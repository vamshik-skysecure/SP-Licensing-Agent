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securetech-my.sharepoint.com/personal/nithin_skysecure_ai/Documents/Desktop/Final pricing/"/>
    </mc:Choice>
  </mc:AlternateContent>
  <xr:revisionPtr revIDLastSave="13" documentId="8_{7A512827-FBF6-4686-B1FA-8AA68D2F916A}" xr6:coauthVersionLast="47" xr6:coauthVersionMax="47" xr10:uidLastSave="{B3B01DC4-D653-41D9-86DA-59BB65391802}"/>
  <bookViews>
    <workbookView xWindow="-120" yWindow="-120" windowWidth="38640" windowHeight="21120" activeTab="3" xr2:uid="{5FD2A554-6175-4B2D-8484-2663FA8F465F}"/>
  </bookViews>
  <sheets>
    <sheet name="Addendum" sheetId="1" r:id="rId1"/>
    <sheet name="Master Input Sheet" sheetId="2" r:id="rId2"/>
    <sheet name="Calculation Sheet" sheetId="3" r:id="rId3"/>
    <sheet name="Outcome Sheet" sheetId="4" r:id="rId4"/>
  </sheets>
  <definedNames>
    <definedName name="_xlnm._FilterDatabase" localSheetId="0" hidden="1">Addendum!$A$3:$I$1642</definedName>
    <definedName name="_xlnm._FilterDatabase" localSheetId="2" hidden="1">'Calculation Sheet'!$A$2:$M$4032</definedName>
    <definedName name="_xlnm._FilterDatabase" localSheetId="3" hidden="1">'Outcome Sheet'!$A$2:$H$4032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3" i="4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N3742" i="3" s="1"/>
  <c r="M3743" i="3"/>
  <c r="N3743" i="3" s="1"/>
  <c r="M3744" i="3"/>
  <c r="N3744" i="3" s="1"/>
  <c r="M3745" i="3"/>
  <c r="N3745" i="3" s="1"/>
  <c r="M3746" i="3"/>
  <c r="N3746" i="3" s="1"/>
  <c r="M3747" i="3"/>
  <c r="N3747" i="3" s="1"/>
  <c r="M3748" i="3"/>
  <c r="M3749" i="3"/>
  <c r="N3749" i="3" s="1"/>
  <c r="M3750" i="3"/>
  <c r="M3751" i="3"/>
  <c r="N3751" i="3" s="1"/>
  <c r="M3752" i="3"/>
  <c r="N3752" i="3" s="1"/>
  <c r="M3753" i="3"/>
  <c r="N3753" i="3" s="1"/>
  <c r="M3754" i="3"/>
  <c r="N3754" i="3" s="1"/>
  <c r="M3755" i="3"/>
  <c r="M3756" i="3"/>
  <c r="M3757" i="3"/>
  <c r="N3757" i="3" s="1"/>
  <c r="M3758" i="3"/>
  <c r="N3758" i="3" s="1"/>
  <c r="M3759" i="3"/>
  <c r="N3759" i="3" s="1"/>
  <c r="M3760" i="3"/>
  <c r="N3760" i="3" s="1"/>
  <c r="M3761" i="3"/>
  <c r="N3761" i="3" s="1"/>
  <c r="M3762" i="3"/>
  <c r="N3762" i="3" s="1"/>
  <c r="M3763" i="3"/>
  <c r="N3763" i="3" s="1"/>
  <c r="M3764" i="3"/>
  <c r="M3765" i="3"/>
  <c r="M3766" i="3"/>
  <c r="M3767" i="3"/>
  <c r="N3767" i="3" s="1"/>
  <c r="M3768" i="3"/>
  <c r="M3769" i="3"/>
  <c r="N3769" i="3" s="1"/>
  <c r="M3770" i="3"/>
  <c r="N3770" i="3" s="1"/>
  <c r="M3771" i="3"/>
  <c r="M3772" i="3"/>
  <c r="M3773" i="3"/>
  <c r="N3773" i="3" s="1"/>
  <c r="M3774" i="3"/>
  <c r="N3774" i="3" s="1"/>
  <c r="M3775" i="3"/>
  <c r="N3775" i="3" s="1"/>
  <c r="M3776" i="3"/>
  <c r="N3776" i="3" s="1"/>
  <c r="M3777" i="3"/>
  <c r="N3777" i="3" s="1"/>
  <c r="M3778" i="3"/>
  <c r="N3778" i="3" s="1"/>
  <c r="M3779" i="3"/>
  <c r="N3779" i="3" s="1"/>
  <c r="M3780" i="3"/>
  <c r="M3781" i="3"/>
  <c r="N3781" i="3" s="1"/>
  <c r="M3782" i="3"/>
  <c r="M3783" i="3"/>
  <c r="N3783" i="3" s="1"/>
  <c r="M3784" i="3"/>
  <c r="N3784" i="3" s="1"/>
  <c r="M3785" i="3"/>
  <c r="M3786" i="3"/>
  <c r="N3786" i="3" s="1"/>
  <c r="M3787" i="3"/>
  <c r="N3787" i="3" s="1"/>
  <c r="M3788" i="3"/>
  <c r="M3789" i="3"/>
  <c r="N3789" i="3" s="1"/>
  <c r="M3790" i="3"/>
  <c r="N3790" i="3" s="1"/>
  <c r="M3791" i="3"/>
  <c r="M3792" i="3"/>
  <c r="N3792" i="3" s="1"/>
  <c r="M3793" i="3"/>
  <c r="N3793" i="3" s="1"/>
  <c r="M3794" i="3"/>
  <c r="M3795" i="3"/>
  <c r="N3795" i="3" s="1"/>
  <c r="M3796" i="3"/>
  <c r="M3797" i="3"/>
  <c r="N3797" i="3" s="1"/>
  <c r="M3798" i="3"/>
  <c r="M3799" i="3"/>
  <c r="N3799" i="3" s="1"/>
  <c r="M3800" i="3"/>
  <c r="M3801" i="3"/>
  <c r="N3801" i="3" s="1"/>
  <c r="M3802" i="3"/>
  <c r="M3803" i="3"/>
  <c r="M3804" i="3"/>
  <c r="M3805" i="3"/>
  <c r="N3805" i="3" s="1"/>
  <c r="M3806" i="3"/>
  <c r="N3806" i="3" s="1"/>
  <c r="M3807" i="3"/>
  <c r="N3807" i="3" s="1"/>
  <c r="M3808" i="3"/>
  <c r="N3808" i="3" s="1"/>
  <c r="M3809" i="3"/>
  <c r="N3809" i="3" s="1"/>
  <c r="M3810" i="3"/>
  <c r="N3810" i="3" s="1"/>
  <c r="M3811" i="3"/>
  <c r="N3811" i="3" s="1"/>
  <c r="M3812" i="3"/>
  <c r="M3813" i="3"/>
  <c r="N3813" i="3" s="1"/>
  <c r="M3814" i="3"/>
  <c r="M3815" i="3"/>
  <c r="M3816" i="3"/>
  <c r="N3816" i="3" s="1"/>
  <c r="M3817" i="3"/>
  <c r="N3817" i="3" s="1"/>
  <c r="M3818" i="3"/>
  <c r="N3818" i="3" s="1"/>
  <c r="M3819" i="3"/>
  <c r="M3820" i="3"/>
  <c r="M3821" i="3"/>
  <c r="N3821" i="3" s="1"/>
  <c r="M3822" i="3"/>
  <c r="N3822" i="3" s="1"/>
  <c r="M3823" i="3"/>
  <c r="N3823" i="3" s="1"/>
  <c r="M3824" i="3"/>
  <c r="N3824" i="3" s="1"/>
  <c r="M3825" i="3"/>
  <c r="N3825" i="3" s="1"/>
  <c r="M3826" i="3"/>
  <c r="N3826" i="3" s="1"/>
  <c r="M3827" i="3"/>
  <c r="N3827" i="3" s="1"/>
  <c r="M3828" i="3"/>
  <c r="M3829" i="3"/>
  <c r="M3830" i="3"/>
  <c r="M3831" i="3"/>
  <c r="M3832" i="3"/>
  <c r="N3832" i="3" s="1"/>
  <c r="M3833" i="3"/>
  <c r="N3833" i="3" s="1"/>
  <c r="M3834" i="3"/>
  <c r="N3834" i="3" s="1"/>
  <c r="M3835" i="3"/>
  <c r="M3836" i="3"/>
  <c r="M3837" i="3"/>
  <c r="N3837" i="3" s="1"/>
  <c r="M3838" i="3"/>
  <c r="N3838" i="3" s="1"/>
  <c r="M3839" i="3"/>
  <c r="N3839" i="3" s="1"/>
  <c r="M3840" i="3"/>
  <c r="N3840" i="3" s="1"/>
  <c r="M3841" i="3"/>
  <c r="N3841" i="3" s="1"/>
  <c r="M3842" i="3"/>
  <c r="N3842" i="3" s="1"/>
  <c r="M3843" i="3"/>
  <c r="N3843" i="3" s="1"/>
  <c r="M3844" i="3"/>
  <c r="M3845" i="3"/>
  <c r="M3846" i="3"/>
  <c r="M3847" i="3"/>
  <c r="M3848" i="3"/>
  <c r="M3849" i="3"/>
  <c r="M3850" i="3"/>
  <c r="N3850" i="3" s="1"/>
  <c r="M3851" i="3"/>
  <c r="M3852" i="3"/>
  <c r="M3853" i="3"/>
  <c r="M3854" i="3"/>
  <c r="N3854" i="3" s="1"/>
  <c r="M3855" i="3"/>
  <c r="N3855" i="3" s="1"/>
  <c r="M3856" i="3"/>
  <c r="N3856" i="3" s="1"/>
  <c r="M3857" i="3"/>
  <c r="N3857" i="3" s="1"/>
  <c r="M3858" i="3"/>
  <c r="N3858" i="3" s="1"/>
  <c r="M3859" i="3"/>
  <c r="N3859" i="3" s="1"/>
  <c r="M3860" i="3"/>
  <c r="M3861" i="3"/>
  <c r="N3861" i="3" s="1"/>
  <c r="M3862" i="3"/>
  <c r="M3863" i="3"/>
  <c r="M3864" i="3"/>
  <c r="N3864" i="3" s="1"/>
  <c r="M3865" i="3"/>
  <c r="N3865" i="3" s="1"/>
  <c r="M3866" i="3"/>
  <c r="N3866" i="3" s="1"/>
  <c r="M3867" i="3"/>
  <c r="N3867" i="3" s="1"/>
  <c r="M3868" i="3"/>
  <c r="M3869" i="3"/>
  <c r="N3869" i="3" s="1"/>
  <c r="M3870" i="3"/>
  <c r="N3870" i="3" s="1"/>
  <c r="M3871" i="3"/>
  <c r="N3871" i="3" s="1"/>
  <c r="M3872" i="3"/>
  <c r="N3872" i="3" s="1"/>
  <c r="M3873" i="3"/>
  <c r="N3873" i="3" s="1"/>
  <c r="M3874" i="3"/>
  <c r="N3874" i="3" s="1"/>
  <c r="M3875" i="3"/>
  <c r="N3875" i="3" s="1"/>
  <c r="M3876" i="3"/>
  <c r="M3877" i="3"/>
  <c r="M3878" i="3"/>
  <c r="M3879" i="3"/>
  <c r="M3880" i="3"/>
  <c r="N3880" i="3" s="1"/>
  <c r="M3881" i="3"/>
  <c r="M3882" i="3"/>
  <c r="M3883" i="3"/>
  <c r="M3884" i="3"/>
  <c r="M3885" i="3"/>
  <c r="M3886" i="3"/>
  <c r="N3886" i="3" s="1"/>
  <c r="M3887" i="3"/>
  <c r="M3888" i="3"/>
  <c r="N3888" i="3" s="1"/>
  <c r="M3889" i="3"/>
  <c r="M3890" i="3"/>
  <c r="N3890" i="3" s="1"/>
  <c r="M3891" i="3"/>
  <c r="N3891" i="3" s="1"/>
  <c r="M3892" i="3"/>
  <c r="M3893" i="3"/>
  <c r="M3894" i="3"/>
  <c r="M3895" i="3"/>
  <c r="M3896" i="3"/>
  <c r="N3896" i="3" s="1"/>
  <c r="M3897" i="3"/>
  <c r="M3898" i="3"/>
  <c r="M3899" i="3"/>
  <c r="M3900" i="3"/>
  <c r="M3901" i="3"/>
  <c r="M3902" i="3"/>
  <c r="M3903" i="3"/>
  <c r="M3904" i="3"/>
  <c r="M3905" i="3"/>
  <c r="M3906" i="3"/>
  <c r="M3907" i="3"/>
  <c r="N3907" i="3" s="1"/>
  <c r="M3908" i="3"/>
  <c r="M3909" i="3"/>
  <c r="N3909" i="3" s="1"/>
  <c r="M3910" i="3"/>
  <c r="M3911" i="3"/>
  <c r="M3912" i="3"/>
  <c r="M3913" i="3"/>
  <c r="N3913" i="3" s="1"/>
  <c r="M3914" i="3"/>
  <c r="N3914" i="3" s="1"/>
  <c r="M3915" i="3"/>
  <c r="M3916" i="3"/>
  <c r="M3917" i="3"/>
  <c r="M3918" i="3"/>
  <c r="N3918" i="3" s="1"/>
  <c r="M3919" i="3"/>
  <c r="N3919" i="3" s="1"/>
  <c r="M3920" i="3"/>
  <c r="N3920" i="3" s="1"/>
  <c r="M3921" i="3"/>
  <c r="N3921" i="3" s="1"/>
  <c r="M3922" i="3"/>
  <c r="N3922" i="3" s="1"/>
  <c r="M3923" i="3"/>
  <c r="N3923" i="3" s="1"/>
  <c r="M3924" i="3"/>
  <c r="M3925" i="3"/>
  <c r="N3925" i="3" s="1"/>
  <c r="M3926" i="3"/>
  <c r="M3927" i="3"/>
  <c r="M3928" i="3"/>
  <c r="N3928" i="3" s="1"/>
  <c r="M3929" i="3"/>
  <c r="M3930" i="3"/>
  <c r="N3930" i="3" s="1"/>
  <c r="M3931" i="3"/>
  <c r="N3931" i="3" s="1"/>
  <c r="M3932" i="3"/>
  <c r="M3933" i="3"/>
  <c r="N3933" i="3" s="1"/>
  <c r="M3934" i="3"/>
  <c r="N3934" i="3" s="1"/>
  <c r="M3935" i="3"/>
  <c r="N3935" i="3" s="1"/>
  <c r="M3936" i="3"/>
  <c r="N3936" i="3" s="1"/>
  <c r="M3937" i="3"/>
  <c r="N3937" i="3" s="1"/>
  <c r="M3938" i="3"/>
  <c r="N3938" i="3" s="1"/>
  <c r="M3939" i="3"/>
  <c r="N3939" i="3" s="1"/>
  <c r="M3940" i="3"/>
  <c r="M3941" i="3"/>
  <c r="M3942" i="3"/>
  <c r="M3943" i="3"/>
  <c r="M3944" i="3"/>
  <c r="N3944" i="3" s="1"/>
  <c r="M3945" i="3"/>
  <c r="N3945" i="3" s="1"/>
  <c r="M3946" i="3"/>
  <c r="M3947" i="3"/>
  <c r="M3948" i="3"/>
  <c r="M3949" i="3"/>
  <c r="N3949" i="3" s="1"/>
  <c r="M3950" i="3"/>
  <c r="N3950" i="3" s="1"/>
  <c r="M3951" i="3"/>
  <c r="N3951" i="3" s="1"/>
  <c r="M3952" i="3"/>
  <c r="N3952" i="3" s="1"/>
  <c r="M3953" i="3"/>
  <c r="N3953" i="3" s="1"/>
  <c r="M3954" i="3"/>
  <c r="N3954" i="3" s="1"/>
  <c r="M3955" i="3"/>
  <c r="N3955" i="3" s="1"/>
  <c r="M3956" i="3"/>
  <c r="M3957" i="3"/>
  <c r="M3958" i="3"/>
  <c r="M3959" i="3"/>
  <c r="M3960" i="3"/>
  <c r="M3961" i="3"/>
  <c r="N3961" i="3" s="1"/>
  <c r="M3962" i="3"/>
  <c r="N3962" i="3" s="1"/>
  <c r="M3963" i="3"/>
  <c r="M3964" i="3"/>
  <c r="M3965" i="3"/>
  <c r="N3965" i="3" s="1"/>
  <c r="M3966" i="3"/>
  <c r="M3967" i="3"/>
  <c r="N3967" i="3" s="1"/>
  <c r="M3968" i="3"/>
  <c r="M3969" i="3"/>
  <c r="N3969" i="3" s="1"/>
  <c r="M3970" i="3"/>
  <c r="N3970" i="3" s="1"/>
  <c r="M3971" i="3"/>
  <c r="N3971" i="3" s="1"/>
  <c r="M3972" i="3"/>
  <c r="M3973" i="3"/>
  <c r="N3973" i="3" s="1"/>
  <c r="M3974" i="3"/>
  <c r="M3975" i="3"/>
  <c r="M3976" i="3"/>
  <c r="M3977" i="3"/>
  <c r="N3977" i="3" s="1"/>
  <c r="M3978" i="3"/>
  <c r="N3978" i="3" s="1"/>
  <c r="M3979" i="3"/>
  <c r="M3980" i="3"/>
  <c r="M3981" i="3"/>
  <c r="M3982" i="3"/>
  <c r="M3983" i="3"/>
  <c r="N3983" i="3" s="1"/>
  <c r="M3984" i="3"/>
  <c r="M3985" i="3"/>
  <c r="M3986" i="3"/>
  <c r="N3986" i="3" s="1"/>
  <c r="M3987" i="3"/>
  <c r="N3987" i="3" s="1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N4001" i="3" s="1"/>
  <c r="M4002" i="3"/>
  <c r="N4002" i="3" s="1"/>
  <c r="M4003" i="3"/>
  <c r="M4004" i="3"/>
  <c r="M4005" i="3"/>
  <c r="M4006" i="3"/>
  <c r="M4007" i="3"/>
  <c r="N4007" i="3" s="1"/>
  <c r="M4008" i="3"/>
  <c r="M4009" i="3"/>
  <c r="N4009" i="3" s="1"/>
  <c r="M4010" i="3"/>
  <c r="N4010" i="3" s="1"/>
  <c r="M4011" i="3"/>
  <c r="M4012" i="3"/>
  <c r="M4013" i="3"/>
  <c r="N4013" i="3" s="1"/>
  <c r="M4014" i="3"/>
  <c r="M4015" i="3"/>
  <c r="N4015" i="3" s="1"/>
  <c r="M4016" i="3"/>
  <c r="M4017" i="3"/>
  <c r="M4018" i="3"/>
  <c r="M4019" i="3"/>
  <c r="M4020" i="3"/>
  <c r="M4021" i="3"/>
  <c r="N4021" i="3" s="1"/>
  <c r="M4022" i="3"/>
  <c r="M4023" i="3"/>
  <c r="N4023" i="3" s="1"/>
  <c r="M4024" i="3"/>
  <c r="N4024" i="3" s="1"/>
  <c r="M4025" i="3"/>
  <c r="M4026" i="3"/>
  <c r="M4027" i="3"/>
  <c r="M4028" i="3"/>
  <c r="M4029" i="3"/>
  <c r="N4029" i="3" s="1"/>
  <c r="M4030" i="3"/>
  <c r="N4030" i="3" s="1"/>
  <c r="M4031" i="3"/>
  <c r="N4031" i="3" s="1"/>
  <c r="M4032" i="3"/>
  <c r="N4032" i="3" s="1"/>
  <c r="M3" i="3"/>
  <c r="N3736" i="3"/>
  <c r="N3738" i="3"/>
  <c r="N3750" i="3"/>
  <c r="N3756" i="3"/>
  <c r="N3764" i="3"/>
  <c r="N3765" i="3"/>
  <c r="N3766" i="3"/>
  <c r="N3768" i="3"/>
  <c r="N3771" i="3"/>
  <c r="N3772" i="3"/>
  <c r="N3780" i="3"/>
  <c r="N3782" i="3"/>
  <c r="N3785" i="3"/>
  <c r="N3788" i="3"/>
  <c r="N3791" i="3"/>
  <c r="N3794" i="3"/>
  <c r="N3796" i="3"/>
  <c r="N3800" i="3"/>
  <c r="N3802" i="3"/>
  <c r="N3804" i="3"/>
  <c r="N3812" i="3"/>
  <c r="N3815" i="3"/>
  <c r="N3819" i="3"/>
  <c r="N3820" i="3"/>
  <c r="N3828" i="3"/>
  <c r="N3829" i="3"/>
  <c r="N3830" i="3"/>
  <c r="N3831" i="3"/>
  <c r="N3836" i="3"/>
  <c r="N3844" i="3"/>
  <c r="N3845" i="3"/>
  <c r="N3846" i="3"/>
  <c r="N3847" i="3"/>
  <c r="N3848" i="3"/>
  <c r="N3849" i="3"/>
  <c r="N3852" i="3"/>
  <c r="N3860" i="3"/>
  <c r="N3863" i="3"/>
  <c r="N3868" i="3"/>
  <c r="N3876" i="3"/>
  <c r="N3877" i="3"/>
  <c r="N3878" i="3"/>
  <c r="N3881" i="3"/>
  <c r="N3884" i="3"/>
  <c r="N3895" i="3"/>
  <c r="N3908" i="3"/>
  <c r="N3910" i="3"/>
  <c r="N3911" i="3"/>
  <c r="N3912" i="3"/>
  <c r="N3915" i="3"/>
  <c r="N3916" i="3"/>
  <c r="N3917" i="3"/>
  <c r="N3924" i="3"/>
  <c r="N3926" i="3"/>
  <c r="N3927" i="3"/>
  <c r="N3929" i="3"/>
  <c r="N3932" i="3"/>
  <c r="N3940" i="3"/>
  <c r="N3941" i="3"/>
  <c r="N3942" i="3"/>
  <c r="N3943" i="3"/>
  <c r="N3946" i="3"/>
  <c r="N3947" i="3"/>
  <c r="N3948" i="3"/>
  <c r="N3956" i="3"/>
  <c r="N3972" i="3"/>
  <c r="N3974" i="3"/>
  <c r="N3988" i="3"/>
  <c r="N3992" i="3"/>
  <c r="N3994" i="3"/>
  <c r="N4005" i="3"/>
  <c r="N4008" i="3"/>
  <c r="N4012" i="3"/>
  <c r="N4022" i="3"/>
  <c r="N4027" i="3"/>
  <c r="N4028" i="3"/>
  <c r="N3803" i="3"/>
  <c r="N3835" i="3"/>
  <c r="N3853" i="3"/>
  <c r="N3862" i="3"/>
  <c r="N3879" i="3"/>
  <c r="N4011" i="3"/>
  <c r="N3748" i="3"/>
  <c r="N3755" i="3"/>
  <c r="N3851" i="3"/>
  <c r="N3798" i="3"/>
  <c r="N3814" i="3"/>
  <c r="N3737" i="3"/>
  <c r="N3897" i="3"/>
  <c r="N3976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3" i="3"/>
  <c r="I4" i="3"/>
  <c r="N4" i="3" s="1"/>
  <c r="I5" i="3"/>
  <c r="N5" i="3" s="1"/>
  <c r="I6" i="3"/>
  <c r="I7" i="3"/>
  <c r="I8" i="3"/>
  <c r="N8" i="3" s="1"/>
  <c r="I9" i="3"/>
  <c r="N9" i="3" s="1"/>
  <c r="I10" i="3"/>
  <c r="I11" i="3"/>
  <c r="I12" i="3"/>
  <c r="I13" i="3"/>
  <c r="I14" i="3"/>
  <c r="N14" i="3" s="1"/>
  <c r="I15" i="3"/>
  <c r="I16" i="3"/>
  <c r="I17" i="3"/>
  <c r="I18" i="3"/>
  <c r="I19" i="3"/>
  <c r="I20" i="3"/>
  <c r="N20" i="3" s="1"/>
  <c r="I21" i="3"/>
  <c r="N21" i="3" s="1"/>
  <c r="I22" i="3"/>
  <c r="I23" i="3"/>
  <c r="I24" i="3"/>
  <c r="N24" i="3" s="1"/>
  <c r="I25" i="3"/>
  <c r="N25" i="3" s="1"/>
  <c r="I26" i="3"/>
  <c r="I27" i="3"/>
  <c r="I28" i="3"/>
  <c r="I29" i="3"/>
  <c r="I30" i="3"/>
  <c r="N30" i="3" s="1"/>
  <c r="I31" i="3"/>
  <c r="I32" i="3"/>
  <c r="I33" i="3"/>
  <c r="I34" i="3"/>
  <c r="I35" i="3"/>
  <c r="I36" i="3"/>
  <c r="N36" i="3" s="1"/>
  <c r="I37" i="3"/>
  <c r="N37" i="3" s="1"/>
  <c r="I38" i="3"/>
  <c r="I39" i="3"/>
  <c r="I40" i="3"/>
  <c r="N40" i="3" s="1"/>
  <c r="I41" i="3"/>
  <c r="N41" i="3" s="1"/>
  <c r="I42" i="3"/>
  <c r="I43" i="3"/>
  <c r="I44" i="3"/>
  <c r="I45" i="3"/>
  <c r="I46" i="3"/>
  <c r="N46" i="3" s="1"/>
  <c r="I47" i="3"/>
  <c r="I48" i="3"/>
  <c r="I49" i="3"/>
  <c r="I50" i="3"/>
  <c r="I51" i="3"/>
  <c r="I52" i="3"/>
  <c r="N52" i="3" s="1"/>
  <c r="I53" i="3"/>
  <c r="N53" i="3" s="1"/>
  <c r="I54" i="3"/>
  <c r="I55" i="3"/>
  <c r="I56" i="3"/>
  <c r="N56" i="3" s="1"/>
  <c r="I57" i="3"/>
  <c r="N57" i="3" s="1"/>
  <c r="I58" i="3"/>
  <c r="I59" i="3"/>
  <c r="I60" i="3"/>
  <c r="I61" i="3"/>
  <c r="I62" i="3"/>
  <c r="N62" i="3" s="1"/>
  <c r="I63" i="3"/>
  <c r="I64" i="3"/>
  <c r="I65" i="3"/>
  <c r="I66" i="3"/>
  <c r="I67" i="3"/>
  <c r="I68" i="3"/>
  <c r="N68" i="3" s="1"/>
  <c r="I69" i="3"/>
  <c r="N69" i="3" s="1"/>
  <c r="I70" i="3"/>
  <c r="I71" i="3"/>
  <c r="I72" i="3"/>
  <c r="N72" i="3" s="1"/>
  <c r="I73" i="3"/>
  <c r="N73" i="3" s="1"/>
  <c r="I74" i="3"/>
  <c r="I75" i="3"/>
  <c r="I76" i="3"/>
  <c r="I77" i="3"/>
  <c r="I78" i="3"/>
  <c r="N78" i="3" s="1"/>
  <c r="I79" i="3"/>
  <c r="I80" i="3"/>
  <c r="I81" i="3"/>
  <c r="I82" i="3"/>
  <c r="I83" i="3"/>
  <c r="I84" i="3"/>
  <c r="N84" i="3" s="1"/>
  <c r="I85" i="3"/>
  <c r="N85" i="3" s="1"/>
  <c r="I86" i="3"/>
  <c r="I87" i="3"/>
  <c r="I88" i="3"/>
  <c r="N88" i="3" s="1"/>
  <c r="I89" i="3"/>
  <c r="N89" i="3" s="1"/>
  <c r="I90" i="3"/>
  <c r="I91" i="3"/>
  <c r="I92" i="3"/>
  <c r="I93" i="3"/>
  <c r="I94" i="3"/>
  <c r="N94" i="3" s="1"/>
  <c r="I95" i="3"/>
  <c r="I96" i="3"/>
  <c r="I97" i="3"/>
  <c r="I98" i="3"/>
  <c r="I99" i="3"/>
  <c r="I100" i="3"/>
  <c r="N100" i="3" s="1"/>
  <c r="I101" i="3"/>
  <c r="N101" i="3" s="1"/>
  <c r="I102" i="3"/>
  <c r="I103" i="3"/>
  <c r="I104" i="3"/>
  <c r="N104" i="3" s="1"/>
  <c r="I105" i="3"/>
  <c r="N105" i="3" s="1"/>
  <c r="I106" i="3"/>
  <c r="I107" i="3"/>
  <c r="I108" i="3"/>
  <c r="I109" i="3"/>
  <c r="I110" i="3"/>
  <c r="N110" i="3" s="1"/>
  <c r="I111" i="3"/>
  <c r="I112" i="3"/>
  <c r="I113" i="3"/>
  <c r="I114" i="3"/>
  <c r="I115" i="3"/>
  <c r="I116" i="3"/>
  <c r="N116" i="3" s="1"/>
  <c r="I117" i="3"/>
  <c r="N117" i="3" s="1"/>
  <c r="I118" i="3"/>
  <c r="I119" i="3"/>
  <c r="I120" i="3"/>
  <c r="N120" i="3" s="1"/>
  <c r="I121" i="3"/>
  <c r="N121" i="3" s="1"/>
  <c r="I122" i="3"/>
  <c r="I123" i="3"/>
  <c r="I124" i="3"/>
  <c r="I125" i="3"/>
  <c r="I126" i="3"/>
  <c r="N126" i="3" s="1"/>
  <c r="I127" i="3"/>
  <c r="I128" i="3"/>
  <c r="I129" i="3"/>
  <c r="I130" i="3"/>
  <c r="I131" i="3"/>
  <c r="I132" i="3"/>
  <c r="N132" i="3" s="1"/>
  <c r="I133" i="3"/>
  <c r="N133" i="3" s="1"/>
  <c r="I134" i="3"/>
  <c r="I135" i="3"/>
  <c r="I136" i="3"/>
  <c r="N136" i="3" s="1"/>
  <c r="I137" i="3"/>
  <c r="N137" i="3" s="1"/>
  <c r="I138" i="3"/>
  <c r="I139" i="3"/>
  <c r="I140" i="3"/>
  <c r="I141" i="3"/>
  <c r="I142" i="3"/>
  <c r="N142" i="3" s="1"/>
  <c r="I143" i="3"/>
  <c r="I144" i="3"/>
  <c r="I145" i="3"/>
  <c r="I146" i="3"/>
  <c r="I147" i="3"/>
  <c r="I148" i="3"/>
  <c r="N148" i="3" s="1"/>
  <c r="I149" i="3"/>
  <c r="N149" i="3" s="1"/>
  <c r="I150" i="3"/>
  <c r="I151" i="3"/>
  <c r="I152" i="3"/>
  <c r="N152" i="3" s="1"/>
  <c r="I153" i="3"/>
  <c r="N153" i="3" s="1"/>
  <c r="I154" i="3"/>
  <c r="I155" i="3"/>
  <c r="I156" i="3"/>
  <c r="I157" i="3"/>
  <c r="I158" i="3"/>
  <c r="N158" i="3" s="1"/>
  <c r="I159" i="3"/>
  <c r="I160" i="3"/>
  <c r="I161" i="3"/>
  <c r="I162" i="3"/>
  <c r="I163" i="3"/>
  <c r="I164" i="3"/>
  <c r="N164" i="3" s="1"/>
  <c r="I165" i="3"/>
  <c r="N165" i="3" s="1"/>
  <c r="I166" i="3"/>
  <c r="I167" i="3"/>
  <c r="I168" i="3"/>
  <c r="N168" i="3" s="1"/>
  <c r="I169" i="3"/>
  <c r="N169" i="3" s="1"/>
  <c r="I170" i="3"/>
  <c r="I171" i="3"/>
  <c r="I172" i="3"/>
  <c r="I173" i="3"/>
  <c r="I174" i="3"/>
  <c r="N174" i="3" s="1"/>
  <c r="I175" i="3"/>
  <c r="I176" i="3"/>
  <c r="I177" i="3"/>
  <c r="I178" i="3"/>
  <c r="I179" i="3"/>
  <c r="I180" i="3"/>
  <c r="N180" i="3" s="1"/>
  <c r="I181" i="3"/>
  <c r="N181" i="3" s="1"/>
  <c r="I182" i="3"/>
  <c r="I183" i="3"/>
  <c r="I184" i="3"/>
  <c r="N184" i="3" s="1"/>
  <c r="I185" i="3"/>
  <c r="N185" i="3" s="1"/>
  <c r="I186" i="3"/>
  <c r="I187" i="3"/>
  <c r="I188" i="3"/>
  <c r="I189" i="3"/>
  <c r="I190" i="3"/>
  <c r="N190" i="3" s="1"/>
  <c r="I191" i="3"/>
  <c r="I192" i="3"/>
  <c r="I193" i="3"/>
  <c r="I194" i="3"/>
  <c r="I195" i="3"/>
  <c r="I196" i="3"/>
  <c r="N196" i="3" s="1"/>
  <c r="I197" i="3"/>
  <c r="N197" i="3" s="1"/>
  <c r="I198" i="3"/>
  <c r="I199" i="3"/>
  <c r="I200" i="3"/>
  <c r="N200" i="3" s="1"/>
  <c r="I201" i="3"/>
  <c r="N201" i="3" s="1"/>
  <c r="I202" i="3"/>
  <c r="I203" i="3"/>
  <c r="I204" i="3"/>
  <c r="I205" i="3"/>
  <c r="I206" i="3"/>
  <c r="N206" i="3" s="1"/>
  <c r="I207" i="3"/>
  <c r="I208" i="3"/>
  <c r="I209" i="3"/>
  <c r="I210" i="3"/>
  <c r="I211" i="3"/>
  <c r="I212" i="3"/>
  <c r="N212" i="3" s="1"/>
  <c r="I213" i="3"/>
  <c r="N213" i="3" s="1"/>
  <c r="I214" i="3"/>
  <c r="I215" i="3"/>
  <c r="I216" i="3"/>
  <c r="N216" i="3" s="1"/>
  <c r="I217" i="3"/>
  <c r="N217" i="3" s="1"/>
  <c r="I218" i="3"/>
  <c r="I219" i="3"/>
  <c r="I220" i="3"/>
  <c r="I221" i="3"/>
  <c r="I222" i="3"/>
  <c r="N222" i="3" s="1"/>
  <c r="I223" i="3"/>
  <c r="I224" i="3"/>
  <c r="I225" i="3"/>
  <c r="I226" i="3"/>
  <c r="I227" i="3"/>
  <c r="I228" i="3"/>
  <c r="N228" i="3" s="1"/>
  <c r="I229" i="3"/>
  <c r="N229" i="3" s="1"/>
  <c r="I230" i="3"/>
  <c r="I231" i="3"/>
  <c r="I232" i="3"/>
  <c r="N232" i="3" s="1"/>
  <c r="I233" i="3"/>
  <c r="N233" i="3" s="1"/>
  <c r="I234" i="3"/>
  <c r="I235" i="3"/>
  <c r="I236" i="3"/>
  <c r="I237" i="3"/>
  <c r="I238" i="3"/>
  <c r="N238" i="3" s="1"/>
  <c r="I239" i="3"/>
  <c r="I240" i="3"/>
  <c r="I241" i="3"/>
  <c r="I242" i="3"/>
  <c r="I243" i="3"/>
  <c r="I244" i="3"/>
  <c r="N244" i="3" s="1"/>
  <c r="I245" i="3"/>
  <c r="N245" i="3" s="1"/>
  <c r="I246" i="3"/>
  <c r="I247" i="3"/>
  <c r="I248" i="3"/>
  <c r="N248" i="3" s="1"/>
  <c r="I249" i="3"/>
  <c r="N249" i="3" s="1"/>
  <c r="I250" i="3"/>
  <c r="I251" i="3"/>
  <c r="I252" i="3"/>
  <c r="I253" i="3"/>
  <c r="I254" i="3"/>
  <c r="N254" i="3" s="1"/>
  <c r="I255" i="3"/>
  <c r="I256" i="3"/>
  <c r="I257" i="3"/>
  <c r="I258" i="3"/>
  <c r="I259" i="3"/>
  <c r="I260" i="3"/>
  <c r="N260" i="3" s="1"/>
  <c r="I261" i="3"/>
  <c r="N261" i="3" s="1"/>
  <c r="I262" i="3"/>
  <c r="I263" i="3"/>
  <c r="I264" i="3"/>
  <c r="N264" i="3" s="1"/>
  <c r="I265" i="3"/>
  <c r="N265" i="3" s="1"/>
  <c r="I266" i="3"/>
  <c r="I267" i="3"/>
  <c r="I268" i="3"/>
  <c r="I269" i="3"/>
  <c r="I270" i="3"/>
  <c r="N270" i="3" s="1"/>
  <c r="I271" i="3"/>
  <c r="I272" i="3"/>
  <c r="I273" i="3"/>
  <c r="I274" i="3"/>
  <c r="I275" i="3"/>
  <c r="I276" i="3"/>
  <c r="N276" i="3" s="1"/>
  <c r="I277" i="3"/>
  <c r="N277" i="3" s="1"/>
  <c r="I278" i="3"/>
  <c r="I279" i="3"/>
  <c r="I280" i="3"/>
  <c r="N280" i="3" s="1"/>
  <c r="I281" i="3"/>
  <c r="N281" i="3" s="1"/>
  <c r="I282" i="3"/>
  <c r="I283" i="3"/>
  <c r="I284" i="3"/>
  <c r="I285" i="3"/>
  <c r="I286" i="3"/>
  <c r="N286" i="3" s="1"/>
  <c r="I287" i="3"/>
  <c r="I288" i="3"/>
  <c r="I289" i="3"/>
  <c r="I290" i="3"/>
  <c r="I291" i="3"/>
  <c r="I292" i="3"/>
  <c r="N292" i="3" s="1"/>
  <c r="I293" i="3"/>
  <c r="N293" i="3" s="1"/>
  <c r="I294" i="3"/>
  <c r="I295" i="3"/>
  <c r="I296" i="3"/>
  <c r="N296" i="3" s="1"/>
  <c r="I297" i="3"/>
  <c r="N297" i="3" s="1"/>
  <c r="I298" i="3"/>
  <c r="I299" i="3"/>
  <c r="I300" i="3"/>
  <c r="I301" i="3"/>
  <c r="I302" i="3"/>
  <c r="N302" i="3" s="1"/>
  <c r="I303" i="3"/>
  <c r="I304" i="3"/>
  <c r="I305" i="3"/>
  <c r="I306" i="3"/>
  <c r="I307" i="3"/>
  <c r="I308" i="3"/>
  <c r="N308" i="3" s="1"/>
  <c r="I309" i="3"/>
  <c r="N309" i="3" s="1"/>
  <c r="I310" i="3"/>
  <c r="I311" i="3"/>
  <c r="I312" i="3"/>
  <c r="N312" i="3" s="1"/>
  <c r="I313" i="3"/>
  <c r="N313" i="3" s="1"/>
  <c r="I314" i="3"/>
  <c r="I315" i="3"/>
  <c r="I316" i="3"/>
  <c r="I317" i="3"/>
  <c r="I318" i="3"/>
  <c r="N318" i="3" s="1"/>
  <c r="I319" i="3"/>
  <c r="I320" i="3"/>
  <c r="I321" i="3"/>
  <c r="I322" i="3"/>
  <c r="I323" i="3"/>
  <c r="I324" i="3"/>
  <c r="N324" i="3" s="1"/>
  <c r="I325" i="3"/>
  <c r="N325" i="3" s="1"/>
  <c r="I326" i="3"/>
  <c r="I327" i="3"/>
  <c r="I328" i="3"/>
  <c r="N328" i="3" s="1"/>
  <c r="I329" i="3"/>
  <c r="N329" i="3" s="1"/>
  <c r="I330" i="3"/>
  <c r="I331" i="3"/>
  <c r="I332" i="3"/>
  <c r="I333" i="3"/>
  <c r="I334" i="3"/>
  <c r="N334" i="3" s="1"/>
  <c r="I335" i="3"/>
  <c r="I336" i="3"/>
  <c r="I337" i="3"/>
  <c r="I338" i="3"/>
  <c r="I339" i="3"/>
  <c r="I340" i="3"/>
  <c r="N340" i="3" s="1"/>
  <c r="I341" i="3"/>
  <c r="N341" i="3" s="1"/>
  <c r="I342" i="3"/>
  <c r="I343" i="3"/>
  <c r="I344" i="3"/>
  <c r="N344" i="3" s="1"/>
  <c r="I345" i="3"/>
  <c r="N345" i="3" s="1"/>
  <c r="I346" i="3"/>
  <c r="I347" i="3"/>
  <c r="I348" i="3"/>
  <c r="I349" i="3"/>
  <c r="I350" i="3"/>
  <c r="N350" i="3" s="1"/>
  <c r="I351" i="3"/>
  <c r="I352" i="3"/>
  <c r="I353" i="3"/>
  <c r="I354" i="3"/>
  <c r="I355" i="3"/>
  <c r="I356" i="3"/>
  <c r="N356" i="3" s="1"/>
  <c r="I357" i="3"/>
  <c r="N357" i="3" s="1"/>
  <c r="I358" i="3"/>
  <c r="I359" i="3"/>
  <c r="I360" i="3"/>
  <c r="N360" i="3" s="1"/>
  <c r="I361" i="3"/>
  <c r="N361" i="3" s="1"/>
  <c r="I362" i="3"/>
  <c r="I363" i="3"/>
  <c r="I364" i="3"/>
  <c r="I365" i="3"/>
  <c r="I366" i="3"/>
  <c r="N366" i="3" s="1"/>
  <c r="I367" i="3"/>
  <c r="I368" i="3"/>
  <c r="I369" i="3"/>
  <c r="I370" i="3"/>
  <c r="I371" i="3"/>
  <c r="I372" i="3"/>
  <c r="N372" i="3" s="1"/>
  <c r="I373" i="3"/>
  <c r="N373" i="3" s="1"/>
  <c r="I374" i="3"/>
  <c r="I375" i="3"/>
  <c r="I376" i="3"/>
  <c r="N376" i="3" s="1"/>
  <c r="I377" i="3"/>
  <c r="N377" i="3" s="1"/>
  <c r="I378" i="3"/>
  <c r="I379" i="3"/>
  <c r="I380" i="3"/>
  <c r="I381" i="3"/>
  <c r="I382" i="3"/>
  <c r="N382" i="3" s="1"/>
  <c r="I383" i="3"/>
  <c r="I384" i="3"/>
  <c r="I385" i="3"/>
  <c r="I386" i="3"/>
  <c r="I387" i="3"/>
  <c r="I388" i="3"/>
  <c r="N388" i="3" s="1"/>
  <c r="I389" i="3"/>
  <c r="N389" i="3" s="1"/>
  <c r="I390" i="3"/>
  <c r="I391" i="3"/>
  <c r="I392" i="3"/>
  <c r="N392" i="3" s="1"/>
  <c r="I393" i="3"/>
  <c r="N393" i="3" s="1"/>
  <c r="I394" i="3"/>
  <c r="I395" i="3"/>
  <c r="I396" i="3"/>
  <c r="I397" i="3"/>
  <c r="I398" i="3"/>
  <c r="N398" i="3" s="1"/>
  <c r="I399" i="3"/>
  <c r="I400" i="3"/>
  <c r="I401" i="3"/>
  <c r="I402" i="3"/>
  <c r="I403" i="3"/>
  <c r="I404" i="3"/>
  <c r="N404" i="3" s="1"/>
  <c r="I405" i="3"/>
  <c r="N405" i="3" s="1"/>
  <c r="I406" i="3"/>
  <c r="I407" i="3"/>
  <c r="I408" i="3"/>
  <c r="N408" i="3" s="1"/>
  <c r="I409" i="3"/>
  <c r="N409" i="3" s="1"/>
  <c r="I410" i="3"/>
  <c r="I411" i="3"/>
  <c r="I412" i="3"/>
  <c r="I413" i="3"/>
  <c r="I414" i="3"/>
  <c r="N414" i="3" s="1"/>
  <c r="I415" i="3"/>
  <c r="I416" i="3"/>
  <c r="I417" i="3"/>
  <c r="I418" i="3"/>
  <c r="I419" i="3"/>
  <c r="I420" i="3"/>
  <c r="N420" i="3" s="1"/>
  <c r="I421" i="3"/>
  <c r="N421" i="3" s="1"/>
  <c r="I422" i="3"/>
  <c r="I423" i="3"/>
  <c r="I424" i="3"/>
  <c r="N424" i="3" s="1"/>
  <c r="I425" i="3"/>
  <c r="N425" i="3" s="1"/>
  <c r="I426" i="3"/>
  <c r="I427" i="3"/>
  <c r="I428" i="3"/>
  <c r="I429" i="3"/>
  <c r="I430" i="3"/>
  <c r="N430" i="3" s="1"/>
  <c r="I431" i="3"/>
  <c r="I432" i="3"/>
  <c r="I433" i="3"/>
  <c r="I434" i="3"/>
  <c r="I435" i="3"/>
  <c r="I436" i="3"/>
  <c r="N436" i="3" s="1"/>
  <c r="I437" i="3"/>
  <c r="N437" i="3" s="1"/>
  <c r="I438" i="3"/>
  <c r="I439" i="3"/>
  <c r="I440" i="3"/>
  <c r="N440" i="3" s="1"/>
  <c r="I441" i="3"/>
  <c r="N441" i="3" s="1"/>
  <c r="I442" i="3"/>
  <c r="I443" i="3"/>
  <c r="I444" i="3"/>
  <c r="I445" i="3"/>
  <c r="I446" i="3"/>
  <c r="N446" i="3" s="1"/>
  <c r="I447" i="3"/>
  <c r="I448" i="3"/>
  <c r="I449" i="3"/>
  <c r="I450" i="3"/>
  <c r="I451" i="3"/>
  <c r="I452" i="3"/>
  <c r="N452" i="3" s="1"/>
  <c r="I453" i="3"/>
  <c r="N453" i="3" s="1"/>
  <c r="I454" i="3"/>
  <c r="I455" i="3"/>
  <c r="I456" i="3"/>
  <c r="N456" i="3" s="1"/>
  <c r="I457" i="3"/>
  <c r="N457" i="3" s="1"/>
  <c r="I458" i="3"/>
  <c r="I459" i="3"/>
  <c r="I460" i="3"/>
  <c r="I461" i="3"/>
  <c r="I462" i="3"/>
  <c r="N462" i="3" s="1"/>
  <c r="I463" i="3"/>
  <c r="I464" i="3"/>
  <c r="I465" i="3"/>
  <c r="I466" i="3"/>
  <c r="I467" i="3"/>
  <c r="I468" i="3"/>
  <c r="N468" i="3" s="1"/>
  <c r="I469" i="3"/>
  <c r="N469" i="3" s="1"/>
  <c r="I470" i="3"/>
  <c r="I471" i="3"/>
  <c r="I472" i="3"/>
  <c r="N472" i="3" s="1"/>
  <c r="I473" i="3"/>
  <c r="N473" i="3" s="1"/>
  <c r="I474" i="3"/>
  <c r="I475" i="3"/>
  <c r="I476" i="3"/>
  <c r="I477" i="3"/>
  <c r="I478" i="3"/>
  <c r="N478" i="3" s="1"/>
  <c r="I479" i="3"/>
  <c r="I480" i="3"/>
  <c r="I481" i="3"/>
  <c r="I482" i="3"/>
  <c r="I483" i="3"/>
  <c r="I484" i="3"/>
  <c r="N484" i="3" s="1"/>
  <c r="I485" i="3"/>
  <c r="N485" i="3" s="1"/>
  <c r="I486" i="3"/>
  <c r="I487" i="3"/>
  <c r="I488" i="3"/>
  <c r="N488" i="3" s="1"/>
  <c r="I489" i="3"/>
  <c r="N489" i="3" s="1"/>
  <c r="I490" i="3"/>
  <c r="I491" i="3"/>
  <c r="I492" i="3"/>
  <c r="I493" i="3"/>
  <c r="I494" i="3"/>
  <c r="N494" i="3" s="1"/>
  <c r="I495" i="3"/>
  <c r="I496" i="3"/>
  <c r="I497" i="3"/>
  <c r="I498" i="3"/>
  <c r="I499" i="3"/>
  <c r="I500" i="3"/>
  <c r="N500" i="3" s="1"/>
  <c r="I501" i="3"/>
  <c r="N501" i="3" s="1"/>
  <c r="I502" i="3"/>
  <c r="I503" i="3"/>
  <c r="I504" i="3"/>
  <c r="N504" i="3" s="1"/>
  <c r="I505" i="3"/>
  <c r="N505" i="3" s="1"/>
  <c r="I506" i="3"/>
  <c r="I507" i="3"/>
  <c r="I508" i="3"/>
  <c r="I509" i="3"/>
  <c r="I510" i="3"/>
  <c r="N510" i="3" s="1"/>
  <c r="I511" i="3"/>
  <c r="I512" i="3"/>
  <c r="I513" i="3"/>
  <c r="I514" i="3"/>
  <c r="I515" i="3"/>
  <c r="I516" i="3"/>
  <c r="N516" i="3" s="1"/>
  <c r="I517" i="3"/>
  <c r="N517" i="3" s="1"/>
  <c r="I518" i="3"/>
  <c r="I519" i="3"/>
  <c r="I520" i="3"/>
  <c r="N520" i="3" s="1"/>
  <c r="I521" i="3"/>
  <c r="N521" i="3" s="1"/>
  <c r="I522" i="3"/>
  <c r="I523" i="3"/>
  <c r="I524" i="3"/>
  <c r="I525" i="3"/>
  <c r="I526" i="3"/>
  <c r="N526" i="3" s="1"/>
  <c r="I527" i="3"/>
  <c r="I528" i="3"/>
  <c r="I529" i="3"/>
  <c r="I530" i="3"/>
  <c r="I531" i="3"/>
  <c r="I532" i="3"/>
  <c r="N532" i="3" s="1"/>
  <c r="I533" i="3"/>
  <c r="N533" i="3" s="1"/>
  <c r="I534" i="3"/>
  <c r="I535" i="3"/>
  <c r="I536" i="3"/>
  <c r="N536" i="3" s="1"/>
  <c r="I537" i="3"/>
  <c r="N537" i="3" s="1"/>
  <c r="I538" i="3"/>
  <c r="I539" i="3"/>
  <c r="I540" i="3"/>
  <c r="I541" i="3"/>
  <c r="I542" i="3"/>
  <c r="N542" i="3" s="1"/>
  <c r="I543" i="3"/>
  <c r="I544" i="3"/>
  <c r="I545" i="3"/>
  <c r="I546" i="3"/>
  <c r="I547" i="3"/>
  <c r="I548" i="3"/>
  <c r="N548" i="3" s="1"/>
  <c r="I549" i="3"/>
  <c r="N549" i="3" s="1"/>
  <c r="I550" i="3"/>
  <c r="I551" i="3"/>
  <c r="I552" i="3"/>
  <c r="N552" i="3" s="1"/>
  <c r="I553" i="3"/>
  <c r="N553" i="3" s="1"/>
  <c r="I554" i="3"/>
  <c r="I555" i="3"/>
  <c r="I556" i="3"/>
  <c r="I557" i="3"/>
  <c r="I558" i="3"/>
  <c r="N558" i="3" s="1"/>
  <c r="I559" i="3"/>
  <c r="I560" i="3"/>
  <c r="I561" i="3"/>
  <c r="I562" i="3"/>
  <c r="I563" i="3"/>
  <c r="I564" i="3"/>
  <c r="N564" i="3" s="1"/>
  <c r="I565" i="3"/>
  <c r="N565" i="3" s="1"/>
  <c r="I566" i="3"/>
  <c r="I567" i="3"/>
  <c r="I568" i="3"/>
  <c r="N568" i="3" s="1"/>
  <c r="I569" i="3"/>
  <c r="N569" i="3" s="1"/>
  <c r="I570" i="3"/>
  <c r="I571" i="3"/>
  <c r="I572" i="3"/>
  <c r="I573" i="3"/>
  <c r="I574" i="3"/>
  <c r="N574" i="3" s="1"/>
  <c r="I575" i="3"/>
  <c r="I576" i="3"/>
  <c r="I577" i="3"/>
  <c r="I578" i="3"/>
  <c r="I579" i="3"/>
  <c r="I580" i="3"/>
  <c r="N580" i="3" s="1"/>
  <c r="I581" i="3"/>
  <c r="N581" i="3" s="1"/>
  <c r="I582" i="3"/>
  <c r="I583" i="3"/>
  <c r="I584" i="3"/>
  <c r="N584" i="3" s="1"/>
  <c r="I585" i="3"/>
  <c r="N585" i="3" s="1"/>
  <c r="I586" i="3"/>
  <c r="I587" i="3"/>
  <c r="I588" i="3"/>
  <c r="I589" i="3"/>
  <c r="I590" i="3"/>
  <c r="N590" i="3" s="1"/>
  <c r="I591" i="3"/>
  <c r="I592" i="3"/>
  <c r="I593" i="3"/>
  <c r="I594" i="3"/>
  <c r="I595" i="3"/>
  <c r="I596" i="3"/>
  <c r="N596" i="3" s="1"/>
  <c r="I597" i="3"/>
  <c r="N597" i="3" s="1"/>
  <c r="I598" i="3"/>
  <c r="I599" i="3"/>
  <c r="I600" i="3"/>
  <c r="N600" i="3" s="1"/>
  <c r="I601" i="3"/>
  <c r="N601" i="3" s="1"/>
  <c r="I602" i="3"/>
  <c r="I603" i="3"/>
  <c r="I604" i="3"/>
  <c r="I605" i="3"/>
  <c r="I606" i="3"/>
  <c r="N606" i="3" s="1"/>
  <c r="I607" i="3"/>
  <c r="I608" i="3"/>
  <c r="I609" i="3"/>
  <c r="I610" i="3"/>
  <c r="I611" i="3"/>
  <c r="I612" i="3"/>
  <c r="N612" i="3" s="1"/>
  <c r="I613" i="3"/>
  <c r="N613" i="3" s="1"/>
  <c r="I614" i="3"/>
  <c r="I615" i="3"/>
  <c r="I616" i="3"/>
  <c r="N616" i="3" s="1"/>
  <c r="I617" i="3"/>
  <c r="N617" i="3" s="1"/>
  <c r="I618" i="3"/>
  <c r="I619" i="3"/>
  <c r="I620" i="3"/>
  <c r="I621" i="3"/>
  <c r="I622" i="3"/>
  <c r="N622" i="3" s="1"/>
  <c r="I623" i="3"/>
  <c r="I624" i="3"/>
  <c r="I625" i="3"/>
  <c r="I626" i="3"/>
  <c r="I627" i="3"/>
  <c r="I628" i="3"/>
  <c r="N628" i="3" s="1"/>
  <c r="I629" i="3"/>
  <c r="N629" i="3" s="1"/>
  <c r="I630" i="3"/>
  <c r="I631" i="3"/>
  <c r="I632" i="3"/>
  <c r="N632" i="3" s="1"/>
  <c r="I633" i="3"/>
  <c r="N633" i="3" s="1"/>
  <c r="I634" i="3"/>
  <c r="I635" i="3"/>
  <c r="I636" i="3"/>
  <c r="I637" i="3"/>
  <c r="I638" i="3"/>
  <c r="N638" i="3" s="1"/>
  <c r="I639" i="3"/>
  <c r="I640" i="3"/>
  <c r="I641" i="3"/>
  <c r="I642" i="3"/>
  <c r="I643" i="3"/>
  <c r="I644" i="3"/>
  <c r="N644" i="3" s="1"/>
  <c r="I645" i="3"/>
  <c r="N645" i="3" s="1"/>
  <c r="I646" i="3"/>
  <c r="I647" i="3"/>
  <c r="I648" i="3"/>
  <c r="N648" i="3" s="1"/>
  <c r="I649" i="3"/>
  <c r="N649" i="3" s="1"/>
  <c r="I650" i="3"/>
  <c r="I651" i="3"/>
  <c r="I652" i="3"/>
  <c r="I653" i="3"/>
  <c r="I654" i="3"/>
  <c r="N654" i="3" s="1"/>
  <c r="I655" i="3"/>
  <c r="I656" i="3"/>
  <c r="I657" i="3"/>
  <c r="I658" i="3"/>
  <c r="I659" i="3"/>
  <c r="I660" i="3"/>
  <c r="N660" i="3" s="1"/>
  <c r="I661" i="3"/>
  <c r="N661" i="3" s="1"/>
  <c r="I662" i="3"/>
  <c r="I663" i="3"/>
  <c r="I664" i="3"/>
  <c r="N664" i="3" s="1"/>
  <c r="I665" i="3"/>
  <c r="N665" i="3" s="1"/>
  <c r="I666" i="3"/>
  <c r="I667" i="3"/>
  <c r="I668" i="3"/>
  <c r="I669" i="3"/>
  <c r="I670" i="3"/>
  <c r="N670" i="3" s="1"/>
  <c r="I671" i="3"/>
  <c r="I672" i="3"/>
  <c r="I673" i="3"/>
  <c r="I674" i="3"/>
  <c r="I675" i="3"/>
  <c r="I676" i="3"/>
  <c r="N676" i="3" s="1"/>
  <c r="I677" i="3"/>
  <c r="N677" i="3" s="1"/>
  <c r="I678" i="3"/>
  <c r="I679" i="3"/>
  <c r="I680" i="3"/>
  <c r="N680" i="3" s="1"/>
  <c r="I681" i="3"/>
  <c r="N681" i="3" s="1"/>
  <c r="I682" i="3"/>
  <c r="I683" i="3"/>
  <c r="I684" i="3"/>
  <c r="I685" i="3"/>
  <c r="I686" i="3"/>
  <c r="N686" i="3" s="1"/>
  <c r="I687" i="3"/>
  <c r="I688" i="3"/>
  <c r="I689" i="3"/>
  <c r="I690" i="3"/>
  <c r="I691" i="3"/>
  <c r="I692" i="3"/>
  <c r="N692" i="3" s="1"/>
  <c r="I693" i="3"/>
  <c r="N693" i="3" s="1"/>
  <c r="I694" i="3"/>
  <c r="I695" i="3"/>
  <c r="I696" i="3"/>
  <c r="N696" i="3" s="1"/>
  <c r="I697" i="3"/>
  <c r="N697" i="3" s="1"/>
  <c r="I698" i="3"/>
  <c r="I699" i="3"/>
  <c r="I700" i="3"/>
  <c r="I701" i="3"/>
  <c r="I702" i="3"/>
  <c r="N702" i="3" s="1"/>
  <c r="I703" i="3"/>
  <c r="I704" i="3"/>
  <c r="I705" i="3"/>
  <c r="I706" i="3"/>
  <c r="I707" i="3"/>
  <c r="I708" i="3"/>
  <c r="N708" i="3" s="1"/>
  <c r="I709" i="3"/>
  <c r="N709" i="3" s="1"/>
  <c r="I710" i="3"/>
  <c r="I711" i="3"/>
  <c r="I712" i="3"/>
  <c r="N712" i="3" s="1"/>
  <c r="I713" i="3"/>
  <c r="N713" i="3" s="1"/>
  <c r="I714" i="3"/>
  <c r="I715" i="3"/>
  <c r="I716" i="3"/>
  <c r="I717" i="3"/>
  <c r="I718" i="3"/>
  <c r="N718" i="3" s="1"/>
  <c r="I719" i="3"/>
  <c r="I720" i="3"/>
  <c r="I721" i="3"/>
  <c r="I722" i="3"/>
  <c r="I723" i="3"/>
  <c r="I724" i="3"/>
  <c r="N724" i="3" s="1"/>
  <c r="I725" i="3"/>
  <c r="N725" i="3" s="1"/>
  <c r="I726" i="3"/>
  <c r="I727" i="3"/>
  <c r="I728" i="3"/>
  <c r="N728" i="3" s="1"/>
  <c r="I729" i="3"/>
  <c r="N729" i="3" s="1"/>
  <c r="I730" i="3"/>
  <c r="I731" i="3"/>
  <c r="I732" i="3"/>
  <c r="I733" i="3"/>
  <c r="I734" i="3"/>
  <c r="N734" i="3" s="1"/>
  <c r="I735" i="3"/>
  <c r="I736" i="3"/>
  <c r="I737" i="3"/>
  <c r="I738" i="3"/>
  <c r="I739" i="3"/>
  <c r="I740" i="3"/>
  <c r="N740" i="3" s="1"/>
  <c r="I741" i="3"/>
  <c r="N741" i="3" s="1"/>
  <c r="I742" i="3"/>
  <c r="I743" i="3"/>
  <c r="I744" i="3"/>
  <c r="N744" i="3" s="1"/>
  <c r="I745" i="3"/>
  <c r="N745" i="3" s="1"/>
  <c r="I746" i="3"/>
  <c r="I747" i="3"/>
  <c r="I748" i="3"/>
  <c r="I749" i="3"/>
  <c r="I750" i="3"/>
  <c r="N750" i="3" s="1"/>
  <c r="I751" i="3"/>
  <c r="I752" i="3"/>
  <c r="I753" i="3"/>
  <c r="I754" i="3"/>
  <c r="I755" i="3"/>
  <c r="I756" i="3"/>
  <c r="N756" i="3" s="1"/>
  <c r="I757" i="3"/>
  <c r="N757" i="3" s="1"/>
  <c r="I758" i="3"/>
  <c r="I759" i="3"/>
  <c r="I760" i="3"/>
  <c r="N760" i="3" s="1"/>
  <c r="I761" i="3"/>
  <c r="N761" i="3" s="1"/>
  <c r="I762" i="3"/>
  <c r="I763" i="3"/>
  <c r="I764" i="3"/>
  <c r="I765" i="3"/>
  <c r="I766" i="3"/>
  <c r="N766" i="3" s="1"/>
  <c r="I767" i="3"/>
  <c r="I768" i="3"/>
  <c r="I769" i="3"/>
  <c r="I770" i="3"/>
  <c r="I771" i="3"/>
  <c r="I772" i="3"/>
  <c r="N772" i="3" s="1"/>
  <c r="I773" i="3"/>
  <c r="N773" i="3" s="1"/>
  <c r="I774" i="3"/>
  <c r="I775" i="3"/>
  <c r="I776" i="3"/>
  <c r="N776" i="3" s="1"/>
  <c r="I777" i="3"/>
  <c r="N777" i="3" s="1"/>
  <c r="I778" i="3"/>
  <c r="I779" i="3"/>
  <c r="I780" i="3"/>
  <c r="I781" i="3"/>
  <c r="I782" i="3"/>
  <c r="N782" i="3" s="1"/>
  <c r="I783" i="3"/>
  <c r="I784" i="3"/>
  <c r="I785" i="3"/>
  <c r="I786" i="3"/>
  <c r="I787" i="3"/>
  <c r="I788" i="3"/>
  <c r="N788" i="3" s="1"/>
  <c r="I789" i="3"/>
  <c r="N789" i="3" s="1"/>
  <c r="I790" i="3"/>
  <c r="I791" i="3"/>
  <c r="I792" i="3"/>
  <c r="N792" i="3" s="1"/>
  <c r="I793" i="3"/>
  <c r="N793" i="3" s="1"/>
  <c r="I794" i="3"/>
  <c r="I795" i="3"/>
  <c r="I796" i="3"/>
  <c r="I797" i="3"/>
  <c r="I798" i="3"/>
  <c r="N798" i="3" s="1"/>
  <c r="I799" i="3"/>
  <c r="I800" i="3"/>
  <c r="I801" i="3"/>
  <c r="I802" i="3"/>
  <c r="I803" i="3"/>
  <c r="I804" i="3"/>
  <c r="N804" i="3" s="1"/>
  <c r="I805" i="3"/>
  <c r="N805" i="3" s="1"/>
  <c r="I806" i="3"/>
  <c r="I807" i="3"/>
  <c r="I808" i="3"/>
  <c r="N808" i="3" s="1"/>
  <c r="I809" i="3"/>
  <c r="N809" i="3" s="1"/>
  <c r="I810" i="3"/>
  <c r="I811" i="3"/>
  <c r="I812" i="3"/>
  <c r="I813" i="3"/>
  <c r="I814" i="3"/>
  <c r="N814" i="3" s="1"/>
  <c r="I815" i="3"/>
  <c r="I816" i="3"/>
  <c r="I817" i="3"/>
  <c r="I818" i="3"/>
  <c r="I819" i="3"/>
  <c r="I820" i="3"/>
  <c r="N820" i="3" s="1"/>
  <c r="I821" i="3"/>
  <c r="N821" i="3" s="1"/>
  <c r="I822" i="3"/>
  <c r="I823" i="3"/>
  <c r="I824" i="3"/>
  <c r="N824" i="3" s="1"/>
  <c r="I825" i="3"/>
  <c r="N825" i="3" s="1"/>
  <c r="I826" i="3"/>
  <c r="I827" i="3"/>
  <c r="I828" i="3"/>
  <c r="I829" i="3"/>
  <c r="I830" i="3"/>
  <c r="N830" i="3" s="1"/>
  <c r="I831" i="3"/>
  <c r="I832" i="3"/>
  <c r="I833" i="3"/>
  <c r="I834" i="3"/>
  <c r="I835" i="3"/>
  <c r="I836" i="3"/>
  <c r="N836" i="3" s="1"/>
  <c r="I837" i="3"/>
  <c r="N837" i="3" s="1"/>
  <c r="I838" i="3"/>
  <c r="I839" i="3"/>
  <c r="I840" i="3"/>
  <c r="N840" i="3" s="1"/>
  <c r="I841" i="3"/>
  <c r="N841" i="3" s="1"/>
  <c r="I842" i="3"/>
  <c r="I843" i="3"/>
  <c r="I844" i="3"/>
  <c r="I845" i="3"/>
  <c r="I846" i="3"/>
  <c r="N846" i="3" s="1"/>
  <c r="I847" i="3"/>
  <c r="I848" i="3"/>
  <c r="I849" i="3"/>
  <c r="I850" i="3"/>
  <c r="I851" i="3"/>
  <c r="I852" i="3"/>
  <c r="N852" i="3" s="1"/>
  <c r="I853" i="3"/>
  <c r="N853" i="3" s="1"/>
  <c r="I854" i="3"/>
  <c r="I855" i="3"/>
  <c r="I856" i="3"/>
  <c r="N856" i="3" s="1"/>
  <c r="I857" i="3"/>
  <c r="N857" i="3" s="1"/>
  <c r="I858" i="3"/>
  <c r="I859" i="3"/>
  <c r="I860" i="3"/>
  <c r="I861" i="3"/>
  <c r="I862" i="3"/>
  <c r="N862" i="3" s="1"/>
  <c r="I863" i="3"/>
  <c r="I864" i="3"/>
  <c r="I865" i="3"/>
  <c r="I866" i="3"/>
  <c r="I867" i="3"/>
  <c r="I868" i="3"/>
  <c r="N868" i="3" s="1"/>
  <c r="I869" i="3"/>
  <c r="N869" i="3" s="1"/>
  <c r="I870" i="3"/>
  <c r="I871" i="3"/>
  <c r="I872" i="3"/>
  <c r="N872" i="3" s="1"/>
  <c r="I873" i="3"/>
  <c r="N873" i="3" s="1"/>
  <c r="I874" i="3"/>
  <c r="I875" i="3"/>
  <c r="I876" i="3"/>
  <c r="I877" i="3"/>
  <c r="I878" i="3"/>
  <c r="N878" i="3" s="1"/>
  <c r="I879" i="3"/>
  <c r="I880" i="3"/>
  <c r="I881" i="3"/>
  <c r="I882" i="3"/>
  <c r="I883" i="3"/>
  <c r="I884" i="3"/>
  <c r="N884" i="3" s="1"/>
  <c r="I885" i="3"/>
  <c r="N885" i="3" s="1"/>
  <c r="I886" i="3"/>
  <c r="I887" i="3"/>
  <c r="I888" i="3"/>
  <c r="N888" i="3" s="1"/>
  <c r="I889" i="3"/>
  <c r="N889" i="3" s="1"/>
  <c r="I890" i="3"/>
  <c r="I891" i="3"/>
  <c r="I892" i="3"/>
  <c r="I893" i="3"/>
  <c r="I894" i="3"/>
  <c r="N894" i="3" s="1"/>
  <c r="I895" i="3"/>
  <c r="I896" i="3"/>
  <c r="I897" i="3"/>
  <c r="I898" i="3"/>
  <c r="I899" i="3"/>
  <c r="I900" i="3"/>
  <c r="N900" i="3" s="1"/>
  <c r="I901" i="3"/>
  <c r="N901" i="3" s="1"/>
  <c r="I902" i="3"/>
  <c r="I903" i="3"/>
  <c r="I904" i="3"/>
  <c r="N904" i="3" s="1"/>
  <c r="I905" i="3"/>
  <c r="N905" i="3" s="1"/>
  <c r="I906" i="3"/>
  <c r="I907" i="3"/>
  <c r="I908" i="3"/>
  <c r="I909" i="3"/>
  <c r="I910" i="3"/>
  <c r="N910" i="3" s="1"/>
  <c r="I911" i="3"/>
  <c r="I912" i="3"/>
  <c r="I913" i="3"/>
  <c r="I914" i="3"/>
  <c r="I915" i="3"/>
  <c r="I916" i="3"/>
  <c r="N916" i="3" s="1"/>
  <c r="I917" i="3"/>
  <c r="N917" i="3" s="1"/>
  <c r="I918" i="3"/>
  <c r="I919" i="3"/>
  <c r="I920" i="3"/>
  <c r="N920" i="3" s="1"/>
  <c r="I921" i="3"/>
  <c r="N921" i="3" s="1"/>
  <c r="I922" i="3"/>
  <c r="I923" i="3"/>
  <c r="I924" i="3"/>
  <c r="I925" i="3"/>
  <c r="I926" i="3"/>
  <c r="N926" i="3" s="1"/>
  <c r="I927" i="3"/>
  <c r="I928" i="3"/>
  <c r="I929" i="3"/>
  <c r="I930" i="3"/>
  <c r="I931" i="3"/>
  <c r="I932" i="3"/>
  <c r="N932" i="3" s="1"/>
  <c r="I933" i="3"/>
  <c r="N933" i="3" s="1"/>
  <c r="I934" i="3"/>
  <c r="I935" i="3"/>
  <c r="I936" i="3"/>
  <c r="N936" i="3" s="1"/>
  <c r="I937" i="3"/>
  <c r="N937" i="3" s="1"/>
  <c r="I938" i="3"/>
  <c r="I939" i="3"/>
  <c r="I940" i="3"/>
  <c r="I941" i="3"/>
  <c r="I942" i="3"/>
  <c r="N942" i="3" s="1"/>
  <c r="I943" i="3"/>
  <c r="I944" i="3"/>
  <c r="I945" i="3"/>
  <c r="I946" i="3"/>
  <c r="I947" i="3"/>
  <c r="I948" i="3"/>
  <c r="N948" i="3" s="1"/>
  <c r="I949" i="3"/>
  <c r="N949" i="3" s="1"/>
  <c r="I950" i="3"/>
  <c r="I951" i="3"/>
  <c r="I952" i="3"/>
  <c r="N952" i="3" s="1"/>
  <c r="I953" i="3"/>
  <c r="N953" i="3" s="1"/>
  <c r="I954" i="3"/>
  <c r="I955" i="3"/>
  <c r="I956" i="3"/>
  <c r="I957" i="3"/>
  <c r="I958" i="3"/>
  <c r="N958" i="3" s="1"/>
  <c r="I959" i="3"/>
  <c r="I960" i="3"/>
  <c r="I961" i="3"/>
  <c r="I962" i="3"/>
  <c r="I963" i="3"/>
  <c r="I964" i="3"/>
  <c r="N964" i="3" s="1"/>
  <c r="I965" i="3"/>
  <c r="N965" i="3" s="1"/>
  <c r="I966" i="3"/>
  <c r="I967" i="3"/>
  <c r="I968" i="3"/>
  <c r="N968" i="3" s="1"/>
  <c r="I969" i="3"/>
  <c r="N969" i="3" s="1"/>
  <c r="I970" i="3"/>
  <c r="I971" i="3"/>
  <c r="I972" i="3"/>
  <c r="I973" i="3"/>
  <c r="I974" i="3"/>
  <c r="N974" i="3" s="1"/>
  <c r="I975" i="3"/>
  <c r="I976" i="3"/>
  <c r="I977" i="3"/>
  <c r="I978" i="3"/>
  <c r="I979" i="3"/>
  <c r="I980" i="3"/>
  <c r="N980" i="3" s="1"/>
  <c r="I981" i="3"/>
  <c r="N981" i="3" s="1"/>
  <c r="I982" i="3"/>
  <c r="I983" i="3"/>
  <c r="I984" i="3"/>
  <c r="N984" i="3" s="1"/>
  <c r="I985" i="3"/>
  <c r="N985" i="3" s="1"/>
  <c r="I986" i="3"/>
  <c r="I987" i="3"/>
  <c r="I988" i="3"/>
  <c r="I989" i="3"/>
  <c r="I990" i="3"/>
  <c r="N990" i="3" s="1"/>
  <c r="I991" i="3"/>
  <c r="I992" i="3"/>
  <c r="I993" i="3"/>
  <c r="I994" i="3"/>
  <c r="I995" i="3"/>
  <c r="I996" i="3"/>
  <c r="N996" i="3" s="1"/>
  <c r="I997" i="3"/>
  <c r="N997" i="3" s="1"/>
  <c r="I998" i="3"/>
  <c r="I999" i="3"/>
  <c r="I1000" i="3"/>
  <c r="N1000" i="3" s="1"/>
  <c r="I1001" i="3"/>
  <c r="N1001" i="3" s="1"/>
  <c r="I1002" i="3"/>
  <c r="I1003" i="3"/>
  <c r="I1004" i="3"/>
  <c r="I1005" i="3"/>
  <c r="N1005" i="3" s="1"/>
  <c r="I1006" i="3"/>
  <c r="N1006" i="3" s="1"/>
  <c r="I1007" i="3"/>
  <c r="I1008" i="3"/>
  <c r="I1009" i="3"/>
  <c r="I1010" i="3"/>
  <c r="I1011" i="3"/>
  <c r="I1012" i="3"/>
  <c r="N1012" i="3" s="1"/>
  <c r="I1013" i="3"/>
  <c r="N1013" i="3" s="1"/>
  <c r="I1014" i="3"/>
  <c r="I1015" i="3"/>
  <c r="I1016" i="3"/>
  <c r="N1016" i="3" s="1"/>
  <c r="I1017" i="3"/>
  <c r="N1017" i="3" s="1"/>
  <c r="I1018" i="3"/>
  <c r="I1019" i="3"/>
  <c r="I1020" i="3"/>
  <c r="I1021" i="3"/>
  <c r="N1021" i="3" s="1"/>
  <c r="I1022" i="3"/>
  <c r="N1022" i="3" s="1"/>
  <c r="I1023" i="3"/>
  <c r="I1024" i="3"/>
  <c r="I1025" i="3"/>
  <c r="I1026" i="3"/>
  <c r="I1027" i="3"/>
  <c r="I1028" i="3"/>
  <c r="N1028" i="3" s="1"/>
  <c r="I1029" i="3"/>
  <c r="N1029" i="3" s="1"/>
  <c r="I1030" i="3"/>
  <c r="I1031" i="3"/>
  <c r="I1032" i="3"/>
  <c r="N1032" i="3" s="1"/>
  <c r="I1033" i="3"/>
  <c r="N1033" i="3" s="1"/>
  <c r="I1034" i="3"/>
  <c r="I1035" i="3"/>
  <c r="I1036" i="3"/>
  <c r="I1037" i="3"/>
  <c r="N1037" i="3" s="1"/>
  <c r="I1038" i="3"/>
  <c r="N1038" i="3" s="1"/>
  <c r="I1039" i="3"/>
  <c r="I1040" i="3"/>
  <c r="I1041" i="3"/>
  <c r="I1042" i="3"/>
  <c r="I1043" i="3"/>
  <c r="I1044" i="3"/>
  <c r="N1044" i="3" s="1"/>
  <c r="I1045" i="3"/>
  <c r="N1045" i="3" s="1"/>
  <c r="I1046" i="3"/>
  <c r="I1047" i="3"/>
  <c r="I1048" i="3"/>
  <c r="N1048" i="3" s="1"/>
  <c r="I1049" i="3"/>
  <c r="N1049" i="3" s="1"/>
  <c r="I1050" i="3"/>
  <c r="I1051" i="3"/>
  <c r="I1052" i="3"/>
  <c r="I1053" i="3"/>
  <c r="N1053" i="3" s="1"/>
  <c r="I1054" i="3"/>
  <c r="N1054" i="3" s="1"/>
  <c r="I1055" i="3"/>
  <c r="I1056" i="3"/>
  <c r="I1057" i="3"/>
  <c r="I1058" i="3"/>
  <c r="I1059" i="3"/>
  <c r="I1060" i="3"/>
  <c r="N1060" i="3" s="1"/>
  <c r="I1061" i="3"/>
  <c r="N1061" i="3" s="1"/>
  <c r="I1062" i="3"/>
  <c r="I1063" i="3"/>
  <c r="I1064" i="3"/>
  <c r="N1064" i="3" s="1"/>
  <c r="I1065" i="3"/>
  <c r="N1065" i="3" s="1"/>
  <c r="I1066" i="3"/>
  <c r="I1067" i="3"/>
  <c r="I1068" i="3"/>
  <c r="I1069" i="3"/>
  <c r="N1069" i="3" s="1"/>
  <c r="I1070" i="3"/>
  <c r="N1070" i="3" s="1"/>
  <c r="I1071" i="3"/>
  <c r="I1072" i="3"/>
  <c r="I1073" i="3"/>
  <c r="I1074" i="3"/>
  <c r="I1075" i="3"/>
  <c r="I1076" i="3"/>
  <c r="N1076" i="3" s="1"/>
  <c r="I1077" i="3"/>
  <c r="N1077" i="3" s="1"/>
  <c r="I1078" i="3"/>
  <c r="I1079" i="3"/>
  <c r="I1080" i="3"/>
  <c r="N1080" i="3" s="1"/>
  <c r="I1081" i="3"/>
  <c r="N1081" i="3" s="1"/>
  <c r="I1082" i="3"/>
  <c r="I1083" i="3"/>
  <c r="I1084" i="3"/>
  <c r="I1085" i="3"/>
  <c r="N1085" i="3" s="1"/>
  <c r="I1086" i="3"/>
  <c r="N1086" i="3" s="1"/>
  <c r="I1087" i="3"/>
  <c r="I1088" i="3"/>
  <c r="I1089" i="3"/>
  <c r="I1090" i="3"/>
  <c r="I1091" i="3"/>
  <c r="I1092" i="3"/>
  <c r="N1092" i="3" s="1"/>
  <c r="I1093" i="3"/>
  <c r="N1093" i="3" s="1"/>
  <c r="I1094" i="3"/>
  <c r="I1095" i="3"/>
  <c r="I1096" i="3"/>
  <c r="N1096" i="3" s="1"/>
  <c r="I1097" i="3"/>
  <c r="N1097" i="3" s="1"/>
  <c r="I1098" i="3"/>
  <c r="I1099" i="3"/>
  <c r="I1100" i="3"/>
  <c r="I1101" i="3"/>
  <c r="N1101" i="3" s="1"/>
  <c r="I1102" i="3"/>
  <c r="N1102" i="3" s="1"/>
  <c r="I1103" i="3"/>
  <c r="I1104" i="3"/>
  <c r="I1105" i="3"/>
  <c r="I1106" i="3"/>
  <c r="I1107" i="3"/>
  <c r="I1108" i="3"/>
  <c r="N1108" i="3" s="1"/>
  <c r="I1109" i="3"/>
  <c r="N1109" i="3" s="1"/>
  <c r="I1110" i="3"/>
  <c r="I1111" i="3"/>
  <c r="I1112" i="3"/>
  <c r="N1112" i="3" s="1"/>
  <c r="I1113" i="3"/>
  <c r="N1113" i="3" s="1"/>
  <c r="I1114" i="3"/>
  <c r="I1115" i="3"/>
  <c r="I1116" i="3"/>
  <c r="I1117" i="3"/>
  <c r="N1117" i="3" s="1"/>
  <c r="I1118" i="3"/>
  <c r="N1118" i="3" s="1"/>
  <c r="I1119" i="3"/>
  <c r="I1120" i="3"/>
  <c r="I1121" i="3"/>
  <c r="I1122" i="3"/>
  <c r="I1123" i="3"/>
  <c r="I1124" i="3"/>
  <c r="N1124" i="3" s="1"/>
  <c r="I1125" i="3"/>
  <c r="N1125" i="3" s="1"/>
  <c r="I1126" i="3"/>
  <c r="I1127" i="3"/>
  <c r="I1128" i="3"/>
  <c r="N1128" i="3" s="1"/>
  <c r="I1129" i="3"/>
  <c r="N1129" i="3" s="1"/>
  <c r="I1130" i="3"/>
  <c r="I1131" i="3"/>
  <c r="I1132" i="3"/>
  <c r="I1133" i="3"/>
  <c r="N1133" i="3" s="1"/>
  <c r="I1134" i="3"/>
  <c r="N1134" i="3" s="1"/>
  <c r="I1135" i="3"/>
  <c r="I1136" i="3"/>
  <c r="I1137" i="3"/>
  <c r="I1138" i="3"/>
  <c r="I1139" i="3"/>
  <c r="I1140" i="3"/>
  <c r="N1140" i="3" s="1"/>
  <c r="I1141" i="3"/>
  <c r="N1141" i="3" s="1"/>
  <c r="I1142" i="3"/>
  <c r="I1143" i="3"/>
  <c r="I1144" i="3"/>
  <c r="N1144" i="3" s="1"/>
  <c r="I1145" i="3"/>
  <c r="N1145" i="3" s="1"/>
  <c r="I1146" i="3"/>
  <c r="I1147" i="3"/>
  <c r="I1148" i="3"/>
  <c r="I1149" i="3"/>
  <c r="N1149" i="3" s="1"/>
  <c r="I1150" i="3"/>
  <c r="N1150" i="3" s="1"/>
  <c r="I1151" i="3"/>
  <c r="I1152" i="3"/>
  <c r="I1153" i="3"/>
  <c r="I1154" i="3"/>
  <c r="I1155" i="3"/>
  <c r="I1156" i="3"/>
  <c r="N1156" i="3" s="1"/>
  <c r="I1157" i="3"/>
  <c r="N1157" i="3" s="1"/>
  <c r="I1158" i="3"/>
  <c r="I1159" i="3"/>
  <c r="I1160" i="3"/>
  <c r="N1160" i="3" s="1"/>
  <c r="I1161" i="3"/>
  <c r="N1161" i="3" s="1"/>
  <c r="I1162" i="3"/>
  <c r="I1163" i="3"/>
  <c r="I1164" i="3"/>
  <c r="I1165" i="3"/>
  <c r="N1165" i="3" s="1"/>
  <c r="I1166" i="3"/>
  <c r="N1166" i="3" s="1"/>
  <c r="I1167" i="3"/>
  <c r="I1168" i="3"/>
  <c r="I1169" i="3"/>
  <c r="I1170" i="3"/>
  <c r="I1171" i="3"/>
  <c r="I1172" i="3"/>
  <c r="N1172" i="3" s="1"/>
  <c r="I1173" i="3"/>
  <c r="N1173" i="3" s="1"/>
  <c r="I1174" i="3"/>
  <c r="I1175" i="3"/>
  <c r="I1176" i="3"/>
  <c r="N1176" i="3" s="1"/>
  <c r="I1177" i="3"/>
  <c r="N1177" i="3" s="1"/>
  <c r="I1178" i="3"/>
  <c r="I1179" i="3"/>
  <c r="I1180" i="3"/>
  <c r="I1181" i="3"/>
  <c r="N1181" i="3" s="1"/>
  <c r="I1182" i="3"/>
  <c r="N1182" i="3" s="1"/>
  <c r="I1183" i="3"/>
  <c r="I1184" i="3"/>
  <c r="I1185" i="3"/>
  <c r="I1186" i="3"/>
  <c r="I1187" i="3"/>
  <c r="I1188" i="3"/>
  <c r="N1188" i="3" s="1"/>
  <c r="I1189" i="3"/>
  <c r="N1189" i="3" s="1"/>
  <c r="I1190" i="3"/>
  <c r="I1191" i="3"/>
  <c r="I1192" i="3"/>
  <c r="N1192" i="3" s="1"/>
  <c r="I1193" i="3"/>
  <c r="N1193" i="3" s="1"/>
  <c r="I1194" i="3"/>
  <c r="I1195" i="3"/>
  <c r="I1196" i="3"/>
  <c r="I1197" i="3"/>
  <c r="N1197" i="3" s="1"/>
  <c r="I1198" i="3"/>
  <c r="N1198" i="3" s="1"/>
  <c r="I1199" i="3"/>
  <c r="I1200" i="3"/>
  <c r="I1201" i="3"/>
  <c r="I1202" i="3"/>
  <c r="I1203" i="3"/>
  <c r="I1204" i="3"/>
  <c r="N1204" i="3" s="1"/>
  <c r="I1205" i="3"/>
  <c r="N1205" i="3" s="1"/>
  <c r="I1206" i="3"/>
  <c r="I1207" i="3"/>
  <c r="I1208" i="3"/>
  <c r="N1208" i="3" s="1"/>
  <c r="I1209" i="3"/>
  <c r="N1209" i="3" s="1"/>
  <c r="I1210" i="3"/>
  <c r="I1211" i="3"/>
  <c r="I1212" i="3"/>
  <c r="I1213" i="3"/>
  <c r="N1213" i="3" s="1"/>
  <c r="I1214" i="3"/>
  <c r="N1214" i="3" s="1"/>
  <c r="I1215" i="3"/>
  <c r="I1216" i="3"/>
  <c r="I1217" i="3"/>
  <c r="I1218" i="3"/>
  <c r="I1219" i="3"/>
  <c r="I1220" i="3"/>
  <c r="N1220" i="3" s="1"/>
  <c r="I1221" i="3"/>
  <c r="N1221" i="3" s="1"/>
  <c r="I1222" i="3"/>
  <c r="I1223" i="3"/>
  <c r="I1224" i="3"/>
  <c r="N1224" i="3" s="1"/>
  <c r="I1225" i="3"/>
  <c r="N1225" i="3" s="1"/>
  <c r="I1226" i="3"/>
  <c r="I1227" i="3"/>
  <c r="I1228" i="3"/>
  <c r="I1229" i="3"/>
  <c r="N1229" i="3" s="1"/>
  <c r="I1230" i="3"/>
  <c r="N1230" i="3" s="1"/>
  <c r="I1231" i="3"/>
  <c r="I1232" i="3"/>
  <c r="I1233" i="3"/>
  <c r="I1234" i="3"/>
  <c r="I1235" i="3"/>
  <c r="I1236" i="3"/>
  <c r="N1236" i="3" s="1"/>
  <c r="I1237" i="3"/>
  <c r="N1237" i="3" s="1"/>
  <c r="I1238" i="3"/>
  <c r="I1239" i="3"/>
  <c r="I1240" i="3"/>
  <c r="N1240" i="3" s="1"/>
  <c r="I1241" i="3"/>
  <c r="N1241" i="3" s="1"/>
  <c r="I1242" i="3"/>
  <c r="I1243" i="3"/>
  <c r="I1244" i="3"/>
  <c r="I1245" i="3"/>
  <c r="N1245" i="3" s="1"/>
  <c r="I1246" i="3"/>
  <c r="N1246" i="3" s="1"/>
  <c r="I1247" i="3"/>
  <c r="I1248" i="3"/>
  <c r="I1249" i="3"/>
  <c r="I1250" i="3"/>
  <c r="I1251" i="3"/>
  <c r="I1252" i="3"/>
  <c r="N1252" i="3" s="1"/>
  <c r="I1253" i="3"/>
  <c r="N1253" i="3" s="1"/>
  <c r="I1254" i="3"/>
  <c r="I1255" i="3"/>
  <c r="I1256" i="3"/>
  <c r="N1256" i="3" s="1"/>
  <c r="I1257" i="3"/>
  <c r="N1257" i="3" s="1"/>
  <c r="I1258" i="3"/>
  <c r="I1259" i="3"/>
  <c r="I1260" i="3"/>
  <c r="I1261" i="3"/>
  <c r="N1261" i="3" s="1"/>
  <c r="I1262" i="3"/>
  <c r="N1262" i="3" s="1"/>
  <c r="I1263" i="3"/>
  <c r="I1264" i="3"/>
  <c r="I1265" i="3"/>
  <c r="I1266" i="3"/>
  <c r="I1267" i="3"/>
  <c r="I1268" i="3"/>
  <c r="N1268" i="3" s="1"/>
  <c r="I1269" i="3"/>
  <c r="N1269" i="3" s="1"/>
  <c r="I1270" i="3"/>
  <c r="I1271" i="3"/>
  <c r="I1272" i="3"/>
  <c r="N1272" i="3" s="1"/>
  <c r="I1273" i="3"/>
  <c r="N1273" i="3" s="1"/>
  <c r="I1274" i="3"/>
  <c r="I1275" i="3"/>
  <c r="I1276" i="3"/>
  <c r="I1277" i="3"/>
  <c r="N1277" i="3" s="1"/>
  <c r="I1278" i="3"/>
  <c r="N1278" i="3" s="1"/>
  <c r="I1279" i="3"/>
  <c r="I1280" i="3"/>
  <c r="I1281" i="3"/>
  <c r="I1282" i="3"/>
  <c r="I1283" i="3"/>
  <c r="I1284" i="3"/>
  <c r="N1284" i="3" s="1"/>
  <c r="I1285" i="3"/>
  <c r="N1285" i="3" s="1"/>
  <c r="I1286" i="3"/>
  <c r="I1287" i="3"/>
  <c r="I1288" i="3"/>
  <c r="N1288" i="3" s="1"/>
  <c r="I1289" i="3"/>
  <c r="N1289" i="3" s="1"/>
  <c r="I1290" i="3"/>
  <c r="I1291" i="3"/>
  <c r="I1292" i="3"/>
  <c r="I1293" i="3"/>
  <c r="N1293" i="3" s="1"/>
  <c r="I1294" i="3"/>
  <c r="N1294" i="3" s="1"/>
  <c r="I1295" i="3"/>
  <c r="I1296" i="3"/>
  <c r="I1297" i="3"/>
  <c r="I1298" i="3"/>
  <c r="I1299" i="3"/>
  <c r="I1300" i="3"/>
  <c r="N1300" i="3" s="1"/>
  <c r="I1301" i="3"/>
  <c r="N1301" i="3" s="1"/>
  <c r="I1302" i="3"/>
  <c r="I1303" i="3"/>
  <c r="I1304" i="3"/>
  <c r="N1304" i="3" s="1"/>
  <c r="I1305" i="3"/>
  <c r="N1305" i="3" s="1"/>
  <c r="I1306" i="3"/>
  <c r="I1307" i="3"/>
  <c r="I1308" i="3"/>
  <c r="I1309" i="3"/>
  <c r="N1309" i="3" s="1"/>
  <c r="I1310" i="3"/>
  <c r="N1310" i="3" s="1"/>
  <c r="I1311" i="3"/>
  <c r="I1312" i="3"/>
  <c r="I1313" i="3"/>
  <c r="I1314" i="3"/>
  <c r="I1315" i="3"/>
  <c r="I1316" i="3"/>
  <c r="N1316" i="3" s="1"/>
  <c r="I1317" i="3"/>
  <c r="N1317" i="3" s="1"/>
  <c r="I1318" i="3"/>
  <c r="I1319" i="3"/>
  <c r="I1320" i="3"/>
  <c r="N1320" i="3" s="1"/>
  <c r="I1321" i="3"/>
  <c r="N1321" i="3" s="1"/>
  <c r="I1322" i="3"/>
  <c r="N1322" i="3" s="1"/>
  <c r="I1323" i="3"/>
  <c r="I1324" i="3"/>
  <c r="I1325" i="3"/>
  <c r="N1325" i="3" s="1"/>
  <c r="I1326" i="3"/>
  <c r="N1326" i="3" s="1"/>
  <c r="I1327" i="3"/>
  <c r="I1328" i="3"/>
  <c r="I1329" i="3"/>
  <c r="I1330" i="3"/>
  <c r="I1331" i="3"/>
  <c r="I1332" i="3"/>
  <c r="N1332" i="3" s="1"/>
  <c r="I1333" i="3"/>
  <c r="N1333" i="3" s="1"/>
  <c r="I1334" i="3"/>
  <c r="I1335" i="3"/>
  <c r="I1336" i="3"/>
  <c r="N1336" i="3" s="1"/>
  <c r="I1337" i="3"/>
  <c r="N1337" i="3" s="1"/>
  <c r="I1338" i="3"/>
  <c r="N1338" i="3" s="1"/>
  <c r="I1339" i="3"/>
  <c r="I1340" i="3"/>
  <c r="I1341" i="3"/>
  <c r="N1341" i="3" s="1"/>
  <c r="I1342" i="3"/>
  <c r="N1342" i="3" s="1"/>
  <c r="I1343" i="3"/>
  <c r="I1344" i="3"/>
  <c r="I1345" i="3"/>
  <c r="I1346" i="3"/>
  <c r="I1347" i="3"/>
  <c r="I1348" i="3"/>
  <c r="N1348" i="3" s="1"/>
  <c r="I1349" i="3"/>
  <c r="N1349" i="3" s="1"/>
  <c r="I1350" i="3"/>
  <c r="I1351" i="3"/>
  <c r="I1352" i="3"/>
  <c r="N1352" i="3" s="1"/>
  <c r="I1353" i="3"/>
  <c r="N1353" i="3" s="1"/>
  <c r="I1354" i="3"/>
  <c r="N1354" i="3" s="1"/>
  <c r="I1355" i="3"/>
  <c r="I1356" i="3"/>
  <c r="I1357" i="3"/>
  <c r="N1357" i="3" s="1"/>
  <c r="I1358" i="3"/>
  <c r="N1358" i="3" s="1"/>
  <c r="I1359" i="3"/>
  <c r="I1360" i="3"/>
  <c r="I1361" i="3"/>
  <c r="I1362" i="3"/>
  <c r="I1363" i="3"/>
  <c r="I1364" i="3"/>
  <c r="N1364" i="3" s="1"/>
  <c r="I1365" i="3"/>
  <c r="N1365" i="3" s="1"/>
  <c r="I1366" i="3"/>
  <c r="I1367" i="3"/>
  <c r="I1368" i="3"/>
  <c r="N1368" i="3" s="1"/>
  <c r="I1369" i="3"/>
  <c r="N1369" i="3" s="1"/>
  <c r="I1370" i="3"/>
  <c r="N1370" i="3" s="1"/>
  <c r="I1371" i="3"/>
  <c r="I1372" i="3"/>
  <c r="I1373" i="3"/>
  <c r="N1373" i="3" s="1"/>
  <c r="I1374" i="3"/>
  <c r="N1374" i="3" s="1"/>
  <c r="I1375" i="3"/>
  <c r="I1376" i="3"/>
  <c r="I1377" i="3"/>
  <c r="I1378" i="3"/>
  <c r="I1379" i="3"/>
  <c r="I1380" i="3"/>
  <c r="N1380" i="3" s="1"/>
  <c r="I1381" i="3"/>
  <c r="N1381" i="3" s="1"/>
  <c r="I1382" i="3"/>
  <c r="I1383" i="3"/>
  <c r="I1384" i="3"/>
  <c r="N1384" i="3" s="1"/>
  <c r="I1385" i="3"/>
  <c r="N1385" i="3" s="1"/>
  <c r="I1386" i="3"/>
  <c r="N1386" i="3" s="1"/>
  <c r="I1387" i="3"/>
  <c r="I1388" i="3"/>
  <c r="I1389" i="3"/>
  <c r="N1389" i="3" s="1"/>
  <c r="I1390" i="3"/>
  <c r="N1390" i="3" s="1"/>
  <c r="I1391" i="3"/>
  <c r="I1392" i="3"/>
  <c r="I1393" i="3"/>
  <c r="I1394" i="3"/>
  <c r="I1395" i="3"/>
  <c r="I1396" i="3"/>
  <c r="N1396" i="3" s="1"/>
  <c r="I1397" i="3"/>
  <c r="N1397" i="3" s="1"/>
  <c r="I1398" i="3"/>
  <c r="I1399" i="3"/>
  <c r="I1400" i="3"/>
  <c r="N1400" i="3" s="1"/>
  <c r="I1401" i="3"/>
  <c r="N1401" i="3" s="1"/>
  <c r="I1402" i="3"/>
  <c r="N1402" i="3" s="1"/>
  <c r="I1403" i="3"/>
  <c r="I1404" i="3"/>
  <c r="I1405" i="3"/>
  <c r="N1405" i="3" s="1"/>
  <c r="I1406" i="3"/>
  <c r="N1406" i="3" s="1"/>
  <c r="I1407" i="3"/>
  <c r="I1408" i="3"/>
  <c r="I1409" i="3"/>
  <c r="I1410" i="3"/>
  <c r="I1411" i="3"/>
  <c r="I1412" i="3"/>
  <c r="N1412" i="3" s="1"/>
  <c r="I1413" i="3"/>
  <c r="N1413" i="3" s="1"/>
  <c r="I1414" i="3"/>
  <c r="I1415" i="3"/>
  <c r="I1416" i="3"/>
  <c r="N1416" i="3" s="1"/>
  <c r="I1417" i="3"/>
  <c r="N1417" i="3" s="1"/>
  <c r="I1418" i="3"/>
  <c r="N1418" i="3" s="1"/>
  <c r="I1419" i="3"/>
  <c r="I1420" i="3"/>
  <c r="I1421" i="3"/>
  <c r="N1421" i="3" s="1"/>
  <c r="I1422" i="3"/>
  <c r="N1422" i="3" s="1"/>
  <c r="I1423" i="3"/>
  <c r="I1424" i="3"/>
  <c r="I1425" i="3"/>
  <c r="I1426" i="3"/>
  <c r="I1427" i="3"/>
  <c r="I1428" i="3"/>
  <c r="N1428" i="3" s="1"/>
  <c r="I1429" i="3"/>
  <c r="N1429" i="3" s="1"/>
  <c r="I1430" i="3"/>
  <c r="I1431" i="3"/>
  <c r="I1432" i="3"/>
  <c r="N1432" i="3" s="1"/>
  <c r="I1433" i="3"/>
  <c r="N1433" i="3" s="1"/>
  <c r="I1434" i="3"/>
  <c r="N1434" i="3" s="1"/>
  <c r="I1435" i="3"/>
  <c r="I1436" i="3"/>
  <c r="I1437" i="3"/>
  <c r="N1437" i="3" s="1"/>
  <c r="I1438" i="3"/>
  <c r="N1438" i="3" s="1"/>
  <c r="I1439" i="3"/>
  <c r="I1440" i="3"/>
  <c r="I1441" i="3"/>
  <c r="I1442" i="3"/>
  <c r="I1443" i="3"/>
  <c r="I1444" i="3"/>
  <c r="N1444" i="3" s="1"/>
  <c r="I1445" i="3"/>
  <c r="N1445" i="3" s="1"/>
  <c r="I1446" i="3"/>
  <c r="I1447" i="3"/>
  <c r="I1448" i="3"/>
  <c r="N1448" i="3" s="1"/>
  <c r="I1449" i="3"/>
  <c r="N1449" i="3" s="1"/>
  <c r="I1450" i="3"/>
  <c r="N1450" i="3" s="1"/>
  <c r="I1451" i="3"/>
  <c r="I1452" i="3"/>
  <c r="I1453" i="3"/>
  <c r="N1453" i="3" s="1"/>
  <c r="I1454" i="3"/>
  <c r="N1454" i="3" s="1"/>
  <c r="I1455" i="3"/>
  <c r="I1456" i="3"/>
  <c r="I1457" i="3"/>
  <c r="I1458" i="3"/>
  <c r="I1459" i="3"/>
  <c r="I1460" i="3"/>
  <c r="N1460" i="3" s="1"/>
  <c r="I1461" i="3"/>
  <c r="N1461" i="3" s="1"/>
  <c r="I1462" i="3"/>
  <c r="I1463" i="3"/>
  <c r="I1464" i="3"/>
  <c r="N1464" i="3" s="1"/>
  <c r="I1465" i="3"/>
  <c r="N1465" i="3" s="1"/>
  <c r="I1466" i="3"/>
  <c r="N1466" i="3" s="1"/>
  <c r="I1467" i="3"/>
  <c r="I1468" i="3"/>
  <c r="I1469" i="3"/>
  <c r="N1469" i="3" s="1"/>
  <c r="I1470" i="3"/>
  <c r="N1470" i="3" s="1"/>
  <c r="I1471" i="3"/>
  <c r="I1472" i="3"/>
  <c r="I1473" i="3"/>
  <c r="I1474" i="3"/>
  <c r="I1475" i="3"/>
  <c r="I1476" i="3"/>
  <c r="N1476" i="3" s="1"/>
  <c r="I1477" i="3"/>
  <c r="N1477" i="3" s="1"/>
  <c r="I1478" i="3"/>
  <c r="I1479" i="3"/>
  <c r="I1480" i="3"/>
  <c r="N1480" i="3" s="1"/>
  <c r="I1481" i="3"/>
  <c r="N1481" i="3" s="1"/>
  <c r="I1482" i="3"/>
  <c r="N1482" i="3" s="1"/>
  <c r="I1483" i="3"/>
  <c r="I1484" i="3"/>
  <c r="I1485" i="3"/>
  <c r="N1485" i="3" s="1"/>
  <c r="I1486" i="3"/>
  <c r="N1486" i="3" s="1"/>
  <c r="I1487" i="3"/>
  <c r="I1488" i="3"/>
  <c r="I1489" i="3"/>
  <c r="I1490" i="3"/>
  <c r="I1491" i="3"/>
  <c r="I1492" i="3"/>
  <c r="N1492" i="3" s="1"/>
  <c r="I1493" i="3"/>
  <c r="N1493" i="3" s="1"/>
  <c r="I1494" i="3"/>
  <c r="I1495" i="3"/>
  <c r="I1496" i="3"/>
  <c r="N1496" i="3" s="1"/>
  <c r="I1497" i="3"/>
  <c r="N1497" i="3" s="1"/>
  <c r="I1498" i="3"/>
  <c r="N1498" i="3" s="1"/>
  <c r="I1499" i="3"/>
  <c r="I1500" i="3"/>
  <c r="I1501" i="3"/>
  <c r="N1501" i="3" s="1"/>
  <c r="I1502" i="3"/>
  <c r="N1502" i="3" s="1"/>
  <c r="I1503" i="3"/>
  <c r="I1504" i="3"/>
  <c r="I1505" i="3"/>
  <c r="I1506" i="3"/>
  <c r="N1506" i="3" s="1"/>
  <c r="I1507" i="3"/>
  <c r="I1508" i="3"/>
  <c r="N1508" i="3" s="1"/>
  <c r="I1509" i="3"/>
  <c r="N1509" i="3" s="1"/>
  <c r="I1510" i="3"/>
  <c r="I1511" i="3"/>
  <c r="I1512" i="3"/>
  <c r="N1512" i="3" s="1"/>
  <c r="I1513" i="3"/>
  <c r="N1513" i="3" s="1"/>
  <c r="I1514" i="3"/>
  <c r="N1514" i="3" s="1"/>
  <c r="I1515" i="3"/>
  <c r="I1516" i="3"/>
  <c r="I1517" i="3"/>
  <c r="N1517" i="3" s="1"/>
  <c r="I1518" i="3"/>
  <c r="N1518" i="3" s="1"/>
  <c r="I1519" i="3"/>
  <c r="I1520" i="3"/>
  <c r="I1521" i="3"/>
  <c r="I1522" i="3"/>
  <c r="N1522" i="3" s="1"/>
  <c r="I1523" i="3"/>
  <c r="I1524" i="3"/>
  <c r="N1524" i="3" s="1"/>
  <c r="I1525" i="3"/>
  <c r="N1525" i="3" s="1"/>
  <c r="I1526" i="3"/>
  <c r="I1527" i="3"/>
  <c r="I1528" i="3"/>
  <c r="N1528" i="3" s="1"/>
  <c r="I1529" i="3"/>
  <c r="N1529" i="3" s="1"/>
  <c r="I1530" i="3"/>
  <c r="N1530" i="3" s="1"/>
  <c r="I1531" i="3"/>
  <c r="I1532" i="3"/>
  <c r="I1533" i="3"/>
  <c r="N1533" i="3" s="1"/>
  <c r="I1534" i="3"/>
  <c r="N1534" i="3" s="1"/>
  <c r="I1535" i="3"/>
  <c r="I1536" i="3"/>
  <c r="I1537" i="3"/>
  <c r="I1538" i="3"/>
  <c r="N1538" i="3" s="1"/>
  <c r="I1539" i="3"/>
  <c r="I1540" i="3"/>
  <c r="N1540" i="3" s="1"/>
  <c r="I1541" i="3"/>
  <c r="N1541" i="3" s="1"/>
  <c r="I1542" i="3"/>
  <c r="I1543" i="3"/>
  <c r="I1544" i="3"/>
  <c r="N1544" i="3" s="1"/>
  <c r="I1545" i="3"/>
  <c r="N1545" i="3" s="1"/>
  <c r="I1546" i="3"/>
  <c r="N1546" i="3" s="1"/>
  <c r="I1547" i="3"/>
  <c r="I1548" i="3"/>
  <c r="I1549" i="3"/>
  <c r="N1549" i="3" s="1"/>
  <c r="I1550" i="3"/>
  <c r="N1550" i="3" s="1"/>
  <c r="I1551" i="3"/>
  <c r="I1552" i="3"/>
  <c r="I1553" i="3"/>
  <c r="I1554" i="3"/>
  <c r="N1554" i="3" s="1"/>
  <c r="I1555" i="3"/>
  <c r="I1556" i="3"/>
  <c r="N1556" i="3" s="1"/>
  <c r="I1557" i="3"/>
  <c r="N1557" i="3" s="1"/>
  <c r="I1558" i="3"/>
  <c r="I1559" i="3"/>
  <c r="I1560" i="3"/>
  <c r="N1560" i="3" s="1"/>
  <c r="I1561" i="3"/>
  <c r="N1561" i="3" s="1"/>
  <c r="I1562" i="3"/>
  <c r="N1562" i="3" s="1"/>
  <c r="I1563" i="3"/>
  <c r="I1564" i="3"/>
  <c r="I1565" i="3"/>
  <c r="N1565" i="3" s="1"/>
  <c r="I1566" i="3"/>
  <c r="N1566" i="3" s="1"/>
  <c r="I1567" i="3"/>
  <c r="I1568" i="3"/>
  <c r="I1569" i="3"/>
  <c r="I1570" i="3"/>
  <c r="N1570" i="3" s="1"/>
  <c r="I1571" i="3"/>
  <c r="I1572" i="3"/>
  <c r="N1572" i="3" s="1"/>
  <c r="I1573" i="3"/>
  <c r="N1573" i="3" s="1"/>
  <c r="I1574" i="3"/>
  <c r="I1575" i="3"/>
  <c r="I1576" i="3"/>
  <c r="N1576" i="3" s="1"/>
  <c r="I1577" i="3"/>
  <c r="N1577" i="3" s="1"/>
  <c r="I1578" i="3"/>
  <c r="N1578" i="3" s="1"/>
  <c r="I1579" i="3"/>
  <c r="I1580" i="3"/>
  <c r="I1581" i="3"/>
  <c r="N1581" i="3" s="1"/>
  <c r="I1582" i="3"/>
  <c r="N1582" i="3" s="1"/>
  <c r="I1583" i="3"/>
  <c r="I1584" i="3"/>
  <c r="I1585" i="3"/>
  <c r="I1586" i="3"/>
  <c r="N1586" i="3" s="1"/>
  <c r="I1587" i="3"/>
  <c r="I1588" i="3"/>
  <c r="N1588" i="3" s="1"/>
  <c r="I1589" i="3"/>
  <c r="N1589" i="3" s="1"/>
  <c r="I1590" i="3"/>
  <c r="I1591" i="3"/>
  <c r="I1592" i="3"/>
  <c r="N1592" i="3" s="1"/>
  <c r="I1593" i="3"/>
  <c r="N1593" i="3" s="1"/>
  <c r="I1594" i="3"/>
  <c r="N1594" i="3" s="1"/>
  <c r="I1595" i="3"/>
  <c r="I1596" i="3"/>
  <c r="I1597" i="3"/>
  <c r="N1597" i="3" s="1"/>
  <c r="I1598" i="3"/>
  <c r="N1598" i="3" s="1"/>
  <c r="I1599" i="3"/>
  <c r="I1600" i="3"/>
  <c r="I1601" i="3"/>
  <c r="I1602" i="3"/>
  <c r="N1602" i="3" s="1"/>
  <c r="I1603" i="3"/>
  <c r="I1604" i="3"/>
  <c r="N1604" i="3" s="1"/>
  <c r="I1605" i="3"/>
  <c r="N1605" i="3" s="1"/>
  <c r="I1606" i="3"/>
  <c r="I1607" i="3"/>
  <c r="I1608" i="3"/>
  <c r="N1608" i="3" s="1"/>
  <c r="I1609" i="3"/>
  <c r="N1609" i="3" s="1"/>
  <c r="I1610" i="3"/>
  <c r="N1610" i="3" s="1"/>
  <c r="I1611" i="3"/>
  <c r="I1612" i="3"/>
  <c r="I1613" i="3"/>
  <c r="N1613" i="3" s="1"/>
  <c r="I1614" i="3"/>
  <c r="N1614" i="3" s="1"/>
  <c r="I1615" i="3"/>
  <c r="I1616" i="3"/>
  <c r="I1617" i="3"/>
  <c r="I1618" i="3"/>
  <c r="N1618" i="3" s="1"/>
  <c r="I1619" i="3"/>
  <c r="I1620" i="3"/>
  <c r="N1620" i="3" s="1"/>
  <c r="I1621" i="3"/>
  <c r="N1621" i="3" s="1"/>
  <c r="I1622" i="3"/>
  <c r="I1623" i="3"/>
  <c r="I1624" i="3"/>
  <c r="N1624" i="3" s="1"/>
  <c r="I1625" i="3"/>
  <c r="N1625" i="3" s="1"/>
  <c r="I1626" i="3"/>
  <c r="N1626" i="3" s="1"/>
  <c r="I1627" i="3"/>
  <c r="I1628" i="3"/>
  <c r="I1629" i="3"/>
  <c r="N1629" i="3" s="1"/>
  <c r="I1630" i="3"/>
  <c r="N1630" i="3" s="1"/>
  <c r="I1631" i="3"/>
  <c r="I1632" i="3"/>
  <c r="I1633" i="3"/>
  <c r="I1634" i="3"/>
  <c r="N1634" i="3" s="1"/>
  <c r="I1635" i="3"/>
  <c r="I1636" i="3"/>
  <c r="N1636" i="3" s="1"/>
  <c r="I1637" i="3"/>
  <c r="N1637" i="3" s="1"/>
  <c r="I1638" i="3"/>
  <c r="I1639" i="3"/>
  <c r="I1640" i="3"/>
  <c r="N1640" i="3" s="1"/>
  <c r="I1641" i="3"/>
  <c r="N1641" i="3" s="1"/>
  <c r="I1642" i="3"/>
  <c r="N1642" i="3" s="1"/>
  <c r="I1643" i="3"/>
  <c r="I1644" i="3"/>
  <c r="I1645" i="3"/>
  <c r="N1645" i="3" s="1"/>
  <c r="I1646" i="3"/>
  <c r="N1646" i="3" s="1"/>
  <c r="I1647" i="3"/>
  <c r="I1648" i="3"/>
  <c r="I1649" i="3"/>
  <c r="I1650" i="3"/>
  <c r="N1650" i="3" s="1"/>
  <c r="I1651" i="3"/>
  <c r="I1652" i="3"/>
  <c r="N1652" i="3" s="1"/>
  <c r="I1653" i="3"/>
  <c r="N1653" i="3" s="1"/>
  <c r="I1654" i="3"/>
  <c r="I1655" i="3"/>
  <c r="I1656" i="3"/>
  <c r="N1656" i="3" s="1"/>
  <c r="I1657" i="3"/>
  <c r="N1657" i="3" s="1"/>
  <c r="I1658" i="3"/>
  <c r="N1658" i="3" s="1"/>
  <c r="I1659" i="3"/>
  <c r="I1660" i="3"/>
  <c r="I1661" i="3"/>
  <c r="N1661" i="3" s="1"/>
  <c r="I1662" i="3"/>
  <c r="N1662" i="3" s="1"/>
  <c r="I1663" i="3"/>
  <c r="I1664" i="3"/>
  <c r="I1665" i="3"/>
  <c r="I1666" i="3"/>
  <c r="N1666" i="3" s="1"/>
  <c r="I1667" i="3"/>
  <c r="I1668" i="3"/>
  <c r="N1668" i="3" s="1"/>
  <c r="I1669" i="3"/>
  <c r="N1669" i="3" s="1"/>
  <c r="I1670" i="3"/>
  <c r="I1671" i="3"/>
  <c r="I1672" i="3"/>
  <c r="N1672" i="3" s="1"/>
  <c r="I1673" i="3"/>
  <c r="N1673" i="3" s="1"/>
  <c r="I1674" i="3"/>
  <c r="N1674" i="3" s="1"/>
  <c r="I1675" i="3"/>
  <c r="I1676" i="3"/>
  <c r="I1677" i="3"/>
  <c r="N1677" i="3" s="1"/>
  <c r="I1678" i="3"/>
  <c r="N1678" i="3" s="1"/>
  <c r="I1679" i="3"/>
  <c r="I1680" i="3"/>
  <c r="I1681" i="3"/>
  <c r="I1682" i="3"/>
  <c r="N1682" i="3" s="1"/>
  <c r="I1683" i="3"/>
  <c r="I1684" i="3"/>
  <c r="N1684" i="3" s="1"/>
  <c r="I1685" i="3"/>
  <c r="N1685" i="3" s="1"/>
  <c r="I1686" i="3"/>
  <c r="I1687" i="3"/>
  <c r="I1688" i="3"/>
  <c r="N1688" i="3" s="1"/>
  <c r="I1689" i="3"/>
  <c r="N1689" i="3" s="1"/>
  <c r="I1690" i="3"/>
  <c r="N1690" i="3" s="1"/>
  <c r="I1691" i="3"/>
  <c r="I1692" i="3"/>
  <c r="I1693" i="3"/>
  <c r="N1693" i="3" s="1"/>
  <c r="I1694" i="3"/>
  <c r="N1694" i="3" s="1"/>
  <c r="I1695" i="3"/>
  <c r="I1696" i="3"/>
  <c r="I1697" i="3"/>
  <c r="I1698" i="3"/>
  <c r="N1698" i="3" s="1"/>
  <c r="I1699" i="3"/>
  <c r="I1700" i="3"/>
  <c r="N1700" i="3" s="1"/>
  <c r="I1701" i="3"/>
  <c r="N1701" i="3" s="1"/>
  <c r="I1702" i="3"/>
  <c r="I1703" i="3"/>
  <c r="I1704" i="3"/>
  <c r="N1704" i="3" s="1"/>
  <c r="I1705" i="3"/>
  <c r="N1705" i="3" s="1"/>
  <c r="I1706" i="3"/>
  <c r="N1706" i="3" s="1"/>
  <c r="I1707" i="3"/>
  <c r="I1708" i="3"/>
  <c r="I1709" i="3"/>
  <c r="N1709" i="3" s="1"/>
  <c r="I1710" i="3"/>
  <c r="N1710" i="3" s="1"/>
  <c r="I1711" i="3"/>
  <c r="I1712" i="3"/>
  <c r="I1713" i="3"/>
  <c r="I1714" i="3"/>
  <c r="N1714" i="3" s="1"/>
  <c r="I1715" i="3"/>
  <c r="I1716" i="3"/>
  <c r="N1716" i="3" s="1"/>
  <c r="I1717" i="3"/>
  <c r="N1717" i="3" s="1"/>
  <c r="I1718" i="3"/>
  <c r="I1719" i="3"/>
  <c r="I1720" i="3"/>
  <c r="N1720" i="3" s="1"/>
  <c r="I1721" i="3"/>
  <c r="N1721" i="3" s="1"/>
  <c r="I1722" i="3"/>
  <c r="N1722" i="3" s="1"/>
  <c r="I1723" i="3"/>
  <c r="I1724" i="3"/>
  <c r="I1725" i="3"/>
  <c r="N1725" i="3" s="1"/>
  <c r="I1726" i="3"/>
  <c r="N1726" i="3" s="1"/>
  <c r="I1727" i="3"/>
  <c r="I1728" i="3"/>
  <c r="I1729" i="3"/>
  <c r="I1730" i="3"/>
  <c r="N1730" i="3" s="1"/>
  <c r="I1731" i="3"/>
  <c r="I1732" i="3"/>
  <c r="N1732" i="3" s="1"/>
  <c r="I1733" i="3"/>
  <c r="N1733" i="3" s="1"/>
  <c r="I1734" i="3"/>
  <c r="I1735" i="3"/>
  <c r="I1736" i="3"/>
  <c r="N1736" i="3" s="1"/>
  <c r="I1737" i="3"/>
  <c r="N1737" i="3" s="1"/>
  <c r="I1738" i="3"/>
  <c r="N1738" i="3" s="1"/>
  <c r="I1739" i="3"/>
  <c r="I1740" i="3"/>
  <c r="I1741" i="3"/>
  <c r="N1741" i="3" s="1"/>
  <c r="I1742" i="3"/>
  <c r="N1742" i="3" s="1"/>
  <c r="I1743" i="3"/>
  <c r="I1744" i="3"/>
  <c r="I1745" i="3"/>
  <c r="I1746" i="3"/>
  <c r="N1746" i="3" s="1"/>
  <c r="I1747" i="3"/>
  <c r="I1748" i="3"/>
  <c r="N1748" i="3" s="1"/>
  <c r="I1749" i="3"/>
  <c r="N1749" i="3" s="1"/>
  <c r="I1750" i="3"/>
  <c r="I1751" i="3"/>
  <c r="I1752" i="3"/>
  <c r="N1752" i="3" s="1"/>
  <c r="I1753" i="3"/>
  <c r="N1753" i="3" s="1"/>
  <c r="I1754" i="3"/>
  <c r="N1754" i="3" s="1"/>
  <c r="I1755" i="3"/>
  <c r="I1756" i="3"/>
  <c r="I1757" i="3"/>
  <c r="N1757" i="3" s="1"/>
  <c r="I1758" i="3"/>
  <c r="N1758" i="3" s="1"/>
  <c r="I1759" i="3"/>
  <c r="I1760" i="3"/>
  <c r="I1761" i="3"/>
  <c r="I1762" i="3"/>
  <c r="N1762" i="3" s="1"/>
  <c r="I1763" i="3"/>
  <c r="I1764" i="3"/>
  <c r="N1764" i="3" s="1"/>
  <c r="I1765" i="3"/>
  <c r="N1765" i="3" s="1"/>
  <c r="I1766" i="3"/>
  <c r="I1767" i="3"/>
  <c r="I1768" i="3"/>
  <c r="N1768" i="3" s="1"/>
  <c r="I1769" i="3"/>
  <c r="N1769" i="3" s="1"/>
  <c r="I1770" i="3"/>
  <c r="N1770" i="3" s="1"/>
  <c r="I1771" i="3"/>
  <c r="I1772" i="3"/>
  <c r="I1773" i="3"/>
  <c r="N1773" i="3" s="1"/>
  <c r="I1774" i="3"/>
  <c r="N1774" i="3" s="1"/>
  <c r="I1775" i="3"/>
  <c r="I1776" i="3"/>
  <c r="I1777" i="3"/>
  <c r="I1778" i="3"/>
  <c r="N1778" i="3" s="1"/>
  <c r="I1779" i="3"/>
  <c r="I1780" i="3"/>
  <c r="N1780" i="3" s="1"/>
  <c r="I1781" i="3"/>
  <c r="N1781" i="3" s="1"/>
  <c r="I1782" i="3"/>
  <c r="I1783" i="3"/>
  <c r="I1784" i="3"/>
  <c r="N1784" i="3" s="1"/>
  <c r="I1785" i="3"/>
  <c r="N1785" i="3" s="1"/>
  <c r="I1786" i="3"/>
  <c r="N1786" i="3" s="1"/>
  <c r="I1787" i="3"/>
  <c r="I1788" i="3"/>
  <c r="I1789" i="3"/>
  <c r="N1789" i="3" s="1"/>
  <c r="I1790" i="3"/>
  <c r="N1790" i="3" s="1"/>
  <c r="I1791" i="3"/>
  <c r="I1792" i="3"/>
  <c r="I1793" i="3"/>
  <c r="I1794" i="3"/>
  <c r="N1794" i="3" s="1"/>
  <c r="I1795" i="3"/>
  <c r="I1796" i="3"/>
  <c r="N1796" i="3" s="1"/>
  <c r="I1797" i="3"/>
  <c r="N1797" i="3" s="1"/>
  <c r="I1798" i="3"/>
  <c r="I1799" i="3"/>
  <c r="I1800" i="3"/>
  <c r="N1800" i="3" s="1"/>
  <c r="I1801" i="3"/>
  <c r="N1801" i="3" s="1"/>
  <c r="I1802" i="3"/>
  <c r="N1802" i="3" s="1"/>
  <c r="I1803" i="3"/>
  <c r="I1804" i="3"/>
  <c r="I1805" i="3"/>
  <c r="N1805" i="3" s="1"/>
  <c r="I1806" i="3"/>
  <c r="N1806" i="3" s="1"/>
  <c r="I1807" i="3"/>
  <c r="I1808" i="3"/>
  <c r="I1809" i="3"/>
  <c r="I1810" i="3"/>
  <c r="N1810" i="3" s="1"/>
  <c r="I1811" i="3"/>
  <c r="I1812" i="3"/>
  <c r="N1812" i="3" s="1"/>
  <c r="I1813" i="3"/>
  <c r="N1813" i="3" s="1"/>
  <c r="I1814" i="3"/>
  <c r="I1815" i="3"/>
  <c r="I1816" i="3"/>
  <c r="N1816" i="3" s="1"/>
  <c r="I1817" i="3"/>
  <c r="N1817" i="3" s="1"/>
  <c r="I1818" i="3"/>
  <c r="N1818" i="3" s="1"/>
  <c r="I1819" i="3"/>
  <c r="I1820" i="3"/>
  <c r="I1821" i="3"/>
  <c r="N1821" i="3" s="1"/>
  <c r="I1822" i="3"/>
  <c r="N1822" i="3" s="1"/>
  <c r="I1823" i="3"/>
  <c r="I1824" i="3"/>
  <c r="I1825" i="3"/>
  <c r="I1826" i="3"/>
  <c r="N1826" i="3" s="1"/>
  <c r="I1827" i="3"/>
  <c r="I1828" i="3"/>
  <c r="N1828" i="3" s="1"/>
  <c r="I1829" i="3"/>
  <c r="N1829" i="3" s="1"/>
  <c r="I1830" i="3"/>
  <c r="I1831" i="3"/>
  <c r="I1832" i="3"/>
  <c r="N1832" i="3" s="1"/>
  <c r="I1833" i="3"/>
  <c r="N1833" i="3" s="1"/>
  <c r="I1834" i="3"/>
  <c r="N1834" i="3" s="1"/>
  <c r="I1835" i="3"/>
  <c r="I1836" i="3"/>
  <c r="I1837" i="3"/>
  <c r="N1837" i="3" s="1"/>
  <c r="I1838" i="3"/>
  <c r="N1838" i="3" s="1"/>
  <c r="I1839" i="3"/>
  <c r="I1840" i="3"/>
  <c r="I1841" i="3"/>
  <c r="I1842" i="3"/>
  <c r="N1842" i="3" s="1"/>
  <c r="I1843" i="3"/>
  <c r="I1844" i="3"/>
  <c r="N1844" i="3" s="1"/>
  <c r="I1845" i="3"/>
  <c r="N1845" i="3" s="1"/>
  <c r="I1846" i="3"/>
  <c r="I1847" i="3"/>
  <c r="I1848" i="3"/>
  <c r="N1848" i="3" s="1"/>
  <c r="I1849" i="3"/>
  <c r="N1849" i="3" s="1"/>
  <c r="I1850" i="3"/>
  <c r="N1850" i="3" s="1"/>
  <c r="I1851" i="3"/>
  <c r="I1852" i="3"/>
  <c r="I1853" i="3"/>
  <c r="N1853" i="3" s="1"/>
  <c r="I1854" i="3"/>
  <c r="N1854" i="3" s="1"/>
  <c r="I1855" i="3"/>
  <c r="I1856" i="3"/>
  <c r="I1857" i="3"/>
  <c r="I1858" i="3"/>
  <c r="N1858" i="3" s="1"/>
  <c r="I1859" i="3"/>
  <c r="I1860" i="3"/>
  <c r="N1860" i="3" s="1"/>
  <c r="I1861" i="3"/>
  <c r="N1861" i="3" s="1"/>
  <c r="I1862" i="3"/>
  <c r="I1863" i="3"/>
  <c r="I1864" i="3"/>
  <c r="N1864" i="3" s="1"/>
  <c r="I1865" i="3"/>
  <c r="N1865" i="3" s="1"/>
  <c r="I1866" i="3"/>
  <c r="N1866" i="3" s="1"/>
  <c r="I1867" i="3"/>
  <c r="I1868" i="3"/>
  <c r="I1869" i="3"/>
  <c r="N1869" i="3" s="1"/>
  <c r="I1870" i="3"/>
  <c r="N1870" i="3" s="1"/>
  <c r="I1871" i="3"/>
  <c r="I1872" i="3"/>
  <c r="I1873" i="3"/>
  <c r="I1874" i="3"/>
  <c r="N1874" i="3" s="1"/>
  <c r="I1875" i="3"/>
  <c r="I1876" i="3"/>
  <c r="N1876" i="3" s="1"/>
  <c r="I1877" i="3"/>
  <c r="N1877" i="3" s="1"/>
  <c r="I1878" i="3"/>
  <c r="I1879" i="3"/>
  <c r="I1880" i="3"/>
  <c r="N1880" i="3" s="1"/>
  <c r="I1881" i="3"/>
  <c r="N1881" i="3" s="1"/>
  <c r="I1882" i="3"/>
  <c r="N1882" i="3" s="1"/>
  <c r="I1883" i="3"/>
  <c r="I1884" i="3"/>
  <c r="I1885" i="3"/>
  <c r="N1885" i="3" s="1"/>
  <c r="I1886" i="3"/>
  <c r="N1886" i="3" s="1"/>
  <c r="I1887" i="3"/>
  <c r="I1888" i="3"/>
  <c r="I1889" i="3"/>
  <c r="I1890" i="3"/>
  <c r="N1890" i="3" s="1"/>
  <c r="I1891" i="3"/>
  <c r="I1892" i="3"/>
  <c r="N1892" i="3" s="1"/>
  <c r="I1893" i="3"/>
  <c r="N1893" i="3" s="1"/>
  <c r="I1894" i="3"/>
  <c r="I1895" i="3"/>
  <c r="I1896" i="3"/>
  <c r="N1896" i="3" s="1"/>
  <c r="I1897" i="3"/>
  <c r="N1897" i="3" s="1"/>
  <c r="I1898" i="3"/>
  <c r="N1898" i="3" s="1"/>
  <c r="I1899" i="3"/>
  <c r="I1900" i="3"/>
  <c r="I1901" i="3"/>
  <c r="N1901" i="3" s="1"/>
  <c r="I1902" i="3"/>
  <c r="N1902" i="3" s="1"/>
  <c r="I1903" i="3"/>
  <c r="I1904" i="3"/>
  <c r="I1905" i="3"/>
  <c r="I1906" i="3"/>
  <c r="N1906" i="3" s="1"/>
  <c r="I1907" i="3"/>
  <c r="I1908" i="3"/>
  <c r="N1908" i="3" s="1"/>
  <c r="I1909" i="3"/>
  <c r="N1909" i="3" s="1"/>
  <c r="I1910" i="3"/>
  <c r="I1911" i="3"/>
  <c r="I1912" i="3"/>
  <c r="N1912" i="3" s="1"/>
  <c r="I1913" i="3"/>
  <c r="N1913" i="3" s="1"/>
  <c r="I1914" i="3"/>
  <c r="N1914" i="3" s="1"/>
  <c r="I1915" i="3"/>
  <c r="I1916" i="3"/>
  <c r="I1917" i="3"/>
  <c r="N1917" i="3" s="1"/>
  <c r="I1918" i="3"/>
  <c r="N1918" i="3" s="1"/>
  <c r="I1919" i="3"/>
  <c r="I1920" i="3"/>
  <c r="I1921" i="3"/>
  <c r="I1922" i="3"/>
  <c r="N1922" i="3" s="1"/>
  <c r="I1923" i="3"/>
  <c r="I1924" i="3"/>
  <c r="I1925" i="3"/>
  <c r="N1925" i="3" s="1"/>
  <c r="I1926" i="3"/>
  <c r="I1927" i="3"/>
  <c r="I1928" i="3"/>
  <c r="N1928" i="3" s="1"/>
  <c r="I1929" i="3"/>
  <c r="N1929" i="3" s="1"/>
  <c r="I1930" i="3"/>
  <c r="N1930" i="3" s="1"/>
  <c r="I1931" i="3"/>
  <c r="I1932" i="3"/>
  <c r="I1933" i="3"/>
  <c r="N1933" i="3" s="1"/>
  <c r="I1934" i="3"/>
  <c r="N1934" i="3" s="1"/>
  <c r="I1935" i="3"/>
  <c r="I1936" i="3"/>
  <c r="I1937" i="3"/>
  <c r="I1938" i="3"/>
  <c r="N1938" i="3" s="1"/>
  <c r="I1939" i="3"/>
  <c r="I1940" i="3"/>
  <c r="I1941" i="3"/>
  <c r="N1941" i="3" s="1"/>
  <c r="I1942" i="3"/>
  <c r="I1943" i="3"/>
  <c r="I1944" i="3"/>
  <c r="N1944" i="3" s="1"/>
  <c r="I1945" i="3"/>
  <c r="N1945" i="3" s="1"/>
  <c r="I1946" i="3"/>
  <c r="N1946" i="3" s="1"/>
  <c r="I1947" i="3"/>
  <c r="I1948" i="3"/>
  <c r="I1949" i="3"/>
  <c r="N1949" i="3" s="1"/>
  <c r="I1950" i="3"/>
  <c r="N1950" i="3" s="1"/>
  <c r="I1951" i="3"/>
  <c r="I1952" i="3"/>
  <c r="I1953" i="3"/>
  <c r="I1954" i="3"/>
  <c r="N1954" i="3" s="1"/>
  <c r="I1955" i="3"/>
  <c r="I1956" i="3"/>
  <c r="I1957" i="3"/>
  <c r="N1957" i="3" s="1"/>
  <c r="I1958" i="3"/>
  <c r="I1959" i="3"/>
  <c r="I1960" i="3"/>
  <c r="N1960" i="3" s="1"/>
  <c r="I1961" i="3"/>
  <c r="N1961" i="3" s="1"/>
  <c r="I1962" i="3"/>
  <c r="N1962" i="3" s="1"/>
  <c r="I1963" i="3"/>
  <c r="I1964" i="3"/>
  <c r="I1965" i="3"/>
  <c r="N1965" i="3" s="1"/>
  <c r="I1966" i="3"/>
  <c r="N1966" i="3" s="1"/>
  <c r="I1967" i="3"/>
  <c r="I1968" i="3"/>
  <c r="I1969" i="3"/>
  <c r="I1970" i="3"/>
  <c r="N1970" i="3" s="1"/>
  <c r="I1971" i="3"/>
  <c r="I1972" i="3"/>
  <c r="I1973" i="3"/>
  <c r="N1973" i="3" s="1"/>
  <c r="I1974" i="3"/>
  <c r="I1975" i="3"/>
  <c r="I1976" i="3"/>
  <c r="N1976" i="3" s="1"/>
  <c r="I1977" i="3"/>
  <c r="N1977" i="3" s="1"/>
  <c r="I1978" i="3"/>
  <c r="N1978" i="3" s="1"/>
  <c r="I1979" i="3"/>
  <c r="I1980" i="3"/>
  <c r="I1981" i="3"/>
  <c r="N1981" i="3" s="1"/>
  <c r="I1982" i="3"/>
  <c r="N1982" i="3" s="1"/>
  <c r="I1983" i="3"/>
  <c r="I1984" i="3"/>
  <c r="I1985" i="3"/>
  <c r="I1986" i="3"/>
  <c r="N1986" i="3" s="1"/>
  <c r="I1987" i="3"/>
  <c r="I1988" i="3"/>
  <c r="I1989" i="3"/>
  <c r="N1989" i="3" s="1"/>
  <c r="I1990" i="3"/>
  <c r="I1991" i="3"/>
  <c r="I1992" i="3"/>
  <c r="N1992" i="3" s="1"/>
  <c r="I1993" i="3"/>
  <c r="N1993" i="3" s="1"/>
  <c r="I1994" i="3"/>
  <c r="N1994" i="3" s="1"/>
  <c r="I1995" i="3"/>
  <c r="I1996" i="3"/>
  <c r="I1997" i="3"/>
  <c r="N1997" i="3" s="1"/>
  <c r="I1998" i="3"/>
  <c r="N1998" i="3" s="1"/>
  <c r="I1999" i="3"/>
  <c r="I2000" i="3"/>
  <c r="I2001" i="3"/>
  <c r="I2002" i="3"/>
  <c r="N2002" i="3" s="1"/>
  <c r="I2003" i="3"/>
  <c r="I2004" i="3"/>
  <c r="I2005" i="3"/>
  <c r="N2005" i="3" s="1"/>
  <c r="I2006" i="3"/>
  <c r="I2007" i="3"/>
  <c r="I2008" i="3"/>
  <c r="N2008" i="3" s="1"/>
  <c r="I2009" i="3"/>
  <c r="N2009" i="3" s="1"/>
  <c r="I2010" i="3"/>
  <c r="N2010" i="3" s="1"/>
  <c r="I2011" i="3"/>
  <c r="I2012" i="3"/>
  <c r="I2013" i="3"/>
  <c r="N2013" i="3" s="1"/>
  <c r="I2014" i="3"/>
  <c r="N2014" i="3" s="1"/>
  <c r="I2015" i="3"/>
  <c r="I2016" i="3"/>
  <c r="I2017" i="3"/>
  <c r="I2018" i="3"/>
  <c r="N2018" i="3" s="1"/>
  <c r="I2019" i="3"/>
  <c r="I2020" i="3"/>
  <c r="I2021" i="3"/>
  <c r="N2021" i="3" s="1"/>
  <c r="I2022" i="3"/>
  <c r="I2023" i="3"/>
  <c r="I2024" i="3"/>
  <c r="N2024" i="3" s="1"/>
  <c r="I2025" i="3"/>
  <c r="N2025" i="3" s="1"/>
  <c r="I2026" i="3"/>
  <c r="N2026" i="3" s="1"/>
  <c r="I2027" i="3"/>
  <c r="I2028" i="3"/>
  <c r="I2029" i="3"/>
  <c r="N2029" i="3" s="1"/>
  <c r="I2030" i="3"/>
  <c r="N2030" i="3" s="1"/>
  <c r="I2031" i="3"/>
  <c r="I2032" i="3"/>
  <c r="I2033" i="3"/>
  <c r="I2034" i="3"/>
  <c r="N2034" i="3" s="1"/>
  <c r="I2035" i="3"/>
  <c r="I2036" i="3"/>
  <c r="I2037" i="3"/>
  <c r="N2037" i="3" s="1"/>
  <c r="I2038" i="3"/>
  <c r="I2039" i="3"/>
  <c r="I2040" i="3"/>
  <c r="N2040" i="3" s="1"/>
  <c r="I2041" i="3"/>
  <c r="N2041" i="3" s="1"/>
  <c r="I2042" i="3"/>
  <c r="N2042" i="3" s="1"/>
  <c r="I2043" i="3"/>
  <c r="I2044" i="3"/>
  <c r="I2045" i="3"/>
  <c r="N2045" i="3" s="1"/>
  <c r="I2046" i="3"/>
  <c r="N2046" i="3" s="1"/>
  <c r="I2047" i="3"/>
  <c r="I2048" i="3"/>
  <c r="I2049" i="3"/>
  <c r="I2050" i="3"/>
  <c r="N2050" i="3" s="1"/>
  <c r="I2051" i="3"/>
  <c r="I2052" i="3"/>
  <c r="I2053" i="3"/>
  <c r="N2053" i="3" s="1"/>
  <c r="I2054" i="3"/>
  <c r="I2055" i="3"/>
  <c r="I2056" i="3"/>
  <c r="N2056" i="3" s="1"/>
  <c r="I2057" i="3"/>
  <c r="N2057" i="3" s="1"/>
  <c r="I2058" i="3"/>
  <c r="N2058" i="3" s="1"/>
  <c r="I2059" i="3"/>
  <c r="I2060" i="3"/>
  <c r="I2061" i="3"/>
  <c r="I2062" i="3"/>
  <c r="N2062" i="3" s="1"/>
  <c r="I2063" i="3"/>
  <c r="I2064" i="3"/>
  <c r="I2065" i="3"/>
  <c r="I2066" i="3"/>
  <c r="N2066" i="3" s="1"/>
  <c r="I2067" i="3"/>
  <c r="I2068" i="3"/>
  <c r="I2069" i="3"/>
  <c r="N2069" i="3" s="1"/>
  <c r="I2070" i="3"/>
  <c r="I2071" i="3"/>
  <c r="I2072" i="3"/>
  <c r="N2072" i="3" s="1"/>
  <c r="I2073" i="3"/>
  <c r="N2073" i="3" s="1"/>
  <c r="I2074" i="3"/>
  <c r="N2074" i="3" s="1"/>
  <c r="I2075" i="3"/>
  <c r="I2076" i="3"/>
  <c r="I2077" i="3"/>
  <c r="I2078" i="3"/>
  <c r="N2078" i="3" s="1"/>
  <c r="I2079" i="3"/>
  <c r="I2080" i="3"/>
  <c r="I2081" i="3"/>
  <c r="I2082" i="3"/>
  <c r="N2082" i="3" s="1"/>
  <c r="I2083" i="3"/>
  <c r="I2084" i="3"/>
  <c r="I2085" i="3"/>
  <c r="N2085" i="3" s="1"/>
  <c r="I2086" i="3"/>
  <c r="I2087" i="3"/>
  <c r="I2088" i="3"/>
  <c r="N2088" i="3" s="1"/>
  <c r="I2089" i="3"/>
  <c r="N2089" i="3" s="1"/>
  <c r="I2090" i="3"/>
  <c r="N2090" i="3" s="1"/>
  <c r="I2091" i="3"/>
  <c r="I2092" i="3"/>
  <c r="I2093" i="3"/>
  <c r="N2093" i="3" s="1"/>
  <c r="I2094" i="3"/>
  <c r="N2094" i="3" s="1"/>
  <c r="I2095" i="3"/>
  <c r="I2096" i="3"/>
  <c r="I2097" i="3"/>
  <c r="I2098" i="3"/>
  <c r="N2098" i="3" s="1"/>
  <c r="I2099" i="3"/>
  <c r="I2100" i="3"/>
  <c r="I2101" i="3"/>
  <c r="N2101" i="3" s="1"/>
  <c r="I2102" i="3"/>
  <c r="I2103" i="3"/>
  <c r="I2104" i="3"/>
  <c r="N2104" i="3" s="1"/>
  <c r="I2105" i="3"/>
  <c r="N2105" i="3" s="1"/>
  <c r="I2106" i="3"/>
  <c r="N2106" i="3" s="1"/>
  <c r="I2107" i="3"/>
  <c r="I2108" i="3"/>
  <c r="I2109" i="3"/>
  <c r="N2109" i="3" s="1"/>
  <c r="I2110" i="3"/>
  <c r="N2110" i="3" s="1"/>
  <c r="I2111" i="3"/>
  <c r="I2112" i="3"/>
  <c r="I2113" i="3"/>
  <c r="I2114" i="3"/>
  <c r="N2114" i="3" s="1"/>
  <c r="I2115" i="3"/>
  <c r="I2116" i="3"/>
  <c r="I2117" i="3"/>
  <c r="N2117" i="3" s="1"/>
  <c r="I2118" i="3"/>
  <c r="I2119" i="3"/>
  <c r="I2120" i="3"/>
  <c r="N2120" i="3" s="1"/>
  <c r="I2121" i="3"/>
  <c r="N2121" i="3" s="1"/>
  <c r="I2122" i="3"/>
  <c r="N2122" i="3" s="1"/>
  <c r="I2123" i="3"/>
  <c r="I2124" i="3"/>
  <c r="I2125" i="3"/>
  <c r="N2125" i="3" s="1"/>
  <c r="I2126" i="3"/>
  <c r="N2126" i="3" s="1"/>
  <c r="I2127" i="3"/>
  <c r="I2128" i="3"/>
  <c r="I2129" i="3"/>
  <c r="I2130" i="3"/>
  <c r="N2130" i="3" s="1"/>
  <c r="I2131" i="3"/>
  <c r="I2132" i="3"/>
  <c r="I2133" i="3"/>
  <c r="N2133" i="3" s="1"/>
  <c r="I2134" i="3"/>
  <c r="I2135" i="3"/>
  <c r="I2136" i="3"/>
  <c r="N2136" i="3" s="1"/>
  <c r="I2137" i="3"/>
  <c r="N2137" i="3" s="1"/>
  <c r="I2138" i="3"/>
  <c r="N2138" i="3" s="1"/>
  <c r="I2139" i="3"/>
  <c r="I2140" i="3"/>
  <c r="I2141" i="3"/>
  <c r="N2141" i="3" s="1"/>
  <c r="I2142" i="3"/>
  <c r="N2142" i="3" s="1"/>
  <c r="I2143" i="3"/>
  <c r="I2144" i="3"/>
  <c r="I2145" i="3"/>
  <c r="I2146" i="3"/>
  <c r="N2146" i="3" s="1"/>
  <c r="I2147" i="3"/>
  <c r="I2148" i="3"/>
  <c r="I2149" i="3"/>
  <c r="N2149" i="3" s="1"/>
  <c r="I2150" i="3"/>
  <c r="I2151" i="3"/>
  <c r="I2152" i="3"/>
  <c r="N2152" i="3" s="1"/>
  <c r="I2153" i="3"/>
  <c r="N2153" i="3" s="1"/>
  <c r="I2154" i="3"/>
  <c r="N2154" i="3" s="1"/>
  <c r="I2155" i="3"/>
  <c r="I2156" i="3"/>
  <c r="I2157" i="3"/>
  <c r="N2157" i="3" s="1"/>
  <c r="I2158" i="3"/>
  <c r="N2158" i="3" s="1"/>
  <c r="I2159" i="3"/>
  <c r="I2160" i="3"/>
  <c r="I2161" i="3"/>
  <c r="I2162" i="3"/>
  <c r="N2162" i="3" s="1"/>
  <c r="I2163" i="3"/>
  <c r="I2164" i="3"/>
  <c r="I2165" i="3"/>
  <c r="N2165" i="3" s="1"/>
  <c r="I2166" i="3"/>
  <c r="I2167" i="3"/>
  <c r="I2168" i="3"/>
  <c r="N2168" i="3" s="1"/>
  <c r="I2169" i="3"/>
  <c r="N2169" i="3" s="1"/>
  <c r="I2170" i="3"/>
  <c r="N2170" i="3" s="1"/>
  <c r="I2171" i="3"/>
  <c r="I2172" i="3"/>
  <c r="I2173" i="3"/>
  <c r="N2173" i="3" s="1"/>
  <c r="I2174" i="3"/>
  <c r="N2174" i="3" s="1"/>
  <c r="I2175" i="3"/>
  <c r="I2176" i="3"/>
  <c r="I2177" i="3"/>
  <c r="I2178" i="3"/>
  <c r="N2178" i="3" s="1"/>
  <c r="I2179" i="3"/>
  <c r="I2180" i="3"/>
  <c r="I2181" i="3"/>
  <c r="N2181" i="3" s="1"/>
  <c r="I2182" i="3"/>
  <c r="I2183" i="3"/>
  <c r="I2184" i="3"/>
  <c r="N2184" i="3" s="1"/>
  <c r="I2185" i="3"/>
  <c r="N2185" i="3" s="1"/>
  <c r="I2186" i="3"/>
  <c r="N2186" i="3" s="1"/>
  <c r="I2187" i="3"/>
  <c r="I2188" i="3"/>
  <c r="I2189" i="3"/>
  <c r="N2189" i="3" s="1"/>
  <c r="I2190" i="3"/>
  <c r="N2190" i="3" s="1"/>
  <c r="I2191" i="3"/>
  <c r="I2192" i="3"/>
  <c r="I2193" i="3"/>
  <c r="I2194" i="3"/>
  <c r="N2194" i="3" s="1"/>
  <c r="I2195" i="3"/>
  <c r="I2196" i="3"/>
  <c r="I2197" i="3"/>
  <c r="N2197" i="3" s="1"/>
  <c r="I2198" i="3"/>
  <c r="I2199" i="3"/>
  <c r="I2200" i="3"/>
  <c r="N2200" i="3" s="1"/>
  <c r="I2201" i="3"/>
  <c r="N2201" i="3" s="1"/>
  <c r="I2202" i="3"/>
  <c r="N2202" i="3" s="1"/>
  <c r="I2203" i="3"/>
  <c r="I2204" i="3"/>
  <c r="I2205" i="3"/>
  <c r="N2205" i="3" s="1"/>
  <c r="I2206" i="3"/>
  <c r="N2206" i="3" s="1"/>
  <c r="I2207" i="3"/>
  <c r="I2208" i="3"/>
  <c r="I2209" i="3"/>
  <c r="I2210" i="3"/>
  <c r="N2210" i="3" s="1"/>
  <c r="I2211" i="3"/>
  <c r="I2212" i="3"/>
  <c r="I2213" i="3"/>
  <c r="N2213" i="3" s="1"/>
  <c r="I2214" i="3"/>
  <c r="I2215" i="3"/>
  <c r="I2216" i="3"/>
  <c r="N2216" i="3" s="1"/>
  <c r="I2217" i="3"/>
  <c r="N2217" i="3" s="1"/>
  <c r="I2218" i="3"/>
  <c r="N2218" i="3" s="1"/>
  <c r="I2219" i="3"/>
  <c r="I2220" i="3"/>
  <c r="I2221" i="3"/>
  <c r="N2221" i="3" s="1"/>
  <c r="I2222" i="3"/>
  <c r="N2222" i="3" s="1"/>
  <c r="I2223" i="3"/>
  <c r="I2224" i="3"/>
  <c r="I2225" i="3"/>
  <c r="I2226" i="3"/>
  <c r="N2226" i="3" s="1"/>
  <c r="I2227" i="3"/>
  <c r="I2228" i="3"/>
  <c r="I2229" i="3"/>
  <c r="N2229" i="3" s="1"/>
  <c r="I2230" i="3"/>
  <c r="I2231" i="3"/>
  <c r="I2232" i="3"/>
  <c r="N2232" i="3" s="1"/>
  <c r="I2233" i="3"/>
  <c r="N2233" i="3" s="1"/>
  <c r="I2234" i="3"/>
  <c r="N2234" i="3" s="1"/>
  <c r="I2235" i="3"/>
  <c r="I2236" i="3"/>
  <c r="I2237" i="3"/>
  <c r="N2237" i="3" s="1"/>
  <c r="I2238" i="3"/>
  <c r="N2238" i="3" s="1"/>
  <c r="I2239" i="3"/>
  <c r="I2240" i="3"/>
  <c r="I2241" i="3"/>
  <c r="I2242" i="3"/>
  <c r="N2242" i="3" s="1"/>
  <c r="I2243" i="3"/>
  <c r="I2244" i="3"/>
  <c r="I2245" i="3"/>
  <c r="N2245" i="3" s="1"/>
  <c r="I2246" i="3"/>
  <c r="I2247" i="3"/>
  <c r="I2248" i="3"/>
  <c r="N2248" i="3" s="1"/>
  <c r="I2249" i="3"/>
  <c r="N2249" i="3" s="1"/>
  <c r="I2250" i="3"/>
  <c r="N2250" i="3" s="1"/>
  <c r="I2251" i="3"/>
  <c r="I2252" i="3"/>
  <c r="I2253" i="3"/>
  <c r="N2253" i="3" s="1"/>
  <c r="I2254" i="3"/>
  <c r="N2254" i="3" s="1"/>
  <c r="I2255" i="3"/>
  <c r="I2256" i="3"/>
  <c r="I2257" i="3"/>
  <c r="I2258" i="3"/>
  <c r="N2258" i="3" s="1"/>
  <c r="I2259" i="3"/>
  <c r="I2260" i="3"/>
  <c r="I2261" i="3"/>
  <c r="N2261" i="3" s="1"/>
  <c r="I2262" i="3"/>
  <c r="I2263" i="3"/>
  <c r="I2264" i="3"/>
  <c r="N2264" i="3" s="1"/>
  <c r="I2265" i="3"/>
  <c r="N2265" i="3" s="1"/>
  <c r="I2266" i="3"/>
  <c r="N2266" i="3" s="1"/>
  <c r="I2267" i="3"/>
  <c r="I2268" i="3"/>
  <c r="I2269" i="3"/>
  <c r="N2269" i="3" s="1"/>
  <c r="I2270" i="3"/>
  <c r="N2270" i="3" s="1"/>
  <c r="I2271" i="3"/>
  <c r="I2272" i="3"/>
  <c r="I2273" i="3"/>
  <c r="I2274" i="3"/>
  <c r="N2274" i="3" s="1"/>
  <c r="I2275" i="3"/>
  <c r="I2276" i="3"/>
  <c r="I2277" i="3"/>
  <c r="N2277" i="3" s="1"/>
  <c r="I2278" i="3"/>
  <c r="I2279" i="3"/>
  <c r="I2280" i="3"/>
  <c r="N2280" i="3" s="1"/>
  <c r="I2281" i="3"/>
  <c r="N2281" i="3" s="1"/>
  <c r="I2282" i="3"/>
  <c r="N2282" i="3" s="1"/>
  <c r="I2283" i="3"/>
  <c r="I2284" i="3"/>
  <c r="I2285" i="3"/>
  <c r="N2285" i="3" s="1"/>
  <c r="I2286" i="3"/>
  <c r="N2286" i="3" s="1"/>
  <c r="I2287" i="3"/>
  <c r="I2288" i="3"/>
  <c r="I2289" i="3"/>
  <c r="I2290" i="3"/>
  <c r="N2290" i="3" s="1"/>
  <c r="I2291" i="3"/>
  <c r="I2292" i="3"/>
  <c r="I2293" i="3"/>
  <c r="N2293" i="3" s="1"/>
  <c r="I2294" i="3"/>
  <c r="I2295" i="3"/>
  <c r="I2296" i="3"/>
  <c r="N2296" i="3" s="1"/>
  <c r="I2297" i="3"/>
  <c r="N2297" i="3" s="1"/>
  <c r="I2298" i="3"/>
  <c r="N2298" i="3" s="1"/>
  <c r="I2299" i="3"/>
  <c r="I2300" i="3"/>
  <c r="I2301" i="3"/>
  <c r="N2301" i="3" s="1"/>
  <c r="I2302" i="3"/>
  <c r="N2302" i="3" s="1"/>
  <c r="I2303" i="3"/>
  <c r="I2304" i="3"/>
  <c r="I2305" i="3"/>
  <c r="I2306" i="3"/>
  <c r="N2306" i="3" s="1"/>
  <c r="I2307" i="3"/>
  <c r="I2308" i="3"/>
  <c r="I2309" i="3"/>
  <c r="N2309" i="3" s="1"/>
  <c r="I2310" i="3"/>
  <c r="I2311" i="3"/>
  <c r="I2312" i="3"/>
  <c r="N2312" i="3" s="1"/>
  <c r="I2313" i="3"/>
  <c r="N2313" i="3" s="1"/>
  <c r="I2314" i="3"/>
  <c r="N2314" i="3" s="1"/>
  <c r="I2315" i="3"/>
  <c r="I2316" i="3"/>
  <c r="I2317" i="3"/>
  <c r="N2317" i="3" s="1"/>
  <c r="I2318" i="3"/>
  <c r="N2318" i="3" s="1"/>
  <c r="I2319" i="3"/>
  <c r="I2320" i="3"/>
  <c r="I2321" i="3"/>
  <c r="I2322" i="3"/>
  <c r="N2322" i="3" s="1"/>
  <c r="I2323" i="3"/>
  <c r="I2324" i="3"/>
  <c r="I2325" i="3"/>
  <c r="N2325" i="3" s="1"/>
  <c r="I2326" i="3"/>
  <c r="I2327" i="3"/>
  <c r="I2328" i="3"/>
  <c r="N2328" i="3" s="1"/>
  <c r="I2329" i="3"/>
  <c r="N2329" i="3" s="1"/>
  <c r="I2330" i="3"/>
  <c r="N2330" i="3" s="1"/>
  <c r="I2331" i="3"/>
  <c r="I2332" i="3"/>
  <c r="I2333" i="3"/>
  <c r="N2333" i="3" s="1"/>
  <c r="I2334" i="3"/>
  <c r="N2334" i="3" s="1"/>
  <c r="I2335" i="3"/>
  <c r="I2336" i="3"/>
  <c r="I2337" i="3"/>
  <c r="I2338" i="3"/>
  <c r="N2338" i="3" s="1"/>
  <c r="I2339" i="3"/>
  <c r="I2340" i="3"/>
  <c r="I2341" i="3"/>
  <c r="N2341" i="3" s="1"/>
  <c r="I2342" i="3"/>
  <c r="I2343" i="3"/>
  <c r="I2344" i="3"/>
  <c r="N2344" i="3" s="1"/>
  <c r="I2345" i="3"/>
  <c r="N2345" i="3" s="1"/>
  <c r="I2346" i="3"/>
  <c r="N2346" i="3" s="1"/>
  <c r="I2347" i="3"/>
  <c r="I2348" i="3"/>
  <c r="I2349" i="3"/>
  <c r="N2349" i="3" s="1"/>
  <c r="I2350" i="3"/>
  <c r="N2350" i="3" s="1"/>
  <c r="I2351" i="3"/>
  <c r="I2352" i="3"/>
  <c r="I2353" i="3"/>
  <c r="I2354" i="3"/>
  <c r="N2354" i="3" s="1"/>
  <c r="I2355" i="3"/>
  <c r="I2356" i="3"/>
  <c r="I2357" i="3"/>
  <c r="N2357" i="3" s="1"/>
  <c r="I2358" i="3"/>
  <c r="I2359" i="3"/>
  <c r="I2360" i="3"/>
  <c r="N2360" i="3" s="1"/>
  <c r="I2361" i="3"/>
  <c r="N2361" i="3" s="1"/>
  <c r="I2362" i="3"/>
  <c r="I2363" i="3"/>
  <c r="I2364" i="3"/>
  <c r="I2365" i="3"/>
  <c r="N2365" i="3" s="1"/>
  <c r="I2366" i="3"/>
  <c r="N2366" i="3" s="1"/>
  <c r="I2367" i="3"/>
  <c r="I2368" i="3"/>
  <c r="I2369" i="3"/>
  <c r="I2370" i="3"/>
  <c r="N2370" i="3" s="1"/>
  <c r="I2371" i="3"/>
  <c r="I2372" i="3"/>
  <c r="I2373" i="3"/>
  <c r="N2373" i="3" s="1"/>
  <c r="I2374" i="3"/>
  <c r="I2375" i="3"/>
  <c r="I2376" i="3"/>
  <c r="N2376" i="3" s="1"/>
  <c r="I2377" i="3"/>
  <c r="N2377" i="3" s="1"/>
  <c r="I2378" i="3"/>
  <c r="I2379" i="3"/>
  <c r="I2380" i="3"/>
  <c r="I2381" i="3"/>
  <c r="N2381" i="3" s="1"/>
  <c r="I2382" i="3"/>
  <c r="N2382" i="3" s="1"/>
  <c r="I2383" i="3"/>
  <c r="I2384" i="3"/>
  <c r="I2385" i="3"/>
  <c r="I2386" i="3"/>
  <c r="N2386" i="3" s="1"/>
  <c r="I2387" i="3"/>
  <c r="I2388" i="3"/>
  <c r="I2389" i="3"/>
  <c r="N2389" i="3" s="1"/>
  <c r="I2390" i="3"/>
  <c r="I2391" i="3"/>
  <c r="I2392" i="3"/>
  <c r="N2392" i="3" s="1"/>
  <c r="I2393" i="3"/>
  <c r="N2393" i="3" s="1"/>
  <c r="I2394" i="3"/>
  <c r="I2395" i="3"/>
  <c r="I2396" i="3"/>
  <c r="I2397" i="3"/>
  <c r="N2397" i="3" s="1"/>
  <c r="I2398" i="3"/>
  <c r="N2398" i="3" s="1"/>
  <c r="I2399" i="3"/>
  <c r="I2400" i="3"/>
  <c r="I2401" i="3"/>
  <c r="I2402" i="3"/>
  <c r="N2402" i="3" s="1"/>
  <c r="I2403" i="3"/>
  <c r="I2404" i="3"/>
  <c r="I2405" i="3"/>
  <c r="N2405" i="3" s="1"/>
  <c r="I2406" i="3"/>
  <c r="I2407" i="3"/>
  <c r="I2408" i="3"/>
  <c r="N2408" i="3" s="1"/>
  <c r="I2409" i="3"/>
  <c r="N2409" i="3" s="1"/>
  <c r="I2410" i="3"/>
  <c r="I2411" i="3"/>
  <c r="I2412" i="3"/>
  <c r="I2413" i="3"/>
  <c r="N2413" i="3" s="1"/>
  <c r="I2414" i="3"/>
  <c r="N2414" i="3" s="1"/>
  <c r="I2415" i="3"/>
  <c r="I2416" i="3"/>
  <c r="I2417" i="3"/>
  <c r="I2418" i="3"/>
  <c r="N2418" i="3" s="1"/>
  <c r="I2419" i="3"/>
  <c r="I2420" i="3"/>
  <c r="I2421" i="3"/>
  <c r="N2421" i="3" s="1"/>
  <c r="I2422" i="3"/>
  <c r="I2423" i="3"/>
  <c r="I2424" i="3"/>
  <c r="N2424" i="3" s="1"/>
  <c r="I2425" i="3"/>
  <c r="N2425" i="3" s="1"/>
  <c r="I2426" i="3"/>
  <c r="I2427" i="3"/>
  <c r="I2428" i="3"/>
  <c r="I2429" i="3"/>
  <c r="N2429" i="3" s="1"/>
  <c r="I2430" i="3"/>
  <c r="N2430" i="3" s="1"/>
  <c r="I2431" i="3"/>
  <c r="I2432" i="3"/>
  <c r="I2433" i="3"/>
  <c r="I2434" i="3"/>
  <c r="N2434" i="3" s="1"/>
  <c r="I2435" i="3"/>
  <c r="I2436" i="3"/>
  <c r="I2437" i="3"/>
  <c r="N2437" i="3" s="1"/>
  <c r="I2438" i="3"/>
  <c r="I2439" i="3"/>
  <c r="I2440" i="3"/>
  <c r="N2440" i="3" s="1"/>
  <c r="I2441" i="3"/>
  <c r="N2441" i="3" s="1"/>
  <c r="I2442" i="3"/>
  <c r="I2443" i="3"/>
  <c r="I2444" i="3"/>
  <c r="I2445" i="3"/>
  <c r="I2446" i="3"/>
  <c r="N2446" i="3" s="1"/>
  <c r="I2447" i="3"/>
  <c r="I2448" i="3"/>
  <c r="I2449" i="3"/>
  <c r="I2450" i="3"/>
  <c r="N2450" i="3" s="1"/>
  <c r="I2451" i="3"/>
  <c r="I2452" i="3"/>
  <c r="I2453" i="3"/>
  <c r="N2453" i="3" s="1"/>
  <c r="I2454" i="3"/>
  <c r="I2455" i="3"/>
  <c r="I2456" i="3"/>
  <c r="N2456" i="3" s="1"/>
  <c r="I2457" i="3"/>
  <c r="N2457" i="3" s="1"/>
  <c r="I2458" i="3"/>
  <c r="I2459" i="3"/>
  <c r="I2460" i="3"/>
  <c r="I2461" i="3"/>
  <c r="I2462" i="3"/>
  <c r="N2462" i="3" s="1"/>
  <c r="I2463" i="3"/>
  <c r="I2464" i="3"/>
  <c r="I2465" i="3"/>
  <c r="I2466" i="3"/>
  <c r="N2466" i="3" s="1"/>
  <c r="I2467" i="3"/>
  <c r="I2468" i="3"/>
  <c r="I2469" i="3"/>
  <c r="N2469" i="3" s="1"/>
  <c r="I2470" i="3"/>
  <c r="I2471" i="3"/>
  <c r="I2472" i="3"/>
  <c r="N2472" i="3" s="1"/>
  <c r="I2473" i="3"/>
  <c r="N2473" i="3" s="1"/>
  <c r="I2474" i="3"/>
  <c r="I2475" i="3"/>
  <c r="I2476" i="3"/>
  <c r="I2477" i="3"/>
  <c r="I2478" i="3"/>
  <c r="N2478" i="3" s="1"/>
  <c r="I2479" i="3"/>
  <c r="I2480" i="3"/>
  <c r="I2481" i="3"/>
  <c r="I2482" i="3"/>
  <c r="N2482" i="3" s="1"/>
  <c r="I2483" i="3"/>
  <c r="I2484" i="3"/>
  <c r="I2485" i="3"/>
  <c r="N2485" i="3" s="1"/>
  <c r="I2486" i="3"/>
  <c r="I2487" i="3"/>
  <c r="I2488" i="3"/>
  <c r="N2488" i="3" s="1"/>
  <c r="I2489" i="3"/>
  <c r="N2489" i="3" s="1"/>
  <c r="I2490" i="3"/>
  <c r="I2491" i="3"/>
  <c r="I2492" i="3"/>
  <c r="I2493" i="3"/>
  <c r="I2494" i="3"/>
  <c r="N2494" i="3" s="1"/>
  <c r="I2495" i="3"/>
  <c r="I2496" i="3"/>
  <c r="I2497" i="3"/>
  <c r="I2498" i="3"/>
  <c r="N2498" i="3" s="1"/>
  <c r="I2499" i="3"/>
  <c r="I2500" i="3"/>
  <c r="I2501" i="3"/>
  <c r="N2501" i="3" s="1"/>
  <c r="I2502" i="3"/>
  <c r="I2503" i="3"/>
  <c r="I2504" i="3"/>
  <c r="N2504" i="3" s="1"/>
  <c r="I2505" i="3"/>
  <c r="N2505" i="3" s="1"/>
  <c r="I2506" i="3"/>
  <c r="I2507" i="3"/>
  <c r="I2508" i="3"/>
  <c r="I2509" i="3"/>
  <c r="I2510" i="3"/>
  <c r="N2510" i="3" s="1"/>
  <c r="I2511" i="3"/>
  <c r="I2512" i="3"/>
  <c r="I2513" i="3"/>
  <c r="I2514" i="3"/>
  <c r="N2514" i="3" s="1"/>
  <c r="I2515" i="3"/>
  <c r="I2516" i="3"/>
  <c r="I2517" i="3"/>
  <c r="N2517" i="3" s="1"/>
  <c r="I2518" i="3"/>
  <c r="I2519" i="3"/>
  <c r="I2520" i="3"/>
  <c r="N2520" i="3" s="1"/>
  <c r="I2521" i="3"/>
  <c r="N2521" i="3" s="1"/>
  <c r="I2522" i="3"/>
  <c r="I2523" i="3"/>
  <c r="I2524" i="3"/>
  <c r="I2525" i="3"/>
  <c r="I2526" i="3"/>
  <c r="N2526" i="3" s="1"/>
  <c r="I2527" i="3"/>
  <c r="I2528" i="3"/>
  <c r="I2529" i="3"/>
  <c r="I2530" i="3"/>
  <c r="N2530" i="3" s="1"/>
  <c r="I2531" i="3"/>
  <c r="I2532" i="3"/>
  <c r="I2533" i="3"/>
  <c r="N2533" i="3" s="1"/>
  <c r="I2534" i="3"/>
  <c r="I2535" i="3"/>
  <c r="I2536" i="3"/>
  <c r="N2536" i="3" s="1"/>
  <c r="I2537" i="3"/>
  <c r="N2537" i="3" s="1"/>
  <c r="I2538" i="3"/>
  <c r="I2539" i="3"/>
  <c r="I2540" i="3"/>
  <c r="I2541" i="3"/>
  <c r="I2542" i="3"/>
  <c r="N2542" i="3" s="1"/>
  <c r="I2543" i="3"/>
  <c r="I2544" i="3"/>
  <c r="I2545" i="3"/>
  <c r="I2546" i="3"/>
  <c r="N2546" i="3" s="1"/>
  <c r="I2547" i="3"/>
  <c r="I2548" i="3"/>
  <c r="I2549" i="3"/>
  <c r="N2549" i="3" s="1"/>
  <c r="I2550" i="3"/>
  <c r="I2551" i="3"/>
  <c r="I2552" i="3"/>
  <c r="N2552" i="3" s="1"/>
  <c r="I2553" i="3"/>
  <c r="N2553" i="3" s="1"/>
  <c r="I2554" i="3"/>
  <c r="I2555" i="3"/>
  <c r="I2556" i="3"/>
  <c r="I2557" i="3"/>
  <c r="I2558" i="3"/>
  <c r="N2558" i="3" s="1"/>
  <c r="I2559" i="3"/>
  <c r="I2560" i="3"/>
  <c r="I2561" i="3"/>
  <c r="I2562" i="3"/>
  <c r="N2562" i="3" s="1"/>
  <c r="I2563" i="3"/>
  <c r="I2564" i="3"/>
  <c r="I2565" i="3"/>
  <c r="N2565" i="3" s="1"/>
  <c r="I2566" i="3"/>
  <c r="I2567" i="3"/>
  <c r="I2568" i="3"/>
  <c r="N2568" i="3" s="1"/>
  <c r="I2569" i="3"/>
  <c r="N2569" i="3" s="1"/>
  <c r="I2570" i="3"/>
  <c r="I2571" i="3"/>
  <c r="I2572" i="3"/>
  <c r="I2573" i="3"/>
  <c r="I2574" i="3"/>
  <c r="N2574" i="3" s="1"/>
  <c r="I2575" i="3"/>
  <c r="I2576" i="3"/>
  <c r="I2577" i="3"/>
  <c r="I2578" i="3"/>
  <c r="N2578" i="3" s="1"/>
  <c r="I2579" i="3"/>
  <c r="I2580" i="3"/>
  <c r="I2581" i="3"/>
  <c r="N2581" i="3" s="1"/>
  <c r="I2582" i="3"/>
  <c r="I2583" i="3"/>
  <c r="I2584" i="3"/>
  <c r="N2584" i="3" s="1"/>
  <c r="I2585" i="3"/>
  <c r="N2585" i="3" s="1"/>
  <c r="I2586" i="3"/>
  <c r="I2587" i="3"/>
  <c r="I2588" i="3"/>
  <c r="I2589" i="3"/>
  <c r="I2590" i="3"/>
  <c r="N2590" i="3" s="1"/>
  <c r="I2591" i="3"/>
  <c r="I2592" i="3"/>
  <c r="I2593" i="3"/>
  <c r="I2594" i="3"/>
  <c r="N2594" i="3" s="1"/>
  <c r="I2595" i="3"/>
  <c r="I2596" i="3"/>
  <c r="I2597" i="3"/>
  <c r="N2597" i="3" s="1"/>
  <c r="I2598" i="3"/>
  <c r="I2599" i="3"/>
  <c r="I2600" i="3"/>
  <c r="N2600" i="3" s="1"/>
  <c r="I2601" i="3"/>
  <c r="N2601" i="3" s="1"/>
  <c r="I2602" i="3"/>
  <c r="I2603" i="3"/>
  <c r="I2604" i="3"/>
  <c r="I2605" i="3"/>
  <c r="I2606" i="3"/>
  <c r="N2606" i="3" s="1"/>
  <c r="I2607" i="3"/>
  <c r="I2608" i="3"/>
  <c r="I2609" i="3"/>
  <c r="I2610" i="3"/>
  <c r="N2610" i="3" s="1"/>
  <c r="I2611" i="3"/>
  <c r="I2612" i="3"/>
  <c r="I2613" i="3"/>
  <c r="N2613" i="3" s="1"/>
  <c r="I2614" i="3"/>
  <c r="I2615" i="3"/>
  <c r="I2616" i="3"/>
  <c r="N2616" i="3" s="1"/>
  <c r="I2617" i="3"/>
  <c r="N2617" i="3" s="1"/>
  <c r="I2618" i="3"/>
  <c r="I2619" i="3"/>
  <c r="I2620" i="3"/>
  <c r="I2621" i="3"/>
  <c r="I2622" i="3"/>
  <c r="N2622" i="3" s="1"/>
  <c r="I2623" i="3"/>
  <c r="I2624" i="3"/>
  <c r="I2625" i="3"/>
  <c r="I2626" i="3"/>
  <c r="N2626" i="3" s="1"/>
  <c r="I2627" i="3"/>
  <c r="I2628" i="3"/>
  <c r="I2629" i="3"/>
  <c r="N2629" i="3" s="1"/>
  <c r="I2630" i="3"/>
  <c r="I2631" i="3"/>
  <c r="I2632" i="3"/>
  <c r="N2632" i="3" s="1"/>
  <c r="I2633" i="3"/>
  <c r="N2633" i="3" s="1"/>
  <c r="I2634" i="3"/>
  <c r="I2635" i="3"/>
  <c r="I2636" i="3"/>
  <c r="I2637" i="3"/>
  <c r="I2638" i="3"/>
  <c r="N2638" i="3" s="1"/>
  <c r="I2639" i="3"/>
  <c r="I2640" i="3"/>
  <c r="I2641" i="3"/>
  <c r="I2642" i="3"/>
  <c r="N2642" i="3" s="1"/>
  <c r="I2643" i="3"/>
  <c r="I2644" i="3"/>
  <c r="I2645" i="3"/>
  <c r="N2645" i="3" s="1"/>
  <c r="I2646" i="3"/>
  <c r="I2647" i="3"/>
  <c r="I2648" i="3"/>
  <c r="N2648" i="3" s="1"/>
  <c r="I2649" i="3"/>
  <c r="N2649" i="3" s="1"/>
  <c r="I2650" i="3"/>
  <c r="I2651" i="3"/>
  <c r="I2652" i="3"/>
  <c r="I2653" i="3"/>
  <c r="I2654" i="3"/>
  <c r="N2654" i="3" s="1"/>
  <c r="I2655" i="3"/>
  <c r="I2656" i="3"/>
  <c r="I2657" i="3"/>
  <c r="I2658" i="3"/>
  <c r="N2658" i="3" s="1"/>
  <c r="I2659" i="3"/>
  <c r="I2660" i="3"/>
  <c r="I2661" i="3"/>
  <c r="N2661" i="3" s="1"/>
  <c r="I2662" i="3"/>
  <c r="I2663" i="3"/>
  <c r="I2664" i="3"/>
  <c r="N2664" i="3" s="1"/>
  <c r="I2665" i="3"/>
  <c r="N2665" i="3" s="1"/>
  <c r="I2666" i="3"/>
  <c r="I2667" i="3"/>
  <c r="I2668" i="3"/>
  <c r="I2669" i="3"/>
  <c r="I2670" i="3"/>
  <c r="N2670" i="3" s="1"/>
  <c r="I2671" i="3"/>
  <c r="I2672" i="3"/>
  <c r="I2673" i="3"/>
  <c r="I2674" i="3"/>
  <c r="N2674" i="3" s="1"/>
  <c r="I2675" i="3"/>
  <c r="I2676" i="3"/>
  <c r="I2677" i="3"/>
  <c r="N2677" i="3" s="1"/>
  <c r="I2678" i="3"/>
  <c r="I2679" i="3"/>
  <c r="I2680" i="3"/>
  <c r="N2680" i="3" s="1"/>
  <c r="I2681" i="3"/>
  <c r="N2681" i="3" s="1"/>
  <c r="I2682" i="3"/>
  <c r="I2683" i="3"/>
  <c r="I2684" i="3"/>
  <c r="I2685" i="3"/>
  <c r="I2686" i="3"/>
  <c r="N2686" i="3" s="1"/>
  <c r="I2687" i="3"/>
  <c r="I2688" i="3"/>
  <c r="I2689" i="3"/>
  <c r="I2690" i="3"/>
  <c r="N2690" i="3" s="1"/>
  <c r="I2691" i="3"/>
  <c r="I2692" i="3"/>
  <c r="I2693" i="3"/>
  <c r="N2693" i="3" s="1"/>
  <c r="I2694" i="3"/>
  <c r="I2695" i="3"/>
  <c r="I2696" i="3"/>
  <c r="N2696" i="3" s="1"/>
  <c r="I2697" i="3"/>
  <c r="N2697" i="3" s="1"/>
  <c r="I2698" i="3"/>
  <c r="I2699" i="3"/>
  <c r="I2700" i="3"/>
  <c r="I2701" i="3"/>
  <c r="I2702" i="3"/>
  <c r="N2702" i="3" s="1"/>
  <c r="I2703" i="3"/>
  <c r="I2704" i="3"/>
  <c r="I2705" i="3"/>
  <c r="I2706" i="3"/>
  <c r="N2706" i="3" s="1"/>
  <c r="I2707" i="3"/>
  <c r="I2708" i="3"/>
  <c r="I2709" i="3"/>
  <c r="N2709" i="3" s="1"/>
  <c r="I2710" i="3"/>
  <c r="I2711" i="3"/>
  <c r="I2712" i="3"/>
  <c r="N2712" i="3" s="1"/>
  <c r="I2713" i="3"/>
  <c r="N2713" i="3" s="1"/>
  <c r="I2714" i="3"/>
  <c r="I2715" i="3"/>
  <c r="I2716" i="3"/>
  <c r="I2717" i="3"/>
  <c r="I2718" i="3"/>
  <c r="N2718" i="3" s="1"/>
  <c r="I2719" i="3"/>
  <c r="I2720" i="3"/>
  <c r="I2721" i="3"/>
  <c r="I2722" i="3"/>
  <c r="N2722" i="3" s="1"/>
  <c r="I2723" i="3"/>
  <c r="I2724" i="3"/>
  <c r="I2725" i="3"/>
  <c r="N2725" i="3" s="1"/>
  <c r="I2726" i="3"/>
  <c r="I2727" i="3"/>
  <c r="I2728" i="3"/>
  <c r="N2728" i="3" s="1"/>
  <c r="I2729" i="3"/>
  <c r="N2729" i="3" s="1"/>
  <c r="I2730" i="3"/>
  <c r="I2731" i="3"/>
  <c r="I2732" i="3"/>
  <c r="I2733" i="3"/>
  <c r="I2734" i="3"/>
  <c r="N2734" i="3" s="1"/>
  <c r="I2735" i="3"/>
  <c r="I2736" i="3"/>
  <c r="I2737" i="3"/>
  <c r="I2738" i="3"/>
  <c r="N2738" i="3" s="1"/>
  <c r="I2739" i="3"/>
  <c r="I2740" i="3"/>
  <c r="I2741" i="3"/>
  <c r="N2741" i="3" s="1"/>
  <c r="I2742" i="3"/>
  <c r="I2743" i="3"/>
  <c r="I2744" i="3"/>
  <c r="N2744" i="3" s="1"/>
  <c r="I2745" i="3"/>
  <c r="N2745" i="3" s="1"/>
  <c r="I2746" i="3"/>
  <c r="I2747" i="3"/>
  <c r="I2748" i="3"/>
  <c r="I2749" i="3"/>
  <c r="I2750" i="3"/>
  <c r="N2750" i="3" s="1"/>
  <c r="I2751" i="3"/>
  <c r="I2752" i="3"/>
  <c r="I2753" i="3"/>
  <c r="I2754" i="3"/>
  <c r="N2754" i="3" s="1"/>
  <c r="I2755" i="3"/>
  <c r="I2756" i="3"/>
  <c r="I2757" i="3"/>
  <c r="N2757" i="3" s="1"/>
  <c r="I2758" i="3"/>
  <c r="I2759" i="3"/>
  <c r="I2760" i="3"/>
  <c r="N2760" i="3" s="1"/>
  <c r="I2761" i="3"/>
  <c r="N2761" i="3" s="1"/>
  <c r="I2762" i="3"/>
  <c r="I2763" i="3"/>
  <c r="I2764" i="3"/>
  <c r="I2765" i="3"/>
  <c r="I2766" i="3"/>
  <c r="N2766" i="3" s="1"/>
  <c r="I2767" i="3"/>
  <c r="I2768" i="3"/>
  <c r="I2769" i="3"/>
  <c r="I2770" i="3"/>
  <c r="N2770" i="3" s="1"/>
  <c r="I2771" i="3"/>
  <c r="I2772" i="3"/>
  <c r="I2773" i="3"/>
  <c r="N2773" i="3" s="1"/>
  <c r="I2774" i="3"/>
  <c r="I2775" i="3"/>
  <c r="I2776" i="3"/>
  <c r="N2776" i="3" s="1"/>
  <c r="I2777" i="3"/>
  <c r="N2777" i="3" s="1"/>
  <c r="I2778" i="3"/>
  <c r="I2779" i="3"/>
  <c r="I2780" i="3"/>
  <c r="I2781" i="3"/>
  <c r="I2782" i="3"/>
  <c r="N2782" i="3" s="1"/>
  <c r="I2783" i="3"/>
  <c r="I2784" i="3"/>
  <c r="I2785" i="3"/>
  <c r="I2786" i="3"/>
  <c r="N2786" i="3" s="1"/>
  <c r="I2787" i="3"/>
  <c r="I2788" i="3"/>
  <c r="I2789" i="3"/>
  <c r="N2789" i="3" s="1"/>
  <c r="I2790" i="3"/>
  <c r="I2791" i="3"/>
  <c r="I2792" i="3"/>
  <c r="N2792" i="3" s="1"/>
  <c r="I2793" i="3"/>
  <c r="N2793" i="3" s="1"/>
  <c r="I2794" i="3"/>
  <c r="I2795" i="3"/>
  <c r="I2796" i="3"/>
  <c r="I2797" i="3"/>
  <c r="I2798" i="3"/>
  <c r="N2798" i="3" s="1"/>
  <c r="I2799" i="3"/>
  <c r="I2800" i="3"/>
  <c r="I2801" i="3"/>
  <c r="I2802" i="3"/>
  <c r="N2802" i="3" s="1"/>
  <c r="I2803" i="3"/>
  <c r="I2804" i="3"/>
  <c r="I2805" i="3"/>
  <c r="N2805" i="3" s="1"/>
  <c r="I2806" i="3"/>
  <c r="I2807" i="3"/>
  <c r="I2808" i="3"/>
  <c r="N2808" i="3" s="1"/>
  <c r="I2809" i="3"/>
  <c r="N2809" i="3" s="1"/>
  <c r="I2810" i="3"/>
  <c r="I2811" i="3"/>
  <c r="I2812" i="3"/>
  <c r="N2812" i="3" s="1"/>
  <c r="I2813" i="3"/>
  <c r="I2814" i="3"/>
  <c r="N2814" i="3" s="1"/>
  <c r="I2815" i="3"/>
  <c r="I2816" i="3"/>
  <c r="I2817" i="3"/>
  <c r="I2818" i="3"/>
  <c r="N2818" i="3" s="1"/>
  <c r="I2819" i="3"/>
  <c r="I2820" i="3"/>
  <c r="I2821" i="3"/>
  <c r="N2821" i="3" s="1"/>
  <c r="I2822" i="3"/>
  <c r="I2823" i="3"/>
  <c r="I2824" i="3"/>
  <c r="N2824" i="3" s="1"/>
  <c r="I2825" i="3"/>
  <c r="N2825" i="3" s="1"/>
  <c r="I2826" i="3"/>
  <c r="I2827" i="3"/>
  <c r="I2828" i="3"/>
  <c r="I2829" i="3"/>
  <c r="I2830" i="3"/>
  <c r="N2830" i="3" s="1"/>
  <c r="I2831" i="3"/>
  <c r="I2832" i="3"/>
  <c r="I2833" i="3"/>
  <c r="I2834" i="3"/>
  <c r="N2834" i="3" s="1"/>
  <c r="I2835" i="3"/>
  <c r="I2836" i="3"/>
  <c r="I2837" i="3"/>
  <c r="N2837" i="3" s="1"/>
  <c r="I2838" i="3"/>
  <c r="I2839" i="3"/>
  <c r="I2840" i="3"/>
  <c r="N2840" i="3" s="1"/>
  <c r="I2841" i="3"/>
  <c r="N2841" i="3" s="1"/>
  <c r="I2842" i="3"/>
  <c r="I2843" i="3"/>
  <c r="I2844" i="3"/>
  <c r="I2845" i="3"/>
  <c r="I2846" i="3"/>
  <c r="N2846" i="3" s="1"/>
  <c r="I2847" i="3"/>
  <c r="I2848" i="3"/>
  <c r="I2849" i="3"/>
  <c r="I2850" i="3"/>
  <c r="N2850" i="3" s="1"/>
  <c r="I2851" i="3"/>
  <c r="I2852" i="3"/>
  <c r="I2853" i="3"/>
  <c r="N2853" i="3" s="1"/>
  <c r="I2854" i="3"/>
  <c r="I2855" i="3"/>
  <c r="I2856" i="3"/>
  <c r="N2856" i="3" s="1"/>
  <c r="I2857" i="3"/>
  <c r="N2857" i="3" s="1"/>
  <c r="I2858" i="3"/>
  <c r="I2859" i="3"/>
  <c r="I2860" i="3"/>
  <c r="I2861" i="3"/>
  <c r="I2862" i="3"/>
  <c r="N2862" i="3" s="1"/>
  <c r="I2863" i="3"/>
  <c r="I2864" i="3"/>
  <c r="I2865" i="3"/>
  <c r="I2866" i="3"/>
  <c r="N2866" i="3" s="1"/>
  <c r="I2867" i="3"/>
  <c r="I2868" i="3"/>
  <c r="I2869" i="3"/>
  <c r="N2869" i="3" s="1"/>
  <c r="I2870" i="3"/>
  <c r="I2871" i="3"/>
  <c r="I2872" i="3"/>
  <c r="N2872" i="3" s="1"/>
  <c r="I2873" i="3"/>
  <c r="N2873" i="3" s="1"/>
  <c r="I2874" i="3"/>
  <c r="I2875" i="3"/>
  <c r="I2876" i="3"/>
  <c r="I2877" i="3"/>
  <c r="I2878" i="3"/>
  <c r="N2878" i="3" s="1"/>
  <c r="I2879" i="3"/>
  <c r="I2880" i="3"/>
  <c r="I2881" i="3"/>
  <c r="I2882" i="3"/>
  <c r="N2882" i="3" s="1"/>
  <c r="I2883" i="3"/>
  <c r="I2884" i="3"/>
  <c r="I2885" i="3"/>
  <c r="N2885" i="3" s="1"/>
  <c r="I2886" i="3"/>
  <c r="I2887" i="3"/>
  <c r="I2888" i="3"/>
  <c r="N2888" i="3" s="1"/>
  <c r="I2889" i="3"/>
  <c r="N2889" i="3" s="1"/>
  <c r="I2890" i="3"/>
  <c r="I2891" i="3"/>
  <c r="I2892" i="3"/>
  <c r="I2893" i="3"/>
  <c r="I2894" i="3"/>
  <c r="N2894" i="3" s="1"/>
  <c r="I2895" i="3"/>
  <c r="I2896" i="3"/>
  <c r="I2897" i="3"/>
  <c r="I2898" i="3"/>
  <c r="N2898" i="3" s="1"/>
  <c r="I2899" i="3"/>
  <c r="I2900" i="3"/>
  <c r="I2901" i="3"/>
  <c r="N2901" i="3" s="1"/>
  <c r="I2902" i="3"/>
  <c r="I2903" i="3"/>
  <c r="I2904" i="3"/>
  <c r="N2904" i="3" s="1"/>
  <c r="I2905" i="3"/>
  <c r="N2905" i="3" s="1"/>
  <c r="I2906" i="3"/>
  <c r="I2907" i="3"/>
  <c r="I2908" i="3"/>
  <c r="I2909" i="3"/>
  <c r="I2910" i="3"/>
  <c r="N2910" i="3" s="1"/>
  <c r="I2911" i="3"/>
  <c r="I2912" i="3"/>
  <c r="I2913" i="3"/>
  <c r="I2914" i="3"/>
  <c r="N2914" i="3" s="1"/>
  <c r="I2915" i="3"/>
  <c r="I2916" i="3"/>
  <c r="I2917" i="3"/>
  <c r="N2917" i="3" s="1"/>
  <c r="I2918" i="3"/>
  <c r="I2919" i="3"/>
  <c r="I2920" i="3"/>
  <c r="N2920" i="3" s="1"/>
  <c r="I2921" i="3"/>
  <c r="N2921" i="3" s="1"/>
  <c r="I2922" i="3"/>
  <c r="I2923" i="3"/>
  <c r="I2924" i="3"/>
  <c r="I2925" i="3"/>
  <c r="I2926" i="3"/>
  <c r="N2926" i="3" s="1"/>
  <c r="I2927" i="3"/>
  <c r="I2928" i="3"/>
  <c r="I2929" i="3"/>
  <c r="I2930" i="3"/>
  <c r="N2930" i="3" s="1"/>
  <c r="I2931" i="3"/>
  <c r="I2932" i="3"/>
  <c r="I2933" i="3"/>
  <c r="N2933" i="3" s="1"/>
  <c r="I2934" i="3"/>
  <c r="I2935" i="3"/>
  <c r="I2936" i="3"/>
  <c r="N2936" i="3" s="1"/>
  <c r="I2937" i="3"/>
  <c r="N2937" i="3" s="1"/>
  <c r="I2938" i="3"/>
  <c r="I2939" i="3"/>
  <c r="I2940" i="3"/>
  <c r="I2941" i="3"/>
  <c r="I2942" i="3"/>
  <c r="N2942" i="3" s="1"/>
  <c r="I2943" i="3"/>
  <c r="I2944" i="3"/>
  <c r="I2945" i="3"/>
  <c r="I2946" i="3"/>
  <c r="N2946" i="3" s="1"/>
  <c r="I2947" i="3"/>
  <c r="I2948" i="3"/>
  <c r="I2949" i="3"/>
  <c r="N2949" i="3" s="1"/>
  <c r="I2950" i="3"/>
  <c r="I2951" i="3"/>
  <c r="I2952" i="3"/>
  <c r="N2952" i="3" s="1"/>
  <c r="I2953" i="3"/>
  <c r="N2953" i="3" s="1"/>
  <c r="I2954" i="3"/>
  <c r="I2955" i="3"/>
  <c r="I2956" i="3"/>
  <c r="I2957" i="3"/>
  <c r="I2958" i="3"/>
  <c r="I2959" i="3"/>
  <c r="I2960" i="3"/>
  <c r="I2961" i="3"/>
  <c r="I2962" i="3"/>
  <c r="N2962" i="3" s="1"/>
  <c r="I2963" i="3"/>
  <c r="I2964" i="3"/>
  <c r="I2965" i="3"/>
  <c r="N2965" i="3" s="1"/>
  <c r="I2966" i="3"/>
  <c r="I2967" i="3"/>
  <c r="I2968" i="3"/>
  <c r="N2968" i="3" s="1"/>
  <c r="I2969" i="3"/>
  <c r="N2969" i="3" s="1"/>
  <c r="I2970" i="3"/>
  <c r="I2971" i="3"/>
  <c r="I2972" i="3"/>
  <c r="I2973" i="3"/>
  <c r="I2974" i="3"/>
  <c r="I2975" i="3"/>
  <c r="I2976" i="3"/>
  <c r="I2977" i="3"/>
  <c r="I2978" i="3"/>
  <c r="N2978" i="3" s="1"/>
  <c r="I2979" i="3"/>
  <c r="I2980" i="3"/>
  <c r="I2981" i="3"/>
  <c r="N2981" i="3" s="1"/>
  <c r="I2982" i="3"/>
  <c r="I2983" i="3"/>
  <c r="I2984" i="3"/>
  <c r="N2984" i="3" s="1"/>
  <c r="I2985" i="3"/>
  <c r="N2985" i="3" s="1"/>
  <c r="I2986" i="3"/>
  <c r="I2987" i="3"/>
  <c r="I2988" i="3"/>
  <c r="I2989" i="3"/>
  <c r="I2990" i="3"/>
  <c r="I2991" i="3"/>
  <c r="I2992" i="3"/>
  <c r="I2993" i="3"/>
  <c r="I2994" i="3"/>
  <c r="N2994" i="3" s="1"/>
  <c r="I2995" i="3"/>
  <c r="I2996" i="3"/>
  <c r="I2997" i="3"/>
  <c r="N2997" i="3" s="1"/>
  <c r="I2998" i="3"/>
  <c r="I2999" i="3"/>
  <c r="I3000" i="3"/>
  <c r="N3000" i="3" s="1"/>
  <c r="I3001" i="3"/>
  <c r="N3001" i="3" s="1"/>
  <c r="I3002" i="3"/>
  <c r="I3003" i="3"/>
  <c r="I3004" i="3"/>
  <c r="I3005" i="3"/>
  <c r="I3006" i="3"/>
  <c r="I3007" i="3"/>
  <c r="I3008" i="3"/>
  <c r="I3009" i="3"/>
  <c r="I3010" i="3"/>
  <c r="N3010" i="3" s="1"/>
  <c r="I3011" i="3"/>
  <c r="I3012" i="3"/>
  <c r="I3013" i="3"/>
  <c r="N3013" i="3" s="1"/>
  <c r="I3014" i="3"/>
  <c r="I3015" i="3"/>
  <c r="I3016" i="3"/>
  <c r="N3016" i="3" s="1"/>
  <c r="I3017" i="3"/>
  <c r="N3017" i="3" s="1"/>
  <c r="I3018" i="3"/>
  <c r="I3019" i="3"/>
  <c r="I3020" i="3"/>
  <c r="I3021" i="3"/>
  <c r="I3022" i="3"/>
  <c r="I3023" i="3"/>
  <c r="I3024" i="3"/>
  <c r="I3025" i="3"/>
  <c r="I3026" i="3"/>
  <c r="N3026" i="3" s="1"/>
  <c r="I3027" i="3"/>
  <c r="I3028" i="3"/>
  <c r="I3029" i="3"/>
  <c r="N3029" i="3" s="1"/>
  <c r="I3030" i="3"/>
  <c r="I3031" i="3"/>
  <c r="I3032" i="3"/>
  <c r="N3032" i="3" s="1"/>
  <c r="I3033" i="3"/>
  <c r="N3033" i="3" s="1"/>
  <c r="I3034" i="3"/>
  <c r="I3035" i="3"/>
  <c r="I3036" i="3"/>
  <c r="I3037" i="3"/>
  <c r="I3038" i="3"/>
  <c r="I3039" i="3"/>
  <c r="I3040" i="3"/>
  <c r="I3041" i="3"/>
  <c r="I3042" i="3"/>
  <c r="N3042" i="3" s="1"/>
  <c r="I3043" i="3"/>
  <c r="I3044" i="3"/>
  <c r="I3045" i="3"/>
  <c r="N3045" i="3" s="1"/>
  <c r="I3046" i="3"/>
  <c r="I3047" i="3"/>
  <c r="I3048" i="3"/>
  <c r="N3048" i="3" s="1"/>
  <c r="I3049" i="3"/>
  <c r="N3049" i="3" s="1"/>
  <c r="I3050" i="3"/>
  <c r="I3051" i="3"/>
  <c r="I3052" i="3"/>
  <c r="I3053" i="3"/>
  <c r="I3054" i="3"/>
  <c r="I3055" i="3"/>
  <c r="I3056" i="3"/>
  <c r="I3057" i="3"/>
  <c r="I3058" i="3"/>
  <c r="N3058" i="3" s="1"/>
  <c r="I3059" i="3"/>
  <c r="I3060" i="3"/>
  <c r="I3061" i="3"/>
  <c r="N3061" i="3" s="1"/>
  <c r="I3062" i="3"/>
  <c r="I3063" i="3"/>
  <c r="I3064" i="3"/>
  <c r="N3064" i="3" s="1"/>
  <c r="I3065" i="3"/>
  <c r="N3065" i="3" s="1"/>
  <c r="I3066" i="3"/>
  <c r="I3067" i="3"/>
  <c r="I3068" i="3"/>
  <c r="I3069" i="3"/>
  <c r="I3070" i="3"/>
  <c r="I3071" i="3"/>
  <c r="I3072" i="3"/>
  <c r="I3073" i="3"/>
  <c r="I3074" i="3"/>
  <c r="N3074" i="3" s="1"/>
  <c r="I3075" i="3"/>
  <c r="I3076" i="3"/>
  <c r="I3077" i="3"/>
  <c r="N3077" i="3" s="1"/>
  <c r="I3078" i="3"/>
  <c r="I3079" i="3"/>
  <c r="I3080" i="3"/>
  <c r="N3080" i="3" s="1"/>
  <c r="I3081" i="3"/>
  <c r="N3081" i="3" s="1"/>
  <c r="I3082" i="3"/>
  <c r="I3083" i="3"/>
  <c r="I3084" i="3"/>
  <c r="I3085" i="3"/>
  <c r="I3086" i="3"/>
  <c r="I3087" i="3"/>
  <c r="I3088" i="3"/>
  <c r="I3089" i="3"/>
  <c r="I3090" i="3"/>
  <c r="N3090" i="3" s="1"/>
  <c r="I3091" i="3"/>
  <c r="I3092" i="3"/>
  <c r="I3093" i="3"/>
  <c r="N3093" i="3" s="1"/>
  <c r="I3094" i="3"/>
  <c r="I3095" i="3"/>
  <c r="I3096" i="3"/>
  <c r="N3096" i="3" s="1"/>
  <c r="I3097" i="3"/>
  <c r="N3097" i="3" s="1"/>
  <c r="I3098" i="3"/>
  <c r="I3099" i="3"/>
  <c r="I3100" i="3"/>
  <c r="I3101" i="3"/>
  <c r="I3102" i="3"/>
  <c r="I3103" i="3"/>
  <c r="I3104" i="3"/>
  <c r="I3105" i="3"/>
  <c r="I3106" i="3"/>
  <c r="N3106" i="3" s="1"/>
  <c r="I3107" i="3"/>
  <c r="I3108" i="3"/>
  <c r="I3109" i="3"/>
  <c r="N3109" i="3" s="1"/>
  <c r="I3110" i="3"/>
  <c r="I3111" i="3"/>
  <c r="I3112" i="3"/>
  <c r="N3112" i="3" s="1"/>
  <c r="I3113" i="3"/>
  <c r="N3113" i="3" s="1"/>
  <c r="I3114" i="3"/>
  <c r="I3115" i="3"/>
  <c r="I3116" i="3"/>
  <c r="I3117" i="3"/>
  <c r="I3118" i="3"/>
  <c r="I3119" i="3"/>
  <c r="I3120" i="3"/>
  <c r="I3121" i="3"/>
  <c r="I3122" i="3"/>
  <c r="N3122" i="3" s="1"/>
  <c r="I3123" i="3"/>
  <c r="I3124" i="3"/>
  <c r="I3125" i="3"/>
  <c r="N3125" i="3" s="1"/>
  <c r="I3126" i="3"/>
  <c r="I3127" i="3"/>
  <c r="I3128" i="3"/>
  <c r="N3128" i="3" s="1"/>
  <c r="I3129" i="3"/>
  <c r="N3129" i="3" s="1"/>
  <c r="I3130" i="3"/>
  <c r="I3131" i="3"/>
  <c r="I3132" i="3"/>
  <c r="I3133" i="3"/>
  <c r="I3134" i="3"/>
  <c r="I3135" i="3"/>
  <c r="I3136" i="3"/>
  <c r="I3137" i="3"/>
  <c r="I3138" i="3"/>
  <c r="N3138" i="3" s="1"/>
  <c r="I3139" i="3"/>
  <c r="I3140" i="3"/>
  <c r="I3141" i="3"/>
  <c r="N3141" i="3" s="1"/>
  <c r="I3142" i="3"/>
  <c r="I3143" i="3"/>
  <c r="I3144" i="3"/>
  <c r="N3144" i="3" s="1"/>
  <c r="I3145" i="3"/>
  <c r="N3145" i="3" s="1"/>
  <c r="I3146" i="3"/>
  <c r="I3147" i="3"/>
  <c r="I3148" i="3"/>
  <c r="I3149" i="3"/>
  <c r="I3150" i="3"/>
  <c r="I3151" i="3"/>
  <c r="I3152" i="3"/>
  <c r="I3153" i="3"/>
  <c r="I3154" i="3"/>
  <c r="N3154" i="3" s="1"/>
  <c r="I3155" i="3"/>
  <c r="I3156" i="3"/>
  <c r="I3157" i="3"/>
  <c r="N3157" i="3" s="1"/>
  <c r="I3158" i="3"/>
  <c r="I3159" i="3"/>
  <c r="I3160" i="3"/>
  <c r="N3160" i="3" s="1"/>
  <c r="I3161" i="3"/>
  <c r="N3161" i="3" s="1"/>
  <c r="I3162" i="3"/>
  <c r="I3163" i="3"/>
  <c r="I3164" i="3"/>
  <c r="I3165" i="3"/>
  <c r="I3166" i="3"/>
  <c r="I3167" i="3"/>
  <c r="I3168" i="3"/>
  <c r="I3169" i="3"/>
  <c r="I3170" i="3"/>
  <c r="N3170" i="3" s="1"/>
  <c r="I3171" i="3"/>
  <c r="I3172" i="3"/>
  <c r="I3173" i="3"/>
  <c r="N3173" i="3" s="1"/>
  <c r="I3174" i="3"/>
  <c r="I3175" i="3"/>
  <c r="I3176" i="3"/>
  <c r="N3176" i="3" s="1"/>
  <c r="I3177" i="3"/>
  <c r="N3177" i="3" s="1"/>
  <c r="I3178" i="3"/>
  <c r="I3179" i="3"/>
  <c r="I3180" i="3"/>
  <c r="I3181" i="3"/>
  <c r="I3182" i="3"/>
  <c r="I3183" i="3"/>
  <c r="I3184" i="3"/>
  <c r="I3185" i="3"/>
  <c r="I3186" i="3"/>
  <c r="N3186" i="3" s="1"/>
  <c r="I3187" i="3"/>
  <c r="I3188" i="3"/>
  <c r="I3189" i="3"/>
  <c r="N3189" i="3" s="1"/>
  <c r="I3190" i="3"/>
  <c r="I3191" i="3"/>
  <c r="I3192" i="3"/>
  <c r="N3192" i="3" s="1"/>
  <c r="I3193" i="3"/>
  <c r="N3193" i="3" s="1"/>
  <c r="I3194" i="3"/>
  <c r="I3195" i="3"/>
  <c r="I3196" i="3"/>
  <c r="I3197" i="3"/>
  <c r="I3198" i="3"/>
  <c r="I3199" i="3"/>
  <c r="I3200" i="3"/>
  <c r="I3201" i="3"/>
  <c r="I3202" i="3"/>
  <c r="N3202" i="3" s="1"/>
  <c r="I3203" i="3"/>
  <c r="I3204" i="3"/>
  <c r="I3205" i="3"/>
  <c r="N3205" i="3" s="1"/>
  <c r="I3206" i="3"/>
  <c r="I3207" i="3"/>
  <c r="I3208" i="3"/>
  <c r="N3208" i="3" s="1"/>
  <c r="I3209" i="3"/>
  <c r="N3209" i="3" s="1"/>
  <c r="I3210" i="3"/>
  <c r="I3211" i="3"/>
  <c r="I3212" i="3"/>
  <c r="I3213" i="3"/>
  <c r="I3214" i="3"/>
  <c r="I3215" i="3"/>
  <c r="I3216" i="3"/>
  <c r="I3217" i="3"/>
  <c r="I3218" i="3"/>
  <c r="N3218" i="3" s="1"/>
  <c r="I3219" i="3"/>
  <c r="I3220" i="3"/>
  <c r="I3221" i="3"/>
  <c r="N3221" i="3" s="1"/>
  <c r="I3222" i="3"/>
  <c r="I3223" i="3"/>
  <c r="I3224" i="3"/>
  <c r="N3224" i="3" s="1"/>
  <c r="I3225" i="3"/>
  <c r="N3225" i="3" s="1"/>
  <c r="I3226" i="3"/>
  <c r="I3227" i="3"/>
  <c r="I3228" i="3"/>
  <c r="I3229" i="3"/>
  <c r="I3230" i="3"/>
  <c r="I3231" i="3"/>
  <c r="I3232" i="3"/>
  <c r="I3233" i="3"/>
  <c r="I3234" i="3"/>
  <c r="N3234" i="3" s="1"/>
  <c r="I3235" i="3"/>
  <c r="I3236" i="3"/>
  <c r="I3237" i="3"/>
  <c r="N3237" i="3" s="1"/>
  <c r="I3238" i="3"/>
  <c r="I3239" i="3"/>
  <c r="I3240" i="3"/>
  <c r="N3240" i="3" s="1"/>
  <c r="I3241" i="3"/>
  <c r="N3241" i="3" s="1"/>
  <c r="I3242" i="3"/>
  <c r="I3243" i="3"/>
  <c r="I3244" i="3"/>
  <c r="I3245" i="3"/>
  <c r="I3246" i="3"/>
  <c r="I3247" i="3"/>
  <c r="I3248" i="3"/>
  <c r="I3249" i="3"/>
  <c r="I3250" i="3"/>
  <c r="N3250" i="3" s="1"/>
  <c r="I3251" i="3"/>
  <c r="I3252" i="3"/>
  <c r="I3253" i="3"/>
  <c r="N3253" i="3" s="1"/>
  <c r="I3254" i="3"/>
  <c r="I3255" i="3"/>
  <c r="I3256" i="3"/>
  <c r="N3256" i="3" s="1"/>
  <c r="I3257" i="3"/>
  <c r="N3257" i="3" s="1"/>
  <c r="I3258" i="3"/>
  <c r="I3259" i="3"/>
  <c r="I3260" i="3"/>
  <c r="I3261" i="3"/>
  <c r="I3262" i="3"/>
  <c r="I3263" i="3"/>
  <c r="I3264" i="3"/>
  <c r="I3265" i="3"/>
  <c r="I3266" i="3"/>
  <c r="N3266" i="3" s="1"/>
  <c r="I3267" i="3"/>
  <c r="I3268" i="3"/>
  <c r="I3269" i="3"/>
  <c r="N3269" i="3" s="1"/>
  <c r="I3270" i="3"/>
  <c r="I3271" i="3"/>
  <c r="I3272" i="3"/>
  <c r="N3272" i="3" s="1"/>
  <c r="I3273" i="3"/>
  <c r="N3273" i="3" s="1"/>
  <c r="I3274" i="3"/>
  <c r="I3275" i="3"/>
  <c r="I3276" i="3"/>
  <c r="I3277" i="3"/>
  <c r="I3278" i="3"/>
  <c r="I3279" i="3"/>
  <c r="I3280" i="3"/>
  <c r="I3281" i="3"/>
  <c r="I3282" i="3"/>
  <c r="N3282" i="3" s="1"/>
  <c r="I3283" i="3"/>
  <c r="I3284" i="3"/>
  <c r="I3285" i="3"/>
  <c r="N3285" i="3" s="1"/>
  <c r="I3286" i="3"/>
  <c r="I3287" i="3"/>
  <c r="I3288" i="3"/>
  <c r="N3288" i="3" s="1"/>
  <c r="I3289" i="3"/>
  <c r="N3289" i="3" s="1"/>
  <c r="I3290" i="3"/>
  <c r="I3291" i="3"/>
  <c r="I3292" i="3"/>
  <c r="I3293" i="3"/>
  <c r="I3294" i="3"/>
  <c r="I3295" i="3"/>
  <c r="I3296" i="3"/>
  <c r="I3297" i="3"/>
  <c r="I3298" i="3"/>
  <c r="N3298" i="3" s="1"/>
  <c r="I3299" i="3"/>
  <c r="I3300" i="3"/>
  <c r="I3301" i="3"/>
  <c r="N3301" i="3" s="1"/>
  <c r="I3302" i="3"/>
  <c r="I3303" i="3"/>
  <c r="I3304" i="3"/>
  <c r="N3304" i="3" s="1"/>
  <c r="I3305" i="3"/>
  <c r="N3305" i="3" s="1"/>
  <c r="I3306" i="3"/>
  <c r="I3307" i="3"/>
  <c r="I3308" i="3"/>
  <c r="I3309" i="3"/>
  <c r="I3310" i="3"/>
  <c r="I3311" i="3"/>
  <c r="I3312" i="3"/>
  <c r="I3313" i="3"/>
  <c r="I3314" i="3"/>
  <c r="N3314" i="3" s="1"/>
  <c r="I3315" i="3"/>
  <c r="I3316" i="3"/>
  <c r="I3317" i="3"/>
  <c r="N3317" i="3" s="1"/>
  <c r="I3318" i="3"/>
  <c r="I3319" i="3"/>
  <c r="I3320" i="3"/>
  <c r="N3320" i="3" s="1"/>
  <c r="I3321" i="3"/>
  <c r="N3321" i="3" s="1"/>
  <c r="I3322" i="3"/>
  <c r="I3323" i="3"/>
  <c r="I3324" i="3"/>
  <c r="I3325" i="3"/>
  <c r="I3326" i="3"/>
  <c r="I3327" i="3"/>
  <c r="I3328" i="3"/>
  <c r="I3329" i="3"/>
  <c r="I3330" i="3"/>
  <c r="N3330" i="3" s="1"/>
  <c r="I3331" i="3"/>
  <c r="I3332" i="3"/>
  <c r="I3333" i="3"/>
  <c r="N3333" i="3" s="1"/>
  <c r="I3334" i="3"/>
  <c r="I3335" i="3"/>
  <c r="I3336" i="3"/>
  <c r="N3336" i="3" s="1"/>
  <c r="I3337" i="3"/>
  <c r="N3337" i="3" s="1"/>
  <c r="I3338" i="3"/>
  <c r="I3339" i="3"/>
  <c r="I3340" i="3"/>
  <c r="I3341" i="3"/>
  <c r="I3342" i="3"/>
  <c r="I3343" i="3"/>
  <c r="I3344" i="3"/>
  <c r="I3345" i="3"/>
  <c r="I3346" i="3"/>
  <c r="N3346" i="3" s="1"/>
  <c r="I3347" i="3"/>
  <c r="I3348" i="3"/>
  <c r="I3349" i="3"/>
  <c r="N3349" i="3" s="1"/>
  <c r="I3350" i="3"/>
  <c r="I3351" i="3"/>
  <c r="I3352" i="3"/>
  <c r="N3352" i="3" s="1"/>
  <c r="I3353" i="3"/>
  <c r="N3353" i="3" s="1"/>
  <c r="I3354" i="3"/>
  <c r="I3355" i="3"/>
  <c r="I3356" i="3"/>
  <c r="I3357" i="3"/>
  <c r="I3358" i="3"/>
  <c r="I3359" i="3"/>
  <c r="I3360" i="3"/>
  <c r="I3361" i="3"/>
  <c r="I3362" i="3"/>
  <c r="N3362" i="3" s="1"/>
  <c r="I3363" i="3"/>
  <c r="I3364" i="3"/>
  <c r="I3365" i="3"/>
  <c r="N3365" i="3" s="1"/>
  <c r="I3366" i="3"/>
  <c r="I3367" i="3"/>
  <c r="I3368" i="3"/>
  <c r="N3368" i="3" s="1"/>
  <c r="I3369" i="3"/>
  <c r="N3369" i="3" s="1"/>
  <c r="I3370" i="3"/>
  <c r="I3371" i="3"/>
  <c r="I3372" i="3"/>
  <c r="I3373" i="3"/>
  <c r="I3374" i="3"/>
  <c r="I3375" i="3"/>
  <c r="I3376" i="3"/>
  <c r="I3377" i="3"/>
  <c r="I3378" i="3"/>
  <c r="N3378" i="3" s="1"/>
  <c r="I3379" i="3"/>
  <c r="I3380" i="3"/>
  <c r="I3381" i="3"/>
  <c r="N3381" i="3" s="1"/>
  <c r="I3382" i="3"/>
  <c r="I3383" i="3"/>
  <c r="I3384" i="3"/>
  <c r="N3384" i="3" s="1"/>
  <c r="I3385" i="3"/>
  <c r="N3385" i="3" s="1"/>
  <c r="I3386" i="3"/>
  <c r="I3387" i="3"/>
  <c r="I3388" i="3"/>
  <c r="I3389" i="3"/>
  <c r="I3390" i="3"/>
  <c r="I3391" i="3"/>
  <c r="I3392" i="3"/>
  <c r="I3393" i="3"/>
  <c r="I3394" i="3"/>
  <c r="N3394" i="3" s="1"/>
  <c r="I3395" i="3"/>
  <c r="I3396" i="3"/>
  <c r="I3397" i="3"/>
  <c r="N3397" i="3" s="1"/>
  <c r="I3398" i="3"/>
  <c r="I3399" i="3"/>
  <c r="I3400" i="3"/>
  <c r="N3400" i="3" s="1"/>
  <c r="I3401" i="3"/>
  <c r="N3401" i="3" s="1"/>
  <c r="I3402" i="3"/>
  <c r="I3403" i="3"/>
  <c r="I3404" i="3"/>
  <c r="I3405" i="3"/>
  <c r="I3406" i="3"/>
  <c r="I3407" i="3"/>
  <c r="I3408" i="3"/>
  <c r="I3409" i="3"/>
  <c r="I3410" i="3"/>
  <c r="N3410" i="3" s="1"/>
  <c r="I3411" i="3"/>
  <c r="I3412" i="3"/>
  <c r="I3413" i="3"/>
  <c r="N3413" i="3" s="1"/>
  <c r="I3414" i="3"/>
  <c r="I3415" i="3"/>
  <c r="I3416" i="3"/>
  <c r="N3416" i="3" s="1"/>
  <c r="I3417" i="3"/>
  <c r="N3417" i="3" s="1"/>
  <c r="I3418" i="3"/>
  <c r="I3419" i="3"/>
  <c r="I3420" i="3"/>
  <c r="I3421" i="3"/>
  <c r="I3422" i="3"/>
  <c r="I3423" i="3"/>
  <c r="I3424" i="3"/>
  <c r="I3425" i="3"/>
  <c r="I3426" i="3"/>
  <c r="N3426" i="3" s="1"/>
  <c r="I3427" i="3"/>
  <c r="I3428" i="3"/>
  <c r="I3429" i="3"/>
  <c r="N3429" i="3" s="1"/>
  <c r="I3430" i="3"/>
  <c r="I3431" i="3"/>
  <c r="I3432" i="3"/>
  <c r="N3432" i="3" s="1"/>
  <c r="I3433" i="3"/>
  <c r="N3433" i="3" s="1"/>
  <c r="I3434" i="3"/>
  <c r="I3435" i="3"/>
  <c r="I3436" i="3"/>
  <c r="I3437" i="3"/>
  <c r="I3438" i="3"/>
  <c r="I3439" i="3"/>
  <c r="I3440" i="3"/>
  <c r="I3441" i="3"/>
  <c r="I3442" i="3"/>
  <c r="N3442" i="3" s="1"/>
  <c r="I3443" i="3"/>
  <c r="I3444" i="3"/>
  <c r="I3445" i="3"/>
  <c r="N3445" i="3" s="1"/>
  <c r="I3446" i="3"/>
  <c r="I3447" i="3"/>
  <c r="I3448" i="3"/>
  <c r="N3448" i="3" s="1"/>
  <c r="I3449" i="3"/>
  <c r="N3449" i="3" s="1"/>
  <c r="I3450" i="3"/>
  <c r="I3451" i="3"/>
  <c r="I3452" i="3"/>
  <c r="I3453" i="3"/>
  <c r="I3454" i="3"/>
  <c r="I3455" i="3"/>
  <c r="I3456" i="3"/>
  <c r="I3457" i="3"/>
  <c r="I3458" i="3"/>
  <c r="N3458" i="3" s="1"/>
  <c r="I3459" i="3"/>
  <c r="I3460" i="3"/>
  <c r="I3461" i="3"/>
  <c r="N3461" i="3" s="1"/>
  <c r="I3462" i="3"/>
  <c r="I3463" i="3"/>
  <c r="I3464" i="3"/>
  <c r="N3464" i="3" s="1"/>
  <c r="I3465" i="3"/>
  <c r="N3465" i="3" s="1"/>
  <c r="I3466" i="3"/>
  <c r="I3467" i="3"/>
  <c r="I3468" i="3"/>
  <c r="I3469" i="3"/>
  <c r="I3470" i="3"/>
  <c r="I3471" i="3"/>
  <c r="I3472" i="3"/>
  <c r="I3473" i="3"/>
  <c r="I3474" i="3"/>
  <c r="N3474" i="3" s="1"/>
  <c r="I3475" i="3"/>
  <c r="I3476" i="3"/>
  <c r="I3477" i="3"/>
  <c r="N3477" i="3" s="1"/>
  <c r="I3478" i="3"/>
  <c r="I3479" i="3"/>
  <c r="I3480" i="3"/>
  <c r="N3480" i="3" s="1"/>
  <c r="I3481" i="3"/>
  <c r="N3481" i="3" s="1"/>
  <c r="I3482" i="3"/>
  <c r="I3483" i="3"/>
  <c r="I3484" i="3"/>
  <c r="I3485" i="3"/>
  <c r="I3486" i="3"/>
  <c r="I3487" i="3"/>
  <c r="I3488" i="3"/>
  <c r="I3489" i="3"/>
  <c r="I3490" i="3"/>
  <c r="N3490" i="3" s="1"/>
  <c r="I3491" i="3"/>
  <c r="I3492" i="3"/>
  <c r="I3493" i="3"/>
  <c r="N3493" i="3" s="1"/>
  <c r="I3494" i="3"/>
  <c r="I3495" i="3"/>
  <c r="I3496" i="3"/>
  <c r="N3496" i="3" s="1"/>
  <c r="I3497" i="3"/>
  <c r="N3497" i="3" s="1"/>
  <c r="I3498" i="3"/>
  <c r="I3499" i="3"/>
  <c r="I3500" i="3"/>
  <c r="I3501" i="3"/>
  <c r="I3502" i="3"/>
  <c r="I3503" i="3"/>
  <c r="I3504" i="3"/>
  <c r="I3505" i="3"/>
  <c r="I3506" i="3"/>
  <c r="N3506" i="3" s="1"/>
  <c r="I3507" i="3"/>
  <c r="I3508" i="3"/>
  <c r="I3509" i="3"/>
  <c r="N3509" i="3" s="1"/>
  <c r="I3510" i="3"/>
  <c r="I3511" i="3"/>
  <c r="I3512" i="3"/>
  <c r="N3512" i="3" s="1"/>
  <c r="I3513" i="3"/>
  <c r="N3513" i="3" s="1"/>
  <c r="I3514" i="3"/>
  <c r="I3515" i="3"/>
  <c r="I3516" i="3"/>
  <c r="I3517" i="3"/>
  <c r="I3518" i="3"/>
  <c r="I3519" i="3"/>
  <c r="I3520" i="3"/>
  <c r="I3521" i="3"/>
  <c r="I3522" i="3"/>
  <c r="N3522" i="3" s="1"/>
  <c r="I3523" i="3"/>
  <c r="I3524" i="3"/>
  <c r="I3525" i="3"/>
  <c r="N3525" i="3" s="1"/>
  <c r="I3526" i="3"/>
  <c r="I3527" i="3"/>
  <c r="I3528" i="3"/>
  <c r="N3528" i="3" s="1"/>
  <c r="I3529" i="3"/>
  <c r="N3529" i="3" s="1"/>
  <c r="I3530" i="3"/>
  <c r="I3531" i="3"/>
  <c r="I3532" i="3"/>
  <c r="I3533" i="3"/>
  <c r="I3534" i="3"/>
  <c r="I3535" i="3"/>
  <c r="I3536" i="3"/>
  <c r="I3537" i="3"/>
  <c r="I3538" i="3"/>
  <c r="N3538" i="3" s="1"/>
  <c r="I3539" i="3"/>
  <c r="I3540" i="3"/>
  <c r="I3541" i="3"/>
  <c r="N3541" i="3" s="1"/>
  <c r="I3542" i="3"/>
  <c r="I3543" i="3"/>
  <c r="I3544" i="3"/>
  <c r="N3544" i="3" s="1"/>
  <c r="I3545" i="3"/>
  <c r="N3545" i="3" s="1"/>
  <c r="I3546" i="3"/>
  <c r="I3547" i="3"/>
  <c r="I3548" i="3"/>
  <c r="I3549" i="3"/>
  <c r="I3550" i="3"/>
  <c r="I3551" i="3"/>
  <c r="I3552" i="3"/>
  <c r="I3553" i="3"/>
  <c r="I3554" i="3"/>
  <c r="N3554" i="3" s="1"/>
  <c r="I3555" i="3"/>
  <c r="I3556" i="3"/>
  <c r="I3557" i="3"/>
  <c r="N3557" i="3" s="1"/>
  <c r="I3558" i="3"/>
  <c r="I3559" i="3"/>
  <c r="I3560" i="3"/>
  <c r="N3560" i="3" s="1"/>
  <c r="I3561" i="3"/>
  <c r="N3561" i="3" s="1"/>
  <c r="I3562" i="3"/>
  <c r="I3563" i="3"/>
  <c r="I3564" i="3"/>
  <c r="I3565" i="3"/>
  <c r="I3566" i="3"/>
  <c r="I3567" i="3"/>
  <c r="I3568" i="3"/>
  <c r="I3569" i="3"/>
  <c r="I3570" i="3"/>
  <c r="N3570" i="3" s="1"/>
  <c r="I3571" i="3"/>
  <c r="I3572" i="3"/>
  <c r="I3573" i="3"/>
  <c r="N3573" i="3" s="1"/>
  <c r="I3574" i="3"/>
  <c r="I3575" i="3"/>
  <c r="I3576" i="3"/>
  <c r="N3576" i="3" s="1"/>
  <c r="I3577" i="3"/>
  <c r="N3577" i="3" s="1"/>
  <c r="I3578" i="3"/>
  <c r="I3579" i="3"/>
  <c r="I3580" i="3"/>
  <c r="I3581" i="3"/>
  <c r="I3582" i="3"/>
  <c r="I3583" i="3"/>
  <c r="I3584" i="3"/>
  <c r="I3585" i="3"/>
  <c r="I3586" i="3"/>
  <c r="N3586" i="3" s="1"/>
  <c r="I3587" i="3"/>
  <c r="I3588" i="3"/>
  <c r="I3589" i="3"/>
  <c r="N3589" i="3" s="1"/>
  <c r="I3590" i="3"/>
  <c r="I3591" i="3"/>
  <c r="I3592" i="3"/>
  <c r="N3592" i="3" s="1"/>
  <c r="I3593" i="3"/>
  <c r="N3593" i="3" s="1"/>
  <c r="I3594" i="3"/>
  <c r="I3595" i="3"/>
  <c r="I3596" i="3"/>
  <c r="I3597" i="3"/>
  <c r="I3598" i="3"/>
  <c r="I3599" i="3"/>
  <c r="I3600" i="3"/>
  <c r="I3601" i="3"/>
  <c r="I3602" i="3"/>
  <c r="N3602" i="3" s="1"/>
  <c r="I3603" i="3"/>
  <c r="I3604" i="3"/>
  <c r="I3605" i="3"/>
  <c r="N3605" i="3" s="1"/>
  <c r="I3606" i="3"/>
  <c r="I3607" i="3"/>
  <c r="I3608" i="3"/>
  <c r="N3608" i="3" s="1"/>
  <c r="I3609" i="3"/>
  <c r="N3609" i="3" s="1"/>
  <c r="I3610" i="3"/>
  <c r="I3611" i="3"/>
  <c r="I3612" i="3"/>
  <c r="I3613" i="3"/>
  <c r="I3614" i="3"/>
  <c r="I3615" i="3"/>
  <c r="I3616" i="3"/>
  <c r="I3617" i="3"/>
  <c r="I3618" i="3"/>
  <c r="N3618" i="3" s="1"/>
  <c r="I3619" i="3"/>
  <c r="I3620" i="3"/>
  <c r="I3621" i="3"/>
  <c r="N3621" i="3" s="1"/>
  <c r="I3622" i="3"/>
  <c r="I3623" i="3"/>
  <c r="I3624" i="3"/>
  <c r="N3624" i="3" s="1"/>
  <c r="I3625" i="3"/>
  <c r="N3625" i="3" s="1"/>
  <c r="I3626" i="3"/>
  <c r="I3627" i="3"/>
  <c r="I3628" i="3"/>
  <c r="I3629" i="3"/>
  <c r="I3630" i="3"/>
  <c r="I3631" i="3"/>
  <c r="I3632" i="3"/>
  <c r="I3633" i="3"/>
  <c r="I3634" i="3"/>
  <c r="N3634" i="3" s="1"/>
  <c r="I3635" i="3"/>
  <c r="I3636" i="3"/>
  <c r="I3637" i="3"/>
  <c r="N3637" i="3" s="1"/>
  <c r="I3638" i="3"/>
  <c r="I3639" i="3"/>
  <c r="I3640" i="3"/>
  <c r="N3640" i="3" s="1"/>
  <c r="I3641" i="3"/>
  <c r="N3641" i="3" s="1"/>
  <c r="I3642" i="3"/>
  <c r="I3643" i="3"/>
  <c r="I3644" i="3"/>
  <c r="I3645" i="3"/>
  <c r="I3646" i="3"/>
  <c r="I3647" i="3"/>
  <c r="I3648" i="3"/>
  <c r="I3649" i="3"/>
  <c r="I3650" i="3"/>
  <c r="N3650" i="3" s="1"/>
  <c r="I3651" i="3"/>
  <c r="I3652" i="3"/>
  <c r="I3653" i="3"/>
  <c r="N3653" i="3" s="1"/>
  <c r="I3654" i="3"/>
  <c r="I3655" i="3"/>
  <c r="I3656" i="3"/>
  <c r="N3656" i="3" s="1"/>
  <c r="I3657" i="3"/>
  <c r="N3657" i="3" s="1"/>
  <c r="I3658" i="3"/>
  <c r="I3659" i="3"/>
  <c r="I3660" i="3"/>
  <c r="I3661" i="3"/>
  <c r="I3662" i="3"/>
  <c r="I3663" i="3"/>
  <c r="I3664" i="3"/>
  <c r="I3665" i="3"/>
  <c r="I3666" i="3"/>
  <c r="N3666" i="3" s="1"/>
  <c r="I3667" i="3"/>
  <c r="I3668" i="3"/>
  <c r="I3669" i="3"/>
  <c r="N3669" i="3" s="1"/>
  <c r="I3670" i="3"/>
  <c r="I3671" i="3"/>
  <c r="I3672" i="3"/>
  <c r="N3672" i="3" s="1"/>
  <c r="I3673" i="3"/>
  <c r="N3673" i="3" s="1"/>
  <c r="I3674" i="3"/>
  <c r="I3675" i="3"/>
  <c r="I3676" i="3"/>
  <c r="I3677" i="3"/>
  <c r="I3678" i="3"/>
  <c r="I3679" i="3"/>
  <c r="I3680" i="3"/>
  <c r="I3681" i="3"/>
  <c r="I3682" i="3"/>
  <c r="N3682" i="3" s="1"/>
  <c r="I3683" i="3"/>
  <c r="I3684" i="3"/>
  <c r="I3685" i="3"/>
  <c r="N3685" i="3" s="1"/>
  <c r="I3686" i="3"/>
  <c r="I3687" i="3"/>
  <c r="I3688" i="3"/>
  <c r="N3688" i="3" s="1"/>
  <c r="I3689" i="3"/>
  <c r="N3689" i="3" s="1"/>
  <c r="I3690" i="3"/>
  <c r="I3691" i="3"/>
  <c r="I3692" i="3"/>
  <c r="I3693" i="3"/>
  <c r="I3694" i="3"/>
  <c r="I3695" i="3"/>
  <c r="I3696" i="3"/>
  <c r="I3697" i="3"/>
  <c r="I3698" i="3"/>
  <c r="N3698" i="3" s="1"/>
  <c r="I3699" i="3"/>
  <c r="I3700" i="3"/>
  <c r="I3701" i="3"/>
  <c r="N3701" i="3" s="1"/>
  <c r="I3702" i="3"/>
  <c r="I3703" i="3"/>
  <c r="I3704" i="3"/>
  <c r="N3704" i="3" s="1"/>
  <c r="I3705" i="3"/>
  <c r="N3705" i="3" s="1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N3717" i="3" s="1"/>
  <c r="I3718" i="3"/>
  <c r="I3719" i="3"/>
  <c r="I3720" i="3"/>
  <c r="N3720" i="3" s="1"/>
  <c r="I3721" i="3"/>
  <c r="N3721" i="3" s="1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N3733" i="3" s="1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N3893" i="3" s="1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N3957" i="3" s="1"/>
  <c r="I3958" i="3"/>
  <c r="I3959" i="3"/>
  <c r="I3960" i="3"/>
  <c r="N3960" i="3" s="1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N3989" i="3" s="1"/>
  <c r="I3990" i="3"/>
  <c r="I3991" i="3"/>
  <c r="I3992" i="3"/>
  <c r="I3993" i="3"/>
  <c r="N3993" i="3" s="1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N4025" i="3" s="1"/>
  <c r="I4026" i="3"/>
  <c r="I4027" i="3"/>
  <c r="I4028" i="3"/>
  <c r="I4029" i="3"/>
  <c r="I4030" i="3"/>
  <c r="I4031" i="3"/>
  <c r="I4032" i="3"/>
  <c r="I3" i="3"/>
  <c r="N3" i="3" s="1"/>
  <c r="N4019" i="3" l="1"/>
  <c r="N3731" i="3"/>
  <c r="N3715" i="3"/>
  <c r="N3699" i="3"/>
  <c r="N3683" i="3"/>
  <c r="N3667" i="3"/>
  <c r="N3651" i="3"/>
  <c r="N3635" i="3"/>
  <c r="N3619" i="3"/>
  <c r="N3603" i="3"/>
  <c r="N3587" i="3"/>
  <c r="N3571" i="3"/>
  <c r="N3555" i="3"/>
  <c r="N3539" i="3"/>
  <c r="N3523" i="3"/>
  <c r="N3507" i="3"/>
  <c r="N3491" i="3"/>
  <c r="N3475" i="3"/>
  <c r="N3459" i="3"/>
  <c r="N3443" i="3"/>
  <c r="N3427" i="3"/>
  <c r="N3411" i="3"/>
  <c r="N3395" i="3"/>
  <c r="N3379" i="3"/>
  <c r="N3363" i="3"/>
  <c r="N3347" i="3"/>
  <c r="N3331" i="3"/>
  <c r="N3315" i="3"/>
  <c r="N3299" i="3"/>
  <c r="N3283" i="3"/>
  <c r="N3267" i="3"/>
  <c r="N3251" i="3"/>
  <c r="N3235" i="3"/>
  <c r="N3219" i="3"/>
  <c r="N3203" i="3"/>
  <c r="N3187" i="3"/>
  <c r="N3171" i="3"/>
  <c r="N3155" i="3"/>
  <c r="N3139" i="3"/>
  <c r="N3123" i="3"/>
  <c r="N3107" i="3"/>
  <c r="N3091" i="3"/>
  <c r="N3075" i="3"/>
  <c r="N3059" i="3"/>
  <c r="N3043" i="3"/>
  <c r="N3027" i="3"/>
  <c r="N3011" i="3"/>
  <c r="N2995" i="3"/>
  <c r="N2979" i="3"/>
  <c r="N2963" i="3"/>
  <c r="N2947" i="3"/>
  <c r="N2931" i="3"/>
  <c r="N2915" i="3"/>
  <c r="N2899" i="3"/>
  <c r="N2883" i="3"/>
  <c r="N2867" i="3"/>
  <c r="N2851" i="3"/>
  <c r="N2835" i="3"/>
  <c r="N2819" i="3"/>
  <c r="N2803" i="3"/>
  <c r="N2787" i="3"/>
  <c r="N2771" i="3"/>
  <c r="N2755" i="3"/>
  <c r="N2739" i="3"/>
  <c r="N2723" i="3"/>
  <c r="N2707" i="3"/>
  <c r="N2691" i="3"/>
  <c r="N2675" i="3"/>
  <c r="N2659" i="3"/>
  <c r="N2643" i="3"/>
  <c r="N2627" i="3"/>
  <c r="N2611" i="3"/>
  <c r="N2595" i="3"/>
  <c r="N2579" i="3"/>
  <c r="N2563" i="3"/>
  <c r="N2547" i="3"/>
  <c r="N2531" i="3"/>
  <c r="N2515" i="3"/>
  <c r="N2499" i="3"/>
  <c r="N4003" i="3"/>
  <c r="N4018" i="3"/>
  <c r="N3730" i="3"/>
  <c r="N4017" i="3"/>
  <c r="N3985" i="3"/>
  <c r="N3905" i="3"/>
  <c r="N3889" i="3"/>
  <c r="N3729" i="3"/>
  <c r="N3713" i="3"/>
  <c r="N3697" i="3"/>
  <c r="N3681" i="3"/>
  <c r="N3665" i="3"/>
  <c r="N3649" i="3"/>
  <c r="N3633" i="3"/>
  <c r="N3617" i="3"/>
  <c r="N3601" i="3"/>
  <c r="N3585" i="3"/>
  <c r="N3569" i="3"/>
  <c r="N3553" i="3"/>
  <c r="N3537" i="3"/>
  <c r="N3521" i="3"/>
  <c r="N3505" i="3"/>
  <c r="N3489" i="3"/>
  <c r="N3473" i="3"/>
  <c r="N3457" i="3"/>
  <c r="N3441" i="3"/>
  <c r="N3425" i="3"/>
  <c r="N3409" i="3"/>
  <c r="N3393" i="3"/>
  <c r="N3377" i="3"/>
  <c r="N3361" i="3"/>
  <c r="N3345" i="3"/>
  <c r="N3329" i="3"/>
  <c r="N3313" i="3"/>
  <c r="N3297" i="3"/>
  <c r="N3281" i="3"/>
  <c r="N3265" i="3"/>
  <c r="N3249" i="3"/>
  <c r="N3233" i="3"/>
  <c r="N3217" i="3"/>
  <c r="N3201" i="3"/>
  <c r="N3185" i="3"/>
  <c r="N3169" i="3"/>
  <c r="N3153" i="3"/>
  <c r="N3137" i="3"/>
  <c r="N3121" i="3"/>
  <c r="N3105" i="3"/>
  <c r="N3089" i="3"/>
  <c r="N3073" i="3"/>
  <c r="N3057" i="3"/>
  <c r="N3041" i="3"/>
  <c r="N3025" i="3"/>
  <c r="N3009" i="3"/>
  <c r="N2993" i="3"/>
  <c r="N2977" i="3"/>
  <c r="N2961" i="3"/>
  <c r="N2945" i="3"/>
  <c r="N2929" i="3"/>
  <c r="N2913" i="3"/>
  <c r="N2897" i="3"/>
  <c r="N2881" i="3"/>
  <c r="N2865" i="3"/>
  <c r="N2849" i="3"/>
  <c r="N2833" i="3"/>
  <c r="N2817" i="3"/>
  <c r="N2801" i="3"/>
  <c r="N2785" i="3"/>
  <c r="N2769" i="3"/>
  <c r="N2753" i="3"/>
  <c r="N2737" i="3"/>
  <c r="N2721" i="3"/>
  <c r="N2705" i="3"/>
  <c r="N2689" i="3"/>
  <c r="N2673" i="3"/>
  <c r="N2657" i="3"/>
  <c r="N2641" i="3"/>
  <c r="N2625" i="3"/>
  <c r="N2609" i="3"/>
  <c r="N2593" i="3"/>
  <c r="N2577" i="3"/>
  <c r="N2561" i="3"/>
  <c r="N2545" i="3"/>
  <c r="N2529" i="3"/>
  <c r="N2513" i="3"/>
  <c r="N2497" i="3"/>
  <c r="N2481" i="3"/>
  <c r="N2465" i="3"/>
  <c r="N2449" i="3"/>
  <c r="N2433" i="3"/>
  <c r="N2417" i="3"/>
  <c r="N2401" i="3"/>
  <c r="N2385" i="3"/>
  <c r="N2369" i="3"/>
  <c r="N2353" i="3"/>
  <c r="N2337" i="3"/>
  <c r="N2321" i="3"/>
  <c r="N2305" i="3"/>
  <c r="N2289" i="3"/>
  <c r="N2273" i="3"/>
  <c r="N2257" i="3"/>
  <c r="N2241" i="3"/>
  <c r="N2225" i="3"/>
  <c r="N2209" i="3"/>
  <c r="N2193" i="3"/>
  <c r="N2177" i="3"/>
  <c r="N2161" i="3"/>
  <c r="N2145" i="3"/>
  <c r="N2129" i="3"/>
  <c r="N2113" i="3"/>
  <c r="N2097" i="3"/>
  <c r="N2081" i="3"/>
  <c r="N2065" i="3"/>
  <c r="N2049" i="3"/>
  <c r="N2033" i="3"/>
  <c r="N2017" i="3"/>
  <c r="N2001" i="3"/>
  <c r="N1985" i="3"/>
  <c r="N1969" i="3"/>
  <c r="N1953" i="3"/>
  <c r="N1937" i="3"/>
  <c r="N1921" i="3"/>
  <c r="N1905" i="3"/>
  <c r="N1889" i="3"/>
  <c r="N1873" i="3"/>
  <c r="N1857" i="3"/>
  <c r="N1841" i="3"/>
  <c r="N1825" i="3"/>
  <c r="N1809" i="3"/>
  <c r="N1793" i="3"/>
  <c r="N1777" i="3"/>
  <c r="N1761" i="3"/>
  <c r="N1745" i="3"/>
  <c r="N1729" i="3"/>
  <c r="N1713" i="3"/>
  <c r="N1697" i="3"/>
  <c r="N1681" i="3"/>
  <c r="N1665" i="3"/>
  <c r="N1649" i="3"/>
  <c r="N1633" i="3"/>
  <c r="N1617" i="3"/>
  <c r="N1601" i="3"/>
  <c r="N1585" i="3"/>
  <c r="N1569" i="3"/>
  <c r="N1553" i="3"/>
  <c r="N1537" i="3"/>
  <c r="N1521" i="3"/>
  <c r="N1505" i="3"/>
  <c r="N1489" i="3"/>
  <c r="N1473" i="3"/>
  <c r="N1457" i="3"/>
  <c r="N1441" i="3"/>
  <c r="N1425" i="3"/>
  <c r="N1409" i="3"/>
  <c r="N1393" i="3"/>
  <c r="N1377" i="3"/>
  <c r="N1361" i="3"/>
  <c r="N1345" i="3"/>
  <c r="N1329" i="3"/>
  <c r="N1313" i="3"/>
  <c r="N1297" i="3"/>
  <c r="N1281" i="3"/>
  <c r="N1265" i="3"/>
  <c r="N1249" i="3"/>
  <c r="N1233" i="3"/>
  <c r="N1217" i="3"/>
  <c r="N1201" i="3"/>
  <c r="N1185" i="3"/>
  <c r="N3906" i="3"/>
  <c r="N3714" i="3"/>
  <c r="N3998" i="3"/>
  <c r="N3982" i="3"/>
  <c r="N3966" i="3"/>
  <c r="N3726" i="3"/>
  <c r="N3694" i="3"/>
  <c r="N3102" i="3"/>
  <c r="N4014" i="3"/>
  <c r="N3902" i="3"/>
  <c r="N3710" i="3"/>
  <c r="N2483" i="3"/>
  <c r="N2467" i="3"/>
  <c r="N2451" i="3"/>
  <c r="N2435" i="3"/>
  <c r="N2419" i="3"/>
  <c r="N2403" i="3"/>
  <c r="N2387" i="3"/>
  <c r="N2371" i="3"/>
  <c r="N2355" i="3"/>
  <c r="N2339" i="3"/>
  <c r="N2323" i="3"/>
  <c r="N2307" i="3"/>
  <c r="N2291" i="3"/>
  <c r="N2275" i="3"/>
  <c r="N2259" i="3"/>
  <c r="N2243" i="3"/>
  <c r="N2227" i="3"/>
  <c r="N2211" i="3"/>
  <c r="N2195" i="3"/>
  <c r="N2179" i="3"/>
  <c r="N2163" i="3"/>
  <c r="N2147" i="3"/>
  <c r="N2131" i="3"/>
  <c r="N2115" i="3"/>
  <c r="N2099" i="3"/>
  <c r="N2083" i="3"/>
  <c r="N2067" i="3"/>
  <c r="N2051" i="3"/>
  <c r="N2035" i="3"/>
  <c r="N2019" i="3"/>
  <c r="N2003" i="3"/>
  <c r="N1987" i="3"/>
  <c r="N1971" i="3"/>
  <c r="N1955" i="3"/>
  <c r="N1939" i="3"/>
  <c r="N1923" i="3"/>
  <c r="N1907" i="3"/>
  <c r="N1891" i="3"/>
  <c r="N1875" i="3"/>
  <c r="N1859" i="3"/>
  <c r="N1843" i="3"/>
  <c r="N1827" i="3"/>
  <c r="N1811" i="3"/>
  <c r="N1795" i="3"/>
  <c r="N1779" i="3"/>
  <c r="N1763" i="3"/>
  <c r="N1747" i="3"/>
  <c r="N1731" i="3"/>
  <c r="N1715" i="3"/>
  <c r="N1699" i="3"/>
  <c r="N1683" i="3"/>
  <c r="N1667" i="3"/>
  <c r="N1651" i="3"/>
  <c r="N1635" i="3"/>
  <c r="N1619" i="3"/>
  <c r="N1603" i="3"/>
  <c r="N1587" i="3"/>
  <c r="N1571" i="3"/>
  <c r="N1555" i="3"/>
  <c r="N1539" i="3"/>
  <c r="N1523" i="3"/>
  <c r="N1507" i="3"/>
  <c r="N1491" i="3"/>
  <c r="N1475" i="3"/>
  <c r="N1459" i="3"/>
  <c r="N1443" i="3"/>
  <c r="N1427" i="3"/>
  <c r="N1411" i="3"/>
  <c r="N1395" i="3"/>
  <c r="N1379" i="3"/>
  <c r="N1363" i="3"/>
  <c r="N1347" i="3"/>
  <c r="N1331" i="3"/>
  <c r="N1315" i="3"/>
  <c r="N1299" i="3"/>
  <c r="N1283" i="3"/>
  <c r="N1267" i="3"/>
  <c r="N1251" i="3"/>
  <c r="N1235" i="3"/>
  <c r="N1219" i="3"/>
  <c r="N1203" i="3"/>
  <c r="N1187" i="3"/>
  <c r="N1171" i="3"/>
  <c r="N1155" i="3"/>
  <c r="N1169" i="3"/>
  <c r="N1153" i="3"/>
  <c r="N1137" i="3"/>
  <c r="N1121" i="3"/>
  <c r="N1105" i="3"/>
  <c r="N1089" i="3"/>
  <c r="N1073" i="3"/>
  <c r="N1057" i="3"/>
  <c r="N1041" i="3"/>
  <c r="N1025" i="3"/>
  <c r="N1009" i="3"/>
  <c r="N993" i="3"/>
  <c r="N977" i="3"/>
  <c r="N961" i="3"/>
  <c r="N945" i="3"/>
  <c r="N929" i="3"/>
  <c r="N913" i="3"/>
  <c r="N897" i="3"/>
  <c r="N881" i="3"/>
  <c r="N865" i="3"/>
  <c r="N849" i="3"/>
  <c r="N833" i="3"/>
  <c r="N817" i="3"/>
  <c r="N801" i="3"/>
  <c r="N785" i="3"/>
  <c r="N769" i="3"/>
  <c r="N753" i="3"/>
  <c r="N737" i="3"/>
  <c r="N721" i="3"/>
  <c r="N705" i="3"/>
  <c r="N689" i="3"/>
  <c r="N673" i="3"/>
  <c r="N657" i="3"/>
  <c r="N641" i="3"/>
  <c r="N625" i="3"/>
  <c r="N609" i="3"/>
  <c r="N593" i="3"/>
  <c r="N577" i="3"/>
  <c r="N561" i="3"/>
  <c r="N545" i="3"/>
  <c r="N529" i="3"/>
  <c r="N513" i="3"/>
  <c r="N497" i="3"/>
  <c r="N481" i="3"/>
  <c r="N465" i="3"/>
  <c r="N449" i="3"/>
  <c r="N433" i="3"/>
  <c r="N417" i="3"/>
  <c r="N401" i="3"/>
  <c r="N385" i="3"/>
  <c r="N369" i="3"/>
  <c r="N353" i="3"/>
  <c r="N337" i="3"/>
  <c r="N321" i="3"/>
  <c r="N305" i="3"/>
  <c r="N289" i="3"/>
  <c r="N273" i="3"/>
  <c r="N257" i="3"/>
  <c r="N241" i="3"/>
  <c r="N225" i="3"/>
  <c r="N209" i="3"/>
  <c r="N193" i="3"/>
  <c r="N177" i="3"/>
  <c r="N161" i="3"/>
  <c r="N145" i="3"/>
  <c r="N129" i="3"/>
  <c r="N113" i="3"/>
  <c r="N97" i="3"/>
  <c r="N81" i="3"/>
  <c r="N65" i="3"/>
  <c r="N49" i="3"/>
  <c r="N33" i="3"/>
  <c r="N17" i="3"/>
  <c r="N4016" i="3"/>
  <c r="N3984" i="3"/>
  <c r="N3904" i="3"/>
  <c r="N3712" i="3"/>
  <c r="N3696" i="3"/>
  <c r="N3680" i="3"/>
  <c r="N3648" i="3"/>
  <c r="N3632" i="3"/>
  <c r="N3616" i="3"/>
  <c r="N4000" i="3"/>
  <c r="N3968" i="3"/>
  <c r="N3728" i="3"/>
  <c r="N3664" i="3"/>
  <c r="N3678" i="3"/>
  <c r="N3630" i="3"/>
  <c r="N3614" i="3"/>
  <c r="N3582" i="3"/>
  <c r="N3550" i="3"/>
  <c r="N3534" i="3"/>
  <c r="N3502" i="3"/>
  <c r="N3470" i="3"/>
  <c r="N3454" i="3"/>
  <c r="N3422" i="3"/>
  <c r="N3374" i="3"/>
  <c r="N3326" i="3"/>
  <c r="N3294" i="3"/>
  <c r="N3262" i="3"/>
  <c r="N3230" i="3"/>
  <c r="N3198" i="3"/>
  <c r="N3150" i="3"/>
  <c r="N3118" i="3"/>
  <c r="N3070" i="3"/>
  <c r="N3054" i="3"/>
  <c r="N3022" i="3"/>
  <c r="N2990" i="3"/>
  <c r="N3981" i="3"/>
  <c r="N3885" i="3"/>
  <c r="N3741" i="3"/>
  <c r="N3709" i="3"/>
  <c r="N3693" i="3"/>
  <c r="N3661" i="3"/>
  <c r="N3629" i="3"/>
  <c r="N3597" i="3"/>
  <c r="N3565" i="3"/>
  <c r="N3533" i="3"/>
  <c r="N3501" i="3"/>
  <c r="N3453" i="3"/>
  <c r="N3421" i="3"/>
  <c r="N3389" i="3"/>
  <c r="N3325" i="3"/>
  <c r="N3309" i="3"/>
  <c r="N3277" i="3"/>
  <c r="N3245" i="3"/>
  <c r="N3229" i="3"/>
  <c r="N3197" i="3"/>
  <c r="N3165" i="3"/>
  <c r="N3149" i="3"/>
  <c r="N3117" i="3"/>
  <c r="N3101" i="3"/>
  <c r="N3069" i="3"/>
  <c r="N3053" i="3"/>
  <c r="N3037" i="3"/>
  <c r="N3005" i="3"/>
  <c r="N2957" i="3"/>
  <c r="N2909" i="3"/>
  <c r="N2877" i="3"/>
  <c r="N2845" i="3"/>
  <c r="N2829" i="3"/>
  <c r="N2797" i="3"/>
  <c r="N2765" i="3"/>
  <c r="N2733" i="3"/>
  <c r="N2717" i="3"/>
  <c r="N2685" i="3"/>
  <c r="N2653" i="3"/>
  <c r="N2621" i="3"/>
  <c r="N2589" i="3"/>
  <c r="N2557" i="3"/>
  <c r="N2525" i="3"/>
  <c r="N2493" i="3"/>
  <c r="N2461" i="3"/>
  <c r="N2061" i="3"/>
  <c r="N2941" i="3"/>
  <c r="N3662" i="3"/>
  <c r="N3646" i="3"/>
  <c r="N3598" i="3"/>
  <c r="N3566" i="3"/>
  <c r="N3518" i="3"/>
  <c r="N3486" i="3"/>
  <c r="N3438" i="3"/>
  <c r="N3406" i="3"/>
  <c r="N3390" i="3"/>
  <c r="N3358" i="3"/>
  <c r="N3342" i="3"/>
  <c r="N3310" i="3"/>
  <c r="N3278" i="3"/>
  <c r="N3246" i="3"/>
  <c r="N3214" i="3"/>
  <c r="N3182" i="3"/>
  <c r="N3166" i="3"/>
  <c r="N3134" i="3"/>
  <c r="N3086" i="3"/>
  <c r="N3038" i="3"/>
  <c r="N3006" i="3"/>
  <c r="N2974" i="3"/>
  <c r="N2958" i="3"/>
  <c r="N3997" i="3"/>
  <c r="N3901" i="3"/>
  <c r="N3725" i="3"/>
  <c r="N3677" i="3"/>
  <c r="N3645" i="3"/>
  <c r="N3613" i="3"/>
  <c r="N3581" i="3"/>
  <c r="N3549" i="3"/>
  <c r="N3517" i="3"/>
  <c r="N3485" i="3"/>
  <c r="N3469" i="3"/>
  <c r="N3437" i="3"/>
  <c r="N3405" i="3"/>
  <c r="N3373" i="3"/>
  <c r="N3357" i="3"/>
  <c r="N3341" i="3"/>
  <c r="N3293" i="3"/>
  <c r="N3261" i="3"/>
  <c r="N3213" i="3"/>
  <c r="N3181" i="3"/>
  <c r="N3133" i="3"/>
  <c r="N3085" i="3"/>
  <c r="N3021" i="3"/>
  <c r="N2989" i="3"/>
  <c r="N2973" i="3"/>
  <c r="N2925" i="3"/>
  <c r="N2893" i="3"/>
  <c r="N2861" i="3"/>
  <c r="N2813" i="3"/>
  <c r="N2781" i="3"/>
  <c r="N2749" i="3"/>
  <c r="N2701" i="3"/>
  <c r="N2669" i="3"/>
  <c r="N2637" i="3"/>
  <c r="N2605" i="3"/>
  <c r="N2573" i="3"/>
  <c r="N2541" i="3"/>
  <c r="N2509" i="3"/>
  <c r="N2477" i="3"/>
  <c r="N2445" i="3"/>
  <c r="N2077" i="3"/>
  <c r="N4026" i="3"/>
  <c r="N3898" i="3"/>
  <c r="N3882" i="3"/>
  <c r="N3722" i="3"/>
  <c r="N3706" i="3"/>
  <c r="N3690" i="3"/>
  <c r="N3674" i="3"/>
  <c r="N3658" i="3"/>
  <c r="N3642" i="3"/>
  <c r="N3626" i="3"/>
  <c r="N3610" i="3"/>
  <c r="N3594" i="3"/>
  <c r="N3578" i="3"/>
  <c r="N3562" i="3"/>
  <c r="N3546" i="3"/>
  <c r="N3530" i="3"/>
  <c r="N3514" i="3"/>
  <c r="N3498" i="3"/>
  <c r="N3482" i="3"/>
  <c r="N3466" i="3"/>
  <c r="N3450" i="3"/>
  <c r="N3434" i="3"/>
  <c r="N3418" i="3"/>
  <c r="N3402" i="3"/>
  <c r="N3386" i="3"/>
  <c r="N3370" i="3"/>
  <c r="N3354" i="3"/>
  <c r="N3338" i="3"/>
  <c r="N3322" i="3"/>
  <c r="N3306" i="3"/>
  <c r="N3290" i="3"/>
  <c r="N3274" i="3"/>
  <c r="N3258" i="3"/>
  <c r="N3242" i="3"/>
  <c r="N3226" i="3"/>
  <c r="N3210" i="3"/>
  <c r="N3194" i="3"/>
  <c r="N3178" i="3"/>
  <c r="N3162" i="3"/>
  <c r="N3146" i="3"/>
  <c r="N3130" i="3"/>
  <c r="N3114" i="3"/>
  <c r="N3098" i="3"/>
  <c r="N3082" i="3"/>
  <c r="N3066" i="3"/>
  <c r="N3050" i="3"/>
  <c r="N3034" i="3"/>
  <c r="N3018" i="3"/>
  <c r="N3002" i="3"/>
  <c r="N2986" i="3"/>
  <c r="N2970" i="3"/>
  <c r="N2954" i="3"/>
  <c r="N2938" i="3"/>
  <c r="N2922" i="3"/>
  <c r="N2906" i="3"/>
  <c r="N2890" i="3"/>
  <c r="N2874" i="3"/>
  <c r="N2858" i="3"/>
  <c r="N2842" i="3"/>
  <c r="N2826" i="3"/>
  <c r="N2810" i="3"/>
  <c r="N2794" i="3"/>
  <c r="N2778" i="3"/>
  <c r="N2762" i="3"/>
  <c r="N2746" i="3"/>
  <c r="N2730" i="3"/>
  <c r="N2714" i="3"/>
  <c r="N2698" i="3"/>
  <c r="N2682" i="3"/>
  <c r="N2666" i="3"/>
  <c r="N2650" i="3"/>
  <c r="N2634" i="3"/>
  <c r="N2618" i="3"/>
  <c r="N2602" i="3"/>
  <c r="N2586" i="3"/>
  <c r="N2570" i="3"/>
  <c r="N2554" i="3"/>
  <c r="N2538" i="3"/>
  <c r="N2522" i="3"/>
  <c r="N2506" i="3"/>
  <c r="N2490" i="3"/>
  <c r="N2474" i="3"/>
  <c r="N2458" i="3"/>
  <c r="N2442" i="3"/>
  <c r="N2426" i="3"/>
  <c r="N2410" i="3"/>
  <c r="N2394" i="3"/>
  <c r="N2378" i="3"/>
  <c r="N2362" i="3"/>
  <c r="N1139" i="3"/>
  <c r="N1123" i="3"/>
  <c r="N1107" i="3"/>
  <c r="N1091" i="3"/>
  <c r="N1075" i="3"/>
  <c r="N1059" i="3"/>
  <c r="N1043" i="3"/>
  <c r="N1027" i="3"/>
  <c r="N1011" i="3"/>
  <c r="N995" i="3"/>
  <c r="N979" i="3"/>
  <c r="N963" i="3"/>
  <c r="N947" i="3"/>
  <c r="N931" i="3"/>
  <c r="N915" i="3"/>
  <c r="N899" i="3"/>
  <c r="N883" i="3"/>
  <c r="N867" i="3"/>
  <c r="N851" i="3"/>
  <c r="N835" i="3"/>
  <c r="N819" i="3"/>
  <c r="N803" i="3"/>
  <c r="N787" i="3"/>
  <c r="N771" i="3"/>
  <c r="N755" i="3"/>
  <c r="N739" i="3"/>
  <c r="N723" i="3"/>
  <c r="N707" i="3"/>
  <c r="N691" i="3"/>
  <c r="N675" i="3"/>
  <c r="N659" i="3"/>
  <c r="N643" i="3"/>
  <c r="N627" i="3"/>
  <c r="N611" i="3"/>
  <c r="N595" i="3"/>
  <c r="N579" i="3"/>
  <c r="N563" i="3"/>
  <c r="N547" i="3"/>
  <c r="N531" i="3"/>
  <c r="N515" i="3"/>
  <c r="N499" i="3"/>
  <c r="N483" i="3"/>
  <c r="N467" i="3"/>
  <c r="N451" i="3"/>
  <c r="N435" i="3"/>
  <c r="N419" i="3"/>
  <c r="N403" i="3"/>
  <c r="N387" i="3"/>
  <c r="N371" i="3"/>
  <c r="N355" i="3"/>
  <c r="N339" i="3"/>
  <c r="N323" i="3"/>
  <c r="N307" i="3"/>
  <c r="N291" i="3"/>
  <c r="N275" i="3"/>
  <c r="N259" i="3"/>
  <c r="N243" i="3"/>
  <c r="N227" i="3"/>
  <c r="N211" i="3"/>
  <c r="N195" i="3"/>
  <c r="N179" i="3"/>
  <c r="N163" i="3"/>
  <c r="N147" i="3"/>
  <c r="N131" i="3"/>
  <c r="N115" i="3"/>
  <c r="N99" i="3"/>
  <c r="N83" i="3"/>
  <c r="N67" i="3"/>
  <c r="N51" i="3"/>
  <c r="N35" i="3"/>
  <c r="N19" i="3"/>
  <c r="N989" i="3"/>
  <c r="N973" i="3"/>
  <c r="N957" i="3"/>
  <c r="N941" i="3"/>
  <c r="N925" i="3"/>
  <c r="N909" i="3"/>
  <c r="N893" i="3"/>
  <c r="N877" i="3"/>
  <c r="N861" i="3"/>
  <c r="N845" i="3"/>
  <c r="N829" i="3"/>
  <c r="N813" i="3"/>
  <c r="N797" i="3"/>
  <c r="N781" i="3"/>
  <c r="N765" i="3"/>
  <c r="N749" i="3"/>
  <c r="N733" i="3"/>
  <c r="N717" i="3"/>
  <c r="N701" i="3"/>
  <c r="N685" i="3"/>
  <c r="N669" i="3"/>
  <c r="N653" i="3"/>
  <c r="N637" i="3"/>
  <c r="N621" i="3"/>
  <c r="N605" i="3"/>
  <c r="N589" i="3"/>
  <c r="N573" i="3"/>
  <c r="N557" i="3"/>
  <c r="N541" i="3"/>
  <c r="N525" i="3"/>
  <c r="N509" i="3"/>
  <c r="N493" i="3"/>
  <c r="N477" i="3"/>
  <c r="N461" i="3"/>
  <c r="N445" i="3"/>
  <c r="N429" i="3"/>
  <c r="N413" i="3"/>
  <c r="N397" i="3"/>
  <c r="N381" i="3"/>
  <c r="N365" i="3"/>
  <c r="N349" i="3"/>
  <c r="N333" i="3"/>
  <c r="N317" i="3"/>
  <c r="N301" i="3"/>
  <c r="N285" i="3"/>
  <c r="N269" i="3"/>
  <c r="N253" i="3"/>
  <c r="N237" i="3"/>
  <c r="N221" i="3"/>
  <c r="N205" i="3"/>
  <c r="N189" i="3"/>
  <c r="N173" i="3"/>
  <c r="N157" i="3"/>
  <c r="N141" i="3"/>
  <c r="N125" i="3"/>
  <c r="N109" i="3"/>
  <c r="N93" i="3"/>
  <c r="N77" i="3"/>
  <c r="N61" i="3"/>
  <c r="N45" i="3"/>
  <c r="N29" i="3"/>
  <c r="N13" i="3"/>
  <c r="N4020" i="3"/>
  <c r="N4004" i="3"/>
  <c r="N3892" i="3"/>
  <c r="N3732" i="3"/>
  <c r="N3716" i="3"/>
  <c r="N3700" i="3"/>
  <c r="N3684" i="3"/>
  <c r="N3668" i="3"/>
  <c r="N3652" i="3"/>
  <c r="N3636" i="3"/>
  <c r="N3620" i="3"/>
  <c r="N3604" i="3"/>
  <c r="N3588" i="3"/>
  <c r="N3572" i="3"/>
  <c r="N3556" i="3"/>
  <c r="N3540" i="3"/>
  <c r="N3524" i="3"/>
  <c r="N3508" i="3"/>
  <c r="N3492" i="3"/>
  <c r="N3476" i="3"/>
  <c r="N3460" i="3"/>
  <c r="N3444" i="3"/>
  <c r="N3428" i="3"/>
  <c r="N4006" i="3"/>
  <c r="N3990" i="3"/>
  <c r="N3958" i="3"/>
  <c r="N3894" i="3"/>
  <c r="N3734" i="3"/>
  <c r="N3718" i="3"/>
  <c r="N3702" i="3"/>
  <c r="N3686" i="3"/>
  <c r="N3670" i="3"/>
  <c r="N3654" i="3"/>
  <c r="N3638" i="3"/>
  <c r="N3622" i="3"/>
  <c r="N3606" i="3"/>
  <c r="N3590" i="3"/>
  <c r="N3574" i="3"/>
  <c r="N3558" i="3"/>
  <c r="N3542" i="3"/>
  <c r="N3526" i="3"/>
  <c r="N3510" i="3"/>
  <c r="N3494" i="3"/>
  <c r="N3478" i="3"/>
  <c r="N3462" i="3"/>
  <c r="N3446" i="3"/>
  <c r="N3430" i="3"/>
  <c r="N3414" i="3"/>
  <c r="N3398" i="3"/>
  <c r="N3382" i="3"/>
  <c r="N3366" i="3"/>
  <c r="N3350" i="3"/>
  <c r="N3334" i="3"/>
  <c r="N3318" i="3"/>
  <c r="N3302" i="3"/>
  <c r="N3286" i="3"/>
  <c r="N3270" i="3"/>
  <c r="N3254" i="3"/>
  <c r="N3238" i="3"/>
  <c r="N3222" i="3"/>
  <c r="N3206" i="3"/>
  <c r="N3190" i="3"/>
  <c r="N3174" i="3"/>
  <c r="N3158" i="3"/>
  <c r="N3142" i="3"/>
  <c r="N3126" i="3"/>
  <c r="N3110" i="3"/>
  <c r="N3094" i="3"/>
  <c r="N3078" i="3"/>
  <c r="N3062" i="3"/>
  <c r="N3046" i="3"/>
  <c r="N3030" i="3"/>
  <c r="N3014" i="3"/>
  <c r="N2998" i="3"/>
  <c r="N2982" i="3"/>
  <c r="N2966" i="3"/>
  <c r="N2950" i="3"/>
  <c r="N2934" i="3"/>
  <c r="N2918" i="3"/>
  <c r="N2902" i="3"/>
  <c r="N2886" i="3"/>
  <c r="N2870" i="3"/>
  <c r="N2854" i="3"/>
  <c r="N2838" i="3"/>
  <c r="N2822" i="3"/>
  <c r="N2806" i="3"/>
  <c r="N2790" i="3"/>
  <c r="N2774" i="3"/>
  <c r="N2758" i="3"/>
  <c r="N2742" i="3"/>
  <c r="N2726" i="3"/>
  <c r="N2710" i="3"/>
  <c r="N2694" i="3"/>
  <c r="N2678" i="3"/>
  <c r="N2662" i="3"/>
  <c r="N3412" i="3"/>
  <c r="N3396" i="3"/>
  <c r="N3380" i="3"/>
  <c r="N3364" i="3"/>
  <c r="N3348" i="3"/>
  <c r="N3332" i="3"/>
  <c r="N3316" i="3"/>
  <c r="N3300" i="3"/>
  <c r="N3284" i="3"/>
  <c r="N3268" i="3"/>
  <c r="N3252" i="3"/>
  <c r="N3236" i="3"/>
  <c r="N3220" i="3"/>
  <c r="N3204" i="3"/>
  <c r="N3188" i="3"/>
  <c r="N3172" i="3"/>
  <c r="N3156" i="3"/>
  <c r="N3140" i="3"/>
  <c r="N3124" i="3"/>
  <c r="N3108" i="3"/>
  <c r="N3092" i="3"/>
  <c r="N3076" i="3"/>
  <c r="N3060" i="3"/>
  <c r="N3044" i="3"/>
  <c r="N3028" i="3"/>
  <c r="N3012" i="3"/>
  <c r="N2996" i="3"/>
  <c r="N2980" i="3"/>
  <c r="N2964" i="3"/>
  <c r="N2948" i="3"/>
  <c r="N2932" i="3"/>
  <c r="N2916" i="3"/>
  <c r="N2900" i="3"/>
  <c r="N2884" i="3"/>
  <c r="N2868" i="3"/>
  <c r="N2852" i="3"/>
  <c r="N2836" i="3"/>
  <c r="N2820" i="3"/>
  <c r="N2804" i="3"/>
  <c r="N2788" i="3"/>
  <c r="N2772" i="3"/>
  <c r="N2756" i="3"/>
  <c r="N2740" i="3"/>
  <c r="N2724" i="3"/>
  <c r="N2708" i="3"/>
  <c r="N2692" i="3"/>
  <c r="N2676" i="3"/>
  <c r="N2660" i="3"/>
  <c r="N2644" i="3"/>
  <c r="N2628" i="3"/>
  <c r="N2612" i="3"/>
  <c r="N2596" i="3"/>
  <c r="N2580" i="3"/>
  <c r="N2564" i="3"/>
  <c r="N2548" i="3"/>
  <c r="N2532" i="3"/>
  <c r="N2516" i="3"/>
  <c r="N2500" i="3"/>
  <c r="N2484" i="3"/>
  <c r="N2468" i="3"/>
  <c r="N2452" i="3"/>
  <c r="N2436" i="3"/>
  <c r="N2420" i="3"/>
  <c r="N2404" i="3"/>
  <c r="N2388" i="3"/>
  <c r="N2372" i="3"/>
  <c r="N2356" i="3"/>
  <c r="N2340" i="3"/>
  <c r="N2324" i="3"/>
  <c r="N2308" i="3"/>
  <c r="N2292" i="3"/>
  <c r="N2276" i="3"/>
  <c r="N2260" i="3"/>
  <c r="N2244" i="3"/>
  <c r="N2228" i="3"/>
  <c r="N2212" i="3"/>
  <c r="N2196" i="3"/>
  <c r="N2180" i="3"/>
  <c r="N2164" i="3"/>
  <c r="N2148" i="3"/>
  <c r="N2132" i="3"/>
  <c r="N2116" i="3"/>
  <c r="N2100" i="3"/>
  <c r="N2084" i="3"/>
  <c r="N2068" i="3"/>
  <c r="N1306" i="3"/>
  <c r="N1290" i="3"/>
  <c r="N1274" i="3"/>
  <c r="N2646" i="3"/>
  <c r="N2630" i="3"/>
  <c r="N2614" i="3"/>
  <c r="N2598" i="3"/>
  <c r="N2582" i="3"/>
  <c r="N2566" i="3"/>
  <c r="N2550" i="3"/>
  <c r="N2534" i="3"/>
  <c r="N2518" i="3"/>
  <c r="N2502" i="3"/>
  <c r="N2486" i="3"/>
  <c r="N2470" i="3"/>
  <c r="N2454" i="3"/>
  <c r="N2438" i="3"/>
  <c r="N2422" i="3"/>
  <c r="N2406" i="3"/>
  <c r="N2390" i="3"/>
  <c r="N2374" i="3"/>
  <c r="N2358" i="3"/>
  <c r="N2342" i="3"/>
  <c r="N2326" i="3"/>
  <c r="N2310" i="3"/>
  <c r="N2294" i="3"/>
  <c r="N2278" i="3"/>
  <c r="N2262" i="3"/>
  <c r="N2246" i="3"/>
  <c r="N2230" i="3"/>
  <c r="N2214" i="3"/>
  <c r="N2198" i="3"/>
  <c r="N2182" i="3"/>
  <c r="N2166" i="3"/>
  <c r="N2150" i="3"/>
  <c r="N2134" i="3"/>
  <c r="N2118" i="3"/>
  <c r="N2102" i="3"/>
  <c r="N2086" i="3"/>
  <c r="N2070" i="3"/>
  <c r="N2054" i="3"/>
  <c r="N2038" i="3"/>
  <c r="N2022" i="3"/>
  <c r="N2006" i="3"/>
  <c r="N1990" i="3"/>
  <c r="N1974" i="3"/>
  <c r="N1958" i="3"/>
  <c r="N1942" i="3"/>
  <c r="N1926" i="3"/>
  <c r="N1910" i="3"/>
  <c r="N1894" i="3"/>
  <c r="N1878" i="3"/>
  <c r="N1862" i="3"/>
  <c r="N1846" i="3"/>
  <c r="N1830" i="3"/>
  <c r="N1814" i="3"/>
  <c r="N1798" i="3"/>
  <c r="N1782" i="3"/>
  <c r="N1766" i="3"/>
  <c r="N1750" i="3"/>
  <c r="N1734" i="3"/>
  <c r="N1718" i="3"/>
  <c r="N1702" i="3"/>
  <c r="N1686" i="3"/>
  <c r="N1670" i="3"/>
  <c r="N1654" i="3"/>
  <c r="N1638" i="3"/>
  <c r="N1622" i="3"/>
  <c r="N1606" i="3"/>
  <c r="N1590" i="3"/>
  <c r="N1574" i="3"/>
  <c r="N1558" i="3"/>
  <c r="N1542" i="3"/>
  <c r="N1526" i="3"/>
  <c r="N1510" i="3"/>
  <c r="N1494" i="3"/>
  <c r="N1478" i="3"/>
  <c r="N1462" i="3"/>
  <c r="N1446" i="3"/>
  <c r="N1430" i="3"/>
  <c r="N1414" i="3"/>
  <c r="N1398" i="3"/>
  <c r="N1382" i="3"/>
  <c r="N1366" i="3"/>
  <c r="N1350" i="3"/>
  <c r="N1334" i="3"/>
  <c r="N1318" i="3"/>
  <c r="N1302" i="3"/>
  <c r="N2052" i="3"/>
  <c r="N2036" i="3"/>
  <c r="N2020" i="3"/>
  <c r="N2004" i="3"/>
  <c r="N1988" i="3"/>
  <c r="N1972" i="3"/>
  <c r="N1956" i="3"/>
  <c r="N1940" i="3"/>
  <c r="N1924" i="3"/>
  <c r="N1286" i="3"/>
  <c r="N1270" i="3"/>
  <c r="N1254" i="3"/>
  <c r="N1238" i="3"/>
  <c r="N1222" i="3"/>
  <c r="N1206" i="3"/>
  <c r="N1190" i="3"/>
  <c r="N1174" i="3"/>
  <c r="N1158" i="3"/>
  <c r="N1142" i="3"/>
  <c r="N1126" i="3"/>
  <c r="N1110" i="3"/>
  <c r="N1094" i="3"/>
  <c r="N1078" i="3"/>
  <c r="N1062" i="3"/>
  <c r="N1046" i="3"/>
  <c r="N1030" i="3"/>
  <c r="N1014" i="3"/>
  <c r="N998" i="3"/>
  <c r="N982" i="3"/>
  <c r="N966" i="3"/>
  <c r="N950" i="3"/>
  <c r="N934" i="3"/>
  <c r="N918" i="3"/>
  <c r="N902" i="3"/>
  <c r="N886" i="3"/>
  <c r="N870" i="3"/>
  <c r="N854" i="3"/>
  <c r="N838" i="3"/>
  <c r="N822" i="3"/>
  <c r="N806" i="3"/>
  <c r="N790" i="3"/>
  <c r="N774" i="3"/>
  <c r="N758" i="3"/>
  <c r="N742" i="3"/>
  <c r="N726" i="3"/>
  <c r="N710" i="3"/>
  <c r="N694" i="3"/>
  <c r="N678" i="3"/>
  <c r="N662" i="3"/>
  <c r="N646" i="3"/>
  <c r="N630" i="3"/>
  <c r="N614" i="3"/>
  <c r="N598" i="3"/>
  <c r="N582" i="3"/>
  <c r="N566" i="3"/>
  <c r="N550" i="3"/>
  <c r="N534" i="3"/>
  <c r="N518" i="3"/>
  <c r="N502" i="3"/>
  <c r="N486" i="3"/>
  <c r="N470" i="3"/>
  <c r="N454" i="3"/>
  <c r="N438" i="3"/>
  <c r="N422" i="3"/>
  <c r="N406" i="3"/>
  <c r="N390" i="3"/>
  <c r="N374" i="3"/>
  <c r="N358" i="3"/>
  <c r="N342" i="3"/>
  <c r="N326" i="3"/>
  <c r="N310" i="3"/>
  <c r="N294" i="3"/>
  <c r="N278" i="3"/>
  <c r="N262" i="3"/>
  <c r="N246" i="3"/>
  <c r="N230" i="3"/>
  <c r="N214" i="3"/>
  <c r="N198" i="3"/>
  <c r="N182" i="3"/>
  <c r="N166" i="3"/>
  <c r="N150" i="3"/>
  <c r="N134" i="3"/>
  <c r="N118" i="3"/>
  <c r="N102" i="3"/>
  <c r="N86" i="3"/>
  <c r="N70" i="3"/>
  <c r="N54" i="3"/>
  <c r="N38" i="3"/>
  <c r="N22" i="3"/>
  <c r="N6" i="3"/>
  <c r="N3663" i="3"/>
  <c r="N3567" i="3"/>
  <c r="N3439" i="3"/>
  <c r="N3327" i="3"/>
  <c r="N3151" i="3"/>
  <c r="N3071" i="3"/>
  <c r="N2991" i="3"/>
  <c r="N2927" i="3"/>
  <c r="N2831" i="3"/>
  <c r="N3647" i="3"/>
  <c r="N3535" i="3"/>
  <c r="N3407" i="3"/>
  <c r="N3695" i="3"/>
  <c r="N3631" i="3"/>
  <c r="N3551" i="3"/>
  <c r="N3471" i="3"/>
  <c r="N3423" i="3"/>
  <c r="N3343" i="3"/>
  <c r="N3263" i="3"/>
  <c r="N3215" i="3"/>
  <c r="N3167" i="3"/>
  <c r="N3087" i="3"/>
  <c r="N3023" i="3"/>
  <c r="N2959" i="3"/>
  <c r="N2911" i="3"/>
  <c r="N2815" i="3"/>
  <c r="N3727" i="3"/>
  <c r="N3599" i="3"/>
  <c r="N3487" i="3"/>
  <c r="N3375" i="3"/>
  <c r="N3279" i="3"/>
  <c r="N3135" i="3"/>
  <c r="N3007" i="3"/>
  <c r="N2863" i="3"/>
  <c r="N3991" i="3"/>
  <c r="N3975" i="3"/>
  <c r="N3959" i="3"/>
  <c r="N3735" i="3"/>
  <c r="N3719" i="3"/>
  <c r="N3703" i="3"/>
  <c r="N3687" i="3"/>
  <c r="N3671" i="3"/>
  <c r="N3655" i="3"/>
  <c r="N3639" i="3"/>
  <c r="N3623" i="3"/>
  <c r="N3607" i="3"/>
  <c r="N3591" i="3"/>
  <c r="N3575" i="3"/>
  <c r="N3559" i="3"/>
  <c r="N3543" i="3"/>
  <c r="N3527" i="3"/>
  <c r="N3511" i="3"/>
  <c r="N3495" i="3"/>
  <c r="N3479" i="3"/>
  <c r="N3463" i="3"/>
  <c r="N3447" i="3"/>
  <c r="N3431" i="3"/>
  <c r="N3415" i="3"/>
  <c r="N3399" i="3"/>
  <c r="N3383" i="3"/>
  <c r="N3367" i="3"/>
  <c r="N3351" i="3"/>
  <c r="N1490" i="3"/>
  <c r="N1474" i="3"/>
  <c r="N1458" i="3"/>
  <c r="N1442" i="3"/>
  <c r="N1426" i="3"/>
  <c r="N1410" i="3"/>
  <c r="N1394" i="3"/>
  <c r="N1378" i="3"/>
  <c r="N3999" i="3"/>
  <c r="N3903" i="3"/>
  <c r="N3711" i="3"/>
  <c r="N3615" i="3"/>
  <c r="N3519" i="3"/>
  <c r="N3455" i="3"/>
  <c r="N3359" i="3"/>
  <c r="N3311" i="3"/>
  <c r="N3247" i="3"/>
  <c r="N3183" i="3"/>
  <c r="N3103" i="3"/>
  <c r="N3039" i="3"/>
  <c r="N2975" i="3"/>
  <c r="N2895" i="3"/>
  <c r="N2847" i="3"/>
  <c r="N2783" i="3"/>
  <c r="N2767" i="3"/>
  <c r="N2751" i="3"/>
  <c r="N2735" i="3"/>
  <c r="N2719" i="3"/>
  <c r="N2703" i="3"/>
  <c r="N2687" i="3"/>
  <c r="N2671" i="3"/>
  <c r="N2655" i="3"/>
  <c r="N2639" i="3"/>
  <c r="N2623" i="3"/>
  <c r="N2607" i="3"/>
  <c r="N2591" i="3"/>
  <c r="N2575" i="3"/>
  <c r="N2559" i="3"/>
  <c r="N2543" i="3"/>
  <c r="N2527" i="3"/>
  <c r="N2511" i="3"/>
  <c r="N2495" i="3"/>
  <c r="N2479" i="3"/>
  <c r="N2463" i="3"/>
  <c r="N2447" i="3"/>
  <c r="N2431" i="3"/>
  <c r="N2415" i="3"/>
  <c r="N2399" i="3"/>
  <c r="N2383" i="3"/>
  <c r="N2367" i="3"/>
  <c r="N2351" i="3"/>
  <c r="N2335" i="3"/>
  <c r="N2319" i="3"/>
  <c r="N2303" i="3"/>
  <c r="N2287" i="3"/>
  <c r="N2271" i="3"/>
  <c r="N2255" i="3"/>
  <c r="N2239" i="3"/>
  <c r="N2223" i="3"/>
  <c r="N2207" i="3"/>
  <c r="N2191" i="3"/>
  <c r="N2175" i="3"/>
  <c r="N2159" i="3"/>
  <c r="N2143" i="3"/>
  <c r="N2127" i="3"/>
  <c r="N2111" i="3"/>
  <c r="N2095" i="3"/>
  <c r="N2079" i="3"/>
  <c r="N2063" i="3"/>
  <c r="N2047" i="3"/>
  <c r="N2031" i="3"/>
  <c r="N2015" i="3"/>
  <c r="N1999" i="3"/>
  <c r="N1983" i="3"/>
  <c r="N1967" i="3"/>
  <c r="N1951" i="3"/>
  <c r="N1935" i="3"/>
  <c r="N1919" i="3"/>
  <c r="N1903" i="3"/>
  <c r="N1887" i="3"/>
  <c r="N1871" i="3"/>
  <c r="N1855" i="3"/>
  <c r="N1839" i="3"/>
  <c r="N1823" i="3"/>
  <c r="N1807" i="3"/>
  <c r="N1791" i="3"/>
  <c r="N1775" i="3"/>
  <c r="N1759" i="3"/>
  <c r="N1743" i="3"/>
  <c r="N1727" i="3"/>
  <c r="N1711" i="3"/>
  <c r="N1695" i="3"/>
  <c r="N1679" i="3"/>
  <c r="N1663" i="3"/>
  <c r="N1647" i="3"/>
  <c r="N1631" i="3"/>
  <c r="N1615" i="3"/>
  <c r="N1599" i="3"/>
  <c r="N1583" i="3"/>
  <c r="N1567" i="3"/>
  <c r="N1551" i="3"/>
  <c r="N1535" i="3"/>
  <c r="N1519" i="3"/>
  <c r="N1503" i="3"/>
  <c r="N1487" i="3"/>
  <c r="N1471" i="3"/>
  <c r="N1455" i="3"/>
  <c r="N1439" i="3"/>
  <c r="N1423" i="3"/>
  <c r="N1407" i="3"/>
  <c r="N1391" i="3"/>
  <c r="N1375" i="3"/>
  <c r="N1359" i="3"/>
  <c r="N1343" i="3"/>
  <c r="N1327" i="3"/>
  <c r="N1311" i="3"/>
  <c r="N1295" i="3"/>
  <c r="N1279" i="3"/>
  <c r="N1263" i="3"/>
  <c r="N1247" i="3"/>
  <c r="N1231" i="3"/>
  <c r="N1215" i="3"/>
  <c r="N1199" i="3"/>
  <c r="N1183" i="3"/>
  <c r="N1167" i="3"/>
  <c r="N1151" i="3"/>
  <c r="N1135" i="3"/>
  <c r="N1119" i="3"/>
  <c r="N1103" i="3"/>
  <c r="N1087" i="3"/>
  <c r="N1071" i="3"/>
  <c r="N1055" i="3"/>
  <c r="N1039" i="3"/>
  <c r="N1023" i="3"/>
  <c r="N1007" i="3"/>
  <c r="N991" i="3"/>
  <c r="N975" i="3"/>
  <c r="N959" i="3"/>
  <c r="N943" i="3"/>
  <c r="N927" i="3"/>
  <c r="N911" i="3"/>
  <c r="N895" i="3"/>
  <c r="N879" i="3"/>
  <c r="N863" i="3"/>
  <c r="N847" i="3"/>
  <c r="N831" i="3"/>
  <c r="N815" i="3"/>
  <c r="N799" i="3"/>
  <c r="N783" i="3"/>
  <c r="N767" i="3"/>
  <c r="N751" i="3"/>
  <c r="N735" i="3"/>
  <c r="N719" i="3"/>
  <c r="N703" i="3"/>
  <c r="N687" i="3"/>
  <c r="N671" i="3"/>
  <c r="N655" i="3"/>
  <c r="N639" i="3"/>
  <c r="N623" i="3"/>
  <c r="N607" i="3"/>
  <c r="N591" i="3"/>
  <c r="N575" i="3"/>
  <c r="N559" i="3"/>
  <c r="N543" i="3"/>
  <c r="N527" i="3"/>
  <c r="N511" i="3"/>
  <c r="N495" i="3"/>
  <c r="N479" i="3"/>
  <c r="N463" i="3"/>
  <c r="N447" i="3"/>
  <c r="N431" i="3"/>
  <c r="N415" i="3"/>
  <c r="N399" i="3"/>
  <c r="N383" i="3"/>
  <c r="N367" i="3"/>
  <c r="N351" i="3"/>
  <c r="N335" i="3"/>
  <c r="N319" i="3"/>
  <c r="N303" i="3"/>
  <c r="N287" i="3"/>
  <c r="N271" i="3"/>
  <c r="N255" i="3"/>
  <c r="N239" i="3"/>
  <c r="N223" i="3"/>
  <c r="N207" i="3"/>
  <c r="N191" i="3"/>
  <c r="N175" i="3"/>
  <c r="N159" i="3"/>
  <c r="N143" i="3"/>
  <c r="N127" i="3"/>
  <c r="N111" i="3"/>
  <c r="N95" i="3"/>
  <c r="N79" i="3"/>
  <c r="N63" i="3"/>
  <c r="N47" i="3"/>
  <c r="N31" i="3"/>
  <c r="N15" i="3"/>
  <c r="N3887" i="3"/>
  <c r="N3679" i="3"/>
  <c r="N3583" i="3"/>
  <c r="N3503" i="3"/>
  <c r="N3391" i="3"/>
  <c r="N3295" i="3"/>
  <c r="N3231" i="3"/>
  <c r="N3199" i="3"/>
  <c r="N3119" i="3"/>
  <c r="N3055" i="3"/>
  <c r="N2943" i="3"/>
  <c r="N2879" i="3"/>
  <c r="N2799" i="3"/>
  <c r="N3980" i="3"/>
  <c r="N3740" i="3"/>
  <c r="N3708" i="3"/>
  <c r="N3660" i="3"/>
  <c r="N3628" i="3"/>
  <c r="N3580" i="3"/>
  <c r="N3516" i="3"/>
  <c r="N3468" i="3"/>
  <c r="N2828" i="3"/>
  <c r="N3996" i="3"/>
  <c r="N3964" i="3"/>
  <c r="N3900" i="3"/>
  <c r="N3724" i="3"/>
  <c r="N3692" i="3"/>
  <c r="N3676" i="3"/>
  <c r="N3644" i="3"/>
  <c r="N3612" i="3"/>
  <c r="N3596" i="3"/>
  <c r="N3564" i="3"/>
  <c r="N3548" i="3"/>
  <c r="N3532" i="3"/>
  <c r="N3500" i="3"/>
  <c r="N3484" i="3"/>
  <c r="N3452" i="3"/>
  <c r="N3436" i="3"/>
  <c r="N3420" i="3"/>
  <c r="N3404" i="3"/>
  <c r="N3388" i="3"/>
  <c r="N3372" i="3"/>
  <c r="N3356" i="3"/>
  <c r="N3340" i="3"/>
  <c r="N3324" i="3"/>
  <c r="N3308" i="3"/>
  <c r="N3292" i="3"/>
  <c r="N3276" i="3"/>
  <c r="N3260" i="3"/>
  <c r="N3244" i="3"/>
  <c r="N3228" i="3"/>
  <c r="N3212" i="3"/>
  <c r="N3196" i="3"/>
  <c r="N3180" i="3"/>
  <c r="N3164" i="3"/>
  <c r="N3148" i="3"/>
  <c r="N3132" i="3"/>
  <c r="N3116" i="3"/>
  <c r="N3100" i="3"/>
  <c r="N3084" i="3"/>
  <c r="N3068" i="3"/>
  <c r="N3052" i="3"/>
  <c r="N3036" i="3"/>
  <c r="N3020" i="3"/>
  <c r="N3004" i="3"/>
  <c r="N2988" i="3"/>
  <c r="N2972" i="3"/>
  <c r="N2956" i="3"/>
  <c r="N2940" i="3"/>
  <c r="N2924" i="3"/>
  <c r="N2908" i="3"/>
  <c r="N2892" i="3"/>
  <c r="N2876" i="3"/>
  <c r="N2860" i="3"/>
  <c r="N2844" i="3"/>
  <c r="N2796" i="3"/>
  <c r="N3335" i="3"/>
  <c r="N3319" i="3"/>
  <c r="N3303" i="3"/>
  <c r="N3287" i="3"/>
  <c r="N3271" i="3"/>
  <c r="N3255" i="3"/>
  <c r="N3239" i="3"/>
  <c r="N3223" i="3"/>
  <c r="N3207" i="3"/>
  <c r="N3191" i="3"/>
  <c r="N3175" i="3"/>
  <c r="N3159" i="3"/>
  <c r="N3143" i="3"/>
  <c r="N3127" i="3"/>
  <c r="N3111" i="3"/>
  <c r="N3095" i="3"/>
  <c r="N3079" i="3"/>
  <c r="N3063" i="3"/>
  <c r="N3047" i="3"/>
  <c r="N3031" i="3"/>
  <c r="N3015" i="3"/>
  <c r="N2999" i="3"/>
  <c r="N2983" i="3"/>
  <c r="N2967" i="3"/>
  <c r="N2951" i="3"/>
  <c r="N2935" i="3"/>
  <c r="N2919" i="3"/>
  <c r="N2903" i="3"/>
  <c r="N2887" i="3"/>
  <c r="N2871" i="3"/>
  <c r="N2855" i="3"/>
  <c r="N2839" i="3"/>
  <c r="N2823" i="3"/>
  <c r="N2807" i="3"/>
  <c r="N2791" i="3"/>
  <c r="N2775" i="3"/>
  <c r="N2759" i="3"/>
  <c r="N2743" i="3"/>
  <c r="N2727" i="3"/>
  <c r="N2711" i="3"/>
  <c r="N2695" i="3"/>
  <c r="N2679" i="3"/>
  <c r="N2663" i="3"/>
  <c r="N2647" i="3"/>
  <c r="N2631" i="3"/>
  <c r="N2615" i="3"/>
  <c r="N2599" i="3"/>
  <c r="N2583" i="3"/>
  <c r="N2567" i="3"/>
  <c r="N2551" i="3"/>
  <c r="N2535" i="3"/>
  <c r="N2519" i="3"/>
  <c r="N2503" i="3"/>
  <c r="N2487" i="3"/>
  <c r="N2471" i="3"/>
  <c r="N2455" i="3"/>
  <c r="N2439" i="3"/>
  <c r="N2423" i="3"/>
  <c r="N2407" i="3"/>
  <c r="N2391" i="3"/>
  <c r="N2375" i="3"/>
  <c r="N2359" i="3"/>
  <c r="N2343" i="3"/>
  <c r="N2327" i="3"/>
  <c r="N2311" i="3"/>
  <c r="N2295" i="3"/>
  <c r="N2279" i="3"/>
  <c r="N2263" i="3"/>
  <c r="N2247" i="3"/>
  <c r="N2231" i="3"/>
  <c r="N2215" i="3"/>
  <c r="N2199" i="3"/>
  <c r="N2183" i="3"/>
  <c r="N2167" i="3"/>
  <c r="N2151" i="3"/>
  <c r="N2135" i="3"/>
  <c r="N2119" i="3"/>
  <c r="N2103" i="3"/>
  <c r="N1362" i="3"/>
  <c r="N1346" i="3"/>
  <c r="N1330" i="3"/>
  <c r="N1314" i="3"/>
  <c r="N1298" i="3"/>
  <c r="N1282" i="3"/>
  <c r="N1266" i="3"/>
  <c r="N1250" i="3"/>
  <c r="N1234" i="3"/>
  <c r="N1218" i="3"/>
  <c r="N1202" i="3"/>
  <c r="N1186" i="3"/>
  <c r="N1170" i="3"/>
  <c r="N1154" i="3"/>
  <c r="N1138" i="3"/>
  <c r="N1122" i="3"/>
  <c r="N1106" i="3"/>
  <c r="N1090" i="3"/>
  <c r="N1074" i="3"/>
  <c r="N1058" i="3"/>
  <c r="N1042" i="3"/>
  <c r="N1026" i="3"/>
  <c r="N1010" i="3"/>
  <c r="N994" i="3"/>
  <c r="N978" i="3"/>
  <c r="N962" i="3"/>
  <c r="N946" i="3"/>
  <c r="N930" i="3"/>
  <c r="N914" i="3"/>
  <c r="N898" i="3"/>
  <c r="N882" i="3"/>
  <c r="N866" i="3"/>
  <c r="N850" i="3"/>
  <c r="N834" i="3"/>
  <c r="N818" i="3"/>
  <c r="N802" i="3"/>
  <c r="N786" i="3"/>
  <c r="N770" i="3"/>
  <c r="N754" i="3"/>
  <c r="N738" i="3"/>
  <c r="N722" i="3"/>
  <c r="N706" i="3"/>
  <c r="N690" i="3"/>
  <c r="N674" i="3"/>
  <c r="N658" i="3"/>
  <c r="N642" i="3"/>
  <c r="N626" i="3"/>
  <c r="N610" i="3"/>
  <c r="N594" i="3"/>
  <c r="N578" i="3"/>
  <c r="N562" i="3"/>
  <c r="N546" i="3"/>
  <c r="N530" i="3"/>
  <c r="N514" i="3"/>
  <c r="N498" i="3"/>
  <c r="N482" i="3"/>
  <c r="N466" i="3"/>
  <c r="N450" i="3"/>
  <c r="N434" i="3"/>
  <c r="N418" i="3"/>
  <c r="N402" i="3"/>
  <c r="N386" i="3"/>
  <c r="N370" i="3"/>
  <c r="N354" i="3"/>
  <c r="N338" i="3"/>
  <c r="N322" i="3"/>
  <c r="N306" i="3"/>
  <c r="N290" i="3"/>
  <c r="N274" i="3"/>
  <c r="N258" i="3"/>
  <c r="N242" i="3"/>
  <c r="N226" i="3"/>
  <c r="N210" i="3"/>
  <c r="N194" i="3"/>
  <c r="N178" i="3"/>
  <c r="N162" i="3"/>
  <c r="N146" i="3"/>
  <c r="N130" i="3"/>
  <c r="N114" i="3"/>
  <c r="N98" i="3"/>
  <c r="N82" i="3"/>
  <c r="N66" i="3"/>
  <c r="N50" i="3"/>
  <c r="N34" i="3"/>
  <c r="N18" i="3"/>
  <c r="N3600" i="3"/>
  <c r="N3584" i="3"/>
  <c r="N3568" i="3"/>
  <c r="N3552" i="3"/>
  <c r="N3536" i="3"/>
  <c r="N3520" i="3"/>
  <c r="N3504" i="3"/>
  <c r="N3488" i="3"/>
  <c r="N3472" i="3"/>
  <c r="N3456" i="3"/>
  <c r="N3440" i="3"/>
  <c r="N3424" i="3"/>
  <c r="N3408" i="3"/>
  <c r="N3392" i="3"/>
  <c r="N3376" i="3"/>
  <c r="N3360" i="3"/>
  <c r="N3344" i="3"/>
  <c r="N3328" i="3"/>
  <c r="N3312" i="3"/>
  <c r="N3296" i="3"/>
  <c r="N3280" i="3"/>
  <c r="N3264" i="3"/>
  <c r="N3248" i="3"/>
  <c r="N3232" i="3"/>
  <c r="N3216" i="3"/>
  <c r="N3200" i="3"/>
  <c r="N3184" i="3"/>
  <c r="N3168" i="3"/>
  <c r="N3152" i="3"/>
  <c r="N3136" i="3"/>
  <c r="N2780" i="3"/>
  <c r="N2748" i="3"/>
  <c r="N2716" i="3"/>
  <c r="N2684" i="3"/>
  <c r="N2652" i="3"/>
  <c r="N2604" i="3"/>
  <c r="N2572" i="3"/>
  <c r="N2540" i="3"/>
  <c r="N2492" i="3"/>
  <c r="N2476" i="3"/>
  <c r="N2444" i="3"/>
  <c r="N2412" i="3"/>
  <c r="N2380" i="3"/>
  <c r="N2348" i="3"/>
  <c r="N2316" i="3"/>
  <c r="N2284" i="3"/>
  <c r="N2268" i="3"/>
  <c r="N2252" i="3"/>
  <c r="N2236" i="3"/>
  <c r="N2220" i="3"/>
  <c r="N2204" i="3"/>
  <c r="N2188" i="3"/>
  <c r="N2172" i="3"/>
  <c r="N2156" i="3"/>
  <c r="N2140" i="3"/>
  <c r="N2124" i="3"/>
  <c r="N2108" i="3"/>
  <c r="N2092" i="3"/>
  <c r="N2076" i="3"/>
  <c r="N2060" i="3"/>
  <c r="N2044" i="3"/>
  <c r="N2028" i="3"/>
  <c r="N2012" i="3"/>
  <c r="N1996" i="3"/>
  <c r="N1980" i="3"/>
  <c r="N1964" i="3"/>
  <c r="N1948" i="3"/>
  <c r="N1932" i="3"/>
  <c r="N1916" i="3"/>
  <c r="N1900" i="3"/>
  <c r="N1884" i="3"/>
  <c r="N1868" i="3"/>
  <c r="N1852" i="3"/>
  <c r="N1836" i="3"/>
  <c r="N1820" i="3"/>
  <c r="N1804" i="3"/>
  <c r="N1788" i="3"/>
  <c r="N1772" i="3"/>
  <c r="N1756" i="3"/>
  <c r="N1740" i="3"/>
  <c r="N1724" i="3"/>
  <c r="N1708" i="3"/>
  <c r="N1692" i="3"/>
  <c r="N1676" i="3"/>
  <c r="N1660" i="3"/>
  <c r="N1644" i="3"/>
  <c r="N1628" i="3"/>
  <c r="N1612" i="3"/>
  <c r="N1596" i="3"/>
  <c r="N1580" i="3"/>
  <c r="N1564" i="3"/>
  <c r="N1548" i="3"/>
  <c r="N1532" i="3"/>
  <c r="N1516" i="3"/>
  <c r="N1500" i="3"/>
  <c r="N1484" i="3"/>
  <c r="N1468" i="3"/>
  <c r="N1452" i="3"/>
  <c r="N1436" i="3"/>
  <c r="N1420" i="3"/>
  <c r="N1404" i="3"/>
  <c r="N1388" i="3"/>
  <c r="N1372" i="3"/>
  <c r="N1356" i="3"/>
  <c r="N1340" i="3"/>
  <c r="N1324" i="3"/>
  <c r="N1308" i="3"/>
  <c r="N1292" i="3"/>
  <c r="N1276" i="3"/>
  <c r="N1260" i="3"/>
  <c r="N1244" i="3"/>
  <c r="N1228" i="3"/>
  <c r="N1212" i="3"/>
  <c r="N1196" i="3"/>
  <c r="N1180" i="3"/>
  <c r="N1164" i="3"/>
  <c r="N1148" i="3"/>
  <c r="N1132" i="3"/>
  <c r="N1116" i="3"/>
  <c r="N1100" i="3"/>
  <c r="N1084" i="3"/>
  <c r="N1068" i="3"/>
  <c r="N1052" i="3"/>
  <c r="N1036" i="3"/>
  <c r="N1020" i="3"/>
  <c r="N1004" i="3"/>
  <c r="N988" i="3"/>
  <c r="N972" i="3"/>
  <c r="N956" i="3"/>
  <c r="N940" i="3"/>
  <c r="N924" i="3"/>
  <c r="N908" i="3"/>
  <c r="N892" i="3"/>
  <c r="N876" i="3"/>
  <c r="N860" i="3"/>
  <c r="N844" i="3"/>
  <c r="N828" i="3"/>
  <c r="N812" i="3"/>
  <c r="N796" i="3"/>
  <c r="N780" i="3"/>
  <c r="N764" i="3"/>
  <c r="N748" i="3"/>
  <c r="N732" i="3"/>
  <c r="N3995" i="3"/>
  <c r="N3979" i="3"/>
  <c r="N3963" i="3"/>
  <c r="N3899" i="3"/>
  <c r="N3883" i="3"/>
  <c r="N3739" i="3"/>
  <c r="N3723" i="3"/>
  <c r="N3707" i="3"/>
  <c r="N3691" i="3"/>
  <c r="N3675" i="3"/>
  <c r="N3659" i="3"/>
  <c r="N3643" i="3"/>
  <c r="N3627" i="3"/>
  <c r="N3611" i="3"/>
  <c r="N3595" i="3"/>
  <c r="N3579" i="3"/>
  <c r="N3563" i="3"/>
  <c r="N3547" i="3"/>
  <c r="N3531" i="3"/>
  <c r="N3515" i="3"/>
  <c r="N3499" i="3"/>
  <c r="N3483" i="3"/>
  <c r="N3467" i="3"/>
  <c r="N3451" i="3"/>
  <c r="N3435" i="3"/>
  <c r="N3419" i="3"/>
  <c r="N3403" i="3"/>
  <c r="N3387" i="3"/>
  <c r="N3371" i="3"/>
  <c r="N3355" i="3"/>
  <c r="N3339" i="3"/>
  <c r="N3323" i="3"/>
  <c r="N3307" i="3"/>
  <c r="N3291" i="3"/>
  <c r="N3275" i="3"/>
  <c r="N3259" i="3"/>
  <c r="N3243" i="3"/>
  <c r="N3227" i="3"/>
  <c r="N3211" i="3"/>
  <c r="N3195" i="3"/>
  <c r="N3179" i="3"/>
  <c r="N3163" i="3"/>
  <c r="N3147" i="3"/>
  <c r="N3131" i="3"/>
  <c r="N3115" i="3"/>
  <c r="N3099" i="3"/>
  <c r="N3083" i="3"/>
  <c r="N3067" i="3"/>
  <c r="N3051" i="3"/>
  <c r="N3035" i="3"/>
  <c r="N3019" i="3"/>
  <c r="N3003" i="3"/>
  <c r="N2987" i="3"/>
  <c r="N2971" i="3"/>
  <c r="N2955" i="3"/>
  <c r="N2939" i="3"/>
  <c r="N2923" i="3"/>
  <c r="N2764" i="3"/>
  <c r="N2732" i="3"/>
  <c r="N2700" i="3"/>
  <c r="N2668" i="3"/>
  <c r="N2636" i="3"/>
  <c r="N2620" i="3"/>
  <c r="N2588" i="3"/>
  <c r="N2556" i="3"/>
  <c r="N2524" i="3"/>
  <c r="N2508" i="3"/>
  <c r="N2460" i="3"/>
  <c r="N2428" i="3"/>
  <c r="N2396" i="3"/>
  <c r="N2364" i="3"/>
  <c r="N2332" i="3"/>
  <c r="N2300" i="3"/>
  <c r="N2087" i="3"/>
  <c r="N2071" i="3"/>
  <c r="N2055" i="3"/>
  <c r="N2039" i="3"/>
  <c r="N2023" i="3"/>
  <c r="N2007" i="3"/>
  <c r="N1991" i="3"/>
  <c r="N1975" i="3"/>
  <c r="N1959" i="3"/>
  <c r="N1943" i="3"/>
  <c r="N1927" i="3"/>
  <c r="N1911" i="3"/>
  <c r="N1895" i="3"/>
  <c r="N1879" i="3"/>
  <c r="N1863" i="3"/>
  <c r="N1847" i="3"/>
  <c r="N1831" i="3"/>
  <c r="N1815" i="3"/>
  <c r="N1799" i="3"/>
  <c r="N1783" i="3"/>
  <c r="N1767" i="3"/>
  <c r="N1751" i="3"/>
  <c r="N1735" i="3"/>
  <c r="N1719" i="3"/>
  <c r="N1703" i="3"/>
  <c r="N1687" i="3"/>
  <c r="N1671" i="3"/>
  <c r="N1655" i="3"/>
  <c r="N1639" i="3"/>
  <c r="N1623" i="3"/>
  <c r="N1607" i="3"/>
  <c r="N1591" i="3"/>
  <c r="N1575" i="3"/>
  <c r="N1559" i="3"/>
  <c r="N1543" i="3"/>
  <c r="N1527" i="3"/>
  <c r="N1511" i="3"/>
  <c r="N1495" i="3"/>
  <c r="N1479" i="3"/>
  <c r="N1463" i="3"/>
  <c r="N1447" i="3"/>
  <c r="N1431" i="3"/>
  <c r="N1415" i="3"/>
  <c r="N1399" i="3"/>
  <c r="N1383" i="3"/>
  <c r="N1367" i="3"/>
  <c r="N1351" i="3"/>
  <c r="N1335" i="3"/>
  <c r="N1319" i="3"/>
  <c r="N1303" i="3"/>
  <c r="N1287" i="3"/>
  <c r="N1271" i="3"/>
  <c r="N1255" i="3"/>
  <c r="N1239" i="3"/>
  <c r="N1223" i="3"/>
  <c r="N1207" i="3"/>
  <c r="N1191" i="3"/>
  <c r="N1175" i="3"/>
  <c r="N1159" i="3"/>
  <c r="N1143" i="3"/>
  <c r="N1127" i="3"/>
  <c r="N1111" i="3"/>
  <c r="N1095" i="3"/>
  <c r="N1079" i="3"/>
  <c r="N1063" i="3"/>
  <c r="N1047" i="3"/>
  <c r="N1031" i="3"/>
  <c r="N1015" i="3"/>
  <c r="N999" i="3"/>
  <c r="N983" i="3"/>
  <c r="N967" i="3"/>
  <c r="N951" i="3"/>
  <c r="N935" i="3"/>
  <c r="N919" i="3"/>
  <c r="N903" i="3"/>
  <c r="N887" i="3"/>
  <c r="N871" i="3"/>
  <c r="N855" i="3"/>
  <c r="N839" i="3"/>
  <c r="N823" i="3"/>
  <c r="N807" i="3"/>
  <c r="N791" i="3"/>
  <c r="N775" i="3"/>
  <c r="N759" i="3"/>
  <c r="N743" i="3"/>
  <c r="N727" i="3"/>
  <c r="N711" i="3"/>
  <c r="N695" i="3"/>
  <c r="N679" i="3"/>
  <c r="N663" i="3"/>
  <c r="N647" i="3"/>
  <c r="N631" i="3"/>
  <c r="N615" i="3"/>
  <c r="N599" i="3"/>
  <c r="N583" i="3"/>
  <c r="N567" i="3"/>
  <c r="N551" i="3"/>
  <c r="N535" i="3"/>
  <c r="N519" i="3"/>
  <c r="N503" i="3"/>
  <c r="N487" i="3"/>
  <c r="N471" i="3"/>
  <c r="N455" i="3"/>
  <c r="N439" i="3"/>
  <c r="N423" i="3"/>
  <c r="N3120" i="3"/>
  <c r="N3104" i="3"/>
  <c r="N3088" i="3"/>
  <c r="N3072" i="3"/>
  <c r="N3056" i="3"/>
  <c r="N3040" i="3"/>
  <c r="N3024" i="3"/>
  <c r="N3008" i="3"/>
  <c r="N2992" i="3"/>
  <c r="N2976" i="3"/>
  <c r="N2960" i="3"/>
  <c r="N2944" i="3"/>
  <c r="N2928" i="3"/>
  <c r="N2912" i="3"/>
  <c r="N2896" i="3"/>
  <c r="N2880" i="3"/>
  <c r="N2864" i="3"/>
  <c r="N2848" i="3"/>
  <c r="N2832" i="3"/>
  <c r="N2816" i="3"/>
  <c r="N2800" i="3"/>
  <c r="N2784" i="3"/>
  <c r="N2768" i="3"/>
  <c r="N2752" i="3"/>
  <c r="N2736" i="3"/>
  <c r="N2720" i="3"/>
  <c r="N2704" i="3"/>
  <c r="N2688" i="3"/>
  <c r="N2672" i="3"/>
  <c r="N2656" i="3"/>
  <c r="N2640" i="3"/>
  <c r="N2624" i="3"/>
  <c r="N2608" i="3"/>
  <c r="N2592" i="3"/>
  <c r="N2576" i="3"/>
  <c r="N2560" i="3"/>
  <c r="N2544" i="3"/>
  <c r="N2528" i="3"/>
  <c r="N2512" i="3"/>
  <c r="N2496" i="3"/>
  <c r="N2480" i="3"/>
  <c r="N2464" i="3"/>
  <c r="N2448" i="3"/>
  <c r="N2432" i="3"/>
  <c r="N2416" i="3"/>
  <c r="N2400" i="3"/>
  <c r="N2384" i="3"/>
  <c r="N2368" i="3"/>
  <c r="N2352" i="3"/>
  <c r="N2336" i="3"/>
  <c r="N2320" i="3"/>
  <c r="N2304" i="3"/>
  <c r="N2288" i="3"/>
  <c r="N2272" i="3"/>
  <c r="N2256" i="3"/>
  <c r="N2240" i="3"/>
  <c r="N2224" i="3"/>
  <c r="N2208" i="3"/>
  <c r="N2192" i="3"/>
  <c r="N2176" i="3"/>
  <c r="N2160" i="3"/>
  <c r="N2144" i="3"/>
  <c r="N2128" i="3"/>
  <c r="N2112" i="3"/>
  <c r="N2096" i="3"/>
  <c r="N2080" i="3"/>
  <c r="N2064" i="3"/>
  <c r="N2048" i="3"/>
  <c r="N2032" i="3"/>
  <c r="N2016" i="3"/>
  <c r="N2000" i="3"/>
  <c r="N1984" i="3"/>
  <c r="N1968" i="3"/>
  <c r="N1952" i="3"/>
  <c r="N1936" i="3"/>
  <c r="N1920" i="3"/>
  <c r="N1904" i="3"/>
  <c r="N1888" i="3"/>
  <c r="N1872" i="3"/>
  <c r="N1856" i="3"/>
  <c r="N1840" i="3"/>
  <c r="N1824" i="3"/>
  <c r="N1808" i="3"/>
  <c r="N1792" i="3"/>
  <c r="N1776" i="3"/>
  <c r="N1760" i="3"/>
  <c r="N1744" i="3"/>
  <c r="N1728" i="3"/>
  <c r="N1712" i="3"/>
  <c r="N1696" i="3"/>
  <c r="N1680" i="3"/>
  <c r="N1664" i="3"/>
  <c r="N2907" i="3"/>
  <c r="N2891" i="3"/>
  <c r="N2875" i="3"/>
  <c r="N2859" i="3"/>
  <c r="N2843" i="3"/>
  <c r="N2827" i="3"/>
  <c r="N2811" i="3"/>
  <c r="N2795" i="3"/>
  <c r="N2779" i="3"/>
  <c r="N2763" i="3"/>
  <c r="N2747" i="3"/>
  <c r="N2731" i="3"/>
  <c r="N2715" i="3"/>
  <c r="N2699" i="3"/>
  <c r="N2683" i="3"/>
  <c r="N2667" i="3"/>
  <c r="N2651" i="3"/>
  <c r="N2635" i="3"/>
  <c r="N2619" i="3"/>
  <c r="N2603" i="3"/>
  <c r="N2587" i="3"/>
  <c r="N2571" i="3"/>
  <c r="N2555" i="3"/>
  <c r="N2539" i="3"/>
  <c r="N2523" i="3"/>
  <c r="N2507" i="3"/>
  <c r="N2491" i="3"/>
  <c r="N2475" i="3"/>
  <c r="N2459" i="3"/>
  <c r="N2443" i="3"/>
  <c r="N2427" i="3"/>
  <c r="N2411" i="3"/>
  <c r="N2395" i="3"/>
  <c r="N2379" i="3"/>
  <c r="N2363" i="3"/>
  <c r="N2347" i="3"/>
  <c r="N2331" i="3"/>
  <c r="N2315" i="3"/>
  <c r="N2299" i="3"/>
  <c r="N2283" i="3"/>
  <c r="N2267" i="3"/>
  <c r="N2251" i="3"/>
  <c r="N2235" i="3"/>
  <c r="N2219" i="3"/>
  <c r="N2203" i="3"/>
  <c r="N2187" i="3"/>
  <c r="N2171" i="3"/>
  <c r="N2155" i="3"/>
  <c r="N2139" i="3"/>
  <c r="N2123" i="3"/>
  <c r="N2107" i="3"/>
  <c r="N2091" i="3"/>
  <c r="N2075" i="3"/>
  <c r="N2059" i="3"/>
  <c r="N2043" i="3"/>
  <c r="N2027" i="3"/>
  <c r="N2011" i="3"/>
  <c r="N1995" i="3"/>
  <c r="N1979" i="3"/>
  <c r="N1963" i="3"/>
  <c r="N1947" i="3"/>
  <c r="N1931" i="3"/>
  <c r="N1915" i="3"/>
  <c r="N1899" i="3"/>
  <c r="N1883" i="3"/>
  <c r="N1867" i="3"/>
  <c r="N1851" i="3"/>
  <c r="N1835" i="3"/>
  <c r="N1819" i="3"/>
  <c r="N1803" i="3"/>
  <c r="N1787" i="3"/>
  <c r="N1771" i="3"/>
  <c r="N1755" i="3"/>
  <c r="N1739" i="3"/>
  <c r="N1723" i="3"/>
  <c r="N1707" i="3"/>
  <c r="N1691" i="3"/>
  <c r="N1675" i="3"/>
  <c r="N1659" i="3"/>
  <c r="N1643" i="3"/>
  <c r="N1627" i="3"/>
  <c r="N1611" i="3"/>
  <c r="N1595" i="3"/>
  <c r="N1579" i="3"/>
  <c r="N1563" i="3"/>
  <c r="N1258" i="3"/>
  <c r="N1242" i="3"/>
  <c r="N1226" i="3"/>
  <c r="N1210" i="3"/>
  <c r="N1194" i="3"/>
  <c r="N1178" i="3"/>
  <c r="N1162" i="3"/>
  <c r="N1146" i="3"/>
  <c r="N1130" i="3"/>
  <c r="N1114" i="3"/>
  <c r="N1098" i="3"/>
  <c r="N1082" i="3"/>
  <c r="N1066" i="3"/>
  <c r="N1050" i="3"/>
  <c r="N1034" i="3"/>
  <c r="N1018" i="3"/>
  <c r="N1002" i="3"/>
  <c r="N986" i="3"/>
  <c r="N970" i="3"/>
  <c r="N954" i="3"/>
  <c r="N938" i="3"/>
  <c r="N922" i="3"/>
  <c r="N906" i="3"/>
  <c r="N890" i="3"/>
  <c r="N874" i="3"/>
  <c r="N858" i="3"/>
  <c r="N842" i="3"/>
  <c r="N826" i="3"/>
  <c r="N810" i="3"/>
  <c r="N794" i="3"/>
  <c r="N778" i="3"/>
  <c r="N762" i="3"/>
  <c r="N746" i="3"/>
  <c r="N730" i="3"/>
  <c r="N714" i="3"/>
  <c r="N698" i="3"/>
  <c r="N682" i="3"/>
  <c r="N666" i="3"/>
  <c r="N650" i="3"/>
  <c r="N634" i="3"/>
  <c r="N618" i="3"/>
  <c r="N602" i="3"/>
  <c r="N586" i="3"/>
  <c r="N570" i="3"/>
  <c r="N554" i="3"/>
  <c r="N407" i="3"/>
  <c r="N391" i="3"/>
  <c r="N375" i="3"/>
  <c r="N359" i="3"/>
  <c r="N343" i="3"/>
  <c r="N327" i="3"/>
  <c r="N311" i="3"/>
  <c r="N295" i="3"/>
  <c r="N279" i="3"/>
  <c r="N263" i="3"/>
  <c r="N247" i="3"/>
  <c r="N231" i="3"/>
  <c r="N215" i="3"/>
  <c r="N199" i="3"/>
  <c r="N183" i="3"/>
  <c r="N167" i="3"/>
  <c r="N151" i="3"/>
  <c r="N135" i="3"/>
  <c r="N119" i="3"/>
  <c r="N103" i="3"/>
  <c r="N87" i="3"/>
  <c r="N71" i="3"/>
  <c r="N55" i="3"/>
  <c r="N39" i="3"/>
  <c r="N23" i="3"/>
  <c r="N7" i="3"/>
  <c r="N1648" i="3"/>
  <c r="N1632" i="3"/>
  <c r="N1616" i="3"/>
  <c r="N1600" i="3"/>
  <c r="N1584" i="3"/>
  <c r="N1568" i="3"/>
  <c r="N1552" i="3"/>
  <c r="N1536" i="3"/>
  <c r="N1520" i="3"/>
  <c r="N1504" i="3"/>
  <c r="N1488" i="3"/>
  <c r="N1472" i="3"/>
  <c r="N1456" i="3"/>
  <c r="N1440" i="3"/>
  <c r="N1424" i="3"/>
  <c r="N1408" i="3"/>
  <c r="N1392" i="3"/>
  <c r="N1376" i="3"/>
  <c r="N1360" i="3"/>
  <c r="N1344" i="3"/>
  <c r="N1328" i="3"/>
  <c r="N1312" i="3"/>
  <c r="N1296" i="3"/>
  <c r="N1280" i="3"/>
  <c r="N1264" i="3"/>
  <c r="N1248" i="3"/>
  <c r="N1232" i="3"/>
  <c r="N1216" i="3"/>
  <c r="N1200" i="3"/>
  <c r="N1184" i="3"/>
  <c r="N1168" i="3"/>
  <c r="N1152" i="3"/>
  <c r="N1136" i="3"/>
  <c r="N1120" i="3"/>
  <c r="N1104" i="3"/>
  <c r="N1088" i="3"/>
  <c r="N1072" i="3"/>
  <c r="N1056" i="3"/>
  <c r="N1040" i="3"/>
  <c r="N1024" i="3"/>
  <c r="N1008" i="3"/>
  <c r="N992" i="3"/>
  <c r="N976" i="3"/>
  <c r="N960" i="3"/>
  <c r="N944" i="3"/>
  <c r="N928" i="3"/>
  <c r="N912" i="3"/>
  <c r="N896" i="3"/>
  <c r="N880" i="3"/>
  <c r="N864" i="3"/>
  <c r="N848" i="3"/>
  <c r="N832" i="3"/>
  <c r="N816" i="3"/>
  <c r="N800" i="3"/>
  <c r="N784" i="3"/>
  <c r="N768" i="3"/>
  <c r="N716" i="3"/>
  <c r="N700" i="3"/>
  <c r="N684" i="3"/>
  <c r="N668" i="3"/>
  <c r="N652" i="3"/>
  <c r="N636" i="3"/>
  <c r="N620" i="3"/>
  <c r="N604" i="3"/>
  <c r="N588" i="3"/>
  <c r="N572" i="3"/>
  <c r="N556" i="3"/>
  <c r="N540" i="3"/>
  <c r="N524" i="3"/>
  <c r="N508" i="3"/>
  <c r="N492" i="3"/>
  <c r="N476" i="3"/>
  <c r="N460" i="3"/>
  <c r="N444" i="3"/>
  <c r="N428" i="3"/>
  <c r="N412" i="3"/>
  <c r="N396" i="3"/>
  <c r="N380" i="3"/>
  <c r="N364" i="3"/>
  <c r="N348" i="3"/>
  <c r="N332" i="3"/>
  <c r="N316" i="3"/>
  <c r="N300" i="3"/>
  <c r="N284" i="3"/>
  <c r="N268" i="3"/>
  <c r="N252" i="3"/>
  <c r="N236" i="3"/>
  <c r="N220" i="3"/>
  <c r="N204" i="3"/>
  <c r="N188" i="3"/>
  <c r="N172" i="3"/>
  <c r="N156" i="3"/>
  <c r="N140" i="3"/>
  <c r="N124" i="3"/>
  <c r="N108" i="3"/>
  <c r="N92" i="3"/>
  <c r="N76" i="3"/>
  <c r="N60" i="3"/>
  <c r="N44" i="3"/>
  <c r="N28" i="3"/>
  <c r="N12" i="3"/>
  <c r="N1547" i="3"/>
  <c r="N1531" i="3"/>
  <c r="N1515" i="3"/>
  <c r="N1499" i="3"/>
  <c r="N1483" i="3"/>
  <c r="N1467" i="3"/>
  <c r="N1451" i="3"/>
  <c r="N1435" i="3"/>
  <c r="N1419" i="3"/>
  <c r="N1403" i="3"/>
  <c r="N1387" i="3"/>
  <c r="N1371" i="3"/>
  <c r="N1355" i="3"/>
  <c r="N1339" i="3"/>
  <c r="N1323" i="3"/>
  <c r="N1307" i="3"/>
  <c r="N1291" i="3"/>
  <c r="N1275" i="3"/>
  <c r="N1259" i="3"/>
  <c r="N1243" i="3"/>
  <c r="N1227" i="3"/>
  <c r="N1211" i="3"/>
  <c r="N1195" i="3"/>
  <c r="N1179" i="3"/>
  <c r="N1163" i="3"/>
  <c r="N1147" i="3"/>
  <c r="N1131" i="3"/>
  <c r="N1115" i="3"/>
  <c r="N1099" i="3"/>
  <c r="N1083" i="3"/>
  <c r="N1067" i="3"/>
  <c r="N1051" i="3"/>
  <c r="N1035" i="3"/>
  <c r="N1019" i="3"/>
  <c r="N1003" i="3"/>
  <c r="N987" i="3"/>
  <c r="N971" i="3"/>
  <c r="N955" i="3"/>
  <c r="N939" i="3"/>
  <c r="N923" i="3"/>
  <c r="N907" i="3"/>
  <c r="N891" i="3"/>
  <c r="N875" i="3"/>
  <c r="N859" i="3"/>
  <c r="N843" i="3"/>
  <c r="N827" i="3"/>
  <c r="N811" i="3"/>
  <c r="N795" i="3"/>
  <c r="N779" i="3"/>
  <c r="N763" i="3"/>
  <c r="N747" i="3"/>
  <c r="N731" i="3"/>
  <c r="N715" i="3"/>
  <c r="N699" i="3"/>
  <c r="N683" i="3"/>
  <c r="N667" i="3"/>
  <c r="N651" i="3"/>
  <c r="N635" i="3"/>
  <c r="N619" i="3"/>
  <c r="N603" i="3"/>
  <c r="N587" i="3"/>
  <c r="N571" i="3"/>
  <c r="N555" i="3"/>
  <c r="N539" i="3"/>
  <c r="N523" i="3"/>
  <c r="N507" i="3"/>
  <c r="N491" i="3"/>
  <c r="N475" i="3"/>
  <c r="N459" i="3"/>
  <c r="N443" i="3"/>
  <c r="N427" i="3"/>
  <c r="N411" i="3"/>
  <c r="N395" i="3"/>
  <c r="N379" i="3"/>
  <c r="N363" i="3"/>
  <c r="N347" i="3"/>
  <c r="N331" i="3"/>
  <c r="N315" i="3"/>
  <c r="N299" i="3"/>
  <c r="N283" i="3"/>
  <c r="N267" i="3"/>
  <c r="N251" i="3"/>
  <c r="N235" i="3"/>
  <c r="N219" i="3"/>
  <c r="N203" i="3"/>
  <c r="N187" i="3"/>
  <c r="N171" i="3"/>
  <c r="N155" i="3"/>
  <c r="N139" i="3"/>
  <c r="N123" i="3"/>
  <c r="N107" i="3"/>
  <c r="N91" i="3"/>
  <c r="N75" i="3"/>
  <c r="N59" i="3"/>
  <c r="N43" i="3"/>
  <c r="N27" i="3"/>
  <c r="N11" i="3"/>
  <c r="N538" i="3"/>
  <c r="N522" i="3"/>
  <c r="N506" i="3"/>
  <c r="N490" i="3"/>
  <c r="N474" i="3"/>
  <c r="N458" i="3"/>
  <c r="N442" i="3"/>
  <c r="N426" i="3"/>
  <c r="N410" i="3"/>
  <c r="N394" i="3"/>
  <c r="N378" i="3"/>
  <c r="N362" i="3"/>
  <c r="N346" i="3"/>
  <c r="N330" i="3"/>
  <c r="N314" i="3"/>
  <c r="N298" i="3"/>
  <c r="N282" i="3"/>
  <c r="N266" i="3"/>
  <c r="N250" i="3"/>
  <c r="N234" i="3"/>
  <c r="N218" i="3"/>
  <c r="N202" i="3"/>
  <c r="N186" i="3"/>
  <c r="N170" i="3"/>
  <c r="N154" i="3"/>
  <c r="N138" i="3"/>
  <c r="N122" i="3"/>
  <c r="N106" i="3"/>
  <c r="N90" i="3"/>
  <c r="N74" i="3"/>
  <c r="N58" i="3"/>
  <c r="N42" i="3"/>
  <c r="N26" i="3"/>
  <c r="N10" i="3"/>
  <c r="N752" i="3"/>
  <c r="N736" i="3"/>
  <c r="N720" i="3"/>
  <c r="N704" i="3"/>
  <c r="N688" i="3"/>
  <c r="N672" i="3"/>
  <c r="N656" i="3"/>
  <c r="N640" i="3"/>
  <c r="N624" i="3"/>
  <c r="N608" i="3"/>
  <c r="N592" i="3"/>
  <c r="N576" i="3"/>
  <c r="N560" i="3"/>
  <c r="N544" i="3"/>
  <c r="N528" i="3"/>
  <c r="N512" i="3"/>
  <c r="N496" i="3"/>
  <c r="N480" i="3"/>
  <c r="N464" i="3"/>
  <c r="N448" i="3"/>
  <c r="N432" i="3"/>
  <c r="N416" i="3"/>
  <c r="N400" i="3"/>
  <c r="N384" i="3"/>
  <c r="N368" i="3"/>
  <c r="N352" i="3"/>
  <c r="N336" i="3"/>
  <c r="N320" i="3"/>
  <c r="N304" i="3"/>
  <c r="N288" i="3"/>
  <c r="N272" i="3"/>
  <c r="N256" i="3"/>
  <c r="N240" i="3"/>
  <c r="N224" i="3"/>
  <c r="N208" i="3"/>
  <c r="N192" i="3"/>
  <c r="N176" i="3"/>
  <c r="N160" i="3"/>
  <c r="N144" i="3"/>
  <c r="N128" i="3"/>
  <c r="N112" i="3"/>
  <c r="N96" i="3"/>
  <c r="N80" i="3"/>
  <c r="N64" i="3"/>
  <c r="N48" i="3"/>
  <c r="N32" i="3"/>
  <c r="N16" i="3"/>
</calcChain>
</file>

<file path=xl/sharedStrings.xml><?xml version="1.0" encoding="utf-8"?>
<sst xmlns="http://schemas.openxmlformats.org/spreadsheetml/2006/main" count="64822" uniqueCount="2999">
  <si>
    <r>
      <rPr>
        <b/>
        <sz val="9"/>
        <color theme="1"/>
        <rFont val="Segoe UI"/>
        <family val="2"/>
      </rPr>
      <t>Engagement:</t>
    </r>
    <r>
      <rPr>
        <sz val="9"/>
        <color theme="1"/>
        <rFont val="Segoe UI"/>
        <family val="2"/>
      </rPr>
      <t xml:space="preserve"> 
Microsoft 365 CSP incentive</t>
    </r>
  </si>
  <si>
    <t>Product Name</t>
  </si>
  <si>
    <t>Product SKU Name</t>
  </si>
  <si>
    <t>Product ID</t>
  </si>
  <si>
    <t>SKU ID</t>
  </si>
  <si>
    <t>M365 CSP Core</t>
  </si>
  <si>
    <t>M365 CSP Global Strategic Product Accelerator – Tier 1</t>
  </si>
  <si>
    <t>M365 CSP Global Strategic Product Accelerator – Tier 2</t>
  </si>
  <si>
    <t>M365 CSP Global Calling and Conference PSTN Accelerator</t>
  </si>
  <si>
    <t>M365 CSP Growth Accelerator</t>
  </si>
  <si>
    <t>10-year audit log retention</t>
  </si>
  <si>
    <t>10-Year Audit Log Retention Add On</t>
  </si>
  <si>
    <t>CFQ7TTC0HL8Z</t>
  </si>
  <si>
    <t>0001</t>
  </si>
  <si>
    <t>x</t>
  </si>
  <si>
    <t>10-Year Audit Log Retention Add On - Extended Service Term</t>
  </si>
  <si>
    <t>000B</t>
  </si>
  <si>
    <t>10-Year Audit Log Retention Add On for EDU</t>
  </si>
  <si>
    <t>0004</t>
  </si>
  <si>
    <t>10-Year Audit Log Retention Add On for EDU - Extended Service Term</t>
  </si>
  <si>
    <t>000C</t>
  </si>
  <si>
    <t>10-Year Audit Log Retention Add On for FLW</t>
  </si>
  <si>
    <t>0005</t>
  </si>
  <si>
    <t>10-Year Audit Log Retention Add On for FLW - Extended Service Term</t>
  </si>
  <si>
    <t>000D</t>
  </si>
  <si>
    <t>Advanced Communications</t>
  </si>
  <si>
    <t>CFQ7TTC0HDK0</t>
  </si>
  <si>
    <t>Advanced Communications - Extended Service Term</t>
  </si>
  <si>
    <t>000N</t>
  </si>
  <si>
    <t>000R</t>
  </si>
  <si>
    <t>Advanced Communications for faculty</t>
  </si>
  <si>
    <t>Advanced Communications for faculty - Extended Service Term</t>
  </si>
  <si>
    <t>000L</t>
  </si>
  <si>
    <t>Advanced Communications for GCC</t>
  </si>
  <si>
    <t>000F</t>
  </si>
  <si>
    <t>Advanced Communications for GCC - Extended Service Term</t>
  </si>
  <si>
    <t>000S</t>
  </si>
  <si>
    <t>Advanced Communications for students</t>
  </si>
  <si>
    <t>Advanced Communications for students - Extended Service Term</t>
  </si>
  <si>
    <t>000M</t>
  </si>
  <si>
    <t>Advanced Security Add-ons for Business Premium</t>
  </si>
  <si>
    <t>Microsoft Defender and Purview Suites for Microsoft 365 Business Premium - New</t>
  </si>
  <si>
    <t>CFQ7TTC10RSN</t>
  </si>
  <si>
    <t>0003</t>
  </si>
  <si>
    <t>0009</t>
  </si>
  <si>
    <t>Microsoft Defender and Purview Suites for Microsoft 365 Business Premium - New - Extended Service Term</t>
  </si>
  <si>
    <t>000P</t>
  </si>
  <si>
    <t>Microsoft Defender Suite for Microsoft 365 Business Premium - New</t>
  </si>
  <si>
    <t>0008</t>
  </si>
  <si>
    <t>Microsoft Defender Suite for Microsoft 365 Business Premium - New - Extended Service Term</t>
  </si>
  <si>
    <t>000K</t>
  </si>
  <si>
    <t>Microsoft Purview Suite for Microsoft 365 Business Premium - New</t>
  </si>
  <si>
    <t>0002</t>
  </si>
  <si>
    <t>0007</t>
  </si>
  <si>
    <t>Microsoft Purview Suite for Microsoft 365 Business Premium - New - Extended Service Term</t>
  </si>
  <si>
    <t>000J</t>
  </si>
  <si>
    <t>Agent 365</t>
  </si>
  <si>
    <t>CFQ7TTBZZR6G</t>
  </si>
  <si>
    <t>Agent 365 - Extended Service Term</t>
  </si>
  <si>
    <t>Agent 365 (Education Faculty)</t>
  </si>
  <si>
    <t>0006</t>
  </si>
  <si>
    <t>Agent 365 (Education Faculty) - Extended Service Term</t>
  </si>
  <si>
    <t>Agent 365 (Education Student)</t>
  </si>
  <si>
    <t>Agent 365 (Education Student) - Extended Service Term</t>
  </si>
  <si>
    <t>Audio Conferencing (outbound, outside-US)</t>
  </si>
  <si>
    <t>CFQ7TTC0JL2W</t>
  </si>
  <si>
    <t>Audio Conferencing (outbound, US)</t>
  </si>
  <si>
    <t>CFQ7TTC0JL2S</t>
  </si>
  <si>
    <t>Australia Calling Plan</t>
  </si>
  <si>
    <t>CFQ7TTC0LHRW</t>
  </si>
  <si>
    <t>Australia Calling Plan - Extended Service Term</t>
  </si>
  <si>
    <t>Azure Active Directory Basic</t>
  </si>
  <si>
    <t>CFQ7TTC0LH1X</t>
  </si>
  <si>
    <t>000G</t>
  </si>
  <si>
    <t>Azure Active Directory Basic - Extended Service Term</t>
  </si>
  <si>
    <t>0014</t>
  </si>
  <si>
    <t>Azure Active Directory Basic for faculty</t>
  </si>
  <si>
    <t>Azure Active Directory Basic for faculty - Extended Service Term</t>
  </si>
  <si>
    <t>0012</t>
  </si>
  <si>
    <t>Azure Active Directory Basic for Government</t>
  </si>
  <si>
    <t>Azure Active Directory Basic for Government - Extended Service Term</t>
  </si>
  <si>
    <t>0017</t>
  </si>
  <si>
    <t>Azure Active Directory Basic for students</t>
  </si>
  <si>
    <t>Azure Active Directory Basic for students - Extended Service Term</t>
  </si>
  <si>
    <t>0018</t>
  </si>
  <si>
    <t>Azure Active Directory Premium P1</t>
  </si>
  <si>
    <t>Azure Active Directory Premium P1 for faculty</t>
  </si>
  <si>
    <t>CFQ7TTC0LFLS</t>
  </si>
  <si>
    <t>Azure Active Directory Premium P1 for students</t>
  </si>
  <si>
    <t>000H</t>
  </si>
  <si>
    <t>Azure Active Directory Premium P2</t>
  </si>
  <si>
    <t>Azure Active Directory Premium P2 for students</t>
  </si>
  <si>
    <t>CFQ7TTC0LFK5</t>
  </si>
  <si>
    <t>Microsoft Azure Active Directory Premium P2 for faculty</t>
  </si>
  <si>
    <t>Azure Information Protection Premium P1</t>
  </si>
  <si>
    <t>CFQ7TTC0LH9J</t>
  </si>
  <si>
    <t>Azure Information Protection Premium P1 - Extended Service Term</t>
  </si>
  <si>
    <t>001Q</t>
  </si>
  <si>
    <t>001R</t>
  </si>
  <si>
    <t>Azure Information Protection Premium P1 - Hidden Offer ONLY - Extended Service Term</t>
  </si>
  <si>
    <t>CFQ7TTC0LHR9</t>
  </si>
  <si>
    <t>Azure Information Protection Premium P1 for Government</t>
  </si>
  <si>
    <t>000Z</t>
  </si>
  <si>
    <t>Azure Information Protection Premium P1 for Government - Extended Service Term</t>
  </si>
  <si>
    <t>0020</t>
  </si>
  <si>
    <t>Azure Rights Management Premium for students</t>
  </si>
  <si>
    <t>0011</t>
  </si>
  <si>
    <t>Azure Rights Management Premium for students - Extended Service Term</t>
  </si>
  <si>
    <t>001P</t>
  </si>
  <si>
    <t>Azure Information Protection Premium P2</t>
  </si>
  <si>
    <t>CFQ7TTC0LGTL</t>
  </si>
  <si>
    <t>Azure Information Protection Premium P2 - Extended Service Term</t>
  </si>
  <si>
    <t>001W</t>
  </si>
  <si>
    <t>001V</t>
  </si>
  <si>
    <t>Azure Information Protection Premium P2 for faculty</t>
  </si>
  <si>
    <t>Azure Information Protection Premium P2 for faculty - Extended Service Term</t>
  </si>
  <si>
    <t>0024</t>
  </si>
  <si>
    <t>Azure Information Protection Premium P2 for Government</t>
  </si>
  <si>
    <t>000W</t>
  </si>
  <si>
    <t>Azure Information Protection Premium P2 for Government - Extended Service Term</t>
  </si>
  <si>
    <t>001S</t>
  </si>
  <si>
    <t>Azure Information Protection Premium P2 for student</t>
  </si>
  <si>
    <t>000Q</t>
  </si>
  <si>
    <t>Azure Information Protection Premium P2 for student - Extended Service Term</t>
  </si>
  <si>
    <t>0026</t>
  </si>
  <si>
    <t>Chat session for Virtual Agent</t>
  </si>
  <si>
    <t>CFQ7TTC0LHT2</t>
  </si>
  <si>
    <t>Chat session for Virtual Agent - Extended Service Term</t>
  </si>
  <si>
    <t>Copilot</t>
  </si>
  <si>
    <t>CFQ7TTC0N8SX</t>
  </si>
  <si>
    <t>Copilot - Extended Service Term</t>
  </si>
  <si>
    <t>Customer Lockbox</t>
  </si>
  <si>
    <t>CFQ7TTC0LHZF</t>
  </si>
  <si>
    <t>Customer Lockbox - Extended Service Term</t>
  </si>
  <si>
    <t>0013</t>
  </si>
  <si>
    <t>Dynamics 365 Virtual Agent for Customer Service</t>
  </si>
  <si>
    <t>CFQ7TTC0LHT1</t>
  </si>
  <si>
    <t>Dynamics 365 Virtual Agent for Customer Service - Extended Service Term</t>
  </si>
  <si>
    <t>Dynamics 365 Virtual Agent for Customer Service User License</t>
  </si>
  <si>
    <t>CFQ7TTC0LHS0</t>
  </si>
  <si>
    <t>Dynamics 365 Virtual Agent for Customer Service User License - Extended Service Term</t>
  </si>
  <si>
    <t>eCDN</t>
  </si>
  <si>
    <t>CFQ7TTC0JSQ1</t>
  </si>
  <si>
    <t>eCDN - Extended Service Term</t>
  </si>
  <si>
    <t>eCDN GCC</t>
  </si>
  <si>
    <t>eCDN GCC - Extended Service Term</t>
  </si>
  <si>
    <t>Enterprise Mobility + Security A3</t>
  </si>
  <si>
    <t>Enterprise Mobility + Security A3 for Faculty</t>
  </si>
  <si>
    <t>CFQ7TTC0LSNC</t>
  </si>
  <si>
    <t>Enterprise Mobility + Security A3 for Faculty - Extended Service Term</t>
  </si>
  <si>
    <t>Enterprise Mobility + Security A3 for Students</t>
  </si>
  <si>
    <t>Enterprise Mobility + Security A3 for Students - Extended Service Term</t>
  </si>
  <si>
    <t>Enterprise Mobility + Security A3 for students use benefit</t>
  </si>
  <si>
    <t>Enterprise Mobility + Security A3 for students use benefit - Extended Service Term</t>
  </si>
  <si>
    <t>Enterprise Mobility + Security A5</t>
  </si>
  <si>
    <t>Enterprise Mobility + Security A5 for Faculty</t>
  </si>
  <si>
    <t>CFQ7TTC0LR5B</t>
  </si>
  <si>
    <t>Enterprise Mobility + Security A5 for Faculty - Extended Service Term</t>
  </si>
  <si>
    <t>Enterprise Mobility + Security A5 for Students</t>
  </si>
  <si>
    <t>Enterprise Mobility + Security A5 for Students - Extended Service Term</t>
  </si>
  <si>
    <t>Enterprise Mobility + Security A5 for students use benefit</t>
  </si>
  <si>
    <t>Enterprise Mobility + Security A5 for students use benefit - Extended Service Term</t>
  </si>
  <si>
    <t>Enterprise Mobility + Security E3</t>
  </si>
  <si>
    <t>CFQ7TTC0LFJ2</t>
  </si>
  <si>
    <t>CFQ7TTC0LHT4</t>
  </si>
  <si>
    <t>Enterprise Mobility + Security E3 - Extended Service Term</t>
  </si>
  <si>
    <t>001T</t>
  </si>
  <si>
    <t>Enterprise Mobility + Security E3 for faculty</t>
  </si>
  <si>
    <t>Enterprise Mobility + Security E3 for faculty - Extended Service Term</t>
  </si>
  <si>
    <t>Enterprise Mobility + Security E3 for students</t>
  </si>
  <si>
    <t>Enterprise Mobility + Security E3 for students - Extended Service Term</t>
  </si>
  <si>
    <t>Enterprise Mobility + Security G3 GCC</t>
  </si>
  <si>
    <t>Enterprise Mobility + Security G3 GCC - Extended Service Term</t>
  </si>
  <si>
    <t>001M</t>
  </si>
  <si>
    <t>Enterprise Mobility + Security E5</t>
  </si>
  <si>
    <t>CFQ7TTC0LFJ1</t>
  </si>
  <si>
    <t>Enterprise Mobility + Security E5 - Extended Service Term</t>
  </si>
  <si>
    <t>002D</t>
  </si>
  <si>
    <t>Enterprise Mobility + Security E5 for faculty</t>
  </si>
  <si>
    <t>Enterprise Mobility + Security E5 for faculty - Extended Service Term</t>
  </si>
  <si>
    <t>0023</t>
  </si>
  <si>
    <t>Enterprise Mobility + Security E5 for student</t>
  </si>
  <si>
    <t>Enterprise Mobility + Security E5 for student - Extended Service Term</t>
  </si>
  <si>
    <t>001Z</t>
  </si>
  <si>
    <t>Enterprise Mobility + Security G5 GCC</t>
  </si>
  <si>
    <t>Enterprise Mobility + Security G5 GCC - Extended Service Term</t>
  </si>
  <si>
    <t>Extended Dial-out Minutes - outbound US</t>
  </si>
  <si>
    <t>Extended Dial-out Minutes - Outbound US</t>
  </si>
  <si>
    <t>CFQ7TTC0JL0X</t>
  </si>
  <si>
    <t>Extended Dial-out Minutes – outbound, outside-US</t>
  </si>
  <si>
    <t>Extended Dial-out Minutes – Outbound, outside-US</t>
  </si>
  <si>
    <t>CFQ7TTC0JL0Z</t>
  </si>
  <si>
    <t>Extra Graph Connector Capacity</t>
  </si>
  <si>
    <t>CFQ7TTC0HDJX</t>
  </si>
  <si>
    <t>Extra Graph Connector Capacity - Extended Service Term</t>
  </si>
  <si>
    <t>000T</t>
  </si>
  <si>
    <t>Extra Graph Connector Capacity for faculty</t>
  </si>
  <si>
    <t>Extra Graph Connector Capacity for faculty - Extended Service Term</t>
  </si>
  <si>
    <t>Extra Graph Connector Capacity for students</t>
  </si>
  <si>
    <t>Extra Graph Connector Capacity for students - Extended Service Term</t>
  </si>
  <si>
    <t>Microsoft Graph connectors for GCC</t>
  </si>
  <si>
    <t>Microsoft Graph connectors for GCC - Extended Service Term</t>
  </si>
  <si>
    <t>Insider Risk Management Forensic Evidence</t>
  </si>
  <si>
    <t>Insider Risk Management Forensic Evidence 100GB Add-on</t>
  </si>
  <si>
    <t>CFQ7TTC0RWPR</t>
  </si>
  <si>
    <t>Insider Risk Management Forensic Evidence 100GB Add-on - Extended Service Term</t>
  </si>
  <si>
    <t>M365 F5 Compliance in Government eDiscovery &amp; Audit</t>
  </si>
  <si>
    <t>M365 F5 Compliance in GOV eDiscovery &amp; Audit</t>
  </si>
  <si>
    <t>CFQ7TTC0RN0D</t>
  </si>
  <si>
    <t>M365 F5 Compliance in GOV eDiscovery &amp; Audit - Extended Service Term</t>
  </si>
  <si>
    <t>M365 F5 Compliance in Government Information Protection &amp; Governance</t>
  </si>
  <si>
    <t>M365 F5 Compliance in GOV Information Protection &amp; Governance</t>
  </si>
  <si>
    <t>CFQ7TTC0RN0H</t>
  </si>
  <si>
    <t>M365 F5 Compliance in GOV Information Protection &amp; Governance - Extended Service Term</t>
  </si>
  <si>
    <t>M365 F5 Compliance in Government Insider Risk Management</t>
  </si>
  <si>
    <t>M365 F5 Compliance in GOV Insider Risk Management</t>
  </si>
  <si>
    <t>CFQ7TTC0RN0C</t>
  </si>
  <si>
    <t>M365 F5 Compliance in GOV Insider Risk Management - Extended Service Term</t>
  </si>
  <si>
    <t>M365 F5 eDiscovery and Audit</t>
  </si>
  <si>
    <t>CFQ7TTC0QB4T</t>
  </si>
  <si>
    <t>M365 F5 eDiscovery and Audit - Extended Service Term</t>
  </si>
  <si>
    <t>M365 F5 Information Protection and Governance</t>
  </si>
  <si>
    <t>CFQ7TTC0QB3R</t>
  </si>
  <si>
    <t>M365 F5 Information Protection and Governance - Extended Service Term</t>
  </si>
  <si>
    <t>M365 F5 Insider Risk Management</t>
  </si>
  <si>
    <t>CFQ7TTC0QB3G</t>
  </si>
  <si>
    <t>M365 F5 Insider Risk Management - Extended Service Term</t>
  </si>
  <si>
    <t>Microsoft 365 A1</t>
  </si>
  <si>
    <t>Microsoft 365 A1 Legacy</t>
  </si>
  <si>
    <t>CFQ7TTC0J1HD</t>
  </si>
  <si>
    <t>Microsoft 365 A1 Legacy - Extended Service Term</t>
  </si>
  <si>
    <t>Microsoft 365 A3</t>
  </si>
  <si>
    <t>Microsoft 365 A3 - Unattended License for faculty</t>
  </si>
  <si>
    <t>CFQ7TTC0LHPL</t>
  </si>
  <si>
    <t>Microsoft 365 A3 - Unattended License for faculty - Extended Service Term</t>
  </si>
  <si>
    <t>002N</t>
  </si>
  <si>
    <t>Microsoft 365 A3 - Unattended License for students</t>
  </si>
  <si>
    <t>Microsoft 365 A3 - Unattended License for students - Extended Service Term</t>
  </si>
  <si>
    <t>002L</t>
  </si>
  <si>
    <t>Microsoft 365 A3 for faculty</t>
  </si>
  <si>
    <t>Microsoft 365 A3 for faculty - Extended Service Term</t>
  </si>
  <si>
    <t>002G</t>
  </si>
  <si>
    <t>Microsoft 365 A3 for students</t>
  </si>
  <si>
    <t>000X</t>
  </si>
  <si>
    <t>Microsoft 365 A3 for students - Extended Service Term</t>
  </si>
  <si>
    <t>Microsoft 365 A3 student use benefits</t>
  </si>
  <si>
    <t>Microsoft 365 A3 student use benefits - Extended Service Term</t>
  </si>
  <si>
    <t>002C</t>
  </si>
  <si>
    <t>Microsoft 365 A5</t>
  </si>
  <si>
    <t>Microsoft 365 A5 for faculty</t>
  </si>
  <si>
    <t>CFQ7TTC0LHPJ</t>
  </si>
  <si>
    <t>0015</t>
  </si>
  <si>
    <t>Microsoft 365 A5 for faculty - Extended Service Term</t>
  </si>
  <si>
    <t>002Z</t>
  </si>
  <si>
    <t>Microsoft 365 A5 for students</t>
  </si>
  <si>
    <t>Microsoft 365 A5 for students - Extended Service Term</t>
  </si>
  <si>
    <t>002W</t>
  </si>
  <si>
    <t>Microsoft 365 A5 with Calling Minutes for Faculty</t>
  </si>
  <si>
    <t>001H</t>
  </si>
  <si>
    <t>Microsoft 365 A5 with Calling Minutes for Faculty - Extended Service Term</t>
  </si>
  <si>
    <t>002V</t>
  </si>
  <si>
    <t>Microsoft 365 A5 with Calling Minutes for Students</t>
  </si>
  <si>
    <t>0016</t>
  </si>
  <si>
    <t>001D</t>
  </si>
  <si>
    <t>Microsoft 365 A5 with Calling Minutes for Students - Extended Service Term</t>
  </si>
  <si>
    <t>002R</t>
  </si>
  <si>
    <t>Microsoft 365 A5 without Audio Conferencing for faculty</t>
  </si>
  <si>
    <t>0019</t>
  </si>
  <si>
    <t>Microsoft 365 A5 without Audio Conferencing for faculty - Extended Service Term</t>
  </si>
  <si>
    <t>002Q</t>
  </si>
  <si>
    <t>Microsoft 365 A5 without Audio Conferencing for students</t>
  </si>
  <si>
    <t>Microsoft 365 A5 without Audio Conferencing for students - Extended Service Term</t>
  </si>
  <si>
    <t>002M</t>
  </si>
  <si>
    <t>Microsoft 365 A5 without Audio Conferencing for students use benefit</t>
  </si>
  <si>
    <t>Microsoft 365 A5 without Audio Conferencing for students use benefit - Extended Service Term</t>
  </si>
  <si>
    <t>002K</t>
  </si>
  <si>
    <t>Microsoft 365 A5 Compliance</t>
  </si>
  <si>
    <t>Microsoft 365 A5 Compliance - Student Use Benefit Add-on</t>
  </si>
  <si>
    <t>CFQ7TTC0J1ZQ</t>
  </si>
  <si>
    <t>Microsoft 365 A5 Compliance for faculty</t>
  </si>
  <si>
    <t>Microsoft 365 A5 Compliance for students</t>
  </si>
  <si>
    <t>Microsoft 365 A5 Security</t>
  </si>
  <si>
    <t>Microsoft 365 A5 Security for faculty</t>
  </si>
  <si>
    <t>CFQ7TTC0J1KP</t>
  </si>
  <si>
    <t>Microsoft 365 A5 Security for student use benefits</t>
  </si>
  <si>
    <t>Microsoft 365 A5 Security for students</t>
  </si>
  <si>
    <t>Microsoft 365 A5 student use benefits</t>
  </si>
  <si>
    <t>CFQ7TTC0LHP8</t>
  </si>
  <si>
    <t>Microsoft 365 A5 student use benefits - Extended Service Term</t>
  </si>
  <si>
    <t>Microsoft 365 Audio Conferencing</t>
  </si>
  <si>
    <t>Extended Dial-out Minutes to USA/CAN</t>
  </si>
  <si>
    <t>CFQ7TTC0LHSL</t>
  </si>
  <si>
    <t>002B</t>
  </si>
  <si>
    <t>Extended Dial-out Minutes to USA/CAN - Extended Service Term</t>
  </si>
  <si>
    <t>004J</t>
  </si>
  <si>
    <t>004H</t>
  </si>
  <si>
    <t>Extended Dial-out Minutes to USA/CAN for faculty</t>
  </si>
  <si>
    <t>001N</t>
  </si>
  <si>
    <t>Extended Dial-out Minutes to USA/CAN for faculty - Extended Service Term</t>
  </si>
  <si>
    <t>003N</t>
  </si>
  <si>
    <t>Extended Dial-out Minutes to USA/CAN for GCC</t>
  </si>
  <si>
    <t>Extended Dial-out Minutes to USA/CAN for GCC - Extended Service Term</t>
  </si>
  <si>
    <t>004G</t>
  </si>
  <si>
    <t>Extended Dial-out Minutes to USA/CAN for students</t>
  </si>
  <si>
    <t>Extended Dial-out Minutes to USA/CAN for students - Extended Service Term</t>
  </si>
  <si>
    <t>004D</t>
  </si>
  <si>
    <t>Microsoft 365 Audio Conferencing for faculty</t>
  </si>
  <si>
    <t>001J</t>
  </si>
  <si>
    <t>Microsoft 365 Audio Conferencing for faculty - Extended Service Term</t>
  </si>
  <si>
    <t>0048</t>
  </si>
  <si>
    <t>Microsoft 365 Audio Conferencing for GCC</t>
  </si>
  <si>
    <t>Microsoft 365 Audio Conferencing for GCC - Extended Service Term</t>
  </si>
  <si>
    <t>0045</t>
  </si>
  <si>
    <t>Microsoft 365 Audio Conferencing for students</t>
  </si>
  <si>
    <t>Microsoft 365 Audio Conferencing for Students - Extended Service Term</t>
  </si>
  <si>
    <t>0043</t>
  </si>
  <si>
    <t>Microsoft Teams Audio Conferencing includes dial-out to Zone A countries</t>
  </si>
  <si>
    <t>001G</t>
  </si>
  <si>
    <t>Microsoft Teams Audio Conferencing includes dial-out to Zone A countries - Extended Service Term</t>
  </si>
  <si>
    <t>003X</t>
  </si>
  <si>
    <t>003Z</t>
  </si>
  <si>
    <t>Operator Connect Conferencing</t>
  </si>
  <si>
    <t>Operator Connect Conferencing - Extended Service Term</t>
  </si>
  <si>
    <t>003V</t>
  </si>
  <si>
    <t>Operator Connect Conferencing for Faculty</t>
  </si>
  <si>
    <t>001K</t>
  </si>
  <si>
    <t>Operator Connect Conferencing for Faculty - Extended Service Term</t>
  </si>
  <si>
    <t>003S</t>
  </si>
  <si>
    <t>Operator Connect Conferencing for GCC</t>
  </si>
  <si>
    <t>001X</t>
  </si>
  <si>
    <t>Operator Connect Conferencing for GCC - Extended Service Term</t>
  </si>
  <si>
    <t>003R</t>
  </si>
  <si>
    <t>Operator Connect Conferencing for Student</t>
  </si>
  <si>
    <t>001L</t>
  </si>
  <si>
    <t>Operator Connect Conferencing for Student - Extended Service Term</t>
  </si>
  <si>
    <t>003P</t>
  </si>
  <si>
    <t>Microsoft 365 Business Basic</t>
  </si>
  <si>
    <t>CFQ7TTC0LH18</t>
  </si>
  <si>
    <t>Microsoft 365 Business Basic - Extended Service Term</t>
  </si>
  <si>
    <t>0027</t>
  </si>
  <si>
    <t>Microsoft 365 Business Basic (no Teams)</t>
  </si>
  <si>
    <t>Microsoft 365 Business Basic (no Teams) - Extended Service Term</t>
  </si>
  <si>
    <t>Microsoft 365 Business Basic (No Teams) and Microsoft 365 Copilot Business</t>
  </si>
  <si>
    <t>Microsoft 365 Business Basic (No Teams) and Microsoft 365 Copilot Business - Extended Service Term</t>
  </si>
  <si>
    <t>0025</t>
  </si>
  <si>
    <t>Microsoft 365 Business Basic and Microsoft 365 Copilot Business</t>
  </si>
  <si>
    <t>Microsoft 365 Business Basic and Microsoft 365 Copilot Business - Extended Service Term</t>
  </si>
  <si>
    <t>Microsoft 365 Business Basic EEA (no Teams)</t>
  </si>
  <si>
    <t>Microsoft 365 Business Basic EEA (no Teams) - Extended Service Term</t>
  </si>
  <si>
    <t>0022</t>
  </si>
  <si>
    <t>Microsoft 365 Business Basic EEA (No Teams) and Microsoft 365 Copilot Business</t>
  </si>
  <si>
    <t>Microsoft 365 Business Basic EEA (No Teams) and Microsoft 365 Copilot Business - Extended Service Term</t>
  </si>
  <si>
    <t>0021</t>
  </si>
  <si>
    <t>Microsoft 365 Business Premium</t>
  </si>
  <si>
    <t>CFQ7TTC0LCHC</t>
  </si>
  <si>
    <t>Microsoft 365 Business Premium - Extended Service Term</t>
  </si>
  <si>
    <t>002P</t>
  </si>
  <si>
    <t>Microsoft 365 Business Premium (no Teams)</t>
  </si>
  <si>
    <t>Microsoft 365 Business Premium (no Teams) - Extended Service Term</t>
  </si>
  <si>
    <t>Microsoft 365 Business Premium (No Teams) and Microsoft 365 Copilot Business</t>
  </si>
  <si>
    <t>Microsoft 365 Business Premium (No Teams) and Microsoft 365 Copilot Business - Extended Service Term</t>
  </si>
  <si>
    <t>Microsoft 365 Business Premium and Microsoft 365 Copilot Business</t>
  </si>
  <si>
    <t>Microsoft 365 Business Premium and Microsoft 365 Copilot Business - Extended Service Term</t>
  </si>
  <si>
    <t>002J</t>
  </si>
  <si>
    <t>Microsoft 365 Business Premium Donation</t>
  </si>
  <si>
    <t>Microsoft 365 Business Premium Donation - Extended Service Term</t>
  </si>
  <si>
    <t>002H</t>
  </si>
  <si>
    <t>Microsoft 365 Business Premium EEA (no Teams)</t>
  </si>
  <si>
    <t>Microsoft 365 Business Premium EEA (no Teams) - Extended Service Term</t>
  </si>
  <si>
    <t>Microsoft 365 Business Premium EEA (No Teams) and Microsoft 365 Copilot Business</t>
  </si>
  <si>
    <t>Microsoft 365 Business Premium EEA (No Teams) and Microsoft 365 Copilot Business - Extended Service Term</t>
  </si>
  <si>
    <t>002F</t>
  </si>
  <si>
    <t>Microsoft Defender and Purview Suites for Microsoft 365 Business Premium</t>
  </si>
  <si>
    <t>Microsoft Defender Suite for Microsoft 365 Business Premium</t>
  </si>
  <si>
    <t>Microsoft Purview Suite for Microsoft 365 Business Premium</t>
  </si>
  <si>
    <t>Microsoft 365 Business Standard</t>
  </si>
  <si>
    <t>CFQ7TTC0LDPB</t>
  </si>
  <si>
    <t>Microsoft 365 Business Standard - Extended Service Term</t>
  </si>
  <si>
    <t>Microsoft 365 Business Standard (no Teams)</t>
  </si>
  <si>
    <t>Microsoft 365 Business Standard (no Teams) - Extended Service Term</t>
  </si>
  <si>
    <t>Microsoft 365 Business Standard (No Teams) and Microsoft 365 Copilot Business</t>
  </si>
  <si>
    <t>Microsoft 365 Business Standard (No Teams) and Microsoft 365 Copilot Business - Extended Service Term</t>
  </si>
  <si>
    <t>Microsoft 365 Business Standard and Microsoft 365 Copilot Business</t>
  </si>
  <si>
    <t>Microsoft 365 Business Standard and Microsoft 365 Copilot Business - Extended Service Term</t>
  </si>
  <si>
    <t>Microsoft 365 Business Standard EEA (no Teams)</t>
  </si>
  <si>
    <t>Microsoft 365 Business Standard EEA (no Teams) - Extended Service Term</t>
  </si>
  <si>
    <t>Microsoft 365 Business Standard EEA (No Teams) and Microsoft 365 Copilot Business</t>
  </si>
  <si>
    <t>Microsoft 365 Business Standard EEA (No Teams) and Microsoft 365 Copilot Business - Extended Service Term</t>
  </si>
  <si>
    <t>Microsoft 365 Business Standard - Prepaid Legacy</t>
  </si>
  <si>
    <t>CFQ7TTC0LH0F</t>
  </si>
  <si>
    <t>Microsoft 365 Business Voice</t>
  </si>
  <si>
    <t>Microsoft 365 Business Voice (US) - (Dual Price Comp)</t>
  </si>
  <si>
    <t>CFQ7TTC0LH03</t>
  </si>
  <si>
    <t>Microsoft 365 Business Voice (US) - (Dual Price Comp) - Extended Service Term</t>
  </si>
  <si>
    <t>Microsoft 365 Copilot</t>
  </si>
  <si>
    <t>CFQ7TTC0MM8R</t>
  </si>
  <si>
    <t>Microsoft 365 Copilot - 3 year</t>
  </si>
  <si>
    <t>00D1</t>
  </si>
  <si>
    <t>Microsoft 365 Copilot - 3 year - Extended Service Term</t>
  </si>
  <si>
    <t>00CT</t>
  </si>
  <si>
    <t>Microsoft 365 Copilot - Extended Service Term</t>
  </si>
  <si>
    <t>007P</t>
  </si>
  <si>
    <t>007Q</t>
  </si>
  <si>
    <t>Microsoft 365 Copilot (Education Faculty)</t>
  </si>
  <si>
    <t>Microsoft 365 Copilot (Education Faculty) - Extended Service Term</t>
  </si>
  <si>
    <t>007N</t>
  </si>
  <si>
    <t>Microsoft 365 Copilot (Education Student 13+) - Extended Service Term</t>
  </si>
  <si>
    <t>007M</t>
  </si>
  <si>
    <t>Microsoft 365 Copilot (Education Student 18+)</t>
  </si>
  <si>
    <t>Microsoft 365 Copilot Business - Extended Service Term</t>
  </si>
  <si>
    <t>007H</t>
  </si>
  <si>
    <t>Microsoft 365 Copilot for Business</t>
  </si>
  <si>
    <t>Microsoft 365 Copilot GCC</t>
  </si>
  <si>
    <t>Microsoft 365 Copilot GCC - Extended Service Term</t>
  </si>
  <si>
    <t>007G</t>
  </si>
  <si>
    <t>Microsoft Copilot for Microsoft 365</t>
  </si>
  <si>
    <t>Microsoft Copilot for Microsoft 365 - Extended Service Term</t>
  </si>
  <si>
    <t>007D</t>
  </si>
  <si>
    <t>Microsoft Copilot for Microsoft 365 (Business)</t>
  </si>
  <si>
    <t>Microsoft Copilot for Microsoft 365 (Business) - Extended Service Term</t>
  </si>
  <si>
    <t>007B</t>
  </si>
  <si>
    <t>Microsoft Copilot for Microsoft 365 A3 and A5</t>
  </si>
  <si>
    <t>Test - Copilot for Microsoft 365 (Education Student 18+)</t>
  </si>
  <si>
    <t>Microsoft 365 Copilot for Finance</t>
  </si>
  <si>
    <t>CFQ7TTC0P7FF</t>
  </si>
  <si>
    <t>Microsoft 365 Copilot for Finance - Extended Service Term</t>
  </si>
  <si>
    <t>Microsoft 365 Copilot for Finance (Education Faculty)</t>
  </si>
  <si>
    <t>Microsoft 365 Copilot for Finance (Education Faculty) - Extended Service Term</t>
  </si>
  <si>
    <t>Microsoft 365 Copilot for Finance (Education Student 18+)</t>
  </si>
  <si>
    <t>Microsoft 365 Copilot for Finance (Education Student 18+) - Extended Service Term</t>
  </si>
  <si>
    <t>Microsoft 365 Copilot for Sales</t>
  </si>
  <si>
    <t>CFQ7TTC0NSWW</t>
  </si>
  <si>
    <t>Microsoft 365 Copilot for Sales - Extended Service Term</t>
  </si>
  <si>
    <t>Microsoft 365 Copilot for Sales (Education Faculty)</t>
  </si>
  <si>
    <t>Microsoft 365 Copilot for Sales (Education Faculty) - Extended Service Term</t>
  </si>
  <si>
    <t>Microsoft 365 Copilot for Sales (Education Student 18+)</t>
  </si>
  <si>
    <t>Microsoft 365 Copilot for Sales (Education Student 18+) - Extended Service Term</t>
  </si>
  <si>
    <t>Microsoft 365 Copilot for Service</t>
  </si>
  <si>
    <t>CFQ7TTC0NSX1</t>
  </si>
  <si>
    <t>Microsoft 365 Copilot for Service - Extended Service Term</t>
  </si>
  <si>
    <t>Microsoft 365 Copilot for Service (Education Faculty)</t>
  </si>
  <si>
    <t>Microsoft 365 Copilot for Service (Education Faculty) - Extended Service Term</t>
  </si>
  <si>
    <t>Microsoft 365 Copilot for Service (Education Student 18+)</t>
  </si>
  <si>
    <t>Microsoft 365 Copilot for Service (Education Student 18+) - Extended Service Term</t>
  </si>
  <si>
    <t>Microsoft 365 Copilot Pro</t>
  </si>
  <si>
    <t>CFQ7TTC10HJ2</t>
  </si>
  <si>
    <t>Microsoft 365 Copilot Pro - Extended Service Term</t>
  </si>
  <si>
    <t>Microsoft 365 Domestic and International Calling Plan</t>
  </si>
  <si>
    <t>Microsoft 365 Domestic and International Calling Plan for faculty</t>
  </si>
  <si>
    <t>CFQ7TTC0LHXT</t>
  </si>
  <si>
    <t>Microsoft 365 Domestic and International Calling Plan for faculty - Extended Service Term</t>
  </si>
  <si>
    <t>Microsoft 365 Domestic and International Calling Plan for GCC</t>
  </si>
  <si>
    <t>Microsoft 365 Domestic and International Calling Plan for GCC - Extended Service Term</t>
  </si>
  <si>
    <t>0028</t>
  </si>
  <si>
    <t>Microsoft 365 Domestic and International Calling Plan for students</t>
  </si>
  <si>
    <t>Microsoft 365 Domestic and International Calling Plan for students - Extended Service Term</t>
  </si>
  <si>
    <t>Microsoft Teams Domestic and International Calling Plan</t>
  </si>
  <si>
    <t>Microsoft Teams Domestic and International Calling Plan - Extended Service Term</t>
  </si>
  <si>
    <t>Microsoft 365 Domestic Calling Plan</t>
  </si>
  <si>
    <t>Microsoft Teams Domestic Calling Plan</t>
  </si>
  <si>
    <t>CFQ7TTC0LHXJ</t>
  </si>
  <si>
    <t>Microsoft Teams Domestic Calling Plan - Extended Service Term</t>
  </si>
  <si>
    <t>0046</t>
  </si>
  <si>
    <t>Microsoft Teams Domestic Calling Plan (120 min)</t>
  </si>
  <si>
    <t>Microsoft Teams Domestic Calling Plan (120 min) - Extended Service Term</t>
  </si>
  <si>
    <t>004P</t>
  </si>
  <si>
    <t>Microsoft Teams Domestic Calling Plan (120 min) for faculty</t>
  </si>
  <si>
    <t>Microsoft Teams Domestic Calling Plan (120 min) for faculty - Extended Service Term</t>
  </si>
  <si>
    <t>004M</t>
  </si>
  <si>
    <t>Microsoft Teams Domestic Calling Plan (120 min) for students</t>
  </si>
  <si>
    <t>001B</t>
  </si>
  <si>
    <t>Microsoft Teams Domestic Calling Plan (120 min) for students - Extended Service Term</t>
  </si>
  <si>
    <t>Microsoft Teams Domestic Calling Plan (customers in US/UK/CA)</t>
  </si>
  <si>
    <t>Microsoft Teams Domestic Calling Plan (customers in US/UK/CA) - Extended Service Term</t>
  </si>
  <si>
    <t>0047</t>
  </si>
  <si>
    <t>Microsoft Teams Domestic Calling Plan for faculty</t>
  </si>
  <si>
    <t>Microsoft Teams Domestic Calling Plan for faculty - Extended Service Term</t>
  </si>
  <si>
    <t>004S</t>
  </si>
  <si>
    <t>Microsoft Teams Domestic Calling Plan for faculty for US and Canada</t>
  </si>
  <si>
    <t>Microsoft Teams Domestic Calling Plan for faculty for US and Canada - Extended Service Term</t>
  </si>
  <si>
    <t>0041</t>
  </si>
  <si>
    <t>Microsoft Teams Domestic Calling Plan for GCC</t>
  </si>
  <si>
    <t>Microsoft Teams Domestic Calling Plan for GCC - Extended Service Term</t>
  </si>
  <si>
    <t>0040</t>
  </si>
  <si>
    <t>Microsoft Teams Domestic Calling Plan for GCC for US</t>
  </si>
  <si>
    <t>Microsoft Teams Domestic Calling Plan for GCC for US - Extended Service Term</t>
  </si>
  <si>
    <t>Microsoft Teams Domestic Calling Plan for students</t>
  </si>
  <si>
    <t>Microsoft Teams Domestic Calling Plan for students - Extended Service Term</t>
  </si>
  <si>
    <t>004Q</t>
  </si>
  <si>
    <t>Microsoft Teams Domestic Calling Plan for students for US and Canada</t>
  </si>
  <si>
    <t>Microsoft Teams Domestic Calling Plan for students for US and Canada - Extended Service Term</t>
  </si>
  <si>
    <t>Microsoft 365 E3</t>
  </si>
  <si>
    <t>Defender for Endpoint P2 Add On for Microsoft 365 E3</t>
  </si>
  <si>
    <t>CFQ7TTC0LFLX</t>
  </si>
  <si>
    <t>009T</t>
  </si>
  <si>
    <t>009V</t>
  </si>
  <si>
    <t>Entra P2 Add On for Microsoft 365 E3</t>
  </si>
  <si>
    <t>009W</t>
  </si>
  <si>
    <t>009X</t>
  </si>
  <si>
    <t>Microsoft 365 E3 - 3 year</t>
  </si>
  <si>
    <t>0114</t>
  </si>
  <si>
    <t>Microsoft 365 E3 - 3 year - Extended Service Term</t>
  </si>
  <si>
    <t>0115</t>
  </si>
  <si>
    <t>00FR</t>
  </si>
  <si>
    <t>Microsoft 365 E3 - 3 Year SMC SKU</t>
  </si>
  <si>
    <t>Microsoft 365 E3 - Extended Service Term</t>
  </si>
  <si>
    <t>00FS</t>
  </si>
  <si>
    <t>00FT</t>
  </si>
  <si>
    <t>Microsoft 365 E3 - Unattended License</t>
  </si>
  <si>
    <t>Microsoft 365 E3 - Unattended License - 3 year - Extended Service Term</t>
  </si>
  <si>
    <t>00FM</t>
  </si>
  <si>
    <t>Microsoft 365 E3 - Unattended License - 3 Year SMC SKU</t>
  </si>
  <si>
    <t>Microsoft 365 E3 - Unattended License - Extended Service Term</t>
  </si>
  <si>
    <t>00FN</t>
  </si>
  <si>
    <t>Microsoft 365 E3 (no Teams)</t>
  </si>
  <si>
    <t>Microsoft 365 E3 (no Teams) - 3 year - Extended Service Term</t>
  </si>
  <si>
    <t>00FJ</t>
  </si>
  <si>
    <t>Microsoft 365 E3 (no Teams) - 3 Year SMC SKU</t>
  </si>
  <si>
    <t>Microsoft 365 E3 (no Teams) - Extended Service Term</t>
  </si>
  <si>
    <t>00FK</t>
  </si>
  <si>
    <t>Microsoft 365 E3 (no Teams) - Unattended License</t>
  </si>
  <si>
    <t>Microsoft 365 E3 (no Teams) - Unattended License - 3 year - Extended Service Term</t>
  </si>
  <si>
    <t>00FF</t>
  </si>
  <si>
    <t>Microsoft 365 E3 (no Teams) - Unattended License - 3 Year SMC SKU</t>
  </si>
  <si>
    <t>Microsoft 365 E3 (no Teams) - Unattended License - Extended Service Term</t>
  </si>
  <si>
    <t>00FG</t>
  </si>
  <si>
    <t>Microsoft 365 E3 (no Teams) Custom</t>
  </si>
  <si>
    <t>Microsoft 365 E3 (no Teams) Custom - Extended Service Term</t>
  </si>
  <si>
    <t>00FD</t>
  </si>
  <si>
    <t>Microsoft 365 E3 EEA (no Teams)</t>
  </si>
  <si>
    <t>0010</t>
  </si>
  <si>
    <t>Microsoft 365 E3 EEA (no Teams) - 3 year - Extended Service Term</t>
  </si>
  <si>
    <t>00FB</t>
  </si>
  <si>
    <t>Microsoft 365 E3 EEA (no Teams) - 3 Year SMC SKU</t>
  </si>
  <si>
    <t>Microsoft 365 E3 EEA (no Teams) - Extended Service Term</t>
  </si>
  <si>
    <t>00FC</t>
  </si>
  <si>
    <t>Microsoft 365 E3 EEA (no Teams) - Unattended License</t>
  </si>
  <si>
    <t>Microsoft 365 E3 EEA (no Teams) - Unattended License - 3 year - Extended Service Term</t>
  </si>
  <si>
    <t>00F8</t>
  </si>
  <si>
    <t>Microsoft 365 E3 EEA (no Teams) - Unattended License - 3 Year SMC SKU</t>
  </si>
  <si>
    <t>Microsoft 365 E3 EEA (no Teams) - Unattended License - Extended Service Term</t>
  </si>
  <si>
    <t>00F9</t>
  </si>
  <si>
    <t>Microsoft 365 E5</t>
  </si>
  <si>
    <t>CFQ7TTC0LFLZ</t>
  </si>
  <si>
    <t>Microsoft 365 E5 - 3 year</t>
  </si>
  <si>
    <t>01C8</t>
  </si>
  <si>
    <t>Microsoft 365 E5 - 3 year - Extended Service Term</t>
  </si>
  <si>
    <t>01C7</t>
  </si>
  <si>
    <t>00G1</t>
  </si>
  <si>
    <t>Microsoft 365 E5 - 3 Year SMC SKU</t>
  </si>
  <si>
    <t>Microsoft 365 E5 - Extended Service Term</t>
  </si>
  <si>
    <t>00G3</t>
  </si>
  <si>
    <t>00G2</t>
  </si>
  <si>
    <t>Microsoft 365 E5 (no Teams)</t>
  </si>
  <si>
    <t>Microsoft 365 E5 (no Teams) - 3 year</t>
  </si>
  <si>
    <t>Microsoft 365 E5 (no Teams) - 3 year - Extended Service Term</t>
  </si>
  <si>
    <t>00FX</t>
  </si>
  <si>
    <t>Microsoft 365 E5 (no Teams) - 3 Year SMC SKU</t>
  </si>
  <si>
    <t>Microsoft 365 E5 (no Teams) - Extended Service Term</t>
  </si>
  <si>
    <t>00FZ</t>
  </si>
  <si>
    <t>Microsoft 365 E5 (no Teams) without Audio Conferencing</t>
  </si>
  <si>
    <t>Microsoft 365 E5 (no Teams) without Audio Conferencing - 3 year - Extended Service Term</t>
  </si>
  <si>
    <t>Microsoft 365 E5 (no Teams) without Audio Conferencing - 3 Year SMC SKU</t>
  </si>
  <si>
    <t>Microsoft 365 E5 (no Teams) without Audio Conferencing - Extended Service Term</t>
  </si>
  <si>
    <t>00FV</t>
  </si>
  <si>
    <t>Microsoft 365 E5 (no Teams) Custom</t>
  </si>
  <si>
    <t>Microsoft 365 E5 (no Teams) Custom - Extended Service Term</t>
  </si>
  <si>
    <t>Microsoft 365 E5 EEA (no Teams)</t>
  </si>
  <si>
    <t>Microsoft 365 E5 EEA (no Teams) - 3 year - Extended Service Term</t>
  </si>
  <si>
    <t>Microsoft 365 E5 EEA (no Teams) - 3 Year SMC SKU</t>
  </si>
  <si>
    <t>002T</t>
  </si>
  <si>
    <t>Microsoft 365 E5 EEA (no Teams) - Extended Service Term</t>
  </si>
  <si>
    <t>00FL</t>
  </si>
  <si>
    <t>Microsoft 365 E5 EEA (no Teams) with Calling Minutes</t>
  </si>
  <si>
    <t>Microsoft 365 E5 EEA (no Teams) with Calling Minutes - Extended Service Term</t>
  </si>
  <si>
    <t>Microsoft 365 E5 EEA (no Teams) without Audio Conferencing</t>
  </si>
  <si>
    <t>Microsoft 365 E5 EEA (no Teams) without Audio Conferencing - 3 year</t>
  </si>
  <si>
    <t>002S</t>
  </si>
  <si>
    <t>Microsoft 365 E5 EEA (no Teams) without Audio Conferencing - 3 year - Extended Service Term</t>
  </si>
  <si>
    <t>Microsoft 365 E5 EEA (no Teams) without Audio Conferencing - 3 Year SMC SKU</t>
  </si>
  <si>
    <t>Microsoft 365 E5 EEA (no Teams) without Audio Conferencing - Extended Service Term</t>
  </si>
  <si>
    <t>00FH</t>
  </si>
  <si>
    <t>Microsoft 365 E5 without Audio Conferencing</t>
  </si>
  <si>
    <t>001C</t>
  </si>
  <si>
    <t>Microsoft 365 E5 without Audio Conferencing - 3 year - Extended Service Term</t>
  </si>
  <si>
    <t>00F6</t>
  </si>
  <si>
    <t>Microsoft 365 E5 without Audio Conferencing - 3 Year SMC SKU</t>
  </si>
  <si>
    <t>Microsoft 365 E5 without Audio Conferencing - Extended Service Term</t>
  </si>
  <si>
    <t>00F7</t>
  </si>
  <si>
    <t>Microsoft 365 E5 Compliance</t>
  </si>
  <si>
    <t>Compliance Manager Premium Assessment Add-On</t>
  </si>
  <si>
    <t>CFQ7TTC0LHR4</t>
  </si>
  <si>
    <t>Compliance Manager Premium Assessment Add-On EDU</t>
  </si>
  <si>
    <t>Compliance Manager Premium Assessment Add-On for GCC</t>
  </si>
  <si>
    <t>Microsoft 365 E5 Compliance - 3 year</t>
  </si>
  <si>
    <t>Microsoft 365 G5 Compliance GCC</t>
  </si>
  <si>
    <t>Microsoft 365 E5 Custom</t>
  </si>
  <si>
    <t>CFQ7TTC10VP5</t>
  </si>
  <si>
    <t>Microsoft 365 E5 Custom - Extended Service Term</t>
  </si>
  <si>
    <t>Microsoft 365 E5 eDiscovery and Audit</t>
  </si>
  <si>
    <t>Microsoft 365 A5 eDiscovery and Audit - Student Use Benefit Add-on</t>
  </si>
  <si>
    <t>CFQ7TTC0HD6V</t>
  </si>
  <si>
    <t>Microsoft 365 A5 eDiscovery and Audit - Student Use Benefit Add-on - Extended Service Term</t>
  </si>
  <si>
    <t>Microsoft 365 A5 eDiscovery and Audit for faculty</t>
  </si>
  <si>
    <t>Microsoft 365 A5 eDiscovery and Audit for faculty - Extended Service Term</t>
  </si>
  <si>
    <t>Microsoft 365 A5 eDiscovery and Audit for students</t>
  </si>
  <si>
    <t>Microsoft 365 A5 eDiscovery and Audit for students - Extended Service Term</t>
  </si>
  <si>
    <t>Microsoft 365 E5 eDiscovery and Audit - Extended Service Term</t>
  </si>
  <si>
    <t>001F</t>
  </si>
  <si>
    <t>Microsoft 365 G5 eDiscovery and Audit for GCC</t>
  </si>
  <si>
    <t>Microsoft 365 G5 eDiscovery and Audit for GCC - Extended Service Term</t>
  </si>
  <si>
    <t>Microsoft 365 E5 Extra Features</t>
  </si>
  <si>
    <t>CFQ7TTC0H6XQ</t>
  </si>
  <si>
    <t>Microsoft 365 E5 Extra Features - Extended Service Term</t>
  </si>
  <si>
    <t>Microsoft 365 E5 Information Protection and DLP (add-on)</t>
  </si>
  <si>
    <t>Microsoft 365 A5 Information Protection and DLP - Student Use Benefit Add-on</t>
  </si>
  <si>
    <t>CFQ7TTC0HL90</t>
  </si>
  <si>
    <t>Microsoft 365 A5 Information Protection and DLP - Student Use Benefit Add-on - Extended Service Term</t>
  </si>
  <si>
    <t>Microsoft 365 G5 Information Protection and DLP (add-on) for GCC</t>
  </si>
  <si>
    <t>Microsoft 365 G5 Information Protection and DLP (add-on) for GCC - Extended Service Term</t>
  </si>
  <si>
    <t>Microsoft 365 E5 Information Protection and Governance</t>
  </si>
  <si>
    <t>Microsoft 365 A5 Information Protection and Governance - Student Use Benefit Add-on</t>
  </si>
  <si>
    <t>CFQ7TTC0HD6T</t>
  </si>
  <si>
    <t>Microsoft 365 A5 Information Protection and Governance - Student Use Benefit Add-on - Extended Service Term</t>
  </si>
  <si>
    <t>Microsoft 365 A5 Information Protection and Governance for faculty</t>
  </si>
  <si>
    <t>Microsoft 365 A5 Information Protection and Governance for faculty - Extended Service Term</t>
  </si>
  <si>
    <t>Microsoft 365 A5 Information Protection and Governance for students</t>
  </si>
  <si>
    <t>Microsoft 365 A5 Information Protection and Governance for students - Extended Service Term</t>
  </si>
  <si>
    <t>Microsoft 365 E5 Information Protection and Governance - Extended Service Term</t>
  </si>
  <si>
    <t>Microsoft 365 G5 Information Protection and Governance for GCC</t>
  </si>
  <si>
    <t>Microsoft 365 G5 Information Protection and Governance for GCC - Extended Service Term</t>
  </si>
  <si>
    <t>Microsoft 365 E5 Insider Risk Management</t>
  </si>
  <si>
    <t>Microsoft 365 A5 Insider Risk Management - Student Use Benefit Add-on</t>
  </si>
  <si>
    <t>CFQ7TTC0HD6S</t>
  </si>
  <si>
    <t>Microsoft 365 A5 Insider Risk Management - Student Use Benefit Add-on - Extended Service Term</t>
  </si>
  <si>
    <t>Microsoft 365 A5 Insider Risk Management for faculty</t>
  </si>
  <si>
    <t>Microsoft 365 A5 Insider Risk Management for faculty - Extended Service Term</t>
  </si>
  <si>
    <t>Microsoft 365 A5 Insider Risk Management for students</t>
  </si>
  <si>
    <t>Microsoft 365 A5 Insider Risk Management for students - Extended Service Term</t>
  </si>
  <si>
    <t>Microsoft 365 E5 Insider Risk Management - Extended Service Term</t>
  </si>
  <si>
    <t>Microsoft 365 G5 Insider Risk Management for GCC</t>
  </si>
  <si>
    <t>Microsoft 365 G5 Insider Risk Management for GCC - Extended Service Term</t>
  </si>
  <si>
    <t>Microsoft 365 E5 Security</t>
  </si>
  <si>
    <t>CFQ7TTC0LHQB</t>
  </si>
  <si>
    <t>Microsoft 365 E5 Security- 3 year</t>
  </si>
  <si>
    <t>Microsoft 365 E7</t>
  </si>
  <si>
    <t>CFQ7TTBZZR6H</t>
  </si>
  <si>
    <t>Microsoft 365 E7 - 3 year</t>
  </si>
  <si>
    <t>Microsoft 365 E7 - 3 year - Extended Service Term</t>
  </si>
  <si>
    <t>Microsoft 365 E7 - Extended Service Term</t>
  </si>
  <si>
    <t>000V</t>
  </si>
  <si>
    <t>Microsoft 365 E7 (No Teams)</t>
  </si>
  <si>
    <t>Microsoft 365 E7 (No Teams) - 3 year</t>
  </si>
  <si>
    <t>Microsoft 365 E7 (No Teams) - 3 year - Extended Service Term</t>
  </si>
  <si>
    <t>Microsoft 365 E7 (No Teams) - Extended Service Term</t>
  </si>
  <si>
    <t>Microsoft 365 E7 (No Teams) EEA</t>
  </si>
  <si>
    <t>Microsoft 365 E7 (No Teams) EEA - Extended Service Term</t>
  </si>
  <si>
    <t>Microsoft 365 E7 (no Teams) without Audio Conferencing - 3 year</t>
  </si>
  <si>
    <t>Microsoft 365 E7 (no Teams) without Audio Conferencing - 3 year - Extended Service Term</t>
  </si>
  <si>
    <t>Microsoft 365 E7 EEA (no Teams) - 3 year</t>
  </si>
  <si>
    <t>Microsoft 365 E7 EEA (no Teams) - 3 year - Extended Service Term</t>
  </si>
  <si>
    <t>Microsoft 365 E7 EEA (no Teams) without Audio Conferencing - 3 year</t>
  </si>
  <si>
    <t>Microsoft 365 E7 EEA (no Teams) without Audio Conferencing - 3 year - Extended Service Term</t>
  </si>
  <si>
    <t>Microsoft 365 E7 w/o Audio Conferencing</t>
  </si>
  <si>
    <t>Microsoft 365 E7 w/o Audio Conferencing - Extended Service Term</t>
  </si>
  <si>
    <t>Microsoft 365 E7 w/o Audio Conferencing No Teams</t>
  </si>
  <si>
    <t>Microsoft 365 E7 w/o Audio Conferencing No Teams - Extended Service Term</t>
  </si>
  <si>
    <t>Microsoft 365 E7 w/o Audio Conferencing No Teams EEA</t>
  </si>
  <si>
    <t>Microsoft 365 E7 w/o Audio Conferencing No Teams EEA - Extended Service Term</t>
  </si>
  <si>
    <t>Microsoft 365 E7 without Audio Conferencing - 3 year</t>
  </si>
  <si>
    <t>Microsoft 365 E7 without Audio Conferencing - 3 year - Extended Service Term</t>
  </si>
  <si>
    <t>Microsoft 365 Education GIGA Promo</t>
  </si>
  <si>
    <t>CFQ7TTC0J1FR</t>
  </si>
  <si>
    <t>Microsoft 365 Education GIGA Promo - Extended Service Term</t>
  </si>
  <si>
    <t>Microsoft 365 Enterprise Voice</t>
  </si>
  <si>
    <t>Microsoft 365 Education Voice Plan 1 Add-On to A5 for Faculty</t>
  </si>
  <si>
    <t>CFQ7TTC0GZ1D</t>
  </si>
  <si>
    <t>Microsoft 365 Education Voice Plan 1 Add-On to A5 for Faculty - Extended Service Term</t>
  </si>
  <si>
    <t>Microsoft 365 Education Voice Plan 1 Add-On to A5 for Students</t>
  </si>
  <si>
    <t>Microsoft 365 Education Voice Plan 1 Add-On to A5 for Students - Extended Service Term</t>
  </si>
  <si>
    <t>Microsoft 365 F1</t>
  </si>
  <si>
    <t>Microsoft 365 F5 Compliance Add-on</t>
  </si>
  <si>
    <t>CFQ7TTC0MBMD</t>
  </si>
  <si>
    <t>Microsoft 365 F5 Security + Compliance Add-on</t>
  </si>
  <si>
    <t>Microsoft 365 F5 Security Add-on</t>
  </si>
  <si>
    <t>Microsoft Defender + Purview Suite Add-on for FLW - Extended Service Term</t>
  </si>
  <si>
    <t>00GF</t>
  </si>
  <si>
    <t>00GG</t>
  </si>
  <si>
    <t>Microsoft Defender Suite Add-on FLW - Extended Service Term</t>
  </si>
  <si>
    <t>00GC</t>
  </si>
  <si>
    <t>00GD</t>
  </si>
  <si>
    <t>Microsoft Purview Suite Add-on FLW - Extended Service Term</t>
  </si>
  <si>
    <t>00G6</t>
  </si>
  <si>
    <t>00G7</t>
  </si>
  <si>
    <t>Microsoft 365 G3</t>
  </si>
  <si>
    <t>Microsoft 365 G3 - Unattended License for GCC</t>
  </si>
  <si>
    <t>CFQ7TTC0J1WM</t>
  </si>
  <si>
    <t>Microsoft 365 G3 - Unattended License for GCC - Extended Service Term</t>
  </si>
  <si>
    <t>Microsoft 365 G5</t>
  </si>
  <si>
    <t>Microsoft 365 GCC G5</t>
  </si>
  <si>
    <t>CFQ7TTC0HL91</t>
  </si>
  <si>
    <t>Microsoft 365 GCC G5 - Extended Service Term</t>
  </si>
  <si>
    <t>Microsoft 365 G5 Security</t>
  </si>
  <si>
    <t>Microsoft 365 G5 Security GCC</t>
  </si>
  <si>
    <t>CFQ7TTC0J1HV</t>
  </si>
  <si>
    <t>Microsoft 365 GCC G3</t>
  </si>
  <si>
    <t>Microsoft 365 G3 GCC</t>
  </si>
  <si>
    <t>CFQ7TTC0J1ZM</t>
  </si>
  <si>
    <t>Microsoft 365 G3 GCC - Extended Service Term</t>
  </si>
  <si>
    <t>Microsoft 365 International Calling Plan</t>
  </si>
  <si>
    <t>CFQ7TTC0HC36</t>
  </si>
  <si>
    <t>Microsoft 365 International Calling Plan - Extended Service Term</t>
  </si>
  <si>
    <t>Microsoft 365 International Calling Plan - Outbound ROW</t>
  </si>
  <si>
    <t>CFQ7TTC0JL2Q</t>
  </si>
  <si>
    <t>Microsoft 365 International Calling Plan - Outbound US</t>
  </si>
  <si>
    <t>CFQ7TTC0JL2N</t>
  </si>
  <si>
    <t>Microsoft 365 International Calling Plan (for SMB)</t>
  </si>
  <si>
    <t>Microsoft Teams International Calling Plan (for SMB)</t>
  </si>
  <si>
    <t>CFQ7TTC0LHXD</t>
  </si>
  <si>
    <t>Microsoft Teams International Calling Plan (for SMB) - Extended Service Term</t>
  </si>
  <si>
    <t>Microsoft 365 Phone System</t>
  </si>
  <si>
    <t>Microsoft Teams Phone Standard</t>
  </si>
  <si>
    <t>CFQ7TTC0LH0T</t>
  </si>
  <si>
    <t>Microsoft Teams Phone Standard - Extended Service Term</t>
  </si>
  <si>
    <t>0029</t>
  </si>
  <si>
    <t>Microsoft Teams Phone Standard for faculty</t>
  </si>
  <si>
    <t>Microsoft Teams Phone Standard for faculty - Extended Service Term</t>
  </si>
  <si>
    <t>Microsoft Teams Phone Standard for FLW GCC</t>
  </si>
  <si>
    <t>Microsoft Teams Phone Standard for FLW GCC - Extended Service Term</t>
  </si>
  <si>
    <t>Microsoft Teams Phone Standard for GCC</t>
  </si>
  <si>
    <t>Microsoft Teams Phone Standard for GCC - Extended Service Term</t>
  </si>
  <si>
    <t>Microsoft Teams Phone Standard for student</t>
  </si>
  <si>
    <t>Microsoft Teams Phone Standard for student - Extended Service Term</t>
  </si>
  <si>
    <t>Microsoft Teams Phone Standard for Telstra</t>
  </si>
  <si>
    <t>Microsoft Teams Phone Standard for Telstra - Extended Service Term</t>
  </si>
  <si>
    <t>Teams Phone Standard FLW</t>
  </si>
  <si>
    <t>Teams Phone Standard FLW - Extended Service Term</t>
  </si>
  <si>
    <t>Microsoft 365 Phone System - Virtual User</t>
  </si>
  <si>
    <t>'Microsoft Teams Phone Resource Account</t>
  </si>
  <si>
    <t>CFQ7TTC0LH0R</t>
  </si>
  <si>
    <t>Microsoft Teams Phone Resource Account - Extended Service Term</t>
  </si>
  <si>
    <t>Microsoft Teams Phone Resource Account for faculty</t>
  </si>
  <si>
    <t>Microsoft Teams Phone Resource Account for faculty - Extended Service Term</t>
  </si>
  <si>
    <t>Microsoft Teams Phone Resource Account for GCC</t>
  </si>
  <si>
    <t>Microsoft Teams Phone Resource Account for GCC - Extended Service Term</t>
  </si>
  <si>
    <t>Microsoft Teams Phone Resource Account for students</t>
  </si>
  <si>
    <t>Microsoft Teams Phone Resource Account for students - Extended Service Term</t>
  </si>
  <si>
    <t>Microsoft Clipchamp</t>
  </si>
  <si>
    <t>Clipchamp Premium</t>
  </si>
  <si>
    <t>CFQ7TTC0N8SS</t>
  </si>
  <si>
    <t>Clipchamp Premium - Extended Service Term</t>
  </si>
  <si>
    <t>Clipchamp Premium Add-on</t>
  </si>
  <si>
    <t>Clipchamp Premium Add-on - Extended Service Term</t>
  </si>
  <si>
    <t>Clipchamp Standard</t>
  </si>
  <si>
    <t>Clipchamp Standard - Extended Service Term</t>
  </si>
  <si>
    <t>Microsoft Copilot Studio</t>
  </si>
  <si>
    <t>CFQ7TTC0LH1F</t>
  </si>
  <si>
    <t>Microsoft Copilot Studio - Extended Service Term</t>
  </si>
  <si>
    <t>Microsoft Copilot Studio for GCC</t>
  </si>
  <si>
    <t>Microsoft Copilot Studio for GCC - Extended Service Term</t>
  </si>
  <si>
    <t>Microsoft Copilot Studio User License</t>
  </si>
  <si>
    <t>Microsoft Copilot Studio User License - Extended Service Term</t>
  </si>
  <si>
    <t>Microsoft Copilot Studio User License for GCC</t>
  </si>
  <si>
    <t>Microsoft Copilot Studio User License for GCC - Extended Service Term</t>
  </si>
  <si>
    <t>Power Virtual Agent</t>
  </si>
  <si>
    <t>Power Virtual Agent - Extended Service Term</t>
  </si>
  <si>
    <t>Microsoft Defender Experts for Hunting</t>
  </si>
  <si>
    <t>CFQ7TTC0JVS7</t>
  </si>
  <si>
    <t>Microsoft Defender Experts for Hunting - XDR - Extended Service Term</t>
  </si>
  <si>
    <t>Microsoft Defender Experts for XDR</t>
  </si>
  <si>
    <t>CFQ7TTC0RC66</t>
  </si>
  <si>
    <t>Microsoft Defender Experts for XDR - Extended Service Term</t>
  </si>
  <si>
    <t>Microsoft Defender for Business</t>
  </si>
  <si>
    <t>CFQ7TTC0HX56</t>
  </si>
  <si>
    <t>Microsoft Defender for Business - Extended Service Term</t>
  </si>
  <si>
    <t>Microsoft Defender for Business servers</t>
  </si>
  <si>
    <t>CFQ7TTC0QKW2</t>
  </si>
  <si>
    <t>Microsoft Defender for Business servers - Extended Service Term</t>
  </si>
  <si>
    <t>Microsoft Defender for Business servers End of Life</t>
  </si>
  <si>
    <t>Microsoft Defender for Business servers End of Life - Extended Service Term</t>
  </si>
  <si>
    <t>Microsoft Defender for Cloud App</t>
  </si>
  <si>
    <t>Microsoft Defender for Cloud Apps - Extended Service Term</t>
  </si>
  <si>
    <t>CFQ7TTC0LHRR</t>
  </si>
  <si>
    <t>Microsoft Defender for Cloud Apps F1</t>
  </si>
  <si>
    <t>Microsoft Defender for Cloud Apps F1 - Extended Service Term</t>
  </si>
  <si>
    <t>Microsoft Defender for Cloud Apps.</t>
  </si>
  <si>
    <t>Microsoft Defender for Cloud Apps</t>
  </si>
  <si>
    <t>CFQ7TTC0LHQ8</t>
  </si>
  <si>
    <t>Microsoft Defender for Endpoint P1</t>
  </si>
  <si>
    <t>CFQ7TTC0J1GB</t>
  </si>
  <si>
    <t>Microsoft Defender for Endpoint P1 for EDU</t>
  </si>
  <si>
    <t>Microsoft Defender for Endpoint P1 for GCC</t>
  </si>
  <si>
    <t>Microsoft Defender for Endpoint P1/F1</t>
  </si>
  <si>
    <t>Microsoft Defender for Endpoint P1 - Extended Service Term</t>
  </si>
  <si>
    <t>Microsoft Defender for Endpoint P1 for EDU - Extended Service Term</t>
  </si>
  <si>
    <t>Microsoft Defender for Endpoint P1 for GCC - Extended Service Term</t>
  </si>
  <si>
    <t>Microsoft Defender for Endpoint P2</t>
  </si>
  <si>
    <t>Microsoft Defender for Endpoint P2 - GCC</t>
  </si>
  <si>
    <t>CFQ7TTC0LGV0</t>
  </si>
  <si>
    <t>Microsoft Defender for Endpoint P2 - GCC - Extended Service Term</t>
  </si>
  <si>
    <t>Microsoft Defender for Endpoint P2 for Student</t>
  </si>
  <si>
    <t>Microsoft Defender for Endpoint P2 for Student - Extended Service Term</t>
  </si>
  <si>
    <t>0031</t>
  </si>
  <si>
    <t>Microsoft Defender for Endpoint P2_ATP</t>
  </si>
  <si>
    <t>Microsoft Defender for Endpoint P2_ATP - Extended Service Term</t>
  </si>
  <si>
    <t>002X</t>
  </si>
  <si>
    <t>Microsoft Defender for Endpoint P2_XPLAT</t>
  </si>
  <si>
    <t>Microsoft Defender for Endpoint P2_XPLAT - Extended Service Term</t>
  </si>
  <si>
    <t>003C</t>
  </si>
  <si>
    <t>003D</t>
  </si>
  <si>
    <t>Microsoft Defender for Endpoint P2_XPLAT_EDU</t>
  </si>
  <si>
    <t>Microsoft Defender for Endpoint P2_XPLAT_EDU - Extended Service Term</t>
  </si>
  <si>
    <t>0033</t>
  </si>
  <si>
    <t>Microsoft Defender for Endpoint Server</t>
  </si>
  <si>
    <t>Microsoft Defender for Endpoint Server - Extended Service Term</t>
  </si>
  <si>
    <t>0034</t>
  </si>
  <si>
    <t>0036</t>
  </si>
  <si>
    <t>0035</t>
  </si>
  <si>
    <t>Microsoft Defender for Identity</t>
  </si>
  <si>
    <t>CFQ7TTC0LH0D</t>
  </si>
  <si>
    <t>Microsoft Defender for Identity - Extended Service Term</t>
  </si>
  <si>
    <t>Microsoft Defender for Identity F1</t>
  </si>
  <si>
    <t>Microsoft Defender for Identity F1 - Extended Service Term</t>
  </si>
  <si>
    <t>Microsoft Defender for IoT - EIoT Device License - add-on</t>
  </si>
  <si>
    <t>CFQ7TTC0MZH6</t>
  </si>
  <si>
    <t>Microsoft Defender for IoT - EIoT Device License - add-on - Extended Service Term</t>
  </si>
  <si>
    <t>Microsoft Defender for IoT - OT Site License</t>
  </si>
  <si>
    <t>Microsoft Defender for IoT - OT site license - L</t>
  </si>
  <si>
    <t>CFQ7TTC0MLTF</t>
  </si>
  <si>
    <t>Microsoft Defender for IoT - OT site license - L - Extended Service Term</t>
  </si>
  <si>
    <t>Microsoft Defender for IoT - OT site license - M</t>
  </si>
  <si>
    <t>Microsoft Defender for IoT - OT site license - M - Extended Service Term</t>
  </si>
  <si>
    <t>Microsoft Defender for IoT - OT site license - S</t>
  </si>
  <si>
    <t>Microsoft Defender for IoT - OT site license - S - Extended Service Term</t>
  </si>
  <si>
    <t>Microsoft Defender for IoT - OT site license - XL</t>
  </si>
  <si>
    <t>Microsoft Defender for IoT - OT site license - XL - Extended Service Term</t>
  </si>
  <si>
    <t>Microsoft Defender for IoT - OT site license - XS</t>
  </si>
  <si>
    <t>Microsoft Defender for IoT - OT site license - XS - Extended Service Term</t>
  </si>
  <si>
    <t>Microsoft Defender Suite</t>
  </si>
  <si>
    <t>Microsoft Defender Suite - 3 year - Extended Service Term</t>
  </si>
  <si>
    <t>Microsoft Defender Suite - Extended Service Term</t>
  </si>
  <si>
    <t>Microsoft Defender Suite Edu</t>
  </si>
  <si>
    <t>Microsoft Defender Suite Edu for faculty - Extended Service Term</t>
  </si>
  <si>
    <t>Microsoft Defender Suite Edu for student use benefits - Extended Service Term</t>
  </si>
  <si>
    <t>Microsoft Defender Suite Edu for students - Extended Service Term</t>
  </si>
  <si>
    <t>Microsoft Defender Threat Intelligence</t>
  </si>
  <si>
    <t>Defender Threat Intelligence</t>
  </si>
  <si>
    <t>CFQ7TTC0QTFK</t>
  </si>
  <si>
    <t>Defender Threat Intelligence - Extended Service Term</t>
  </si>
  <si>
    <t>Defender Threat Intelligence API</t>
  </si>
  <si>
    <t>Defender Threat Intelligence API - Extended Service Term</t>
  </si>
  <si>
    <t>Defender Threat Intelligence API for Government</t>
  </si>
  <si>
    <t>Defender Threat Intelligence API for Government - Extended Service Term</t>
  </si>
  <si>
    <t>Defender Threat Intelligence API for MDTI Six Seats for Government</t>
  </si>
  <si>
    <t>Defender Threat Intelligence API for MDTI Six Seats for Government - Extended Service Term</t>
  </si>
  <si>
    <t>Defender Threat Intelligence for Government</t>
  </si>
  <si>
    <t>Defender Threat Intelligence for Government - Extended Service Term</t>
  </si>
  <si>
    <t>Defender Threat Intelligence Six Seats for Government</t>
  </si>
  <si>
    <t>Defender Threat Intelligence Six Seats for Government - Extended Service Term</t>
  </si>
  <si>
    <t>Microsoft Defender Vulnerability Management</t>
  </si>
  <si>
    <t>CFQ7TTC0JPGV</t>
  </si>
  <si>
    <t>Microsoft Defender Vulnerability Management - Extended Service Term</t>
  </si>
  <si>
    <t>Microsoft Defender Vulnerability Management Add-on</t>
  </si>
  <si>
    <t>Microsoft Defender Vulnerability Management Add-on - Extended Service Term</t>
  </si>
  <si>
    <t>0038</t>
  </si>
  <si>
    <t>0039</t>
  </si>
  <si>
    <t>003B</t>
  </si>
  <si>
    <t>Microsoft Defender Vulnerability Management Add-on for GCC</t>
  </si>
  <si>
    <t>Microsoft Defender Vulnerability Management Add-on for GCC - Extended Service Term</t>
  </si>
  <si>
    <t>Microsoft Defender Vulnerability Management Add-On Server</t>
  </si>
  <si>
    <t>Microsoft Defender Vulnerability Management Add-On Server - Extended Service Term</t>
  </si>
  <si>
    <t>Microsoft Defender Vulnerability Management Add-On Server for GCC</t>
  </si>
  <si>
    <t>Microsoft Defender Vulnerability Management Add-On Server for GCC - Extended Service Term</t>
  </si>
  <si>
    <t>Microsoft Defender Vulnerability Management for FLW</t>
  </si>
  <si>
    <t>Microsoft Defender Vulnerability Management for FLW - Extended Service Term</t>
  </si>
  <si>
    <t>003G</t>
  </si>
  <si>
    <t>Microsoft Defender Vulnerability Management for GCC</t>
  </si>
  <si>
    <t>Microsoft Defender Vulnerability Management for GCC - Extended Service Term</t>
  </si>
  <si>
    <t>Microsoft Entra ID Governance</t>
  </si>
  <si>
    <t>CFQ7TTC0MFT1</t>
  </si>
  <si>
    <t>Microsoft Entra ID Governance - Extended Service Term</t>
  </si>
  <si>
    <t>Microsoft Entra ID Governance Add-on for Microsoft Entra ID F2 for FLW</t>
  </si>
  <si>
    <t>Microsoft Entra ID Governance Add-on for Microsoft Entra ID F2 for FLW - Extended Service Term</t>
  </si>
  <si>
    <t>Microsoft Entra ID Governance Add-on for Microsoft Entra ID P2</t>
  </si>
  <si>
    <t>Microsoft Entra ID Governance Add-on for Microsoft Entra ID P2 - Extended Service Term</t>
  </si>
  <si>
    <t>Microsoft Entra ID Governance Add-on for Microsoft Entra ID P2 for Government</t>
  </si>
  <si>
    <t>Microsoft Entra ID Governance Add-on for Microsoft Entra ID P2 for Government - Extended Service Term</t>
  </si>
  <si>
    <t>Microsoft Entra ID Governance for FLW</t>
  </si>
  <si>
    <t>Microsoft Entra ID Governance for FLW - Extended Service Term</t>
  </si>
  <si>
    <t>Microsoft Entra ID Governance for Government</t>
  </si>
  <si>
    <t>Microsoft Entra ID Governance for Government - Extended Service Term</t>
  </si>
  <si>
    <t>Microsoft Entra ID P2</t>
  </si>
  <si>
    <t>Microsoft Entra ID F2</t>
  </si>
  <si>
    <t>Microsoft Entra ID F2 - Extended Service Term</t>
  </si>
  <si>
    <t>004B</t>
  </si>
  <si>
    <t>Microsoft Entra ID P2 - Extended Service Term</t>
  </si>
  <si>
    <t>004F</t>
  </si>
  <si>
    <t>004C</t>
  </si>
  <si>
    <t>Microsoft Entra ID P2 for faculty</t>
  </si>
  <si>
    <t>Microsoft Entra ID P2 for faculty - Extended Service Term</t>
  </si>
  <si>
    <t>0044</t>
  </si>
  <si>
    <t>Microsoft Entra ID P2 for government</t>
  </si>
  <si>
    <t>Microsoft Entra ID P2 for government - Extended Service Term</t>
  </si>
  <si>
    <t>0049</t>
  </si>
  <si>
    <t>Microsoft Entra ID P2 for students</t>
  </si>
  <si>
    <t>Microsoft Entra ID P2 for students - Extended Service Term</t>
  </si>
  <si>
    <t>Microsoft Entra ID P2 for Students use benefit</t>
  </si>
  <si>
    <t>Microsoft Entra ID P2 for Students use benefit - Extended Service Term</t>
  </si>
  <si>
    <t>Microsoft Entra Permissions Management</t>
  </si>
  <si>
    <t>CFQ7TTC0QQRV</t>
  </si>
  <si>
    <t>Microsoft Entra Permissions Management - Extended Service Term</t>
  </si>
  <si>
    <t>Microsoft Entra Private and Internet Access</t>
  </si>
  <si>
    <t>Remote Network Bandwidth</t>
  </si>
  <si>
    <t>CFQ7TTC0PFZR</t>
  </si>
  <si>
    <t>Remote Network Bandwidth - Extended Service Term</t>
  </si>
  <si>
    <t>Microsoft Entra Suite</t>
  </si>
  <si>
    <t>CFQ7TTC0NZT8</t>
  </si>
  <si>
    <t>Microsoft Entra Suite - Extended Service Term</t>
  </si>
  <si>
    <t>Microsoft Entra Suite Add-on for Microsoft Entra ID F2 for FLW</t>
  </si>
  <si>
    <t>Microsoft Entra Suite Add-on for Microsoft Entra ID F2 for FLW - Extended Service Term</t>
  </si>
  <si>
    <t>Microsoft Entra Suite Add-on for Microsoft Entra ID P2</t>
  </si>
  <si>
    <t>Microsoft Entra Suite Add-on for Microsoft Entra ID P2 - Extended Service Term</t>
  </si>
  <si>
    <t>Microsoft Entra Suite Add-on for Microsoft Entra ID P2 for GCC</t>
  </si>
  <si>
    <t>Microsoft Entra Suite for FLW</t>
  </si>
  <si>
    <t>Microsoft Entra Suite for FLW - Extended Service Term</t>
  </si>
  <si>
    <t>Microsoft Entra Suite for GCC</t>
  </si>
  <si>
    <t>Microsoft Entra Workload ID</t>
  </si>
  <si>
    <t>Microsoft Entra Workload ID - Extended Service Term</t>
  </si>
  <si>
    <t>CFQ7TTC0R9QB</t>
  </si>
  <si>
    <t>Microsoft Entra Workload ID for Gov - Extended Service Term</t>
  </si>
  <si>
    <t>Microsoft Entra Workload ID for EPM customers</t>
  </si>
  <si>
    <t>CFQ7TTC0RV0H</t>
  </si>
  <si>
    <t>Microsoft Entra Workload ID for EPM customers - Extended Service Term</t>
  </si>
  <si>
    <t>Microsoft Entra Workload IDs</t>
  </si>
  <si>
    <t>Microsoft Entra Workload ID for Gov</t>
  </si>
  <si>
    <t>Microsoft Extended Security Suite</t>
  </si>
  <si>
    <t>CFQ7TTC0TX5M</t>
  </si>
  <si>
    <t>Microsoft Extended Security Suite - Extended Service Term</t>
  </si>
  <si>
    <t>Microsoft Intune - Remote Help</t>
  </si>
  <si>
    <t>Microsoft Intune Remote Help</t>
  </si>
  <si>
    <t>CFQ7TTC0Q17R</t>
  </si>
  <si>
    <t>Microsoft Intune Remote Help - Extended Service Term</t>
  </si>
  <si>
    <t>Microsoft Intune Remote Help for Government</t>
  </si>
  <si>
    <t>Microsoft Intune Remote Help for Government - Extended Service Term</t>
  </si>
  <si>
    <t>Microsoft Intune Advanced Analytics</t>
  </si>
  <si>
    <t>CFQ7TTC0NGGX</t>
  </si>
  <si>
    <t>Microsoft Intune Advanced Analytics - Extended Service Term</t>
  </si>
  <si>
    <t>Microsoft Intune Advanced Analytics for FLW</t>
  </si>
  <si>
    <t>Microsoft Intune Advanced Analytics for FLW - Extended Service Term</t>
  </si>
  <si>
    <t>Microsoft Intune Advanced Analytics for Government</t>
  </si>
  <si>
    <t>Microsoft Intune Advanced Analytics for Government - Extended Service Term</t>
  </si>
  <si>
    <t>Microsoft Intune Endpoint Privilege Management</t>
  </si>
  <si>
    <t>CFQ7TTC0RP6S</t>
  </si>
  <si>
    <t>Microsoft Intune Endpoint Privilege Management - Extended Service Term</t>
  </si>
  <si>
    <t>Microsoft Intune Endpoint Privilege Management for FLW</t>
  </si>
  <si>
    <t>Microsoft Intune Endpoint Privilege Management for FLW - Extended Service Term</t>
  </si>
  <si>
    <t>Microsoft Intune Endpoint Privilege Management for Government</t>
  </si>
  <si>
    <t>Microsoft Intune Endpoint Privilege Management for Government - Extended Service Term</t>
  </si>
  <si>
    <t>Microsoft Intune Enterprise Application Management</t>
  </si>
  <si>
    <t>CFQ7TTC0N400</t>
  </si>
  <si>
    <t>Microsoft Intune Enterprise Application Management - Extended Service Term</t>
  </si>
  <si>
    <t>Microsoft Intune Enterprise Application Management FLW</t>
  </si>
  <si>
    <t>Microsoft Intune Enterprise Application Management FLW - Extended Service Term</t>
  </si>
  <si>
    <t>Microsoft Intune Enterprise Application Management for Government</t>
  </si>
  <si>
    <t>Microsoft Intune Enterprise Application Management for Government - Extended Service Term</t>
  </si>
  <si>
    <t>Microsoft Intune Plan 2</t>
  </si>
  <si>
    <t>CFQ7TTC0RP76</t>
  </si>
  <si>
    <t>Microsoft Intune Plan 2 - Extended Service Term</t>
  </si>
  <si>
    <t>Microsoft Intune Plan 2 for FLW</t>
  </si>
  <si>
    <t>Microsoft Intune Plan 2 for FLW - Extended Service Term</t>
  </si>
  <si>
    <t>Microsoft Intune Plan 2 for Government</t>
  </si>
  <si>
    <t>Microsoft Intune Plan 2 for Government - Extended Service Term</t>
  </si>
  <si>
    <t>Microsoft Intune Remote Help for FLW</t>
  </si>
  <si>
    <t>CFQ7TTC0RHGC</t>
  </si>
  <si>
    <t>Microsoft Intune Remote Help for FLW - Extended Service Term</t>
  </si>
  <si>
    <t>Microsoft Intune Suite</t>
  </si>
  <si>
    <t>CFQ7TTC0RZFJ</t>
  </si>
  <si>
    <t>Microsoft Intune Suite - Extended Service Term</t>
  </si>
  <si>
    <t>Microsoft Intune Suite for FLW</t>
  </si>
  <si>
    <t>Microsoft Intune Suite for FLW - Extended Service Term</t>
  </si>
  <si>
    <t>Microsoft Intune Suite for Government</t>
  </si>
  <si>
    <t>Microsoft Intune Suite for Government - Extended Service Term</t>
  </si>
  <si>
    <t>Microsoft MyAnalytics</t>
  </si>
  <si>
    <t>CFQ7TTC0LHZB</t>
  </si>
  <si>
    <t>Microsoft MyAnalytics - Extended Service Term</t>
  </si>
  <si>
    <t>Microsoft MyAnalytics for faculty</t>
  </si>
  <si>
    <t>Microsoft MyAnalytics for faculty - Extended Service Term</t>
  </si>
  <si>
    <t>Microsoft MyAnalytics for students</t>
  </si>
  <si>
    <t>Microsoft MyAnalytics for students - Extended Service Term</t>
  </si>
  <si>
    <t>Microsoft Purview Suite</t>
  </si>
  <si>
    <t>Compliance Manager Premium Assessment Add-On - Extended Service Term</t>
  </si>
  <si>
    <t>Compliance Manager Premium Assessment Add-On EDU - Extended Service Term</t>
  </si>
  <si>
    <t>Compliance Manager Premium Assessment Add-On for GCC - Extended Service Term</t>
  </si>
  <si>
    <t>Microsoft Purview Suite - 3 year - Extended Service Term</t>
  </si>
  <si>
    <t>Microsoft Purview Suite - Extended Service Term</t>
  </si>
  <si>
    <t>Microsoft Purview Suite GCC - Extended Service Term</t>
  </si>
  <si>
    <t>Microsoft Purview Suite Edu</t>
  </si>
  <si>
    <t>Microsoft Purview Suite Edu - Student Use Benefit Add-on - Extended Service Term</t>
  </si>
  <si>
    <t>Microsoft Purview Suite Edu for faculty - Extended Service Term</t>
  </si>
  <si>
    <t>Microsoft Purview Suite Edu for students - Extended Service Term</t>
  </si>
  <si>
    <t>Microsoft Sales Copilot</t>
  </si>
  <si>
    <t>CFQ7TTC0R4JH</t>
  </si>
  <si>
    <t>Microsoft Sales Copilot - Extended Service Term</t>
  </si>
  <si>
    <t>Microsoft Sales Copilot for Faculty</t>
  </si>
  <si>
    <t>Microsoft Sales Copilot for Faculty - Extended Service Term</t>
  </si>
  <si>
    <t>Microsoft Teams Audio Conferencing select dial-out</t>
  </si>
  <si>
    <t>Microsoft Teams Audio Conferencing includes dial-out to USA/CAN only</t>
  </si>
  <si>
    <t>CFQ7TTC0JXCZ</t>
  </si>
  <si>
    <t>Microsoft Teams Audio Conferencing includes dial-out to USA/CAN only - Extended Service Term</t>
  </si>
  <si>
    <t>Microsoft Teams Audio Conferencing with dial-out to USA/CAN for GCC</t>
  </si>
  <si>
    <t>Microsoft Teams Audio Conferencing with dial-out to USA/CAN for GCC - Extended Service Term</t>
  </si>
  <si>
    <t>Microsoft Teams Audio Conferencing with dial-out to USA/CAN for India-based users</t>
  </si>
  <si>
    <t>Microsoft Teams Audio Conferencing with dial-out to USA/CAN for India-based users - Extended Service Term</t>
  </si>
  <si>
    <t>Tata Communications Connections for Microsoft Teams Audio Conferencing with dial-out to USA/CAN</t>
  </si>
  <si>
    <t>Tata Communications Connections for Microsoft Teams Audio Conferencing with dial-out to USA/CAN - Extended Service Term</t>
  </si>
  <si>
    <t>VIL for Microsoft Teams Audio Conferencing with dial-out to USA/CAN</t>
  </si>
  <si>
    <t>VIL for Microsoft Teams Audio Conferencing with dial-out to USA/CAN - Extended Service Term</t>
  </si>
  <si>
    <t>Microsoft Teams Calling Plan pay-as-you-go</t>
  </si>
  <si>
    <t>Microsoft Teams Calling Plan pay-as-you-go (country zone 1 - US)</t>
  </si>
  <si>
    <t>CFQ7TTC0QR79</t>
  </si>
  <si>
    <t>Microsoft Teams Calling Plan pay-as-you-go (country zone 1 - US) - Extended Service Term</t>
  </si>
  <si>
    <t>Microsoft Teams Calling Plan pay-as-you-go (country zone 1 - US) for faculty</t>
  </si>
  <si>
    <t>Microsoft Teams Calling Plan pay-as-you-go (country zone 1 - US) for faculty - Extended Service Term</t>
  </si>
  <si>
    <t>0030</t>
  </si>
  <si>
    <t>Microsoft Teams Calling Plan pay-as-you-go (country zone 1 - US) for students</t>
  </si>
  <si>
    <t>Microsoft Teams Calling Plan pay-as-you-go (country zone 1 - US) for students - Extended Service Term</t>
  </si>
  <si>
    <t>Microsoft Teams Calling Plan pay-as-you-go (country zone 1)</t>
  </si>
  <si>
    <t>Microsoft Teams Calling Plan pay-as-you-go (country zone 1) - Extended Service Term</t>
  </si>
  <si>
    <t>Microsoft Teams Calling Plan pay-as-you-go (country zone 2)</t>
  </si>
  <si>
    <t>Microsoft Teams Calling Plan pay-as-you-go (country zone 2) - Extended Service Term</t>
  </si>
  <si>
    <t>Microsoft Teams Calling Plan pay-as-you-go (country zone 1 - UK/Canada)</t>
  </si>
  <si>
    <t>CFQ7TTC0R7PJ</t>
  </si>
  <si>
    <t>CFQ7TTC0R7PW</t>
  </si>
  <si>
    <t>Microsoft Teams Calling Plan PAYG (Brazil)</t>
  </si>
  <si>
    <t>CFQ7TTC0R7Q2</t>
  </si>
  <si>
    <t>Microsoft Teams Calling Plan PAYG (Mexico)</t>
  </si>
  <si>
    <t>CFQ7TTC0R7N6</t>
  </si>
  <si>
    <t>Microsoft Teams Calling Plans (domestic, outside-US)</t>
  </si>
  <si>
    <t>CFQ7TTC0JL91</t>
  </si>
  <si>
    <t>Microsoft Teams Calling Plans (domestic, US)</t>
  </si>
  <si>
    <t>CFQ7TTC0JL90</t>
  </si>
  <si>
    <t>Microsoft Teams Calling Plans (international &amp; domestic, outside-US)</t>
  </si>
  <si>
    <t>CFQ7TTC0JL11</t>
  </si>
  <si>
    <t>Microsoft Teams Calling Plans (international &amp; domestic, US)</t>
  </si>
  <si>
    <t>CFQ7TTC0JL10</t>
  </si>
  <si>
    <t>Microsoft Teams Domestic and International Calling Plan PAYG (Brazil)</t>
  </si>
  <si>
    <t>CFQ7TTC0R7Q6</t>
  </si>
  <si>
    <t>Microsoft Teams Domestic and International Calling Plan PAYG (Mexico)</t>
  </si>
  <si>
    <t>CFQ7TTC0R7N9</t>
  </si>
  <si>
    <t>Microsoft Teams Domestic Calling Plan PAYG (Brazil)</t>
  </si>
  <si>
    <t>CFQ7TTC0R7PS</t>
  </si>
  <si>
    <t>Microsoft Teams Domestic Calling Plan PAYG (Mexico)</t>
  </si>
  <si>
    <t>CFQ7TTC0R7NC</t>
  </si>
  <si>
    <t>Microsoft Teams Phone for India</t>
  </si>
  <si>
    <t>CFQ7TTC0MG75</t>
  </si>
  <si>
    <t>Microsoft Teams Phone for India - Extended Service Term</t>
  </si>
  <si>
    <t>Microsoft Teams Phone with Calling Plan</t>
  </si>
  <si>
    <t>Microsoft Teams Phone with Calling Plan (country zone 1 - UK/Canada) Faculty</t>
  </si>
  <si>
    <t>CFQ7TTC0HL73</t>
  </si>
  <si>
    <t>Microsoft Teams Phone with Calling Plan (country zone 1 - UK/Canada) Faculty - Extended Service Term</t>
  </si>
  <si>
    <t>Microsoft Teams Phone with Calling Plan (country zone 1 - UK/Canada) Student</t>
  </si>
  <si>
    <t>Microsoft Teams Phone with Calling Plan (country zone 1 - UK/Canada) Student - Extended Service Term</t>
  </si>
  <si>
    <t>Microsoft Teams Phone with Calling Plan (country zone 2) Faculty</t>
  </si>
  <si>
    <t>Microsoft Teams Phone with Calling Plan (country zone 2) Faculty - Extended Service Term</t>
  </si>
  <si>
    <t>Microsoft Teams Phone with Calling Plan (country zone 2) Student</t>
  </si>
  <si>
    <t>Microsoft Teams Phone with Calling Plan (country zone 2) Student - Extended Service Term</t>
  </si>
  <si>
    <t>Teams Phone with Calling Plan (country zone 1 - US)</t>
  </si>
  <si>
    <t>Teams Phone with Calling Plan (country zone 1 - US) - Extended Service Term</t>
  </si>
  <si>
    <t>Teams Phone with Calling Plan (country zone 1 - US) for faculty</t>
  </si>
  <si>
    <t>Teams Phone with Calling Plan (country zone 1 - US) for faculty - Extended Service Term</t>
  </si>
  <si>
    <t>Teams Phone with Calling Plan (country zone 1 - US) for student</t>
  </si>
  <si>
    <t>Teams Phone with Calling Plan (country zone 1 - US) for student - Extended Service Term</t>
  </si>
  <si>
    <t>Teams Phone with Calling Plan for GCC</t>
  </si>
  <si>
    <t>Teams Phone with Calling Plan for GCC - Extended Service Term</t>
  </si>
  <si>
    <t>Teams Phone with domestic calling (country zone 1 - UK/Canada)</t>
  </si>
  <si>
    <t>Teams Phone with domestic calling (country zone 1 - UK/Canada) - Extended Service Term</t>
  </si>
  <si>
    <t>Teams Phone with domestic calling (country zone 2)</t>
  </si>
  <si>
    <t>Teams Phone with domestic calling (country zone 2) - Extended Service Term</t>
  </si>
  <si>
    <t>Microsoft Teams Phone with​ International Calling</t>
  </si>
  <si>
    <t>Teams Phone with international calling</t>
  </si>
  <si>
    <t>CFQ7TTC0MJ23</t>
  </si>
  <si>
    <t>Teams Phone with international calling - Extended Service Term</t>
  </si>
  <si>
    <t>Microsoft Teams Phone with​ Pay as you go Calling</t>
  </si>
  <si>
    <t>Teams Phone with pay-as-you-go calling (country zone 1 - US)</t>
  </si>
  <si>
    <t>CFQ7TTC0MJ20</t>
  </si>
  <si>
    <t>Teams Phone with pay-as-you-go calling (country zone 1 - US) - Extended Service Term</t>
  </si>
  <si>
    <t>Teams Phone with pay-as-you-go calling (country zone 1)</t>
  </si>
  <si>
    <t>Teams Phone with pay-as-you-go calling (country zone 1) - Extended Service Term</t>
  </si>
  <si>
    <t>Teams Phone with pay-as-you-go calling (country zone 2)</t>
  </si>
  <si>
    <t>Teams Phone with pay-as-you-go calling (country zone 2) - Extended Service Term</t>
  </si>
  <si>
    <t>Microsoft Teams Rooms Pro</t>
  </si>
  <si>
    <t>CFQ7TTC0QW7C</t>
  </si>
  <si>
    <t>Microsoft Teams Rooms Pro - Extended Service Term</t>
  </si>
  <si>
    <t>Microsoft Teams Rooms Pro for EDU</t>
  </si>
  <si>
    <t>Microsoft Teams Rooms Pro for EDU - Extended Service Term</t>
  </si>
  <si>
    <t>Microsoft Teams Rooms Pro for GCC</t>
  </si>
  <si>
    <t>Microsoft Teams Rooms Pro for GCC - Extended Service Term</t>
  </si>
  <si>
    <t>Microsoft Teams Rooms Pro without Audio Conferencing</t>
  </si>
  <si>
    <t>Microsoft Teams Rooms Pro without Audio Conferencing - Extended Service Term</t>
  </si>
  <si>
    <t>Microsoft Teams Rooms Pro without Audio Conferencing for EDU</t>
  </si>
  <si>
    <t>Microsoft Teams Rooms Pro without Audio Conferencing for EDU - Extended Service Term</t>
  </si>
  <si>
    <t>Microsoft Teams Rooms Standard</t>
  </si>
  <si>
    <t>CFQ7TTC0LH0S</t>
  </si>
  <si>
    <t>Microsoft Teams Rooms Standard - Extended Service Term</t>
  </si>
  <si>
    <t>Microsoft Teams Rooms Standard without Audio Conferencing</t>
  </si>
  <si>
    <t>Microsoft Teams Rooms Standard without Audio Conferencing - Extended Service Term</t>
  </si>
  <si>
    <t>Microsoft Teams Shared Devices</t>
  </si>
  <si>
    <t>CFQ7TTC0LH0V</t>
  </si>
  <si>
    <t>Microsoft Teams Shared Devices - Extended Service Term</t>
  </si>
  <si>
    <t>Microsoft Teams Shared Devices for faculty</t>
  </si>
  <si>
    <t>Microsoft Teams Shared Devices for faculty - Extended Service Term</t>
  </si>
  <si>
    <t>Microsoft Teams Shared Devices for GCC</t>
  </si>
  <si>
    <t>Microsoft Teams Shared Devices for GCC - Extended Service Term</t>
  </si>
  <si>
    <t>Microsoft Teams Shared Devices for students</t>
  </si>
  <si>
    <t>Microsoft Teams Shared Devices for students - Extended Service Term</t>
  </si>
  <si>
    <t>Microsoft Teams Shared Space - Single Space</t>
  </si>
  <si>
    <t>Microsoft Teams Shared Space - Single Space - Extended Service Term</t>
  </si>
  <si>
    <t>Microsoft Teams Shared Space - Single Space Education</t>
  </si>
  <si>
    <t>Microsoft Teams Shared Space - Single Space Education - Extended Service Term</t>
  </si>
  <si>
    <t>Microsoft Teams Shared Space - Single Space GCC</t>
  </si>
  <si>
    <t>Microsoft Teams Shared Space - Single Space GCC - Extended Service Term</t>
  </si>
  <si>
    <t>Microsoft Viva Employee Communications and Communities</t>
  </si>
  <si>
    <t>CFQ7TTC0S1K7</t>
  </si>
  <si>
    <t>Microsoft Viva Employee Communications and Communities - Extended Service Term</t>
  </si>
  <si>
    <t>Microsoft Viva Glint</t>
  </si>
  <si>
    <t>CFQ7TTC0MN4B</t>
  </si>
  <si>
    <t>Microsoft Viva Glint - Extended Service Term</t>
  </si>
  <si>
    <t>Microsoft Viva Goals</t>
  </si>
  <si>
    <t>CFQ7TTC0PW0V</t>
  </si>
  <si>
    <t>Microsoft Viva Goals - Extended Service Term</t>
  </si>
  <si>
    <t>Microsoft Viva Goals for Faculty</t>
  </si>
  <si>
    <t>Microsoft Viva Goals for Faculty - Extended Service Term</t>
  </si>
  <si>
    <t>Microsoft Viva Goals for Students</t>
  </si>
  <si>
    <t>Microsoft Viva Goals for Students - Extended Service Term</t>
  </si>
  <si>
    <t>Microsoft Viva Insights</t>
  </si>
  <si>
    <t>CFQ7TTC0LHWF</t>
  </si>
  <si>
    <t>Microsoft Viva Insights - Extended Service Term</t>
  </si>
  <si>
    <t>Microsoft Viva Insights Capacity</t>
  </si>
  <si>
    <t>Microsoft Viva Insights Capacity - Extended Service Term</t>
  </si>
  <si>
    <t>Microsoft Viva Insights Faculty</t>
  </si>
  <si>
    <t>Microsoft Viva Insights Faculty - Extended Service Term</t>
  </si>
  <si>
    <t>Microsoft Viva Suite</t>
  </si>
  <si>
    <t>CFQ7TTC0J7V7</t>
  </si>
  <si>
    <t>Microsoft Viva Suite for Faculty</t>
  </si>
  <si>
    <t>Microsoft Viva Suite 1</t>
  </si>
  <si>
    <t>Microsoft Viva Suite - Extended Service Term</t>
  </si>
  <si>
    <t>Microsoft Viva Suite for Faculty - Extended Service Term</t>
  </si>
  <si>
    <t>Microsoft Viva Topics</t>
  </si>
  <si>
    <t>CFQ7TTC0HDJW</t>
  </si>
  <si>
    <t>Microsoft Viva Topics - Extended Service Term</t>
  </si>
  <si>
    <t>Microsoft Viva Topics for faculty</t>
  </si>
  <si>
    <t>Microsoft Viva Topics for faculty - Extended Service Term</t>
  </si>
  <si>
    <t>Microsoft Viva Topics for GCC</t>
  </si>
  <si>
    <t>Microsoft Viva Topics for GCC - Extended Service Term</t>
  </si>
  <si>
    <t>Microsoft Viva Topics for students</t>
  </si>
  <si>
    <t>Microsoft Viva Topics for students - Extended Service Term</t>
  </si>
  <si>
    <t>Office 365 A1</t>
  </si>
  <si>
    <t>Office 365 A1 for faculty</t>
  </si>
  <si>
    <t>CFQ7TTC0LHPK</t>
  </si>
  <si>
    <t>Office 365 A1 for faculty - Extended Service Term</t>
  </si>
  <si>
    <t>Office 365 A1 for faculty (for Device)</t>
  </si>
  <si>
    <t>Office 365 A1 for faculty (for Device) - Extended Service Term</t>
  </si>
  <si>
    <t>Office 365 A1 for students</t>
  </si>
  <si>
    <t>Office 365 A1 for students - Extended Service Term</t>
  </si>
  <si>
    <t>Office 365 A1 for students (for Device)</t>
  </si>
  <si>
    <t>Office 365 A1 for students (for Device) - Extended Service Term</t>
  </si>
  <si>
    <t>2554</t>
  </si>
  <si>
    <t>Office 365 A3</t>
  </si>
  <si>
    <t>Office 365 A3 for faculty</t>
  </si>
  <si>
    <t>CFQ7TTC0LHPP</t>
  </si>
  <si>
    <t>Office 365 A3 for faculty - Extended Service Term</t>
  </si>
  <si>
    <t>Office 365 A3 for students</t>
  </si>
  <si>
    <t>Office 365 A3 for students - Extended Service Term</t>
  </si>
  <si>
    <t>Office 365 A3 student use benefit</t>
  </si>
  <si>
    <t>Office 365 A3 student use benefit - Extended Service Term</t>
  </si>
  <si>
    <t>Office 365 A5</t>
  </si>
  <si>
    <t>Office 365 A5 for faculty</t>
  </si>
  <si>
    <t>CFQ7TTC0LHPM</t>
  </si>
  <si>
    <t>Office 365 A5 for faculty - Extended Service Term</t>
  </si>
  <si>
    <t>003M</t>
  </si>
  <si>
    <t>Office 365 A5 for students</t>
  </si>
  <si>
    <t>Office 365 A5 for students - Extended Service Term</t>
  </si>
  <si>
    <t>003L</t>
  </si>
  <si>
    <t>Office 365 A5 student use benefit</t>
  </si>
  <si>
    <t>Office 365 A5 student use benefit - Extended Service Term</t>
  </si>
  <si>
    <t>003H</t>
  </si>
  <si>
    <t>Office 365 A5 with Calling Minutes for Faculty</t>
  </si>
  <si>
    <t>Office 365 A5 with Calling Minutes for Faculty - Extended Service Term</t>
  </si>
  <si>
    <t>Office 365 A5 with Calling Minutes for Students</t>
  </si>
  <si>
    <t>Office 365 A5 with Calling Minutes for Students - Extended Service Term</t>
  </si>
  <si>
    <t>Office 365 A5 without Audio Conferencing for faculty</t>
  </si>
  <si>
    <t>Office 365 A5 without Audio Conferencing for faculty - Extended Service Term</t>
  </si>
  <si>
    <t>Office 365 A5 without Audio Conferencing for students</t>
  </si>
  <si>
    <t>Office 365 A5 without Audio Conferencing for students - Extended Service Term</t>
  </si>
  <si>
    <t>0037</t>
  </si>
  <si>
    <t>Office 365 A5 without Audio Conferencing for students use benefit</t>
  </si>
  <si>
    <t>Office 365 A5 without Audio Conferencing for students use benefit - Extended Service Term</t>
  </si>
  <si>
    <t>Office 365 E1</t>
  </si>
  <si>
    <t>CFQ7TTC0LF8Q</t>
  </si>
  <si>
    <t>Office 365 E1 - Extended Service Term</t>
  </si>
  <si>
    <t>00K7</t>
  </si>
  <si>
    <t>00KD</t>
  </si>
  <si>
    <t>Office 365 E1 (no Teams)</t>
  </si>
  <si>
    <t>Office 365 E1 (no Teams) - Extended Service Term</t>
  </si>
  <si>
    <t>0054</t>
  </si>
  <si>
    <t>Office 365 E1 (no Teams) Custom</t>
  </si>
  <si>
    <t>Office 365 E1 (no Teams) Custom - Extended Service Term</t>
  </si>
  <si>
    <t>00K4</t>
  </si>
  <si>
    <t>Office 365 E1 EEA (no Teams)</t>
  </si>
  <si>
    <t>Office 365 E1 EEA (no Teams) - Extended Service Term</t>
  </si>
  <si>
    <t>00K3</t>
  </si>
  <si>
    <t>Office 365 E3</t>
  </si>
  <si>
    <t>CFQ7TTC0LF8R</t>
  </si>
  <si>
    <t>Office 365 E3 - Extended Service Term</t>
  </si>
  <si>
    <t>Office 365 E3 (no Teams)</t>
  </si>
  <si>
    <t>Office 365 E3 (no Teams) - Extended Service Term</t>
  </si>
  <si>
    <t>00FQ</t>
  </si>
  <si>
    <t>Office 365 E3 (no Teams) Custom</t>
  </si>
  <si>
    <t>Office 365 E3 (no Teams) Custom - Extended Service Term</t>
  </si>
  <si>
    <t>Office 365 E3 EEA (no Teams)</t>
  </si>
  <si>
    <t>Office 365 E3 EEA (no Teams) - Extended Service Term</t>
  </si>
  <si>
    <t>Office 365 E3 Custom</t>
  </si>
  <si>
    <t>CFQ7TTC10VNT</t>
  </si>
  <si>
    <t>Office 365 E3 Custom - Extended Service Term</t>
  </si>
  <si>
    <t>Office 365 E5</t>
  </si>
  <si>
    <t>CFQ7TTC0LF8S</t>
  </si>
  <si>
    <t>Office 365 E5 - Extended Service Term</t>
  </si>
  <si>
    <t>Office 365 E5 (no Teams)</t>
  </si>
  <si>
    <t>Office 365 E5 (no Teams) - Extended Service Term</t>
  </si>
  <si>
    <t>009S</t>
  </si>
  <si>
    <t>Office 365 E5 (no Teams) without Audio Conferencing</t>
  </si>
  <si>
    <t>Office 365 E5 (no Teams) without Audio Conferencing - Extended Service Term</t>
  </si>
  <si>
    <t>009P</t>
  </si>
  <si>
    <t>Office 365 E5 (no Teams) Custom</t>
  </si>
  <si>
    <t>Office 365 E5 (no Teams) Custom - Extended Service Term</t>
  </si>
  <si>
    <t>009N</t>
  </si>
  <si>
    <t>Office 365 E5 EEA (no Teams)</t>
  </si>
  <si>
    <t>Office 365 E5 EEA (no Teams) - Extended Service Term</t>
  </si>
  <si>
    <t>009L</t>
  </si>
  <si>
    <t>Office 365 E5 EEA (no Teams) without Audio Conferencing</t>
  </si>
  <si>
    <t>Office 365 E5 EEA (no Teams) without Audio Conferencing - Extended Service Term</t>
  </si>
  <si>
    <t>009K</t>
  </si>
  <si>
    <t>Office 365 E5 with Calling Minutes</t>
  </si>
  <si>
    <t>Office 365 E5 with Calling Minutes - Extended Service Term</t>
  </si>
  <si>
    <t>009H</t>
  </si>
  <si>
    <t>Office 365 E5 without Audio Conferencing</t>
  </si>
  <si>
    <t>Office 365 E5 without Audio Conferencing - Extended Service Term</t>
  </si>
  <si>
    <t>009C</t>
  </si>
  <si>
    <t>009G</t>
  </si>
  <si>
    <t>Office 365 Education for Jio</t>
  </si>
  <si>
    <t>Office 365 Education for Jio for faculty</t>
  </si>
  <si>
    <t>CFQ7TTC0R7PP</t>
  </si>
  <si>
    <t>Office 365 Education for Jio for faculty - Extended Service Term</t>
  </si>
  <si>
    <t>Office 365 Education for Jio for students</t>
  </si>
  <si>
    <t>Office 365 Education for Jio for students - Extended Service Term</t>
  </si>
  <si>
    <t>Office 365 G1</t>
  </si>
  <si>
    <t>Office 365 G1 GCC</t>
  </si>
  <si>
    <t>CFQ7TTC0J1Z9</t>
  </si>
  <si>
    <t>Office 365 G1 GCC - Extended Service Term</t>
  </si>
  <si>
    <t>Office 365 G3</t>
  </si>
  <si>
    <t>Office 365 E3 without Microsoft 365 Apps</t>
  </si>
  <si>
    <t>CFQ7TTC0LH15</t>
  </si>
  <si>
    <t>Office 365 E3 without Microsoft 365 Apps - Extended Service Term</t>
  </si>
  <si>
    <t>Office 365 G3 GCC</t>
  </si>
  <si>
    <t>CFQ7TTC0J1Z4</t>
  </si>
  <si>
    <t>Office 365 G3 GCC - Extended Service Term</t>
  </si>
  <si>
    <t>Office 365 G5</t>
  </si>
  <si>
    <t>Office 365 G5 GCC</t>
  </si>
  <si>
    <t>CFQ7TTC0J1ZT</t>
  </si>
  <si>
    <t>Office 365 G5 GCC - Extended Service Term</t>
  </si>
  <si>
    <t>Privacy Management</t>
  </si>
  <si>
    <t>Privacy Management - risk</t>
  </si>
  <si>
    <t>CFQ7TTC0HVZW</t>
  </si>
  <si>
    <t>Privacy Management - risk - Extended Service Term</t>
  </si>
  <si>
    <t>003F</t>
  </si>
  <si>
    <t>Privacy Management - risk for EDU</t>
  </si>
  <si>
    <t>Privacy Management - risk for EDU - Extended Service Term</t>
  </si>
  <si>
    <t>Privacy Management - risk GCC</t>
  </si>
  <si>
    <t>Privacy Management - risk GCC - Extended Service Term</t>
  </si>
  <si>
    <t>Privacy Management - subject rights request (1)</t>
  </si>
  <si>
    <t>Privacy Management - subject rights request (1) - Extended Service Term</t>
  </si>
  <si>
    <t>Privacy Management - subject rights request (1) for EDU</t>
  </si>
  <si>
    <t>Privacy Management - subject rights request (1) for EDU - Extended Service Term</t>
  </si>
  <si>
    <t>Privacy Management - subject rights request (1) GCC</t>
  </si>
  <si>
    <t>Privacy Management - subject rights request (1) GCC - Extended Service Term</t>
  </si>
  <si>
    <t>Privacy Management - subject rights request (10)</t>
  </si>
  <si>
    <t>Privacy Management - subject rights request (10) - Extended Service Term</t>
  </si>
  <si>
    <t>Privacy Management - subject rights request (10) for EDU</t>
  </si>
  <si>
    <t>Privacy Management - subject rights request (10) for EDU - Extended Service Term</t>
  </si>
  <si>
    <t>Privacy Management - subject rights request (10) GCC</t>
  </si>
  <si>
    <t>Privacy Management - subject rights request (10) GCC - Extended Service Term</t>
  </si>
  <si>
    <t>0032</t>
  </si>
  <si>
    <t>Privacy Management - subject rights request (100)</t>
  </si>
  <si>
    <t>Privacy Management - subject rights request (100) - Extended Service Term</t>
  </si>
  <si>
    <t>Privacy Management - subject rights request (100) for EDU</t>
  </si>
  <si>
    <t>Privacy Management - subject rights request (100) for EDU - Extended Service Term</t>
  </si>
  <si>
    <t>Privacy Management - subject rights request (100) GCC</t>
  </si>
  <si>
    <t>Privacy Management - subject rights request (100) GCC - Extended Service Term</t>
  </si>
  <si>
    <t>Remote Work Starter Plan</t>
  </si>
  <si>
    <t>CFQ7TTC0GZ1F</t>
  </si>
  <si>
    <t>Remote Work Starter Plan - Extended Service Term</t>
  </si>
  <si>
    <t>RETIRED - Office 365 E4</t>
  </si>
  <si>
    <t>CFQ7TTC0LF8P</t>
  </si>
  <si>
    <t>SharePoint advanced management</t>
  </si>
  <si>
    <t>SharePoint advanced management plan 1</t>
  </si>
  <si>
    <t>CFQ7TTC0R551</t>
  </si>
  <si>
    <t>SharePoint advanced management plan 1 - Extended Service Term</t>
  </si>
  <si>
    <t>SharePoint Advanced Management Plan 1 GCC</t>
  </si>
  <si>
    <t>SharePoint Advanced Management Plan 1 GCC - Extended Service Term</t>
  </si>
  <si>
    <t>SharePoint Premium</t>
  </si>
  <si>
    <t>CFQ7TTC0PT1K</t>
  </si>
  <si>
    <t>SharePoint Premium - Extended Service Term</t>
  </si>
  <si>
    <t>SharePoint Premium Faculty</t>
  </si>
  <si>
    <t>SharePoint Premium Faculty - Extended Service Term</t>
  </si>
  <si>
    <t>SharePoint Premium GCC</t>
  </si>
  <si>
    <t>SharePoint Premium GCC - Extended Service Term</t>
  </si>
  <si>
    <t>SharePoint Premium Student</t>
  </si>
  <si>
    <t>SharePoint Premium Student - Extended Service Term</t>
  </si>
  <si>
    <t>SharePoint Syntex</t>
  </si>
  <si>
    <t>CFQ7TTC0HDK2</t>
  </si>
  <si>
    <t>SharePoint Syntex - Extended Service Term</t>
  </si>
  <si>
    <t>SharePoint Syntex for faculty</t>
  </si>
  <si>
    <t>SharePoint Syntex for faculty - Extended Service Term</t>
  </si>
  <si>
    <t>SharePoint Syntex for GCC</t>
  </si>
  <si>
    <t>SharePoint Syntex for GCC - Extended Service Term</t>
  </si>
  <si>
    <t>SharePoint Syntex for students</t>
  </si>
  <si>
    <t>SharePoint Syntex for students - Extended Service Term</t>
  </si>
  <si>
    <t>Softbank Calling for Office 365</t>
  </si>
  <si>
    <t>CFQ7TTC0LHWT</t>
  </si>
  <si>
    <t>Softbank Calling for Office 365 - Extended Service Term</t>
  </si>
  <si>
    <t>Tata Audio Conferencing</t>
  </si>
  <si>
    <t>Tata Communications Connections for Microsoft Teams</t>
  </si>
  <si>
    <t>CFQ7TTC0LHRN</t>
  </si>
  <si>
    <t>Tata Communications Connections for Microsoft Teams - Extended Service Term</t>
  </si>
  <si>
    <t>Tata Communications Connections for Microsoft Teams [Original]</t>
  </si>
  <si>
    <t>Tata Communications Connections for Microsoft Teams [Original] - Extended Service Term</t>
  </si>
  <si>
    <t>Tata Communications Connections for Microsoft Teams for E5</t>
  </si>
  <si>
    <t>Tata Communications Connections for Microsoft Teams for E5 - Extended Service Term</t>
  </si>
  <si>
    <t>Tata Communications Connections for Microsoft Teams for E5 [Original]</t>
  </si>
  <si>
    <t>Tata Communications Connections for Microsoft Teams for E5 [Original] - Extended Service Term</t>
  </si>
  <si>
    <t>Teams Events</t>
  </si>
  <si>
    <t>Teams Events Attendee Pack - 100k attendees</t>
  </si>
  <si>
    <t>CFQ7TTBZZJP0</t>
  </si>
  <si>
    <t>Teams Events Attendee Pack - 100k attendees - Extended Service Term</t>
  </si>
  <si>
    <t>Teams Events Attendee Pack - 100k attendees for Faculty</t>
  </si>
  <si>
    <t>Teams Events Attendee Pack - 100k attendees for Faculty - Extended Service Term</t>
  </si>
  <si>
    <t>Teams Events Attendee Pack - 100k attendees for GCC</t>
  </si>
  <si>
    <t>Teams Events Attendee Pack - 100k attendees for GCC - Extended Service Term</t>
  </si>
  <si>
    <t>Teams Events Attendee Pack - 10k attendees</t>
  </si>
  <si>
    <t>Teams Events Attendee Pack - 10k attendees - Extended Service Term</t>
  </si>
  <si>
    <t>Teams Events Attendee Pack - 10k attendees for Faculty</t>
  </si>
  <si>
    <t>Teams Events Attendee Pack - 10k attendees for Faculty - Extended Service Term</t>
  </si>
  <si>
    <t>Teams Events Attendee Pack - 10k attendees for GCC</t>
  </si>
  <si>
    <t>Teams Events Attendee Pack - 10k attendees for GCC - Extended Service Term</t>
  </si>
  <si>
    <t>Teams Events Attendee Pack - 20k attendees</t>
  </si>
  <si>
    <t>Teams Events Attendee Pack - 20k attendees - Extended Service Term</t>
  </si>
  <si>
    <t>Teams Events Attendee Pack - 20k attendees for Faculty</t>
  </si>
  <si>
    <t>Teams Events Attendee Pack - 20k attendees for Faculty - Extended Service Term</t>
  </si>
  <si>
    <t>Teams Events Attendee Pack - 20k attendees for GCC</t>
  </si>
  <si>
    <t>Teams Events Attendee Pack - 20k attendees for GCC - Extended Service Term</t>
  </si>
  <si>
    <t>Teams Events Attendee Pack - 35k attendees</t>
  </si>
  <si>
    <t>Teams Events Attendee Pack - 35k attendees - Extended Service Term</t>
  </si>
  <si>
    <t>Teams Events Attendee Pack - 35k attendees for Faculty</t>
  </si>
  <si>
    <t>Teams Events Attendee Pack - 35k attendees for Faculty - Extended Service Term</t>
  </si>
  <si>
    <t>Teams Events Attendee Pack - 35k attendees for GCC</t>
  </si>
  <si>
    <t>Teams Events Attendee Pack - 35k attendees for GCC - Extended Service Term</t>
  </si>
  <si>
    <t>Teams Events Attendee Pack - 50k attendees</t>
  </si>
  <si>
    <t>Teams Events Attendee Pack - 50k attendees - Extended Service Term</t>
  </si>
  <si>
    <t>Teams Events Attendee Pack - 50k attendees for Faculty</t>
  </si>
  <si>
    <t>Teams Events Attendee Pack - 50k attendees for Faculty - Extended Service Term</t>
  </si>
  <si>
    <t>Teams Events Attendee Pack - 50k attendees for GCC</t>
  </si>
  <si>
    <t>Teams Events Attendee Pack - 50k attendees for GCC - Extended Service Term</t>
  </si>
  <si>
    <t>Teams Events Attendee Pack - 5k attendees</t>
  </si>
  <si>
    <t>Teams Events Attendee Pack - 5k attendees - Extended Service Term</t>
  </si>
  <si>
    <t>Teams Events Attendee Pack - 5k attendees for Faculty</t>
  </si>
  <si>
    <t>Teams Events Attendee Pack - 5k attendees for Faculty - Extended Service Term</t>
  </si>
  <si>
    <t>Teams Events Attendee Pack - 5k attendees for GCC</t>
  </si>
  <si>
    <t>Teams Events Attendee Pack - 5k attendees for GCC - Extended Service Term</t>
  </si>
  <si>
    <t>Teams Events Attendee Pack - 75k attendees</t>
  </si>
  <si>
    <t>Teams Events Attendee Pack - 75k attendees - Extended Service Term</t>
  </si>
  <si>
    <t>Teams Events Attendee Pack - 75k attendees for Faculty</t>
  </si>
  <si>
    <t>Teams Events Attendee Pack - 75k attendees for Faculty - Extended Service Term</t>
  </si>
  <si>
    <t>Teams Events Attendee Pack - 75k attendees for GCC</t>
  </si>
  <si>
    <t>Teams Events Attendee Pack - 75k attendees for GCC - Extended Service Term</t>
  </si>
  <si>
    <t>Teams Phone Mobile</t>
  </si>
  <si>
    <t>CFQ7TTC0J1GC</t>
  </si>
  <si>
    <t>Teams Phone Mobile - Extended Service Term</t>
  </si>
  <si>
    <t>Teams Phone Mobile for EDU</t>
  </si>
  <si>
    <t>Teams Phone Mobile for EDU - Extended Service Term</t>
  </si>
  <si>
    <t>Teams Phone Mobile for GCC</t>
  </si>
  <si>
    <t>Teams Phone Mobile for GCC - Extended Service Term</t>
  </si>
  <si>
    <t>Teams Phone with domestic and international calling</t>
  </si>
  <si>
    <t>CFQ7TTC0PGMW</t>
  </si>
  <si>
    <t>Teams Phone with domestic and international calling - Extended Service Term</t>
  </si>
  <si>
    <t>Teams Premium</t>
  </si>
  <si>
    <t>Microsoft Teams Premium</t>
  </si>
  <si>
    <t>CFQ7TTC0RM8K</t>
  </si>
  <si>
    <t>Microsoft Teams Premium - Extended Service Term</t>
  </si>
  <si>
    <t>Microsoft Teams Premium Education</t>
  </si>
  <si>
    <t>Microsoft Teams Premium Education - Extended Service Term</t>
  </si>
  <si>
    <t>Microsoft Teams Premium for GCC - Extended Service Term</t>
  </si>
  <si>
    <t>Microsoft Teams Premium GCC</t>
  </si>
  <si>
    <t>Microsoft Teams Premium GCC - Extended Service Term</t>
  </si>
  <si>
    <t>Teams Premium for Faculty - Extended Service Term</t>
  </si>
  <si>
    <t>Teams Premium for Students - Extended Service Term</t>
  </si>
  <si>
    <t>Teams Premium Introductory Pricing</t>
  </si>
  <si>
    <t>Microsoft Teams Premium for GCC Introductory Pricing</t>
  </si>
  <si>
    <t>Microsoft Teams Premium Introductory Pricing</t>
  </si>
  <si>
    <t>Teams Premium for Faculty</t>
  </si>
  <si>
    <t>Teams Premium for Students</t>
  </si>
  <si>
    <t>Teams Rooms Premium</t>
  </si>
  <si>
    <t>CFQ7TTC0GZ16</t>
  </si>
  <si>
    <t>Teams Rooms Premium - Extended Service Term</t>
  </si>
  <si>
    <t>Teams Rooms Premium (USA/CAN)</t>
  </si>
  <si>
    <t>Teams Rooms Premium (USA/CAN) - Extended Service Term</t>
  </si>
  <si>
    <t>Teams Rooms Premium without Audio Conferencing</t>
  </si>
  <si>
    <t>Teams Rooms Premium without Audio Conferencing - Extended Service Term</t>
  </si>
  <si>
    <t>Telstra Calling for Office 365</t>
  </si>
  <si>
    <t>CFQ7TTC0LHXX</t>
  </si>
  <si>
    <t>Telstra Calling for Office 365 - Extended Service Term</t>
  </si>
  <si>
    <t>Toll Free Dial In (outside US)</t>
  </si>
  <si>
    <t>Toll Free Dial In for Audio Conferencing (outside US)</t>
  </si>
  <si>
    <t>CFQ7TTC0MQT7</t>
  </si>
  <si>
    <t>Toll Free Dial In (US)</t>
  </si>
  <si>
    <t>Toll Free Dial In for Audio Conferencing (US)</t>
  </si>
  <si>
    <t>CFQ7TTC0MQTK</t>
  </si>
  <si>
    <t>Viva Learning</t>
  </si>
  <si>
    <t>CFQ7TTC0HVZG</t>
  </si>
  <si>
    <t>Viva Learning - Extended Service Term</t>
  </si>
  <si>
    <t>Viva Learning for faculty</t>
  </si>
  <si>
    <t>Viva Learning for faculty - Extended Service Term</t>
  </si>
  <si>
    <t>Windows 365 Cross Region Disaster Recovery</t>
  </si>
  <si>
    <t>Windows 365 Cross Region Disaster Recovery Add-On</t>
  </si>
  <si>
    <t>CFQ7TTC0SWNG</t>
  </si>
  <si>
    <t>Windows 365 Cross Region Disaster Recovery Add-On - Extended Service Term</t>
  </si>
  <si>
    <t>Windows 365 Disaster Recovery Plus</t>
  </si>
  <si>
    <t>Windows 365 Disaster Recovery Plus up to 16vCPU</t>
  </si>
  <si>
    <t>CFQ7TTC11SSF</t>
  </si>
  <si>
    <t>Windows 365 Disaster Recovery Plus up to 16vCPU - Extended Service Term</t>
  </si>
  <si>
    <t>Windows 365 Disaster Recovery Plus up to 4vCPU</t>
  </si>
  <si>
    <t>Windows 365 Disaster Recovery Plus up to 4vCPU - Extended Service Term</t>
  </si>
  <si>
    <t>Windows 365 Disaster Recovery Plus up to 8vCPU</t>
  </si>
  <si>
    <t>Windows 365 Disaster Recovery Plus up to 8vCPU - Extended Service Term</t>
  </si>
  <si>
    <t>Windows 365 Enterprise</t>
  </si>
  <si>
    <t>"Windows 365 Enterprise 1 vCPU, 2 GB, 64 GB" - Extended Service Term</t>
  </si>
  <si>
    <t>CFQ7TTC0HHS9</t>
  </si>
  <si>
    <t>00CQ</t>
  </si>
  <si>
    <t>"Windows 365 Enterprise 16 vCPU, 64 GB, 1 TB for FedRAMP" - Extended Service Term</t>
  </si>
  <si>
    <t>00DG</t>
  </si>
  <si>
    <t>"Windows 365 Enterprise 16 vCPU, 64 GB, 1 TB for GCC" - Extended Service Term</t>
  </si>
  <si>
    <t>"Windows 365 Enterprise 16 vCPU, 64 GB, 1 TB" - Extended Service Term</t>
  </si>
  <si>
    <t>00BT</t>
  </si>
  <si>
    <t>"Windows 365 Enterprise 16 vCPU, 64 GB, 512 GB for FedRAMP" - Extended Service Term</t>
  </si>
  <si>
    <t>00C0</t>
  </si>
  <si>
    <t>"Windows 365 Enterprise 16 vCPU, 64 GB, 512 GB for GCC" - Extended Service Term</t>
  </si>
  <si>
    <t>00CZ</t>
  </si>
  <si>
    <t>"Windows 365 Enterprise 16 vCPU, 64 GB, 512 GB" - Extended Service Term</t>
  </si>
  <si>
    <t>00C8</t>
  </si>
  <si>
    <t>"Windows 365 Enterprise 2 vCPU, 4 GB, 128 GB for FedRAMP" - Extended Service Term</t>
  </si>
  <si>
    <t>00C2</t>
  </si>
  <si>
    <t>"Windows 365 Enterprise 2 vCPU, 4 GB, 128 GB for GCC" - Extended Service Term</t>
  </si>
  <si>
    <t>00F0</t>
  </si>
  <si>
    <t>"Windows 365 Enterprise 2 vCPU, 4 GB, 128 GB" - Extended Service Term</t>
  </si>
  <si>
    <t>00BJ</t>
  </si>
  <si>
    <t>"Windows 365 Enterprise 2 vCPU, 4 GB, 256 GB for FedRAMP" - Extended Service Term</t>
  </si>
  <si>
    <t>00DR</t>
  </si>
  <si>
    <t>"Windows 365 Enterprise 2 vCPU, 4 GB, 256 GB for GCC" - Extended Service Term</t>
  </si>
  <si>
    <t>00C7</t>
  </si>
  <si>
    <t>"Windows 365 Enterprise 2 vCPU, 4 GB, 256 GB" - Extended Service Term</t>
  </si>
  <si>
    <t>00C4</t>
  </si>
  <si>
    <t>"Windows 365 Enterprise 2 vCPU, 4 GB, 64 GB for FedRAMP" - Extended Service Term</t>
  </si>
  <si>
    <t>"Windows 365 Enterprise 2 vCPU, 4 GB, 64 GB for GCC" - Extended Service Term</t>
  </si>
  <si>
    <t>00CW</t>
  </si>
  <si>
    <t>"Windows 365 Enterprise 2 vCPU, 4 GB, 64 GB" - Extended Service Term</t>
  </si>
  <si>
    <t>00CH</t>
  </si>
  <si>
    <t>"Windows 365 Enterprise 2 vCPU, 8 GB, 128 GB for FedRAMP" - Extended Service Term</t>
  </si>
  <si>
    <t>00D3</t>
  </si>
  <si>
    <t>"Windows 365 Enterprise 2 vCPU, 8 GB, 128 GB for GCC" - Extended Service Term</t>
  </si>
  <si>
    <t>00BH</t>
  </si>
  <si>
    <t>"Windows 365 Enterprise 2 vCPU, 8 GB, 128 GB" - Extended Service Term</t>
  </si>
  <si>
    <t>00BM</t>
  </si>
  <si>
    <t>"Windows 365 Enterprise 2 vCPU, 8 GB, 256 GB for FedRAMP" - Extended Service Term</t>
  </si>
  <si>
    <t>00CL</t>
  </si>
  <si>
    <t>"Windows 365 Enterprise 2 vCPU, 8 GB, 256 GB" - Extended Service Term</t>
  </si>
  <si>
    <t>00CD</t>
  </si>
  <si>
    <t>"Windows 365 Enterprise 2vCPU, 8 GB, 256 GB for GCC" - Extended Service Term</t>
  </si>
  <si>
    <t>00DS</t>
  </si>
  <si>
    <t>"Windows 365 Enterprise 4 vCPU, 16 GB, 128 GB for FedRAMP" - Extended Service Term</t>
  </si>
  <si>
    <t>00CS</t>
  </si>
  <si>
    <t>"Windows 365 Enterprise 4 vCPU, 16 GB, 128 GB for GCC" - Extended Service Term</t>
  </si>
  <si>
    <t>00CX</t>
  </si>
  <si>
    <t>"Windows 365 Enterprise 4 vCPU, 16 GB, 128 GB" - Extended Service Term</t>
  </si>
  <si>
    <t>00DH</t>
  </si>
  <si>
    <t>"Windows 365 Enterprise 4 vCPU, 16 GB, 256 GB for FedRAMP" - Extended Service Term</t>
  </si>
  <si>
    <t>00CP</t>
  </si>
  <si>
    <t>"Windows 365 Enterprise 4 vCPU, 16 GB, 256 GB for GCC" - Extended Service Term</t>
  </si>
  <si>
    <t>00DX</t>
  </si>
  <si>
    <t>"Windows 365 Enterprise 4 vCPU, 16 GB, 256 GB" - Extended Service Term</t>
  </si>
  <si>
    <t>00F4</t>
  </si>
  <si>
    <t>"Windows 365 Enterprise 4 vCPU, 16 GB, 512 GB for FedRAMP" - Extended Service Term</t>
  </si>
  <si>
    <t>00F1</t>
  </si>
  <si>
    <t>"Windows 365 Enterprise 4 vCPU, 16 GB, 512 GB for GCC" - Extended Service Term</t>
  </si>
  <si>
    <t>00D7</t>
  </si>
  <si>
    <t>"Windows 365 Enterprise 4 vCPU, 16 GB, 512 GB" - Extended Service Term</t>
  </si>
  <si>
    <t>00DL</t>
  </si>
  <si>
    <t>"Windows 365 Enterprise 8 vCPU, 32 GB, 128 GB for FedRAMP" - Extended Service Term</t>
  </si>
  <si>
    <t>00BR</t>
  </si>
  <si>
    <t>"Windows 365 Enterprise 8 vCPU, 32 GB, 128 GB for GCC" - Extended Service Term</t>
  </si>
  <si>
    <t>00D6</t>
  </si>
  <si>
    <t>"Windows 365 Enterprise 8 vCPU, 32 GB, 128 GB" - Extended Service Term</t>
  </si>
  <si>
    <t>00BW</t>
  </si>
  <si>
    <t>"Windows 365 Enterprise 8 vCPU, 32 GB, 256 GB for FedRAMP" - Extended Service Term</t>
  </si>
  <si>
    <t>00CC</t>
  </si>
  <si>
    <t>"Windows 365 Enterprise 8 vCPU, 32 GB, 256 GB for GCC" - Extended Service Term</t>
  </si>
  <si>
    <t>00DD</t>
  </si>
  <si>
    <t>"Windows 365 Enterprise 8 vCPU, 32 GB, 256 GB" - Extended Service Term</t>
  </si>
  <si>
    <t>00D0</t>
  </si>
  <si>
    <t>"Windows 365 Enterprise 8 vCPU, 32 GB, 512 GB for FedRAMP" - Extended Service Term</t>
  </si>
  <si>
    <t>00D9</t>
  </si>
  <si>
    <t>"Windows 365 Enterprise 8 vCPU, 32 GB, 512 GB" - Extended Service Term</t>
  </si>
  <si>
    <t>00DT</t>
  </si>
  <si>
    <t>"Windows 365 Enterprise 8 vCPU,32 GB, 512 GB for GCC" - Extended Service Term</t>
  </si>
  <si>
    <t>00F3</t>
  </si>
  <si>
    <t>Windows 365 Enterprise 1 vCPU, 2 GB, 64 GB</t>
  </si>
  <si>
    <t>Windows 365 Enterprise 16 vCPU, 64 GB, 1 TB</t>
  </si>
  <si>
    <t>Windows 365 Enterprise 16 vCPU, 64 GB, 1 TB for FedRAMP</t>
  </si>
  <si>
    <t>0053</t>
  </si>
  <si>
    <t>Windows 365 Enterprise 16 vCPU, 64 GB, 1 TB for GCC</t>
  </si>
  <si>
    <t>Windows 365 Enterprise 16 vCPU, 64 GB, 512 GB</t>
  </si>
  <si>
    <t>Windows 365 Enterprise 16 vCPU, 64 GB, 512 GB for FedRAMP</t>
  </si>
  <si>
    <t>0051</t>
  </si>
  <si>
    <t>Windows 365 Enterprise 16 vCPU, 64 GB, 512 GB for GCC</t>
  </si>
  <si>
    <t>0055</t>
  </si>
  <si>
    <t>Windows 365 Enterprise 2 vCPU, 4 GB, 128 GB</t>
  </si>
  <si>
    <t>Windows 365 Enterprise 2 vCPU, 4 GB, 128 GB for FedRAMP</t>
  </si>
  <si>
    <t>005S</t>
  </si>
  <si>
    <t>Windows 365 Enterprise 2 vCPU, 4 GB, 128 GB for GCC</t>
  </si>
  <si>
    <t>0069</t>
  </si>
  <si>
    <t>Windows 365 Enterprise 2 vCPU, 4 GB, 256 GB</t>
  </si>
  <si>
    <t>Windows 365 Enterprise 2 vCPU, 4 GB, 256 GB for FedRAMP</t>
  </si>
  <si>
    <t>005Q</t>
  </si>
  <si>
    <t>Windows 365 Enterprise 2 vCPU, 4 GB, 256 GB for GCC</t>
  </si>
  <si>
    <t>0065</t>
  </si>
  <si>
    <t>Windows 365 Enterprise 2 vCPU, 4 GB, 64 GB</t>
  </si>
  <si>
    <t>Windows 365 Enterprise 2 vCPU, 4 GB, 64 GB for FedRAMP</t>
  </si>
  <si>
    <t>005N</t>
  </si>
  <si>
    <t>Windows 365 Enterprise 2 vCPU, 4 GB, 64 GB for GCC</t>
  </si>
  <si>
    <t>0064</t>
  </si>
  <si>
    <t>Windows 365 Enterprise 2 vCPU, 8 GB, 128 GB</t>
  </si>
  <si>
    <t>Windows 365 Enterprise 2 vCPU, 8 GB, 128 GB for FedRAMP</t>
  </si>
  <si>
    <t>005L</t>
  </si>
  <si>
    <t>Windows 365 Enterprise 2 vCPU, 8 GB, 128 GB for GCC</t>
  </si>
  <si>
    <t>004V</t>
  </si>
  <si>
    <t>Windows 365 Enterprise 2 vCPU, 8 GB, 256 GB</t>
  </si>
  <si>
    <t>Windows 365 Enterprise 2 vCPU, 8 GB, 256 GB for FedRAMP</t>
  </si>
  <si>
    <t>005X</t>
  </si>
  <si>
    <t>Windows 365 Enterprise 2vCPU, 8 GB, 256 GB for GCC</t>
  </si>
  <si>
    <t>004R</t>
  </si>
  <si>
    <t>Windows 365 Enterprise 32 vCPU, 128 GB, 1 TB</t>
  </si>
  <si>
    <t>00J5</t>
  </si>
  <si>
    <t>Windows 365 Enterprise 32 vCPU, 128 GB, 2 TB</t>
  </si>
  <si>
    <t>00J3</t>
  </si>
  <si>
    <t>Windows 365 Enterprise 4 vCPU, 16 GB, 128 GB</t>
  </si>
  <si>
    <t>Windows 365 Enterprise 4 vCPU, 16 GB, 128 GB for FedRAMP</t>
  </si>
  <si>
    <t>005J</t>
  </si>
  <si>
    <t>Windows 365 Enterprise 4 vCPU, 16 GB, 128 GB for GCC</t>
  </si>
  <si>
    <t>004T</t>
  </si>
  <si>
    <t>Windows 365 Enterprise 4 vCPU, 16 GB, 256 GB</t>
  </si>
  <si>
    <t>Windows 365 Enterprise 4 vCPU, 16 GB, 256 GB for FedRAMP</t>
  </si>
  <si>
    <t>005V</t>
  </si>
  <si>
    <t>Windows 365 Enterprise 4 vCPU, 16 GB, 256 GB for GCC</t>
  </si>
  <si>
    <t>Windows 365 Enterprise 4 vCPU, 16 GB, 512 GB</t>
  </si>
  <si>
    <t>Windows 365 Enterprise 4 vCPU, 16 GB, 512 GB for FedRAMP</t>
  </si>
  <si>
    <t>005G</t>
  </si>
  <si>
    <t>Windows 365 Enterprise 4 vCPU, 16 GB, 512 GB for GCC</t>
  </si>
  <si>
    <t>0062</t>
  </si>
  <si>
    <t>Windows 365 Enterprise 8 vCPU, 32 GB, 128 GB</t>
  </si>
  <si>
    <t>Windows 365 Enterprise 8 vCPU, 32 GB, 128 GB for FedRAMP</t>
  </si>
  <si>
    <t>005D</t>
  </si>
  <si>
    <t>Windows 365 Enterprise 8 vCPU, 32 GB, 128 GB for GCC</t>
  </si>
  <si>
    <t>0061</t>
  </si>
  <si>
    <t>Windows 365 Enterprise 8 vCPU, 32 GB, 256 GB</t>
  </si>
  <si>
    <t>Windows 365 Enterprise 8 vCPU, 32 GB, 256 GB for FedRAMP</t>
  </si>
  <si>
    <t>005C</t>
  </si>
  <si>
    <t>Windows 365 Enterprise 8 vCPU, 32 GB, 256 GB for GCC</t>
  </si>
  <si>
    <t>0060</t>
  </si>
  <si>
    <t>Windows 365 Enterprise 8 vCPU, 32 GB, 512 GB</t>
  </si>
  <si>
    <t>Windows 365 Enterprise 8 vCPU, 32 GB, 512 GB for FedRAMP</t>
  </si>
  <si>
    <t>0058</t>
  </si>
  <si>
    <t>Windows 365 Enterprise 8 vCPU,32 GB, 512 GB for GCC</t>
  </si>
  <si>
    <t>0063</t>
  </si>
  <si>
    <t>Windows 365 Enterprise GPU Max</t>
  </si>
  <si>
    <t>004N</t>
  </si>
  <si>
    <t>Windows 365 Enterprise GPU Max - Extended Service Term</t>
  </si>
  <si>
    <t>Windows 365 Enterprise GPU Max for FedRAMP</t>
  </si>
  <si>
    <t>006R</t>
  </si>
  <si>
    <t>Windows 365 Enterprise GPU Max for FedRAMP - Extended Service Term</t>
  </si>
  <si>
    <t>00CV</t>
  </si>
  <si>
    <t>Windows 365 Enterprise GPU Standard</t>
  </si>
  <si>
    <t>Windows 365 Enterprise GPU Standard - Extended Service Term</t>
  </si>
  <si>
    <t>Windows 365 Enterprise GPU Standard for FedRAMP</t>
  </si>
  <si>
    <t>006W</t>
  </si>
  <si>
    <t>Windows 365 Enterprise GPU Standard for FedRAMP - Extended Service Term</t>
  </si>
  <si>
    <t>00CK</t>
  </si>
  <si>
    <t>Windows 365 Enterprise GPU Super</t>
  </si>
  <si>
    <t>Windows 365 Enterprise GPU Super - Extended Service Term</t>
  </si>
  <si>
    <t>Windows 365 Enterprise GPU Super for FedRAMP</t>
  </si>
  <si>
    <t>006T</t>
  </si>
  <si>
    <t>Windows 365 Enterprise GPU Super for FedRAMP - Extended Service Term</t>
  </si>
  <si>
    <t>00BP</t>
  </si>
  <si>
    <t>Windows 365 Enterprise Select, 256GB</t>
  </si>
  <si>
    <t>00J1</t>
  </si>
  <si>
    <t>Windows 365 Enterprise Select, 512GB</t>
  </si>
  <si>
    <t>00HZ</t>
  </si>
  <si>
    <t>Windows 365 Frontline</t>
  </si>
  <si>
    <t>"DO NOT USE - Windows 365 Frontline 16 vCPU, 64 GB, 1 TB" - Extended Service Term</t>
  </si>
  <si>
    <t>CFQ7TTC0R595</t>
  </si>
  <si>
    <t>"DO NOT USE - Windows 365 Frontline 16 vCPU, 64 GB, 512 GB" - Extended Service Term</t>
  </si>
  <si>
    <t>"Windows 365 Frontline 16 vCPU, 64 GB, 1 TB for GCC" - Extended Service Term</t>
  </si>
  <si>
    <t>"Windows 365 Frontline 16 vCPU, 64 GB, 1 TB" - Extended Service Term</t>
  </si>
  <si>
    <t>"Windows 365 Frontline 16 vCPU, 64 GB, 1TB for FedRAMP" - Extended Service Term</t>
  </si>
  <si>
    <t>"Windows 365 Frontline 16 vCPU, 64 GB, 512 GB for GCC" - Extended Service Term</t>
  </si>
  <si>
    <t>0078</t>
  </si>
  <si>
    <t>"Windows 365 Frontline 16 vCPU, 64 GB, 512 GB" - Extended Service Term</t>
  </si>
  <si>
    <t>0071</t>
  </si>
  <si>
    <t>"Windows 365 Frontline 16 vCPU, 64 GB, 512GB for FedRAMP" - Extended Service Term</t>
  </si>
  <si>
    <t>"Windows 365 Frontline 2 vCPU, 4 GB, 128 GB for FedRAMP" - Extended Service Term</t>
  </si>
  <si>
    <t>"Windows 365 Frontline 2 vCPU, 4 GB, 128 GB for GCC" - Extended Service Term</t>
  </si>
  <si>
    <t>006C</t>
  </si>
  <si>
    <t>"Windows 365 Frontline 2 vCPU, 4 GB, 128 GB" - Extended Service Term</t>
  </si>
  <si>
    <t>005H</t>
  </si>
  <si>
    <t>"Windows 365 Frontline 2 vCPU, 4 GB, 256 GB for FedRAMP" - Extended Service Term</t>
  </si>
  <si>
    <t>005P</t>
  </si>
  <si>
    <t>"Windows 365 Frontline 2 vCPU, 4 GB, 256 GB for GCC" - Extended Service Term</t>
  </si>
  <si>
    <t>006B</t>
  </si>
  <si>
    <t>"Windows 365 Frontline 2 vCPU, 4 GB, 256 GB" - Extended Service Term</t>
  </si>
  <si>
    <t>006K</t>
  </si>
  <si>
    <t>"Windows 365 Frontline 2 vCPU, 4 GB, 64 GB for FedRAMP" - Extended Service Term</t>
  </si>
  <si>
    <t>"Windows 365 Frontline 2 vCPU, 4 GB, 64 GB for GCC" - Extended Service Term</t>
  </si>
  <si>
    <t>007F</t>
  </si>
  <si>
    <t>"Windows 365 Frontline 2 vCPU, 4 GB, 64 GB" - Extended Service Term</t>
  </si>
  <si>
    <t>006D</t>
  </si>
  <si>
    <t>"Windows 365 Frontline 2 vCPU, 8 GB, 128 GB for FedRAMP" - Extended Service Term</t>
  </si>
  <si>
    <t>005R</t>
  </si>
  <si>
    <t>"Windows 365 Frontline 2 vCPU, 8 GB, 128 GB for GCC" - Extended Service Term</t>
  </si>
  <si>
    <t>006G</t>
  </si>
  <si>
    <t>"Windows 365 Frontline 2 vCPU, 8 GB, 128 GB" - Extended Service Term</t>
  </si>
  <si>
    <t>006X</t>
  </si>
  <si>
    <t>"Windows 365 Frontline 2 vCPU, 8 GB, 256 GB for FedRAMP" - Extended Service Term</t>
  </si>
  <si>
    <t>005W</t>
  </si>
  <si>
    <t>"Windows 365 Frontline 2 vCPU, 8 GB, 256 GB for GCC" - Extended Service Term</t>
  </si>
  <si>
    <t>005M</t>
  </si>
  <si>
    <t>"Windows 365 Frontline 2 vCPU, 8 GB, 256 GB" - Extended Service Term</t>
  </si>
  <si>
    <t>006S</t>
  </si>
  <si>
    <t>"Windows 365 Frontline 4 vCPU, 16 GB, 128 GB for FedRAMP" - Extended Service Term</t>
  </si>
  <si>
    <t>005T</t>
  </si>
  <si>
    <t>"Windows 365 Frontline 4 vCPU, 16 GB, 128 GB for GCC" - Extended Service Term</t>
  </si>
  <si>
    <t>"Windows 365 Frontline 4 vCPU, 16 GB, 128 GB" - Extended Service Term</t>
  </si>
  <si>
    <t>0076</t>
  </si>
  <si>
    <t>"Windows 365 Frontline 4 vCPU, 16 GB, 256 GB for FedRAMP" - Extended Service Term</t>
  </si>
  <si>
    <t>0072</t>
  </si>
  <si>
    <t>"Windows 365 Frontline 4 vCPU, 16 GB, 256 GB for GCC" - Extended Service Term</t>
  </si>
  <si>
    <t>"Windows 365 Frontline 4 vCPU, 16 GB, 256 GB" - Extended Service Term</t>
  </si>
  <si>
    <t>"Windows 365 Frontline 4 vCPU, 16 GB, 512 GB for FedRAMP" - Extended Service Term</t>
  </si>
  <si>
    <t>0079</t>
  </si>
  <si>
    <t>"Windows 365 Frontline 4 vCPU, 16 GB, 512 GB for GCC" - Extended Service Term</t>
  </si>
  <si>
    <t>"Windows 365 Frontline 4 vCPU, 16 GB, 512 GB" - Extended Service Term</t>
  </si>
  <si>
    <t>0067</t>
  </si>
  <si>
    <t>"Windows 365 Frontline 8 vCPU, 32 GB, 128 GB for FedRAMP" - Extended Service Term</t>
  </si>
  <si>
    <t>005K</t>
  </si>
  <si>
    <t>"Windows 365 Frontline 8 vCPU, 32 GB, 128 GB for GCC" - Extended Service Term</t>
  </si>
  <si>
    <t>005Z</t>
  </si>
  <si>
    <t>"Windows 365 Frontline 8 vCPU, 32 GB, 128 GB" - Extended Service Term</t>
  </si>
  <si>
    <t>006M</t>
  </si>
  <si>
    <t>"Windows 365 Frontline 8 vCPU, 32 GB, 256 GB for FedRAMP" - Extended Service Term</t>
  </si>
  <si>
    <t>"Windows 365 Frontline 8 vCPU, 32 GB, 256 GB for GCC" - Extended Service Term</t>
  </si>
  <si>
    <t>"Windows 365 Frontline 8 vCPU, 32 GB, 256 GB" - Extended Service Term</t>
  </si>
  <si>
    <t>0074</t>
  </si>
  <si>
    <t>"Windows 365 Frontline 8 vCPU, 32 GB, 512 GB for FedRAMP" - Extended Service Term</t>
  </si>
  <si>
    <t>006Q</t>
  </si>
  <si>
    <t>"Windows 365 Frontline 8 vCPU, 32 GB, 512 GB for GCC" - Extended Service Term</t>
  </si>
  <si>
    <t>0066</t>
  </si>
  <si>
    <t>"Windows 365 Frontline 8 vCPU, 32 GB, 512 GB" - Extended Service Term</t>
  </si>
  <si>
    <t>006H</t>
  </si>
  <si>
    <t>Windows 365 Frontline 16 vCPU, 64 GB, 1 TB</t>
  </si>
  <si>
    <t>Windows 365 Frontline 16 vCPU, 64 GB, 1 TB for GCC</t>
  </si>
  <si>
    <t>Windows 365 Frontline 16 vCPU, 64 GB, 1TB for FedRAMP</t>
  </si>
  <si>
    <t>Windows 365 Frontline 16 vCPU, 64 GB, 512 GB</t>
  </si>
  <si>
    <t>Windows 365 Frontline 16 vCPU, 64 GB, 512 GB for GCC</t>
  </si>
  <si>
    <t>Windows 365 Frontline 16 vCPU, 64 GB, 512GB for FedRAMP</t>
  </si>
  <si>
    <t>Windows 365 Frontline 2 vCPU, 4 GB, 128 GB</t>
  </si>
  <si>
    <t>Windows 365 Frontline 2 vCPU, 4 GB, 128 GB for FedRAMP</t>
  </si>
  <si>
    <t>Windows 365 Frontline 2 vCPU, 4 GB, 128 GB for GCC</t>
  </si>
  <si>
    <t>Windows 365 Frontline 2 vCPU, 4 GB, 256 GB</t>
  </si>
  <si>
    <t>Windows 365 Frontline 2 vCPU, 4 GB, 256 GB for FedRAMP</t>
  </si>
  <si>
    <t>Windows 365 Frontline 2 vCPU, 4 GB, 256 GB for GCC</t>
  </si>
  <si>
    <t>Windows 365 Frontline 2 vCPU, 4 GB, 64 GB</t>
  </si>
  <si>
    <t>Windows 365 Frontline 2 vCPU, 4 GB, 64 GB for FedRAMP</t>
  </si>
  <si>
    <t>Windows 365 Frontline 2 vCPU, 4 GB, 64 GB for GCC</t>
  </si>
  <si>
    <t>Windows 365 Frontline 2 vCPU, 8 GB, 128 GB</t>
  </si>
  <si>
    <t>Windows 365 Frontline 2 vCPU, 8 GB, 128 GB for FedRAMP</t>
  </si>
  <si>
    <t>Windows 365 Frontline 2 vCPU, 8 GB, 128 GB for GCC</t>
  </si>
  <si>
    <t>Windows 365 Frontline 2 vCPU, 8 GB, 256 GB</t>
  </si>
  <si>
    <t>Windows 365 Frontline 2 vCPU, 8 GB, 256 GB for FedRAMP</t>
  </si>
  <si>
    <t>Windows 365 Frontline 2 vCPU, 8 GB, 256 GB for GCC</t>
  </si>
  <si>
    <t>Windows 365 Frontline 32 vCPU, 128 GB, 1 TB</t>
  </si>
  <si>
    <t>0080</t>
  </si>
  <si>
    <t>Windows 365 Frontline 32 vCPU, 128 GB, 2 TB</t>
  </si>
  <si>
    <t>007X</t>
  </si>
  <si>
    <t>Windows 365 Frontline 4 vCPU, 16 GB, 128 GB</t>
  </si>
  <si>
    <t>Windows 365 Frontline 4 vCPU, 16 GB, 128 GB for FedRAMP</t>
  </si>
  <si>
    <t>Windows 365 Frontline 4 vCPU, 16 GB, 128 GB for GCC</t>
  </si>
  <si>
    <t>Windows 365 Frontline 4 vCPU, 16 GB, 256 GB</t>
  </si>
  <si>
    <t>Windows 365 Frontline 4 vCPU, 16 GB, 256 GB for FedRAMP</t>
  </si>
  <si>
    <t>Windows 365 Frontline 4 vCPU, 16 GB, 256 GB for GCC</t>
  </si>
  <si>
    <t>Windows 365 Frontline 4 vCPU, 16 GB, 512 GB</t>
  </si>
  <si>
    <t>Windows 365 Frontline 4 vCPU, 16 GB, 512 GB for FedRAMP</t>
  </si>
  <si>
    <t>Windows 365 Frontline 4 vCPU, 16 GB, 512 GB for GCC</t>
  </si>
  <si>
    <t>Windows 365 Frontline 8 vCPU, 32 GB, 128 GB</t>
  </si>
  <si>
    <t>Windows 365 Frontline 8 vCPU, 32 GB, 128 GB for FedRAMP</t>
  </si>
  <si>
    <t>Windows 365 Frontline 8 vCPU, 32 GB, 128 GB for GCC</t>
  </si>
  <si>
    <t>Windows 365 Frontline 8 vCPU, 32 GB, 256 GB</t>
  </si>
  <si>
    <t>Windows 365 Frontline 8 vCPU, 32 GB, 256 GB for FedRAMP</t>
  </si>
  <si>
    <t>Windows 365 Frontline 8 vCPU, 32 GB, 256 GB for GCC</t>
  </si>
  <si>
    <t>Windows 365 Frontline 8 vCPU, 32 GB, 512 GB</t>
  </si>
  <si>
    <t>Windows 365 Frontline 8 vCPU, 32 GB, 512 GB for FedRAMP</t>
  </si>
  <si>
    <t>Windows 365 Frontline 8 vCPU, 32 GB, 512 GB for GCC</t>
  </si>
  <si>
    <t>Windows 365 Frontline GPU Max</t>
  </si>
  <si>
    <t>Windows 365 Frontline GPU Max - Extended Service Term</t>
  </si>
  <si>
    <t>Windows 365 Frontline GPU Standard</t>
  </si>
  <si>
    <t>Windows 365 Frontline GPU Standard - Extended Service Term</t>
  </si>
  <si>
    <t>006V</t>
  </si>
  <si>
    <t>Windows 365 Frontline GPU Super</t>
  </si>
  <si>
    <t>Windows 365 Frontline GPU Super - Extended Service Term</t>
  </si>
  <si>
    <t>Windows 365 Frontline Select, 256GB</t>
  </si>
  <si>
    <t>007V</t>
  </si>
  <si>
    <t>Windows 365 Frontline Select, 512GB</t>
  </si>
  <si>
    <t>007S</t>
  </si>
  <si>
    <t>ProductId</t>
  </si>
  <si>
    <t>SkuId</t>
  </si>
  <si>
    <t>SkuTitle</t>
  </si>
  <si>
    <t>TermDuration</t>
  </si>
  <si>
    <t>BillingPlan</t>
  </si>
  <si>
    <t>ERP Price</t>
  </si>
  <si>
    <t>UnitPrice</t>
  </si>
  <si>
    <t>P1Y</t>
  </si>
  <si>
    <t>Monthly</t>
  </si>
  <si>
    <t>Annual</t>
  </si>
  <si>
    <t>10-Year Audit Log Retention Add On (Education Pricing)</t>
  </si>
  <si>
    <t>P1M</t>
  </si>
  <si>
    <t>CFQ7TTC0RN26</t>
  </si>
  <si>
    <t>Advanced Data Residency</t>
  </si>
  <si>
    <t>P3Y</t>
  </si>
  <si>
    <t>Triennial</t>
  </si>
  <si>
    <t>Advanced Communications (Non-Profit Pricing)</t>
  </si>
  <si>
    <t>Advanced Communications (Education Student Pricing)</t>
  </si>
  <si>
    <t>Advanced Communications (Education Faculty Pricing)</t>
  </si>
  <si>
    <t>CFQ7TTC0LHQD</t>
  </si>
  <si>
    <t>Advanced eDiscovery Storage (Education Faculty Pricing)</t>
  </si>
  <si>
    <t>Advanced eDiscovery Storage</t>
  </si>
  <si>
    <t>Advanced eDiscovery Storage (Non-Profit Pricing)</t>
  </si>
  <si>
    <t>Microsoft Purview Suite for Microsoft 365 Business Premium (Non-Profit Pricing)</t>
  </si>
  <si>
    <t>Microsoft Defender and Purview Suites for Microsoft 365 Business Premium (Non-Profit Pricing)</t>
  </si>
  <si>
    <t>Microsoft Defender Suite for Microsoft 365 Business Premium (Non-Profit Pricing)</t>
  </si>
  <si>
    <t>Agent 365 (Education Faculty) (Education Faculty Pricing)</t>
  </si>
  <si>
    <t>Agent 365 (Education Student) (Education Student Pricing)</t>
  </si>
  <si>
    <t>None</t>
  </si>
  <si>
    <t>CFQ7TTC0LGZM</t>
  </si>
  <si>
    <t>Built-in security Exchange on-premises mailboxes add-on</t>
  </si>
  <si>
    <t>CFQ7TTC0LHZ0</t>
  </si>
  <si>
    <t>Business Apps (free)</t>
  </si>
  <si>
    <t>CFQ7TTC131Z8</t>
  </si>
  <si>
    <t>Cross-Tenant Shared Data Migration</t>
  </si>
  <si>
    <t>CFQ7TTC0R2N9</t>
  </si>
  <si>
    <t>Cross-tenant user data migration</t>
  </si>
  <si>
    <t>CFQ7TTC0LHRL</t>
  </si>
  <si>
    <t>Dataverse Database Capacity add-on</t>
  </si>
  <si>
    <t>Dataverse Database Capacity add-on (Education Pricing)</t>
  </si>
  <si>
    <t>Dataverse Database Capacity add-on (Non-Profit Pricing)</t>
  </si>
  <si>
    <t>CFQ7TTC0NCD7</t>
  </si>
  <si>
    <t>Dataverse Database Capacity add-on Tier 2 (Min 1000GB)</t>
  </si>
  <si>
    <t>CFQ7TTC0LHQ3</t>
  </si>
  <si>
    <t>Dataverse File Capacity add-on</t>
  </si>
  <si>
    <t>Dataverse File Capacity add-on (Non-Profit Pricing)</t>
  </si>
  <si>
    <t>Dataverse File Capacity add-on (Education Pricing)</t>
  </si>
  <si>
    <t>CFQ7TTC0HBSL</t>
  </si>
  <si>
    <t>Dataverse Log Capacity add-on (Non-Profit Pricing)</t>
  </si>
  <si>
    <t>Dataverse Log Capacity add-on</t>
  </si>
  <si>
    <t>Dataverse Log Capacity add-on (Education Pricing)</t>
  </si>
  <si>
    <t>CFQ7TTC0LHXR</t>
  </si>
  <si>
    <t>Dynamics 365  Operations-Order Lines (Education Pricing)</t>
  </si>
  <si>
    <t>Dynamics 365 Operations – Order Lines</t>
  </si>
  <si>
    <t>Dynamics 365  Operations – Order Lines (Non-Profit Pricing)</t>
  </si>
  <si>
    <t>CFQ7TTC0LHWJ</t>
  </si>
  <si>
    <t>Dynamics 365 Asset Management Addl Assets</t>
  </si>
  <si>
    <t>Dynamics 365 Asset Management Addl Assets (Education Faculty Pricing)</t>
  </si>
  <si>
    <t>Dynamics 365 Asset Management Addl Assets (Non-Profit Pricing)</t>
  </si>
  <si>
    <t>CFQ7TTC0HD7P</t>
  </si>
  <si>
    <t>Dynamics 365 Business Central Additional Environment Addon (Education Faculty Pricing)</t>
  </si>
  <si>
    <t>Dynamics 365 Business Central Additional Environment Addon</t>
  </si>
  <si>
    <t>Dynamics 365 Business Central Additional Environment Addon (Non-Profit Pricing)</t>
  </si>
  <si>
    <t>CFQ7TTC0HD3R</t>
  </si>
  <si>
    <t>Dynamics 365 Business Central Database Capacity (Education Faculty Pricing)</t>
  </si>
  <si>
    <t>Dynamics 365 Business Central Database Capacity Overage (Education Faculty Pricing)</t>
  </si>
  <si>
    <t>Dynamics 365 Business Central Database Capacity (Non-Profit Pricing)</t>
  </si>
  <si>
    <t>Dynamics 365 Business Central Database Capacity 100GB (Education Student Pricing)</t>
  </si>
  <si>
    <t>Dynamics 365 Business Central Database Capacity Overage (Non-Profit Pricing)</t>
  </si>
  <si>
    <t>Dynamics 365 Business Central Database Capacity 100GB (Education Faculty Pricing)</t>
  </si>
  <si>
    <t>Dynamics 365 Business Central Database Capacity 100GB</t>
  </si>
  <si>
    <t>Dynamics 365 Business Central Database Capacity Overage (Education Student Pricing)</t>
  </si>
  <si>
    <t>Dynamics 365 Business Central Database Capacity (Education Student Pricing)</t>
  </si>
  <si>
    <t>Dynamics 365 Business Central Database Capacity</t>
  </si>
  <si>
    <t>Dynamics 365 Business Central Database Capacity Overage</t>
  </si>
  <si>
    <t>Dynamics 365 Business Central Database Capacity 100GB (Non-Profit Pricing)</t>
  </si>
  <si>
    <t>CFQ7TTC0LH3F</t>
  </si>
  <si>
    <t>Dynamics 365 Business Central Device (36mo) (Non-Profit Pricing)</t>
  </si>
  <si>
    <t>Dynamics 365 Business Central Device (Education Faculty Pricing)</t>
  </si>
  <si>
    <t>Dynamics 365 Business Central Device (Education Student Pricing)</t>
  </si>
  <si>
    <t>Dynamics 365 Business Central Device</t>
  </si>
  <si>
    <t>Dynamics 365 Business Central Device (100 seat min)</t>
  </si>
  <si>
    <t>CFQ7TTC0LH34</t>
  </si>
  <si>
    <t>Dynamics 365 Business Central Essentials</t>
  </si>
  <si>
    <t>Dynamics 365 Business Central Essentials (Education Student Pricing)</t>
  </si>
  <si>
    <t>Dynamics 365 Business Central Essentials (Education Faculty Pricing)</t>
  </si>
  <si>
    <t>Dynamics 365 Business Central Essentials (Non-Profit Pricing)</t>
  </si>
  <si>
    <t>CFQ7TTC0N13N</t>
  </si>
  <si>
    <t>Dynamics 365 Business Central Essentials Attach (Educational Faculty Pricing)</t>
  </si>
  <si>
    <t>Dynamics 365 Business Central Essentials Attach</t>
  </si>
  <si>
    <t>Dynamics 365 Business Central Essentials Attach (Non-Profit Pricing)</t>
  </si>
  <si>
    <t>Dynamics 365 Business Central Essentials Attach (Educational Student Pricing)</t>
  </si>
  <si>
    <t>CFQ7TTC0LH33</t>
  </si>
  <si>
    <t>Dynamics 365 Business Central External Accountant (Education Faculty Pricing)</t>
  </si>
  <si>
    <t>Dynamics 365 Business Central External Accountant</t>
  </si>
  <si>
    <t>Dynamics 365 Business Central External Accountant (Non-Profit Pricing)</t>
  </si>
  <si>
    <t>Dynamics 365 Business Central External Accountant (Education Student Pricing)</t>
  </si>
  <si>
    <t>CFQ7TTC0LH38</t>
  </si>
  <si>
    <t>Dynamics 365 Business Central Premium (Education Student Pricing)</t>
  </si>
  <si>
    <t>Dynamics 365 Business Central Premium (Non-Profit Pricing)</t>
  </si>
  <si>
    <t>Dynamics 365 Business Central Premium</t>
  </si>
  <si>
    <t>Dynamics 365 Business Central Premium (Education Faculty Pricing)</t>
  </si>
  <si>
    <t>CFQ7TTC0LH39</t>
  </si>
  <si>
    <t>Dynamics 365 Business Central Team Members</t>
  </si>
  <si>
    <t>Dynamics 365 Business Central Team Members (Non-Profit Pricing)</t>
  </si>
  <si>
    <t>Dynamics 365 Business Central Team Members (Education Student Pricing)</t>
  </si>
  <si>
    <t>Dynamics 365 Business Central Team Members (Education Faculty Pricing)</t>
  </si>
  <si>
    <t>CFQ7TTC0J7C5</t>
  </si>
  <si>
    <t>Dynamics 365 Call Intelligence Minutes Add-on (Education Student Pricing)</t>
  </si>
  <si>
    <t>Dynamics 365 Call Intelligence Minutes Add-on (Non-Profit Pricing)</t>
  </si>
  <si>
    <t>Dynamics 365 Call Intelligence Minutes Add-on</t>
  </si>
  <si>
    <t>Dynamics 365 Call Intelligence Minutes Add-on (Education Faculty Pricing)</t>
  </si>
  <si>
    <t>CFQ7TTC0LH2Z</t>
  </si>
  <si>
    <t>Dynamics 365 Commerce Attach to Qualifying Dynamics 365 Base Offer</t>
  </si>
  <si>
    <t>CFQ7TTC0HM0T</t>
  </si>
  <si>
    <t>Dynamics 365 e-Commerce Tier 3 Band 1 Overage (Non-Profit Pricing)</t>
  </si>
  <si>
    <t>Dynamics 365 Commerce Attach to Qualifying Dynamics 365 Base Offer (Education Student Pricing)</t>
  </si>
  <si>
    <t>Dynamics 365 e-Commerce Tier 3 Band 5 Overage (Education Student Pricing)</t>
  </si>
  <si>
    <t>Dynamics 365 e-Commerce Tier 3 Band 4 Overage (Non-Profit Pricing)</t>
  </si>
  <si>
    <t>Dynamics 365 e-Commerce Tier 3 Band 4 (Non-Profit Pricing)</t>
  </si>
  <si>
    <t>Dynamics 365 e-Commerce Tier 1 Band 2 Overage (Education Student Pricing)</t>
  </si>
  <si>
    <t>Dynamics 365 e-Commerce Tier 1 Band 3 Overage (Education Faculty Pricing)</t>
  </si>
  <si>
    <t>Dynamics 365 e-Commerce Tier 2 Band 3 (Non-Profit Pricing)</t>
  </si>
  <si>
    <t>Dynamics 365 e-Commerce Tier 3 Band 4 (Education Student Pricing)</t>
  </si>
  <si>
    <t>Dynamics 365 e-Commerce Tier 2 Band 2</t>
  </si>
  <si>
    <t>Dynamics 365 e-Commerce Tier 1 Band 5</t>
  </si>
  <si>
    <t>Dynamics 365 e-Commerce Tier 2 Band 2 Overage (Education Student Pricing)</t>
  </si>
  <si>
    <t>Dynamics 365 e-Commerce Tier 2 Band 3 Overage (Education Student Pricing)</t>
  </si>
  <si>
    <t>Dynamics 365 e-Commerce Tier 2 Band 5</t>
  </si>
  <si>
    <t>Dynamics 365 e-Commerce Tier 1 Band 2 (Non-Profit Pricing)</t>
  </si>
  <si>
    <t>Dynamics 365 e-Commerce Tier 2 Band 5 (Non-Profit Pricing)</t>
  </si>
  <si>
    <t>Dynamics 365 e-Commerce Tier 2 Band 1 Overage (Education Student Pricing)</t>
  </si>
  <si>
    <t>Dynamics 365 e-Commerce Tier 3 Band 4</t>
  </si>
  <si>
    <t>Dynamics 365 e-Commerce Tier 2 Band 2 Overage (Education Faculty Pricing)</t>
  </si>
  <si>
    <t>Dynamics 365 e-Commerce Tier 3 Band 4 Overage</t>
  </si>
  <si>
    <t>Dynamics 365 e-Commerce Tier 3 Band 6</t>
  </si>
  <si>
    <t>Dynamics 365 e-Commerce Tier 1 Band 4 (Non-Profit Pricing)</t>
  </si>
  <si>
    <t>007T</t>
  </si>
  <si>
    <t>Dynamics 365 e-Commerce Tier 2 Band 6 (Education Faculty Pricing)</t>
  </si>
  <si>
    <t>008D</t>
  </si>
  <si>
    <t>Dynamics 365 e-Commerce Tier 2 Band 2 (Non-Profit Pricing)</t>
  </si>
  <si>
    <t>Dynamics 365 e-Commerce Tier 3 Band 3 Overage (Education Student Pricing)</t>
  </si>
  <si>
    <t>Dynamics 365 e-Commerce Tier 3 Band 1 (Education Student Pricing)</t>
  </si>
  <si>
    <t>006N</t>
  </si>
  <si>
    <t>Dynamics 365 e-Commerce Tier 1 Band 4 Overage (Education Faculty Pricing)</t>
  </si>
  <si>
    <t>Dynamics 365 e-Commerce Tier 2 Band 4 (Non-Profit Pricing)</t>
  </si>
  <si>
    <t>Dynamics 365 Commerce Attach to Qualifying Dynamics 365 Base Offer (Education Faculty Pricing)</t>
  </si>
  <si>
    <t>Dynamics 365 e-Commerce Tier 3 Band 1 Overage</t>
  </si>
  <si>
    <t>Dynamics 365 e-Commerce Tier 3 Band 5 Overage</t>
  </si>
  <si>
    <t>Dynamics 365 e-Commerce Tier 1 Band 1 Overage (Non-Profit Pricing)</t>
  </si>
  <si>
    <t>Dynamics 365 e-Commerce Tier 1 Band 3 (Non-Profit Pricing)</t>
  </si>
  <si>
    <t>Dynamics 365 e-Commerce Tier 1 Band 1 Overage</t>
  </si>
  <si>
    <t>Dynamics 365 e-Commerce Tier 3 Band 3 (Education Faculty Pricing)</t>
  </si>
  <si>
    <t>Dynamics 365 e-Commerce Tier 1 Band 2 (Education Faculty Pricing)</t>
  </si>
  <si>
    <t>Dynamics 365 e-Commerce Tier 3 Band 1 Overage (Education Faculty Pricing)</t>
  </si>
  <si>
    <t>Dynamics 365 e-Commerce Tier 2 Band 2 (Education Student Pricing)</t>
  </si>
  <si>
    <t>Dynamics 365 e-Commerce Tier 2 Band 4 Overage (Education Faculty Pricing)</t>
  </si>
  <si>
    <t>Dynamics 365 e-Commerce Tier 2 Band 6 Overage</t>
  </si>
  <si>
    <t>Dynamics 365 e-Commerce Tier 2 Band 6 (Education Student Pricing)</t>
  </si>
  <si>
    <t>Dynamics 365 e-Commerce Tier 2 Band 6 Overage (Non-Profit Pricing)</t>
  </si>
  <si>
    <t>004W</t>
  </si>
  <si>
    <t>Dynamics 365 e-Commerce Tier 1 Band 3 (Education Faculty Pricing)</t>
  </si>
  <si>
    <t>007J</t>
  </si>
  <si>
    <t>Dynamics 365 e-Commerce Tier 1 Band 5 (Education Student Pricing)</t>
  </si>
  <si>
    <t>Dynamics 365 e-Commerce Tier 1 Band 1</t>
  </si>
  <si>
    <t>Dynamics 365 e-Commerce Tier 1 Band 6</t>
  </si>
  <si>
    <t>006P</t>
  </si>
  <si>
    <t>Dynamics 365 e-Commerce Tier 1 Band 4 Overage (Non-Profit Pricing)</t>
  </si>
  <si>
    <t>Dynamics 365 e-Commerce Tier 2 Band 6</t>
  </si>
  <si>
    <t>006L</t>
  </si>
  <si>
    <t>Dynamics 365 e-Commerce Tier 1 Band 5 Overage (Non-Profit Pricing)</t>
  </si>
  <si>
    <t>Dynamics 365 e-Commerce Tier 2 Band 4 Overage (Education Student Pricing)</t>
  </si>
  <si>
    <t>Dynamics 365 e-Commerce Tier 2 Band 3 Overage</t>
  </si>
  <si>
    <t>Dynamics 365 e-Commerce Tier 3 Band 1</t>
  </si>
  <si>
    <t>Dynamics 365 e-Commerce Tier 1 Band 1 (Education Student Pricing)</t>
  </si>
  <si>
    <t>Dynamics 365 e-Commerce Tier 2 Band 5 Overage (Non-Profit Pricing)</t>
  </si>
  <si>
    <t>Dynamics 365 e-Commerce Tier 3 Band 6 Overage (Education Student Pricing)</t>
  </si>
  <si>
    <t>Dynamics 365 e-Commerce Tier 3 Band 3</t>
  </si>
  <si>
    <t>Dynamics 365 e-Commerce Tier 2 Band 1 (Education Faculty Pricing)</t>
  </si>
  <si>
    <t>Dynamics 365 e-Commerce Tier 2 Band 4 Overage</t>
  </si>
  <si>
    <t>Dynamics 365 Commerce (Education Student Pricing)</t>
  </si>
  <si>
    <t>Dynamics 365 e-Commerce Tier 3 Band 5 (Education Faculty Pricing)</t>
  </si>
  <si>
    <t>Dynamics 365 e-Commerce Tier 3 Band 3 Overage (Non-Profit Pricing)</t>
  </si>
  <si>
    <t>Dynamics 365 e-Commerce Tier 3 Band 6 (Education Student Pricing)</t>
  </si>
  <si>
    <t>Dynamics 365 e-Commerce Tier 1 Band 1 (Education Faculty Pricing)</t>
  </si>
  <si>
    <t>Dynamics 365 e-Commerce Tier 3 Band 5</t>
  </si>
  <si>
    <t>004X</t>
  </si>
  <si>
    <t>Dynamics 365 e-Commerce Tier 3 Band 5 Overage (Education Faculty Pricing)</t>
  </si>
  <si>
    <t>Dynamics 365 e-Commerce Tier 2 Band 3 Overage (Education Faculty Pricing)</t>
  </si>
  <si>
    <t>Dynamics 365 e-Commerce Tier 3 Band 2 Overage (Education Faculty Pricing)</t>
  </si>
  <si>
    <t>Dynamics 365 e-Commerce Tier 2 Band 5 Overage</t>
  </si>
  <si>
    <t>Dynamics 365 e-Commerce Tier 3 Band 2</t>
  </si>
  <si>
    <t>Dynamics 365 e-Commerce Tier 3 Band 4 Overage (Education Faculty Pricing)</t>
  </si>
  <si>
    <t>Dynamics 365 e-Commerce Tier 2 Band 6 Overage (Education Faculty Pricing)</t>
  </si>
  <si>
    <t>Dynamics 365 e-Commerce Tier 2 Band 4 (Education Faculty Pricing)</t>
  </si>
  <si>
    <t>Dynamics 365 e-Commerce Tier 2 Band 6 Overage (Education Student Pricing)</t>
  </si>
  <si>
    <t>Dynamics 365 e-Commerce Tier 2 Band 1 (Education Student Pricing)</t>
  </si>
  <si>
    <t>Dynamics 365 e-Commerce Tier 1 Band 3</t>
  </si>
  <si>
    <t>Dynamics 365 e-Commerce Tier 3 Band 3 Overage (Education Faculty Pricing)</t>
  </si>
  <si>
    <t>Dynamics 365 e-Commerce Tier 2 Band 5 (Education Student Pricing)</t>
  </si>
  <si>
    <t>Dynamics 365 e-Commerce Tier 2 Band 4 Overage (Non-Profit Pricing)</t>
  </si>
  <si>
    <t>007Z</t>
  </si>
  <si>
    <t>Dynamics 365 e-Commerce Tier 1 Band 6 (Non-Profit Pricing)</t>
  </si>
  <si>
    <t>007L</t>
  </si>
  <si>
    <t>Dynamics 365 e-Commerce Tier 1 Band 6 (Education Student Pricing)</t>
  </si>
  <si>
    <t>Dynamics 365 e-Commerce Tier 2 Band 4</t>
  </si>
  <si>
    <t>Dynamics 365 e-Commerce Tier 2 Band 3 (Education Student Pricing)</t>
  </si>
  <si>
    <t>008C</t>
  </si>
  <si>
    <t>Dynamics 365 e-Commerce Tier 1 Band 1 (Non-Profit Pricing)</t>
  </si>
  <si>
    <t>Dynamics 365 Commerce Attach to Qualifying Dynamics 365 Base Offer (Non-Profit Pricing)</t>
  </si>
  <si>
    <t>Dynamics 365 Commerce</t>
  </si>
  <si>
    <t>006F</t>
  </si>
  <si>
    <t>Dynamics 365 e-Commerce Tier 1 Band 6 Overage (Education Student Pricing)</t>
  </si>
  <si>
    <t>Dynamics 365 e-Commerce Tier 2 Band 1 (Non-Profit Pricing)</t>
  </si>
  <si>
    <t>Dynamics 365 e-Commerce Tier 1 Band 2 Overage</t>
  </si>
  <si>
    <t>Dynamics 365 e-Commerce Tier 1 Band 2 Overage (Non-Profit Pricing)</t>
  </si>
  <si>
    <t>Dynamics 365 e-Commerce Tier 3 Band 3 (Education Student Pricing)</t>
  </si>
  <si>
    <t>Dynamics 365 e-Commerce Tier 3 Band 6 Overage (Education Faculty Pricing)</t>
  </si>
  <si>
    <t>Dynamics 365 e-Commerce Tier 2 Band 2 Overage (Non-Profit Pricing)</t>
  </si>
  <si>
    <t>005F</t>
  </si>
  <si>
    <t>Dynamics 365 e-Commerce Tier 3 Band 4 Overage (Education Student Pricing)</t>
  </si>
  <si>
    <t>Dynamics 365 e-Commerce Tier 2 Band 5 (Education Faculty Pricing)</t>
  </si>
  <si>
    <t>Dynamics 365 e-Commerce Tier 3 Band 5 (Education Student Pricing)</t>
  </si>
  <si>
    <t>007K</t>
  </si>
  <si>
    <t>Dynamics 365 e-Commerce Tier 2 Band 4 (Education Student Pricing)</t>
  </si>
  <si>
    <t>006Z</t>
  </si>
  <si>
    <t>Dynamics 365 e-Commerce Tier 1 Band 2 Overage (Education Faculty Pricing)</t>
  </si>
  <si>
    <t>Dynamics 365 e-Commerce Tier 2 Band 3 (Education Faculty Pricing)</t>
  </si>
  <si>
    <t>007W</t>
  </si>
  <si>
    <t>Dynamics 365 e-Commerce Tier 2 Band 6 (Non-Profit Pricing)</t>
  </si>
  <si>
    <t>007C</t>
  </si>
  <si>
    <t>Dynamics 365 e-Commerce Tier 3 Band 1 (Non-Profit Pricing)</t>
  </si>
  <si>
    <t>Dynamics 365 e-Commerce Tier 2 Band 1 Overage</t>
  </si>
  <si>
    <t>Dynamics 365 e-Commerce Tier 3 Band 2 Overage (Education Student Pricing)</t>
  </si>
  <si>
    <t>Dynamics 365 e-Commerce Tier 1 Band 3 Overage (Non-Profit Pricing)</t>
  </si>
  <si>
    <t>004Z</t>
  </si>
  <si>
    <t>Dynamics 365 e-Commerce Tier 3 Band 5 (Non-Profit Pricing)</t>
  </si>
  <si>
    <t>Dynamics 365 e-Commerce Tier 2 Band 2 Overage</t>
  </si>
  <si>
    <t>005B</t>
  </si>
  <si>
    <t>Dynamics 365 e-Commerce Tier 3 Band 4 (Education Faculty Pricing)</t>
  </si>
  <si>
    <t>Dynamics 365 e-Commerce Tier 1 Band 4</t>
  </si>
  <si>
    <t>Dynamics 365 e-Commerce Tier 3 Band 6 (Non-Profit Pricing)</t>
  </si>
  <si>
    <t>Dynamics 365 e-Commerce Tier 1 Band 4 Overage (Education Student Pricing)</t>
  </si>
  <si>
    <t>Dynamics 365 e-Commerce Tier 3 Band 6 Overage</t>
  </si>
  <si>
    <t>Dynamics 365 e-Commerce Tier 1 Band 6 Overage (Education Faculty Pricing)</t>
  </si>
  <si>
    <t>Dynamics 365 e-Commerce Tier 3 Band 1 (Education Faculty Pricing)</t>
  </si>
  <si>
    <t>Dynamics 365 e-Commerce Tier 1 Band 1 Overage (Education Faculty Pricing)</t>
  </si>
  <si>
    <t>Dynamics 365 e-Commerce Tier 1 Band 5 Overage (Education Faculty Pricing)</t>
  </si>
  <si>
    <t>Dynamics 365 e-Commerce Tier 1 Band 4 (Education Student Pricing)</t>
  </si>
  <si>
    <t>Dynamics 365 e-Commerce Tier 3 Band 2 Overage (Non-Profit Pricing)</t>
  </si>
  <si>
    <t>Dynamics 365 e-Commerce Tier 2 Band 3</t>
  </si>
  <si>
    <t>Dynamics 365 e-Commerce Tier 1 Band 4 Overage</t>
  </si>
  <si>
    <t>Dynamics 365 e-Commerce Tier 2 Band 1 Overage (Education Faculty Pricing)</t>
  </si>
  <si>
    <t>008B</t>
  </si>
  <si>
    <t>Dynamics 365 e-Commerce Tier 2 Band 2 (Education Faculty Pricing)</t>
  </si>
  <si>
    <t>Dynamics 365 e-Commerce Tier 3 Band 3 Overage</t>
  </si>
  <si>
    <t>Dynamics 365 e-Commerce Tier 1 Band 5 (Non-Profit Pricing)</t>
  </si>
  <si>
    <t>Dynamics 365 e-Commerce Tier 3 Band 3 (Non-Profit Pricing)</t>
  </si>
  <si>
    <t>Dynamics 365 e-Commerce Tier 2 Band 1 Overage (Non-Profit Pricing)</t>
  </si>
  <si>
    <t>Dynamics 365 Commerce (Non-Profit Pricing)</t>
  </si>
  <si>
    <t>Dynamics 365 e-Commerce Tier 1 Band 5 Overage</t>
  </si>
  <si>
    <t>Dynamics 365 e-Commerce Tier 1 Band 5 (Education Faculty Pricing)</t>
  </si>
  <si>
    <t>Dynamics 365 e-Commerce Tier 3 Band 6 Overage (Non-Profit Pricing)</t>
  </si>
  <si>
    <t>Dynamics 365 e-Commerce Tier 2 Band 1</t>
  </si>
  <si>
    <t>Dynamics 365 e-Commerce Tier 1 Band 4 (Education Faculty Pricing)</t>
  </si>
  <si>
    <t>Dynamics 365 e-Commerce Tier 3 Band 2 Overage</t>
  </si>
  <si>
    <t>Dynamics 365 e-Commerce Tier 3 Band 2 (Education Faculty Pricing)</t>
  </si>
  <si>
    <t>Dynamics 365 e-Commerce Tier 3 Band 5 Overage (Non-Profit Pricing)</t>
  </si>
  <si>
    <t>Dynamics 365 e-Commerce Tier 3 Band 6 (Education Faculty Pricing)</t>
  </si>
  <si>
    <t>Dynamics 365 e-Commerce Tier 2 Band 5 Overage (Education Faculty Pricing)</t>
  </si>
  <si>
    <t>Dynamics 365 e-Commerce Tier 3 Band 2 (Non-Profit Pricing)</t>
  </si>
  <si>
    <t>Dynamics 365 e-Commerce Tier 1 Band 3 Overage (Education Student Pricing)</t>
  </si>
  <si>
    <t>Dynamics 365 e-Commerce Tier 1 Band 3 (Education Student Pricing)</t>
  </si>
  <si>
    <t>Dynamics 365 e-Commerce Tier 1 Band 2</t>
  </si>
  <si>
    <t>007R</t>
  </si>
  <si>
    <t>Dynamics 365 e-Commerce Tier 1 Band 6 (Education Faculty Pricing)</t>
  </si>
  <si>
    <t>Dynamics 365 e-Commerce Tier 1 Band 1 Overage (Education Student Pricing)</t>
  </si>
  <si>
    <t>Dynamics 365 e-Commerce Tier 1 Band 2 (Education Student Pricing)</t>
  </si>
  <si>
    <t>Dynamics 365 e-Commerce Tier 1 Band 3 Overage</t>
  </si>
  <si>
    <t>Dynamics 365 Commerce (Education Faculty Pricing)</t>
  </si>
  <si>
    <t>Dynamics 365 e-Commerce Tier 2 Band 5 Overage (Education Student Pricing)</t>
  </si>
  <si>
    <t>006J</t>
  </si>
  <si>
    <t>Dynamics 365 e-Commerce Tier 1 Band 5 Overage (Education Student Pricing)</t>
  </si>
  <si>
    <t>Dynamics 365 e-Commerce Tier 1 Band 6 Overage</t>
  </si>
  <si>
    <t>Dynamics 365 e-Commerce Tier 3 Band 1 Overage (Education Student Pricing)</t>
  </si>
  <si>
    <t>Dynamics 365 e-Commerce Tier 2 Band 3 Overage (Non-Profit Pricing)</t>
  </si>
  <si>
    <t>Dynamics 365 e-Commerce Tier 3 Band 2 (Education Student Pricing)</t>
  </si>
  <si>
    <t>Dynamics 365 e-Commerce Tier 1 Band 6 Overage (Non-Profit Pricing)</t>
  </si>
  <si>
    <t>CFQ7TTC0TDLC</t>
  </si>
  <si>
    <t>Dynamics 365 Contact Center (Education Faculty Pricing)</t>
  </si>
  <si>
    <t>Dynamics 365 Contact Center Add-on for Customer Service Enterprise (Education Faculty Pricing)</t>
  </si>
  <si>
    <t>Dynamics 365 Contact Center Add-on for Customer Service Enterprise</t>
  </si>
  <si>
    <t>Dynamics 365 Contact Center Add-on for Customer Service Enterprise (Education Student Pricing)</t>
  </si>
  <si>
    <t>Dynamics 365 Contact Center (Non-Profit Pricing)</t>
  </si>
  <si>
    <t>Dynamics 365 Contact Center</t>
  </si>
  <si>
    <t>Dynamics 365 Contact Center Add-on for Customer Service Enterprise (Non-Profit Pricing)</t>
  </si>
  <si>
    <t>Dynamics 365 Contact Center (Education Student Pricing)</t>
  </si>
  <si>
    <t>CFQ7TTC0TDL0</t>
  </si>
  <si>
    <t>Dynamics 365 Contact Center Digital Add-on for Customer Service Enterprise (Education Student Pricing)</t>
  </si>
  <si>
    <t>Dynamics 365 Contact Center Digital (Education Student Pricing)</t>
  </si>
  <si>
    <t>Dynamics 365 Contact Center Digital Add-on for Customer Service Enterprise</t>
  </si>
  <si>
    <t>Dynamics 365 Contact Center Digital</t>
  </si>
  <si>
    <t>Dynamics 365 Contact Center Digital (Education Faculty Pricing)</t>
  </si>
  <si>
    <t>Dynamics 365 Contact Center Digital (Non-Profit Pricing)</t>
  </si>
  <si>
    <t>Dynamics 365 Contact Center Digital Add-on for Customer Service Enterprise (Non-Profit Pricing)</t>
  </si>
  <si>
    <t>Dynamics 365 Contact Center Digital Add-on for Customer Service Enterprise (Education Faculty Pricing)</t>
  </si>
  <si>
    <t>CFQ7TTC0TDL7</t>
  </si>
  <si>
    <t>Dynamics 365 Contact Center Voice Add-on for Customer Service Enterprise</t>
  </si>
  <si>
    <t>Dynamics 365 Contact Center Voice (Education Faculty Pricing)</t>
  </si>
  <si>
    <t>Dynamics 365 Contact Center Voice Add-on for Customer Service Enterprise (Education Faculty Pricing)</t>
  </si>
  <si>
    <t>Dynamics 365 Contact Center Voice</t>
  </si>
  <si>
    <t>Dynamics 365 Contact Center Voice Add-on for Customer Service Enterprise (Education Student Pricing)</t>
  </si>
  <si>
    <t>Dynamics 365 Contact Center Voice (Non-Profit Pricing)</t>
  </si>
  <si>
    <t>Dynamics 365 Contact Center Voice (Education Student Pricing)</t>
  </si>
  <si>
    <t>Dynamics 365 Contact Center Voice Add-on for Customer Service Enterprise (Non-Profit Pricing)</t>
  </si>
  <si>
    <t>CFQ7TTC0LZTK</t>
  </si>
  <si>
    <t>Dynamics 365 Customer Engagement Applications</t>
  </si>
  <si>
    <t>CFQ7TTC0N13S</t>
  </si>
  <si>
    <t>Dynamics 365 Customer Insights Journeys T2 Interacted People</t>
  </si>
  <si>
    <t>Dynamics 365 Customer Insights User License - (Education Student Pricing)</t>
  </si>
  <si>
    <t>Dynamics 365 Customer Insights Data T3 Unified People</t>
  </si>
  <si>
    <t>Dynamics 365 Customer Insights Attach - (Education Faculty Pricing)</t>
  </si>
  <si>
    <t>Dynamics 365 Customer Insights Journeys T1 Interacted People - (Education Faculty Pricing)</t>
  </si>
  <si>
    <t>Dynamics 365 Customer Insights Journeys T3 Interacted People - (Education Student Pricing)</t>
  </si>
  <si>
    <t>Dynamics 365 Customer Insights Journeys T1 Interacted People - (Education Student Pricing)</t>
  </si>
  <si>
    <t>Dynamics 365 Customer Insights User License - (Non-Profit Pricing)</t>
  </si>
  <si>
    <t>Dynamics 365 Customer Insights Journeys T3 Interacted People - (Education Faculty Pricing)</t>
  </si>
  <si>
    <t>Dynamics 365 Customer Insights Attach- (Non-Profit Pricing)</t>
  </si>
  <si>
    <t>Dynamics 365 Customer Insights Journeys T2 Interacted People (Educational Faculty Pricing)</t>
  </si>
  <si>
    <t>Dynamics 365 Customer Insights User License</t>
  </si>
  <si>
    <t>Dynamics 365 Customer Insights</t>
  </si>
  <si>
    <t>Dynamics 365 Customer Insights Journeys T3 Interacted People - (Non-Profit Pricing)</t>
  </si>
  <si>
    <t>Dynamics 365 Customer Insights Data T3 Unified People - (Education Student Pricing)</t>
  </si>
  <si>
    <t>Dynamics 365 Customer Insights Data T3 Unified People - (Non-Profit Pricing)</t>
  </si>
  <si>
    <t>Dynamics 365 Customer Insights Attach - (Education Student Pricing)</t>
  </si>
  <si>
    <t>Dynamics 365 Customer Insights Data T1 Unified People - (Non-Profit Pricing)</t>
  </si>
  <si>
    <t>Dynamics 365 Customer Insights Data T2 Unified People - (Non-Profit Pricing)</t>
  </si>
  <si>
    <t>Dynamics 365 Customer Insights Journeys T1 Interacted People</t>
  </si>
  <si>
    <t>Dynamics 365 Customer Insights Data T2 Unified People - (Education Faculty Pricing)</t>
  </si>
  <si>
    <t>Dynamics 365 Customer Insights - (Education Faculty Pricing)</t>
  </si>
  <si>
    <t>Dynamics 365 Customer Insights Journeys T2 Interacted People (Educational Student Pricing)</t>
  </si>
  <si>
    <t>Dynamics 365 Customer Insights - (Non-Profit Pricing)</t>
  </si>
  <si>
    <t>Dynamics 365 Customer Insights Journeys T1 Interacted People - (Non-Profit Pricing)</t>
  </si>
  <si>
    <t>Dynamics 365 Customer Insights - (Education Student Pricing)</t>
  </si>
  <si>
    <t>Dynamics 365 Customer Insights User License - (Education Faculty Pricing)</t>
  </si>
  <si>
    <t>Dynamics 365 Customer Insights Data T1 Unified People - (Education Student Pricing)</t>
  </si>
  <si>
    <t>Dynamics 365 Customer Insights Data T2 Unified People - (Education Student Pricing)</t>
  </si>
  <si>
    <t>Dynamics 365 Customer Insights Attach</t>
  </si>
  <si>
    <t>Dynamics 365 Customer Insights Data T2 Unified People</t>
  </si>
  <si>
    <t>Dynamics 365 Customer Insights Data T1 Unified People - (Education Faculty Pricing)</t>
  </si>
  <si>
    <t>Dynamics 365 Customer Insights Data T3 Unified People - (Education Faculty Pricing)</t>
  </si>
  <si>
    <t>Dynamics 365 Customer Insights Journeys T3 Interacted People</t>
  </si>
  <si>
    <t>Dynamics 365 Customer Insights Data T1 Unified People</t>
  </si>
  <si>
    <t>Dynamics 365 Customer Insights Journeys T2 Interacted People (Non-Profit Pricing)</t>
  </si>
  <si>
    <t>CFQ7TTC0LFDZ</t>
  </si>
  <si>
    <t>Dynamics 365 Customer Service Enterprise Attach to Qualifying Dynamics 365 Base Offer (Education Student Pricing)</t>
  </si>
  <si>
    <t>Dynamics 365 unified routing add-on (Education Faculty Pricing)</t>
  </si>
  <si>
    <t>Dynamics 365 Customer Service Enterprise Attach to Qualifying Dynamics 365 Base Offer</t>
  </si>
  <si>
    <t>Dynamics 365 Customer Service Enterprise Attach to Qualifying Dynamics 365 Base Offer (Education Faculty Pricing)</t>
  </si>
  <si>
    <t>Dynamics 365 unified routing add-on (Education Student Pricing)</t>
  </si>
  <si>
    <t>Dynamics 365 Customer Service Enterprise Attach to Qualifying Dynamics 365 Base Offer (Non-Profit Pricing)</t>
  </si>
  <si>
    <t>Dynamics 365 Customer Service Enterprise Device</t>
  </si>
  <si>
    <t>Dynamics 365 Customer Service Enterprise Device (Non-Profit Pricing)</t>
  </si>
  <si>
    <t>Dynamics 365 unified routing add-on (Non-Profit Pricing)</t>
  </si>
  <si>
    <t>Dynamics 365 Customer Service Enterprise</t>
  </si>
  <si>
    <t>Dynamics 365 Customer Service Enterprise Device (Education Student Pricing)</t>
  </si>
  <si>
    <t>Dynamics 365 Customer Service Enterprise (Education Faculty Pricing)</t>
  </si>
  <si>
    <t>Dynamics 365 Customer Service Enterprise (Non-Profit Pricing)</t>
  </si>
  <si>
    <t>Dynamics 365 unified routing add-on</t>
  </si>
  <si>
    <t>Dynamics 365 Customer Service Enterprise Device (Education Faculty Pricing)</t>
  </si>
  <si>
    <t>Dynamics 365 Customer Service Enterprise (Education Student Pricing)</t>
  </si>
  <si>
    <t>CFQ7TTC0TDKX</t>
  </si>
  <si>
    <t>Dynamics 365 Customer Service Premium</t>
  </si>
  <si>
    <t>Dynamics 365 Customer Service Premium (Education Faculty Pricing)</t>
  </si>
  <si>
    <t>Dynamics 365 Customer Service Premium (Non-Profit Pricing)</t>
  </si>
  <si>
    <t>Dynamics 365 Customer Service Premium (Education Student Pricing)</t>
  </si>
  <si>
    <t>CFQ7TTC0LFNK</t>
  </si>
  <si>
    <t>Dynamics 365 Customer Service Professional Attach to Qualifying Dynamics 365 Base Offer (Education Faculty Pricing)</t>
  </si>
  <si>
    <t>Dynamics 365 Customer Service Professional Attach to Qualifying Dynamics 365 Base Offer</t>
  </si>
  <si>
    <t>Dynamics 365 Customer Service Professional Attach to Qualifying Dynamics 365 Base Offer (Education Student Pricing)</t>
  </si>
  <si>
    <t>Dynamics 365 Customer Service Professional (Non-Profit Pricing)</t>
  </si>
  <si>
    <t>Dynamics 365 Customer Service Professional</t>
  </si>
  <si>
    <t>Dynamics 365 Customer Service Professional Attach to Qualifying Dynamics 365 Base Offer (Non-Profit Pricing)</t>
  </si>
  <si>
    <t>Dynamics 365 Customer Service Professional (Education Student Pricing)</t>
  </si>
  <si>
    <t>Dynamics 365 Customer Service Professional (Education Faculty Pricing)</t>
  </si>
  <si>
    <t>CFQ7TTC0HKJ7</t>
  </si>
  <si>
    <t>Dynamics 365 Customer Voice (Education Faculty Pricing)</t>
  </si>
  <si>
    <t>Dynamics 365 Customer Voice (Non-Profit Pricing)</t>
  </si>
  <si>
    <t>Dynamics 365 Customer Voice</t>
  </si>
  <si>
    <t>CFQ7TTC0HKJ6</t>
  </si>
  <si>
    <t>Dynamics 365 Customer Voice Additional Responses (Non-Profit Pricing)</t>
  </si>
  <si>
    <t>Dynamics 365 Customer Voice Additional Responses</t>
  </si>
  <si>
    <t>Dynamics 365 Customer Voice Additional Responses (Education Faculty Pricing)</t>
  </si>
  <si>
    <t>CFQ7TTC0HBSM</t>
  </si>
  <si>
    <t>Dynamics 365 Customer Voice USL</t>
  </si>
  <si>
    <t>Dynamics 365 Customer Voice USL (Non-Profit Pricing)</t>
  </si>
  <si>
    <t>Dynamics 365 Customer Voice USL (Education Faculty Pricing)</t>
  </si>
  <si>
    <t>CFQ7TTC0HM43</t>
  </si>
  <si>
    <t>Electronic Invoicing Add-on for Dynamics 365</t>
  </si>
  <si>
    <t>Electronic Invoicing Add-on for Dynamics 365 (Education Student Pricing)</t>
  </si>
  <si>
    <t>Electronic Invoicing Add-on for Dynamics 365 (Non-Profit Pricing)</t>
  </si>
  <si>
    <t>Electronic Invoicing Add-on for Dynamics 365 (Education Faculty Pricing)</t>
  </si>
  <si>
    <t>CFQ7TTC0LFNL</t>
  </si>
  <si>
    <t>Dynamics 365 Field Service Device (Non-Profit Pricing)</t>
  </si>
  <si>
    <t>Dynamics 365 Field Service</t>
  </si>
  <si>
    <t>Dynamics 365 Field Service Attach to Qualifying Dynamics 365 Base Offer</t>
  </si>
  <si>
    <t>Dynamics 365 Field Service Attach to Qualifying Dynamics 365 Base Offer (Education Faculty Pricing)</t>
  </si>
  <si>
    <t>Dynamics 365 Field Service Device (Education Student Pricing)</t>
  </si>
  <si>
    <t>Dynamics 365 Field Service Attach to Qualifying Dynamics 365 Base Offer (Education Student Pricing)</t>
  </si>
  <si>
    <t>Dynamics 365 Field Service (Education Faculty Pricing)</t>
  </si>
  <si>
    <t>Dynamics 365 Field Service Attach to Qualifying Dynamics 365 Base Offer (Non-Profit Pricing)</t>
  </si>
  <si>
    <t>Dynamics 365 Field Service Device (Education Faculty Pricing)</t>
  </si>
  <si>
    <t>Dynamics 365 Field Service (Education Student Pricing)</t>
  </si>
  <si>
    <t>Dynamics 365 Field Service Device</t>
  </si>
  <si>
    <t>Dynamics 365 Field Service (Non-Profit Pricing)</t>
  </si>
  <si>
    <t>CFQ7TTC0LFDN</t>
  </si>
  <si>
    <t>Dynamics 365 Field Service - Resource Scheduling Optimization</t>
  </si>
  <si>
    <t>Dynamics 365 Field Service - Resource Scheduling Optimization (Non-Profit Pricing)</t>
  </si>
  <si>
    <t>CFQ7TTC0LGV4</t>
  </si>
  <si>
    <t>Dynamics 365 Finance (Non-Profit Pricing)</t>
  </si>
  <si>
    <t>Dynamics 365 Finance (Education Student Pricing)</t>
  </si>
  <si>
    <t>Dynamics 365 Finance Attach to Qualifying Dynamics 365 Base Offer (Education Student Pricing)</t>
  </si>
  <si>
    <t>Dynamics 365 Finance</t>
  </si>
  <si>
    <t>Dynamics 365 Finance Attach to Qualifying Dynamics 365 Base Offer (Non-Profit Pricing)</t>
  </si>
  <si>
    <t>Dynamics 365 Finance (Education Faculty Pricing)</t>
  </si>
  <si>
    <t>Dynamics 365 Finance Attach to Qualifying Dynamics 365 Base Offer</t>
  </si>
  <si>
    <t>Dynamics 365 Finance Attach to Qualifying Dynamics 365 Base Offer (Education Faculty Pricing)</t>
  </si>
  <si>
    <t>CFQ7TTC0NL21</t>
  </si>
  <si>
    <t>Dynamics 365 Finance Premium</t>
  </si>
  <si>
    <t>Dynamics 365 Finance Premium (Non-Profit Pricing)</t>
  </si>
  <si>
    <t>Dynamics 365 Finance Premium (Education Student Pricing)</t>
  </si>
  <si>
    <t>Dynamics 365 Finance Premium (Education Faculty Pricing)</t>
  </si>
  <si>
    <t>CFQ7TTC0HD4G</t>
  </si>
  <si>
    <t>Dynamics 365 Human Resources Self Service</t>
  </si>
  <si>
    <t>Dynamics 365 Human Resources Sandbox</t>
  </si>
  <si>
    <t>Dynamics 365 Human Resources Attach to Qualifying Dynamics 365 Base Offer (Education Faculty Pricing)</t>
  </si>
  <si>
    <t>Dynamics 365 Human Resources Attach to Qualifying Dynamics 365 Base Offer</t>
  </si>
  <si>
    <t>Dynamics 365 Human Resources Sandbox (Non-Profit Pricing)</t>
  </si>
  <si>
    <t>Dynamics 365 Human Resources Attach to Qualifying Dynamics 365 Base Offer (Education Student Pricing)</t>
  </si>
  <si>
    <t>Dynamics 365 Human Resources (Non-Profit Pricing)</t>
  </si>
  <si>
    <t>Dynamics 365 Human Resources</t>
  </si>
  <si>
    <t>Dynamics 365 Human Resources Self Service (Education Student Pricing)</t>
  </si>
  <si>
    <t>Dynamics 365 Human Resources Self Service (Non-Profit Pricing)</t>
  </si>
  <si>
    <t>Dynamics 365 Human Resources Self Service (Education Faculty Pricing)</t>
  </si>
  <si>
    <t>Dynamics 365 Human Resources Attach to Qualifying Dynamics 365 Base Offer (Non-Profit Pricing)</t>
  </si>
  <si>
    <t>Dynamics 365 Human Resources Sandbox (Education Student Pricing)</t>
  </si>
  <si>
    <t>Dynamics 365 Human Resources (Education Student Pricing)</t>
  </si>
  <si>
    <t>Dynamics 365 Human Resources Sandbox (Education Faculty Pricing)</t>
  </si>
  <si>
    <t>Dynamics 365 Human Resources (Education Faculty Pricing)</t>
  </si>
  <si>
    <t>CFQ7TTC0J1XF</t>
  </si>
  <si>
    <t>Dynamics 365 Intelligent Order Management (Non-Profit Pricing)</t>
  </si>
  <si>
    <t>Dynamics 365 Intelligent Order Management USL (Non-Profit Pricing)</t>
  </si>
  <si>
    <t>Dynamics 365 Intelligent Order Management USL (Education Student Pricing)</t>
  </si>
  <si>
    <t>Dynamics 365 Intelligent Order Management (Education Student Pricing)</t>
  </si>
  <si>
    <t>Dynamics 365 Intelligent Order Management USL</t>
  </si>
  <si>
    <t>Dynamics 365 Intelligent Order Management USL (Education Faculty Pricing)</t>
  </si>
  <si>
    <t>Dynamics 365 Intelligent Order Management (Education Faculty Pricing)</t>
  </si>
  <si>
    <t>Dynamics 365 Intelligent Order Management</t>
  </si>
  <si>
    <t>CFQ7TTC0J7M0</t>
  </si>
  <si>
    <t>Dynamics 365 Intelligent Voicebot Minutes Add-on (Education Student Pricing)</t>
  </si>
  <si>
    <t>Dynamics 365 Intelligent Voicebot Minutes Add-on</t>
  </si>
  <si>
    <t>Dynamics 365 Intelligent Voicebot Minutes Add-on (Education Faculty Pricing)</t>
  </si>
  <si>
    <t>Dynamics 365 Intelligent Voicebot Minutes Add-on (Non-Profit Pricing)</t>
  </si>
  <si>
    <t>CFQ7TTC0LHXQ</t>
  </si>
  <si>
    <t>Dynamics 365 Operations - Database Capacity</t>
  </si>
  <si>
    <t>Dynamics 365 Operations - Database Capacity (Education Faculty Pricing)</t>
  </si>
  <si>
    <t>Dynamics 365 Operations - Database Capacity (Education Student Pricing)</t>
  </si>
  <si>
    <t>Dynamics 365 Operations - Database Capacity (Education Pricing)</t>
  </si>
  <si>
    <t>Dynamics 365 Operations - Database Capacity (Non-Profit Pricing)</t>
  </si>
  <si>
    <t>CFQ7TTC0NC52</t>
  </si>
  <si>
    <t>Dynamics 365 Operations - Database Capacity Tier 2 (Min 1000GB)</t>
  </si>
  <si>
    <t>CFQ7TTC0LHZ1</t>
  </si>
  <si>
    <t>Dynamics 365 Operations - File Capacity (Education Pricing)</t>
  </si>
  <si>
    <t>Dynamics 365 Operations - File Capacity (Non-Profit Pricing)</t>
  </si>
  <si>
    <t>Dynamics 365 Operations - File Capacity</t>
  </si>
  <si>
    <t>CFQ7TTC0LHV9</t>
  </si>
  <si>
    <t>Dynamics 365 Operations - Sandbox Tier 2:Standard Acceptance Testing (Non-Profit Pricing)</t>
  </si>
  <si>
    <t>Dynamics 365 Operations - Sandbox Tier 2:Standard Acceptance Testing (Education Faculty Pricing)</t>
  </si>
  <si>
    <t>Dynamics 365 Operations - Sandbox Tier 2:Standard Acceptance Testing</t>
  </si>
  <si>
    <t>CFQ7TTC0LHVN</t>
  </si>
  <si>
    <t>Dynamics 365 Operations - Sandbox Tier 3:Premier Acceptance Testing (Non-Profit Pricing)</t>
  </si>
  <si>
    <t>Dynamics 365 Operations - Sandbox Tier 3:Premier Acceptance Testing</t>
  </si>
  <si>
    <t>Dynamics 365 Operations - Sandbox Tier 3:Premier Acceptance Testing (Education Faculty Pricing)</t>
  </si>
  <si>
    <t>CFQ7TTC0LHXZ</t>
  </si>
  <si>
    <t>Dynamics 365 Operations - Sandbox Tier 4:Standard Performance Testing (Education Faculty Pricing)</t>
  </si>
  <si>
    <t>Dynamics 365 Operations - Sandbox Tier 4:Standard Performance Testing</t>
  </si>
  <si>
    <t>Dynamics 365 Operations - Sandbox Tier 4:Standard Performance Testing (36 mo) (Non-Profit Pricing)</t>
  </si>
  <si>
    <t>CFQ7TTC0LHVG</t>
  </si>
  <si>
    <t>Dynamics 365 Operations - Sandbox Tier 5:Premier Performance Testing (Non-Profit Pricing)</t>
  </si>
  <si>
    <t>Dynamics 365 Operations - Sandbox Tier 5:Premier Performance Testing</t>
  </si>
  <si>
    <t>Dynamics 365 Operations - Sandbox Tier 5:Premier Performance Testing (Education Faculty Pricing)</t>
  </si>
  <si>
    <t>CFQ7TTC0LHX0</t>
  </si>
  <si>
    <t>Dynamics 365 Operations – Activity (Education Faculty Pricing)</t>
  </si>
  <si>
    <t>Dynamics 365 Operations – Activity (36 mo) (Non-Profit Pricing)</t>
  </si>
  <si>
    <t>Dynamics 365 Operations – Activity</t>
  </si>
  <si>
    <t>Dynamics 365 Operations – Activity (Education Student Pricing)</t>
  </si>
  <si>
    <t>CFQ7TTC0LHVJ</t>
  </si>
  <si>
    <t>Dynamics 365 Operations – Device (Education Faculty Pricing)</t>
  </si>
  <si>
    <t>Dynamics 365 Operations – Device</t>
  </si>
  <si>
    <t>Dynamics 365 Operations – Device (36 mo) (Non-Profit Pricing)</t>
  </si>
  <si>
    <t>Dynamics 365 Operations – Device (Education Student Pricing)</t>
  </si>
  <si>
    <t>CFQ7TTC0HD4D</t>
  </si>
  <si>
    <t>Dynamics 365 Project Operations</t>
  </si>
  <si>
    <t>Dynamics 365 Project Operations Attach (Education Student Pricing)</t>
  </si>
  <si>
    <t>Dynamics 365 Project Operations Attach (Non-Profit Pricing)</t>
  </si>
  <si>
    <t>Dynamics 365 Project Operations (Non-Profit Pricing)</t>
  </si>
  <si>
    <t>Dynamics 365 Project Operations (Education Student Pricing)</t>
  </si>
  <si>
    <t>Dynamics 365 Project Operations Attach (Education Faculty Pricing)</t>
  </si>
  <si>
    <t>Dynamics 365 Project Operations Attach</t>
  </si>
  <si>
    <t>Dynamics 365 Project Operations (Education Faculty Pricing)</t>
  </si>
  <si>
    <t>CFQ7TTC0LFF1</t>
  </si>
  <si>
    <t>Dynamics 365 Sales Enterprise Edition Device</t>
  </si>
  <si>
    <t>Dynamics 365 Sales Enterprise Edition</t>
  </si>
  <si>
    <t>Dynamics 365 Sales Enterprise Attach to Qualifying Dynamics 365 Base Offer (Education Student Pricing)</t>
  </si>
  <si>
    <t>Dynamics 365 Sales Enterprise Attach to Qualifying Dynamics 365 Base Offer</t>
  </si>
  <si>
    <t>Dynamics 365 Sales Enterprise Attach to Qualifying Dynamics 365 Base Offer (Non-Profit Pricing)</t>
  </si>
  <si>
    <t>Dynamics 365 Sales Enterprise Edition Device (Non-Profit Pricing)</t>
  </si>
  <si>
    <t>Dynamics 365 Sales Enterprise Edition Device (Education Student Pricing)</t>
  </si>
  <si>
    <t>Dynamics 365 Sales Enterprise Edition (Non-Profit Pricing)</t>
  </si>
  <si>
    <t>Dynamics 365 Sales Enterprise Attach to Qualifying Dynamics 365 Base Offer (Education Faculty Pricing)</t>
  </si>
  <si>
    <t>Dynamics 365 Sales Enterprise Edition Device (Education Faculty Pricing)</t>
  </si>
  <si>
    <t>Dynamics 365 Sales Enterprise Edition (Education Student Pricing)</t>
  </si>
  <si>
    <t>Dynamics 365 Sales Enterprise Edition (Education Faculty Pricing)</t>
  </si>
  <si>
    <t>CFQ7TTC0LHZ3</t>
  </si>
  <si>
    <t>Dynamics 365 Sales Insights (Education Faculty Pricing)</t>
  </si>
  <si>
    <t>Dynamics 365 Sales Insights (Education Student Pricing)</t>
  </si>
  <si>
    <t>Dynamics 365 Sales Insights (Non-Profit Pricing)</t>
  </si>
  <si>
    <t>Dynamics 365 Sales Insights</t>
  </si>
  <si>
    <t>CFQ7TTC0HBSJ</t>
  </si>
  <si>
    <t>Dynamics 365 Sales Premium (Education Faculty Pricing)</t>
  </si>
  <si>
    <t>Dynamics 365 Sales Premium (Education Student Pricing)</t>
  </si>
  <si>
    <t>Dynamics 365 Sales Premium</t>
  </si>
  <si>
    <t>Dynamics 365 Sales Premium (Non-Profit Pricing)</t>
  </si>
  <si>
    <t>CFQ7TTC0LFN5</t>
  </si>
  <si>
    <t>Dynamics 365 Sales Professional Attach to Qualifying Dynamics 365 Base Offer</t>
  </si>
  <si>
    <t>Dynamics 365 Sales Professional</t>
  </si>
  <si>
    <t>Dynamics 365 Sales Professional (Education Faculty Pricing)</t>
  </si>
  <si>
    <t>Dynamics 365 Sales Professional Attach to Qualifying Dynamics 365 Base Offer (Education Faculty Pricing)</t>
  </si>
  <si>
    <t>Dynamics 365 Sales Professional Attach to Qualifying Dynamics 365 Base Offer (Non-Profit Pricing)</t>
  </si>
  <si>
    <t>Dynamics 365 Sales Professional (Education Student Pricing)</t>
  </si>
  <si>
    <t>Dynamics 365 Sales Professional Attach to Qualifying Dynamics 365 Base Offer (Education Student Pricing)</t>
  </si>
  <si>
    <t>Dynamics 365 Sales Professional (Non-Profit Pricing)</t>
  </si>
  <si>
    <t>CFQ7TTC0LH31</t>
  </si>
  <si>
    <t>Dynamics 365 Supply Chain Management Attach to Qualifying Dynamics 365 Base Offer (36 mo) (Non-Profit Pricing)</t>
  </si>
  <si>
    <t>Dynamics 365 Supply Chain Management (Education Student Pricing)</t>
  </si>
  <si>
    <t>Dynamics 365 Supply Chain Management</t>
  </si>
  <si>
    <t>Dynamics 365 Supply Chain Management Attach to Qualifying Dynamics 365 Base Offer (Education Faculty Pricing)</t>
  </si>
  <si>
    <t>Dynamics 365 Supply Chain Management Attach to Qualifying Dynamics 365 Base Offer</t>
  </si>
  <si>
    <t>Dynamics 365 Supply Chain Management (36 mo) (Non-Profit Pricing)</t>
  </si>
  <si>
    <t>Dynamics 365 Supply Chain Management (Education Faculty Pricing)</t>
  </si>
  <si>
    <t>Dynamics 365 Supply Chain Management Attach to Qualifying Dynamics 365 Base Offer (Education Student Pricing)</t>
  </si>
  <si>
    <t>CFQ7TTC0P17W</t>
  </si>
  <si>
    <t>Dynamics 365 Supply Chain Management Premium (Non-Profit Pricing)</t>
  </si>
  <si>
    <t>Dynamics 365 Supply Chain Management Premium</t>
  </si>
  <si>
    <t>Dynamics 365 Supply Chain Management Premium (Education Faculty Pricing)</t>
  </si>
  <si>
    <t>Dynamics 365 Supply Chain Management Premium (Education Student Pricing)</t>
  </si>
  <si>
    <t>CFQ7TTC0LFNJ</t>
  </si>
  <si>
    <t>Dynamics 365 Team Members (Education Student Pricing)</t>
  </si>
  <si>
    <t>Dynamics 365 Team Members</t>
  </si>
  <si>
    <t>Dynamics 365 Team Members for Migration</t>
  </si>
  <si>
    <t>Dynamics 365 Team Members (Non-Profit Pricing)</t>
  </si>
  <si>
    <t>Dynamics 365 Team Members (Education Faculty Pricing)</t>
  </si>
  <si>
    <t>CFQ7TTC0HD42</t>
  </si>
  <si>
    <t>Dynamics 365 Commerce Scale Unit Basic - Cloud (Education Student Pricing)</t>
  </si>
  <si>
    <t>Dynamics 365 Commerce Scale Unit Standard - Cloud (Non-Profit Pricing)</t>
  </si>
  <si>
    <t>Dynamics 365 Commerce Scale Unit Basic - Cloud (Non-Profit Pricing)</t>
  </si>
  <si>
    <t>Dynamics 365 Commerce Scale Unit Standard - Cloud (Education Faculty Pricing)</t>
  </si>
  <si>
    <t>Dynamics 365 Commerce Scale Unit Premium - Cloud</t>
  </si>
  <si>
    <t>Dynamics 365 Commerce Scale Unit Standard - Cloud</t>
  </si>
  <si>
    <t>Dynamics 365 Commerce Scale Unit Premium - Cloud (Non-Profit Pricing)</t>
  </si>
  <si>
    <t>Dynamics 365 Commerce Scale Unit Basic - Cloud</t>
  </si>
  <si>
    <t>Dynamics 365 Commerce Scale Unit Basic - Cloud (Education Faculty Pricing)</t>
  </si>
  <si>
    <t>Dynamics 365 Commerce Scale Unit Premium - Cloud (Education Student Pricing)</t>
  </si>
  <si>
    <t>Dynamics 365 Commerce Ratings and Reviews</t>
  </si>
  <si>
    <t>Dynamics 365 Commerce Scale Unit Premium - Cloud (Education Faculty Pricing)</t>
  </si>
  <si>
    <t>Dynamics 365 Commerce Scale Unit Standard - Cloud (Education Student Pricing)</t>
  </si>
  <si>
    <t>Enterprise Mobility + Security A3 (Education Student Pricing)</t>
  </si>
  <si>
    <t>Enterprise Mobility + Security A3 (Education Faculty Pricing)</t>
  </si>
  <si>
    <t>Enterprise Mobility + Security A3 Student use benefit (Education Student Pricing)</t>
  </si>
  <si>
    <t>Enterprise Mobility + Security A5 (Education Student Pricing)</t>
  </si>
  <si>
    <t>Enterprise Mobility + Security A5 (Education Faculty Pricing)</t>
  </si>
  <si>
    <t>Enterprise Mobility + Security A5 Student use benefit (Education Student Pricing)</t>
  </si>
  <si>
    <t>Enterprise Mobility + Security E3 (Non-Profit Pricing)</t>
  </si>
  <si>
    <t>Enterprise Mobility + Security E5 (Non-Profit Pricing)</t>
  </si>
  <si>
    <t>CFQ7TTC0LH16</t>
  </si>
  <si>
    <t>Exchange Online (Plan 1)</t>
  </si>
  <si>
    <t>CFQ7TTC0LH1P</t>
  </si>
  <si>
    <t>Exchange Online (Plan 2)</t>
  </si>
  <si>
    <t>CFQ7TTC0LH0J</t>
  </si>
  <si>
    <t>Exchange Online Archiving for Exchange Online (Non-Profit Pricing)</t>
  </si>
  <si>
    <t>Exchange Online Archiving for Exchange Online</t>
  </si>
  <si>
    <t>CFQ7TTC0LHQ5</t>
  </si>
  <si>
    <t>Exchange Online Archiving for Exchange Server</t>
  </si>
  <si>
    <t>CFQ7TTC0LH0L</t>
  </si>
  <si>
    <t>Exchange Online Kiosk</t>
  </si>
  <si>
    <t>CFQ7TTC0HD4F</t>
  </si>
  <si>
    <t>Sensor Data Intelligence Scenario Add-in for Dynamics 365 Supply Chain Management</t>
  </si>
  <si>
    <t>Sensor Data Intelligence Additional Machines Add-in for Dynamics 365 Supply Chain Management</t>
  </si>
  <si>
    <t>Microsoft 365 A3 (Education Student Pricing)</t>
  </si>
  <si>
    <t>Microsoft 365 A3 - Unattended License (Education Faculty Pricing)</t>
  </si>
  <si>
    <t>Microsoft 365 A3 (Education Faculty Pricing)</t>
  </si>
  <si>
    <t>Microsoft 365 A3 - Unattended License (Education Student Pricing)</t>
  </si>
  <si>
    <t>Microsoft 365 A3 for Students use benefit (Education Student Pricing)</t>
  </si>
  <si>
    <t>Microsoft 365 A5 without Audio Conferencing (Education Faculty Pricing)</t>
  </si>
  <si>
    <t>Microsoft 365 A5 without Audio Conferencing Student use benefit (Education Student Pricing)</t>
  </si>
  <si>
    <t>Microsoft 365 A5 without Audio Conferencing (Education Student Pricing)</t>
  </si>
  <si>
    <t>Microsoft 365 A5 with Calling Minutes (Education Student Pricing)</t>
  </si>
  <si>
    <t>Microsoft 365 A5 with Calling Minutes (Education Faculty Pricing)</t>
  </si>
  <si>
    <t>Microsoft 365 A5 Student use benefit (Education Student Pricing)</t>
  </si>
  <si>
    <t>CFQ7TTC0LH1G</t>
  </si>
  <si>
    <t>Microsoft 365 Apps for business</t>
  </si>
  <si>
    <t>CFQ7TTC0LGZT</t>
  </si>
  <si>
    <t>Microsoft 365 Apps Students use benefits (Education Student Pricing)</t>
  </si>
  <si>
    <t>Microsoft 365 Apps (Education Student Pricing)</t>
  </si>
  <si>
    <t>Microsoft 365 Apps for enterprise</t>
  </si>
  <si>
    <t>Microsoft 365 Apps (Education Faculty Pricing)</t>
  </si>
  <si>
    <t>Microsoft 365 Apps for enterprise (Non-Profit Pricing)</t>
  </si>
  <si>
    <t>Operator Connect Conferencing for Student (Education Student Pricing)</t>
  </si>
  <si>
    <t>Operator Connect Conferencing (Education Faculty Pricing)</t>
  </si>
  <si>
    <t>Extended Dial-out Minutes to USA/CAN (Education Faculty Pricing)</t>
  </si>
  <si>
    <t>Extended Dial-out Minutes to USA/CAN (Education Student Pricing)</t>
  </si>
  <si>
    <t>Microsoft 365 Business Basic Donation (Non-Profit Pricing)</t>
  </si>
  <si>
    <t>Microsoft 365 Business Premium with Copilot (no Teams)</t>
  </si>
  <si>
    <t>Microsoft 365 Business Premium (Nonprofit Staff Pricing)</t>
  </si>
  <si>
    <t>Microsoft 365 Business Premium with Copilot</t>
  </si>
  <si>
    <t>Microsoft 365 Business Standard with Copilot (no Teams)</t>
  </si>
  <si>
    <t>Microsoft 365 Business Standard (Non-Profit Pricing)</t>
  </si>
  <si>
    <t>Microsoft 365 Business Standard with Copilot</t>
  </si>
  <si>
    <t>Microsoft 365 Copilot (Non-Profit Pricing)</t>
  </si>
  <si>
    <t>Microsoft 365 Copilot Business</t>
  </si>
  <si>
    <t>Copilot for Microsoft 365 (Education Student 13+)</t>
  </si>
  <si>
    <t>Microsoft Copilot for Microsoft 365 A3 and A5 (Education Faculty Pricing)</t>
  </si>
  <si>
    <t>Microsoft 365 E3 (Non-Profit Pricing) - 3 Year</t>
  </si>
  <si>
    <t>Microsoft 365 E3 (Non-Profit Pricing)</t>
  </si>
  <si>
    <t>Entra P2 Add On</t>
  </si>
  <si>
    <t>Microsoft 365 E3 - Unattended License - 3 year</t>
  </si>
  <si>
    <t>Microsoft 365 E3 (no Teams) - Unattended License - 3 year</t>
  </si>
  <si>
    <t>Microsoft 365 E3 (no Teams) - 3 year</t>
  </si>
  <si>
    <t>Microsoft 365 E5 without Audio Conferencing - 3 year</t>
  </si>
  <si>
    <t>Microsoft 365 E5 without Audio Conferencing (Non-Profit Pricing)</t>
  </si>
  <si>
    <t>Microsoft 365 E5 (no Teams) without Audio Conferencing - 3 year</t>
  </si>
  <si>
    <t>Microsoft 365 A5 eDiscovery and Audit (Education Faculty Pricing)</t>
  </si>
  <si>
    <t>Microsoft 365 E5 eDiscovery and Audit - Student Use Benefit Add-on</t>
  </si>
  <si>
    <t>Microsoft 365 A5 eDiscovery and Audit (Education Student Pricing)</t>
  </si>
  <si>
    <t>Microsoft 365 E5 eDiscovery and Audit (Non-Profit Pricing)</t>
  </si>
  <si>
    <t>Microsoft 365 E5 Information Protection and Governance (Non-Profit Pricing)</t>
  </si>
  <si>
    <t>Microsoft 365 A5 Information Protection and Governance (Education Student Pricing)</t>
  </si>
  <si>
    <t>Microsoft 365 E5 Information Protection and Governance - Student Use Benefit Add-on</t>
  </si>
  <si>
    <t>Microsoft 365 A5 Insider Risk Management (Education Student Pricing)</t>
  </si>
  <si>
    <t>Microsoft 365 E5 Insider Risk Management - Student Use Benefit Add-on</t>
  </si>
  <si>
    <t>Microsoft 365 A5 Insider Risk Management (Education Faculty Pricing)</t>
  </si>
  <si>
    <t>Microsoft 365 E5 Insider Risk Management (Non-Profit Pricing)</t>
  </si>
  <si>
    <t>Microsoft 365 E7 (no Teams) without Audio Conferencing</t>
  </si>
  <si>
    <t>Microsoft 365 E7 without Audio Conferencing</t>
  </si>
  <si>
    <t>CFQ7TTC0N1T1</t>
  </si>
  <si>
    <t>Microsoft 365 Education 10 TB Additional Storage (Education Faculty Pricing)</t>
  </si>
  <si>
    <t>Microsoft 365 Education Voice Plan 1 Add-On to A5 (Education Student Pricing)</t>
  </si>
  <si>
    <t>Microsoft 365 Education Voice Plan 1 Add-On to A5 (Education Faculty Pricing)</t>
  </si>
  <si>
    <t>Microsoft Defender Suite Add-on FLW (Non-Profit Pricing)</t>
  </si>
  <si>
    <t>Microsoft Purview Suite Add-on FLW</t>
  </si>
  <si>
    <t>Microsoft 365 F1 (no Teams)</t>
  </si>
  <si>
    <t>Microsoft Defender Suite Add-on FLW</t>
  </si>
  <si>
    <t>Microsoft Defender + Purview Suite Add-on for FLW</t>
  </si>
  <si>
    <t>Microsoft 365 F1 (Non-Profit Pricing)</t>
  </si>
  <si>
    <t>Microsoft Purview Suite Add-on FLW (Non-Profit Pricing)</t>
  </si>
  <si>
    <t>Microsoft Defender + Purview Suite Add-on for FLW (Non-Profit Pricing)</t>
  </si>
  <si>
    <t>CFQ7TTC0LH05</t>
  </si>
  <si>
    <t>Microsoft 365 F3 (no Teams)</t>
  </si>
  <si>
    <t>Microsoft 365 F3</t>
  </si>
  <si>
    <t>Microsoft 365 F3 (Non-Profit Pricing)</t>
  </si>
  <si>
    <t>Clipchamp Standard (Non-Profit Pricing)</t>
  </si>
  <si>
    <t>Clipchamp Premium (Non-Profit Pricing)</t>
  </si>
  <si>
    <t>Clipchamp Premium Add-on (Non-Profit Pricing)</t>
  </si>
  <si>
    <t>CFQ7TTC0P4WT</t>
  </si>
  <si>
    <t>Microsoft Cloud PKI for FLW</t>
  </si>
  <si>
    <t>Microsoft Cloud PKI</t>
  </si>
  <si>
    <t>Microsoft Cloud PKI (Non-Profit Pricing)</t>
  </si>
  <si>
    <t>Microsoft Cloud PKI (Education Student Pricing)</t>
  </si>
  <si>
    <t>Microsoft Cloud PKI (Education Faculty Pricing)</t>
  </si>
  <si>
    <t>Power Virtual Agent User License (Non-Profit Pricing)</t>
  </si>
  <si>
    <t>Copilot Studio Edu Sub (Messages)</t>
  </si>
  <si>
    <t>Power Virtual Agent User License (Education Faculty Pricing)</t>
  </si>
  <si>
    <t>Microsoft Defender for Business (Non-Profit Pricing)</t>
  </si>
  <si>
    <t>Microsoft Defender for Business servers (Non-Profit Pricing)</t>
  </si>
  <si>
    <t>Microsoft Defender for Cloud Apps (Non-Profit Pricing)</t>
  </si>
  <si>
    <t>Microsoft Defender for Cloud Apps (Education Student Pricing)</t>
  </si>
  <si>
    <t>Microsoft Defender for Cloud Apps (Education Faculty Pricing)</t>
  </si>
  <si>
    <t>Microsoft Defender for Endpoint P1 (Education Faculty Pricing)</t>
  </si>
  <si>
    <t>Microsoft Defender for Endpoint P1 (Education Student Pricing)</t>
  </si>
  <si>
    <t>Microsoft Defender for Endpoint F1</t>
  </si>
  <si>
    <t>Microsoft Defender for Endpoint P1 (Non-Profit Pricing)</t>
  </si>
  <si>
    <t>Microsoft Defender for Endpoint F2</t>
  </si>
  <si>
    <t>Microsoft Defender for Endpoint P2 (Education Pricing)</t>
  </si>
  <si>
    <t>Microsoft Defender for Endpoint Server (Non-Profit Pricing)</t>
  </si>
  <si>
    <t>Microsoft Defender for Endpoint P2 for Student (Education Student Pricing)</t>
  </si>
  <si>
    <t>Microsoft Defender for Endpoint Server (Education Pricing)</t>
  </si>
  <si>
    <t>Microsoft Defender for Endpoint P2 (Non-Profit Pricing)</t>
  </si>
  <si>
    <t>Microsoft Defender for Identity (Education Faculty Pricing)</t>
  </si>
  <si>
    <t>Microsoft Defender for Identity (Non-Profit Pricing)</t>
  </si>
  <si>
    <t>Microsoft Defender for Identity (Education Student Pricing)</t>
  </si>
  <si>
    <t>Microsoft Defender for IoT - EIoT Device License - add-on (Education Faculty Pricing)</t>
  </si>
  <si>
    <t>Microsoft Defender for IoT - EIoT Device License - add-on (Education Student Pricing)</t>
  </si>
  <si>
    <t>Microsoft Defender for IoT - OT site license - S (Education Faculty Pricing)</t>
  </si>
  <si>
    <t>Microsoft Defender for IoT - OT site license - M (Education Student Pricing)</t>
  </si>
  <si>
    <t>Microsoft Defender for IoT - OT site license - XL (Education Faculty Pricing)</t>
  </si>
  <si>
    <t>Microsoft Defender for IoT - OT site license - XL (Education Student Pricing)</t>
  </si>
  <si>
    <t>Microsoft Defender for IoT - OT site license - M (Education Faculty Pricing)</t>
  </si>
  <si>
    <t>Microsoft Defender for IoT - OT site license - S (Education Student Pricing)</t>
  </si>
  <si>
    <t>Microsoft Defender for IoT - OT site license - L (Education Faculty Pricing)</t>
  </si>
  <si>
    <t>Microsoft Defender for IoT - OT site license - XS (Education Student Pricing)</t>
  </si>
  <si>
    <t>Microsoft Defender for IoT - OT site license - XS (Education Faculty Pricing)</t>
  </si>
  <si>
    <t>Microsoft Defender for IoT - OT site license - L (Education Student Pricing)</t>
  </si>
  <si>
    <t>CFQ7TTC0LH04</t>
  </si>
  <si>
    <t>Microsoft Defender for Office 365 (Plan 1) (Education Faculty Pricing)</t>
  </si>
  <si>
    <t>Microsoft Defender for Office 365 (Plan 1) (Education Student Pricing)</t>
  </si>
  <si>
    <t>Microsoft Defender for Office 365 (Plan 1) (Non-Profit Pricing)</t>
  </si>
  <si>
    <t>Microsoft Defender for Office 365 (Plan 1) Student use benefit (Education Student Pricing)</t>
  </si>
  <si>
    <t>Microsoft Defender for Office 365 F1</t>
  </si>
  <si>
    <t>Microsoft Defender for Office 365 (Plan 1)</t>
  </si>
  <si>
    <t>CFQ7TTC0LHXH</t>
  </si>
  <si>
    <t>Microsoft Defender for Office 365 (Plan 2)</t>
  </si>
  <si>
    <t>Microsoft Defender for Office 365 (Plan 2) Student (Education Student Pricing)</t>
  </si>
  <si>
    <t>Microsoft Defender for Office 365 F2</t>
  </si>
  <si>
    <t>Defender for Office 365 P2 Add On</t>
  </si>
  <si>
    <t>Microsoft Defender for Office 365 (Plan 2) (Non-Profit Pricing)</t>
  </si>
  <si>
    <t>Microsoft Defender for Office 365 (Plan 2) (Education Faculty Pricing)</t>
  </si>
  <si>
    <t>Microsoft Defender Suite (Non-Profit Pricing)</t>
  </si>
  <si>
    <t>Microsoft Defender Suite - 3 year</t>
  </si>
  <si>
    <t>Microsoft Defender Suite (Education Faculty Pricing)</t>
  </si>
  <si>
    <t>Microsoft Defender Suite Edu (Education Student Pricing)</t>
  </si>
  <si>
    <t>Microsoft Defender Suite Edu for student use benefits (Education Student Pricing)</t>
  </si>
  <si>
    <t>Microsoft Defender Vulnerability Management Add-on (Non-Profit Pricing)</t>
  </si>
  <si>
    <t>Microsoft Defender Vulnerability Management (Education Student Pricing)</t>
  </si>
  <si>
    <t>Microsoft Defender Vulnerability Management (Education Faculty Pricing)</t>
  </si>
  <si>
    <t>Microsoft Defender Vulnerability Management Add-on (Education Student Pricing)</t>
  </si>
  <si>
    <t>Microsoft Defender Vulnerability Management Add-on (Education Faculty Pricing)</t>
  </si>
  <si>
    <t>Microsoft Defender Vulnerability Management Add-On Server (Educational Faculty Pricing)</t>
  </si>
  <si>
    <t>Microsoft Entra ID Governance Add-on for Microsoft Entra ID P2 (Education Faculty Pricing)</t>
  </si>
  <si>
    <t>Microsoft Entra ID Governance Add-on for Microsoft Entra ID P2 (Education Student Pricing)</t>
  </si>
  <si>
    <t>Microsoft Entra ID Governance (Education Faculty Pricing)</t>
  </si>
  <si>
    <t>Microsoft Entra ID Governance (Education Student Pricing)</t>
  </si>
  <si>
    <t>Microsoft Entra ID P1</t>
  </si>
  <si>
    <t>Microsoft Entra ID P1 (Education Student Pricing)</t>
  </si>
  <si>
    <t>Microsoft Entra ID P1 Students use benefit (Education Student Pricing)</t>
  </si>
  <si>
    <t>Microsoft Entra ID P1 (Education Faculty Pricing)</t>
  </si>
  <si>
    <t>Microsoft Entra ID P1 (Non-Profit Pricing)</t>
  </si>
  <si>
    <t>Microsoft Entra ID P2 (Non-Profit Pricing)</t>
  </si>
  <si>
    <t>Microsoft Entra ID P2 (Education Student Pricing)</t>
  </si>
  <si>
    <t>Microsoft Entra ID P2 for Students use benefit (Education Student Pricing)</t>
  </si>
  <si>
    <t>Microsoft Entra ID P2 for faculty (Education Faculty Pricing)</t>
  </si>
  <si>
    <t>Microsoft Entra Private Access for FLW</t>
  </si>
  <si>
    <t>Microsoft Entra Private Access</t>
  </si>
  <si>
    <t>Microsoft Entra Internet Access</t>
  </si>
  <si>
    <t>Microsoft Entra Internet Access (Education Faculty Pricing)</t>
  </si>
  <si>
    <t>Microsoft Entra Private Access (Education Student Pricing)</t>
  </si>
  <si>
    <t>Remote Network Bandwidth (Education Faculty Pricing)</t>
  </si>
  <si>
    <t>Microsoft Entra Internet Access for FLW</t>
  </si>
  <si>
    <t>Remote Network Bandwidth (Education Student Pricing)</t>
  </si>
  <si>
    <t>Microsoft Entra Private Access (Education Faculty Pricing)</t>
  </si>
  <si>
    <t>Microsoft Entra Internet Access (Education Student Pricing)</t>
  </si>
  <si>
    <t>Microsoft Entra Suite Add-on for Microsoft Entra ID P2 (Education Student Pricing)</t>
  </si>
  <si>
    <t>Microsoft Entra Suite Add-on for Microsoft Entra ID P2 (Education Faculty Pricing)</t>
  </si>
  <si>
    <t>Microsoft Entra Suite for faculty</t>
  </si>
  <si>
    <t>Microsoft Entra Suite for student</t>
  </si>
  <si>
    <t>Microsoft Entra Suite (Non-Profit Pricing)</t>
  </si>
  <si>
    <t>Microsoft Intune Advanced Analytics (Education Student Pricing)</t>
  </si>
  <si>
    <t>Microsoft Intune Advanced Analytics (Education Faculty Pricing)</t>
  </si>
  <si>
    <t>Microsoft Intune Advanced Analytics (Non-Profit Pricing)</t>
  </si>
  <si>
    <t>Microsoft Intune Endpoint Privilege Management (Non-Profit Pricing)</t>
  </si>
  <si>
    <t>Microsoft Intune Endpoint Privilege Management (Education Faculty Pricing)</t>
  </si>
  <si>
    <t>Microsoft Intune Endpoint Privilege Management (Education Student Pricing)</t>
  </si>
  <si>
    <t>Microsoft Intune Enterprise Application Management (Non-Profit Pricing)</t>
  </si>
  <si>
    <t>Microsoft Intune Enterprise Application Management (Education Faculty Pricing)</t>
  </si>
  <si>
    <t>Microsoft Intune Enterprise Application Management (Education Student Pricing)</t>
  </si>
  <si>
    <t>CFQ7TTC0LCH4</t>
  </si>
  <si>
    <t>Microsoft Intune Plan 1 Storage Add-On</t>
  </si>
  <si>
    <t>Microsoft Intune Plan 1 Device</t>
  </si>
  <si>
    <t>Microsoft Intune (Education Student Pricing)</t>
  </si>
  <si>
    <t>Microsoft Intune (Non-Profit Pricing)</t>
  </si>
  <si>
    <t>Microsoft Intune Plan 1</t>
  </si>
  <si>
    <t>CFQ7TTC0LSNL</t>
  </si>
  <si>
    <t>Microsoft Intune for Education (Education Faculty Pricing)</t>
  </si>
  <si>
    <t>Microsoft Intune for Education (Education Student Pricing)</t>
  </si>
  <si>
    <t>Microsoft Intune Students use benefit (Education Student Pricing)</t>
  </si>
  <si>
    <t>Microsoft Intune Plan 2 (Non-Profit Pricing)</t>
  </si>
  <si>
    <t>Microsoft Intune Plan 2 (Education Student Pricing)</t>
  </si>
  <si>
    <t>Microsoft Intune Plan 2 (Education Faculty Pricing)</t>
  </si>
  <si>
    <t>Microsoft Intune Suite (Education Student Pricing)</t>
  </si>
  <si>
    <t>Microsoft Intune Suite (Non-Profit Pricing)</t>
  </si>
  <si>
    <t>Microsoft Intune Suite (Education Faculty Pricing)</t>
  </si>
  <si>
    <t>Compliance Manager Premium Assessment Add-On (Education Pricing)</t>
  </si>
  <si>
    <t>Microsoft Purview Suite (Non-Profit Pricing)</t>
  </si>
  <si>
    <t>Microsoft Purview Suite - 3 year</t>
  </si>
  <si>
    <t>Microsoft Purview Suite Edu for faculty (Education Faculty Pricing)</t>
  </si>
  <si>
    <t>Microsoft Purview Suite Edu - Student Use Benefit Add-on (Education Student Pricing)</t>
  </si>
  <si>
    <t>Microsoft Purview Suite Edu for students (Education Student Pricing)</t>
  </si>
  <si>
    <t>CFQ7TTC0LH0C</t>
  </si>
  <si>
    <t>Microsoft Stream Plan 2 for Office 365 Add-On (Education Student Pricing)</t>
  </si>
  <si>
    <t>Microsoft Stream Plan 2 for Office 365 Add-On (Education Faculty Pricing)</t>
  </si>
  <si>
    <t>Microsoft Stream Plan 2 for Office 365 Add-On</t>
  </si>
  <si>
    <t>Microsoft Stream Plan 2 for Office 365 Add-On (Non-Profit Pricing)</t>
  </si>
  <si>
    <t>CFQ7TTC0LHPG</t>
  </si>
  <si>
    <t>Microsoft Stream Storage Add-On (500 GB) (Non-Profit Pricing)</t>
  </si>
  <si>
    <t>Microsoft Stream Storage Add-On (500 GB) (Education Student Pricing)</t>
  </si>
  <si>
    <t>Microsoft Stream Storage Add-On (500 GB)</t>
  </si>
  <si>
    <t>Microsoft Stream Storage Add-On (500 GB) (Education Faculty Pricing)</t>
  </si>
  <si>
    <t>CFQ7TTC0Q171</t>
  </si>
  <si>
    <t>Microsoft Sustainability Manager (Non-Profit Pricing)</t>
  </si>
  <si>
    <t>Microsoft Sustainability Manager (Education Student Pricing)</t>
  </si>
  <si>
    <t>Microsoft Sustainability Manager USL (Education Student Pricing)</t>
  </si>
  <si>
    <t>Microsoft Sustainability Manager USL (Non-Profit Pricing)</t>
  </si>
  <si>
    <t>Microsoft Sustainability Manager (Education Faculty Pricing)</t>
  </si>
  <si>
    <t>Microsoft Sustainability Manager USL (Education Faculty Pricing)</t>
  </si>
  <si>
    <t>Microsoft Sustainability Manager Essentials</t>
  </si>
  <si>
    <t>Microsoft Sustainability Manager USL Essentials</t>
  </si>
  <si>
    <t>CFQ7TTC0N38H</t>
  </si>
  <si>
    <t>Microsoft Sustainability Manager Premium USL (Non-Profit Pricing)</t>
  </si>
  <si>
    <t>Microsoft Sustainability Manager Premium</t>
  </si>
  <si>
    <t>Microsoft Sustainability Manager Premium (Non-Profit Pricing)</t>
  </si>
  <si>
    <t>Microsoft Sustainability Manager Premium USL</t>
  </si>
  <si>
    <t>CFQ7TTC0MZJF</t>
  </si>
  <si>
    <t>Microsoft Teams Enterprise – Unattended License</t>
  </si>
  <si>
    <t>Microsoft Teams Enterprise</t>
  </si>
  <si>
    <t>Microsoft Teams Enterprise – Unattended License - 3 year</t>
  </si>
  <si>
    <t>Microsoft Teams Enterprise - 3 year</t>
  </si>
  <si>
    <t>CFQ7TTC0JN4R</t>
  </si>
  <si>
    <t>Microsoft Teams Essentials</t>
  </si>
  <si>
    <t>CFQ7TTC0MJ3G</t>
  </si>
  <si>
    <t>Teams Essentials and Teams Phone with domestic calling</t>
  </si>
  <si>
    <t>CFQ7TTC0MJ2C</t>
  </si>
  <si>
    <t>Teams Essentials and Teams Phone with pay-as-you-go calling (country zone 2)</t>
  </si>
  <si>
    <t>CFQ7TTC0RC5R</t>
  </si>
  <si>
    <t>Microsoft Teams Essential with Phone</t>
  </si>
  <si>
    <t>Microsoft Teams Phone Resource Account (Education Faculty Pricing)</t>
  </si>
  <si>
    <t>Microsoft Teams Phone Resource Account</t>
  </si>
  <si>
    <t>Microsoft Teams Phone - Resource Account (Education Student Pricing)</t>
  </si>
  <si>
    <t>Microsoft Teams Phone Standard (Non-Profit Pricing)</t>
  </si>
  <si>
    <t>Microsoft Teams Phone Standard for student (Education Student Pricing)</t>
  </si>
  <si>
    <t>Microsoft Teams Phone Standard (Education Faculty Pricing)</t>
  </si>
  <si>
    <t>Microsoft Teams Rooms Pro without Audio Conferencing (Education Faculty Pricing)</t>
  </si>
  <si>
    <t>Microsoft Teams Rooms Pro without Audio Conferencing (Non-Profit Pricing)</t>
  </si>
  <si>
    <t>Microsoft Teams Shared Space (Education Faculty Pricing)</t>
  </si>
  <si>
    <t>Microsoft Teams Shared Space</t>
  </si>
  <si>
    <t>Microsoft Teams Shared Space – Single Space (Education Faculty Pricing)</t>
  </si>
  <si>
    <t>Microsoft Teams Shared Space (Education Student Pricing)</t>
  </si>
  <si>
    <t>Microsoft Teams Shared Space – Single Space (Non‑Profit Pricing)</t>
  </si>
  <si>
    <t>Microsoft Teams Shared Space (Non-Profit Pricing)</t>
  </si>
  <si>
    <t>Microsoft Teams Shared Space – Single Space (Education Student Pricing)</t>
  </si>
  <si>
    <t>Microsoft Viva Employee Communications and Communities (Non-Profit Pricing)</t>
  </si>
  <si>
    <t>Microsoft Viva Glint (Non-Profit Pricing)</t>
  </si>
  <si>
    <t>Microsoft Viva Insights (Education Faculty Pricing)</t>
  </si>
  <si>
    <t>Microsoft Viva Insights Capacity (Non-Profit Pricing)</t>
  </si>
  <si>
    <t>Microsoft Viva Insights (Non-Profit Pricing)</t>
  </si>
  <si>
    <t>Microsoft Viva (Non-Profit Pricing)</t>
  </si>
  <si>
    <t>Microsoft Viva (Education Faculty Pricing)</t>
  </si>
  <si>
    <t>CFQ7TTC0LFHZ</t>
  </si>
  <si>
    <t>Minecraft Education per user (Education Faculty Pricing)</t>
  </si>
  <si>
    <t>CFQ7TTC0J1RM</t>
  </si>
  <si>
    <t>Minecraft Education per user (Education Student Pricing)</t>
  </si>
  <si>
    <t>CFQ7TTC0LHQG</t>
  </si>
  <si>
    <t>Multi-Geo Capabilities in Office 365</t>
  </si>
  <si>
    <t>Office 365 A1 (Education Faculty Pricing)</t>
  </si>
  <si>
    <t>Office 365 A1 (Education Student Pricing)</t>
  </si>
  <si>
    <t>Office 365 A3 Student use benefit (Education Student Pricing)</t>
  </si>
  <si>
    <t>Office 365 A3 (Education Faculty Pricing)</t>
  </si>
  <si>
    <t>Office 365 A3 (Education Student Pricing)</t>
  </si>
  <si>
    <t>Office 365 A5 without Audio Conferencing (Education Faculty Pricing)</t>
  </si>
  <si>
    <t>Office 365 A5 with Calling Minutes (Education Student Pricing)</t>
  </si>
  <si>
    <t>Office 365 A5 with Calling Minutes (Education Faculty Pricing)</t>
  </si>
  <si>
    <t>Office 365 A5 without Audio Conferencing Student use benefit (Education Student Pricing)</t>
  </si>
  <si>
    <t>Office 365 A5 without Audio Conferencing (Education Student Pricing)</t>
  </si>
  <si>
    <t>CFQ7TTC0LHSW</t>
  </si>
  <si>
    <t>Office 365 Data Loss Prevention (Non-Profit Pricing)</t>
  </si>
  <si>
    <t>Office 365 Data Loss Prevention</t>
  </si>
  <si>
    <t>Office 365 E1 (Non-Profit Pricing)</t>
  </si>
  <si>
    <t>CFQ7TTC0RP6W</t>
  </si>
  <si>
    <t>Office 365 E1 Plus</t>
  </si>
  <si>
    <t>Office 365 E1 Plus (No Teams)</t>
  </si>
  <si>
    <t>Office 365 E3 (Non-Profit Pricing)</t>
  </si>
  <si>
    <t>Office 365 E5 without Audio Conferencing (Non-Profit Pricing)</t>
  </si>
  <si>
    <t>CFQ7TTC0LHS9</t>
  </si>
  <si>
    <t>Office 365 Extra File Storage (Education Faculty Pricing)</t>
  </si>
  <si>
    <t>Office 365 Extra File Storage</t>
  </si>
  <si>
    <t>Office 365 Extra File Storage (Non-Profit Pricing)</t>
  </si>
  <si>
    <t>CFQ7TTC0LGZW</t>
  </si>
  <si>
    <t>Office 365 F3 (Non-Profit Pricing)</t>
  </si>
  <si>
    <t>Office 365 F3 (no Teams)</t>
  </si>
  <si>
    <t>Office 365 F3</t>
  </si>
  <si>
    <t>CFQ7TTBZTMB1</t>
  </si>
  <si>
    <t>OneDrive Extra Storage 2TB</t>
  </si>
  <si>
    <t>OneDrive Extra Storage 5TB</t>
  </si>
  <si>
    <t>OneDrive Extra Storage 5TB (Non-Profit Pricing)</t>
  </si>
  <si>
    <t>OneDrive Extra Storage 500GB</t>
  </si>
  <si>
    <t>OneDrive Extra Storage 100GB</t>
  </si>
  <si>
    <t>OneDrive Extra Storage 3TB (Non-Profit Pricing)</t>
  </si>
  <si>
    <t>OneDrive Extra Storage 4TB</t>
  </si>
  <si>
    <t>OneDrive Extra Storage 3TB</t>
  </si>
  <si>
    <t>OneDrive Extra Storage 4TB (Non-Profit Pricing)</t>
  </si>
  <si>
    <t>OneDrive Extra Storage 500GB (Non-Profit Pricing)</t>
  </si>
  <si>
    <t>OneDrive Extra Storage 6TB</t>
  </si>
  <si>
    <t>OneDrive Extra Storage 1TB</t>
  </si>
  <si>
    <t>OneDrive Extra Storage 100GB (Non-Profit Pricing)</t>
  </si>
  <si>
    <t>OneDrive Extra Storage 1TB (Non-Profit Pricing)</t>
  </si>
  <si>
    <t>OneDrive Extra Storage 2TB (Non-Profit Pricing)</t>
  </si>
  <si>
    <t>OneDrive Extra Storage 6TB (Non-Profit Pricing)</t>
  </si>
  <si>
    <t>CFQ7TTC0HDB0</t>
  </si>
  <si>
    <t>Planner and Project Plan 3</t>
  </si>
  <si>
    <t>Planner and Project Plan 3 for Students (Education Student Pricing)</t>
  </si>
  <si>
    <t>Planner and Project Plan 3 for Faculty (Education Faculty Pricing)</t>
  </si>
  <si>
    <t>Planner and Project Plan 3 (Non-Profit Pricing)</t>
  </si>
  <si>
    <t>CFQ7TTC0HDB1</t>
  </si>
  <si>
    <t>Planner Plan 1</t>
  </si>
  <si>
    <t>CFQ7TTC0LH1S</t>
  </si>
  <si>
    <t>Power Platform Requests add-on (Education Faculty Pricing)</t>
  </si>
  <si>
    <t>Power Platform Requests add-on (Non-Profit Pricing)</t>
  </si>
  <si>
    <t>Power Platform Requests add-on</t>
  </si>
  <si>
    <t>CFQ7TTC0J4GS</t>
  </si>
  <si>
    <t>Power Apps per app plan (1 app or website) (Education Student Pricing)</t>
  </si>
  <si>
    <t>Power Apps per app plan (1 app or website) (Non-Profit Pricing)</t>
  </si>
  <si>
    <t>Power Apps per app plan (1 app or website) (Education Faculty Pricing)</t>
  </si>
  <si>
    <t>Power Apps per app plan (1 app or website) Donation (Non-Profit Pricing)</t>
  </si>
  <si>
    <t>Power Apps per app plan (1 app or website)</t>
  </si>
  <si>
    <t>CFQ7TTC0LH2H</t>
  </si>
  <si>
    <t>Power Apps Premium (2000 seat min)</t>
  </si>
  <si>
    <t>Power Apps Premium (Education Faculty Pricing)</t>
  </si>
  <si>
    <t>Power Apps Premium</t>
  </si>
  <si>
    <t>Power Apps Premium (Non-Profit Pricing)</t>
  </si>
  <si>
    <t>Power Apps Premium (Education Student Pricing)</t>
  </si>
  <si>
    <t>CFQ7TTC0PV17</t>
  </si>
  <si>
    <t>Power Automate Hosted Process (Non-Profit Pricing)</t>
  </si>
  <si>
    <t>Power Automate Hosted Process</t>
  </si>
  <si>
    <t>Power Automate Hosted Process (Education Student Pricing)</t>
  </si>
  <si>
    <t>Power Automate Hosted Process (Education Faculty Pricing)</t>
  </si>
  <si>
    <t>CFQ7TTC0LH13</t>
  </si>
  <si>
    <t>Power Automate per flow plan</t>
  </si>
  <si>
    <t>Power Automate per flow plan (Non-Profit Pricing)</t>
  </si>
  <si>
    <t>Power Automate per flow plan (Education Faculty Pricing)</t>
  </si>
  <si>
    <t>CFQ7TTC0LH3L</t>
  </si>
  <si>
    <t>Power Automate per user plan (Non-Profit Pricing)</t>
  </si>
  <si>
    <t>Power Automate per user plan</t>
  </si>
  <si>
    <t>Power Automate per user plan (Education Student Pricing)</t>
  </si>
  <si>
    <t>Power Automate per user plan (Education Faculty Pricing)</t>
  </si>
  <si>
    <t>CFQ7TTC0LSGZ</t>
  </si>
  <si>
    <t>Power Automate Premium (Education Faculty Pricing)</t>
  </si>
  <si>
    <t>Power Automate Premium (Education Student Pricing)</t>
  </si>
  <si>
    <t>Power Automate Premium (Non-Profit Pricing)</t>
  </si>
  <si>
    <t>Power Automate Premium</t>
  </si>
  <si>
    <t>CFQ7TTC0MFT9</t>
  </si>
  <si>
    <t>Power Automate per process (Educational Faculty Pricing)</t>
  </si>
  <si>
    <t>Power Automate Process</t>
  </si>
  <si>
    <t>Power Automate per process (Non-Profit Pricing)</t>
  </si>
  <si>
    <t>Power Automate per process (Educational Student Pricing)</t>
  </si>
  <si>
    <t>CFQ7TTC0S6D5</t>
  </si>
  <si>
    <t>Power Automate Process Mining add-on</t>
  </si>
  <si>
    <t>Power Automate Process Mining (Education Student Pricing)</t>
  </si>
  <si>
    <t>Power Automate Process Mining (Non-Profit Pricing)</t>
  </si>
  <si>
    <t>Power Automate Process Mining (Education Faculty Pricing)</t>
  </si>
  <si>
    <t>CFQ7TTC0LSH0</t>
  </si>
  <si>
    <t>Power Automate unattended RPA add-on (Education Faculty Pricing)</t>
  </si>
  <si>
    <t>Power Automate unattended RPA add-on (Non-Profit Pricing)</t>
  </si>
  <si>
    <t>Power Automate unattended RPA add-on</t>
  </si>
  <si>
    <t>Power Automate unattended RPA add-on (Education Student Pricing)</t>
  </si>
  <si>
    <t>CFQ7TTC0HL8W</t>
  </si>
  <si>
    <t>Power BI Premium Per User (Education Faculty Pricing)</t>
  </si>
  <si>
    <t>Power BI Premium Per User</t>
  </si>
  <si>
    <t>Power BI Premium Per User (Education Student Pricing)</t>
  </si>
  <si>
    <t>Power BI Premium Per User (Non-Profit Pricing)</t>
  </si>
  <si>
    <t>CFQ7TTC0HL8T</t>
  </si>
  <si>
    <t>Power BI Premium Per User Add-On (Education Student Pricing)</t>
  </si>
  <si>
    <t>Power BI Premium Per User Add-On</t>
  </si>
  <si>
    <t>Power BI Premium Per User Add-On (Non-Profit Pricing)</t>
  </si>
  <si>
    <t>Power BI Premium Per User Add-On (Education Faculty Pricing)</t>
  </si>
  <si>
    <t>CFQ7TTC0LHSF</t>
  </si>
  <si>
    <t>Power BI Pro (Education Faculty Pricing)</t>
  </si>
  <si>
    <t>CFQ7TTC0H9MP</t>
  </si>
  <si>
    <t>Power BI Pro (Non-Profit Pricing)</t>
  </si>
  <si>
    <t>Power BI Pro (Education Student Pricing)</t>
  </si>
  <si>
    <t>Power BI Pro</t>
  </si>
  <si>
    <t>CFQ7TTC0RJ8R</t>
  </si>
  <si>
    <t>Power Pages anonymous users T3 min 200 units - 500 users/per site/month capacity pack (Non-Profit Pricing)</t>
  </si>
  <si>
    <t>Power Pages anonymous users T3 min 200 units - 500 users/per site/month capacity pack</t>
  </si>
  <si>
    <t>Power Pages anonymous users T3 min 200 units - 500 users/per site/month capacity pack (Education Faculty Pricing)</t>
  </si>
  <si>
    <t>Power Pages anonymous users T1 500 users/per site/month capacity pack</t>
  </si>
  <si>
    <t>Power Pages anonymous users T2 min 20 units - 500 users/per site/month capacity pack (Education Student Pricing)</t>
  </si>
  <si>
    <t>Power Pages anonymous users T2 min 20 units - 500 users/per site/month capacity pack (Non-Profit Pricing)</t>
  </si>
  <si>
    <t>Power Pages anonymous users T1 500 users/per site/month capacity pack (Education Student Pricing)</t>
  </si>
  <si>
    <t>Power Pages anonymous users T1 500 users/per site/month capacity pack (Non-Profit Pricing)</t>
  </si>
  <si>
    <t>Power Pages anonymous users T3 min 200 units - 500 users/per site/month capacity pack (Education Student Pricing)</t>
  </si>
  <si>
    <t>Power Pages anonymous users T2 min 20 units - 500 users/per site/month capacity pack</t>
  </si>
  <si>
    <t>Power Pages anonymous users T1 500 users/per site/month capacity pack (Education Faculty Pricing)</t>
  </si>
  <si>
    <t>Power Pages anonymous users T2 min 20 units - 500 users/per site/month capacity pack (Education Faculty Pricing)</t>
  </si>
  <si>
    <t>CFQ7TTC0RJ8N</t>
  </si>
  <si>
    <t>Power Pages authenticated users T3 min 1,000 units - 100 users/per site/month capacity pack</t>
  </si>
  <si>
    <t>Power Pages authenticated users T3 min 1,000 units - 100 users/per site/month capacity pack (Non-Profit Pricing)</t>
  </si>
  <si>
    <t>Power Pages authenticated users T2 min 100 units - 100 users/per site/month capacity pack (Education Faculty Pricing)</t>
  </si>
  <si>
    <t>Power Pages authenticated users T1 100 users/per site/month capacity pack (Education Student Pricing)</t>
  </si>
  <si>
    <t>Power Pages authenticated users T3 min 1,000 units - 100 users/per site/month capacity pack (Education Faculty Pricing)</t>
  </si>
  <si>
    <t>Power Pages authenticated users T2 min 100 units - 100 users/per site/month capacity pack (Non-Profit Pricing)</t>
  </si>
  <si>
    <t>Power Pages authenticated users T2 min 100 units - 100 users/per site/month capacity pack (Education Student Pricing)</t>
  </si>
  <si>
    <t>Power Pages authenticated users T1 100 users/per site/month capacity pack</t>
  </si>
  <si>
    <t>Power Pages authenticated users T1 100 users/per site/month capacity pack (Education Faculty Pricing)</t>
  </si>
  <si>
    <t>Power Pages authenticated users T2 min 100 units - 100 users/per site/month capacity pack</t>
  </si>
  <si>
    <t>Power Pages authenticated users T3 min 1,000 units - 100 users/per site/month capacity pack (Education Student Pricing)</t>
  </si>
  <si>
    <t>Power Pages authenticated users T1 100 users/per site/month capacity pack (Non-Profit Pricing)</t>
  </si>
  <si>
    <t>Priva Privacy Risk Management (Education Faculty Pricing)</t>
  </si>
  <si>
    <t>Priva Privacy Risk Management</t>
  </si>
  <si>
    <t>Priva Privacy Risk Management (Non-Profit Pricing)</t>
  </si>
  <si>
    <t>CFQ7TTC0LHVD</t>
  </si>
  <si>
    <t>Pro Direct Support for Dynamics 365 Operations (Education Student Pricing)</t>
  </si>
  <si>
    <t>Pro Direct Support for Dynamics 365 Operations (Education Faculty Pricing)</t>
  </si>
  <si>
    <t>Pro Direct Support for Dynamics 365 Operations</t>
  </si>
  <si>
    <t>CFQ7TTC0S3X1</t>
  </si>
  <si>
    <t>Python in Excel add-on</t>
  </si>
  <si>
    <t>SharePoint advanced management plan 1 (Education Student Pricing)</t>
  </si>
  <si>
    <t>SharePoint advanced management plan 1 (Education Faculty Pricing)</t>
  </si>
  <si>
    <t>SharePoint advanced management plan 1 (Non-Profit Pricing)</t>
  </si>
  <si>
    <t>CFQ7TTC0LHR5</t>
  </si>
  <si>
    <t>Skype for Business Plus CAL (Education Faculty Pricing)</t>
  </si>
  <si>
    <t>Skype for Business Plus CAL</t>
  </si>
  <si>
    <t>Skype for Business Plus CAL (Education Student Pricing)</t>
  </si>
  <si>
    <t>CFQ7TTC0PGPL</t>
  </si>
  <si>
    <t>Teams Essentials and Teams Phone with domestic and international calling</t>
  </si>
  <si>
    <t>Teams Events Attendee Pack - 100k attendees for Faculty (Education Faculty Pricing)</t>
  </si>
  <si>
    <t>Teams Events Attendee Pack - 50k attendees for Faculty (Education Faculty Pricing)</t>
  </si>
  <si>
    <t>Teams Events Attendee Pack - 10k attendees (Non-Profit Pricing)</t>
  </si>
  <si>
    <t>Teams Events Attendee Pack - 20k attendees for Faculty (Education Faculty Pricing)</t>
  </si>
  <si>
    <t>Teams Events Attendee Pack - 35k attendees for (Non-Profit Pricing)</t>
  </si>
  <si>
    <t>Teams Events Attendee Pack - 75k attendees for Faculty (Education Faculty Pricing)</t>
  </si>
  <si>
    <t>Teams Events Attendee Pack - 35k attendees for Faculty (Education Faculty Pricing)</t>
  </si>
  <si>
    <t>Teams Events Attendee Pack - 20k attendees (Non-Profit Pricing)</t>
  </si>
  <si>
    <t>Teams Events Attendee Pack - 5k attendees (Non-Profit Pricing)</t>
  </si>
  <si>
    <t>Teams Events Attendee Pack - 75k attendees (Non-Profit Pricing)</t>
  </si>
  <si>
    <t>Teams Events Attendee Pack - 5k attendees for Faculty (Education Faculty Pricing)</t>
  </si>
  <si>
    <t>Teams Events Attendee Pack - 50k attendees (Non-Profit Pricing)</t>
  </si>
  <si>
    <t>Teams Events Attendee Pack - 100k attendees (Non-Profit Pricing)</t>
  </si>
  <si>
    <t>Microsoft Teams Premium (Education Faculty Pricing)</t>
  </si>
  <si>
    <t>Microsoft Teams Premium (Non-Profit Pricing)</t>
  </si>
  <si>
    <t>Microsoft Teams Premium (Education Student Pricing)</t>
  </si>
  <si>
    <t>CFQ7TTC0HDJR</t>
  </si>
  <si>
    <t>Universal Print volume add-on (500 jobs)</t>
  </si>
  <si>
    <t>Universal Print volume add-on (10k jobs) (Non-Profit Pricing)</t>
  </si>
  <si>
    <t>CFQ7TTC0HL82</t>
  </si>
  <si>
    <t>Universal Print volume add-on (500 jobs) - Microsoft 365 (Education Faculty Pricing)</t>
  </si>
  <si>
    <t>Universal Print Additional Capacity (10k) - Windows (Non-Profit Pricing)</t>
  </si>
  <si>
    <t>Universal Print volume add-on (500 jobs) (Non-Profit Pricing)</t>
  </si>
  <si>
    <t>Universal Print</t>
  </si>
  <si>
    <t>Universal Print volume add-on (500 jobs) (Education Faculty Pricing)</t>
  </si>
  <si>
    <t>Universal Print volume add-on (500 jobs) - Microsoft 365 (Non-Profit Pricing)</t>
  </si>
  <si>
    <t>Universal Print volume add-on (500 jobs) - Windows (Non-Profit Pricing)</t>
  </si>
  <si>
    <t>Universal Print (Non-Profit Pricing)</t>
  </si>
  <si>
    <t>Universal Print volume add-on (500 jobs) - Windows (Education Faculty Pricing)</t>
  </si>
  <si>
    <t>Universal Print Additional Capacity 10K (Non-Profit Pricing)</t>
  </si>
  <si>
    <t>Universal Print volume add-on (10k jobs)</t>
  </si>
  <si>
    <t>Universal Print (Education Student Pricing)</t>
  </si>
  <si>
    <t>Universal Print (Education Faculty Pricing)</t>
  </si>
  <si>
    <t>Universal Print volume add-on (10k jobs) (Education Faculty Pricing)</t>
  </si>
  <si>
    <t>CFQ7TTC0HD33</t>
  </si>
  <si>
    <t>Visio Plan 1 (Education Student Pricing)</t>
  </si>
  <si>
    <t>Visio Plan 1</t>
  </si>
  <si>
    <t>Visio Plan 1 (Non-Profit Pricing)</t>
  </si>
  <si>
    <t>Visio Plan 1 (Education Faculty Pricing)</t>
  </si>
  <si>
    <t>CFQ7TTC0HD32</t>
  </si>
  <si>
    <t>Visio Plan 2 (Non-Profit Pricing)</t>
  </si>
  <si>
    <t>Visio Plan 2 (Education Student Pricing)</t>
  </si>
  <si>
    <t>Visio Plan 2 (Education Faculty Pricing)</t>
  </si>
  <si>
    <t>Visio Plan 2</t>
  </si>
  <si>
    <t>Microsoft Viva Learning (Non-Profit Pricing)</t>
  </si>
  <si>
    <t>Microsoft Viva Learning (Education Faculty Pricing)</t>
  </si>
  <si>
    <t>Microsoft Viva Learning</t>
  </si>
  <si>
    <t>CFQ7TTC0J1S4</t>
  </si>
  <si>
    <t>Windows 10/11 Enterprise A3 (Education Student Pricing)</t>
  </si>
  <si>
    <t>Windows 10/11 Enterprise A3 (Education Faculty Pricing)</t>
  </si>
  <si>
    <t>Windows 10/11 Enterprise A3 Student use benefit (Education Student Pricing)</t>
  </si>
  <si>
    <t>CFQ7TTC0J1RW</t>
  </si>
  <si>
    <t>Windows 10/11 Enterprise A5 (Education Student Pricing)</t>
  </si>
  <si>
    <t>Windows 10/11 Enterprise A5 for student use benefits (Education Student Pricing)</t>
  </si>
  <si>
    <t>Windows 10/11 Enterprise A5 (Education Faculty Pricing)</t>
  </si>
  <si>
    <t>CFQ7TTC0LGTX</t>
  </si>
  <si>
    <t>Windows 10/11 Enterprise E3 (local only)</t>
  </si>
  <si>
    <t>Windows 10/11 Enterprise E3 VDA</t>
  </si>
  <si>
    <t>Windows 10/11 Enterprise E3 (Non-Profit Pricing)</t>
  </si>
  <si>
    <t>Windows 10/11 Enterprise E3</t>
  </si>
  <si>
    <t>CFQ7TTC0LFNW</t>
  </si>
  <si>
    <t>Windows 10/11 Enterprise E5 (Non-Profit Pricing)</t>
  </si>
  <si>
    <t>Windows 10/11 Enterprise E5</t>
  </si>
  <si>
    <t>CFQ7TTC0J203</t>
  </si>
  <si>
    <t>Windows 365 Business 2 vCPU, 4 GB, 256 GB</t>
  </si>
  <si>
    <t>Windows 365 Business 2 vCPU, 8 GB, 256 GB</t>
  </si>
  <si>
    <t>Windows 365 Business 2 vCPU, 4 GB, 128 GB</t>
  </si>
  <si>
    <t>Windows 365 Business 8 vCPU, 32 GB, 128 GB</t>
  </si>
  <si>
    <t>Windows 365 Business 8 vCPU, 32 GB, 256 GB</t>
  </si>
  <si>
    <t>Windows 365 Business 2 vCPU, 8 GB, 128 GB</t>
  </si>
  <si>
    <t>Windows 365 Business 16 vCPU, 64 GB, 512 GB</t>
  </si>
  <si>
    <t>Windows 365 Business 2 vCPU, 4 GB, 64 GB</t>
  </si>
  <si>
    <t>Windows 365 Business 4 vCPU, 16 GB, 256 GB</t>
  </si>
  <si>
    <t>Windows 365 Business 16 vCPU, 64 GB, 1 TB</t>
  </si>
  <si>
    <t>Windows 365 Business 4 vCPU, 16 GB, 512 GB</t>
  </si>
  <si>
    <t>Windows 365 Business 8 vCPU, 32 GB, 512 GB</t>
  </si>
  <si>
    <t>Windows 365 Business 4 vCPU, 16 GB, 128 GB</t>
  </si>
  <si>
    <t>00LD</t>
  </si>
  <si>
    <t>CFQ7TTC13M6X</t>
  </si>
  <si>
    <t>Windows 365 Reserve</t>
  </si>
  <si>
    <t>Access LTSC 2024</t>
  </si>
  <si>
    <t>OneTime</t>
  </si>
  <si>
    <t>Azure SQL Edge - 3 year</t>
  </si>
  <si>
    <t>Azure SQL Edge - 1 year</t>
  </si>
  <si>
    <t>BizTalk Server 2020 Branch</t>
  </si>
  <si>
    <t>BizTalk Server 2020 Enterprise</t>
  </si>
  <si>
    <t>BizTalk Server 2020 Standard</t>
  </si>
  <si>
    <t>Excel LTSC 2024</t>
  </si>
  <si>
    <t>Excel LTSC for Mac 2024</t>
  </si>
  <si>
    <t>Exchange Server Enterprise 2019 User CAL</t>
  </si>
  <si>
    <t>Exchange Server Enterprise 2019 Device CAL</t>
  </si>
  <si>
    <t>Exchange Server Standard 2019 Device CAL</t>
  </si>
  <si>
    <t>Exchange Server Standard 2019 User CAL</t>
  </si>
  <si>
    <t>ESU for SQL 2014 EE 2 Core pack for 2nd year EOS (Coverage July 9 2025 - July 14 2026)</t>
  </si>
  <si>
    <t>ESU for SQL 2014 Std Per Server for 2nd year EOS (Coverage July 9 2025 - July 14 2026)</t>
  </si>
  <si>
    <t>ESU for SQL 2014 EE Per Server for 2nd year EOS (Coverage July 9 2025 - July 14 2026)</t>
  </si>
  <si>
    <t>ESU for SQL 2014 EE 2 Core pack for 1st year EOS (Coverage July 9 2025 - July 14 2026)</t>
  </si>
  <si>
    <t>ESU for SQL 2014 Std Per Server for 3rd year EOS (Coverage July 15 2026 - July 14 2027)</t>
  </si>
  <si>
    <t>ESU for SQL 2014 EE Per Server for 3rd year EOS (Coverage July 15 2026 - July 14 2027)</t>
  </si>
  <si>
    <t>ESU for SQL 2014 Std Per Server for 1st year EOS (Coverage July 9 2025 - July 14 2026)</t>
  </si>
  <si>
    <t>ESU for SQL 2014 Std 2 Core pack for 3rd year EOS (Coverage July 15 2026 - July 14 2027)</t>
  </si>
  <si>
    <t>ESU for SQL 2014 EE Per Server for 2nd year EOS(Coverage July 9 2025 - July 14 2026)</t>
  </si>
  <si>
    <t>ESU for SQL 2014 EE 2 Core pack for 3rd year EOS (Coverage July 15 2026 - July 14 2027)</t>
  </si>
  <si>
    <t>ESU for SQL 2014 Std 2 Core pack for 2nd year EOS (Coverage July 9 2025 - July 14 2026)</t>
  </si>
  <si>
    <t>ESU for SQL 2014 EE Per Server for 1st year EOS(Coverage July 9 2025 - July 14 2026)</t>
  </si>
  <si>
    <t>ESU for SQL 2014 Std 2 Core pack for 1st year EOS (Coverage July 9 2025 - July 14 2026)</t>
  </si>
  <si>
    <t>Win Server DC Core Ext Security 2012 8 Core Y3 (October 2025-2026)</t>
  </si>
  <si>
    <t>Win Server DC Core Ext Security 2012 2 Core Y3 (October 2025-2026)</t>
  </si>
  <si>
    <t>Win Server DC Core Ext Security 2012 8 Core Y1 (October 2023-2024)</t>
  </si>
  <si>
    <t>Win Server DC Core Ext Security 2012 2 Core Y1 (October 2023-2024)</t>
  </si>
  <si>
    <t>Win Server DC Core Ext Security 2012 8 Core Y2 (October 2024-2025)</t>
  </si>
  <si>
    <t>Win Server DC Core Ext Security 2012 2 Core Y2 (October 2024-2025)</t>
  </si>
  <si>
    <t>Win Server Std Core Ext Security 2012 8 Core Y1 (October 2023-2024)</t>
  </si>
  <si>
    <t>Win Server Std Core Ext Security 2012 2 Core Y3 (October 2025-2026)</t>
  </si>
  <si>
    <t>Win Server Std Core Ext Security 2012 8 Core Y2 (October 2024-2025)</t>
  </si>
  <si>
    <t>Win Server Std Core Ext Security 2012 2 Core Y2 (October 2024-2025)</t>
  </si>
  <si>
    <t>Win Server Std Core Ext Security 2012 8 Core Y3 (October 2025-2026)</t>
  </si>
  <si>
    <t>Win Server Std Core Ext Security 2012 2 Core Y1 (October 2023-2024)</t>
  </si>
  <si>
    <t>Office LTSC Professional Plus 2024</t>
  </si>
  <si>
    <t>Office LTSC Standard 2024</t>
  </si>
  <si>
    <t>Office LTSC Standard for Mac 2024</t>
  </si>
  <si>
    <t>Outlook LTSC 2024</t>
  </si>
  <si>
    <t>Outlook LTSC for Mac 2024</t>
  </si>
  <si>
    <t>PowerPoint LTSC 2024</t>
  </si>
  <si>
    <t>PowerPoint LTSC for Mac 2024</t>
  </si>
  <si>
    <t>Project Professional 2024</t>
  </si>
  <si>
    <t>Project Server 2019</t>
  </si>
  <si>
    <t>Project Server 2019 User CAL</t>
  </si>
  <si>
    <t>Project Server 2019 Device CAL</t>
  </si>
  <si>
    <t>Project Standard 2024</t>
  </si>
  <si>
    <t>SharePoint Enterprise 2019 Device CAL</t>
  </si>
  <si>
    <t>SharePoint Enterprise 2019 User CAL</t>
  </si>
  <si>
    <t>SharePoint Standard 2019 User CAL</t>
  </si>
  <si>
    <t>SharePoint Standard 2019 Device CAL</t>
  </si>
  <si>
    <t>Skype for Business Server Enterprise 2019 Device CAL</t>
  </si>
  <si>
    <t>Skype for Business Server Enterprise 2019 User CAL</t>
  </si>
  <si>
    <t>Skype for Business Server Plus 2019 User CAL</t>
  </si>
  <si>
    <t>Skype for Business Server Plus 2019 Device CAL</t>
  </si>
  <si>
    <t>Skype for Business Server Standard 2019 Device CAL</t>
  </si>
  <si>
    <t>Skype for Business Server Standard 2019 User CAL</t>
  </si>
  <si>
    <t>ESU for SQL 2016 Std Per Server Year 3 (July 15 2028 - July 14 2029)</t>
  </si>
  <si>
    <t>ESU for SQL 2016 Std 2 Core pack Year 3 (July 15 2028 - July 14 2029)</t>
  </si>
  <si>
    <t>ESU for SQL 2016 EE 2 Core pack Year 1 (July 15 2026 - July 14 2027)</t>
  </si>
  <si>
    <t>ESU for SQL 2016 EE Per Server Year 1 (July 15 2026 - July 14 2027)</t>
  </si>
  <si>
    <t>ESU for SQL 2016 Std Per Server Year 2 (July 15 2027 - July 14 2028)</t>
  </si>
  <si>
    <t>ESU for SQL 2016 EE Per Server Year 2 (July 15 2027 - July 14 2028)</t>
  </si>
  <si>
    <t>ESU for SQL 2016 Std 2 Core pack Year 2 (July 15 2027 - July 14 2028)</t>
  </si>
  <si>
    <t>ESU for SQL 2016 Std 2 Core pack Year 1 (July 15 2026 - July 14 2027)</t>
  </si>
  <si>
    <t>ESU for SQL 2016 EE 2 Core pack Year 3 (July 15 2028 - July 14 2029)</t>
  </si>
  <si>
    <t>ESU for SQL 2016 EE 2 Core pack Year 2 (July 15 2027 - July 14 2028)</t>
  </si>
  <si>
    <t>ESU for SQL 2016 Std Per Server Year 1 (July 15 2026 - July 14 2027)</t>
  </si>
  <si>
    <t>ESU for SQL 2016 EE Per Server Year 3 (July 15 2028 - July 14 2029)</t>
  </si>
  <si>
    <t>SQL Server 2025 - 1 User CAL</t>
  </si>
  <si>
    <t>SQL Server 2025 - 1 Device CAL</t>
  </si>
  <si>
    <t>SQL Server 2025 Enterprise core - 2 core License Pack</t>
  </si>
  <si>
    <t>SQL Server 2025 Enterprise - 2 core License Pack - 3 year</t>
  </si>
  <si>
    <t>SQL Server 2025 Enterprise - 2 core License Pack - 1 year</t>
  </si>
  <si>
    <t>SQL Server 2025 Standard core - 2 core License Pack</t>
  </si>
  <si>
    <t>SQL Server 2025 Standard - 2 core License Pack - 3 year</t>
  </si>
  <si>
    <t>SQL Server 2025 Standard - 2 core License Pack - 1 year</t>
  </si>
  <si>
    <t>SQL Server 2025 Standard edition Perpetual 1 Server License</t>
  </si>
  <si>
    <t>SQL Server Big Data Node Cores - 1 Year Subscription</t>
  </si>
  <si>
    <t>System Center 2025 Datacenter - 2 Core License Pack 1 Year</t>
  </si>
  <si>
    <t>System Center 2025 Datacenter - 2 core License Pack 3 Year</t>
  </si>
  <si>
    <t>System Center 2025 Standard - 2 Core License Pack 1 Year</t>
  </si>
  <si>
    <t>System Center 2025 Standard - 2 Core License Pack 3 Year</t>
  </si>
  <si>
    <t>Visio LTSC Professional 2024</t>
  </si>
  <si>
    <t>Visio LTSC Standard 2024</t>
  </si>
  <si>
    <t>Visual Studio Professional 2026</t>
  </si>
  <si>
    <t>Windows 10 Enterprise LTSB 2016 ESU Year 2 (2027 - 2028)</t>
  </si>
  <si>
    <t>Windows 10 Enterprise LTSB 2016 ESU Year 3 (2028 - 2029)</t>
  </si>
  <si>
    <t>Windows 10 Enterprise LTSB 2016 ESU Year 1 (2026 - 2027)</t>
  </si>
  <si>
    <t>Windows 10 Enterprise LTSC 2021 Upgrade</t>
  </si>
  <si>
    <t>Windows 10 Enterprise N LTSC 2021 Upgrade</t>
  </si>
  <si>
    <t>Windows 10 ESU Year 2 (2026 - 2027)</t>
  </si>
  <si>
    <t>Windows 10 ESU Year 3 (2027 - 2028)</t>
  </si>
  <si>
    <t>Windows 10 ESU Year 1 (2025 - 2026)</t>
  </si>
  <si>
    <t>Windows 10 IoT Enterprise LTSC 2021</t>
  </si>
  <si>
    <t>Windows 11 Enterprise LTSC 2024 Upgrade</t>
  </si>
  <si>
    <t>Windows 11 Enterprise N LTSC 2024 Upgrade</t>
  </si>
  <si>
    <t>Windows GGWA - Windows 11 Pro - Legalization Get Genuine</t>
  </si>
  <si>
    <t>Windows GGWA - Windows 11 Home (Edu) - Legalization Get Genuine</t>
  </si>
  <si>
    <t>Windows GGWA - Windows 11 Pro N - Legalization Get Genuine</t>
  </si>
  <si>
    <t>Windows 11 IoT Enterprise LTSC 2024</t>
  </si>
  <si>
    <t>Windows 11 Home to Pro Upgrade for Microsoft 365 Business</t>
  </si>
  <si>
    <t>Windows 11 Pro</t>
  </si>
  <si>
    <t>Windows 11 Pro Upgrade</t>
  </si>
  <si>
    <t>Windows 11 Pro N Upgrade</t>
  </si>
  <si>
    <t>Windows 11 Home N to Pro N Upgrade for Microsoft 365 Business</t>
  </si>
  <si>
    <t>Windows 11 Pro N</t>
  </si>
  <si>
    <t>Windows Server 2025 Remote Desktop Services External Connector - License 1</t>
  </si>
  <si>
    <t>Rights Management Services (RMS) 2025 CAL-1 Device</t>
  </si>
  <si>
    <t>Rights Management Services (RMS) 2025 CAL- 1 User</t>
  </si>
  <si>
    <t>Windows Server 2025 RMS CAL - 1 Device CAL - 1 year</t>
  </si>
  <si>
    <t>Windows Server 2025 RMS CAL - 1 User CAL - 3 year</t>
  </si>
  <si>
    <t>Windows Server 2025 RMS CAL - 1 User CAL - 1 year</t>
  </si>
  <si>
    <t>Windows Server 2025 RMS CAL - 1 Device CAL - 3 year</t>
  </si>
  <si>
    <t>Windows Server 2025 External Connector</t>
  </si>
  <si>
    <t>Windows Server 2025 Remote Desktop Services - 1 Device CAL</t>
  </si>
  <si>
    <t>Windows Server 2025 Remote Desktop Services - 1 User CAL</t>
  </si>
  <si>
    <t>Windows Server 2025 Remote Desktop Services - 1 User CAL 3 Year</t>
  </si>
  <si>
    <t>Windows Server 2025 Remote Desktop Services - 1 User CAL 1 Year</t>
  </si>
  <si>
    <t>Windows Server 2025 CAL - 1 Device CAL - 1 year</t>
  </si>
  <si>
    <t>Windows Server 2025 - 1 Device CAL</t>
  </si>
  <si>
    <t>Windows Server 2025 CAL - 1 User CAL - 1 year</t>
  </si>
  <si>
    <t>Windows Server 2025 - 1 User CAL</t>
  </si>
  <si>
    <t>Windows Server 2025 CAL - 1 Device CAL - 3 year</t>
  </si>
  <si>
    <t>Windows Server 2025 CAL - 1 User CAL - 3 year</t>
  </si>
  <si>
    <t>Windows Server 2025 Datacenter - 2 Core License Pack 1 Year</t>
  </si>
  <si>
    <t>Windows Server 2025 Datacenter - 2 Core License Pack 3 Year</t>
  </si>
  <si>
    <t>Windows Server 2025 Datacenter - 8 Core License Pack 1 Year</t>
  </si>
  <si>
    <t>Windows Server 2025 Datacenter - 8 Core License Pack 3 Year</t>
  </si>
  <si>
    <t>Windows Server 2025 Datacenter - 16 Core</t>
  </si>
  <si>
    <t>Windows Server 2025 Datacenter - 2 Core</t>
  </si>
  <si>
    <t>Windows Rights Management External Connector 2025</t>
  </si>
  <si>
    <t>Windows Server 2025 Standard - 2 Core</t>
  </si>
  <si>
    <t>Windows Server 2025 Standard - 8 Core License Pack 3 Year</t>
  </si>
  <si>
    <t>Windows Server 2025 Standard - 16 Core License Pack</t>
  </si>
  <si>
    <t>Windows Server 2025 Standard - 8 Core License Pack 1 Year</t>
  </si>
  <si>
    <t>Windows Server 2025 Standard - 2 Core License Pack 1 Year</t>
  </si>
  <si>
    <t>Windows Server 2025 Standard - 2 Core License Pack 3 Year</t>
  </si>
  <si>
    <t>Word LTSC 2024</t>
  </si>
  <si>
    <t>Word LTSC for Mac 2024</t>
  </si>
  <si>
    <t>M365 CSP 
Core Rebate (Disti)</t>
  </si>
  <si>
    <t>Distributor   Product Tier 1</t>
  </si>
  <si>
    <t>Distributor 
Product Tier 2</t>
  </si>
  <si>
    <t>Distributor Growth Accelerator</t>
  </si>
  <si>
    <t>Last Updated Date</t>
  </si>
  <si>
    <t>Last Updated Time</t>
  </si>
  <si>
    <t>UnitPrice/Catalogue Price</t>
  </si>
  <si>
    <t>To be Filled</t>
  </si>
  <si>
    <t>Legend</t>
  </si>
  <si>
    <t>Segment</t>
  </si>
  <si>
    <t>Commercial</t>
  </si>
  <si>
    <t>Education</t>
  </si>
  <si>
    <t>Charity</t>
  </si>
  <si>
    <t>Expected Disti Discounting to Skysecure</t>
  </si>
  <si>
    <t>Expected Disti Pricing to Skysecure</t>
  </si>
  <si>
    <t>Expectec Disti Price to Skysecure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</si>
</sst>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[$-10409]hh:mm\ AM/P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Segoe UI"/>
    </font>
    <font>
      <sz val="9"/>
      <color theme="1"/>
      <name val="Segoe UI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</font>
    <font>
      <b/>
      <sz val="9"/>
      <color theme="0"/>
      <name val="Segoe UI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1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 vertical="center" wrapText="1"/>
    </xf>
    <xf numFmtId="11" fontId="9" fillId="0" borderId="4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/>
    <xf numFmtId="0" fontId="0" fillId="4" borderId="3" xfId="0" applyFill="1" applyBorder="1"/>
    <xf numFmtId="0" fontId="9" fillId="5" borderId="4" xfId="0" applyFont="1" applyFill="1" applyBorder="1" applyAlignment="1">
      <alignment horizontal="center"/>
    </xf>
    <xf numFmtId="11" fontId="9" fillId="5" borderId="4" xfId="0" applyNumberFormat="1" applyFont="1" applyFill="1" applyBorder="1" applyAlignment="1">
      <alignment horizontal="center"/>
    </xf>
    <xf numFmtId="0" fontId="0" fillId="5" borderId="5" xfId="0" applyFill="1" applyBorder="1"/>
    <xf numFmtId="0" fontId="9" fillId="5" borderId="5" xfId="0" applyFont="1" applyFill="1" applyBorder="1" applyAlignment="1">
      <alignment horizontal="center"/>
    </xf>
    <xf numFmtId="0" fontId="0" fillId="4" borderId="4" xfId="0" applyFill="1" applyBorder="1"/>
    <xf numFmtId="165" fontId="0" fillId="0" borderId="4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0" xfId="0" applyNumberFormat="1"/>
    <xf numFmtId="10" fontId="0" fillId="0" borderId="4" xfId="1" applyNumberFormat="1" applyFont="1" applyBorder="1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3" fillId="2" borderId="0" xfId="0" applyFont="1" applyFill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A411-9C45-431A-A9D0-F94D44261F22}">
  <dimension ref="A2:I1648"/>
  <sheetViews>
    <sheetView workbookViewId="0">
      <selection activeCell="F14" sqref="F14"/>
    </sheetView>
  </sheetViews>
  <sheetFormatPr defaultRowHeight="15" x14ac:dyDescent="0.25"/>
  <cols>
    <col min="1" max="2" width="66.7109375" customWidth="1"/>
    <col min="3" max="3" width="23" style="10" customWidth="1"/>
    <col min="4" max="4" width="11" style="10" customWidth="1"/>
    <col min="5" max="5" width="23" style="11" customWidth="1"/>
    <col min="6" max="6" width="29.140625" style="11" customWidth="1"/>
    <col min="7" max="7" width="32.140625" style="11" customWidth="1"/>
    <col min="8" max="8" width="39.7109375" style="11" customWidth="1"/>
    <col min="9" max="9" width="49.7109375" style="11" customWidth="1"/>
  </cols>
  <sheetData>
    <row r="2" spans="1:9" ht="26.25" customHeight="1" x14ac:dyDescent="0.35">
      <c r="A2" s="1"/>
      <c r="B2" s="1"/>
      <c r="C2" s="2"/>
      <c r="D2" s="2"/>
      <c r="E2" s="39" t="s">
        <v>0</v>
      </c>
      <c r="F2" s="39"/>
      <c r="G2" s="39"/>
      <c r="H2" s="39"/>
      <c r="I2" s="39"/>
    </row>
    <row r="3" spans="1:9" ht="51.75" customHeight="1" x14ac:dyDescent="0.25">
      <c r="A3" s="3" t="s">
        <v>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x14ac:dyDescent="0.25">
      <c r="A4" s="7" t="s">
        <v>10</v>
      </c>
      <c r="B4" s="7" t="s">
        <v>11</v>
      </c>
      <c r="C4" s="7" t="s">
        <v>12</v>
      </c>
      <c r="D4" s="8" t="s">
        <v>13</v>
      </c>
      <c r="E4" s="9" t="s">
        <v>14</v>
      </c>
      <c r="F4" s="9"/>
      <c r="G4" s="9"/>
      <c r="H4" s="9"/>
      <c r="I4" s="9"/>
    </row>
    <row r="5" spans="1:9" x14ac:dyDescent="0.25">
      <c r="A5" s="7" t="s">
        <v>10</v>
      </c>
      <c r="B5" s="7" t="s">
        <v>15</v>
      </c>
      <c r="C5" s="7" t="s">
        <v>12</v>
      </c>
      <c r="D5" s="8" t="s">
        <v>16</v>
      </c>
      <c r="E5" s="9" t="s">
        <v>14</v>
      </c>
      <c r="F5" s="9"/>
      <c r="G5" s="9"/>
      <c r="H5" s="9"/>
      <c r="I5" s="9"/>
    </row>
    <row r="6" spans="1:9" x14ac:dyDescent="0.25">
      <c r="A6" s="7" t="s">
        <v>10</v>
      </c>
      <c r="B6" s="7" t="s">
        <v>17</v>
      </c>
      <c r="C6" s="7" t="s">
        <v>12</v>
      </c>
      <c r="D6" s="8" t="s">
        <v>18</v>
      </c>
      <c r="E6" s="9" t="s">
        <v>14</v>
      </c>
      <c r="F6" s="9"/>
      <c r="G6" s="9"/>
      <c r="H6" s="9"/>
      <c r="I6" s="9"/>
    </row>
    <row r="7" spans="1:9" x14ac:dyDescent="0.25">
      <c r="A7" s="7" t="s">
        <v>10</v>
      </c>
      <c r="B7" s="7" t="s">
        <v>19</v>
      </c>
      <c r="C7" s="7" t="s">
        <v>12</v>
      </c>
      <c r="D7" s="8" t="s">
        <v>20</v>
      </c>
      <c r="E7" s="9" t="s">
        <v>14</v>
      </c>
      <c r="F7" s="9"/>
      <c r="G7" s="9"/>
      <c r="H7" s="9"/>
      <c r="I7" s="9"/>
    </row>
    <row r="8" spans="1:9" x14ac:dyDescent="0.25">
      <c r="A8" s="7" t="s">
        <v>10</v>
      </c>
      <c r="B8" s="7" t="s">
        <v>21</v>
      </c>
      <c r="C8" s="7" t="s">
        <v>12</v>
      </c>
      <c r="D8" s="8" t="s">
        <v>22</v>
      </c>
      <c r="E8" s="9" t="s">
        <v>14</v>
      </c>
      <c r="F8" s="9"/>
      <c r="G8" s="9"/>
      <c r="H8" s="9"/>
      <c r="I8" s="9"/>
    </row>
    <row r="9" spans="1:9" x14ac:dyDescent="0.25">
      <c r="A9" s="7" t="s">
        <v>10</v>
      </c>
      <c r="B9" s="7" t="s">
        <v>23</v>
      </c>
      <c r="C9" s="7" t="s">
        <v>12</v>
      </c>
      <c r="D9" s="8" t="s">
        <v>24</v>
      </c>
      <c r="E9" s="9" t="s">
        <v>14</v>
      </c>
      <c r="F9" s="9"/>
      <c r="G9" s="9"/>
      <c r="H9" s="9"/>
      <c r="I9" s="9"/>
    </row>
    <row r="10" spans="1:9" x14ac:dyDescent="0.25">
      <c r="A10" s="7" t="s">
        <v>25</v>
      </c>
      <c r="B10" s="7" t="s">
        <v>25</v>
      </c>
      <c r="C10" s="7" t="s">
        <v>26</v>
      </c>
      <c r="D10" s="8" t="s">
        <v>16</v>
      </c>
      <c r="E10" s="9" t="s">
        <v>14</v>
      </c>
      <c r="F10" s="9"/>
      <c r="G10" s="9"/>
      <c r="H10" s="9"/>
      <c r="I10" s="9"/>
    </row>
    <row r="11" spans="1:9" x14ac:dyDescent="0.25">
      <c r="A11" s="7" t="s">
        <v>25</v>
      </c>
      <c r="B11" s="7" t="s">
        <v>25</v>
      </c>
      <c r="C11" s="7" t="s">
        <v>26</v>
      </c>
      <c r="D11" s="8" t="s">
        <v>13</v>
      </c>
      <c r="E11" s="9" t="s">
        <v>14</v>
      </c>
      <c r="F11" s="9"/>
      <c r="G11" s="9"/>
      <c r="H11" s="9"/>
      <c r="I11" s="9"/>
    </row>
    <row r="12" spans="1:9" x14ac:dyDescent="0.25">
      <c r="A12" s="7" t="s">
        <v>25</v>
      </c>
      <c r="B12" s="7" t="s">
        <v>27</v>
      </c>
      <c r="C12" s="7" t="s">
        <v>26</v>
      </c>
      <c r="D12" s="8" t="s">
        <v>28</v>
      </c>
      <c r="E12" s="9" t="s">
        <v>14</v>
      </c>
      <c r="F12" s="9"/>
      <c r="G12" s="9"/>
      <c r="H12" s="9"/>
      <c r="I12" s="9"/>
    </row>
    <row r="13" spans="1:9" x14ac:dyDescent="0.25">
      <c r="A13" s="7" t="s">
        <v>25</v>
      </c>
      <c r="B13" s="7" t="s">
        <v>27</v>
      </c>
      <c r="C13" s="7" t="s">
        <v>26</v>
      </c>
      <c r="D13" s="8" t="s">
        <v>29</v>
      </c>
      <c r="E13" s="9" t="s">
        <v>14</v>
      </c>
      <c r="F13" s="9"/>
      <c r="G13" s="9"/>
      <c r="H13" s="9"/>
      <c r="I13" s="9"/>
    </row>
    <row r="14" spans="1:9" x14ac:dyDescent="0.25">
      <c r="A14" s="7" t="s">
        <v>25</v>
      </c>
      <c r="B14" s="7" t="s">
        <v>30</v>
      </c>
      <c r="C14" s="7" t="s">
        <v>26</v>
      </c>
      <c r="D14" s="8" t="s">
        <v>20</v>
      </c>
      <c r="E14" s="9" t="s">
        <v>14</v>
      </c>
      <c r="F14" s="9"/>
      <c r="G14" s="9"/>
      <c r="H14" s="9"/>
      <c r="I14" s="9"/>
    </row>
    <row r="15" spans="1:9" x14ac:dyDescent="0.25">
      <c r="A15" s="7" t="s">
        <v>25</v>
      </c>
      <c r="B15" s="7" t="s">
        <v>31</v>
      </c>
      <c r="C15" s="7" t="s">
        <v>26</v>
      </c>
      <c r="D15" s="8" t="s">
        <v>32</v>
      </c>
      <c r="E15" s="9" t="s">
        <v>14</v>
      </c>
      <c r="F15" s="9"/>
      <c r="G15" s="9"/>
      <c r="H15" s="9"/>
      <c r="I15" s="9"/>
    </row>
    <row r="16" spans="1:9" x14ac:dyDescent="0.25">
      <c r="A16" s="7" t="s">
        <v>25</v>
      </c>
      <c r="B16" s="7" t="s">
        <v>33</v>
      </c>
      <c r="C16" s="7" t="s">
        <v>26</v>
      </c>
      <c r="D16" s="8" t="s">
        <v>34</v>
      </c>
      <c r="E16" s="9" t="s">
        <v>14</v>
      </c>
      <c r="F16" s="9"/>
      <c r="G16" s="9"/>
      <c r="H16" s="9"/>
      <c r="I16" s="9"/>
    </row>
    <row r="17" spans="1:9" x14ac:dyDescent="0.25">
      <c r="A17" s="7" t="s">
        <v>25</v>
      </c>
      <c r="B17" s="7" t="s">
        <v>35</v>
      </c>
      <c r="C17" s="7" t="s">
        <v>26</v>
      </c>
      <c r="D17" s="8" t="s">
        <v>36</v>
      </c>
      <c r="E17" s="9" t="s">
        <v>14</v>
      </c>
      <c r="F17" s="9"/>
      <c r="G17" s="9"/>
      <c r="H17" s="9"/>
      <c r="I17" s="9"/>
    </row>
    <row r="18" spans="1:9" x14ac:dyDescent="0.25">
      <c r="A18" s="7" t="s">
        <v>25</v>
      </c>
      <c r="B18" s="7" t="s">
        <v>37</v>
      </c>
      <c r="C18" s="8" t="s">
        <v>26</v>
      </c>
      <c r="D18" s="8" t="s">
        <v>24</v>
      </c>
      <c r="E18" s="9" t="s">
        <v>14</v>
      </c>
      <c r="F18" s="9"/>
      <c r="G18" s="9"/>
      <c r="H18" s="9"/>
      <c r="I18" s="9"/>
    </row>
    <row r="19" spans="1:9" x14ac:dyDescent="0.25">
      <c r="A19" s="7" t="s">
        <v>25</v>
      </c>
      <c r="B19" s="7" t="s">
        <v>38</v>
      </c>
      <c r="C19" s="8" t="s">
        <v>26</v>
      </c>
      <c r="D19" s="8" t="s">
        <v>39</v>
      </c>
      <c r="E19" s="9" t="s">
        <v>14</v>
      </c>
      <c r="F19" s="9"/>
      <c r="G19" s="9"/>
      <c r="H19" s="9"/>
      <c r="I19" s="9"/>
    </row>
    <row r="20" spans="1:9" x14ac:dyDescent="0.25">
      <c r="A20" s="7" t="s">
        <v>40</v>
      </c>
      <c r="B20" s="7" t="s">
        <v>41</v>
      </c>
      <c r="C20" s="8" t="s">
        <v>42</v>
      </c>
      <c r="D20" s="8" t="s">
        <v>43</v>
      </c>
      <c r="E20" s="9" t="s">
        <v>14</v>
      </c>
      <c r="F20" s="9" t="s">
        <v>14</v>
      </c>
      <c r="G20" s="9"/>
      <c r="H20" s="9"/>
      <c r="I20" s="9" t="s">
        <v>14</v>
      </c>
    </row>
    <row r="21" spans="1:9" x14ac:dyDescent="0.25">
      <c r="A21" s="7" t="s">
        <v>40</v>
      </c>
      <c r="B21" s="7" t="s">
        <v>41</v>
      </c>
      <c r="C21" s="8" t="s">
        <v>42</v>
      </c>
      <c r="D21" s="8" t="s">
        <v>44</v>
      </c>
      <c r="E21" s="9" t="s">
        <v>14</v>
      </c>
      <c r="F21" s="9" t="s">
        <v>14</v>
      </c>
      <c r="G21" s="9"/>
      <c r="H21" s="9"/>
      <c r="I21" s="9" t="s">
        <v>14</v>
      </c>
    </row>
    <row r="22" spans="1:9" x14ac:dyDescent="0.25">
      <c r="A22" s="7" t="s">
        <v>40</v>
      </c>
      <c r="B22" s="7" t="s">
        <v>45</v>
      </c>
      <c r="C22" s="8" t="s">
        <v>42</v>
      </c>
      <c r="D22" s="8" t="s">
        <v>46</v>
      </c>
      <c r="E22" s="9" t="s">
        <v>14</v>
      </c>
      <c r="F22" s="9" t="s">
        <v>14</v>
      </c>
      <c r="G22" s="9"/>
      <c r="H22" s="9"/>
      <c r="I22" s="9" t="s">
        <v>14</v>
      </c>
    </row>
    <row r="23" spans="1:9" x14ac:dyDescent="0.25">
      <c r="A23" s="7" t="s">
        <v>40</v>
      </c>
      <c r="B23" s="7" t="s">
        <v>45</v>
      </c>
      <c r="C23" s="8" t="s">
        <v>42</v>
      </c>
      <c r="D23" s="8" t="s">
        <v>32</v>
      </c>
      <c r="E23" s="9" t="s">
        <v>14</v>
      </c>
      <c r="F23" s="9" t="s">
        <v>14</v>
      </c>
      <c r="G23" s="9"/>
      <c r="H23" s="9"/>
      <c r="I23" s="9" t="s">
        <v>14</v>
      </c>
    </row>
    <row r="24" spans="1:9" x14ac:dyDescent="0.25">
      <c r="A24" s="7" t="s">
        <v>40</v>
      </c>
      <c r="B24" s="7" t="s">
        <v>47</v>
      </c>
      <c r="C24" s="7" t="s">
        <v>42</v>
      </c>
      <c r="D24" s="8" t="s">
        <v>13</v>
      </c>
      <c r="E24" s="9" t="s">
        <v>14</v>
      </c>
      <c r="F24" s="9" t="s">
        <v>14</v>
      </c>
      <c r="G24" s="9"/>
      <c r="H24" s="9"/>
      <c r="I24" s="9" t="s">
        <v>14</v>
      </c>
    </row>
    <row r="25" spans="1:9" x14ac:dyDescent="0.25">
      <c r="A25" s="7" t="s">
        <v>40</v>
      </c>
      <c r="B25" s="7" t="s">
        <v>47</v>
      </c>
      <c r="C25" s="7" t="s">
        <v>42</v>
      </c>
      <c r="D25" s="8" t="s">
        <v>48</v>
      </c>
      <c r="E25" s="9" t="s">
        <v>14</v>
      </c>
      <c r="F25" s="9" t="s">
        <v>14</v>
      </c>
      <c r="G25" s="9"/>
      <c r="H25" s="9"/>
      <c r="I25" s="9" t="s">
        <v>14</v>
      </c>
    </row>
    <row r="26" spans="1:9" x14ac:dyDescent="0.25">
      <c r="A26" s="7" t="s">
        <v>40</v>
      </c>
      <c r="B26" s="7" t="s">
        <v>49</v>
      </c>
      <c r="C26" s="7" t="s">
        <v>42</v>
      </c>
      <c r="D26" s="8" t="s">
        <v>39</v>
      </c>
      <c r="E26" s="9" t="s">
        <v>14</v>
      </c>
      <c r="F26" s="9" t="s">
        <v>14</v>
      </c>
      <c r="G26" s="9"/>
      <c r="H26" s="9"/>
      <c r="I26" s="9" t="s">
        <v>14</v>
      </c>
    </row>
    <row r="27" spans="1:9" x14ac:dyDescent="0.25">
      <c r="A27" s="7" t="s">
        <v>40</v>
      </c>
      <c r="B27" s="7" t="s">
        <v>49</v>
      </c>
      <c r="C27" s="7" t="s">
        <v>42</v>
      </c>
      <c r="D27" s="8" t="s">
        <v>50</v>
      </c>
      <c r="E27" s="9" t="s">
        <v>14</v>
      </c>
      <c r="F27" s="9" t="s">
        <v>14</v>
      </c>
      <c r="G27" s="9"/>
      <c r="H27" s="9"/>
      <c r="I27" s="9" t="s">
        <v>14</v>
      </c>
    </row>
    <row r="28" spans="1:9" x14ac:dyDescent="0.25">
      <c r="A28" s="7" t="s">
        <v>40</v>
      </c>
      <c r="B28" s="7" t="s">
        <v>51</v>
      </c>
      <c r="C28" s="8" t="s">
        <v>42</v>
      </c>
      <c r="D28" s="8" t="s">
        <v>52</v>
      </c>
      <c r="E28" s="9" t="s">
        <v>14</v>
      </c>
      <c r="F28" s="9" t="s">
        <v>14</v>
      </c>
      <c r="G28" s="9"/>
      <c r="H28" s="9"/>
      <c r="I28" s="9" t="s">
        <v>14</v>
      </c>
    </row>
    <row r="29" spans="1:9" x14ac:dyDescent="0.25">
      <c r="A29" s="7" t="s">
        <v>40</v>
      </c>
      <c r="B29" s="7" t="s">
        <v>51</v>
      </c>
      <c r="C29" s="8" t="s">
        <v>42</v>
      </c>
      <c r="D29" s="8" t="s">
        <v>53</v>
      </c>
      <c r="E29" s="9" t="s">
        <v>14</v>
      </c>
      <c r="F29" s="9" t="s">
        <v>14</v>
      </c>
      <c r="G29" s="9"/>
      <c r="H29" s="9"/>
      <c r="I29" s="9" t="s">
        <v>14</v>
      </c>
    </row>
    <row r="30" spans="1:9" x14ac:dyDescent="0.25">
      <c r="A30" s="7" t="s">
        <v>40</v>
      </c>
      <c r="B30" s="7" t="s">
        <v>54</v>
      </c>
      <c r="C30" s="8" t="s">
        <v>42</v>
      </c>
      <c r="D30" s="8" t="s">
        <v>28</v>
      </c>
      <c r="E30" s="9" t="s">
        <v>14</v>
      </c>
      <c r="F30" s="9" t="s">
        <v>14</v>
      </c>
      <c r="G30" s="9"/>
      <c r="H30" s="9"/>
      <c r="I30" s="9" t="s">
        <v>14</v>
      </c>
    </row>
    <row r="31" spans="1:9" x14ac:dyDescent="0.25">
      <c r="A31" s="7" t="s">
        <v>40</v>
      </c>
      <c r="B31" s="7" t="s">
        <v>54</v>
      </c>
      <c r="C31" s="7" t="s">
        <v>42</v>
      </c>
      <c r="D31" s="8" t="s">
        <v>55</v>
      </c>
      <c r="E31" s="9" t="s">
        <v>14</v>
      </c>
      <c r="F31" s="9" t="s">
        <v>14</v>
      </c>
      <c r="G31" s="9"/>
      <c r="H31" s="9"/>
      <c r="I31" s="9" t="s">
        <v>14</v>
      </c>
    </row>
    <row r="32" spans="1:9" x14ac:dyDescent="0.25">
      <c r="A32" s="7" t="s">
        <v>56</v>
      </c>
      <c r="B32" s="7" t="s">
        <v>56</v>
      </c>
      <c r="C32" s="7" t="s">
        <v>57</v>
      </c>
      <c r="D32" s="8" t="s">
        <v>52</v>
      </c>
      <c r="E32" s="9" t="s">
        <v>14</v>
      </c>
      <c r="F32" s="9"/>
      <c r="G32" s="9" t="s">
        <v>14</v>
      </c>
      <c r="H32" s="9"/>
      <c r="I32" s="9" t="s">
        <v>14</v>
      </c>
    </row>
    <row r="33" spans="1:9" x14ac:dyDescent="0.25">
      <c r="A33" s="7" t="s">
        <v>56</v>
      </c>
      <c r="B33" s="7" t="s">
        <v>58</v>
      </c>
      <c r="C33" s="7" t="s">
        <v>57</v>
      </c>
      <c r="D33" s="8" t="s">
        <v>43</v>
      </c>
      <c r="E33" s="9" t="s">
        <v>14</v>
      </c>
      <c r="F33" s="9"/>
      <c r="G33" s="9" t="s">
        <v>14</v>
      </c>
      <c r="H33" s="9"/>
      <c r="I33" s="9" t="s">
        <v>14</v>
      </c>
    </row>
    <row r="34" spans="1:9" x14ac:dyDescent="0.25">
      <c r="A34" s="7" t="s">
        <v>56</v>
      </c>
      <c r="B34" s="7" t="s">
        <v>59</v>
      </c>
      <c r="C34" s="7" t="s">
        <v>57</v>
      </c>
      <c r="D34" s="8" t="s">
        <v>22</v>
      </c>
      <c r="E34" s="9" t="s">
        <v>14</v>
      </c>
      <c r="F34" s="9"/>
      <c r="G34" s="9" t="s">
        <v>14</v>
      </c>
      <c r="H34" s="9"/>
      <c r="I34" s="9" t="s">
        <v>14</v>
      </c>
    </row>
    <row r="35" spans="1:9" x14ac:dyDescent="0.25">
      <c r="A35" s="7" t="s">
        <v>56</v>
      </c>
      <c r="B35" s="7" t="s">
        <v>59</v>
      </c>
      <c r="C35" s="7" t="s">
        <v>57</v>
      </c>
      <c r="D35" s="8" t="s">
        <v>60</v>
      </c>
      <c r="E35" s="9" t="s">
        <v>14</v>
      </c>
      <c r="F35" s="9"/>
      <c r="G35" s="9" t="s">
        <v>14</v>
      </c>
      <c r="H35" s="9"/>
      <c r="I35" s="9" t="s">
        <v>14</v>
      </c>
    </row>
    <row r="36" spans="1:9" x14ac:dyDescent="0.25">
      <c r="A36" s="7" t="s">
        <v>56</v>
      </c>
      <c r="B36" s="7" t="s">
        <v>61</v>
      </c>
      <c r="C36" s="7" t="s">
        <v>57</v>
      </c>
      <c r="D36" s="8" t="s">
        <v>48</v>
      </c>
      <c r="E36" s="9" t="s">
        <v>14</v>
      </c>
      <c r="F36" s="9"/>
      <c r="G36" s="9" t="s">
        <v>14</v>
      </c>
      <c r="H36" s="9"/>
      <c r="I36" s="9" t="s">
        <v>14</v>
      </c>
    </row>
    <row r="37" spans="1:9" x14ac:dyDescent="0.25">
      <c r="A37" s="7" t="s">
        <v>56</v>
      </c>
      <c r="B37" s="7" t="s">
        <v>62</v>
      </c>
      <c r="C37" s="7" t="s">
        <v>57</v>
      </c>
      <c r="D37" s="8" t="s">
        <v>18</v>
      </c>
      <c r="E37" s="9" t="s">
        <v>14</v>
      </c>
      <c r="F37" s="9"/>
      <c r="G37" s="9" t="s">
        <v>14</v>
      </c>
      <c r="H37" s="9"/>
      <c r="I37" s="9" t="s">
        <v>14</v>
      </c>
    </row>
    <row r="38" spans="1:9" x14ac:dyDescent="0.25">
      <c r="A38" s="7" t="s">
        <v>56</v>
      </c>
      <c r="B38" s="7" t="s">
        <v>62</v>
      </c>
      <c r="C38" s="7" t="s">
        <v>57</v>
      </c>
      <c r="D38" s="8" t="s">
        <v>44</v>
      </c>
      <c r="E38" s="9" t="s">
        <v>14</v>
      </c>
      <c r="F38" s="9"/>
      <c r="G38" s="9" t="s">
        <v>14</v>
      </c>
      <c r="H38" s="9"/>
      <c r="I38" s="9" t="s">
        <v>14</v>
      </c>
    </row>
    <row r="39" spans="1:9" x14ac:dyDescent="0.25">
      <c r="A39" s="7" t="s">
        <v>56</v>
      </c>
      <c r="B39" s="7" t="s">
        <v>63</v>
      </c>
      <c r="C39" s="7" t="s">
        <v>57</v>
      </c>
      <c r="D39" s="8" t="s">
        <v>53</v>
      </c>
      <c r="E39" s="9" t="s">
        <v>14</v>
      </c>
      <c r="F39" s="9"/>
      <c r="G39" s="9" t="s">
        <v>14</v>
      </c>
      <c r="H39" s="9"/>
      <c r="I39" s="9" t="s">
        <v>14</v>
      </c>
    </row>
    <row r="40" spans="1:9" x14ac:dyDescent="0.25">
      <c r="A40" s="7" t="s">
        <v>64</v>
      </c>
      <c r="B40" s="7" t="s">
        <v>64</v>
      </c>
      <c r="C40" s="8" t="s">
        <v>65</v>
      </c>
      <c r="D40" s="8" t="s">
        <v>13</v>
      </c>
      <c r="E40" s="9" t="s">
        <v>14</v>
      </c>
      <c r="F40" s="9"/>
      <c r="G40" s="9"/>
      <c r="H40" s="9"/>
      <c r="I40" s="9"/>
    </row>
    <row r="41" spans="1:9" x14ac:dyDescent="0.25">
      <c r="A41" s="7" t="s">
        <v>66</v>
      </c>
      <c r="B41" s="7" t="s">
        <v>66</v>
      </c>
      <c r="C41" s="8" t="s">
        <v>67</v>
      </c>
      <c r="D41" s="8" t="s">
        <v>13</v>
      </c>
      <c r="E41" s="9" t="s">
        <v>14</v>
      </c>
      <c r="F41" s="9"/>
      <c r="G41" s="9"/>
      <c r="H41" s="9"/>
      <c r="I41" s="9"/>
    </row>
    <row r="42" spans="1:9" x14ac:dyDescent="0.25">
      <c r="A42" s="7" t="s">
        <v>68</v>
      </c>
      <c r="B42" s="7" t="s">
        <v>68</v>
      </c>
      <c r="C42" s="8" t="s">
        <v>69</v>
      </c>
      <c r="D42" s="8" t="s">
        <v>13</v>
      </c>
      <c r="E42" s="9" t="s">
        <v>14</v>
      </c>
      <c r="F42" s="9"/>
      <c r="G42" s="9"/>
      <c r="H42" s="9"/>
      <c r="I42" s="9"/>
    </row>
    <row r="43" spans="1:9" x14ac:dyDescent="0.25">
      <c r="A43" s="7" t="s">
        <v>68</v>
      </c>
      <c r="B43" s="7" t="s">
        <v>70</v>
      </c>
      <c r="C43" s="8" t="s">
        <v>69</v>
      </c>
      <c r="D43" s="8" t="s">
        <v>52</v>
      </c>
      <c r="E43" s="9" t="s">
        <v>14</v>
      </c>
      <c r="F43" s="9"/>
      <c r="G43" s="9"/>
      <c r="H43" s="9"/>
      <c r="I43" s="9"/>
    </row>
    <row r="44" spans="1:9" x14ac:dyDescent="0.25">
      <c r="A44" s="7" t="s">
        <v>71</v>
      </c>
      <c r="B44" s="7" t="s">
        <v>71</v>
      </c>
      <c r="C44" s="8" t="s">
        <v>72</v>
      </c>
      <c r="D44" s="8" t="s">
        <v>73</v>
      </c>
      <c r="E44" s="9" t="s">
        <v>14</v>
      </c>
      <c r="F44" s="9"/>
      <c r="G44" s="9"/>
      <c r="H44" s="9"/>
      <c r="I44" s="9"/>
    </row>
    <row r="45" spans="1:9" x14ac:dyDescent="0.25">
      <c r="A45" s="7" t="s">
        <v>71</v>
      </c>
      <c r="B45" s="7" t="s">
        <v>74</v>
      </c>
      <c r="C45" s="8" t="s">
        <v>72</v>
      </c>
      <c r="D45" s="8" t="s">
        <v>75</v>
      </c>
      <c r="E45" s="9" t="s">
        <v>14</v>
      </c>
      <c r="F45" s="9"/>
      <c r="G45" s="9"/>
      <c r="H45" s="9"/>
      <c r="I45" s="9"/>
    </row>
    <row r="46" spans="1:9" x14ac:dyDescent="0.25">
      <c r="A46" s="7" t="s">
        <v>71</v>
      </c>
      <c r="B46" s="7" t="s">
        <v>76</v>
      </c>
      <c r="C46" s="8" t="s">
        <v>72</v>
      </c>
      <c r="D46" s="8" t="s">
        <v>24</v>
      </c>
      <c r="E46" s="9" t="s">
        <v>14</v>
      </c>
      <c r="F46" s="9"/>
      <c r="G46" s="9"/>
      <c r="H46" s="9"/>
      <c r="I46" s="9"/>
    </row>
    <row r="47" spans="1:9" x14ac:dyDescent="0.25">
      <c r="A47" s="7" t="s">
        <v>71</v>
      </c>
      <c r="B47" s="7" t="s">
        <v>77</v>
      </c>
      <c r="C47" s="8" t="s">
        <v>72</v>
      </c>
      <c r="D47" s="8" t="s">
        <v>78</v>
      </c>
      <c r="E47" s="9" t="s">
        <v>14</v>
      </c>
      <c r="F47" s="9"/>
      <c r="G47" s="9"/>
      <c r="H47" s="9"/>
      <c r="I47" s="9"/>
    </row>
    <row r="48" spans="1:9" x14ac:dyDescent="0.25">
      <c r="A48" s="7" t="s">
        <v>71</v>
      </c>
      <c r="B48" s="7" t="s">
        <v>79</v>
      </c>
      <c r="C48" s="7" t="s">
        <v>72</v>
      </c>
      <c r="D48" s="8" t="s">
        <v>46</v>
      </c>
      <c r="E48" s="9" t="s">
        <v>14</v>
      </c>
      <c r="F48" s="9"/>
      <c r="G48" s="9"/>
      <c r="H48" s="9"/>
      <c r="I48" s="9"/>
    </row>
    <row r="49" spans="1:9" x14ac:dyDescent="0.25">
      <c r="A49" s="7" t="s">
        <v>71</v>
      </c>
      <c r="B49" s="7" t="s">
        <v>80</v>
      </c>
      <c r="C49" s="7" t="s">
        <v>72</v>
      </c>
      <c r="D49" s="8" t="s">
        <v>81</v>
      </c>
      <c r="E49" s="9" t="s">
        <v>14</v>
      </c>
      <c r="F49" s="9"/>
      <c r="G49" s="9"/>
      <c r="H49" s="9"/>
      <c r="I49" s="9"/>
    </row>
    <row r="50" spans="1:9" x14ac:dyDescent="0.25">
      <c r="A50" s="7" t="s">
        <v>71</v>
      </c>
      <c r="B50" s="7" t="s">
        <v>82</v>
      </c>
      <c r="C50" s="8" t="s">
        <v>72</v>
      </c>
      <c r="D50" s="8" t="s">
        <v>34</v>
      </c>
      <c r="E50" s="9" t="s">
        <v>14</v>
      </c>
      <c r="F50" s="9"/>
      <c r="G50" s="9"/>
      <c r="H50" s="9"/>
      <c r="I50" s="9"/>
    </row>
    <row r="51" spans="1:9" x14ac:dyDescent="0.25">
      <c r="A51" s="7" t="s">
        <v>71</v>
      </c>
      <c r="B51" s="7" t="s">
        <v>83</v>
      </c>
      <c r="C51" s="8" t="s">
        <v>72</v>
      </c>
      <c r="D51" s="8" t="s">
        <v>84</v>
      </c>
      <c r="E51" s="9" t="s">
        <v>14</v>
      </c>
      <c r="F51" s="9"/>
      <c r="G51" s="9"/>
      <c r="H51" s="9"/>
      <c r="I51" s="9"/>
    </row>
    <row r="52" spans="1:9" x14ac:dyDescent="0.25">
      <c r="A52" s="7" t="s">
        <v>85</v>
      </c>
      <c r="B52" s="7" t="s">
        <v>86</v>
      </c>
      <c r="C52" s="7" t="s">
        <v>87</v>
      </c>
      <c r="D52" s="8" t="s">
        <v>55</v>
      </c>
      <c r="E52" s="9" t="s">
        <v>14</v>
      </c>
      <c r="F52" s="9"/>
      <c r="G52" s="9"/>
      <c r="H52" s="9"/>
      <c r="I52" s="9"/>
    </row>
    <row r="53" spans="1:9" x14ac:dyDescent="0.25">
      <c r="A53" s="7" t="s">
        <v>85</v>
      </c>
      <c r="B53" s="7" t="s">
        <v>88</v>
      </c>
      <c r="C53" s="7" t="s">
        <v>87</v>
      </c>
      <c r="D53" s="8" t="s">
        <v>89</v>
      </c>
      <c r="E53" s="9" t="s">
        <v>14</v>
      </c>
      <c r="F53" s="9"/>
      <c r="G53" s="9"/>
      <c r="H53" s="9"/>
      <c r="I53" s="9"/>
    </row>
    <row r="54" spans="1:9" x14ac:dyDescent="0.25">
      <c r="A54" s="7" t="s">
        <v>90</v>
      </c>
      <c r="B54" s="7" t="s">
        <v>91</v>
      </c>
      <c r="C54" s="7" t="s">
        <v>92</v>
      </c>
      <c r="D54" s="8" t="s">
        <v>50</v>
      </c>
      <c r="E54" s="9" t="s">
        <v>14</v>
      </c>
      <c r="F54" s="9"/>
      <c r="G54" s="9"/>
      <c r="H54" s="9"/>
      <c r="I54" s="9"/>
    </row>
    <row r="55" spans="1:9" x14ac:dyDescent="0.25">
      <c r="A55" s="7" t="s">
        <v>90</v>
      </c>
      <c r="B55" s="7" t="s">
        <v>93</v>
      </c>
      <c r="C55" s="7" t="s">
        <v>92</v>
      </c>
      <c r="D55" s="8" t="s">
        <v>32</v>
      </c>
      <c r="E55" s="9" t="s">
        <v>14</v>
      </c>
      <c r="F55" s="9"/>
      <c r="G55" s="9"/>
      <c r="H55" s="9"/>
      <c r="I55" s="9"/>
    </row>
    <row r="56" spans="1:9" x14ac:dyDescent="0.25">
      <c r="A56" s="7" t="s">
        <v>94</v>
      </c>
      <c r="B56" s="7" t="s">
        <v>94</v>
      </c>
      <c r="C56" s="8" t="s">
        <v>95</v>
      </c>
      <c r="D56" s="8" t="s">
        <v>29</v>
      </c>
      <c r="E56" s="9" t="s">
        <v>14</v>
      </c>
      <c r="F56" s="9"/>
      <c r="G56" s="9"/>
      <c r="H56" s="9"/>
      <c r="I56" s="9"/>
    </row>
    <row r="57" spans="1:9" x14ac:dyDescent="0.25">
      <c r="A57" s="7" t="s">
        <v>94</v>
      </c>
      <c r="B57" s="7" t="s">
        <v>94</v>
      </c>
      <c r="C57" s="8" t="s">
        <v>95</v>
      </c>
      <c r="D57" s="8" t="s">
        <v>13</v>
      </c>
      <c r="E57" s="9" t="s">
        <v>14</v>
      </c>
      <c r="F57" s="9"/>
      <c r="G57" s="9"/>
      <c r="H57" s="9"/>
      <c r="I57" s="9"/>
    </row>
    <row r="58" spans="1:9" x14ac:dyDescent="0.25">
      <c r="A58" s="7" t="s">
        <v>94</v>
      </c>
      <c r="B58" s="7" t="s">
        <v>96</v>
      </c>
      <c r="C58" s="8" t="s">
        <v>95</v>
      </c>
      <c r="D58" s="8" t="s">
        <v>97</v>
      </c>
      <c r="E58" s="9" t="s">
        <v>14</v>
      </c>
      <c r="F58" s="9"/>
      <c r="G58" s="9"/>
      <c r="H58" s="9"/>
      <c r="I58" s="9"/>
    </row>
    <row r="59" spans="1:9" x14ac:dyDescent="0.25">
      <c r="A59" s="7" t="s">
        <v>94</v>
      </c>
      <c r="B59" s="7" t="s">
        <v>96</v>
      </c>
      <c r="C59" s="8" t="s">
        <v>95</v>
      </c>
      <c r="D59" s="8" t="s">
        <v>98</v>
      </c>
      <c r="E59" s="9" t="s">
        <v>14</v>
      </c>
      <c r="F59" s="9"/>
      <c r="G59" s="9"/>
      <c r="H59" s="9"/>
      <c r="I59" s="9"/>
    </row>
    <row r="60" spans="1:9" x14ac:dyDescent="0.25">
      <c r="A60" s="7" t="s">
        <v>94</v>
      </c>
      <c r="B60" s="7" t="s">
        <v>99</v>
      </c>
      <c r="C60" s="8" t="s">
        <v>100</v>
      </c>
      <c r="D60" s="8" t="s">
        <v>39</v>
      </c>
      <c r="E60" s="9" t="s">
        <v>14</v>
      </c>
      <c r="F60" s="9"/>
      <c r="G60" s="9"/>
      <c r="H60" s="9"/>
      <c r="I60" s="9"/>
    </row>
    <row r="61" spans="1:9" x14ac:dyDescent="0.25">
      <c r="A61" s="7" t="s">
        <v>94</v>
      </c>
      <c r="B61" s="7" t="s">
        <v>101</v>
      </c>
      <c r="C61" s="8" t="s">
        <v>95</v>
      </c>
      <c r="D61" s="8" t="s">
        <v>102</v>
      </c>
      <c r="E61" s="9" t="s">
        <v>14</v>
      </c>
      <c r="F61" s="9"/>
      <c r="G61" s="9"/>
      <c r="H61" s="9"/>
      <c r="I61" s="9"/>
    </row>
    <row r="62" spans="1:9" x14ac:dyDescent="0.25">
      <c r="A62" s="7" t="s">
        <v>94</v>
      </c>
      <c r="B62" s="7" t="s">
        <v>101</v>
      </c>
      <c r="C62" s="8" t="s">
        <v>95</v>
      </c>
      <c r="D62" s="8" t="s">
        <v>16</v>
      </c>
      <c r="E62" s="9" t="s">
        <v>14</v>
      </c>
      <c r="F62" s="9"/>
      <c r="G62" s="9"/>
      <c r="H62" s="9"/>
      <c r="I62" s="9"/>
    </row>
    <row r="63" spans="1:9" x14ac:dyDescent="0.25">
      <c r="A63" s="7" t="s">
        <v>94</v>
      </c>
      <c r="B63" s="7" t="s">
        <v>103</v>
      </c>
      <c r="C63" s="7" t="s">
        <v>95</v>
      </c>
      <c r="D63" s="8" t="s">
        <v>104</v>
      </c>
      <c r="E63" s="9" t="s">
        <v>14</v>
      </c>
      <c r="F63" s="9"/>
      <c r="G63" s="9"/>
      <c r="H63" s="9"/>
      <c r="I63" s="9"/>
    </row>
    <row r="64" spans="1:9" x14ac:dyDescent="0.25">
      <c r="A64" s="7" t="s">
        <v>94</v>
      </c>
      <c r="B64" s="7" t="s">
        <v>105</v>
      </c>
      <c r="C64" s="7" t="s">
        <v>95</v>
      </c>
      <c r="D64" s="8" t="s">
        <v>106</v>
      </c>
      <c r="E64" s="9" t="s">
        <v>14</v>
      </c>
      <c r="F64" s="9"/>
      <c r="G64" s="9"/>
      <c r="H64" s="9"/>
      <c r="I64" s="9"/>
    </row>
    <row r="65" spans="1:9" x14ac:dyDescent="0.25">
      <c r="A65" s="7" t="s">
        <v>94</v>
      </c>
      <c r="B65" s="7" t="s">
        <v>107</v>
      </c>
      <c r="C65" s="7" t="s">
        <v>95</v>
      </c>
      <c r="D65" s="8" t="s">
        <v>108</v>
      </c>
      <c r="E65" s="9" t="s">
        <v>14</v>
      </c>
      <c r="F65" s="9"/>
      <c r="G65" s="9"/>
      <c r="H65" s="9"/>
      <c r="I65" s="9"/>
    </row>
    <row r="66" spans="1:9" x14ac:dyDescent="0.25">
      <c r="A66" s="7" t="s">
        <v>109</v>
      </c>
      <c r="B66" s="7" t="s">
        <v>109</v>
      </c>
      <c r="C66" s="8" t="s">
        <v>110</v>
      </c>
      <c r="D66" s="8" t="s">
        <v>13</v>
      </c>
      <c r="E66" s="9" t="s">
        <v>14</v>
      </c>
      <c r="F66" s="9"/>
      <c r="G66" s="9"/>
      <c r="H66" s="9"/>
      <c r="I66" s="9"/>
    </row>
    <row r="67" spans="1:9" x14ac:dyDescent="0.25">
      <c r="A67" s="7" t="s">
        <v>109</v>
      </c>
      <c r="B67" s="7" t="s">
        <v>109</v>
      </c>
      <c r="C67" s="8" t="s">
        <v>110</v>
      </c>
      <c r="D67" s="8" t="s">
        <v>29</v>
      </c>
      <c r="E67" s="9" t="s">
        <v>14</v>
      </c>
      <c r="F67" s="9"/>
      <c r="G67" s="9"/>
      <c r="H67" s="9"/>
      <c r="I67" s="9"/>
    </row>
    <row r="68" spans="1:9" x14ac:dyDescent="0.25">
      <c r="A68" s="7" t="s">
        <v>109</v>
      </c>
      <c r="B68" s="7" t="s">
        <v>111</v>
      </c>
      <c r="C68" s="7" t="s">
        <v>110</v>
      </c>
      <c r="D68" s="8" t="s">
        <v>112</v>
      </c>
      <c r="E68" s="9" t="s">
        <v>14</v>
      </c>
      <c r="F68" s="9"/>
      <c r="G68" s="9"/>
      <c r="H68" s="9"/>
      <c r="I68" s="9"/>
    </row>
    <row r="69" spans="1:9" x14ac:dyDescent="0.25">
      <c r="A69" s="7" t="s">
        <v>109</v>
      </c>
      <c r="B69" s="7" t="s">
        <v>111</v>
      </c>
      <c r="C69" s="7" t="s">
        <v>110</v>
      </c>
      <c r="D69" s="8" t="s">
        <v>113</v>
      </c>
      <c r="E69" s="9" t="s">
        <v>14</v>
      </c>
      <c r="F69" s="9"/>
      <c r="G69" s="9"/>
      <c r="H69" s="9"/>
      <c r="I69" s="9"/>
    </row>
    <row r="70" spans="1:9" x14ac:dyDescent="0.25">
      <c r="A70" s="7" t="s">
        <v>109</v>
      </c>
      <c r="B70" s="7" t="s">
        <v>114</v>
      </c>
      <c r="C70" s="7" t="s">
        <v>110</v>
      </c>
      <c r="D70" s="8" t="s">
        <v>36</v>
      </c>
      <c r="E70" s="9" t="s">
        <v>14</v>
      </c>
      <c r="F70" s="9"/>
      <c r="G70" s="9"/>
      <c r="H70" s="9"/>
      <c r="I70" s="9"/>
    </row>
    <row r="71" spans="1:9" x14ac:dyDescent="0.25">
      <c r="A71" s="7" t="s">
        <v>109</v>
      </c>
      <c r="B71" s="7" t="s">
        <v>114</v>
      </c>
      <c r="C71" s="7" t="s">
        <v>110</v>
      </c>
      <c r="D71" s="8" t="s">
        <v>43</v>
      </c>
      <c r="E71" s="9" t="s">
        <v>14</v>
      </c>
      <c r="F71" s="9"/>
      <c r="G71" s="9"/>
      <c r="H71" s="9"/>
      <c r="I71" s="9"/>
    </row>
    <row r="72" spans="1:9" x14ac:dyDescent="0.25">
      <c r="A72" s="7" t="s">
        <v>109</v>
      </c>
      <c r="B72" s="7" t="s">
        <v>115</v>
      </c>
      <c r="C72" s="7" t="s">
        <v>110</v>
      </c>
      <c r="D72" s="8" t="s">
        <v>116</v>
      </c>
      <c r="E72" s="9" t="s">
        <v>14</v>
      </c>
      <c r="F72" s="9"/>
      <c r="G72" s="9"/>
      <c r="H72" s="9"/>
      <c r="I72" s="9"/>
    </row>
    <row r="73" spans="1:9" x14ac:dyDescent="0.25">
      <c r="A73" s="7" t="s">
        <v>109</v>
      </c>
      <c r="B73" s="7" t="s">
        <v>117</v>
      </c>
      <c r="C73" s="7" t="s">
        <v>110</v>
      </c>
      <c r="D73" s="8" t="s">
        <v>118</v>
      </c>
      <c r="E73" s="9" t="s">
        <v>14</v>
      </c>
      <c r="F73" s="9"/>
      <c r="G73" s="9"/>
      <c r="H73" s="9"/>
      <c r="I73" s="9"/>
    </row>
    <row r="74" spans="1:9" x14ac:dyDescent="0.25">
      <c r="A74" s="7" t="s">
        <v>109</v>
      </c>
      <c r="B74" s="7" t="s">
        <v>119</v>
      </c>
      <c r="C74" s="7" t="s">
        <v>110</v>
      </c>
      <c r="D74" s="8" t="s">
        <v>120</v>
      </c>
      <c r="E74" s="9" t="s">
        <v>14</v>
      </c>
      <c r="F74" s="9"/>
      <c r="G74" s="9"/>
      <c r="H74" s="9"/>
      <c r="I74" s="9"/>
    </row>
    <row r="75" spans="1:9" x14ac:dyDescent="0.25">
      <c r="A75" s="7" t="s">
        <v>109</v>
      </c>
      <c r="B75" s="7" t="s">
        <v>121</v>
      </c>
      <c r="C75" s="7" t="s">
        <v>110</v>
      </c>
      <c r="D75" s="8" t="s">
        <v>122</v>
      </c>
      <c r="E75" s="9" t="s">
        <v>14</v>
      </c>
      <c r="F75" s="9"/>
      <c r="G75" s="9"/>
      <c r="H75" s="9"/>
      <c r="I75" s="9"/>
    </row>
    <row r="76" spans="1:9" x14ac:dyDescent="0.25">
      <c r="A76" s="7" t="s">
        <v>109</v>
      </c>
      <c r="B76" s="7" t="s">
        <v>121</v>
      </c>
      <c r="C76" s="7" t="s">
        <v>110</v>
      </c>
      <c r="D76" s="8" t="s">
        <v>52</v>
      </c>
      <c r="E76" s="9" t="s">
        <v>14</v>
      </c>
      <c r="F76" s="9"/>
      <c r="G76" s="9"/>
      <c r="H76" s="9"/>
      <c r="I76" s="9"/>
    </row>
    <row r="77" spans="1:9" x14ac:dyDescent="0.25">
      <c r="A77" s="7" t="s">
        <v>109</v>
      </c>
      <c r="B77" s="7" t="s">
        <v>123</v>
      </c>
      <c r="C77" s="7" t="s">
        <v>110</v>
      </c>
      <c r="D77" s="8" t="s">
        <v>124</v>
      </c>
      <c r="E77" s="9" t="s">
        <v>14</v>
      </c>
      <c r="F77" s="9"/>
      <c r="G77" s="9"/>
      <c r="H77" s="9"/>
      <c r="I77" s="9"/>
    </row>
    <row r="78" spans="1:9" x14ac:dyDescent="0.25">
      <c r="A78" s="7" t="s">
        <v>125</v>
      </c>
      <c r="B78" s="7" t="s">
        <v>125</v>
      </c>
      <c r="C78" s="7" t="s">
        <v>126</v>
      </c>
      <c r="D78" s="8" t="s">
        <v>13</v>
      </c>
      <c r="E78" s="9" t="s">
        <v>14</v>
      </c>
      <c r="F78" s="9"/>
      <c r="G78" s="9" t="s">
        <v>14</v>
      </c>
      <c r="H78" s="9"/>
      <c r="I78" s="9" t="s">
        <v>14</v>
      </c>
    </row>
    <row r="79" spans="1:9" x14ac:dyDescent="0.25">
      <c r="A79" s="7" t="s">
        <v>125</v>
      </c>
      <c r="B79" s="7" t="s">
        <v>127</v>
      </c>
      <c r="C79" s="7" t="s">
        <v>126</v>
      </c>
      <c r="D79" s="8" t="s">
        <v>32</v>
      </c>
      <c r="E79" s="9" t="s">
        <v>14</v>
      </c>
      <c r="F79" s="9"/>
      <c r="G79" s="9" t="s">
        <v>14</v>
      </c>
      <c r="H79" s="9"/>
      <c r="I79" s="9" t="s">
        <v>14</v>
      </c>
    </row>
    <row r="80" spans="1:9" x14ac:dyDescent="0.25">
      <c r="A80" s="7" t="s">
        <v>128</v>
      </c>
      <c r="B80" s="7" t="s">
        <v>128</v>
      </c>
      <c r="C80" s="7" t="s">
        <v>129</v>
      </c>
      <c r="D80" s="8" t="s">
        <v>13</v>
      </c>
      <c r="E80" s="9" t="s">
        <v>14</v>
      </c>
      <c r="F80" s="9"/>
      <c r="G80" s="9" t="s">
        <v>14</v>
      </c>
      <c r="H80" s="9"/>
      <c r="I80" s="9" t="s">
        <v>14</v>
      </c>
    </row>
    <row r="81" spans="1:9" x14ac:dyDescent="0.25">
      <c r="A81" s="7" t="s">
        <v>128</v>
      </c>
      <c r="B81" s="7" t="s">
        <v>128</v>
      </c>
      <c r="C81" s="7" t="s">
        <v>129</v>
      </c>
      <c r="D81" s="8" t="s">
        <v>52</v>
      </c>
      <c r="E81" s="9" t="s">
        <v>14</v>
      </c>
      <c r="F81" s="9"/>
      <c r="G81" s="9" t="s">
        <v>14</v>
      </c>
      <c r="H81" s="9"/>
      <c r="I81" s="9" t="s">
        <v>14</v>
      </c>
    </row>
    <row r="82" spans="1:9" x14ac:dyDescent="0.25">
      <c r="A82" s="7" t="s">
        <v>128</v>
      </c>
      <c r="B82" s="7" t="s">
        <v>130</v>
      </c>
      <c r="C82" s="7" t="s">
        <v>129</v>
      </c>
      <c r="D82" s="8" t="s">
        <v>43</v>
      </c>
      <c r="E82" s="9" t="s">
        <v>14</v>
      </c>
      <c r="F82" s="9"/>
      <c r="G82" s="9" t="s">
        <v>14</v>
      </c>
      <c r="H82" s="9"/>
      <c r="I82" s="9" t="s">
        <v>14</v>
      </c>
    </row>
    <row r="83" spans="1:9" x14ac:dyDescent="0.25">
      <c r="A83" s="7" t="s">
        <v>131</v>
      </c>
      <c r="B83" s="7" t="s">
        <v>131</v>
      </c>
      <c r="C83" s="7" t="s">
        <v>132</v>
      </c>
      <c r="D83" s="8" t="s">
        <v>13</v>
      </c>
      <c r="E83" s="9" t="s">
        <v>14</v>
      </c>
      <c r="F83" s="9"/>
      <c r="G83" s="9"/>
      <c r="H83" s="9"/>
      <c r="I83" s="9"/>
    </row>
    <row r="84" spans="1:9" x14ac:dyDescent="0.25">
      <c r="A84" s="7" t="s">
        <v>131</v>
      </c>
      <c r="B84" s="7" t="s">
        <v>133</v>
      </c>
      <c r="C84" s="7" t="s">
        <v>132</v>
      </c>
      <c r="D84" s="8" t="s">
        <v>134</v>
      </c>
      <c r="E84" s="9" t="s">
        <v>14</v>
      </c>
      <c r="F84" s="9"/>
      <c r="G84" s="9"/>
      <c r="H84" s="9"/>
      <c r="I84" s="9"/>
    </row>
    <row r="85" spans="1:9" x14ac:dyDescent="0.25">
      <c r="A85" s="7" t="s">
        <v>135</v>
      </c>
      <c r="B85" s="7" t="s">
        <v>135</v>
      </c>
      <c r="C85" s="7" t="s">
        <v>136</v>
      </c>
      <c r="D85" s="8" t="s">
        <v>13</v>
      </c>
      <c r="E85" s="9" t="s">
        <v>14</v>
      </c>
      <c r="F85" s="9"/>
      <c r="G85" s="9" t="s">
        <v>14</v>
      </c>
      <c r="H85" s="9"/>
      <c r="I85" s="9" t="s">
        <v>14</v>
      </c>
    </row>
    <row r="86" spans="1:9" x14ac:dyDescent="0.25">
      <c r="A86" s="7" t="s">
        <v>135</v>
      </c>
      <c r="B86" s="7" t="s">
        <v>137</v>
      </c>
      <c r="C86" s="7" t="s">
        <v>136</v>
      </c>
      <c r="D86" s="8" t="s">
        <v>50</v>
      </c>
      <c r="E86" s="9" t="s">
        <v>14</v>
      </c>
      <c r="F86" s="9"/>
      <c r="G86" s="9" t="s">
        <v>14</v>
      </c>
      <c r="H86" s="9"/>
      <c r="I86" s="9" t="s">
        <v>14</v>
      </c>
    </row>
    <row r="87" spans="1:9" x14ac:dyDescent="0.25">
      <c r="A87" s="7" t="s">
        <v>138</v>
      </c>
      <c r="B87" s="7" t="s">
        <v>138</v>
      </c>
      <c r="C87" s="7" t="s">
        <v>139</v>
      </c>
      <c r="D87" s="8" t="s">
        <v>13</v>
      </c>
      <c r="E87" s="9" t="s">
        <v>14</v>
      </c>
      <c r="F87" s="9"/>
      <c r="G87" s="9" t="s">
        <v>14</v>
      </c>
      <c r="H87" s="9"/>
      <c r="I87" s="9" t="s">
        <v>14</v>
      </c>
    </row>
    <row r="88" spans="1:9" x14ac:dyDescent="0.25">
      <c r="A88" s="7" t="s">
        <v>138</v>
      </c>
      <c r="B88" s="7" t="s">
        <v>140</v>
      </c>
      <c r="C88" s="7" t="s">
        <v>139</v>
      </c>
      <c r="D88" s="8" t="s">
        <v>44</v>
      </c>
      <c r="E88" s="9" t="s">
        <v>14</v>
      </c>
      <c r="F88" s="9"/>
      <c r="G88" s="9" t="s">
        <v>14</v>
      </c>
      <c r="H88" s="9"/>
      <c r="I88" s="9" t="s">
        <v>14</v>
      </c>
    </row>
    <row r="89" spans="1:9" x14ac:dyDescent="0.25">
      <c r="A89" s="7" t="s">
        <v>141</v>
      </c>
      <c r="B89" s="7" t="s">
        <v>141</v>
      </c>
      <c r="C89" s="7" t="s">
        <v>142</v>
      </c>
      <c r="D89" s="8" t="s">
        <v>52</v>
      </c>
      <c r="E89" s="9" t="s">
        <v>14</v>
      </c>
      <c r="F89" s="9"/>
      <c r="G89" s="9"/>
      <c r="H89" s="9"/>
      <c r="I89" s="9"/>
    </row>
    <row r="90" spans="1:9" x14ac:dyDescent="0.25">
      <c r="A90" s="7" t="s">
        <v>141</v>
      </c>
      <c r="B90" s="7" t="s">
        <v>143</v>
      </c>
      <c r="C90" s="7" t="s">
        <v>142</v>
      </c>
      <c r="D90" s="8" t="s">
        <v>20</v>
      </c>
      <c r="E90" s="9" t="s">
        <v>14</v>
      </c>
      <c r="F90" s="9"/>
      <c r="G90" s="9"/>
      <c r="H90" s="9"/>
      <c r="I90" s="9"/>
    </row>
    <row r="91" spans="1:9" x14ac:dyDescent="0.25">
      <c r="A91" s="7" t="s">
        <v>141</v>
      </c>
      <c r="B91" s="7" t="s">
        <v>144</v>
      </c>
      <c r="C91" s="7" t="s">
        <v>142</v>
      </c>
      <c r="D91" s="8" t="s">
        <v>22</v>
      </c>
      <c r="E91" s="9" t="s">
        <v>14</v>
      </c>
      <c r="F91" s="9"/>
      <c r="G91" s="9"/>
      <c r="H91" s="9"/>
      <c r="I91" s="9"/>
    </row>
    <row r="92" spans="1:9" x14ac:dyDescent="0.25">
      <c r="A92" s="7" t="s">
        <v>141</v>
      </c>
      <c r="B92" s="7" t="s">
        <v>145</v>
      </c>
      <c r="C92" s="8" t="s">
        <v>142</v>
      </c>
      <c r="D92" s="8" t="s">
        <v>34</v>
      </c>
      <c r="E92" s="9" t="s">
        <v>14</v>
      </c>
      <c r="F92" s="9"/>
      <c r="G92" s="9"/>
      <c r="H92" s="9"/>
      <c r="I92" s="9"/>
    </row>
    <row r="93" spans="1:9" x14ac:dyDescent="0.25">
      <c r="A93" s="7" t="s">
        <v>146</v>
      </c>
      <c r="B93" s="7" t="s">
        <v>147</v>
      </c>
      <c r="C93" s="8" t="s">
        <v>148</v>
      </c>
      <c r="D93" s="8" t="s">
        <v>60</v>
      </c>
      <c r="E93" s="9" t="s">
        <v>14</v>
      </c>
      <c r="F93" s="9"/>
      <c r="G93" s="9"/>
      <c r="H93" s="9"/>
      <c r="I93" s="9"/>
    </row>
    <row r="94" spans="1:9" x14ac:dyDescent="0.25">
      <c r="A94" s="7" t="s">
        <v>146</v>
      </c>
      <c r="B94" s="7" t="s">
        <v>147</v>
      </c>
      <c r="C94" s="8" t="s">
        <v>148</v>
      </c>
      <c r="D94" s="8" t="s">
        <v>52</v>
      </c>
      <c r="E94" s="9" t="s">
        <v>14</v>
      </c>
      <c r="F94" s="9"/>
      <c r="G94" s="9"/>
      <c r="H94" s="9"/>
      <c r="I94" s="9"/>
    </row>
    <row r="95" spans="1:9" x14ac:dyDescent="0.25">
      <c r="A95" s="7" t="s">
        <v>146</v>
      </c>
      <c r="B95" s="7" t="s">
        <v>149</v>
      </c>
      <c r="C95" s="8" t="s">
        <v>148</v>
      </c>
      <c r="D95" s="8" t="s">
        <v>29</v>
      </c>
      <c r="E95" s="9" t="s">
        <v>14</v>
      </c>
      <c r="F95" s="9"/>
      <c r="G95" s="9"/>
      <c r="H95" s="9"/>
      <c r="I95" s="9"/>
    </row>
    <row r="96" spans="1:9" x14ac:dyDescent="0.25">
      <c r="A96" s="7" t="s">
        <v>146</v>
      </c>
      <c r="B96" s="7" t="s">
        <v>150</v>
      </c>
      <c r="C96" s="8" t="s">
        <v>148</v>
      </c>
      <c r="D96" s="8" t="s">
        <v>53</v>
      </c>
      <c r="E96" s="9" t="s">
        <v>14</v>
      </c>
      <c r="F96" s="9"/>
      <c r="G96" s="9"/>
      <c r="H96" s="9"/>
      <c r="I96" s="9"/>
    </row>
    <row r="97" spans="1:9" x14ac:dyDescent="0.25">
      <c r="A97" s="7" t="s">
        <v>146</v>
      </c>
      <c r="B97" s="7" t="s">
        <v>150</v>
      </c>
      <c r="C97" s="8" t="s">
        <v>148</v>
      </c>
      <c r="D97" s="8" t="s">
        <v>43</v>
      </c>
      <c r="E97" s="9" t="s">
        <v>14</v>
      </c>
      <c r="F97" s="9"/>
      <c r="G97" s="9"/>
      <c r="H97" s="9"/>
      <c r="I97" s="9"/>
    </row>
    <row r="98" spans="1:9" x14ac:dyDescent="0.25">
      <c r="A98" s="7" t="s">
        <v>146</v>
      </c>
      <c r="B98" s="7" t="s">
        <v>151</v>
      </c>
      <c r="C98" s="8" t="s">
        <v>148</v>
      </c>
      <c r="D98" s="8" t="s">
        <v>122</v>
      </c>
      <c r="E98" s="9" t="s">
        <v>14</v>
      </c>
      <c r="F98" s="9"/>
      <c r="G98" s="9"/>
      <c r="H98" s="9"/>
      <c r="I98" s="9"/>
    </row>
    <row r="99" spans="1:9" x14ac:dyDescent="0.25">
      <c r="A99" s="7" t="s">
        <v>146</v>
      </c>
      <c r="B99" s="7" t="s">
        <v>152</v>
      </c>
      <c r="C99" s="8" t="s">
        <v>148</v>
      </c>
      <c r="D99" s="8" t="s">
        <v>48</v>
      </c>
      <c r="E99" s="9" t="s">
        <v>14</v>
      </c>
      <c r="F99" s="9"/>
      <c r="G99" s="9"/>
      <c r="H99" s="9"/>
      <c r="I99" s="9"/>
    </row>
    <row r="100" spans="1:9" x14ac:dyDescent="0.25">
      <c r="A100" s="7" t="s">
        <v>146</v>
      </c>
      <c r="B100" s="7" t="s">
        <v>152</v>
      </c>
      <c r="C100" s="8" t="s">
        <v>148</v>
      </c>
      <c r="D100" s="8" t="s">
        <v>13</v>
      </c>
      <c r="E100" s="9" t="s">
        <v>14</v>
      </c>
      <c r="F100" s="9"/>
      <c r="G100" s="9"/>
      <c r="H100" s="9"/>
      <c r="I100" s="9"/>
    </row>
    <row r="101" spans="1:9" x14ac:dyDescent="0.25">
      <c r="A101" s="7" t="s">
        <v>146</v>
      </c>
      <c r="B101" s="7" t="s">
        <v>153</v>
      </c>
      <c r="C101" s="8" t="s">
        <v>148</v>
      </c>
      <c r="D101" s="8" t="s">
        <v>46</v>
      </c>
      <c r="E101" s="9" t="s">
        <v>14</v>
      </c>
      <c r="F101" s="9"/>
      <c r="G101" s="9"/>
      <c r="H101" s="9"/>
      <c r="I101" s="9"/>
    </row>
    <row r="102" spans="1:9" x14ac:dyDescent="0.25">
      <c r="A102" s="7" t="s">
        <v>154</v>
      </c>
      <c r="B102" s="7" t="s">
        <v>155</v>
      </c>
      <c r="C102" s="8" t="s">
        <v>156</v>
      </c>
      <c r="D102" s="8" t="s">
        <v>22</v>
      </c>
      <c r="E102" s="9" t="s">
        <v>14</v>
      </c>
      <c r="F102" s="9"/>
      <c r="G102" s="9"/>
      <c r="H102" s="9"/>
      <c r="I102" s="9"/>
    </row>
    <row r="103" spans="1:9" x14ac:dyDescent="0.25">
      <c r="A103" s="7" t="s">
        <v>154</v>
      </c>
      <c r="B103" s="7" t="s">
        <v>155</v>
      </c>
      <c r="C103" s="8" t="s">
        <v>156</v>
      </c>
      <c r="D103" s="8" t="s">
        <v>52</v>
      </c>
      <c r="E103" s="9" t="s">
        <v>14</v>
      </c>
      <c r="F103" s="9"/>
      <c r="G103" s="9"/>
      <c r="H103" s="9"/>
      <c r="I103" s="9"/>
    </row>
    <row r="104" spans="1:9" x14ac:dyDescent="0.25">
      <c r="A104" s="7" t="s">
        <v>154</v>
      </c>
      <c r="B104" s="7" t="s">
        <v>157</v>
      </c>
      <c r="C104" s="8" t="s">
        <v>156</v>
      </c>
      <c r="D104" s="8" t="s">
        <v>55</v>
      </c>
      <c r="E104" s="9" t="s">
        <v>14</v>
      </c>
      <c r="F104" s="9"/>
      <c r="G104" s="9"/>
      <c r="H104" s="9"/>
      <c r="I104" s="9"/>
    </row>
    <row r="105" spans="1:9" x14ac:dyDescent="0.25">
      <c r="A105" s="7" t="s">
        <v>154</v>
      </c>
      <c r="B105" s="7" t="s">
        <v>158</v>
      </c>
      <c r="C105" s="8" t="s">
        <v>156</v>
      </c>
      <c r="D105" s="8" t="s">
        <v>18</v>
      </c>
      <c r="E105" s="9" t="s">
        <v>14</v>
      </c>
      <c r="F105" s="9"/>
      <c r="G105" s="9"/>
      <c r="H105" s="9"/>
      <c r="I105" s="9"/>
    </row>
    <row r="106" spans="1:9" x14ac:dyDescent="0.25">
      <c r="A106" s="7" t="s">
        <v>154</v>
      </c>
      <c r="B106" s="7" t="s">
        <v>158</v>
      </c>
      <c r="C106" s="8" t="s">
        <v>156</v>
      </c>
      <c r="D106" s="8" t="s">
        <v>13</v>
      </c>
      <c r="E106" s="9" t="s">
        <v>14</v>
      </c>
      <c r="F106" s="9"/>
      <c r="G106" s="9"/>
      <c r="H106" s="9"/>
      <c r="I106" s="9"/>
    </row>
    <row r="107" spans="1:9" x14ac:dyDescent="0.25">
      <c r="A107" s="7" t="s">
        <v>154</v>
      </c>
      <c r="B107" s="7" t="s">
        <v>159</v>
      </c>
      <c r="C107" s="7" t="s">
        <v>156</v>
      </c>
      <c r="D107" s="8" t="s">
        <v>50</v>
      </c>
      <c r="E107" s="9" t="s">
        <v>14</v>
      </c>
      <c r="F107" s="9"/>
      <c r="G107" s="9"/>
      <c r="H107" s="9"/>
      <c r="I107" s="9"/>
    </row>
    <row r="108" spans="1:9" x14ac:dyDescent="0.25">
      <c r="A108" s="7" t="s">
        <v>154</v>
      </c>
      <c r="B108" s="7" t="s">
        <v>160</v>
      </c>
      <c r="C108" s="7" t="s">
        <v>156</v>
      </c>
      <c r="D108" s="8" t="s">
        <v>60</v>
      </c>
      <c r="E108" s="9" t="s">
        <v>14</v>
      </c>
      <c r="F108" s="9"/>
      <c r="G108" s="9"/>
      <c r="H108" s="9"/>
      <c r="I108" s="9"/>
    </row>
    <row r="109" spans="1:9" x14ac:dyDescent="0.25">
      <c r="A109" s="7" t="s">
        <v>154</v>
      </c>
      <c r="B109" s="7" t="s">
        <v>160</v>
      </c>
      <c r="C109" s="7" t="s">
        <v>156</v>
      </c>
      <c r="D109" s="8" t="s">
        <v>43</v>
      </c>
      <c r="E109" s="9" t="s">
        <v>14</v>
      </c>
      <c r="F109" s="9"/>
      <c r="G109" s="9"/>
      <c r="H109" s="9"/>
      <c r="I109" s="9"/>
    </row>
    <row r="110" spans="1:9" x14ac:dyDescent="0.25">
      <c r="A110" s="7" t="s">
        <v>154</v>
      </c>
      <c r="B110" s="7" t="s">
        <v>161</v>
      </c>
      <c r="C110" s="7" t="s">
        <v>156</v>
      </c>
      <c r="D110" s="8" t="s">
        <v>32</v>
      </c>
      <c r="E110" s="9" t="s">
        <v>14</v>
      </c>
      <c r="F110" s="9"/>
      <c r="G110" s="9"/>
      <c r="H110" s="9"/>
      <c r="I110" s="9"/>
    </row>
    <row r="111" spans="1:9" x14ac:dyDescent="0.25">
      <c r="A111" s="7" t="s">
        <v>162</v>
      </c>
      <c r="B111" s="7" t="s">
        <v>162</v>
      </c>
      <c r="C111" s="7" t="s">
        <v>163</v>
      </c>
      <c r="D111" s="8" t="s">
        <v>28</v>
      </c>
      <c r="E111" s="9" t="s">
        <v>14</v>
      </c>
      <c r="F111" s="9"/>
      <c r="G111" s="9"/>
      <c r="H111" s="9"/>
      <c r="I111" s="9"/>
    </row>
    <row r="112" spans="1:9" x14ac:dyDescent="0.25">
      <c r="A112" s="7" t="s">
        <v>162</v>
      </c>
      <c r="B112" s="7" t="s">
        <v>162</v>
      </c>
      <c r="C112" s="7" t="s">
        <v>163</v>
      </c>
      <c r="D112" s="8" t="s">
        <v>53</v>
      </c>
      <c r="E112" s="9" t="s">
        <v>14</v>
      </c>
      <c r="F112" s="9"/>
      <c r="G112" s="9"/>
      <c r="H112" s="9"/>
      <c r="I112" s="9"/>
    </row>
    <row r="113" spans="1:9" x14ac:dyDescent="0.25">
      <c r="A113" s="7" t="s">
        <v>162</v>
      </c>
      <c r="B113" s="7" t="s">
        <v>162</v>
      </c>
      <c r="C113" s="7" t="s">
        <v>164</v>
      </c>
      <c r="D113" s="8" t="s">
        <v>13</v>
      </c>
      <c r="E113" s="9" t="s">
        <v>14</v>
      </c>
      <c r="F113" s="9"/>
      <c r="G113" s="9"/>
      <c r="H113" s="9"/>
      <c r="I113" s="9"/>
    </row>
    <row r="114" spans="1:9" x14ac:dyDescent="0.25">
      <c r="A114" s="7" t="s">
        <v>162</v>
      </c>
      <c r="B114" s="7" t="s">
        <v>165</v>
      </c>
      <c r="C114" s="7" t="s">
        <v>163</v>
      </c>
      <c r="D114" s="8" t="s">
        <v>166</v>
      </c>
      <c r="E114" s="9" t="s">
        <v>14</v>
      </c>
      <c r="F114" s="9"/>
      <c r="G114" s="9"/>
      <c r="H114" s="9"/>
      <c r="I114" s="9"/>
    </row>
    <row r="115" spans="1:9" x14ac:dyDescent="0.25">
      <c r="A115" s="7" t="s">
        <v>162</v>
      </c>
      <c r="B115" s="7" t="s">
        <v>165</v>
      </c>
      <c r="C115" s="7" t="s">
        <v>163</v>
      </c>
      <c r="D115" s="8" t="s">
        <v>113</v>
      </c>
      <c r="E115" s="9" t="s">
        <v>14</v>
      </c>
      <c r="F115" s="9"/>
      <c r="G115" s="9"/>
      <c r="H115" s="9"/>
      <c r="I115" s="9"/>
    </row>
    <row r="116" spans="1:9" x14ac:dyDescent="0.25">
      <c r="A116" s="7" t="s">
        <v>162</v>
      </c>
      <c r="B116" s="7" t="s">
        <v>165</v>
      </c>
      <c r="C116" s="7" t="s">
        <v>164</v>
      </c>
      <c r="D116" s="8" t="s">
        <v>22</v>
      </c>
      <c r="E116" s="9" t="s">
        <v>14</v>
      </c>
      <c r="F116" s="9"/>
      <c r="G116" s="9"/>
      <c r="H116" s="9"/>
      <c r="I116" s="9"/>
    </row>
    <row r="117" spans="1:9" x14ac:dyDescent="0.25">
      <c r="A117" s="7" t="s">
        <v>162</v>
      </c>
      <c r="B117" s="7" t="s">
        <v>167</v>
      </c>
      <c r="C117" s="7" t="s">
        <v>163</v>
      </c>
      <c r="D117" s="8" t="s">
        <v>39</v>
      </c>
      <c r="E117" s="9" t="s">
        <v>14</v>
      </c>
      <c r="F117" s="9"/>
      <c r="G117" s="9"/>
      <c r="H117" s="9"/>
      <c r="I117" s="9"/>
    </row>
    <row r="118" spans="1:9" x14ac:dyDescent="0.25">
      <c r="A118" s="7" t="s">
        <v>162</v>
      </c>
      <c r="B118" s="7" t="s">
        <v>167</v>
      </c>
      <c r="C118" s="7" t="s">
        <v>163</v>
      </c>
      <c r="D118" s="8" t="s">
        <v>60</v>
      </c>
      <c r="E118" s="9" t="s">
        <v>14</v>
      </c>
      <c r="F118" s="9"/>
      <c r="G118" s="9"/>
      <c r="H118" s="9"/>
      <c r="I118" s="9"/>
    </row>
    <row r="119" spans="1:9" x14ac:dyDescent="0.25">
      <c r="A119" s="7" t="s">
        <v>162</v>
      </c>
      <c r="B119" s="7" t="s">
        <v>168</v>
      </c>
      <c r="C119" s="7" t="s">
        <v>163</v>
      </c>
      <c r="D119" s="8" t="s">
        <v>98</v>
      </c>
      <c r="E119" s="9" t="s">
        <v>14</v>
      </c>
      <c r="F119" s="9"/>
      <c r="G119" s="9"/>
      <c r="H119" s="9"/>
      <c r="I119" s="9"/>
    </row>
    <row r="120" spans="1:9" x14ac:dyDescent="0.25">
      <c r="A120" s="7" t="s">
        <v>162</v>
      </c>
      <c r="B120" s="7" t="s">
        <v>169</v>
      </c>
      <c r="C120" s="7" t="s">
        <v>163</v>
      </c>
      <c r="D120" s="8" t="s">
        <v>46</v>
      </c>
      <c r="E120" s="9" t="s">
        <v>14</v>
      </c>
      <c r="F120" s="9"/>
      <c r="G120" s="9"/>
      <c r="H120" s="9"/>
      <c r="I120" s="9"/>
    </row>
    <row r="121" spans="1:9" x14ac:dyDescent="0.25">
      <c r="A121" s="7" t="s">
        <v>162</v>
      </c>
      <c r="B121" s="7" t="s">
        <v>169</v>
      </c>
      <c r="C121" s="7" t="s">
        <v>163</v>
      </c>
      <c r="D121" s="8" t="s">
        <v>22</v>
      </c>
      <c r="E121" s="9" t="s">
        <v>14</v>
      </c>
      <c r="F121" s="9"/>
      <c r="G121" s="9"/>
      <c r="H121" s="9"/>
      <c r="I121" s="9"/>
    </row>
    <row r="122" spans="1:9" x14ac:dyDescent="0.25">
      <c r="A122" s="7" t="s">
        <v>162</v>
      </c>
      <c r="B122" s="7" t="s">
        <v>170</v>
      </c>
      <c r="C122" s="7" t="s">
        <v>163</v>
      </c>
      <c r="D122" s="8" t="s">
        <v>108</v>
      </c>
      <c r="E122" s="9" t="s">
        <v>14</v>
      </c>
      <c r="F122" s="9"/>
      <c r="G122" s="9"/>
      <c r="H122" s="9"/>
      <c r="I122" s="9"/>
    </row>
    <row r="123" spans="1:9" x14ac:dyDescent="0.25">
      <c r="A123" s="7" t="s">
        <v>162</v>
      </c>
      <c r="B123" s="7" t="s">
        <v>171</v>
      </c>
      <c r="C123" s="7" t="s">
        <v>163</v>
      </c>
      <c r="D123" s="8" t="s">
        <v>122</v>
      </c>
      <c r="E123" s="9" t="s">
        <v>14</v>
      </c>
      <c r="F123" s="9"/>
      <c r="G123" s="9"/>
      <c r="H123" s="9"/>
      <c r="I123" s="9"/>
    </row>
    <row r="124" spans="1:9" x14ac:dyDescent="0.25">
      <c r="A124" s="7" t="s">
        <v>162</v>
      </c>
      <c r="B124" s="7" t="s">
        <v>172</v>
      </c>
      <c r="C124" s="7" t="s">
        <v>163</v>
      </c>
      <c r="D124" s="8" t="s">
        <v>173</v>
      </c>
      <c r="E124" s="9" t="s">
        <v>14</v>
      </c>
      <c r="F124" s="9"/>
      <c r="G124" s="9"/>
      <c r="H124" s="9"/>
      <c r="I124" s="9"/>
    </row>
    <row r="125" spans="1:9" x14ac:dyDescent="0.25">
      <c r="A125" s="7" t="s">
        <v>174</v>
      </c>
      <c r="B125" s="7" t="s">
        <v>174</v>
      </c>
      <c r="C125" s="8" t="s">
        <v>175</v>
      </c>
      <c r="D125" s="8" t="s">
        <v>13</v>
      </c>
      <c r="E125" s="9" t="s">
        <v>14</v>
      </c>
      <c r="F125" s="9"/>
      <c r="G125" s="9"/>
      <c r="H125" s="9"/>
      <c r="I125" s="9"/>
    </row>
    <row r="126" spans="1:9" x14ac:dyDescent="0.25">
      <c r="A126" s="7" t="s">
        <v>174</v>
      </c>
      <c r="B126" s="7" t="s">
        <v>174</v>
      </c>
      <c r="C126" s="8" t="s">
        <v>175</v>
      </c>
      <c r="D126" s="8" t="s">
        <v>44</v>
      </c>
      <c r="E126" s="9" t="s">
        <v>14</v>
      </c>
      <c r="F126" s="9"/>
      <c r="G126" s="9"/>
      <c r="H126" s="9"/>
      <c r="I126" s="9"/>
    </row>
    <row r="127" spans="1:9" x14ac:dyDescent="0.25">
      <c r="A127" s="7" t="s">
        <v>174</v>
      </c>
      <c r="B127" s="7" t="s">
        <v>174</v>
      </c>
      <c r="C127" s="8" t="s">
        <v>175</v>
      </c>
      <c r="D127" s="8" t="s">
        <v>32</v>
      </c>
      <c r="E127" s="9" t="s">
        <v>14</v>
      </c>
      <c r="F127" s="9"/>
      <c r="G127" s="9"/>
      <c r="H127" s="9"/>
      <c r="I127" s="9"/>
    </row>
    <row r="128" spans="1:9" x14ac:dyDescent="0.25">
      <c r="A128" s="7" t="s">
        <v>174</v>
      </c>
      <c r="B128" s="7" t="s">
        <v>176</v>
      </c>
      <c r="C128" s="8" t="s">
        <v>175</v>
      </c>
      <c r="D128" s="8" t="s">
        <v>116</v>
      </c>
      <c r="E128" s="9" t="s">
        <v>14</v>
      </c>
      <c r="F128" s="9"/>
      <c r="G128" s="9"/>
      <c r="H128" s="9"/>
      <c r="I128" s="9"/>
    </row>
    <row r="129" spans="1:9" x14ac:dyDescent="0.25">
      <c r="A129" s="7" t="s">
        <v>174</v>
      </c>
      <c r="B129" s="7" t="s">
        <v>176</v>
      </c>
      <c r="C129" s="8" t="s">
        <v>175</v>
      </c>
      <c r="D129" s="8" t="s">
        <v>177</v>
      </c>
      <c r="E129" s="9" t="s">
        <v>14</v>
      </c>
      <c r="F129" s="9"/>
      <c r="G129" s="9"/>
      <c r="H129" s="9"/>
      <c r="I129" s="9"/>
    </row>
    <row r="130" spans="1:9" x14ac:dyDescent="0.25">
      <c r="A130" s="7" t="s">
        <v>174</v>
      </c>
      <c r="B130" s="7" t="s">
        <v>178</v>
      </c>
      <c r="C130" s="8" t="s">
        <v>175</v>
      </c>
      <c r="D130" s="8" t="s">
        <v>39</v>
      </c>
      <c r="E130" s="9" t="s">
        <v>14</v>
      </c>
      <c r="F130" s="9"/>
      <c r="G130" s="9"/>
      <c r="H130" s="9"/>
      <c r="I130" s="9"/>
    </row>
    <row r="131" spans="1:9" x14ac:dyDescent="0.25">
      <c r="A131" s="7" t="s">
        <v>174</v>
      </c>
      <c r="B131" s="7" t="s">
        <v>178</v>
      </c>
      <c r="C131" s="8" t="s">
        <v>175</v>
      </c>
      <c r="D131" s="8" t="s">
        <v>53</v>
      </c>
      <c r="E131" s="9" t="s">
        <v>14</v>
      </c>
      <c r="F131" s="9"/>
      <c r="G131" s="9"/>
      <c r="H131" s="9"/>
      <c r="I131" s="9"/>
    </row>
    <row r="132" spans="1:9" x14ac:dyDescent="0.25">
      <c r="A132" s="7" t="s">
        <v>174</v>
      </c>
      <c r="B132" s="7" t="s">
        <v>179</v>
      </c>
      <c r="C132" s="8" t="s">
        <v>175</v>
      </c>
      <c r="D132" s="8" t="s">
        <v>180</v>
      </c>
      <c r="E132" s="9" t="s">
        <v>14</v>
      </c>
      <c r="F132" s="9"/>
      <c r="G132" s="9"/>
      <c r="H132" s="9"/>
      <c r="I132" s="9"/>
    </row>
    <row r="133" spans="1:9" x14ac:dyDescent="0.25">
      <c r="A133" s="7" t="s">
        <v>174</v>
      </c>
      <c r="B133" s="7" t="s">
        <v>181</v>
      </c>
      <c r="C133" s="7" t="s">
        <v>175</v>
      </c>
      <c r="D133" s="8" t="s">
        <v>28</v>
      </c>
      <c r="E133" s="9" t="s">
        <v>14</v>
      </c>
      <c r="F133" s="9"/>
      <c r="G133" s="9"/>
      <c r="H133" s="9"/>
      <c r="I133" s="9"/>
    </row>
    <row r="134" spans="1:9" x14ac:dyDescent="0.25">
      <c r="A134" s="7" t="s">
        <v>174</v>
      </c>
      <c r="B134" s="7" t="s">
        <v>181</v>
      </c>
      <c r="C134" s="7" t="s">
        <v>175</v>
      </c>
      <c r="D134" s="8" t="s">
        <v>43</v>
      </c>
      <c r="E134" s="9" t="s">
        <v>14</v>
      </c>
      <c r="F134" s="9"/>
      <c r="G134" s="9"/>
      <c r="H134" s="9"/>
      <c r="I134" s="9"/>
    </row>
    <row r="135" spans="1:9" x14ac:dyDescent="0.25">
      <c r="A135" s="7" t="s">
        <v>174</v>
      </c>
      <c r="B135" s="7" t="s">
        <v>182</v>
      </c>
      <c r="C135" s="7" t="s">
        <v>175</v>
      </c>
      <c r="D135" s="8" t="s">
        <v>183</v>
      </c>
      <c r="E135" s="9" t="s">
        <v>14</v>
      </c>
      <c r="F135" s="9"/>
      <c r="G135" s="9"/>
      <c r="H135" s="9"/>
      <c r="I135" s="9"/>
    </row>
    <row r="136" spans="1:9" x14ac:dyDescent="0.25">
      <c r="A136" s="7" t="s">
        <v>174</v>
      </c>
      <c r="B136" s="7" t="s">
        <v>184</v>
      </c>
      <c r="C136" s="8" t="s">
        <v>175</v>
      </c>
      <c r="D136" s="8" t="s">
        <v>46</v>
      </c>
      <c r="E136" s="9" t="s">
        <v>14</v>
      </c>
      <c r="F136" s="9"/>
      <c r="G136" s="9"/>
      <c r="H136" s="9"/>
      <c r="I136" s="9"/>
    </row>
    <row r="137" spans="1:9" x14ac:dyDescent="0.25">
      <c r="A137" s="7" t="s">
        <v>174</v>
      </c>
      <c r="B137" s="7" t="s">
        <v>185</v>
      </c>
      <c r="C137" s="8" t="s">
        <v>175</v>
      </c>
      <c r="D137" s="8" t="s">
        <v>104</v>
      </c>
      <c r="E137" s="9" t="s">
        <v>14</v>
      </c>
      <c r="F137" s="9"/>
      <c r="G137" s="9"/>
      <c r="H137" s="9"/>
      <c r="I137" s="9"/>
    </row>
    <row r="138" spans="1:9" x14ac:dyDescent="0.25">
      <c r="A138" s="7" t="s">
        <v>186</v>
      </c>
      <c r="B138" s="7" t="s">
        <v>187</v>
      </c>
      <c r="C138" s="7" t="s">
        <v>188</v>
      </c>
      <c r="D138" s="8" t="s">
        <v>13</v>
      </c>
      <c r="E138" s="9" t="s">
        <v>14</v>
      </c>
      <c r="F138" s="9"/>
      <c r="G138" s="9"/>
      <c r="H138" s="9"/>
      <c r="I138" s="9"/>
    </row>
    <row r="139" spans="1:9" x14ac:dyDescent="0.25">
      <c r="A139" s="7" t="s">
        <v>189</v>
      </c>
      <c r="B139" s="7" t="s">
        <v>190</v>
      </c>
      <c r="C139" s="7" t="s">
        <v>191</v>
      </c>
      <c r="D139" s="8" t="s">
        <v>13</v>
      </c>
      <c r="E139" s="9" t="s">
        <v>14</v>
      </c>
      <c r="F139" s="9"/>
      <c r="G139" s="9"/>
      <c r="H139" s="9"/>
      <c r="I139" s="9"/>
    </row>
    <row r="140" spans="1:9" x14ac:dyDescent="0.25">
      <c r="A140" s="7" t="s">
        <v>192</v>
      </c>
      <c r="B140" s="7" t="s">
        <v>192</v>
      </c>
      <c r="C140" s="7" t="s">
        <v>193</v>
      </c>
      <c r="D140" s="8" t="s">
        <v>13</v>
      </c>
      <c r="E140" s="9" t="s">
        <v>14</v>
      </c>
      <c r="F140" s="9"/>
      <c r="G140" s="9"/>
      <c r="H140" s="9"/>
      <c r="I140" s="9"/>
    </row>
    <row r="141" spans="1:9" x14ac:dyDescent="0.25">
      <c r="A141" s="7" t="s">
        <v>192</v>
      </c>
      <c r="B141" s="7" t="s">
        <v>194</v>
      </c>
      <c r="C141" s="7" t="s">
        <v>193</v>
      </c>
      <c r="D141" s="8" t="s">
        <v>195</v>
      </c>
      <c r="E141" s="9" t="s">
        <v>14</v>
      </c>
      <c r="F141" s="9"/>
      <c r="G141" s="9"/>
      <c r="H141" s="9"/>
      <c r="I141" s="9"/>
    </row>
    <row r="142" spans="1:9" x14ac:dyDescent="0.25">
      <c r="A142" s="7" t="s">
        <v>192</v>
      </c>
      <c r="B142" s="7" t="s">
        <v>196</v>
      </c>
      <c r="C142" s="7" t="s">
        <v>193</v>
      </c>
      <c r="D142" s="8" t="s">
        <v>16</v>
      </c>
      <c r="E142" s="9" t="s">
        <v>14</v>
      </c>
      <c r="F142" s="9"/>
      <c r="G142" s="9"/>
      <c r="H142" s="9"/>
      <c r="I142" s="9"/>
    </row>
    <row r="143" spans="1:9" x14ac:dyDescent="0.25">
      <c r="A143" s="7" t="s">
        <v>192</v>
      </c>
      <c r="B143" s="7" t="s">
        <v>197</v>
      </c>
      <c r="C143" s="7" t="s">
        <v>193</v>
      </c>
      <c r="D143" s="8" t="s">
        <v>36</v>
      </c>
      <c r="E143" s="9" t="s">
        <v>14</v>
      </c>
      <c r="F143" s="9"/>
      <c r="G143" s="9"/>
      <c r="H143" s="9"/>
      <c r="I143" s="9"/>
    </row>
    <row r="144" spans="1:9" x14ac:dyDescent="0.25">
      <c r="A144" s="7" t="s">
        <v>192</v>
      </c>
      <c r="B144" s="7" t="s">
        <v>198</v>
      </c>
      <c r="C144" s="7" t="s">
        <v>193</v>
      </c>
      <c r="D144" s="8" t="s">
        <v>20</v>
      </c>
      <c r="E144" s="9" t="s">
        <v>14</v>
      </c>
      <c r="F144" s="9"/>
      <c r="G144" s="9"/>
      <c r="H144" s="9"/>
      <c r="I144" s="9"/>
    </row>
    <row r="145" spans="1:9" x14ac:dyDescent="0.25">
      <c r="A145" s="7" t="s">
        <v>192</v>
      </c>
      <c r="B145" s="7" t="s">
        <v>199</v>
      </c>
      <c r="C145" s="7" t="s">
        <v>193</v>
      </c>
      <c r="D145" s="8" t="s">
        <v>29</v>
      </c>
      <c r="E145" s="9" t="s">
        <v>14</v>
      </c>
      <c r="F145" s="9"/>
      <c r="G145" s="9"/>
      <c r="H145" s="9"/>
      <c r="I145" s="9"/>
    </row>
    <row r="146" spans="1:9" x14ac:dyDescent="0.25">
      <c r="A146" s="7" t="s">
        <v>192</v>
      </c>
      <c r="B146" s="7" t="s">
        <v>200</v>
      </c>
      <c r="C146" s="7" t="s">
        <v>193</v>
      </c>
      <c r="D146" s="8" t="s">
        <v>24</v>
      </c>
      <c r="E146" s="9" t="s">
        <v>14</v>
      </c>
      <c r="F146" s="9"/>
      <c r="G146" s="9"/>
      <c r="H146" s="9"/>
      <c r="I146" s="9"/>
    </row>
    <row r="147" spans="1:9" x14ac:dyDescent="0.25">
      <c r="A147" s="7" t="s">
        <v>192</v>
      </c>
      <c r="B147" s="7" t="s">
        <v>201</v>
      </c>
      <c r="C147" s="7" t="s">
        <v>193</v>
      </c>
      <c r="D147" s="8" t="s">
        <v>118</v>
      </c>
      <c r="E147" s="9" t="s">
        <v>14</v>
      </c>
      <c r="F147" s="9"/>
      <c r="G147" s="9"/>
      <c r="H147" s="9"/>
      <c r="I147" s="9"/>
    </row>
    <row r="148" spans="1:9" x14ac:dyDescent="0.25">
      <c r="A148" s="7" t="s">
        <v>202</v>
      </c>
      <c r="B148" s="7" t="s">
        <v>203</v>
      </c>
      <c r="C148" s="7" t="s">
        <v>204</v>
      </c>
      <c r="D148" s="8" t="s">
        <v>13</v>
      </c>
      <c r="E148" s="9" t="s">
        <v>14</v>
      </c>
      <c r="F148" s="9"/>
      <c r="G148" s="9"/>
      <c r="H148" s="9"/>
      <c r="I148" s="9"/>
    </row>
    <row r="149" spans="1:9" x14ac:dyDescent="0.25">
      <c r="A149" s="7" t="s">
        <v>202</v>
      </c>
      <c r="B149" s="7" t="s">
        <v>205</v>
      </c>
      <c r="C149" s="7" t="s">
        <v>204</v>
      </c>
      <c r="D149" s="8" t="s">
        <v>32</v>
      </c>
      <c r="E149" s="9" t="s">
        <v>14</v>
      </c>
      <c r="F149" s="9"/>
      <c r="G149" s="9"/>
      <c r="H149" s="9"/>
      <c r="I149" s="9"/>
    </row>
    <row r="150" spans="1:9" x14ac:dyDescent="0.25">
      <c r="A150" s="7" t="s">
        <v>206</v>
      </c>
      <c r="B150" s="7" t="s">
        <v>207</v>
      </c>
      <c r="C150" s="7" t="s">
        <v>208</v>
      </c>
      <c r="D150" s="8" t="s">
        <v>52</v>
      </c>
      <c r="E150" s="9" t="s">
        <v>14</v>
      </c>
      <c r="F150" s="9"/>
      <c r="G150" s="9"/>
      <c r="H150" s="9"/>
      <c r="I150" s="9"/>
    </row>
    <row r="151" spans="1:9" x14ac:dyDescent="0.25">
      <c r="A151" s="7" t="s">
        <v>206</v>
      </c>
      <c r="B151" s="7" t="s">
        <v>209</v>
      </c>
      <c r="C151" s="8" t="s">
        <v>208</v>
      </c>
      <c r="D151" s="8" t="s">
        <v>43</v>
      </c>
      <c r="E151" s="9" t="s">
        <v>14</v>
      </c>
      <c r="F151" s="9"/>
      <c r="G151" s="9"/>
      <c r="H151" s="9"/>
      <c r="I151" s="9"/>
    </row>
    <row r="152" spans="1:9" x14ac:dyDescent="0.25">
      <c r="A152" s="7" t="s">
        <v>210</v>
      </c>
      <c r="B152" s="7" t="s">
        <v>211</v>
      </c>
      <c r="C152" s="8" t="s">
        <v>212</v>
      </c>
      <c r="D152" s="8" t="s">
        <v>52</v>
      </c>
      <c r="E152" s="9" t="s">
        <v>14</v>
      </c>
      <c r="F152" s="9"/>
      <c r="G152" s="9"/>
      <c r="H152" s="9"/>
      <c r="I152" s="9"/>
    </row>
    <row r="153" spans="1:9" x14ac:dyDescent="0.25">
      <c r="A153" s="7" t="s">
        <v>210</v>
      </c>
      <c r="B153" s="7" t="s">
        <v>213</v>
      </c>
      <c r="C153" s="8" t="s">
        <v>212</v>
      </c>
      <c r="D153" s="8" t="s">
        <v>43</v>
      </c>
      <c r="E153" s="9" t="s">
        <v>14</v>
      </c>
      <c r="F153" s="9"/>
      <c r="G153" s="9"/>
      <c r="H153" s="9"/>
      <c r="I153" s="9"/>
    </row>
    <row r="154" spans="1:9" x14ac:dyDescent="0.25">
      <c r="A154" s="7" t="s">
        <v>214</v>
      </c>
      <c r="B154" s="7" t="s">
        <v>215</v>
      </c>
      <c r="C154" s="8" t="s">
        <v>216</v>
      </c>
      <c r="D154" s="8" t="s">
        <v>52</v>
      </c>
      <c r="E154" s="9" t="s">
        <v>14</v>
      </c>
      <c r="F154" s="9"/>
      <c r="G154" s="9"/>
      <c r="H154" s="9"/>
      <c r="I154" s="9"/>
    </row>
    <row r="155" spans="1:9" x14ac:dyDescent="0.25">
      <c r="A155" s="7" t="s">
        <v>214</v>
      </c>
      <c r="B155" s="7" t="s">
        <v>217</v>
      </c>
      <c r="C155" s="8" t="s">
        <v>216</v>
      </c>
      <c r="D155" s="8" t="s">
        <v>43</v>
      </c>
      <c r="E155" s="9" t="s">
        <v>14</v>
      </c>
      <c r="F155" s="9"/>
      <c r="G155" s="9"/>
      <c r="H155" s="9"/>
      <c r="I155" s="9"/>
    </row>
    <row r="156" spans="1:9" x14ac:dyDescent="0.25">
      <c r="A156" s="7" t="s">
        <v>218</v>
      </c>
      <c r="B156" s="7" t="s">
        <v>218</v>
      </c>
      <c r="C156" s="8" t="s">
        <v>219</v>
      </c>
      <c r="D156" s="8" t="s">
        <v>13</v>
      </c>
      <c r="E156" s="9" t="s">
        <v>14</v>
      </c>
      <c r="F156" s="9"/>
      <c r="G156" s="9"/>
      <c r="H156" s="9"/>
      <c r="I156" s="9"/>
    </row>
    <row r="157" spans="1:9" x14ac:dyDescent="0.25">
      <c r="A157" s="7" t="s">
        <v>218</v>
      </c>
      <c r="B157" s="7" t="s">
        <v>220</v>
      </c>
      <c r="C157" s="8" t="s">
        <v>219</v>
      </c>
      <c r="D157" s="8" t="s">
        <v>16</v>
      </c>
      <c r="E157" s="9" t="s">
        <v>14</v>
      </c>
      <c r="F157" s="9"/>
      <c r="G157" s="9"/>
      <c r="H157" s="9"/>
      <c r="I157" s="9"/>
    </row>
    <row r="158" spans="1:9" x14ac:dyDescent="0.25">
      <c r="A158" s="7" t="s">
        <v>221</v>
      </c>
      <c r="B158" s="7" t="s">
        <v>221</v>
      </c>
      <c r="C158" s="8" t="s">
        <v>222</v>
      </c>
      <c r="D158" s="8" t="s">
        <v>13</v>
      </c>
      <c r="E158" s="9" t="s">
        <v>14</v>
      </c>
      <c r="F158" s="9"/>
      <c r="G158" s="9"/>
      <c r="H158" s="9"/>
      <c r="I158" s="9"/>
    </row>
    <row r="159" spans="1:9" x14ac:dyDescent="0.25">
      <c r="A159" s="7" t="s">
        <v>221</v>
      </c>
      <c r="B159" s="7" t="s">
        <v>223</v>
      </c>
      <c r="C159" s="8" t="s">
        <v>222</v>
      </c>
      <c r="D159" s="8" t="s">
        <v>44</v>
      </c>
      <c r="E159" s="9" t="s">
        <v>14</v>
      </c>
      <c r="F159" s="9"/>
      <c r="G159" s="9"/>
      <c r="H159" s="9"/>
      <c r="I159" s="9"/>
    </row>
    <row r="160" spans="1:9" x14ac:dyDescent="0.25">
      <c r="A160" s="7" t="s">
        <v>224</v>
      </c>
      <c r="B160" s="7" t="s">
        <v>224</v>
      </c>
      <c r="C160" s="8" t="s">
        <v>225</v>
      </c>
      <c r="D160" s="8" t="s">
        <v>13</v>
      </c>
      <c r="E160" s="9" t="s">
        <v>14</v>
      </c>
      <c r="F160" s="9"/>
      <c r="G160" s="9"/>
      <c r="H160" s="9"/>
      <c r="I160" s="9"/>
    </row>
    <row r="161" spans="1:9" x14ac:dyDescent="0.25">
      <c r="A161" s="7" t="s">
        <v>224</v>
      </c>
      <c r="B161" s="7" t="s">
        <v>226</v>
      </c>
      <c r="C161" s="8" t="s">
        <v>225</v>
      </c>
      <c r="D161" s="8" t="s">
        <v>44</v>
      </c>
      <c r="E161" s="9" t="s">
        <v>14</v>
      </c>
      <c r="F161" s="9"/>
      <c r="G161" s="9"/>
      <c r="H161" s="9"/>
      <c r="I161" s="9"/>
    </row>
    <row r="162" spans="1:9" x14ac:dyDescent="0.25">
      <c r="A162" s="7" t="s">
        <v>227</v>
      </c>
      <c r="B162" s="7" t="s">
        <v>228</v>
      </c>
      <c r="C162" s="7" t="s">
        <v>229</v>
      </c>
      <c r="D162" s="8" t="s">
        <v>18</v>
      </c>
      <c r="E162" s="9" t="s">
        <v>14</v>
      </c>
      <c r="F162" s="9" t="s">
        <v>14</v>
      </c>
      <c r="G162" s="9"/>
      <c r="H162" s="9"/>
      <c r="I162" s="9" t="s">
        <v>14</v>
      </c>
    </row>
    <row r="163" spans="1:9" x14ac:dyDescent="0.25">
      <c r="A163" s="7" t="s">
        <v>227</v>
      </c>
      <c r="B163" s="7" t="s">
        <v>228</v>
      </c>
      <c r="C163" s="7" t="s">
        <v>229</v>
      </c>
      <c r="D163" s="8" t="s">
        <v>13</v>
      </c>
      <c r="E163" s="9" t="s">
        <v>14</v>
      </c>
      <c r="F163" s="9" t="s">
        <v>14</v>
      </c>
      <c r="G163" s="9"/>
      <c r="H163" s="9"/>
      <c r="I163" s="9" t="s">
        <v>14</v>
      </c>
    </row>
    <row r="164" spans="1:9" x14ac:dyDescent="0.25">
      <c r="A164" s="7" t="s">
        <v>227</v>
      </c>
      <c r="B164" s="7" t="s">
        <v>230</v>
      </c>
      <c r="C164" s="7" t="s">
        <v>229</v>
      </c>
      <c r="D164" s="8" t="s">
        <v>73</v>
      </c>
      <c r="E164" s="9" t="s">
        <v>14</v>
      </c>
      <c r="F164" s="9" t="s">
        <v>14</v>
      </c>
      <c r="G164" s="9"/>
      <c r="H164" s="9"/>
      <c r="I164" s="9" t="s">
        <v>14</v>
      </c>
    </row>
    <row r="165" spans="1:9" x14ac:dyDescent="0.25">
      <c r="A165" s="7" t="s">
        <v>231</v>
      </c>
      <c r="B165" s="7" t="s">
        <v>232</v>
      </c>
      <c r="C165" s="7" t="s">
        <v>233</v>
      </c>
      <c r="D165" s="8" t="s">
        <v>78</v>
      </c>
      <c r="E165" s="9" t="s">
        <v>14</v>
      </c>
      <c r="F165" s="9" t="s">
        <v>14</v>
      </c>
      <c r="G165" s="9"/>
      <c r="H165" s="9"/>
      <c r="I165" s="9" t="s">
        <v>14</v>
      </c>
    </row>
    <row r="166" spans="1:9" x14ac:dyDescent="0.25">
      <c r="A166" s="7" t="s">
        <v>231</v>
      </c>
      <c r="B166" s="7" t="s">
        <v>234</v>
      </c>
      <c r="C166" s="7" t="s">
        <v>233</v>
      </c>
      <c r="D166" s="8" t="s">
        <v>235</v>
      </c>
      <c r="E166" s="9" t="s">
        <v>14</v>
      </c>
      <c r="F166" s="9" t="s">
        <v>14</v>
      </c>
      <c r="G166" s="9"/>
      <c r="H166" s="9"/>
      <c r="I166" s="9" t="s">
        <v>14</v>
      </c>
    </row>
    <row r="167" spans="1:9" x14ac:dyDescent="0.25">
      <c r="A167" s="7" t="s">
        <v>231</v>
      </c>
      <c r="B167" s="7" t="s">
        <v>236</v>
      </c>
      <c r="C167" s="7" t="s">
        <v>233</v>
      </c>
      <c r="D167" s="8" t="s">
        <v>134</v>
      </c>
      <c r="E167" s="9" t="s">
        <v>14</v>
      </c>
      <c r="F167" s="9" t="s">
        <v>14</v>
      </c>
      <c r="G167" s="9"/>
      <c r="H167" s="9"/>
      <c r="I167" s="9" t="s">
        <v>14</v>
      </c>
    </row>
    <row r="168" spans="1:9" x14ac:dyDescent="0.25">
      <c r="A168" s="7" t="s">
        <v>231</v>
      </c>
      <c r="B168" s="7" t="s">
        <v>237</v>
      </c>
      <c r="C168" s="7" t="s">
        <v>233</v>
      </c>
      <c r="D168" s="8" t="s">
        <v>238</v>
      </c>
      <c r="E168" s="9" t="s">
        <v>14</v>
      </c>
      <c r="F168" s="9" t="s">
        <v>14</v>
      </c>
      <c r="G168" s="9"/>
      <c r="H168" s="9"/>
      <c r="I168" s="9" t="s">
        <v>14</v>
      </c>
    </row>
    <row r="169" spans="1:9" x14ac:dyDescent="0.25">
      <c r="A169" s="7" t="s">
        <v>231</v>
      </c>
      <c r="B169" s="7" t="s">
        <v>239</v>
      </c>
      <c r="C169" s="7" t="s">
        <v>233</v>
      </c>
      <c r="D169" s="8" t="s">
        <v>118</v>
      </c>
      <c r="E169" s="9" t="s">
        <v>14</v>
      </c>
      <c r="F169" s="9" t="s">
        <v>14</v>
      </c>
      <c r="G169" s="9"/>
      <c r="H169" s="9"/>
      <c r="I169" s="9" t="s">
        <v>14</v>
      </c>
    </row>
    <row r="170" spans="1:9" x14ac:dyDescent="0.25">
      <c r="A170" s="7" t="s">
        <v>231</v>
      </c>
      <c r="B170" s="7" t="s">
        <v>239</v>
      </c>
      <c r="C170" s="7" t="s">
        <v>233</v>
      </c>
      <c r="D170" s="8" t="s">
        <v>13</v>
      </c>
      <c r="E170" s="9" t="s">
        <v>14</v>
      </c>
      <c r="F170" s="9" t="s">
        <v>14</v>
      </c>
      <c r="G170" s="9"/>
      <c r="H170" s="9"/>
      <c r="I170" s="9" t="s">
        <v>14</v>
      </c>
    </row>
    <row r="171" spans="1:9" x14ac:dyDescent="0.25">
      <c r="A171" s="7" t="s">
        <v>231</v>
      </c>
      <c r="B171" s="7" t="s">
        <v>240</v>
      </c>
      <c r="C171" s="7" t="s">
        <v>233</v>
      </c>
      <c r="D171" s="8" t="s">
        <v>241</v>
      </c>
      <c r="E171" s="9" t="s">
        <v>14</v>
      </c>
      <c r="F171" s="9" t="s">
        <v>14</v>
      </c>
      <c r="G171" s="9"/>
      <c r="H171" s="9"/>
      <c r="I171" s="9" t="s">
        <v>14</v>
      </c>
    </row>
    <row r="172" spans="1:9" x14ac:dyDescent="0.25">
      <c r="A172" s="7" t="s">
        <v>231</v>
      </c>
      <c r="B172" s="7" t="s">
        <v>242</v>
      </c>
      <c r="C172" s="7" t="s">
        <v>233</v>
      </c>
      <c r="D172" s="8" t="s">
        <v>243</v>
      </c>
      <c r="E172" s="9" t="s">
        <v>14</v>
      </c>
      <c r="F172" s="9" t="s">
        <v>14</v>
      </c>
      <c r="G172" s="9"/>
      <c r="H172" s="9"/>
      <c r="I172" s="9" t="s">
        <v>14</v>
      </c>
    </row>
    <row r="173" spans="1:9" x14ac:dyDescent="0.25">
      <c r="A173" s="7" t="s">
        <v>231</v>
      </c>
      <c r="B173" s="7" t="s">
        <v>242</v>
      </c>
      <c r="C173" s="8" t="s">
        <v>233</v>
      </c>
      <c r="D173" s="8" t="s">
        <v>52</v>
      </c>
      <c r="E173" s="9" t="s">
        <v>14</v>
      </c>
      <c r="F173" s="9" t="s">
        <v>14</v>
      </c>
      <c r="G173" s="9"/>
      <c r="H173" s="9"/>
      <c r="I173" s="9" t="s">
        <v>14</v>
      </c>
    </row>
    <row r="174" spans="1:9" x14ac:dyDescent="0.25">
      <c r="A174" s="7" t="s">
        <v>231</v>
      </c>
      <c r="B174" s="7" t="s">
        <v>244</v>
      </c>
      <c r="C174" s="8" t="s">
        <v>233</v>
      </c>
      <c r="D174" s="8" t="s">
        <v>177</v>
      </c>
      <c r="E174" s="9" t="s">
        <v>14</v>
      </c>
      <c r="F174" s="9" t="s">
        <v>14</v>
      </c>
      <c r="G174" s="9"/>
      <c r="H174" s="9"/>
      <c r="I174" s="9" t="s">
        <v>14</v>
      </c>
    </row>
    <row r="175" spans="1:9" x14ac:dyDescent="0.25">
      <c r="A175" s="7" t="s">
        <v>231</v>
      </c>
      <c r="B175" s="7" t="s">
        <v>245</v>
      </c>
      <c r="C175" s="8" t="s">
        <v>233</v>
      </c>
      <c r="D175" s="8" t="s">
        <v>102</v>
      </c>
      <c r="E175" s="9" t="s">
        <v>14</v>
      </c>
      <c r="F175" s="9" t="s">
        <v>14</v>
      </c>
      <c r="G175" s="9"/>
      <c r="H175" s="9"/>
      <c r="I175" s="9" t="s">
        <v>14</v>
      </c>
    </row>
    <row r="176" spans="1:9" x14ac:dyDescent="0.25">
      <c r="A176" s="7" t="s">
        <v>231</v>
      </c>
      <c r="B176" s="7" t="s">
        <v>245</v>
      </c>
      <c r="C176" s="8" t="s">
        <v>233</v>
      </c>
      <c r="D176" s="8" t="s">
        <v>43</v>
      </c>
      <c r="E176" s="9" t="s">
        <v>14</v>
      </c>
      <c r="F176" s="9" t="s">
        <v>14</v>
      </c>
      <c r="G176" s="9"/>
      <c r="H176" s="9"/>
      <c r="I176" s="9" t="s">
        <v>14</v>
      </c>
    </row>
    <row r="177" spans="1:9" x14ac:dyDescent="0.25">
      <c r="A177" s="7" t="s">
        <v>231</v>
      </c>
      <c r="B177" s="7" t="s">
        <v>246</v>
      </c>
      <c r="C177" s="8" t="s">
        <v>233</v>
      </c>
      <c r="D177" s="8" t="s">
        <v>247</v>
      </c>
      <c r="E177" s="9" t="s">
        <v>14</v>
      </c>
      <c r="F177" s="9" t="s">
        <v>14</v>
      </c>
      <c r="G177" s="9"/>
      <c r="H177" s="9"/>
      <c r="I177" s="9" t="s">
        <v>14</v>
      </c>
    </row>
    <row r="178" spans="1:9" x14ac:dyDescent="0.25">
      <c r="A178" s="7" t="s">
        <v>248</v>
      </c>
      <c r="B178" s="7" t="s">
        <v>249</v>
      </c>
      <c r="C178" s="7" t="s">
        <v>250</v>
      </c>
      <c r="D178" s="8" t="s">
        <v>251</v>
      </c>
      <c r="E178" s="9" t="s">
        <v>14</v>
      </c>
      <c r="F178" s="9"/>
      <c r="G178" s="9" t="s">
        <v>14</v>
      </c>
      <c r="H178" s="9"/>
      <c r="I178" s="9" t="s">
        <v>14</v>
      </c>
    </row>
    <row r="179" spans="1:9" x14ac:dyDescent="0.25">
      <c r="A179" s="7" t="s">
        <v>248</v>
      </c>
      <c r="B179" s="7" t="s">
        <v>249</v>
      </c>
      <c r="C179" s="7" t="s">
        <v>250</v>
      </c>
      <c r="D179" s="8" t="s">
        <v>13</v>
      </c>
      <c r="E179" s="9" t="s">
        <v>14</v>
      </c>
      <c r="F179" s="9"/>
      <c r="G179" s="9" t="s">
        <v>14</v>
      </c>
      <c r="H179" s="9"/>
      <c r="I179" s="9" t="s">
        <v>14</v>
      </c>
    </row>
    <row r="180" spans="1:9" x14ac:dyDescent="0.25">
      <c r="A180" s="7" t="s">
        <v>248</v>
      </c>
      <c r="B180" s="7" t="s">
        <v>252</v>
      </c>
      <c r="C180" s="8" t="s">
        <v>250</v>
      </c>
      <c r="D180" s="8" t="s">
        <v>253</v>
      </c>
      <c r="E180" s="9" t="s">
        <v>14</v>
      </c>
      <c r="F180" s="9"/>
      <c r="G180" s="9" t="s">
        <v>14</v>
      </c>
      <c r="H180" s="9"/>
      <c r="I180" s="9" t="s">
        <v>14</v>
      </c>
    </row>
    <row r="181" spans="1:9" x14ac:dyDescent="0.25">
      <c r="A181" s="7" t="s">
        <v>248</v>
      </c>
      <c r="B181" s="7" t="s">
        <v>254</v>
      </c>
      <c r="C181" s="8" t="s">
        <v>250</v>
      </c>
      <c r="D181" s="8" t="s">
        <v>134</v>
      </c>
      <c r="E181" s="9" t="s">
        <v>14</v>
      </c>
      <c r="F181" s="9"/>
      <c r="G181" s="9" t="s">
        <v>14</v>
      </c>
      <c r="H181" s="9"/>
      <c r="I181" s="9" t="s">
        <v>14</v>
      </c>
    </row>
    <row r="182" spans="1:9" x14ac:dyDescent="0.25">
      <c r="A182" s="7" t="s">
        <v>248</v>
      </c>
      <c r="B182" s="7" t="s">
        <v>255</v>
      </c>
      <c r="C182" s="8" t="s">
        <v>250</v>
      </c>
      <c r="D182" s="8" t="s">
        <v>256</v>
      </c>
      <c r="E182" s="9" t="s">
        <v>14</v>
      </c>
      <c r="F182" s="9"/>
      <c r="G182" s="9" t="s">
        <v>14</v>
      </c>
      <c r="H182" s="9"/>
      <c r="I182" s="9" t="s">
        <v>14</v>
      </c>
    </row>
    <row r="183" spans="1:9" x14ac:dyDescent="0.25">
      <c r="A183" s="7" t="s">
        <v>248</v>
      </c>
      <c r="B183" s="7" t="s">
        <v>257</v>
      </c>
      <c r="C183" s="8" t="s">
        <v>250</v>
      </c>
      <c r="D183" s="8" t="s">
        <v>78</v>
      </c>
      <c r="E183" s="9" t="s">
        <v>14</v>
      </c>
      <c r="F183" s="9"/>
      <c r="G183" s="9" t="s">
        <v>14</v>
      </c>
      <c r="H183" s="9"/>
      <c r="I183" s="9" t="s">
        <v>14</v>
      </c>
    </row>
    <row r="184" spans="1:9" x14ac:dyDescent="0.25">
      <c r="A184" s="7" t="s">
        <v>248</v>
      </c>
      <c r="B184" s="7" t="s">
        <v>257</v>
      </c>
      <c r="C184" s="8" t="s">
        <v>250</v>
      </c>
      <c r="D184" s="8" t="s">
        <v>258</v>
      </c>
      <c r="E184" s="9" t="s">
        <v>14</v>
      </c>
      <c r="F184" s="9"/>
      <c r="G184" s="9" t="s">
        <v>14</v>
      </c>
      <c r="H184" s="9"/>
      <c r="I184" s="9" t="s">
        <v>14</v>
      </c>
    </row>
    <row r="185" spans="1:9" x14ac:dyDescent="0.25">
      <c r="A185" s="7" t="s">
        <v>248</v>
      </c>
      <c r="B185" s="7" t="s">
        <v>259</v>
      </c>
      <c r="C185" s="8" t="s">
        <v>250</v>
      </c>
      <c r="D185" s="8" t="s">
        <v>260</v>
      </c>
      <c r="E185" s="9" t="s">
        <v>14</v>
      </c>
      <c r="F185" s="9"/>
      <c r="G185" s="9" t="s">
        <v>14</v>
      </c>
      <c r="H185" s="9"/>
      <c r="I185" s="9" t="s">
        <v>14</v>
      </c>
    </row>
    <row r="186" spans="1:9" x14ac:dyDescent="0.25">
      <c r="A186" s="7" t="s">
        <v>248</v>
      </c>
      <c r="B186" s="7" t="s">
        <v>261</v>
      </c>
      <c r="C186" s="8" t="s">
        <v>250</v>
      </c>
      <c r="D186" s="8" t="s">
        <v>262</v>
      </c>
      <c r="E186" s="9" t="s">
        <v>14</v>
      </c>
      <c r="F186" s="9"/>
      <c r="G186" s="9" t="s">
        <v>14</v>
      </c>
      <c r="H186" s="9"/>
      <c r="I186" s="9" t="s">
        <v>14</v>
      </c>
    </row>
    <row r="187" spans="1:9" x14ac:dyDescent="0.25">
      <c r="A187" s="7" t="s">
        <v>248</v>
      </c>
      <c r="B187" s="7" t="s">
        <v>261</v>
      </c>
      <c r="C187" s="8" t="s">
        <v>250</v>
      </c>
      <c r="D187" s="8" t="s">
        <v>263</v>
      </c>
      <c r="E187" s="9" t="s">
        <v>14</v>
      </c>
      <c r="F187" s="9"/>
      <c r="G187" s="9" t="s">
        <v>14</v>
      </c>
      <c r="H187" s="9"/>
      <c r="I187" s="9" t="s">
        <v>14</v>
      </c>
    </row>
    <row r="188" spans="1:9" x14ac:dyDescent="0.25">
      <c r="A188" s="7" t="s">
        <v>248</v>
      </c>
      <c r="B188" s="7" t="s">
        <v>264</v>
      </c>
      <c r="C188" s="7" t="s">
        <v>250</v>
      </c>
      <c r="D188" s="8" t="s">
        <v>265</v>
      </c>
      <c r="E188" s="9" t="s">
        <v>14</v>
      </c>
      <c r="F188" s="9"/>
      <c r="G188" s="9" t="s">
        <v>14</v>
      </c>
      <c r="H188" s="9"/>
      <c r="I188" s="9" t="s">
        <v>14</v>
      </c>
    </row>
    <row r="189" spans="1:9" x14ac:dyDescent="0.25">
      <c r="A189" s="7" t="s">
        <v>248</v>
      </c>
      <c r="B189" s="7" t="s">
        <v>266</v>
      </c>
      <c r="C189" s="7" t="s">
        <v>250</v>
      </c>
      <c r="D189" s="8" t="s">
        <v>267</v>
      </c>
      <c r="E189" s="9" t="s">
        <v>14</v>
      </c>
      <c r="F189" s="9"/>
      <c r="G189" s="9" t="s">
        <v>14</v>
      </c>
      <c r="H189" s="9"/>
      <c r="I189" s="9" t="s">
        <v>14</v>
      </c>
    </row>
    <row r="190" spans="1:9" x14ac:dyDescent="0.25">
      <c r="A190" s="7" t="s">
        <v>248</v>
      </c>
      <c r="B190" s="7" t="s">
        <v>266</v>
      </c>
      <c r="C190" s="7" t="s">
        <v>250</v>
      </c>
      <c r="D190" s="8" t="s">
        <v>43</v>
      </c>
      <c r="E190" s="9" t="s">
        <v>14</v>
      </c>
      <c r="F190" s="9"/>
      <c r="G190" s="9" t="s">
        <v>14</v>
      </c>
      <c r="H190" s="9"/>
      <c r="I190" s="9" t="s">
        <v>14</v>
      </c>
    </row>
    <row r="191" spans="1:9" x14ac:dyDescent="0.25">
      <c r="A191" s="7" t="s">
        <v>248</v>
      </c>
      <c r="B191" s="7" t="s">
        <v>268</v>
      </c>
      <c r="C191" s="7" t="s">
        <v>250</v>
      </c>
      <c r="D191" s="8" t="s">
        <v>269</v>
      </c>
      <c r="E191" s="9" t="s">
        <v>14</v>
      </c>
      <c r="F191" s="9"/>
      <c r="G191" s="9" t="s">
        <v>14</v>
      </c>
      <c r="H191" s="9"/>
      <c r="I191" s="9" t="s">
        <v>14</v>
      </c>
    </row>
    <row r="192" spans="1:9" x14ac:dyDescent="0.25">
      <c r="A192" s="7" t="s">
        <v>248</v>
      </c>
      <c r="B192" s="7" t="s">
        <v>270</v>
      </c>
      <c r="C192" s="7" t="s">
        <v>250</v>
      </c>
      <c r="D192" s="8" t="s">
        <v>84</v>
      </c>
      <c r="E192" s="9" t="s">
        <v>14</v>
      </c>
      <c r="F192" s="9"/>
      <c r="G192" s="9" t="s">
        <v>14</v>
      </c>
      <c r="H192" s="9"/>
      <c r="I192" s="9" t="s">
        <v>14</v>
      </c>
    </row>
    <row r="193" spans="1:9" x14ac:dyDescent="0.25">
      <c r="A193" s="7" t="s">
        <v>248</v>
      </c>
      <c r="B193" s="7" t="s">
        <v>271</v>
      </c>
      <c r="C193" s="7" t="s">
        <v>250</v>
      </c>
      <c r="D193" s="8" t="s">
        <v>272</v>
      </c>
      <c r="E193" s="9" t="s">
        <v>14</v>
      </c>
      <c r="F193" s="9"/>
      <c r="G193" s="9" t="s">
        <v>14</v>
      </c>
      <c r="H193" s="9"/>
      <c r="I193" s="9" t="s">
        <v>14</v>
      </c>
    </row>
    <row r="194" spans="1:9" x14ac:dyDescent="0.25">
      <c r="A194" s="7" t="s">
        <v>248</v>
      </c>
      <c r="B194" s="7" t="s">
        <v>273</v>
      </c>
      <c r="C194" s="8" t="s">
        <v>250</v>
      </c>
      <c r="D194" s="8" t="s">
        <v>75</v>
      </c>
      <c r="E194" s="9" t="s">
        <v>14</v>
      </c>
      <c r="F194" s="9"/>
      <c r="G194" s="9" t="s">
        <v>14</v>
      </c>
      <c r="H194" s="9"/>
      <c r="I194" s="9" t="s">
        <v>14</v>
      </c>
    </row>
    <row r="195" spans="1:9" x14ac:dyDescent="0.25">
      <c r="A195" s="7" t="s">
        <v>248</v>
      </c>
      <c r="B195" s="7" t="s">
        <v>273</v>
      </c>
      <c r="C195" s="8" t="s">
        <v>250</v>
      </c>
      <c r="D195" s="8" t="s">
        <v>22</v>
      </c>
      <c r="E195" s="9" t="s">
        <v>14</v>
      </c>
      <c r="F195" s="9"/>
      <c r="G195" s="9" t="s">
        <v>14</v>
      </c>
      <c r="H195" s="9"/>
      <c r="I195" s="9" t="s">
        <v>14</v>
      </c>
    </row>
    <row r="196" spans="1:9" x14ac:dyDescent="0.25">
      <c r="A196" s="7" t="s">
        <v>248</v>
      </c>
      <c r="B196" s="7" t="s">
        <v>274</v>
      </c>
      <c r="C196" s="8" t="s">
        <v>250</v>
      </c>
      <c r="D196" s="8" t="s">
        <v>275</v>
      </c>
      <c r="E196" s="9" t="s">
        <v>14</v>
      </c>
      <c r="F196" s="9"/>
      <c r="G196" s="9" t="s">
        <v>14</v>
      </c>
      <c r="H196" s="9"/>
      <c r="I196" s="9" t="s">
        <v>14</v>
      </c>
    </row>
    <row r="197" spans="1:9" x14ac:dyDescent="0.25">
      <c r="A197" s="7" t="s">
        <v>276</v>
      </c>
      <c r="B197" s="7" t="s">
        <v>277</v>
      </c>
      <c r="C197" s="8" t="s">
        <v>278</v>
      </c>
      <c r="D197" s="8" t="s">
        <v>44</v>
      </c>
      <c r="E197" s="9" t="s">
        <v>14</v>
      </c>
      <c r="F197" s="9"/>
      <c r="G197" s="9" t="s">
        <v>14</v>
      </c>
      <c r="H197" s="9"/>
      <c r="I197" s="9" t="s">
        <v>14</v>
      </c>
    </row>
    <row r="198" spans="1:9" x14ac:dyDescent="0.25">
      <c r="A198" s="7" t="s">
        <v>276</v>
      </c>
      <c r="B198" s="7" t="s">
        <v>279</v>
      </c>
      <c r="C198" s="8" t="s">
        <v>278</v>
      </c>
      <c r="D198" s="8" t="s">
        <v>22</v>
      </c>
      <c r="E198" s="9" t="s">
        <v>14</v>
      </c>
      <c r="F198" s="9"/>
      <c r="G198" s="9" t="s">
        <v>14</v>
      </c>
      <c r="H198" s="9"/>
      <c r="I198" s="9" t="s">
        <v>14</v>
      </c>
    </row>
    <row r="199" spans="1:9" x14ac:dyDescent="0.25">
      <c r="A199" s="7" t="s">
        <v>276</v>
      </c>
      <c r="B199" s="7" t="s">
        <v>280</v>
      </c>
      <c r="C199" s="8" t="s">
        <v>278</v>
      </c>
      <c r="D199" s="8" t="s">
        <v>60</v>
      </c>
      <c r="E199" s="9" t="s">
        <v>14</v>
      </c>
      <c r="F199" s="9"/>
      <c r="G199" s="9" t="s">
        <v>14</v>
      </c>
      <c r="H199" s="9"/>
      <c r="I199" s="9" t="s">
        <v>14</v>
      </c>
    </row>
    <row r="200" spans="1:9" x14ac:dyDescent="0.25">
      <c r="A200" s="7" t="s">
        <v>281</v>
      </c>
      <c r="B200" s="7" t="s">
        <v>282</v>
      </c>
      <c r="C200" s="8" t="s">
        <v>283</v>
      </c>
      <c r="D200" s="8" t="s">
        <v>48</v>
      </c>
      <c r="E200" s="9" t="s">
        <v>14</v>
      </c>
      <c r="F200" s="9"/>
      <c r="G200" s="9" t="s">
        <v>14</v>
      </c>
      <c r="H200" s="9"/>
      <c r="I200" s="9" t="s">
        <v>14</v>
      </c>
    </row>
    <row r="201" spans="1:9" x14ac:dyDescent="0.25">
      <c r="A201" s="7" t="s">
        <v>281</v>
      </c>
      <c r="B201" s="7" t="s">
        <v>282</v>
      </c>
      <c r="C201" s="7" t="s">
        <v>283</v>
      </c>
      <c r="D201" s="8" t="s">
        <v>60</v>
      </c>
      <c r="E201" s="9" t="s">
        <v>14</v>
      </c>
      <c r="F201" s="9"/>
      <c r="G201" s="9" t="s">
        <v>14</v>
      </c>
      <c r="H201" s="9"/>
      <c r="I201" s="9" t="s">
        <v>14</v>
      </c>
    </row>
    <row r="202" spans="1:9" x14ac:dyDescent="0.25">
      <c r="A202" s="7" t="s">
        <v>281</v>
      </c>
      <c r="B202" s="7" t="s">
        <v>284</v>
      </c>
      <c r="C202" s="7" t="s">
        <v>283</v>
      </c>
      <c r="D202" s="8" t="s">
        <v>53</v>
      </c>
      <c r="E202" s="9" t="s">
        <v>14</v>
      </c>
      <c r="F202" s="9"/>
      <c r="G202" s="9" t="s">
        <v>14</v>
      </c>
      <c r="H202" s="9"/>
      <c r="I202" s="9" t="s">
        <v>14</v>
      </c>
    </row>
    <row r="203" spans="1:9" x14ac:dyDescent="0.25">
      <c r="A203" s="7" t="s">
        <v>281</v>
      </c>
      <c r="B203" s="7" t="s">
        <v>284</v>
      </c>
      <c r="C203" s="7" t="s">
        <v>283</v>
      </c>
      <c r="D203" s="8" t="s">
        <v>43</v>
      </c>
      <c r="E203" s="9" t="s">
        <v>14</v>
      </c>
      <c r="F203" s="9"/>
      <c r="G203" s="9" t="s">
        <v>14</v>
      </c>
      <c r="H203" s="9"/>
      <c r="I203" s="9" t="s">
        <v>14</v>
      </c>
    </row>
    <row r="204" spans="1:9" x14ac:dyDescent="0.25">
      <c r="A204" s="7" t="s">
        <v>281</v>
      </c>
      <c r="B204" s="7" t="s">
        <v>285</v>
      </c>
      <c r="C204" s="8" t="s">
        <v>283</v>
      </c>
      <c r="D204" s="8" t="s">
        <v>44</v>
      </c>
      <c r="E204" s="9" t="s">
        <v>14</v>
      </c>
      <c r="F204" s="9"/>
      <c r="G204" s="9" t="s">
        <v>14</v>
      </c>
      <c r="H204" s="9"/>
      <c r="I204" s="9" t="s">
        <v>14</v>
      </c>
    </row>
    <row r="205" spans="1:9" x14ac:dyDescent="0.25">
      <c r="A205" s="7" t="s">
        <v>286</v>
      </c>
      <c r="B205" s="7" t="s">
        <v>286</v>
      </c>
      <c r="C205" s="8" t="s">
        <v>287</v>
      </c>
      <c r="D205" s="8" t="s">
        <v>22</v>
      </c>
      <c r="E205" s="9" t="s">
        <v>14</v>
      </c>
      <c r="F205" s="9"/>
      <c r="G205" s="9" t="s">
        <v>14</v>
      </c>
      <c r="H205" s="9"/>
      <c r="I205" s="9" t="s">
        <v>14</v>
      </c>
    </row>
    <row r="206" spans="1:9" x14ac:dyDescent="0.25">
      <c r="A206" s="7" t="s">
        <v>286</v>
      </c>
      <c r="B206" s="7" t="s">
        <v>286</v>
      </c>
      <c r="C206" s="8" t="s">
        <v>287</v>
      </c>
      <c r="D206" s="8" t="s">
        <v>13</v>
      </c>
      <c r="E206" s="9" t="s">
        <v>14</v>
      </c>
      <c r="F206" s="9"/>
      <c r="G206" s="9" t="s">
        <v>14</v>
      </c>
      <c r="H206" s="9"/>
      <c r="I206" s="9" t="s">
        <v>14</v>
      </c>
    </row>
    <row r="207" spans="1:9" x14ac:dyDescent="0.25">
      <c r="A207" s="7" t="s">
        <v>286</v>
      </c>
      <c r="B207" s="7" t="s">
        <v>288</v>
      </c>
      <c r="C207" s="7" t="s">
        <v>287</v>
      </c>
      <c r="D207" s="8" t="s">
        <v>48</v>
      </c>
      <c r="E207" s="9" t="s">
        <v>14</v>
      </c>
      <c r="F207" s="9"/>
      <c r="G207" s="9" t="s">
        <v>14</v>
      </c>
      <c r="H207" s="9"/>
      <c r="I207" s="9" t="s">
        <v>14</v>
      </c>
    </row>
    <row r="208" spans="1:9" x14ac:dyDescent="0.25">
      <c r="A208" s="7" t="s">
        <v>289</v>
      </c>
      <c r="B208" s="7" t="s">
        <v>290</v>
      </c>
      <c r="C208" s="7" t="s">
        <v>291</v>
      </c>
      <c r="D208" s="8" t="s">
        <v>292</v>
      </c>
      <c r="E208" s="9" t="s">
        <v>14</v>
      </c>
      <c r="F208" s="9"/>
      <c r="G208" s="9"/>
      <c r="H208" s="9" t="s">
        <v>14</v>
      </c>
      <c r="I208" s="9"/>
    </row>
    <row r="209" spans="1:9" x14ac:dyDescent="0.25">
      <c r="A209" s="7" t="s">
        <v>289</v>
      </c>
      <c r="B209" s="7" t="s">
        <v>290</v>
      </c>
      <c r="C209" s="7" t="s">
        <v>291</v>
      </c>
      <c r="D209" s="8" t="s">
        <v>52</v>
      </c>
      <c r="E209" s="9" t="s">
        <v>14</v>
      </c>
      <c r="F209" s="9"/>
      <c r="G209" s="9"/>
      <c r="H209" s="9" t="s">
        <v>14</v>
      </c>
      <c r="I209" s="9"/>
    </row>
    <row r="210" spans="1:9" x14ac:dyDescent="0.25">
      <c r="A210" s="7" t="s">
        <v>289</v>
      </c>
      <c r="B210" s="7" t="s">
        <v>293</v>
      </c>
      <c r="C210" s="8" t="s">
        <v>291</v>
      </c>
      <c r="D210" s="8" t="s">
        <v>294</v>
      </c>
      <c r="E210" s="9" t="s">
        <v>14</v>
      </c>
      <c r="F210" s="9"/>
      <c r="G210" s="9"/>
      <c r="H210" s="9" t="s">
        <v>14</v>
      </c>
      <c r="I210" s="9"/>
    </row>
    <row r="211" spans="1:9" x14ac:dyDescent="0.25">
      <c r="A211" s="7" t="s">
        <v>289</v>
      </c>
      <c r="B211" s="7" t="s">
        <v>293</v>
      </c>
      <c r="C211" s="8" t="s">
        <v>291</v>
      </c>
      <c r="D211" s="8" t="s">
        <v>295</v>
      </c>
      <c r="E211" s="9" t="s">
        <v>14</v>
      </c>
      <c r="F211" s="9"/>
      <c r="G211" s="9"/>
      <c r="H211" s="9" t="s">
        <v>14</v>
      </c>
      <c r="I211" s="9"/>
    </row>
    <row r="212" spans="1:9" x14ac:dyDescent="0.25">
      <c r="A212" s="7" t="s">
        <v>289</v>
      </c>
      <c r="B212" s="7" t="s">
        <v>296</v>
      </c>
      <c r="C212" s="8" t="s">
        <v>291</v>
      </c>
      <c r="D212" s="8" t="s">
        <v>297</v>
      </c>
      <c r="E212" s="9" t="s">
        <v>14</v>
      </c>
      <c r="F212" s="9"/>
      <c r="G212" s="9"/>
      <c r="H212" s="9"/>
      <c r="I212" s="9"/>
    </row>
    <row r="213" spans="1:9" x14ac:dyDescent="0.25">
      <c r="A213" s="7" t="s">
        <v>289</v>
      </c>
      <c r="B213" s="7" t="s">
        <v>298</v>
      </c>
      <c r="C213" s="8" t="s">
        <v>291</v>
      </c>
      <c r="D213" s="8" t="s">
        <v>299</v>
      </c>
      <c r="E213" s="9" t="s">
        <v>14</v>
      </c>
      <c r="F213" s="9"/>
      <c r="G213" s="9"/>
      <c r="H213" s="9"/>
      <c r="I213" s="9"/>
    </row>
    <row r="214" spans="1:9" x14ac:dyDescent="0.25">
      <c r="A214" s="7" t="s">
        <v>289</v>
      </c>
      <c r="B214" s="7" t="s">
        <v>300</v>
      </c>
      <c r="C214" s="8" t="s">
        <v>291</v>
      </c>
      <c r="D214" s="8" t="s">
        <v>104</v>
      </c>
      <c r="E214" s="9" t="s">
        <v>14</v>
      </c>
      <c r="F214" s="9"/>
      <c r="G214" s="9"/>
      <c r="H214" s="9"/>
      <c r="I214" s="9"/>
    </row>
    <row r="215" spans="1:9" x14ac:dyDescent="0.25">
      <c r="A215" s="7" t="s">
        <v>289</v>
      </c>
      <c r="B215" s="7" t="s">
        <v>301</v>
      </c>
      <c r="C215" s="8" t="s">
        <v>291</v>
      </c>
      <c r="D215" s="8" t="s">
        <v>302</v>
      </c>
      <c r="E215" s="9" t="s">
        <v>14</v>
      </c>
      <c r="F215" s="9"/>
      <c r="G215" s="9"/>
      <c r="H215" s="9"/>
      <c r="I215" s="9"/>
    </row>
    <row r="216" spans="1:9" x14ac:dyDescent="0.25">
      <c r="A216" s="7" t="s">
        <v>289</v>
      </c>
      <c r="B216" s="7" t="s">
        <v>303</v>
      </c>
      <c r="C216" s="7" t="s">
        <v>291</v>
      </c>
      <c r="D216" s="8" t="s">
        <v>173</v>
      </c>
      <c r="E216" s="9" t="s">
        <v>14</v>
      </c>
      <c r="F216" s="9"/>
      <c r="G216" s="9"/>
      <c r="H216" s="9"/>
      <c r="I216" s="9"/>
    </row>
    <row r="217" spans="1:9" x14ac:dyDescent="0.25">
      <c r="A217" s="7" t="s">
        <v>289</v>
      </c>
      <c r="B217" s="7" t="s">
        <v>304</v>
      </c>
      <c r="C217" s="7" t="s">
        <v>291</v>
      </c>
      <c r="D217" s="8" t="s">
        <v>305</v>
      </c>
      <c r="E217" s="9" t="s">
        <v>14</v>
      </c>
      <c r="F217" s="9"/>
      <c r="G217" s="9"/>
      <c r="H217" s="9"/>
      <c r="I217" s="9"/>
    </row>
    <row r="218" spans="1:9" x14ac:dyDescent="0.25">
      <c r="A218" s="7" t="s">
        <v>289</v>
      </c>
      <c r="B218" s="7" t="s">
        <v>306</v>
      </c>
      <c r="C218" s="8" t="s">
        <v>291</v>
      </c>
      <c r="D218" s="8" t="s">
        <v>307</v>
      </c>
      <c r="E218" s="9" t="s">
        <v>14</v>
      </c>
      <c r="F218" s="9"/>
      <c r="G218" s="9"/>
      <c r="H218" s="9"/>
      <c r="I218" s="9"/>
    </row>
    <row r="219" spans="1:9" x14ac:dyDescent="0.25">
      <c r="A219" s="7" t="s">
        <v>289</v>
      </c>
      <c r="B219" s="7" t="s">
        <v>306</v>
      </c>
      <c r="C219" s="8" t="s">
        <v>291</v>
      </c>
      <c r="D219" s="8" t="s">
        <v>60</v>
      </c>
      <c r="E219" s="9" t="s">
        <v>14</v>
      </c>
      <c r="F219" s="9"/>
      <c r="G219" s="9"/>
      <c r="H219" s="9"/>
      <c r="I219" s="9"/>
    </row>
    <row r="220" spans="1:9" x14ac:dyDescent="0.25">
      <c r="A220" s="7" t="s">
        <v>289</v>
      </c>
      <c r="B220" s="7" t="s">
        <v>308</v>
      </c>
      <c r="C220" s="7" t="s">
        <v>291</v>
      </c>
      <c r="D220" s="8" t="s">
        <v>309</v>
      </c>
      <c r="E220" s="9" t="s">
        <v>14</v>
      </c>
      <c r="F220" s="9"/>
      <c r="G220" s="9"/>
      <c r="H220" s="9"/>
      <c r="I220" s="9"/>
    </row>
    <row r="221" spans="1:9" x14ac:dyDescent="0.25">
      <c r="A221" s="7" t="s">
        <v>289</v>
      </c>
      <c r="B221" s="7" t="s">
        <v>310</v>
      </c>
      <c r="C221" s="7" t="s">
        <v>291</v>
      </c>
      <c r="D221" s="8" t="s">
        <v>108</v>
      </c>
      <c r="E221" s="9" t="s">
        <v>14</v>
      </c>
      <c r="F221" s="9"/>
      <c r="G221" s="9"/>
      <c r="H221" s="9"/>
      <c r="I221" s="9"/>
    </row>
    <row r="222" spans="1:9" x14ac:dyDescent="0.25">
      <c r="A222" s="7" t="s">
        <v>289</v>
      </c>
      <c r="B222" s="7" t="s">
        <v>311</v>
      </c>
      <c r="C222" s="7" t="s">
        <v>291</v>
      </c>
      <c r="D222" s="8" t="s">
        <v>312</v>
      </c>
      <c r="E222" s="9" t="s">
        <v>14</v>
      </c>
      <c r="F222" s="9"/>
      <c r="G222" s="9"/>
      <c r="H222" s="9"/>
      <c r="I222" s="9"/>
    </row>
    <row r="223" spans="1:9" x14ac:dyDescent="0.25">
      <c r="A223" s="7" t="s">
        <v>289</v>
      </c>
      <c r="B223" s="7" t="s">
        <v>313</v>
      </c>
      <c r="C223" s="7" t="s">
        <v>291</v>
      </c>
      <c r="D223" s="8" t="s">
        <v>258</v>
      </c>
      <c r="E223" s="9" t="s">
        <v>14</v>
      </c>
      <c r="F223" s="9"/>
      <c r="G223" s="9"/>
      <c r="H223" s="9"/>
      <c r="I223" s="9"/>
    </row>
    <row r="224" spans="1:9" x14ac:dyDescent="0.25">
      <c r="A224" s="7" t="s">
        <v>289</v>
      </c>
      <c r="B224" s="7" t="s">
        <v>314</v>
      </c>
      <c r="C224" s="7" t="s">
        <v>291</v>
      </c>
      <c r="D224" s="8" t="s">
        <v>315</v>
      </c>
      <c r="E224" s="9" t="s">
        <v>14</v>
      </c>
      <c r="F224" s="9"/>
      <c r="G224" s="9"/>
      <c r="H224" s="9"/>
      <c r="I224" s="9"/>
    </row>
    <row r="225" spans="1:9" x14ac:dyDescent="0.25">
      <c r="A225" s="7" t="s">
        <v>289</v>
      </c>
      <c r="B225" s="7" t="s">
        <v>316</v>
      </c>
      <c r="C225" s="7" t="s">
        <v>291</v>
      </c>
      <c r="D225" s="8" t="s">
        <v>317</v>
      </c>
      <c r="E225" s="9" t="s">
        <v>14</v>
      </c>
      <c r="F225" s="9"/>
      <c r="G225" s="9"/>
      <c r="H225" s="9" t="s">
        <v>14</v>
      </c>
      <c r="I225" s="9"/>
    </row>
    <row r="226" spans="1:9" x14ac:dyDescent="0.25">
      <c r="A226" s="7" t="s">
        <v>289</v>
      </c>
      <c r="B226" s="7" t="s">
        <v>316</v>
      </c>
      <c r="C226" s="7" t="s">
        <v>291</v>
      </c>
      <c r="D226" s="8" t="s">
        <v>13</v>
      </c>
      <c r="E226" s="9" t="s">
        <v>14</v>
      </c>
      <c r="F226" s="9"/>
      <c r="G226" s="9"/>
      <c r="H226" s="9" t="s">
        <v>14</v>
      </c>
      <c r="I226" s="9"/>
    </row>
    <row r="227" spans="1:9" x14ac:dyDescent="0.25">
      <c r="A227" s="7" t="s">
        <v>289</v>
      </c>
      <c r="B227" s="7" t="s">
        <v>318</v>
      </c>
      <c r="C227" s="7" t="s">
        <v>291</v>
      </c>
      <c r="D227" s="8" t="s">
        <v>319</v>
      </c>
      <c r="E227" s="9" t="s">
        <v>14</v>
      </c>
      <c r="F227" s="9"/>
      <c r="G227" s="9"/>
      <c r="H227" s="9" t="s">
        <v>14</v>
      </c>
      <c r="I227" s="9"/>
    </row>
    <row r="228" spans="1:9" x14ac:dyDescent="0.25">
      <c r="A228" s="7" t="s">
        <v>289</v>
      </c>
      <c r="B228" s="7" t="s">
        <v>318</v>
      </c>
      <c r="C228" s="8" t="s">
        <v>291</v>
      </c>
      <c r="D228" s="8" t="s">
        <v>320</v>
      </c>
      <c r="E228" s="9" t="s">
        <v>14</v>
      </c>
      <c r="F228" s="9"/>
      <c r="G228" s="9"/>
      <c r="H228" s="9" t="s">
        <v>14</v>
      </c>
      <c r="I228" s="9"/>
    </row>
    <row r="229" spans="1:9" x14ac:dyDescent="0.25">
      <c r="A229" s="7" t="s">
        <v>289</v>
      </c>
      <c r="B229" s="7" t="s">
        <v>321</v>
      </c>
      <c r="C229" s="8" t="s">
        <v>291</v>
      </c>
      <c r="D229" s="8" t="s">
        <v>48</v>
      </c>
      <c r="E229" s="9" t="s">
        <v>14</v>
      </c>
      <c r="F229" s="9"/>
      <c r="G229" s="9"/>
      <c r="H229" s="9" t="s">
        <v>14</v>
      </c>
      <c r="I229" s="9"/>
    </row>
    <row r="230" spans="1:9" x14ac:dyDescent="0.25">
      <c r="A230" s="7" t="s">
        <v>289</v>
      </c>
      <c r="B230" s="7" t="s">
        <v>322</v>
      </c>
      <c r="C230" s="7" t="s">
        <v>291</v>
      </c>
      <c r="D230" s="8" t="s">
        <v>323</v>
      </c>
      <c r="E230" s="9" t="s">
        <v>14</v>
      </c>
      <c r="F230" s="9"/>
      <c r="G230" s="9"/>
      <c r="H230" s="9" t="s">
        <v>14</v>
      </c>
      <c r="I230" s="9"/>
    </row>
    <row r="231" spans="1:9" x14ac:dyDescent="0.25">
      <c r="A231" s="7" t="s">
        <v>289</v>
      </c>
      <c r="B231" s="7" t="s">
        <v>324</v>
      </c>
      <c r="C231" s="7" t="s">
        <v>291</v>
      </c>
      <c r="D231" s="8" t="s">
        <v>325</v>
      </c>
      <c r="E231" s="9" t="s">
        <v>14</v>
      </c>
      <c r="F231" s="9"/>
      <c r="G231" s="9"/>
      <c r="H231" s="9" t="s">
        <v>14</v>
      </c>
      <c r="I231" s="9"/>
    </row>
    <row r="232" spans="1:9" x14ac:dyDescent="0.25">
      <c r="A232" s="7" t="s">
        <v>289</v>
      </c>
      <c r="B232" s="7" t="s">
        <v>326</v>
      </c>
      <c r="C232" s="7" t="s">
        <v>291</v>
      </c>
      <c r="D232" s="8" t="s">
        <v>327</v>
      </c>
      <c r="E232" s="9" t="s">
        <v>14</v>
      </c>
      <c r="F232" s="9"/>
      <c r="G232" s="9"/>
      <c r="H232" s="9" t="s">
        <v>14</v>
      </c>
      <c r="I232" s="9"/>
    </row>
    <row r="233" spans="1:9" x14ac:dyDescent="0.25">
      <c r="A233" s="7" t="s">
        <v>289</v>
      </c>
      <c r="B233" s="7" t="s">
        <v>328</v>
      </c>
      <c r="C233" s="7" t="s">
        <v>291</v>
      </c>
      <c r="D233" s="8" t="s">
        <v>329</v>
      </c>
      <c r="E233" s="9" t="s">
        <v>14</v>
      </c>
      <c r="F233" s="9"/>
      <c r="G233" s="9"/>
      <c r="H233" s="9" t="s">
        <v>14</v>
      </c>
      <c r="I233" s="9"/>
    </row>
    <row r="234" spans="1:9" x14ac:dyDescent="0.25">
      <c r="A234" s="7" t="s">
        <v>289</v>
      </c>
      <c r="B234" s="7" t="s">
        <v>330</v>
      </c>
      <c r="C234" s="7" t="s">
        <v>291</v>
      </c>
      <c r="D234" s="8" t="s">
        <v>331</v>
      </c>
      <c r="E234" s="9" t="s">
        <v>14</v>
      </c>
      <c r="F234" s="9"/>
      <c r="G234" s="9"/>
      <c r="H234" s="9" t="s">
        <v>14</v>
      </c>
      <c r="I234" s="9"/>
    </row>
    <row r="235" spans="1:9" x14ac:dyDescent="0.25">
      <c r="A235" s="7" t="s">
        <v>289</v>
      </c>
      <c r="B235" s="7" t="s">
        <v>332</v>
      </c>
      <c r="C235" s="7" t="s">
        <v>291</v>
      </c>
      <c r="D235" s="8" t="s">
        <v>333</v>
      </c>
      <c r="E235" s="9" t="s">
        <v>14</v>
      </c>
      <c r="F235" s="9"/>
      <c r="G235" s="9"/>
      <c r="H235" s="9" t="s">
        <v>14</v>
      </c>
      <c r="I235" s="9"/>
    </row>
    <row r="236" spans="1:9" x14ac:dyDescent="0.25">
      <c r="A236" s="7" t="s">
        <v>289</v>
      </c>
      <c r="B236" s="7" t="s">
        <v>334</v>
      </c>
      <c r="C236" s="7" t="s">
        <v>291</v>
      </c>
      <c r="D236" s="8" t="s">
        <v>335</v>
      </c>
      <c r="E236" s="9" t="s">
        <v>14</v>
      </c>
      <c r="F236" s="9"/>
      <c r="G236" s="9"/>
      <c r="H236" s="9" t="s">
        <v>14</v>
      </c>
      <c r="I236" s="9"/>
    </row>
    <row r="237" spans="1:9" x14ac:dyDescent="0.25">
      <c r="A237" s="7" t="s">
        <v>336</v>
      </c>
      <c r="B237" s="7" t="s">
        <v>336</v>
      </c>
      <c r="C237" s="7" t="s">
        <v>337</v>
      </c>
      <c r="D237" s="8" t="s">
        <v>32</v>
      </c>
      <c r="E237" s="9" t="s">
        <v>14</v>
      </c>
      <c r="F237" s="9"/>
      <c r="G237" s="9"/>
      <c r="H237" s="9"/>
      <c r="I237" s="9"/>
    </row>
    <row r="238" spans="1:9" x14ac:dyDescent="0.25">
      <c r="A238" s="7" t="s">
        <v>336</v>
      </c>
      <c r="B238" s="7" t="s">
        <v>336</v>
      </c>
      <c r="C238" s="7" t="s">
        <v>337</v>
      </c>
      <c r="D238" s="8" t="s">
        <v>13</v>
      </c>
      <c r="E238" s="9" t="s">
        <v>14</v>
      </c>
      <c r="F238" s="9"/>
      <c r="G238" s="9"/>
      <c r="H238" s="9"/>
      <c r="I238" s="9"/>
    </row>
    <row r="239" spans="1:9" x14ac:dyDescent="0.25">
      <c r="A239" s="7" t="s">
        <v>336</v>
      </c>
      <c r="B239" s="7" t="s">
        <v>338</v>
      </c>
      <c r="C239" s="7" t="s">
        <v>337</v>
      </c>
      <c r="D239" s="8" t="s">
        <v>124</v>
      </c>
      <c r="E239" s="9" t="s">
        <v>14</v>
      </c>
      <c r="F239" s="9"/>
      <c r="G239" s="9"/>
      <c r="H239" s="9"/>
      <c r="I239" s="9"/>
    </row>
    <row r="240" spans="1:9" x14ac:dyDescent="0.25">
      <c r="A240" s="7" t="s">
        <v>336</v>
      </c>
      <c r="B240" s="7" t="s">
        <v>338</v>
      </c>
      <c r="C240" s="8" t="s">
        <v>337</v>
      </c>
      <c r="D240" s="8" t="s">
        <v>339</v>
      </c>
      <c r="E240" s="9" t="s">
        <v>14</v>
      </c>
      <c r="F240" s="9"/>
      <c r="G240" s="9"/>
      <c r="H240" s="9"/>
      <c r="I240" s="9"/>
    </row>
    <row r="241" spans="1:9" x14ac:dyDescent="0.25">
      <c r="A241" s="7" t="s">
        <v>336</v>
      </c>
      <c r="B241" s="7" t="s">
        <v>340</v>
      </c>
      <c r="C241" s="8" t="s">
        <v>337</v>
      </c>
      <c r="D241" s="8" t="s">
        <v>46</v>
      </c>
      <c r="E241" s="9" t="s">
        <v>14</v>
      </c>
      <c r="F241" s="9"/>
      <c r="G241" s="9"/>
      <c r="H241" s="9"/>
      <c r="I241" s="9"/>
    </row>
    <row r="242" spans="1:9" x14ac:dyDescent="0.25">
      <c r="A242" s="7" t="s">
        <v>336</v>
      </c>
      <c r="B242" s="7" t="s">
        <v>341</v>
      </c>
      <c r="C242" s="7" t="s">
        <v>337</v>
      </c>
      <c r="D242" s="8" t="s">
        <v>258</v>
      </c>
      <c r="E242" s="9" t="s">
        <v>14</v>
      </c>
      <c r="F242" s="9"/>
      <c r="G242" s="9"/>
      <c r="H242" s="9"/>
      <c r="I242" s="9"/>
    </row>
    <row r="243" spans="1:9" x14ac:dyDescent="0.25">
      <c r="A243" s="7" t="s">
        <v>336</v>
      </c>
      <c r="B243" s="7" t="s">
        <v>342</v>
      </c>
      <c r="C243" s="8" t="s">
        <v>337</v>
      </c>
      <c r="D243" s="8" t="s">
        <v>333</v>
      </c>
      <c r="E243" s="9" t="s">
        <v>14</v>
      </c>
      <c r="F243" s="9" t="s">
        <v>14</v>
      </c>
      <c r="G243" s="9"/>
      <c r="H243" s="9"/>
      <c r="I243" s="9" t="s">
        <v>14</v>
      </c>
    </row>
    <row r="244" spans="1:9" x14ac:dyDescent="0.25">
      <c r="A244" s="7" t="s">
        <v>336</v>
      </c>
      <c r="B244" s="7" t="s">
        <v>343</v>
      </c>
      <c r="C244" s="8" t="s">
        <v>337</v>
      </c>
      <c r="D244" s="8" t="s">
        <v>344</v>
      </c>
      <c r="E244" s="9" t="s">
        <v>14</v>
      </c>
      <c r="F244" s="9" t="s">
        <v>14</v>
      </c>
      <c r="G244" s="9"/>
      <c r="H244" s="9"/>
      <c r="I244" s="9" t="s">
        <v>14</v>
      </c>
    </row>
    <row r="245" spans="1:9" x14ac:dyDescent="0.25">
      <c r="A245" s="7" t="s">
        <v>336</v>
      </c>
      <c r="B245" s="7" t="s">
        <v>345</v>
      </c>
      <c r="C245" s="8" t="s">
        <v>337</v>
      </c>
      <c r="D245" s="8" t="s">
        <v>325</v>
      </c>
      <c r="E245" s="9" t="s">
        <v>14</v>
      </c>
      <c r="F245" s="9" t="s">
        <v>14</v>
      </c>
      <c r="G245" s="9"/>
      <c r="H245" s="9"/>
      <c r="I245" s="9" t="s">
        <v>14</v>
      </c>
    </row>
    <row r="246" spans="1:9" x14ac:dyDescent="0.25">
      <c r="A246" s="7" t="s">
        <v>336</v>
      </c>
      <c r="B246" s="7" t="s">
        <v>346</v>
      </c>
      <c r="C246" s="8" t="s">
        <v>337</v>
      </c>
      <c r="D246" s="8" t="s">
        <v>180</v>
      </c>
      <c r="E246" s="9" t="s">
        <v>14</v>
      </c>
      <c r="F246" s="9" t="s">
        <v>14</v>
      </c>
      <c r="G246" s="9"/>
      <c r="H246" s="9"/>
      <c r="I246" s="9" t="s">
        <v>14</v>
      </c>
    </row>
    <row r="247" spans="1:9" x14ac:dyDescent="0.25">
      <c r="A247" s="7" t="s">
        <v>336</v>
      </c>
      <c r="B247" s="7" t="s">
        <v>347</v>
      </c>
      <c r="C247" s="8" t="s">
        <v>337</v>
      </c>
      <c r="D247" s="8" t="s">
        <v>24</v>
      </c>
      <c r="E247" s="9" t="s">
        <v>14</v>
      </c>
      <c r="F247" s="9"/>
      <c r="G247" s="9"/>
      <c r="H247" s="9"/>
      <c r="I247" s="9"/>
    </row>
    <row r="248" spans="1:9" x14ac:dyDescent="0.25">
      <c r="A248" s="7" t="s">
        <v>336</v>
      </c>
      <c r="B248" s="7" t="s">
        <v>348</v>
      </c>
      <c r="C248" s="8" t="s">
        <v>337</v>
      </c>
      <c r="D248" s="8" t="s">
        <v>349</v>
      </c>
      <c r="E248" s="9" t="s">
        <v>14</v>
      </c>
      <c r="F248" s="9"/>
      <c r="G248" s="9"/>
      <c r="H248" s="9"/>
      <c r="I248" s="9"/>
    </row>
    <row r="249" spans="1:9" x14ac:dyDescent="0.25">
      <c r="A249" s="7" t="s">
        <v>336</v>
      </c>
      <c r="B249" s="7" t="s">
        <v>350</v>
      </c>
      <c r="C249" s="8" t="s">
        <v>337</v>
      </c>
      <c r="D249" s="8" t="s">
        <v>307</v>
      </c>
      <c r="E249" s="9" t="s">
        <v>14</v>
      </c>
      <c r="F249" s="9" t="s">
        <v>14</v>
      </c>
      <c r="G249" s="9"/>
      <c r="H249" s="9"/>
      <c r="I249" s="9" t="s">
        <v>14</v>
      </c>
    </row>
    <row r="250" spans="1:9" x14ac:dyDescent="0.25">
      <c r="A250" s="7" t="s">
        <v>336</v>
      </c>
      <c r="B250" s="7" t="s">
        <v>351</v>
      </c>
      <c r="C250" s="8" t="s">
        <v>337</v>
      </c>
      <c r="D250" s="8" t="s">
        <v>352</v>
      </c>
      <c r="E250" s="9" t="s">
        <v>14</v>
      </c>
      <c r="F250" s="9" t="s">
        <v>14</v>
      </c>
      <c r="G250" s="9"/>
      <c r="H250" s="9"/>
      <c r="I250" s="9" t="s">
        <v>14</v>
      </c>
    </row>
    <row r="251" spans="1:9" x14ac:dyDescent="0.25">
      <c r="A251" s="7" t="s">
        <v>353</v>
      </c>
      <c r="B251" s="7" t="s">
        <v>353</v>
      </c>
      <c r="C251" s="8" t="s">
        <v>354</v>
      </c>
      <c r="D251" s="8" t="s">
        <v>55</v>
      </c>
      <c r="E251" s="9" t="s">
        <v>14</v>
      </c>
      <c r="F251" s="9" t="s">
        <v>14</v>
      </c>
      <c r="G251" s="9"/>
      <c r="H251" s="9"/>
      <c r="I251" s="9" t="s">
        <v>14</v>
      </c>
    </row>
    <row r="252" spans="1:9" x14ac:dyDescent="0.25">
      <c r="A252" s="7" t="s">
        <v>353</v>
      </c>
      <c r="B252" s="7" t="s">
        <v>353</v>
      </c>
      <c r="C252" s="8" t="s">
        <v>354</v>
      </c>
      <c r="D252" s="8" t="s">
        <v>39</v>
      </c>
      <c r="E252" s="9" t="s">
        <v>14</v>
      </c>
      <c r="F252" s="9" t="s">
        <v>14</v>
      </c>
      <c r="G252" s="9"/>
      <c r="H252" s="9"/>
      <c r="I252" s="9" t="s">
        <v>14</v>
      </c>
    </row>
    <row r="253" spans="1:9" x14ac:dyDescent="0.25">
      <c r="A253" s="7" t="s">
        <v>353</v>
      </c>
      <c r="B253" s="7" t="s">
        <v>353</v>
      </c>
      <c r="C253" s="8" t="s">
        <v>354</v>
      </c>
      <c r="D253" s="8" t="s">
        <v>52</v>
      </c>
      <c r="E253" s="9" t="s">
        <v>14</v>
      </c>
      <c r="F253" s="9" t="s">
        <v>14</v>
      </c>
      <c r="G253" s="9"/>
      <c r="H253" s="9"/>
      <c r="I253" s="9" t="s">
        <v>14</v>
      </c>
    </row>
    <row r="254" spans="1:9" x14ac:dyDescent="0.25">
      <c r="A254" s="7" t="s">
        <v>353</v>
      </c>
      <c r="B254" s="7" t="s">
        <v>353</v>
      </c>
      <c r="C254" s="8" t="s">
        <v>354</v>
      </c>
      <c r="D254" s="8" t="s">
        <v>43</v>
      </c>
      <c r="E254" s="9" t="s">
        <v>14</v>
      </c>
      <c r="F254" s="9" t="s">
        <v>14</v>
      </c>
      <c r="G254" s="9"/>
      <c r="H254" s="9"/>
      <c r="I254" s="9" t="s">
        <v>14</v>
      </c>
    </row>
    <row r="255" spans="1:9" x14ac:dyDescent="0.25">
      <c r="A255" s="7" t="s">
        <v>353</v>
      </c>
      <c r="B255" s="7" t="s">
        <v>355</v>
      </c>
      <c r="C255" s="8" t="s">
        <v>354</v>
      </c>
      <c r="D255" s="8" t="s">
        <v>235</v>
      </c>
      <c r="E255" s="9" t="s">
        <v>14</v>
      </c>
      <c r="F255" s="9" t="s">
        <v>14</v>
      </c>
      <c r="G255" s="9"/>
      <c r="H255" s="9"/>
      <c r="I255" s="9" t="s">
        <v>14</v>
      </c>
    </row>
    <row r="256" spans="1:9" x14ac:dyDescent="0.25">
      <c r="A256" s="7" t="s">
        <v>353</v>
      </c>
      <c r="B256" s="7" t="s">
        <v>355</v>
      </c>
      <c r="C256" s="8" t="s">
        <v>354</v>
      </c>
      <c r="D256" s="8" t="s">
        <v>356</v>
      </c>
      <c r="E256" s="9" t="s">
        <v>14</v>
      </c>
      <c r="F256" s="9" t="s">
        <v>14</v>
      </c>
      <c r="G256" s="9"/>
      <c r="H256" s="9"/>
      <c r="I256" s="9" t="s">
        <v>14</v>
      </c>
    </row>
    <row r="257" spans="1:9" x14ac:dyDescent="0.25">
      <c r="A257" s="7" t="s">
        <v>353</v>
      </c>
      <c r="B257" s="7" t="s">
        <v>357</v>
      </c>
      <c r="C257" s="8" t="s">
        <v>354</v>
      </c>
      <c r="D257" s="8" t="s">
        <v>28</v>
      </c>
      <c r="E257" s="9" t="s">
        <v>14</v>
      </c>
      <c r="F257" s="9" t="s">
        <v>14</v>
      </c>
      <c r="G257" s="9"/>
      <c r="H257" s="9"/>
      <c r="I257" s="9" t="s">
        <v>14</v>
      </c>
    </row>
    <row r="258" spans="1:9" x14ac:dyDescent="0.25">
      <c r="A258" s="7" t="s">
        <v>353</v>
      </c>
      <c r="B258" s="7" t="s">
        <v>357</v>
      </c>
      <c r="C258" s="8" t="s">
        <v>354</v>
      </c>
      <c r="D258" s="8" t="s">
        <v>46</v>
      </c>
      <c r="E258" s="9" t="s">
        <v>14</v>
      </c>
      <c r="F258" s="9" t="s">
        <v>14</v>
      </c>
      <c r="G258" s="9"/>
      <c r="H258" s="9"/>
      <c r="I258" s="9" t="s">
        <v>14</v>
      </c>
    </row>
    <row r="259" spans="1:9" x14ac:dyDescent="0.25">
      <c r="A259" s="7" t="s">
        <v>353</v>
      </c>
      <c r="B259" s="7" t="s">
        <v>358</v>
      </c>
      <c r="C259" s="8" t="s">
        <v>354</v>
      </c>
      <c r="D259" s="8" t="s">
        <v>272</v>
      </c>
      <c r="E259" s="9" t="s">
        <v>14</v>
      </c>
      <c r="F259" s="9" t="s">
        <v>14</v>
      </c>
      <c r="G259" s="9"/>
      <c r="H259" s="9"/>
      <c r="I259" s="9" t="s">
        <v>14</v>
      </c>
    </row>
    <row r="260" spans="1:9" x14ac:dyDescent="0.25">
      <c r="A260" s="7" t="s">
        <v>353</v>
      </c>
      <c r="B260" s="7" t="s">
        <v>359</v>
      </c>
      <c r="C260" s="8" t="s">
        <v>354</v>
      </c>
      <c r="D260" s="8" t="s">
        <v>98</v>
      </c>
      <c r="E260" s="9" t="s">
        <v>14</v>
      </c>
      <c r="F260" s="9" t="s">
        <v>14</v>
      </c>
      <c r="G260" s="9"/>
      <c r="H260" s="9"/>
      <c r="I260" s="9" t="s">
        <v>14</v>
      </c>
    </row>
    <row r="261" spans="1:9" x14ac:dyDescent="0.25">
      <c r="A261" s="7" t="s">
        <v>353</v>
      </c>
      <c r="B261" s="7" t="s">
        <v>360</v>
      </c>
      <c r="C261" s="8" t="s">
        <v>354</v>
      </c>
      <c r="D261" s="8" t="s">
        <v>238</v>
      </c>
      <c r="E261" s="9" t="s">
        <v>14</v>
      </c>
      <c r="F261" s="9" t="s">
        <v>14</v>
      </c>
      <c r="G261" s="9"/>
      <c r="H261" s="9"/>
      <c r="I261" s="9" t="s">
        <v>14</v>
      </c>
    </row>
    <row r="262" spans="1:9" x14ac:dyDescent="0.25">
      <c r="A262" s="7" t="s">
        <v>353</v>
      </c>
      <c r="B262" s="7" t="s">
        <v>361</v>
      </c>
      <c r="C262" s="7" t="s">
        <v>354</v>
      </c>
      <c r="D262" s="8" t="s">
        <v>97</v>
      </c>
      <c r="E262" s="9" t="s">
        <v>14</v>
      </c>
      <c r="F262" s="9" t="s">
        <v>14</v>
      </c>
      <c r="G262" s="9"/>
      <c r="H262" s="9"/>
      <c r="I262" s="9" t="s">
        <v>14</v>
      </c>
    </row>
    <row r="263" spans="1:9" x14ac:dyDescent="0.25">
      <c r="A263" s="7" t="s">
        <v>353</v>
      </c>
      <c r="B263" s="7" t="s">
        <v>362</v>
      </c>
      <c r="C263" s="8" t="s">
        <v>354</v>
      </c>
      <c r="D263" s="8" t="s">
        <v>363</v>
      </c>
      <c r="E263" s="9" t="s">
        <v>14</v>
      </c>
      <c r="F263" s="9" t="s">
        <v>14</v>
      </c>
      <c r="G263" s="9"/>
      <c r="H263" s="9"/>
      <c r="I263" s="9" t="s">
        <v>14</v>
      </c>
    </row>
    <row r="264" spans="1:9" x14ac:dyDescent="0.25">
      <c r="A264" s="7" t="s">
        <v>353</v>
      </c>
      <c r="B264" s="7" t="s">
        <v>364</v>
      </c>
      <c r="C264" s="8" t="s">
        <v>354</v>
      </c>
      <c r="D264" s="8" t="s">
        <v>118</v>
      </c>
      <c r="E264" s="9" t="s">
        <v>14</v>
      </c>
      <c r="F264" s="9" t="s">
        <v>14</v>
      </c>
      <c r="G264" s="9"/>
      <c r="H264" s="9"/>
      <c r="I264" s="9" t="s">
        <v>14</v>
      </c>
    </row>
    <row r="265" spans="1:9" x14ac:dyDescent="0.25">
      <c r="A265" s="7" t="s">
        <v>353</v>
      </c>
      <c r="B265" s="7" t="s">
        <v>365</v>
      </c>
      <c r="C265" s="8" t="s">
        <v>354</v>
      </c>
      <c r="D265" s="8" t="s">
        <v>366</v>
      </c>
      <c r="E265" s="9" t="s">
        <v>14</v>
      </c>
      <c r="F265" s="9" t="s">
        <v>14</v>
      </c>
      <c r="G265" s="9"/>
      <c r="H265" s="9"/>
      <c r="I265" s="9" t="s">
        <v>14</v>
      </c>
    </row>
    <row r="266" spans="1:9" x14ac:dyDescent="0.25">
      <c r="A266" s="7" t="s">
        <v>353</v>
      </c>
      <c r="B266" s="7" t="s">
        <v>367</v>
      </c>
      <c r="C266" s="8" t="s">
        <v>354</v>
      </c>
      <c r="D266" s="8" t="s">
        <v>16</v>
      </c>
      <c r="E266" s="9" t="s">
        <v>14</v>
      </c>
      <c r="F266" s="9" t="s">
        <v>14</v>
      </c>
      <c r="G266" s="9"/>
      <c r="H266" s="9"/>
      <c r="I266" s="9" t="s">
        <v>14</v>
      </c>
    </row>
    <row r="267" spans="1:9" x14ac:dyDescent="0.25">
      <c r="A267" s="7" t="s">
        <v>353</v>
      </c>
      <c r="B267" s="7" t="s">
        <v>367</v>
      </c>
      <c r="C267" s="8" t="s">
        <v>354</v>
      </c>
      <c r="D267" s="8" t="s">
        <v>20</v>
      </c>
      <c r="E267" s="9" t="s">
        <v>14</v>
      </c>
      <c r="F267" s="9" t="s">
        <v>14</v>
      </c>
      <c r="G267" s="9"/>
      <c r="H267" s="9"/>
      <c r="I267" s="9" t="s">
        <v>14</v>
      </c>
    </row>
    <row r="268" spans="1:9" x14ac:dyDescent="0.25">
      <c r="A268" s="7" t="s">
        <v>353</v>
      </c>
      <c r="B268" s="7" t="s">
        <v>368</v>
      </c>
      <c r="C268" s="8" t="s">
        <v>354</v>
      </c>
      <c r="D268" s="8" t="s">
        <v>241</v>
      </c>
      <c r="E268" s="9" t="s">
        <v>14</v>
      </c>
      <c r="F268" s="9" t="s">
        <v>14</v>
      </c>
      <c r="G268" s="9"/>
      <c r="H268" s="9"/>
      <c r="I268" s="9" t="s">
        <v>14</v>
      </c>
    </row>
    <row r="269" spans="1:9" x14ac:dyDescent="0.25">
      <c r="A269" s="7" t="s">
        <v>353</v>
      </c>
      <c r="B269" s="7" t="s">
        <v>369</v>
      </c>
      <c r="C269" s="7" t="s">
        <v>354</v>
      </c>
      <c r="D269" s="8" t="s">
        <v>108</v>
      </c>
      <c r="E269" s="9" t="s">
        <v>14</v>
      </c>
      <c r="F269" s="9" t="s">
        <v>14</v>
      </c>
      <c r="G269" s="9"/>
      <c r="H269" s="9"/>
      <c r="I269" s="9" t="s">
        <v>14</v>
      </c>
    </row>
    <row r="270" spans="1:9" x14ac:dyDescent="0.25">
      <c r="A270" s="7" t="s">
        <v>353</v>
      </c>
      <c r="B270" s="7" t="s">
        <v>370</v>
      </c>
      <c r="C270" s="7" t="s">
        <v>354</v>
      </c>
      <c r="D270" s="8" t="s">
        <v>371</v>
      </c>
      <c r="E270" s="9" t="s">
        <v>14</v>
      </c>
      <c r="F270" s="9" t="s">
        <v>14</v>
      </c>
      <c r="G270" s="9"/>
      <c r="H270" s="9"/>
      <c r="I270" s="9" t="s">
        <v>14</v>
      </c>
    </row>
    <row r="271" spans="1:9" x14ac:dyDescent="0.25">
      <c r="A271" s="7" t="s">
        <v>353</v>
      </c>
      <c r="B271" s="7" t="s">
        <v>372</v>
      </c>
      <c r="C271" s="7" t="s">
        <v>354</v>
      </c>
      <c r="D271" s="8" t="s">
        <v>317</v>
      </c>
      <c r="E271" s="9" t="s">
        <v>14</v>
      </c>
      <c r="F271" s="9" t="s">
        <v>14</v>
      </c>
      <c r="G271" s="9"/>
      <c r="H271" s="9"/>
      <c r="I271" s="9" t="s">
        <v>14</v>
      </c>
    </row>
    <row r="272" spans="1:9" x14ac:dyDescent="0.25">
      <c r="A272" s="7" t="s">
        <v>353</v>
      </c>
      <c r="B272" s="7" t="s">
        <v>373</v>
      </c>
      <c r="C272" s="7" t="s">
        <v>354</v>
      </c>
      <c r="D272" s="8" t="s">
        <v>307</v>
      </c>
      <c r="E272" s="9" t="s">
        <v>14</v>
      </c>
      <c r="F272" s="9" t="s">
        <v>14</v>
      </c>
      <c r="G272" s="9"/>
      <c r="H272" s="9"/>
      <c r="I272" s="9" t="s">
        <v>14</v>
      </c>
    </row>
    <row r="273" spans="1:9" x14ac:dyDescent="0.25">
      <c r="A273" s="7" t="s">
        <v>353</v>
      </c>
      <c r="B273" s="7" t="s">
        <v>374</v>
      </c>
      <c r="C273" s="7" t="s">
        <v>354</v>
      </c>
      <c r="D273" s="8" t="s">
        <v>258</v>
      </c>
      <c r="E273" s="9" t="s">
        <v>14</v>
      </c>
      <c r="F273" s="9" t="s">
        <v>14</v>
      </c>
      <c r="G273" s="9"/>
      <c r="H273" s="9"/>
      <c r="I273" s="9" t="s">
        <v>14</v>
      </c>
    </row>
    <row r="274" spans="1:9" x14ac:dyDescent="0.25">
      <c r="A274" s="7" t="s">
        <v>375</v>
      </c>
      <c r="B274" s="7" t="s">
        <v>375</v>
      </c>
      <c r="C274" s="8" t="s">
        <v>376</v>
      </c>
      <c r="D274" s="8" t="s">
        <v>39</v>
      </c>
      <c r="E274" s="9" t="s">
        <v>14</v>
      </c>
      <c r="F274" s="9"/>
      <c r="G274" s="9"/>
      <c r="H274" s="9"/>
      <c r="I274" s="9"/>
    </row>
    <row r="275" spans="1:9" x14ac:dyDescent="0.25">
      <c r="A275" s="7" t="s">
        <v>375</v>
      </c>
      <c r="B275" s="7" t="s">
        <v>375</v>
      </c>
      <c r="C275" s="8" t="s">
        <v>376</v>
      </c>
      <c r="D275" s="8" t="s">
        <v>122</v>
      </c>
      <c r="E275" s="9" t="s">
        <v>14</v>
      </c>
      <c r="F275" s="9"/>
      <c r="G275" s="9"/>
      <c r="H275" s="9"/>
      <c r="I275" s="9"/>
    </row>
    <row r="276" spans="1:9" x14ac:dyDescent="0.25">
      <c r="A276" s="7" t="s">
        <v>375</v>
      </c>
      <c r="B276" s="7" t="s">
        <v>375</v>
      </c>
      <c r="C276" s="8" t="s">
        <v>376</v>
      </c>
      <c r="D276" s="8" t="s">
        <v>13</v>
      </c>
      <c r="E276" s="9" t="s">
        <v>14</v>
      </c>
      <c r="F276" s="9"/>
      <c r="G276" s="9"/>
      <c r="H276" s="9"/>
      <c r="I276" s="9"/>
    </row>
    <row r="277" spans="1:9" x14ac:dyDescent="0.25">
      <c r="A277" s="7" t="s">
        <v>375</v>
      </c>
      <c r="B277" s="7" t="s">
        <v>375</v>
      </c>
      <c r="C277" s="8" t="s">
        <v>376</v>
      </c>
      <c r="D277" s="8" t="s">
        <v>22</v>
      </c>
      <c r="E277" s="9" t="s">
        <v>14</v>
      </c>
      <c r="F277" s="9"/>
      <c r="G277" s="9"/>
      <c r="H277" s="9"/>
      <c r="I277" s="9"/>
    </row>
    <row r="278" spans="1:9" x14ac:dyDescent="0.25">
      <c r="A278" s="7" t="s">
        <v>375</v>
      </c>
      <c r="B278" s="7" t="s">
        <v>377</v>
      </c>
      <c r="C278" s="8" t="s">
        <v>376</v>
      </c>
      <c r="D278" s="8" t="s">
        <v>238</v>
      </c>
      <c r="E278" s="9" t="s">
        <v>14</v>
      </c>
      <c r="F278" s="9"/>
      <c r="G278" s="9"/>
      <c r="H278" s="9"/>
      <c r="I278" s="9"/>
    </row>
    <row r="279" spans="1:9" x14ac:dyDescent="0.25">
      <c r="A279" s="7" t="s">
        <v>375</v>
      </c>
      <c r="B279" s="7" t="s">
        <v>377</v>
      </c>
      <c r="C279" s="8" t="s">
        <v>376</v>
      </c>
      <c r="D279" s="8" t="s">
        <v>272</v>
      </c>
      <c r="E279" s="9" t="s">
        <v>14</v>
      </c>
      <c r="F279" s="9"/>
      <c r="G279" s="9"/>
      <c r="H279" s="9"/>
      <c r="I279" s="9"/>
    </row>
    <row r="280" spans="1:9" x14ac:dyDescent="0.25">
      <c r="A280" s="7" t="s">
        <v>375</v>
      </c>
      <c r="B280" s="7" t="s">
        <v>378</v>
      </c>
      <c r="C280" s="8" t="s">
        <v>376</v>
      </c>
      <c r="D280" s="8" t="s">
        <v>106</v>
      </c>
      <c r="E280" s="9" t="s">
        <v>14</v>
      </c>
      <c r="F280" s="9"/>
      <c r="G280" s="9"/>
      <c r="H280" s="9"/>
      <c r="I280" s="9"/>
    </row>
    <row r="281" spans="1:9" x14ac:dyDescent="0.25">
      <c r="A281" s="7" t="s">
        <v>375</v>
      </c>
      <c r="B281" s="7" t="s">
        <v>378</v>
      </c>
      <c r="C281" s="7" t="s">
        <v>376</v>
      </c>
      <c r="D281" s="8" t="s">
        <v>78</v>
      </c>
      <c r="E281" s="9" t="s">
        <v>14</v>
      </c>
      <c r="F281" s="9"/>
      <c r="G281" s="9"/>
      <c r="H281" s="9"/>
      <c r="I281" s="9"/>
    </row>
    <row r="282" spans="1:9" x14ac:dyDescent="0.25">
      <c r="A282" s="7" t="s">
        <v>375</v>
      </c>
      <c r="B282" s="7" t="s">
        <v>379</v>
      </c>
      <c r="C282" s="7" t="s">
        <v>376</v>
      </c>
      <c r="D282" s="8" t="s">
        <v>275</v>
      </c>
      <c r="E282" s="9" t="s">
        <v>14</v>
      </c>
      <c r="F282" s="9"/>
      <c r="G282" s="9"/>
      <c r="H282" s="9"/>
      <c r="I282" s="9"/>
    </row>
    <row r="283" spans="1:9" x14ac:dyDescent="0.25">
      <c r="A283" s="7" t="s">
        <v>375</v>
      </c>
      <c r="B283" s="7" t="s">
        <v>380</v>
      </c>
      <c r="C283" s="7" t="s">
        <v>376</v>
      </c>
      <c r="D283" s="8" t="s">
        <v>112</v>
      </c>
      <c r="E283" s="9" t="s">
        <v>14</v>
      </c>
      <c r="F283" s="9" t="s">
        <v>14</v>
      </c>
      <c r="G283" s="9"/>
      <c r="H283" s="9"/>
      <c r="I283" s="9" t="s">
        <v>14</v>
      </c>
    </row>
    <row r="284" spans="1:9" x14ac:dyDescent="0.25">
      <c r="A284" s="7" t="s">
        <v>375</v>
      </c>
      <c r="B284" s="7" t="s">
        <v>381</v>
      </c>
      <c r="C284" s="8" t="s">
        <v>376</v>
      </c>
      <c r="D284" s="8" t="s">
        <v>363</v>
      </c>
      <c r="E284" s="9" t="s">
        <v>14</v>
      </c>
      <c r="F284" s="9" t="s">
        <v>14</v>
      </c>
      <c r="G284" s="9"/>
      <c r="H284" s="9"/>
      <c r="I284" s="9" t="s">
        <v>14</v>
      </c>
    </row>
    <row r="285" spans="1:9" x14ac:dyDescent="0.25">
      <c r="A285" s="7" t="s">
        <v>375</v>
      </c>
      <c r="B285" s="7" t="s">
        <v>382</v>
      </c>
      <c r="C285" s="8" t="s">
        <v>376</v>
      </c>
      <c r="D285" s="8" t="s">
        <v>329</v>
      </c>
      <c r="E285" s="9" t="s">
        <v>14</v>
      </c>
      <c r="F285" s="9" t="s">
        <v>14</v>
      </c>
      <c r="G285" s="9"/>
      <c r="H285" s="9"/>
      <c r="I285" s="9" t="s">
        <v>14</v>
      </c>
    </row>
    <row r="286" spans="1:9" x14ac:dyDescent="0.25">
      <c r="A286" s="7" t="s">
        <v>375</v>
      </c>
      <c r="B286" s="7" t="s">
        <v>383</v>
      </c>
      <c r="C286" s="8" t="s">
        <v>376</v>
      </c>
      <c r="D286" s="8" t="s">
        <v>241</v>
      </c>
      <c r="E286" s="9" t="s">
        <v>14</v>
      </c>
      <c r="F286" s="9" t="s">
        <v>14</v>
      </c>
      <c r="G286" s="9"/>
      <c r="H286" s="9"/>
      <c r="I286" s="9" t="s">
        <v>14</v>
      </c>
    </row>
    <row r="287" spans="1:9" x14ac:dyDescent="0.25">
      <c r="A287" s="7" t="s">
        <v>375</v>
      </c>
      <c r="B287" s="7" t="s">
        <v>384</v>
      </c>
      <c r="C287" s="8" t="s">
        <v>376</v>
      </c>
      <c r="D287" s="8" t="s">
        <v>34</v>
      </c>
      <c r="E287" s="9" t="s">
        <v>14</v>
      </c>
      <c r="F287" s="9"/>
      <c r="G287" s="9"/>
      <c r="H287" s="9"/>
      <c r="I287" s="9"/>
    </row>
    <row r="288" spans="1:9" x14ac:dyDescent="0.25">
      <c r="A288" s="7" t="s">
        <v>375</v>
      </c>
      <c r="B288" s="7" t="s">
        <v>384</v>
      </c>
      <c r="C288" s="8" t="s">
        <v>376</v>
      </c>
      <c r="D288" s="8" t="s">
        <v>73</v>
      </c>
      <c r="E288" s="9" t="s">
        <v>14</v>
      </c>
      <c r="F288" s="9"/>
      <c r="G288" s="9"/>
      <c r="H288" s="9"/>
      <c r="I288" s="9"/>
    </row>
    <row r="289" spans="1:9" x14ac:dyDescent="0.25">
      <c r="A289" s="7" t="s">
        <v>375</v>
      </c>
      <c r="B289" s="7" t="s">
        <v>385</v>
      </c>
      <c r="C289" s="8" t="s">
        <v>376</v>
      </c>
      <c r="D289" s="8" t="s">
        <v>371</v>
      </c>
      <c r="E289" s="9" t="s">
        <v>14</v>
      </c>
      <c r="F289" s="9"/>
      <c r="G289" s="9"/>
      <c r="H289" s="9"/>
      <c r="I289" s="9"/>
    </row>
    <row r="290" spans="1:9" x14ac:dyDescent="0.25">
      <c r="A290" s="7" t="s">
        <v>375</v>
      </c>
      <c r="B290" s="7" t="s">
        <v>386</v>
      </c>
      <c r="C290" s="8" t="s">
        <v>376</v>
      </c>
      <c r="D290" s="8" t="s">
        <v>183</v>
      </c>
      <c r="E290" s="9" t="s">
        <v>14</v>
      </c>
      <c r="F290" s="9" t="s">
        <v>14</v>
      </c>
      <c r="G290" s="9"/>
      <c r="H290" s="9"/>
      <c r="I290" s="9" t="s">
        <v>14</v>
      </c>
    </row>
    <row r="291" spans="1:9" x14ac:dyDescent="0.25">
      <c r="A291" s="7" t="s">
        <v>375</v>
      </c>
      <c r="B291" s="7" t="s">
        <v>387</v>
      </c>
      <c r="C291" s="8" t="s">
        <v>376</v>
      </c>
      <c r="D291" s="8" t="s">
        <v>177</v>
      </c>
      <c r="E291" s="9" t="s">
        <v>14</v>
      </c>
      <c r="F291" s="9" t="s">
        <v>14</v>
      </c>
      <c r="G291" s="9"/>
      <c r="H291" s="9"/>
      <c r="I291" s="9" t="s">
        <v>14</v>
      </c>
    </row>
    <row r="292" spans="1:9" x14ac:dyDescent="0.25">
      <c r="A292" s="7" t="s">
        <v>388</v>
      </c>
      <c r="B292" s="7" t="s">
        <v>384</v>
      </c>
      <c r="C292" s="7" t="s">
        <v>389</v>
      </c>
      <c r="D292" s="8" t="s">
        <v>53</v>
      </c>
      <c r="E292" s="9" t="s">
        <v>14</v>
      </c>
      <c r="F292" s="9"/>
      <c r="G292" s="9"/>
      <c r="H292" s="9"/>
      <c r="I292" s="9"/>
    </row>
    <row r="293" spans="1:9" x14ac:dyDescent="0.25">
      <c r="A293" s="7" t="s">
        <v>388</v>
      </c>
      <c r="B293" s="7" t="s">
        <v>384</v>
      </c>
      <c r="C293" s="7" t="s">
        <v>389</v>
      </c>
      <c r="D293" s="8" t="s">
        <v>48</v>
      </c>
      <c r="E293" s="9" t="s">
        <v>14</v>
      </c>
      <c r="F293" s="9"/>
      <c r="G293" s="9"/>
      <c r="H293" s="9"/>
      <c r="I293" s="9"/>
    </row>
    <row r="294" spans="1:9" x14ac:dyDescent="0.25">
      <c r="A294" s="7" t="s">
        <v>388</v>
      </c>
      <c r="B294" s="7" t="s">
        <v>385</v>
      </c>
      <c r="C294" s="7" t="s">
        <v>389</v>
      </c>
      <c r="D294" s="8" t="s">
        <v>24</v>
      </c>
      <c r="E294" s="9" t="s">
        <v>14</v>
      </c>
      <c r="F294" s="9"/>
      <c r="G294" s="9"/>
      <c r="H294" s="9"/>
      <c r="I294" s="9"/>
    </row>
    <row r="295" spans="1:9" x14ac:dyDescent="0.25">
      <c r="A295" s="7" t="s">
        <v>390</v>
      </c>
      <c r="B295" s="7" t="s">
        <v>391</v>
      </c>
      <c r="C295" s="7" t="s">
        <v>392</v>
      </c>
      <c r="D295" s="8" t="s">
        <v>44</v>
      </c>
      <c r="E295" s="9" t="s">
        <v>14</v>
      </c>
      <c r="F295" s="9"/>
      <c r="G295" s="9"/>
      <c r="H295" s="9"/>
      <c r="I295" s="9"/>
    </row>
    <row r="296" spans="1:9" x14ac:dyDescent="0.25">
      <c r="A296" s="7" t="s">
        <v>390</v>
      </c>
      <c r="B296" s="7" t="s">
        <v>393</v>
      </c>
      <c r="C296" s="7" t="s">
        <v>392</v>
      </c>
      <c r="D296" s="8" t="s">
        <v>113</v>
      </c>
      <c r="E296" s="9" t="s">
        <v>14</v>
      </c>
      <c r="F296" s="9"/>
      <c r="G296" s="9"/>
      <c r="H296" s="9"/>
      <c r="I296" s="9"/>
    </row>
    <row r="297" spans="1:9" x14ac:dyDescent="0.25">
      <c r="A297" s="7" t="s">
        <v>394</v>
      </c>
      <c r="B297" s="7" t="s">
        <v>394</v>
      </c>
      <c r="C297" s="7" t="s">
        <v>395</v>
      </c>
      <c r="D297" s="8" t="s">
        <v>52</v>
      </c>
      <c r="E297" s="9" t="s">
        <v>14</v>
      </c>
      <c r="F297" s="9"/>
      <c r="G297" s="9" t="s">
        <v>14</v>
      </c>
      <c r="H297" s="9"/>
      <c r="I297" s="9" t="s">
        <v>14</v>
      </c>
    </row>
    <row r="298" spans="1:9" x14ac:dyDescent="0.25">
      <c r="A298" s="7" t="s">
        <v>394</v>
      </c>
      <c r="B298" s="7" t="s">
        <v>394</v>
      </c>
      <c r="C298" s="7" t="s">
        <v>395</v>
      </c>
      <c r="D298" s="8" t="s">
        <v>195</v>
      </c>
      <c r="E298" s="9" t="s">
        <v>14</v>
      </c>
      <c r="F298" s="9"/>
      <c r="G298" s="9" t="s">
        <v>14</v>
      </c>
      <c r="H298" s="9"/>
      <c r="I298" s="9" t="s">
        <v>14</v>
      </c>
    </row>
    <row r="299" spans="1:9" x14ac:dyDescent="0.25">
      <c r="A299" s="7" t="s">
        <v>394</v>
      </c>
      <c r="B299" s="7" t="s">
        <v>396</v>
      </c>
      <c r="C299" s="7" t="s">
        <v>395</v>
      </c>
      <c r="D299" s="8" t="s">
        <v>397</v>
      </c>
      <c r="E299" s="9" t="s">
        <v>14</v>
      </c>
      <c r="F299" s="9"/>
      <c r="G299" s="9" t="s">
        <v>14</v>
      </c>
      <c r="H299" s="9"/>
      <c r="I299" s="9" t="s">
        <v>14</v>
      </c>
    </row>
    <row r="300" spans="1:9" x14ac:dyDescent="0.25">
      <c r="A300" s="7" t="s">
        <v>394</v>
      </c>
      <c r="B300" s="7" t="s">
        <v>398</v>
      </c>
      <c r="C300" s="7" t="s">
        <v>395</v>
      </c>
      <c r="D300" s="8" t="s">
        <v>399</v>
      </c>
      <c r="E300" s="9" t="s">
        <v>14</v>
      </c>
      <c r="F300" s="9"/>
      <c r="G300" s="9" t="s">
        <v>14</v>
      </c>
      <c r="H300" s="9"/>
      <c r="I300" s="9" t="s">
        <v>14</v>
      </c>
    </row>
    <row r="301" spans="1:9" x14ac:dyDescent="0.25">
      <c r="A301" s="7" t="s">
        <v>394</v>
      </c>
      <c r="B301" s="7" t="s">
        <v>400</v>
      </c>
      <c r="C301" s="8" t="s">
        <v>395</v>
      </c>
      <c r="D301" s="8" t="s">
        <v>401</v>
      </c>
      <c r="E301" s="9" t="s">
        <v>14</v>
      </c>
      <c r="F301" s="9"/>
      <c r="G301" s="9" t="s">
        <v>14</v>
      </c>
      <c r="H301" s="9"/>
      <c r="I301" s="9" t="s">
        <v>14</v>
      </c>
    </row>
    <row r="302" spans="1:9" x14ac:dyDescent="0.25">
      <c r="A302" s="7" t="s">
        <v>394</v>
      </c>
      <c r="B302" s="7" t="s">
        <v>400</v>
      </c>
      <c r="C302" s="8" t="s">
        <v>395</v>
      </c>
      <c r="D302" s="8" t="s">
        <v>402</v>
      </c>
      <c r="E302" s="9" t="s">
        <v>14</v>
      </c>
      <c r="F302" s="9"/>
      <c r="G302" s="9" t="s">
        <v>14</v>
      </c>
      <c r="H302" s="9"/>
      <c r="I302" s="9" t="s">
        <v>14</v>
      </c>
    </row>
    <row r="303" spans="1:9" x14ac:dyDescent="0.25">
      <c r="A303" s="7" t="s">
        <v>394</v>
      </c>
      <c r="B303" s="7" t="s">
        <v>403</v>
      </c>
      <c r="C303" s="7" t="s">
        <v>395</v>
      </c>
      <c r="D303" s="8" t="s">
        <v>50</v>
      </c>
      <c r="E303" s="9" t="s">
        <v>14</v>
      </c>
      <c r="F303" s="9"/>
      <c r="G303" s="9" t="s">
        <v>14</v>
      </c>
      <c r="H303" s="9"/>
      <c r="I303" s="9" t="s">
        <v>14</v>
      </c>
    </row>
    <row r="304" spans="1:9" x14ac:dyDescent="0.25">
      <c r="A304" s="7" t="s">
        <v>394</v>
      </c>
      <c r="B304" s="7" t="s">
        <v>404</v>
      </c>
      <c r="C304" s="7" t="s">
        <v>395</v>
      </c>
      <c r="D304" s="8" t="s">
        <v>405</v>
      </c>
      <c r="E304" s="9" t="s">
        <v>14</v>
      </c>
      <c r="F304" s="9"/>
      <c r="G304" s="9" t="s">
        <v>14</v>
      </c>
      <c r="H304" s="9"/>
      <c r="I304" s="9" t="s">
        <v>14</v>
      </c>
    </row>
    <row r="305" spans="1:9" x14ac:dyDescent="0.25">
      <c r="A305" s="7" t="s">
        <v>394</v>
      </c>
      <c r="B305" s="7" t="s">
        <v>406</v>
      </c>
      <c r="C305" s="8" t="s">
        <v>395</v>
      </c>
      <c r="D305" s="8" t="s">
        <v>407</v>
      </c>
      <c r="E305" s="9" t="s">
        <v>14</v>
      </c>
      <c r="F305" s="9"/>
      <c r="G305" s="9" t="s">
        <v>14</v>
      </c>
      <c r="H305" s="9"/>
      <c r="I305" s="9" t="s">
        <v>14</v>
      </c>
    </row>
    <row r="306" spans="1:9" x14ac:dyDescent="0.25">
      <c r="A306" s="7" t="s">
        <v>394</v>
      </c>
      <c r="B306" s="7" t="s">
        <v>408</v>
      </c>
      <c r="C306" s="8" t="s">
        <v>395</v>
      </c>
      <c r="D306" s="8" t="s">
        <v>39</v>
      </c>
      <c r="E306" s="9" t="s">
        <v>14</v>
      </c>
      <c r="F306" s="9"/>
      <c r="G306" s="9" t="s">
        <v>14</v>
      </c>
      <c r="H306" s="9"/>
      <c r="I306" s="9" t="s">
        <v>14</v>
      </c>
    </row>
    <row r="307" spans="1:9" x14ac:dyDescent="0.25">
      <c r="A307" s="7" t="s">
        <v>394</v>
      </c>
      <c r="B307" s="7" t="s">
        <v>409</v>
      </c>
      <c r="C307" s="7" t="s">
        <v>395</v>
      </c>
      <c r="D307" s="8" t="s">
        <v>410</v>
      </c>
      <c r="E307" s="9" t="s">
        <v>14</v>
      </c>
      <c r="F307" s="9" t="s">
        <v>14</v>
      </c>
      <c r="G307" s="9"/>
      <c r="H307" s="9"/>
      <c r="I307" s="9" t="s">
        <v>14</v>
      </c>
    </row>
    <row r="308" spans="1:9" x14ac:dyDescent="0.25">
      <c r="A308" s="7" t="s">
        <v>394</v>
      </c>
      <c r="B308" s="7" t="s">
        <v>411</v>
      </c>
      <c r="C308" s="8" t="s">
        <v>395</v>
      </c>
      <c r="D308" s="8" t="s">
        <v>108</v>
      </c>
      <c r="E308" s="9" t="s">
        <v>14</v>
      </c>
      <c r="F308" s="9" t="s">
        <v>14</v>
      </c>
      <c r="G308" s="9"/>
      <c r="H308" s="9"/>
      <c r="I308" s="9" t="s">
        <v>14</v>
      </c>
    </row>
    <row r="309" spans="1:9" x14ac:dyDescent="0.25">
      <c r="A309" s="7" t="s">
        <v>394</v>
      </c>
      <c r="B309" s="7" t="s">
        <v>412</v>
      </c>
      <c r="C309" s="7" t="s">
        <v>395</v>
      </c>
      <c r="D309" s="8" t="s">
        <v>29</v>
      </c>
      <c r="E309" s="9" t="s">
        <v>14</v>
      </c>
      <c r="F309" s="9"/>
      <c r="G309" s="9" t="s">
        <v>14</v>
      </c>
      <c r="H309" s="9"/>
      <c r="I309" s="9" t="s">
        <v>14</v>
      </c>
    </row>
    <row r="310" spans="1:9" x14ac:dyDescent="0.25">
      <c r="A310" s="7" t="s">
        <v>394</v>
      </c>
      <c r="B310" s="7" t="s">
        <v>413</v>
      </c>
      <c r="C310" s="7" t="s">
        <v>395</v>
      </c>
      <c r="D310" s="8" t="s">
        <v>414</v>
      </c>
      <c r="E310" s="9" t="s">
        <v>14</v>
      </c>
      <c r="F310" s="9"/>
      <c r="G310" s="9" t="s">
        <v>14</v>
      </c>
      <c r="H310" s="9"/>
      <c r="I310" s="9" t="s">
        <v>14</v>
      </c>
    </row>
    <row r="311" spans="1:9" x14ac:dyDescent="0.25">
      <c r="A311" s="7" t="s">
        <v>394</v>
      </c>
      <c r="B311" s="7" t="s">
        <v>415</v>
      </c>
      <c r="C311" s="7" t="s">
        <v>395</v>
      </c>
      <c r="D311" s="8" t="s">
        <v>20</v>
      </c>
      <c r="E311" s="9" t="s">
        <v>14</v>
      </c>
      <c r="F311" s="9"/>
      <c r="G311" s="9" t="s">
        <v>14</v>
      </c>
      <c r="H311" s="9"/>
      <c r="I311" s="9" t="s">
        <v>14</v>
      </c>
    </row>
    <row r="312" spans="1:9" x14ac:dyDescent="0.25">
      <c r="A312" s="7" t="s">
        <v>394</v>
      </c>
      <c r="B312" s="7" t="s">
        <v>416</v>
      </c>
      <c r="C312" s="7" t="s">
        <v>395</v>
      </c>
      <c r="D312" s="8" t="s">
        <v>417</v>
      </c>
      <c r="E312" s="9" t="s">
        <v>14</v>
      </c>
      <c r="F312" s="9"/>
      <c r="G312" s="9" t="s">
        <v>14</v>
      </c>
      <c r="H312" s="9"/>
      <c r="I312" s="9" t="s">
        <v>14</v>
      </c>
    </row>
    <row r="313" spans="1:9" x14ac:dyDescent="0.25">
      <c r="A313" s="7" t="s">
        <v>394</v>
      </c>
      <c r="B313" s="7" t="s">
        <v>418</v>
      </c>
      <c r="C313" s="7" t="s">
        <v>395</v>
      </c>
      <c r="D313" s="8" t="s">
        <v>24</v>
      </c>
      <c r="E313" s="9" t="s">
        <v>14</v>
      </c>
      <c r="F313" s="9"/>
      <c r="G313" s="9" t="s">
        <v>14</v>
      </c>
      <c r="H313" s="9"/>
      <c r="I313" s="9" t="s">
        <v>14</v>
      </c>
    </row>
    <row r="314" spans="1:9" x14ac:dyDescent="0.25">
      <c r="A314" s="7" t="s">
        <v>394</v>
      </c>
      <c r="B314" s="7" t="s">
        <v>419</v>
      </c>
      <c r="C314" s="8" t="s">
        <v>395</v>
      </c>
      <c r="D314" s="8" t="s">
        <v>420</v>
      </c>
      <c r="E314" s="9" t="s">
        <v>14</v>
      </c>
      <c r="F314" s="9"/>
      <c r="G314" s="9" t="s">
        <v>14</v>
      </c>
      <c r="H314" s="9"/>
      <c r="I314" s="9" t="s">
        <v>14</v>
      </c>
    </row>
    <row r="315" spans="1:9" x14ac:dyDescent="0.25">
      <c r="A315" s="7" t="s">
        <v>394</v>
      </c>
      <c r="B315" s="7" t="s">
        <v>421</v>
      </c>
      <c r="C315" s="7" t="s">
        <v>395</v>
      </c>
      <c r="D315" s="8" t="s">
        <v>50</v>
      </c>
      <c r="E315" s="9" t="s">
        <v>14</v>
      </c>
      <c r="F315" s="9"/>
      <c r="G315" s="9" t="s">
        <v>14</v>
      </c>
      <c r="H315" s="9"/>
      <c r="I315" s="9" t="s">
        <v>14</v>
      </c>
    </row>
    <row r="316" spans="1:9" x14ac:dyDescent="0.25">
      <c r="A316" s="7" t="s">
        <v>394</v>
      </c>
      <c r="B316" s="7" t="s">
        <v>422</v>
      </c>
      <c r="C316" s="8" t="s">
        <v>395</v>
      </c>
      <c r="D316" s="8" t="s">
        <v>32</v>
      </c>
      <c r="E316" s="9" t="s">
        <v>14</v>
      </c>
      <c r="F316" s="9"/>
      <c r="G316" s="9" t="s">
        <v>14</v>
      </c>
      <c r="H316" s="9"/>
      <c r="I316" s="9" t="s">
        <v>14</v>
      </c>
    </row>
    <row r="317" spans="1:9" x14ac:dyDescent="0.25">
      <c r="A317" s="7" t="s">
        <v>423</v>
      </c>
      <c r="B317" s="7" t="s">
        <v>423</v>
      </c>
      <c r="C317" s="8" t="s">
        <v>424</v>
      </c>
      <c r="D317" s="8" t="s">
        <v>60</v>
      </c>
      <c r="E317" s="9" t="s">
        <v>14</v>
      </c>
      <c r="F317" s="9"/>
      <c r="G317" s="9" t="s">
        <v>14</v>
      </c>
      <c r="H317" s="9"/>
      <c r="I317" s="9" t="s">
        <v>14</v>
      </c>
    </row>
    <row r="318" spans="1:9" x14ac:dyDescent="0.25">
      <c r="A318" s="7" t="s">
        <v>423</v>
      </c>
      <c r="B318" s="7" t="s">
        <v>425</v>
      </c>
      <c r="C318" s="8" t="s">
        <v>424</v>
      </c>
      <c r="D318" s="8" t="s">
        <v>36</v>
      </c>
      <c r="E318" s="9" t="s">
        <v>14</v>
      </c>
      <c r="F318" s="9"/>
      <c r="G318" s="9" t="s">
        <v>14</v>
      </c>
      <c r="H318" s="9"/>
      <c r="I318" s="9" t="s">
        <v>14</v>
      </c>
    </row>
    <row r="319" spans="1:9" x14ac:dyDescent="0.25">
      <c r="A319" s="7" t="s">
        <v>423</v>
      </c>
      <c r="B319" s="7" t="s">
        <v>426</v>
      </c>
      <c r="C319" s="8" t="s">
        <v>424</v>
      </c>
      <c r="D319" s="8" t="s">
        <v>43</v>
      </c>
      <c r="E319" s="9" t="s">
        <v>14</v>
      </c>
      <c r="F319" s="9"/>
      <c r="G319" s="9" t="s">
        <v>14</v>
      </c>
      <c r="H319" s="9"/>
      <c r="I319" s="9" t="s">
        <v>14</v>
      </c>
    </row>
    <row r="320" spans="1:9" x14ac:dyDescent="0.25">
      <c r="A320" s="7" t="s">
        <v>423</v>
      </c>
      <c r="B320" s="7" t="s">
        <v>427</v>
      </c>
      <c r="C320" s="8" t="s">
        <v>424</v>
      </c>
      <c r="D320" s="8" t="s">
        <v>29</v>
      </c>
      <c r="E320" s="9" t="s">
        <v>14</v>
      </c>
      <c r="F320" s="9"/>
      <c r="G320" s="9" t="s">
        <v>14</v>
      </c>
      <c r="H320" s="9"/>
      <c r="I320" s="9" t="s">
        <v>14</v>
      </c>
    </row>
    <row r="321" spans="1:9" x14ac:dyDescent="0.25">
      <c r="A321" s="7" t="s">
        <v>423</v>
      </c>
      <c r="B321" s="7" t="s">
        <v>428</v>
      </c>
      <c r="C321" s="8" t="s">
        <v>424</v>
      </c>
      <c r="D321" s="8" t="s">
        <v>18</v>
      </c>
      <c r="E321" s="9" t="s">
        <v>14</v>
      </c>
      <c r="F321" s="9"/>
      <c r="G321" s="9" t="s">
        <v>14</v>
      </c>
      <c r="H321" s="9"/>
      <c r="I321" s="9" t="s">
        <v>14</v>
      </c>
    </row>
    <row r="322" spans="1:9" x14ac:dyDescent="0.25">
      <c r="A322" s="7" t="s">
        <v>423</v>
      </c>
      <c r="B322" s="7" t="s">
        <v>429</v>
      </c>
      <c r="C322" s="8" t="s">
        <v>424</v>
      </c>
      <c r="D322" s="8" t="s">
        <v>122</v>
      </c>
      <c r="E322" s="9" t="s">
        <v>14</v>
      </c>
      <c r="F322" s="9"/>
      <c r="G322" s="9" t="s">
        <v>14</v>
      </c>
      <c r="H322" s="9"/>
      <c r="I322" s="9" t="s">
        <v>14</v>
      </c>
    </row>
    <row r="323" spans="1:9" x14ac:dyDescent="0.25">
      <c r="A323" s="7" t="s">
        <v>430</v>
      </c>
      <c r="B323" s="7" t="s">
        <v>430</v>
      </c>
      <c r="C323" s="8" t="s">
        <v>431</v>
      </c>
      <c r="D323" s="8" t="s">
        <v>44</v>
      </c>
      <c r="E323" s="9" t="s">
        <v>14</v>
      </c>
      <c r="F323" s="9"/>
      <c r="G323" s="9" t="s">
        <v>14</v>
      </c>
      <c r="H323" s="9"/>
      <c r="I323" s="9" t="s">
        <v>14</v>
      </c>
    </row>
    <row r="324" spans="1:9" x14ac:dyDescent="0.25">
      <c r="A324" s="7" t="s">
        <v>430</v>
      </c>
      <c r="B324" s="7" t="s">
        <v>430</v>
      </c>
      <c r="C324" s="8" t="s">
        <v>431</v>
      </c>
      <c r="D324" s="8" t="s">
        <v>13</v>
      </c>
      <c r="E324" s="9" t="s">
        <v>14</v>
      </c>
      <c r="F324" s="9"/>
      <c r="G324" s="9" t="s">
        <v>14</v>
      </c>
      <c r="H324" s="9"/>
      <c r="I324" s="9" t="s">
        <v>14</v>
      </c>
    </row>
    <row r="325" spans="1:9" x14ac:dyDescent="0.25">
      <c r="A325" s="7" t="s">
        <v>430</v>
      </c>
      <c r="B325" s="7" t="s">
        <v>432</v>
      </c>
      <c r="C325" s="8" t="s">
        <v>431</v>
      </c>
      <c r="D325" s="8" t="s">
        <v>39</v>
      </c>
      <c r="E325" s="9" t="s">
        <v>14</v>
      </c>
      <c r="F325" s="9"/>
      <c r="G325" s="9" t="s">
        <v>14</v>
      </c>
      <c r="H325" s="9"/>
      <c r="I325" s="9" t="s">
        <v>14</v>
      </c>
    </row>
    <row r="326" spans="1:9" x14ac:dyDescent="0.25">
      <c r="A326" s="7" t="s">
        <v>430</v>
      </c>
      <c r="B326" s="7" t="s">
        <v>432</v>
      </c>
      <c r="C326" s="8" t="s">
        <v>431</v>
      </c>
      <c r="D326" s="8" t="s">
        <v>28</v>
      </c>
      <c r="E326" s="9" t="s">
        <v>14</v>
      </c>
      <c r="F326" s="9"/>
      <c r="G326" s="9" t="s">
        <v>14</v>
      </c>
      <c r="H326" s="9"/>
      <c r="I326" s="9" t="s">
        <v>14</v>
      </c>
    </row>
    <row r="327" spans="1:9" x14ac:dyDescent="0.25">
      <c r="A327" s="7" t="s">
        <v>430</v>
      </c>
      <c r="B327" s="7" t="s">
        <v>433</v>
      </c>
      <c r="C327" s="8" t="s">
        <v>431</v>
      </c>
      <c r="D327" s="8" t="s">
        <v>18</v>
      </c>
      <c r="E327" s="9" t="s">
        <v>14</v>
      </c>
      <c r="F327" s="9"/>
      <c r="G327" s="9" t="s">
        <v>14</v>
      </c>
      <c r="H327" s="9"/>
      <c r="I327" s="9" t="s">
        <v>14</v>
      </c>
    </row>
    <row r="328" spans="1:9" x14ac:dyDescent="0.25">
      <c r="A328" s="7" t="s">
        <v>430</v>
      </c>
      <c r="B328" s="7" t="s">
        <v>434</v>
      </c>
      <c r="C328" s="8" t="s">
        <v>431</v>
      </c>
      <c r="D328" s="8" t="s">
        <v>29</v>
      </c>
      <c r="E328" s="9" t="s">
        <v>14</v>
      </c>
      <c r="F328" s="9"/>
      <c r="G328" s="9" t="s">
        <v>14</v>
      </c>
      <c r="H328" s="9"/>
      <c r="I328" s="9" t="s">
        <v>14</v>
      </c>
    </row>
    <row r="329" spans="1:9" x14ac:dyDescent="0.25">
      <c r="A329" s="7" t="s">
        <v>430</v>
      </c>
      <c r="B329" s="7" t="s">
        <v>435</v>
      </c>
      <c r="C329" s="8" t="s">
        <v>431</v>
      </c>
      <c r="D329" s="8" t="s">
        <v>43</v>
      </c>
      <c r="E329" s="9" t="s">
        <v>14</v>
      </c>
      <c r="F329" s="9"/>
      <c r="G329" s="9" t="s">
        <v>14</v>
      </c>
      <c r="H329" s="9"/>
      <c r="I329" s="9" t="s">
        <v>14</v>
      </c>
    </row>
    <row r="330" spans="1:9" x14ac:dyDescent="0.25">
      <c r="A330" s="7" t="s">
        <v>430</v>
      </c>
      <c r="B330" s="7" t="s">
        <v>436</v>
      </c>
      <c r="C330" s="7" t="s">
        <v>431</v>
      </c>
      <c r="D330" s="8" t="s">
        <v>122</v>
      </c>
      <c r="E330" s="9" t="s">
        <v>14</v>
      </c>
      <c r="F330" s="9"/>
      <c r="G330" s="9" t="s">
        <v>14</v>
      </c>
      <c r="H330" s="9"/>
      <c r="I330" s="9" t="s">
        <v>14</v>
      </c>
    </row>
    <row r="331" spans="1:9" x14ac:dyDescent="0.25">
      <c r="A331" s="7" t="s">
        <v>437</v>
      </c>
      <c r="B331" s="7" t="s">
        <v>437</v>
      </c>
      <c r="C331" s="7" t="s">
        <v>438</v>
      </c>
      <c r="D331" s="8" t="s">
        <v>44</v>
      </c>
      <c r="E331" s="9" t="s">
        <v>14</v>
      </c>
      <c r="F331" s="9"/>
      <c r="G331" s="9" t="s">
        <v>14</v>
      </c>
      <c r="H331" s="9"/>
      <c r="I331" s="9" t="s">
        <v>14</v>
      </c>
    </row>
    <row r="332" spans="1:9" x14ac:dyDescent="0.25">
      <c r="A332" s="7" t="s">
        <v>437</v>
      </c>
      <c r="B332" s="7" t="s">
        <v>437</v>
      </c>
      <c r="C332" s="7" t="s">
        <v>438</v>
      </c>
      <c r="D332" s="8" t="s">
        <v>13</v>
      </c>
      <c r="E332" s="9" t="s">
        <v>14</v>
      </c>
      <c r="F332" s="9"/>
      <c r="G332" s="9" t="s">
        <v>14</v>
      </c>
      <c r="H332" s="9"/>
      <c r="I332" s="9" t="s">
        <v>14</v>
      </c>
    </row>
    <row r="333" spans="1:9" x14ac:dyDescent="0.25">
      <c r="A333" s="7" t="s">
        <v>437</v>
      </c>
      <c r="B333" s="7" t="s">
        <v>439</v>
      </c>
      <c r="C333" s="8" t="s">
        <v>438</v>
      </c>
      <c r="D333" s="8" t="s">
        <v>50</v>
      </c>
      <c r="E333" s="9" t="s">
        <v>14</v>
      </c>
      <c r="F333" s="9"/>
      <c r="G333" s="9" t="s">
        <v>14</v>
      </c>
      <c r="H333" s="9"/>
      <c r="I333" s="9" t="s">
        <v>14</v>
      </c>
    </row>
    <row r="334" spans="1:9" x14ac:dyDescent="0.25">
      <c r="A334" s="7" t="s">
        <v>437</v>
      </c>
      <c r="B334" s="7" t="s">
        <v>439</v>
      </c>
      <c r="C334" s="8" t="s">
        <v>438</v>
      </c>
      <c r="D334" s="8" t="s">
        <v>39</v>
      </c>
      <c r="E334" s="9" t="s">
        <v>14</v>
      </c>
      <c r="F334" s="9"/>
      <c r="G334" s="9" t="s">
        <v>14</v>
      </c>
      <c r="H334" s="9"/>
      <c r="I334" s="9" t="s">
        <v>14</v>
      </c>
    </row>
    <row r="335" spans="1:9" x14ac:dyDescent="0.25">
      <c r="A335" s="7" t="s">
        <v>437</v>
      </c>
      <c r="B335" s="7" t="s">
        <v>440</v>
      </c>
      <c r="C335" s="8" t="s">
        <v>438</v>
      </c>
      <c r="D335" s="8" t="s">
        <v>18</v>
      </c>
      <c r="E335" s="9" t="s">
        <v>14</v>
      </c>
      <c r="F335" s="9"/>
      <c r="G335" s="9" t="s">
        <v>14</v>
      </c>
      <c r="H335" s="9"/>
      <c r="I335" s="9" t="s">
        <v>14</v>
      </c>
    </row>
    <row r="336" spans="1:9" x14ac:dyDescent="0.25">
      <c r="A336" s="7" t="s">
        <v>437</v>
      </c>
      <c r="B336" s="7" t="s">
        <v>441</v>
      </c>
      <c r="C336" s="7" t="s">
        <v>438</v>
      </c>
      <c r="D336" s="8" t="s">
        <v>122</v>
      </c>
      <c r="E336" s="9" t="s">
        <v>14</v>
      </c>
      <c r="F336" s="9"/>
      <c r="G336" s="9" t="s">
        <v>14</v>
      </c>
      <c r="H336" s="9"/>
      <c r="I336" s="9" t="s">
        <v>14</v>
      </c>
    </row>
    <row r="337" spans="1:9" x14ac:dyDescent="0.25">
      <c r="A337" s="7" t="s">
        <v>437</v>
      </c>
      <c r="B337" s="7" t="s">
        <v>442</v>
      </c>
      <c r="C337" s="7" t="s">
        <v>438</v>
      </c>
      <c r="D337" s="8" t="s">
        <v>43</v>
      </c>
      <c r="E337" s="9" t="s">
        <v>14</v>
      </c>
      <c r="F337" s="9"/>
      <c r="G337" s="9" t="s">
        <v>14</v>
      </c>
      <c r="H337" s="9"/>
      <c r="I337" s="9" t="s">
        <v>14</v>
      </c>
    </row>
    <row r="338" spans="1:9" x14ac:dyDescent="0.25">
      <c r="A338" s="7" t="s">
        <v>437</v>
      </c>
      <c r="B338" s="7" t="s">
        <v>443</v>
      </c>
      <c r="C338" s="7" t="s">
        <v>438</v>
      </c>
      <c r="D338" s="8" t="s">
        <v>46</v>
      </c>
      <c r="E338" s="9" t="s">
        <v>14</v>
      </c>
      <c r="F338" s="9"/>
      <c r="G338" s="9" t="s">
        <v>14</v>
      </c>
      <c r="H338" s="9"/>
      <c r="I338" s="9" t="s">
        <v>14</v>
      </c>
    </row>
    <row r="339" spans="1:9" x14ac:dyDescent="0.25">
      <c r="A339" s="7" t="s">
        <v>444</v>
      </c>
      <c r="B339" s="7" t="s">
        <v>444</v>
      </c>
      <c r="C339" s="7" t="s">
        <v>445</v>
      </c>
      <c r="D339" s="8" t="s">
        <v>13</v>
      </c>
      <c r="E339" s="9" t="s">
        <v>14</v>
      </c>
      <c r="F339" s="9"/>
      <c r="G339" s="9" t="s">
        <v>14</v>
      </c>
      <c r="H339" s="9"/>
      <c r="I339" s="9" t="s">
        <v>14</v>
      </c>
    </row>
    <row r="340" spans="1:9" x14ac:dyDescent="0.25">
      <c r="A340" s="7" t="s">
        <v>444</v>
      </c>
      <c r="B340" s="7" t="s">
        <v>446</v>
      </c>
      <c r="C340" s="7" t="s">
        <v>445</v>
      </c>
      <c r="D340" s="8" t="s">
        <v>53</v>
      </c>
      <c r="E340" s="9" t="s">
        <v>14</v>
      </c>
      <c r="F340" s="9"/>
      <c r="G340" s="9" t="s">
        <v>14</v>
      </c>
      <c r="H340" s="9"/>
      <c r="I340" s="9" t="s">
        <v>14</v>
      </c>
    </row>
    <row r="341" spans="1:9" x14ac:dyDescent="0.25">
      <c r="A341" s="7" t="s">
        <v>447</v>
      </c>
      <c r="B341" s="7" t="s">
        <v>448</v>
      </c>
      <c r="C341" s="8" t="s">
        <v>449</v>
      </c>
      <c r="D341" s="8" t="s">
        <v>122</v>
      </c>
      <c r="E341" s="9" t="s">
        <v>14</v>
      </c>
      <c r="F341" s="9"/>
      <c r="G341" s="9"/>
      <c r="H341" s="9"/>
      <c r="I341" s="9"/>
    </row>
    <row r="342" spans="1:9" x14ac:dyDescent="0.25">
      <c r="A342" s="7" t="s">
        <v>447</v>
      </c>
      <c r="B342" s="7" t="s">
        <v>450</v>
      </c>
      <c r="C342" s="8" t="s">
        <v>449</v>
      </c>
      <c r="D342" s="8" t="s">
        <v>292</v>
      </c>
      <c r="E342" s="9" t="s">
        <v>14</v>
      </c>
      <c r="F342" s="9"/>
      <c r="G342" s="9"/>
      <c r="H342" s="9"/>
      <c r="I342" s="9"/>
    </row>
    <row r="343" spans="1:9" x14ac:dyDescent="0.25">
      <c r="A343" s="7" t="s">
        <v>447</v>
      </c>
      <c r="B343" s="7" t="s">
        <v>451</v>
      </c>
      <c r="C343" s="8" t="s">
        <v>449</v>
      </c>
      <c r="D343" s="8" t="s">
        <v>36</v>
      </c>
      <c r="E343" s="9" t="s">
        <v>14</v>
      </c>
      <c r="F343" s="9"/>
      <c r="G343" s="9"/>
      <c r="H343" s="9"/>
      <c r="I343" s="9"/>
    </row>
    <row r="344" spans="1:9" x14ac:dyDescent="0.25">
      <c r="A344" s="7" t="s">
        <v>447</v>
      </c>
      <c r="B344" s="7" t="s">
        <v>452</v>
      </c>
      <c r="C344" s="8" t="s">
        <v>449</v>
      </c>
      <c r="D344" s="8" t="s">
        <v>453</v>
      </c>
      <c r="E344" s="9" t="s">
        <v>14</v>
      </c>
      <c r="F344" s="9"/>
      <c r="G344" s="9"/>
      <c r="H344" s="9"/>
      <c r="I344" s="9"/>
    </row>
    <row r="345" spans="1:9" x14ac:dyDescent="0.25">
      <c r="A345" s="7" t="s">
        <v>447</v>
      </c>
      <c r="B345" s="7" t="s">
        <v>454</v>
      </c>
      <c r="C345" s="8" t="s">
        <v>449</v>
      </c>
      <c r="D345" s="8" t="s">
        <v>29</v>
      </c>
      <c r="E345" s="9" t="s">
        <v>14</v>
      </c>
      <c r="F345" s="9"/>
      <c r="G345" s="9"/>
      <c r="H345" s="9"/>
      <c r="I345" s="9"/>
    </row>
    <row r="346" spans="1:9" x14ac:dyDescent="0.25">
      <c r="A346" s="7" t="s">
        <v>447</v>
      </c>
      <c r="B346" s="7" t="s">
        <v>455</v>
      </c>
      <c r="C346" s="8" t="s">
        <v>449</v>
      </c>
      <c r="D346" s="8" t="s">
        <v>339</v>
      </c>
      <c r="E346" s="9" t="s">
        <v>14</v>
      </c>
      <c r="F346" s="9"/>
      <c r="G346" s="9"/>
      <c r="H346" s="9"/>
      <c r="I346" s="9"/>
    </row>
    <row r="347" spans="1:9" x14ac:dyDescent="0.25">
      <c r="A347" s="7" t="s">
        <v>447</v>
      </c>
      <c r="B347" s="7" t="s">
        <v>456</v>
      </c>
      <c r="C347" s="8" t="s">
        <v>449</v>
      </c>
      <c r="D347" s="8" t="s">
        <v>13</v>
      </c>
      <c r="E347" s="9" t="s">
        <v>14</v>
      </c>
      <c r="F347" s="9"/>
      <c r="G347" s="9"/>
      <c r="H347" s="9" t="s">
        <v>14</v>
      </c>
      <c r="I347" s="9"/>
    </row>
    <row r="348" spans="1:9" x14ac:dyDescent="0.25">
      <c r="A348" s="7" t="s">
        <v>447</v>
      </c>
      <c r="B348" s="7" t="s">
        <v>457</v>
      </c>
      <c r="C348" s="8" t="s">
        <v>449</v>
      </c>
      <c r="D348" s="8" t="s">
        <v>344</v>
      </c>
      <c r="E348" s="9" t="s">
        <v>14</v>
      </c>
      <c r="F348" s="9"/>
      <c r="G348" s="9"/>
      <c r="H348" s="9" t="s">
        <v>14</v>
      </c>
      <c r="I348" s="9"/>
    </row>
    <row r="349" spans="1:9" x14ac:dyDescent="0.25">
      <c r="A349" s="7" t="s">
        <v>458</v>
      </c>
      <c r="B349" s="7" t="s">
        <v>459</v>
      </c>
      <c r="C349" s="8" t="s">
        <v>460</v>
      </c>
      <c r="D349" s="8" t="s">
        <v>13</v>
      </c>
      <c r="E349" s="9" t="s">
        <v>14</v>
      </c>
      <c r="F349" s="9"/>
      <c r="G349" s="9"/>
      <c r="H349" s="9" t="s">
        <v>14</v>
      </c>
      <c r="I349" s="9"/>
    </row>
    <row r="350" spans="1:9" x14ac:dyDescent="0.25">
      <c r="A350" s="7" t="s">
        <v>458</v>
      </c>
      <c r="B350" s="7" t="s">
        <v>461</v>
      </c>
      <c r="C350" s="8" t="s">
        <v>460</v>
      </c>
      <c r="D350" s="8" t="s">
        <v>462</v>
      </c>
      <c r="E350" s="9" t="s">
        <v>14</v>
      </c>
      <c r="F350" s="9"/>
      <c r="G350" s="9"/>
      <c r="H350" s="9" t="s">
        <v>14</v>
      </c>
      <c r="I350" s="9"/>
    </row>
    <row r="351" spans="1:9" x14ac:dyDescent="0.25">
      <c r="A351" s="7" t="s">
        <v>458</v>
      </c>
      <c r="B351" s="7" t="s">
        <v>463</v>
      </c>
      <c r="C351" s="8" t="s">
        <v>460</v>
      </c>
      <c r="D351" s="8" t="s">
        <v>43</v>
      </c>
      <c r="E351" s="9" t="s">
        <v>14</v>
      </c>
      <c r="F351" s="9"/>
      <c r="G351" s="9"/>
      <c r="H351" s="9"/>
      <c r="I351" s="9"/>
    </row>
    <row r="352" spans="1:9" x14ac:dyDescent="0.25">
      <c r="A352" s="7" t="s">
        <v>458</v>
      </c>
      <c r="B352" s="7" t="s">
        <v>464</v>
      </c>
      <c r="C352" s="7" t="s">
        <v>460</v>
      </c>
      <c r="D352" s="8" t="s">
        <v>465</v>
      </c>
      <c r="E352" s="9" t="s">
        <v>14</v>
      </c>
      <c r="F352" s="9"/>
      <c r="G352" s="9"/>
      <c r="H352" s="9"/>
      <c r="I352" s="9"/>
    </row>
    <row r="353" spans="1:9" x14ac:dyDescent="0.25">
      <c r="A353" s="7" t="s">
        <v>458</v>
      </c>
      <c r="B353" s="7" t="s">
        <v>466</v>
      </c>
      <c r="C353" s="7" t="s">
        <v>460</v>
      </c>
      <c r="D353" s="8" t="s">
        <v>317</v>
      </c>
      <c r="E353" s="9" t="s">
        <v>14</v>
      </c>
      <c r="F353" s="9"/>
      <c r="G353" s="9"/>
      <c r="H353" s="9"/>
      <c r="I353" s="9"/>
    </row>
    <row r="354" spans="1:9" x14ac:dyDescent="0.25">
      <c r="A354" s="7" t="s">
        <v>458</v>
      </c>
      <c r="B354" s="7" t="s">
        <v>466</v>
      </c>
      <c r="C354" s="7" t="s">
        <v>460</v>
      </c>
      <c r="D354" s="8" t="s">
        <v>39</v>
      </c>
      <c r="E354" s="9" t="s">
        <v>14</v>
      </c>
      <c r="F354" s="9"/>
      <c r="G354" s="9"/>
      <c r="H354" s="9"/>
      <c r="I354" s="9"/>
    </row>
    <row r="355" spans="1:9" x14ac:dyDescent="0.25">
      <c r="A355" s="7" t="s">
        <v>458</v>
      </c>
      <c r="B355" s="7" t="s">
        <v>467</v>
      </c>
      <c r="C355" s="7" t="s">
        <v>460</v>
      </c>
      <c r="D355" s="8" t="s">
        <v>468</v>
      </c>
      <c r="E355" s="9" t="s">
        <v>14</v>
      </c>
      <c r="F355" s="9"/>
      <c r="G355" s="9"/>
      <c r="H355" s="9"/>
      <c r="I355" s="9"/>
    </row>
    <row r="356" spans="1:9" x14ac:dyDescent="0.25">
      <c r="A356" s="7" t="s">
        <v>458</v>
      </c>
      <c r="B356" s="7" t="s">
        <v>469</v>
      </c>
      <c r="C356" s="7" t="s">
        <v>460</v>
      </c>
      <c r="D356" s="8" t="s">
        <v>470</v>
      </c>
      <c r="E356" s="9" t="s">
        <v>14</v>
      </c>
      <c r="F356" s="9"/>
      <c r="G356" s="9"/>
      <c r="H356" s="9"/>
      <c r="I356" s="9"/>
    </row>
    <row r="357" spans="1:9" x14ac:dyDescent="0.25">
      <c r="A357" s="7" t="s">
        <v>458</v>
      </c>
      <c r="B357" s="7" t="s">
        <v>471</v>
      </c>
      <c r="C357" s="7" t="s">
        <v>460</v>
      </c>
      <c r="D357" s="8" t="s">
        <v>295</v>
      </c>
      <c r="E357" s="9" t="s">
        <v>14</v>
      </c>
      <c r="F357" s="9"/>
      <c r="G357" s="9"/>
      <c r="H357" s="9"/>
      <c r="I357" s="9"/>
    </row>
    <row r="358" spans="1:9" x14ac:dyDescent="0.25">
      <c r="A358" s="7" t="s">
        <v>458</v>
      </c>
      <c r="B358" s="7" t="s">
        <v>472</v>
      </c>
      <c r="C358" s="7" t="s">
        <v>460</v>
      </c>
      <c r="D358" s="8" t="s">
        <v>81</v>
      </c>
      <c r="E358" s="9" t="s">
        <v>14</v>
      </c>
      <c r="F358" s="9"/>
      <c r="G358" s="9"/>
      <c r="H358" s="9"/>
      <c r="I358" s="9"/>
    </row>
    <row r="359" spans="1:9" x14ac:dyDescent="0.25">
      <c r="A359" s="7" t="s">
        <v>458</v>
      </c>
      <c r="B359" s="7" t="s">
        <v>473</v>
      </c>
      <c r="C359" s="7" t="s">
        <v>460</v>
      </c>
      <c r="D359" s="8" t="s">
        <v>474</v>
      </c>
      <c r="E359" s="9" t="s">
        <v>14</v>
      </c>
      <c r="F359" s="9"/>
      <c r="G359" s="9"/>
      <c r="H359" s="9"/>
      <c r="I359" s="9"/>
    </row>
    <row r="360" spans="1:9" x14ac:dyDescent="0.25">
      <c r="A360" s="7" t="s">
        <v>458</v>
      </c>
      <c r="B360" s="7" t="s">
        <v>475</v>
      </c>
      <c r="C360" s="8" t="s">
        <v>460</v>
      </c>
      <c r="D360" s="8" t="s">
        <v>84</v>
      </c>
      <c r="E360" s="9" t="s">
        <v>14</v>
      </c>
      <c r="F360" s="9"/>
      <c r="G360" s="9"/>
      <c r="H360" s="9"/>
      <c r="I360" s="9"/>
    </row>
    <row r="361" spans="1:9" x14ac:dyDescent="0.25">
      <c r="A361" s="7" t="s">
        <v>458</v>
      </c>
      <c r="B361" s="7" t="s">
        <v>476</v>
      </c>
      <c r="C361" s="8" t="s">
        <v>460</v>
      </c>
      <c r="D361" s="8" t="s">
        <v>477</v>
      </c>
      <c r="E361" s="9" t="s">
        <v>14</v>
      </c>
      <c r="F361" s="9"/>
      <c r="G361" s="9"/>
      <c r="H361" s="9"/>
      <c r="I361" s="9"/>
    </row>
    <row r="362" spans="1:9" x14ac:dyDescent="0.25">
      <c r="A362" s="7" t="s">
        <v>458</v>
      </c>
      <c r="B362" s="7" t="s">
        <v>478</v>
      </c>
      <c r="C362" s="8" t="s">
        <v>460</v>
      </c>
      <c r="D362" s="8" t="s">
        <v>366</v>
      </c>
      <c r="E362" s="9" t="s">
        <v>14</v>
      </c>
      <c r="F362" s="9"/>
      <c r="G362" s="9"/>
      <c r="H362" s="9"/>
      <c r="I362" s="9"/>
    </row>
    <row r="363" spans="1:9" x14ac:dyDescent="0.25">
      <c r="A363" s="7" t="s">
        <v>458</v>
      </c>
      <c r="B363" s="7" t="s">
        <v>479</v>
      </c>
      <c r="C363" s="8" t="s">
        <v>460</v>
      </c>
      <c r="D363" s="8" t="s">
        <v>480</v>
      </c>
      <c r="E363" s="9" t="s">
        <v>14</v>
      </c>
      <c r="F363" s="9"/>
      <c r="G363" s="9"/>
      <c r="H363" s="9"/>
      <c r="I363" s="9"/>
    </row>
    <row r="364" spans="1:9" x14ac:dyDescent="0.25">
      <c r="A364" s="7" t="s">
        <v>458</v>
      </c>
      <c r="B364" s="7" t="s">
        <v>481</v>
      </c>
      <c r="C364" s="8" t="s">
        <v>460</v>
      </c>
      <c r="D364" s="8" t="s">
        <v>263</v>
      </c>
      <c r="E364" s="9" t="s">
        <v>14</v>
      </c>
      <c r="F364" s="9"/>
      <c r="G364" s="9"/>
      <c r="H364" s="9" t="s">
        <v>14</v>
      </c>
      <c r="I364" s="9"/>
    </row>
    <row r="365" spans="1:9" x14ac:dyDescent="0.25">
      <c r="A365" s="7" t="s">
        <v>458</v>
      </c>
      <c r="B365" s="7" t="s">
        <v>482</v>
      </c>
      <c r="C365" s="8" t="s">
        <v>460</v>
      </c>
      <c r="D365" s="8" t="s">
        <v>483</v>
      </c>
      <c r="E365" s="9" t="s">
        <v>14</v>
      </c>
      <c r="F365" s="9"/>
      <c r="G365" s="9"/>
      <c r="H365" s="9" t="s">
        <v>14</v>
      </c>
      <c r="I365" s="9"/>
    </row>
    <row r="366" spans="1:9" x14ac:dyDescent="0.25">
      <c r="A366" s="7" t="s">
        <v>458</v>
      </c>
      <c r="B366" s="7" t="s">
        <v>484</v>
      </c>
      <c r="C366" s="8" t="s">
        <v>460</v>
      </c>
      <c r="D366" s="8" t="s">
        <v>275</v>
      </c>
      <c r="E366" s="9" t="s">
        <v>14</v>
      </c>
      <c r="F366" s="9"/>
      <c r="G366" s="9"/>
      <c r="H366" s="9" t="s">
        <v>14</v>
      </c>
      <c r="I366" s="9"/>
    </row>
    <row r="367" spans="1:9" x14ac:dyDescent="0.25">
      <c r="A367" s="7" t="s">
        <v>458</v>
      </c>
      <c r="B367" s="7" t="s">
        <v>485</v>
      </c>
      <c r="C367" s="7" t="s">
        <v>460</v>
      </c>
      <c r="D367" s="8" t="s">
        <v>320</v>
      </c>
      <c r="E367" s="9" t="s">
        <v>14</v>
      </c>
      <c r="F367" s="9"/>
      <c r="G367" s="9"/>
      <c r="H367" s="9" t="s">
        <v>14</v>
      </c>
      <c r="I367" s="9"/>
    </row>
    <row r="368" spans="1:9" x14ac:dyDescent="0.25">
      <c r="A368" s="7" t="s">
        <v>458</v>
      </c>
      <c r="B368" s="7" t="s">
        <v>486</v>
      </c>
      <c r="C368" s="8" t="s">
        <v>460</v>
      </c>
      <c r="D368" s="8" t="s">
        <v>267</v>
      </c>
      <c r="E368" s="9" t="s">
        <v>14</v>
      </c>
      <c r="F368" s="9"/>
      <c r="G368" s="9"/>
      <c r="H368" s="9"/>
      <c r="I368" s="9"/>
    </row>
    <row r="369" spans="1:9" x14ac:dyDescent="0.25">
      <c r="A369" s="7" t="s">
        <v>458</v>
      </c>
      <c r="B369" s="7" t="s">
        <v>487</v>
      </c>
      <c r="C369" s="8" t="s">
        <v>460</v>
      </c>
      <c r="D369" s="8" t="s">
        <v>488</v>
      </c>
      <c r="E369" s="9" t="s">
        <v>14</v>
      </c>
      <c r="F369" s="9"/>
      <c r="G369" s="9"/>
      <c r="H369" s="9"/>
      <c r="I369" s="9"/>
    </row>
    <row r="370" spans="1:9" x14ac:dyDescent="0.25">
      <c r="A370" s="7" t="s">
        <v>458</v>
      </c>
      <c r="B370" s="7" t="s">
        <v>489</v>
      </c>
      <c r="C370" s="8" t="s">
        <v>460</v>
      </c>
      <c r="D370" s="8" t="s">
        <v>177</v>
      </c>
      <c r="E370" s="9" t="s">
        <v>14</v>
      </c>
      <c r="F370" s="9"/>
      <c r="G370" s="9"/>
      <c r="H370" s="9"/>
      <c r="I370" s="9"/>
    </row>
    <row r="371" spans="1:9" x14ac:dyDescent="0.25">
      <c r="A371" s="7" t="s">
        <v>458</v>
      </c>
      <c r="B371" s="7" t="s">
        <v>490</v>
      </c>
      <c r="C371" s="8" t="s">
        <v>460</v>
      </c>
      <c r="D371" s="8" t="s">
        <v>319</v>
      </c>
      <c r="E371" s="9" t="s">
        <v>14</v>
      </c>
      <c r="F371" s="9"/>
      <c r="G371" s="9"/>
      <c r="H371" s="9"/>
      <c r="I371" s="9"/>
    </row>
    <row r="372" spans="1:9" x14ac:dyDescent="0.25">
      <c r="A372" s="7" t="s">
        <v>491</v>
      </c>
      <c r="B372" s="7" t="s">
        <v>492</v>
      </c>
      <c r="C372" s="8" t="s">
        <v>493</v>
      </c>
      <c r="D372" s="8" t="s">
        <v>494</v>
      </c>
      <c r="E372" s="9" t="s">
        <v>14</v>
      </c>
      <c r="F372" s="9" t="s">
        <v>14</v>
      </c>
      <c r="G372" s="9"/>
      <c r="H372" s="9"/>
      <c r="I372" s="9" t="s">
        <v>14</v>
      </c>
    </row>
    <row r="373" spans="1:9" x14ac:dyDescent="0.25">
      <c r="A373" s="7" t="s">
        <v>491</v>
      </c>
      <c r="B373" s="7" t="s">
        <v>492</v>
      </c>
      <c r="C373" s="8" t="s">
        <v>493</v>
      </c>
      <c r="D373" s="8" t="s">
        <v>495</v>
      </c>
      <c r="E373" s="9" t="s">
        <v>14</v>
      </c>
      <c r="F373" s="9" t="s">
        <v>14</v>
      </c>
      <c r="G373" s="9"/>
      <c r="H373" s="9"/>
      <c r="I373" s="9" t="s">
        <v>14</v>
      </c>
    </row>
    <row r="374" spans="1:9" x14ac:dyDescent="0.25">
      <c r="A374" s="7" t="s">
        <v>491</v>
      </c>
      <c r="B374" s="7" t="s">
        <v>496</v>
      </c>
      <c r="C374" s="8" t="s">
        <v>493</v>
      </c>
      <c r="D374" s="8" t="s">
        <v>497</v>
      </c>
      <c r="E374" s="9" t="s">
        <v>14</v>
      </c>
      <c r="F374" s="9" t="s">
        <v>14</v>
      </c>
      <c r="G374" s="9"/>
      <c r="H374" s="9"/>
      <c r="I374" s="9" t="s">
        <v>14</v>
      </c>
    </row>
    <row r="375" spans="1:9" x14ac:dyDescent="0.25">
      <c r="A375" s="7" t="s">
        <v>491</v>
      </c>
      <c r="B375" s="7" t="s">
        <v>496</v>
      </c>
      <c r="C375" s="8" t="s">
        <v>493</v>
      </c>
      <c r="D375" s="8" t="s">
        <v>498</v>
      </c>
      <c r="E375" s="9" t="s">
        <v>14</v>
      </c>
      <c r="F375" s="9" t="s">
        <v>14</v>
      </c>
      <c r="G375" s="9"/>
      <c r="H375" s="9"/>
      <c r="I375" s="9" t="s">
        <v>14</v>
      </c>
    </row>
    <row r="376" spans="1:9" x14ac:dyDescent="0.25">
      <c r="A376" s="7" t="s">
        <v>491</v>
      </c>
      <c r="B376" s="7" t="s">
        <v>491</v>
      </c>
      <c r="C376" s="8" t="s">
        <v>493</v>
      </c>
      <c r="D376" s="8" t="s">
        <v>317</v>
      </c>
      <c r="E376" s="9" t="s">
        <v>14</v>
      </c>
      <c r="F376" s="9" t="s">
        <v>14</v>
      </c>
      <c r="G376" s="9"/>
      <c r="H376" s="9"/>
      <c r="I376" s="9" t="s">
        <v>14</v>
      </c>
    </row>
    <row r="377" spans="1:9" x14ac:dyDescent="0.25">
      <c r="A377" s="7" t="s">
        <v>491</v>
      </c>
      <c r="B377" s="7" t="s">
        <v>491</v>
      </c>
      <c r="C377" s="7" t="s">
        <v>493</v>
      </c>
      <c r="D377" s="8" t="s">
        <v>13</v>
      </c>
      <c r="E377" s="9" t="s">
        <v>14</v>
      </c>
      <c r="F377" s="9" t="s">
        <v>14</v>
      </c>
      <c r="G377" s="9"/>
      <c r="H377" s="9"/>
      <c r="I377" s="9" t="s">
        <v>14</v>
      </c>
    </row>
    <row r="378" spans="1:9" x14ac:dyDescent="0.25">
      <c r="A378" s="7" t="s">
        <v>491</v>
      </c>
      <c r="B378" s="7" t="s">
        <v>499</v>
      </c>
      <c r="C378" s="7" t="s">
        <v>493</v>
      </c>
      <c r="D378" s="8" t="s">
        <v>500</v>
      </c>
      <c r="E378" s="9" t="s">
        <v>14</v>
      </c>
      <c r="F378" s="9" t="s">
        <v>14</v>
      </c>
      <c r="G378" s="9"/>
      <c r="H378" s="9"/>
      <c r="I378" s="9" t="s">
        <v>14</v>
      </c>
    </row>
    <row r="379" spans="1:9" x14ac:dyDescent="0.25">
      <c r="A379" s="7" t="s">
        <v>491</v>
      </c>
      <c r="B379" s="7" t="s">
        <v>501</v>
      </c>
      <c r="C379" s="7" t="s">
        <v>493</v>
      </c>
      <c r="D379" s="8" t="s">
        <v>502</v>
      </c>
      <c r="E379" s="9" t="s">
        <v>14</v>
      </c>
      <c r="F379" s="9" t="s">
        <v>14</v>
      </c>
      <c r="G379" s="9"/>
      <c r="H379" s="9"/>
      <c r="I379" s="9" t="s">
        <v>14</v>
      </c>
    </row>
    <row r="380" spans="1:9" x14ac:dyDescent="0.25">
      <c r="A380" s="7" t="s">
        <v>491</v>
      </c>
      <c r="B380" s="7" t="s">
        <v>501</v>
      </c>
      <c r="C380" s="7" t="s">
        <v>493</v>
      </c>
      <c r="D380" s="8" t="s">
        <v>503</v>
      </c>
      <c r="E380" s="9" t="s">
        <v>14</v>
      </c>
      <c r="F380" s="9" t="s">
        <v>14</v>
      </c>
      <c r="G380" s="9"/>
      <c r="H380" s="9"/>
      <c r="I380" s="9" t="s">
        <v>14</v>
      </c>
    </row>
    <row r="381" spans="1:9" x14ac:dyDescent="0.25">
      <c r="A381" s="7" t="s">
        <v>491</v>
      </c>
      <c r="B381" s="7" t="s">
        <v>504</v>
      </c>
      <c r="C381" s="7" t="s">
        <v>493</v>
      </c>
      <c r="D381" s="8" t="s">
        <v>269</v>
      </c>
      <c r="E381" s="9" t="s">
        <v>14</v>
      </c>
      <c r="F381" s="9" t="s">
        <v>14</v>
      </c>
      <c r="G381" s="9"/>
      <c r="H381" s="9"/>
      <c r="I381" s="9" t="s">
        <v>14</v>
      </c>
    </row>
    <row r="382" spans="1:9" x14ac:dyDescent="0.25">
      <c r="A382" s="7" t="s">
        <v>491</v>
      </c>
      <c r="B382" s="7" t="s">
        <v>505</v>
      </c>
      <c r="C382" s="8" t="s">
        <v>493</v>
      </c>
      <c r="D382" s="8" t="s">
        <v>506</v>
      </c>
      <c r="E382" s="9" t="s">
        <v>14</v>
      </c>
      <c r="F382" s="9" t="s">
        <v>14</v>
      </c>
      <c r="G382" s="9"/>
      <c r="H382" s="9"/>
      <c r="I382" s="9" t="s">
        <v>14</v>
      </c>
    </row>
    <row r="383" spans="1:9" x14ac:dyDescent="0.25">
      <c r="A383" s="7" t="s">
        <v>491</v>
      </c>
      <c r="B383" s="7" t="s">
        <v>505</v>
      </c>
      <c r="C383" s="8" t="s">
        <v>493</v>
      </c>
      <c r="D383" s="8" t="s">
        <v>507</v>
      </c>
      <c r="E383" s="9" t="s">
        <v>14</v>
      </c>
      <c r="F383" s="9" t="s">
        <v>14</v>
      </c>
      <c r="G383" s="9"/>
      <c r="H383" s="9"/>
      <c r="I383" s="9" t="s">
        <v>14</v>
      </c>
    </row>
    <row r="384" spans="1:9" x14ac:dyDescent="0.25">
      <c r="A384" s="7" t="s">
        <v>491</v>
      </c>
      <c r="B384" s="7" t="s">
        <v>508</v>
      </c>
      <c r="C384" s="7" t="s">
        <v>493</v>
      </c>
      <c r="D384" s="8" t="s">
        <v>43</v>
      </c>
      <c r="E384" s="9" t="s">
        <v>14</v>
      </c>
      <c r="F384" s="9" t="s">
        <v>14</v>
      </c>
      <c r="G384" s="9"/>
      <c r="H384" s="9"/>
      <c r="I384" s="9" t="s">
        <v>14</v>
      </c>
    </row>
    <row r="385" spans="1:9" x14ac:dyDescent="0.25">
      <c r="A385" s="7" t="s">
        <v>491</v>
      </c>
      <c r="B385" s="7" t="s">
        <v>509</v>
      </c>
      <c r="C385" s="7" t="s">
        <v>493</v>
      </c>
      <c r="D385" s="8" t="s">
        <v>510</v>
      </c>
      <c r="E385" s="9" t="s">
        <v>14</v>
      </c>
      <c r="F385" s="9" t="s">
        <v>14</v>
      </c>
      <c r="G385" s="9"/>
      <c r="H385" s="9"/>
      <c r="I385" s="9" t="s">
        <v>14</v>
      </c>
    </row>
    <row r="386" spans="1:9" x14ac:dyDescent="0.25">
      <c r="A386" s="7" t="s">
        <v>491</v>
      </c>
      <c r="B386" s="7" t="s">
        <v>511</v>
      </c>
      <c r="C386" s="7" t="s">
        <v>493</v>
      </c>
      <c r="D386" s="8" t="s">
        <v>356</v>
      </c>
      <c r="E386" s="9" t="s">
        <v>14</v>
      </c>
      <c r="F386" s="9" t="s">
        <v>14</v>
      </c>
      <c r="G386" s="9"/>
      <c r="H386" s="9"/>
      <c r="I386" s="9" t="s">
        <v>14</v>
      </c>
    </row>
    <row r="387" spans="1:9" x14ac:dyDescent="0.25">
      <c r="A387" s="7" t="s">
        <v>491</v>
      </c>
      <c r="B387" s="7" t="s">
        <v>512</v>
      </c>
      <c r="C387" s="7" t="s">
        <v>493</v>
      </c>
      <c r="D387" s="8" t="s">
        <v>513</v>
      </c>
      <c r="E387" s="9" t="s">
        <v>14</v>
      </c>
      <c r="F387" s="9" t="s">
        <v>14</v>
      </c>
      <c r="G387" s="9"/>
      <c r="H387" s="9"/>
      <c r="I387" s="9" t="s">
        <v>14</v>
      </c>
    </row>
    <row r="388" spans="1:9" x14ac:dyDescent="0.25">
      <c r="A388" s="7" t="s">
        <v>491</v>
      </c>
      <c r="B388" s="7" t="s">
        <v>514</v>
      </c>
      <c r="C388" s="7" t="s">
        <v>493</v>
      </c>
      <c r="D388" s="8" t="s">
        <v>352</v>
      </c>
      <c r="E388" s="9" t="s">
        <v>14</v>
      </c>
      <c r="F388" s="9" t="s">
        <v>14</v>
      </c>
      <c r="G388" s="9"/>
      <c r="H388" s="9"/>
      <c r="I388" s="9" t="s">
        <v>14</v>
      </c>
    </row>
    <row r="389" spans="1:9" x14ac:dyDescent="0.25">
      <c r="A389" s="7" t="s">
        <v>491</v>
      </c>
      <c r="B389" s="7" t="s">
        <v>515</v>
      </c>
      <c r="C389" s="7" t="s">
        <v>493</v>
      </c>
      <c r="D389" s="8" t="s">
        <v>516</v>
      </c>
      <c r="E389" s="9" t="s">
        <v>14</v>
      </c>
      <c r="F389" s="9" t="s">
        <v>14</v>
      </c>
      <c r="G389" s="9"/>
      <c r="H389" s="9"/>
      <c r="I389" s="9" t="s">
        <v>14</v>
      </c>
    </row>
    <row r="390" spans="1:9" x14ac:dyDescent="0.25">
      <c r="A390" s="7" t="s">
        <v>491</v>
      </c>
      <c r="B390" s="7" t="s">
        <v>517</v>
      </c>
      <c r="C390" s="7" t="s">
        <v>493</v>
      </c>
      <c r="D390" s="8" t="s">
        <v>275</v>
      </c>
      <c r="E390" s="9" t="s">
        <v>14</v>
      </c>
      <c r="F390" s="9" t="s">
        <v>14</v>
      </c>
      <c r="G390" s="9"/>
      <c r="H390" s="9"/>
      <c r="I390" s="9" t="s">
        <v>14</v>
      </c>
    </row>
    <row r="391" spans="1:9" x14ac:dyDescent="0.25">
      <c r="A391" s="7" t="s">
        <v>491</v>
      </c>
      <c r="B391" s="7" t="s">
        <v>518</v>
      </c>
      <c r="C391" s="7" t="s">
        <v>493</v>
      </c>
      <c r="D391" s="8" t="s">
        <v>519</v>
      </c>
      <c r="E391" s="9" t="s">
        <v>14</v>
      </c>
      <c r="F391" s="9" t="s">
        <v>14</v>
      </c>
      <c r="G391" s="9"/>
      <c r="H391" s="9"/>
      <c r="I391" s="9" t="s">
        <v>14</v>
      </c>
    </row>
    <row r="392" spans="1:9" x14ac:dyDescent="0.25">
      <c r="A392" s="7" t="s">
        <v>491</v>
      </c>
      <c r="B392" s="7" t="s">
        <v>520</v>
      </c>
      <c r="C392" s="7" t="s">
        <v>493</v>
      </c>
      <c r="D392" s="8" t="s">
        <v>104</v>
      </c>
      <c r="E392" s="9" t="s">
        <v>14</v>
      </c>
      <c r="F392" s="9" t="s">
        <v>14</v>
      </c>
      <c r="G392" s="9"/>
      <c r="H392" s="9"/>
      <c r="I392" s="9" t="s">
        <v>14</v>
      </c>
    </row>
    <row r="393" spans="1:9" x14ac:dyDescent="0.25">
      <c r="A393" s="7" t="s">
        <v>491</v>
      </c>
      <c r="B393" s="7" t="s">
        <v>521</v>
      </c>
      <c r="C393" s="7" t="s">
        <v>493</v>
      </c>
      <c r="D393" s="8" t="s">
        <v>522</v>
      </c>
      <c r="E393" s="9" t="s">
        <v>14</v>
      </c>
      <c r="F393" s="9" t="s">
        <v>14</v>
      </c>
      <c r="G393" s="9"/>
      <c r="H393" s="9"/>
      <c r="I393" s="9" t="s">
        <v>14</v>
      </c>
    </row>
    <row r="394" spans="1:9" x14ac:dyDescent="0.25">
      <c r="A394" s="7" t="s">
        <v>491</v>
      </c>
      <c r="B394" s="7" t="s">
        <v>523</v>
      </c>
      <c r="C394" s="8" t="s">
        <v>493</v>
      </c>
      <c r="D394" s="8" t="s">
        <v>238</v>
      </c>
      <c r="E394" s="9" t="s">
        <v>14</v>
      </c>
      <c r="F394" s="9" t="s">
        <v>14</v>
      </c>
      <c r="G394" s="9"/>
      <c r="H394" s="9"/>
      <c r="I394" s="9" t="s">
        <v>14</v>
      </c>
    </row>
    <row r="395" spans="1:9" x14ac:dyDescent="0.25">
      <c r="A395" s="7" t="s">
        <v>491</v>
      </c>
      <c r="B395" s="7" t="s">
        <v>524</v>
      </c>
      <c r="C395" s="8" t="s">
        <v>493</v>
      </c>
      <c r="D395" s="8" t="s">
        <v>525</v>
      </c>
      <c r="E395" s="9" t="s">
        <v>14</v>
      </c>
      <c r="F395" s="9" t="s">
        <v>14</v>
      </c>
      <c r="G395" s="9"/>
      <c r="H395" s="9"/>
      <c r="I395" s="9" t="s">
        <v>14</v>
      </c>
    </row>
    <row r="396" spans="1:9" x14ac:dyDescent="0.25">
      <c r="A396" s="7" t="s">
        <v>491</v>
      </c>
      <c r="B396" s="7" t="s">
        <v>526</v>
      </c>
      <c r="C396" s="8" t="s">
        <v>493</v>
      </c>
      <c r="D396" s="8" t="s">
        <v>366</v>
      </c>
      <c r="E396" s="9" t="s">
        <v>14</v>
      </c>
      <c r="F396" s="9" t="s">
        <v>14</v>
      </c>
      <c r="G396" s="9"/>
      <c r="H396" s="9"/>
      <c r="I396" s="9" t="s">
        <v>14</v>
      </c>
    </row>
    <row r="397" spans="1:9" x14ac:dyDescent="0.25">
      <c r="A397" s="7" t="s">
        <v>491</v>
      </c>
      <c r="B397" s="7" t="s">
        <v>527</v>
      </c>
      <c r="C397" s="8" t="s">
        <v>493</v>
      </c>
      <c r="D397" s="8" t="s">
        <v>528</v>
      </c>
      <c r="E397" s="9" t="s">
        <v>14</v>
      </c>
      <c r="F397" s="9" t="s">
        <v>14</v>
      </c>
      <c r="G397" s="9"/>
      <c r="H397" s="9"/>
      <c r="I397" s="9" t="s">
        <v>14</v>
      </c>
    </row>
    <row r="398" spans="1:9" x14ac:dyDescent="0.25">
      <c r="A398" s="7" t="s">
        <v>491</v>
      </c>
      <c r="B398" s="7" t="s">
        <v>529</v>
      </c>
      <c r="C398" s="7" t="s">
        <v>493</v>
      </c>
      <c r="D398" s="8" t="s">
        <v>530</v>
      </c>
      <c r="E398" s="9" t="s">
        <v>14</v>
      </c>
      <c r="F398" s="9" t="s">
        <v>14</v>
      </c>
      <c r="G398" s="9"/>
      <c r="H398" s="9"/>
      <c r="I398" s="9" t="s">
        <v>14</v>
      </c>
    </row>
    <row r="399" spans="1:9" x14ac:dyDescent="0.25">
      <c r="A399" s="7" t="s">
        <v>491</v>
      </c>
      <c r="B399" s="7" t="s">
        <v>531</v>
      </c>
      <c r="C399" s="7" t="s">
        <v>493</v>
      </c>
      <c r="D399" s="8" t="s">
        <v>532</v>
      </c>
      <c r="E399" s="9" t="s">
        <v>14</v>
      </c>
      <c r="F399" s="9" t="s">
        <v>14</v>
      </c>
      <c r="G399" s="9"/>
      <c r="H399" s="9"/>
      <c r="I399" s="9" t="s">
        <v>14</v>
      </c>
    </row>
    <row r="400" spans="1:9" x14ac:dyDescent="0.25">
      <c r="A400" s="7" t="s">
        <v>491</v>
      </c>
      <c r="B400" s="7" t="s">
        <v>533</v>
      </c>
      <c r="C400" s="8" t="s">
        <v>493</v>
      </c>
      <c r="D400" s="8" t="s">
        <v>235</v>
      </c>
      <c r="E400" s="9" t="s">
        <v>14</v>
      </c>
      <c r="F400" s="9" t="s">
        <v>14</v>
      </c>
      <c r="G400" s="9"/>
      <c r="H400" s="9"/>
      <c r="I400" s="9" t="s">
        <v>14</v>
      </c>
    </row>
    <row r="401" spans="1:9" x14ac:dyDescent="0.25">
      <c r="A401" s="7" t="s">
        <v>491</v>
      </c>
      <c r="B401" s="7" t="s">
        <v>534</v>
      </c>
      <c r="C401" s="8" t="s">
        <v>493</v>
      </c>
      <c r="D401" s="8" t="s">
        <v>535</v>
      </c>
      <c r="E401" s="9" t="s">
        <v>14</v>
      </c>
      <c r="F401" s="9" t="s">
        <v>14</v>
      </c>
      <c r="G401" s="9"/>
      <c r="H401" s="9"/>
      <c r="I401" s="9" t="s">
        <v>14</v>
      </c>
    </row>
    <row r="402" spans="1:9" x14ac:dyDescent="0.25">
      <c r="A402" s="7" t="s">
        <v>491</v>
      </c>
      <c r="B402" s="7" t="s">
        <v>536</v>
      </c>
      <c r="C402" s="8" t="s">
        <v>493</v>
      </c>
      <c r="D402" s="8" t="s">
        <v>134</v>
      </c>
      <c r="E402" s="9" t="s">
        <v>14</v>
      </c>
      <c r="F402" s="9" t="s">
        <v>14</v>
      </c>
      <c r="G402" s="9"/>
      <c r="H402" s="9"/>
      <c r="I402" s="9" t="s">
        <v>14</v>
      </c>
    </row>
    <row r="403" spans="1:9" x14ac:dyDescent="0.25">
      <c r="A403" s="7" t="s">
        <v>491</v>
      </c>
      <c r="B403" s="7" t="s">
        <v>537</v>
      </c>
      <c r="C403" s="8" t="s">
        <v>493</v>
      </c>
      <c r="D403" s="8" t="s">
        <v>538</v>
      </c>
      <c r="E403" s="9" t="s">
        <v>14</v>
      </c>
      <c r="F403" s="9" t="s">
        <v>14</v>
      </c>
      <c r="G403" s="9"/>
      <c r="H403" s="9"/>
      <c r="I403" s="9" t="s">
        <v>14</v>
      </c>
    </row>
    <row r="404" spans="1:9" x14ac:dyDescent="0.25">
      <c r="A404" s="7" t="s">
        <v>491</v>
      </c>
      <c r="B404" s="7" t="s">
        <v>539</v>
      </c>
      <c r="C404" s="8" t="s">
        <v>493</v>
      </c>
      <c r="D404" s="8" t="s">
        <v>272</v>
      </c>
      <c r="E404" s="9" t="s">
        <v>14</v>
      </c>
      <c r="F404" s="9" t="s">
        <v>14</v>
      </c>
      <c r="G404" s="9"/>
      <c r="H404" s="9"/>
      <c r="I404" s="9" t="s">
        <v>14</v>
      </c>
    </row>
    <row r="405" spans="1:9" x14ac:dyDescent="0.25">
      <c r="A405" s="7" t="s">
        <v>491</v>
      </c>
      <c r="B405" s="7" t="s">
        <v>540</v>
      </c>
      <c r="C405" s="8" t="s">
        <v>493</v>
      </c>
      <c r="D405" s="8" t="s">
        <v>541</v>
      </c>
      <c r="E405" s="9" t="s">
        <v>14</v>
      </c>
      <c r="F405" s="9" t="s">
        <v>14</v>
      </c>
      <c r="G405" s="9"/>
      <c r="H405" s="9"/>
      <c r="I405" s="9" t="s">
        <v>14</v>
      </c>
    </row>
    <row r="406" spans="1:9" x14ac:dyDescent="0.25">
      <c r="A406" s="7" t="s">
        <v>542</v>
      </c>
      <c r="B406" s="7" t="s">
        <v>542</v>
      </c>
      <c r="C406" s="8" t="s">
        <v>543</v>
      </c>
      <c r="D406" s="8" t="s">
        <v>52</v>
      </c>
      <c r="E406" s="9" t="s">
        <v>14</v>
      </c>
      <c r="F406" s="9"/>
      <c r="G406" s="9" t="s">
        <v>14</v>
      </c>
      <c r="H406" s="9"/>
      <c r="I406" s="9" t="s">
        <v>14</v>
      </c>
    </row>
    <row r="407" spans="1:9" x14ac:dyDescent="0.25">
      <c r="A407" s="7" t="s">
        <v>542</v>
      </c>
      <c r="B407" s="7" t="s">
        <v>542</v>
      </c>
      <c r="C407" s="8" t="s">
        <v>543</v>
      </c>
      <c r="D407" s="8" t="s">
        <v>470</v>
      </c>
      <c r="E407" s="9" t="s">
        <v>14</v>
      </c>
      <c r="F407" s="9"/>
      <c r="G407" s="9" t="s">
        <v>14</v>
      </c>
      <c r="H407" s="9"/>
      <c r="I407" s="9" t="s">
        <v>14</v>
      </c>
    </row>
    <row r="408" spans="1:9" x14ac:dyDescent="0.25">
      <c r="A408" s="7" t="s">
        <v>542</v>
      </c>
      <c r="B408" s="7" t="s">
        <v>544</v>
      </c>
      <c r="C408" s="7" t="s">
        <v>543</v>
      </c>
      <c r="D408" s="8" t="s">
        <v>545</v>
      </c>
      <c r="E408" s="9" t="s">
        <v>14</v>
      </c>
      <c r="F408" s="9"/>
      <c r="G408" s="9" t="s">
        <v>14</v>
      </c>
      <c r="H408" s="9"/>
      <c r="I408" s="9" t="s">
        <v>14</v>
      </c>
    </row>
    <row r="409" spans="1:9" x14ac:dyDescent="0.25">
      <c r="A409" s="7" t="s">
        <v>542</v>
      </c>
      <c r="B409" s="7" t="s">
        <v>546</v>
      </c>
      <c r="C409" s="7" t="s">
        <v>543</v>
      </c>
      <c r="D409" s="8" t="s">
        <v>547</v>
      </c>
      <c r="E409" s="9" t="s">
        <v>14</v>
      </c>
      <c r="F409" s="9"/>
      <c r="G409" s="9" t="s">
        <v>14</v>
      </c>
      <c r="H409" s="9"/>
      <c r="I409" s="9" t="s">
        <v>14</v>
      </c>
    </row>
    <row r="410" spans="1:9" x14ac:dyDescent="0.25">
      <c r="A410" s="7" t="s">
        <v>542</v>
      </c>
      <c r="B410" s="7" t="s">
        <v>546</v>
      </c>
      <c r="C410" s="8" t="s">
        <v>543</v>
      </c>
      <c r="D410" s="8" t="s">
        <v>548</v>
      </c>
      <c r="E410" s="9" t="s">
        <v>14</v>
      </c>
      <c r="F410" s="9"/>
      <c r="G410" s="9" t="s">
        <v>14</v>
      </c>
      <c r="H410" s="9"/>
      <c r="I410" s="9" t="s">
        <v>14</v>
      </c>
    </row>
    <row r="411" spans="1:9" x14ac:dyDescent="0.25">
      <c r="A411" s="7" t="s">
        <v>542</v>
      </c>
      <c r="B411" s="7" t="s">
        <v>549</v>
      </c>
      <c r="C411" s="8" t="s">
        <v>543</v>
      </c>
      <c r="D411" s="8" t="s">
        <v>256</v>
      </c>
      <c r="E411" s="9" t="s">
        <v>14</v>
      </c>
      <c r="F411" s="9"/>
      <c r="G411" s="9" t="s">
        <v>14</v>
      </c>
      <c r="H411" s="9"/>
      <c r="I411" s="9" t="s">
        <v>14</v>
      </c>
    </row>
    <row r="412" spans="1:9" x14ac:dyDescent="0.25">
      <c r="A412" s="7" t="s">
        <v>542</v>
      </c>
      <c r="B412" s="7" t="s">
        <v>550</v>
      </c>
      <c r="C412" s="8" t="s">
        <v>543</v>
      </c>
      <c r="D412" s="8" t="s">
        <v>551</v>
      </c>
      <c r="E412" s="9" t="s">
        <v>14</v>
      </c>
      <c r="F412" s="9"/>
      <c r="G412" s="9" t="s">
        <v>14</v>
      </c>
      <c r="H412" s="9"/>
      <c r="I412" s="9" t="s">
        <v>14</v>
      </c>
    </row>
    <row r="413" spans="1:9" x14ac:dyDescent="0.25">
      <c r="A413" s="7" t="s">
        <v>542</v>
      </c>
      <c r="B413" s="7" t="s">
        <v>550</v>
      </c>
      <c r="C413" s="8" t="s">
        <v>543</v>
      </c>
      <c r="D413" s="8" t="s">
        <v>552</v>
      </c>
      <c r="E413" s="9" t="s">
        <v>14</v>
      </c>
      <c r="F413" s="9"/>
      <c r="G413" s="9" t="s">
        <v>14</v>
      </c>
      <c r="H413" s="9"/>
      <c r="I413" s="9" t="s">
        <v>14</v>
      </c>
    </row>
    <row r="414" spans="1:9" x14ac:dyDescent="0.25">
      <c r="A414" s="7" t="s">
        <v>542</v>
      </c>
      <c r="B414" s="7" t="s">
        <v>553</v>
      </c>
      <c r="C414" s="7" t="s">
        <v>543</v>
      </c>
      <c r="D414" s="8" t="s">
        <v>333</v>
      </c>
      <c r="E414" s="9" t="s">
        <v>14</v>
      </c>
      <c r="F414" s="9"/>
      <c r="G414" s="9" t="s">
        <v>14</v>
      </c>
      <c r="H414" s="9"/>
      <c r="I414" s="9" t="s">
        <v>14</v>
      </c>
    </row>
    <row r="415" spans="1:9" x14ac:dyDescent="0.25">
      <c r="A415" s="7" t="s">
        <v>542</v>
      </c>
      <c r="B415" s="7" t="s">
        <v>554</v>
      </c>
      <c r="C415" s="7" t="s">
        <v>543</v>
      </c>
      <c r="D415" s="8" t="s">
        <v>265</v>
      </c>
      <c r="E415" s="9" t="s">
        <v>14</v>
      </c>
      <c r="F415" s="9"/>
      <c r="G415" s="9" t="s">
        <v>14</v>
      </c>
      <c r="H415" s="9"/>
      <c r="I415" s="9" t="s">
        <v>14</v>
      </c>
    </row>
    <row r="416" spans="1:9" x14ac:dyDescent="0.25">
      <c r="A416" s="7" t="s">
        <v>542</v>
      </c>
      <c r="B416" s="7" t="s">
        <v>555</v>
      </c>
      <c r="C416" s="7" t="s">
        <v>543</v>
      </c>
      <c r="D416" s="8" t="s">
        <v>556</v>
      </c>
      <c r="E416" s="9" t="s">
        <v>14</v>
      </c>
      <c r="F416" s="9"/>
      <c r="G416" s="9" t="s">
        <v>14</v>
      </c>
      <c r="H416" s="9"/>
      <c r="I416" s="9" t="s">
        <v>14</v>
      </c>
    </row>
    <row r="417" spans="1:9" x14ac:dyDescent="0.25">
      <c r="A417" s="7" t="s">
        <v>542</v>
      </c>
      <c r="B417" s="7" t="s">
        <v>557</v>
      </c>
      <c r="C417" s="8" t="s">
        <v>543</v>
      </c>
      <c r="D417" s="8" t="s">
        <v>265</v>
      </c>
      <c r="E417" s="9" t="s">
        <v>14</v>
      </c>
      <c r="F417" s="9"/>
      <c r="G417" s="9" t="s">
        <v>14</v>
      </c>
      <c r="H417" s="9"/>
      <c r="I417" s="9" t="s">
        <v>14</v>
      </c>
    </row>
    <row r="418" spans="1:9" x14ac:dyDescent="0.25">
      <c r="A418" s="7" t="s">
        <v>542</v>
      </c>
      <c r="B418" s="7" t="s">
        <v>558</v>
      </c>
      <c r="C418" s="8" t="s">
        <v>543</v>
      </c>
      <c r="D418" s="8" t="s">
        <v>559</v>
      </c>
      <c r="E418" s="9" t="s">
        <v>14</v>
      </c>
      <c r="F418" s="9"/>
      <c r="G418" s="9" t="s">
        <v>14</v>
      </c>
      <c r="H418" s="9"/>
      <c r="I418" s="9" t="s">
        <v>14</v>
      </c>
    </row>
    <row r="419" spans="1:9" x14ac:dyDescent="0.25">
      <c r="A419" s="7" t="s">
        <v>542</v>
      </c>
      <c r="B419" s="7" t="s">
        <v>560</v>
      </c>
      <c r="C419" s="8" t="s">
        <v>543</v>
      </c>
      <c r="D419" s="8" t="s">
        <v>108</v>
      </c>
      <c r="E419" s="9" t="s">
        <v>14</v>
      </c>
      <c r="F419" s="9"/>
      <c r="G419" s="9" t="s">
        <v>14</v>
      </c>
      <c r="H419" s="9"/>
      <c r="I419" s="9" t="s">
        <v>14</v>
      </c>
    </row>
    <row r="420" spans="1:9" x14ac:dyDescent="0.25">
      <c r="A420" s="7" t="s">
        <v>542</v>
      </c>
      <c r="B420" s="7" t="s">
        <v>561</v>
      </c>
      <c r="C420" s="8" t="s">
        <v>543</v>
      </c>
      <c r="D420" s="8" t="s">
        <v>507</v>
      </c>
      <c r="E420" s="9" t="s">
        <v>14</v>
      </c>
      <c r="F420" s="9"/>
      <c r="G420" s="9" t="s">
        <v>14</v>
      </c>
      <c r="H420" s="9"/>
      <c r="I420" s="9" t="s">
        <v>14</v>
      </c>
    </row>
    <row r="421" spans="1:9" x14ac:dyDescent="0.25">
      <c r="A421" s="7" t="s">
        <v>542</v>
      </c>
      <c r="B421" s="7" t="s">
        <v>562</v>
      </c>
      <c r="C421" s="8" t="s">
        <v>543</v>
      </c>
      <c r="D421" s="8" t="s">
        <v>269</v>
      </c>
      <c r="E421" s="9" t="s">
        <v>14</v>
      </c>
      <c r="F421" s="9"/>
      <c r="G421" s="9" t="s">
        <v>14</v>
      </c>
      <c r="H421" s="9"/>
      <c r="I421" s="9" t="s">
        <v>14</v>
      </c>
    </row>
    <row r="422" spans="1:9" x14ac:dyDescent="0.25">
      <c r="A422" s="7" t="s">
        <v>542</v>
      </c>
      <c r="B422" s="7" t="s">
        <v>563</v>
      </c>
      <c r="C422" s="8" t="s">
        <v>543</v>
      </c>
      <c r="D422" s="8" t="s">
        <v>564</v>
      </c>
      <c r="E422" s="9" t="s">
        <v>14</v>
      </c>
      <c r="F422" s="9"/>
      <c r="G422" s="9" t="s">
        <v>14</v>
      </c>
      <c r="H422" s="9"/>
      <c r="I422" s="9" t="s">
        <v>14</v>
      </c>
    </row>
    <row r="423" spans="1:9" x14ac:dyDescent="0.25">
      <c r="A423" s="7" t="s">
        <v>542</v>
      </c>
      <c r="B423" s="7" t="s">
        <v>565</v>
      </c>
      <c r="C423" s="8" t="s">
        <v>543</v>
      </c>
      <c r="D423" s="8" t="s">
        <v>238</v>
      </c>
      <c r="E423" s="9" t="s">
        <v>14</v>
      </c>
      <c r="F423" s="9"/>
      <c r="G423" s="9" t="s">
        <v>14</v>
      </c>
      <c r="H423" s="9"/>
      <c r="I423" s="9" t="s">
        <v>14</v>
      </c>
    </row>
    <row r="424" spans="1:9" x14ac:dyDescent="0.25">
      <c r="A424" s="7" t="s">
        <v>542</v>
      </c>
      <c r="B424" s="7" t="s">
        <v>566</v>
      </c>
      <c r="C424" s="8" t="s">
        <v>543</v>
      </c>
      <c r="D424" s="8" t="s">
        <v>503</v>
      </c>
      <c r="E424" s="9" t="s">
        <v>14</v>
      </c>
      <c r="F424" s="9"/>
      <c r="G424" s="9" t="s">
        <v>14</v>
      </c>
      <c r="H424" s="9"/>
      <c r="I424" s="9" t="s">
        <v>14</v>
      </c>
    </row>
    <row r="425" spans="1:9" x14ac:dyDescent="0.25">
      <c r="A425" s="7" t="s">
        <v>542</v>
      </c>
      <c r="B425" s="7" t="s">
        <v>567</v>
      </c>
      <c r="C425" s="8" t="s">
        <v>543</v>
      </c>
      <c r="D425" s="8" t="s">
        <v>102</v>
      </c>
      <c r="E425" s="9" t="s">
        <v>14</v>
      </c>
      <c r="F425" s="9"/>
      <c r="G425" s="9" t="s">
        <v>14</v>
      </c>
      <c r="H425" s="9"/>
      <c r="I425" s="9" t="s">
        <v>14</v>
      </c>
    </row>
    <row r="426" spans="1:9" x14ac:dyDescent="0.25">
      <c r="A426" s="7" t="s">
        <v>542</v>
      </c>
      <c r="B426" s="7" t="s">
        <v>568</v>
      </c>
      <c r="C426" s="8" t="s">
        <v>543</v>
      </c>
      <c r="D426" s="8" t="s">
        <v>519</v>
      </c>
      <c r="E426" s="9" t="s">
        <v>14</v>
      </c>
      <c r="F426" s="9"/>
      <c r="G426" s="9" t="s">
        <v>14</v>
      </c>
      <c r="H426" s="9"/>
      <c r="I426" s="9" t="s">
        <v>14</v>
      </c>
    </row>
    <row r="427" spans="1:9" x14ac:dyDescent="0.25">
      <c r="A427" s="7" t="s">
        <v>542</v>
      </c>
      <c r="B427" s="7" t="s">
        <v>569</v>
      </c>
      <c r="C427" s="7" t="s">
        <v>543</v>
      </c>
      <c r="D427" s="8" t="s">
        <v>570</v>
      </c>
      <c r="E427" s="9" t="s">
        <v>14</v>
      </c>
      <c r="F427" s="9"/>
      <c r="G427" s="9" t="s">
        <v>14</v>
      </c>
      <c r="H427" s="9"/>
      <c r="I427" s="9" t="s">
        <v>14</v>
      </c>
    </row>
    <row r="428" spans="1:9" x14ac:dyDescent="0.25">
      <c r="A428" s="7" t="s">
        <v>542</v>
      </c>
      <c r="B428" s="7" t="s">
        <v>571</v>
      </c>
      <c r="C428" s="8" t="s">
        <v>543</v>
      </c>
      <c r="D428" s="8" t="s">
        <v>572</v>
      </c>
      <c r="E428" s="9" t="s">
        <v>14</v>
      </c>
      <c r="F428" s="9"/>
      <c r="G428" s="9" t="s">
        <v>14</v>
      </c>
      <c r="H428" s="9"/>
      <c r="I428" s="9" t="s">
        <v>14</v>
      </c>
    </row>
    <row r="429" spans="1:9" x14ac:dyDescent="0.25">
      <c r="A429" s="7" t="s">
        <v>542</v>
      </c>
      <c r="B429" s="7" t="s">
        <v>573</v>
      </c>
      <c r="C429" s="8" t="s">
        <v>543</v>
      </c>
      <c r="D429" s="8" t="s">
        <v>75</v>
      </c>
      <c r="E429" s="9" t="s">
        <v>14</v>
      </c>
      <c r="F429" s="9"/>
      <c r="G429" s="9" t="s">
        <v>14</v>
      </c>
      <c r="H429" s="9"/>
      <c r="I429" s="9" t="s">
        <v>14</v>
      </c>
    </row>
    <row r="430" spans="1:9" x14ac:dyDescent="0.25">
      <c r="A430" s="7" t="s">
        <v>542</v>
      </c>
      <c r="B430" s="7" t="s">
        <v>573</v>
      </c>
      <c r="C430" s="8" t="s">
        <v>543</v>
      </c>
      <c r="D430" s="8" t="s">
        <v>251</v>
      </c>
      <c r="E430" s="9" t="s">
        <v>14</v>
      </c>
      <c r="F430" s="9"/>
      <c r="G430" s="9" t="s">
        <v>14</v>
      </c>
      <c r="H430" s="9"/>
      <c r="I430" s="9" t="s">
        <v>14</v>
      </c>
    </row>
    <row r="431" spans="1:9" x14ac:dyDescent="0.25">
      <c r="A431" s="7" t="s">
        <v>542</v>
      </c>
      <c r="B431" s="7" t="s">
        <v>574</v>
      </c>
      <c r="C431" s="7" t="s">
        <v>543</v>
      </c>
      <c r="D431" s="8" t="s">
        <v>516</v>
      </c>
      <c r="E431" s="9" t="s">
        <v>14</v>
      </c>
      <c r="F431" s="9"/>
      <c r="G431" s="9" t="s">
        <v>14</v>
      </c>
      <c r="H431" s="9"/>
      <c r="I431" s="9" t="s">
        <v>14</v>
      </c>
    </row>
    <row r="432" spans="1:9" x14ac:dyDescent="0.25">
      <c r="A432" s="7" t="s">
        <v>542</v>
      </c>
      <c r="B432" s="7" t="s">
        <v>575</v>
      </c>
      <c r="C432" s="7" t="s">
        <v>543</v>
      </c>
      <c r="D432" s="8" t="s">
        <v>78</v>
      </c>
      <c r="E432" s="9" t="s">
        <v>14</v>
      </c>
      <c r="F432" s="9"/>
      <c r="G432" s="9" t="s">
        <v>14</v>
      </c>
      <c r="H432" s="9"/>
      <c r="I432" s="9" t="s">
        <v>14</v>
      </c>
    </row>
    <row r="433" spans="1:9" x14ac:dyDescent="0.25">
      <c r="A433" s="7" t="s">
        <v>542</v>
      </c>
      <c r="B433" s="7" t="s">
        <v>576</v>
      </c>
      <c r="C433" s="7" t="s">
        <v>543</v>
      </c>
      <c r="D433" s="8" t="s">
        <v>577</v>
      </c>
      <c r="E433" s="9" t="s">
        <v>14</v>
      </c>
      <c r="F433" s="9"/>
      <c r="G433" s="9" t="s">
        <v>14</v>
      </c>
      <c r="H433" s="9"/>
      <c r="I433" s="9" t="s">
        <v>14</v>
      </c>
    </row>
    <row r="434" spans="1:9" x14ac:dyDescent="0.25">
      <c r="A434" s="7" t="s">
        <v>542</v>
      </c>
      <c r="B434" s="7" t="s">
        <v>578</v>
      </c>
      <c r="C434" s="7" t="s">
        <v>543</v>
      </c>
      <c r="D434" s="8" t="s">
        <v>525</v>
      </c>
      <c r="E434" s="9" t="s">
        <v>14</v>
      </c>
      <c r="F434" s="9"/>
      <c r="G434" s="9" t="s">
        <v>14</v>
      </c>
      <c r="H434" s="9"/>
      <c r="I434" s="9" t="s">
        <v>14</v>
      </c>
    </row>
    <row r="435" spans="1:9" x14ac:dyDescent="0.25">
      <c r="A435" s="7" t="s">
        <v>542</v>
      </c>
      <c r="B435" s="7" t="s">
        <v>579</v>
      </c>
      <c r="C435" s="7" t="s">
        <v>543</v>
      </c>
      <c r="D435" s="8" t="s">
        <v>577</v>
      </c>
      <c r="E435" s="9" t="s">
        <v>14</v>
      </c>
      <c r="F435" s="9"/>
      <c r="G435" s="9" t="s">
        <v>14</v>
      </c>
      <c r="H435" s="9"/>
      <c r="I435" s="9" t="s">
        <v>14</v>
      </c>
    </row>
    <row r="436" spans="1:9" x14ac:dyDescent="0.25">
      <c r="A436" s="7" t="s">
        <v>542</v>
      </c>
      <c r="B436" s="7" t="s">
        <v>580</v>
      </c>
      <c r="C436" s="7" t="s">
        <v>543</v>
      </c>
      <c r="D436" s="8" t="s">
        <v>581</v>
      </c>
      <c r="E436" s="9" t="s">
        <v>14</v>
      </c>
      <c r="F436" s="9"/>
      <c r="G436" s="9" t="s">
        <v>14</v>
      </c>
      <c r="H436" s="9"/>
      <c r="I436" s="9" t="s">
        <v>14</v>
      </c>
    </row>
    <row r="437" spans="1:9" x14ac:dyDescent="0.25">
      <c r="A437" s="7" t="s">
        <v>542</v>
      </c>
      <c r="B437" s="7" t="s">
        <v>582</v>
      </c>
      <c r="C437" s="8" t="s">
        <v>543</v>
      </c>
      <c r="D437" s="8" t="s">
        <v>43</v>
      </c>
      <c r="E437" s="9" t="s">
        <v>14</v>
      </c>
      <c r="F437" s="9"/>
      <c r="G437" s="9" t="s">
        <v>14</v>
      </c>
      <c r="H437" s="9"/>
      <c r="I437" s="9" t="s">
        <v>14</v>
      </c>
    </row>
    <row r="438" spans="1:9" x14ac:dyDescent="0.25">
      <c r="A438" s="7" t="s">
        <v>542</v>
      </c>
      <c r="B438" s="7" t="s">
        <v>582</v>
      </c>
      <c r="C438" s="8" t="s">
        <v>543</v>
      </c>
      <c r="D438" s="8" t="s">
        <v>583</v>
      </c>
      <c r="E438" s="9" t="s">
        <v>14</v>
      </c>
      <c r="F438" s="9"/>
      <c r="G438" s="9" t="s">
        <v>14</v>
      </c>
      <c r="H438" s="9"/>
      <c r="I438" s="9" t="s">
        <v>14</v>
      </c>
    </row>
    <row r="439" spans="1:9" x14ac:dyDescent="0.25">
      <c r="A439" s="7" t="s">
        <v>542</v>
      </c>
      <c r="B439" s="7" t="s">
        <v>584</v>
      </c>
      <c r="C439" s="8" t="s">
        <v>543</v>
      </c>
      <c r="D439" s="8" t="s">
        <v>585</v>
      </c>
      <c r="E439" s="9" t="s">
        <v>14</v>
      </c>
      <c r="F439" s="9"/>
      <c r="G439" s="9" t="s">
        <v>14</v>
      </c>
      <c r="H439" s="9"/>
      <c r="I439" s="9" t="s">
        <v>14</v>
      </c>
    </row>
    <row r="440" spans="1:9" x14ac:dyDescent="0.25">
      <c r="A440" s="7" t="s">
        <v>542</v>
      </c>
      <c r="B440" s="7" t="s">
        <v>586</v>
      </c>
      <c r="C440" s="8" t="s">
        <v>543</v>
      </c>
      <c r="D440" s="8" t="s">
        <v>260</v>
      </c>
      <c r="E440" s="9" t="s">
        <v>14</v>
      </c>
      <c r="F440" s="9"/>
      <c r="G440" s="9" t="s">
        <v>14</v>
      </c>
      <c r="H440" s="9"/>
      <c r="I440" s="9" t="s">
        <v>14</v>
      </c>
    </row>
    <row r="441" spans="1:9" x14ac:dyDescent="0.25">
      <c r="A441" s="7" t="s">
        <v>542</v>
      </c>
      <c r="B441" s="7" t="s">
        <v>587</v>
      </c>
      <c r="C441" s="7" t="s">
        <v>543</v>
      </c>
      <c r="D441" s="8" t="s">
        <v>588</v>
      </c>
      <c r="E441" s="9" t="s">
        <v>14</v>
      </c>
      <c r="F441" s="9"/>
      <c r="G441" s="9" t="s">
        <v>14</v>
      </c>
      <c r="H441" s="9"/>
      <c r="I441" s="9" t="s">
        <v>14</v>
      </c>
    </row>
    <row r="442" spans="1:9" x14ac:dyDescent="0.25">
      <c r="A442" s="7" t="s">
        <v>542</v>
      </c>
      <c r="B442" s="7" t="s">
        <v>587</v>
      </c>
      <c r="C442" s="8" t="s">
        <v>543</v>
      </c>
      <c r="D442" s="8" t="s">
        <v>538</v>
      </c>
      <c r="E442" s="9" t="s">
        <v>14</v>
      </c>
      <c r="F442" s="9"/>
      <c r="G442" s="9" t="s">
        <v>14</v>
      </c>
      <c r="H442" s="9"/>
      <c r="I442" s="9" t="s">
        <v>14</v>
      </c>
    </row>
    <row r="443" spans="1:9" x14ac:dyDescent="0.25">
      <c r="A443" s="7" t="s">
        <v>589</v>
      </c>
      <c r="B443" s="7" t="s">
        <v>590</v>
      </c>
      <c r="C443" s="7" t="s">
        <v>591</v>
      </c>
      <c r="D443" s="8" t="s">
        <v>52</v>
      </c>
      <c r="E443" s="9" t="s">
        <v>14</v>
      </c>
      <c r="F443" s="9"/>
      <c r="G443" s="9" t="s">
        <v>14</v>
      </c>
      <c r="H443" s="9"/>
      <c r="I443" s="9" t="s">
        <v>14</v>
      </c>
    </row>
    <row r="444" spans="1:9" x14ac:dyDescent="0.25">
      <c r="A444" s="7" t="s">
        <v>589</v>
      </c>
      <c r="B444" s="7" t="s">
        <v>592</v>
      </c>
      <c r="C444" s="7" t="s">
        <v>591</v>
      </c>
      <c r="D444" s="8" t="s">
        <v>29</v>
      </c>
      <c r="E444" s="9" t="s">
        <v>14</v>
      </c>
      <c r="F444" s="9"/>
      <c r="G444" s="9" t="s">
        <v>14</v>
      </c>
      <c r="H444" s="9"/>
      <c r="I444" s="9" t="s">
        <v>14</v>
      </c>
    </row>
    <row r="445" spans="1:9" x14ac:dyDescent="0.25">
      <c r="A445" s="7" t="s">
        <v>589</v>
      </c>
      <c r="B445" s="7" t="s">
        <v>593</v>
      </c>
      <c r="C445" s="8" t="s">
        <v>591</v>
      </c>
      <c r="D445" s="8" t="s">
        <v>195</v>
      </c>
      <c r="E445" s="9" t="s">
        <v>14</v>
      </c>
      <c r="F445" s="9"/>
      <c r="G445" s="9" t="s">
        <v>14</v>
      </c>
      <c r="H445" s="9"/>
      <c r="I445" s="9" t="s">
        <v>14</v>
      </c>
    </row>
    <row r="446" spans="1:9" x14ac:dyDescent="0.25">
      <c r="A446" s="7" t="s">
        <v>589</v>
      </c>
      <c r="B446" s="7" t="s">
        <v>593</v>
      </c>
      <c r="C446" s="8" t="s">
        <v>591</v>
      </c>
      <c r="D446" s="8" t="s">
        <v>262</v>
      </c>
      <c r="E446" s="9" t="s">
        <v>14</v>
      </c>
      <c r="F446" s="9"/>
      <c r="G446" s="9" t="s">
        <v>14</v>
      </c>
      <c r="H446" s="9"/>
      <c r="I446" s="9" t="s">
        <v>14</v>
      </c>
    </row>
    <row r="447" spans="1:9" x14ac:dyDescent="0.25">
      <c r="A447" s="7" t="s">
        <v>589</v>
      </c>
      <c r="B447" s="7" t="s">
        <v>589</v>
      </c>
      <c r="C447" s="8" t="s">
        <v>591</v>
      </c>
      <c r="D447" s="8" t="s">
        <v>13</v>
      </c>
      <c r="E447" s="9" t="s">
        <v>14</v>
      </c>
      <c r="F447" s="9"/>
      <c r="G447" s="9" t="s">
        <v>14</v>
      </c>
      <c r="H447" s="9"/>
      <c r="I447" s="9" t="s">
        <v>14</v>
      </c>
    </row>
    <row r="448" spans="1:9" x14ac:dyDescent="0.25">
      <c r="A448" s="7" t="s">
        <v>589</v>
      </c>
      <c r="B448" s="7" t="s">
        <v>589</v>
      </c>
      <c r="C448" s="7" t="s">
        <v>591</v>
      </c>
      <c r="D448" s="8" t="s">
        <v>122</v>
      </c>
      <c r="E448" s="9" t="s">
        <v>14</v>
      </c>
      <c r="F448" s="9"/>
      <c r="G448" s="9" t="s">
        <v>14</v>
      </c>
      <c r="H448" s="9"/>
      <c r="I448" s="9" t="s">
        <v>14</v>
      </c>
    </row>
    <row r="449" spans="1:9" x14ac:dyDescent="0.25">
      <c r="A449" s="7" t="s">
        <v>589</v>
      </c>
      <c r="B449" s="7" t="s">
        <v>594</v>
      </c>
      <c r="C449" s="7" t="s">
        <v>591</v>
      </c>
      <c r="D449" s="8" t="s">
        <v>307</v>
      </c>
      <c r="E449" s="9" t="s">
        <v>14</v>
      </c>
      <c r="F449" s="9"/>
      <c r="G449" s="9" t="s">
        <v>14</v>
      </c>
      <c r="H449" s="9"/>
      <c r="I449" s="9" t="s">
        <v>14</v>
      </c>
    </row>
    <row r="450" spans="1:9" x14ac:dyDescent="0.25">
      <c r="A450" s="7" t="s">
        <v>589</v>
      </c>
      <c r="B450" s="7" t="s">
        <v>595</v>
      </c>
      <c r="C450" s="7" t="s">
        <v>591</v>
      </c>
      <c r="D450" s="8" t="s">
        <v>36</v>
      </c>
      <c r="E450" s="9" t="s">
        <v>14</v>
      </c>
      <c r="F450" s="9"/>
      <c r="G450" s="9" t="s">
        <v>14</v>
      </c>
      <c r="H450" s="9"/>
      <c r="I450" s="9" t="s">
        <v>14</v>
      </c>
    </row>
    <row r="451" spans="1:9" x14ac:dyDescent="0.25">
      <c r="A451" s="7" t="s">
        <v>596</v>
      </c>
      <c r="B451" s="7" t="s">
        <v>596</v>
      </c>
      <c r="C451" s="7" t="s">
        <v>597</v>
      </c>
      <c r="D451" s="8" t="s">
        <v>52</v>
      </c>
      <c r="E451" s="9" t="s">
        <v>14</v>
      </c>
      <c r="F451" s="9"/>
      <c r="G451" s="9" t="s">
        <v>14</v>
      </c>
      <c r="H451" s="9"/>
      <c r="I451" s="9" t="s">
        <v>14</v>
      </c>
    </row>
    <row r="452" spans="1:9" x14ac:dyDescent="0.25">
      <c r="A452" s="7" t="s">
        <v>596</v>
      </c>
      <c r="B452" s="7" t="s">
        <v>598</v>
      </c>
      <c r="C452" s="8" t="s">
        <v>597</v>
      </c>
      <c r="D452" s="8" t="s">
        <v>18</v>
      </c>
      <c r="E452" s="9" t="s">
        <v>14</v>
      </c>
      <c r="F452" s="9"/>
      <c r="G452" s="9" t="s">
        <v>14</v>
      </c>
      <c r="H452" s="9"/>
      <c r="I452" s="9" t="s">
        <v>14</v>
      </c>
    </row>
    <row r="453" spans="1:9" x14ac:dyDescent="0.25">
      <c r="A453" s="7" t="s">
        <v>599</v>
      </c>
      <c r="B453" s="7" t="s">
        <v>600</v>
      </c>
      <c r="C453" s="7" t="s">
        <v>601</v>
      </c>
      <c r="D453" s="8" t="s">
        <v>118</v>
      </c>
      <c r="E453" s="9" t="s">
        <v>14</v>
      </c>
      <c r="F453" s="9"/>
      <c r="G453" s="9"/>
      <c r="H453" s="9"/>
      <c r="I453" s="9"/>
    </row>
    <row r="454" spans="1:9" x14ac:dyDescent="0.25">
      <c r="A454" s="7" t="s">
        <v>599</v>
      </c>
      <c r="B454" s="7" t="s">
        <v>602</v>
      </c>
      <c r="C454" s="8" t="s">
        <v>601</v>
      </c>
      <c r="D454" s="8" t="s">
        <v>333</v>
      </c>
      <c r="E454" s="9" t="s">
        <v>14</v>
      </c>
      <c r="F454" s="9"/>
      <c r="G454" s="9"/>
      <c r="H454" s="9"/>
      <c r="I454" s="9"/>
    </row>
    <row r="455" spans="1:9" x14ac:dyDescent="0.25">
      <c r="A455" s="7" t="s">
        <v>599</v>
      </c>
      <c r="B455" s="7" t="s">
        <v>603</v>
      </c>
      <c r="C455" s="7" t="s">
        <v>601</v>
      </c>
      <c r="D455" s="8" t="s">
        <v>55</v>
      </c>
      <c r="E455" s="9" t="s">
        <v>14</v>
      </c>
      <c r="F455" s="9"/>
      <c r="G455" s="9"/>
      <c r="H455" s="9"/>
      <c r="I455" s="9"/>
    </row>
    <row r="456" spans="1:9" x14ac:dyDescent="0.25">
      <c r="A456" s="7" t="s">
        <v>599</v>
      </c>
      <c r="B456" s="7" t="s">
        <v>604</v>
      </c>
      <c r="C456" s="7" t="s">
        <v>601</v>
      </c>
      <c r="D456" s="8" t="s">
        <v>307</v>
      </c>
      <c r="E456" s="9" t="s">
        <v>14</v>
      </c>
      <c r="F456" s="9"/>
      <c r="G456" s="9"/>
      <c r="H456" s="9"/>
      <c r="I456" s="9"/>
    </row>
    <row r="457" spans="1:9" x14ac:dyDescent="0.25">
      <c r="A457" s="7" t="s">
        <v>599</v>
      </c>
      <c r="B457" s="7" t="s">
        <v>605</v>
      </c>
      <c r="C457" s="7" t="s">
        <v>601</v>
      </c>
      <c r="D457" s="8" t="s">
        <v>50</v>
      </c>
      <c r="E457" s="9" t="s">
        <v>14</v>
      </c>
      <c r="F457" s="9"/>
      <c r="G457" s="9"/>
      <c r="H457" s="9"/>
      <c r="I457" s="9"/>
    </row>
    <row r="458" spans="1:9" x14ac:dyDescent="0.25">
      <c r="A458" s="7" t="s">
        <v>599</v>
      </c>
      <c r="B458" s="7" t="s">
        <v>606</v>
      </c>
      <c r="C458" s="7" t="s">
        <v>601</v>
      </c>
      <c r="D458" s="8" t="s">
        <v>317</v>
      </c>
      <c r="E458" s="9" t="s">
        <v>14</v>
      </c>
      <c r="F458" s="9"/>
      <c r="G458" s="9"/>
      <c r="H458" s="9"/>
      <c r="I458" s="9"/>
    </row>
    <row r="459" spans="1:9" x14ac:dyDescent="0.25">
      <c r="A459" s="7" t="s">
        <v>599</v>
      </c>
      <c r="B459" s="7" t="s">
        <v>599</v>
      </c>
      <c r="C459" s="8" t="s">
        <v>601</v>
      </c>
      <c r="D459" s="8" t="s">
        <v>13</v>
      </c>
      <c r="E459" s="9" t="s">
        <v>14</v>
      </c>
      <c r="F459" s="9"/>
      <c r="G459" s="9"/>
      <c r="H459" s="9"/>
      <c r="I459" s="9"/>
    </row>
    <row r="460" spans="1:9" x14ac:dyDescent="0.25">
      <c r="A460" s="7" t="s">
        <v>599</v>
      </c>
      <c r="B460" s="7" t="s">
        <v>599</v>
      </c>
      <c r="C460" s="8" t="s">
        <v>601</v>
      </c>
      <c r="D460" s="8" t="s">
        <v>32</v>
      </c>
      <c r="E460" s="9" t="s">
        <v>14</v>
      </c>
      <c r="F460" s="9"/>
      <c r="G460" s="9"/>
      <c r="H460" s="9"/>
      <c r="I460" s="9"/>
    </row>
    <row r="461" spans="1:9" x14ac:dyDescent="0.25">
      <c r="A461" s="7" t="s">
        <v>599</v>
      </c>
      <c r="B461" s="7" t="s">
        <v>607</v>
      </c>
      <c r="C461" s="8" t="s">
        <v>601</v>
      </c>
      <c r="D461" s="8" t="s">
        <v>263</v>
      </c>
      <c r="E461" s="9" t="s">
        <v>14</v>
      </c>
      <c r="F461" s="9"/>
      <c r="G461" s="9"/>
      <c r="H461" s="9"/>
      <c r="I461" s="9"/>
    </row>
    <row r="462" spans="1:9" x14ac:dyDescent="0.25">
      <c r="A462" s="7" t="s">
        <v>599</v>
      </c>
      <c r="B462" s="7" t="s">
        <v>607</v>
      </c>
      <c r="C462" s="7" t="s">
        <v>601</v>
      </c>
      <c r="D462" s="8" t="s">
        <v>608</v>
      </c>
      <c r="E462" s="9" t="s">
        <v>14</v>
      </c>
      <c r="F462" s="9"/>
      <c r="G462" s="9"/>
      <c r="H462" s="9"/>
      <c r="I462" s="9"/>
    </row>
    <row r="463" spans="1:9" x14ac:dyDescent="0.25">
      <c r="A463" s="7" t="s">
        <v>599</v>
      </c>
      <c r="B463" s="7" t="s">
        <v>609</v>
      </c>
      <c r="C463" s="7" t="s">
        <v>601</v>
      </c>
      <c r="D463" s="8" t="s">
        <v>39</v>
      </c>
      <c r="E463" s="9" t="s">
        <v>14</v>
      </c>
      <c r="F463" s="9"/>
      <c r="G463" s="9"/>
      <c r="H463" s="9"/>
      <c r="I463" s="9"/>
    </row>
    <row r="464" spans="1:9" x14ac:dyDescent="0.25">
      <c r="A464" s="7" t="s">
        <v>599</v>
      </c>
      <c r="B464" s="7" t="s">
        <v>610</v>
      </c>
      <c r="C464" s="7" t="s">
        <v>601</v>
      </c>
      <c r="D464" s="8" t="s">
        <v>267</v>
      </c>
      <c r="E464" s="9" t="s">
        <v>14</v>
      </c>
      <c r="F464" s="9"/>
      <c r="G464" s="9"/>
      <c r="H464" s="9"/>
      <c r="I464" s="9"/>
    </row>
    <row r="465" spans="1:9" x14ac:dyDescent="0.25">
      <c r="A465" s="7" t="s">
        <v>611</v>
      </c>
      <c r="B465" s="7" t="s">
        <v>611</v>
      </c>
      <c r="C465" s="7" t="s">
        <v>612</v>
      </c>
      <c r="D465" s="8" t="s">
        <v>13</v>
      </c>
      <c r="E465" s="9" t="s">
        <v>14</v>
      </c>
      <c r="F465" s="9"/>
      <c r="G465" s="9" t="s">
        <v>14</v>
      </c>
      <c r="H465" s="9"/>
      <c r="I465" s="9" t="s">
        <v>14</v>
      </c>
    </row>
    <row r="466" spans="1:9" x14ac:dyDescent="0.25">
      <c r="A466" s="7" t="s">
        <v>611</v>
      </c>
      <c r="B466" s="7" t="s">
        <v>613</v>
      </c>
      <c r="C466" s="7" t="s">
        <v>612</v>
      </c>
      <c r="D466" s="8" t="s">
        <v>50</v>
      </c>
      <c r="E466" s="9" t="s">
        <v>14</v>
      </c>
      <c r="F466" s="9"/>
      <c r="G466" s="9" t="s">
        <v>14</v>
      </c>
      <c r="H466" s="9"/>
      <c r="I466" s="9" t="s">
        <v>14</v>
      </c>
    </row>
    <row r="467" spans="1:9" x14ac:dyDescent="0.25">
      <c r="A467" s="7" t="s">
        <v>614</v>
      </c>
      <c r="B467" s="7" t="s">
        <v>615</v>
      </c>
      <c r="C467" s="7" t="s">
        <v>616</v>
      </c>
      <c r="D467" s="8" t="s">
        <v>46</v>
      </c>
      <c r="E467" s="9" t="s">
        <v>14</v>
      </c>
      <c r="F467" s="9"/>
      <c r="G467" s="9"/>
      <c r="H467" s="9"/>
      <c r="I467" s="9"/>
    </row>
    <row r="468" spans="1:9" x14ac:dyDescent="0.25">
      <c r="A468" s="7" t="s">
        <v>614</v>
      </c>
      <c r="B468" s="7" t="s">
        <v>615</v>
      </c>
      <c r="C468" s="7" t="s">
        <v>616</v>
      </c>
      <c r="D468" s="8" t="s">
        <v>122</v>
      </c>
      <c r="E468" s="9" t="s">
        <v>14</v>
      </c>
      <c r="F468" s="9"/>
      <c r="G468" s="9"/>
      <c r="H468" s="9"/>
      <c r="I468" s="9"/>
    </row>
    <row r="469" spans="1:9" x14ac:dyDescent="0.25">
      <c r="A469" s="7" t="s">
        <v>614</v>
      </c>
      <c r="B469" s="7" t="s">
        <v>617</v>
      </c>
      <c r="C469" s="7" t="s">
        <v>616</v>
      </c>
      <c r="D469" s="8" t="s">
        <v>470</v>
      </c>
      <c r="E469" s="9" t="s">
        <v>14</v>
      </c>
      <c r="F469" s="9"/>
      <c r="G469" s="9"/>
      <c r="H469" s="9"/>
      <c r="I469" s="9"/>
    </row>
    <row r="470" spans="1:9" x14ac:dyDescent="0.25">
      <c r="A470" s="7" t="s">
        <v>614</v>
      </c>
      <c r="B470" s="7" t="s">
        <v>618</v>
      </c>
      <c r="C470" s="7" t="s">
        <v>616</v>
      </c>
      <c r="D470" s="8" t="s">
        <v>73</v>
      </c>
      <c r="E470" s="9" t="s">
        <v>14</v>
      </c>
      <c r="F470" s="9"/>
      <c r="G470" s="9"/>
      <c r="H470" s="9"/>
      <c r="I470" s="9"/>
    </row>
    <row r="471" spans="1:9" x14ac:dyDescent="0.25">
      <c r="A471" s="7" t="s">
        <v>614</v>
      </c>
      <c r="B471" s="7" t="s">
        <v>619</v>
      </c>
      <c r="C471" s="7" t="s">
        <v>616</v>
      </c>
      <c r="D471" s="8" t="s">
        <v>78</v>
      </c>
      <c r="E471" s="9" t="s">
        <v>14</v>
      </c>
      <c r="F471" s="9"/>
      <c r="G471" s="9"/>
      <c r="H471" s="9"/>
      <c r="I471" s="9"/>
    </row>
    <row r="472" spans="1:9" x14ac:dyDescent="0.25">
      <c r="A472" s="7" t="s">
        <v>620</v>
      </c>
      <c r="B472" s="7" t="s">
        <v>621</v>
      </c>
      <c r="C472" s="8" t="s">
        <v>622</v>
      </c>
      <c r="D472" s="8" t="s">
        <v>118</v>
      </c>
      <c r="E472" s="9" t="s">
        <v>14</v>
      </c>
      <c r="F472" s="9"/>
      <c r="G472" s="9"/>
      <c r="H472" s="9"/>
      <c r="I472" s="9"/>
    </row>
    <row r="473" spans="1:9" x14ac:dyDescent="0.25">
      <c r="A473" s="7" t="s">
        <v>620</v>
      </c>
      <c r="B473" s="7" t="s">
        <v>623</v>
      </c>
      <c r="C473" s="8" t="s">
        <v>622</v>
      </c>
      <c r="D473" s="8" t="s">
        <v>97</v>
      </c>
      <c r="E473" s="9" t="s">
        <v>14</v>
      </c>
      <c r="F473" s="9"/>
      <c r="G473" s="9"/>
      <c r="H473" s="9"/>
      <c r="I473" s="9"/>
    </row>
    <row r="474" spans="1:9" x14ac:dyDescent="0.25">
      <c r="A474" s="7" t="s">
        <v>620</v>
      </c>
      <c r="B474" s="7" t="s">
        <v>624</v>
      </c>
      <c r="C474" s="7" t="s">
        <v>622</v>
      </c>
      <c r="D474" s="8" t="s">
        <v>55</v>
      </c>
      <c r="E474" s="9" t="s">
        <v>14</v>
      </c>
      <c r="F474" s="9"/>
      <c r="G474" s="9"/>
      <c r="H474" s="9"/>
      <c r="I474" s="9"/>
    </row>
    <row r="475" spans="1:9" x14ac:dyDescent="0.25">
      <c r="A475" s="7" t="s">
        <v>620</v>
      </c>
      <c r="B475" s="7" t="s">
        <v>625</v>
      </c>
      <c r="C475" s="8" t="s">
        <v>622</v>
      </c>
      <c r="D475" s="8" t="s">
        <v>297</v>
      </c>
      <c r="E475" s="9" t="s">
        <v>14</v>
      </c>
      <c r="F475" s="9"/>
      <c r="G475" s="9"/>
      <c r="H475" s="9"/>
      <c r="I475" s="9"/>
    </row>
    <row r="476" spans="1:9" x14ac:dyDescent="0.25">
      <c r="A476" s="7" t="s">
        <v>620</v>
      </c>
      <c r="B476" s="7" t="s">
        <v>626</v>
      </c>
      <c r="C476" s="8" t="s">
        <v>622</v>
      </c>
      <c r="D476" s="8" t="s">
        <v>39</v>
      </c>
      <c r="E476" s="9" t="s">
        <v>14</v>
      </c>
      <c r="F476" s="9"/>
      <c r="G476" s="9"/>
      <c r="H476" s="9"/>
      <c r="I476" s="9"/>
    </row>
    <row r="477" spans="1:9" x14ac:dyDescent="0.25">
      <c r="A477" s="7" t="s">
        <v>620</v>
      </c>
      <c r="B477" s="7" t="s">
        <v>627</v>
      </c>
      <c r="C477" s="8" t="s">
        <v>622</v>
      </c>
      <c r="D477" s="8" t="s">
        <v>173</v>
      </c>
      <c r="E477" s="9" t="s">
        <v>14</v>
      </c>
      <c r="F477" s="9"/>
      <c r="G477" s="9"/>
      <c r="H477" s="9"/>
      <c r="I477" s="9"/>
    </row>
    <row r="478" spans="1:9" x14ac:dyDescent="0.25">
      <c r="A478" s="7" t="s">
        <v>620</v>
      </c>
      <c r="B478" s="7" t="s">
        <v>620</v>
      </c>
      <c r="C478" s="8" t="s">
        <v>622</v>
      </c>
      <c r="D478" s="8" t="s">
        <v>13</v>
      </c>
      <c r="E478" s="9" t="s">
        <v>14</v>
      </c>
      <c r="F478" s="9"/>
      <c r="G478" s="9"/>
      <c r="H478" s="9"/>
      <c r="I478" s="9"/>
    </row>
    <row r="479" spans="1:9" x14ac:dyDescent="0.25">
      <c r="A479" s="7" t="s">
        <v>620</v>
      </c>
      <c r="B479" s="7" t="s">
        <v>620</v>
      </c>
      <c r="C479" s="8" t="s">
        <v>622</v>
      </c>
      <c r="D479" s="8" t="s">
        <v>32</v>
      </c>
      <c r="E479" s="9" t="s">
        <v>14</v>
      </c>
      <c r="F479" s="9"/>
      <c r="G479" s="9"/>
      <c r="H479" s="9"/>
      <c r="I479" s="9"/>
    </row>
    <row r="480" spans="1:9" x14ac:dyDescent="0.25">
      <c r="A480" s="7" t="s">
        <v>620</v>
      </c>
      <c r="B480" s="7" t="s">
        <v>628</v>
      </c>
      <c r="C480" s="8" t="s">
        <v>622</v>
      </c>
      <c r="D480" s="8" t="s">
        <v>307</v>
      </c>
      <c r="E480" s="9" t="s">
        <v>14</v>
      </c>
      <c r="F480" s="9"/>
      <c r="G480" s="9"/>
      <c r="H480" s="9"/>
      <c r="I480" s="9"/>
    </row>
    <row r="481" spans="1:9" x14ac:dyDescent="0.25">
      <c r="A481" s="7" t="s">
        <v>620</v>
      </c>
      <c r="B481" s="7" t="s">
        <v>628</v>
      </c>
      <c r="C481" s="8" t="s">
        <v>622</v>
      </c>
      <c r="D481" s="8" t="s">
        <v>325</v>
      </c>
      <c r="E481" s="9" t="s">
        <v>14</v>
      </c>
      <c r="F481" s="9"/>
      <c r="G481" s="9"/>
      <c r="H481" s="9"/>
      <c r="I481" s="9"/>
    </row>
    <row r="482" spans="1:9" x14ac:dyDescent="0.25">
      <c r="A482" s="7" t="s">
        <v>620</v>
      </c>
      <c r="B482" s="7" t="s">
        <v>629</v>
      </c>
      <c r="C482" s="8" t="s">
        <v>622</v>
      </c>
      <c r="D482" s="8" t="s">
        <v>50</v>
      </c>
      <c r="E482" s="9" t="s">
        <v>14</v>
      </c>
      <c r="F482" s="9"/>
      <c r="G482" s="9"/>
      <c r="H482" s="9"/>
      <c r="I482" s="9"/>
    </row>
    <row r="483" spans="1:9" x14ac:dyDescent="0.25">
      <c r="A483" s="7" t="s">
        <v>620</v>
      </c>
      <c r="B483" s="7" t="s">
        <v>630</v>
      </c>
      <c r="C483" s="8" t="s">
        <v>622</v>
      </c>
      <c r="D483" s="8" t="s">
        <v>263</v>
      </c>
      <c r="E483" s="9" t="s">
        <v>14</v>
      </c>
      <c r="F483" s="9"/>
      <c r="G483" s="9"/>
      <c r="H483" s="9"/>
      <c r="I483" s="9"/>
    </row>
    <row r="484" spans="1:9" x14ac:dyDescent="0.25">
      <c r="A484" s="7" t="s">
        <v>631</v>
      </c>
      <c r="B484" s="7" t="s">
        <v>632</v>
      </c>
      <c r="C484" s="7" t="s">
        <v>633</v>
      </c>
      <c r="D484" s="8" t="s">
        <v>118</v>
      </c>
      <c r="E484" s="9" t="s">
        <v>14</v>
      </c>
      <c r="F484" s="9"/>
      <c r="G484" s="9"/>
      <c r="H484" s="9"/>
      <c r="I484" s="9"/>
    </row>
    <row r="485" spans="1:9" x14ac:dyDescent="0.25">
      <c r="A485" s="7" t="s">
        <v>631</v>
      </c>
      <c r="B485" s="7" t="s">
        <v>634</v>
      </c>
      <c r="C485" s="8" t="s">
        <v>633</v>
      </c>
      <c r="D485" s="8" t="s">
        <v>97</v>
      </c>
      <c r="E485" s="9" t="s">
        <v>14</v>
      </c>
      <c r="F485" s="9"/>
      <c r="G485" s="9"/>
      <c r="H485" s="9"/>
      <c r="I485" s="9"/>
    </row>
    <row r="486" spans="1:9" x14ac:dyDescent="0.25">
      <c r="A486" s="7" t="s">
        <v>631</v>
      </c>
      <c r="B486" s="7" t="s">
        <v>635</v>
      </c>
      <c r="C486" s="8" t="s">
        <v>633</v>
      </c>
      <c r="D486" s="8" t="s">
        <v>50</v>
      </c>
      <c r="E486" s="9" t="s">
        <v>14</v>
      </c>
      <c r="F486" s="9"/>
      <c r="G486" s="9"/>
      <c r="H486" s="9"/>
      <c r="I486" s="9"/>
    </row>
    <row r="487" spans="1:9" x14ac:dyDescent="0.25">
      <c r="A487" s="7" t="s">
        <v>631</v>
      </c>
      <c r="B487" s="7" t="s">
        <v>636</v>
      </c>
      <c r="C487" s="7" t="s">
        <v>633</v>
      </c>
      <c r="D487" s="8" t="s">
        <v>108</v>
      </c>
      <c r="E487" s="9" t="s">
        <v>14</v>
      </c>
      <c r="F487" s="9"/>
      <c r="G487" s="9"/>
      <c r="H487" s="9"/>
      <c r="I487" s="9"/>
    </row>
    <row r="488" spans="1:9" x14ac:dyDescent="0.25">
      <c r="A488" s="7" t="s">
        <v>631</v>
      </c>
      <c r="B488" s="7" t="s">
        <v>637</v>
      </c>
      <c r="C488" s="7" t="s">
        <v>633</v>
      </c>
      <c r="D488" s="8" t="s">
        <v>55</v>
      </c>
      <c r="E488" s="9" t="s">
        <v>14</v>
      </c>
      <c r="F488" s="9"/>
      <c r="G488" s="9"/>
      <c r="H488" s="9"/>
      <c r="I488" s="9"/>
    </row>
    <row r="489" spans="1:9" x14ac:dyDescent="0.25">
      <c r="A489" s="7" t="s">
        <v>631</v>
      </c>
      <c r="B489" s="7" t="s">
        <v>638</v>
      </c>
      <c r="C489" s="7" t="s">
        <v>633</v>
      </c>
      <c r="D489" s="8" t="s">
        <v>333</v>
      </c>
      <c r="E489" s="9" t="s">
        <v>14</v>
      </c>
      <c r="F489" s="9"/>
      <c r="G489" s="9"/>
      <c r="H489" s="9"/>
      <c r="I489" s="9"/>
    </row>
    <row r="490" spans="1:9" x14ac:dyDescent="0.25">
      <c r="A490" s="7" t="s">
        <v>631</v>
      </c>
      <c r="B490" s="7" t="s">
        <v>631</v>
      </c>
      <c r="C490" s="8" t="s">
        <v>633</v>
      </c>
      <c r="D490" s="8" t="s">
        <v>13</v>
      </c>
      <c r="E490" s="9" t="s">
        <v>14</v>
      </c>
      <c r="F490" s="9"/>
      <c r="G490" s="9"/>
      <c r="H490" s="9"/>
      <c r="I490" s="9"/>
    </row>
    <row r="491" spans="1:9" x14ac:dyDescent="0.25">
      <c r="A491" s="7" t="s">
        <v>631</v>
      </c>
      <c r="B491" s="7" t="s">
        <v>631</v>
      </c>
      <c r="C491" s="8" t="s">
        <v>633</v>
      </c>
      <c r="D491" s="8" t="s">
        <v>32</v>
      </c>
      <c r="E491" s="9" t="s">
        <v>14</v>
      </c>
      <c r="F491" s="9"/>
      <c r="G491" s="9"/>
      <c r="H491" s="9"/>
      <c r="I491" s="9"/>
    </row>
    <row r="492" spans="1:9" x14ac:dyDescent="0.25">
      <c r="A492" s="7" t="s">
        <v>631</v>
      </c>
      <c r="B492" s="7" t="s">
        <v>639</v>
      </c>
      <c r="C492" s="8" t="s">
        <v>633</v>
      </c>
      <c r="D492" s="8" t="s">
        <v>307</v>
      </c>
      <c r="E492" s="9" t="s">
        <v>14</v>
      </c>
      <c r="F492" s="9"/>
      <c r="G492" s="9"/>
      <c r="H492" s="9"/>
      <c r="I492" s="9"/>
    </row>
    <row r="493" spans="1:9" x14ac:dyDescent="0.25">
      <c r="A493" s="7" t="s">
        <v>631</v>
      </c>
      <c r="B493" s="7" t="s">
        <v>639</v>
      </c>
      <c r="C493" s="7" t="s">
        <v>633</v>
      </c>
      <c r="D493" s="8" t="s">
        <v>325</v>
      </c>
      <c r="E493" s="9" t="s">
        <v>14</v>
      </c>
      <c r="F493" s="9"/>
      <c r="G493" s="9"/>
      <c r="H493" s="9"/>
      <c r="I493" s="9"/>
    </row>
    <row r="494" spans="1:9" x14ac:dyDescent="0.25">
      <c r="A494" s="7" t="s">
        <v>631</v>
      </c>
      <c r="B494" s="7" t="s">
        <v>640</v>
      </c>
      <c r="C494" s="8" t="s">
        <v>633</v>
      </c>
      <c r="D494" s="8" t="s">
        <v>39</v>
      </c>
      <c r="E494" s="9" t="s">
        <v>14</v>
      </c>
      <c r="F494" s="9"/>
      <c r="G494" s="9"/>
      <c r="H494" s="9"/>
      <c r="I494" s="9"/>
    </row>
    <row r="495" spans="1:9" x14ac:dyDescent="0.25">
      <c r="A495" s="7" t="s">
        <v>631</v>
      </c>
      <c r="B495" s="7" t="s">
        <v>641</v>
      </c>
      <c r="C495" s="7" t="s">
        <v>633</v>
      </c>
      <c r="D495" s="8" t="s">
        <v>608</v>
      </c>
      <c r="E495" s="9" t="s">
        <v>14</v>
      </c>
      <c r="F495" s="9"/>
      <c r="G495" s="9"/>
      <c r="H495" s="9"/>
      <c r="I495" s="9"/>
    </row>
    <row r="496" spans="1:9" x14ac:dyDescent="0.25">
      <c r="A496" s="7" t="s">
        <v>642</v>
      </c>
      <c r="B496" s="7" t="s">
        <v>642</v>
      </c>
      <c r="C496" s="8" t="s">
        <v>643</v>
      </c>
      <c r="D496" s="8" t="s">
        <v>13</v>
      </c>
      <c r="E496" s="9" t="s">
        <v>14</v>
      </c>
      <c r="F496" s="9"/>
      <c r="G496" s="9" t="s">
        <v>14</v>
      </c>
      <c r="H496" s="9"/>
      <c r="I496" s="9" t="s">
        <v>14</v>
      </c>
    </row>
    <row r="497" spans="1:9" x14ac:dyDescent="0.25">
      <c r="A497" s="7" t="s">
        <v>642</v>
      </c>
      <c r="B497" s="7" t="s">
        <v>642</v>
      </c>
      <c r="C497" s="8" t="s">
        <v>643</v>
      </c>
      <c r="D497" s="8" t="s">
        <v>53</v>
      </c>
      <c r="E497" s="9" t="s">
        <v>14</v>
      </c>
      <c r="F497" s="9"/>
      <c r="G497" s="9" t="s">
        <v>14</v>
      </c>
      <c r="H497" s="9"/>
      <c r="I497" s="9" t="s">
        <v>14</v>
      </c>
    </row>
    <row r="498" spans="1:9" x14ac:dyDescent="0.25">
      <c r="A498" s="7" t="s">
        <v>642</v>
      </c>
      <c r="B498" s="7" t="s">
        <v>644</v>
      </c>
      <c r="C498" s="8" t="s">
        <v>643</v>
      </c>
      <c r="D498" s="8" t="s">
        <v>20</v>
      </c>
      <c r="E498" s="9" t="s">
        <v>14</v>
      </c>
      <c r="F498" s="9"/>
      <c r="G498" s="9" t="s">
        <v>14</v>
      </c>
      <c r="H498" s="9"/>
      <c r="I498" s="9" t="s">
        <v>14</v>
      </c>
    </row>
    <row r="499" spans="1:9" x14ac:dyDescent="0.25">
      <c r="A499" s="7" t="s">
        <v>645</v>
      </c>
      <c r="B499" s="7" t="s">
        <v>645</v>
      </c>
      <c r="C499" s="7" t="s">
        <v>646</v>
      </c>
      <c r="D499" s="8" t="s">
        <v>46</v>
      </c>
      <c r="E499" s="9" t="s">
        <v>14</v>
      </c>
      <c r="F499" s="9"/>
      <c r="G499" s="9" t="s">
        <v>14</v>
      </c>
      <c r="H499" s="9"/>
      <c r="I499" s="9" t="s">
        <v>14</v>
      </c>
    </row>
    <row r="500" spans="1:9" x14ac:dyDescent="0.25">
      <c r="A500" s="7" t="s">
        <v>645</v>
      </c>
      <c r="B500" s="7" t="s">
        <v>647</v>
      </c>
      <c r="C500" s="7" t="s">
        <v>646</v>
      </c>
      <c r="D500" s="8" t="s">
        <v>333</v>
      </c>
      <c r="E500" s="9" t="s">
        <v>14</v>
      </c>
      <c r="F500" s="9"/>
      <c r="G500" s="9" t="s">
        <v>14</v>
      </c>
      <c r="H500" s="9"/>
      <c r="I500" s="9" t="s">
        <v>14</v>
      </c>
    </row>
    <row r="501" spans="1:9" x14ac:dyDescent="0.25">
      <c r="A501" s="7" t="s">
        <v>645</v>
      </c>
      <c r="B501" s="7" t="s">
        <v>648</v>
      </c>
      <c r="C501" s="7" t="s">
        <v>646</v>
      </c>
      <c r="D501" s="8" t="s">
        <v>317</v>
      </c>
      <c r="E501" s="9" t="s">
        <v>14</v>
      </c>
      <c r="F501" s="9"/>
      <c r="G501" s="9" t="s">
        <v>14</v>
      </c>
      <c r="H501" s="9"/>
      <c r="I501" s="9" t="s">
        <v>14</v>
      </c>
    </row>
    <row r="502" spans="1:9" x14ac:dyDescent="0.25">
      <c r="A502" s="7" t="s">
        <v>645</v>
      </c>
      <c r="B502" s="7" t="s">
        <v>649</v>
      </c>
      <c r="C502" s="7" t="s">
        <v>646</v>
      </c>
      <c r="D502" s="8" t="s">
        <v>650</v>
      </c>
      <c r="E502" s="9" t="s">
        <v>14</v>
      </c>
      <c r="F502" s="9"/>
      <c r="G502" s="9" t="s">
        <v>14</v>
      </c>
      <c r="H502" s="9"/>
      <c r="I502" s="9" t="s">
        <v>14</v>
      </c>
    </row>
    <row r="503" spans="1:9" x14ac:dyDescent="0.25">
      <c r="A503" s="7" t="s">
        <v>645</v>
      </c>
      <c r="B503" s="7" t="s">
        <v>651</v>
      </c>
      <c r="C503" s="7" t="s">
        <v>646</v>
      </c>
      <c r="D503" s="8" t="s">
        <v>55</v>
      </c>
      <c r="E503" s="9" t="s">
        <v>14</v>
      </c>
      <c r="F503" s="9"/>
      <c r="G503" s="9" t="s">
        <v>14</v>
      </c>
      <c r="H503" s="9"/>
      <c r="I503" s="9" t="s">
        <v>14</v>
      </c>
    </row>
    <row r="504" spans="1:9" x14ac:dyDescent="0.25">
      <c r="A504" s="7" t="s">
        <v>645</v>
      </c>
      <c r="B504" s="7" t="s">
        <v>652</v>
      </c>
      <c r="C504" s="7" t="s">
        <v>646</v>
      </c>
      <c r="D504" s="8" t="s">
        <v>84</v>
      </c>
      <c r="E504" s="9" t="s">
        <v>14</v>
      </c>
      <c r="F504" s="9"/>
      <c r="G504" s="9" t="s">
        <v>14</v>
      </c>
      <c r="H504" s="9"/>
      <c r="I504" s="9" t="s">
        <v>14</v>
      </c>
    </row>
    <row r="505" spans="1:9" x14ac:dyDescent="0.25">
      <c r="A505" s="7" t="s">
        <v>645</v>
      </c>
      <c r="B505" s="7" t="s">
        <v>653</v>
      </c>
      <c r="C505" s="7" t="s">
        <v>646</v>
      </c>
      <c r="D505" s="8" t="s">
        <v>263</v>
      </c>
      <c r="E505" s="9" t="s">
        <v>14</v>
      </c>
      <c r="F505" s="9"/>
      <c r="G505" s="9" t="s">
        <v>14</v>
      </c>
      <c r="H505" s="9"/>
      <c r="I505" s="9" t="s">
        <v>14</v>
      </c>
    </row>
    <row r="506" spans="1:9" x14ac:dyDescent="0.25">
      <c r="A506" s="7" t="s">
        <v>645</v>
      </c>
      <c r="B506" s="7" t="s">
        <v>654</v>
      </c>
      <c r="C506" s="7" t="s">
        <v>646</v>
      </c>
      <c r="D506" s="8" t="s">
        <v>118</v>
      </c>
      <c r="E506" s="9" t="s">
        <v>14</v>
      </c>
      <c r="F506" s="9"/>
      <c r="G506" s="9" t="s">
        <v>14</v>
      </c>
      <c r="H506" s="9"/>
      <c r="I506" s="9" t="s">
        <v>14</v>
      </c>
    </row>
    <row r="507" spans="1:9" x14ac:dyDescent="0.25">
      <c r="A507" s="7" t="s">
        <v>645</v>
      </c>
      <c r="B507" s="7" t="s">
        <v>655</v>
      </c>
      <c r="C507" s="8" t="s">
        <v>646</v>
      </c>
      <c r="D507" s="8" t="s">
        <v>43</v>
      </c>
      <c r="E507" s="9" t="s">
        <v>14</v>
      </c>
      <c r="F507" s="9"/>
      <c r="G507" s="9" t="s">
        <v>14</v>
      </c>
      <c r="H507" s="9"/>
      <c r="I507" s="9" t="s">
        <v>14</v>
      </c>
    </row>
    <row r="508" spans="1:9" x14ac:dyDescent="0.25">
      <c r="A508" s="7" t="s">
        <v>645</v>
      </c>
      <c r="B508" s="7" t="s">
        <v>656</v>
      </c>
      <c r="C508" s="8" t="s">
        <v>646</v>
      </c>
      <c r="D508" s="8" t="s">
        <v>122</v>
      </c>
      <c r="E508" s="9" t="s">
        <v>14</v>
      </c>
      <c r="F508" s="9"/>
      <c r="G508" s="9" t="s">
        <v>14</v>
      </c>
      <c r="H508" s="9"/>
      <c r="I508" s="9" t="s">
        <v>14</v>
      </c>
    </row>
    <row r="509" spans="1:9" x14ac:dyDescent="0.25">
      <c r="A509" s="7" t="s">
        <v>645</v>
      </c>
      <c r="B509" s="7" t="s">
        <v>657</v>
      </c>
      <c r="C509" s="7" t="s">
        <v>646</v>
      </c>
      <c r="D509" s="8" t="s">
        <v>81</v>
      </c>
      <c r="E509" s="9" t="s">
        <v>14</v>
      </c>
      <c r="F509" s="9"/>
      <c r="G509" s="9" t="s">
        <v>14</v>
      </c>
      <c r="H509" s="9"/>
      <c r="I509" s="9" t="s">
        <v>14</v>
      </c>
    </row>
    <row r="510" spans="1:9" x14ac:dyDescent="0.25">
      <c r="A510" s="7" t="s">
        <v>645</v>
      </c>
      <c r="B510" s="7" t="s">
        <v>658</v>
      </c>
      <c r="C510" s="7" t="s">
        <v>646</v>
      </c>
      <c r="D510" s="8" t="s">
        <v>583</v>
      </c>
      <c r="E510" s="9" t="s">
        <v>14</v>
      </c>
      <c r="F510" s="9"/>
      <c r="G510" s="9" t="s">
        <v>14</v>
      </c>
      <c r="H510" s="9"/>
      <c r="I510" s="9" t="s">
        <v>14</v>
      </c>
    </row>
    <row r="511" spans="1:9" x14ac:dyDescent="0.25">
      <c r="A511" s="7" t="s">
        <v>645</v>
      </c>
      <c r="B511" s="7" t="s">
        <v>659</v>
      </c>
      <c r="C511" s="7" t="s">
        <v>646</v>
      </c>
      <c r="D511" s="8" t="s">
        <v>307</v>
      </c>
      <c r="E511" s="9" t="s">
        <v>14</v>
      </c>
      <c r="F511" s="9"/>
      <c r="G511" s="9" t="s">
        <v>14</v>
      </c>
      <c r="H511" s="9"/>
      <c r="I511" s="9" t="s">
        <v>14</v>
      </c>
    </row>
    <row r="512" spans="1:9" x14ac:dyDescent="0.25">
      <c r="A512" s="7" t="s">
        <v>645</v>
      </c>
      <c r="B512" s="7" t="s">
        <v>660</v>
      </c>
      <c r="C512" s="7" t="s">
        <v>646</v>
      </c>
      <c r="D512" s="8" t="s">
        <v>470</v>
      </c>
      <c r="E512" s="9" t="s">
        <v>14</v>
      </c>
      <c r="F512" s="9"/>
      <c r="G512" s="9" t="s">
        <v>14</v>
      </c>
      <c r="H512" s="9"/>
      <c r="I512" s="9" t="s">
        <v>14</v>
      </c>
    </row>
    <row r="513" spans="1:9" x14ac:dyDescent="0.25">
      <c r="A513" s="7" t="s">
        <v>645</v>
      </c>
      <c r="B513" s="7" t="s">
        <v>661</v>
      </c>
      <c r="C513" s="7" t="s">
        <v>646</v>
      </c>
      <c r="D513" s="8" t="s">
        <v>258</v>
      </c>
      <c r="E513" s="9" t="s">
        <v>14</v>
      </c>
      <c r="F513" s="9"/>
      <c r="G513" s="9" t="s">
        <v>14</v>
      </c>
      <c r="H513" s="9"/>
      <c r="I513" s="9" t="s">
        <v>14</v>
      </c>
    </row>
    <row r="514" spans="1:9" x14ac:dyDescent="0.25">
      <c r="A514" s="7" t="s">
        <v>645</v>
      </c>
      <c r="B514" s="7" t="s">
        <v>662</v>
      </c>
      <c r="C514" s="7" t="s">
        <v>646</v>
      </c>
      <c r="D514" s="8" t="s">
        <v>267</v>
      </c>
      <c r="E514" s="9" t="s">
        <v>14</v>
      </c>
      <c r="F514" s="9"/>
      <c r="G514" s="9" t="s">
        <v>14</v>
      </c>
      <c r="H514" s="9"/>
      <c r="I514" s="9" t="s">
        <v>14</v>
      </c>
    </row>
    <row r="515" spans="1:9" x14ac:dyDescent="0.25">
      <c r="A515" s="7" t="s">
        <v>645</v>
      </c>
      <c r="B515" s="7" t="s">
        <v>663</v>
      </c>
      <c r="C515" s="8" t="s">
        <v>646</v>
      </c>
      <c r="D515" s="8" t="s">
        <v>102</v>
      </c>
      <c r="E515" s="9" t="s">
        <v>14</v>
      </c>
      <c r="F515" s="9"/>
      <c r="G515" s="9" t="s">
        <v>14</v>
      </c>
      <c r="H515" s="9"/>
      <c r="I515" s="9" t="s">
        <v>14</v>
      </c>
    </row>
    <row r="516" spans="1:9" x14ac:dyDescent="0.25">
      <c r="A516" s="7" t="s">
        <v>645</v>
      </c>
      <c r="B516" s="7" t="s">
        <v>664</v>
      </c>
      <c r="C516" s="8" t="s">
        <v>646</v>
      </c>
      <c r="D516" s="8" t="s">
        <v>243</v>
      </c>
      <c r="E516" s="9" t="s">
        <v>14</v>
      </c>
      <c r="F516" s="9"/>
      <c r="G516" s="9" t="s">
        <v>14</v>
      </c>
      <c r="H516" s="9"/>
      <c r="I516" s="9" t="s">
        <v>14</v>
      </c>
    </row>
    <row r="517" spans="1:9" x14ac:dyDescent="0.25">
      <c r="A517" s="7" t="s">
        <v>645</v>
      </c>
      <c r="B517" s="7" t="s">
        <v>665</v>
      </c>
      <c r="C517" s="7" t="s">
        <v>646</v>
      </c>
      <c r="D517" s="8" t="s">
        <v>36</v>
      </c>
      <c r="E517" s="9" t="s">
        <v>14</v>
      </c>
      <c r="F517" s="9"/>
      <c r="G517" s="9" t="s">
        <v>14</v>
      </c>
      <c r="H517" s="9"/>
      <c r="I517" s="9" t="s">
        <v>14</v>
      </c>
    </row>
    <row r="518" spans="1:9" x14ac:dyDescent="0.25">
      <c r="A518" s="7" t="s">
        <v>645</v>
      </c>
      <c r="B518" s="7" t="s">
        <v>666</v>
      </c>
      <c r="C518" s="8" t="s">
        <v>646</v>
      </c>
      <c r="D518" s="8" t="s">
        <v>530</v>
      </c>
      <c r="E518" s="9" t="s">
        <v>14</v>
      </c>
      <c r="F518" s="9"/>
      <c r="G518" s="9" t="s">
        <v>14</v>
      </c>
      <c r="H518" s="9"/>
      <c r="I518" s="9" t="s">
        <v>14</v>
      </c>
    </row>
    <row r="519" spans="1:9" x14ac:dyDescent="0.25">
      <c r="A519" s="7" t="s">
        <v>645</v>
      </c>
      <c r="B519" s="7" t="s">
        <v>667</v>
      </c>
      <c r="C519" s="7" t="s">
        <v>646</v>
      </c>
      <c r="D519" s="8" t="s">
        <v>18</v>
      </c>
      <c r="E519" s="9" t="s">
        <v>14</v>
      </c>
      <c r="F519" s="9"/>
      <c r="G519" s="9" t="s">
        <v>14</v>
      </c>
      <c r="H519" s="9"/>
      <c r="I519" s="9" t="s">
        <v>14</v>
      </c>
    </row>
    <row r="520" spans="1:9" x14ac:dyDescent="0.25">
      <c r="A520" s="7" t="s">
        <v>645</v>
      </c>
      <c r="B520" s="7" t="s">
        <v>668</v>
      </c>
      <c r="C520" s="8" t="s">
        <v>646</v>
      </c>
      <c r="D520" s="8" t="s">
        <v>52</v>
      </c>
      <c r="E520" s="9" t="s">
        <v>14</v>
      </c>
      <c r="F520" s="9"/>
      <c r="G520" s="9" t="s">
        <v>14</v>
      </c>
      <c r="H520" s="9"/>
      <c r="I520" s="9" t="s">
        <v>14</v>
      </c>
    </row>
    <row r="521" spans="1:9" x14ac:dyDescent="0.25">
      <c r="A521" s="7" t="s">
        <v>645</v>
      </c>
      <c r="B521" s="7" t="s">
        <v>669</v>
      </c>
      <c r="C521" s="7" t="s">
        <v>646</v>
      </c>
      <c r="D521" s="8" t="s">
        <v>325</v>
      </c>
      <c r="E521" s="9" t="s">
        <v>14</v>
      </c>
      <c r="F521" s="9"/>
      <c r="G521" s="9" t="s">
        <v>14</v>
      </c>
      <c r="H521" s="9"/>
      <c r="I521" s="9" t="s">
        <v>14</v>
      </c>
    </row>
    <row r="522" spans="1:9" x14ac:dyDescent="0.25">
      <c r="A522" s="7" t="s">
        <v>645</v>
      </c>
      <c r="B522" s="7" t="s">
        <v>670</v>
      </c>
      <c r="C522" s="7" t="s">
        <v>646</v>
      </c>
      <c r="D522" s="8" t="s">
        <v>608</v>
      </c>
      <c r="E522" s="9" t="s">
        <v>14</v>
      </c>
      <c r="F522" s="9"/>
      <c r="G522" s="9" t="s">
        <v>14</v>
      </c>
      <c r="H522" s="9"/>
      <c r="I522" s="9" t="s">
        <v>14</v>
      </c>
    </row>
    <row r="523" spans="1:9" x14ac:dyDescent="0.25">
      <c r="A523" s="7" t="s">
        <v>671</v>
      </c>
      <c r="B523" s="7" t="s">
        <v>671</v>
      </c>
      <c r="C523" s="8" t="s">
        <v>672</v>
      </c>
      <c r="D523" s="8" t="s">
        <v>43</v>
      </c>
      <c r="E523" s="9" t="s">
        <v>14</v>
      </c>
      <c r="F523" s="9"/>
      <c r="G523" s="9"/>
      <c r="H523" s="9"/>
      <c r="I523" s="9"/>
    </row>
    <row r="524" spans="1:9" x14ac:dyDescent="0.25">
      <c r="A524" s="7" t="s">
        <v>671</v>
      </c>
      <c r="B524" s="7" t="s">
        <v>671</v>
      </c>
      <c r="C524" s="7" t="s">
        <v>672</v>
      </c>
      <c r="D524" s="8" t="s">
        <v>13</v>
      </c>
      <c r="E524" s="9" t="s">
        <v>14</v>
      </c>
      <c r="F524" s="9"/>
      <c r="G524" s="9"/>
      <c r="H524" s="9"/>
      <c r="I524" s="9"/>
    </row>
    <row r="525" spans="1:9" x14ac:dyDescent="0.25">
      <c r="A525" s="7" t="s">
        <v>671</v>
      </c>
      <c r="B525" s="7" t="s">
        <v>673</v>
      </c>
      <c r="C525" s="7" t="s">
        <v>672</v>
      </c>
      <c r="D525" s="8" t="s">
        <v>53</v>
      </c>
      <c r="E525" s="9" t="s">
        <v>14</v>
      </c>
      <c r="F525" s="9"/>
      <c r="G525" s="9"/>
      <c r="H525" s="9"/>
      <c r="I525" s="9"/>
    </row>
    <row r="526" spans="1:9" x14ac:dyDescent="0.25">
      <c r="A526" s="7" t="s">
        <v>674</v>
      </c>
      <c r="B526" s="7" t="s">
        <v>675</v>
      </c>
      <c r="C526" s="7" t="s">
        <v>676</v>
      </c>
      <c r="D526" s="8" t="s">
        <v>28</v>
      </c>
      <c r="E526" s="9" t="s">
        <v>14</v>
      </c>
      <c r="F526" s="9"/>
      <c r="G526" s="9"/>
      <c r="H526" s="9"/>
      <c r="I526" s="9"/>
    </row>
    <row r="527" spans="1:9" x14ac:dyDescent="0.25">
      <c r="A527" s="7" t="s">
        <v>674</v>
      </c>
      <c r="B527" s="7" t="s">
        <v>677</v>
      </c>
      <c r="C527" s="7" t="s">
        <v>676</v>
      </c>
      <c r="D527" s="8" t="s">
        <v>262</v>
      </c>
      <c r="E527" s="9" t="s">
        <v>14</v>
      </c>
      <c r="F527" s="9"/>
      <c r="G527" s="9"/>
      <c r="H527" s="9"/>
      <c r="I527" s="9"/>
    </row>
    <row r="528" spans="1:9" x14ac:dyDescent="0.25">
      <c r="A528" s="7" t="s">
        <v>674</v>
      </c>
      <c r="B528" s="7" t="s">
        <v>678</v>
      </c>
      <c r="C528" s="7" t="s">
        <v>676</v>
      </c>
      <c r="D528" s="8" t="s">
        <v>39</v>
      </c>
      <c r="E528" s="9" t="s">
        <v>14</v>
      </c>
      <c r="F528" s="9"/>
      <c r="G528" s="9"/>
      <c r="H528" s="9"/>
      <c r="I528" s="9"/>
    </row>
    <row r="529" spans="1:9" x14ac:dyDescent="0.25">
      <c r="A529" s="7" t="s">
        <v>674</v>
      </c>
      <c r="B529" s="7" t="s">
        <v>679</v>
      </c>
      <c r="C529" s="7" t="s">
        <v>676</v>
      </c>
      <c r="D529" s="8" t="s">
        <v>75</v>
      </c>
      <c r="E529" s="9" t="s">
        <v>14</v>
      </c>
      <c r="F529" s="9"/>
      <c r="G529" s="9"/>
      <c r="H529" s="9"/>
      <c r="I529" s="9"/>
    </row>
    <row r="530" spans="1:9" x14ac:dyDescent="0.25">
      <c r="A530" s="7" t="s">
        <v>680</v>
      </c>
      <c r="B530" s="7" t="s">
        <v>681</v>
      </c>
      <c r="C530" s="7" t="s">
        <v>682</v>
      </c>
      <c r="D530" s="8" t="s">
        <v>265</v>
      </c>
      <c r="E530" s="9" t="s">
        <v>14</v>
      </c>
      <c r="F530" s="9"/>
      <c r="G530" s="9"/>
      <c r="H530" s="9"/>
      <c r="I530" s="9"/>
    </row>
    <row r="531" spans="1:9" x14ac:dyDescent="0.25">
      <c r="A531" s="7" t="s">
        <v>680</v>
      </c>
      <c r="B531" s="7" t="s">
        <v>681</v>
      </c>
      <c r="C531" s="7" t="s">
        <v>682</v>
      </c>
      <c r="D531" s="8" t="s">
        <v>22</v>
      </c>
      <c r="E531" s="9" t="s">
        <v>14</v>
      </c>
      <c r="F531" s="9"/>
      <c r="G531" s="9"/>
      <c r="H531" s="9"/>
      <c r="I531" s="9"/>
    </row>
    <row r="532" spans="1:9" x14ac:dyDescent="0.25">
      <c r="A532" s="7" t="s">
        <v>680</v>
      </c>
      <c r="B532" s="7" t="s">
        <v>683</v>
      </c>
      <c r="C532" s="8" t="s">
        <v>682</v>
      </c>
      <c r="D532" s="8" t="s">
        <v>116</v>
      </c>
      <c r="E532" s="9" t="s">
        <v>14</v>
      </c>
      <c r="F532" s="9"/>
      <c r="G532" s="9"/>
      <c r="H532" s="9"/>
      <c r="I532" s="9"/>
    </row>
    <row r="533" spans="1:9" x14ac:dyDescent="0.25">
      <c r="A533" s="7" t="s">
        <v>680</v>
      </c>
      <c r="B533" s="7" t="s">
        <v>683</v>
      </c>
      <c r="C533" s="8" t="s">
        <v>682</v>
      </c>
      <c r="D533" s="8" t="s">
        <v>53</v>
      </c>
      <c r="E533" s="9" t="s">
        <v>14</v>
      </c>
      <c r="F533" s="9"/>
      <c r="G533" s="9"/>
      <c r="H533" s="9"/>
      <c r="I533" s="9"/>
    </row>
    <row r="534" spans="1:9" x14ac:dyDescent="0.25">
      <c r="A534" s="7" t="s">
        <v>680</v>
      </c>
      <c r="B534" s="7" t="s">
        <v>684</v>
      </c>
      <c r="C534" s="8" t="s">
        <v>682</v>
      </c>
      <c r="D534" s="8" t="s">
        <v>344</v>
      </c>
      <c r="E534" s="9" t="s">
        <v>14</v>
      </c>
      <c r="F534" s="9"/>
      <c r="G534" s="9"/>
      <c r="H534" s="9"/>
      <c r="I534" s="9"/>
    </row>
    <row r="535" spans="1:9" x14ac:dyDescent="0.25">
      <c r="A535" s="7" t="s">
        <v>680</v>
      </c>
      <c r="B535" s="7" t="s">
        <v>684</v>
      </c>
      <c r="C535" s="8" t="s">
        <v>682</v>
      </c>
      <c r="D535" s="8" t="s">
        <v>60</v>
      </c>
      <c r="E535" s="9" t="s">
        <v>14</v>
      </c>
      <c r="F535" s="9"/>
      <c r="G535" s="9"/>
      <c r="H535" s="9"/>
      <c r="I535" s="9"/>
    </row>
    <row r="536" spans="1:9" x14ac:dyDescent="0.25">
      <c r="A536" s="7" t="s">
        <v>680</v>
      </c>
      <c r="B536" s="7" t="s">
        <v>685</v>
      </c>
      <c r="C536" s="7" t="s">
        <v>682</v>
      </c>
      <c r="D536" s="8" t="s">
        <v>686</v>
      </c>
      <c r="E536" s="9" t="s">
        <v>14</v>
      </c>
      <c r="F536" s="9"/>
      <c r="G536" s="9"/>
      <c r="H536" s="9"/>
      <c r="I536" s="9"/>
    </row>
    <row r="537" spans="1:9" x14ac:dyDescent="0.25">
      <c r="A537" s="7" t="s">
        <v>680</v>
      </c>
      <c r="B537" s="7" t="s">
        <v>685</v>
      </c>
      <c r="C537" s="7" t="s">
        <v>682</v>
      </c>
      <c r="D537" s="8" t="s">
        <v>687</v>
      </c>
      <c r="E537" s="9" t="s">
        <v>14</v>
      </c>
      <c r="F537" s="9"/>
      <c r="G537" s="9"/>
      <c r="H537" s="9"/>
      <c r="I537" s="9"/>
    </row>
    <row r="538" spans="1:9" x14ac:dyDescent="0.25">
      <c r="A538" s="7" t="s">
        <v>680</v>
      </c>
      <c r="B538" s="7" t="s">
        <v>688</v>
      </c>
      <c r="C538" s="8" t="s">
        <v>682</v>
      </c>
      <c r="D538" s="8" t="s">
        <v>689</v>
      </c>
      <c r="E538" s="9" t="s">
        <v>14</v>
      </c>
      <c r="F538" s="9"/>
      <c r="G538" s="9"/>
      <c r="H538" s="9"/>
      <c r="I538" s="9"/>
    </row>
    <row r="539" spans="1:9" x14ac:dyDescent="0.25">
      <c r="A539" s="7" t="s">
        <v>680</v>
      </c>
      <c r="B539" s="7" t="s">
        <v>688</v>
      </c>
      <c r="C539" s="8" t="s">
        <v>682</v>
      </c>
      <c r="D539" s="8" t="s">
        <v>690</v>
      </c>
      <c r="E539" s="9" t="s">
        <v>14</v>
      </c>
      <c r="F539" s="9"/>
      <c r="G539" s="9"/>
      <c r="H539" s="9"/>
      <c r="I539" s="9"/>
    </row>
    <row r="540" spans="1:9" x14ac:dyDescent="0.25">
      <c r="A540" s="7" t="s">
        <v>680</v>
      </c>
      <c r="B540" s="7" t="s">
        <v>691</v>
      </c>
      <c r="C540" s="7" t="s">
        <v>682</v>
      </c>
      <c r="D540" s="8" t="s">
        <v>692</v>
      </c>
      <c r="E540" s="9" t="s">
        <v>14</v>
      </c>
      <c r="F540" s="9"/>
      <c r="G540" s="9"/>
      <c r="H540" s="9"/>
      <c r="I540" s="9"/>
    </row>
    <row r="541" spans="1:9" x14ac:dyDescent="0.25">
      <c r="A541" s="7" t="s">
        <v>680</v>
      </c>
      <c r="B541" s="7" t="s">
        <v>691</v>
      </c>
      <c r="C541" s="7" t="s">
        <v>682</v>
      </c>
      <c r="D541" s="8" t="s">
        <v>693</v>
      </c>
      <c r="E541" s="9" t="s">
        <v>14</v>
      </c>
      <c r="F541" s="9"/>
      <c r="G541" s="9"/>
      <c r="H541" s="9"/>
      <c r="I541" s="9"/>
    </row>
    <row r="542" spans="1:9" x14ac:dyDescent="0.25">
      <c r="A542" s="7" t="s">
        <v>694</v>
      </c>
      <c r="B542" s="7" t="s">
        <v>695</v>
      </c>
      <c r="C542" s="7" t="s">
        <v>696</v>
      </c>
      <c r="D542" s="8" t="s">
        <v>44</v>
      </c>
      <c r="E542" s="9" t="s">
        <v>14</v>
      </c>
      <c r="F542" s="9" t="s">
        <v>14</v>
      </c>
      <c r="G542" s="9"/>
      <c r="H542" s="9"/>
      <c r="I542" s="9" t="s">
        <v>14</v>
      </c>
    </row>
    <row r="543" spans="1:9" x14ac:dyDescent="0.25">
      <c r="A543" s="7" t="s">
        <v>694</v>
      </c>
      <c r="B543" s="7" t="s">
        <v>697</v>
      </c>
      <c r="C543" s="7" t="s">
        <v>696</v>
      </c>
      <c r="D543" s="8" t="s">
        <v>32</v>
      </c>
      <c r="E543" s="9" t="s">
        <v>14</v>
      </c>
      <c r="F543" s="9" t="s">
        <v>14</v>
      </c>
      <c r="G543" s="9"/>
      <c r="H543" s="9"/>
      <c r="I543" s="9" t="s">
        <v>14</v>
      </c>
    </row>
    <row r="544" spans="1:9" x14ac:dyDescent="0.25">
      <c r="A544" s="7" t="s">
        <v>698</v>
      </c>
      <c r="B544" s="7" t="s">
        <v>699</v>
      </c>
      <c r="C544" s="7" t="s">
        <v>700</v>
      </c>
      <c r="D544" s="8" t="s">
        <v>20</v>
      </c>
      <c r="E544" s="9" t="s">
        <v>14</v>
      </c>
      <c r="F544" s="9"/>
      <c r="G544" s="9" t="s">
        <v>14</v>
      </c>
      <c r="H544" s="9"/>
      <c r="I544" s="9" t="s">
        <v>14</v>
      </c>
    </row>
    <row r="545" spans="1:9" x14ac:dyDescent="0.25">
      <c r="A545" s="7" t="s">
        <v>698</v>
      </c>
      <c r="B545" s="7" t="s">
        <v>701</v>
      </c>
      <c r="C545" s="7" t="s">
        <v>700</v>
      </c>
      <c r="D545" s="8" t="s">
        <v>650</v>
      </c>
      <c r="E545" s="9" t="s">
        <v>14</v>
      </c>
      <c r="F545" s="9"/>
      <c r="G545" s="9" t="s">
        <v>14</v>
      </c>
      <c r="H545" s="9"/>
      <c r="I545" s="9" t="s">
        <v>14</v>
      </c>
    </row>
    <row r="546" spans="1:9" x14ac:dyDescent="0.25">
      <c r="A546" s="7" t="s">
        <v>702</v>
      </c>
      <c r="B546" s="7" t="s">
        <v>703</v>
      </c>
      <c r="C546" s="7" t="s">
        <v>704</v>
      </c>
      <c r="D546" s="8" t="s">
        <v>60</v>
      </c>
      <c r="E546" s="9" t="s">
        <v>14</v>
      </c>
      <c r="F546" s="9"/>
      <c r="G546" s="9" t="s">
        <v>14</v>
      </c>
      <c r="H546" s="9"/>
      <c r="I546" s="9" t="s">
        <v>14</v>
      </c>
    </row>
    <row r="547" spans="1:9" x14ac:dyDescent="0.25">
      <c r="A547" s="7" t="s">
        <v>705</v>
      </c>
      <c r="B547" s="7" t="s">
        <v>706</v>
      </c>
      <c r="C547" s="8" t="s">
        <v>707</v>
      </c>
      <c r="D547" s="8" t="s">
        <v>43</v>
      </c>
      <c r="E547" s="9" t="s">
        <v>14</v>
      </c>
      <c r="F547" s="9" t="s">
        <v>14</v>
      </c>
      <c r="G547" s="9"/>
      <c r="H547" s="9"/>
      <c r="I547" s="9" t="s">
        <v>14</v>
      </c>
    </row>
    <row r="548" spans="1:9" x14ac:dyDescent="0.25">
      <c r="A548" s="7" t="s">
        <v>705</v>
      </c>
      <c r="B548" s="7" t="s">
        <v>708</v>
      </c>
      <c r="C548" s="7" t="s">
        <v>707</v>
      </c>
      <c r="D548" s="8" t="s">
        <v>53</v>
      </c>
      <c r="E548" s="9" t="s">
        <v>14</v>
      </c>
      <c r="F548" s="9" t="s">
        <v>14</v>
      </c>
      <c r="G548" s="9"/>
      <c r="H548" s="9"/>
      <c r="I548" s="9" t="s">
        <v>14</v>
      </c>
    </row>
    <row r="549" spans="1:9" x14ac:dyDescent="0.25">
      <c r="A549" s="7" t="s">
        <v>709</v>
      </c>
      <c r="B549" s="7" t="s">
        <v>709</v>
      </c>
      <c r="C549" s="7" t="s">
        <v>710</v>
      </c>
      <c r="D549" s="8" t="s">
        <v>13</v>
      </c>
      <c r="E549" s="9" t="s">
        <v>14</v>
      </c>
      <c r="F549" s="9"/>
      <c r="G549" s="9"/>
      <c r="H549" s="9"/>
      <c r="I549" s="9"/>
    </row>
    <row r="550" spans="1:9" x14ac:dyDescent="0.25">
      <c r="A550" s="7" t="s">
        <v>709</v>
      </c>
      <c r="B550" s="7" t="s">
        <v>711</v>
      </c>
      <c r="C550" s="7" t="s">
        <v>710</v>
      </c>
      <c r="D550" s="8" t="s">
        <v>20</v>
      </c>
      <c r="E550" s="9" t="s">
        <v>14</v>
      </c>
      <c r="F550" s="9"/>
      <c r="G550" s="9"/>
      <c r="H550" s="9"/>
      <c r="I550" s="9"/>
    </row>
    <row r="551" spans="1:9" x14ac:dyDescent="0.25">
      <c r="A551" s="7" t="s">
        <v>712</v>
      </c>
      <c r="B551" s="7" t="s">
        <v>712</v>
      </c>
      <c r="C551" s="7" t="s">
        <v>713</v>
      </c>
      <c r="D551" s="8" t="s">
        <v>13</v>
      </c>
      <c r="E551" s="9" t="s">
        <v>14</v>
      </c>
      <c r="F551" s="9"/>
      <c r="G551" s="9"/>
      <c r="H551" s="9"/>
      <c r="I551" s="9"/>
    </row>
    <row r="552" spans="1:9" x14ac:dyDescent="0.25">
      <c r="A552" s="7" t="s">
        <v>714</v>
      </c>
      <c r="B552" s="7" t="s">
        <v>714</v>
      </c>
      <c r="C552" s="7" t="s">
        <v>715</v>
      </c>
      <c r="D552" s="8" t="s">
        <v>13</v>
      </c>
      <c r="E552" s="9" t="s">
        <v>14</v>
      </c>
      <c r="F552" s="9"/>
      <c r="G552" s="9"/>
      <c r="H552" s="9"/>
      <c r="I552" s="9"/>
    </row>
    <row r="553" spans="1:9" x14ac:dyDescent="0.25">
      <c r="A553" s="7" t="s">
        <v>716</v>
      </c>
      <c r="B553" s="7" t="s">
        <v>717</v>
      </c>
      <c r="C553" s="8" t="s">
        <v>718</v>
      </c>
      <c r="D553" s="8" t="s">
        <v>13</v>
      </c>
      <c r="E553" s="9" t="s">
        <v>14</v>
      </c>
      <c r="F553" s="9"/>
      <c r="G553" s="9"/>
      <c r="H553" s="9"/>
      <c r="I553" s="9"/>
    </row>
    <row r="554" spans="1:9" x14ac:dyDescent="0.25">
      <c r="A554" s="7" t="s">
        <v>716</v>
      </c>
      <c r="B554" s="7" t="s">
        <v>719</v>
      </c>
      <c r="C554" s="8" t="s">
        <v>718</v>
      </c>
      <c r="D554" s="8" t="s">
        <v>22</v>
      </c>
      <c r="E554" s="9" t="s">
        <v>14</v>
      </c>
      <c r="F554" s="9"/>
      <c r="G554" s="9"/>
      <c r="H554" s="9"/>
      <c r="I554" s="9"/>
    </row>
    <row r="555" spans="1:9" x14ac:dyDescent="0.25">
      <c r="A555" s="7" t="s">
        <v>720</v>
      </c>
      <c r="B555" s="7" t="s">
        <v>721</v>
      </c>
      <c r="C555" s="7" t="s">
        <v>722</v>
      </c>
      <c r="D555" s="8" t="s">
        <v>13</v>
      </c>
      <c r="E555" s="9" t="s">
        <v>14</v>
      </c>
      <c r="F555" s="9"/>
      <c r="G555" s="9"/>
      <c r="H555" s="9"/>
      <c r="I555" s="9"/>
    </row>
    <row r="556" spans="1:9" x14ac:dyDescent="0.25">
      <c r="A556" s="7" t="s">
        <v>720</v>
      </c>
      <c r="B556" s="7" t="s">
        <v>721</v>
      </c>
      <c r="C556" s="7" t="s">
        <v>722</v>
      </c>
      <c r="D556" s="8" t="s">
        <v>29</v>
      </c>
      <c r="E556" s="9" t="s">
        <v>14</v>
      </c>
      <c r="F556" s="9"/>
      <c r="G556" s="9"/>
      <c r="H556" s="9"/>
      <c r="I556" s="9"/>
    </row>
    <row r="557" spans="1:9" x14ac:dyDescent="0.25">
      <c r="A557" s="7" t="s">
        <v>720</v>
      </c>
      <c r="B557" s="7" t="s">
        <v>723</v>
      </c>
      <c r="C557" s="7" t="s">
        <v>722</v>
      </c>
      <c r="D557" s="8" t="s">
        <v>724</v>
      </c>
      <c r="E557" s="9" t="s">
        <v>14</v>
      </c>
      <c r="F557" s="9"/>
      <c r="G557" s="9"/>
      <c r="H557" s="9"/>
      <c r="I557" s="9"/>
    </row>
    <row r="558" spans="1:9" x14ac:dyDescent="0.25">
      <c r="A558" s="7" t="s">
        <v>720</v>
      </c>
      <c r="B558" s="7" t="s">
        <v>723</v>
      </c>
      <c r="C558" s="7" t="s">
        <v>722</v>
      </c>
      <c r="D558" s="8" t="s">
        <v>247</v>
      </c>
      <c r="E558" s="9" t="s">
        <v>14</v>
      </c>
      <c r="F558" s="9"/>
      <c r="G558" s="9"/>
      <c r="H558" s="9"/>
      <c r="I558" s="9"/>
    </row>
    <row r="559" spans="1:9" x14ac:dyDescent="0.25">
      <c r="A559" s="7" t="s">
        <v>720</v>
      </c>
      <c r="B559" s="7" t="s">
        <v>725</v>
      </c>
      <c r="C559" s="7" t="s">
        <v>722</v>
      </c>
      <c r="D559" s="8" t="s">
        <v>22</v>
      </c>
      <c r="E559" s="9" t="s">
        <v>14</v>
      </c>
      <c r="F559" s="9"/>
      <c r="G559" s="9"/>
      <c r="H559" s="9"/>
      <c r="I559" s="9"/>
    </row>
    <row r="560" spans="1:9" x14ac:dyDescent="0.25">
      <c r="A560" s="7" t="s">
        <v>720</v>
      </c>
      <c r="B560" s="7" t="s">
        <v>725</v>
      </c>
      <c r="C560" s="7" t="s">
        <v>722</v>
      </c>
      <c r="D560" s="8" t="s">
        <v>36</v>
      </c>
      <c r="E560" s="9" t="s">
        <v>14</v>
      </c>
      <c r="F560" s="9"/>
      <c r="G560" s="9"/>
      <c r="H560" s="9"/>
      <c r="I560" s="9"/>
    </row>
    <row r="561" spans="1:9" x14ac:dyDescent="0.25">
      <c r="A561" s="7" t="s">
        <v>720</v>
      </c>
      <c r="B561" s="7" t="s">
        <v>726</v>
      </c>
      <c r="C561" s="8" t="s">
        <v>722</v>
      </c>
      <c r="D561" s="8" t="s">
        <v>339</v>
      </c>
      <c r="E561" s="9" t="s">
        <v>14</v>
      </c>
      <c r="F561" s="9"/>
      <c r="G561" s="9"/>
      <c r="H561" s="9"/>
      <c r="I561" s="9"/>
    </row>
    <row r="562" spans="1:9" x14ac:dyDescent="0.25">
      <c r="A562" s="7" t="s">
        <v>720</v>
      </c>
      <c r="B562" s="7" t="s">
        <v>727</v>
      </c>
      <c r="C562" s="8" t="s">
        <v>722</v>
      </c>
      <c r="D562" s="8" t="s">
        <v>317</v>
      </c>
      <c r="E562" s="9" t="s">
        <v>14</v>
      </c>
      <c r="F562" s="9"/>
      <c r="G562" s="9"/>
      <c r="H562" s="9"/>
      <c r="I562" s="9"/>
    </row>
    <row r="563" spans="1:9" x14ac:dyDescent="0.25">
      <c r="A563" s="7" t="s">
        <v>720</v>
      </c>
      <c r="B563" s="7" t="s">
        <v>728</v>
      </c>
      <c r="C563" s="8" t="s">
        <v>722</v>
      </c>
      <c r="D563" s="8" t="s">
        <v>124</v>
      </c>
      <c r="E563" s="9" t="s">
        <v>14</v>
      </c>
      <c r="F563" s="9"/>
      <c r="G563" s="9"/>
      <c r="H563" s="9"/>
      <c r="I563" s="9"/>
    </row>
    <row r="564" spans="1:9" x14ac:dyDescent="0.25">
      <c r="A564" s="7" t="s">
        <v>720</v>
      </c>
      <c r="B564" s="7" t="s">
        <v>729</v>
      </c>
      <c r="C564" s="8" t="s">
        <v>722</v>
      </c>
      <c r="D564" s="8" t="s">
        <v>650</v>
      </c>
      <c r="E564" s="9" t="s">
        <v>14</v>
      </c>
      <c r="F564" s="9"/>
      <c r="G564" s="9"/>
      <c r="H564" s="9"/>
      <c r="I564" s="9"/>
    </row>
    <row r="565" spans="1:9" x14ac:dyDescent="0.25">
      <c r="A565" s="7" t="s">
        <v>720</v>
      </c>
      <c r="B565" s="7" t="s">
        <v>730</v>
      </c>
      <c r="C565" s="8" t="s">
        <v>722</v>
      </c>
      <c r="D565" s="8" t="s">
        <v>116</v>
      </c>
      <c r="E565" s="9" t="s">
        <v>14</v>
      </c>
      <c r="F565" s="9"/>
      <c r="G565" s="9"/>
      <c r="H565" s="9"/>
      <c r="I565" s="9"/>
    </row>
    <row r="566" spans="1:9" x14ac:dyDescent="0.25">
      <c r="A566" s="7" t="s">
        <v>720</v>
      </c>
      <c r="B566" s="7" t="s">
        <v>731</v>
      </c>
      <c r="C566" s="8" t="s">
        <v>722</v>
      </c>
      <c r="D566" s="8" t="s">
        <v>195</v>
      </c>
      <c r="E566" s="9" t="s">
        <v>14</v>
      </c>
      <c r="F566" s="9"/>
      <c r="G566" s="9"/>
      <c r="H566" s="9"/>
      <c r="I566" s="9"/>
    </row>
    <row r="567" spans="1:9" x14ac:dyDescent="0.25">
      <c r="A567" s="7" t="s">
        <v>720</v>
      </c>
      <c r="B567" s="7" t="s">
        <v>732</v>
      </c>
      <c r="C567" s="8" t="s">
        <v>722</v>
      </c>
      <c r="D567" s="8" t="s">
        <v>349</v>
      </c>
      <c r="E567" s="9" t="s">
        <v>14</v>
      </c>
      <c r="F567" s="9"/>
      <c r="G567" s="9"/>
      <c r="H567" s="9"/>
      <c r="I567" s="9"/>
    </row>
    <row r="568" spans="1:9" x14ac:dyDescent="0.25">
      <c r="A568" s="7" t="s">
        <v>720</v>
      </c>
      <c r="B568" s="7" t="s">
        <v>733</v>
      </c>
      <c r="C568" s="8" t="s">
        <v>722</v>
      </c>
      <c r="D568" s="8" t="s">
        <v>52</v>
      </c>
      <c r="E568" s="9" t="s">
        <v>14</v>
      </c>
      <c r="F568" s="9"/>
      <c r="G568" s="9"/>
      <c r="H568" s="9"/>
      <c r="I568" s="9"/>
    </row>
    <row r="569" spans="1:9" x14ac:dyDescent="0.25">
      <c r="A569" s="7" t="s">
        <v>720</v>
      </c>
      <c r="B569" s="7" t="s">
        <v>734</v>
      </c>
      <c r="C569" s="7" t="s">
        <v>722</v>
      </c>
      <c r="D569" s="8" t="s">
        <v>352</v>
      </c>
      <c r="E569" s="9" t="s">
        <v>14</v>
      </c>
      <c r="F569" s="9"/>
      <c r="G569" s="9"/>
      <c r="H569" s="9"/>
      <c r="I569" s="9"/>
    </row>
    <row r="570" spans="1:9" x14ac:dyDescent="0.25">
      <c r="A570" s="7" t="s">
        <v>720</v>
      </c>
      <c r="B570" s="7" t="s">
        <v>735</v>
      </c>
      <c r="C570" s="8" t="s">
        <v>722</v>
      </c>
      <c r="D570" s="8" t="s">
        <v>263</v>
      </c>
      <c r="E570" s="9" t="s">
        <v>14</v>
      </c>
      <c r="F570" s="9"/>
      <c r="G570" s="9"/>
      <c r="H570" s="9"/>
      <c r="I570" s="9"/>
    </row>
    <row r="571" spans="1:9" x14ac:dyDescent="0.25">
      <c r="A571" s="7" t="s">
        <v>720</v>
      </c>
      <c r="B571" s="7" t="s">
        <v>736</v>
      </c>
      <c r="C571" s="8" t="s">
        <v>722</v>
      </c>
      <c r="D571" s="8" t="s">
        <v>104</v>
      </c>
      <c r="E571" s="9" t="s">
        <v>14</v>
      </c>
      <c r="F571" s="9"/>
      <c r="G571" s="9"/>
      <c r="H571" s="9"/>
      <c r="I571" s="9"/>
    </row>
    <row r="572" spans="1:9" x14ac:dyDescent="0.25">
      <c r="A572" s="7" t="s">
        <v>737</v>
      </c>
      <c r="B572" s="7" t="s">
        <v>738</v>
      </c>
      <c r="C572" s="7" t="s">
        <v>739</v>
      </c>
      <c r="D572" s="8" t="s">
        <v>13</v>
      </c>
      <c r="E572" s="9" t="s">
        <v>14</v>
      </c>
      <c r="F572" s="9"/>
      <c r="G572" s="9"/>
      <c r="H572" s="9"/>
      <c r="I572" s="9"/>
    </row>
    <row r="573" spans="1:9" x14ac:dyDescent="0.25">
      <c r="A573" s="7" t="s">
        <v>737</v>
      </c>
      <c r="B573" s="7" t="s">
        <v>738</v>
      </c>
      <c r="C573" s="7" t="s">
        <v>739</v>
      </c>
      <c r="D573" s="8" t="s">
        <v>52</v>
      </c>
      <c r="E573" s="9" t="s">
        <v>14</v>
      </c>
      <c r="F573" s="9"/>
      <c r="G573" s="9"/>
      <c r="H573" s="9"/>
      <c r="I573" s="9"/>
    </row>
    <row r="574" spans="1:9" x14ac:dyDescent="0.25">
      <c r="A574" s="7" t="s">
        <v>737</v>
      </c>
      <c r="B574" s="7" t="s">
        <v>740</v>
      </c>
      <c r="C574" s="7" t="s">
        <v>739</v>
      </c>
      <c r="D574" s="8" t="s">
        <v>262</v>
      </c>
      <c r="E574" s="9" t="s">
        <v>14</v>
      </c>
      <c r="F574" s="9"/>
      <c r="G574" s="9"/>
      <c r="H574" s="9"/>
      <c r="I574" s="9"/>
    </row>
    <row r="575" spans="1:9" x14ac:dyDescent="0.25">
      <c r="A575" s="7" t="s">
        <v>737</v>
      </c>
      <c r="B575" s="7" t="s">
        <v>741</v>
      </c>
      <c r="C575" s="7" t="s">
        <v>739</v>
      </c>
      <c r="D575" s="8" t="s">
        <v>43</v>
      </c>
      <c r="E575" s="9" t="s">
        <v>14</v>
      </c>
      <c r="F575" s="9"/>
      <c r="G575" s="9"/>
      <c r="H575" s="9"/>
      <c r="I575" s="9"/>
    </row>
    <row r="576" spans="1:9" x14ac:dyDescent="0.25">
      <c r="A576" s="7" t="s">
        <v>737</v>
      </c>
      <c r="B576" s="7" t="s">
        <v>741</v>
      </c>
      <c r="C576" s="7" t="s">
        <v>739</v>
      </c>
      <c r="D576" s="8" t="s">
        <v>73</v>
      </c>
      <c r="E576" s="9" t="s">
        <v>14</v>
      </c>
      <c r="F576" s="9"/>
      <c r="G576" s="9"/>
      <c r="H576" s="9"/>
      <c r="I576" s="9"/>
    </row>
    <row r="577" spans="1:9" x14ac:dyDescent="0.25">
      <c r="A577" s="7" t="s">
        <v>737</v>
      </c>
      <c r="B577" s="7" t="s">
        <v>742</v>
      </c>
      <c r="C577" s="7" t="s">
        <v>739</v>
      </c>
      <c r="D577" s="8" t="s">
        <v>251</v>
      </c>
      <c r="E577" s="9" t="s">
        <v>14</v>
      </c>
      <c r="F577" s="9"/>
      <c r="G577" s="9"/>
      <c r="H577" s="9"/>
      <c r="I577" s="9"/>
    </row>
    <row r="578" spans="1:9" x14ac:dyDescent="0.25">
      <c r="A578" s="7" t="s">
        <v>737</v>
      </c>
      <c r="B578" s="7" t="s">
        <v>743</v>
      </c>
      <c r="C578" s="7" t="s">
        <v>739</v>
      </c>
      <c r="D578" s="8" t="s">
        <v>89</v>
      </c>
      <c r="E578" s="9" t="s">
        <v>14</v>
      </c>
      <c r="F578" s="9"/>
      <c r="G578" s="9"/>
      <c r="H578" s="9"/>
      <c r="I578" s="9"/>
    </row>
    <row r="579" spans="1:9" x14ac:dyDescent="0.25">
      <c r="A579" s="7" t="s">
        <v>737</v>
      </c>
      <c r="B579" s="7" t="s">
        <v>744</v>
      </c>
      <c r="C579" s="7" t="s">
        <v>739</v>
      </c>
      <c r="D579" s="8" t="s">
        <v>134</v>
      </c>
      <c r="E579" s="9" t="s">
        <v>14</v>
      </c>
      <c r="F579" s="9"/>
      <c r="G579" s="9"/>
      <c r="H579" s="9"/>
      <c r="I579" s="9"/>
    </row>
    <row r="580" spans="1:9" x14ac:dyDescent="0.25">
      <c r="A580" s="7" t="s">
        <v>737</v>
      </c>
      <c r="B580" s="7" t="s">
        <v>745</v>
      </c>
      <c r="C580" s="8" t="s">
        <v>739</v>
      </c>
      <c r="D580" s="8" t="s">
        <v>34</v>
      </c>
      <c r="E580" s="9" t="s">
        <v>14</v>
      </c>
      <c r="F580" s="9"/>
      <c r="G580" s="9"/>
      <c r="H580" s="9"/>
      <c r="I580" s="9"/>
    </row>
    <row r="581" spans="1:9" x14ac:dyDescent="0.25">
      <c r="A581" s="7" t="s">
        <v>737</v>
      </c>
      <c r="B581" s="7" t="s">
        <v>746</v>
      </c>
      <c r="C581" s="8" t="s">
        <v>739</v>
      </c>
      <c r="D581" s="8" t="s">
        <v>106</v>
      </c>
      <c r="E581" s="9" t="s">
        <v>14</v>
      </c>
      <c r="F581" s="9"/>
      <c r="G581" s="9"/>
      <c r="H581" s="9"/>
      <c r="I581" s="9"/>
    </row>
    <row r="582" spans="1:9" x14ac:dyDescent="0.25">
      <c r="A582" s="7" t="s">
        <v>747</v>
      </c>
      <c r="B582" s="7" t="s">
        <v>748</v>
      </c>
      <c r="C582" s="8" t="s">
        <v>749</v>
      </c>
      <c r="D582" s="8" t="s">
        <v>24</v>
      </c>
      <c r="E582" s="9" t="s">
        <v>14</v>
      </c>
      <c r="F582" s="9"/>
      <c r="G582" s="9"/>
      <c r="H582" s="9"/>
      <c r="I582" s="9"/>
    </row>
    <row r="583" spans="1:9" x14ac:dyDescent="0.25">
      <c r="A583" s="7" t="s">
        <v>747</v>
      </c>
      <c r="B583" s="7" t="s">
        <v>748</v>
      </c>
      <c r="C583" s="8" t="s">
        <v>749</v>
      </c>
      <c r="D583" s="8" t="s">
        <v>22</v>
      </c>
      <c r="E583" s="9" t="s">
        <v>14</v>
      </c>
      <c r="F583" s="9"/>
      <c r="G583" s="9"/>
      <c r="H583" s="9"/>
      <c r="I583" s="9"/>
    </row>
    <row r="584" spans="1:9" x14ac:dyDescent="0.25">
      <c r="A584" s="7" t="s">
        <v>747</v>
      </c>
      <c r="B584" s="7" t="s">
        <v>748</v>
      </c>
      <c r="C584" s="7" t="s">
        <v>749</v>
      </c>
      <c r="D584" s="8" t="s">
        <v>48</v>
      </c>
      <c r="E584" s="9" t="s">
        <v>14</v>
      </c>
      <c r="F584" s="9"/>
      <c r="G584" s="9"/>
      <c r="H584" s="9"/>
      <c r="I584" s="9"/>
    </row>
    <row r="585" spans="1:9" x14ac:dyDescent="0.25">
      <c r="A585" s="7" t="s">
        <v>747</v>
      </c>
      <c r="B585" s="7" t="s">
        <v>750</v>
      </c>
      <c r="C585" s="7" t="s">
        <v>749</v>
      </c>
      <c r="D585" s="8" t="s">
        <v>122</v>
      </c>
      <c r="E585" s="9" t="s">
        <v>14</v>
      </c>
      <c r="F585" s="9"/>
      <c r="G585" s="9"/>
      <c r="H585" s="9"/>
      <c r="I585" s="9"/>
    </row>
    <row r="586" spans="1:9" x14ac:dyDescent="0.25">
      <c r="A586" s="7" t="s">
        <v>747</v>
      </c>
      <c r="B586" s="7" t="s">
        <v>750</v>
      </c>
      <c r="C586" s="8" t="s">
        <v>749</v>
      </c>
      <c r="D586" s="8" t="s">
        <v>36</v>
      </c>
      <c r="E586" s="9" t="s">
        <v>14</v>
      </c>
      <c r="F586" s="9"/>
      <c r="G586" s="9"/>
      <c r="H586" s="9"/>
      <c r="I586" s="9"/>
    </row>
    <row r="587" spans="1:9" x14ac:dyDescent="0.25">
      <c r="A587" s="7" t="s">
        <v>747</v>
      </c>
      <c r="B587" s="7" t="s">
        <v>751</v>
      </c>
      <c r="C587" s="8" t="s">
        <v>749</v>
      </c>
      <c r="D587" s="8" t="s">
        <v>20</v>
      </c>
      <c r="E587" s="9" t="s">
        <v>14</v>
      </c>
      <c r="F587" s="9"/>
      <c r="G587" s="9"/>
      <c r="H587" s="9"/>
      <c r="I587" s="9"/>
    </row>
    <row r="588" spans="1:9" x14ac:dyDescent="0.25">
      <c r="A588" s="7" t="s">
        <v>747</v>
      </c>
      <c r="B588" s="7" t="s">
        <v>751</v>
      </c>
      <c r="C588" s="8" t="s">
        <v>749</v>
      </c>
      <c r="D588" s="8" t="s">
        <v>44</v>
      </c>
      <c r="E588" s="9" t="s">
        <v>14</v>
      </c>
      <c r="F588" s="9"/>
      <c r="G588" s="9"/>
      <c r="H588" s="9"/>
      <c r="I588" s="9"/>
    </row>
    <row r="589" spans="1:9" x14ac:dyDescent="0.25">
      <c r="A589" s="7" t="s">
        <v>747</v>
      </c>
      <c r="B589" s="7" t="s">
        <v>752</v>
      </c>
      <c r="C589" s="8" t="s">
        <v>749</v>
      </c>
      <c r="D589" s="8" t="s">
        <v>118</v>
      </c>
      <c r="E589" s="9" t="s">
        <v>14</v>
      </c>
      <c r="F589" s="9"/>
      <c r="G589" s="9"/>
      <c r="H589" s="9"/>
      <c r="I589" s="9"/>
    </row>
    <row r="590" spans="1:9" x14ac:dyDescent="0.25">
      <c r="A590" s="7" t="s">
        <v>747</v>
      </c>
      <c r="B590" s="7" t="s">
        <v>752</v>
      </c>
      <c r="C590" s="8" t="s">
        <v>749</v>
      </c>
      <c r="D590" s="8" t="s">
        <v>243</v>
      </c>
      <c r="E590" s="9" t="s">
        <v>14</v>
      </c>
      <c r="F590" s="9"/>
      <c r="G590" s="9"/>
      <c r="H590" s="9"/>
      <c r="I590" s="9"/>
    </row>
    <row r="591" spans="1:9" x14ac:dyDescent="0.25">
      <c r="A591" s="7" t="s">
        <v>747</v>
      </c>
      <c r="B591" s="7" t="s">
        <v>753</v>
      </c>
      <c r="C591" s="8" t="s">
        <v>749</v>
      </c>
      <c r="D591" s="8" t="s">
        <v>16</v>
      </c>
      <c r="E591" s="9" t="s">
        <v>14</v>
      </c>
      <c r="F591" s="9"/>
      <c r="G591" s="9"/>
      <c r="H591" s="9"/>
      <c r="I591" s="9"/>
    </row>
    <row r="592" spans="1:9" x14ac:dyDescent="0.25">
      <c r="A592" s="7" t="s">
        <v>747</v>
      </c>
      <c r="B592" s="7" t="s">
        <v>753</v>
      </c>
      <c r="C592" s="8" t="s">
        <v>749</v>
      </c>
      <c r="D592" s="8" t="s">
        <v>53</v>
      </c>
      <c r="E592" s="9" t="s">
        <v>14</v>
      </c>
      <c r="F592" s="9"/>
      <c r="G592" s="9"/>
      <c r="H592" s="9"/>
      <c r="I592" s="9"/>
    </row>
    <row r="593" spans="1:9" x14ac:dyDescent="0.25">
      <c r="A593" s="7" t="s">
        <v>747</v>
      </c>
      <c r="B593" s="7" t="s">
        <v>754</v>
      </c>
      <c r="C593" s="8" t="s">
        <v>749</v>
      </c>
      <c r="D593" s="8" t="s">
        <v>46</v>
      </c>
      <c r="E593" s="9" t="s">
        <v>14</v>
      </c>
      <c r="F593" s="9"/>
      <c r="G593" s="9"/>
      <c r="H593" s="9"/>
      <c r="I593" s="9"/>
    </row>
    <row r="594" spans="1:9" x14ac:dyDescent="0.25">
      <c r="A594" s="7" t="s">
        <v>747</v>
      </c>
      <c r="B594" s="7" t="s">
        <v>754</v>
      </c>
      <c r="C594" s="8" t="s">
        <v>749</v>
      </c>
      <c r="D594" s="8" t="s">
        <v>29</v>
      </c>
      <c r="E594" s="9" t="s">
        <v>14</v>
      </c>
      <c r="F594" s="9"/>
      <c r="G594" s="9"/>
      <c r="H594" s="9"/>
      <c r="I594" s="9"/>
    </row>
    <row r="595" spans="1:9" x14ac:dyDescent="0.25">
      <c r="A595" s="7" t="s">
        <v>755</v>
      </c>
      <c r="B595" s="7" t="s">
        <v>755</v>
      </c>
      <c r="C595" s="7" t="s">
        <v>756</v>
      </c>
      <c r="D595" s="8" t="s">
        <v>106</v>
      </c>
      <c r="E595" s="9" t="s">
        <v>14</v>
      </c>
      <c r="F595" s="9"/>
      <c r="G595" s="9" t="s">
        <v>14</v>
      </c>
      <c r="H595" s="9"/>
      <c r="I595" s="9" t="s">
        <v>14</v>
      </c>
    </row>
    <row r="596" spans="1:9" x14ac:dyDescent="0.25">
      <c r="A596" s="7" t="s">
        <v>755</v>
      </c>
      <c r="B596" s="7" t="s">
        <v>755</v>
      </c>
      <c r="C596" s="8" t="s">
        <v>756</v>
      </c>
      <c r="D596" s="8" t="s">
        <v>46</v>
      </c>
      <c r="E596" s="9" t="s">
        <v>14</v>
      </c>
      <c r="F596" s="9"/>
      <c r="G596" s="9" t="s">
        <v>14</v>
      </c>
      <c r="H596" s="9"/>
      <c r="I596" s="9" t="s">
        <v>14</v>
      </c>
    </row>
    <row r="597" spans="1:9" x14ac:dyDescent="0.25">
      <c r="A597" s="7" t="s">
        <v>755</v>
      </c>
      <c r="B597" s="7" t="s">
        <v>757</v>
      </c>
      <c r="C597" s="7" t="s">
        <v>756</v>
      </c>
      <c r="D597" s="8" t="s">
        <v>331</v>
      </c>
      <c r="E597" s="9" t="s">
        <v>14</v>
      </c>
      <c r="F597" s="9"/>
      <c r="G597" s="9" t="s">
        <v>14</v>
      </c>
      <c r="H597" s="9"/>
      <c r="I597" s="9" t="s">
        <v>14</v>
      </c>
    </row>
    <row r="598" spans="1:9" x14ac:dyDescent="0.25">
      <c r="A598" s="7" t="s">
        <v>755</v>
      </c>
      <c r="B598" s="7" t="s">
        <v>757</v>
      </c>
      <c r="C598" s="8" t="s">
        <v>756</v>
      </c>
      <c r="D598" s="8" t="s">
        <v>453</v>
      </c>
      <c r="E598" s="9" t="s">
        <v>14</v>
      </c>
      <c r="F598" s="9"/>
      <c r="G598" s="9" t="s">
        <v>14</v>
      </c>
      <c r="H598" s="9"/>
      <c r="I598" s="9" t="s">
        <v>14</v>
      </c>
    </row>
    <row r="599" spans="1:9" x14ac:dyDescent="0.25">
      <c r="A599" s="7" t="s">
        <v>755</v>
      </c>
      <c r="B599" s="7" t="s">
        <v>758</v>
      </c>
      <c r="C599" s="8" t="s">
        <v>756</v>
      </c>
      <c r="D599" s="8" t="s">
        <v>84</v>
      </c>
      <c r="E599" s="9" t="s">
        <v>14</v>
      </c>
      <c r="F599" s="9"/>
      <c r="G599" s="9" t="s">
        <v>14</v>
      </c>
      <c r="H599" s="9"/>
      <c r="I599" s="9" t="s">
        <v>14</v>
      </c>
    </row>
    <row r="600" spans="1:9" x14ac:dyDescent="0.25">
      <c r="A600" s="7" t="s">
        <v>755</v>
      </c>
      <c r="B600" s="7" t="s">
        <v>759</v>
      </c>
      <c r="C600" s="7" t="s">
        <v>756</v>
      </c>
      <c r="D600" s="8" t="s">
        <v>371</v>
      </c>
      <c r="E600" s="9" t="s">
        <v>14</v>
      </c>
      <c r="F600" s="9"/>
      <c r="G600" s="9" t="s">
        <v>14</v>
      </c>
      <c r="H600" s="9"/>
      <c r="I600" s="9" t="s">
        <v>14</v>
      </c>
    </row>
    <row r="601" spans="1:9" x14ac:dyDescent="0.25">
      <c r="A601" s="7" t="s">
        <v>755</v>
      </c>
      <c r="B601" s="7" t="s">
        <v>760</v>
      </c>
      <c r="C601" s="7" t="s">
        <v>756</v>
      </c>
      <c r="D601" s="8" t="s">
        <v>13</v>
      </c>
      <c r="E601" s="9" t="s">
        <v>14</v>
      </c>
      <c r="F601" s="9"/>
      <c r="G601" s="9" t="s">
        <v>14</v>
      </c>
      <c r="H601" s="9"/>
      <c r="I601" s="9" t="s">
        <v>14</v>
      </c>
    </row>
    <row r="602" spans="1:9" x14ac:dyDescent="0.25">
      <c r="A602" s="7" t="s">
        <v>755</v>
      </c>
      <c r="B602" s="7" t="s">
        <v>760</v>
      </c>
      <c r="C602" s="7" t="s">
        <v>756</v>
      </c>
      <c r="D602" s="8" t="s">
        <v>195</v>
      </c>
      <c r="E602" s="9" t="s">
        <v>14</v>
      </c>
      <c r="F602" s="9"/>
      <c r="G602" s="9" t="s">
        <v>14</v>
      </c>
      <c r="H602" s="9"/>
      <c r="I602" s="9" t="s">
        <v>14</v>
      </c>
    </row>
    <row r="603" spans="1:9" x14ac:dyDescent="0.25">
      <c r="A603" s="7" t="s">
        <v>755</v>
      </c>
      <c r="B603" s="7" t="s">
        <v>760</v>
      </c>
      <c r="C603" s="8" t="s">
        <v>756</v>
      </c>
      <c r="D603" s="8" t="s">
        <v>102</v>
      </c>
      <c r="E603" s="9" t="s">
        <v>14</v>
      </c>
      <c r="F603" s="9"/>
      <c r="G603" s="9" t="s">
        <v>14</v>
      </c>
      <c r="H603" s="9"/>
      <c r="I603" s="9" t="s">
        <v>14</v>
      </c>
    </row>
    <row r="604" spans="1:9" x14ac:dyDescent="0.25">
      <c r="A604" s="7" t="s">
        <v>755</v>
      </c>
      <c r="B604" s="7" t="s">
        <v>761</v>
      </c>
      <c r="C604" s="8" t="s">
        <v>756</v>
      </c>
      <c r="D604" s="8" t="s">
        <v>363</v>
      </c>
      <c r="E604" s="9" t="s">
        <v>14</v>
      </c>
      <c r="F604" s="9"/>
      <c r="G604" s="9" t="s">
        <v>14</v>
      </c>
      <c r="H604" s="9"/>
      <c r="I604" s="9" t="s">
        <v>14</v>
      </c>
    </row>
    <row r="605" spans="1:9" x14ac:dyDescent="0.25">
      <c r="A605" s="7" t="s">
        <v>755</v>
      </c>
      <c r="B605" s="7" t="s">
        <v>761</v>
      </c>
      <c r="C605" s="8" t="s">
        <v>756</v>
      </c>
      <c r="D605" s="8" t="s">
        <v>275</v>
      </c>
      <c r="E605" s="9" t="s">
        <v>14</v>
      </c>
      <c r="F605" s="9"/>
      <c r="G605" s="9" t="s">
        <v>14</v>
      </c>
      <c r="H605" s="9"/>
      <c r="I605" s="9" t="s">
        <v>14</v>
      </c>
    </row>
    <row r="606" spans="1:9" x14ac:dyDescent="0.25">
      <c r="A606" s="7" t="s">
        <v>755</v>
      </c>
      <c r="B606" s="7" t="s">
        <v>761</v>
      </c>
      <c r="C606" s="7" t="s">
        <v>756</v>
      </c>
      <c r="D606" s="8" t="s">
        <v>238</v>
      </c>
      <c r="E606" s="9" t="s">
        <v>14</v>
      </c>
      <c r="F606" s="9"/>
      <c r="G606" s="9" t="s">
        <v>14</v>
      </c>
      <c r="H606" s="9"/>
      <c r="I606" s="9" t="s">
        <v>14</v>
      </c>
    </row>
    <row r="607" spans="1:9" x14ac:dyDescent="0.25">
      <c r="A607" s="7" t="s">
        <v>755</v>
      </c>
      <c r="B607" s="7" t="s">
        <v>762</v>
      </c>
      <c r="C607" s="7" t="s">
        <v>756</v>
      </c>
      <c r="D607" s="8" t="s">
        <v>243</v>
      </c>
      <c r="E607" s="9" t="s">
        <v>14</v>
      </c>
      <c r="F607" s="9"/>
      <c r="G607" s="9" t="s">
        <v>14</v>
      </c>
      <c r="H607" s="9"/>
      <c r="I607" s="9" t="s">
        <v>14</v>
      </c>
    </row>
    <row r="608" spans="1:9" x14ac:dyDescent="0.25">
      <c r="A608" s="7" t="s">
        <v>755</v>
      </c>
      <c r="B608" s="7" t="s">
        <v>763</v>
      </c>
      <c r="C608" s="7" t="s">
        <v>756</v>
      </c>
      <c r="D608" s="8" t="s">
        <v>124</v>
      </c>
      <c r="E608" s="9" t="s">
        <v>14</v>
      </c>
      <c r="F608" s="9"/>
      <c r="G608" s="9" t="s">
        <v>14</v>
      </c>
      <c r="H608" s="9"/>
      <c r="I608" s="9" t="s">
        <v>14</v>
      </c>
    </row>
    <row r="609" spans="1:9" x14ac:dyDescent="0.25">
      <c r="A609" s="7" t="s">
        <v>755</v>
      </c>
      <c r="B609" s="7" t="s">
        <v>764</v>
      </c>
      <c r="C609" s="7" t="s">
        <v>756</v>
      </c>
      <c r="D609" s="8" t="s">
        <v>52</v>
      </c>
      <c r="E609" s="9" t="s">
        <v>14</v>
      </c>
      <c r="F609" s="9"/>
      <c r="G609" s="9" t="s">
        <v>14</v>
      </c>
      <c r="H609" s="9"/>
      <c r="I609" s="9" t="s">
        <v>14</v>
      </c>
    </row>
    <row r="610" spans="1:9" x14ac:dyDescent="0.25">
      <c r="A610" s="7" t="s">
        <v>755</v>
      </c>
      <c r="B610" s="7" t="s">
        <v>764</v>
      </c>
      <c r="C610" s="7" t="s">
        <v>756</v>
      </c>
      <c r="D610" s="8" t="s">
        <v>36</v>
      </c>
      <c r="E610" s="9" t="s">
        <v>14</v>
      </c>
      <c r="F610" s="9"/>
      <c r="G610" s="9" t="s">
        <v>14</v>
      </c>
      <c r="H610" s="9"/>
      <c r="I610" s="9" t="s">
        <v>14</v>
      </c>
    </row>
    <row r="611" spans="1:9" x14ac:dyDescent="0.25">
      <c r="A611" s="7" t="s">
        <v>755</v>
      </c>
      <c r="B611" s="7" t="s">
        <v>765</v>
      </c>
      <c r="C611" s="7" t="s">
        <v>756</v>
      </c>
      <c r="D611" s="8" t="s">
        <v>292</v>
      </c>
      <c r="E611" s="9" t="s">
        <v>14</v>
      </c>
      <c r="F611" s="9"/>
      <c r="G611" s="9" t="s">
        <v>14</v>
      </c>
      <c r="H611" s="9"/>
      <c r="I611" s="9" t="s">
        <v>14</v>
      </c>
    </row>
    <row r="612" spans="1:9" x14ac:dyDescent="0.25">
      <c r="A612" s="7" t="s">
        <v>755</v>
      </c>
      <c r="B612" s="7" t="s">
        <v>765</v>
      </c>
      <c r="C612" s="7" t="s">
        <v>756</v>
      </c>
      <c r="D612" s="8" t="s">
        <v>247</v>
      </c>
      <c r="E612" s="9" t="s">
        <v>14</v>
      </c>
      <c r="F612" s="9"/>
      <c r="G612" s="9" t="s">
        <v>14</v>
      </c>
      <c r="H612" s="9"/>
      <c r="I612" s="9" t="s">
        <v>14</v>
      </c>
    </row>
    <row r="613" spans="1:9" x14ac:dyDescent="0.25">
      <c r="A613" s="7" t="s">
        <v>766</v>
      </c>
      <c r="B613" s="7" t="s">
        <v>766</v>
      </c>
      <c r="C613" s="8" t="s">
        <v>767</v>
      </c>
      <c r="D613" s="8" t="s">
        <v>52</v>
      </c>
      <c r="E613" s="9" t="s">
        <v>14</v>
      </c>
      <c r="F613" s="9"/>
      <c r="G613" s="9"/>
      <c r="H613" s="9"/>
      <c r="I613" s="9"/>
    </row>
    <row r="614" spans="1:9" x14ac:dyDescent="0.25">
      <c r="A614" s="7" t="s">
        <v>766</v>
      </c>
      <c r="B614" s="7" t="s">
        <v>768</v>
      </c>
      <c r="C614" s="8" t="s">
        <v>767</v>
      </c>
      <c r="D614" s="8" t="s">
        <v>24</v>
      </c>
      <c r="E614" s="9" t="s">
        <v>14</v>
      </c>
      <c r="F614" s="9"/>
      <c r="G614" s="9"/>
      <c r="H614" s="9"/>
      <c r="I614" s="9"/>
    </row>
    <row r="615" spans="1:9" x14ac:dyDescent="0.25">
      <c r="A615" s="7" t="s">
        <v>769</v>
      </c>
      <c r="B615" s="7" t="s">
        <v>769</v>
      </c>
      <c r="C615" s="7" t="s">
        <v>770</v>
      </c>
      <c r="D615" s="8" t="s">
        <v>43</v>
      </c>
      <c r="E615" s="9" t="s">
        <v>14</v>
      </c>
      <c r="F615" s="9"/>
      <c r="G615" s="9"/>
      <c r="H615" s="9"/>
      <c r="I615" s="9"/>
    </row>
    <row r="616" spans="1:9" x14ac:dyDescent="0.25">
      <c r="A616" s="7" t="s">
        <v>769</v>
      </c>
      <c r="B616" s="7" t="s">
        <v>771</v>
      </c>
      <c r="C616" s="7" t="s">
        <v>770</v>
      </c>
      <c r="D616" s="8" t="s">
        <v>34</v>
      </c>
      <c r="E616" s="9" t="s">
        <v>14</v>
      </c>
      <c r="F616" s="9"/>
      <c r="G616" s="9"/>
      <c r="H616" s="9"/>
      <c r="I616" s="9"/>
    </row>
    <row r="617" spans="1:9" x14ac:dyDescent="0.25">
      <c r="A617" s="7" t="s">
        <v>772</v>
      </c>
      <c r="B617" s="7" t="s">
        <v>772</v>
      </c>
      <c r="C617" s="7" t="s">
        <v>773</v>
      </c>
      <c r="D617" s="8" t="s">
        <v>52</v>
      </c>
      <c r="E617" s="9" t="s">
        <v>14</v>
      </c>
      <c r="F617" s="9" t="s">
        <v>14</v>
      </c>
      <c r="G617" s="9"/>
      <c r="H617" s="9"/>
      <c r="I617" s="9" t="s">
        <v>14</v>
      </c>
    </row>
    <row r="618" spans="1:9" x14ac:dyDescent="0.25">
      <c r="A618" s="7" t="s">
        <v>772</v>
      </c>
      <c r="B618" s="7" t="s">
        <v>772</v>
      </c>
      <c r="C618" s="7" t="s">
        <v>773</v>
      </c>
      <c r="D618" s="8" t="s">
        <v>43</v>
      </c>
      <c r="E618" s="9" t="s">
        <v>14</v>
      </c>
      <c r="F618" s="9" t="s">
        <v>14</v>
      </c>
      <c r="G618" s="9"/>
      <c r="H618" s="9"/>
      <c r="I618" s="9" t="s">
        <v>14</v>
      </c>
    </row>
    <row r="619" spans="1:9" x14ac:dyDescent="0.25">
      <c r="A619" s="7" t="s">
        <v>772</v>
      </c>
      <c r="B619" s="7" t="s">
        <v>774</v>
      </c>
      <c r="C619" s="7" t="s">
        <v>773</v>
      </c>
      <c r="D619" s="8" t="s">
        <v>60</v>
      </c>
      <c r="E619" s="9" t="s">
        <v>14</v>
      </c>
      <c r="F619" s="9" t="s">
        <v>14</v>
      </c>
      <c r="G619" s="9"/>
      <c r="H619" s="9"/>
      <c r="I619" s="9" t="s">
        <v>14</v>
      </c>
    </row>
    <row r="620" spans="1:9" x14ac:dyDescent="0.25">
      <c r="A620" s="7" t="s">
        <v>772</v>
      </c>
      <c r="B620" s="7" t="s">
        <v>774</v>
      </c>
      <c r="C620" s="7" t="s">
        <v>773</v>
      </c>
      <c r="D620" s="8" t="s">
        <v>53</v>
      </c>
      <c r="E620" s="9" t="s">
        <v>14</v>
      </c>
      <c r="F620" s="9" t="s">
        <v>14</v>
      </c>
      <c r="G620" s="9"/>
      <c r="H620" s="9"/>
      <c r="I620" s="9" t="s">
        <v>14</v>
      </c>
    </row>
    <row r="621" spans="1:9" x14ac:dyDescent="0.25">
      <c r="A621" s="7" t="s">
        <v>775</v>
      </c>
      <c r="B621" s="7" t="s">
        <v>775</v>
      </c>
      <c r="C621" s="7" t="s">
        <v>776</v>
      </c>
      <c r="D621" s="8" t="s">
        <v>22</v>
      </c>
      <c r="E621" s="9" t="s">
        <v>14</v>
      </c>
      <c r="F621" s="9" t="s">
        <v>14</v>
      </c>
      <c r="G621" s="9"/>
      <c r="H621" s="9"/>
      <c r="I621" s="9" t="s">
        <v>14</v>
      </c>
    </row>
    <row r="622" spans="1:9" x14ac:dyDescent="0.25">
      <c r="A622" s="7" t="s">
        <v>775</v>
      </c>
      <c r="B622" s="7" t="s">
        <v>775</v>
      </c>
      <c r="C622" s="7" t="s">
        <v>776</v>
      </c>
      <c r="D622" s="8" t="s">
        <v>60</v>
      </c>
      <c r="E622" s="9" t="s">
        <v>14</v>
      </c>
      <c r="F622" s="9" t="s">
        <v>14</v>
      </c>
      <c r="G622" s="9"/>
      <c r="H622" s="9"/>
      <c r="I622" s="9" t="s">
        <v>14</v>
      </c>
    </row>
    <row r="623" spans="1:9" x14ac:dyDescent="0.25">
      <c r="A623" s="7" t="s">
        <v>775</v>
      </c>
      <c r="B623" s="7" t="s">
        <v>775</v>
      </c>
      <c r="C623" s="7" t="s">
        <v>776</v>
      </c>
      <c r="D623" s="8" t="s">
        <v>53</v>
      </c>
      <c r="E623" s="9" t="s">
        <v>14</v>
      </c>
      <c r="F623" s="9" t="s">
        <v>14</v>
      </c>
      <c r="G623" s="9"/>
      <c r="H623" s="9"/>
      <c r="I623" s="9" t="s">
        <v>14</v>
      </c>
    </row>
    <row r="624" spans="1:9" x14ac:dyDescent="0.25">
      <c r="A624" s="7" t="s">
        <v>775</v>
      </c>
      <c r="B624" s="7" t="s">
        <v>777</v>
      </c>
      <c r="C624" s="7" t="s">
        <v>776</v>
      </c>
      <c r="D624" s="8" t="s">
        <v>20</v>
      </c>
      <c r="E624" s="9" t="s">
        <v>14</v>
      </c>
      <c r="F624" s="9" t="s">
        <v>14</v>
      </c>
      <c r="G624" s="9"/>
      <c r="H624" s="9"/>
      <c r="I624" s="9" t="s">
        <v>14</v>
      </c>
    </row>
    <row r="625" spans="1:9" x14ac:dyDescent="0.25">
      <c r="A625" s="7" t="s">
        <v>775</v>
      </c>
      <c r="B625" s="7" t="s">
        <v>777</v>
      </c>
      <c r="C625" s="7" t="s">
        <v>776</v>
      </c>
      <c r="D625" s="8" t="s">
        <v>34</v>
      </c>
      <c r="E625" s="9" t="s">
        <v>14</v>
      </c>
      <c r="F625" s="9" t="s">
        <v>14</v>
      </c>
      <c r="G625" s="9"/>
      <c r="H625" s="9"/>
      <c r="I625" s="9" t="s">
        <v>14</v>
      </c>
    </row>
    <row r="626" spans="1:9" x14ac:dyDescent="0.25">
      <c r="A626" s="7" t="s">
        <v>775</v>
      </c>
      <c r="B626" s="7" t="s">
        <v>778</v>
      </c>
      <c r="C626" s="7" t="s">
        <v>776</v>
      </c>
      <c r="D626" s="8" t="s">
        <v>18</v>
      </c>
      <c r="E626" s="9" t="s">
        <v>14</v>
      </c>
      <c r="F626" s="9" t="s">
        <v>14</v>
      </c>
      <c r="G626" s="9"/>
      <c r="H626" s="9"/>
      <c r="I626" s="9" t="s">
        <v>14</v>
      </c>
    </row>
    <row r="627" spans="1:9" x14ac:dyDescent="0.25">
      <c r="A627" s="7" t="s">
        <v>775</v>
      </c>
      <c r="B627" s="7" t="s">
        <v>779</v>
      </c>
      <c r="C627" s="7" t="s">
        <v>776</v>
      </c>
      <c r="D627" s="8" t="s">
        <v>24</v>
      </c>
      <c r="E627" s="9" t="s">
        <v>14</v>
      </c>
      <c r="F627" s="9" t="s">
        <v>14</v>
      </c>
      <c r="G627" s="9"/>
      <c r="H627" s="9"/>
      <c r="I627" s="9" t="s">
        <v>14</v>
      </c>
    </row>
    <row r="628" spans="1:9" x14ac:dyDescent="0.25">
      <c r="A628" s="7" t="s">
        <v>780</v>
      </c>
      <c r="B628" s="7" t="s">
        <v>781</v>
      </c>
      <c r="C628" s="7" t="s">
        <v>782</v>
      </c>
      <c r="D628" s="8" t="s">
        <v>352</v>
      </c>
      <c r="E628" s="9" t="s">
        <v>14</v>
      </c>
      <c r="F628" s="9"/>
      <c r="G628" s="9"/>
      <c r="H628" s="9"/>
      <c r="I628" s="9"/>
    </row>
    <row r="629" spans="1:9" x14ac:dyDescent="0.25">
      <c r="A629" s="7" t="s">
        <v>780</v>
      </c>
      <c r="B629" s="7" t="s">
        <v>781</v>
      </c>
      <c r="C629" s="7" t="s">
        <v>782</v>
      </c>
      <c r="D629" s="8" t="s">
        <v>349</v>
      </c>
      <c r="E629" s="9" t="s">
        <v>14</v>
      </c>
      <c r="F629" s="9"/>
      <c r="G629" s="9"/>
      <c r="H629" s="9"/>
      <c r="I629" s="9"/>
    </row>
    <row r="630" spans="1:9" x14ac:dyDescent="0.25">
      <c r="A630" s="7" t="s">
        <v>780</v>
      </c>
      <c r="B630" s="7" t="s">
        <v>781</v>
      </c>
      <c r="C630" s="7" t="s">
        <v>782</v>
      </c>
      <c r="D630" s="8" t="s">
        <v>180</v>
      </c>
      <c r="E630" s="9" t="s">
        <v>14</v>
      </c>
      <c r="F630" s="9"/>
      <c r="G630" s="9"/>
      <c r="H630" s="9"/>
      <c r="I630" s="9"/>
    </row>
    <row r="631" spans="1:9" x14ac:dyDescent="0.25">
      <c r="A631" s="7" t="s">
        <v>780</v>
      </c>
      <c r="B631" s="7" t="s">
        <v>781</v>
      </c>
      <c r="C631" s="7" t="s">
        <v>782</v>
      </c>
      <c r="D631" s="8" t="s">
        <v>116</v>
      </c>
      <c r="E631" s="9" t="s">
        <v>14</v>
      </c>
      <c r="F631" s="9"/>
      <c r="G631" s="9"/>
      <c r="H631" s="9"/>
      <c r="I631" s="9"/>
    </row>
    <row r="632" spans="1:9" x14ac:dyDescent="0.25">
      <c r="A632" s="7" t="s">
        <v>780</v>
      </c>
      <c r="B632" s="7" t="s">
        <v>781</v>
      </c>
      <c r="C632" s="8" t="s">
        <v>782</v>
      </c>
      <c r="D632" s="8" t="s">
        <v>344</v>
      </c>
      <c r="E632" s="9" t="s">
        <v>14</v>
      </c>
      <c r="F632" s="9"/>
      <c r="G632" s="9"/>
      <c r="H632" s="9"/>
      <c r="I632" s="9"/>
    </row>
    <row r="633" spans="1:9" x14ac:dyDescent="0.25">
      <c r="A633" s="7" t="s">
        <v>780</v>
      </c>
      <c r="B633" s="7" t="s">
        <v>783</v>
      </c>
      <c r="C633" s="7" t="s">
        <v>782</v>
      </c>
      <c r="D633" s="8" t="s">
        <v>46</v>
      </c>
      <c r="E633" s="9" t="s">
        <v>14</v>
      </c>
      <c r="F633" s="9"/>
      <c r="G633" s="9"/>
      <c r="H633" s="9"/>
      <c r="I633" s="9"/>
    </row>
    <row r="634" spans="1:9" x14ac:dyDescent="0.25">
      <c r="A634" s="7" t="s">
        <v>780</v>
      </c>
      <c r="B634" s="7" t="s">
        <v>784</v>
      </c>
      <c r="C634" s="8" t="s">
        <v>782</v>
      </c>
      <c r="D634" s="8" t="s">
        <v>371</v>
      </c>
      <c r="E634" s="9" t="s">
        <v>14</v>
      </c>
      <c r="F634" s="9"/>
      <c r="G634" s="9"/>
      <c r="H634" s="9"/>
      <c r="I634" s="9"/>
    </row>
    <row r="635" spans="1:9" x14ac:dyDescent="0.25">
      <c r="A635" s="7" t="s">
        <v>780</v>
      </c>
      <c r="B635" s="7" t="s">
        <v>785</v>
      </c>
      <c r="C635" s="8" t="s">
        <v>782</v>
      </c>
      <c r="D635" s="8" t="s">
        <v>13</v>
      </c>
      <c r="E635" s="9" t="s">
        <v>14</v>
      </c>
      <c r="F635" s="9"/>
      <c r="G635" s="9"/>
      <c r="H635" s="9"/>
      <c r="I635" s="9"/>
    </row>
    <row r="636" spans="1:9" x14ac:dyDescent="0.25">
      <c r="A636" s="7" t="s">
        <v>780</v>
      </c>
      <c r="B636" s="7" t="s">
        <v>785</v>
      </c>
      <c r="C636" s="8" t="s">
        <v>782</v>
      </c>
      <c r="D636" s="8" t="s">
        <v>29</v>
      </c>
      <c r="E636" s="9" t="s">
        <v>14</v>
      </c>
      <c r="F636" s="9"/>
      <c r="G636" s="9"/>
      <c r="H636" s="9"/>
      <c r="I636" s="9"/>
    </row>
    <row r="637" spans="1:9" x14ac:dyDescent="0.25">
      <c r="A637" s="7" t="s">
        <v>780</v>
      </c>
      <c r="B637" s="7" t="s">
        <v>785</v>
      </c>
      <c r="C637" s="8" t="s">
        <v>782</v>
      </c>
      <c r="D637" s="8" t="s">
        <v>122</v>
      </c>
      <c r="E637" s="9" t="s">
        <v>14</v>
      </c>
      <c r="F637" s="9"/>
      <c r="G637" s="9"/>
      <c r="H637" s="9"/>
      <c r="I637" s="9"/>
    </row>
    <row r="638" spans="1:9" x14ac:dyDescent="0.25">
      <c r="A638" s="7" t="s">
        <v>780</v>
      </c>
      <c r="B638" s="7" t="s">
        <v>785</v>
      </c>
      <c r="C638" s="8" t="s">
        <v>782</v>
      </c>
      <c r="D638" s="8" t="s">
        <v>36</v>
      </c>
      <c r="E638" s="9" t="s">
        <v>14</v>
      </c>
      <c r="F638" s="9"/>
      <c r="G638" s="9"/>
      <c r="H638" s="9"/>
      <c r="I638" s="9"/>
    </row>
    <row r="639" spans="1:9" x14ac:dyDescent="0.25">
      <c r="A639" s="7" t="s">
        <v>780</v>
      </c>
      <c r="B639" s="7" t="s">
        <v>785</v>
      </c>
      <c r="C639" s="8" t="s">
        <v>782</v>
      </c>
      <c r="D639" s="8" t="s">
        <v>106</v>
      </c>
      <c r="E639" s="9" t="s">
        <v>14</v>
      </c>
      <c r="F639" s="9"/>
      <c r="G639" s="9"/>
      <c r="H639" s="9"/>
      <c r="I639" s="9"/>
    </row>
    <row r="640" spans="1:9" x14ac:dyDescent="0.25">
      <c r="A640" s="7" t="s">
        <v>786</v>
      </c>
      <c r="B640" s="7" t="s">
        <v>786</v>
      </c>
      <c r="C640" s="7" t="s">
        <v>787</v>
      </c>
      <c r="D640" s="8" t="s">
        <v>13</v>
      </c>
      <c r="E640" s="9" t="s">
        <v>14</v>
      </c>
      <c r="F640" s="9"/>
      <c r="G640" s="9"/>
      <c r="H640" s="9"/>
      <c r="I640" s="9"/>
    </row>
    <row r="641" spans="1:9" x14ac:dyDescent="0.25">
      <c r="A641" s="7" t="s">
        <v>786</v>
      </c>
      <c r="B641" s="7" t="s">
        <v>781</v>
      </c>
      <c r="C641" s="7" t="s">
        <v>787</v>
      </c>
      <c r="D641" s="8" t="s">
        <v>32</v>
      </c>
      <c r="E641" s="9" t="s">
        <v>14</v>
      </c>
      <c r="F641" s="9"/>
      <c r="G641" s="9"/>
      <c r="H641" s="9"/>
      <c r="I641" s="9"/>
    </row>
    <row r="642" spans="1:9" x14ac:dyDescent="0.25">
      <c r="A642" s="7" t="s">
        <v>788</v>
      </c>
      <c r="B642" s="7" t="s">
        <v>788</v>
      </c>
      <c r="C642" s="7" t="s">
        <v>789</v>
      </c>
      <c r="D642" s="8" t="s">
        <v>43</v>
      </c>
      <c r="E642" s="9" t="s">
        <v>14</v>
      </c>
      <c r="F642" s="9"/>
      <c r="G642" s="9"/>
      <c r="H642" s="9"/>
      <c r="I642" s="9"/>
    </row>
    <row r="643" spans="1:9" x14ac:dyDescent="0.25">
      <c r="A643" s="7" t="s">
        <v>788</v>
      </c>
      <c r="B643" s="7" t="s">
        <v>788</v>
      </c>
      <c r="C643" s="7" t="s">
        <v>789</v>
      </c>
      <c r="D643" s="8" t="s">
        <v>44</v>
      </c>
      <c r="E643" s="9" t="s">
        <v>14</v>
      </c>
      <c r="F643" s="9"/>
      <c r="G643" s="9"/>
      <c r="H643" s="9"/>
      <c r="I643" s="9"/>
    </row>
    <row r="644" spans="1:9" x14ac:dyDescent="0.25">
      <c r="A644" s="7" t="s">
        <v>788</v>
      </c>
      <c r="B644" s="7" t="s">
        <v>790</v>
      </c>
      <c r="C644" s="7" t="s">
        <v>789</v>
      </c>
      <c r="D644" s="8" t="s">
        <v>52</v>
      </c>
      <c r="E644" s="9" t="s">
        <v>14</v>
      </c>
      <c r="F644" s="9"/>
      <c r="G644" s="9"/>
      <c r="H644" s="9"/>
      <c r="I644" s="9"/>
    </row>
    <row r="645" spans="1:9" x14ac:dyDescent="0.25">
      <c r="A645" s="7" t="s">
        <v>788</v>
      </c>
      <c r="B645" s="7" t="s">
        <v>790</v>
      </c>
      <c r="C645" s="7" t="s">
        <v>789</v>
      </c>
      <c r="D645" s="8" t="s">
        <v>53</v>
      </c>
      <c r="E645" s="9" t="s">
        <v>14</v>
      </c>
      <c r="F645" s="9"/>
      <c r="G645" s="9"/>
      <c r="H645" s="9"/>
      <c r="I645" s="9"/>
    </row>
    <row r="646" spans="1:9" x14ac:dyDescent="0.25">
      <c r="A646" s="7" t="s">
        <v>788</v>
      </c>
      <c r="B646" s="7" t="s">
        <v>790</v>
      </c>
      <c r="C646" s="8" t="s">
        <v>789</v>
      </c>
      <c r="D646" s="8" t="s">
        <v>20</v>
      </c>
      <c r="E646" s="9" t="s">
        <v>14</v>
      </c>
      <c r="F646" s="9"/>
      <c r="G646" s="9"/>
      <c r="H646" s="9"/>
      <c r="I646" s="9"/>
    </row>
    <row r="647" spans="1:9" x14ac:dyDescent="0.25">
      <c r="A647" s="7" t="s">
        <v>788</v>
      </c>
      <c r="B647" s="7" t="s">
        <v>791</v>
      </c>
      <c r="C647" s="8" t="s">
        <v>789</v>
      </c>
      <c r="D647" s="8" t="s">
        <v>48</v>
      </c>
      <c r="E647" s="9" t="s">
        <v>14</v>
      </c>
      <c r="F647" s="9"/>
      <c r="G647" s="9"/>
      <c r="H647" s="9"/>
      <c r="I647" s="9"/>
    </row>
    <row r="648" spans="1:9" x14ac:dyDescent="0.25">
      <c r="A648" s="7" t="s">
        <v>792</v>
      </c>
      <c r="B648" s="7" t="s">
        <v>793</v>
      </c>
      <c r="C648" s="8" t="s">
        <v>789</v>
      </c>
      <c r="D648" s="8" t="s">
        <v>102</v>
      </c>
      <c r="E648" s="9" t="s">
        <v>14</v>
      </c>
      <c r="F648" s="9"/>
      <c r="G648" s="9"/>
      <c r="H648" s="9"/>
      <c r="I648" s="9"/>
    </row>
    <row r="649" spans="1:9" x14ac:dyDescent="0.25">
      <c r="A649" s="7" t="s">
        <v>792</v>
      </c>
      <c r="B649" s="7" t="s">
        <v>793</v>
      </c>
      <c r="C649" s="8" t="s">
        <v>789</v>
      </c>
      <c r="D649" s="8" t="s">
        <v>530</v>
      </c>
      <c r="E649" s="9" t="s">
        <v>14</v>
      </c>
      <c r="F649" s="9"/>
      <c r="G649" s="9"/>
      <c r="H649" s="9"/>
      <c r="I649" s="9"/>
    </row>
    <row r="650" spans="1:9" x14ac:dyDescent="0.25">
      <c r="A650" s="7" t="s">
        <v>792</v>
      </c>
      <c r="B650" s="7" t="s">
        <v>794</v>
      </c>
      <c r="C650" s="8" t="s">
        <v>789</v>
      </c>
      <c r="D650" s="8" t="s">
        <v>650</v>
      </c>
      <c r="E650" s="9" t="s">
        <v>14</v>
      </c>
      <c r="F650" s="9"/>
      <c r="G650" s="9"/>
      <c r="H650" s="9"/>
      <c r="I650" s="9"/>
    </row>
    <row r="651" spans="1:9" x14ac:dyDescent="0.25">
      <c r="A651" s="7" t="s">
        <v>792</v>
      </c>
      <c r="B651" s="7" t="s">
        <v>794</v>
      </c>
      <c r="C651" s="8" t="s">
        <v>789</v>
      </c>
      <c r="D651" s="8" t="s">
        <v>243</v>
      </c>
      <c r="E651" s="9" t="s">
        <v>14</v>
      </c>
      <c r="F651" s="9"/>
      <c r="G651" s="9"/>
      <c r="H651" s="9"/>
      <c r="I651" s="9"/>
    </row>
    <row r="652" spans="1:9" x14ac:dyDescent="0.25">
      <c r="A652" s="7" t="s">
        <v>792</v>
      </c>
      <c r="B652" s="7" t="s">
        <v>795</v>
      </c>
      <c r="C652" s="7" t="s">
        <v>789</v>
      </c>
      <c r="D652" s="8" t="s">
        <v>195</v>
      </c>
      <c r="E652" s="9" t="s">
        <v>14</v>
      </c>
      <c r="F652" s="9"/>
      <c r="G652" s="9"/>
      <c r="H652" s="9"/>
      <c r="I652" s="9"/>
    </row>
    <row r="653" spans="1:9" x14ac:dyDescent="0.25">
      <c r="A653" s="7" t="s">
        <v>796</v>
      </c>
      <c r="B653" s="7" t="s">
        <v>797</v>
      </c>
      <c r="C653" s="7" t="s">
        <v>798</v>
      </c>
      <c r="D653" s="8" t="s">
        <v>106</v>
      </c>
      <c r="E653" s="9" t="s">
        <v>14</v>
      </c>
      <c r="F653" s="9"/>
      <c r="G653" s="9"/>
      <c r="H653" s="9"/>
      <c r="I653" s="9"/>
    </row>
    <row r="654" spans="1:9" x14ac:dyDescent="0.25">
      <c r="A654" s="7" t="s">
        <v>796</v>
      </c>
      <c r="B654" s="7" t="s">
        <v>799</v>
      </c>
      <c r="C654" s="7" t="s">
        <v>798</v>
      </c>
      <c r="D654" s="8" t="s">
        <v>256</v>
      </c>
      <c r="E654" s="9" t="s">
        <v>14</v>
      </c>
      <c r="F654" s="9"/>
      <c r="G654" s="9"/>
      <c r="H654" s="9"/>
      <c r="I654" s="9"/>
    </row>
    <row r="655" spans="1:9" x14ac:dyDescent="0.25">
      <c r="A655" s="7" t="s">
        <v>796</v>
      </c>
      <c r="B655" s="7" t="s">
        <v>800</v>
      </c>
      <c r="C655" s="7" t="s">
        <v>798</v>
      </c>
      <c r="D655" s="8" t="s">
        <v>98</v>
      </c>
      <c r="E655" s="9" t="s">
        <v>14</v>
      </c>
      <c r="F655" s="9"/>
      <c r="G655" s="9"/>
      <c r="H655" s="9"/>
      <c r="I655" s="9"/>
    </row>
    <row r="656" spans="1:9" x14ac:dyDescent="0.25">
      <c r="A656" s="7" t="s">
        <v>796</v>
      </c>
      <c r="B656" s="7" t="s">
        <v>800</v>
      </c>
      <c r="C656" s="7" t="s">
        <v>798</v>
      </c>
      <c r="D656" s="8" t="s">
        <v>120</v>
      </c>
      <c r="E656" s="9" t="s">
        <v>14</v>
      </c>
      <c r="F656" s="9"/>
      <c r="G656" s="9"/>
      <c r="H656" s="9"/>
      <c r="I656" s="9"/>
    </row>
    <row r="657" spans="1:9" x14ac:dyDescent="0.25">
      <c r="A657" s="7" t="s">
        <v>796</v>
      </c>
      <c r="B657" s="7" t="s">
        <v>801</v>
      </c>
      <c r="C657" s="8" t="s">
        <v>798</v>
      </c>
      <c r="D657" s="8" t="s">
        <v>802</v>
      </c>
      <c r="E657" s="9" t="s">
        <v>14</v>
      </c>
      <c r="F657" s="9"/>
      <c r="G657" s="9"/>
      <c r="H657" s="9"/>
      <c r="I657" s="9"/>
    </row>
    <row r="658" spans="1:9" x14ac:dyDescent="0.25">
      <c r="A658" s="7" t="s">
        <v>796</v>
      </c>
      <c r="B658" s="7" t="s">
        <v>803</v>
      </c>
      <c r="C658" s="7" t="s">
        <v>798</v>
      </c>
      <c r="D658" s="8" t="s">
        <v>52</v>
      </c>
      <c r="E658" s="9" t="s">
        <v>14</v>
      </c>
      <c r="F658" s="9"/>
      <c r="G658" s="9"/>
      <c r="H658" s="9"/>
      <c r="I658" s="9"/>
    </row>
    <row r="659" spans="1:9" x14ac:dyDescent="0.25">
      <c r="A659" s="7" t="s">
        <v>796</v>
      </c>
      <c r="B659" s="7" t="s">
        <v>804</v>
      </c>
      <c r="C659" s="7" t="s">
        <v>798</v>
      </c>
      <c r="D659" s="8" t="s">
        <v>805</v>
      </c>
      <c r="E659" s="9" t="s">
        <v>14</v>
      </c>
      <c r="F659" s="9"/>
      <c r="G659" s="9"/>
      <c r="H659" s="9"/>
      <c r="I659" s="9"/>
    </row>
    <row r="660" spans="1:9" x14ac:dyDescent="0.25">
      <c r="A660" s="7" t="s">
        <v>796</v>
      </c>
      <c r="B660" s="7" t="s">
        <v>806</v>
      </c>
      <c r="C660" s="7" t="s">
        <v>798</v>
      </c>
      <c r="D660" s="8" t="s">
        <v>13</v>
      </c>
      <c r="E660" s="9" t="s">
        <v>14</v>
      </c>
      <c r="F660" s="9"/>
      <c r="G660" s="9"/>
      <c r="H660" s="9"/>
      <c r="I660" s="9"/>
    </row>
    <row r="661" spans="1:9" x14ac:dyDescent="0.25">
      <c r="A661" s="7" t="s">
        <v>796</v>
      </c>
      <c r="B661" s="7" t="s">
        <v>806</v>
      </c>
      <c r="C661" s="7" t="s">
        <v>798</v>
      </c>
      <c r="D661" s="8" t="s">
        <v>102</v>
      </c>
      <c r="E661" s="9" t="s">
        <v>14</v>
      </c>
      <c r="F661" s="9"/>
      <c r="G661" s="9"/>
      <c r="H661" s="9"/>
      <c r="I661" s="9"/>
    </row>
    <row r="662" spans="1:9" x14ac:dyDescent="0.25">
      <c r="A662" s="7" t="s">
        <v>796</v>
      </c>
      <c r="B662" s="7" t="s">
        <v>807</v>
      </c>
      <c r="C662" s="7" t="s">
        <v>798</v>
      </c>
      <c r="D662" s="8" t="s">
        <v>808</v>
      </c>
      <c r="E662" s="9" t="s">
        <v>14</v>
      </c>
      <c r="F662" s="9"/>
      <c r="G662" s="9"/>
      <c r="H662" s="9"/>
      <c r="I662" s="9"/>
    </row>
    <row r="663" spans="1:9" x14ac:dyDescent="0.25">
      <c r="A663" s="7" t="s">
        <v>796</v>
      </c>
      <c r="B663" s="7" t="s">
        <v>807</v>
      </c>
      <c r="C663" s="7" t="s">
        <v>798</v>
      </c>
      <c r="D663" s="8" t="s">
        <v>809</v>
      </c>
      <c r="E663" s="9" t="s">
        <v>14</v>
      </c>
      <c r="F663" s="9"/>
      <c r="G663" s="9"/>
      <c r="H663" s="9"/>
      <c r="I663" s="9"/>
    </row>
    <row r="664" spans="1:9" x14ac:dyDescent="0.25">
      <c r="A664" s="7" t="s">
        <v>796</v>
      </c>
      <c r="B664" s="7" t="s">
        <v>810</v>
      </c>
      <c r="C664" s="7" t="s">
        <v>798</v>
      </c>
      <c r="D664" s="8" t="s">
        <v>243</v>
      </c>
      <c r="E664" s="9" t="s">
        <v>14</v>
      </c>
      <c r="F664" s="9"/>
      <c r="G664" s="9"/>
      <c r="H664" s="9"/>
      <c r="I664" s="9"/>
    </row>
    <row r="665" spans="1:9" x14ac:dyDescent="0.25">
      <c r="A665" s="7" t="s">
        <v>796</v>
      </c>
      <c r="B665" s="7" t="s">
        <v>810</v>
      </c>
      <c r="C665" s="7" t="s">
        <v>798</v>
      </c>
      <c r="D665" s="8" t="s">
        <v>18</v>
      </c>
      <c r="E665" s="9" t="s">
        <v>14</v>
      </c>
      <c r="F665" s="9"/>
      <c r="G665" s="9"/>
      <c r="H665" s="9"/>
      <c r="I665" s="9"/>
    </row>
    <row r="666" spans="1:9" x14ac:dyDescent="0.25">
      <c r="A666" s="7" t="s">
        <v>796</v>
      </c>
      <c r="B666" s="7" t="s">
        <v>811</v>
      </c>
      <c r="C666" s="7" t="s">
        <v>798</v>
      </c>
      <c r="D666" s="8" t="s">
        <v>812</v>
      </c>
      <c r="E666" s="9" t="s">
        <v>14</v>
      </c>
      <c r="F666" s="9"/>
      <c r="G666" s="9"/>
      <c r="H666" s="9"/>
      <c r="I666" s="9"/>
    </row>
    <row r="667" spans="1:9" x14ac:dyDescent="0.25">
      <c r="A667" s="7" t="s">
        <v>796</v>
      </c>
      <c r="B667" s="7" t="s">
        <v>813</v>
      </c>
      <c r="C667" s="8" t="s">
        <v>798</v>
      </c>
      <c r="D667" s="8" t="s">
        <v>43</v>
      </c>
      <c r="E667" s="9" t="s">
        <v>14</v>
      </c>
      <c r="F667" s="9"/>
      <c r="G667" s="9"/>
      <c r="H667" s="9"/>
      <c r="I667" s="9"/>
    </row>
    <row r="668" spans="1:9" x14ac:dyDescent="0.25">
      <c r="A668" s="7" t="s">
        <v>796</v>
      </c>
      <c r="B668" s="7" t="s">
        <v>813</v>
      </c>
      <c r="C668" s="8" t="s">
        <v>798</v>
      </c>
      <c r="D668" s="8" t="s">
        <v>118</v>
      </c>
      <c r="E668" s="9" t="s">
        <v>14</v>
      </c>
      <c r="F668" s="9"/>
      <c r="G668" s="9"/>
      <c r="H668" s="9"/>
      <c r="I668" s="9"/>
    </row>
    <row r="669" spans="1:9" x14ac:dyDescent="0.25">
      <c r="A669" s="7" t="s">
        <v>796</v>
      </c>
      <c r="B669" s="7" t="s">
        <v>813</v>
      </c>
      <c r="C669" s="7" t="s">
        <v>798</v>
      </c>
      <c r="D669" s="8" t="s">
        <v>173</v>
      </c>
      <c r="E669" s="9" t="s">
        <v>14</v>
      </c>
      <c r="F669" s="9"/>
      <c r="G669" s="9"/>
      <c r="H669" s="9"/>
      <c r="I669" s="9"/>
    </row>
    <row r="670" spans="1:9" x14ac:dyDescent="0.25">
      <c r="A670" s="7" t="s">
        <v>796</v>
      </c>
      <c r="B670" s="7" t="s">
        <v>814</v>
      </c>
      <c r="C670" s="7" t="s">
        <v>798</v>
      </c>
      <c r="D670" s="8" t="s">
        <v>815</v>
      </c>
      <c r="E670" s="9" t="s">
        <v>14</v>
      </c>
      <c r="F670" s="9"/>
      <c r="G670" s="9"/>
      <c r="H670" s="9"/>
      <c r="I670" s="9"/>
    </row>
    <row r="671" spans="1:9" x14ac:dyDescent="0.25">
      <c r="A671" s="7" t="s">
        <v>796</v>
      </c>
      <c r="B671" s="7" t="s">
        <v>814</v>
      </c>
      <c r="C671" s="8" t="s">
        <v>798</v>
      </c>
      <c r="D671" s="8" t="s">
        <v>816</v>
      </c>
      <c r="E671" s="9" t="s">
        <v>14</v>
      </c>
      <c r="F671" s="9"/>
      <c r="G671" s="9"/>
      <c r="H671" s="9"/>
      <c r="I671" s="9"/>
    </row>
    <row r="672" spans="1:9" x14ac:dyDescent="0.25">
      <c r="A672" s="7" t="s">
        <v>796</v>
      </c>
      <c r="B672" s="7" t="s">
        <v>814</v>
      </c>
      <c r="C672" s="8" t="s">
        <v>798</v>
      </c>
      <c r="D672" s="8" t="s">
        <v>817</v>
      </c>
      <c r="E672" s="9" t="s">
        <v>14</v>
      </c>
      <c r="F672" s="9"/>
      <c r="G672" s="9"/>
      <c r="H672" s="9"/>
      <c r="I672" s="9"/>
    </row>
    <row r="673" spans="1:9" x14ac:dyDescent="0.25">
      <c r="A673" s="7" t="s">
        <v>818</v>
      </c>
      <c r="B673" s="7" t="s">
        <v>818</v>
      </c>
      <c r="C673" s="8" t="s">
        <v>819</v>
      </c>
      <c r="D673" s="8" t="s">
        <v>13</v>
      </c>
      <c r="E673" s="9" t="s">
        <v>14</v>
      </c>
      <c r="F673" s="9"/>
      <c r="G673" s="9"/>
      <c r="H673" s="9"/>
      <c r="I673" s="9"/>
    </row>
    <row r="674" spans="1:9" x14ac:dyDescent="0.25">
      <c r="A674" s="7" t="s">
        <v>818</v>
      </c>
      <c r="B674" s="7" t="s">
        <v>818</v>
      </c>
      <c r="C674" s="8" t="s">
        <v>819</v>
      </c>
      <c r="D674" s="8" t="s">
        <v>46</v>
      </c>
      <c r="E674" s="9" t="s">
        <v>14</v>
      </c>
      <c r="F674" s="9"/>
      <c r="G674" s="9"/>
      <c r="H674" s="9"/>
      <c r="I674" s="9"/>
    </row>
    <row r="675" spans="1:9" x14ac:dyDescent="0.25">
      <c r="A675" s="7" t="s">
        <v>818</v>
      </c>
      <c r="B675" s="7" t="s">
        <v>818</v>
      </c>
      <c r="C675" s="8" t="s">
        <v>819</v>
      </c>
      <c r="D675" s="8" t="s">
        <v>28</v>
      </c>
      <c r="E675" s="9" t="s">
        <v>14</v>
      </c>
      <c r="F675" s="9"/>
      <c r="G675" s="9"/>
      <c r="H675" s="9"/>
      <c r="I675" s="9"/>
    </row>
    <row r="676" spans="1:9" x14ac:dyDescent="0.25">
      <c r="A676" s="7" t="s">
        <v>818</v>
      </c>
      <c r="B676" s="7" t="s">
        <v>818</v>
      </c>
      <c r="C676" s="8" t="s">
        <v>819</v>
      </c>
      <c r="D676" s="8" t="s">
        <v>122</v>
      </c>
      <c r="E676" s="9" t="s">
        <v>14</v>
      </c>
      <c r="F676" s="9"/>
      <c r="G676" s="9"/>
      <c r="H676" s="9"/>
      <c r="I676" s="9"/>
    </row>
    <row r="677" spans="1:9" x14ac:dyDescent="0.25">
      <c r="A677" s="7" t="s">
        <v>818</v>
      </c>
      <c r="B677" s="7" t="s">
        <v>818</v>
      </c>
      <c r="C677" s="7" t="s">
        <v>819</v>
      </c>
      <c r="D677" s="8" t="s">
        <v>262</v>
      </c>
      <c r="E677" s="9" t="s">
        <v>14</v>
      </c>
      <c r="F677" s="9"/>
      <c r="G677" s="9"/>
      <c r="H677" s="9"/>
      <c r="I677" s="9"/>
    </row>
    <row r="678" spans="1:9" x14ac:dyDescent="0.25">
      <c r="A678" s="7" t="s">
        <v>818</v>
      </c>
      <c r="B678" s="7" t="s">
        <v>820</v>
      </c>
      <c r="C678" s="7" t="s">
        <v>819</v>
      </c>
      <c r="D678" s="8" t="s">
        <v>183</v>
      </c>
      <c r="E678" s="9" t="s">
        <v>14</v>
      </c>
      <c r="F678" s="9"/>
      <c r="G678" s="9"/>
      <c r="H678" s="9"/>
      <c r="I678" s="9"/>
    </row>
    <row r="679" spans="1:9" x14ac:dyDescent="0.25">
      <c r="A679" s="7" t="s">
        <v>818</v>
      </c>
      <c r="B679" s="7" t="s">
        <v>820</v>
      </c>
      <c r="C679" s="7" t="s">
        <v>819</v>
      </c>
      <c r="D679" s="8" t="s">
        <v>104</v>
      </c>
      <c r="E679" s="9" t="s">
        <v>14</v>
      </c>
      <c r="F679" s="9"/>
      <c r="G679" s="9"/>
      <c r="H679" s="9"/>
      <c r="I679" s="9"/>
    </row>
    <row r="680" spans="1:9" x14ac:dyDescent="0.25">
      <c r="A680" s="7" t="s">
        <v>818</v>
      </c>
      <c r="B680" s="7" t="s">
        <v>820</v>
      </c>
      <c r="C680" s="7" t="s">
        <v>819</v>
      </c>
      <c r="D680" s="8" t="s">
        <v>352</v>
      </c>
      <c r="E680" s="9" t="s">
        <v>14</v>
      </c>
      <c r="F680" s="9"/>
      <c r="G680" s="9"/>
      <c r="H680" s="9"/>
      <c r="I680" s="9"/>
    </row>
    <row r="681" spans="1:9" x14ac:dyDescent="0.25">
      <c r="A681" s="7" t="s">
        <v>818</v>
      </c>
      <c r="B681" s="7" t="s">
        <v>820</v>
      </c>
      <c r="C681" s="7" t="s">
        <v>819</v>
      </c>
      <c r="D681" s="8" t="s">
        <v>349</v>
      </c>
      <c r="E681" s="9" t="s">
        <v>14</v>
      </c>
      <c r="F681" s="9"/>
      <c r="G681" s="9"/>
      <c r="H681" s="9"/>
      <c r="I681" s="9"/>
    </row>
    <row r="682" spans="1:9" x14ac:dyDescent="0.25">
      <c r="A682" s="7" t="s">
        <v>818</v>
      </c>
      <c r="B682" s="7" t="s">
        <v>820</v>
      </c>
      <c r="C682" s="7" t="s">
        <v>819</v>
      </c>
      <c r="D682" s="8" t="s">
        <v>180</v>
      </c>
      <c r="E682" s="9" t="s">
        <v>14</v>
      </c>
      <c r="F682" s="9"/>
      <c r="G682" s="9"/>
      <c r="H682" s="9"/>
      <c r="I682" s="9"/>
    </row>
    <row r="683" spans="1:9" x14ac:dyDescent="0.25">
      <c r="A683" s="7" t="s">
        <v>818</v>
      </c>
      <c r="B683" s="7" t="s">
        <v>821</v>
      </c>
      <c r="C683" s="7" t="s">
        <v>819</v>
      </c>
      <c r="D683" s="8" t="s">
        <v>39</v>
      </c>
      <c r="E683" s="9" t="s">
        <v>14</v>
      </c>
      <c r="F683" s="9"/>
      <c r="G683" s="9"/>
      <c r="H683" s="9"/>
      <c r="I683" s="9"/>
    </row>
    <row r="684" spans="1:9" x14ac:dyDescent="0.25">
      <c r="A684" s="7" t="s">
        <v>818</v>
      </c>
      <c r="B684" s="7" t="s">
        <v>822</v>
      </c>
      <c r="C684" s="8" t="s">
        <v>819</v>
      </c>
      <c r="D684" s="8" t="s">
        <v>329</v>
      </c>
      <c r="E684" s="9" t="s">
        <v>14</v>
      </c>
      <c r="F684" s="9"/>
      <c r="G684" s="9"/>
      <c r="H684" s="9"/>
      <c r="I684" s="9"/>
    </row>
    <row r="685" spans="1:9" x14ac:dyDescent="0.25">
      <c r="A685" s="7" t="s">
        <v>823</v>
      </c>
      <c r="B685" s="7" t="s">
        <v>823</v>
      </c>
      <c r="C685" s="8" t="s">
        <v>824</v>
      </c>
      <c r="D685" s="8" t="s">
        <v>52</v>
      </c>
      <c r="E685" s="9" t="s">
        <v>14</v>
      </c>
      <c r="F685" s="9"/>
      <c r="G685" s="9"/>
      <c r="H685" s="9"/>
      <c r="I685" s="9"/>
    </row>
    <row r="686" spans="1:9" x14ac:dyDescent="0.25">
      <c r="A686" s="7" t="s">
        <v>823</v>
      </c>
      <c r="B686" s="7" t="s">
        <v>823</v>
      </c>
      <c r="C686" s="8" t="s">
        <v>824</v>
      </c>
      <c r="D686" s="8" t="s">
        <v>43</v>
      </c>
      <c r="E686" s="9" t="s">
        <v>14</v>
      </c>
      <c r="F686" s="9"/>
      <c r="G686" s="9"/>
      <c r="H686" s="9"/>
      <c r="I686" s="9"/>
    </row>
    <row r="687" spans="1:9" x14ac:dyDescent="0.25">
      <c r="A687" s="7" t="s">
        <v>823</v>
      </c>
      <c r="B687" s="7" t="s">
        <v>823</v>
      </c>
      <c r="C687" s="8" t="s">
        <v>824</v>
      </c>
      <c r="D687" s="8" t="s">
        <v>22</v>
      </c>
      <c r="E687" s="9" t="s">
        <v>14</v>
      </c>
      <c r="F687" s="9"/>
      <c r="G687" s="9"/>
      <c r="H687" s="9"/>
      <c r="I687" s="9"/>
    </row>
    <row r="688" spans="1:9" x14ac:dyDescent="0.25">
      <c r="A688" s="7" t="s">
        <v>823</v>
      </c>
      <c r="B688" s="7" t="s">
        <v>825</v>
      </c>
      <c r="C688" s="8" t="s">
        <v>824</v>
      </c>
      <c r="D688" s="8" t="s">
        <v>16</v>
      </c>
      <c r="E688" s="9" t="s">
        <v>14</v>
      </c>
      <c r="F688" s="9"/>
      <c r="G688" s="9"/>
      <c r="H688" s="9"/>
      <c r="I688" s="9"/>
    </row>
    <row r="689" spans="1:9" x14ac:dyDescent="0.25">
      <c r="A689" s="7" t="s">
        <v>823</v>
      </c>
      <c r="B689" s="7" t="s">
        <v>825</v>
      </c>
      <c r="C689" s="8" t="s">
        <v>824</v>
      </c>
      <c r="D689" s="8" t="s">
        <v>20</v>
      </c>
      <c r="E689" s="9" t="s">
        <v>14</v>
      </c>
      <c r="F689" s="9"/>
      <c r="G689" s="9"/>
      <c r="H689" s="9"/>
      <c r="I689" s="9"/>
    </row>
    <row r="690" spans="1:9" x14ac:dyDescent="0.25">
      <c r="A690" s="7" t="s">
        <v>823</v>
      </c>
      <c r="B690" s="7" t="s">
        <v>825</v>
      </c>
      <c r="C690" s="8" t="s">
        <v>824</v>
      </c>
      <c r="D690" s="8" t="s">
        <v>24</v>
      </c>
      <c r="E690" s="9" t="s">
        <v>14</v>
      </c>
      <c r="F690" s="9"/>
      <c r="G690" s="9"/>
      <c r="H690" s="9"/>
      <c r="I690" s="9"/>
    </row>
    <row r="691" spans="1:9" x14ac:dyDescent="0.25">
      <c r="A691" s="7" t="s">
        <v>826</v>
      </c>
      <c r="B691" s="7" t="s">
        <v>827</v>
      </c>
      <c r="C691" s="8" t="s">
        <v>828</v>
      </c>
      <c r="D691" s="8" t="s">
        <v>22</v>
      </c>
      <c r="E691" s="9" t="s">
        <v>14</v>
      </c>
      <c r="F691" s="9"/>
      <c r="G691" s="9"/>
      <c r="H691" s="9"/>
      <c r="I691" s="9"/>
    </row>
    <row r="692" spans="1:9" x14ac:dyDescent="0.25">
      <c r="A692" s="7" t="s">
        <v>826</v>
      </c>
      <c r="B692" s="7" t="s">
        <v>827</v>
      </c>
      <c r="C692" s="8" t="s">
        <v>828</v>
      </c>
      <c r="D692" s="8" t="s">
        <v>24</v>
      </c>
      <c r="E692" s="9" t="s">
        <v>14</v>
      </c>
      <c r="F692" s="9"/>
      <c r="G692" s="9"/>
      <c r="H692" s="9"/>
      <c r="I692" s="9"/>
    </row>
    <row r="693" spans="1:9" x14ac:dyDescent="0.25">
      <c r="A693" s="7" t="s">
        <v>826</v>
      </c>
      <c r="B693" s="7" t="s">
        <v>827</v>
      </c>
      <c r="C693" s="8" t="s">
        <v>828</v>
      </c>
      <c r="D693" s="8" t="s">
        <v>73</v>
      </c>
      <c r="E693" s="9" t="s">
        <v>14</v>
      </c>
      <c r="F693" s="9"/>
      <c r="G693" s="9"/>
      <c r="H693" s="9"/>
      <c r="I693" s="9"/>
    </row>
    <row r="694" spans="1:9" x14ac:dyDescent="0.25">
      <c r="A694" s="7" t="s">
        <v>826</v>
      </c>
      <c r="B694" s="7" t="s">
        <v>829</v>
      </c>
      <c r="C694" s="8" t="s">
        <v>828</v>
      </c>
      <c r="D694" s="8" t="s">
        <v>97</v>
      </c>
      <c r="E694" s="9" t="s">
        <v>14</v>
      </c>
      <c r="F694" s="9"/>
      <c r="G694" s="9"/>
      <c r="H694" s="9"/>
      <c r="I694" s="9"/>
    </row>
    <row r="695" spans="1:9" x14ac:dyDescent="0.25">
      <c r="A695" s="7" t="s">
        <v>826</v>
      </c>
      <c r="B695" s="7" t="s">
        <v>829</v>
      </c>
      <c r="C695" s="8" t="s">
        <v>828</v>
      </c>
      <c r="D695" s="8" t="s">
        <v>98</v>
      </c>
      <c r="E695" s="9" t="s">
        <v>14</v>
      </c>
      <c r="F695" s="9"/>
      <c r="G695" s="9"/>
      <c r="H695" s="9"/>
      <c r="I695" s="9"/>
    </row>
    <row r="696" spans="1:9" x14ac:dyDescent="0.25">
      <c r="A696" s="7" t="s">
        <v>826</v>
      </c>
      <c r="B696" s="7" t="s">
        <v>829</v>
      </c>
      <c r="C696" s="8" t="s">
        <v>828</v>
      </c>
      <c r="D696" s="8" t="s">
        <v>120</v>
      </c>
      <c r="E696" s="9" t="s">
        <v>14</v>
      </c>
      <c r="F696" s="9"/>
      <c r="G696" s="9"/>
      <c r="H696" s="9"/>
      <c r="I696" s="9"/>
    </row>
    <row r="697" spans="1:9" x14ac:dyDescent="0.25">
      <c r="A697" s="7" t="s">
        <v>826</v>
      </c>
      <c r="B697" s="7" t="s">
        <v>830</v>
      </c>
      <c r="C697" s="7" t="s">
        <v>828</v>
      </c>
      <c r="D697" s="8" t="s">
        <v>43</v>
      </c>
      <c r="E697" s="9" t="s">
        <v>14</v>
      </c>
      <c r="F697" s="9"/>
      <c r="G697" s="9"/>
      <c r="H697" s="9"/>
      <c r="I697" s="9"/>
    </row>
    <row r="698" spans="1:9" x14ac:dyDescent="0.25">
      <c r="A698" s="7" t="s">
        <v>826</v>
      </c>
      <c r="B698" s="7" t="s">
        <v>830</v>
      </c>
      <c r="C698" s="8" t="s">
        <v>828</v>
      </c>
      <c r="D698" s="8" t="s">
        <v>48</v>
      </c>
      <c r="E698" s="9" t="s">
        <v>14</v>
      </c>
      <c r="F698" s="9"/>
      <c r="G698" s="9"/>
      <c r="H698" s="9"/>
      <c r="I698" s="9"/>
    </row>
    <row r="699" spans="1:9" x14ac:dyDescent="0.25">
      <c r="A699" s="7" t="s">
        <v>826</v>
      </c>
      <c r="B699" s="7" t="s">
        <v>830</v>
      </c>
      <c r="C699" s="8" t="s">
        <v>828</v>
      </c>
      <c r="D699" s="8" t="s">
        <v>34</v>
      </c>
      <c r="E699" s="9" t="s">
        <v>14</v>
      </c>
      <c r="F699" s="9"/>
      <c r="G699" s="9"/>
      <c r="H699" s="9"/>
      <c r="I699" s="9"/>
    </row>
    <row r="700" spans="1:9" x14ac:dyDescent="0.25">
      <c r="A700" s="7" t="s">
        <v>826</v>
      </c>
      <c r="B700" s="7" t="s">
        <v>831</v>
      </c>
      <c r="C700" s="8" t="s">
        <v>828</v>
      </c>
      <c r="D700" s="8" t="s">
        <v>352</v>
      </c>
      <c r="E700" s="9" t="s">
        <v>14</v>
      </c>
      <c r="F700" s="9"/>
      <c r="G700" s="9"/>
      <c r="H700" s="9"/>
      <c r="I700" s="9"/>
    </row>
    <row r="701" spans="1:9" x14ac:dyDescent="0.25">
      <c r="A701" s="7" t="s">
        <v>826</v>
      </c>
      <c r="B701" s="7" t="s">
        <v>831</v>
      </c>
      <c r="C701" s="8" t="s">
        <v>828</v>
      </c>
      <c r="D701" s="8" t="s">
        <v>349</v>
      </c>
      <c r="E701" s="9" t="s">
        <v>14</v>
      </c>
      <c r="F701" s="9"/>
      <c r="G701" s="9"/>
      <c r="H701" s="9"/>
      <c r="I701" s="9"/>
    </row>
    <row r="702" spans="1:9" x14ac:dyDescent="0.25">
      <c r="A702" s="7" t="s">
        <v>826</v>
      </c>
      <c r="B702" s="7" t="s">
        <v>831</v>
      </c>
      <c r="C702" s="8" t="s">
        <v>828</v>
      </c>
      <c r="D702" s="8" t="s">
        <v>180</v>
      </c>
      <c r="E702" s="9" t="s">
        <v>14</v>
      </c>
      <c r="F702" s="9"/>
      <c r="G702" s="9"/>
      <c r="H702" s="9"/>
      <c r="I702" s="9"/>
    </row>
    <row r="703" spans="1:9" x14ac:dyDescent="0.25">
      <c r="A703" s="7" t="s">
        <v>826</v>
      </c>
      <c r="B703" s="7" t="s">
        <v>832</v>
      </c>
      <c r="C703" s="7" t="s">
        <v>828</v>
      </c>
      <c r="D703" s="8" t="s">
        <v>13</v>
      </c>
      <c r="E703" s="9" t="s">
        <v>14</v>
      </c>
      <c r="F703" s="9"/>
      <c r="G703" s="9"/>
      <c r="H703" s="9"/>
      <c r="I703" s="9"/>
    </row>
    <row r="704" spans="1:9" x14ac:dyDescent="0.25">
      <c r="A704" s="7" t="s">
        <v>826</v>
      </c>
      <c r="B704" s="7" t="s">
        <v>832</v>
      </c>
      <c r="C704" s="7" t="s">
        <v>828</v>
      </c>
      <c r="D704" s="8" t="s">
        <v>20</v>
      </c>
      <c r="E704" s="9" t="s">
        <v>14</v>
      </c>
      <c r="F704" s="9"/>
      <c r="G704" s="9"/>
      <c r="H704" s="9"/>
      <c r="I704" s="9"/>
    </row>
    <row r="705" spans="1:9" x14ac:dyDescent="0.25">
      <c r="A705" s="7" t="s">
        <v>826</v>
      </c>
      <c r="B705" s="7" t="s">
        <v>832</v>
      </c>
      <c r="C705" s="8" t="s">
        <v>828</v>
      </c>
      <c r="D705" s="8" t="s">
        <v>50</v>
      </c>
      <c r="E705" s="9" t="s">
        <v>14</v>
      </c>
      <c r="F705" s="9"/>
      <c r="G705" s="9"/>
      <c r="H705" s="9"/>
      <c r="I705" s="9"/>
    </row>
    <row r="706" spans="1:9" x14ac:dyDescent="0.25">
      <c r="A706" s="7" t="s">
        <v>826</v>
      </c>
      <c r="B706" s="7" t="s">
        <v>833</v>
      </c>
      <c r="C706" s="8" t="s">
        <v>828</v>
      </c>
      <c r="D706" s="8" t="s">
        <v>166</v>
      </c>
      <c r="E706" s="9" t="s">
        <v>14</v>
      </c>
      <c r="F706" s="9"/>
      <c r="G706" s="9"/>
      <c r="H706" s="9"/>
      <c r="I706" s="9"/>
    </row>
    <row r="707" spans="1:9" x14ac:dyDescent="0.25">
      <c r="A707" s="7" t="s">
        <v>826</v>
      </c>
      <c r="B707" s="7" t="s">
        <v>833</v>
      </c>
      <c r="C707" s="7" t="s">
        <v>828</v>
      </c>
      <c r="D707" s="8" t="s">
        <v>113</v>
      </c>
      <c r="E707" s="9" t="s">
        <v>14</v>
      </c>
      <c r="F707" s="9"/>
      <c r="G707" s="9"/>
      <c r="H707" s="9"/>
      <c r="I707" s="9"/>
    </row>
    <row r="708" spans="1:9" x14ac:dyDescent="0.25">
      <c r="A708" s="7" t="s">
        <v>826</v>
      </c>
      <c r="B708" s="7" t="s">
        <v>833</v>
      </c>
      <c r="C708" s="7" t="s">
        <v>828</v>
      </c>
      <c r="D708" s="8" t="s">
        <v>112</v>
      </c>
      <c r="E708" s="9" t="s">
        <v>14</v>
      </c>
      <c r="F708" s="9"/>
      <c r="G708" s="9"/>
      <c r="H708" s="9"/>
      <c r="I708" s="9"/>
    </row>
    <row r="709" spans="1:9" x14ac:dyDescent="0.25">
      <c r="A709" s="7" t="s">
        <v>826</v>
      </c>
      <c r="B709" s="7" t="s">
        <v>834</v>
      </c>
      <c r="C709" s="8" t="s">
        <v>828</v>
      </c>
      <c r="D709" s="8" t="s">
        <v>52</v>
      </c>
      <c r="E709" s="9" t="s">
        <v>14</v>
      </c>
      <c r="F709" s="9"/>
      <c r="G709" s="9"/>
      <c r="H709" s="9"/>
      <c r="I709" s="9"/>
    </row>
    <row r="710" spans="1:9" x14ac:dyDescent="0.25">
      <c r="A710" s="7" t="s">
        <v>826</v>
      </c>
      <c r="B710" s="7" t="s">
        <v>834</v>
      </c>
      <c r="C710" s="8" t="s">
        <v>828</v>
      </c>
      <c r="D710" s="8" t="s">
        <v>16</v>
      </c>
      <c r="E710" s="9" t="s">
        <v>14</v>
      </c>
      <c r="F710" s="9"/>
      <c r="G710" s="9"/>
      <c r="H710" s="9"/>
      <c r="I710" s="9"/>
    </row>
    <row r="711" spans="1:9" x14ac:dyDescent="0.25">
      <c r="A711" s="7" t="s">
        <v>826</v>
      </c>
      <c r="B711" s="7" t="s">
        <v>834</v>
      </c>
      <c r="C711" s="8" t="s">
        <v>828</v>
      </c>
      <c r="D711" s="8" t="s">
        <v>55</v>
      </c>
      <c r="E711" s="9" t="s">
        <v>14</v>
      </c>
      <c r="F711" s="9"/>
      <c r="G711" s="9"/>
      <c r="H711" s="9"/>
      <c r="I711" s="9"/>
    </row>
    <row r="712" spans="1:9" x14ac:dyDescent="0.25">
      <c r="A712" s="7" t="s">
        <v>826</v>
      </c>
      <c r="B712" s="7" t="s">
        <v>835</v>
      </c>
      <c r="C712" s="8" t="s">
        <v>828</v>
      </c>
      <c r="D712" s="8" t="s">
        <v>124</v>
      </c>
      <c r="E712" s="9" t="s">
        <v>14</v>
      </c>
      <c r="F712" s="9"/>
      <c r="G712" s="9"/>
      <c r="H712" s="9"/>
      <c r="I712" s="9"/>
    </row>
    <row r="713" spans="1:9" x14ac:dyDescent="0.25">
      <c r="A713" s="7" t="s">
        <v>826</v>
      </c>
      <c r="B713" s="7" t="s">
        <v>835</v>
      </c>
      <c r="C713" s="8" t="s">
        <v>828</v>
      </c>
      <c r="D713" s="8" t="s">
        <v>116</v>
      </c>
      <c r="E713" s="9" t="s">
        <v>14</v>
      </c>
      <c r="F713" s="9"/>
      <c r="G713" s="9"/>
      <c r="H713" s="9"/>
      <c r="I713" s="9"/>
    </row>
    <row r="714" spans="1:9" x14ac:dyDescent="0.25">
      <c r="A714" s="7" t="s">
        <v>826</v>
      </c>
      <c r="B714" s="7" t="s">
        <v>835</v>
      </c>
      <c r="C714" s="8" t="s">
        <v>828</v>
      </c>
      <c r="D714" s="8" t="s">
        <v>344</v>
      </c>
      <c r="E714" s="9" t="s">
        <v>14</v>
      </c>
      <c r="F714" s="9"/>
      <c r="G714" s="9"/>
      <c r="H714" s="9"/>
      <c r="I714" s="9"/>
    </row>
    <row r="715" spans="1:9" x14ac:dyDescent="0.25">
      <c r="A715" s="7" t="s">
        <v>826</v>
      </c>
      <c r="B715" s="7" t="s">
        <v>836</v>
      </c>
      <c r="C715" s="8" t="s">
        <v>828</v>
      </c>
      <c r="D715" s="8" t="s">
        <v>18</v>
      </c>
      <c r="E715" s="9" t="s">
        <v>14</v>
      </c>
      <c r="F715" s="9"/>
      <c r="G715" s="9"/>
      <c r="H715" s="9"/>
      <c r="I715" s="9"/>
    </row>
    <row r="716" spans="1:9" x14ac:dyDescent="0.25">
      <c r="A716" s="7" t="s">
        <v>826</v>
      </c>
      <c r="B716" s="7" t="s">
        <v>836</v>
      </c>
      <c r="C716" s="8" t="s">
        <v>828</v>
      </c>
      <c r="D716" s="8" t="s">
        <v>44</v>
      </c>
      <c r="E716" s="9" t="s">
        <v>14</v>
      </c>
      <c r="F716" s="9"/>
      <c r="G716" s="9"/>
      <c r="H716" s="9"/>
      <c r="I716" s="9"/>
    </row>
    <row r="717" spans="1:9" x14ac:dyDescent="0.25">
      <c r="A717" s="7" t="s">
        <v>826</v>
      </c>
      <c r="B717" s="7" t="s">
        <v>836</v>
      </c>
      <c r="C717" s="8" t="s">
        <v>828</v>
      </c>
      <c r="D717" s="8" t="s">
        <v>89</v>
      </c>
      <c r="E717" s="9" t="s">
        <v>14</v>
      </c>
      <c r="F717" s="9"/>
      <c r="G717" s="9"/>
      <c r="H717" s="9"/>
      <c r="I717" s="9"/>
    </row>
    <row r="718" spans="1:9" x14ac:dyDescent="0.25">
      <c r="A718" s="7" t="s">
        <v>826</v>
      </c>
      <c r="B718" s="7" t="s">
        <v>837</v>
      </c>
      <c r="C718" s="8" t="s">
        <v>828</v>
      </c>
      <c r="D718" s="8" t="s">
        <v>329</v>
      </c>
      <c r="E718" s="9" t="s">
        <v>14</v>
      </c>
      <c r="F718" s="9"/>
      <c r="G718" s="9"/>
      <c r="H718" s="9"/>
      <c r="I718" s="9"/>
    </row>
    <row r="719" spans="1:9" x14ac:dyDescent="0.25">
      <c r="A719" s="7" t="s">
        <v>826</v>
      </c>
      <c r="B719" s="7" t="s">
        <v>837</v>
      </c>
      <c r="C719" s="8" t="s">
        <v>828</v>
      </c>
      <c r="D719" s="8" t="s">
        <v>183</v>
      </c>
      <c r="E719" s="9" t="s">
        <v>14</v>
      </c>
      <c r="F719" s="9"/>
      <c r="G719" s="9"/>
      <c r="H719" s="9"/>
      <c r="I719" s="9"/>
    </row>
    <row r="720" spans="1:9" x14ac:dyDescent="0.25">
      <c r="A720" s="7" t="s">
        <v>826</v>
      </c>
      <c r="B720" s="7" t="s">
        <v>837</v>
      </c>
      <c r="C720" s="8" t="s">
        <v>828</v>
      </c>
      <c r="D720" s="8" t="s">
        <v>104</v>
      </c>
      <c r="E720" s="9" t="s">
        <v>14</v>
      </c>
      <c r="F720" s="9"/>
      <c r="G720" s="9"/>
      <c r="H720" s="9"/>
      <c r="I720" s="9"/>
    </row>
    <row r="721" spans="1:9" x14ac:dyDescent="0.25">
      <c r="A721" s="7" t="s">
        <v>838</v>
      </c>
      <c r="B721" s="7" t="s">
        <v>839</v>
      </c>
      <c r="C721" s="7" t="s">
        <v>643</v>
      </c>
      <c r="D721" s="8" t="s">
        <v>28</v>
      </c>
      <c r="E721" s="9" t="s">
        <v>14</v>
      </c>
      <c r="F721" s="9"/>
      <c r="G721" s="9" t="s">
        <v>14</v>
      </c>
      <c r="H721" s="9"/>
      <c r="I721" s="9" t="s">
        <v>14</v>
      </c>
    </row>
    <row r="722" spans="1:9" x14ac:dyDescent="0.25">
      <c r="A722" s="7" t="s">
        <v>838</v>
      </c>
      <c r="B722" s="7" t="s">
        <v>840</v>
      </c>
      <c r="C722" s="7" t="s">
        <v>643</v>
      </c>
      <c r="D722" s="8" t="s">
        <v>46</v>
      </c>
      <c r="E722" s="9" t="s">
        <v>14</v>
      </c>
      <c r="F722" s="9"/>
      <c r="G722" s="9" t="s">
        <v>14</v>
      </c>
      <c r="H722" s="9"/>
      <c r="I722" s="9" t="s">
        <v>14</v>
      </c>
    </row>
    <row r="723" spans="1:9" x14ac:dyDescent="0.25">
      <c r="A723" s="7" t="s">
        <v>838</v>
      </c>
      <c r="B723" s="7" t="s">
        <v>840</v>
      </c>
      <c r="C723" s="7" t="s">
        <v>643</v>
      </c>
      <c r="D723" s="8" t="s">
        <v>29</v>
      </c>
      <c r="E723" s="9" t="s">
        <v>14</v>
      </c>
      <c r="F723" s="9"/>
      <c r="G723" s="9" t="s">
        <v>14</v>
      </c>
      <c r="H723" s="9"/>
      <c r="I723" s="9" t="s">
        <v>14</v>
      </c>
    </row>
    <row r="724" spans="1:9" x14ac:dyDescent="0.25">
      <c r="A724" s="7" t="s">
        <v>841</v>
      </c>
      <c r="B724" s="7" t="s">
        <v>842</v>
      </c>
      <c r="C724" s="7" t="s">
        <v>283</v>
      </c>
      <c r="D724" s="8" t="s">
        <v>39</v>
      </c>
      <c r="E724" s="9" t="s">
        <v>14</v>
      </c>
      <c r="F724" s="9"/>
      <c r="G724" s="9" t="s">
        <v>14</v>
      </c>
      <c r="H724" s="9"/>
      <c r="I724" s="9" t="s">
        <v>14</v>
      </c>
    </row>
    <row r="725" spans="1:9" x14ac:dyDescent="0.25">
      <c r="A725" s="7" t="s">
        <v>841</v>
      </c>
      <c r="B725" s="7" t="s">
        <v>843</v>
      </c>
      <c r="C725" s="7" t="s">
        <v>283</v>
      </c>
      <c r="D725" s="8" t="s">
        <v>46</v>
      </c>
      <c r="E725" s="9" t="s">
        <v>14</v>
      </c>
      <c r="F725" s="9"/>
      <c r="G725" s="9" t="s">
        <v>14</v>
      </c>
      <c r="H725" s="9"/>
      <c r="I725" s="9" t="s">
        <v>14</v>
      </c>
    </row>
    <row r="726" spans="1:9" x14ac:dyDescent="0.25">
      <c r="A726" s="7" t="s">
        <v>841</v>
      </c>
      <c r="B726" s="7" t="s">
        <v>844</v>
      </c>
      <c r="C726" s="8" t="s">
        <v>283</v>
      </c>
      <c r="D726" s="8" t="s">
        <v>28</v>
      </c>
      <c r="E726" s="9" t="s">
        <v>14</v>
      </c>
      <c r="F726" s="9"/>
      <c r="G726" s="9" t="s">
        <v>14</v>
      </c>
      <c r="H726" s="9"/>
      <c r="I726" s="9" t="s">
        <v>14</v>
      </c>
    </row>
    <row r="727" spans="1:9" x14ac:dyDescent="0.25">
      <c r="A727" s="7" t="s">
        <v>845</v>
      </c>
      <c r="B727" s="7" t="s">
        <v>846</v>
      </c>
      <c r="C727" s="8" t="s">
        <v>847</v>
      </c>
      <c r="D727" s="8" t="s">
        <v>52</v>
      </c>
      <c r="E727" s="9" t="s">
        <v>14</v>
      </c>
      <c r="F727" s="9"/>
      <c r="G727" s="9"/>
      <c r="H727" s="9"/>
      <c r="I727" s="9"/>
    </row>
    <row r="728" spans="1:9" x14ac:dyDescent="0.25">
      <c r="A728" s="7" t="s">
        <v>845</v>
      </c>
      <c r="B728" s="7" t="s">
        <v>846</v>
      </c>
      <c r="C728" s="7" t="s">
        <v>847</v>
      </c>
      <c r="D728" s="8" t="s">
        <v>73</v>
      </c>
      <c r="E728" s="9" t="s">
        <v>14</v>
      </c>
      <c r="F728" s="9"/>
      <c r="G728" s="9"/>
      <c r="H728" s="9"/>
      <c r="I728" s="9"/>
    </row>
    <row r="729" spans="1:9" x14ac:dyDescent="0.25">
      <c r="A729" s="7" t="s">
        <v>845</v>
      </c>
      <c r="B729" s="7" t="s">
        <v>846</v>
      </c>
      <c r="C729" s="8" t="s">
        <v>847</v>
      </c>
      <c r="D729" s="8" t="s">
        <v>50</v>
      </c>
      <c r="E729" s="9" t="s">
        <v>14</v>
      </c>
      <c r="F729" s="9"/>
      <c r="G729" s="9"/>
      <c r="H729" s="9"/>
      <c r="I729" s="9"/>
    </row>
    <row r="730" spans="1:9" x14ac:dyDescent="0.25">
      <c r="A730" s="7" t="s">
        <v>845</v>
      </c>
      <c r="B730" s="7" t="s">
        <v>848</v>
      </c>
      <c r="C730" s="7" t="s">
        <v>847</v>
      </c>
      <c r="D730" s="8" t="s">
        <v>352</v>
      </c>
      <c r="E730" s="9" t="s">
        <v>14</v>
      </c>
      <c r="F730" s="9"/>
      <c r="G730" s="9"/>
      <c r="H730" s="9"/>
      <c r="I730" s="9"/>
    </row>
    <row r="731" spans="1:9" x14ac:dyDescent="0.25">
      <c r="A731" s="7" t="s">
        <v>845</v>
      </c>
      <c r="B731" s="7" t="s">
        <v>848</v>
      </c>
      <c r="C731" s="7" t="s">
        <v>847</v>
      </c>
      <c r="D731" s="8" t="s">
        <v>349</v>
      </c>
      <c r="E731" s="9" t="s">
        <v>14</v>
      </c>
      <c r="F731" s="9"/>
      <c r="G731" s="9"/>
      <c r="H731" s="9"/>
      <c r="I731" s="9"/>
    </row>
    <row r="732" spans="1:9" x14ac:dyDescent="0.25">
      <c r="A732" s="7" t="s">
        <v>845</v>
      </c>
      <c r="B732" s="7" t="s">
        <v>848</v>
      </c>
      <c r="C732" s="7" t="s">
        <v>847</v>
      </c>
      <c r="D732" s="8" t="s">
        <v>180</v>
      </c>
      <c r="E732" s="9" t="s">
        <v>14</v>
      </c>
      <c r="F732" s="9"/>
      <c r="G732" s="9"/>
      <c r="H732" s="9"/>
      <c r="I732" s="9"/>
    </row>
    <row r="733" spans="1:9" x14ac:dyDescent="0.25">
      <c r="A733" s="7" t="s">
        <v>845</v>
      </c>
      <c r="B733" s="7" t="s">
        <v>849</v>
      </c>
      <c r="C733" s="7" t="s">
        <v>847</v>
      </c>
      <c r="D733" s="8" t="s">
        <v>13</v>
      </c>
      <c r="E733" s="9" t="s">
        <v>14</v>
      </c>
      <c r="F733" s="9"/>
      <c r="G733" s="9"/>
      <c r="H733" s="9"/>
      <c r="I733" s="9"/>
    </row>
    <row r="734" spans="1:9" x14ac:dyDescent="0.25">
      <c r="A734" s="7" t="s">
        <v>845</v>
      </c>
      <c r="B734" s="7" t="s">
        <v>849</v>
      </c>
      <c r="C734" s="8" t="s">
        <v>847</v>
      </c>
      <c r="D734" s="8" t="s">
        <v>24</v>
      </c>
      <c r="E734" s="9" t="s">
        <v>14</v>
      </c>
      <c r="F734" s="9"/>
      <c r="G734" s="9"/>
      <c r="H734" s="9"/>
      <c r="I734" s="9"/>
    </row>
    <row r="735" spans="1:9" x14ac:dyDescent="0.25">
      <c r="A735" s="7" t="s">
        <v>845</v>
      </c>
      <c r="B735" s="7" t="s">
        <v>849</v>
      </c>
      <c r="C735" s="8" t="s">
        <v>847</v>
      </c>
      <c r="D735" s="8" t="s">
        <v>55</v>
      </c>
      <c r="E735" s="9" t="s">
        <v>14</v>
      </c>
      <c r="F735" s="9"/>
      <c r="G735" s="9"/>
      <c r="H735" s="9"/>
      <c r="I735" s="9"/>
    </row>
    <row r="736" spans="1:9" x14ac:dyDescent="0.25">
      <c r="A736" s="7" t="s">
        <v>845</v>
      </c>
      <c r="B736" s="7" t="s">
        <v>850</v>
      </c>
      <c r="C736" s="8" t="s">
        <v>847</v>
      </c>
      <c r="D736" s="8" t="s">
        <v>116</v>
      </c>
      <c r="E736" s="9" t="s">
        <v>14</v>
      </c>
      <c r="F736" s="9"/>
      <c r="G736" s="9"/>
      <c r="H736" s="9"/>
      <c r="I736" s="9"/>
    </row>
    <row r="737" spans="1:9" x14ac:dyDescent="0.25">
      <c r="A737" s="7" t="s">
        <v>845</v>
      </c>
      <c r="B737" s="7" t="s">
        <v>850</v>
      </c>
      <c r="C737" s="8" t="s">
        <v>847</v>
      </c>
      <c r="D737" s="8" t="s">
        <v>344</v>
      </c>
      <c r="E737" s="9" t="s">
        <v>14</v>
      </c>
      <c r="F737" s="9"/>
      <c r="G737" s="9"/>
      <c r="H737" s="9"/>
      <c r="I737" s="9"/>
    </row>
    <row r="738" spans="1:9" x14ac:dyDescent="0.25">
      <c r="A738" s="7" t="s">
        <v>845</v>
      </c>
      <c r="B738" s="7" t="s">
        <v>850</v>
      </c>
      <c r="C738" s="7" t="s">
        <v>847</v>
      </c>
      <c r="D738" s="8" t="s">
        <v>124</v>
      </c>
      <c r="E738" s="9" t="s">
        <v>14</v>
      </c>
      <c r="F738" s="9"/>
      <c r="G738" s="9"/>
      <c r="H738" s="9"/>
      <c r="I738" s="9"/>
    </row>
    <row r="739" spans="1:9" x14ac:dyDescent="0.25">
      <c r="A739" s="7" t="s">
        <v>845</v>
      </c>
      <c r="B739" s="7" t="s">
        <v>851</v>
      </c>
      <c r="C739" s="7" t="s">
        <v>847</v>
      </c>
      <c r="D739" s="8" t="s">
        <v>122</v>
      </c>
      <c r="E739" s="9" t="s">
        <v>14</v>
      </c>
      <c r="F739" s="9"/>
      <c r="G739" s="9"/>
      <c r="H739" s="9"/>
      <c r="I739" s="9"/>
    </row>
    <row r="740" spans="1:9" x14ac:dyDescent="0.25">
      <c r="A740" s="7" t="s">
        <v>845</v>
      </c>
      <c r="B740" s="7" t="s">
        <v>852</v>
      </c>
      <c r="C740" s="7" t="s">
        <v>847</v>
      </c>
      <c r="D740" s="8" t="s">
        <v>108</v>
      </c>
      <c r="E740" s="9" t="s">
        <v>14</v>
      </c>
      <c r="F740" s="9"/>
      <c r="G740" s="9"/>
      <c r="H740" s="9"/>
      <c r="I740" s="9"/>
    </row>
    <row r="741" spans="1:9" x14ac:dyDescent="0.25">
      <c r="A741" s="7" t="s">
        <v>845</v>
      </c>
      <c r="B741" s="7" t="s">
        <v>853</v>
      </c>
      <c r="C741" s="7" t="s">
        <v>847</v>
      </c>
      <c r="D741" s="8" t="s">
        <v>29</v>
      </c>
      <c r="E741" s="9" t="s">
        <v>14</v>
      </c>
      <c r="F741" s="9"/>
      <c r="G741" s="9"/>
      <c r="H741" s="9"/>
      <c r="I741" s="9"/>
    </row>
    <row r="742" spans="1:9" x14ac:dyDescent="0.25">
      <c r="A742" s="7" t="s">
        <v>845</v>
      </c>
      <c r="B742" s="7" t="s">
        <v>853</v>
      </c>
      <c r="C742" s="7" t="s">
        <v>847</v>
      </c>
      <c r="D742" s="8" t="s">
        <v>46</v>
      </c>
      <c r="E742" s="9" t="s">
        <v>14</v>
      </c>
      <c r="F742" s="9"/>
      <c r="G742" s="9"/>
      <c r="H742" s="9"/>
      <c r="I742" s="9"/>
    </row>
    <row r="743" spans="1:9" x14ac:dyDescent="0.25">
      <c r="A743" s="7" t="s">
        <v>845</v>
      </c>
      <c r="B743" s="7" t="s">
        <v>854</v>
      </c>
      <c r="C743" s="7" t="s">
        <v>847</v>
      </c>
      <c r="D743" s="8" t="s">
        <v>329</v>
      </c>
      <c r="E743" s="9" t="s">
        <v>14</v>
      </c>
      <c r="F743" s="9"/>
      <c r="G743" s="9"/>
      <c r="H743" s="9"/>
      <c r="I743" s="9"/>
    </row>
    <row r="744" spans="1:9" x14ac:dyDescent="0.25">
      <c r="A744" s="7" t="s">
        <v>845</v>
      </c>
      <c r="B744" s="7" t="s">
        <v>855</v>
      </c>
      <c r="C744" s="7" t="s">
        <v>847</v>
      </c>
      <c r="D744" s="8" t="s">
        <v>118</v>
      </c>
      <c r="E744" s="9" t="s">
        <v>14</v>
      </c>
      <c r="F744" s="9"/>
      <c r="G744" s="9"/>
      <c r="H744" s="9"/>
      <c r="I744" s="9"/>
    </row>
    <row r="745" spans="1:9" x14ac:dyDescent="0.25">
      <c r="A745" s="7" t="s">
        <v>845</v>
      </c>
      <c r="B745" s="7" t="s">
        <v>856</v>
      </c>
      <c r="C745" s="7" t="s">
        <v>847</v>
      </c>
      <c r="D745" s="8" t="s">
        <v>97</v>
      </c>
      <c r="E745" s="9" t="s">
        <v>14</v>
      </c>
      <c r="F745" s="9"/>
      <c r="G745" s="9"/>
      <c r="H745" s="9"/>
      <c r="I745" s="9"/>
    </row>
    <row r="746" spans="1:9" x14ac:dyDescent="0.25">
      <c r="A746" s="7" t="s">
        <v>845</v>
      </c>
      <c r="B746" s="7" t="s">
        <v>857</v>
      </c>
      <c r="C746" s="8" t="s">
        <v>847</v>
      </c>
      <c r="D746" s="8" t="s">
        <v>650</v>
      </c>
      <c r="E746" s="9" t="s">
        <v>14</v>
      </c>
      <c r="F746" s="9"/>
      <c r="G746" s="9"/>
      <c r="H746" s="9"/>
      <c r="I746" s="9"/>
    </row>
    <row r="747" spans="1:9" x14ac:dyDescent="0.25">
      <c r="A747" s="7" t="s">
        <v>845</v>
      </c>
      <c r="B747" s="7" t="s">
        <v>857</v>
      </c>
      <c r="C747" s="8" t="s">
        <v>847</v>
      </c>
      <c r="D747" s="8" t="s">
        <v>195</v>
      </c>
      <c r="E747" s="9" t="s">
        <v>14</v>
      </c>
      <c r="F747" s="9"/>
      <c r="G747" s="9"/>
      <c r="H747" s="9"/>
      <c r="I747" s="9"/>
    </row>
    <row r="748" spans="1:9" x14ac:dyDescent="0.25">
      <c r="A748" s="7" t="s">
        <v>845</v>
      </c>
      <c r="B748" s="7" t="s">
        <v>858</v>
      </c>
      <c r="C748" s="8" t="s">
        <v>847</v>
      </c>
      <c r="D748" s="8" t="s">
        <v>113</v>
      </c>
      <c r="E748" s="9" t="s">
        <v>14</v>
      </c>
      <c r="F748" s="9"/>
      <c r="G748" s="9"/>
      <c r="H748" s="9"/>
      <c r="I748" s="9"/>
    </row>
    <row r="749" spans="1:9" x14ac:dyDescent="0.25">
      <c r="A749" s="7" t="s">
        <v>859</v>
      </c>
      <c r="B749" s="7" t="s">
        <v>859</v>
      </c>
      <c r="C749" s="8" t="s">
        <v>860</v>
      </c>
      <c r="D749" s="8" t="s">
        <v>13</v>
      </c>
      <c r="E749" s="9" t="s">
        <v>14</v>
      </c>
      <c r="F749" s="9"/>
      <c r="G749" s="9"/>
      <c r="H749" s="9"/>
      <c r="I749" s="9"/>
    </row>
    <row r="750" spans="1:9" x14ac:dyDescent="0.25">
      <c r="A750" s="7" t="s">
        <v>859</v>
      </c>
      <c r="B750" s="7" t="s">
        <v>859</v>
      </c>
      <c r="C750" s="8" t="s">
        <v>860</v>
      </c>
      <c r="D750" s="8" t="s">
        <v>48</v>
      </c>
      <c r="E750" s="9" t="s">
        <v>14</v>
      </c>
      <c r="F750" s="9"/>
      <c r="G750" s="9"/>
      <c r="H750" s="9"/>
      <c r="I750" s="9"/>
    </row>
    <row r="751" spans="1:9" x14ac:dyDescent="0.25">
      <c r="A751" s="7" t="s">
        <v>859</v>
      </c>
      <c r="B751" s="7" t="s">
        <v>859</v>
      </c>
      <c r="C751" s="8" t="s">
        <v>860</v>
      </c>
      <c r="D751" s="8" t="s">
        <v>44</v>
      </c>
      <c r="E751" s="9" t="s">
        <v>14</v>
      </c>
      <c r="F751" s="9"/>
      <c r="G751" s="9"/>
      <c r="H751" s="9"/>
      <c r="I751" s="9"/>
    </row>
    <row r="752" spans="1:9" x14ac:dyDescent="0.25">
      <c r="A752" s="7" t="s">
        <v>859</v>
      </c>
      <c r="B752" s="7" t="s">
        <v>861</v>
      </c>
      <c r="C752" s="8" t="s">
        <v>860</v>
      </c>
      <c r="D752" s="8" t="s">
        <v>235</v>
      </c>
      <c r="E752" s="9" t="s">
        <v>14</v>
      </c>
      <c r="F752" s="9"/>
      <c r="G752" s="9"/>
      <c r="H752" s="9"/>
      <c r="I752" s="9"/>
    </row>
    <row r="753" spans="1:9" x14ac:dyDescent="0.25">
      <c r="A753" s="7" t="s">
        <v>859</v>
      </c>
      <c r="B753" s="7" t="s">
        <v>861</v>
      </c>
      <c r="C753" s="8" t="s">
        <v>860</v>
      </c>
      <c r="D753" s="8" t="s">
        <v>272</v>
      </c>
      <c r="E753" s="9" t="s">
        <v>14</v>
      </c>
      <c r="F753" s="9"/>
      <c r="G753" s="9"/>
      <c r="H753" s="9"/>
      <c r="I753" s="9"/>
    </row>
    <row r="754" spans="1:9" x14ac:dyDescent="0.25">
      <c r="A754" s="7" t="s">
        <v>859</v>
      </c>
      <c r="B754" s="7" t="s">
        <v>861</v>
      </c>
      <c r="C754" s="8" t="s">
        <v>860</v>
      </c>
      <c r="D754" s="8" t="s">
        <v>265</v>
      </c>
      <c r="E754" s="9" t="s">
        <v>14</v>
      </c>
      <c r="F754" s="9"/>
      <c r="G754" s="9"/>
      <c r="H754" s="9"/>
      <c r="I754" s="9"/>
    </row>
    <row r="755" spans="1:9" x14ac:dyDescent="0.25">
      <c r="A755" s="7" t="s">
        <v>859</v>
      </c>
      <c r="B755" s="7" t="s">
        <v>862</v>
      </c>
      <c r="C755" s="8" t="s">
        <v>860</v>
      </c>
      <c r="D755" s="8" t="s">
        <v>52</v>
      </c>
      <c r="E755" s="9" t="s">
        <v>14</v>
      </c>
      <c r="F755" s="9"/>
      <c r="G755" s="9"/>
      <c r="H755" s="9"/>
      <c r="I755" s="9"/>
    </row>
    <row r="756" spans="1:9" x14ac:dyDescent="0.25">
      <c r="A756" s="7" t="s">
        <v>859</v>
      </c>
      <c r="B756" s="7" t="s">
        <v>862</v>
      </c>
      <c r="C756" s="7" t="s">
        <v>860</v>
      </c>
      <c r="D756" s="8" t="s">
        <v>60</v>
      </c>
      <c r="E756" s="9" t="s">
        <v>14</v>
      </c>
      <c r="F756" s="9"/>
      <c r="G756" s="9"/>
      <c r="H756" s="9"/>
      <c r="I756" s="9"/>
    </row>
    <row r="757" spans="1:9" x14ac:dyDescent="0.25">
      <c r="A757" s="7" t="s">
        <v>859</v>
      </c>
      <c r="B757" s="7" t="s">
        <v>862</v>
      </c>
      <c r="C757" s="8" t="s">
        <v>860</v>
      </c>
      <c r="D757" s="8" t="s">
        <v>53</v>
      </c>
      <c r="E757" s="9" t="s">
        <v>14</v>
      </c>
      <c r="F757" s="9"/>
      <c r="G757" s="9"/>
      <c r="H757" s="9"/>
      <c r="I757" s="9"/>
    </row>
    <row r="758" spans="1:9" x14ac:dyDescent="0.25">
      <c r="A758" s="7" t="s">
        <v>859</v>
      </c>
      <c r="B758" s="7" t="s">
        <v>862</v>
      </c>
      <c r="C758" s="7" t="s">
        <v>860</v>
      </c>
      <c r="D758" s="8" t="s">
        <v>16</v>
      </c>
      <c r="E758" s="9" t="s">
        <v>14</v>
      </c>
      <c r="F758" s="9"/>
      <c r="G758" s="9"/>
      <c r="H758" s="9"/>
      <c r="I758" s="9"/>
    </row>
    <row r="759" spans="1:9" x14ac:dyDescent="0.25">
      <c r="A759" s="7" t="s">
        <v>859</v>
      </c>
      <c r="B759" s="7" t="s">
        <v>863</v>
      </c>
      <c r="C759" s="7" t="s">
        <v>860</v>
      </c>
      <c r="D759" s="8" t="s">
        <v>864</v>
      </c>
      <c r="E759" s="9" t="s">
        <v>14</v>
      </c>
      <c r="F759" s="9"/>
      <c r="G759" s="9"/>
      <c r="H759" s="9"/>
      <c r="I759" s="9"/>
    </row>
    <row r="760" spans="1:9" x14ac:dyDescent="0.25">
      <c r="A760" s="7" t="s">
        <v>859</v>
      </c>
      <c r="B760" s="7" t="s">
        <v>863</v>
      </c>
      <c r="C760" s="7" t="s">
        <v>860</v>
      </c>
      <c r="D760" s="8" t="s">
        <v>808</v>
      </c>
      <c r="E760" s="9" t="s">
        <v>14</v>
      </c>
      <c r="F760" s="9"/>
      <c r="G760" s="9"/>
      <c r="H760" s="9"/>
      <c r="I760" s="9"/>
    </row>
    <row r="761" spans="1:9" x14ac:dyDescent="0.25">
      <c r="A761" s="7" t="s">
        <v>859</v>
      </c>
      <c r="B761" s="7" t="s">
        <v>863</v>
      </c>
      <c r="C761" s="8" t="s">
        <v>860</v>
      </c>
      <c r="D761" s="8" t="s">
        <v>865</v>
      </c>
      <c r="E761" s="9" t="s">
        <v>14</v>
      </c>
      <c r="F761" s="9"/>
      <c r="G761" s="9"/>
      <c r="H761" s="9"/>
      <c r="I761" s="9"/>
    </row>
    <row r="762" spans="1:9" x14ac:dyDescent="0.25">
      <c r="A762" s="7" t="s">
        <v>859</v>
      </c>
      <c r="B762" s="7" t="s">
        <v>863</v>
      </c>
      <c r="C762" s="8" t="s">
        <v>860</v>
      </c>
      <c r="D762" s="8" t="s">
        <v>866</v>
      </c>
      <c r="E762" s="9" t="s">
        <v>14</v>
      </c>
      <c r="F762" s="9"/>
      <c r="G762" s="9"/>
      <c r="H762" s="9"/>
      <c r="I762" s="9"/>
    </row>
    <row r="763" spans="1:9" x14ac:dyDescent="0.25">
      <c r="A763" s="7" t="s">
        <v>859</v>
      </c>
      <c r="B763" s="7" t="s">
        <v>867</v>
      </c>
      <c r="C763" s="7" t="s">
        <v>860</v>
      </c>
      <c r="D763" s="8" t="s">
        <v>28</v>
      </c>
      <c r="E763" s="9" t="s">
        <v>14</v>
      </c>
      <c r="F763" s="9"/>
      <c r="G763" s="9"/>
      <c r="H763" s="9"/>
      <c r="I763" s="9"/>
    </row>
    <row r="764" spans="1:9" x14ac:dyDescent="0.25">
      <c r="A764" s="7" t="s">
        <v>859</v>
      </c>
      <c r="B764" s="7" t="s">
        <v>867</v>
      </c>
      <c r="C764" s="8" t="s">
        <v>860</v>
      </c>
      <c r="D764" s="8" t="s">
        <v>195</v>
      </c>
      <c r="E764" s="9" t="s">
        <v>14</v>
      </c>
      <c r="F764" s="9"/>
      <c r="G764" s="9"/>
      <c r="H764" s="9"/>
      <c r="I764" s="9"/>
    </row>
    <row r="765" spans="1:9" x14ac:dyDescent="0.25">
      <c r="A765" s="7" t="s">
        <v>859</v>
      </c>
      <c r="B765" s="7" t="s">
        <v>868</v>
      </c>
      <c r="C765" s="8" t="s">
        <v>860</v>
      </c>
      <c r="D765" s="8" t="s">
        <v>260</v>
      </c>
      <c r="E765" s="9" t="s">
        <v>14</v>
      </c>
      <c r="F765" s="9"/>
      <c r="G765" s="9"/>
      <c r="H765" s="9"/>
      <c r="I765" s="9"/>
    </row>
    <row r="766" spans="1:9" x14ac:dyDescent="0.25">
      <c r="A766" s="7" t="s">
        <v>859</v>
      </c>
      <c r="B766" s="7" t="s">
        <v>868</v>
      </c>
      <c r="C766" s="8" t="s">
        <v>860</v>
      </c>
      <c r="D766" s="8" t="s">
        <v>256</v>
      </c>
      <c r="E766" s="9" t="s">
        <v>14</v>
      </c>
      <c r="F766" s="9"/>
      <c r="G766" s="9"/>
      <c r="H766" s="9"/>
      <c r="I766" s="9"/>
    </row>
    <row r="767" spans="1:9" x14ac:dyDescent="0.25">
      <c r="A767" s="7" t="s">
        <v>859</v>
      </c>
      <c r="B767" s="7" t="s">
        <v>869</v>
      </c>
      <c r="C767" s="8" t="s">
        <v>860</v>
      </c>
      <c r="D767" s="8" t="s">
        <v>22</v>
      </c>
      <c r="E767" s="9" t="s">
        <v>14</v>
      </c>
      <c r="F767" s="9"/>
      <c r="G767" s="9"/>
      <c r="H767" s="9"/>
      <c r="I767" s="9"/>
    </row>
    <row r="768" spans="1:9" x14ac:dyDescent="0.25">
      <c r="A768" s="7" t="s">
        <v>859</v>
      </c>
      <c r="B768" s="7" t="s">
        <v>869</v>
      </c>
      <c r="C768" s="8" t="s">
        <v>860</v>
      </c>
      <c r="D768" s="8" t="s">
        <v>20</v>
      </c>
      <c r="E768" s="9" t="s">
        <v>14</v>
      </c>
      <c r="F768" s="9"/>
      <c r="G768" s="9"/>
      <c r="H768" s="9"/>
      <c r="I768" s="9"/>
    </row>
    <row r="769" spans="1:9" x14ac:dyDescent="0.25">
      <c r="A769" s="7" t="s">
        <v>859</v>
      </c>
      <c r="B769" s="7" t="s">
        <v>870</v>
      </c>
      <c r="C769" s="8" t="s">
        <v>860</v>
      </c>
      <c r="D769" s="8" t="s">
        <v>815</v>
      </c>
      <c r="E769" s="9" t="s">
        <v>14</v>
      </c>
      <c r="F769" s="9"/>
      <c r="G769" s="9"/>
      <c r="H769" s="9"/>
      <c r="I769" s="9"/>
    </row>
    <row r="770" spans="1:9" x14ac:dyDescent="0.25">
      <c r="A770" s="7" t="s">
        <v>859</v>
      </c>
      <c r="B770" s="7" t="s">
        <v>870</v>
      </c>
      <c r="C770" s="8" t="s">
        <v>860</v>
      </c>
      <c r="D770" s="8" t="s">
        <v>817</v>
      </c>
      <c r="E770" s="9" t="s">
        <v>14</v>
      </c>
      <c r="F770" s="9"/>
      <c r="G770" s="9"/>
      <c r="H770" s="9"/>
      <c r="I770" s="9"/>
    </row>
    <row r="771" spans="1:9" x14ac:dyDescent="0.25">
      <c r="A771" s="7" t="s">
        <v>859</v>
      </c>
      <c r="B771" s="7" t="s">
        <v>871</v>
      </c>
      <c r="C771" s="8" t="s">
        <v>860</v>
      </c>
      <c r="D771" s="8" t="s">
        <v>39</v>
      </c>
      <c r="E771" s="9" t="s">
        <v>14</v>
      </c>
      <c r="F771" s="9"/>
      <c r="G771" s="9"/>
      <c r="H771" s="9"/>
      <c r="I771" s="9"/>
    </row>
    <row r="772" spans="1:9" x14ac:dyDescent="0.25">
      <c r="A772" s="7" t="s">
        <v>859</v>
      </c>
      <c r="B772" s="7" t="s">
        <v>871</v>
      </c>
      <c r="C772" s="8" t="s">
        <v>860</v>
      </c>
      <c r="D772" s="8" t="s">
        <v>46</v>
      </c>
      <c r="E772" s="9" t="s">
        <v>14</v>
      </c>
      <c r="F772" s="9"/>
      <c r="G772" s="9"/>
      <c r="H772" s="9"/>
      <c r="I772" s="9"/>
    </row>
    <row r="773" spans="1:9" x14ac:dyDescent="0.25">
      <c r="A773" s="7" t="s">
        <v>859</v>
      </c>
      <c r="B773" s="7" t="s">
        <v>872</v>
      </c>
      <c r="C773" s="8" t="s">
        <v>860</v>
      </c>
      <c r="D773" s="8" t="s">
        <v>363</v>
      </c>
      <c r="E773" s="9" t="s">
        <v>14</v>
      </c>
      <c r="F773" s="9"/>
      <c r="G773" s="9"/>
      <c r="H773" s="9"/>
      <c r="I773" s="9"/>
    </row>
    <row r="774" spans="1:9" x14ac:dyDescent="0.25">
      <c r="A774" s="7" t="s">
        <v>859</v>
      </c>
      <c r="B774" s="7" t="s">
        <v>872</v>
      </c>
      <c r="C774" s="8" t="s">
        <v>860</v>
      </c>
      <c r="D774" s="8" t="s">
        <v>275</v>
      </c>
      <c r="E774" s="9" t="s">
        <v>14</v>
      </c>
      <c r="F774" s="9"/>
      <c r="G774" s="9"/>
      <c r="H774" s="9"/>
      <c r="I774" s="9"/>
    </row>
    <row r="775" spans="1:9" x14ac:dyDescent="0.25">
      <c r="A775" s="7" t="s">
        <v>859</v>
      </c>
      <c r="B775" s="7" t="s">
        <v>873</v>
      </c>
      <c r="C775" s="8" t="s">
        <v>860</v>
      </c>
      <c r="D775" s="8" t="s">
        <v>251</v>
      </c>
      <c r="E775" s="9" t="s">
        <v>14</v>
      </c>
      <c r="F775" s="9"/>
      <c r="G775" s="9"/>
      <c r="H775" s="9"/>
      <c r="I775" s="9"/>
    </row>
    <row r="776" spans="1:9" x14ac:dyDescent="0.25">
      <c r="A776" s="7" t="s">
        <v>859</v>
      </c>
      <c r="B776" s="7" t="s">
        <v>873</v>
      </c>
      <c r="C776" s="7" t="s">
        <v>860</v>
      </c>
      <c r="D776" s="8" t="s">
        <v>262</v>
      </c>
      <c r="E776" s="9" t="s">
        <v>14</v>
      </c>
      <c r="F776" s="9"/>
      <c r="G776" s="9"/>
      <c r="H776" s="9"/>
      <c r="I776" s="9"/>
    </row>
    <row r="777" spans="1:9" x14ac:dyDescent="0.25">
      <c r="A777" s="7" t="s">
        <v>859</v>
      </c>
      <c r="B777" s="7" t="s">
        <v>874</v>
      </c>
      <c r="C777" s="7" t="s">
        <v>860</v>
      </c>
      <c r="D777" s="8" t="s">
        <v>875</v>
      </c>
      <c r="E777" s="9" t="s">
        <v>14</v>
      </c>
      <c r="F777" s="9"/>
      <c r="G777" s="9"/>
      <c r="H777" s="9"/>
      <c r="I777" s="9"/>
    </row>
    <row r="778" spans="1:9" x14ac:dyDescent="0.25">
      <c r="A778" s="7" t="s">
        <v>859</v>
      </c>
      <c r="B778" s="7" t="s">
        <v>876</v>
      </c>
      <c r="C778" s="7" t="s">
        <v>860</v>
      </c>
      <c r="D778" s="8" t="s">
        <v>50</v>
      </c>
      <c r="E778" s="9" t="s">
        <v>14</v>
      </c>
      <c r="F778" s="9"/>
      <c r="G778" s="9"/>
      <c r="H778" s="9"/>
      <c r="I778" s="9"/>
    </row>
    <row r="779" spans="1:9" x14ac:dyDescent="0.25">
      <c r="A779" s="7" t="s">
        <v>859</v>
      </c>
      <c r="B779" s="7" t="s">
        <v>876</v>
      </c>
      <c r="C779" s="7" t="s">
        <v>860</v>
      </c>
      <c r="D779" s="8" t="s">
        <v>122</v>
      </c>
      <c r="E779" s="9" t="s">
        <v>14</v>
      </c>
      <c r="F779" s="9"/>
      <c r="G779" s="9"/>
      <c r="H779" s="9"/>
      <c r="I779" s="9"/>
    </row>
    <row r="780" spans="1:9" x14ac:dyDescent="0.25">
      <c r="A780" s="7" t="s">
        <v>859</v>
      </c>
      <c r="B780" s="7" t="s">
        <v>877</v>
      </c>
      <c r="C780" s="7" t="s">
        <v>860</v>
      </c>
      <c r="D780" s="8" t="s">
        <v>805</v>
      </c>
      <c r="E780" s="9" t="s">
        <v>14</v>
      </c>
      <c r="F780" s="9"/>
      <c r="G780" s="9"/>
      <c r="H780" s="9"/>
      <c r="I780" s="9"/>
    </row>
    <row r="781" spans="1:9" x14ac:dyDescent="0.25">
      <c r="A781" s="7" t="s">
        <v>859</v>
      </c>
      <c r="B781" s="7" t="s">
        <v>877</v>
      </c>
      <c r="C781" s="7" t="s">
        <v>860</v>
      </c>
      <c r="D781" s="8" t="s">
        <v>253</v>
      </c>
      <c r="E781" s="9" t="s">
        <v>14</v>
      </c>
      <c r="F781" s="9"/>
      <c r="G781" s="9"/>
      <c r="H781" s="9"/>
      <c r="I781" s="9"/>
    </row>
    <row r="782" spans="1:9" x14ac:dyDescent="0.25">
      <c r="A782" s="7" t="s">
        <v>878</v>
      </c>
      <c r="B782" s="7" t="s">
        <v>878</v>
      </c>
      <c r="C782" s="8" t="s">
        <v>879</v>
      </c>
      <c r="D782" s="8" t="s">
        <v>13</v>
      </c>
      <c r="E782" s="9" t="s">
        <v>14</v>
      </c>
      <c r="F782" s="9"/>
      <c r="G782" s="9"/>
      <c r="H782" s="9"/>
      <c r="I782" s="9"/>
    </row>
    <row r="783" spans="1:9" x14ac:dyDescent="0.25">
      <c r="A783" s="7" t="s">
        <v>878</v>
      </c>
      <c r="B783" s="7" t="s">
        <v>878</v>
      </c>
      <c r="C783" s="8" t="s">
        <v>879</v>
      </c>
      <c r="D783" s="8" t="s">
        <v>52</v>
      </c>
      <c r="E783" s="9" t="s">
        <v>14</v>
      </c>
      <c r="F783" s="9"/>
      <c r="G783" s="9"/>
      <c r="H783" s="9"/>
      <c r="I783" s="9"/>
    </row>
    <row r="784" spans="1:9" x14ac:dyDescent="0.25">
      <c r="A784" s="7" t="s">
        <v>878</v>
      </c>
      <c r="B784" s="7" t="s">
        <v>878</v>
      </c>
      <c r="C784" s="8" t="s">
        <v>879</v>
      </c>
      <c r="D784" s="8" t="s">
        <v>16</v>
      </c>
      <c r="E784" s="9" t="s">
        <v>14</v>
      </c>
      <c r="F784" s="9"/>
      <c r="G784" s="9"/>
      <c r="H784" s="9"/>
      <c r="I784" s="9"/>
    </row>
    <row r="785" spans="1:9" x14ac:dyDescent="0.25">
      <c r="A785" s="7" t="s">
        <v>878</v>
      </c>
      <c r="B785" s="7" t="s">
        <v>878</v>
      </c>
      <c r="C785" s="8" t="s">
        <v>879</v>
      </c>
      <c r="D785" s="8" t="s">
        <v>73</v>
      </c>
      <c r="E785" s="9" t="s">
        <v>14</v>
      </c>
      <c r="F785" s="9"/>
      <c r="G785" s="9"/>
      <c r="H785" s="9"/>
      <c r="I785" s="9"/>
    </row>
    <row r="786" spans="1:9" x14ac:dyDescent="0.25">
      <c r="A786" s="7" t="s">
        <v>878</v>
      </c>
      <c r="B786" s="7" t="s">
        <v>880</v>
      </c>
      <c r="C786" s="8" t="s">
        <v>879</v>
      </c>
      <c r="D786" s="8" t="s">
        <v>104</v>
      </c>
      <c r="E786" s="9" t="s">
        <v>14</v>
      </c>
      <c r="F786" s="9"/>
      <c r="G786" s="9"/>
      <c r="H786" s="9"/>
      <c r="I786" s="9"/>
    </row>
    <row r="787" spans="1:9" x14ac:dyDescent="0.25">
      <c r="A787" s="7" t="s">
        <v>878</v>
      </c>
      <c r="B787" s="7" t="s">
        <v>880</v>
      </c>
      <c r="C787" s="8" t="s">
        <v>879</v>
      </c>
      <c r="D787" s="8" t="s">
        <v>183</v>
      </c>
      <c r="E787" s="9" t="s">
        <v>14</v>
      </c>
      <c r="F787" s="9"/>
      <c r="G787" s="9"/>
      <c r="H787" s="9"/>
      <c r="I787" s="9"/>
    </row>
    <row r="788" spans="1:9" x14ac:dyDescent="0.25">
      <c r="A788" s="7" t="s">
        <v>878</v>
      </c>
      <c r="B788" s="7" t="s">
        <v>880</v>
      </c>
      <c r="C788" s="7" t="s">
        <v>879</v>
      </c>
      <c r="D788" s="8" t="s">
        <v>352</v>
      </c>
      <c r="E788" s="9" t="s">
        <v>14</v>
      </c>
      <c r="F788" s="9"/>
      <c r="G788" s="9"/>
      <c r="H788" s="9"/>
      <c r="I788" s="9"/>
    </row>
    <row r="789" spans="1:9" x14ac:dyDescent="0.25">
      <c r="A789" s="7" t="s">
        <v>878</v>
      </c>
      <c r="B789" s="7" t="s">
        <v>881</v>
      </c>
      <c r="C789" s="7" t="s">
        <v>879</v>
      </c>
      <c r="D789" s="8" t="s">
        <v>89</v>
      </c>
      <c r="E789" s="9" t="s">
        <v>14</v>
      </c>
      <c r="F789" s="9"/>
      <c r="G789" s="9"/>
      <c r="H789" s="9"/>
      <c r="I789" s="9"/>
    </row>
    <row r="790" spans="1:9" x14ac:dyDescent="0.25">
      <c r="A790" s="7" t="s">
        <v>878</v>
      </c>
      <c r="B790" s="7" t="s">
        <v>882</v>
      </c>
      <c r="C790" s="7" t="s">
        <v>879</v>
      </c>
      <c r="D790" s="8" t="s">
        <v>97</v>
      </c>
      <c r="E790" s="9" t="s">
        <v>14</v>
      </c>
      <c r="F790" s="9"/>
      <c r="G790" s="9"/>
      <c r="H790" s="9"/>
      <c r="I790" s="9"/>
    </row>
    <row r="791" spans="1:9" x14ac:dyDescent="0.25">
      <c r="A791" s="7" t="s">
        <v>878</v>
      </c>
      <c r="B791" s="7" t="s">
        <v>883</v>
      </c>
      <c r="C791" s="7" t="s">
        <v>879</v>
      </c>
      <c r="D791" s="8" t="s">
        <v>43</v>
      </c>
      <c r="E791" s="9" t="s">
        <v>14</v>
      </c>
      <c r="F791" s="9"/>
      <c r="G791" s="9"/>
      <c r="H791" s="9"/>
      <c r="I791" s="9"/>
    </row>
    <row r="792" spans="1:9" x14ac:dyDescent="0.25">
      <c r="A792" s="7" t="s">
        <v>878</v>
      </c>
      <c r="B792" s="7" t="s">
        <v>883</v>
      </c>
      <c r="C792" s="7" t="s">
        <v>879</v>
      </c>
      <c r="D792" s="8" t="s">
        <v>18</v>
      </c>
      <c r="E792" s="9" t="s">
        <v>14</v>
      </c>
      <c r="F792" s="9"/>
      <c r="G792" s="9"/>
      <c r="H792" s="9"/>
      <c r="I792" s="9"/>
    </row>
    <row r="793" spans="1:9" x14ac:dyDescent="0.25">
      <c r="A793" s="7" t="s">
        <v>878</v>
      </c>
      <c r="B793" s="7" t="s">
        <v>883</v>
      </c>
      <c r="C793" s="7" t="s">
        <v>879</v>
      </c>
      <c r="D793" s="8" t="s">
        <v>44</v>
      </c>
      <c r="E793" s="9" t="s">
        <v>14</v>
      </c>
      <c r="F793" s="9"/>
      <c r="G793" s="9"/>
      <c r="H793" s="9"/>
      <c r="I793" s="9"/>
    </row>
    <row r="794" spans="1:9" x14ac:dyDescent="0.25">
      <c r="A794" s="7" t="s">
        <v>878</v>
      </c>
      <c r="B794" s="7" t="s">
        <v>883</v>
      </c>
      <c r="C794" s="7" t="s">
        <v>879</v>
      </c>
      <c r="D794" s="8" t="s">
        <v>24</v>
      </c>
      <c r="E794" s="9" t="s">
        <v>14</v>
      </c>
      <c r="F794" s="9"/>
      <c r="G794" s="9"/>
      <c r="H794" s="9"/>
      <c r="I794" s="9"/>
    </row>
    <row r="795" spans="1:9" x14ac:dyDescent="0.25">
      <c r="A795" s="7" t="s">
        <v>878</v>
      </c>
      <c r="B795" s="7" t="s">
        <v>884</v>
      </c>
      <c r="C795" s="7" t="s">
        <v>879</v>
      </c>
      <c r="D795" s="8" t="s">
        <v>113</v>
      </c>
      <c r="E795" s="9" t="s">
        <v>14</v>
      </c>
      <c r="F795" s="9"/>
      <c r="G795" s="9"/>
      <c r="H795" s="9"/>
      <c r="I795" s="9"/>
    </row>
    <row r="796" spans="1:9" x14ac:dyDescent="0.25">
      <c r="A796" s="7" t="s">
        <v>878</v>
      </c>
      <c r="B796" s="7" t="s">
        <v>884</v>
      </c>
      <c r="C796" s="7" t="s">
        <v>879</v>
      </c>
      <c r="D796" s="8" t="s">
        <v>120</v>
      </c>
      <c r="E796" s="9" t="s">
        <v>14</v>
      </c>
      <c r="F796" s="9"/>
      <c r="G796" s="9"/>
      <c r="H796" s="9"/>
      <c r="I796" s="9"/>
    </row>
    <row r="797" spans="1:9" x14ac:dyDescent="0.25">
      <c r="A797" s="7" t="s">
        <v>878</v>
      </c>
      <c r="B797" s="7" t="s">
        <v>884</v>
      </c>
      <c r="C797" s="7" t="s">
        <v>879</v>
      </c>
      <c r="D797" s="8" t="s">
        <v>166</v>
      </c>
      <c r="E797" s="9" t="s">
        <v>14</v>
      </c>
      <c r="F797" s="9"/>
      <c r="G797" s="9"/>
      <c r="H797" s="9"/>
      <c r="I797" s="9"/>
    </row>
    <row r="798" spans="1:9" x14ac:dyDescent="0.25">
      <c r="A798" s="7" t="s">
        <v>878</v>
      </c>
      <c r="B798" s="7" t="s">
        <v>885</v>
      </c>
      <c r="C798" s="7" t="s">
        <v>879</v>
      </c>
      <c r="D798" s="8" t="s">
        <v>102</v>
      </c>
      <c r="E798" s="9" t="s">
        <v>14</v>
      </c>
      <c r="F798" s="9"/>
      <c r="G798" s="9"/>
      <c r="H798" s="9"/>
      <c r="I798" s="9"/>
    </row>
    <row r="799" spans="1:9" x14ac:dyDescent="0.25">
      <c r="A799" s="7" t="s">
        <v>878</v>
      </c>
      <c r="B799" s="7" t="s">
        <v>885</v>
      </c>
      <c r="C799" s="7" t="s">
        <v>879</v>
      </c>
      <c r="D799" s="8" t="s">
        <v>530</v>
      </c>
      <c r="E799" s="9" t="s">
        <v>14</v>
      </c>
      <c r="F799" s="9"/>
      <c r="G799" s="9"/>
      <c r="H799" s="9"/>
      <c r="I799" s="9"/>
    </row>
    <row r="800" spans="1:9" x14ac:dyDescent="0.25">
      <c r="A800" s="7" t="s">
        <v>878</v>
      </c>
      <c r="B800" s="7" t="s">
        <v>886</v>
      </c>
      <c r="C800" s="7" t="s">
        <v>879</v>
      </c>
      <c r="D800" s="8" t="s">
        <v>297</v>
      </c>
      <c r="E800" s="9" t="s">
        <v>14</v>
      </c>
      <c r="F800" s="9"/>
      <c r="G800" s="9"/>
      <c r="H800" s="9"/>
      <c r="I800" s="9"/>
    </row>
    <row r="801" spans="1:9" x14ac:dyDescent="0.25">
      <c r="A801" s="7" t="s">
        <v>878</v>
      </c>
      <c r="B801" s="7" t="s">
        <v>887</v>
      </c>
      <c r="C801" s="7" t="s">
        <v>879</v>
      </c>
      <c r="D801" s="8" t="s">
        <v>55</v>
      </c>
      <c r="E801" s="9" t="s">
        <v>14</v>
      </c>
      <c r="F801" s="9"/>
      <c r="G801" s="9"/>
      <c r="H801" s="9"/>
      <c r="I801" s="9"/>
    </row>
    <row r="802" spans="1:9" x14ac:dyDescent="0.25">
      <c r="A802" s="7" t="s">
        <v>878</v>
      </c>
      <c r="B802" s="7" t="s">
        <v>888</v>
      </c>
      <c r="C802" s="7" t="s">
        <v>879</v>
      </c>
      <c r="D802" s="8" t="s">
        <v>98</v>
      </c>
      <c r="E802" s="9" t="s">
        <v>14</v>
      </c>
      <c r="F802" s="9"/>
      <c r="G802" s="9"/>
      <c r="H802" s="9"/>
      <c r="I802" s="9"/>
    </row>
    <row r="803" spans="1:9" x14ac:dyDescent="0.25">
      <c r="A803" s="7" t="s">
        <v>878</v>
      </c>
      <c r="B803" s="7" t="s">
        <v>889</v>
      </c>
      <c r="C803" s="7" t="s">
        <v>879</v>
      </c>
      <c r="D803" s="8" t="s">
        <v>106</v>
      </c>
      <c r="E803" s="9" t="s">
        <v>14</v>
      </c>
      <c r="F803" s="9"/>
      <c r="G803" s="9"/>
      <c r="H803" s="9"/>
      <c r="I803" s="9"/>
    </row>
    <row r="804" spans="1:9" x14ac:dyDescent="0.25">
      <c r="A804" s="7" t="s">
        <v>878</v>
      </c>
      <c r="B804" s="7" t="s">
        <v>889</v>
      </c>
      <c r="C804" s="8" t="s">
        <v>879</v>
      </c>
      <c r="D804" s="8" t="s">
        <v>78</v>
      </c>
      <c r="E804" s="9" t="s">
        <v>14</v>
      </c>
      <c r="F804" s="9"/>
      <c r="G804" s="9"/>
      <c r="H804" s="9"/>
      <c r="I804" s="9"/>
    </row>
    <row r="805" spans="1:9" x14ac:dyDescent="0.25">
      <c r="A805" s="7" t="s">
        <v>878</v>
      </c>
      <c r="B805" s="7" t="s">
        <v>890</v>
      </c>
      <c r="C805" s="8" t="s">
        <v>879</v>
      </c>
      <c r="D805" s="8" t="s">
        <v>108</v>
      </c>
      <c r="E805" s="9" t="s">
        <v>14</v>
      </c>
      <c r="F805" s="9"/>
      <c r="G805" s="9"/>
      <c r="H805" s="9"/>
      <c r="I805" s="9"/>
    </row>
    <row r="806" spans="1:9" x14ac:dyDescent="0.25">
      <c r="A806" s="7" t="s">
        <v>891</v>
      </c>
      <c r="B806" s="7" t="s">
        <v>892</v>
      </c>
      <c r="C806" s="7" t="s">
        <v>92</v>
      </c>
      <c r="D806" s="8" t="s">
        <v>81</v>
      </c>
      <c r="E806" s="9" t="s">
        <v>14</v>
      </c>
      <c r="F806" s="9"/>
      <c r="G806" s="9"/>
      <c r="H806" s="9"/>
      <c r="I806" s="9"/>
    </row>
    <row r="807" spans="1:9" x14ac:dyDescent="0.25">
      <c r="A807" s="7" t="s">
        <v>891</v>
      </c>
      <c r="B807" s="7" t="s">
        <v>893</v>
      </c>
      <c r="C807" s="8" t="s">
        <v>92</v>
      </c>
      <c r="D807" s="8" t="s">
        <v>894</v>
      </c>
      <c r="E807" s="9" t="s">
        <v>14</v>
      </c>
      <c r="F807" s="9"/>
      <c r="G807" s="9"/>
      <c r="H807" s="9"/>
      <c r="I807" s="9"/>
    </row>
    <row r="808" spans="1:9" x14ac:dyDescent="0.25">
      <c r="A808" s="7" t="s">
        <v>891</v>
      </c>
      <c r="B808" s="7" t="s">
        <v>891</v>
      </c>
      <c r="C808" s="8" t="s">
        <v>92</v>
      </c>
      <c r="D808" s="8" t="s">
        <v>13</v>
      </c>
      <c r="E808" s="9" t="s">
        <v>14</v>
      </c>
      <c r="F808" s="9"/>
      <c r="G808" s="9"/>
      <c r="H808" s="9"/>
      <c r="I808" s="9"/>
    </row>
    <row r="809" spans="1:9" x14ac:dyDescent="0.25">
      <c r="A809" s="7" t="s">
        <v>891</v>
      </c>
      <c r="B809" s="7" t="s">
        <v>891</v>
      </c>
      <c r="C809" s="8" t="s">
        <v>92</v>
      </c>
      <c r="D809" s="8" t="s">
        <v>84</v>
      </c>
      <c r="E809" s="9" t="s">
        <v>14</v>
      </c>
      <c r="F809" s="9"/>
      <c r="G809" s="9"/>
      <c r="H809" s="9"/>
      <c r="I809" s="9"/>
    </row>
    <row r="810" spans="1:9" x14ac:dyDescent="0.25">
      <c r="A810" s="7" t="s">
        <v>891</v>
      </c>
      <c r="B810" s="7" t="s">
        <v>891</v>
      </c>
      <c r="C810" s="8" t="s">
        <v>92</v>
      </c>
      <c r="D810" s="8" t="s">
        <v>267</v>
      </c>
      <c r="E810" s="9" t="s">
        <v>14</v>
      </c>
      <c r="F810" s="9"/>
      <c r="G810" s="9"/>
      <c r="H810" s="9"/>
      <c r="I810" s="9"/>
    </row>
    <row r="811" spans="1:9" x14ac:dyDescent="0.25">
      <c r="A811" s="7" t="s">
        <v>891</v>
      </c>
      <c r="B811" s="7" t="s">
        <v>895</v>
      </c>
      <c r="C811" s="8" t="s">
        <v>92</v>
      </c>
      <c r="D811" s="8" t="s">
        <v>896</v>
      </c>
      <c r="E811" s="9" t="s">
        <v>14</v>
      </c>
      <c r="F811" s="9"/>
      <c r="G811" s="9"/>
      <c r="H811" s="9"/>
      <c r="I811" s="9"/>
    </row>
    <row r="812" spans="1:9" x14ac:dyDescent="0.25">
      <c r="A812" s="7" t="s">
        <v>891</v>
      </c>
      <c r="B812" s="7" t="s">
        <v>895</v>
      </c>
      <c r="C812" s="8" t="s">
        <v>92</v>
      </c>
      <c r="D812" s="8" t="s">
        <v>305</v>
      </c>
      <c r="E812" s="9" t="s">
        <v>14</v>
      </c>
      <c r="F812" s="9"/>
      <c r="G812" s="9"/>
      <c r="H812" s="9"/>
      <c r="I812" s="9"/>
    </row>
    <row r="813" spans="1:9" x14ac:dyDescent="0.25">
      <c r="A813" s="7" t="s">
        <v>891</v>
      </c>
      <c r="B813" s="7" t="s">
        <v>895</v>
      </c>
      <c r="C813" s="7" t="s">
        <v>92</v>
      </c>
      <c r="D813" s="8" t="s">
        <v>897</v>
      </c>
      <c r="E813" s="9" t="s">
        <v>14</v>
      </c>
      <c r="F813" s="9"/>
      <c r="G813" s="9"/>
      <c r="H813" s="9"/>
      <c r="I813" s="9"/>
    </row>
    <row r="814" spans="1:9" x14ac:dyDescent="0.25">
      <c r="A814" s="7" t="s">
        <v>891</v>
      </c>
      <c r="B814" s="7" t="s">
        <v>898</v>
      </c>
      <c r="C814" s="7" t="s">
        <v>92</v>
      </c>
      <c r="D814" s="8" t="s">
        <v>307</v>
      </c>
      <c r="E814" s="9" t="s">
        <v>14</v>
      </c>
      <c r="F814" s="9"/>
      <c r="G814" s="9"/>
      <c r="H814" s="9"/>
      <c r="I814" s="9"/>
    </row>
    <row r="815" spans="1:9" x14ac:dyDescent="0.25">
      <c r="A815" s="7" t="s">
        <v>891</v>
      </c>
      <c r="B815" s="7" t="s">
        <v>899</v>
      </c>
      <c r="C815" s="8" t="s">
        <v>92</v>
      </c>
      <c r="D815" s="8" t="s">
        <v>900</v>
      </c>
      <c r="E815" s="9" t="s">
        <v>14</v>
      </c>
      <c r="F815" s="9"/>
      <c r="G815" s="9"/>
      <c r="H815" s="9"/>
      <c r="I815" s="9"/>
    </row>
    <row r="816" spans="1:9" x14ac:dyDescent="0.25">
      <c r="A816" s="7" t="s">
        <v>891</v>
      </c>
      <c r="B816" s="7" t="s">
        <v>901</v>
      </c>
      <c r="C816" s="8" t="s">
        <v>92</v>
      </c>
      <c r="D816" s="8" t="s">
        <v>325</v>
      </c>
      <c r="E816" s="9" t="s">
        <v>14</v>
      </c>
      <c r="F816" s="9"/>
      <c r="G816" s="9"/>
      <c r="H816" s="9"/>
      <c r="I816" s="9"/>
    </row>
    <row r="817" spans="1:9" x14ac:dyDescent="0.25">
      <c r="A817" s="7" t="s">
        <v>891</v>
      </c>
      <c r="B817" s="7" t="s">
        <v>902</v>
      </c>
      <c r="C817" s="7" t="s">
        <v>92</v>
      </c>
      <c r="D817" s="8" t="s">
        <v>903</v>
      </c>
      <c r="E817" s="9" t="s">
        <v>14</v>
      </c>
      <c r="F817" s="9"/>
      <c r="G817" s="9"/>
      <c r="H817" s="9"/>
      <c r="I817" s="9"/>
    </row>
    <row r="818" spans="1:9" x14ac:dyDescent="0.25">
      <c r="A818" s="7" t="s">
        <v>891</v>
      </c>
      <c r="B818" s="7" t="s">
        <v>904</v>
      </c>
      <c r="C818" s="7" t="s">
        <v>92</v>
      </c>
      <c r="D818" s="8" t="s">
        <v>258</v>
      </c>
      <c r="E818" s="9" t="s">
        <v>14</v>
      </c>
      <c r="F818" s="9"/>
      <c r="G818" s="9"/>
      <c r="H818" s="9"/>
      <c r="I818" s="9"/>
    </row>
    <row r="819" spans="1:9" x14ac:dyDescent="0.25">
      <c r="A819" s="7" t="s">
        <v>891</v>
      </c>
      <c r="B819" s="7" t="s">
        <v>905</v>
      </c>
      <c r="C819" s="8" t="s">
        <v>92</v>
      </c>
      <c r="D819" s="8" t="s">
        <v>462</v>
      </c>
      <c r="E819" s="9" t="s">
        <v>14</v>
      </c>
      <c r="F819" s="9"/>
      <c r="G819" s="9"/>
      <c r="H819" s="9"/>
      <c r="I819" s="9"/>
    </row>
    <row r="820" spans="1:9" x14ac:dyDescent="0.25">
      <c r="A820" s="7" t="s">
        <v>891</v>
      </c>
      <c r="B820" s="7" t="s">
        <v>906</v>
      </c>
      <c r="C820" s="8" t="s">
        <v>92</v>
      </c>
      <c r="D820" s="8" t="s">
        <v>349</v>
      </c>
      <c r="E820" s="9" t="s">
        <v>14</v>
      </c>
      <c r="F820" s="9"/>
      <c r="G820" s="9"/>
      <c r="H820" s="9"/>
      <c r="I820" s="9"/>
    </row>
    <row r="821" spans="1:9" x14ac:dyDescent="0.25">
      <c r="A821" s="7" t="s">
        <v>891</v>
      </c>
      <c r="B821" s="7" t="s">
        <v>907</v>
      </c>
      <c r="C821" s="7" t="s">
        <v>92</v>
      </c>
      <c r="D821" s="8" t="s">
        <v>474</v>
      </c>
      <c r="E821" s="9" t="s">
        <v>14</v>
      </c>
      <c r="F821" s="9"/>
      <c r="G821" s="9"/>
      <c r="H821" s="9"/>
      <c r="I821" s="9"/>
    </row>
    <row r="822" spans="1:9" x14ac:dyDescent="0.25">
      <c r="A822" s="7" t="s">
        <v>908</v>
      </c>
      <c r="B822" s="7" t="s">
        <v>908</v>
      </c>
      <c r="C822" s="7" t="s">
        <v>909</v>
      </c>
      <c r="D822" s="8" t="s">
        <v>52</v>
      </c>
      <c r="E822" s="9" t="s">
        <v>14</v>
      </c>
      <c r="F822" s="9"/>
      <c r="G822" s="9"/>
      <c r="H822" s="9"/>
      <c r="I822" s="9"/>
    </row>
    <row r="823" spans="1:9" x14ac:dyDescent="0.25">
      <c r="A823" s="7" t="s">
        <v>908</v>
      </c>
      <c r="B823" s="7" t="s">
        <v>910</v>
      </c>
      <c r="C823" s="7" t="s">
        <v>909</v>
      </c>
      <c r="D823" s="8" t="s">
        <v>60</v>
      </c>
      <c r="E823" s="9" t="s">
        <v>14</v>
      </c>
      <c r="F823" s="9"/>
      <c r="G823" s="9"/>
      <c r="H823" s="9"/>
      <c r="I823" s="9"/>
    </row>
    <row r="824" spans="1:9" x14ac:dyDescent="0.25">
      <c r="A824" s="7" t="s">
        <v>911</v>
      </c>
      <c r="B824" s="7" t="s">
        <v>912</v>
      </c>
      <c r="C824" s="8" t="s">
        <v>913</v>
      </c>
      <c r="D824" s="8" t="s">
        <v>102</v>
      </c>
      <c r="E824" s="9" t="s">
        <v>14</v>
      </c>
      <c r="F824" s="9"/>
      <c r="G824" s="9"/>
      <c r="H824" s="9"/>
      <c r="I824" s="9"/>
    </row>
    <row r="825" spans="1:9" x14ac:dyDescent="0.25">
      <c r="A825" s="7" t="s">
        <v>911</v>
      </c>
      <c r="B825" s="7" t="s">
        <v>912</v>
      </c>
      <c r="C825" s="8" t="s">
        <v>913</v>
      </c>
      <c r="D825" s="8" t="s">
        <v>243</v>
      </c>
      <c r="E825" s="9" t="s">
        <v>14</v>
      </c>
      <c r="F825" s="9"/>
      <c r="G825" s="9"/>
      <c r="H825" s="9"/>
      <c r="I825" s="9"/>
    </row>
    <row r="826" spans="1:9" x14ac:dyDescent="0.25">
      <c r="A826" s="7" t="s">
        <v>911</v>
      </c>
      <c r="B826" s="7" t="s">
        <v>912</v>
      </c>
      <c r="C826" s="8" t="s">
        <v>913</v>
      </c>
      <c r="D826" s="8" t="s">
        <v>530</v>
      </c>
      <c r="E826" s="9" t="s">
        <v>14</v>
      </c>
      <c r="F826" s="9"/>
      <c r="G826" s="9"/>
      <c r="H826" s="9"/>
      <c r="I826" s="9"/>
    </row>
    <row r="827" spans="1:9" x14ac:dyDescent="0.25">
      <c r="A827" s="7" t="s">
        <v>911</v>
      </c>
      <c r="B827" s="7" t="s">
        <v>914</v>
      </c>
      <c r="C827" s="7" t="s">
        <v>913</v>
      </c>
      <c r="D827" s="8" t="s">
        <v>98</v>
      </c>
      <c r="E827" s="9" t="s">
        <v>14</v>
      </c>
      <c r="F827" s="9"/>
      <c r="G827" s="9"/>
      <c r="H827" s="9"/>
      <c r="I827" s="9"/>
    </row>
    <row r="828" spans="1:9" x14ac:dyDescent="0.25">
      <c r="A828" s="7" t="s">
        <v>911</v>
      </c>
      <c r="B828" s="7" t="s">
        <v>914</v>
      </c>
      <c r="C828" s="8" t="s">
        <v>913</v>
      </c>
      <c r="D828" s="8" t="s">
        <v>97</v>
      </c>
      <c r="E828" s="9" t="s">
        <v>14</v>
      </c>
      <c r="F828" s="9"/>
      <c r="G828" s="9"/>
      <c r="H828" s="9"/>
      <c r="I828" s="9"/>
    </row>
    <row r="829" spans="1:9" x14ac:dyDescent="0.25">
      <c r="A829" s="7" t="s">
        <v>911</v>
      </c>
      <c r="B829" s="7" t="s">
        <v>914</v>
      </c>
      <c r="C829" s="8" t="s">
        <v>913</v>
      </c>
      <c r="D829" s="8" t="s">
        <v>120</v>
      </c>
      <c r="E829" s="9" t="s">
        <v>14</v>
      </c>
      <c r="F829" s="9"/>
      <c r="G829" s="9"/>
      <c r="H829" s="9"/>
      <c r="I829" s="9"/>
    </row>
    <row r="830" spans="1:9" x14ac:dyDescent="0.25">
      <c r="A830" s="7" t="s">
        <v>915</v>
      </c>
      <c r="B830" s="7" t="s">
        <v>915</v>
      </c>
      <c r="C830" s="7" t="s">
        <v>916</v>
      </c>
      <c r="D830" s="8" t="s">
        <v>13</v>
      </c>
      <c r="E830" s="9" t="s">
        <v>14</v>
      </c>
      <c r="F830" s="9"/>
      <c r="G830" s="9"/>
      <c r="H830" s="9"/>
      <c r="I830" s="9"/>
    </row>
    <row r="831" spans="1:9" x14ac:dyDescent="0.25">
      <c r="A831" s="7" t="s">
        <v>915</v>
      </c>
      <c r="B831" s="7" t="s">
        <v>915</v>
      </c>
      <c r="C831" s="7" t="s">
        <v>916</v>
      </c>
      <c r="D831" s="8" t="s">
        <v>18</v>
      </c>
      <c r="E831" s="9" t="s">
        <v>14</v>
      </c>
      <c r="F831" s="9"/>
      <c r="G831" s="9"/>
      <c r="H831" s="9"/>
      <c r="I831" s="9"/>
    </row>
    <row r="832" spans="1:9" x14ac:dyDescent="0.25">
      <c r="A832" s="7" t="s">
        <v>915</v>
      </c>
      <c r="B832" s="7" t="s">
        <v>915</v>
      </c>
      <c r="C832" s="7" t="s">
        <v>916</v>
      </c>
      <c r="D832" s="8" t="s">
        <v>22</v>
      </c>
      <c r="E832" s="9" t="s">
        <v>14</v>
      </c>
      <c r="F832" s="9"/>
      <c r="G832" s="9"/>
      <c r="H832" s="9"/>
      <c r="I832" s="9"/>
    </row>
    <row r="833" spans="1:9" x14ac:dyDescent="0.25">
      <c r="A833" s="7" t="s">
        <v>915</v>
      </c>
      <c r="B833" s="7" t="s">
        <v>915</v>
      </c>
      <c r="C833" s="8" t="s">
        <v>916</v>
      </c>
      <c r="D833" s="8" t="s">
        <v>53</v>
      </c>
      <c r="E833" s="9" t="s">
        <v>14</v>
      </c>
      <c r="F833" s="9"/>
      <c r="G833" s="9"/>
      <c r="H833" s="9"/>
      <c r="I833" s="9"/>
    </row>
    <row r="834" spans="1:9" x14ac:dyDescent="0.25">
      <c r="A834" s="7" t="s">
        <v>915</v>
      </c>
      <c r="B834" s="7" t="s">
        <v>915</v>
      </c>
      <c r="C834" s="8" t="s">
        <v>916</v>
      </c>
      <c r="D834" s="8" t="s">
        <v>60</v>
      </c>
      <c r="E834" s="9" t="s">
        <v>14</v>
      </c>
      <c r="F834" s="9"/>
      <c r="G834" s="9"/>
      <c r="H834" s="9"/>
      <c r="I834" s="9"/>
    </row>
    <row r="835" spans="1:9" x14ac:dyDescent="0.25">
      <c r="A835" s="7" t="s">
        <v>915</v>
      </c>
      <c r="B835" s="7" t="s">
        <v>917</v>
      </c>
      <c r="C835" s="8" t="s">
        <v>916</v>
      </c>
      <c r="D835" s="8" t="s">
        <v>75</v>
      </c>
      <c r="E835" s="9" t="s">
        <v>14</v>
      </c>
      <c r="F835" s="9"/>
      <c r="G835" s="9"/>
      <c r="H835" s="9"/>
      <c r="I835" s="9"/>
    </row>
    <row r="836" spans="1:9" x14ac:dyDescent="0.25">
      <c r="A836" s="7" t="s">
        <v>915</v>
      </c>
      <c r="B836" s="7" t="s">
        <v>917</v>
      </c>
      <c r="C836" s="8" t="s">
        <v>916</v>
      </c>
      <c r="D836" s="8" t="s">
        <v>530</v>
      </c>
      <c r="E836" s="9" t="s">
        <v>14</v>
      </c>
      <c r="F836" s="9"/>
      <c r="G836" s="9"/>
      <c r="H836" s="9"/>
      <c r="I836" s="9"/>
    </row>
    <row r="837" spans="1:9" x14ac:dyDescent="0.25">
      <c r="A837" s="7" t="s">
        <v>915</v>
      </c>
      <c r="B837" s="7" t="s">
        <v>917</v>
      </c>
      <c r="C837" s="8" t="s">
        <v>916</v>
      </c>
      <c r="D837" s="8" t="s">
        <v>78</v>
      </c>
      <c r="E837" s="9" t="s">
        <v>14</v>
      </c>
      <c r="F837" s="9"/>
      <c r="G837" s="9"/>
      <c r="H837" s="9"/>
      <c r="I837" s="9"/>
    </row>
    <row r="838" spans="1:9" x14ac:dyDescent="0.25">
      <c r="A838" s="7" t="s">
        <v>915</v>
      </c>
      <c r="B838" s="7" t="s">
        <v>917</v>
      </c>
      <c r="C838" s="8" t="s">
        <v>916</v>
      </c>
      <c r="D838" s="8" t="s">
        <v>134</v>
      </c>
      <c r="E838" s="9" t="s">
        <v>14</v>
      </c>
      <c r="F838" s="9"/>
      <c r="G838" s="9"/>
      <c r="H838" s="9"/>
      <c r="I838" s="9"/>
    </row>
    <row r="839" spans="1:9" x14ac:dyDescent="0.25">
      <c r="A839" s="7" t="s">
        <v>915</v>
      </c>
      <c r="B839" s="7" t="s">
        <v>918</v>
      </c>
      <c r="C839" s="7" t="s">
        <v>916</v>
      </c>
      <c r="D839" s="8" t="s">
        <v>20</v>
      </c>
      <c r="E839" s="9" t="s">
        <v>14</v>
      </c>
      <c r="F839" s="9"/>
      <c r="G839" s="9"/>
      <c r="H839" s="9"/>
      <c r="I839" s="9"/>
    </row>
    <row r="840" spans="1:9" x14ac:dyDescent="0.25">
      <c r="A840" s="7" t="s">
        <v>915</v>
      </c>
      <c r="B840" s="7" t="s">
        <v>918</v>
      </c>
      <c r="C840" s="7" t="s">
        <v>916</v>
      </c>
      <c r="D840" s="8" t="s">
        <v>34</v>
      </c>
      <c r="E840" s="9" t="s">
        <v>14</v>
      </c>
      <c r="F840" s="9"/>
      <c r="G840" s="9"/>
      <c r="H840" s="9"/>
      <c r="I840" s="9"/>
    </row>
    <row r="841" spans="1:9" x14ac:dyDescent="0.25">
      <c r="A841" s="7" t="s">
        <v>915</v>
      </c>
      <c r="B841" s="7" t="s">
        <v>919</v>
      </c>
      <c r="C841" s="7" t="s">
        <v>916</v>
      </c>
      <c r="D841" s="8" t="s">
        <v>251</v>
      </c>
      <c r="E841" s="9" t="s">
        <v>14</v>
      </c>
      <c r="F841" s="9"/>
      <c r="G841" s="9"/>
      <c r="H841" s="9"/>
      <c r="I841" s="9"/>
    </row>
    <row r="842" spans="1:9" x14ac:dyDescent="0.25">
      <c r="A842" s="7" t="s">
        <v>915</v>
      </c>
      <c r="B842" s="7" t="s">
        <v>920</v>
      </c>
      <c r="C842" s="8" t="s">
        <v>916</v>
      </c>
      <c r="D842" s="8" t="s">
        <v>73</v>
      </c>
      <c r="E842" s="9" t="s">
        <v>14</v>
      </c>
      <c r="F842" s="9"/>
      <c r="G842" s="9"/>
      <c r="H842" s="9"/>
      <c r="I842" s="9"/>
    </row>
    <row r="843" spans="1:9" x14ac:dyDescent="0.25">
      <c r="A843" s="7" t="s">
        <v>915</v>
      </c>
      <c r="B843" s="7" t="s">
        <v>920</v>
      </c>
      <c r="C843" s="8" t="s">
        <v>916</v>
      </c>
      <c r="D843" s="8" t="s">
        <v>89</v>
      </c>
      <c r="E843" s="9" t="s">
        <v>14</v>
      </c>
      <c r="F843" s="9"/>
      <c r="G843" s="9"/>
      <c r="H843" s="9"/>
      <c r="I843" s="9"/>
    </row>
    <row r="844" spans="1:9" x14ac:dyDescent="0.25">
      <c r="A844" s="7" t="s">
        <v>915</v>
      </c>
      <c r="B844" s="7" t="s">
        <v>920</v>
      </c>
      <c r="C844" s="7" t="s">
        <v>916</v>
      </c>
      <c r="D844" s="8" t="s">
        <v>24</v>
      </c>
      <c r="E844" s="9" t="s">
        <v>14</v>
      </c>
      <c r="F844" s="9"/>
      <c r="G844" s="9"/>
      <c r="H844" s="9"/>
      <c r="I844" s="9"/>
    </row>
    <row r="845" spans="1:9" x14ac:dyDescent="0.25">
      <c r="A845" s="7" t="s">
        <v>915</v>
      </c>
      <c r="B845" s="7" t="s">
        <v>920</v>
      </c>
      <c r="C845" s="7" t="s">
        <v>916</v>
      </c>
      <c r="D845" s="8" t="s">
        <v>55</v>
      </c>
      <c r="E845" s="9" t="s">
        <v>14</v>
      </c>
      <c r="F845" s="9"/>
      <c r="G845" s="9"/>
      <c r="H845" s="9"/>
      <c r="I845" s="9"/>
    </row>
    <row r="846" spans="1:9" x14ac:dyDescent="0.25">
      <c r="A846" s="7" t="s">
        <v>915</v>
      </c>
      <c r="B846" s="7" t="s">
        <v>921</v>
      </c>
      <c r="C846" s="7" t="s">
        <v>916</v>
      </c>
      <c r="D846" s="8" t="s">
        <v>262</v>
      </c>
      <c r="E846" s="9" t="s">
        <v>14</v>
      </c>
      <c r="F846" s="9"/>
      <c r="G846" s="9"/>
      <c r="H846" s="9"/>
      <c r="I846" s="9"/>
    </row>
    <row r="847" spans="1:9" x14ac:dyDescent="0.25">
      <c r="A847" s="7" t="s">
        <v>915</v>
      </c>
      <c r="B847" s="7" t="s">
        <v>921</v>
      </c>
      <c r="C847" s="7" t="s">
        <v>916</v>
      </c>
      <c r="D847" s="8" t="s">
        <v>81</v>
      </c>
      <c r="E847" s="9" t="s">
        <v>14</v>
      </c>
      <c r="F847" s="9"/>
      <c r="G847" s="9"/>
      <c r="H847" s="9"/>
      <c r="I847" s="9"/>
    </row>
    <row r="848" spans="1:9" x14ac:dyDescent="0.25">
      <c r="A848" s="7" t="s">
        <v>915</v>
      </c>
      <c r="B848" s="7" t="s">
        <v>921</v>
      </c>
      <c r="C848" s="7" t="s">
        <v>916</v>
      </c>
      <c r="D848" s="8" t="s">
        <v>84</v>
      </c>
      <c r="E848" s="9" t="s">
        <v>14</v>
      </c>
      <c r="F848" s="9"/>
      <c r="G848" s="9"/>
      <c r="H848" s="9"/>
      <c r="I848" s="9"/>
    </row>
    <row r="849" spans="1:9" x14ac:dyDescent="0.25">
      <c r="A849" s="7" t="s">
        <v>915</v>
      </c>
      <c r="B849" s="7" t="s">
        <v>922</v>
      </c>
      <c r="C849" s="7" t="s">
        <v>916</v>
      </c>
      <c r="D849" s="8" t="s">
        <v>120</v>
      </c>
      <c r="E849" s="9" t="s">
        <v>14</v>
      </c>
      <c r="F849" s="9"/>
      <c r="G849" s="9"/>
      <c r="H849" s="9"/>
      <c r="I849" s="9"/>
    </row>
    <row r="850" spans="1:9" x14ac:dyDescent="0.25">
      <c r="A850" s="7" t="s">
        <v>915</v>
      </c>
      <c r="B850" s="7" t="s">
        <v>922</v>
      </c>
      <c r="C850" s="8" t="s">
        <v>916</v>
      </c>
      <c r="D850" s="8" t="s">
        <v>113</v>
      </c>
      <c r="E850" s="9" t="s">
        <v>14</v>
      </c>
      <c r="F850" s="9"/>
      <c r="G850" s="9"/>
      <c r="H850" s="9"/>
      <c r="I850" s="9"/>
    </row>
    <row r="851" spans="1:9" x14ac:dyDescent="0.25">
      <c r="A851" s="7" t="s">
        <v>915</v>
      </c>
      <c r="B851" s="7" t="s">
        <v>923</v>
      </c>
      <c r="C851" s="7" t="s">
        <v>916</v>
      </c>
      <c r="D851" s="8" t="s">
        <v>43</v>
      </c>
      <c r="E851" s="9" t="s">
        <v>14</v>
      </c>
      <c r="F851" s="9"/>
      <c r="G851" s="9"/>
      <c r="H851" s="9"/>
      <c r="I851" s="9"/>
    </row>
    <row r="852" spans="1:9" x14ac:dyDescent="0.25">
      <c r="A852" s="7" t="s">
        <v>915</v>
      </c>
      <c r="B852" s="7" t="s">
        <v>924</v>
      </c>
      <c r="C852" s="7" t="s">
        <v>916</v>
      </c>
      <c r="D852" s="8" t="s">
        <v>106</v>
      </c>
      <c r="E852" s="9" t="s">
        <v>14</v>
      </c>
      <c r="F852" s="9"/>
      <c r="G852" s="9"/>
      <c r="H852" s="9"/>
      <c r="I852" s="9"/>
    </row>
    <row r="853" spans="1:9" x14ac:dyDescent="0.25">
      <c r="A853" s="7" t="s">
        <v>915</v>
      </c>
      <c r="B853" s="7" t="s">
        <v>925</v>
      </c>
      <c r="C853" s="8" t="s">
        <v>916</v>
      </c>
      <c r="D853" s="8" t="s">
        <v>166</v>
      </c>
      <c r="E853" s="9" t="s">
        <v>14</v>
      </c>
      <c r="F853" s="9"/>
      <c r="G853" s="9"/>
      <c r="H853" s="9"/>
      <c r="I853" s="9"/>
    </row>
    <row r="854" spans="1:9" x14ac:dyDescent="0.25">
      <c r="A854" s="7" t="s">
        <v>915</v>
      </c>
      <c r="B854" s="7" t="s">
        <v>925</v>
      </c>
      <c r="C854" s="8" t="s">
        <v>916</v>
      </c>
      <c r="D854" s="8" t="s">
        <v>112</v>
      </c>
      <c r="E854" s="9" t="s">
        <v>14</v>
      </c>
      <c r="F854" s="9"/>
      <c r="G854" s="9"/>
      <c r="H854" s="9"/>
      <c r="I854" s="9"/>
    </row>
    <row r="855" spans="1:9" x14ac:dyDescent="0.25">
      <c r="A855" s="7" t="s">
        <v>926</v>
      </c>
      <c r="B855" s="7" t="s">
        <v>927</v>
      </c>
      <c r="C855" s="8" t="s">
        <v>928</v>
      </c>
      <c r="D855" s="8" t="s">
        <v>106</v>
      </c>
      <c r="E855" s="9" t="s">
        <v>14</v>
      </c>
      <c r="F855" s="9"/>
      <c r="G855" s="9"/>
      <c r="H855" s="9"/>
      <c r="I855" s="9"/>
    </row>
    <row r="856" spans="1:9" x14ac:dyDescent="0.25">
      <c r="A856" s="7" t="s">
        <v>926</v>
      </c>
      <c r="B856" s="7" t="s">
        <v>929</v>
      </c>
      <c r="C856" s="8" t="s">
        <v>928</v>
      </c>
      <c r="D856" s="8" t="s">
        <v>102</v>
      </c>
      <c r="E856" s="9" t="s">
        <v>14</v>
      </c>
      <c r="F856" s="9"/>
      <c r="G856" s="9"/>
      <c r="H856" s="9"/>
      <c r="I856" s="9"/>
    </row>
    <row r="857" spans="1:9" x14ac:dyDescent="0.25">
      <c r="A857" s="7" t="s">
        <v>930</v>
      </c>
      <c r="B857" s="7" t="s">
        <v>930</v>
      </c>
      <c r="C857" s="8" t="s">
        <v>931</v>
      </c>
      <c r="D857" s="8" t="s">
        <v>13</v>
      </c>
      <c r="E857" s="9" t="s">
        <v>14</v>
      </c>
      <c r="F857" s="9"/>
      <c r="G857" s="9"/>
      <c r="H857" s="9"/>
      <c r="I857" s="9"/>
    </row>
    <row r="858" spans="1:9" x14ac:dyDescent="0.25">
      <c r="A858" s="7" t="s">
        <v>930</v>
      </c>
      <c r="B858" s="7" t="s">
        <v>932</v>
      </c>
      <c r="C858" s="8" t="s">
        <v>931</v>
      </c>
      <c r="D858" s="8" t="s">
        <v>43</v>
      </c>
      <c r="E858" s="9" t="s">
        <v>14</v>
      </c>
      <c r="F858" s="9"/>
      <c r="G858" s="9"/>
      <c r="H858" s="9"/>
      <c r="I858" s="9"/>
    </row>
    <row r="859" spans="1:9" x14ac:dyDescent="0.25">
      <c r="A859" s="7" t="s">
        <v>933</v>
      </c>
      <c r="B859" s="7" t="s">
        <v>926</v>
      </c>
      <c r="C859" s="7" t="s">
        <v>928</v>
      </c>
      <c r="D859" s="8" t="s">
        <v>52</v>
      </c>
      <c r="E859" s="9" t="s">
        <v>14</v>
      </c>
      <c r="F859" s="9"/>
      <c r="G859" s="9"/>
      <c r="H859" s="9"/>
      <c r="I859" s="9"/>
    </row>
    <row r="860" spans="1:9" x14ac:dyDescent="0.25">
      <c r="A860" s="7" t="s">
        <v>933</v>
      </c>
      <c r="B860" s="7" t="s">
        <v>934</v>
      </c>
      <c r="C860" s="8" t="s">
        <v>928</v>
      </c>
      <c r="D860" s="8" t="s">
        <v>34</v>
      </c>
      <c r="E860" s="9" t="s">
        <v>14</v>
      </c>
      <c r="F860" s="9"/>
      <c r="G860" s="9"/>
      <c r="H860" s="9"/>
      <c r="I860" s="9"/>
    </row>
    <row r="861" spans="1:9" x14ac:dyDescent="0.25">
      <c r="A861" s="7" t="s">
        <v>935</v>
      </c>
      <c r="B861" s="7" t="s">
        <v>935</v>
      </c>
      <c r="C861" s="8" t="s">
        <v>936</v>
      </c>
      <c r="D861" s="8" t="s">
        <v>13</v>
      </c>
      <c r="E861" s="9" t="s">
        <v>14</v>
      </c>
      <c r="F861" s="9"/>
      <c r="G861" s="9"/>
      <c r="H861" s="9"/>
      <c r="I861" s="9"/>
    </row>
    <row r="862" spans="1:9" x14ac:dyDescent="0.25">
      <c r="A862" s="7" t="s">
        <v>935</v>
      </c>
      <c r="B862" s="7" t="s">
        <v>937</v>
      </c>
      <c r="C862" s="7" t="s">
        <v>936</v>
      </c>
      <c r="D862" s="8" t="s">
        <v>43</v>
      </c>
      <c r="E862" s="9" t="s">
        <v>14</v>
      </c>
      <c r="F862" s="9"/>
      <c r="G862" s="9"/>
      <c r="H862" s="9"/>
      <c r="I862" s="9"/>
    </row>
    <row r="863" spans="1:9" x14ac:dyDescent="0.25">
      <c r="A863" s="7" t="s">
        <v>938</v>
      </c>
      <c r="B863" s="7" t="s">
        <v>939</v>
      </c>
      <c r="C863" s="8" t="s">
        <v>940</v>
      </c>
      <c r="D863" s="8" t="s">
        <v>13</v>
      </c>
      <c r="E863" s="9" t="s">
        <v>14</v>
      </c>
      <c r="F863" s="9"/>
      <c r="G863" s="9"/>
      <c r="H863" s="9"/>
      <c r="I863" s="9"/>
    </row>
    <row r="864" spans="1:9" x14ac:dyDescent="0.25">
      <c r="A864" s="7" t="s">
        <v>938</v>
      </c>
      <c r="B864" s="7" t="s">
        <v>941</v>
      </c>
      <c r="C864" s="8" t="s">
        <v>940</v>
      </c>
      <c r="D864" s="8" t="s">
        <v>20</v>
      </c>
      <c r="E864" s="9" t="s">
        <v>14</v>
      </c>
      <c r="F864" s="9"/>
      <c r="G864" s="9"/>
      <c r="H864" s="9"/>
      <c r="I864" s="9"/>
    </row>
    <row r="865" spans="1:9" x14ac:dyDescent="0.25">
      <c r="A865" s="7" t="s">
        <v>938</v>
      </c>
      <c r="B865" s="7" t="s">
        <v>942</v>
      </c>
      <c r="C865" s="8" t="s">
        <v>940</v>
      </c>
      <c r="D865" s="8" t="s">
        <v>22</v>
      </c>
      <c r="E865" s="9" t="s">
        <v>14</v>
      </c>
      <c r="F865" s="9"/>
      <c r="G865" s="9"/>
      <c r="H865" s="9"/>
      <c r="I865" s="9"/>
    </row>
    <row r="866" spans="1:9" x14ac:dyDescent="0.25">
      <c r="A866" s="7" t="s">
        <v>938</v>
      </c>
      <c r="B866" s="7" t="s">
        <v>943</v>
      </c>
      <c r="C866" s="8" t="s">
        <v>940</v>
      </c>
      <c r="D866" s="8" t="s">
        <v>24</v>
      </c>
      <c r="E866" s="9" t="s">
        <v>14</v>
      </c>
      <c r="F866" s="9"/>
      <c r="G866" s="9"/>
      <c r="H866" s="9"/>
      <c r="I866" s="9"/>
    </row>
    <row r="867" spans="1:9" x14ac:dyDescent="0.25">
      <c r="A867" s="7" t="s">
        <v>944</v>
      </c>
      <c r="B867" s="7" t="s">
        <v>944</v>
      </c>
      <c r="C867" s="7" t="s">
        <v>945</v>
      </c>
      <c r="D867" s="8" t="s">
        <v>18</v>
      </c>
      <c r="E867" s="9" t="s">
        <v>14</v>
      </c>
      <c r="F867" s="9"/>
      <c r="G867" s="9"/>
      <c r="H867" s="9"/>
      <c r="I867" s="9"/>
    </row>
    <row r="868" spans="1:9" x14ac:dyDescent="0.25">
      <c r="A868" s="7" t="s">
        <v>944</v>
      </c>
      <c r="B868" s="7" t="s">
        <v>944</v>
      </c>
      <c r="C868" s="7" t="s">
        <v>945</v>
      </c>
      <c r="D868" s="8" t="s">
        <v>16</v>
      </c>
      <c r="E868" s="9" t="s">
        <v>14</v>
      </c>
      <c r="F868" s="9"/>
      <c r="G868" s="9"/>
      <c r="H868" s="9"/>
      <c r="I868" s="9"/>
    </row>
    <row r="869" spans="1:9" x14ac:dyDescent="0.25">
      <c r="A869" s="7" t="s">
        <v>944</v>
      </c>
      <c r="B869" s="7" t="s">
        <v>944</v>
      </c>
      <c r="C869" s="7" t="s">
        <v>945</v>
      </c>
      <c r="D869" s="8" t="s">
        <v>20</v>
      </c>
      <c r="E869" s="9" t="s">
        <v>14</v>
      </c>
      <c r="F869" s="9"/>
      <c r="G869" s="9"/>
      <c r="H869" s="9"/>
      <c r="I869" s="9"/>
    </row>
    <row r="870" spans="1:9" x14ac:dyDescent="0.25">
      <c r="A870" s="7" t="s">
        <v>944</v>
      </c>
      <c r="B870" s="7" t="s">
        <v>944</v>
      </c>
      <c r="C870" s="7" t="s">
        <v>945</v>
      </c>
      <c r="D870" s="8" t="s">
        <v>24</v>
      </c>
      <c r="E870" s="9" t="s">
        <v>14</v>
      </c>
      <c r="F870" s="9"/>
      <c r="G870" s="9"/>
      <c r="H870" s="9"/>
      <c r="I870" s="9"/>
    </row>
    <row r="871" spans="1:9" x14ac:dyDescent="0.25">
      <c r="A871" s="7" t="s">
        <v>944</v>
      </c>
      <c r="B871" s="7" t="s">
        <v>946</v>
      </c>
      <c r="C871" s="8" t="s">
        <v>945</v>
      </c>
      <c r="D871" s="8" t="s">
        <v>106</v>
      </c>
      <c r="E871" s="9" t="s">
        <v>14</v>
      </c>
      <c r="F871" s="9"/>
      <c r="G871" s="9"/>
      <c r="H871" s="9"/>
      <c r="I871" s="9"/>
    </row>
    <row r="872" spans="1:9" x14ac:dyDescent="0.25">
      <c r="A872" s="7" t="s">
        <v>944</v>
      </c>
      <c r="B872" s="7" t="s">
        <v>946</v>
      </c>
      <c r="C872" s="8" t="s">
        <v>945</v>
      </c>
      <c r="D872" s="8" t="s">
        <v>78</v>
      </c>
      <c r="E872" s="9" t="s">
        <v>14</v>
      </c>
      <c r="F872" s="9"/>
      <c r="G872" s="9"/>
      <c r="H872" s="9"/>
      <c r="I872" s="9"/>
    </row>
    <row r="873" spans="1:9" x14ac:dyDescent="0.25">
      <c r="A873" s="7" t="s">
        <v>944</v>
      </c>
      <c r="B873" s="7" t="s">
        <v>946</v>
      </c>
      <c r="C873" s="8" t="s">
        <v>945</v>
      </c>
      <c r="D873" s="8" t="s">
        <v>134</v>
      </c>
      <c r="E873" s="9" t="s">
        <v>14</v>
      </c>
      <c r="F873" s="9"/>
      <c r="G873" s="9"/>
      <c r="H873" s="9"/>
      <c r="I873" s="9"/>
    </row>
    <row r="874" spans="1:9" x14ac:dyDescent="0.25">
      <c r="A874" s="7" t="s">
        <v>944</v>
      </c>
      <c r="B874" s="7" t="s">
        <v>946</v>
      </c>
      <c r="C874" s="8" t="s">
        <v>945</v>
      </c>
      <c r="D874" s="8" t="s">
        <v>75</v>
      </c>
      <c r="E874" s="9" t="s">
        <v>14</v>
      </c>
      <c r="F874" s="9"/>
      <c r="G874" s="9"/>
      <c r="H874" s="9"/>
      <c r="I874" s="9"/>
    </row>
    <row r="875" spans="1:9" x14ac:dyDescent="0.25">
      <c r="A875" s="7" t="s">
        <v>944</v>
      </c>
      <c r="B875" s="7" t="s">
        <v>947</v>
      </c>
      <c r="C875" s="8" t="s">
        <v>945</v>
      </c>
      <c r="D875" s="8" t="s">
        <v>52</v>
      </c>
      <c r="E875" s="9" t="s">
        <v>14</v>
      </c>
      <c r="F875" s="9"/>
      <c r="G875" s="9"/>
      <c r="H875" s="9"/>
      <c r="I875" s="9"/>
    </row>
    <row r="876" spans="1:9" x14ac:dyDescent="0.25">
      <c r="A876" s="7" t="s">
        <v>944</v>
      </c>
      <c r="B876" s="7" t="s">
        <v>948</v>
      </c>
      <c r="C876" s="8" t="s">
        <v>945</v>
      </c>
      <c r="D876" s="8" t="s">
        <v>118</v>
      </c>
      <c r="E876" s="9" t="s">
        <v>14</v>
      </c>
      <c r="F876" s="9"/>
      <c r="G876" s="9"/>
      <c r="H876" s="9"/>
      <c r="I876" s="9"/>
    </row>
    <row r="877" spans="1:9" x14ac:dyDescent="0.25">
      <c r="A877" s="7" t="s">
        <v>944</v>
      </c>
      <c r="B877" s="7" t="s">
        <v>949</v>
      </c>
      <c r="C877" s="8" t="s">
        <v>945</v>
      </c>
      <c r="D877" s="8" t="s">
        <v>48</v>
      </c>
      <c r="E877" s="9" t="s">
        <v>14</v>
      </c>
      <c r="F877" s="9"/>
      <c r="G877" s="9"/>
      <c r="H877" s="9"/>
      <c r="I877" s="9"/>
    </row>
    <row r="878" spans="1:9" x14ac:dyDescent="0.25">
      <c r="A878" s="7" t="s">
        <v>944</v>
      </c>
      <c r="B878" s="7" t="s">
        <v>950</v>
      </c>
      <c r="C878" s="8" t="s">
        <v>945</v>
      </c>
      <c r="D878" s="8" t="s">
        <v>530</v>
      </c>
      <c r="E878" s="9" t="s">
        <v>14</v>
      </c>
      <c r="F878" s="9"/>
      <c r="G878" s="9"/>
      <c r="H878" s="9"/>
      <c r="I878" s="9"/>
    </row>
    <row r="879" spans="1:9" x14ac:dyDescent="0.25">
      <c r="A879" s="7" t="s">
        <v>951</v>
      </c>
      <c r="B879" s="7" t="s">
        <v>951</v>
      </c>
      <c r="C879" s="7" t="s">
        <v>952</v>
      </c>
      <c r="D879" s="8" t="s">
        <v>13</v>
      </c>
      <c r="E879" s="9" t="s">
        <v>14</v>
      </c>
      <c r="F879" s="9"/>
      <c r="G879" s="9"/>
      <c r="H879" s="9"/>
      <c r="I879" s="9"/>
    </row>
    <row r="880" spans="1:9" x14ac:dyDescent="0.25">
      <c r="A880" s="7" t="s">
        <v>951</v>
      </c>
      <c r="B880" s="7" t="s">
        <v>951</v>
      </c>
      <c r="C880" s="7" t="s">
        <v>952</v>
      </c>
      <c r="D880" s="8" t="s">
        <v>43</v>
      </c>
      <c r="E880" s="9" t="s">
        <v>14</v>
      </c>
      <c r="F880" s="9"/>
      <c r="G880" s="9"/>
      <c r="H880" s="9"/>
      <c r="I880" s="9"/>
    </row>
    <row r="881" spans="1:9" x14ac:dyDescent="0.25">
      <c r="A881" s="7" t="s">
        <v>951</v>
      </c>
      <c r="B881" s="7" t="s">
        <v>951</v>
      </c>
      <c r="C881" s="7" t="s">
        <v>952</v>
      </c>
      <c r="D881" s="8" t="s">
        <v>60</v>
      </c>
      <c r="E881" s="9" t="s">
        <v>14</v>
      </c>
      <c r="F881" s="9"/>
      <c r="G881" s="9"/>
      <c r="H881" s="9"/>
      <c r="I881" s="9"/>
    </row>
    <row r="882" spans="1:9" x14ac:dyDescent="0.25">
      <c r="A882" s="7" t="s">
        <v>951</v>
      </c>
      <c r="B882" s="7" t="s">
        <v>951</v>
      </c>
      <c r="C882" s="8" t="s">
        <v>952</v>
      </c>
      <c r="D882" s="8" t="s">
        <v>53</v>
      </c>
      <c r="E882" s="9" t="s">
        <v>14</v>
      </c>
      <c r="F882" s="9"/>
      <c r="G882" s="9"/>
      <c r="H882" s="9"/>
      <c r="I882" s="9"/>
    </row>
    <row r="883" spans="1:9" x14ac:dyDescent="0.25">
      <c r="A883" s="7" t="s">
        <v>951</v>
      </c>
      <c r="B883" s="7" t="s">
        <v>953</v>
      </c>
      <c r="C883" s="8" t="s">
        <v>952</v>
      </c>
      <c r="D883" s="8" t="s">
        <v>106</v>
      </c>
      <c r="E883" s="9" t="s">
        <v>14</v>
      </c>
      <c r="F883" s="9"/>
      <c r="G883" s="9"/>
      <c r="H883" s="9"/>
      <c r="I883" s="9"/>
    </row>
    <row r="884" spans="1:9" x14ac:dyDescent="0.25">
      <c r="A884" s="7" t="s">
        <v>951</v>
      </c>
      <c r="B884" s="7" t="s">
        <v>953</v>
      </c>
      <c r="C884" s="8" t="s">
        <v>952</v>
      </c>
      <c r="D884" s="8" t="s">
        <v>134</v>
      </c>
      <c r="E884" s="9" t="s">
        <v>14</v>
      </c>
      <c r="F884" s="9"/>
      <c r="G884" s="9"/>
      <c r="H884" s="9"/>
      <c r="I884" s="9"/>
    </row>
    <row r="885" spans="1:9" x14ac:dyDescent="0.25">
      <c r="A885" s="7" t="s">
        <v>951</v>
      </c>
      <c r="B885" s="7" t="s">
        <v>953</v>
      </c>
      <c r="C885" s="8" t="s">
        <v>952</v>
      </c>
      <c r="D885" s="8" t="s">
        <v>75</v>
      </c>
      <c r="E885" s="9" t="s">
        <v>14</v>
      </c>
      <c r="F885" s="9"/>
      <c r="G885" s="9"/>
      <c r="H885" s="9"/>
      <c r="I885" s="9"/>
    </row>
    <row r="886" spans="1:9" x14ac:dyDescent="0.25">
      <c r="A886" s="7" t="s">
        <v>951</v>
      </c>
      <c r="B886" s="7" t="s">
        <v>953</v>
      </c>
      <c r="C886" s="8" t="s">
        <v>952</v>
      </c>
      <c r="D886" s="8" t="s">
        <v>251</v>
      </c>
      <c r="E886" s="9" t="s">
        <v>14</v>
      </c>
      <c r="F886" s="9"/>
      <c r="G886" s="9"/>
      <c r="H886" s="9"/>
      <c r="I886" s="9"/>
    </row>
    <row r="887" spans="1:9" x14ac:dyDescent="0.25">
      <c r="A887" s="7" t="s">
        <v>951</v>
      </c>
      <c r="B887" s="7" t="s">
        <v>954</v>
      </c>
      <c r="C887" s="8" t="s">
        <v>952</v>
      </c>
      <c r="D887" s="8" t="s">
        <v>24</v>
      </c>
      <c r="E887" s="9" t="s">
        <v>14</v>
      </c>
      <c r="F887" s="9"/>
      <c r="G887" s="9"/>
      <c r="H887" s="9"/>
      <c r="I887" s="9"/>
    </row>
    <row r="888" spans="1:9" x14ac:dyDescent="0.25">
      <c r="A888" s="7" t="s">
        <v>951</v>
      </c>
      <c r="B888" s="7" t="s">
        <v>955</v>
      </c>
      <c r="C888" s="7" t="s">
        <v>952</v>
      </c>
      <c r="D888" s="8" t="s">
        <v>78</v>
      </c>
      <c r="E888" s="9" t="s">
        <v>14</v>
      </c>
      <c r="F888" s="9"/>
      <c r="G888" s="9"/>
      <c r="H888" s="9"/>
      <c r="I888" s="9"/>
    </row>
    <row r="889" spans="1:9" x14ac:dyDescent="0.25">
      <c r="A889" s="7" t="s">
        <v>951</v>
      </c>
      <c r="B889" s="7" t="s">
        <v>956</v>
      </c>
      <c r="C889" s="7" t="s">
        <v>952</v>
      </c>
      <c r="D889" s="8" t="s">
        <v>18</v>
      </c>
      <c r="E889" s="9" t="s">
        <v>14</v>
      </c>
      <c r="F889" s="9"/>
      <c r="G889" s="9"/>
      <c r="H889" s="9"/>
      <c r="I889" s="9"/>
    </row>
    <row r="890" spans="1:9" x14ac:dyDescent="0.25">
      <c r="A890" s="7" t="s">
        <v>951</v>
      </c>
      <c r="B890" s="7" t="s">
        <v>957</v>
      </c>
      <c r="C890" s="7" t="s">
        <v>952</v>
      </c>
      <c r="D890" s="8" t="s">
        <v>530</v>
      </c>
      <c r="E890" s="9" t="s">
        <v>14</v>
      </c>
      <c r="F890" s="9"/>
      <c r="G890" s="9"/>
      <c r="H890" s="9"/>
      <c r="I890" s="9"/>
    </row>
    <row r="891" spans="1:9" x14ac:dyDescent="0.25">
      <c r="A891" s="7" t="s">
        <v>958</v>
      </c>
      <c r="B891" s="7" t="s">
        <v>958</v>
      </c>
      <c r="C891" s="7" t="s">
        <v>959</v>
      </c>
      <c r="D891" s="8" t="s">
        <v>13</v>
      </c>
      <c r="E891" s="9" t="s">
        <v>14</v>
      </c>
      <c r="F891" s="9"/>
      <c r="G891" s="9"/>
      <c r="H891" s="9"/>
      <c r="I891" s="9"/>
    </row>
    <row r="892" spans="1:9" x14ac:dyDescent="0.25">
      <c r="A892" s="7" t="s">
        <v>958</v>
      </c>
      <c r="B892" s="7" t="s">
        <v>958</v>
      </c>
      <c r="C892" s="7" t="s">
        <v>959</v>
      </c>
      <c r="D892" s="8" t="s">
        <v>44</v>
      </c>
      <c r="E892" s="9" t="s">
        <v>14</v>
      </c>
      <c r="F892" s="9"/>
      <c r="G892" s="9"/>
      <c r="H892" s="9"/>
      <c r="I892" s="9"/>
    </row>
    <row r="893" spans="1:9" x14ac:dyDescent="0.25">
      <c r="A893" s="7" t="s">
        <v>958</v>
      </c>
      <c r="B893" s="7" t="s">
        <v>958</v>
      </c>
      <c r="C893" s="7" t="s">
        <v>959</v>
      </c>
      <c r="D893" s="8" t="s">
        <v>16</v>
      </c>
      <c r="E893" s="9" t="s">
        <v>14</v>
      </c>
      <c r="F893" s="9"/>
      <c r="G893" s="9"/>
      <c r="H893" s="9"/>
      <c r="I893" s="9"/>
    </row>
    <row r="894" spans="1:9" x14ac:dyDescent="0.25">
      <c r="A894" s="7" t="s">
        <v>958</v>
      </c>
      <c r="B894" s="7" t="s">
        <v>958</v>
      </c>
      <c r="C894" s="7" t="s">
        <v>959</v>
      </c>
      <c r="D894" s="8" t="s">
        <v>24</v>
      </c>
      <c r="E894" s="9" t="s">
        <v>14</v>
      </c>
      <c r="F894" s="9"/>
      <c r="G894" s="9"/>
      <c r="H894" s="9"/>
      <c r="I894" s="9"/>
    </row>
    <row r="895" spans="1:9" x14ac:dyDescent="0.25">
      <c r="A895" s="7" t="s">
        <v>958</v>
      </c>
      <c r="B895" s="7" t="s">
        <v>960</v>
      </c>
      <c r="C895" s="7" t="s">
        <v>959</v>
      </c>
      <c r="D895" s="8" t="s">
        <v>29</v>
      </c>
      <c r="E895" s="9" t="s">
        <v>14</v>
      </c>
      <c r="F895" s="9"/>
      <c r="G895" s="9"/>
      <c r="H895" s="9"/>
      <c r="I895" s="9"/>
    </row>
    <row r="896" spans="1:9" x14ac:dyDescent="0.25">
      <c r="A896" s="7" t="s">
        <v>958</v>
      </c>
      <c r="B896" s="7" t="s">
        <v>960</v>
      </c>
      <c r="C896" s="8" t="s">
        <v>959</v>
      </c>
      <c r="D896" s="8" t="s">
        <v>36</v>
      </c>
      <c r="E896" s="9" t="s">
        <v>14</v>
      </c>
      <c r="F896" s="9"/>
      <c r="G896" s="9"/>
      <c r="H896" s="9"/>
      <c r="I896" s="9"/>
    </row>
    <row r="897" spans="1:9" x14ac:dyDescent="0.25">
      <c r="A897" s="7" t="s">
        <v>958</v>
      </c>
      <c r="B897" s="7" t="s">
        <v>960</v>
      </c>
      <c r="C897" s="8" t="s">
        <v>959</v>
      </c>
      <c r="D897" s="8" t="s">
        <v>195</v>
      </c>
      <c r="E897" s="9" t="s">
        <v>14</v>
      </c>
      <c r="F897" s="9"/>
      <c r="G897" s="9"/>
      <c r="H897" s="9"/>
      <c r="I897" s="9"/>
    </row>
    <row r="898" spans="1:9" x14ac:dyDescent="0.25">
      <c r="A898" s="7" t="s">
        <v>958</v>
      </c>
      <c r="B898" s="7" t="s">
        <v>960</v>
      </c>
      <c r="C898" s="8" t="s">
        <v>959</v>
      </c>
      <c r="D898" s="8" t="s">
        <v>650</v>
      </c>
      <c r="E898" s="9" t="s">
        <v>14</v>
      </c>
      <c r="F898" s="9"/>
      <c r="G898" s="9"/>
      <c r="H898" s="9"/>
      <c r="I898" s="9"/>
    </row>
    <row r="899" spans="1:9" x14ac:dyDescent="0.25">
      <c r="A899" s="7" t="s">
        <v>958</v>
      </c>
      <c r="B899" s="7" t="s">
        <v>961</v>
      </c>
      <c r="C899" s="8" t="s">
        <v>959</v>
      </c>
      <c r="D899" s="8" t="s">
        <v>22</v>
      </c>
      <c r="E899" s="9" t="s">
        <v>14</v>
      </c>
      <c r="F899" s="9"/>
      <c r="G899" s="9"/>
      <c r="H899" s="9"/>
      <c r="I899" s="9"/>
    </row>
    <row r="900" spans="1:9" x14ac:dyDescent="0.25">
      <c r="A900" s="7" t="s">
        <v>958</v>
      </c>
      <c r="B900" s="7" t="s">
        <v>962</v>
      </c>
      <c r="C900" s="8" t="s">
        <v>959</v>
      </c>
      <c r="D900" s="8" t="s">
        <v>122</v>
      </c>
      <c r="E900" s="9" t="s">
        <v>14</v>
      </c>
      <c r="F900" s="9"/>
      <c r="G900" s="9"/>
      <c r="H900" s="9"/>
      <c r="I900" s="9"/>
    </row>
    <row r="901" spans="1:9" x14ac:dyDescent="0.25">
      <c r="A901" s="7" t="s">
        <v>958</v>
      </c>
      <c r="B901" s="7" t="s">
        <v>963</v>
      </c>
      <c r="C901" s="8" t="s">
        <v>959</v>
      </c>
      <c r="D901" s="8" t="s">
        <v>48</v>
      </c>
      <c r="E901" s="9" t="s">
        <v>14</v>
      </c>
      <c r="F901" s="9"/>
      <c r="G901" s="9"/>
      <c r="H901" s="9"/>
      <c r="I901" s="9"/>
    </row>
    <row r="902" spans="1:9" x14ac:dyDescent="0.25">
      <c r="A902" s="7" t="s">
        <v>958</v>
      </c>
      <c r="B902" s="7" t="s">
        <v>964</v>
      </c>
      <c r="C902" s="8" t="s">
        <v>959</v>
      </c>
      <c r="D902" s="8" t="s">
        <v>46</v>
      </c>
      <c r="E902" s="9" t="s">
        <v>14</v>
      </c>
      <c r="F902" s="9"/>
      <c r="G902" s="9"/>
      <c r="H902" s="9"/>
      <c r="I902" s="9"/>
    </row>
    <row r="903" spans="1:9" x14ac:dyDescent="0.25">
      <c r="A903" s="7" t="s">
        <v>965</v>
      </c>
      <c r="B903" s="7" t="s">
        <v>965</v>
      </c>
      <c r="C903" s="8" t="s">
        <v>966</v>
      </c>
      <c r="D903" s="8" t="s">
        <v>52</v>
      </c>
      <c r="E903" s="9" t="s">
        <v>14</v>
      </c>
      <c r="F903" s="9"/>
      <c r="G903" s="9"/>
      <c r="H903" s="9"/>
      <c r="I903" s="9"/>
    </row>
    <row r="904" spans="1:9" x14ac:dyDescent="0.25">
      <c r="A904" s="7" t="s">
        <v>965</v>
      </c>
      <c r="B904" s="7" t="s">
        <v>965</v>
      </c>
      <c r="C904" s="8" t="s">
        <v>966</v>
      </c>
      <c r="D904" s="8" t="s">
        <v>43</v>
      </c>
      <c r="E904" s="9" t="s">
        <v>14</v>
      </c>
      <c r="F904" s="9"/>
      <c r="G904" s="9"/>
      <c r="H904" s="9"/>
      <c r="I904" s="9"/>
    </row>
    <row r="905" spans="1:9" x14ac:dyDescent="0.25">
      <c r="A905" s="7" t="s">
        <v>965</v>
      </c>
      <c r="B905" s="7" t="s">
        <v>965</v>
      </c>
      <c r="C905" s="8" t="s">
        <v>966</v>
      </c>
      <c r="D905" s="8" t="s">
        <v>18</v>
      </c>
      <c r="E905" s="9" t="s">
        <v>14</v>
      </c>
      <c r="F905" s="9"/>
      <c r="G905" s="9"/>
      <c r="H905" s="9"/>
      <c r="I905" s="9"/>
    </row>
    <row r="906" spans="1:9" x14ac:dyDescent="0.25">
      <c r="A906" s="7" t="s">
        <v>965</v>
      </c>
      <c r="B906" s="7" t="s">
        <v>965</v>
      </c>
      <c r="C906" s="8" t="s">
        <v>966</v>
      </c>
      <c r="D906" s="8" t="s">
        <v>22</v>
      </c>
      <c r="E906" s="9" t="s">
        <v>14</v>
      </c>
      <c r="F906" s="9"/>
      <c r="G906" s="9"/>
      <c r="H906" s="9"/>
      <c r="I906" s="9"/>
    </row>
    <row r="907" spans="1:9" x14ac:dyDescent="0.25">
      <c r="A907" s="7" t="s">
        <v>965</v>
      </c>
      <c r="B907" s="7" t="s">
        <v>967</v>
      </c>
      <c r="C907" s="8" t="s">
        <v>966</v>
      </c>
      <c r="D907" s="8" t="s">
        <v>251</v>
      </c>
      <c r="E907" s="9" t="s">
        <v>14</v>
      </c>
      <c r="F907" s="9"/>
      <c r="G907" s="9"/>
      <c r="H907" s="9"/>
      <c r="I907" s="9"/>
    </row>
    <row r="908" spans="1:9" x14ac:dyDescent="0.25">
      <c r="A908" s="7" t="s">
        <v>965</v>
      </c>
      <c r="B908" s="7" t="s">
        <v>967</v>
      </c>
      <c r="C908" s="8" t="s">
        <v>966</v>
      </c>
      <c r="D908" s="8" t="s">
        <v>81</v>
      </c>
      <c r="E908" s="9" t="s">
        <v>14</v>
      </c>
      <c r="F908" s="9"/>
      <c r="G908" s="9"/>
      <c r="H908" s="9"/>
      <c r="I908" s="9"/>
    </row>
    <row r="909" spans="1:9" x14ac:dyDescent="0.25">
      <c r="A909" s="7" t="s">
        <v>965</v>
      </c>
      <c r="B909" s="7" t="s">
        <v>967</v>
      </c>
      <c r="C909" s="7" t="s">
        <v>966</v>
      </c>
      <c r="D909" s="8" t="s">
        <v>84</v>
      </c>
      <c r="E909" s="9" t="s">
        <v>14</v>
      </c>
      <c r="F909" s="9"/>
      <c r="G909" s="9"/>
      <c r="H909" s="9"/>
      <c r="I909" s="9"/>
    </row>
    <row r="910" spans="1:9" x14ac:dyDescent="0.25">
      <c r="A910" s="7" t="s">
        <v>965</v>
      </c>
      <c r="B910" s="7" t="s">
        <v>967</v>
      </c>
      <c r="C910" s="7" t="s">
        <v>966</v>
      </c>
      <c r="D910" s="8" t="s">
        <v>267</v>
      </c>
      <c r="E910" s="9" t="s">
        <v>14</v>
      </c>
      <c r="F910" s="9"/>
      <c r="G910" s="9"/>
      <c r="H910" s="9"/>
      <c r="I910" s="9"/>
    </row>
    <row r="911" spans="1:9" x14ac:dyDescent="0.25">
      <c r="A911" s="7" t="s">
        <v>965</v>
      </c>
      <c r="B911" s="7" t="s">
        <v>968</v>
      </c>
      <c r="C911" s="8" t="s">
        <v>966</v>
      </c>
      <c r="D911" s="8" t="s">
        <v>24</v>
      </c>
      <c r="E911" s="9" t="s">
        <v>14</v>
      </c>
      <c r="F911" s="9"/>
      <c r="G911" s="9"/>
      <c r="H911" s="9"/>
      <c r="I911" s="9"/>
    </row>
    <row r="912" spans="1:9" x14ac:dyDescent="0.25">
      <c r="A912" s="7" t="s">
        <v>965</v>
      </c>
      <c r="B912" s="7" t="s">
        <v>969</v>
      </c>
      <c r="C912" s="8" t="s">
        <v>966</v>
      </c>
      <c r="D912" s="8" t="s">
        <v>262</v>
      </c>
      <c r="E912" s="9" t="s">
        <v>14</v>
      </c>
      <c r="F912" s="9"/>
      <c r="G912" s="9"/>
      <c r="H912" s="9"/>
      <c r="I912" s="9"/>
    </row>
    <row r="913" spans="1:9" x14ac:dyDescent="0.25">
      <c r="A913" s="7" t="s">
        <v>965</v>
      </c>
      <c r="B913" s="7" t="s">
        <v>970</v>
      </c>
      <c r="C913" s="8" t="s">
        <v>966</v>
      </c>
      <c r="D913" s="8" t="s">
        <v>60</v>
      </c>
      <c r="E913" s="9" t="s">
        <v>14</v>
      </c>
      <c r="F913" s="9"/>
      <c r="G913" s="9"/>
      <c r="H913" s="9"/>
      <c r="I913" s="9"/>
    </row>
    <row r="914" spans="1:9" x14ac:dyDescent="0.25">
      <c r="A914" s="7" t="s">
        <v>965</v>
      </c>
      <c r="B914" s="7" t="s">
        <v>971</v>
      </c>
      <c r="C914" s="8" t="s">
        <v>966</v>
      </c>
      <c r="D914" s="8" t="s">
        <v>75</v>
      </c>
      <c r="E914" s="9" t="s">
        <v>14</v>
      </c>
      <c r="F914" s="9"/>
      <c r="G914" s="9"/>
      <c r="H914" s="9"/>
      <c r="I914" s="9"/>
    </row>
    <row r="915" spans="1:9" x14ac:dyDescent="0.25">
      <c r="A915" s="7" t="s">
        <v>972</v>
      </c>
      <c r="B915" s="7" t="s">
        <v>972</v>
      </c>
      <c r="C915" s="7" t="s">
        <v>973</v>
      </c>
      <c r="D915" s="8" t="s">
        <v>13</v>
      </c>
      <c r="E915" s="9" t="s">
        <v>14</v>
      </c>
      <c r="F915" s="9"/>
      <c r="G915" s="9"/>
      <c r="H915" s="9"/>
      <c r="I915" s="9"/>
    </row>
    <row r="916" spans="1:9" x14ac:dyDescent="0.25">
      <c r="A916" s="7" t="s">
        <v>972</v>
      </c>
      <c r="B916" s="7" t="s">
        <v>974</v>
      </c>
      <c r="C916" s="7" t="s">
        <v>973</v>
      </c>
      <c r="D916" s="8" t="s">
        <v>18</v>
      </c>
      <c r="E916" s="9" t="s">
        <v>14</v>
      </c>
      <c r="F916" s="9"/>
      <c r="G916" s="9"/>
      <c r="H916" s="9"/>
      <c r="I916" s="9"/>
    </row>
    <row r="917" spans="1:9" x14ac:dyDescent="0.25">
      <c r="A917" s="7" t="s">
        <v>975</v>
      </c>
      <c r="B917" s="7" t="s">
        <v>975</v>
      </c>
      <c r="C917" s="8" t="s">
        <v>976</v>
      </c>
      <c r="D917" s="8" t="s">
        <v>13</v>
      </c>
      <c r="E917" s="9" t="s">
        <v>14</v>
      </c>
      <c r="F917" s="9"/>
      <c r="G917" s="9"/>
      <c r="H917" s="9"/>
      <c r="I917" s="9"/>
    </row>
    <row r="918" spans="1:9" x14ac:dyDescent="0.25">
      <c r="A918" s="7" t="s">
        <v>975</v>
      </c>
      <c r="B918" s="7" t="s">
        <v>975</v>
      </c>
      <c r="C918" s="8" t="s">
        <v>976</v>
      </c>
      <c r="D918" s="8" t="s">
        <v>43</v>
      </c>
      <c r="E918" s="9" t="s">
        <v>14</v>
      </c>
      <c r="F918" s="9"/>
      <c r="G918" s="9"/>
      <c r="H918" s="9"/>
      <c r="I918" s="9"/>
    </row>
    <row r="919" spans="1:9" x14ac:dyDescent="0.25">
      <c r="A919" s="7" t="s">
        <v>975</v>
      </c>
      <c r="B919" s="7" t="s">
        <v>975</v>
      </c>
      <c r="C919" s="7" t="s">
        <v>976</v>
      </c>
      <c r="D919" s="8" t="s">
        <v>18</v>
      </c>
      <c r="E919" s="9" t="s">
        <v>14</v>
      </c>
      <c r="F919" s="9"/>
      <c r="G919" s="9"/>
      <c r="H919" s="9"/>
      <c r="I919" s="9"/>
    </row>
    <row r="920" spans="1:9" x14ac:dyDescent="0.25">
      <c r="A920" s="7" t="s">
        <v>975</v>
      </c>
      <c r="B920" s="7" t="s">
        <v>975</v>
      </c>
      <c r="C920" s="7" t="s">
        <v>976</v>
      </c>
      <c r="D920" s="8" t="s">
        <v>60</v>
      </c>
      <c r="E920" s="9" t="s">
        <v>14</v>
      </c>
      <c r="F920" s="9"/>
      <c r="G920" s="9"/>
      <c r="H920" s="9"/>
      <c r="I920" s="9"/>
    </row>
    <row r="921" spans="1:9" x14ac:dyDescent="0.25">
      <c r="A921" s="7" t="s">
        <v>975</v>
      </c>
      <c r="B921" s="7" t="s">
        <v>977</v>
      </c>
      <c r="C921" s="7" t="s">
        <v>976</v>
      </c>
      <c r="D921" s="8" t="s">
        <v>46</v>
      </c>
      <c r="E921" s="9" t="s">
        <v>14</v>
      </c>
      <c r="F921" s="9"/>
      <c r="G921" s="9"/>
      <c r="H921" s="9"/>
      <c r="I921" s="9"/>
    </row>
    <row r="922" spans="1:9" x14ac:dyDescent="0.25">
      <c r="A922" s="7" t="s">
        <v>975</v>
      </c>
      <c r="B922" s="7" t="s">
        <v>977</v>
      </c>
      <c r="C922" s="7" t="s">
        <v>976</v>
      </c>
      <c r="D922" s="8" t="s">
        <v>29</v>
      </c>
      <c r="E922" s="9" t="s">
        <v>14</v>
      </c>
      <c r="F922" s="9"/>
      <c r="G922" s="9"/>
      <c r="H922" s="9"/>
      <c r="I922" s="9"/>
    </row>
    <row r="923" spans="1:9" x14ac:dyDescent="0.25">
      <c r="A923" s="7" t="s">
        <v>975</v>
      </c>
      <c r="B923" s="7" t="s">
        <v>977</v>
      </c>
      <c r="C923" s="8" t="s">
        <v>976</v>
      </c>
      <c r="D923" s="8" t="s">
        <v>36</v>
      </c>
      <c r="E923" s="9" t="s">
        <v>14</v>
      </c>
      <c r="F923" s="9"/>
      <c r="G923" s="9"/>
      <c r="H923" s="9"/>
      <c r="I923" s="9"/>
    </row>
    <row r="924" spans="1:9" x14ac:dyDescent="0.25">
      <c r="A924" s="7" t="s">
        <v>975</v>
      </c>
      <c r="B924" s="7" t="s">
        <v>977</v>
      </c>
      <c r="C924" s="8" t="s">
        <v>976</v>
      </c>
      <c r="D924" s="8" t="s">
        <v>195</v>
      </c>
      <c r="E924" s="9" t="s">
        <v>14</v>
      </c>
      <c r="F924" s="9"/>
      <c r="G924" s="9"/>
      <c r="H924" s="9"/>
      <c r="I924" s="9"/>
    </row>
    <row r="925" spans="1:9" x14ac:dyDescent="0.25">
      <c r="A925" s="7" t="s">
        <v>975</v>
      </c>
      <c r="B925" s="7" t="s">
        <v>978</v>
      </c>
      <c r="C925" s="8" t="s">
        <v>976</v>
      </c>
      <c r="D925" s="8" t="s">
        <v>24</v>
      </c>
      <c r="E925" s="9" t="s">
        <v>14</v>
      </c>
      <c r="F925" s="9"/>
      <c r="G925" s="9"/>
      <c r="H925" s="9"/>
      <c r="I925" s="9"/>
    </row>
    <row r="926" spans="1:9" x14ac:dyDescent="0.25">
      <c r="A926" s="7" t="s">
        <v>975</v>
      </c>
      <c r="B926" s="7" t="s">
        <v>979</v>
      </c>
      <c r="C926" s="8" t="s">
        <v>976</v>
      </c>
      <c r="D926" s="8" t="s">
        <v>122</v>
      </c>
      <c r="E926" s="9" t="s">
        <v>14</v>
      </c>
      <c r="F926" s="9"/>
      <c r="G926" s="9"/>
      <c r="H926" s="9"/>
      <c r="I926" s="9"/>
    </row>
    <row r="927" spans="1:9" x14ac:dyDescent="0.25">
      <c r="A927" s="7" t="s">
        <v>975</v>
      </c>
      <c r="B927" s="7" t="s">
        <v>980</v>
      </c>
      <c r="C927" s="8" t="s">
        <v>976</v>
      </c>
      <c r="D927" s="8" t="s">
        <v>22</v>
      </c>
      <c r="E927" s="9" t="s">
        <v>14</v>
      </c>
      <c r="F927" s="9"/>
      <c r="G927" s="9"/>
      <c r="H927" s="9"/>
      <c r="I927" s="9"/>
    </row>
    <row r="928" spans="1:9" x14ac:dyDescent="0.25">
      <c r="A928" s="7" t="s">
        <v>975</v>
      </c>
      <c r="B928" s="7" t="s">
        <v>981</v>
      </c>
      <c r="C928" s="7" t="s">
        <v>976</v>
      </c>
      <c r="D928" s="8" t="s">
        <v>28</v>
      </c>
      <c r="E928" s="9" t="s">
        <v>14</v>
      </c>
      <c r="F928" s="9"/>
      <c r="G928" s="9"/>
      <c r="H928" s="9"/>
      <c r="I928" s="9"/>
    </row>
    <row r="929" spans="1:9" x14ac:dyDescent="0.25">
      <c r="A929" s="7" t="s">
        <v>982</v>
      </c>
      <c r="B929" s="7" t="s">
        <v>982</v>
      </c>
      <c r="C929" s="7" t="s">
        <v>983</v>
      </c>
      <c r="D929" s="8" t="s">
        <v>13</v>
      </c>
      <c r="E929" s="9" t="s">
        <v>14</v>
      </c>
      <c r="F929" s="9"/>
      <c r="G929" s="9"/>
      <c r="H929" s="9"/>
      <c r="I929" s="9"/>
    </row>
    <row r="930" spans="1:9" x14ac:dyDescent="0.25">
      <c r="A930" s="7" t="s">
        <v>982</v>
      </c>
      <c r="B930" s="7" t="s">
        <v>984</v>
      </c>
      <c r="C930" s="8" t="s">
        <v>983</v>
      </c>
      <c r="D930" s="8" t="s">
        <v>29</v>
      </c>
      <c r="E930" s="9" t="s">
        <v>14</v>
      </c>
      <c r="F930" s="9"/>
      <c r="G930" s="9"/>
      <c r="H930" s="9"/>
      <c r="I930" s="9"/>
    </row>
    <row r="931" spans="1:9" x14ac:dyDescent="0.25">
      <c r="A931" s="7" t="s">
        <v>982</v>
      </c>
      <c r="B931" s="7" t="s">
        <v>985</v>
      </c>
      <c r="C931" s="8" t="s">
        <v>983</v>
      </c>
      <c r="D931" s="8" t="s">
        <v>16</v>
      </c>
      <c r="E931" s="9" t="s">
        <v>14</v>
      </c>
      <c r="F931" s="9"/>
      <c r="G931" s="9"/>
      <c r="H931" s="9"/>
      <c r="I931" s="9"/>
    </row>
    <row r="932" spans="1:9" x14ac:dyDescent="0.25">
      <c r="A932" s="7" t="s">
        <v>982</v>
      </c>
      <c r="B932" s="7" t="s">
        <v>986</v>
      </c>
      <c r="C932" s="7" t="s">
        <v>983</v>
      </c>
      <c r="D932" s="8" t="s">
        <v>118</v>
      </c>
      <c r="E932" s="9" t="s">
        <v>14</v>
      </c>
      <c r="F932" s="9"/>
      <c r="G932" s="9"/>
      <c r="H932" s="9"/>
      <c r="I932" s="9"/>
    </row>
    <row r="933" spans="1:9" x14ac:dyDescent="0.25">
      <c r="A933" s="7" t="s">
        <v>982</v>
      </c>
      <c r="B933" s="7" t="s">
        <v>987</v>
      </c>
      <c r="C933" s="7" t="s">
        <v>983</v>
      </c>
      <c r="D933" s="8" t="s">
        <v>44</v>
      </c>
      <c r="E933" s="9" t="s">
        <v>14</v>
      </c>
      <c r="F933" s="9"/>
      <c r="G933" s="9"/>
      <c r="H933" s="9"/>
      <c r="I933" s="9"/>
    </row>
    <row r="934" spans="1:9" x14ac:dyDescent="0.25">
      <c r="A934" s="7" t="s">
        <v>982</v>
      </c>
      <c r="B934" s="7" t="s">
        <v>988</v>
      </c>
      <c r="C934" s="7" t="s">
        <v>983</v>
      </c>
      <c r="D934" s="8" t="s">
        <v>36</v>
      </c>
      <c r="E934" s="9" t="s">
        <v>14</v>
      </c>
      <c r="F934" s="9"/>
      <c r="G934" s="9"/>
      <c r="H934" s="9"/>
      <c r="I934" s="9"/>
    </row>
    <row r="935" spans="1:9" x14ac:dyDescent="0.25">
      <c r="A935" s="7" t="s">
        <v>989</v>
      </c>
      <c r="B935" s="7" t="s">
        <v>990</v>
      </c>
      <c r="C935" s="8" t="s">
        <v>591</v>
      </c>
      <c r="D935" s="8" t="s">
        <v>292</v>
      </c>
      <c r="E935" s="9" t="s">
        <v>14</v>
      </c>
      <c r="F935" s="9"/>
      <c r="G935" s="9" t="s">
        <v>14</v>
      </c>
      <c r="H935" s="9"/>
      <c r="I935" s="9" t="s">
        <v>14</v>
      </c>
    </row>
    <row r="936" spans="1:9" x14ac:dyDescent="0.25">
      <c r="A936" s="7" t="s">
        <v>989</v>
      </c>
      <c r="B936" s="7" t="s">
        <v>991</v>
      </c>
      <c r="C936" s="8" t="s">
        <v>591</v>
      </c>
      <c r="D936" s="8" t="s">
        <v>339</v>
      </c>
      <c r="E936" s="9" t="s">
        <v>14</v>
      </c>
      <c r="F936" s="9"/>
      <c r="G936" s="9" t="s">
        <v>14</v>
      </c>
      <c r="H936" s="9"/>
      <c r="I936" s="9" t="s">
        <v>14</v>
      </c>
    </row>
    <row r="937" spans="1:9" x14ac:dyDescent="0.25">
      <c r="A937" s="7" t="s">
        <v>989</v>
      </c>
      <c r="B937" s="7" t="s">
        <v>992</v>
      </c>
      <c r="C937" s="8" t="s">
        <v>591</v>
      </c>
      <c r="D937" s="8" t="s">
        <v>124</v>
      </c>
      <c r="E937" s="9" t="s">
        <v>14</v>
      </c>
      <c r="F937" s="9"/>
      <c r="G937" s="9" t="s">
        <v>14</v>
      </c>
      <c r="H937" s="9"/>
      <c r="I937" s="9" t="s">
        <v>14</v>
      </c>
    </row>
    <row r="938" spans="1:9" x14ac:dyDescent="0.25">
      <c r="A938" s="7" t="s">
        <v>989</v>
      </c>
      <c r="B938" s="7" t="s">
        <v>993</v>
      </c>
      <c r="C938" s="8" t="s">
        <v>591</v>
      </c>
      <c r="D938" s="8" t="s">
        <v>349</v>
      </c>
      <c r="E938" s="9" t="s">
        <v>14</v>
      </c>
      <c r="F938" s="9"/>
      <c r="G938" s="9" t="s">
        <v>14</v>
      </c>
      <c r="H938" s="9"/>
      <c r="I938" s="9" t="s">
        <v>14</v>
      </c>
    </row>
    <row r="939" spans="1:9" x14ac:dyDescent="0.25">
      <c r="A939" s="7" t="s">
        <v>989</v>
      </c>
      <c r="B939" s="7" t="s">
        <v>994</v>
      </c>
      <c r="C939" s="8" t="s">
        <v>591</v>
      </c>
      <c r="D939" s="8" t="s">
        <v>116</v>
      </c>
      <c r="E939" s="9" t="s">
        <v>14</v>
      </c>
      <c r="F939" s="9"/>
      <c r="G939" s="9" t="s">
        <v>14</v>
      </c>
      <c r="H939" s="9"/>
      <c r="I939" s="9" t="s">
        <v>14</v>
      </c>
    </row>
    <row r="940" spans="1:9" x14ac:dyDescent="0.25">
      <c r="A940" s="7" t="s">
        <v>989</v>
      </c>
      <c r="B940" s="7" t="s">
        <v>994</v>
      </c>
      <c r="C940" s="8" t="s">
        <v>591</v>
      </c>
      <c r="D940" s="8" t="s">
        <v>180</v>
      </c>
      <c r="E940" s="9" t="s">
        <v>14</v>
      </c>
      <c r="F940" s="9"/>
      <c r="G940" s="9" t="s">
        <v>14</v>
      </c>
      <c r="H940" s="9"/>
      <c r="I940" s="9" t="s">
        <v>14</v>
      </c>
    </row>
    <row r="941" spans="1:9" x14ac:dyDescent="0.25">
      <c r="A941" s="7" t="s">
        <v>989</v>
      </c>
      <c r="B941" s="7" t="s">
        <v>995</v>
      </c>
      <c r="C941" s="8" t="s">
        <v>591</v>
      </c>
      <c r="D941" s="8" t="s">
        <v>104</v>
      </c>
      <c r="E941" s="9" t="s">
        <v>14</v>
      </c>
      <c r="F941" s="9"/>
      <c r="G941" s="9" t="s">
        <v>14</v>
      </c>
      <c r="H941" s="9"/>
      <c r="I941" s="9" t="s">
        <v>14</v>
      </c>
    </row>
    <row r="942" spans="1:9" x14ac:dyDescent="0.25">
      <c r="A942" s="7" t="s">
        <v>996</v>
      </c>
      <c r="B942" s="7" t="s">
        <v>997</v>
      </c>
      <c r="C942" s="8" t="s">
        <v>278</v>
      </c>
      <c r="D942" s="8" t="s">
        <v>55</v>
      </c>
      <c r="E942" s="9" t="s">
        <v>14</v>
      </c>
      <c r="F942" s="9"/>
      <c r="G942" s="9" t="s">
        <v>14</v>
      </c>
      <c r="H942" s="9"/>
      <c r="I942" s="9" t="s">
        <v>14</v>
      </c>
    </row>
    <row r="943" spans="1:9" x14ac:dyDescent="0.25">
      <c r="A943" s="7" t="s">
        <v>996</v>
      </c>
      <c r="B943" s="7" t="s">
        <v>998</v>
      </c>
      <c r="C943" s="7" t="s">
        <v>278</v>
      </c>
      <c r="D943" s="8" t="s">
        <v>50</v>
      </c>
      <c r="E943" s="9" t="s">
        <v>14</v>
      </c>
      <c r="F943" s="9"/>
      <c r="G943" s="9" t="s">
        <v>14</v>
      </c>
      <c r="H943" s="9"/>
      <c r="I943" s="9" t="s">
        <v>14</v>
      </c>
    </row>
    <row r="944" spans="1:9" x14ac:dyDescent="0.25">
      <c r="A944" s="7" t="s">
        <v>996</v>
      </c>
      <c r="B944" s="7" t="s">
        <v>999</v>
      </c>
      <c r="C944" s="7" t="s">
        <v>278</v>
      </c>
      <c r="D944" s="8" t="s">
        <v>32</v>
      </c>
      <c r="E944" s="9" t="s">
        <v>14</v>
      </c>
      <c r="F944" s="9"/>
      <c r="G944" s="9" t="s">
        <v>14</v>
      </c>
      <c r="H944" s="9"/>
      <c r="I944" s="9" t="s">
        <v>14</v>
      </c>
    </row>
    <row r="945" spans="1:9" x14ac:dyDescent="0.25">
      <c r="A945" s="7" t="s">
        <v>1000</v>
      </c>
      <c r="B945" s="7" t="s">
        <v>1000</v>
      </c>
      <c r="C945" s="7" t="s">
        <v>1001</v>
      </c>
      <c r="D945" s="8" t="s">
        <v>13</v>
      </c>
      <c r="E945" s="9" t="s">
        <v>14</v>
      </c>
      <c r="F945" s="9"/>
      <c r="G945" s="9" t="s">
        <v>14</v>
      </c>
      <c r="H945" s="9"/>
      <c r="I945" s="9" t="s">
        <v>14</v>
      </c>
    </row>
    <row r="946" spans="1:9" x14ac:dyDescent="0.25">
      <c r="A946" s="7" t="s">
        <v>1000</v>
      </c>
      <c r="B946" s="7" t="s">
        <v>1000</v>
      </c>
      <c r="C946" s="7" t="s">
        <v>1001</v>
      </c>
      <c r="D946" s="8" t="s">
        <v>43</v>
      </c>
      <c r="E946" s="9" t="s">
        <v>14</v>
      </c>
      <c r="F946" s="9"/>
      <c r="G946" s="9" t="s">
        <v>14</v>
      </c>
      <c r="H946" s="9"/>
      <c r="I946" s="9" t="s">
        <v>14</v>
      </c>
    </row>
    <row r="947" spans="1:9" x14ac:dyDescent="0.25">
      <c r="A947" s="7" t="s">
        <v>1000</v>
      </c>
      <c r="B947" s="7" t="s">
        <v>1000</v>
      </c>
      <c r="C947" s="7" t="s">
        <v>1001</v>
      </c>
      <c r="D947" s="8" t="s">
        <v>44</v>
      </c>
      <c r="E947" s="9" t="s">
        <v>14</v>
      </c>
      <c r="F947" s="9"/>
      <c r="G947" s="9" t="s">
        <v>14</v>
      </c>
      <c r="H947" s="9"/>
      <c r="I947" s="9" t="s">
        <v>14</v>
      </c>
    </row>
    <row r="948" spans="1:9" x14ac:dyDescent="0.25">
      <c r="A948" s="7" t="s">
        <v>1000</v>
      </c>
      <c r="B948" s="7" t="s">
        <v>1000</v>
      </c>
      <c r="C948" s="7" t="s">
        <v>1001</v>
      </c>
      <c r="D948" s="8" t="s">
        <v>16</v>
      </c>
      <c r="E948" s="9" t="s">
        <v>14</v>
      </c>
      <c r="F948" s="9"/>
      <c r="G948" s="9" t="s">
        <v>14</v>
      </c>
      <c r="H948" s="9"/>
      <c r="I948" s="9" t="s">
        <v>14</v>
      </c>
    </row>
    <row r="949" spans="1:9" x14ac:dyDescent="0.25">
      <c r="A949" s="7" t="s">
        <v>1000</v>
      </c>
      <c r="B949" s="7" t="s">
        <v>1002</v>
      </c>
      <c r="C949" s="7" t="s">
        <v>1001</v>
      </c>
      <c r="D949" s="8" t="s">
        <v>50</v>
      </c>
      <c r="E949" s="9" t="s">
        <v>14</v>
      </c>
      <c r="F949" s="9"/>
      <c r="G949" s="9" t="s">
        <v>14</v>
      </c>
      <c r="H949" s="9"/>
      <c r="I949" s="9" t="s">
        <v>14</v>
      </c>
    </row>
    <row r="950" spans="1:9" x14ac:dyDescent="0.25">
      <c r="A950" s="7" t="s">
        <v>1000</v>
      </c>
      <c r="B950" s="7" t="s">
        <v>1002</v>
      </c>
      <c r="C950" s="7" t="s">
        <v>1001</v>
      </c>
      <c r="D950" s="8" t="s">
        <v>32</v>
      </c>
      <c r="E950" s="9" t="s">
        <v>14</v>
      </c>
      <c r="F950" s="9"/>
      <c r="G950" s="9" t="s">
        <v>14</v>
      </c>
      <c r="H950" s="9"/>
      <c r="I950" s="9" t="s">
        <v>14</v>
      </c>
    </row>
    <row r="951" spans="1:9" x14ac:dyDescent="0.25">
      <c r="A951" s="7" t="s">
        <v>1000</v>
      </c>
      <c r="B951" s="7" t="s">
        <v>1003</v>
      </c>
      <c r="C951" s="7" t="s">
        <v>1001</v>
      </c>
      <c r="D951" s="8" t="s">
        <v>53</v>
      </c>
      <c r="E951" s="9" t="s">
        <v>14</v>
      </c>
      <c r="F951" s="9"/>
      <c r="G951" s="9" t="s">
        <v>14</v>
      </c>
      <c r="H951" s="9"/>
      <c r="I951" s="9" t="s">
        <v>14</v>
      </c>
    </row>
    <row r="952" spans="1:9" x14ac:dyDescent="0.25">
      <c r="A952" s="7" t="s">
        <v>1000</v>
      </c>
      <c r="B952" s="7" t="s">
        <v>1003</v>
      </c>
      <c r="C952" s="7" t="s">
        <v>1001</v>
      </c>
      <c r="D952" s="8" t="s">
        <v>48</v>
      </c>
      <c r="E952" s="9" t="s">
        <v>14</v>
      </c>
      <c r="F952" s="9"/>
      <c r="G952" s="9" t="s">
        <v>14</v>
      </c>
      <c r="H952" s="9"/>
      <c r="I952" s="9" t="s">
        <v>14</v>
      </c>
    </row>
    <row r="953" spans="1:9" x14ac:dyDescent="0.25">
      <c r="A953" s="7" t="s">
        <v>1000</v>
      </c>
      <c r="B953" s="7" t="s">
        <v>1004</v>
      </c>
      <c r="C953" s="7" t="s">
        <v>1001</v>
      </c>
      <c r="D953" s="8" t="s">
        <v>55</v>
      </c>
      <c r="E953" s="9" t="s">
        <v>14</v>
      </c>
      <c r="F953" s="9"/>
      <c r="G953" s="9" t="s">
        <v>14</v>
      </c>
      <c r="H953" s="9"/>
      <c r="I953" s="9" t="s">
        <v>14</v>
      </c>
    </row>
    <row r="954" spans="1:9" x14ac:dyDescent="0.25">
      <c r="A954" s="7" t="s">
        <v>1005</v>
      </c>
      <c r="B954" s="7" t="s">
        <v>1006</v>
      </c>
      <c r="C954" s="7" t="s">
        <v>1007</v>
      </c>
      <c r="D954" s="8" t="s">
        <v>18</v>
      </c>
      <c r="E954" s="9" t="s">
        <v>14</v>
      </c>
      <c r="F954" s="9"/>
      <c r="G954" s="9"/>
      <c r="H954" s="9"/>
      <c r="I954" s="9"/>
    </row>
    <row r="955" spans="1:9" x14ac:dyDescent="0.25">
      <c r="A955" s="7" t="s">
        <v>1005</v>
      </c>
      <c r="B955" s="7" t="s">
        <v>1006</v>
      </c>
      <c r="C955" s="7" t="s">
        <v>1007</v>
      </c>
      <c r="D955" s="8" t="s">
        <v>53</v>
      </c>
      <c r="E955" s="9" t="s">
        <v>14</v>
      </c>
      <c r="F955" s="9"/>
      <c r="G955" s="9"/>
      <c r="H955" s="9"/>
      <c r="I955" s="9"/>
    </row>
    <row r="956" spans="1:9" x14ac:dyDescent="0.25">
      <c r="A956" s="7" t="s">
        <v>1005</v>
      </c>
      <c r="B956" s="7" t="s">
        <v>1006</v>
      </c>
      <c r="C956" s="8" t="s">
        <v>1007</v>
      </c>
      <c r="D956" s="8" t="s">
        <v>89</v>
      </c>
      <c r="E956" s="9" t="s">
        <v>14</v>
      </c>
      <c r="F956" s="9"/>
      <c r="G956" s="9"/>
      <c r="H956" s="9"/>
      <c r="I956" s="9"/>
    </row>
    <row r="957" spans="1:9" x14ac:dyDescent="0.25">
      <c r="A957" s="7" t="s">
        <v>1005</v>
      </c>
      <c r="B957" s="7" t="s">
        <v>1008</v>
      </c>
      <c r="C957" s="8" t="s">
        <v>1007</v>
      </c>
      <c r="D957" s="8" t="s">
        <v>650</v>
      </c>
      <c r="E957" s="9" t="s">
        <v>14</v>
      </c>
      <c r="F957" s="9"/>
      <c r="G957" s="9"/>
      <c r="H957" s="9"/>
      <c r="I957" s="9"/>
    </row>
    <row r="958" spans="1:9" x14ac:dyDescent="0.25">
      <c r="A958" s="7" t="s">
        <v>1005</v>
      </c>
      <c r="B958" s="7" t="s">
        <v>1008</v>
      </c>
      <c r="C958" s="8" t="s">
        <v>1007</v>
      </c>
      <c r="D958" s="8" t="s">
        <v>118</v>
      </c>
      <c r="E958" s="9" t="s">
        <v>14</v>
      </c>
      <c r="F958" s="9"/>
      <c r="G958" s="9"/>
      <c r="H958" s="9"/>
      <c r="I958" s="9"/>
    </row>
    <row r="959" spans="1:9" x14ac:dyDescent="0.25">
      <c r="A959" s="7" t="s">
        <v>1005</v>
      </c>
      <c r="B959" s="7" t="s">
        <v>1009</v>
      </c>
      <c r="C959" s="8" t="s">
        <v>1007</v>
      </c>
      <c r="D959" s="8" t="s">
        <v>34</v>
      </c>
      <c r="E959" s="9" t="s">
        <v>14</v>
      </c>
      <c r="F959" s="9"/>
      <c r="G959" s="9"/>
      <c r="H959" s="9"/>
      <c r="I959" s="9"/>
    </row>
    <row r="960" spans="1:9" x14ac:dyDescent="0.25">
      <c r="A960" s="7" t="s">
        <v>1005</v>
      </c>
      <c r="B960" s="7" t="s">
        <v>1009</v>
      </c>
      <c r="C960" s="8" t="s">
        <v>1007</v>
      </c>
      <c r="D960" s="8" t="s">
        <v>73</v>
      </c>
      <c r="E960" s="9" t="s">
        <v>14</v>
      </c>
      <c r="F960" s="9"/>
      <c r="G960" s="9"/>
      <c r="H960" s="9"/>
      <c r="I960" s="9"/>
    </row>
    <row r="961" spans="1:9" x14ac:dyDescent="0.25">
      <c r="A961" s="7" t="s">
        <v>1005</v>
      </c>
      <c r="B961" s="7" t="s">
        <v>1010</v>
      </c>
      <c r="C961" s="8" t="s">
        <v>1007</v>
      </c>
      <c r="D961" s="8" t="s">
        <v>195</v>
      </c>
      <c r="E961" s="9" t="s">
        <v>14</v>
      </c>
      <c r="F961" s="9"/>
      <c r="G961" s="9"/>
      <c r="H961" s="9"/>
      <c r="I961" s="9"/>
    </row>
    <row r="962" spans="1:9" x14ac:dyDescent="0.25">
      <c r="A962" s="7" t="s">
        <v>1005</v>
      </c>
      <c r="B962" s="7" t="s">
        <v>1011</v>
      </c>
      <c r="C962" s="8" t="s">
        <v>1007</v>
      </c>
      <c r="D962" s="8" t="s">
        <v>44</v>
      </c>
      <c r="E962" s="9" t="s">
        <v>14</v>
      </c>
      <c r="F962" s="9"/>
      <c r="G962" s="9"/>
      <c r="H962" s="9"/>
      <c r="I962" s="9"/>
    </row>
    <row r="963" spans="1:9" x14ac:dyDescent="0.25">
      <c r="A963" s="7" t="s">
        <v>1005</v>
      </c>
      <c r="B963" s="7" t="s">
        <v>1011</v>
      </c>
      <c r="C963" s="8" t="s">
        <v>1007</v>
      </c>
      <c r="D963" s="8" t="s">
        <v>16</v>
      </c>
      <c r="E963" s="9" t="s">
        <v>14</v>
      </c>
      <c r="F963" s="9"/>
      <c r="G963" s="9"/>
      <c r="H963" s="9"/>
      <c r="I963" s="9"/>
    </row>
    <row r="964" spans="1:9" x14ac:dyDescent="0.25">
      <c r="A964" s="7" t="s">
        <v>1005</v>
      </c>
      <c r="B964" s="7" t="s">
        <v>1011</v>
      </c>
      <c r="C964" s="8" t="s">
        <v>1007</v>
      </c>
      <c r="D964" s="8" t="s">
        <v>20</v>
      </c>
      <c r="E964" s="9" t="s">
        <v>14</v>
      </c>
      <c r="F964" s="9"/>
      <c r="G964" s="9"/>
      <c r="H964" s="9"/>
      <c r="I964" s="9"/>
    </row>
    <row r="965" spans="1:9" x14ac:dyDescent="0.25">
      <c r="A965" s="7" t="s">
        <v>1005</v>
      </c>
      <c r="B965" s="7" t="s">
        <v>1011</v>
      </c>
      <c r="C965" s="7" t="s">
        <v>1007</v>
      </c>
      <c r="D965" s="8" t="s">
        <v>24</v>
      </c>
      <c r="E965" s="9" t="s">
        <v>14</v>
      </c>
      <c r="F965" s="9"/>
      <c r="G965" s="9"/>
      <c r="H965" s="9"/>
      <c r="I965" s="9"/>
    </row>
    <row r="966" spans="1:9" x14ac:dyDescent="0.25">
      <c r="A966" s="7" t="s">
        <v>1005</v>
      </c>
      <c r="B966" s="7" t="s">
        <v>1012</v>
      </c>
      <c r="C966" s="7" t="s">
        <v>1007</v>
      </c>
      <c r="D966" s="8" t="s">
        <v>102</v>
      </c>
      <c r="E966" s="9" t="s">
        <v>14</v>
      </c>
      <c r="F966" s="9"/>
      <c r="G966" s="9"/>
      <c r="H966" s="9"/>
      <c r="I966" s="9"/>
    </row>
    <row r="967" spans="1:9" x14ac:dyDescent="0.25">
      <c r="A967" s="7" t="s">
        <v>1005</v>
      </c>
      <c r="B967" s="7" t="s">
        <v>1012</v>
      </c>
      <c r="C967" s="7" t="s">
        <v>1007</v>
      </c>
      <c r="D967" s="8" t="s">
        <v>530</v>
      </c>
      <c r="E967" s="9" t="s">
        <v>14</v>
      </c>
      <c r="F967" s="9"/>
      <c r="G967" s="9"/>
      <c r="H967" s="9"/>
      <c r="I967" s="9"/>
    </row>
    <row r="968" spans="1:9" x14ac:dyDescent="0.25">
      <c r="A968" s="7" t="s">
        <v>1005</v>
      </c>
      <c r="B968" s="7" t="s">
        <v>1013</v>
      </c>
      <c r="C968" s="7" t="s">
        <v>1007</v>
      </c>
      <c r="D968" s="8" t="s">
        <v>52</v>
      </c>
      <c r="E968" s="9" t="s">
        <v>14</v>
      </c>
      <c r="F968" s="9"/>
      <c r="G968" s="9"/>
      <c r="H968" s="9"/>
      <c r="I968" s="9"/>
    </row>
    <row r="969" spans="1:9" x14ac:dyDescent="0.25">
      <c r="A969" s="7" t="s">
        <v>1005</v>
      </c>
      <c r="B969" s="7" t="s">
        <v>1013</v>
      </c>
      <c r="C969" s="7" t="s">
        <v>1007</v>
      </c>
      <c r="D969" s="8" t="s">
        <v>43</v>
      </c>
      <c r="E969" s="9" t="s">
        <v>14</v>
      </c>
      <c r="F969" s="9"/>
      <c r="G969" s="9"/>
      <c r="H969" s="9"/>
      <c r="I969" s="9"/>
    </row>
    <row r="970" spans="1:9" x14ac:dyDescent="0.25">
      <c r="A970" s="7" t="s">
        <v>1005</v>
      </c>
      <c r="B970" s="7" t="s">
        <v>1014</v>
      </c>
      <c r="C970" s="7" t="s">
        <v>1007</v>
      </c>
      <c r="D970" s="8" t="s">
        <v>243</v>
      </c>
      <c r="E970" s="9" t="s">
        <v>14</v>
      </c>
      <c r="F970" s="9"/>
      <c r="G970" s="9"/>
      <c r="H970" s="9"/>
      <c r="I970" s="9"/>
    </row>
    <row r="971" spans="1:9" x14ac:dyDescent="0.25">
      <c r="A971" s="7" t="s">
        <v>1005</v>
      </c>
      <c r="B971" s="7" t="s">
        <v>1015</v>
      </c>
      <c r="C971" s="7" t="s">
        <v>1007</v>
      </c>
      <c r="D971" s="8" t="s">
        <v>22</v>
      </c>
      <c r="E971" s="9" t="s">
        <v>14</v>
      </c>
      <c r="F971" s="9"/>
      <c r="G971" s="9"/>
      <c r="H971" s="9"/>
      <c r="I971" s="9"/>
    </row>
    <row r="972" spans="1:9" x14ac:dyDescent="0.25">
      <c r="A972" s="7" t="s">
        <v>1005</v>
      </c>
      <c r="B972" s="7" t="s">
        <v>1015</v>
      </c>
      <c r="C972" s="7" t="s">
        <v>1007</v>
      </c>
      <c r="D972" s="8" t="s">
        <v>60</v>
      </c>
      <c r="E972" s="9" t="s">
        <v>14</v>
      </c>
      <c r="F972" s="9"/>
      <c r="G972" s="9"/>
      <c r="H972" s="9"/>
      <c r="I972" s="9"/>
    </row>
    <row r="973" spans="1:9" x14ac:dyDescent="0.25">
      <c r="A973" s="7" t="s">
        <v>1005</v>
      </c>
      <c r="B973" s="7" t="s">
        <v>1016</v>
      </c>
      <c r="C973" s="7" t="s">
        <v>1007</v>
      </c>
      <c r="D973" s="8" t="s">
        <v>36</v>
      </c>
      <c r="E973" s="9" t="s">
        <v>14</v>
      </c>
      <c r="F973" s="9"/>
      <c r="G973" s="9"/>
      <c r="H973" s="9"/>
      <c r="I973" s="9"/>
    </row>
    <row r="974" spans="1:9" x14ac:dyDescent="0.25">
      <c r="A974" s="7" t="s">
        <v>1017</v>
      </c>
      <c r="B974" s="7" t="s">
        <v>1018</v>
      </c>
      <c r="C974" s="7" t="s">
        <v>1019</v>
      </c>
      <c r="D974" s="8" t="s">
        <v>530</v>
      </c>
      <c r="E974" s="9" t="s">
        <v>14</v>
      </c>
      <c r="F974" s="9"/>
      <c r="G974" s="9"/>
      <c r="H974" s="9"/>
      <c r="I974" s="9"/>
    </row>
    <row r="975" spans="1:9" x14ac:dyDescent="0.25">
      <c r="A975" s="7" t="s">
        <v>1017</v>
      </c>
      <c r="B975" s="7" t="s">
        <v>1018</v>
      </c>
      <c r="C975" s="8" t="s">
        <v>1019</v>
      </c>
      <c r="D975" s="8" t="s">
        <v>78</v>
      </c>
      <c r="E975" s="9" t="s">
        <v>14</v>
      </c>
      <c r="F975" s="9"/>
      <c r="G975" s="9"/>
      <c r="H975" s="9"/>
      <c r="I975" s="9"/>
    </row>
    <row r="976" spans="1:9" x14ac:dyDescent="0.25">
      <c r="A976" s="7" t="s">
        <v>1017</v>
      </c>
      <c r="B976" s="7" t="s">
        <v>1020</v>
      </c>
      <c r="C976" s="8" t="s">
        <v>1019</v>
      </c>
      <c r="D976" s="8" t="s">
        <v>802</v>
      </c>
      <c r="E976" s="9" t="s">
        <v>14</v>
      </c>
      <c r="F976" s="9"/>
      <c r="G976" s="9"/>
      <c r="H976" s="9"/>
      <c r="I976" s="9"/>
    </row>
    <row r="977" spans="1:9" x14ac:dyDescent="0.25">
      <c r="A977" s="7" t="s">
        <v>1017</v>
      </c>
      <c r="B977" s="7" t="s">
        <v>1021</v>
      </c>
      <c r="C977" s="8" t="s">
        <v>1019</v>
      </c>
      <c r="D977" s="8" t="s">
        <v>317</v>
      </c>
      <c r="E977" s="9" t="s">
        <v>14</v>
      </c>
      <c r="F977" s="9"/>
      <c r="G977" s="9"/>
      <c r="H977" s="9"/>
      <c r="I977" s="9"/>
    </row>
    <row r="978" spans="1:9" x14ac:dyDescent="0.25">
      <c r="A978" s="7" t="s">
        <v>1017</v>
      </c>
      <c r="B978" s="7" t="s">
        <v>1022</v>
      </c>
      <c r="C978" s="8" t="s">
        <v>1019</v>
      </c>
      <c r="D978" s="8" t="s">
        <v>1023</v>
      </c>
      <c r="E978" s="9" t="s">
        <v>14</v>
      </c>
      <c r="F978" s="9"/>
      <c r="G978" s="9"/>
      <c r="H978" s="9"/>
      <c r="I978" s="9"/>
    </row>
    <row r="979" spans="1:9" x14ac:dyDescent="0.25">
      <c r="A979" s="7" t="s">
        <v>1017</v>
      </c>
      <c r="B979" s="7" t="s">
        <v>1024</v>
      </c>
      <c r="C979" s="8" t="s">
        <v>1019</v>
      </c>
      <c r="D979" s="8" t="s">
        <v>325</v>
      </c>
      <c r="E979" s="9" t="s">
        <v>14</v>
      </c>
      <c r="F979" s="9"/>
      <c r="G979" s="9"/>
      <c r="H979" s="9"/>
      <c r="I979" s="9"/>
    </row>
    <row r="980" spans="1:9" x14ac:dyDescent="0.25">
      <c r="A980" s="7" t="s">
        <v>1017</v>
      </c>
      <c r="B980" s="7" t="s">
        <v>1025</v>
      </c>
      <c r="C980" s="8" t="s">
        <v>1019</v>
      </c>
      <c r="D980" s="8" t="s">
        <v>253</v>
      </c>
      <c r="E980" s="9" t="s">
        <v>14</v>
      </c>
      <c r="F980" s="9"/>
      <c r="G980" s="9"/>
      <c r="H980" s="9"/>
      <c r="I980" s="9"/>
    </row>
    <row r="981" spans="1:9" x14ac:dyDescent="0.25">
      <c r="A981" s="7" t="s">
        <v>1017</v>
      </c>
      <c r="B981" s="7" t="s">
        <v>1026</v>
      </c>
      <c r="C981" s="7" t="s">
        <v>1019</v>
      </c>
      <c r="D981" s="8" t="s">
        <v>52</v>
      </c>
      <c r="E981" s="9" t="s">
        <v>14</v>
      </c>
      <c r="F981" s="9"/>
      <c r="G981" s="9"/>
      <c r="H981" s="9" t="s">
        <v>14</v>
      </c>
      <c r="I981" s="9"/>
    </row>
    <row r="982" spans="1:9" x14ac:dyDescent="0.25">
      <c r="A982" s="7" t="s">
        <v>1017</v>
      </c>
      <c r="B982" s="7" t="s">
        <v>1026</v>
      </c>
      <c r="C982" s="8" t="s">
        <v>1019</v>
      </c>
      <c r="D982" s="8" t="s">
        <v>13</v>
      </c>
      <c r="E982" s="9" t="s">
        <v>14</v>
      </c>
      <c r="F982" s="9"/>
      <c r="G982" s="9"/>
      <c r="H982" s="9"/>
      <c r="I982" s="9"/>
    </row>
    <row r="983" spans="1:9" x14ac:dyDescent="0.25">
      <c r="A983" s="7" t="s">
        <v>1017</v>
      </c>
      <c r="B983" s="7" t="s">
        <v>1027</v>
      </c>
      <c r="C983" s="7" t="s">
        <v>1019</v>
      </c>
      <c r="D983" s="8" t="s">
        <v>805</v>
      </c>
      <c r="E983" s="9" t="s">
        <v>14</v>
      </c>
      <c r="F983" s="9"/>
      <c r="G983" s="9"/>
      <c r="H983" s="9" t="s">
        <v>14</v>
      </c>
      <c r="I983" s="9"/>
    </row>
    <row r="984" spans="1:9" x14ac:dyDescent="0.25">
      <c r="A984" s="7" t="s">
        <v>1017</v>
      </c>
      <c r="B984" s="7" t="s">
        <v>1028</v>
      </c>
      <c r="C984" s="7" t="s">
        <v>1019</v>
      </c>
      <c r="D984" s="8" t="s">
        <v>18</v>
      </c>
      <c r="E984" s="9" t="s">
        <v>14</v>
      </c>
      <c r="F984" s="9"/>
      <c r="G984" s="9"/>
      <c r="H984" s="9" t="s">
        <v>14</v>
      </c>
      <c r="I984" s="9"/>
    </row>
    <row r="985" spans="1:9" x14ac:dyDescent="0.25">
      <c r="A985" s="7" t="s">
        <v>1017</v>
      </c>
      <c r="B985" s="7" t="s">
        <v>1028</v>
      </c>
      <c r="C985" s="8" t="s">
        <v>1019</v>
      </c>
      <c r="D985" s="8" t="s">
        <v>43</v>
      </c>
      <c r="E985" s="9" t="s">
        <v>14</v>
      </c>
      <c r="F985" s="9"/>
      <c r="G985" s="9"/>
      <c r="H985" s="9"/>
      <c r="I985" s="9"/>
    </row>
    <row r="986" spans="1:9" x14ac:dyDescent="0.25">
      <c r="A986" s="7" t="s">
        <v>1017</v>
      </c>
      <c r="B986" s="7" t="s">
        <v>1029</v>
      </c>
      <c r="C986" s="7" t="s">
        <v>1019</v>
      </c>
      <c r="D986" s="8" t="s">
        <v>570</v>
      </c>
      <c r="E986" s="9" t="s">
        <v>14</v>
      </c>
      <c r="F986" s="9"/>
      <c r="G986" s="9"/>
      <c r="H986" s="9" t="s">
        <v>14</v>
      </c>
      <c r="I986" s="9"/>
    </row>
    <row r="987" spans="1:9" x14ac:dyDescent="0.25">
      <c r="A987" s="7" t="s">
        <v>1030</v>
      </c>
      <c r="B987" s="7" t="s">
        <v>1030</v>
      </c>
      <c r="C987" s="8" t="s">
        <v>1031</v>
      </c>
      <c r="D987" s="8" t="s">
        <v>13</v>
      </c>
      <c r="E987" s="9" t="s">
        <v>14</v>
      </c>
      <c r="F987" s="9"/>
      <c r="G987" s="9"/>
      <c r="H987" s="9"/>
      <c r="I987" s="9"/>
    </row>
    <row r="988" spans="1:9" x14ac:dyDescent="0.25">
      <c r="A988" s="7" t="s">
        <v>1028</v>
      </c>
      <c r="B988" s="7" t="s">
        <v>1028</v>
      </c>
      <c r="C988" s="8" t="s">
        <v>1032</v>
      </c>
      <c r="D988" s="8" t="s">
        <v>13</v>
      </c>
      <c r="E988" s="9" t="s">
        <v>14</v>
      </c>
      <c r="F988" s="9"/>
      <c r="G988" s="9"/>
      <c r="H988" s="9"/>
      <c r="I988" s="9"/>
    </row>
    <row r="989" spans="1:9" x14ac:dyDescent="0.25">
      <c r="A989" s="7" t="s">
        <v>1033</v>
      </c>
      <c r="B989" s="7" t="s">
        <v>1033</v>
      </c>
      <c r="C989" s="8" t="s">
        <v>1034</v>
      </c>
      <c r="D989" s="8" t="s">
        <v>13</v>
      </c>
      <c r="E989" s="9" t="s">
        <v>14</v>
      </c>
      <c r="F989" s="9"/>
      <c r="G989" s="9"/>
      <c r="H989" s="9"/>
      <c r="I989" s="9"/>
    </row>
    <row r="990" spans="1:9" x14ac:dyDescent="0.25">
      <c r="A990" s="7" t="s">
        <v>1035</v>
      </c>
      <c r="B990" s="7" t="s">
        <v>1035</v>
      </c>
      <c r="C990" s="8" t="s">
        <v>1036</v>
      </c>
      <c r="D990" s="8" t="s">
        <v>13</v>
      </c>
      <c r="E990" s="9" t="s">
        <v>14</v>
      </c>
      <c r="F990" s="9"/>
      <c r="G990" s="9"/>
      <c r="H990" s="9"/>
      <c r="I990" s="9"/>
    </row>
    <row r="991" spans="1:9" x14ac:dyDescent="0.25">
      <c r="A991" s="7" t="s">
        <v>1037</v>
      </c>
      <c r="B991" s="7" t="s">
        <v>1037</v>
      </c>
      <c r="C991" s="8" t="s">
        <v>1038</v>
      </c>
      <c r="D991" s="8" t="s">
        <v>13</v>
      </c>
      <c r="E991" s="9" t="s">
        <v>14</v>
      </c>
      <c r="F991" s="9"/>
      <c r="G991" s="9"/>
      <c r="H991" s="9"/>
      <c r="I991" s="9"/>
    </row>
    <row r="992" spans="1:9" x14ac:dyDescent="0.25">
      <c r="A992" s="7" t="s">
        <v>1039</v>
      </c>
      <c r="B992" s="7" t="s">
        <v>1039</v>
      </c>
      <c r="C992" s="8" t="s">
        <v>1040</v>
      </c>
      <c r="D992" s="8" t="s">
        <v>13</v>
      </c>
      <c r="E992" s="9" t="s">
        <v>14</v>
      </c>
      <c r="F992" s="9"/>
      <c r="G992" s="9"/>
      <c r="H992" s="9"/>
      <c r="I992" s="9"/>
    </row>
    <row r="993" spans="1:9" x14ac:dyDescent="0.25">
      <c r="A993" s="7" t="s">
        <v>1041</v>
      </c>
      <c r="B993" s="7" t="s">
        <v>1041</v>
      </c>
      <c r="C993" s="8" t="s">
        <v>1042</v>
      </c>
      <c r="D993" s="8" t="s">
        <v>13</v>
      </c>
      <c r="E993" s="9" t="s">
        <v>14</v>
      </c>
      <c r="F993" s="9"/>
      <c r="G993" s="9"/>
      <c r="H993" s="9"/>
      <c r="I993" s="9"/>
    </row>
    <row r="994" spans="1:9" x14ac:dyDescent="0.25">
      <c r="A994" s="7" t="s">
        <v>1043</v>
      </c>
      <c r="B994" s="7" t="s">
        <v>1043</v>
      </c>
      <c r="C994" s="8" t="s">
        <v>1044</v>
      </c>
      <c r="D994" s="8" t="s">
        <v>13</v>
      </c>
      <c r="E994" s="9" t="s">
        <v>14</v>
      </c>
      <c r="F994" s="9"/>
      <c r="G994" s="9"/>
      <c r="H994" s="9"/>
      <c r="I994" s="9"/>
    </row>
    <row r="995" spans="1:9" x14ac:dyDescent="0.25">
      <c r="A995" s="7" t="s">
        <v>1045</v>
      </c>
      <c r="B995" s="7" t="s">
        <v>1045</v>
      </c>
      <c r="C995" s="8" t="s">
        <v>1046</v>
      </c>
      <c r="D995" s="8" t="s">
        <v>13</v>
      </c>
      <c r="E995" s="9" t="s">
        <v>14</v>
      </c>
      <c r="F995" s="9"/>
      <c r="G995" s="9"/>
      <c r="H995" s="9"/>
      <c r="I995" s="9"/>
    </row>
    <row r="996" spans="1:9" x14ac:dyDescent="0.25">
      <c r="A996" s="7" t="s">
        <v>1047</v>
      </c>
      <c r="B996" s="7" t="s">
        <v>1047</v>
      </c>
      <c r="C996" s="8" t="s">
        <v>1048</v>
      </c>
      <c r="D996" s="8" t="s">
        <v>13</v>
      </c>
      <c r="E996" s="9" t="s">
        <v>14</v>
      </c>
      <c r="F996" s="9"/>
      <c r="G996" s="9"/>
      <c r="H996" s="9"/>
      <c r="I996" s="9"/>
    </row>
    <row r="997" spans="1:9" x14ac:dyDescent="0.25">
      <c r="A997" s="7" t="s">
        <v>1049</v>
      </c>
      <c r="B997" s="7" t="s">
        <v>1049</v>
      </c>
      <c r="C997" s="7" t="s">
        <v>1050</v>
      </c>
      <c r="D997" s="8" t="s">
        <v>13</v>
      </c>
      <c r="E997" s="9" t="s">
        <v>14</v>
      </c>
      <c r="F997" s="9"/>
      <c r="G997" s="9"/>
      <c r="H997" s="9"/>
      <c r="I997" s="9"/>
    </row>
    <row r="998" spans="1:9" x14ac:dyDescent="0.25">
      <c r="A998" s="7" t="s">
        <v>1051</v>
      </c>
      <c r="B998" s="7" t="s">
        <v>1051</v>
      </c>
      <c r="C998" s="8" t="s">
        <v>1052</v>
      </c>
      <c r="D998" s="8" t="s">
        <v>13</v>
      </c>
      <c r="E998" s="9" t="s">
        <v>14</v>
      </c>
      <c r="F998" s="9"/>
      <c r="G998" s="9"/>
      <c r="H998" s="9"/>
      <c r="I998" s="9"/>
    </row>
    <row r="999" spans="1:9" x14ac:dyDescent="0.25">
      <c r="A999" s="7" t="s">
        <v>1053</v>
      </c>
      <c r="B999" s="7" t="s">
        <v>1053</v>
      </c>
      <c r="C999" s="7" t="s">
        <v>1054</v>
      </c>
      <c r="D999" s="8" t="s">
        <v>52</v>
      </c>
      <c r="E999" s="9" t="s">
        <v>14</v>
      </c>
      <c r="F999" s="9"/>
      <c r="G999" s="9"/>
      <c r="H999" s="9"/>
      <c r="I999" s="9"/>
    </row>
    <row r="1000" spans="1:9" x14ac:dyDescent="0.25">
      <c r="A1000" s="7" t="s">
        <v>1053</v>
      </c>
      <c r="B1000" s="7" t="s">
        <v>1055</v>
      </c>
      <c r="C1000" s="8" t="s">
        <v>1054</v>
      </c>
      <c r="D1000" s="8" t="s">
        <v>18</v>
      </c>
      <c r="E1000" s="9" t="s">
        <v>14</v>
      </c>
      <c r="F1000" s="9"/>
      <c r="G1000" s="9"/>
      <c r="H1000" s="9"/>
      <c r="I1000" s="9"/>
    </row>
    <row r="1001" spans="1:9" x14ac:dyDescent="0.25">
      <c r="A1001" s="7" t="s">
        <v>1056</v>
      </c>
      <c r="B1001" s="7" t="s">
        <v>1057</v>
      </c>
      <c r="C1001" s="8" t="s">
        <v>1058</v>
      </c>
      <c r="D1001" s="8" t="s">
        <v>36</v>
      </c>
      <c r="E1001" s="9" t="s">
        <v>14</v>
      </c>
      <c r="F1001" s="9"/>
      <c r="G1001" s="9"/>
      <c r="H1001" s="9"/>
      <c r="I1001" s="9"/>
    </row>
    <row r="1002" spans="1:9" x14ac:dyDescent="0.25">
      <c r="A1002" s="7" t="s">
        <v>1056</v>
      </c>
      <c r="B1002" s="7" t="s">
        <v>1057</v>
      </c>
      <c r="C1002" s="7" t="s">
        <v>1058</v>
      </c>
      <c r="D1002" s="8" t="s">
        <v>106</v>
      </c>
      <c r="E1002" s="9" t="s">
        <v>14</v>
      </c>
      <c r="F1002" s="9"/>
      <c r="G1002" s="9"/>
      <c r="H1002" s="9"/>
      <c r="I1002" s="9"/>
    </row>
    <row r="1003" spans="1:9" x14ac:dyDescent="0.25">
      <c r="A1003" s="7" t="s">
        <v>1056</v>
      </c>
      <c r="B1003" s="7" t="s">
        <v>1059</v>
      </c>
      <c r="C1003" s="8" t="s">
        <v>1058</v>
      </c>
      <c r="D1003" s="8" t="s">
        <v>235</v>
      </c>
      <c r="E1003" s="9" t="s">
        <v>14</v>
      </c>
      <c r="F1003" s="9"/>
      <c r="G1003" s="9"/>
      <c r="H1003" s="9"/>
      <c r="I1003" s="9"/>
    </row>
    <row r="1004" spans="1:9" x14ac:dyDescent="0.25">
      <c r="A1004" s="7" t="s">
        <v>1056</v>
      </c>
      <c r="B1004" s="7" t="s">
        <v>1060</v>
      </c>
      <c r="C1004" s="7" t="s">
        <v>1058</v>
      </c>
      <c r="D1004" s="8" t="s">
        <v>102</v>
      </c>
      <c r="E1004" s="9" t="s">
        <v>14</v>
      </c>
      <c r="F1004" s="9"/>
      <c r="G1004" s="9"/>
      <c r="H1004" s="9"/>
      <c r="I1004" s="9"/>
    </row>
    <row r="1005" spans="1:9" x14ac:dyDescent="0.25">
      <c r="A1005" s="7" t="s">
        <v>1056</v>
      </c>
      <c r="B1005" s="7" t="s">
        <v>1060</v>
      </c>
      <c r="C1005" s="8" t="s">
        <v>1058</v>
      </c>
      <c r="D1005" s="8" t="s">
        <v>530</v>
      </c>
      <c r="E1005" s="9" t="s">
        <v>14</v>
      </c>
      <c r="F1005" s="9"/>
      <c r="G1005" s="9"/>
      <c r="H1005" s="9"/>
      <c r="I1005" s="9"/>
    </row>
    <row r="1006" spans="1:9" x14ac:dyDescent="0.25">
      <c r="A1006" s="7" t="s">
        <v>1056</v>
      </c>
      <c r="B1006" s="7" t="s">
        <v>1061</v>
      </c>
      <c r="C1006" s="7" t="s">
        <v>1058</v>
      </c>
      <c r="D1006" s="8" t="s">
        <v>275</v>
      </c>
      <c r="E1006" s="9" t="s">
        <v>14</v>
      </c>
      <c r="F1006" s="9"/>
      <c r="G1006" s="9"/>
      <c r="H1006" s="9"/>
      <c r="I1006" s="9"/>
    </row>
    <row r="1007" spans="1:9" x14ac:dyDescent="0.25">
      <c r="A1007" s="7" t="s">
        <v>1056</v>
      </c>
      <c r="B1007" s="7" t="s">
        <v>1062</v>
      </c>
      <c r="C1007" s="7" t="s">
        <v>1058</v>
      </c>
      <c r="D1007" s="8" t="s">
        <v>118</v>
      </c>
      <c r="E1007" s="9" t="s">
        <v>14</v>
      </c>
      <c r="F1007" s="9"/>
      <c r="G1007" s="9"/>
      <c r="H1007" s="9"/>
      <c r="I1007" s="9"/>
    </row>
    <row r="1008" spans="1:9" x14ac:dyDescent="0.25">
      <c r="A1008" s="7" t="s">
        <v>1056</v>
      </c>
      <c r="B1008" s="7" t="s">
        <v>1062</v>
      </c>
      <c r="C1008" s="7" t="s">
        <v>1058</v>
      </c>
      <c r="D1008" s="8" t="s">
        <v>243</v>
      </c>
      <c r="E1008" s="9" t="s">
        <v>14</v>
      </c>
      <c r="F1008" s="9"/>
      <c r="G1008" s="9"/>
      <c r="H1008" s="9"/>
      <c r="I1008" s="9"/>
    </row>
    <row r="1009" spans="1:9" x14ac:dyDescent="0.25">
      <c r="A1009" s="7" t="s">
        <v>1056</v>
      </c>
      <c r="B1009" s="7" t="s">
        <v>1063</v>
      </c>
      <c r="C1009" s="7" t="s">
        <v>1058</v>
      </c>
      <c r="D1009" s="8" t="s">
        <v>366</v>
      </c>
      <c r="E1009" s="9" t="s">
        <v>14</v>
      </c>
      <c r="F1009" s="9"/>
      <c r="G1009" s="9"/>
      <c r="H1009" s="9"/>
      <c r="I1009" s="9"/>
    </row>
    <row r="1010" spans="1:9" x14ac:dyDescent="0.25">
      <c r="A1010" s="7" t="s">
        <v>1056</v>
      </c>
      <c r="B1010" s="7" t="s">
        <v>1064</v>
      </c>
      <c r="C1010" s="8" t="s">
        <v>1058</v>
      </c>
      <c r="D1010" s="8" t="s">
        <v>195</v>
      </c>
      <c r="E1010" s="9" t="s">
        <v>14</v>
      </c>
      <c r="F1010" s="9"/>
      <c r="G1010" s="9"/>
      <c r="H1010" s="9"/>
      <c r="I1010" s="9"/>
    </row>
    <row r="1011" spans="1:9" x14ac:dyDescent="0.25">
      <c r="A1011" s="7" t="s">
        <v>1056</v>
      </c>
      <c r="B1011" s="7" t="s">
        <v>1064</v>
      </c>
      <c r="C1011" s="8" t="s">
        <v>1058</v>
      </c>
      <c r="D1011" s="8" t="s">
        <v>650</v>
      </c>
      <c r="E1011" s="9" t="s">
        <v>14</v>
      </c>
      <c r="F1011" s="9"/>
      <c r="G1011" s="9"/>
      <c r="H1011" s="9"/>
      <c r="I1011" s="9"/>
    </row>
    <row r="1012" spans="1:9" x14ac:dyDescent="0.25">
      <c r="A1012" s="7" t="s">
        <v>1056</v>
      </c>
      <c r="B1012" s="7" t="s">
        <v>1065</v>
      </c>
      <c r="C1012" s="8" t="s">
        <v>1058</v>
      </c>
      <c r="D1012" s="8" t="s">
        <v>371</v>
      </c>
      <c r="E1012" s="9" t="s">
        <v>14</v>
      </c>
      <c r="F1012" s="9"/>
      <c r="G1012" s="9"/>
      <c r="H1012" s="9"/>
      <c r="I1012" s="9"/>
    </row>
    <row r="1013" spans="1:9" x14ac:dyDescent="0.25">
      <c r="A1013" s="7" t="s">
        <v>1056</v>
      </c>
      <c r="B1013" s="7" t="s">
        <v>1066</v>
      </c>
      <c r="C1013" s="7" t="s">
        <v>1058</v>
      </c>
      <c r="D1013" s="8" t="s">
        <v>13</v>
      </c>
      <c r="E1013" s="9" t="s">
        <v>14</v>
      </c>
      <c r="F1013" s="9"/>
      <c r="G1013" s="9"/>
      <c r="H1013" s="9" t="s">
        <v>14</v>
      </c>
      <c r="I1013" s="9"/>
    </row>
    <row r="1014" spans="1:9" x14ac:dyDescent="0.25">
      <c r="A1014" s="7" t="s">
        <v>1056</v>
      </c>
      <c r="B1014" s="7" t="s">
        <v>1066</v>
      </c>
      <c r="C1014" s="8" t="s">
        <v>1058</v>
      </c>
      <c r="D1014" s="8" t="s">
        <v>39</v>
      </c>
      <c r="E1014" s="9" t="s">
        <v>14</v>
      </c>
      <c r="F1014" s="9"/>
      <c r="G1014" s="9"/>
      <c r="H1014" s="9" t="s">
        <v>14</v>
      </c>
      <c r="I1014" s="9"/>
    </row>
    <row r="1015" spans="1:9" x14ac:dyDescent="0.25">
      <c r="A1015" s="7" t="s">
        <v>1056</v>
      </c>
      <c r="B1015" s="7" t="s">
        <v>1067</v>
      </c>
      <c r="C1015" s="8" t="s">
        <v>1058</v>
      </c>
      <c r="D1015" s="8" t="s">
        <v>247</v>
      </c>
      <c r="E1015" s="9" t="s">
        <v>14</v>
      </c>
      <c r="F1015" s="9"/>
      <c r="G1015" s="9"/>
      <c r="H1015" s="9" t="s">
        <v>14</v>
      </c>
      <c r="I1015" s="9"/>
    </row>
    <row r="1016" spans="1:9" x14ac:dyDescent="0.25">
      <c r="A1016" s="7" t="s">
        <v>1056</v>
      </c>
      <c r="B1016" s="7" t="s">
        <v>1067</v>
      </c>
      <c r="C1016" s="8" t="s">
        <v>1058</v>
      </c>
      <c r="D1016" s="8" t="s">
        <v>177</v>
      </c>
      <c r="E1016" s="9" t="s">
        <v>14</v>
      </c>
      <c r="F1016" s="9"/>
      <c r="G1016" s="9"/>
      <c r="H1016" s="9" t="s">
        <v>14</v>
      </c>
      <c r="I1016" s="9"/>
    </row>
    <row r="1017" spans="1:9" x14ac:dyDescent="0.25">
      <c r="A1017" s="7" t="s">
        <v>1056</v>
      </c>
      <c r="B1017" s="7" t="s">
        <v>1068</v>
      </c>
      <c r="C1017" s="7" t="s">
        <v>1058</v>
      </c>
      <c r="D1017" s="8" t="s">
        <v>122</v>
      </c>
      <c r="E1017" s="9" t="s">
        <v>14</v>
      </c>
      <c r="F1017" s="9"/>
      <c r="G1017" s="9"/>
      <c r="H1017" s="9" t="s">
        <v>14</v>
      </c>
      <c r="I1017" s="9"/>
    </row>
    <row r="1018" spans="1:9" x14ac:dyDescent="0.25">
      <c r="A1018" s="7" t="s">
        <v>1056</v>
      </c>
      <c r="B1018" s="7" t="s">
        <v>1069</v>
      </c>
      <c r="C1018" s="8" t="s">
        <v>1058</v>
      </c>
      <c r="D1018" s="8" t="s">
        <v>453</v>
      </c>
      <c r="E1018" s="9" t="s">
        <v>14</v>
      </c>
      <c r="F1018" s="9"/>
      <c r="G1018" s="9"/>
      <c r="H1018" s="9" t="s">
        <v>14</v>
      </c>
      <c r="I1018" s="9"/>
    </row>
    <row r="1019" spans="1:9" x14ac:dyDescent="0.25">
      <c r="A1019" s="7" t="s">
        <v>1056</v>
      </c>
      <c r="B1019" s="7" t="s">
        <v>1070</v>
      </c>
      <c r="C1019" s="7" t="s">
        <v>1058</v>
      </c>
      <c r="D1019" s="8" t="s">
        <v>46</v>
      </c>
      <c r="E1019" s="9" t="s">
        <v>14</v>
      </c>
      <c r="F1019" s="9"/>
      <c r="G1019" s="9"/>
      <c r="H1019" s="9" t="s">
        <v>14</v>
      </c>
      <c r="I1019" s="9"/>
    </row>
    <row r="1020" spans="1:9" x14ac:dyDescent="0.25">
      <c r="A1020" s="7" t="s">
        <v>1056</v>
      </c>
      <c r="B1020" s="7" t="s">
        <v>1071</v>
      </c>
      <c r="C1020" s="7" t="s">
        <v>1058</v>
      </c>
      <c r="D1020" s="8" t="s">
        <v>339</v>
      </c>
      <c r="E1020" s="9" t="s">
        <v>14</v>
      </c>
      <c r="F1020" s="9"/>
      <c r="G1020" s="9"/>
      <c r="H1020" s="9" t="s">
        <v>14</v>
      </c>
      <c r="I1020" s="9"/>
    </row>
    <row r="1021" spans="1:9" x14ac:dyDescent="0.25">
      <c r="A1021" s="7" t="s">
        <v>1056</v>
      </c>
      <c r="B1021" s="7" t="s">
        <v>1072</v>
      </c>
      <c r="C1021" s="7" t="s">
        <v>1058</v>
      </c>
      <c r="D1021" s="8" t="s">
        <v>28</v>
      </c>
      <c r="E1021" s="9" t="s">
        <v>14</v>
      </c>
      <c r="F1021" s="9"/>
      <c r="G1021" s="9"/>
      <c r="H1021" s="9"/>
      <c r="I1021" s="9"/>
    </row>
    <row r="1022" spans="1:9" x14ac:dyDescent="0.25">
      <c r="A1022" s="7" t="s">
        <v>1056</v>
      </c>
      <c r="B1022" s="7" t="s">
        <v>1073</v>
      </c>
      <c r="C1022" s="7" t="s">
        <v>1058</v>
      </c>
      <c r="D1022" s="8" t="s">
        <v>344</v>
      </c>
      <c r="E1022" s="9" t="s">
        <v>14</v>
      </c>
      <c r="F1022" s="9"/>
      <c r="G1022" s="9"/>
      <c r="H1022" s="9"/>
      <c r="I1022" s="9"/>
    </row>
    <row r="1023" spans="1:9" x14ac:dyDescent="0.25">
      <c r="A1023" s="7" t="s">
        <v>1056</v>
      </c>
      <c r="B1023" s="7" t="s">
        <v>1074</v>
      </c>
      <c r="C1023" s="7" t="s">
        <v>1058</v>
      </c>
      <c r="D1023" s="8" t="s">
        <v>48</v>
      </c>
      <c r="E1023" s="9" t="s">
        <v>14</v>
      </c>
      <c r="F1023" s="9"/>
      <c r="G1023" s="9"/>
      <c r="H1023" s="9"/>
      <c r="I1023" s="9"/>
    </row>
    <row r="1024" spans="1:9" x14ac:dyDescent="0.25">
      <c r="A1024" s="7" t="s">
        <v>1056</v>
      </c>
      <c r="B1024" s="7" t="s">
        <v>1074</v>
      </c>
      <c r="C1024" s="7" t="s">
        <v>1058</v>
      </c>
      <c r="D1024" s="8" t="s">
        <v>16</v>
      </c>
      <c r="E1024" s="9" t="s">
        <v>14</v>
      </c>
      <c r="F1024" s="9"/>
      <c r="G1024" s="9"/>
      <c r="H1024" s="9"/>
      <c r="I1024" s="9"/>
    </row>
    <row r="1025" spans="1:9" x14ac:dyDescent="0.25">
      <c r="A1025" s="7" t="s">
        <v>1056</v>
      </c>
      <c r="B1025" s="7" t="s">
        <v>1074</v>
      </c>
      <c r="C1025" s="7" t="s">
        <v>1058</v>
      </c>
      <c r="D1025" s="8" t="s">
        <v>29</v>
      </c>
      <c r="E1025" s="9" t="s">
        <v>14</v>
      </c>
      <c r="F1025" s="9"/>
      <c r="G1025" s="9"/>
      <c r="H1025" s="9"/>
      <c r="I1025" s="9"/>
    </row>
    <row r="1026" spans="1:9" x14ac:dyDescent="0.25">
      <c r="A1026" s="7" t="s">
        <v>1056</v>
      </c>
      <c r="B1026" s="7" t="s">
        <v>1075</v>
      </c>
      <c r="C1026" s="7" t="s">
        <v>1058</v>
      </c>
      <c r="D1026" s="8" t="s">
        <v>180</v>
      </c>
      <c r="E1026" s="9" t="s">
        <v>14</v>
      </c>
      <c r="F1026" s="9"/>
      <c r="G1026" s="9"/>
      <c r="H1026" s="9"/>
      <c r="I1026" s="9"/>
    </row>
    <row r="1027" spans="1:9" x14ac:dyDescent="0.25">
      <c r="A1027" s="7" t="s">
        <v>1056</v>
      </c>
      <c r="B1027" s="7" t="s">
        <v>1075</v>
      </c>
      <c r="C1027" s="7" t="s">
        <v>1058</v>
      </c>
      <c r="D1027" s="8" t="s">
        <v>116</v>
      </c>
      <c r="E1027" s="9" t="s">
        <v>14</v>
      </c>
      <c r="F1027" s="9"/>
      <c r="G1027" s="9"/>
      <c r="H1027" s="9"/>
      <c r="I1027" s="9"/>
    </row>
    <row r="1028" spans="1:9" x14ac:dyDescent="0.25">
      <c r="A1028" s="7" t="s">
        <v>1056</v>
      </c>
      <c r="B1028" s="7" t="s">
        <v>1076</v>
      </c>
      <c r="C1028" s="7" t="s">
        <v>1058</v>
      </c>
      <c r="D1028" s="8" t="s">
        <v>53</v>
      </c>
      <c r="E1028" s="9" t="s">
        <v>14</v>
      </c>
      <c r="F1028" s="9"/>
      <c r="G1028" s="9"/>
      <c r="H1028" s="9"/>
      <c r="I1028" s="9"/>
    </row>
    <row r="1029" spans="1:9" x14ac:dyDescent="0.25">
      <c r="A1029" s="7" t="s">
        <v>1056</v>
      </c>
      <c r="B1029" s="7" t="s">
        <v>1076</v>
      </c>
      <c r="C1029" s="7" t="s">
        <v>1058</v>
      </c>
      <c r="D1029" s="8" t="s">
        <v>20</v>
      </c>
      <c r="E1029" s="9" t="s">
        <v>14</v>
      </c>
      <c r="F1029" s="9"/>
      <c r="G1029" s="9"/>
      <c r="H1029" s="9"/>
      <c r="I1029" s="9"/>
    </row>
    <row r="1030" spans="1:9" x14ac:dyDescent="0.25">
      <c r="A1030" s="7" t="s">
        <v>1056</v>
      </c>
      <c r="B1030" s="7" t="s">
        <v>1077</v>
      </c>
      <c r="C1030" s="8" t="s">
        <v>1058</v>
      </c>
      <c r="D1030" s="8" t="s">
        <v>352</v>
      </c>
      <c r="E1030" s="9" t="s">
        <v>14</v>
      </c>
      <c r="F1030" s="9"/>
      <c r="G1030" s="9"/>
      <c r="H1030" s="9"/>
      <c r="I1030" s="9"/>
    </row>
    <row r="1031" spans="1:9" x14ac:dyDescent="0.25">
      <c r="A1031" s="7" t="s">
        <v>1078</v>
      </c>
      <c r="B1031" s="7" t="s">
        <v>1079</v>
      </c>
      <c r="C1031" s="8" t="s">
        <v>1080</v>
      </c>
      <c r="D1031" s="8" t="s">
        <v>13</v>
      </c>
      <c r="E1031" s="9" t="s">
        <v>14</v>
      </c>
      <c r="F1031" s="9"/>
      <c r="G1031" s="9"/>
      <c r="H1031" s="9"/>
      <c r="I1031" s="9"/>
    </row>
    <row r="1032" spans="1:9" x14ac:dyDescent="0.25">
      <c r="A1032" s="7" t="s">
        <v>1078</v>
      </c>
      <c r="B1032" s="7" t="s">
        <v>1081</v>
      </c>
      <c r="C1032" s="8" t="s">
        <v>1080</v>
      </c>
      <c r="D1032" s="8" t="s">
        <v>43</v>
      </c>
      <c r="E1032" s="9" t="s">
        <v>14</v>
      </c>
      <c r="F1032" s="9"/>
      <c r="G1032" s="9"/>
      <c r="H1032" s="9"/>
      <c r="I1032" s="9"/>
    </row>
    <row r="1033" spans="1:9" x14ac:dyDescent="0.25">
      <c r="A1033" s="7" t="s">
        <v>1082</v>
      </c>
      <c r="B1033" s="7" t="s">
        <v>1083</v>
      </c>
      <c r="C1033" s="8" t="s">
        <v>1084</v>
      </c>
      <c r="D1033" s="8" t="s">
        <v>52</v>
      </c>
      <c r="E1033" s="9" t="s">
        <v>14</v>
      </c>
      <c r="F1033" s="9"/>
      <c r="G1033" s="9"/>
      <c r="H1033" s="9"/>
      <c r="I1033" s="9"/>
    </row>
    <row r="1034" spans="1:9" x14ac:dyDescent="0.25">
      <c r="A1034" s="7" t="s">
        <v>1082</v>
      </c>
      <c r="B1034" s="7" t="s">
        <v>1085</v>
      </c>
      <c r="C1034" s="8" t="s">
        <v>1084</v>
      </c>
      <c r="D1034" s="8" t="s">
        <v>53</v>
      </c>
      <c r="E1034" s="9" t="s">
        <v>14</v>
      </c>
      <c r="F1034" s="9"/>
      <c r="G1034" s="9"/>
      <c r="H1034" s="9"/>
      <c r="I1034" s="9"/>
    </row>
    <row r="1035" spans="1:9" x14ac:dyDescent="0.25">
      <c r="A1035" s="7" t="s">
        <v>1082</v>
      </c>
      <c r="B1035" s="7" t="s">
        <v>1086</v>
      </c>
      <c r="C1035" s="8" t="s">
        <v>1084</v>
      </c>
      <c r="D1035" s="8" t="s">
        <v>13</v>
      </c>
      <c r="E1035" s="9" t="s">
        <v>14</v>
      </c>
      <c r="F1035" s="9"/>
      <c r="G1035" s="9"/>
      <c r="H1035" s="9"/>
      <c r="I1035" s="9"/>
    </row>
    <row r="1036" spans="1:9" x14ac:dyDescent="0.25">
      <c r="A1036" s="7" t="s">
        <v>1082</v>
      </c>
      <c r="B1036" s="7" t="s">
        <v>1087</v>
      </c>
      <c r="C1036" s="8" t="s">
        <v>1084</v>
      </c>
      <c r="D1036" s="8" t="s">
        <v>48</v>
      </c>
      <c r="E1036" s="9" t="s">
        <v>14</v>
      </c>
      <c r="F1036" s="9"/>
      <c r="G1036" s="9"/>
      <c r="H1036" s="9"/>
      <c r="I1036" s="9"/>
    </row>
    <row r="1037" spans="1:9" x14ac:dyDescent="0.25">
      <c r="A1037" s="7" t="s">
        <v>1082</v>
      </c>
      <c r="B1037" s="7" t="s">
        <v>1088</v>
      </c>
      <c r="C1037" s="8" t="s">
        <v>1084</v>
      </c>
      <c r="D1037" s="8" t="s">
        <v>43</v>
      </c>
      <c r="E1037" s="9" t="s">
        <v>14</v>
      </c>
      <c r="F1037" s="9"/>
      <c r="G1037" s="9"/>
      <c r="H1037" s="9"/>
      <c r="I1037" s="9"/>
    </row>
    <row r="1038" spans="1:9" x14ac:dyDescent="0.25">
      <c r="A1038" s="7" t="s">
        <v>1082</v>
      </c>
      <c r="B1038" s="7" t="s">
        <v>1089</v>
      </c>
      <c r="C1038" s="8" t="s">
        <v>1084</v>
      </c>
      <c r="D1038" s="8" t="s">
        <v>44</v>
      </c>
      <c r="E1038" s="9" t="s">
        <v>14</v>
      </c>
      <c r="F1038" s="9"/>
      <c r="G1038" s="9"/>
      <c r="H1038" s="9"/>
      <c r="I1038" s="9"/>
    </row>
    <row r="1039" spans="1:9" x14ac:dyDescent="0.25">
      <c r="A1039" s="7" t="s">
        <v>1090</v>
      </c>
      <c r="B1039" s="7" t="s">
        <v>1090</v>
      </c>
      <c r="C1039" s="8" t="s">
        <v>1091</v>
      </c>
      <c r="D1039" s="8" t="s">
        <v>13</v>
      </c>
      <c r="E1039" s="9" t="s">
        <v>14</v>
      </c>
      <c r="F1039" s="9"/>
      <c r="G1039" s="9"/>
      <c r="H1039" s="9"/>
      <c r="I1039" s="9"/>
    </row>
    <row r="1040" spans="1:9" x14ac:dyDescent="0.25">
      <c r="A1040" s="7" t="s">
        <v>1090</v>
      </c>
      <c r="B1040" s="7" t="s">
        <v>1090</v>
      </c>
      <c r="C1040" s="7" t="s">
        <v>1091</v>
      </c>
      <c r="D1040" s="8" t="s">
        <v>16</v>
      </c>
      <c r="E1040" s="9" t="s">
        <v>14</v>
      </c>
      <c r="F1040" s="9"/>
      <c r="G1040" s="9"/>
      <c r="H1040" s="9"/>
      <c r="I1040" s="9"/>
    </row>
    <row r="1041" spans="1:9" x14ac:dyDescent="0.25">
      <c r="A1041" s="7" t="s">
        <v>1090</v>
      </c>
      <c r="B1041" s="7" t="s">
        <v>1090</v>
      </c>
      <c r="C1041" s="7" t="s">
        <v>1091</v>
      </c>
      <c r="D1041" s="8" t="s">
        <v>89</v>
      </c>
      <c r="E1041" s="9" t="s">
        <v>14</v>
      </c>
      <c r="F1041" s="9"/>
      <c r="G1041" s="9"/>
      <c r="H1041" s="9"/>
      <c r="I1041" s="9"/>
    </row>
    <row r="1042" spans="1:9" x14ac:dyDescent="0.25">
      <c r="A1042" s="7" t="s">
        <v>1090</v>
      </c>
      <c r="B1042" s="7" t="s">
        <v>1092</v>
      </c>
      <c r="C1042" s="8" t="s">
        <v>1091</v>
      </c>
      <c r="D1042" s="8" t="s">
        <v>112</v>
      </c>
      <c r="E1042" s="9" t="s">
        <v>14</v>
      </c>
      <c r="F1042" s="9"/>
      <c r="G1042" s="9"/>
      <c r="H1042" s="9"/>
      <c r="I1042" s="9"/>
    </row>
    <row r="1043" spans="1:9" x14ac:dyDescent="0.25">
      <c r="A1043" s="7" t="s">
        <v>1090</v>
      </c>
      <c r="B1043" s="7" t="s">
        <v>1092</v>
      </c>
      <c r="C1043" s="8" t="s">
        <v>1091</v>
      </c>
      <c r="D1043" s="8" t="s">
        <v>329</v>
      </c>
      <c r="E1043" s="9" t="s">
        <v>14</v>
      </c>
      <c r="F1043" s="9"/>
      <c r="G1043" s="9"/>
      <c r="H1043" s="9"/>
      <c r="I1043" s="9"/>
    </row>
    <row r="1044" spans="1:9" x14ac:dyDescent="0.25">
      <c r="A1044" s="7" t="s">
        <v>1090</v>
      </c>
      <c r="B1044" s="7" t="s">
        <v>1093</v>
      </c>
      <c r="C1044" s="7" t="s">
        <v>1091</v>
      </c>
      <c r="D1044" s="8" t="s">
        <v>43</v>
      </c>
      <c r="E1044" s="9" t="s">
        <v>14</v>
      </c>
      <c r="F1044" s="9"/>
      <c r="G1044" s="9"/>
      <c r="H1044" s="9"/>
      <c r="I1044" s="9"/>
    </row>
    <row r="1045" spans="1:9" x14ac:dyDescent="0.25">
      <c r="A1045" s="7" t="s">
        <v>1090</v>
      </c>
      <c r="B1045" s="7" t="s">
        <v>1093</v>
      </c>
      <c r="C1045" s="8" t="s">
        <v>1091</v>
      </c>
      <c r="D1045" s="8" t="s">
        <v>73</v>
      </c>
      <c r="E1045" s="9" t="s">
        <v>14</v>
      </c>
      <c r="F1045" s="9"/>
      <c r="G1045" s="9"/>
      <c r="H1045" s="9"/>
      <c r="I1045" s="9"/>
    </row>
    <row r="1046" spans="1:9" x14ac:dyDescent="0.25">
      <c r="A1046" s="7" t="s">
        <v>1090</v>
      </c>
      <c r="B1046" s="7" t="s">
        <v>1093</v>
      </c>
      <c r="C1046" s="8" t="s">
        <v>1091</v>
      </c>
      <c r="D1046" s="8" t="s">
        <v>29</v>
      </c>
      <c r="E1046" s="9" t="s">
        <v>14</v>
      </c>
      <c r="F1046" s="9"/>
      <c r="G1046" s="9"/>
      <c r="H1046" s="9"/>
      <c r="I1046" s="9"/>
    </row>
    <row r="1047" spans="1:9" x14ac:dyDescent="0.25">
      <c r="A1047" s="7" t="s">
        <v>1090</v>
      </c>
      <c r="B1047" s="7" t="s">
        <v>1094</v>
      </c>
      <c r="C1047" s="7" t="s">
        <v>1091</v>
      </c>
      <c r="D1047" s="8" t="s">
        <v>120</v>
      </c>
      <c r="E1047" s="9" t="s">
        <v>14</v>
      </c>
      <c r="F1047" s="9"/>
      <c r="G1047" s="9"/>
      <c r="H1047" s="9"/>
      <c r="I1047" s="9"/>
    </row>
    <row r="1048" spans="1:9" x14ac:dyDescent="0.25">
      <c r="A1048" s="7" t="s">
        <v>1090</v>
      </c>
      <c r="B1048" s="7" t="s">
        <v>1095</v>
      </c>
      <c r="C1048" s="7" t="s">
        <v>1091</v>
      </c>
      <c r="D1048" s="8" t="s">
        <v>50</v>
      </c>
      <c r="E1048" s="9" t="s">
        <v>14</v>
      </c>
      <c r="F1048" s="9"/>
      <c r="G1048" s="9"/>
      <c r="H1048" s="9"/>
      <c r="I1048" s="9"/>
    </row>
    <row r="1049" spans="1:9" x14ac:dyDescent="0.25">
      <c r="A1049" s="7" t="s">
        <v>1090</v>
      </c>
      <c r="B1049" s="7" t="s">
        <v>1095</v>
      </c>
      <c r="C1049" s="7" t="s">
        <v>1091</v>
      </c>
      <c r="D1049" s="8" t="s">
        <v>122</v>
      </c>
      <c r="E1049" s="9" t="s">
        <v>14</v>
      </c>
      <c r="F1049" s="9"/>
      <c r="G1049" s="9"/>
      <c r="H1049" s="9"/>
      <c r="I1049" s="9"/>
    </row>
    <row r="1050" spans="1:9" x14ac:dyDescent="0.25">
      <c r="A1050" s="7" t="s">
        <v>1090</v>
      </c>
      <c r="B1050" s="7" t="s">
        <v>1096</v>
      </c>
      <c r="C1050" s="7" t="s">
        <v>1091</v>
      </c>
      <c r="D1050" s="8" t="s">
        <v>98</v>
      </c>
      <c r="E1050" s="9" t="s">
        <v>14</v>
      </c>
      <c r="F1050" s="9"/>
      <c r="G1050" s="9"/>
      <c r="H1050" s="9"/>
      <c r="I1050" s="9"/>
    </row>
    <row r="1051" spans="1:9" x14ac:dyDescent="0.25">
      <c r="A1051" s="7" t="s">
        <v>1090</v>
      </c>
      <c r="B1051" s="7" t="s">
        <v>1097</v>
      </c>
      <c r="C1051" s="7" t="s">
        <v>1091</v>
      </c>
      <c r="D1051" s="8" t="s">
        <v>52</v>
      </c>
      <c r="E1051" s="9" t="s">
        <v>14</v>
      </c>
      <c r="F1051" s="9"/>
      <c r="G1051" s="9"/>
      <c r="H1051" s="9"/>
      <c r="I1051" s="9"/>
    </row>
    <row r="1052" spans="1:9" x14ac:dyDescent="0.25">
      <c r="A1052" s="7" t="s">
        <v>1090</v>
      </c>
      <c r="B1052" s="7" t="s">
        <v>1097</v>
      </c>
      <c r="C1052" s="8" t="s">
        <v>1091</v>
      </c>
      <c r="D1052" s="8" t="s">
        <v>60</v>
      </c>
      <c r="E1052" s="9" t="s">
        <v>14</v>
      </c>
      <c r="F1052" s="9"/>
      <c r="G1052" s="9"/>
      <c r="H1052" s="9"/>
      <c r="I1052" s="9"/>
    </row>
    <row r="1053" spans="1:9" x14ac:dyDescent="0.25">
      <c r="A1053" s="7" t="s">
        <v>1090</v>
      </c>
      <c r="B1053" s="7" t="s">
        <v>1097</v>
      </c>
      <c r="C1053" s="8" t="s">
        <v>1091</v>
      </c>
      <c r="D1053" s="8" t="s">
        <v>55</v>
      </c>
      <c r="E1053" s="9" t="s">
        <v>14</v>
      </c>
      <c r="F1053" s="9"/>
      <c r="G1053" s="9"/>
      <c r="H1053" s="9"/>
      <c r="I1053" s="9"/>
    </row>
    <row r="1054" spans="1:9" x14ac:dyDescent="0.25">
      <c r="A1054" s="7" t="s">
        <v>1090</v>
      </c>
      <c r="B1054" s="7" t="s">
        <v>1098</v>
      </c>
      <c r="C1054" s="8" t="s">
        <v>1091</v>
      </c>
      <c r="D1054" s="8" t="s">
        <v>297</v>
      </c>
      <c r="E1054" s="9" t="s">
        <v>14</v>
      </c>
      <c r="F1054" s="9"/>
      <c r="G1054" s="9"/>
      <c r="H1054" s="9"/>
      <c r="I1054" s="9"/>
    </row>
    <row r="1055" spans="1:9" x14ac:dyDescent="0.25">
      <c r="A1055" s="7" t="s">
        <v>1090</v>
      </c>
      <c r="B1055" s="7" t="s">
        <v>1098</v>
      </c>
      <c r="C1055" s="8" t="s">
        <v>1091</v>
      </c>
      <c r="D1055" s="8" t="s">
        <v>108</v>
      </c>
      <c r="E1055" s="9" t="s">
        <v>14</v>
      </c>
      <c r="F1055" s="9"/>
      <c r="G1055" s="9"/>
      <c r="H1055" s="9"/>
      <c r="I1055" s="9"/>
    </row>
    <row r="1056" spans="1:9" x14ac:dyDescent="0.25">
      <c r="A1056" s="7" t="s">
        <v>1090</v>
      </c>
      <c r="B1056" s="7" t="s">
        <v>1099</v>
      </c>
      <c r="C1056" s="8" t="s">
        <v>1091</v>
      </c>
      <c r="D1056" s="8" t="s">
        <v>195</v>
      </c>
      <c r="E1056" s="9" t="s">
        <v>14</v>
      </c>
      <c r="F1056" s="9"/>
      <c r="G1056" s="9"/>
      <c r="H1056" s="9"/>
      <c r="I1056" s="9"/>
    </row>
    <row r="1057" spans="1:9" x14ac:dyDescent="0.25">
      <c r="A1057" s="7" t="s">
        <v>1090</v>
      </c>
      <c r="B1057" s="7" t="s">
        <v>1099</v>
      </c>
      <c r="C1057" s="8" t="s">
        <v>1091</v>
      </c>
      <c r="D1057" s="8" t="s">
        <v>650</v>
      </c>
      <c r="E1057" s="9" t="s">
        <v>14</v>
      </c>
      <c r="F1057" s="9"/>
      <c r="G1057" s="9"/>
      <c r="H1057" s="9"/>
      <c r="I1057" s="9"/>
    </row>
    <row r="1058" spans="1:9" x14ac:dyDescent="0.25">
      <c r="A1058" s="7" t="s">
        <v>1090</v>
      </c>
      <c r="B1058" s="7" t="s">
        <v>1100</v>
      </c>
      <c r="C1058" s="8" t="s">
        <v>1091</v>
      </c>
      <c r="D1058" s="8" t="s">
        <v>333</v>
      </c>
      <c r="E1058" s="9" t="s">
        <v>14</v>
      </c>
      <c r="F1058" s="9"/>
      <c r="G1058" s="9"/>
      <c r="H1058" s="9"/>
      <c r="I1058" s="9"/>
    </row>
    <row r="1059" spans="1:9" x14ac:dyDescent="0.25">
      <c r="A1059" s="7" t="s">
        <v>1101</v>
      </c>
      <c r="B1059" s="7" t="s">
        <v>1101</v>
      </c>
      <c r="C1059" s="8" t="s">
        <v>1102</v>
      </c>
      <c r="D1059" s="8" t="s">
        <v>13</v>
      </c>
      <c r="E1059" s="9" t="s">
        <v>14</v>
      </c>
      <c r="F1059" s="9"/>
      <c r="G1059" s="9"/>
      <c r="H1059" s="9"/>
      <c r="I1059" s="9"/>
    </row>
    <row r="1060" spans="1:9" x14ac:dyDescent="0.25">
      <c r="A1060" s="7" t="s">
        <v>1101</v>
      </c>
      <c r="B1060" s="7" t="s">
        <v>1103</v>
      </c>
      <c r="C1060" s="8" t="s">
        <v>1102</v>
      </c>
      <c r="D1060" s="8" t="s">
        <v>238</v>
      </c>
      <c r="E1060" s="9" t="s">
        <v>14</v>
      </c>
      <c r="F1060" s="9"/>
      <c r="G1060" s="9"/>
      <c r="H1060" s="9"/>
      <c r="I1060" s="9"/>
    </row>
    <row r="1061" spans="1:9" x14ac:dyDescent="0.25">
      <c r="A1061" s="7" t="s">
        <v>1101</v>
      </c>
      <c r="B1061" s="7" t="s">
        <v>1104</v>
      </c>
      <c r="C1061" s="7" t="s">
        <v>1102</v>
      </c>
      <c r="D1061" s="8" t="s">
        <v>52</v>
      </c>
      <c r="E1061" s="9" t="s">
        <v>14</v>
      </c>
      <c r="F1061" s="9"/>
      <c r="G1061" s="9"/>
      <c r="H1061" s="9"/>
      <c r="I1061" s="9"/>
    </row>
    <row r="1062" spans="1:9" x14ac:dyDescent="0.25">
      <c r="A1062" s="7" t="s">
        <v>1101</v>
      </c>
      <c r="B1062" s="7" t="s">
        <v>1105</v>
      </c>
      <c r="C1062" s="7" t="s">
        <v>1102</v>
      </c>
      <c r="D1062" s="8" t="s">
        <v>724</v>
      </c>
      <c r="E1062" s="9" t="s">
        <v>14</v>
      </c>
      <c r="F1062" s="9"/>
      <c r="G1062" s="9"/>
      <c r="H1062" s="9"/>
      <c r="I1062" s="9"/>
    </row>
    <row r="1063" spans="1:9" x14ac:dyDescent="0.25">
      <c r="A1063" s="7" t="s">
        <v>1106</v>
      </c>
      <c r="B1063" s="7" t="s">
        <v>1106</v>
      </c>
      <c r="C1063" s="7" t="s">
        <v>1107</v>
      </c>
      <c r="D1063" s="8" t="s">
        <v>13</v>
      </c>
      <c r="E1063" s="9" t="s">
        <v>14</v>
      </c>
      <c r="F1063" s="9"/>
      <c r="G1063" s="9"/>
      <c r="H1063" s="9"/>
      <c r="I1063" s="9"/>
    </row>
    <row r="1064" spans="1:9" x14ac:dyDescent="0.25">
      <c r="A1064" s="7" t="s">
        <v>1106</v>
      </c>
      <c r="B1064" s="7" t="s">
        <v>1106</v>
      </c>
      <c r="C1064" s="7" t="s">
        <v>1107</v>
      </c>
      <c r="D1064" s="8" t="s">
        <v>32</v>
      </c>
      <c r="E1064" s="9" t="s">
        <v>14</v>
      </c>
      <c r="F1064" s="9"/>
      <c r="G1064" s="9"/>
      <c r="H1064" s="9"/>
      <c r="I1064" s="9"/>
    </row>
    <row r="1065" spans="1:9" x14ac:dyDescent="0.25">
      <c r="A1065" s="7" t="s">
        <v>1106</v>
      </c>
      <c r="B1065" s="7" t="s">
        <v>1108</v>
      </c>
      <c r="C1065" s="7" t="s">
        <v>1107</v>
      </c>
      <c r="D1065" s="8" t="s">
        <v>333</v>
      </c>
      <c r="E1065" s="9" t="s">
        <v>14</v>
      </c>
      <c r="F1065" s="9"/>
      <c r="G1065" s="9"/>
      <c r="H1065" s="9"/>
      <c r="I1065" s="9"/>
    </row>
    <row r="1066" spans="1:9" x14ac:dyDescent="0.25">
      <c r="A1066" s="7" t="s">
        <v>1106</v>
      </c>
      <c r="B1066" s="7" t="s">
        <v>1108</v>
      </c>
      <c r="C1066" s="8" t="s">
        <v>1107</v>
      </c>
      <c r="D1066" s="8" t="s">
        <v>108</v>
      </c>
      <c r="E1066" s="9" t="s">
        <v>14</v>
      </c>
      <c r="F1066" s="9"/>
      <c r="G1066" s="9"/>
      <c r="H1066" s="9"/>
      <c r="I1066" s="9"/>
    </row>
    <row r="1067" spans="1:9" x14ac:dyDescent="0.25">
      <c r="A1067" s="7" t="s">
        <v>1106</v>
      </c>
      <c r="B1067" s="7" t="s">
        <v>1109</v>
      </c>
      <c r="C1067" s="8" t="s">
        <v>1107</v>
      </c>
      <c r="D1067" s="8" t="s">
        <v>53</v>
      </c>
      <c r="E1067" s="9" t="s">
        <v>14</v>
      </c>
      <c r="F1067" s="9"/>
      <c r="G1067" s="9"/>
      <c r="H1067" s="9"/>
      <c r="I1067" s="9"/>
    </row>
    <row r="1068" spans="1:9" x14ac:dyDescent="0.25">
      <c r="A1068" s="7" t="s">
        <v>1106</v>
      </c>
      <c r="B1068" s="7" t="s">
        <v>1109</v>
      </c>
      <c r="C1068" s="8" t="s">
        <v>1107</v>
      </c>
      <c r="D1068" s="8" t="s">
        <v>28</v>
      </c>
      <c r="E1068" s="9" t="s">
        <v>14</v>
      </c>
      <c r="F1068" s="9"/>
      <c r="G1068" s="9"/>
      <c r="H1068" s="9"/>
      <c r="I1068" s="9"/>
    </row>
    <row r="1069" spans="1:9" x14ac:dyDescent="0.25">
      <c r="A1069" s="7" t="s">
        <v>1106</v>
      </c>
      <c r="B1069" s="7" t="s">
        <v>1110</v>
      </c>
      <c r="C1069" s="8" t="s">
        <v>1107</v>
      </c>
      <c r="D1069" s="8" t="s">
        <v>307</v>
      </c>
      <c r="E1069" s="9" t="s">
        <v>14</v>
      </c>
      <c r="F1069" s="9"/>
      <c r="G1069" s="9"/>
      <c r="H1069" s="9"/>
      <c r="I1069" s="9"/>
    </row>
    <row r="1070" spans="1:9" x14ac:dyDescent="0.25">
      <c r="A1070" s="7" t="s">
        <v>1106</v>
      </c>
      <c r="B1070" s="7" t="s">
        <v>1111</v>
      </c>
      <c r="C1070" s="8" t="s">
        <v>1107</v>
      </c>
      <c r="D1070" s="8" t="s">
        <v>46</v>
      </c>
      <c r="E1070" s="9" t="s">
        <v>14</v>
      </c>
      <c r="F1070" s="9"/>
      <c r="G1070" s="9"/>
      <c r="H1070" s="9"/>
      <c r="I1070" s="9"/>
    </row>
    <row r="1071" spans="1:9" x14ac:dyDescent="0.25">
      <c r="A1071" s="7" t="s">
        <v>1106</v>
      </c>
      <c r="B1071" s="7" t="s">
        <v>1112</v>
      </c>
      <c r="C1071" s="8" t="s">
        <v>1107</v>
      </c>
      <c r="D1071" s="8" t="s">
        <v>258</v>
      </c>
      <c r="E1071" s="9" t="s">
        <v>14</v>
      </c>
      <c r="F1071" s="9"/>
      <c r="G1071" s="9"/>
      <c r="H1071" s="9"/>
      <c r="I1071" s="9"/>
    </row>
    <row r="1072" spans="1:9" x14ac:dyDescent="0.25">
      <c r="A1072" s="7" t="s">
        <v>1106</v>
      </c>
      <c r="B1072" s="7" t="s">
        <v>1113</v>
      </c>
      <c r="C1072" s="8" t="s">
        <v>1107</v>
      </c>
      <c r="D1072" s="8" t="s">
        <v>39</v>
      </c>
      <c r="E1072" s="9" t="s">
        <v>14</v>
      </c>
      <c r="F1072" s="9"/>
      <c r="G1072" s="9"/>
      <c r="H1072" s="9"/>
      <c r="I1072" s="9"/>
    </row>
    <row r="1073" spans="1:9" x14ac:dyDescent="0.25">
      <c r="A1073" s="7" t="s">
        <v>1106</v>
      </c>
      <c r="B1073" s="7" t="s">
        <v>1114</v>
      </c>
      <c r="C1073" s="8" t="s">
        <v>1107</v>
      </c>
      <c r="D1073" s="8" t="s">
        <v>608</v>
      </c>
      <c r="E1073" s="9" t="s">
        <v>14</v>
      </c>
      <c r="F1073" s="9"/>
      <c r="G1073" s="9"/>
      <c r="H1073" s="9"/>
      <c r="I1073" s="9"/>
    </row>
    <row r="1074" spans="1:9" x14ac:dyDescent="0.25">
      <c r="A1074" s="7" t="s">
        <v>1106</v>
      </c>
      <c r="B1074" s="7" t="s">
        <v>1115</v>
      </c>
      <c r="C1074" s="8" t="s">
        <v>1107</v>
      </c>
      <c r="D1074" s="8" t="s">
        <v>344</v>
      </c>
      <c r="E1074" s="9" t="s">
        <v>14</v>
      </c>
      <c r="F1074" s="9"/>
      <c r="G1074" s="9"/>
      <c r="H1074" s="9"/>
      <c r="I1074" s="9"/>
    </row>
    <row r="1075" spans="1:9" x14ac:dyDescent="0.25">
      <c r="A1075" s="7" t="s">
        <v>1106</v>
      </c>
      <c r="B1075" s="7" t="s">
        <v>1115</v>
      </c>
      <c r="C1075" s="8" t="s">
        <v>1107</v>
      </c>
      <c r="D1075" s="8" t="s">
        <v>124</v>
      </c>
      <c r="E1075" s="9" t="s">
        <v>14</v>
      </c>
      <c r="F1075" s="9"/>
      <c r="G1075" s="9"/>
      <c r="H1075" s="9"/>
      <c r="I1075" s="9"/>
    </row>
    <row r="1076" spans="1:9" x14ac:dyDescent="0.25">
      <c r="A1076" s="7" t="s">
        <v>1106</v>
      </c>
      <c r="B1076" s="7" t="s">
        <v>1116</v>
      </c>
      <c r="C1076" s="7" t="s">
        <v>1107</v>
      </c>
      <c r="D1076" s="8" t="s">
        <v>166</v>
      </c>
      <c r="E1076" s="9" t="s">
        <v>14</v>
      </c>
      <c r="F1076" s="9"/>
      <c r="G1076" s="9"/>
      <c r="H1076" s="9"/>
      <c r="I1076" s="9"/>
    </row>
    <row r="1077" spans="1:9" x14ac:dyDescent="0.25">
      <c r="A1077" s="7" t="s">
        <v>1106</v>
      </c>
      <c r="B1077" s="7" t="s">
        <v>1116</v>
      </c>
      <c r="C1077" s="7" t="s">
        <v>1107</v>
      </c>
      <c r="D1077" s="8" t="s">
        <v>113</v>
      </c>
      <c r="E1077" s="9" t="s">
        <v>14</v>
      </c>
      <c r="F1077" s="9"/>
      <c r="G1077" s="9"/>
      <c r="H1077" s="9"/>
      <c r="I1077" s="9"/>
    </row>
    <row r="1078" spans="1:9" x14ac:dyDescent="0.25">
      <c r="A1078" s="7" t="s">
        <v>1106</v>
      </c>
      <c r="B1078" s="7" t="s">
        <v>1117</v>
      </c>
      <c r="C1078" s="7" t="s">
        <v>1107</v>
      </c>
      <c r="D1078" s="8" t="s">
        <v>329</v>
      </c>
      <c r="E1078" s="9" t="s">
        <v>14</v>
      </c>
      <c r="F1078" s="9"/>
      <c r="G1078" s="9"/>
      <c r="H1078" s="9"/>
      <c r="I1078" s="9"/>
    </row>
    <row r="1079" spans="1:9" x14ac:dyDescent="0.25">
      <c r="A1079" s="7" t="s">
        <v>1106</v>
      </c>
      <c r="B1079" s="7" t="s">
        <v>1117</v>
      </c>
      <c r="C1079" s="7" t="s">
        <v>1107</v>
      </c>
      <c r="D1079" s="8" t="s">
        <v>183</v>
      </c>
      <c r="E1079" s="9" t="s">
        <v>14</v>
      </c>
      <c r="F1079" s="9"/>
      <c r="G1079" s="9"/>
      <c r="H1079" s="9"/>
      <c r="I1079" s="9"/>
    </row>
    <row r="1080" spans="1:9" x14ac:dyDescent="0.25">
      <c r="A1080" s="7" t="s">
        <v>1106</v>
      </c>
      <c r="B1080" s="7" t="s">
        <v>1118</v>
      </c>
      <c r="C1080" s="7" t="s">
        <v>1107</v>
      </c>
      <c r="D1080" s="8" t="s">
        <v>98</v>
      </c>
      <c r="E1080" s="9" t="s">
        <v>14</v>
      </c>
      <c r="F1080" s="9"/>
      <c r="G1080" s="9"/>
      <c r="H1080" s="9"/>
      <c r="I1080" s="9"/>
    </row>
    <row r="1081" spans="1:9" x14ac:dyDescent="0.25">
      <c r="A1081" s="7" t="s">
        <v>1106</v>
      </c>
      <c r="B1081" s="7" t="s">
        <v>1118</v>
      </c>
      <c r="C1081" s="8" t="s">
        <v>1107</v>
      </c>
      <c r="D1081" s="8" t="s">
        <v>120</v>
      </c>
      <c r="E1081" s="9" t="s">
        <v>14</v>
      </c>
      <c r="F1081" s="9"/>
      <c r="G1081" s="9"/>
      <c r="H1081" s="9"/>
      <c r="I1081" s="9"/>
    </row>
    <row r="1082" spans="1:9" x14ac:dyDescent="0.25">
      <c r="A1082" s="7" t="s">
        <v>1106</v>
      </c>
      <c r="B1082" s="7" t="s">
        <v>1119</v>
      </c>
      <c r="C1082" s="8" t="s">
        <v>1107</v>
      </c>
      <c r="D1082" s="8" t="s">
        <v>349</v>
      </c>
      <c r="E1082" s="9" t="s">
        <v>14</v>
      </c>
      <c r="F1082" s="9"/>
      <c r="G1082" s="9"/>
      <c r="H1082" s="9"/>
      <c r="I1082" s="9"/>
    </row>
    <row r="1083" spans="1:9" x14ac:dyDescent="0.25">
      <c r="A1083" s="7" t="s">
        <v>1106</v>
      </c>
      <c r="B1083" s="7" t="s">
        <v>1120</v>
      </c>
      <c r="C1083" s="8" t="s">
        <v>1107</v>
      </c>
      <c r="D1083" s="8" t="s">
        <v>112</v>
      </c>
      <c r="E1083" s="9" t="s">
        <v>14</v>
      </c>
      <c r="F1083" s="9"/>
      <c r="G1083" s="9"/>
      <c r="H1083" s="9"/>
      <c r="I1083" s="9"/>
    </row>
    <row r="1084" spans="1:9" x14ac:dyDescent="0.25">
      <c r="A1084" s="7" t="s">
        <v>1121</v>
      </c>
      <c r="B1084" s="7" t="s">
        <v>1121</v>
      </c>
      <c r="C1084" s="8" t="s">
        <v>1122</v>
      </c>
      <c r="D1084" s="8" t="s">
        <v>13</v>
      </c>
      <c r="E1084" s="9" t="s">
        <v>14</v>
      </c>
      <c r="F1084" s="9"/>
      <c r="G1084" s="9"/>
      <c r="H1084" s="9"/>
      <c r="I1084" s="9"/>
    </row>
    <row r="1085" spans="1:9" x14ac:dyDescent="0.25">
      <c r="A1085" s="7" t="s">
        <v>1121</v>
      </c>
      <c r="B1085" s="7" t="s">
        <v>1121</v>
      </c>
      <c r="C1085" s="8" t="s">
        <v>1122</v>
      </c>
      <c r="D1085" s="8" t="s">
        <v>18</v>
      </c>
      <c r="E1085" s="9" t="s">
        <v>14</v>
      </c>
      <c r="F1085" s="9"/>
      <c r="G1085" s="9"/>
      <c r="H1085" s="9"/>
      <c r="I1085" s="9"/>
    </row>
    <row r="1086" spans="1:9" x14ac:dyDescent="0.25">
      <c r="A1086" s="7" t="s">
        <v>1121</v>
      </c>
      <c r="B1086" s="7" t="s">
        <v>1123</v>
      </c>
      <c r="C1086" s="7" t="s">
        <v>1122</v>
      </c>
      <c r="D1086" s="8" t="s">
        <v>16</v>
      </c>
      <c r="E1086" s="9" t="s">
        <v>14</v>
      </c>
      <c r="F1086" s="9"/>
      <c r="G1086" s="9"/>
      <c r="H1086" s="9"/>
      <c r="I1086" s="9"/>
    </row>
    <row r="1087" spans="1:9" x14ac:dyDescent="0.25">
      <c r="A1087" s="7" t="s">
        <v>1121</v>
      </c>
      <c r="B1087" s="7" t="s">
        <v>1123</v>
      </c>
      <c r="C1087" s="8" t="s">
        <v>1122</v>
      </c>
      <c r="D1087" s="8" t="s">
        <v>20</v>
      </c>
      <c r="E1087" s="9" t="s">
        <v>14</v>
      </c>
      <c r="F1087" s="9"/>
      <c r="G1087" s="9"/>
      <c r="H1087" s="9"/>
      <c r="I1087" s="9"/>
    </row>
    <row r="1088" spans="1:9" x14ac:dyDescent="0.25">
      <c r="A1088" s="7" t="s">
        <v>1124</v>
      </c>
      <c r="B1088" s="7" t="s">
        <v>1124</v>
      </c>
      <c r="C1088" s="7" t="s">
        <v>1125</v>
      </c>
      <c r="D1088" s="8" t="s">
        <v>13</v>
      </c>
      <c r="E1088" s="9" t="s">
        <v>14</v>
      </c>
      <c r="F1088" s="9"/>
      <c r="G1088" s="9"/>
      <c r="H1088" s="9"/>
      <c r="I1088" s="9"/>
    </row>
    <row r="1089" spans="1:9" x14ac:dyDescent="0.25">
      <c r="A1089" s="7" t="s">
        <v>1124</v>
      </c>
      <c r="B1089" s="7" t="s">
        <v>1124</v>
      </c>
      <c r="C1089" s="7" t="s">
        <v>1125</v>
      </c>
      <c r="D1089" s="8" t="s">
        <v>53</v>
      </c>
      <c r="E1089" s="9" t="s">
        <v>14</v>
      </c>
      <c r="F1089" s="9"/>
      <c r="G1089" s="9"/>
      <c r="H1089" s="9"/>
      <c r="I1089" s="9"/>
    </row>
    <row r="1090" spans="1:9" x14ac:dyDescent="0.25">
      <c r="A1090" s="7" t="s">
        <v>1124</v>
      </c>
      <c r="B1090" s="7" t="s">
        <v>1126</v>
      </c>
      <c r="C1090" s="7" t="s">
        <v>1125</v>
      </c>
      <c r="D1090" s="8" t="s">
        <v>75</v>
      </c>
      <c r="E1090" s="9" t="s">
        <v>14</v>
      </c>
      <c r="F1090" s="9"/>
      <c r="G1090" s="9"/>
      <c r="H1090" s="9"/>
      <c r="I1090" s="9"/>
    </row>
    <row r="1091" spans="1:9" x14ac:dyDescent="0.25">
      <c r="A1091" s="7" t="s">
        <v>1124</v>
      </c>
      <c r="B1091" s="7" t="s">
        <v>1126</v>
      </c>
      <c r="C1091" s="7" t="s">
        <v>1125</v>
      </c>
      <c r="D1091" s="8" t="s">
        <v>251</v>
      </c>
      <c r="E1091" s="9" t="s">
        <v>14</v>
      </c>
      <c r="F1091" s="9"/>
      <c r="G1091" s="9"/>
      <c r="H1091" s="9"/>
      <c r="I1091" s="9"/>
    </row>
    <row r="1092" spans="1:9" x14ac:dyDescent="0.25">
      <c r="A1092" s="7" t="s">
        <v>1127</v>
      </c>
      <c r="B1092" s="7" t="s">
        <v>1127</v>
      </c>
      <c r="C1092" s="8" t="s">
        <v>1128</v>
      </c>
      <c r="D1092" s="8" t="s">
        <v>13</v>
      </c>
      <c r="E1092" s="9" t="s">
        <v>14</v>
      </c>
      <c r="F1092" s="9"/>
      <c r="G1092" s="9"/>
      <c r="H1092" s="9"/>
      <c r="I1092" s="9"/>
    </row>
    <row r="1093" spans="1:9" x14ac:dyDescent="0.25">
      <c r="A1093" s="7" t="s">
        <v>1127</v>
      </c>
      <c r="B1093" s="7" t="s">
        <v>1127</v>
      </c>
      <c r="C1093" s="8" t="s">
        <v>1128</v>
      </c>
      <c r="D1093" s="8" t="s">
        <v>52</v>
      </c>
      <c r="E1093" s="9" t="s">
        <v>14</v>
      </c>
      <c r="F1093" s="9"/>
      <c r="G1093" s="9"/>
      <c r="H1093" s="9"/>
      <c r="I1093" s="9"/>
    </row>
    <row r="1094" spans="1:9" x14ac:dyDescent="0.25">
      <c r="A1094" s="7" t="s">
        <v>1127</v>
      </c>
      <c r="B1094" s="7" t="s">
        <v>1127</v>
      </c>
      <c r="C1094" s="8" t="s">
        <v>1128</v>
      </c>
      <c r="D1094" s="8" t="s">
        <v>48</v>
      </c>
      <c r="E1094" s="9" t="s">
        <v>14</v>
      </c>
      <c r="F1094" s="9"/>
      <c r="G1094" s="9"/>
      <c r="H1094" s="9"/>
      <c r="I1094" s="9"/>
    </row>
    <row r="1095" spans="1:9" x14ac:dyDescent="0.25">
      <c r="A1095" s="7" t="s">
        <v>1127</v>
      </c>
      <c r="B1095" s="7" t="s">
        <v>1129</v>
      </c>
      <c r="C1095" s="8" t="s">
        <v>1128</v>
      </c>
      <c r="D1095" s="8" t="s">
        <v>122</v>
      </c>
      <c r="E1095" s="9" t="s">
        <v>14</v>
      </c>
      <c r="F1095" s="9"/>
      <c r="G1095" s="9"/>
      <c r="H1095" s="9"/>
      <c r="I1095" s="9"/>
    </row>
    <row r="1096" spans="1:9" x14ac:dyDescent="0.25">
      <c r="A1096" s="7" t="s">
        <v>1127</v>
      </c>
      <c r="B1096" s="7" t="s">
        <v>1129</v>
      </c>
      <c r="C1096" s="7" t="s">
        <v>1128</v>
      </c>
      <c r="D1096" s="8" t="s">
        <v>36</v>
      </c>
      <c r="E1096" s="9" t="s">
        <v>14</v>
      </c>
      <c r="F1096" s="9"/>
      <c r="G1096" s="9"/>
      <c r="H1096" s="9"/>
      <c r="I1096" s="9"/>
    </row>
    <row r="1097" spans="1:9" x14ac:dyDescent="0.25">
      <c r="A1097" s="7" t="s">
        <v>1127</v>
      </c>
      <c r="B1097" s="7" t="s">
        <v>1130</v>
      </c>
      <c r="C1097" s="7" t="s">
        <v>1128</v>
      </c>
      <c r="D1097" s="8" t="s">
        <v>44</v>
      </c>
      <c r="E1097" s="9" t="s">
        <v>14</v>
      </c>
      <c r="F1097" s="9"/>
      <c r="G1097" s="9"/>
      <c r="H1097" s="9"/>
      <c r="I1097" s="9"/>
    </row>
    <row r="1098" spans="1:9" x14ac:dyDescent="0.25">
      <c r="A1098" s="7" t="s">
        <v>1127</v>
      </c>
      <c r="B1098" s="7" t="s">
        <v>1131</v>
      </c>
      <c r="C1098" s="7" t="s">
        <v>1128</v>
      </c>
      <c r="D1098" s="8" t="s">
        <v>29</v>
      </c>
      <c r="E1098" s="9" t="s">
        <v>14</v>
      </c>
      <c r="F1098" s="9"/>
      <c r="G1098" s="9"/>
      <c r="H1098" s="9"/>
      <c r="I1098" s="9"/>
    </row>
    <row r="1099" spans="1:9" x14ac:dyDescent="0.25">
      <c r="A1099" s="7" t="s">
        <v>1127</v>
      </c>
      <c r="B1099" s="7" t="s">
        <v>1132</v>
      </c>
      <c r="C1099" s="8" t="s">
        <v>1128</v>
      </c>
      <c r="D1099" s="8" t="s">
        <v>16</v>
      </c>
      <c r="E1099" s="9" t="s">
        <v>14</v>
      </c>
      <c r="F1099" s="9"/>
      <c r="G1099" s="9"/>
      <c r="H1099" s="9"/>
      <c r="I1099" s="9"/>
    </row>
    <row r="1100" spans="1:9" x14ac:dyDescent="0.25">
      <c r="A1100" s="7" t="s">
        <v>1127</v>
      </c>
      <c r="B1100" s="7" t="s">
        <v>1133</v>
      </c>
      <c r="C1100" s="8" t="s">
        <v>1128</v>
      </c>
      <c r="D1100" s="8" t="s">
        <v>118</v>
      </c>
      <c r="E1100" s="9" t="s">
        <v>14</v>
      </c>
      <c r="F1100" s="9"/>
      <c r="G1100" s="9"/>
      <c r="H1100" s="9"/>
      <c r="I1100" s="9"/>
    </row>
    <row r="1101" spans="1:9" x14ac:dyDescent="0.25">
      <c r="A1101" s="7" t="s">
        <v>1134</v>
      </c>
      <c r="B1101" s="7" t="s">
        <v>1134</v>
      </c>
      <c r="C1101" s="8" t="s">
        <v>1135</v>
      </c>
      <c r="D1101" s="8" t="s">
        <v>13</v>
      </c>
      <c r="E1101" s="9" t="s">
        <v>14</v>
      </c>
      <c r="F1101" s="9"/>
      <c r="G1101" s="9"/>
      <c r="H1101" s="9"/>
      <c r="I1101" s="9"/>
    </row>
    <row r="1102" spans="1:9" x14ac:dyDescent="0.25">
      <c r="A1102" s="7" t="s">
        <v>1134</v>
      </c>
      <c r="B1102" s="7" t="s">
        <v>1134</v>
      </c>
      <c r="C1102" s="7" t="s">
        <v>1135</v>
      </c>
      <c r="D1102" s="8" t="s">
        <v>55</v>
      </c>
      <c r="E1102" s="9" t="s">
        <v>14</v>
      </c>
      <c r="F1102" s="9"/>
      <c r="G1102" s="9"/>
      <c r="H1102" s="9"/>
      <c r="I1102" s="9"/>
    </row>
    <row r="1103" spans="1:9" x14ac:dyDescent="0.25">
      <c r="A1103" s="7" t="s">
        <v>1134</v>
      </c>
      <c r="B1103" s="7" t="s">
        <v>1136</v>
      </c>
      <c r="C1103" s="8" t="s">
        <v>1135</v>
      </c>
      <c r="D1103" s="8" t="s">
        <v>97</v>
      </c>
      <c r="E1103" s="9" t="s">
        <v>14</v>
      </c>
      <c r="F1103" s="9"/>
      <c r="G1103" s="9"/>
      <c r="H1103" s="9"/>
      <c r="I1103" s="9"/>
    </row>
    <row r="1104" spans="1:9" x14ac:dyDescent="0.25">
      <c r="A1104" s="7" t="s">
        <v>1134</v>
      </c>
      <c r="B1104" s="7" t="s">
        <v>1136</v>
      </c>
      <c r="C1104" s="7" t="s">
        <v>1135</v>
      </c>
      <c r="D1104" s="8" t="s">
        <v>98</v>
      </c>
      <c r="E1104" s="9" t="s">
        <v>14</v>
      </c>
      <c r="F1104" s="9"/>
      <c r="G1104" s="9"/>
      <c r="H1104" s="9"/>
      <c r="I1104" s="9"/>
    </row>
    <row r="1105" spans="1:9" x14ac:dyDescent="0.25">
      <c r="A1105" s="7" t="s">
        <v>1134</v>
      </c>
      <c r="B1105" s="7" t="s">
        <v>1137</v>
      </c>
      <c r="C1105" s="7" t="s">
        <v>1135</v>
      </c>
      <c r="D1105" s="8" t="s">
        <v>48</v>
      </c>
      <c r="E1105" s="9" t="s">
        <v>14</v>
      </c>
      <c r="F1105" s="9"/>
      <c r="G1105" s="9"/>
      <c r="H1105" s="9"/>
      <c r="I1105" s="9"/>
    </row>
    <row r="1106" spans="1:9" x14ac:dyDescent="0.25">
      <c r="A1106" s="7" t="s">
        <v>1134</v>
      </c>
      <c r="B1106" s="7" t="s">
        <v>1137</v>
      </c>
      <c r="C1106" s="7" t="s">
        <v>1135</v>
      </c>
      <c r="D1106" s="8" t="s">
        <v>28</v>
      </c>
      <c r="E1106" s="9" t="s">
        <v>14</v>
      </c>
      <c r="F1106" s="9"/>
      <c r="G1106" s="9"/>
      <c r="H1106" s="9"/>
      <c r="I1106" s="9"/>
    </row>
    <row r="1107" spans="1:9" x14ac:dyDescent="0.25">
      <c r="A1107" s="7" t="s">
        <v>1134</v>
      </c>
      <c r="B1107" s="7" t="s">
        <v>1138</v>
      </c>
      <c r="C1107" s="7" t="s">
        <v>1135</v>
      </c>
      <c r="D1107" s="8" t="s">
        <v>173</v>
      </c>
      <c r="E1107" s="9" t="s">
        <v>14</v>
      </c>
      <c r="F1107" s="9"/>
      <c r="G1107" s="9"/>
      <c r="H1107" s="9"/>
      <c r="I1107" s="9"/>
    </row>
    <row r="1108" spans="1:9" x14ac:dyDescent="0.25">
      <c r="A1108" s="7" t="s">
        <v>1134</v>
      </c>
      <c r="B1108" s="7" t="s">
        <v>1138</v>
      </c>
      <c r="C1108" s="7" t="s">
        <v>1135</v>
      </c>
      <c r="D1108" s="8" t="s">
        <v>297</v>
      </c>
      <c r="E1108" s="9" t="s">
        <v>14</v>
      </c>
      <c r="F1108" s="9"/>
      <c r="G1108" s="9"/>
      <c r="H1108" s="9"/>
      <c r="I1108" s="9"/>
    </row>
    <row r="1109" spans="1:9" x14ac:dyDescent="0.25">
      <c r="A1109" s="7" t="s">
        <v>1134</v>
      </c>
      <c r="B1109" s="7" t="s">
        <v>1139</v>
      </c>
      <c r="C1109" s="7" t="s">
        <v>1135</v>
      </c>
      <c r="D1109" s="8" t="s">
        <v>50</v>
      </c>
      <c r="E1109" s="9" t="s">
        <v>14</v>
      </c>
      <c r="F1109" s="9"/>
      <c r="G1109" s="9"/>
      <c r="H1109" s="9"/>
      <c r="I1109" s="9"/>
    </row>
    <row r="1110" spans="1:9" x14ac:dyDescent="0.25">
      <c r="A1110" s="7" t="s">
        <v>1134</v>
      </c>
      <c r="B1110" s="7" t="s">
        <v>1140</v>
      </c>
      <c r="C1110" s="7" t="s">
        <v>1135</v>
      </c>
      <c r="D1110" s="8" t="s">
        <v>307</v>
      </c>
      <c r="E1110" s="9" t="s">
        <v>14</v>
      </c>
      <c r="F1110" s="9"/>
      <c r="G1110" s="9"/>
      <c r="H1110" s="9"/>
      <c r="I1110" s="9"/>
    </row>
    <row r="1111" spans="1:9" x14ac:dyDescent="0.25">
      <c r="A1111" s="7" t="s">
        <v>1141</v>
      </c>
      <c r="B1111" s="7" t="s">
        <v>1141</v>
      </c>
      <c r="C1111" s="7" t="s">
        <v>1142</v>
      </c>
      <c r="D1111" s="8" t="s">
        <v>52</v>
      </c>
      <c r="E1111" s="9" t="s">
        <v>14</v>
      </c>
      <c r="F1111" s="9"/>
      <c r="G1111" s="9"/>
      <c r="H1111" s="9"/>
      <c r="I1111" s="9"/>
    </row>
    <row r="1112" spans="1:9" x14ac:dyDescent="0.25">
      <c r="A1112" s="7" t="s">
        <v>1141</v>
      </c>
      <c r="B1112" s="7" t="s">
        <v>1141</v>
      </c>
      <c r="C1112" s="7" t="s">
        <v>1142</v>
      </c>
      <c r="D1112" s="8" t="s">
        <v>53</v>
      </c>
      <c r="E1112" s="9" t="s">
        <v>14</v>
      </c>
      <c r="F1112" s="9"/>
      <c r="G1112" s="9"/>
      <c r="H1112" s="9"/>
      <c r="I1112" s="9"/>
    </row>
    <row r="1113" spans="1:9" x14ac:dyDescent="0.25">
      <c r="A1113" s="7" t="s">
        <v>1141</v>
      </c>
      <c r="B1113" s="7" t="s">
        <v>1143</v>
      </c>
      <c r="C1113" s="7" t="s">
        <v>1142</v>
      </c>
      <c r="D1113" s="8" t="s">
        <v>60</v>
      </c>
      <c r="E1113" s="9" t="s">
        <v>14</v>
      </c>
      <c r="F1113" s="9"/>
      <c r="G1113" s="9"/>
      <c r="H1113" s="9"/>
      <c r="I1113" s="9"/>
    </row>
    <row r="1114" spans="1:9" x14ac:dyDescent="0.25">
      <c r="A1114" s="7" t="s">
        <v>1144</v>
      </c>
      <c r="B1114" s="7" t="s">
        <v>1145</v>
      </c>
      <c r="C1114" s="7" t="s">
        <v>1142</v>
      </c>
      <c r="D1114" s="8" t="s">
        <v>73</v>
      </c>
      <c r="E1114" s="9" t="s">
        <v>14</v>
      </c>
      <c r="F1114" s="9"/>
      <c r="G1114" s="9"/>
      <c r="H1114" s="9"/>
      <c r="I1114" s="9"/>
    </row>
    <row r="1115" spans="1:9" x14ac:dyDescent="0.25">
      <c r="A1115" s="7" t="s">
        <v>1144</v>
      </c>
      <c r="B1115" s="7" t="s">
        <v>1145</v>
      </c>
      <c r="C1115" s="7" t="s">
        <v>1142</v>
      </c>
      <c r="D1115" s="8" t="s">
        <v>55</v>
      </c>
      <c r="E1115" s="9" t="s">
        <v>14</v>
      </c>
      <c r="F1115" s="9"/>
      <c r="G1115" s="9"/>
      <c r="H1115" s="9"/>
      <c r="I1115" s="9"/>
    </row>
    <row r="1116" spans="1:9" x14ac:dyDescent="0.25">
      <c r="A1116" s="7" t="s">
        <v>1144</v>
      </c>
      <c r="B1116" s="7" t="s">
        <v>1146</v>
      </c>
      <c r="C1116" s="7" t="s">
        <v>1142</v>
      </c>
      <c r="D1116" s="8" t="s">
        <v>34</v>
      </c>
      <c r="E1116" s="9" t="s">
        <v>14</v>
      </c>
      <c r="F1116" s="9"/>
      <c r="G1116" s="9"/>
      <c r="H1116" s="9"/>
      <c r="I1116" s="9"/>
    </row>
    <row r="1117" spans="1:9" x14ac:dyDescent="0.25">
      <c r="A1117" s="7" t="s">
        <v>1147</v>
      </c>
      <c r="B1117" s="7" t="s">
        <v>1147</v>
      </c>
      <c r="C1117" s="7" t="s">
        <v>1148</v>
      </c>
      <c r="D1117" s="8" t="s">
        <v>13</v>
      </c>
      <c r="E1117" s="9" t="s">
        <v>14</v>
      </c>
      <c r="F1117" s="9"/>
      <c r="G1117" s="9"/>
      <c r="H1117" s="9"/>
      <c r="I1117" s="9"/>
    </row>
    <row r="1118" spans="1:9" x14ac:dyDescent="0.25">
      <c r="A1118" s="7" t="s">
        <v>1147</v>
      </c>
      <c r="B1118" s="7" t="s">
        <v>1147</v>
      </c>
      <c r="C1118" s="7" t="s">
        <v>1148</v>
      </c>
      <c r="D1118" s="8" t="s">
        <v>89</v>
      </c>
      <c r="E1118" s="9" t="s">
        <v>14</v>
      </c>
      <c r="F1118" s="9"/>
      <c r="G1118" s="9"/>
      <c r="H1118" s="9"/>
      <c r="I1118" s="9"/>
    </row>
    <row r="1119" spans="1:9" x14ac:dyDescent="0.25">
      <c r="A1119" s="7" t="s">
        <v>1147</v>
      </c>
      <c r="B1119" s="7" t="s">
        <v>1149</v>
      </c>
      <c r="C1119" s="7" t="s">
        <v>1148</v>
      </c>
      <c r="D1119" s="8" t="s">
        <v>650</v>
      </c>
      <c r="E1119" s="9" t="s">
        <v>14</v>
      </c>
      <c r="F1119" s="9"/>
      <c r="G1119" s="9"/>
      <c r="H1119" s="9"/>
      <c r="I1119" s="9"/>
    </row>
    <row r="1120" spans="1:9" x14ac:dyDescent="0.25">
      <c r="A1120" s="7" t="s">
        <v>1147</v>
      </c>
      <c r="B1120" s="7" t="s">
        <v>1149</v>
      </c>
      <c r="C1120" s="8" t="s">
        <v>1148</v>
      </c>
      <c r="D1120" s="8" t="s">
        <v>102</v>
      </c>
      <c r="E1120" s="9" t="s">
        <v>14</v>
      </c>
      <c r="F1120" s="9"/>
      <c r="G1120" s="9"/>
      <c r="H1120" s="9"/>
      <c r="I1120" s="9"/>
    </row>
    <row r="1121" spans="1:9" x14ac:dyDescent="0.25">
      <c r="A1121" s="7" t="s">
        <v>1147</v>
      </c>
      <c r="B1121" s="7" t="s">
        <v>1150</v>
      </c>
      <c r="C1121" s="8" t="s">
        <v>1148</v>
      </c>
      <c r="D1121" s="8" t="s">
        <v>24</v>
      </c>
      <c r="E1121" s="9" t="s">
        <v>14</v>
      </c>
      <c r="F1121" s="9"/>
      <c r="G1121" s="9"/>
      <c r="H1121" s="9"/>
      <c r="I1121" s="9"/>
    </row>
    <row r="1122" spans="1:9" x14ac:dyDescent="0.25">
      <c r="A1122" s="7" t="s">
        <v>1147</v>
      </c>
      <c r="B1122" s="7" t="s">
        <v>1151</v>
      </c>
      <c r="C1122" s="8" t="s">
        <v>1148</v>
      </c>
      <c r="D1122" s="8" t="s">
        <v>106</v>
      </c>
      <c r="E1122" s="9" t="s">
        <v>14</v>
      </c>
      <c r="F1122" s="9"/>
      <c r="G1122" s="9"/>
      <c r="H1122" s="9"/>
      <c r="I1122" s="9"/>
    </row>
    <row r="1123" spans="1:9" x14ac:dyDescent="0.25">
      <c r="A1123" s="7" t="s">
        <v>1147</v>
      </c>
      <c r="B1123" s="7" t="s">
        <v>1152</v>
      </c>
      <c r="C1123" s="8" t="s">
        <v>1148</v>
      </c>
      <c r="D1123" s="8" t="s">
        <v>50</v>
      </c>
      <c r="E1123" s="9" t="s">
        <v>14</v>
      </c>
      <c r="F1123" s="9"/>
      <c r="G1123" s="9"/>
      <c r="H1123" s="9"/>
      <c r="I1123" s="9"/>
    </row>
    <row r="1124" spans="1:9" x14ac:dyDescent="0.25">
      <c r="A1124" s="7" t="s">
        <v>1147</v>
      </c>
      <c r="B1124" s="7" t="s">
        <v>1153</v>
      </c>
      <c r="C1124" s="7" t="s">
        <v>1148</v>
      </c>
      <c r="D1124" s="8" t="s">
        <v>530</v>
      </c>
      <c r="E1124" s="9" t="s">
        <v>14</v>
      </c>
      <c r="F1124" s="9"/>
      <c r="G1124" s="9"/>
      <c r="H1124" s="9"/>
      <c r="I1124" s="9"/>
    </row>
    <row r="1125" spans="1:9" x14ac:dyDescent="0.25">
      <c r="A1125" s="7" t="s">
        <v>1147</v>
      </c>
      <c r="B1125" s="7" t="s">
        <v>1154</v>
      </c>
      <c r="C1125" s="8" t="s">
        <v>1148</v>
      </c>
      <c r="D1125" s="8" t="s">
        <v>20</v>
      </c>
      <c r="E1125" s="9" t="s">
        <v>14</v>
      </c>
      <c r="F1125" s="9"/>
      <c r="G1125" s="9"/>
      <c r="H1125" s="9"/>
      <c r="I1125" s="9"/>
    </row>
    <row r="1126" spans="1:9" x14ac:dyDescent="0.25">
      <c r="A1126" s="7" t="s">
        <v>1147</v>
      </c>
      <c r="B1126" s="7" t="s">
        <v>1155</v>
      </c>
      <c r="C1126" s="8" t="s">
        <v>1148</v>
      </c>
      <c r="D1126" s="8" t="s">
        <v>118</v>
      </c>
      <c r="E1126" s="9" t="s">
        <v>14</v>
      </c>
      <c r="F1126" s="9"/>
      <c r="G1126" s="9"/>
      <c r="H1126" s="9"/>
      <c r="I1126" s="9"/>
    </row>
    <row r="1127" spans="1:9" x14ac:dyDescent="0.25">
      <c r="A1127" s="7" t="s">
        <v>1156</v>
      </c>
      <c r="B1127" s="7" t="s">
        <v>1157</v>
      </c>
      <c r="C1127" s="7" t="s">
        <v>1158</v>
      </c>
      <c r="D1127" s="8" t="s">
        <v>13</v>
      </c>
      <c r="E1127" s="9" t="s">
        <v>14</v>
      </c>
      <c r="F1127" s="9"/>
      <c r="G1127" s="9"/>
      <c r="H1127" s="9"/>
      <c r="I1127" s="9"/>
    </row>
    <row r="1128" spans="1:9" x14ac:dyDescent="0.25">
      <c r="A1128" s="7" t="s">
        <v>1156</v>
      </c>
      <c r="B1128" s="7" t="s">
        <v>1157</v>
      </c>
      <c r="C1128" s="7" t="s">
        <v>1158</v>
      </c>
      <c r="D1128" s="8" t="s">
        <v>118</v>
      </c>
      <c r="E1128" s="9" t="s">
        <v>14</v>
      </c>
      <c r="F1128" s="9"/>
      <c r="G1128" s="9"/>
      <c r="H1128" s="9"/>
      <c r="I1128" s="9"/>
    </row>
    <row r="1129" spans="1:9" x14ac:dyDescent="0.25">
      <c r="A1129" s="7" t="s">
        <v>1156</v>
      </c>
      <c r="B1129" s="7" t="s">
        <v>1159</v>
      </c>
      <c r="C1129" s="8" t="s">
        <v>1158</v>
      </c>
      <c r="D1129" s="8" t="s">
        <v>112</v>
      </c>
      <c r="E1129" s="9" t="s">
        <v>14</v>
      </c>
      <c r="F1129" s="9"/>
      <c r="G1129" s="9"/>
      <c r="H1129" s="9"/>
      <c r="I1129" s="9"/>
    </row>
    <row r="1130" spans="1:9" x14ac:dyDescent="0.25">
      <c r="A1130" s="7" t="s">
        <v>1156</v>
      </c>
      <c r="B1130" s="7" t="s">
        <v>1160</v>
      </c>
      <c r="C1130" s="8" t="s">
        <v>1158</v>
      </c>
      <c r="D1130" s="8" t="s">
        <v>243</v>
      </c>
      <c r="E1130" s="9" t="s">
        <v>14</v>
      </c>
      <c r="F1130" s="9"/>
      <c r="G1130" s="9"/>
      <c r="H1130" s="9"/>
      <c r="I1130" s="9"/>
    </row>
    <row r="1131" spans="1:9" x14ac:dyDescent="0.25">
      <c r="A1131" s="7" t="s">
        <v>1156</v>
      </c>
      <c r="B1131" s="7" t="s">
        <v>1160</v>
      </c>
      <c r="C1131" s="8" t="s">
        <v>1158</v>
      </c>
      <c r="D1131" s="8" t="s">
        <v>52</v>
      </c>
      <c r="E1131" s="9" t="s">
        <v>14</v>
      </c>
      <c r="F1131" s="9"/>
      <c r="G1131" s="9"/>
      <c r="H1131" s="9"/>
      <c r="I1131" s="9"/>
    </row>
    <row r="1132" spans="1:9" x14ac:dyDescent="0.25">
      <c r="A1132" s="7" t="s">
        <v>1156</v>
      </c>
      <c r="B1132" s="7" t="s">
        <v>1161</v>
      </c>
      <c r="C1132" s="8" t="s">
        <v>1158</v>
      </c>
      <c r="D1132" s="8" t="s">
        <v>113</v>
      </c>
      <c r="E1132" s="9" t="s">
        <v>14</v>
      </c>
      <c r="F1132" s="9"/>
      <c r="G1132" s="9"/>
      <c r="H1132" s="9"/>
      <c r="I1132" s="9"/>
    </row>
    <row r="1133" spans="1:9" x14ac:dyDescent="0.25">
      <c r="A1133" s="7" t="s">
        <v>1156</v>
      </c>
      <c r="B1133" s="7" t="s">
        <v>1162</v>
      </c>
      <c r="C1133" s="8" t="s">
        <v>1158</v>
      </c>
      <c r="D1133" s="8" t="s">
        <v>43</v>
      </c>
      <c r="E1133" s="9" t="s">
        <v>14</v>
      </c>
      <c r="F1133" s="9"/>
      <c r="G1133" s="9"/>
      <c r="H1133" s="9"/>
      <c r="I1133" s="9"/>
    </row>
    <row r="1134" spans="1:9" x14ac:dyDescent="0.25">
      <c r="A1134" s="7" t="s">
        <v>1156</v>
      </c>
      <c r="B1134" s="7" t="s">
        <v>1162</v>
      </c>
      <c r="C1134" s="8" t="s">
        <v>1158</v>
      </c>
      <c r="D1134" s="8" t="s">
        <v>650</v>
      </c>
      <c r="E1134" s="9" t="s">
        <v>14</v>
      </c>
      <c r="F1134" s="9"/>
      <c r="G1134" s="9"/>
      <c r="H1134" s="9"/>
      <c r="I1134" s="9"/>
    </row>
    <row r="1135" spans="1:9" x14ac:dyDescent="0.25">
      <c r="A1135" s="7" t="s">
        <v>1156</v>
      </c>
      <c r="B1135" s="7" t="s">
        <v>1163</v>
      </c>
      <c r="C1135" s="7" t="s">
        <v>1158</v>
      </c>
      <c r="D1135" s="8" t="s">
        <v>120</v>
      </c>
      <c r="E1135" s="9" t="s">
        <v>14</v>
      </c>
      <c r="F1135" s="9"/>
      <c r="G1135" s="9"/>
      <c r="H1135" s="9"/>
      <c r="I1135" s="9"/>
    </row>
    <row r="1136" spans="1:9" x14ac:dyDescent="0.25">
      <c r="A1136" s="7" t="s">
        <v>1156</v>
      </c>
      <c r="B1136" s="7" t="s">
        <v>1164</v>
      </c>
      <c r="C1136" s="7" t="s">
        <v>1158</v>
      </c>
      <c r="D1136" s="8" t="s">
        <v>102</v>
      </c>
      <c r="E1136" s="9" t="s">
        <v>14</v>
      </c>
      <c r="F1136" s="9"/>
      <c r="G1136" s="9"/>
      <c r="H1136" s="9"/>
      <c r="I1136" s="9"/>
    </row>
    <row r="1137" spans="1:9" x14ac:dyDescent="0.25">
      <c r="A1137" s="7" t="s">
        <v>1156</v>
      </c>
      <c r="B1137" s="7" t="s">
        <v>1164</v>
      </c>
      <c r="C1137" s="7" t="s">
        <v>1158</v>
      </c>
      <c r="D1137" s="8" t="s">
        <v>18</v>
      </c>
      <c r="E1137" s="9" t="s">
        <v>14</v>
      </c>
      <c r="F1137" s="9"/>
      <c r="G1137" s="9"/>
      <c r="H1137" s="9"/>
      <c r="I1137" s="9"/>
    </row>
    <row r="1138" spans="1:9" x14ac:dyDescent="0.25">
      <c r="A1138" s="7" t="s">
        <v>1156</v>
      </c>
      <c r="B1138" s="7" t="s">
        <v>1165</v>
      </c>
      <c r="C1138" s="8" t="s">
        <v>1158</v>
      </c>
      <c r="D1138" s="8" t="s">
        <v>1166</v>
      </c>
      <c r="E1138" s="9" t="s">
        <v>14</v>
      </c>
      <c r="F1138" s="9"/>
      <c r="G1138" s="9"/>
      <c r="H1138" s="9"/>
      <c r="I1138" s="9"/>
    </row>
    <row r="1139" spans="1:9" x14ac:dyDescent="0.25">
      <c r="A1139" s="7" t="s">
        <v>1156</v>
      </c>
      <c r="B1139" s="7" t="s">
        <v>1165</v>
      </c>
      <c r="C1139" s="7" t="s">
        <v>1158</v>
      </c>
      <c r="D1139" s="8" t="s">
        <v>97</v>
      </c>
      <c r="E1139" s="9" t="s">
        <v>14</v>
      </c>
      <c r="F1139" s="9"/>
      <c r="G1139" s="9"/>
      <c r="H1139" s="9"/>
      <c r="I1139" s="9"/>
    </row>
    <row r="1140" spans="1:9" x14ac:dyDescent="0.25">
      <c r="A1140" s="7" t="s">
        <v>1167</v>
      </c>
      <c r="B1140" s="7" t="s">
        <v>1168</v>
      </c>
      <c r="C1140" s="8" t="s">
        <v>1169</v>
      </c>
      <c r="D1140" s="8" t="s">
        <v>13</v>
      </c>
      <c r="E1140" s="9" t="s">
        <v>14</v>
      </c>
      <c r="F1140" s="9"/>
      <c r="G1140" s="9"/>
      <c r="H1140" s="9"/>
      <c r="I1140" s="9"/>
    </row>
    <row r="1141" spans="1:9" x14ac:dyDescent="0.25">
      <c r="A1141" s="7" t="s">
        <v>1167</v>
      </c>
      <c r="B1141" s="7" t="s">
        <v>1168</v>
      </c>
      <c r="C1141" s="8" t="s">
        <v>1169</v>
      </c>
      <c r="D1141" s="8" t="s">
        <v>89</v>
      </c>
      <c r="E1141" s="9" t="s">
        <v>14</v>
      </c>
      <c r="F1141" s="9"/>
      <c r="G1141" s="9"/>
      <c r="H1141" s="9"/>
      <c r="I1141" s="9"/>
    </row>
    <row r="1142" spans="1:9" x14ac:dyDescent="0.25">
      <c r="A1142" s="7" t="s">
        <v>1167</v>
      </c>
      <c r="B1142" s="7" t="s">
        <v>1170</v>
      </c>
      <c r="C1142" s="8" t="s">
        <v>1169</v>
      </c>
      <c r="D1142" s="8" t="s">
        <v>262</v>
      </c>
      <c r="E1142" s="9" t="s">
        <v>14</v>
      </c>
      <c r="F1142" s="9"/>
      <c r="G1142" s="9"/>
      <c r="H1142" s="9"/>
      <c r="I1142" s="9"/>
    </row>
    <row r="1143" spans="1:9" x14ac:dyDescent="0.25">
      <c r="A1143" s="7" t="s">
        <v>1167</v>
      </c>
      <c r="B1143" s="7" t="s">
        <v>1171</v>
      </c>
      <c r="C1143" s="7" t="s">
        <v>1169</v>
      </c>
      <c r="D1143" s="8" t="s">
        <v>52</v>
      </c>
      <c r="E1143" s="9" t="s">
        <v>14</v>
      </c>
      <c r="F1143" s="9"/>
      <c r="G1143" s="9"/>
      <c r="H1143" s="9"/>
      <c r="I1143" s="9"/>
    </row>
    <row r="1144" spans="1:9" x14ac:dyDescent="0.25">
      <c r="A1144" s="7" t="s">
        <v>1167</v>
      </c>
      <c r="B1144" s="7" t="s">
        <v>1171</v>
      </c>
      <c r="C1144" s="7" t="s">
        <v>1169</v>
      </c>
      <c r="D1144" s="8" t="s">
        <v>50</v>
      </c>
      <c r="E1144" s="9" t="s">
        <v>14</v>
      </c>
      <c r="F1144" s="9"/>
      <c r="G1144" s="9"/>
      <c r="H1144" s="9"/>
      <c r="I1144" s="9"/>
    </row>
    <row r="1145" spans="1:9" x14ac:dyDescent="0.25">
      <c r="A1145" s="7" t="s">
        <v>1167</v>
      </c>
      <c r="B1145" s="7" t="s">
        <v>1172</v>
      </c>
      <c r="C1145" s="7" t="s">
        <v>1169</v>
      </c>
      <c r="D1145" s="8" t="s">
        <v>75</v>
      </c>
      <c r="E1145" s="9" t="s">
        <v>14</v>
      </c>
      <c r="F1145" s="9"/>
      <c r="G1145" s="9"/>
      <c r="H1145" s="9"/>
      <c r="I1145" s="9"/>
    </row>
    <row r="1146" spans="1:9" x14ac:dyDescent="0.25">
      <c r="A1146" s="7" t="s">
        <v>1167</v>
      </c>
      <c r="B1146" s="7" t="s">
        <v>1173</v>
      </c>
      <c r="C1146" s="8" t="s">
        <v>1169</v>
      </c>
      <c r="D1146" s="8" t="s">
        <v>55</v>
      </c>
      <c r="E1146" s="9" t="s">
        <v>14</v>
      </c>
      <c r="F1146" s="9"/>
      <c r="G1146" s="9"/>
      <c r="H1146" s="9"/>
      <c r="I1146" s="9"/>
    </row>
    <row r="1147" spans="1:9" x14ac:dyDescent="0.25">
      <c r="A1147" s="7" t="s">
        <v>1167</v>
      </c>
      <c r="B1147" s="7" t="s">
        <v>1173</v>
      </c>
      <c r="C1147" s="8" t="s">
        <v>1169</v>
      </c>
      <c r="D1147" s="8" t="s">
        <v>43</v>
      </c>
      <c r="E1147" s="9" t="s">
        <v>14</v>
      </c>
      <c r="F1147" s="9"/>
      <c r="G1147" s="9"/>
      <c r="H1147" s="9"/>
      <c r="I1147" s="9"/>
    </row>
    <row r="1148" spans="1:9" x14ac:dyDescent="0.25">
      <c r="A1148" s="7" t="s">
        <v>1167</v>
      </c>
      <c r="B1148" s="7" t="s">
        <v>1174</v>
      </c>
      <c r="C1148" s="8" t="s">
        <v>1169</v>
      </c>
      <c r="D1148" s="8" t="s">
        <v>267</v>
      </c>
      <c r="E1148" s="9" t="s">
        <v>14</v>
      </c>
      <c r="F1148" s="9"/>
      <c r="G1148" s="9"/>
      <c r="H1148" s="9"/>
      <c r="I1148" s="9"/>
    </row>
    <row r="1149" spans="1:9" x14ac:dyDescent="0.25">
      <c r="A1149" s="7" t="s">
        <v>1175</v>
      </c>
      <c r="B1149" s="7" t="s">
        <v>1176</v>
      </c>
      <c r="C1149" s="8" t="s">
        <v>1177</v>
      </c>
      <c r="D1149" s="8" t="s">
        <v>13</v>
      </c>
      <c r="E1149" s="9" t="s">
        <v>14</v>
      </c>
      <c r="F1149" s="9"/>
      <c r="G1149" s="9"/>
      <c r="H1149" s="9"/>
      <c r="I1149" s="9"/>
    </row>
    <row r="1150" spans="1:9" x14ac:dyDescent="0.25">
      <c r="A1150" s="7" t="s">
        <v>1175</v>
      </c>
      <c r="B1150" s="7" t="s">
        <v>1176</v>
      </c>
      <c r="C1150" s="8" t="s">
        <v>1177</v>
      </c>
      <c r="D1150" s="8" t="s">
        <v>267</v>
      </c>
      <c r="E1150" s="9" t="s">
        <v>14</v>
      </c>
      <c r="F1150" s="9"/>
      <c r="G1150" s="9"/>
      <c r="H1150" s="9"/>
      <c r="I1150" s="9"/>
    </row>
    <row r="1151" spans="1:9" x14ac:dyDescent="0.25">
      <c r="A1151" s="7" t="s">
        <v>1175</v>
      </c>
      <c r="B1151" s="7" t="s">
        <v>1178</v>
      </c>
      <c r="C1151" s="8" t="s">
        <v>1177</v>
      </c>
      <c r="D1151" s="8" t="s">
        <v>1179</v>
      </c>
      <c r="E1151" s="9" t="s">
        <v>14</v>
      </c>
      <c r="F1151" s="9"/>
      <c r="G1151" s="9"/>
      <c r="H1151" s="9"/>
      <c r="I1151" s="9"/>
    </row>
    <row r="1152" spans="1:9" x14ac:dyDescent="0.25">
      <c r="A1152" s="7" t="s">
        <v>1175</v>
      </c>
      <c r="B1152" s="7" t="s">
        <v>1180</v>
      </c>
      <c r="C1152" s="8" t="s">
        <v>1177</v>
      </c>
      <c r="D1152" s="8" t="s">
        <v>317</v>
      </c>
      <c r="E1152" s="9" t="s">
        <v>14</v>
      </c>
      <c r="F1152" s="9"/>
      <c r="G1152" s="9"/>
      <c r="H1152" s="9"/>
      <c r="I1152" s="9"/>
    </row>
    <row r="1153" spans="1:9" x14ac:dyDescent="0.25">
      <c r="A1153" s="7" t="s">
        <v>1175</v>
      </c>
      <c r="B1153" s="7" t="s">
        <v>1181</v>
      </c>
      <c r="C1153" s="8" t="s">
        <v>1177</v>
      </c>
      <c r="D1153" s="8" t="s">
        <v>1182</v>
      </c>
      <c r="E1153" s="9" t="s">
        <v>14</v>
      </c>
      <c r="F1153" s="9"/>
      <c r="G1153" s="9"/>
      <c r="H1153" s="9"/>
      <c r="I1153" s="9"/>
    </row>
    <row r="1154" spans="1:9" x14ac:dyDescent="0.25">
      <c r="A1154" s="7" t="s">
        <v>1175</v>
      </c>
      <c r="B1154" s="7" t="s">
        <v>1183</v>
      </c>
      <c r="C1154" s="8" t="s">
        <v>1177</v>
      </c>
      <c r="D1154" s="8" t="s">
        <v>307</v>
      </c>
      <c r="E1154" s="9" t="s">
        <v>14</v>
      </c>
      <c r="F1154" s="9"/>
      <c r="G1154" s="9"/>
      <c r="H1154" s="9"/>
      <c r="I1154" s="9"/>
    </row>
    <row r="1155" spans="1:9" x14ac:dyDescent="0.25">
      <c r="A1155" s="7" t="s">
        <v>1175</v>
      </c>
      <c r="B1155" s="7" t="s">
        <v>1183</v>
      </c>
      <c r="C1155" s="8" t="s">
        <v>1177</v>
      </c>
      <c r="D1155" s="8" t="s">
        <v>43</v>
      </c>
      <c r="E1155" s="9" t="s">
        <v>14</v>
      </c>
      <c r="F1155" s="9"/>
      <c r="G1155" s="9"/>
      <c r="H1155" s="9"/>
      <c r="I1155" s="9"/>
    </row>
    <row r="1156" spans="1:9" x14ac:dyDescent="0.25">
      <c r="A1156" s="7" t="s">
        <v>1175</v>
      </c>
      <c r="B1156" s="7" t="s">
        <v>1184</v>
      </c>
      <c r="C1156" s="8" t="s">
        <v>1177</v>
      </c>
      <c r="D1156" s="8" t="s">
        <v>1185</v>
      </c>
      <c r="E1156" s="9" t="s">
        <v>14</v>
      </c>
      <c r="F1156" s="9"/>
      <c r="G1156" s="9"/>
      <c r="H1156" s="9"/>
      <c r="I1156" s="9"/>
    </row>
    <row r="1157" spans="1:9" x14ac:dyDescent="0.25">
      <c r="A1157" s="7" t="s">
        <v>1175</v>
      </c>
      <c r="B1157" s="7" t="s">
        <v>1186</v>
      </c>
      <c r="C1157" s="8" t="s">
        <v>1177</v>
      </c>
      <c r="D1157" s="8" t="s">
        <v>608</v>
      </c>
      <c r="E1157" s="9" t="s">
        <v>14</v>
      </c>
      <c r="F1157" s="9"/>
      <c r="G1157" s="9"/>
      <c r="H1157" s="9"/>
      <c r="I1157" s="9"/>
    </row>
    <row r="1158" spans="1:9" x14ac:dyDescent="0.25">
      <c r="A1158" s="7" t="s">
        <v>1175</v>
      </c>
      <c r="B1158" s="7" t="s">
        <v>1186</v>
      </c>
      <c r="C1158" s="8" t="s">
        <v>1177</v>
      </c>
      <c r="D1158" s="8" t="s">
        <v>173</v>
      </c>
      <c r="E1158" s="9" t="s">
        <v>14</v>
      </c>
      <c r="F1158" s="9"/>
      <c r="G1158" s="9"/>
      <c r="H1158" s="9"/>
      <c r="I1158" s="9"/>
    </row>
    <row r="1159" spans="1:9" x14ac:dyDescent="0.25">
      <c r="A1159" s="7" t="s">
        <v>1175</v>
      </c>
      <c r="B1159" s="7" t="s">
        <v>1187</v>
      </c>
      <c r="C1159" s="8" t="s">
        <v>1177</v>
      </c>
      <c r="D1159" s="8" t="s">
        <v>875</v>
      </c>
      <c r="E1159" s="9" t="s">
        <v>14</v>
      </c>
      <c r="F1159" s="9"/>
      <c r="G1159" s="9"/>
      <c r="H1159" s="9"/>
      <c r="I1159" s="9"/>
    </row>
    <row r="1160" spans="1:9" x14ac:dyDescent="0.25">
      <c r="A1160" s="7" t="s">
        <v>1175</v>
      </c>
      <c r="B1160" s="7" t="s">
        <v>1188</v>
      </c>
      <c r="C1160" s="8" t="s">
        <v>1177</v>
      </c>
      <c r="D1160" s="8" t="s">
        <v>583</v>
      </c>
      <c r="E1160" s="9" t="s">
        <v>14</v>
      </c>
      <c r="F1160" s="9"/>
      <c r="G1160" s="9"/>
      <c r="H1160" s="9"/>
      <c r="I1160" s="9"/>
    </row>
    <row r="1161" spans="1:9" x14ac:dyDescent="0.25">
      <c r="A1161" s="7" t="s">
        <v>1175</v>
      </c>
      <c r="B1161" s="7" t="s">
        <v>1188</v>
      </c>
      <c r="C1161" s="8" t="s">
        <v>1177</v>
      </c>
      <c r="D1161" s="8" t="s">
        <v>297</v>
      </c>
      <c r="E1161" s="9" t="s">
        <v>14</v>
      </c>
      <c r="F1161" s="9"/>
      <c r="G1161" s="9"/>
      <c r="H1161" s="9"/>
      <c r="I1161" s="9"/>
    </row>
    <row r="1162" spans="1:9" x14ac:dyDescent="0.25">
      <c r="A1162" s="7" t="s">
        <v>1175</v>
      </c>
      <c r="B1162" s="7" t="s">
        <v>1189</v>
      </c>
      <c r="C1162" s="7" t="s">
        <v>1177</v>
      </c>
      <c r="D1162" s="8" t="s">
        <v>809</v>
      </c>
      <c r="E1162" s="9" t="s">
        <v>14</v>
      </c>
      <c r="F1162" s="9"/>
      <c r="G1162" s="9"/>
      <c r="H1162" s="9"/>
      <c r="I1162" s="9"/>
    </row>
    <row r="1163" spans="1:9" x14ac:dyDescent="0.25">
      <c r="A1163" s="7" t="s">
        <v>1175</v>
      </c>
      <c r="B1163" s="7" t="s">
        <v>1190</v>
      </c>
      <c r="C1163" s="7" t="s">
        <v>1177</v>
      </c>
      <c r="D1163" s="8" t="s">
        <v>263</v>
      </c>
      <c r="E1163" s="9" t="s">
        <v>14</v>
      </c>
      <c r="F1163" s="9"/>
      <c r="G1163" s="9"/>
      <c r="H1163" s="9"/>
      <c r="I1163" s="9"/>
    </row>
    <row r="1164" spans="1:9" x14ac:dyDescent="0.25">
      <c r="A1164" s="7" t="s">
        <v>1175</v>
      </c>
      <c r="B1164" s="7" t="s">
        <v>1191</v>
      </c>
      <c r="C1164" s="7" t="s">
        <v>1177</v>
      </c>
      <c r="D1164" s="8" t="s">
        <v>865</v>
      </c>
      <c r="E1164" s="9" t="s">
        <v>14</v>
      </c>
      <c r="F1164" s="9"/>
      <c r="G1164" s="9"/>
      <c r="H1164" s="9"/>
      <c r="I1164" s="9"/>
    </row>
    <row r="1165" spans="1:9" x14ac:dyDescent="0.25">
      <c r="A1165" s="7" t="s">
        <v>1175</v>
      </c>
      <c r="B1165" s="7" t="s">
        <v>1192</v>
      </c>
      <c r="C1165" s="7" t="s">
        <v>1177</v>
      </c>
      <c r="D1165" s="8" t="s">
        <v>470</v>
      </c>
      <c r="E1165" s="9" t="s">
        <v>14</v>
      </c>
      <c r="F1165" s="9"/>
      <c r="G1165" s="9"/>
      <c r="H1165" s="9"/>
      <c r="I1165" s="9"/>
    </row>
    <row r="1166" spans="1:9" x14ac:dyDescent="0.25">
      <c r="A1166" s="7" t="s">
        <v>1175</v>
      </c>
      <c r="B1166" s="7" t="s">
        <v>1193</v>
      </c>
      <c r="C1166" s="7" t="s">
        <v>1177</v>
      </c>
      <c r="D1166" s="8" t="s">
        <v>1194</v>
      </c>
      <c r="E1166" s="9" t="s">
        <v>14</v>
      </c>
      <c r="F1166" s="9"/>
      <c r="G1166" s="9"/>
      <c r="H1166" s="9"/>
      <c r="I1166" s="9"/>
    </row>
    <row r="1167" spans="1:9" x14ac:dyDescent="0.25">
      <c r="A1167" s="7" t="s">
        <v>1175</v>
      </c>
      <c r="B1167" s="7" t="s">
        <v>1195</v>
      </c>
      <c r="C1167" s="7" t="s">
        <v>1177</v>
      </c>
      <c r="D1167" s="8" t="s">
        <v>258</v>
      </c>
      <c r="E1167" s="9" t="s">
        <v>14</v>
      </c>
      <c r="F1167" s="9"/>
      <c r="G1167" s="9"/>
      <c r="H1167" s="9"/>
      <c r="I1167" s="9"/>
    </row>
    <row r="1168" spans="1:9" x14ac:dyDescent="0.25">
      <c r="A1168" s="7" t="s">
        <v>1175</v>
      </c>
      <c r="B1168" s="7" t="s">
        <v>1195</v>
      </c>
      <c r="C1168" s="7" t="s">
        <v>1177</v>
      </c>
      <c r="D1168" s="8" t="s">
        <v>60</v>
      </c>
      <c r="E1168" s="9" t="s">
        <v>14</v>
      </c>
      <c r="F1168" s="9"/>
      <c r="G1168" s="9"/>
      <c r="H1168" s="9"/>
      <c r="I1168" s="9"/>
    </row>
    <row r="1169" spans="1:9" x14ac:dyDescent="0.25">
      <c r="A1169" s="7" t="s">
        <v>1175</v>
      </c>
      <c r="B1169" s="7" t="s">
        <v>1196</v>
      </c>
      <c r="C1169" s="7" t="s">
        <v>1177</v>
      </c>
      <c r="D1169" s="8" t="s">
        <v>816</v>
      </c>
      <c r="E1169" s="9" t="s">
        <v>14</v>
      </c>
      <c r="F1169" s="9"/>
      <c r="G1169" s="9"/>
      <c r="H1169" s="9"/>
      <c r="I1169" s="9"/>
    </row>
    <row r="1170" spans="1:9" x14ac:dyDescent="0.25">
      <c r="A1170" s="7" t="s">
        <v>1197</v>
      </c>
      <c r="B1170" s="7" t="s">
        <v>1197</v>
      </c>
      <c r="C1170" s="7" t="s">
        <v>1198</v>
      </c>
      <c r="D1170" s="8" t="s">
        <v>13</v>
      </c>
      <c r="E1170" s="9" t="s">
        <v>14</v>
      </c>
      <c r="F1170" s="9"/>
      <c r="G1170" s="9"/>
      <c r="H1170" s="9"/>
      <c r="I1170" s="9"/>
    </row>
    <row r="1171" spans="1:9" x14ac:dyDescent="0.25">
      <c r="A1171" s="7" t="s">
        <v>1197</v>
      </c>
      <c r="B1171" s="7" t="s">
        <v>1197</v>
      </c>
      <c r="C1171" s="7" t="s">
        <v>1198</v>
      </c>
      <c r="D1171" s="8" t="s">
        <v>267</v>
      </c>
      <c r="E1171" s="9" t="s">
        <v>14</v>
      </c>
      <c r="F1171" s="9"/>
      <c r="G1171" s="9"/>
      <c r="H1171" s="9"/>
      <c r="I1171" s="9"/>
    </row>
    <row r="1172" spans="1:9" x14ac:dyDescent="0.25">
      <c r="A1172" s="7" t="s">
        <v>1197</v>
      </c>
      <c r="B1172" s="7" t="s">
        <v>1199</v>
      </c>
      <c r="C1172" s="7" t="s">
        <v>1198</v>
      </c>
      <c r="D1172" s="8" t="s">
        <v>1200</v>
      </c>
      <c r="E1172" s="9" t="s">
        <v>14</v>
      </c>
      <c r="F1172" s="9"/>
      <c r="G1172" s="9"/>
      <c r="H1172" s="9"/>
      <c r="I1172" s="9"/>
    </row>
    <row r="1173" spans="1:9" x14ac:dyDescent="0.25">
      <c r="A1173" s="7" t="s">
        <v>1197</v>
      </c>
      <c r="B1173" s="7" t="s">
        <v>1199</v>
      </c>
      <c r="C1173" s="8" t="s">
        <v>1198</v>
      </c>
      <c r="D1173" s="8" t="s">
        <v>1201</v>
      </c>
      <c r="E1173" s="9" t="s">
        <v>14</v>
      </c>
      <c r="F1173" s="9"/>
      <c r="G1173" s="9"/>
      <c r="H1173" s="9"/>
      <c r="I1173" s="9"/>
    </row>
    <row r="1174" spans="1:9" x14ac:dyDescent="0.25">
      <c r="A1174" s="7" t="s">
        <v>1197</v>
      </c>
      <c r="B1174" s="7" t="s">
        <v>1202</v>
      </c>
      <c r="C1174" s="7" t="s">
        <v>1198</v>
      </c>
      <c r="D1174" s="8" t="s">
        <v>120</v>
      </c>
      <c r="E1174" s="9" t="s">
        <v>14</v>
      </c>
      <c r="F1174" s="9"/>
      <c r="G1174" s="9"/>
      <c r="H1174" s="9"/>
      <c r="I1174" s="9"/>
    </row>
    <row r="1175" spans="1:9" x14ac:dyDescent="0.25">
      <c r="A1175" s="7" t="s">
        <v>1197</v>
      </c>
      <c r="B1175" s="7" t="s">
        <v>1203</v>
      </c>
      <c r="C1175" s="8" t="s">
        <v>1198</v>
      </c>
      <c r="D1175" s="8" t="s">
        <v>1204</v>
      </c>
      <c r="E1175" s="9" t="s">
        <v>14</v>
      </c>
      <c r="F1175" s="9"/>
      <c r="G1175" s="9"/>
      <c r="H1175" s="9"/>
      <c r="I1175" s="9"/>
    </row>
    <row r="1176" spans="1:9" x14ac:dyDescent="0.25">
      <c r="A1176" s="7" t="s">
        <v>1197</v>
      </c>
      <c r="B1176" s="7" t="s">
        <v>1205</v>
      </c>
      <c r="C1176" s="8" t="s">
        <v>1198</v>
      </c>
      <c r="D1176" s="8" t="s">
        <v>124</v>
      </c>
      <c r="E1176" s="9" t="s">
        <v>14</v>
      </c>
      <c r="F1176" s="9"/>
      <c r="G1176" s="9"/>
      <c r="H1176" s="9"/>
      <c r="I1176" s="9"/>
    </row>
    <row r="1177" spans="1:9" x14ac:dyDescent="0.25">
      <c r="A1177" s="7" t="s">
        <v>1197</v>
      </c>
      <c r="B1177" s="7" t="s">
        <v>1206</v>
      </c>
      <c r="C1177" s="8" t="s">
        <v>1198</v>
      </c>
      <c r="D1177" s="8" t="s">
        <v>1207</v>
      </c>
      <c r="E1177" s="9" t="s">
        <v>14</v>
      </c>
      <c r="F1177" s="9"/>
      <c r="G1177" s="9"/>
      <c r="H1177" s="9"/>
      <c r="I1177" s="9"/>
    </row>
    <row r="1178" spans="1:9" x14ac:dyDescent="0.25">
      <c r="A1178" s="7" t="s">
        <v>1197</v>
      </c>
      <c r="B1178" s="7" t="s">
        <v>1208</v>
      </c>
      <c r="C1178" s="7" t="s">
        <v>1198</v>
      </c>
      <c r="D1178" s="8" t="s">
        <v>78</v>
      </c>
      <c r="E1178" s="9" t="s">
        <v>14</v>
      </c>
      <c r="F1178" s="9"/>
      <c r="G1178" s="9"/>
      <c r="H1178" s="9"/>
      <c r="I1178" s="9"/>
    </row>
    <row r="1179" spans="1:9" x14ac:dyDescent="0.25">
      <c r="A1179" s="7" t="s">
        <v>1197</v>
      </c>
      <c r="B1179" s="7" t="s">
        <v>1209</v>
      </c>
      <c r="C1179" s="7" t="s">
        <v>1198</v>
      </c>
      <c r="D1179" s="8" t="s">
        <v>1210</v>
      </c>
      <c r="E1179" s="9" t="s">
        <v>14</v>
      </c>
      <c r="F1179" s="9"/>
      <c r="G1179" s="9"/>
      <c r="H1179" s="9"/>
      <c r="I1179" s="9"/>
    </row>
    <row r="1180" spans="1:9" x14ac:dyDescent="0.25">
      <c r="A1180" s="7" t="s">
        <v>1211</v>
      </c>
      <c r="B1180" s="7" t="s">
        <v>1211</v>
      </c>
      <c r="C1180" s="8" t="s">
        <v>1212</v>
      </c>
      <c r="D1180" s="8" t="s">
        <v>13</v>
      </c>
      <c r="E1180" s="9" t="s">
        <v>14</v>
      </c>
      <c r="F1180" s="9"/>
      <c r="G1180" s="9"/>
      <c r="H1180" s="9"/>
      <c r="I1180" s="9"/>
    </row>
    <row r="1181" spans="1:9" x14ac:dyDescent="0.25">
      <c r="A1181" s="7" t="s">
        <v>1211</v>
      </c>
      <c r="B1181" s="7" t="s">
        <v>1211</v>
      </c>
      <c r="C1181" s="8" t="s">
        <v>1212</v>
      </c>
      <c r="D1181" s="8" t="s">
        <v>48</v>
      </c>
      <c r="E1181" s="9" t="s">
        <v>14</v>
      </c>
      <c r="F1181" s="9"/>
      <c r="G1181" s="9"/>
      <c r="H1181" s="9"/>
      <c r="I1181" s="9"/>
    </row>
    <row r="1182" spans="1:9" x14ac:dyDescent="0.25">
      <c r="A1182" s="7" t="s">
        <v>1211</v>
      </c>
      <c r="B1182" s="7" t="s">
        <v>1211</v>
      </c>
      <c r="C1182" s="8" t="s">
        <v>1212</v>
      </c>
      <c r="D1182" s="8" t="s">
        <v>75</v>
      </c>
      <c r="E1182" s="9" t="s">
        <v>14</v>
      </c>
      <c r="F1182" s="9"/>
      <c r="G1182" s="9"/>
      <c r="H1182" s="9"/>
      <c r="I1182" s="9"/>
    </row>
    <row r="1183" spans="1:9" x14ac:dyDescent="0.25">
      <c r="A1183" s="7" t="s">
        <v>1211</v>
      </c>
      <c r="B1183" s="7" t="s">
        <v>1211</v>
      </c>
      <c r="C1183" s="8" t="s">
        <v>1212</v>
      </c>
      <c r="D1183" s="8" t="s">
        <v>120</v>
      </c>
      <c r="E1183" s="9" t="s">
        <v>14</v>
      </c>
      <c r="F1183" s="9"/>
      <c r="G1183" s="9"/>
      <c r="H1183" s="9"/>
      <c r="I1183" s="9"/>
    </row>
    <row r="1184" spans="1:9" x14ac:dyDescent="0.25">
      <c r="A1184" s="7" t="s">
        <v>1211</v>
      </c>
      <c r="B1184" s="7" t="s">
        <v>1213</v>
      </c>
      <c r="C1184" s="8" t="s">
        <v>1212</v>
      </c>
      <c r="D1184" s="8" t="s">
        <v>506</v>
      </c>
      <c r="E1184" s="9" t="s">
        <v>14</v>
      </c>
      <c r="F1184" s="9"/>
      <c r="G1184" s="9"/>
      <c r="H1184" s="9"/>
      <c r="I1184" s="9"/>
    </row>
    <row r="1185" spans="1:9" x14ac:dyDescent="0.25">
      <c r="A1185" s="7" t="s">
        <v>1211</v>
      </c>
      <c r="B1185" s="7" t="s">
        <v>1213</v>
      </c>
      <c r="C1185" s="8" t="s">
        <v>1212</v>
      </c>
      <c r="D1185" s="8" t="s">
        <v>507</v>
      </c>
      <c r="E1185" s="9" t="s">
        <v>14</v>
      </c>
      <c r="F1185" s="9"/>
      <c r="G1185" s="9"/>
      <c r="H1185" s="9"/>
      <c r="I1185" s="9"/>
    </row>
    <row r="1186" spans="1:9" x14ac:dyDescent="0.25">
      <c r="A1186" s="7" t="s">
        <v>1211</v>
      </c>
      <c r="B1186" s="7" t="s">
        <v>1214</v>
      </c>
      <c r="C1186" s="8" t="s">
        <v>1212</v>
      </c>
      <c r="D1186" s="8" t="s">
        <v>104</v>
      </c>
      <c r="E1186" s="9" t="s">
        <v>14</v>
      </c>
      <c r="F1186" s="9"/>
      <c r="G1186" s="9"/>
      <c r="H1186" s="9"/>
      <c r="I1186" s="9"/>
    </row>
    <row r="1187" spans="1:9" x14ac:dyDescent="0.25">
      <c r="A1187" s="7" t="s">
        <v>1211</v>
      </c>
      <c r="B1187" s="7" t="s">
        <v>1214</v>
      </c>
      <c r="C1187" s="8" t="s">
        <v>1212</v>
      </c>
      <c r="D1187" s="8" t="s">
        <v>352</v>
      </c>
      <c r="E1187" s="9" t="s">
        <v>14</v>
      </c>
      <c r="F1187" s="9"/>
      <c r="G1187" s="9"/>
      <c r="H1187" s="9"/>
      <c r="I1187" s="9"/>
    </row>
    <row r="1188" spans="1:9" x14ac:dyDescent="0.25">
      <c r="A1188" s="7" t="s">
        <v>1211</v>
      </c>
      <c r="B1188" s="7" t="s">
        <v>1215</v>
      </c>
      <c r="C1188" s="8" t="s">
        <v>1212</v>
      </c>
      <c r="D1188" s="8" t="s">
        <v>1216</v>
      </c>
      <c r="E1188" s="9" t="s">
        <v>14</v>
      </c>
      <c r="F1188" s="9"/>
      <c r="G1188" s="9"/>
      <c r="H1188" s="9"/>
      <c r="I1188" s="9"/>
    </row>
    <row r="1189" spans="1:9" x14ac:dyDescent="0.25">
      <c r="A1189" s="7" t="s">
        <v>1211</v>
      </c>
      <c r="B1189" s="7" t="s">
        <v>1217</v>
      </c>
      <c r="C1189" s="8" t="s">
        <v>1212</v>
      </c>
      <c r="D1189" s="8" t="s">
        <v>241</v>
      </c>
      <c r="E1189" s="9" t="s">
        <v>14</v>
      </c>
      <c r="F1189" s="9"/>
      <c r="G1189" s="9"/>
      <c r="H1189" s="9"/>
      <c r="I1189" s="9"/>
    </row>
    <row r="1190" spans="1:9" x14ac:dyDescent="0.25">
      <c r="A1190" s="7" t="s">
        <v>1211</v>
      </c>
      <c r="B1190" s="7" t="s">
        <v>1218</v>
      </c>
      <c r="C1190" s="7" t="s">
        <v>1212</v>
      </c>
      <c r="D1190" s="8" t="s">
        <v>513</v>
      </c>
      <c r="E1190" s="9" t="s">
        <v>14</v>
      </c>
      <c r="F1190" s="9"/>
      <c r="G1190" s="9"/>
      <c r="H1190" s="9"/>
      <c r="I1190" s="9"/>
    </row>
    <row r="1191" spans="1:9" x14ac:dyDescent="0.25">
      <c r="A1191" s="7" t="s">
        <v>1211</v>
      </c>
      <c r="B1191" s="7" t="s">
        <v>1219</v>
      </c>
      <c r="C1191" s="8" t="s">
        <v>1212</v>
      </c>
      <c r="D1191" s="8" t="s">
        <v>78</v>
      </c>
      <c r="E1191" s="9" t="s">
        <v>14</v>
      </c>
      <c r="F1191" s="9"/>
      <c r="G1191" s="9"/>
      <c r="H1191" s="9"/>
      <c r="I1191" s="9"/>
    </row>
    <row r="1192" spans="1:9" x14ac:dyDescent="0.25">
      <c r="A1192" s="7" t="s">
        <v>1211</v>
      </c>
      <c r="B1192" s="7" t="s">
        <v>1219</v>
      </c>
      <c r="C1192" s="8" t="s">
        <v>1212</v>
      </c>
      <c r="D1192" s="8" t="s">
        <v>134</v>
      </c>
      <c r="E1192" s="9" t="s">
        <v>14</v>
      </c>
      <c r="F1192" s="9"/>
      <c r="G1192" s="9"/>
      <c r="H1192" s="9"/>
      <c r="I1192" s="9"/>
    </row>
    <row r="1193" spans="1:9" x14ac:dyDescent="0.25">
      <c r="A1193" s="7" t="s">
        <v>1211</v>
      </c>
      <c r="B1193" s="7" t="s">
        <v>1220</v>
      </c>
      <c r="C1193" s="8" t="s">
        <v>1212</v>
      </c>
      <c r="D1193" s="8" t="s">
        <v>519</v>
      </c>
      <c r="E1193" s="9" t="s">
        <v>14</v>
      </c>
      <c r="F1193" s="9"/>
      <c r="G1193" s="9"/>
      <c r="H1193" s="9"/>
      <c r="I1193" s="9"/>
    </row>
    <row r="1194" spans="1:9" x14ac:dyDescent="0.25">
      <c r="A1194" s="7" t="s">
        <v>1221</v>
      </c>
      <c r="B1194" s="7" t="s">
        <v>1221</v>
      </c>
      <c r="C1194" s="8" t="s">
        <v>1222</v>
      </c>
      <c r="D1194" s="8" t="s">
        <v>13</v>
      </c>
      <c r="E1194" s="9" t="s">
        <v>14</v>
      </c>
      <c r="F1194" s="9"/>
      <c r="G1194" s="9"/>
      <c r="H1194" s="9"/>
      <c r="I1194" s="9"/>
    </row>
    <row r="1195" spans="1:9" x14ac:dyDescent="0.25">
      <c r="A1195" s="7" t="s">
        <v>1221</v>
      </c>
      <c r="B1195" s="7" t="s">
        <v>1221</v>
      </c>
      <c r="C1195" s="8" t="s">
        <v>1222</v>
      </c>
      <c r="D1195" s="8" t="s">
        <v>52</v>
      </c>
      <c r="E1195" s="9" t="s">
        <v>14</v>
      </c>
      <c r="F1195" s="9"/>
      <c r="G1195" s="9"/>
      <c r="H1195" s="9"/>
      <c r="I1195" s="9"/>
    </row>
    <row r="1196" spans="1:9" x14ac:dyDescent="0.25">
      <c r="A1196" s="7" t="s">
        <v>1221</v>
      </c>
      <c r="B1196" s="7" t="s">
        <v>1223</v>
      </c>
      <c r="C1196" s="8" t="s">
        <v>1222</v>
      </c>
      <c r="D1196" s="8" t="s">
        <v>18</v>
      </c>
      <c r="E1196" s="9" t="s">
        <v>14</v>
      </c>
      <c r="F1196" s="9"/>
      <c r="G1196" s="9"/>
      <c r="H1196" s="9"/>
      <c r="I1196" s="9"/>
    </row>
    <row r="1197" spans="1:9" x14ac:dyDescent="0.25">
      <c r="A1197" s="7" t="s">
        <v>1224</v>
      </c>
      <c r="B1197" s="7" t="s">
        <v>1224</v>
      </c>
      <c r="C1197" s="8" t="s">
        <v>1225</v>
      </c>
      <c r="D1197" s="8" t="s">
        <v>52</v>
      </c>
      <c r="E1197" s="9" t="s">
        <v>14</v>
      </c>
      <c r="F1197" s="9"/>
      <c r="G1197" s="9"/>
      <c r="H1197" s="9"/>
      <c r="I1197" s="9"/>
    </row>
    <row r="1198" spans="1:9" x14ac:dyDescent="0.25">
      <c r="A1198" s="7" t="s">
        <v>1224</v>
      </c>
      <c r="B1198" s="7" t="s">
        <v>1224</v>
      </c>
      <c r="C1198" s="7" t="s">
        <v>1225</v>
      </c>
      <c r="D1198" s="8" t="s">
        <v>44</v>
      </c>
      <c r="E1198" s="9" t="s">
        <v>14</v>
      </c>
      <c r="F1198" s="9"/>
      <c r="G1198" s="9"/>
      <c r="H1198" s="9"/>
      <c r="I1198" s="9"/>
    </row>
    <row r="1199" spans="1:9" x14ac:dyDescent="0.25">
      <c r="A1199" s="7" t="s">
        <v>1224</v>
      </c>
      <c r="B1199" s="7" t="s">
        <v>1224</v>
      </c>
      <c r="C1199" s="7" t="s">
        <v>1225</v>
      </c>
      <c r="D1199" s="8" t="s">
        <v>78</v>
      </c>
      <c r="E1199" s="9" t="s">
        <v>14</v>
      </c>
      <c r="F1199" s="9"/>
      <c r="G1199" s="9"/>
      <c r="H1199" s="9"/>
      <c r="I1199" s="9"/>
    </row>
    <row r="1200" spans="1:9" x14ac:dyDescent="0.25">
      <c r="A1200" s="7" t="s">
        <v>1224</v>
      </c>
      <c r="B1200" s="7" t="s">
        <v>1224</v>
      </c>
      <c r="C1200" s="7" t="s">
        <v>1225</v>
      </c>
      <c r="D1200" s="8" t="s">
        <v>262</v>
      </c>
      <c r="E1200" s="9" t="s">
        <v>14</v>
      </c>
      <c r="F1200" s="9"/>
      <c r="G1200" s="9"/>
      <c r="H1200" s="9"/>
      <c r="I1200" s="9"/>
    </row>
    <row r="1201" spans="1:9" x14ac:dyDescent="0.25">
      <c r="A1201" s="7" t="s">
        <v>1224</v>
      </c>
      <c r="B1201" s="7" t="s">
        <v>1226</v>
      </c>
      <c r="C1201" s="7" t="s">
        <v>1225</v>
      </c>
      <c r="D1201" s="8" t="s">
        <v>497</v>
      </c>
      <c r="E1201" s="9" t="s">
        <v>14</v>
      </c>
      <c r="F1201" s="9"/>
      <c r="G1201" s="9"/>
      <c r="H1201" s="9"/>
      <c r="I1201" s="9"/>
    </row>
    <row r="1202" spans="1:9" x14ac:dyDescent="0.25">
      <c r="A1202" s="7" t="s">
        <v>1224</v>
      </c>
      <c r="B1202" s="7" t="s">
        <v>1226</v>
      </c>
      <c r="C1202" s="7" t="s">
        <v>1225</v>
      </c>
      <c r="D1202" s="8" t="s">
        <v>498</v>
      </c>
      <c r="E1202" s="9" t="s">
        <v>14</v>
      </c>
      <c r="F1202" s="9"/>
      <c r="G1202" s="9"/>
      <c r="H1202" s="9"/>
      <c r="I1202" s="9"/>
    </row>
    <row r="1203" spans="1:9" x14ac:dyDescent="0.25">
      <c r="A1203" s="7" t="s">
        <v>1224</v>
      </c>
      <c r="B1203" s="7" t="s">
        <v>1227</v>
      </c>
      <c r="C1203" s="7" t="s">
        <v>1225</v>
      </c>
      <c r="D1203" s="8" t="s">
        <v>307</v>
      </c>
      <c r="E1203" s="9" t="s">
        <v>14</v>
      </c>
      <c r="F1203" s="9"/>
      <c r="G1203" s="9"/>
      <c r="H1203" s="9"/>
      <c r="I1203" s="9"/>
    </row>
    <row r="1204" spans="1:9" x14ac:dyDescent="0.25">
      <c r="A1204" s="7" t="s">
        <v>1224</v>
      </c>
      <c r="B1204" s="7" t="s">
        <v>1227</v>
      </c>
      <c r="C1204" s="7" t="s">
        <v>1225</v>
      </c>
      <c r="D1204" s="8" t="s">
        <v>325</v>
      </c>
      <c r="E1204" s="9" t="s">
        <v>14</v>
      </c>
      <c r="F1204" s="9"/>
      <c r="G1204" s="9"/>
      <c r="H1204" s="9"/>
      <c r="I1204" s="9"/>
    </row>
    <row r="1205" spans="1:9" x14ac:dyDescent="0.25">
      <c r="A1205" s="7" t="s">
        <v>1224</v>
      </c>
      <c r="B1205" s="7" t="s">
        <v>1228</v>
      </c>
      <c r="C1205" s="7" t="s">
        <v>1225</v>
      </c>
      <c r="D1205" s="8" t="s">
        <v>1229</v>
      </c>
      <c r="E1205" s="9" t="s">
        <v>14</v>
      </c>
      <c r="F1205" s="9"/>
      <c r="G1205" s="9"/>
      <c r="H1205" s="9"/>
      <c r="I1205" s="9"/>
    </row>
    <row r="1206" spans="1:9" x14ac:dyDescent="0.25">
      <c r="A1206" s="7" t="s">
        <v>1224</v>
      </c>
      <c r="B1206" s="7" t="s">
        <v>1230</v>
      </c>
      <c r="C1206" s="7" t="s">
        <v>1225</v>
      </c>
      <c r="D1206" s="8" t="s">
        <v>317</v>
      </c>
      <c r="E1206" s="9" t="s">
        <v>14</v>
      </c>
      <c r="F1206" s="9"/>
      <c r="G1206" s="9"/>
      <c r="H1206" s="9"/>
      <c r="I1206" s="9"/>
    </row>
    <row r="1207" spans="1:9" x14ac:dyDescent="0.25">
      <c r="A1207" s="7" t="s">
        <v>1224</v>
      </c>
      <c r="B1207" s="7" t="s">
        <v>1230</v>
      </c>
      <c r="C1207" s="7" t="s">
        <v>1225</v>
      </c>
      <c r="D1207" s="8" t="s">
        <v>258</v>
      </c>
      <c r="E1207" s="9" t="s">
        <v>14</v>
      </c>
      <c r="F1207" s="9"/>
      <c r="G1207" s="9"/>
      <c r="H1207" s="9"/>
      <c r="I1207" s="9"/>
    </row>
    <row r="1208" spans="1:9" x14ac:dyDescent="0.25">
      <c r="A1208" s="7" t="s">
        <v>1224</v>
      </c>
      <c r="B1208" s="7" t="s">
        <v>1231</v>
      </c>
      <c r="C1208" s="7" t="s">
        <v>1225</v>
      </c>
      <c r="D1208" s="8" t="s">
        <v>1232</v>
      </c>
      <c r="E1208" s="9" t="s">
        <v>14</v>
      </c>
      <c r="F1208" s="9"/>
      <c r="G1208" s="9"/>
      <c r="H1208" s="9"/>
      <c r="I1208" s="9"/>
    </row>
    <row r="1209" spans="1:9" x14ac:dyDescent="0.25">
      <c r="A1209" s="7" t="s">
        <v>1224</v>
      </c>
      <c r="B1209" s="7" t="s">
        <v>1233</v>
      </c>
      <c r="C1209" s="7" t="s">
        <v>1225</v>
      </c>
      <c r="D1209" s="8" t="s">
        <v>177</v>
      </c>
      <c r="E1209" s="9" t="s">
        <v>14</v>
      </c>
      <c r="F1209" s="9"/>
      <c r="G1209" s="9"/>
      <c r="H1209" s="9"/>
      <c r="I1209" s="9"/>
    </row>
    <row r="1210" spans="1:9" x14ac:dyDescent="0.25">
      <c r="A1210" s="7" t="s">
        <v>1224</v>
      </c>
      <c r="B1210" s="7" t="s">
        <v>1234</v>
      </c>
      <c r="C1210" s="7" t="s">
        <v>1225</v>
      </c>
      <c r="D1210" s="8" t="s">
        <v>1235</v>
      </c>
      <c r="E1210" s="9" t="s">
        <v>14</v>
      </c>
      <c r="F1210" s="9"/>
      <c r="G1210" s="9"/>
      <c r="H1210" s="9"/>
      <c r="I1210" s="9"/>
    </row>
    <row r="1211" spans="1:9" x14ac:dyDescent="0.25">
      <c r="A1211" s="7" t="s">
        <v>1224</v>
      </c>
      <c r="B1211" s="7" t="s">
        <v>1236</v>
      </c>
      <c r="C1211" s="8" t="s">
        <v>1225</v>
      </c>
      <c r="D1211" s="8" t="s">
        <v>243</v>
      </c>
      <c r="E1211" s="9" t="s">
        <v>14</v>
      </c>
      <c r="F1211" s="9"/>
      <c r="G1211" s="9"/>
      <c r="H1211" s="9"/>
      <c r="I1211" s="9"/>
    </row>
    <row r="1212" spans="1:9" x14ac:dyDescent="0.25">
      <c r="A1212" s="7" t="s">
        <v>1224</v>
      </c>
      <c r="B1212" s="7" t="s">
        <v>1236</v>
      </c>
      <c r="C1212" s="7" t="s">
        <v>1225</v>
      </c>
      <c r="D1212" s="8" t="s">
        <v>102</v>
      </c>
      <c r="E1212" s="9" t="s">
        <v>14</v>
      </c>
      <c r="F1212" s="9"/>
      <c r="G1212" s="9"/>
      <c r="H1212" s="9"/>
      <c r="I1212" s="9"/>
    </row>
    <row r="1213" spans="1:9" x14ac:dyDescent="0.25">
      <c r="A1213" s="7" t="s">
        <v>1224</v>
      </c>
      <c r="B1213" s="7" t="s">
        <v>1237</v>
      </c>
      <c r="C1213" s="7" t="s">
        <v>1225</v>
      </c>
      <c r="D1213" s="8" t="s">
        <v>1238</v>
      </c>
      <c r="E1213" s="9" t="s">
        <v>14</v>
      </c>
      <c r="F1213" s="9"/>
      <c r="G1213" s="9"/>
      <c r="H1213" s="9"/>
      <c r="I1213" s="9"/>
    </row>
    <row r="1214" spans="1:9" x14ac:dyDescent="0.25">
      <c r="A1214" s="7" t="s">
        <v>1224</v>
      </c>
      <c r="B1214" s="7" t="s">
        <v>1239</v>
      </c>
      <c r="C1214" s="7" t="s">
        <v>1225</v>
      </c>
      <c r="D1214" s="8" t="s">
        <v>530</v>
      </c>
      <c r="E1214" s="9" t="s">
        <v>14</v>
      </c>
      <c r="F1214" s="9"/>
      <c r="G1214" s="9"/>
      <c r="H1214" s="9"/>
      <c r="I1214" s="9"/>
    </row>
    <row r="1215" spans="1:9" x14ac:dyDescent="0.25">
      <c r="A1215" s="7" t="s">
        <v>1224</v>
      </c>
      <c r="B1215" s="7" t="s">
        <v>1239</v>
      </c>
      <c r="C1215" s="8" t="s">
        <v>1225</v>
      </c>
      <c r="D1215" s="8" t="s">
        <v>106</v>
      </c>
      <c r="E1215" s="9" t="s">
        <v>14</v>
      </c>
      <c r="F1215" s="9"/>
      <c r="G1215" s="9"/>
      <c r="H1215" s="9"/>
      <c r="I1215" s="9"/>
    </row>
    <row r="1216" spans="1:9" x14ac:dyDescent="0.25">
      <c r="A1216" s="7" t="s">
        <v>1224</v>
      </c>
      <c r="B1216" s="7" t="s">
        <v>1240</v>
      </c>
      <c r="C1216" s="8" t="s">
        <v>1225</v>
      </c>
      <c r="D1216" s="8" t="s">
        <v>1241</v>
      </c>
      <c r="E1216" s="9" t="s">
        <v>14</v>
      </c>
      <c r="F1216" s="9"/>
      <c r="G1216" s="9"/>
      <c r="H1216" s="9"/>
      <c r="I1216" s="9"/>
    </row>
    <row r="1217" spans="1:9" x14ac:dyDescent="0.25">
      <c r="A1217" s="7" t="s">
        <v>1224</v>
      </c>
      <c r="B1217" s="7" t="s">
        <v>1242</v>
      </c>
      <c r="C1217" s="7" t="s">
        <v>1225</v>
      </c>
      <c r="D1217" s="8" t="s">
        <v>267</v>
      </c>
      <c r="E1217" s="9" t="s">
        <v>14</v>
      </c>
      <c r="F1217" s="9"/>
      <c r="G1217" s="9"/>
      <c r="H1217" s="9"/>
      <c r="I1217" s="9"/>
    </row>
    <row r="1218" spans="1:9" x14ac:dyDescent="0.25">
      <c r="A1218" s="7" t="s">
        <v>1224</v>
      </c>
      <c r="B1218" s="7" t="s">
        <v>1242</v>
      </c>
      <c r="C1218" s="7" t="s">
        <v>1225</v>
      </c>
      <c r="D1218" s="8" t="s">
        <v>470</v>
      </c>
      <c r="E1218" s="9" t="s">
        <v>14</v>
      </c>
      <c r="F1218" s="9"/>
      <c r="G1218" s="9"/>
      <c r="H1218" s="9"/>
      <c r="I1218" s="9"/>
    </row>
    <row r="1219" spans="1:9" x14ac:dyDescent="0.25">
      <c r="A1219" s="7" t="s">
        <v>1224</v>
      </c>
      <c r="B1219" s="7" t="s">
        <v>1243</v>
      </c>
      <c r="C1219" s="7" t="s">
        <v>1225</v>
      </c>
      <c r="D1219" s="8" t="s">
        <v>1244</v>
      </c>
      <c r="E1219" s="9" t="s">
        <v>14</v>
      </c>
      <c r="F1219" s="9"/>
      <c r="G1219" s="9"/>
      <c r="H1219" s="9"/>
      <c r="I1219" s="9"/>
    </row>
    <row r="1220" spans="1:9" x14ac:dyDescent="0.25">
      <c r="A1220" s="7" t="s">
        <v>1224</v>
      </c>
      <c r="B1220" s="7" t="s">
        <v>1245</v>
      </c>
      <c r="C1220" s="7" t="s">
        <v>1225</v>
      </c>
      <c r="D1220" s="8" t="s">
        <v>13</v>
      </c>
      <c r="E1220" s="9" t="s">
        <v>14</v>
      </c>
      <c r="F1220" s="9"/>
      <c r="G1220" s="9"/>
      <c r="H1220" s="9"/>
      <c r="I1220" s="9"/>
    </row>
    <row r="1221" spans="1:9" x14ac:dyDescent="0.25">
      <c r="A1221" s="7" t="s">
        <v>1224</v>
      </c>
      <c r="B1221" s="7" t="s">
        <v>1245</v>
      </c>
      <c r="C1221" s="7" t="s">
        <v>1225</v>
      </c>
      <c r="D1221" s="8" t="s">
        <v>16</v>
      </c>
      <c r="E1221" s="9" t="s">
        <v>14</v>
      </c>
      <c r="F1221" s="9"/>
      <c r="G1221" s="9"/>
      <c r="H1221" s="9"/>
      <c r="I1221" s="9"/>
    </row>
    <row r="1222" spans="1:9" x14ac:dyDescent="0.25">
      <c r="A1222" s="7" t="s">
        <v>1224</v>
      </c>
      <c r="B1222" s="7" t="s">
        <v>1245</v>
      </c>
      <c r="C1222" s="7" t="s">
        <v>1225</v>
      </c>
      <c r="D1222" s="8" t="s">
        <v>134</v>
      </c>
      <c r="E1222" s="9" t="s">
        <v>14</v>
      </c>
      <c r="F1222" s="9"/>
      <c r="G1222" s="9"/>
      <c r="H1222" s="9"/>
      <c r="I1222" s="9"/>
    </row>
    <row r="1223" spans="1:9" x14ac:dyDescent="0.25">
      <c r="A1223" s="7" t="s">
        <v>1224</v>
      </c>
      <c r="B1223" s="7" t="s">
        <v>1246</v>
      </c>
      <c r="C1223" s="7" t="s">
        <v>1225</v>
      </c>
      <c r="D1223" s="8" t="s">
        <v>1247</v>
      </c>
      <c r="E1223" s="9" t="s">
        <v>14</v>
      </c>
      <c r="F1223" s="9"/>
      <c r="G1223" s="9"/>
      <c r="H1223" s="9"/>
      <c r="I1223" s="9"/>
    </row>
    <row r="1224" spans="1:9" x14ac:dyDescent="0.25">
      <c r="A1224" s="7" t="s">
        <v>1224</v>
      </c>
      <c r="B1224" s="7" t="s">
        <v>1246</v>
      </c>
      <c r="C1224" s="7" t="s">
        <v>1225</v>
      </c>
      <c r="D1224" s="8" t="s">
        <v>1248</v>
      </c>
      <c r="E1224" s="9" t="s">
        <v>14</v>
      </c>
      <c r="F1224" s="9"/>
      <c r="G1224" s="9"/>
      <c r="H1224" s="9"/>
      <c r="I1224" s="9"/>
    </row>
    <row r="1225" spans="1:9" x14ac:dyDescent="0.25">
      <c r="A1225" s="7" t="s">
        <v>1249</v>
      </c>
      <c r="B1225" s="7" t="s">
        <v>1250</v>
      </c>
      <c r="C1225" s="8" t="s">
        <v>1251</v>
      </c>
      <c r="D1225" s="8" t="s">
        <v>22</v>
      </c>
      <c r="E1225" s="9" t="s">
        <v>14</v>
      </c>
      <c r="F1225" s="9"/>
      <c r="G1225" s="9"/>
      <c r="H1225" s="9"/>
      <c r="I1225" s="9"/>
    </row>
    <row r="1226" spans="1:9" x14ac:dyDescent="0.25">
      <c r="A1226" s="7" t="s">
        <v>1249</v>
      </c>
      <c r="B1226" s="7" t="s">
        <v>1250</v>
      </c>
      <c r="C1226" s="8" t="s">
        <v>1251</v>
      </c>
      <c r="D1226" s="8" t="s">
        <v>60</v>
      </c>
      <c r="E1226" s="9" t="s">
        <v>14</v>
      </c>
      <c r="F1226" s="9"/>
      <c r="G1226" s="9"/>
      <c r="H1226" s="9"/>
      <c r="I1226" s="9"/>
    </row>
    <row r="1227" spans="1:9" x14ac:dyDescent="0.25">
      <c r="A1227" s="7" t="s">
        <v>1249</v>
      </c>
      <c r="B1227" s="7" t="s">
        <v>1252</v>
      </c>
      <c r="C1227" s="7" t="s">
        <v>1251</v>
      </c>
      <c r="D1227" s="8" t="s">
        <v>20</v>
      </c>
      <c r="E1227" s="9" t="s">
        <v>14</v>
      </c>
      <c r="F1227" s="9"/>
      <c r="G1227" s="9"/>
      <c r="H1227" s="9"/>
      <c r="I1227" s="9"/>
    </row>
    <row r="1228" spans="1:9" x14ac:dyDescent="0.25">
      <c r="A1228" s="7" t="s">
        <v>1249</v>
      </c>
      <c r="B1228" s="7" t="s">
        <v>1253</v>
      </c>
      <c r="C1228" s="7" t="s">
        <v>1251</v>
      </c>
      <c r="D1228" s="8" t="s">
        <v>53</v>
      </c>
      <c r="E1228" s="9" t="s">
        <v>14</v>
      </c>
      <c r="F1228" s="9"/>
      <c r="G1228" s="9"/>
      <c r="H1228" s="9"/>
      <c r="I1228" s="9"/>
    </row>
    <row r="1229" spans="1:9" x14ac:dyDescent="0.25">
      <c r="A1229" s="7" t="s">
        <v>1249</v>
      </c>
      <c r="B1229" s="7" t="s">
        <v>1253</v>
      </c>
      <c r="C1229" s="7" t="s">
        <v>1251</v>
      </c>
      <c r="D1229" s="8" t="s">
        <v>48</v>
      </c>
      <c r="E1229" s="9" t="s">
        <v>14</v>
      </c>
      <c r="F1229" s="9"/>
      <c r="G1229" s="9"/>
      <c r="H1229" s="9"/>
      <c r="I1229" s="9"/>
    </row>
    <row r="1230" spans="1:9" x14ac:dyDescent="0.25">
      <c r="A1230" s="7" t="s">
        <v>1249</v>
      </c>
      <c r="B1230" s="7" t="s">
        <v>1254</v>
      </c>
      <c r="C1230" s="7" t="s">
        <v>1251</v>
      </c>
      <c r="D1230" s="8" t="s">
        <v>24</v>
      </c>
      <c r="E1230" s="9" t="s">
        <v>14</v>
      </c>
      <c r="F1230" s="9"/>
      <c r="G1230" s="9"/>
      <c r="H1230" s="9"/>
      <c r="I1230" s="9"/>
    </row>
    <row r="1231" spans="1:9" x14ac:dyDescent="0.25">
      <c r="A1231" s="7" t="s">
        <v>1255</v>
      </c>
      <c r="B1231" s="7" t="s">
        <v>1256</v>
      </c>
      <c r="C1231" s="7" t="s">
        <v>1257</v>
      </c>
      <c r="D1231" s="8" t="s">
        <v>53</v>
      </c>
      <c r="E1231" s="9" t="s">
        <v>14</v>
      </c>
      <c r="F1231" s="9"/>
      <c r="G1231" s="9"/>
      <c r="H1231" s="9"/>
      <c r="I1231" s="9"/>
    </row>
    <row r="1232" spans="1:9" x14ac:dyDescent="0.25">
      <c r="A1232" s="7" t="s">
        <v>1255</v>
      </c>
      <c r="B1232" s="7" t="s">
        <v>1258</v>
      </c>
      <c r="C1232" s="7" t="s">
        <v>1257</v>
      </c>
      <c r="D1232" s="8" t="s">
        <v>55</v>
      </c>
      <c r="E1232" s="9" t="s">
        <v>14</v>
      </c>
      <c r="F1232" s="9"/>
      <c r="G1232" s="9"/>
      <c r="H1232" s="9"/>
      <c r="I1232" s="9"/>
    </row>
    <row r="1233" spans="1:9" x14ac:dyDescent="0.25">
      <c r="A1233" s="7" t="s">
        <v>1259</v>
      </c>
      <c r="B1233" s="7" t="s">
        <v>1260</v>
      </c>
      <c r="C1233" s="7" t="s">
        <v>1261</v>
      </c>
      <c r="D1233" s="8" t="s">
        <v>13</v>
      </c>
      <c r="E1233" s="9" t="s">
        <v>14</v>
      </c>
      <c r="F1233" s="9"/>
      <c r="G1233" s="9"/>
      <c r="H1233" s="9"/>
      <c r="I1233" s="9"/>
    </row>
    <row r="1234" spans="1:9" x14ac:dyDescent="0.25">
      <c r="A1234" s="7" t="s">
        <v>1259</v>
      </c>
      <c r="B1234" s="7" t="s">
        <v>1260</v>
      </c>
      <c r="C1234" s="7" t="s">
        <v>1261</v>
      </c>
      <c r="D1234" s="8" t="s">
        <v>43</v>
      </c>
      <c r="E1234" s="9" t="s">
        <v>14</v>
      </c>
      <c r="F1234" s="9"/>
      <c r="G1234" s="9"/>
      <c r="H1234" s="9"/>
      <c r="I1234" s="9"/>
    </row>
    <row r="1235" spans="1:9" x14ac:dyDescent="0.25">
      <c r="A1235" s="7" t="s">
        <v>1259</v>
      </c>
      <c r="B1235" s="7" t="s">
        <v>1262</v>
      </c>
      <c r="C1235" s="7" t="s">
        <v>1261</v>
      </c>
      <c r="D1235" s="8" t="s">
        <v>106</v>
      </c>
      <c r="E1235" s="9" t="s">
        <v>14</v>
      </c>
      <c r="F1235" s="9"/>
      <c r="G1235" s="9"/>
      <c r="H1235" s="9"/>
      <c r="I1235" s="9"/>
    </row>
    <row r="1236" spans="1:9" x14ac:dyDescent="0.25">
      <c r="A1236" s="7" t="s">
        <v>1263</v>
      </c>
      <c r="B1236" s="7" t="s">
        <v>1263</v>
      </c>
      <c r="C1236" s="7" t="s">
        <v>1264</v>
      </c>
      <c r="D1236" s="8" t="s">
        <v>43</v>
      </c>
      <c r="E1236" s="9" t="s">
        <v>14</v>
      </c>
      <c r="F1236" s="9"/>
      <c r="G1236" s="9"/>
      <c r="H1236" s="9"/>
      <c r="I1236" s="9"/>
    </row>
    <row r="1237" spans="1:9" x14ac:dyDescent="0.25">
      <c r="A1237" s="7" t="s">
        <v>1263</v>
      </c>
      <c r="B1237" s="7" t="s">
        <v>1265</v>
      </c>
      <c r="C1237" s="7" t="s">
        <v>1264</v>
      </c>
      <c r="D1237" s="8" t="s">
        <v>48</v>
      </c>
      <c r="E1237" s="9" t="s">
        <v>14</v>
      </c>
      <c r="F1237" s="9"/>
      <c r="G1237" s="9"/>
      <c r="H1237" s="9"/>
      <c r="I1237" s="9"/>
    </row>
    <row r="1238" spans="1:9" x14ac:dyDescent="0.25">
      <c r="A1238" s="7" t="s">
        <v>1266</v>
      </c>
      <c r="B1238" s="7" t="s">
        <v>1267</v>
      </c>
      <c r="C1238" s="7" t="s">
        <v>1268</v>
      </c>
      <c r="D1238" s="8" t="s">
        <v>48</v>
      </c>
      <c r="E1238" s="9" t="s">
        <v>14</v>
      </c>
      <c r="F1238" s="9"/>
      <c r="G1238" s="9"/>
      <c r="H1238" s="9"/>
      <c r="I1238" s="9"/>
    </row>
    <row r="1239" spans="1:9" x14ac:dyDescent="0.25">
      <c r="A1239" s="7" t="s">
        <v>1266</v>
      </c>
      <c r="B1239" s="7" t="s">
        <v>1269</v>
      </c>
      <c r="C1239" s="7" t="s">
        <v>1268</v>
      </c>
      <c r="D1239" s="8" t="s">
        <v>39</v>
      </c>
      <c r="E1239" s="9" t="s">
        <v>14</v>
      </c>
      <c r="F1239" s="9"/>
      <c r="G1239" s="9"/>
      <c r="H1239" s="9"/>
      <c r="I1239" s="9"/>
    </row>
    <row r="1240" spans="1:9" x14ac:dyDescent="0.25">
      <c r="A1240" s="7" t="s">
        <v>1270</v>
      </c>
      <c r="B1240" s="7" t="s">
        <v>1271</v>
      </c>
      <c r="C1240" s="7" t="s">
        <v>1272</v>
      </c>
      <c r="D1240" s="8" t="s">
        <v>24</v>
      </c>
      <c r="E1240" s="9" t="s">
        <v>14</v>
      </c>
      <c r="F1240" s="9"/>
      <c r="G1240" s="9"/>
      <c r="H1240" s="9"/>
      <c r="I1240" s="9"/>
    </row>
    <row r="1241" spans="1:9" x14ac:dyDescent="0.25">
      <c r="A1241" s="7" t="s">
        <v>1270</v>
      </c>
      <c r="B1241" s="7" t="s">
        <v>1271</v>
      </c>
      <c r="C1241" s="7" t="s">
        <v>1272</v>
      </c>
      <c r="D1241" s="8" t="s">
        <v>608</v>
      </c>
      <c r="E1241" s="9" t="s">
        <v>14</v>
      </c>
      <c r="F1241" s="9"/>
      <c r="G1241" s="9"/>
      <c r="H1241" s="9"/>
      <c r="I1241" s="9"/>
    </row>
    <row r="1242" spans="1:9" x14ac:dyDescent="0.25">
      <c r="A1242" s="7" t="s">
        <v>1270</v>
      </c>
      <c r="B1242" s="7" t="s">
        <v>1273</v>
      </c>
      <c r="C1242" s="7" t="s">
        <v>1272</v>
      </c>
      <c r="D1242" s="8" t="s">
        <v>1274</v>
      </c>
      <c r="E1242" s="9" t="s">
        <v>14</v>
      </c>
      <c r="F1242" s="9"/>
      <c r="G1242" s="9"/>
      <c r="H1242" s="9"/>
      <c r="I1242" s="9"/>
    </row>
    <row r="1243" spans="1:9" x14ac:dyDescent="0.25">
      <c r="A1243" s="7" t="s">
        <v>1270</v>
      </c>
      <c r="B1243" s="7" t="s">
        <v>1273</v>
      </c>
      <c r="C1243" s="7" t="s">
        <v>1272</v>
      </c>
      <c r="D1243" s="8" t="s">
        <v>875</v>
      </c>
      <c r="E1243" s="9" t="s">
        <v>14</v>
      </c>
      <c r="F1243" s="9"/>
      <c r="G1243" s="9"/>
      <c r="H1243" s="9"/>
      <c r="I1243" s="9"/>
    </row>
    <row r="1244" spans="1:9" x14ac:dyDescent="0.25">
      <c r="A1244" s="7" t="s">
        <v>1270</v>
      </c>
      <c r="B1244" s="7" t="s">
        <v>1275</v>
      </c>
      <c r="C1244" s="7" t="s">
        <v>1272</v>
      </c>
      <c r="D1244" s="8" t="s">
        <v>317</v>
      </c>
      <c r="E1244" s="9" t="s">
        <v>14</v>
      </c>
      <c r="F1244" s="9"/>
      <c r="G1244" s="9"/>
      <c r="H1244" s="9"/>
      <c r="I1244" s="9"/>
    </row>
    <row r="1245" spans="1:9" x14ac:dyDescent="0.25">
      <c r="A1245" s="7" t="s">
        <v>1270</v>
      </c>
      <c r="B1245" s="7" t="s">
        <v>1276</v>
      </c>
      <c r="C1245" s="7" t="s">
        <v>1272</v>
      </c>
      <c r="D1245" s="8" t="s">
        <v>808</v>
      </c>
      <c r="E1245" s="9" t="s">
        <v>14</v>
      </c>
      <c r="F1245" s="9"/>
      <c r="G1245" s="9"/>
      <c r="H1245" s="9"/>
      <c r="I1245" s="9"/>
    </row>
    <row r="1246" spans="1:9" x14ac:dyDescent="0.25">
      <c r="A1246" s="7" t="s">
        <v>1270</v>
      </c>
      <c r="B1246" s="7" t="s">
        <v>1277</v>
      </c>
      <c r="C1246" s="8" t="s">
        <v>1272</v>
      </c>
      <c r="D1246" s="8" t="s">
        <v>108</v>
      </c>
      <c r="E1246" s="9" t="s">
        <v>14</v>
      </c>
      <c r="F1246" s="9"/>
      <c r="G1246" s="9"/>
      <c r="H1246" s="9"/>
      <c r="I1246" s="9"/>
    </row>
    <row r="1247" spans="1:9" x14ac:dyDescent="0.25">
      <c r="A1247" s="7" t="s">
        <v>1270</v>
      </c>
      <c r="B1247" s="7" t="s">
        <v>1278</v>
      </c>
      <c r="C1247" s="8" t="s">
        <v>1272</v>
      </c>
      <c r="D1247" s="8" t="s">
        <v>570</v>
      </c>
      <c r="E1247" s="9" t="s">
        <v>14</v>
      </c>
      <c r="F1247" s="9"/>
      <c r="G1247" s="9"/>
      <c r="H1247" s="9"/>
      <c r="I1247" s="9"/>
    </row>
    <row r="1248" spans="1:9" x14ac:dyDescent="0.25">
      <c r="A1248" s="7" t="s">
        <v>1270</v>
      </c>
      <c r="B1248" s="7" t="s">
        <v>1279</v>
      </c>
      <c r="C1248" s="7" t="s">
        <v>1272</v>
      </c>
      <c r="D1248" s="8" t="s">
        <v>50</v>
      </c>
      <c r="E1248" s="9" t="s">
        <v>14</v>
      </c>
      <c r="F1248" s="9"/>
      <c r="G1248" s="9"/>
      <c r="H1248" s="9"/>
      <c r="I1248" s="9"/>
    </row>
    <row r="1249" spans="1:9" x14ac:dyDescent="0.25">
      <c r="A1249" s="7" t="s">
        <v>1270</v>
      </c>
      <c r="B1249" s="7" t="s">
        <v>1280</v>
      </c>
      <c r="C1249" s="7" t="s">
        <v>1272</v>
      </c>
      <c r="D1249" s="8" t="s">
        <v>864</v>
      </c>
      <c r="E1249" s="9" t="s">
        <v>14</v>
      </c>
      <c r="F1249" s="9"/>
      <c r="G1249" s="9"/>
      <c r="H1249" s="9"/>
      <c r="I1249" s="9"/>
    </row>
    <row r="1250" spans="1:9" x14ac:dyDescent="0.25">
      <c r="A1250" s="7" t="s">
        <v>1270</v>
      </c>
      <c r="B1250" s="7" t="s">
        <v>1281</v>
      </c>
      <c r="C1250" s="7" t="s">
        <v>1272</v>
      </c>
      <c r="D1250" s="8" t="s">
        <v>325</v>
      </c>
      <c r="E1250" s="9" t="s">
        <v>14</v>
      </c>
      <c r="F1250" s="9"/>
      <c r="G1250" s="9"/>
      <c r="H1250" s="9"/>
      <c r="I1250" s="9"/>
    </row>
    <row r="1251" spans="1:9" x14ac:dyDescent="0.25">
      <c r="A1251" s="7" t="s">
        <v>1270</v>
      </c>
      <c r="B1251" s="7" t="s">
        <v>1282</v>
      </c>
      <c r="C1251" s="7" t="s">
        <v>1272</v>
      </c>
      <c r="D1251" s="8" t="s">
        <v>577</v>
      </c>
      <c r="E1251" s="9" t="s">
        <v>14</v>
      </c>
      <c r="F1251" s="9"/>
      <c r="G1251" s="9"/>
      <c r="H1251" s="9"/>
      <c r="I1251" s="9"/>
    </row>
    <row r="1252" spans="1:9" x14ac:dyDescent="0.25">
      <c r="A1252" s="7" t="s">
        <v>1270</v>
      </c>
      <c r="B1252" s="7" t="s">
        <v>1283</v>
      </c>
      <c r="C1252" s="8" t="s">
        <v>1272</v>
      </c>
      <c r="D1252" s="8" t="s">
        <v>173</v>
      </c>
      <c r="E1252" s="9" t="s">
        <v>14</v>
      </c>
      <c r="F1252" s="9"/>
      <c r="G1252" s="9"/>
      <c r="H1252" s="9"/>
      <c r="I1252" s="9"/>
    </row>
    <row r="1253" spans="1:9" x14ac:dyDescent="0.25">
      <c r="A1253" s="7" t="s">
        <v>1270</v>
      </c>
      <c r="B1253" s="7" t="s">
        <v>1284</v>
      </c>
      <c r="C1253" s="8" t="s">
        <v>1272</v>
      </c>
      <c r="D1253" s="8" t="s">
        <v>356</v>
      </c>
      <c r="E1253" s="9" t="s">
        <v>14</v>
      </c>
      <c r="F1253" s="9"/>
      <c r="G1253" s="9"/>
      <c r="H1253" s="9"/>
      <c r="I1253" s="9"/>
    </row>
    <row r="1254" spans="1:9" x14ac:dyDescent="0.25">
      <c r="A1254" s="7" t="s">
        <v>1270</v>
      </c>
      <c r="B1254" s="7" t="s">
        <v>1285</v>
      </c>
      <c r="C1254" s="7" t="s">
        <v>1272</v>
      </c>
      <c r="D1254" s="8" t="s">
        <v>55</v>
      </c>
      <c r="E1254" s="9" t="s">
        <v>14</v>
      </c>
      <c r="F1254" s="9"/>
      <c r="G1254" s="9"/>
      <c r="H1254" s="9"/>
      <c r="I1254" s="9"/>
    </row>
    <row r="1255" spans="1:9" x14ac:dyDescent="0.25">
      <c r="A1255" s="7" t="s">
        <v>1270</v>
      </c>
      <c r="B1255" s="7" t="s">
        <v>1286</v>
      </c>
      <c r="C1255" s="7" t="s">
        <v>1272</v>
      </c>
      <c r="D1255" s="8" t="s">
        <v>817</v>
      </c>
      <c r="E1255" s="9" t="s">
        <v>14</v>
      </c>
      <c r="F1255" s="9"/>
      <c r="G1255" s="9"/>
      <c r="H1255" s="9"/>
      <c r="I1255" s="9"/>
    </row>
    <row r="1256" spans="1:9" x14ac:dyDescent="0.25">
      <c r="A1256" s="7" t="s">
        <v>1270</v>
      </c>
      <c r="B1256" s="7" t="s">
        <v>1287</v>
      </c>
      <c r="C1256" s="7" t="s">
        <v>1272</v>
      </c>
      <c r="D1256" s="8" t="s">
        <v>307</v>
      </c>
      <c r="E1256" s="9" t="s">
        <v>14</v>
      </c>
      <c r="F1256" s="9"/>
      <c r="G1256" s="9"/>
      <c r="H1256" s="9"/>
      <c r="I1256" s="9"/>
    </row>
    <row r="1257" spans="1:9" x14ac:dyDescent="0.25">
      <c r="A1257" s="7" t="s">
        <v>1270</v>
      </c>
      <c r="B1257" s="7" t="s">
        <v>1288</v>
      </c>
      <c r="C1257" s="7" t="s">
        <v>1272</v>
      </c>
      <c r="D1257" s="8" t="s">
        <v>815</v>
      </c>
      <c r="E1257" s="9" t="s">
        <v>14</v>
      </c>
      <c r="F1257" s="9"/>
      <c r="G1257" s="9"/>
      <c r="H1257" s="9"/>
      <c r="I1257" s="9"/>
    </row>
    <row r="1258" spans="1:9" x14ac:dyDescent="0.25">
      <c r="A1258" s="7" t="s">
        <v>1270</v>
      </c>
      <c r="B1258" s="7" t="s">
        <v>1289</v>
      </c>
      <c r="C1258" s="8" t="s">
        <v>1272</v>
      </c>
      <c r="D1258" s="8" t="s">
        <v>297</v>
      </c>
      <c r="E1258" s="9" t="s">
        <v>14</v>
      </c>
      <c r="F1258" s="9"/>
      <c r="G1258" s="9"/>
      <c r="H1258" s="9"/>
      <c r="I1258" s="9"/>
    </row>
    <row r="1259" spans="1:9" x14ac:dyDescent="0.25">
      <c r="A1259" s="7" t="s">
        <v>1270</v>
      </c>
      <c r="B1259" s="7" t="s">
        <v>1290</v>
      </c>
      <c r="C1259" s="8" t="s">
        <v>1272</v>
      </c>
      <c r="D1259" s="8" t="s">
        <v>1291</v>
      </c>
      <c r="E1259" s="9" t="s">
        <v>14</v>
      </c>
      <c r="F1259" s="9"/>
      <c r="G1259" s="9"/>
      <c r="H1259" s="9"/>
      <c r="I1259" s="9"/>
    </row>
    <row r="1260" spans="1:9" x14ac:dyDescent="0.25">
      <c r="A1260" s="7" t="s">
        <v>1270</v>
      </c>
      <c r="B1260" s="7" t="s">
        <v>1292</v>
      </c>
      <c r="C1260" s="7" t="s">
        <v>1272</v>
      </c>
      <c r="D1260" s="8" t="s">
        <v>89</v>
      </c>
      <c r="E1260" s="9" t="s">
        <v>14</v>
      </c>
      <c r="F1260" s="9"/>
      <c r="G1260" s="9"/>
      <c r="H1260" s="9"/>
      <c r="I1260" s="9"/>
    </row>
    <row r="1261" spans="1:9" x14ac:dyDescent="0.25">
      <c r="A1261" s="7" t="s">
        <v>1270</v>
      </c>
      <c r="B1261" s="7" t="s">
        <v>1293</v>
      </c>
      <c r="C1261" s="7" t="s">
        <v>1272</v>
      </c>
      <c r="D1261" s="8" t="s">
        <v>253</v>
      </c>
      <c r="E1261" s="9" t="s">
        <v>14</v>
      </c>
      <c r="F1261" s="9"/>
      <c r="G1261" s="9"/>
      <c r="H1261" s="9"/>
      <c r="I1261" s="9"/>
    </row>
    <row r="1262" spans="1:9" x14ac:dyDescent="0.25">
      <c r="A1262" s="7" t="s">
        <v>1270</v>
      </c>
      <c r="B1262" s="7" t="s">
        <v>1294</v>
      </c>
      <c r="C1262" s="8" t="s">
        <v>1272</v>
      </c>
      <c r="D1262" s="8" t="s">
        <v>258</v>
      </c>
      <c r="E1262" s="9" t="s">
        <v>14</v>
      </c>
      <c r="F1262" s="9"/>
      <c r="G1262" s="9"/>
      <c r="H1262" s="9"/>
      <c r="I1262" s="9"/>
    </row>
    <row r="1263" spans="1:9" x14ac:dyDescent="0.25">
      <c r="A1263" s="7" t="s">
        <v>1270</v>
      </c>
      <c r="B1263" s="7" t="s">
        <v>1295</v>
      </c>
      <c r="C1263" s="8" t="s">
        <v>1272</v>
      </c>
      <c r="D1263" s="8" t="s">
        <v>256</v>
      </c>
      <c r="E1263" s="9" t="s">
        <v>14</v>
      </c>
      <c r="F1263" s="9"/>
      <c r="G1263" s="9"/>
      <c r="H1263" s="9"/>
      <c r="I1263" s="9"/>
    </row>
    <row r="1264" spans="1:9" x14ac:dyDescent="0.25">
      <c r="A1264" s="7" t="s">
        <v>1270</v>
      </c>
      <c r="B1264" s="7" t="s">
        <v>1296</v>
      </c>
      <c r="C1264" s="8" t="s">
        <v>1272</v>
      </c>
      <c r="D1264" s="8" t="s">
        <v>333</v>
      </c>
      <c r="E1264" s="9" t="s">
        <v>14</v>
      </c>
      <c r="F1264" s="9"/>
      <c r="G1264" s="9"/>
      <c r="H1264" s="9"/>
      <c r="I1264" s="9"/>
    </row>
    <row r="1265" spans="1:9" x14ac:dyDescent="0.25">
      <c r="A1265" s="7" t="s">
        <v>1270</v>
      </c>
      <c r="B1265" s="7" t="s">
        <v>1297</v>
      </c>
      <c r="C1265" s="8" t="s">
        <v>1272</v>
      </c>
      <c r="D1265" s="8" t="s">
        <v>269</v>
      </c>
      <c r="E1265" s="9" t="s">
        <v>14</v>
      </c>
      <c r="F1265" s="9"/>
      <c r="G1265" s="9"/>
      <c r="H1265" s="9"/>
      <c r="I1265" s="9"/>
    </row>
    <row r="1266" spans="1:9" x14ac:dyDescent="0.25">
      <c r="A1266" s="7" t="s">
        <v>1298</v>
      </c>
      <c r="B1266" s="7" t="s">
        <v>1298</v>
      </c>
      <c r="C1266" s="8" t="s">
        <v>1299</v>
      </c>
      <c r="D1266" s="8" t="s">
        <v>13</v>
      </c>
      <c r="E1266" s="9" t="s">
        <v>14</v>
      </c>
      <c r="F1266" s="9"/>
      <c r="G1266" s="9"/>
      <c r="H1266" s="9"/>
      <c r="I1266" s="9"/>
    </row>
    <row r="1267" spans="1:9" x14ac:dyDescent="0.25">
      <c r="A1267" s="7" t="s">
        <v>1298</v>
      </c>
      <c r="B1267" s="7" t="s">
        <v>1300</v>
      </c>
      <c r="C1267" s="8" t="s">
        <v>1299</v>
      </c>
      <c r="D1267" s="8" t="s">
        <v>53</v>
      </c>
      <c r="E1267" s="9" t="s">
        <v>14</v>
      </c>
      <c r="F1267" s="9"/>
      <c r="G1267" s="9"/>
      <c r="H1267" s="9"/>
      <c r="I1267" s="9"/>
    </row>
    <row r="1268" spans="1:9" x14ac:dyDescent="0.25">
      <c r="A1268" s="7" t="s">
        <v>1301</v>
      </c>
      <c r="B1268" s="7" t="s">
        <v>1301</v>
      </c>
      <c r="C1268" s="8" t="s">
        <v>1302</v>
      </c>
      <c r="D1268" s="8" t="s">
        <v>13</v>
      </c>
      <c r="E1268" s="9" t="s">
        <v>14</v>
      </c>
      <c r="F1268" s="9"/>
      <c r="G1268" s="9"/>
      <c r="H1268" s="9"/>
      <c r="I1268" s="9"/>
    </row>
    <row r="1269" spans="1:9" x14ac:dyDescent="0.25">
      <c r="A1269" s="7" t="s">
        <v>1303</v>
      </c>
      <c r="B1269" s="7" t="s">
        <v>1304</v>
      </c>
      <c r="C1269" s="8" t="s">
        <v>1305</v>
      </c>
      <c r="D1269" s="8" t="s">
        <v>13</v>
      </c>
      <c r="E1269" s="9" t="s">
        <v>14</v>
      </c>
      <c r="F1269" s="9"/>
      <c r="G1269" s="9"/>
      <c r="H1269" s="9"/>
      <c r="I1269" s="9"/>
    </row>
    <row r="1270" spans="1:9" x14ac:dyDescent="0.25">
      <c r="A1270" s="7" t="s">
        <v>1303</v>
      </c>
      <c r="B1270" s="7" t="s">
        <v>1304</v>
      </c>
      <c r="C1270" s="8" t="s">
        <v>1305</v>
      </c>
      <c r="D1270" s="8" t="s">
        <v>52</v>
      </c>
      <c r="E1270" s="9" t="s">
        <v>14</v>
      </c>
      <c r="F1270" s="9"/>
      <c r="G1270" s="9"/>
      <c r="H1270" s="9"/>
      <c r="I1270" s="9"/>
    </row>
    <row r="1271" spans="1:9" x14ac:dyDescent="0.25">
      <c r="A1271" s="7" t="s">
        <v>1303</v>
      </c>
      <c r="B1271" s="7" t="s">
        <v>1304</v>
      </c>
      <c r="C1271" s="8" t="s">
        <v>1305</v>
      </c>
      <c r="D1271" s="8" t="s">
        <v>53</v>
      </c>
      <c r="E1271" s="9" t="s">
        <v>14</v>
      </c>
      <c r="F1271" s="9"/>
      <c r="G1271" s="9"/>
      <c r="H1271" s="9"/>
      <c r="I1271" s="9"/>
    </row>
    <row r="1272" spans="1:9" x14ac:dyDescent="0.25">
      <c r="A1272" s="7" t="s">
        <v>1303</v>
      </c>
      <c r="B1272" s="7" t="s">
        <v>1304</v>
      </c>
      <c r="C1272" s="8" t="s">
        <v>1305</v>
      </c>
      <c r="D1272" s="8" t="s">
        <v>44</v>
      </c>
      <c r="E1272" s="9" t="s">
        <v>14</v>
      </c>
      <c r="F1272" s="9"/>
      <c r="G1272" s="9"/>
      <c r="H1272" s="9"/>
      <c r="I1272" s="9"/>
    </row>
    <row r="1273" spans="1:9" x14ac:dyDescent="0.25">
      <c r="A1273" s="7" t="s">
        <v>1303</v>
      </c>
      <c r="B1273" s="7" t="s">
        <v>1304</v>
      </c>
      <c r="C1273" s="8" t="s">
        <v>1305</v>
      </c>
      <c r="D1273" s="8" t="s">
        <v>20</v>
      </c>
      <c r="E1273" s="9" t="s">
        <v>14</v>
      </c>
      <c r="F1273" s="9"/>
      <c r="G1273" s="9"/>
      <c r="H1273" s="9"/>
      <c r="I1273" s="9"/>
    </row>
    <row r="1274" spans="1:9" x14ac:dyDescent="0.25">
      <c r="A1274" s="7" t="s">
        <v>1303</v>
      </c>
      <c r="B1274" s="7" t="s">
        <v>1304</v>
      </c>
      <c r="C1274" s="8" t="s">
        <v>1305</v>
      </c>
      <c r="D1274" s="8" t="s">
        <v>24</v>
      </c>
      <c r="E1274" s="9" t="s">
        <v>14</v>
      </c>
      <c r="F1274" s="9"/>
      <c r="G1274" s="9"/>
      <c r="H1274" s="9"/>
      <c r="I1274" s="9"/>
    </row>
    <row r="1275" spans="1:9" x14ac:dyDescent="0.25">
      <c r="A1275" s="7" t="s">
        <v>1303</v>
      </c>
      <c r="B1275" s="7" t="s">
        <v>1304</v>
      </c>
      <c r="C1275" s="8" t="s">
        <v>1305</v>
      </c>
      <c r="D1275" s="8" t="s">
        <v>34</v>
      </c>
      <c r="E1275" s="9" t="s">
        <v>14</v>
      </c>
      <c r="F1275" s="9"/>
      <c r="G1275" s="9"/>
      <c r="H1275" s="9"/>
      <c r="I1275" s="9"/>
    </row>
    <row r="1276" spans="1:9" x14ac:dyDescent="0.25">
      <c r="A1276" s="7" t="s">
        <v>1303</v>
      </c>
      <c r="B1276" s="7" t="s">
        <v>1306</v>
      </c>
      <c r="C1276" s="8" t="s">
        <v>1305</v>
      </c>
      <c r="D1276" s="8" t="s">
        <v>650</v>
      </c>
      <c r="E1276" s="9" t="s">
        <v>14</v>
      </c>
      <c r="F1276" s="9"/>
      <c r="G1276" s="9"/>
      <c r="H1276" s="9"/>
      <c r="I1276" s="9"/>
    </row>
    <row r="1277" spans="1:9" x14ac:dyDescent="0.25">
      <c r="A1277" s="7" t="s">
        <v>1303</v>
      </c>
      <c r="B1277" s="7" t="s">
        <v>1306</v>
      </c>
      <c r="C1277" s="8" t="s">
        <v>1305</v>
      </c>
      <c r="D1277" s="8" t="s">
        <v>118</v>
      </c>
      <c r="E1277" s="9" t="s">
        <v>14</v>
      </c>
      <c r="F1277" s="9"/>
      <c r="G1277" s="9"/>
      <c r="H1277" s="9"/>
      <c r="I1277" s="9"/>
    </row>
    <row r="1278" spans="1:9" x14ac:dyDescent="0.25">
      <c r="A1278" s="7" t="s">
        <v>1303</v>
      </c>
      <c r="B1278" s="7" t="s">
        <v>1306</v>
      </c>
      <c r="C1278" s="8" t="s">
        <v>1305</v>
      </c>
      <c r="D1278" s="8" t="s">
        <v>243</v>
      </c>
      <c r="E1278" s="9" t="s">
        <v>14</v>
      </c>
      <c r="F1278" s="9"/>
      <c r="G1278" s="9"/>
      <c r="H1278" s="9"/>
      <c r="I1278" s="9"/>
    </row>
    <row r="1279" spans="1:9" x14ac:dyDescent="0.25">
      <c r="A1279" s="7" t="s">
        <v>1303</v>
      </c>
      <c r="B1279" s="7" t="s">
        <v>1306</v>
      </c>
      <c r="C1279" s="8" t="s">
        <v>1305</v>
      </c>
      <c r="D1279" s="8" t="s">
        <v>102</v>
      </c>
      <c r="E1279" s="9" t="s">
        <v>14</v>
      </c>
      <c r="F1279" s="9"/>
      <c r="G1279" s="9"/>
      <c r="H1279" s="9"/>
      <c r="I1279" s="9"/>
    </row>
    <row r="1280" spans="1:9" x14ac:dyDescent="0.25">
      <c r="A1280" s="7" t="s">
        <v>1303</v>
      </c>
      <c r="B1280" s="7" t="s">
        <v>1307</v>
      </c>
      <c r="C1280" s="8" t="s">
        <v>1305</v>
      </c>
      <c r="D1280" s="8" t="s">
        <v>55</v>
      </c>
      <c r="E1280" s="9" t="s">
        <v>14</v>
      </c>
      <c r="F1280" s="9"/>
      <c r="G1280" s="9"/>
      <c r="H1280" s="9"/>
      <c r="I1280" s="9"/>
    </row>
    <row r="1281" spans="1:9" x14ac:dyDescent="0.25">
      <c r="A1281" s="7" t="s">
        <v>1303</v>
      </c>
      <c r="B1281" s="7" t="s">
        <v>1307</v>
      </c>
      <c r="C1281" s="8" t="s">
        <v>1305</v>
      </c>
      <c r="D1281" s="8" t="s">
        <v>48</v>
      </c>
      <c r="E1281" s="9" t="s">
        <v>14</v>
      </c>
      <c r="F1281" s="9"/>
      <c r="G1281" s="9"/>
      <c r="H1281" s="9"/>
      <c r="I1281" s="9"/>
    </row>
    <row r="1282" spans="1:9" x14ac:dyDescent="0.25">
      <c r="A1282" s="7" t="s">
        <v>1303</v>
      </c>
      <c r="B1282" s="7" t="s">
        <v>1308</v>
      </c>
      <c r="C1282" s="8" t="s">
        <v>1305</v>
      </c>
      <c r="D1282" s="8" t="s">
        <v>530</v>
      </c>
      <c r="E1282" s="9" t="s">
        <v>14</v>
      </c>
      <c r="F1282" s="9"/>
      <c r="G1282" s="9"/>
      <c r="H1282" s="9"/>
      <c r="I1282" s="9"/>
    </row>
    <row r="1283" spans="1:9" x14ac:dyDescent="0.25">
      <c r="A1283" s="7" t="s">
        <v>1309</v>
      </c>
      <c r="B1283" s="7" t="s">
        <v>1309</v>
      </c>
      <c r="C1283" s="8" t="s">
        <v>1310</v>
      </c>
      <c r="D1283" s="8" t="s">
        <v>43</v>
      </c>
      <c r="E1283" s="9" t="s">
        <v>14</v>
      </c>
      <c r="F1283" s="9"/>
      <c r="G1283" s="9"/>
      <c r="H1283" s="9"/>
      <c r="I1283" s="9"/>
    </row>
    <row r="1284" spans="1:9" x14ac:dyDescent="0.25">
      <c r="A1284" s="7" t="s">
        <v>1309</v>
      </c>
      <c r="B1284" s="7" t="s">
        <v>1309</v>
      </c>
      <c r="C1284" s="8" t="s">
        <v>1310</v>
      </c>
      <c r="D1284" s="8" t="s">
        <v>18</v>
      </c>
      <c r="E1284" s="9" t="s">
        <v>14</v>
      </c>
      <c r="F1284" s="9"/>
      <c r="G1284" s="9"/>
      <c r="H1284" s="9"/>
      <c r="I1284" s="9"/>
    </row>
    <row r="1285" spans="1:9" x14ac:dyDescent="0.25">
      <c r="A1285" s="7" t="s">
        <v>1309</v>
      </c>
      <c r="B1285" s="7" t="s">
        <v>1309</v>
      </c>
      <c r="C1285" s="8" t="s">
        <v>1310</v>
      </c>
      <c r="D1285" s="8" t="s">
        <v>22</v>
      </c>
      <c r="E1285" s="9" t="s">
        <v>14</v>
      </c>
      <c r="F1285" s="9"/>
      <c r="G1285" s="9"/>
      <c r="H1285" s="9"/>
      <c r="I1285" s="9"/>
    </row>
    <row r="1286" spans="1:9" x14ac:dyDescent="0.25">
      <c r="A1286" s="7" t="s">
        <v>1309</v>
      </c>
      <c r="B1286" s="7" t="s">
        <v>1309</v>
      </c>
      <c r="C1286" s="8" t="s">
        <v>1310</v>
      </c>
      <c r="D1286" s="8" t="s">
        <v>53</v>
      </c>
      <c r="E1286" s="9" t="s">
        <v>14</v>
      </c>
      <c r="F1286" s="9"/>
      <c r="G1286" s="9"/>
      <c r="H1286" s="9"/>
      <c r="I1286" s="9"/>
    </row>
    <row r="1287" spans="1:9" x14ac:dyDescent="0.25">
      <c r="A1287" s="7" t="s">
        <v>1309</v>
      </c>
      <c r="B1287" s="7" t="s">
        <v>1311</v>
      </c>
      <c r="C1287" s="8" t="s">
        <v>1310</v>
      </c>
      <c r="D1287" s="8" t="s">
        <v>28</v>
      </c>
      <c r="E1287" s="9" t="s">
        <v>14</v>
      </c>
      <c r="F1287" s="9"/>
      <c r="G1287" s="9"/>
      <c r="H1287" s="9"/>
      <c r="I1287" s="9"/>
    </row>
    <row r="1288" spans="1:9" x14ac:dyDescent="0.25">
      <c r="A1288" s="7" t="s">
        <v>1309</v>
      </c>
      <c r="B1288" s="7" t="s">
        <v>1311</v>
      </c>
      <c r="C1288" s="8" t="s">
        <v>1310</v>
      </c>
      <c r="D1288" s="8" t="s">
        <v>46</v>
      </c>
      <c r="E1288" s="9" t="s">
        <v>14</v>
      </c>
      <c r="F1288" s="9"/>
      <c r="G1288" s="9"/>
      <c r="H1288" s="9"/>
      <c r="I1288" s="9"/>
    </row>
    <row r="1289" spans="1:9" x14ac:dyDescent="0.25">
      <c r="A1289" s="7" t="s">
        <v>1309</v>
      </c>
      <c r="B1289" s="7" t="s">
        <v>1312</v>
      </c>
      <c r="C1289" s="8" t="s">
        <v>1310</v>
      </c>
      <c r="D1289" s="8" t="s">
        <v>52</v>
      </c>
      <c r="E1289" s="9" t="s">
        <v>14</v>
      </c>
      <c r="F1289" s="9"/>
      <c r="G1289" s="9"/>
      <c r="H1289" s="9"/>
      <c r="I1289" s="9"/>
    </row>
    <row r="1290" spans="1:9" x14ac:dyDescent="0.25">
      <c r="A1290" s="7" t="s">
        <v>1309</v>
      </c>
      <c r="B1290" s="7" t="s">
        <v>1312</v>
      </c>
      <c r="C1290" s="8" t="s">
        <v>1310</v>
      </c>
      <c r="D1290" s="8" t="s">
        <v>48</v>
      </c>
      <c r="E1290" s="9" t="s">
        <v>14</v>
      </c>
      <c r="F1290" s="9"/>
      <c r="G1290" s="9"/>
      <c r="H1290" s="9"/>
      <c r="I1290" s="9"/>
    </row>
    <row r="1291" spans="1:9" x14ac:dyDescent="0.25">
      <c r="A1291" s="7" t="s">
        <v>1309</v>
      </c>
      <c r="B1291" s="7" t="s">
        <v>1313</v>
      </c>
      <c r="C1291" s="8" t="s">
        <v>1310</v>
      </c>
      <c r="D1291" s="8" t="s">
        <v>32</v>
      </c>
      <c r="E1291" s="9" t="s">
        <v>14</v>
      </c>
      <c r="F1291" s="9"/>
      <c r="G1291" s="9"/>
      <c r="H1291" s="9"/>
      <c r="I1291" s="9"/>
    </row>
    <row r="1292" spans="1:9" x14ac:dyDescent="0.25">
      <c r="A1292" s="7" t="s">
        <v>1309</v>
      </c>
      <c r="B1292" s="7" t="s">
        <v>1314</v>
      </c>
      <c r="C1292" s="8" t="s">
        <v>1310</v>
      </c>
      <c r="D1292" s="8" t="s">
        <v>44</v>
      </c>
      <c r="E1292" s="9" t="s">
        <v>14</v>
      </c>
      <c r="F1292" s="9"/>
      <c r="G1292" s="9"/>
      <c r="H1292" s="9"/>
      <c r="I1292" s="9"/>
    </row>
    <row r="1293" spans="1:9" x14ac:dyDescent="0.25">
      <c r="A1293" s="7" t="s">
        <v>1309</v>
      </c>
      <c r="B1293" s="7" t="s">
        <v>1314</v>
      </c>
      <c r="C1293" s="8" t="s">
        <v>1310</v>
      </c>
      <c r="D1293" s="8" t="s">
        <v>16</v>
      </c>
      <c r="E1293" s="9" t="s">
        <v>14</v>
      </c>
      <c r="F1293" s="9"/>
      <c r="G1293" s="9"/>
      <c r="H1293" s="9"/>
      <c r="I1293" s="9"/>
    </row>
    <row r="1294" spans="1:9" x14ac:dyDescent="0.25">
      <c r="A1294" s="7" t="s">
        <v>1309</v>
      </c>
      <c r="B1294" s="7" t="s">
        <v>1315</v>
      </c>
      <c r="C1294" s="8" t="s">
        <v>1310</v>
      </c>
      <c r="D1294" s="8" t="s">
        <v>39</v>
      </c>
      <c r="E1294" s="9" t="s">
        <v>14</v>
      </c>
      <c r="F1294" s="9"/>
      <c r="G1294" s="9"/>
      <c r="H1294" s="9"/>
      <c r="I1294" s="9"/>
    </row>
    <row r="1295" spans="1:9" x14ac:dyDescent="0.25">
      <c r="A1295" s="7" t="s">
        <v>1309</v>
      </c>
      <c r="B1295" s="7" t="s">
        <v>1316</v>
      </c>
      <c r="C1295" s="8" t="s">
        <v>1310</v>
      </c>
      <c r="D1295" s="8" t="s">
        <v>13</v>
      </c>
      <c r="E1295" s="9" t="s">
        <v>14</v>
      </c>
      <c r="F1295" s="9"/>
      <c r="G1295" s="9"/>
      <c r="H1295" s="9"/>
      <c r="I1295" s="9"/>
    </row>
    <row r="1296" spans="1:9" x14ac:dyDescent="0.25">
      <c r="A1296" s="7" t="s">
        <v>1309</v>
      </c>
      <c r="B1296" s="7" t="s">
        <v>1316</v>
      </c>
      <c r="C1296" s="8" t="s">
        <v>1310</v>
      </c>
      <c r="D1296" s="8" t="s">
        <v>60</v>
      </c>
      <c r="E1296" s="9" t="s">
        <v>14</v>
      </c>
      <c r="F1296" s="9"/>
      <c r="G1296" s="9"/>
      <c r="H1296" s="9"/>
      <c r="I1296" s="9"/>
    </row>
    <row r="1297" spans="1:9" x14ac:dyDescent="0.25">
      <c r="A1297" s="7" t="s">
        <v>1309</v>
      </c>
      <c r="B1297" s="7" t="s">
        <v>1317</v>
      </c>
      <c r="C1297" s="8" t="s">
        <v>1310</v>
      </c>
      <c r="D1297" s="8" t="s">
        <v>50</v>
      </c>
      <c r="E1297" s="9" t="s">
        <v>14</v>
      </c>
      <c r="F1297" s="9"/>
      <c r="G1297" s="9"/>
      <c r="H1297" s="9"/>
      <c r="I1297" s="9"/>
    </row>
    <row r="1298" spans="1:9" x14ac:dyDescent="0.25">
      <c r="A1298" s="7" t="s">
        <v>1318</v>
      </c>
      <c r="B1298" s="7" t="s">
        <v>1318</v>
      </c>
      <c r="C1298" s="8" t="s">
        <v>1319</v>
      </c>
      <c r="D1298" s="8" t="s">
        <v>13</v>
      </c>
      <c r="E1298" s="9" t="s">
        <v>14</v>
      </c>
      <c r="F1298" s="9"/>
      <c r="G1298" s="9"/>
      <c r="H1298" s="9"/>
      <c r="I1298" s="9"/>
    </row>
    <row r="1299" spans="1:9" x14ac:dyDescent="0.25">
      <c r="A1299" s="7" t="s">
        <v>1318</v>
      </c>
      <c r="B1299" s="7" t="s">
        <v>1318</v>
      </c>
      <c r="C1299" s="8" t="s">
        <v>1319</v>
      </c>
      <c r="D1299" s="8" t="s">
        <v>24</v>
      </c>
      <c r="E1299" s="9" t="s">
        <v>14</v>
      </c>
      <c r="F1299" s="9"/>
      <c r="G1299" s="9"/>
      <c r="H1299" s="9"/>
      <c r="I1299" s="9"/>
    </row>
    <row r="1300" spans="1:9" x14ac:dyDescent="0.25">
      <c r="A1300" s="7" t="s">
        <v>1318</v>
      </c>
      <c r="B1300" s="7" t="s">
        <v>1320</v>
      </c>
      <c r="C1300" s="8" t="s">
        <v>1319</v>
      </c>
      <c r="D1300" s="8" t="s">
        <v>50</v>
      </c>
      <c r="E1300" s="9" t="s">
        <v>14</v>
      </c>
      <c r="F1300" s="9"/>
      <c r="G1300" s="9"/>
      <c r="H1300" s="9"/>
      <c r="I1300" s="9"/>
    </row>
    <row r="1301" spans="1:9" x14ac:dyDescent="0.25">
      <c r="A1301" s="7" t="s">
        <v>1318</v>
      </c>
      <c r="B1301" s="7" t="s">
        <v>1320</v>
      </c>
      <c r="C1301" s="8" t="s">
        <v>1319</v>
      </c>
      <c r="D1301" s="8" t="s">
        <v>46</v>
      </c>
      <c r="E1301" s="9" t="s">
        <v>14</v>
      </c>
      <c r="F1301" s="9"/>
      <c r="G1301" s="9"/>
      <c r="H1301" s="9"/>
      <c r="I1301" s="9"/>
    </row>
    <row r="1302" spans="1:9" x14ac:dyDescent="0.25">
      <c r="A1302" s="7" t="s">
        <v>1318</v>
      </c>
      <c r="B1302" s="7" t="s">
        <v>1321</v>
      </c>
      <c r="C1302" s="8" t="s">
        <v>1319</v>
      </c>
      <c r="D1302" s="8" t="s">
        <v>16</v>
      </c>
      <c r="E1302" s="9" t="s">
        <v>14</v>
      </c>
      <c r="F1302" s="9"/>
      <c r="G1302" s="9"/>
      <c r="H1302" s="9"/>
      <c r="I1302" s="9"/>
    </row>
    <row r="1303" spans="1:9" x14ac:dyDescent="0.25">
      <c r="A1303" s="7" t="s">
        <v>1318</v>
      </c>
      <c r="B1303" s="7" t="s">
        <v>1322</v>
      </c>
      <c r="C1303" s="7" t="s">
        <v>1319</v>
      </c>
      <c r="D1303" s="8" t="s">
        <v>39</v>
      </c>
      <c r="E1303" s="9" t="s">
        <v>14</v>
      </c>
      <c r="F1303" s="9"/>
      <c r="G1303" s="9"/>
      <c r="H1303" s="9"/>
      <c r="I1303" s="9"/>
    </row>
    <row r="1304" spans="1:9" x14ac:dyDescent="0.25">
      <c r="A1304" s="7" t="s">
        <v>1318</v>
      </c>
      <c r="B1304" s="7" t="s">
        <v>1323</v>
      </c>
      <c r="C1304" s="7" t="s">
        <v>1319</v>
      </c>
      <c r="D1304" s="8" t="s">
        <v>34</v>
      </c>
      <c r="E1304" s="9" t="s">
        <v>14</v>
      </c>
      <c r="F1304" s="9"/>
      <c r="G1304" s="9"/>
      <c r="H1304" s="9"/>
      <c r="I1304" s="9"/>
    </row>
    <row r="1305" spans="1:9" x14ac:dyDescent="0.25">
      <c r="A1305" s="7" t="s">
        <v>1318</v>
      </c>
      <c r="B1305" s="7" t="s">
        <v>1324</v>
      </c>
      <c r="C1305" s="7" t="s">
        <v>1319</v>
      </c>
      <c r="D1305" s="8" t="s">
        <v>29</v>
      </c>
      <c r="E1305" s="9" t="s">
        <v>14</v>
      </c>
      <c r="F1305" s="9"/>
      <c r="G1305" s="9"/>
      <c r="H1305" s="9"/>
      <c r="I1305" s="9"/>
    </row>
    <row r="1306" spans="1:9" x14ac:dyDescent="0.25">
      <c r="A1306" s="7" t="s">
        <v>1318</v>
      </c>
      <c r="B1306" s="7" t="s">
        <v>1325</v>
      </c>
      <c r="C1306" s="7" t="s">
        <v>1319</v>
      </c>
      <c r="D1306" s="8" t="s">
        <v>20</v>
      </c>
      <c r="E1306" s="9" t="s">
        <v>14</v>
      </c>
      <c r="F1306" s="9"/>
      <c r="G1306" s="9"/>
      <c r="H1306" s="9"/>
      <c r="I1306" s="9"/>
    </row>
    <row r="1307" spans="1:9" x14ac:dyDescent="0.25">
      <c r="A1307" s="7" t="s">
        <v>1318</v>
      </c>
      <c r="B1307" s="7" t="s">
        <v>1326</v>
      </c>
      <c r="C1307" s="7" t="s">
        <v>1319</v>
      </c>
      <c r="D1307" s="8" t="s">
        <v>32</v>
      </c>
      <c r="E1307" s="9" t="s">
        <v>14</v>
      </c>
      <c r="F1307" s="9"/>
      <c r="G1307" s="9"/>
      <c r="H1307" s="9"/>
      <c r="I1307" s="9"/>
    </row>
    <row r="1308" spans="1:9" x14ac:dyDescent="0.25">
      <c r="A1308" s="7" t="s">
        <v>1327</v>
      </c>
      <c r="B1308" s="7" t="s">
        <v>1327</v>
      </c>
      <c r="C1308" s="7" t="s">
        <v>1328</v>
      </c>
      <c r="D1308" s="8" t="s">
        <v>13</v>
      </c>
      <c r="E1308" s="9" t="s">
        <v>14</v>
      </c>
      <c r="F1308" s="9"/>
      <c r="G1308" s="9"/>
      <c r="H1308" s="9"/>
      <c r="I1308" s="9"/>
    </row>
    <row r="1309" spans="1:9" x14ac:dyDescent="0.25">
      <c r="A1309" s="7" t="s">
        <v>1327</v>
      </c>
      <c r="B1309" s="7" t="s">
        <v>1329</v>
      </c>
      <c r="C1309" s="7" t="s">
        <v>1328</v>
      </c>
      <c r="D1309" s="8" t="s">
        <v>43</v>
      </c>
      <c r="E1309" s="9" t="s">
        <v>14</v>
      </c>
      <c r="F1309" s="9"/>
      <c r="G1309" s="9"/>
      <c r="H1309" s="9"/>
      <c r="I1309" s="9"/>
    </row>
    <row r="1310" spans="1:9" x14ac:dyDescent="0.25">
      <c r="A1310" s="7" t="s">
        <v>1330</v>
      </c>
      <c r="B1310" s="7" t="s">
        <v>1331</v>
      </c>
      <c r="C1310" s="7" t="s">
        <v>1332</v>
      </c>
      <c r="D1310" s="8" t="s">
        <v>18</v>
      </c>
      <c r="E1310" s="9" t="s">
        <v>14</v>
      </c>
      <c r="F1310" s="9"/>
      <c r="G1310" s="9"/>
      <c r="H1310" s="9"/>
      <c r="I1310" s="9"/>
    </row>
    <row r="1311" spans="1:9" x14ac:dyDescent="0.25">
      <c r="A1311" s="7" t="s">
        <v>1330</v>
      </c>
      <c r="B1311" s="7" t="s">
        <v>1333</v>
      </c>
      <c r="C1311" s="7" t="s">
        <v>1332</v>
      </c>
      <c r="D1311" s="8" t="s">
        <v>34</v>
      </c>
      <c r="E1311" s="9" t="s">
        <v>14</v>
      </c>
      <c r="F1311" s="9"/>
      <c r="G1311" s="9"/>
      <c r="H1311" s="9"/>
      <c r="I1311" s="9"/>
    </row>
    <row r="1312" spans="1:9" x14ac:dyDescent="0.25">
      <c r="A1312" s="7" t="s">
        <v>1330</v>
      </c>
      <c r="B1312" s="7" t="s">
        <v>1334</v>
      </c>
      <c r="C1312" s="7" t="s">
        <v>1332</v>
      </c>
      <c r="D1312" s="8" t="s">
        <v>13</v>
      </c>
      <c r="E1312" s="9" t="s">
        <v>14</v>
      </c>
      <c r="F1312" s="9"/>
      <c r="G1312" s="9"/>
      <c r="H1312" s="9"/>
      <c r="I1312" s="9"/>
    </row>
    <row r="1313" spans="1:9" x14ac:dyDescent="0.25">
      <c r="A1313" s="7" t="s">
        <v>1330</v>
      </c>
      <c r="B1313" s="7" t="s">
        <v>1335</v>
      </c>
      <c r="C1313" s="7" t="s">
        <v>1332</v>
      </c>
      <c r="D1313" s="8" t="s">
        <v>20</v>
      </c>
      <c r="E1313" s="9" t="s">
        <v>14</v>
      </c>
      <c r="F1313" s="9"/>
      <c r="G1313" s="9"/>
      <c r="H1313" s="9"/>
      <c r="I1313" s="9"/>
    </row>
    <row r="1314" spans="1:9" x14ac:dyDescent="0.25">
      <c r="A1314" s="7" t="s">
        <v>1330</v>
      </c>
      <c r="B1314" s="7" t="s">
        <v>1336</v>
      </c>
      <c r="C1314" s="7" t="s">
        <v>1332</v>
      </c>
      <c r="D1314" s="8" t="s">
        <v>43</v>
      </c>
      <c r="E1314" s="9" t="s">
        <v>14</v>
      </c>
      <c r="F1314" s="9"/>
      <c r="G1314" s="9"/>
      <c r="H1314" s="9"/>
      <c r="I1314" s="9"/>
    </row>
    <row r="1315" spans="1:9" x14ac:dyDescent="0.25">
      <c r="A1315" s="7" t="s">
        <v>1330</v>
      </c>
      <c r="B1315" s="7" t="s">
        <v>1337</v>
      </c>
      <c r="C1315" s="7" t="s">
        <v>1332</v>
      </c>
      <c r="D1315" s="8" t="s">
        <v>73</v>
      </c>
      <c r="E1315" s="9" t="s">
        <v>14</v>
      </c>
      <c r="F1315" s="9"/>
      <c r="G1315" s="9"/>
      <c r="H1315" s="9"/>
      <c r="I1315" s="9"/>
    </row>
    <row r="1316" spans="1:9" x14ac:dyDescent="0.25">
      <c r="A1316" s="7" t="s">
        <v>1330</v>
      </c>
      <c r="B1316" s="7" t="s">
        <v>1338</v>
      </c>
      <c r="C1316" s="7" t="s">
        <v>1332</v>
      </c>
      <c r="D1316" s="8" t="s">
        <v>52</v>
      </c>
      <c r="E1316" s="9" t="s">
        <v>14</v>
      </c>
      <c r="F1316" s="9"/>
      <c r="G1316" s="9"/>
      <c r="H1316" s="9"/>
      <c r="I1316" s="9"/>
    </row>
    <row r="1317" spans="1:9" x14ac:dyDescent="0.25">
      <c r="A1317" s="7" t="s">
        <v>1330</v>
      </c>
      <c r="B1317" s="7" t="s">
        <v>1339</v>
      </c>
      <c r="C1317" s="7" t="s">
        <v>1332</v>
      </c>
      <c r="D1317" s="8" t="s">
        <v>24</v>
      </c>
      <c r="E1317" s="9" t="s">
        <v>14</v>
      </c>
      <c r="F1317" s="9"/>
      <c r="G1317" s="9"/>
      <c r="H1317" s="9"/>
      <c r="I1317" s="9"/>
    </row>
    <row r="1318" spans="1:9" x14ac:dyDescent="0.25">
      <c r="A1318" s="7" t="s">
        <v>1340</v>
      </c>
      <c r="B1318" s="7" t="s">
        <v>1341</v>
      </c>
      <c r="C1318" s="8" t="s">
        <v>1342</v>
      </c>
      <c r="D1318" s="8" t="s">
        <v>22</v>
      </c>
      <c r="E1318" s="9" t="s">
        <v>14</v>
      </c>
      <c r="F1318" s="9"/>
      <c r="G1318" s="9"/>
      <c r="H1318" s="9"/>
      <c r="I1318" s="9"/>
    </row>
    <row r="1319" spans="1:9" x14ac:dyDescent="0.25">
      <c r="A1319" s="7" t="s">
        <v>1340</v>
      </c>
      <c r="B1319" s="7" t="s">
        <v>1341</v>
      </c>
      <c r="C1319" s="8" t="s">
        <v>1342</v>
      </c>
      <c r="D1319" s="8" t="s">
        <v>89</v>
      </c>
      <c r="E1319" s="9" t="s">
        <v>14</v>
      </c>
      <c r="F1319" s="9"/>
      <c r="G1319" s="9"/>
      <c r="H1319" s="9"/>
      <c r="I1319" s="9"/>
    </row>
    <row r="1320" spans="1:9" x14ac:dyDescent="0.25">
      <c r="A1320" s="7" t="s">
        <v>1340</v>
      </c>
      <c r="B1320" s="7" t="s">
        <v>1341</v>
      </c>
      <c r="C1320" s="8" t="s">
        <v>1342</v>
      </c>
      <c r="D1320" s="8" t="s">
        <v>183</v>
      </c>
      <c r="E1320" s="9" t="s">
        <v>14</v>
      </c>
      <c r="F1320" s="9"/>
      <c r="G1320" s="9"/>
      <c r="H1320" s="9"/>
      <c r="I1320" s="9"/>
    </row>
    <row r="1321" spans="1:9" x14ac:dyDescent="0.25">
      <c r="A1321" s="7" t="s">
        <v>1340</v>
      </c>
      <c r="B1321" s="7" t="s">
        <v>1341</v>
      </c>
      <c r="C1321" s="8" t="s">
        <v>1342</v>
      </c>
      <c r="D1321" s="8" t="s">
        <v>104</v>
      </c>
      <c r="E1321" s="9" t="s">
        <v>14</v>
      </c>
      <c r="F1321" s="9"/>
      <c r="G1321" s="9"/>
      <c r="H1321" s="9"/>
      <c r="I1321" s="9"/>
    </row>
    <row r="1322" spans="1:9" x14ac:dyDescent="0.25">
      <c r="A1322" s="7" t="s">
        <v>1340</v>
      </c>
      <c r="B1322" s="7" t="s">
        <v>1343</v>
      </c>
      <c r="C1322" s="8" t="s">
        <v>1342</v>
      </c>
      <c r="D1322" s="8" t="s">
        <v>262</v>
      </c>
      <c r="E1322" s="9" t="s">
        <v>14</v>
      </c>
      <c r="F1322" s="9"/>
      <c r="G1322" s="9"/>
      <c r="H1322" s="9"/>
      <c r="I1322" s="9"/>
    </row>
    <row r="1323" spans="1:9" x14ac:dyDescent="0.25">
      <c r="A1323" s="7" t="s">
        <v>1340</v>
      </c>
      <c r="B1323" s="7" t="s">
        <v>1343</v>
      </c>
      <c r="C1323" s="8" t="s">
        <v>1342</v>
      </c>
      <c r="D1323" s="8" t="s">
        <v>81</v>
      </c>
      <c r="E1323" s="9" t="s">
        <v>14</v>
      </c>
      <c r="F1323" s="9"/>
      <c r="G1323" s="9"/>
      <c r="H1323" s="9"/>
      <c r="I1323" s="9"/>
    </row>
    <row r="1324" spans="1:9" x14ac:dyDescent="0.25">
      <c r="A1324" s="7" t="s">
        <v>1340</v>
      </c>
      <c r="B1324" s="7" t="s">
        <v>1344</v>
      </c>
      <c r="C1324" s="7" t="s">
        <v>1342</v>
      </c>
      <c r="D1324" s="8" t="s">
        <v>24</v>
      </c>
      <c r="E1324" s="9" t="s">
        <v>14</v>
      </c>
      <c r="F1324" s="9"/>
      <c r="G1324" s="9"/>
      <c r="H1324" s="9"/>
      <c r="I1324" s="9"/>
    </row>
    <row r="1325" spans="1:9" x14ac:dyDescent="0.25">
      <c r="A1325" s="7" t="s">
        <v>1340</v>
      </c>
      <c r="B1325" s="7" t="s">
        <v>1344</v>
      </c>
      <c r="C1325" s="8" t="s">
        <v>1342</v>
      </c>
      <c r="D1325" s="8" t="s">
        <v>363</v>
      </c>
      <c r="E1325" s="9" t="s">
        <v>14</v>
      </c>
      <c r="F1325" s="9"/>
      <c r="G1325" s="9"/>
      <c r="H1325" s="9"/>
      <c r="I1325" s="9"/>
    </row>
    <row r="1326" spans="1:9" x14ac:dyDescent="0.25">
      <c r="A1326" s="7" t="s">
        <v>1340</v>
      </c>
      <c r="B1326" s="7" t="s">
        <v>1345</v>
      </c>
      <c r="C1326" s="8" t="s">
        <v>1342</v>
      </c>
      <c r="D1326" s="8" t="s">
        <v>251</v>
      </c>
      <c r="E1326" s="9" t="s">
        <v>14</v>
      </c>
      <c r="F1326" s="9"/>
      <c r="G1326" s="9"/>
      <c r="H1326" s="9"/>
      <c r="I1326" s="9"/>
    </row>
    <row r="1327" spans="1:9" x14ac:dyDescent="0.25">
      <c r="A1327" s="7" t="s">
        <v>1340</v>
      </c>
      <c r="B1327" s="7" t="s">
        <v>1346</v>
      </c>
      <c r="C1327" s="8" t="s">
        <v>1342</v>
      </c>
      <c r="D1327" s="8" t="s">
        <v>28</v>
      </c>
      <c r="E1327" s="9" t="s">
        <v>14</v>
      </c>
      <c r="F1327" s="9"/>
      <c r="G1327" s="9"/>
      <c r="H1327" s="9"/>
      <c r="I1327" s="9"/>
    </row>
    <row r="1328" spans="1:9" x14ac:dyDescent="0.25">
      <c r="A1328" s="7" t="s">
        <v>1340</v>
      </c>
      <c r="B1328" s="7" t="s">
        <v>1346</v>
      </c>
      <c r="C1328" s="7" t="s">
        <v>1342</v>
      </c>
      <c r="D1328" s="8" t="s">
        <v>577</v>
      </c>
      <c r="E1328" s="9" t="s">
        <v>14</v>
      </c>
      <c r="F1328" s="9"/>
      <c r="G1328" s="9"/>
      <c r="H1328" s="9"/>
      <c r="I1328" s="9"/>
    </row>
    <row r="1329" spans="1:9" x14ac:dyDescent="0.25">
      <c r="A1329" s="7" t="s">
        <v>1340</v>
      </c>
      <c r="B1329" s="7" t="s">
        <v>1347</v>
      </c>
      <c r="C1329" s="7" t="s">
        <v>1342</v>
      </c>
      <c r="D1329" s="8" t="s">
        <v>75</v>
      </c>
      <c r="E1329" s="9" t="s">
        <v>14</v>
      </c>
      <c r="F1329" s="9"/>
      <c r="G1329" s="9"/>
      <c r="H1329" s="9"/>
      <c r="I1329" s="9"/>
    </row>
    <row r="1330" spans="1:9" x14ac:dyDescent="0.25">
      <c r="A1330" s="7" t="s">
        <v>1340</v>
      </c>
      <c r="B1330" s="7" t="s">
        <v>1348</v>
      </c>
      <c r="C1330" s="8" t="s">
        <v>1342</v>
      </c>
      <c r="D1330" s="8" t="s">
        <v>18</v>
      </c>
      <c r="E1330" s="9" t="s">
        <v>14</v>
      </c>
      <c r="F1330" s="9"/>
      <c r="G1330" s="9"/>
      <c r="H1330" s="9"/>
      <c r="I1330" s="9"/>
    </row>
    <row r="1331" spans="1:9" x14ac:dyDescent="0.25">
      <c r="A1331" s="7" t="s">
        <v>1340</v>
      </c>
      <c r="B1331" s="7" t="s">
        <v>1348</v>
      </c>
      <c r="C1331" s="7" t="s">
        <v>1342</v>
      </c>
      <c r="D1331" s="8" t="s">
        <v>53</v>
      </c>
      <c r="E1331" s="9" t="s">
        <v>14</v>
      </c>
      <c r="F1331" s="9"/>
      <c r="G1331" s="9"/>
      <c r="H1331" s="9"/>
      <c r="I1331" s="9"/>
    </row>
    <row r="1332" spans="1:9" x14ac:dyDescent="0.25">
      <c r="A1332" s="7" t="s">
        <v>1340</v>
      </c>
      <c r="B1332" s="7" t="s">
        <v>1348</v>
      </c>
      <c r="C1332" s="8" t="s">
        <v>1342</v>
      </c>
      <c r="D1332" s="8" t="s">
        <v>112</v>
      </c>
      <c r="E1332" s="9" t="s">
        <v>14</v>
      </c>
      <c r="F1332" s="9"/>
      <c r="G1332" s="9"/>
      <c r="H1332" s="9"/>
      <c r="I1332" s="9"/>
    </row>
    <row r="1333" spans="1:9" x14ac:dyDescent="0.25">
      <c r="A1333" s="7" t="s">
        <v>1340</v>
      </c>
      <c r="B1333" s="7" t="s">
        <v>1348</v>
      </c>
      <c r="C1333" s="8" t="s">
        <v>1342</v>
      </c>
      <c r="D1333" s="8" t="s">
        <v>329</v>
      </c>
      <c r="E1333" s="9" t="s">
        <v>14</v>
      </c>
      <c r="F1333" s="9"/>
      <c r="G1333" s="9"/>
      <c r="H1333" s="9"/>
      <c r="I1333" s="9"/>
    </row>
    <row r="1334" spans="1:9" x14ac:dyDescent="0.25">
      <c r="A1334" s="7" t="s">
        <v>1340</v>
      </c>
      <c r="B1334" s="7" t="s">
        <v>1349</v>
      </c>
      <c r="C1334" s="7" t="s">
        <v>1342</v>
      </c>
      <c r="D1334" s="8" t="s">
        <v>16</v>
      </c>
      <c r="E1334" s="9" t="s">
        <v>14</v>
      </c>
      <c r="F1334" s="9"/>
      <c r="G1334" s="9"/>
      <c r="H1334" s="9"/>
      <c r="I1334" s="9"/>
    </row>
    <row r="1335" spans="1:9" x14ac:dyDescent="0.25">
      <c r="A1335" s="7" t="s">
        <v>1340</v>
      </c>
      <c r="B1335" s="7" t="s">
        <v>1349</v>
      </c>
      <c r="C1335" s="7" t="s">
        <v>1342</v>
      </c>
      <c r="D1335" s="8" t="s">
        <v>20</v>
      </c>
      <c r="E1335" s="9" t="s">
        <v>14</v>
      </c>
      <c r="F1335" s="9"/>
      <c r="G1335" s="9"/>
      <c r="H1335" s="9"/>
      <c r="I1335" s="9"/>
    </row>
    <row r="1336" spans="1:9" x14ac:dyDescent="0.25">
      <c r="A1336" s="7" t="s">
        <v>1340</v>
      </c>
      <c r="B1336" s="7" t="s">
        <v>1350</v>
      </c>
      <c r="C1336" s="8" t="s">
        <v>1342</v>
      </c>
      <c r="D1336" s="8" t="s">
        <v>43</v>
      </c>
      <c r="E1336" s="9" t="s">
        <v>14</v>
      </c>
      <c r="F1336" s="9"/>
      <c r="G1336" s="9"/>
      <c r="H1336" s="9"/>
      <c r="I1336" s="9"/>
    </row>
    <row r="1337" spans="1:9" x14ac:dyDescent="0.25">
      <c r="A1337" s="7" t="s">
        <v>1340</v>
      </c>
      <c r="B1337" s="7" t="s">
        <v>1350</v>
      </c>
      <c r="C1337" s="8" t="s">
        <v>1342</v>
      </c>
      <c r="D1337" s="8" t="s">
        <v>366</v>
      </c>
      <c r="E1337" s="9" t="s">
        <v>14</v>
      </c>
      <c r="F1337" s="9"/>
      <c r="G1337" s="9"/>
      <c r="H1337" s="9"/>
      <c r="I1337" s="9"/>
    </row>
    <row r="1338" spans="1:9" x14ac:dyDescent="0.25">
      <c r="A1338" s="7" t="s">
        <v>1340</v>
      </c>
      <c r="B1338" s="7" t="s">
        <v>1351</v>
      </c>
      <c r="C1338" s="8" t="s">
        <v>1342</v>
      </c>
      <c r="D1338" s="8" t="s">
        <v>84</v>
      </c>
      <c r="E1338" s="9" t="s">
        <v>14</v>
      </c>
      <c r="F1338" s="9"/>
      <c r="G1338" s="9"/>
      <c r="H1338" s="9"/>
      <c r="I1338" s="9"/>
    </row>
    <row r="1339" spans="1:9" x14ac:dyDescent="0.25">
      <c r="A1339" s="7" t="s">
        <v>1340</v>
      </c>
      <c r="B1339" s="7" t="s">
        <v>1352</v>
      </c>
      <c r="C1339" s="8" t="s">
        <v>1342</v>
      </c>
      <c r="D1339" s="8" t="s">
        <v>39</v>
      </c>
      <c r="E1339" s="9" t="s">
        <v>14</v>
      </c>
      <c r="F1339" s="9"/>
      <c r="G1339" s="9"/>
      <c r="H1339" s="9"/>
      <c r="I1339" s="9"/>
    </row>
    <row r="1340" spans="1:9" x14ac:dyDescent="0.25">
      <c r="A1340" s="7" t="s">
        <v>1340</v>
      </c>
      <c r="B1340" s="7" t="s">
        <v>1352</v>
      </c>
      <c r="C1340" s="7" t="s">
        <v>1342</v>
      </c>
      <c r="D1340" s="8" t="s">
        <v>356</v>
      </c>
      <c r="E1340" s="9" t="s">
        <v>14</v>
      </c>
      <c r="F1340" s="9"/>
      <c r="G1340" s="9"/>
      <c r="H1340" s="9"/>
      <c r="I1340" s="9"/>
    </row>
    <row r="1341" spans="1:9" x14ac:dyDescent="0.25">
      <c r="A1341" s="7" t="s">
        <v>1340</v>
      </c>
      <c r="B1341" s="7" t="s">
        <v>1353</v>
      </c>
      <c r="C1341" s="8" t="s">
        <v>1342</v>
      </c>
      <c r="D1341" s="8" t="s">
        <v>267</v>
      </c>
      <c r="E1341" s="9" t="s">
        <v>14</v>
      </c>
      <c r="F1341" s="9"/>
      <c r="G1341" s="9"/>
      <c r="H1341" s="9"/>
      <c r="I1341" s="9"/>
    </row>
    <row r="1342" spans="1:9" x14ac:dyDescent="0.25">
      <c r="A1342" s="7" t="s">
        <v>1340</v>
      </c>
      <c r="B1342" s="7" t="s">
        <v>1354</v>
      </c>
      <c r="C1342" s="7" t="s">
        <v>1342</v>
      </c>
      <c r="D1342" s="8" t="s">
        <v>173</v>
      </c>
      <c r="E1342" s="9" t="s">
        <v>14</v>
      </c>
      <c r="F1342" s="9"/>
      <c r="G1342" s="9"/>
      <c r="H1342" s="9"/>
      <c r="I1342" s="9"/>
    </row>
    <row r="1343" spans="1:9" x14ac:dyDescent="0.25">
      <c r="A1343" s="7" t="s">
        <v>1340</v>
      </c>
      <c r="B1343" s="7" t="s">
        <v>1354</v>
      </c>
      <c r="C1343" s="7" t="s">
        <v>1342</v>
      </c>
      <c r="D1343" s="8" t="s">
        <v>297</v>
      </c>
      <c r="E1343" s="9" t="s">
        <v>14</v>
      </c>
      <c r="F1343" s="9"/>
      <c r="G1343" s="9"/>
      <c r="H1343" s="9"/>
      <c r="I1343" s="9"/>
    </row>
    <row r="1344" spans="1:9" x14ac:dyDescent="0.25">
      <c r="A1344" s="7" t="s">
        <v>1340</v>
      </c>
      <c r="B1344" s="7" t="s">
        <v>1354</v>
      </c>
      <c r="C1344" s="7" t="s">
        <v>1342</v>
      </c>
      <c r="D1344" s="8" t="s">
        <v>344</v>
      </c>
      <c r="E1344" s="9" t="s">
        <v>14</v>
      </c>
      <c r="F1344" s="9"/>
      <c r="G1344" s="9"/>
      <c r="H1344" s="9"/>
      <c r="I1344" s="9"/>
    </row>
    <row r="1345" spans="1:9" x14ac:dyDescent="0.25">
      <c r="A1345" s="7" t="s">
        <v>1340</v>
      </c>
      <c r="B1345" s="7" t="s">
        <v>1354</v>
      </c>
      <c r="C1345" s="8" t="s">
        <v>1342</v>
      </c>
      <c r="D1345" s="8" t="s">
        <v>124</v>
      </c>
      <c r="E1345" s="9" t="s">
        <v>14</v>
      </c>
      <c r="F1345" s="9"/>
      <c r="G1345" s="9"/>
      <c r="H1345" s="9"/>
      <c r="I1345" s="9"/>
    </row>
    <row r="1346" spans="1:9" x14ac:dyDescent="0.25">
      <c r="A1346" s="7" t="s">
        <v>1340</v>
      </c>
      <c r="B1346" s="7" t="s">
        <v>1355</v>
      </c>
      <c r="C1346" s="8" t="s">
        <v>1342</v>
      </c>
      <c r="D1346" s="8" t="s">
        <v>650</v>
      </c>
      <c r="E1346" s="9" t="s">
        <v>14</v>
      </c>
      <c r="F1346" s="9"/>
      <c r="G1346" s="9"/>
      <c r="H1346" s="9"/>
      <c r="I1346" s="9"/>
    </row>
    <row r="1347" spans="1:9" x14ac:dyDescent="0.25">
      <c r="A1347" s="7" t="s">
        <v>1340</v>
      </c>
      <c r="B1347" s="7" t="s">
        <v>1355</v>
      </c>
      <c r="C1347" s="8" t="s">
        <v>1342</v>
      </c>
      <c r="D1347" s="8" t="s">
        <v>118</v>
      </c>
      <c r="E1347" s="9" t="s">
        <v>14</v>
      </c>
      <c r="F1347" s="9"/>
      <c r="G1347" s="9"/>
      <c r="H1347" s="9"/>
      <c r="I1347" s="9"/>
    </row>
    <row r="1348" spans="1:9" x14ac:dyDescent="0.25">
      <c r="A1348" s="7" t="s">
        <v>1340</v>
      </c>
      <c r="B1348" s="7" t="s">
        <v>1356</v>
      </c>
      <c r="C1348" s="8" t="s">
        <v>1342</v>
      </c>
      <c r="D1348" s="8" t="s">
        <v>333</v>
      </c>
      <c r="E1348" s="9" t="s">
        <v>14</v>
      </c>
      <c r="F1348" s="9"/>
      <c r="G1348" s="9"/>
      <c r="H1348" s="9"/>
      <c r="I1348" s="9"/>
    </row>
    <row r="1349" spans="1:9" x14ac:dyDescent="0.25">
      <c r="A1349" s="7" t="s">
        <v>1340</v>
      </c>
      <c r="B1349" s="7" t="s">
        <v>1356</v>
      </c>
      <c r="C1349" s="8" t="s">
        <v>1342</v>
      </c>
      <c r="D1349" s="8" t="s">
        <v>275</v>
      </c>
      <c r="E1349" s="9" t="s">
        <v>14</v>
      </c>
      <c r="F1349" s="9"/>
      <c r="G1349" s="9"/>
      <c r="H1349" s="9"/>
      <c r="I1349" s="9"/>
    </row>
    <row r="1350" spans="1:9" x14ac:dyDescent="0.25">
      <c r="A1350" s="7" t="s">
        <v>1340</v>
      </c>
      <c r="B1350" s="7" t="s">
        <v>1357</v>
      </c>
      <c r="C1350" s="7" t="s">
        <v>1342</v>
      </c>
      <c r="D1350" s="8" t="s">
        <v>36</v>
      </c>
      <c r="E1350" s="9" t="s">
        <v>14</v>
      </c>
      <c r="F1350" s="9"/>
      <c r="G1350" s="9"/>
      <c r="H1350" s="9"/>
      <c r="I1350" s="9"/>
    </row>
    <row r="1351" spans="1:9" x14ac:dyDescent="0.25">
      <c r="A1351" s="7" t="s">
        <v>1340</v>
      </c>
      <c r="B1351" s="7" t="s">
        <v>1358</v>
      </c>
      <c r="C1351" s="8" t="s">
        <v>1342</v>
      </c>
      <c r="D1351" s="8" t="s">
        <v>325</v>
      </c>
      <c r="E1351" s="9" t="s">
        <v>14</v>
      </c>
      <c r="F1351" s="9"/>
      <c r="G1351" s="9"/>
      <c r="H1351" s="9"/>
      <c r="I1351" s="9"/>
    </row>
    <row r="1352" spans="1:9" x14ac:dyDescent="0.25">
      <c r="A1352" s="7" t="s">
        <v>1340</v>
      </c>
      <c r="B1352" s="7" t="s">
        <v>1358</v>
      </c>
      <c r="C1352" s="7" t="s">
        <v>1342</v>
      </c>
      <c r="D1352" s="8" t="s">
        <v>238</v>
      </c>
      <c r="E1352" s="9" t="s">
        <v>14</v>
      </c>
      <c r="F1352" s="9"/>
      <c r="G1352" s="9"/>
      <c r="H1352" s="9"/>
      <c r="I1352" s="9"/>
    </row>
    <row r="1353" spans="1:9" x14ac:dyDescent="0.25">
      <c r="A1353" s="7" t="s">
        <v>1340</v>
      </c>
      <c r="B1353" s="7" t="s">
        <v>1359</v>
      </c>
      <c r="C1353" s="7" t="s">
        <v>1342</v>
      </c>
      <c r="D1353" s="8" t="s">
        <v>195</v>
      </c>
      <c r="E1353" s="9" t="s">
        <v>14</v>
      </c>
      <c r="F1353" s="9"/>
      <c r="G1353" s="9"/>
      <c r="H1353" s="9"/>
      <c r="I1353" s="9"/>
    </row>
    <row r="1354" spans="1:9" x14ac:dyDescent="0.25">
      <c r="A1354" s="7" t="s">
        <v>1340</v>
      </c>
      <c r="B1354" s="7" t="s">
        <v>1360</v>
      </c>
      <c r="C1354" s="8" t="s">
        <v>1342</v>
      </c>
      <c r="D1354" s="8" t="s">
        <v>166</v>
      </c>
      <c r="E1354" s="9" t="s">
        <v>14</v>
      </c>
      <c r="F1354" s="9"/>
      <c r="G1354" s="9"/>
      <c r="H1354" s="9"/>
      <c r="I1354" s="9"/>
    </row>
    <row r="1355" spans="1:9" x14ac:dyDescent="0.25">
      <c r="A1355" s="7" t="s">
        <v>1340</v>
      </c>
      <c r="B1355" s="7" t="s">
        <v>1360</v>
      </c>
      <c r="C1355" s="8" t="s">
        <v>1342</v>
      </c>
      <c r="D1355" s="8" t="s">
        <v>113</v>
      </c>
      <c r="E1355" s="9" t="s">
        <v>14</v>
      </c>
      <c r="F1355" s="9"/>
      <c r="G1355" s="9"/>
      <c r="H1355" s="9"/>
      <c r="I1355" s="9"/>
    </row>
    <row r="1356" spans="1:9" x14ac:dyDescent="0.25">
      <c r="A1356" s="7" t="s">
        <v>1340</v>
      </c>
      <c r="B1356" s="7" t="s">
        <v>1360</v>
      </c>
      <c r="C1356" s="7" t="s">
        <v>1342</v>
      </c>
      <c r="D1356" s="8" t="s">
        <v>352</v>
      </c>
      <c r="E1356" s="9" t="s">
        <v>14</v>
      </c>
      <c r="F1356" s="9"/>
      <c r="G1356" s="9"/>
      <c r="H1356" s="9"/>
      <c r="I1356" s="9"/>
    </row>
    <row r="1357" spans="1:9" x14ac:dyDescent="0.25">
      <c r="A1357" s="7" t="s">
        <v>1340</v>
      </c>
      <c r="B1357" s="7" t="s">
        <v>1360</v>
      </c>
      <c r="C1357" s="8" t="s">
        <v>1342</v>
      </c>
      <c r="D1357" s="8" t="s">
        <v>116</v>
      </c>
      <c r="E1357" s="9" t="s">
        <v>14</v>
      </c>
      <c r="F1357" s="9"/>
      <c r="G1357" s="9"/>
      <c r="H1357" s="9"/>
      <c r="I1357" s="9"/>
    </row>
    <row r="1358" spans="1:9" x14ac:dyDescent="0.25">
      <c r="A1358" s="7" t="s">
        <v>1340</v>
      </c>
      <c r="B1358" s="7" t="s">
        <v>1361</v>
      </c>
      <c r="C1358" s="7" t="s">
        <v>1342</v>
      </c>
      <c r="D1358" s="8" t="s">
        <v>78</v>
      </c>
      <c r="E1358" s="9" t="s">
        <v>14</v>
      </c>
      <c r="F1358" s="9"/>
      <c r="G1358" s="9"/>
      <c r="H1358" s="9"/>
      <c r="I1358" s="9"/>
    </row>
    <row r="1359" spans="1:9" x14ac:dyDescent="0.25">
      <c r="A1359" s="7" t="s">
        <v>1340</v>
      </c>
      <c r="B1359" s="7" t="s">
        <v>1361</v>
      </c>
      <c r="C1359" s="7" t="s">
        <v>1342</v>
      </c>
      <c r="D1359" s="8" t="s">
        <v>134</v>
      </c>
      <c r="E1359" s="9" t="s">
        <v>14</v>
      </c>
      <c r="F1359" s="9"/>
      <c r="G1359" s="9"/>
      <c r="H1359" s="9"/>
      <c r="I1359" s="9"/>
    </row>
    <row r="1360" spans="1:9" x14ac:dyDescent="0.25">
      <c r="A1360" s="7" t="s">
        <v>1340</v>
      </c>
      <c r="B1360" s="7" t="s">
        <v>1362</v>
      </c>
      <c r="C1360" s="7" t="s">
        <v>1342</v>
      </c>
      <c r="D1360" s="8" t="s">
        <v>120</v>
      </c>
      <c r="E1360" s="9" t="s">
        <v>14</v>
      </c>
      <c r="F1360" s="9"/>
      <c r="G1360" s="9"/>
      <c r="H1360" s="9"/>
      <c r="I1360" s="9"/>
    </row>
    <row r="1361" spans="1:9" x14ac:dyDescent="0.25">
      <c r="A1361" s="7" t="s">
        <v>1340</v>
      </c>
      <c r="B1361" s="7" t="s">
        <v>1362</v>
      </c>
      <c r="C1361" s="7" t="s">
        <v>1342</v>
      </c>
      <c r="D1361" s="8" t="s">
        <v>724</v>
      </c>
      <c r="E1361" s="9" t="s">
        <v>14</v>
      </c>
      <c r="F1361" s="9"/>
      <c r="G1361" s="9"/>
      <c r="H1361" s="9"/>
      <c r="I1361" s="9"/>
    </row>
    <row r="1362" spans="1:9" x14ac:dyDescent="0.25">
      <c r="A1362" s="7" t="s">
        <v>1340</v>
      </c>
      <c r="B1362" s="7" t="s">
        <v>1363</v>
      </c>
      <c r="C1362" s="7" t="s">
        <v>1342</v>
      </c>
      <c r="D1362" s="8" t="s">
        <v>530</v>
      </c>
      <c r="E1362" s="9" t="s">
        <v>14</v>
      </c>
      <c r="F1362" s="9"/>
      <c r="G1362" s="9"/>
      <c r="H1362" s="9"/>
      <c r="I1362" s="9"/>
    </row>
    <row r="1363" spans="1:9" x14ac:dyDescent="0.25">
      <c r="A1363" s="7" t="s">
        <v>1340</v>
      </c>
      <c r="B1363" s="7" t="s">
        <v>1364</v>
      </c>
      <c r="C1363" s="7" t="s">
        <v>1342</v>
      </c>
      <c r="D1363" s="8" t="s">
        <v>98</v>
      </c>
      <c r="E1363" s="9" t="s">
        <v>14</v>
      </c>
      <c r="F1363" s="9"/>
      <c r="G1363" s="9"/>
      <c r="H1363" s="9"/>
      <c r="I1363" s="9"/>
    </row>
    <row r="1364" spans="1:9" x14ac:dyDescent="0.25">
      <c r="A1364" s="7" t="s">
        <v>1340</v>
      </c>
      <c r="B1364" s="7" t="s">
        <v>1364</v>
      </c>
      <c r="C1364" s="7" t="s">
        <v>1342</v>
      </c>
      <c r="D1364" s="8" t="s">
        <v>269</v>
      </c>
      <c r="E1364" s="9" t="s">
        <v>14</v>
      </c>
      <c r="F1364" s="9"/>
      <c r="G1364" s="9"/>
      <c r="H1364" s="9"/>
      <c r="I1364" s="9"/>
    </row>
    <row r="1365" spans="1:9" x14ac:dyDescent="0.25">
      <c r="A1365" s="7" t="s">
        <v>1340</v>
      </c>
      <c r="B1365" s="7" t="s">
        <v>1365</v>
      </c>
      <c r="C1365" s="7" t="s">
        <v>1342</v>
      </c>
      <c r="D1365" s="8" t="s">
        <v>106</v>
      </c>
      <c r="E1365" s="9" t="s">
        <v>14</v>
      </c>
      <c r="F1365" s="9"/>
      <c r="G1365" s="9"/>
      <c r="H1365" s="9"/>
      <c r="I1365" s="9"/>
    </row>
    <row r="1366" spans="1:9" x14ac:dyDescent="0.25">
      <c r="A1366" s="7" t="s">
        <v>1340</v>
      </c>
      <c r="B1366" s="7" t="s">
        <v>1366</v>
      </c>
      <c r="C1366" s="7" t="s">
        <v>1342</v>
      </c>
      <c r="D1366" s="8" t="s">
        <v>44</v>
      </c>
      <c r="E1366" s="9" t="s">
        <v>14</v>
      </c>
      <c r="F1366" s="9"/>
      <c r="G1366" s="9"/>
      <c r="H1366" s="9"/>
      <c r="I1366" s="9"/>
    </row>
    <row r="1367" spans="1:9" x14ac:dyDescent="0.25">
      <c r="A1367" s="7" t="s">
        <v>1340</v>
      </c>
      <c r="B1367" s="7" t="s">
        <v>1366</v>
      </c>
      <c r="C1367" s="7" t="s">
        <v>1342</v>
      </c>
      <c r="D1367" s="8" t="s">
        <v>73</v>
      </c>
      <c r="E1367" s="9" t="s">
        <v>14</v>
      </c>
      <c r="F1367" s="9"/>
      <c r="G1367" s="9"/>
      <c r="H1367" s="9"/>
      <c r="I1367" s="9"/>
    </row>
    <row r="1368" spans="1:9" x14ac:dyDescent="0.25">
      <c r="A1368" s="7" t="s">
        <v>1340</v>
      </c>
      <c r="B1368" s="7" t="s">
        <v>1366</v>
      </c>
      <c r="C1368" s="7" t="s">
        <v>1342</v>
      </c>
      <c r="D1368" s="8" t="s">
        <v>349</v>
      </c>
      <c r="E1368" s="9" t="s">
        <v>14</v>
      </c>
      <c r="F1368" s="9"/>
      <c r="G1368" s="9"/>
      <c r="H1368" s="9"/>
      <c r="I1368" s="9"/>
    </row>
    <row r="1369" spans="1:9" x14ac:dyDescent="0.25">
      <c r="A1369" s="7" t="s">
        <v>1340</v>
      </c>
      <c r="B1369" s="7" t="s">
        <v>1366</v>
      </c>
      <c r="C1369" s="8" t="s">
        <v>1342</v>
      </c>
      <c r="D1369" s="8" t="s">
        <v>180</v>
      </c>
      <c r="E1369" s="9" t="s">
        <v>14</v>
      </c>
      <c r="F1369" s="9"/>
      <c r="G1369" s="9"/>
      <c r="H1369" s="9"/>
      <c r="I1369" s="9"/>
    </row>
    <row r="1370" spans="1:9" x14ac:dyDescent="0.25">
      <c r="A1370" s="7" t="s">
        <v>1340</v>
      </c>
      <c r="B1370" s="7" t="s">
        <v>1367</v>
      </c>
      <c r="C1370" s="8" t="s">
        <v>1342</v>
      </c>
      <c r="D1370" s="8" t="s">
        <v>243</v>
      </c>
      <c r="E1370" s="9" t="s">
        <v>14</v>
      </c>
      <c r="F1370" s="9"/>
      <c r="G1370" s="9"/>
      <c r="H1370" s="9"/>
      <c r="I1370" s="9"/>
    </row>
    <row r="1371" spans="1:9" x14ac:dyDescent="0.25">
      <c r="A1371" s="7" t="s">
        <v>1340</v>
      </c>
      <c r="B1371" s="7" t="s">
        <v>1367</v>
      </c>
      <c r="C1371" s="8" t="s">
        <v>1342</v>
      </c>
      <c r="D1371" s="8" t="s">
        <v>102</v>
      </c>
      <c r="E1371" s="9" t="s">
        <v>14</v>
      </c>
      <c r="F1371" s="9"/>
      <c r="G1371" s="9"/>
      <c r="H1371" s="9"/>
      <c r="I1371" s="9"/>
    </row>
    <row r="1372" spans="1:9" x14ac:dyDescent="0.25">
      <c r="A1372" s="7" t="s">
        <v>1340</v>
      </c>
      <c r="B1372" s="7" t="s">
        <v>1368</v>
      </c>
      <c r="C1372" s="7" t="s">
        <v>1342</v>
      </c>
      <c r="D1372" s="8" t="s">
        <v>97</v>
      </c>
      <c r="E1372" s="9" t="s">
        <v>14</v>
      </c>
      <c r="F1372" s="9"/>
      <c r="G1372" s="9"/>
      <c r="H1372" s="9"/>
      <c r="I1372" s="9"/>
    </row>
    <row r="1373" spans="1:9" x14ac:dyDescent="0.25">
      <c r="A1373" s="7" t="s">
        <v>1340</v>
      </c>
      <c r="B1373" s="7" t="s">
        <v>1368</v>
      </c>
      <c r="C1373" s="7" t="s">
        <v>1342</v>
      </c>
      <c r="D1373" s="8" t="s">
        <v>371</v>
      </c>
      <c r="E1373" s="9" t="s">
        <v>14</v>
      </c>
      <c r="F1373" s="9"/>
      <c r="G1373" s="9"/>
      <c r="H1373" s="9"/>
      <c r="I1373" s="9"/>
    </row>
    <row r="1374" spans="1:9" x14ac:dyDescent="0.25">
      <c r="A1374" s="7" t="s">
        <v>1340</v>
      </c>
      <c r="B1374" s="7" t="s">
        <v>1369</v>
      </c>
      <c r="C1374" s="7" t="s">
        <v>1342</v>
      </c>
      <c r="D1374" s="8" t="s">
        <v>34</v>
      </c>
      <c r="E1374" s="9" t="s">
        <v>14</v>
      </c>
      <c r="F1374" s="9"/>
      <c r="G1374" s="9"/>
      <c r="H1374" s="9"/>
      <c r="I1374" s="9"/>
    </row>
    <row r="1375" spans="1:9" x14ac:dyDescent="0.25">
      <c r="A1375" s="7" t="s">
        <v>1340</v>
      </c>
      <c r="B1375" s="7" t="s">
        <v>1370</v>
      </c>
      <c r="C1375" s="7" t="s">
        <v>1342</v>
      </c>
      <c r="D1375" s="8" t="s">
        <v>108</v>
      </c>
      <c r="E1375" s="9" t="s">
        <v>14</v>
      </c>
      <c r="F1375" s="9"/>
      <c r="G1375" s="9"/>
      <c r="H1375" s="9"/>
      <c r="I1375" s="9"/>
    </row>
    <row r="1376" spans="1:9" x14ac:dyDescent="0.25">
      <c r="A1376" s="7" t="s">
        <v>1340</v>
      </c>
      <c r="B1376" s="7" t="s">
        <v>1370</v>
      </c>
      <c r="C1376" s="7" t="s">
        <v>1342</v>
      </c>
      <c r="D1376" s="8" t="s">
        <v>235</v>
      </c>
      <c r="E1376" s="9" t="s">
        <v>14</v>
      </c>
      <c r="F1376" s="9"/>
      <c r="G1376" s="9"/>
      <c r="H1376" s="9"/>
      <c r="I1376" s="9"/>
    </row>
    <row r="1377" spans="1:9" x14ac:dyDescent="0.25">
      <c r="A1377" s="7" t="s">
        <v>1340</v>
      </c>
      <c r="B1377" s="7" t="s">
        <v>1371</v>
      </c>
      <c r="C1377" s="8" t="s">
        <v>1342</v>
      </c>
      <c r="D1377" s="8" t="s">
        <v>50</v>
      </c>
      <c r="E1377" s="9" t="s">
        <v>14</v>
      </c>
      <c r="F1377" s="9"/>
      <c r="G1377" s="9"/>
      <c r="H1377" s="9"/>
      <c r="I1377" s="9"/>
    </row>
    <row r="1378" spans="1:9" x14ac:dyDescent="0.25">
      <c r="A1378" s="7" t="s">
        <v>1340</v>
      </c>
      <c r="B1378" s="7" t="s">
        <v>1372</v>
      </c>
      <c r="C1378" s="8" t="s">
        <v>1342</v>
      </c>
      <c r="D1378" s="8" t="s">
        <v>60</v>
      </c>
      <c r="E1378" s="9" t="s">
        <v>14</v>
      </c>
      <c r="F1378" s="9"/>
      <c r="G1378" s="9"/>
      <c r="H1378" s="9"/>
      <c r="I1378" s="9"/>
    </row>
    <row r="1379" spans="1:9" x14ac:dyDescent="0.25">
      <c r="A1379" s="7" t="s">
        <v>1340</v>
      </c>
      <c r="B1379" s="7" t="s">
        <v>1372</v>
      </c>
      <c r="C1379" s="8" t="s">
        <v>1342</v>
      </c>
      <c r="D1379" s="8" t="s">
        <v>48</v>
      </c>
      <c r="E1379" s="9" t="s">
        <v>14</v>
      </c>
      <c r="F1379" s="9"/>
      <c r="G1379" s="9"/>
      <c r="H1379" s="9"/>
      <c r="I1379" s="9"/>
    </row>
    <row r="1380" spans="1:9" x14ac:dyDescent="0.25">
      <c r="A1380" s="7" t="s">
        <v>1340</v>
      </c>
      <c r="B1380" s="7" t="s">
        <v>1372</v>
      </c>
      <c r="C1380" s="7" t="s">
        <v>1342</v>
      </c>
      <c r="D1380" s="8" t="s">
        <v>339</v>
      </c>
      <c r="E1380" s="9" t="s">
        <v>14</v>
      </c>
      <c r="F1380" s="9"/>
      <c r="G1380" s="9"/>
      <c r="H1380" s="9"/>
      <c r="I1380" s="9"/>
    </row>
    <row r="1381" spans="1:9" x14ac:dyDescent="0.25">
      <c r="A1381" s="7" t="s">
        <v>1340</v>
      </c>
      <c r="B1381" s="7" t="s">
        <v>1372</v>
      </c>
      <c r="C1381" s="8" t="s">
        <v>1342</v>
      </c>
      <c r="D1381" s="8" t="s">
        <v>453</v>
      </c>
      <c r="E1381" s="9" t="s">
        <v>14</v>
      </c>
      <c r="F1381" s="9"/>
      <c r="G1381" s="9"/>
      <c r="H1381" s="9"/>
      <c r="I1381" s="9"/>
    </row>
    <row r="1382" spans="1:9" x14ac:dyDescent="0.25">
      <c r="A1382" s="7" t="s">
        <v>1340</v>
      </c>
      <c r="B1382" s="7" t="s">
        <v>1373</v>
      </c>
      <c r="C1382" s="7" t="s">
        <v>1342</v>
      </c>
      <c r="D1382" s="8" t="s">
        <v>263</v>
      </c>
      <c r="E1382" s="9" t="s">
        <v>14</v>
      </c>
      <c r="F1382" s="9"/>
      <c r="G1382" s="9"/>
      <c r="H1382" s="9"/>
      <c r="I1382" s="9"/>
    </row>
    <row r="1383" spans="1:9" x14ac:dyDescent="0.25">
      <c r="A1383" s="7" t="s">
        <v>1340</v>
      </c>
      <c r="B1383" s="7" t="s">
        <v>1373</v>
      </c>
      <c r="C1383" s="8" t="s">
        <v>1342</v>
      </c>
      <c r="D1383" s="8" t="s">
        <v>608</v>
      </c>
      <c r="E1383" s="9" t="s">
        <v>14</v>
      </c>
      <c r="F1383" s="9"/>
      <c r="G1383" s="9"/>
      <c r="H1383" s="9"/>
      <c r="I1383" s="9"/>
    </row>
    <row r="1384" spans="1:9" x14ac:dyDescent="0.25">
      <c r="A1384" s="7" t="s">
        <v>1340</v>
      </c>
      <c r="B1384" s="7" t="s">
        <v>1374</v>
      </c>
      <c r="C1384" s="8" t="s">
        <v>1342</v>
      </c>
      <c r="D1384" s="8" t="s">
        <v>13</v>
      </c>
      <c r="E1384" s="9" t="s">
        <v>14</v>
      </c>
      <c r="F1384" s="9"/>
      <c r="G1384" s="9"/>
      <c r="H1384" s="9"/>
      <c r="I1384" s="9"/>
    </row>
    <row r="1385" spans="1:9" x14ac:dyDescent="0.25">
      <c r="A1385" s="7" t="s">
        <v>1340</v>
      </c>
      <c r="B1385" s="7" t="s">
        <v>1374</v>
      </c>
      <c r="C1385" s="7" t="s">
        <v>1342</v>
      </c>
      <c r="D1385" s="8" t="s">
        <v>241</v>
      </c>
      <c r="E1385" s="9" t="s">
        <v>14</v>
      </c>
      <c r="F1385" s="9"/>
      <c r="G1385" s="9"/>
      <c r="H1385" s="9"/>
      <c r="I1385" s="9"/>
    </row>
    <row r="1386" spans="1:9" x14ac:dyDescent="0.25">
      <c r="A1386" s="7" t="s">
        <v>1340</v>
      </c>
      <c r="B1386" s="7" t="s">
        <v>1375</v>
      </c>
      <c r="C1386" s="7" t="s">
        <v>1342</v>
      </c>
      <c r="D1386" s="8" t="s">
        <v>470</v>
      </c>
      <c r="E1386" s="9" t="s">
        <v>14</v>
      </c>
      <c r="F1386" s="9"/>
      <c r="G1386" s="9"/>
      <c r="H1386" s="9"/>
      <c r="I1386" s="9"/>
    </row>
    <row r="1387" spans="1:9" x14ac:dyDescent="0.25">
      <c r="A1387" s="7" t="s">
        <v>1340</v>
      </c>
      <c r="B1387" s="7" t="s">
        <v>1376</v>
      </c>
      <c r="C1387" s="8" t="s">
        <v>1342</v>
      </c>
      <c r="D1387" s="8" t="s">
        <v>32</v>
      </c>
      <c r="E1387" s="9" t="s">
        <v>14</v>
      </c>
      <c r="F1387" s="9"/>
      <c r="G1387" s="9"/>
      <c r="H1387" s="9"/>
      <c r="I1387" s="9"/>
    </row>
    <row r="1388" spans="1:9" x14ac:dyDescent="0.25">
      <c r="A1388" s="7" t="s">
        <v>1340</v>
      </c>
      <c r="B1388" s="7" t="s">
        <v>1376</v>
      </c>
      <c r="C1388" s="7" t="s">
        <v>1342</v>
      </c>
      <c r="D1388" s="8" t="s">
        <v>265</v>
      </c>
      <c r="E1388" s="9" t="s">
        <v>14</v>
      </c>
      <c r="F1388" s="9"/>
      <c r="G1388" s="9"/>
      <c r="H1388" s="9"/>
      <c r="I1388" s="9"/>
    </row>
    <row r="1389" spans="1:9" x14ac:dyDescent="0.25">
      <c r="A1389" s="7" t="s">
        <v>1340</v>
      </c>
      <c r="B1389" s="7" t="s">
        <v>1377</v>
      </c>
      <c r="C1389" s="7" t="s">
        <v>1342</v>
      </c>
      <c r="D1389" s="8" t="s">
        <v>583</v>
      </c>
      <c r="E1389" s="9" t="s">
        <v>14</v>
      </c>
      <c r="F1389" s="9"/>
      <c r="G1389" s="9"/>
      <c r="H1389" s="9"/>
      <c r="I1389" s="9"/>
    </row>
    <row r="1390" spans="1:9" x14ac:dyDescent="0.25">
      <c r="A1390" s="7" t="s">
        <v>1340</v>
      </c>
      <c r="B1390" s="7" t="s">
        <v>1378</v>
      </c>
      <c r="C1390" s="8" t="s">
        <v>1342</v>
      </c>
      <c r="D1390" s="8" t="s">
        <v>258</v>
      </c>
      <c r="E1390" s="9" t="s">
        <v>14</v>
      </c>
      <c r="F1390" s="9"/>
      <c r="G1390" s="9"/>
      <c r="H1390" s="9"/>
      <c r="I1390" s="9"/>
    </row>
    <row r="1391" spans="1:9" x14ac:dyDescent="0.25">
      <c r="A1391" s="7" t="s">
        <v>1340</v>
      </c>
      <c r="B1391" s="7" t="s">
        <v>1378</v>
      </c>
      <c r="C1391" s="8" t="s">
        <v>1342</v>
      </c>
      <c r="D1391" s="8" t="s">
        <v>307</v>
      </c>
      <c r="E1391" s="9" t="s">
        <v>14</v>
      </c>
      <c r="F1391" s="9"/>
      <c r="G1391" s="9"/>
      <c r="H1391" s="9"/>
      <c r="I1391" s="9"/>
    </row>
    <row r="1392" spans="1:9" x14ac:dyDescent="0.25">
      <c r="A1392" s="7" t="s">
        <v>1340</v>
      </c>
      <c r="B1392" s="7" t="s">
        <v>1378</v>
      </c>
      <c r="C1392" s="8" t="s">
        <v>1342</v>
      </c>
      <c r="D1392" s="8" t="s">
        <v>247</v>
      </c>
      <c r="E1392" s="9" t="s">
        <v>14</v>
      </c>
      <c r="F1392" s="9"/>
      <c r="G1392" s="9"/>
      <c r="H1392" s="9"/>
      <c r="I1392" s="9"/>
    </row>
    <row r="1393" spans="1:9" x14ac:dyDescent="0.25">
      <c r="A1393" s="7" t="s">
        <v>1340</v>
      </c>
      <c r="B1393" s="7" t="s">
        <v>1378</v>
      </c>
      <c r="C1393" s="8" t="s">
        <v>1342</v>
      </c>
      <c r="D1393" s="8" t="s">
        <v>177</v>
      </c>
      <c r="E1393" s="9" t="s">
        <v>14</v>
      </c>
      <c r="F1393" s="9"/>
      <c r="G1393" s="9"/>
      <c r="H1393" s="9"/>
      <c r="I1393" s="9"/>
    </row>
    <row r="1394" spans="1:9" x14ac:dyDescent="0.25">
      <c r="A1394" s="7" t="s">
        <v>1340</v>
      </c>
      <c r="B1394" s="7" t="s">
        <v>1379</v>
      </c>
      <c r="C1394" s="7" t="s">
        <v>1342</v>
      </c>
      <c r="D1394" s="8" t="s">
        <v>122</v>
      </c>
      <c r="E1394" s="9" t="s">
        <v>14</v>
      </c>
      <c r="F1394" s="9"/>
      <c r="G1394" s="9"/>
      <c r="H1394" s="9"/>
      <c r="I1394" s="9"/>
    </row>
    <row r="1395" spans="1:9" x14ac:dyDescent="0.25">
      <c r="A1395" s="7" t="s">
        <v>1340</v>
      </c>
      <c r="B1395" s="7" t="s">
        <v>1379</v>
      </c>
      <c r="C1395" s="7" t="s">
        <v>1342</v>
      </c>
      <c r="D1395" s="8" t="s">
        <v>29</v>
      </c>
      <c r="E1395" s="9" t="s">
        <v>14</v>
      </c>
      <c r="F1395" s="9"/>
      <c r="G1395" s="9"/>
      <c r="H1395" s="9"/>
      <c r="I1395" s="9"/>
    </row>
    <row r="1396" spans="1:9" x14ac:dyDescent="0.25">
      <c r="A1396" s="7" t="s">
        <v>1340</v>
      </c>
      <c r="B1396" s="7" t="s">
        <v>1380</v>
      </c>
      <c r="C1396" s="8" t="s">
        <v>1342</v>
      </c>
      <c r="D1396" s="8" t="s">
        <v>52</v>
      </c>
      <c r="E1396" s="9" t="s">
        <v>14</v>
      </c>
      <c r="F1396" s="9"/>
      <c r="G1396" s="9"/>
      <c r="H1396" s="9"/>
      <c r="I1396" s="9"/>
    </row>
    <row r="1397" spans="1:9" x14ac:dyDescent="0.25">
      <c r="A1397" s="7" t="s">
        <v>1340</v>
      </c>
      <c r="B1397" s="7" t="s">
        <v>1380</v>
      </c>
      <c r="C1397" s="7" t="s">
        <v>1342</v>
      </c>
      <c r="D1397" s="8" t="s">
        <v>292</v>
      </c>
      <c r="E1397" s="9" t="s">
        <v>14</v>
      </c>
      <c r="F1397" s="9"/>
      <c r="G1397" s="9"/>
      <c r="H1397" s="9"/>
      <c r="I1397" s="9"/>
    </row>
    <row r="1398" spans="1:9" x14ac:dyDescent="0.25">
      <c r="A1398" s="7" t="s">
        <v>1340</v>
      </c>
      <c r="B1398" s="7" t="s">
        <v>1381</v>
      </c>
      <c r="C1398" s="8" t="s">
        <v>1342</v>
      </c>
      <c r="D1398" s="8" t="s">
        <v>46</v>
      </c>
      <c r="E1398" s="9" t="s">
        <v>14</v>
      </c>
      <c r="F1398" s="9"/>
      <c r="G1398" s="9"/>
      <c r="H1398" s="9"/>
      <c r="I1398" s="9"/>
    </row>
    <row r="1399" spans="1:9" x14ac:dyDescent="0.25">
      <c r="A1399" s="7" t="s">
        <v>1340</v>
      </c>
      <c r="B1399" s="7" t="s">
        <v>1382</v>
      </c>
      <c r="C1399" s="8" t="s">
        <v>1342</v>
      </c>
      <c r="D1399" s="8" t="s">
        <v>317</v>
      </c>
      <c r="E1399" s="9" t="s">
        <v>14</v>
      </c>
      <c r="F1399" s="9"/>
      <c r="G1399" s="9"/>
      <c r="H1399" s="9"/>
      <c r="I1399" s="9"/>
    </row>
    <row r="1400" spans="1:9" x14ac:dyDescent="0.25">
      <c r="A1400" s="7" t="s">
        <v>1340</v>
      </c>
      <c r="B1400" s="7" t="s">
        <v>1382</v>
      </c>
      <c r="C1400" s="8" t="s">
        <v>1342</v>
      </c>
      <c r="D1400" s="8" t="s">
        <v>272</v>
      </c>
      <c r="E1400" s="9" t="s">
        <v>14</v>
      </c>
      <c r="F1400" s="9"/>
      <c r="G1400" s="9"/>
      <c r="H1400" s="9"/>
      <c r="I1400" s="9"/>
    </row>
    <row r="1401" spans="1:9" x14ac:dyDescent="0.25">
      <c r="A1401" s="7" t="s">
        <v>1340</v>
      </c>
      <c r="B1401" s="7" t="s">
        <v>1383</v>
      </c>
      <c r="C1401" s="8" t="s">
        <v>1342</v>
      </c>
      <c r="D1401" s="8" t="s">
        <v>55</v>
      </c>
      <c r="E1401" s="9" t="s">
        <v>14</v>
      </c>
      <c r="F1401" s="9"/>
      <c r="G1401" s="9"/>
      <c r="H1401" s="9"/>
      <c r="I1401" s="9"/>
    </row>
    <row r="1402" spans="1:9" x14ac:dyDescent="0.25">
      <c r="A1402" s="7" t="s">
        <v>1384</v>
      </c>
      <c r="B1402" s="7" t="s">
        <v>1384</v>
      </c>
      <c r="C1402" s="7" t="s">
        <v>1385</v>
      </c>
      <c r="D1402" s="8" t="s">
        <v>43</v>
      </c>
      <c r="E1402" s="9" t="s">
        <v>14</v>
      </c>
      <c r="F1402" s="9"/>
      <c r="G1402" s="9"/>
      <c r="H1402" s="9"/>
      <c r="I1402" s="9"/>
    </row>
    <row r="1403" spans="1:9" x14ac:dyDescent="0.25">
      <c r="A1403" s="7" t="s">
        <v>1384</v>
      </c>
      <c r="B1403" s="7" t="s">
        <v>1386</v>
      </c>
      <c r="C1403" s="7" t="s">
        <v>1385</v>
      </c>
      <c r="D1403" s="8" t="s">
        <v>73</v>
      </c>
      <c r="E1403" s="9" t="s">
        <v>14</v>
      </c>
      <c r="F1403" s="9"/>
      <c r="G1403" s="9"/>
      <c r="H1403" s="9"/>
      <c r="I1403" s="9"/>
    </row>
    <row r="1404" spans="1:9" x14ac:dyDescent="0.25">
      <c r="A1404" s="7" t="s">
        <v>1384</v>
      </c>
      <c r="B1404" s="7" t="s">
        <v>1387</v>
      </c>
      <c r="C1404" s="7" t="s">
        <v>1385</v>
      </c>
      <c r="D1404" s="8" t="s">
        <v>48</v>
      </c>
      <c r="E1404" s="9" t="s">
        <v>14</v>
      </c>
      <c r="F1404" s="9"/>
      <c r="G1404" s="9"/>
      <c r="H1404" s="9"/>
      <c r="I1404" s="9"/>
    </row>
    <row r="1405" spans="1:9" x14ac:dyDescent="0.25">
      <c r="A1405" s="7" t="s">
        <v>1384</v>
      </c>
      <c r="B1405" s="7" t="s">
        <v>1388</v>
      </c>
      <c r="C1405" s="7" t="s">
        <v>1385</v>
      </c>
      <c r="D1405" s="8" t="s">
        <v>89</v>
      </c>
      <c r="E1405" s="9" t="s">
        <v>14</v>
      </c>
      <c r="F1405" s="9"/>
      <c r="G1405" s="9"/>
      <c r="H1405" s="9"/>
      <c r="I1405" s="9"/>
    </row>
    <row r="1406" spans="1:9" x14ac:dyDescent="0.25">
      <c r="A1406" s="7" t="s">
        <v>1384</v>
      </c>
      <c r="B1406" s="7" t="s">
        <v>1389</v>
      </c>
      <c r="C1406" s="7" t="s">
        <v>1385</v>
      </c>
      <c r="D1406" s="8" t="s">
        <v>44</v>
      </c>
      <c r="E1406" s="9" t="s">
        <v>14</v>
      </c>
      <c r="F1406" s="9"/>
      <c r="G1406" s="9"/>
      <c r="H1406" s="9"/>
      <c r="I1406" s="9"/>
    </row>
    <row r="1407" spans="1:9" x14ac:dyDescent="0.25">
      <c r="A1407" s="7" t="s">
        <v>1384</v>
      </c>
      <c r="B1407" s="7" t="s">
        <v>1390</v>
      </c>
      <c r="C1407" s="7" t="s">
        <v>1385</v>
      </c>
      <c r="D1407" s="8" t="s">
        <v>34</v>
      </c>
      <c r="E1407" s="9" t="s">
        <v>14</v>
      </c>
      <c r="F1407" s="9"/>
      <c r="G1407" s="9"/>
      <c r="H1407" s="9"/>
      <c r="I1407" s="9"/>
    </row>
    <row r="1408" spans="1:9" x14ac:dyDescent="0.25">
      <c r="A1408" s="7" t="s">
        <v>1391</v>
      </c>
      <c r="B1408" s="7" t="s">
        <v>1391</v>
      </c>
      <c r="C1408" s="7" t="s">
        <v>1392</v>
      </c>
      <c r="D1408" s="8" t="s">
        <v>13</v>
      </c>
      <c r="E1408" s="9" t="s">
        <v>14</v>
      </c>
      <c r="F1408" s="9"/>
      <c r="G1408" s="9"/>
      <c r="H1408" s="9"/>
      <c r="I1408" s="9"/>
    </row>
    <row r="1409" spans="1:9" x14ac:dyDescent="0.25">
      <c r="A1409" s="7" t="s">
        <v>1391</v>
      </c>
      <c r="B1409" s="7" t="s">
        <v>1393</v>
      </c>
      <c r="C1409" s="7" t="s">
        <v>1392</v>
      </c>
      <c r="D1409" s="8" t="s">
        <v>18</v>
      </c>
      <c r="E1409" s="9" t="s">
        <v>14</v>
      </c>
      <c r="F1409" s="9"/>
      <c r="G1409" s="9"/>
      <c r="H1409" s="9"/>
      <c r="I1409" s="9"/>
    </row>
    <row r="1410" spans="1:9" x14ac:dyDescent="0.25">
      <c r="A1410" s="7" t="s">
        <v>1394</v>
      </c>
      <c r="B1410" s="7" t="s">
        <v>1395</v>
      </c>
      <c r="C1410" s="7" t="s">
        <v>1396</v>
      </c>
      <c r="D1410" s="8" t="s">
        <v>352</v>
      </c>
      <c r="E1410" s="9" t="s">
        <v>14</v>
      </c>
      <c r="F1410" s="9"/>
      <c r="G1410" s="9"/>
      <c r="H1410" s="9"/>
      <c r="I1410" s="9"/>
    </row>
    <row r="1411" spans="1:9" x14ac:dyDescent="0.25">
      <c r="A1411" s="7" t="s">
        <v>1394</v>
      </c>
      <c r="B1411" s="7" t="s">
        <v>1395</v>
      </c>
      <c r="C1411" s="7" t="s">
        <v>1396</v>
      </c>
      <c r="D1411" s="8" t="s">
        <v>349</v>
      </c>
      <c r="E1411" s="9" t="s">
        <v>14</v>
      </c>
      <c r="F1411" s="9"/>
      <c r="G1411" s="9"/>
      <c r="H1411" s="9"/>
      <c r="I1411" s="9"/>
    </row>
    <row r="1412" spans="1:9" x14ac:dyDescent="0.25">
      <c r="A1412" s="7" t="s">
        <v>1394</v>
      </c>
      <c r="B1412" s="7" t="s">
        <v>1397</v>
      </c>
      <c r="C1412" s="7" t="s">
        <v>1396</v>
      </c>
      <c r="D1412" s="8" t="s">
        <v>297</v>
      </c>
      <c r="E1412" s="9" t="s">
        <v>14</v>
      </c>
      <c r="F1412" s="9"/>
      <c r="G1412" s="9"/>
      <c r="H1412" s="9"/>
      <c r="I1412" s="9"/>
    </row>
    <row r="1413" spans="1:9" x14ac:dyDescent="0.25">
      <c r="A1413" s="7" t="s">
        <v>1394</v>
      </c>
      <c r="B1413" s="7" t="s">
        <v>1397</v>
      </c>
      <c r="C1413" s="7" t="s">
        <v>1396</v>
      </c>
      <c r="D1413" s="8" t="s">
        <v>108</v>
      </c>
      <c r="E1413" s="9" t="s">
        <v>14</v>
      </c>
      <c r="F1413" s="9"/>
      <c r="G1413" s="9"/>
      <c r="H1413" s="9"/>
      <c r="I1413" s="9"/>
    </row>
    <row r="1414" spans="1:9" x14ac:dyDescent="0.25">
      <c r="A1414" s="7" t="s">
        <v>1394</v>
      </c>
      <c r="B1414" s="7" t="s">
        <v>1397</v>
      </c>
      <c r="C1414" s="7" t="s">
        <v>1396</v>
      </c>
      <c r="D1414" s="8" t="s">
        <v>267</v>
      </c>
      <c r="E1414" s="9" t="s">
        <v>14</v>
      </c>
      <c r="F1414" s="9"/>
      <c r="G1414" s="9"/>
      <c r="H1414" s="9"/>
      <c r="I1414" s="9"/>
    </row>
    <row r="1415" spans="1:9" x14ac:dyDescent="0.25">
      <c r="A1415" s="7" t="s">
        <v>1394</v>
      </c>
      <c r="B1415" s="7" t="s">
        <v>1397</v>
      </c>
      <c r="C1415" s="7" t="s">
        <v>1396</v>
      </c>
      <c r="D1415" s="8" t="s">
        <v>470</v>
      </c>
      <c r="E1415" s="9" t="s">
        <v>14</v>
      </c>
      <c r="F1415" s="9"/>
      <c r="G1415" s="9"/>
      <c r="H1415" s="9"/>
      <c r="I1415" s="9"/>
    </row>
    <row r="1416" spans="1:9" x14ac:dyDescent="0.25">
      <c r="A1416" s="7" t="s">
        <v>1394</v>
      </c>
      <c r="B1416" s="7" t="s">
        <v>1397</v>
      </c>
      <c r="C1416" s="7" t="s">
        <v>1396</v>
      </c>
      <c r="D1416" s="8" t="s">
        <v>263</v>
      </c>
      <c r="E1416" s="9" t="s">
        <v>14</v>
      </c>
      <c r="F1416" s="9"/>
      <c r="G1416" s="9"/>
      <c r="H1416" s="9"/>
      <c r="I1416" s="9"/>
    </row>
    <row r="1417" spans="1:9" x14ac:dyDescent="0.25">
      <c r="A1417" s="7" t="s">
        <v>1394</v>
      </c>
      <c r="B1417" s="7" t="s">
        <v>1398</v>
      </c>
      <c r="C1417" s="7" t="s">
        <v>1396</v>
      </c>
      <c r="D1417" s="8" t="s">
        <v>112</v>
      </c>
      <c r="E1417" s="9" t="s">
        <v>14</v>
      </c>
      <c r="F1417" s="9"/>
      <c r="G1417" s="9"/>
      <c r="H1417" s="9"/>
      <c r="I1417" s="9"/>
    </row>
    <row r="1418" spans="1:9" x14ac:dyDescent="0.25">
      <c r="A1418" s="7" t="s">
        <v>1394</v>
      </c>
      <c r="B1418" s="7" t="s">
        <v>1398</v>
      </c>
      <c r="C1418" s="7" t="s">
        <v>1396</v>
      </c>
      <c r="D1418" s="8" t="s">
        <v>183</v>
      </c>
      <c r="E1418" s="9" t="s">
        <v>14</v>
      </c>
      <c r="F1418" s="9"/>
      <c r="G1418" s="9"/>
      <c r="H1418" s="9"/>
      <c r="I1418" s="9"/>
    </row>
    <row r="1419" spans="1:9" x14ac:dyDescent="0.25">
      <c r="A1419" s="7" t="s">
        <v>1394</v>
      </c>
      <c r="B1419" s="7" t="s">
        <v>1399</v>
      </c>
      <c r="C1419" s="7" t="s">
        <v>1396</v>
      </c>
      <c r="D1419" s="8" t="s">
        <v>325</v>
      </c>
      <c r="E1419" s="9" t="s">
        <v>14</v>
      </c>
      <c r="F1419" s="9"/>
      <c r="G1419" s="9"/>
      <c r="H1419" s="9"/>
      <c r="I1419" s="9"/>
    </row>
    <row r="1420" spans="1:9" x14ac:dyDescent="0.25">
      <c r="A1420" s="7" t="s">
        <v>1394</v>
      </c>
      <c r="B1420" s="7" t="s">
        <v>1399</v>
      </c>
      <c r="C1420" s="7" t="s">
        <v>1396</v>
      </c>
      <c r="D1420" s="8" t="s">
        <v>333</v>
      </c>
      <c r="E1420" s="9" t="s">
        <v>14</v>
      </c>
      <c r="F1420" s="9"/>
      <c r="G1420" s="9"/>
      <c r="H1420" s="9"/>
      <c r="I1420" s="9"/>
    </row>
    <row r="1421" spans="1:9" x14ac:dyDescent="0.25">
      <c r="A1421" s="7" t="s">
        <v>1394</v>
      </c>
      <c r="B1421" s="7" t="s">
        <v>1400</v>
      </c>
      <c r="C1421" s="7" t="s">
        <v>1396</v>
      </c>
      <c r="D1421" s="8" t="s">
        <v>251</v>
      </c>
      <c r="E1421" s="9" t="s">
        <v>14</v>
      </c>
      <c r="F1421" s="9"/>
      <c r="G1421" s="9"/>
      <c r="H1421" s="9"/>
      <c r="I1421" s="9"/>
    </row>
    <row r="1422" spans="1:9" x14ac:dyDescent="0.25">
      <c r="A1422" s="7" t="s">
        <v>1394</v>
      </c>
      <c r="B1422" s="7" t="s">
        <v>1401</v>
      </c>
      <c r="C1422" s="7" t="s">
        <v>1396</v>
      </c>
      <c r="D1422" s="8" t="s">
        <v>120</v>
      </c>
      <c r="E1422" s="9" t="s">
        <v>14</v>
      </c>
      <c r="F1422" s="9"/>
      <c r="G1422" s="9"/>
      <c r="H1422" s="9"/>
      <c r="I1422" s="9"/>
    </row>
    <row r="1423" spans="1:9" x14ac:dyDescent="0.25">
      <c r="A1423" s="7" t="s">
        <v>1394</v>
      </c>
      <c r="B1423" s="7" t="s">
        <v>1402</v>
      </c>
      <c r="C1423" s="7" t="s">
        <v>1396</v>
      </c>
      <c r="D1423" s="8" t="s">
        <v>173</v>
      </c>
      <c r="E1423" s="9" t="s">
        <v>14</v>
      </c>
      <c r="F1423" s="9"/>
      <c r="G1423" s="9"/>
      <c r="H1423" s="9"/>
      <c r="I1423" s="9"/>
    </row>
    <row r="1424" spans="1:9" x14ac:dyDescent="0.25">
      <c r="A1424" s="7" t="s">
        <v>1394</v>
      </c>
      <c r="B1424" s="7" t="s">
        <v>1403</v>
      </c>
      <c r="C1424" s="7" t="s">
        <v>1396</v>
      </c>
      <c r="D1424" s="8" t="s">
        <v>81</v>
      </c>
      <c r="E1424" s="9" t="s">
        <v>14</v>
      </c>
      <c r="F1424" s="9"/>
      <c r="G1424" s="9"/>
      <c r="H1424" s="9"/>
      <c r="I1424" s="9"/>
    </row>
    <row r="1425" spans="1:9" x14ac:dyDescent="0.25">
      <c r="A1425" s="7" t="s">
        <v>1394</v>
      </c>
      <c r="B1425" s="7" t="s">
        <v>1404</v>
      </c>
      <c r="C1425" s="7" t="s">
        <v>1396</v>
      </c>
      <c r="D1425" s="8" t="s">
        <v>262</v>
      </c>
      <c r="E1425" s="9" t="s">
        <v>14</v>
      </c>
      <c r="F1425" s="9"/>
      <c r="G1425" s="9"/>
      <c r="H1425" s="9"/>
      <c r="I1425" s="9"/>
    </row>
    <row r="1426" spans="1:9" x14ac:dyDescent="0.25">
      <c r="A1426" s="7" t="s">
        <v>1405</v>
      </c>
      <c r="B1426" s="7" t="s">
        <v>1406</v>
      </c>
      <c r="C1426" s="7" t="s">
        <v>1396</v>
      </c>
      <c r="D1426" s="8" t="s">
        <v>50</v>
      </c>
      <c r="E1426" s="9" t="s">
        <v>14</v>
      </c>
      <c r="F1426" s="9"/>
      <c r="G1426" s="9"/>
      <c r="H1426" s="9"/>
      <c r="I1426" s="9"/>
    </row>
    <row r="1427" spans="1:9" x14ac:dyDescent="0.25">
      <c r="A1427" s="7" t="s">
        <v>1405</v>
      </c>
      <c r="B1427" s="7" t="s">
        <v>1407</v>
      </c>
      <c r="C1427" s="7" t="s">
        <v>1396</v>
      </c>
      <c r="D1427" s="8" t="s">
        <v>52</v>
      </c>
      <c r="E1427" s="9" t="s">
        <v>14</v>
      </c>
      <c r="F1427" s="9"/>
      <c r="G1427" s="9"/>
      <c r="H1427" s="9"/>
      <c r="I1427" s="9"/>
    </row>
    <row r="1428" spans="1:9" x14ac:dyDescent="0.25">
      <c r="A1428" s="7" t="s">
        <v>1405</v>
      </c>
      <c r="B1428" s="7" t="s">
        <v>1407</v>
      </c>
      <c r="C1428" s="7" t="s">
        <v>1396</v>
      </c>
      <c r="D1428" s="8" t="s">
        <v>55</v>
      </c>
      <c r="E1428" s="9" t="s">
        <v>14</v>
      </c>
      <c r="F1428" s="9"/>
      <c r="G1428" s="9"/>
      <c r="H1428" s="9"/>
      <c r="I1428" s="9"/>
    </row>
    <row r="1429" spans="1:9" x14ac:dyDescent="0.25">
      <c r="A1429" s="7" t="s">
        <v>1405</v>
      </c>
      <c r="B1429" s="7" t="s">
        <v>1407</v>
      </c>
      <c r="C1429" s="7" t="s">
        <v>1396</v>
      </c>
      <c r="D1429" s="8" t="s">
        <v>32</v>
      </c>
      <c r="E1429" s="9" t="s">
        <v>14</v>
      </c>
      <c r="F1429" s="9"/>
      <c r="G1429" s="9"/>
      <c r="H1429" s="9"/>
      <c r="I1429" s="9"/>
    </row>
    <row r="1430" spans="1:9" x14ac:dyDescent="0.25">
      <c r="A1430" s="7" t="s">
        <v>1405</v>
      </c>
      <c r="B1430" s="7" t="s">
        <v>1408</v>
      </c>
      <c r="C1430" s="7" t="s">
        <v>1396</v>
      </c>
      <c r="D1430" s="8" t="s">
        <v>39</v>
      </c>
      <c r="E1430" s="9" t="s">
        <v>14</v>
      </c>
      <c r="F1430" s="9"/>
      <c r="G1430" s="9"/>
      <c r="H1430" s="9"/>
      <c r="I1430" s="9"/>
    </row>
    <row r="1431" spans="1:9" x14ac:dyDescent="0.25">
      <c r="A1431" s="7" t="s">
        <v>1405</v>
      </c>
      <c r="B1431" s="7" t="s">
        <v>1409</v>
      </c>
      <c r="C1431" s="8" t="s">
        <v>1396</v>
      </c>
      <c r="D1431" s="8" t="s">
        <v>46</v>
      </c>
      <c r="E1431" s="9" t="s">
        <v>14</v>
      </c>
      <c r="F1431" s="9"/>
      <c r="G1431" s="9"/>
      <c r="H1431" s="9"/>
      <c r="I1431" s="9"/>
    </row>
    <row r="1432" spans="1:9" x14ac:dyDescent="0.25">
      <c r="A1432" s="7" t="s">
        <v>1410</v>
      </c>
      <c r="B1432" s="7" t="s">
        <v>1410</v>
      </c>
      <c r="C1432" s="8" t="s">
        <v>1411</v>
      </c>
      <c r="D1432" s="8" t="s">
        <v>52</v>
      </c>
      <c r="E1432" s="9" t="s">
        <v>14</v>
      </c>
      <c r="F1432" s="9"/>
      <c r="G1432" s="9"/>
      <c r="H1432" s="9"/>
      <c r="I1432" s="9"/>
    </row>
    <row r="1433" spans="1:9" x14ac:dyDescent="0.25">
      <c r="A1433" s="7" t="s">
        <v>1410</v>
      </c>
      <c r="B1433" s="7" t="s">
        <v>1412</v>
      </c>
      <c r="C1433" s="8" t="s">
        <v>1411</v>
      </c>
      <c r="D1433" s="8" t="s">
        <v>108</v>
      </c>
      <c r="E1433" s="9" t="s">
        <v>14</v>
      </c>
      <c r="F1433" s="9"/>
      <c r="G1433" s="9"/>
      <c r="H1433" s="9"/>
      <c r="I1433" s="9"/>
    </row>
    <row r="1434" spans="1:9" x14ac:dyDescent="0.25">
      <c r="A1434" s="7" t="s">
        <v>1410</v>
      </c>
      <c r="B1434" s="7" t="s">
        <v>1413</v>
      </c>
      <c r="C1434" s="8" t="s">
        <v>1411</v>
      </c>
      <c r="D1434" s="8" t="s">
        <v>43</v>
      </c>
      <c r="E1434" s="9" t="s">
        <v>14</v>
      </c>
      <c r="F1434" s="9"/>
      <c r="G1434" s="9"/>
      <c r="H1434" s="9"/>
      <c r="I1434" s="9"/>
    </row>
    <row r="1435" spans="1:9" x14ac:dyDescent="0.25">
      <c r="A1435" s="7" t="s">
        <v>1410</v>
      </c>
      <c r="B1435" s="7" t="s">
        <v>1414</v>
      </c>
      <c r="C1435" s="8" t="s">
        <v>1411</v>
      </c>
      <c r="D1435" s="8" t="s">
        <v>297</v>
      </c>
      <c r="E1435" s="9" t="s">
        <v>14</v>
      </c>
      <c r="F1435" s="9"/>
      <c r="G1435" s="9"/>
      <c r="H1435" s="9"/>
      <c r="I1435" s="9"/>
    </row>
    <row r="1436" spans="1:9" x14ac:dyDescent="0.25">
      <c r="A1436" s="7" t="s">
        <v>1410</v>
      </c>
      <c r="B1436" s="7" t="s">
        <v>1415</v>
      </c>
      <c r="C1436" s="8" t="s">
        <v>1411</v>
      </c>
      <c r="D1436" s="8" t="s">
        <v>13</v>
      </c>
      <c r="E1436" s="9" t="s">
        <v>14</v>
      </c>
      <c r="F1436" s="9"/>
      <c r="G1436" s="9"/>
      <c r="H1436" s="9"/>
      <c r="I1436" s="9"/>
    </row>
    <row r="1437" spans="1:9" x14ac:dyDescent="0.25">
      <c r="A1437" s="7" t="s">
        <v>1410</v>
      </c>
      <c r="B1437" s="7" t="s">
        <v>1416</v>
      </c>
      <c r="C1437" s="8" t="s">
        <v>1411</v>
      </c>
      <c r="D1437" s="8" t="s">
        <v>583</v>
      </c>
      <c r="E1437" s="9" t="s">
        <v>14</v>
      </c>
      <c r="F1437" s="9"/>
      <c r="G1437" s="9"/>
      <c r="H1437" s="9"/>
      <c r="I1437" s="9"/>
    </row>
    <row r="1438" spans="1:9" x14ac:dyDescent="0.25">
      <c r="A1438" s="7" t="s">
        <v>1417</v>
      </c>
      <c r="B1438" s="7" t="s">
        <v>1417</v>
      </c>
      <c r="C1438" s="8" t="s">
        <v>1418</v>
      </c>
      <c r="D1438" s="8" t="s">
        <v>13</v>
      </c>
      <c r="E1438" s="9" t="s">
        <v>14</v>
      </c>
      <c r="F1438" s="9"/>
      <c r="G1438" s="9"/>
      <c r="H1438" s="9"/>
      <c r="I1438" s="9"/>
    </row>
    <row r="1439" spans="1:9" x14ac:dyDescent="0.25">
      <c r="A1439" s="7" t="s">
        <v>1417</v>
      </c>
      <c r="B1439" s="7" t="s">
        <v>1419</v>
      </c>
      <c r="C1439" s="8" t="s">
        <v>1418</v>
      </c>
      <c r="D1439" s="8" t="s">
        <v>43</v>
      </c>
      <c r="E1439" s="9" t="s">
        <v>14</v>
      </c>
      <c r="F1439" s="9"/>
      <c r="G1439" s="9"/>
      <c r="H1439" s="9"/>
      <c r="I1439" s="9"/>
    </row>
    <row r="1440" spans="1:9" x14ac:dyDescent="0.25">
      <c r="A1440" s="7" t="s">
        <v>1420</v>
      </c>
      <c r="B1440" s="7" t="s">
        <v>1421</v>
      </c>
      <c r="C1440" s="8" t="s">
        <v>1422</v>
      </c>
      <c r="D1440" s="8" t="s">
        <v>13</v>
      </c>
      <c r="E1440" s="9" t="s">
        <v>14</v>
      </c>
      <c r="F1440" s="9"/>
      <c r="G1440" s="9"/>
      <c r="H1440" s="9"/>
      <c r="I1440" s="9"/>
    </row>
    <row r="1441" spans="1:9" x14ac:dyDescent="0.25">
      <c r="A1441" s="7" t="s">
        <v>1423</v>
      </c>
      <c r="B1441" s="7" t="s">
        <v>1424</v>
      </c>
      <c r="C1441" s="8" t="s">
        <v>1425</v>
      </c>
      <c r="D1441" s="8" t="s">
        <v>13</v>
      </c>
      <c r="E1441" s="9" t="s">
        <v>14</v>
      </c>
      <c r="F1441" s="9"/>
      <c r="G1441" s="9"/>
      <c r="H1441" s="9"/>
      <c r="I1441" s="9"/>
    </row>
    <row r="1442" spans="1:9" x14ac:dyDescent="0.25">
      <c r="A1442" s="7" t="s">
        <v>1426</v>
      </c>
      <c r="B1442" s="7" t="s">
        <v>1426</v>
      </c>
      <c r="C1442" s="8" t="s">
        <v>1427</v>
      </c>
      <c r="D1442" s="8" t="s">
        <v>13</v>
      </c>
      <c r="E1442" s="9" t="s">
        <v>14</v>
      </c>
      <c r="F1442" s="9"/>
      <c r="G1442" s="9"/>
      <c r="H1442" s="9"/>
      <c r="I1442" s="9"/>
    </row>
    <row r="1443" spans="1:9" x14ac:dyDescent="0.25">
      <c r="A1443" s="7" t="s">
        <v>1426</v>
      </c>
      <c r="B1443" s="7" t="s">
        <v>1426</v>
      </c>
      <c r="C1443" s="8" t="s">
        <v>1427</v>
      </c>
      <c r="D1443" s="8" t="s">
        <v>60</v>
      </c>
      <c r="E1443" s="9" t="s">
        <v>14</v>
      </c>
      <c r="F1443" s="9"/>
      <c r="G1443" s="9"/>
      <c r="H1443" s="9"/>
      <c r="I1443" s="9"/>
    </row>
    <row r="1444" spans="1:9" x14ac:dyDescent="0.25">
      <c r="A1444" s="7" t="s">
        <v>1426</v>
      </c>
      <c r="B1444" s="7" t="s">
        <v>1428</v>
      </c>
      <c r="C1444" s="8" t="s">
        <v>1427</v>
      </c>
      <c r="D1444" s="8" t="s">
        <v>20</v>
      </c>
      <c r="E1444" s="9" t="s">
        <v>14</v>
      </c>
      <c r="F1444" s="9"/>
      <c r="G1444" s="9"/>
      <c r="H1444" s="9"/>
      <c r="I1444" s="9"/>
    </row>
    <row r="1445" spans="1:9" x14ac:dyDescent="0.25">
      <c r="A1445" s="7" t="s">
        <v>1426</v>
      </c>
      <c r="B1445" s="7" t="s">
        <v>1428</v>
      </c>
      <c r="C1445" s="8" t="s">
        <v>1427</v>
      </c>
      <c r="D1445" s="8" t="s">
        <v>24</v>
      </c>
      <c r="E1445" s="9" t="s">
        <v>14</v>
      </c>
      <c r="F1445" s="9"/>
      <c r="G1445" s="9"/>
      <c r="H1445" s="9"/>
      <c r="I1445" s="9"/>
    </row>
    <row r="1446" spans="1:9" x14ac:dyDescent="0.25">
      <c r="A1446" s="7" t="s">
        <v>1426</v>
      </c>
      <c r="B1446" s="7" t="s">
        <v>1429</v>
      </c>
      <c r="C1446" s="8" t="s">
        <v>1427</v>
      </c>
      <c r="D1446" s="8" t="s">
        <v>53</v>
      </c>
      <c r="E1446" s="9" t="s">
        <v>14</v>
      </c>
      <c r="F1446" s="9"/>
      <c r="G1446" s="9"/>
      <c r="H1446" s="9"/>
      <c r="I1446" s="9"/>
    </row>
    <row r="1447" spans="1:9" x14ac:dyDescent="0.25">
      <c r="A1447" s="7" t="s">
        <v>1426</v>
      </c>
      <c r="B1447" s="7" t="s">
        <v>1430</v>
      </c>
      <c r="C1447" s="8" t="s">
        <v>1427</v>
      </c>
      <c r="D1447" s="8" t="s">
        <v>89</v>
      </c>
      <c r="E1447" s="9" t="s">
        <v>14</v>
      </c>
      <c r="F1447" s="9"/>
      <c r="G1447" s="9"/>
      <c r="H1447" s="9"/>
      <c r="I1447" s="9"/>
    </row>
    <row r="1448" spans="1:9" x14ac:dyDescent="0.25">
      <c r="A1448" s="7" t="s">
        <v>1431</v>
      </c>
      <c r="B1448" s="7" t="s">
        <v>1432</v>
      </c>
      <c r="C1448" s="8" t="s">
        <v>1433</v>
      </c>
      <c r="D1448" s="8" t="s">
        <v>13</v>
      </c>
      <c r="E1448" s="9" t="s">
        <v>14</v>
      </c>
      <c r="F1448" s="9"/>
      <c r="G1448" s="9"/>
      <c r="H1448" s="9"/>
      <c r="I1448" s="9"/>
    </row>
    <row r="1449" spans="1:9" x14ac:dyDescent="0.25">
      <c r="A1449" s="7" t="s">
        <v>1431</v>
      </c>
      <c r="B1449" s="7" t="s">
        <v>1434</v>
      </c>
      <c r="C1449" s="8" t="s">
        <v>1433</v>
      </c>
      <c r="D1449" s="8" t="s">
        <v>18</v>
      </c>
      <c r="E1449" s="9" t="s">
        <v>14</v>
      </c>
      <c r="F1449" s="9"/>
      <c r="G1449" s="9"/>
      <c r="H1449" s="9"/>
      <c r="I1449" s="9"/>
    </row>
    <row r="1450" spans="1:9" x14ac:dyDescent="0.25">
      <c r="A1450" s="7" t="s">
        <v>1435</v>
      </c>
      <c r="B1450" s="7" t="s">
        <v>1436</v>
      </c>
      <c r="C1450" s="8" t="s">
        <v>1437</v>
      </c>
      <c r="D1450" s="8" t="s">
        <v>18</v>
      </c>
      <c r="E1450" s="9" t="s">
        <v>14</v>
      </c>
      <c r="F1450" s="9"/>
      <c r="G1450" s="9"/>
      <c r="H1450" s="9"/>
      <c r="I1450" s="9"/>
    </row>
    <row r="1451" spans="1:9" x14ac:dyDescent="0.25">
      <c r="A1451" s="7" t="s">
        <v>1435</v>
      </c>
      <c r="B1451" s="7" t="s">
        <v>1438</v>
      </c>
      <c r="C1451" s="8" t="s">
        <v>1437</v>
      </c>
      <c r="D1451" s="8" t="s">
        <v>44</v>
      </c>
      <c r="E1451" s="9" t="s">
        <v>14</v>
      </c>
      <c r="F1451" s="9"/>
      <c r="G1451" s="9"/>
      <c r="H1451" s="9"/>
      <c r="I1451" s="9"/>
    </row>
    <row r="1452" spans="1:9" x14ac:dyDescent="0.25">
      <c r="A1452" s="7" t="s">
        <v>1435</v>
      </c>
      <c r="B1452" s="7" t="s">
        <v>1439</v>
      </c>
      <c r="C1452" s="8" t="s">
        <v>1437</v>
      </c>
      <c r="D1452" s="8" t="s">
        <v>43</v>
      </c>
      <c r="E1452" s="9" t="s">
        <v>14</v>
      </c>
      <c r="F1452" s="9"/>
      <c r="G1452" s="9"/>
      <c r="H1452" s="9"/>
      <c r="I1452" s="9"/>
    </row>
    <row r="1453" spans="1:9" x14ac:dyDescent="0.25">
      <c r="A1453" s="7" t="s">
        <v>1435</v>
      </c>
      <c r="B1453" s="7" t="s">
        <v>1440</v>
      </c>
      <c r="C1453" s="8" t="s">
        <v>1437</v>
      </c>
      <c r="D1453" s="8" t="s">
        <v>48</v>
      </c>
      <c r="E1453" s="9" t="s">
        <v>14</v>
      </c>
      <c r="F1453" s="9"/>
      <c r="G1453" s="9"/>
      <c r="H1453" s="9"/>
      <c r="I1453" s="9"/>
    </row>
    <row r="1454" spans="1:9" x14ac:dyDescent="0.25">
      <c r="A1454" s="7" t="s">
        <v>1435</v>
      </c>
      <c r="B1454" s="7" t="s">
        <v>1441</v>
      </c>
      <c r="C1454" s="8" t="s">
        <v>1437</v>
      </c>
      <c r="D1454" s="8" t="s">
        <v>52</v>
      </c>
      <c r="E1454" s="9" t="s">
        <v>14</v>
      </c>
      <c r="F1454" s="9"/>
      <c r="G1454" s="9"/>
      <c r="H1454" s="9"/>
      <c r="I1454" s="9"/>
    </row>
    <row r="1455" spans="1:9" x14ac:dyDescent="0.25">
      <c r="A1455" s="7" t="s">
        <v>1435</v>
      </c>
      <c r="B1455" s="7" t="s">
        <v>1442</v>
      </c>
      <c r="C1455" s="8" t="s">
        <v>1437</v>
      </c>
      <c r="D1455" s="8" t="s">
        <v>16</v>
      </c>
      <c r="E1455" s="9" t="s">
        <v>14</v>
      </c>
      <c r="F1455" s="9"/>
      <c r="G1455" s="9"/>
      <c r="H1455" s="9"/>
      <c r="I1455" s="9"/>
    </row>
    <row r="1456" spans="1:9" x14ac:dyDescent="0.25">
      <c r="A1456" s="7" t="s">
        <v>1443</v>
      </c>
      <c r="B1456" s="7" t="s">
        <v>1444</v>
      </c>
      <c r="C1456" s="7" t="s">
        <v>1445</v>
      </c>
      <c r="D1456" s="8" t="s">
        <v>1446</v>
      </c>
      <c r="E1456" s="9" t="s">
        <v>14</v>
      </c>
      <c r="F1456" s="9"/>
      <c r="G1456" s="9"/>
      <c r="H1456" s="9"/>
      <c r="I1456" s="9" t="s">
        <v>14</v>
      </c>
    </row>
    <row r="1457" spans="1:9" x14ac:dyDescent="0.25">
      <c r="A1457" s="7" t="s">
        <v>1443</v>
      </c>
      <c r="B1457" s="7" t="s">
        <v>1447</v>
      </c>
      <c r="C1457" s="7" t="s">
        <v>1445</v>
      </c>
      <c r="D1457" s="8" t="s">
        <v>1448</v>
      </c>
      <c r="E1457" s="9" t="s">
        <v>14</v>
      </c>
      <c r="F1457" s="9"/>
      <c r="G1457" s="9"/>
      <c r="H1457" s="9"/>
      <c r="I1457" s="9" t="s">
        <v>14</v>
      </c>
    </row>
    <row r="1458" spans="1:9" x14ac:dyDescent="0.25">
      <c r="A1458" s="7" t="s">
        <v>1443</v>
      </c>
      <c r="B1458" s="7" t="s">
        <v>1449</v>
      </c>
      <c r="C1458" s="7" t="s">
        <v>1445</v>
      </c>
      <c r="D1458" s="8" t="s">
        <v>399</v>
      </c>
      <c r="E1458" s="9" t="s">
        <v>14</v>
      </c>
      <c r="F1458" s="9"/>
      <c r="G1458" s="9"/>
      <c r="H1458" s="9"/>
      <c r="I1458" s="9" t="s">
        <v>14</v>
      </c>
    </row>
    <row r="1459" spans="1:9" x14ac:dyDescent="0.25">
      <c r="A1459" s="7" t="s">
        <v>1443</v>
      </c>
      <c r="B1459" s="7" t="s">
        <v>1450</v>
      </c>
      <c r="C1459" s="7" t="s">
        <v>1445</v>
      </c>
      <c r="D1459" s="8" t="s">
        <v>1451</v>
      </c>
      <c r="E1459" s="9" t="s">
        <v>14</v>
      </c>
      <c r="F1459" s="9"/>
      <c r="G1459" s="9"/>
      <c r="H1459" s="9"/>
      <c r="I1459" s="9" t="s">
        <v>14</v>
      </c>
    </row>
    <row r="1460" spans="1:9" x14ac:dyDescent="0.25">
      <c r="A1460" s="7" t="s">
        <v>1443</v>
      </c>
      <c r="B1460" s="7" t="s">
        <v>1452</v>
      </c>
      <c r="C1460" s="7" t="s">
        <v>1445</v>
      </c>
      <c r="D1460" s="8" t="s">
        <v>1453</v>
      </c>
      <c r="E1460" s="9" t="s">
        <v>14</v>
      </c>
      <c r="F1460" s="9"/>
      <c r="G1460" s="9"/>
      <c r="H1460" s="9"/>
      <c r="I1460" s="9" t="s">
        <v>14</v>
      </c>
    </row>
    <row r="1461" spans="1:9" x14ac:dyDescent="0.25">
      <c r="A1461" s="7" t="s">
        <v>1443</v>
      </c>
      <c r="B1461" s="7" t="s">
        <v>1454</v>
      </c>
      <c r="C1461" s="7" t="s">
        <v>1445</v>
      </c>
      <c r="D1461" s="8" t="s">
        <v>1455</v>
      </c>
      <c r="E1461" s="9" t="s">
        <v>14</v>
      </c>
      <c r="F1461" s="9"/>
      <c r="G1461" s="9"/>
      <c r="H1461" s="9"/>
      <c r="I1461" s="9" t="s">
        <v>14</v>
      </c>
    </row>
    <row r="1462" spans="1:9" x14ac:dyDescent="0.25">
      <c r="A1462" s="7" t="s">
        <v>1443</v>
      </c>
      <c r="B1462" s="7" t="s">
        <v>1456</v>
      </c>
      <c r="C1462" s="7" t="s">
        <v>1445</v>
      </c>
      <c r="D1462" s="8" t="s">
        <v>1457</v>
      </c>
      <c r="E1462" s="9" t="s">
        <v>14</v>
      </c>
      <c r="F1462" s="9"/>
      <c r="G1462" s="9"/>
      <c r="H1462" s="9"/>
      <c r="I1462" s="9" t="s">
        <v>14</v>
      </c>
    </row>
    <row r="1463" spans="1:9" x14ac:dyDescent="0.25">
      <c r="A1463" s="7" t="s">
        <v>1443</v>
      </c>
      <c r="B1463" s="7" t="s">
        <v>1458</v>
      </c>
      <c r="C1463" s="7" t="s">
        <v>1445</v>
      </c>
      <c r="D1463" s="8" t="s">
        <v>1459</v>
      </c>
      <c r="E1463" s="9" t="s">
        <v>14</v>
      </c>
      <c r="F1463" s="9"/>
      <c r="G1463" s="9"/>
      <c r="H1463" s="9"/>
      <c r="I1463" s="9" t="s">
        <v>14</v>
      </c>
    </row>
    <row r="1464" spans="1:9" x14ac:dyDescent="0.25">
      <c r="A1464" s="7" t="s">
        <v>1443</v>
      </c>
      <c r="B1464" s="7" t="s">
        <v>1460</v>
      </c>
      <c r="C1464" s="7" t="s">
        <v>1445</v>
      </c>
      <c r="D1464" s="8" t="s">
        <v>1461</v>
      </c>
      <c r="E1464" s="9" t="s">
        <v>14</v>
      </c>
      <c r="F1464" s="9"/>
      <c r="G1464" s="9"/>
      <c r="H1464" s="9"/>
      <c r="I1464" s="9" t="s">
        <v>14</v>
      </c>
    </row>
    <row r="1465" spans="1:9" x14ac:dyDescent="0.25">
      <c r="A1465" s="7" t="s">
        <v>1443</v>
      </c>
      <c r="B1465" s="7" t="s">
        <v>1462</v>
      </c>
      <c r="C1465" s="7" t="s">
        <v>1445</v>
      </c>
      <c r="D1465" s="8" t="s">
        <v>1463</v>
      </c>
      <c r="E1465" s="9" t="s">
        <v>14</v>
      </c>
      <c r="F1465" s="9"/>
      <c r="G1465" s="9"/>
      <c r="H1465" s="9"/>
      <c r="I1465" s="9" t="s">
        <v>14</v>
      </c>
    </row>
    <row r="1466" spans="1:9" x14ac:dyDescent="0.25">
      <c r="A1466" s="7" t="s">
        <v>1443</v>
      </c>
      <c r="B1466" s="7" t="s">
        <v>1464</v>
      </c>
      <c r="C1466" s="7" t="s">
        <v>1445</v>
      </c>
      <c r="D1466" s="8" t="s">
        <v>1465</v>
      </c>
      <c r="E1466" s="9" t="s">
        <v>14</v>
      </c>
      <c r="F1466" s="9"/>
      <c r="G1466" s="9"/>
      <c r="H1466" s="9"/>
      <c r="I1466" s="9" t="s">
        <v>14</v>
      </c>
    </row>
    <row r="1467" spans="1:9" x14ac:dyDescent="0.25">
      <c r="A1467" s="7" t="s">
        <v>1443</v>
      </c>
      <c r="B1467" s="7" t="s">
        <v>1466</v>
      </c>
      <c r="C1467" s="7" t="s">
        <v>1445</v>
      </c>
      <c r="D1467" s="8" t="s">
        <v>1467</v>
      </c>
      <c r="E1467" s="9" t="s">
        <v>14</v>
      </c>
      <c r="F1467" s="9"/>
      <c r="G1467" s="9"/>
      <c r="H1467" s="9"/>
      <c r="I1467" s="9" t="s">
        <v>14</v>
      </c>
    </row>
    <row r="1468" spans="1:9" x14ac:dyDescent="0.25">
      <c r="A1468" s="7" t="s">
        <v>1443</v>
      </c>
      <c r="B1468" s="7" t="s">
        <v>1468</v>
      </c>
      <c r="C1468" s="7" t="s">
        <v>1445</v>
      </c>
      <c r="D1468" s="8" t="s">
        <v>1469</v>
      </c>
      <c r="E1468" s="9" t="s">
        <v>14</v>
      </c>
      <c r="F1468" s="9"/>
      <c r="G1468" s="9"/>
      <c r="H1468" s="9"/>
      <c r="I1468" s="9" t="s">
        <v>14</v>
      </c>
    </row>
    <row r="1469" spans="1:9" x14ac:dyDescent="0.25">
      <c r="A1469" s="7" t="s">
        <v>1443</v>
      </c>
      <c r="B1469" s="7" t="s">
        <v>1470</v>
      </c>
      <c r="C1469" s="7" t="s">
        <v>1445</v>
      </c>
      <c r="D1469" s="8" t="s">
        <v>588</v>
      </c>
      <c r="E1469" s="9" t="s">
        <v>14</v>
      </c>
      <c r="F1469" s="9"/>
      <c r="G1469" s="9"/>
      <c r="H1469" s="9"/>
      <c r="I1469" s="9" t="s">
        <v>14</v>
      </c>
    </row>
    <row r="1470" spans="1:9" x14ac:dyDescent="0.25">
      <c r="A1470" s="7" t="s">
        <v>1443</v>
      </c>
      <c r="B1470" s="7" t="s">
        <v>1471</v>
      </c>
      <c r="C1470" s="7" t="s">
        <v>1445</v>
      </c>
      <c r="D1470" s="8" t="s">
        <v>1472</v>
      </c>
      <c r="E1470" s="9" t="s">
        <v>14</v>
      </c>
      <c r="F1470" s="9"/>
      <c r="G1470" s="9"/>
      <c r="H1470" s="9"/>
      <c r="I1470" s="9" t="s">
        <v>14</v>
      </c>
    </row>
    <row r="1471" spans="1:9" x14ac:dyDescent="0.25">
      <c r="A1471" s="7" t="s">
        <v>1443</v>
      </c>
      <c r="B1471" s="7" t="s">
        <v>1473</v>
      </c>
      <c r="C1471" s="7" t="s">
        <v>1445</v>
      </c>
      <c r="D1471" s="8" t="s">
        <v>1474</v>
      </c>
      <c r="E1471" s="9" t="s">
        <v>14</v>
      </c>
      <c r="F1471" s="9"/>
      <c r="G1471" s="9"/>
      <c r="H1471" s="9"/>
      <c r="I1471" s="9" t="s">
        <v>14</v>
      </c>
    </row>
    <row r="1472" spans="1:9" x14ac:dyDescent="0.25">
      <c r="A1472" s="7" t="s">
        <v>1443</v>
      </c>
      <c r="B1472" s="7" t="s">
        <v>1475</v>
      </c>
      <c r="C1472" s="7" t="s">
        <v>1445</v>
      </c>
      <c r="D1472" s="8" t="s">
        <v>1476</v>
      </c>
      <c r="E1472" s="9" t="s">
        <v>14</v>
      </c>
      <c r="F1472" s="9"/>
      <c r="G1472" s="9"/>
      <c r="H1472" s="9"/>
      <c r="I1472" s="9" t="s">
        <v>14</v>
      </c>
    </row>
    <row r="1473" spans="1:9" x14ac:dyDescent="0.25">
      <c r="A1473" s="7" t="s">
        <v>1443</v>
      </c>
      <c r="B1473" s="7" t="s">
        <v>1477</v>
      </c>
      <c r="C1473" s="7" t="s">
        <v>1445</v>
      </c>
      <c r="D1473" s="8" t="s">
        <v>1478</v>
      </c>
      <c r="E1473" s="9" t="s">
        <v>14</v>
      </c>
      <c r="F1473" s="9"/>
      <c r="G1473" s="9"/>
      <c r="H1473" s="9"/>
      <c r="I1473" s="9" t="s">
        <v>14</v>
      </c>
    </row>
    <row r="1474" spans="1:9" x14ac:dyDescent="0.25">
      <c r="A1474" s="7" t="s">
        <v>1443</v>
      </c>
      <c r="B1474" s="7" t="s">
        <v>1479</v>
      </c>
      <c r="C1474" s="7" t="s">
        <v>1445</v>
      </c>
      <c r="D1474" s="8" t="s">
        <v>1480</v>
      </c>
      <c r="E1474" s="9" t="s">
        <v>14</v>
      </c>
      <c r="F1474" s="9"/>
      <c r="G1474" s="9"/>
      <c r="H1474" s="9"/>
      <c r="I1474" s="9" t="s">
        <v>14</v>
      </c>
    </row>
    <row r="1475" spans="1:9" x14ac:dyDescent="0.25">
      <c r="A1475" s="7" t="s">
        <v>1443</v>
      </c>
      <c r="B1475" s="7" t="s">
        <v>1481</v>
      </c>
      <c r="C1475" s="8" t="s">
        <v>1445</v>
      </c>
      <c r="D1475" s="8" t="s">
        <v>1482</v>
      </c>
      <c r="E1475" s="9" t="s">
        <v>14</v>
      </c>
      <c r="F1475" s="9"/>
      <c r="G1475" s="9"/>
      <c r="H1475" s="9"/>
      <c r="I1475" s="9" t="s">
        <v>14</v>
      </c>
    </row>
    <row r="1476" spans="1:9" x14ac:dyDescent="0.25">
      <c r="A1476" s="7" t="s">
        <v>1443</v>
      </c>
      <c r="B1476" s="7" t="s">
        <v>1483</v>
      </c>
      <c r="C1476" s="8" t="s">
        <v>1445</v>
      </c>
      <c r="D1476" s="8" t="s">
        <v>1484</v>
      </c>
      <c r="E1476" s="9" t="s">
        <v>14</v>
      </c>
      <c r="F1476" s="9"/>
      <c r="G1476" s="9"/>
      <c r="H1476" s="9"/>
      <c r="I1476" s="9" t="s">
        <v>14</v>
      </c>
    </row>
    <row r="1477" spans="1:9" x14ac:dyDescent="0.25">
      <c r="A1477" s="7" t="s">
        <v>1443</v>
      </c>
      <c r="B1477" s="7" t="s">
        <v>1485</v>
      </c>
      <c r="C1477" s="8" t="s">
        <v>1445</v>
      </c>
      <c r="D1477" s="8" t="s">
        <v>1486</v>
      </c>
      <c r="E1477" s="9" t="s">
        <v>14</v>
      </c>
      <c r="F1477" s="9"/>
      <c r="G1477" s="9"/>
      <c r="H1477" s="9"/>
      <c r="I1477" s="9" t="s">
        <v>14</v>
      </c>
    </row>
    <row r="1478" spans="1:9" x14ac:dyDescent="0.25">
      <c r="A1478" s="7" t="s">
        <v>1443</v>
      </c>
      <c r="B1478" s="7" t="s">
        <v>1487</v>
      </c>
      <c r="C1478" s="7" t="s">
        <v>1445</v>
      </c>
      <c r="D1478" s="8" t="s">
        <v>1488</v>
      </c>
      <c r="E1478" s="9" t="s">
        <v>14</v>
      </c>
      <c r="F1478" s="9"/>
      <c r="G1478" s="9"/>
      <c r="H1478" s="9"/>
      <c r="I1478" s="9" t="s">
        <v>14</v>
      </c>
    </row>
    <row r="1479" spans="1:9" x14ac:dyDescent="0.25">
      <c r="A1479" s="7" t="s">
        <v>1443</v>
      </c>
      <c r="B1479" s="7" t="s">
        <v>1489</v>
      </c>
      <c r="C1479" s="7" t="s">
        <v>1445</v>
      </c>
      <c r="D1479" s="8" t="s">
        <v>1490</v>
      </c>
      <c r="E1479" s="9" t="s">
        <v>14</v>
      </c>
      <c r="F1479" s="9"/>
      <c r="G1479" s="9"/>
      <c r="H1479" s="9"/>
      <c r="I1479" s="9" t="s">
        <v>14</v>
      </c>
    </row>
    <row r="1480" spans="1:9" x14ac:dyDescent="0.25">
      <c r="A1480" s="7" t="s">
        <v>1443</v>
      </c>
      <c r="B1480" s="7" t="s">
        <v>1491</v>
      </c>
      <c r="C1480" s="8" t="s">
        <v>1445</v>
      </c>
      <c r="D1480" s="8" t="s">
        <v>1492</v>
      </c>
      <c r="E1480" s="9" t="s">
        <v>14</v>
      </c>
      <c r="F1480" s="9"/>
      <c r="G1480" s="9"/>
      <c r="H1480" s="9"/>
      <c r="I1480" s="9" t="s">
        <v>14</v>
      </c>
    </row>
    <row r="1481" spans="1:9" x14ac:dyDescent="0.25">
      <c r="A1481" s="7" t="s">
        <v>1443</v>
      </c>
      <c r="B1481" s="7" t="s">
        <v>1493</v>
      </c>
      <c r="C1481" s="7" t="s">
        <v>1445</v>
      </c>
      <c r="D1481" s="8" t="s">
        <v>1494</v>
      </c>
      <c r="E1481" s="9" t="s">
        <v>14</v>
      </c>
      <c r="F1481" s="9"/>
      <c r="G1481" s="9"/>
      <c r="H1481" s="9"/>
      <c r="I1481" s="9" t="s">
        <v>14</v>
      </c>
    </row>
    <row r="1482" spans="1:9" x14ac:dyDescent="0.25">
      <c r="A1482" s="7" t="s">
        <v>1443</v>
      </c>
      <c r="B1482" s="7" t="s">
        <v>1495</v>
      </c>
      <c r="C1482" s="7" t="s">
        <v>1445</v>
      </c>
      <c r="D1482" s="8" t="s">
        <v>1496</v>
      </c>
      <c r="E1482" s="9" t="s">
        <v>14</v>
      </c>
      <c r="F1482" s="9"/>
      <c r="G1482" s="9"/>
      <c r="H1482" s="9"/>
      <c r="I1482" s="9" t="s">
        <v>14</v>
      </c>
    </row>
    <row r="1483" spans="1:9" x14ac:dyDescent="0.25">
      <c r="A1483" s="7" t="s">
        <v>1443</v>
      </c>
      <c r="B1483" s="7" t="s">
        <v>1497</v>
      </c>
      <c r="C1483" s="7" t="s">
        <v>1445</v>
      </c>
      <c r="D1483" s="8" t="s">
        <v>1498</v>
      </c>
      <c r="E1483" s="9" t="s">
        <v>14</v>
      </c>
      <c r="F1483" s="9"/>
      <c r="G1483" s="9"/>
      <c r="H1483" s="9"/>
      <c r="I1483" s="9" t="s">
        <v>14</v>
      </c>
    </row>
    <row r="1484" spans="1:9" x14ac:dyDescent="0.25">
      <c r="A1484" s="7" t="s">
        <v>1443</v>
      </c>
      <c r="B1484" s="7" t="s">
        <v>1499</v>
      </c>
      <c r="C1484" s="7" t="s">
        <v>1445</v>
      </c>
      <c r="D1484" s="8" t="s">
        <v>1500</v>
      </c>
      <c r="E1484" s="9" t="s">
        <v>14</v>
      </c>
      <c r="F1484" s="9"/>
      <c r="G1484" s="9"/>
      <c r="H1484" s="9"/>
      <c r="I1484" s="9" t="s">
        <v>14</v>
      </c>
    </row>
    <row r="1485" spans="1:9" x14ac:dyDescent="0.25">
      <c r="A1485" s="7" t="s">
        <v>1443</v>
      </c>
      <c r="B1485" s="7" t="s">
        <v>1501</v>
      </c>
      <c r="C1485" s="7" t="s">
        <v>1445</v>
      </c>
      <c r="D1485" s="8" t="s">
        <v>1502</v>
      </c>
      <c r="E1485" s="9" t="s">
        <v>14</v>
      </c>
      <c r="F1485" s="9"/>
      <c r="G1485" s="9"/>
      <c r="H1485" s="9"/>
      <c r="I1485" s="9" t="s">
        <v>14</v>
      </c>
    </row>
    <row r="1486" spans="1:9" x14ac:dyDescent="0.25">
      <c r="A1486" s="7" t="s">
        <v>1443</v>
      </c>
      <c r="B1486" s="7" t="s">
        <v>1503</v>
      </c>
      <c r="C1486" s="7" t="s">
        <v>1445</v>
      </c>
      <c r="D1486" s="8" t="s">
        <v>1504</v>
      </c>
      <c r="E1486" s="9" t="s">
        <v>14</v>
      </c>
      <c r="F1486" s="9"/>
      <c r="G1486" s="9"/>
      <c r="H1486" s="9"/>
      <c r="I1486" s="9" t="s">
        <v>14</v>
      </c>
    </row>
    <row r="1487" spans="1:9" x14ac:dyDescent="0.25">
      <c r="A1487" s="7" t="s">
        <v>1443</v>
      </c>
      <c r="B1487" s="7" t="s">
        <v>1505</v>
      </c>
      <c r="C1487" s="7" t="s">
        <v>1445</v>
      </c>
      <c r="D1487" s="8" t="s">
        <v>1506</v>
      </c>
      <c r="E1487" s="9" t="s">
        <v>14</v>
      </c>
      <c r="F1487" s="9"/>
      <c r="G1487" s="9"/>
      <c r="H1487" s="9"/>
      <c r="I1487" s="9" t="s">
        <v>14</v>
      </c>
    </row>
    <row r="1488" spans="1:9" x14ac:dyDescent="0.25">
      <c r="A1488" s="7" t="s">
        <v>1443</v>
      </c>
      <c r="B1488" s="7" t="s">
        <v>1507</v>
      </c>
      <c r="C1488" s="8" t="s">
        <v>1445</v>
      </c>
      <c r="D1488" s="8" t="s">
        <v>1508</v>
      </c>
      <c r="E1488" s="9" t="s">
        <v>14</v>
      </c>
      <c r="F1488" s="9"/>
      <c r="G1488" s="9"/>
      <c r="H1488" s="9"/>
      <c r="I1488" s="9" t="s">
        <v>14</v>
      </c>
    </row>
    <row r="1489" spans="1:9" x14ac:dyDescent="0.25">
      <c r="A1489" s="7" t="s">
        <v>1443</v>
      </c>
      <c r="B1489" s="7" t="s">
        <v>1509</v>
      </c>
      <c r="C1489" s="8" t="s">
        <v>1445</v>
      </c>
      <c r="D1489" s="8" t="s">
        <v>1510</v>
      </c>
      <c r="E1489" s="9" t="s">
        <v>14</v>
      </c>
      <c r="F1489" s="9"/>
      <c r="G1489" s="9"/>
      <c r="H1489" s="9"/>
      <c r="I1489" s="9" t="s">
        <v>14</v>
      </c>
    </row>
    <row r="1490" spans="1:9" x14ac:dyDescent="0.25">
      <c r="A1490" s="7" t="s">
        <v>1443</v>
      </c>
      <c r="B1490" s="7" t="s">
        <v>1511</v>
      </c>
      <c r="C1490" s="7" t="s">
        <v>1445</v>
      </c>
      <c r="D1490" s="8" t="s">
        <v>1512</v>
      </c>
      <c r="E1490" s="9" t="s">
        <v>14</v>
      </c>
      <c r="F1490" s="9"/>
      <c r="G1490" s="9"/>
      <c r="H1490" s="9"/>
      <c r="I1490" s="9" t="s">
        <v>14</v>
      </c>
    </row>
    <row r="1491" spans="1:9" x14ac:dyDescent="0.25">
      <c r="A1491" s="7" t="s">
        <v>1443</v>
      </c>
      <c r="B1491" s="7" t="s">
        <v>1513</v>
      </c>
      <c r="C1491" s="7" t="s">
        <v>1445</v>
      </c>
      <c r="D1491" s="8" t="s">
        <v>1514</v>
      </c>
      <c r="E1491" s="9" t="s">
        <v>14</v>
      </c>
      <c r="F1491" s="9"/>
      <c r="G1491" s="9"/>
      <c r="H1491" s="9"/>
      <c r="I1491" s="9" t="s">
        <v>14</v>
      </c>
    </row>
    <row r="1492" spans="1:9" x14ac:dyDescent="0.25">
      <c r="A1492" s="7" t="s">
        <v>1443</v>
      </c>
      <c r="B1492" s="7" t="s">
        <v>1515</v>
      </c>
      <c r="C1492" s="7" t="s">
        <v>1445</v>
      </c>
      <c r="D1492" s="8" t="s">
        <v>1516</v>
      </c>
      <c r="E1492" s="9" t="s">
        <v>14</v>
      </c>
      <c r="F1492" s="9"/>
      <c r="G1492" s="9"/>
      <c r="H1492" s="9"/>
      <c r="I1492" s="9" t="s">
        <v>14</v>
      </c>
    </row>
    <row r="1493" spans="1:9" x14ac:dyDescent="0.25">
      <c r="A1493" s="7" t="s">
        <v>1443</v>
      </c>
      <c r="B1493" s="7" t="s">
        <v>1517</v>
      </c>
      <c r="C1493" s="8" t="s">
        <v>1445</v>
      </c>
      <c r="D1493" s="8" t="s">
        <v>1518</v>
      </c>
      <c r="E1493" s="9" t="s">
        <v>14</v>
      </c>
      <c r="F1493" s="9"/>
      <c r="G1493" s="9"/>
      <c r="H1493" s="9"/>
      <c r="I1493" s="9" t="s">
        <v>14</v>
      </c>
    </row>
    <row r="1494" spans="1:9" x14ac:dyDescent="0.25">
      <c r="A1494" s="7" t="s">
        <v>1443</v>
      </c>
      <c r="B1494" s="7" t="s">
        <v>1519</v>
      </c>
      <c r="C1494" s="8" t="s">
        <v>1445</v>
      </c>
      <c r="D1494" s="8" t="s">
        <v>1520</v>
      </c>
      <c r="E1494" s="9" t="s">
        <v>14</v>
      </c>
      <c r="F1494" s="9"/>
      <c r="G1494" s="9"/>
      <c r="H1494" s="9"/>
      <c r="I1494" s="9" t="s">
        <v>14</v>
      </c>
    </row>
    <row r="1495" spans="1:9" x14ac:dyDescent="0.25">
      <c r="A1495" s="7" t="s">
        <v>1443</v>
      </c>
      <c r="B1495" s="7" t="s">
        <v>1521</v>
      </c>
      <c r="C1495" s="8" t="s">
        <v>1445</v>
      </c>
      <c r="D1495" s="8" t="s">
        <v>1522</v>
      </c>
      <c r="E1495" s="9" t="s">
        <v>14</v>
      </c>
      <c r="F1495" s="9"/>
      <c r="G1495" s="9"/>
      <c r="H1495" s="9"/>
      <c r="I1495" s="9" t="s">
        <v>14</v>
      </c>
    </row>
    <row r="1496" spans="1:9" x14ac:dyDescent="0.25">
      <c r="A1496" s="7" t="s">
        <v>1443</v>
      </c>
      <c r="B1496" s="7" t="s">
        <v>1523</v>
      </c>
      <c r="C1496" s="7" t="s">
        <v>1445</v>
      </c>
      <c r="D1496" s="8" t="s">
        <v>106</v>
      </c>
      <c r="E1496" s="9" t="s">
        <v>14</v>
      </c>
      <c r="F1496" s="9"/>
      <c r="G1496" s="9"/>
      <c r="H1496" s="9"/>
      <c r="I1496" s="9" t="s">
        <v>14</v>
      </c>
    </row>
    <row r="1497" spans="1:9" x14ac:dyDescent="0.25">
      <c r="A1497" s="7" t="s">
        <v>1443</v>
      </c>
      <c r="B1497" s="7" t="s">
        <v>1524</v>
      </c>
      <c r="C1497" s="7" t="s">
        <v>1445</v>
      </c>
      <c r="D1497" s="8" t="s">
        <v>295</v>
      </c>
      <c r="E1497" s="9" t="s">
        <v>14</v>
      </c>
      <c r="F1497" s="9"/>
      <c r="G1497" s="9"/>
      <c r="H1497" s="9"/>
      <c r="I1497" s="9" t="s">
        <v>14</v>
      </c>
    </row>
    <row r="1498" spans="1:9" x14ac:dyDescent="0.25">
      <c r="A1498" s="7" t="s">
        <v>1443</v>
      </c>
      <c r="B1498" s="7" t="s">
        <v>1525</v>
      </c>
      <c r="C1498" s="7" t="s">
        <v>1445</v>
      </c>
      <c r="D1498" s="8" t="s">
        <v>1526</v>
      </c>
      <c r="E1498" s="9" t="s">
        <v>14</v>
      </c>
      <c r="F1498" s="9"/>
      <c r="G1498" s="9"/>
      <c r="H1498" s="9"/>
      <c r="I1498" s="9" t="s">
        <v>14</v>
      </c>
    </row>
    <row r="1499" spans="1:9" x14ac:dyDescent="0.25">
      <c r="A1499" s="7" t="s">
        <v>1443</v>
      </c>
      <c r="B1499" s="7" t="s">
        <v>1527</v>
      </c>
      <c r="C1499" s="7" t="s">
        <v>1445</v>
      </c>
      <c r="D1499" s="8" t="s">
        <v>1204</v>
      </c>
      <c r="E1499" s="9" t="s">
        <v>14</v>
      </c>
      <c r="F1499" s="9"/>
      <c r="G1499" s="9"/>
      <c r="H1499" s="9"/>
      <c r="I1499" s="9" t="s">
        <v>14</v>
      </c>
    </row>
    <row r="1500" spans="1:9" x14ac:dyDescent="0.25">
      <c r="A1500" s="7" t="s">
        <v>1443</v>
      </c>
      <c r="B1500" s="7" t="s">
        <v>1528</v>
      </c>
      <c r="C1500" s="7" t="s">
        <v>1445</v>
      </c>
      <c r="D1500" s="8" t="s">
        <v>309</v>
      </c>
      <c r="E1500" s="9" t="s">
        <v>14</v>
      </c>
      <c r="F1500" s="9"/>
      <c r="G1500" s="9"/>
      <c r="H1500" s="9"/>
      <c r="I1500" s="9" t="s">
        <v>14</v>
      </c>
    </row>
    <row r="1501" spans="1:9" x14ac:dyDescent="0.25">
      <c r="A1501" s="7" t="s">
        <v>1443</v>
      </c>
      <c r="B1501" s="7" t="s">
        <v>1529</v>
      </c>
      <c r="C1501" s="7" t="s">
        <v>1445</v>
      </c>
      <c r="D1501" s="8" t="s">
        <v>1530</v>
      </c>
      <c r="E1501" s="9" t="s">
        <v>14</v>
      </c>
      <c r="F1501" s="9"/>
      <c r="G1501" s="9"/>
      <c r="H1501" s="9"/>
      <c r="I1501" s="9" t="s">
        <v>14</v>
      </c>
    </row>
    <row r="1502" spans="1:9" x14ac:dyDescent="0.25">
      <c r="A1502" s="7" t="s">
        <v>1443</v>
      </c>
      <c r="B1502" s="7" t="s">
        <v>1531</v>
      </c>
      <c r="C1502" s="7" t="s">
        <v>1445</v>
      </c>
      <c r="D1502" s="8" t="s">
        <v>1532</v>
      </c>
      <c r="E1502" s="9" t="s">
        <v>14</v>
      </c>
      <c r="F1502" s="9"/>
      <c r="G1502" s="9"/>
      <c r="H1502" s="9"/>
      <c r="I1502" s="9" t="s">
        <v>14</v>
      </c>
    </row>
    <row r="1503" spans="1:9" x14ac:dyDescent="0.25">
      <c r="A1503" s="7" t="s">
        <v>1443</v>
      </c>
      <c r="B1503" s="7" t="s">
        <v>1533</v>
      </c>
      <c r="C1503" s="7" t="s">
        <v>1445</v>
      </c>
      <c r="D1503" s="8" t="s">
        <v>134</v>
      </c>
      <c r="E1503" s="9" t="s">
        <v>14</v>
      </c>
      <c r="F1503" s="9"/>
      <c r="G1503" s="9"/>
      <c r="H1503" s="9"/>
      <c r="I1503" s="9" t="s">
        <v>14</v>
      </c>
    </row>
    <row r="1504" spans="1:9" x14ac:dyDescent="0.25">
      <c r="A1504" s="7" t="s">
        <v>1443</v>
      </c>
      <c r="B1504" s="7" t="s">
        <v>1534</v>
      </c>
      <c r="C1504" s="7" t="s">
        <v>1445</v>
      </c>
      <c r="D1504" s="8" t="s">
        <v>1535</v>
      </c>
      <c r="E1504" s="9" t="s">
        <v>14</v>
      </c>
      <c r="F1504" s="9"/>
      <c r="G1504" s="9"/>
      <c r="H1504" s="9"/>
      <c r="I1504" s="9" t="s">
        <v>14</v>
      </c>
    </row>
    <row r="1505" spans="1:9" x14ac:dyDescent="0.25">
      <c r="A1505" s="7" t="s">
        <v>1443</v>
      </c>
      <c r="B1505" s="7" t="s">
        <v>1536</v>
      </c>
      <c r="C1505" s="7" t="s">
        <v>1445</v>
      </c>
      <c r="D1505" s="8" t="s">
        <v>1537</v>
      </c>
      <c r="E1505" s="9" t="s">
        <v>14</v>
      </c>
      <c r="F1505" s="9"/>
      <c r="G1505" s="9"/>
      <c r="H1505" s="9"/>
      <c r="I1505" s="9" t="s">
        <v>14</v>
      </c>
    </row>
    <row r="1506" spans="1:9" x14ac:dyDescent="0.25">
      <c r="A1506" s="7" t="s">
        <v>1443</v>
      </c>
      <c r="B1506" s="7" t="s">
        <v>1538</v>
      </c>
      <c r="C1506" s="7" t="s">
        <v>1445</v>
      </c>
      <c r="D1506" s="8" t="s">
        <v>75</v>
      </c>
      <c r="E1506" s="9" t="s">
        <v>14</v>
      </c>
      <c r="F1506" s="9"/>
      <c r="G1506" s="9"/>
      <c r="H1506" s="9"/>
      <c r="I1506" s="9" t="s">
        <v>14</v>
      </c>
    </row>
    <row r="1507" spans="1:9" x14ac:dyDescent="0.25">
      <c r="A1507" s="7" t="s">
        <v>1443</v>
      </c>
      <c r="B1507" s="7" t="s">
        <v>1539</v>
      </c>
      <c r="C1507" s="8" t="s">
        <v>1445</v>
      </c>
      <c r="D1507" s="8" t="s">
        <v>1540</v>
      </c>
      <c r="E1507" s="9" t="s">
        <v>14</v>
      </c>
      <c r="F1507" s="9"/>
      <c r="G1507" s="9"/>
      <c r="H1507" s="9"/>
      <c r="I1507" s="9" t="s">
        <v>14</v>
      </c>
    </row>
    <row r="1508" spans="1:9" x14ac:dyDescent="0.25">
      <c r="A1508" s="7" t="s">
        <v>1443</v>
      </c>
      <c r="B1508" s="7" t="s">
        <v>1541</v>
      </c>
      <c r="C1508" s="8" t="s">
        <v>1445</v>
      </c>
      <c r="D1508" s="8" t="s">
        <v>1542</v>
      </c>
      <c r="E1508" s="9" t="s">
        <v>14</v>
      </c>
      <c r="F1508" s="9"/>
      <c r="G1508" s="9"/>
      <c r="H1508" s="9"/>
      <c r="I1508" s="9" t="s">
        <v>14</v>
      </c>
    </row>
    <row r="1509" spans="1:9" x14ac:dyDescent="0.25">
      <c r="A1509" s="7" t="s">
        <v>1443</v>
      </c>
      <c r="B1509" s="7" t="s">
        <v>1543</v>
      </c>
      <c r="C1509" s="7" t="s">
        <v>1445</v>
      </c>
      <c r="D1509" s="8" t="s">
        <v>78</v>
      </c>
      <c r="E1509" s="9" t="s">
        <v>14</v>
      </c>
      <c r="F1509" s="9"/>
      <c r="G1509" s="9"/>
      <c r="H1509" s="9"/>
      <c r="I1509" s="9" t="s">
        <v>14</v>
      </c>
    </row>
    <row r="1510" spans="1:9" x14ac:dyDescent="0.25">
      <c r="A1510" s="7" t="s">
        <v>1443</v>
      </c>
      <c r="B1510" s="7" t="s">
        <v>1544</v>
      </c>
      <c r="C1510" s="7" t="s">
        <v>1445</v>
      </c>
      <c r="D1510" s="8" t="s">
        <v>1545</v>
      </c>
      <c r="E1510" s="9" t="s">
        <v>14</v>
      </c>
      <c r="F1510" s="9"/>
      <c r="G1510" s="9"/>
      <c r="H1510" s="9"/>
      <c r="I1510" s="9" t="s">
        <v>14</v>
      </c>
    </row>
    <row r="1511" spans="1:9" x14ac:dyDescent="0.25">
      <c r="A1511" s="7" t="s">
        <v>1443</v>
      </c>
      <c r="B1511" s="7" t="s">
        <v>1546</v>
      </c>
      <c r="C1511" s="8" t="s">
        <v>1445</v>
      </c>
      <c r="D1511" s="8" t="s">
        <v>1547</v>
      </c>
      <c r="E1511" s="9" t="s">
        <v>14</v>
      </c>
      <c r="F1511" s="9"/>
      <c r="G1511" s="9"/>
      <c r="H1511" s="9"/>
      <c r="I1511" s="9" t="s">
        <v>14</v>
      </c>
    </row>
    <row r="1512" spans="1:9" x14ac:dyDescent="0.25">
      <c r="A1512" s="7" t="s">
        <v>1443</v>
      </c>
      <c r="B1512" s="7" t="s">
        <v>1548</v>
      </c>
      <c r="C1512" s="7" t="s">
        <v>1445</v>
      </c>
      <c r="D1512" s="8" t="s">
        <v>251</v>
      </c>
      <c r="E1512" s="9" t="s">
        <v>14</v>
      </c>
      <c r="F1512" s="9"/>
      <c r="G1512" s="9"/>
      <c r="H1512" s="9"/>
      <c r="I1512" s="9" t="s">
        <v>14</v>
      </c>
    </row>
    <row r="1513" spans="1:9" x14ac:dyDescent="0.25">
      <c r="A1513" s="7" t="s">
        <v>1443</v>
      </c>
      <c r="B1513" s="7" t="s">
        <v>1548</v>
      </c>
      <c r="C1513" s="7" t="s">
        <v>1445</v>
      </c>
      <c r="D1513" s="8" t="s">
        <v>267</v>
      </c>
      <c r="E1513" s="9" t="s">
        <v>14</v>
      </c>
      <c r="F1513" s="9"/>
      <c r="G1513" s="9"/>
      <c r="H1513" s="9"/>
      <c r="I1513" s="9" t="s">
        <v>14</v>
      </c>
    </row>
    <row r="1514" spans="1:9" x14ac:dyDescent="0.25">
      <c r="A1514" s="7" t="s">
        <v>1443</v>
      </c>
      <c r="B1514" s="7" t="s">
        <v>1549</v>
      </c>
      <c r="C1514" s="7" t="s">
        <v>1445</v>
      </c>
      <c r="D1514" s="8" t="s">
        <v>1550</v>
      </c>
      <c r="E1514" s="9" t="s">
        <v>14</v>
      </c>
      <c r="F1514" s="9"/>
      <c r="G1514" s="9"/>
      <c r="H1514" s="9"/>
      <c r="I1514" s="9" t="s">
        <v>14</v>
      </c>
    </row>
    <row r="1515" spans="1:9" x14ac:dyDescent="0.25">
      <c r="A1515" s="7" t="s">
        <v>1443</v>
      </c>
      <c r="B1515" s="7" t="s">
        <v>1551</v>
      </c>
      <c r="C1515" s="7" t="s">
        <v>1445</v>
      </c>
      <c r="D1515" s="8" t="s">
        <v>1552</v>
      </c>
      <c r="E1515" s="9" t="s">
        <v>14</v>
      </c>
      <c r="F1515" s="9"/>
      <c r="G1515" s="9"/>
      <c r="H1515" s="9"/>
      <c r="I1515" s="9" t="s">
        <v>14</v>
      </c>
    </row>
    <row r="1516" spans="1:9" x14ac:dyDescent="0.25">
      <c r="A1516" s="7" t="s">
        <v>1443</v>
      </c>
      <c r="B1516" s="7" t="s">
        <v>1553</v>
      </c>
      <c r="C1516" s="7" t="s">
        <v>1445</v>
      </c>
      <c r="D1516" s="8" t="s">
        <v>262</v>
      </c>
      <c r="E1516" s="9" t="s">
        <v>14</v>
      </c>
      <c r="F1516" s="9"/>
      <c r="G1516" s="9"/>
      <c r="H1516" s="9"/>
      <c r="I1516" s="9" t="s">
        <v>14</v>
      </c>
    </row>
    <row r="1517" spans="1:9" x14ac:dyDescent="0.25">
      <c r="A1517" s="7" t="s">
        <v>1443</v>
      </c>
      <c r="B1517" s="7" t="s">
        <v>1554</v>
      </c>
      <c r="C1517" s="7" t="s">
        <v>1445</v>
      </c>
      <c r="D1517" s="8" t="s">
        <v>1555</v>
      </c>
      <c r="E1517" s="9" t="s">
        <v>14</v>
      </c>
      <c r="F1517" s="9"/>
      <c r="G1517" s="9"/>
      <c r="H1517" s="9"/>
      <c r="I1517" s="9" t="s">
        <v>14</v>
      </c>
    </row>
    <row r="1518" spans="1:9" x14ac:dyDescent="0.25">
      <c r="A1518" s="7" t="s">
        <v>1443</v>
      </c>
      <c r="B1518" s="7" t="s">
        <v>1556</v>
      </c>
      <c r="C1518" s="7" t="s">
        <v>1445</v>
      </c>
      <c r="D1518" s="8" t="s">
        <v>1557</v>
      </c>
      <c r="E1518" s="9" t="s">
        <v>14</v>
      </c>
      <c r="F1518" s="9"/>
      <c r="G1518" s="9"/>
      <c r="H1518" s="9"/>
      <c r="I1518" s="9" t="s">
        <v>14</v>
      </c>
    </row>
    <row r="1519" spans="1:9" x14ac:dyDescent="0.25">
      <c r="A1519" s="7" t="s">
        <v>1443</v>
      </c>
      <c r="B1519" s="7" t="s">
        <v>1558</v>
      </c>
      <c r="C1519" s="7" t="s">
        <v>1445</v>
      </c>
      <c r="D1519" s="8" t="s">
        <v>1559</v>
      </c>
      <c r="E1519" s="9" t="s">
        <v>14</v>
      </c>
      <c r="F1519" s="9"/>
      <c r="G1519" s="9"/>
      <c r="H1519" s="9"/>
      <c r="I1519" s="9" t="s">
        <v>14</v>
      </c>
    </row>
    <row r="1520" spans="1:9" x14ac:dyDescent="0.25">
      <c r="A1520" s="7" t="s">
        <v>1443</v>
      </c>
      <c r="B1520" s="7" t="s">
        <v>1560</v>
      </c>
      <c r="C1520" s="7" t="s">
        <v>1445</v>
      </c>
      <c r="D1520" s="8" t="s">
        <v>1561</v>
      </c>
      <c r="E1520" s="9" t="s">
        <v>14</v>
      </c>
      <c r="F1520" s="9"/>
      <c r="G1520" s="9"/>
      <c r="H1520" s="9"/>
      <c r="I1520" s="9" t="s">
        <v>14</v>
      </c>
    </row>
    <row r="1521" spans="1:9" x14ac:dyDescent="0.25">
      <c r="A1521" s="7" t="s">
        <v>1443</v>
      </c>
      <c r="B1521" s="7" t="s">
        <v>1562</v>
      </c>
      <c r="C1521" s="8" t="s">
        <v>1445</v>
      </c>
      <c r="D1521" s="8" t="s">
        <v>102</v>
      </c>
      <c r="E1521" s="9" t="s">
        <v>14</v>
      </c>
      <c r="F1521" s="9"/>
      <c r="G1521" s="9"/>
      <c r="H1521" s="9"/>
      <c r="I1521" s="9" t="s">
        <v>14</v>
      </c>
    </row>
    <row r="1522" spans="1:9" x14ac:dyDescent="0.25">
      <c r="A1522" s="7" t="s">
        <v>1443</v>
      </c>
      <c r="B1522" s="7" t="s">
        <v>1563</v>
      </c>
      <c r="C1522" s="8" t="s">
        <v>1445</v>
      </c>
      <c r="D1522" s="8" t="s">
        <v>1564</v>
      </c>
      <c r="E1522" s="9" t="s">
        <v>14</v>
      </c>
      <c r="F1522" s="9"/>
      <c r="G1522" s="9"/>
      <c r="H1522" s="9"/>
      <c r="I1522" s="9" t="s">
        <v>14</v>
      </c>
    </row>
    <row r="1523" spans="1:9" x14ac:dyDescent="0.25">
      <c r="A1523" s="7" t="s">
        <v>1443</v>
      </c>
      <c r="B1523" s="7" t="s">
        <v>1565</v>
      </c>
      <c r="C1523" s="7" t="s">
        <v>1445</v>
      </c>
      <c r="D1523" s="8" t="s">
        <v>1566</v>
      </c>
      <c r="E1523" s="9" t="s">
        <v>14</v>
      </c>
      <c r="F1523" s="9"/>
      <c r="G1523" s="9"/>
      <c r="H1523" s="9"/>
      <c r="I1523" s="9" t="s">
        <v>14</v>
      </c>
    </row>
    <row r="1524" spans="1:9" x14ac:dyDescent="0.25">
      <c r="A1524" s="7" t="s">
        <v>1443</v>
      </c>
      <c r="B1524" s="7" t="s">
        <v>1567</v>
      </c>
      <c r="C1524" s="7" t="s">
        <v>1445</v>
      </c>
      <c r="D1524" s="8" t="s">
        <v>195</v>
      </c>
      <c r="E1524" s="9" t="s">
        <v>14</v>
      </c>
      <c r="F1524" s="9"/>
      <c r="G1524" s="9"/>
      <c r="H1524" s="9"/>
      <c r="I1524" s="9" t="s">
        <v>14</v>
      </c>
    </row>
    <row r="1525" spans="1:9" x14ac:dyDescent="0.25">
      <c r="A1525" s="7" t="s">
        <v>1443</v>
      </c>
      <c r="B1525" s="7" t="s">
        <v>1568</v>
      </c>
      <c r="C1525" s="7" t="s">
        <v>1445</v>
      </c>
      <c r="D1525" s="8" t="s">
        <v>1569</v>
      </c>
      <c r="E1525" s="9" t="s">
        <v>14</v>
      </c>
      <c r="F1525" s="9"/>
      <c r="G1525" s="9"/>
      <c r="H1525" s="9"/>
      <c r="I1525" s="9" t="s">
        <v>14</v>
      </c>
    </row>
    <row r="1526" spans="1:9" x14ac:dyDescent="0.25">
      <c r="A1526" s="7" t="s">
        <v>1443</v>
      </c>
      <c r="B1526" s="7" t="s">
        <v>1570</v>
      </c>
      <c r="C1526" s="7" t="s">
        <v>1445</v>
      </c>
      <c r="D1526" s="8" t="s">
        <v>477</v>
      </c>
      <c r="E1526" s="9" t="s">
        <v>14</v>
      </c>
      <c r="F1526" s="9"/>
      <c r="G1526" s="9"/>
      <c r="H1526" s="9"/>
      <c r="I1526" s="9" t="s">
        <v>14</v>
      </c>
    </row>
    <row r="1527" spans="1:9" x14ac:dyDescent="0.25">
      <c r="A1527" s="7" t="s">
        <v>1443</v>
      </c>
      <c r="B1527" s="7" t="s">
        <v>1571</v>
      </c>
      <c r="C1527" s="7" t="s">
        <v>1445</v>
      </c>
      <c r="D1527" s="8" t="s">
        <v>118</v>
      </c>
      <c r="E1527" s="9" t="s">
        <v>14</v>
      </c>
      <c r="F1527" s="9"/>
      <c r="G1527" s="9"/>
      <c r="H1527" s="9"/>
      <c r="I1527" s="9" t="s">
        <v>14</v>
      </c>
    </row>
    <row r="1528" spans="1:9" x14ac:dyDescent="0.25">
      <c r="A1528" s="7" t="s">
        <v>1443</v>
      </c>
      <c r="B1528" s="7" t="s">
        <v>1572</v>
      </c>
      <c r="C1528" s="7" t="s">
        <v>1445</v>
      </c>
      <c r="D1528" s="8" t="s">
        <v>1573</v>
      </c>
      <c r="E1528" s="9" t="s">
        <v>14</v>
      </c>
      <c r="F1528" s="9"/>
      <c r="G1528" s="9"/>
      <c r="H1528" s="9"/>
      <c r="I1528" s="9" t="s">
        <v>14</v>
      </c>
    </row>
    <row r="1529" spans="1:9" x14ac:dyDescent="0.25">
      <c r="A1529" s="7" t="s">
        <v>1443</v>
      </c>
      <c r="B1529" s="7" t="s">
        <v>1574</v>
      </c>
      <c r="C1529" s="7" t="s">
        <v>1445</v>
      </c>
      <c r="D1529" s="8" t="s">
        <v>1575</v>
      </c>
      <c r="E1529" s="9" t="s">
        <v>14</v>
      </c>
      <c r="F1529" s="9"/>
      <c r="G1529" s="9"/>
      <c r="H1529" s="9"/>
      <c r="I1529" s="9" t="s">
        <v>14</v>
      </c>
    </row>
    <row r="1530" spans="1:9" x14ac:dyDescent="0.25">
      <c r="A1530" s="7" t="s">
        <v>1443</v>
      </c>
      <c r="B1530" s="7" t="s">
        <v>1576</v>
      </c>
      <c r="C1530" s="8" t="s">
        <v>1445</v>
      </c>
      <c r="D1530" s="8" t="s">
        <v>530</v>
      </c>
      <c r="E1530" s="9" t="s">
        <v>14</v>
      </c>
      <c r="F1530" s="9"/>
      <c r="G1530" s="9"/>
      <c r="H1530" s="9"/>
      <c r="I1530" s="9" t="s">
        <v>14</v>
      </c>
    </row>
    <row r="1531" spans="1:9" x14ac:dyDescent="0.25">
      <c r="A1531" s="7" t="s">
        <v>1443</v>
      </c>
      <c r="B1531" s="7" t="s">
        <v>1577</v>
      </c>
      <c r="C1531" s="8" t="s">
        <v>1445</v>
      </c>
      <c r="D1531" s="8" t="s">
        <v>1578</v>
      </c>
      <c r="E1531" s="9" t="s">
        <v>14</v>
      </c>
      <c r="F1531" s="9"/>
      <c r="G1531" s="9"/>
      <c r="H1531" s="9"/>
      <c r="I1531" s="9" t="s">
        <v>14</v>
      </c>
    </row>
    <row r="1532" spans="1:9" x14ac:dyDescent="0.25">
      <c r="A1532" s="7" t="s">
        <v>1443</v>
      </c>
      <c r="B1532" s="7" t="s">
        <v>1579</v>
      </c>
      <c r="C1532" s="8" t="s">
        <v>1445</v>
      </c>
      <c r="D1532" s="8" t="s">
        <v>1580</v>
      </c>
      <c r="E1532" s="9" t="s">
        <v>14</v>
      </c>
      <c r="F1532" s="9"/>
      <c r="G1532" s="9"/>
      <c r="H1532" s="9"/>
      <c r="I1532" s="9" t="s">
        <v>14</v>
      </c>
    </row>
    <row r="1533" spans="1:9" x14ac:dyDescent="0.25">
      <c r="A1533" s="7" t="s">
        <v>1443</v>
      </c>
      <c r="B1533" s="7" t="s">
        <v>1581</v>
      </c>
      <c r="C1533" s="7" t="s">
        <v>1445</v>
      </c>
      <c r="D1533" s="8" t="s">
        <v>650</v>
      </c>
      <c r="E1533" s="9" t="s">
        <v>14</v>
      </c>
      <c r="F1533" s="9"/>
      <c r="G1533" s="9"/>
      <c r="H1533" s="9"/>
      <c r="I1533" s="9" t="s">
        <v>14</v>
      </c>
    </row>
    <row r="1534" spans="1:9" x14ac:dyDescent="0.25">
      <c r="A1534" s="7" t="s">
        <v>1443</v>
      </c>
      <c r="B1534" s="7" t="s">
        <v>1582</v>
      </c>
      <c r="C1534" s="7" t="s">
        <v>1445</v>
      </c>
      <c r="D1534" s="8" t="s">
        <v>1583</v>
      </c>
      <c r="E1534" s="9" t="s">
        <v>14</v>
      </c>
      <c r="F1534" s="9"/>
      <c r="G1534" s="9"/>
      <c r="H1534" s="9"/>
      <c r="I1534" s="9" t="s">
        <v>14</v>
      </c>
    </row>
    <row r="1535" spans="1:9" x14ac:dyDescent="0.25">
      <c r="A1535" s="7" t="s">
        <v>1443</v>
      </c>
      <c r="B1535" s="7" t="s">
        <v>1584</v>
      </c>
      <c r="C1535" s="7" t="s">
        <v>1445</v>
      </c>
      <c r="D1535" s="8" t="s">
        <v>1585</v>
      </c>
      <c r="E1535" s="9" t="s">
        <v>14</v>
      </c>
      <c r="F1535" s="9"/>
      <c r="G1535" s="9"/>
      <c r="H1535" s="9"/>
      <c r="I1535" s="9" t="s">
        <v>14</v>
      </c>
    </row>
    <row r="1536" spans="1:9" x14ac:dyDescent="0.25">
      <c r="A1536" s="7" t="s">
        <v>1443</v>
      </c>
      <c r="B1536" s="7" t="s">
        <v>1586</v>
      </c>
      <c r="C1536" s="8" t="s">
        <v>1445</v>
      </c>
      <c r="D1536" s="8" t="s">
        <v>243</v>
      </c>
      <c r="E1536" s="9" t="s">
        <v>14</v>
      </c>
      <c r="F1536" s="9"/>
      <c r="G1536" s="9"/>
      <c r="H1536" s="9"/>
      <c r="I1536" s="9" t="s">
        <v>14</v>
      </c>
    </row>
    <row r="1537" spans="1:9" x14ac:dyDescent="0.25">
      <c r="A1537" s="7" t="s">
        <v>1443</v>
      </c>
      <c r="B1537" s="7" t="s">
        <v>1587</v>
      </c>
      <c r="C1537" s="7" t="s">
        <v>1445</v>
      </c>
      <c r="D1537" s="8" t="s">
        <v>1588</v>
      </c>
      <c r="E1537" s="9" t="s">
        <v>14</v>
      </c>
      <c r="F1537" s="9"/>
      <c r="G1537" s="9"/>
      <c r="H1537" s="9"/>
      <c r="I1537" s="9" t="s">
        <v>14</v>
      </c>
    </row>
    <row r="1538" spans="1:9" x14ac:dyDescent="0.25">
      <c r="A1538" s="7" t="s">
        <v>1443</v>
      </c>
      <c r="B1538" s="7" t="s">
        <v>1589</v>
      </c>
      <c r="C1538" s="7" t="s">
        <v>1445</v>
      </c>
      <c r="D1538" s="8" t="s">
        <v>1590</v>
      </c>
      <c r="E1538" s="9" t="s">
        <v>14</v>
      </c>
      <c r="F1538" s="9"/>
      <c r="G1538" s="9"/>
      <c r="H1538" s="9"/>
      <c r="I1538" s="9" t="s">
        <v>14</v>
      </c>
    </row>
    <row r="1539" spans="1:9" x14ac:dyDescent="0.25">
      <c r="A1539" s="7" t="s">
        <v>1443</v>
      </c>
      <c r="B1539" s="7" t="s">
        <v>1591</v>
      </c>
      <c r="C1539" s="7" t="s">
        <v>1445</v>
      </c>
      <c r="D1539" s="8" t="s">
        <v>1592</v>
      </c>
      <c r="E1539" s="9" t="s">
        <v>14</v>
      </c>
      <c r="F1539" s="9"/>
      <c r="G1539" s="9"/>
      <c r="H1539" s="9"/>
      <c r="I1539" s="9" t="s">
        <v>14</v>
      </c>
    </row>
    <row r="1540" spans="1:9" x14ac:dyDescent="0.25">
      <c r="A1540" s="7" t="s">
        <v>1443</v>
      </c>
      <c r="B1540" s="7" t="s">
        <v>1593</v>
      </c>
      <c r="C1540" s="7" t="s">
        <v>1445</v>
      </c>
      <c r="D1540" s="8" t="s">
        <v>538</v>
      </c>
      <c r="E1540" s="9" t="s">
        <v>14</v>
      </c>
      <c r="F1540" s="9"/>
      <c r="G1540" s="9"/>
      <c r="H1540" s="9"/>
      <c r="I1540" s="9" t="s">
        <v>14</v>
      </c>
    </row>
    <row r="1541" spans="1:9" x14ac:dyDescent="0.25">
      <c r="A1541" s="7" t="s">
        <v>1443</v>
      </c>
      <c r="B1541" s="7" t="s">
        <v>1594</v>
      </c>
      <c r="C1541" s="8" t="s">
        <v>1445</v>
      </c>
      <c r="D1541" s="8" t="s">
        <v>1595</v>
      </c>
      <c r="E1541" s="9" t="s">
        <v>14</v>
      </c>
      <c r="F1541" s="9"/>
      <c r="G1541" s="9"/>
      <c r="H1541" s="9"/>
      <c r="I1541" s="9" t="s">
        <v>14</v>
      </c>
    </row>
    <row r="1542" spans="1:9" x14ac:dyDescent="0.25">
      <c r="A1542" s="7" t="s">
        <v>1443</v>
      </c>
      <c r="B1542" s="7" t="s">
        <v>1596</v>
      </c>
      <c r="C1542" s="8" t="s">
        <v>1445</v>
      </c>
      <c r="D1542" s="8" t="s">
        <v>1597</v>
      </c>
      <c r="E1542" s="9" t="s">
        <v>14</v>
      </c>
      <c r="F1542" s="9"/>
      <c r="G1542" s="9"/>
      <c r="H1542" s="9"/>
      <c r="I1542" s="9" t="s">
        <v>14</v>
      </c>
    </row>
    <row r="1543" spans="1:9" x14ac:dyDescent="0.25">
      <c r="A1543" s="7" t="s">
        <v>1443</v>
      </c>
      <c r="B1543" s="7" t="s">
        <v>1598</v>
      </c>
      <c r="C1543" s="7" t="s">
        <v>1445</v>
      </c>
      <c r="D1543" s="8" t="s">
        <v>488</v>
      </c>
      <c r="E1543" s="9" t="s">
        <v>14</v>
      </c>
      <c r="F1543" s="9"/>
      <c r="G1543" s="9"/>
      <c r="H1543" s="9"/>
      <c r="I1543" s="9" t="s">
        <v>14</v>
      </c>
    </row>
    <row r="1544" spans="1:9" x14ac:dyDescent="0.25">
      <c r="A1544" s="7" t="s">
        <v>1443</v>
      </c>
      <c r="B1544" s="7" t="s">
        <v>1599</v>
      </c>
      <c r="C1544" s="7" t="s">
        <v>1445</v>
      </c>
      <c r="D1544" s="8" t="s">
        <v>532</v>
      </c>
      <c r="E1544" s="9" t="s">
        <v>14</v>
      </c>
      <c r="F1544" s="9"/>
      <c r="G1544" s="9"/>
      <c r="H1544" s="9"/>
      <c r="I1544" s="9" t="s">
        <v>14</v>
      </c>
    </row>
    <row r="1545" spans="1:9" x14ac:dyDescent="0.25">
      <c r="A1545" s="7" t="s">
        <v>1443</v>
      </c>
      <c r="B1545" s="7" t="s">
        <v>1600</v>
      </c>
      <c r="C1545" s="7" t="s">
        <v>1445</v>
      </c>
      <c r="D1545" s="8" t="s">
        <v>1601</v>
      </c>
      <c r="E1545" s="9" t="s">
        <v>14</v>
      </c>
      <c r="F1545" s="9"/>
      <c r="G1545" s="9"/>
      <c r="H1545" s="9"/>
      <c r="I1545" s="9" t="s">
        <v>14</v>
      </c>
    </row>
    <row r="1546" spans="1:9" x14ac:dyDescent="0.25">
      <c r="A1546" s="7" t="s">
        <v>1443</v>
      </c>
      <c r="B1546" s="7" t="s">
        <v>1602</v>
      </c>
      <c r="C1546" s="7" t="s">
        <v>1445</v>
      </c>
      <c r="D1546" s="8" t="s">
        <v>1603</v>
      </c>
      <c r="E1546" s="9" t="s">
        <v>14</v>
      </c>
      <c r="F1546" s="9"/>
      <c r="G1546" s="9"/>
      <c r="H1546" s="9"/>
      <c r="I1546" s="9" t="s">
        <v>14</v>
      </c>
    </row>
    <row r="1547" spans="1:9" x14ac:dyDescent="0.25">
      <c r="A1547" s="7" t="s">
        <v>1443</v>
      </c>
      <c r="B1547" s="7" t="s">
        <v>1604</v>
      </c>
      <c r="C1547" s="7" t="s">
        <v>1445</v>
      </c>
      <c r="D1547" s="8" t="s">
        <v>465</v>
      </c>
      <c r="E1547" s="9" t="s">
        <v>14</v>
      </c>
      <c r="F1547" s="9"/>
      <c r="G1547" s="9"/>
      <c r="H1547" s="9"/>
      <c r="I1547" s="9" t="s">
        <v>14</v>
      </c>
    </row>
    <row r="1548" spans="1:9" x14ac:dyDescent="0.25">
      <c r="A1548" s="7" t="s">
        <v>1443</v>
      </c>
      <c r="B1548" s="7" t="s">
        <v>1605</v>
      </c>
      <c r="C1548" s="7" t="s">
        <v>1445</v>
      </c>
      <c r="D1548" s="8" t="s">
        <v>541</v>
      </c>
      <c r="E1548" s="9" t="s">
        <v>14</v>
      </c>
      <c r="F1548" s="9"/>
      <c r="G1548" s="9"/>
      <c r="H1548" s="9"/>
      <c r="I1548" s="9" t="s">
        <v>14</v>
      </c>
    </row>
    <row r="1549" spans="1:9" x14ac:dyDescent="0.25">
      <c r="A1549" s="7" t="s">
        <v>1443</v>
      </c>
      <c r="B1549" s="7" t="s">
        <v>1606</v>
      </c>
      <c r="C1549" s="8" t="s">
        <v>1445</v>
      </c>
      <c r="D1549" s="8" t="s">
        <v>1607</v>
      </c>
      <c r="E1549" s="9" t="s">
        <v>14</v>
      </c>
      <c r="F1549" s="9"/>
      <c r="G1549" s="9"/>
      <c r="H1549" s="9"/>
      <c r="I1549" s="9" t="s">
        <v>14</v>
      </c>
    </row>
    <row r="1550" spans="1:9" x14ac:dyDescent="0.25">
      <c r="A1550" s="7" t="s">
        <v>1443</v>
      </c>
      <c r="B1550" s="7" t="s">
        <v>1608</v>
      </c>
      <c r="C1550" s="8" t="s">
        <v>1445</v>
      </c>
      <c r="D1550" s="8" t="s">
        <v>1609</v>
      </c>
      <c r="E1550" s="9" t="s">
        <v>14</v>
      </c>
      <c r="F1550" s="9"/>
      <c r="G1550" s="9"/>
      <c r="H1550" s="9"/>
      <c r="I1550" s="9" t="s">
        <v>14</v>
      </c>
    </row>
    <row r="1551" spans="1:9" x14ac:dyDescent="0.25">
      <c r="A1551" s="7" t="s">
        <v>1443</v>
      </c>
      <c r="B1551" s="7" t="s">
        <v>1610</v>
      </c>
      <c r="C1551" s="7" t="s">
        <v>1445</v>
      </c>
      <c r="D1551" s="8" t="s">
        <v>1611</v>
      </c>
      <c r="E1551" s="9" t="s">
        <v>14</v>
      </c>
      <c r="F1551" s="9"/>
      <c r="G1551" s="9"/>
      <c r="H1551" s="9"/>
      <c r="I1551" s="9" t="s">
        <v>14</v>
      </c>
    </row>
    <row r="1552" spans="1:9" x14ac:dyDescent="0.25">
      <c r="A1552" s="7" t="s">
        <v>1443</v>
      </c>
      <c r="B1552" s="7" t="s">
        <v>1612</v>
      </c>
      <c r="C1552" s="7" t="s">
        <v>1445</v>
      </c>
      <c r="D1552" s="8" t="s">
        <v>1613</v>
      </c>
      <c r="E1552" s="9" t="s">
        <v>14</v>
      </c>
      <c r="F1552" s="9"/>
      <c r="G1552" s="9"/>
      <c r="H1552" s="9"/>
      <c r="I1552" s="9" t="s">
        <v>14</v>
      </c>
    </row>
    <row r="1553" spans="1:9" x14ac:dyDescent="0.25">
      <c r="A1553" s="7" t="s">
        <v>1614</v>
      </c>
      <c r="B1553" s="7" t="s">
        <v>1615</v>
      </c>
      <c r="C1553" s="8" t="s">
        <v>1616</v>
      </c>
      <c r="D1553" s="8" t="s">
        <v>1545</v>
      </c>
      <c r="E1553" s="9" t="s">
        <v>14</v>
      </c>
      <c r="F1553" s="9"/>
      <c r="G1553" s="9"/>
      <c r="H1553" s="9"/>
      <c r="I1553" s="9" t="s">
        <v>14</v>
      </c>
    </row>
    <row r="1554" spans="1:9" x14ac:dyDescent="0.25">
      <c r="A1554" s="7" t="s">
        <v>1614</v>
      </c>
      <c r="B1554" s="7" t="s">
        <v>1617</v>
      </c>
      <c r="C1554" s="8" t="s">
        <v>1616</v>
      </c>
      <c r="D1554" s="8" t="s">
        <v>1564</v>
      </c>
      <c r="E1554" s="9" t="s">
        <v>14</v>
      </c>
      <c r="F1554" s="9"/>
      <c r="G1554" s="9"/>
      <c r="H1554" s="9"/>
      <c r="I1554" s="9" t="s">
        <v>14</v>
      </c>
    </row>
    <row r="1555" spans="1:9" x14ac:dyDescent="0.25">
      <c r="A1555" s="7" t="s">
        <v>1614</v>
      </c>
      <c r="B1555" s="7" t="s">
        <v>1618</v>
      </c>
      <c r="C1555" s="8" t="s">
        <v>1616</v>
      </c>
      <c r="D1555" s="8" t="s">
        <v>1555</v>
      </c>
      <c r="E1555" s="9" t="s">
        <v>14</v>
      </c>
      <c r="F1555" s="9"/>
      <c r="G1555" s="9"/>
      <c r="H1555" s="9"/>
      <c r="I1555" s="9" t="s">
        <v>14</v>
      </c>
    </row>
    <row r="1556" spans="1:9" x14ac:dyDescent="0.25">
      <c r="A1556" s="7" t="s">
        <v>1614</v>
      </c>
      <c r="B1556" s="7" t="s">
        <v>1619</v>
      </c>
      <c r="C1556" s="7" t="s">
        <v>1616</v>
      </c>
      <c r="D1556" s="8" t="s">
        <v>420</v>
      </c>
      <c r="E1556" s="9" t="s">
        <v>14</v>
      </c>
      <c r="F1556" s="9"/>
      <c r="G1556" s="9"/>
      <c r="H1556" s="9"/>
      <c r="I1556" s="9" t="s">
        <v>14</v>
      </c>
    </row>
    <row r="1557" spans="1:9" x14ac:dyDescent="0.25">
      <c r="A1557" s="7" t="s">
        <v>1614</v>
      </c>
      <c r="B1557" s="7" t="s">
        <v>1620</v>
      </c>
      <c r="C1557" s="8" t="s">
        <v>1616</v>
      </c>
      <c r="D1557" s="8" t="s">
        <v>417</v>
      </c>
      <c r="E1557" s="9" t="s">
        <v>14</v>
      </c>
      <c r="F1557" s="9"/>
      <c r="G1557" s="9"/>
      <c r="H1557" s="9"/>
      <c r="I1557" s="9" t="s">
        <v>14</v>
      </c>
    </row>
    <row r="1558" spans="1:9" x14ac:dyDescent="0.25">
      <c r="A1558" s="7" t="s">
        <v>1614</v>
      </c>
      <c r="B1558" s="7" t="s">
        <v>1621</v>
      </c>
      <c r="C1558" s="8" t="s">
        <v>1616</v>
      </c>
      <c r="D1558" s="8" t="s">
        <v>1622</v>
      </c>
      <c r="E1558" s="9" t="s">
        <v>14</v>
      </c>
      <c r="F1558" s="9"/>
      <c r="G1558" s="9"/>
      <c r="H1558" s="9"/>
      <c r="I1558" s="9" t="s">
        <v>14</v>
      </c>
    </row>
    <row r="1559" spans="1:9" x14ac:dyDescent="0.25">
      <c r="A1559" s="7" t="s">
        <v>1614</v>
      </c>
      <c r="B1559" s="7" t="s">
        <v>1623</v>
      </c>
      <c r="C1559" s="7" t="s">
        <v>1616</v>
      </c>
      <c r="D1559" s="8" t="s">
        <v>1624</v>
      </c>
      <c r="E1559" s="9" t="s">
        <v>14</v>
      </c>
      <c r="F1559" s="9"/>
      <c r="G1559" s="9"/>
      <c r="H1559" s="9"/>
      <c r="I1559" s="9" t="s">
        <v>14</v>
      </c>
    </row>
    <row r="1560" spans="1:9" x14ac:dyDescent="0.25">
      <c r="A1560" s="7" t="s">
        <v>1614</v>
      </c>
      <c r="B1560" s="7" t="s">
        <v>1625</v>
      </c>
      <c r="C1560" s="8" t="s">
        <v>1616</v>
      </c>
      <c r="D1560" s="8" t="s">
        <v>1580</v>
      </c>
      <c r="E1560" s="9" t="s">
        <v>14</v>
      </c>
      <c r="F1560" s="9"/>
      <c r="G1560" s="9"/>
      <c r="H1560" s="9"/>
      <c r="I1560" s="9" t="s">
        <v>14</v>
      </c>
    </row>
    <row r="1561" spans="1:9" x14ac:dyDescent="0.25">
      <c r="A1561" s="7" t="s">
        <v>1614</v>
      </c>
      <c r="B1561" s="7" t="s">
        <v>1626</v>
      </c>
      <c r="C1561" s="8" t="s">
        <v>1616</v>
      </c>
      <c r="D1561" s="8" t="s">
        <v>1575</v>
      </c>
      <c r="E1561" s="9" t="s">
        <v>14</v>
      </c>
      <c r="F1561" s="9"/>
      <c r="G1561" s="9"/>
      <c r="H1561" s="9"/>
      <c r="I1561" s="9" t="s">
        <v>14</v>
      </c>
    </row>
    <row r="1562" spans="1:9" x14ac:dyDescent="0.25">
      <c r="A1562" s="7" t="s">
        <v>1614</v>
      </c>
      <c r="B1562" s="7" t="s">
        <v>1627</v>
      </c>
      <c r="C1562" s="8" t="s">
        <v>1616</v>
      </c>
      <c r="D1562" s="8" t="s">
        <v>1628</v>
      </c>
      <c r="E1562" s="9" t="s">
        <v>14</v>
      </c>
      <c r="F1562" s="9"/>
      <c r="G1562" s="9"/>
      <c r="H1562" s="9"/>
      <c r="I1562" s="9" t="s">
        <v>14</v>
      </c>
    </row>
    <row r="1563" spans="1:9" x14ac:dyDescent="0.25">
      <c r="A1563" s="7" t="s">
        <v>1614</v>
      </c>
      <c r="B1563" s="7" t="s">
        <v>1629</v>
      </c>
      <c r="C1563" s="8" t="s">
        <v>1616</v>
      </c>
      <c r="D1563" s="8" t="s">
        <v>1630</v>
      </c>
      <c r="E1563" s="9" t="s">
        <v>14</v>
      </c>
      <c r="F1563" s="9"/>
      <c r="G1563" s="9"/>
      <c r="H1563" s="9"/>
      <c r="I1563" s="9" t="s">
        <v>14</v>
      </c>
    </row>
    <row r="1564" spans="1:9" x14ac:dyDescent="0.25">
      <c r="A1564" s="7" t="s">
        <v>1614</v>
      </c>
      <c r="B1564" s="7" t="s">
        <v>1631</v>
      </c>
      <c r="C1564" s="7" t="s">
        <v>1616</v>
      </c>
      <c r="D1564" s="8" t="s">
        <v>1632</v>
      </c>
      <c r="E1564" s="9" t="s">
        <v>14</v>
      </c>
      <c r="F1564" s="9"/>
      <c r="G1564" s="9"/>
      <c r="H1564" s="9"/>
      <c r="I1564" s="9" t="s">
        <v>14</v>
      </c>
    </row>
    <row r="1565" spans="1:9" x14ac:dyDescent="0.25">
      <c r="A1565" s="7" t="s">
        <v>1614</v>
      </c>
      <c r="B1565" s="7" t="s">
        <v>1633</v>
      </c>
      <c r="C1565" s="7" t="s">
        <v>1616</v>
      </c>
      <c r="D1565" s="8" t="s">
        <v>1634</v>
      </c>
      <c r="E1565" s="9" t="s">
        <v>14</v>
      </c>
      <c r="F1565" s="9"/>
      <c r="G1565" s="9"/>
      <c r="H1565" s="9"/>
      <c r="I1565" s="9" t="s">
        <v>14</v>
      </c>
    </row>
    <row r="1566" spans="1:9" x14ac:dyDescent="0.25">
      <c r="A1566" s="7" t="s">
        <v>1614</v>
      </c>
      <c r="B1566" s="7" t="s">
        <v>1635</v>
      </c>
      <c r="C1566" s="8" t="s">
        <v>1616</v>
      </c>
      <c r="D1566" s="8" t="s">
        <v>1636</v>
      </c>
      <c r="E1566" s="9" t="s">
        <v>14</v>
      </c>
      <c r="F1566" s="9"/>
      <c r="G1566" s="9"/>
      <c r="H1566" s="9"/>
      <c r="I1566" s="9" t="s">
        <v>14</v>
      </c>
    </row>
    <row r="1567" spans="1:9" x14ac:dyDescent="0.25">
      <c r="A1567" s="7" t="s">
        <v>1614</v>
      </c>
      <c r="B1567" s="7" t="s">
        <v>1637</v>
      </c>
      <c r="C1567" s="7" t="s">
        <v>1616</v>
      </c>
      <c r="D1567" s="8" t="s">
        <v>1550</v>
      </c>
      <c r="E1567" s="9" t="s">
        <v>14</v>
      </c>
      <c r="F1567" s="9"/>
      <c r="G1567" s="9"/>
      <c r="H1567" s="9"/>
      <c r="I1567" s="9" t="s">
        <v>14</v>
      </c>
    </row>
    <row r="1568" spans="1:9" x14ac:dyDescent="0.25">
      <c r="A1568" s="7" t="s">
        <v>1614</v>
      </c>
      <c r="B1568" s="7" t="s">
        <v>1638</v>
      </c>
      <c r="C1568" s="7" t="s">
        <v>1616</v>
      </c>
      <c r="D1568" s="8" t="s">
        <v>1639</v>
      </c>
      <c r="E1568" s="9" t="s">
        <v>14</v>
      </c>
      <c r="F1568" s="9"/>
      <c r="G1568" s="9"/>
      <c r="H1568" s="9"/>
      <c r="I1568" s="9" t="s">
        <v>14</v>
      </c>
    </row>
    <row r="1569" spans="1:9" x14ac:dyDescent="0.25">
      <c r="A1569" s="7" t="s">
        <v>1614</v>
      </c>
      <c r="B1569" s="7" t="s">
        <v>1640</v>
      </c>
      <c r="C1569" s="8" t="s">
        <v>1616</v>
      </c>
      <c r="D1569" s="8" t="s">
        <v>1641</v>
      </c>
      <c r="E1569" s="9" t="s">
        <v>14</v>
      </c>
      <c r="F1569" s="9"/>
      <c r="G1569" s="9"/>
      <c r="H1569" s="9"/>
      <c r="I1569" s="9" t="s">
        <v>14</v>
      </c>
    </row>
    <row r="1570" spans="1:9" x14ac:dyDescent="0.25">
      <c r="A1570" s="7" t="s">
        <v>1614</v>
      </c>
      <c r="B1570" s="7" t="s">
        <v>1642</v>
      </c>
      <c r="C1570" s="8" t="s">
        <v>1616</v>
      </c>
      <c r="D1570" s="8" t="s">
        <v>1643</v>
      </c>
      <c r="E1570" s="9" t="s">
        <v>14</v>
      </c>
      <c r="F1570" s="9"/>
      <c r="G1570" s="9"/>
      <c r="H1570" s="9"/>
      <c r="I1570" s="9" t="s">
        <v>14</v>
      </c>
    </row>
    <row r="1571" spans="1:9" x14ac:dyDescent="0.25">
      <c r="A1571" s="7" t="s">
        <v>1614</v>
      </c>
      <c r="B1571" s="7" t="s">
        <v>1644</v>
      </c>
      <c r="C1571" s="8" t="s">
        <v>1616</v>
      </c>
      <c r="D1571" s="8" t="s">
        <v>1645</v>
      </c>
      <c r="E1571" s="9" t="s">
        <v>14</v>
      </c>
      <c r="F1571" s="9"/>
      <c r="G1571" s="9"/>
      <c r="H1571" s="9"/>
      <c r="I1571" s="9" t="s">
        <v>14</v>
      </c>
    </row>
    <row r="1572" spans="1:9" x14ac:dyDescent="0.25">
      <c r="A1572" s="7" t="s">
        <v>1614</v>
      </c>
      <c r="B1572" s="7" t="s">
        <v>1646</v>
      </c>
      <c r="C1572" s="8" t="s">
        <v>1616</v>
      </c>
      <c r="D1572" s="8" t="s">
        <v>1647</v>
      </c>
      <c r="E1572" s="9" t="s">
        <v>14</v>
      </c>
      <c r="F1572" s="9"/>
      <c r="G1572" s="9"/>
      <c r="H1572" s="9"/>
      <c r="I1572" s="9" t="s">
        <v>14</v>
      </c>
    </row>
    <row r="1573" spans="1:9" x14ac:dyDescent="0.25">
      <c r="A1573" s="7" t="s">
        <v>1614</v>
      </c>
      <c r="B1573" s="7" t="s">
        <v>1648</v>
      </c>
      <c r="C1573" s="8" t="s">
        <v>1616</v>
      </c>
      <c r="D1573" s="8" t="s">
        <v>1649</v>
      </c>
      <c r="E1573" s="9" t="s">
        <v>14</v>
      </c>
      <c r="F1573" s="9"/>
      <c r="G1573" s="9"/>
      <c r="H1573" s="9"/>
      <c r="I1573" s="9" t="s">
        <v>14</v>
      </c>
    </row>
    <row r="1574" spans="1:9" x14ac:dyDescent="0.25">
      <c r="A1574" s="7" t="s">
        <v>1614</v>
      </c>
      <c r="B1574" s="7" t="s">
        <v>1650</v>
      </c>
      <c r="C1574" s="7" t="s">
        <v>1616</v>
      </c>
      <c r="D1574" s="8" t="s">
        <v>1651</v>
      </c>
      <c r="E1574" s="9" t="s">
        <v>14</v>
      </c>
      <c r="F1574" s="9"/>
      <c r="G1574" s="9"/>
      <c r="H1574" s="9"/>
      <c r="I1574" s="9" t="s">
        <v>14</v>
      </c>
    </row>
    <row r="1575" spans="1:9" x14ac:dyDescent="0.25">
      <c r="A1575" s="7" t="s">
        <v>1614</v>
      </c>
      <c r="B1575" s="7" t="s">
        <v>1652</v>
      </c>
      <c r="C1575" s="8" t="s">
        <v>1616</v>
      </c>
      <c r="D1575" s="8" t="s">
        <v>1653</v>
      </c>
      <c r="E1575" s="9" t="s">
        <v>14</v>
      </c>
      <c r="F1575" s="9"/>
      <c r="G1575" s="9"/>
      <c r="H1575" s="9"/>
      <c r="I1575" s="9" t="s">
        <v>14</v>
      </c>
    </row>
    <row r="1576" spans="1:9" x14ac:dyDescent="0.25">
      <c r="A1576" s="7" t="s">
        <v>1614</v>
      </c>
      <c r="B1576" s="7" t="s">
        <v>1654</v>
      </c>
      <c r="C1576" s="7" t="s">
        <v>1616</v>
      </c>
      <c r="D1576" s="8" t="s">
        <v>1655</v>
      </c>
      <c r="E1576" s="9" t="s">
        <v>14</v>
      </c>
      <c r="F1576" s="9"/>
      <c r="G1576" s="9"/>
      <c r="H1576" s="9"/>
      <c r="I1576" s="9" t="s">
        <v>14</v>
      </c>
    </row>
    <row r="1577" spans="1:9" x14ac:dyDescent="0.25">
      <c r="A1577" s="7" t="s">
        <v>1614</v>
      </c>
      <c r="B1577" s="7" t="s">
        <v>1656</v>
      </c>
      <c r="C1577" s="7" t="s">
        <v>1616</v>
      </c>
      <c r="D1577" s="8" t="s">
        <v>1540</v>
      </c>
      <c r="E1577" s="9" t="s">
        <v>14</v>
      </c>
      <c r="F1577" s="9"/>
      <c r="G1577" s="9"/>
      <c r="H1577" s="9"/>
      <c r="I1577" s="9" t="s">
        <v>14</v>
      </c>
    </row>
    <row r="1578" spans="1:9" x14ac:dyDescent="0.25">
      <c r="A1578" s="7" t="s">
        <v>1614</v>
      </c>
      <c r="B1578" s="7" t="s">
        <v>1657</v>
      </c>
      <c r="C1578" s="7" t="s">
        <v>1616</v>
      </c>
      <c r="D1578" s="8" t="s">
        <v>1658</v>
      </c>
      <c r="E1578" s="9" t="s">
        <v>14</v>
      </c>
      <c r="F1578" s="9"/>
      <c r="G1578" s="9"/>
      <c r="H1578" s="9"/>
      <c r="I1578" s="9" t="s">
        <v>14</v>
      </c>
    </row>
    <row r="1579" spans="1:9" x14ac:dyDescent="0.25">
      <c r="A1579" s="7" t="s">
        <v>1614</v>
      </c>
      <c r="B1579" s="7" t="s">
        <v>1659</v>
      </c>
      <c r="C1579" s="8" t="s">
        <v>1616</v>
      </c>
      <c r="D1579" s="8" t="s">
        <v>1660</v>
      </c>
      <c r="E1579" s="9" t="s">
        <v>14</v>
      </c>
      <c r="F1579" s="9"/>
      <c r="G1579" s="9"/>
      <c r="H1579" s="9"/>
      <c r="I1579" s="9" t="s">
        <v>14</v>
      </c>
    </row>
    <row r="1580" spans="1:9" x14ac:dyDescent="0.25">
      <c r="A1580" s="7" t="s">
        <v>1614</v>
      </c>
      <c r="B1580" s="7" t="s">
        <v>1661</v>
      </c>
      <c r="C1580" s="7" t="s">
        <v>1616</v>
      </c>
      <c r="D1580" s="8" t="s">
        <v>1585</v>
      </c>
      <c r="E1580" s="9" t="s">
        <v>14</v>
      </c>
      <c r="F1580" s="9"/>
      <c r="G1580" s="9"/>
      <c r="H1580" s="9"/>
      <c r="I1580" s="9" t="s">
        <v>14</v>
      </c>
    </row>
    <row r="1581" spans="1:9" x14ac:dyDescent="0.25">
      <c r="A1581" s="7" t="s">
        <v>1614</v>
      </c>
      <c r="B1581" s="7" t="s">
        <v>1662</v>
      </c>
      <c r="C1581" s="8" t="s">
        <v>1616</v>
      </c>
      <c r="D1581" s="8" t="s">
        <v>1547</v>
      </c>
      <c r="E1581" s="9" t="s">
        <v>14</v>
      </c>
      <c r="F1581" s="9"/>
      <c r="G1581" s="9"/>
      <c r="H1581" s="9"/>
      <c r="I1581" s="9" t="s">
        <v>14</v>
      </c>
    </row>
    <row r="1582" spans="1:9" x14ac:dyDescent="0.25">
      <c r="A1582" s="7" t="s">
        <v>1614</v>
      </c>
      <c r="B1582" s="7" t="s">
        <v>1663</v>
      </c>
      <c r="C1582" s="7" t="s">
        <v>1616</v>
      </c>
      <c r="D1582" s="8" t="s">
        <v>1664</v>
      </c>
      <c r="E1582" s="9" t="s">
        <v>14</v>
      </c>
      <c r="F1582" s="9"/>
      <c r="G1582" s="9"/>
      <c r="H1582" s="9"/>
      <c r="I1582" s="9" t="s">
        <v>14</v>
      </c>
    </row>
    <row r="1583" spans="1:9" x14ac:dyDescent="0.25">
      <c r="A1583" s="7" t="s">
        <v>1614</v>
      </c>
      <c r="B1583" s="7" t="s">
        <v>1665</v>
      </c>
      <c r="C1583" s="8" t="s">
        <v>1616</v>
      </c>
      <c r="D1583" s="8" t="s">
        <v>1535</v>
      </c>
      <c r="E1583" s="9" t="s">
        <v>14</v>
      </c>
      <c r="F1583" s="9"/>
      <c r="G1583" s="9"/>
      <c r="H1583" s="9"/>
      <c r="I1583" s="9" t="s">
        <v>14</v>
      </c>
    </row>
    <row r="1584" spans="1:9" x14ac:dyDescent="0.25">
      <c r="A1584" s="7" t="s">
        <v>1614</v>
      </c>
      <c r="B1584" s="7" t="s">
        <v>1666</v>
      </c>
      <c r="C1584" s="7" t="s">
        <v>1616</v>
      </c>
      <c r="D1584" s="8" t="s">
        <v>1667</v>
      </c>
      <c r="E1584" s="9" t="s">
        <v>14</v>
      </c>
      <c r="F1584" s="9"/>
      <c r="G1584" s="9"/>
      <c r="H1584" s="9"/>
      <c r="I1584" s="9" t="s">
        <v>14</v>
      </c>
    </row>
    <row r="1585" spans="1:9" x14ac:dyDescent="0.25">
      <c r="A1585" s="7" t="s">
        <v>1614</v>
      </c>
      <c r="B1585" s="7" t="s">
        <v>1668</v>
      </c>
      <c r="C1585" s="8" t="s">
        <v>1616</v>
      </c>
      <c r="D1585" s="8" t="s">
        <v>1669</v>
      </c>
      <c r="E1585" s="9" t="s">
        <v>14</v>
      </c>
      <c r="F1585" s="9"/>
      <c r="G1585" s="9"/>
      <c r="H1585" s="9"/>
      <c r="I1585" s="9" t="s">
        <v>14</v>
      </c>
    </row>
    <row r="1586" spans="1:9" x14ac:dyDescent="0.25">
      <c r="A1586" s="7" t="s">
        <v>1614</v>
      </c>
      <c r="B1586" s="7" t="s">
        <v>1670</v>
      </c>
      <c r="C1586" s="7" t="s">
        <v>1616</v>
      </c>
      <c r="D1586" s="8" t="s">
        <v>1671</v>
      </c>
      <c r="E1586" s="9" t="s">
        <v>14</v>
      </c>
      <c r="F1586" s="9"/>
      <c r="G1586" s="9"/>
      <c r="H1586" s="9"/>
      <c r="I1586" s="9" t="s">
        <v>14</v>
      </c>
    </row>
    <row r="1587" spans="1:9" x14ac:dyDescent="0.25">
      <c r="A1587" s="7" t="s">
        <v>1614</v>
      </c>
      <c r="B1587" s="7" t="s">
        <v>1672</v>
      </c>
      <c r="C1587" s="8" t="s">
        <v>1616</v>
      </c>
      <c r="D1587" s="8" t="s">
        <v>1673</v>
      </c>
      <c r="E1587" s="9" t="s">
        <v>14</v>
      </c>
      <c r="F1587" s="9"/>
      <c r="G1587" s="9"/>
      <c r="H1587" s="9"/>
      <c r="I1587" s="9" t="s">
        <v>14</v>
      </c>
    </row>
    <row r="1588" spans="1:9" x14ac:dyDescent="0.25">
      <c r="A1588" s="7" t="s">
        <v>1614</v>
      </c>
      <c r="B1588" s="7" t="s">
        <v>1674</v>
      </c>
      <c r="C1588" s="8" t="s">
        <v>1616</v>
      </c>
      <c r="D1588" s="8" t="s">
        <v>1537</v>
      </c>
      <c r="E1588" s="9" t="s">
        <v>14</v>
      </c>
      <c r="F1588" s="9"/>
      <c r="G1588" s="9"/>
      <c r="H1588" s="9"/>
      <c r="I1588" s="9" t="s">
        <v>14</v>
      </c>
    </row>
    <row r="1589" spans="1:9" x14ac:dyDescent="0.25">
      <c r="A1589" s="7" t="s">
        <v>1614</v>
      </c>
      <c r="B1589" s="7" t="s">
        <v>1675</v>
      </c>
      <c r="C1589" s="8" t="s">
        <v>1616</v>
      </c>
      <c r="D1589" s="8" t="s">
        <v>1569</v>
      </c>
      <c r="E1589" s="9" t="s">
        <v>14</v>
      </c>
      <c r="F1589" s="9"/>
      <c r="G1589" s="9"/>
      <c r="H1589" s="9"/>
      <c r="I1589" s="9" t="s">
        <v>14</v>
      </c>
    </row>
    <row r="1590" spans="1:9" x14ac:dyDescent="0.25">
      <c r="A1590" s="7" t="s">
        <v>1614</v>
      </c>
      <c r="B1590" s="7" t="s">
        <v>1676</v>
      </c>
      <c r="C1590" s="7" t="s">
        <v>1616</v>
      </c>
      <c r="D1590" s="8" t="s">
        <v>1677</v>
      </c>
      <c r="E1590" s="9" t="s">
        <v>14</v>
      </c>
      <c r="F1590" s="9"/>
      <c r="G1590" s="9"/>
      <c r="H1590" s="9"/>
      <c r="I1590" s="9" t="s">
        <v>14</v>
      </c>
    </row>
    <row r="1591" spans="1:9" x14ac:dyDescent="0.25">
      <c r="A1591" s="7" t="s">
        <v>1614</v>
      </c>
      <c r="B1591" s="7" t="s">
        <v>1678</v>
      </c>
      <c r="C1591" s="8" t="s">
        <v>1616</v>
      </c>
      <c r="D1591" s="8" t="s">
        <v>1679</v>
      </c>
      <c r="E1591" s="9" t="s">
        <v>14</v>
      </c>
      <c r="F1591" s="9"/>
      <c r="G1591" s="9"/>
      <c r="H1591" s="9"/>
      <c r="I1591" s="9" t="s">
        <v>14</v>
      </c>
    </row>
    <row r="1592" spans="1:9" x14ac:dyDescent="0.25">
      <c r="A1592" s="7" t="s">
        <v>1614</v>
      </c>
      <c r="B1592" s="7" t="s">
        <v>1680</v>
      </c>
      <c r="C1592" s="8" t="s">
        <v>1616</v>
      </c>
      <c r="D1592" s="8" t="s">
        <v>1681</v>
      </c>
      <c r="E1592" s="9" t="s">
        <v>14</v>
      </c>
      <c r="F1592" s="9"/>
      <c r="G1592" s="9"/>
      <c r="H1592" s="9"/>
      <c r="I1592" s="9" t="s">
        <v>14</v>
      </c>
    </row>
    <row r="1593" spans="1:9" x14ac:dyDescent="0.25">
      <c r="A1593" s="7" t="s">
        <v>1614</v>
      </c>
      <c r="B1593" s="7" t="s">
        <v>1682</v>
      </c>
      <c r="C1593" s="7" t="s">
        <v>1616</v>
      </c>
      <c r="D1593" s="8" t="s">
        <v>1683</v>
      </c>
      <c r="E1593" s="9" t="s">
        <v>14</v>
      </c>
      <c r="F1593" s="9"/>
      <c r="G1593" s="9"/>
      <c r="H1593" s="9"/>
      <c r="I1593" s="9" t="s">
        <v>14</v>
      </c>
    </row>
    <row r="1594" spans="1:9" x14ac:dyDescent="0.25">
      <c r="A1594" s="7" t="s">
        <v>1614</v>
      </c>
      <c r="B1594" s="7" t="s">
        <v>1684</v>
      </c>
      <c r="C1594" s="8" t="s">
        <v>1616</v>
      </c>
      <c r="D1594" s="8" t="s">
        <v>106</v>
      </c>
      <c r="E1594" s="9" t="s">
        <v>14</v>
      </c>
      <c r="F1594" s="9"/>
      <c r="G1594" s="9"/>
      <c r="H1594" s="9"/>
      <c r="I1594" s="9" t="s">
        <v>14</v>
      </c>
    </row>
    <row r="1595" spans="1:9" x14ac:dyDescent="0.25">
      <c r="A1595" s="7" t="s">
        <v>1614</v>
      </c>
      <c r="B1595" s="7" t="s">
        <v>1685</v>
      </c>
      <c r="C1595" s="8" t="s">
        <v>1616</v>
      </c>
      <c r="D1595" s="8" t="s">
        <v>272</v>
      </c>
      <c r="E1595" s="9" t="s">
        <v>14</v>
      </c>
      <c r="F1595" s="9"/>
      <c r="G1595" s="9"/>
      <c r="H1595" s="9"/>
      <c r="I1595" s="9" t="s">
        <v>14</v>
      </c>
    </row>
    <row r="1596" spans="1:9" x14ac:dyDescent="0.25">
      <c r="A1596" s="7" t="s">
        <v>1614</v>
      </c>
      <c r="B1596" s="7" t="s">
        <v>1686</v>
      </c>
      <c r="C1596" s="8" t="s">
        <v>1616</v>
      </c>
      <c r="D1596" s="8" t="s">
        <v>84</v>
      </c>
      <c r="E1596" s="9" t="s">
        <v>14</v>
      </c>
      <c r="F1596" s="9"/>
      <c r="G1596" s="9"/>
      <c r="H1596" s="9"/>
      <c r="I1596" s="9" t="s">
        <v>14</v>
      </c>
    </row>
    <row r="1597" spans="1:9" x14ac:dyDescent="0.25">
      <c r="A1597" s="7" t="s">
        <v>1614</v>
      </c>
      <c r="B1597" s="7" t="s">
        <v>1687</v>
      </c>
      <c r="C1597" s="8" t="s">
        <v>1616</v>
      </c>
      <c r="D1597" s="8" t="s">
        <v>134</v>
      </c>
      <c r="E1597" s="9" t="s">
        <v>14</v>
      </c>
      <c r="F1597" s="9"/>
      <c r="G1597" s="9"/>
      <c r="H1597" s="9"/>
      <c r="I1597" s="9" t="s">
        <v>14</v>
      </c>
    </row>
    <row r="1598" spans="1:9" x14ac:dyDescent="0.25">
      <c r="A1598" s="7" t="s">
        <v>1614</v>
      </c>
      <c r="B1598" s="7" t="s">
        <v>1688</v>
      </c>
      <c r="C1598" s="8" t="s">
        <v>1616</v>
      </c>
      <c r="D1598" s="8" t="s">
        <v>275</v>
      </c>
      <c r="E1598" s="9" t="s">
        <v>14</v>
      </c>
      <c r="F1598" s="9"/>
      <c r="G1598" s="9"/>
      <c r="H1598" s="9"/>
      <c r="I1598" s="9" t="s">
        <v>14</v>
      </c>
    </row>
    <row r="1599" spans="1:9" x14ac:dyDescent="0.25">
      <c r="A1599" s="7" t="s">
        <v>1614</v>
      </c>
      <c r="B1599" s="7" t="s">
        <v>1689</v>
      </c>
      <c r="C1599" s="8" t="s">
        <v>1616</v>
      </c>
      <c r="D1599" s="8" t="s">
        <v>470</v>
      </c>
      <c r="E1599" s="9" t="s">
        <v>14</v>
      </c>
      <c r="F1599" s="9"/>
      <c r="G1599" s="9"/>
      <c r="H1599" s="9"/>
      <c r="I1599" s="9" t="s">
        <v>14</v>
      </c>
    </row>
    <row r="1600" spans="1:9" x14ac:dyDescent="0.25">
      <c r="A1600" s="7" t="s">
        <v>1614</v>
      </c>
      <c r="B1600" s="7" t="s">
        <v>1690</v>
      </c>
      <c r="C1600" s="8" t="s">
        <v>1616</v>
      </c>
      <c r="D1600" s="8" t="s">
        <v>89</v>
      </c>
      <c r="E1600" s="9" t="s">
        <v>14</v>
      </c>
      <c r="F1600" s="9"/>
      <c r="G1600" s="9"/>
      <c r="H1600" s="9"/>
      <c r="I1600" s="9" t="s">
        <v>14</v>
      </c>
    </row>
    <row r="1601" spans="1:9" x14ac:dyDescent="0.25">
      <c r="A1601" s="7" t="s">
        <v>1614</v>
      </c>
      <c r="B1601" s="7" t="s">
        <v>1691</v>
      </c>
      <c r="C1601" s="8" t="s">
        <v>1616</v>
      </c>
      <c r="D1601" s="8" t="s">
        <v>104</v>
      </c>
      <c r="E1601" s="9" t="s">
        <v>14</v>
      </c>
      <c r="F1601" s="9"/>
      <c r="G1601" s="9"/>
      <c r="H1601" s="9"/>
      <c r="I1601" s="9" t="s">
        <v>14</v>
      </c>
    </row>
    <row r="1602" spans="1:9" x14ac:dyDescent="0.25">
      <c r="A1602" s="7" t="s">
        <v>1614</v>
      </c>
      <c r="B1602" s="7" t="s">
        <v>1692</v>
      </c>
      <c r="C1602" s="8" t="s">
        <v>1616</v>
      </c>
      <c r="D1602" s="8" t="s">
        <v>265</v>
      </c>
      <c r="E1602" s="9" t="s">
        <v>14</v>
      </c>
      <c r="F1602" s="9"/>
      <c r="G1602" s="9"/>
      <c r="H1602" s="9"/>
      <c r="I1602" s="9" t="s">
        <v>14</v>
      </c>
    </row>
    <row r="1603" spans="1:9" x14ac:dyDescent="0.25">
      <c r="A1603" s="7" t="s">
        <v>1614</v>
      </c>
      <c r="B1603" s="7" t="s">
        <v>1693</v>
      </c>
      <c r="C1603" s="8" t="s">
        <v>1616</v>
      </c>
      <c r="D1603" s="8" t="s">
        <v>34</v>
      </c>
      <c r="E1603" s="9" t="s">
        <v>14</v>
      </c>
      <c r="F1603" s="9"/>
      <c r="G1603" s="9"/>
      <c r="H1603" s="9"/>
      <c r="I1603" s="9" t="s">
        <v>14</v>
      </c>
    </row>
    <row r="1604" spans="1:9" x14ac:dyDescent="0.25">
      <c r="A1604" s="7" t="s">
        <v>1614</v>
      </c>
      <c r="B1604" s="7" t="s">
        <v>1694</v>
      </c>
      <c r="C1604" s="8" t="s">
        <v>1616</v>
      </c>
      <c r="D1604" s="8" t="s">
        <v>329</v>
      </c>
      <c r="E1604" s="9" t="s">
        <v>14</v>
      </c>
      <c r="F1604" s="9"/>
      <c r="G1604" s="9"/>
      <c r="H1604" s="9"/>
      <c r="I1604" s="9" t="s">
        <v>14</v>
      </c>
    </row>
    <row r="1605" spans="1:9" x14ac:dyDescent="0.25">
      <c r="A1605" s="7" t="s">
        <v>1614</v>
      </c>
      <c r="B1605" s="7" t="s">
        <v>1695</v>
      </c>
      <c r="C1605" s="8" t="s">
        <v>1616</v>
      </c>
      <c r="D1605" s="8" t="s">
        <v>570</v>
      </c>
      <c r="E1605" s="9" t="s">
        <v>14</v>
      </c>
      <c r="F1605" s="9"/>
      <c r="G1605" s="9"/>
      <c r="H1605" s="9"/>
      <c r="I1605" s="9" t="s">
        <v>14</v>
      </c>
    </row>
    <row r="1606" spans="1:9" x14ac:dyDescent="0.25">
      <c r="A1606" s="7" t="s">
        <v>1614</v>
      </c>
      <c r="B1606" s="7" t="s">
        <v>1696</v>
      </c>
      <c r="C1606" s="8" t="s">
        <v>1616</v>
      </c>
      <c r="D1606" s="8" t="s">
        <v>24</v>
      </c>
      <c r="E1606" s="9" t="s">
        <v>14</v>
      </c>
      <c r="F1606" s="9"/>
      <c r="G1606" s="9"/>
      <c r="H1606" s="9"/>
      <c r="I1606" s="9" t="s">
        <v>14</v>
      </c>
    </row>
    <row r="1607" spans="1:9" x14ac:dyDescent="0.25">
      <c r="A1607" s="7" t="s">
        <v>1614</v>
      </c>
      <c r="B1607" s="7" t="s">
        <v>1697</v>
      </c>
      <c r="C1607" s="8" t="s">
        <v>1616</v>
      </c>
      <c r="D1607" s="8" t="s">
        <v>349</v>
      </c>
      <c r="E1607" s="9" t="s">
        <v>14</v>
      </c>
      <c r="F1607" s="9"/>
      <c r="G1607" s="9"/>
      <c r="H1607" s="9"/>
      <c r="I1607" s="9" t="s">
        <v>14</v>
      </c>
    </row>
    <row r="1608" spans="1:9" x14ac:dyDescent="0.25">
      <c r="A1608" s="7" t="s">
        <v>1614</v>
      </c>
      <c r="B1608" s="7" t="s">
        <v>1698</v>
      </c>
      <c r="C1608" s="8" t="s">
        <v>1616</v>
      </c>
      <c r="D1608" s="8" t="s">
        <v>356</v>
      </c>
      <c r="E1608" s="9" t="s">
        <v>14</v>
      </c>
      <c r="F1608" s="9"/>
      <c r="G1608" s="9"/>
      <c r="H1608" s="9"/>
      <c r="I1608" s="9" t="s">
        <v>14</v>
      </c>
    </row>
    <row r="1609" spans="1:9" x14ac:dyDescent="0.25">
      <c r="A1609" s="7" t="s">
        <v>1614</v>
      </c>
      <c r="B1609" s="7" t="s">
        <v>1699</v>
      </c>
      <c r="C1609" s="8" t="s">
        <v>1616</v>
      </c>
      <c r="D1609" s="8" t="s">
        <v>73</v>
      </c>
      <c r="E1609" s="9" t="s">
        <v>14</v>
      </c>
      <c r="F1609" s="9"/>
      <c r="G1609" s="9"/>
      <c r="H1609" s="9"/>
      <c r="I1609" s="9" t="s">
        <v>14</v>
      </c>
    </row>
    <row r="1610" spans="1:9" x14ac:dyDescent="0.25">
      <c r="A1610" s="7" t="s">
        <v>1614</v>
      </c>
      <c r="B1610" s="7" t="s">
        <v>1700</v>
      </c>
      <c r="C1610" s="8" t="s">
        <v>1616</v>
      </c>
      <c r="D1610" s="8" t="s">
        <v>112</v>
      </c>
      <c r="E1610" s="9" t="s">
        <v>14</v>
      </c>
      <c r="F1610" s="9"/>
      <c r="G1610" s="9"/>
      <c r="H1610" s="9"/>
      <c r="I1610" s="9" t="s">
        <v>14</v>
      </c>
    </row>
    <row r="1611" spans="1:9" x14ac:dyDescent="0.25">
      <c r="A1611" s="7" t="s">
        <v>1614</v>
      </c>
      <c r="B1611" s="7" t="s">
        <v>1701</v>
      </c>
      <c r="C1611" s="8" t="s">
        <v>1616</v>
      </c>
      <c r="D1611" s="8" t="s">
        <v>256</v>
      </c>
      <c r="E1611" s="9" t="s">
        <v>14</v>
      </c>
      <c r="F1611" s="9"/>
      <c r="G1611" s="9"/>
      <c r="H1611" s="9"/>
      <c r="I1611" s="9" t="s">
        <v>14</v>
      </c>
    </row>
    <row r="1612" spans="1:9" x14ac:dyDescent="0.25">
      <c r="A1612" s="7" t="s">
        <v>1614</v>
      </c>
      <c r="B1612" s="7" t="s">
        <v>1702</v>
      </c>
      <c r="C1612" s="8" t="s">
        <v>1616</v>
      </c>
      <c r="D1612" s="8" t="s">
        <v>55</v>
      </c>
      <c r="E1612" s="9" t="s">
        <v>14</v>
      </c>
      <c r="F1612" s="9"/>
      <c r="G1612" s="9"/>
      <c r="H1612" s="9"/>
      <c r="I1612" s="9" t="s">
        <v>14</v>
      </c>
    </row>
    <row r="1613" spans="1:9" x14ac:dyDescent="0.25">
      <c r="A1613" s="7" t="s">
        <v>1614</v>
      </c>
      <c r="B1613" s="7" t="s">
        <v>1703</v>
      </c>
      <c r="C1613" s="8" t="s">
        <v>1616</v>
      </c>
      <c r="D1613" s="8" t="s">
        <v>166</v>
      </c>
      <c r="E1613" s="9" t="s">
        <v>14</v>
      </c>
      <c r="F1613" s="9"/>
      <c r="G1613" s="9"/>
      <c r="H1613" s="9"/>
      <c r="I1613" s="9" t="s">
        <v>14</v>
      </c>
    </row>
    <row r="1614" spans="1:9" x14ac:dyDescent="0.25">
      <c r="A1614" s="7" t="s">
        <v>1614</v>
      </c>
      <c r="B1614" s="7" t="s">
        <v>1704</v>
      </c>
      <c r="C1614" s="8" t="s">
        <v>1616</v>
      </c>
      <c r="D1614" s="8" t="s">
        <v>1023</v>
      </c>
      <c r="E1614" s="9" t="s">
        <v>14</v>
      </c>
      <c r="F1614" s="9"/>
      <c r="G1614" s="9"/>
      <c r="H1614" s="9"/>
      <c r="I1614" s="9" t="s">
        <v>14</v>
      </c>
    </row>
    <row r="1615" spans="1:9" x14ac:dyDescent="0.25">
      <c r="A1615" s="7" t="s">
        <v>1614</v>
      </c>
      <c r="B1615" s="7" t="s">
        <v>1705</v>
      </c>
      <c r="C1615" s="7" t="s">
        <v>1616</v>
      </c>
      <c r="D1615" s="8" t="s">
        <v>1706</v>
      </c>
      <c r="E1615" s="9" t="s">
        <v>14</v>
      </c>
      <c r="F1615" s="9"/>
      <c r="G1615" s="9"/>
      <c r="H1615" s="9"/>
      <c r="I1615" s="9" t="s">
        <v>14</v>
      </c>
    </row>
    <row r="1616" spans="1:9" x14ac:dyDescent="0.25">
      <c r="A1616" s="7" t="s">
        <v>1614</v>
      </c>
      <c r="B1616" s="7" t="s">
        <v>1707</v>
      </c>
      <c r="C1616" s="7" t="s">
        <v>1616</v>
      </c>
      <c r="D1616" s="8" t="s">
        <v>1708</v>
      </c>
      <c r="E1616" s="9" t="s">
        <v>14</v>
      </c>
      <c r="F1616" s="9"/>
      <c r="G1616" s="9"/>
      <c r="H1616" s="9"/>
      <c r="I1616" s="9" t="s">
        <v>14</v>
      </c>
    </row>
    <row r="1617" spans="1:9" x14ac:dyDescent="0.25">
      <c r="A1617" s="7" t="s">
        <v>1614</v>
      </c>
      <c r="B1617" s="7" t="s">
        <v>1709</v>
      </c>
      <c r="C1617" s="7" t="s">
        <v>1616</v>
      </c>
      <c r="D1617" s="8" t="s">
        <v>122</v>
      </c>
      <c r="E1617" s="9" t="s">
        <v>14</v>
      </c>
      <c r="F1617" s="9"/>
      <c r="G1617" s="9"/>
      <c r="H1617" s="9"/>
      <c r="I1617" s="9" t="s">
        <v>14</v>
      </c>
    </row>
    <row r="1618" spans="1:9" x14ac:dyDescent="0.25">
      <c r="A1618" s="7" t="s">
        <v>1614</v>
      </c>
      <c r="B1618" s="7" t="s">
        <v>1710</v>
      </c>
      <c r="C1618" s="8" t="s">
        <v>1616</v>
      </c>
      <c r="D1618" s="8" t="s">
        <v>97</v>
      </c>
      <c r="E1618" s="9" t="s">
        <v>14</v>
      </c>
      <c r="F1618" s="9"/>
      <c r="G1618" s="9"/>
      <c r="H1618" s="9"/>
      <c r="I1618" s="9" t="s">
        <v>14</v>
      </c>
    </row>
    <row r="1619" spans="1:9" x14ac:dyDescent="0.25">
      <c r="A1619" s="7" t="s">
        <v>1614</v>
      </c>
      <c r="B1619" s="7" t="s">
        <v>1711</v>
      </c>
      <c r="C1619" s="8" t="s">
        <v>1616</v>
      </c>
      <c r="D1619" s="8" t="s">
        <v>802</v>
      </c>
      <c r="E1619" s="9" t="s">
        <v>14</v>
      </c>
      <c r="F1619" s="9"/>
      <c r="G1619" s="9"/>
      <c r="H1619" s="9"/>
      <c r="I1619" s="9" t="s">
        <v>14</v>
      </c>
    </row>
    <row r="1620" spans="1:9" x14ac:dyDescent="0.25">
      <c r="A1620" s="7" t="s">
        <v>1614</v>
      </c>
      <c r="B1620" s="7" t="s">
        <v>1712</v>
      </c>
      <c r="C1620" s="7" t="s">
        <v>1616</v>
      </c>
      <c r="D1620" s="8" t="s">
        <v>46</v>
      </c>
      <c r="E1620" s="9" t="s">
        <v>14</v>
      </c>
      <c r="F1620" s="9"/>
      <c r="G1620" s="9"/>
      <c r="H1620" s="9"/>
      <c r="I1620" s="9" t="s">
        <v>14</v>
      </c>
    </row>
    <row r="1621" spans="1:9" x14ac:dyDescent="0.25">
      <c r="A1621" s="7" t="s">
        <v>1614</v>
      </c>
      <c r="B1621" s="7" t="s">
        <v>1713</v>
      </c>
      <c r="C1621" s="8" t="s">
        <v>1616</v>
      </c>
      <c r="D1621" s="8" t="s">
        <v>297</v>
      </c>
      <c r="E1621" s="9" t="s">
        <v>14</v>
      </c>
      <c r="F1621" s="9"/>
      <c r="G1621" s="9"/>
      <c r="H1621" s="9"/>
      <c r="I1621" s="9" t="s">
        <v>14</v>
      </c>
    </row>
    <row r="1622" spans="1:9" x14ac:dyDescent="0.25">
      <c r="A1622" s="7" t="s">
        <v>1614</v>
      </c>
      <c r="B1622" s="7" t="s">
        <v>1714</v>
      </c>
      <c r="C1622" s="8" t="s">
        <v>1616</v>
      </c>
      <c r="D1622" s="8" t="s">
        <v>812</v>
      </c>
      <c r="E1622" s="9" t="s">
        <v>14</v>
      </c>
      <c r="F1622" s="9"/>
      <c r="G1622" s="9"/>
      <c r="H1622" s="9"/>
      <c r="I1622" s="9" t="s">
        <v>14</v>
      </c>
    </row>
    <row r="1623" spans="1:9" x14ac:dyDescent="0.25">
      <c r="A1623" s="7" t="s">
        <v>1614</v>
      </c>
      <c r="B1623" s="7" t="s">
        <v>1715</v>
      </c>
      <c r="C1623" s="8" t="s">
        <v>1616</v>
      </c>
      <c r="D1623" s="8" t="s">
        <v>28</v>
      </c>
      <c r="E1623" s="9" t="s">
        <v>14</v>
      </c>
      <c r="F1623" s="9"/>
      <c r="G1623" s="9"/>
      <c r="H1623" s="9"/>
      <c r="I1623" s="9" t="s">
        <v>14</v>
      </c>
    </row>
    <row r="1624" spans="1:9" x14ac:dyDescent="0.25">
      <c r="A1624" s="7" t="s">
        <v>1614</v>
      </c>
      <c r="B1624" s="7" t="s">
        <v>1716</v>
      </c>
      <c r="C1624" s="8" t="s">
        <v>1616</v>
      </c>
      <c r="D1624" s="8" t="s">
        <v>333</v>
      </c>
      <c r="E1624" s="9" t="s">
        <v>14</v>
      </c>
      <c r="F1624" s="9"/>
      <c r="G1624" s="9"/>
      <c r="H1624" s="9"/>
      <c r="I1624" s="9" t="s">
        <v>14</v>
      </c>
    </row>
    <row r="1625" spans="1:9" x14ac:dyDescent="0.25">
      <c r="A1625" s="7" t="s">
        <v>1614</v>
      </c>
      <c r="B1625" s="7" t="s">
        <v>1717</v>
      </c>
      <c r="C1625" s="8" t="s">
        <v>1616</v>
      </c>
      <c r="D1625" s="8" t="s">
        <v>817</v>
      </c>
      <c r="E1625" s="9" t="s">
        <v>14</v>
      </c>
      <c r="F1625" s="9"/>
      <c r="G1625" s="9"/>
      <c r="H1625" s="9"/>
      <c r="I1625" s="9" t="s">
        <v>14</v>
      </c>
    </row>
    <row r="1626" spans="1:9" x14ac:dyDescent="0.25">
      <c r="A1626" s="7" t="s">
        <v>1614</v>
      </c>
      <c r="B1626" s="7" t="s">
        <v>1718</v>
      </c>
      <c r="C1626" s="7" t="s">
        <v>1616</v>
      </c>
      <c r="D1626" s="8" t="s">
        <v>39</v>
      </c>
      <c r="E1626" s="9" t="s">
        <v>14</v>
      </c>
      <c r="F1626" s="9"/>
      <c r="G1626" s="9"/>
      <c r="H1626" s="9"/>
      <c r="I1626" s="9" t="s">
        <v>14</v>
      </c>
    </row>
    <row r="1627" spans="1:9" x14ac:dyDescent="0.25">
      <c r="A1627" s="7" t="s">
        <v>1614</v>
      </c>
      <c r="B1627" s="7" t="s">
        <v>1719</v>
      </c>
      <c r="C1627" s="7" t="s">
        <v>1616</v>
      </c>
      <c r="D1627" s="8" t="s">
        <v>307</v>
      </c>
      <c r="E1627" s="9" t="s">
        <v>14</v>
      </c>
      <c r="F1627" s="9"/>
      <c r="G1627" s="9"/>
      <c r="H1627" s="9"/>
      <c r="I1627" s="9" t="s">
        <v>14</v>
      </c>
    </row>
    <row r="1628" spans="1:9" x14ac:dyDescent="0.25">
      <c r="A1628" s="7" t="s">
        <v>1614</v>
      </c>
      <c r="B1628" s="7" t="s">
        <v>1720</v>
      </c>
      <c r="C1628" s="8" t="s">
        <v>1616</v>
      </c>
      <c r="D1628" s="8" t="s">
        <v>363</v>
      </c>
      <c r="E1628" s="9" t="s">
        <v>14</v>
      </c>
      <c r="F1628" s="9"/>
      <c r="G1628" s="9"/>
      <c r="H1628" s="9"/>
      <c r="I1628" s="9" t="s">
        <v>14</v>
      </c>
    </row>
    <row r="1629" spans="1:9" x14ac:dyDescent="0.25">
      <c r="A1629" s="7" t="s">
        <v>1614</v>
      </c>
      <c r="B1629" s="7" t="s">
        <v>1721</v>
      </c>
      <c r="C1629" s="8" t="s">
        <v>1616</v>
      </c>
      <c r="D1629" s="8" t="s">
        <v>32</v>
      </c>
      <c r="E1629" s="9" t="s">
        <v>14</v>
      </c>
      <c r="F1629" s="9"/>
      <c r="G1629" s="9"/>
      <c r="H1629" s="9"/>
      <c r="I1629" s="9" t="s">
        <v>14</v>
      </c>
    </row>
    <row r="1630" spans="1:9" x14ac:dyDescent="0.25">
      <c r="A1630" s="7" t="s">
        <v>1614</v>
      </c>
      <c r="B1630" s="7" t="s">
        <v>1722</v>
      </c>
      <c r="C1630" s="8" t="s">
        <v>1616</v>
      </c>
      <c r="D1630" s="8" t="s">
        <v>258</v>
      </c>
      <c r="E1630" s="9" t="s">
        <v>14</v>
      </c>
      <c r="F1630" s="9"/>
      <c r="G1630" s="9"/>
      <c r="H1630" s="9"/>
      <c r="I1630" s="9" t="s">
        <v>14</v>
      </c>
    </row>
    <row r="1631" spans="1:9" x14ac:dyDescent="0.25">
      <c r="A1631" s="7" t="s">
        <v>1614</v>
      </c>
      <c r="B1631" s="7" t="s">
        <v>1723</v>
      </c>
      <c r="C1631" s="8" t="s">
        <v>1616</v>
      </c>
      <c r="D1631" s="8" t="s">
        <v>371</v>
      </c>
      <c r="E1631" s="9" t="s">
        <v>14</v>
      </c>
      <c r="F1631" s="9"/>
      <c r="G1631" s="9"/>
      <c r="H1631" s="9"/>
      <c r="I1631" s="9" t="s">
        <v>14</v>
      </c>
    </row>
    <row r="1632" spans="1:9" x14ac:dyDescent="0.25">
      <c r="A1632" s="7" t="s">
        <v>1614</v>
      </c>
      <c r="B1632" s="7" t="s">
        <v>1724</v>
      </c>
      <c r="C1632" s="8" t="s">
        <v>1616</v>
      </c>
      <c r="D1632" s="8" t="s">
        <v>50</v>
      </c>
      <c r="E1632" s="9" t="s">
        <v>14</v>
      </c>
      <c r="F1632" s="9"/>
      <c r="G1632" s="9"/>
      <c r="H1632" s="9"/>
      <c r="I1632" s="9" t="s">
        <v>14</v>
      </c>
    </row>
    <row r="1633" spans="1:9" x14ac:dyDescent="0.25">
      <c r="A1633" s="7" t="s">
        <v>1614</v>
      </c>
      <c r="B1633" s="7" t="s">
        <v>1725</v>
      </c>
      <c r="C1633" s="7" t="s">
        <v>1616</v>
      </c>
      <c r="D1633" s="8" t="s">
        <v>263</v>
      </c>
      <c r="E1633" s="9" t="s">
        <v>14</v>
      </c>
      <c r="F1633" s="9"/>
      <c r="G1633" s="9"/>
      <c r="H1633" s="9"/>
      <c r="I1633" s="9" t="s">
        <v>14</v>
      </c>
    </row>
    <row r="1634" spans="1:9" x14ac:dyDescent="0.25">
      <c r="A1634" s="7" t="s">
        <v>1614</v>
      </c>
      <c r="B1634" s="7" t="s">
        <v>1726</v>
      </c>
      <c r="C1634" s="7" t="s">
        <v>1616</v>
      </c>
      <c r="D1634" s="8" t="s">
        <v>339</v>
      </c>
      <c r="E1634" s="9" t="s">
        <v>14</v>
      </c>
      <c r="F1634" s="9"/>
      <c r="G1634" s="9"/>
      <c r="H1634" s="9"/>
      <c r="I1634" s="9" t="s">
        <v>14</v>
      </c>
    </row>
    <row r="1635" spans="1:9" x14ac:dyDescent="0.25">
      <c r="A1635" s="7" t="s">
        <v>1614</v>
      </c>
      <c r="B1635" s="7" t="s">
        <v>1727</v>
      </c>
      <c r="C1635" s="7" t="s">
        <v>1616</v>
      </c>
      <c r="D1635" s="8" t="s">
        <v>251</v>
      </c>
      <c r="E1635" s="9" t="s">
        <v>14</v>
      </c>
      <c r="F1635" s="9"/>
      <c r="G1635" s="9"/>
      <c r="H1635" s="9"/>
      <c r="I1635" s="9" t="s">
        <v>14</v>
      </c>
    </row>
    <row r="1636" spans="1:9" x14ac:dyDescent="0.25">
      <c r="A1636" s="7" t="s">
        <v>1614</v>
      </c>
      <c r="B1636" s="7" t="s">
        <v>1728</v>
      </c>
      <c r="C1636" s="7" t="s">
        <v>1616</v>
      </c>
      <c r="D1636" s="8" t="s">
        <v>1590</v>
      </c>
      <c r="E1636" s="9" t="s">
        <v>14</v>
      </c>
      <c r="F1636" s="9"/>
      <c r="G1636" s="9"/>
      <c r="H1636" s="9"/>
      <c r="I1636" s="9" t="s">
        <v>14</v>
      </c>
    </row>
    <row r="1637" spans="1:9" x14ac:dyDescent="0.25">
      <c r="A1637" s="7" t="s">
        <v>1614</v>
      </c>
      <c r="B1637" s="7" t="s">
        <v>1729</v>
      </c>
      <c r="C1637" s="8" t="s">
        <v>1616</v>
      </c>
      <c r="D1637" s="8" t="s">
        <v>81</v>
      </c>
      <c r="E1637" s="9" t="s">
        <v>14</v>
      </c>
      <c r="F1637" s="9"/>
      <c r="G1637" s="9"/>
      <c r="H1637" s="9"/>
      <c r="I1637" s="9" t="s">
        <v>14</v>
      </c>
    </row>
    <row r="1638" spans="1:9" x14ac:dyDescent="0.25">
      <c r="A1638" s="7" t="s">
        <v>1614</v>
      </c>
      <c r="B1638" s="7" t="s">
        <v>1730</v>
      </c>
      <c r="C1638" s="7" t="s">
        <v>1616</v>
      </c>
      <c r="D1638" s="8" t="s">
        <v>1731</v>
      </c>
      <c r="E1638" s="9" t="s">
        <v>14</v>
      </c>
      <c r="F1638" s="9"/>
      <c r="G1638" s="9"/>
      <c r="H1638" s="9"/>
      <c r="I1638" s="9" t="s">
        <v>14</v>
      </c>
    </row>
    <row r="1639" spans="1:9" x14ac:dyDescent="0.25">
      <c r="A1639" s="7" t="s">
        <v>1614</v>
      </c>
      <c r="B1639" s="7" t="s">
        <v>1732</v>
      </c>
      <c r="C1639" s="7" t="s">
        <v>1616</v>
      </c>
      <c r="D1639" s="8" t="s">
        <v>262</v>
      </c>
      <c r="E1639" s="9" t="s">
        <v>14</v>
      </c>
      <c r="F1639" s="9"/>
      <c r="G1639" s="9"/>
      <c r="H1639" s="9"/>
      <c r="I1639" s="9" t="s">
        <v>14</v>
      </c>
    </row>
    <row r="1640" spans="1:9" x14ac:dyDescent="0.25">
      <c r="A1640" s="7" t="s">
        <v>1614</v>
      </c>
      <c r="B1640" s="7" t="s">
        <v>1733</v>
      </c>
      <c r="C1640" s="7" t="s">
        <v>1616</v>
      </c>
      <c r="D1640" s="8" t="s">
        <v>1595</v>
      </c>
      <c r="E1640" s="9" t="s">
        <v>14</v>
      </c>
      <c r="F1640" s="9"/>
      <c r="G1640" s="9"/>
      <c r="H1640" s="9"/>
      <c r="I1640" s="9" t="s">
        <v>14</v>
      </c>
    </row>
    <row r="1641" spans="1:9" x14ac:dyDescent="0.25">
      <c r="A1641" s="7" t="s">
        <v>1614</v>
      </c>
      <c r="B1641" s="7" t="s">
        <v>1734</v>
      </c>
      <c r="C1641" s="7" t="s">
        <v>1616</v>
      </c>
      <c r="D1641" s="8" t="s">
        <v>1735</v>
      </c>
      <c r="E1641" s="9" t="s">
        <v>14</v>
      </c>
      <c r="F1641" s="9"/>
      <c r="G1641" s="9"/>
      <c r="H1641" s="9"/>
      <c r="I1641" s="9" t="s">
        <v>14</v>
      </c>
    </row>
    <row r="1642" spans="1:9" x14ac:dyDescent="0.25">
      <c r="A1642" s="7" t="s">
        <v>1614</v>
      </c>
      <c r="B1642" s="7" t="s">
        <v>1736</v>
      </c>
      <c r="C1642" s="7" t="s">
        <v>1616</v>
      </c>
      <c r="D1642" s="8" t="s">
        <v>1737</v>
      </c>
      <c r="E1642" s="9" t="s">
        <v>14</v>
      </c>
      <c r="F1642" s="9"/>
      <c r="G1642" s="9"/>
      <c r="H1642" s="9"/>
      <c r="I1642" s="9" t="s">
        <v>14</v>
      </c>
    </row>
    <row r="1643" spans="1:9" x14ac:dyDescent="0.25">
      <c r="C1643"/>
      <c r="E1643"/>
      <c r="F1643"/>
      <c r="G1643"/>
      <c r="H1643"/>
      <c r="I1643"/>
    </row>
    <row r="1644" spans="1:9" x14ac:dyDescent="0.25">
      <c r="C1644"/>
      <c r="E1644"/>
      <c r="F1644"/>
      <c r="G1644"/>
      <c r="H1644"/>
      <c r="I1644"/>
    </row>
    <row r="1645" spans="1:9" x14ac:dyDescent="0.25">
      <c r="C1645"/>
      <c r="E1645"/>
      <c r="F1645"/>
      <c r="G1645"/>
      <c r="H1645"/>
      <c r="I1645"/>
    </row>
    <row r="1646" spans="1:9" x14ac:dyDescent="0.25">
      <c r="C1646"/>
      <c r="E1646"/>
      <c r="F1646"/>
      <c r="G1646"/>
      <c r="H1646"/>
      <c r="I1646"/>
    </row>
    <row r="1647" spans="1:9" x14ac:dyDescent="0.25">
      <c r="C1647"/>
      <c r="E1647"/>
      <c r="F1647"/>
      <c r="G1647"/>
      <c r="H1647"/>
      <c r="I1647"/>
    </row>
    <row r="1648" spans="1:9" x14ac:dyDescent="0.25">
      <c r="C1648"/>
      <c r="E1648"/>
      <c r="F1648"/>
      <c r="G1648"/>
      <c r="H1648"/>
      <c r="I1648"/>
    </row>
  </sheetData>
  <autoFilter ref="A3:I1642" xr:uid="{06AEA411-9C45-431A-A9D0-F94D44261F22}"/>
  <mergeCells count="1">
    <mergeCell ref="E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0F23-BA88-4BCD-AF8E-C7232DC57C1E}">
  <dimension ref="A1:G4037"/>
  <sheetViews>
    <sheetView workbookViewId="0">
      <selection activeCell="P23" sqref="P23"/>
    </sheetView>
  </sheetViews>
  <sheetFormatPr defaultRowHeight="15" x14ac:dyDescent="0.25"/>
  <cols>
    <col min="1" max="1" width="17.42578125" bestFit="1" customWidth="1"/>
    <col min="2" max="2" width="14" bestFit="1" customWidth="1"/>
    <col min="3" max="3" width="79" style="21" customWidth="1"/>
    <col min="4" max="4" width="18.140625" bestFit="1" customWidth="1"/>
    <col min="5" max="5" width="15" bestFit="1" customWidth="1"/>
    <col min="6" max="6" width="14.140625" bestFit="1" customWidth="1"/>
    <col min="7" max="7" width="24.5703125" bestFit="1" customWidth="1"/>
  </cols>
  <sheetData>
    <row r="1" spans="1:7" x14ac:dyDescent="0.25">
      <c r="A1" s="24" t="s">
        <v>2987</v>
      </c>
      <c r="B1" s="23">
        <v>46248</v>
      </c>
    </row>
    <row r="2" spans="1:7" x14ac:dyDescent="0.25">
      <c r="A2" s="29" t="s">
        <v>2988</v>
      </c>
      <c r="B2" s="30">
        <v>0.80625000000000002</v>
      </c>
    </row>
    <row r="3" spans="1:7" ht="15.75" thickBot="1" x14ac:dyDescent="0.3">
      <c r="A3" s="18" t="s">
        <v>2991</v>
      </c>
      <c r="B3" s="27" t="s">
        <v>2990</v>
      </c>
    </row>
    <row r="6" spans="1:7" ht="15.75" thickBot="1" x14ac:dyDescent="0.3"/>
    <row r="7" spans="1:7" x14ac:dyDescent="0.25">
      <c r="A7" s="12" t="s">
        <v>1738</v>
      </c>
      <c r="B7" s="12" t="s">
        <v>1739</v>
      </c>
      <c r="C7" s="13" t="s">
        <v>1740</v>
      </c>
      <c r="D7" s="12" t="s">
        <v>1741</v>
      </c>
      <c r="E7" s="12" t="s">
        <v>1742</v>
      </c>
      <c r="F7" s="12" t="s">
        <v>1743</v>
      </c>
      <c r="G7" s="12" t="s">
        <v>2989</v>
      </c>
    </row>
    <row r="8" spans="1:7" x14ac:dyDescent="0.25">
      <c r="A8" s="14" t="s">
        <v>12</v>
      </c>
      <c r="B8" s="14">
        <v>1</v>
      </c>
      <c r="C8" s="15" t="s">
        <v>11</v>
      </c>
      <c r="D8" s="14" t="s">
        <v>1745</v>
      </c>
      <c r="E8" s="14" t="s">
        <v>1746</v>
      </c>
      <c r="F8" s="25">
        <v>2079</v>
      </c>
      <c r="G8" s="25">
        <v>1663.2</v>
      </c>
    </row>
    <row r="9" spans="1:7" x14ac:dyDescent="0.25">
      <c r="A9" s="14" t="s">
        <v>12</v>
      </c>
      <c r="B9" s="14">
        <v>1</v>
      </c>
      <c r="C9" s="15" t="s">
        <v>11</v>
      </c>
      <c r="D9" s="14" t="s">
        <v>1745</v>
      </c>
      <c r="E9" s="14" t="s">
        <v>1747</v>
      </c>
      <c r="F9" s="25">
        <v>1980</v>
      </c>
      <c r="G9" s="25">
        <v>1584</v>
      </c>
    </row>
    <row r="10" spans="1:7" x14ac:dyDescent="0.25">
      <c r="A10" s="14" t="s">
        <v>12</v>
      </c>
      <c r="B10" s="14">
        <v>5</v>
      </c>
      <c r="C10" s="15" t="s">
        <v>21</v>
      </c>
      <c r="D10" s="14" t="s">
        <v>1745</v>
      </c>
      <c r="E10" s="14" t="s">
        <v>1746</v>
      </c>
      <c r="F10" s="25">
        <v>1386</v>
      </c>
      <c r="G10" s="25">
        <v>1108.8</v>
      </c>
    </row>
    <row r="11" spans="1:7" x14ac:dyDescent="0.25">
      <c r="A11" s="14" t="s">
        <v>12</v>
      </c>
      <c r="B11" s="14">
        <v>4</v>
      </c>
      <c r="C11" s="15" t="s">
        <v>1748</v>
      </c>
      <c r="D11" s="14" t="s">
        <v>1745</v>
      </c>
      <c r="E11" s="14" t="s">
        <v>1747</v>
      </c>
      <c r="F11" s="25">
        <v>1980</v>
      </c>
      <c r="G11" s="25">
        <v>1584</v>
      </c>
    </row>
    <row r="12" spans="1:7" x14ac:dyDescent="0.25">
      <c r="A12" s="14" t="s">
        <v>12</v>
      </c>
      <c r="B12" s="14">
        <v>5</v>
      </c>
      <c r="C12" s="15" t="s">
        <v>21</v>
      </c>
      <c r="D12" s="14" t="s">
        <v>1745</v>
      </c>
      <c r="E12" s="14" t="s">
        <v>1747</v>
      </c>
      <c r="F12" s="25">
        <v>1320</v>
      </c>
      <c r="G12" s="25">
        <v>1056</v>
      </c>
    </row>
    <row r="13" spans="1:7" x14ac:dyDescent="0.25">
      <c r="A13" s="14" t="s">
        <v>12</v>
      </c>
      <c r="B13" s="14">
        <v>1</v>
      </c>
      <c r="C13" s="15" t="s">
        <v>11</v>
      </c>
      <c r="D13" s="14" t="s">
        <v>1749</v>
      </c>
      <c r="E13" s="14" t="s">
        <v>1746</v>
      </c>
      <c r="F13" s="25">
        <v>198</v>
      </c>
      <c r="G13" s="25">
        <v>158.4</v>
      </c>
    </row>
    <row r="14" spans="1:7" x14ac:dyDescent="0.25">
      <c r="A14" s="14" t="s">
        <v>12</v>
      </c>
      <c r="B14" s="14">
        <v>4</v>
      </c>
      <c r="C14" s="15" t="s">
        <v>1748</v>
      </c>
      <c r="D14" s="14" t="s">
        <v>1749</v>
      </c>
      <c r="E14" s="14" t="s">
        <v>1746</v>
      </c>
      <c r="F14" s="25">
        <v>198</v>
      </c>
      <c r="G14" s="25">
        <v>158.4</v>
      </c>
    </row>
    <row r="15" spans="1:7" x14ac:dyDescent="0.25">
      <c r="A15" s="14" t="s">
        <v>12</v>
      </c>
      <c r="B15" s="14">
        <v>5</v>
      </c>
      <c r="C15" s="15" t="s">
        <v>21</v>
      </c>
      <c r="D15" s="14" t="s">
        <v>1749</v>
      </c>
      <c r="E15" s="14" t="s">
        <v>1746</v>
      </c>
      <c r="F15" s="25">
        <v>132</v>
      </c>
      <c r="G15" s="25">
        <v>105.6</v>
      </c>
    </row>
    <row r="16" spans="1:7" x14ac:dyDescent="0.25">
      <c r="A16" s="14" t="s">
        <v>12</v>
      </c>
      <c r="B16" s="14">
        <v>4</v>
      </c>
      <c r="C16" s="15" t="s">
        <v>1748</v>
      </c>
      <c r="D16" s="14" t="s">
        <v>1745</v>
      </c>
      <c r="E16" s="14" t="s">
        <v>1746</v>
      </c>
      <c r="F16" s="25">
        <v>2079</v>
      </c>
      <c r="G16" s="25">
        <v>1663.2</v>
      </c>
    </row>
    <row r="17" spans="1:7" x14ac:dyDescent="0.25">
      <c r="A17" s="14" t="s">
        <v>1750</v>
      </c>
      <c r="B17" s="14">
        <v>1</v>
      </c>
      <c r="C17" s="15" t="s">
        <v>1751</v>
      </c>
      <c r="D17" s="14" t="s">
        <v>1745</v>
      </c>
      <c r="E17" s="14" t="s">
        <v>1746</v>
      </c>
      <c r="F17" s="25">
        <v>2079</v>
      </c>
      <c r="G17" s="25">
        <v>1663.2</v>
      </c>
    </row>
    <row r="18" spans="1:7" x14ac:dyDescent="0.25">
      <c r="A18" s="14" t="s">
        <v>1750</v>
      </c>
      <c r="B18" s="14">
        <v>1</v>
      </c>
      <c r="C18" s="15" t="s">
        <v>1751</v>
      </c>
      <c r="D18" s="14" t="s">
        <v>1752</v>
      </c>
      <c r="E18" s="14" t="s">
        <v>1753</v>
      </c>
      <c r="F18" s="25">
        <v>5940</v>
      </c>
      <c r="G18" s="25">
        <v>4752</v>
      </c>
    </row>
    <row r="19" spans="1:7" x14ac:dyDescent="0.25">
      <c r="A19" s="14" t="s">
        <v>1750</v>
      </c>
      <c r="B19" s="14">
        <v>1</v>
      </c>
      <c r="C19" s="15" t="s">
        <v>1751</v>
      </c>
      <c r="D19" s="14" t="s">
        <v>1745</v>
      </c>
      <c r="E19" s="14" t="s">
        <v>1747</v>
      </c>
      <c r="F19" s="25">
        <v>1980</v>
      </c>
      <c r="G19" s="25">
        <v>1584</v>
      </c>
    </row>
    <row r="20" spans="1:7" x14ac:dyDescent="0.25">
      <c r="A20" s="14" t="s">
        <v>1750</v>
      </c>
      <c r="B20" s="14">
        <v>1</v>
      </c>
      <c r="C20" s="15" t="s">
        <v>1751</v>
      </c>
      <c r="D20" s="14" t="s">
        <v>1752</v>
      </c>
      <c r="E20" s="14" t="s">
        <v>1747</v>
      </c>
      <c r="F20" s="25">
        <v>5940</v>
      </c>
      <c r="G20" s="25">
        <v>4752</v>
      </c>
    </row>
    <row r="21" spans="1:7" x14ac:dyDescent="0.25">
      <c r="A21" s="14" t="s">
        <v>26</v>
      </c>
      <c r="B21" s="14" t="s">
        <v>16</v>
      </c>
      <c r="C21" s="15" t="s">
        <v>1754</v>
      </c>
      <c r="D21" s="14" t="s">
        <v>1745</v>
      </c>
      <c r="E21" s="14" t="s">
        <v>1746</v>
      </c>
      <c r="F21" s="25">
        <v>5040</v>
      </c>
      <c r="G21" s="25">
        <v>4536</v>
      </c>
    </row>
    <row r="22" spans="1:7" x14ac:dyDescent="0.25">
      <c r="A22" s="14" t="s">
        <v>26</v>
      </c>
      <c r="B22" s="14" t="s">
        <v>24</v>
      </c>
      <c r="C22" s="15" t="s">
        <v>1755</v>
      </c>
      <c r="D22" s="14" t="s">
        <v>1745</v>
      </c>
      <c r="E22" s="14" t="s">
        <v>1746</v>
      </c>
      <c r="F22" s="25">
        <v>1890</v>
      </c>
      <c r="G22" s="25">
        <v>1512</v>
      </c>
    </row>
    <row r="23" spans="1:7" x14ac:dyDescent="0.25">
      <c r="A23" s="14" t="s">
        <v>26</v>
      </c>
      <c r="B23" s="14" t="s">
        <v>20</v>
      </c>
      <c r="C23" s="15" t="s">
        <v>1756</v>
      </c>
      <c r="D23" s="14" t="s">
        <v>1745</v>
      </c>
      <c r="E23" s="14" t="s">
        <v>1746</v>
      </c>
      <c r="F23" s="25">
        <v>2520</v>
      </c>
      <c r="G23" s="25">
        <v>2016</v>
      </c>
    </row>
    <row r="24" spans="1:7" x14ac:dyDescent="0.25">
      <c r="A24" s="14" t="s">
        <v>26</v>
      </c>
      <c r="B24" s="14" t="s">
        <v>20</v>
      </c>
      <c r="C24" s="15" t="s">
        <v>1756</v>
      </c>
      <c r="D24" s="14" t="s">
        <v>1745</v>
      </c>
      <c r="E24" s="14" t="s">
        <v>1747</v>
      </c>
      <c r="F24" s="25">
        <v>2400</v>
      </c>
      <c r="G24" s="25">
        <v>1920</v>
      </c>
    </row>
    <row r="25" spans="1:7" x14ac:dyDescent="0.25">
      <c r="A25" s="14" t="s">
        <v>26</v>
      </c>
      <c r="B25" s="14" t="s">
        <v>16</v>
      </c>
      <c r="C25" s="15" t="s">
        <v>1754</v>
      </c>
      <c r="D25" s="14" t="s">
        <v>1749</v>
      </c>
      <c r="E25" s="14" t="s">
        <v>1746</v>
      </c>
      <c r="F25" s="25">
        <v>480</v>
      </c>
      <c r="G25" s="25">
        <v>432</v>
      </c>
    </row>
    <row r="26" spans="1:7" x14ac:dyDescent="0.25">
      <c r="A26" s="14" t="s">
        <v>26</v>
      </c>
      <c r="B26" s="14" t="s">
        <v>24</v>
      </c>
      <c r="C26" s="15" t="s">
        <v>1755</v>
      </c>
      <c r="D26" s="14" t="s">
        <v>1749</v>
      </c>
      <c r="E26" s="14" t="s">
        <v>1746</v>
      </c>
      <c r="F26" s="25">
        <v>180</v>
      </c>
      <c r="G26" s="25">
        <v>144</v>
      </c>
    </row>
    <row r="27" spans="1:7" x14ac:dyDescent="0.25">
      <c r="A27" s="14" t="s">
        <v>26</v>
      </c>
      <c r="B27" s="14">
        <v>1</v>
      </c>
      <c r="C27" s="15" t="s">
        <v>25</v>
      </c>
      <c r="D27" s="14" t="s">
        <v>1749</v>
      </c>
      <c r="E27" s="14" t="s">
        <v>1746</v>
      </c>
      <c r="F27" s="25">
        <v>1200</v>
      </c>
      <c r="G27" s="25">
        <v>960</v>
      </c>
    </row>
    <row r="28" spans="1:7" x14ac:dyDescent="0.25">
      <c r="A28" s="14" t="s">
        <v>26</v>
      </c>
      <c r="B28" s="14" t="s">
        <v>16</v>
      </c>
      <c r="C28" s="15" t="s">
        <v>1754</v>
      </c>
      <c r="D28" s="14" t="s">
        <v>1745</v>
      </c>
      <c r="E28" s="14" t="s">
        <v>1747</v>
      </c>
      <c r="F28" s="25">
        <v>4800</v>
      </c>
      <c r="G28" s="25">
        <v>4320</v>
      </c>
    </row>
    <row r="29" spans="1:7" x14ac:dyDescent="0.25">
      <c r="A29" s="14" t="s">
        <v>26</v>
      </c>
      <c r="B29" s="14">
        <v>1</v>
      </c>
      <c r="C29" s="15" t="s">
        <v>25</v>
      </c>
      <c r="D29" s="14" t="s">
        <v>1745</v>
      </c>
      <c r="E29" s="14" t="s">
        <v>1747</v>
      </c>
      <c r="F29" s="25">
        <v>12000</v>
      </c>
      <c r="G29" s="25">
        <v>9600</v>
      </c>
    </row>
    <row r="30" spans="1:7" x14ac:dyDescent="0.25">
      <c r="A30" s="14" t="s">
        <v>26</v>
      </c>
      <c r="B30" s="14">
        <v>1</v>
      </c>
      <c r="C30" s="15" t="s">
        <v>25</v>
      </c>
      <c r="D30" s="14" t="s">
        <v>1745</v>
      </c>
      <c r="E30" s="14" t="s">
        <v>1746</v>
      </c>
      <c r="F30" s="25">
        <v>12600</v>
      </c>
      <c r="G30" s="25">
        <v>10080</v>
      </c>
    </row>
    <row r="31" spans="1:7" x14ac:dyDescent="0.25">
      <c r="A31" s="14" t="s">
        <v>26</v>
      </c>
      <c r="B31" s="14" t="s">
        <v>24</v>
      </c>
      <c r="C31" s="15" t="s">
        <v>1755</v>
      </c>
      <c r="D31" s="14" t="s">
        <v>1745</v>
      </c>
      <c r="E31" s="14" t="s">
        <v>1747</v>
      </c>
      <c r="F31" s="25">
        <v>1800</v>
      </c>
      <c r="G31" s="25">
        <v>1440</v>
      </c>
    </row>
    <row r="32" spans="1:7" x14ac:dyDescent="0.25">
      <c r="A32" s="14" t="s">
        <v>26</v>
      </c>
      <c r="B32" s="14" t="s">
        <v>20</v>
      </c>
      <c r="C32" s="15" t="s">
        <v>1756</v>
      </c>
      <c r="D32" s="14" t="s">
        <v>1749</v>
      </c>
      <c r="E32" s="14" t="s">
        <v>1746</v>
      </c>
      <c r="F32" s="25">
        <v>240</v>
      </c>
      <c r="G32" s="25">
        <v>192</v>
      </c>
    </row>
    <row r="33" spans="1:7" x14ac:dyDescent="0.25">
      <c r="A33" s="14" t="s">
        <v>1757</v>
      </c>
      <c r="B33" s="14">
        <v>4</v>
      </c>
      <c r="C33" s="15" t="s">
        <v>1758</v>
      </c>
      <c r="D33" s="14" t="s">
        <v>1749</v>
      </c>
      <c r="E33" s="14" t="s">
        <v>1746</v>
      </c>
      <c r="F33" s="25">
        <v>1998</v>
      </c>
      <c r="G33" s="25">
        <v>1598.4</v>
      </c>
    </row>
    <row r="34" spans="1:7" x14ac:dyDescent="0.25">
      <c r="A34" s="14" t="s">
        <v>1757</v>
      </c>
      <c r="B34" s="14">
        <v>4</v>
      </c>
      <c r="C34" s="15" t="s">
        <v>1758</v>
      </c>
      <c r="D34" s="14" t="s">
        <v>1745</v>
      </c>
      <c r="E34" s="14" t="s">
        <v>1746</v>
      </c>
      <c r="F34" s="25">
        <v>20979</v>
      </c>
      <c r="G34" s="25">
        <v>16783.2</v>
      </c>
    </row>
    <row r="35" spans="1:7" x14ac:dyDescent="0.25">
      <c r="A35" s="14" t="s">
        <v>1757</v>
      </c>
      <c r="B35" s="14">
        <v>4</v>
      </c>
      <c r="C35" s="15" t="s">
        <v>1758</v>
      </c>
      <c r="D35" s="14" t="s">
        <v>1745</v>
      </c>
      <c r="E35" s="14" t="s">
        <v>1747</v>
      </c>
      <c r="F35" s="25">
        <v>19980</v>
      </c>
      <c r="G35" s="25">
        <v>15984</v>
      </c>
    </row>
    <row r="36" spans="1:7" x14ac:dyDescent="0.25">
      <c r="A36" s="14" t="s">
        <v>1757</v>
      </c>
      <c r="B36" s="14">
        <v>1</v>
      </c>
      <c r="C36" s="15" t="s">
        <v>1759</v>
      </c>
      <c r="D36" s="14" t="s">
        <v>1745</v>
      </c>
      <c r="E36" s="14" t="s">
        <v>1746</v>
      </c>
      <c r="F36" s="25">
        <v>104832</v>
      </c>
      <c r="G36" s="25">
        <v>83865.600000000006</v>
      </c>
    </row>
    <row r="37" spans="1:7" x14ac:dyDescent="0.25">
      <c r="A37" s="14" t="s">
        <v>1757</v>
      </c>
      <c r="B37" s="14">
        <v>5</v>
      </c>
      <c r="C37" s="15" t="s">
        <v>1760</v>
      </c>
      <c r="D37" s="14" t="s">
        <v>1745</v>
      </c>
      <c r="E37" s="14" t="s">
        <v>1746</v>
      </c>
      <c r="F37" s="25">
        <v>41958</v>
      </c>
      <c r="G37" s="25">
        <v>37762.199999999997</v>
      </c>
    </row>
    <row r="38" spans="1:7" x14ac:dyDescent="0.25">
      <c r="A38" s="14" t="s">
        <v>1757</v>
      </c>
      <c r="B38" s="14">
        <v>1</v>
      </c>
      <c r="C38" s="15" t="s">
        <v>1759</v>
      </c>
      <c r="D38" s="14" t="s">
        <v>1745</v>
      </c>
      <c r="E38" s="14" t="s">
        <v>1747</v>
      </c>
      <c r="F38" s="25">
        <v>99840</v>
      </c>
      <c r="G38" s="25">
        <v>79872</v>
      </c>
    </row>
    <row r="39" spans="1:7" x14ac:dyDescent="0.25">
      <c r="A39" s="14" t="s">
        <v>1757</v>
      </c>
      <c r="B39" s="14">
        <v>5</v>
      </c>
      <c r="C39" s="15" t="s">
        <v>1760</v>
      </c>
      <c r="D39" s="14" t="s">
        <v>1749</v>
      </c>
      <c r="E39" s="14" t="s">
        <v>1746</v>
      </c>
      <c r="F39" s="25">
        <v>3996</v>
      </c>
      <c r="G39" s="25">
        <v>3596.4</v>
      </c>
    </row>
    <row r="40" spans="1:7" x14ac:dyDescent="0.25">
      <c r="A40" s="14" t="s">
        <v>1757</v>
      </c>
      <c r="B40" s="14">
        <v>5</v>
      </c>
      <c r="C40" s="15" t="s">
        <v>1760</v>
      </c>
      <c r="D40" s="14" t="s">
        <v>1745</v>
      </c>
      <c r="E40" s="14" t="s">
        <v>1747</v>
      </c>
      <c r="F40" s="25">
        <v>39960</v>
      </c>
      <c r="G40" s="25">
        <v>35964</v>
      </c>
    </row>
    <row r="41" spans="1:7" x14ac:dyDescent="0.25">
      <c r="A41" s="14" t="s">
        <v>1757</v>
      </c>
      <c r="B41" s="14">
        <v>1</v>
      </c>
      <c r="C41" s="15" t="s">
        <v>1759</v>
      </c>
      <c r="D41" s="14" t="s">
        <v>1749</v>
      </c>
      <c r="E41" s="14" t="s">
        <v>1746</v>
      </c>
      <c r="F41" s="25">
        <v>9984</v>
      </c>
      <c r="G41" s="25">
        <v>7987.2</v>
      </c>
    </row>
    <row r="42" spans="1:7" x14ac:dyDescent="0.25">
      <c r="A42" s="14" t="s">
        <v>42</v>
      </c>
      <c r="B42" s="14">
        <v>3</v>
      </c>
      <c r="C42" s="15" t="s">
        <v>372</v>
      </c>
      <c r="D42" s="14" t="s">
        <v>1745</v>
      </c>
      <c r="E42" s="14" t="s">
        <v>1746</v>
      </c>
      <c r="F42" s="25">
        <v>15750</v>
      </c>
      <c r="G42" s="25">
        <v>12600</v>
      </c>
    </row>
    <row r="43" spans="1:7" x14ac:dyDescent="0.25">
      <c r="A43" s="14" t="s">
        <v>42</v>
      </c>
      <c r="B43" s="14">
        <v>1</v>
      </c>
      <c r="C43" s="15" t="s">
        <v>373</v>
      </c>
      <c r="D43" s="14" t="s">
        <v>1745</v>
      </c>
      <c r="E43" s="14" t="s">
        <v>1746</v>
      </c>
      <c r="F43" s="25">
        <v>10458</v>
      </c>
      <c r="G43" s="25">
        <v>8366.4</v>
      </c>
    </row>
    <row r="44" spans="1:7" x14ac:dyDescent="0.25">
      <c r="A44" s="14" t="s">
        <v>42</v>
      </c>
      <c r="B44" s="14">
        <v>7</v>
      </c>
      <c r="C44" s="15" t="s">
        <v>1761</v>
      </c>
      <c r="D44" s="14" t="s">
        <v>1745</v>
      </c>
      <c r="E44" s="14" t="s">
        <v>1746</v>
      </c>
      <c r="F44" s="25">
        <v>4221</v>
      </c>
      <c r="G44" s="25">
        <v>3798.96</v>
      </c>
    </row>
    <row r="45" spans="1:7" ht="30" x14ac:dyDescent="0.25">
      <c r="A45" s="14" t="s">
        <v>42</v>
      </c>
      <c r="B45" s="14">
        <v>9</v>
      </c>
      <c r="C45" s="15" t="s">
        <v>1762</v>
      </c>
      <c r="D45" s="14" t="s">
        <v>1749</v>
      </c>
      <c r="E45" s="14" t="s">
        <v>1746</v>
      </c>
      <c r="F45" s="25">
        <v>600</v>
      </c>
      <c r="G45" s="25">
        <v>540</v>
      </c>
    </row>
    <row r="46" spans="1:7" ht="30" x14ac:dyDescent="0.25">
      <c r="A46" s="14" t="s">
        <v>42</v>
      </c>
      <c r="B46" s="14">
        <v>9</v>
      </c>
      <c r="C46" s="15" t="s">
        <v>1762</v>
      </c>
      <c r="D46" s="14" t="s">
        <v>1745</v>
      </c>
      <c r="E46" s="14" t="s">
        <v>1746</v>
      </c>
      <c r="F46" s="25">
        <v>6300</v>
      </c>
      <c r="G46" s="25">
        <v>5670</v>
      </c>
    </row>
    <row r="47" spans="1:7" x14ac:dyDescent="0.25">
      <c r="A47" s="14" t="s">
        <v>42</v>
      </c>
      <c r="B47" s="14">
        <v>3</v>
      </c>
      <c r="C47" s="15" t="s">
        <v>372</v>
      </c>
      <c r="D47" s="14" t="s">
        <v>1745</v>
      </c>
      <c r="E47" s="14" t="s">
        <v>1747</v>
      </c>
      <c r="F47" s="25">
        <v>15000</v>
      </c>
      <c r="G47" s="25">
        <v>12000</v>
      </c>
    </row>
    <row r="48" spans="1:7" x14ac:dyDescent="0.25">
      <c r="A48" s="14" t="s">
        <v>42</v>
      </c>
      <c r="B48" s="14">
        <v>8</v>
      </c>
      <c r="C48" s="15" t="s">
        <v>1763</v>
      </c>
      <c r="D48" s="14" t="s">
        <v>1745</v>
      </c>
      <c r="E48" s="14" t="s">
        <v>1747</v>
      </c>
      <c r="F48" s="25">
        <v>4020</v>
      </c>
      <c r="G48" s="25">
        <v>3618</v>
      </c>
    </row>
    <row r="49" spans="1:7" x14ac:dyDescent="0.25">
      <c r="A49" s="14" t="s">
        <v>42</v>
      </c>
      <c r="B49" s="14">
        <v>2</v>
      </c>
      <c r="C49" s="15" t="s">
        <v>374</v>
      </c>
      <c r="D49" s="14" t="s">
        <v>1745</v>
      </c>
      <c r="E49" s="14" t="s">
        <v>1747</v>
      </c>
      <c r="F49" s="25">
        <v>9960</v>
      </c>
      <c r="G49" s="25">
        <v>7968</v>
      </c>
    </row>
    <row r="50" spans="1:7" x14ac:dyDescent="0.25">
      <c r="A50" s="14" t="s">
        <v>42</v>
      </c>
      <c r="B50" s="14">
        <v>8</v>
      </c>
      <c r="C50" s="15" t="s">
        <v>1763</v>
      </c>
      <c r="D50" s="14" t="s">
        <v>1745</v>
      </c>
      <c r="E50" s="14" t="s">
        <v>1746</v>
      </c>
      <c r="F50" s="25">
        <v>4221</v>
      </c>
      <c r="G50" s="25">
        <v>3798.96</v>
      </c>
    </row>
    <row r="51" spans="1:7" x14ac:dyDescent="0.25">
      <c r="A51" s="14" t="s">
        <v>42</v>
      </c>
      <c r="B51" s="14">
        <v>1</v>
      </c>
      <c r="C51" s="15" t="s">
        <v>373</v>
      </c>
      <c r="D51" s="14" t="s">
        <v>1749</v>
      </c>
      <c r="E51" s="14" t="s">
        <v>1746</v>
      </c>
      <c r="F51" s="25">
        <v>996</v>
      </c>
      <c r="G51" s="25">
        <v>796.8</v>
      </c>
    </row>
    <row r="52" spans="1:7" x14ac:dyDescent="0.25">
      <c r="A52" s="14" t="s">
        <v>42</v>
      </c>
      <c r="B52" s="14">
        <v>1</v>
      </c>
      <c r="C52" s="15" t="s">
        <v>373</v>
      </c>
      <c r="D52" s="14" t="s">
        <v>1745</v>
      </c>
      <c r="E52" s="14" t="s">
        <v>1747</v>
      </c>
      <c r="F52" s="25">
        <v>9960</v>
      </c>
      <c r="G52" s="25">
        <v>7968</v>
      </c>
    </row>
    <row r="53" spans="1:7" x14ac:dyDescent="0.25">
      <c r="A53" s="14" t="s">
        <v>42</v>
      </c>
      <c r="B53" s="14">
        <v>8</v>
      </c>
      <c r="C53" s="15" t="s">
        <v>1763</v>
      </c>
      <c r="D53" s="14" t="s">
        <v>1749</v>
      </c>
      <c r="E53" s="14" t="s">
        <v>1746</v>
      </c>
      <c r="F53" s="25">
        <v>402</v>
      </c>
      <c r="G53" s="25">
        <v>361.8</v>
      </c>
    </row>
    <row r="54" spans="1:7" x14ac:dyDescent="0.25">
      <c r="A54" s="14" t="s">
        <v>42</v>
      </c>
      <c r="B54" s="14">
        <v>2</v>
      </c>
      <c r="C54" s="15" t="s">
        <v>374</v>
      </c>
      <c r="D54" s="14" t="s">
        <v>1745</v>
      </c>
      <c r="E54" s="14" t="s">
        <v>1746</v>
      </c>
      <c r="F54" s="25">
        <v>10458</v>
      </c>
      <c r="G54" s="25">
        <v>8366.4</v>
      </c>
    </row>
    <row r="55" spans="1:7" ht="30" x14ac:dyDescent="0.25">
      <c r="A55" s="14" t="s">
        <v>42</v>
      </c>
      <c r="B55" s="14">
        <v>9</v>
      </c>
      <c r="C55" s="15" t="s">
        <v>1762</v>
      </c>
      <c r="D55" s="14" t="s">
        <v>1745</v>
      </c>
      <c r="E55" s="14" t="s">
        <v>1747</v>
      </c>
      <c r="F55" s="25">
        <v>6000</v>
      </c>
      <c r="G55" s="25">
        <v>5400</v>
      </c>
    </row>
    <row r="56" spans="1:7" x14ac:dyDescent="0.25">
      <c r="A56" s="14" t="s">
        <v>42</v>
      </c>
      <c r="B56" s="14">
        <v>7</v>
      </c>
      <c r="C56" s="15" t="s">
        <v>1761</v>
      </c>
      <c r="D56" s="14" t="s">
        <v>1749</v>
      </c>
      <c r="E56" s="14" t="s">
        <v>1746</v>
      </c>
      <c r="F56" s="25">
        <v>402</v>
      </c>
      <c r="G56" s="25">
        <v>361.8</v>
      </c>
    </row>
    <row r="57" spans="1:7" x14ac:dyDescent="0.25">
      <c r="A57" s="14" t="s">
        <v>42</v>
      </c>
      <c r="B57" s="14">
        <v>3</v>
      </c>
      <c r="C57" s="15" t="s">
        <v>372</v>
      </c>
      <c r="D57" s="14" t="s">
        <v>1749</v>
      </c>
      <c r="E57" s="14" t="s">
        <v>1746</v>
      </c>
      <c r="F57" s="25">
        <v>1500</v>
      </c>
      <c r="G57" s="25">
        <v>1200</v>
      </c>
    </row>
    <row r="58" spans="1:7" x14ac:dyDescent="0.25">
      <c r="A58" s="14" t="s">
        <v>42</v>
      </c>
      <c r="B58" s="14">
        <v>7</v>
      </c>
      <c r="C58" s="15" t="s">
        <v>1761</v>
      </c>
      <c r="D58" s="14" t="s">
        <v>1745</v>
      </c>
      <c r="E58" s="14" t="s">
        <v>1747</v>
      </c>
      <c r="F58" s="25">
        <v>4020</v>
      </c>
      <c r="G58" s="25">
        <v>3618</v>
      </c>
    </row>
    <row r="59" spans="1:7" x14ac:dyDescent="0.25">
      <c r="A59" s="14" t="s">
        <v>42</v>
      </c>
      <c r="B59" s="14">
        <v>2</v>
      </c>
      <c r="C59" s="15" t="s">
        <v>374</v>
      </c>
      <c r="D59" s="14" t="s">
        <v>1749</v>
      </c>
      <c r="E59" s="14" t="s">
        <v>1746</v>
      </c>
      <c r="F59" s="25">
        <v>996</v>
      </c>
      <c r="G59" s="25">
        <v>796.8</v>
      </c>
    </row>
    <row r="60" spans="1:7" x14ac:dyDescent="0.25">
      <c r="A60" s="14" t="s">
        <v>57</v>
      </c>
      <c r="B60" s="14">
        <v>6</v>
      </c>
      <c r="C60" s="15" t="s">
        <v>1764</v>
      </c>
      <c r="D60" s="14" t="s">
        <v>1745</v>
      </c>
      <c r="E60" s="14" t="s">
        <v>1747</v>
      </c>
      <c r="F60" s="25">
        <v>15000</v>
      </c>
      <c r="G60" s="25">
        <v>13800</v>
      </c>
    </row>
    <row r="61" spans="1:7" x14ac:dyDescent="0.25">
      <c r="A61" s="14" t="s">
        <v>57</v>
      </c>
      <c r="B61" s="14">
        <v>9</v>
      </c>
      <c r="C61" s="15" t="s">
        <v>1765</v>
      </c>
      <c r="D61" s="14" t="s">
        <v>1749</v>
      </c>
      <c r="E61" s="14" t="s">
        <v>1766</v>
      </c>
      <c r="F61" s="25">
        <v>0</v>
      </c>
      <c r="G61" s="25">
        <v>0</v>
      </c>
    </row>
    <row r="62" spans="1:7" x14ac:dyDescent="0.25">
      <c r="A62" s="14" t="s">
        <v>57</v>
      </c>
      <c r="B62" s="14">
        <v>4</v>
      </c>
      <c r="C62" s="15" t="s">
        <v>1765</v>
      </c>
      <c r="D62" s="14" t="s">
        <v>1745</v>
      </c>
      <c r="E62" s="14" t="s">
        <v>1746</v>
      </c>
      <c r="F62" s="25">
        <v>15750</v>
      </c>
      <c r="G62" s="25">
        <v>14490</v>
      </c>
    </row>
    <row r="63" spans="1:7" x14ac:dyDescent="0.25">
      <c r="A63" s="14" t="s">
        <v>57</v>
      </c>
      <c r="B63" s="14">
        <v>2</v>
      </c>
      <c r="C63" s="15" t="s">
        <v>56</v>
      </c>
      <c r="D63" s="14" t="s">
        <v>1745</v>
      </c>
      <c r="E63" s="14" t="s">
        <v>1747</v>
      </c>
      <c r="F63" s="25">
        <v>15000</v>
      </c>
      <c r="G63" s="25">
        <v>12000</v>
      </c>
    </row>
    <row r="64" spans="1:7" x14ac:dyDescent="0.25">
      <c r="A64" s="14" t="s">
        <v>57</v>
      </c>
      <c r="B64" s="14">
        <v>2</v>
      </c>
      <c r="C64" s="15" t="s">
        <v>56</v>
      </c>
      <c r="D64" s="14" t="s">
        <v>1749</v>
      </c>
      <c r="E64" s="14" t="s">
        <v>1746</v>
      </c>
      <c r="F64" s="25">
        <v>1500</v>
      </c>
      <c r="G64" s="25">
        <v>1200</v>
      </c>
    </row>
    <row r="65" spans="1:7" x14ac:dyDescent="0.25">
      <c r="A65" s="14" t="s">
        <v>57</v>
      </c>
      <c r="B65" s="14">
        <v>5</v>
      </c>
      <c r="C65" s="15" t="s">
        <v>1764</v>
      </c>
      <c r="D65" s="14" t="s">
        <v>1749</v>
      </c>
      <c r="E65" s="14" t="s">
        <v>1766</v>
      </c>
      <c r="F65" s="25">
        <v>0</v>
      </c>
      <c r="G65" s="25">
        <v>0</v>
      </c>
    </row>
    <row r="66" spans="1:7" x14ac:dyDescent="0.25">
      <c r="A66" s="14" t="s">
        <v>57</v>
      </c>
      <c r="B66" s="14">
        <v>6</v>
      </c>
      <c r="C66" s="15" t="s">
        <v>1764</v>
      </c>
      <c r="D66" s="14" t="s">
        <v>1745</v>
      </c>
      <c r="E66" s="14" t="s">
        <v>1746</v>
      </c>
      <c r="F66" s="25">
        <v>15750</v>
      </c>
      <c r="G66" s="25">
        <v>14490</v>
      </c>
    </row>
    <row r="67" spans="1:7" x14ac:dyDescent="0.25">
      <c r="A67" s="14" t="s">
        <v>57</v>
      </c>
      <c r="B67" s="14">
        <v>4</v>
      </c>
      <c r="C67" s="15" t="s">
        <v>1765</v>
      </c>
      <c r="D67" s="14" t="s">
        <v>1745</v>
      </c>
      <c r="E67" s="14" t="s">
        <v>1747</v>
      </c>
      <c r="F67" s="25">
        <v>15000</v>
      </c>
      <c r="G67" s="25">
        <v>13800</v>
      </c>
    </row>
    <row r="68" spans="1:7" x14ac:dyDescent="0.25">
      <c r="A68" s="14" t="s">
        <v>57</v>
      </c>
      <c r="B68" s="14">
        <v>2</v>
      </c>
      <c r="C68" s="15" t="s">
        <v>56</v>
      </c>
      <c r="D68" s="14" t="s">
        <v>1745</v>
      </c>
      <c r="E68" s="14" t="s">
        <v>1746</v>
      </c>
      <c r="F68" s="25">
        <v>15750</v>
      </c>
      <c r="G68" s="25">
        <v>12600</v>
      </c>
    </row>
    <row r="69" spans="1:7" x14ac:dyDescent="0.25">
      <c r="A69" s="14" t="s">
        <v>1767</v>
      </c>
      <c r="B69" s="14">
        <v>1</v>
      </c>
      <c r="C69" s="15" t="s">
        <v>1768</v>
      </c>
      <c r="D69" s="14" t="s">
        <v>1745</v>
      </c>
      <c r="E69" s="14" t="s">
        <v>1746</v>
      </c>
      <c r="F69" s="25">
        <v>1048.32</v>
      </c>
      <c r="G69" s="25">
        <v>838.68</v>
      </c>
    </row>
    <row r="70" spans="1:7" x14ac:dyDescent="0.25">
      <c r="A70" s="14" t="s">
        <v>1767</v>
      </c>
      <c r="B70" s="14">
        <v>1</v>
      </c>
      <c r="C70" s="15" t="s">
        <v>1768</v>
      </c>
      <c r="D70" s="14" t="s">
        <v>1745</v>
      </c>
      <c r="E70" s="14" t="s">
        <v>1747</v>
      </c>
      <c r="F70" s="25">
        <v>998.4</v>
      </c>
      <c r="G70" s="25">
        <v>798.72</v>
      </c>
    </row>
    <row r="71" spans="1:7" x14ac:dyDescent="0.25">
      <c r="A71" s="14" t="s">
        <v>1767</v>
      </c>
      <c r="B71" s="14">
        <v>1</v>
      </c>
      <c r="C71" s="15" t="s">
        <v>1768</v>
      </c>
      <c r="D71" s="14" t="s">
        <v>1749</v>
      </c>
      <c r="E71" s="14" t="s">
        <v>1746</v>
      </c>
      <c r="F71" s="25">
        <v>99.84</v>
      </c>
      <c r="G71" s="25">
        <v>79.87</v>
      </c>
    </row>
    <row r="72" spans="1:7" x14ac:dyDescent="0.25">
      <c r="A72" s="14" t="s">
        <v>1769</v>
      </c>
      <c r="B72" s="14">
        <v>1</v>
      </c>
      <c r="C72" s="15" t="s">
        <v>1770</v>
      </c>
      <c r="D72" s="14" t="s">
        <v>1749</v>
      </c>
      <c r="E72" s="14" t="s">
        <v>1746</v>
      </c>
      <c r="F72" s="25">
        <v>0</v>
      </c>
      <c r="G72" s="25">
        <v>0</v>
      </c>
    </row>
    <row r="73" spans="1:7" x14ac:dyDescent="0.25">
      <c r="A73" s="14" t="s">
        <v>1769</v>
      </c>
      <c r="B73" s="14">
        <v>1</v>
      </c>
      <c r="C73" s="15" t="s">
        <v>1770</v>
      </c>
      <c r="D73" s="14" t="s">
        <v>1745</v>
      </c>
      <c r="E73" s="14" t="s">
        <v>1747</v>
      </c>
      <c r="F73" s="25">
        <v>0</v>
      </c>
      <c r="G73" s="25">
        <v>0</v>
      </c>
    </row>
    <row r="74" spans="1:7" x14ac:dyDescent="0.25">
      <c r="A74" s="14" t="s">
        <v>1769</v>
      </c>
      <c r="B74" s="14">
        <v>1</v>
      </c>
      <c r="C74" s="15" t="s">
        <v>1770</v>
      </c>
      <c r="D74" s="14" t="s">
        <v>1745</v>
      </c>
      <c r="E74" s="14" t="s">
        <v>1746</v>
      </c>
      <c r="F74" s="25">
        <v>0</v>
      </c>
      <c r="G74" s="25">
        <v>0</v>
      </c>
    </row>
    <row r="75" spans="1:7" x14ac:dyDescent="0.25">
      <c r="A75" s="14" t="s">
        <v>1771</v>
      </c>
      <c r="B75" s="14">
        <v>2</v>
      </c>
      <c r="C75" s="15" t="s">
        <v>1772</v>
      </c>
      <c r="D75" s="14" t="s">
        <v>1745</v>
      </c>
      <c r="E75" s="14" t="s">
        <v>1746</v>
      </c>
      <c r="F75" s="25">
        <v>4221</v>
      </c>
      <c r="G75" s="25">
        <v>3376.8</v>
      </c>
    </row>
    <row r="76" spans="1:7" x14ac:dyDescent="0.25">
      <c r="A76" s="14" t="s">
        <v>1771</v>
      </c>
      <c r="B76" s="14">
        <v>2</v>
      </c>
      <c r="C76" s="15" t="s">
        <v>1772</v>
      </c>
      <c r="D76" s="14" t="s">
        <v>1745</v>
      </c>
      <c r="E76" s="14" t="s">
        <v>1747</v>
      </c>
      <c r="F76" s="25">
        <v>4020</v>
      </c>
      <c r="G76" s="25">
        <v>3216</v>
      </c>
    </row>
    <row r="77" spans="1:7" x14ac:dyDescent="0.25">
      <c r="A77" s="14" t="s">
        <v>1773</v>
      </c>
      <c r="B77" s="14">
        <v>5</v>
      </c>
      <c r="C77" s="15" t="s">
        <v>1774</v>
      </c>
      <c r="D77" s="14" t="s">
        <v>1745</v>
      </c>
      <c r="E77" s="14" t="s">
        <v>1747</v>
      </c>
      <c r="F77" s="25">
        <v>1260</v>
      </c>
      <c r="G77" s="25">
        <v>1008</v>
      </c>
    </row>
    <row r="78" spans="1:7" x14ac:dyDescent="0.25">
      <c r="A78" s="14" t="s">
        <v>1775</v>
      </c>
      <c r="B78" s="14">
        <v>2</v>
      </c>
      <c r="C78" s="15" t="s">
        <v>1776</v>
      </c>
      <c r="D78" s="14" t="s">
        <v>1745</v>
      </c>
      <c r="E78" s="14" t="s">
        <v>1747</v>
      </c>
      <c r="F78" s="25">
        <v>39960</v>
      </c>
      <c r="G78" s="25">
        <v>29970</v>
      </c>
    </row>
    <row r="79" spans="1:7" x14ac:dyDescent="0.25">
      <c r="A79" s="14" t="s">
        <v>1775</v>
      </c>
      <c r="B79" s="14" t="s">
        <v>89</v>
      </c>
      <c r="C79" s="15" t="s">
        <v>1777</v>
      </c>
      <c r="D79" s="14" t="s">
        <v>1749</v>
      </c>
      <c r="E79" s="14" t="s">
        <v>1746</v>
      </c>
      <c r="F79" s="25">
        <v>2796</v>
      </c>
      <c r="G79" s="25">
        <v>2097</v>
      </c>
    </row>
    <row r="80" spans="1:7" x14ac:dyDescent="0.25">
      <c r="A80" s="14" t="s">
        <v>1775</v>
      </c>
      <c r="B80" s="14">
        <v>2</v>
      </c>
      <c r="C80" s="15" t="s">
        <v>1776</v>
      </c>
      <c r="D80" s="14" t="s">
        <v>1749</v>
      </c>
      <c r="E80" s="14" t="s">
        <v>1746</v>
      </c>
      <c r="F80" s="25">
        <v>3996</v>
      </c>
      <c r="G80" s="25">
        <v>2997</v>
      </c>
    </row>
    <row r="81" spans="1:7" x14ac:dyDescent="0.25">
      <c r="A81" s="14" t="s">
        <v>1775</v>
      </c>
      <c r="B81" s="14" t="s">
        <v>55</v>
      </c>
      <c r="C81" s="15" t="s">
        <v>1778</v>
      </c>
      <c r="D81" s="14" t="s">
        <v>1745</v>
      </c>
      <c r="E81" s="14" t="s">
        <v>1746</v>
      </c>
      <c r="F81" s="25">
        <v>29358</v>
      </c>
      <c r="G81" s="25">
        <v>26422.2</v>
      </c>
    </row>
    <row r="82" spans="1:7" x14ac:dyDescent="0.25">
      <c r="A82" s="14" t="s">
        <v>1775</v>
      </c>
      <c r="B82" s="14">
        <v>2</v>
      </c>
      <c r="C82" s="15" t="s">
        <v>1776</v>
      </c>
      <c r="D82" s="14" t="s">
        <v>1745</v>
      </c>
      <c r="E82" s="14" t="s">
        <v>1746</v>
      </c>
      <c r="F82" s="25">
        <v>41958</v>
      </c>
      <c r="G82" s="25">
        <v>31468.560000000001</v>
      </c>
    </row>
    <row r="83" spans="1:7" x14ac:dyDescent="0.25">
      <c r="A83" s="14" t="s">
        <v>1775</v>
      </c>
      <c r="B83" s="14" t="s">
        <v>89</v>
      </c>
      <c r="C83" s="15" t="s">
        <v>1777</v>
      </c>
      <c r="D83" s="14" t="s">
        <v>1745</v>
      </c>
      <c r="E83" s="14" t="s">
        <v>1746</v>
      </c>
      <c r="F83" s="25">
        <v>29358</v>
      </c>
      <c r="G83" s="25">
        <v>22018.560000000001</v>
      </c>
    </row>
    <row r="84" spans="1:7" x14ac:dyDescent="0.25">
      <c r="A84" s="14" t="s">
        <v>1775</v>
      </c>
      <c r="B84" s="14" t="s">
        <v>55</v>
      </c>
      <c r="C84" s="15" t="s">
        <v>1778</v>
      </c>
      <c r="D84" s="14" t="s">
        <v>1749</v>
      </c>
      <c r="E84" s="14" t="s">
        <v>1746</v>
      </c>
      <c r="F84" s="25">
        <v>2796</v>
      </c>
      <c r="G84" s="25">
        <v>2516.4</v>
      </c>
    </row>
    <row r="85" spans="1:7" x14ac:dyDescent="0.25">
      <c r="A85" s="14" t="s">
        <v>1775</v>
      </c>
      <c r="B85" s="14" t="s">
        <v>89</v>
      </c>
      <c r="C85" s="15" t="s">
        <v>1777</v>
      </c>
      <c r="D85" s="14" t="s">
        <v>1745</v>
      </c>
      <c r="E85" s="14" t="s">
        <v>1747</v>
      </c>
      <c r="F85" s="25">
        <v>27960</v>
      </c>
      <c r="G85" s="25">
        <v>20970</v>
      </c>
    </row>
    <row r="86" spans="1:7" x14ac:dyDescent="0.25">
      <c r="A86" s="14" t="s">
        <v>1775</v>
      </c>
      <c r="B86" s="14" t="s">
        <v>55</v>
      </c>
      <c r="C86" s="15" t="s">
        <v>1778</v>
      </c>
      <c r="D86" s="14" t="s">
        <v>1745</v>
      </c>
      <c r="E86" s="14" t="s">
        <v>1747</v>
      </c>
      <c r="F86" s="25">
        <v>27960</v>
      </c>
      <c r="G86" s="25">
        <v>25164</v>
      </c>
    </row>
    <row r="87" spans="1:7" x14ac:dyDescent="0.25">
      <c r="A87" s="14" t="s">
        <v>1779</v>
      </c>
      <c r="B87" s="14">
        <v>3</v>
      </c>
      <c r="C87" s="15" t="s">
        <v>1780</v>
      </c>
      <c r="D87" s="14" t="s">
        <v>1749</v>
      </c>
      <c r="E87" s="14" t="s">
        <v>1746</v>
      </c>
      <c r="F87" s="25">
        <v>2994</v>
      </c>
      <c r="G87" s="25">
        <v>2245.5</v>
      </c>
    </row>
    <row r="88" spans="1:7" x14ac:dyDescent="0.25">
      <c r="A88" s="14" t="s">
        <v>1779</v>
      </c>
      <c r="B88" s="14">
        <v>3</v>
      </c>
      <c r="C88" s="15" t="s">
        <v>1780</v>
      </c>
      <c r="D88" s="14" t="s">
        <v>1745</v>
      </c>
      <c r="E88" s="14" t="s">
        <v>1747</v>
      </c>
      <c r="F88" s="25">
        <v>29940</v>
      </c>
      <c r="G88" s="25">
        <v>22455</v>
      </c>
    </row>
    <row r="89" spans="1:7" x14ac:dyDescent="0.25">
      <c r="A89" s="14" t="s">
        <v>1779</v>
      </c>
      <c r="B89" s="14">
        <v>3</v>
      </c>
      <c r="C89" s="15" t="s">
        <v>1780</v>
      </c>
      <c r="D89" s="14" t="s">
        <v>1745</v>
      </c>
      <c r="E89" s="14" t="s">
        <v>1746</v>
      </c>
      <c r="F89" s="25">
        <v>31437</v>
      </c>
      <c r="G89" s="25">
        <v>23577.72</v>
      </c>
    </row>
    <row r="90" spans="1:7" x14ac:dyDescent="0.25">
      <c r="A90" s="14" t="s">
        <v>1779</v>
      </c>
      <c r="B90" s="14">
        <v>2</v>
      </c>
      <c r="C90" s="15" t="s">
        <v>1780</v>
      </c>
      <c r="D90" s="14" t="s">
        <v>1749</v>
      </c>
      <c r="E90" s="14" t="s">
        <v>1766</v>
      </c>
      <c r="F90" s="25">
        <v>0</v>
      </c>
      <c r="G90" s="25">
        <v>0</v>
      </c>
    </row>
    <row r="91" spans="1:7" x14ac:dyDescent="0.25">
      <c r="A91" s="14" t="s">
        <v>1781</v>
      </c>
      <c r="B91" s="14">
        <v>1</v>
      </c>
      <c r="C91" s="15" t="s">
        <v>1782</v>
      </c>
      <c r="D91" s="14" t="s">
        <v>1745</v>
      </c>
      <c r="E91" s="14" t="s">
        <v>1746</v>
      </c>
      <c r="F91" s="25">
        <v>2079</v>
      </c>
      <c r="G91" s="25">
        <v>1559.28</v>
      </c>
    </row>
    <row r="92" spans="1:7" x14ac:dyDescent="0.25">
      <c r="A92" s="14" t="s">
        <v>1781</v>
      </c>
      <c r="B92" s="14" t="s">
        <v>73</v>
      </c>
      <c r="C92" s="15" t="s">
        <v>1783</v>
      </c>
      <c r="D92" s="14" t="s">
        <v>1745</v>
      </c>
      <c r="E92" s="14" t="s">
        <v>1746</v>
      </c>
      <c r="F92" s="25">
        <v>1449</v>
      </c>
      <c r="G92" s="25">
        <v>1304.1600000000001</v>
      </c>
    </row>
    <row r="93" spans="1:7" x14ac:dyDescent="0.25">
      <c r="A93" s="14" t="s">
        <v>1781</v>
      </c>
      <c r="B93" s="14">
        <v>1</v>
      </c>
      <c r="C93" s="15" t="s">
        <v>1782</v>
      </c>
      <c r="D93" s="14" t="s">
        <v>1745</v>
      </c>
      <c r="E93" s="14" t="s">
        <v>1747</v>
      </c>
      <c r="F93" s="25">
        <v>1980</v>
      </c>
      <c r="G93" s="25">
        <v>1485</v>
      </c>
    </row>
    <row r="94" spans="1:7" x14ac:dyDescent="0.25">
      <c r="A94" s="14" t="s">
        <v>1781</v>
      </c>
      <c r="B94" s="14" t="s">
        <v>73</v>
      </c>
      <c r="C94" s="15" t="s">
        <v>1783</v>
      </c>
      <c r="D94" s="14" t="s">
        <v>1745</v>
      </c>
      <c r="E94" s="14" t="s">
        <v>1747</v>
      </c>
      <c r="F94" s="25">
        <v>1380</v>
      </c>
      <c r="G94" s="25">
        <v>1242</v>
      </c>
    </row>
    <row r="95" spans="1:7" x14ac:dyDescent="0.25">
      <c r="A95" s="14" t="s">
        <v>1781</v>
      </c>
      <c r="B95" s="14" t="s">
        <v>89</v>
      </c>
      <c r="C95" s="15" t="s">
        <v>1784</v>
      </c>
      <c r="D95" s="14" t="s">
        <v>1745</v>
      </c>
      <c r="E95" s="14" t="s">
        <v>1747</v>
      </c>
      <c r="F95" s="25">
        <v>1380</v>
      </c>
      <c r="G95" s="25">
        <v>1035</v>
      </c>
    </row>
    <row r="96" spans="1:7" x14ac:dyDescent="0.25">
      <c r="A96" s="14" t="s">
        <v>1781</v>
      </c>
      <c r="B96" s="14" t="s">
        <v>89</v>
      </c>
      <c r="C96" s="15" t="s">
        <v>1784</v>
      </c>
      <c r="D96" s="14" t="s">
        <v>1745</v>
      </c>
      <c r="E96" s="14" t="s">
        <v>1746</v>
      </c>
      <c r="F96" s="25">
        <v>1449</v>
      </c>
      <c r="G96" s="25">
        <v>1086.72</v>
      </c>
    </row>
    <row r="97" spans="1:7" x14ac:dyDescent="0.25">
      <c r="A97" s="14" t="s">
        <v>1781</v>
      </c>
      <c r="B97" s="14">
        <v>1</v>
      </c>
      <c r="C97" s="15" t="s">
        <v>1782</v>
      </c>
      <c r="D97" s="14" t="s">
        <v>1749</v>
      </c>
      <c r="E97" s="14" t="s">
        <v>1746</v>
      </c>
      <c r="F97" s="25">
        <v>198</v>
      </c>
      <c r="G97" s="25">
        <v>148.5</v>
      </c>
    </row>
    <row r="98" spans="1:7" x14ac:dyDescent="0.25">
      <c r="A98" s="14" t="s">
        <v>1781</v>
      </c>
      <c r="B98" s="14" t="s">
        <v>73</v>
      </c>
      <c r="C98" s="15" t="s">
        <v>1783</v>
      </c>
      <c r="D98" s="14" t="s">
        <v>1749</v>
      </c>
      <c r="E98" s="14" t="s">
        <v>1746</v>
      </c>
      <c r="F98" s="25">
        <v>138</v>
      </c>
      <c r="G98" s="25">
        <v>124.2</v>
      </c>
    </row>
    <row r="99" spans="1:7" x14ac:dyDescent="0.25">
      <c r="A99" s="14" t="s">
        <v>1781</v>
      </c>
      <c r="B99" s="14" t="s">
        <v>89</v>
      </c>
      <c r="C99" s="15" t="s">
        <v>1784</v>
      </c>
      <c r="D99" s="14" t="s">
        <v>1749</v>
      </c>
      <c r="E99" s="14" t="s">
        <v>1746</v>
      </c>
      <c r="F99" s="25">
        <v>138</v>
      </c>
      <c r="G99" s="25">
        <v>103.5</v>
      </c>
    </row>
    <row r="100" spans="1:7" x14ac:dyDescent="0.25">
      <c r="A100" s="14" t="s">
        <v>1785</v>
      </c>
      <c r="B100" s="14" t="s">
        <v>73</v>
      </c>
      <c r="C100" s="15" t="s">
        <v>1786</v>
      </c>
      <c r="D100" s="14" t="s">
        <v>1745</v>
      </c>
      <c r="E100" s="14" t="s">
        <v>1746</v>
      </c>
      <c r="F100" s="25">
        <v>7308</v>
      </c>
      <c r="G100" s="25">
        <v>6577.2</v>
      </c>
    </row>
    <row r="101" spans="1:7" x14ac:dyDescent="0.25">
      <c r="A101" s="14" t="s">
        <v>1785</v>
      </c>
      <c r="B101" s="14">
        <v>1</v>
      </c>
      <c r="C101" s="15" t="s">
        <v>1787</v>
      </c>
      <c r="D101" s="14" t="s">
        <v>1749</v>
      </c>
      <c r="E101" s="14" t="s">
        <v>1746</v>
      </c>
      <c r="F101" s="25">
        <v>996</v>
      </c>
      <c r="G101" s="25">
        <v>747</v>
      </c>
    </row>
    <row r="102" spans="1:7" x14ac:dyDescent="0.25">
      <c r="A102" s="14" t="s">
        <v>1785</v>
      </c>
      <c r="B102" s="14">
        <v>1</v>
      </c>
      <c r="C102" s="15" t="s">
        <v>1787</v>
      </c>
      <c r="D102" s="14" t="s">
        <v>1745</v>
      </c>
      <c r="E102" s="14" t="s">
        <v>1746</v>
      </c>
      <c r="F102" s="25">
        <v>10458</v>
      </c>
      <c r="G102" s="25">
        <v>7843.56</v>
      </c>
    </row>
    <row r="103" spans="1:7" x14ac:dyDescent="0.25">
      <c r="A103" s="14" t="s">
        <v>1785</v>
      </c>
      <c r="B103" s="14">
        <v>1</v>
      </c>
      <c r="C103" s="15" t="s">
        <v>1787</v>
      </c>
      <c r="D103" s="14" t="s">
        <v>1745</v>
      </c>
      <c r="E103" s="14" t="s">
        <v>1747</v>
      </c>
      <c r="F103" s="25">
        <v>9960</v>
      </c>
      <c r="G103" s="25">
        <v>7470</v>
      </c>
    </row>
    <row r="104" spans="1:7" x14ac:dyDescent="0.25">
      <c r="A104" s="14" t="s">
        <v>1785</v>
      </c>
      <c r="B104" s="14" t="s">
        <v>73</v>
      </c>
      <c r="C104" s="15" t="s">
        <v>1786</v>
      </c>
      <c r="D104" s="14" t="s">
        <v>1745</v>
      </c>
      <c r="E104" s="14" t="s">
        <v>1747</v>
      </c>
      <c r="F104" s="25">
        <v>6960</v>
      </c>
      <c r="G104" s="25">
        <v>6264</v>
      </c>
    </row>
    <row r="105" spans="1:7" x14ac:dyDescent="0.25">
      <c r="A105" s="14" t="s">
        <v>1785</v>
      </c>
      <c r="B105" s="14" t="s">
        <v>89</v>
      </c>
      <c r="C105" s="15" t="s">
        <v>1788</v>
      </c>
      <c r="D105" s="14" t="s">
        <v>1745</v>
      </c>
      <c r="E105" s="14" t="s">
        <v>1746</v>
      </c>
      <c r="F105" s="25">
        <v>7308</v>
      </c>
      <c r="G105" s="25">
        <v>5481</v>
      </c>
    </row>
    <row r="106" spans="1:7" x14ac:dyDescent="0.25">
      <c r="A106" s="14" t="s">
        <v>1785</v>
      </c>
      <c r="B106" s="14" t="s">
        <v>89</v>
      </c>
      <c r="C106" s="15" t="s">
        <v>1788</v>
      </c>
      <c r="D106" s="14" t="s">
        <v>1745</v>
      </c>
      <c r="E106" s="14" t="s">
        <v>1747</v>
      </c>
      <c r="F106" s="25">
        <v>6960</v>
      </c>
      <c r="G106" s="25">
        <v>5220</v>
      </c>
    </row>
    <row r="107" spans="1:7" x14ac:dyDescent="0.25">
      <c r="A107" s="14" t="s">
        <v>1785</v>
      </c>
      <c r="B107" s="14" t="s">
        <v>73</v>
      </c>
      <c r="C107" s="15" t="s">
        <v>1786</v>
      </c>
      <c r="D107" s="14" t="s">
        <v>1749</v>
      </c>
      <c r="E107" s="14" t="s">
        <v>1746</v>
      </c>
      <c r="F107" s="25">
        <v>696</v>
      </c>
      <c r="G107" s="25">
        <v>626.4</v>
      </c>
    </row>
    <row r="108" spans="1:7" x14ac:dyDescent="0.25">
      <c r="A108" s="14" t="s">
        <v>1785</v>
      </c>
      <c r="B108" s="14" t="s">
        <v>89</v>
      </c>
      <c r="C108" s="15" t="s">
        <v>1788</v>
      </c>
      <c r="D108" s="14" t="s">
        <v>1749</v>
      </c>
      <c r="E108" s="14" t="s">
        <v>1746</v>
      </c>
      <c r="F108" s="25">
        <v>696</v>
      </c>
      <c r="G108" s="25">
        <v>522</v>
      </c>
    </row>
    <row r="109" spans="1:7" x14ac:dyDescent="0.25">
      <c r="A109" s="14" t="s">
        <v>1789</v>
      </c>
      <c r="B109" s="14" t="s">
        <v>16</v>
      </c>
      <c r="C109" s="15" t="s">
        <v>1790</v>
      </c>
      <c r="D109" s="14" t="s">
        <v>1749</v>
      </c>
      <c r="E109" s="14" t="s">
        <v>1746</v>
      </c>
      <c r="F109" s="25">
        <v>34944</v>
      </c>
      <c r="G109" s="25">
        <v>24460.799999999999</v>
      </c>
    </row>
    <row r="110" spans="1:7" x14ac:dyDescent="0.25">
      <c r="A110" s="14" t="s">
        <v>1789</v>
      </c>
      <c r="B110" s="14">
        <v>1</v>
      </c>
      <c r="C110" s="15" t="s">
        <v>1791</v>
      </c>
      <c r="D110" s="14" t="s">
        <v>1749</v>
      </c>
      <c r="E110" s="14" t="s">
        <v>1746</v>
      </c>
      <c r="F110" s="25">
        <v>49914</v>
      </c>
      <c r="G110" s="25">
        <v>34939.800000000003</v>
      </c>
    </row>
    <row r="111" spans="1:7" x14ac:dyDescent="0.25">
      <c r="A111" s="14" t="s">
        <v>1789</v>
      </c>
      <c r="B111" s="14">
        <v>1</v>
      </c>
      <c r="C111" s="15" t="s">
        <v>1791</v>
      </c>
      <c r="D111" s="14" t="s">
        <v>1745</v>
      </c>
      <c r="E111" s="14" t="s">
        <v>1747</v>
      </c>
      <c r="F111" s="25">
        <v>499140</v>
      </c>
      <c r="G111" s="25">
        <v>349398</v>
      </c>
    </row>
    <row r="112" spans="1:7" x14ac:dyDescent="0.25">
      <c r="A112" s="14" t="s">
        <v>1789</v>
      </c>
      <c r="B112" s="14">
        <v>1</v>
      </c>
      <c r="C112" s="15" t="s">
        <v>1791</v>
      </c>
      <c r="D112" s="14" t="s">
        <v>1745</v>
      </c>
      <c r="E112" s="14" t="s">
        <v>1746</v>
      </c>
      <c r="F112" s="25">
        <v>524097</v>
      </c>
      <c r="G112" s="25">
        <v>366868</v>
      </c>
    </row>
    <row r="113" spans="1:7" x14ac:dyDescent="0.25">
      <c r="A113" s="14" t="s">
        <v>1789</v>
      </c>
      <c r="B113" s="14" t="s">
        <v>73</v>
      </c>
      <c r="C113" s="15" t="s">
        <v>1792</v>
      </c>
      <c r="D113" s="14" t="s">
        <v>1745</v>
      </c>
      <c r="E113" s="14" t="s">
        <v>1746</v>
      </c>
      <c r="F113" s="25">
        <v>131040</v>
      </c>
      <c r="G113" s="25">
        <v>117936</v>
      </c>
    </row>
    <row r="114" spans="1:7" x14ac:dyDescent="0.25">
      <c r="A114" s="14" t="s">
        <v>1789</v>
      </c>
      <c r="B114" s="14" t="s">
        <v>16</v>
      </c>
      <c r="C114" s="15" t="s">
        <v>1790</v>
      </c>
      <c r="D114" s="14" t="s">
        <v>1745</v>
      </c>
      <c r="E114" s="14" t="s">
        <v>1746</v>
      </c>
      <c r="F114" s="25">
        <v>366912</v>
      </c>
      <c r="G114" s="25">
        <v>256838.39999999999</v>
      </c>
    </row>
    <row r="115" spans="1:7" x14ac:dyDescent="0.25">
      <c r="A115" s="14" t="s">
        <v>1789</v>
      </c>
      <c r="B115" s="14" t="s">
        <v>16</v>
      </c>
      <c r="C115" s="15" t="s">
        <v>1790</v>
      </c>
      <c r="D115" s="14" t="s">
        <v>1745</v>
      </c>
      <c r="E115" s="14" t="s">
        <v>1747</v>
      </c>
      <c r="F115" s="25">
        <v>349440</v>
      </c>
      <c r="G115" s="25">
        <v>244608</v>
      </c>
    </row>
    <row r="116" spans="1:7" x14ac:dyDescent="0.25">
      <c r="A116" s="14" t="s">
        <v>1789</v>
      </c>
      <c r="B116" s="14" t="s">
        <v>73</v>
      </c>
      <c r="C116" s="15" t="s">
        <v>1792</v>
      </c>
      <c r="D116" s="14" t="s">
        <v>1749</v>
      </c>
      <c r="E116" s="14" t="s">
        <v>1746</v>
      </c>
      <c r="F116" s="25">
        <v>12480</v>
      </c>
      <c r="G116" s="25">
        <v>11232</v>
      </c>
    </row>
    <row r="117" spans="1:7" x14ac:dyDescent="0.25">
      <c r="A117" s="14" t="s">
        <v>1789</v>
      </c>
      <c r="B117" s="14" t="s">
        <v>73</v>
      </c>
      <c r="C117" s="15" t="s">
        <v>1792</v>
      </c>
      <c r="D117" s="14" t="s">
        <v>1745</v>
      </c>
      <c r="E117" s="14" t="s">
        <v>1747</v>
      </c>
      <c r="F117" s="25">
        <v>124800</v>
      </c>
      <c r="G117" s="25">
        <v>112320</v>
      </c>
    </row>
    <row r="118" spans="1:7" x14ac:dyDescent="0.25">
      <c r="A118" s="14" t="s">
        <v>1793</v>
      </c>
      <c r="B118" s="14">
        <v>1</v>
      </c>
      <c r="C118" s="15" t="s">
        <v>1794</v>
      </c>
      <c r="D118" s="14" t="s">
        <v>1749</v>
      </c>
      <c r="E118" s="14" t="s">
        <v>1746</v>
      </c>
      <c r="F118" s="25">
        <v>9984</v>
      </c>
      <c r="G118" s="25">
        <v>6988.8</v>
      </c>
    </row>
    <row r="119" spans="1:7" x14ac:dyDescent="0.25">
      <c r="A119" s="14" t="s">
        <v>1793</v>
      </c>
      <c r="B119" s="14">
        <v>1</v>
      </c>
      <c r="C119" s="15" t="s">
        <v>1794</v>
      </c>
      <c r="D119" s="14" t="s">
        <v>1752</v>
      </c>
      <c r="E119" s="14" t="s">
        <v>1746</v>
      </c>
      <c r="F119" s="25">
        <v>314496</v>
      </c>
      <c r="G119" s="25">
        <v>220147.20000000001</v>
      </c>
    </row>
    <row r="120" spans="1:7" x14ac:dyDescent="0.25">
      <c r="A120" s="14" t="s">
        <v>1793</v>
      </c>
      <c r="B120" s="14" t="s">
        <v>20</v>
      </c>
      <c r="C120" s="15" t="s">
        <v>1795</v>
      </c>
      <c r="D120" s="14" t="s">
        <v>1745</v>
      </c>
      <c r="E120" s="14" t="s">
        <v>1746</v>
      </c>
      <c r="F120" s="25">
        <v>73395</v>
      </c>
      <c r="G120" s="25">
        <v>51376.56</v>
      </c>
    </row>
    <row r="121" spans="1:7" x14ac:dyDescent="0.25">
      <c r="A121" s="14" t="s">
        <v>1793</v>
      </c>
      <c r="B121" s="14">
        <v>1</v>
      </c>
      <c r="C121" s="15" t="s">
        <v>1794</v>
      </c>
      <c r="D121" s="14" t="s">
        <v>1745</v>
      </c>
      <c r="E121" s="14" t="s">
        <v>1747</v>
      </c>
      <c r="F121" s="25">
        <v>99840</v>
      </c>
      <c r="G121" s="25">
        <v>69888</v>
      </c>
    </row>
    <row r="122" spans="1:7" x14ac:dyDescent="0.25">
      <c r="A122" s="14" t="s">
        <v>1793</v>
      </c>
      <c r="B122" s="14" t="s">
        <v>20</v>
      </c>
      <c r="C122" s="15" t="s">
        <v>1795</v>
      </c>
      <c r="D122" s="14" t="s">
        <v>1745</v>
      </c>
      <c r="E122" s="14" t="s">
        <v>1747</v>
      </c>
      <c r="F122" s="25">
        <v>69900</v>
      </c>
      <c r="G122" s="25">
        <v>48930</v>
      </c>
    </row>
    <row r="123" spans="1:7" x14ac:dyDescent="0.25">
      <c r="A123" s="14" t="s">
        <v>1793</v>
      </c>
      <c r="B123" s="14" t="s">
        <v>16</v>
      </c>
      <c r="C123" s="15" t="s">
        <v>1796</v>
      </c>
      <c r="D123" s="14" t="s">
        <v>1745</v>
      </c>
      <c r="E123" s="14" t="s">
        <v>1747</v>
      </c>
      <c r="F123" s="25">
        <v>69900</v>
      </c>
      <c r="G123" s="25">
        <v>62910</v>
      </c>
    </row>
    <row r="124" spans="1:7" x14ac:dyDescent="0.25">
      <c r="A124" s="14" t="s">
        <v>1793</v>
      </c>
      <c r="B124" s="14" t="s">
        <v>16</v>
      </c>
      <c r="C124" s="15" t="s">
        <v>1796</v>
      </c>
      <c r="D124" s="14" t="s">
        <v>1749</v>
      </c>
      <c r="E124" s="14" t="s">
        <v>1746</v>
      </c>
      <c r="F124" s="25">
        <v>6990</v>
      </c>
      <c r="G124" s="25">
        <v>6291</v>
      </c>
    </row>
    <row r="125" spans="1:7" x14ac:dyDescent="0.25">
      <c r="A125" s="14" t="s">
        <v>1793</v>
      </c>
      <c r="B125" s="14" t="s">
        <v>20</v>
      </c>
      <c r="C125" s="15" t="s">
        <v>1795</v>
      </c>
      <c r="D125" s="14" t="s">
        <v>1749</v>
      </c>
      <c r="E125" s="14" t="s">
        <v>1746</v>
      </c>
      <c r="F125" s="25">
        <v>6990</v>
      </c>
      <c r="G125" s="25">
        <v>4893</v>
      </c>
    </row>
    <row r="126" spans="1:7" x14ac:dyDescent="0.25">
      <c r="A126" s="14" t="s">
        <v>1793</v>
      </c>
      <c r="B126" s="14">
        <v>1</v>
      </c>
      <c r="C126" s="15" t="s">
        <v>1794</v>
      </c>
      <c r="D126" s="14" t="s">
        <v>1752</v>
      </c>
      <c r="E126" s="14" t="s">
        <v>1753</v>
      </c>
      <c r="F126" s="25">
        <v>299520</v>
      </c>
      <c r="G126" s="25">
        <v>209664</v>
      </c>
    </row>
    <row r="127" spans="1:7" x14ac:dyDescent="0.25">
      <c r="A127" s="14" t="s">
        <v>1793</v>
      </c>
      <c r="B127" s="14" t="s">
        <v>16</v>
      </c>
      <c r="C127" s="15" t="s">
        <v>1796</v>
      </c>
      <c r="D127" s="14" t="s">
        <v>1745</v>
      </c>
      <c r="E127" s="14" t="s">
        <v>1746</v>
      </c>
      <c r="F127" s="25">
        <v>73395</v>
      </c>
      <c r="G127" s="25">
        <v>66055.56</v>
      </c>
    </row>
    <row r="128" spans="1:7" x14ac:dyDescent="0.25">
      <c r="A128" s="14" t="s">
        <v>1793</v>
      </c>
      <c r="B128" s="14">
        <v>1</v>
      </c>
      <c r="C128" s="15" t="s">
        <v>1794</v>
      </c>
      <c r="D128" s="14" t="s">
        <v>1752</v>
      </c>
      <c r="E128" s="14" t="s">
        <v>1747</v>
      </c>
      <c r="F128" s="25">
        <v>299520</v>
      </c>
      <c r="G128" s="25">
        <v>209664</v>
      </c>
    </row>
    <row r="129" spans="1:7" x14ac:dyDescent="0.25">
      <c r="A129" s="14" t="s">
        <v>1793</v>
      </c>
      <c r="B129" s="14">
        <v>1</v>
      </c>
      <c r="C129" s="15" t="s">
        <v>1794</v>
      </c>
      <c r="D129" s="14" t="s">
        <v>1745</v>
      </c>
      <c r="E129" s="14" t="s">
        <v>1746</v>
      </c>
      <c r="F129" s="25">
        <v>104832</v>
      </c>
      <c r="G129" s="25">
        <v>73382.399999999994</v>
      </c>
    </row>
    <row r="130" spans="1:7" ht="30" x14ac:dyDescent="0.25">
      <c r="A130" s="14" t="s">
        <v>1797</v>
      </c>
      <c r="B130" s="14">
        <v>3</v>
      </c>
      <c r="C130" s="15" t="s">
        <v>1798</v>
      </c>
      <c r="D130" s="14" t="s">
        <v>1745</v>
      </c>
      <c r="E130" s="14" t="s">
        <v>1747</v>
      </c>
      <c r="F130" s="25">
        <v>164700</v>
      </c>
      <c r="G130" s="25">
        <v>115290</v>
      </c>
    </row>
    <row r="131" spans="1:7" x14ac:dyDescent="0.25">
      <c r="A131" s="14" t="s">
        <v>1797</v>
      </c>
      <c r="B131" s="14">
        <v>1</v>
      </c>
      <c r="C131" s="15" t="s">
        <v>1799</v>
      </c>
      <c r="D131" s="14" t="s">
        <v>1749</v>
      </c>
      <c r="E131" s="14" t="s">
        <v>1746</v>
      </c>
      <c r="F131" s="25">
        <v>29952</v>
      </c>
      <c r="G131" s="25">
        <v>20966.400000000001</v>
      </c>
    </row>
    <row r="132" spans="1:7" x14ac:dyDescent="0.25">
      <c r="A132" s="14" t="s">
        <v>1797</v>
      </c>
      <c r="B132" s="14">
        <v>4</v>
      </c>
      <c r="C132" s="15" t="s">
        <v>1800</v>
      </c>
      <c r="D132" s="14" t="s">
        <v>1745</v>
      </c>
      <c r="E132" s="14" t="s">
        <v>1747</v>
      </c>
      <c r="F132" s="25">
        <v>119820</v>
      </c>
      <c r="G132" s="25">
        <v>107838</v>
      </c>
    </row>
    <row r="133" spans="1:7" ht="30" x14ac:dyDescent="0.25">
      <c r="A133" s="14" t="s">
        <v>1797</v>
      </c>
      <c r="B133" s="14">
        <v>3</v>
      </c>
      <c r="C133" s="15" t="s">
        <v>1798</v>
      </c>
      <c r="D133" s="14" t="s">
        <v>1749</v>
      </c>
      <c r="E133" s="14" t="s">
        <v>1746</v>
      </c>
      <c r="F133" s="25">
        <v>16470</v>
      </c>
      <c r="G133" s="25">
        <v>11529</v>
      </c>
    </row>
    <row r="134" spans="1:7" x14ac:dyDescent="0.25">
      <c r="A134" s="14" t="s">
        <v>1797</v>
      </c>
      <c r="B134" s="14">
        <v>1</v>
      </c>
      <c r="C134" s="15" t="s">
        <v>1799</v>
      </c>
      <c r="D134" s="14" t="s">
        <v>1745</v>
      </c>
      <c r="E134" s="14" t="s">
        <v>1746</v>
      </c>
      <c r="F134" s="25">
        <v>314496</v>
      </c>
      <c r="G134" s="25">
        <v>220147.20000000001</v>
      </c>
    </row>
    <row r="135" spans="1:7" x14ac:dyDescent="0.25">
      <c r="A135" s="14" t="s">
        <v>1797</v>
      </c>
      <c r="B135" s="14">
        <v>4</v>
      </c>
      <c r="C135" s="15" t="s">
        <v>1800</v>
      </c>
      <c r="D135" s="14" t="s">
        <v>1745</v>
      </c>
      <c r="E135" s="14" t="s">
        <v>1746</v>
      </c>
      <c r="F135" s="25">
        <v>125811</v>
      </c>
      <c r="G135" s="25">
        <v>113230</v>
      </c>
    </row>
    <row r="136" spans="1:7" x14ac:dyDescent="0.25">
      <c r="A136" s="14" t="s">
        <v>1797</v>
      </c>
      <c r="B136" s="14">
        <v>1</v>
      </c>
      <c r="C136" s="15" t="s">
        <v>1799</v>
      </c>
      <c r="D136" s="14" t="s">
        <v>1745</v>
      </c>
      <c r="E136" s="14" t="s">
        <v>1747</v>
      </c>
      <c r="F136" s="25">
        <v>299520</v>
      </c>
      <c r="G136" s="25">
        <v>209664</v>
      </c>
    </row>
    <row r="137" spans="1:7" x14ac:dyDescent="0.25">
      <c r="A137" s="14" t="s">
        <v>1797</v>
      </c>
      <c r="B137" s="14">
        <v>4</v>
      </c>
      <c r="C137" s="15" t="s">
        <v>1800</v>
      </c>
      <c r="D137" s="14" t="s">
        <v>1749</v>
      </c>
      <c r="E137" s="14" t="s">
        <v>1746</v>
      </c>
      <c r="F137" s="25">
        <v>11982</v>
      </c>
      <c r="G137" s="25">
        <v>10783.8</v>
      </c>
    </row>
    <row r="138" spans="1:7" ht="30" x14ac:dyDescent="0.25">
      <c r="A138" s="14" t="s">
        <v>1797</v>
      </c>
      <c r="B138" s="14">
        <v>3</v>
      </c>
      <c r="C138" s="15" t="s">
        <v>1798</v>
      </c>
      <c r="D138" s="14" t="s">
        <v>1745</v>
      </c>
      <c r="E138" s="14" t="s">
        <v>1746</v>
      </c>
      <c r="F138" s="25">
        <v>172935</v>
      </c>
      <c r="G138" s="25">
        <v>121054.6</v>
      </c>
    </row>
    <row r="139" spans="1:7" x14ac:dyDescent="0.25">
      <c r="A139" s="14" t="s">
        <v>1801</v>
      </c>
      <c r="B139" s="14">
        <v>7</v>
      </c>
      <c r="C139" s="15" t="s">
        <v>1802</v>
      </c>
      <c r="D139" s="14" t="s">
        <v>1749</v>
      </c>
      <c r="E139" s="14" t="s">
        <v>1746</v>
      </c>
      <c r="F139" s="25">
        <v>552</v>
      </c>
      <c r="G139" s="25">
        <v>386.4</v>
      </c>
    </row>
    <row r="140" spans="1:7" x14ac:dyDescent="0.25">
      <c r="A140" s="14" t="s">
        <v>1801</v>
      </c>
      <c r="B140" s="14" t="s">
        <v>24</v>
      </c>
      <c r="C140" s="15" t="s">
        <v>1803</v>
      </c>
      <c r="D140" s="14" t="s">
        <v>1745</v>
      </c>
      <c r="E140" s="14" t="s">
        <v>1746</v>
      </c>
      <c r="F140" s="25">
        <v>2898</v>
      </c>
      <c r="G140" s="25">
        <v>2028.6</v>
      </c>
    </row>
    <row r="141" spans="1:7" x14ac:dyDescent="0.25">
      <c r="A141" s="14" t="s">
        <v>1801</v>
      </c>
      <c r="B141" s="14">
        <v>5</v>
      </c>
      <c r="C141" s="15" t="s">
        <v>1804</v>
      </c>
      <c r="D141" s="14" t="s">
        <v>1745</v>
      </c>
      <c r="E141" s="14" t="s">
        <v>1747</v>
      </c>
      <c r="F141" s="25">
        <v>4020</v>
      </c>
      <c r="G141" s="25">
        <v>3618</v>
      </c>
    </row>
    <row r="142" spans="1:7" x14ac:dyDescent="0.25">
      <c r="A142" s="14" t="s">
        <v>1801</v>
      </c>
      <c r="B142" s="14" t="s">
        <v>16</v>
      </c>
      <c r="C142" s="15" t="s">
        <v>1805</v>
      </c>
      <c r="D142" s="14" t="s">
        <v>1745</v>
      </c>
      <c r="E142" s="14" t="s">
        <v>1746</v>
      </c>
      <c r="F142" s="25">
        <v>209664</v>
      </c>
      <c r="G142" s="25">
        <v>146764.79999999999</v>
      </c>
    </row>
    <row r="143" spans="1:7" x14ac:dyDescent="0.25">
      <c r="A143" s="14" t="s">
        <v>1801</v>
      </c>
      <c r="B143" s="14">
        <v>7</v>
      </c>
      <c r="C143" s="15" t="s">
        <v>1802</v>
      </c>
      <c r="D143" s="14" t="s">
        <v>1745</v>
      </c>
      <c r="E143" s="14" t="s">
        <v>1746</v>
      </c>
      <c r="F143" s="25">
        <v>5796</v>
      </c>
      <c r="G143" s="25">
        <v>4057.2</v>
      </c>
    </row>
    <row r="144" spans="1:7" x14ac:dyDescent="0.25">
      <c r="A144" s="14" t="s">
        <v>1801</v>
      </c>
      <c r="B144" s="14">
        <v>8</v>
      </c>
      <c r="C144" s="15" t="s">
        <v>1806</v>
      </c>
      <c r="D144" s="14" t="s">
        <v>1745</v>
      </c>
      <c r="E144" s="14" t="s">
        <v>1746</v>
      </c>
      <c r="F144" s="25">
        <v>2079</v>
      </c>
      <c r="G144" s="25">
        <v>1871.16</v>
      </c>
    </row>
    <row r="145" spans="1:7" x14ac:dyDescent="0.25">
      <c r="A145" s="14" t="s">
        <v>1801</v>
      </c>
      <c r="B145" s="14" t="s">
        <v>24</v>
      </c>
      <c r="C145" s="15" t="s">
        <v>1803</v>
      </c>
      <c r="D145" s="14" t="s">
        <v>1749</v>
      </c>
      <c r="E145" s="14" t="s">
        <v>1746</v>
      </c>
      <c r="F145" s="25">
        <v>276</v>
      </c>
      <c r="G145" s="25">
        <v>193.2</v>
      </c>
    </row>
    <row r="146" spans="1:7" x14ac:dyDescent="0.25">
      <c r="A146" s="14" t="s">
        <v>1801</v>
      </c>
      <c r="B146" s="14">
        <v>8</v>
      </c>
      <c r="C146" s="15" t="s">
        <v>1806</v>
      </c>
      <c r="D146" s="14" t="s">
        <v>1745</v>
      </c>
      <c r="E146" s="14" t="s">
        <v>1747</v>
      </c>
      <c r="F146" s="25">
        <v>1980</v>
      </c>
      <c r="G146" s="25">
        <v>1782</v>
      </c>
    </row>
    <row r="147" spans="1:7" x14ac:dyDescent="0.25">
      <c r="A147" s="14" t="s">
        <v>1801</v>
      </c>
      <c r="B147" s="14" t="s">
        <v>34</v>
      </c>
      <c r="C147" s="15" t="s">
        <v>1807</v>
      </c>
      <c r="D147" s="14" t="s">
        <v>1745</v>
      </c>
      <c r="E147" s="14" t="s">
        <v>1746</v>
      </c>
      <c r="F147" s="25">
        <v>288288</v>
      </c>
      <c r="G147" s="25">
        <v>201801.60000000001</v>
      </c>
    </row>
    <row r="148" spans="1:7" x14ac:dyDescent="0.25">
      <c r="A148" s="14" t="s">
        <v>1801</v>
      </c>
      <c r="B148" s="14">
        <v>2</v>
      </c>
      <c r="C148" s="15" t="s">
        <v>1808</v>
      </c>
      <c r="D148" s="14" t="s">
        <v>1745</v>
      </c>
      <c r="E148" s="14" t="s">
        <v>1746</v>
      </c>
      <c r="F148" s="25">
        <v>524097</v>
      </c>
      <c r="G148" s="25">
        <v>366868</v>
      </c>
    </row>
    <row r="149" spans="1:7" x14ac:dyDescent="0.25">
      <c r="A149" s="14" t="s">
        <v>1801</v>
      </c>
      <c r="B149" s="14" t="s">
        <v>16</v>
      </c>
      <c r="C149" s="15" t="s">
        <v>1805</v>
      </c>
      <c r="D149" s="14" t="s">
        <v>1749</v>
      </c>
      <c r="E149" s="14" t="s">
        <v>1746</v>
      </c>
      <c r="F149" s="25">
        <v>19968</v>
      </c>
      <c r="G149" s="25">
        <v>13977.6</v>
      </c>
    </row>
    <row r="150" spans="1:7" ht="30" x14ac:dyDescent="0.25">
      <c r="A150" s="14" t="s">
        <v>1801</v>
      </c>
      <c r="B150" s="14">
        <v>9</v>
      </c>
      <c r="C150" s="15" t="s">
        <v>1809</v>
      </c>
      <c r="D150" s="14" t="s">
        <v>1749</v>
      </c>
      <c r="E150" s="14" t="s">
        <v>1746</v>
      </c>
      <c r="F150" s="25">
        <v>198</v>
      </c>
      <c r="G150" s="25">
        <v>138.6</v>
      </c>
    </row>
    <row r="151" spans="1:7" ht="30" x14ac:dyDescent="0.25">
      <c r="A151" s="14" t="s">
        <v>1801</v>
      </c>
      <c r="B151" s="14">
        <v>9</v>
      </c>
      <c r="C151" s="15" t="s">
        <v>1809</v>
      </c>
      <c r="D151" s="14" t="s">
        <v>1745</v>
      </c>
      <c r="E151" s="14" t="s">
        <v>1746</v>
      </c>
      <c r="F151" s="25">
        <v>2079</v>
      </c>
      <c r="G151" s="25">
        <v>1455.36</v>
      </c>
    </row>
    <row r="152" spans="1:7" x14ac:dyDescent="0.25">
      <c r="A152" s="14" t="s">
        <v>1801</v>
      </c>
      <c r="B152" s="14" t="s">
        <v>20</v>
      </c>
      <c r="C152" s="15" t="s">
        <v>1810</v>
      </c>
      <c r="D152" s="14" t="s">
        <v>1749</v>
      </c>
      <c r="E152" s="14" t="s">
        <v>1746</v>
      </c>
      <c r="F152" s="25">
        <v>402</v>
      </c>
      <c r="G152" s="25">
        <v>281.39999999999998</v>
      </c>
    </row>
    <row r="153" spans="1:7" x14ac:dyDescent="0.25">
      <c r="A153" s="14" t="s">
        <v>1801</v>
      </c>
      <c r="B153" s="14" t="s">
        <v>16</v>
      </c>
      <c r="C153" s="15" t="s">
        <v>1805</v>
      </c>
      <c r="D153" s="14" t="s">
        <v>1745</v>
      </c>
      <c r="E153" s="14" t="s">
        <v>1747</v>
      </c>
      <c r="F153" s="25">
        <v>199680</v>
      </c>
      <c r="G153" s="25">
        <v>139776</v>
      </c>
    </row>
    <row r="154" spans="1:7" x14ac:dyDescent="0.25">
      <c r="A154" s="14" t="s">
        <v>1801</v>
      </c>
      <c r="B154" s="14">
        <v>7</v>
      </c>
      <c r="C154" s="15" t="s">
        <v>1802</v>
      </c>
      <c r="D154" s="14" t="s">
        <v>1745</v>
      </c>
      <c r="E154" s="14" t="s">
        <v>1747</v>
      </c>
      <c r="F154" s="25">
        <v>5520</v>
      </c>
      <c r="G154" s="25">
        <v>3864</v>
      </c>
    </row>
    <row r="155" spans="1:7" x14ac:dyDescent="0.25">
      <c r="A155" s="14" t="s">
        <v>1801</v>
      </c>
      <c r="B155" s="14" t="s">
        <v>34</v>
      </c>
      <c r="C155" s="15" t="s">
        <v>1807</v>
      </c>
      <c r="D155" s="14" t="s">
        <v>1749</v>
      </c>
      <c r="E155" s="14" t="s">
        <v>1746</v>
      </c>
      <c r="F155" s="25">
        <v>27456</v>
      </c>
      <c r="G155" s="25">
        <v>19219.2</v>
      </c>
    </row>
    <row r="156" spans="1:7" x14ac:dyDescent="0.25">
      <c r="A156" s="14" t="s">
        <v>1801</v>
      </c>
      <c r="B156" s="14">
        <v>1</v>
      </c>
      <c r="C156" s="15" t="s">
        <v>1811</v>
      </c>
      <c r="D156" s="14" t="s">
        <v>1749</v>
      </c>
      <c r="E156" s="14" t="s">
        <v>1746</v>
      </c>
      <c r="F156" s="25">
        <v>996</v>
      </c>
      <c r="G156" s="25">
        <v>697.2</v>
      </c>
    </row>
    <row r="157" spans="1:7" x14ac:dyDescent="0.25">
      <c r="A157" s="14" t="s">
        <v>1801</v>
      </c>
      <c r="B157" s="14" t="s">
        <v>20</v>
      </c>
      <c r="C157" s="15" t="s">
        <v>1810</v>
      </c>
      <c r="D157" s="14" t="s">
        <v>1745</v>
      </c>
      <c r="E157" s="14" t="s">
        <v>1747</v>
      </c>
      <c r="F157" s="25">
        <v>4020</v>
      </c>
      <c r="G157" s="25">
        <v>2814</v>
      </c>
    </row>
    <row r="158" spans="1:7" x14ac:dyDescent="0.25">
      <c r="A158" s="14" t="s">
        <v>1801</v>
      </c>
      <c r="B158" s="14">
        <v>1</v>
      </c>
      <c r="C158" s="15" t="s">
        <v>1811</v>
      </c>
      <c r="D158" s="14" t="s">
        <v>1745</v>
      </c>
      <c r="E158" s="14" t="s">
        <v>1746</v>
      </c>
      <c r="F158" s="25">
        <v>10458</v>
      </c>
      <c r="G158" s="25">
        <v>7320.6</v>
      </c>
    </row>
    <row r="159" spans="1:7" x14ac:dyDescent="0.25">
      <c r="A159" s="14" t="s">
        <v>1801</v>
      </c>
      <c r="B159" s="14">
        <v>2</v>
      </c>
      <c r="C159" s="15" t="s">
        <v>1808</v>
      </c>
      <c r="D159" s="14" t="s">
        <v>1745</v>
      </c>
      <c r="E159" s="14" t="s">
        <v>1747</v>
      </c>
      <c r="F159" s="25">
        <v>499140</v>
      </c>
      <c r="G159" s="25">
        <v>349398</v>
      </c>
    </row>
    <row r="160" spans="1:7" ht="30" x14ac:dyDescent="0.25">
      <c r="A160" s="14" t="s">
        <v>1801</v>
      </c>
      <c r="B160" s="14">
        <v>9</v>
      </c>
      <c r="C160" s="15" t="s">
        <v>1809</v>
      </c>
      <c r="D160" s="14" t="s">
        <v>1745</v>
      </c>
      <c r="E160" s="14" t="s">
        <v>1747</v>
      </c>
      <c r="F160" s="25">
        <v>1980</v>
      </c>
      <c r="G160" s="25">
        <v>1386</v>
      </c>
    </row>
    <row r="161" spans="1:7" x14ac:dyDescent="0.25">
      <c r="A161" s="14" t="s">
        <v>1801</v>
      </c>
      <c r="B161" s="14">
        <v>1</v>
      </c>
      <c r="C161" s="15" t="s">
        <v>1811</v>
      </c>
      <c r="D161" s="14" t="s">
        <v>1745</v>
      </c>
      <c r="E161" s="14" t="s">
        <v>1747</v>
      </c>
      <c r="F161" s="25">
        <v>9960</v>
      </c>
      <c r="G161" s="25">
        <v>6972</v>
      </c>
    </row>
    <row r="162" spans="1:7" x14ac:dyDescent="0.25">
      <c r="A162" s="14" t="s">
        <v>1801</v>
      </c>
      <c r="B162" s="14" t="s">
        <v>34</v>
      </c>
      <c r="C162" s="15" t="s">
        <v>1807</v>
      </c>
      <c r="D162" s="14" t="s">
        <v>1745</v>
      </c>
      <c r="E162" s="14" t="s">
        <v>1747</v>
      </c>
      <c r="F162" s="25">
        <v>274560</v>
      </c>
      <c r="G162" s="25">
        <v>192192</v>
      </c>
    </row>
    <row r="163" spans="1:7" x14ac:dyDescent="0.25">
      <c r="A163" s="14" t="s">
        <v>1801</v>
      </c>
      <c r="B163" s="14">
        <v>5</v>
      </c>
      <c r="C163" s="15" t="s">
        <v>1804</v>
      </c>
      <c r="D163" s="14" t="s">
        <v>1745</v>
      </c>
      <c r="E163" s="14" t="s">
        <v>1746</v>
      </c>
      <c r="F163" s="25">
        <v>4221</v>
      </c>
      <c r="G163" s="25">
        <v>3798.96</v>
      </c>
    </row>
    <row r="164" spans="1:7" x14ac:dyDescent="0.25">
      <c r="A164" s="14" t="s">
        <v>1801</v>
      </c>
      <c r="B164" s="14">
        <v>3</v>
      </c>
      <c r="C164" s="15" t="s">
        <v>1812</v>
      </c>
      <c r="D164" s="14" t="s">
        <v>1745</v>
      </c>
      <c r="E164" s="14" t="s">
        <v>1746</v>
      </c>
      <c r="F164" s="25">
        <v>5229</v>
      </c>
      <c r="G164" s="25">
        <v>3660.36</v>
      </c>
    </row>
    <row r="165" spans="1:7" x14ac:dyDescent="0.25">
      <c r="A165" s="14" t="s">
        <v>1801</v>
      </c>
      <c r="B165" s="14" t="s">
        <v>20</v>
      </c>
      <c r="C165" s="15" t="s">
        <v>1810</v>
      </c>
      <c r="D165" s="14" t="s">
        <v>1745</v>
      </c>
      <c r="E165" s="14" t="s">
        <v>1746</v>
      </c>
      <c r="F165" s="25">
        <v>4221</v>
      </c>
      <c r="G165" s="25">
        <v>2954.76</v>
      </c>
    </row>
    <row r="166" spans="1:7" x14ac:dyDescent="0.25">
      <c r="A166" s="14" t="s">
        <v>1801</v>
      </c>
      <c r="B166" s="14">
        <v>8</v>
      </c>
      <c r="C166" s="15" t="s">
        <v>1806</v>
      </c>
      <c r="D166" s="14" t="s">
        <v>1749</v>
      </c>
      <c r="E166" s="14" t="s">
        <v>1746</v>
      </c>
      <c r="F166" s="25">
        <v>198</v>
      </c>
      <c r="G166" s="25">
        <v>178.2</v>
      </c>
    </row>
    <row r="167" spans="1:7" x14ac:dyDescent="0.25">
      <c r="A167" s="14" t="s">
        <v>1801</v>
      </c>
      <c r="B167" s="14">
        <v>3</v>
      </c>
      <c r="C167" s="15" t="s">
        <v>1812</v>
      </c>
      <c r="D167" s="14" t="s">
        <v>1745</v>
      </c>
      <c r="E167" s="14" t="s">
        <v>1747</v>
      </c>
      <c r="F167" s="25">
        <v>4980</v>
      </c>
      <c r="G167" s="25">
        <v>3486</v>
      </c>
    </row>
    <row r="168" spans="1:7" x14ac:dyDescent="0.25">
      <c r="A168" s="14" t="s">
        <v>1801</v>
      </c>
      <c r="B168" s="14">
        <v>5</v>
      </c>
      <c r="C168" s="15" t="s">
        <v>1804</v>
      </c>
      <c r="D168" s="14" t="s">
        <v>1749</v>
      </c>
      <c r="E168" s="14" t="s">
        <v>1746</v>
      </c>
      <c r="F168" s="25">
        <v>402</v>
      </c>
      <c r="G168" s="25">
        <v>361.8</v>
      </c>
    </row>
    <row r="169" spans="1:7" x14ac:dyDescent="0.25">
      <c r="A169" s="14" t="s">
        <v>1801</v>
      </c>
      <c r="B169" s="14">
        <v>2</v>
      </c>
      <c r="C169" s="15" t="s">
        <v>1808</v>
      </c>
      <c r="D169" s="14" t="s">
        <v>1749</v>
      </c>
      <c r="E169" s="14" t="s">
        <v>1746</v>
      </c>
      <c r="F169" s="25">
        <v>49914</v>
      </c>
      <c r="G169" s="25">
        <v>34939.800000000003</v>
      </c>
    </row>
    <row r="170" spans="1:7" x14ac:dyDescent="0.25">
      <c r="A170" s="14" t="s">
        <v>1801</v>
      </c>
      <c r="B170" s="14">
        <v>6</v>
      </c>
      <c r="C170" s="15" t="s">
        <v>1813</v>
      </c>
      <c r="D170" s="14" t="s">
        <v>1745</v>
      </c>
      <c r="E170" s="14" t="s">
        <v>1746</v>
      </c>
      <c r="F170" s="25">
        <v>209664</v>
      </c>
      <c r="G170" s="25">
        <v>188697.60000000001</v>
      </c>
    </row>
    <row r="171" spans="1:7" x14ac:dyDescent="0.25">
      <c r="A171" s="14" t="s">
        <v>1801</v>
      </c>
      <c r="B171" s="14">
        <v>3</v>
      </c>
      <c r="C171" s="15" t="s">
        <v>1812</v>
      </c>
      <c r="D171" s="14" t="s">
        <v>1749</v>
      </c>
      <c r="E171" s="14" t="s">
        <v>1746</v>
      </c>
      <c r="F171" s="25">
        <v>498</v>
      </c>
      <c r="G171" s="25">
        <v>348.6</v>
      </c>
    </row>
    <row r="172" spans="1:7" x14ac:dyDescent="0.25">
      <c r="A172" s="14" t="s">
        <v>1801</v>
      </c>
      <c r="B172" s="14" t="s">
        <v>24</v>
      </c>
      <c r="C172" s="15" t="s">
        <v>1803</v>
      </c>
      <c r="D172" s="14" t="s">
        <v>1745</v>
      </c>
      <c r="E172" s="14" t="s">
        <v>1747</v>
      </c>
      <c r="F172" s="25">
        <v>2760</v>
      </c>
      <c r="G172" s="25">
        <v>1932</v>
      </c>
    </row>
    <row r="173" spans="1:7" x14ac:dyDescent="0.25">
      <c r="A173" s="14" t="s">
        <v>1801</v>
      </c>
      <c r="B173" s="14">
        <v>6</v>
      </c>
      <c r="C173" s="15" t="s">
        <v>1813</v>
      </c>
      <c r="D173" s="14" t="s">
        <v>1749</v>
      </c>
      <c r="E173" s="14" t="s">
        <v>1746</v>
      </c>
      <c r="F173" s="25">
        <v>19968</v>
      </c>
      <c r="G173" s="25">
        <v>17971.2</v>
      </c>
    </row>
    <row r="174" spans="1:7" x14ac:dyDescent="0.25">
      <c r="A174" s="14" t="s">
        <v>1801</v>
      </c>
      <c r="B174" s="14">
        <v>6</v>
      </c>
      <c r="C174" s="15" t="s">
        <v>1813</v>
      </c>
      <c r="D174" s="14" t="s">
        <v>1745</v>
      </c>
      <c r="E174" s="14" t="s">
        <v>1747</v>
      </c>
      <c r="F174" s="25">
        <v>199680</v>
      </c>
      <c r="G174" s="25">
        <v>179712</v>
      </c>
    </row>
    <row r="175" spans="1:7" x14ac:dyDescent="0.25">
      <c r="A175" s="14" t="s">
        <v>1814</v>
      </c>
      <c r="B175" s="14">
        <v>4</v>
      </c>
      <c r="C175" s="15" t="s">
        <v>1815</v>
      </c>
      <c r="D175" s="14" t="s">
        <v>1752</v>
      </c>
      <c r="E175" s="14" t="s">
        <v>1747</v>
      </c>
      <c r="F175" s="25">
        <v>54000</v>
      </c>
      <c r="G175" s="25">
        <v>48600</v>
      </c>
    </row>
    <row r="176" spans="1:7" x14ac:dyDescent="0.25">
      <c r="A176" s="14" t="s">
        <v>1814</v>
      </c>
      <c r="B176" s="14">
        <v>6</v>
      </c>
      <c r="C176" s="15" t="s">
        <v>1816</v>
      </c>
      <c r="D176" s="14" t="s">
        <v>1752</v>
      </c>
      <c r="E176" s="14" t="s">
        <v>1746</v>
      </c>
      <c r="F176" s="25">
        <v>77868</v>
      </c>
      <c r="G176" s="25">
        <v>54507.6</v>
      </c>
    </row>
    <row r="177" spans="1:7" x14ac:dyDescent="0.25">
      <c r="A177" s="14" t="s">
        <v>1814</v>
      </c>
      <c r="B177" s="14">
        <v>4</v>
      </c>
      <c r="C177" s="15" t="s">
        <v>1815</v>
      </c>
      <c r="D177" s="14" t="s">
        <v>1745</v>
      </c>
      <c r="E177" s="14" t="s">
        <v>1747</v>
      </c>
      <c r="F177" s="25">
        <v>18000</v>
      </c>
      <c r="G177" s="25">
        <v>16200</v>
      </c>
    </row>
    <row r="178" spans="1:7" x14ac:dyDescent="0.25">
      <c r="A178" s="14" t="s">
        <v>1814</v>
      </c>
      <c r="B178" s="14">
        <v>6</v>
      </c>
      <c r="C178" s="15" t="s">
        <v>1816</v>
      </c>
      <c r="D178" s="14" t="s">
        <v>1752</v>
      </c>
      <c r="E178" s="14" t="s">
        <v>1747</v>
      </c>
      <c r="F178" s="25">
        <v>74160</v>
      </c>
      <c r="G178" s="25">
        <v>51912</v>
      </c>
    </row>
    <row r="179" spans="1:7" x14ac:dyDescent="0.25">
      <c r="A179" s="14" t="s">
        <v>1814</v>
      </c>
      <c r="B179" s="14">
        <v>5</v>
      </c>
      <c r="C179" s="15" t="s">
        <v>1817</v>
      </c>
      <c r="D179" s="14" t="s">
        <v>1752</v>
      </c>
      <c r="E179" s="14" t="s">
        <v>1746</v>
      </c>
      <c r="F179" s="25">
        <v>56700</v>
      </c>
      <c r="G179" s="25">
        <v>39690</v>
      </c>
    </row>
    <row r="180" spans="1:7" x14ac:dyDescent="0.25">
      <c r="A180" s="14" t="s">
        <v>1814</v>
      </c>
      <c r="B180" s="14">
        <v>6</v>
      </c>
      <c r="C180" s="15" t="s">
        <v>1816</v>
      </c>
      <c r="D180" s="14" t="s">
        <v>1749</v>
      </c>
      <c r="E180" s="14" t="s">
        <v>1746</v>
      </c>
      <c r="F180" s="25">
        <v>2472</v>
      </c>
      <c r="G180" s="25">
        <v>1730.4</v>
      </c>
    </row>
    <row r="181" spans="1:7" x14ac:dyDescent="0.25">
      <c r="A181" s="14" t="s">
        <v>1814</v>
      </c>
      <c r="B181" s="14">
        <v>2</v>
      </c>
      <c r="C181" s="15" t="s">
        <v>1818</v>
      </c>
      <c r="D181" s="14" t="s">
        <v>1752</v>
      </c>
      <c r="E181" s="14" t="s">
        <v>1747</v>
      </c>
      <c r="F181" s="25">
        <v>134820</v>
      </c>
      <c r="G181" s="25">
        <v>94374</v>
      </c>
    </row>
    <row r="182" spans="1:7" x14ac:dyDescent="0.25">
      <c r="A182" s="14" t="s">
        <v>1814</v>
      </c>
      <c r="B182" s="14">
        <v>4</v>
      </c>
      <c r="C182" s="15" t="s">
        <v>1815</v>
      </c>
      <c r="D182" s="14" t="s">
        <v>1749</v>
      </c>
      <c r="E182" s="14" t="s">
        <v>1746</v>
      </c>
      <c r="F182" s="25">
        <v>1800</v>
      </c>
      <c r="G182" s="25">
        <v>1620</v>
      </c>
    </row>
    <row r="183" spans="1:7" x14ac:dyDescent="0.25">
      <c r="A183" s="14" t="s">
        <v>1814</v>
      </c>
      <c r="B183" s="14">
        <v>8</v>
      </c>
      <c r="C183" s="15" t="s">
        <v>1819</v>
      </c>
      <c r="D183" s="14" t="s">
        <v>1752</v>
      </c>
      <c r="E183" s="14" t="s">
        <v>1747</v>
      </c>
      <c r="F183" s="25">
        <v>104760</v>
      </c>
      <c r="G183" s="25">
        <v>73332</v>
      </c>
    </row>
    <row r="184" spans="1:7" x14ac:dyDescent="0.25">
      <c r="A184" s="14" t="s">
        <v>1814</v>
      </c>
      <c r="B184" s="14">
        <v>2</v>
      </c>
      <c r="C184" s="15" t="s">
        <v>1818</v>
      </c>
      <c r="D184" s="14" t="s">
        <v>1752</v>
      </c>
      <c r="E184" s="14" t="s">
        <v>1746</v>
      </c>
      <c r="F184" s="25">
        <v>141561</v>
      </c>
      <c r="G184" s="25">
        <v>99092.88</v>
      </c>
    </row>
    <row r="185" spans="1:7" x14ac:dyDescent="0.25">
      <c r="A185" s="14" t="s">
        <v>1814</v>
      </c>
      <c r="B185" s="14">
        <v>4</v>
      </c>
      <c r="C185" s="15" t="s">
        <v>1815</v>
      </c>
      <c r="D185" s="14" t="s">
        <v>1752</v>
      </c>
      <c r="E185" s="14" t="s">
        <v>1746</v>
      </c>
      <c r="F185" s="25">
        <v>56700</v>
      </c>
      <c r="G185" s="25">
        <v>51030</v>
      </c>
    </row>
    <row r="186" spans="1:7" x14ac:dyDescent="0.25">
      <c r="A186" s="14" t="s">
        <v>1814</v>
      </c>
      <c r="B186" s="14">
        <v>8</v>
      </c>
      <c r="C186" s="15" t="s">
        <v>1819</v>
      </c>
      <c r="D186" s="14" t="s">
        <v>1752</v>
      </c>
      <c r="E186" s="14" t="s">
        <v>1753</v>
      </c>
      <c r="F186" s="25">
        <v>104760</v>
      </c>
      <c r="G186" s="25">
        <v>73332</v>
      </c>
    </row>
    <row r="187" spans="1:7" x14ac:dyDescent="0.25">
      <c r="A187" s="14" t="s">
        <v>1814</v>
      </c>
      <c r="B187" s="14">
        <v>8</v>
      </c>
      <c r="C187" s="15" t="s">
        <v>1819</v>
      </c>
      <c r="D187" s="14" t="s">
        <v>1745</v>
      </c>
      <c r="E187" s="14" t="s">
        <v>1746</v>
      </c>
      <c r="F187" s="25">
        <v>36666</v>
      </c>
      <c r="G187" s="25">
        <v>25666.2</v>
      </c>
    </row>
    <row r="188" spans="1:7" x14ac:dyDescent="0.25">
      <c r="A188" s="14" t="s">
        <v>1814</v>
      </c>
      <c r="B188" s="14">
        <v>2</v>
      </c>
      <c r="C188" s="15" t="s">
        <v>1818</v>
      </c>
      <c r="D188" s="14" t="s">
        <v>1749</v>
      </c>
      <c r="E188" s="14" t="s">
        <v>1746</v>
      </c>
      <c r="F188" s="25">
        <v>4494</v>
      </c>
      <c r="G188" s="25">
        <v>3145.8</v>
      </c>
    </row>
    <row r="189" spans="1:7" x14ac:dyDescent="0.25">
      <c r="A189" s="14" t="s">
        <v>1814</v>
      </c>
      <c r="B189" s="14">
        <v>6</v>
      </c>
      <c r="C189" s="15" t="s">
        <v>1816</v>
      </c>
      <c r="D189" s="14" t="s">
        <v>1745</v>
      </c>
      <c r="E189" s="14" t="s">
        <v>1746</v>
      </c>
      <c r="F189" s="25">
        <v>25956</v>
      </c>
      <c r="G189" s="25">
        <v>18169.2</v>
      </c>
    </row>
    <row r="190" spans="1:7" x14ac:dyDescent="0.25">
      <c r="A190" s="14" t="s">
        <v>1814</v>
      </c>
      <c r="B190" s="14">
        <v>2</v>
      </c>
      <c r="C190" s="15" t="s">
        <v>1818</v>
      </c>
      <c r="D190" s="14" t="s">
        <v>1745</v>
      </c>
      <c r="E190" s="14" t="s">
        <v>1746</v>
      </c>
      <c r="F190" s="25">
        <v>47187</v>
      </c>
      <c r="G190" s="25">
        <v>33030.959999999999</v>
      </c>
    </row>
    <row r="191" spans="1:7" x14ac:dyDescent="0.25">
      <c r="A191" s="14" t="s">
        <v>1814</v>
      </c>
      <c r="B191" s="14">
        <v>2</v>
      </c>
      <c r="C191" s="15" t="s">
        <v>1818</v>
      </c>
      <c r="D191" s="14" t="s">
        <v>1752</v>
      </c>
      <c r="E191" s="14" t="s">
        <v>1753</v>
      </c>
      <c r="F191" s="25">
        <v>134820</v>
      </c>
      <c r="G191" s="25">
        <v>94374</v>
      </c>
    </row>
    <row r="192" spans="1:7" x14ac:dyDescent="0.25">
      <c r="A192" s="14" t="s">
        <v>1814</v>
      </c>
      <c r="B192" s="14">
        <v>8</v>
      </c>
      <c r="C192" s="15" t="s">
        <v>1819</v>
      </c>
      <c r="D192" s="14" t="s">
        <v>1749</v>
      </c>
      <c r="E192" s="14" t="s">
        <v>1746</v>
      </c>
      <c r="F192" s="25">
        <v>3492</v>
      </c>
      <c r="G192" s="25">
        <v>2444.4</v>
      </c>
    </row>
    <row r="193" spans="1:7" x14ac:dyDescent="0.25">
      <c r="A193" s="14" t="s">
        <v>1814</v>
      </c>
      <c r="B193" s="14">
        <v>5</v>
      </c>
      <c r="C193" s="15" t="s">
        <v>1817</v>
      </c>
      <c r="D193" s="14" t="s">
        <v>1752</v>
      </c>
      <c r="E193" s="14" t="s">
        <v>1747</v>
      </c>
      <c r="F193" s="25">
        <v>54000</v>
      </c>
      <c r="G193" s="25">
        <v>37800</v>
      </c>
    </row>
    <row r="194" spans="1:7" x14ac:dyDescent="0.25">
      <c r="A194" s="14" t="s">
        <v>1814</v>
      </c>
      <c r="B194" s="14">
        <v>4</v>
      </c>
      <c r="C194" s="15" t="s">
        <v>1815</v>
      </c>
      <c r="D194" s="14" t="s">
        <v>1745</v>
      </c>
      <c r="E194" s="14" t="s">
        <v>1746</v>
      </c>
      <c r="F194" s="25">
        <v>18900</v>
      </c>
      <c r="G194" s="25">
        <v>17010</v>
      </c>
    </row>
    <row r="195" spans="1:7" x14ac:dyDescent="0.25">
      <c r="A195" s="14" t="s">
        <v>1814</v>
      </c>
      <c r="B195" s="14">
        <v>5</v>
      </c>
      <c r="C195" s="15" t="s">
        <v>1817</v>
      </c>
      <c r="D195" s="14" t="s">
        <v>1745</v>
      </c>
      <c r="E195" s="14" t="s">
        <v>1746</v>
      </c>
      <c r="F195" s="25">
        <v>18900</v>
      </c>
      <c r="G195" s="25">
        <v>13230</v>
      </c>
    </row>
    <row r="196" spans="1:7" x14ac:dyDescent="0.25">
      <c r="A196" s="14" t="s">
        <v>1814</v>
      </c>
      <c r="B196" s="14">
        <v>2</v>
      </c>
      <c r="C196" s="15" t="s">
        <v>1818</v>
      </c>
      <c r="D196" s="14" t="s">
        <v>1745</v>
      </c>
      <c r="E196" s="14" t="s">
        <v>1747</v>
      </c>
      <c r="F196" s="25">
        <v>44940</v>
      </c>
      <c r="G196" s="25">
        <v>31458</v>
      </c>
    </row>
    <row r="197" spans="1:7" x14ac:dyDescent="0.25">
      <c r="A197" s="14" t="s">
        <v>1814</v>
      </c>
      <c r="B197" s="14">
        <v>6</v>
      </c>
      <c r="C197" s="15" t="s">
        <v>1816</v>
      </c>
      <c r="D197" s="14" t="s">
        <v>1745</v>
      </c>
      <c r="E197" s="14" t="s">
        <v>1747</v>
      </c>
      <c r="F197" s="25">
        <v>24720</v>
      </c>
      <c r="G197" s="25">
        <v>17304</v>
      </c>
    </row>
    <row r="198" spans="1:7" x14ac:dyDescent="0.25">
      <c r="A198" s="14" t="s">
        <v>1814</v>
      </c>
      <c r="B198" s="14">
        <v>5</v>
      </c>
      <c r="C198" s="15" t="s">
        <v>1817</v>
      </c>
      <c r="D198" s="14" t="s">
        <v>1749</v>
      </c>
      <c r="E198" s="14" t="s">
        <v>1746</v>
      </c>
      <c r="F198" s="25">
        <v>1800</v>
      </c>
      <c r="G198" s="25">
        <v>1260</v>
      </c>
    </row>
    <row r="199" spans="1:7" x14ac:dyDescent="0.25">
      <c r="A199" s="14" t="s">
        <v>1814</v>
      </c>
      <c r="B199" s="14">
        <v>5</v>
      </c>
      <c r="C199" s="15" t="s">
        <v>1817</v>
      </c>
      <c r="D199" s="14" t="s">
        <v>1745</v>
      </c>
      <c r="E199" s="14" t="s">
        <v>1747</v>
      </c>
      <c r="F199" s="25">
        <v>18000</v>
      </c>
      <c r="G199" s="25">
        <v>12600</v>
      </c>
    </row>
    <row r="200" spans="1:7" x14ac:dyDescent="0.25">
      <c r="A200" s="14" t="s">
        <v>1814</v>
      </c>
      <c r="B200" s="14">
        <v>8</v>
      </c>
      <c r="C200" s="15" t="s">
        <v>1819</v>
      </c>
      <c r="D200" s="14" t="s">
        <v>1752</v>
      </c>
      <c r="E200" s="14" t="s">
        <v>1746</v>
      </c>
      <c r="F200" s="25">
        <v>109998</v>
      </c>
      <c r="G200" s="25">
        <v>76998.600000000006</v>
      </c>
    </row>
    <row r="201" spans="1:7" x14ac:dyDescent="0.25">
      <c r="A201" s="14" t="s">
        <v>1814</v>
      </c>
      <c r="B201" s="14">
        <v>8</v>
      </c>
      <c r="C201" s="15" t="s">
        <v>1819</v>
      </c>
      <c r="D201" s="14" t="s">
        <v>1745</v>
      </c>
      <c r="E201" s="14" t="s">
        <v>1747</v>
      </c>
      <c r="F201" s="25">
        <v>34920</v>
      </c>
      <c r="G201" s="25">
        <v>24444</v>
      </c>
    </row>
    <row r="202" spans="1:7" x14ac:dyDescent="0.25">
      <c r="A202" s="14" t="s">
        <v>1820</v>
      </c>
      <c r="B202" s="14">
        <v>1</v>
      </c>
      <c r="C202" s="15" t="s">
        <v>1821</v>
      </c>
      <c r="D202" s="14" t="s">
        <v>1752</v>
      </c>
      <c r="E202" s="14" t="s">
        <v>1753</v>
      </c>
      <c r="F202" s="25">
        <v>239580</v>
      </c>
      <c r="G202" s="25">
        <v>167706</v>
      </c>
    </row>
    <row r="203" spans="1:7" x14ac:dyDescent="0.25">
      <c r="A203" s="14" t="s">
        <v>1820</v>
      </c>
      <c r="B203" s="14">
        <v>1</v>
      </c>
      <c r="C203" s="15" t="s">
        <v>1821</v>
      </c>
      <c r="D203" s="14" t="s">
        <v>1745</v>
      </c>
      <c r="E203" s="14" t="s">
        <v>1747</v>
      </c>
      <c r="F203" s="25">
        <v>79860</v>
      </c>
      <c r="G203" s="25">
        <v>55902</v>
      </c>
    </row>
    <row r="204" spans="1:7" x14ac:dyDescent="0.25">
      <c r="A204" s="14" t="s">
        <v>1820</v>
      </c>
      <c r="B204" s="14">
        <v>5</v>
      </c>
      <c r="C204" s="15" t="s">
        <v>1822</v>
      </c>
      <c r="D204" s="14" t="s">
        <v>1745</v>
      </c>
      <c r="E204" s="14" t="s">
        <v>1747</v>
      </c>
      <c r="F204" s="25">
        <v>31920</v>
      </c>
      <c r="G204" s="25">
        <v>22344</v>
      </c>
    </row>
    <row r="205" spans="1:7" x14ac:dyDescent="0.25">
      <c r="A205" s="14" t="s">
        <v>1820</v>
      </c>
      <c r="B205" s="14">
        <v>5</v>
      </c>
      <c r="C205" s="15" t="s">
        <v>1822</v>
      </c>
      <c r="D205" s="14" t="s">
        <v>1745</v>
      </c>
      <c r="E205" s="14" t="s">
        <v>1746</v>
      </c>
      <c r="F205" s="25">
        <v>33516</v>
      </c>
      <c r="G205" s="25">
        <v>23461.200000000001</v>
      </c>
    </row>
    <row r="206" spans="1:7" x14ac:dyDescent="0.25">
      <c r="A206" s="14" t="s">
        <v>1820</v>
      </c>
      <c r="B206" s="14">
        <v>6</v>
      </c>
      <c r="C206" s="15" t="s">
        <v>1823</v>
      </c>
      <c r="D206" s="14" t="s">
        <v>1749</v>
      </c>
      <c r="E206" s="14" t="s">
        <v>1746</v>
      </c>
      <c r="F206" s="25">
        <v>4392</v>
      </c>
      <c r="G206" s="25">
        <v>3074.4</v>
      </c>
    </row>
    <row r="207" spans="1:7" x14ac:dyDescent="0.25">
      <c r="A207" s="14" t="s">
        <v>1820</v>
      </c>
      <c r="B207" s="14">
        <v>7</v>
      </c>
      <c r="C207" s="15" t="s">
        <v>1824</v>
      </c>
      <c r="D207" s="14" t="s">
        <v>1749</v>
      </c>
      <c r="E207" s="14" t="s">
        <v>1746</v>
      </c>
      <c r="F207" s="25">
        <v>3192</v>
      </c>
      <c r="G207" s="25">
        <v>2872.8</v>
      </c>
    </row>
    <row r="208" spans="1:7" x14ac:dyDescent="0.25">
      <c r="A208" s="14" t="s">
        <v>1820</v>
      </c>
      <c r="B208" s="14">
        <v>6</v>
      </c>
      <c r="C208" s="15" t="s">
        <v>1823</v>
      </c>
      <c r="D208" s="14" t="s">
        <v>1745</v>
      </c>
      <c r="E208" s="14" t="s">
        <v>1747</v>
      </c>
      <c r="F208" s="25">
        <v>43920</v>
      </c>
      <c r="G208" s="25">
        <v>30744</v>
      </c>
    </row>
    <row r="209" spans="1:7" x14ac:dyDescent="0.25">
      <c r="A209" s="14" t="s">
        <v>1820</v>
      </c>
      <c r="B209" s="14">
        <v>1</v>
      </c>
      <c r="C209" s="15" t="s">
        <v>1821</v>
      </c>
      <c r="D209" s="14" t="s">
        <v>1752</v>
      </c>
      <c r="E209" s="14" t="s">
        <v>1746</v>
      </c>
      <c r="F209" s="25">
        <v>251559</v>
      </c>
      <c r="G209" s="25">
        <v>176091.5</v>
      </c>
    </row>
    <row r="210" spans="1:7" x14ac:dyDescent="0.25">
      <c r="A210" s="14" t="s">
        <v>1820</v>
      </c>
      <c r="B210" s="14">
        <v>5</v>
      </c>
      <c r="C210" s="15" t="s">
        <v>1822</v>
      </c>
      <c r="D210" s="14" t="s">
        <v>1749</v>
      </c>
      <c r="E210" s="14" t="s">
        <v>1746</v>
      </c>
      <c r="F210" s="25">
        <v>3192</v>
      </c>
      <c r="G210" s="25">
        <v>2234.4</v>
      </c>
    </row>
    <row r="211" spans="1:7" x14ac:dyDescent="0.25">
      <c r="A211" s="14" t="s">
        <v>1820</v>
      </c>
      <c r="B211" s="14">
        <v>1</v>
      </c>
      <c r="C211" s="15" t="s">
        <v>1821</v>
      </c>
      <c r="D211" s="14" t="s">
        <v>1749</v>
      </c>
      <c r="E211" s="14" t="s">
        <v>1746</v>
      </c>
      <c r="F211" s="25">
        <v>7986</v>
      </c>
      <c r="G211" s="25">
        <v>5590.2</v>
      </c>
    </row>
    <row r="212" spans="1:7" x14ac:dyDescent="0.25">
      <c r="A212" s="14" t="s">
        <v>1820</v>
      </c>
      <c r="B212" s="14">
        <v>1</v>
      </c>
      <c r="C212" s="15" t="s">
        <v>1821</v>
      </c>
      <c r="D212" s="14" t="s">
        <v>1752</v>
      </c>
      <c r="E212" s="14" t="s">
        <v>1747</v>
      </c>
      <c r="F212" s="25">
        <v>239580</v>
      </c>
      <c r="G212" s="25">
        <v>167706</v>
      </c>
    </row>
    <row r="213" spans="1:7" x14ac:dyDescent="0.25">
      <c r="A213" s="14" t="s">
        <v>1820</v>
      </c>
      <c r="B213" s="14">
        <v>6</v>
      </c>
      <c r="C213" s="15" t="s">
        <v>1823</v>
      </c>
      <c r="D213" s="14" t="s">
        <v>1745</v>
      </c>
      <c r="E213" s="14" t="s">
        <v>1746</v>
      </c>
      <c r="F213" s="25">
        <v>46116</v>
      </c>
      <c r="G213" s="25">
        <v>32281.200000000001</v>
      </c>
    </row>
    <row r="214" spans="1:7" x14ac:dyDescent="0.25">
      <c r="A214" s="14" t="s">
        <v>1820</v>
      </c>
      <c r="B214" s="14">
        <v>1</v>
      </c>
      <c r="C214" s="15" t="s">
        <v>1821</v>
      </c>
      <c r="D214" s="14" t="s">
        <v>1745</v>
      </c>
      <c r="E214" s="14" t="s">
        <v>1746</v>
      </c>
      <c r="F214" s="25">
        <v>83853</v>
      </c>
      <c r="G214" s="25">
        <v>58697.16</v>
      </c>
    </row>
    <row r="215" spans="1:7" x14ac:dyDescent="0.25">
      <c r="A215" s="14" t="s">
        <v>1820</v>
      </c>
      <c r="B215" s="14">
        <v>7</v>
      </c>
      <c r="C215" s="15" t="s">
        <v>1824</v>
      </c>
      <c r="D215" s="14" t="s">
        <v>1745</v>
      </c>
      <c r="E215" s="14" t="s">
        <v>1746</v>
      </c>
      <c r="F215" s="25">
        <v>33516</v>
      </c>
      <c r="G215" s="25">
        <v>30164.400000000001</v>
      </c>
    </row>
    <row r="216" spans="1:7" x14ac:dyDescent="0.25">
      <c r="A216" s="14" t="s">
        <v>1820</v>
      </c>
      <c r="B216" s="14">
        <v>7</v>
      </c>
      <c r="C216" s="15" t="s">
        <v>1824</v>
      </c>
      <c r="D216" s="14" t="s">
        <v>1745</v>
      </c>
      <c r="E216" s="14" t="s">
        <v>1747</v>
      </c>
      <c r="F216" s="25">
        <v>31920</v>
      </c>
      <c r="G216" s="25">
        <v>28728</v>
      </c>
    </row>
    <row r="217" spans="1:7" x14ac:dyDescent="0.25">
      <c r="A217" s="14" t="s">
        <v>1825</v>
      </c>
      <c r="B217" s="14">
        <v>7</v>
      </c>
      <c r="C217" s="15" t="s">
        <v>1826</v>
      </c>
      <c r="D217" s="14" t="s">
        <v>1749</v>
      </c>
      <c r="E217" s="14" t="s">
        <v>1746</v>
      </c>
      <c r="F217" s="25">
        <v>402</v>
      </c>
      <c r="G217" s="25">
        <v>301.5</v>
      </c>
    </row>
    <row r="218" spans="1:7" x14ac:dyDescent="0.25">
      <c r="A218" s="14" t="s">
        <v>1825</v>
      </c>
      <c r="B218" s="14">
        <v>2</v>
      </c>
      <c r="C218" s="15" t="s">
        <v>1827</v>
      </c>
      <c r="D218" s="14" t="s">
        <v>1752</v>
      </c>
      <c r="E218" s="14" t="s">
        <v>1746</v>
      </c>
      <c r="F218" s="25">
        <v>62937</v>
      </c>
      <c r="G218" s="25">
        <v>47202.84</v>
      </c>
    </row>
    <row r="219" spans="1:7" x14ac:dyDescent="0.25">
      <c r="A219" s="14" t="s">
        <v>1825</v>
      </c>
      <c r="B219" s="14">
        <v>5</v>
      </c>
      <c r="C219" s="15" t="s">
        <v>1828</v>
      </c>
      <c r="D219" s="14" t="s">
        <v>1749</v>
      </c>
      <c r="E219" s="14" t="s">
        <v>1746</v>
      </c>
      <c r="F219" s="25">
        <v>798</v>
      </c>
      <c r="G219" s="25">
        <v>718.2</v>
      </c>
    </row>
    <row r="220" spans="1:7" x14ac:dyDescent="0.25">
      <c r="A220" s="14" t="s">
        <v>1825</v>
      </c>
      <c r="B220" s="14">
        <v>5</v>
      </c>
      <c r="C220" s="15" t="s">
        <v>1828</v>
      </c>
      <c r="D220" s="14" t="s">
        <v>1745</v>
      </c>
      <c r="E220" s="14" t="s">
        <v>1747</v>
      </c>
      <c r="F220" s="25">
        <v>7980</v>
      </c>
      <c r="G220" s="25">
        <v>7182</v>
      </c>
    </row>
    <row r="221" spans="1:7" x14ac:dyDescent="0.25">
      <c r="A221" s="14" t="s">
        <v>1825</v>
      </c>
      <c r="B221" s="14">
        <v>2</v>
      </c>
      <c r="C221" s="15" t="s">
        <v>1827</v>
      </c>
      <c r="D221" s="14" t="s">
        <v>1752</v>
      </c>
      <c r="E221" s="14" t="s">
        <v>1753</v>
      </c>
      <c r="F221" s="25">
        <v>59940</v>
      </c>
      <c r="G221" s="25">
        <v>44955</v>
      </c>
    </row>
    <row r="222" spans="1:7" x14ac:dyDescent="0.25">
      <c r="A222" s="14" t="s">
        <v>1825</v>
      </c>
      <c r="B222" s="14">
        <v>5</v>
      </c>
      <c r="C222" s="15" t="s">
        <v>1828</v>
      </c>
      <c r="D222" s="14" t="s">
        <v>1745</v>
      </c>
      <c r="E222" s="14" t="s">
        <v>1746</v>
      </c>
      <c r="F222" s="25">
        <v>8379</v>
      </c>
      <c r="G222" s="25">
        <v>7541.16</v>
      </c>
    </row>
    <row r="223" spans="1:7" x14ac:dyDescent="0.25">
      <c r="A223" s="14" t="s">
        <v>1825</v>
      </c>
      <c r="B223" s="14">
        <v>2</v>
      </c>
      <c r="C223" s="15" t="s">
        <v>1827</v>
      </c>
      <c r="D223" s="14" t="s">
        <v>1752</v>
      </c>
      <c r="E223" s="14" t="s">
        <v>1747</v>
      </c>
      <c r="F223" s="25">
        <v>59940</v>
      </c>
      <c r="G223" s="25">
        <v>44955</v>
      </c>
    </row>
    <row r="224" spans="1:7" x14ac:dyDescent="0.25">
      <c r="A224" s="14" t="s">
        <v>1825</v>
      </c>
      <c r="B224" s="14">
        <v>7</v>
      </c>
      <c r="C224" s="15" t="s">
        <v>1826</v>
      </c>
      <c r="D224" s="14" t="s">
        <v>1745</v>
      </c>
      <c r="E224" s="14" t="s">
        <v>1746</v>
      </c>
      <c r="F224" s="25">
        <v>4221</v>
      </c>
      <c r="G224" s="25">
        <v>3165.72</v>
      </c>
    </row>
    <row r="225" spans="1:7" x14ac:dyDescent="0.25">
      <c r="A225" s="14" t="s">
        <v>1825</v>
      </c>
      <c r="B225" s="14">
        <v>7</v>
      </c>
      <c r="C225" s="15" t="s">
        <v>1826</v>
      </c>
      <c r="D225" s="14" t="s">
        <v>1745</v>
      </c>
      <c r="E225" s="14" t="s">
        <v>1747</v>
      </c>
      <c r="F225" s="25">
        <v>4020</v>
      </c>
      <c r="G225" s="25">
        <v>3015</v>
      </c>
    </row>
    <row r="226" spans="1:7" x14ac:dyDescent="0.25">
      <c r="A226" s="14" t="s">
        <v>1825</v>
      </c>
      <c r="B226" s="14">
        <v>6</v>
      </c>
      <c r="C226" s="15" t="s">
        <v>1829</v>
      </c>
      <c r="D226" s="14" t="s">
        <v>1745</v>
      </c>
      <c r="E226" s="14" t="s">
        <v>1746</v>
      </c>
      <c r="F226" s="25">
        <v>3150</v>
      </c>
      <c r="G226" s="25">
        <v>2362.56</v>
      </c>
    </row>
    <row r="227" spans="1:7" x14ac:dyDescent="0.25">
      <c r="A227" s="14" t="s">
        <v>1825</v>
      </c>
      <c r="B227" s="14">
        <v>6</v>
      </c>
      <c r="C227" s="15" t="s">
        <v>1829</v>
      </c>
      <c r="D227" s="14" t="s">
        <v>1749</v>
      </c>
      <c r="E227" s="14" t="s">
        <v>1746</v>
      </c>
      <c r="F227" s="25">
        <v>300</v>
      </c>
      <c r="G227" s="25">
        <v>225</v>
      </c>
    </row>
    <row r="228" spans="1:7" x14ac:dyDescent="0.25">
      <c r="A228" s="14" t="s">
        <v>1825</v>
      </c>
      <c r="B228" s="14">
        <v>2</v>
      </c>
      <c r="C228" s="15" t="s">
        <v>1827</v>
      </c>
      <c r="D228" s="14" t="s">
        <v>1745</v>
      </c>
      <c r="E228" s="14" t="s">
        <v>1746</v>
      </c>
      <c r="F228" s="25">
        <v>20979</v>
      </c>
      <c r="G228" s="25">
        <v>15734.28</v>
      </c>
    </row>
    <row r="229" spans="1:7" x14ac:dyDescent="0.25">
      <c r="A229" s="14" t="s">
        <v>1825</v>
      </c>
      <c r="B229" s="14">
        <v>2</v>
      </c>
      <c r="C229" s="15" t="s">
        <v>1827</v>
      </c>
      <c r="D229" s="14" t="s">
        <v>1745</v>
      </c>
      <c r="E229" s="14" t="s">
        <v>1747</v>
      </c>
      <c r="F229" s="25">
        <v>19980</v>
      </c>
      <c r="G229" s="25">
        <v>14985</v>
      </c>
    </row>
    <row r="230" spans="1:7" x14ac:dyDescent="0.25">
      <c r="A230" s="14" t="s">
        <v>1825</v>
      </c>
      <c r="B230" s="14">
        <v>2</v>
      </c>
      <c r="C230" s="15" t="s">
        <v>1827</v>
      </c>
      <c r="D230" s="14" t="s">
        <v>1749</v>
      </c>
      <c r="E230" s="14" t="s">
        <v>1746</v>
      </c>
      <c r="F230" s="25">
        <v>1998</v>
      </c>
      <c r="G230" s="25">
        <v>1498.5</v>
      </c>
    </row>
    <row r="231" spans="1:7" x14ac:dyDescent="0.25">
      <c r="A231" s="14" t="s">
        <v>1825</v>
      </c>
      <c r="B231" s="14">
        <v>6</v>
      </c>
      <c r="C231" s="15" t="s">
        <v>1829</v>
      </c>
      <c r="D231" s="14" t="s">
        <v>1745</v>
      </c>
      <c r="E231" s="14" t="s">
        <v>1747</v>
      </c>
      <c r="F231" s="25">
        <v>3000</v>
      </c>
      <c r="G231" s="25">
        <v>2250</v>
      </c>
    </row>
    <row r="232" spans="1:7" x14ac:dyDescent="0.25">
      <c r="A232" s="14" t="s">
        <v>1830</v>
      </c>
      <c r="B232" s="14">
        <v>5</v>
      </c>
      <c r="C232" s="15" t="s">
        <v>1831</v>
      </c>
      <c r="D232" s="14" t="s">
        <v>1745</v>
      </c>
      <c r="E232" s="14" t="s">
        <v>1747</v>
      </c>
      <c r="F232" s="25">
        <v>0</v>
      </c>
      <c r="G232" s="25">
        <v>0</v>
      </c>
    </row>
    <row r="233" spans="1:7" x14ac:dyDescent="0.25">
      <c r="A233" s="14" t="s">
        <v>1830</v>
      </c>
      <c r="B233" s="14">
        <v>1</v>
      </c>
      <c r="C233" s="15" t="s">
        <v>1832</v>
      </c>
      <c r="D233" s="14" t="s">
        <v>1749</v>
      </c>
      <c r="E233" s="14" t="s">
        <v>1746</v>
      </c>
      <c r="F233" s="25">
        <v>0</v>
      </c>
      <c r="G233" s="25">
        <v>0</v>
      </c>
    </row>
    <row r="234" spans="1:7" x14ac:dyDescent="0.25">
      <c r="A234" s="14" t="s">
        <v>1830</v>
      </c>
      <c r="B234" s="14">
        <v>4</v>
      </c>
      <c r="C234" s="15" t="s">
        <v>1833</v>
      </c>
      <c r="D234" s="14" t="s">
        <v>1749</v>
      </c>
      <c r="E234" s="14" t="s">
        <v>1746</v>
      </c>
      <c r="F234" s="25">
        <v>0</v>
      </c>
      <c r="G234" s="25">
        <v>0</v>
      </c>
    </row>
    <row r="235" spans="1:7" x14ac:dyDescent="0.25">
      <c r="A235" s="14" t="s">
        <v>1830</v>
      </c>
      <c r="B235" s="14">
        <v>4</v>
      </c>
      <c r="C235" s="15" t="s">
        <v>1833</v>
      </c>
      <c r="D235" s="14" t="s">
        <v>1745</v>
      </c>
      <c r="E235" s="14" t="s">
        <v>1747</v>
      </c>
      <c r="F235" s="25">
        <v>0</v>
      </c>
      <c r="G235" s="25">
        <v>0</v>
      </c>
    </row>
    <row r="236" spans="1:7" x14ac:dyDescent="0.25">
      <c r="A236" s="14" t="s">
        <v>1830</v>
      </c>
      <c r="B236" s="14">
        <v>5</v>
      </c>
      <c r="C236" s="15" t="s">
        <v>1831</v>
      </c>
      <c r="D236" s="14" t="s">
        <v>1749</v>
      </c>
      <c r="E236" s="14" t="s">
        <v>1746</v>
      </c>
      <c r="F236" s="25">
        <v>0</v>
      </c>
      <c r="G236" s="25">
        <v>0</v>
      </c>
    </row>
    <row r="237" spans="1:7" x14ac:dyDescent="0.25">
      <c r="A237" s="14" t="s">
        <v>1830</v>
      </c>
      <c r="B237" s="14">
        <v>3</v>
      </c>
      <c r="C237" s="15" t="s">
        <v>1834</v>
      </c>
      <c r="D237" s="14" t="s">
        <v>1745</v>
      </c>
      <c r="E237" s="14" t="s">
        <v>1746</v>
      </c>
      <c r="F237" s="25">
        <v>0</v>
      </c>
      <c r="G237" s="25">
        <v>0</v>
      </c>
    </row>
    <row r="238" spans="1:7" x14ac:dyDescent="0.25">
      <c r="A238" s="14" t="s">
        <v>1830</v>
      </c>
      <c r="B238" s="14">
        <v>3</v>
      </c>
      <c r="C238" s="15" t="s">
        <v>1834</v>
      </c>
      <c r="D238" s="14" t="s">
        <v>1745</v>
      </c>
      <c r="E238" s="14" t="s">
        <v>1747</v>
      </c>
      <c r="F238" s="25">
        <v>0</v>
      </c>
      <c r="G238" s="25">
        <v>0</v>
      </c>
    </row>
    <row r="239" spans="1:7" x14ac:dyDescent="0.25">
      <c r="A239" s="14" t="s">
        <v>1830</v>
      </c>
      <c r="B239" s="14">
        <v>3</v>
      </c>
      <c r="C239" s="15" t="s">
        <v>1834</v>
      </c>
      <c r="D239" s="14" t="s">
        <v>1749</v>
      </c>
      <c r="E239" s="14" t="s">
        <v>1746</v>
      </c>
      <c r="F239" s="25">
        <v>0</v>
      </c>
      <c r="G239" s="25">
        <v>0</v>
      </c>
    </row>
    <row r="240" spans="1:7" x14ac:dyDescent="0.25">
      <c r="A240" s="14" t="s">
        <v>1830</v>
      </c>
      <c r="B240" s="14">
        <v>4</v>
      </c>
      <c r="C240" s="15" t="s">
        <v>1833</v>
      </c>
      <c r="D240" s="14" t="s">
        <v>1752</v>
      </c>
      <c r="E240" s="14" t="s">
        <v>1747</v>
      </c>
      <c r="F240" s="25">
        <v>0</v>
      </c>
      <c r="G240" s="25">
        <v>0</v>
      </c>
    </row>
    <row r="241" spans="1:7" x14ac:dyDescent="0.25">
      <c r="A241" s="14" t="s">
        <v>1830</v>
      </c>
      <c r="B241" s="14">
        <v>4</v>
      </c>
      <c r="C241" s="15" t="s">
        <v>1833</v>
      </c>
      <c r="D241" s="14" t="s">
        <v>1752</v>
      </c>
      <c r="E241" s="14" t="s">
        <v>1746</v>
      </c>
      <c r="F241" s="25">
        <v>0</v>
      </c>
      <c r="G241" s="25">
        <v>0</v>
      </c>
    </row>
    <row r="242" spans="1:7" x14ac:dyDescent="0.25">
      <c r="A242" s="14" t="s">
        <v>1830</v>
      </c>
      <c r="B242" s="14">
        <v>1</v>
      </c>
      <c r="C242" s="15" t="s">
        <v>1832</v>
      </c>
      <c r="D242" s="14" t="s">
        <v>1752</v>
      </c>
      <c r="E242" s="14" t="s">
        <v>1747</v>
      </c>
      <c r="F242" s="25">
        <v>0</v>
      </c>
      <c r="G242" s="25">
        <v>0</v>
      </c>
    </row>
    <row r="243" spans="1:7" x14ac:dyDescent="0.25">
      <c r="A243" s="14" t="s">
        <v>1830</v>
      </c>
      <c r="B243" s="14">
        <v>1</v>
      </c>
      <c r="C243" s="15" t="s">
        <v>1832</v>
      </c>
      <c r="D243" s="14" t="s">
        <v>1752</v>
      </c>
      <c r="E243" s="14" t="s">
        <v>1746</v>
      </c>
      <c r="F243" s="25">
        <v>0</v>
      </c>
      <c r="G243" s="25">
        <v>0</v>
      </c>
    </row>
    <row r="244" spans="1:7" x14ac:dyDescent="0.25">
      <c r="A244" s="14" t="s">
        <v>1830</v>
      </c>
      <c r="B244" s="14">
        <v>1</v>
      </c>
      <c r="C244" s="15" t="s">
        <v>1832</v>
      </c>
      <c r="D244" s="14" t="s">
        <v>1745</v>
      </c>
      <c r="E244" s="14" t="s">
        <v>1746</v>
      </c>
      <c r="F244" s="25">
        <v>0</v>
      </c>
      <c r="G244" s="25">
        <v>0</v>
      </c>
    </row>
    <row r="245" spans="1:7" x14ac:dyDescent="0.25">
      <c r="A245" s="14" t="s">
        <v>1830</v>
      </c>
      <c r="B245" s="14">
        <v>1</v>
      </c>
      <c r="C245" s="15" t="s">
        <v>1832</v>
      </c>
      <c r="D245" s="14" t="s">
        <v>1752</v>
      </c>
      <c r="E245" s="14" t="s">
        <v>1753</v>
      </c>
      <c r="F245" s="25">
        <v>0</v>
      </c>
      <c r="G245" s="25">
        <v>0</v>
      </c>
    </row>
    <row r="246" spans="1:7" x14ac:dyDescent="0.25">
      <c r="A246" s="14" t="s">
        <v>1830</v>
      </c>
      <c r="B246" s="14">
        <v>5</v>
      </c>
      <c r="C246" s="15" t="s">
        <v>1831</v>
      </c>
      <c r="D246" s="14" t="s">
        <v>1745</v>
      </c>
      <c r="E246" s="14" t="s">
        <v>1746</v>
      </c>
      <c r="F246" s="25">
        <v>0</v>
      </c>
      <c r="G246" s="25">
        <v>0</v>
      </c>
    </row>
    <row r="247" spans="1:7" x14ac:dyDescent="0.25">
      <c r="A247" s="14" t="s">
        <v>1830</v>
      </c>
      <c r="B247" s="14">
        <v>1</v>
      </c>
      <c r="C247" s="15" t="s">
        <v>1832</v>
      </c>
      <c r="D247" s="14" t="s">
        <v>1745</v>
      </c>
      <c r="E247" s="14" t="s">
        <v>1747</v>
      </c>
      <c r="F247" s="25">
        <v>0</v>
      </c>
      <c r="G247" s="25">
        <v>0</v>
      </c>
    </row>
    <row r="248" spans="1:7" x14ac:dyDescent="0.25">
      <c r="A248" s="14" t="s">
        <v>1830</v>
      </c>
      <c r="B248" s="14">
        <v>4</v>
      </c>
      <c r="C248" s="15" t="s">
        <v>1833</v>
      </c>
      <c r="D248" s="14" t="s">
        <v>1745</v>
      </c>
      <c r="E248" s="14" t="s">
        <v>1746</v>
      </c>
      <c r="F248" s="25">
        <v>0</v>
      </c>
      <c r="G248" s="25">
        <v>0</v>
      </c>
    </row>
    <row r="249" spans="1:7" x14ac:dyDescent="0.25">
      <c r="A249" s="14" t="s">
        <v>1835</v>
      </c>
      <c r="B249" s="14">
        <v>9</v>
      </c>
      <c r="C249" s="15" t="s">
        <v>1836</v>
      </c>
      <c r="D249" s="14" t="s">
        <v>1745</v>
      </c>
      <c r="E249" s="14" t="s">
        <v>1747</v>
      </c>
      <c r="F249" s="25">
        <v>43920</v>
      </c>
      <c r="G249" s="25">
        <v>30744</v>
      </c>
    </row>
    <row r="250" spans="1:7" x14ac:dyDescent="0.25">
      <c r="A250" s="14" t="s">
        <v>1835</v>
      </c>
      <c r="B250" s="14">
        <v>7</v>
      </c>
      <c r="C250" s="15" t="s">
        <v>1837</v>
      </c>
      <c r="D250" s="14" t="s">
        <v>1745</v>
      </c>
      <c r="E250" s="14" t="s">
        <v>1746</v>
      </c>
      <c r="F250" s="25">
        <v>46116</v>
      </c>
      <c r="G250" s="25">
        <v>41504.400000000001</v>
      </c>
    </row>
    <row r="251" spans="1:7" x14ac:dyDescent="0.25">
      <c r="A251" s="14" t="s">
        <v>1835</v>
      </c>
      <c r="B251" s="14">
        <v>1</v>
      </c>
      <c r="C251" s="15" t="s">
        <v>1838</v>
      </c>
      <c r="D251" s="14" t="s">
        <v>1745</v>
      </c>
      <c r="E251" s="14" t="s">
        <v>1747</v>
      </c>
      <c r="F251" s="25">
        <v>109800</v>
      </c>
      <c r="G251" s="25">
        <v>76860</v>
      </c>
    </row>
    <row r="252" spans="1:7" x14ac:dyDescent="0.25">
      <c r="A252" s="14" t="s">
        <v>1835</v>
      </c>
      <c r="B252" s="14">
        <v>7</v>
      </c>
      <c r="C252" s="15" t="s">
        <v>1837</v>
      </c>
      <c r="D252" s="14" t="s">
        <v>1745</v>
      </c>
      <c r="E252" s="14" t="s">
        <v>1747</v>
      </c>
      <c r="F252" s="25">
        <v>43920</v>
      </c>
      <c r="G252" s="25">
        <v>39528</v>
      </c>
    </row>
    <row r="253" spans="1:7" x14ac:dyDescent="0.25">
      <c r="A253" s="14" t="s">
        <v>1835</v>
      </c>
      <c r="B253" s="14">
        <v>8</v>
      </c>
      <c r="C253" s="15" t="s">
        <v>1839</v>
      </c>
      <c r="D253" s="14" t="s">
        <v>1745</v>
      </c>
      <c r="E253" s="14" t="s">
        <v>1747</v>
      </c>
      <c r="F253" s="25">
        <v>60420</v>
      </c>
      <c r="G253" s="25">
        <v>42294</v>
      </c>
    </row>
    <row r="254" spans="1:7" x14ac:dyDescent="0.25">
      <c r="A254" s="14" t="s">
        <v>1835</v>
      </c>
      <c r="B254" s="14">
        <v>8</v>
      </c>
      <c r="C254" s="15" t="s">
        <v>1839</v>
      </c>
      <c r="D254" s="14" t="s">
        <v>1749</v>
      </c>
      <c r="E254" s="14" t="s">
        <v>1746</v>
      </c>
      <c r="F254" s="25">
        <v>6042</v>
      </c>
      <c r="G254" s="25">
        <v>4229.3999999999996</v>
      </c>
    </row>
    <row r="255" spans="1:7" x14ac:dyDescent="0.25">
      <c r="A255" s="14" t="s">
        <v>1835</v>
      </c>
      <c r="B255" s="14">
        <v>1</v>
      </c>
      <c r="C255" s="15" t="s">
        <v>1838</v>
      </c>
      <c r="D255" s="14" t="s">
        <v>1752</v>
      </c>
      <c r="E255" s="14" t="s">
        <v>1753</v>
      </c>
      <c r="F255" s="25">
        <v>329400</v>
      </c>
      <c r="G255" s="25">
        <v>230580</v>
      </c>
    </row>
    <row r="256" spans="1:7" x14ac:dyDescent="0.25">
      <c r="A256" s="14" t="s">
        <v>1835</v>
      </c>
      <c r="B256" s="14">
        <v>1</v>
      </c>
      <c r="C256" s="15" t="s">
        <v>1838</v>
      </c>
      <c r="D256" s="14" t="s">
        <v>1752</v>
      </c>
      <c r="E256" s="14" t="s">
        <v>1746</v>
      </c>
      <c r="F256" s="25">
        <v>345870</v>
      </c>
      <c r="G256" s="25">
        <v>242109</v>
      </c>
    </row>
    <row r="257" spans="1:7" x14ac:dyDescent="0.25">
      <c r="A257" s="14" t="s">
        <v>1835</v>
      </c>
      <c r="B257" s="14">
        <v>1</v>
      </c>
      <c r="C257" s="15" t="s">
        <v>1838</v>
      </c>
      <c r="D257" s="14" t="s">
        <v>1745</v>
      </c>
      <c r="E257" s="14" t="s">
        <v>1746</v>
      </c>
      <c r="F257" s="25">
        <v>115290</v>
      </c>
      <c r="G257" s="25">
        <v>80703</v>
      </c>
    </row>
    <row r="258" spans="1:7" x14ac:dyDescent="0.25">
      <c r="A258" s="14" t="s">
        <v>1835</v>
      </c>
      <c r="B258" s="14">
        <v>1</v>
      </c>
      <c r="C258" s="15" t="s">
        <v>1838</v>
      </c>
      <c r="D258" s="14" t="s">
        <v>1749</v>
      </c>
      <c r="E258" s="14" t="s">
        <v>1746</v>
      </c>
      <c r="F258" s="25">
        <v>10980</v>
      </c>
      <c r="G258" s="25">
        <v>7686</v>
      </c>
    </row>
    <row r="259" spans="1:7" x14ac:dyDescent="0.25">
      <c r="A259" s="14" t="s">
        <v>1835</v>
      </c>
      <c r="B259" s="14">
        <v>8</v>
      </c>
      <c r="C259" s="15" t="s">
        <v>1839</v>
      </c>
      <c r="D259" s="14" t="s">
        <v>1745</v>
      </c>
      <c r="E259" s="14" t="s">
        <v>1746</v>
      </c>
      <c r="F259" s="25">
        <v>63441</v>
      </c>
      <c r="G259" s="25">
        <v>44408.76</v>
      </c>
    </row>
    <row r="260" spans="1:7" x14ac:dyDescent="0.25">
      <c r="A260" s="14" t="s">
        <v>1835</v>
      </c>
      <c r="B260" s="14">
        <v>9</v>
      </c>
      <c r="C260" s="15" t="s">
        <v>1836</v>
      </c>
      <c r="D260" s="14" t="s">
        <v>1745</v>
      </c>
      <c r="E260" s="14" t="s">
        <v>1746</v>
      </c>
      <c r="F260" s="25">
        <v>46116</v>
      </c>
      <c r="G260" s="25">
        <v>32281.200000000001</v>
      </c>
    </row>
    <row r="261" spans="1:7" x14ac:dyDescent="0.25">
      <c r="A261" s="14" t="s">
        <v>1835</v>
      </c>
      <c r="B261" s="14">
        <v>3</v>
      </c>
      <c r="C261" s="15" t="s">
        <v>1838</v>
      </c>
      <c r="D261" s="14" t="s">
        <v>1749</v>
      </c>
      <c r="E261" s="14" t="s">
        <v>1766</v>
      </c>
      <c r="F261" s="25">
        <v>0</v>
      </c>
      <c r="G261" s="25">
        <v>0</v>
      </c>
    </row>
    <row r="262" spans="1:7" x14ac:dyDescent="0.25">
      <c r="A262" s="14" t="s">
        <v>1835</v>
      </c>
      <c r="B262" s="14">
        <v>7</v>
      </c>
      <c r="C262" s="15" t="s">
        <v>1837</v>
      </c>
      <c r="D262" s="14" t="s">
        <v>1749</v>
      </c>
      <c r="E262" s="14" t="s">
        <v>1746</v>
      </c>
      <c r="F262" s="25">
        <v>4392</v>
      </c>
      <c r="G262" s="25">
        <v>3952.8</v>
      </c>
    </row>
    <row r="263" spans="1:7" x14ac:dyDescent="0.25">
      <c r="A263" s="14" t="s">
        <v>1835</v>
      </c>
      <c r="B263" s="14">
        <v>9</v>
      </c>
      <c r="C263" s="15" t="s">
        <v>1836</v>
      </c>
      <c r="D263" s="14" t="s">
        <v>1749</v>
      </c>
      <c r="E263" s="14" t="s">
        <v>1746</v>
      </c>
      <c r="F263" s="25">
        <v>4392</v>
      </c>
      <c r="G263" s="25">
        <v>3074.4</v>
      </c>
    </row>
    <row r="264" spans="1:7" x14ac:dyDescent="0.25">
      <c r="A264" s="14" t="s">
        <v>1835</v>
      </c>
      <c r="B264" s="14">
        <v>1</v>
      </c>
      <c r="C264" s="15" t="s">
        <v>1838</v>
      </c>
      <c r="D264" s="14" t="s">
        <v>1752</v>
      </c>
      <c r="E264" s="14" t="s">
        <v>1747</v>
      </c>
      <c r="F264" s="25">
        <v>329400</v>
      </c>
      <c r="G264" s="25">
        <v>230580</v>
      </c>
    </row>
    <row r="265" spans="1:7" x14ac:dyDescent="0.25">
      <c r="A265" s="14" t="s">
        <v>1840</v>
      </c>
      <c r="B265" s="14">
        <v>2</v>
      </c>
      <c r="C265" s="15" t="s">
        <v>1841</v>
      </c>
      <c r="D265" s="14" t="s">
        <v>1752</v>
      </c>
      <c r="E265" s="14" t="s">
        <v>1747</v>
      </c>
      <c r="F265" s="25">
        <v>23940</v>
      </c>
      <c r="G265" s="25">
        <v>16758</v>
      </c>
    </row>
    <row r="266" spans="1:7" x14ac:dyDescent="0.25">
      <c r="A266" s="14" t="s">
        <v>1840</v>
      </c>
      <c r="B266" s="14">
        <v>4</v>
      </c>
      <c r="C266" s="15" t="s">
        <v>1842</v>
      </c>
      <c r="D266" s="14" t="s">
        <v>1749</v>
      </c>
      <c r="E266" s="14" t="s">
        <v>1746</v>
      </c>
      <c r="F266" s="25">
        <v>318</v>
      </c>
      <c r="G266" s="25">
        <v>286.2</v>
      </c>
    </row>
    <row r="267" spans="1:7" x14ac:dyDescent="0.25">
      <c r="A267" s="14" t="s">
        <v>1840</v>
      </c>
      <c r="B267" s="14">
        <v>2</v>
      </c>
      <c r="C267" s="15" t="s">
        <v>1841</v>
      </c>
      <c r="D267" s="14" t="s">
        <v>1752</v>
      </c>
      <c r="E267" s="14" t="s">
        <v>1746</v>
      </c>
      <c r="F267" s="25">
        <v>25137</v>
      </c>
      <c r="G267" s="25">
        <v>17596.080000000002</v>
      </c>
    </row>
    <row r="268" spans="1:7" x14ac:dyDescent="0.25">
      <c r="A268" s="14" t="s">
        <v>1840</v>
      </c>
      <c r="B268" s="14">
        <v>2</v>
      </c>
      <c r="C268" s="15" t="s">
        <v>1841</v>
      </c>
      <c r="D268" s="14" t="s">
        <v>1752</v>
      </c>
      <c r="E268" s="14" t="s">
        <v>1753</v>
      </c>
      <c r="F268" s="25">
        <v>23940</v>
      </c>
      <c r="G268" s="25">
        <v>16758</v>
      </c>
    </row>
    <row r="269" spans="1:7" x14ac:dyDescent="0.25">
      <c r="A269" s="14" t="s">
        <v>1840</v>
      </c>
      <c r="B269" s="14">
        <v>6</v>
      </c>
      <c r="C269" s="15" t="s">
        <v>1843</v>
      </c>
      <c r="D269" s="14" t="s">
        <v>1745</v>
      </c>
      <c r="E269" s="14" t="s">
        <v>1747</v>
      </c>
      <c r="F269" s="25">
        <v>3180</v>
      </c>
      <c r="G269" s="25">
        <v>2226</v>
      </c>
    </row>
    <row r="270" spans="1:7" x14ac:dyDescent="0.25">
      <c r="A270" s="14" t="s">
        <v>1840</v>
      </c>
      <c r="B270" s="14">
        <v>6</v>
      </c>
      <c r="C270" s="15" t="s">
        <v>1843</v>
      </c>
      <c r="D270" s="14" t="s">
        <v>1749</v>
      </c>
      <c r="E270" s="14" t="s">
        <v>1746</v>
      </c>
      <c r="F270" s="25">
        <v>318</v>
      </c>
      <c r="G270" s="25">
        <v>222.6</v>
      </c>
    </row>
    <row r="271" spans="1:7" x14ac:dyDescent="0.25">
      <c r="A271" s="14" t="s">
        <v>1840</v>
      </c>
      <c r="B271" s="14">
        <v>4</v>
      </c>
      <c r="C271" s="15" t="s">
        <v>1842</v>
      </c>
      <c r="D271" s="14" t="s">
        <v>1745</v>
      </c>
      <c r="E271" s="14" t="s">
        <v>1746</v>
      </c>
      <c r="F271" s="25">
        <v>3339</v>
      </c>
      <c r="G271" s="25">
        <v>3005.16</v>
      </c>
    </row>
    <row r="272" spans="1:7" x14ac:dyDescent="0.25">
      <c r="A272" s="14" t="s">
        <v>1840</v>
      </c>
      <c r="B272" s="14">
        <v>2</v>
      </c>
      <c r="C272" s="15" t="s">
        <v>1841</v>
      </c>
      <c r="D272" s="14" t="s">
        <v>1745</v>
      </c>
      <c r="E272" s="14" t="s">
        <v>1747</v>
      </c>
      <c r="F272" s="25">
        <v>7980</v>
      </c>
      <c r="G272" s="25">
        <v>5586</v>
      </c>
    </row>
    <row r="273" spans="1:7" x14ac:dyDescent="0.25">
      <c r="A273" s="14" t="s">
        <v>1840</v>
      </c>
      <c r="B273" s="14">
        <v>4</v>
      </c>
      <c r="C273" s="15" t="s">
        <v>1842</v>
      </c>
      <c r="D273" s="14" t="s">
        <v>1745</v>
      </c>
      <c r="E273" s="14" t="s">
        <v>1747</v>
      </c>
      <c r="F273" s="25">
        <v>3180</v>
      </c>
      <c r="G273" s="25">
        <v>2862</v>
      </c>
    </row>
    <row r="274" spans="1:7" x14ac:dyDescent="0.25">
      <c r="A274" s="14" t="s">
        <v>1840</v>
      </c>
      <c r="B274" s="14">
        <v>6</v>
      </c>
      <c r="C274" s="15" t="s">
        <v>1843</v>
      </c>
      <c r="D274" s="14" t="s">
        <v>1745</v>
      </c>
      <c r="E274" s="14" t="s">
        <v>1746</v>
      </c>
      <c r="F274" s="25">
        <v>3339</v>
      </c>
      <c r="G274" s="25">
        <v>2337.36</v>
      </c>
    </row>
    <row r="275" spans="1:7" x14ac:dyDescent="0.25">
      <c r="A275" s="14" t="s">
        <v>1840</v>
      </c>
      <c r="B275" s="14">
        <v>5</v>
      </c>
      <c r="C275" s="15" t="s">
        <v>1844</v>
      </c>
      <c r="D275" s="14" t="s">
        <v>1749</v>
      </c>
      <c r="E275" s="14" t="s">
        <v>1746</v>
      </c>
      <c r="F275" s="25">
        <v>438</v>
      </c>
      <c r="G275" s="25">
        <v>306.60000000000002</v>
      </c>
    </row>
    <row r="276" spans="1:7" x14ac:dyDescent="0.25">
      <c r="A276" s="14" t="s">
        <v>1840</v>
      </c>
      <c r="B276" s="14">
        <v>5</v>
      </c>
      <c r="C276" s="15" t="s">
        <v>1844</v>
      </c>
      <c r="D276" s="14" t="s">
        <v>1745</v>
      </c>
      <c r="E276" s="14" t="s">
        <v>1747</v>
      </c>
      <c r="F276" s="25">
        <v>4380</v>
      </c>
      <c r="G276" s="25">
        <v>3066</v>
      </c>
    </row>
    <row r="277" spans="1:7" x14ac:dyDescent="0.25">
      <c r="A277" s="14" t="s">
        <v>1840</v>
      </c>
      <c r="B277" s="14">
        <v>2</v>
      </c>
      <c r="C277" s="15" t="s">
        <v>1841</v>
      </c>
      <c r="D277" s="14" t="s">
        <v>1745</v>
      </c>
      <c r="E277" s="14" t="s">
        <v>1746</v>
      </c>
      <c r="F277" s="25">
        <v>8379</v>
      </c>
      <c r="G277" s="25">
        <v>5865.36</v>
      </c>
    </row>
    <row r="278" spans="1:7" x14ac:dyDescent="0.25">
      <c r="A278" s="14" t="s">
        <v>1840</v>
      </c>
      <c r="B278" s="14">
        <v>5</v>
      </c>
      <c r="C278" s="15" t="s">
        <v>1844</v>
      </c>
      <c r="D278" s="14" t="s">
        <v>1745</v>
      </c>
      <c r="E278" s="14" t="s">
        <v>1746</v>
      </c>
      <c r="F278" s="25">
        <v>4599</v>
      </c>
      <c r="G278" s="25">
        <v>3219.36</v>
      </c>
    </row>
    <row r="279" spans="1:7" x14ac:dyDescent="0.25">
      <c r="A279" s="14" t="s">
        <v>1840</v>
      </c>
      <c r="B279" s="14">
        <v>2</v>
      </c>
      <c r="C279" s="15" t="s">
        <v>1841</v>
      </c>
      <c r="D279" s="14" t="s">
        <v>1749</v>
      </c>
      <c r="E279" s="14" t="s">
        <v>1746</v>
      </c>
      <c r="F279" s="25">
        <v>798</v>
      </c>
      <c r="G279" s="25">
        <v>558.6</v>
      </c>
    </row>
    <row r="280" spans="1:7" x14ac:dyDescent="0.25">
      <c r="A280" s="14" t="s">
        <v>1845</v>
      </c>
      <c r="B280" s="14">
        <v>2</v>
      </c>
      <c r="C280" s="15" t="s">
        <v>1846</v>
      </c>
      <c r="D280" s="14" t="s">
        <v>1749</v>
      </c>
      <c r="E280" s="14" t="s">
        <v>1746</v>
      </c>
      <c r="F280" s="25">
        <v>600</v>
      </c>
      <c r="G280" s="25">
        <v>450</v>
      </c>
    </row>
    <row r="281" spans="1:7" x14ac:dyDescent="0.25">
      <c r="A281" s="14" t="s">
        <v>1845</v>
      </c>
      <c r="B281" s="14">
        <v>4</v>
      </c>
      <c r="C281" s="15" t="s">
        <v>1847</v>
      </c>
      <c r="D281" s="14" t="s">
        <v>1749</v>
      </c>
      <c r="E281" s="14" t="s">
        <v>1746</v>
      </c>
      <c r="F281" s="25">
        <v>372</v>
      </c>
      <c r="G281" s="25">
        <v>334.8</v>
      </c>
    </row>
    <row r="282" spans="1:7" x14ac:dyDescent="0.25">
      <c r="A282" s="14" t="s">
        <v>1845</v>
      </c>
      <c r="B282" s="14">
        <v>1</v>
      </c>
      <c r="C282" s="15" t="s">
        <v>1848</v>
      </c>
      <c r="D282" s="14" t="s">
        <v>1749</v>
      </c>
      <c r="E282" s="14" t="s">
        <v>1746</v>
      </c>
      <c r="F282" s="25">
        <v>1500</v>
      </c>
      <c r="G282" s="25">
        <v>1125</v>
      </c>
    </row>
    <row r="283" spans="1:7" x14ac:dyDescent="0.25">
      <c r="A283" s="14" t="s">
        <v>1845</v>
      </c>
      <c r="B283" s="14">
        <v>3</v>
      </c>
      <c r="C283" s="15" t="s">
        <v>1849</v>
      </c>
      <c r="D283" s="14" t="s">
        <v>1745</v>
      </c>
      <c r="E283" s="14" t="s">
        <v>1747</v>
      </c>
      <c r="F283" s="25">
        <v>8220</v>
      </c>
      <c r="G283" s="25">
        <v>6165</v>
      </c>
    </row>
    <row r="284" spans="1:7" x14ac:dyDescent="0.25">
      <c r="A284" s="14" t="s">
        <v>1845</v>
      </c>
      <c r="B284" s="14">
        <v>3</v>
      </c>
      <c r="C284" s="15" t="s">
        <v>1849</v>
      </c>
      <c r="D284" s="14" t="s">
        <v>1745</v>
      </c>
      <c r="E284" s="14" t="s">
        <v>1746</v>
      </c>
      <c r="F284" s="25">
        <v>8631</v>
      </c>
      <c r="G284" s="25">
        <v>6473.28</v>
      </c>
    </row>
    <row r="285" spans="1:7" x14ac:dyDescent="0.25">
      <c r="A285" s="14" t="s">
        <v>1845</v>
      </c>
      <c r="B285" s="14">
        <v>1</v>
      </c>
      <c r="C285" s="15" t="s">
        <v>1848</v>
      </c>
      <c r="D285" s="14" t="s">
        <v>1745</v>
      </c>
      <c r="E285" s="14" t="s">
        <v>1746</v>
      </c>
      <c r="F285" s="25">
        <v>15750</v>
      </c>
      <c r="G285" s="25">
        <v>11812.56</v>
      </c>
    </row>
    <row r="286" spans="1:7" x14ac:dyDescent="0.25">
      <c r="A286" s="14" t="s">
        <v>1845</v>
      </c>
      <c r="B286" s="14">
        <v>2</v>
      </c>
      <c r="C286" s="15" t="s">
        <v>1846</v>
      </c>
      <c r="D286" s="14" t="s">
        <v>1745</v>
      </c>
      <c r="E286" s="14" t="s">
        <v>1746</v>
      </c>
      <c r="F286" s="25">
        <v>6300</v>
      </c>
      <c r="G286" s="25">
        <v>4725</v>
      </c>
    </row>
    <row r="287" spans="1:7" x14ac:dyDescent="0.25">
      <c r="A287" s="14" t="s">
        <v>1845</v>
      </c>
      <c r="B287" s="14">
        <v>4</v>
      </c>
      <c r="C287" s="15" t="s">
        <v>1847</v>
      </c>
      <c r="D287" s="14" t="s">
        <v>1745</v>
      </c>
      <c r="E287" s="14" t="s">
        <v>1747</v>
      </c>
      <c r="F287" s="25">
        <v>3720</v>
      </c>
      <c r="G287" s="25">
        <v>3348</v>
      </c>
    </row>
    <row r="288" spans="1:7" x14ac:dyDescent="0.25">
      <c r="A288" s="14" t="s">
        <v>1845</v>
      </c>
      <c r="B288" s="14">
        <v>4</v>
      </c>
      <c r="C288" s="15" t="s">
        <v>1847</v>
      </c>
      <c r="D288" s="14" t="s">
        <v>1745</v>
      </c>
      <c r="E288" s="14" t="s">
        <v>1746</v>
      </c>
      <c r="F288" s="25">
        <v>3906</v>
      </c>
      <c r="G288" s="25">
        <v>3515.4</v>
      </c>
    </row>
    <row r="289" spans="1:7" x14ac:dyDescent="0.25">
      <c r="A289" s="14" t="s">
        <v>1845</v>
      </c>
      <c r="B289" s="14">
        <v>2</v>
      </c>
      <c r="C289" s="15" t="s">
        <v>1846</v>
      </c>
      <c r="D289" s="14" t="s">
        <v>1745</v>
      </c>
      <c r="E289" s="14" t="s">
        <v>1747</v>
      </c>
      <c r="F289" s="25">
        <v>6000</v>
      </c>
      <c r="G289" s="25">
        <v>4500</v>
      </c>
    </row>
    <row r="290" spans="1:7" x14ac:dyDescent="0.25">
      <c r="A290" s="14" t="s">
        <v>1845</v>
      </c>
      <c r="B290" s="14">
        <v>3</v>
      </c>
      <c r="C290" s="15" t="s">
        <v>1849</v>
      </c>
      <c r="D290" s="14" t="s">
        <v>1749</v>
      </c>
      <c r="E290" s="14" t="s">
        <v>1746</v>
      </c>
      <c r="F290" s="25">
        <v>822</v>
      </c>
      <c r="G290" s="25">
        <v>616.5</v>
      </c>
    </row>
    <row r="291" spans="1:7" x14ac:dyDescent="0.25">
      <c r="A291" s="14" t="s">
        <v>1845</v>
      </c>
      <c r="B291" s="14">
        <v>1</v>
      </c>
      <c r="C291" s="15" t="s">
        <v>1848</v>
      </c>
      <c r="D291" s="14" t="s">
        <v>1745</v>
      </c>
      <c r="E291" s="14" t="s">
        <v>1747</v>
      </c>
      <c r="F291" s="25">
        <v>15000</v>
      </c>
      <c r="G291" s="25">
        <v>11250</v>
      </c>
    </row>
    <row r="292" spans="1:7" x14ac:dyDescent="0.25">
      <c r="A292" s="14" t="s">
        <v>1850</v>
      </c>
      <c r="B292" s="14">
        <v>1</v>
      </c>
      <c r="C292" s="15" t="s">
        <v>1851</v>
      </c>
      <c r="D292" s="14" t="s">
        <v>1745</v>
      </c>
      <c r="E292" s="14" t="s">
        <v>1746</v>
      </c>
      <c r="F292" s="25">
        <v>31437</v>
      </c>
      <c r="G292" s="25">
        <v>22005.96</v>
      </c>
    </row>
    <row r="293" spans="1:7" x14ac:dyDescent="0.25">
      <c r="A293" s="14" t="s">
        <v>1852</v>
      </c>
      <c r="B293" s="14" t="s">
        <v>1643</v>
      </c>
      <c r="C293" s="15" t="s">
        <v>1853</v>
      </c>
      <c r="D293" s="14" t="s">
        <v>1745</v>
      </c>
      <c r="E293" s="14" t="s">
        <v>1746</v>
      </c>
      <c r="F293" s="25">
        <v>157248</v>
      </c>
      <c r="G293" s="25">
        <v>141523.20000000001</v>
      </c>
    </row>
    <row r="294" spans="1:7" ht="30" x14ac:dyDescent="0.25">
      <c r="A294" s="14" t="s">
        <v>1850</v>
      </c>
      <c r="B294" s="14" t="s">
        <v>39</v>
      </c>
      <c r="C294" s="15" t="s">
        <v>1854</v>
      </c>
      <c r="D294" s="14" t="s">
        <v>1745</v>
      </c>
      <c r="E294" s="14" t="s">
        <v>1746</v>
      </c>
      <c r="F294" s="25">
        <v>12600</v>
      </c>
      <c r="G294" s="25">
        <v>8820</v>
      </c>
    </row>
    <row r="295" spans="1:7" x14ac:dyDescent="0.25">
      <c r="A295" s="14" t="s">
        <v>1852</v>
      </c>
      <c r="B295" s="14">
        <v>52</v>
      </c>
      <c r="C295" s="15" t="s">
        <v>1855</v>
      </c>
      <c r="D295" s="14" t="s">
        <v>1749</v>
      </c>
      <c r="E295" s="14" t="s">
        <v>1746</v>
      </c>
      <c r="F295" s="25">
        <v>19968</v>
      </c>
      <c r="G295" s="25">
        <v>13977.6</v>
      </c>
    </row>
    <row r="296" spans="1:7" x14ac:dyDescent="0.25">
      <c r="A296" s="14" t="s">
        <v>1852</v>
      </c>
      <c r="B296" s="14" t="s">
        <v>1578</v>
      </c>
      <c r="C296" s="15" t="s">
        <v>1856</v>
      </c>
      <c r="D296" s="14" t="s">
        <v>1745</v>
      </c>
      <c r="E296" s="14" t="s">
        <v>1747</v>
      </c>
      <c r="F296" s="25">
        <v>149760</v>
      </c>
      <c r="G296" s="25">
        <v>134784</v>
      </c>
    </row>
    <row r="297" spans="1:7" x14ac:dyDescent="0.25">
      <c r="A297" s="14" t="s">
        <v>1852</v>
      </c>
      <c r="B297" s="14">
        <v>76</v>
      </c>
      <c r="C297" s="15" t="s">
        <v>1857</v>
      </c>
      <c r="D297" s="14" t="s">
        <v>1749</v>
      </c>
      <c r="E297" s="14" t="s">
        <v>1746</v>
      </c>
      <c r="F297" s="25">
        <v>928452</v>
      </c>
      <c r="G297" s="25">
        <v>835606.8</v>
      </c>
    </row>
    <row r="298" spans="1:7" x14ac:dyDescent="0.25">
      <c r="A298" s="14" t="s">
        <v>1852</v>
      </c>
      <c r="B298" s="14" t="s">
        <v>1647</v>
      </c>
      <c r="C298" s="15" t="s">
        <v>1858</v>
      </c>
      <c r="D298" s="14" t="s">
        <v>1745</v>
      </c>
      <c r="E298" s="14" t="s">
        <v>1747</v>
      </c>
      <c r="F298" s="25">
        <v>199680</v>
      </c>
      <c r="G298" s="25">
        <v>139776</v>
      </c>
    </row>
    <row r="299" spans="1:7" x14ac:dyDescent="0.25">
      <c r="A299" s="14" t="s">
        <v>1852</v>
      </c>
      <c r="B299" s="14" t="s">
        <v>1595</v>
      </c>
      <c r="C299" s="15" t="s">
        <v>1859</v>
      </c>
      <c r="D299" s="14" t="s">
        <v>1745</v>
      </c>
      <c r="E299" s="14" t="s">
        <v>1746</v>
      </c>
      <c r="F299" s="25">
        <v>288288</v>
      </c>
      <c r="G299" s="25">
        <v>201801.60000000001</v>
      </c>
    </row>
    <row r="300" spans="1:7" x14ac:dyDescent="0.25">
      <c r="A300" s="14" t="s">
        <v>1852</v>
      </c>
      <c r="B300" s="14" t="s">
        <v>1708</v>
      </c>
      <c r="C300" s="15" t="s">
        <v>1860</v>
      </c>
      <c r="D300" s="14" t="s">
        <v>1745</v>
      </c>
      <c r="E300" s="14" t="s">
        <v>1746</v>
      </c>
      <c r="F300" s="25">
        <v>4559877</v>
      </c>
      <c r="G300" s="25">
        <v>4103889</v>
      </c>
    </row>
    <row r="301" spans="1:7" x14ac:dyDescent="0.25">
      <c r="A301" s="14" t="s">
        <v>1852</v>
      </c>
      <c r="B301" s="14" t="s">
        <v>1583</v>
      </c>
      <c r="C301" s="15" t="s">
        <v>1861</v>
      </c>
      <c r="D301" s="14" t="s">
        <v>1749</v>
      </c>
      <c r="E301" s="14" t="s">
        <v>1746</v>
      </c>
      <c r="F301" s="25">
        <v>1237938</v>
      </c>
      <c r="G301" s="25">
        <v>866556.6</v>
      </c>
    </row>
    <row r="302" spans="1:7" x14ac:dyDescent="0.25">
      <c r="A302" s="14" t="s">
        <v>1852</v>
      </c>
      <c r="B302" s="14" t="s">
        <v>118</v>
      </c>
      <c r="C302" s="15" t="s">
        <v>1862</v>
      </c>
      <c r="D302" s="14" t="s">
        <v>1749</v>
      </c>
      <c r="E302" s="14" t="s">
        <v>1746</v>
      </c>
      <c r="F302" s="25">
        <v>1447590</v>
      </c>
      <c r="G302" s="25">
        <v>1013313</v>
      </c>
    </row>
    <row r="303" spans="1:7" x14ac:dyDescent="0.25">
      <c r="A303" s="14" t="s">
        <v>1852</v>
      </c>
      <c r="B303" s="14">
        <v>13</v>
      </c>
      <c r="C303" s="15" t="s">
        <v>1863</v>
      </c>
      <c r="D303" s="14" t="s">
        <v>1745</v>
      </c>
      <c r="E303" s="14" t="s">
        <v>1747</v>
      </c>
      <c r="F303" s="25">
        <v>3993360</v>
      </c>
      <c r="G303" s="25">
        <v>2795352</v>
      </c>
    </row>
    <row r="304" spans="1:7" x14ac:dyDescent="0.25">
      <c r="A304" s="14" t="s">
        <v>1852</v>
      </c>
      <c r="B304" s="14">
        <v>67</v>
      </c>
      <c r="C304" s="15" t="s">
        <v>1864</v>
      </c>
      <c r="D304" s="14" t="s">
        <v>1745</v>
      </c>
      <c r="E304" s="14" t="s">
        <v>1746</v>
      </c>
      <c r="F304" s="25">
        <v>209664</v>
      </c>
      <c r="G304" s="25">
        <v>146764.79999999999</v>
      </c>
    </row>
    <row r="305" spans="1:7" x14ac:dyDescent="0.25">
      <c r="A305" s="14" t="s">
        <v>1852</v>
      </c>
      <c r="B305" s="14">
        <v>64</v>
      </c>
      <c r="C305" s="15" t="s">
        <v>1865</v>
      </c>
      <c r="D305" s="14" t="s">
        <v>1745</v>
      </c>
      <c r="E305" s="14" t="s">
        <v>1746</v>
      </c>
      <c r="F305" s="25">
        <v>209664</v>
      </c>
      <c r="G305" s="25">
        <v>146764.79999999999</v>
      </c>
    </row>
    <row r="306" spans="1:7" x14ac:dyDescent="0.25">
      <c r="A306" s="14" t="s">
        <v>1852</v>
      </c>
      <c r="B306" s="14" t="s">
        <v>46</v>
      </c>
      <c r="C306" s="15" t="s">
        <v>1866</v>
      </c>
      <c r="D306" s="14" t="s">
        <v>1745</v>
      </c>
      <c r="E306" s="14" t="s">
        <v>1746</v>
      </c>
      <c r="F306" s="25">
        <v>15199695</v>
      </c>
      <c r="G306" s="25">
        <v>10639787</v>
      </c>
    </row>
    <row r="307" spans="1:7" x14ac:dyDescent="0.25">
      <c r="A307" s="14" t="s">
        <v>1852</v>
      </c>
      <c r="B307" s="14">
        <v>87</v>
      </c>
      <c r="C307" s="15" t="s">
        <v>1867</v>
      </c>
      <c r="D307" s="14" t="s">
        <v>1745</v>
      </c>
      <c r="E307" s="14" t="s">
        <v>1747</v>
      </c>
      <c r="F307" s="25">
        <v>1198020</v>
      </c>
      <c r="G307" s="25">
        <v>1078218</v>
      </c>
    </row>
    <row r="308" spans="1:7" x14ac:dyDescent="0.25">
      <c r="A308" s="14" t="s">
        <v>1852</v>
      </c>
      <c r="B308" s="14" t="s">
        <v>417</v>
      </c>
      <c r="C308" s="15" t="s">
        <v>1868</v>
      </c>
      <c r="D308" s="14" t="s">
        <v>1749</v>
      </c>
      <c r="E308" s="14" t="s">
        <v>1746</v>
      </c>
      <c r="F308" s="25">
        <v>434274</v>
      </c>
      <c r="G308" s="25">
        <v>390846.6</v>
      </c>
    </row>
    <row r="309" spans="1:7" x14ac:dyDescent="0.25">
      <c r="A309" s="14" t="s">
        <v>1852</v>
      </c>
      <c r="B309" s="14" t="s">
        <v>1634</v>
      </c>
      <c r="C309" s="15" t="s">
        <v>1869</v>
      </c>
      <c r="D309" s="14" t="s">
        <v>1745</v>
      </c>
      <c r="E309" s="14" t="s">
        <v>1747</v>
      </c>
      <c r="F309" s="25">
        <v>199680</v>
      </c>
      <c r="G309" s="25">
        <v>139776</v>
      </c>
    </row>
    <row r="310" spans="1:7" x14ac:dyDescent="0.25">
      <c r="A310" s="14" t="s">
        <v>1852</v>
      </c>
      <c r="B310" s="14">
        <v>5</v>
      </c>
      <c r="C310" s="15" t="s">
        <v>1870</v>
      </c>
      <c r="D310" s="14" t="s">
        <v>1745</v>
      </c>
      <c r="E310" s="14" t="s">
        <v>1747</v>
      </c>
      <c r="F310" s="25">
        <v>30948420</v>
      </c>
      <c r="G310" s="25">
        <v>21663894</v>
      </c>
    </row>
    <row r="311" spans="1:7" x14ac:dyDescent="0.25">
      <c r="A311" s="14" t="s">
        <v>1852</v>
      </c>
      <c r="B311" s="14">
        <v>68</v>
      </c>
      <c r="C311" s="15" t="s">
        <v>1871</v>
      </c>
      <c r="D311" s="14" t="s">
        <v>1745</v>
      </c>
      <c r="E311" s="14" t="s">
        <v>1747</v>
      </c>
      <c r="F311" s="25">
        <v>274560</v>
      </c>
      <c r="G311" s="25">
        <v>192192</v>
      </c>
    </row>
    <row r="312" spans="1:7" x14ac:dyDescent="0.25">
      <c r="A312" s="14" t="s">
        <v>1852</v>
      </c>
      <c r="B312" s="14">
        <v>76</v>
      </c>
      <c r="C312" s="15" t="s">
        <v>1857</v>
      </c>
      <c r="D312" s="14" t="s">
        <v>1745</v>
      </c>
      <c r="E312" s="14" t="s">
        <v>1747</v>
      </c>
      <c r="F312" s="25">
        <v>9284520</v>
      </c>
      <c r="G312" s="25">
        <v>8356068</v>
      </c>
    </row>
    <row r="313" spans="1:7" x14ac:dyDescent="0.25">
      <c r="A313" s="14" t="s">
        <v>1852</v>
      </c>
      <c r="B313" s="14">
        <v>3</v>
      </c>
      <c r="C313" s="15" t="s">
        <v>1872</v>
      </c>
      <c r="D313" s="14" t="s">
        <v>1745</v>
      </c>
      <c r="E313" s="14" t="s">
        <v>1747</v>
      </c>
      <c r="F313" s="25">
        <v>499140</v>
      </c>
      <c r="G313" s="25">
        <v>349398</v>
      </c>
    </row>
    <row r="314" spans="1:7" x14ac:dyDescent="0.25">
      <c r="A314" s="14" t="s">
        <v>1852</v>
      </c>
      <c r="B314" s="14">
        <v>9</v>
      </c>
      <c r="C314" s="15" t="s">
        <v>1873</v>
      </c>
      <c r="D314" s="14" t="s">
        <v>1749</v>
      </c>
      <c r="E314" s="14" t="s">
        <v>1746</v>
      </c>
      <c r="F314" s="25">
        <v>3094842</v>
      </c>
      <c r="G314" s="25">
        <v>2166389</v>
      </c>
    </row>
    <row r="315" spans="1:7" x14ac:dyDescent="0.25">
      <c r="A315" s="14" t="s">
        <v>1852</v>
      </c>
      <c r="B315" s="14">
        <v>84</v>
      </c>
      <c r="C315" s="15" t="s">
        <v>1874</v>
      </c>
      <c r="D315" s="14" t="s">
        <v>1749</v>
      </c>
      <c r="E315" s="14" t="s">
        <v>1746</v>
      </c>
      <c r="F315" s="25">
        <v>119802</v>
      </c>
      <c r="G315" s="25">
        <v>107821.8</v>
      </c>
    </row>
    <row r="316" spans="1:7" x14ac:dyDescent="0.25">
      <c r="A316" s="14" t="s">
        <v>1852</v>
      </c>
      <c r="B316" s="14" t="s">
        <v>1875</v>
      </c>
      <c r="C316" s="15" t="s">
        <v>1876</v>
      </c>
      <c r="D316" s="14" t="s">
        <v>1745</v>
      </c>
      <c r="E316" s="14" t="s">
        <v>1747</v>
      </c>
      <c r="F316" s="25">
        <v>7961760</v>
      </c>
      <c r="G316" s="25">
        <v>5573232</v>
      </c>
    </row>
    <row r="317" spans="1:7" x14ac:dyDescent="0.25">
      <c r="A317" s="14" t="s">
        <v>1852</v>
      </c>
      <c r="B317" s="14" t="s">
        <v>1877</v>
      </c>
      <c r="C317" s="15" t="s">
        <v>1878</v>
      </c>
      <c r="D317" s="14" t="s">
        <v>1749</v>
      </c>
      <c r="E317" s="14" t="s">
        <v>1746</v>
      </c>
      <c r="F317" s="25">
        <v>434274</v>
      </c>
      <c r="G317" s="25">
        <v>390846.6</v>
      </c>
    </row>
    <row r="318" spans="1:7" x14ac:dyDescent="0.25">
      <c r="A318" s="14" t="s">
        <v>1852</v>
      </c>
      <c r="B318" s="14" t="s">
        <v>1669</v>
      </c>
      <c r="C318" s="15" t="s">
        <v>1879</v>
      </c>
      <c r="D318" s="14" t="s">
        <v>1749</v>
      </c>
      <c r="E318" s="14" t="s">
        <v>1746</v>
      </c>
      <c r="F318" s="25">
        <v>19968</v>
      </c>
      <c r="G318" s="25">
        <v>13977.6</v>
      </c>
    </row>
    <row r="319" spans="1:7" x14ac:dyDescent="0.25">
      <c r="A319" s="14" t="s">
        <v>1852</v>
      </c>
      <c r="B319" s="14" t="s">
        <v>1647</v>
      </c>
      <c r="C319" s="15" t="s">
        <v>1858</v>
      </c>
      <c r="D319" s="14" t="s">
        <v>1745</v>
      </c>
      <c r="E319" s="14" t="s">
        <v>1746</v>
      </c>
      <c r="F319" s="25">
        <v>209664</v>
      </c>
      <c r="G319" s="25">
        <v>146764.79999999999</v>
      </c>
    </row>
    <row r="320" spans="1:7" x14ac:dyDescent="0.25">
      <c r="A320" s="14" t="s">
        <v>1852</v>
      </c>
      <c r="B320" s="14">
        <v>79</v>
      </c>
      <c r="C320" s="15" t="s">
        <v>1880</v>
      </c>
      <c r="D320" s="14" t="s">
        <v>1745</v>
      </c>
      <c r="E320" s="14" t="s">
        <v>1747</v>
      </c>
      <c r="F320" s="25">
        <v>12379380</v>
      </c>
      <c r="G320" s="25">
        <v>8665566</v>
      </c>
    </row>
    <row r="321" spans="1:7" x14ac:dyDescent="0.25">
      <c r="A321" s="14" t="s">
        <v>1852</v>
      </c>
      <c r="B321" s="14" t="s">
        <v>1881</v>
      </c>
      <c r="C321" s="15" t="s">
        <v>1882</v>
      </c>
      <c r="D321" s="14" t="s">
        <v>1745</v>
      </c>
      <c r="E321" s="14" t="s">
        <v>1746</v>
      </c>
      <c r="F321" s="25">
        <v>288288</v>
      </c>
      <c r="G321" s="25">
        <v>201801.60000000001</v>
      </c>
    </row>
    <row r="322" spans="1:7" x14ac:dyDescent="0.25">
      <c r="A322" s="14" t="s">
        <v>1852</v>
      </c>
      <c r="B322" s="14" t="s">
        <v>1737</v>
      </c>
      <c r="C322" s="15" t="s">
        <v>1883</v>
      </c>
      <c r="D322" s="14" t="s">
        <v>1745</v>
      </c>
      <c r="E322" s="14" t="s">
        <v>1747</v>
      </c>
      <c r="F322" s="25">
        <v>4342740</v>
      </c>
      <c r="G322" s="25">
        <v>3908466</v>
      </c>
    </row>
    <row r="323" spans="1:7" ht="30" x14ac:dyDescent="0.25">
      <c r="A323" s="14" t="s">
        <v>1850</v>
      </c>
      <c r="B323" s="14" t="s">
        <v>32</v>
      </c>
      <c r="C323" s="15" t="s">
        <v>1884</v>
      </c>
      <c r="D323" s="14" t="s">
        <v>1749</v>
      </c>
      <c r="E323" s="14" t="s">
        <v>1746</v>
      </c>
      <c r="F323" s="25">
        <v>1650</v>
      </c>
      <c r="G323" s="25">
        <v>1155</v>
      </c>
    </row>
    <row r="324" spans="1:7" x14ac:dyDescent="0.25">
      <c r="A324" s="14" t="s">
        <v>1852</v>
      </c>
      <c r="B324" s="14">
        <v>68</v>
      </c>
      <c r="C324" s="15" t="s">
        <v>1871</v>
      </c>
      <c r="D324" s="14" t="s">
        <v>1749</v>
      </c>
      <c r="E324" s="14" t="s">
        <v>1746</v>
      </c>
      <c r="F324" s="25">
        <v>27456</v>
      </c>
      <c r="G324" s="25">
        <v>19219.2</v>
      </c>
    </row>
    <row r="325" spans="1:7" x14ac:dyDescent="0.25">
      <c r="A325" s="14" t="s">
        <v>1852</v>
      </c>
      <c r="B325" s="14" t="s">
        <v>55</v>
      </c>
      <c r="C325" s="15" t="s">
        <v>1885</v>
      </c>
      <c r="D325" s="14" t="s">
        <v>1749</v>
      </c>
      <c r="E325" s="14" t="s">
        <v>1746</v>
      </c>
      <c r="F325" s="25">
        <v>49914</v>
      </c>
      <c r="G325" s="25">
        <v>34939.800000000003</v>
      </c>
    </row>
    <row r="326" spans="1:7" x14ac:dyDescent="0.25">
      <c r="A326" s="14" t="s">
        <v>1852</v>
      </c>
      <c r="B326" s="14">
        <v>3</v>
      </c>
      <c r="C326" s="15" t="s">
        <v>1872</v>
      </c>
      <c r="D326" s="14" t="s">
        <v>1745</v>
      </c>
      <c r="E326" s="14" t="s">
        <v>1746</v>
      </c>
      <c r="F326" s="25">
        <v>524097</v>
      </c>
      <c r="G326" s="25">
        <v>366868</v>
      </c>
    </row>
    <row r="327" spans="1:7" x14ac:dyDescent="0.25">
      <c r="A327" s="14" t="s">
        <v>1852</v>
      </c>
      <c r="B327" s="14">
        <v>4</v>
      </c>
      <c r="C327" s="15" t="s">
        <v>1886</v>
      </c>
      <c r="D327" s="14" t="s">
        <v>1745</v>
      </c>
      <c r="E327" s="14" t="s">
        <v>1747</v>
      </c>
      <c r="F327" s="25">
        <v>499140</v>
      </c>
      <c r="G327" s="25">
        <v>349398</v>
      </c>
    </row>
    <row r="328" spans="1:7" x14ac:dyDescent="0.25">
      <c r="A328" s="14" t="s">
        <v>1852</v>
      </c>
      <c r="B328" s="14" t="s">
        <v>1601</v>
      </c>
      <c r="C328" s="15" t="s">
        <v>1887</v>
      </c>
      <c r="D328" s="14" t="s">
        <v>1749</v>
      </c>
      <c r="E328" s="14" t="s">
        <v>1746</v>
      </c>
      <c r="F328" s="25">
        <v>14976</v>
      </c>
      <c r="G328" s="25">
        <v>13478.4</v>
      </c>
    </row>
    <row r="329" spans="1:7" x14ac:dyDescent="0.25">
      <c r="A329" s="14" t="s">
        <v>1852</v>
      </c>
      <c r="B329" s="14">
        <v>71</v>
      </c>
      <c r="C329" s="15" t="s">
        <v>1888</v>
      </c>
      <c r="D329" s="14" t="s">
        <v>1749</v>
      </c>
      <c r="E329" s="14" t="s">
        <v>1746</v>
      </c>
      <c r="F329" s="25">
        <v>119802</v>
      </c>
      <c r="G329" s="25">
        <v>107821.8</v>
      </c>
    </row>
    <row r="330" spans="1:7" x14ac:dyDescent="0.25">
      <c r="A330" s="14" t="s">
        <v>1852</v>
      </c>
      <c r="B330" s="14" t="s">
        <v>16</v>
      </c>
      <c r="C330" s="15" t="s">
        <v>1889</v>
      </c>
      <c r="D330" s="14" t="s">
        <v>1749</v>
      </c>
      <c r="E330" s="14" t="s">
        <v>1746</v>
      </c>
      <c r="F330" s="25">
        <v>49914</v>
      </c>
      <c r="G330" s="25">
        <v>34939.800000000003</v>
      </c>
    </row>
    <row r="331" spans="1:7" ht="30" x14ac:dyDescent="0.25">
      <c r="A331" s="14" t="s">
        <v>1850</v>
      </c>
      <c r="B331" s="14" t="s">
        <v>39</v>
      </c>
      <c r="C331" s="15" t="s">
        <v>1854</v>
      </c>
      <c r="D331" s="14" t="s">
        <v>1749</v>
      </c>
      <c r="E331" s="14" t="s">
        <v>1746</v>
      </c>
      <c r="F331" s="25">
        <v>1200</v>
      </c>
      <c r="G331" s="25">
        <v>840</v>
      </c>
    </row>
    <row r="332" spans="1:7" x14ac:dyDescent="0.25">
      <c r="A332" s="14" t="s">
        <v>1852</v>
      </c>
      <c r="B332" s="14">
        <v>77</v>
      </c>
      <c r="C332" s="15" t="s">
        <v>1890</v>
      </c>
      <c r="D332" s="14" t="s">
        <v>1745</v>
      </c>
      <c r="E332" s="14" t="s">
        <v>1747</v>
      </c>
      <c r="F332" s="25">
        <v>17021640</v>
      </c>
      <c r="G332" s="25">
        <v>11915148</v>
      </c>
    </row>
    <row r="333" spans="1:7" x14ac:dyDescent="0.25">
      <c r="A333" s="14" t="s">
        <v>1852</v>
      </c>
      <c r="B333" s="14" t="s">
        <v>1634</v>
      </c>
      <c r="C333" s="15" t="s">
        <v>1869</v>
      </c>
      <c r="D333" s="14" t="s">
        <v>1749</v>
      </c>
      <c r="E333" s="14" t="s">
        <v>1746</v>
      </c>
      <c r="F333" s="25">
        <v>19968</v>
      </c>
      <c r="G333" s="25">
        <v>13977.6</v>
      </c>
    </row>
    <row r="334" spans="1:7" x14ac:dyDescent="0.25">
      <c r="A334" s="14" t="s">
        <v>1852</v>
      </c>
      <c r="B334" s="14" t="s">
        <v>1566</v>
      </c>
      <c r="C334" s="15" t="s">
        <v>1891</v>
      </c>
      <c r="D334" s="14" t="s">
        <v>1749</v>
      </c>
      <c r="E334" s="14" t="s">
        <v>1746</v>
      </c>
      <c r="F334" s="25">
        <v>219636</v>
      </c>
      <c r="G334" s="25">
        <v>153745.20000000001</v>
      </c>
    </row>
    <row r="335" spans="1:7" x14ac:dyDescent="0.25">
      <c r="A335" s="14" t="s">
        <v>1852</v>
      </c>
      <c r="B335" s="14" t="s">
        <v>1535</v>
      </c>
      <c r="C335" s="15" t="s">
        <v>1892</v>
      </c>
      <c r="D335" s="14" t="s">
        <v>1745</v>
      </c>
      <c r="E335" s="14" t="s">
        <v>1746</v>
      </c>
      <c r="F335" s="25">
        <v>288288</v>
      </c>
      <c r="G335" s="25">
        <v>201801.60000000001</v>
      </c>
    </row>
    <row r="336" spans="1:7" x14ac:dyDescent="0.25">
      <c r="A336" s="14" t="s">
        <v>1852</v>
      </c>
      <c r="B336" s="14">
        <v>88</v>
      </c>
      <c r="C336" s="15" t="s">
        <v>1893</v>
      </c>
      <c r="D336" s="14" t="s">
        <v>1745</v>
      </c>
      <c r="E336" s="14" t="s">
        <v>1746</v>
      </c>
      <c r="F336" s="25">
        <v>6079878</v>
      </c>
      <c r="G336" s="25">
        <v>4255915</v>
      </c>
    </row>
    <row r="337" spans="1:7" x14ac:dyDescent="0.25">
      <c r="A337" s="14" t="s">
        <v>1852</v>
      </c>
      <c r="B337" s="14">
        <v>62</v>
      </c>
      <c r="C337" s="15" t="s">
        <v>1894</v>
      </c>
      <c r="D337" s="14" t="s">
        <v>1749</v>
      </c>
      <c r="E337" s="14" t="s">
        <v>1746</v>
      </c>
      <c r="F337" s="25">
        <v>27456</v>
      </c>
      <c r="G337" s="25">
        <v>19219.2</v>
      </c>
    </row>
    <row r="338" spans="1:7" x14ac:dyDescent="0.25">
      <c r="A338" s="14" t="s">
        <v>1852</v>
      </c>
      <c r="B338" s="14" t="s">
        <v>32</v>
      </c>
      <c r="C338" s="15" t="s">
        <v>1895</v>
      </c>
      <c r="D338" s="14" t="s">
        <v>1745</v>
      </c>
      <c r="E338" s="14" t="s">
        <v>1746</v>
      </c>
      <c r="F338" s="25">
        <v>524097</v>
      </c>
      <c r="G338" s="25">
        <v>366868</v>
      </c>
    </row>
    <row r="339" spans="1:7" x14ac:dyDescent="0.25">
      <c r="A339" s="14" t="s">
        <v>1852</v>
      </c>
      <c r="B339" s="14" t="s">
        <v>407</v>
      </c>
      <c r="C339" s="15" t="s">
        <v>1896</v>
      </c>
      <c r="D339" s="14" t="s">
        <v>1745</v>
      </c>
      <c r="E339" s="14" t="s">
        <v>1746</v>
      </c>
      <c r="F339" s="25">
        <v>6079878</v>
      </c>
      <c r="G339" s="25">
        <v>4255915</v>
      </c>
    </row>
    <row r="340" spans="1:7" x14ac:dyDescent="0.25">
      <c r="A340" s="14" t="s">
        <v>1852</v>
      </c>
      <c r="B340" s="14" t="s">
        <v>1569</v>
      </c>
      <c r="C340" s="15" t="s">
        <v>1897</v>
      </c>
      <c r="D340" s="14" t="s">
        <v>1745</v>
      </c>
      <c r="E340" s="14" t="s">
        <v>1746</v>
      </c>
      <c r="F340" s="25">
        <v>157248</v>
      </c>
      <c r="G340" s="25">
        <v>141523.20000000001</v>
      </c>
    </row>
    <row r="341" spans="1:7" x14ac:dyDescent="0.25">
      <c r="A341" s="14" t="s">
        <v>1850</v>
      </c>
      <c r="B341" s="14">
        <v>1</v>
      </c>
      <c r="C341" s="15" t="s">
        <v>1851</v>
      </c>
      <c r="D341" s="14" t="s">
        <v>1745</v>
      </c>
      <c r="E341" s="14" t="s">
        <v>1747</v>
      </c>
      <c r="F341" s="25">
        <v>29940</v>
      </c>
      <c r="G341" s="25">
        <v>20958</v>
      </c>
    </row>
    <row r="342" spans="1:7" x14ac:dyDescent="0.25">
      <c r="A342" s="14" t="s">
        <v>1852</v>
      </c>
      <c r="B342" s="14" t="s">
        <v>1898</v>
      </c>
      <c r="C342" s="15" t="s">
        <v>1899</v>
      </c>
      <c r="D342" s="14" t="s">
        <v>1745</v>
      </c>
      <c r="E342" s="14" t="s">
        <v>1746</v>
      </c>
      <c r="F342" s="25">
        <v>2306178</v>
      </c>
      <c r="G342" s="25">
        <v>1614325</v>
      </c>
    </row>
    <row r="343" spans="1:7" x14ac:dyDescent="0.25">
      <c r="A343" s="14" t="s">
        <v>1852</v>
      </c>
      <c r="B343" s="14" t="s">
        <v>1900</v>
      </c>
      <c r="C343" s="15" t="s">
        <v>1901</v>
      </c>
      <c r="D343" s="14" t="s">
        <v>1745</v>
      </c>
      <c r="E343" s="14" t="s">
        <v>1747</v>
      </c>
      <c r="F343" s="25">
        <v>1597320</v>
      </c>
      <c r="G343" s="25">
        <v>1118124</v>
      </c>
    </row>
    <row r="344" spans="1:7" x14ac:dyDescent="0.25">
      <c r="A344" s="14" t="s">
        <v>1852</v>
      </c>
      <c r="B344" s="14">
        <v>1</v>
      </c>
      <c r="C344" s="15" t="s">
        <v>1902</v>
      </c>
      <c r="D344" s="14" t="s">
        <v>1745</v>
      </c>
      <c r="E344" s="14" t="s">
        <v>1746</v>
      </c>
      <c r="F344" s="25">
        <v>4193028</v>
      </c>
      <c r="G344" s="25">
        <v>2935120</v>
      </c>
    </row>
    <row r="345" spans="1:7" x14ac:dyDescent="0.25">
      <c r="A345" s="14" t="s">
        <v>1852</v>
      </c>
      <c r="B345" s="14">
        <v>11</v>
      </c>
      <c r="C345" s="15" t="s">
        <v>1903</v>
      </c>
      <c r="D345" s="14" t="s">
        <v>1749</v>
      </c>
      <c r="E345" s="14" t="s">
        <v>1746</v>
      </c>
      <c r="F345" s="25">
        <v>399336</v>
      </c>
      <c r="G345" s="25">
        <v>279535.2</v>
      </c>
    </row>
    <row r="346" spans="1:7" x14ac:dyDescent="0.25">
      <c r="A346" s="14" t="s">
        <v>1852</v>
      </c>
      <c r="B346" s="14" t="s">
        <v>1904</v>
      </c>
      <c r="C346" s="15" t="s">
        <v>1905</v>
      </c>
      <c r="D346" s="14" t="s">
        <v>1745</v>
      </c>
      <c r="E346" s="14" t="s">
        <v>1746</v>
      </c>
      <c r="F346" s="25">
        <v>157248</v>
      </c>
      <c r="G346" s="25">
        <v>141523.20000000001</v>
      </c>
    </row>
    <row r="347" spans="1:7" x14ac:dyDescent="0.25">
      <c r="A347" s="14" t="s">
        <v>1852</v>
      </c>
      <c r="B347" s="14" t="s">
        <v>39</v>
      </c>
      <c r="C347" s="15" t="s">
        <v>1906</v>
      </c>
      <c r="D347" s="14" t="s">
        <v>1745</v>
      </c>
      <c r="E347" s="14" t="s">
        <v>1747</v>
      </c>
      <c r="F347" s="25">
        <v>14475900</v>
      </c>
      <c r="G347" s="25">
        <v>10133130</v>
      </c>
    </row>
    <row r="348" spans="1:7" x14ac:dyDescent="0.25">
      <c r="A348" s="14" t="s">
        <v>1852</v>
      </c>
      <c r="B348" s="14" t="s">
        <v>1737</v>
      </c>
      <c r="C348" s="15" t="s">
        <v>1883</v>
      </c>
      <c r="D348" s="14" t="s">
        <v>1745</v>
      </c>
      <c r="E348" s="14" t="s">
        <v>1746</v>
      </c>
      <c r="F348" s="25">
        <v>4559877</v>
      </c>
      <c r="G348" s="25">
        <v>4103889</v>
      </c>
    </row>
    <row r="349" spans="1:7" x14ac:dyDescent="0.25">
      <c r="A349" s="14" t="s">
        <v>1852</v>
      </c>
      <c r="B349" s="14" t="s">
        <v>1907</v>
      </c>
      <c r="C349" s="15" t="s">
        <v>1908</v>
      </c>
      <c r="D349" s="14" t="s">
        <v>1749</v>
      </c>
      <c r="E349" s="14" t="s">
        <v>1746</v>
      </c>
      <c r="F349" s="25">
        <v>14976</v>
      </c>
      <c r="G349" s="25">
        <v>13478.4</v>
      </c>
    </row>
    <row r="350" spans="1:7" x14ac:dyDescent="0.25">
      <c r="A350" s="14" t="s">
        <v>1852</v>
      </c>
      <c r="B350" s="14">
        <v>61</v>
      </c>
      <c r="C350" s="15" t="s">
        <v>1909</v>
      </c>
      <c r="D350" s="14" t="s">
        <v>1745</v>
      </c>
      <c r="E350" s="14" t="s">
        <v>1746</v>
      </c>
      <c r="F350" s="25">
        <v>209664</v>
      </c>
      <c r="G350" s="25">
        <v>146764.79999999999</v>
      </c>
    </row>
    <row r="351" spans="1:7" x14ac:dyDescent="0.25">
      <c r="A351" s="14" t="s">
        <v>1852</v>
      </c>
      <c r="B351" s="14" t="s">
        <v>36</v>
      </c>
      <c r="C351" s="15" t="s">
        <v>1910</v>
      </c>
      <c r="D351" s="14" t="s">
        <v>1749</v>
      </c>
      <c r="E351" s="14" t="s">
        <v>1746</v>
      </c>
      <c r="F351" s="25">
        <v>49914</v>
      </c>
      <c r="G351" s="25">
        <v>34939.800000000003</v>
      </c>
    </row>
    <row r="352" spans="1:7" x14ac:dyDescent="0.25">
      <c r="A352" s="14" t="s">
        <v>1852</v>
      </c>
      <c r="B352" s="14" t="s">
        <v>50</v>
      </c>
      <c r="C352" s="15" t="s">
        <v>1911</v>
      </c>
      <c r="D352" s="14" t="s">
        <v>1745</v>
      </c>
      <c r="E352" s="14" t="s">
        <v>1746</v>
      </c>
      <c r="F352" s="25">
        <v>32495841</v>
      </c>
      <c r="G352" s="25">
        <v>22747089</v>
      </c>
    </row>
    <row r="353" spans="1:7" x14ac:dyDescent="0.25">
      <c r="A353" s="14" t="s">
        <v>1852</v>
      </c>
      <c r="B353" s="14">
        <v>89</v>
      </c>
      <c r="C353" s="15" t="s">
        <v>1912</v>
      </c>
      <c r="D353" s="14" t="s">
        <v>1745</v>
      </c>
      <c r="E353" s="14" t="s">
        <v>1747</v>
      </c>
      <c r="F353" s="25">
        <v>1597320</v>
      </c>
      <c r="G353" s="25">
        <v>1118124</v>
      </c>
    </row>
    <row r="354" spans="1:7" x14ac:dyDescent="0.25">
      <c r="A354" s="14" t="s">
        <v>1852</v>
      </c>
      <c r="B354" s="14" t="s">
        <v>1671</v>
      </c>
      <c r="C354" s="15" t="s">
        <v>1913</v>
      </c>
      <c r="D354" s="14" t="s">
        <v>1749</v>
      </c>
      <c r="E354" s="14" t="s">
        <v>1746</v>
      </c>
      <c r="F354" s="25">
        <v>14976</v>
      </c>
      <c r="G354" s="25">
        <v>13478.4</v>
      </c>
    </row>
    <row r="355" spans="1:7" x14ac:dyDescent="0.25">
      <c r="A355" s="14" t="s">
        <v>1852</v>
      </c>
      <c r="B355" s="14" t="s">
        <v>417</v>
      </c>
      <c r="C355" s="15" t="s">
        <v>1868</v>
      </c>
      <c r="D355" s="14" t="s">
        <v>1745</v>
      </c>
      <c r="E355" s="14" t="s">
        <v>1746</v>
      </c>
      <c r="F355" s="25">
        <v>4559877</v>
      </c>
      <c r="G355" s="25">
        <v>4103889</v>
      </c>
    </row>
    <row r="356" spans="1:7" x14ac:dyDescent="0.25">
      <c r="A356" s="14" t="s">
        <v>1852</v>
      </c>
      <c r="B356" s="14">
        <v>57</v>
      </c>
      <c r="C356" s="15" t="s">
        <v>1914</v>
      </c>
      <c r="D356" s="14" t="s">
        <v>1745</v>
      </c>
      <c r="E356" s="14" t="s">
        <v>1747</v>
      </c>
      <c r="F356" s="25">
        <v>199680</v>
      </c>
      <c r="G356" s="25">
        <v>139776</v>
      </c>
    </row>
    <row r="357" spans="1:7" x14ac:dyDescent="0.25">
      <c r="A357" s="14" t="s">
        <v>1852</v>
      </c>
      <c r="B357" s="14" t="s">
        <v>34</v>
      </c>
      <c r="C357" s="15" t="s">
        <v>1915</v>
      </c>
      <c r="D357" s="14" t="s">
        <v>1745</v>
      </c>
      <c r="E357" s="14" t="s">
        <v>1746</v>
      </c>
      <c r="F357" s="25">
        <v>32495841</v>
      </c>
      <c r="G357" s="25">
        <v>22747089</v>
      </c>
    </row>
    <row r="358" spans="1:7" x14ac:dyDescent="0.25">
      <c r="A358" s="14" t="s">
        <v>1852</v>
      </c>
      <c r="B358" s="14">
        <v>83</v>
      </c>
      <c r="C358" s="15" t="s">
        <v>1916</v>
      </c>
      <c r="D358" s="14" t="s">
        <v>1745</v>
      </c>
      <c r="E358" s="14" t="s">
        <v>1746</v>
      </c>
      <c r="F358" s="25">
        <v>8359848</v>
      </c>
      <c r="G358" s="25">
        <v>5851894</v>
      </c>
    </row>
    <row r="359" spans="1:7" x14ac:dyDescent="0.25">
      <c r="A359" s="14" t="s">
        <v>1852</v>
      </c>
      <c r="B359" s="14" t="s">
        <v>122</v>
      </c>
      <c r="C359" s="15" t="s">
        <v>1917</v>
      </c>
      <c r="D359" s="14" t="s">
        <v>1745</v>
      </c>
      <c r="E359" s="14" t="s">
        <v>1746</v>
      </c>
      <c r="F359" s="25">
        <v>524097</v>
      </c>
      <c r="G359" s="25">
        <v>366868</v>
      </c>
    </row>
    <row r="360" spans="1:7" x14ac:dyDescent="0.25">
      <c r="A360" s="14" t="s">
        <v>1850</v>
      </c>
      <c r="B360" s="14" t="s">
        <v>122</v>
      </c>
      <c r="C360" s="15" t="s">
        <v>1918</v>
      </c>
      <c r="D360" s="14" t="s">
        <v>1745</v>
      </c>
      <c r="E360" s="14" t="s">
        <v>1747</v>
      </c>
      <c r="F360" s="25">
        <v>83880</v>
      </c>
      <c r="G360" s="25">
        <v>58716</v>
      </c>
    </row>
    <row r="361" spans="1:7" x14ac:dyDescent="0.25">
      <c r="A361" s="14" t="s">
        <v>1852</v>
      </c>
      <c r="B361" s="14" t="s">
        <v>1595</v>
      </c>
      <c r="C361" s="15" t="s">
        <v>1859</v>
      </c>
      <c r="D361" s="14" t="s">
        <v>1745</v>
      </c>
      <c r="E361" s="14" t="s">
        <v>1747</v>
      </c>
      <c r="F361" s="25">
        <v>274560</v>
      </c>
      <c r="G361" s="25">
        <v>192192</v>
      </c>
    </row>
    <row r="362" spans="1:7" x14ac:dyDescent="0.25">
      <c r="A362" s="14" t="s">
        <v>1852</v>
      </c>
      <c r="B362" s="14">
        <v>50</v>
      </c>
      <c r="C362" s="15" t="s">
        <v>1919</v>
      </c>
      <c r="D362" s="14" t="s">
        <v>1745</v>
      </c>
      <c r="E362" s="14" t="s">
        <v>1746</v>
      </c>
      <c r="F362" s="25">
        <v>17872722</v>
      </c>
      <c r="G362" s="25">
        <v>12510905</v>
      </c>
    </row>
    <row r="363" spans="1:7" x14ac:dyDescent="0.25">
      <c r="A363" s="14" t="s">
        <v>1852</v>
      </c>
      <c r="B363" s="14" t="s">
        <v>1550</v>
      </c>
      <c r="C363" s="15" t="s">
        <v>1920</v>
      </c>
      <c r="D363" s="14" t="s">
        <v>1749</v>
      </c>
      <c r="E363" s="14" t="s">
        <v>1746</v>
      </c>
      <c r="F363" s="25">
        <v>14976</v>
      </c>
      <c r="G363" s="25">
        <v>13478.4</v>
      </c>
    </row>
    <row r="364" spans="1:7" x14ac:dyDescent="0.25">
      <c r="A364" s="14" t="s">
        <v>1852</v>
      </c>
      <c r="B364" s="14">
        <v>56</v>
      </c>
      <c r="C364" s="15" t="s">
        <v>1921</v>
      </c>
      <c r="D364" s="14" t="s">
        <v>1745</v>
      </c>
      <c r="E364" s="14" t="s">
        <v>1747</v>
      </c>
      <c r="F364" s="25">
        <v>12379380</v>
      </c>
      <c r="G364" s="25">
        <v>8665566</v>
      </c>
    </row>
    <row r="365" spans="1:7" x14ac:dyDescent="0.25">
      <c r="A365" s="14" t="s">
        <v>1852</v>
      </c>
      <c r="B365" s="14" t="s">
        <v>1552</v>
      </c>
      <c r="C365" s="15" t="s">
        <v>1922</v>
      </c>
      <c r="D365" s="14" t="s">
        <v>1749</v>
      </c>
      <c r="E365" s="14" t="s">
        <v>1746</v>
      </c>
      <c r="F365" s="25">
        <v>219636</v>
      </c>
      <c r="G365" s="25">
        <v>153745.20000000001</v>
      </c>
    </row>
    <row r="366" spans="1:7" x14ac:dyDescent="0.25">
      <c r="A366" s="14" t="s">
        <v>1852</v>
      </c>
      <c r="B366" s="14">
        <v>6</v>
      </c>
      <c r="C366" s="15" t="s">
        <v>1923</v>
      </c>
      <c r="D366" s="14" t="s">
        <v>1745</v>
      </c>
      <c r="E366" s="14" t="s">
        <v>1747</v>
      </c>
      <c r="F366" s="25">
        <v>30948420</v>
      </c>
      <c r="G366" s="25">
        <v>21663894</v>
      </c>
    </row>
    <row r="367" spans="1:7" x14ac:dyDescent="0.25">
      <c r="A367" s="14" t="s">
        <v>1852</v>
      </c>
      <c r="B367" s="14" t="s">
        <v>1924</v>
      </c>
      <c r="C367" s="15" t="s">
        <v>1925</v>
      </c>
      <c r="D367" s="14" t="s">
        <v>1749</v>
      </c>
      <c r="E367" s="14" t="s">
        <v>1746</v>
      </c>
      <c r="F367" s="25">
        <v>27456</v>
      </c>
      <c r="G367" s="25">
        <v>19219.2</v>
      </c>
    </row>
    <row r="368" spans="1:7" x14ac:dyDescent="0.25">
      <c r="A368" s="14" t="s">
        <v>1852</v>
      </c>
      <c r="B368" s="14" t="s">
        <v>1566</v>
      </c>
      <c r="C368" s="15" t="s">
        <v>1891</v>
      </c>
      <c r="D368" s="14" t="s">
        <v>1745</v>
      </c>
      <c r="E368" s="14" t="s">
        <v>1747</v>
      </c>
      <c r="F368" s="25">
        <v>2196360</v>
      </c>
      <c r="G368" s="25">
        <v>1537452</v>
      </c>
    </row>
    <row r="369" spans="1:7" x14ac:dyDescent="0.25">
      <c r="A369" s="14" t="s">
        <v>1852</v>
      </c>
      <c r="B369" s="14" t="s">
        <v>1881</v>
      </c>
      <c r="C369" s="15" t="s">
        <v>1882</v>
      </c>
      <c r="D369" s="14" t="s">
        <v>1749</v>
      </c>
      <c r="E369" s="14" t="s">
        <v>1746</v>
      </c>
      <c r="F369" s="25">
        <v>27456</v>
      </c>
      <c r="G369" s="25">
        <v>19219.2</v>
      </c>
    </row>
    <row r="370" spans="1:7" x14ac:dyDescent="0.25">
      <c r="A370" s="14" t="s">
        <v>1852</v>
      </c>
      <c r="B370" s="14" t="s">
        <v>1904</v>
      </c>
      <c r="C370" s="15" t="s">
        <v>1905</v>
      </c>
      <c r="D370" s="14" t="s">
        <v>1745</v>
      </c>
      <c r="E370" s="14" t="s">
        <v>1747</v>
      </c>
      <c r="F370" s="25">
        <v>149760</v>
      </c>
      <c r="G370" s="25">
        <v>134784</v>
      </c>
    </row>
    <row r="371" spans="1:7" x14ac:dyDescent="0.25">
      <c r="A371" s="14" t="s">
        <v>1852</v>
      </c>
      <c r="B371" s="14">
        <v>65</v>
      </c>
      <c r="C371" s="15" t="s">
        <v>1926</v>
      </c>
      <c r="D371" s="14" t="s">
        <v>1749</v>
      </c>
      <c r="E371" s="14" t="s">
        <v>1746</v>
      </c>
      <c r="F371" s="25">
        <v>27456</v>
      </c>
      <c r="G371" s="25">
        <v>19219.2</v>
      </c>
    </row>
    <row r="372" spans="1:7" x14ac:dyDescent="0.25">
      <c r="A372" s="14" t="s">
        <v>1852</v>
      </c>
      <c r="B372" s="14" t="s">
        <v>1545</v>
      </c>
      <c r="C372" s="15" t="s">
        <v>1927</v>
      </c>
      <c r="D372" s="14" t="s">
        <v>1745</v>
      </c>
      <c r="E372" s="14" t="s">
        <v>1747</v>
      </c>
      <c r="F372" s="25">
        <v>274560</v>
      </c>
      <c r="G372" s="25">
        <v>192192</v>
      </c>
    </row>
    <row r="373" spans="1:7" x14ac:dyDescent="0.25">
      <c r="A373" s="14" t="s">
        <v>1852</v>
      </c>
      <c r="B373" s="14">
        <v>67</v>
      </c>
      <c r="C373" s="15" t="s">
        <v>1864</v>
      </c>
      <c r="D373" s="14" t="s">
        <v>1745</v>
      </c>
      <c r="E373" s="14" t="s">
        <v>1747</v>
      </c>
      <c r="F373" s="25">
        <v>199680</v>
      </c>
      <c r="G373" s="25">
        <v>139776</v>
      </c>
    </row>
    <row r="374" spans="1:7" x14ac:dyDescent="0.25">
      <c r="A374" s="14" t="s">
        <v>1852</v>
      </c>
      <c r="B374" s="14" t="s">
        <v>28</v>
      </c>
      <c r="C374" s="15" t="s">
        <v>1928</v>
      </c>
      <c r="D374" s="14" t="s">
        <v>1745</v>
      </c>
      <c r="E374" s="14" t="s">
        <v>1746</v>
      </c>
      <c r="F374" s="25">
        <v>524097</v>
      </c>
      <c r="G374" s="25">
        <v>366868</v>
      </c>
    </row>
    <row r="375" spans="1:7" x14ac:dyDescent="0.25">
      <c r="A375" s="14" t="s">
        <v>1852</v>
      </c>
      <c r="B375" s="14">
        <v>13</v>
      </c>
      <c r="C375" s="15" t="s">
        <v>1863</v>
      </c>
      <c r="D375" s="14" t="s">
        <v>1749</v>
      </c>
      <c r="E375" s="14" t="s">
        <v>1746</v>
      </c>
      <c r="F375" s="25">
        <v>399336</v>
      </c>
      <c r="G375" s="25">
        <v>279535.2</v>
      </c>
    </row>
    <row r="376" spans="1:7" x14ac:dyDescent="0.25">
      <c r="A376" s="14" t="s">
        <v>1852</v>
      </c>
      <c r="B376" s="14" t="s">
        <v>1583</v>
      </c>
      <c r="C376" s="15" t="s">
        <v>1861</v>
      </c>
      <c r="D376" s="14" t="s">
        <v>1745</v>
      </c>
      <c r="E376" s="14" t="s">
        <v>1747</v>
      </c>
      <c r="F376" s="25">
        <v>12379380</v>
      </c>
      <c r="G376" s="25">
        <v>8665566</v>
      </c>
    </row>
    <row r="377" spans="1:7" x14ac:dyDescent="0.25">
      <c r="A377" s="14" t="s">
        <v>1852</v>
      </c>
      <c r="B377" s="14" t="s">
        <v>89</v>
      </c>
      <c r="C377" s="15" t="s">
        <v>1929</v>
      </c>
      <c r="D377" s="14" t="s">
        <v>1749</v>
      </c>
      <c r="E377" s="14" t="s">
        <v>1746</v>
      </c>
      <c r="F377" s="25">
        <v>3094842</v>
      </c>
      <c r="G377" s="25">
        <v>2166389</v>
      </c>
    </row>
    <row r="378" spans="1:7" x14ac:dyDescent="0.25">
      <c r="A378" s="14" t="s">
        <v>1852</v>
      </c>
      <c r="B378" s="14" t="s">
        <v>1573</v>
      </c>
      <c r="C378" s="15" t="s">
        <v>1930</v>
      </c>
      <c r="D378" s="14" t="s">
        <v>1749</v>
      </c>
      <c r="E378" s="14" t="s">
        <v>1746</v>
      </c>
      <c r="F378" s="25">
        <v>27456</v>
      </c>
      <c r="G378" s="25">
        <v>19219.2</v>
      </c>
    </row>
    <row r="379" spans="1:7" x14ac:dyDescent="0.25">
      <c r="A379" s="14" t="s">
        <v>1852</v>
      </c>
      <c r="B379" s="14" t="s">
        <v>1649</v>
      </c>
      <c r="C379" s="15" t="s">
        <v>1931</v>
      </c>
      <c r="D379" s="14" t="s">
        <v>1745</v>
      </c>
      <c r="E379" s="14" t="s">
        <v>1746</v>
      </c>
      <c r="F379" s="25">
        <v>288288</v>
      </c>
      <c r="G379" s="25">
        <v>201801.60000000001</v>
      </c>
    </row>
    <row r="380" spans="1:7" x14ac:dyDescent="0.25">
      <c r="A380" s="14" t="s">
        <v>1852</v>
      </c>
      <c r="B380" s="14" t="s">
        <v>402</v>
      </c>
      <c r="C380" s="15" t="s">
        <v>1932</v>
      </c>
      <c r="D380" s="14" t="s">
        <v>1749</v>
      </c>
      <c r="E380" s="14" t="s">
        <v>1746</v>
      </c>
      <c r="F380" s="25">
        <v>796176</v>
      </c>
      <c r="G380" s="25">
        <v>557323.19999999995</v>
      </c>
    </row>
    <row r="381" spans="1:7" x14ac:dyDescent="0.25">
      <c r="A381" s="14" t="s">
        <v>1852</v>
      </c>
      <c r="B381" s="14" t="s">
        <v>1898</v>
      </c>
      <c r="C381" s="15" t="s">
        <v>1899</v>
      </c>
      <c r="D381" s="14" t="s">
        <v>1749</v>
      </c>
      <c r="E381" s="14" t="s">
        <v>1746</v>
      </c>
      <c r="F381" s="25">
        <v>219636</v>
      </c>
      <c r="G381" s="25">
        <v>153745.20000000001</v>
      </c>
    </row>
    <row r="382" spans="1:7" x14ac:dyDescent="0.25">
      <c r="A382" s="14" t="s">
        <v>1852</v>
      </c>
      <c r="B382" s="14" t="s">
        <v>1655</v>
      </c>
      <c r="C382" s="15" t="s">
        <v>1933</v>
      </c>
      <c r="D382" s="14" t="s">
        <v>1745</v>
      </c>
      <c r="E382" s="14" t="s">
        <v>1746</v>
      </c>
      <c r="F382" s="25">
        <v>209664</v>
      </c>
      <c r="G382" s="25">
        <v>146764.79999999999</v>
      </c>
    </row>
    <row r="383" spans="1:7" x14ac:dyDescent="0.25">
      <c r="A383" s="14" t="s">
        <v>1852</v>
      </c>
      <c r="B383" s="14">
        <v>80</v>
      </c>
      <c r="C383" s="15" t="s">
        <v>1934</v>
      </c>
      <c r="D383" s="14" t="s">
        <v>1745</v>
      </c>
      <c r="E383" s="14" t="s">
        <v>1746</v>
      </c>
      <c r="F383" s="25">
        <v>6079878</v>
      </c>
      <c r="G383" s="25">
        <v>4255915</v>
      </c>
    </row>
    <row r="384" spans="1:7" x14ac:dyDescent="0.25">
      <c r="A384" s="14" t="s">
        <v>1852</v>
      </c>
      <c r="B384" s="14">
        <v>7</v>
      </c>
      <c r="C384" s="15" t="s">
        <v>1935</v>
      </c>
      <c r="D384" s="14" t="s">
        <v>1745</v>
      </c>
      <c r="E384" s="14" t="s">
        <v>1747</v>
      </c>
      <c r="F384" s="25">
        <v>3993360</v>
      </c>
      <c r="G384" s="25">
        <v>2795352</v>
      </c>
    </row>
    <row r="385" spans="1:7" x14ac:dyDescent="0.25">
      <c r="A385" s="14" t="s">
        <v>1850</v>
      </c>
      <c r="B385" s="14">
        <v>1</v>
      </c>
      <c r="C385" s="15" t="s">
        <v>1851</v>
      </c>
      <c r="D385" s="14" t="s">
        <v>1749</v>
      </c>
      <c r="E385" s="14" t="s">
        <v>1746</v>
      </c>
      <c r="F385" s="25">
        <v>2994</v>
      </c>
      <c r="G385" s="25">
        <v>2095.8000000000002</v>
      </c>
    </row>
    <row r="386" spans="1:7" x14ac:dyDescent="0.25">
      <c r="A386" s="14" t="s">
        <v>1852</v>
      </c>
      <c r="B386" s="14">
        <v>52</v>
      </c>
      <c r="C386" s="15" t="s">
        <v>1855</v>
      </c>
      <c r="D386" s="14" t="s">
        <v>1745</v>
      </c>
      <c r="E386" s="14" t="s">
        <v>1746</v>
      </c>
      <c r="F386" s="25">
        <v>209664</v>
      </c>
      <c r="G386" s="25">
        <v>146764.79999999999</v>
      </c>
    </row>
    <row r="387" spans="1:7" x14ac:dyDescent="0.25">
      <c r="A387" s="14" t="s">
        <v>1852</v>
      </c>
      <c r="B387" s="14" t="s">
        <v>1564</v>
      </c>
      <c r="C387" s="15" t="s">
        <v>1936</v>
      </c>
      <c r="D387" s="14" t="s">
        <v>1745</v>
      </c>
      <c r="E387" s="14" t="s">
        <v>1747</v>
      </c>
      <c r="F387" s="25">
        <v>274560</v>
      </c>
      <c r="G387" s="25">
        <v>192192</v>
      </c>
    </row>
    <row r="388" spans="1:7" x14ac:dyDescent="0.25">
      <c r="A388" s="14" t="s">
        <v>1852</v>
      </c>
      <c r="B388" s="14" t="s">
        <v>414</v>
      </c>
      <c r="C388" s="15" t="s">
        <v>1937</v>
      </c>
      <c r="D388" s="14" t="s">
        <v>1745</v>
      </c>
      <c r="E388" s="14" t="s">
        <v>1747</v>
      </c>
      <c r="F388" s="25">
        <v>5790360</v>
      </c>
      <c r="G388" s="25">
        <v>4053252</v>
      </c>
    </row>
    <row r="389" spans="1:7" x14ac:dyDescent="0.25">
      <c r="A389" s="14" t="s">
        <v>1852</v>
      </c>
      <c r="B389" s="14">
        <v>7</v>
      </c>
      <c r="C389" s="15" t="s">
        <v>1935</v>
      </c>
      <c r="D389" s="14" t="s">
        <v>1749</v>
      </c>
      <c r="E389" s="14" t="s">
        <v>1746</v>
      </c>
      <c r="F389" s="25">
        <v>399336</v>
      </c>
      <c r="G389" s="25">
        <v>279535.2</v>
      </c>
    </row>
    <row r="390" spans="1:7" x14ac:dyDescent="0.25">
      <c r="A390" s="14" t="s">
        <v>1852</v>
      </c>
      <c r="B390" s="14">
        <v>63</v>
      </c>
      <c r="C390" s="15" t="s">
        <v>1938</v>
      </c>
      <c r="D390" s="14" t="s">
        <v>1745</v>
      </c>
      <c r="E390" s="14" t="s">
        <v>1746</v>
      </c>
      <c r="F390" s="25">
        <v>157248</v>
      </c>
      <c r="G390" s="25">
        <v>141523.20000000001</v>
      </c>
    </row>
    <row r="391" spans="1:7" x14ac:dyDescent="0.25">
      <c r="A391" s="14" t="s">
        <v>1852</v>
      </c>
      <c r="B391" s="14" t="s">
        <v>1939</v>
      </c>
      <c r="C391" s="15" t="s">
        <v>1940</v>
      </c>
      <c r="D391" s="14" t="s">
        <v>1745</v>
      </c>
      <c r="E391" s="14" t="s">
        <v>1746</v>
      </c>
      <c r="F391" s="25">
        <v>1257921</v>
      </c>
      <c r="G391" s="25">
        <v>1132129</v>
      </c>
    </row>
    <row r="392" spans="1:7" x14ac:dyDescent="0.25">
      <c r="A392" s="14" t="s">
        <v>1852</v>
      </c>
      <c r="B392" s="14">
        <v>79</v>
      </c>
      <c r="C392" s="15" t="s">
        <v>1880</v>
      </c>
      <c r="D392" s="14" t="s">
        <v>1749</v>
      </c>
      <c r="E392" s="14" t="s">
        <v>1746</v>
      </c>
      <c r="F392" s="25">
        <v>1237938</v>
      </c>
      <c r="G392" s="25">
        <v>866556.6</v>
      </c>
    </row>
    <row r="393" spans="1:7" x14ac:dyDescent="0.25">
      <c r="A393" s="14" t="s">
        <v>1852</v>
      </c>
      <c r="B393" s="14" t="s">
        <v>1941</v>
      </c>
      <c r="C393" s="15" t="s">
        <v>1942</v>
      </c>
      <c r="D393" s="14" t="s">
        <v>1745</v>
      </c>
      <c r="E393" s="14" t="s">
        <v>1747</v>
      </c>
      <c r="F393" s="25">
        <v>1597320</v>
      </c>
      <c r="G393" s="25">
        <v>1118124</v>
      </c>
    </row>
    <row r="394" spans="1:7" x14ac:dyDescent="0.25">
      <c r="A394" s="14" t="s">
        <v>1852</v>
      </c>
      <c r="B394" s="14" t="s">
        <v>29</v>
      </c>
      <c r="C394" s="15" t="s">
        <v>1943</v>
      </c>
      <c r="D394" s="14" t="s">
        <v>1745</v>
      </c>
      <c r="E394" s="14" t="s">
        <v>1746</v>
      </c>
      <c r="F394" s="25">
        <v>15199695</v>
      </c>
      <c r="G394" s="25">
        <v>10639787</v>
      </c>
    </row>
    <row r="395" spans="1:7" x14ac:dyDescent="0.25">
      <c r="A395" s="14" t="s">
        <v>1852</v>
      </c>
      <c r="B395" s="14" t="s">
        <v>1550</v>
      </c>
      <c r="C395" s="15" t="s">
        <v>1920</v>
      </c>
      <c r="D395" s="14" t="s">
        <v>1745</v>
      </c>
      <c r="E395" s="14" t="s">
        <v>1747</v>
      </c>
      <c r="F395" s="25">
        <v>149760</v>
      </c>
      <c r="G395" s="25">
        <v>134784</v>
      </c>
    </row>
    <row r="396" spans="1:7" x14ac:dyDescent="0.25">
      <c r="A396" s="14" t="s">
        <v>1852</v>
      </c>
      <c r="B396" s="14" t="s">
        <v>1601</v>
      </c>
      <c r="C396" s="15" t="s">
        <v>1887</v>
      </c>
      <c r="D396" s="14" t="s">
        <v>1745</v>
      </c>
      <c r="E396" s="14" t="s">
        <v>1746</v>
      </c>
      <c r="F396" s="25">
        <v>157248</v>
      </c>
      <c r="G396" s="25">
        <v>141523.20000000001</v>
      </c>
    </row>
    <row r="397" spans="1:7" x14ac:dyDescent="0.25">
      <c r="A397" s="14" t="s">
        <v>1852</v>
      </c>
      <c r="B397" s="14" t="s">
        <v>410</v>
      </c>
      <c r="C397" s="15" t="s">
        <v>1944</v>
      </c>
      <c r="D397" s="14" t="s">
        <v>1745</v>
      </c>
      <c r="E397" s="14" t="s">
        <v>1746</v>
      </c>
      <c r="F397" s="25">
        <v>6079878</v>
      </c>
      <c r="G397" s="25">
        <v>4255915</v>
      </c>
    </row>
    <row r="398" spans="1:7" x14ac:dyDescent="0.25">
      <c r="A398" s="14" t="s">
        <v>1852</v>
      </c>
      <c r="B398" s="14" t="s">
        <v>1945</v>
      </c>
      <c r="C398" s="15" t="s">
        <v>1946</v>
      </c>
      <c r="D398" s="14" t="s">
        <v>1745</v>
      </c>
      <c r="E398" s="14" t="s">
        <v>1746</v>
      </c>
      <c r="F398" s="25">
        <v>1257921</v>
      </c>
      <c r="G398" s="25">
        <v>1132129</v>
      </c>
    </row>
    <row r="399" spans="1:7" ht="30" x14ac:dyDescent="0.25">
      <c r="A399" s="14" t="s">
        <v>1850</v>
      </c>
      <c r="B399" s="14" t="s">
        <v>50</v>
      </c>
      <c r="C399" s="15" t="s">
        <v>1947</v>
      </c>
      <c r="D399" s="14" t="s">
        <v>1745</v>
      </c>
      <c r="E399" s="14" t="s">
        <v>1746</v>
      </c>
      <c r="F399" s="25">
        <v>15750</v>
      </c>
      <c r="G399" s="25">
        <v>14175</v>
      </c>
    </row>
    <row r="400" spans="1:7" x14ac:dyDescent="0.25">
      <c r="A400" s="14" t="s">
        <v>1850</v>
      </c>
      <c r="B400" s="14">
        <v>2</v>
      </c>
      <c r="C400" s="15" t="s">
        <v>1948</v>
      </c>
      <c r="D400" s="14" t="s">
        <v>1749</v>
      </c>
      <c r="E400" s="14" t="s">
        <v>1746</v>
      </c>
      <c r="F400" s="25">
        <v>20964</v>
      </c>
      <c r="G400" s="25">
        <v>14674.8</v>
      </c>
    </row>
    <row r="401" spans="1:7" x14ac:dyDescent="0.25">
      <c r="A401" s="14" t="s">
        <v>1852</v>
      </c>
      <c r="B401" s="14" t="s">
        <v>118</v>
      </c>
      <c r="C401" s="15" t="s">
        <v>1862</v>
      </c>
      <c r="D401" s="14" t="s">
        <v>1745</v>
      </c>
      <c r="E401" s="14" t="s">
        <v>1746</v>
      </c>
      <c r="F401" s="25">
        <v>15199695</v>
      </c>
      <c r="G401" s="25">
        <v>10639787</v>
      </c>
    </row>
    <row r="402" spans="1:7" x14ac:dyDescent="0.25">
      <c r="A402" s="14" t="s">
        <v>1852</v>
      </c>
      <c r="B402" s="14" t="s">
        <v>1949</v>
      </c>
      <c r="C402" s="15" t="s">
        <v>1950</v>
      </c>
      <c r="D402" s="14" t="s">
        <v>1749</v>
      </c>
      <c r="E402" s="14" t="s">
        <v>1746</v>
      </c>
      <c r="F402" s="25">
        <v>19968</v>
      </c>
      <c r="G402" s="25">
        <v>13977.6</v>
      </c>
    </row>
    <row r="403" spans="1:7" x14ac:dyDescent="0.25">
      <c r="A403" s="14" t="s">
        <v>1852</v>
      </c>
      <c r="B403" s="14" t="s">
        <v>50</v>
      </c>
      <c r="C403" s="15" t="s">
        <v>1911</v>
      </c>
      <c r="D403" s="14" t="s">
        <v>1745</v>
      </c>
      <c r="E403" s="14" t="s">
        <v>1747</v>
      </c>
      <c r="F403" s="25">
        <v>30948420</v>
      </c>
      <c r="G403" s="25">
        <v>21663894</v>
      </c>
    </row>
    <row r="404" spans="1:7" x14ac:dyDescent="0.25">
      <c r="A404" s="14" t="s">
        <v>1852</v>
      </c>
      <c r="B404" s="14">
        <v>85</v>
      </c>
      <c r="C404" s="15" t="s">
        <v>1951</v>
      </c>
      <c r="D404" s="14" t="s">
        <v>1749</v>
      </c>
      <c r="E404" s="14" t="s">
        <v>1746</v>
      </c>
      <c r="F404" s="25">
        <v>434274</v>
      </c>
      <c r="G404" s="25">
        <v>390846.6</v>
      </c>
    </row>
    <row r="405" spans="1:7" x14ac:dyDescent="0.25">
      <c r="A405" s="14" t="s">
        <v>1852</v>
      </c>
      <c r="B405" s="14" t="s">
        <v>1671</v>
      </c>
      <c r="C405" s="15" t="s">
        <v>1913</v>
      </c>
      <c r="D405" s="14" t="s">
        <v>1745</v>
      </c>
      <c r="E405" s="14" t="s">
        <v>1747</v>
      </c>
      <c r="F405" s="25">
        <v>149760</v>
      </c>
      <c r="G405" s="25">
        <v>134784</v>
      </c>
    </row>
    <row r="406" spans="1:7" x14ac:dyDescent="0.25">
      <c r="A406" s="14" t="s">
        <v>1852</v>
      </c>
      <c r="B406" s="14" t="s">
        <v>1545</v>
      </c>
      <c r="C406" s="15" t="s">
        <v>1927</v>
      </c>
      <c r="D406" s="14" t="s">
        <v>1749</v>
      </c>
      <c r="E406" s="14" t="s">
        <v>1746</v>
      </c>
      <c r="F406" s="25">
        <v>27456</v>
      </c>
      <c r="G406" s="25">
        <v>19219.2</v>
      </c>
    </row>
    <row r="407" spans="1:7" x14ac:dyDescent="0.25">
      <c r="A407" s="14" t="s">
        <v>1852</v>
      </c>
      <c r="B407" s="14">
        <v>16</v>
      </c>
      <c r="C407" s="15" t="s">
        <v>1952</v>
      </c>
      <c r="D407" s="14" t="s">
        <v>1745</v>
      </c>
      <c r="E407" s="14" t="s">
        <v>1747</v>
      </c>
      <c r="F407" s="25">
        <v>499140</v>
      </c>
      <c r="G407" s="25">
        <v>349398</v>
      </c>
    </row>
    <row r="408" spans="1:7" x14ac:dyDescent="0.25">
      <c r="A408" s="14" t="s">
        <v>1852</v>
      </c>
      <c r="B408" s="14">
        <v>70</v>
      </c>
      <c r="C408" s="15" t="s">
        <v>1953</v>
      </c>
      <c r="D408" s="14" t="s">
        <v>1745</v>
      </c>
      <c r="E408" s="14" t="s">
        <v>1746</v>
      </c>
      <c r="F408" s="25">
        <v>157248</v>
      </c>
      <c r="G408" s="25">
        <v>141523.20000000001</v>
      </c>
    </row>
    <row r="409" spans="1:7" x14ac:dyDescent="0.25">
      <c r="A409" s="14" t="s">
        <v>1852</v>
      </c>
      <c r="B409" s="14" t="s">
        <v>32</v>
      </c>
      <c r="C409" s="15" t="s">
        <v>1895</v>
      </c>
      <c r="D409" s="14" t="s">
        <v>1745</v>
      </c>
      <c r="E409" s="14" t="s">
        <v>1747</v>
      </c>
      <c r="F409" s="25">
        <v>499140</v>
      </c>
      <c r="G409" s="25">
        <v>349398</v>
      </c>
    </row>
    <row r="410" spans="1:7" x14ac:dyDescent="0.25">
      <c r="A410" s="14" t="s">
        <v>1852</v>
      </c>
      <c r="B410" s="14">
        <v>73</v>
      </c>
      <c r="C410" s="15" t="s">
        <v>1954</v>
      </c>
      <c r="D410" s="14" t="s">
        <v>1745</v>
      </c>
      <c r="E410" s="14" t="s">
        <v>1746</v>
      </c>
      <c r="F410" s="25">
        <v>12998349</v>
      </c>
      <c r="G410" s="25">
        <v>9098844</v>
      </c>
    </row>
    <row r="411" spans="1:7" x14ac:dyDescent="0.25">
      <c r="A411" s="14" t="s">
        <v>1850</v>
      </c>
      <c r="B411" s="14">
        <v>2</v>
      </c>
      <c r="C411" s="15" t="s">
        <v>1948</v>
      </c>
      <c r="D411" s="14" t="s">
        <v>1752</v>
      </c>
      <c r="E411" s="14" t="s">
        <v>1746</v>
      </c>
      <c r="F411" s="25">
        <v>660366</v>
      </c>
      <c r="G411" s="25">
        <v>462256.2</v>
      </c>
    </row>
    <row r="412" spans="1:7" x14ac:dyDescent="0.25">
      <c r="A412" s="14" t="s">
        <v>1852</v>
      </c>
      <c r="B412" s="14">
        <v>6</v>
      </c>
      <c r="C412" s="15" t="s">
        <v>1923</v>
      </c>
      <c r="D412" s="14" t="s">
        <v>1745</v>
      </c>
      <c r="E412" s="14" t="s">
        <v>1746</v>
      </c>
      <c r="F412" s="25">
        <v>32495841</v>
      </c>
      <c r="G412" s="25">
        <v>22747089</v>
      </c>
    </row>
    <row r="413" spans="1:7" x14ac:dyDescent="0.25">
      <c r="A413" s="14" t="s">
        <v>1852</v>
      </c>
      <c r="B413" s="14">
        <v>6</v>
      </c>
      <c r="C413" s="15" t="s">
        <v>1923</v>
      </c>
      <c r="D413" s="14" t="s">
        <v>1749</v>
      </c>
      <c r="E413" s="14" t="s">
        <v>1746</v>
      </c>
      <c r="F413" s="25">
        <v>3094842</v>
      </c>
      <c r="G413" s="25">
        <v>2166389</v>
      </c>
    </row>
    <row r="414" spans="1:7" x14ac:dyDescent="0.25">
      <c r="A414" s="14" t="s">
        <v>1852</v>
      </c>
      <c r="B414" s="14">
        <v>58</v>
      </c>
      <c r="C414" s="15" t="s">
        <v>1955</v>
      </c>
      <c r="D414" s="14" t="s">
        <v>1745</v>
      </c>
      <c r="E414" s="14" t="s">
        <v>1746</v>
      </c>
      <c r="F414" s="25">
        <v>288288</v>
      </c>
      <c r="G414" s="25">
        <v>201801.60000000001</v>
      </c>
    </row>
    <row r="415" spans="1:7" x14ac:dyDescent="0.25">
      <c r="A415" s="14" t="s">
        <v>1852</v>
      </c>
      <c r="B415" s="14">
        <v>69</v>
      </c>
      <c r="C415" s="15" t="s">
        <v>1956</v>
      </c>
      <c r="D415" s="14" t="s">
        <v>1745</v>
      </c>
      <c r="E415" s="14" t="s">
        <v>1746</v>
      </c>
      <c r="F415" s="25">
        <v>157248</v>
      </c>
      <c r="G415" s="25">
        <v>141523.20000000001</v>
      </c>
    </row>
    <row r="416" spans="1:7" x14ac:dyDescent="0.25">
      <c r="A416" s="14" t="s">
        <v>1852</v>
      </c>
      <c r="B416" s="14" t="s">
        <v>1957</v>
      </c>
      <c r="C416" s="15" t="s">
        <v>1958</v>
      </c>
      <c r="D416" s="14" t="s">
        <v>1745</v>
      </c>
      <c r="E416" s="14" t="s">
        <v>1746</v>
      </c>
      <c r="F416" s="25">
        <v>209664</v>
      </c>
      <c r="G416" s="25">
        <v>146764.79999999999</v>
      </c>
    </row>
    <row r="417" spans="1:7" x14ac:dyDescent="0.25">
      <c r="A417" s="14" t="s">
        <v>1852</v>
      </c>
      <c r="B417" s="14">
        <v>5</v>
      </c>
      <c r="C417" s="15" t="s">
        <v>1870</v>
      </c>
      <c r="D417" s="14" t="s">
        <v>1749</v>
      </c>
      <c r="E417" s="14" t="s">
        <v>1746</v>
      </c>
      <c r="F417" s="25">
        <v>3094842</v>
      </c>
      <c r="G417" s="25">
        <v>2166389</v>
      </c>
    </row>
    <row r="418" spans="1:7" x14ac:dyDescent="0.25">
      <c r="A418" s="14" t="s">
        <v>1852</v>
      </c>
      <c r="B418" s="14" t="s">
        <v>1639</v>
      </c>
      <c r="C418" s="15" t="s">
        <v>1959</v>
      </c>
      <c r="D418" s="14" t="s">
        <v>1745</v>
      </c>
      <c r="E418" s="14" t="s">
        <v>1747</v>
      </c>
      <c r="F418" s="25">
        <v>7961760</v>
      </c>
      <c r="G418" s="25">
        <v>5573232</v>
      </c>
    </row>
    <row r="419" spans="1:7" x14ac:dyDescent="0.25">
      <c r="A419" s="14" t="s">
        <v>1852</v>
      </c>
      <c r="B419" s="14" t="s">
        <v>46</v>
      </c>
      <c r="C419" s="15" t="s">
        <v>1866</v>
      </c>
      <c r="D419" s="14" t="s">
        <v>1745</v>
      </c>
      <c r="E419" s="14" t="s">
        <v>1747</v>
      </c>
      <c r="F419" s="25">
        <v>14475900</v>
      </c>
      <c r="G419" s="25">
        <v>10133130</v>
      </c>
    </row>
    <row r="420" spans="1:7" x14ac:dyDescent="0.25">
      <c r="A420" s="14" t="s">
        <v>1852</v>
      </c>
      <c r="B420" s="14">
        <v>51</v>
      </c>
      <c r="C420" s="15" t="s">
        <v>1960</v>
      </c>
      <c r="D420" s="14" t="s">
        <v>1745</v>
      </c>
      <c r="E420" s="14" t="s">
        <v>1747</v>
      </c>
      <c r="F420" s="25">
        <v>12379380</v>
      </c>
      <c r="G420" s="25">
        <v>8665566</v>
      </c>
    </row>
    <row r="421" spans="1:7" x14ac:dyDescent="0.25">
      <c r="A421" s="14" t="s">
        <v>1852</v>
      </c>
      <c r="B421" s="14" t="s">
        <v>1904</v>
      </c>
      <c r="C421" s="15" t="s">
        <v>1905</v>
      </c>
      <c r="D421" s="14" t="s">
        <v>1749</v>
      </c>
      <c r="E421" s="14" t="s">
        <v>1746</v>
      </c>
      <c r="F421" s="25">
        <v>14976</v>
      </c>
      <c r="G421" s="25">
        <v>13478.4</v>
      </c>
    </row>
    <row r="422" spans="1:7" x14ac:dyDescent="0.25">
      <c r="A422" s="14" t="s">
        <v>1852</v>
      </c>
      <c r="B422" s="14" t="s">
        <v>1961</v>
      </c>
      <c r="C422" s="15" t="s">
        <v>1962</v>
      </c>
      <c r="D422" s="14" t="s">
        <v>1745</v>
      </c>
      <c r="E422" s="14" t="s">
        <v>1747</v>
      </c>
      <c r="F422" s="25">
        <v>5790360</v>
      </c>
      <c r="G422" s="25">
        <v>4053252</v>
      </c>
    </row>
    <row r="423" spans="1:7" x14ac:dyDescent="0.25">
      <c r="A423" s="14" t="s">
        <v>1850</v>
      </c>
      <c r="B423" s="14">
        <v>1</v>
      </c>
      <c r="C423" s="15" t="s">
        <v>1851</v>
      </c>
      <c r="D423" s="14" t="s">
        <v>1752</v>
      </c>
      <c r="E423" s="14" t="s">
        <v>1753</v>
      </c>
      <c r="F423" s="25">
        <v>89820</v>
      </c>
      <c r="G423" s="25">
        <v>62874</v>
      </c>
    </row>
    <row r="424" spans="1:7" x14ac:dyDescent="0.25">
      <c r="A424" s="14" t="s">
        <v>1852</v>
      </c>
      <c r="B424" s="14" t="s">
        <v>1907</v>
      </c>
      <c r="C424" s="15" t="s">
        <v>1908</v>
      </c>
      <c r="D424" s="14" t="s">
        <v>1745</v>
      </c>
      <c r="E424" s="14" t="s">
        <v>1746</v>
      </c>
      <c r="F424" s="25">
        <v>157248</v>
      </c>
      <c r="G424" s="25">
        <v>141523.20000000001</v>
      </c>
    </row>
    <row r="425" spans="1:7" x14ac:dyDescent="0.25">
      <c r="A425" s="14" t="s">
        <v>1852</v>
      </c>
      <c r="B425" s="14" t="s">
        <v>1963</v>
      </c>
      <c r="C425" s="15" t="s">
        <v>1964</v>
      </c>
      <c r="D425" s="14" t="s">
        <v>1749</v>
      </c>
      <c r="E425" s="14" t="s">
        <v>1746</v>
      </c>
      <c r="F425" s="25">
        <v>27456</v>
      </c>
      <c r="G425" s="25">
        <v>19219.2</v>
      </c>
    </row>
    <row r="426" spans="1:7" x14ac:dyDescent="0.25">
      <c r="A426" s="14" t="s">
        <v>1852</v>
      </c>
      <c r="B426" s="14" t="s">
        <v>405</v>
      </c>
      <c r="C426" s="15" t="s">
        <v>1965</v>
      </c>
      <c r="D426" s="14" t="s">
        <v>1745</v>
      </c>
      <c r="E426" s="14" t="s">
        <v>1747</v>
      </c>
      <c r="F426" s="25">
        <v>7961760</v>
      </c>
      <c r="G426" s="25">
        <v>5573232</v>
      </c>
    </row>
    <row r="427" spans="1:7" x14ac:dyDescent="0.25">
      <c r="A427" s="14" t="s">
        <v>1852</v>
      </c>
      <c r="B427" s="14" t="s">
        <v>1966</v>
      </c>
      <c r="C427" s="15" t="s">
        <v>1967</v>
      </c>
      <c r="D427" s="14" t="s">
        <v>1745</v>
      </c>
      <c r="E427" s="14" t="s">
        <v>1746</v>
      </c>
      <c r="F427" s="25">
        <v>4559877</v>
      </c>
      <c r="G427" s="25">
        <v>4103889</v>
      </c>
    </row>
    <row r="428" spans="1:7" x14ac:dyDescent="0.25">
      <c r="A428" s="14" t="s">
        <v>1852</v>
      </c>
      <c r="B428" s="14" t="s">
        <v>1968</v>
      </c>
      <c r="C428" s="15" t="s">
        <v>1969</v>
      </c>
      <c r="D428" s="14" t="s">
        <v>1749</v>
      </c>
      <c r="E428" s="14" t="s">
        <v>1746</v>
      </c>
      <c r="F428" s="25">
        <v>928452</v>
      </c>
      <c r="G428" s="25">
        <v>835606.8</v>
      </c>
    </row>
    <row r="429" spans="1:7" x14ac:dyDescent="0.25">
      <c r="A429" s="14" t="s">
        <v>1852</v>
      </c>
      <c r="B429" s="14" t="s">
        <v>243</v>
      </c>
      <c r="C429" s="15" t="s">
        <v>1970</v>
      </c>
      <c r="D429" s="14" t="s">
        <v>1745</v>
      </c>
      <c r="E429" s="14" t="s">
        <v>1747</v>
      </c>
      <c r="F429" s="25">
        <v>499140</v>
      </c>
      <c r="G429" s="25">
        <v>349398</v>
      </c>
    </row>
    <row r="430" spans="1:7" x14ac:dyDescent="0.25">
      <c r="A430" s="14" t="s">
        <v>1852</v>
      </c>
      <c r="B430" s="14">
        <v>85</v>
      </c>
      <c r="C430" s="15" t="s">
        <v>1951</v>
      </c>
      <c r="D430" s="14" t="s">
        <v>1745</v>
      </c>
      <c r="E430" s="14" t="s">
        <v>1746</v>
      </c>
      <c r="F430" s="25">
        <v>4559877</v>
      </c>
      <c r="G430" s="25">
        <v>4103889</v>
      </c>
    </row>
    <row r="431" spans="1:7" x14ac:dyDescent="0.25">
      <c r="A431" s="14" t="s">
        <v>1852</v>
      </c>
      <c r="B431" s="14">
        <v>7</v>
      </c>
      <c r="C431" s="15" t="s">
        <v>1935</v>
      </c>
      <c r="D431" s="14" t="s">
        <v>1745</v>
      </c>
      <c r="E431" s="14" t="s">
        <v>1746</v>
      </c>
      <c r="F431" s="25">
        <v>4193028</v>
      </c>
      <c r="G431" s="25">
        <v>2935120</v>
      </c>
    </row>
    <row r="432" spans="1:7" x14ac:dyDescent="0.25">
      <c r="A432" s="14" t="s">
        <v>1852</v>
      </c>
      <c r="B432" s="14" t="s">
        <v>1877</v>
      </c>
      <c r="C432" s="15" t="s">
        <v>1878</v>
      </c>
      <c r="D432" s="14" t="s">
        <v>1745</v>
      </c>
      <c r="E432" s="14" t="s">
        <v>1746</v>
      </c>
      <c r="F432" s="25">
        <v>4559877</v>
      </c>
      <c r="G432" s="25">
        <v>4103889</v>
      </c>
    </row>
    <row r="433" spans="1:7" x14ac:dyDescent="0.25">
      <c r="A433" s="14" t="s">
        <v>1852</v>
      </c>
      <c r="B433" s="14" t="s">
        <v>1651</v>
      </c>
      <c r="C433" s="15" t="s">
        <v>1971</v>
      </c>
      <c r="D433" s="14" t="s">
        <v>1749</v>
      </c>
      <c r="E433" s="14" t="s">
        <v>1746</v>
      </c>
      <c r="F433" s="25">
        <v>19968</v>
      </c>
      <c r="G433" s="25">
        <v>13977.6</v>
      </c>
    </row>
    <row r="434" spans="1:7" x14ac:dyDescent="0.25">
      <c r="A434" s="14" t="s">
        <v>1852</v>
      </c>
      <c r="B434" s="14" t="s">
        <v>1595</v>
      </c>
      <c r="C434" s="15" t="s">
        <v>1859</v>
      </c>
      <c r="D434" s="14" t="s">
        <v>1749</v>
      </c>
      <c r="E434" s="14" t="s">
        <v>1746</v>
      </c>
      <c r="F434" s="25">
        <v>27456</v>
      </c>
      <c r="G434" s="25">
        <v>19219.2</v>
      </c>
    </row>
    <row r="435" spans="1:7" x14ac:dyDescent="0.25">
      <c r="A435" s="14" t="s">
        <v>1852</v>
      </c>
      <c r="B435" s="14" t="s">
        <v>407</v>
      </c>
      <c r="C435" s="15" t="s">
        <v>1896</v>
      </c>
      <c r="D435" s="14" t="s">
        <v>1745</v>
      </c>
      <c r="E435" s="14" t="s">
        <v>1747</v>
      </c>
      <c r="F435" s="25">
        <v>5790360</v>
      </c>
      <c r="G435" s="25">
        <v>4053252</v>
      </c>
    </row>
    <row r="436" spans="1:7" x14ac:dyDescent="0.25">
      <c r="A436" s="14" t="s">
        <v>1852</v>
      </c>
      <c r="B436" s="14" t="s">
        <v>1573</v>
      </c>
      <c r="C436" s="15" t="s">
        <v>1930</v>
      </c>
      <c r="D436" s="14" t="s">
        <v>1745</v>
      </c>
      <c r="E436" s="14" t="s">
        <v>1747</v>
      </c>
      <c r="F436" s="25">
        <v>274560</v>
      </c>
      <c r="G436" s="25">
        <v>192192</v>
      </c>
    </row>
    <row r="437" spans="1:7" x14ac:dyDescent="0.25">
      <c r="A437" s="14" t="s">
        <v>1852</v>
      </c>
      <c r="B437" s="14" t="s">
        <v>1653</v>
      </c>
      <c r="C437" s="15" t="s">
        <v>1972</v>
      </c>
      <c r="D437" s="14" t="s">
        <v>1745</v>
      </c>
      <c r="E437" s="14" t="s">
        <v>1747</v>
      </c>
      <c r="F437" s="25">
        <v>149760</v>
      </c>
      <c r="G437" s="25">
        <v>134784</v>
      </c>
    </row>
    <row r="438" spans="1:7" x14ac:dyDescent="0.25">
      <c r="A438" s="14" t="s">
        <v>1852</v>
      </c>
      <c r="B438" s="14" t="s">
        <v>34</v>
      </c>
      <c r="C438" s="15" t="s">
        <v>1915</v>
      </c>
      <c r="D438" s="14" t="s">
        <v>1749</v>
      </c>
      <c r="E438" s="14" t="s">
        <v>1746</v>
      </c>
      <c r="F438" s="25">
        <v>3094842</v>
      </c>
      <c r="G438" s="25">
        <v>2166389</v>
      </c>
    </row>
    <row r="439" spans="1:7" x14ac:dyDescent="0.25">
      <c r="A439" s="14" t="s">
        <v>1852</v>
      </c>
      <c r="B439" s="14" t="s">
        <v>1973</v>
      </c>
      <c r="C439" s="15" t="s">
        <v>1974</v>
      </c>
      <c r="D439" s="14" t="s">
        <v>1749</v>
      </c>
      <c r="E439" s="14" t="s">
        <v>1746</v>
      </c>
      <c r="F439" s="25">
        <v>928452</v>
      </c>
      <c r="G439" s="25">
        <v>835606.8</v>
      </c>
    </row>
    <row r="440" spans="1:7" x14ac:dyDescent="0.25">
      <c r="A440" s="14" t="s">
        <v>1852</v>
      </c>
      <c r="B440" s="14" t="s">
        <v>650</v>
      </c>
      <c r="C440" s="15" t="s">
        <v>1975</v>
      </c>
      <c r="D440" s="14" t="s">
        <v>1749</v>
      </c>
      <c r="E440" s="14" t="s">
        <v>1746</v>
      </c>
      <c r="F440" s="25">
        <v>49914</v>
      </c>
      <c r="G440" s="25">
        <v>34939.800000000003</v>
      </c>
    </row>
    <row r="441" spans="1:7" x14ac:dyDescent="0.25">
      <c r="A441" s="14" t="s">
        <v>1852</v>
      </c>
      <c r="B441" s="14" t="s">
        <v>1976</v>
      </c>
      <c r="C441" s="15" t="s">
        <v>1977</v>
      </c>
      <c r="D441" s="14" t="s">
        <v>1749</v>
      </c>
      <c r="E441" s="14" t="s">
        <v>1746</v>
      </c>
      <c r="F441" s="25">
        <v>1702164</v>
      </c>
      <c r="G441" s="25">
        <v>1191515</v>
      </c>
    </row>
    <row r="442" spans="1:7" x14ac:dyDescent="0.25">
      <c r="A442" s="14" t="s">
        <v>1852</v>
      </c>
      <c r="B442" s="14" t="s">
        <v>1647</v>
      </c>
      <c r="C442" s="15" t="s">
        <v>1858</v>
      </c>
      <c r="D442" s="14" t="s">
        <v>1749</v>
      </c>
      <c r="E442" s="14" t="s">
        <v>1746</v>
      </c>
      <c r="F442" s="25">
        <v>19968</v>
      </c>
      <c r="G442" s="25">
        <v>13977.6</v>
      </c>
    </row>
    <row r="443" spans="1:7" x14ac:dyDescent="0.25">
      <c r="A443" s="14" t="s">
        <v>1852</v>
      </c>
      <c r="B443" s="14" t="s">
        <v>410</v>
      </c>
      <c r="C443" s="15" t="s">
        <v>1944</v>
      </c>
      <c r="D443" s="14" t="s">
        <v>1745</v>
      </c>
      <c r="E443" s="14" t="s">
        <v>1747</v>
      </c>
      <c r="F443" s="25">
        <v>5790360</v>
      </c>
      <c r="G443" s="25">
        <v>4053252</v>
      </c>
    </row>
    <row r="444" spans="1:7" x14ac:dyDescent="0.25">
      <c r="A444" s="14" t="s">
        <v>1852</v>
      </c>
      <c r="B444" s="14" t="s">
        <v>20</v>
      </c>
      <c r="C444" s="15" t="s">
        <v>1978</v>
      </c>
      <c r="D444" s="14" t="s">
        <v>1745</v>
      </c>
      <c r="E444" s="14" t="s">
        <v>1747</v>
      </c>
      <c r="F444" s="25">
        <v>3993360</v>
      </c>
      <c r="G444" s="25">
        <v>2795352</v>
      </c>
    </row>
    <row r="445" spans="1:7" x14ac:dyDescent="0.25">
      <c r="A445" s="14" t="s">
        <v>1852</v>
      </c>
      <c r="B445" s="14" t="s">
        <v>55</v>
      </c>
      <c r="C445" s="15" t="s">
        <v>1885</v>
      </c>
      <c r="D445" s="14" t="s">
        <v>1745</v>
      </c>
      <c r="E445" s="14" t="s">
        <v>1747</v>
      </c>
      <c r="F445" s="25">
        <v>499140</v>
      </c>
      <c r="G445" s="25">
        <v>349398</v>
      </c>
    </row>
    <row r="446" spans="1:7" x14ac:dyDescent="0.25">
      <c r="A446" s="14" t="s">
        <v>1852</v>
      </c>
      <c r="B446" s="14" t="s">
        <v>1875</v>
      </c>
      <c r="C446" s="15" t="s">
        <v>1876</v>
      </c>
      <c r="D446" s="14" t="s">
        <v>1745</v>
      </c>
      <c r="E446" s="14" t="s">
        <v>1746</v>
      </c>
      <c r="F446" s="25">
        <v>8359848</v>
      </c>
      <c r="G446" s="25">
        <v>5851894</v>
      </c>
    </row>
    <row r="447" spans="1:7" x14ac:dyDescent="0.25">
      <c r="A447" s="14" t="s">
        <v>1852</v>
      </c>
      <c r="B447" s="14">
        <v>54</v>
      </c>
      <c r="C447" s="15" t="s">
        <v>1979</v>
      </c>
      <c r="D447" s="14" t="s">
        <v>1745</v>
      </c>
      <c r="E447" s="14" t="s">
        <v>1747</v>
      </c>
      <c r="F447" s="25">
        <v>9284520</v>
      </c>
      <c r="G447" s="25">
        <v>8356068</v>
      </c>
    </row>
    <row r="448" spans="1:7" x14ac:dyDescent="0.25">
      <c r="A448" s="14" t="s">
        <v>1852</v>
      </c>
      <c r="B448" s="14" t="s">
        <v>1673</v>
      </c>
      <c r="C448" s="15" t="s">
        <v>1980</v>
      </c>
      <c r="D448" s="14" t="s">
        <v>1745</v>
      </c>
      <c r="E448" s="14" t="s">
        <v>1746</v>
      </c>
      <c r="F448" s="25">
        <v>209664</v>
      </c>
      <c r="G448" s="25">
        <v>146764.79999999999</v>
      </c>
    </row>
    <row r="449" spans="1:7" x14ac:dyDescent="0.25">
      <c r="A449" s="14" t="s">
        <v>1852</v>
      </c>
      <c r="B449" s="14" t="s">
        <v>1875</v>
      </c>
      <c r="C449" s="15" t="s">
        <v>1876</v>
      </c>
      <c r="D449" s="14" t="s">
        <v>1749</v>
      </c>
      <c r="E449" s="14" t="s">
        <v>1746</v>
      </c>
      <c r="F449" s="25">
        <v>796176</v>
      </c>
      <c r="G449" s="25">
        <v>557323.19999999995</v>
      </c>
    </row>
    <row r="450" spans="1:7" x14ac:dyDescent="0.25">
      <c r="A450" s="14" t="s">
        <v>1852</v>
      </c>
      <c r="B450" s="14" t="s">
        <v>1545</v>
      </c>
      <c r="C450" s="15" t="s">
        <v>1927</v>
      </c>
      <c r="D450" s="14" t="s">
        <v>1745</v>
      </c>
      <c r="E450" s="14" t="s">
        <v>1746</v>
      </c>
      <c r="F450" s="25">
        <v>288288</v>
      </c>
      <c r="G450" s="25">
        <v>201801.60000000001</v>
      </c>
    </row>
    <row r="451" spans="1:7" x14ac:dyDescent="0.25">
      <c r="A451" s="14" t="s">
        <v>1852</v>
      </c>
      <c r="B451" s="14">
        <v>80</v>
      </c>
      <c r="C451" s="15" t="s">
        <v>1934</v>
      </c>
      <c r="D451" s="14" t="s">
        <v>1749</v>
      </c>
      <c r="E451" s="14" t="s">
        <v>1746</v>
      </c>
      <c r="F451" s="25">
        <v>579036</v>
      </c>
      <c r="G451" s="25">
        <v>405325.2</v>
      </c>
    </row>
    <row r="452" spans="1:7" x14ac:dyDescent="0.25">
      <c r="A452" s="14" t="s">
        <v>1852</v>
      </c>
      <c r="B452" s="14">
        <v>8</v>
      </c>
      <c r="C452" s="15" t="s">
        <v>1981</v>
      </c>
      <c r="D452" s="14" t="s">
        <v>1749</v>
      </c>
      <c r="E452" s="14" t="s">
        <v>1746</v>
      </c>
      <c r="F452" s="25">
        <v>49914</v>
      </c>
      <c r="G452" s="25">
        <v>34939.800000000003</v>
      </c>
    </row>
    <row r="453" spans="1:7" ht="30" x14ac:dyDescent="0.25">
      <c r="A453" s="14" t="s">
        <v>1850</v>
      </c>
      <c r="B453" s="14" t="s">
        <v>32</v>
      </c>
      <c r="C453" s="15" t="s">
        <v>1884</v>
      </c>
      <c r="D453" s="14" t="s">
        <v>1745</v>
      </c>
      <c r="E453" s="14" t="s">
        <v>1747</v>
      </c>
      <c r="F453" s="25">
        <v>16500</v>
      </c>
      <c r="G453" s="25">
        <v>11550</v>
      </c>
    </row>
    <row r="454" spans="1:7" x14ac:dyDescent="0.25">
      <c r="A454" s="14" t="s">
        <v>1852</v>
      </c>
      <c r="B454" s="14" t="s">
        <v>1645</v>
      </c>
      <c r="C454" s="15" t="s">
        <v>1982</v>
      </c>
      <c r="D454" s="14" t="s">
        <v>1745</v>
      </c>
      <c r="E454" s="14" t="s">
        <v>1747</v>
      </c>
      <c r="F454" s="25">
        <v>274560</v>
      </c>
      <c r="G454" s="25">
        <v>192192</v>
      </c>
    </row>
    <row r="455" spans="1:7" x14ac:dyDescent="0.25">
      <c r="A455" s="14" t="s">
        <v>1852</v>
      </c>
      <c r="B455" s="14" t="s">
        <v>407</v>
      </c>
      <c r="C455" s="15" t="s">
        <v>1896</v>
      </c>
      <c r="D455" s="14" t="s">
        <v>1749</v>
      </c>
      <c r="E455" s="14" t="s">
        <v>1746</v>
      </c>
      <c r="F455" s="25">
        <v>579036</v>
      </c>
      <c r="G455" s="25">
        <v>405325.2</v>
      </c>
    </row>
    <row r="456" spans="1:7" x14ac:dyDescent="0.25">
      <c r="A456" s="14" t="s">
        <v>1852</v>
      </c>
      <c r="B456" s="14" t="s">
        <v>420</v>
      </c>
      <c r="C456" s="15" t="s">
        <v>1983</v>
      </c>
      <c r="D456" s="14" t="s">
        <v>1745</v>
      </c>
      <c r="E456" s="14" t="s">
        <v>1746</v>
      </c>
      <c r="F456" s="25">
        <v>17872722</v>
      </c>
      <c r="G456" s="25">
        <v>12510905</v>
      </c>
    </row>
    <row r="457" spans="1:7" x14ac:dyDescent="0.25">
      <c r="A457" s="14" t="s">
        <v>1852</v>
      </c>
      <c r="B457" s="14">
        <v>71</v>
      </c>
      <c r="C457" s="15" t="s">
        <v>1888</v>
      </c>
      <c r="D457" s="14" t="s">
        <v>1745</v>
      </c>
      <c r="E457" s="14" t="s">
        <v>1746</v>
      </c>
      <c r="F457" s="25">
        <v>1257921</v>
      </c>
      <c r="G457" s="25">
        <v>1132129</v>
      </c>
    </row>
    <row r="458" spans="1:7" x14ac:dyDescent="0.25">
      <c r="A458" s="14" t="s">
        <v>1852</v>
      </c>
      <c r="B458" s="14">
        <v>88</v>
      </c>
      <c r="C458" s="15" t="s">
        <v>1893</v>
      </c>
      <c r="D458" s="14" t="s">
        <v>1745</v>
      </c>
      <c r="E458" s="14" t="s">
        <v>1747</v>
      </c>
      <c r="F458" s="25">
        <v>5790360</v>
      </c>
      <c r="G458" s="25">
        <v>4053252</v>
      </c>
    </row>
    <row r="459" spans="1:7" x14ac:dyDescent="0.25">
      <c r="A459" s="14" t="s">
        <v>1852</v>
      </c>
      <c r="B459" s="14" t="s">
        <v>1731</v>
      </c>
      <c r="C459" s="15" t="s">
        <v>1984</v>
      </c>
      <c r="D459" s="14" t="s">
        <v>1749</v>
      </c>
      <c r="E459" s="14" t="s">
        <v>1746</v>
      </c>
      <c r="F459" s="25">
        <v>27456</v>
      </c>
      <c r="G459" s="25">
        <v>19219.2</v>
      </c>
    </row>
    <row r="460" spans="1:7" x14ac:dyDescent="0.25">
      <c r="A460" s="14" t="s">
        <v>1852</v>
      </c>
      <c r="B460" s="14" t="s">
        <v>1949</v>
      </c>
      <c r="C460" s="15" t="s">
        <v>1950</v>
      </c>
      <c r="D460" s="14" t="s">
        <v>1745</v>
      </c>
      <c r="E460" s="14" t="s">
        <v>1746</v>
      </c>
      <c r="F460" s="25">
        <v>209664</v>
      </c>
      <c r="G460" s="25">
        <v>146764.79999999999</v>
      </c>
    </row>
    <row r="461" spans="1:7" x14ac:dyDescent="0.25">
      <c r="A461" s="14" t="s">
        <v>1852</v>
      </c>
      <c r="B461" s="14" t="s">
        <v>1636</v>
      </c>
      <c r="C461" s="15" t="s">
        <v>1985</v>
      </c>
      <c r="D461" s="14" t="s">
        <v>1749</v>
      </c>
      <c r="E461" s="14" t="s">
        <v>1746</v>
      </c>
      <c r="F461" s="25">
        <v>27456</v>
      </c>
      <c r="G461" s="25">
        <v>19219.2</v>
      </c>
    </row>
    <row r="462" spans="1:7" x14ac:dyDescent="0.25">
      <c r="A462" s="14" t="s">
        <v>1852</v>
      </c>
      <c r="B462" s="14">
        <v>61</v>
      </c>
      <c r="C462" s="15" t="s">
        <v>1909</v>
      </c>
      <c r="D462" s="14" t="s">
        <v>1749</v>
      </c>
      <c r="E462" s="14" t="s">
        <v>1746</v>
      </c>
      <c r="F462" s="25">
        <v>19968</v>
      </c>
      <c r="G462" s="25">
        <v>13977.6</v>
      </c>
    </row>
    <row r="463" spans="1:7" x14ac:dyDescent="0.25">
      <c r="A463" s="14" t="s">
        <v>1852</v>
      </c>
      <c r="B463" s="14">
        <v>81</v>
      </c>
      <c r="C463" s="15" t="s">
        <v>1986</v>
      </c>
      <c r="D463" s="14" t="s">
        <v>1745</v>
      </c>
      <c r="E463" s="14" t="s">
        <v>1747</v>
      </c>
      <c r="F463" s="25">
        <v>1597320</v>
      </c>
      <c r="G463" s="25">
        <v>1118124</v>
      </c>
    </row>
    <row r="464" spans="1:7" x14ac:dyDescent="0.25">
      <c r="A464" s="14" t="s">
        <v>1852</v>
      </c>
      <c r="B464" s="14" t="s">
        <v>1632</v>
      </c>
      <c r="C464" s="15" t="s">
        <v>1987</v>
      </c>
      <c r="D464" s="14" t="s">
        <v>1745</v>
      </c>
      <c r="E464" s="14" t="s">
        <v>1747</v>
      </c>
      <c r="F464" s="25">
        <v>149760</v>
      </c>
      <c r="G464" s="25">
        <v>134784</v>
      </c>
    </row>
    <row r="465" spans="1:7" x14ac:dyDescent="0.25">
      <c r="A465" s="14" t="s">
        <v>1852</v>
      </c>
      <c r="B465" s="14" t="s">
        <v>1651</v>
      </c>
      <c r="C465" s="15" t="s">
        <v>1971</v>
      </c>
      <c r="D465" s="14" t="s">
        <v>1745</v>
      </c>
      <c r="E465" s="14" t="s">
        <v>1747</v>
      </c>
      <c r="F465" s="25">
        <v>199680</v>
      </c>
      <c r="G465" s="25">
        <v>139776</v>
      </c>
    </row>
    <row r="466" spans="1:7" x14ac:dyDescent="0.25">
      <c r="A466" s="14" t="s">
        <v>1852</v>
      </c>
      <c r="B466" s="14" t="s">
        <v>195</v>
      </c>
      <c r="C466" s="15" t="s">
        <v>1988</v>
      </c>
      <c r="D466" s="14" t="s">
        <v>1745</v>
      </c>
      <c r="E466" s="14" t="s">
        <v>1746</v>
      </c>
      <c r="F466" s="25">
        <v>15199695</v>
      </c>
      <c r="G466" s="25">
        <v>10639787</v>
      </c>
    </row>
    <row r="467" spans="1:7" x14ac:dyDescent="0.25">
      <c r="A467" s="14" t="s">
        <v>1852</v>
      </c>
      <c r="B467" s="14">
        <v>69</v>
      </c>
      <c r="C467" s="15" t="s">
        <v>1956</v>
      </c>
      <c r="D467" s="14" t="s">
        <v>1749</v>
      </c>
      <c r="E467" s="14" t="s">
        <v>1746</v>
      </c>
      <c r="F467" s="25">
        <v>14976</v>
      </c>
      <c r="G467" s="25">
        <v>13478.4</v>
      </c>
    </row>
    <row r="468" spans="1:7" x14ac:dyDescent="0.25">
      <c r="A468" s="14" t="s">
        <v>1850</v>
      </c>
      <c r="B468" s="14">
        <v>2</v>
      </c>
      <c r="C468" s="15" t="s">
        <v>1948</v>
      </c>
      <c r="D468" s="14" t="s">
        <v>1752</v>
      </c>
      <c r="E468" s="14" t="s">
        <v>1753</v>
      </c>
      <c r="F468" s="25">
        <v>628920</v>
      </c>
      <c r="G468" s="25">
        <v>440244</v>
      </c>
    </row>
    <row r="469" spans="1:7" x14ac:dyDescent="0.25">
      <c r="A469" s="14" t="s">
        <v>1852</v>
      </c>
      <c r="B469" s="14" t="s">
        <v>1639</v>
      </c>
      <c r="C469" s="15" t="s">
        <v>1959</v>
      </c>
      <c r="D469" s="14" t="s">
        <v>1745</v>
      </c>
      <c r="E469" s="14" t="s">
        <v>1746</v>
      </c>
      <c r="F469" s="25">
        <v>8359848</v>
      </c>
      <c r="G469" s="25">
        <v>5851894</v>
      </c>
    </row>
    <row r="470" spans="1:7" x14ac:dyDescent="0.25">
      <c r="A470" s="14" t="s">
        <v>1852</v>
      </c>
      <c r="B470" s="14">
        <v>14</v>
      </c>
      <c r="C470" s="15" t="s">
        <v>1989</v>
      </c>
      <c r="D470" s="14" t="s">
        <v>1749</v>
      </c>
      <c r="E470" s="14" t="s">
        <v>1746</v>
      </c>
      <c r="F470" s="25">
        <v>49914</v>
      </c>
      <c r="G470" s="25">
        <v>34939.800000000003</v>
      </c>
    </row>
    <row r="471" spans="1:7" x14ac:dyDescent="0.25">
      <c r="A471" s="14" t="s">
        <v>1852</v>
      </c>
      <c r="B471" s="14" t="s">
        <v>1628</v>
      </c>
      <c r="C471" s="15" t="s">
        <v>1990</v>
      </c>
      <c r="D471" s="14" t="s">
        <v>1745</v>
      </c>
      <c r="E471" s="14" t="s">
        <v>1746</v>
      </c>
      <c r="F471" s="25">
        <v>288288</v>
      </c>
      <c r="G471" s="25">
        <v>201801.60000000001</v>
      </c>
    </row>
    <row r="472" spans="1:7" x14ac:dyDescent="0.25">
      <c r="A472" s="14" t="s">
        <v>1852</v>
      </c>
      <c r="B472" s="14" t="s">
        <v>1991</v>
      </c>
      <c r="C472" s="15" t="s">
        <v>1992</v>
      </c>
      <c r="D472" s="14" t="s">
        <v>1745</v>
      </c>
      <c r="E472" s="14" t="s">
        <v>1747</v>
      </c>
      <c r="F472" s="25">
        <v>7961760</v>
      </c>
      <c r="G472" s="25">
        <v>5573232</v>
      </c>
    </row>
    <row r="473" spans="1:7" x14ac:dyDescent="0.25">
      <c r="A473" s="14" t="s">
        <v>1852</v>
      </c>
      <c r="B473" s="14">
        <v>51</v>
      </c>
      <c r="C473" s="15" t="s">
        <v>1960</v>
      </c>
      <c r="D473" s="14" t="s">
        <v>1745</v>
      </c>
      <c r="E473" s="14" t="s">
        <v>1746</v>
      </c>
      <c r="F473" s="25">
        <v>12998349</v>
      </c>
      <c r="G473" s="25">
        <v>9098844</v>
      </c>
    </row>
    <row r="474" spans="1:7" x14ac:dyDescent="0.25">
      <c r="A474" s="14" t="s">
        <v>1852</v>
      </c>
      <c r="B474" s="14" t="s">
        <v>1634</v>
      </c>
      <c r="C474" s="15" t="s">
        <v>1869</v>
      </c>
      <c r="D474" s="14" t="s">
        <v>1745</v>
      </c>
      <c r="E474" s="14" t="s">
        <v>1746</v>
      </c>
      <c r="F474" s="25">
        <v>209664</v>
      </c>
      <c r="G474" s="25">
        <v>146764.79999999999</v>
      </c>
    </row>
    <row r="475" spans="1:7" x14ac:dyDescent="0.25">
      <c r="A475" s="14" t="s">
        <v>1852</v>
      </c>
      <c r="B475" s="14" t="s">
        <v>24</v>
      </c>
      <c r="C475" s="15" t="s">
        <v>1993</v>
      </c>
      <c r="D475" s="14" t="s">
        <v>1749</v>
      </c>
      <c r="E475" s="14" t="s">
        <v>1746</v>
      </c>
      <c r="F475" s="25">
        <v>49914</v>
      </c>
      <c r="G475" s="25">
        <v>34939.800000000003</v>
      </c>
    </row>
    <row r="476" spans="1:7" x14ac:dyDescent="0.25">
      <c r="A476" s="14" t="s">
        <v>1852</v>
      </c>
      <c r="B476" s="14" t="s">
        <v>20</v>
      </c>
      <c r="C476" s="15" t="s">
        <v>1978</v>
      </c>
      <c r="D476" s="14" t="s">
        <v>1749</v>
      </c>
      <c r="E476" s="14" t="s">
        <v>1746</v>
      </c>
      <c r="F476" s="25">
        <v>399336</v>
      </c>
      <c r="G476" s="25">
        <v>279535.2</v>
      </c>
    </row>
    <row r="477" spans="1:7" x14ac:dyDescent="0.25">
      <c r="A477" s="14" t="s">
        <v>1850</v>
      </c>
      <c r="B477" s="14">
        <v>1</v>
      </c>
      <c r="C477" s="15" t="s">
        <v>1851</v>
      </c>
      <c r="D477" s="14" t="s">
        <v>1752</v>
      </c>
      <c r="E477" s="14" t="s">
        <v>1746</v>
      </c>
      <c r="F477" s="25">
        <v>94311</v>
      </c>
      <c r="G477" s="25">
        <v>66017.88</v>
      </c>
    </row>
    <row r="478" spans="1:7" x14ac:dyDescent="0.25">
      <c r="A478" s="14" t="s">
        <v>1852</v>
      </c>
      <c r="B478" s="14">
        <v>64</v>
      </c>
      <c r="C478" s="15" t="s">
        <v>1865</v>
      </c>
      <c r="D478" s="14" t="s">
        <v>1749</v>
      </c>
      <c r="E478" s="14" t="s">
        <v>1746</v>
      </c>
      <c r="F478" s="25">
        <v>19968</v>
      </c>
      <c r="G478" s="25">
        <v>13977.6</v>
      </c>
    </row>
    <row r="479" spans="1:7" ht="30" x14ac:dyDescent="0.25">
      <c r="A479" s="14" t="s">
        <v>1850</v>
      </c>
      <c r="B479" s="14" t="s">
        <v>39</v>
      </c>
      <c r="C479" s="15" t="s">
        <v>1854</v>
      </c>
      <c r="D479" s="14" t="s">
        <v>1745</v>
      </c>
      <c r="E479" s="14" t="s">
        <v>1747</v>
      </c>
      <c r="F479" s="25">
        <v>12000</v>
      </c>
      <c r="G479" s="25">
        <v>8400</v>
      </c>
    </row>
    <row r="480" spans="1:7" x14ac:dyDescent="0.25">
      <c r="A480" s="14" t="s">
        <v>1852</v>
      </c>
      <c r="B480" s="14">
        <v>13</v>
      </c>
      <c r="C480" s="15" t="s">
        <v>1863</v>
      </c>
      <c r="D480" s="14" t="s">
        <v>1745</v>
      </c>
      <c r="E480" s="14" t="s">
        <v>1746</v>
      </c>
      <c r="F480" s="25">
        <v>4193028</v>
      </c>
      <c r="G480" s="25">
        <v>2935120</v>
      </c>
    </row>
    <row r="481" spans="1:7" x14ac:dyDescent="0.25">
      <c r="A481" s="14" t="s">
        <v>1852</v>
      </c>
      <c r="B481" s="14" t="s">
        <v>417</v>
      </c>
      <c r="C481" s="15" t="s">
        <v>1868</v>
      </c>
      <c r="D481" s="14" t="s">
        <v>1745</v>
      </c>
      <c r="E481" s="14" t="s">
        <v>1747</v>
      </c>
      <c r="F481" s="25">
        <v>4342740</v>
      </c>
      <c r="G481" s="25">
        <v>3908466</v>
      </c>
    </row>
    <row r="482" spans="1:7" x14ac:dyDescent="0.25">
      <c r="A482" s="14" t="s">
        <v>1852</v>
      </c>
      <c r="B482" s="14" t="s">
        <v>195</v>
      </c>
      <c r="C482" s="15" t="s">
        <v>1988</v>
      </c>
      <c r="D482" s="14" t="s">
        <v>1745</v>
      </c>
      <c r="E482" s="14" t="s">
        <v>1747</v>
      </c>
      <c r="F482" s="25">
        <v>14475900</v>
      </c>
      <c r="G482" s="25">
        <v>10133130</v>
      </c>
    </row>
    <row r="483" spans="1:7" x14ac:dyDescent="0.25">
      <c r="A483" s="14" t="s">
        <v>1852</v>
      </c>
      <c r="B483" s="14" t="s">
        <v>1735</v>
      </c>
      <c r="C483" s="15" t="s">
        <v>1994</v>
      </c>
      <c r="D483" s="14" t="s">
        <v>1749</v>
      </c>
      <c r="E483" s="14" t="s">
        <v>1746</v>
      </c>
      <c r="F483" s="25">
        <v>119802</v>
      </c>
      <c r="G483" s="25">
        <v>107821.8</v>
      </c>
    </row>
    <row r="484" spans="1:7" x14ac:dyDescent="0.25">
      <c r="A484" s="14" t="s">
        <v>1852</v>
      </c>
      <c r="B484" s="14">
        <v>74</v>
      </c>
      <c r="C484" s="15" t="s">
        <v>1995</v>
      </c>
      <c r="D484" s="14" t="s">
        <v>1745</v>
      </c>
      <c r="E484" s="14" t="s">
        <v>1746</v>
      </c>
      <c r="F484" s="25">
        <v>9748746</v>
      </c>
      <c r="G484" s="25">
        <v>8773871</v>
      </c>
    </row>
    <row r="485" spans="1:7" x14ac:dyDescent="0.25">
      <c r="A485" s="14" t="s">
        <v>1852</v>
      </c>
      <c r="B485" s="14">
        <v>74</v>
      </c>
      <c r="C485" s="15" t="s">
        <v>1995</v>
      </c>
      <c r="D485" s="14" t="s">
        <v>1749</v>
      </c>
      <c r="E485" s="14" t="s">
        <v>1746</v>
      </c>
      <c r="F485" s="25">
        <v>928452</v>
      </c>
      <c r="G485" s="25">
        <v>835606.8</v>
      </c>
    </row>
    <row r="486" spans="1:7" x14ac:dyDescent="0.25">
      <c r="A486" s="14" t="s">
        <v>1852</v>
      </c>
      <c r="B486" s="14" t="s">
        <v>1976</v>
      </c>
      <c r="C486" s="15" t="s">
        <v>1977</v>
      </c>
      <c r="D486" s="14" t="s">
        <v>1745</v>
      </c>
      <c r="E486" s="14" t="s">
        <v>1746</v>
      </c>
      <c r="F486" s="25">
        <v>17872722</v>
      </c>
      <c r="G486" s="25">
        <v>12510905</v>
      </c>
    </row>
    <row r="487" spans="1:7" x14ac:dyDescent="0.25">
      <c r="A487" s="14" t="s">
        <v>1852</v>
      </c>
      <c r="B487" s="14">
        <v>87</v>
      </c>
      <c r="C487" s="15" t="s">
        <v>1867</v>
      </c>
      <c r="D487" s="14" t="s">
        <v>1749</v>
      </c>
      <c r="E487" s="14" t="s">
        <v>1746</v>
      </c>
      <c r="F487" s="25">
        <v>119802</v>
      </c>
      <c r="G487" s="25">
        <v>107821.8</v>
      </c>
    </row>
    <row r="488" spans="1:7" x14ac:dyDescent="0.25">
      <c r="A488" s="14" t="s">
        <v>1852</v>
      </c>
      <c r="B488" s="14">
        <v>89</v>
      </c>
      <c r="C488" s="15" t="s">
        <v>1912</v>
      </c>
      <c r="D488" s="14" t="s">
        <v>1745</v>
      </c>
      <c r="E488" s="14" t="s">
        <v>1746</v>
      </c>
      <c r="F488" s="25">
        <v>1677186</v>
      </c>
      <c r="G488" s="25">
        <v>1174030</v>
      </c>
    </row>
    <row r="489" spans="1:7" x14ac:dyDescent="0.25">
      <c r="A489" s="14" t="s">
        <v>1852</v>
      </c>
      <c r="B489" s="14" t="s">
        <v>1641</v>
      </c>
      <c r="C489" s="15" t="s">
        <v>1996</v>
      </c>
      <c r="D489" s="14" t="s">
        <v>1749</v>
      </c>
      <c r="E489" s="14" t="s">
        <v>1746</v>
      </c>
      <c r="F489" s="25">
        <v>14976</v>
      </c>
      <c r="G489" s="25">
        <v>13478.4</v>
      </c>
    </row>
    <row r="490" spans="1:7" x14ac:dyDescent="0.25">
      <c r="A490" s="14" t="s">
        <v>1850</v>
      </c>
      <c r="B490" s="14" t="s">
        <v>36</v>
      </c>
      <c r="C490" s="15" t="s">
        <v>1997</v>
      </c>
      <c r="D490" s="14" t="s">
        <v>1749</v>
      </c>
      <c r="E490" s="14" t="s">
        <v>1746</v>
      </c>
      <c r="F490" s="25">
        <v>8388</v>
      </c>
      <c r="G490" s="25">
        <v>7549.2</v>
      </c>
    </row>
    <row r="491" spans="1:7" x14ac:dyDescent="0.25">
      <c r="A491" s="14" t="s">
        <v>1852</v>
      </c>
      <c r="B491" s="14" t="s">
        <v>1628</v>
      </c>
      <c r="C491" s="15" t="s">
        <v>1990</v>
      </c>
      <c r="D491" s="14" t="s">
        <v>1749</v>
      </c>
      <c r="E491" s="14" t="s">
        <v>1746</v>
      </c>
      <c r="F491" s="25">
        <v>27456</v>
      </c>
      <c r="G491" s="25">
        <v>19219.2</v>
      </c>
    </row>
    <row r="492" spans="1:7" x14ac:dyDescent="0.25">
      <c r="A492" s="14" t="s">
        <v>1852</v>
      </c>
      <c r="B492" s="14">
        <v>12</v>
      </c>
      <c r="C492" s="15" t="s">
        <v>1998</v>
      </c>
      <c r="D492" s="14" t="s">
        <v>1745</v>
      </c>
      <c r="E492" s="14" t="s">
        <v>1746</v>
      </c>
      <c r="F492" s="25">
        <v>524097</v>
      </c>
      <c r="G492" s="25">
        <v>366868</v>
      </c>
    </row>
    <row r="493" spans="1:7" x14ac:dyDescent="0.25">
      <c r="A493" s="14" t="s">
        <v>1852</v>
      </c>
      <c r="B493" s="14" t="s">
        <v>29</v>
      </c>
      <c r="C493" s="15" t="s">
        <v>1943</v>
      </c>
      <c r="D493" s="14" t="s">
        <v>1749</v>
      </c>
      <c r="E493" s="14" t="s">
        <v>1746</v>
      </c>
      <c r="F493" s="25">
        <v>1447590</v>
      </c>
      <c r="G493" s="25">
        <v>1013313</v>
      </c>
    </row>
    <row r="494" spans="1:7" x14ac:dyDescent="0.25">
      <c r="A494" s="14" t="s">
        <v>1850</v>
      </c>
      <c r="B494" s="14">
        <v>2</v>
      </c>
      <c r="C494" s="15" t="s">
        <v>1948</v>
      </c>
      <c r="D494" s="14" t="s">
        <v>1745</v>
      </c>
      <c r="E494" s="14" t="s">
        <v>1746</v>
      </c>
      <c r="F494" s="25">
        <v>220122</v>
      </c>
      <c r="G494" s="25">
        <v>154085.4</v>
      </c>
    </row>
    <row r="495" spans="1:7" x14ac:dyDescent="0.25">
      <c r="A495" s="14" t="s">
        <v>1852</v>
      </c>
      <c r="B495" s="14" t="s">
        <v>1651</v>
      </c>
      <c r="C495" s="15" t="s">
        <v>1971</v>
      </c>
      <c r="D495" s="14" t="s">
        <v>1745</v>
      </c>
      <c r="E495" s="14" t="s">
        <v>1746</v>
      </c>
      <c r="F495" s="25">
        <v>209664</v>
      </c>
      <c r="G495" s="25">
        <v>146764.79999999999</v>
      </c>
    </row>
    <row r="496" spans="1:7" x14ac:dyDescent="0.25">
      <c r="A496" s="14" t="s">
        <v>1852</v>
      </c>
      <c r="B496" s="14" t="s">
        <v>401</v>
      </c>
      <c r="C496" s="15" t="s">
        <v>1999</v>
      </c>
      <c r="D496" s="14" t="s">
        <v>1749</v>
      </c>
      <c r="E496" s="14" t="s">
        <v>1746</v>
      </c>
      <c r="F496" s="25">
        <v>219636</v>
      </c>
      <c r="G496" s="25">
        <v>153745.20000000001</v>
      </c>
    </row>
    <row r="497" spans="1:7" x14ac:dyDescent="0.25">
      <c r="A497" s="14" t="s">
        <v>1852</v>
      </c>
      <c r="B497" s="14">
        <v>89</v>
      </c>
      <c r="C497" s="15" t="s">
        <v>1912</v>
      </c>
      <c r="D497" s="14" t="s">
        <v>1749</v>
      </c>
      <c r="E497" s="14" t="s">
        <v>1746</v>
      </c>
      <c r="F497" s="25">
        <v>159732</v>
      </c>
      <c r="G497" s="25">
        <v>111812.4</v>
      </c>
    </row>
    <row r="498" spans="1:7" x14ac:dyDescent="0.25">
      <c r="A498" s="14" t="s">
        <v>1852</v>
      </c>
      <c r="B498" s="14">
        <v>56</v>
      </c>
      <c r="C498" s="15" t="s">
        <v>1921</v>
      </c>
      <c r="D498" s="14" t="s">
        <v>1749</v>
      </c>
      <c r="E498" s="14" t="s">
        <v>1746</v>
      </c>
      <c r="F498" s="25">
        <v>1237938</v>
      </c>
      <c r="G498" s="25">
        <v>866556.6</v>
      </c>
    </row>
    <row r="499" spans="1:7" x14ac:dyDescent="0.25">
      <c r="A499" s="14" t="s">
        <v>1852</v>
      </c>
      <c r="B499" s="14" t="s">
        <v>118</v>
      </c>
      <c r="C499" s="15" t="s">
        <v>1862</v>
      </c>
      <c r="D499" s="14" t="s">
        <v>1745</v>
      </c>
      <c r="E499" s="14" t="s">
        <v>1747</v>
      </c>
      <c r="F499" s="25">
        <v>14475900</v>
      </c>
      <c r="G499" s="25">
        <v>10133130</v>
      </c>
    </row>
    <row r="500" spans="1:7" x14ac:dyDescent="0.25">
      <c r="A500" s="14" t="s">
        <v>1852</v>
      </c>
      <c r="B500" s="14">
        <v>59</v>
      </c>
      <c r="C500" s="15" t="s">
        <v>2000</v>
      </c>
      <c r="D500" s="14" t="s">
        <v>1745</v>
      </c>
      <c r="E500" s="14" t="s">
        <v>1747</v>
      </c>
      <c r="F500" s="25">
        <v>149760</v>
      </c>
      <c r="G500" s="25">
        <v>134784</v>
      </c>
    </row>
    <row r="501" spans="1:7" x14ac:dyDescent="0.25">
      <c r="A501" s="14" t="s">
        <v>1852</v>
      </c>
      <c r="B501" s="14" t="s">
        <v>1735</v>
      </c>
      <c r="C501" s="15" t="s">
        <v>1994</v>
      </c>
      <c r="D501" s="14" t="s">
        <v>1745</v>
      </c>
      <c r="E501" s="14" t="s">
        <v>1746</v>
      </c>
      <c r="F501" s="25">
        <v>1257921</v>
      </c>
      <c r="G501" s="25">
        <v>1132129</v>
      </c>
    </row>
    <row r="502" spans="1:7" x14ac:dyDescent="0.25">
      <c r="A502" s="14" t="s">
        <v>1852</v>
      </c>
      <c r="B502" s="14" t="s">
        <v>102</v>
      </c>
      <c r="C502" s="15" t="s">
        <v>2001</v>
      </c>
      <c r="D502" s="14" t="s">
        <v>1745</v>
      </c>
      <c r="E502" s="14" t="s">
        <v>1746</v>
      </c>
      <c r="F502" s="25">
        <v>15199695</v>
      </c>
      <c r="G502" s="25">
        <v>10639787</v>
      </c>
    </row>
    <row r="503" spans="1:7" x14ac:dyDescent="0.25">
      <c r="A503" s="14" t="s">
        <v>1852</v>
      </c>
      <c r="B503" s="14" t="s">
        <v>1900</v>
      </c>
      <c r="C503" s="15" t="s">
        <v>1901</v>
      </c>
      <c r="D503" s="14" t="s">
        <v>1749</v>
      </c>
      <c r="E503" s="14" t="s">
        <v>1746</v>
      </c>
      <c r="F503" s="25">
        <v>159732</v>
      </c>
      <c r="G503" s="25">
        <v>111812.4</v>
      </c>
    </row>
    <row r="504" spans="1:7" x14ac:dyDescent="0.25">
      <c r="A504" s="14" t="s">
        <v>1852</v>
      </c>
      <c r="B504" s="14" t="s">
        <v>401</v>
      </c>
      <c r="C504" s="15" t="s">
        <v>1999</v>
      </c>
      <c r="D504" s="14" t="s">
        <v>1745</v>
      </c>
      <c r="E504" s="14" t="s">
        <v>1746</v>
      </c>
      <c r="F504" s="25">
        <v>2306178</v>
      </c>
      <c r="G504" s="25">
        <v>1614325</v>
      </c>
    </row>
    <row r="505" spans="1:7" x14ac:dyDescent="0.25">
      <c r="A505" s="14" t="s">
        <v>1852</v>
      </c>
      <c r="B505" s="14" t="s">
        <v>1924</v>
      </c>
      <c r="C505" s="15" t="s">
        <v>1925</v>
      </c>
      <c r="D505" s="14" t="s">
        <v>1745</v>
      </c>
      <c r="E505" s="14" t="s">
        <v>1747</v>
      </c>
      <c r="F505" s="25">
        <v>274560</v>
      </c>
      <c r="G505" s="25">
        <v>192192</v>
      </c>
    </row>
    <row r="506" spans="1:7" x14ac:dyDescent="0.25">
      <c r="A506" s="14" t="s">
        <v>1852</v>
      </c>
      <c r="B506" s="14" t="s">
        <v>1735</v>
      </c>
      <c r="C506" s="15" t="s">
        <v>1994</v>
      </c>
      <c r="D506" s="14" t="s">
        <v>1745</v>
      </c>
      <c r="E506" s="14" t="s">
        <v>1747</v>
      </c>
      <c r="F506" s="25">
        <v>1198020</v>
      </c>
      <c r="G506" s="25">
        <v>1078218</v>
      </c>
    </row>
    <row r="507" spans="1:7" x14ac:dyDescent="0.25">
      <c r="A507" s="14" t="s">
        <v>1852</v>
      </c>
      <c r="B507" s="14">
        <v>68</v>
      </c>
      <c r="C507" s="15" t="s">
        <v>1871</v>
      </c>
      <c r="D507" s="14" t="s">
        <v>1745</v>
      </c>
      <c r="E507" s="14" t="s">
        <v>1746</v>
      </c>
      <c r="F507" s="25">
        <v>288288</v>
      </c>
      <c r="G507" s="25">
        <v>201801.60000000001</v>
      </c>
    </row>
    <row r="508" spans="1:7" x14ac:dyDescent="0.25">
      <c r="A508" s="14" t="s">
        <v>1852</v>
      </c>
      <c r="B508" s="14">
        <v>82</v>
      </c>
      <c r="C508" s="15" t="s">
        <v>2002</v>
      </c>
      <c r="D508" s="14" t="s">
        <v>1745</v>
      </c>
      <c r="E508" s="14" t="s">
        <v>1747</v>
      </c>
      <c r="F508" s="25">
        <v>2196360</v>
      </c>
      <c r="G508" s="25">
        <v>1537452</v>
      </c>
    </row>
    <row r="509" spans="1:7" ht="30" x14ac:dyDescent="0.25">
      <c r="A509" s="14" t="s">
        <v>1850</v>
      </c>
      <c r="B509" s="14" t="s">
        <v>50</v>
      </c>
      <c r="C509" s="15" t="s">
        <v>1947</v>
      </c>
      <c r="D509" s="14" t="s">
        <v>1745</v>
      </c>
      <c r="E509" s="14" t="s">
        <v>1747</v>
      </c>
      <c r="F509" s="25">
        <v>15000</v>
      </c>
      <c r="G509" s="25">
        <v>13500</v>
      </c>
    </row>
    <row r="510" spans="1:7" x14ac:dyDescent="0.25">
      <c r="A510" s="14" t="s">
        <v>1852</v>
      </c>
      <c r="B510" s="14">
        <v>51</v>
      </c>
      <c r="C510" s="15" t="s">
        <v>1960</v>
      </c>
      <c r="D510" s="14" t="s">
        <v>1749</v>
      </c>
      <c r="E510" s="14" t="s">
        <v>1746</v>
      </c>
      <c r="F510" s="25">
        <v>1237938</v>
      </c>
      <c r="G510" s="25">
        <v>866556.6</v>
      </c>
    </row>
    <row r="511" spans="1:7" x14ac:dyDescent="0.25">
      <c r="A511" s="14" t="s">
        <v>1852</v>
      </c>
      <c r="B511" s="14" t="s">
        <v>73</v>
      </c>
      <c r="C511" s="15" t="s">
        <v>2003</v>
      </c>
      <c r="D511" s="14" t="s">
        <v>1745</v>
      </c>
      <c r="E511" s="14" t="s">
        <v>1746</v>
      </c>
      <c r="F511" s="25">
        <v>524097</v>
      </c>
      <c r="G511" s="25">
        <v>366868</v>
      </c>
    </row>
    <row r="512" spans="1:7" x14ac:dyDescent="0.25">
      <c r="A512" s="14" t="s">
        <v>1852</v>
      </c>
      <c r="B512" s="14" t="s">
        <v>402</v>
      </c>
      <c r="C512" s="15" t="s">
        <v>1932</v>
      </c>
      <c r="D512" s="14" t="s">
        <v>1745</v>
      </c>
      <c r="E512" s="14" t="s">
        <v>1746</v>
      </c>
      <c r="F512" s="25">
        <v>8359848</v>
      </c>
      <c r="G512" s="25">
        <v>5851894</v>
      </c>
    </row>
    <row r="513" spans="1:7" x14ac:dyDescent="0.25">
      <c r="A513" s="14" t="s">
        <v>1852</v>
      </c>
      <c r="B513" s="14">
        <v>73</v>
      </c>
      <c r="C513" s="15" t="s">
        <v>1954</v>
      </c>
      <c r="D513" s="14" t="s">
        <v>1745</v>
      </c>
      <c r="E513" s="14" t="s">
        <v>1747</v>
      </c>
      <c r="F513" s="25">
        <v>12379380</v>
      </c>
      <c r="G513" s="25">
        <v>8665566</v>
      </c>
    </row>
    <row r="514" spans="1:7" x14ac:dyDescent="0.25">
      <c r="A514" s="14" t="s">
        <v>1852</v>
      </c>
      <c r="B514" s="14">
        <v>87</v>
      </c>
      <c r="C514" s="15" t="s">
        <v>1867</v>
      </c>
      <c r="D514" s="14" t="s">
        <v>1745</v>
      </c>
      <c r="E514" s="14" t="s">
        <v>1746</v>
      </c>
      <c r="F514" s="25">
        <v>1257921</v>
      </c>
      <c r="G514" s="25">
        <v>1132129</v>
      </c>
    </row>
    <row r="515" spans="1:7" x14ac:dyDescent="0.25">
      <c r="A515" s="14" t="s">
        <v>1852</v>
      </c>
      <c r="B515" s="14" t="s">
        <v>16</v>
      </c>
      <c r="C515" s="15" t="s">
        <v>1889</v>
      </c>
      <c r="D515" s="14" t="s">
        <v>1745</v>
      </c>
      <c r="E515" s="14" t="s">
        <v>1747</v>
      </c>
      <c r="F515" s="25">
        <v>499140</v>
      </c>
      <c r="G515" s="25">
        <v>349398</v>
      </c>
    </row>
    <row r="516" spans="1:7" x14ac:dyDescent="0.25">
      <c r="A516" s="14" t="s">
        <v>1852</v>
      </c>
      <c r="B516" s="14" t="s">
        <v>1945</v>
      </c>
      <c r="C516" s="15" t="s">
        <v>1946</v>
      </c>
      <c r="D516" s="14" t="s">
        <v>1749</v>
      </c>
      <c r="E516" s="14" t="s">
        <v>1746</v>
      </c>
      <c r="F516" s="25">
        <v>119802</v>
      </c>
      <c r="G516" s="25">
        <v>107821.8</v>
      </c>
    </row>
    <row r="517" spans="1:7" x14ac:dyDescent="0.25">
      <c r="A517" s="14" t="s">
        <v>1852</v>
      </c>
      <c r="B517" s="14" t="s">
        <v>89</v>
      </c>
      <c r="C517" s="15" t="s">
        <v>1929</v>
      </c>
      <c r="D517" s="14" t="s">
        <v>1745</v>
      </c>
      <c r="E517" s="14" t="s">
        <v>1747</v>
      </c>
      <c r="F517" s="25">
        <v>30948420</v>
      </c>
      <c r="G517" s="25">
        <v>21663894</v>
      </c>
    </row>
    <row r="518" spans="1:7" x14ac:dyDescent="0.25">
      <c r="A518" s="14" t="s">
        <v>1852</v>
      </c>
      <c r="B518" s="14" t="s">
        <v>34</v>
      </c>
      <c r="C518" s="15" t="s">
        <v>1915</v>
      </c>
      <c r="D518" s="14" t="s">
        <v>1745</v>
      </c>
      <c r="E518" s="14" t="s">
        <v>1747</v>
      </c>
      <c r="F518" s="25">
        <v>30948420</v>
      </c>
      <c r="G518" s="25">
        <v>21663894</v>
      </c>
    </row>
    <row r="519" spans="1:7" x14ac:dyDescent="0.25">
      <c r="A519" s="14" t="s">
        <v>1852</v>
      </c>
      <c r="B519" s="14">
        <v>57</v>
      </c>
      <c r="C519" s="15" t="s">
        <v>1914</v>
      </c>
      <c r="D519" s="14" t="s">
        <v>1749</v>
      </c>
      <c r="E519" s="14" t="s">
        <v>1746</v>
      </c>
      <c r="F519" s="25">
        <v>19968</v>
      </c>
      <c r="G519" s="25">
        <v>13977.6</v>
      </c>
    </row>
    <row r="520" spans="1:7" x14ac:dyDescent="0.25">
      <c r="A520" s="14" t="s">
        <v>1852</v>
      </c>
      <c r="B520" s="14">
        <v>14</v>
      </c>
      <c r="C520" s="15" t="s">
        <v>1989</v>
      </c>
      <c r="D520" s="14" t="s">
        <v>1745</v>
      </c>
      <c r="E520" s="14" t="s">
        <v>1747</v>
      </c>
      <c r="F520" s="25">
        <v>499140</v>
      </c>
      <c r="G520" s="25">
        <v>349398</v>
      </c>
    </row>
    <row r="521" spans="1:7" x14ac:dyDescent="0.25">
      <c r="A521" s="14" t="s">
        <v>1852</v>
      </c>
      <c r="B521" s="14">
        <v>75</v>
      </c>
      <c r="C521" s="15" t="s">
        <v>2004</v>
      </c>
      <c r="D521" s="14" t="s">
        <v>1749</v>
      </c>
      <c r="E521" s="14" t="s">
        <v>1746</v>
      </c>
      <c r="F521" s="25">
        <v>1702164</v>
      </c>
      <c r="G521" s="25">
        <v>1191515</v>
      </c>
    </row>
    <row r="522" spans="1:7" x14ac:dyDescent="0.25">
      <c r="A522" s="14" t="s">
        <v>1852</v>
      </c>
      <c r="B522" s="14">
        <v>53</v>
      </c>
      <c r="C522" s="15" t="s">
        <v>2005</v>
      </c>
      <c r="D522" s="14" t="s">
        <v>1745</v>
      </c>
      <c r="E522" s="14" t="s">
        <v>1747</v>
      </c>
      <c r="F522" s="25">
        <v>149760</v>
      </c>
      <c r="G522" s="25">
        <v>134784</v>
      </c>
    </row>
    <row r="523" spans="1:7" x14ac:dyDescent="0.25">
      <c r="A523" s="14" t="s">
        <v>1852</v>
      </c>
      <c r="B523" s="14" t="s">
        <v>1641</v>
      </c>
      <c r="C523" s="15" t="s">
        <v>1996</v>
      </c>
      <c r="D523" s="14" t="s">
        <v>1745</v>
      </c>
      <c r="E523" s="14" t="s">
        <v>1747</v>
      </c>
      <c r="F523" s="25">
        <v>149760</v>
      </c>
      <c r="G523" s="25">
        <v>134784</v>
      </c>
    </row>
    <row r="524" spans="1:7" x14ac:dyDescent="0.25">
      <c r="A524" s="14" t="s">
        <v>1852</v>
      </c>
      <c r="B524" s="14">
        <v>1</v>
      </c>
      <c r="C524" s="15" t="s">
        <v>1902</v>
      </c>
      <c r="D524" s="14" t="s">
        <v>1745</v>
      </c>
      <c r="E524" s="14" t="s">
        <v>1747</v>
      </c>
      <c r="F524" s="25">
        <v>3993360</v>
      </c>
      <c r="G524" s="25">
        <v>2795352</v>
      </c>
    </row>
    <row r="525" spans="1:7" x14ac:dyDescent="0.25">
      <c r="A525" s="14" t="s">
        <v>1852</v>
      </c>
      <c r="B525" s="14" t="s">
        <v>39</v>
      </c>
      <c r="C525" s="15" t="s">
        <v>1906</v>
      </c>
      <c r="D525" s="14" t="s">
        <v>1745</v>
      </c>
      <c r="E525" s="14" t="s">
        <v>1746</v>
      </c>
      <c r="F525" s="25">
        <v>15199695</v>
      </c>
      <c r="G525" s="25">
        <v>10639787</v>
      </c>
    </row>
    <row r="526" spans="1:7" x14ac:dyDescent="0.25">
      <c r="A526" s="14" t="s">
        <v>1852</v>
      </c>
      <c r="B526" s="14">
        <v>55</v>
      </c>
      <c r="C526" s="15" t="s">
        <v>2006</v>
      </c>
      <c r="D526" s="14" t="s">
        <v>1745</v>
      </c>
      <c r="E526" s="14" t="s">
        <v>1746</v>
      </c>
      <c r="F526" s="25">
        <v>17872722</v>
      </c>
      <c r="G526" s="25">
        <v>12510905</v>
      </c>
    </row>
    <row r="527" spans="1:7" x14ac:dyDescent="0.25">
      <c r="A527" s="14" t="s">
        <v>1852</v>
      </c>
      <c r="B527" s="14" t="s">
        <v>1991</v>
      </c>
      <c r="C527" s="15" t="s">
        <v>1992</v>
      </c>
      <c r="D527" s="14" t="s">
        <v>1745</v>
      </c>
      <c r="E527" s="14" t="s">
        <v>1746</v>
      </c>
      <c r="F527" s="25">
        <v>8359848</v>
      </c>
      <c r="G527" s="25">
        <v>5851894</v>
      </c>
    </row>
    <row r="528" spans="1:7" x14ac:dyDescent="0.25">
      <c r="A528" s="14" t="s">
        <v>1852</v>
      </c>
      <c r="B528" s="14" t="s">
        <v>122</v>
      </c>
      <c r="C528" s="15" t="s">
        <v>1917</v>
      </c>
      <c r="D528" s="14" t="s">
        <v>1745</v>
      </c>
      <c r="E528" s="14" t="s">
        <v>1747</v>
      </c>
      <c r="F528" s="25">
        <v>499140</v>
      </c>
      <c r="G528" s="25">
        <v>349398</v>
      </c>
    </row>
    <row r="529" spans="1:7" x14ac:dyDescent="0.25">
      <c r="A529" s="14" t="s">
        <v>1850</v>
      </c>
      <c r="B529" s="14" t="s">
        <v>36</v>
      </c>
      <c r="C529" s="15" t="s">
        <v>1997</v>
      </c>
      <c r="D529" s="14" t="s">
        <v>1745</v>
      </c>
      <c r="E529" s="14" t="s">
        <v>1746</v>
      </c>
      <c r="F529" s="25">
        <v>88074</v>
      </c>
      <c r="G529" s="25">
        <v>79266.600000000006</v>
      </c>
    </row>
    <row r="530" spans="1:7" x14ac:dyDescent="0.25">
      <c r="A530" s="14" t="s">
        <v>1852</v>
      </c>
      <c r="B530" s="14" t="s">
        <v>1569</v>
      </c>
      <c r="C530" s="15" t="s">
        <v>1897</v>
      </c>
      <c r="D530" s="14" t="s">
        <v>1745</v>
      </c>
      <c r="E530" s="14" t="s">
        <v>1747</v>
      </c>
      <c r="F530" s="25">
        <v>149760</v>
      </c>
      <c r="G530" s="25">
        <v>134784</v>
      </c>
    </row>
    <row r="531" spans="1:7" x14ac:dyDescent="0.25">
      <c r="A531" s="14" t="s">
        <v>1852</v>
      </c>
      <c r="B531" s="14" t="s">
        <v>1939</v>
      </c>
      <c r="C531" s="15" t="s">
        <v>1940</v>
      </c>
      <c r="D531" s="14" t="s">
        <v>1749</v>
      </c>
      <c r="E531" s="14" t="s">
        <v>1746</v>
      </c>
      <c r="F531" s="25">
        <v>119802</v>
      </c>
      <c r="G531" s="25">
        <v>107821.8</v>
      </c>
    </row>
    <row r="532" spans="1:7" x14ac:dyDescent="0.25">
      <c r="A532" s="14" t="s">
        <v>1852</v>
      </c>
      <c r="B532" s="14">
        <v>83</v>
      </c>
      <c r="C532" s="15" t="s">
        <v>1916</v>
      </c>
      <c r="D532" s="14" t="s">
        <v>1745</v>
      </c>
      <c r="E532" s="14" t="s">
        <v>1747</v>
      </c>
      <c r="F532" s="25">
        <v>7961760</v>
      </c>
      <c r="G532" s="25">
        <v>5573232</v>
      </c>
    </row>
    <row r="533" spans="1:7" x14ac:dyDescent="0.25">
      <c r="A533" s="14" t="s">
        <v>1852</v>
      </c>
      <c r="B533" s="14">
        <v>63</v>
      </c>
      <c r="C533" s="15" t="s">
        <v>1938</v>
      </c>
      <c r="D533" s="14" t="s">
        <v>1745</v>
      </c>
      <c r="E533" s="14" t="s">
        <v>1747</v>
      </c>
      <c r="F533" s="25">
        <v>149760</v>
      </c>
      <c r="G533" s="25">
        <v>134784</v>
      </c>
    </row>
    <row r="534" spans="1:7" x14ac:dyDescent="0.25">
      <c r="A534" s="14" t="s">
        <v>1852</v>
      </c>
      <c r="B534" s="14">
        <v>60</v>
      </c>
      <c r="C534" s="15" t="s">
        <v>2007</v>
      </c>
      <c r="D534" s="14" t="s">
        <v>1749</v>
      </c>
      <c r="E534" s="14" t="s">
        <v>1746</v>
      </c>
      <c r="F534" s="25">
        <v>27456</v>
      </c>
      <c r="G534" s="25">
        <v>19219.2</v>
      </c>
    </row>
    <row r="535" spans="1:7" x14ac:dyDescent="0.25">
      <c r="A535" s="14" t="s">
        <v>1852</v>
      </c>
      <c r="B535" s="14" t="s">
        <v>1649</v>
      </c>
      <c r="C535" s="15" t="s">
        <v>1931</v>
      </c>
      <c r="D535" s="14" t="s">
        <v>1749</v>
      </c>
      <c r="E535" s="14" t="s">
        <v>1746</v>
      </c>
      <c r="F535" s="25">
        <v>27456</v>
      </c>
      <c r="G535" s="25">
        <v>19219.2</v>
      </c>
    </row>
    <row r="536" spans="1:7" x14ac:dyDescent="0.25">
      <c r="A536" s="14" t="s">
        <v>1852</v>
      </c>
      <c r="B536" s="14" t="s">
        <v>1671</v>
      </c>
      <c r="C536" s="15" t="s">
        <v>1913</v>
      </c>
      <c r="D536" s="14" t="s">
        <v>1745</v>
      </c>
      <c r="E536" s="14" t="s">
        <v>1746</v>
      </c>
      <c r="F536" s="25">
        <v>157248</v>
      </c>
      <c r="G536" s="25">
        <v>141523.20000000001</v>
      </c>
    </row>
    <row r="537" spans="1:7" x14ac:dyDescent="0.25">
      <c r="A537" s="14" t="s">
        <v>1852</v>
      </c>
      <c r="B537" s="14" t="s">
        <v>650</v>
      </c>
      <c r="C537" s="15" t="s">
        <v>1975</v>
      </c>
      <c r="D537" s="14" t="s">
        <v>1745</v>
      </c>
      <c r="E537" s="14" t="s">
        <v>1747</v>
      </c>
      <c r="F537" s="25">
        <v>499140</v>
      </c>
      <c r="G537" s="25">
        <v>349398</v>
      </c>
    </row>
    <row r="538" spans="1:7" x14ac:dyDescent="0.25">
      <c r="A538" s="14" t="s">
        <v>1852</v>
      </c>
      <c r="B538" s="14">
        <v>78</v>
      </c>
      <c r="C538" s="15" t="s">
        <v>2008</v>
      </c>
      <c r="D538" s="14" t="s">
        <v>1749</v>
      </c>
      <c r="E538" s="14" t="s">
        <v>1746</v>
      </c>
      <c r="F538" s="25">
        <v>928452</v>
      </c>
      <c r="G538" s="25">
        <v>835606.8</v>
      </c>
    </row>
    <row r="539" spans="1:7" x14ac:dyDescent="0.25">
      <c r="A539" s="14" t="s">
        <v>1852</v>
      </c>
      <c r="B539" s="14" t="s">
        <v>1655</v>
      </c>
      <c r="C539" s="15" t="s">
        <v>1933</v>
      </c>
      <c r="D539" s="14" t="s">
        <v>1745</v>
      </c>
      <c r="E539" s="14" t="s">
        <v>1747</v>
      </c>
      <c r="F539" s="25">
        <v>199680</v>
      </c>
      <c r="G539" s="25">
        <v>139776</v>
      </c>
    </row>
    <row r="540" spans="1:7" x14ac:dyDescent="0.25">
      <c r="A540" s="14" t="s">
        <v>1852</v>
      </c>
      <c r="B540" s="14">
        <v>61</v>
      </c>
      <c r="C540" s="15" t="s">
        <v>1909</v>
      </c>
      <c r="D540" s="14" t="s">
        <v>1745</v>
      </c>
      <c r="E540" s="14" t="s">
        <v>1747</v>
      </c>
      <c r="F540" s="25">
        <v>199680</v>
      </c>
      <c r="G540" s="25">
        <v>139776</v>
      </c>
    </row>
    <row r="541" spans="1:7" x14ac:dyDescent="0.25">
      <c r="A541" s="14" t="s">
        <v>1852</v>
      </c>
      <c r="B541" s="14" t="s">
        <v>243</v>
      </c>
      <c r="C541" s="15" t="s">
        <v>1970</v>
      </c>
      <c r="D541" s="14" t="s">
        <v>1749</v>
      </c>
      <c r="E541" s="14" t="s">
        <v>1746</v>
      </c>
      <c r="F541" s="25">
        <v>49914</v>
      </c>
      <c r="G541" s="25">
        <v>34939.800000000003</v>
      </c>
    </row>
    <row r="542" spans="1:7" x14ac:dyDescent="0.25">
      <c r="A542" s="14" t="s">
        <v>1852</v>
      </c>
      <c r="B542" s="14" t="s">
        <v>1973</v>
      </c>
      <c r="C542" s="15" t="s">
        <v>1974</v>
      </c>
      <c r="D542" s="14" t="s">
        <v>1745</v>
      </c>
      <c r="E542" s="14" t="s">
        <v>1747</v>
      </c>
      <c r="F542" s="25">
        <v>9284520</v>
      </c>
      <c r="G542" s="25">
        <v>8356068</v>
      </c>
    </row>
    <row r="543" spans="1:7" x14ac:dyDescent="0.25">
      <c r="A543" s="14" t="s">
        <v>1852</v>
      </c>
      <c r="B543" s="14" t="s">
        <v>1708</v>
      </c>
      <c r="C543" s="15" t="s">
        <v>1860</v>
      </c>
      <c r="D543" s="14" t="s">
        <v>1745</v>
      </c>
      <c r="E543" s="14" t="s">
        <v>1747</v>
      </c>
      <c r="F543" s="25">
        <v>4342740</v>
      </c>
      <c r="G543" s="25">
        <v>3908466</v>
      </c>
    </row>
    <row r="544" spans="1:7" x14ac:dyDescent="0.25">
      <c r="A544" s="14" t="s">
        <v>1852</v>
      </c>
      <c r="B544" s="14">
        <v>81</v>
      </c>
      <c r="C544" s="15" t="s">
        <v>1986</v>
      </c>
      <c r="D544" s="14" t="s">
        <v>1745</v>
      </c>
      <c r="E544" s="14" t="s">
        <v>1746</v>
      </c>
      <c r="F544" s="25">
        <v>1677186</v>
      </c>
      <c r="G544" s="25">
        <v>1174030</v>
      </c>
    </row>
    <row r="545" spans="1:7" x14ac:dyDescent="0.25">
      <c r="A545" s="14" t="s">
        <v>1852</v>
      </c>
      <c r="B545" s="14" t="s">
        <v>1679</v>
      </c>
      <c r="C545" s="15" t="s">
        <v>2009</v>
      </c>
      <c r="D545" s="14" t="s">
        <v>1749</v>
      </c>
      <c r="E545" s="14" t="s">
        <v>1746</v>
      </c>
      <c r="F545" s="25">
        <v>19968</v>
      </c>
      <c r="G545" s="25">
        <v>13977.6</v>
      </c>
    </row>
    <row r="546" spans="1:7" x14ac:dyDescent="0.25">
      <c r="A546" s="14" t="s">
        <v>1852</v>
      </c>
      <c r="B546" s="14" t="s">
        <v>1630</v>
      </c>
      <c r="C546" s="15" t="s">
        <v>2010</v>
      </c>
      <c r="D546" s="14" t="s">
        <v>1749</v>
      </c>
      <c r="E546" s="14" t="s">
        <v>1746</v>
      </c>
      <c r="F546" s="25">
        <v>159732</v>
      </c>
      <c r="G546" s="25">
        <v>111812.4</v>
      </c>
    </row>
    <row r="547" spans="1:7" x14ac:dyDescent="0.25">
      <c r="A547" s="14" t="s">
        <v>1852</v>
      </c>
      <c r="B547" s="14">
        <v>2</v>
      </c>
      <c r="C547" s="15" t="s">
        <v>2011</v>
      </c>
      <c r="D547" s="14" t="s">
        <v>1745</v>
      </c>
      <c r="E547" s="14" t="s">
        <v>1747</v>
      </c>
      <c r="F547" s="25">
        <v>3993360</v>
      </c>
      <c r="G547" s="25">
        <v>2795352</v>
      </c>
    </row>
    <row r="548" spans="1:7" x14ac:dyDescent="0.25">
      <c r="A548" s="14" t="s">
        <v>1852</v>
      </c>
      <c r="B548" s="14" t="s">
        <v>1941</v>
      </c>
      <c r="C548" s="15" t="s">
        <v>1942</v>
      </c>
      <c r="D548" s="14" t="s">
        <v>1745</v>
      </c>
      <c r="E548" s="14" t="s">
        <v>1746</v>
      </c>
      <c r="F548" s="25">
        <v>1677186</v>
      </c>
      <c r="G548" s="25">
        <v>1174030</v>
      </c>
    </row>
    <row r="549" spans="1:7" x14ac:dyDescent="0.25">
      <c r="A549" s="14" t="s">
        <v>1852</v>
      </c>
      <c r="B549" s="14" t="s">
        <v>2012</v>
      </c>
      <c r="C549" s="15" t="s">
        <v>2013</v>
      </c>
      <c r="D549" s="14" t="s">
        <v>1745</v>
      </c>
      <c r="E549" s="14" t="s">
        <v>1747</v>
      </c>
      <c r="F549" s="25">
        <v>2196360</v>
      </c>
      <c r="G549" s="25">
        <v>1537452</v>
      </c>
    </row>
    <row r="550" spans="1:7" x14ac:dyDescent="0.25">
      <c r="A550" s="14" t="s">
        <v>1852</v>
      </c>
      <c r="B550" s="14" t="s">
        <v>2012</v>
      </c>
      <c r="C550" s="15" t="s">
        <v>2013</v>
      </c>
      <c r="D550" s="14" t="s">
        <v>1745</v>
      </c>
      <c r="E550" s="14" t="s">
        <v>1746</v>
      </c>
      <c r="F550" s="25">
        <v>2306178</v>
      </c>
      <c r="G550" s="25">
        <v>1614325</v>
      </c>
    </row>
    <row r="551" spans="1:7" x14ac:dyDescent="0.25">
      <c r="A551" s="14" t="s">
        <v>1852</v>
      </c>
      <c r="B551" s="14" t="s">
        <v>1669</v>
      </c>
      <c r="C551" s="15" t="s">
        <v>1879</v>
      </c>
      <c r="D551" s="14" t="s">
        <v>1745</v>
      </c>
      <c r="E551" s="14" t="s">
        <v>1747</v>
      </c>
      <c r="F551" s="25">
        <v>199680</v>
      </c>
      <c r="G551" s="25">
        <v>139776</v>
      </c>
    </row>
    <row r="552" spans="1:7" x14ac:dyDescent="0.25">
      <c r="A552" s="14" t="s">
        <v>1852</v>
      </c>
      <c r="B552" s="14">
        <v>4</v>
      </c>
      <c r="C552" s="15" t="s">
        <v>1886</v>
      </c>
      <c r="D552" s="14" t="s">
        <v>1745</v>
      </c>
      <c r="E552" s="14" t="s">
        <v>1746</v>
      </c>
      <c r="F552" s="25">
        <v>524097</v>
      </c>
      <c r="G552" s="25">
        <v>366868</v>
      </c>
    </row>
    <row r="553" spans="1:7" x14ac:dyDescent="0.25">
      <c r="A553" s="14" t="s">
        <v>1852</v>
      </c>
      <c r="B553" s="14" t="s">
        <v>102</v>
      </c>
      <c r="C553" s="15" t="s">
        <v>2001</v>
      </c>
      <c r="D553" s="14" t="s">
        <v>1745</v>
      </c>
      <c r="E553" s="14" t="s">
        <v>1747</v>
      </c>
      <c r="F553" s="25">
        <v>14475900</v>
      </c>
      <c r="G553" s="25">
        <v>10133130</v>
      </c>
    </row>
    <row r="554" spans="1:7" x14ac:dyDescent="0.25">
      <c r="A554" s="14" t="s">
        <v>1852</v>
      </c>
      <c r="B554" s="14">
        <v>2</v>
      </c>
      <c r="C554" s="15" t="s">
        <v>2011</v>
      </c>
      <c r="D554" s="14" t="s">
        <v>1745</v>
      </c>
      <c r="E554" s="14" t="s">
        <v>1746</v>
      </c>
      <c r="F554" s="25">
        <v>4193028</v>
      </c>
      <c r="G554" s="25">
        <v>2935120</v>
      </c>
    </row>
    <row r="555" spans="1:7" x14ac:dyDescent="0.25">
      <c r="A555" s="14" t="s">
        <v>1852</v>
      </c>
      <c r="B555" s="14" t="s">
        <v>401</v>
      </c>
      <c r="C555" s="15" t="s">
        <v>1999</v>
      </c>
      <c r="D555" s="14" t="s">
        <v>1745</v>
      </c>
      <c r="E555" s="14" t="s">
        <v>1747</v>
      </c>
      <c r="F555" s="25">
        <v>2196360</v>
      </c>
      <c r="G555" s="25">
        <v>1537452</v>
      </c>
    </row>
    <row r="556" spans="1:7" x14ac:dyDescent="0.25">
      <c r="A556" s="14" t="s">
        <v>1852</v>
      </c>
      <c r="B556" s="14" t="s">
        <v>1583</v>
      </c>
      <c r="C556" s="15" t="s">
        <v>1861</v>
      </c>
      <c r="D556" s="14" t="s">
        <v>1745</v>
      </c>
      <c r="E556" s="14" t="s">
        <v>1746</v>
      </c>
      <c r="F556" s="25">
        <v>12998349</v>
      </c>
      <c r="G556" s="25">
        <v>9098844</v>
      </c>
    </row>
    <row r="557" spans="1:7" x14ac:dyDescent="0.25">
      <c r="A557" s="14" t="s">
        <v>1852</v>
      </c>
      <c r="B557" s="14" t="s">
        <v>1550</v>
      </c>
      <c r="C557" s="15" t="s">
        <v>1920</v>
      </c>
      <c r="D557" s="14" t="s">
        <v>1745</v>
      </c>
      <c r="E557" s="14" t="s">
        <v>1746</v>
      </c>
      <c r="F557" s="25">
        <v>157248</v>
      </c>
      <c r="G557" s="25">
        <v>141523.20000000001</v>
      </c>
    </row>
    <row r="558" spans="1:7" x14ac:dyDescent="0.25">
      <c r="A558" s="14" t="s">
        <v>1852</v>
      </c>
      <c r="B558" s="14" t="s">
        <v>1881</v>
      </c>
      <c r="C558" s="15" t="s">
        <v>1882</v>
      </c>
      <c r="D558" s="14" t="s">
        <v>1745</v>
      </c>
      <c r="E558" s="14" t="s">
        <v>1747</v>
      </c>
      <c r="F558" s="25">
        <v>274560</v>
      </c>
      <c r="G558" s="25">
        <v>192192</v>
      </c>
    </row>
    <row r="559" spans="1:7" x14ac:dyDescent="0.25">
      <c r="A559" s="14" t="s">
        <v>1852</v>
      </c>
      <c r="B559" s="14" t="s">
        <v>32</v>
      </c>
      <c r="C559" s="15" t="s">
        <v>1895</v>
      </c>
      <c r="D559" s="14" t="s">
        <v>1749</v>
      </c>
      <c r="E559" s="14" t="s">
        <v>1746</v>
      </c>
      <c r="F559" s="25">
        <v>49914</v>
      </c>
      <c r="G559" s="25">
        <v>34939.800000000003</v>
      </c>
    </row>
    <row r="560" spans="1:7" x14ac:dyDescent="0.25">
      <c r="A560" s="14" t="s">
        <v>1852</v>
      </c>
      <c r="B560" s="14">
        <v>58</v>
      </c>
      <c r="C560" s="15" t="s">
        <v>1955</v>
      </c>
      <c r="D560" s="14" t="s">
        <v>1749</v>
      </c>
      <c r="E560" s="14" t="s">
        <v>1746</v>
      </c>
      <c r="F560" s="25">
        <v>27456</v>
      </c>
      <c r="G560" s="25">
        <v>19219.2</v>
      </c>
    </row>
    <row r="561" spans="1:7" x14ac:dyDescent="0.25">
      <c r="A561" s="14" t="s">
        <v>1852</v>
      </c>
      <c r="B561" s="14" t="s">
        <v>1957</v>
      </c>
      <c r="C561" s="15" t="s">
        <v>1958</v>
      </c>
      <c r="D561" s="14" t="s">
        <v>1745</v>
      </c>
      <c r="E561" s="14" t="s">
        <v>1747</v>
      </c>
      <c r="F561" s="25">
        <v>199680</v>
      </c>
      <c r="G561" s="25">
        <v>139776</v>
      </c>
    </row>
    <row r="562" spans="1:7" x14ac:dyDescent="0.25">
      <c r="A562" s="14" t="s">
        <v>1852</v>
      </c>
      <c r="B562" s="14" t="s">
        <v>1607</v>
      </c>
      <c r="C562" s="15" t="s">
        <v>2014</v>
      </c>
      <c r="D562" s="14" t="s">
        <v>1745</v>
      </c>
      <c r="E562" s="14" t="s">
        <v>1747</v>
      </c>
      <c r="F562" s="25">
        <v>199680</v>
      </c>
      <c r="G562" s="25">
        <v>139776</v>
      </c>
    </row>
    <row r="563" spans="1:7" x14ac:dyDescent="0.25">
      <c r="A563" s="14" t="s">
        <v>1852</v>
      </c>
      <c r="B563" s="14" t="s">
        <v>1607</v>
      </c>
      <c r="C563" s="15" t="s">
        <v>2014</v>
      </c>
      <c r="D563" s="14" t="s">
        <v>1745</v>
      </c>
      <c r="E563" s="14" t="s">
        <v>1746</v>
      </c>
      <c r="F563" s="25">
        <v>209664</v>
      </c>
      <c r="G563" s="25">
        <v>146764.79999999999</v>
      </c>
    </row>
    <row r="564" spans="1:7" x14ac:dyDescent="0.25">
      <c r="A564" s="14" t="s">
        <v>1852</v>
      </c>
      <c r="B564" s="14">
        <v>78</v>
      </c>
      <c r="C564" s="15" t="s">
        <v>2008</v>
      </c>
      <c r="D564" s="14" t="s">
        <v>1745</v>
      </c>
      <c r="E564" s="14" t="s">
        <v>1746</v>
      </c>
      <c r="F564" s="25">
        <v>9748746</v>
      </c>
      <c r="G564" s="25">
        <v>8773871</v>
      </c>
    </row>
    <row r="565" spans="1:7" x14ac:dyDescent="0.25">
      <c r="A565" s="14" t="s">
        <v>1852</v>
      </c>
      <c r="B565" s="14" t="s">
        <v>89</v>
      </c>
      <c r="C565" s="15" t="s">
        <v>1929</v>
      </c>
      <c r="D565" s="14" t="s">
        <v>1745</v>
      </c>
      <c r="E565" s="14" t="s">
        <v>1746</v>
      </c>
      <c r="F565" s="25">
        <v>32495841</v>
      </c>
      <c r="G565" s="25">
        <v>22747089</v>
      </c>
    </row>
    <row r="566" spans="1:7" x14ac:dyDescent="0.25">
      <c r="A566" s="14" t="s">
        <v>1852</v>
      </c>
      <c r="B566" s="14" t="s">
        <v>243</v>
      </c>
      <c r="C566" s="15" t="s">
        <v>1970</v>
      </c>
      <c r="D566" s="14" t="s">
        <v>1745</v>
      </c>
      <c r="E566" s="14" t="s">
        <v>1746</v>
      </c>
      <c r="F566" s="25">
        <v>524097</v>
      </c>
      <c r="G566" s="25">
        <v>366868</v>
      </c>
    </row>
    <row r="567" spans="1:7" x14ac:dyDescent="0.25">
      <c r="A567" s="14" t="s">
        <v>1852</v>
      </c>
      <c r="B567" s="14">
        <v>86</v>
      </c>
      <c r="C567" s="15" t="s">
        <v>2015</v>
      </c>
      <c r="D567" s="14" t="s">
        <v>1745</v>
      </c>
      <c r="E567" s="14" t="s">
        <v>1747</v>
      </c>
      <c r="F567" s="25">
        <v>1597320</v>
      </c>
      <c r="G567" s="25">
        <v>1118124</v>
      </c>
    </row>
    <row r="568" spans="1:7" x14ac:dyDescent="0.25">
      <c r="A568" s="14" t="s">
        <v>1852</v>
      </c>
      <c r="B568" s="14">
        <v>58</v>
      </c>
      <c r="C568" s="15" t="s">
        <v>1955</v>
      </c>
      <c r="D568" s="14" t="s">
        <v>1745</v>
      </c>
      <c r="E568" s="14" t="s">
        <v>1747</v>
      </c>
      <c r="F568" s="25">
        <v>274560</v>
      </c>
      <c r="G568" s="25">
        <v>192192</v>
      </c>
    </row>
    <row r="569" spans="1:7" x14ac:dyDescent="0.25">
      <c r="A569" s="14" t="s">
        <v>1852</v>
      </c>
      <c r="B569" s="14" t="s">
        <v>1632</v>
      </c>
      <c r="C569" s="15" t="s">
        <v>1987</v>
      </c>
      <c r="D569" s="14" t="s">
        <v>1745</v>
      </c>
      <c r="E569" s="14" t="s">
        <v>1746</v>
      </c>
      <c r="F569" s="25">
        <v>157248</v>
      </c>
      <c r="G569" s="25">
        <v>141523.20000000001</v>
      </c>
    </row>
    <row r="570" spans="1:7" x14ac:dyDescent="0.25">
      <c r="A570" s="14" t="s">
        <v>1852</v>
      </c>
      <c r="B570" s="14" t="s">
        <v>1564</v>
      </c>
      <c r="C570" s="15" t="s">
        <v>1936</v>
      </c>
      <c r="D570" s="14" t="s">
        <v>1749</v>
      </c>
      <c r="E570" s="14" t="s">
        <v>1746</v>
      </c>
      <c r="F570" s="25">
        <v>27456</v>
      </c>
      <c r="G570" s="25">
        <v>19219.2</v>
      </c>
    </row>
    <row r="571" spans="1:7" x14ac:dyDescent="0.25">
      <c r="A571" s="14" t="s">
        <v>1852</v>
      </c>
      <c r="B571" s="14" t="s">
        <v>29</v>
      </c>
      <c r="C571" s="15" t="s">
        <v>1943</v>
      </c>
      <c r="D571" s="14" t="s">
        <v>1745</v>
      </c>
      <c r="E571" s="14" t="s">
        <v>1747</v>
      </c>
      <c r="F571" s="25">
        <v>14475900</v>
      </c>
      <c r="G571" s="25">
        <v>10133130</v>
      </c>
    </row>
    <row r="572" spans="1:7" x14ac:dyDescent="0.25">
      <c r="A572" s="14" t="s">
        <v>1852</v>
      </c>
      <c r="B572" s="14">
        <v>64</v>
      </c>
      <c r="C572" s="15" t="s">
        <v>1865</v>
      </c>
      <c r="D572" s="14" t="s">
        <v>1745</v>
      </c>
      <c r="E572" s="14" t="s">
        <v>1747</v>
      </c>
      <c r="F572" s="25">
        <v>199680</v>
      </c>
      <c r="G572" s="25">
        <v>139776</v>
      </c>
    </row>
    <row r="573" spans="1:7" x14ac:dyDescent="0.25">
      <c r="A573" s="14" t="s">
        <v>1850</v>
      </c>
      <c r="B573" s="14">
        <v>1</v>
      </c>
      <c r="C573" s="15" t="s">
        <v>1851</v>
      </c>
      <c r="D573" s="14" t="s">
        <v>1752</v>
      </c>
      <c r="E573" s="14" t="s">
        <v>1747</v>
      </c>
      <c r="F573" s="25">
        <v>89820</v>
      </c>
      <c r="G573" s="25">
        <v>62874</v>
      </c>
    </row>
    <row r="574" spans="1:7" x14ac:dyDescent="0.25">
      <c r="A574" s="14" t="s">
        <v>1852</v>
      </c>
      <c r="B574" s="14" t="s">
        <v>1607</v>
      </c>
      <c r="C574" s="15" t="s">
        <v>2014</v>
      </c>
      <c r="D574" s="14" t="s">
        <v>1749</v>
      </c>
      <c r="E574" s="14" t="s">
        <v>1746</v>
      </c>
      <c r="F574" s="25">
        <v>19968</v>
      </c>
      <c r="G574" s="25">
        <v>13977.6</v>
      </c>
    </row>
    <row r="575" spans="1:7" x14ac:dyDescent="0.25">
      <c r="A575" s="14" t="s">
        <v>1852</v>
      </c>
      <c r="B575" s="14">
        <v>62</v>
      </c>
      <c r="C575" s="15" t="s">
        <v>1894</v>
      </c>
      <c r="D575" s="14" t="s">
        <v>1745</v>
      </c>
      <c r="E575" s="14" t="s">
        <v>1746</v>
      </c>
      <c r="F575" s="25">
        <v>288288</v>
      </c>
      <c r="G575" s="25">
        <v>201801.60000000001</v>
      </c>
    </row>
    <row r="576" spans="1:7" x14ac:dyDescent="0.25">
      <c r="A576" s="14" t="s">
        <v>1852</v>
      </c>
      <c r="B576" s="14" t="s">
        <v>2012</v>
      </c>
      <c r="C576" s="15" t="s">
        <v>2013</v>
      </c>
      <c r="D576" s="14" t="s">
        <v>1749</v>
      </c>
      <c r="E576" s="14" t="s">
        <v>1746</v>
      </c>
      <c r="F576" s="25">
        <v>219636</v>
      </c>
      <c r="G576" s="25">
        <v>153745.20000000001</v>
      </c>
    </row>
    <row r="577" spans="1:7" x14ac:dyDescent="0.25">
      <c r="A577" s="14" t="s">
        <v>1852</v>
      </c>
      <c r="B577" s="14" t="s">
        <v>1679</v>
      </c>
      <c r="C577" s="15" t="s">
        <v>2009</v>
      </c>
      <c r="D577" s="14" t="s">
        <v>1745</v>
      </c>
      <c r="E577" s="14" t="s">
        <v>1747</v>
      </c>
      <c r="F577" s="25">
        <v>199680</v>
      </c>
      <c r="G577" s="25">
        <v>139776</v>
      </c>
    </row>
    <row r="578" spans="1:7" x14ac:dyDescent="0.25">
      <c r="A578" s="14" t="s">
        <v>1852</v>
      </c>
      <c r="B578" s="14" t="s">
        <v>405</v>
      </c>
      <c r="C578" s="15" t="s">
        <v>1965</v>
      </c>
      <c r="D578" s="14" t="s">
        <v>1745</v>
      </c>
      <c r="E578" s="14" t="s">
        <v>1746</v>
      </c>
      <c r="F578" s="25">
        <v>8359848</v>
      </c>
      <c r="G578" s="25">
        <v>5851894</v>
      </c>
    </row>
    <row r="579" spans="1:7" x14ac:dyDescent="0.25">
      <c r="A579" s="14" t="s">
        <v>1852</v>
      </c>
      <c r="B579" s="14" t="s">
        <v>1945</v>
      </c>
      <c r="C579" s="15" t="s">
        <v>1946</v>
      </c>
      <c r="D579" s="14" t="s">
        <v>1745</v>
      </c>
      <c r="E579" s="14" t="s">
        <v>1747</v>
      </c>
      <c r="F579" s="25">
        <v>1198020</v>
      </c>
      <c r="G579" s="25">
        <v>1078218</v>
      </c>
    </row>
    <row r="580" spans="1:7" x14ac:dyDescent="0.25">
      <c r="A580" s="14" t="s">
        <v>1852</v>
      </c>
      <c r="B580" s="14">
        <v>11</v>
      </c>
      <c r="C580" s="15" t="s">
        <v>1903</v>
      </c>
      <c r="D580" s="14" t="s">
        <v>1745</v>
      </c>
      <c r="E580" s="14" t="s">
        <v>1747</v>
      </c>
      <c r="F580" s="25">
        <v>3993360</v>
      </c>
      <c r="G580" s="25">
        <v>2795352</v>
      </c>
    </row>
    <row r="581" spans="1:7" x14ac:dyDescent="0.25">
      <c r="A581" s="14" t="s">
        <v>1852</v>
      </c>
      <c r="B581" s="14">
        <v>15</v>
      </c>
      <c r="C581" s="15" t="s">
        <v>2016</v>
      </c>
      <c r="D581" s="14" t="s">
        <v>1745</v>
      </c>
      <c r="E581" s="14" t="s">
        <v>1746</v>
      </c>
      <c r="F581" s="25">
        <v>524097</v>
      </c>
      <c r="G581" s="25">
        <v>366868</v>
      </c>
    </row>
    <row r="582" spans="1:7" x14ac:dyDescent="0.25">
      <c r="A582" s="14" t="s">
        <v>1850</v>
      </c>
      <c r="B582" s="14" t="s">
        <v>29</v>
      </c>
      <c r="C582" s="15" t="s">
        <v>2017</v>
      </c>
      <c r="D582" s="14" t="s">
        <v>1745</v>
      </c>
      <c r="E582" s="14" t="s">
        <v>1746</v>
      </c>
      <c r="F582" s="25">
        <v>121086</v>
      </c>
      <c r="G582" s="25">
        <v>84760.2</v>
      </c>
    </row>
    <row r="583" spans="1:7" x14ac:dyDescent="0.25">
      <c r="A583" s="14" t="s">
        <v>1852</v>
      </c>
      <c r="B583" s="14" t="s">
        <v>1973</v>
      </c>
      <c r="C583" s="15" t="s">
        <v>1974</v>
      </c>
      <c r="D583" s="14" t="s">
        <v>1745</v>
      </c>
      <c r="E583" s="14" t="s">
        <v>1746</v>
      </c>
      <c r="F583" s="25">
        <v>9748746</v>
      </c>
      <c r="G583" s="25">
        <v>8773871</v>
      </c>
    </row>
    <row r="584" spans="1:7" x14ac:dyDescent="0.25">
      <c r="A584" s="14" t="s">
        <v>1850</v>
      </c>
      <c r="B584" s="14">
        <v>2</v>
      </c>
      <c r="C584" s="15" t="s">
        <v>1948</v>
      </c>
      <c r="D584" s="14" t="s">
        <v>1752</v>
      </c>
      <c r="E584" s="14" t="s">
        <v>1747</v>
      </c>
      <c r="F584" s="25">
        <v>628920</v>
      </c>
      <c r="G584" s="25">
        <v>440244</v>
      </c>
    </row>
    <row r="585" spans="1:7" x14ac:dyDescent="0.25">
      <c r="A585" s="14" t="s">
        <v>1852</v>
      </c>
      <c r="B585" s="14" t="s">
        <v>1555</v>
      </c>
      <c r="C585" s="15" t="s">
        <v>2018</v>
      </c>
      <c r="D585" s="14" t="s">
        <v>1749</v>
      </c>
      <c r="E585" s="14" t="s">
        <v>1746</v>
      </c>
      <c r="F585" s="25">
        <v>19968</v>
      </c>
      <c r="G585" s="25">
        <v>13977.6</v>
      </c>
    </row>
    <row r="586" spans="1:7" x14ac:dyDescent="0.25">
      <c r="A586" s="14" t="s">
        <v>1852</v>
      </c>
      <c r="B586" s="14" t="s">
        <v>2019</v>
      </c>
      <c r="C586" s="15" t="s">
        <v>2020</v>
      </c>
      <c r="D586" s="14" t="s">
        <v>1749</v>
      </c>
      <c r="E586" s="14" t="s">
        <v>1746</v>
      </c>
      <c r="F586" s="25">
        <v>19968</v>
      </c>
      <c r="G586" s="25">
        <v>13977.6</v>
      </c>
    </row>
    <row r="587" spans="1:7" x14ac:dyDescent="0.25">
      <c r="A587" s="14" t="s">
        <v>1852</v>
      </c>
      <c r="B587" s="14">
        <v>84</v>
      </c>
      <c r="C587" s="15" t="s">
        <v>1874</v>
      </c>
      <c r="D587" s="14" t="s">
        <v>1745</v>
      </c>
      <c r="E587" s="14" t="s">
        <v>1747</v>
      </c>
      <c r="F587" s="25">
        <v>1198020</v>
      </c>
      <c r="G587" s="25">
        <v>1078218</v>
      </c>
    </row>
    <row r="588" spans="1:7" x14ac:dyDescent="0.25">
      <c r="A588" s="14" t="s">
        <v>1852</v>
      </c>
      <c r="B588" s="14">
        <v>70</v>
      </c>
      <c r="C588" s="15" t="s">
        <v>1953</v>
      </c>
      <c r="D588" s="14" t="s">
        <v>1745</v>
      </c>
      <c r="E588" s="14" t="s">
        <v>1747</v>
      </c>
      <c r="F588" s="25">
        <v>149760</v>
      </c>
      <c r="G588" s="25">
        <v>134784</v>
      </c>
    </row>
    <row r="589" spans="1:7" x14ac:dyDescent="0.25">
      <c r="A589" s="14" t="s">
        <v>1852</v>
      </c>
      <c r="B589" s="14">
        <v>59</v>
      </c>
      <c r="C589" s="15" t="s">
        <v>2000</v>
      </c>
      <c r="D589" s="14" t="s">
        <v>1745</v>
      </c>
      <c r="E589" s="14" t="s">
        <v>1746</v>
      </c>
      <c r="F589" s="25">
        <v>157248</v>
      </c>
      <c r="G589" s="25">
        <v>141523.20000000001</v>
      </c>
    </row>
    <row r="590" spans="1:7" x14ac:dyDescent="0.25">
      <c r="A590" s="14" t="s">
        <v>1852</v>
      </c>
      <c r="B590" s="14" t="s">
        <v>2019</v>
      </c>
      <c r="C590" s="15" t="s">
        <v>2020</v>
      </c>
      <c r="D590" s="14" t="s">
        <v>1745</v>
      </c>
      <c r="E590" s="14" t="s">
        <v>1746</v>
      </c>
      <c r="F590" s="25">
        <v>209664</v>
      </c>
      <c r="G590" s="25">
        <v>146764.79999999999</v>
      </c>
    </row>
    <row r="591" spans="1:7" x14ac:dyDescent="0.25">
      <c r="A591" s="14" t="s">
        <v>1852</v>
      </c>
      <c r="B591" s="14">
        <v>86</v>
      </c>
      <c r="C591" s="15" t="s">
        <v>2015</v>
      </c>
      <c r="D591" s="14" t="s">
        <v>1745</v>
      </c>
      <c r="E591" s="14" t="s">
        <v>1746</v>
      </c>
      <c r="F591" s="25">
        <v>1677186</v>
      </c>
      <c r="G591" s="25">
        <v>1174030</v>
      </c>
    </row>
    <row r="592" spans="1:7" x14ac:dyDescent="0.25">
      <c r="A592" s="14" t="s">
        <v>1852</v>
      </c>
      <c r="B592" s="14" t="s">
        <v>1630</v>
      </c>
      <c r="C592" s="15" t="s">
        <v>2010</v>
      </c>
      <c r="D592" s="14" t="s">
        <v>1745</v>
      </c>
      <c r="E592" s="14" t="s">
        <v>1746</v>
      </c>
      <c r="F592" s="25">
        <v>1677186</v>
      </c>
      <c r="G592" s="25">
        <v>1174030</v>
      </c>
    </row>
    <row r="593" spans="1:7" x14ac:dyDescent="0.25">
      <c r="A593" s="14" t="s">
        <v>1852</v>
      </c>
      <c r="B593" s="14" t="s">
        <v>1877</v>
      </c>
      <c r="C593" s="15" t="s">
        <v>1878</v>
      </c>
      <c r="D593" s="14" t="s">
        <v>1745</v>
      </c>
      <c r="E593" s="14" t="s">
        <v>1747</v>
      </c>
      <c r="F593" s="25">
        <v>4342740</v>
      </c>
      <c r="G593" s="25">
        <v>3908466</v>
      </c>
    </row>
    <row r="594" spans="1:7" x14ac:dyDescent="0.25">
      <c r="A594" s="14" t="s">
        <v>1852</v>
      </c>
      <c r="B594" s="14">
        <v>12</v>
      </c>
      <c r="C594" s="15" t="s">
        <v>1998</v>
      </c>
      <c r="D594" s="14" t="s">
        <v>1749</v>
      </c>
      <c r="E594" s="14" t="s">
        <v>1746</v>
      </c>
      <c r="F594" s="25">
        <v>49914</v>
      </c>
      <c r="G594" s="25">
        <v>34939.800000000003</v>
      </c>
    </row>
    <row r="595" spans="1:7" x14ac:dyDescent="0.25">
      <c r="A595" s="14" t="s">
        <v>1852</v>
      </c>
      <c r="B595" s="14" t="s">
        <v>1578</v>
      </c>
      <c r="C595" s="15" t="s">
        <v>1856</v>
      </c>
      <c r="D595" s="14" t="s">
        <v>1749</v>
      </c>
      <c r="E595" s="14" t="s">
        <v>1746</v>
      </c>
      <c r="F595" s="25">
        <v>14976</v>
      </c>
      <c r="G595" s="25">
        <v>13478.4</v>
      </c>
    </row>
    <row r="596" spans="1:7" x14ac:dyDescent="0.25">
      <c r="A596" s="14" t="s">
        <v>1852</v>
      </c>
      <c r="B596" s="14">
        <v>86</v>
      </c>
      <c r="C596" s="15" t="s">
        <v>2015</v>
      </c>
      <c r="D596" s="14" t="s">
        <v>1749</v>
      </c>
      <c r="E596" s="14" t="s">
        <v>1746</v>
      </c>
      <c r="F596" s="25">
        <v>159732</v>
      </c>
      <c r="G596" s="25">
        <v>111812.4</v>
      </c>
    </row>
    <row r="597" spans="1:7" x14ac:dyDescent="0.25">
      <c r="A597" s="14" t="s">
        <v>1852</v>
      </c>
      <c r="B597" s="14" t="s">
        <v>1991</v>
      </c>
      <c r="C597" s="15" t="s">
        <v>1992</v>
      </c>
      <c r="D597" s="14" t="s">
        <v>1749</v>
      </c>
      <c r="E597" s="14" t="s">
        <v>1746</v>
      </c>
      <c r="F597" s="25">
        <v>796176</v>
      </c>
      <c r="G597" s="25">
        <v>557323.19999999995</v>
      </c>
    </row>
    <row r="598" spans="1:7" x14ac:dyDescent="0.25">
      <c r="A598" s="14" t="s">
        <v>1852</v>
      </c>
      <c r="B598" s="14">
        <v>10</v>
      </c>
      <c r="C598" s="15" t="s">
        <v>2021</v>
      </c>
      <c r="D598" s="14" t="s">
        <v>1745</v>
      </c>
      <c r="E598" s="14" t="s">
        <v>1746</v>
      </c>
      <c r="F598" s="25">
        <v>524097</v>
      </c>
      <c r="G598" s="25">
        <v>366868</v>
      </c>
    </row>
    <row r="599" spans="1:7" x14ac:dyDescent="0.25">
      <c r="A599" s="14" t="s">
        <v>1852</v>
      </c>
      <c r="B599" s="14">
        <v>11</v>
      </c>
      <c r="C599" s="15" t="s">
        <v>1903</v>
      </c>
      <c r="D599" s="14" t="s">
        <v>1745</v>
      </c>
      <c r="E599" s="14" t="s">
        <v>1746</v>
      </c>
      <c r="F599" s="25">
        <v>4193028</v>
      </c>
      <c r="G599" s="25">
        <v>2935120</v>
      </c>
    </row>
    <row r="600" spans="1:7" x14ac:dyDescent="0.25">
      <c r="A600" s="14" t="s">
        <v>1852</v>
      </c>
      <c r="B600" s="14" t="s">
        <v>1966</v>
      </c>
      <c r="C600" s="15" t="s">
        <v>1967</v>
      </c>
      <c r="D600" s="14" t="s">
        <v>1745</v>
      </c>
      <c r="E600" s="14" t="s">
        <v>1747</v>
      </c>
      <c r="F600" s="25">
        <v>4342740</v>
      </c>
      <c r="G600" s="25">
        <v>3908466</v>
      </c>
    </row>
    <row r="601" spans="1:7" x14ac:dyDescent="0.25">
      <c r="A601" s="14" t="s">
        <v>1852</v>
      </c>
      <c r="B601" s="14">
        <v>9</v>
      </c>
      <c r="C601" s="15" t="s">
        <v>1873</v>
      </c>
      <c r="D601" s="14" t="s">
        <v>1745</v>
      </c>
      <c r="E601" s="14" t="s">
        <v>1747</v>
      </c>
      <c r="F601" s="25">
        <v>30948420</v>
      </c>
      <c r="G601" s="25">
        <v>21663894</v>
      </c>
    </row>
    <row r="602" spans="1:7" x14ac:dyDescent="0.25">
      <c r="A602" s="14" t="s">
        <v>1850</v>
      </c>
      <c r="B602" s="14" t="s">
        <v>36</v>
      </c>
      <c r="C602" s="15" t="s">
        <v>1997</v>
      </c>
      <c r="D602" s="14" t="s">
        <v>1745</v>
      </c>
      <c r="E602" s="14" t="s">
        <v>1747</v>
      </c>
      <c r="F602" s="25">
        <v>83880</v>
      </c>
      <c r="G602" s="25">
        <v>75492</v>
      </c>
    </row>
    <row r="603" spans="1:7" x14ac:dyDescent="0.25">
      <c r="A603" s="14" t="s">
        <v>1852</v>
      </c>
      <c r="B603" s="14" t="s">
        <v>1540</v>
      </c>
      <c r="C603" s="15" t="s">
        <v>2022</v>
      </c>
      <c r="D603" s="14" t="s">
        <v>1745</v>
      </c>
      <c r="E603" s="14" t="s">
        <v>1747</v>
      </c>
      <c r="F603" s="25">
        <v>199680</v>
      </c>
      <c r="G603" s="25">
        <v>139776</v>
      </c>
    </row>
    <row r="604" spans="1:7" x14ac:dyDescent="0.25">
      <c r="A604" s="14" t="s">
        <v>1852</v>
      </c>
      <c r="B604" s="14" t="s">
        <v>39</v>
      </c>
      <c r="C604" s="15" t="s">
        <v>1906</v>
      </c>
      <c r="D604" s="14" t="s">
        <v>1749</v>
      </c>
      <c r="E604" s="14" t="s">
        <v>1746</v>
      </c>
      <c r="F604" s="25">
        <v>1447590</v>
      </c>
      <c r="G604" s="25">
        <v>1013313</v>
      </c>
    </row>
    <row r="605" spans="1:7" x14ac:dyDescent="0.25">
      <c r="A605" s="14" t="s">
        <v>1852</v>
      </c>
      <c r="B605" s="14" t="s">
        <v>1900</v>
      </c>
      <c r="C605" s="15" t="s">
        <v>1901</v>
      </c>
      <c r="D605" s="14" t="s">
        <v>1745</v>
      </c>
      <c r="E605" s="14" t="s">
        <v>1746</v>
      </c>
      <c r="F605" s="25">
        <v>1677186</v>
      </c>
      <c r="G605" s="25">
        <v>1174030</v>
      </c>
    </row>
    <row r="606" spans="1:7" x14ac:dyDescent="0.25">
      <c r="A606" s="14" t="s">
        <v>1852</v>
      </c>
      <c r="B606" s="14">
        <v>77</v>
      </c>
      <c r="C606" s="15" t="s">
        <v>1890</v>
      </c>
      <c r="D606" s="14" t="s">
        <v>1749</v>
      </c>
      <c r="E606" s="14" t="s">
        <v>1746</v>
      </c>
      <c r="F606" s="25">
        <v>1702164</v>
      </c>
      <c r="G606" s="25">
        <v>1191515</v>
      </c>
    </row>
    <row r="607" spans="1:7" x14ac:dyDescent="0.25">
      <c r="A607" s="14" t="s">
        <v>1852</v>
      </c>
      <c r="B607" s="14">
        <v>67</v>
      </c>
      <c r="C607" s="15" t="s">
        <v>1864</v>
      </c>
      <c r="D607" s="14" t="s">
        <v>1749</v>
      </c>
      <c r="E607" s="14" t="s">
        <v>1746</v>
      </c>
      <c r="F607" s="25">
        <v>19968</v>
      </c>
      <c r="G607" s="25">
        <v>13977.6</v>
      </c>
    </row>
    <row r="608" spans="1:7" x14ac:dyDescent="0.25">
      <c r="A608" s="14" t="s">
        <v>1852</v>
      </c>
      <c r="B608" s="14" t="s">
        <v>1535</v>
      </c>
      <c r="C608" s="15" t="s">
        <v>1892</v>
      </c>
      <c r="D608" s="14" t="s">
        <v>1745</v>
      </c>
      <c r="E608" s="14" t="s">
        <v>1747</v>
      </c>
      <c r="F608" s="25">
        <v>274560</v>
      </c>
      <c r="G608" s="25">
        <v>192192</v>
      </c>
    </row>
    <row r="609" spans="1:7" x14ac:dyDescent="0.25">
      <c r="A609" s="14" t="s">
        <v>1852</v>
      </c>
      <c r="B609" s="14">
        <v>85</v>
      </c>
      <c r="C609" s="15" t="s">
        <v>1951</v>
      </c>
      <c r="D609" s="14" t="s">
        <v>1745</v>
      </c>
      <c r="E609" s="14" t="s">
        <v>1747</v>
      </c>
      <c r="F609" s="25">
        <v>4342740</v>
      </c>
      <c r="G609" s="25">
        <v>3908466</v>
      </c>
    </row>
    <row r="610" spans="1:7" x14ac:dyDescent="0.25">
      <c r="A610" s="14" t="s">
        <v>1852</v>
      </c>
      <c r="B610" s="14">
        <v>76</v>
      </c>
      <c r="C610" s="15" t="s">
        <v>1857</v>
      </c>
      <c r="D610" s="14" t="s">
        <v>1745</v>
      </c>
      <c r="E610" s="14" t="s">
        <v>1746</v>
      </c>
      <c r="F610" s="25">
        <v>9748746</v>
      </c>
      <c r="G610" s="25">
        <v>8773871</v>
      </c>
    </row>
    <row r="611" spans="1:7" ht="30" x14ac:dyDescent="0.25">
      <c r="A611" s="14" t="s">
        <v>1850</v>
      </c>
      <c r="B611" s="14" t="s">
        <v>50</v>
      </c>
      <c r="C611" s="15" t="s">
        <v>1947</v>
      </c>
      <c r="D611" s="14" t="s">
        <v>1749</v>
      </c>
      <c r="E611" s="14" t="s">
        <v>1746</v>
      </c>
      <c r="F611" s="25">
        <v>1500</v>
      </c>
      <c r="G611" s="25">
        <v>1350</v>
      </c>
    </row>
    <row r="612" spans="1:7" x14ac:dyDescent="0.25">
      <c r="A612" s="14" t="s">
        <v>1852</v>
      </c>
      <c r="B612" s="14" t="s">
        <v>1673</v>
      </c>
      <c r="C612" s="15" t="s">
        <v>1980</v>
      </c>
      <c r="D612" s="14" t="s">
        <v>1745</v>
      </c>
      <c r="E612" s="14" t="s">
        <v>1747</v>
      </c>
      <c r="F612" s="25">
        <v>199680</v>
      </c>
      <c r="G612" s="25">
        <v>139776</v>
      </c>
    </row>
    <row r="613" spans="1:7" x14ac:dyDescent="0.25">
      <c r="A613" s="14" t="s">
        <v>1850</v>
      </c>
      <c r="B613" s="14">
        <v>2</v>
      </c>
      <c r="C613" s="15" t="s">
        <v>1948</v>
      </c>
      <c r="D613" s="14" t="s">
        <v>1745</v>
      </c>
      <c r="E613" s="14" t="s">
        <v>1747</v>
      </c>
      <c r="F613" s="25">
        <v>209640</v>
      </c>
      <c r="G613" s="25">
        <v>146748</v>
      </c>
    </row>
    <row r="614" spans="1:7" x14ac:dyDescent="0.25">
      <c r="A614" s="14" t="s">
        <v>1852</v>
      </c>
      <c r="B614" s="14">
        <v>10</v>
      </c>
      <c r="C614" s="15" t="s">
        <v>2021</v>
      </c>
      <c r="D614" s="14" t="s">
        <v>1749</v>
      </c>
      <c r="E614" s="14" t="s">
        <v>1746</v>
      </c>
      <c r="F614" s="25">
        <v>49914</v>
      </c>
      <c r="G614" s="25">
        <v>34939.800000000003</v>
      </c>
    </row>
    <row r="615" spans="1:7" x14ac:dyDescent="0.25">
      <c r="A615" s="14" t="s">
        <v>1852</v>
      </c>
      <c r="B615" s="14">
        <v>62</v>
      </c>
      <c r="C615" s="15" t="s">
        <v>1894</v>
      </c>
      <c r="D615" s="14" t="s">
        <v>1745</v>
      </c>
      <c r="E615" s="14" t="s">
        <v>1747</v>
      </c>
      <c r="F615" s="25">
        <v>274560</v>
      </c>
      <c r="G615" s="25">
        <v>192192</v>
      </c>
    </row>
    <row r="616" spans="1:7" x14ac:dyDescent="0.25">
      <c r="A616" s="14" t="s">
        <v>1852</v>
      </c>
      <c r="B616" s="14">
        <v>56</v>
      </c>
      <c r="C616" s="15" t="s">
        <v>1921</v>
      </c>
      <c r="D616" s="14" t="s">
        <v>1745</v>
      </c>
      <c r="E616" s="14" t="s">
        <v>1746</v>
      </c>
      <c r="F616" s="25">
        <v>12998349</v>
      </c>
      <c r="G616" s="25">
        <v>9098844</v>
      </c>
    </row>
    <row r="617" spans="1:7" x14ac:dyDescent="0.25">
      <c r="A617" s="14" t="s">
        <v>1852</v>
      </c>
      <c r="B617" s="14" t="s">
        <v>195</v>
      </c>
      <c r="C617" s="15" t="s">
        <v>1988</v>
      </c>
      <c r="D617" s="14" t="s">
        <v>1749</v>
      </c>
      <c r="E617" s="14" t="s">
        <v>1746</v>
      </c>
      <c r="F617" s="25">
        <v>1447590</v>
      </c>
      <c r="G617" s="25">
        <v>1013313</v>
      </c>
    </row>
    <row r="618" spans="1:7" x14ac:dyDescent="0.25">
      <c r="A618" s="14" t="s">
        <v>1852</v>
      </c>
      <c r="B618" s="14">
        <v>16</v>
      </c>
      <c r="C618" s="15" t="s">
        <v>1952</v>
      </c>
      <c r="D618" s="14" t="s">
        <v>1745</v>
      </c>
      <c r="E618" s="14" t="s">
        <v>1746</v>
      </c>
      <c r="F618" s="25">
        <v>524097</v>
      </c>
      <c r="G618" s="25">
        <v>366868</v>
      </c>
    </row>
    <row r="619" spans="1:7" x14ac:dyDescent="0.25">
      <c r="A619" s="14" t="s">
        <v>1852</v>
      </c>
      <c r="B619" s="14">
        <v>1</v>
      </c>
      <c r="C619" s="15" t="s">
        <v>1902</v>
      </c>
      <c r="D619" s="14" t="s">
        <v>1749</v>
      </c>
      <c r="E619" s="14" t="s">
        <v>1746</v>
      </c>
      <c r="F619" s="25">
        <v>399336</v>
      </c>
      <c r="G619" s="25">
        <v>279535.2</v>
      </c>
    </row>
    <row r="620" spans="1:7" x14ac:dyDescent="0.25">
      <c r="A620" s="14" t="s">
        <v>1852</v>
      </c>
      <c r="B620" s="14">
        <v>8</v>
      </c>
      <c r="C620" s="15" t="s">
        <v>1981</v>
      </c>
      <c r="D620" s="14" t="s">
        <v>1745</v>
      </c>
      <c r="E620" s="14" t="s">
        <v>1746</v>
      </c>
      <c r="F620" s="25">
        <v>524097</v>
      </c>
      <c r="G620" s="25">
        <v>366868</v>
      </c>
    </row>
    <row r="621" spans="1:7" x14ac:dyDescent="0.25">
      <c r="A621" s="14" t="s">
        <v>1852</v>
      </c>
      <c r="B621" s="14">
        <v>15</v>
      </c>
      <c r="C621" s="15" t="s">
        <v>2016</v>
      </c>
      <c r="D621" s="14" t="s">
        <v>1745</v>
      </c>
      <c r="E621" s="14" t="s">
        <v>1747</v>
      </c>
      <c r="F621" s="25">
        <v>499140</v>
      </c>
      <c r="G621" s="25">
        <v>349398</v>
      </c>
    </row>
    <row r="622" spans="1:7" x14ac:dyDescent="0.25">
      <c r="A622" s="14" t="s">
        <v>1852</v>
      </c>
      <c r="B622" s="14" t="s">
        <v>16</v>
      </c>
      <c r="C622" s="15" t="s">
        <v>1889</v>
      </c>
      <c r="D622" s="14" t="s">
        <v>1745</v>
      </c>
      <c r="E622" s="14" t="s">
        <v>1746</v>
      </c>
      <c r="F622" s="25">
        <v>524097</v>
      </c>
      <c r="G622" s="25">
        <v>366868</v>
      </c>
    </row>
    <row r="623" spans="1:7" x14ac:dyDescent="0.25">
      <c r="A623" s="14" t="s">
        <v>1852</v>
      </c>
      <c r="B623" s="14" t="s">
        <v>28</v>
      </c>
      <c r="C623" s="15" t="s">
        <v>1928</v>
      </c>
      <c r="D623" s="14" t="s">
        <v>1745</v>
      </c>
      <c r="E623" s="14" t="s">
        <v>1747</v>
      </c>
      <c r="F623" s="25">
        <v>499140</v>
      </c>
      <c r="G623" s="25">
        <v>349398</v>
      </c>
    </row>
    <row r="624" spans="1:7" x14ac:dyDescent="0.25">
      <c r="A624" s="14" t="s">
        <v>1852</v>
      </c>
      <c r="B624" s="14">
        <v>2</v>
      </c>
      <c r="C624" s="15" t="s">
        <v>2011</v>
      </c>
      <c r="D624" s="14" t="s">
        <v>1749</v>
      </c>
      <c r="E624" s="14" t="s">
        <v>1746</v>
      </c>
      <c r="F624" s="25">
        <v>399336</v>
      </c>
      <c r="G624" s="25">
        <v>279535.2</v>
      </c>
    </row>
    <row r="625" spans="1:7" x14ac:dyDescent="0.25">
      <c r="A625" s="14" t="s">
        <v>1852</v>
      </c>
      <c r="B625" s="14">
        <v>69</v>
      </c>
      <c r="C625" s="15" t="s">
        <v>1956</v>
      </c>
      <c r="D625" s="14" t="s">
        <v>1745</v>
      </c>
      <c r="E625" s="14" t="s">
        <v>1747</v>
      </c>
      <c r="F625" s="25">
        <v>149760</v>
      </c>
      <c r="G625" s="25">
        <v>134784</v>
      </c>
    </row>
    <row r="626" spans="1:7" x14ac:dyDescent="0.25">
      <c r="A626" s="14" t="s">
        <v>1852</v>
      </c>
      <c r="B626" s="14">
        <v>52</v>
      </c>
      <c r="C626" s="15" t="s">
        <v>1855</v>
      </c>
      <c r="D626" s="14" t="s">
        <v>1745</v>
      </c>
      <c r="E626" s="14" t="s">
        <v>1747</v>
      </c>
      <c r="F626" s="25">
        <v>199680</v>
      </c>
      <c r="G626" s="25">
        <v>139776</v>
      </c>
    </row>
    <row r="627" spans="1:7" x14ac:dyDescent="0.25">
      <c r="A627" s="14" t="s">
        <v>1852</v>
      </c>
      <c r="B627" s="14" t="s">
        <v>1636</v>
      </c>
      <c r="C627" s="15" t="s">
        <v>1985</v>
      </c>
      <c r="D627" s="14" t="s">
        <v>1745</v>
      </c>
      <c r="E627" s="14" t="s">
        <v>1747</v>
      </c>
      <c r="F627" s="25">
        <v>274560</v>
      </c>
      <c r="G627" s="25">
        <v>192192</v>
      </c>
    </row>
    <row r="628" spans="1:7" x14ac:dyDescent="0.25">
      <c r="A628" s="14" t="s">
        <v>1852</v>
      </c>
      <c r="B628" s="14" t="s">
        <v>55</v>
      </c>
      <c r="C628" s="15" t="s">
        <v>1885</v>
      </c>
      <c r="D628" s="14" t="s">
        <v>1745</v>
      </c>
      <c r="E628" s="14" t="s">
        <v>1746</v>
      </c>
      <c r="F628" s="25">
        <v>524097</v>
      </c>
      <c r="G628" s="25">
        <v>366868</v>
      </c>
    </row>
    <row r="629" spans="1:7" x14ac:dyDescent="0.25">
      <c r="A629" s="14" t="s">
        <v>1852</v>
      </c>
      <c r="B629" s="14" t="s">
        <v>1636</v>
      </c>
      <c r="C629" s="15" t="s">
        <v>1985</v>
      </c>
      <c r="D629" s="14" t="s">
        <v>1745</v>
      </c>
      <c r="E629" s="14" t="s">
        <v>1746</v>
      </c>
      <c r="F629" s="25">
        <v>288288</v>
      </c>
      <c r="G629" s="25">
        <v>201801.60000000001</v>
      </c>
    </row>
    <row r="630" spans="1:7" x14ac:dyDescent="0.25">
      <c r="A630" s="14" t="s">
        <v>1852</v>
      </c>
      <c r="B630" s="14" t="s">
        <v>1708</v>
      </c>
      <c r="C630" s="15" t="s">
        <v>1860</v>
      </c>
      <c r="D630" s="14" t="s">
        <v>1749</v>
      </c>
      <c r="E630" s="14" t="s">
        <v>1746</v>
      </c>
      <c r="F630" s="25">
        <v>434274</v>
      </c>
      <c r="G630" s="25">
        <v>390846.6</v>
      </c>
    </row>
    <row r="631" spans="1:7" x14ac:dyDescent="0.25">
      <c r="A631" s="14" t="s">
        <v>1852</v>
      </c>
      <c r="B631" s="14" t="s">
        <v>1573</v>
      </c>
      <c r="C631" s="15" t="s">
        <v>1930</v>
      </c>
      <c r="D631" s="14" t="s">
        <v>1745</v>
      </c>
      <c r="E631" s="14" t="s">
        <v>1746</v>
      </c>
      <c r="F631" s="25">
        <v>288288</v>
      </c>
      <c r="G631" s="25">
        <v>201801.60000000001</v>
      </c>
    </row>
    <row r="632" spans="1:7" x14ac:dyDescent="0.25">
      <c r="A632" s="14" t="s">
        <v>1852</v>
      </c>
      <c r="B632" s="14" t="s">
        <v>1535</v>
      </c>
      <c r="C632" s="15" t="s">
        <v>1892</v>
      </c>
      <c r="D632" s="14" t="s">
        <v>1749</v>
      </c>
      <c r="E632" s="14" t="s">
        <v>1746</v>
      </c>
      <c r="F632" s="25">
        <v>27456</v>
      </c>
      <c r="G632" s="25">
        <v>19219.2</v>
      </c>
    </row>
    <row r="633" spans="1:7" x14ac:dyDescent="0.25">
      <c r="A633" s="14" t="s">
        <v>1852</v>
      </c>
      <c r="B633" s="14" t="s">
        <v>1924</v>
      </c>
      <c r="C633" s="15" t="s">
        <v>1925</v>
      </c>
      <c r="D633" s="14" t="s">
        <v>1745</v>
      </c>
      <c r="E633" s="14" t="s">
        <v>1746</v>
      </c>
      <c r="F633" s="25">
        <v>288288</v>
      </c>
      <c r="G633" s="25">
        <v>201801.60000000001</v>
      </c>
    </row>
    <row r="634" spans="1:7" x14ac:dyDescent="0.25">
      <c r="A634" s="14" t="s">
        <v>1852</v>
      </c>
      <c r="B634" s="14">
        <v>3</v>
      </c>
      <c r="C634" s="15" t="s">
        <v>1872</v>
      </c>
      <c r="D634" s="14" t="s">
        <v>1749</v>
      </c>
      <c r="E634" s="14" t="s">
        <v>1746</v>
      </c>
      <c r="F634" s="25">
        <v>49914</v>
      </c>
      <c r="G634" s="25">
        <v>34939.800000000003</v>
      </c>
    </row>
    <row r="635" spans="1:7" x14ac:dyDescent="0.25">
      <c r="A635" s="14" t="s">
        <v>1852</v>
      </c>
      <c r="B635" s="14" t="s">
        <v>1552</v>
      </c>
      <c r="C635" s="15" t="s">
        <v>1922</v>
      </c>
      <c r="D635" s="14" t="s">
        <v>1745</v>
      </c>
      <c r="E635" s="14" t="s">
        <v>1746</v>
      </c>
      <c r="F635" s="25">
        <v>2306178</v>
      </c>
      <c r="G635" s="25">
        <v>1614325</v>
      </c>
    </row>
    <row r="636" spans="1:7" x14ac:dyDescent="0.25">
      <c r="A636" s="14" t="s">
        <v>1852</v>
      </c>
      <c r="B636" s="14">
        <v>10</v>
      </c>
      <c r="C636" s="15" t="s">
        <v>2021</v>
      </c>
      <c r="D636" s="14" t="s">
        <v>1745</v>
      </c>
      <c r="E636" s="14" t="s">
        <v>1747</v>
      </c>
      <c r="F636" s="25">
        <v>499140</v>
      </c>
      <c r="G636" s="25">
        <v>349398</v>
      </c>
    </row>
    <row r="637" spans="1:7" x14ac:dyDescent="0.25">
      <c r="A637" s="14" t="s">
        <v>1852</v>
      </c>
      <c r="B637" s="14">
        <v>65</v>
      </c>
      <c r="C637" s="15" t="s">
        <v>1926</v>
      </c>
      <c r="D637" s="14" t="s">
        <v>1745</v>
      </c>
      <c r="E637" s="14" t="s">
        <v>1747</v>
      </c>
      <c r="F637" s="25">
        <v>274560</v>
      </c>
      <c r="G637" s="25">
        <v>192192</v>
      </c>
    </row>
    <row r="638" spans="1:7" x14ac:dyDescent="0.25">
      <c r="A638" s="14" t="s">
        <v>1852</v>
      </c>
      <c r="B638" s="14" t="s">
        <v>1941</v>
      </c>
      <c r="C638" s="15" t="s">
        <v>1942</v>
      </c>
      <c r="D638" s="14" t="s">
        <v>1749</v>
      </c>
      <c r="E638" s="14" t="s">
        <v>1746</v>
      </c>
      <c r="F638" s="25">
        <v>159732</v>
      </c>
      <c r="G638" s="25">
        <v>111812.4</v>
      </c>
    </row>
    <row r="639" spans="1:7" x14ac:dyDescent="0.25">
      <c r="A639" s="14" t="s">
        <v>1852</v>
      </c>
      <c r="B639" s="14">
        <v>5</v>
      </c>
      <c r="C639" s="15" t="s">
        <v>1870</v>
      </c>
      <c r="D639" s="14" t="s">
        <v>1745</v>
      </c>
      <c r="E639" s="14" t="s">
        <v>1746</v>
      </c>
      <c r="F639" s="25">
        <v>32495841</v>
      </c>
      <c r="G639" s="25">
        <v>22747089</v>
      </c>
    </row>
    <row r="640" spans="1:7" x14ac:dyDescent="0.25">
      <c r="A640" s="14" t="s">
        <v>1852</v>
      </c>
      <c r="B640" s="14" t="s">
        <v>1645</v>
      </c>
      <c r="C640" s="15" t="s">
        <v>1982</v>
      </c>
      <c r="D640" s="14" t="s">
        <v>1745</v>
      </c>
      <c r="E640" s="14" t="s">
        <v>1746</v>
      </c>
      <c r="F640" s="25">
        <v>288288</v>
      </c>
      <c r="G640" s="25">
        <v>201801.60000000001</v>
      </c>
    </row>
    <row r="641" spans="1:7" x14ac:dyDescent="0.25">
      <c r="A641" s="14" t="s">
        <v>1852</v>
      </c>
      <c r="B641" s="14" t="s">
        <v>1963</v>
      </c>
      <c r="C641" s="15" t="s">
        <v>1964</v>
      </c>
      <c r="D641" s="14" t="s">
        <v>1745</v>
      </c>
      <c r="E641" s="14" t="s">
        <v>1747</v>
      </c>
      <c r="F641" s="25">
        <v>274560</v>
      </c>
      <c r="G641" s="25">
        <v>192192</v>
      </c>
    </row>
    <row r="642" spans="1:7" x14ac:dyDescent="0.25">
      <c r="A642" s="14" t="s">
        <v>1852</v>
      </c>
      <c r="B642" s="14">
        <v>14</v>
      </c>
      <c r="C642" s="15" t="s">
        <v>1989</v>
      </c>
      <c r="D642" s="14" t="s">
        <v>1745</v>
      </c>
      <c r="E642" s="14" t="s">
        <v>1746</v>
      </c>
      <c r="F642" s="25">
        <v>524097</v>
      </c>
      <c r="G642" s="25">
        <v>366868</v>
      </c>
    </row>
    <row r="643" spans="1:7" x14ac:dyDescent="0.25">
      <c r="A643" s="14" t="s">
        <v>1852</v>
      </c>
      <c r="B643" s="14">
        <v>74</v>
      </c>
      <c r="C643" s="15" t="s">
        <v>1995</v>
      </c>
      <c r="D643" s="14" t="s">
        <v>1745</v>
      </c>
      <c r="E643" s="14" t="s">
        <v>1747</v>
      </c>
      <c r="F643" s="25">
        <v>9284520</v>
      </c>
      <c r="G643" s="25">
        <v>8356068</v>
      </c>
    </row>
    <row r="644" spans="1:7" x14ac:dyDescent="0.25">
      <c r="A644" s="14" t="s">
        <v>1852</v>
      </c>
      <c r="B644" s="14">
        <v>77</v>
      </c>
      <c r="C644" s="15" t="s">
        <v>1890</v>
      </c>
      <c r="D644" s="14" t="s">
        <v>1745</v>
      </c>
      <c r="E644" s="14" t="s">
        <v>1746</v>
      </c>
      <c r="F644" s="25">
        <v>17872722</v>
      </c>
      <c r="G644" s="25">
        <v>12510905</v>
      </c>
    </row>
    <row r="645" spans="1:7" x14ac:dyDescent="0.25">
      <c r="A645" s="14" t="s">
        <v>1852</v>
      </c>
      <c r="B645" s="14">
        <v>82</v>
      </c>
      <c r="C645" s="15" t="s">
        <v>2002</v>
      </c>
      <c r="D645" s="14" t="s">
        <v>1745</v>
      </c>
      <c r="E645" s="14" t="s">
        <v>1746</v>
      </c>
      <c r="F645" s="25">
        <v>2306178</v>
      </c>
      <c r="G645" s="25">
        <v>1614325</v>
      </c>
    </row>
    <row r="646" spans="1:7" x14ac:dyDescent="0.25">
      <c r="A646" s="14" t="s">
        <v>1852</v>
      </c>
      <c r="B646" s="14">
        <v>15</v>
      </c>
      <c r="C646" s="15" t="s">
        <v>2016</v>
      </c>
      <c r="D646" s="14" t="s">
        <v>1749</v>
      </c>
      <c r="E646" s="14" t="s">
        <v>1746</v>
      </c>
      <c r="F646" s="25">
        <v>49914</v>
      </c>
      <c r="G646" s="25">
        <v>34939.800000000003</v>
      </c>
    </row>
    <row r="647" spans="1:7" x14ac:dyDescent="0.25">
      <c r="A647" s="14" t="s">
        <v>1852</v>
      </c>
      <c r="B647" s="14">
        <v>66</v>
      </c>
      <c r="C647" s="15" t="s">
        <v>2023</v>
      </c>
      <c r="D647" s="14" t="s">
        <v>1749</v>
      </c>
      <c r="E647" s="14" t="s">
        <v>1746</v>
      </c>
      <c r="F647" s="25">
        <v>14976</v>
      </c>
      <c r="G647" s="25">
        <v>13478.4</v>
      </c>
    </row>
    <row r="648" spans="1:7" x14ac:dyDescent="0.25">
      <c r="A648" s="14" t="s">
        <v>1852</v>
      </c>
      <c r="B648" s="14" t="s">
        <v>1643</v>
      </c>
      <c r="C648" s="15" t="s">
        <v>1853</v>
      </c>
      <c r="D648" s="14" t="s">
        <v>1749</v>
      </c>
      <c r="E648" s="14" t="s">
        <v>1746</v>
      </c>
      <c r="F648" s="25">
        <v>14976</v>
      </c>
      <c r="G648" s="25">
        <v>13478.4</v>
      </c>
    </row>
    <row r="649" spans="1:7" x14ac:dyDescent="0.25">
      <c r="A649" s="14" t="s">
        <v>1852</v>
      </c>
      <c r="B649" s="14">
        <v>8</v>
      </c>
      <c r="C649" s="15" t="s">
        <v>1981</v>
      </c>
      <c r="D649" s="14" t="s">
        <v>1745</v>
      </c>
      <c r="E649" s="14" t="s">
        <v>1747</v>
      </c>
      <c r="F649" s="25">
        <v>499140</v>
      </c>
      <c r="G649" s="25">
        <v>349398</v>
      </c>
    </row>
    <row r="650" spans="1:7" x14ac:dyDescent="0.25">
      <c r="A650" s="14" t="s">
        <v>1852</v>
      </c>
      <c r="B650" s="14">
        <v>84</v>
      </c>
      <c r="C650" s="15" t="s">
        <v>1874</v>
      </c>
      <c r="D650" s="14" t="s">
        <v>1745</v>
      </c>
      <c r="E650" s="14" t="s">
        <v>1746</v>
      </c>
      <c r="F650" s="25">
        <v>1257921</v>
      </c>
      <c r="G650" s="25">
        <v>1132129</v>
      </c>
    </row>
    <row r="651" spans="1:7" x14ac:dyDescent="0.25">
      <c r="A651" s="14" t="s">
        <v>1852</v>
      </c>
      <c r="B651" s="14">
        <v>55</v>
      </c>
      <c r="C651" s="15" t="s">
        <v>2006</v>
      </c>
      <c r="D651" s="14" t="s">
        <v>1749</v>
      </c>
      <c r="E651" s="14" t="s">
        <v>1746</v>
      </c>
      <c r="F651" s="25">
        <v>1702164</v>
      </c>
      <c r="G651" s="25">
        <v>1191515</v>
      </c>
    </row>
    <row r="652" spans="1:7" x14ac:dyDescent="0.25">
      <c r="A652" s="14" t="s">
        <v>1852</v>
      </c>
      <c r="B652" s="14">
        <v>50</v>
      </c>
      <c r="C652" s="15" t="s">
        <v>1919</v>
      </c>
      <c r="D652" s="14" t="s">
        <v>1749</v>
      </c>
      <c r="E652" s="14" t="s">
        <v>1746</v>
      </c>
      <c r="F652" s="25">
        <v>1702164</v>
      </c>
      <c r="G652" s="25">
        <v>1191515</v>
      </c>
    </row>
    <row r="653" spans="1:7" x14ac:dyDescent="0.25">
      <c r="A653" s="14" t="s">
        <v>1852</v>
      </c>
      <c r="B653" s="14" t="s">
        <v>1653</v>
      </c>
      <c r="C653" s="15" t="s">
        <v>1972</v>
      </c>
      <c r="D653" s="14" t="s">
        <v>1745</v>
      </c>
      <c r="E653" s="14" t="s">
        <v>1746</v>
      </c>
      <c r="F653" s="25">
        <v>157248</v>
      </c>
      <c r="G653" s="25">
        <v>141523.20000000001</v>
      </c>
    </row>
    <row r="654" spans="1:7" x14ac:dyDescent="0.25">
      <c r="A654" s="14" t="s">
        <v>1852</v>
      </c>
      <c r="B654" s="14">
        <v>78</v>
      </c>
      <c r="C654" s="15" t="s">
        <v>2008</v>
      </c>
      <c r="D654" s="14" t="s">
        <v>1745</v>
      </c>
      <c r="E654" s="14" t="s">
        <v>1747</v>
      </c>
      <c r="F654" s="25">
        <v>9284520</v>
      </c>
      <c r="G654" s="25">
        <v>8356068</v>
      </c>
    </row>
    <row r="655" spans="1:7" x14ac:dyDescent="0.25">
      <c r="A655" s="14" t="s">
        <v>1852</v>
      </c>
      <c r="B655" s="14" t="s">
        <v>1649</v>
      </c>
      <c r="C655" s="15" t="s">
        <v>1931</v>
      </c>
      <c r="D655" s="14" t="s">
        <v>1745</v>
      </c>
      <c r="E655" s="14" t="s">
        <v>1747</v>
      </c>
      <c r="F655" s="25">
        <v>274560</v>
      </c>
      <c r="G655" s="25">
        <v>192192</v>
      </c>
    </row>
    <row r="656" spans="1:7" x14ac:dyDescent="0.25">
      <c r="A656" s="14" t="s">
        <v>1850</v>
      </c>
      <c r="B656" s="14" t="s">
        <v>29</v>
      </c>
      <c r="C656" s="15" t="s">
        <v>2017</v>
      </c>
      <c r="D656" s="14" t="s">
        <v>1749</v>
      </c>
      <c r="E656" s="14" t="s">
        <v>1746</v>
      </c>
      <c r="F656" s="25">
        <v>11532</v>
      </c>
      <c r="G656" s="25">
        <v>8072.4</v>
      </c>
    </row>
    <row r="657" spans="1:7" x14ac:dyDescent="0.25">
      <c r="A657" s="14" t="s">
        <v>1852</v>
      </c>
      <c r="B657" s="14" t="s">
        <v>1957</v>
      </c>
      <c r="C657" s="15" t="s">
        <v>1958</v>
      </c>
      <c r="D657" s="14" t="s">
        <v>1749</v>
      </c>
      <c r="E657" s="14" t="s">
        <v>1746</v>
      </c>
      <c r="F657" s="25">
        <v>19968</v>
      </c>
      <c r="G657" s="25">
        <v>13977.6</v>
      </c>
    </row>
    <row r="658" spans="1:7" x14ac:dyDescent="0.25">
      <c r="A658" s="14" t="s">
        <v>1852</v>
      </c>
      <c r="B658" s="14">
        <v>60</v>
      </c>
      <c r="C658" s="15" t="s">
        <v>2007</v>
      </c>
      <c r="D658" s="14" t="s">
        <v>1745</v>
      </c>
      <c r="E658" s="14" t="s">
        <v>1746</v>
      </c>
      <c r="F658" s="25">
        <v>288288</v>
      </c>
      <c r="G658" s="25">
        <v>201801.60000000001</v>
      </c>
    </row>
    <row r="659" spans="1:7" x14ac:dyDescent="0.25">
      <c r="A659" s="14" t="s">
        <v>1852</v>
      </c>
      <c r="B659" s="14">
        <v>72</v>
      </c>
      <c r="C659" s="15" t="s">
        <v>2024</v>
      </c>
      <c r="D659" s="14" t="s">
        <v>1749</v>
      </c>
      <c r="E659" s="14" t="s">
        <v>1746</v>
      </c>
      <c r="F659" s="25">
        <v>1237938</v>
      </c>
      <c r="G659" s="25">
        <v>866556.6</v>
      </c>
    </row>
    <row r="660" spans="1:7" x14ac:dyDescent="0.25">
      <c r="A660" s="14" t="s">
        <v>1852</v>
      </c>
      <c r="B660" s="14">
        <v>72</v>
      </c>
      <c r="C660" s="15" t="s">
        <v>2024</v>
      </c>
      <c r="D660" s="14" t="s">
        <v>1745</v>
      </c>
      <c r="E660" s="14" t="s">
        <v>1746</v>
      </c>
      <c r="F660" s="25">
        <v>12998349</v>
      </c>
      <c r="G660" s="25">
        <v>9098844</v>
      </c>
    </row>
    <row r="661" spans="1:7" x14ac:dyDescent="0.25">
      <c r="A661" s="14" t="s">
        <v>1852</v>
      </c>
      <c r="B661" s="14" t="s">
        <v>46</v>
      </c>
      <c r="C661" s="15" t="s">
        <v>1866</v>
      </c>
      <c r="D661" s="14" t="s">
        <v>1749</v>
      </c>
      <c r="E661" s="14" t="s">
        <v>1746</v>
      </c>
      <c r="F661" s="25">
        <v>1447590</v>
      </c>
      <c r="G661" s="25">
        <v>1013313</v>
      </c>
    </row>
    <row r="662" spans="1:7" x14ac:dyDescent="0.25">
      <c r="A662" s="14" t="s">
        <v>1852</v>
      </c>
      <c r="B662" s="14" t="s">
        <v>1643</v>
      </c>
      <c r="C662" s="15" t="s">
        <v>1853</v>
      </c>
      <c r="D662" s="14" t="s">
        <v>1745</v>
      </c>
      <c r="E662" s="14" t="s">
        <v>1747</v>
      </c>
      <c r="F662" s="25">
        <v>149760</v>
      </c>
      <c r="G662" s="25">
        <v>134784</v>
      </c>
    </row>
    <row r="663" spans="1:7" x14ac:dyDescent="0.25">
      <c r="A663" s="14" t="s">
        <v>1852</v>
      </c>
      <c r="B663" s="14" t="s">
        <v>1555</v>
      </c>
      <c r="C663" s="15" t="s">
        <v>2018</v>
      </c>
      <c r="D663" s="14" t="s">
        <v>1745</v>
      </c>
      <c r="E663" s="14" t="s">
        <v>1747</v>
      </c>
      <c r="F663" s="25">
        <v>199680</v>
      </c>
      <c r="G663" s="25">
        <v>139776</v>
      </c>
    </row>
    <row r="664" spans="1:7" x14ac:dyDescent="0.25">
      <c r="A664" s="14" t="s">
        <v>1852</v>
      </c>
      <c r="B664" s="14">
        <v>4</v>
      </c>
      <c r="C664" s="15" t="s">
        <v>1886</v>
      </c>
      <c r="D664" s="14" t="s">
        <v>1749</v>
      </c>
      <c r="E664" s="14" t="s">
        <v>1746</v>
      </c>
      <c r="F664" s="25">
        <v>49914</v>
      </c>
      <c r="G664" s="25">
        <v>34939.800000000003</v>
      </c>
    </row>
    <row r="665" spans="1:7" x14ac:dyDescent="0.25">
      <c r="A665" s="14" t="s">
        <v>1852</v>
      </c>
      <c r="B665" s="14">
        <v>53</v>
      </c>
      <c r="C665" s="15" t="s">
        <v>2005</v>
      </c>
      <c r="D665" s="14" t="s">
        <v>1745</v>
      </c>
      <c r="E665" s="14" t="s">
        <v>1746</v>
      </c>
      <c r="F665" s="25">
        <v>157248</v>
      </c>
      <c r="G665" s="25">
        <v>141523.20000000001</v>
      </c>
    </row>
    <row r="666" spans="1:7" x14ac:dyDescent="0.25">
      <c r="A666" s="14" t="s">
        <v>1850</v>
      </c>
      <c r="B666" s="14" t="s">
        <v>29</v>
      </c>
      <c r="C666" s="15" t="s">
        <v>2017</v>
      </c>
      <c r="D666" s="14" t="s">
        <v>1745</v>
      </c>
      <c r="E666" s="14" t="s">
        <v>1747</v>
      </c>
      <c r="F666" s="25">
        <v>115320</v>
      </c>
      <c r="G666" s="25">
        <v>80724</v>
      </c>
    </row>
    <row r="667" spans="1:7" x14ac:dyDescent="0.25">
      <c r="A667" s="14" t="s">
        <v>1852</v>
      </c>
      <c r="B667" s="14" t="s">
        <v>1639</v>
      </c>
      <c r="C667" s="15" t="s">
        <v>1959</v>
      </c>
      <c r="D667" s="14" t="s">
        <v>1749</v>
      </c>
      <c r="E667" s="14" t="s">
        <v>1746</v>
      </c>
      <c r="F667" s="25">
        <v>796176</v>
      </c>
      <c r="G667" s="25">
        <v>557323.19999999995</v>
      </c>
    </row>
    <row r="668" spans="1:7" x14ac:dyDescent="0.25">
      <c r="A668" s="14" t="s">
        <v>1852</v>
      </c>
      <c r="B668" s="14" t="s">
        <v>1961</v>
      </c>
      <c r="C668" s="15" t="s">
        <v>1962</v>
      </c>
      <c r="D668" s="14" t="s">
        <v>1749</v>
      </c>
      <c r="E668" s="14" t="s">
        <v>1746</v>
      </c>
      <c r="F668" s="25">
        <v>579036</v>
      </c>
      <c r="G668" s="25">
        <v>405325.2</v>
      </c>
    </row>
    <row r="669" spans="1:7" x14ac:dyDescent="0.25">
      <c r="A669" s="14" t="s">
        <v>1852</v>
      </c>
      <c r="B669" s="14" t="s">
        <v>1655</v>
      </c>
      <c r="C669" s="15" t="s">
        <v>1933</v>
      </c>
      <c r="D669" s="14" t="s">
        <v>1749</v>
      </c>
      <c r="E669" s="14" t="s">
        <v>1746</v>
      </c>
      <c r="F669" s="25">
        <v>19968</v>
      </c>
      <c r="G669" s="25">
        <v>13977.6</v>
      </c>
    </row>
    <row r="670" spans="1:7" x14ac:dyDescent="0.25">
      <c r="A670" s="14" t="s">
        <v>1852</v>
      </c>
      <c r="B670" s="14" t="s">
        <v>405</v>
      </c>
      <c r="C670" s="15" t="s">
        <v>1965</v>
      </c>
      <c r="D670" s="14" t="s">
        <v>1749</v>
      </c>
      <c r="E670" s="14" t="s">
        <v>1746</v>
      </c>
      <c r="F670" s="25">
        <v>796176</v>
      </c>
      <c r="G670" s="25">
        <v>557323.19999999995</v>
      </c>
    </row>
    <row r="671" spans="1:7" x14ac:dyDescent="0.25">
      <c r="A671" s="14" t="s">
        <v>1852</v>
      </c>
      <c r="B671" s="14" t="s">
        <v>1540</v>
      </c>
      <c r="C671" s="15" t="s">
        <v>2022</v>
      </c>
      <c r="D671" s="14" t="s">
        <v>1745</v>
      </c>
      <c r="E671" s="14" t="s">
        <v>1746</v>
      </c>
      <c r="F671" s="25">
        <v>209664</v>
      </c>
      <c r="G671" s="25">
        <v>146764.79999999999</v>
      </c>
    </row>
    <row r="672" spans="1:7" x14ac:dyDescent="0.25">
      <c r="A672" s="14" t="s">
        <v>1852</v>
      </c>
      <c r="B672" s="14" t="s">
        <v>1683</v>
      </c>
      <c r="C672" s="15" t="s">
        <v>2025</v>
      </c>
      <c r="D672" s="14" t="s">
        <v>1745</v>
      </c>
      <c r="E672" s="14" t="s">
        <v>1746</v>
      </c>
      <c r="F672" s="25">
        <v>157248</v>
      </c>
      <c r="G672" s="25">
        <v>141523.20000000001</v>
      </c>
    </row>
    <row r="673" spans="1:7" x14ac:dyDescent="0.25">
      <c r="A673" s="14" t="s">
        <v>1852</v>
      </c>
      <c r="B673" s="14">
        <v>60</v>
      </c>
      <c r="C673" s="15" t="s">
        <v>2007</v>
      </c>
      <c r="D673" s="14" t="s">
        <v>1745</v>
      </c>
      <c r="E673" s="14" t="s">
        <v>1747</v>
      </c>
      <c r="F673" s="25">
        <v>274560</v>
      </c>
      <c r="G673" s="25">
        <v>192192</v>
      </c>
    </row>
    <row r="674" spans="1:7" x14ac:dyDescent="0.25">
      <c r="A674" s="14" t="s">
        <v>1852</v>
      </c>
      <c r="B674" s="14" t="s">
        <v>1966</v>
      </c>
      <c r="C674" s="15" t="s">
        <v>1967</v>
      </c>
      <c r="D674" s="14" t="s">
        <v>1749</v>
      </c>
      <c r="E674" s="14" t="s">
        <v>1746</v>
      </c>
      <c r="F674" s="25">
        <v>434274</v>
      </c>
      <c r="G674" s="25">
        <v>390846.6</v>
      </c>
    </row>
    <row r="675" spans="1:7" x14ac:dyDescent="0.25">
      <c r="A675" s="14" t="s">
        <v>1852</v>
      </c>
      <c r="B675" s="14" t="s">
        <v>1569</v>
      </c>
      <c r="C675" s="15" t="s">
        <v>1897</v>
      </c>
      <c r="D675" s="14" t="s">
        <v>1749</v>
      </c>
      <c r="E675" s="14" t="s">
        <v>1746</v>
      </c>
      <c r="F675" s="25">
        <v>14976</v>
      </c>
      <c r="G675" s="25">
        <v>13478.4</v>
      </c>
    </row>
    <row r="676" spans="1:7" x14ac:dyDescent="0.25">
      <c r="A676" s="14" t="s">
        <v>1852</v>
      </c>
      <c r="B676" s="14" t="s">
        <v>1976</v>
      </c>
      <c r="C676" s="15" t="s">
        <v>1977</v>
      </c>
      <c r="D676" s="14" t="s">
        <v>1745</v>
      </c>
      <c r="E676" s="14" t="s">
        <v>1747</v>
      </c>
      <c r="F676" s="25">
        <v>17021640</v>
      </c>
      <c r="G676" s="25">
        <v>11915148</v>
      </c>
    </row>
    <row r="677" spans="1:7" x14ac:dyDescent="0.25">
      <c r="A677" s="14" t="s">
        <v>1852</v>
      </c>
      <c r="B677" s="14" t="s">
        <v>420</v>
      </c>
      <c r="C677" s="15" t="s">
        <v>1983</v>
      </c>
      <c r="D677" s="14" t="s">
        <v>1749</v>
      </c>
      <c r="E677" s="14" t="s">
        <v>1746</v>
      </c>
      <c r="F677" s="25">
        <v>1702164</v>
      </c>
      <c r="G677" s="25">
        <v>1191515</v>
      </c>
    </row>
    <row r="678" spans="1:7" x14ac:dyDescent="0.25">
      <c r="A678" s="14" t="s">
        <v>1852</v>
      </c>
      <c r="B678" s="14" t="s">
        <v>1669</v>
      </c>
      <c r="C678" s="15" t="s">
        <v>1879</v>
      </c>
      <c r="D678" s="14" t="s">
        <v>1745</v>
      </c>
      <c r="E678" s="14" t="s">
        <v>1746</v>
      </c>
      <c r="F678" s="25">
        <v>209664</v>
      </c>
      <c r="G678" s="25">
        <v>146764.79999999999</v>
      </c>
    </row>
    <row r="679" spans="1:7" x14ac:dyDescent="0.25">
      <c r="A679" s="14" t="s">
        <v>1852</v>
      </c>
      <c r="B679" s="14" t="s">
        <v>36</v>
      </c>
      <c r="C679" s="15" t="s">
        <v>1910</v>
      </c>
      <c r="D679" s="14" t="s">
        <v>1745</v>
      </c>
      <c r="E679" s="14" t="s">
        <v>1747</v>
      </c>
      <c r="F679" s="25">
        <v>499140</v>
      </c>
      <c r="G679" s="25">
        <v>349398</v>
      </c>
    </row>
    <row r="680" spans="1:7" x14ac:dyDescent="0.25">
      <c r="A680" s="14" t="s">
        <v>1852</v>
      </c>
      <c r="B680" s="14">
        <v>83</v>
      </c>
      <c r="C680" s="15" t="s">
        <v>1916</v>
      </c>
      <c r="D680" s="14" t="s">
        <v>1749</v>
      </c>
      <c r="E680" s="14" t="s">
        <v>1746</v>
      </c>
      <c r="F680" s="25">
        <v>796176</v>
      </c>
      <c r="G680" s="25">
        <v>557323.19999999995</v>
      </c>
    </row>
    <row r="681" spans="1:7" x14ac:dyDescent="0.25">
      <c r="A681" s="14" t="s">
        <v>1852</v>
      </c>
      <c r="B681" s="14" t="s">
        <v>122</v>
      </c>
      <c r="C681" s="15" t="s">
        <v>1917</v>
      </c>
      <c r="D681" s="14" t="s">
        <v>1749</v>
      </c>
      <c r="E681" s="14" t="s">
        <v>1746</v>
      </c>
      <c r="F681" s="25">
        <v>49914</v>
      </c>
      <c r="G681" s="25">
        <v>34939.800000000003</v>
      </c>
    </row>
    <row r="682" spans="1:7" x14ac:dyDescent="0.25">
      <c r="A682" s="14" t="s">
        <v>1852</v>
      </c>
      <c r="B682" s="14" t="s">
        <v>1679</v>
      </c>
      <c r="C682" s="15" t="s">
        <v>2009</v>
      </c>
      <c r="D682" s="14" t="s">
        <v>1745</v>
      </c>
      <c r="E682" s="14" t="s">
        <v>1746</v>
      </c>
      <c r="F682" s="25">
        <v>209664</v>
      </c>
      <c r="G682" s="25">
        <v>146764.79999999999</v>
      </c>
    </row>
    <row r="683" spans="1:7" x14ac:dyDescent="0.25">
      <c r="A683" s="14" t="s">
        <v>1852</v>
      </c>
      <c r="B683" s="14" t="s">
        <v>1939</v>
      </c>
      <c r="C683" s="15" t="s">
        <v>1940</v>
      </c>
      <c r="D683" s="14" t="s">
        <v>1745</v>
      </c>
      <c r="E683" s="14" t="s">
        <v>1747</v>
      </c>
      <c r="F683" s="25">
        <v>1198020</v>
      </c>
      <c r="G683" s="25">
        <v>1078218</v>
      </c>
    </row>
    <row r="684" spans="1:7" x14ac:dyDescent="0.25">
      <c r="A684" s="14" t="s">
        <v>1852</v>
      </c>
      <c r="B684" s="14" t="s">
        <v>1641</v>
      </c>
      <c r="C684" s="15" t="s">
        <v>1996</v>
      </c>
      <c r="D684" s="14" t="s">
        <v>1745</v>
      </c>
      <c r="E684" s="14" t="s">
        <v>1746</v>
      </c>
      <c r="F684" s="25">
        <v>157248</v>
      </c>
      <c r="G684" s="25">
        <v>141523.20000000001</v>
      </c>
    </row>
    <row r="685" spans="1:7" x14ac:dyDescent="0.25">
      <c r="A685" s="14" t="s">
        <v>1852</v>
      </c>
      <c r="B685" s="14" t="s">
        <v>410</v>
      </c>
      <c r="C685" s="15" t="s">
        <v>1944</v>
      </c>
      <c r="D685" s="14" t="s">
        <v>1749</v>
      </c>
      <c r="E685" s="14" t="s">
        <v>1746</v>
      </c>
      <c r="F685" s="25">
        <v>579036</v>
      </c>
      <c r="G685" s="25">
        <v>405325.2</v>
      </c>
    </row>
    <row r="686" spans="1:7" x14ac:dyDescent="0.25">
      <c r="A686" s="14" t="s">
        <v>1852</v>
      </c>
      <c r="B686" s="14" t="s">
        <v>1731</v>
      </c>
      <c r="C686" s="15" t="s">
        <v>1984</v>
      </c>
      <c r="D686" s="14" t="s">
        <v>1745</v>
      </c>
      <c r="E686" s="14" t="s">
        <v>1747</v>
      </c>
      <c r="F686" s="25">
        <v>274560</v>
      </c>
      <c r="G686" s="25">
        <v>192192</v>
      </c>
    </row>
    <row r="687" spans="1:7" x14ac:dyDescent="0.25">
      <c r="A687" s="14" t="s">
        <v>1852</v>
      </c>
      <c r="B687" s="14" t="s">
        <v>650</v>
      </c>
      <c r="C687" s="15" t="s">
        <v>1975</v>
      </c>
      <c r="D687" s="14" t="s">
        <v>1745</v>
      </c>
      <c r="E687" s="14" t="s">
        <v>1746</v>
      </c>
      <c r="F687" s="25">
        <v>524097</v>
      </c>
      <c r="G687" s="25">
        <v>366868</v>
      </c>
    </row>
    <row r="688" spans="1:7" x14ac:dyDescent="0.25">
      <c r="A688" s="14" t="s">
        <v>1852</v>
      </c>
      <c r="B688" s="14" t="s">
        <v>420</v>
      </c>
      <c r="C688" s="15" t="s">
        <v>1983</v>
      </c>
      <c r="D688" s="14" t="s">
        <v>1745</v>
      </c>
      <c r="E688" s="14" t="s">
        <v>1747</v>
      </c>
      <c r="F688" s="25">
        <v>17021640</v>
      </c>
      <c r="G688" s="25">
        <v>11915148</v>
      </c>
    </row>
    <row r="689" spans="1:7" x14ac:dyDescent="0.25">
      <c r="A689" s="14" t="s">
        <v>1852</v>
      </c>
      <c r="B689" s="14">
        <v>66</v>
      </c>
      <c r="C689" s="15" t="s">
        <v>2023</v>
      </c>
      <c r="D689" s="14" t="s">
        <v>1745</v>
      </c>
      <c r="E689" s="14" t="s">
        <v>1746</v>
      </c>
      <c r="F689" s="25">
        <v>157248</v>
      </c>
      <c r="G689" s="25">
        <v>141523.20000000001</v>
      </c>
    </row>
    <row r="690" spans="1:7" x14ac:dyDescent="0.25">
      <c r="A690" s="14" t="s">
        <v>1852</v>
      </c>
      <c r="B690" s="14" t="s">
        <v>102</v>
      </c>
      <c r="C690" s="15" t="s">
        <v>2001</v>
      </c>
      <c r="D690" s="14" t="s">
        <v>1749</v>
      </c>
      <c r="E690" s="14" t="s">
        <v>1746</v>
      </c>
      <c r="F690" s="25">
        <v>1447590</v>
      </c>
      <c r="G690" s="25">
        <v>1013313</v>
      </c>
    </row>
    <row r="691" spans="1:7" x14ac:dyDescent="0.25">
      <c r="A691" s="14" t="s">
        <v>1852</v>
      </c>
      <c r="B691" s="14" t="s">
        <v>1653</v>
      </c>
      <c r="C691" s="15" t="s">
        <v>1972</v>
      </c>
      <c r="D691" s="14" t="s">
        <v>1749</v>
      </c>
      <c r="E691" s="14" t="s">
        <v>1746</v>
      </c>
      <c r="F691" s="25">
        <v>14976</v>
      </c>
      <c r="G691" s="25">
        <v>13478.4</v>
      </c>
    </row>
    <row r="692" spans="1:7" x14ac:dyDescent="0.25">
      <c r="A692" s="14" t="s">
        <v>1852</v>
      </c>
      <c r="B692" s="14" t="s">
        <v>1961</v>
      </c>
      <c r="C692" s="15" t="s">
        <v>1962</v>
      </c>
      <c r="D692" s="14" t="s">
        <v>1745</v>
      </c>
      <c r="E692" s="14" t="s">
        <v>1746</v>
      </c>
      <c r="F692" s="25">
        <v>6079878</v>
      </c>
      <c r="G692" s="25">
        <v>4255915</v>
      </c>
    </row>
    <row r="693" spans="1:7" x14ac:dyDescent="0.25">
      <c r="A693" s="14" t="s">
        <v>1852</v>
      </c>
      <c r="B693" s="14" t="s">
        <v>28</v>
      </c>
      <c r="C693" s="15" t="s">
        <v>1928</v>
      </c>
      <c r="D693" s="14" t="s">
        <v>1749</v>
      </c>
      <c r="E693" s="14" t="s">
        <v>1746</v>
      </c>
      <c r="F693" s="25">
        <v>49914</v>
      </c>
      <c r="G693" s="25">
        <v>34939.800000000003</v>
      </c>
    </row>
    <row r="694" spans="1:7" x14ac:dyDescent="0.25">
      <c r="A694" s="14" t="s">
        <v>1852</v>
      </c>
      <c r="B694" s="14" t="s">
        <v>1949</v>
      </c>
      <c r="C694" s="15" t="s">
        <v>1950</v>
      </c>
      <c r="D694" s="14" t="s">
        <v>1745</v>
      </c>
      <c r="E694" s="14" t="s">
        <v>1747</v>
      </c>
      <c r="F694" s="25">
        <v>199680</v>
      </c>
      <c r="G694" s="25">
        <v>139776</v>
      </c>
    </row>
    <row r="695" spans="1:7" x14ac:dyDescent="0.25">
      <c r="A695" s="14" t="s">
        <v>1852</v>
      </c>
      <c r="B695" s="14">
        <v>72</v>
      </c>
      <c r="C695" s="15" t="s">
        <v>2024</v>
      </c>
      <c r="D695" s="14" t="s">
        <v>1745</v>
      </c>
      <c r="E695" s="14" t="s">
        <v>1747</v>
      </c>
      <c r="F695" s="25">
        <v>12379380</v>
      </c>
      <c r="G695" s="25">
        <v>8665566</v>
      </c>
    </row>
    <row r="696" spans="1:7" x14ac:dyDescent="0.25">
      <c r="A696" s="14" t="s">
        <v>1852</v>
      </c>
      <c r="B696" s="14">
        <v>65</v>
      </c>
      <c r="C696" s="15" t="s">
        <v>1926</v>
      </c>
      <c r="D696" s="14" t="s">
        <v>1745</v>
      </c>
      <c r="E696" s="14" t="s">
        <v>1746</v>
      </c>
      <c r="F696" s="25">
        <v>288288</v>
      </c>
      <c r="G696" s="25">
        <v>201801.60000000001</v>
      </c>
    </row>
    <row r="697" spans="1:7" x14ac:dyDescent="0.25">
      <c r="A697" s="14" t="s">
        <v>1852</v>
      </c>
      <c r="B697" s="14">
        <v>82</v>
      </c>
      <c r="C697" s="15" t="s">
        <v>2002</v>
      </c>
      <c r="D697" s="14" t="s">
        <v>1749</v>
      </c>
      <c r="E697" s="14" t="s">
        <v>1746</v>
      </c>
      <c r="F697" s="25">
        <v>219636</v>
      </c>
      <c r="G697" s="25">
        <v>153745.20000000001</v>
      </c>
    </row>
    <row r="698" spans="1:7" x14ac:dyDescent="0.25">
      <c r="A698" s="14" t="s">
        <v>1850</v>
      </c>
      <c r="B698" s="14" t="s">
        <v>122</v>
      </c>
      <c r="C698" s="15" t="s">
        <v>1918</v>
      </c>
      <c r="D698" s="14" t="s">
        <v>1745</v>
      </c>
      <c r="E698" s="14" t="s">
        <v>1746</v>
      </c>
      <c r="F698" s="25">
        <v>88074</v>
      </c>
      <c r="G698" s="25">
        <v>61651.8</v>
      </c>
    </row>
    <row r="699" spans="1:7" x14ac:dyDescent="0.25">
      <c r="A699" s="14" t="s">
        <v>1852</v>
      </c>
      <c r="B699" s="14" t="s">
        <v>1963</v>
      </c>
      <c r="C699" s="15" t="s">
        <v>1964</v>
      </c>
      <c r="D699" s="14" t="s">
        <v>1745</v>
      </c>
      <c r="E699" s="14" t="s">
        <v>1746</v>
      </c>
      <c r="F699" s="25">
        <v>288288</v>
      </c>
      <c r="G699" s="25">
        <v>201801.60000000001</v>
      </c>
    </row>
    <row r="700" spans="1:7" x14ac:dyDescent="0.25">
      <c r="A700" s="14" t="s">
        <v>1852</v>
      </c>
      <c r="B700" s="14">
        <v>57</v>
      </c>
      <c r="C700" s="15" t="s">
        <v>1914</v>
      </c>
      <c r="D700" s="14" t="s">
        <v>1745</v>
      </c>
      <c r="E700" s="14" t="s">
        <v>1746</v>
      </c>
      <c r="F700" s="25">
        <v>209664</v>
      </c>
      <c r="G700" s="25">
        <v>146764.79999999999</v>
      </c>
    </row>
    <row r="701" spans="1:7" x14ac:dyDescent="0.25">
      <c r="A701" s="14" t="s">
        <v>1852</v>
      </c>
      <c r="B701" s="14">
        <v>54</v>
      </c>
      <c r="C701" s="15" t="s">
        <v>1979</v>
      </c>
      <c r="D701" s="14" t="s">
        <v>1749</v>
      </c>
      <c r="E701" s="14" t="s">
        <v>1746</v>
      </c>
      <c r="F701" s="25">
        <v>928452</v>
      </c>
      <c r="G701" s="25">
        <v>835606.8</v>
      </c>
    </row>
    <row r="702" spans="1:7" x14ac:dyDescent="0.25">
      <c r="A702" s="14" t="s">
        <v>1852</v>
      </c>
      <c r="B702" s="14" t="s">
        <v>20</v>
      </c>
      <c r="C702" s="15" t="s">
        <v>1978</v>
      </c>
      <c r="D702" s="14" t="s">
        <v>1745</v>
      </c>
      <c r="E702" s="14" t="s">
        <v>1746</v>
      </c>
      <c r="F702" s="25">
        <v>4193028</v>
      </c>
      <c r="G702" s="25">
        <v>2935120</v>
      </c>
    </row>
    <row r="703" spans="1:7" x14ac:dyDescent="0.25">
      <c r="A703" s="14" t="s">
        <v>1852</v>
      </c>
      <c r="B703" s="14" t="s">
        <v>1731</v>
      </c>
      <c r="C703" s="15" t="s">
        <v>1984</v>
      </c>
      <c r="D703" s="14" t="s">
        <v>1745</v>
      </c>
      <c r="E703" s="14" t="s">
        <v>1746</v>
      </c>
      <c r="F703" s="25">
        <v>288288</v>
      </c>
      <c r="G703" s="25">
        <v>201801.60000000001</v>
      </c>
    </row>
    <row r="704" spans="1:7" x14ac:dyDescent="0.25">
      <c r="A704" s="14" t="s">
        <v>1852</v>
      </c>
      <c r="B704" s="14" t="s">
        <v>1628</v>
      </c>
      <c r="C704" s="15" t="s">
        <v>1990</v>
      </c>
      <c r="D704" s="14" t="s">
        <v>1745</v>
      </c>
      <c r="E704" s="14" t="s">
        <v>1747</v>
      </c>
      <c r="F704" s="25">
        <v>274560</v>
      </c>
      <c r="G704" s="25">
        <v>192192</v>
      </c>
    </row>
    <row r="705" spans="1:7" x14ac:dyDescent="0.25">
      <c r="A705" s="14" t="s">
        <v>1852</v>
      </c>
      <c r="B705" s="14">
        <v>63</v>
      </c>
      <c r="C705" s="15" t="s">
        <v>1938</v>
      </c>
      <c r="D705" s="14" t="s">
        <v>1749</v>
      </c>
      <c r="E705" s="14" t="s">
        <v>1746</v>
      </c>
      <c r="F705" s="25">
        <v>14976</v>
      </c>
      <c r="G705" s="25">
        <v>13478.4</v>
      </c>
    </row>
    <row r="706" spans="1:7" x14ac:dyDescent="0.25">
      <c r="A706" s="14" t="s">
        <v>1852</v>
      </c>
      <c r="B706" s="14">
        <v>71</v>
      </c>
      <c r="C706" s="15" t="s">
        <v>1888</v>
      </c>
      <c r="D706" s="14" t="s">
        <v>1745</v>
      </c>
      <c r="E706" s="14" t="s">
        <v>1747</v>
      </c>
      <c r="F706" s="25">
        <v>1198020</v>
      </c>
      <c r="G706" s="25">
        <v>1078218</v>
      </c>
    </row>
    <row r="707" spans="1:7" x14ac:dyDescent="0.25">
      <c r="A707" s="14" t="s">
        <v>1852</v>
      </c>
      <c r="B707" s="14">
        <v>12</v>
      </c>
      <c r="C707" s="15" t="s">
        <v>1998</v>
      </c>
      <c r="D707" s="14" t="s">
        <v>1745</v>
      </c>
      <c r="E707" s="14" t="s">
        <v>1747</v>
      </c>
      <c r="F707" s="25">
        <v>499140</v>
      </c>
      <c r="G707" s="25">
        <v>349398</v>
      </c>
    </row>
    <row r="708" spans="1:7" x14ac:dyDescent="0.25">
      <c r="A708" s="14" t="s">
        <v>1852</v>
      </c>
      <c r="B708" s="14">
        <v>79</v>
      </c>
      <c r="C708" s="15" t="s">
        <v>1880</v>
      </c>
      <c r="D708" s="14" t="s">
        <v>1745</v>
      </c>
      <c r="E708" s="14" t="s">
        <v>1746</v>
      </c>
      <c r="F708" s="25">
        <v>12998349</v>
      </c>
      <c r="G708" s="25">
        <v>9098844</v>
      </c>
    </row>
    <row r="709" spans="1:7" x14ac:dyDescent="0.25">
      <c r="A709" s="14" t="s">
        <v>1852</v>
      </c>
      <c r="B709" s="14" t="s">
        <v>24</v>
      </c>
      <c r="C709" s="15" t="s">
        <v>1993</v>
      </c>
      <c r="D709" s="14" t="s">
        <v>1745</v>
      </c>
      <c r="E709" s="14" t="s">
        <v>1746</v>
      </c>
      <c r="F709" s="25">
        <v>524097</v>
      </c>
      <c r="G709" s="25">
        <v>366868</v>
      </c>
    </row>
    <row r="710" spans="1:7" x14ac:dyDescent="0.25">
      <c r="A710" s="14" t="s">
        <v>1850</v>
      </c>
      <c r="B710" s="14" t="s">
        <v>122</v>
      </c>
      <c r="C710" s="15" t="s">
        <v>1918</v>
      </c>
      <c r="D710" s="14" t="s">
        <v>1749</v>
      </c>
      <c r="E710" s="14" t="s">
        <v>1746</v>
      </c>
      <c r="F710" s="25">
        <v>8388</v>
      </c>
      <c r="G710" s="25">
        <v>5871.6</v>
      </c>
    </row>
    <row r="711" spans="1:7" x14ac:dyDescent="0.25">
      <c r="A711" s="14" t="s">
        <v>1852</v>
      </c>
      <c r="B711" s="14" t="s">
        <v>1630</v>
      </c>
      <c r="C711" s="15" t="s">
        <v>2010</v>
      </c>
      <c r="D711" s="14" t="s">
        <v>1745</v>
      </c>
      <c r="E711" s="14" t="s">
        <v>1747</v>
      </c>
      <c r="F711" s="25">
        <v>1597320</v>
      </c>
      <c r="G711" s="25">
        <v>1118124</v>
      </c>
    </row>
    <row r="712" spans="1:7" x14ac:dyDescent="0.25">
      <c r="A712" s="14" t="s">
        <v>1852</v>
      </c>
      <c r="B712" s="14" t="s">
        <v>1552</v>
      </c>
      <c r="C712" s="15" t="s">
        <v>1922</v>
      </c>
      <c r="D712" s="14" t="s">
        <v>1745</v>
      </c>
      <c r="E712" s="14" t="s">
        <v>1747</v>
      </c>
      <c r="F712" s="25">
        <v>2196360</v>
      </c>
      <c r="G712" s="25">
        <v>1537452</v>
      </c>
    </row>
    <row r="713" spans="1:7" x14ac:dyDescent="0.25">
      <c r="A713" s="14" t="s">
        <v>1852</v>
      </c>
      <c r="B713" s="14">
        <v>88</v>
      </c>
      <c r="C713" s="15" t="s">
        <v>1893</v>
      </c>
      <c r="D713" s="14" t="s">
        <v>1749</v>
      </c>
      <c r="E713" s="14" t="s">
        <v>1746</v>
      </c>
      <c r="F713" s="25">
        <v>579036</v>
      </c>
      <c r="G713" s="25">
        <v>405325.2</v>
      </c>
    </row>
    <row r="714" spans="1:7" x14ac:dyDescent="0.25">
      <c r="A714" s="14" t="s">
        <v>1852</v>
      </c>
      <c r="B714" s="14" t="s">
        <v>1673</v>
      </c>
      <c r="C714" s="15" t="s">
        <v>1980</v>
      </c>
      <c r="D714" s="14" t="s">
        <v>1749</v>
      </c>
      <c r="E714" s="14" t="s">
        <v>1746</v>
      </c>
      <c r="F714" s="25">
        <v>19968</v>
      </c>
      <c r="G714" s="25">
        <v>13977.6</v>
      </c>
    </row>
    <row r="715" spans="1:7" x14ac:dyDescent="0.25">
      <c r="A715" s="14" t="s">
        <v>1852</v>
      </c>
      <c r="B715" s="14" t="s">
        <v>1564</v>
      </c>
      <c r="C715" s="15" t="s">
        <v>1936</v>
      </c>
      <c r="D715" s="14" t="s">
        <v>1745</v>
      </c>
      <c r="E715" s="14" t="s">
        <v>1746</v>
      </c>
      <c r="F715" s="25">
        <v>288288</v>
      </c>
      <c r="G715" s="25">
        <v>201801.60000000001</v>
      </c>
    </row>
    <row r="716" spans="1:7" x14ac:dyDescent="0.25">
      <c r="A716" s="14" t="s">
        <v>1852</v>
      </c>
      <c r="B716" s="14" t="s">
        <v>1968</v>
      </c>
      <c r="C716" s="15" t="s">
        <v>1969</v>
      </c>
      <c r="D716" s="14" t="s">
        <v>1745</v>
      </c>
      <c r="E716" s="14" t="s">
        <v>1746</v>
      </c>
      <c r="F716" s="25">
        <v>9748746</v>
      </c>
      <c r="G716" s="25">
        <v>8773871</v>
      </c>
    </row>
    <row r="717" spans="1:7" x14ac:dyDescent="0.25">
      <c r="A717" s="14" t="s">
        <v>1852</v>
      </c>
      <c r="B717" s="14" t="s">
        <v>1683</v>
      </c>
      <c r="C717" s="15" t="s">
        <v>2025</v>
      </c>
      <c r="D717" s="14" t="s">
        <v>1745</v>
      </c>
      <c r="E717" s="14" t="s">
        <v>1747</v>
      </c>
      <c r="F717" s="25">
        <v>149760</v>
      </c>
      <c r="G717" s="25">
        <v>134784</v>
      </c>
    </row>
    <row r="718" spans="1:7" x14ac:dyDescent="0.25">
      <c r="A718" s="14" t="s">
        <v>1852</v>
      </c>
      <c r="B718" s="14">
        <v>73</v>
      </c>
      <c r="C718" s="15" t="s">
        <v>1954</v>
      </c>
      <c r="D718" s="14" t="s">
        <v>1749</v>
      </c>
      <c r="E718" s="14" t="s">
        <v>1746</v>
      </c>
      <c r="F718" s="25">
        <v>1237938</v>
      </c>
      <c r="G718" s="25">
        <v>866556.6</v>
      </c>
    </row>
    <row r="719" spans="1:7" x14ac:dyDescent="0.25">
      <c r="A719" s="14" t="s">
        <v>1852</v>
      </c>
      <c r="B719" s="14" t="s">
        <v>414</v>
      </c>
      <c r="C719" s="15" t="s">
        <v>1937</v>
      </c>
      <c r="D719" s="14" t="s">
        <v>1749</v>
      </c>
      <c r="E719" s="14" t="s">
        <v>1746</v>
      </c>
      <c r="F719" s="25">
        <v>579036</v>
      </c>
      <c r="G719" s="25">
        <v>405325.2</v>
      </c>
    </row>
    <row r="720" spans="1:7" x14ac:dyDescent="0.25">
      <c r="A720" s="14" t="s">
        <v>1852</v>
      </c>
      <c r="B720" s="14">
        <v>80</v>
      </c>
      <c r="C720" s="15" t="s">
        <v>1934</v>
      </c>
      <c r="D720" s="14" t="s">
        <v>1745</v>
      </c>
      <c r="E720" s="14" t="s">
        <v>1747</v>
      </c>
      <c r="F720" s="25">
        <v>5790360</v>
      </c>
      <c r="G720" s="25">
        <v>4053252</v>
      </c>
    </row>
    <row r="721" spans="1:7" x14ac:dyDescent="0.25">
      <c r="A721" s="14" t="s">
        <v>1852</v>
      </c>
      <c r="B721" s="14">
        <v>53</v>
      </c>
      <c r="C721" s="15" t="s">
        <v>2005</v>
      </c>
      <c r="D721" s="14" t="s">
        <v>1749</v>
      </c>
      <c r="E721" s="14" t="s">
        <v>1746</v>
      </c>
      <c r="F721" s="25">
        <v>14976</v>
      </c>
      <c r="G721" s="25">
        <v>13478.4</v>
      </c>
    </row>
    <row r="722" spans="1:7" x14ac:dyDescent="0.25">
      <c r="A722" s="14" t="s">
        <v>1852</v>
      </c>
      <c r="B722" s="14" t="s">
        <v>36</v>
      </c>
      <c r="C722" s="15" t="s">
        <v>1910</v>
      </c>
      <c r="D722" s="14" t="s">
        <v>1745</v>
      </c>
      <c r="E722" s="14" t="s">
        <v>1746</v>
      </c>
      <c r="F722" s="25">
        <v>524097</v>
      </c>
      <c r="G722" s="25">
        <v>366868</v>
      </c>
    </row>
    <row r="723" spans="1:7" x14ac:dyDescent="0.25">
      <c r="A723" s="14" t="s">
        <v>1852</v>
      </c>
      <c r="B723" s="14" t="s">
        <v>50</v>
      </c>
      <c r="C723" s="15" t="s">
        <v>1911</v>
      </c>
      <c r="D723" s="14" t="s">
        <v>1749</v>
      </c>
      <c r="E723" s="14" t="s">
        <v>1746</v>
      </c>
      <c r="F723" s="25">
        <v>3094842</v>
      </c>
      <c r="G723" s="25">
        <v>2166389</v>
      </c>
    </row>
    <row r="724" spans="1:7" x14ac:dyDescent="0.25">
      <c r="A724" s="14" t="s">
        <v>1852</v>
      </c>
      <c r="B724" s="14" t="s">
        <v>1645</v>
      </c>
      <c r="C724" s="15" t="s">
        <v>1982</v>
      </c>
      <c r="D724" s="14" t="s">
        <v>1749</v>
      </c>
      <c r="E724" s="14" t="s">
        <v>1746</v>
      </c>
      <c r="F724" s="25">
        <v>27456</v>
      </c>
      <c r="G724" s="25">
        <v>19219.2</v>
      </c>
    </row>
    <row r="725" spans="1:7" x14ac:dyDescent="0.25">
      <c r="A725" s="14" t="s">
        <v>1852</v>
      </c>
      <c r="B725" s="14" t="s">
        <v>1601</v>
      </c>
      <c r="C725" s="15" t="s">
        <v>1887</v>
      </c>
      <c r="D725" s="14" t="s">
        <v>1745</v>
      </c>
      <c r="E725" s="14" t="s">
        <v>1747</v>
      </c>
      <c r="F725" s="25">
        <v>149760</v>
      </c>
      <c r="G725" s="25">
        <v>134784</v>
      </c>
    </row>
    <row r="726" spans="1:7" x14ac:dyDescent="0.25">
      <c r="A726" s="14" t="s">
        <v>1852</v>
      </c>
      <c r="B726" s="14" t="s">
        <v>1566</v>
      </c>
      <c r="C726" s="15" t="s">
        <v>1891</v>
      </c>
      <c r="D726" s="14" t="s">
        <v>1745</v>
      </c>
      <c r="E726" s="14" t="s">
        <v>1746</v>
      </c>
      <c r="F726" s="25">
        <v>2306178</v>
      </c>
      <c r="G726" s="25">
        <v>1614325</v>
      </c>
    </row>
    <row r="727" spans="1:7" x14ac:dyDescent="0.25">
      <c r="A727" s="14" t="s">
        <v>1852</v>
      </c>
      <c r="B727" s="14" t="s">
        <v>73</v>
      </c>
      <c r="C727" s="15" t="s">
        <v>2003</v>
      </c>
      <c r="D727" s="14" t="s">
        <v>1745</v>
      </c>
      <c r="E727" s="14" t="s">
        <v>1747</v>
      </c>
      <c r="F727" s="25">
        <v>499140</v>
      </c>
      <c r="G727" s="25">
        <v>349398</v>
      </c>
    </row>
    <row r="728" spans="1:7" x14ac:dyDescent="0.25">
      <c r="A728" s="14" t="s">
        <v>1852</v>
      </c>
      <c r="B728" s="14" t="s">
        <v>1540</v>
      </c>
      <c r="C728" s="15" t="s">
        <v>2022</v>
      </c>
      <c r="D728" s="14" t="s">
        <v>1749</v>
      </c>
      <c r="E728" s="14" t="s">
        <v>1746</v>
      </c>
      <c r="F728" s="25">
        <v>19968</v>
      </c>
      <c r="G728" s="25">
        <v>13977.6</v>
      </c>
    </row>
    <row r="729" spans="1:7" x14ac:dyDescent="0.25">
      <c r="A729" s="14" t="s">
        <v>1852</v>
      </c>
      <c r="B729" s="14" t="s">
        <v>1555</v>
      </c>
      <c r="C729" s="15" t="s">
        <v>2018</v>
      </c>
      <c r="D729" s="14" t="s">
        <v>1745</v>
      </c>
      <c r="E729" s="14" t="s">
        <v>1746</v>
      </c>
      <c r="F729" s="25">
        <v>209664</v>
      </c>
      <c r="G729" s="25">
        <v>146764.79999999999</v>
      </c>
    </row>
    <row r="730" spans="1:7" x14ac:dyDescent="0.25">
      <c r="A730" s="14" t="s">
        <v>1852</v>
      </c>
      <c r="B730" s="14">
        <v>75</v>
      </c>
      <c r="C730" s="15" t="s">
        <v>2004</v>
      </c>
      <c r="D730" s="14" t="s">
        <v>1745</v>
      </c>
      <c r="E730" s="14" t="s">
        <v>1746</v>
      </c>
      <c r="F730" s="25">
        <v>17872722</v>
      </c>
      <c r="G730" s="25">
        <v>12510905</v>
      </c>
    </row>
    <row r="731" spans="1:7" x14ac:dyDescent="0.25">
      <c r="A731" s="14" t="s">
        <v>1852</v>
      </c>
      <c r="B731" s="14" t="s">
        <v>1898</v>
      </c>
      <c r="C731" s="15" t="s">
        <v>1899</v>
      </c>
      <c r="D731" s="14" t="s">
        <v>1745</v>
      </c>
      <c r="E731" s="14" t="s">
        <v>1747</v>
      </c>
      <c r="F731" s="25">
        <v>2196360</v>
      </c>
      <c r="G731" s="25">
        <v>1537452</v>
      </c>
    </row>
    <row r="732" spans="1:7" x14ac:dyDescent="0.25">
      <c r="A732" s="14" t="s">
        <v>1852</v>
      </c>
      <c r="B732" s="14">
        <v>50</v>
      </c>
      <c r="C732" s="15" t="s">
        <v>1919</v>
      </c>
      <c r="D732" s="14" t="s">
        <v>1745</v>
      </c>
      <c r="E732" s="14" t="s">
        <v>1747</v>
      </c>
      <c r="F732" s="25">
        <v>17021640</v>
      </c>
      <c r="G732" s="25">
        <v>11915148</v>
      </c>
    </row>
    <row r="733" spans="1:7" x14ac:dyDescent="0.25">
      <c r="A733" s="14" t="s">
        <v>1852</v>
      </c>
      <c r="B733" s="14">
        <v>75</v>
      </c>
      <c r="C733" s="15" t="s">
        <v>2004</v>
      </c>
      <c r="D733" s="14" t="s">
        <v>1745</v>
      </c>
      <c r="E733" s="14" t="s">
        <v>1747</v>
      </c>
      <c r="F733" s="25">
        <v>17021640</v>
      </c>
      <c r="G733" s="25">
        <v>11915148</v>
      </c>
    </row>
    <row r="734" spans="1:7" x14ac:dyDescent="0.25">
      <c r="A734" s="14" t="s">
        <v>1852</v>
      </c>
      <c r="B734" s="14" t="s">
        <v>414</v>
      </c>
      <c r="C734" s="15" t="s">
        <v>1937</v>
      </c>
      <c r="D734" s="14" t="s">
        <v>1745</v>
      </c>
      <c r="E734" s="14" t="s">
        <v>1746</v>
      </c>
      <c r="F734" s="25">
        <v>6079878</v>
      </c>
      <c r="G734" s="25">
        <v>4255915</v>
      </c>
    </row>
    <row r="735" spans="1:7" x14ac:dyDescent="0.25">
      <c r="A735" s="14" t="s">
        <v>1852</v>
      </c>
      <c r="B735" s="14">
        <v>54</v>
      </c>
      <c r="C735" s="15" t="s">
        <v>1979</v>
      </c>
      <c r="D735" s="14" t="s">
        <v>1745</v>
      </c>
      <c r="E735" s="14" t="s">
        <v>1746</v>
      </c>
      <c r="F735" s="25">
        <v>9748746</v>
      </c>
      <c r="G735" s="25">
        <v>8773871</v>
      </c>
    </row>
    <row r="736" spans="1:7" x14ac:dyDescent="0.25">
      <c r="A736" s="14" t="s">
        <v>1852</v>
      </c>
      <c r="B736" s="14">
        <v>81</v>
      </c>
      <c r="C736" s="15" t="s">
        <v>1986</v>
      </c>
      <c r="D736" s="14" t="s">
        <v>1749</v>
      </c>
      <c r="E736" s="14" t="s">
        <v>1746</v>
      </c>
      <c r="F736" s="25">
        <v>159732</v>
      </c>
      <c r="G736" s="25">
        <v>111812.4</v>
      </c>
    </row>
    <row r="737" spans="1:7" x14ac:dyDescent="0.25">
      <c r="A737" s="14" t="s">
        <v>1852</v>
      </c>
      <c r="B737" s="14" t="s">
        <v>1632</v>
      </c>
      <c r="C737" s="15" t="s">
        <v>1987</v>
      </c>
      <c r="D737" s="14" t="s">
        <v>1749</v>
      </c>
      <c r="E737" s="14" t="s">
        <v>1746</v>
      </c>
      <c r="F737" s="25">
        <v>14976</v>
      </c>
      <c r="G737" s="25">
        <v>13478.4</v>
      </c>
    </row>
    <row r="738" spans="1:7" x14ac:dyDescent="0.25">
      <c r="A738" s="14" t="s">
        <v>1852</v>
      </c>
      <c r="B738" s="14" t="s">
        <v>1737</v>
      </c>
      <c r="C738" s="15" t="s">
        <v>1883</v>
      </c>
      <c r="D738" s="14" t="s">
        <v>1749</v>
      </c>
      <c r="E738" s="14" t="s">
        <v>1746</v>
      </c>
      <c r="F738" s="25">
        <v>434274</v>
      </c>
      <c r="G738" s="25">
        <v>390846.6</v>
      </c>
    </row>
    <row r="739" spans="1:7" x14ac:dyDescent="0.25">
      <c r="A739" s="14" t="s">
        <v>1852</v>
      </c>
      <c r="B739" s="14">
        <v>59</v>
      </c>
      <c r="C739" s="15" t="s">
        <v>2000</v>
      </c>
      <c r="D739" s="14" t="s">
        <v>1749</v>
      </c>
      <c r="E739" s="14" t="s">
        <v>1746</v>
      </c>
      <c r="F739" s="25">
        <v>14976</v>
      </c>
      <c r="G739" s="25">
        <v>13478.4</v>
      </c>
    </row>
    <row r="740" spans="1:7" x14ac:dyDescent="0.25">
      <c r="A740" s="14" t="s">
        <v>1852</v>
      </c>
      <c r="B740" s="14" t="s">
        <v>402</v>
      </c>
      <c r="C740" s="15" t="s">
        <v>1932</v>
      </c>
      <c r="D740" s="14" t="s">
        <v>1745</v>
      </c>
      <c r="E740" s="14" t="s">
        <v>1747</v>
      </c>
      <c r="F740" s="25">
        <v>7961760</v>
      </c>
      <c r="G740" s="25">
        <v>5573232</v>
      </c>
    </row>
    <row r="741" spans="1:7" x14ac:dyDescent="0.25">
      <c r="A741" s="14" t="s">
        <v>1852</v>
      </c>
      <c r="B741" s="14">
        <v>9</v>
      </c>
      <c r="C741" s="15" t="s">
        <v>1873</v>
      </c>
      <c r="D741" s="14" t="s">
        <v>1745</v>
      </c>
      <c r="E741" s="14" t="s">
        <v>1746</v>
      </c>
      <c r="F741" s="25">
        <v>32495841</v>
      </c>
      <c r="G741" s="25">
        <v>22747089</v>
      </c>
    </row>
    <row r="742" spans="1:7" x14ac:dyDescent="0.25">
      <c r="A742" s="14" t="s">
        <v>1852</v>
      </c>
      <c r="B742" s="14">
        <v>55</v>
      </c>
      <c r="C742" s="15" t="s">
        <v>2006</v>
      </c>
      <c r="D742" s="14" t="s">
        <v>1745</v>
      </c>
      <c r="E742" s="14" t="s">
        <v>1747</v>
      </c>
      <c r="F742" s="25">
        <v>17021640</v>
      </c>
      <c r="G742" s="25">
        <v>11915148</v>
      </c>
    </row>
    <row r="743" spans="1:7" x14ac:dyDescent="0.25">
      <c r="A743" s="14" t="s">
        <v>1852</v>
      </c>
      <c r="B743" s="14" t="s">
        <v>24</v>
      </c>
      <c r="C743" s="15" t="s">
        <v>1993</v>
      </c>
      <c r="D743" s="14" t="s">
        <v>1745</v>
      </c>
      <c r="E743" s="14" t="s">
        <v>1747</v>
      </c>
      <c r="F743" s="25">
        <v>499140</v>
      </c>
      <c r="G743" s="25">
        <v>349398</v>
      </c>
    </row>
    <row r="744" spans="1:7" ht="30" x14ac:dyDescent="0.25">
      <c r="A744" s="14" t="s">
        <v>1850</v>
      </c>
      <c r="B744" s="14" t="s">
        <v>32</v>
      </c>
      <c r="C744" s="15" t="s">
        <v>1884</v>
      </c>
      <c r="D744" s="14" t="s">
        <v>1745</v>
      </c>
      <c r="E744" s="14" t="s">
        <v>1746</v>
      </c>
      <c r="F744" s="25">
        <v>17325</v>
      </c>
      <c r="G744" s="25">
        <v>12127.56</v>
      </c>
    </row>
    <row r="745" spans="1:7" x14ac:dyDescent="0.25">
      <c r="A745" s="14" t="s">
        <v>1852</v>
      </c>
      <c r="B745" s="14" t="s">
        <v>73</v>
      </c>
      <c r="C745" s="15" t="s">
        <v>2003</v>
      </c>
      <c r="D745" s="14" t="s">
        <v>1749</v>
      </c>
      <c r="E745" s="14" t="s">
        <v>1746</v>
      </c>
      <c r="F745" s="25">
        <v>49914</v>
      </c>
      <c r="G745" s="25">
        <v>34939.800000000003</v>
      </c>
    </row>
    <row r="746" spans="1:7" x14ac:dyDescent="0.25">
      <c r="A746" s="14" t="s">
        <v>1852</v>
      </c>
      <c r="B746" s="14">
        <v>70</v>
      </c>
      <c r="C746" s="15" t="s">
        <v>1953</v>
      </c>
      <c r="D746" s="14" t="s">
        <v>1749</v>
      </c>
      <c r="E746" s="14" t="s">
        <v>1746</v>
      </c>
      <c r="F746" s="25">
        <v>14976</v>
      </c>
      <c r="G746" s="25">
        <v>13478.4</v>
      </c>
    </row>
    <row r="747" spans="1:7" x14ac:dyDescent="0.25">
      <c r="A747" s="14" t="s">
        <v>1852</v>
      </c>
      <c r="B747" s="14">
        <v>66</v>
      </c>
      <c r="C747" s="15" t="s">
        <v>2023</v>
      </c>
      <c r="D747" s="14" t="s">
        <v>1745</v>
      </c>
      <c r="E747" s="14" t="s">
        <v>1747</v>
      </c>
      <c r="F747" s="25">
        <v>149760</v>
      </c>
      <c r="G747" s="25">
        <v>134784</v>
      </c>
    </row>
    <row r="748" spans="1:7" x14ac:dyDescent="0.25">
      <c r="A748" s="14" t="s">
        <v>1852</v>
      </c>
      <c r="B748" s="14" t="s">
        <v>1907</v>
      </c>
      <c r="C748" s="15" t="s">
        <v>1908</v>
      </c>
      <c r="D748" s="14" t="s">
        <v>1745</v>
      </c>
      <c r="E748" s="14" t="s">
        <v>1747</v>
      </c>
      <c r="F748" s="25">
        <v>149760</v>
      </c>
      <c r="G748" s="25">
        <v>134784</v>
      </c>
    </row>
    <row r="749" spans="1:7" x14ac:dyDescent="0.25">
      <c r="A749" s="14" t="s">
        <v>1852</v>
      </c>
      <c r="B749" s="14" t="s">
        <v>1968</v>
      </c>
      <c r="C749" s="15" t="s">
        <v>1969</v>
      </c>
      <c r="D749" s="14" t="s">
        <v>1745</v>
      </c>
      <c r="E749" s="14" t="s">
        <v>1747</v>
      </c>
      <c r="F749" s="25">
        <v>9284520</v>
      </c>
      <c r="G749" s="25">
        <v>8356068</v>
      </c>
    </row>
    <row r="750" spans="1:7" x14ac:dyDescent="0.25">
      <c r="A750" s="14" t="s">
        <v>1852</v>
      </c>
      <c r="B750" s="14">
        <v>16</v>
      </c>
      <c r="C750" s="15" t="s">
        <v>1952</v>
      </c>
      <c r="D750" s="14" t="s">
        <v>1749</v>
      </c>
      <c r="E750" s="14" t="s">
        <v>1746</v>
      </c>
      <c r="F750" s="25">
        <v>49914</v>
      </c>
      <c r="G750" s="25">
        <v>34939.800000000003</v>
      </c>
    </row>
    <row r="751" spans="1:7" x14ac:dyDescent="0.25">
      <c r="A751" s="14" t="s">
        <v>1852</v>
      </c>
      <c r="B751" s="14" t="s">
        <v>1683</v>
      </c>
      <c r="C751" s="15" t="s">
        <v>2025</v>
      </c>
      <c r="D751" s="14" t="s">
        <v>1749</v>
      </c>
      <c r="E751" s="14" t="s">
        <v>1746</v>
      </c>
      <c r="F751" s="25">
        <v>14976</v>
      </c>
      <c r="G751" s="25">
        <v>13478.4</v>
      </c>
    </row>
    <row r="752" spans="1:7" x14ac:dyDescent="0.25">
      <c r="A752" s="14" t="s">
        <v>1852</v>
      </c>
      <c r="B752" s="14" t="s">
        <v>2019</v>
      </c>
      <c r="C752" s="15" t="s">
        <v>2020</v>
      </c>
      <c r="D752" s="14" t="s">
        <v>1745</v>
      </c>
      <c r="E752" s="14" t="s">
        <v>1747</v>
      </c>
      <c r="F752" s="25">
        <v>199680</v>
      </c>
      <c r="G752" s="25">
        <v>139776</v>
      </c>
    </row>
    <row r="753" spans="1:7" x14ac:dyDescent="0.25">
      <c r="A753" s="14" t="s">
        <v>1852</v>
      </c>
      <c r="B753" s="14" t="s">
        <v>1578</v>
      </c>
      <c r="C753" s="15" t="s">
        <v>1856</v>
      </c>
      <c r="D753" s="14" t="s">
        <v>1745</v>
      </c>
      <c r="E753" s="14" t="s">
        <v>1746</v>
      </c>
      <c r="F753" s="25">
        <v>157248</v>
      </c>
      <c r="G753" s="25">
        <v>141523.20000000001</v>
      </c>
    </row>
    <row r="754" spans="1:7" x14ac:dyDescent="0.25">
      <c r="A754" s="14" t="s">
        <v>2026</v>
      </c>
      <c r="B754" s="14">
        <v>7</v>
      </c>
      <c r="C754" s="15" t="s">
        <v>2027</v>
      </c>
      <c r="D754" s="14" t="s">
        <v>1745</v>
      </c>
      <c r="E754" s="14" t="s">
        <v>1746</v>
      </c>
      <c r="F754" s="25">
        <v>63441</v>
      </c>
      <c r="G754" s="25">
        <v>47580.72</v>
      </c>
    </row>
    <row r="755" spans="1:7" ht="30" x14ac:dyDescent="0.25">
      <c r="A755" s="14" t="s">
        <v>2026</v>
      </c>
      <c r="B755" s="14">
        <v>8</v>
      </c>
      <c r="C755" s="15" t="s">
        <v>2028</v>
      </c>
      <c r="D755" s="14" t="s">
        <v>1745</v>
      </c>
      <c r="E755" s="14" t="s">
        <v>1747</v>
      </c>
      <c r="F755" s="25">
        <v>49440</v>
      </c>
      <c r="G755" s="25">
        <v>37080</v>
      </c>
    </row>
    <row r="756" spans="1:7" ht="30" x14ac:dyDescent="0.25">
      <c r="A756" s="14" t="s">
        <v>2026</v>
      </c>
      <c r="B756" s="14">
        <v>8</v>
      </c>
      <c r="C756" s="15" t="s">
        <v>2028</v>
      </c>
      <c r="D756" s="14" t="s">
        <v>1745</v>
      </c>
      <c r="E756" s="14" t="s">
        <v>1746</v>
      </c>
      <c r="F756" s="25">
        <v>51912</v>
      </c>
      <c r="G756" s="25">
        <v>38934</v>
      </c>
    </row>
    <row r="757" spans="1:7" x14ac:dyDescent="0.25">
      <c r="A757" s="14" t="s">
        <v>2026</v>
      </c>
      <c r="B757" s="14">
        <v>9</v>
      </c>
      <c r="C757" s="15" t="s">
        <v>2029</v>
      </c>
      <c r="D757" s="14" t="s">
        <v>1749</v>
      </c>
      <c r="E757" s="14" t="s">
        <v>1746</v>
      </c>
      <c r="F757" s="25">
        <v>8988</v>
      </c>
      <c r="G757" s="25">
        <v>6741</v>
      </c>
    </row>
    <row r="758" spans="1:7" ht="30" x14ac:dyDescent="0.25">
      <c r="A758" s="14" t="s">
        <v>2026</v>
      </c>
      <c r="B758" s="14">
        <v>5</v>
      </c>
      <c r="C758" s="15" t="s">
        <v>2030</v>
      </c>
      <c r="D758" s="14" t="s">
        <v>1749</v>
      </c>
      <c r="E758" s="14" t="s">
        <v>1746</v>
      </c>
      <c r="F758" s="25">
        <v>3594</v>
      </c>
      <c r="G758" s="25">
        <v>2695.5</v>
      </c>
    </row>
    <row r="759" spans="1:7" x14ac:dyDescent="0.25">
      <c r="A759" s="14" t="s">
        <v>2026</v>
      </c>
      <c r="B759" s="14">
        <v>9</v>
      </c>
      <c r="C759" s="15" t="s">
        <v>2029</v>
      </c>
      <c r="D759" s="14" t="s">
        <v>1745</v>
      </c>
      <c r="E759" s="14" t="s">
        <v>1746</v>
      </c>
      <c r="F759" s="25">
        <v>94374</v>
      </c>
      <c r="G759" s="25">
        <v>70780.56</v>
      </c>
    </row>
    <row r="760" spans="1:7" x14ac:dyDescent="0.25">
      <c r="A760" s="14" t="s">
        <v>2026</v>
      </c>
      <c r="B760" s="14">
        <v>2</v>
      </c>
      <c r="C760" s="15" t="s">
        <v>2031</v>
      </c>
      <c r="D760" s="14" t="s">
        <v>1745</v>
      </c>
      <c r="E760" s="14" t="s">
        <v>1746</v>
      </c>
      <c r="F760" s="25">
        <v>28854</v>
      </c>
      <c r="G760" s="25">
        <v>25968.6</v>
      </c>
    </row>
    <row r="761" spans="1:7" ht="30" x14ac:dyDescent="0.25">
      <c r="A761" s="14" t="s">
        <v>2026</v>
      </c>
      <c r="B761" s="14">
        <v>8</v>
      </c>
      <c r="C761" s="15" t="s">
        <v>2028</v>
      </c>
      <c r="D761" s="14" t="s">
        <v>1749</v>
      </c>
      <c r="E761" s="14" t="s">
        <v>1746</v>
      </c>
      <c r="F761" s="25">
        <v>4944</v>
      </c>
      <c r="G761" s="25">
        <v>3708</v>
      </c>
    </row>
    <row r="762" spans="1:7" x14ac:dyDescent="0.25">
      <c r="A762" s="14" t="s">
        <v>2026</v>
      </c>
      <c r="B762" s="14">
        <v>6</v>
      </c>
      <c r="C762" s="15" t="s">
        <v>2032</v>
      </c>
      <c r="D762" s="14" t="s">
        <v>1745</v>
      </c>
      <c r="E762" s="14" t="s">
        <v>1746</v>
      </c>
      <c r="F762" s="25">
        <v>115290</v>
      </c>
      <c r="G762" s="25">
        <v>86467.56</v>
      </c>
    </row>
    <row r="763" spans="1:7" x14ac:dyDescent="0.25">
      <c r="A763" s="14" t="s">
        <v>2026</v>
      </c>
      <c r="B763" s="14">
        <v>9</v>
      </c>
      <c r="C763" s="15" t="s">
        <v>2029</v>
      </c>
      <c r="D763" s="14" t="s">
        <v>1745</v>
      </c>
      <c r="E763" s="14" t="s">
        <v>1747</v>
      </c>
      <c r="F763" s="25">
        <v>89880</v>
      </c>
      <c r="G763" s="25">
        <v>67410</v>
      </c>
    </row>
    <row r="764" spans="1:7" x14ac:dyDescent="0.25">
      <c r="A764" s="14" t="s">
        <v>2026</v>
      </c>
      <c r="B764" s="14">
        <v>6</v>
      </c>
      <c r="C764" s="15" t="s">
        <v>2032</v>
      </c>
      <c r="D764" s="14" t="s">
        <v>1749</v>
      </c>
      <c r="E764" s="14" t="s">
        <v>1746</v>
      </c>
      <c r="F764" s="25">
        <v>10980</v>
      </c>
      <c r="G764" s="25">
        <v>8235</v>
      </c>
    </row>
    <row r="765" spans="1:7" ht="30" x14ac:dyDescent="0.25">
      <c r="A765" s="14" t="s">
        <v>2026</v>
      </c>
      <c r="B765" s="14">
        <v>4</v>
      </c>
      <c r="C765" s="15" t="s">
        <v>2033</v>
      </c>
      <c r="D765" s="14" t="s">
        <v>1745</v>
      </c>
      <c r="E765" s="14" t="s">
        <v>1747</v>
      </c>
      <c r="F765" s="25">
        <v>22440</v>
      </c>
      <c r="G765" s="25">
        <v>20196</v>
      </c>
    </row>
    <row r="766" spans="1:7" x14ac:dyDescent="0.25">
      <c r="A766" s="14" t="s">
        <v>2026</v>
      </c>
      <c r="B766" s="14">
        <v>1</v>
      </c>
      <c r="C766" s="15" t="s">
        <v>2034</v>
      </c>
      <c r="D766" s="14" t="s">
        <v>1745</v>
      </c>
      <c r="E766" s="14" t="s">
        <v>1747</v>
      </c>
      <c r="F766" s="25">
        <v>43920</v>
      </c>
      <c r="G766" s="25">
        <v>32940</v>
      </c>
    </row>
    <row r="767" spans="1:7" x14ac:dyDescent="0.25">
      <c r="A767" s="14" t="s">
        <v>2026</v>
      </c>
      <c r="B767" s="14">
        <v>2</v>
      </c>
      <c r="C767" s="15" t="s">
        <v>2031</v>
      </c>
      <c r="D767" s="14" t="s">
        <v>1745</v>
      </c>
      <c r="E767" s="14" t="s">
        <v>1747</v>
      </c>
      <c r="F767" s="25">
        <v>27480</v>
      </c>
      <c r="G767" s="25">
        <v>24732</v>
      </c>
    </row>
    <row r="768" spans="1:7" x14ac:dyDescent="0.25">
      <c r="A768" s="14" t="s">
        <v>2026</v>
      </c>
      <c r="B768" s="14">
        <v>6</v>
      </c>
      <c r="C768" s="15" t="s">
        <v>2032</v>
      </c>
      <c r="D768" s="14" t="s">
        <v>1745</v>
      </c>
      <c r="E768" s="14" t="s">
        <v>1747</v>
      </c>
      <c r="F768" s="25">
        <v>109800</v>
      </c>
      <c r="G768" s="25">
        <v>82350</v>
      </c>
    </row>
    <row r="769" spans="1:7" x14ac:dyDescent="0.25">
      <c r="A769" s="14" t="s">
        <v>2026</v>
      </c>
      <c r="B769" s="14">
        <v>7</v>
      </c>
      <c r="C769" s="15" t="s">
        <v>2027</v>
      </c>
      <c r="D769" s="14" t="s">
        <v>1749</v>
      </c>
      <c r="E769" s="14" t="s">
        <v>1746</v>
      </c>
      <c r="F769" s="25">
        <v>6042</v>
      </c>
      <c r="G769" s="25">
        <v>4531.5</v>
      </c>
    </row>
    <row r="770" spans="1:7" ht="30" x14ac:dyDescent="0.25">
      <c r="A770" s="14" t="s">
        <v>2026</v>
      </c>
      <c r="B770" s="14">
        <v>4</v>
      </c>
      <c r="C770" s="15" t="s">
        <v>2033</v>
      </c>
      <c r="D770" s="14" t="s">
        <v>1749</v>
      </c>
      <c r="E770" s="14" t="s">
        <v>1746</v>
      </c>
      <c r="F770" s="25">
        <v>2244</v>
      </c>
      <c r="G770" s="25">
        <v>2019.6</v>
      </c>
    </row>
    <row r="771" spans="1:7" ht="30" x14ac:dyDescent="0.25">
      <c r="A771" s="14" t="s">
        <v>2026</v>
      </c>
      <c r="B771" s="14">
        <v>5</v>
      </c>
      <c r="C771" s="15" t="s">
        <v>2030</v>
      </c>
      <c r="D771" s="14" t="s">
        <v>1745</v>
      </c>
      <c r="E771" s="14" t="s">
        <v>1747</v>
      </c>
      <c r="F771" s="25">
        <v>35940</v>
      </c>
      <c r="G771" s="25">
        <v>26955</v>
      </c>
    </row>
    <row r="772" spans="1:7" x14ac:dyDescent="0.25">
      <c r="A772" s="14" t="s">
        <v>2026</v>
      </c>
      <c r="B772" s="14">
        <v>1</v>
      </c>
      <c r="C772" s="15" t="s">
        <v>2034</v>
      </c>
      <c r="D772" s="14" t="s">
        <v>1745</v>
      </c>
      <c r="E772" s="14" t="s">
        <v>1746</v>
      </c>
      <c r="F772" s="25">
        <v>46116</v>
      </c>
      <c r="G772" s="25">
        <v>34587</v>
      </c>
    </row>
    <row r="773" spans="1:7" x14ac:dyDescent="0.25">
      <c r="A773" s="14" t="s">
        <v>2026</v>
      </c>
      <c r="B773" s="14">
        <v>9</v>
      </c>
      <c r="C773" s="15" t="s">
        <v>2029</v>
      </c>
      <c r="D773" s="14" t="s">
        <v>1752</v>
      </c>
      <c r="E773" s="14" t="s">
        <v>1746</v>
      </c>
      <c r="F773" s="25">
        <v>283122</v>
      </c>
      <c r="G773" s="25">
        <v>212341.7</v>
      </c>
    </row>
    <row r="774" spans="1:7" x14ac:dyDescent="0.25">
      <c r="A774" s="14" t="s">
        <v>2026</v>
      </c>
      <c r="B774" s="14">
        <v>7</v>
      </c>
      <c r="C774" s="15" t="s">
        <v>2027</v>
      </c>
      <c r="D774" s="14" t="s">
        <v>1745</v>
      </c>
      <c r="E774" s="14" t="s">
        <v>1747</v>
      </c>
      <c r="F774" s="25">
        <v>60420</v>
      </c>
      <c r="G774" s="25">
        <v>45315</v>
      </c>
    </row>
    <row r="775" spans="1:7" x14ac:dyDescent="0.25">
      <c r="A775" s="14" t="s">
        <v>2026</v>
      </c>
      <c r="B775" s="14">
        <v>1</v>
      </c>
      <c r="C775" s="15" t="s">
        <v>2034</v>
      </c>
      <c r="D775" s="14" t="s">
        <v>1749</v>
      </c>
      <c r="E775" s="14" t="s">
        <v>1746</v>
      </c>
      <c r="F775" s="25">
        <v>4392</v>
      </c>
      <c r="G775" s="25">
        <v>3294</v>
      </c>
    </row>
    <row r="776" spans="1:7" ht="30" x14ac:dyDescent="0.25">
      <c r="A776" s="14" t="s">
        <v>2026</v>
      </c>
      <c r="B776" s="14">
        <v>5</v>
      </c>
      <c r="C776" s="15" t="s">
        <v>2030</v>
      </c>
      <c r="D776" s="14" t="s">
        <v>1745</v>
      </c>
      <c r="E776" s="14" t="s">
        <v>1746</v>
      </c>
      <c r="F776" s="25">
        <v>37737</v>
      </c>
      <c r="G776" s="25">
        <v>28302.720000000001</v>
      </c>
    </row>
    <row r="777" spans="1:7" x14ac:dyDescent="0.25">
      <c r="A777" s="14" t="s">
        <v>2026</v>
      </c>
      <c r="B777" s="14">
        <v>9</v>
      </c>
      <c r="C777" s="15" t="s">
        <v>2029</v>
      </c>
      <c r="D777" s="14" t="s">
        <v>1752</v>
      </c>
      <c r="E777" s="14" t="s">
        <v>1753</v>
      </c>
      <c r="F777" s="25">
        <v>269640</v>
      </c>
      <c r="G777" s="25">
        <v>202230</v>
      </c>
    </row>
    <row r="778" spans="1:7" ht="30" x14ac:dyDescent="0.25">
      <c r="A778" s="14" t="s">
        <v>2026</v>
      </c>
      <c r="B778" s="14">
        <v>4</v>
      </c>
      <c r="C778" s="15" t="s">
        <v>2033</v>
      </c>
      <c r="D778" s="14" t="s">
        <v>1745</v>
      </c>
      <c r="E778" s="14" t="s">
        <v>1746</v>
      </c>
      <c r="F778" s="25">
        <v>23562</v>
      </c>
      <c r="G778" s="25">
        <v>21205.8</v>
      </c>
    </row>
    <row r="779" spans="1:7" x14ac:dyDescent="0.25">
      <c r="A779" s="14" t="s">
        <v>2026</v>
      </c>
      <c r="B779" s="14">
        <v>9</v>
      </c>
      <c r="C779" s="15" t="s">
        <v>2029</v>
      </c>
      <c r="D779" s="14" t="s">
        <v>1752</v>
      </c>
      <c r="E779" s="14" t="s">
        <v>1747</v>
      </c>
      <c r="F779" s="25">
        <v>269640</v>
      </c>
      <c r="G779" s="25">
        <v>202230</v>
      </c>
    </row>
    <row r="780" spans="1:7" x14ac:dyDescent="0.25">
      <c r="A780" s="14" t="s">
        <v>2026</v>
      </c>
      <c r="B780" s="14">
        <v>2</v>
      </c>
      <c r="C780" s="15" t="s">
        <v>2031</v>
      </c>
      <c r="D780" s="14" t="s">
        <v>1749</v>
      </c>
      <c r="E780" s="14" t="s">
        <v>1746</v>
      </c>
      <c r="F780" s="25">
        <v>2748</v>
      </c>
      <c r="G780" s="25">
        <v>2473.1999999999998</v>
      </c>
    </row>
    <row r="781" spans="1:7" ht="30" x14ac:dyDescent="0.25">
      <c r="A781" s="14" t="s">
        <v>2035</v>
      </c>
      <c r="B781" s="14">
        <v>3</v>
      </c>
      <c r="C781" s="15" t="s">
        <v>2036</v>
      </c>
      <c r="D781" s="14" t="s">
        <v>1749</v>
      </c>
      <c r="E781" s="14" t="s">
        <v>1746</v>
      </c>
      <c r="F781" s="25">
        <v>2994</v>
      </c>
      <c r="G781" s="25">
        <v>2245.5</v>
      </c>
    </row>
    <row r="782" spans="1:7" x14ac:dyDescent="0.25">
      <c r="A782" s="14" t="s">
        <v>2035</v>
      </c>
      <c r="B782" s="14">
        <v>4</v>
      </c>
      <c r="C782" s="15" t="s">
        <v>2037</v>
      </c>
      <c r="D782" s="14" t="s">
        <v>1745</v>
      </c>
      <c r="E782" s="14" t="s">
        <v>1747</v>
      </c>
      <c r="F782" s="25">
        <v>37920</v>
      </c>
      <c r="G782" s="25">
        <v>28440</v>
      </c>
    </row>
    <row r="783" spans="1:7" x14ac:dyDescent="0.25">
      <c r="A783" s="14" t="s">
        <v>2035</v>
      </c>
      <c r="B783" s="14">
        <v>9</v>
      </c>
      <c r="C783" s="15" t="s">
        <v>2038</v>
      </c>
      <c r="D783" s="14" t="s">
        <v>1745</v>
      </c>
      <c r="E783" s="14" t="s">
        <v>1747</v>
      </c>
      <c r="F783" s="25">
        <v>74880</v>
      </c>
      <c r="G783" s="25">
        <v>56160</v>
      </c>
    </row>
    <row r="784" spans="1:7" x14ac:dyDescent="0.25">
      <c r="A784" s="14" t="s">
        <v>2035</v>
      </c>
      <c r="B784" s="14">
        <v>7</v>
      </c>
      <c r="C784" s="15" t="s">
        <v>2039</v>
      </c>
      <c r="D784" s="14" t="s">
        <v>1745</v>
      </c>
      <c r="E784" s="14" t="s">
        <v>1746</v>
      </c>
      <c r="F784" s="25">
        <v>99603</v>
      </c>
      <c r="G784" s="25">
        <v>74702.28</v>
      </c>
    </row>
    <row r="785" spans="1:7" x14ac:dyDescent="0.25">
      <c r="A785" s="14" t="s">
        <v>2035</v>
      </c>
      <c r="B785" s="14">
        <v>8</v>
      </c>
      <c r="C785" s="15" t="s">
        <v>2040</v>
      </c>
      <c r="D785" s="14" t="s">
        <v>1745</v>
      </c>
      <c r="E785" s="14" t="s">
        <v>1747</v>
      </c>
      <c r="F785" s="25">
        <v>52140</v>
      </c>
      <c r="G785" s="25">
        <v>39105</v>
      </c>
    </row>
    <row r="786" spans="1:7" x14ac:dyDescent="0.25">
      <c r="A786" s="14" t="s">
        <v>2035</v>
      </c>
      <c r="B786" s="14">
        <v>9</v>
      </c>
      <c r="C786" s="15" t="s">
        <v>2038</v>
      </c>
      <c r="D786" s="14" t="s">
        <v>1749</v>
      </c>
      <c r="E786" s="14" t="s">
        <v>1746</v>
      </c>
      <c r="F786" s="25">
        <v>7488</v>
      </c>
      <c r="G786" s="25">
        <v>5616</v>
      </c>
    </row>
    <row r="787" spans="1:7" x14ac:dyDescent="0.25">
      <c r="A787" s="14" t="s">
        <v>2035</v>
      </c>
      <c r="B787" s="14">
        <v>4</v>
      </c>
      <c r="C787" s="15" t="s">
        <v>2037</v>
      </c>
      <c r="D787" s="14" t="s">
        <v>1749</v>
      </c>
      <c r="E787" s="14" t="s">
        <v>1746</v>
      </c>
      <c r="F787" s="25">
        <v>3792</v>
      </c>
      <c r="G787" s="25">
        <v>2844</v>
      </c>
    </row>
    <row r="788" spans="1:7" x14ac:dyDescent="0.25">
      <c r="A788" s="14" t="s">
        <v>2035</v>
      </c>
      <c r="B788" s="14">
        <v>6</v>
      </c>
      <c r="C788" s="15" t="s">
        <v>2041</v>
      </c>
      <c r="D788" s="14" t="s">
        <v>1749</v>
      </c>
      <c r="E788" s="14" t="s">
        <v>1746</v>
      </c>
      <c r="F788" s="25">
        <v>2370</v>
      </c>
      <c r="G788" s="25">
        <v>2133</v>
      </c>
    </row>
    <row r="789" spans="1:7" ht="30" x14ac:dyDescent="0.25">
      <c r="A789" s="14" t="s">
        <v>2035</v>
      </c>
      <c r="B789" s="14">
        <v>3</v>
      </c>
      <c r="C789" s="15" t="s">
        <v>2036</v>
      </c>
      <c r="D789" s="14" t="s">
        <v>1745</v>
      </c>
      <c r="E789" s="14" t="s">
        <v>1747</v>
      </c>
      <c r="F789" s="25">
        <v>29940</v>
      </c>
      <c r="G789" s="25">
        <v>22455</v>
      </c>
    </row>
    <row r="790" spans="1:7" ht="30" x14ac:dyDescent="0.25">
      <c r="A790" s="14" t="s">
        <v>2035</v>
      </c>
      <c r="B790" s="14">
        <v>5</v>
      </c>
      <c r="C790" s="15" t="s">
        <v>2042</v>
      </c>
      <c r="D790" s="14" t="s">
        <v>1749</v>
      </c>
      <c r="E790" s="14" t="s">
        <v>1746</v>
      </c>
      <c r="F790" s="25">
        <v>1872</v>
      </c>
      <c r="G790" s="25">
        <v>1684.8</v>
      </c>
    </row>
    <row r="791" spans="1:7" ht="30" x14ac:dyDescent="0.25">
      <c r="A791" s="14" t="s">
        <v>2035</v>
      </c>
      <c r="B791" s="14" t="s">
        <v>16</v>
      </c>
      <c r="C791" s="15" t="s">
        <v>2043</v>
      </c>
      <c r="D791" s="14" t="s">
        <v>1745</v>
      </c>
      <c r="E791" s="14" t="s">
        <v>1746</v>
      </c>
      <c r="F791" s="25">
        <v>43218</v>
      </c>
      <c r="G791" s="25">
        <v>32413.56</v>
      </c>
    </row>
    <row r="792" spans="1:7" x14ac:dyDescent="0.25">
      <c r="A792" s="14" t="s">
        <v>2035</v>
      </c>
      <c r="B792" s="14">
        <v>6</v>
      </c>
      <c r="C792" s="15" t="s">
        <v>2041</v>
      </c>
      <c r="D792" s="14" t="s">
        <v>1745</v>
      </c>
      <c r="E792" s="14" t="s">
        <v>1747</v>
      </c>
      <c r="F792" s="25">
        <v>23700</v>
      </c>
      <c r="G792" s="25">
        <v>21330</v>
      </c>
    </row>
    <row r="793" spans="1:7" x14ac:dyDescent="0.25">
      <c r="A793" s="14" t="s">
        <v>2035</v>
      </c>
      <c r="B793" s="14">
        <v>7</v>
      </c>
      <c r="C793" s="15" t="s">
        <v>2039</v>
      </c>
      <c r="D793" s="14" t="s">
        <v>1745</v>
      </c>
      <c r="E793" s="14" t="s">
        <v>1747</v>
      </c>
      <c r="F793" s="25">
        <v>94860</v>
      </c>
      <c r="G793" s="25">
        <v>71145</v>
      </c>
    </row>
    <row r="794" spans="1:7" x14ac:dyDescent="0.25">
      <c r="A794" s="14" t="s">
        <v>2035</v>
      </c>
      <c r="B794" s="14">
        <v>9</v>
      </c>
      <c r="C794" s="15" t="s">
        <v>2038</v>
      </c>
      <c r="D794" s="14" t="s">
        <v>1745</v>
      </c>
      <c r="E794" s="14" t="s">
        <v>1746</v>
      </c>
      <c r="F794" s="25">
        <v>78624</v>
      </c>
      <c r="G794" s="25">
        <v>58968</v>
      </c>
    </row>
    <row r="795" spans="1:7" ht="30" x14ac:dyDescent="0.25">
      <c r="A795" s="14" t="s">
        <v>2035</v>
      </c>
      <c r="B795" s="14" t="s">
        <v>16</v>
      </c>
      <c r="C795" s="15" t="s">
        <v>2043</v>
      </c>
      <c r="D795" s="14" t="s">
        <v>1745</v>
      </c>
      <c r="E795" s="14" t="s">
        <v>1747</v>
      </c>
      <c r="F795" s="25">
        <v>41160</v>
      </c>
      <c r="G795" s="25">
        <v>30870</v>
      </c>
    </row>
    <row r="796" spans="1:7" x14ac:dyDescent="0.25">
      <c r="A796" s="14" t="s">
        <v>2035</v>
      </c>
      <c r="B796" s="14">
        <v>6</v>
      </c>
      <c r="C796" s="15" t="s">
        <v>2041</v>
      </c>
      <c r="D796" s="14" t="s">
        <v>1745</v>
      </c>
      <c r="E796" s="14" t="s">
        <v>1746</v>
      </c>
      <c r="F796" s="25">
        <v>24885</v>
      </c>
      <c r="G796" s="25">
        <v>22396.560000000001</v>
      </c>
    </row>
    <row r="797" spans="1:7" x14ac:dyDescent="0.25">
      <c r="A797" s="14" t="s">
        <v>2035</v>
      </c>
      <c r="B797" s="14">
        <v>8</v>
      </c>
      <c r="C797" s="15" t="s">
        <v>2040</v>
      </c>
      <c r="D797" s="14" t="s">
        <v>1745</v>
      </c>
      <c r="E797" s="14" t="s">
        <v>1746</v>
      </c>
      <c r="F797" s="25">
        <v>54747</v>
      </c>
      <c r="G797" s="25">
        <v>41060.28</v>
      </c>
    </row>
    <row r="798" spans="1:7" x14ac:dyDescent="0.25">
      <c r="A798" s="14" t="s">
        <v>2035</v>
      </c>
      <c r="B798" s="14">
        <v>7</v>
      </c>
      <c r="C798" s="15" t="s">
        <v>2039</v>
      </c>
      <c r="D798" s="14" t="s">
        <v>1749</v>
      </c>
      <c r="E798" s="14" t="s">
        <v>1746</v>
      </c>
      <c r="F798" s="25">
        <v>9486</v>
      </c>
      <c r="G798" s="25">
        <v>7114.5</v>
      </c>
    </row>
    <row r="799" spans="1:7" ht="30" x14ac:dyDescent="0.25">
      <c r="A799" s="14" t="s">
        <v>2035</v>
      </c>
      <c r="B799" s="14">
        <v>5</v>
      </c>
      <c r="C799" s="15" t="s">
        <v>2042</v>
      </c>
      <c r="D799" s="14" t="s">
        <v>1745</v>
      </c>
      <c r="E799" s="14" t="s">
        <v>1746</v>
      </c>
      <c r="F799" s="25">
        <v>19656</v>
      </c>
      <c r="G799" s="25">
        <v>17690.400000000001</v>
      </c>
    </row>
    <row r="800" spans="1:7" x14ac:dyDescent="0.25">
      <c r="A800" s="14" t="s">
        <v>2035</v>
      </c>
      <c r="B800" s="14">
        <v>8</v>
      </c>
      <c r="C800" s="15" t="s">
        <v>2040</v>
      </c>
      <c r="D800" s="14" t="s">
        <v>1749</v>
      </c>
      <c r="E800" s="14" t="s">
        <v>1746</v>
      </c>
      <c r="F800" s="25">
        <v>5214</v>
      </c>
      <c r="G800" s="25">
        <v>3910.5</v>
      </c>
    </row>
    <row r="801" spans="1:7" x14ac:dyDescent="0.25">
      <c r="A801" s="14" t="s">
        <v>2035</v>
      </c>
      <c r="B801" s="14">
        <v>4</v>
      </c>
      <c r="C801" s="15" t="s">
        <v>2037</v>
      </c>
      <c r="D801" s="14" t="s">
        <v>1745</v>
      </c>
      <c r="E801" s="14" t="s">
        <v>1746</v>
      </c>
      <c r="F801" s="25">
        <v>39816</v>
      </c>
      <c r="G801" s="25">
        <v>29862</v>
      </c>
    </row>
    <row r="802" spans="1:7" ht="30" x14ac:dyDescent="0.25">
      <c r="A802" s="14" t="s">
        <v>2035</v>
      </c>
      <c r="B802" s="14" t="s">
        <v>16</v>
      </c>
      <c r="C802" s="15" t="s">
        <v>2043</v>
      </c>
      <c r="D802" s="14" t="s">
        <v>1749</v>
      </c>
      <c r="E802" s="14" t="s">
        <v>1746</v>
      </c>
      <c r="F802" s="25">
        <v>4116</v>
      </c>
      <c r="G802" s="25">
        <v>3087</v>
      </c>
    </row>
    <row r="803" spans="1:7" ht="30" x14ac:dyDescent="0.25">
      <c r="A803" s="14" t="s">
        <v>2035</v>
      </c>
      <c r="B803" s="14">
        <v>5</v>
      </c>
      <c r="C803" s="15" t="s">
        <v>2042</v>
      </c>
      <c r="D803" s="14" t="s">
        <v>1745</v>
      </c>
      <c r="E803" s="14" t="s">
        <v>1747</v>
      </c>
      <c r="F803" s="25">
        <v>18720</v>
      </c>
      <c r="G803" s="25">
        <v>16848</v>
      </c>
    </row>
    <row r="804" spans="1:7" ht="30" x14ac:dyDescent="0.25">
      <c r="A804" s="14" t="s">
        <v>2035</v>
      </c>
      <c r="B804" s="14">
        <v>3</v>
      </c>
      <c r="C804" s="15" t="s">
        <v>2036</v>
      </c>
      <c r="D804" s="14" t="s">
        <v>1745</v>
      </c>
      <c r="E804" s="14" t="s">
        <v>1746</v>
      </c>
      <c r="F804" s="25">
        <v>31437</v>
      </c>
      <c r="G804" s="25">
        <v>23577.72</v>
      </c>
    </row>
    <row r="805" spans="1:7" x14ac:dyDescent="0.25">
      <c r="A805" s="14" t="s">
        <v>2044</v>
      </c>
      <c r="B805" s="14">
        <v>8</v>
      </c>
      <c r="C805" s="15" t="s">
        <v>2045</v>
      </c>
      <c r="D805" s="14" t="s">
        <v>1749</v>
      </c>
      <c r="E805" s="14" t="s">
        <v>1746</v>
      </c>
      <c r="F805" s="25">
        <v>7488</v>
      </c>
      <c r="G805" s="25">
        <v>5616</v>
      </c>
    </row>
    <row r="806" spans="1:7" x14ac:dyDescent="0.25">
      <c r="A806" s="14" t="s">
        <v>2044</v>
      </c>
      <c r="B806" s="14">
        <v>7</v>
      </c>
      <c r="C806" s="15" t="s">
        <v>2046</v>
      </c>
      <c r="D806" s="14" t="s">
        <v>1745</v>
      </c>
      <c r="E806" s="14" t="s">
        <v>1746</v>
      </c>
      <c r="F806" s="25">
        <v>54747</v>
      </c>
      <c r="G806" s="25">
        <v>41060.28</v>
      </c>
    </row>
    <row r="807" spans="1:7" ht="30" x14ac:dyDescent="0.25">
      <c r="A807" s="14" t="s">
        <v>2044</v>
      </c>
      <c r="B807" s="14">
        <v>9</v>
      </c>
      <c r="C807" s="15" t="s">
        <v>2047</v>
      </c>
      <c r="D807" s="14" t="s">
        <v>1745</v>
      </c>
      <c r="E807" s="14" t="s">
        <v>1747</v>
      </c>
      <c r="F807" s="25">
        <v>41160</v>
      </c>
      <c r="G807" s="25">
        <v>30870</v>
      </c>
    </row>
    <row r="808" spans="1:7" x14ac:dyDescent="0.25">
      <c r="A808" s="14" t="s">
        <v>2044</v>
      </c>
      <c r="B808" s="14" t="s">
        <v>16</v>
      </c>
      <c r="C808" s="15" t="s">
        <v>2048</v>
      </c>
      <c r="D808" s="14" t="s">
        <v>1749</v>
      </c>
      <c r="E808" s="14" t="s">
        <v>1746</v>
      </c>
      <c r="F808" s="25">
        <v>9486</v>
      </c>
      <c r="G808" s="25">
        <v>7114.5</v>
      </c>
    </row>
    <row r="809" spans="1:7" ht="30" x14ac:dyDescent="0.25">
      <c r="A809" s="14" t="s">
        <v>2044</v>
      </c>
      <c r="B809" s="14">
        <v>1</v>
      </c>
      <c r="C809" s="15" t="s">
        <v>2049</v>
      </c>
      <c r="D809" s="14" t="s">
        <v>1749</v>
      </c>
      <c r="E809" s="14" t="s">
        <v>1746</v>
      </c>
      <c r="F809" s="25">
        <v>2994</v>
      </c>
      <c r="G809" s="25">
        <v>2245.5</v>
      </c>
    </row>
    <row r="810" spans="1:7" ht="30" x14ac:dyDescent="0.25">
      <c r="A810" s="14" t="s">
        <v>2044</v>
      </c>
      <c r="B810" s="14">
        <v>9</v>
      </c>
      <c r="C810" s="15" t="s">
        <v>2047</v>
      </c>
      <c r="D810" s="14" t="s">
        <v>1749</v>
      </c>
      <c r="E810" s="14" t="s">
        <v>1746</v>
      </c>
      <c r="F810" s="25">
        <v>4116</v>
      </c>
      <c r="G810" s="25">
        <v>3087</v>
      </c>
    </row>
    <row r="811" spans="1:7" ht="30" x14ac:dyDescent="0.25">
      <c r="A811" s="14" t="s">
        <v>2044</v>
      </c>
      <c r="B811" s="14">
        <v>1</v>
      </c>
      <c r="C811" s="15" t="s">
        <v>2049</v>
      </c>
      <c r="D811" s="14" t="s">
        <v>1745</v>
      </c>
      <c r="E811" s="14" t="s">
        <v>1747</v>
      </c>
      <c r="F811" s="25">
        <v>29940</v>
      </c>
      <c r="G811" s="25">
        <v>22455</v>
      </c>
    </row>
    <row r="812" spans="1:7" x14ac:dyDescent="0.25">
      <c r="A812" s="14" t="s">
        <v>2044</v>
      </c>
      <c r="B812" s="14">
        <v>2</v>
      </c>
      <c r="C812" s="15" t="s">
        <v>2050</v>
      </c>
      <c r="D812" s="14" t="s">
        <v>1745</v>
      </c>
      <c r="E812" s="14" t="s">
        <v>1746</v>
      </c>
      <c r="F812" s="25">
        <v>24885</v>
      </c>
      <c r="G812" s="25">
        <v>22396.560000000001</v>
      </c>
    </row>
    <row r="813" spans="1:7" ht="30" x14ac:dyDescent="0.25">
      <c r="A813" s="14" t="s">
        <v>2044</v>
      </c>
      <c r="B813" s="14">
        <v>9</v>
      </c>
      <c r="C813" s="15" t="s">
        <v>2047</v>
      </c>
      <c r="D813" s="14" t="s">
        <v>1745</v>
      </c>
      <c r="E813" s="14" t="s">
        <v>1746</v>
      </c>
      <c r="F813" s="25">
        <v>43218</v>
      </c>
      <c r="G813" s="25">
        <v>32413.56</v>
      </c>
    </row>
    <row r="814" spans="1:7" x14ac:dyDescent="0.25">
      <c r="A814" s="14" t="s">
        <v>2044</v>
      </c>
      <c r="B814" s="14">
        <v>4</v>
      </c>
      <c r="C814" s="15" t="s">
        <v>2051</v>
      </c>
      <c r="D814" s="14" t="s">
        <v>1745</v>
      </c>
      <c r="E814" s="14" t="s">
        <v>1746</v>
      </c>
      <c r="F814" s="25">
        <v>39816</v>
      </c>
      <c r="G814" s="25">
        <v>29862</v>
      </c>
    </row>
    <row r="815" spans="1:7" ht="30" x14ac:dyDescent="0.25">
      <c r="A815" s="14" t="s">
        <v>2044</v>
      </c>
      <c r="B815" s="14">
        <v>6</v>
      </c>
      <c r="C815" s="15" t="s">
        <v>2052</v>
      </c>
      <c r="D815" s="14" t="s">
        <v>1745</v>
      </c>
      <c r="E815" s="14" t="s">
        <v>1746</v>
      </c>
      <c r="F815" s="25">
        <v>19656</v>
      </c>
      <c r="G815" s="25">
        <v>17690.400000000001</v>
      </c>
    </row>
    <row r="816" spans="1:7" x14ac:dyDescent="0.25">
      <c r="A816" s="14" t="s">
        <v>2044</v>
      </c>
      <c r="B816" s="14">
        <v>2</v>
      </c>
      <c r="C816" s="15" t="s">
        <v>2050</v>
      </c>
      <c r="D816" s="14" t="s">
        <v>1745</v>
      </c>
      <c r="E816" s="14" t="s">
        <v>1747</v>
      </c>
      <c r="F816" s="25">
        <v>23700</v>
      </c>
      <c r="G816" s="25">
        <v>21330</v>
      </c>
    </row>
    <row r="817" spans="1:7" ht="30" x14ac:dyDescent="0.25">
      <c r="A817" s="14" t="s">
        <v>2044</v>
      </c>
      <c r="B817" s="14">
        <v>1</v>
      </c>
      <c r="C817" s="15" t="s">
        <v>2049</v>
      </c>
      <c r="D817" s="14" t="s">
        <v>1745</v>
      </c>
      <c r="E817" s="14" t="s">
        <v>1746</v>
      </c>
      <c r="F817" s="25">
        <v>31437</v>
      </c>
      <c r="G817" s="25">
        <v>23577.72</v>
      </c>
    </row>
    <row r="818" spans="1:7" x14ac:dyDescent="0.25">
      <c r="A818" s="14" t="s">
        <v>2044</v>
      </c>
      <c r="B818" s="14">
        <v>8</v>
      </c>
      <c r="C818" s="15" t="s">
        <v>2045</v>
      </c>
      <c r="D818" s="14" t="s">
        <v>1745</v>
      </c>
      <c r="E818" s="14" t="s">
        <v>1747</v>
      </c>
      <c r="F818" s="25">
        <v>74880</v>
      </c>
      <c r="G818" s="25">
        <v>56160</v>
      </c>
    </row>
    <row r="819" spans="1:7" x14ac:dyDescent="0.25">
      <c r="A819" s="14" t="s">
        <v>2044</v>
      </c>
      <c r="B819" s="14">
        <v>2</v>
      </c>
      <c r="C819" s="15" t="s">
        <v>2050</v>
      </c>
      <c r="D819" s="14" t="s">
        <v>1749</v>
      </c>
      <c r="E819" s="14" t="s">
        <v>1746</v>
      </c>
      <c r="F819" s="25">
        <v>2370</v>
      </c>
      <c r="G819" s="25">
        <v>2133</v>
      </c>
    </row>
    <row r="820" spans="1:7" x14ac:dyDescent="0.25">
      <c r="A820" s="14" t="s">
        <v>2044</v>
      </c>
      <c r="B820" s="14">
        <v>8</v>
      </c>
      <c r="C820" s="15" t="s">
        <v>2045</v>
      </c>
      <c r="D820" s="14" t="s">
        <v>1745</v>
      </c>
      <c r="E820" s="14" t="s">
        <v>1746</v>
      </c>
      <c r="F820" s="25">
        <v>78624</v>
      </c>
      <c r="G820" s="25">
        <v>58968</v>
      </c>
    </row>
    <row r="821" spans="1:7" x14ac:dyDescent="0.25">
      <c r="A821" s="14" t="s">
        <v>2044</v>
      </c>
      <c r="B821" s="14">
        <v>4</v>
      </c>
      <c r="C821" s="15" t="s">
        <v>2051</v>
      </c>
      <c r="D821" s="14" t="s">
        <v>1745</v>
      </c>
      <c r="E821" s="14" t="s">
        <v>1747</v>
      </c>
      <c r="F821" s="25">
        <v>37920</v>
      </c>
      <c r="G821" s="25">
        <v>28440</v>
      </c>
    </row>
    <row r="822" spans="1:7" x14ac:dyDescent="0.25">
      <c r="A822" s="14" t="s">
        <v>2044</v>
      </c>
      <c r="B822" s="14" t="s">
        <v>16</v>
      </c>
      <c r="C822" s="15" t="s">
        <v>2048</v>
      </c>
      <c r="D822" s="14" t="s">
        <v>1745</v>
      </c>
      <c r="E822" s="14" t="s">
        <v>1746</v>
      </c>
      <c r="F822" s="25">
        <v>99603</v>
      </c>
      <c r="G822" s="25">
        <v>74702.28</v>
      </c>
    </row>
    <row r="823" spans="1:7" x14ac:dyDescent="0.25">
      <c r="A823" s="14" t="s">
        <v>2044</v>
      </c>
      <c r="B823" s="14">
        <v>7</v>
      </c>
      <c r="C823" s="15" t="s">
        <v>2046</v>
      </c>
      <c r="D823" s="14" t="s">
        <v>1749</v>
      </c>
      <c r="E823" s="14" t="s">
        <v>1746</v>
      </c>
      <c r="F823" s="25">
        <v>5214</v>
      </c>
      <c r="G823" s="25">
        <v>3910.5</v>
      </c>
    </row>
    <row r="824" spans="1:7" ht="30" x14ac:dyDescent="0.25">
      <c r="A824" s="14" t="s">
        <v>2044</v>
      </c>
      <c r="B824" s="14">
        <v>6</v>
      </c>
      <c r="C824" s="15" t="s">
        <v>2052</v>
      </c>
      <c r="D824" s="14" t="s">
        <v>1749</v>
      </c>
      <c r="E824" s="14" t="s">
        <v>1746</v>
      </c>
      <c r="F824" s="25">
        <v>1872</v>
      </c>
      <c r="G824" s="25">
        <v>1684.8</v>
      </c>
    </row>
    <row r="825" spans="1:7" x14ac:dyDescent="0.25">
      <c r="A825" s="14" t="s">
        <v>2044</v>
      </c>
      <c r="B825" s="14">
        <v>7</v>
      </c>
      <c r="C825" s="15" t="s">
        <v>2046</v>
      </c>
      <c r="D825" s="14" t="s">
        <v>1745</v>
      </c>
      <c r="E825" s="14" t="s">
        <v>1747</v>
      </c>
      <c r="F825" s="25">
        <v>52140</v>
      </c>
      <c r="G825" s="25">
        <v>39105</v>
      </c>
    </row>
    <row r="826" spans="1:7" ht="30" x14ac:dyDescent="0.25">
      <c r="A826" s="14" t="s">
        <v>2044</v>
      </c>
      <c r="B826" s="14">
        <v>6</v>
      </c>
      <c r="C826" s="15" t="s">
        <v>2052</v>
      </c>
      <c r="D826" s="14" t="s">
        <v>1745</v>
      </c>
      <c r="E826" s="14" t="s">
        <v>1747</v>
      </c>
      <c r="F826" s="25">
        <v>18720</v>
      </c>
      <c r="G826" s="25">
        <v>16848</v>
      </c>
    </row>
    <row r="827" spans="1:7" x14ac:dyDescent="0.25">
      <c r="A827" s="14" t="s">
        <v>2044</v>
      </c>
      <c r="B827" s="14" t="s">
        <v>16</v>
      </c>
      <c r="C827" s="15" t="s">
        <v>2048</v>
      </c>
      <c r="D827" s="14" t="s">
        <v>1745</v>
      </c>
      <c r="E827" s="14" t="s">
        <v>1747</v>
      </c>
      <c r="F827" s="25">
        <v>94860</v>
      </c>
      <c r="G827" s="25">
        <v>71145</v>
      </c>
    </row>
    <row r="828" spans="1:7" x14ac:dyDescent="0.25">
      <c r="A828" s="14" t="s">
        <v>2044</v>
      </c>
      <c r="B828" s="14">
        <v>4</v>
      </c>
      <c r="C828" s="15" t="s">
        <v>2051</v>
      </c>
      <c r="D828" s="14" t="s">
        <v>1749</v>
      </c>
      <c r="E828" s="14" t="s">
        <v>1746</v>
      </c>
      <c r="F828" s="25">
        <v>3792</v>
      </c>
      <c r="G828" s="25">
        <v>2844</v>
      </c>
    </row>
    <row r="829" spans="1:7" x14ac:dyDescent="0.25">
      <c r="A829" s="14" t="s">
        <v>2053</v>
      </c>
      <c r="B829" s="14">
        <v>3</v>
      </c>
      <c r="C829" s="15" t="s">
        <v>2054</v>
      </c>
      <c r="D829" s="14" t="s">
        <v>1749</v>
      </c>
      <c r="E829" s="14" t="s">
        <v>1766</v>
      </c>
      <c r="F829" s="25">
        <v>0</v>
      </c>
      <c r="G829" s="25">
        <v>0</v>
      </c>
    </row>
    <row r="830" spans="1:7" x14ac:dyDescent="0.25">
      <c r="A830" s="14" t="s">
        <v>2055</v>
      </c>
      <c r="B830" s="14">
        <v>4</v>
      </c>
      <c r="C830" s="15" t="s">
        <v>2056</v>
      </c>
      <c r="D830" s="14" t="s">
        <v>1745</v>
      </c>
      <c r="E830" s="14" t="s">
        <v>1746</v>
      </c>
      <c r="F830" s="25">
        <v>314496</v>
      </c>
      <c r="G830" s="25">
        <v>251596.79999999999</v>
      </c>
    </row>
    <row r="831" spans="1:7" x14ac:dyDescent="0.25">
      <c r="A831" s="14" t="s">
        <v>2055</v>
      </c>
      <c r="B831" s="14" t="s">
        <v>583</v>
      </c>
      <c r="C831" s="15" t="s">
        <v>2057</v>
      </c>
      <c r="D831" s="14" t="s">
        <v>1752</v>
      </c>
      <c r="E831" s="14" t="s">
        <v>1746</v>
      </c>
      <c r="F831" s="25">
        <v>0</v>
      </c>
      <c r="G831" s="25">
        <v>0</v>
      </c>
    </row>
    <row r="832" spans="1:7" x14ac:dyDescent="0.25">
      <c r="A832" s="14" t="s">
        <v>2055</v>
      </c>
      <c r="B832" s="14" t="s">
        <v>73</v>
      </c>
      <c r="C832" s="15" t="s">
        <v>2058</v>
      </c>
      <c r="D832" s="14" t="s">
        <v>1752</v>
      </c>
      <c r="E832" s="14" t="s">
        <v>1746</v>
      </c>
      <c r="F832" s="25">
        <v>3144771</v>
      </c>
      <c r="G832" s="25">
        <v>2358578</v>
      </c>
    </row>
    <row r="833" spans="1:7" x14ac:dyDescent="0.25">
      <c r="A833" s="14" t="s">
        <v>2055</v>
      </c>
      <c r="B833" s="14">
        <v>17</v>
      </c>
      <c r="C833" s="15" t="s">
        <v>2059</v>
      </c>
      <c r="D833" s="14" t="s">
        <v>1745</v>
      </c>
      <c r="E833" s="14" t="s">
        <v>1747</v>
      </c>
      <c r="F833" s="25">
        <v>549060</v>
      </c>
      <c r="G833" s="25">
        <v>411795</v>
      </c>
    </row>
    <row r="834" spans="1:7" x14ac:dyDescent="0.25">
      <c r="A834" s="14" t="s">
        <v>2055</v>
      </c>
      <c r="B834" s="14" t="s">
        <v>73</v>
      </c>
      <c r="C834" s="15" t="s">
        <v>2058</v>
      </c>
      <c r="D834" s="14" t="s">
        <v>1745</v>
      </c>
      <c r="E834" s="14" t="s">
        <v>1747</v>
      </c>
      <c r="F834" s="25">
        <v>998340</v>
      </c>
      <c r="G834" s="25">
        <v>748755</v>
      </c>
    </row>
    <row r="835" spans="1:7" ht="30" x14ac:dyDescent="0.25">
      <c r="A835" s="14" t="s">
        <v>2055</v>
      </c>
      <c r="B835" s="14" t="s">
        <v>118</v>
      </c>
      <c r="C835" s="15" t="s">
        <v>2060</v>
      </c>
      <c r="D835" s="14" t="s">
        <v>1752</v>
      </c>
      <c r="E835" s="14" t="s">
        <v>1753</v>
      </c>
      <c r="F835" s="25">
        <v>411840</v>
      </c>
      <c r="G835" s="25">
        <v>308880</v>
      </c>
    </row>
    <row r="836" spans="1:7" ht="30" x14ac:dyDescent="0.25">
      <c r="A836" s="14" t="s">
        <v>2055</v>
      </c>
      <c r="B836" s="14">
        <v>18</v>
      </c>
      <c r="C836" s="15" t="s">
        <v>2061</v>
      </c>
      <c r="D836" s="14" t="s">
        <v>1752</v>
      </c>
      <c r="E836" s="14" t="s">
        <v>1753</v>
      </c>
      <c r="F836" s="25">
        <v>599040</v>
      </c>
      <c r="G836" s="25">
        <v>449280</v>
      </c>
    </row>
    <row r="837" spans="1:7" ht="30" x14ac:dyDescent="0.25">
      <c r="A837" s="14" t="s">
        <v>2055</v>
      </c>
      <c r="B837" s="14" t="s">
        <v>28</v>
      </c>
      <c r="C837" s="15" t="s">
        <v>2062</v>
      </c>
      <c r="D837" s="14" t="s">
        <v>1749</v>
      </c>
      <c r="E837" s="14" t="s">
        <v>1746</v>
      </c>
      <c r="F837" s="25">
        <v>9984</v>
      </c>
      <c r="G837" s="25">
        <v>7488</v>
      </c>
    </row>
    <row r="838" spans="1:7" x14ac:dyDescent="0.25">
      <c r="A838" s="14" t="s">
        <v>2055</v>
      </c>
      <c r="B838" s="14" t="s">
        <v>73</v>
      </c>
      <c r="C838" s="15" t="s">
        <v>2058</v>
      </c>
      <c r="D838" s="14" t="s">
        <v>1752</v>
      </c>
      <c r="E838" s="14" t="s">
        <v>1753</v>
      </c>
      <c r="F838" s="25">
        <v>2995020</v>
      </c>
      <c r="G838" s="25">
        <v>2246265</v>
      </c>
    </row>
    <row r="839" spans="1:7" x14ac:dyDescent="0.25">
      <c r="A839" s="14" t="s">
        <v>2055</v>
      </c>
      <c r="B839" s="14" t="s">
        <v>608</v>
      </c>
      <c r="C839" s="15" t="s">
        <v>2063</v>
      </c>
      <c r="D839" s="14" t="s">
        <v>1752</v>
      </c>
      <c r="E839" s="14" t="s">
        <v>1746</v>
      </c>
      <c r="F839" s="25">
        <v>0</v>
      </c>
      <c r="G839" s="25">
        <v>0</v>
      </c>
    </row>
    <row r="840" spans="1:7" ht="30" x14ac:dyDescent="0.25">
      <c r="A840" s="14" t="s">
        <v>2055</v>
      </c>
      <c r="B840" s="14" t="s">
        <v>118</v>
      </c>
      <c r="C840" s="15" t="s">
        <v>2060</v>
      </c>
      <c r="D840" s="14" t="s">
        <v>1752</v>
      </c>
      <c r="E840" s="14" t="s">
        <v>1747</v>
      </c>
      <c r="F840" s="25">
        <v>411840</v>
      </c>
      <c r="G840" s="25">
        <v>308880</v>
      </c>
    </row>
    <row r="841" spans="1:7" ht="30" x14ac:dyDescent="0.25">
      <c r="A841" s="14" t="s">
        <v>2055</v>
      </c>
      <c r="B841" s="14" t="s">
        <v>470</v>
      </c>
      <c r="C841" s="15" t="s">
        <v>2064</v>
      </c>
      <c r="D841" s="14" t="s">
        <v>1752</v>
      </c>
      <c r="E841" s="14" t="s">
        <v>1753</v>
      </c>
      <c r="F841" s="25">
        <v>823680</v>
      </c>
      <c r="G841" s="25">
        <v>617760</v>
      </c>
    </row>
    <row r="842" spans="1:7" ht="30" x14ac:dyDescent="0.25">
      <c r="A842" s="14" t="s">
        <v>2055</v>
      </c>
      <c r="B842" s="14">
        <v>18</v>
      </c>
      <c r="C842" s="15" t="s">
        <v>2061</v>
      </c>
      <c r="D842" s="14" t="s">
        <v>1745</v>
      </c>
      <c r="E842" s="14" t="s">
        <v>1746</v>
      </c>
      <c r="F842" s="25">
        <v>209664</v>
      </c>
      <c r="G842" s="25">
        <v>157248</v>
      </c>
    </row>
    <row r="843" spans="1:7" x14ac:dyDescent="0.25">
      <c r="A843" s="14" t="s">
        <v>2055</v>
      </c>
      <c r="B843" s="14">
        <v>16</v>
      </c>
      <c r="C843" s="15" t="s">
        <v>2065</v>
      </c>
      <c r="D843" s="14" t="s">
        <v>1745</v>
      </c>
      <c r="E843" s="14" t="s">
        <v>1746</v>
      </c>
      <c r="F843" s="25">
        <v>262080</v>
      </c>
      <c r="G843" s="25">
        <v>235872</v>
      </c>
    </row>
    <row r="844" spans="1:7" ht="30" x14ac:dyDescent="0.25">
      <c r="A844" s="14" t="s">
        <v>2055</v>
      </c>
      <c r="B844" s="14" t="s">
        <v>195</v>
      </c>
      <c r="C844" s="15" t="s">
        <v>2066</v>
      </c>
      <c r="D844" s="14" t="s">
        <v>1749</v>
      </c>
      <c r="E844" s="14" t="s">
        <v>1746</v>
      </c>
      <c r="F844" s="25">
        <v>16470</v>
      </c>
      <c r="G844" s="25">
        <v>13176</v>
      </c>
    </row>
    <row r="845" spans="1:7" x14ac:dyDescent="0.25">
      <c r="A845" s="14" t="s">
        <v>2055</v>
      </c>
      <c r="B845" s="14">
        <v>1</v>
      </c>
      <c r="C845" s="15" t="s">
        <v>2067</v>
      </c>
      <c r="D845" s="14" t="s">
        <v>1745</v>
      </c>
      <c r="E845" s="14" t="s">
        <v>1746</v>
      </c>
      <c r="F845" s="25">
        <v>0</v>
      </c>
      <c r="G845" s="25">
        <v>0</v>
      </c>
    </row>
    <row r="846" spans="1:7" x14ac:dyDescent="0.25">
      <c r="A846" s="14" t="s">
        <v>2055</v>
      </c>
      <c r="B846" s="14">
        <v>7</v>
      </c>
      <c r="C846" s="15" t="s">
        <v>2068</v>
      </c>
      <c r="D846" s="14" t="s">
        <v>1745</v>
      </c>
      <c r="E846" s="14" t="s">
        <v>1747</v>
      </c>
      <c r="F846" s="25">
        <v>1697160</v>
      </c>
      <c r="G846" s="25">
        <v>1272870</v>
      </c>
    </row>
    <row r="847" spans="1:7" x14ac:dyDescent="0.25">
      <c r="A847" s="14" t="s">
        <v>2055</v>
      </c>
      <c r="B847" s="14">
        <v>19</v>
      </c>
      <c r="C847" s="15" t="s">
        <v>2069</v>
      </c>
      <c r="D847" s="14" t="s">
        <v>1749</v>
      </c>
      <c r="E847" s="14" t="s">
        <v>1746</v>
      </c>
      <c r="F847" s="25">
        <v>12480</v>
      </c>
      <c r="G847" s="25">
        <v>11232</v>
      </c>
    </row>
    <row r="848" spans="1:7" x14ac:dyDescent="0.25">
      <c r="A848" s="14" t="s">
        <v>2055</v>
      </c>
      <c r="B848" s="14" t="s">
        <v>325</v>
      </c>
      <c r="C848" s="15" t="s">
        <v>2070</v>
      </c>
      <c r="D848" s="14" t="s">
        <v>1745</v>
      </c>
      <c r="E848" s="14" t="s">
        <v>1746</v>
      </c>
      <c r="F848" s="25">
        <v>419328</v>
      </c>
      <c r="G848" s="25">
        <v>314496</v>
      </c>
    </row>
    <row r="849" spans="1:7" ht="30" x14ac:dyDescent="0.25">
      <c r="A849" s="14" t="s">
        <v>2055</v>
      </c>
      <c r="B849" s="14" t="s">
        <v>28</v>
      </c>
      <c r="C849" s="15" t="s">
        <v>2062</v>
      </c>
      <c r="D849" s="14" t="s">
        <v>1745</v>
      </c>
      <c r="E849" s="14" t="s">
        <v>1746</v>
      </c>
      <c r="F849" s="25">
        <v>104832</v>
      </c>
      <c r="G849" s="25">
        <v>78624</v>
      </c>
    </row>
    <row r="850" spans="1:7" x14ac:dyDescent="0.25">
      <c r="A850" s="14" t="s">
        <v>2055</v>
      </c>
      <c r="B850" s="14" t="s">
        <v>173</v>
      </c>
      <c r="C850" s="15" t="s">
        <v>2071</v>
      </c>
      <c r="D850" s="14" t="s">
        <v>1752</v>
      </c>
      <c r="E850" s="14" t="s">
        <v>1746</v>
      </c>
      <c r="F850" s="25">
        <v>786240</v>
      </c>
      <c r="G850" s="25">
        <v>707616</v>
      </c>
    </row>
    <row r="851" spans="1:7" ht="30" x14ac:dyDescent="0.25">
      <c r="A851" s="14" t="s">
        <v>2055</v>
      </c>
      <c r="B851" s="14" t="s">
        <v>470</v>
      </c>
      <c r="C851" s="15" t="s">
        <v>2064</v>
      </c>
      <c r="D851" s="14" t="s">
        <v>1752</v>
      </c>
      <c r="E851" s="14" t="s">
        <v>1746</v>
      </c>
      <c r="F851" s="25">
        <v>864864</v>
      </c>
      <c r="G851" s="25">
        <v>648648</v>
      </c>
    </row>
    <row r="852" spans="1:7" ht="30" x14ac:dyDescent="0.25">
      <c r="A852" s="14" t="s">
        <v>2055</v>
      </c>
      <c r="B852" s="14" t="s">
        <v>118</v>
      </c>
      <c r="C852" s="15" t="s">
        <v>2060</v>
      </c>
      <c r="D852" s="14" t="s">
        <v>1745</v>
      </c>
      <c r="E852" s="14" t="s">
        <v>1746</v>
      </c>
      <c r="F852" s="25">
        <v>144144</v>
      </c>
      <c r="G852" s="25">
        <v>108108</v>
      </c>
    </row>
    <row r="853" spans="1:7" x14ac:dyDescent="0.25">
      <c r="A853" s="14" t="s">
        <v>2055</v>
      </c>
      <c r="B853" s="14">
        <v>15</v>
      </c>
      <c r="C853" s="15" t="s">
        <v>2072</v>
      </c>
      <c r="D853" s="14" t="s">
        <v>1752</v>
      </c>
      <c r="E853" s="14" t="s">
        <v>1747</v>
      </c>
      <c r="F853" s="25">
        <v>1198080</v>
      </c>
      <c r="G853" s="25">
        <v>898560</v>
      </c>
    </row>
    <row r="854" spans="1:7" x14ac:dyDescent="0.25">
      <c r="A854" s="14" t="s">
        <v>2055</v>
      </c>
      <c r="B854" s="14" t="s">
        <v>173</v>
      </c>
      <c r="C854" s="15" t="s">
        <v>2071</v>
      </c>
      <c r="D854" s="14" t="s">
        <v>1745</v>
      </c>
      <c r="E854" s="14" t="s">
        <v>1747</v>
      </c>
      <c r="F854" s="25">
        <v>249600</v>
      </c>
      <c r="G854" s="25">
        <v>224640</v>
      </c>
    </row>
    <row r="855" spans="1:7" x14ac:dyDescent="0.25">
      <c r="A855" s="14" t="s">
        <v>2055</v>
      </c>
      <c r="B855" s="14" t="s">
        <v>97</v>
      </c>
      <c r="C855" s="15" t="s">
        <v>2073</v>
      </c>
      <c r="D855" s="14" t="s">
        <v>1752</v>
      </c>
      <c r="E855" s="14" t="s">
        <v>1753</v>
      </c>
      <c r="F855" s="25">
        <v>1497420</v>
      </c>
      <c r="G855" s="25">
        <v>1347678</v>
      </c>
    </row>
    <row r="856" spans="1:7" x14ac:dyDescent="0.25">
      <c r="A856" s="14" t="s">
        <v>2055</v>
      </c>
      <c r="B856" s="14">
        <v>14</v>
      </c>
      <c r="C856" s="15" t="s">
        <v>2074</v>
      </c>
      <c r="D856" s="14" t="s">
        <v>1749</v>
      </c>
      <c r="E856" s="14" t="s">
        <v>1746</v>
      </c>
      <c r="F856" s="25">
        <v>37440</v>
      </c>
      <c r="G856" s="25">
        <v>33696</v>
      </c>
    </row>
    <row r="857" spans="1:7" x14ac:dyDescent="0.25">
      <c r="A857" s="14" t="s">
        <v>2055</v>
      </c>
      <c r="B857" s="14">
        <v>3</v>
      </c>
      <c r="C857" s="15" t="s">
        <v>2075</v>
      </c>
      <c r="D857" s="14" t="s">
        <v>1745</v>
      </c>
      <c r="E857" s="14" t="s">
        <v>1747</v>
      </c>
      <c r="F857" s="25">
        <v>249600</v>
      </c>
      <c r="G857" s="25">
        <v>187200</v>
      </c>
    </row>
    <row r="858" spans="1:7" x14ac:dyDescent="0.25">
      <c r="A858" s="14" t="s">
        <v>2055</v>
      </c>
      <c r="B858" s="14">
        <v>14</v>
      </c>
      <c r="C858" s="15" t="s">
        <v>2074</v>
      </c>
      <c r="D858" s="14" t="s">
        <v>1752</v>
      </c>
      <c r="E858" s="14" t="s">
        <v>1753</v>
      </c>
      <c r="F858" s="25">
        <v>1123200</v>
      </c>
      <c r="G858" s="25">
        <v>1010880</v>
      </c>
    </row>
    <row r="859" spans="1:7" x14ac:dyDescent="0.25">
      <c r="A859" s="14" t="s">
        <v>2055</v>
      </c>
      <c r="B859" s="14">
        <v>13</v>
      </c>
      <c r="C859" s="15" t="s">
        <v>2076</v>
      </c>
      <c r="D859" s="14" t="s">
        <v>1752</v>
      </c>
      <c r="E859" s="14" t="s">
        <v>1753</v>
      </c>
      <c r="F859" s="25">
        <v>2470860</v>
      </c>
      <c r="G859" s="25">
        <v>1853145</v>
      </c>
    </row>
    <row r="860" spans="1:7" x14ac:dyDescent="0.25">
      <c r="A860" s="14" t="s">
        <v>2055</v>
      </c>
      <c r="B860" s="14" t="s">
        <v>29</v>
      </c>
      <c r="C860" s="15" t="s">
        <v>2077</v>
      </c>
      <c r="D860" s="14" t="s">
        <v>1745</v>
      </c>
      <c r="E860" s="14" t="s">
        <v>1747</v>
      </c>
      <c r="F860" s="25">
        <v>933420</v>
      </c>
      <c r="G860" s="25">
        <v>700065</v>
      </c>
    </row>
    <row r="861" spans="1:7" ht="30" x14ac:dyDescent="0.25">
      <c r="A861" s="14" t="s">
        <v>2055</v>
      </c>
      <c r="B861" s="14" t="s">
        <v>195</v>
      </c>
      <c r="C861" s="15" t="s">
        <v>2066</v>
      </c>
      <c r="D861" s="14" t="s">
        <v>1745</v>
      </c>
      <c r="E861" s="14" t="s">
        <v>1746</v>
      </c>
      <c r="F861" s="25">
        <v>172935</v>
      </c>
      <c r="G861" s="25">
        <v>138348</v>
      </c>
    </row>
    <row r="862" spans="1:7" x14ac:dyDescent="0.25">
      <c r="A862" s="14" t="s">
        <v>2055</v>
      </c>
      <c r="B862" s="14" t="s">
        <v>583</v>
      </c>
      <c r="C862" s="15" t="s">
        <v>2057</v>
      </c>
      <c r="D862" s="14" t="s">
        <v>1752</v>
      </c>
      <c r="E862" s="14" t="s">
        <v>1753</v>
      </c>
      <c r="F862" s="25">
        <v>0</v>
      </c>
      <c r="G862" s="25">
        <v>0</v>
      </c>
    </row>
    <row r="863" spans="1:7" x14ac:dyDescent="0.25">
      <c r="A863" s="14" t="s">
        <v>2055</v>
      </c>
      <c r="B863" s="14" t="s">
        <v>608</v>
      </c>
      <c r="C863" s="15" t="s">
        <v>2063</v>
      </c>
      <c r="D863" s="14" t="s">
        <v>1749</v>
      </c>
      <c r="E863" s="14" t="s">
        <v>1746</v>
      </c>
      <c r="F863" s="25">
        <v>0</v>
      </c>
      <c r="G863" s="25">
        <v>0</v>
      </c>
    </row>
    <row r="864" spans="1:7" x14ac:dyDescent="0.25">
      <c r="A864" s="14" t="s">
        <v>2055</v>
      </c>
      <c r="B864" s="14">
        <v>15</v>
      </c>
      <c r="C864" s="15" t="s">
        <v>2072</v>
      </c>
      <c r="D864" s="14" t="s">
        <v>1752</v>
      </c>
      <c r="E864" s="14" t="s">
        <v>1753</v>
      </c>
      <c r="F864" s="25">
        <v>1198080</v>
      </c>
      <c r="G864" s="25">
        <v>898560</v>
      </c>
    </row>
    <row r="865" spans="1:7" ht="30" x14ac:dyDescent="0.25">
      <c r="A865" s="14" t="s">
        <v>2055</v>
      </c>
      <c r="B865" s="14" t="s">
        <v>122</v>
      </c>
      <c r="C865" s="15" t="s">
        <v>2078</v>
      </c>
      <c r="D865" s="14" t="s">
        <v>1745</v>
      </c>
      <c r="E865" s="14" t="s">
        <v>1746</v>
      </c>
      <c r="F865" s="25">
        <v>125811</v>
      </c>
      <c r="G865" s="25">
        <v>100648.8</v>
      </c>
    </row>
    <row r="866" spans="1:7" x14ac:dyDescent="0.25">
      <c r="A866" s="14" t="s">
        <v>2055</v>
      </c>
      <c r="B866" s="14">
        <v>16</v>
      </c>
      <c r="C866" s="15" t="s">
        <v>2065</v>
      </c>
      <c r="D866" s="14" t="s">
        <v>1752</v>
      </c>
      <c r="E866" s="14" t="s">
        <v>1753</v>
      </c>
      <c r="F866" s="25">
        <v>748800</v>
      </c>
      <c r="G866" s="25">
        <v>673920</v>
      </c>
    </row>
    <row r="867" spans="1:7" x14ac:dyDescent="0.25">
      <c r="A867" s="14" t="s">
        <v>2055</v>
      </c>
      <c r="B867" s="14" t="s">
        <v>36</v>
      </c>
      <c r="C867" s="15" t="s">
        <v>2079</v>
      </c>
      <c r="D867" s="14" t="s">
        <v>1752</v>
      </c>
      <c r="E867" s="14" t="s">
        <v>1746</v>
      </c>
      <c r="F867" s="25">
        <v>1336608</v>
      </c>
      <c r="G867" s="25">
        <v>1202947</v>
      </c>
    </row>
    <row r="868" spans="1:7" x14ac:dyDescent="0.25">
      <c r="A868" s="14" t="s">
        <v>2055</v>
      </c>
      <c r="B868" s="14" t="s">
        <v>243</v>
      </c>
      <c r="C868" s="15" t="s">
        <v>2080</v>
      </c>
      <c r="D868" s="14" t="s">
        <v>1749</v>
      </c>
      <c r="E868" s="14" t="s">
        <v>1746</v>
      </c>
      <c r="F868" s="25">
        <v>6240</v>
      </c>
      <c r="G868" s="25">
        <v>5616</v>
      </c>
    </row>
    <row r="869" spans="1:7" x14ac:dyDescent="0.25">
      <c r="A869" s="14" t="s">
        <v>2055</v>
      </c>
      <c r="B869" s="14" t="s">
        <v>46</v>
      </c>
      <c r="C869" s="15" t="s">
        <v>2081</v>
      </c>
      <c r="D869" s="14" t="s">
        <v>1745</v>
      </c>
      <c r="E869" s="14" t="s">
        <v>1747</v>
      </c>
      <c r="F869" s="25">
        <v>678840</v>
      </c>
      <c r="G869" s="25">
        <v>509130</v>
      </c>
    </row>
    <row r="870" spans="1:7" x14ac:dyDescent="0.25">
      <c r="A870" s="14" t="s">
        <v>2055</v>
      </c>
      <c r="B870" s="14">
        <v>4</v>
      </c>
      <c r="C870" s="15" t="s">
        <v>2056</v>
      </c>
      <c r="D870" s="14" t="s">
        <v>1752</v>
      </c>
      <c r="E870" s="14" t="s">
        <v>1753</v>
      </c>
      <c r="F870" s="25">
        <v>898560</v>
      </c>
      <c r="G870" s="25">
        <v>718848</v>
      </c>
    </row>
    <row r="871" spans="1:7" x14ac:dyDescent="0.25">
      <c r="A871" s="14" t="s">
        <v>2055</v>
      </c>
      <c r="B871" s="14" t="s">
        <v>263</v>
      </c>
      <c r="C871" s="15" t="s">
        <v>2082</v>
      </c>
      <c r="D871" s="14" t="s">
        <v>1752</v>
      </c>
      <c r="E871" s="14" t="s">
        <v>1753</v>
      </c>
      <c r="F871" s="25">
        <v>0</v>
      </c>
      <c r="G871" s="25">
        <v>0</v>
      </c>
    </row>
    <row r="872" spans="1:7" x14ac:dyDescent="0.25">
      <c r="A872" s="14" t="s">
        <v>2055</v>
      </c>
      <c r="B872" s="14">
        <v>15</v>
      </c>
      <c r="C872" s="15" t="s">
        <v>2072</v>
      </c>
      <c r="D872" s="14" t="s">
        <v>1749</v>
      </c>
      <c r="E872" s="14" t="s">
        <v>1746</v>
      </c>
      <c r="F872" s="25">
        <v>39936</v>
      </c>
      <c r="G872" s="25">
        <v>29952</v>
      </c>
    </row>
    <row r="873" spans="1:7" x14ac:dyDescent="0.25">
      <c r="A873" s="14" t="s">
        <v>2055</v>
      </c>
      <c r="B873" s="14">
        <v>14</v>
      </c>
      <c r="C873" s="15" t="s">
        <v>2074</v>
      </c>
      <c r="D873" s="14" t="s">
        <v>1752</v>
      </c>
      <c r="E873" s="14" t="s">
        <v>1746</v>
      </c>
      <c r="F873" s="25">
        <v>1179360</v>
      </c>
      <c r="G873" s="25">
        <v>1061424</v>
      </c>
    </row>
    <row r="874" spans="1:7" x14ac:dyDescent="0.25">
      <c r="A874" s="14" t="s">
        <v>2055</v>
      </c>
      <c r="B874" s="14" t="s">
        <v>173</v>
      </c>
      <c r="C874" s="15" t="s">
        <v>2071</v>
      </c>
      <c r="D874" s="14" t="s">
        <v>1752</v>
      </c>
      <c r="E874" s="14" t="s">
        <v>1747</v>
      </c>
      <c r="F874" s="25">
        <v>748800</v>
      </c>
      <c r="G874" s="25">
        <v>673920</v>
      </c>
    </row>
    <row r="875" spans="1:7" x14ac:dyDescent="0.25">
      <c r="A875" s="14" t="s">
        <v>2055</v>
      </c>
      <c r="B875" s="14" t="s">
        <v>73</v>
      </c>
      <c r="C875" s="15" t="s">
        <v>2058</v>
      </c>
      <c r="D875" s="14" t="s">
        <v>1745</v>
      </c>
      <c r="E875" s="14" t="s">
        <v>1746</v>
      </c>
      <c r="F875" s="25">
        <v>1048257</v>
      </c>
      <c r="G875" s="25">
        <v>786192.7</v>
      </c>
    </row>
    <row r="876" spans="1:7" x14ac:dyDescent="0.25">
      <c r="A876" s="14" t="s">
        <v>2055</v>
      </c>
      <c r="B876" s="14" t="s">
        <v>583</v>
      </c>
      <c r="C876" s="15" t="s">
        <v>2057</v>
      </c>
      <c r="D876" s="14" t="s">
        <v>1745</v>
      </c>
      <c r="E876" s="14" t="s">
        <v>1747</v>
      </c>
      <c r="F876" s="25">
        <v>0</v>
      </c>
      <c r="G876" s="25">
        <v>0</v>
      </c>
    </row>
    <row r="877" spans="1:7" x14ac:dyDescent="0.25">
      <c r="A877" s="14" t="s">
        <v>2055</v>
      </c>
      <c r="B877" s="14">
        <v>4</v>
      </c>
      <c r="C877" s="15" t="s">
        <v>2056</v>
      </c>
      <c r="D877" s="14" t="s">
        <v>1752</v>
      </c>
      <c r="E877" s="14" t="s">
        <v>1746</v>
      </c>
      <c r="F877" s="25">
        <v>943488</v>
      </c>
      <c r="G877" s="25">
        <v>754790.40000000002</v>
      </c>
    </row>
    <row r="878" spans="1:7" x14ac:dyDescent="0.25">
      <c r="A878" s="14" t="s">
        <v>2055</v>
      </c>
      <c r="B878" s="14" t="s">
        <v>36</v>
      </c>
      <c r="C878" s="15" t="s">
        <v>2079</v>
      </c>
      <c r="D878" s="14" t="s">
        <v>1752</v>
      </c>
      <c r="E878" s="14" t="s">
        <v>1753</v>
      </c>
      <c r="F878" s="25">
        <v>1272960</v>
      </c>
      <c r="G878" s="25">
        <v>1145664</v>
      </c>
    </row>
    <row r="879" spans="1:7" x14ac:dyDescent="0.25">
      <c r="A879" s="14" t="s">
        <v>2055</v>
      </c>
      <c r="B879" s="14" t="s">
        <v>325</v>
      </c>
      <c r="C879" s="15" t="s">
        <v>2070</v>
      </c>
      <c r="D879" s="14" t="s">
        <v>1745</v>
      </c>
      <c r="E879" s="14" t="s">
        <v>1747</v>
      </c>
      <c r="F879" s="25">
        <v>399360</v>
      </c>
      <c r="G879" s="25">
        <v>299520</v>
      </c>
    </row>
    <row r="880" spans="1:7" x14ac:dyDescent="0.25">
      <c r="A880" s="14" t="s">
        <v>2055</v>
      </c>
      <c r="B880" s="14">
        <v>1</v>
      </c>
      <c r="C880" s="15" t="s">
        <v>2067</v>
      </c>
      <c r="D880" s="14" t="s">
        <v>1752</v>
      </c>
      <c r="E880" s="14" t="s">
        <v>1747</v>
      </c>
      <c r="F880" s="25">
        <v>0</v>
      </c>
      <c r="G880" s="25">
        <v>0</v>
      </c>
    </row>
    <row r="881" spans="1:7" x14ac:dyDescent="0.25">
      <c r="A881" s="14" t="s">
        <v>2055</v>
      </c>
      <c r="B881" s="14" t="s">
        <v>97</v>
      </c>
      <c r="C881" s="15" t="s">
        <v>2073</v>
      </c>
      <c r="D881" s="14" t="s">
        <v>1745</v>
      </c>
      <c r="E881" s="14" t="s">
        <v>1746</v>
      </c>
      <c r="F881" s="25">
        <v>524097</v>
      </c>
      <c r="G881" s="25">
        <v>471687.4</v>
      </c>
    </row>
    <row r="882" spans="1:7" x14ac:dyDescent="0.25">
      <c r="A882" s="14" t="s">
        <v>2055</v>
      </c>
      <c r="B882" s="14">
        <v>4</v>
      </c>
      <c r="C882" s="15" t="s">
        <v>2056</v>
      </c>
      <c r="D882" s="14" t="s">
        <v>1745</v>
      </c>
      <c r="E882" s="14" t="s">
        <v>1747</v>
      </c>
      <c r="F882" s="25">
        <v>299520</v>
      </c>
      <c r="G882" s="25">
        <v>239616</v>
      </c>
    </row>
    <row r="883" spans="1:7" x14ac:dyDescent="0.25">
      <c r="A883" s="14" t="s">
        <v>2055</v>
      </c>
      <c r="B883" s="14" t="s">
        <v>297</v>
      </c>
      <c r="C883" s="15" t="s">
        <v>2083</v>
      </c>
      <c r="D883" s="14" t="s">
        <v>1745</v>
      </c>
      <c r="E883" s="14" t="s">
        <v>1746</v>
      </c>
      <c r="F883" s="25">
        <v>838593</v>
      </c>
      <c r="G883" s="25">
        <v>628944.69999999995</v>
      </c>
    </row>
    <row r="884" spans="1:7" x14ac:dyDescent="0.25">
      <c r="A884" s="14" t="s">
        <v>2055</v>
      </c>
      <c r="B884" s="14">
        <v>12</v>
      </c>
      <c r="C884" s="15" t="s">
        <v>2084</v>
      </c>
      <c r="D884" s="14" t="s">
        <v>1745</v>
      </c>
      <c r="E884" s="14" t="s">
        <v>1746</v>
      </c>
      <c r="F884" s="25">
        <v>628929</v>
      </c>
      <c r="G884" s="25">
        <v>471696.7</v>
      </c>
    </row>
    <row r="885" spans="1:7" ht="30" x14ac:dyDescent="0.25">
      <c r="A885" s="14" t="s">
        <v>2055</v>
      </c>
      <c r="B885" s="14" t="s">
        <v>195</v>
      </c>
      <c r="C885" s="15" t="s">
        <v>2066</v>
      </c>
      <c r="D885" s="14" t="s">
        <v>1745</v>
      </c>
      <c r="E885" s="14" t="s">
        <v>1747</v>
      </c>
      <c r="F885" s="25">
        <v>164700</v>
      </c>
      <c r="G885" s="25">
        <v>131760</v>
      </c>
    </row>
    <row r="886" spans="1:7" x14ac:dyDescent="0.25">
      <c r="A886" s="14" t="s">
        <v>2055</v>
      </c>
      <c r="B886" s="14" t="s">
        <v>89</v>
      </c>
      <c r="C886" s="15" t="s">
        <v>2085</v>
      </c>
      <c r="D886" s="14" t="s">
        <v>1752</v>
      </c>
      <c r="E886" s="14" t="s">
        <v>1746</v>
      </c>
      <c r="F886" s="25">
        <v>3144771</v>
      </c>
      <c r="G886" s="25">
        <v>2358578</v>
      </c>
    </row>
    <row r="887" spans="1:7" x14ac:dyDescent="0.25">
      <c r="A887" s="14" t="s">
        <v>2055</v>
      </c>
      <c r="B887" s="14">
        <v>1</v>
      </c>
      <c r="C887" s="15" t="s">
        <v>2067</v>
      </c>
      <c r="D887" s="14" t="s">
        <v>1752</v>
      </c>
      <c r="E887" s="14" t="s">
        <v>1746</v>
      </c>
      <c r="F887" s="25">
        <v>0</v>
      </c>
      <c r="G887" s="25">
        <v>0</v>
      </c>
    </row>
    <row r="888" spans="1:7" x14ac:dyDescent="0.25">
      <c r="A888" s="14" t="s">
        <v>2055</v>
      </c>
      <c r="B888" s="14" t="s">
        <v>173</v>
      </c>
      <c r="C888" s="15" t="s">
        <v>2071</v>
      </c>
      <c r="D888" s="14" t="s">
        <v>1749</v>
      </c>
      <c r="E888" s="14" t="s">
        <v>1746</v>
      </c>
      <c r="F888" s="25">
        <v>24960</v>
      </c>
      <c r="G888" s="25">
        <v>22464</v>
      </c>
    </row>
    <row r="889" spans="1:7" x14ac:dyDescent="0.25">
      <c r="A889" s="14" t="s">
        <v>2055</v>
      </c>
      <c r="B889" s="14" t="s">
        <v>297</v>
      </c>
      <c r="C889" s="15" t="s">
        <v>2083</v>
      </c>
      <c r="D889" s="14" t="s">
        <v>1749</v>
      </c>
      <c r="E889" s="14" t="s">
        <v>1746</v>
      </c>
      <c r="F889" s="25">
        <v>79866</v>
      </c>
      <c r="G889" s="25">
        <v>59899.5</v>
      </c>
    </row>
    <row r="890" spans="1:7" x14ac:dyDescent="0.25">
      <c r="A890" s="14" t="s">
        <v>2055</v>
      </c>
      <c r="B890" s="14">
        <v>5</v>
      </c>
      <c r="C890" s="15" t="s">
        <v>2086</v>
      </c>
      <c r="D890" s="14" t="s">
        <v>1745</v>
      </c>
      <c r="E890" s="14" t="s">
        <v>1747</v>
      </c>
      <c r="F890" s="25">
        <v>1497480</v>
      </c>
      <c r="G890" s="25">
        <v>1123110</v>
      </c>
    </row>
    <row r="891" spans="1:7" x14ac:dyDescent="0.25">
      <c r="A891" s="14" t="s">
        <v>2055</v>
      </c>
      <c r="B891" s="14" t="s">
        <v>36</v>
      </c>
      <c r="C891" s="15" t="s">
        <v>2079</v>
      </c>
      <c r="D891" s="14" t="s">
        <v>1745</v>
      </c>
      <c r="E891" s="14" t="s">
        <v>1746</v>
      </c>
      <c r="F891" s="25">
        <v>445536</v>
      </c>
      <c r="G891" s="25">
        <v>400982.4</v>
      </c>
    </row>
    <row r="892" spans="1:7" x14ac:dyDescent="0.25">
      <c r="A892" s="14" t="s">
        <v>2055</v>
      </c>
      <c r="B892" s="14">
        <v>14</v>
      </c>
      <c r="C892" s="15" t="s">
        <v>2074</v>
      </c>
      <c r="D892" s="14" t="s">
        <v>1745</v>
      </c>
      <c r="E892" s="14" t="s">
        <v>1746</v>
      </c>
      <c r="F892" s="25">
        <v>393120</v>
      </c>
      <c r="G892" s="25">
        <v>353808</v>
      </c>
    </row>
    <row r="893" spans="1:7" x14ac:dyDescent="0.25">
      <c r="A893" s="14" t="s">
        <v>2055</v>
      </c>
      <c r="B893" s="14">
        <v>3</v>
      </c>
      <c r="C893" s="15" t="s">
        <v>2075</v>
      </c>
      <c r="D893" s="14" t="s">
        <v>1745</v>
      </c>
      <c r="E893" s="14" t="s">
        <v>1746</v>
      </c>
      <c r="F893" s="25">
        <v>262080</v>
      </c>
      <c r="G893" s="25">
        <v>196560</v>
      </c>
    </row>
    <row r="894" spans="1:7" x14ac:dyDescent="0.25">
      <c r="A894" s="14" t="s">
        <v>2055</v>
      </c>
      <c r="B894" s="14">
        <v>7</v>
      </c>
      <c r="C894" s="15" t="s">
        <v>2068</v>
      </c>
      <c r="D894" s="14" t="s">
        <v>1752</v>
      </c>
      <c r="E894" s="14" t="s">
        <v>1746</v>
      </c>
      <c r="F894" s="25">
        <v>5346054</v>
      </c>
      <c r="G894" s="25">
        <v>4009541</v>
      </c>
    </row>
    <row r="895" spans="1:7" x14ac:dyDescent="0.25">
      <c r="A895" s="14" t="s">
        <v>2055</v>
      </c>
      <c r="B895" s="14">
        <v>16</v>
      </c>
      <c r="C895" s="15" t="s">
        <v>2065</v>
      </c>
      <c r="D895" s="14" t="s">
        <v>1749</v>
      </c>
      <c r="E895" s="14" t="s">
        <v>1746</v>
      </c>
      <c r="F895" s="25">
        <v>24960</v>
      </c>
      <c r="G895" s="25">
        <v>22464</v>
      </c>
    </row>
    <row r="896" spans="1:7" x14ac:dyDescent="0.25">
      <c r="A896" s="14" t="s">
        <v>2055</v>
      </c>
      <c r="B896" s="14" t="s">
        <v>243</v>
      </c>
      <c r="C896" s="15" t="s">
        <v>2080</v>
      </c>
      <c r="D896" s="14" t="s">
        <v>1745</v>
      </c>
      <c r="E896" s="14" t="s">
        <v>1746</v>
      </c>
      <c r="F896" s="25">
        <v>65520</v>
      </c>
      <c r="G896" s="25">
        <v>58968</v>
      </c>
    </row>
    <row r="897" spans="1:7" x14ac:dyDescent="0.25">
      <c r="A897" s="14" t="s">
        <v>2055</v>
      </c>
      <c r="B897" s="14">
        <v>7</v>
      </c>
      <c r="C897" s="15" t="s">
        <v>2068</v>
      </c>
      <c r="D897" s="14" t="s">
        <v>1745</v>
      </c>
      <c r="E897" s="14" t="s">
        <v>1746</v>
      </c>
      <c r="F897" s="25">
        <v>1782018</v>
      </c>
      <c r="G897" s="25">
        <v>1336514</v>
      </c>
    </row>
    <row r="898" spans="1:7" x14ac:dyDescent="0.25">
      <c r="A898" s="14" t="s">
        <v>2055</v>
      </c>
      <c r="B898" s="14" t="s">
        <v>243</v>
      </c>
      <c r="C898" s="15" t="s">
        <v>2080</v>
      </c>
      <c r="D898" s="14" t="s">
        <v>1745</v>
      </c>
      <c r="E898" s="14" t="s">
        <v>1747</v>
      </c>
      <c r="F898" s="25">
        <v>62400</v>
      </c>
      <c r="G898" s="25">
        <v>56160</v>
      </c>
    </row>
    <row r="899" spans="1:7" x14ac:dyDescent="0.25">
      <c r="A899" s="14" t="s">
        <v>2055</v>
      </c>
      <c r="B899" s="14" t="s">
        <v>263</v>
      </c>
      <c r="C899" s="15" t="s">
        <v>2082</v>
      </c>
      <c r="D899" s="14" t="s">
        <v>1745</v>
      </c>
      <c r="E899" s="14" t="s">
        <v>1746</v>
      </c>
      <c r="F899" s="25">
        <v>0</v>
      </c>
      <c r="G899" s="25">
        <v>0</v>
      </c>
    </row>
    <row r="900" spans="1:7" x14ac:dyDescent="0.25">
      <c r="A900" s="14" t="s">
        <v>2055</v>
      </c>
      <c r="B900" s="14">
        <v>5</v>
      </c>
      <c r="C900" s="15" t="s">
        <v>2086</v>
      </c>
      <c r="D900" s="14" t="s">
        <v>1752</v>
      </c>
      <c r="E900" s="14" t="s">
        <v>1746</v>
      </c>
      <c r="F900" s="25">
        <v>4717062</v>
      </c>
      <c r="G900" s="25">
        <v>3537797</v>
      </c>
    </row>
    <row r="901" spans="1:7" x14ac:dyDescent="0.25">
      <c r="A901" s="14" t="s">
        <v>2055</v>
      </c>
      <c r="B901" s="14" t="s">
        <v>608</v>
      </c>
      <c r="C901" s="15" t="s">
        <v>2063</v>
      </c>
      <c r="D901" s="14" t="s">
        <v>1752</v>
      </c>
      <c r="E901" s="14" t="s">
        <v>1747</v>
      </c>
      <c r="F901" s="25">
        <v>0</v>
      </c>
      <c r="G901" s="25">
        <v>0</v>
      </c>
    </row>
    <row r="902" spans="1:7" ht="30" x14ac:dyDescent="0.25">
      <c r="A902" s="14" t="s">
        <v>2055</v>
      </c>
      <c r="B902" s="14" t="s">
        <v>118</v>
      </c>
      <c r="C902" s="15" t="s">
        <v>2060</v>
      </c>
      <c r="D902" s="14" t="s">
        <v>1749</v>
      </c>
      <c r="E902" s="14" t="s">
        <v>1746</v>
      </c>
      <c r="F902" s="25">
        <v>13728</v>
      </c>
      <c r="G902" s="25">
        <v>10296</v>
      </c>
    </row>
    <row r="903" spans="1:7" ht="30" x14ac:dyDescent="0.25">
      <c r="A903" s="14" t="s">
        <v>2055</v>
      </c>
      <c r="B903" s="14" t="s">
        <v>28</v>
      </c>
      <c r="C903" s="15" t="s">
        <v>2062</v>
      </c>
      <c r="D903" s="14" t="s">
        <v>1752</v>
      </c>
      <c r="E903" s="14" t="s">
        <v>1746</v>
      </c>
      <c r="F903" s="25">
        <v>314496</v>
      </c>
      <c r="G903" s="25">
        <v>235872</v>
      </c>
    </row>
    <row r="904" spans="1:7" x14ac:dyDescent="0.25">
      <c r="A904" s="14" t="s">
        <v>2055</v>
      </c>
      <c r="B904" s="14" t="s">
        <v>46</v>
      </c>
      <c r="C904" s="15" t="s">
        <v>2081</v>
      </c>
      <c r="D904" s="14" t="s">
        <v>1752</v>
      </c>
      <c r="E904" s="14" t="s">
        <v>1753</v>
      </c>
      <c r="F904" s="25">
        <v>2036520</v>
      </c>
      <c r="G904" s="25">
        <v>1527390</v>
      </c>
    </row>
    <row r="905" spans="1:7" x14ac:dyDescent="0.25">
      <c r="A905" s="14" t="s">
        <v>2055</v>
      </c>
      <c r="B905" s="14">
        <v>17</v>
      </c>
      <c r="C905" s="15" t="s">
        <v>2059</v>
      </c>
      <c r="D905" s="14" t="s">
        <v>1749</v>
      </c>
      <c r="E905" s="14" t="s">
        <v>1746</v>
      </c>
      <c r="F905" s="25">
        <v>54906</v>
      </c>
      <c r="G905" s="25">
        <v>41179.5</v>
      </c>
    </row>
    <row r="906" spans="1:7" x14ac:dyDescent="0.25">
      <c r="A906" s="14" t="s">
        <v>2055</v>
      </c>
      <c r="B906" s="14" t="s">
        <v>29</v>
      </c>
      <c r="C906" s="15" t="s">
        <v>2077</v>
      </c>
      <c r="D906" s="14" t="s">
        <v>1749</v>
      </c>
      <c r="E906" s="14" t="s">
        <v>1746</v>
      </c>
      <c r="F906" s="25">
        <v>93342</v>
      </c>
      <c r="G906" s="25">
        <v>70006.5</v>
      </c>
    </row>
    <row r="907" spans="1:7" x14ac:dyDescent="0.25">
      <c r="A907" s="14" t="s">
        <v>2055</v>
      </c>
      <c r="B907" s="14" t="s">
        <v>108</v>
      </c>
      <c r="C907" s="15" t="s">
        <v>2087</v>
      </c>
      <c r="D907" s="14" t="s">
        <v>1749</v>
      </c>
      <c r="E907" s="14" t="s">
        <v>1746</v>
      </c>
      <c r="F907" s="25">
        <v>109818</v>
      </c>
      <c r="G907" s="25">
        <v>82363.5</v>
      </c>
    </row>
    <row r="908" spans="1:7" x14ac:dyDescent="0.25">
      <c r="A908" s="14" t="s">
        <v>2055</v>
      </c>
      <c r="B908" s="14" t="s">
        <v>97</v>
      </c>
      <c r="C908" s="15" t="s">
        <v>2073</v>
      </c>
      <c r="D908" s="14" t="s">
        <v>1752</v>
      </c>
      <c r="E908" s="14" t="s">
        <v>1746</v>
      </c>
      <c r="F908" s="25">
        <v>1572291</v>
      </c>
      <c r="G908" s="25">
        <v>1415062</v>
      </c>
    </row>
    <row r="909" spans="1:7" x14ac:dyDescent="0.25">
      <c r="A909" s="14" t="s">
        <v>2055</v>
      </c>
      <c r="B909" s="14" t="s">
        <v>333</v>
      </c>
      <c r="C909" s="15" t="s">
        <v>2088</v>
      </c>
      <c r="D909" s="14" t="s">
        <v>1752</v>
      </c>
      <c r="E909" s="14" t="s">
        <v>1747</v>
      </c>
      <c r="F909" s="25">
        <v>1647180</v>
      </c>
      <c r="G909" s="25">
        <v>1235385</v>
      </c>
    </row>
    <row r="910" spans="1:7" x14ac:dyDescent="0.25">
      <c r="A910" s="14" t="s">
        <v>2055</v>
      </c>
      <c r="B910" s="14" t="s">
        <v>89</v>
      </c>
      <c r="C910" s="15" t="s">
        <v>2085</v>
      </c>
      <c r="D910" s="14" t="s">
        <v>1749</v>
      </c>
      <c r="E910" s="14" t="s">
        <v>1746</v>
      </c>
      <c r="F910" s="25">
        <v>99834</v>
      </c>
      <c r="G910" s="25">
        <v>74875.5</v>
      </c>
    </row>
    <row r="911" spans="1:7" x14ac:dyDescent="0.25">
      <c r="A911" s="14" t="s">
        <v>2055</v>
      </c>
      <c r="B911" s="14" t="s">
        <v>608</v>
      </c>
      <c r="C911" s="15" t="s">
        <v>2063</v>
      </c>
      <c r="D911" s="14" t="s">
        <v>1745</v>
      </c>
      <c r="E911" s="14" t="s">
        <v>1747</v>
      </c>
      <c r="F911" s="25">
        <v>0</v>
      </c>
      <c r="G911" s="25">
        <v>0</v>
      </c>
    </row>
    <row r="912" spans="1:7" x14ac:dyDescent="0.25">
      <c r="A912" s="14" t="s">
        <v>2055</v>
      </c>
      <c r="B912" s="14" t="s">
        <v>29</v>
      </c>
      <c r="C912" s="15" t="s">
        <v>2077</v>
      </c>
      <c r="D912" s="14" t="s">
        <v>1745</v>
      </c>
      <c r="E912" s="14" t="s">
        <v>1746</v>
      </c>
      <c r="F912" s="25">
        <v>980091</v>
      </c>
      <c r="G912" s="25">
        <v>735068.3</v>
      </c>
    </row>
    <row r="913" spans="1:7" x14ac:dyDescent="0.25">
      <c r="A913" s="14" t="s">
        <v>2055</v>
      </c>
      <c r="B913" s="14">
        <v>6</v>
      </c>
      <c r="C913" s="15" t="s">
        <v>2089</v>
      </c>
      <c r="D913" s="14" t="s">
        <v>1752</v>
      </c>
      <c r="E913" s="14" t="s">
        <v>1753</v>
      </c>
      <c r="F913" s="25">
        <v>1497420</v>
      </c>
      <c r="G913" s="25">
        <v>1123065</v>
      </c>
    </row>
    <row r="914" spans="1:7" x14ac:dyDescent="0.25">
      <c r="A914" s="14" t="s">
        <v>2055</v>
      </c>
      <c r="B914" s="14" t="s">
        <v>29</v>
      </c>
      <c r="C914" s="15" t="s">
        <v>2077</v>
      </c>
      <c r="D914" s="14" t="s">
        <v>1752</v>
      </c>
      <c r="E914" s="14" t="s">
        <v>1746</v>
      </c>
      <c r="F914" s="25">
        <v>2940273</v>
      </c>
      <c r="G914" s="25">
        <v>2205205</v>
      </c>
    </row>
    <row r="915" spans="1:7" x14ac:dyDescent="0.25">
      <c r="A915" s="14" t="s">
        <v>2055</v>
      </c>
      <c r="B915" s="14">
        <v>7</v>
      </c>
      <c r="C915" s="15" t="s">
        <v>2068</v>
      </c>
      <c r="D915" s="14" t="s">
        <v>1749</v>
      </c>
      <c r="E915" s="14" t="s">
        <v>1746</v>
      </c>
      <c r="F915" s="25">
        <v>169716</v>
      </c>
      <c r="G915" s="25">
        <v>127287</v>
      </c>
    </row>
    <row r="916" spans="1:7" x14ac:dyDescent="0.25">
      <c r="A916" s="14" t="s">
        <v>2055</v>
      </c>
      <c r="B916" s="14">
        <v>5</v>
      </c>
      <c r="C916" s="15" t="s">
        <v>2086</v>
      </c>
      <c r="D916" s="14" t="s">
        <v>1752</v>
      </c>
      <c r="E916" s="14" t="s">
        <v>1747</v>
      </c>
      <c r="F916" s="25">
        <v>4492440</v>
      </c>
      <c r="G916" s="25">
        <v>3369330</v>
      </c>
    </row>
    <row r="917" spans="1:7" x14ac:dyDescent="0.25">
      <c r="A917" s="14" t="s">
        <v>2055</v>
      </c>
      <c r="B917" s="14" t="s">
        <v>89</v>
      </c>
      <c r="C917" s="15" t="s">
        <v>2085</v>
      </c>
      <c r="D917" s="14" t="s">
        <v>1752</v>
      </c>
      <c r="E917" s="14" t="s">
        <v>1753</v>
      </c>
      <c r="F917" s="25">
        <v>2995020</v>
      </c>
      <c r="G917" s="25">
        <v>2246265</v>
      </c>
    </row>
    <row r="918" spans="1:7" x14ac:dyDescent="0.25">
      <c r="A918" s="14" t="s">
        <v>2055</v>
      </c>
      <c r="B918" s="14" t="s">
        <v>583</v>
      </c>
      <c r="C918" s="15" t="s">
        <v>2057</v>
      </c>
      <c r="D918" s="14" t="s">
        <v>1752</v>
      </c>
      <c r="E918" s="14" t="s">
        <v>1747</v>
      </c>
      <c r="F918" s="25">
        <v>0</v>
      </c>
      <c r="G918" s="25">
        <v>0</v>
      </c>
    </row>
    <row r="919" spans="1:7" x14ac:dyDescent="0.25">
      <c r="A919" s="14" t="s">
        <v>2055</v>
      </c>
      <c r="B919" s="14">
        <v>3</v>
      </c>
      <c r="C919" s="15" t="s">
        <v>2075</v>
      </c>
      <c r="D919" s="14" t="s">
        <v>1752</v>
      </c>
      <c r="E919" s="14" t="s">
        <v>1747</v>
      </c>
      <c r="F919" s="25">
        <v>748800</v>
      </c>
      <c r="G919" s="25">
        <v>561600</v>
      </c>
    </row>
    <row r="920" spans="1:7" x14ac:dyDescent="0.25">
      <c r="A920" s="14" t="s">
        <v>2055</v>
      </c>
      <c r="B920" s="14">
        <v>1</v>
      </c>
      <c r="C920" s="15" t="s">
        <v>2067</v>
      </c>
      <c r="D920" s="14" t="s">
        <v>1745</v>
      </c>
      <c r="E920" s="14" t="s">
        <v>1747</v>
      </c>
      <c r="F920" s="25">
        <v>0</v>
      </c>
      <c r="G920" s="25">
        <v>0</v>
      </c>
    </row>
    <row r="921" spans="1:7" x14ac:dyDescent="0.25">
      <c r="A921" s="14" t="s">
        <v>2055</v>
      </c>
      <c r="B921" s="14">
        <v>12</v>
      </c>
      <c r="C921" s="15" t="s">
        <v>2084</v>
      </c>
      <c r="D921" s="14" t="s">
        <v>1745</v>
      </c>
      <c r="E921" s="14" t="s">
        <v>1747</v>
      </c>
      <c r="F921" s="25">
        <v>598980</v>
      </c>
      <c r="G921" s="25">
        <v>449235</v>
      </c>
    </row>
    <row r="922" spans="1:7" ht="30" x14ac:dyDescent="0.25">
      <c r="A922" s="14" t="s">
        <v>2055</v>
      </c>
      <c r="B922" s="14" t="s">
        <v>470</v>
      </c>
      <c r="C922" s="15" t="s">
        <v>2064</v>
      </c>
      <c r="D922" s="14" t="s">
        <v>1749</v>
      </c>
      <c r="E922" s="14" t="s">
        <v>1746</v>
      </c>
      <c r="F922" s="25">
        <v>27456</v>
      </c>
      <c r="G922" s="25">
        <v>20592</v>
      </c>
    </row>
    <row r="923" spans="1:7" x14ac:dyDescent="0.25">
      <c r="A923" s="14" t="s">
        <v>2055</v>
      </c>
      <c r="B923" s="14" t="s">
        <v>108</v>
      </c>
      <c r="C923" s="15" t="s">
        <v>2087</v>
      </c>
      <c r="D923" s="14" t="s">
        <v>1752</v>
      </c>
      <c r="E923" s="14" t="s">
        <v>1746</v>
      </c>
      <c r="F923" s="25">
        <v>3459267</v>
      </c>
      <c r="G923" s="25">
        <v>2594450</v>
      </c>
    </row>
    <row r="924" spans="1:7" x14ac:dyDescent="0.25">
      <c r="A924" s="14" t="s">
        <v>2055</v>
      </c>
      <c r="B924" s="14" t="s">
        <v>97</v>
      </c>
      <c r="C924" s="15" t="s">
        <v>2073</v>
      </c>
      <c r="D924" s="14" t="s">
        <v>1749</v>
      </c>
      <c r="E924" s="14" t="s">
        <v>1746</v>
      </c>
      <c r="F924" s="25">
        <v>49914</v>
      </c>
      <c r="G924" s="25">
        <v>44922.6</v>
      </c>
    </row>
    <row r="925" spans="1:7" x14ac:dyDescent="0.25">
      <c r="A925" s="14" t="s">
        <v>2055</v>
      </c>
      <c r="B925" s="14">
        <v>7</v>
      </c>
      <c r="C925" s="15" t="s">
        <v>2068</v>
      </c>
      <c r="D925" s="14" t="s">
        <v>1752</v>
      </c>
      <c r="E925" s="14" t="s">
        <v>1753</v>
      </c>
      <c r="F925" s="25">
        <v>5091480</v>
      </c>
      <c r="G925" s="25">
        <v>3818610</v>
      </c>
    </row>
    <row r="926" spans="1:7" x14ac:dyDescent="0.25">
      <c r="A926" s="14" t="s">
        <v>2055</v>
      </c>
      <c r="B926" s="14" t="s">
        <v>333</v>
      </c>
      <c r="C926" s="15" t="s">
        <v>2088</v>
      </c>
      <c r="D926" s="14" t="s">
        <v>1749</v>
      </c>
      <c r="E926" s="14" t="s">
        <v>1746</v>
      </c>
      <c r="F926" s="25">
        <v>54906</v>
      </c>
      <c r="G926" s="25">
        <v>41179.5</v>
      </c>
    </row>
    <row r="927" spans="1:7" x14ac:dyDescent="0.25">
      <c r="A927" s="14" t="s">
        <v>2055</v>
      </c>
      <c r="B927" s="14">
        <v>16</v>
      </c>
      <c r="C927" s="15" t="s">
        <v>2065</v>
      </c>
      <c r="D927" s="14" t="s">
        <v>1752</v>
      </c>
      <c r="E927" s="14" t="s">
        <v>1746</v>
      </c>
      <c r="F927" s="25">
        <v>786240</v>
      </c>
      <c r="G927" s="25">
        <v>707616</v>
      </c>
    </row>
    <row r="928" spans="1:7" x14ac:dyDescent="0.25">
      <c r="A928" s="14" t="s">
        <v>2055</v>
      </c>
      <c r="B928" s="14" t="s">
        <v>108</v>
      </c>
      <c r="C928" s="15" t="s">
        <v>2087</v>
      </c>
      <c r="D928" s="14" t="s">
        <v>1752</v>
      </c>
      <c r="E928" s="14" t="s">
        <v>1747</v>
      </c>
      <c r="F928" s="25">
        <v>3294540</v>
      </c>
      <c r="G928" s="25">
        <v>2470905</v>
      </c>
    </row>
    <row r="929" spans="1:7" x14ac:dyDescent="0.25">
      <c r="A929" s="14" t="s">
        <v>2055</v>
      </c>
      <c r="B929" s="14">
        <v>17</v>
      </c>
      <c r="C929" s="15" t="s">
        <v>2059</v>
      </c>
      <c r="D929" s="14" t="s">
        <v>1745</v>
      </c>
      <c r="E929" s="14" t="s">
        <v>1746</v>
      </c>
      <c r="F929" s="25">
        <v>576513</v>
      </c>
      <c r="G929" s="25">
        <v>432384.7</v>
      </c>
    </row>
    <row r="930" spans="1:7" x14ac:dyDescent="0.25">
      <c r="A930" s="14" t="s">
        <v>2055</v>
      </c>
      <c r="B930" s="14">
        <v>19</v>
      </c>
      <c r="C930" s="15" t="s">
        <v>2069</v>
      </c>
      <c r="D930" s="14" t="s">
        <v>1745</v>
      </c>
      <c r="E930" s="14" t="s">
        <v>1747</v>
      </c>
      <c r="F930" s="25">
        <v>124800</v>
      </c>
      <c r="G930" s="25">
        <v>112320</v>
      </c>
    </row>
    <row r="931" spans="1:7" x14ac:dyDescent="0.25">
      <c r="A931" s="14" t="s">
        <v>2055</v>
      </c>
      <c r="B931" s="14" t="s">
        <v>297</v>
      </c>
      <c r="C931" s="15" t="s">
        <v>2083</v>
      </c>
      <c r="D931" s="14" t="s">
        <v>1752</v>
      </c>
      <c r="E931" s="14" t="s">
        <v>1753</v>
      </c>
      <c r="F931" s="25">
        <v>2395980</v>
      </c>
      <c r="G931" s="25">
        <v>1796985</v>
      </c>
    </row>
    <row r="932" spans="1:7" x14ac:dyDescent="0.25">
      <c r="A932" s="14" t="s">
        <v>2055</v>
      </c>
      <c r="B932" s="14" t="s">
        <v>325</v>
      </c>
      <c r="C932" s="15" t="s">
        <v>2070</v>
      </c>
      <c r="D932" s="14" t="s">
        <v>1752</v>
      </c>
      <c r="E932" s="14" t="s">
        <v>1747</v>
      </c>
      <c r="F932" s="25">
        <v>1198080</v>
      </c>
      <c r="G932" s="25">
        <v>898560</v>
      </c>
    </row>
    <row r="933" spans="1:7" ht="30" x14ac:dyDescent="0.25">
      <c r="A933" s="14" t="s">
        <v>2055</v>
      </c>
      <c r="B933" s="14" t="s">
        <v>118</v>
      </c>
      <c r="C933" s="15" t="s">
        <v>2060</v>
      </c>
      <c r="D933" s="14" t="s">
        <v>1745</v>
      </c>
      <c r="E933" s="14" t="s">
        <v>1747</v>
      </c>
      <c r="F933" s="25">
        <v>137280</v>
      </c>
      <c r="G933" s="25">
        <v>102960</v>
      </c>
    </row>
    <row r="934" spans="1:7" x14ac:dyDescent="0.25">
      <c r="A934" s="14" t="s">
        <v>2055</v>
      </c>
      <c r="B934" s="14">
        <v>12</v>
      </c>
      <c r="C934" s="15" t="s">
        <v>2084</v>
      </c>
      <c r="D934" s="14" t="s">
        <v>1752</v>
      </c>
      <c r="E934" s="14" t="s">
        <v>1753</v>
      </c>
      <c r="F934" s="25">
        <v>1796940</v>
      </c>
      <c r="G934" s="25">
        <v>1347705</v>
      </c>
    </row>
    <row r="935" spans="1:7" x14ac:dyDescent="0.25">
      <c r="A935" s="14" t="s">
        <v>2055</v>
      </c>
      <c r="B935" s="14">
        <v>14</v>
      </c>
      <c r="C935" s="15" t="s">
        <v>2074</v>
      </c>
      <c r="D935" s="14" t="s">
        <v>1745</v>
      </c>
      <c r="E935" s="14" t="s">
        <v>1747</v>
      </c>
      <c r="F935" s="25">
        <v>374400</v>
      </c>
      <c r="G935" s="25">
        <v>336960</v>
      </c>
    </row>
    <row r="936" spans="1:7" x14ac:dyDescent="0.25">
      <c r="A936" s="14" t="s">
        <v>2055</v>
      </c>
      <c r="B936" s="14" t="s">
        <v>297</v>
      </c>
      <c r="C936" s="15" t="s">
        <v>2083</v>
      </c>
      <c r="D936" s="14" t="s">
        <v>1752</v>
      </c>
      <c r="E936" s="14" t="s">
        <v>1747</v>
      </c>
      <c r="F936" s="25">
        <v>2395980</v>
      </c>
      <c r="G936" s="25">
        <v>1796985</v>
      </c>
    </row>
    <row r="937" spans="1:7" x14ac:dyDescent="0.25">
      <c r="A937" s="14" t="s">
        <v>2055</v>
      </c>
      <c r="B937" s="14" t="s">
        <v>108</v>
      </c>
      <c r="C937" s="15" t="s">
        <v>2087</v>
      </c>
      <c r="D937" s="14" t="s">
        <v>1752</v>
      </c>
      <c r="E937" s="14" t="s">
        <v>1753</v>
      </c>
      <c r="F937" s="25">
        <v>3294540</v>
      </c>
      <c r="G937" s="25">
        <v>2470905</v>
      </c>
    </row>
    <row r="938" spans="1:7" x14ac:dyDescent="0.25">
      <c r="A938" s="14" t="s">
        <v>2055</v>
      </c>
      <c r="B938" s="14">
        <v>15</v>
      </c>
      <c r="C938" s="15" t="s">
        <v>2072</v>
      </c>
      <c r="D938" s="14" t="s">
        <v>1745</v>
      </c>
      <c r="E938" s="14" t="s">
        <v>1747</v>
      </c>
      <c r="F938" s="25">
        <v>399360</v>
      </c>
      <c r="G938" s="25">
        <v>299520</v>
      </c>
    </row>
    <row r="939" spans="1:7" x14ac:dyDescent="0.25">
      <c r="A939" s="14" t="s">
        <v>2055</v>
      </c>
      <c r="B939" s="14" t="s">
        <v>608</v>
      </c>
      <c r="C939" s="15" t="s">
        <v>2063</v>
      </c>
      <c r="D939" s="14" t="s">
        <v>1752</v>
      </c>
      <c r="E939" s="14" t="s">
        <v>1753</v>
      </c>
      <c r="F939" s="25">
        <v>0</v>
      </c>
      <c r="G939" s="25">
        <v>0</v>
      </c>
    </row>
    <row r="940" spans="1:7" ht="30" x14ac:dyDescent="0.25">
      <c r="A940" s="14" t="s">
        <v>2055</v>
      </c>
      <c r="B940" s="14" t="s">
        <v>470</v>
      </c>
      <c r="C940" s="15" t="s">
        <v>2064</v>
      </c>
      <c r="D940" s="14" t="s">
        <v>1752</v>
      </c>
      <c r="E940" s="14" t="s">
        <v>1747</v>
      </c>
      <c r="F940" s="25">
        <v>823680</v>
      </c>
      <c r="G940" s="25">
        <v>617760</v>
      </c>
    </row>
    <row r="941" spans="1:7" x14ac:dyDescent="0.25">
      <c r="A941" s="14" t="s">
        <v>2055</v>
      </c>
      <c r="B941" s="14" t="s">
        <v>297</v>
      </c>
      <c r="C941" s="15" t="s">
        <v>2083</v>
      </c>
      <c r="D941" s="14" t="s">
        <v>1745</v>
      </c>
      <c r="E941" s="14" t="s">
        <v>1747</v>
      </c>
      <c r="F941" s="25">
        <v>798660</v>
      </c>
      <c r="G941" s="25">
        <v>598995</v>
      </c>
    </row>
    <row r="942" spans="1:7" x14ac:dyDescent="0.25">
      <c r="A942" s="14" t="s">
        <v>2055</v>
      </c>
      <c r="B942" s="14" t="s">
        <v>89</v>
      </c>
      <c r="C942" s="15" t="s">
        <v>2085</v>
      </c>
      <c r="D942" s="14" t="s">
        <v>1745</v>
      </c>
      <c r="E942" s="14" t="s">
        <v>1746</v>
      </c>
      <c r="F942" s="25">
        <v>1048257</v>
      </c>
      <c r="G942" s="25">
        <v>786192.7</v>
      </c>
    </row>
    <row r="943" spans="1:7" x14ac:dyDescent="0.25">
      <c r="A943" s="14" t="s">
        <v>2055</v>
      </c>
      <c r="B943" s="14" t="s">
        <v>97</v>
      </c>
      <c r="C943" s="15" t="s">
        <v>2073</v>
      </c>
      <c r="D943" s="14" t="s">
        <v>1752</v>
      </c>
      <c r="E943" s="14" t="s">
        <v>1747</v>
      </c>
      <c r="F943" s="25">
        <v>1497420</v>
      </c>
      <c r="G943" s="25">
        <v>1347678</v>
      </c>
    </row>
    <row r="944" spans="1:7" x14ac:dyDescent="0.25">
      <c r="A944" s="14" t="s">
        <v>2055</v>
      </c>
      <c r="B944" s="14">
        <v>12</v>
      </c>
      <c r="C944" s="15" t="s">
        <v>2084</v>
      </c>
      <c r="D944" s="14" t="s">
        <v>1752</v>
      </c>
      <c r="E944" s="14" t="s">
        <v>1746</v>
      </c>
      <c r="F944" s="25">
        <v>1886787</v>
      </c>
      <c r="G944" s="25">
        <v>1415090</v>
      </c>
    </row>
    <row r="945" spans="1:7" x14ac:dyDescent="0.25">
      <c r="A945" s="14" t="s">
        <v>2055</v>
      </c>
      <c r="B945" s="14" t="s">
        <v>73</v>
      </c>
      <c r="C945" s="15" t="s">
        <v>2058</v>
      </c>
      <c r="D945" s="14" t="s">
        <v>1749</v>
      </c>
      <c r="E945" s="14" t="s">
        <v>1746</v>
      </c>
      <c r="F945" s="25">
        <v>99834</v>
      </c>
      <c r="G945" s="25">
        <v>74875.5</v>
      </c>
    </row>
    <row r="946" spans="1:7" x14ac:dyDescent="0.25">
      <c r="A946" s="14" t="s">
        <v>2055</v>
      </c>
      <c r="B946" s="14" t="s">
        <v>46</v>
      </c>
      <c r="C946" s="15" t="s">
        <v>2081</v>
      </c>
      <c r="D946" s="14" t="s">
        <v>1752</v>
      </c>
      <c r="E946" s="14" t="s">
        <v>1747</v>
      </c>
      <c r="F946" s="25">
        <v>2036520</v>
      </c>
      <c r="G946" s="25">
        <v>1527390</v>
      </c>
    </row>
    <row r="947" spans="1:7" x14ac:dyDescent="0.25">
      <c r="A947" s="14" t="s">
        <v>2055</v>
      </c>
      <c r="B947" s="14">
        <v>9</v>
      </c>
      <c r="C947" s="15" t="s">
        <v>2090</v>
      </c>
      <c r="D947" s="14" t="s">
        <v>1749</v>
      </c>
      <c r="E947" s="14" t="s">
        <v>1746</v>
      </c>
      <c r="F947" s="25">
        <v>199668</v>
      </c>
      <c r="G947" s="25">
        <v>149751</v>
      </c>
    </row>
    <row r="948" spans="1:7" x14ac:dyDescent="0.25">
      <c r="A948" s="14" t="s">
        <v>2055</v>
      </c>
      <c r="B948" s="14">
        <v>13</v>
      </c>
      <c r="C948" s="15" t="s">
        <v>2076</v>
      </c>
      <c r="D948" s="14" t="s">
        <v>1745</v>
      </c>
      <c r="E948" s="14" t="s">
        <v>1747</v>
      </c>
      <c r="F948" s="25">
        <v>823620</v>
      </c>
      <c r="G948" s="25">
        <v>617715</v>
      </c>
    </row>
    <row r="949" spans="1:7" ht="30" x14ac:dyDescent="0.25">
      <c r="A949" s="14" t="s">
        <v>2055</v>
      </c>
      <c r="B949" s="14" t="s">
        <v>28</v>
      </c>
      <c r="C949" s="15" t="s">
        <v>2062</v>
      </c>
      <c r="D949" s="14" t="s">
        <v>1745</v>
      </c>
      <c r="E949" s="14" t="s">
        <v>1747</v>
      </c>
      <c r="F949" s="25">
        <v>99840</v>
      </c>
      <c r="G949" s="25">
        <v>74880</v>
      </c>
    </row>
    <row r="950" spans="1:7" x14ac:dyDescent="0.25">
      <c r="A950" s="14" t="s">
        <v>2055</v>
      </c>
      <c r="B950" s="14">
        <v>19</v>
      </c>
      <c r="C950" s="15" t="s">
        <v>2069</v>
      </c>
      <c r="D950" s="14" t="s">
        <v>1752</v>
      </c>
      <c r="E950" s="14" t="s">
        <v>1747</v>
      </c>
      <c r="F950" s="25">
        <v>374400</v>
      </c>
      <c r="G950" s="25">
        <v>336960</v>
      </c>
    </row>
    <row r="951" spans="1:7" x14ac:dyDescent="0.25">
      <c r="A951" s="14" t="s">
        <v>2055</v>
      </c>
      <c r="B951" s="14" t="s">
        <v>325</v>
      </c>
      <c r="C951" s="15" t="s">
        <v>2070</v>
      </c>
      <c r="D951" s="14" t="s">
        <v>1752</v>
      </c>
      <c r="E951" s="14" t="s">
        <v>1753</v>
      </c>
      <c r="F951" s="25">
        <v>1198080</v>
      </c>
      <c r="G951" s="25">
        <v>898560</v>
      </c>
    </row>
    <row r="952" spans="1:7" x14ac:dyDescent="0.25">
      <c r="A952" s="14" t="s">
        <v>2055</v>
      </c>
      <c r="B952" s="14" t="s">
        <v>333</v>
      </c>
      <c r="C952" s="15" t="s">
        <v>2088</v>
      </c>
      <c r="D952" s="14" t="s">
        <v>1752</v>
      </c>
      <c r="E952" s="14" t="s">
        <v>1746</v>
      </c>
      <c r="F952" s="25">
        <v>1729539</v>
      </c>
      <c r="G952" s="25">
        <v>1297154</v>
      </c>
    </row>
    <row r="953" spans="1:7" x14ac:dyDescent="0.25">
      <c r="A953" s="14" t="s">
        <v>2055</v>
      </c>
      <c r="B953" s="14" t="s">
        <v>243</v>
      </c>
      <c r="C953" s="15" t="s">
        <v>2080</v>
      </c>
      <c r="D953" s="14" t="s">
        <v>1752</v>
      </c>
      <c r="E953" s="14" t="s">
        <v>1747</v>
      </c>
      <c r="F953" s="25">
        <v>187200</v>
      </c>
      <c r="G953" s="25">
        <v>168480</v>
      </c>
    </row>
    <row r="954" spans="1:7" x14ac:dyDescent="0.25">
      <c r="A954" s="14" t="s">
        <v>2055</v>
      </c>
      <c r="B954" s="14">
        <v>9</v>
      </c>
      <c r="C954" s="15" t="s">
        <v>2090</v>
      </c>
      <c r="D954" s="14" t="s">
        <v>1752</v>
      </c>
      <c r="E954" s="14" t="s">
        <v>1753</v>
      </c>
      <c r="F954" s="25">
        <v>5990040</v>
      </c>
      <c r="G954" s="25">
        <v>4492530</v>
      </c>
    </row>
    <row r="955" spans="1:7" x14ac:dyDescent="0.25">
      <c r="A955" s="14" t="s">
        <v>2055</v>
      </c>
      <c r="B955" s="14" t="s">
        <v>29</v>
      </c>
      <c r="C955" s="15" t="s">
        <v>2077</v>
      </c>
      <c r="D955" s="14" t="s">
        <v>1752</v>
      </c>
      <c r="E955" s="14" t="s">
        <v>1747</v>
      </c>
      <c r="F955" s="25">
        <v>2800260</v>
      </c>
      <c r="G955" s="25">
        <v>2100195</v>
      </c>
    </row>
    <row r="956" spans="1:7" x14ac:dyDescent="0.25">
      <c r="A956" s="14" t="s">
        <v>2055</v>
      </c>
      <c r="B956" s="14" t="s">
        <v>333</v>
      </c>
      <c r="C956" s="15" t="s">
        <v>2088</v>
      </c>
      <c r="D956" s="14" t="s">
        <v>1745</v>
      </c>
      <c r="E956" s="14" t="s">
        <v>1746</v>
      </c>
      <c r="F956" s="25">
        <v>576513</v>
      </c>
      <c r="G956" s="25">
        <v>432384.7</v>
      </c>
    </row>
    <row r="957" spans="1:7" ht="30" x14ac:dyDescent="0.25">
      <c r="A957" s="14" t="s">
        <v>2055</v>
      </c>
      <c r="B957" s="14">
        <v>18</v>
      </c>
      <c r="C957" s="15" t="s">
        <v>2061</v>
      </c>
      <c r="D957" s="14" t="s">
        <v>1752</v>
      </c>
      <c r="E957" s="14" t="s">
        <v>1746</v>
      </c>
      <c r="F957" s="25">
        <v>628992</v>
      </c>
      <c r="G957" s="25">
        <v>471744</v>
      </c>
    </row>
    <row r="958" spans="1:7" x14ac:dyDescent="0.25">
      <c r="A958" s="14" t="s">
        <v>2055</v>
      </c>
      <c r="B958" s="14">
        <v>17</v>
      </c>
      <c r="C958" s="15" t="s">
        <v>2059</v>
      </c>
      <c r="D958" s="14" t="s">
        <v>1752</v>
      </c>
      <c r="E958" s="14" t="s">
        <v>1747</v>
      </c>
      <c r="F958" s="25">
        <v>1647180</v>
      </c>
      <c r="G958" s="25">
        <v>1235385</v>
      </c>
    </row>
    <row r="959" spans="1:7" x14ac:dyDescent="0.25">
      <c r="A959" s="14" t="s">
        <v>2055</v>
      </c>
      <c r="B959" s="14" t="s">
        <v>297</v>
      </c>
      <c r="C959" s="15" t="s">
        <v>2083</v>
      </c>
      <c r="D959" s="14" t="s">
        <v>1752</v>
      </c>
      <c r="E959" s="14" t="s">
        <v>1746</v>
      </c>
      <c r="F959" s="25">
        <v>2515779</v>
      </c>
      <c r="G959" s="25">
        <v>1886834</v>
      </c>
    </row>
    <row r="960" spans="1:7" x14ac:dyDescent="0.25">
      <c r="A960" s="14" t="s">
        <v>2055</v>
      </c>
      <c r="B960" s="14">
        <v>7</v>
      </c>
      <c r="C960" s="15" t="s">
        <v>2068</v>
      </c>
      <c r="D960" s="14" t="s">
        <v>1752</v>
      </c>
      <c r="E960" s="14" t="s">
        <v>1747</v>
      </c>
      <c r="F960" s="25">
        <v>5091480</v>
      </c>
      <c r="G960" s="25">
        <v>3818610</v>
      </c>
    </row>
    <row r="961" spans="1:7" x14ac:dyDescent="0.25">
      <c r="A961" s="14" t="s">
        <v>2055</v>
      </c>
      <c r="B961" s="14" t="s">
        <v>46</v>
      </c>
      <c r="C961" s="15" t="s">
        <v>2081</v>
      </c>
      <c r="D961" s="14" t="s">
        <v>1745</v>
      </c>
      <c r="E961" s="14" t="s">
        <v>1746</v>
      </c>
      <c r="F961" s="25">
        <v>712782</v>
      </c>
      <c r="G961" s="25">
        <v>534586.6</v>
      </c>
    </row>
    <row r="962" spans="1:7" x14ac:dyDescent="0.25">
      <c r="A962" s="14" t="s">
        <v>2055</v>
      </c>
      <c r="B962" s="14">
        <v>6</v>
      </c>
      <c r="C962" s="15" t="s">
        <v>2089</v>
      </c>
      <c r="D962" s="14" t="s">
        <v>1752</v>
      </c>
      <c r="E962" s="14" t="s">
        <v>1747</v>
      </c>
      <c r="F962" s="25">
        <v>1497420</v>
      </c>
      <c r="G962" s="25">
        <v>1123065</v>
      </c>
    </row>
    <row r="963" spans="1:7" x14ac:dyDescent="0.25">
      <c r="A963" s="14" t="s">
        <v>2055</v>
      </c>
      <c r="B963" s="14">
        <v>9</v>
      </c>
      <c r="C963" s="15" t="s">
        <v>2090</v>
      </c>
      <c r="D963" s="14" t="s">
        <v>1745</v>
      </c>
      <c r="E963" s="14" t="s">
        <v>1747</v>
      </c>
      <c r="F963" s="25">
        <v>1996680</v>
      </c>
      <c r="G963" s="25">
        <v>1497510</v>
      </c>
    </row>
    <row r="964" spans="1:7" x14ac:dyDescent="0.25">
      <c r="A964" s="14" t="s">
        <v>2055</v>
      </c>
      <c r="B964" s="14" t="s">
        <v>46</v>
      </c>
      <c r="C964" s="15" t="s">
        <v>2081</v>
      </c>
      <c r="D964" s="14" t="s">
        <v>1749</v>
      </c>
      <c r="E964" s="14" t="s">
        <v>1746</v>
      </c>
      <c r="F964" s="25">
        <v>67884</v>
      </c>
      <c r="G964" s="25">
        <v>50913</v>
      </c>
    </row>
    <row r="965" spans="1:7" x14ac:dyDescent="0.25">
      <c r="A965" s="14" t="s">
        <v>2055</v>
      </c>
      <c r="B965" s="14" t="s">
        <v>263</v>
      </c>
      <c r="C965" s="15" t="s">
        <v>2082</v>
      </c>
      <c r="D965" s="14" t="s">
        <v>1749</v>
      </c>
      <c r="E965" s="14" t="s">
        <v>1746</v>
      </c>
      <c r="F965" s="25">
        <v>0</v>
      </c>
      <c r="G965" s="25">
        <v>0</v>
      </c>
    </row>
    <row r="966" spans="1:7" ht="30" x14ac:dyDescent="0.25">
      <c r="A966" s="14" t="s">
        <v>2055</v>
      </c>
      <c r="B966" s="14" t="s">
        <v>470</v>
      </c>
      <c r="C966" s="15" t="s">
        <v>2064</v>
      </c>
      <c r="D966" s="14" t="s">
        <v>1745</v>
      </c>
      <c r="E966" s="14" t="s">
        <v>1746</v>
      </c>
      <c r="F966" s="25">
        <v>288288</v>
      </c>
      <c r="G966" s="25">
        <v>216216</v>
      </c>
    </row>
    <row r="967" spans="1:7" x14ac:dyDescent="0.25">
      <c r="A967" s="14" t="s">
        <v>2055</v>
      </c>
      <c r="B967" s="14" t="s">
        <v>108</v>
      </c>
      <c r="C967" s="15" t="s">
        <v>2087</v>
      </c>
      <c r="D967" s="14" t="s">
        <v>1745</v>
      </c>
      <c r="E967" s="14" t="s">
        <v>1746</v>
      </c>
      <c r="F967" s="25">
        <v>1153089</v>
      </c>
      <c r="G967" s="25">
        <v>864816.7</v>
      </c>
    </row>
    <row r="968" spans="1:7" x14ac:dyDescent="0.25">
      <c r="A968" s="14" t="s">
        <v>2055</v>
      </c>
      <c r="B968" s="14" t="s">
        <v>36</v>
      </c>
      <c r="C968" s="15" t="s">
        <v>2079</v>
      </c>
      <c r="D968" s="14" t="s">
        <v>1745</v>
      </c>
      <c r="E968" s="14" t="s">
        <v>1747</v>
      </c>
      <c r="F968" s="25">
        <v>424320</v>
      </c>
      <c r="G968" s="25">
        <v>381888</v>
      </c>
    </row>
    <row r="969" spans="1:7" x14ac:dyDescent="0.25">
      <c r="A969" s="14" t="s">
        <v>2055</v>
      </c>
      <c r="B969" s="14" t="s">
        <v>307</v>
      </c>
      <c r="C969" s="15" t="s">
        <v>2091</v>
      </c>
      <c r="D969" s="14" t="s">
        <v>1745</v>
      </c>
      <c r="E969" s="14" t="s">
        <v>1747</v>
      </c>
      <c r="F969" s="25">
        <v>74880</v>
      </c>
      <c r="G969" s="25">
        <v>67392</v>
      </c>
    </row>
    <row r="970" spans="1:7" ht="30" x14ac:dyDescent="0.25">
      <c r="A970" s="14" t="s">
        <v>2055</v>
      </c>
      <c r="B970" s="14">
        <v>18</v>
      </c>
      <c r="C970" s="15" t="s">
        <v>2061</v>
      </c>
      <c r="D970" s="14" t="s">
        <v>1749</v>
      </c>
      <c r="E970" s="14" t="s">
        <v>1746</v>
      </c>
      <c r="F970" s="25">
        <v>19968</v>
      </c>
      <c r="G970" s="25">
        <v>14976</v>
      </c>
    </row>
    <row r="971" spans="1:7" x14ac:dyDescent="0.25">
      <c r="A971" s="14" t="s">
        <v>2055</v>
      </c>
      <c r="B971" s="14" t="s">
        <v>333</v>
      </c>
      <c r="C971" s="15" t="s">
        <v>2088</v>
      </c>
      <c r="D971" s="14" t="s">
        <v>1752</v>
      </c>
      <c r="E971" s="14" t="s">
        <v>1753</v>
      </c>
      <c r="F971" s="25">
        <v>1647180</v>
      </c>
      <c r="G971" s="25">
        <v>1235385</v>
      </c>
    </row>
    <row r="972" spans="1:7" x14ac:dyDescent="0.25">
      <c r="A972" s="14" t="s">
        <v>2055</v>
      </c>
      <c r="B972" s="14" t="s">
        <v>608</v>
      </c>
      <c r="C972" s="15" t="s">
        <v>2063</v>
      </c>
      <c r="D972" s="14" t="s">
        <v>1745</v>
      </c>
      <c r="E972" s="14" t="s">
        <v>1746</v>
      </c>
      <c r="F972" s="25">
        <v>0</v>
      </c>
      <c r="G972" s="25">
        <v>0</v>
      </c>
    </row>
    <row r="973" spans="1:7" x14ac:dyDescent="0.25">
      <c r="A973" s="14" t="s">
        <v>2055</v>
      </c>
      <c r="B973" s="14">
        <v>19</v>
      </c>
      <c r="C973" s="15" t="s">
        <v>2069</v>
      </c>
      <c r="D973" s="14" t="s">
        <v>1752</v>
      </c>
      <c r="E973" s="14" t="s">
        <v>1746</v>
      </c>
      <c r="F973" s="25">
        <v>393120</v>
      </c>
      <c r="G973" s="25">
        <v>353808</v>
      </c>
    </row>
    <row r="974" spans="1:7" ht="30" x14ac:dyDescent="0.25">
      <c r="A974" s="14" t="s">
        <v>2055</v>
      </c>
      <c r="B974" s="14">
        <v>18</v>
      </c>
      <c r="C974" s="15" t="s">
        <v>2061</v>
      </c>
      <c r="D974" s="14" t="s">
        <v>1752</v>
      </c>
      <c r="E974" s="14" t="s">
        <v>1747</v>
      </c>
      <c r="F974" s="25">
        <v>599040</v>
      </c>
      <c r="G974" s="25">
        <v>449280</v>
      </c>
    </row>
    <row r="975" spans="1:7" x14ac:dyDescent="0.25">
      <c r="A975" s="14" t="s">
        <v>2055</v>
      </c>
      <c r="B975" s="14" t="s">
        <v>307</v>
      </c>
      <c r="C975" s="15" t="s">
        <v>2091</v>
      </c>
      <c r="D975" s="14" t="s">
        <v>1749</v>
      </c>
      <c r="E975" s="14" t="s">
        <v>1746</v>
      </c>
      <c r="F975" s="25">
        <v>7488</v>
      </c>
      <c r="G975" s="25">
        <v>6739.2</v>
      </c>
    </row>
    <row r="976" spans="1:7" x14ac:dyDescent="0.25">
      <c r="A976" s="14" t="s">
        <v>2055</v>
      </c>
      <c r="B976" s="14">
        <v>6</v>
      </c>
      <c r="C976" s="15" t="s">
        <v>2089</v>
      </c>
      <c r="D976" s="14" t="s">
        <v>1745</v>
      </c>
      <c r="E976" s="14" t="s">
        <v>1747</v>
      </c>
      <c r="F976" s="25">
        <v>499140</v>
      </c>
      <c r="G976" s="25">
        <v>374355</v>
      </c>
    </row>
    <row r="977" spans="1:7" x14ac:dyDescent="0.25">
      <c r="A977" s="14" t="s">
        <v>2055</v>
      </c>
      <c r="B977" s="14">
        <v>17</v>
      </c>
      <c r="C977" s="15" t="s">
        <v>2059</v>
      </c>
      <c r="D977" s="14" t="s">
        <v>1752</v>
      </c>
      <c r="E977" s="14" t="s">
        <v>1753</v>
      </c>
      <c r="F977" s="25">
        <v>1647180</v>
      </c>
      <c r="G977" s="25">
        <v>1235385</v>
      </c>
    </row>
    <row r="978" spans="1:7" x14ac:dyDescent="0.25">
      <c r="A978" s="14" t="s">
        <v>2055</v>
      </c>
      <c r="B978" s="14">
        <v>3</v>
      </c>
      <c r="C978" s="15" t="s">
        <v>2075</v>
      </c>
      <c r="D978" s="14" t="s">
        <v>1752</v>
      </c>
      <c r="E978" s="14" t="s">
        <v>1746</v>
      </c>
      <c r="F978" s="25">
        <v>786240</v>
      </c>
      <c r="G978" s="25">
        <v>589680</v>
      </c>
    </row>
    <row r="979" spans="1:7" x14ac:dyDescent="0.25">
      <c r="A979" s="14" t="s">
        <v>2055</v>
      </c>
      <c r="B979" s="14" t="s">
        <v>325</v>
      </c>
      <c r="C979" s="15" t="s">
        <v>2070</v>
      </c>
      <c r="D979" s="14" t="s">
        <v>1749</v>
      </c>
      <c r="E979" s="14" t="s">
        <v>1746</v>
      </c>
      <c r="F979" s="25">
        <v>39936</v>
      </c>
      <c r="G979" s="25">
        <v>29952</v>
      </c>
    </row>
    <row r="980" spans="1:7" x14ac:dyDescent="0.25">
      <c r="A980" s="14" t="s">
        <v>2055</v>
      </c>
      <c r="B980" s="14">
        <v>5</v>
      </c>
      <c r="C980" s="15" t="s">
        <v>2086</v>
      </c>
      <c r="D980" s="14" t="s">
        <v>1745</v>
      </c>
      <c r="E980" s="14" t="s">
        <v>1746</v>
      </c>
      <c r="F980" s="25">
        <v>1572354</v>
      </c>
      <c r="G980" s="25">
        <v>1179266</v>
      </c>
    </row>
    <row r="981" spans="1:7" x14ac:dyDescent="0.25">
      <c r="A981" s="14" t="s">
        <v>2055</v>
      </c>
      <c r="B981" s="14" t="s">
        <v>583</v>
      </c>
      <c r="C981" s="15" t="s">
        <v>2057</v>
      </c>
      <c r="D981" s="14" t="s">
        <v>1745</v>
      </c>
      <c r="E981" s="14" t="s">
        <v>1746</v>
      </c>
      <c r="F981" s="25">
        <v>0</v>
      </c>
      <c r="G981" s="25">
        <v>0</v>
      </c>
    </row>
    <row r="982" spans="1:7" x14ac:dyDescent="0.25">
      <c r="A982" s="14" t="s">
        <v>2055</v>
      </c>
      <c r="B982" s="14">
        <v>4</v>
      </c>
      <c r="C982" s="15" t="s">
        <v>2056</v>
      </c>
      <c r="D982" s="14" t="s">
        <v>1752</v>
      </c>
      <c r="E982" s="14" t="s">
        <v>1747</v>
      </c>
      <c r="F982" s="25">
        <v>898560</v>
      </c>
      <c r="G982" s="25">
        <v>718848</v>
      </c>
    </row>
    <row r="983" spans="1:7" x14ac:dyDescent="0.25">
      <c r="A983" s="14" t="s">
        <v>2055</v>
      </c>
      <c r="B983" s="14" t="s">
        <v>263</v>
      </c>
      <c r="C983" s="15" t="s">
        <v>2082</v>
      </c>
      <c r="D983" s="14" t="s">
        <v>1752</v>
      </c>
      <c r="E983" s="14" t="s">
        <v>1747</v>
      </c>
      <c r="F983" s="25">
        <v>0</v>
      </c>
      <c r="G983" s="25">
        <v>0</v>
      </c>
    </row>
    <row r="984" spans="1:7" x14ac:dyDescent="0.25">
      <c r="A984" s="14" t="s">
        <v>2055</v>
      </c>
      <c r="B984" s="14" t="s">
        <v>97</v>
      </c>
      <c r="C984" s="15" t="s">
        <v>2073</v>
      </c>
      <c r="D984" s="14" t="s">
        <v>1745</v>
      </c>
      <c r="E984" s="14" t="s">
        <v>1747</v>
      </c>
      <c r="F984" s="25">
        <v>499140</v>
      </c>
      <c r="G984" s="25">
        <v>449226</v>
      </c>
    </row>
    <row r="985" spans="1:7" x14ac:dyDescent="0.25">
      <c r="A985" s="14" t="s">
        <v>2055</v>
      </c>
      <c r="B985" s="14">
        <v>3</v>
      </c>
      <c r="C985" s="15" t="s">
        <v>2075</v>
      </c>
      <c r="D985" s="14" t="s">
        <v>1752</v>
      </c>
      <c r="E985" s="14" t="s">
        <v>1753</v>
      </c>
      <c r="F985" s="25">
        <v>748800</v>
      </c>
      <c r="G985" s="25">
        <v>561600</v>
      </c>
    </row>
    <row r="986" spans="1:7" x14ac:dyDescent="0.25">
      <c r="A986" s="14" t="s">
        <v>2055</v>
      </c>
      <c r="B986" s="14">
        <v>13</v>
      </c>
      <c r="C986" s="15" t="s">
        <v>2076</v>
      </c>
      <c r="D986" s="14" t="s">
        <v>1745</v>
      </c>
      <c r="E986" s="14" t="s">
        <v>1746</v>
      </c>
      <c r="F986" s="25">
        <v>864801</v>
      </c>
      <c r="G986" s="25">
        <v>648600.69999999995</v>
      </c>
    </row>
    <row r="987" spans="1:7" x14ac:dyDescent="0.25">
      <c r="A987" s="14" t="s">
        <v>2055</v>
      </c>
      <c r="B987" s="14">
        <v>13</v>
      </c>
      <c r="C987" s="15" t="s">
        <v>2076</v>
      </c>
      <c r="D987" s="14" t="s">
        <v>1749</v>
      </c>
      <c r="E987" s="14" t="s">
        <v>1746</v>
      </c>
      <c r="F987" s="25">
        <v>82362</v>
      </c>
      <c r="G987" s="25">
        <v>61771.5</v>
      </c>
    </row>
    <row r="988" spans="1:7" x14ac:dyDescent="0.25">
      <c r="A988" s="14" t="s">
        <v>2055</v>
      </c>
      <c r="B988" s="14">
        <v>12</v>
      </c>
      <c r="C988" s="15" t="s">
        <v>2084</v>
      </c>
      <c r="D988" s="14" t="s">
        <v>1749</v>
      </c>
      <c r="E988" s="14" t="s">
        <v>1746</v>
      </c>
      <c r="F988" s="25">
        <v>59898</v>
      </c>
      <c r="G988" s="25">
        <v>44923.5</v>
      </c>
    </row>
    <row r="989" spans="1:7" x14ac:dyDescent="0.25">
      <c r="A989" s="14" t="s">
        <v>2055</v>
      </c>
      <c r="B989" s="14" t="s">
        <v>36</v>
      </c>
      <c r="C989" s="15" t="s">
        <v>2079</v>
      </c>
      <c r="D989" s="14" t="s">
        <v>1752</v>
      </c>
      <c r="E989" s="14" t="s">
        <v>1747</v>
      </c>
      <c r="F989" s="25">
        <v>1272960</v>
      </c>
      <c r="G989" s="25">
        <v>1145664</v>
      </c>
    </row>
    <row r="990" spans="1:7" x14ac:dyDescent="0.25">
      <c r="A990" s="14" t="s">
        <v>2055</v>
      </c>
      <c r="B990" s="14">
        <v>15</v>
      </c>
      <c r="C990" s="15" t="s">
        <v>2072</v>
      </c>
      <c r="D990" s="14" t="s">
        <v>1752</v>
      </c>
      <c r="E990" s="14" t="s">
        <v>1746</v>
      </c>
      <c r="F990" s="25">
        <v>1257984</v>
      </c>
      <c r="G990" s="25">
        <v>943488</v>
      </c>
    </row>
    <row r="991" spans="1:7" x14ac:dyDescent="0.25">
      <c r="A991" s="14" t="s">
        <v>2055</v>
      </c>
      <c r="B991" s="14">
        <v>15</v>
      </c>
      <c r="C991" s="15" t="s">
        <v>2072</v>
      </c>
      <c r="D991" s="14" t="s">
        <v>1745</v>
      </c>
      <c r="E991" s="14" t="s">
        <v>1746</v>
      </c>
      <c r="F991" s="25">
        <v>419328</v>
      </c>
      <c r="G991" s="25">
        <v>314496</v>
      </c>
    </row>
    <row r="992" spans="1:7" x14ac:dyDescent="0.25">
      <c r="A992" s="14" t="s">
        <v>2055</v>
      </c>
      <c r="B992" s="14">
        <v>19</v>
      </c>
      <c r="C992" s="15" t="s">
        <v>2069</v>
      </c>
      <c r="D992" s="14" t="s">
        <v>1745</v>
      </c>
      <c r="E992" s="14" t="s">
        <v>1746</v>
      </c>
      <c r="F992" s="25">
        <v>131040</v>
      </c>
      <c r="G992" s="25">
        <v>117936</v>
      </c>
    </row>
    <row r="993" spans="1:7" ht="30" x14ac:dyDescent="0.25">
      <c r="A993" s="14" t="s">
        <v>2055</v>
      </c>
      <c r="B993" s="14" t="s">
        <v>122</v>
      </c>
      <c r="C993" s="15" t="s">
        <v>2078</v>
      </c>
      <c r="D993" s="14" t="s">
        <v>1745</v>
      </c>
      <c r="E993" s="14" t="s">
        <v>1747</v>
      </c>
      <c r="F993" s="25">
        <v>119820</v>
      </c>
      <c r="G993" s="25">
        <v>95856</v>
      </c>
    </row>
    <row r="994" spans="1:7" ht="30" x14ac:dyDescent="0.25">
      <c r="A994" s="14" t="s">
        <v>2055</v>
      </c>
      <c r="B994" s="14" t="s">
        <v>28</v>
      </c>
      <c r="C994" s="15" t="s">
        <v>2062</v>
      </c>
      <c r="D994" s="14" t="s">
        <v>1752</v>
      </c>
      <c r="E994" s="14" t="s">
        <v>1753</v>
      </c>
      <c r="F994" s="25">
        <v>299520</v>
      </c>
      <c r="G994" s="25">
        <v>224640</v>
      </c>
    </row>
    <row r="995" spans="1:7" x14ac:dyDescent="0.25">
      <c r="A995" s="14" t="s">
        <v>2055</v>
      </c>
      <c r="B995" s="14" t="s">
        <v>46</v>
      </c>
      <c r="C995" s="15" t="s">
        <v>2081</v>
      </c>
      <c r="D995" s="14" t="s">
        <v>1752</v>
      </c>
      <c r="E995" s="14" t="s">
        <v>1746</v>
      </c>
      <c r="F995" s="25">
        <v>2138346</v>
      </c>
      <c r="G995" s="25">
        <v>1603760</v>
      </c>
    </row>
    <row r="996" spans="1:7" x14ac:dyDescent="0.25">
      <c r="A996" s="14" t="s">
        <v>2055</v>
      </c>
      <c r="B996" s="14">
        <v>6</v>
      </c>
      <c r="C996" s="15" t="s">
        <v>2089</v>
      </c>
      <c r="D996" s="14" t="s">
        <v>1749</v>
      </c>
      <c r="E996" s="14" t="s">
        <v>1746</v>
      </c>
      <c r="F996" s="25">
        <v>49914</v>
      </c>
      <c r="G996" s="25">
        <v>37435.5</v>
      </c>
    </row>
    <row r="997" spans="1:7" x14ac:dyDescent="0.25">
      <c r="A997" s="14" t="s">
        <v>2055</v>
      </c>
      <c r="B997" s="14">
        <v>16</v>
      </c>
      <c r="C997" s="15" t="s">
        <v>2065</v>
      </c>
      <c r="D997" s="14" t="s">
        <v>1745</v>
      </c>
      <c r="E997" s="14" t="s">
        <v>1747</v>
      </c>
      <c r="F997" s="25">
        <v>249600</v>
      </c>
      <c r="G997" s="25">
        <v>224640</v>
      </c>
    </row>
    <row r="998" spans="1:7" x14ac:dyDescent="0.25">
      <c r="A998" s="14" t="s">
        <v>2055</v>
      </c>
      <c r="B998" s="14" t="s">
        <v>263</v>
      </c>
      <c r="C998" s="15" t="s">
        <v>2082</v>
      </c>
      <c r="D998" s="14" t="s">
        <v>1745</v>
      </c>
      <c r="E998" s="14" t="s">
        <v>1747</v>
      </c>
      <c r="F998" s="25">
        <v>0</v>
      </c>
      <c r="G998" s="25">
        <v>0</v>
      </c>
    </row>
    <row r="999" spans="1:7" x14ac:dyDescent="0.25">
      <c r="A999" s="14" t="s">
        <v>2055</v>
      </c>
      <c r="B999" s="14" t="s">
        <v>89</v>
      </c>
      <c r="C999" s="15" t="s">
        <v>2085</v>
      </c>
      <c r="D999" s="14" t="s">
        <v>1745</v>
      </c>
      <c r="E999" s="14" t="s">
        <v>1747</v>
      </c>
      <c r="F999" s="25">
        <v>998340</v>
      </c>
      <c r="G999" s="25">
        <v>748755</v>
      </c>
    </row>
    <row r="1000" spans="1:7" x14ac:dyDescent="0.25">
      <c r="A1000" s="14" t="s">
        <v>2055</v>
      </c>
      <c r="B1000" s="14">
        <v>6</v>
      </c>
      <c r="C1000" s="15" t="s">
        <v>2089</v>
      </c>
      <c r="D1000" s="14" t="s">
        <v>1745</v>
      </c>
      <c r="E1000" s="14" t="s">
        <v>1746</v>
      </c>
      <c r="F1000" s="25">
        <v>524097</v>
      </c>
      <c r="G1000" s="25">
        <v>393072.7</v>
      </c>
    </row>
    <row r="1001" spans="1:7" x14ac:dyDescent="0.25">
      <c r="A1001" s="14" t="s">
        <v>2055</v>
      </c>
      <c r="B1001" s="14">
        <v>9</v>
      </c>
      <c r="C1001" s="15" t="s">
        <v>2090</v>
      </c>
      <c r="D1001" s="14" t="s">
        <v>1745</v>
      </c>
      <c r="E1001" s="14" t="s">
        <v>1746</v>
      </c>
      <c r="F1001" s="25">
        <v>2096514</v>
      </c>
      <c r="G1001" s="25">
        <v>1572386</v>
      </c>
    </row>
    <row r="1002" spans="1:7" ht="30" x14ac:dyDescent="0.25">
      <c r="A1002" s="14" t="s">
        <v>2055</v>
      </c>
      <c r="B1002" s="14" t="s">
        <v>122</v>
      </c>
      <c r="C1002" s="15" t="s">
        <v>2078</v>
      </c>
      <c r="D1002" s="14" t="s">
        <v>1749</v>
      </c>
      <c r="E1002" s="14" t="s">
        <v>1746</v>
      </c>
      <c r="F1002" s="25">
        <v>11982</v>
      </c>
      <c r="G1002" s="25">
        <v>9585.6</v>
      </c>
    </row>
    <row r="1003" spans="1:7" x14ac:dyDescent="0.25">
      <c r="A1003" s="14" t="s">
        <v>2055</v>
      </c>
      <c r="B1003" s="14">
        <v>13</v>
      </c>
      <c r="C1003" s="15" t="s">
        <v>2076</v>
      </c>
      <c r="D1003" s="14" t="s">
        <v>1752</v>
      </c>
      <c r="E1003" s="14" t="s">
        <v>1746</v>
      </c>
      <c r="F1003" s="25">
        <v>2594403</v>
      </c>
      <c r="G1003" s="25">
        <v>1945802</v>
      </c>
    </row>
    <row r="1004" spans="1:7" x14ac:dyDescent="0.25">
      <c r="A1004" s="14" t="s">
        <v>2055</v>
      </c>
      <c r="B1004" s="14">
        <v>5</v>
      </c>
      <c r="C1004" s="15" t="s">
        <v>2086</v>
      </c>
      <c r="D1004" s="14" t="s">
        <v>1752</v>
      </c>
      <c r="E1004" s="14" t="s">
        <v>1753</v>
      </c>
      <c r="F1004" s="25">
        <v>4492440</v>
      </c>
      <c r="G1004" s="25">
        <v>3369330</v>
      </c>
    </row>
    <row r="1005" spans="1:7" x14ac:dyDescent="0.25">
      <c r="A1005" s="14" t="s">
        <v>2055</v>
      </c>
      <c r="B1005" s="14" t="s">
        <v>89</v>
      </c>
      <c r="C1005" s="15" t="s">
        <v>2085</v>
      </c>
      <c r="D1005" s="14" t="s">
        <v>1752</v>
      </c>
      <c r="E1005" s="14" t="s">
        <v>1747</v>
      </c>
      <c r="F1005" s="25">
        <v>2995020</v>
      </c>
      <c r="G1005" s="25">
        <v>2246265</v>
      </c>
    </row>
    <row r="1006" spans="1:7" x14ac:dyDescent="0.25">
      <c r="A1006" s="14" t="s">
        <v>2055</v>
      </c>
      <c r="B1006" s="14">
        <v>19</v>
      </c>
      <c r="C1006" s="15" t="s">
        <v>2069</v>
      </c>
      <c r="D1006" s="14" t="s">
        <v>1752</v>
      </c>
      <c r="E1006" s="14" t="s">
        <v>1753</v>
      </c>
      <c r="F1006" s="25">
        <v>374400</v>
      </c>
      <c r="G1006" s="25">
        <v>336960</v>
      </c>
    </row>
    <row r="1007" spans="1:7" x14ac:dyDescent="0.25">
      <c r="A1007" s="14" t="s">
        <v>2055</v>
      </c>
      <c r="B1007" s="14">
        <v>12</v>
      </c>
      <c r="C1007" s="15" t="s">
        <v>2084</v>
      </c>
      <c r="D1007" s="14" t="s">
        <v>1752</v>
      </c>
      <c r="E1007" s="14" t="s">
        <v>1747</v>
      </c>
      <c r="F1007" s="25">
        <v>1796940</v>
      </c>
      <c r="G1007" s="25">
        <v>1347705</v>
      </c>
    </row>
    <row r="1008" spans="1:7" x14ac:dyDescent="0.25">
      <c r="A1008" s="14" t="s">
        <v>2055</v>
      </c>
      <c r="B1008" s="14" t="s">
        <v>263</v>
      </c>
      <c r="C1008" s="15" t="s">
        <v>2082</v>
      </c>
      <c r="D1008" s="14" t="s">
        <v>1752</v>
      </c>
      <c r="E1008" s="14" t="s">
        <v>1746</v>
      </c>
      <c r="F1008" s="25">
        <v>0</v>
      </c>
      <c r="G1008" s="25">
        <v>0</v>
      </c>
    </row>
    <row r="1009" spans="1:7" x14ac:dyDescent="0.25">
      <c r="A1009" s="14" t="s">
        <v>2055</v>
      </c>
      <c r="B1009" s="14">
        <v>13</v>
      </c>
      <c r="C1009" s="15" t="s">
        <v>2076</v>
      </c>
      <c r="D1009" s="14" t="s">
        <v>1752</v>
      </c>
      <c r="E1009" s="14" t="s">
        <v>1747</v>
      </c>
      <c r="F1009" s="25">
        <v>2470860</v>
      </c>
      <c r="G1009" s="25">
        <v>1853145</v>
      </c>
    </row>
    <row r="1010" spans="1:7" x14ac:dyDescent="0.25">
      <c r="A1010" s="14" t="s">
        <v>2055</v>
      </c>
      <c r="B1010" s="14">
        <v>9</v>
      </c>
      <c r="C1010" s="15" t="s">
        <v>2090</v>
      </c>
      <c r="D1010" s="14" t="s">
        <v>1752</v>
      </c>
      <c r="E1010" s="14" t="s">
        <v>1747</v>
      </c>
      <c r="F1010" s="25">
        <v>5990040</v>
      </c>
      <c r="G1010" s="25">
        <v>4492530</v>
      </c>
    </row>
    <row r="1011" spans="1:7" x14ac:dyDescent="0.25">
      <c r="A1011" s="14" t="s">
        <v>2055</v>
      </c>
      <c r="B1011" s="14">
        <v>4</v>
      </c>
      <c r="C1011" s="15" t="s">
        <v>2056</v>
      </c>
      <c r="D1011" s="14" t="s">
        <v>1749</v>
      </c>
      <c r="E1011" s="14" t="s">
        <v>1746</v>
      </c>
      <c r="F1011" s="25">
        <v>29952</v>
      </c>
      <c r="G1011" s="25">
        <v>23961.599999999999</v>
      </c>
    </row>
    <row r="1012" spans="1:7" x14ac:dyDescent="0.25">
      <c r="A1012" s="14" t="s">
        <v>2055</v>
      </c>
      <c r="B1012" s="14" t="s">
        <v>325</v>
      </c>
      <c r="C1012" s="15" t="s">
        <v>2070</v>
      </c>
      <c r="D1012" s="14" t="s">
        <v>1752</v>
      </c>
      <c r="E1012" s="14" t="s">
        <v>1746</v>
      </c>
      <c r="F1012" s="25">
        <v>1257984</v>
      </c>
      <c r="G1012" s="25">
        <v>943488</v>
      </c>
    </row>
    <row r="1013" spans="1:7" x14ac:dyDescent="0.25">
      <c r="A1013" s="14" t="s">
        <v>2055</v>
      </c>
      <c r="B1013" s="14" t="s">
        <v>173</v>
      </c>
      <c r="C1013" s="15" t="s">
        <v>2071</v>
      </c>
      <c r="D1013" s="14" t="s">
        <v>1752</v>
      </c>
      <c r="E1013" s="14" t="s">
        <v>1753</v>
      </c>
      <c r="F1013" s="25">
        <v>748800</v>
      </c>
      <c r="G1013" s="25">
        <v>673920</v>
      </c>
    </row>
    <row r="1014" spans="1:7" x14ac:dyDescent="0.25">
      <c r="A1014" s="14" t="s">
        <v>2055</v>
      </c>
      <c r="B1014" s="14" t="s">
        <v>333</v>
      </c>
      <c r="C1014" s="15" t="s">
        <v>2088</v>
      </c>
      <c r="D1014" s="14" t="s">
        <v>1745</v>
      </c>
      <c r="E1014" s="14" t="s">
        <v>1747</v>
      </c>
      <c r="F1014" s="25">
        <v>549060</v>
      </c>
      <c r="G1014" s="25">
        <v>411795</v>
      </c>
    </row>
    <row r="1015" spans="1:7" x14ac:dyDescent="0.25">
      <c r="A1015" s="14" t="s">
        <v>2055</v>
      </c>
      <c r="B1015" s="14">
        <v>1</v>
      </c>
      <c r="C1015" s="15" t="s">
        <v>2067</v>
      </c>
      <c r="D1015" s="14" t="s">
        <v>1752</v>
      </c>
      <c r="E1015" s="14" t="s">
        <v>1753</v>
      </c>
      <c r="F1015" s="25">
        <v>0</v>
      </c>
      <c r="G1015" s="25">
        <v>0</v>
      </c>
    </row>
    <row r="1016" spans="1:7" x14ac:dyDescent="0.25">
      <c r="A1016" s="14" t="s">
        <v>2055</v>
      </c>
      <c r="B1016" s="14" t="s">
        <v>243</v>
      </c>
      <c r="C1016" s="15" t="s">
        <v>2080</v>
      </c>
      <c r="D1016" s="14" t="s">
        <v>1752</v>
      </c>
      <c r="E1016" s="14" t="s">
        <v>1753</v>
      </c>
      <c r="F1016" s="25">
        <v>187200</v>
      </c>
      <c r="G1016" s="25">
        <v>168480</v>
      </c>
    </row>
    <row r="1017" spans="1:7" x14ac:dyDescent="0.25">
      <c r="A1017" s="14" t="s">
        <v>2055</v>
      </c>
      <c r="B1017" s="14">
        <v>1</v>
      </c>
      <c r="C1017" s="15" t="s">
        <v>2067</v>
      </c>
      <c r="D1017" s="14" t="s">
        <v>1749</v>
      </c>
      <c r="E1017" s="14" t="s">
        <v>1746</v>
      </c>
      <c r="F1017" s="25">
        <v>0</v>
      </c>
      <c r="G1017" s="25">
        <v>0</v>
      </c>
    </row>
    <row r="1018" spans="1:7" x14ac:dyDescent="0.25">
      <c r="A1018" s="14" t="s">
        <v>2055</v>
      </c>
      <c r="B1018" s="14" t="s">
        <v>583</v>
      </c>
      <c r="C1018" s="15" t="s">
        <v>2057</v>
      </c>
      <c r="D1018" s="14" t="s">
        <v>1749</v>
      </c>
      <c r="E1018" s="14" t="s">
        <v>1746</v>
      </c>
      <c r="F1018" s="25">
        <v>0</v>
      </c>
      <c r="G1018" s="25">
        <v>0</v>
      </c>
    </row>
    <row r="1019" spans="1:7" x14ac:dyDescent="0.25">
      <c r="A1019" s="14" t="s">
        <v>2055</v>
      </c>
      <c r="B1019" s="14" t="s">
        <v>36</v>
      </c>
      <c r="C1019" s="15" t="s">
        <v>2079</v>
      </c>
      <c r="D1019" s="14" t="s">
        <v>1749</v>
      </c>
      <c r="E1019" s="14" t="s">
        <v>1746</v>
      </c>
      <c r="F1019" s="25">
        <v>42432</v>
      </c>
      <c r="G1019" s="25">
        <v>38188.800000000003</v>
      </c>
    </row>
    <row r="1020" spans="1:7" x14ac:dyDescent="0.25">
      <c r="A1020" s="14" t="s">
        <v>2055</v>
      </c>
      <c r="B1020" s="14" t="s">
        <v>29</v>
      </c>
      <c r="C1020" s="15" t="s">
        <v>2077</v>
      </c>
      <c r="D1020" s="14" t="s">
        <v>1752</v>
      </c>
      <c r="E1020" s="14" t="s">
        <v>1753</v>
      </c>
      <c r="F1020" s="25">
        <v>2800260</v>
      </c>
      <c r="G1020" s="25">
        <v>2100195</v>
      </c>
    </row>
    <row r="1021" spans="1:7" x14ac:dyDescent="0.25">
      <c r="A1021" s="14" t="s">
        <v>2055</v>
      </c>
      <c r="B1021" s="14">
        <v>5</v>
      </c>
      <c r="C1021" s="15" t="s">
        <v>2086</v>
      </c>
      <c r="D1021" s="14" t="s">
        <v>1749</v>
      </c>
      <c r="E1021" s="14" t="s">
        <v>1746</v>
      </c>
      <c r="F1021" s="25">
        <v>149748</v>
      </c>
      <c r="G1021" s="25">
        <v>112311</v>
      </c>
    </row>
    <row r="1022" spans="1:7" ht="30" x14ac:dyDescent="0.25">
      <c r="A1022" s="14" t="s">
        <v>2055</v>
      </c>
      <c r="B1022" s="14">
        <v>18</v>
      </c>
      <c r="C1022" s="15" t="s">
        <v>2061</v>
      </c>
      <c r="D1022" s="14" t="s">
        <v>1745</v>
      </c>
      <c r="E1022" s="14" t="s">
        <v>1747</v>
      </c>
      <c r="F1022" s="25">
        <v>199680</v>
      </c>
      <c r="G1022" s="25">
        <v>149760</v>
      </c>
    </row>
    <row r="1023" spans="1:7" x14ac:dyDescent="0.25">
      <c r="A1023" s="14" t="s">
        <v>2055</v>
      </c>
      <c r="B1023" s="14" t="s">
        <v>108</v>
      </c>
      <c r="C1023" s="15" t="s">
        <v>2087</v>
      </c>
      <c r="D1023" s="14" t="s">
        <v>1745</v>
      </c>
      <c r="E1023" s="14" t="s">
        <v>1747</v>
      </c>
      <c r="F1023" s="25">
        <v>1098180</v>
      </c>
      <c r="G1023" s="25">
        <v>823635</v>
      </c>
    </row>
    <row r="1024" spans="1:7" x14ac:dyDescent="0.25">
      <c r="A1024" s="14" t="s">
        <v>2055</v>
      </c>
      <c r="B1024" s="14" t="s">
        <v>173</v>
      </c>
      <c r="C1024" s="15" t="s">
        <v>2071</v>
      </c>
      <c r="D1024" s="14" t="s">
        <v>1745</v>
      </c>
      <c r="E1024" s="14" t="s">
        <v>1746</v>
      </c>
      <c r="F1024" s="25">
        <v>262080</v>
      </c>
      <c r="G1024" s="25">
        <v>235872</v>
      </c>
    </row>
    <row r="1025" spans="1:7" x14ac:dyDescent="0.25">
      <c r="A1025" s="14" t="s">
        <v>2055</v>
      </c>
      <c r="B1025" s="14" t="s">
        <v>243</v>
      </c>
      <c r="C1025" s="15" t="s">
        <v>2080</v>
      </c>
      <c r="D1025" s="14" t="s">
        <v>1752</v>
      </c>
      <c r="E1025" s="14" t="s">
        <v>1746</v>
      </c>
      <c r="F1025" s="25">
        <v>196560</v>
      </c>
      <c r="G1025" s="25">
        <v>176904</v>
      </c>
    </row>
    <row r="1026" spans="1:7" x14ac:dyDescent="0.25">
      <c r="A1026" s="14" t="s">
        <v>2055</v>
      </c>
      <c r="B1026" s="14" t="s">
        <v>307</v>
      </c>
      <c r="C1026" s="15" t="s">
        <v>2091</v>
      </c>
      <c r="D1026" s="14" t="s">
        <v>1745</v>
      </c>
      <c r="E1026" s="14" t="s">
        <v>1746</v>
      </c>
      <c r="F1026" s="25">
        <v>78624</v>
      </c>
      <c r="G1026" s="25">
        <v>70761.600000000006</v>
      </c>
    </row>
    <row r="1027" spans="1:7" ht="30" x14ac:dyDescent="0.25">
      <c r="A1027" s="14" t="s">
        <v>2055</v>
      </c>
      <c r="B1027" s="14" t="s">
        <v>28</v>
      </c>
      <c r="C1027" s="15" t="s">
        <v>2062</v>
      </c>
      <c r="D1027" s="14" t="s">
        <v>1752</v>
      </c>
      <c r="E1027" s="14" t="s">
        <v>1747</v>
      </c>
      <c r="F1027" s="25">
        <v>299520</v>
      </c>
      <c r="G1027" s="25">
        <v>224640</v>
      </c>
    </row>
    <row r="1028" spans="1:7" x14ac:dyDescent="0.25">
      <c r="A1028" s="14" t="s">
        <v>2055</v>
      </c>
      <c r="B1028" s="14">
        <v>14</v>
      </c>
      <c r="C1028" s="15" t="s">
        <v>2074</v>
      </c>
      <c r="D1028" s="14" t="s">
        <v>1752</v>
      </c>
      <c r="E1028" s="14" t="s">
        <v>1747</v>
      </c>
      <c r="F1028" s="25">
        <v>1123200</v>
      </c>
      <c r="G1028" s="25">
        <v>1010880</v>
      </c>
    </row>
    <row r="1029" spans="1:7" x14ac:dyDescent="0.25">
      <c r="A1029" s="14" t="s">
        <v>2055</v>
      </c>
      <c r="B1029" s="14">
        <v>9</v>
      </c>
      <c r="C1029" s="15" t="s">
        <v>2090</v>
      </c>
      <c r="D1029" s="14" t="s">
        <v>1752</v>
      </c>
      <c r="E1029" s="14" t="s">
        <v>1746</v>
      </c>
      <c r="F1029" s="25">
        <v>6289542</v>
      </c>
      <c r="G1029" s="25">
        <v>4717157</v>
      </c>
    </row>
    <row r="1030" spans="1:7" x14ac:dyDescent="0.25">
      <c r="A1030" s="14" t="s">
        <v>2055</v>
      </c>
      <c r="B1030" s="14">
        <v>17</v>
      </c>
      <c r="C1030" s="15" t="s">
        <v>2059</v>
      </c>
      <c r="D1030" s="14" t="s">
        <v>1752</v>
      </c>
      <c r="E1030" s="14" t="s">
        <v>1746</v>
      </c>
      <c r="F1030" s="25">
        <v>1729539</v>
      </c>
      <c r="G1030" s="25">
        <v>1297154</v>
      </c>
    </row>
    <row r="1031" spans="1:7" x14ac:dyDescent="0.25">
      <c r="A1031" s="14" t="s">
        <v>2055</v>
      </c>
      <c r="B1031" s="14">
        <v>3</v>
      </c>
      <c r="C1031" s="15" t="s">
        <v>2075</v>
      </c>
      <c r="D1031" s="14" t="s">
        <v>1749</v>
      </c>
      <c r="E1031" s="14" t="s">
        <v>1746</v>
      </c>
      <c r="F1031" s="25">
        <v>24960</v>
      </c>
      <c r="G1031" s="25">
        <v>18720</v>
      </c>
    </row>
    <row r="1032" spans="1:7" ht="30" x14ac:dyDescent="0.25">
      <c r="A1032" s="14" t="s">
        <v>2055</v>
      </c>
      <c r="B1032" s="14" t="s">
        <v>470</v>
      </c>
      <c r="C1032" s="15" t="s">
        <v>2064</v>
      </c>
      <c r="D1032" s="14" t="s">
        <v>1745</v>
      </c>
      <c r="E1032" s="14" t="s">
        <v>1747</v>
      </c>
      <c r="F1032" s="25">
        <v>274560</v>
      </c>
      <c r="G1032" s="25">
        <v>205920</v>
      </c>
    </row>
    <row r="1033" spans="1:7" x14ac:dyDescent="0.25">
      <c r="A1033" s="14" t="s">
        <v>2055</v>
      </c>
      <c r="B1033" s="14">
        <v>6</v>
      </c>
      <c r="C1033" s="15" t="s">
        <v>2089</v>
      </c>
      <c r="D1033" s="14" t="s">
        <v>1752</v>
      </c>
      <c r="E1033" s="14" t="s">
        <v>1746</v>
      </c>
      <c r="F1033" s="25">
        <v>1572291</v>
      </c>
      <c r="G1033" s="25">
        <v>1179218</v>
      </c>
    </row>
    <row r="1034" spans="1:7" ht="30" x14ac:dyDescent="0.25">
      <c r="A1034" s="14" t="s">
        <v>2055</v>
      </c>
      <c r="B1034" s="14" t="s">
        <v>118</v>
      </c>
      <c r="C1034" s="15" t="s">
        <v>2060</v>
      </c>
      <c r="D1034" s="14" t="s">
        <v>1752</v>
      </c>
      <c r="E1034" s="14" t="s">
        <v>1746</v>
      </c>
      <c r="F1034" s="25">
        <v>432432</v>
      </c>
      <c r="G1034" s="25">
        <v>324324</v>
      </c>
    </row>
    <row r="1035" spans="1:7" x14ac:dyDescent="0.25">
      <c r="A1035" s="14" t="s">
        <v>2055</v>
      </c>
      <c r="B1035" s="14" t="s">
        <v>73</v>
      </c>
      <c r="C1035" s="15" t="s">
        <v>2058</v>
      </c>
      <c r="D1035" s="14" t="s">
        <v>1752</v>
      </c>
      <c r="E1035" s="14" t="s">
        <v>1747</v>
      </c>
      <c r="F1035" s="25">
        <v>2995020</v>
      </c>
      <c r="G1035" s="25">
        <v>2246265</v>
      </c>
    </row>
    <row r="1036" spans="1:7" x14ac:dyDescent="0.25">
      <c r="A1036" s="14" t="s">
        <v>2055</v>
      </c>
      <c r="B1036" s="14">
        <v>16</v>
      </c>
      <c r="C1036" s="15" t="s">
        <v>2065</v>
      </c>
      <c r="D1036" s="14" t="s">
        <v>1752</v>
      </c>
      <c r="E1036" s="14" t="s">
        <v>1747</v>
      </c>
      <c r="F1036" s="25">
        <v>748800</v>
      </c>
      <c r="G1036" s="25">
        <v>673920</v>
      </c>
    </row>
    <row r="1037" spans="1:7" ht="30" x14ac:dyDescent="0.25">
      <c r="A1037" s="14" t="s">
        <v>2092</v>
      </c>
      <c r="B1037" s="14" t="s">
        <v>97</v>
      </c>
      <c r="C1037" s="15" t="s">
        <v>2093</v>
      </c>
      <c r="D1037" s="14" t="s">
        <v>1745</v>
      </c>
      <c r="E1037" s="14" t="s">
        <v>1746</v>
      </c>
      <c r="F1037" s="25">
        <v>8379</v>
      </c>
      <c r="G1037" s="25">
        <v>6284.28</v>
      </c>
    </row>
    <row r="1038" spans="1:7" x14ac:dyDescent="0.25">
      <c r="A1038" s="14" t="s">
        <v>2092</v>
      </c>
      <c r="B1038" s="14">
        <v>23</v>
      </c>
      <c r="C1038" s="15" t="s">
        <v>2094</v>
      </c>
      <c r="D1038" s="14" t="s">
        <v>1745</v>
      </c>
      <c r="E1038" s="14" t="s">
        <v>1747</v>
      </c>
      <c r="F1038" s="25">
        <v>159720</v>
      </c>
      <c r="G1038" s="25">
        <v>119790</v>
      </c>
    </row>
    <row r="1039" spans="1:7" ht="30" x14ac:dyDescent="0.25">
      <c r="A1039" s="14" t="s">
        <v>2092</v>
      </c>
      <c r="B1039" s="14">
        <v>3</v>
      </c>
      <c r="C1039" s="15" t="s">
        <v>2095</v>
      </c>
      <c r="D1039" s="14" t="s">
        <v>1752</v>
      </c>
      <c r="E1039" s="14" t="s">
        <v>1746</v>
      </c>
      <c r="F1039" s="25">
        <v>62937</v>
      </c>
      <c r="G1039" s="25">
        <v>47202.84</v>
      </c>
    </row>
    <row r="1040" spans="1:7" ht="30" x14ac:dyDescent="0.25">
      <c r="A1040" s="14" t="s">
        <v>2092</v>
      </c>
      <c r="B1040" s="14" t="s">
        <v>108</v>
      </c>
      <c r="C1040" s="15" t="s">
        <v>2096</v>
      </c>
      <c r="D1040" s="14" t="s">
        <v>1745</v>
      </c>
      <c r="E1040" s="14" t="s">
        <v>1747</v>
      </c>
      <c r="F1040" s="25">
        <v>10980</v>
      </c>
      <c r="G1040" s="25">
        <v>8235</v>
      </c>
    </row>
    <row r="1041" spans="1:7" x14ac:dyDescent="0.25">
      <c r="A1041" s="14" t="s">
        <v>2092</v>
      </c>
      <c r="B1041" s="14">
        <v>21</v>
      </c>
      <c r="C1041" s="15" t="s">
        <v>2097</v>
      </c>
      <c r="D1041" s="14" t="s">
        <v>1745</v>
      </c>
      <c r="E1041" s="14" t="s">
        <v>1746</v>
      </c>
      <c r="F1041" s="25">
        <v>125811</v>
      </c>
      <c r="G1041" s="25">
        <v>94358.28</v>
      </c>
    </row>
    <row r="1042" spans="1:7" ht="30" x14ac:dyDescent="0.25">
      <c r="A1042" s="14" t="s">
        <v>2092</v>
      </c>
      <c r="B1042" s="14" t="s">
        <v>297</v>
      </c>
      <c r="C1042" s="15" t="s">
        <v>2098</v>
      </c>
      <c r="D1042" s="14" t="s">
        <v>1745</v>
      </c>
      <c r="E1042" s="14" t="s">
        <v>1746</v>
      </c>
      <c r="F1042" s="25">
        <v>5229</v>
      </c>
      <c r="G1042" s="25">
        <v>4706.16</v>
      </c>
    </row>
    <row r="1043" spans="1:7" x14ac:dyDescent="0.25">
      <c r="A1043" s="14" t="s">
        <v>2092</v>
      </c>
      <c r="B1043" s="14">
        <v>6</v>
      </c>
      <c r="C1043" s="15" t="s">
        <v>2099</v>
      </c>
      <c r="D1043" s="14" t="s">
        <v>1745</v>
      </c>
      <c r="E1043" s="14" t="s">
        <v>1747</v>
      </c>
      <c r="F1043" s="25">
        <v>159720</v>
      </c>
      <c r="G1043" s="25">
        <v>119790</v>
      </c>
    </row>
    <row r="1044" spans="1:7" ht="30" x14ac:dyDescent="0.25">
      <c r="A1044" s="14" t="s">
        <v>2092</v>
      </c>
      <c r="B1044" s="14" t="s">
        <v>97</v>
      </c>
      <c r="C1044" s="15" t="s">
        <v>2093</v>
      </c>
      <c r="D1044" s="14" t="s">
        <v>1745</v>
      </c>
      <c r="E1044" s="14" t="s">
        <v>1747</v>
      </c>
      <c r="F1044" s="25">
        <v>7980</v>
      </c>
      <c r="G1044" s="25">
        <v>5985</v>
      </c>
    </row>
    <row r="1045" spans="1:7" x14ac:dyDescent="0.25">
      <c r="A1045" s="14" t="s">
        <v>2092</v>
      </c>
      <c r="B1045" s="14">
        <v>6</v>
      </c>
      <c r="C1045" s="15" t="s">
        <v>2099</v>
      </c>
      <c r="D1045" s="14" t="s">
        <v>1752</v>
      </c>
      <c r="E1045" s="14" t="s">
        <v>1746</v>
      </c>
      <c r="F1045" s="25">
        <v>503118</v>
      </c>
      <c r="G1045" s="25">
        <v>377338.7</v>
      </c>
    </row>
    <row r="1046" spans="1:7" x14ac:dyDescent="0.25">
      <c r="A1046" s="14" t="s">
        <v>2092</v>
      </c>
      <c r="B1046" s="14" t="s">
        <v>875</v>
      </c>
      <c r="C1046" s="15" t="s">
        <v>2100</v>
      </c>
      <c r="D1046" s="14" t="s">
        <v>1745</v>
      </c>
      <c r="E1046" s="14" t="s">
        <v>1747</v>
      </c>
      <c r="F1046" s="25">
        <v>39960</v>
      </c>
      <c r="G1046" s="25">
        <v>35964</v>
      </c>
    </row>
    <row r="1047" spans="1:7" x14ac:dyDescent="0.25">
      <c r="A1047" s="14" t="s">
        <v>2092</v>
      </c>
      <c r="B1047" s="14">
        <v>22</v>
      </c>
      <c r="C1047" s="15" t="s">
        <v>2101</v>
      </c>
      <c r="D1047" s="14" t="s">
        <v>1745</v>
      </c>
      <c r="E1047" s="14" t="s">
        <v>1747</v>
      </c>
      <c r="F1047" s="25">
        <v>319440</v>
      </c>
      <c r="G1047" s="25">
        <v>287496</v>
      </c>
    </row>
    <row r="1048" spans="1:7" x14ac:dyDescent="0.25">
      <c r="A1048" s="14" t="s">
        <v>2092</v>
      </c>
      <c r="B1048" s="14">
        <v>1</v>
      </c>
      <c r="C1048" s="15" t="s">
        <v>2102</v>
      </c>
      <c r="D1048" s="14" t="s">
        <v>1745</v>
      </c>
      <c r="E1048" s="14" t="s">
        <v>1747</v>
      </c>
      <c r="F1048" s="25">
        <v>104820</v>
      </c>
      <c r="G1048" s="25">
        <v>78615</v>
      </c>
    </row>
    <row r="1049" spans="1:7" ht="30" x14ac:dyDescent="0.25">
      <c r="A1049" s="14" t="s">
        <v>2092</v>
      </c>
      <c r="B1049" s="14">
        <v>3</v>
      </c>
      <c r="C1049" s="15" t="s">
        <v>2095</v>
      </c>
      <c r="D1049" s="14" t="s">
        <v>1745</v>
      </c>
      <c r="E1049" s="14" t="s">
        <v>1747</v>
      </c>
      <c r="F1049" s="25">
        <v>19980</v>
      </c>
      <c r="G1049" s="25">
        <v>14985</v>
      </c>
    </row>
    <row r="1050" spans="1:7" x14ac:dyDescent="0.25">
      <c r="A1050" s="14" t="s">
        <v>2092</v>
      </c>
      <c r="B1050" s="14">
        <v>6</v>
      </c>
      <c r="C1050" s="15" t="s">
        <v>2099</v>
      </c>
      <c r="D1050" s="14" t="s">
        <v>1752</v>
      </c>
      <c r="E1050" s="14" t="s">
        <v>1747</v>
      </c>
      <c r="F1050" s="25">
        <v>479160</v>
      </c>
      <c r="G1050" s="25">
        <v>359370</v>
      </c>
    </row>
    <row r="1051" spans="1:7" ht="30" x14ac:dyDescent="0.25">
      <c r="A1051" s="14" t="s">
        <v>2092</v>
      </c>
      <c r="B1051" s="14" t="s">
        <v>297</v>
      </c>
      <c r="C1051" s="15" t="s">
        <v>2098</v>
      </c>
      <c r="D1051" s="14" t="s">
        <v>1749</v>
      </c>
      <c r="E1051" s="14" t="s">
        <v>1746</v>
      </c>
      <c r="F1051" s="25">
        <v>498</v>
      </c>
      <c r="G1051" s="25">
        <v>448.2</v>
      </c>
    </row>
    <row r="1052" spans="1:7" x14ac:dyDescent="0.25">
      <c r="A1052" s="14" t="s">
        <v>2092</v>
      </c>
      <c r="B1052" s="14">
        <v>1</v>
      </c>
      <c r="C1052" s="15" t="s">
        <v>2102</v>
      </c>
      <c r="D1052" s="14" t="s">
        <v>1749</v>
      </c>
      <c r="E1052" s="14" t="s">
        <v>1746</v>
      </c>
      <c r="F1052" s="25">
        <v>10482</v>
      </c>
      <c r="G1052" s="25">
        <v>7861.5</v>
      </c>
    </row>
    <row r="1053" spans="1:7" x14ac:dyDescent="0.25">
      <c r="A1053" s="14" t="s">
        <v>2092</v>
      </c>
      <c r="B1053" s="14" t="s">
        <v>809</v>
      </c>
      <c r="C1053" s="15" t="s">
        <v>2103</v>
      </c>
      <c r="D1053" s="14" t="s">
        <v>1749</v>
      </c>
      <c r="E1053" s="14" t="s">
        <v>1746</v>
      </c>
      <c r="F1053" s="25">
        <v>6390</v>
      </c>
      <c r="G1053" s="25">
        <v>4792.5</v>
      </c>
    </row>
    <row r="1054" spans="1:7" ht="30" x14ac:dyDescent="0.25">
      <c r="A1054" s="14" t="s">
        <v>2092</v>
      </c>
      <c r="B1054" s="14">
        <v>3</v>
      </c>
      <c r="C1054" s="15" t="s">
        <v>2095</v>
      </c>
      <c r="D1054" s="14" t="s">
        <v>1749</v>
      </c>
      <c r="E1054" s="14" t="s">
        <v>1746</v>
      </c>
      <c r="F1054" s="25">
        <v>1998</v>
      </c>
      <c r="G1054" s="25">
        <v>1498.5</v>
      </c>
    </row>
    <row r="1055" spans="1:7" x14ac:dyDescent="0.25">
      <c r="A1055" s="14" t="s">
        <v>2092</v>
      </c>
      <c r="B1055" s="14" t="s">
        <v>307</v>
      </c>
      <c r="C1055" s="15" t="s">
        <v>2104</v>
      </c>
      <c r="D1055" s="14" t="s">
        <v>1749</v>
      </c>
      <c r="E1055" s="14" t="s">
        <v>1746</v>
      </c>
      <c r="F1055" s="25">
        <v>5766</v>
      </c>
      <c r="G1055" s="25">
        <v>4324.5</v>
      </c>
    </row>
    <row r="1056" spans="1:7" x14ac:dyDescent="0.25">
      <c r="A1056" s="14" t="s">
        <v>2092</v>
      </c>
      <c r="B1056" s="14" t="s">
        <v>809</v>
      </c>
      <c r="C1056" s="15" t="s">
        <v>2103</v>
      </c>
      <c r="D1056" s="14" t="s">
        <v>1745</v>
      </c>
      <c r="E1056" s="14" t="s">
        <v>1747</v>
      </c>
      <c r="F1056" s="25">
        <v>63900</v>
      </c>
      <c r="G1056" s="25">
        <v>47925</v>
      </c>
    </row>
    <row r="1057" spans="1:7" x14ac:dyDescent="0.25">
      <c r="A1057" s="14" t="s">
        <v>2092</v>
      </c>
      <c r="B1057" s="14" t="s">
        <v>875</v>
      </c>
      <c r="C1057" s="15" t="s">
        <v>2100</v>
      </c>
      <c r="D1057" s="14" t="s">
        <v>1745</v>
      </c>
      <c r="E1057" s="14" t="s">
        <v>1746</v>
      </c>
      <c r="F1057" s="25">
        <v>41958</v>
      </c>
      <c r="G1057" s="25">
        <v>37762.199999999997</v>
      </c>
    </row>
    <row r="1058" spans="1:7" x14ac:dyDescent="0.25">
      <c r="A1058" s="14" t="s">
        <v>2092</v>
      </c>
      <c r="B1058" s="14">
        <v>21</v>
      </c>
      <c r="C1058" s="15" t="s">
        <v>2097</v>
      </c>
      <c r="D1058" s="14" t="s">
        <v>1745</v>
      </c>
      <c r="E1058" s="14" t="s">
        <v>1747</v>
      </c>
      <c r="F1058" s="25">
        <v>119820</v>
      </c>
      <c r="G1058" s="25">
        <v>89865</v>
      </c>
    </row>
    <row r="1059" spans="1:7" x14ac:dyDescent="0.25">
      <c r="A1059" s="14" t="s">
        <v>2092</v>
      </c>
      <c r="B1059" s="14">
        <v>6</v>
      </c>
      <c r="C1059" s="15" t="s">
        <v>2099</v>
      </c>
      <c r="D1059" s="14" t="s">
        <v>1752</v>
      </c>
      <c r="E1059" s="14" t="s">
        <v>1753</v>
      </c>
      <c r="F1059" s="25">
        <v>479160</v>
      </c>
      <c r="G1059" s="25">
        <v>359370</v>
      </c>
    </row>
    <row r="1060" spans="1:7" ht="30" x14ac:dyDescent="0.25">
      <c r="A1060" s="14" t="s">
        <v>2092</v>
      </c>
      <c r="B1060" s="14">
        <v>3</v>
      </c>
      <c r="C1060" s="15" t="s">
        <v>2095</v>
      </c>
      <c r="D1060" s="14" t="s">
        <v>1752</v>
      </c>
      <c r="E1060" s="14" t="s">
        <v>1747</v>
      </c>
      <c r="F1060" s="25">
        <v>59940</v>
      </c>
      <c r="G1060" s="25">
        <v>44955</v>
      </c>
    </row>
    <row r="1061" spans="1:7" x14ac:dyDescent="0.25">
      <c r="A1061" s="14" t="s">
        <v>2092</v>
      </c>
      <c r="B1061" s="14">
        <v>22</v>
      </c>
      <c r="C1061" s="15" t="s">
        <v>2101</v>
      </c>
      <c r="D1061" s="14" t="s">
        <v>1745</v>
      </c>
      <c r="E1061" s="14" t="s">
        <v>1746</v>
      </c>
      <c r="F1061" s="25">
        <v>335412</v>
      </c>
      <c r="G1061" s="25">
        <v>301870.8</v>
      </c>
    </row>
    <row r="1062" spans="1:7" x14ac:dyDescent="0.25">
      <c r="A1062" s="14" t="s">
        <v>2092</v>
      </c>
      <c r="B1062" s="14" t="s">
        <v>258</v>
      </c>
      <c r="C1062" s="15" t="s">
        <v>2105</v>
      </c>
      <c r="D1062" s="14" t="s">
        <v>1749</v>
      </c>
      <c r="E1062" s="14" t="s">
        <v>1746</v>
      </c>
      <c r="F1062" s="25">
        <v>2622</v>
      </c>
      <c r="G1062" s="25">
        <v>2359.8000000000002</v>
      </c>
    </row>
    <row r="1063" spans="1:7" x14ac:dyDescent="0.25">
      <c r="A1063" s="14" t="s">
        <v>2092</v>
      </c>
      <c r="B1063" s="14">
        <v>22</v>
      </c>
      <c r="C1063" s="15" t="s">
        <v>2101</v>
      </c>
      <c r="D1063" s="14" t="s">
        <v>1749</v>
      </c>
      <c r="E1063" s="14" t="s">
        <v>1746</v>
      </c>
      <c r="F1063" s="25">
        <v>31944</v>
      </c>
      <c r="G1063" s="25">
        <v>28749.599999999999</v>
      </c>
    </row>
    <row r="1064" spans="1:7" x14ac:dyDescent="0.25">
      <c r="A1064" s="14" t="s">
        <v>2092</v>
      </c>
      <c r="B1064" s="14">
        <v>7</v>
      </c>
      <c r="C1064" s="15" t="s">
        <v>2106</v>
      </c>
      <c r="D1064" s="14" t="s">
        <v>1745</v>
      </c>
      <c r="E1064" s="14" t="s">
        <v>1747</v>
      </c>
      <c r="F1064" s="25">
        <v>798660</v>
      </c>
      <c r="G1064" s="25">
        <v>598995</v>
      </c>
    </row>
    <row r="1065" spans="1:7" x14ac:dyDescent="0.25">
      <c r="A1065" s="14" t="s">
        <v>2092</v>
      </c>
      <c r="B1065" s="14">
        <v>1</v>
      </c>
      <c r="C1065" s="15" t="s">
        <v>2102</v>
      </c>
      <c r="D1065" s="14" t="s">
        <v>1752</v>
      </c>
      <c r="E1065" s="14" t="s">
        <v>1753</v>
      </c>
      <c r="F1065" s="25">
        <v>314460</v>
      </c>
      <c r="G1065" s="25">
        <v>235845</v>
      </c>
    </row>
    <row r="1066" spans="1:7" ht="30" x14ac:dyDescent="0.25">
      <c r="A1066" s="14" t="s">
        <v>2092</v>
      </c>
      <c r="B1066" s="14">
        <v>3</v>
      </c>
      <c r="C1066" s="15" t="s">
        <v>2095</v>
      </c>
      <c r="D1066" s="14" t="s">
        <v>1745</v>
      </c>
      <c r="E1066" s="14" t="s">
        <v>1746</v>
      </c>
      <c r="F1066" s="25">
        <v>20979</v>
      </c>
      <c r="G1066" s="25">
        <v>15734.28</v>
      </c>
    </row>
    <row r="1067" spans="1:7" x14ac:dyDescent="0.25">
      <c r="A1067" s="14" t="s">
        <v>2092</v>
      </c>
      <c r="B1067" s="14">
        <v>6</v>
      </c>
      <c r="C1067" s="15" t="s">
        <v>2099</v>
      </c>
      <c r="D1067" s="14" t="s">
        <v>1749</v>
      </c>
      <c r="E1067" s="14" t="s">
        <v>1746</v>
      </c>
      <c r="F1067" s="25">
        <v>15972</v>
      </c>
      <c r="G1067" s="25">
        <v>11979</v>
      </c>
    </row>
    <row r="1068" spans="1:7" x14ac:dyDescent="0.25">
      <c r="A1068" s="14" t="s">
        <v>2092</v>
      </c>
      <c r="B1068" s="14" t="s">
        <v>1274</v>
      </c>
      <c r="C1068" s="15" t="s">
        <v>2107</v>
      </c>
      <c r="D1068" s="14" t="s">
        <v>1745</v>
      </c>
      <c r="E1068" s="14" t="s">
        <v>1747</v>
      </c>
      <c r="F1068" s="25">
        <v>87840</v>
      </c>
      <c r="G1068" s="25">
        <v>65880</v>
      </c>
    </row>
    <row r="1069" spans="1:7" x14ac:dyDescent="0.25">
      <c r="A1069" s="14" t="s">
        <v>2092</v>
      </c>
      <c r="B1069" s="14" t="s">
        <v>325</v>
      </c>
      <c r="C1069" s="15" t="s">
        <v>2108</v>
      </c>
      <c r="D1069" s="14" t="s">
        <v>1745</v>
      </c>
      <c r="E1069" s="14" t="s">
        <v>1747</v>
      </c>
      <c r="F1069" s="25">
        <v>41940</v>
      </c>
      <c r="G1069" s="25">
        <v>31455</v>
      </c>
    </row>
    <row r="1070" spans="1:7" x14ac:dyDescent="0.25">
      <c r="A1070" s="14" t="s">
        <v>2092</v>
      </c>
      <c r="B1070" s="14" t="s">
        <v>307</v>
      </c>
      <c r="C1070" s="15" t="s">
        <v>2104</v>
      </c>
      <c r="D1070" s="14" t="s">
        <v>1745</v>
      </c>
      <c r="E1070" s="14" t="s">
        <v>1747</v>
      </c>
      <c r="F1070" s="25">
        <v>57660</v>
      </c>
      <c r="G1070" s="25">
        <v>43245</v>
      </c>
    </row>
    <row r="1071" spans="1:7" x14ac:dyDescent="0.25">
      <c r="A1071" s="14" t="s">
        <v>2092</v>
      </c>
      <c r="B1071" s="14">
        <v>6</v>
      </c>
      <c r="C1071" s="15" t="s">
        <v>2099</v>
      </c>
      <c r="D1071" s="14" t="s">
        <v>1745</v>
      </c>
      <c r="E1071" s="14" t="s">
        <v>1746</v>
      </c>
      <c r="F1071" s="25">
        <v>167706</v>
      </c>
      <c r="G1071" s="25">
        <v>125779.6</v>
      </c>
    </row>
    <row r="1072" spans="1:7" ht="30" x14ac:dyDescent="0.25">
      <c r="A1072" s="14" t="s">
        <v>2092</v>
      </c>
      <c r="B1072" s="14">
        <v>3</v>
      </c>
      <c r="C1072" s="15" t="s">
        <v>2095</v>
      </c>
      <c r="D1072" s="14" t="s">
        <v>1752</v>
      </c>
      <c r="E1072" s="14" t="s">
        <v>1753</v>
      </c>
      <c r="F1072" s="25">
        <v>59940</v>
      </c>
      <c r="G1072" s="25">
        <v>44955</v>
      </c>
    </row>
    <row r="1073" spans="1:7" x14ac:dyDescent="0.25">
      <c r="A1073" s="14" t="s">
        <v>2092</v>
      </c>
      <c r="B1073" s="14">
        <v>7</v>
      </c>
      <c r="C1073" s="15" t="s">
        <v>2106</v>
      </c>
      <c r="D1073" s="14" t="s">
        <v>1745</v>
      </c>
      <c r="E1073" s="14" t="s">
        <v>1746</v>
      </c>
      <c r="F1073" s="25">
        <v>838593</v>
      </c>
      <c r="G1073" s="25">
        <v>628944.69999999995</v>
      </c>
    </row>
    <row r="1074" spans="1:7" x14ac:dyDescent="0.25">
      <c r="A1074" s="14" t="s">
        <v>2092</v>
      </c>
      <c r="B1074" s="14" t="s">
        <v>307</v>
      </c>
      <c r="C1074" s="15" t="s">
        <v>2104</v>
      </c>
      <c r="D1074" s="14" t="s">
        <v>1745</v>
      </c>
      <c r="E1074" s="14" t="s">
        <v>1746</v>
      </c>
      <c r="F1074" s="25">
        <v>60543</v>
      </c>
      <c r="G1074" s="25">
        <v>45407.28</v>
      </c>
    </row>
    <row r="1075" spans="1:7" ht="30" x14ac:dyDescent="0.25">
      <c r="A1075" s="14" t="s">
        <v>2092</v>
      </c>
      <c r="B1075" s="14" t="s">
        <v>97</v>
      </c>
      <c r="C1075" s="15" t="s">
        <v>2093</v>
      </c>
      <c r="D1075" s="14" t="s">
        <v>1749</v>
      </c>
      <c r="E1075" s="14" t="s">
        <v>1746</v>
      </c>
      <c r="F1075" s="25">
        <v>798</v>
      </c>
      <c r="G1075" s="25">
        <v>598.5</v>
      </c>
    </row>
    <row r="1076" spans="1:7" x14ac:dyDescent="0.25">
      <c r="A1076" s="14" t="s">
        <v>2092</v>
      </c>
      <c r="B1076" s="14" t="s">
        <v>1274</v>
      </c>
      <c r="C1076" s="15" t="s">
        <v>2107</v>
      </c>
      <c r="D1076" s="14" t="s">
        <v>1745</v>
      </c>
      <c r="E1076" s="14" t="s">
        <v>1746</v>
      </c>
      <c r="F1076" s="25">
        <v>92232</v>
      </c>
      <c r="G1076" s="25">
        <v>69174</v>
      </c>
    </row>
    <row r="1077" spans="1:7" x14ac:dyDescent="0.25">
      <c r="A1077" s="14" t="s">
        <v>2092</v>
      </c>
      <c r="B1077" s="14">
        <v>1</v>
      </c>
      <c r="C1077" s="15" t="s">
        <v>2102</v>
      </c>
      <c r="D1077" s="14" t="s">
        <v>1745</v>
      </c>
      <c r="E1077" s="14" t="s">
        <v>1746</v>
      </c>
      <c r="F1077" s="25">
        <v>110061</v>
      </c>
      <c r="G1077" s="25">
        <v>82545.72</v>
      </c>
    </row>
    <row r="1078" spans="1:7" x14ac:dyDescent="0.25">
      <c r="A1078" s="14" t="s">
        <v>2092</v>
      </c>
      <c r="B1078" s="14" t="s">
        <v>258</v>
      </c>
      <c r="C1078" s="15" t="s">
        <v>2105</v>
      </c>
      <c r="D1078" s="14" t="s">
        <v>1745</v>
      </c>
      <c r="E1078" s="14" t="s">
        <v>1746</v>
      </c>
      <c r="F1078" s="25">
        <v>27531</v>
      </c>
      <c r="G1078" s="25">
        <v>24777.96</v>
      </c>
    </row>
    <row r="1079" spans="1:7" x14ac:dyDescent="0.25">
      <c r="A1079" s="14" t="s">
        <v>2092</v>
      </c>
      <c r="B1079" s="14">
        <v>1</v>
      </c>
      <c r="C1079" s="15" t="s">
        <v>2102</v>
      </c>
      <c r="D1079" s="14" t="s">
        <v>1752</v>
      </c>
      <c r="E1079" s="14" t="s">
        <v>1746</v>
      </c>
      <c r="F1079" s="25">
        <v>330183</v>
      </c>
      <c r="G1079" s="25">
        <v>247637.2</v>
      </c>
    </row>
    <row r="1080" spans="1:7" ht="30" x14ac:dyDescent="0.25">
      <c r="A1080" s="14" t="s">
        <v>2092</v>
      </c>
      <c r="B1080" s="14" t="s">
        <v>297</v>
      </c>
      <c r="C1080" s="15" t="s">
        <v>2098</v>
      </c>
      <c r="D1080" s="14" t="s">
        <v>1745</v>
      </c>
      <c r="E1080" s="14" t="s">
        <v>1747</v>
      </c>
      <c r="F1080" s="25">
        <v>4980</v>
      </c>
      <c r="G1080" s="25">
        <v>4482</v>
      </c>
    </row>
    <row r="1081" spans="1:7" x14ac:dyDescent="0.25">
      <c r="A1081" s="14" t="s">
        <v>2092</v>
      </c>
      <c r="B1081" s="14">
        <v>7</v>
      </c>
      <c r="C1081" s="15" t="s">
        <v>2106</v>
      </c>
      <c r="D1081" s="14" t="s">
        <v>1749</v>
      </c>
      <c r="E1081" s="14" t="s">
        <v>1746</v>
      </c>
      <c r="F1081" s="25">
        <v>79866</v>
      </c>
      <c r="G1081" s="25">
        <v>59899.5</v>
      </c>
    </row>
    <row r="1082" spans="1:7" x14ac:dyDescent="0.25">
      <c r="A1082" s="14" t="s">
        <v>2092</v>
      </c>
      <c r="B1082" s="14" t="s">
        <v>325</v>
      </c>
      <c r="C1082" s="15" t="s">
        <v>2108</v>
      </c>
      <c r="D1082" s="14" t="s">
        <v>1745</v>
      </c>
      <c r="E1082" s="14" t="s">
        <v>1746</v>
      </c>
      <c r="F1082" s="25">
        <v>44037</v>
      </c>
      <c r="G1082" s="25">
        <v>33027.72</v>
      </c>
    </row>
    <row r="1083" spans="1:7" x14ac:dyDescent="0.25">
      <c r="A1083" s="14" t="s">
        <v>2092</v>
      </c>
      <c r="B1083" s="14" t="s">
        <v>809</v>
      </c>
      <c r="C1083" s="15" t="s">
        <v>2103</v>
      </c>
      <c r="D1083" s="14" t="s">
        <v>1745</v>
      </c>
      <c r="E1083" s="14" t="s">
        <v>1746</v>
      </c>
      <c r="F1083" s="25">
        <v>67095</v>
      </c>
      <c r="G1083" s="25">
        <v>50321.279999999999</v>
      </c>
    </row>
    <row r="1084" spans="1:7" x14ac:dyDescent="0.25">
      <c r="A1084" s="14" t="s">
        <v>2092</v>
      </c>
      <c r="B1084" s="14">
        <v>23</v>
      </c>
      <c r="C1084" s="15" t="s">
        <v>2094</v>
      </c>
      <c r="D1084" s="14" t="s">
        <v>1745</v>
      </c>
      <c r="E1084" s="14" t="s">
        <v>1746</v>
      </c>
      <c r="F1084" s="25">
        <v>167706</v>
      </c>
      <c r="G1084" s="25">
        <v>125779.6</v>
      </c>
    </row>
    <row r="1085" spans="1:7" x14ac:dyDescent="0.25">
      <c r="A1085" s="14" t="s">
        <v>2092</v>
      </c>
      <c r="B1085" s="14">
        <v>23</v>
      </c>
      <c r="C1085" s="15" t="s">
        <v>2094</v>
      </c>
      <c r="D1085" s="14" t="s">
        <v>1749</v>
      </c>
      <c r="E1085" s="14" t="s">
        <v>1746</v>
      </c>
      <c r="F1085" s="25">
        <v>15972</v>
      </c>
      <c r="G1085" s="25">
        <v>11979</v>
      </c>
    </row>
    <row r="1086" spans="1:7" x14ac:dyDescent="0.25">
      <c r="A1086" s="14" t="s">
        <v>2092</v>
      </c>
      <c r="B1086" s="14" t="s">
        <v>325</v>
      </c>
      <c r="C1086" s="15" t="s">
        <v>2108</v>
      </c>
      <c r="D1086" s="14" t="s">
        <v>1749</v>
      </c>
      <c r="E1086" s="14" t="s">
        <v>1746</v>
      </c>
      <c r="F1086" s="25">
        <v>4194</v>
      </c>
      <c r="G1086" s="25">
        <v>3145.5</v>
      </c>
    </row>
    <row r="1087" spans="1:7" x14ac:dyDescent="0.25">
      <c r="A1087" s="14" t="s">
        <v>2092</v>
      </c>
      <c r="B1087" s="14" t="s">
        <v>258</v>
      </c>
      <c r="C1087" s="15" t="s">
        <v>2105</v>
      </c>
      <c r="D1087" s="14" t="s">
        <v>1745</v>
      </c>
      <c r="E1087" s="14" t="s">
        <v>1747</v>
      </c>
      <c r="F1087" s="25">
        <v>26220</v>
      </c>
      <c r="G1087" s="25">
        <v>23598</v>
      </c>
    </row>
    <row r="1088" spans="1:7" ht="30" x14ac:dyDescent="0.25">
      <c r="A1088" s="14" t="s">
        <v>2092</v>
      </c>
      <c r="B1088" s="14" t="s">
        <v>108</v>
      </c>
      <c r="C1088" s="15" t="s">
        <v>2096</v>
      </c>
      <c r="D1088" s="14" t="s">
        <v>1749</v>
      </c>
      <c r="E1088" s="14" t="s">
        <v>1746</v>
      </c>
      <c r="F1088" s="25">
        <v>1098</v>
      </c>
      <c r="G1088" s="25">
        <v>823.5</v>
      </c>
    </row>
    <row r="1089" spans="1:7" x14ac:dyDescent="0.25">
      <c r="A1089" s="14" t="s">
        <v>2092</v>
      </c>
      <c r="B1089" s="14" t="s">
        <v>1274</v>
      </c>
      <c r="C1089" s="15" t="s">
        <v>2107</v>
      </c>
      <c r="D1089" s="14" t="s">
        <v>1749</v>
      </c>
      <c r="E1089" s="14" t="s">
        <v>1746</v>
      </c>
      <c r="F1089" s="25">
        <v>8784</v>
      </c>
      <c r="G1089" s="25">
        <v>6588</v>
      </c>
    </row>
    <row r="1090" spans="1:7" x14ac:dyDescent="0.25">
      <c r="A1090" s="14" t="s">
        <v>2092</v>
      </c>
      <c r="B1090" s="14" t="s">
        <v>875</v>
      </c>
      <c r="C1090" s="15" t="s">
        <v>2100</v>
      </c>
      <c r="D1090" s="14" t="s">
        <v>1749</v>
      </c>
      <c r="E1090" s="14" t="s">
        <v>1746</v>
      </c>
      <c r="F1090" s="25">
        <v>3996</v>
      </c>
      <c r="G1090" s="25">
        <v>3596.4</v>
      </c>
    </row>
    <row r="1091" spans="1:7" x14ac:dyDescent="0.25">
      <c r="A1091" s="14" t="s">
        <v>2092</v>
      </c>
      <c r="B1091" s="14">
        <v>21</v>
      </c>
      <c r="C1091" s="15" t="s">
        <v>2097</v>
      </c>
      <c r="D1091" s="14" t="s">
        <v>1749</v>
      </c>
      <c r="E1091" s="14" t="s">
        <v>1746</v>
      </c>
      <c r="F1091" s="25">
        <v>11982</v>
      </c>
      <c r="G1091" s="25">
        <v>8986.5</v>
      </c>
    </row>
    <row r="1092" spans="1:7" ht="30" x14ac:dyDescent="0.25">
      <c r="A1092" s="14" t="s">
        <v>2092</v>
      </c>
      <c r="B1092" s="14" t="s">
        <v>108</v>
      </c>
      <c r="C1092" s="15" t="s">
        <v>2096</v>
      </c>
      <c r="D1092" s="14" t="s">
        <v>1745</v>
      </c>
      <c r="E1092" s="14" t="s">
        <v>1746</v>
      </c>
      <c r="F1092" s="25">
        <v>11529</v>
      </c>
      <c r="G1092" s="25">
        <v>8646.7199999999993</v>
      </c>
    </row>
    <row r="1093" spans="1:7" x14ac:dyDescent="0.25">
      <c r="A1093" s="14" t="s">
        <v>2092</v>
      </c>
      <c r="B1093" s="14">
        <v>1</v>
      </c>
      <c r="C1093" s="15" t="s">
        <v>2102</v>
      </c>
      <c r="D1093" s="14" t="s">
        <v>1752</v>
      </c>
      <c r="E1093" s="14" t="s">
        <v>1747</v>
      </c>
      <c r="F1093" s="25">
        <v>314460</v>
      </c>
      <c r="G1093" s="25">
        <v>235845</v>
      </c>
    </row>
    <row r="1094" spans="1:7" x14ac:dyDescent="0.25">
      <c r="A1094" s="14" t="s">
        <v>2109</v>
      </c>
      <c r="B1094" s="14">
        <v>5</v>
      </c>
      <c r="C1094" s="15" t="s">
        <v>2110</v>
      </c>
      <c r="D1094" s="14" t="s">
        <v>1752</v>
      </c>
      <c r="E1094" s="14" t="s">
        <v>1746</v>
      </c>
      <c r="F1094" s="25">
        <v>613305</v>
      </c>
      <c r="G1094" s="25">
        <v>459978.8</v>
      </c>
    </row>
    <row r="1095" spans="1:7" x14ac:dyDescent="0.25">
      <c r="A1095" s="14" t="s">
        <v>2109</v>
      </c>
      <c r="B1095" s="14">
        <v>5</v>
      </c>
      <c r="C1095" s="15" t="s">
        <v>2110</v>
      </c>
      <c r="D1095" s="14" t="s">
        <v>1752</v>
      </c>
      <c r="E1095" s="14" t="s">
        <v>1753</v>
      </c>
      <c r="F1095" s="25">
        <v>584100</v>
      </c>
      <c r="G1095" s="25">
        <v>438075</v>
      </c>
    </row>
    <row r="1096" spans="1:7" x14ac:dyDescent="0.25">
      <c r="A1096" s="14" t="s">
        <v>2109</v>
      </c>
      <c r="B1096" s="14">
        <v>4</v>
      </c>
      <c r="C1096" s="15" t="s">
        <v>2111</v>
      </c>
      <c r="D1096" s="14" t="s">
        <v>1745</v>
      </c>
      <c r="E1096" s="14" t="s">
        <v>1746</v>
      </c>
      <c r="F1096" s="25">
        <v>112455</v>
      </c>
      <c r="G1096" s="25">
        <v>84341.28</v>
      </c>
    </row>
    <row r="1097" spans="1:7" x14ac:dyDescent="0.25">
      <c r="A1097" s="14" t="s">
        <v>2109</v>
      </c>
      <c r="B1097" s="14">
        <v>4</v>
      </c>
      <c r="C1097" s="15" t="s">
        <v>2111</v>
      </c>
      <c r="D1097" s="14" t="s">
        <v>1745</v>
      </c>
      <c r="E1097" s="14" t="s">
        <v>1747</v>
      </c>
      <c r="F1097" s="25">
        <v>107100</v>
      </c>
      <c r="G1097" s="25">
        <v>80325</v>
      </c>
    </row>
    <row r="1098" spans="1:7" x14ac:dyDescent="0.25">
      <c r="A1098" s="14" t="s">
        <v>2109</v>
      </c>
      <c r="B1098" s="14">
        <v>3</v>
      </c>
      <c r="C1098" s="15" t="s">
        <v>2112</v>
      </c>
      <c r="D1098" s="14" t="s">
        <v>1749</v>
      </c>
      <c r="E1098" s="14" t="s">
        <v>1746</v>
      </c>
      <c r="F1098" s="25">
        <v>4866</v>
      </c>
      <c r="G1098" s="25">
        <v>4379.3999999999996</v>
      </c>
    </row>
    <row r="1099" spans="1:7" x14ac:dyDescent="0.25">
      <c r="A1099" s="14" t="s">
        <v>2109</v>
      </c>
      <c r="B1099" s="14">
        <v>4</v>
      </c>
      <c r="C1099" s="15" t="s">
        <v>2111</v>
      </c>
      <c r="D1099" s="14" t="s">
        <v>1749</v>
      </c>
      <c r="E1099" s="14" t="s">
        <v>1746</v>
      </c>
      <c r="F1099" s="25">
        <v>10710</v>
      </c>
      <c r="G1099" s="25">
        <v>8032.5</v>
      </c>
    </row>
    <row r="1100" spans="1:7" x14ac:dyDescent="0.25">
      <c r="A1100" s="14" t="s">
        <v>2109</v>
      </c>
      <c r="B1100" s="14">
        <v>2</v>
      </c>
      <c r="C1100" s="15" t="s">
        <v>2113</v>
      </c>
      <c r="D1100" s="14" t="s">
        <v>1745</v>
      </c>
      <c r="E1100" s="14" t="s">
        <v>1746</v>
      </c>
      <c r="F1100" s="25">
        <v>81774</v>
      </c>
      <c r="G1100" s="25">
        <v>61330.559999999998</v>
      </c>
    </row>
    <row r="1101" spans="1:7" x14ac:dyDescent="0.25">
      <c r="A1101" s="14" t="s">
        <v>2109</v>
      </c>
      <c r="B1101" s="14">
        <v>5</v>
      </c>
      <c r="C1101" s="15" t="s">
        <v>2110</v>
      </c>
      <c r="D1101" s="14" t="s">
        <v>1752</v>
      </c>
      <c r="E1101" s="14" t="s">
        <v>1747</v>
      </c>
      <c r="F1101" s="25">
        <v>584100</v>
      </c>
      <c r="G1101" s="25">
        <v>438075</v>
      </c>
    </row>
    <row r="1102" spans="1:7" x14ac:dyDescent="0.25">
      <c r="A1102" s="14" t="s">
        <v>2109</v>
      </c>
      <c r="B1102" s="14">
        <v>5</v>
      </c>
      <c r="C1102" s="15" t="s">
        <v>2110</v>
      </c>
      <c r="D1102" s="14" t="s">
        <v>1745</v>
      </c>
      <c r="E1102" s="14" t="s">
        <v>1747</v>
      </c>
      <c r="F1102" s="25">
        <v>194700</v>
      </c>
      <c r="G1102" s="25">
        <v>146025</v>
      </c>
    </row>
    <row r="1103" spans="1:7" x14ac:dyDescent="0.25">
      <c r="A1103" s="14" t="s">
        <v>2109</v>
      </c>
      <c r="B1103" s="14">
        <v>5</v>
      </c>
      <c r="C1103" s="15" t="s">
        <v>2110</v>
      </c>
      <c r="D1103" s="14" t="s">
        <v>1749</v>
      </c>
      <c r="E1103" s="14" t="s">
        <v>1746</v>
      </c>
      <c r="F1103" s="25">
        <v>19470</v>
      </c>
      <c r="G1103" s="25">
        <v>14602.5</v>
      </c>
    </row>
    <row r="1104" spans="1:7" x14ac:dyDescent="0.25">
      <c r="A1104" s="14" t="s">
        <v>2109</v>
      </c>
      <c r="B1104" s="14">
        <v>5</v>
      </c>
      <c r="C1104" s="15" t="s">
        <v>2110</v>
      </c>
      <c r="D1104" s="14" t="s">
        <v>1745</v>
      </c>
      <c r="E1104" s="14" t="s">
        <v>1746</v>
      </c>
      <c r="F1104" s="25">
        <v>204435</v>
      </c>
      <c r="G1104" s="25">
        <v>153326.29999999999</v>
      </c>
    </row>
    <row r="1105" spans="1:7" x14ac:dyDescent="0.25">
      <c r="A1105" s="14" t="s">
        <v>2109</v>
      </c>
      <c r="B1105" s="14">
        <v>3</v>
      </c>
      <c r="C1105" s="15" t="s">
        <v>2112</v>
      </c>
      <c r="D1105" s="14" t="s">
        <v>1745</v>
      </c>
      <c r="E1105" s="14" t="s">
        <v>1747</v>
      </c>
      <c r="F1105" s="25">
        <v>48660</v>
      </c>
      <c r="G1105" s="25">
        <v>43794</v>
      </c>
    </row>
    <row r="1106" spans="1:7" x14ac:dyDescent="0.25">
      <c r="A1106" s="14" t="s">
        <v>2109</v>
      </c>
      <c r="B1106" s="14">
        <v>2</v>
      </c>
      <c r="C1106" s="15" t="s">
        <v>2113</v>
      </c>
      <c r="D1106" s="14" t="s">
        <v>1749</v>
      </c>
      <c r="E1106" s="14" t="s">
        <v>1746</v>
      </c>
      <c r="F1106" s="25">
        <v>7788</v>
      </c>
      <c r="G1106" s="25">
        <v>5841</v>
      </c>
    </row>
    <row r="1107" spans="1:7" x14ac:dyDescent="0.25">
      <c r="A1107" s="14" t="s">
        <v>2109</v>
      </c>
      <c r="B1107" s="14">
        <v>3</v>
      </c>
      <c r="C1107" s="15" t="s">
        <v>2112</v>
      </c>
      <c r="D1107" s="14" t="s">
        <v>1745</v>
      </c>
      <c r="E1107" s="14" t="s">
        <v>1746</v>
      </c>
      <c r="F1107" s="25">
        <v>51093</v>
      </c>
      <c r="G1107" s="25">
        <v>45983.76</v>
      </c>
    </row>
    <row r="1108" spans="1:7" x14ac:dyDescent="0.25">
      <c r="A1108" s="14" t="s">
        <v>2109</v>
      </c>
      <c r="B1108" s="14">
        <v>2</v>
      </c>
      <c r="C1108" s="15" t="s">
        <v>2113</v>
      </c>
      <c r="D1108" s="14" t="s">
        <v>1745</v>
      </c>
      <c r="E1108" s="14" t="s">
        <v>1747</v>
      </c>
      <c r="F1108" s="25">
        <v>77880</v>
      </c>
      <c r="G1108" s="25">
        <v>58410</v>
      </c>
    </row>
    <row r="1109" spans="1:7" ht="30" x14ac:dyDescent="0.25">
      <c r="A1109" s="14" t="s">
        <v>2114</v>
      </c>
      <c r="B1109" s="14">
        <v>14</v>
      </c>
      <c r="C1109" s="15" t="s">
        <v>2115</v>
      </c>
      <c r="D1109" s="14" t="s">
        <v>1745</v>
      </c>
      <c r="E1109" s="14" t="s">
        <v>1746</v>
      </c>
      <c r="F1109" s="25">
        <v>11529</v>
      </c>
      <c r="G1109" s="25">
        <v>8646.7199999999993</v>
      </c>
    </row>
    <row r="1110" spans="1:7" ht="30" x14ac:dyDescent="0.25">
      <c r="A1110" s="14" t="s">
        <v>2114</v>
      </c>
      <c r="B1110" s="14">
        <v>3</v>
      </c>
      <c r="C1110" s="15" t="s">
        <v>2116</v>
      </c>
      <c r="D1110" s="14" t="s">
        <v>1752</v>
      </c>
      <c r="E1110" s="14" t="s">
        <v>1746</v>
      </c>
      <c r="F1110" s="25">
        <v>62937</v>
      </c>
      <c r="G1110" s="25">
        <v>47202.84</v>
      </c>
    </row>
    <row r="1111" spans="1:7" ht="30" x14ac:dyDescent="0.25">
      <c r="A1111" s="14" t="s">
        <v>2114</v>
      </c>
      <c r="B1111" s="14">
        <v>17</v>
      </c>
      <c r="C1111" s="15" t="s">
        <v>2117</v>
      </c>
      <c r="D1111" s="14" t="s">
        <v>1749</v>
      </c>
      <c r="E1111" s="14" t="s">
        <v>1746</v>
      </c>
      <c r="F1111" s="25">
        <v>798</v>
      </c>
      <c r="G1111" s="25">
        <v>598.5</v>
      </c>
    </row>
    <row r="1112" spans="1:7" x14ac:dyDescent="0.25">
      <c r="A1112" s="14" t="s">
        <v>2114</v>
      </c>
      <c r="B1112" s="14" t="s">
        <v>243</v>
      </c>
      <c r="C1112" s="15" t="s">
        <v>2118</v>
      </c>
      <c r="D1112" s="14" t="s">
        <v>1745</v>
      </c>
      <c r="E1112" s="14" t="s">
        <v>1747</v>
      </c>
      <c r="F1112" s="25">
        <v>12480</v>
      </c>
      <c r="G1112" s="25">
        <v>11232</v>
      </c>
    </row>
    <row r="1113" spans="1:7" ht="30" x14ac:dyDescent="0.25">
      <c r="A1113" s="14" t="s">
        <v>2114</v>
      </c>
      <c r="B1113" s="14">
        <v>3</v>
      </c>
      <c r="C1113" s="15" t="s">
        <v>2116</v>
      </c>
      <c r="D1113" s="14" t="s">
        <v>1749</v>
      </c>
      <c r="E1113" s="14" t="s">
        <v>1746</v>
      </c>
      <c r="F1113" s="25">
        <v>1998</v>
      </c>
      <c r="G1113" s="25">
        <v>1498.5</v>
      </c>
    </row>
    <row r="1114" spans="1:7" x14ac:dyDescent="0.25">
      <c r="A1114" s="14" t="s">
        <v>2114</v>
      </c>
      <c r="B1114" s="14">
        <v>1</v>
      </c>
      <c r="C1114" s="15" t="s">
        <v>2119</v>
      </c>
      <c r="D1114" s="14" t="s">
        <v>1752</v>
      </c>
      <c r="E1114" s="14" t="s">
        <v>1746</v>
      </c>
      <c r="F1114" s="25">
        <v>157248</v>
      </c>
      <c r="G1114" s="25">
        <v>117936</v>
      </c>
    </row>
    <row r="1115" spans="1:7" ht="30" x14ac:dyDescent="0.25">
      <c r="A1115" s="14" t="s">
        <v>2114</v>
      </c>
      <c r="B1115" s="14">
        <v>15</v>
      </c>
      <c r="C1115" s="15" t="s">
        <v>2120</v>
      </c>
      <c r="D1115" s="14" t="s">
        <v>1745</v>
      </c>
      <c r="E1115" s="14" t="s">
        <v>1746</v>
      </c>
      <c r="F1115" s="25">
        <v>5229</v>
      </c>
      <c r="G1115" s="25">
        <v>4706.16</v>
      </c>
    </row>
    <row r="1116" spans="1:7" x14ac:dyDescent="0.25">
      <c r="A1116" s="14" t="s">
        <v>2114</v>
      </c>
      <c r="B1116" s="14">
        <v>1</v>
      </c>
      <c r="C1116" s="15" t="s">
        <v>2119</v>
      </c>
      <c r="D1116" s="14" t="s">
        <v>1745</v>
      </c>
      <c r="E1116" s="14" t="s">
        <v>1746</v>
      </c>
      <c r="F1116" s="25">
        <v>52416</v>
      </c>
      <c r="G1116" s="25">
        <v>39312</v>
      </c>
    </row>
    <row r="1117" spans="1:7" ht="30" x14ac:dyDescent="0.25">
      <c r="A1117" s="14" t="s">
        <v>2114</v>
      </c>
      <c r="B1117" s="14">
        <v>3</v>
      </c>
      <c r="C1117" s="15" t="s">
        <v>2116</v>
      </c>
      <c r="D1117" s="14" t="s">
        <v>1752</v>
      </c>
      <c r="E1117" s="14" t="s">
        <v>1747</v>
      </c>
      <c r="F1117" s="25">
        <v>59940</v>
      </c>
      <c r="G1117" s="25">
        <v>44955</v>
      </c>
    </row>
    <row r="1118" spans="1:7" x14ac:dyDescent="0.25">
      <c r="A1118" s="14" t="s">
        <v>2114</v>
      </c>
      <c r="B1118" s="14" t="s">
        <v>243</v>
      </c>
      <c r="C1118" s="15" t="s">
        <v>2118</v>
      </c>
      <c r="D1118" s="14" t="s">
        <v>1745</v>
      </c>
      <c r="E1118" s="14" t="s">
        <v>1746</v>
      </c>
      <c r="F1118" s="25">
        <v>13104</v>
      </c>
      <c r="G1118" s="25">
        <v>11793.6</v>
      </c>
    </row>
    <row r="1119" spans="1:7" x14ac:dyDescent="0.25">
      <c r="A1119" s="14" t="s">
        <v>2114</v>
      </c>
      <c r="B1119" s="14">
        <v>1</v>
      </c>
      <c r="C1119" s="15" t="s">
        <v>2119</v>
      </c>
      <c r="D1119" s="14" t="s">
        <v>1752</v>
      </c>
      <c r="E1119" s="14" t="s">
        <v>1747</v>
      </c>
      <c r="F1119" s="25">
        <v>149760</v>
      </c>
      <c r="G1119" s="25">
        <v>112320</v>
      </c>
    </row>
    <row r="1120" spans="1:7" ht="30" x14ac:dyDescent="0.25">
      <c r="A1120" s="14" t="s">
        <v>2114</v>
      </c>
      <c r="B1120" s="14">
        <v>15</v>
      </c>
      <c r="C1120" s="15" t="s">
        <v>2120</v>
      </c>
      <c r="D1120" s="14" t="s">
        <v>1749</v>
      </c>
      <c r="E1120" s="14" t="s">
        <v>1746</v>
      </c>
      <c r="F1120" s="25">
        <v>498</v>
      </c>
      <c r="G1120" s="25">
        <v>448.2</v>
      </c>
    </row>
    <row r="1121" spans="1:7" x14ac:dyDescent="0.25">
      <c r="A1121" s="14" t="s">
        <v>2114</v>
      </c>
      <c r="B1121" s="14">
        <v>10</v>
      </c>
      <c r="C1121" s="15" t="s">
        <v>2121</v>
      </c>
      <c r="D1121" s="14" t="s">
        <v>1749</v>
      </c>
      <c r="E1121" s="14" t="s">
        <v>1746</v>
      </c>
      <c r="F1121" s="25">
        <v>1998</v>
      </c>
      <c r="G1121" s="25">
        <v>1498.5</v>
      </c>
    </row>
    <row r="1122" spans="1:7" x14ac:dyDescent="0.25">
      <c r="A1122" s="14" t="s">
        <v>2114</v>
      </c>
      <c r="B1122" s="14">
        <v>1</v>
      </c>
      <c r="C1122" s="15" t="s">
        <v>2119</v>
      </c>
      <c r="D1122" s="14" t="s">
        <v>1749</v>
      </c>
      <c r="E1122" s="14" t="s">
        <v>1746</v>
      </c>
      <c r="F1122" s="25">
        <v>4992</v>
      </c>
      <c r="G1122" s="25">
        <v>3744</v>
      </c>
    </row>
    <row r="1123" spans="1:7" x14ac:dyDescent="0.25">
      <c r="A1123" s="14" t="s">
        <v>2114</v>
      </c>
      <c r="B1123" s="14">
        <v>10</v>
      </c>
      <c r="C1123" s="15" t="s">
        <v>2121</v>
      </c>
      <c r="D1123" s="14" t="s">
        <v>1745</v>
      </c>
      <c r="E1123" s="14" t="s">
        <v>1747</v>
      </c>
      <c r="F1123" s="25">
        <v>19980</v>
      </c>
      <c r="G1123" s="25">
        <v>14985</v>
      </c>
    </row>
    <row r="1124" spans="1:7" x14ac:dyDescent="0.25">
      <c r="A1124" s="14" t="s">
        <v>2114</v>
      </c>
      <c r="B1124" s="14">
        <v>1</v>
      </c>
      <c r="C1124" s="15" t="s">
        <v>2119</v>
      </c>
      <c r="D1124" s="14" t="s">
        <v>1752</v>
      </c>
      <c r="E1124" s="14" t="s">
        <v>1753</v>
      </c>
      <c r="F1124" s="25">
        <v>149760</v>
      </c>
      <c r="G1124" s="25">
        <v>112320</v>
      </c>
    </row>
    <row r="1125" spans="1:7" x14ac:dyDescent="0.25">
      <c r="A1125" s="14" t="s">
        <v>2114</v>
      </c>
      <c r="B1125" s="14" t="s">
        <v>102</v>
      </c>
      <c r="C1125" s="15" t="s">
        <v>2122</v>
      </c>
      <c r="D1125" s="14" t="s">
        <v>1745</v>
      </c>
      <c r="E1125" s="14" t="s">
        <v>1746</v>
      </c>
      <c r="F1125" s="25">
        <v>28854</v>
      </c>
      <c r="G1125" s="25">
        <v>21640.560000000001</v>
      </c>
    </row>
    <row r="1126" spans="1:7" ht="30" x14ac:dyDescent="0.25">
      <c r="A1126" s="14" t="s">
        <v>2114</v>
      </c>
      <c r="B1126" s="14">
        <v>15</v>
      </c>
      <c r="C1126" s="15" t="s">
        <v>2120</v>
      </c>
      <c r="D1126" s="14" t="s">
        <v>1745</v>
      </c>
      <c r="E1126" s="14" t="s">
        <v>1747</v>
      </c>
      <c r="F1126" s="25">
        <v>4980</v>
      </c>
      <c r="G1126" s="25">
        <v>4482</v>
      </c>
    </row>
    <row r="1127" spans="1:7" x14ac:dyDescent="0.25">
      <c r="A1127" s="14" t="s">
        <v>2114</v>
      </c>
      <c r="B1127" s="14">
        <v>1</v>
      </c>
      <c r="C1127" s="15" t="s">
        <v>2119</v>
      </c>
      <c r="D1127" s="14" t="s">
        <v>1745</v>
      </c>
      <c r="E1127" s="14" t="s">
        <v>1747</v>
      </c>
      <c r="F1127" s="25">
        <v>49920</v>
      </c>
      <c r="G1127" s="25">
        <v>37440</v>
      </c>
    </row>
    <row r="1128" spans="1:7" ht="30" x14ac:dyDescent="0.25">
      <c r="A1128" s="14" t="s">
        <v>2114</v>
      </c>
      <c r="B1128" s="14">
        <v>17</v>
      </c>
      <c r="C1128" s="15" t="s">
        <v>2117</v>
      </c>
      <c r="D1128" s="14" t="s">
        <v>1745</v>
      </c>
      <c r="E1128" s="14" t="s">
        <v>1747</v>
      </c>
      <c r="F1128" s="25">
        <v>7980</v>
      </c>
      <c r="G1128" s="25">
        <v>5985</v>
      </c>
    </row>
    <row r="1129" spans="1:7" x14ac:dyDescent="0.25">
      <c r="A1129" s="14" t="s">
        <v>2114</v>
      </c>
      <c r="B1129" s="14" t="s">
        <v>243</v>
      </c>
      <c r="C1129" s="15" t="s">
        <v>2118</v>
      </c>
      <c r="D1129" s="14" t="s">
        <v>1749</v>
      </c>
      <c r="E1129" s="14" t="s">
        <v>1746</v>
      </c>
      <c r="F1129" s="25">
        <v>1248</v>
      </c>
      <c r="G1129" s="25">
        <v>1123.2</v>
      </c>
    </row>
    <row r="1130" spans="1:7" x14ac:dyDescent="0.25">
      <c r="A1130" s="14" t="s">
        <v>2114</v>
      </c>
      <c r="B1130" s="14" t="s">
        <v>102</v>
      </c>
      <c r="C1130" s="15" t="s">
        <v>2122</v>
      </c>
      <c r="D1130" s="14" t="s">
        <v>1749</v>
      </c>
      <c r="E1130" s="14" t="s">
        <v>1746</v>
      </c>
      <c r="F1130" s="25">
        <v>2748</v>
      </c>
      <c r="G1130" s="25">
        <v>2061</v>
      </c>
    </row>
    <row r="1131" spans="1:7" ht="30" x14ac:dyDescent="0.25">
      <c r="A1131" s="14" t="s">
        <v>2114</v>
      </c>
      <c r="B1131" s="14">
        <v>3</v>
      </c>
      <c r="C1131" s="15" t="s">
        <v>2116</v>
      </c>
      <c r="D1131" s="14" t="s">
        <v>1745</v>
      </c>
      <c r="E1131" s="14" t="s">
        <v>1747</v>
      </c>
      <c r="F1131" s="25">
        <v>19980</v>
      </c>
      <c r="G1131" s="25">
        <v>14985</v>
      </c>
    </row>
    <row r="1132" spans="1:7" ht="30" x14ac:dyDescent="0.25">
      <c r="A1132" s="14" t="s">
        <v>2114</v>
      </c>
      <c r="B1132" s="14">
        <v>14</v>
      </c>
      <c r="C1132" s="15" t="s">
        <v>2115</v>
      </c>
      <c r="D1132" s="14" t="s">
        <v>1749</v>
      </c>
      <c r="E1132" s="14" t="s">
        <v>1746</v>
      </c>
      <c r="F1132" s="25">
        <v>1098</v>
      </c>
      <c r="G1132" s="25">
        <v>823.5</v>
      </c>
    </row>
    <row r="1133" spans="1:7" ht="30" x14ac:dyDescent="0.25">
      <c r="A1133" s="14" t="s">
        <v>2114</v>
      </c>
      <c r="B1133" s="14">
        <v>17</v>
      </c>
      <c r="C1133" s="15" t="s">
        <v>2117</v>
      </c>
      <c r="D1133" s="14" t="s">
        <v>1745</v>
      </c>
      <c r="E1133" s="14" t="s">
        <v>1746</v>
      </c>
      <c r="F1133" s="25">
        <v>8379</v>
      </c>
      <c r="G1133" s="25">
        <v>6284.28</v>
      </c>
    </row>
    <row r="1134" spans="1:7" ht="30" x14ac:dyDescent="0.25">
      <c r="A1134" s="14" t="s">
        <v>2114</v>
      </c>
      <c r="B1134" s="14">
        <v>3</v>
      </c>
      <c r="C1134" s="15" t="s">
        <v>2116</v>
      </c>
      <c r="D1134" s="14" t="s">
        <v>1745</v>
      </c>
      <c r="E1134" s="14" t="s">
        <v>1746</v>
      </c>
      <c r="F1134" s="25">
        <v>20979</v>
      </c>
      <c r="G1134" s="25">
        <v>15734.28</v>
      </c>
    </row>
    <row r="1135" spans="1:7" x14ac:dyDescent="0.25">
      <c r="A1135" s="14" t="s">
        <v>2114</v>
      </c>
      <c r="B1135" s="14" t="s">
        <v>102</v>
      </c>
      <c r="C1135" s="15" t="s">
        <v>2122</v>
      </c>
      <c r="D1135" s="14" t="s">
        <v>1745</v>
      </c>
      <c r="E1135" s="14" t="s">
        <v>1747</v>
      </c>
      <c r="F1135" s="25">
        <v>27480</v>
      </c>
      <c r="G1135" s="25">
        <v>20610</v>
      </c>
    </row>
    <row r="1136" spans="1:7" x14ac:dyDescent="0.25">
      <c r="A1136" s="14" t="s">
        <v>2114</v>
      </c>
      <c r="B1136" s="14">
        <v>10</v>
      </c>
      <c r="C1136" s="15" t="s">
        <v>2121</v>
      </c>
      <c r="D1136" s="14" t="s">
        <v>1745</v>
      </c>
      <c r="E1136" s="14" t="s">
        <v>1746</v>
      </c>
      <c r="F1136" s="25">
        <v>20979</v>
      </c>
      <c r="G1136" s="25">
        <v>15734.28</v>
      </c>
    </row>
    <row r="1137" spans="1:7" ht="30" x14ac:dyDescent="0.25">
      <c r="A1137" s="14" t="s">
        <v>2114</v>
      </c>
      <c r="B1137" s="14">
        <v>3</v>
      </c>
      <c r="C1137" s="15" t="s">
        <v>2116</v>
      </c>
      <c r="D1137" s="14" t="s">
        <v>1752</v>
      </c>
      <c r="E1137" s="14" t="s">
        <v>1753</v>
      </c>
      <c r="F1137" s="25">
        <v>59940</v>
      </c>
      <c r="G1137" s="25">
        <v>44955</v>
      </c>
    </row>
    <row r="1138" spans="1:7" ht="30" x14ac:dyDescent="0.25">
      <c r="A1138" s="14" t="s">
        <v>2114</v>
      </c>
      <c r="B1138" s="14">
        <v>14</v>
      </c>
      <c r="C1138" s="15" t="s">
        <v>2115</v>
      </c>
      <c r="D1138" s="14" t="s">
        <v>1745</v>
      </c>
      <c r="E1138" s="14" t="s">
        <v>1747</v>
      </c>
      <c r="F1138" s="25">
        <v>10980</v>
      </c>
      <c r="G1138" s="25">
        <v>8235</v>
      </c>
    </row>
    <row r="1139" spans="1:7" x14ac:dyDescent="0.25">
      <c r="A1139" s="14" t="s">
        <v>2123</v>
      </c>
      <c r="B1139" s="14">
        <v>7</v>
      </c>
      <c r="C1139" s="15" t="s">
        <v>2124</v>
      </c>
      <c r="D1139" s="14" t="s">
        <v>1749</v>
      </c>
      <c r="E1139" s="14" t="s">
        <v>1746</v>
      </c>
      <c r="F1139" s="25">
        <v>3996</v>
      </c>
      <c r="G1139" s="25">
        <v>2997</v>
      </c>
    </row>
    <row r="1140" spans="1:7" x14ac:dyDescent="0.25">
      <c r="A1140" s="14" t="s">
        <v>2123</v>
      </c>
      <c r="B1140" s="14">
        <v>5</v>
      </c>
      <c r="C1140" s="15" t="s">
        <v>2125</v>
      </c>
      <c r="D1140" s="14" t="s">
        <v>1745</v>
      </c>
      <c r="E1140" s="14" t="s">
        <v>1747</v>
      </c>
      <c r="F1140" s="25">
        <v>79860</v>
      </c>
      <c r="G1140" s="25">
        <v>71874</v>
      </c>
    </row>
    <row r="1141" spans="1:7" x14ac:dyDescent="0.25">
      <c r="A1141" s="14" t="s">
        <v>2123</v>
      </c>
      <c r="B1141" s="14">
        <v>1</v>
      </c>
      <c r="C1141" s="15" t="s">
        <v>2126</v>
      </c>
      <c r="D1141" s="14" t="s">
        <v>1745</v>
      </c>
      <c r="E1141" s="14" t="s">
        <v>1746</v>
      </c>
      <c r="F1141" s="25">
        <v>209664</v>
      </c>
      <c r="G1141" s="25">
        <v>157248</v>
      </c>
    </row>
    <row r="1142" spans="1:7" x14ac:dyDescent="0.25">
      <c r="A1142" s="14" t="s">
        <v>2123</v>
      </c>
      <c r="B1142" s="14">
        <v>7</v>
      </c>
      <c r="C1142" s="15" t="s">
        <v>2124</v>
      </c>
      <c r="D1142" s="14" t="s">
        <v>1745</v>
      </c>
      <c r="E1142" s="14" t="s">
        <v>1746</v>
      </c>
      <c r="F1142" s="25">
        <v>41958</v>
      </c>
      <c r="G1142" s="25">
        <v>31468.560000000001</v>
      </c>
    </row>
    <row r="1143" spans="1:7" x14ac:dyDescent="0.25">
      <c r="A1143" s="14" t="s">
        <v>2123</v>
      </c>
      <c r="B1143" s="14">
        <v>1</v>
      </c>
      <c r="C1143" s="15" t="s">
        <v>2126</v>
      </c>
      <c r="D1143" s="14" t="s">
        <v>1749</v>
      </c>
      <c r="E1143" s="14" t="s">
        <v>1746</v>
      </c>
      <c r="F1143" s="25">
        <v>19968</v>
      </c>
      <c r="G1143" s="25">
        <v>14976</v>
      </c>
    </row>
    <row r="1144" spans="1:7" x14ac:dyDescent="0.25">
      <c r="A1144" s="14" t="s">
        <v>2123</v>
      </c>
      <c r="B1144" s="14">
        <v>5</v>
      </c>
      <c r="C1144" s="15" t="s">
        <v>2125</v>
      </c>
      <c r="D1144" s="14" t="s">
        <v>1749</v>
      </c>
      <c r="E1144" s="14" t="s">
        <v>1746</v>
      </c>
      <c r="F1144" s="25">
        <v>7986</v>
      </c>
      <c r="G1144" s="25">
        <v>7187.4</v>
      </c>
    </row>
    <row r="1145" spans="1:7" x14ac:dyDescent="0.25">
      <c r="A1145" s="14" t="s">
        <v>2123</v>
      </c>
      <c r="B1145" s="14">
        <v>7</v>
      </c>
      <c r="C1145" s="15" t="s">
        <v>2124</v>
      </c>
      <c r="D1145" s="14" t="s">
        <v>1745</v>
      </c>
      <c r="E1145" s="14" t="s">
        <v>1747</v>
      </c>
      <c r="F1145" s="25">
        <v>39960</v>
      </c>
      <c r="G1145" s="25">
        <v>29970</v>
      </c>
    </row>
    <row r="1146" spans="1:7" x14ac:dyDescent="0.25">
      <c r="A1146" s="14" t="s">
        <v>2123</v>
      </c>
      <c r="B1146" s="14">
        <v>5</v>
      </c>
      <c r="C1146" s="15" t="s">
        <v>2125</v>
      </c>
      <c r="D1146" s="14" t="s">
        <v>1745</v>
      </c>
      <c r="E1146" s="14" t="s">
        <v>1746</v>
      </c>
      <c r="F1146" s="25">
        <v>83853</v>
      </c>
      <c r="G1146" s="25">
        <v>75467.759999999995</v>
      </c>
    </row>
    <row r="1147" spans="1:7" x14ac:dyDescent="0.25">
      <c r="A1147" s="14" t="s">
        <v>2123</v>
      </c>
      <c r="B1147" s="14">
        <v>1</v>
      </c>
      <c r="C1147" s="15" t="s">
        <v>2126</v>
      </c>
      <c r="D1147" s="14" t="s">
        <v>1745</v>
      </c>
      <c r="E1147" s="14" t="s">
        <v>1747</v>
      </c>
      <c r="F1147" s="25">
        <v>199680</v>
      </c>
      <c r="G1147" s="25">
        <v>149760</v>
      </c>
    </row>
    <row r="1148" spans="1:7" x14ac:dyDescent="0.25">
      <c r="A1148" s="14" t="s">
        <v>2127</v>
      </c>
      <c r="B1148" s="14">
        <v>6</v>
      </c>
      <c r="C1148" s="15" t="s">
        <v>2128</v>
      </c>
      <c r="D1148" s="14" t="s">
        <v>1745</v>
      </c>
      <c r="E1148" s="14" t="s">
        <v>1747</v>
      </c>
      <c r="F1148" s="25">
        <v>24960</v>
      </c>
      <c r="G1148" s="25">
        <v>22464</v>
      </c>
    </row>
    <row r="1149" spans="1:7" x14ac:dyDescent="0.25">
      <c r="A1149" s="14" t="s">
        <v>2127</v>
      </c>
      <c r="B1149" s="14">
        <v>1</v>
      </c>
      <c r="C1149" s="15" t="s">
        <v>2129</v>
      </c>
      <c r="D1149" s="14" t="s">
        <v>1749</v>
      </c>
      <c r="E1149" s="14" t="s">
        <v>1746</v>
      </c>
      <c r="F1149" s="25">
        <v>9984</v>
      </c>
      <c r="G1149" s="25">
        <v>7488</v>
      </c>
    </row>
    <row r="1150" spans="1:7" x14ac:dyDescent="0.25">
      <c r="A1150" s="14" t="s">
        <v>2127</v>
      </c>
      <c r="B1150" s="14">
        <v>5</v>
      </c>
      <c r="C1150" s="15" t="s">
        <v>2130</v>
      </c>
      <c r="D1150" s="14" t="s">
        <v>1745</v>
      </c>
      <c r="E1150" s="14" t="s">
        <v>1747</v>
      </c>
      <c r="F1150" s="25">
        <v>54900</v>
      </c>
      <c r="G1150" s="25">
        <v>41175</v>
      </c>
    </row>
    <row r="1151" spans="1:7" x14ac:dyDescent="0.25">
      <c r="A1151" s="14" t="s">
        <v>2127</v>
      </c>
      <c r="B1151" s="14">
        <v>6</v>
      </c>
      <c r="C1151" s="15" t="s">
        <v>2128</v>
      </c>
      <c r="D1151" s="14" t="s">
        <v>1749</v>
      </c>
      <c r="E1151" s="14" t="s">
        <v>1746</v>
      </c>
      <c r="F1151" s="25">
        <v>2496</v>
      </c>
      <c r="G1151" s="25">
        <v>2246.4</v>
      </c>
    </row>
    <row r="1152" spans="1:7" x14ac:dyDescent="0.25">
      <c r="A1152" s="14" t="s">
        <v>2127</v>
      </c>
      <c r="B1152" s="14">
        <v>1</v>
      </c>
      <c r="C1152" s="15" t="s">
        <v>2129</v>
      </c>
      <c r="D1152" s="14" t="s">
        <v>1745</v>
      </c>
      <c r="E1152" s="14" t="s">
        <v>1747</v>
      </c>
      <c r="F1152" s="25">
        <v>99840</v>
      </c>
      <c r="G1152" s="25">
        <v>74880</v>
      </c>
    </row>
    <row r="1153" spans="1:7" x14ac:dyDescent="0.25">
      <c r="A1153" s="14" t="s">
        <v>2127</v>
      </c>
      <c r="B1153" s="14">
        <v>5</v>
      </c>
      <c r="C1153" s="15" t="s">
        <v>2130</v>
      </c>
      <c r="D1153" s="14" t="s">
        <v>1745</v>
      </c>
      <c r="E1153" s="14" t="s">
        <v>1746</v>
      </c>
      <c r="F1153" s="25">
        <v>57645</v>
      </c>
      <c r="G1153" s="25">
        <v>43233.72</v>
      </c>
    </row>
    <row r="1154" spans="1:7" x14ac:dyDescent="0.25">
      <c r="A1154" s="14" t="s">
        <v>2127</v>
      </c>
      <c r="B1154" s="14">
        <v>1</v>
      </c>
      <c r="C1154" s="15" t="s">
        <v>2129</v>
      </c>
      <c r="D1154" s="14" t="s">
        <v>1745</v>
      </c>
      <c r="E1154" s="14" t="s">
        <v>1746</v>
      </c>
      <c r="F1154" s="25">
        <v>104832</v>
      </c>
      <c r="G1154" s="25">
        <v>78624</v>
      </c>
    </row>
    <row r="1155" spans="1:7" x14ac:dyDescent="0.25">
      <c r="A1155" s="14" t="s">
        <v>2127</v>
      </c>
      <c r="B1155" s="14">
        <v>5</v>
      </c>
      <c r="C1155" s="15" t="s">
        <v>2130</v>
      </c>
      <c r="D1155" s="14" t="s">
        <v>1749</v>
      </c>
      <c r="E1155" s="14" t="s">
        <v>1746</v>
      </c>
      <c r="F1155" s="25">
        <v>5490</v>
      </c>
      <c r="G1155" s="25">
        <v>4117.5</v>
      </c>
    </row>
    <row r="1156" spans="1:7" x14ac:dyDescent="0.25">
      <c r="A1156" s="14" t="s">
        <v>2127</v>
      </c>
      <c r="B1156" s="14">
        <v>6</v>
      </c>
      <c r="C1156" s="15" t="s">
        <v>2128</v>
      </c>
      <c r="D1156" s="14" t="s">
        <v>1745</v>
      </c>
      <c r="E1156" s="14" t="s">
        <v>1746</v>
      </c>
      <c r="F1156" s="25">
        <v>26208</v>
      </c>
      <c r="G1156" s="25">
        <v>23587.200000000001</v>
      </c>
    </row>
    <row r="1157" spans="1:7" x14ac:dyDescent="0.25">
      <c r="A1157" s="14" t="s">
        <v>2131</v>
      </c>
      <c r="B1157" s="14">
        <v>1</v>
      </c>
      <c r="C1157" s="15" t="s">
        <v>2132</v>
      </c>
      <c r="D1157" s="14" t="s">
        <v>1745</v>
      </c>
      <c r="E1157" s="14" t="s">
        <v>1747</v>
      </c>
      <c r="F1157" s="25">
        <v>0</v>
      </c>
      <c r="G1157" s="25">
        <v>0</v>
      </c>
    </row>
    <row r="1158" spans="1:7" x14ac:dyDescent="0.25">
      <c r="A1158" s="14" t="s">
        <v>2131</v>
      </c>
      <c r="B1158" s="14">
        <v>4</v>
      </c>
      <c r="C1158" s="15" t="s">
        <v>2133</v>
      </c>
      <c r="D1158" s="14" t="s">
        <v>1745</v>
      </c>
      <c r="E1158" s="14" t="s">
        <v>1747</v>
      </c>
      <c r="F1158" s="25">
        <v>0</v>
      </c>
      <c r="G1158" s="25">
        <v>0</v>
      </c>
    </row>
    <row r="1159" spans="1:7" x14ac:dyDescent="0.25">
      <c r="A1159" s="14" t="s">
        <v>2131</v>
      </c>
      <c r="B1159" s="14">
        <v>1</v>
      </c>
      <c r="C1159" s="15" t="s">
        <v>2132</v>
      </c>
      <c r="D1159" s="14" t="s">
        <v>1749</v>
      </c>
      <c r="E1159" s="14" t="s">
        <v>1746</v>
      </c>
      <c r="F1159" s="25">
        <v>0</v>
      </c>
      <c r="G1159" s="25">
        <v>0</v>
      </c>
    </row>
    <row r="1160" spans="1:7" x14ac:dyDescent="0.25">
      <c r="A1160" s="14" t="s">
        <v>2131</v>
      </c>
      <c r="B1160" s="14">
        <v>4</v>
      </c>
      <c r="C1160" s="15" t="s">
        <v>2133</v>
      </c>
      <c r="D1160" s="14" t="s">
        <v>1749</v>
      </c>
      <c r="E1160" s="14" t="s">
        <v>1746</v>
      </c>
      <c r="F1160" s="25">
        <v>0</v>
      </c>
      <c r="G1160" s="25">
        <v>0</v>
      </c>
    </row>
    <row r="1161" spans="1:7" x14ac:dyDescent="0.25">
      <c r="A1161" s="14" t="s">
        <v>2131</v>
      </c>
      <c r="B1161" s="14">
        <v>4</v>
      </c>
      <c r="C1161" s="15" t="s">
        <v>2133</v>
      </c>
      <c r="D1161" s="14" t="s">
        <v>1745</v>
      </c>
      <c r="E1161" s="14" t="s">
        <v>1746</v>
      </c>
      <c r="F1161" s="25">
        <v>0</v>
      </c>
      <c r="G1161" s="25">
        <v>0</v>
      </c>
    </row>
    <row r="1162" spans="1:7" x14ac:dyDescent="0.25">
      <c r="A1162" s="14" t="s">
        <v>2131</v>
      </c>
      <c r="B1162" s="14">
        <v>1</v>
      </c>
      <c r="C1162" s="15" t="s">
        <v>2132</v>
      </c>
      <c r="D1162" s="14" t="s">
        <v>1745</v>
      </c>
      <c r="E1162" s="14" t="s">
        <v>1746</v>
      </c>
      <c r="F1162" s="25">
        <v>0</v>
      </c>
      <c r="G1162" s="25">
        <v>0</v>
      </c>
    </row>
    <row r="1163" spans="1:7" x14ac:dyDescent="0.25">
      <c r="A1163" s="14" t="s">
        <v>2131</v>
      </c>
      <c r="B1163" s="14">
        <v>3</v>
      </c>
      <c r="C1163" s="15" t="s">
        <v>2134</v>
      </c>
      <c r="D1163" s="14" t="s">
        <v>1749</v>
      </c>
      <c r="E1163" s="14" t="s">
        <v>1746</v>
      </c>
      <c r="F1163" s="25">
        <v>0</v>
      </c>
      <c r="G1163" s="25">
        <v>0</v>
      </c>
    </row>
    <row r="1164" spans="1:7" x14ac:dyDescent="0.25">
      <c r="A1164" s="14" t="s">
        <v>2131</v>
      </c>
      <c r="B1164" s="14">
        <v>3</v>
      </c>
      <c r="C1164" s="15" t="s">
        <v>2134</v>
      </c>
      <c r="D1164" s="14" t="s">
        <v>1745</v>
      </c>
      <c r="E1164" s="14" t="s">
        <v>1747</v>
      </c>
      <c r="F1164" s="25">
        <v>0</v>
      </c>
      <c r="G1164" s="25">
        <v>0</v>
      </c>
    </row>
    <row r="1165" spans="1:7" x14ac:dyDescent="0.25">
      <c r="A1165" s="14" t="s">
        <v>2131</v>
      </c>
      <c r="B1165" s="14">
        <v>3</v>
      </c>
      <c r="C1165" s="15" t="s">
        <v>2134</v>
      </c>
      <c r="D1165" s="14" t="s">
        <v>1745</v>
      </c>
      <c r="E1165" s="14" t="s">
        <v>1746</v>
      </c>
      <c r="F1165" s="25">
        <v>0</v>
      </c>
      <c r="G1165" s="25">
        <v>0</v>
      </c>
    </row>
    <row r="1166" spans="1:7" x14ac:dyDescent="0.25">
      <c r="A1166" s="14" t="s">
        <v>2135</v>
      </c>
      <c r="B1166" s="14">
        <v>1</v>
      </c>
      <c r="C1166" s="15" t="s">
        <v>2136</v>
      </c>
      <c r="D1166" s="14" t="s">
        <v>1752</v>
      </c>
      <c r="E1166" s="14" t="s">
        <v>1747</v>
      </c>
      <c r="F1166" s="25">
        <v>898560</v>
      </c>
      <c r="G1166" s="25">
        <v>628992</v>
      </c>
    </row>
    <row r="1167" spans="1:7" x14ac:dyDescent="0.25">
      <c r="A1167" s="14" t="s">
        <v>2135</v>
      </c>
      <c r="B1167" s="14">
        <v>6</v>
      </c>
      <c r="C1167" s="15" t="s">
        <v>2137</v>
      </c>
      <c r="D1167" s="14" t="s">
        <v>1752</v>
      </c>
      <c r="E1167" s="14" t="s">
        <v>1746</v>
      </c>
      <c r="F1167" s="25">
        <v>141561</v>
      </c>
      <c r="G1167" s="25">
        <v>99092.88</v>
      </c>
    </row>
    <row r="1168" spans="1:7" x14ac:dyDescent="0.25">
      <c r="A1168" s="14" t="s">
        <v>2135</v>
      </c>
      <c r="B1168" s="14">
        <v>7</v>
      </c>
      <c r="C1168" s="15" t="s">
        <v>2138</v>
      </c>
      <c r="D1168" s="14" t="s">
        <v>1745</v>
      </c>
      <c r="E1168" s="14" t="s">
        <v>1747</v>
      </c>
      <c r="F1168" s="25">
        <v>119820</v>
      </c>
      <c r="G1168" s="25">
        <v>107838</v>
      </c>
    </row>
    <row r="1169" spans="1:7" x14ac:dyDescent="0.25">
      <c r="A1169" s="14" t="s">
        <v>2135</v>
      </c>
      <c r="B1169" s="14">
        <v>6</v>
      </c>
      <c r="C1169" s="15" t="s">
        <v>2137</v>
      </c>
      <c r="D1169" s="14" t="s">
        <v>1752</v>
      </c>
      <c r="E1169" s="14" t="s">
        <v>1747</v>
      </c>
      <c r="F1169" s="25">
        <v>134820</v>
      </c>
      <c r="G1169" s="25">
        <v>94374</v>
      </c>
    </row>
    <row r="1170" spans="1:7" x14ac:dyDescent="0.25">
      <c r="A1170" s="14" t="s">
        <v>2135</v>
      </c>
      <c r="B1170" s="14">
        <v>5</v>
      </c>
      <c r="C1170" s="15" t="s">
        <v>2139</v>
      </c>
      <c r="D1170" s="14" t="s">
        <v>1752</v>
      </c>
      <c r="E1170" s="14" t="s">
        <v>1746</v>
      </c>
      <c r="F1170" s="25">
        <v>188622</v>
      </c>
      <c r="G1170" s="25">
        <v>132035.4</v>
      </c>
    </row>
    <row r="1171" spans="1:7" x14ac:dyDescent="0.25">
      <c r="A1171" s="14" t="s">
        <v>2135</v>
      </c>
      <c r="B1171" s="14">
        <v>7</v>
      </c>
      <c r="C1171" s="15" t="s">
        <v>2138</v>
      </c>
      <c r="D1171" s="14" t="s">
        <v>1749</v>
      </c>
      <c r="E1171" s="14" t="s">
        <v>1746</v>
      </c>
      <c r="F1171" s="25">
        <v>11982</v>
      </c>
      <c r="G1171" s="25">
        <v>10783.8</v>
      </c>
    </row>
    <row r="1172" spans="1:7" x14ac:dyDescent="0.25">
      <c r="A1172" s="14" t="s">
        <v>2135</v>
      </c>
      <c r="B1172" s="14">
        <v>1</v>
      </c>
      <c r="C1172" s="15" t="s">
        <v>2136</v>
      </c>
      <c r="D1172" s="14" t="s">
        <v>1749</v>
      </c>
      <c r="E1172" s="14" t="s">
        <v>1746</v>
      </c>
      <c r="F1172" s="25">
        <v>29952</v>
      </c>
      <c r="G1172" s="25">
        <v>20966.400000000001</v>
      </c>
    </row>
    <row r="1173" spans="1:7" x14ac:dyDescent="0.25">
      <c r="A1173" s="14" t="s">
        <v>2135</v>
      </c>
      <c r="B1173" s="14">
        <v>6</v>
      </c>
      <c r="C1173" s="15" t="s">
        <v>2137</v>
      </c>
      <c r="D1173" s="14" t="s">
        <v>1752</v>
      </c>
      <c r="E1173" s="14" t="s">
        <v>1753</v>
      </c>
      <c r="F1173" s="25">
        <v>134820</v>
      </c>
      <c r="G1173" s="25">
        <v>94374</v>
      </c>
    </row>
    <row r="1174" spans="1:7" x14ac:dyDescent="0.25">
      <c r="A1174" s="14" t="s">
        <v>2135</v>
      </c>
      <c r="B1174" s="14">
        <v>5</v>
      </c>
      <c r="C1174" s="15" t="s">
        <v>2139</v>
      </c>
      <c r="D1174" s="14" t="s">
        <v>1745</v>
      </c>
      <c r="E1174" s="14" t="s">
        <v>1747</v>
      </c>
      <c r="F1174" s="25">
        <v>59880</v>
      </c>
      <c r="G1174" s="25">
        <v>41916</v>
      </c>
    </row>
    <row r="1175" spans="1:7" x14ac:dyDescent="0.25">
      <c r="A1175" s="14" t="s">
        <v>2135</v>
      </c>
      <c r="B1175" s="14">
        <v>5</v>
      </c>
      <c r="C1175" s="15" t="s">
        <v>2139</v>
      </c>
      <c r="D1175" s="14" t="s">
        <v>1752</v>
      </c>
      <c r="E1175" s="14" t="s">
        <v>1747</v>
      </c>
      <c r="F1175" s="25">
        <v>179640</v>
      </c>
      <c r="G1175" s="25">
        <v>125748</v>
      </c>
    </row>
    <row r="1176" spans="1:7" x14ac:dyDescent="0.25">
      <c r="A1176" s="14" t="s">
        <v>2135</v>
      </c>
      <c r="B1176" s="14">
        <v>7</v>
      </c>
      <c r="C1176" s="15" t="s">
        <v>2138</v>
      </c>
      <c r="D1176" s="14" t="s">
        <v>1752</v>
      </c>
      <c r="E1176" s="14" t="s">
        <v>1753</v>
      </c>
      <c r="F1176" s="25">
        <v>359460</v>
      </c>
      <c r="G1176" s="25">
        <v>323514</v>
      </c>
    </row>
    <row r="1177" spans="1:7" x14ac:dyDescent="0.25">
      <c r="A1177" s="14" t="s">
        <v>2135</v>
      </c>
      <c r="B1177" s="14">
        <v>6</v>
      </c>
      <c r="C1177" s="15" t="s">
        <v>2137</v>
      </c>
      <c r="D1177" s="14" t="s">
        <v>1749</v>
      </c>
      <c r="E1177" s="14" t="s">
        <v>1746</v>
      </c>
      <c r="F1177" s="25">
        <v>4494</v>
      </c>
      <c r="G1177" s="25">
        <v>3145.8</v>
      </c>
    </row>
    <row r="1178" spans="1:7" x14ac:dyDescent="0.25">
      <c r="A1178" s="14" t="s">
        <v>2135</v>
      </c>
      <c r="B1178" s="14">
        <v>1</v>
      </c>
      <c r="C1178" s="15" t="s">
        <v>2136</v>
      </c>
      <c r="D1178" s="14" t="s">
        <v>1752</v>
      </c>
      <c r="E1178" s="14" t="s">
        <v>1753</v>
      </c>
      <c r="F1178" s="25">
        <v>898560</v>
      </c>
      <c r="G1178" s="25">
        <v>628992</v>
      </c>
    </row>
    <row r="1179" spans="1:7" x14ac:dyDescent="0.25">
      <c r="A1179" s="14" t="s">
        <v>2135</v>
      </c>
      <c r="B1179" s="14">
        <v>5</v>
      </c>
      <c r="C1179" s="15" t="s">
        <v>2139</v>
      </c>
      <c r="D1179" s="14" t="s">
        <v>1749</v>
      </c>
      <c r="E1179" s="14" t="s">
        <v>1746</v>
      </c>
      <c r="F1179" s="25">
        <v>5988</v>
      </c>
      <c r="G1179" s="25">
        <v>4191.6000000000004</v>
      </c>
    </row>
    <row r="1180" spans="1:7" x14ac:dyDescent="0.25">
      <c r="A1180" s="14" t="s">
        <v>2135</v>
      </c>
      <c r="B1180" s="14">
        <v>5</v>
      </c>
      <c r="C1180" s="15" t="s">
        <v>2139</v>
      </c>
      <c r="D1180" s="14" t="s">
        <v>1745</v>
      </c>
      <c r="E1180" s="14" t="s">
        <v>1746</v>
      </c>
      <c r="F1180" s="25">
        <v>62874</v>
      </c>
      <c r="G1180" s="25">
        <v>44011.8</v>
      </c>
    </row>
    <row r="1181" spans="1:7" x14ac:dyDescent="0.25">
      <c r="A1181" s="14" t="s">
        <v>2135</v>
      </c>
      <c r="B1181" s="14">
        <v>5</v>
      </c>
      <c r="C1181" s="15" t="s">
        <v>2139</v>
      </c>
      <c r="D1181" s="14" t="s">
        <v>1752</v>
      </c>
      <c r="E1181" s="14" t="s">
        <v>1753</v>
      </c>
      <c r="F1181" s="25">
        <v>179640</v>
      </c>
      <c r="G1181" s="25">
        <v>125748</v>
      </c>
    </row>
    <row r="1182" spans="1:7" x14ac:dyDescent="0.25">
      <c r="A1182" s="14" t="s">
        <v>2135</v>
      </c>
      <c r="B1182" s="14">
        <v>1</v>
      </c>
      <c r="C1182" s="15" t="s">
        <v>2136</v>
      </c>
      <c r="D1182" s="14" t="s">
        <v>1745</v>
      </c>
      <c r="E1182" s="14" t="s">
        <v>1747</v>
      </c>
      <c r="F1182" s="25">
        <v>299520</v>
      </c>
      <c r="G1182" s="25">
        <v>209664</v>
      </c>
    </row>
    <row r="1183" spans="1:7" x14ac:dyDescent="0.25">
      <c r="A1183" s="14" t="s">
        <v>2135</v>
      </c>
      <c r="B1183" s="14">
        <v>6</v>
      </c>
      <c r="C1183" s="15" t="s">
        <v>2137</v>
      </c>
      <c r="D1183" s="14" t="s">
        <v>1745</v>
      </c>
      <c r="E1183" s="14" t="s">
        <v>1747</v>
      </c>
      <c r="F1183" s="25">
        <v>44940</v>
      </c>
      <c r="G1183" s="25">
        <v>31458</v>
      </c>
    </row>
    <row r="1184" spans="1:7" x14ac:dyDescent="0.25">
      <c r="A1184" s="14" t="s">
        <v>2135</v>
      </c>
      <c r="B1184" s="14">
        <v>7</v>
      </c>
      <c r="C1184" s="15" t="s">
        <v>2138</v>
      </c>
      <c r="D1184" s="14" t="s">
        <v>1752</v>
      </c>
      <c r="E1184" s="14" t="s">
        <v>1747</v>
      </c>
      <c r="F1184" s="25">
        <v>359460</v>
      </c>
      <c r="G1184" s="25">
        <v>323514</v>
      </c>
    </row>
    <row r="1185" spans="1:7" x14ac:dyDescent="0.25">
      <c r="A1185" s="14" t="s">
        <v>2135</v>
      </c>
      <c r="B1185" s="14">
        <v>1</v>
      </c>
      <c r="C1185" s="15" t="s">
        <v>2136</v>
      </c>
      <c r="D1185" s="14" t="s">
        <v>1745</v>
      </c>
      <c r="E1185" s="14" t="s">
        <v>1746</v>
      </c>
      <c r="F1185" s="25">
        <v>314496</v>
      </c>
      <c r="G1185" s="25">
        <v>220147.20000000001</v>
      </c>
    </row>
    <row r="1186" spans="1:7" x14ac:dyDescent="0.25">
      <c r="A1186" s="14" t="s">
        <v>2135</v>
      </c>
      <c r="B1186" s="14">
        <v>1</v>
      </c>
      <c r="C1186" s="15" t="s">
        <v>2136</v>
      </c>
      <c r="D1186" s="14" t="s">
        <v>1752</v>
      </c>
      <c r="E1186" s="14" t="s">
        <v>1746</v>
      </c>
      <c r="F1186" s="25">
        <v>943488</v>
      </c>
      <c r="G1186" s="25">
        <v>660441.59999999998</v>
      </c>
    </row>
    <row r="1187" spans="1:7" x14ac:dyDescent="0.25">
      <c r="A1187" s="14" t="s">
        <v>2135</v>
      </c>
      <c r="B1187" s="14">
        <v>6</v>
      </c>
      <c r="C1187" s="15" t="s">
        <v>2137</v>
      </c>
      <c r="D1187" s="14" t="s">
        <v>1745</v>
      </c>
      <c r="E1187" s="14" t="s">
        <v>1746</v>
      </c>
      <c r="F1187" s="25">
        <v>47187</v>
      </c>
      <c r="G1187" s="25">
        <v>33030.959999999999</v>
      </c>
    </row>
    <row r="1188" spans="1:7" x14ac:dyDescent="0.25">
      <c r="A1188" s="14" t="s">
        <v>2135</v>
      </c>
      <c r="B1188" s="14">
        <v>7</v>
      </c>
      <c r="C1188" s="15" t="s">
        <v>2138</v>
      </c>
      <c r="D1188" s="14" t="s">
        <v>1745</v>
      </c>
      <c r="E1188" s="14" t="s">
        <v>1746</v>
      </c>
      <c r="F1188" s="25">
        <v>125811</v>
      </c>
      <c r="G1188" s="25">
        <v>113230</v>
      </c>
    </row>
    <row r="1189" spans="1:7" x14ac:dyDescent="0.25">
      <c r="A1189" s="14" t="s">
        <v>2135</v>
      </c>
      <c r="B1189" s="14">
        <v>7</v>
      </c>
      <c r="C1189" s="15" t="s">
        <v>2138</v>
      </c>
      <c r="D1189" s="14" t="s">
        <v>1752</v>
      </c>
      <c r="E1189" s="14" t="s">
        <v>1746</v>
      </c>
      <c r="F1189" s="25">
        <v>377433</v>
      </c>
      <c r="G1189" s="25">
        <v>339689.9</v>
      </c>
    </row>
    <row r="1190" spans="1:7" x14ac:dyDescent="0.25">
      <c r="A1190" s="14" t="s">
        <v>2140</v>
      </c>
      <c r="B1190" s="14" t="s">
        <v>371</v>
      </c>
      <c r="C1190" s="15" t="s">
        <v>2141</v>
      </c>
      <c r="D1190" s="14" t="s">
        <v>1745</v>
      </c>
      <c r="E1190" s="14" t="s">
        <v>1747</v>
      </c>
      <c r="F1190" s="25">
        <v>39960</v>
      </c>
      <c r="G1190" s="25">
        <v>35964</v>
      </c>
    </row>
    <row r="1191" spans="1:7" x14ac:dyDescent="0.25">
      <c r="A1191" s="14" t="s">
        <v>2140</v>
      </c>
      <c r="B1191" s="14">
        <v>1</v>
      </c>
      <c r="C1191" s="15" t="s">
        <v>2142</v>
      </c>
      <c r="D1191" s="14" t="s">
        <v>1752</v>
      </c>
      <c r="E1191" s="14" t="s">
        <v>1753</v>
      </c>
      <c r="F1191" s="25">
        <v>314460</v>
      </c>
      <c r="G1191" s="25">
        <v>235845</v>
      </c>
    </row>
    <row r="1192" spans="1:7" x14ac:dyDescent="0.25">
      <c r="A1192" s="14" t="s">
        <v>2140</v>
      </c>
      <c r="B1192" s="14">
        <v>6</v>
      </c>
      <c r="C1192" s="15" t="s">
        <v>2143</v>
      </c>
      <c r="D1192" s="14" t="s">
        <v>1749</v>
      </c>
      <c r="E1192" s="14" t="s">
        <v>1746</v>
      </c>
      <c r="F1192" s="25">
        <v>1998</v>
      </c>
      <c r="G1192" s="25">
        <v>1498.5</v>
      </c>
    </row>
    <row r="1193" spans="1:7" x14ac:dyDescent="0.25">
      <c r="A1193" s="14" t="s">
        <v>2140</v>
      </c>
      <c r="B1193" s="14" t="s">
        <v>371</v>
      </c>
      <c r="C1193" s="15" t="s">
        <v>2141</v>
      </c>
      <c r="D1193" s="14" t="s">
        <v>1749</v>
      </c>
      <c r="E1193" s="14" t="s">
        <v>1746</v>
      </c>
      <c r="F1193" s="25">
        <v>3996</v>
      </c>
      <c r="G1193" s="25">
        <v>3596.4</v>
      </c>
    </row>
    <row r="1194" spans="1:7" ht="30" x14ac:dyDescent="0.25">
      <c r="A1194" s="14" t="s">
        <v>2140</v>
      </c>
      <c r="B1194" s="14">
        <v>18</v>
      </c>
      <c r="C1194" s="15" t="s">
        <v>2144</v>
      </c>
      <c r="D1194" s="14" t="s">
        <v>1749</v>
      </c>
      <c r="E1194" s="14" t="s">
        <v>1746</v>
      </c>
      <c r="F1194" s="25">
        <v>1098</v>
      </c>
      <c r="G1194" s="25">
        <v>823.5</v>
      </c>
    </row>
    <row r="1195" spans="1:7" x14ac:dyDescent="0.25">
      <c r="A1195" s="14" t="s">
        <v>2140</v>
      </c>
      <c r="B1195" s="14" t="s">
        <v>177</v>
      </c>
      <c r="C1195" s="15" t="s">
        <v>2145</v>
      </c>
      <c r="D1195" s="14" t="s">
        <v>1745</v>
      </c>
      <c r="E1195" s="14" t="s">
        <v>1746</v>
      </c>
      <c r="F1195" s="25">
        <v>67095</v>
      </c>
      <c r="G1195" s="25">
        <v>50321.279999999999</v>
      </c>
    </row>
    <row r="1196" spans="1:7" ht="30" x14ac:dyDescent="0.25">
      <c r="A1196" s="14" t="s">
        <v>2140</v>
      </c>
      <c r="B1196" s="14" t="s">
        <v>263</v>
      </c>
      <c r="C1196" s="15" t="s">
        <v>2146</v>
      </c>
      <c r="D1196" s="14" t="s">
        <v>1745</v>
      </c>
      <c r="E1196" s="14" t="s">
        <v>1747</v>
      </c>
      <c r="F1196" s="25">
        <v>7980</v>
      </c>
      <c r="G1196" s="25">
        <v>5985</v>
      </c>
    </row>
    <row r="1197" spans="1:7" x14ac:dyDescent="0.25">
      <c r="A1197" s="14" t="s">
        <v>2140</v>
      </c>
      <c r="B1197" s="14">
        <v>1</v>
      </c>
      <c r="C1197" s="15" t="s">
        <v>2142</v>
      </c>
      <c r="D1197" s="14" t="s">
        <v>1752</v>
      </c>
      <c r="E1197" s="14" t="s">
        <v>1746</v>
      </c>
      <c r="F1197" s="25">
        <v>330183</v>
      </c>
      <c r="G1197" s="25">
        <v>247637.2</v>
      </c>
    </row>
    <row r="1198" spans="1:7" x14ac:dyDescent="0.25">
      <c r="A1198" s="14" t="s">
        <v>2140</v>
      </c>
      <c r="B1198" s="14" t="s">
        <v>177</v>
      </c>
      <c r="C1198" s="15" t="s">
        <v>2145</v>
      </c>
      <c r="D1198" s="14" t="s">
        <v>1745</v>
      </c>
      <c r="E1198" s="14" t="s">
        <v>1747</v>
      </c>
      <c r="F1198" s="25">
        <v>63900</v>
      </c>
      <c r="G1198" s="25">
        <v>47925</v>
      </c>
    </row>
    <row r="1199" spans="1:7" x14ac:dyDescent="0.25">
      <c r="A1199" s="14" t="s">
        <v>2140</v>
      </c>
      <c r="B1199" s="14">
        <v>1</v>
      </c>
      <c r="C1199" s="15" t="s">
        <v>2142</v>
      </c>
      <c r="D1199" s="14" t="s">
        <v>1749</v>
      </c>
      <c r="E1199" s="14" t="s">
        <v>1746</v>
      </c>
      <c r="F1199" s="25">
        <v>10482</v>
      </c>
      <c r="G1199" s="25">
        <v>7861.5</v>
      </c>
    </row>
    <row r="1200" spans="1:7" x14ac:dyDescent="0.25">
      <c r="A1200" s="14" t="s">
        <v>2140</v>
      </c>
      <c r="B1200" s="14">
        <v>17</v>
      </c>
      <c r="C1200" s="15" t="s">
        <v>2147</v>
      </c>
      <c r="D1200" s="14" t="s">
        <v>1749</v>
      </c>
      <c r="E1200" s="14" t="s">
        <v>1746</v>
      </c>
      <c r="F1200" s="25">
        <v>5766</v>
      </c>
      <c r="G1200" s="25">
        <v>4324.5</v>
      </c>
    </row>
    <row r="1201" spans="1:7" ht="30" x14ac:dyDescent="0.25">
      <c r="A1201" s="14" t="s">
        <v>2140</v>
      </c>
      <c r="B1201" s="14">
        <v>16</v>
      </c>
      <c r="C1201" s="15" t="s">
        <v>2148</v>
      </c>
      <c r="D1201" s="14" t="s">
        <v>1749</v>
      </c>
      <c r="E1201" s="14" t="s">
        <v>1746</v>
      </c>
      <c r="F1201" s="25">
        <v>498</v>
      </c>
      <c r="G1201" s="25">
        <v>448.2</v>
      </c>
    </row>
    <row r="1202" spans="1:7" x14ac:dyDescent="0.25">
      <c r="A1202" s="14" t="s">
        <v>2140</v>
      </c>
      <c r="B1202" s="14" t="s">
        <v>177</v>
      </c>
      <c r="C1202" s="15" t="s">
        <v>2145</v>
      </c>
      <c r="D1202" s="14" t="s">
        <v>1749</v>
      </c>
      <c r="E1202" s="14" t="s">
        <v>1746</v>
      </c>
      <c r="F1202" s="25">
        <v>6390</v>
      </c>
      <c r="G1202" s="25">
        <v>4792.5</v>
      </c>
    </row>
    <row r="1203" spans="1:7" x14ac:dyDescent="0.25">
      <c r="A1203" s="14" t="s">
        <v>2140</v>
      </c>
      <c r="B1203" s="14">
        <v>1</v>
      </c>
      <c r="C1203" s="15" t="s">
        <v>2142</v>
      </c>
      <c r="D1203" s="14" t="s">
        <v>1745</v>
      </c>
      <c r="E1203" s="14" t="s">
        <v>1746</v>
      </c>
      <c r="F1203" s="25">
        <v>110061</v>
      </c>
      <c r="G1203" s="25">
        <v>82545.72</v>
      </c>
    </row>
    <row r="1204" spans="1:7" x14ac:dyDescent="0.25">
      <c r="A1204" s="14" t="s">
        <v>2140</v>
      </c>
      <c r="B1204" s="14">
        <v>1</v>
      </c>
      <c r="C1204" s="15" t="s">
        <v>2142</v>
      </c>
      <c r="D1204" s="14" t="s">
        <v>1752</v>
      </c>
      <c r="E1204" s="14" t="s">
        <v>1747</v>
      </c>
      <c r="F1204" s="25">
        <v>314460</v>
      </c>
      <c r="G1204" s="25">
        <v>235845</v>
      </c>
    </row>
    <row r="1205" spans="1:7" x14ac:dyDescent="0.25">
      <c r="A1205" s="14" t="s">
        <v>2140</v>
      </c>
      <c r="B1205" s="14">
        <v>6</v>
      </c>
      <c r="C1205" s="15" t="s">
        <v>2143</v>
      </c>
      <c r="D1205" s="14" t="s">
        <v>1752</v>
      </c>
      <c r="E1205" s="14" t="s">
        <v>1746</v>
      </c>
      <c r="F1205" s="25">
        <v>62937</v>
      </c>
      <c r="G1205" s="25">
        <v>47202.84</v>
      </c>
    </row>
    <row r="1206" spans="1:7" ht="30" x14ac:dyDescent="0.25">
      <c r="A1206" s="14" t="s">
        <v>2140</v>
      </c>
      <c r="B1206" s="14">
        <v>18</v>
      </c>
      <c r="C1206" s="15" t="s">
        <v>2144</v>
      </c>
      <c r="D1206" s="14" t="s">
        <v>1745</v>
      </c>
      <c r="E1206" s="14" t="s">
        <v>1747</v>
      </c>
      <c r="F1206" s="25">
        <v>10980</v>
      </c>
      <c r="G1206" s="25">
        <v>8235</v>
      </c>
    </row>
    <row r="1207" spans="1:7" x14ac:dyDescent="0.25">
      <c r="A1207" s="14" t="s">
        <v>2140</v>
      </c>
      <c r="B1207" s="14" t="s">
        <v>241</v>
      </c>
      <c r="C1207" s="15" t="s">
        <v>2149</v>
      </c>
      <c r="D1207" s="14" t="s">
        <v>1745</v>
      </c>
      <c r="E1207" s="14" t="s">
        <v>1746</v>
      </c>
      <c r="F1207" s="25">
        <v>92232</v>
      </c>
      <c r="G1207" s="25">
        <v>69174</v>
      </c>
    </row>
    <row r="1208" spans="1:7" x14ac:dyDescent="0.25">
      <c r="A1208" s="14" t="s">
        <v>2140</v>
      </c>
      <c r="B1208" s="14">
        <v>19</v>
      </c>
      <c r="C1208" s="15" t="s">
        <v>2150</v>
      </c>
      <c r="D1208" s="14" t="s">
        <v>1745</v>
      </c>
      <c r="E1208" s="14" t="s">
        <v>1747</v>
      </c>
      <c r="F1208" s="25">
        <v>41940</v>
      </c>
      <c r="G1208" s="25">
        <v>31455</v>
      </c>
    </row>
    <row r="1209" spans="1:7" x14ac:dyDescent="0.25">
      <c r="A1209" s="14" t="s">
        <v>2140</v>
      </c>
      <c r="B1209" s="14">
        <v>19</v>
      </c>
      <c r="C1209" s="15" t="s">
        <v>2150</v>
      </c>
      <c r="D1209" s="14" t="s">
        <v>1745</v>
      </c>
      <c r="E1209" s="14" t="s">
        <v>1746</v>
      </c>
      <c r="F1209" s="25">
        <v>44037</v>
      </c>
      <c r="G1209" s="25">
        <v>33027.72</v>
      </c>
    </row>
    <row r="1210" spans="1:7" x14ac:dyDescent="0.25">
      <c r="A1210" s="14" t="s">
        <v>2140</v>
      </c>
      <c r="B1210" s="14">
        <v>7</v>
      </c>
      <c r="C1210" s="15" t="s">
        <v>2151</v>
      </c>
      <c r="D1210" s="14" t="s">
        <v>1745</v>
      </c>
      <c r="E1210" s="14" t="s">
        <v>1747</v>
      </c>
      <c r="F1210" s="25">
        <v>159720</v>
      </c>
      <c r="G1210" s="25">
        <v>119790</v>
      </c>
    </row>
    <row r="1211" spans="1:7" x14ac:dyDescent="0.25">
      <c r="A1211" s="14" t="s">
        <v>2140</v>
      </c>
      <c r="B1211" s="14">
        <v>6</v>
      </c>
      <c r="C1211" s="15" t="s">
        <v>2143</v>
      </c>
      <c r="D1211" s="14" t="s">
        <v>1745</v>
      </c>
      <c r="E1211" s="14" t="s">
        <v>1746</v>
      </c>
      <c r="F1211" s="25">
        <v>20979</v>
      </c>
      <c r="G1211" s="25">
        <v>15734.28</v>
      </c>
    </row>
    <row r="1212" spans="1:7" ht="30" x14ac:dyDescent="0.25">
      <c r="A1212" s="14" t="s">
        <v>2140</v>
      </c>
      <c r="B1212" s="14" t="s">
        <v>263</v>
      </c>
      <c r="C1212" s="15" t="s">
        <v>2146</v>
      </c>
      <c r="D1212" s="14" t="s">
        <v>1749</v>
      </c>
      <c r="E1212" s="14" t="s">
        <v>1746</v>
      </c>
      <c r="F1212" s="25">
        <v>798</v>
      </c>
      <c r="G1212" s="25">
        <v>598.5</v>
      </c>
    </row>
    <row r="1213" spans="1:7" x14ac:dyDescent="0.25">
      <c r="A1213" s="14" t="s">
        <v>2140</v>
      </c>
      <c r="B1213" s="14" t="s">
        <v>371</v>
      </c>
      <c r="C1213" s="15" t="s">
        <v>2141</v>
      </c>
      <c r="D1213" s="14" t="s">
        <v>1745</v>
      </c>
      <c r="E1213" s="14" t="s">
        <v>1746</v>
      </c>
      <c r="F1213" s="25">
        <v>41958</v>
      </c>
      <c r="G1213" s="25">
        <v>37762.199999999997</v>
      </c>
    </row>
    <row r="1214" spans="1:7" ht="30" x14ac:dyDescent="0.25">
      <c r="A1214" s="14" t="s">
        <v>2140</v>
      </c>
      <c r="B1214" s="14">
        <v>16</v>
      </c>
      <c r="C1214" s="15" t="s">
        <v>2148</v>
      </c>
      <c r="D1214" s="14" t="s">
        <v>1745</v>
      </c>
      <c r="E1214" s="14" t="s">
        <v>1746</v>
      </c>
      <c r="F1214" s="25">
        <v>5229</v>
      </c>
      <c r="G1214" s="25">
        <v>4706.16</v>
      </c>
    </row>
    <row r="1215" spans="1:7" ht="30" x14ac:dyDescent="0.25">
      <c r="A1215" s="14" t="s">
        <v>2140</v>
      </c>
      <c r="B1215" s="14" t="s">
        <v>263</v>
      </c>
      <c r="C1215" s="15" t="s">
        <v>2146</v>
      </c>
      <c r="D1215" s="14" t="s">
        <v>1745</v>
      </c>
      <c r="E1215" s="14" t="s">
        <v>1746</v>
      </c>
      <c r="F1215" s="25">
        <v>8379</v>
      </c>
      <c r="G1215" s="25">
        <v>6284.28</v>
      </c>
    </row>
    <row r="1216" spans="1:7" ht="30" x14ac:dyDescent="0.25">
      <c r="A1216" s="14" t="s">
        <v>2140</v>
      </c>
      <c r="B1216" s="14">
        <v>18</v>
      </c>
      <c r="C1216" s="15" t="s">
        <v>2144</v>
      </c>
      <c r="D1216" s="14" t="s">
        <v>1745</v>
      </c>
      <c r="E1216" s="14" t="s">
        <v>1746</v>
      </c>
      <c r="F1216" s="25">
        <v>11529</v>
      </c>
      <c r="G1216" s="25">
        <v>8646.7199999999993</v>
      </c>
    </row>
    <row r="1217" spans="1:7" x14ac:dyDescent="0.25">
      <c r="A1217" s="14" t="s">
        <v>2140</v>
      </c>
      <c r="B1217" s="14">
        <v>7</v>
      </c>
      <c r="C1217" s="15" t="s">
        <v>2151</v>
      </c>
      <c r="D1217" s="14" t="s">
        <v>1749</v>
      </c>
      <c r="E1217" s="14" t="s">
        <v>1746</v>
      </c>
      <c r="F1217" s="25">
        <v>15972</v>
      </c>
      <c r="G1217" s="25">
        <v>11979</v>
      </c>
    </row>
    <row r="1218" spans="1:7" x14ac:dyDescent="0.25">
      <c r="A1218" s="14" t="s">
        <v>2140</v>
      </c>
      <c r="B1218" s="14">
        <v>19</v>
      </c>
      <c r="C1218" s="15" t="s">
        <v>2150</v>
      </c>
      <c r="D1218" s="14" t="s">
        <v>1749</v>
      </c>
      <c r="E1218" s="14" t="s">
        <v>1746</v>
      </c>
      <c r="F1218" s="25">
        <v>4194</v>
      </c>
      <c r="G1218" s="25">
        <v>3145.5</v>
      </c>
    </row>
    <row r="1219" spans="1:7" x14ac:dyDescent="0.25">
      <c r="A1219" s="14" t="s">
        <v>2140</v>
      </c>
      <c r="B1219" s="14">
        <v>7</v>
      </c>
      <c r="C1219" s="15" t="s">
        <v>2151</v>
      </c>
      <c r="D1219" s="14" t="s">
        <v>1745</v>
      </c>
      <c r="E1219" s="14" t="s">
        <v>1746</v>
      </c>
      <c r="F1219" s="25">
        <v>167706</v>
      </c>
      <c r="G1219" s="25">
        <v>125779.6</v>
      </c>
    </row>
    <row r="1220" spans="1:7" x14ac:dyDescent="0.25">
      <c r="A1220" s="14" t="s">
        <v>2140</v>
      </c>
      <c r="B1220" s="14" t="s">
        <v>241</v>
      </c>
      <c r="C1220" s="15" t="s">
        <v>2149</v>
      </c>
      <c r="D1220" s="14" t="s">
        <v>1745</v>
      </c>
      <c r="E1220" s="14" t="s">
        <v>1747</v>
      </c>
      <c r="F1220" s="25">
        <v>87840</v>
      </c>
      <c r="G1220" s="25">
        <v>65880</v>
      </c>
    </row>
    <row r="1221" spans="1:7" x14ac:dyDescent="0.25">
      <c r="A1221" s="14" t="s">
        <v>2140</v>
      </c>
      <c r="B1221" s="14" t="s">
        <v>241</v>
      </c>
      <c r="C1221" s="15" t="s">
        <v>2149</v>
      </c>
      <c r="D1221" s="14" t="s">
        <v>1749</v>
      </c>
      <c r="E1221" s="14" t="s">
        <v>1746</v>
      </c>
      <c r="F1221" s="25">
        <v>8784</v>
      </c>
      <c r="G1221" s="25">
        <v>6588</v>
      </c>
    </row>
    <row r="1222" spans="1:7" x14ac:dyDescent="0.25">
      <c r="A1222" s="14" t="s">
        <v>2140</v>
      </c>
      <c r="B1222" s="14">
        <v>6</v>
      </c>
      <c r="C1222" s="15" t="s">
        <v>2143</v>
      </c>
      <c r="D1222" s="14" t="s">
        <v>1752</v>
      </c>
      <c r="E1222" s="14" t="s">
        <v>1747</v>
      </c>
      <c r="F1222" s="25">
        <v>59940</v>
      </c>
      <c r="G1222" s="25">
        <v>44955</v>
      </c>
    </row>
    <row r="1223" spans="1:7" x14ac:dyDescent="0.25">
      <c r="A1223" s="14" t="s">
        <v>2140</v>
      </c>
      <c r="B1223" s="14">
        <v>1</v>
      </c>
      <c r="C1223" s="15" t="s">
        <v>2142</v>
      </c>
      <c r="D1223" s="14" t="s">
        <v>1745</v>
      </c>
      <c r="E1223" s="14" t="s">
        <v>1747</v>
      </c>
      <c r="F1223" s="25">
        <v>104820</v>
      </c>
      <c r="G1223" s="25">
        <v>78615</v>
      </c>
    </row>
    <row r="1224" spans="1:7" x14ac:dyDescent="0.25">
      <c r="A1224" s="14" t="s">
        <v>2140</v>
      </c>
      <c r="B1224" s="14">
        <v>15</v>
      </c>
      <c r="C1224" s="15" t="s">
        <v>2152</v>
      </c>
      <c r="D1224" s="14" t="s">
        <v>1745</v>
      </c>
      <c r="E1224" s="14" t="s">
        <v>1747</v>
      </c>
      <c r="F1224" s="25">
        <v>26220</v>
      </c>
      <c r="G1224" s="25">
        <v>23598</v>
      </c>
    </row>
    <row r="1225" spans="1:7" x14ac:dyDescent="0.25">
      <c r="A1225" s="14" t="s">
        <v>2140</v>
      </c>
      <c r="B1225" s="14">
        <v>6</v>
      </c>
      <c r="C1225" s="15" t="s">
        <v>2143</v>
      </c>
      <c r="D1225" s="14" t="s">
        <v>1752</v>
      </c>
      <c r="E1225" s="14" t="s">
        <v>1753</v>
      </c>
      <c r="F1225" s="25">
        <v>59940</v>
      </c>
      <c r="G1225" s="25">
        <v>44955</v>
      </c>
    </row>
    <row r="1226" spans="1:7" x14ac:dyDescent="0.25">
      <c r="A1226" s="14" t="s">
        <v>2140</v>
      </c>
      <c r="B1226" s="14">
        <v>6</v>
      </c>
      <c r="C1226" s="15" t="s">
        <v>2143</v>
      </c>
      <c r="D1226" s="14" t="s">
        <v>1745</v>
      </c>
      <c r="E1226" s="14" t="s">
        <v>1747</v>
      </c>
      <c r="F1226" s="25">
        <v>19980</v>
      </c>
      <c r="G1226" s="25">
        <v>14985</v>
      </c>
    </row>
    <row r="1227" spans="1:7" ht="30" x14ac:dyDescent="0.25">
      <c r="A1227" s="14" t="s">
        <v>2140</v>
      </c>
      <c r="B1227" s="14">
        <v>16</v>
      </c>
      <c r="C1227" s="15" t="s">
        <v>2148</v>
      </c>
      <c r="D1227" s="14" t="s">
        <v>1745</v>
      </c>
      <c r="E1227" s="14" t="s">
        <v>1747</v>
      </c>
      <c r="F1227" s="25">
        <v>4980</v>
      </c>
      <c r="G1227" s="25">
        <v>4482</v>
      </c>
    </row>
    <row r="1228" spans="1:7" x14ac:dyDescent="0.25">
      <c r="A1228" s="14" t="s">
        <v>2140</v>
      </c>
      <c r="B1228" s="14">
        <v>15</v>
      </c>
      <c r="C1228" s="15" t="s">
        <v>2152</v>
      </c>
      <c r="D1228" s="14" t="s">
        <v>1745</v>
      </c>
      <c r="E1228" s="14" t="s">
        <v>1746</v>
      </c>
      <c r="F1228" s="25">
        <v>27531</v>
      </c>
      <c r="G1228" s="25">
        <v>24777.96</v>
      </c>
    </row>
    <row r="1229" spans="1:7" x14ac:dyDescent="0.25">
      <c r="A1229" s="14" t="s">
        <v>2140</v>
      </c>
      <c r="B1229" s="14">
        <v>15</v>
      </c>
      <c r="C1229" s="15" t="s">
        <v>2152</v>
      </c>
      <c r="D1229" s="14" t="s">
        <v>1749</v>
      </c>
      <c r="E1229" s="14" t="s">
        <v>1746</v>
      </c>
      <c r="F1229" s="25">
        <v>2622</v>
      </c>
      <c r="G1229" s="25">
        <v>2359.8000000000002</v>
      </c>
    </row>
    <row r="1230" spans="1:7" x14ac:dyDescent="0.25">
      <c r="A1230" s="14" t="s">
        <v>2140</v>
      </c>
      <c r="B1230" s="14">
        <v>17</v>
      </c>
      <c r="C1230" s="15" t="s">
        <v>2147</v>
      </c>
      <c r="D1230" s="14" t="s">
        <v>1745</v>
      </c>
      <c r="E1230" s="14" t="s">
        <v>1746</v>
      </c>
      <c r="F1230" s="25">
        <v>60543</v>
      </c>
      <c r="G1230" s="25">
        <v>45407.28</v>
      </c>
    </row>
    <row r="1231" spans="1:7" x14ac:dyDescent="0.25">
      <c r="A1231" s="14" t="s">
        <v>2140</v>
      </c>
      <c r="B1231" s="14">
        <v>17</v>
      </c>
      <c r="C1231" s="15" t="s">
        <v>2147</v>
      </c>
      <c r="D1231" s="14" t="s">
        <v>1745</v>
      </c>
      <c r="E1231" s="14" t="s">
        <v>1747</v>
      </c>
      <c r="F1231" s="25">
        <v>57660</v>
      </c>
      <c r="G1231" s="25">
        <v>43245</v>
      </c>
    </row>
    <row r="1232" spans="1:7" x14ac:dyDescent="0.25">
      <c r="A1232" s="14" t="s">
        <v>2153</v>
      </c>
      <c r="B1232" s="14">
        <v>1</v>
      </c>
      <c r="C1232" s="15" t="s">
        <v>2154</v>
      </c>
      <c r="D1232" s="14" t="s">
        <v>1745</v>
      </c>
      <c r="E1232" s="14" t="s">
        <v>1747</v>
      </c>
      <c r="F1232" s="25">
        <v>29940</v>
      </c>
      <c r="G1232" s="25">
        <v>22455</v>
      </c>
    </row>
    <row r="1233" spans="1:7" x14ac:dyDescent="0.25">
      <c r="A1233" s="14" t="s">
        <v>2153</v>
      </c>
      <c r="B1233" s="14" t="s">
        <v>16</v>
      </c>
      <c r="C1233" s="15" t="s">
        <v>2155</v>
      </c>
      <c r="D1233" s="14" t="s">
        <v>1749</v>
      </c>
      <c r="E1233" s="14" t="s">
        <v>1746</v>
      </c>
      <c r="F1233" s="25">
        <v>2094</v>
      </c>
      <c r="G1233" s="25">
        <v>1884.6</v>
      </c>
    </row>
    <row r="1234" spans="1:7" x14ac:dyDescent="0.25">
      <c r="A1234" s="14" t="s">
        <v>2153</v>
      </c>
      <c r="B1234" s="14" t="s">
        <v>16</v>
      </c>
      <c r="C1234" s="15" t="s">
        <v>2155</v>
      </c>
      <c r="D1234" s="14" t="s">
        <v>1745</v>
      </c>
      <c r="E1234" s="14" t="s">
        <v>1747</v>
      </c>
      <c r="F1234" s="25">
        <v>20940</v>
      </c>
      <c r="G1234" s="25">
        <v>18846</v>
      </c>
    </row>
    <row r="1235" spans="1:7" x14ac:dyDescent="0.25">
      <c r="A1235" s="14" t="s">
        <v>2153</v>
      </c>
      <c r="B1235" s="14">
        <v>1</v>
      </c>
      <c r="C1235" s="15" t="s">
        <v>2154</v>
      </c>
      <c r="D1235" s="14" t="s">
        <v>1749</v>
      </c>
      <c r="E1235" s="14" t="s">
        <v>1746</v>
      </c>
      <c r="F1235" s="25">
        <v>2994</v>
      </c>
      <c r="G1235" s="25">
        <v>2245.5</v>
      </c>
    </row>
    <row r="1236" spans="1:7" x14ac:dyDescent="0.25">
      <c r="A1236" s="14" t="s">
        <v>2153</v>
      </c>
      <c r="B1236" s="14" t="s">
        <v>16</v>
      </c>
      <c r="C1236" s="15" t="s">
        <v>2155</v>
      </c>
      <c r="D1236" s="14" t="s">
        <v>1745</v>
      </c>
      <c r="E1236" s="14" t="s">
        <v>1746</v>
      </c>
      <c r="F1236" s="25">
        <v>21987</v>
      </c>
      <c r="G1236" s="25">
        <v>19788.36</v>
      </c>
    </row>
    <row r="1237" spans="1:7" x14ac:dyDescent="0.25">
      <c r="A1237" s="14" t="s">
        <v>2153</v>
      </c>
      <c r="B1237" s="14">
        <v>1</v>
      </c>
      <c r="C1237" s="15" t="s">
        <v>2154</v>
      </c>
      <c r="D1237" s="14" t="s">
        <v>1745</v>
      </c>
      <c r="E1237" s="14" t="s">
        <v>1746</v>
      </c>
      <c r="F1237" s="25">
        <v>31437</v>
      </c>
      <c r="G1237" s="25">
        <v>23577.72</v>
      </c>
    </row>
    <row r="1238" spans="1:7" x14ac:dyDescent="0.25">
      <c r="A1238" s="14" t="s">
        <v>2156</v>
      </c>
      <c r="B1238" s="14">
        <v>19</v>
      </c>
      <c r="C1238" s="15" t="s">
        <v>2157</v>
      </c>
      <c r="D1238" s="14" t="s">
        <v>1752</v>
      </c>
      <c r="E1238" s="14" t="s">
        <v>1746</v>
      </c>
      <c r="F1238" s="25">
        <v>264222</v>
      </c>
      <c r="G1238" s="25">
        <v>237799.8</v>
      </c>
    </row>
    <row r="1239" spans="1:7" x14ac:dyDescent="0.25">
      <c r="A1239" s="14" t="s">
        <v>2156</v>
      </c>
      <c r="B1239" s="14" t="s">
        <v>307</v>
      </c>
      <c r="C1239" s="15" t="s">
        <v>2158</v>
      </c>
      <c r="D1239" s="14" t="s">
        <v>1749</v>
      </c>
      <c r="E1239" s="14" t="s">
        <v>1746</v>
      </c>
      <c r="F1239" s="25">
        <v>8388</v>
      </c>
      <c r="G1239" s="25">
        <v>5871.6</v>
      </c>
    </row>
    <row r="1240" spans="1:7" ht="30" x14ac:dyDescent="0.25">
      <c r="A1240" s="14" t="s">
        <v>2156</v>
      </c>
      <c r="B1240" s="14" t="s">
        <v>325</v>
      </c>
      <c r="C1240" s="15" t="s">
        <v>2159</v>
      </c>
      <c r="D1240" s="14" t="s">
        <v>1749</v>
      </c>
      <c r="E1240" s="14" t="s">
        <v>1746</v>
      </c>
      <c r="F1240" s="25">
        <v>1200</v>
      </c>
      <c r="G1240" s="25">
        <v>840</v>
      </c>
    </row>
    <row r="1241" spans="1:7" x14ac:dyDescent="0.25">
      <c r="A1241" s="14" t="s">
        <v>2156</v>
      </c>
      <c r="B1241" s="14">
        <v>19</v>
      </c>
      <c r="C1241" s="15" t="s">
        <v>2157</v>
      </c>
      <c r="D1241" s="14" t="s">
        <v>1745</v>
      </c>
      <c r="E1241" s="14" t="s">
        <v>1746</v>
      </c>
      <c r="F1241" s="25">
        <v>88074</v>
      </c>
      <c r="G1241" s="25">
        <v>79266.600000000006</v>
      </c>
    </row>
    <row r="1242" spans="1:7" x14ac:dyDescent="0.25">
      <c r="A1242" s="14" t="s">
        <v>2156</v>
      </c>
      <c r="B1242" s="14">
        <v>1</v>
      </c>
      <c r="C1242" s="15" t="s">
        <v>2160</v>
      </c>
      <c r="D1242" s="14" t="s">
        <v>1752</v>
      </c>
      <c r="E1242" s="14" t="s">
        <v>1746</v>
      </c>
      <c r="F1242" s="25">
        <v>660366</v>
      </c>
      <c r="G1242" s="25">
        <v>462256.2</v>
      </c>
    </row>
    <row r="1243" spans="1:7" ht="30" x14ac:dyDescent="0.25">
      <c r="A1243" s="14" t="s">
        <v>2156</v>
      </c>
      <c r="B1243" s="14" t="s">
        <v>470</v>
      </c>
      <c r="C1243" s="15" t="s">
        <v>2161</v>
      </c>
      <c r="D1243" s="14" t="s">
        <v>1752</v>
      </c>
      <c r="E1243" s="14" t="s">
        <v>1746</v>
      </c>
      <c r="F1243" s="25">
        <v>47250</v>
      </c>
      <c r="G1243" s="25">
        <v>42525</v>
      </c>
    </row>
    <row r="1244" spans="1:7" x14ac:dyDescent="0.25">
      <c r="A1244" s="14" t="s">
        <v>2156</v>
      </c>
      <c r="B1244" s="14" t="s">
        <v>307</v>
      </c>
      <c r="C1244" s="15" t="s">
        <v>2158</v>
      </c>
      <c r="D1244" s="14" t="s">
        <v>1745</v>
      </c>
      <c r="E1244" s="14" t="s">
        <v>1747</v>
      </c>
      <c r="F1244" s="25">
        <v>83880</v>
      </c>
      <c r="G1244" s="25">
        <v>58716</v>
      </c>
    </row>
    <row r="1245" spans="1:7" x14ac:dyDescent="0.25">
      <c r="A1245" s="14" t="s">
        <v>2156</v>
      </c>
      <c r="B1245" s="14" t="s">
        <v>583</v>
      </c>
      <c r="C1245" s="15" t="s">
        <v>2162</v>
      </c>
      <c r="D1245" s="14" t="s">
        <v>1749</v>
      </c>
      <c r="E1245" s="14" t="s">
        <v>1746</v>
      </c>
      <c r="F1245" s="25">
        <v>11532</v>
      </c>
      <c r="G1245" s="25">
        <v>8072.4</v>
      </c>
    </row>
    <row r="1246" spans="1:7" ht="30" x14ac:dyDescent="0.25">
      <c r="A1246" s="14" t="s">
        <v>2156</v>
      </c>
      <c r="B1246" s="14" t="s">
        <v>470</v>
      </c>
      <c r="C1246" s="15" t="s">
        <v>2161</v>
      </c>
      <c r="D1246" s="14" t="s">
        <v>1745</v>
      </c>
      <c r="E1246" s="14" t="s">
        <v>1746</v>
      </c>
      <c r="F1246" s="25">
        <v>15750</v>
      </c>
      <c r="G1246" s="25">
        <v>14175</v>
      </c>
    </row>
    <row r="1247" spans="1:7" x14ac:dyDescent="0.25">
      <c r="A1247" s="14" t="s">
        <v>2156</v>
      </c>
      <c r="B1247" s="14">
        <v>19</v>
      </c>
      <c r="C1247" s="15" t="s">
        <v>2157</v>
      </c>
      <c r="D1247" s="14" t="s">
        <v>1749</v>
      </c>
      <c r="E1247" s="14" t="s">
        <v>1746</v>
      </c>
      <c r="F1247" s="25">
        <v>8388</v>
      </c>
      <c r="G1247" s="25">
        <v>7549.2</v>
      </c>
    </row>
    <row r="1248" spans="1:7" x14ac:dyDescent="0.25">
      <c r="A1248" s="14" t="s">
        <v>2156</v>
      </c>
      <c r="B1248" s="14">
        <v>2</v>
      </c>
      <c r="C1248" s="15" t="s">
        <v>2163</v>
      </c>
      <c r="D1248" s="14" t="s">
        <v>1752</v>
      </c>
      <c r="E1248" s="14" t="s">
        <v>1753</v>
      </c>
      <c r="F1248" s="25">
        <v>89820</v>
      </c>
      <c r="G1248" s="25">
        <v>62874</v>
      </c>
    </row>
    <row r="1249" spans="1:7" ht="30" x14ac:dyDescent="0.25">
      <c r="A1249" s="14" t="s">
        <v>2156</v>
      </c>
      <c r="B1249" s="14" t="s">
        <v>470</v>
      </c>
      <c r="C1249" s="15" t="s">
        <v>2161</v>
      </c>
      <c r="D1249" s="14" t="s">
        <v>1745</v>
      </c>
      <c r="E1249" s="14" t="s">
        <v>1747</v>
      </c>
      <c r="F1249" s="25">
        <v>15000</v>
      </c>
      <c r="G1249" s="25">
        <v>13500</v>
      </c>
    </row>
    <row r="1250" spans="1:7" ht="30" x14ac:dyDescent="0.25">
      <c r="A1250" s="14" t="s">
        <v>2156</v>
      </c>
      <c r="B1250" s="14" t="s">
        <v>263</v>
      </c>
      <c r="C1250" s="15" t="s">
        <v>2164</v>
      </c>
      <c r="D1250" s="14" t="s">
        <v>1745</v>
      </c>
      <c r="E1250" s="14" t="s">
        <v>1747</v>
      </c>
      <c r="F1250" s="25">
        <v>16500</v>
      </c>
      <c r="G1250" s="25">
        <v>11550</v>
      </c>
    </row>
    <row r="1251" spans="1:7" x14ac:dyDescent="0.25">
      <c r="A1251" s="14" t="s">
        <v>2156</v>
      </c>
      <c r="B1251" s="14">
        <v>19</v>
      </c>
      <c r="C1251" s="15" t="s">
        <v>2157</v>
      </c>
      <c r="D1251" s="14" t="s">
        <v>1752</v>
      </c>
      <c r="E1251" s="14" t="s">
        <v>1747</v>
      </c>
      <c r="F1251" s="25">
        <v>251640</v>
      </c>
      <c r="G1251" s="25">
        <v>226476</v>
      </c>
    </row>
    <row r="1252" spans="1:7" x14ac:dyDescent="0.25">
      <c r="A1252" s="14" t="s">
        <v>2156</v>
      </c>
      <c r="B1252" s="14">
        <v>1</v>
      </c>
      <c r="C1252" s="15" t="s">
        <v>2160</v>
      </c>
      <c r="D1252" s="14" t="s">
        <v>1745</v>
      </c>
      <c r="E1252" s="14" t="s">
        <v>1746</v>
      </c>
      <c r="F1252" s="25">
        <v>220122</v>
      </c>
      <c r="G1252" s="25">
        <v>154085.4</v>
      </c>
    </row>
    <row r="1253" spans="1:7" ht="30" x14ac:dyDescent="0.25">
      <c r="A1253" s="14" t="s">
        <v>2156</v>
      </c>
      <c r="B1253" s="14" t="s">
        <v>325</v>
      </c>
      <c r="C1253" s="15" t="s">
        <v>2159</v>
      </c>
      <c r="D1253" s="14" t="s">
        <v>1745</v>
      </c>
      <c r="E1253" s="14" t="s">
        <v>1746</v>
      </c>
      <c r="F1253" s="25">
        <v>12600</v>
      </c>
      <c r="G1253" s="25">
        <v>8820</v>
      </c>
    </row>
    <row r="1254" spans="1:7" x14ac:dyDescent="0.25">
      <c r="A1254" s="14" t="s">
        <v>2156</v>
      </c>
      <c r="B1254" s="14">
        <v>2</v>
      </c>
      <c r="C1254" s="15" t="s">
        <v>2163</v>
      </c>
      <c r="D1254" s="14" t="s">
        <v>1752</v>
      </c>
      <c r="E1254" s="14" t="s">
        <v>1746</v>
      </c>
      <c r="F1254" s="25">
        <v>94311</v>
      </c>
      <c r="G1254" s="25">
        <v>66017.88</v>
      </c>
    </row>
    <row r="1255" spans="1:7" ht="30" x14ac:dyDescent="0.25">
      <c r="A1255" s="14" t="s">
        <v>2156</v>
      </c>
      <c r="B1255" s="14" t="s">
        <v>263</v>
      </c>
      <c r="C1255" s="15" t="s">
        <v>2164</v>
      </c>
      <c r="D1255" s="14" t="s">
        <v>1749</v>
      </c>
      <c r="E1255" s="14" t="s">
        <v>1746</v>
      </c>
      <c r="F1255" s="25">
        <v>1650</v>
      </c>
      <c r="G1255" s="25">
        <v>1155</v>
      </c>
    </row>
    <row r="1256" spans="1:7" x14ac:dyDescent="0.25">
      <c r="A1256" s="14" t="s">
        <v>2156</v>
      </c>
      <c r="B1256" s="14">
        <v>1</v>
      </c>
      <c r="C1256" s="15" t="s">
        <v>2160</v>
      </c>
      <c r="D1256" s="14" t="s">
        <v>1749</v>
      </c>
      <c r="E1256" s="14" t="s">
        <v>1746</v>
      </c>
      <c r="F1256" s="25">
        <v>20964</v>
      </c>
      <c r="G1256" s="25">
        <v>14674.8</v>
      </c>
    </row>
    <row r="1257" spans="1:7" x14ac:dyDescent="0.25">
      <c r="A1257" s="14" t="s">
        <v>2156</v>
      </c>
      <c r="B1257" s="14">
        <v>2</v>
      </c>
      <c r="C1257" s="15" t="s">
        <v>2163</v>
      </c>
      <c r="D1257" s="14" t="s">
        <v>1752</v>
      </c>
      <c r="E1257" s="14" t="s">
        <v>1747</v>
      </c>
      <c r="F1257" s="25">
        <v>89820</v>
      </c>
      <c r="G1257" s="25">
        <v>62874</v>
      </c>
    </row>
    <row r="1258" spans="1:7" x14ac:dyDescent="0.25">
      <c r="A1258" s="14" t="s">
        <v>2156</v>
      </c>
      <c r="B1258" s="14" t="s">
        <v>583</v>
      </c>
      <c r="C1258" s="15" t="s">
        <v>2162</v>
      </c>
      <c r="D1258" s="14" t="s">
        <v>1745</v>
      </c>
      <c r="E1258" s="14" t="s">
        <v>1747</v>
      </c>
      <c r="F1258" s="25">
        <v>115320</v>
      </c>
      <c r="G1258" s="25">
        <v>80724</v>
      </c>
    </row>
    <row r="1259" spans="1:7" x14ac:dyDescent="0.25">
      <c r="A1259" s="14" t="s">
        <v>2156</v>
      </c>
      <c r="B1259" s="14">
        <v>1</v>
      </c>
      <c r="C1259" s="15" t="s">
        <v>2160</v>
      </c>
      <c r="D1259" s="14" t="s">
        <v>1745</v>
      </c>
      <c r="E1259" s="14" t="s">
        <v>1747</v>
      </c>
      <c r="F1259" s="25">
        <v>209640</v>
      </c>
      <c r="G1259" s="25">
        <v>146748</v>
      </c>
    </row>
    <row r="1260" spans="1:7" ht="30" x14ac:dyDescent="0.25">
      <c r="A1260" s="14" t="s">
        <v>2156</v>
      </c>
      <c r="B1260" s="14" t="s">
        <v>470</v>
      </c>
      <c r="C1260" s="15" t="s">
        <v>2161</v>
      </c>
      <c r="D1260" s="14" t="s">
        <v>1752</v>
      </c>
      <c r="E1260" s="14" t="s">
        <v>1747</v>
      </c>
      <c r="F1260" s="25">
        <v>45000</v>
      </c>
      <c r="G1260" s="25">
        <v>40500</v>
      </c>
    </row>
    <row r="1261" spans="1:7" x14ac:dyDescent="0.25">
      <c r="A1261" s="14" t="s">
        <v>2156</v>
      </c>
      <c r="B1261" s="14">
        <v>1</v>
      </c>
      <c r="C1261" s="15" t="s">
        <v>2160</v>
      </c>
      <c r="D1261" s="14" t="s">
        <v>1752</v>
      </c>
      <c r="E1261" s="14" t="s">
        <v>1753</v>
      </c>
      <c r="F1261" s="25">
        <v>628920</v>
      </c>
      <c r="G1261" s="25">
        <v>440244</v>
      </c>
    </row>
    <row r="1262" spans="1:7" x14ac:dyDescent="0.25">
      <c r="A1262" s="14" t="s">
        <v>2156</v>
      </c>
      <c r="B1262" s="14">
        <v>2</v>
      </c>
      <c r="C1262" s="15" t="s">
        <v>2163</v>
      </c>
      <c r="D1262" s="14" t="s">
        <v>1745</v>
      </c>
      <c r="E1262" s="14" t="s">
        <v>1746</v>
      </c>
      <c r="F1262" s="25">
        <v>31437</v>
      </c>
      <c r="G1262" s="25">
        <v>22005.96</v>
      </c>
    </row>
    <row r="1263" spans="1:7" x14ac:dyDescent="0.25">
      <c r="A1263" s="14" t="s">
        <v>2156</v>
      </c>
      <c r="B1263" s="14" t="s">
        <v>583</v>
      </c>
      <c r="C1263" s="15" t="s">
        <v>2162</v>
      </c>
      <c r="D1263" s="14" t="s">
        <v>1745</v>
      </c>
      <c r="E1263" s="14" t="s">
        <v>1746</v>
      </c>
      <c r="F1263" s="25">
        <v>121086</v>
      </c>
      <c r="G1263" s="25">
        <v>84760.2</v>
      </c>
    </row>
    <row r="1264" spans="1:7" x14ac:dyDescent="0.25">
      <c r="A1264" s="14" t="s">
        <v>2156</v>
      </c>
      <c r="B1264" s="14" t="s">
        <v>307</v>
      </c>
      <c r="C1264" s="15" t="s">
        <v>2158</v>
      </c>
      <c r="D1264" s="14" t="s">
        <v>1745</v>
      </c>
      <c r="E1264" s="14" t="s">
        <v>1746</v>
      </c>
      <c r="F1264" s="25">
        <v>88074</v>
      </c>
      <c r="G1264" s="25">
        <v>61651.8</v>
      </c>
    </row>
    <row r="1265" spans="1:7" ht="30" x14ac:dyDescent="0.25">
      <c r="A1265" s="14" t="s">
        <v>2156</v>
      </c>
      <c r="B1265" s="14" t="s">
        <v>470</v>
      </c>
      <c r="C1265" s="15" t="s">
        <v>2161</v>
      </c>
      <c r="D1265" s="14" t="s">
        <v>1749</v>
      </c>
      <c r="E1265" s="14" t="s">
        <v>1746</v>
      </c>
      <c r="F1265" s="25">
        <v>1500</v>
      </c>
      <c r="G1265" s="25">
        <v>1350</v>
      </c>
    </row>
    <row r="1266" spans="1:7" x14ac:dyDescent="0.25">
      <c r="A1266" s="14" t="s">
        <v>2156</v>
      </c>
      <c r="B1266" s="14">
        <v>1</v>
      </c>
      <c r="C1266" s="15" t="s">
        <v>2160</v>
      </c>
      <c r="D1266" s="14" t="s">
        <v>1752</v>
      </c>
      <c r="E1266" s="14" t="s">
        <v>1747</v>
      </c>
      <c r="F1266" s="25">
        <v>628920</v>
      </c>
      <c r="G1266" s="25">
        <v>440244</v>
      </c>
    </row>
    <row r="1267" spans="1:7" ht="30" x14ac:dyDescent="0.25">
      <c r="A1267" s="14" t="s">
        <v>2156</v>
      </c>
      <c r="B1267" s="14" t="s">
        <v>263</v>
      </c>
      <c r="C1267" s="15" t="s">
        <v>2164</v>
      </c>
      <c r="D1267" s="14" t="s">
        <v>1745</v>
      </c>
      <c r="E1267" s="14" t="s">
        <v>1746</v>
      </c>
      <c r="F1267" s="25">
        <v>17325</v>
      </c>
      <c r="G1267" s="25">
        <v>12127.56</v>
      </c>
    </row>
    <row r="1268" spans="1:7" x14ac:dyDescent="0.25">
      <c r="A1268" s="14" t="s">
        <v>2156</v>
      </c>
      <c r="B1268" s="14">
        <v>2</v>
      </c>
      <c r="C1268" s="15" t="s">
        <v>2163</v>
      </c>
      <c r="D1268" s="14" t="s">
        <v>1749</v>
      </c>
      <c r="E1268" s="14" t="s">
        <v>1746</v>
      </c>
      <c r="F1268" s="25">
        <v>2994</v>
      </c>
      <c r="G1268" s="25">
        <v>2095.8000000000002</v>
      </c>
    </row>
    <row r="1269" spans="1:7" x14ac:dyDescent="0.25">
      <c r="A1269" s="14" t="s">
        <v>2156</v>
      </c>
      <c r="B1269" s="14">
        <v>19</v>
      </c>
      <c r="C1269" s="15" t="s">
        <v>2157</v>
      </c>
      <c r="D1269" s="14" t="s">
        <v>1745</v>
      </c>
      <c r="E1269" s="14" t="s">
        <v>1747</v>
      </c>
      <c r="F1269" s="25">
        <v>83880</v>
      </c>
      <c r="G1269" s="25">
        <v>75492</v>
      </c>
    </row>
    <row r="1270" spans="1:7" ht="30" x14ac:dyDescent="0.25">
      <c r="A1270" s="14" t="s">
        <v>2156</v>
      </c>
      <c r="B1270" s="14" t="s">
        <v>325</v>
      </c>
      <c r="C1270" s="15" t="s">
        <v>2159</v>
      </c>
      <c r="D1270" s="14" t="s">
        <v>1745</v>
      </c>
      <c r="E1270" s="14" t="s">
        <v>1747</v>
      </c>
      <c r="F1270" s="25">
        <v>12000</v>
      </c>
      <c r="G1270" s="25">
        <v>8400</v>
      </c>
    </row>
    <row r="1271" spans="1:7" x14ac:dyDescent="0.25">
      <c r="A1271" s="14" t="s">
        <v>2156</v>
      </c>
      <c r="B1271" s="14">
        <v>2</v>
      </c>
      <c r="C1271" s="15" t="s">
        <v>2163</v>
      </c>
      <c r="D1271" s="14" t="s">
        <v>1745</v>
      </c>
      <c r="E1271" s="14" t="s">
        <v>1747</v>
      </c>
      <c r="F1271" s="25">
        <v>29940</v>
      </c>
      <c r="G1271" s="25">
        <v>20958</v>
      </c>
    </row>
    <row r="1272" spans="1:7" x14ac:dyDescent="0.25">
      <c r="A1272" s="14" t="s">
        <v>2165</v>
      </c>
      <c r="B1272" s="14">
        <v>2</v>
      </c>
      <c r="C1272" s="15" t="s">
        <v>2166</v>
      </c>
      <c r="D1272" s="14" t="s">
        <v>1745</v>
      </c>
      <c r="E1272" s="14" t="s">
        <v>1746</v>
      </c>
      <c r="F1272" s="25">
        <v>314496</v>
      </c>
      <c r="G1272" s="25">
        <v>220147.20000000001</v>
      </c>
    </row>
    <row r="1273" spans="1:7" x14ac:dyDescent="0.25">
      <c r="A1273" s="14" t="s">
        <v>2165</v>
      </c>
      <c r="B1273" s="14">
        <v>2</v>
      </c>
      <c r="C1273" s="15" t="s">
        <v>2166</v>
      </c>
      <c r="D1273" s="14" t="s">
        <v>1745</v>
      </c>
      <c r="E1273" s="14" t="s">
        <v>1747</v>
      </c>
      <c r="F1273" s="25">
        <v>299520</v>
      </c>
      <c r="G1273" s="25">
        <v>209664</v>
      </c>
    </row>
    <row r="1274" spans="1:7" x14ac:dyDescent="0.25">
      <c r="A1274" s="14" t="s">
        <v>2165</v>
      </c>
      <c r="B1274" s="14">
        <v>8</v>
      </c>
      <c r="C1274" s="15" t="s">
        <v>2167</v>
      </c>
      <c r="D1274" s="14" t="s">
        <v>1749</v>
      </c>
      <c r="E1274" s="14" t="s">
        <v>1766</v>
      </c>
      <c r="F1274" s="25">
        <v>0</v>
      </c>
      <c r="G1274" s="25">
        <v>0</v>
      </c>
    </row>
    <row r="1275" spans="1:7" x14ac:dyDescent="0.25">
      <c r="A1275" s="14" t="s">
        <v>2165</v>
      </c>
      <c r="B1275" s="14">
        <v>3</v>
      </c>
      <c r="C1275" s="15" t="s">
        <v>2167</v>
      </c>
      <c r="D1275" s="14" t="s">
        <v>1745</v>
      </c>
      <c r="E1275" s="14" t="s">
        <v>1746</v>
      </c>
      <c r="F1275" s="25">
        <v>125811</v>
      </c>
      <c r="G1275" s="25">
        <v>113230</v>
      </c>
    </row>
    <row r="1276" spans="1:7" x14ac:dyDescent="0.25">
      <c r="A1276" s="14" t="s">
        <v>2165</v>
      </c>
      <c r="B1276" s="14">
        <v>4</v>
      </c>
      <c r="C1276" s="15" t="s">
        <v>2168</v>
      </c>
      <c r="D1276" s="14" t="s">
        <v>1745</v>
      </c>
      <c r="E1276" s="14" t="s">
        <v>1747</v>
      </c>
      <c r="F1276" s="25">
        <v>119820</v>
      </c>
      <c r="G1276" s="25">
        <v>83874</v>
      </c>
    </row>
    <row r="1277" spans="1:7" x14ac:dyDescent="0.25">
      <c r="A1277" s="14" t="s">
        <v>2165</v>
      </c>
      <c r="B1277" s="14">
        <v>4</v>
      </c>
      <c r="C1277" s="15" t="s">
        <v>2168</v>
      </c>
      <c r="D1277" s="14" t="s">
        <v>1749</v>
      </c>
      <c r="E1277" s="14" t="s">
        <v>1746</v>
      </c>
      <c r="F1277" s="25">
        <v>11982</v>
      </c>
      <c r="G1277" s="25">
        <v>8387.4</v>
      </c>
    </row>
    <row r="1278" spans="1:7" x14ac:dyDescent="0.25">
      <c r="A1278" s="14" t="s">
        <v>2165</v>
      </c>
      <c r="B1278" s="14">
        <v>5</v>
      </c>
      <c r="C1278" s="15" t="s">
        <v>2169</v>
      </c>
      <c r="D1278" s="14" t="s">
        <v>1745</v>
      </c>
      <c r="E1278" s="14" t="s">
        <v>1746</v>
      </c>
      <c r="F1278" s="25">
        <v>172935</v>
      </c>
      <c r="G1278" s="25">
        <v>121054.6</v>
      </c>
    </row>
    <row r="1279" spans="1:7" x14ac:dyDescent="0.25">
      <c r="A1279" s="14" t="s">
        <v>2165</v>
      </c>
      <c r="B1279" s="14">
        <v>5</v>
      </c>
      <c r="C1279" s="15" t="s">
        <v>2169</v>
      </c>
      <c r="D1279" s="14" t="s">
        <v>1749</v>
      </c>
      <c r="E1279" s="14" t="s">
        <v>1746</v>
      </c>
      <c r="F1279" s="25">
        <v>16470</v>
      </c>
      <c r="G1279" s="25">
        <v>11529</v>
      </c>
    </row>
    <row r="1280" spans="1:7" x14ac:dyDescent="0.25">
      <c r="A1280" s="14" t="s">
        <v>2165</v>
      </c>
      <c r="B1280" s="14">
        <v>2</v>
      </c>
      <c r="C1280" s="15" t="s">
        <v>2166</v>
      </c>
      <c r="D1280" s="14" t="s">
        <v>1749</v>
      </c>
      <c r="E1280" s="14" t="s">
        <v>1746</v>
      </c>
      <c r="F1280" s="25">
        <v>29952</v>
      </c>
      <c r="G1280" s="25">
        <v>20966.400000000001</v>
      </c>
    </row>
    <row r="1281" spans="1:7" x14ac:dyDescent="0.25">
      <c r="A1281" s="14" t="s">
        <v>2165</v>
      </c>
      <c r="B1281" s="14">
        <v>2</v>
      </c>
      <c r="C1281" s="15" t="s">
        <v>2166</v>
      </c>
      <c r="D1281" s="14" t="s">
        <v>1752</v>
      </c>
      <c r="E1281" s="14" t="s">
        <v>1746</v>
      </c>
      <c r="F1281" s="25">
        <v>943488</v>
      </c>
      <c r="G1281" s="25">
        <v>660441.59999999998</v>
      </c>
    </row>
    <row r="1282" spans="1:7" x14ac:dyDescent="0.25">
      <c r="A1282" s="14" t="s">
        <v>2165</v>
      </c>
      <c r="B1282" s="14">
        <v>7</v>
      </c>
      <c r="C1282" s="15" t="s">
        <v>2168</v>
      </c>
      <c r="D1282" s="14" t="s">
        <v>1749</v>
      </c>
      <c r="E1282" s="14" t="s">
        <v>1766</v>
      </c>
      <c r="F1282" s="25">
        <v>0</v>
      </c>
      <c r="G1282" s="25">
        <v>0</v>
      </c>
    </row>
    <row r="1283" spans="1:7" x14ac:dyDescent="0.25">
      <c r="A1283" s="14" t="s">
        <v>2165</v>
      </c>
      <c r="B1283" s="14">
        <v>3</v>
      </c>
      <c r="C1283" s="15" t="s">
        <v>2167</v>
      </c>
      <c r="D1283" s="14" t="s">
        <v>1749</v>
      </c>
      <c r="E1283" s="14" t="s">
        <v>1746</v>
      </c>
      <c r="F1283" s="25">
        <v>11982</v>
      </c>
      <c r="G1283" s="25">
        <v>10783.8</v>
      </c>
    </row>
    <row r="1284" spans="1:7" x14ac:dyDescent="0.25">
      <c r="A1284" s="14" t="s">
        <v>2165</v>
      </c>
      <c r="B1284" s="14">
        <v>3</v>
      </c>
      <c r="C1284" s="15" t="s">
        <v>2167</v>
      </c>
      <c r="D1284" s="14" t="s">
        <v>1745</v>
      </c>
      <c r="E1284" s="14" t="s">
        <v>1747</v>
      </c>
      <c r="F1284" s="25">
        <v>119820</v>
      </c>
      <c r="G1284" s="25">
        <v>107838</v>
      </c>
    </row>
    <row r="1285" spans="1:7" x14ac:dyDescent="0.25">
      <c r="A1285" s="14" t="s">
        <v>2165</v>
      </c>
      <c r="B1285" s="14">
        <v>2</v>
      </c>
      <c r="C1285" s="15" t="s">
        <v>2166</v>
      </c>
      <c r="D1285" s="14" t="s">
        <v>1752</v>
      </c>
      <c r="E1285" s="14" t="s">
        <v>1753</v>
      </c>
      <c r="F1285" s="25">
        <v>898560</v>
      </c>
      <c r="G1285" s="25">
        <v>628992</v>
      </c>
    </row>
    <row r="1286" spans="1:7" x14ac:dyDescent="0.25">
      <c r="A1286" s="14" t="s">
        <v>2165</v>
      </c>
      <c r="B1286" s="14">
        <v>2</v>
      </c>
      <c r="C1286" s="15" t="s">
        <v>2166</v>
      </c>
      <c r="D1286" s="14" t="s">
        <v>1752</v>
      </c>
      <c r="E1286" s="14" t="s">
        <v>1747</v>
      </c>
      <c r="F1286" s="25">
        <v>898560</v>
      </c>
      <c r="G1286" s="25">
        <v>628992</v>
      </c>
    </row>
    <row r="1287" spans="1:7" x14ac:dyDescent="0.25">
      <c r="A1287" s="14" t="s">
        <v>2165</v>
      </c>
      <c r="B1287" s="14">
        <v>4</v>
      </c>
      <c r="C1287" s="15" t="s">
        <v>2168</v>
      </c>
      <c r="D1287" s="14" t="s">
        <v>1745</v>
      </c>
      <c r="E1287" s="14" t="s">
        <v>1746</v>
      </c>
      <c r="F1287" s="25">
        <v>125811</v>
      </c>
      <c r="G1287" s="25">
        <v>88067.76</v>
      </c>
    </row>
    <row r="1288" spans="1:7" x14ac:dyDescent="0.25">
      <c r="A1288" s="14" t="s">
        <v>2165</v>
      </c>
      <c r="B1288" s="14">
        <v>6</v>
      </c>
      <c r="C1288" s="15" t="s">
        <v>2169</v>
      </c>
      <c r="D1288" s="14" t="s">
        <v>1749</v>
      </c>
      <c r="E1288" s="14" t="s">
        <v>1766</v>
      </c>
      <c r="F1288" s="25">
        <v>0</v>
      </c>
      <c r="G1288" s="25">
        <v>0</v>
      </c>
    </row>
    <row r="1289" spans="1:7" x14ac:dyDescent="0.25">
      <c r="A1289" s="14" t="s">
        <v>2165</v>
      </c>
      <c r="B1289" s="14">
        <v>1</v>
      </c>
      <c r="C1289" s="15" t="s">
        <v>2166</v>
      </c>
      <c r="D1289" s="14" t="s">
        <v>1749</v>
      </c>
      <c r="E1289" s="14" t="s">
        <v>1766</v>
      </c>
      <c r="F1289" s="25">
        <v>0</v>
      </c>
      <c r="G1289" s="25">
        <v>0</v>
      </c>
    </row>
    <row r="1290" spans="1:7" x14ac:dyDescent="0.25">
      <c r="A1290" s="14" t="s">
        <v>2165</v>
      </c>
      <c r="B1290" s="14">
        <v>5</v>
      </c>
      <c r="C1290" s="15" t="s">
        <v>2169</v>
      </c>
      <c r="D1290" s="14" t="s">
        <v>1745</v>
      </c>
      <c r="E1290" s="14" t="s">
        <v>1747</v>
      </c>
      <c r="F1290" s="25">
        <v>164700</v>
      </c>
      <c r="G1290" s="25">
        <v>115290</v>
      </c>
    </row>
    <row r="1291" spans="1:7" x14ac:dyDescent="0.25">
      <c r="A1291" s="14" t="s">
        <v>2170</v>
      </c>
      <c r="B1291" s="14">
        <v>2</v>
      </c>
      <c r="C1291" s="15" t="s">
        <v>2171</v>
      </c>
      <c r="D1291" s="14" t="s">
        <v>1749</v>
      </c>
      <c r="E1291" s="14" t="s">
        <v>1746</v>
      </c>
      <c r="F1291" s="25">
        <v>402</v>
      </c>
      <c r="G1291" s="25">
        <v>281.39999999999998</v>
      </c>
    </row>
    <row r="1292" spans="1:7" x14ac:dyDescent="0.25">
      <c r="A1292" s="14" t="s">
        <v>2170</v>
      </c>
      <c r="B1292" s="14">
        <v>4</v>
      </c>
      <c r="C1292" s="15" t="s">
        <v>2172</v>
      </c>
      <c r="D1292" s="14" t="s">
        <v>1752</v>
      </c>
      <c r="E1292" s="14" t="s">
        <v>1747</v>
      </c>
      <c r="F1292" s="25">
        <v>4193100</v>
      </c>
      <c r="G1292" s="25">
        <v>2935170</v>
      </c>
    </row>
    <row r="1293" spans="1:7" ht="30" x14ac:dyDescent="0.25">
      <c r="A1293" s="14" t="s">
        <v>2170</v>
      </c>
      <c r="B1293" s="14">
        <v>15</v>
      </c>
      <c r="C1293" s="15" t="s">
        <v>2173</v>
      </c>
      <c r="D1293" s="14" t="s">
        <v>1749</v>
      </c>
      <c r="E1293" s="14" t="s">
        <v>1746</v>
      </c>
      <c r="F1293" s="25">
        <v>1650</v>
      </c>
      <c r="G1293" s="25">
        <v>1155</v>
      </c>
    </row>
    <row r="1294" spans="1:7" x14ac:dyDescent="0.25">
      <c r="A1294" s="14" t="s">
        <v>2170</v>
      </c>
      <c r="B1294" s="14">
        <v>3</v>
      </c>
      <c r="C1294" s="15" t="s">
        <v>2174</v>
      </c>
      <c r="D1294" s="14" t="s">
        <v>1752</v>
      </c>
      <c r="E1294" s="14" t="s">
        <v>1747</v>
      </c>
      <c r="F1294" s="25">
        <v>89820</v>
      </c>
      <c r="G1294" s="25">
        <v>62874</v>
      </c>
    </row>
    <row r="1295" spans="1:7" x14ac:dyDescent="0.25">
      <c r="A1295" s="14" t="s">
        <v>2170</v>
      </c>
      <c r="B1295" s="14">
        <v>3</v>
      </c>
      <c r="C1295" s="15" t="s">
        <v>2174</v>
      </c>
      <c r="D1295" s="14" t="s">
        <v>1752</v>
      </c>
      <c r="E1295" s="14" t="s">
        <v>1746</v>
      </c>
      <c r="F1295" s="25">
        <v>94311</v>
      </c>
      <c r="G1295" s="25">
        <v>66017.88</v>
      </c>
    </row>
    <row r="1296" spans="1:7" x14ac:dyDescent="0.25">
      <c r="A1296" s="14" t="s">
        <v>2170</v>
      </c>
      <c r="B1296" s="14">
        <v>4</v>
      </c>
      <c r="C1296" s="15" t="s">
        <v>2172</v>
      </c>
      <c r="D1296" s="14" t="s">
        <v>1749</v>
      </c>
      <c r="E1296" s="14" t="s">
        <v>1746</v>
      </c>
      <c r="F1296" s="25">
        <v>139770</v>
      </c>
      <c r="G1296" s="25">
        <v>97839</v>
      </c>
    </row>
    <row r="1297" spans="1:7" x14ac:dyDescent="0.25">
      <c r="A1297" s="14" t="s">
        <v>2170</v>
      </c>
      <c r="B1297" s="14">
        <v>2</v>
      </c>
      <c r="C1297" s="15" t="s">
        <v>2171</v>
      </c>
      <c r="D1297" s="14" t="s">
        <v>1745</v>
      </c>
      <c r="E1297" s="14" t="s">
        <v>1747</v>
      </c>
      <c r="F1297" s="25">
        <v>4020</v>
      </c>
      <c r="G1297" s="25">
        <v>2814</v>
      </c>
    </row>
    <row r="1298" spans="1:7" x14ac:dyDescent="0.25">
      <c r="A1298" s="14" t="s">
        <v>2170</v>
      </c>
      <c r="B1298" s="14">
        <v>2</v>
      </c>
      <c r="C1298" s="15" t="s">
        <v>2171</v>
      </c>
      <c r="D1298" s="14" t="s">
        <v>1752</v>
      </c>
      <c r="E1298" s="14" t="s">
        <v>1746</v>
      </c>
      <c r="F1298" s="25">
        <v>12663</v>
      </c>
      <c r="G1298" s="25">
        <v>8864.2800000000007</v>
      </c>
    </row>
    <row r="1299" spans="1:7" x14ac:dyDescent="0.25">
      <c r="A1299" s="14" t="s">
        <v>2170</v>
      </c>
      <c r="B1299" s="14" t="s">
        <v>583</v>
      </c>
      <c r="C1299" s="15" t="s">
        <v>2175</v>
      </c>
      <c r="D1299" s="14" t="s">
        <v>1745</v>
      </c>
      <c r="E1299" s="14" t="s">
        <v>1746</v>
      </c>
      <c r="F1299" s="25">
        <v>587034</v>
      </c>
      <c r="G1299" s="25">
        <v>528330.6</v>
      </c>
    </row>
    <row r="1300" spans="1:7" ht="30" x14ac:dyDescent="0.25">
      <c r="A1300" s="14" t="s">
        <v>2170</v>
      </c>
      <c r="B1300" s="14" t="s">
        <v>470</v>
      </c>
      <c r="C1300" s="15" t="s">
        <v>2176</v>
      </c>
      <c r="D1300" s="14" t="s">
        <v>1745</v>
      </c>
      <c r="E1300" s="14" t="s">
        <v>1747</v>
      </c>
      <c r="F1300" s="25">
        <v>12000</v>
      </c>
      <c r="G1300" s="25">
        <v>8400</v>
      </c>
    </row>
    <row r="1301" spans="1:7" ht="30" x14ac:dyDescent="0.25">
      <c r="A1301" s="14" t="s">
        <v>2170</v>
      </c>
      <c r="B1301" s="14">
        <v>15</v>
      </c>
      <c r="C1301" s="15" t="s">
        <v>2173</v>
      </c>
      <c r="D1301" s="14" t="s">
        <v>1745</v>
      </c>
      <c r="E1301" s="14" t="s">
        <v>1746</v>
      </c>
      <c r="F1301" s="25">
        <v>17325</v>
      </c>
      <c r="G1301" s="25">
        <v>12127.56</v>
      </c>
    </row>
    <row r="1302" spans="1:7" x14ac:dyDescent="0.25">
      <c r="A1302" s="14" t="s">
        <v>2170</v>
      </c>
      <c r="B1302" s="14">
        <v>11</v>
      </c>
      <c r="C1302" s="15" t="s">
        <v>2177</v>
      </c>
      <c r="D1302" s="14" t="s">
        <v>1749</v>
      </c>
      <c r="E1302" s="14" t="s">
        <v>1746</v>
      </c>
      <c r="F1302" s="25">
        <v>5394</v>
      </c>
      <c r="G1302" s="25">
        <v>4854.6000000000004</v>
      </c>
    </row>
    <row r="1303" spans="1:7" x14ac:dyDescent="0.25">
      <c r="A1303" s="14" t="s">
        <v>2170</v>
      </c>
      <c r="B1303" s="14">
        <v>1</v>
      </c>
      <c r="C1303" s="15" t="s">
        <v>2178</v>
      </c>
      <c r="D1303" s="14" t="s">
        <v>1752</v>
      </c>
      <c r="E1303" s="14" t="s">
        <v>1747</v>
      </c>
      <c r="F1303" s="25">
        <v>404280</v>
      </c>
      <c r="G1303" s="25">
        <v>282996</v>
      </c>
    </row>
    <row r="1304" spans="1:7" x14ac:dyDescent="0.25">
      <c r="A1304" s="14" t="s">
        <v>2170</v>
      </c>
      <c r="B1304" s="14">
        <v>3</v>
      </c>
      <c r="C1304" s="15" t="s">
        <v>2174</v>
      </c>
      <c r="D1304" s="14" t="s">
        <v>1745</v>
      </c>
      <c r="E1304" s="14" t="s">
        <v>1746</v>
      </c>
      <c r="F1304" s="25">
        <v>31437</v>
      </c>
      <c r="G1304" s="25">
        <v>22005.96</v>
      </c>
    </row>
    <row r="1305" spans="1:7" x14ac:dyDescent="0.25">
      <c r="A1305" s="14" t="s">
        <v>2170</v>
      </c>
      <c r="B1305" s="14">
        <v>19</v>
      </c>
      <c r="C1305" s="15" t="s">
        <v>2179</v>
      </c>
      <c r="D1305" s="14" t="s">
        <v>1745</v>
      </c>
      <c r="E1305" s="14" t="s">
        <v>1746</v>
      </c>
      <c r="F1305" s="25">
        <v>1701</v>
      </c>
      <c r="G1305" s="25">
        <v>1190.76</v>
      </c>
    </row>
    <row r="1306" spans="1:7" x14ac:dyDescent="0.25">
      <c r="A1306" s="14" t="s">
        <v>2170</v>
      </c>
      <c r="B1306" s="14">
        <v>17</v>
      </c>
      <c r="C1306" s="15" t="s">
        <v>2180</v>
      </c>
      <c r="D1306" s="14" t="s">
        <v>1749</v>
      </c>
      <c r="E1306" s="14" t="s">
        <v>1746</v>
      </c>
      <c r="F1306" s="25">
        <v>162</v>
      </c>
      <c r="G1306" s="25">
        <v>145.80000000000001</v>
      </c>
    </row>
    <row r="1307" spans="1:7" x14ac:dyDescent="0.25">
      <c r="A1307" s="14" t="s">
        <v>2170</v>
      </c>
      <c r="B1307" s="14">
        <v>2</v>
      </c>
      <c r="C1307" s="15" t="s">
        <v>2171</v>
      </c>
      <c r="D1307" s="14" t="s">
        <v>1752</v>
      </c>
      <c r="E1307" s="14" t="s">
        <v>1747</v>
      </c>
      <c r="F1307" s="25">
        <v>12060</v>
      </c>
      <c r="G1307" s="25">
        <v>8442</v>
      </c>
    </row>
    <row r="1308" spans="1:7" x14ac:dyDescent="0.25">
      <c r="A1308" s="14" t="s">
        <v>2170</v>
      </c>
      <c r="B1308" s="14">
        <v>4</v>
      </c>
      <c r="C1308" s="15" t="s">
        <v>2172</v>
      </c>
      <c r="D1308" s="14" t="s">
        <v>1745</v>
      </c>
      <c r="E1308" s="14" t="s">
        <v>1747</v>
      </c>
      <c r="F1308" s="25">
        <v>1397700</v>
      </c>
      <c r="G1308" s="25">
        <v>978390</v>
      </c>
    </row>
    <row r="1309" spans="1:7" ht="30" x14ac:dyDescent="0.25">
      <c r="A1309" s="14" t="s">
        <v>2170</v>
      </c>
      <c r="B1309" s="14" t="s">
        <v>470</v>
      </c>
      <c r="C1309" s="15" t="s">
        <v>2176</v>
      </c>
      <c r="D1309" s="14" t="s">
        <v>1745</v>
      </c>
      <c r="E1309" s="14" t="s">
        <v>1746</v>
      </c>
      <c r="F1309" s="25">
        <v>12600</v>
      </c>
      <c r="G1309" s="25">
        <v>8820</v>
      </c>
    </row>
    <row r="1310" spans="1:7" x14ac:dyDescent="0.25">
      <c r="A1310" s="14" t="s">
        <v>2170</v>
      </c>
      <c r="B1310" s="14">
        <v>11</v>
      </c>
      <c r="C1310" s="15" t="s">
        <v>2177</v>
      </c>
      <c r="D1310" s="14" t="s">
        <v>1745</v>
      </c>
      <c r="E1310" s="14" t="s">
        <v>1746</v>
      </c>
      <c r="F1310" s="25">
        <v>56637</v>
      </c>
      <c r="G1310" s="25">
        <v>50973.36</v>
      </c>
    </row>
    <row r="1311" spans="1:7" x14ac:dyDescent="0.25">
      <c r="A1311" s="14" t="s">
        <v>2170</v>
      </c>
      <c r="B1311" s="14">
        <v>16</v>
      </c>
      <c r="C1311" s="15" t="s">
        <v>2181</v>
      </c>
      <c r="D1311" s="14" t="s">
        <v>1745</v>
      </c>
      <c r="E1311" s="14" t="s">
        <v>1746</v>
      </c>
      <c r="F1311" s="25">
        <v>2331</v>
      </c>
      <c r="G1311" s="25">
        <v>1631.76</v>
      </c>
    </row>
    <row r="1312" spans="1:7" x14ac:dyDescent="0.25">
      <c r="A1312" s="14" t="s">
        <v>2170</v>
      </c>
      <c r="B1312" s="14">
        <v>2</v>
      </c>
      <c r="C1312" s="15" t="s">
        <v>2171</v>
      </c>
      <c r="D1312" s="14" t="s">
        <v>1745</v>
      </c>
      <c r="E1312" s="14" t="s">
        <v>1746</v>
      </c>
      <c r="F1312" s="25">
        <v>4221</v>
      </c>
      <c r="G1312" s="25">
        <v>2954.76</v>
      </c>
    </row>
    <row r="1313" spans="1:7" ht="30" x14ac:dyDescent="0.25">
      <c r="A1313" s="14" t="s">
        <v>2170</v>
      </c>
      <c r="B1313" s="14" t="s">
        <v>470</v>
      </c>
      <c r="C1313" s="15" t="s">
        <v>2176</v>
      </c>
      <c r="D1313" s="14" t="s">
        <v>1749</v>
      </c>
      <c r="E1313" s="14" t="s">
        <v>1746</v>
      </c>
      <c r="F1313" s="25">
        <v>1200</v>
      </c>
      <c r="G1313" s="25">
        <v>840</v>
      </c>
    </row>
    <row r="1314" spans="1:7" ht="30" x14ac:dyDescent="0.25">
      <c r="A1314" s="14" t="s">
        <v>2170</v>
      </c>
      <c r="B1314" s="14">
        <v>14</v>
      </c>
      <c r="C1314" s="15" t="s">
        <v>2182</v>
      </c>
      <c r="D1314" s="14" t="s">
        <v>1752</v>
      </c>
      <c r="E1314" s="14" t="s">
        <v>1747</v>
      </c>
      <c r="F1314" s="25">
        <v>36000</v>
      </c>
      <c r="G1314" s="25">
        <v>32400</v>
      </c>
    </row>
    <row r="1315" spans="1:7" x14ac:dyDescent="0.25">
      <c r="A1315" s="14" t="s">
        <v>2170</v>
      </c>
      <c r="B1315" s="14">
        <v>11</v>
      </c>
      <c r="C1315" s="15" t="s">
        <v>2177</v>
      </c>
      <c r="D1315" s="14" t="s">
        <v>1752</v>
      </c>
      <c r="E1315" s="14" t="s">
        <v>1747</v>
      </c>
      <c r="F1315" s="25">
        <v>161820</v>
      </c>
      <c r="G1315" s="25">
        <v>145638</v>
      </c>
    </row>
    <row r="1316" spans="1:7" x14ac:dyDescent="0.25">
      <c r="A1316" s="14" t="s">
        <v>2170</v>
      </c>
      <c r="B1316" s="14">
        <v>17</v>
      </c>
      <c r="C1316" s="15" t="s">
        <v>2180</v>
      </c>
      <c r="D1316" s="14" t="s">
        <v>1745</v>
      </c>
      <c r="E1316" s="14" t="s">
        <v>1747</v>
      </c>
      <c r="F1316" s="25">
        <v>1620</v>
      </c>
      <c r="G1316" s="25">
        <v>1458</v>
      </c>
    </row>
    <row r="1317" spans="1:7" x14ac:dyDescent="0.25">
      <c r="A1317" s="14" t="s">
        <v>2170</v>
      </c>
      <c r="B1317" s="14" t="s">
        <v>263</v>
      </c>
      <c r="C1317" s="15" t="s">
        <v>2183</v>
      </c>
      <c r="D1317" s="14" t="s">
        <v>1745</v>
      </c>
      <c r="E1317" s="14" t="s">
        <v>1746</v>
      </c>
      <c r="F1317" s="25">
        <v>587034</v>
      </c>
      <c r="G1317" s="25">
        <v>410923.8</v>
      </c>
    </row>
    <row r="1318" spans="1:7" x14ac:dyDescent="0.25">
      <c r="A1318" s="14" t="s">
        <v>2170</v>
      </c>
      <c r="B1318" s="14" t="s">
        <v>583</v>
      </c>
      <c r="C1318" s="15" t="s">
        <v>2175</v>
      </c>
      <c r="D1318" s="14" t="s">
        <v>1752</v>
      </c>
      <c r="E1318" s="14" t="s">
        <v>1747</v>
      </c>
      <c r="F1318" s="25">
        <v>1677240</v>
      </c>
      <c r="G1318" s="25">
        <v>1509516</v>
      </c>
    </row>
    <row r="1319" spans="1:7" x14ac:dyDescent="0.25">
      <c r="A1319" s="14" t="s">
        <v>2170</v>
      </c>
      <c r="B1319" s="14">
        <v>18</v>
      </c>
      <c r="C1319" s="15" t="s">
        <v>2184</v>
      </c>
      <c r="D1319" s="14" t="s">
        <v>1745</v>
      </c>
      <c r="E1319" s="14" t="s">
        <v>1746</v>
      </c>
      <c r="F1319" s="25">
        <v>56637</v>
      </c>
      <c r="G1319" s="25">
        <v>39645.96</v>
      </c>
    </row>
    <row r="1320" spans="1:7" ht="30" x14ac:dyDescent="0.25">
      <c r="A1320" s="14" t="s">
        <v>2170</v>
      </c>
      <c r="B1320" s="14">
        <v>14</v>
      </c>
      <c r="C1320" s="15" t="s">
        <v>2182</v>
      </c>
      <c r="D1320" s="14" t="s">
        <v>1749</v>
      </c>
      <c r="E1320" s="14" t="s">
        <v>1746</v>
      </c>
      <c r="F1320" s="25">
        <v>1200</v>
      </c>
      <c r="G1320" s="25">
        <v>1080</v>
      </c>
    </row>
    <row r="1321" spans="1:7" x14ac:dyDescent="0.25">
      <c r="A1321" s="14" t="s">
        <v>2170</v>
      </c>
      <c r="B1321" s="14" t="s">
        <v>583</v>
      </c>
      <c r="C1321" s="15" t="s">
        <v>2175</v>
      </c>
      <c r="D1321" s="14" t="s">
        <v>1745</v>
      </c>
      <c r="E1321" s="14" t="s">
        <v>1747</v>
      </c>
      <c r="F1321" s="25">
        <v>559080</v>
      </c>
      <c r="G1321" s="25">
        <v>503172</v>
      </c>
    </row>
    <row r="1322" spans="1:7" x14ac:dyDescent="0.25">
      <c r="A1322" s="14" t="s">
        <v>2170</v>
      </c>
      <c r="B1322" s="14" t="s">
        <v>583</v>
      </c>
      <c r="C1322" s="15" t="s">
        <v>2175</v>
      </c>
      <c r="D1322" s="14" t="s">
        <v>1749</v>
      </c>
      <c r="E1322" s="14" t="s">
        <v>1746</v>
      </c>
      <c r="F1322" s="25">
        <v>55908</v>
      </c>
      <c r="G1322" s="25">
        <v>50317.2</v>
      </c>
    </row>
    <row r="1323" spans="1:7" x14ac:dyDescent="0.25">
      <c r="A1323" s="14" t="s">
        <v>2170</v>
      </c>
      <c r="B1323" s="14">
        <v>3</v>
      </c>
      <c r="C1323" s="15" t="s">
        <v>2174</v>
      </c>
      <c r="D1323" s="14" t="s">
        <v>1745</v>
      </c>
      <c r="E1323" s="14" t="s">
        <v>1747</v>
      </c>
      <c r="F1323" s="25">
        <v>29940</v>
      </c>
      <c r="G1323" s="25">
        <v>20958</v>
      </c>
    </row>
    <row r="1324" spans="1:7" x14ac:dyDescent="0.25">
      <c r="A1324" s="14" t="s">
        <v>2170</v>
      </c>
      <c r="B1324" s="14" t="s">
        <v>263</v>
      </c>
      <c r="C1324" s="15" t="s">
        <v>2183</v>
      </c>
      <c r="D1324" s="14" t="s">
        <v>1745</v>
      </c>
      <c r="E1324" s="14" t="s">
        <v>1747</v>
      </c>
      <c r="F1324" s="25">
        <v>559080</v>
      </c>
      <c r="G1324" s="25">
        <v>391356</v>
      </c>
    </row>
    <row r="1325" spans="1:7" x14ac:dyDescent="0.25">
      <c r="A1325" s="14" t="s">
        <v>2170</v>
      </c>
      <c r="B1325" s="14" t="s">
        <v>263</v>
      </c>
      <c r="C1325" s="15" t="s">
        <v>2183</v>
      </c>
      <c r="D1325" s="14" t="s">
        <v>1749</v>
      </c>
      <c r="E1325" s="14" t="s">
        <v>1746</v>
      </c>
      <c r="F1325" s="25">
        <v>55908</v>
      </c>
      <c r="G1325" s="25">
        <v>39135.599999999999</v>
      </c>
    </row>
    <row r="1326" spans="1:7" x14ac:dyDescent="0.25">
      <c r="A1326" s="14" t="s">
        <v>2170</v>
      </c>
      <c r="B1326" s="14">
        <v>16</v>
      </c>
      <c r="C1326" s="15" t="s">
        <v>2181</v>
      </c>
      <c r="D1326" s="14" t="s">
        <v>1745</v>
      </c>
      <c r="E1326" s="14" t="s">
        <v>1747</v>
      </c>
      <c r="F1326" s="25">
        <v>2220</v>
      </c>
      <c r="G1326" s="25">
        <v>1554</v>
      </c>
    </row>
    <row r="1327" spans="1:7" x14ac:dyDescent="0.25">
      <c r="A1327" s="14" t="s">
        <v>2170</v>
      </c>
      <c r="B1327" s="14">
        <v>1</v>
      </c>
      <c r="C1327" s="15" t="s">
        <v>2178</v>
      </c>
      <c r="D1327" s="14" t="s">
        <v>1745</v>
      </c>
      <c r="E1327" s="14" t="s">
        <v>1746</v>
      </c>
      <c r="F1327" s="25">
        <v>141498</v>
      </c>
      <c r="G1327" s="25">
        <v>99048.6</v>
      </c>
    </row>
    <row r="1328" spans="1:7" x14ac:dyDescent="0.25">
      <c r="A1328" s="14" t="s">
        <v>2170</v>
      </c>
      <c r="B1328" s="14">
        <v>3</v>
      </c>
      <c r="C1328" s="15" t="s">
        <v>2174</v>
      </c>
      <c r="D1328" s="14" t="s">
        <v>1752</v>
      </c>
      <c r="E1328" s="14" t="s">
        <v>1753</v>
      </c>
      <c r="F1328" s="25">
        <v>89820</v>
      </c>
      <c r="G1328" s="25">
        <v>62874</v>
      </c>
    </row>
    <row r="1329" spans="1:7" x14ac:dyDescent="0.25">
      <c r="A1329" s="14" t="s">
        <v>2170</v>
      </c>
      <c r="B1329" s="14">
        <v>4</v>
      </c>
      <c r="C1329" s="15" t="s">
        <v>2172</v>
      </c>
      <c r="D1329" s="14" t="s">
        <v>1745</v>
      </c>
      <c r="E1329" s="14" t="s">
        <v>1746</v>
      </c>
      <c r="F1329" s="25">
        <v>1467585</v>
      </c>
      <c r="G1329" s="25">
        <v>1027310</v>
      </c>
    </row>
    <row r="1330" spans="1:7" x14ac:dyDescent="0.25">
      <c r="A1330" s="14" t="s">
        <v>2170</v>
      </c>
      <c r="B1330" s="14">
        <v>16</v>
      </c>
      <c r="C1330" s="15" t="s">
        <v>2181</v>
      </c>
      <c r="D1330" s="14" t="s">
        <v>1749</v>
      </c>
      <c r="E1330" s="14" t="s">
        <v>1746</v>
      </c>
      <c r="F1330" s="25">
        <v>222</v>
      </c>
      <c r="G1330" s="25">
        <v>155.4</v>
      </c>
    </row>
    <row r="1331" spans="1:7" x14ac:dyDescent="0.25">
      <c r="A1331" s="14" t="s">
        <v>2170</v>
      </c>
      <c r="B1331" s="14">
        <v>19</v>
      </c>
      <c r="C1331" s="15" t="s">
        <v>2179</v>
      </c>
      <c r="D1331" s="14" t="s">
        <v>1745</v>
      </c>
      <c r="E1331" s="14" t="s">
        <v>1747</v>
      </c>
      <c r="F1331" s="25">
        <v>1620</v>
      </c>
      <c r="G1331" s="25">
        <v>1134</v>
      </c>
    </row>
    <row r="1332" spans="1:7" x14ac:dyDescent="0.25">
      <c r="A1332" s="14" t="s">
        <v>2170</v>
      </c>
      <c r="B1332" s="14">
        <v>19</v>
      </c>
      <c r="C1332" s="15" t="s">
        <v>2179</v>
      </c>
      <c r="D1332" s="14" t="s">
        <v>1749</v>
      </c>
      <c r="E1332" s="14" t="s">
        <v>1746</v>
      </c>
      <c r="F1332" s="25">
        <v>162</v>
      </c>
      <c r="G1332" s="25">
        <v>113.4</v>
      </c>
    </row>
    <row r="1333" spans="1:7" x14ac:dyDescent="0.25">
      <c r="A1333" s="14" t="s">
        <v>2170</v>
      </c>
      <c r="B1333" s="14">
        <v>13</v>
      </c>
      <c r="C1333" s="15" t="s">
        <v>2185</v>
      </c>
      <c r="D1333" s="14" t="s">
        <v>1749</v>
      </c>
      <c r="E1333" s="14" t="s">
        <v>1746</v>
      </c>
      <c r="F1333" s="25">
        <v>76872</v>
      </c>
      <c r="G1333" s="25">
        <v>53810.400000000001</v>
      </c>
    </row>
    <row r="1334" spans="1:7" x14ac:dyDescent="0.25">
      <c r="A1334" s="14" t="s">
        <v>2170</v>
      </c>
      <c r="B1334" s="14">
        <v>3</v>
      </c>
      <c r="C1334" s="15" t="s">
        <v>2174</v>
      </c>
      <c r="D1334" s="14" t="s">
        <v>1749</v>
      </c>
      <c r="E1334" s="14" t="s">
        <v>1746</v>
      </c>
      <c r="F1334" s="25">
        <v>2994</v>
      </c>
      <c r="G1334" s="25">
        <v>2095.8000000000002</v>
      </c>
    </row>
    <row r="1335" spans="1:7" ht="30" x14ac:dyDescent="0.25">
      <c r="A1335" s="14" t="s">
        <v>2170</v>
      </c>
      <c r="B1335" s="14">
        <v>14</v>
      </c>
      <c r="C1335" s="15" t="s">
        <v>2182</v>
      </c>
      <c r="D1335" s="14" t="s">
        <v>1752</v>
      </c>
      <c r="E1335" s="14" t="s">
        <v>1746</v>
      </c>
      <c r="F1335" s="25">
        <v>37800</v>
      </c>
      <c r="G1335" s="25">
        <v>34020</v>
      </c>
    </row>
    <row r="1336" spans="1:7" x14ac:dyDescent="0.25">
      <c r="A1336" s="14" t="s">
        <v>2170</v>
      </c>
      <c r="B1336" s="14">
        <v>4</v>
      </c>
      <c r="C1336" s="15" t="s">
        <v>2172</v>
      </c>
      <c r="D1336" s="14" t="s">
        <v>1752</v>
      </c>
      <c r="E1336" s="14" t="s">
        <v>1753</v>
      </c>
      <c r="F1336" s="25">
        <v>4193100</v>
      </c>
      <c r="G1336" s="25">
        <v>2935170</v>
      </c>
    </row>
    <row r="1337" spans="1:7" x14ac:dyDescent="0.25">
      <c r="A1337" s="14" t="s">
        <v>2170</v>
      </c>
      <c r="B1337" s="14">
        <v>12</v>
      </c>
      <c r="C1337" s="15" t="s">
        <v>2186</v>
      </c>
      <c r="D1337" s="14" t="s">
        <v>1745</v>
      </c>
      <c r="E1337" s="14" t="s">
        <v>1746</v>
      </c>
      <c r="F1337" s="25">
        <v>77805</v>
      </c>
      <c r="G1337" s="25">
        <v>54463.56</v>
      </c>
    </row>
    <row r="1338" spans="1:7" x14ac:dyDescent="0.25">
      <c r="A1338" s="14" t="s">
        <v>2170</v>
      </c>
      <c r="B1338" s="14">
        <v>1</v>
      </c>
      <c r="C1338" s="15" t="s">
        <v>2178</v>
      </c>
      <c r="D1338" s="14" t="s">
        <v>1752</v>
      </c>
      <c r="E1338" s="14" t="s">
        <v>1746</v>
      </c>
      <c r="F1338" s="25">
        <v>424494</v>
      </c>
      <c r="G1338" s="25">
        <v>297145.8</v>
      </c>
    </row>
    <row r="1339" spans="1:7" x14ac:dyDescent="0.25">
      <c r="A1339" s="14" t="s">
        <v>2170</v>
      </c>
      <c r="B1339" s="14">
        <v>13</v>
      </c>
      <c r="C1339" s="15" t="s">
        <v>2185</v>
      </c>
      <c r="D1339" s="14" t="s">
        <v>1745</v>
      </c>
      <c r="E1339" s="14" t="s">
        <v>1747</v>
      </c>
      <c r="F1339" s="25">
        <v>768720</v>
      </c>
      <c r="G1339" s="25">
        <v>538104</v>
      </c>
    </row>
    <row r="1340" spans="1:7" x14ac:dyDescent="0.25">
      <c r="A1340" s="14" t="s">
        <v>2170</v>
      </c>
      <c r="B1340" s="14">
        <v>13</v>
      </c>
      <c r="C1340" s="15" t="s">
        <v>2185</v>
      </c>
      <c r="D1340" s="14" t="s">
        <v>1745</v>
      </c>
      <c r="E1340" s="14" t="s">
        <v>1746</v>
      </c>
      <c r="F1340" s="25">
        <v>807156</v>
      </c>
      <c r="G1340" s="25">
        <v>565009.19999999995</v>
      </c>
    </row>
    <row r="1341" spans="1:7" x14ac:dyDescent="0.25">
      <c r="A1341" s="14" t="s">
        <v>2170</v>
      </c>
      <c r="B1341" s="14">
        <v>17</v>
      </c>
      <c r="C1341" s="15" t="s">
        <v>2180</v>
      </c>
      <c r="D1341" s="14" t="s">
        <v>1745</v>
      </c>
      <c r="E1341" s="14" t="s">
        <v>1746</v>
      </c>
      <c r="F1341" s="25">
        <v>1701</v>
      </c>
      <c r="G1341" s="25">
        <v>1530.96</v>
      </c>
    </row>
    <row r="1342" spans="1:7" x14ac:dyDescent="0.25">
      <c r="A1342" s="14" t="s">
        <v>2170</v>
      </c>
      <c r="B1342" s="14">
        <v>12</v>
      </c>
      <c r="C1342" s="15" t="s">
        <v>2186</v>
      </c>
      <c r="D1342" s="14" t="s">
        <v>1749</v>
      </c>
      <c r="E1342" s="14" t="s">
        <v>1746</v>
      </c>
      <c r="F1342" s="25">
        <v>7410</v>
      </c>
      <c r="G1342" s="25">
        <v>5187</v>
      </c>
    </row>
    <row r="1343" spans="1:7" x14ac:dyDescent="0.25">
      <c r="A1343" s="14" t="s">
        <v>2170</v>
      </c>
      <c r="B1343" s="14" t="s">
        <v>583</v>
      </c>
      <c r="C1343" s="15" t="s">
        <v>2175</v>
      </c>
      <c r="D1343" s="14" t="s">
        <v>1752</v>
      </c>
      <c r="E1343" s="14" t="s">
        <v>1746</v>
      </c>
      <c r="F1343" s="25">
        <v>1761102</v>
      </c>
      <c r="G1343" s="25">
        <v>1584992</v>
      </c>
    </row>
    <row r="1344" spans="1:7" x14ac:dyDescent="0.25">
      <c r="A1344" s="14" t="s">
        <v>2170</v>
      </c>
      <c r="B1344" s="14">
        <v>17</v>
      </c>
      <c r="C1344" s="15" t="s">
        <v>2180</v>
      </c>
      <c r="D1344" s="14" t="s">
        <v>1752</v>
      </c>
      <c r="E1344" s="14" t="s">
        <v>1747</v>
      </c>
      <c r="F1344" s="25">
        <v>4860</v>
      </c>
      <c r="G1344" s="25">
        <v>4374</v>
      </c>
    </row>
    <row r="1345" spans="1:7" x14ac:dyDescent="0.25">
      <c r="A1345" s="14" t="s">
        <v>2170</v>
      </c>
      <c r="B1345" s="14">
        <v>18</v>
      </c>
      <c r="C1345" s="15" t="s">
        <v>2184</v>
      </c>
      <c r="D1345" s="14" t="s">
        <v>1749</v>
      </c>
      <c r="E1345" s="14" t="s">
        <v>1746</v>
      </c>
      <c r="F1345" s="25">
        <v>5394</v>
      </c>
      <c r="G1345" s="25">
        <v>3775.8</v>
      </c>
    </row>
    <row r="1346" spans="1:7" x14ac:dyDescent="0.25">
      <c r="A1346" s="14" t="s">
        <v>2170</v>
      </c>
      <c r="B1346" s="14">
        <v>11</v>
      </c>
      <c r="C1346" s="15" t="s">
        <v>2177</v>
      </c>
      <c r="D1346" s="14" t="s">
        <v>1745</v>
      </c>
      <c r="E1346" s="14" t="s">
        <v>1747</v>
      </c>
      <c r="F1346" s="25">
        <v>53940</v>
      </c>
      <c r="G1346" s="25">
        <v>48546</v>
      </c>
    </row>
    <row r="1347" spans="1:7" x14ac:dyDescent="0.25">
      <c r="A1347" s="14" t="s">
        <v>2170</v>
      </c>
      <c r="B1347" s="14">
        <v>18</v>
      </c>
      <c r="C1347" s="15" t="s">
        <v>2184</v>
      </c>
      <c r="D1347" s="14" t="s">
        <v>1745</v>
      </c>
      <c r="E1347" s="14" t="s">
        <v>1747</v>
      </c>
      <c r="F1347" s="25">
        <v>53940</v>
      </c>
      <c r="G1347" s="25">
        <v>37758</v>
      </c>
    </row>
    <row r="1348" spans="1:7" ht="30" x14ac:dyDescent="0.25">
      <c r="A1348" s="14" t="s">
        <v>2170</v>
      </c>
      <c r="B1348" s="14">
        <v>14</v>
      </c>
      <c r="C1348" s="15" t="s">
        <v>2182</v>
      </c>
      <c r="D1348" s="14" t="s">
        <v>1745</v>
      </c>
      <c r="E1348" s="14" t="s">
        <v>1746</v>
      </c>
      <c r="F1348" s="25">
        <v>12600</v>
      </c>
      <c r="G1348" s="25">
        <v>11340</v>
      </c>
    </row>
    <row r="1349" spans="1:7" ht="30" x14ac:dyDescent="0.25">
      <c r="A1349" s="14" t="s">
        <v>2170</v>
      </c>
      <c r="B1349" s="14">
        <v>15</v>
      </c>
      <c r="C1349" s="15" t="s">
        <v>2173</v>
      </c>
      <c r="D1349" s="14" t="s">
        <v>1745</v>
      </c>
      <c r="E1349" s="14" t="s">
        <v>1747</v>
      </c>
      <c r="F1349" s="25">
        <v>16500</v>
      </c>
      <c r="G1349" s="25">
        <v>11550</v>
      </c>
    </row>
    <row r="1350" spans="1:7" x14ac:dyDescent="0.25">
      <c r="A1350" s="14" t="s">
        <v>2170</v>
      </c>
      <c r="B1350" s="14">
        <v>12</v>
      </c>
      <c r="C1350" s="15" t="s">
        <v>2186</v>
      </c>
      <c r="D1350" s="14" t="s">
        <v>1745</v>
      </c>
      <c r="E1350" s="14" t="s">
        <v>1747</v>
      </c>
      <c r="F1350" s="25">
        <v>74100</v>
      </c>
      <c r="G1350" s="25">
        <v>51870</v>
      </c>
    </row>
    <row r="1351" spans="1:7" x14ac:dyDescent="0.25">
      <c r="A1351" s="14" t="s">
        <v>2170</v>
      </c>
      <c r="B1351" s="14">
        <v>1</v>
      </c>
      <c r="C1351" s="15" t="s">
        <v>2178</v>
      </c>
      <c r="D1351" s="14" t="s">
        <v>1752</v>
      </c>
      <c r="E1351" s="14" t="s">
        <v>1753</v>
      </c>
      <c r="F1351" s="25">
        <v>404280</v>
      </c>
      <c r="G1351" s="25">
        <v>282996</v>
      </c>
    </row>
    <row r="1352" spans="1:7" x14ac:dyDescent="0.25">
      <c r="A1352" s="14" t="s">
        <v>2170</v>
      </c>
      <c r="B1352" s="14">
        <v>1</v>
      </c>
      <c r="C1352" s="15" t="s">
        <v>2178</v>
      </c>
      <c r="D1352" s="14" t="s">
        <v>1745</v>
      </c>
      <c r="E1352" s="14" t="s">
        <v>1747</v>
      </c>
      <c r="F1352" s="25">
        <v>134760</v>
      </c>
      <c r="G1352" s="25">
        <v>94332</v>
      </c>
    </row>
    <row r="1353" spans="1:7" ht="30" x14ac:dyDescent="0.25">
      <c r="A1353" s="14" t="s">
        <v>2170</v>
      </c>
      <c r="B1353" s="14">
        <v>14</v>
      </c>
      <c r="C1353" s="15" t="s">
        <v>2182</v>
      </c>
      <c r="D1353" s="14" t="s">
        <v>1745</v>
      </c>
      <c r="E1353" s="14" t="s">
        <v>1747</v>
      </c>
      <c r="F1353" s="25">
        <v>12000</v>
      </c>
      <c r="G1353" s="25">
        <v>10800</v>
      </c>
    </row>
    <row r="1354" spans="1:7" x14ac:dyDescent="0.25">
      <c r="A1354" s="14" t="s">
        <v>2170</v>
      </c>
      <c r="B1354" s="14">
        <v>2</v>
      </c>
      <c r="C1354" s="15" t="s">
        <v>2171</v>
      </c>
      <c r="D1354" s="14" t="s">
        <v>1752</v>
      </c>
      <c r="E1354" s="14" t="s">
        <v>1753</v>
      </c>
      <c r="F1354" s="25">
        <v>12060</v>
      </c>
      <c r="G1354" s="25">
        <v>8442</v>
      </c>
    </row>
    <row r="1355" spans="1:7" x14ac:dyDescent="0.25">
      <c r="A1355" s="14" t="s">
        <v>2170</v>
      </c>
      <c r="B1355" s="14">
        <v>4</v>
      </c>
      <c r="C1355" s="15" t="s">
        <v>2172</v>
      </c>
      <c r="D1355" s="14" t="s">
        <v>1752</v>
      </c>
      <c r="E1355" s="14" t="s">
        <v>1746</v>
      </c>
      <c r="F1355" s="25">
        <v>4402755</v>
      </c>
      <c r="G1355" s="25">
        <v>3081929</v>
      </c>
    </row>
    <row r="1356" spans="1:7" x14ac:dyDescent="0.25">
      <c r="A1356" s="14" t="s">
        <v>2170</v>
      </c>
      <c r="B1356" s="14">
        <v>11</v>
      </c>
      <c r="C1356" s="15" t="s">
        <v>2177</v>
      </c>
      <c r="D1356" s="14" t="s">
        <v>1752</v>
      </c>
      <c r="E1356" s="14" t="s">
        <v>1746</v>
      </c>
      <c r="F1356" s="25">
        <v>169911</v>
      </c>
      <c r="G1356" s="25">
        <v>152920.1</v>
      </c>
    </row>
    <row r="1357" spans="1:7" x14ac:dyDescent="0.25">
      <c r="A1357" s="14" t="s">
        <v>2170</v>
      </c>
      <c r="B1357" s="14">
        <v>1</v>
      </c>
      <c r="C1357" s="15" t="s">
        <v>2178</v>
      </c>
      <c r="D1357" s="14" t="s">
        <v>1749</v>
      </c>
      <c r="E1357" s="14" t="s">
        <v>1746</v>
      </c>
      <c r="F1357" s="25">
        <v>13476</v>
      </c>
      <c r="G1357" s="25">
        <v>9433.2000000000007</v>
      </c>
    </row>
    <row r="1358" spans="1:7" x14ac:dyDescent="0.25">
      <c r="A1358" s="14" t="s">
        <v>2170</v>
      </c>
      <c r="B1358" s="14">
        <v>17</v>
      </c>
      <c r="C1358" s="15" t="s">
        <v>2180</v>
      </c>
      <c r="D1358" s="14" t="s">
        <v>1752</v>
      </c>
      <c r="E1358" s="14" t="s">
        <v>1746</v>
      </c>
      <c r="F1358" s="25">
        <v>5103</v>
      </c>
      <c r="G1358" s="25">
        <v>4592.88</v>
      </c>
    </row>
    <row r="1359" spans="1:7" x14ac:dyDescent="0.25">
      <c r="A1359" s="14" t="s">
        <v>2187</v>
      </c>
      <c r="B1359" s="14" t="s">
        <v>73</v>
      </c>
      <c r="C1359" s="15" t="s">
        <v>2188</v>
      </c>
      <c r="D1359" s="14" t="s">
        <v>1749</v>
      </c>
      <c r="E1359" s="14" t="s">
        <v>1746</v>
      </c>
      <c r="F1359" s="25">
        <v>11982</v>
      </c>
      <c r="G1359" s="25">
        <v>10783.8</v>
      </c>
    </row>
    <row r="1360" spans="1:7" x14ac:dyDescent="0.25">
      <c r="A1360" s="14" t="s">
        <v>2187</v>
      </c>
      <c r="B1360" s="14" t="s">
        <v>24</v>
      </c>
      <c r="C1360" s="15" t="s">
        <v>2189</v>
      </c>
      <c r="D1360" s="14" t="s">
        <v>1749</v>
      </c>
      <c r="E1360" s="14" t="s">
        <v>1746</v>
      </c>
      <c r="F1360" s="25">
        <v>0</v>
      </c>
      <c r="G1360" s="25">
        <v>0</v>
      </c>
    </row>
    <row r="1361" spans="1:7" x14ac:dyDescent="0.25">
      <c r="A1361" s="14" t="s">
        <v>2187</v>
      </c>
      <c r="B1361" s="14" t="s">
        <v>20</v>
      </c>
      <c r="C1361" s="15" t="s">
        <v>2190</v>
      </c>
      <c r="D1361" s="14" t="s">
        <v>1745</v>
      </c>
      <c r="E1361" s="14" t="s">
        <v>1747</v>
      </c>
      <c r="F1361" s="25">
        <v>0</v>
      </c>
      <c r="G1361" s="25">
        <v>0</v>
      </c>
    </row>
    <row r="1362" spans="1:7" x14ac:dyDescent="0.25">
      <c r="A1362" s="14" t="s">
        <v>2187</v>
      </c>
      <c r="B1362" s="14" t="s">
        <v>55</v>
      </c>
      <c r="C1362" s="15" t="s">
        <v>2191</v>
      </c>
      <c r="D1362" s="14" t="s">
        <v>1745</v>
      </c>
      <c r="E1362" s="14" t="s">
        <v>1746</v>
      </c>
      <c r="F1362" s="25">
        <v>125811</v>
      </c>
      <c r="G1362" s="25">
        <v>88067.76</v>
      </c>
    </row>
    <row r="1363" spans="1:7" x14ac:dyDescent="0.25">
      <c r="A1363" s="14" t="s">
        <v>2187</v>
      </c>
      <c r="B1363" s="14">
        <v>4</v>
      </c>
      <c r="C1363" s="15" t="s">
        <v>2192</v>
      </c>
      <c r="D1363" s="14" t="s">
        <v>1745</v>
      </c>
      <c r="E1363" s="14" t="s">
        <v>1747</v>
      </c>
      <c r="F1363" s="25">
        <v>0</v>
      </c>
      <c r="G1363" s="25">
        <v>0</v>
      </c>
    </row>
    <row r="1364" spans="1:7" x14ac:dyDescent="0.25">
      <c r="A1364" s="14" t="s">
        <v>2187</v>
      </c>
      <c r="B1364" s="14" t="s">
        <v>34</v>
      </c>
      <c r="C1364" s="15" t="s">
        <v>2193</v>
      </c>
      <c r="D1364" s="14" t="s">
        <v>1745</v>
      </c>
      <c r="E1364" s="14" t="s">
        <v>1746</v>
      </c>
      <c r="F1364" s="25">
        <v>0</v>
      </c>
      <c r="G1364" s="25">
        <v>0</v>
      </c>
    </row>
    <row r="1365" spans="1:7" x14ac:dyDescent="0.25">
      <c r="A1365" s="14" t="s">
        <v>2187</v>
      </c>
      <c r="B1365" s="14" t="s">
        <v>89</v>
      </c>
      <c r="C1365" s="15" t="s">
        <v>2194</v>
      </c>
      <c r="D1365" s="14" t="s">
        <v>1749</v>
      </c>
      <c r="E1365" s="14" t="s">
        <v>1746</v>
      </c>
      <c r="F1365" s="25">
        <v>16470</v>
      </c>
      <c r="G1365" s="25">
        <v>11529</v>
      </c>
    </row>
    <row r="1366" spans="1:7" x14ac:dyDescent="0.25">
      <c r="A1366" s="14" t="s">
        <v>2187</v>
      </c>
      <c r="B1366" s="14" t="s">
        <v>34</v>
      </c>
      <c r="C1366" s="15" t="s">
        <v>2193</v>
      </c>
      <c r="D1366" s="14" t="s">
        <v>1749</v>
      </c>
      <c r="E1366" s="14" t="s">
        <v>1746</v>
      </c>
      <c r="F1366" s="25">
        <v>0</v>
      </c>
      <c r="G1366" s="25">
        <v>0</v>
      </c>
    </row>
    <row r="1367" spans="1:7" x14ac:dyDescent="0.25">
      <c r="A1367" s="14" t="s">
        <v>2187</v>
      </c>
      <c r="B1367" s="14" t="s">
        <v>55</v>
      </c>
      <c r="C1367" s="15" t="s">
        <v>2191</v>
      </c>
      <c r="D1367" s="14" t="s">
        <v>1749</v>
      </c>
      <c r="E1367" s="14" t="s">
        <v>1746</v>
      </c>
      <c r="F1367" s="25">
        <v>11982</v>
      </c>
      <c r="G1367" s="25">
        <v>8387.4</v>
      </c>
    </row>
    <row r="1368" spans="1:7" x14ac:dyDescent="0.25">
      <c r="A1368" s="14" t="s">
        <v>2187</v>
      </c>
      <c r="B1368" s="14" t="s">
        <v>73</v>
      </c>
      <c r="C1368" s="15" t="s">
        <v>2188</v>
      </c>
      <c r="D1368" s="14" t="s">
        <v>1745</v>
      </c>
      <c r="E1368" s="14" t="s">
        <v>1746</v>
      </c>
      <c r="F1368" s="25">
        <v>125811</v>
      </c>
      <c r="G1368" s="25">
        <v>113230</v>
      </c>
    </row>
    <row r="1369" spans="1:7" x14ac:dyDescent="0.25">
      <c r="A1369" s="14" t="s">
        <v>2187</v>
      </c>
      <c r="B1369" s="14" t="s">
        <v>34</v>
      </c>
      <c r="C1369" s="15" t="s">
        <v>2193</v>
      </c>
      <c r="D1369" s="14" t="s">
        <v>1745</v>
      </c>
      <c r="E1369" s="14" t="s">
        <v>1747</v>
      </c>
      <c r="F1369" s="25">
        <v>0</v>
      </c>
      <c r="G1369" s="25">
        <v>0</v>
      </c>
    </row>
    <row r="1370" spans="1:7" x14ac:dyDescent="0.25">
      <c r="A1370" s="14" t="s">
        <v>2187</v>
      </c>
      <c r="B1370" s="14">
        <v>4</v>
      </c>
      <c r="C1370" s="15" t="s">
        <v>2192</v>
      </c>
      <c r="D1370" s="14" t="s">
        <v>1745</v>
      </c>
      <c r="E1370" s="14" t="s">
        <v>1746</v>
      </c>
      <c r="F1370" s="25">
        <v>0</v>
      </c>
      <c r="G1370" s="25">
        <v>0</v>
      </c>
    </row>
    <row r="1371" spans="1:7" x14ac:dyDescent="0.25">
      <c r="A1371" s="14" t="s">
        <v>2187</v>
      </c>
      <c r="B1371" s="14" t="s">
        <v>20</v>
      </c>
      <c r="C1371" s="15" t="s">
        <v>2190</v>
      </c>
      <c r="D1371" s="14" t="s">
        <v>1745</v>
      </c>
      <c r="E1371" s="14" t="s">
        <v>1746</v>
      </c>
      <c r="F1371" s="25">
        <v>0</v>
      </c>
      <c r="G1371" s="25">
        <v>0</v>
      </c>
    </row>
    <row r="1372" spans="1:7" x14ac:dyDescent="0.25">
      <c r="A1372" s="14" t="s">
        <v>2187</v>
      </c>
      <c r="B1372" s="14">
        <v>3</v>
      </c>
      <c r="C1372" s="15" t="s">
        <v>2195</v>
      </c>
      <c r="D1372" s="14" t="s">
        <v>1745</v>
      </c>
      <c r="E1372" s="14" t="s">
        <v>1747</v>
      </c>
      <c r="F1372" s="25">
        <v>299520</v>
      </c>
      <c r="G1372" s="25">
        <v>209664</v>
      </c>
    </row>
    <row r="1373" spans="1:7" x14ac:dyDescent="0.25">
      <c r="A1373" s="14" t="s">
        <v>2187</v>
      </c>
      <c r="B1373" s="14" t="s">
        <v>24</v>
      </c>
      <c r="C1373" s="15" t="s">
        <v>2189</v>
      </c>
      <c r="D1373" s="14" t="s">
        <v>1745</v>
      </c>
      <c r="E1373" s="14" t="s">
        <v>1747</v>
      </c>
      <c r="F1373" s="25">
        <v>0</v>
      </c>
      <c r="G1373" s="25">
        <v>0</v>
      </c>
    </row>
    <row r="1374" spans="1:7" x14ac:dyDescent="0.25">
      <c r="A1374" s="14" t="s">
        <v>2187</v>
      </c>
      <c r="B1374" s="14" t="s">
        <v>24</v>
      </c>
      <c r="C1374" s="15" t="s">
        <v>2189</v>
      </c>
      <c r="D1374" s="14" t="s">
        <v>1745</v>
      </c>
      <c r="E1374" s="14" t="s">
        <v>1746</v>
      </c>
      <c r="F1374" s="25">
        <v>0</v>
      </c>
      <c r="G1374" s="25">
        <v>0</v>
      </c>
    </row>
    <row r="1375" spans="1:7" x14ac:dyDescent="0.25">
      <c r="A1375" s="14" t="s">
        <v>2187</v>
      </c>
      <c r="B1375" s="14" t="s">
        <v>89</v>
      </c>
      <c r="C1375" s="15" t="s">
        <v>2194</v>
      </c>
      <c r="D1375" s="14" t="s">
        <v>1745</v>
      </c>
      <c r="E1375" s="14" t="s">
        <v>1747</v>
      </c>
      <c r="F1375" s="25">
        <v>164700</v>
      </c>
      <c r="G1375" s="25">
        <v>115290</v>
      </c>
    </row>
    <row r="1376" spans="1:7" x14ac:dyDescent="0.25">
      <c r="A1376" s="14" t="s">
        <v>2187</v>
      </c>
      <c r="B1376" s="14">
        <v>4</v>
      </c>
      <c r="C1376" s="15" t="s">
        <v>2192</v>
      </c>
      <c r="D1376" s="14" t="s">
        <v>1749</v>
      </c>
      <c r="E1376" s="14" t="s">
        <v>1746</v>
      </c>
      <c r="F1376" s="25">
        <v>0</v>
      </c>
      <c r="G1376" s="25">
        <v>0</v>
      </c>
    </row>
    <row r="1377" spans="1:7" x14ac:dyDescent="0.25">
      <c r="A1377" s="14" t="s">
        <v>2187</v>
      </c>
      <c r="B1377" s="14">
        <v>3</v>
      </c>
      <c r="C1377" s="15" t="s">
        <v>2195</v>
      </c>
      <c r="D1377" s="14" t="s">
        <v>1745</v>
      </c>
      <c r="E1377" s="14" t="s">
        <v>1746</v>
      </c>
      <c r="F1377" s="25">
        <v>314496</v>
      </c>
      <c r="G1377" s="25">
        <v>220147.20000000001</v>
      </c>
    </row>
    <row r="1378" spans="1:7" x14ac:dyDescent="0.25">
      <c r="A1378" s="14" t="s">
        <v>2187</v>
      </c>
      <c r="B1378" s="14" t="s">
        <v>20</v>
      </c>
      <c r="C1378" s="15" t="s">
        <v>2190</v>
      </c>
      <c r="D1378" s="14" t="s">
        <v>1749</v>
      </c>
      <c r="E1378" s="14" t="s">
        <v>1746</v>
      </c>
      <c r="F1378" s="25">
        <v>0</v>
      </c>
      <c r="G1378" s="25">
        <v>0</v>
      </c>
    </row>
    <row r="1379" spans="1:7" x14ac:dyDescent="0.25">
      <c r="A1379" s="14" t="s">
        <v>2187</v>
      </c>
      <c r="B1379" s="14" t="s">
        <v>55</v>
      </c>
      <c r="C1379" s="15" t="s">
        <v>2191</v>
      </c>
      <c r="D1379" s="14" t="s">
        <v>1745</v>
      </c>
      <c r="E1379" s="14" t="s">
        <v>1747</v>
      </c>
      <c r="F1379" s="25">
        <v>119820</v>
      </c>
      <c r="G1379" s="25">
        <v>83874</v>
      </c>
    </row>
    <row r="1380" spans="1:7" x14ac:dyDescent="0.25">
      <c r="A1380" s="14" t="s">
        <v>2187</v>
      </c>
      <c r="B1380" s="14" t="s">
        <v>89</v>
      </c>
      <c r="C1380" s="15" t="s">
        <v>2194</v>
      </c>
      <c r="D1380" s="14" t="s">
        <v>1745</v>
      </c>
      <c r="E1380" s="14" t="s">
        <v>1746</v>
      </c>
      <c r="F1380" s="25">
        <v>172935</v>
      </c>
      <c r="G1380" s="25">
        <v>121054.6</v>
      </c>
    </row>
    <row r="1381" spans="1:7" x14ac:dyDescent="0.25">
      <c r="A1381" s="14" t="s">
        <v>2187</v>
      </c>
      <c r="B1381" s="14" t="s">
        <v>73</v>
      </c>
      <c r="C1381" s="15" t="s">
        <v>2188</v>
      </c>
      <c r="D1381" s="14" t="s">
        <v>1745</v>
      </c>
      <c r="E1381" s="14" t="s">
        <v>1747</v>
      </c>
      <c r="F1381" s="25">
        <v>119820</v>
      </c>
      <c r="G1381" s="25">
        <v>107838</v>
      </c>
    </row>
    <row r="1382" spans="1:7" x14ac:dyDescent="0.25">
      <c r="A1382" s="14" t="s">
        <v>2187</v>
      </c>
      <c r="B1382" s="14">
        <v>3</v>
      </c>
      <c r="C1382" s="15" t="s">
        <v>2195</v>
      </c>
      <c r="D1382" s="14" t="s">
        <v>1749</v>
      </c>
      <c r="E1382" s="14" t="s">
        <v>1746</v>
      </c>
      <c r="F1382" s="25">
        <v>29952</v>
      </c>
      <c r="G1382" s="25">
        <v>20966.400000000001</v>
      </c>
    </row>
    <row r="1383" spans="1:7" x14ac:dyDescent="0.25">
      <c r="A1383" s="14" t="s">
        <v>2196</v>
      </c>
      <c r="B1383" s="14">
        <v>4</v>
      </c>
      <c r="C1383" s="15" t="s">
        <v>2197</v>
      </c>
      <c r="D1383" s="14" t="s">
        <v>1749</v>
      </c>
      <c r="E1383" s="14" t="s">
        <v>1746</v>
      </c>
      <c r="F1383" s="25">
        <v>4992</v>
      </c>
      <c r="G1383" s="25">
        <v>3744</v>
      </c>
    </row>
    <row r="1384" spans="1:7" x14ac:dyDescent="0.25">
      <c r="A1384" s="14" t="s">
        <v>2196</v>
      </c>
      <c r="B1384" s="14">
        <v>1</v>
      </c>
      <c r="C1384" s="15" t="s">
        <v>2198</v>
      </c>
      <c r="D1384" s="14" t="s">
        <v>1749</v>
      </c>
      <c r="E1384" s="14" t="s">
        <v>1746</v>
      </c>
      <c r="F1384" s="25">
        <v>12480</v>
      </c>
      <c r="G1384" s="25">
        <v>9360</v>
      </c>
    </row>
    <row r="1385" spans="1:7" x14ac:dyDescent="0.25">
      <c r="A1385" s="14" t="s">
        <v>2196</v>
      </c>
      <c r="B1385" s="14">
        <v>4</v>
      </c>
      <c r="C1385" s="15" t="s">
        <v>2197</v>
      </c>
      <c r="D1385" s="14" t="s">
        <v>1745</v>
      </c>
      <c r="E1385" s="14" t="s">
        <v>1747</v>
      </c>
      <c r="F1385" s="25">
        <v>49920</v>
      </c>
      <c r="G1385" s="25">
        <v>37440</v>
      </c>
    </row>
    <row r="1386" spans="1:7" x14ac:dyDescent="0.25">
      <c r="A1386" s="14" t="s">
        <v>2196</v>
      </c>
      <c r="B1386" s="14">
        <v>2</v>
      </c>
      <c r="C1386" s="15" t="s">
        <v>2199</v>
      </c>
      <c r="D1386" s="14" t="s">
        <v>1745</v>
      </c>
      <c r="E1386" s="14" t="s">
        <v>1746</v>
      </c>
      <c r="F1386" s="25">
        <v>72072</v>
      </c>
      <c r="G1386" s="25">
        <v>54054</v>
      </c>
    </row>
    <row r="1387" spans="1:7" x14ac:dyDescent="0.25">
      <c r="A1387" s="14" t="s">
        <v>2196</v>
      </c>
      <c r="B1387" s="14">
        <v>3</v>
      </c>
      <c r="C1387" s="15" t="s">
        <v>2200</v>
      </c>
      <c r="D1387" s="14" t="s">
        <v>1745</v>
      </c>
      <c r="E1387" s="14" t="s">
        <v>1746</v>
      </c>
      <c r="F1387" s="25">
        <v>32760</v>
      </c>
      <c r="G1387" s="25">
        <v>29484</v>
      </c>
    </row>
    <row r="1388" spans="1:7" x14ac:dyDescent="0.25">
      <c r="A1388" s="14" t="s">
        <v>2196</v>
      </c>
      <c r="B1388" s="14">
        <v>1</v>
      </c>
      <c r="C1388" s="15" t="s">
        <v>2198</v>
      </c>
      <c r="D1388" s="14" t="s">
        <v>1745</v>
      </c>
      <c r="E1388" s="14" t="s">
        <v>1747</v>
      </c>
      <c r="F1388" s="25">
        <v>124800</v>
      </c>
      <c r="G1388" s="25">
        <v>93600</v>
      </c>
    </row>
    <row r="1389" spans="1:7" x14ac:dyDescent="0.25">
      <c r="A1389" s="14" t="s">
        <v>2196</v>
      </c>
      <c r="B1389" s="14">
        <v>2</v>
      </c>
      <c r="C1389" s="15" t="s">
        <v>2199</v>
      </c>
      <c r="D1389" s="14" t="s">
        <v>1749</v>
      </c>
      <c r="E1389" s="14" t="s">
        <v>1746</v>
      </c>
      <c r="F1389" s="25">
        <v>6864</v>
      </c>
      <c r="G1389" s="25">
        <v>5148</v>
      </c>
    </row>
    <row r="1390" spans="1:7" x14ac:dyDescent="0.25">
      <c r="A1390" s="14" t="s">
        <v>2196</v>
      </c>
      <c r="B1390" s="14">
        <v>3</v>
      </c>
      <c r="C1390" s="15" t="s">
        <v>2200</v>
      </c>
      <c r="D1390" s="14" t="s">
        <v>1749</v>
      </c>
      <c r="E1390" s="14" t="s">
        <v>1746</v>
      </c>
      <c r="F1390" s="25">
        <v>3120</v>
      </c>
      <c r="G1390" s="25">
        <v>2808</v>
      </c>
    </row>
    <row r="1391" spans="1:7" x14ac:dyDescent="0.25">
      <c r="A1391" s="14" t="s">
        <v>2196</v>
      </c>
      <c r="B1391" s="14">
        <v>4</v>
      </c>
      <c r="C1391" s="15" t="s">
        <v>2197</v>
      </c>
      <c r="D1391" s="14" t="s">
        <v>1745</v>
      </c>
      <c r="E1391" s="14" t="s">
        <v>1746</v>
      </c>
      <c r="F1391" s="25">
        <v>52416</v>
      </c>
      <c r="G1391" s="25">
        <v>39312</v>
      </c>
    </row>
    <row r="1392" spans="1:7" x14ac:dyDescent="0.25">
      <c r="A1392" s="14" t="s">
        <v>2196</v>
      </c>
      <c r="B1392" s="14">
        <v>3</v>
      </c>
      <c r="C1392" s="15" t="s">
        <v>2200</v>
      </c>
      <c r="D1392" s="14" t="s">
        <v>1745</v>
      </c>
      <c r="E1392" s="14" t="s">
        <v>1747</v>
      </c>
      <c r="F1392" s="25">
        <v>31200</v>
      </c>
      <c r="G1392" s="25">
        <v>28080</v>
      </c>
    </row>
    <row r="1393" spans="1:7" x14ac:dyDescent="0.25">
      <c r="A1393" s="14" t="s">
        <v>2196</v>
      </c>
      <c r="B1393" s="14">
        <v>1</v>
      </c>
      <c r="C1393" s="15" t="s">
        <v>2198</v>
      </c>
      <c r="D1393" s="14" t="s">
        <v>1745</v>
      </c>
      <c r="E1393" s="14" t="s">
        <v>1746</v>
      </c>
      <c r="F1393" s="25">
        <v>131040</v>
      </c>
      <c r="G1393" s="25">
        <v>98280</v>
      </c>
    </row>
    <row r="1394" spans="1:7" x14ac:dyDescent="0.25">
      <c r="A1394" s="14" t="s">
        <v>2196</v>
      </c>
      <c r="B1394" s="14">
        <v>2</v>
      </c>
      <c r="C1394" s="15" t="s">
        <v>2199</v>
      </c>
      <c r="D1394" s="14" t="s">
        <v>1745</v>
      </c>
      <c r="E1394" s="14" t="s">
        <v>1747</v>
      </c>
      <c r="F1394" s="25">
        <v>68640</v>
      </c>
      <c r="G1394" s="25">
        <v>51480</v>
      </c>
    </row>
    <row r="1395" spans="1:7" x14ac:dyDescent="0.25">
      <c r="A1395" s="14" t="s">
        <v>2201</v>
      </c>
      <c r="B1395" s="14">
        <v>1</v>
      </c>
      <c r="C1395" s="15" t="s">
        <v>2202</v>
      </c>
      <c r="D1395" s="14" t="s">
        <v>1749</v>
      </c>
      <c r="E1395" s="14" t="s">
        <v>1746</v>
      </c>
      <c r="F1395" s="25">
        <v>3996</v>
      </c>
      <c r="G1395" s="25">
        <v>2797.2</v>
      </c>
    </row>
    <row r="1396" spans="1:7" x14ac:dyDescent="0.25">
      <c r="A1396" s="14" t="s">
        <v>2201</v>
      </c>
      <c r="B1396" s="14">
        <v>1</v>
      </c>
      <c r="C1396" s="15" t="s">
        <v>2202</v>
      </c>
      <c r="D1396" s="14" t="s">
        <v>1745</v>
      </c>
      <c r="E1396" s="14" t="s">
        <v>1746</v>
      </c>
      <c r="F1396" s="25">
        <v>41958</v>
      </c>
      <c r="G1396" s="25">
        <v>29370.6</v>
      </c>
    </row>
    <row r="1397" spans="1:7" x14ac:dyDescent="0.25">
      <c r="A1397" s="14" t="s">
        <v>2201</v>
      </c>
      <c r="B1397" s="14" t="s">
        <v>28</v>
      </c>
      <c r="C1397" s="15" t="s">
        <v>2203</v>
      </c>
      <c r="D1397" s="14" t="s">
        <v>1745</v>
      </c>
      <c r="E1397" s="14" t="s">
        <v>1747</v>
      </c>
      <c r="F1397" s="25">
        <v>27960</v>
      </c>
      <c r="G1397" s="25">
        <v>19572</v>
      </c>
    </row>
    <row r="1398" spans="1:7" x14ac:dyDescent="0.25">
      <c r="A1398" s="14" t="s">
        <v>2201</v>
      </c>
      <c r="B1398" s="14" t="s">
        <v>28</v>
      </c>
      <c r="C1398" s="15" t="s">
        <v>2203</v>
      </c>
      <c r="D1398" s="14" t="s">
        <v>1745</v>
      </c>
      <c r="E1398" s="14" t="s">
        <v>1746</v>
      </c>
      <c r="F1398" s="25">
        <v>29358</v>
      </c>
      <c r="G1398" s="25">
        <v>20550.599999999999</v>
      </c>
    </row>
    <row r="1399" spans="1:7" x14ac:dyDescent="0.25">
      <c r="A1399" s="14" t="s">
        <v>2201</v>
      </c>
      <c r="B1399" s="14" t="s">
        <v>39</v>
      </c>
      <c r="C1399" s="15" t="s">
        <v>2204</v>
      </c>
      <c r="D1399" s="14" t="s">
        <v>1745</v>
      </c>
      <c r="E1399" s="14" t="s">
        <v>1746</v>
      </c>
      <c r="F1399" s="25">
        <v>29358</v>
      </c>
      <c r="G1399" s="25">
        <v>20550.599999999999</v>
      </c>
    </row>
    <row r="1400" spans="1:7" x14ac:dyDescent="0.25">
      <c r="A1400" s="14" t="s">
        <v>2201</v>
      </c>
      <c r="B1400" s="14">
        <v>8</v>
      </c>
      <c r="C1400" s="15" t="s">
        <v>2205</v>
      </c>
      <c r="D1400" s="14" t="s">
        <v>1745</v>
      </c>
      <c r="E1400" s="14" t="s">
        <v>1747</v>
      </c>
      <c r="F1400" s="25">
        <v>27960</v>
      </c>
      <c r="G1400" s="25">
        <v>19572</v>
      </c>
    </row>
    <row r="1401" spans="1:7" x14ac:dyDescent="0.25">
      <c r="A1401" s="14" t="s">
        <v>2201</v>
      </c>
      <c r="B1401" s="14" t="s">
        <v>39</v>
      </c>
      <c r="C1401" s="15" t="s">
        <v>2204</v>
      </c>
      <c r="D1401" s="14" t="s">
        <v>1749</v>
      </c>
      <c r="E1401" s="14" t="s">
        <v>1746</v>
      </c>
      <c r="F1401" s="25">
        <v>2796</v>
      </c>
      <c r="G1401" s="25">
        <v>1957.2</v>
      </c>
    </row>
    <row r="1402" spans="1:7" x14ac:dyDescent="0.25">
      <c r="A1402" s="14" t="s">
        <v>2201</v>
      </c>
      <c r="B1402" s="14">
        <v>9</v>
      </c>
      <c r="C1402" s="15" t="s">
        <v>2206</v>
      </c>
      <c r="D1402" s="14" t="s">
        <v>1745</v>
      </c>
      <c r="E1402" s="14" t="s">
        <v>1747</v>
      </c>
      <c r="F1402" s="25">
        <v>27960</v>
      </c>
      <c r="G1402" s="25">
        <v>25164</v>
      </c>
    </row>
    <row r="1403" spans="1:7" x14ac:dyDescent="0.25">
      <c r="A1403" s="14" t="s">
        <v>2201</v>
      </c>
      <c r="B1403" s="14">
        <v>9</v>
      </c>
      <c r="C1403" s="15" t="s">
        <v>2206</v>
      </c>
      <c r="D1403" s="14" t="s">
        <v>1749</v>
      </c>
      <c r="E1403" s="14" t="s">
        <v>1746</v>
      </c>
      <c r="F1403" s="25">
        <v>2796</v>
      </c>
      <c r="G1403" s="25">
        <v>2516.4</v>
      </c>
    </row>
    <row r="1404" spans="1:7" x14ac:dyDescent="0.25">
      <c r="A1404" s="14" t="s">
        <v>2201</v>
      </c>
      <c r="B1404" s="14">
        <v>8</v>
      </c>
      <c r="C1404" s="15" t="s">
        <v>2205</v>
      </c>
      <c r="D1404" s="14" t="s">
        <v>1749</v>
      </c>
      <c r="E1404" s="14" t="s">
        <v>1746</v>
      </c>
      <c r="F1404" s="25">
        <v>2796</v>
      </c>
      <c r="G1404" s="25">
        <v>1957.2</v>
      </c>
    </row>
    <row r="1405" spans="1:7" x14ac:dyDescent="0.25">
      <c r="A1405" s="14" t="s">
        <v>2201</v>
      </c>
      <c r="B1405" s="14" t="s">
        <v>28</v>
      </c>
      <c r="C1405" s="15" t="s">
        <v>2203</v>
      </c>
      <c r="D1405" s="14" t="s">
        <v>1749</v>
      </c>
      <c r="E1405" s="14" t="s">
        <v>1746</v>
      </c>
      <c r="F1405" s="25">
        <v>2796</v>
      </c>
      <c r="G1405" s="25">
        <v>1957.2</v>
      </c>
    </row>
    <row r="1406" spans="1:7" x14ac:dyDescent="0.25">
      <c r="A1406" s="14" t="s">
        <v>2201</v>
      </c>
      <c r="B1406" s="14">
        <v>1</v>
      </c>
      <c r="C1406" s="15" t="s">
        <v>2202</v>
      </c>
      <c r="D1406" s="14" t="s">
        <v>1745</v>
      </c>
      <c r="E1406" s="14" t="s">
        <v>1747</v>
      </c>
      <c r="F1406" s="25">
        <v>39960</v>
      </c>
      <c r="G1406" s="25">
        <v>27972</v>
      </c>
    </row>
    <row r="1407" spans="1:7" x14ac:dyDescent="0.25">
      <c r="A1407" s="14" t="s">
        <v>2201</v>
      </c>
      <c r="B1407" s="14">
        <v>8</v>
      </c>
      <c r="C1407" s="15" t="s">
        <v>2205</v>
      </c>
      <c r="D1407" s="14" t="s">
        <v>1745</v>
      </c>
      <c r="E1407" s="14" t="s">
        <v>1746</v>
      </c>
      <c r="F1407" s="25">
        <v>29358</v>
      </c>
      <c r="G1407" s="25">
        <v>20550.599999999999</v>
      </c>
    </row>
    <row r="1408" spans="1:7" x14ac:dyDescent="0.25">
      <c r="A1408" s="14" t="s">
        <v>2201</v>
      </c>
      <c r="B1408" s="14" t="s">
        <v>39</v>
      </c>
      <c r="C1408" s="15" t="s">
        <v>2204</v>
      </c>
      <c r="D1408" s="14" t="s">
        <v>1745</v>
      </c>
      <c r="E1408" s="14" t="s">
        <v>1747</v>
      </c>
      <c r="F1408" s="25">
        <v>27960</v>
      </c>
      <c r="G1408" s="25">
        <v>19572</v>
      </c>
    </row>
    <row r="1409" spans="1:7" x14ac:dyDescent="0.25">
      <c r="A1409" s="14" t="s">
        <v>2201</v>
      </c>
      <c r="B1409" s="14">
        <v>9</v>
      </c>
      <c r="C1409" s="15" t="s">
        <v>2206</v>
      </c>
      <c r="D1409" s="14" t="s">
        <v>1745</v>
      </c>
      <c r="E1409" s="14" t="s">
        <v>1746</v>
      </c>
      <c r="F1409" s="25">
        <v>29358</v>
      </c>
      <c r="G1409" s="25">
        <v>26422.2</v>
      </c>
    </row>
    <row r="1410" spans="1:7" x14ac:dyDescent="0.25">
      <c r="A1410" s="14" t="s">
        <v>2207</v>
      </c>
      <c r="B1410" s="14">
        <v>3</v>
      </c>
      <c r="C1410" s="15" t="s">
        <v>2208</v>
      </c>
      <c r="D1410" s="14" t="s">
        <v>1745</v>
      </c>
      <c r="E1410" s="14" t="s">
        <v>1747</v>
      </c>
      <c r="F1410" s="25">
        <v>29940</v>
      </c>
      <c r="G1410" s="25">
        <v>20958</v>
      </c>
    </row>
    <row r="1411" spans="1:7" x14ac:dyDescent="0.25">
      <c r="A1411" s="14" t="s">
        <v>2207</v>
      </c>
      <c r="B1411" s="14">
        <v>3</v>
      </c>
      <c r="C1411" s="15" t="s">
        <v>2208</v>
      </c>
      <c r="D1411" s="14" t="s">
        <v>1745</v>
      </c>
      <c r="E1411" s="14" t="s">
        <v>1746</v>
      </c>
      <c r="F1411" s="25">
        <v>31437</v>
      </c>
      <c r="G1411" s="25">
        <v>22005.96</v>
      </c>
    </row>
    <row r="1412" spans="1:7" x14ac:dyDescent="0.25">
      <c r="A1412" s="14" t="s">
        <v>2207</v>
      </c>
      <c r="B1412" s="14">
        <v>3</v>
      </c>
      <c r="C1412" s="15" t="s">
        <v>2208</v>
      </c>
      <c r="D1412" s="14" t="s">
        <v>1749</v>
      </c>
      <c r="E1412" s="14" t="s">
        <v>1746</v>
      </c>
      <c r="F1412" s="25">
        <v>2994</v>
      </c>
      <c r="G1412" s="25">
        <v>2095.8000000000002</v>
      </c>
    </row>
    <row r="1413" spans="1:7" x14ac:dyDescent="0.25">
      <c r="A1413" s="14" t="s">
        <v>2209</v>
      </c>
      <c r="B1413" s="14">
        <v>8</v>
      </c>
      <c r="C1413" s="15" t="s">
        <v>2210</v>
      </c>
      <c r="D1413" s="14" t="s">
        <v>1745</v>
      </c>
      <c r="E1413" s="14" t="s">
        <v>1747</v>
      </c>
      <c r="F1413" s="25">
        <v>1380</v>
      </c>
      <c r="G1413" s="25">
        <v>966</v>
      </c>
    </row>
    <row r="1414" spans="1:7" x14ac:dyDescent="0.25">
      <c r="A1414" s="14" t="s">
        <v>2209</v>
      </c>
      <c r="B1414" s="14">
        <v>9</v>
      </c>
      <c r="C1414" s="15" t="s">
        <v>2211</v>
      </c>
      <c r="D1414" s="14" t="s">
        <v>1749</v>
      </c>
      <c r="E1414" s="14" t="s">
        <v>1746</v>
      </c>
      <c r="F1414" s="25">
        <v>138</v>
      </c>
      <c r="G1414" s="25">
        <v>124.2</v>
      </c>
    </row>
    <row r="1415" spans="1:7" x14ac:dyDescent="0.25">
      <c r="A1415" s="14" t="s">
        <v>2209</v>
      </c>
      <c r="B1415" s="14">
        <v>8</v>
      </c>
      <c r="C1415" s="15" t="s">
        <v>2210</v>
      </c>
      <c r="D1415" s="14" t="s">
        <v>1745</v>
      </c>
      <c r="E1415" s="14" t="s">
        <v>1746</v>
      </c>
      <c r="F1415" s="25">
        <v>1449</v>
      </c>
      <c r="G1415" s="25">
        <v>1014.36</v>
      </c>
    </row>
    <row r="1416" spans="1:7" x14ac:dyDescent="0.25">
      <c r="A1416" s="14" t="s">
        <v>2209</v>
      </c>
      <c r="B1416" s="14">
        <v>9</v>
      </c>
      <c r="C1416" s="15" t="s">
        <v>2211</v>
      </c>
      <c r="D1416" s="14" t="s">
        <v>1745</v>
      </c>
      <c r="E1416" s="14" t="s">
        <v>1747</v>
      </c>
      <c r="F1416" s="25">
        <v>1380</v>
      </c>
      <c r="G1416" s="25">
        <v>1242</v>
      </c>
    </row>
    <row r="1417" spans="1:7" x14ac:dyDescent="0.25">
      <c r="A1417" s="14" t="s">
        <v>2209</v>
      </c>
      <c r="B1417" s="14">
        <v>1</v>
      </c>
      <c r="C1417" s="15" t="s">
        <v>2212</v>
      </c>
      <c r="D1417" s="14" t="s">
        <v>1749</v>
      </c>
      <c r="E1417" s="14" t="s">
        <v>1746</v>
      </c>
      <c r="F1417" s="25">
        <v>198</v>
      </c>
      <c r="G1417" s="25">
        <v>138.6</v>
      </c>
    </row>
    <row r="1418" spans="1:7" x14ac:dyDescent="0.25">
      <c r="A1418" s="14" t="s">
        <v>2209</v>
      </c>
      <c r="B1418" s="14">
        <v>1</v>
      </c>
      <c r="C1418" s="15" t="s">
        <v>2212</v>
      </c>
      <c r="D1418" s="14" t="s">
        <v>1745</v>
      </c>
      <c r="E1418" s="14" t="s">
        <v>1746</v>
      </c>
      <c r="F1418" s="25">
        <v>2079</v>
      </c>
      <c r="G1418" s="25">
        <v>1455.36</v>
      </c>
    </row>
    <row r="1419" spans="1:7" x14ac:dyDescent="0.25">
      <c r="A1419" s="14" t="s">
        <v>2209</v>
      </c>
      <c r="B1419" s="14">
        <v>8</v>
      </c>
      <c r="C1419" s="15" t="s">
        <v>2210</v>
      </c>
      <c r="D1419" s="14" t="s">
        <v>1749</v>
      </c>
      <c r="E1419" s="14" t="s">
        <v>1746</v>
      </c>
      <c r="F1419" s="25">
        <v>138</v>
      </c>
      <c r="G1419" s="25">
        <v>96.6</v>
      </c>
    </row>
    <row r="1420" spans="1:7" x14ac:dyDescent="0.25">
      <c r="A1420" s="14" t="s">
        <v>2209</v>
      </c>
      <c r="B1420" s="14">
        <v>1</v>
      </c>
      <c r="C1420" s="15" t="s">
        <v>2212</v>
      </c>
      <c r="D1420" s="14" t="s">
        <v>1745</v>
      </c>
      <c r="E1420" s="14" t="s">
        <v>1747</v>
      </c>
      <c r="F1420" s="25">
        <v>1980</v>
      </c>
      <c r="G1420" s="25">
        <v>1386</v>
      </c>
    </row>
    <row r="1421" spans="1:7" x14ac:dyDescent="0.25">
      <c r="A1421" s="14" t="s">
        <v>2209</v>
      </c>
      <c r="B1421" s="14">
        <v>9</v>
      </c>
      <c r="C1421" s="15" t="s">
        <v>2211</v>
      </c>
      <c r="D1421" s="14" t="s">
        <v>1745</v>
      </c>
      <c r="E1421" s="14" t="s">
        <v>1746</v>
      </c>
      <c r="F1421" s="25">
        <v>1449</v>
      </c>
      <c r="G1421" s="25">
        <v>1304.1600000000001</v>
      </c>
    </row>
    <row r="1422" spans="1:7" ht="30" x14ac:dyDescent="0.25">
      <c r="A1422" s="14" t="s">
        <v>2213</v>
      </c>
      <c r="B1422" s="14">
        <v>9</v>
      </c>
      <c r="C1422" s="15" t="s">
        <v>2214</v>
      </c>
      <c r="D1422" s="14" t="s">
        <v>1752</v>
      </c>
      <c r="E1422" s="14" t="s">
        <v>1746</v>
      </c>
      <c r="F1422" s="25">
        <v>2122659</v>
      </c>
      <c r="G1422" s="25">
        <v>1910393</v>
      </c>
    </row>
    <row r="1423" spans="1:7" ht="30" x14ac:dyDescent="0.25">
      <c r="A1423" s="14" t="s">
        <v>2213</v>
      </c>
      <c r="B1423" s="14">
        <v>8</v>
      </c>
      <c r="C1423" s="15" t="s">
        <v>2215</v>
      </c>
      <c r="D1423" s="14" t="s">
        <v>1749</v>
      </c>
      <c r="E1423" s="14" t="s">
        <v>1746</v>
      </c>
      <c r="F1423" s="25">
        <v>74124</v>
      </c>
      <c r="G1423" s="25">
        <v>51886.8</v>
      </c>
    </row>
    <row r="1424" spans="1:7" ht="30" x14ac:dyDescent="0.25">
      <c r="A1424" s="14" t="s">
        <v>2213</v>
      </c>
      <c r="B1424" s="14">
        <v>8</v>
      </c>
      <c r="C1424" s="15" t="s">
        <v>2215</v>
      </c>
      <c r="D1424" s="14" t="s">
        <v>1745</v>
      </c>
      <c r="E1424" s="14" t="s">
        <v>1747</v>
      </c>
      <c r="F1424" s="25">
        <v>741240</v>
      </c>
      <c r="G1424" s="25">
        <v>518868</v>
      </c>
    </row>
    <row r="1425" spans="1:7" ht="30" x14ac:dyDescent="0.25">
      <c r="A1425" s="14" t="s">
        <v>2213</v>
      </c>
      <c r="B1425" s="14">
        <v>9</v>
      </c>
      <c r="C1425" s="15" t="s">
        <v>2214</v>
      </c>
      <c r="D1425" s="14" t="s">
        <v>1745</v>
      </c>
      <c r="E1425" s="14" t="s">
        <v>1746</v>
      </c>
      <c r="F1425" s="25">
        <v>707553</v>
      </c>
      <c r="G1425" s="25">
        <v>636797.80000000005</v>
      </c>
    </row>
    <row r="1426" spans="1:7" x14ac:dyDescent="0.25">
      <c r="A1426" s="14" t="s">
        <v>2213</v>
      </c>
      <c r="B1426" s="14">
        <v>1</v>
      </c>
      <c r="C1426" s="15" t="s">
        <v>2216</v>
      </c>
      <c r="D1426" s="14" t="s">
        <v>1749</v>
      </c>
      <c r="E1426" s="14" t="s">
        <v>1746</v>
      </c>
      <c r="F1426" s="25">
        <v>134778</v>
      </c>
      <c r="G1426" s="25">
        <v>94344.6</v>
      </c>
    </row>
    <row r="1427" spans="1:7" ht="30" x14ac:dyDescent="0.25">
      <c r="A1427" s="14" t="s">
        <v>2213</v>
      </c>
      <c r="B1427" s="14">
        <v>8</v>
      </c>
      <c r="C1427" s="15" t="s">
        <v>2215</v>
      </c>
      <c r="D1427" s="14" t="s">
        <v>1745</v>
      </c>
      <c r="E1427" s="14" t="s">
        <v>1746</v>
      </c>
      <c r="F1427" s="25">
        <v>778302</v>
      </c>
      <c r="G1427" s="25">
        <v>544811.4</v>
      </c>
    </row>
    <row r="1428" spans="1:7" x14ac:dyDescent="0.25">
      <c r="A1428" s="14" t="s">
        <v>2213</v>
      </c>
      <c r="B1428" s="14">
        <v>1</v>
      </c>
      <c r="C1428" s="15" t="s">
        <v>2216</v>
      </c>
      <c r="D1428" s="14" t="s">
        <v>1745</v>
      </c>
      <c r="E1428" s="14" t="s">
        <v>1746</v>
      </c>
      <c r="F1428" s="25">
        <v>1415169</v>
      </c>
      <c r="G1428" s="25">
        <v>990618.4</v>
      </c>
    </row>
    <row r="1429" spans="1:7" ht="30" x14ac:dyDescent="0.25">
      <c r="A1429" s="14" t="s">
        <v>2213</v>
      </c>
      <c r="B1429" s="14">
        <v>9</v>
      </c>
      <c r="C1429" s="15" t="s">
        <v>2214</v>
      </c>
      <c r="D1429" s="14" t="s">
        <v>1749</v>
      </c>
      <c r="E1429" s="14" t="s">
        <v>1746</v>
      </c>
      <c r="F1429" s="25">
        <v>67386</v>
      </c>
      <c r="G1429" s="25">
        <v>60647.4</v>
      </c>
    </row>
    <row r="1430" spans="1:7" x14ac:dyDescent="0.25">
      <c r="A1430" s="14" t="s">
        <v>2213</v>
      </c>
      <c r="B1430" s="14">
        <v>1</v>
      </c>
      <c r="C1430" s="15" t="s">
        <v>2216</v>
      </c>
      <c r="D1430" s="14" t="s">
        <v>1745</v>
      </c>
      <c r="E1430" s="14" t="s">
        <v>1747</v>
      </c>
      <c r="F1430" s="25">
        <v>1347780</v>
      </c>
      <c r="G1430" s="25">
        <v>943446</v>
      </c>
    </row>
    <row r="1431" spans="1:7" x14ac:dyDescent="0.25">
      <c r="A1431" s="14" t="s">
        <v>2213</v>
      </c>
      <c r="B1431" s="14">
        <v>1</v>
      </c>
      <c r="C1431" s="15" t="s">
        <v>2216</v>
      </c>
      <c r="D1431" s="14" t="s">
        <v>1752</v>
      </c>
      <c r="E1431" s="14" t="s">
        <v>1747</v>
      </c>
      <c r="F1431" s="25">
        <v>4043340</v>
      </c>
      <c r="G1431" s="25">
        <v>2830338</v>
      </c>
    </row>
    <row r="1432" spans="1:7" ht="30" x14ac:dyDescent="0.25">
      <c r="A1432" s="14" t="s">
        <v>2213</v>
      </c>
      <c r="B1432" s="14">
        <v>9</v>
      </c>
      <c r="C1432" s="15" t="s">
        <v>2214</v>
      </c>
      <c r="D1432" s="14" t="s">
        <v>1745</v>
      </c>
      <c r="E1432" s="14" t="s">
        <v>1747</v>
      </c>
      <c r="F1432" s="25">
        <v>673860</v>
      </c>
      <c r="G1432" s="25">
        <v>606474</v>
      </c>
    </row>
    <row r="1433" spans="1:7" ht="30" x14ac:dyDescent="0.25">
      <c r="A1433" s="14" t="s">
        <v>2213</v>
      </c>
      <c r="B1433" s="14">
        <v>9</v>
      </c>
      <c r="C1433" s="15" t="s">
        <v>2214</v>
      </c>
      <c r="D1433" s="14" t="s">
        <v>1752</v>
      </c>
      <c r="E1433" s="14" t="s">
        <v>1747</v>
      </c>
      <c r="F1433" s="25">
        <v>2021580</v>
      </c>
      <c r="G1433" s="25">
        <v>1819422</v>
      </c>
    </row>
    <row r="1434" spans="1:7" x14ac:dyDescent="0.25">
      <c r="A1434" s="14" t="s">
        <v>2213</v>
      </c>
      <c r="B1434" s="14">
        <v>1</v>
      </c>
      <c r="C1434" s="15" t="s">
        <v>2216</v>
      </c>
      <c r="D1434" s="14" t="s">
        <v>1752</v>
      </c>
      <c r="E1434" s="14" t="s">
        <v>1753</v>
      </c>
      <c r="F1434" s="25">
        <v>4043340</v>
      </c>
      <c r="G1434" s="25">
        <v>2830338</v>
      </c>
    </row>
    <row r="1435" spans="1:7" x14ac:dyDescent="0.25">
      <c r="A1435" s="14" t="s">
        <v>2213</v>
      </c>
      <c r="B1435" s="14">
        <v>1</v>
      </c>
      <c r="C1435" s="15" t="s">
        <v>2216</v>
      </c>
      <c r="D1435" s="14" t="s">
        <v>1752</v>
      </c>
      <c r="E1435" s="14" t="s">
        <v>1746</v>
      </c>
      <c r="F1435" s="25">
        <v>4245507</v>
      </c>
      <c r="G1435" s="25">
        <v>2971855</v>
      </c>
    </row>
    <row r="1436" spans="1:7" ht="30" x14ac:dyDescent="0.25">
      <c r="A1436" s="14" t="s">
        <v>2217</v>
      </c>
      <c r="B1436" s="14">
        <v>9</v>
      </c>
      <c r="C1436" s="15" t="s">
        <v>2218</v>
      </c>
      <c r="D1436" s="14" t="s">
        <v>1749</v>
      </c>
      <c r="E1436" s="14" t="s">
        <v>1746</v>
      </c>
      <c r="F1436" s="25">
        <v>202164</v>
      </c>
      <c r="G1436" s="25">
        <v>181947.6</v>
      </c>
    </row>
    <row r="1437" spans="1:7" ht="30" x14ac:dyDescent="0.25">
      <c r="A1437" s="14" t="s">
        <v>2217</v>
      </c>
      <c r="B1437" s="14">
        <v>9</v>
      </c>
      <c r="C1437" s="15" t="s">
        <v>2218</v>
      </c>
      <c r="D1437" s="14" t="s">
        <v>1745</v>
      </c>
      <c r="E1437" s="14" t="s">
        <v>1747</v>
      </c>
      <c r="F1437" s="25">
        <v>2021640</v>
      </c>
      <c r="G1437" s="25">
        <v>1819476</v>
      </c>
    </row>
    <row r="1438" spans="1:7" x14ac:dyDescent="0.25">
      <c r="A1438" s="14" t="s">
        <v>2217</v>
      </c>
      <c r="B1438" s="14">
        <v>1</v>
      </c>
      <c r="C1438" s="15" t="s">
        <v>2219</v>
      </c>
      <c r="D1438" s="14" t="s">
        <v>1752</v>
      </c>
      <c r="E1438" s="14" t="s">
        <v>1753</v>
      </c>
      <c r="F1438" s="25">
        <v>12129840</v>
      </c>
      <c r="G1438" s="25">
        <v>8490888</v>
      </c>
    </row>
    <row r="1439" spans="1:7" x14ac:dyDescent="0.25">
      <c r="A1439" s="14" t="s">
        <v>2217</v>
      </c>
      <c r="B1439" s="14">
        <v>1</v>
      </c>
      <c r="C1439" s="15" t="s">
        <v>2219</v>
      </c>
      <c r="D1439" s="14" t="s">
        <v>1752</v>
      </c>
      <c r="E1439" s="14" t="s">
        <v>1747</v>
      </c>
      <c r="F1439" s="25">
        <v>12129840</v>
      </c>
      <c r="G1439" s="25">
        <v>8490888</v>
      </c>
    </row>
    <row r="1440" spans="1:7" x14ac:dyDescent="0.25">
      <c r="A1440" s="14" t="s">
        <v>2217</v>
      </c>
      <c r="B1440" s="14">
        <v>1</v>
      </c>
      <c r="C1440" s="15" t="s">
        <v>2219</v>
      </c>
      <c r="D1440" s="14" t="s">
        <v>1745</v>
      </c>
      <c r="E1440" s="14" t="s">
        <v>1746</v>
      </c>
      <c r="F1440" s="25">
        <v>4245444</v>
      </c>
      <c r="G1440" s="25">
        <v>2971811</v>
      </c>
    </row>
    <row r="1441" spans="1:7" ht="30" x14ac:dyDescent="0.25">
      <c r="A1441" s="14" t="s">
        <v>2217</v>
      </c>
      <c r="B1441" s="14">
        <v>9</v>
      </c>
      <c r="C1441" s="15" t="s">
        <v>2218</v>
      </c>
      <c r="D1441" s="14" t="s">
        <v>1745</v>
      </c>
      <c r="E1441" s="14" t="s">
        <v>1746</v>
      </c>
      <c r="F1441" s="25">
        <v>2122722</v>
      </c>
      <c r="G1441" s="25">
        <v>1910450</v>
      </c>
    </row>
    <row r="1442" spans="1:7" ht="30" x14ac:dyDescent="0.25">
      <c r="A1442" s="14" t="s">
        <v>2217</v>
      </c>
      <c r="B1442" s="14">
        <v>8</v>
      </c>
      <c r="C1442" s="15" t="s">
        <v>2220</v>
      </c>
      <c r="D1442" s="14" t="s">
        <v>1745</v>
      </c>
      <c r="E1442" s="14" t="s">
        <v>1747</v>
      </c>
      <c r="F1442" s="25">
        <v>2223780</v>
      </c>
      <c r="G1442" s="25">
        <v>1556646</v>
      </c>
    </row>
    <row r="1443" spans="1:7" x14ac:dyDescent="0.25">
      <c r="A1443" s="14" t="s">
        <v>2217</v>
      </c>
      <c r="B1443" s="14">
        <v>1</v>
      </c>
      <c r="C1443" s="15" t="s">
        <v>2219</v>
      </c>
      <c r="D1443" s="14" t="s">
        <v>1749</v>
      </c>
      <c r="E1443" s="14" t="s">
        <v>1746</v>
      </c>
      <c r="F1443" s="25">
        <v>404328</v>
      </c>
      <c r="G1443" s="25">
        <v>283029.59999999998</v>
      </c>
    </row>
    <row r="1444" spans="1:7" x14ac:dyDescent="0.25">
      <c r="A1444" s="14" t="s">
        <v>2217</v>
      </c>
      <c r="B1444" s="14">
        <v>1</v>
      </c>
      <c r="C1444" s="15" t="s">
        <v>2219</v>
      </c>
      <c r="D1444" s="14" t="s">
        <v>1745</v>
      </c>
      <c r="E1444" s="14" t="s">
        <v>1747</v>
      </c>
      <c r="F1444" s="25">
        <v>4043280</v>
      </c>
      <c r="G1444" s="25">
        <v>2830296</v>
      </c>
    </row>
    <row r="1445" spans="1:7" x14ac:dyDescent="0.25">
      <c r="A1445" s="14" t="s">
        <v>2217</v>
      </c>
      <c r="B1445" s="14">
        <v>1</v>
      </c>
      <c r="C1445" s="15" t="s">
        <v>2219</v>
      </c>
      <c r="D1445" s="14" t="s">
        <v>1752</v>
      </c>
      <c r="E1445" s="14" t="s">
        <v>1746</v>
      </c>
      <c r="F1445" s="25">
        <v>12736332</v>
      </c>
      <c r="G1445" s="25">
        <v>8915432</v>
      </c>
    </row>
    <row r="1446" spans="1:7" ht="30" x14ac:dyDescent="0.25">
      <c r="A1446" s="14" t="s">
        <v>2217</v>
      </c>
      <c r="B1446" s="14">
        <v>8</v>
      </c>
      <c r="C1446" s="15" t="s">
        <v>2220</v>
      </c>
      <c r="D1446" s="14" t="s">
        <v>1745</v>
      </c>
      <c r="E1446" s="14" t="s">
        <v>1746</v>
      </c>
      <c r="F1446" s="25">
        <v>2334969</v>
      </c>
      <c r="G1446" s="25">
        <v>1634478</v>
      </c>
    </row>
    <row r="1447" spans="1:7" ht="30" x14ac:dyDescent="0.25">
      <c r="A1447" s="14" t="s">
        <v>2217</v>
      </c>
      <c r="B1447" s="14">
        <v>8</v>
      </c>
      <c r="C1447" s="15" t="s">
        <v>2220</v>
      </c>
      <c r="D1447" s="14" t="s">
        <v>1749</v>
      </c>
      <c r="E1447" s="14" t="s">
        <v>1746</v>
      </c>
      <c r="F1447" s="25">
        <v>222378</v>
      </c>
      <c r="G1447" s="25">
        <v>155664.6</v>
      </c>
    </row>
    <row r="1448" spans="1:7" ht="30" x14ac:dyDescent="0.25">
      <c r="A1448" s="14" t="s">
        <v>2217</v>
      </c>
      <c r="B1448" s="14">
        <v>9</v>
      </c>
      <c r="C1448" s="15" t="s">
        <v>2218</v>
      </c>
      <c r="D1448" s="14" t="s">
        <v>1752</v>
      </c>
      <c r="E1448" s="14" t="s">
        <v>1747</v>
      </c>
      <c r="F1448" s="25">
        <v>6064920</v>
      </c>
      <c r="G1448" s="25">
        <v>5458428</v>
      </c>
    </row>
    <row r="1449" spans="1:7" ht="30" x14ac:dyDescent="0.25">
      <c r="A1449" s="14" t="s">
        <v>2217</v>
      </c>
      <c r="B1449" s="14">
        <v>9</v>
      </c>
      <c r="C1449" s="15" t="s">
        <v>2218</v>
      </c>
      <c r="D1449" s="14" t="s">
        <v>1752</v>
      </c>
      <c r="E1449" s="14" t="s">
        <v>1746</v>
      </c>
      <c r="F1449" s="25">
        <v>6368166</v>
      </c>
      <c r="G1449" s="25">
        <v>5731349</v>
      </c>
    </row>
    <row r="1450" spans="1:7" ht="30" x14ac:dyDescent="0.25">
      <c r="A1450" s="14" t="s">
        <v>2221</v>
      </c>
      <c r="B1450" s="14">
        <v>9</v>
      </c>
      <c r="C1450" s="15" t="s">
        <v>2222</v>
      </c>
      <c r="D1450" s="14" t="s">
        <v>1749</v>
      </c>
      <c r="E1450" s="14" t="s">
        <v>1746</v>
      </c>
      <c r="F1450" s="25">
        <v>433776</v>
      </c>
      <c r="G1450" s="25">
        <v>303643.2</v>
      </c>
    </row>
    <row r="1451" spans="1:7" x14ac:dyDescent="0.25">
      <c r="A1451" s="14" t="s">
        <v>2221</v>
      </c>
      <c r="B1451" s="14">
        <v>1</v>
      </c>
      <c r="C1451" s="15" t="s">
        <v>2223</v>
      </c>
      <c r="D1451" s="14" t="s">
        <v>1745</v>
      </c>
      <c r="E1451" s="14" t="s">
        <v>1746</v>
      </c>
      <c r="F1451" s="25">
        <v>8281224</v>
      </c>
      <c r="G1451" s="25">
        <v>5796857</v>
      </c>
    </row>
    <row r="1452" spans="1:7" x14ac:dyDescent="0.25">
      <c r="A1452" s="14" t="s">
        <v>2221</v>
      </c>
      <c r="B1452" s="14">
        <v>1</v>
      </c>
      <c r="C1452" s="15" t="s">
        <v>2223</v>
      </c>
      <c r="D1452" s="14" t="s">
        <v>1752</v>
      </c>
      <c r="E1452" s="14" t="s">
        <v>1753</v>
      </c>
      <c r="F1452" s="25">
        <v>23660640</v>
      </c>
      <c r="G1452" s="25">
        <v>16562448</v>
      </c>
    </row>
    <row r="1453" spans="1:7" ht="30" x14ac:dyDescent="0.25">
      <c r="A1453" s="14" t="s">
        <v>2221</v>
      </c>
      <c r="B1453" s="14">
        <v>9</v>
      </c>
      <c r="C1453" s="15" t="s">
        <v>2222</v>
      </c>
      <c r="D1453" s="14" t="s">
        <v>1745</v>
      </c>
      <c r="E1453" s="14" t="s">
        <v>1747</v>
      </c>
      <c r="F1453" s="25">
        <v>4337760</v>
      </c>
      <c r="G1453" s="25">
        <v>3036432</v>
      </c>
    </row>
    <row r="1454" spans="1:7" x14ac:dyDescent="0.25">
      <c r="A1454" s="14" t="s">
        <v>2221</v>
      </c>
      <c r="B1454" s="14">
        <v>1</v>
      </c>
      <c r="C1454" s="15" t="s">
        <v>2223</v>
      </c>
      <c r="D1454" s="14" t="s">
        <v>1745</v>
      </c>
      <c r="E1454" s="14" t="s">
        <v>1747</v>
      </c>
      <c r="F1454" s="25">
        <v>7886880</v>
      </c>
      <c r="G1454" s="25">
        <v>5520816</v>
      </c>
    </row>
    <row r="1455" spans="1:7" ht="30" x14ac:dyDescent="0.25">
      <c r="A1455" s="14" t="s">
        <v>2221</v>
      </c>
      <c r="B1455" s="14">
        <v>8</v>
      </c>
      <c r="C1455" s="15" t="s">
        <v>2224</v>
      </c>
      <c r="D1455" s="14" t="s">
        <v>1749</v>
      </c>
      <c r="E1455" s="14" t="s">
        <v>1746</v>
      </c>
      <c r="F1455" s="25">
        <v>394344</v>
      </c>
      <c r="G1455" s="25">
        <v>354909.6</v>
      </c>
    </row>
    <row r="1456" spans="1:7" x14ac:dyDescent="0.25">
      <c r="A1456" s="14" t="s">
        <v>2221</v>
      </c>
      <c r="B1456" s="14">
        <v>1</v>
      </c>
      <c r="C1456" s="15" t="s">
        <v>2223</v>
      </c>
      <c r="D1456" s="14" t="s">
        <v>1752</v>
      </c>
      <c r="E1456" s="14" t="s">
        <v>1747</v>
      </c>
      <c r="F1456" s="25">
        <v>23660640</v>
      </c>
      <c r="G1456" s="25">
        <v>16562448</v>
      </c>
    </row>
    <row r="1457" spans="1:7" ht="30" x14ac:dyDescent="0.25">
      <c r="A1457" s="14" t="s">
        <v>2221</v>
      </c>
      <c r="B1457" s="14">
        <v>8</v>
      </c>
      <c r="C1457" s="15" t="s">
        <v>2224</v>
      </c>
      <c r="D1457" s="14" t="s">
        <v>1752</v>
      </c>
      <c r="E1457" s="14" t="s">
        <v>1746</v>
      </c>
      <c r="F1457" s="25">
        <v>12421836</v>
      </c>
      <c r="G1457" s="25">
        <v>11179652</v>
      </c>
    </row>
    <row r="1458" spans="1:7" ht="30" x14ac:dyDescent="0.25">
      <c r="A1458" s="14" t="s">
        <v>2221</v>
      </c>
      <c r="B1458" s="14">
        <v>8</v>
      </c>
      <c r="C1458" s="15" t="s">
        <v>2224</v>
      </c>
      <c r="D1458" s="14" t="s">
        <v>1752</v>
      </c>
      <c r="E1458" s="14" t="s">
        <v>1747</v>
      </c>
      <c r="F1458" s="25">
        <v>11830320</v>
      </c>
      <c r="G1458" s="25">
        <v>10647288</v>
      </c>
    </row>
    <row r="1459" spans="1:7" ht="30" x14ac:dyDescent="0.25">
      <c r="A1459" s="14" t="s">
        <v>2221</v>
      </c>
      <c r="B1459" s="14">
        <v>8</v>
      </c>
      <c r="C1459" s="15" t="s">
        <v>2224</v>
      </c>
      <c r="D1459" s="14" t="s">
        <v>1745</v>
      </c>
      <c r="E1459" s="14" t="s">
        <v>1746</v>
      </c>
      <c r="F1459" s="25">
        <v>4140612</v>
      </c>
      <c r="G1459" s="25">
        <v>3726551</v>
      </c>
    </row>
    <row r="1460" spans="1:7" ht="30" x14ac:dyDescent="0.25">
      <c r="A1460" s="14" t="s">
        <v>2221</v>
      </c>
      <c r="B1460" s="14">
        <v>9</v>
      </c>
      <c r="C1460" s="15" t="s">
        <v>2222</v>
      </c>
      <c r="D1460" s="14" t="s">
        <v>1745</v>
      </c>
      <c r="E1460" s="14" t="s">
        <v>1746</v>
      </c>
      <c r="F1460" s="25">
        <v>4554648</v>
      </c>
      <c r="G1460" s="25">
        <v>3188254</v>
      </c>
    </row>
    <row r="1461" spans="1:7" x14ac:dyDescent="0.25">
      <c r="A1461" s="14" t="s">
        <v>2221</v>
      </c>
      <c r="B1461" s="14">
        <v>1</v>
      </c>
      <c r="C1461" s="15" t="s">
        <v>2223</v>
      </c>
      <c r="D1461" s="14" t="s">
        <v>1749</v>
      </c>
      <c r="E1461" s="14" t="s">
        <v>1746</v>
      </c>
      <c r="F1461" s="25">
        <v>788688</v>
      </c>
      <c r="G1461" s="25">
        <v>552081.6</v>
      </c>
    </row>
    <row r="1462" spans="1:7" ht="30" x14ac:dyDescent="0.25">
      <c r="A1462" s="14" t="s">
        <v>2221</v>
      </c>
      <c r="B1462" s="14">
        <v>8</v>
      </c>
      <c r="C1462" s="15" t="s">
        <v>2224</v>
      </c>
      <c r="D1462" s="14" t="s">
        <v>1745</v>
      </c>
      <c r="E1462" s="14" t="s">
        <v>1747</v>
      </c>
      <c r="F1462" s="25">
        <v>3943440</v>
      </c>
      <c r="G1462" s="25">
        <v>3549096</v>
      </c>
    </row>
    <row r="1463" spans="1:7" x14ac:dyDescent="0.25">
      <c r="A1463" s="14" t="s">
        <v>2221</v>
      </c>
      <c r="B1463" s="14">
        <v>1</v>
      </c>
      <c r="C1463" s="15" t="s">
        <v>2223</v>
      </c>
      <c r="D1463" s="14" t="s">
        <v>1752</v>
      </c>
      <c r="E1463" s="14" t="s">
        <v>1746</v>
      </c>
      <c r="F1463" s="25">
        <v>24843672</v>
      </c>
      <c r="G1463" s="25">
        <v>17390570</v>
      </c>
    </row>
    <row r="1464" spans="1:7" ht="30" x14ac:dyDescent="0.25">
      <c r="A1464" s="14" t="s">
        <v>2225</v>
      </c>
      <c r="B1464" s="14">
        <v>9</v>
      </c>
      <c r="C1464" s="15" t="s">
        <v>2226</v>
      </c>
      <c r="D1464" s="14" t="s">
        <v>1745</v>
      </c>
      <c r="E1464" s="14" t="s">
        <v>1747</v>
      </c>
      <c r="F1464" s="25">
        <v>5990040</v>
      </c>
      <c r="G1464" s="25">
        <v>5391036</v>
      </c>
    </row>
    <row r="1465" spans="1:7" x14ac:dyDescent="0.25">
      <c r="A1465" s="14" t="s">
        <v>2225</v>
      </c>
      <c r="B1465" s="14">
        <v>1</v>
      </c>
      <c r="C1465" s="15" t="s">
        <v>2227</v>
      </c>
      <c r="D1465" s="14" t="s">
        <v>1749</v>
      </c>
      <c r="E1465" s="14" t="s">
        <v>1746</v>
      </c>
      <c r="F1465" s="25">
        <v>1198002</v>
      </c>
      <c r="G1465" s="25">
        <v>838601.4</v>
      </c>
    </row>
    <row r="1466" spans="1:7" ht="30" x14ac:dyDescent="0.25">
      <c r="A1466" s="14" t="s">
        <v>2225</v>
      </c>
      <c r="B1466" s="14">
        <v>9</v>
      </c>
      <c r="C1466" s="15" t="s">
        <v>2226</v>
      </c>
      <c r="D1466" s="14" t="s">
        <v>1752</v>
      </c>
      <c r="E1466" s="14" t="s">
        <v>1747</v>
      </c>
      <c r="F1466" s="25">
        <v>17970120</v>
      </c>
      <c r="G1466" s="25">
        <v>16173108</v>
      </c>
    </row>
    <row r="1467" spans="1:7" x14ac:dyDescent="0.25">
      <c r="A1467" s="14" t="s">
        <v>2225</v>
      </c>
      <c r="B1467" s="14">
        <v>1</v>
      </c>
      <c r="C1467" s="15" t="s">
        <v>2227</v>
      </c>
      <c r="D1467" s="14" t="s">
        <v>1745</v>
      </c>
      <c r="E1467" s="14" t="s">
        <v>1747</v>
      </c>
      <c r="F1467" s="25">
        <v>11980020</v>
      </c>
      <c r="G1467" s="25">
        <v>8386014</v>
      </c>
    </row>
    <row r="1468" spans="1:7" x14ac:dyDescent="0.25">
      <c r="A1468" s="14" t="s">
        <v>2225</v>
      </c>
      <c r="B1468" s="14">
        <v>1</v>
      </c>
      <c r="C1468" s="15" t="s">
        <v>2227</v>
      </c>
      <c r="D1468" s="14" t="s">
        <v>1752</v>
      </c>
      <c r="E1468" s="14" t="s">
        <v>1746</v>
      </c>
      <c r="F1468" s="25">
        <v>37737063</v>
      </c>
      <c r="G1468" s="25">
        <v>26415944</v>
      </c>
    </row>
    <row r="1469" spans="1:7" ht="30" x14ac:dyDescent="0.25">
      <c r="A1469" s="14" t="s">
        <v>2225</v>
      </c>
      <c r="B1469" s="14">
        <v>9</v>
      </c>
      <c r="C1469" s="15" t="s">
        <v>2226</v>
      </c>
      <c r="D1469" s="14" t="s">
        <v>1752</v>
      </c>
      <c r="E1469" s="14" t="s">
        <v>1746</v>
      </c>
      <c r="F1469" s="25">
        <v>18868626</v>
      </c>
      <c r="G1469" s="25">
        <v>16981763</v>
      </c>
    </row>
    <row r="1470" spans="1:7" ht="30" x14ac:dyDescent="0.25">
      <c r="A1470" s="14" t="s">
        <v>2225</v>
      </c>
      <c r="B1470" s="14">
        <v>8</v>
      </c>
      <c r="C1470" s="15" t="s">
        <v>2228</v>
      </c>
      <c r="D1470" s="14" t="s">
        <v>1745</v>
      </c>
      <c r="E1470" s="14" t="s">
        <v>1746</v>
      </c>
      <c r="F1470" s="25">
        <v>6918471</v>
      </c>
      <c r="G1470" s="25">
        <v>4842930</v>
      </c>
    </row>
    <row r="1471" spans="1:7" x14ac:dyDescent="0.25">
      <c r="A1471" s="14" t="s">
        <v>2225</v>
      </c>
      <c r="B1471" s="14">
        <v>1</v>
      </c>
      <c r="C1471" s="15" t="s">
        <v>2227</v>
      </c>
      <c r="D1471" s="14" t="s">
        <v>1752</v>
      </c>
      <c r="E1471" s="14" t="s">
        <v>1753</v>
      </c>
      <c r="F1471" s="25">
        <v>35940060</v>
      </c>
      <c r="G1471" s="25">
        <v>25158042</v>
      </c>
    </row>
    <row r="1472" spans="1:7" x14ac:dyDescent="0.25">
      <c r="A1472" s="14" t="s">
        <v>2225</v>
      </c>
      <c r="B1472" s="14">
        <v>1</v>
      </c>
      <c r="C1472" s="15" t="s">
        <v>2227</v>
      </c>
      <c r="D1472" s="14" t="s">
        <v>1752</v>
      </c>
      <c r="E1472" s="14" t="s">
        <v>1747</v>
      </c>
      <c r="F1472" s="25">
        <v>35940060</v>
      </c>
      <c r="G1472" s="25">
        <v>25158042</v>
      </c>
    </row>
    <row r="1473" spans="1:7" ht="30" x14ac:dyDescent="0.25">
      <c r="A1473" s="14" t="s">
        <v>2225</v>
      </c>
      <c r="B1473" s="14">
        <v>9</v>
      </c>
      <c r="C1473" s="15" t="s">
        <v>2226</v>
      </c>
      <c r="D1473" s="14" t="s">
        <v>1749</v>
      </c>
      <c r="E1473" s="14" t="s">
        <v>1746</v>
      </c>
      <c r="F1473" s="25">
        <v>599004</v>
      </c>
      <c r="G1473" s="25">
        <v>539103.6</v>
      </c>
    </row>
    <row r="1474" spans="1:7" x14ac:dyDescent="0.25">
      <c r="A1474" s="14" t="s">
        <v>2225</v>
      </c>
      <c r="B1474" s="14">
        <v>1</v>
      </c>
      <c r="C1474" s="15" t="s">
        <v>2227</v>
      </c>
      <c r="D1474" s="14" t="s">
        <v>1745</v>
      </c>
      <c r="E1474" s="14" t="s">
        <v>1746</v>
      </c>
      <c r="F1474" s="25">
        <v>12579021</v>
      </c>
      <c r="G1474" s="25">
        <v>8805315</v>
      </c>
    </row>
    <row r="1475" spans="1:7" ht="30" x14ac:dyDescent="0.25">
      <c r="A1475" s="14" t="s">
        <v>2225</v>
      </c>
      <c r="B1475" s="14">
        <v>8</v>
      </c>
      <c r="C1475" s="15" t="s">
        <v>2228</v>
      </c>
      <c r="D1475" s="14" t="s">
        <v>1745</v>
      </c>
      <c r="E1475" s="14" t="s">
        <v>1747</v>
      </c>
      <c r="F1475" s="25">
        <v>6589020</v>
      </c>
      <c r="G1475" s="25">
        <v>4612314</v>
      </c>
    </row>
    <row r="1476" spans="1:7" ht="30" x14ac:dyDescent="0.25">
      <c r="A1476" s="14" t="s">
        <v>2225</v>
      </c>
      <c r="B1476" s="14">
        <v>9</v>
      </c>
      <c r="C1476" s="15" t="s">
        <v>2226</v>
      </c>
      <c r="D1476" s="14" t="s">
        <v>1745</v>
      </c>
      <c r="E1476" s="14" t="s">
        <v>1746</v>
      </c>
      <c r="F1476" s="25">
        <v>6289542</v>
      </c>
      <c r="G1476" s="25">
        <v>5660588</v>
      </c>
    </row>
    <row r="1477" spans="1:7" ht="30" x14ac:dyDescent="0.25">
      <c r="A1477" s="14" t="s">
        <v>2225</v>
      </c>
      <c r="B1477" s="14">
        <v>8</v>
      </c>
      <c r="C1477" s="15" t="s">
        <v>2228</v>
      </c>
      <c r="D1477" s="14" t="s">
        <v>1749</v>
      </c>
      <c r="E1477" s="14" t="s">
        <v>1746</v>
      </c>
      <c r="F1477" s="25">
        <v>658902</v>
      </c>
      <c r="G1477" s="25">
        <v>461231.4</v>
      </c>
    </row>
    <row r="1478" spans="1:7" x14ac:dyDescent="0.25">
      <c r="A1478" s="14" t="s">
        <v>2229</v>
      </c>
      <c r="B1478" s="14" t="s">
        <v>55</v>
      </c>
      <c r="C1478" s="15" t="s">
        <v>2230</v>
      </c>
      <c r="D1478" s="14" t="s">
        <v>1749</v>
      </c>
      <c r="E1478" s="14" t="s">
        <v>1746</v>
      </c>
      <c r="F1478" s="25">
        <v>2748</v>
      </c>
      <c r="G1478" s="25">
        <v>1923.6</v>
      </c>
    </row>
    <row r="1479" spans="1:7" x14ac:dyDescent="0.25">
      <c r="A1479" s="14" t="s">
        <v>2229</v>
      </c>
      <c r="B1479" s="14" t="s">
        <v>89</v>
      </c>
      <c r="C1479" s="15" t="s">
        <v>2231</v>
      </c>
      <c r="D1479" s="14" t="s">
        <v>1745</v>
      </c>
      <c r="E1479" s="14" t="s">
        <v>1746</v>
      </c>
      <c r="F1479" s="25">
        <v>13104</v>
      </c>
      <c r="G1479" s="25">
        <v>11793.6</v>
      </c>
    </row>
    <row r="1480" spans="1:7" x14ac:dyDescent="0.25">
      <c r="A1480" s="14" t="s">
        <v>2229</v>
      </c>
      <c r="B1480" s="14">
        <v>1</v>
      </c>
      <c r="C1480" s="15" t="s">
        <v>2232</v>
      </c>
      <c r="D1480" s="14" t="s">
        <v>1745</v>
      </c>
      <c r="E1480" s="14" t="s">
        <v>1747</v>
      </c>
      <c r="F1480" s="25">
        <v>49920</v>
      </c>
      <c r="G1480" s="25">
        <v>34944</v>
      </c>
    </row>
    <row r="1481" spans="1:7" x14ac:dyDescent="0.25">
      <c r="A1481" s="14" t="s">
        <v>2229</v>
      </c>
      <c r="B1481" s="14" t="s">
        <v>73</v>
      </c>
      <c r="C1481" s="15" t="s">
        <v>2233</v>
      </c>
      <c r="D1481" s="14" t="s">
        <v>1749</v>
      </c>
      <c r="E1481" s="14" t="s">
        <v>1746</v>
      </c>
      <c r="F1481" s="25">
        <v>1998</v>
      </c>
      <c r="G1481" s="25">
        <v>1398.6</v>
      </c>
    </row>
    <row r="1482" spans="1:7" x14ac:dyDescent="0.25">
      <c r="A1482" s="14" t="s">
        <v>2229</v>
      </c>
      <c r="B1482" s="14" t="s">
        <v>73</v>
      </c>
      <c r="C1482" s="15" t="s">
        <v>2233</v>
      </c>
      <c r="D1482" s="14" t="s">
        <v>1745</v>
      </c>
      <c r="E1482" s="14" t="s">
        <v>1747</v>
      </c>
      <c r="F1482" s="25">
        <v>19980</v>
      </c>
      <c r="G1482" s="25">
        <v>13986</v>
      </c>
    </row>
    <row r="1483" spans="1:7" x14ac:dyDescent="0.25">
      <c r="A1483" s="14" t="s">
        <v>2229</v>
      </c>
      <c r="B1483" s="14">
        <v>1</v>
      </c>
      <c r="C1483" s="15" t="s">
        <v>2232</v>
      </c>
      <c r="D1483" s="14" t="s">
        <v>1752</v>
      </c>
      <c r="E1483" s="14" t="s">
        <v>1747</v>
      </c>
      <c r="F1483" s="25">
        <v>149760</v>
      </c>
      <c r="G1483" s="25">
        <v>104832</v>
      </c>
    </row>
    <row r="1484" spans="1:7" x14ac:dyDescent="0.25">
      <c r="A1484" s="14" t="s">
        <v>2229</v>
      </c>
      <c r="B1484" s="14">
        <v>1</v>
      </c>
      <c r="C1484" s="15" t="s">
        <v>2232</v>
      </c>
      <c r="D1484" s="14" t="s">
        <v>1752</v>
      </c>
      <c r="E1484" s="14" t="s">
        <v>1753</v>
      </c>
      <c r="F1484" s="25">
        <v>149760</v>
      </c>
      <c r="G1484" s="25">
        <v>104832</v>
      </c>
    </row>
    <row r="1485" spans="1:7" x14ac:dyDescent="0.25">
      <c r="A1485" s="14" t="s">
        <v>2229</v>
      </c>
      <c r="B1485" s="14">
        <v>1</v>
      </c>
      <c r="C1485" s="15" t="s">
        <v>2232</v>
      </c>
      <c r="D1485" s="14" t="s">
        <v>1745</v>
      </c>
      <c r="E1485" s="14" t="s">
        <v>1746</v>
      </c>
      <c r="F1485" s="25">
        <v>52416</v>
      </c>
      <c r="G1485" s="25">
        <v>36691.199999999997</v>
      </c>
    </row>
    <row r="1486" spans="1:7" x14ac:dyDescent="0.25">
      <c r="A1486" s="14" t="s">
        <v>2229</v>
      </c>
      <c r="B1486" s="14" t="s">
        <v>89</v>
      </c>
      <c r="C1486" s="15" t="s">
        <v>2231</v>
      </c>
      <c r="D1486" s="14" t="s">
        <v>1749</v>
      </c>
      <c r="E1486" s="14" t="s">
        <v>1746</v>
      </c>
      <c r="F1486" s="25">
        <v>1248</v>
      </c>
      <c r="G1486" s="25">
        <v>1123.2</v>
      </c>
    </row>
    <row r="1487" spans="1:7" x14ac:dyDescent="0.25">
      <c r="A1487" s="14" t="s">
        <v>2229</v>
      </c>
      <c r="B1487" s="14" t="s">
        <v>89</v>
      </c>
      <c r="C1487" s="15" t="s">
        <v>2231</v>
      </c>
      <c r="D1487" s="14" t="s">
        <v>1752</v>
      </c>
      <c r="E1487" s="14" t="s">
        <v>1747</v>
      </c>
      <c r="F1487" s="25">
        <v>37440</v>
      </c>
      <c r="G1487" s="25">
        <v>33696</v>
      </c>
    </row>
    <row r="1488" spans="1:7" x14ac:dyDescent="0.25">
      <c r="A1488" s="14" t="s">
        <v>2229</v>
      </c>
      <c r="B1488" s="14">
        <v>1</v>
      </c>
      <c r="C1488" s="15" t="s">
        <v>2232</v>
      </c>
      <c r="D1488" s="14" t="s">
        <v>1749</v>
      </c>
      <c r="E1488" s="14" t="s">
        <v>1746</v>
      </c>
      <c r="F1488" s="25">
        <v>4992</v>
      </c>
      <c r="G1488" s="25">
        <v>3494.4</v>
      </c>
    </row>
    <row r="1489" spans="1:7" x14ac:dyDescent="0.25">
      <c r="A1489" s="14" t="s">
        <v>2229</v>
      </c>
      <c r="B1489" s="14" t="s">
        <v>73</v>
      </c>
      <c r="C1489" s="15" t="s">
        <v>2233</v>
      </c>
      <c r="D1489" s="14" t="s">
        <v>1745</v>
      </c>
      <c r="E1489" s="14" t="s">
        <v>1746</v>
      </c>
      <c r="F1489" s="25">
        <v>20979</v>
      </c>
      <c r="G1489" s="25">
        <v>14685.36</v>
      </c>
    </row>
    <row r="1490" spans="1:7" x14ac:dyDescent="0.25">
      <c r="A1490" s="14" t="s">
        <v>2229</v>
      </c>
      <c r="B1490" s="14" t="s">
        <v>89</v>
      </c>
      <c r="C1490" s="15" t="s">
        <v>2231</v>
      </c>
      <c r="D1490" s="14" t="s">
        <v>1745</v>
      </c>
      <c r="E1490" s="14" t="s">
        <v>1747</v>
      </c>
      <c r="F1490" s="25">
        <v>12480</v>
      </c>
      <c r="G1490" s="25">
        <v>11232</v>
      </c>
    </row>
    <row r="1491" spans="1:7" x14ac:dyDescent="0.25">
      <c r="A1491" s="14" t="s">
        <v>2229</v>
      </c>
      <c r="B1491" s="14" t="s">
        <v>89</v>
      </c>
      <c r="C1491" s="15" t="s">
        <v>2231</v>
      </c>
      <c r="D1491" s="14" t="s">
        <v>1752</v>
      </c>
      <c r="E1491" s="14" t="s">
        <v>1746</v>
      </c>
      <c r="F1491" s="25">
        <v>39312</v>
      </c>
      <c r="G1491" s="25">
        <v>35380.800000000003</v>
      </c>
    </row>
    <row r="1492" spans="1:7" x14ac:dyDescent="0.25">
      <c r="A1492" s="14" t="s">
        <v>2229</v>
      </c>
      <c r="B1492" s="14">
        <v>1</v>
      </c>
      <c r="C1492" s="15" t="s">
        <v>2232</v>
      </c>
      <c r="D1492" s="14" t="s">
        <v>1752</v>
      </c>
      <c r="E1492" s="14" t="s">
        <v>1746</v>
      </c>
      <c r="F1492" s="25">
        <v>157248</v>
      </c>
      <c r="G1492" s="25">
        <v>110073.60000000001</v>
      </c>
    </row>
    <row r="1493" spans="1:7" x14ac:dyDescent="0.25">
      <c r="A1493" s="14" t="s">
        <v>2229</v>
      </c>
      <c r="B1493" s="14" t="s">
        <v>55</v>
      </c>
      <c r="C1493" s="15" t="s">
        <v>2230</v>
      </c>
      <c r="D1493" s="14" t="s">
        <v>1745</v>
      </c>
      <c r="E1493" s="14" t="s">
        <v>1747</v>
      </c>
      <c r="F1493" s="25">
        <v>27480</v>
      </c>
      <c r="G1493" s="25">
        <v>19236</v>
      </c>
    </row>
    <row r="1494" spans="1:7" x14ac:dyDescent="0.25">
      <c r="A1494" s="14" t="s">
        <v>2229</v>
      </c>
      <c r="B1494" s="14" t="s">
        <v>55</v>
      </c>
      <c r="C1494" s="15" t="s">
        <v>2230</v>
      </c>
      <c r="D1494" s="14" t="s">
        <v>1745</v>
      </c>
      <c r="E1494" s="14" t="s">
        <v>1746</v>
      </c>
      <c r="F1494" s="25">
        <v>28854</v>
      </c>
      <c r="G1494" s="25">
        <v>20197.8</v>
      </c>
    </row>
    <row r="1495" spans="1:7" x14ac:dyDescent="0.25">
      <c r="A1495" s="14" t="s">
        <v>2234</v>
      </c>
      <c r="B1495" s="14" t="s">
        <v>20</v>
      </c>
      <c r="C1495" s="15" t="s">
        <v>2235</v>
      </c>
      <c r="D1495" s="14" t="s">
        <v>1749</v>
      </c>
      <c r="E1495" s="14" t="s">
        <v>1746</v>
      </c>
      <c r="F1495" s="25">
        <v>4668</v>
      </c>
      <c r="G1495" s="25">
        <v>3267.6</v>
      </c>
    </row>
    <row r="1496" spans="1:7" x14ac:dyDescent="0.25">
      <c r="A1496" s="14" t="s">
        <v>2234</v>
      </c>
      <c r="B1496" s="14">
        <v>1</v>
      </c>
      <c r="C1496" s="15" t="s">
        <v>2236</v>
      </c>
      <c r="D1496" s="14" t="s">
        <v>1749</v>
      </c>
      <c r="E1496" s="14" t="s">
        <v>1746</v>
      </c>
      <c r="F1496" s="25">
        <v>8484</v>
      </c>
      <c r="G1496" s="25">
        <v>5938.8</v>
      </c>
    </row>
    <row r="1497" spans="1:7" x14ac:dyDescent="0.25">
      <c r="A1497" s="14" t="s">
        <v>2234</v>
      </c>
      <c r="B1497" s="14">
        <v>1</v>
      </c>
      <c r="C1497" s="15" t="s">
        <v>2236</v>
      </c>
      <c r="D1497" s="14" t="s">
        <v>1745</v>
      </c>
      <c r="E1497" s="14" t="s">
        <v>1747</v>
      </c>
      <c r="F1497" s="25">
        <v>84840</v>
      </c>
      <c r="G1497" s="25">
        <v>59388</v>
      </c>
    </row>
    <row r="1498" spans="1:7" x14ac:dyDescent="0.25">
      <c r="A1498" s="14" t="s">
        <v>2234</v>
      </c>
      <c r="B1498" s="14" t="s">
        <v>20</v>
      </c>
      <c r="C1498" s="15" t="s">
        <v>2235</v>
      </c>
      <c r="D1498" s="14" t="s">
        <v>1745</v>
      </c>
      <c r="E1498" s="14" t="s">
        <v>1746</v>
      </c>
      <c r="F1498" s="25">
        <v>49014</v>
      </c>
      <c r="G1498" s="25">
        <v>34309.800000000003</v>
      </c>
    </row>
    <row r="1499" spans="1:7" x14ac:dyDescent="0.25">
      <c r="A1499" s="14" t="s">
        <v>2234</v>
      </c>
      <c r="B1499" s="14">
        <v>9</v>
      </c>
      <c r="C1499" s="15" t="s">
        <v>2237</v>
      </c>
      <c r="D1499" s="14" t="s">
        <v>1752</v>
      </c>
      <c r="E1499" s="14" t="s">
        <v>1746</v>
      </c>
      <c r="F1499" s="25">
        <v>66906</v>
      </c>
      <c r="G1499" s="25">
        <v>60215.4</v>
      </c>
    </row>
    <row r="1500" spans="1:7" x14ac:dyDescent="0.25">
      <c r="A1500" s="14" t="s">
        <v>2234</v>
      </c>
      <c r="B1500" s="14" t="s">
        <v>16</v>
      </c>
      <c r="C1500" s="15" t="s">
        <v>2238</v>
      </c>
      <c r="D1500" s="14" t="s">
        <v>1745</v>
      </c>
      <c r="E1500" s="14" t="s">
        <v>1747</v>
      </c>
      <c r="F1500" s="25">
        <v>33960</v>
      </c>
      <c r="G1500" s="25">
        <v>23772</v>
      </c>
    </row>
    <row r="1501" spans="1:7" x14ac:dyDescent="0.25">
      <c r="A1501" s="14" t="s">
        <v>2234</v>
      </c>
      <c r="B1501" s="14">
        <v>9</v>
      </c>
      <c r="C1501" s="15" t="s">
        <v>2237</v>
      </c>
      <c r="D1501" s="14" t="s">
        <v>1752</v>
      </c>
      <c r="E1501" s="14" t="s">
        <v>1747</v>
      </c>
      <c r="F1501" s="25">
        <v>63720</v>
      </c>
      <c r="G1501" s="25">
        <v>57348</v>
      </c>
    </row>
    <row r="1502" spans="1:7" x14ac:dyDescent="0.25">
      <c r="A1502" s="14" t="s">
        <v>2234</v>
      </c>
      <c r="B1502" s="14">
        <v>1</v>
      </c>
      <c r="C1502" s="15" t="s">
        <v>2236</v>
      </c>
      <c r="D1502" s="14" t="s">
        <v>1745</v>
      </c>
      <c r="E1502" s="14" t="s">
        <v>1746</v>
      </c>
      <c r="F1502" s="25">
        <v>89082</v>
      </c>
      <c r="G1502" s="25">
        <v>62357.4</v>
      </c>
    </row>
    <row r="1503" spans="1:7" x14ac:dyDescent="0.25">
      <c r="A1503" s="14" t="s">
        <v>2234</v>
      </c>
      <c r="B1503" s="14">
        <v>9</v>
      </c>
      <c r="C1503" s="15" t="s">
        <v>2237</v>
      </c>
      <c r="D1503" s="14" t="s">
        <v>1745</v>
      </c>
      <c r="E1503" s="14" t="s">
        <v>1746</v>
      </c>
      <c r="F1503" s="25">
        <v>22302</v>
      </c>
      <c r="G1503" s="25">
        <v>20071.8</v>
      </c>
    </row>
    <row r="1504" spans="1:7" x14ac:dyDescent="0.25">
      <c r="A1504" s="14" t="s">
        <v>2234</v>
      </c>
      <c r="B1504" s="14">
        <v>9</v>
      </c>
      <c r="C1504" s="15" t="s">
        <v>2237</v>
      </c>
      <c r="D1504" s="14" t="s">
        <v>1745</v>
      </c>
      <c r="E1504" s="14" t="s">
        <v>1747</v>
      </c>
      <c r="F1504" s="25">
        <v>21240</v>
      </c>
      <c r="G1504" s="25">
        <v>19116</v>
      </c>
    </row>
    <row r="1505" spans="1:7" x14ac:dyDescent="0.25">
      <c r="A1505" s="14" t="s">
        <v>2234</v>
      </c>
      <c r="B1505" s="14" t="s">
        <v>16</v>
      </c>
      <c r="C1505" s="15" t="s">
        <v>2238</v>
      </c>
      <c r="D1505" s="14" t="s">
        <v>1749</v>
      </c>
      <c r="E1505" s="14" t="s">
        <v>1746</v>
      </c>
      <c r="F1505" s="25">
        <v>3396</v>
      </c>
      <c r="G1505" s="25">
        <v>2377.1999999999998</v>
      </c>
    </row>
    <row r="1506" spans="1:7" x14ac:dyDescent="0.25">
      <c r="A1506" s="14" t="s">
        <v>2234</v>
      </c>
      <c r="B1506" s="14" t="s">
        <v>16</v>
      </c>
      <c r="C1506" s="15" t="s">
        <v>2238</v>
      </c>
      <c r="D1506" s="14" t="s">
        <v>1745</v>
      </c>
      <c r="E1506" s="14" t="s">
        <v>1746</v>
      </c>
      <c r="F1506" s="25">
        <v>35658</v>
      </c>
      <c r="G1506" s="25">
        <v>24960.6</v>
      </c>
    </row>
    <row r="1507" spans="1:7" x14ac:dyDescent="0.25">
      <c r="A1507" s="14" t="s">
        <v>2234</v>
      </c>
      <c r="B1507" s="14">
        <v>1</v>
      </c>
      <c r="C1507" s="15" t="s">
        <v>2236</v>
      </c>
      <c r="D1507" s="14" t="s">
        <v>1752</v>
      </c>
      <c r="E1507" s="14" t="s">
        <v>1753</v>
      </c>
      <c r="F1507" s="25">
        <v>254520</v>
      </c>
      <c r="G1507" s="25">
        <v>178164</v>
      </c>
    </row>
    <row r="1508" spans="1:7" x14ac:dyDescent="0.25">
      <c r="A1508" s="14" t="s">
        <v>2234</v>
      </c>
      <c r="B1508" s="14">
        <v>9</v>
      </c>
      <c r="C1508" s="15" t="s">
        <v>2237</v>
      </c>
      <c r="D1508" s="14" t="s">
        <v>1749</v>
      </c>
      <c r="E1508" s="14" t="s">
        <v>1746</v>
      </c>
      <c r="F1508" s="25">
        <v>2124</v>
      </c>
      <c r="G1508" s="25">
        <v>1911.6</v>
      </c>
    </row>
    <row r="1509" spans="1:7" x14ac:dyDescent="0.25">
      <c r="A1509" s="14" t="s">
        <v>2234</v>
      </c>
      <c r="B1509" s="14">
        <v>1</v>
      </c>
      <c r="C1509" s="15" t="s">
        <v>2236</v>
      </c>
      <c r="D1509" s="14" t="s">
        <v>1752</v>
      </c>
      <c r="E1509" s="14" t="s">
        <v>1746</v>
      </c>
      <c r="F1509" s="25">
        <v>267246</v>
      </c>
      <c r="G1509" s="25">
        <v>187072.2</v>
      </c>
    </row>
    <row r="1510" spans="1:7" x14ac:dyDescent="0.25">
      <c r="A1510" s="14" t="s">
        <v>2234</v>
      </c>
      <c r="B1510" s="14">
        <v>1</v>
      </c>
      <c r="C1510" s="15" t="s">
        <v>2236</v>
      </c>
      <c r="D1510" s="14" t="s">
        <v>1752</v>
      </c>
      <c r="E1510" s="14" t="s">
        <v>1747</v>
      </c>
      <c r="F1510" s="25">
        <v>254520</v>
      </c>
      <c r="G1510" s="25">
        <v>178164</v>
      </c>
    </row>
    <row r="1511" spans="1:7" x14ac:dyDescent="0.25">
      <c r="A1511" s="14" t="s">
        <v>2234</v>
      </c>
      <c r="B1511" s="14" t="s">
        <v>20</v>
      </c>
      <c r="C1511" s="15" t="s">
        <v>2235</v>
      </c>
      <c r="D1511" s="14" t="s">
        <v>1745</v>
      </c>
      <c r="E1511" s="14" t="s">
        <v>1747</v>
      </c>
      <c r="F1511" s="25">
        <v>46680</v>
      </c>
      <c r="G1511" s="25">
        <v>32676</v>
      </c>
    </row>
    <row r="1512" spans="1:7" x14ac:dyDescent="0.25">
      <c r="A1512" s="14" t="s">
        <v>2239</v>
      </c>
      <c r="B1512" s="14">
        <v>1</v>
      </c>
      <c r="C1512" s="15" t="s">
        <v>2240</v>
      </c>
      <c r="D1512" s="14" t="s">
        <v>1749</v>
      </c>
      <c r="E1512" s="14" t="s">
        <v>1746</v>
      </c>
      <c r="F1512" s="25">
        <v>13476</v>
      </c>
      <c r="G1512" s="25">
        <v>9433.2000000000007</v>
      </c>
    </row>
    <row r="1513" spans="1:7" x14ac:dyDescent="0.25">
      <c r="A1513" s="14" t="s">
        <v>2239</v>
      </c>
      <c r="B1513" s="14" t="s">
        <v>195</v>
      </c>
      <c r="C1513" s="15" t="s">
        <v>2241</v>
      </c>
      <c r="D1513" s="14" t="s">
        <v>1745</v>
      </c>
      <c r="E1513" s="14" t="s">
        <v>1746</v>
      </c>
      <c r="F1513" s="25">
        <v>12600</v>
      </c>
      <c r="G1513" s="25">
        <v>8820</v>
      </c>
    </row>
    <row r="1514" spans="1:7" x14ac:dyDescent="0.25">
      <c r="A1514" s="14" t="s">
        <v>2239</v>
      </c>
      <c r="B1514" s="14" t="s">
        <v>32</v>
      </c>
      <c r="C1514" s="15" t="s">
        <v>2242</v>
      </c>
      <c r="D1514" s="14" t="s">
        <v>1749</v>
      </c>
      <c r="E1514" s="14" t="s">
        <v>1746</v>
      </c>
      <c r="F1514" s="25">
        <v>1500</v>
      </c>
      <c r="G1514" s="25">
        <v>1350</v>
      </c>
    </row>
    <row r="1515" spans="1:7" x14ac:dyDescent="0.25">
      <c r="A1515" s="14" t="s">
        <v>2239</v>
      </c>
      <c r="B1515" s="14" t="s">
        <v>32</v>
      </c>
      <c r="C1515" s="15" t="s">
        <v>2242</v>
      </c>
      <c r="D1515" s="14" t="s">
        <v>1745</v>
      </c>
      <c r="E1515" s="14" t="s">
        <v>1747</v>
      </c>
      <c r="F1515" s="25">
        <v>15000</v>
      </c>
      <c r="G1515" s="25">
        <v>13500</v>
      </c>
    </row>
    <row r="1516" spans="1:7" x14ac:dyDescent="0.25">
      <c r="A1516" s="14" t="s">
        <v>2239</v>
      </c>
      <c r="B1516" s="14" t="s">
        <v>195</v>
      </c>
      <c r="C1516" s="15" t="s">
        <v>2241</v>
      </c>
      <c r="D1516" s="14" t="s">
        <v>1749</v>
      </c>
      <c r="E1516" s="14" t="s">
        <v>1746</v>
      </c>
      <c r="F1516" s="25">
        <v>1200</v>
      </c>
      <c r="G1516" s="25">
        <v>840</v>
      </c>
    </row>
    <row r="1517" spans="1:7" x14ac:dyDescent="0.25">
      <c r="A1517" s="14" t="s">
        <v>2239</v>
      </c>
      <c r="B1517" s="14" t="s">
        <v>39</v>
      </c>
      <c r="C1517" s="15" t="s">
        <v>2243</v>
      </c>
      <c r="D1517" s="14" t="s">
        <v>1745</v>
      </c>
      <c r="E1517" s="14" t="s">
        <v>1747</v>
      </c>
      <c r="F1517" s="25">
        <v>53940</v>
      </c>
      <c r="G1517" s="25">
        <v>48546</v>
      </c>
    </row>
    <row r="1518" spans="1:7" x14ac:dyDescent="0.25">
      <c r="A1518" s="14" t="s">
        <v>2239</v>
      </c>
      <c r="B1518" s="14" t="s">
        <v>32</v>
      </c>
      <c r="C1518" s="15" t="s">
        <v>2242</v>
      </c>
      <c r="D1518" s="14" t="s">
        <v>1752</v>
      </c>
      <c r="E1518" s="14" t="s">
        <v>1746</v>
      </c>
      <c r="F1518" s="25">
        <v>47250</v>
      </c>
      <c r="G1518" s="25">
        <v>42525</v>
      </c>
    </row>
    <row r="1519" spans="1:7" x14ac:dyDescent="0.25">
      <c r="A1519" s="14" t="s">
        <v>2239</v>
      </c>
      <c r="B1519" s="14" t="s">
        <v>39</v>
      </c>
      <c r="C1519" s="15" t="s">
        <v>2243</v>
      </c>
      <c r="D1519" s="14" t="s">
        <v>1752</v>
      </c>
      <c r="E1519" s="14" t="s">
        <v>1746</v>
      </c>
      <c r="F1519" s="25">
        <v>169911</v>
      </c>
      <c r="G1519" s="25">
        <v>152920.1</v>
      </c>
    </row>
    <row r="1520" spans="1:7" x14ac:dyDescent="0.25">
      <c r="A1520" s="14" t="s">
        <v>2239</v>
      </c>
      <c r="B1520" s="14">
        <v>1</v>
      </c>
      <c r="C1520" s="15" t="s">
        <v>2240</v>
      </c>
      <c r="D1520" s="14" t="s">
        <v>1745</v>
      </c>
      <c r="E1520" s="14" t="s">
        <v>1747</v>
      </c>
      <c r="F1520" s="25">
        <v>134760</v>
      </c>
      <c r="G1520" s="25">
        <v>94332</v>
      </c>
    </row>
    <row r="1521" spans="1:7" x14ac:dyDescent="0.25">
      <c r="A1521" s="14" t="s">
        <v>2239</v>
      </c>
      <c r="B1521" s="14" t="s">
        <v>122</v>
      </c>
      <c r="C1521" s="15" t="s">
        <v>2244</v>
      </c>
      <c r="D1521" s="14" t="s">
        <v>1745</v>
      </c>
      <c r="E1521" s="14" t="s">
        <v>1746</v>
      </c>
      <c r="F1521" s="25">
        <v>56637</v>
      </c>
      <c r="G1521" s="25">
        <v>39645.96</v>
      </c>
    </row>
    <row r="1522" spans="1:7" x14ac:dyDescent="0.25">
      <c r="A1522" s="14" t="s">
        <v>2239</v>
      </c>
      <c r="B1522" s="14">
        <v>1</v>
      </c>
      <c r="C1522" s="15" t="s">
        <v>2240</v>
      </c>
      <c r="D1522" s="14" t="s">
        <v>1745</v>
      </c>
      <c r="E1522" s="14" t="s">
        <v>1746</v>
      </c>
      <c r="F1522" s="25">
        <v>141498</v>
      </c>
      <c r="G1522" s="25">
        <v>99048.6</v>
      </c>
    </row>
    <row r="1523" spans="1:7" x14ac:dyDescent="0.25">
      <c r="A1523" s="14" t="s">
        <v>2239</v>
      </c>
      <c r="B1523" s="14" t="s">
        <v>28</v>
      </c>
      <c r="C1523" s="15" t="s">
        <v>2245</v>
      </c>
      <c r="D1523" s="14" t="s">
        <v>1745</v>
      </c>
      <c r="E1523" s="14" t="s">
        <v>1746</v>
      </c>
      <c r="F1523" s="25">
        <v>17325</v>
      </c>
      <c r="G1523" s="25">
        <v>12127.56</v>
      </c>
    </row>
    <row r="1524" spans="1:7" x14ac:dyDescent="0.25">
      <c r="A1524" s="14" t="s">
        <v>2239</v>
      </c>
      <c r="B1524" s="14">
        <v>1</v>
      </c>
      <c r="C1524" s="15" t="s">
        <v>2240</v>
      </c>
      <c r="D1524" s="14" t="s">
        <v>1752</v>
      </c>
      <c r="E1524" s="14" t="s">
        <v>1753</v>
      </c>
      <c r="F1524" s="25">
        <v>404280</v>
      </c>
      <c r="G1524" s="25">
        <v>282996</v>
      </c>
    </row>
    <row r="1525" spans="1:7" x14ac:dyDescent="0.25">
      <c r="A1525" s="14" t="s">
        <v>2239</v>
      </c>
      <c r="B1525" s="14" t="s">
        <v>28</v>
      </c>
      <c r="C1525" s="15" t="s">
        <v>2245</v>
      </c>
      <c r="D1525" s="14" t="s">
        <v>1749</v>
      </c>
      <c r="E1525" s="14" t="s">
        <v>1746</v>
      </c>
      <c r="F1525" s="25">
        <v>1650</v>
      </c>
      <c r="G1525" s="25">
        <v>1155</v>
      </c>
    </row>
    <row r="1526" spans="1:7" x14ac:dyDescent="0.25">
      <c r="A1526" s="14" t="s">
        <v>2239</v>
      </c>
      <c r="B1526" s="14">
        <v>1</v>
      </c>
      <c r="C1526" s="15" t="s">
        <v>2240</v>
      </c>
      <c r="D1526" s="14" t="s">
        <v>1752</v>
      </c>
      <c r="E1526" s="14" t="s">
        <v>1747</v>
      </c>
      <c r="F1526" s="25">
        <v>404280</v>
      </c>
      <c r="G1526" s="25">
        <v>282996</v>
      </c>
    </row>
    <row r="1527" spans="1:7" x14ac:dyDescent="0.25">
      <c r="A1527" s="14" t="s">
        <v>2239</v>
      </c>
      <c r="B1527" s="14">
        <v>2</v>
      </c>
      <c r="C1527" s="15" t="s">
        <v>2246</v>
      </c>
      <c r="D1527" s="14" t="s">
        <v>1745</v>
      </c>
      <c r="E1527" s="14" t="s">
        <v>1746</v>
      </c>
      <c r="F1527" s="25">
        <v>31437</v>
      </c>
      <c r="G1527" s="25">
        <v>22005.96</v>
      </c>
    </row>
    <row r="1528" spans="1:7" x14ac:dyDescent="0.25">
      <c r="A1528" s="14" t="s">
        <v>2239</v>
      </c>
      <c r="B1528" s="14" t="s">
        <v>46</v>
      </c>
      <c r="C1528" s="15" t="s">
        <v>2247</v>
      </c>
      <c r="D1528" s="14" t="s">
        <v>1745</v>
      </c>
      <c r="E1528" s="14" t="s">
        <v>1746</v>
      </c>
      <c r="F1528" s="25">
        <v>77805</v>
      </c>
      <c r="G1528" s="25">
        <v>54463.56</v>
      </c>
    </row>
    <row r="1529" spans="1:7" x14ac:dyDescent="0.25">
      <c r="A1529" s="14" t="s">
        <v>2239</v>
      </c>
      <c r="B1529" s="14" t="s">
        <v>195</v>
      </c>
      <c r="C1529" s="15" t="s">
        <v>2241</v>
      </c>
      <c r="D1529" s="14" t="s">
        <v>1745</v>
      </c>
      <c r="E1529" s="14" t="s">
        <v>1747</v>
      </c>
      <c r="F1529" s="25">
        <v>12000</v>
      </c>
      <c r="G1529" s="25">
        <v>8400</v>
      </c>
    </row>
    <row r="1530" spans="1:7" x14ac:dyDescent="0.25">
      <c r="A1530" s="14" t="s">
        <v>2239</v>
      </c>
      <c r="B1530" s="14" t="s">
        <v>28</v>
      </c>
      <c r="C1530" s="15" t="s">
        <v>2245</v>
      </c>
      <c r="D1530" s="14" t="s">
        <v>1745</v>
      </c>
      <c r="E1530" s="14" t="s">
        <v>1747</v>
      </c>
      <c r="F1530" s="25">
        <v>16500</v>
      </c>
      <c r="G1530" s="25">
        <v>11550</v>
      </c>
    </row>
    <row r="1531" spans="1:7" x14ac:dyDescent="0.25">
      <c r="A1531" s="14" t="s">
        <v>2239</v>
      </c>
      <c r="B1531" s="14" t="s">
        <v>46</v>
      </c>
      <c r="C1531" s="15" t="s">
        <v>2247</v>
      </c>
      <c r="D1531" s="14" t="s">
        <v>1745</v>
      </c>
      <c r="E1531" s="14" t="s">
        <v>1747</v>
      </c>
      <c r="F1531" s="25">
        <v>74100</v>
      </c>
      <c r="G1531" s="25">
        <v>51870</v>
      </c>
    </row>
    <row r="1532" spans="1:7" x14ac:dyDescent="0.25">
      <c r="A1532" s="14" t="s">
        <v>2239</v>
      </c>
      <c r="B1532" s="14">
        <v>2</v>
      </c>
      <c r="C1532" s="15" t="s">
        <v>2246</v>
      </c>
      <c r="D1532" s="14" t="s">
        <v>1752</v>
      </c>
      <c r="E1532" s="14" t="s">
        <v>1747</v>
      </c>
      <c r="F1532" s="25">
        <v>89820</v>
      </c>
      <c r="G1532" s="25">
        <v>62874</v>
      </c>
    </row>
    <row r="1533" spans="1:7" x14ac:dyDescent="0.25">
      <c r="A1533" s="14" t="s">
        <v>2239</v>
      </c>
      <c r="B1533" s="14" t="s">
        <v>46</v>
      </c>
      <c r="C1533" s="15" t="s">
        <v>2247</v>
      </c>
      <c r="D1533" s="14" t="s">
        <v>1749</v>
      </c>
      <c r="E1533" s="14" t="s">
        <v>1746</v>
      </c>
      <c r="F1533" s="25">
        <v>7410</v>
      </c>
      <c r="G1533" s="25">
        <v>5187</v>
      </c>
    </row>
    <row r="1534" spans="1:7" x14ac:dyDescent="0.25">
      <c r="A1534" s="14" t="s">
        <v>2239</v>
      </c>
      <c r="B1534" s="14" t="s">
        <v>32</v>
      </c>
      <c r="C1534" s="15" t="s">
        <v>2242</v>
      </c>
      <c r="D1534" s="14" t="s">
        <v>1745</v>
      </c>
      <c r="E1534" s="14" t="s">
        <v>1746</v>
      </c>
      <c r="F1534" s="25">
        <v>15750</v>
      </c>
      <c r="G1534" s="25">
        <v>14175</v>
      </c>
    </row>
    <row r="1535" spans="1:7" x14ac:dyDescent="0.25">
      <c r="A1535" s="14" t="s">
        <v>2239</v>
      </c>
      <c r="B1535" s="14" t="s">
        <v>122</v>
      </c>
      <c r="C1535" s="15" t="s">
        <v>2244</v>
      </c>
      <c r="D1535" s="14" t="s">
        <v>1745</v>
      </c>
      <c r="E1535" s="14" t="s">
        <v>1747</v>
      </c>
      <c r="F1535" s="25">
        <v>53940</v>
      </c>
      <c r="G1535" s="25">
        <v>37758</v>
      </c>
    </row>
    <row r="1536" spans="1:7" x14ac:dyDescent="0.25">
      <c r="A1536" s="14" t="s">
        <v>2239</v>
      </c>
      <c r="B1536" s="14" t="s">
        <v>39</v>
      </c>
      <c r="C1536" s="15" t="s">
        <v>2243</v>
      </c>
      <c r="D1536" s="14" t="s">
        <v>1749</v>
      </c>
      <c r="E1536" s="14" t="s">
        <v>1746</v>
      </c>
      <c r="F1536" s="25">
        <v>5394</v>
      </c>
      <c r="G1536" s="25">
        <v>4854.6000000000004</v>
      </c>
    </row>
    <row r="1537" spans="1:7" x14ac:dyDescent="0.25">
      <c r="A1537" s="14" t="s">
        <v>2239</v>
      </c>
      <c r="B1537" s="14" t="s">
        <v>39</v>
      </c>
      <c r="C1537" s="15" t="s">
        <v>2243</v>
      </c>
      <c r="D1537" s="14" t="s">
        <v>1752</v>
      </c>
      <c r="E1537" s="14" t="s">
        <v>1747</v>
      </c>
      <c r="F1537" s="25">
        <v>161820</v>
      </c>
      <c r="G1537" s="25">
        <v>145638</v>
      </c>
    </row>
    <row r="1538" spans="1:7" x14ac:dyDescent="0.25">
      <c r="A1538" s="14" t="s">
        <v>2239</v>
      </c>
      <c r="B1538" s="14">
        <v>1</v>
      </c>
      <c r="C1538" s="15" t="s">
        <v>2240</v>
      </c>
      <c r="D1538" s="14" t="s">
        <v>1752</v>
      </c>
      <c r="E1538" s="14" t="s">
        <v>1746</v>
      </c>
      <c r="F1538" s="25">
        <v>424494</v>
      </c>
      <c r="G1538" s="25">
        <v>297145.8</v>
      </c>
    </row>
    <row r="1539" spans="1:7" x14ac:dyDescent="0.25">
      <c r="A1539" s="14" t="s">
        <v>2239</v>
      </c>
      <c r="B1539" s="14" t="s">
        <v>32</v>
      </c>
      <c r="C1539" s="15" t="s">
        <v>2242</v>
      </c>
      <c r="D1539" s="14" t="s">
        <v>1752</v>
      </c>
      <c r="E1539" s="14" t="s">
        <v>1747</v>
      </c>
      <c r="F1539" s="25">
        <v>45000</v>
      </c>
      <c r="G1539" s="25">
        <v>40500</v>
      </c>
    </row>
    <row r="1540" spans="1:7" x14ac:dyDescent="0.25">
      <c r="A1540" s="14" t="s">
        <v>2239</v>
      </c>
      <c r="B1540" s="14">
        <v>2</v>
      </c>
      <c r="C1540" s="15" t="s">
        <v>2246</v>
      </c>
      <c r="D1540" s="14" t="s">
        <v>1752</v>
      </c>
      <c r="E1540" s="14" t="s">
        <v>1753</v>
      </c>
      <c r="F1540" s="25">
        <v>89820</v>
      </c>
      <c r="G1540" s="25">
        <v>62874</v>
      </c>
    </row>
    <row r="1541" spans="1:7" x14ac:dyDescent="0.25">
      <c r="A1541" s="14" t="s">
        <v>2239</v>
      </c>
      <c r="B1541" s="14">
        <v>2</v>
      </c>
      <c r="C1541" s="15" t="s">
        <v>2246</v>
      </c>
      <c r="D1541" s="14" t="s">
        <v>1749</v>
      </c>
      <c r="E1541" s="14" t="s">
        <v>1746</v>
      </c>
      <c r="F1541" s="25">
        <v>2994</v>
      </c>
      <c r="G1541" s="25">
        <v>2095.8000000000002</v>
      </c>
    </row>
    <row r="1542" spans="1:7" x14ac:dyDescent="0.25">
      <c r="A1542" s="14" t="s">
        <v>2239</v>
      </c>
      <c r="B1542" s="14">
        <v>2</v>
      </c>
      <c r="C1542" s="15" t="s">
        <v>2246</v>
      </c>
      <c r="D1542" s="14" t="s">
        <v>1752</v>
      </c>
      <c r="E1542" s="14" t="s">
        <v>1746</v>
      </c>
      <c r="F1542" s="25">
        <v>94311</v>
      </c>
      <c r="G1542" s="25">
        <v>66017.88</v>
      </c>
    </row>
    <row r="1543" spans="1:7" x14ac:dyDescent="0.25">
      <c r="A1543" s="14" t="s">
        <v>2239</v>
      </c>
      <c r="B1543" s="14">
        <v>2</v>
      </c>
      <c r="C1543" s="15" t="s">
        <v>2246</v>
      </c>
      <c r="D1543" s="14" t="s">
        <v>1745</v>
      </c>
      <c r="E1543" s="14" t="s">
        <v>1747</v>
      </c>
      <c r="F1543" s="25">
        <v>29940</v>
      </c>
      <c r="G1543" s="25">
        <v>20958</v>
      </c>
    </row>
    <row r="1544" spans="1:7" x14ac:dyDescent="0.25">
      <c r="A1544" s="14" t="s">
        <v>2239</v>
      </c>
      <c r="B1544" s="14" t="s">
        <v>39</v>
      </c>
      <c r="C1544" s="15" t="s">
        <v>2243</v>
      </c>
      <c r="D1544" s="14" t="s">
        <v>1745</v>
      </c>
      <c r="E1544" s="14" t="s">
        <v>1746</v>
      </c>
      <c r="F1544" s="25">
        <v>56637</v>
      </c>
      <c r="G1544" s="25">
        <v>50973.36</v>
      </c>
    </row>
    <row r="1545" spans="1:7" x14ac:dyDescent="0.25">
      <c r="A1545" s="14" t="s">
        <v>2239</v>
      </c>
      <c r="B1545" s="14" t="s">
        <v>122</v>
      </c>
      <c r="C1545" s="15" t="s">
        <v>2244</v>
      </c>
      <c r="D1545" s="14" t="s">
        <v>1749</v>
      </c>
      <c r="E1545" s="14" t="s">
        <v>1746</v>
      </c>
      <c r="F1545" s="25">
        <v>5394</v>
      </c>
      <c r="G1545" s="25">
        <v>3775.8</v>
      </c>
    </row>
    <row r="1546" spans="1:7" x14ac:dyDescent="0.25">
      <c r="A1546" s="14" t="s">
        <v>2248</v>
      </c>
      <c r="B1546" s="14">
        <v>6</v>
      </c>
      <c r="C1546" s="15" t="s">
        <v>2249</v>
      </c>
      <c r="D1546" s="14" t="s">
        <v>1745</v>
      </c>
      <c r="E1546" s="14" t="s">
        <v>1746</v>
      </c>
      <c r="F1546" s="25">
        <v>167706</v>
      </c>
      <c r="G1546" s="25">
        <v>125779.6</v>
      </c>
    </row>
    <row r="1547" spans="1:7" x14ac:dyDescent="0.25">
      <c r="A1547" s="14" t="s">
        <v>2248</v>
      </c>
      <c r="B1547" s="14">
        <v>6</v>
      </c>
      <c r="C1547" s="15" t="s">
        <v>2249</v>
      </c>
      <c r="D1547" s="14" t="s">
        <v>1752</v>
      </c>
      <c r="E1547" s="14" t="s">
        <v>1747</v>
      </c>
      <c r="F1547" s="25">
        <v>479160</v>
      </c>
      <c r="G1547" s="25">
        <v>359370</v>
      </c>
    </row>
    <row r="1548" spans="1:7" x14ac:dyDescent="0.25">
      <c r="A1548" s="14" t="s">
        <v>2248</v>
      </c>
      <c r="B1548" s="14">
        <v>1</v>
      </c>
      <c r="C1548" s="15" t="s">
        <v>2250</v>
      </c>
      <c r="D1548" s="14" t="s">
        <v>1745</v>
      </c>
      <c r="E1548" s="14" t="s">
        <v>1746</v>
      </c>
      <c r="F1548" s="25">
        <v>110061</v>
      </c>
      <c r="G1548" s="25">
        <v>82545.72</v>
      </c>
    </row>
    <row r="1549" spans="1:7" x14ac:dyDescent="0.25">
      <c r="A1549" s="14" t="s">
        <v>2248</v>
      </c>
      <c r="B1549" s="14">
        <v>6</v>
      </c>
      <c r="C1549" s="15" t="s">
        <v>2249</v>
      </c>
      <c r="D1549" s="14" t="s">
        <v>1752</v>
      </c>
      <c r="E1549" s="14" t="s">
        <v>1753</v>
      </c>
      <c r="F1549" s="25">
        <v>479160</v>
      </c>
      <c r="G1549" s="25">
        <v>359370</v>
      </c>
    </row>
    <row r="1550" spans="1:7" ht="30" x14ac:dyDescent="0.25">
      <c r="A1550" s="14" t="s">
        <v>2248</v>
      </c>
      <c r="B1550" s="14" t="s">
        <v>583</v>
      </c>
      <c r="C1550" s="15" t="s">
        <v>2251</v>
      </c>
      <c r="D1550" s="14" t="s">
        <v>1745</v>
      </c>
      <c r="E1550" s="14" t="s">
        <v>1747</v>
      </c>
      <c r="F1550" s="25">
        <v>7980</v>
      </c>
      <c r="G1550" s="25">
        <v>5985</v>
      </c>
    </row>
    <row r="1551" spans="1:7" x14ac:dyDescent="0.25">
      <c r="A1551" s="14" t="s">
        <v>2248</v>
      </c>
      <c r="B1551" s="14">
        <v>3</v>
      </c>
      <c r="C1551" s="15" t="s">
        <v>2252</v>
      </c>
      <c r="D1551" s="14" t="s">
        <v>1752</v>
      </c>
      <c r="E1551" s="14" t="s">
        <v>1753</v>
      </c>
      <c r="F1551" s="25">
        <v>59940</v>
      </c>
      <c r="G1551" s="25">
        <v>44955</v>
      </c>
    </row>
    <row r="1552" spans="1:7" ht="30" x14ac:dyDescent="0.25">
      <c r="A1552" s="14" t="s">
        <v>2248</v>
      </c>
      <c r="B1552" s="14" t="s">
        <v>583</v>
      </c>
      <c r="C1552" s="15" t="s">
        <v>2251</v>
      </c>
      <c r="D1552" s="14" t="s">
        <v>1745</v>
      </c>
      <c r="E1552" s="14" t="s">
        <v>1746</v>
      </c>
      <c r="F1552" s="25">
        <v>8379</v>
      </c>
      <c r="G1552" s="25">
        <v>6284.28</v>
      </c>
    </row>
    <row r="1553" spans="1:7" ht="30" x14ac:dyDescent="0.25">
      <c r="A1553" s="14" t="s">
        <v>2248</v>
      </c>
      <c r="B1553" s="14" t="s">
        <v>263</v>
      </c>
      <c r="C1553" s="15" t="s">
        <v>2253</v>
      </c>
      <c r="D1553" s="14" t="s">
        <v>1745</v>
      </c>
      <c r="E1553" s="14" t="s">
        <v>1746</v>
      </c>
      <c r="F1553" s="25">
        <v>5229</v>
      </c>
      <c r="G1553" s="25">
        <v>4706.16</v>
      </c>
    </row>
    <row r="1554" spans="1:7" x14ac:dyDescent="0.25">
      <c r="A1554" s="14" t="s">
        <v>2248</v>
      </c>
      <c r="B1554" s="14" t="s">
        <v>371</v>
      </c>
      <c r="C1554" s="15" t="s">
        <v>2254</v>
      </c>
      <c r="D1554" s="14" t="s">
        <v>1745</v>
      </c>
      <c r="E1554" s="14" t="s">
        <v>1747</v>
      </c>
      <c r="F1554" s="25">
        <v>39960</v>
      </c>
      <c r="G1554" s="25">
        <v>35964</v>
      </c>
    </row>
    <row r="1555" spans="1:7" x14ac:dyDescent="0.25">
      <c r="A1555" s="14" t="s">
        <v>2248</v>
      </c>
      <c r="B1555" s="14" t="s">
        <v>177</v>
      </c>
      <c r="C1555" s="15" t="s">
        <v>2255</v>
      </c>
      <c r="D1555" s="14" t="s">
        <v>1749</v>
      </c>
      <c r="E1555" s="14" t="s">
        <v>1746</v>
      </c>
      <c r="F1555" s="25">
        <v>6390</v>
      </c>
      <c r="G1555" s="25">
        <v>4792.5</v>
      </c>
    </row>
    <row r="1556" spans="1:7" x14ac:dyDescent="0.25">
      <c r="A1556" s="14" t="s">
        <v>2248</v>
      </c>
      <c r="B1556" s="14">
        <v>18</v>
      </c>
      <c r="C1556" s="15" t="s">
        <v>2256</v>
      </c>
      <c r="D1556" s="14" t="s">
        <v>1749</v>
      </c>
      <c r="E1556" s="14" t="s">
        <v>1746</v>
      </c>
      <c r="F1556" s="25">
        <v>2622</v>
      </c>
      <c r="G1556" s="25">
        <v>2359.8000000000002</v>
      </c>
    </row>
    <row r="1557" spans="1:7" ht="30" x14ac:dyDescent="0.25">
      <c r="A1557" s="14" t="s">
        <v>2248</v>
      </c>
      <c r="B1557" s="14" t="s">
        <v>608</v>
      </c>
      <c r="C1557" s="15" t="s">
        <v>2257</v>
      </c>
      <c r="D1557" s="14" t="s">
        <v>1749</v>
      </c>
      <c r="E1557" s="14" t="s">
        <v>1746</v>
      </c>
      <c r="F1557" s="25">
        <v>1098</v>
      </c>
      <c r="G1557" s="25">
        <v>823.5</v>
      </c>
    </row>
    <row r="1558" spans="1:7" x14ac:dyDescent="0.25">
      <c r="A1558" s="14" t="s">
        <v>2248</v>
      </c>
      <c r="B1558" s="14">
        <v>1</v>
      </c>
      <c r="C1558" s="15" t="s">
        <v>2250</v>
      </c>
      <c r="D1558" s="14" t="s">
        <v>1752</v>
      </c>
      <c r="E1558" s="14" t="s">
        <v>1747</v>
      </c>
      <c r="F1558" s="25">
        <v>314460</v>
      </c>
      <c r="G1558" s="25">
        <v>235845</v>
      </c>
    </row>
    <row r="1559" spans="1:7" ht="30" x14ac:dyDescent="0.25">
      <c r="A1559" s="14" t="s">
        <v>2248</v>
      </c>
      <c r="B1559" s="14" t="s">
        <v>608</v>
      </c>
      <c r="C1559" s="15" t="s">
        <v>2257</v>
      </c>
      <c r="D1559" s="14" t="s">
        <v>1745</v>
      </c>
      <c r="E1559" s="14" t="s">
        <v>1747</v>
      </c>
      <c r="F1559" s="25">
        <v>10980</v>
      </c>
      <c r="G1559" s="25">
        <v>8235</v>
      </c>
    </row>
    <row r="1560" spans="1:7" x14ac:dyDescent="0.25">
      <c r="A1560" s="14" t="s">
        <v>2248</v>
      </c>
      <c r="B1560" s="14" t="s">
        <v>241</v>
      </c>
      <c r="C1560" s="15" t="s">
        <v>2258</v>
      </c>
      <c r="D1560" s="14" t="s">
        <v>1745</v>
      </c>
      <c r="E1560" s="14" t="s">
        <v>1746</v>
      </c>
      <c r="F1560" s="25">
        <v>92232</v>
      </c>
      <c r="G1560" s="25">
        <v>69174</v>
      </c>
    </row>
    <row r="1561" spans="1:7" x14ac:dyDescent="0.25">
      <c r="A1561" s="14" t="s">
        <v>2248</v>
      </c>
      <c r="B1561" s="14" t="s">
        <v>470</v>
      </c>
      <c r="C1561" s="15" t="s">
        <v>2259</v>
      </c>
      <c r="D1561" s="14" t="s">
        <v>1745</v>
      </c>
      <c r="E1561" s="14" t="s">
        <v>1746</v>
      </c>
      <c r="F1561" s="25">
        <v>44037</v>
      </c>
      <c r="G1561" s="25">
        <v>33027.72</v>
      </c>
    </row>
    <row r="1562" spans="1:7" x14ac:dyDescent="0.25">
      <c r="A1562" s="14" t="s">
        <v>2248</v>
      </c>
      <c r="B1562" s="14" t="s">
        <v>371</v>
      </c>
      <c r="C1562" s="15" t="s">
        <v>2254</v>
      </c>
      <c r="D1562" s="14" t="s">
        <v>1749</v>
      </c>
      <c r="E1562" s="14" t="s">
        <v>1746</v>
      </c>
      <c r="F1562" s="25">
        <v>3996</v>
      </c>
      <c r="G1562" s="25">
        <v>3596.4</v>
      </c>
    </row>
    <row r="1563" spans="1:7" x14ac:dyDescent="0.25">
      <c r="A1563" s="14" t="s">
        <v>2248</v>
      </c>
      <c r="B1563" s="14">
        <v>3</v>
      </c>
      <c r="C1563" s="15" t="s">
        <v>2252</v>
      </c>
      <c r="D1563" s="14" t="s">
        <v>1745</v>
      </c>
      <c r="E1563" s="14" t="s">
        <v>1747</v>
      </c>
      <c r="F1563" s="25">
        <v>19980</v>
      </c>
      <c r="G1563" s="25">
        <v>14985</v>
      </c>
    </row>
    <row r="1564" spans="1:7" x14ac:dyDescent="0.25">
      <c r="A1564" s="14" t="s">
        <v>2248</v>
      </c>
      <c r="B1564" s="14" t="s">
        <v>371</v>
      </c>
      <c r="C1564" s="15" t="s">
        <v>2254</v>
      </c>
      <c r="D1564" s="14" t="s">
        <v>1745</v>
      </c>
      <c r="E1564" s="14" t="s">
        <v>1746</v>
      </c>
      <c r="F1564" s="25">
        <v>41958</v>
      </c>
      <c r="G1564" s="25">
        <v>37762.199999999997</v>
      </c>
    </row>
    <row r="1565" spans="1:7" x14ac:dyDescent="0.25">
      <c r="A1565" s="14" t="s">
        <v>2248</v>
      </c>
      <c r="B1565" s="14">
        <v>3</v>
      </c>
      <c r="C1565" s="15" t="s">
        <v>2252</v>
      </c>
      <c r="D1565" s="14" t="s">
        <v>1752</v>
      </c>
      <c r="E1565" s="14" t="s">
        <v>1746</v>
      </c>
      <c r="F1565" s="25">
        <v>62937</v>
      </c>
      <c r="G1565" s="25">
        <v>47202.84</v>
      </c>
    </row>
    <row r="1566" spans="1:7" ht="30" x14ac:dyDescent="0.25">
      <c r="A1566" s="14" t="s">
        <v>2248</v>
      </c>
      <c r="B1566" s="14" t="s">
        <v>608</v>
      </c>
      <c r="C1566" s="15" t="s">
        <v>2257</v>
      </c>
      <c r="D1566" s="14" t="s">
        <v>1745</v>
      </c>
      <c r="E1566" s="14" t="s">
        <v>1746</v>
      </c>
      <c r="F1566" s="25">
        <v>11529</v>
      </c>
      <c r="G1566" s="25">
        <v>8646.7199999999993</v>
      </c>
    </row>
    <row r="1567" spans="1:7" ht="30" x14ac:dyDescent="0.25">
      <c r="A1567" s="14" t="s">
        <v>2248</v>
      </c>
      <c r="B1567" s="14" t="s">
        <v>583</v>
      </c>
      <c r="C1567" s="15" t="s">
        <v>2251</v>
      </c>
      <c r="D1567" s="14" t="s">
        <v>1749</v>
      </c>
      <c r="E1567" s="14" t="s">
        <v>1746</v>
      </c>
      <c r="F1567" s="25">
        <v>798</v>
      </c>
      <c r="G1567" s="25">
        <v>598.5</v>
      </c>
    </row>
    <row r="1568" spans="1:7" x14ac:dyDescent="0.25">
      <c r="A1568" s="14" t="s">
        <v>2248</v>
      </c>
      <c r="B1568" s="14">
        <v>3</v>
      </c>
      <c r="C1568" s="15" t="s">
        <v>2252</v>
      </c>
      <c r="D1568" s="14" t="s">
        <v>1745</v>
      </c>
      <c r="E1568" s="14" t="s">
        <v>1746</v>
      </c>
      <c r="F1568" s="25">
        <v>20979</v>
      </c>
      <c r="G1568" s="25">
        <v>15734.28</v>
      </c>
    </row>
    <row r="1569" spans="1:7" x14ac:dyDescent="0.25">
      <c r="A1569" s="14" t="s">
        <v>2248</v>
      </c>
      <c r="B1569" s="14">
        <v>18</v>
      </c>
      <c r="C1569" s="15" t="s">
        <v>2256</v>
      </c>
      <c r="D1569" s="14" t="s">
        <v>1745</v>
      </c>
      <c r="E1569" s="14" t="s">
        <v>1746</v>
      </c>
      <c r="F1569" s="25">
        <v>27531</v>
      </c>
      <c r="G1569" s="25">
        <v>24777.96</v>
      </c>
    </row>
    <row r="1570" spans="1:7" x14ac:dyDescent="0.25">
      <c r="A1570" s="14" t="s">
        <v>2248</v>
      </c>
      <c r="B1570" s="14">
        <v>18</v>
      </c>
      <c r="C1570" s="15" t="s">
        <v>2256</v>
      </c>
      <c r="D1570" s="14" t="s">
        <v>1745</v>
      </c>
      <c r="E1570" s="14" t="s">
        <v>1747</v>
      </c>
      <c r="F1570" s="25">
        <v>26220</v>
      </c>
      <c r="G1570" s="25">
        <v>23598</v>
      </c>
    </row>
    <row r="1571" spans="1:7" x14ac:dyDescent="0.25">
      <c r="A1571" s="14" t="s">
        <v>2248</v>
      </c>
      <c r="B1571" s="14" t="s">
        <v>241</v>
      </c>
      <c r="C1571" s="15" t="s">
        <v>2258</v>
      </c>
      <c r="D1571" s="14" t="s">
        <v>1745</v>
      </c>
      <c r="E1571" s="14" t="s">
        <v>1747</v>
      </c>
      <c r="F1571" s="25">
        <v>87840</v>
      </c>
      <c r="G1571" s="25">
        <v>65880</v>
      </c>
    </row>
    <row r="1572" spans="1:7" x14ac:dyDescent="0.25">
      <c r="A1572" s="14" t="s">
        <v>2248</v>
      </c>
      <c r="B1572" s="14">
        <v>6</v>
      </c>
      <c r="C1572" s="15" t="s">
        <v>2249</v>
      </c>
      <c r="D1572" s="14" t="s">
        <v>1749</v>
      </c>
      <c r="E1572" s="14" t="s">
        <v>1746</v>
      </c>
      <c r="F1572" s="25">
        <v>15972</v>
      </c>
      <c r="G1572" s="25">
        <v>11979</v>
      </c>
    </row>
    <row r="1573" spans="1:7" x14ac:dyDescent="0.25">
      <c r="A1573" s="14" t="s">
        <v>2248</v>
      </c>
      <c r="B1573" s="14" t="s">
        <v>470</v>
      </c>
      <c r="C1573" s="15" t="s">
        <v>2259</v>
      </c>
      <c r="D1573" s="14" t="s">
        <v>1749</v>
      </c>
      <c r="E1573" s="14" t="s">
        <v>1746</v>
      </c>
      <c r="F1573" s="25">
        <v>4194</v>
      </c>
      <c r="G1573" s="25">
        <v>3145.5</v>
      </c>
    </row>
    <row r="1574" spans="1:7" x14ac:dyDescent="0.25">
      <c r="A1574" s="14" t="s">
        <v>2248</v>
      </c>
      <c r="B1574" s="14" t="s">
        <v>470</v>
      </c>
      <c r="C1574" s="15" t="s">
        <v>2259</v>
      </c>
      <c r="D1574" s="14" t="s">
        <v>1745</v>
      </c>
      <c r="E1574" s="14" t="s">
        <v>1747</v>
      </c>
      <c r="F1574" s="25">
        <v>41940</v>
      </c>
      <c r="G1574" s="25">
        <v>31455</v>
      </c>
    </row>
    <row r="1575" spans="1:7" x14ac:dyDescent="0.25">
      <c r="A1575" s="14" t="s">
        <v>2248</v>
      </c>
      <c r="B1575" s="14">
        <v>1</v>
      </c>
      <c r="C1575" s="15" t="s">
        <v>2250</v>
      </c>
      <c r="D1575" s="14" t="s">
        <v>1745</v>
      </c>
      <c r="E1575" s="14" t="s">
        <v>1747</v>
      </c>
      <c r="F1575" s="25">
        <v>104820</v>
      </c>
      <c r="G1575" s="25">
        <v>78615</v>
      </c>
    </row>
    <row r="1576" spans="1:7" x14ac:dyDescent="0.25">
      <c r="A1576" s="14" t="s">
        <v>2248</v>
      </c>
      <c r="B1576" s="14">
        <v>19</v>
      </c>
      <c r="C1576" s="15" t="s">
        <v>2260</v>
      </c>
      <c r="D1576" s="14" t="s">
        <v>1749</v>
      </c>
      <c r="E1576" s="14" t="s">
        <v>1746</v>
      </c>
      <c r="F1576" s="25">
        <v>5766</v>
      </c>
      <c r="G1576" s="25">
        <v>4324.5</v>
      </c>
    </row>
    <row r="1577" spans="1:7" ht="30" x14ac:dyDescent="0.25">
      <c r="A1577" s="14" t="s">
        <v>2248</v>
      </c>
      <c r="B1577" s="14" t="s">
        <v>263</v>
      </c>
      <c r="C1577" s="15" t="s">
        <v>2253</v>
      </c>
      <c r="D1577" s="14" t="s">
        <v>1745</v>
      </c>
      <c r="E1577" s="14" t="s">
        <v>1747</v>
      </c>
      <c r="F1577" s="25">
        <v>4980</v>
      </c>
      <c r="G1577" s="25">
        <v>4482</v>
      </c>
    </row>
    <row r="1578" spans="1:7" x14ac:dyDescent="0.25">
      <c r="A1578" s="14" t="s">
        <v>2248</v>
      </c>
      <c r="B1578" s="14">
        <v>19</v>
      </c>
      <c r="C1578" s="15" t="s">
        <v>2260</v>
      </c>
      <c r="D1578" s="14" t="s">
        <v>1745</v>
      </c>
      <c r="E1578" s="14" t="s">
        <v>1746</v>
      </c>
      <c r="F1578" s="25">
        <v>60543</v>
      </c>
      <c r="G1578" s="25">
        <v>45407.28</v>
      </c>
    </row>
    <row r="1579" spans="1:7" x14ac:dyDescent="0.25">
      <c r="A1579" s="14" t="s">
        <v>2248</v>
      </c>
      <c r="B1579" s="14">
        <v>6</v>
      </c>
      <c r="C1579" s="15" t="s">
        <v>2249</v>
      </c>
      <c r="D1579" s="14" t="s">
        <v>1745</v>
      </c>
      <c r="E1579" s="14" t="s">
        <v>1747</v>
      </c>
      <c r="F1579" s="25">
        <v>159720</v>
      </c>
      <c r="G1579" s="25">
        <v>119790</v>
      </c>
    </row>
    <row r="1580" spans="1:7" x14ac:dyDescent="0.25">
      <c r="A1580" s="14" t="s">
        <v>2248</v>
      </c>
      <c r="B1580" s="14">
        <v>3</v>
      </c>
      <c r="C1580" s="15" t="s">
        <v>2252</v>
      </c>
      <c r="D1580" s="14" t="s">
        <v>1749</v>
      </c>
      <c r="E1580" s="14" t="s">
        <v>1746</v>
      </c>
      <c r="F1580" s="25">
        <v>1998</v>
      </c>
      <c r="G1580" s="25">
        <v>1498.5</v>
      </c>
    </row>
    <row r="1581" spans="1:7" x14ac:dyDescent="0.25">
      <c r="A1581" s="14" t="s">
        <v>2248</v>
      </c>
      <c r="B1581" s="14">
        <v>6</v>
      </c>
      <c r="C1581" s="15" t="s">
        <v>2249</v>
      </c>
      <c r="D1581" s="14" t="s">
        <v>1752</v>
      </c>
      <c r="E1581" s="14" t="s">
        <v>1746</v>
      </c>
      <c r="F1581" s="25">
        <v>503118</v>
      </c>
      <c r="G1581" s="25">
        <v>377338.7</v>
      </c>
    </row>
    <row r="1582" spans="1:7" x14ac:dyDescent="0.25">
      <c r="A1582" s="14" t="s">
        <v>2248</v>
      </c>
      <c r="B1582" s="14">
        <v>1</v>
      </c>
      <c r="C1582" s="15" t="s">
        <v>2250</v>
      </c>
      <c r="D1582" s="14" t="s">
        <v>1752</v>
      </c>
      <c r="E1582" s="14" t="s">
        <v>1746</v>
      </c>
      <c r="F1582" s="25">
        <v>330183</v>
      </c>
      <c r="G1582" s="25">
        <v>247637.2</v>
      </c>
    </row>
    <row r="1583" spans="1:7" x14ac:dyDescent="0.25">
      <c r="A1583" s="14" t="s">
        <v>2248</v>
      </c>
      <c r="B1583" s="14" t="s">
        <v>177</v>
      </c>
      <c r="C1583" s="15" t="s">
        <v>2255</v>
      </c>
      <c r="D1583" s="14" t="s">
        <v>1745</v>
      </c>
      <c r="E1583" s="14" t="s">
        <v>1747</v>
      </c>
      <c r="F1583" s="25">
        <v>63900</v>
      </c>
      <c r="G1583" s="25">
        <v>47925</v>
      </c>
    </row>
    <row r="1584" spans="1:7" x14ac:dyDescent="0.25">
      <c r="A1584" s="14" t="s">
        <v>2248</v>
      </c>
      <c r="B1584" s="14">
        <v>3</v>
      </c>
      <c r="C1584" s="15" t="s">
        <v>2252</v>
      </c>
      <c r="D1584" s="14" t="s">
        <v>1752</v>
      </c>
      <c r="E1584" s="14" t="s">
        <v>1747</v>
      </c>
      <c r="F1584" s="25">
        <v>59940</v>
      </c>
      <c r="G1584" s="25">
        <v>44955</v>
      </c>
    </row>
    <row r="1585" spans="1:7" x14ac:dyDescent="0.25">
      <c r="A1585" s="14" t="s">
        <v>2248</v>
      </c>
      <c r="B1585" s="14">
        <v>1</v>
      </c>
      <c r="C1585" s="15" t="s">
        <v>2250</v>
      </c>
      <c r="D1585" s="14" t="s">
        <v>1752</v>
      </c>
      <c r="E1585" s="14" t="s">
        <v>1753</v>
      </c>
      <c r="F1585" s="25">
        <v>314460</v>
      </c>
      <c r="G1585" s="25">
        <v>235845</v>
      </c>
    </row>
    <row r="1586" spans="1:7" x14ac:dyDescent="0.25">
      <c r="A1586" s="14" t="s">
        <v>2248</v>
      </c>
      <c r="B1586" s="14">
        <v>1</v>
      </c>
      <c r="C1586" s="15" t="s">
        <v>2250</v>
      </c>
      <c r="D1586" s="14" t="s">
        <v>1749</v>
      </c>
      <c r="E1586" s="14" t="s">
        <v>1746</v>
      </c>
      <c r="F1586" s="25">
        <v>10482</v>
      </c>
      <c r="G1586" s="25">
        <v>7861.5</v>
      </c>
    </row>
    <row r="1587" spans="1:7" x14ac:dyDescent="0.25">
      <c r="A1587" s="14" t="s">
        <v>2248</v>
      </c>
      <c r="B1587" s="14" t="s">
        <v>177</v>
      </c>
      <c r="C1587" s="15" t="s">
        <v>2255</v>
      </c>
      <c r="D1587" s="14" t="s">
        <v>1745</v>
      </c>
      <c r="E1587" s="14" t="s">
        <v>1746</v>
      </c>
      <c r="F1587" s="25">
        <v>67095</v>
      </c>
      <c r="G1587" s="25">
        <v>50321.279999999999</v>
      </c>
    </row>
    <row r="1588" spans="1:7" x14ac:dyDescent="0.25">
      <c r="A1588" s="14" t="s">
        <v>2248</v>
      </c>
      <c r="B1588" s="14" t="s">
        <v>241</v>
      </c>
      <c r="C1588" s="15" t="s">
        <v>2258</v>
      </c>
      <c r="D1588" s="14" t="s">
        <v>1749</v>
      </c>
      <c r="E1588" s="14" t="s">
        <v>1746</v>
      </c>
      <c r="F1588" s="25">
        <v>8784</v>
      </c>
      <c r="G1588" s="25">
        <v>6588</v>
      </c>
    </row>
    <row r="1589" spans="1:7" ht="30" x14ac:dyDescent="0.25">
      <c r="A1589" s="14" t="s">
        <v>2248</v>
      </c>
      <c r="B1589" s="14" t="s">
        <v>263</v>
      </c>
      <c r="C1589" s="15" t="s">
        <v>2253</v>
      </c>
      <c r="D1589" s="14" t="s">
        <v>1749</v>
      </c>
      <c r="E1589" s="14" t="s">
        <v>1746</v>
      </c>
      <c r="F1589" s="25">
        <v>498</v>
      </c>
      <c r="G1589" s="25">
        <v>448.2</v>
      </c>
    </row>
    <row r="1590" spans="1:7" x14ac:dyDescent="0.25">
      <c r="A1590" s="14" t="s">
        <v>2248</v>
      </c>
      <c r="B1590" s="14">
        <v>19</v>
      </c>
      <c r="C1590" s="15" t="s">
        <v>2260</v>
      </c>
      <c r="D1590" s="14" t="s">
        <v>1745</v>
      </c>
      <c r="E1590" s="14" t="s">
        <v>1747</v>
      </c>
      <c r="F1590" s="25">
        <v>57660</v>
      </c>
      <c r="G1590" s="25">
        <v>43245</v>
      </c>
    </row>
    <row r="1591" spans="1:7" x14ac:dyDescent="0.25">
      <c r="A1591" s="14" t="s">
        <v>2261</v>
      </c>
      <c r="B1591" s="14">
        <v>4</v>
      </c>
      <c r="C1591" s="15" t="s">
        <v>2262</v>
      </c>
      <c r="D1591" s="14" t="s">
        <v>1745</v>
      </c>
      <c r="E1591" s="14" t="s">
        <v>1746</v>
      </c>
      <c r="F1591" s="25">
        <v>28854</v>
      </c>
      <c r="G1591" s="25">
        <v>21640.560000000001</v>
      </c>
    </row>
    <row r="1592" spans="1:7" x14ac:dyDescent="0.25">
      <c r="A1592" s="14" t="s">
        <v>2261</v>
      </c>
      <c r="B1592" s="14">
        <v>6</v>
      </c>
      <c r="C1592" s="15" t="s">
        <v>2263</v>
      </c>
      <c r="D1592" s="14" t="s">
        <v>1749</v>
      </c>
      <c r="E1592" s="14" t="s">
        <v>1746</v>
      </c>
      <c r="F1592" s="25">
        <v>1998</v>
      </c>
      <c r="G1592" s="25">
        <v>1498.5</v>
      </c>
    </row>
    <row r="1593" spans="1:7" x14ac:dyDescent="0.25">
      <c r="A1593" s="14" t="s">
        <v>2261</v>
      </c>
      <c r="B1593" s="14">
        <v>5</v>
      </c>
      <c r="C1593" s="15" t="s">
        <v>2264</v>
      </c>
      <c r="D1593" s="14" t="s">
        <v>1749</v>
      </c>
      <c r="E1593" s="14" t="s">
        <v>1746</v>
      </c>
      <c r="F1593" s="25">
        <v>1248</v>
      </c>
      <c r="G1593" s="25">
        <v>1123.2</v>
      </c>
    </row>
    <row r="1594" spans="1:7" x14ac:dyDescent="0.25">
      <c r="A1594" s="14" t="s">
        <v>2261</v>
      </c>
      <c r="B1594" s="14">
        <v>6</v>
      </c>
      <c r="C1594" s="15" t="s">
        <v>2263</v>
      </c>
      <c r="D1594" s="14" t="s">
        <v>1745</v>
      </c>
      <c r="E1594" s="14" t="s">
        <v>1747</v>
      </c>
      <c r="F1594" s="25">
        <v>19980</v>
      </c>
      <c r="G1594" s="25">
        <v>14985</v>
      </c>
    </row>
    <row r="1595" spans="1:7" x14ac:dyDescent="0.25">
      <c r="A1595" s="14" t="s">
        <v>2261</v>
      </c>
      <c r="B1595" s="14">
        <v>1</v>
      </c>
      <c r="C1595" s="15" t="s">
        <v>2265</v>
      </c>
      <c r="D1595" s="14" t="s">
        <v>1752</v>
      </c>
      <c r="E1595" s="14" t="s">
        <v>1746</v>
      </c>
      <c r="F1595" s="25">
        <v>157248</v>
      </c>
      <c r="G1595" s="25">
        <v>117936</v>
      </c>
    </row>
    <row r="1596" spans="1:7" x14ac:dyDescent="0.25">
      <c r="A1596" s="14" t="s">
        <v>2261</v>
      </c>
      <c r="B1596" s="14">
        <v>4</v>
      </c>
      <c r="C1596" s="15" t="s">
        <v>2262</v>
      </c>
      <c r="D1596" s="14" t="s">
        <v>1749</v>
      </c>
      <c r="E1596" s="14" t="s">
        <v>1746</v>
      </c>
      <c r="F1596" s="25">
        <v>2748</v>
      </c>
      <c r="G1596" s="25">
        <v>2061</v>
      </c>
    </row>
    <row r="1597" spans="1:7" x14ac:dyDescent="0.25">
      <c r="A1597" s="14" t="s">
        <v>2261</v>
      </c>
      <c r="B1597" s="14">
        <v>5</v>
      </c>
      <c r="C1597" s="15" t="s">
        <v>2264</v>
      </c>
      <c r="D1597" s="14" t="s">
        <v>1745</v>
      </c>
      <c r="E1597" s="14" t="s">
        <v>1746</v>
      </c>
      <c r="F1597" s="25">
        <v>13104</v>
      </c>
      <c r="G1597" s="25">
        <v>11793.6</v>
      </c>
    </row>
    <row r="1598" spans="1:7" x14ac:dyDescent="0.25">
      <c r="A1598" s="14" t="s">
        <v>2261</v>
      </c>
      <c r="B1598" s="14">
        <v>4</v>
      </c>
      <c r="C1598" s="15" t="s">
        <v>2262</v>
      </c>
      <c r="D1598" s="14" t="s">
        <v>1745</v>
      </c>
      <c r="E1598" s="14" t="s">
        <v>1747</v>
      </c>
      <c r="F1598" s="25">
        <v>27480</v>
      </c>
      <c r="G1598" s="25">
        <v>20610</v>
      </c>
    </row>
    <row r="1599" spans="1:7" x14ac:dyDescent="0.25">
      <c r="A1599" s="14" t="s">
        <v>2261</v>
      </c>
      <c r="B1599" s="14">
        <v>1</v>
      </c>
      <c r="C1599" s="15" t="s">
        <v>2265</v>
      </c>
      <c r="D1599" s="14" t="s">
        <v>1752</v>
      </c>
      <c r="E1599" s="14" t="s">
        <v>1747</v>
      </c>
      <c r="F1599" s="25">
        <v>149760</v>
      </c>
      <c r="G1599" s="25">
        <v>112320</v>
      </c>
    </row>
    <row r="1600" spans="1:7" x14ac:dyDescent="0.25">
      <c r="A1600" s="14" t="s">
        <v>2261</v>
      </c>
      <c r="B1600" s="14">
        <v>6</v>
      </c>
      <c r="C1600" s="15" t="s">
        <v>2263</v>
      </c>
      <c r="D1600" s="14" t="s">
        <v>1745</v>
      </c>
      <c r="E1600" s="14" t="s">
        <v>1746</v>
      </c>
      <c r="F1600" s="25">
        <v>20979</v>
      </c>
      <c r="G1600" s="25">
        <v>15734.28</v>
      </c>
    </row>
    <row r="1601" spans="1:7" x14ac:dyDescent="0.25">
      <c r="A1601" s="14" t="s">
        <v>2261</v>
      </c>
      <c r="B1601" s="14">
        <v>1</v>
      </c>
      <c r="C1601" s="15" t="s">
        <v>2265</v>
      </c>
      <c r="D1601" s="14" t="s">
        <v>1745</v>
      </c>
      <c r="E1601" s="14" t="s">
        <v>1747</v>
      </c>
      <c r="F1601" s="25">
        <v>49920</v>
      </c>
      <c r="G1601" s="25">
        <v>37440</v>
      </c>
    </row>
    <row r="1602" spans="1:7" x14ac:dyDescent="0.25">
      <c r="A1602" s="14" t="s">
        <v>2261</v>
      </c>
      <c r="B1602" s="14">
        <v>5</v>
      </c>
      <c r="C1602" s="15" t="s">
        <v>2264</v>
      </c>
      <c r="D1602" s="14" t="s">
        <v>1745</v>
      </c>
      <c r="E1602" s="14" t="s">
        <v>1747</v>
      </c>
      <c r="F1602" s="25">
        <v>12480</v>
      </c>
      <c r="G1602" s="25">
        <v>11232</v>
      </c>
    </row>
    <row r="1603" spans="1:7" x14ac:dyDescent="0.25">
      <c r="A1603" s="14" t="s">
        <v>2261</v>
      </c>
      <c r="B1603" s="14">
        <v>1</v>
      </c>
      <c r="C1603" s="15" t="s">
        <v>2265</v>
      </c>
      <c r="D1603" s="14" t="s">
        <v>1749</v>
      </c>
      <c r="E1603" s="14" t="s">
        <v>1746</v>
      </c>
      <c r="F1603" s="25">
        <v>4992</v>
      </c>
      <c r="G1603" s="25">
        <v>3744</v>
      </c>
    </row>
    <row r="1604" spans="1:7" x14ac:dyDescent="0.25">
      <c r="A1604" s="14" t="s">
        <v>2261</v>
      </c>
      <c r="B1604" s="14">
        <v>1</v>
      </c>
      <c r="C1604" s="15" t="s">
        <v>2265</v>
      </c>
      <c r="D1604" s="14" t="s">
        <v>1745</v>
      </c>
      <c r="E1604" s="14" t="s">
        <v>1746</v>
      </c>
      <c r="F1604" s="25">
        <v>52416</v>
      </c>
      <c r="G1604" s="25">
        <v>39312</v>
      </c>
    </row>
    <row r="1605" spans="1:7" x14ac:dyDescent="0.25">
      <c r="A1605" s="14" t="s">
        <v>2261</v>
      </c>
      <c r="B1605" s="14">
        <v>1</v>
      </c>
      <c r="C1605" s="15" t="s">
        <v>2265</v>
      </c>
      <c r="D1605" s="14" t="s">
        <v>1752</v>
      </c>
      <c r="E1605" s="14" t="s">
        <v>1753</v>
      </c>
      <c r="F1605" s="25">
        <v>149760</v>
      </c>
      <c r="G1605" s="25">
        <v>112320</v>
      </c>
    </row>
    <row r="1606" spans="1:7" x14ac:dyDescent="0.25">
      <c r="A1606" s="14" t="s">
        <v>2266</v>
      </c>
      <c r="B1606" s="14">
        <v>8</v>
      </c>
      <c r="C1606" s="15" t="s">
        <v>2267</v>
      </c>
      <c r="D1606" s="14" t="s">
        <v>1745</v>
      </c>
      <c r="E1606" s="14" t="s">
        <v>1746</v>
      </c>
      <c r="F1606" s="25">
        <v>86499</v>
      </c>
      <c r="G1606" s="25">
        <v>64874.28</v>
      </c>
    </row>
    <row r="1607" spans="1:7" x14ac:dyDescent="0.25">
      <c r="A1607" s="14" t="s">
        <v>2266</v>
      </c>
      <c r="B1607" s="14">
        <v>7</v>
      </c>
      <c r="C1607" s="15" t="s">
        <v>2268</v>
      </c>
      <c r="D1607" s="14" t="s">
        <v>1745</v>
      </c>
      <c r="E1607" s="14" t="s">
        <v>1746</v>
      </c>
      <c r="F1607" s="25">
        <v>62874</v>
      </c>
      <c r="G1607" s="25">
        <v>47155.56</v>
      </c>
    </row>
    <row r="1608" spans="1:7" x14ac:dyDescent="0.25">
      <c r="A1608" s="14" t="s">
        <v>2266</v>
      </c>
      <c r="B1608" s="14">
        <v>8</v>
      </c>
      <c r="C1608" s="15" t="s">
        <v>2267</v>
      </c>
      <c r="D1608" s="14" t="s">
        <v>1749</v>
      </c>
      <c r="E1608" s="14" t="s">
        <v>1746</v>
      </c>
      <c r="F1608" s="25">
        <v>8238</v>
      </c>
      <c r="G1608" s="25">
        <v>6178.5</v>
      </c>
    </row>
    <row r="1609" spans="1:7" x14ac:dyDescent="0.25">
      <c r="A1609" s="14" t="s">
        <v>2266</v>
      </c>
      <c r="B1609" s="14">
        <v>7</v>
      </c>
      <c r="C1609" s="15" t="s">
        <v>2268</v>
      </c>
      <c r="D1609" s="14" t="s">
        <v>1745</v>
      </c>
      <c r="E1609" s="14" t="s">
        <v>1747</v>
      </c>
      <c r="F1609" s="25">
        <v>59880</v>
      </c>
      <c r="G1609" s="25">
        <v>44910</v>
      </c>
    </row>
    <row r="1610" spans="1:7" x14ac:dyDescent="0.25">
      <c r="A1610" s="14" t="s">
        <v>2266</v>
      </c>
      <c r="B1610" s="14">
        <v>8</v>
      </c>
      <c r="C1610" s="15" t="s">
        <v>2267</v>
      </c>
      <c r="D1610" s="14" t="s">
        <v>1745</v>
      </c>
      <c r="E1610" s="14" t="s">
        <v>1747</v>
      </c>
      <c r="F1610" s="25">
        <v>82380</v>
      </c>
      <c r="G1610" s="25">
        <v>61785</v>
      </c>
    </row>
    <row r="1611" spans="1:7" x14ac:dyDescent="0.25">
      <c r="A1611" s="14" t="s">
        <v>2266</v>
      </c>
      <c r="B1611" s="14">
        <v>1</v>
      </c>
      <c r="C1611" s="15" t="s">
        <v>2269</v>
      </c>
      <c r="D1611" s="14" t="s">
        <v>1745</v>
      </c>
      <c r="E1611" s="14" t="s">
        <v>1747</v>
      </c>
      <c r="F1611" s="25">
        <v>149760</v>
      </c>
      <c r="G1611" s="25">
        <v>112320</v>
      </c>
    </row>
    <row r="1612" spans="1:7" x14ac:dyDescent="0.25">
      <c r="A1612" s="14" t="s">
        <v>2266</v>
      </c>
      <c r="B1612" s="14">
        <v>6</v>
      </c>
      <c r="C1612" s="15" t="s">
        <v>2270</v>
      </c>
      <c r="D1612" s="14" t="s">
        <v>1745</v>
      </c>
      <c r="E1612" s="14" t="s">
        <v>1747</v>
      </c>
      <c r="F1612" s="25">
        <v>37440</v>
      </c>
      <c r="G1612" s="25">
        <v>33696</v>
      </c>
    </row>
    <row r="1613" spans="1:7" x14ac:dyDescent="0.25">
      <c r="A1613" s="14" t="s">
        <v>2266</v>
      </c>
      <c r="B1613" s="14">
        <v>6</v>
      </c>
      <c r="C1613" s="15" t="s">
        <v>2270</v>
      </c>
      <c r="D1613" s="14" t="s">
        <v>1745</v>
      </c>
      <c r="E1613" s="14" t="s">
        <v>1746</v>
      </c>
      <c r="F1613" s="25">
        <v>39312</v>
      </c>
      <c r="G1613" s="25">
        <v>35380.800000000003</v>
      </c>
    </row>
    <row r="1614" spans="1:7" x14ac:dyDescent="0.25">
      <c r="A1614" s="14" t="s">
        <v>2266</v>
      </c>
      <c r="B1614" s="14">
        <v>1</v>
      </c>
      <c r="C1614" s="15" t="s">
        <v>2269</v>
      </c>
      <c r="D1614" s="14" t="s">
        <v>1749</v>
      </c>
      <c r="E1614" s="14" t="s">
        <v>1746</v>
      </c>
      <c r="F1614" s="25">
        <v>14976</v>
      </c>
      <c r="G1614" s="25">
        <v>11232</v>
      </c>
    </row>
    <row r="1615" spans="1:7" x14ac:dyDescent="0.25">
      <c r="A1615" s="14" t="s">
        <v>2266</v>
      </c>
      <c r="B1615" s="14">
        <v>1</v>
      </c>
      <c r="C1615" s="15" t="s">
        <v>2269</v>
      </c>
      <c r="D1615" s="14" t="s">
        <v>1745</v>
      </c>
      <c r="E1615" s="14" t="s">
        <v>1746</v>
      </c>
      <c r="F1615" s="25">
        <v>157248</v>
      </c>
      <c r="G1615" s="25">
        <v>117936</v>
      </c>
    </row>
    <row r="1616" spans="1:7" x14ac:dyDescent="0.25">
      <c r="A1616" s="14" t="s">
        <v>2266</v>
      </c>
      <c r="B1616" s="14">
        <v>7</v>
      </c>
      <c r="C1616" s="15" t="s">
        <v>2268</v>
      </c>
      <c r="D1616" s="14" t="s">
        <v>1749</v>
      </c>
      <c r="E1616" s="14" t="s">
        <v>1746</v>
      </c>
      <c r="F1616" s="25">
        <v>5988</v>
      </c>
      <c r="G1616" s="25">
        <v>4491</v>
      </c>
    </row>
    <row r="1617" spans="1:7" x14ac:dyDescent="0.25">
      <c r="A1617" s="14" t="s">
        <v>2266</v>
      </c>
      <c r="B1617" s="14">
        <v>6</v>
      </c>
      <c r="C1617" s="15" t="s">
        <v>2270</v>
      </c>
      <c r="D1617" s="14" t="s">
        <v>1749</v>
      </c>
      <c r="E1617" s="14" t="s">
        <v>1746</v>
      </c>
      <c r="F1617" s="25">
        <v>3744</v>
      </c>
      <c r="G1617" s="25">
        <v>3369.6</v>
      </c>
    </row>
    <row r="1618" spans="1:7" x14ac:dyDescent="0.25">
      <c r="A1618" s="14" t="s">
        <v>2271</v>
      </c>
      <c r="B1618" s="14">
        <v>4</v>
      </c>
      <c r="C1618" s="15" t="s">
        <v>2272</v>
      </c>
      <c r="D1618" s="14" t="s">
        <v>1752</v>
      </c>
      <c r="E1618" s="14" t="s">
        <v>1753</v>
      </c>
      <c r="F1618" s="25">
        <v>59940</v>
      </c>
      <c r="G1618" s="25">
        <v>44955</v>
      </c>
    </row>
    <row r="1619" spans="1:7" x14ac:dyDescent="0.25">
      <c r="A1619" s="14" t="s">
        <v>2271</v>
      </c>
      <c r="B1619" s="14">
        <v>2</v>
      </c>
      <c r="C1619" s="15" t="s">
        <v>2273</v>
      </c>
      <c r="D1619" s="14" t="s">
        <v>1745</v>
      </c>
      <c r="E1619" s="14" t="s">
        <v>1747</v>
      </c>
      <c r="F1619" s="25">
        <v>64920</v>
      </c>
      <c r="G1619" s="25">
        <v>48690</v>
      </c>
    </row>
    <row r="1620" spans="1:7" x14ac:dyDescent="0.25">
      <c r="A1620" s="14" t="s">
        <v>2271</v>
      </c>
      <c r="B1620" s="14">
        <v>14</v>
      </c>
      <c r="C1620" s="15" t="s">
        <v>2274</v>
      </c>
      <c r="D1620" s="14" t="s">
        <v>1745</v>
      </c>
      <c r="E1620" s="14" t="s">
        <v>1747</v>
      </c>
      <c r="F1620" s="25">
        <v>35700</v>
      </c>
      <c r="G1620" s="25">
        <v>26775</v>
      </c>
    </row>
    <row r="1621" spans="1:7" ht="30" x14ac:dyDescent="0.25">
      <c r="A1621" s="14" t="s">
        <v>2271</v>
      </c>
      <c r="B1621" s="14">
        <v>19</v>
      </c>
      <c r="C1621" s="15" t="s">
        <v>2275</v>
      </c>
      <c r="D1621" s="14" t="s">
        <v>1749</v>
      </c>
      <c r="E1621" s="14" t="s">
        <v>1746</v>
      </c>
      <c r="F1621" s="25">
        <v>1098</v>
      </c>
      <c r="G1621" s="25">
        <v>823.5</v>
      </c>
    </row>
    <row r="1622" spans="1:7" x14ac:dyDescent="0.25">
      <c r="A1622" s="14" t="s">
        <v>2271</v>
      </c>
      <c r="B1622" s="14">
        <v>14</v>
      </c>
      <c r="C1622" s="15" t="s">
        <v>2274</v>
      </c>
      <c r="D1622" s="14" t="s">
        <v>1745</v>
      </c>
      <c r="E1622" s="14" t="s">
        <v>1746</v>
      </c>
      <c r="F1622" s="25">
        <v>37485</v>
      </c>
      <c r="G1622" s="25">
        <v>28113.72</v>
      </c>
    </row>
    <row r="1623" spans="1:7" ht="30" x14ac:dyDescent="0.25">
      <c r="A1623" s="14" t="s">
        <v>2271</v>
      </c>
      <c r="B1623" s="14" t="s">
        <v>470</v>
      </c>
      <c r="C1623" s="15" t="s">
        <v>2276</v>
      </c>
      <c r="D1623" s="14" t="s">
        <v>1745</v>
      </c>
      <c r="E1623" s="14" t="s">
        <v>1747</v>
      </c>
      <c r="F1623" s="25">
        <v>4980</v>
      </c>
      <c r="G1623" s="25">
        <v>4482</v>
      </c>
    </row>
    <row r="1624" spans="1:7" x14ac:dyDescent="0.25">
      <c r="A1624" s="14" t="s">
        <v>2271</v>
      </c>
      <c r="B1624" s="14">
        <v>4</v>
      </c>
      <c r="C1624" s="15" t="s">
        <v>2272</v>
      </c>
      <c r="D1624" s="14" t="s">
        <v>1745</v>
      </c>
      <c r="E1624" s="14" t="s">
        <v>1747</v>
      </c>
      <c r="F1624" s="25">
        <v>19980</v>
      </c>
      <c r="G1624" s="25">
        <v>14985</v>
      </c>
    </row>
    <row r="1625" spans="1:7" x14ac:dyDescent="0.25">
      <c r="A1625" s="14" t="s">
        <v>2271</v>
      </c>
      <c r="B1625" s="14">
        <v>16</v>
      </c>
      <c r="C1625" s="15" t="s">
        <v>2277</v>
      </c>
      <c r="D1625" s="14" t="s">
        <v>1745</v>
      </c>
      <c r="E1625" s="14" t="s">
        <v>1747</v>
      </c>
      <c r="F1625" s="25">
        <v>25980</v>
      </c>
      <c r="G1625" s="25">
        <v>19485</v>
      </c>
    </row>
    <row r="1626" spans="1:7" x14ac:dyDescent="0.25">
      <c r="A1626" s="14" t="s">
        <v>2271</v>
      </c>
      <c r="B1626" s="14">
        <v>2</v>
      </c>
      <c r="C1626" s="15" t="s">
        <v>2273</v>
      </c>
      <c r="D1626" s="14" t="s">
        <v>1745</v>
      </c>
      <c r="E1626" s="14" t="s">
        <v>1746</v>
      </c>
      <c r="F1626" s="25">
        <v>68166</v>
      </c>
      <c r="G1626" s="25">
        <v>51124.56</v>
      </c>
    </row>
    <row r="1627" spans="1:7" x14ac:dyDescent="0.25">
      <c r="A1627" s="14" t="s">
        <v>2271</v>
      </c>
      <c r="B1627" s="14">
        <v>14</v>
      </c>
      <c r="C1627" s="15" t="s">
        <v>2274</v>
      </c>
      <c r="D1627" s="14" t="s">
        <v>1749</v>
      </c>
      <c r="E1627" s="14" t="s">
        <v>1746</v>
      </c>
      <c r="F1627" s="25">
        <v>3570</v>
      </c>
      <c r="G1627" s="25">
        <v>2677.5</v>
      </c>
    </row>
    <row r="1628" spans="1:7" x14ac:dyDescent="0.25">
      <c r="A1628" s="14" t="s">
        <v>2271</v>
      </c>
      <c r="B1628" s="14">
        <v>2</v>
      </c>
      <c r="C1628" s="15" t="s">
        <v>2273</v>
      </c>
      <c r="D1628" s="14" t="s">
        <v>1752</v>
      </c>
      <c r="E1628" s="14" t="s">
        <v>1746</v>
      </c>
      <c r="F1628" s="25">
        <v>204498</v>
      </c>
      <c r="G1628" s="25">
        <v>153373.70000000001</v>
      </c>
    </row>
    <row r="1629" spans="1:7" ht="30" x14ac:dyDescent="0.25">
      <c r="A1629" s="14" t="s">
        <v>2271</v>
      </c>
      <c r="B1629" s="14" t="s">
        <v>583</v>
      </c>
      <c r="C1629" s="15" t="s">
        <v>2278</v>
      </c>
      <c r="D1629" s="14" t="s">
        <v>1745</v>
      </c>
      <c r="E1629" s="14" t="s">
        <v>1746</v>
      </c>
      <c r="F1629" s="25">
        <v>8379</v>
      </c>
      <c r="G1629" s="25">
        <v>6284.28</v>
      </c>
    </row>
    <row r="1630" spans="1:7" x14ac:dyDescent="0.25">
      <c r="A1630" s="14" t="s">
        <v>2271</v>
      </c>
      <c r="B1630" s="14">
        <v>15</v>
      </c>
      <c r="C1630" s="15" t="s">
        <v>2279</v>
      </c>
      <c r="D1630" s="14" t="s">
        <v>1749</v>
      </c>
      <c r="E1630" s="14" t="s">
        <v>1746</v>
      </c>
      <c r="F1630" s="25">
        <v>1620</v>
      </c>
      <c r="G1630" s="25">
        <v>1458</v>
      </c>
    </row>
    <row r="1631" spans="1:7" ht="30" x14ac:dyDescent="0.25">
      <c r="A1631" s="14" t="s">
        <v>2271</v>
      </c>
      <c r="B1631" s="14" t="s">
        <v>470</v>
      </c>
      <c r="C1631" s="15" t="s">
        <v>2276</v>
      </c>
      <c r="D1631" s="14" t="s">
        <v>1749</v>
      </c>
      <c r="E1631" s="14" t="s">
        <v>1746</v>
      </c>
      <c r="F1631" s="25">
        <v>498</v>
      </c>
      <c r="G1631" s="25">
        <v>448.2</v>
      </c>
    </row>
    <row r="1632" spans="1:7" ht="30" x14ac:dyDescent="0.25">
      <c r="A1632" s="14" t="s">
        <v>2271</v>
      </c>
      <c r="B1632" s="14" t="s">
        <v>470</v>
      </c>
      <c r="C1632" s="15" t="s">
        <v>2276</v>
      </c>
      <c r="D1632" s="14" t="s">
        <v>1745</v>
      </c>
      <c r="E1632" s="14" t="s">
        <v>1746</v>
      </c>
      <c r="F1632" s="25">
        <v>5229</v>
      </c>
      <c r="G1632" s="25">
        <v>4706.16</v>
      </c>
    </row>
    <row r="1633" spans="1:7" x14ac:dyDescent="0.25">
      <c r="A1633" s="14" t="s">
        <v>2271</v>
      </c>
      <c r="B1633" s="14">
        <v>4</v>
      </c>
      <c r="C1633" s="15" t="s">
        <v>2272</v>
      </c>
      <c r="D1633" s="14" t="s">
        <v>1752</v>
      </c>
      <c r="E1633" s="14" t="s">
        <v>1746</v>
      </c>
      <c r="F1633" s="25">
        <v>62937</v>
      </c>
      <c r="G1633" s="25">
        <v>47202.84</v>
      </c>
    </row>
    <row r="1634" spans="1:7" x14ac:dyDescent="0.25">
      <c r="A1634" s="14" t="s">
        <v>2271</v>
      </c>
      <c r="B1634" s="14">
        <v>2</v>
      </c>
      <c r="C1634" s="15" t="s">
        <v>2273</v>
      </c>
      <c r="D1634" s="14" t="s">
        <v>1752</v>
      </c>
      <c r="E1634" s="14" t="s">
        <v>1753</v>
      </c>
      <c r="F1634" s="25">
        <v>194760</v>
      </c>
      <c r="G1634" s="25">
        <v>146070</v>
      </c>
    </row>
    <row r="1635" spans="1:7" x14ac:dyDescent="0.25">
      <c r="A1635" s="14" t="s">
        <v>2271</v>
      </c>
      <c r="B1635" s="14">
        <v>15</v>
      </c>
      <c r="C1635" s="15" t="s">
        <v>2279</v>
      </c>
      <c r="D1635" s="14" t="s">
        <v>1745</v>
      </c>
      <c r="E1635" s="14" t="s">
        <v>1747</v>
      </c>
      <c r="F1635" s="25">
        <v>16200</v>
      </c>
      <c r="G1635" s="25">
        <v>14580</v>
      </c>
    </row>
    <row r="1636" spans="1:7" x14ac:dyDescent="0.25">
      <c r="A1636" s="14" t="s">
        <v>2271</v>
      </c>
      <c r="B1636" s="14">
        <v>4</v>
      </c>
      <c r="C1636" s="15" t="s">
        <v>2272</v>
      </c>
      <c r="D1636" s="14" t="s">
        <v>1745</v>
      </c>
      <c r="E1636" s="14" t="s">
        <v>1746</v>
      </c>
      <c r="F1636" s="25">
        <v>20979</v>
      </c>
      <c r="G1636" s="25">
        <v>15734.28</v>
      </c>
    </row>
    <row r="1637" spans="1:7" x14ac:dyDescent="0.25">
      <c r="A1637" s="14" t="s">
        <v>2271</v>
      </c>
      <c r="B1637" s="14">
        <v>16</v>
      </c>
      <c r="C1637" s="15" t="s">
        <v>2277</v>
      </c>
      <c r="D1637" s="14" t="s">
        <v>1749</v>
      </c>
      <c r="E1637" s="14" t="s">
        <v>1746</v>
      </c>
      <c r="F1637" s="25">
        <v>2598</v>
      </c>
      <c r="G1637" s="25">
        <v>1948.5</v>
      </c>
    </row>
    <row r="1638" spans="1:7" ht="30" x14ac:dyDescent="0.25">
      <c r="A1638" s="14" t="s">
        <v>2271</v>
      </c>
      <c r="B1638" s="14" t="s">
        <v>583</v>
      </c>
      <c r="C1638" s="15" t="s">
        <v>2278</v>
      </c>
      <c r="D1638" s="14" t="s">
        <v>1749</v>
      </c>
      <c r="E1638" s="14" t="s">
        <v>1746</v>
      </c>
      <c r="F1638" s="25">
        <v>798</v>
      </c>
      <c r="G1638" s="25">
        <v>598.5</v>
      </c>
    </row>
    <row r="1639" spans="1:7" ht="30" x14ac:dyDescent="0.25">
      <c r="A1639" s="14" t="s">
        <v>2271</v>
      </c>
      <c r="B1639" s="14" t="s">
        <v>583</v>
      </c>
      <c r="C1639" s="15" t="s">
        <v>2278</v>
      </c>
      <c r="D1639" s="14" t="s">
        <v>1745</v>
      </c>
      <c r="E1639" s="14" t="s">
        <v>1747</v>
      </c>
      <c r="F1639" s="25">
        <v>7980</v>
      </c>
      <c r="G1639" s="25">
        <v>5985</v>
      </c>
    </row>
    <row r="1640" spans="1:7" x14ac:dyDescent="0.25">
      <c r="A1640" s="14" t="s">
        <v>2271</v>
      </c>
      <c r="B1640" s="14">
        <v>4</v>
      </c>
      <c r="C1640" s="15" t="s">
        <v>2272</v>
      </c>
      <c r="D1640" s="14" t="s">
        <v>1752</v>
      </c>
      <c r="E1640" s="14" t="s">
        <v>1747</v>
      </c>
      <c r="F1640" s="25">
        <v>59940</v>
      </c>
      <c r="G1640" s="25">
        <v>44955</v>
      </c>
    </row>
    <row r="1641" spans="1:7" x14ac:dyDescent="0.25">
      <c r="A1641" s="14" t="s">
        <v>2271</v>
      </c>
      <c r="B1641" s="14">
        <v>2</v>
      </c>
      <c r="C1641" s="15" t="s">
        <v>2273</v>
      </c>
      <c r="D1641" s="14" t="s">
        <v>1749</v>
      </c>
      <c r="E1641" s="14" t="s">
        <v>1746</v>
      </c>
      <c r="F1641" s="25">
        <v>6492</v>
      </c>
      <c r="G1641" s="25">
        <v>4869</v>
      </c>
    </row>
    <row r="1642" spans="1:7" x14ac:dyDescent="0.25">
      <c r="A1642" s="14" t="s">
        <v>2271</v>
      </c>
      <c r="B1642" s="14">
        <v>4</v>
      </c>
      <c r="C1642" s="15" t="s">
        <v>2272</v>
      </c>
      <c r="D1642" s="14" t="s">
        <v>1749</v>
      </c>
      <c r="E1642" s="14" t="s">
        <v>1746</v>
      </c>
      <c r="F1642" s="25">
        <v>1998</v>
      </c>
      <c r="G1642" s="25">
        <v>1498.5</v>
      </c>
    </row>
    <row r="1643" spans="1:7" x14ac:dyDescent="0.25">
      <c r="A1643" s="14" t="s">
        <v>2271</v>
      </c>
      <c r="B1643" s="14">
        <v>2</v>
      </c>
      <c r="C1643" s="15" t="s">
        <v>2273</v>
      </c>
      <c r="D1643" s="14" t="s">
        <v>1752</v>
      </c>
      <c r="E1643" s="14" t="s">
        <v>1747</v>
      </c>
      <c r="F1643" s="25">
        <v>194760</v>
      </c>
      <c r="G1643" s="25">
        <v>146070</v>
      </c>
    </row>
    <row r="1644" spans="1:7" x14ac:dyDescent="0.25">
      <c r="A1644" s="14" t="s">
        <v>2271</v>
      </c>
      <c r="B1644" s="14">
        <v>16</v>
      </c>
      <c r="C1644" s="15" t="s">
        <v>2277</v>
      </c>
      <c r="D1644" s="14" t="s">
        <v>1745</v>
      </c>
      <c r="E1644" s="14" t="s">
        <v>1746</v>
      </c>
      <c r="F1644" s="25">
        <v>27279</v>
      </c>
      <c r="G1644" s="25">
        <v>20459.28</v>
      </c>
    </row>
    <row r="1645" spans="1:7" ht="30" x14ac:dyDescent="0.25">
      <c r="A1645" s="14" t="s">
        <v>2271</v>
      </c>
      <c r="B1645" s="14">
        <v>19</v>
      </c>
      <c r="C1645" s="15" t="s">
        <v>2275</v>
      </c>
      <c r="D1645" s="14" t="s">
        <v>1745</v>
      </c>
      <c r="E1645" s="14" t="s">
        <v>1746</v>
      </c>
      <c r="F1645" s="25">
        <v>11529</v>
      </c>
      <c r="G1645" s="25">
        <v>8646.7199999999993</v>
      </c>
    </row>
    <row r="1646" spans="1:7" x14ac:dyDescent="0.25">
      <c r="A1646" s="14" t="s">
        <v>2271</v>
      </c>
      <c r="B1646" s="14">
        <v>15</v>
      </c>
      <c r="C1646" s="15" t="s">
        <v>2279</v>
      </c>
      <c r="D1646" s="14" t="s">
        <v>1745</v>
      </c>
      <c r="E1646" s="14" t="s">
        <v>1746</v>
      </c>
      <c r="F1646" s="25">
        <v>17010</v>
      </c>
      <c r="G1646" s="25">
        <v>15309</v>
      </c>
    </row>
    <row r="1647" spans="1:7" ht="30" x14ac:dyDescent="0.25">
      <c r="A1647" s="14" t="s">
        <v>2271</v>
      </c>
      <c r="B1647" s="14">
        <v>19</v>
      </c>
      <c r="C1647" s="15" t="s">
        <v>2275</v>
      </c>
      <c r="D1647" s="14" t="s">
        <v>1745</v>
      </c>
      <c r="E1647" s="14" t="s">
        <v>1747</v>
      </c>
      <c r="F1647" s="25">
        <v>10980</v>
      </c>
      <c r="G1647" s="25">
        <v>8235</v>
      </c>
    </row>
    <row r="1648" spans="1:7" ht="30" x14ac:dyDescent="0.25">
      <c r="A1648" s="14" t="s">
        <v>2280</v>
      </c>
      <c r="B1648" s="14" t="s">
        <v>307</v>
      </c>
      <c r="C1648" s="15" t="s">
        <v>2281</v>
      </c>
      <c r="D1648" s="14" t="s">
        <v>1752</v>
      </c>
      <c r="E1648" s="14" t="s">
        <v>1747</v>
      </c>
      <c r="F1648" s="25">
        <v>45000</v>
      </c>
      <c r="G1648" s="25">
        <v>40500</v>
      </c>
    </row>
    <row r="1649" spans="1:7" x14ac:dyDescent="0.25">
      <c r="A1649" s="14" t="s">
        <v>2280</v>
      </c>
      <c r="B1649" s="14" t="s">
        <v>97</v>
      </c>
      <c r="C1649" s="15" t="s">
        <v>2282</v>
      </c>
      <c r="D1649" s="14" t="s">
        <v>1745</v>
      </c>
      <c r="E1649" s="14" t="s">
        <v>1747</v>
      </c>
      <c r="F1649" s="25">
        <v>83880</v>
      </c>
      <c r="G1649" s="25">
        <v>58716</v>
      </c>
    </row>
    <row r="1650" spans="1:7" ht="30" x14ac:dyDescent="0.25">
      <c r="A1650" s="14" t="s">
        <v>2280</v>
      </c>
      <c r="B1650" s="14" t="s">
        <v>307</v>
      </c>
      <c r="C1650" s="15" t="s">
        <v>2281</v>
      </c>
      <c r="D1650" s="14" t="s">
        <v>1745</v>
      </c>
      <c r="E1650" s="14" t="s">
        <v>1746</v>
      </c>
      <c r="F1650" s="25">
        <v>15750</v>
      </c>
      <c r="G1650" s="25">
        <v>14175</v>
      </c>
    </row>
    <row r="1651" spans="1:7" x14ac:dyDescent="0.25">
      <c r="A1651" s="14" t="s">
        <v>2280</v>
      </c>
      <c r="B1651" s="14">
        <v>1</v>
      </c>
      <c r="C1651" s="15" t="s">
        <v>2283</v>
      </c>
      <c r="D1651" s="14" t="s">
        <v>1752</v>
      </c>
      <c r="E1651" s="14" t="s">
        <v>1753</v>
      </c>
      <c r="F1651" s="25">
        <v>628920</v>
      </c>
      <c r="G1651" s="25">
        <v>440244</v>
      </c>
    </row>
    <row r="1652" spans="1:7" x14ac:dyDescent="0.25">
      <c r="A1652" s="14" t="s">
        <v>2280</v>
      </c>
      <c r="B1652" s="14" t="s">
        <v>97</v>
      </c>
      <c r="C1652" s="15" t="s">
        <v>2282</v>
      </c>
      <c r="D1652" s="14" t="s">
        <v>1745</v>
      </c>
      <c r="E1652" s="14" t="s">
        <v>1746</v>
      </c>
      <c r="F1652" s="25">
        <v>88074</v>
      </c>
      <c r="G1652" s="25">
        <v>61651.8</v>
      </c>
    </row>
    <row r="1653" spans="1:7" ht="30" x14ac:dyDescent="0.25">
      <c r="A1653" s="14" t="s">
        <v>2280</v>
      </c>
      <c r="B1653" s="14" t="s">
        <v>307</v>
      </c>
      <c r="C1653" s="15" t="s">
        <v>2281</v>
      </c>
      <c r="D1653" s="14" t="s">
        <v>1749</v>
      </c>
      <c r="E1653" s="14" t="s">
        <v>1746</v>
      </c>
      <c r="F1653" s="25">
        <v>1500</v>
      </c>
      <c r="G1653" s="25">
        <v>1350</v>
      </c>
    </row>
    <row r="1654" spans="1:7" x14ac:dyDescent="0.25">
      <c r="A1654" s="14" t="s">
        <v>2280</v>
      </c>
      <c r="B1654" s="14" t="s">
        <v>97</v>
      </c>
      <c r="C1654" s="15" t="s">
        <v>2282</v>
      </c>
      <c r="D1654" s="14" t="s">
        <v>1749</v>
      </c>
      <c r="E1654" s="14" t="s">
        <v>1746</v>
      </c>
      <c r="F1654" s="25">
        <v>8388</v>
      </c>
      <c r="G1654" s="25">
        <v>5871.6</v>
      </c>
    </row>
    <row r="1655" spans="1:7" ht="30" x14ac:dyDescent="0.25">
      <c r="A1655" s="14" t="s">
        <v>2280</v>
      </c>
      <c r="B1655" s="14" t="s">
        <v>333</v>
      </c>
      <c r="C1655" s="15" t="s">
        <v>2284</v>
      </c>
      <c r="D1655" s="14" t="s">
        <v>1749</v>
      </c>
      <c r="E1655" s="14" t="s">
        <v>1746</v>
      </c>
      <c r="F1655" s="25">
        <v>1650</v>
      </c>
      <c r="G1655" s="25">
        <v>1155</v>
      </c>
    </row>
    <row r="1656" spans="1:7" ht="30" x14ac:dyDescent="0.25">
      <c r="A1656" s="14" t="s">
        <v>2280</v>
      </c>
      <c r="B1656" s="14" t="s">
        <v>333</v>
      </c>
      <c r="C1656" s="15" t="s">
        <v>2284</v>
      </c>
      <c r="D1656" s="14" t="s">
        <v>1745</v>
      </c>
      <c r="E1656" s="14" t="s">
        <v>1747</v>
      </c>
      <c r="F1656" s="25">
        <v>16500</v>
      </c>
      <c r="G1656" s="25">
        <v>11550</v>
      </c>
    </row>
    <row r="1657" spans="1:7" x14ac:dyDescent="0.25">
      <c r="A1657" s="14" t="s">
        <v>2280</v>
      </c>
      <c r="B1657" s="14">
        <v>2</v>
      </c>
      <c r="C1657" s="15" t="s">
        <v>2285</v>
      </c>
      <c r="D1657" s="14" t="s">
        <v>1745</v>
      </c>
      <c r="E1657" s="14" t="s">
        <v>1747</v>
      </c>
      <c r="F1657" s="25">
        <v>29940</v>
      </c>
      <c r="G1657" s="25">
        <v>20958</v>
      </c>
    </row>
    <row r="1658" spans="1:7" x14ac:dyDescent="0.25">
      <c r="A1658" s="14" t="s">
        <v>2280</v>
      </c>
      <c r="B1658" s="14" t="s">
        <v>258</v>
      </c>
      <c r="C1658" s="15" t="s">
        <v>2286</v>
      </c>
      <c r="D1658" s="14" t="s">
        <v>1745</v>
      </c>
      <c r="E1658" s="14" t="s">
        <v>1747</v>
      </c>
      <c r="F1658" s="25">
        <v>83880</v>
      </c>
      <c r="G1658" s="25">
        <v>75492</v>
      </c>
    </row>
    <row r="1659" spans="1:7" x14ac:dyDescent="0.25">
      <c r="A1659" s="14" t="s">
        <v>2280</v>
      </c>
      <c r="B1659" s="14" t="s">
        <v>258</v>
      </c>
      <c r="C1659" s="15" t="s">
        <v>2286</v>
      </c>
      <c r="D1659" s="14" t="s">
        <v>1752</v>
      </c>
      <c r="E1659" s="14" t="s">
        <v>1746</v>
      </c>
      <c r="F1659" s="25">
        <v>264222</v>
      </c>
      <c r="G1659" s="25">
        <v>237799.8</v>
      </c>
    </row>
    <row r="1660" spans="1:7" x14ac:dyDescent="0.25">
      <c r="A1660" s="14" t="s">
        <v>2280</v>
      </c>
      <c r="B1660" s="14" t="s">
        <v>325</v>
      </c>
      <c r="C1660" s="15" t="s">
        <v>2287</v>
      </c>
      <c r="D1660" s="14" t="s">
        <v>1745</v>
      </c>
      <c r="E1660" s="14" t="s">
        <v>1746</v>
      </c>
      <c r="F1660" s="25">
        <v>121086</v>
      </c>
      <c r="G1660" s="25">
        <v>84760.2</v>
      </c>
    </row>
    <row r="1661" spans="1:7" x14ac:dyDescent="0.25">
      <c r="A1661" s="14" t="s">
        <v>2280</v>
      </c>
      <c r="B1661" s="14" t="s">
        <v>325</v>
      </c>
      <c r="C1661" s="15" t="s">
        <v>2287</v>
      </c>
      <c r="D1661" s="14" t="s">
        <v>1749</v>
      </c>
      <c r="E1661" s="14" t="s">
        <v>1746</v>
      </c>
      <c r="F1661" s="25">
        <v>11532</v>
      </c>
      <c r="G1661" s="25">
        <v>8072.4</v>
      </c>
    </row>
    <row r="1662" spans="1:7" ht="30" x14ac:dyDescent="0.25">
      <c r="A1662" s="14" t="s">
        <v>2280</v>
      </c>
      <c r="B1662" s="14" t="s">
        <v>307</v>
      </c>
      <c r="C1662" s="15" t="s">
        <v>2281</v>
      </c>
      <c r="D1662" s="14" t="s">
        <v>1752</v>
      </c>
      <c r="E1662" s="14" t="s">
        <v>1746</v>
      </c>
      <c r="F1662" s="25">
        <v>47250</v>
      </c>
      <c r="G1662" s="25">
        <v>42525</v>
      </c>
    </row>
    <row r="1663" spans="1:7" ht="30" x14ac:dyDescent="0.25">
      <c r="A1663" s="14" t="s">
        <v>2280</v>
      </c>
      <c r="B1663" s="14" t="s">
        <v>333</v>
      </c>
      <c r="C1663" s="15" t="s">
        <v>2284</v>
      </c>
      <c r="D1663" s="14" t="s">
        <v>1745</v>
      </c>
      <c r="E1663" s="14" t="s">
        <v>1746</v>
      </c>
      <c r="F1663" s="25">
        <v>17325</v>
      </c>
      <c r="G1663" s="25">
        <v>12127.56</v>
      </c>
    </row>
    <row r="1664" spans="1:7" ht="30" x14ac:dyDescent="0.25">
      <c r="A1664" s="14" t="s">
        <v>2280</v>
      </c>
      <c r="B1664" s="14" t="s">
        <v>307</v>
      </c>
      <c r="C1664" s="15" t="s">
        <v>2281</v>
      </c>
      <c r="D1664" s="14" t="s">
        <v>1745</v>
      </c>
      <c r="E1664" s="14" t="s">
        <v>1747</v>
      </c>
      <c r="F1664" s="25">
        <v>15000</v>
      </c>
      <c r="G1664" s="25">
        <v>13500</v>
      </c>
    </row>
    <row r="1665" spans="1:7" x14ac:dyDescent="0.25">
      <c r="A1665" s="14" t="s">
        <v>2280</v>
      </c>
      <c r="B1665" s="14" t="s">
        <v>258</v>
      </c>
      <c r="C1665" s="15" t="s">
        <v>2286</v>
      </c>
      <c r="D1665" s="14" t="s">
        <v>1752</v>
      </c>
      <c r="E1665" s="14" t="s">
        <v>1747</v>
      </c>
      <c r="F1665" s="25">
        <v>251640</v>
      </c>
      <c r="G1665" s="25">
        <v>226476</v>
      </c>
    </row>
    <row r="1666" spans="1:7" ht="30" x14ac:dyDescent="0.25">
      <c r="A1666" s="14" t="s">
        <v>2280</v>
      </c>
      <c r="B1666" s="14" t="s">
        <v>98</v>
      </c>
      <c r="C1666" s="15" t="s">
        <v>2288</v>
      </c>
      <c r="D1666" s="14" t="s">
        <v>1745</v>
      </c>
      <c r="E1666" s="14" t="s">
        <v>1747</v>
      </c>
      <c r="F1666" s="25">
        <v>12000</v>
      </c>
      <c r="G1666" s="25">
        <v>8400</v>
      </c>
    </row>
    <row r="1667" spans="1:7" x14ac:dyDescent="0.25">
      <c r="A1667" s="14" t="s">
        <v>2280</v>
      </c>
      <c r="B1667" s="14">
        <v>1</v>
      </c>
      <c r="C1667" s="15" t="s">
        <v>2283</v>
      </c>
      <c r="D1667" s="14" t="s">
        <v>1752</v>
      </c>
      <c r="E1667" s="14" t="s">
        <v>1746</v>
      </c>
      <c r="F1667" s="25">
        <v>660366</v>
      </c>
      <c r="G1667" s="25">
        <v>462256.2</v>
      </c>
    </row>
    <row r="1668" spans="1:7" x14ac:dyDescent="0.25">
      <c r="A1668" s="14" t="s">
        <v>2280</v>
      </c>
      <c r="B1668" s="14">
        <v>2</v>
      </c>
      <c r="C1668" s="15" t="s">
        <v>2285</v>
      </c>
      <c r="D1668" s="14" t="s">
        <v>1749</v>
      </c>
      <c r="E1668" s="14" t="s">
        <v>1746</v>
      </c>
      <c r="F1668" s="25">
        <v>2994</v>
      </c>
      <c r="G1668" s="25">
        <v>2095.8000000000002</v>
      </c>
    </row>
    <row r="1669" spans="1:7" ht="30" x14ac:dyDescent="0.25">
      <c r="A1669" s="14" t="s">
        <v>2280</v>
      </c>
      <c r="B1669" s="14" t="s">
        <v>98</v>
      </c>
      <c r="C1669" s="15" t="s">
        <v>2288</v>
      </c>
      <c r="D1669" s="14" t="s">
        <v>1749</v>
      </c>
      <c r="E1669" s="14" t="s">
        <v>1746</v>
      </c>
      <c r="F1669" s="25">
        <v>1200</v>
      </c>
      <c r="G1669" s="25">
        <v>840</v>
      </c>
    </row>
    <row r="1670" spans="1:7" x14ac:dyDescent="0.25">
      <c r="A1670" s="14" t="s">
        <v>2280</v>
      </c>
      <c r="B1670" s="14" t="s">
        <v>258</v>
      </c>
      <c r="C1670" s="15" t="s">
        <v>2286</v>
      </c>
      <c r="D1670" s="14" t="s">
        <v>1749</v>
      </c>
      <c r="E1670" s="14" t="s">
        <v>1746</v>
      </c>
      <c r="F1670" s="25">
        <v>8388</v>
      </c>
      <c r="G1670" s="25">
        <v>7549.2</v>
      </c>
    </row>
    <row r="1671" spans="1:7" x14ac:dyDescent="0.25">
      <c r="A1671" s="14" t="s">
        <v>2280</v>
      </c>
      <c r="B1671" s="14">
        <v>1</v>
      </c>
      <c r="C1671" s="15" t="s">
        <v>2283</v>
      </c>
      <c r="D1671" s="14" t="s">
        <v>1752</v>
      </c>
      <c r="E1671" s="14" t="s">
        <v>1747</v>
      </c>
      <c r="F1671" s="25">
        <v>628920</v>
      </c>
      <c r="G1671" s="25">
        <v>440244</v>
      </c>
    </row>
    <row r="1672" spans="1:7" x14ac:dyDescent="0.25">
      <c r="A1672" s="14" t="s">
        <v>2280</v>
      </c>
      <c r="B1672" s="14" t="s">
        <v>325</v>
      </c>
      <c r="C1672" s="15" t="s">
        <v>2287</v>
      </c>
      <c r="D1672" s="14" t="s">
        <v>1745</v>
      </c>
      <c r="E1672" s="14" t="s">
        <v>1747</v>
      </c>
      <c r="F1672" s="25">
        <v>115320</v>
      </c>
      <c r="G1672" s="25">
        <v>80724</v>
      </c>
    </row>
    <row r="1673" spans="1:7" ht="30" x14ac:dyDescent="0.25">
      <c r="A1673" s="14" t="s">
        <v>2280</v>
      </c>
      <c r="B1673" s="14" t="s">
        <v>98</v>
      </c>
      <c r="C1673" s="15" t="s">
        <v>2288</v>
      </c>
      <c r="D1673" s="14" t="s">
        <v>1745</v>
      </c>
      <c r="E1673" s="14" t="s">
        <v>1746</v>
      </c>
      <c r="F1673" s="25">
        <v>12600</v>
      </c>
      <c r="G1673" s="25">
        <v>8820</v>
      </c>
    </row>
    <row r="1674" spans="1:7" x14ac:dyDescent="0.25">
      <c r="A1674" s="14" t="s">
        <v>2280</v>
      </c>
      <c r="B1674" s="14">
        <v>2</v>
      </c>
      <c r="C1674" s="15" t="s">
        <v>2285</v>
      </c>
      <c r="D1674" s="14" t="s">
        <v>1752</v>
      </c>
      <c r="E1674" s="14" t="s">
        <v>1746</v>
      </c>
      <c r="F1674" s="25">
        <v>94311</v>
      </c>
      <c r="G1674" s="25">
        <v>66017.88</v>
      </c>
    </row>
    <row r="1675" spans="1:7" x14ac:dyDescent="0.25">
      <c r="A1675" s="14" t="s">
        <v>2280</v>
      </c>
      <c r="B1675" s="14">
        <v>2</v>
      </c>
      <c r="C1675" s="15" t="s">
        <v>2285</v>
      </c>
      <c r="D1675" s="14" t="s">
        <v>1745</v>
      </c>
      <c r="E1675" s="14" t="s">
        <v>1746</v>
      </c>
      <c r="F1675" s="25">
        <v>31437</v>
      </c>
      <c r="G1675" s="25">
        <v>22005.96</v>
      </c>
    </row>
    <row r="1676" spans="1:7" x14ac:dyDescent="0.25">
      <c r="A1676" s="14" t="s">
        <v>2280</v>
      </c>
      <c r="B1676" s="14">
        <v>2</v>
      </c>
      <c r="C1676" s="15" t="s">
        <v>2285</v>
      </c>
      <c r="D1676" s="14" t="s">
        <v>1752</v>
      </c>
      <c r="E1676" s="14" t="s">
        <v>1753</v>
      </c>
      <c r="F1676" s="25">
        <v>89820</v>
      </c>
      <c r="G1676" s="25">
        <v>62874</v>
      </c>
    </row>
    <row r="1677" spans="1:7" x14ac:dyDescent="0.25">
      <c r="A1677" s="14" t="s">
        <v>2280</v>
      </c>
      <c r="B1677" s="14">
        <v>1</v>
      </c>
      <c r="C1677" s="15" t="s">
        <v>2283</v>
      </c>
      <c r="D1677" s="14" t="s">
        <v>1745</v>
      </c>
      <c r="E1677" s="14" t="s">
        <v>1747</v>
      </c>
      <c r="F1677" s="25">
        <v>209640</v>
      </c>
      <c r="G1677" s="25">
        <v>146748</v>
      </c>
    </row>
    <row r="1678" spans="1:7" x14ac:dyDescent="0.25">
      <c r="A1678" s="14" t="s">
        <v>2280</v>
      </c>
      <c r="B1678" s="14">
        <v>1</v>
      </c>
      <c r="C1678" s="15" t="s">
        <v>2283</v>
      </c>
      <c r="D1678" s="14" t="s">
        <v>1749</v>
      </c>
      <c r="E1678" s="14" t="s">
        <v>1746</v>
      </c>
      <c r="F1678" s="25">
        <v>20964</v>
      </c>
      <c r="G1678" s="25">
        <v>14674.8</v>
      </c>
    </row>
    <row r="1679" spans="1:7" x14ac:dyDescent="0.25">
      <c r="A1679" s="14" t="s">
        <v>2280</v>
      </c>
      <c r="B1679" s="14">
        <v>1</v>
      </c>
      <c r="C1679" s="15" t="s">
        <v>2283</v>
      </c>
      <c r="D1679" s="14" t="s">
        <v>1745</v>
      </c>
      <c r="E1679" s="14" t="s">
        <v>1746</v>
      </c>
      <c r="F1679" s="25">
        <v>220122</v>
      </c>
      <c r="G1679" s="25">
        <v>154085.4</v>
      </c>
    </row>
    <row r="1680" spans="1:7" x14ac:dyDescent="0.25">
      <c r="A1680" s="14" t="s">
        <v>2280</v>
      </c>
      <c r="B1680" s="14" t="s">
        <v>258</v>
      </c>
      <c r="C1680" s="15" t="s">
        <v>2286</v>
      </c>
      <c r="D1680" s="14" t="s">
        <v>1745</v>
      </c>
      <c r="E1680" s="14" t="s">
        <v>1746</v>
      </c>
      <c r="F1680" s="25">
        <v>88074</v>
      </c>
      <c r="G1680" s="25">
        <v>79266.600000000006</v>
      </c>
    </row>
    <row r="1681" spans="1:7" x14ac:dyDescent="0.25">
      <c r="A1681" s="14" t="s">
        <v>2280</v>
      </c>
      <c r="B1681" s="14">
        <v>2</v>
      </c>
      <c r="C1681" s="15" t="s">
        <v>2285</v>
      </c>
      <c r="D1681" s="14" t="s">
        <v>1752</v>
      </c>
      <c r="E1681" s="14" t="s">
        <v>1747</v>
      </c>
      <c r="F1681" s="25">
        <v>89820</v>
      </c>
      <c r="G1681" s="25">
        <v>62874</v>
      </c>
    </row>
    <row r="1682" spans="1:7" x14ac:dyDescent="0.25">
      <c r="A1682" s="14" t="s">
        <v>2289</v>
      </c>
      <c r="B1682" s="14">
        <v>4</v>
      </c>
      <c r="C1682" s="15" t="s">
        <v>2290</v>
      </c>
      <c r="D1682" s="14" t="s">
        <v>1749</v>
      </c>
      <c r="E1682" s="14" t="s">
        <v>1746</v>
      </c>
      <c r="F1682" s="25">
        <v>11982</v>
      </c>
      <c r="G1682" s="25">
        <v>10783.8</v>
      </c>
    </row>
    <row r="1683" spans="1:7" x14ac:dyDescent="0.25">
      <c r="A1683" s="14" t="s">
        <v>2289</v>
      </c>
      <c r="B1683" s="14">
        <v>1</v>
      </c>
      <c r="C1683" s="15" t="s">
        <v>2291</v>
      </c>
      <c r="D1683" s="14" t="s">
        <v>1752</v>
      </c>
      <c r="E1683" s="14" t="s">
        <v>1753</v>
      </c>
      <c r="F1683" s="25">
        <v>898560</v>
      </c>
      <c r="G1683" s="25">
        <v>628992</v>
      </c>
    </row>
    <row r="1684" spans="1:7" x14ac:dyDescent="0.25">
      <c r="A1684" s="14" t="s">
        <v>2289</v>
      </c>
      <c r="B1684" s="14">
        <v>3</v>
      </c>
      <c r="C1684" s="15" t="s">
        <v>2292</v>
      </c>
      <c r="D1684" s="14" t="s">
        <v>1749</v>
      </c>
      <c r="E1684" s="14" t="s">
        <v>1746</v>
      </c>
      <c r="F1684" s="25">
        <v>16470</v>
      </c>
      <c r="G1684" s="25">
        <v>11529</v>
      </c>
    </row>
    <row r="1685" spans="1:7" x14ac:dyDescent="0.25">
      <c r="A1685" s="14" t="s">
        <v>2289</v>
      </c>
      <c r="B1685" s="14">
        <v>1</v>
      </c>
      <c r="C1685" s="15" t="s">
        <v>2291</v>
      </c>
      <c r="D1685" s="14" t="s">
        <v>1745</v>
      </c>
      <c r="E1685" s="14" t="s">
        <v>1746</v>
      </c>
      <c r="F1685" s="25">
        <v>314496</v>
      </c>
      <c r="G1685" s="25">
        <v>220147.20000000001</v>
      </c>
    </row>
    <row r="1686" spans="1:7" x14ac:dyDescent="0.25">
      <c r="A1686" s="14" t="s">
        <v>2289</v>
      </c>
      <c r="B1686" s="14">
        <v>2</v>
      </c>
      <c r="C1686" s="15" t="s">
        <v>2293</v>
      </c>
      <c r="D1686" s="14" t="s">
        <v>1745</v>
      </c>
      <c r="E1686" s="14" t="s">
        <v>1747</v>
      </c>
      <c r="F1686" s="25">
        <v>119820</v>
      </c>
      <c r="G1686" s="25">
        <v>83874</v>
      </c>
    </row>
    <row r="1687" spans="1:7" x14ac:dyDescent="0.25">
      <c r="A1687" s="14" t="s">
        <v>2289</v>
      </c>
      <c r="B1687" s="14">
        <v>1</v>
      </c>
      <c r="C1687" s="15" t="s">
        <v>2291</v>
      </c>
      <c r="D1687" s="14" t="s">
        <v>1745</v>
      </c>
      <c r="E1687" s="14" t="s">
        <v>1747</v>
      </c>
      <c r="F1687" s="25">
        <v>299520</v>
      </c>
      <c r="G1687" s="25">
        <v>209664</v>
      </c>
    </row>
    <row r="1688" spans="1:7" x14ac:dyDescent="0.25">
      <c r="A1688" s="14" t="s">
        <v>2289</v>
      </c>
      <c r="B1688" s="14">
        <v>4</v>
      </c>
      <c r="C1688" s="15" t="s">
        <v>2290</v>
      </c>
      <c r="D1688" s="14" t="s">
        <v>1745</v>
      </c>
      <c r="E1688" s="14" t="s">
        <v>1746</v>
      </c>
      <c r="F1688" s="25">
        <v>125811</v>
      </c>
      <c r="G1688" s="25">
        <v>113230</v>
      </c>
    </row>
    <row r="1689" spans="1:7" x14ac:dyDescent="0.25">
      <c r="A1689" s="14" t="s">
        <v>2289</v>
      </c>
      <c r="B1689" s="14">
        <v>1</v>
      </c>
      <c r="C1689" s="15" t="s">
        <v>2291</v>
      </c>
      <c r="D1689" s="14" t="s">
        <v>1752</v>
      </c>
      <c r="E1689" s="14" t="s">
        <v>1746</v>
      </c>
      <c r="F1689" s="25">
        <v>943488</v>
      </c>
      <c r="G1689" s="25">
        <v>660441.59999999998</v>
      </c>
    </row>
    <row r="1690" spans="1:7" x14ac:dyDescent="0.25">
      <c r="A1690" s="14" t="s">
        <v>2289</v>
      </c>
      <c r="B1690" s="14">
        <v>2</v>
      </c>
      <c r="C1690" s="15" t="s">
        <v>2293</v>
      </c>
      <c r="D1690" s="14" t="s">
        <v>1745</v>
      </c>
      <c r="E1690" s="14" t="s">
        <v>1746</v>
      </c>
      <c r="F1690" s="25">
        <v>125811</v>
      </c>
      <c r="G1690" s="25">
        <v>88067.76</v>
      </c>
    </row>
    <row r="1691" spans="1:7" x14ac:dyDescent="0.25">
      <c r="A1691" s="14" t="s">
        <v>2289</v>
      </c>
      <c r="B1691" s="14">
        <v>1</v>
      </c>
      <c r="C1691" s="15" t="s">
        <v>2291</v>
      </c>
      <c r="D1691" s="14" t="s">
        <v>1749</v>
      </c>
      <c r="E1691" s="14" t="s">
        <v>1746</v>
      </c>
      <c r="F1691" s="25">
        <v>29952</v>
      </c>
      <c r="G1691" s="25">
        <v>20966.400000000001</v>
      </c>
    </row>
    <row r="1692" spans="1:7" x14ac:dyDescent="0.25">
      <c r="A1692" s="14" t="s">
        <v>2289</v>
      </c>
      <c r="B1692" s="14">
        <v>4</v>
      </c>
      <c r="C1692" s="15" t="s">
        <v>2290</v>
      </c>
      <c r="D1692" s="14" t="s">
        <v>1745</v>
      </c>
      <c r="E1692" s="14" t="s">
        <v>1747</v>
      </c>
      <c r="F1692" s="25">
        <v>119820</v>
      </c>
      <c r="G1692" s="25">
        <v>107838</v>
      </c>
    </row>
    <row r="1693" spans="1:7" x14ac:dyDescent="0.25">
      <c r="A1693" s="14" t="s">
        <v>2289</v>
      </c>
      <c r="B1693" s="14">
        <v>3</v>
      </c>
      <c r="C1693" s="15" t="s">
        <v>2292</v>
      </c>
      <c r="D1693" s="14" t="s">
        <v>1745</v>
      </c>
      <c r="E1693" s="14" t="s">
        <v>1746</v>
      </c>
      <c r="F1693" s="25">
        <v>172935</v>
      </c>
      <c r="G1693" s="25">
        <v>121054.6</v>
      </c>
    </row>
    <row r="1694" spans="1:7" x14ac:dyDescent="0.25">
      <c r="A1694" s="14" t="s">
        <v>2289</v>
      </c>
      <c r="B1694" s="14">
        <v>2</v>
      </c>
      <c r="C1694" s="15" t="s">
        <v>2293</v>
      </c>
      <c r="D1694" s="14" t="s">
        <v>1749</v>
      </c>
      <c r="E1694" s="14" t="s">
        <v>1746</v>
      </c>
      <c r="F1694" s="25">
        <v>11982</v>
      </c>
      <c r="G1694" s="25">
        <v>8387.4</v>
      </c>
    </row>
    <row r="1695" spans="1:7" x14ac:dyDescent="0.25">
      <c r="A1695" s="14" t="s">
        <v>2289</v>
      </c>
      <c r="B1695" s="14">
        <v>3</v>
      </c>
      <c r="C1695" s="15" t="s">
        <v>2292</v>
      </c>
      <c r="D1695" s="14" t="s">
        <v>1745</v>
      </c>
      <c r="E1695" s="14" t="s">
        <v>1747</v>
      </c>
      <c r="F1695" s="25">
        <v>164700</v>
      </c>
      <c r="G1695" s="25">
        <v>115290</v>
      </c>
    </row>
    <row r="1696" spans="1:7" x14ac:dyDescent="0.25">
      <c r="A1696" s="14" t="s">
        <v>2289</v>
      </c>
      <c r="B1696" s="14">
        <v>1</v>
      </c>
      <c r="C1696" s="15" t="s">
        <v>2291</v>
      </c>
      <c r="D1696" s="14" t="s">
        <v>1752</v>
      </c>
      <c r="E1696" s="14" t="s">
        <v>1747</v>
      </c>
      <c r="F1696" s="25">
        <v>898560</v>
      </c>
      <c r="G1696" s="25">
        <v>628992</v>
      </c>
    </row>
    <row r="1697" spans="1:7" x14ac:dyDescent="0.25">
      <c r="A1697" s="14" t="s">
        <v>2294</v>
      </c>
      <c r="B1697" s="14" t="s">
        <v>36</v>
      </c>
      <c r="C1697" s="15" t="s">
        <v>2295</v>
      </c>
      <c r="D1697" s="14" t="s">
        <v>1745</v>
      </c>
      <c r="E1697" s="14" t="s">
        <v>1747</v>
      </c>
      <c r="F1697" s="25">
        <v>3180</v>
      </c>
      <c r="G1697" s="25">
        <v>2385</v>
      </c>
    </row>
    <row r="1698" spans="1:7" x14ac:dyDescent="0.25">
      <c r="A1698" s="14" t="s">
        <v>2294</v>
      </c>
      <c r="B1698" s="14" t="s">
        <v>36</v>
      </c>
      <c r="C1698" s="15" t="s">
        <v>2295</v>
      </c>
      <c r="D1698" s="14" t="s">
        <v>1745</v>
      </c>
      <c r="E1698" s="14" t="s">
        <v>1746</v>
      </c>
      <c r="F1698" s="25">
        <v>3339</v>
      </c>
      <c r="G1698" s="25">
        <v>2504.2800000000002</v>
      </c>
    </row>
    <row r="1699" spans="1:7" x14ac:dyDescent="0.25">
      <c r="A1699" s="14" t="s">
        <v>2294</v>
      </c>
      <c r="B1699" s="14">
        <v>1</v>
      </c>
      <c r="C1699" s="15" t="s">
        <v>2296</v>
      </c>
      <c r="D1699" s="14" t="s">
        <v>1752</v>
      </c>
      <c r="E1699" s="14" t="s">
        <v>1753</v>
      </c>
      <c r="F1699" s="25">
        <v>23940</v>
      </c>
      <c r="G1699" s="25">
        <v>17955</v>
      </c>
    </row>
    <row r="1700" spans="1:7" x14ac:dyDescent="0.25">
      <c r="A1700" s="14" t="s">
        <v>2294</v>
      </c>
      <c r="B1700" s="14">
        <v>1</v>
      </c>
      <c r="C1700" s="15" t="s">
        <v>2296</v>
      </c>
      <c r="D1700" s="14" t="s">
        <v>1745</v>
      </c>
      <c r="E1700" s="14" t="s">
        <v>1746</v>
      </c>
      <c r="F1700" s="25">
        <v>8379</v>
      </c>
      <c r="G1700" s="25">
        <v>6284.28</v>
      </c>
    </row>
    <row r="1701" spans="1:7" x14ac:dyDescent="0.25">
      <c r="A1701" s="14" t="s">
        <v>2294</v>
      </c>
      <c r="B1701" s="14" t="s">
        <v>36</v>
      </c>
      <c r="C1701" s="15" t="s">
        <v>2295</v>
      </c>
      <c r="D1701" s="14" t="s">
        <v>1749</v>
      </c>
      <c r="E1701" s="14" t="s">
        <v>1746</v>
      </c>
      <c r="F1701" s="25">
        <v>318</v>
      </c>
      <c r="G1701" s="25">
        <v>238.5</v>
      </c>
    </row>
    <row r="1702" spans="1:7" x14ac:dyDescent="0.25">
      <c r="A1702" s="14" t="s">
        <v>2294</v>
      </c>
      <c r="B1702" s="14">
        <v>4</v>
      </c>
      <c r="C1702" s="15" t="s">
        <v>2297</v>
      </c>
      <c r="D1702" s="14" t="s">
        <v>1752</v>
      </c>
      <c r="E1702" s="14" t="s">
        <v>1746</v>
      </c>
      <c r="F1702" s="25">
        <v>15120</v>
      </c>
      <c r="G1702" s="25">
        <v>10584</v>
      </c>
    </row>
    <row r="1703" spans="1:7" x14ac:dyDescent="0.25">
      <c r="A1703" s="14" t="s">
        <v>2294</v>
      </c>
      <c r="B1703" s="14">
        <v>1</v>
      </c>
      <c r="C1703" s="15" t="s">
        <v>2296</v>
      </c>
      <c r="D1703" s="14" t="s">
        <v>1752</v>
      </c>
      <c r="E1703" s="14" t="s">
        <v>1746</v>
      </c>
      <c r="F1703" s="25">
        <v>25137</v>
      </c>
      <c r="G1703" s="25">
        <v>18852.84</v>
      </c>
    </row>
    <row r="1704" spans="1:7" x14ac:dyDescent="0.25">
      <c r="A1704" s="14" t="s">
        <v>2294</v>
      </c>
      <c r="B1704" s="14">
        <v>1</v>
      </c>
      <c r="C1704" s="15" t="s">
        <v>2296</v>
      </c>
      <c r="D1704" s="14" t="s">
        <v>1749</v>
      </c>
      <c r="E1704" s="14" t="s">
        <v>1746</v>
      </c>
      <c r="F1704" s="25">
        <v>798</v>
      </c>
      <c r="G1704" s="25">
        <v>598.5</v>
      </c>
    </row>
    <row r="1705" spans="1:7" x14ac:dyDescent="0.25">
      <c r="A1705" s="14" t="s">
        <v>2294</v>
      </c>
      <c r="B1705" s="14" t="s">
        <v>122</v>
      </c>
      <c r="C1705" s="15" t="s">
        <v>2298</v>
      </c>
      <c r="D1705" s="14" t="s">
        <v>1745</v>
      </c>
      <c r="E1705" s="14" t="s">
        <v>1746</v>
      </c>
      <c r="F1705" s="25">
        <v>2079</v>
      </c>
      <c r="G1705" s="25">
        <v>1871.16</v>
      </c>
    </row>
    <row r="1706" spans="1:7" x14ac:dyDescent="0.25">
      <c r="A1706" s="14" t="s">
        <v>2294</v>
      </c>
      <c r="B1706" s="14">
        <v>1</v>
      </c>
      <c r="C1706" s="15" t="s">
        <v>2296</v>
      </c>
      <c r="D1706" s="14" t="s">
        <v>1752</v>
      </c>
      <c r="E1706" s="14" t="s">
        <v>1747</v>
      </c>
      <c r="F1706" s="25">
        <v>23940</v>
      </c>
      <c r="G1706" s="25">
        <v>17955</v>
      </c>
    </row>
    <row r="1707" spans="1:7" x14ac:dyDescent="0.25">
      <c r="A1707" s="14" t="s">
        <v>2294</v>
      </c>
      <c r="B1707" s="14">
        <v>1</v>
      </c>
      <c r="C1707" s="15" t="s">
        <v>2296</v>
      </c>
      <c r="D1707" s="14" t="s">
        <v>1745</v>
      </c>
      <c r="E1707" s="14" t="s">
        <v>1747</v>
      </c>
      <c r="F1707" s="25">
        <v>7980</v>
      </c>
      <c r="G1707" s="25">
        <v>5985</v>
      </c>
    </row>
    <row r="1708" spans="1:7" x14ac:dyDescent="0.25">
      <c r="A1708" s="14" t="s">
        <v>2294</v>
      </c>
      <c r="B1708" s="14" t="s">
        <v>29</v>
      </c>
      <c r="C1708" s="15" t="s">
        <v>2299</v>
      </c>
      <c r="D1708" s="14" t="s">
        <v>1745</v>
      </c>
      <c r="E1708" s="14" t="s">
        <v>1746</v>
      </c>
      <c r="F1708" s="25">
        <v>4599</v>
      </c>
      <c r="G1708" s="25">
        <v>3449.28</v>
      </c>
    </row>
    <row r="1709" spans="1:7" x14ac:dyDescent="0.25">
      <c r="A1709" s="14" t="s">
        <v>2294</v>
      </c>
      <c r="B1709" s="14" t="s">
        <v>122</v>
      </c>
      <c r="C1709" s="15" t="s">
        <v>2298</v>
      </c>
      <c r="D1709" s="14" t="s">
        <v>1749</v>
      </c>
      <c r="E1709" s="14" t="s">
        <v>1746</v>
      </c>
      <c r="F1709" s="25">
        <v>198</v>
      </c>
      <c r="G1709" s="25">
        <v>178.2</v>
      </c>
    </row>
    <row r="1710" spans="1:7" x14ac:dyDescent="0.25">
      <c r="A1710" s="14" t="s">
        <v>2294</v>
      </c>
      <c r="B1710" s="14">
        <v>4</v>
      </c>
      <c r="C1710" s="15" t="s">
        <v>2297</v>
      </c>
      <c r="D1710" s="14" t="s">
        <v>1752</v>
      </c>
      <c r="E1710" s="14" t="s">
        <v>1747</v>
      </c>
      <c r="F1710" s="25">
        <v>14400</v>
      </c>
      <c r="G1710" s="25">
        <v>10080</v>
      </c>
    </row>
    <row r="1711" spans="1:7" x14ac:dyDescent="0.25">
      <c r="A1711" s="14" t="s">
        <v>2294</v>
      </c>
      <c r="B1711" s="14" t="s">
        <v>29</v>
      </c>
      <c r="C1711" s="15" t="s">
        <v>2299</v>
      </c>
      <c r="D1711" s="14" t="s">
        <v>1745</v>
      </c>
      <c r="E1711" s="14" t="s">
        <v>1747</v>
      </c>
      <c r="F1711" s="25">
        <v>4380</v>
      </c>
      <c r="G1711" s="25">
        <v>3285</v>
      </c>
    </row>
    <row r="1712" spans="1:7" x14ac:dyDescent="0.25">
      <c r="A1712" s="14" t="s">
        <v>2294</v>
      </c>
      <c r="B1712" s="14">
        <v>4</v>
      </c>
      <c r="C1712" s="15" t="s">
        <v>2297</v>
      </c>
      <c r="D1712" s="14" t="s">
        <v>1749</v>
      </c>
      <c r="E1712" s="14" t="s">
        <v>1746</v>
      </c>
      <c r="F1712" s="25">
        <v>480</v>
      </c>
      <c r="G1712" s="25">
        <v>336</v>
      </c>
    </row>
    <row r="1713" spans="1:7" x14ac:dyDescent="0.25">
      <c r="A1713" s="14" t="s">
        <v>2294</v>
      </c>
      <c r="B1713" s="14" t="s">
        <v>29</v>
      </c>
      <c r="C1713" s="15" t="s">
        <v>2299</v>
      </c>
      <c r="D1713" s="14" t="s">
        <v>1749</v>
      </c>
      <c r="E1713" s="14" t="s">
        <v>1746</v>
      </c>
      <c r="F1713" s="25">
        <v>438</v>
      </c>
      <c r="G1713" s="25">
        <v>328.5</v>
      </c>
    </row>
    <row r="1714" spans="1:7" x14ac:dyDescent="0.25">
      <c r="A1714" s="14" t="s">
        <v>2294</v>
      </c>
      <c r="B1714" s="14" t="s">
        <v>122</v>
      </c>
      <c r="C1714" s="15" t="s">
        <v>2298</v>
      </c>
      <c r="D1714" s="14" t="s">
        <v>1745</v>
      </c>
      <c r="E1714" s="14" t="s">
        <v>1747</v>
      </c>
      <c r="F1714" s="25">
        <v>1980</v>
      </c>
      <c r="G1714" s="25">
        <v>1782</v>
      </c>
    </row>
    <row r="1715" spans="1:7" x14ac:dyDescent="0.25">
      <c r="A1715" s="14" t="s">
        <v>142</v>
      </c>
      <c r="B1715" s="14">
        <v>2</v>
      </c>
      <c r="C1715" s="15" t="s">
        <v>141</v>
      </c>
      <c r="D1715" s="14" t="s">
        <v>1752</v>
      </c>
      <c r="E1715" s="14" t="s">
        <v>1747</v>
      </c>
      <c r="F1715" s="25">
        <v>1497.6</v>
      </c>
      <c r="G1715" s="25">
        <v>1198.08</v>
      </c>
    </row>
    <row r="1716" spans="1:7" x14ac:dyDescent="0.25">
      <c r="A1716" s="14" t="s">
        <v>142</v>
      </c>
      <c r="B1716" s="14">
        <v>2</v>
      </c>
      <c r="C1716" s="15" t="s">
        <v>141</v>
      </c>
      <c r="D1716" s="14" t="s">
        <v>1745</v>
      </c>
      <c r="E1716" s="14" t="s">
        <v>1747</v>
      </c>
      <c r="F1716" s="25">
        <v>499.2</v>
      </c>
      <c r="G1716" s="25">
        <v>399.36</v>
      </c>
    </row>
    <row r="1717" spans="1:7" x14ac:dyDescent="0.25">
      <c r="A1717" s="14" t="s">
        <v>142</v>
      </c>
      <c r="B1717" s="14">
        <v>2</v>
      </c>
      <c r="C1717" s="15" t="s">
        <v>141</v>
      </c>
      <c r="D1717" s="14" t="s">
        <v>1752</v>
      </c>
      <c r="E1717" s="14" t="s">
        <v>1753</v>
      </c>
      <c r="F1717" s="25">
        <v>1497.6</v>
      </c>
      <c r="G1717" s="25">
        <v>1198.08</v>
      </c>
    </row>
    <row r="1718" spans="1:7" x14ac:dyDescent="0.25">
      <c r="A1718" s="14" t="s">
        <v>142</v>
      </c>
      <c r="B1718" s="14">
        <v>2</v>
      </c>
      <c r="C1718" s="15" t="s">
        <v>141</v>
      </c>
      <c r="D1718" s="14" t="s">
        <v>1749</v>
      </c>
      <c r="E1718" s="14" t="s">
        <v>1746</v>
      </c>
      <c r="F1718" s="25">
        <v>49.92</v>
      </c>
      <c r="G1718" s="25">
        <v>39.94</v>
      </c>
    </row>
    <row r="1719" spans="1:7" x14ac:dyDescent="0.25">
      <c r="A1719" s="14" t="s">
        <v>142</v>
      </c>
      <c r="B1719" s="14">
        <v>2</v>
      </c>
      <c r="C1719" s="15" t="s">
        <v>141</v>
      </c>
      <c r="D1719" s="14" t="s">
        <v>1745</v>
      </c>
      <c r="E1719" s="14" t="s">
        <v>1746</v>
      </c>
      <c r="F1719" s="25">
        <v>524.16</v>
      </c>
      <c r="G1719" s="25">
        <v>419.28</v>
      </c>
    </row>
    <row r="1720" spans="1:7" x14ac:dyDescent="0.25">
      <c r="A1720" s="14" t="s">
        <v>2300</v>
      </c>
      <c r="B1720" s="14" t="s">
        <v>256</v>
      </c>
      <c r="C1720" s="15" t="s">
        <v>2301</v>
      </c>
      <c r="D1720" s="14" t="s">
        <v>1749</v>
      </c>
      <c r="E1720" s="14" t="s">
        <v>1746</v>
      </c>
      <c r="F1720" s="25">
        <v>239598</v>
      </c>
      <c r="G1720" s="25">
        <v>167718.6</v>
      </c>
    </row>
    <row r="1721" spans="1:7" x14ac:dyDescent="0.25">
      <c r="A1721" s="14" t="s">
        <v>2300</v>
      </c>
      <c r="B1721" s="14" t="s">
        <v>570</v>
      </c>
      <c r="C1721" s="15" t="s">
        <v>2302</v>
      </c>
      <c r="D1721" s="14" t="s">
        <v>1752</v>
      </c>
      <c r="E1721" s="14" t="s">
        <v>1747</v>
      </c>
      <c r="F1721" s="25">
        <v>12728700</v>
      </c>
      <c r="G1721" s="25">
        <v>11455830</v>
      </c>
    </row>
    <row r="1722" spans="1:7" x14ac:dyDescent="0.25">
      <c r="A1722" s="14" t="s">
        <v>2300</v>
      </c>
      <c r="B1722" s="14" t="s">
        <v>253</v>
      </c>
      <c r="C1722" s="15" t="s">
        <v>2303</v>
      </c>
      <c r="D1722" s="14" t="s">
        <v>1752</v>
      </c>
      <c r="E1722" s="14" t="s">
        <v>1746</v>
      </c>
      <c r="F1722" s="25">
        <v>4717062</v>
      </c>
      <c r="G1722" s="25">
        <v>4245356</v>
      </c>
    </row>
    <row r="1723" spans="1:7" x14ac:dyDescent="0.25">
      <c r="A1723" s="14" t="s">
        <v>2300</v>
      </c>
      <c r="B1723" s="14" t="s">
        <v>253</v>
      </c>
      <c r="C1723" s="15" t="s">
        <v>2303</v>
      </c>
      <c r="D1723" s="14" t="s">
        <v>1745</v>
      </c>
      <c r="E1723" s="14" t="s">
        <v>1747</v>
      </c>
      <c r="F1723" s="25">
        <v>1497480</v>
      </c>
      <c r="G1723" s="25">
        <v>1347732</v>
      </c>
    </row>
    <row r="1724" spans="1:7" x14ac:dyDescent="0.25">
      <c r="A1724" s="14" t="s">
        <v>2300</v>
      </c>
      <c r="B1724" s="14" t="s">
        <v>260</v>
      </c>
      <c r="C1724" s="15" t="s">
        <v>2304</v>
      </c>
      <c r="D1724" s="14" t="s">
        <v>1749</v>
      </c>
      <c r="E1724" s="14" t="s">
        <v>1746</v>
      </c>
      <c r="F1724" s="25">
        <v>933444</v>
      </c>
      <c r="G1724" s="25">
        <v>653410.80000000005</v>
      </c>
    </row>
    <row r="1725" spans="1:7" x14ac:dyDescent="0.25">
      <c r="A1725" s="14" t="s">
        <v>2300</v>
      </c>
      <c r="B1725" s="14">
        <v>8</v>
      </c>
      <c r="C1725" s="15" t="s">
        <v>2305</v>
      </c>
      <c r="D1725" s="14" t="s">
        <v>1749</v>
      </c>
      <c r="E1725" s="14" t="s">
        <v>1746</v>
      </c>
      <c r="F1725" s="25">
        <v>3693846</v>
      </c>
      <c r="G1725" s="25">
        <v>2585692</v>
      </c>
    </row>
    <row r="1726" spans="1:7" x14ac:dyDescent="0.25">
      <c r="A1726" s="14" t="s">
        <v>2300</v>
      </c>
      <c r="B1726" s="14">
        <v>9</v>
      </c>
      <c r="C1726" s="15" t="s">
        <v>2306</v>
      </c>
      <c r="D1726" s="14" t="s">
        <v>1749</v>
      </c>
      <c r="E1726" s="14" t="s">
        <v>1746</v>
      </c>
      <c r="F1726" s="25">
        <v>1697172</v>
      </c>
      <c r="G1726" s="25">
        <v>1188020</v>
      </c>
    </row>
    <row r="1727" spans="1:7" x14ac:dyDescent="0.25">
      <c r="A1727" s="14" t="s">
        <v>2300</v>
      </c>
      <c r="B1727" s="14">
        <v>9</v>
      </c>
      <c r="C1727" s="15" t="s">
        <v>2306</v>
      </c>
      <c r="D1727" s="14" t="s">
        <v>1745</v>
      </c>
      <c r="E1727" s="14" t="s">
        <v>1747</v>
      </c>
      <c r="F1727" s="25">
        <v>16971720</v>
      </c>
      <c r="G1727" s="25">
        <v>11880204</v>
      </c>
    </row>
    <row r="1728" spans="1:7" x14ac:dyDescent="0.25">
      <c r="A1728" s="14" t="s">
        <v>2300</v>
      </c>
      <c r="B1728" s="14" t="s">
        <v>260</v>
      </c>
      <c r="C1728" s="15" t="s">
        <v>2304</v>
      </c>
      <c r="D1728" s="14" t="s">
        <v>1745</v>
      </c>
      <c r="E1728" s="14" t="s">
        <v>1747</v>
      </c>
      <c r="F1728" s="25">
        <v>9334440</v>
      </c>
      <c r="G1728" s="25">
        <v>6534108</v>
      </c>
    </row>
    <row r="1729" spans="1:7" x14ac:dyDescent="0.25">
      <c r="A1729" s="14" t="s">
        <v>2300</v>
      </c>
      <c r="B1729" s="14">
        <v>9</v>
      </c>
      <c r="C1729" s="15" t="s">
        <v>2306</v>
      </c>
      <c r="D1729" s="14" t="s">
        <v>1752</v>
      </c>
      <c r="E1729" s="14" t="s">
        <v>1747</v>
      </c>
      <c r="F1729" s="25">
        <v>50915160</v>
      </c>
      <c r="G1729" s="25">
        <v>35640612</v>
      </c>
    </row>
    <row r="1730" spans="1:7" x14ac:dyDescent="0.25">
      <c r="A1730" s="14" t="s">
        <v>2300</v>
      </c>
      <c r="B1730" s="14" t="s">
        <v>269</v>
      </c>
      <c r="C1730" s="15" t="s">
        <v>2307</v>
      </c>
      <c r="D1730" s="14" t="s">
        <v>1752</v>
      </c>
      <c r="E1730" s="14" t="s">
        <v>1746</v>
      </c>
      <c r="F1730" s="25">
        <v>29088990</v>
      </c>
      <c r="G1730" s="25">
        <v>26180091</v>
      </c>
    </row>
    <row r="1731" spans="1:7" x14ac:dyDescent="0.25">
      <c r="A1731" s="14" t="s">
        <v>2300</v>
      </c>
      <c r="B1731" s="14" t="s">
        <v>16</v>
      </c>
      <c r="C1731" s="15" t="s">
        <v>2308</v>
      </c>
      <c r="D1731" s="14" t="s">
        <v>1752</v>
      </c>
      <c r="E1731" s="14" t="s">
        <v>1747</v>
      </c>
      <c r="F1731" s="25">
        <v>17970120</v>
      </c>
      <c r="G1731" s="25">
        <v>12579084</v>
      </c>
    </row>
    <row r="1732" spans="1:7" x14ac:dyDescent="0.25">
      <c r="A1732" s="14" t="s">
        <v>2300</v>
      </c>
      <c r="B1732" s="14" t="s">
        <v>260</v>
      </c>
      <c r="C1732" s="15" t="s">
        <v>2304</v>
      </c>
      <c r="D1732" s="14" t="s">
        <v>1745</v>
      </c>
      <c r="E1732" s="14" t="s">
        <v>1746</v>
      </c>
      <c r="F1732" s="25">
        <v>9801162</v>
      </c>
      <c r="G1732" s="25">
        <v>6860813</v>
      </c>
    </row>
    <row r="1733" spans="1:7" x14ac:dyDescent="0.25">
      <c r="A1733" s="14" t="s">
        <v>2300</v>
      </c>
      <c r="B1733" s="14" t="s">
        <v>256</v>
      </c>
      <c r="C1733" s="15" t="s">
        <v>2301</v>
      </c>
      <c r="D1733" s="14" t="s">
        <v>1745</v>
      </c>
      <c r="E1733" s="14" t="s">
        <v>1746</v>
      </c>
      <c r="F1733" s="25">
        <v>2515779</v>
      </c>
      <c r="G1733" s="25">
        <v>1761045</v>
      </c>
    </row>
    <row r="1734" spans="1:7" x14ac:dyDescent="0.25">
      <c r="A1734" s="14" t="s">
        <v>2300</v>
      </c>
      <c r="B1734" s="14">
        <v>8</v>
      </c>
      <c r="C1734" s="15" t="s">
        <v>2305</v>
      </c>
      <c r="D1734" s="14" t="s">
        <v>1752</v>
      </c>
      <c r="E1734" s="14" t="s">
        <v>1747</v>
      </c>
      <c r="F1734" s="26">
        <v>111000000</v>
      </c>
      <c r="G1734" s="25">
        <v>77570766</v>
      </c>
    </row>
    <row r="1735" spans="1:7" x14ac:dyDescent="0.25">
      <c r="A1735" s="14" t="s">
        <v>2300</v>
      </c>
      <c r="B1735" s="14" t="s">
        <v>805</v>
      </c>
      <c r="C1735" s="15" t="s">
        <v>2309</v>
      </c>
      <c r="D1735" s="14" t="s">
        <v>1745</v>
      </c>
      <c r="E1735" s="14" t="s">
        <v>1746</v>
      </c>
      <c r="F1735" s="25">
        <v>3459204</v>
      </c>
      <c r="G1735" s="25">
        <v>2421443</v>
      </c>
    </row>
    <row r="1736" spans="1:7" x14ac:dyDescent="0.25">
      <c r="A1736" s="14" t="s">
        <v>2300</v>
      </c>
      <c r="B1736" s="14">
        <v>8</v>
      </c>
      <c r="C1736" s="15" t="s">
        <v>2305</v>
      </c>
      <c r="D1736" s="14" t="s">
        <v>1745</v>
      </c>
      <c r="E1736" s="14" t="s">
        <v>1746</v>
      </c>
      <c r="F1736" s="25">
        <v>38785383</v>
      </c>
      <c r="G1736" s="25">
        <v>27149768</v>
      </c>
    </row>
    <row r="1737" spans="1:7" x14ac:dyDescent="0.25">
      <c r="A1737" s="14" t="s">
        <v>2300</v>
      </c>
      <c r="B1737" s="14" t="s">
        <v>570</v>
      </c>
      <c r="C1737" s="15" t="s">
        <v>2302</v>
      </c>
      <c r="D1737" s="14" t="s">
        <v>1752</v>
      </c>
      <c r="E1737" s="14" t="s">
        <v>1746</v>
      </c>
      <c r="F1737" s="25">
        <v>13365135</v>
      </c>
      <c r="G1737" s="25">
        <v>12028622</v>
      </c>
    </row>
    <row r="1738" spans="1:7" x14ac:dyDescent="0.25">
      <c r="A1738" s="14" t="s">
        <v>2300</v>
      </c>
      <c r="B1738" s="14" t="s">
        <v>570</v>
      </c>
      <c r="C1738" s="15" t="s">
        <v>2302</v>
      </c>
      <c r="D1738" s="14" t="s">
        <v>1745</v>
      </c>
      <c r="E1738" s="14" t="s">
        <v>1747</v>
      </c>
      <c r="F1738" s="25">
        <v>4242900</v>
      </c>
      <c r="G1738" s="25">
        <v>3818610</v>
      </c>
    </row>
    <row r="1739" spans="1:7" x14ac:dyDescent="0.25">
      <c r="A1739" s="14" t="s">
        <v>2300</v>
      </c>
      <c r="B1739" s="14" t="s">
        <v>570</v>
      </c>
      <c r="C1739" s="15" t="s">
        <v>2302</v>
      </c>
      <c r="D1739" s="14" t="s">
        <v>1749</v>
      </c>
      <c r="E1739" s="14" t="s">
        <v>1746</v>
      </c>
      <c r="F1739" s="25">
        <v>424290</v>
      </c>
      <c r="G1739" s="25">
        <v>381861</v>
      </c>
    </row>
    <row r="1740" spans="1:7" x14ac:dyDescent="0.25">
      <c r="A1740" s="14" t="s">
        <v>2300</v>
      </c>
      <c r="B1740" s="14" t="s">
        <v>269</v>
      </c>
      <c r="C1740" s="15" t="s">
        <v>2307</v>
      </c>
      <c r="D1740" s="14" t="s">
        <v>1749</v>
      </c>
      <c r="E1740" s="14" t="s">
        <v>1746</v>
      </c>
      <c r="F1740" s="25">
        <v>923460</v>
      </c>
      <c r="G1740" s="25">
        <v>831114</v>
      </c>
    </row>
    <row r="1741" spans="1:7" x14ac:dyDescent="0.25">
      <c r="A1741" s="14" t="s">
        <v>2300</v>
      </c>
      <c r="B1741" s="14" t="s">
        <v>253</v>
      </c>
      <c r="C1741" s="15" t="s">
        <v>2303</v>
      </c>
      <c r="D1741" s="14" t="s">
        <v>1749</v>
      </c>
      <c r="E1741" s="14" t="s">
        <v>1746</v>
      </c>
      <c r="F1741" s="25">
        <v>149748</v>
      </c>
      <c r="G1741" s="25">
        <v>134773.20000000001</v>
      </c>
    </row>
    <row r="1742" spans="1:7" x14ac:dyDescent="0.25">
      <c r="A1742" s="14" t="s">
        <v>2300</v>
      </c>
      <c r="B1742" s="14" t="s">
        <v>16</v>
      </c>
      <c r="C1742" s="15" t="s">
        <v>2308</v>
      </c>
      <c r="D1742" s="14" t="s">
        <v>1745</v>
      </c>
      <c r="E1742" s="14" t="s">
        <v>1747</v>
      </c>
      <c r="F1742" s="25">
        <v>5990040</v>
      </c>
      <c r="G1742" s="25">
        <v>4193028</v>
      </c>
    </row>
    <row r="1743" spans="1:7" x14ac:dyDescent="0.25">
      <c r="A1743" s="14" t="s">
        <v>2300</v>
      </c>
      <c r="B1743" s="14" t="s">
        <v>577</v>
      </c>
      <c r="C1743" s="15" t="s">
        <v>2310</v>
      </c>
      <c r="D1743" s="14" t="s">
        <v>1749</v>
      </c>
      <c r="E1743" s="14" t="s">
        <v>1746</v>
      </c>
      <c r="F1743" s="25">
        <v>1477536</v>
      </c>
      <c r="G1743" s="25">
        <v>1034275</v>
      </c>
    </row>
    <row r="1744" spans="1:7" x14ac:dyDescent="0.25">
      <c r="A1744" s="14" t="s">
        <v>2300</v>
      </c>
      <c r="B1744" s="14" t="s">
        <v>805</v>
      </c>
      <c r="C1744" s="15" t="s">
        <v>2309</v>
      </c>
      <c r="D1744" s="14" t="s">
        <v>1749</v>
      </c>
      <c r="E1744" s="14" t="s">
        <v>1746</v>
      </c>
      <c r="F1744" s="25">
        <v>329448</v>
      </c>
      <c r="G1744" s="25">
        <v>230613.6</v>
      </c>
    </row>
    <row r="1745" spans="1:7" x14ac:dyDescent="0.25">
      <c r="A1745" s="14" t="s">
        <v>2300</v>
      </c>
      <c r="B1745" s="14" t="s">
        <v>16</v>
      </c>
      <c r="C1745" s="15" t="s">
        <v>2308</v>
      </c>
      <c r="D1745" s="14" t="s">
        <v>1749</v>
      </c>
      <c r="E1745" s="14" t="s">
        <v>1746</v>
      </c>
      <c r="F1745" s="25">
        <v>599004</v>
      </c>
      <c r="G1745" s="25">
        <v>419302.8</v>
      </c>
    </row>
    <row r="1746" spans="1:7" x14ac:dyDescent="0.25">
      <c r="A1746" s="14" t="s">
        <v>2300</v>
      </c>
      <c r="B1746" s="14" t="s">
        <v>269</v>
      </c>
      <c r="C1746" s="15" t="s">
        <v>2307</v>
      </c>
      <c r="D1746" s="14" t="s">
        <v>1752</v>
      </c>
      <c r="E1746" s="14" t="s">
        <v>1753</v>
      </c>
      <c r="F1746" s="25">
        <v>27703800</v>
      </c>
      <c r="G1746" s="25">
        <v>24933420</v>
      </c>
    </row>
    <row r="1747" spans="1:7" x14ac:dyDescent="0.25">
      <c r="A1747" s="14" t="s">
        <v>2300</v>
      </c>
      <c r="B1747" s="14" t="s">
        <v>570</v>
      </c>
      <c r="C1747" s="15" t="s">
        <v>2302</v>
      </c>
      <c r="D1747" s="14" t="s">
        <v>1752</v>
      </c>
      <c r="E1747" s="14" t="s">
        <v>1753</v>
      </c>
      <c r="F1747" s="25">
        <v>12728700</v>
      </c>
      <c r="G1747" s="25">
        <v>11455830</v>
      </c>
    </row>
    <row r="1748" spans="1:7" x14ac:dyDescent="0.25">
      <c r="A1748" s="14" t="s">
        <v>2300</v>
      </c>
      <c r="B1748" s="14" t="s">
        <v>577</v>
      </c>
      <c r="C1748" s="15" t="s">
        <v>2310</v>
      </c>
      <c r="D1748" s="14" t="s">
        <v>1745</v>
      </c>
      <c r="E1748" s="14" t="s">
        <v>1746</v>
      </c>
      <c r="F1748" s="25">
        <v>15514128</v>
      </c>
      <c r="G1748" s="25">
        <v>10859890</v>
      </c>
    </row>
    <row r="1749" spans="1:7" x14ac:dyDescent="0.25">
      <c r="A1749" s="14" t="s">
        <v>2300</v>
      </c>
      <c r="B1749" s="14" t="s">
        <v>269</v>
      </c>
      <c r="C1749" s="15" t="s">
        <v>2307</v>
      </c>
      <c r="D1749" s="14" t="s">
        <v>1752</v>
      </c>
      <c r="E1749" s="14" t="s">
        <v>1747</v>
      </c>
      <c r="F1749" s="25">
        <v>27703800</v>
      </c>
      <c r="G1749" s="25">
        <v>24933420</v>
      </c>
    </row>
    <row r="1750" spans="1:7" x14ac:dyDescent="0.25">
      <c r="A1750" s="14" t="s">
        <v>2300</v>
      </c>
      <c r="B1750" s="14" t="s">
        <v>20</v>
      </c>
      <c r="C1750" s="15" t="s">
        <v>2311</v>
      </c>
      <c r="D1750" s="14" t="s">
        <v>1749</v>
      </c>
      <c r="E1750" s="14" t="s">
        <v>1746</v>
      </c>
      <c r="F1750" s="25">
        <v>74874</v>
      </c>
      <c r="G1750" s="25">
        <v>52411.8</v>
      </c>
    </row>
    <row r="1751" spans="1:7" x14ac:dyDescent="0.25">
      <c r="A1751" s="14" t="s">
        <v>2300</v>
      </c>
      <c r="B1751" s="14">
        <v>9</v>
      </c>
      <c r="C1751" s="15" t="s">
        <v>2306</v>
      </c>
      <c r="D1751" s="14" t="s">
        <v>1752</v>
      </c>
      <c r="E1751" s="14" t="s">
        <v>1746</v>
      </c>
      <c r="F1751" s="25">
        <v>53460918</v>
      </c>
      <c r="G1751" s="25">
        <v>37422643</v>
      </c>
    </row>
    <row r="1752" spans="1:7" x14ac:dyDescent="0.25">
      <c r="A1752" s="14" t="s">
        <v>2300</v>
      </c>
      <c r="B1752" s="14" t="s">
        <v>253</v>
      </c>
      <c r="C1752" s="15" t="s">
        <v>2303</v>
      </c>
      <c r="D1752" s="14" t="s">
        <v>1745</v>
      </c>
      <c r="E1752" s="14" t="s">
        <v>1746</v>
      </c>
      <c r="F1752" s="25">
        <v>1572354</v>
      </c>
      <c r="G1752" s="25">
        <v>1415119</v>
      </c>
    </row>
    <row r="1753" spans="1:7" x14ac:dyDescent="0.25">
      <c r="A1753" s="14" t="s">
        <v>2300</v>
      </c>
      <c r="B1753" s="14" t="s">
        <v>253</v>
      </c>
      <c r="C1753" s="15" t="s">
        <v>2303</v>
      </c>
      <c r="D1753" s="14" t="s">
        <v>1752</v>
      </c>
      <c r="E1753" s="14" t="s">
        <v>1747</v>
      </c>
      <c r="F1753" s="25">
        <v>4492440</v>
      </c>
      <c r="G1753" s="25">
        <v>4043196</v>
      </c>
    </row>
    <row r="1754" spans="1:7" x14ac:dyDescent="0.25">
      <c r="A1754" s="14" t="s">
        <v>2300</v>
      </c>
      <c r="B1754" s="14" t="s">
        <v>269</v>
      </c>
      <c r="C1754" s="15" t="s">
        <v>2307</v>
      </c>
      <c r="D1754" s="14" t="s">
        <v>1745</v>
      </c>
      <c r="E1754" s="14" t="s">
        <v>1746</v>
      </c>
      <c r="F1754" s="25">
        <v>9696330</v>
      </c>
      <c r="G1754" s="25">
        <v>8726697</v>
      </c>
    </row>
    <row r="1755" spans="1:7" x14ac:dyDescent="0.25">
      <c r="A1755" s="14" t="s">
        <v>2300</v>
      </c>
      <c r="B1755" s="14" t="s">
        <v>16</v>
      </c>
      <c r="C1755" s="15" t="s">
        <v>2308</v>
      </c>
      <c r="D1755" s="14" t="s">
        <v>1752</v>
      </c>
      <c r="E1755" s="14" t="s">
        <v>1746</v>
      </c>
      <c r="F1755" s="25">
        <v>18868626</v>
      </c>
      <c r="G1755" s="25">
        <v>13208038</v>
      </c>
    </row>
    <row r="1756" spans="1:7" x14ac:dyDescent="0.25">
      <c r="A1756" s="14" t="s">
        <v>2300</v>
      </c>
      <c r="B1756" s="14" t="s">
        <v>265</v>
      </c>
      <c r="C1756" s="15" t="s">
        <v>2312</v>
      </c>
      <c r="D1756" s="14" t="s">
        <v>1745</v>
      </c>
      <c r="E1756" s="14" t="s">
        <v>1746</v>
      </c>
      <c r="F1756" s="25">
        <v>21331926</v>
      </c>
      <c r="G1756" s="25">
        <v>14932348</v>
      </c>
    </row>
    <row r="1757" spans="1:7" x14ac:dyDescent="0.25">
      <c r="A1757" s="14" t="s">
        <v>2300</v>
      </c>
      <c r="B1757" s="14" t="s">
        <v>356</v>
      </c>
      <c r="C1757" s="15" t="s">
        <v>2313</v>
      </c>
      <c r="D1757" s="14" t="s">
        <v>1745</v>
      </c>
      <c r="E1757" s="14" t="s">
        <v>1747</v>
      </c>
      <c r="F1757" s="25">
        <v>6788700</v>
      </c>
      <c r="G1757" s="25">
        <v>4752090</v>
      </c>
    </row>
    <row r="1758" spans="1:7" x14ac:dyDescent="0.25">
      <c r="A1758" s="14" t="s">
        <v>2300</v>
      </c>
      <c r="B1758" s="14">
        <v>8</v>
      </c>
      <c r="C1758" s="15" t="s">
        <v>2305</v>
      </c>
      <c r="D1758" s="14" t="s">
        <v>1745</v>
      </c>
      <c r="E1758" s="14" t="s">
        <v>1747</v>
      </c>
      <c r="F1758" s="25">
        <v>36938460</v>
      </c>
      <c r="G1758" s="25">
        <v>25856922</v>
      </c>
    </row>
    <row r="1759" spans="1:7" x14ac:dyDescent="0.25">
      <c r="A1759" s="14" t="s">
        <v>2300</v>
      </c>
      <c r="B1759" s="14" t="s">
        <v>356</v>
      </c>
      <c r="C1759" s="15" t="s">
        <v>2313</v>
      </c>
      <c r="D1759" s="14" t="s">
        <v>1745</v>
      </c>
      <c r="E1759" s="14" t="s">
        <v>1746</v>
      </c>
      <c r="F1759" s="25">
        <v>7128135</v>
      </c>
      <c r="G1759" s="25">
        <v>4989695</v>
      </c>
    </row>
    <row r="1760" spans="1:7" x14ac:dyDescent="0.25">
      <c r="A1760" s="14" t="s">
        <v>2300</v>
      </c>
      <c r="B1760" s="14" t="s">
        <v>577</v>
      </c>
      <c r="C1760" s="15" t="s">
        <v>2310</v>
      </c>
      <c r="D1760" s="14" t="s">
        <v>1745</v>
      </c>
      <c r="E1760" s="14" t="s">
        <v>1747</v>
      </c>
      <c r="F1760" s="25">
        <v>14775360</v>
      </c>
      <c r="G1760" s="25">
        <v>10342752</v>
      </c>
    </row>
    <row r="1761" spans="1:7" x14ac:dyDescent="0.25">
      <c r="A1761" s="14" t="s">
        <v>2300</v>
      </c>
      <c r="B1761" s="14" t="s">
        <v>805</v>
      </c>
      <c r="C1761" s="15" t="s">
        <v>2309</v>
      </c>
      <c r="D1761" s="14" t="s">
        <v>1745</v>
      </c>
      <c r="E1761" s="14" t="s">
        <v>1747</v>
      </c>
      <c r="F1761" s="25">
        <v>3294480</v>
      </c>
      <c r="G1761" s="25">
        <v>2306136</v>
      </c>
    </row>
    <row r="1762" spans="1:7" x14ac:dyDescent="0.25">
      <c r="A1762" s="14" t="s">
        <v>2300</v>
      </c>
      <c r="B1762" s="14" t="s">
        <v>16</v>
      </c>
      <c r="C1762" s="15" t="s">
        <v>2308</v>
      </c>
      <c r="D1762" s="14" t="s">
        <v>1752</v>
      </c>
      <c r="E1762" s="14" t="s">
        <v>1753</v>
      </c>
      <c r="F1762" s="25">
        <v>17970120</v>
      </c>
      <c r="G1762" s="25">
        <v>12579084</v>
      </c>
    </row>
    <row r="1763" spans="1:7" x14ac:dyDescent="0.25">
      <c r="A1763" s="14" t="s">
        <v>2300</v>
      </c>
      <c r="B1763" s="14" t="s">
        <v>269</v>
      </c>
      <c r="C1763" s="15" t="s">
        <v>2307</v>
      </c>
      <c r="D1763" s="14" t="s">
        <v>1745</v>
      </c>
      <c r="E1763" s="14" t="s">
        <v>1747</v>
      </c>
      <c r="F1763" s="25">
        <v>9234600</v>
      </c>
      <c r="G1763" s="25">
        <v>8311140</v>
      </c>
    </row>
    <row r="1764" spans="1:7" x14ac:dyDescent="0.25">
      <c r="A1764" s="14" t="s">
        <v>2300</v>
      </c>
      <c r="B1764" s="14" t="s">
        <v>253</v>
      </c>
      <c r="C1764" s="15" t="s">
        <v>2303</v>
      </c>
      <c r="D1764" s="14" t="s">
        <v>1752</v>
      </c>
      <c r="E1764" s="14" t="s">
        <v>1753</v>
      </c>
      <c r="F1764" s="25">
        <v>4492440</v>
      </c>
      <c r="G1764" s="25">
        <v>4043196</v>
      </c>
    </row>
    <row r="1765" spans="1:7" x14ac:dyDescent="0.25">
      <c r="A1765" s="14" t="s">
        <v>2300</v>
      </c>
      <c r="B1765" s="14">
        <v>8</v>
      </c>
      <c r="C1765" s="15" t="s">
        <v>2305</v>
      </c>
      <c r="D1765" s="14" t="s">
        <v>1752</v>
      </c>
      <c r="E1765" s="14" t="s">
        <v>1746</v>
      </c>
      <c r="F1765" s="26">
        <v>116000000</v>
      </c>
      <c r="G1765" s="25">
        <v>81449304</v>
      </c>
    </row>
    <row r="1766" spans="1:7" x14ac:dyDescent="0.25">
      <c r="A1766" s="14" t="s">
        <v>2300</v>
      </c>
      <c r="B1766" s="14" t="s">
        <v>16</v>
      </c>
      <c r="C1766" s="15" t="s">
        <v>2308</v>
      </c>
      <c r="D1766" s="14" t="s">
        <v>1745</v>
      </c>
      <c r="E1766" s="14" t="s">
        <v>1746</v>
      </c>
      <c r="F1766" s="25">
        <v>6289542</v>
      </c>
      <c r="G1766" s="25">
        <v>4402679</v>
      </c>
    </row>
    <row r="1767" spans="1:7" x14ac:dyDescent="0.25">
      <c r="A1767" s="14" t="s">
        <v>2300</v>
      </c>
      <c r="B1767" s="14" t="s">
        <v>256</v>
      </c>
      <c r="C1767" s="15" t="s">
        <v>2301</v>
      </c>
      <c r="D1767" s="14" t="s">
        <v>1745</v>
      </c>
      <c r="E1767" s="14" t="s">
        <v>1747</v>
      </c>
      <c r="F1767" s="25">
        <v>2395980</v>
      </c>
      <c r="G1767" s="25">
        <v>1677186</v>
      </c>
    </row>
    <row r="1768" spans="1:7" x14ac:dyDescent="0.25">
      <c r="A1768" s="14" t="s">
        <v>2300</v>
      </c>
      <c r="B1768" s="14">
        <v>8</v>
      </c>
      <c r="C1768" s="15" t="s">
        <v>2305</v>
      </c>
      <c r="D1768" s="14" t="s">
        <v>1752</v>
      </c>
      <c r="E1768" s="14" t="s">
        <v>1753</v>
      </c>
      <c r="F1768" s="26">
        <v>111000000</v>
      </c>
      <c r="G1768" s="25">
        <v>77570766</v>
      </c>
    </row>
    <row r="1769" spans="1:7" x14ac:dyDescent="0.25">
      <c r="A1769" s="14" t="s">
        <v>2300</v>
      </c>
      <c r="B1769" s="14">
        <v>9</v>
      </c>
      <c r="C1769" s="15" t="s">
        <v>2306</v>
      </c>
      <c r="D1769" s="14" t="s">
        <v>1745</v>
      </c>
      <c r="E1769" s="14" t="s">
        <v>1746</v>
      </c>
      <c r="F1769" s="25">
        <v>17820306</v>
      </c>
      <c r="G1769" s="25">
        <v>12474214</v>
      </c>
    </row>
    <row r="1770" spans="1:7" x14ac:dyDescent="0.25">
      <c r="A1770" s="14" t="s">
        <v>2300</v>
      </c>
      <c r="B1770" s="14" t="s">
        <v>265</v>
      </c>
      <c r="C1770" s="15" t="s">
        <v>2312</v>
      </c>
      <c r="D1770" s="14" t="s">
        <v>1749</v>
      </c>
      <c r="E1770" s="14" t="s">
        <v>1746</v>
      </c>
      <c r="F1770" s="25">
        <v>2031612</v>
      </c>
      <c r="G1770" s="25">
        <v>1422128</v>
      </c>
    </row>
    <row r="1771" spans="1:7" x14ac:dyDescent="0.25">
      <c r="A1771" s="14" t="s">
        <v>2300</v>
      </c>
      <c r="B1771" s="14" t="s">
        <v>356</v>
      </c>
      <c r="C1771" s="15" t="s">
        <v>2313</v>
      </c>
      <c r="D1771" s="14" t="s">
        <v>1749</v>
      </c>
      <c r="E1771" s="14" t="s">
        <v>1746</v>
      </c>
      <c r="F1771" s="25">
        <v>678870</v>
      </c>
      <c r="G1771" s="25">
        <v>475209</v>
      </c>
    </row>
    <row r="1772" spans="1:7" x14ac:dyDescent="0.25">
      <c r="A1772" s="14" t="s">
        <v>2300</v>
      </c>
      <c r="B1772" s="14">
        <v>9</v>
      </c>
      <c r="C1772" s="15" t="s">
        <v>2306</v>
      </c>
      <c r="D1772" s="14" t="s">
        <v>1752</v>
      </c>
      <c r="E1772" s="14" t="s">
        <v>1753</v>
      </c>
      <c r="F1772" s="25">
        <v>50915160</v>
      </c>
      <c r="G1772" s="25">
        <v>35640612</v>
      </c>
    </row>
    <row r="1773" spans="1:7" x14ac:dyDescent="0.25">
      <c r="A1773" s="14" t="s">
        <v>2300</v>
      </c>
      <c r="B1773" s="14" t="s">
        <v>570</v>
      </c>
      <c r="C1773" s="15" t="s">
        <v>2302</v>
      </c>
      <c r="D1773" s="14" t="s">
        <v>1745</v>
      </c>
      <c r="E1773" s="14" t="s">
        <v>1746</v>
      </c>
      <c r="F1773" s="25">
        <v>4455045</v>
      </c>
      <c r="G1773" s="25">
        <v>4009541</v>
      </c>
    </row>
    <row r="1774" spans="1:7" x14ac:dyDescent="0.25">
      <c r="A1774" s="14" t="s">
        <v>2300</v>
      </c>
      <c r="B1774" s="14" t="s">
        <v>265</v>
      </c>
      <c r="C1774" s="15" t="s">
        <v>2312</v>
      </c>
      <c r="D1774" s="14" t="s">
        <v>1745</v>
      </c>
      <c r="E1774" s="14" t="s">
        <v>1747</v>
      </c>
      <c r="F1774" s="25">
        <v>20316120</v>
      </c>
      <c r="G1774" s="25">
        <v>14221284</v>
      </c>
    </row>
    <row r="1775" spans="1:7" x14ac:dyDescent="0.25">
      <c r="A1775" s="14" t="s">
        <v>148</v>
      </c>
      <c r="B1775" s="14">
        <v>7</v>
      </c>
      <c r="C1775" s="15" t="s">
        <v>2314</v>
      </c>
      <c r="D1775" s="14" t="s">
        <v>1745</v>
      </c>
      <c r="E1775" s="14" t="s">
        <v>1746</v>
      </c>
      <c r="F1775" s="25">
        <v>2016</v>
      </c>
      <c r="G1775" s="25">
        <v>1612.8</v>
      </c>
    </row>
    <row r="1776" spans="1:7" x14ac:dyDescent="0.25">
      <c r="A1776" s="14" t="s">
        <v>148</v>
      </c>
      <c r="B1776" s="14">
        <v>6</v>
      </c>
      <c r="C1776" s="15" t="s">
        <v>2315</v>
      </c>
      <c r="D1776" s="14" t="s">
        <v>1749</v>
      </c>
      <c r="E1776" s="14" t="s">
        <v>1746</v>
      </c>
      <c r="F1776" s="25">
        <v>192</v>
      </c>
      <c r="G1776" s="25">
        <v>153.6</v>
      </c>
    </row>
    <row r="1777" spans="1:7" x14ac:dyDescent="0.25">
      <c r="A1777" s="14" t="s">
        <v>148</v>
      </c>
      <c r="B1777" s="14">
        <v>8</v>
      </c>
      <c r="C1777" s="15" t="s">
        <v>2316</v>
      </c>
      <c r="D1777" s="14" t="s">
        <v>1749</v>
      </c>
      <c r="E1777" s="14" t="s">
        <v>1746</v>
      </c>
      <c r="F1777" s="25">
        <v>0</v>
      </c>
      <c r="G1777" s="25">
        <v>0</v>
      </c>
    </row>
    <row r="1778" spans="1:7" x14ac:dyDescent="0.25">
      <c r="A1778" s="14" t="s">
        <v>148</v>
      </c>
      <c r="B1778" s="14">
        <v>6</v>
      </c>
      <c r="C1778" s="15" t="s">
        <v>2315</v>
      </c>
      <c r="D1778" s="14" t="s">
        <v>1745</v>
      </c>
      <c r="E1778" s="14" t="s">
        <v>1747</v>
      </c>
      <c r="F1778" s="25">
        <v>1920</v>
      </c>
      <c r="G1778" s="25">
        <v>1536</v>
      </c>
    </row>
    <row r="1779" spans="1:7" x14ac:dyDescent="0.25">
      <c r="A1779" s="14" t="s">
        <v>148</v>
      </c>
      <c r="B1779" s="14">
        <v>7</v>
      </c>
      <c r="C1779" s="15" t="s">
        <v>2314</v>
      </c>
      <c r="D1779" s="14" t="s">
        <v>1749</v>
      </c>
      <c r="E1779" s="14" t="s">
        <v>1746</v>
      </c>
      <c r="F1779" s="25">
        <v>192</v>
      </c>
      <c r="G1779" s="25">
        <v>153.6</v>
      </c>
    </row>
    <row r="1780" spans="1:7" x14ac:dyDescent="0.25">
      <c r="A1780" s="14" t="s">
        <v>148</v>
      </c>
      <c r="B1780" s="14">
        <v>6</v>
      </c>
      <c r="C1780" s="15" t="s">
        <v>2315</v>
      </c>
      <c r="D1780" s="14" t="s">
        <v>1745</v>
      </c>
      <c r="E1780" s="14" t="s">
        <v>1746</v>
      </c>
      <c r="F1780" s="25">
        <v>2016</v>
      </c>
      <c r="G1780" s="25">
        <v>1612.8</v>
      </c>
    </row>
    <row r="1781" spans="1:7" x14ac:dyDescent="0.25">
      <c r="A1781" s="14" t="s">
        <v>148</v>
      </c>
      <c r="B1781" s="14">
        <v>8</v>
      </c>
      <c r="C1781" s="15" t="s">
        <v>2316</v>
      </c>
      <c r="D1781" s="14" t="s">
        <v>1745</v>
      </c>
      <c r="E1781" s="14" t="s">
        <v>1746</v>
      </c>
      <c r="F1781" s="25">
        <v>0</v>
      </c>
      <c r="G1781" s="25">
        <v>0</v>
      </c>
    </row>
    <row r="1782" spans="1:7" x14ac:dyDescent="0.25">
      <c r="A1782" s="14" t="s">
        <v>148</v>
      </c>
      <c r="B1782" s="14">
        <v>8</v>
      </c>
      <c r="C1782" s="15" t="s">
        <v>2316</v>
      </c>
      <c r="D1782" s="14" t="s">
        <v>1745</v>
      </c>
      <c r="E1782" s="14" t="s">
        <v>1747</v>
      </c>
      <c r="F1782" s="25">
        <v>0</v>
      </c>
      <c r="G1782" s="25">
        <v>0</v>
      </c>
    </row>
    <row r="1783" spans="1:7" x14ac:dyDescent="0.25">
      <c r="A1783" s="14" t="s">
        <v>148</v>
      </c>
      <c r="B1783" s="14">
        <v>7</v>
      </c>
      <c r="C1783" s="15" t="s">
        <v>2314</v>
      </c>
      <c r="D1783" s="14" t="s">
        <v>1745</v>
      </c>
      <c r="E1783" s="14" t="s">
        <v>1747</v>
      </c>
      <c r="F1783" s="25">
        <v>1920</v>
      </c>
      <c r="G1783" s="25">
        <v>1536</v>
      </c>
    </row>
    <row r="1784" spans="1:7" x14ac:dyDescent="0.25">
      <c r="A1784" s="14" t="s">
        <v>156</v>
      </c>
      <c r="B1784" s="14">
        <v>4</v>
      </c>
      <c r="C1784" s="15" t="s">
        <v>2317</v>
      </c>
      <c r="D1784" s="14" t="s">
        <v>1745</v>
      </c>
      <c r="E1784" s="14" t="s">
        <v>1746</v>
      </c>
      <c r="F1784" s="25">
        <v>3402</v>
      </c>
      <c r="G1784" s="25">
        <v>2721.6</v>
      </c>
    </row>
    <row r="1785" spans="1:7" x14ac:dyDescent="0.25">
      <c r="A1785" s="14" t="s">
        <v>156</v>
      </c>
      <c r="B1785" s="14">
        <v>5</v>
      </c>
      <c r="C1785" s="15" t="s">
        <v>2318</v>
      </c>
      <c r="D1785" s="14" t="s">
        <v>1745</v>
      </c>
      <c r="E1785" s="14" t="s">
        <v>1746</v>
      </c>
      <c r="F1785" s="25">
        <v>3402</v>
      </c>
      <c r="G1785" s="25">
        <v>2721.6</v>
      </c>
    </row>
    <row r="1786" spans="1:7" x14ac:dyDescent="0.25">
      <c r="A1786" s="14" t="s">
        <v>156</v>
      </c>
      <c r="B1786" s="14">
        <v>4</v>
      </c>
      <c r="C1786" s="15" t="s">
        <v>2317</v>
      </c>
      <c r="D1786" s="14" t="s">
        <v>1745</v>
      </c>
      <c r="E1786" s="14" t="s">
        <v>1747</v>
      </c>
      <c r="F1786" s="25">
        <v>3240</v>
      </c>
      <c r="G1786" s="25">
        <v>2592</v>
      </c>
    </row>
    <row r="1787" spans="1:7" x14ac:dyDescent="0.25">
      <c r="A1787" s="14" t="s">
        <v>156</v>
      </c>
      <c r="B1787" s="14">
        <v>5</v>
      </c>
      <c r="C1787" s="15" t="s">
        <v>2318</v>
      </c>
      <c r="D1787" s="14" t="s">
        <v>1745</v>
      </c>
      <c r="E1787" s="14" t="s">
        <v>1747</v>
      </c>
      <c r="F1787" s="25">
        <v>3240</v>
      </c>
      <c r="G1787" s="25">
        <v>2592</v>
      </c>
    </row>
    <row r="1788" spans="1:7" x14ac:dyDescent="0.25">
      <c r="A1788" s="14" t="s">
        <v>156</v>
      </c>
      <c r="B1788" s="14">
        <v>5</v>
      </c>
      <c r="C1788" s="15" t="s">
        <v>2318</v>
      </c>
      <c r="D1788" s="14" t="s">
        <v>1749</v>
      </c>
      <c r="E1788" s="14" t="s">
        <v>1746</v>
      </c>
      <c r="F1788" s="25">
        <v>324</v>
      </c>
      <c r="G1788" s="25">
        <v>259.2</v>
      </c>
    </row>
    <row r="1789" spans="1:7" x14ac:dyDescent="0.25">
      <c r="A1789" s="14" t="s">
        <v>156</v>
      </c>
      <c r="B1789" s="14">
        <v>6</v>
      </c>
      <c r="C1789" s="15" t="s">
        <v>2319</v>
      </c>
      <c r="D1789" s="14" t="s">
        <v>1745</v>
      </c>
      <c r="E1789" s="14" t="s">
        <v>1747</v>
      </c>
      <c r="F1789" s="25">
        <v>0</v>
      </c>
      <c r="G1789" s="25">
        <v>0</v>
      </c>
    </row>
    <row r="1790" spans="1:7" x14ac:dyDescent="0.25">
      <c r="A1790" s="14" t="s">
        <v>156</v>
      </c>
      <c r="B1790" s="14">
        <v>4</v>
      </c>
      <c r="C1790" s="15" t="s">
        <v>2317</v>
      </c>
      <c r="D1790" s="14" t="s">
        <v>1749</v>
      </c>
      <c r="E1790" s="14" t="s">
        <v>1746</v>
      </c>
      <c r="F1790" s="25">
        <v>324</v>
      </c>
      <c r="G1790" s="25">
        <v>259.2</v>
      </c>
    </row>
    <row r="1791" spans="1:7" x14ac:dyDescent="0.25">
      <c r="A1791" s="14" t="s">
        <v>156</v>
      </c>
      <c r="B1791" s="14">
        <v>6</v>
      </c>
      <c r="C1791" s="15" t="s">
        <v>2319</v>
      </c>
      <c r="D1791" s="14" t="s">
        <v>1745</v>
      </c>
      <c r="E1791" s="14" t="s">
        <v>1746</v>
      </c>
      <c r="F1791" s="25">
        <v>0</v>
      </c>
      <c r="G1791" s="25">
        <v>0</v>
      </c>
    </row>
    <row r="1792" spans="1:7" x14ac:dyDescent="0.25">
      <c r="A1792" s="14" t="s">
        <v>156</v>
      </c>
      <c r="B1792" s="14">
        <v>6</v>
      </c>
      <c r="C1792" s="15" t="s">
        <v>2319</v>
      </c>
      <c r="D1792" s="14" t="s">
        <v>1749</v>
      </c>
      <c r="E1792" s="14" t="s">
        <v>1746</v>
      </c>
      <c r="F1792" s="25">
        <v>0</v>
      </c>
      <c r="G1792" s="25">
        <v>0</v>
      </c>
    </row>
    <row r="1793" spans="1:7" x14ac:dyDescent="0.25">
      <c r="A1793" s="14" t="s">
        <v>164</v>
      </c>
      <c r="B1793" s="14">
        <v>1</v>
      </c>
      <c r="C1793" s="15" t="s">
        <v>162</v>
      </c>
      <c r="D1793" s="14" t="s">
        <v>1745</v>
      </c>
      <c r="E1793" s="14" t="s">
        <v>1747</v>
      </c>
      <c r="F1793" s="25">
        <v>11940</v>
      </c>
      <c r="G1793" s="25">
        <v>9552</v>
      </c>
    </row>
    <row r="1794" spans="1:7" x14ac:dyDescent="0.25">
      <c r="A1794" s="14" t="s">
        <v>164</v>
      </c>
      <c r="B1794" s="14">
        <v>1</v>
      </c>
      <c r="C1794" s="15" t="s">
        <v>162</v>
      </c>
      <c r="D1794" s="14" t="s">
        <v>1745</v>
      </c>
      <c r="E1794" s="14" t="s">
        <v>1746</v>
      </c>
      <c r="F1794" s="25">
        <v>12537</v>
      </c>
      <c r="G1794" s="25">
        <v>10029.6</v>
      </c>
    </row>
    <row r="1795" spans="1:7" x14ac:dyDescent="0.25">
      <c r="A1795" s="14" t="s">
        <v>163</v>
      </c>
      <c r="B1795" s="14" t="s">
        <v>28</v>
      </c>
      <c r="C1795" s="15" t="s">
        <v>2320</v>
      </c>
      <c r="D1795" s="14" t="s">
        <v>1745</v>
      </c>
      <c r="E1795" s="14" t="s">
        <v>1747</v>
      </c>
      <c r="F1795" s="25">
        <v>3000</v>
      </c>
      <c r="G1795" s="25">
        <v>2700</v>
      </c>
    </row>
    <row r="1796" spans="1:7" x14ac:dyDescent="0.25">
      <c r="A1796" s="14" t="s">
        <v>163</v>
      </c>
      <c r="B1796" s="14" t="s">
        <v>28</v>
      </c>
      <c r="C1796" s="15" t="s">
        <v>2320</v>
      </c>
      <c r="D1796" s="14" t="s">
        <v>1745</v>
      </c>
      <c r="E1796" s="14" t="s">
        <v>1746</v>
      </c>
      <c r="F1796" s="25">
        <v>3150</v>
      </c>
      <c r="G1796" s="25">
        <v>2835</v>
      </c>
    </row>
    <row r="1797" spans="1:7" x14ac:dyDescent="0.25">
      <c r="A1797" s="14" t="s">
        <v>163</v>
      </c>
      <c r="B1797" s="14" t="s">
        <v>28</v>
      </c>
      <c r="C1797" s="15" t="s">
        <v>2320</v>
      </c>
      <c r="D1797" s="14" t="s">
        <v>1749</v>
      </c>
      <c r="E1797" s="14" t="s">
        <v>1746</v>
      </c>
      <c r="F1797" s="25">
        <v>300</v>
      </c>
      <c r="G1797" s="25">
        <v>270</v>
      </c>
    </row>
    <row r="1798" spans="1:7" x14ac:dyDescent="0.25">
      <c r="A1798" s="14" t="s">
        <v>164</v>
      </c>
      <c r="B1798" s="14">
        <v>1</v>
      </c>
      <c r="C1798" s="15" t="s">
        <v>162</v>
      </c>
      <c r="D1798" s="14" t="s">
        <v>1749</v>
      </c>
      <c r="E1798" s="14" t="s">
        <v>1746</v>
      </c>
      <c r="F1798" s="25">
        <v>1194</v>
      </c>
      <c r="G1798" s="25">
        <v>955.2</v>
      </c>
    </row>
    <row r="1799" spans="1:7" x14ac:dyDescent="0.25">
      <c r="A1799" s="14" t="s">
        <v>175</v>
      </c>
      <c r="B1799" s="14">
        <v>9</v>
      </c>
      <c r="C1799" s="15" t="s">
        <v>174</v>
      </c>
      <c r="D1799" s="14" t="s">
        <v>1749</v>
      </c>
      <c r="E1799" s="14" t="s">
        <v>1766</v>
      </c>
      <c r="F1799" s="25">
        <v>0</v>
      </c>
      <c r="G1799" s="25">
        <v>0</v>
      </c>
    </row>
    <row r="1800" spans="1:7" x14ac:dyDescent="0.25">
      <c r="A1800" s="14" t="s">
        <v>175</v>
      </c>
      <c r="B1800" s="14">
        <v>1</v>
      </c>
      <c r="C1800" s="15" t="s">
        <v>174</v>
      </c>
      <c r="D1800" s="14" t="s">
        <v>1745</v>
      </c>
      <c r="E1800" s="14" t="s">
        <v>1747</v>
      </c>
      <c r="F1800" s="25">
        <v>18000</v>
      </c>
      <c r="G1800" s="25">
        <v>14400</v>
      </c>
    </row>
    <row r="1801" spans="1:7" x14ac:dyDescent="0.25">
      <c r="A1801" s="14" t="s">
        <v>175</v>
      </c>
      <c r="B1801" s="14" t="s">
        <v>32</v>
      </c>
      <c r="C1801" s="15" t="s">
        <v>2321</v>
      </c>
      <c r="D1801" s="14" t="s">
        <v>1745</v>
      </c>
      <c r="E1801" s="14" t="s">
        <v>1746</v>
      </c>
      <c r="F1801" s="25">
        <v>7560</v>
      </c>
      <c r="G1801" s="25">
        <v>6804</v>
      </c>
    </row>
    <row r="1802" spans="1:7" x14ac:dyDescent="0.25">
      <c r="A1802" s="14" t="s">
        <v>175</v>
      </c>
      <c r="B1802" s="14">
        <v>1</v>
      </c>
      <c r="C1802" s="15" t="s">
        <v>174</v>
      </c>
      <c r="D1802" s="14" t="s">
        <v>1745</v>
      </c>
      <c r="E1802" s="14" t="s">
        <v>1746</v>
      </c>
      <c r="F1802" s="25">
        <v>18900</v>
      </c>
      <c r="G1802" s="25">
        <v>15120</v>
      </c>
    </row>
    <row r="1803" spans="1:7" x14ac:dyDescent="0.25">
      <c r="A1803" s="14" t="s">
        <v>175</v>
      </c>
      <c r="B1803" s="14" t="s">
        <v>32</v>
      </c>
      <c r="C1803" s="15" t="s">
        <v>2321</v>
      </c>
      <c r="D1803" s="14" t="s">
        <v>1745</v>
      </c>
      <c r="E1803" s="14" t="s">
        <v>1747</v>
      </c>
      <c r="F1803" s="25">
        <v>7200</v>
      </c>
      <c r="G1803" s="25">
        <v>6480</v>
      </c>
    </row>
    <row r="1804" spans="1:7" x14ac:dyDescent="0.25">
      <c r="A1804" s="14" t="s">
        <v>175</v>
      </c>
      <c r="B1804" s="14">
        <v>1</v>
      </c>
      <c r="C1804" s="15" t="s">
        <v>174</v>
      </c>
      <c r="D1804" s="14" t="s">
        <v>1749</v>
      </c>
      <c r="E1804" s="14" t="s">
        <v>1746</v>
      </c>
      <c r="F1804" s="25">
        <v>1800</v>
      </c>
      <c r="G1804" s="25">
        <v>1440</v>
      </c>
    </row>
    <row r="1805" spans="1:7" x14ac:dyDescent="0.25">
      <c r="A1805" s="14" t="s">
        <v>175</v>
      </c>
      <c r="B1805" s="14" t="s">
        <v>32</v>
      </c>
      <c r="C1805" s="15" t="s">
        <v>2321</v>
      </c>
      <c r="D1805" s="14" t="s">
        <v>1749</v>
      </c>
      <c r="E1805" s="14" t="s">
        <v>1746</v>
      </c>
      <c r="F1805" s="25">
        <v>720</v>
      </c>
      <c r="G1805" s="25">
        <v>648</v>
      </c>
    </row>
    <row r="1806" spans="1:7" x14ac:dyDescent="0.25">
      <c r="A1806" s="14" t="s">
        <v>2322</v>
      </c>
      <c r="B1806" s="14">
        <v>1</v>
      </c>
      <c r="C1806" s="15" t="s">
        <v>2323</v>
      </c>
      <c r="D1806" s="14" t="s">
        <v>1745</v>
      </c>
      <c r="E1806" s="14" t="s">
        <v>1747</v>
      </c>
      <c r="F1806" s="25">
        <v>4020</v>
      </c>
      <c r="G1806" s="25">
        <v>3216</v>
      </c>
    </row>
    <row r="1807" spans="1:7" x14ac:dyDescent="0.25">
      <c r="A1807" s="14" t="s">
        <v>2322</v>
      </c>
      <c r="B1807" s="14">
        <v>1</v>
      </c>
      <c r="C1807" s="15" t="s">
        <v>2323</v>
      </c>
      <c r="D1807" s="14" t="s">
        <v>1749</v>
      </c>
      <c r="E1807" s="14" t="s">
        <v>1746</v>
      </c>
      <c r="F1807" s="25">
        <v>402</v>
      </c>
      <c r="G1807" s="25">
        <v>321.60000000000002</v>
      </c>
    </row>
    <row r="1808" spans="1:7" x14ac:dyDescent="0.25">
      <c r="A1808" s="14" t="s">
        <v>2322</v>
      </c>
      <c r="B1808" s="14">
        <v>1</v>
      </c>
      <c r="C1808" s="15" t="s">
        <v>2323</v>
      </c>
      <c r="D1808" s="14" t="s">
        <v>1745</v>
      </c>
      <c r="E1808" s="14" t="s">
        <v>1746</v>
      </c>
      <c r="F1808" s="25">
        <v>4221</v>
      </c>
      <c r="G1808" s="25">
        <v>3376.8</v>
      </c>
    </row>
    <row r="1809" spans="1:7" x14ac:dyDescent="0.25">
      <c r="A1809" s="14" t="s">
        <v>2324</v>
      </c>
      <c r="B1809" s="14">
        <v>1</v>
      </c>
      <c r="C1809" s="15" t="s">
        <v>2325</v>
      </c>
      <c r="D1809" s="14" t="s">
        <v>1749</v>
      </c>
      <c r="E1809" s="14" t="s">
        <v>1746</v>
      </c>
      <c r="F1809" s="25">
        <v>798</v>
      </c>
      <c r="G1809" s="25">
        <v>638.4</v>
      </c>
    </row>
    <row r="1810" spans="1:7" x14ac:dyDescent="0.25">
      <c r="A1810" s="14" t="s">
        <v>2324</v>
      </c>
      <c r="B1810" s="14">
        <v>1</v>
      </c>
      <c r="C1810" s="15" t="s">
        <v>2325</v>
      </c>
      <c r="D1810" s="14" t="s">
        <v>1745</v>
      </c>
      <c r="E1810" s="14" t="s">
        <v>1746</v>
      </c>
      <c r="F1810" s="25">
        <v>8379</v>
      </c>
      <c r="G1810" s="25">
        <v>6703.2</v>
      </c>
    </row>
    <row r="1811" spans="1:7" x14ac:dyDescent="0.25">
      <c r="A1811" s="14" t="s">
        <v>2324</v>
      </c>
      <c r="B1811" s="14">
        <v>1</v>
      </c>
      <c r="C1811" s="15" t="s">
        <v>2325</v>
      </c>
      <c r="D1811" s="14" t="s">
        <v>1745</v>
      </c>
      <c r="E1811" s="14" t="s">
        <v>1747</v>
      </c>
      <c r="F1811" s="25">
        <v>7980</v>
      </c>
      <c r="G1811" s="25">
        <v>6384</v>
      </c>
    </row>
    <row r="1812" spans="1:7" x14ac:dyDescent="0.25">
      <c r="A1812" s="14" t="s">
        <v>2326</v>
      </c>
      <c r="B1812" s="14" t="s">
        <v>39</v>
      </c>
      <c r="C1812" s="15" t="s">
        <v>2327</v>
      </c>
      <c r="D1812" s="14" t="s">
        <v>1749</v>
      </c>
      <c r="E1812" s="14" t="s">
        <v>1746</v>
      </c>
      <c r="F1812" s="25">
        <v>74.88</v>
      </c>
      <c r="G1812" s="25">
        <v>67.39</v>
      </c>
    </row>
    <row r="1813" spans="1:7" x14ac:dyDescent="0.25">
      <c r="A1813" s="14" t="s">
        <v>2326</v>
      </c>
      <c r="B1813" s="14">
        <v>1</v>
      </c>
      <c r="C1813" s="15" t="s">
        <v>2328</v>
      </c>
      <c r="D1813" s="14" t="s">
        <v>1745</v>
      </c>
      <c r="E1813" s="14" t="s">
        <v>1747</v>
      </c>
      <c r="F1813" s="25">
        <v>3000</v>
      </c>
      <c r="G1813" s="25">
        <v>2400</v>
      </c>
    </row>
    <row r="1814" spans="1:7" x14ac:dyDescent="0.25">
      <c r="A1814" s="14" t="s">
        <v>2326</v>
      </c>
      <c r="B1814" s="14" t="s">
        <v>39</v>
      </c>
      <c r="C1814" s="15" t="s">
        <v>2327</v>
      </c>
      <c r="D1814" s="14" t="s">
        <v>1745</v>
      </c>
      <c r="E1814" s="14" t="s">
        <v>1746</v>
      </c>
      <c r="F1814" s="25">
        <v>786.24</v>
      </c>
      <c r="G1814" s="25">
        <v>707.64</v>
      </c>
    </row>
    <row r="1815" spans="1:7" x14ac:dyDescent="0.25">
      <c r="A1815" s="14" t="s">
        <v>2326</v>
      </c>
      <c r="B1815" s="14">
        <v>1</v>
      </c>
      <c r="C1815" s="15" t="s">
        <v>2328</v>
      </c>
      <c r="D1815" s="14" t="s">
        <v>1745</v>
      </c>
      <c r="E1815" s="14" t="s">
        <v>1746</v>
      </c>
      <c r="F1815" s="25">
        <v>3150</v>
      </c>
      <c r="G1815" s="25">
        <v>2520</v>
      </c>
    </row>
    <row r="1816" spans="1:7" x14ac:dyDescent="0.25">
      <c r="A1816" s="14" t="s">
        <v>2326</v>
      </c>
      <c r="B1816" s="14" t="s">
        <v>39</v>
      </c>
      <c r="C1816" s="15" t="s">
        <v>2327</v>
      </c>
      <c r="D1816" s="14" t="s">
        <v>1745</v>
      </c>
      <c r="E1816" s="14" t="s">
        <v>1747</v>
      </c>
      <c r="F1816" s="25">
        <v>748.8</v>
      </c>
      <c r="G1816" s="25">
        <v>673.92</v>
      </c>
    </row>
    <row r="1817" spans="1:7" x14ac:dyDescent="0.25">
      <c r="A1817" s="14" t="s">
        <v>2326</v>
      </c>
      <c r="B1817" s="14">
        <v>1</v>
      </c>
      <c r="C1817" s="15" t="s">
        <v>2328</v>
      </c>
      <c r="D1817" s="14" t="s">
        <v>1749</v>
      </c>
      <c r="E1817" s="14" t="s">
        <v>1746</v>
      </c>
      <c r="F1817" s="25">
        <v>300</v>
      </c>
      <c r="G1817" s="25">
        <v>240</v>
      </c>
    </row>
    <row r="1818" spans="1:7" x14ac:dyDescent="0.25">
      <c r="A1818" s="14" t="s">
        <v>2329</v>
      </c>
      <c r="B1818" s="14">
        <v>1</v>
      </c>
      <c r="C1818" s="15" t="s">
        <v>2330</v>
      </c>
      <c r="D1818" s="14" t="s">
        <v>1745</v>
      </c>
      <c r="E1818" s="14" t="s">
        <v>1746</v>
      </c>
      <c r="F1818" s="25">
        <v>3150</v>
      </c>
      <c r="G1818" s="25">
        <v>2520</v>
      </c>
    </row>
    <row r="1819" spans="1:7" x14ac:dyDescent="0.25">
      <c r="A1819" s="14" t="s">
        <v>2329</v>
      </c>
      <c r="B1819" s="14">
        <v>1</v>
      </c>
      <c r="C1819" s="15" t="s">
        <v>2330</v>
      </c>
      <c r="D1819" s="14" t="s">
        <v>1749</v>
      </c>
      <c r="E1819" s="14" t="s">
        <v>1746</v>
      </c>
      <c r="F1819" s="25">
        <v>300</v>
      </c>
      <c r="G1819" s="25">
        <v>240</v>
      </c>
    </row>
    <row r="1820" spans="1:7" x14ac:dyDescent="0.25">
      <c r="A1820" s="14" t="s">
        <v>2329</v>
      </c>
      <c r="B1820" s="14">
        <v>1</v>
      </c>
      <c r="C1820" s="15" t="s">
        <v>2330</v>
      </c>
      <c r="D1820" s="14" t="s">
        <v>1745</v>
      </c>
      <c r="E1820" s="14" t="s">
        <v>1747</v>
      </c>
      <c r="F1820" s="25">
        <v>3000</v>
      </c>
      <c r="G1820" s="25">
        <v>2400</v>
      </c>
    </row>
    <row r="1821" spans="1:7" x14ac:dyDescent="0.25">
      <c r="A1821" s="14" t="s">
        <v>2331</v>
      </c>
      <c r="B1821" s="14">
        <v>1</v>
      </c>
      <c r="C1821" s="15" t="s">
        <v>2332</v>
      </c>
      <c r="D1821" s="14" t="s">
        <v>1749</v>
      </c>
      <c r="E1821" s="14" t="s">
        <v>1746</v>
      </c>
      <c r="F1821" s="25">
        <v>198</v>
      </c>
      <c r="G1821" s="25">
        <v>158.4</v>
      </c>
    </row>
    <row r="1822" spans="1:7" x14ac:dyDescent="0.25">
      <c r="A1822" s="14" t="s">
        <v>2331</v>
      </c>
      <c r="B1822" s="14">
        <v>1</v>
      </c>
      <c r="C1822" s="15" t="s">
        <v>2332</v>
      </c>
      <c r="D1822" s="14" t="s">
        <v>1745</v>
      </c>
      <c r="E1822" s="14" t="s">
        <v>1746</v>
      </c>
      <c r="F1822" s="25">
        <v>2079</v>
      </c>
      <c r="G1822" s="25">
        <v>1663.2</v>
      </c>
    </row>
    <row r="1823" spans="1:7" x14ac:dyDescent="0.25">
      <c r="A1823" s="14" t="s">
        <v>2331</v>
      </c>
      <c r="B1823" s="14">
        <v>1</v>
      </c>
      <c r="C1823" s="15" t="s">
        <v>2332</v>
      </c>
      <c r="D1823" s="14" t="s">
        <v>1745</v>
      </c>
      <c r="E1823" s="14" t="s">
        <v>1747</v>
      </c>
      <c r="F1823" s="25">
        <v>1980</v>
      </c>
      <c r="G1823" s="25">
        <v>1584</v>
      </c>
    </row>
    <row r="1824" spans="1:7" x14ac:dyDescent="0.25">
      <c r="A1824" s="14" t="s">
        <v>204</v>
      </c>
      <c r="B1824" s="14">
        <v>1</v>
      </c>
      <c r="C1824" s="15" t="s">
        <v>203</v>
      </c>
      <c r="D1824" s="14" t="s">
        <v>1749</v>
      </c>
      <c r="E1824" s="14" t="s">
        <v>1746</v>
      </c>
      <c r="F1824" s="25">
        <v>7488</v>
      </c>
      <c r="G1824" s="25">
        <v>5990.4</v>
      </c>
    </row>
    <row r="1825" spans="1:7" x14ac:dyDescent="0.25">
      <c r="A1825" s="14" t="s">
        <v>204</v>
      </c>
      <c r="B1825" s="14">
        <v>1</v>
      </c>
      <c r="C1825" s="15" t="s">
        <v>203</v>
      </c>
      <c r="D1825" s="14" t="s">
        <v>1752</v>
      </c>
      <c r="E1825" s="14" t="s">
        <v>1747</v>
      </c>
      <c r="F1825" s="25">
        <v>224640</v>
      </c>
      <c r="G1825" s="25">
        <v>179712</v>
      </c>
    </row>
    <row r="1826" spans="1:7" x14ac:dyDescent="0.25">
      <c r="A1826" s="14" t="s">
        <v>204</v>
      </c>
      <c r="B1826" s="14">
        <v>1</v>
      </c>
      <c r="C1826" s="15" t="s">
        <v>203</v>
      </c>
      <c r="D1826" s="14" t="s">
        <v>1745</v>
      </c>
      <c r="E1826" s="14" t="s">
        <v>1747</v>
      </c>
      <c r="F1826" s="25">
        <v>74880</v>
      </c>
      <c r="G1826" s="25">
        <v>59904</v>
      </c>
    </row>
    <row r="1827" spans="1:7" x14ac:dyDescent="0.25">
      <c r="A1827" s="14" t="s">
        <v>204</v>
      </c>
      <c r="B1827" s="14">
        <v>1</v>
      </c>
      <c r="C1827" s="15" t="s">
        <v>203</v>
      </c>
      <c r="D1827" s="14" t="s">
        <v>1745</v>
      </c>
      <c r="E1827" s="14" t="s">
        <v>1746</v>
      </c>
      <c r="F1827" s="25">
        <v>78624</v>
      </c>
      <c r="G1827" s="25">
        <v>62899.199999999997</v>
      </c>
    </row>
    <row r="1828" spans="1:7" x14ac:dyDescent="0.25">
      <c r="A1828" s="14" t="s">
        <v>204</v>
      </c>
      <c r="B1828" s="14">
        <v>1</v>
      </c>
      <c r="C1828" s="15" t="s">
        <v>203</v>
      </c>
      <c r="D1828" s="14" t="s">
        <v>1752</v>
      </c>
      <c r="E1828" s="14" t="s">
        <v>1753</v>
      </c>
      <c r="F1828" s="25">
        <v>224640</v>
      </c>
      <c r="G1828" s="25">
        <v>179712</v>
      </c>
    </row>
    <row r="1829" spans="1:7" x14ac:dyDescent="0.25">
      <c r="A1829" s="14" t="s">
        <v>2333</v>
      </c>
      <c r="B1829" s="14">
        <v>1</v>
      </c>
      <c r="C1829" s="15" t="s">
        <v>2334</v>
      </c>
      <c r="D1829" s="14" t="s">
        <v>1745</v>
      </c>
      <c r="E1829" s="14" t="s">
        <v>1746</v>
      </c>
      <c r="F1829" s="25">
        <v>1572354</v>
      </c>
      <c r="G1829" s="25">
        <v>1100648</v>
      </c>
    </row>
    <row r="1830" spans="1:7" x14ac:dyDescent="0.25">
      <c r="A1830" s="14" t="s">
        <v>2333</v>
      </c>
      <c r="B1830" s="14">
        <v>1</v>
      </c>
      <c r="C1830" s="15" t="s">
        <v>2334</v>
      </c>
      <c r="D1830" s="14" t="s">
        <v>1752</v>
      </c>
      <c r="E1830" s="14" t="s">
        <v>1746</v>
      </c>
      <c r="F1830" s="25">
        <v>4717062</v>
      </c>
      <c r="G1830" s="25">
        <v>3301943</v>
      </c>
    </row>
    <row r="1831" spans="1:7" x14ac:dyDescent="0.25">
      <c r="A1831" s="14" t="s">
        <v>2333</v>
      </c>
      <c r="B1831" s="14">
        <v>1</v>
      </c>
      <c r="C1831" s="15" t="s">
        <v>2334</v>
      </c>
      <c r="D1831" s="14" t="s">
        <v>1752</v>
      </c>
      <c r="E1831" s="14" t="s">
        <v>1747</v>
      </c>
      <c r="F1831" s="25">
        <v>4492440</v>
      </c>
      <c r="G1831" s="25">
        <v>3144708</v>
      </c>
    </row>
    <row r="1832" spans="1:7" ht="30" x14ac:dyDescent="0.25">
      <c r="A1832" s="14" t="s">
        <v>2333</v>
      </c>
      <c r="B1832" s="14">
        <v>2</v>
      </c>
      <c r="C1832" s="15" t="s">
        <v>2335</v>
      </c>
      <c r="D1832" s="14" t="s">
        <v>1745</v>
      </c>
      <c r="E1832" s="14" t="s">
        <v>1746</v>
      </c>
      <c r="F1832" s="25">
        <v>262080</v>
      </c>
      <c r="G1832" s="25">
        <v>183456</v>
      </c>
    </row>
    <row r="1833" spans="1:7" x14ac:dyDescent="0.25">
      <c r="A1833" s="14" t="s">
        <v>2333</v>
      </c>
      <c r="B1833" s="14">
        <v>1</v>
      </c>
      <c r="C1833" s="15" t="s">
        <v>2334</v>
      </c>
      <c r="D1833" s="14" t="s">
        <v>1745</v>
      </c>
      <c r="E1833" s="14" t="s">
        <v>1747</v>
      </c>
      <c r="F1833" s="25">
        <v>1497480</v>
      </c>
      <c r="G1833" s="25">
        <v>1048236</v>
      </c>
    </row>
    <row r="1834" spans="1:7" ht="30" x14ac:dyDescent="0.25">
      <c r="A1834" s="14" t="s">
        <v>2333</v>
      </c>
      <c r="B1834" s="14">
        <v>2</v>
      </c>
      <c r="C1834" s="15" t="s">
        <v>2335</v>
      </c>
      <c r="D1834" s="14" t="s">
        <v>1749</v>
      </c>
      <c r="E1834" s="14" t="s">
        <v>1746</v>
      </c>
      <c r="F1834" s="25">
        <v>24960</v>
      </c>
      <c r="G1834" s="25">
        <v>17472</v>
      </c>
    </row>
    <row r="1835" spans="1:7" ht="30" x14ac:dyDescent="0.25">
      <c r="A1835" s="14" t="s">
        <v>2333</v>
      </c>
      <c r="B1835" s="14">
        <v>2</v>
      </c>
      <c r="C1835" s="15" t="s">
        <v>2335</v>
      </c>
      <c r="D1835" s="14" t="s">
        <v>1752</v>
      </c>
      <c r="E1835" s="14" t="s">
        <v>1753</v>
      </c>
      <c r="F1835" s="25">
        <v>748800</v>
      </c>
      <c r="G1835" s="25">
        <v>524160</v>
      </c>
    </row>
    <row r="1836" spans="1:7" ht="30" x14ac:dyDescent="0.25">
      <c r="A1836" s="14" t="s">
        <v>2333</v>
      </c>
      <c r="B1836" s="14">
        <v>2</v>
      </c>
      <c r="C1836" s="15" t="s">
        <v>2335</v>
      </c>
      <c r="D1836" s="14" t="s">
        <v>1752</v>
      </c>
      <c r="E1836" s="14" t="s">
        <v>1746</v>
      </c>
      <c r="F1836" s="25">
        <v>786240</v>
      </c>
      <c r="G1836" s="25">
        <v>550368</v>
      </c>
    </row>
    <row r="1837" spans="1:7" x14ac:dyDescent="0.25">
      <c r="A1837" s="14" t="s">
        <v>2333</v>
      </c>
      <c r="B1837" s="14">
        <v>1</v>
      </c>
      <c r="C1837" s="15" t="s">
        <v>2334</v>
      </c>
      <c r="D1837" s="14" t="s">
        <v>1752</v>
      </c>
      <c r="E1837" s="14" t="s">
        <v>1753</v>
      </c>
      <c r="F1837" s="25">
        <v>4492440</v>
      </c>
      <c r="G1837" s="25">
        <v>3144708</v>
      </c>
    </row>
    <row r="1838" spans="1:7" x14ac:dyDescent="0.25">
      <c r="A1838" s="14" t="s">
        <v>2333</v>
      </c>
      <c r="B1838" s="14">
        <v>1</v>
      </c>
      <c r="C1838" s="15" t="s">
        <v>2334</v>
      </c>
      <c r="D1838" s="14" t="s">
        <v>1749</v>
      </c>
      <c r="E1838" s="14" t="s">
        <v>1746</v>
      </c>
      <c r="F1838" s="25">
        <v>149748</v>
      </c>
      <c r="G1838" s="25">
        <v>104823.6</v>
      </c>
    </row>
    <row r="1839" spans="1:7" ht="30" x14ac:dyDescent="0.25">
      <c r="A1839" s="14" t="s">
        <v>2333</v>
      </c>
      <c r="B1839" s="14">
        <v>2</v>
      </c>
      <c r="C1839" s="15" t="s">
        <v>2335</v>
      </c>
      <c r="D1839" s="14" t="s">
        <v>1752</v>
      </c>
      <c r="E1839" s="14" t="s">
        <v>1747</v>
      </c>
      <c r="F1839" s="25">
        <v>748800</v>
      </c>
      <c r="G1839" s="25">
        <v>524160</v>
      </c>
    </row>
    <row r="1840" spans="1:7" ht="30" x14ac:dyDescent="0.25">
      <c r="A1840" s="14" t="s">
        <v>2333</v>
      </c>
      <c r="B1840" s="14">
        <v>2</v>
      </c>
      <c r="C1840" s="15" t="s">
        <v>2335</v>
      </c>
      <c r="D1840" s="14" t="s">
        <v>1745</v>
      </c>
      <c r="E1840" s="14" t="s">
        <v>1747</v>
      </c>
      <c r="F1840" s="25">
        <v>249600</v>
      </c>
      <c r="G1840" s="25">
        <v>174720</v>
      </c>
    </row>
    <row r="1841" spans="1:7" x14ac:dyDescent="0.25">
      <c r="A1841" s="14" t="s">
        <v>219</v>
      </c>
      <c r="B1841" s="14">
        <v>1</v>
      </c>
      <c r="C1841" s="15" t="s">
        <v>218</v>
      </c>
      <c r="D1841" s="14" t="s">
        <v>1745</v>
      </c>
      <c r="E1841" s="14" t="s">
        <v>1747</v>
      </c>
      <c r="F1841" s="25">
        <v>4020</v>
      </c>
      <c r="G1841" s="25">
        <v>3216</v>
      </c>
    </row>
    <row r="1842" spans="1:7" x14ac:dyDescent="0.25">
      <c r="A1842" s="14" t="s">
        <v>219</v>
      </c>
      <c r="B1842" s="14">
        <v>1</v>
      </c>
      <c r="C1842" s="15" t="s">
        <v>218</v>
      </c>
      <c r="D1842" s="14" t="s">
        <v>1749</v>
      </c>
      <c r="E1842" s="14" t="s">
        <v>1746</v>
      </c>
      <c r="F1842" s="25">
        <v>402</v>
      </c>
      <c r="G1842" s="25">
        <v>321.60000000000002</v>
      </c>
    </row>
    <row r="1843" spans="1:7" x14ac:dyDescent="0.25">
      <c r="A1843" s="14" t="s">
        <v>219</v>
      </c>
      <c r="B1843" s="14">
        <v>1</v>
      </c>
      <c r="C1843" s="15" t="s">
        <v>218</v>
      </c>
      <c r="D1843" s="14" t="s">
        <v>1745</v>
      </c>
      <c r="E1843" s="14" t="s">
        <v>1746</v>
      </c>
      <c r="F1843" s="25">
        <v>4221</v>
      </c>
      <c r="G1843" s="25">
        <v>3376.8</v>
      </c>
    </row>
    <row r="1844" spans="1:7" x14ac:dyDescent="0.25">
      <c r="A1844" s="14" t="s">
        <v>222</v>
      </c>
      <c r="B1844" s="14">
        <v>1</v>
      </c>
      <c r="C1844" s="15" t="s">
        <v>221</v>
      </c>
      <c r="D1844" s="14" t="s">
        <v>1749</v>
      </c>
      <c r="E1844" s="14" t="s">
        <v>1746</v>
      </c>
      <c r="F1844" s="25">
        <v>498</v>
      </c>
      <c r="G1844" s="25">
        <v>398.4</v>
      </c>
    </row>
    <row r="1845" spans="1:7" x14ac:dyDescent="0.25">
      <c r="A1845" s="14" t="s">
        <v>222</v>
      </c>
      <c r="B1845" s="14">
        <v>1</v>
      </c>
      <c r="C1845" s="15" t="s">
        <v>221</v>
      </c>
      <c r="D1845" s="14" t="s">
        <v>1745</v>
      </c>
      <c r="E1845" s="14" t="s">
        <v>1746</v>
      </c>
      <c r="F1845" s="25">
        <v>5229</v>
      </c>
      <c r="G1845" s="25">
        <v>4183.2</v>
      </c>
    </row>
    <row r="1846" spans="1:7" x14ac:dyDescent="0.25">
      <c r="A1846" s="14" t="s">
        <v>222</v>
      </c>
      <c r="B1846" s="14">
        <v>1</v>
      </c>
      <c r="C1846" s="15" t="s">
        <v>221</v>
      </c>
      <c r="D1846" s="14" t="s">
        <v>1745</v>
      </c>
      <c r="E1846" s="14" t="s">
        <v>1747</v>
      </c>
      <c r="F1846" s="25">
        <v>4980</v>
      </c>
      <c r="G1846" s="25">
        <v>3984</v>
      </c>
    </row>
    <row r="1847" spans="1:7" x14ac:dyDescent="0.25">
      <c r="A1847" s="14" t="s">
        <v>225</v>
      </c>
      <c r="B1847" s="14">
        <v>1</v>
      </c>
      <c r="C1847" s="15" t="s">
        <v>224</v>
      </c>
      <c r="D1847" s="14" t="s">
        <v>1745</v>
      </c>
      <c r="E1847" s="14" t="s">
        <v>1747</v>
      </c>
      <c r="F1847" s="25">
        <v>4020</v>
      </c>
      <c r="G1847" s="25">
        <v>3216</v>
      </c>
    </row>
    <row r="1848" spans="1:7" x14ac:dyDescent="0.25">
      <c r="A1848" s="14" t="s">
        <v>225</v>
      </c>
      <c r="B1848" s="14">
        <v>1</v>
      </c>
      <c r="C1848" s="15" t="s">
        <v>224</v>
      </c>
      <c r="D1848" s="14" t="s">
        <v>1745</v>
      </c>
      <c r="E1848" s="14" t="s">
        <v>1746</v>
      </c>
      <c r="F1848" s="25">
        <v>4221</v>
      </c>
      <c r="G1848" s="25">
        <v>3376.8</v>
      </c>
    </row>
    <row r="1849" spans="1:7" x14ac:dyDescent="0.25">
      <c r="A1849" s="14" t="s">
        <v>225</v>
      </c>
      <c r="B1849" s="14">
        <v>1</v>
      </c>
      <c r="C1849" s="15" t="s">
        <v>224</v>
      </c>
      <c r="D1849" s="14" t="s">
        <v>1749</v>
      </c>
      <c r="E1849" s="14" t="s">
        <v>1746</v>
      </c>
      <c r="F1849" s="25">
        <v>402</v>
      </c>
      <c r="G1849" s="25">
        <v>321.60000000000002</v>
      </c>
    </row>
    <row r="1850" spans="1:7" x14ac:dyDescent="0.25">
      <c r="A1850" s="14" t="s">
        <v>233</v>
      </c>
      <c r="B1850" s="14" t="s">
        <v>243</v>
      </c>
      <c r="C1850" s="15" t="s">
        <v>2336</v>
      </c>
      <c r="D1850" s="14" t="s">
        <v>1745</v>
      </c>
      <c r="E1850" s="14" t="s">
        <v>1746</v>
      </c>
      <c r="F1850" s="25">
        <v>4473</v>
      </c>
      <c r="G1850" s="25">
        <v>3578.4</v>
      </c>
    </row>
    <row r="1851" spans="1:7" x14ac:dyDescent="0.25">
      <c r="A1851" s="14" t="s">
        <v>233</v>
      </c>
      <c r="B1851" s="14">
        <v>12</v>
      </c>
      <c r="C1851" s="15" t="s">
        <v>2337</v>
      </c>
      <c r="D1851" s="14" t="s">
        <v>1745</v>
      </c>
      <c r="E1851" s="14" t="s">
        <v>1747</v>
      </c>
      <c r="F1851" s="25">
        <v>5760</v>
      </c>
      <c r="G1851" s="25">
        <v>4608</v>
      </c>
    </row>
    <row r="1852" spans="1:7" x14ac:dyDescent="0.25">
      <c r="A1852" s="14" t="s">
        <v>233</v>
      </c>
      <c r="B1852" s="14" t="s">
        <v>118</v>
      </c>
      <c r="C1852" s="15" t="s">
        <v>2338</v>
      </c>
      <c r="D1852" s="14" t="s">
        <v>1749</v>
      </c>
      <c r="E1852" s="14" t="s">
        <v>1746</v>
      </c>
      <c r="F1852" s="25">
        <v>576</v>
      </c>
      <c r="G1852" s="25">
        <v>460.8</v>
      </c>
    </row>
    <row r="1853" spans="1:7" x14ac:dyDescent="0.25">
      <c r="A1853" s="14" t="s">
        <v>233</v>
      </c>
      <c r="B1853" s="14">
        <v>13</v>
      </c>
      <c r="C1853" s="15" t="s">
        <v>2339</v>
      </c>
      <c r="D1853" s="14" t="s">
        <v>1745</v>
      </c>
      <c r="E1853" s="14" t="s">
        <v>1747</v>
      </c>
      <c r="F1853" s="25">
        <v>4260</v>
      </c>
      <c r="G1853" s="25">
        <v>3408</v>
      </c>
    </row>
    <row r="1854" spans="1:7" x14ac:dyDescent="0.25">
      <c r="A1854" s="14" t="s">
        <v>233</v>
      </c>
      <c r="B1854" s="14" t="s">
        <v>243</v>
      </c>
      <c r="C1854" s="15" t="s">
        <v>2336</v>
      </c>
      <c r="D1854" s="14" t="s">
        <v>1749</v>
      </c>
      <c r="E1854" s="14" t="s">
        <v>1746</v>
      </c>
      <c r="F1854" s="25">
        <v>426</v>
      </c>
      <c r="G1854" s="25">
        <v>340.8</v>
      </c>
    </row>
    <row r="1855" spans="1:7" x14ac:dyDescent="0.25">
      <c r="A1855" s="14" t="s">
        <v>233</v>
      </c>
      <c r="B1855" s="14">
        <v>13</v>
      </c>
      <c r="C1855" s="15" t="s">
        <v>2339</v>
      </c>
      <c r="D1855" s="14" t="s">
        <v>1749</v>
      </c>
      <c r="E1855" s="14" t="s">
        <v>1746</v>
      </c>
      <c r="F1855" s="25">
        <v>426</v>
      </c>
      <c r="G1855" s="25">
        <v>340.8</v>
      </c>
    </row>
    <row r="1856" spans="1:7" x14ac:dyDescent="0.25">
      <c r="A1856" s="14" t="s">
        <v>233</v>
      </c>
      <c r="B1856" s="14">
        <v>13</v>
      </c>
      <c r="C1856" s="15" t="s">
        <v>2339</v>
      </c>
      <c r="D1856" s="14" t="s">
        <v>1745</v>
      </c>
      <c r="E1856" s="14" t="s">
        <v>1746</v>
      </c>
      <c r="F1856" s="25">
        <v>4473</v>
      </c>
      <c r="G1856" s="25">
        <v>3578.4</v>
      </c>
    </row>
    <row r="1857" spans="1:7" x14ac:dyDescent="0.25">
      <c r="A1857" s="14" t="s">
        <v>233</v>
      </c>
      <c r="B1857" s="14">
        <v>12</v>
      </c>
      <c r="C1857" s="15" t="s">
        <v>2337</v>
      </c>
      <c r="D1857" s="14" t="s">
        <v>1749</v>
      </c>
      <c r="E1857" s="14" t="s">
        <v>1746</v>
      </c>
      <c r="F1857" s="25">
        <v>576</v>
      </c>
      <c r="G1857" s="25">
        <v>460.8</v>
      </c>
    </row>
    <row r="1858" spans="1:7" x14ac:dyDescent="0.25">
      <c r="A1858" s="14" t="s">
        <v>233</v>
      </c>
      <c r="B1858" s="14" t="s">
        <v>118</v>
      </c>
      <c r="C1858" s="15" t="s">
        <v>2338</v>
      </c>
      <c r="D1858" s="14" t="s">
        <v>1745</v>
      </c>
      <c r="E1858" s="14" t="s">
        <v>1746</v>
      </c>
      <c r="F1858" s="25">
        <v>6048</v>
      </c>
      <c r="G1858" s="25">
        <v>4838.3999999999996</v>
      </c>
    </row>
    <row r="1859" spans="1:7" x14ac:dyDescent="0.25">
      <c r="A1859" s="14" t="s">
        <v>233</v>
      </c>
      <c r="B1859" s="14" t="s">
        <v>102</v>
      </c>
      <c r="C1859" s="15" t="s">
        <v>2340</v>
      </c>
      <c r="D1859" s="14" t="s">
        <v>1749</v>
      </c>
      <c r="E1859" s="14" t="s">
        <v>1746</v>
      </c>
      <c r="F1859" s="25">
        <v>0</v>
      </c>
      <c r="G1859" s="25">
        <v>0</v>
      </c>
    </row>
    <row r="1860" spans="1:7" x14ac:dyDescent="0.25">
      <c r="A1860" s="14" t="s">
        <v>233</v>
      </c>
      <c r="B1860" s="14" t="s">
        <v>243</v>
      </c>
      <c r="C1860" s="15" t="s">
        <v>2336</v>
      </c>
      <c r="D1860" s="14" t="s">
        <v>1745</v>
      </c>
      <c r="E1860" s="14" t="s">
        <v>1747</v>
      </c>
      <c r="F1860" s="25">
        <v>4260</v>
      </c>
      <c r="G1860" s="25">
        <v>3408</v>
      </c>
    </row>
    <row r="1861" spans="1:7" x14ac:dyDescent="0.25">
      <c r="A1861" s="14" t="s">
        <v>233</v>
      </c>
      <c r="B1861" s="14">
        <v>12</v>
      </c>
      <c r="C1861" s="15" t="s">
        <v>2337</v>
      </c>
      <c r="D1861" s="14" t="s">
        <v>1745</v>
      </c>
      <c r="E1861" s="14" t="s">
        <v>1746</v>
      </c>
      <c r="F1861" s="25">
        <v>6048</v>
      </c>
      <c r="G1861" s="25">
        <v>4838.3999999999996</v>
      </c>
    </row>
    <row r="1862" spans="1:7" x14ac:dyDescent="0.25">
      <c r="A1862" s="14" t="s">
        <v>233</v>
      </c>
      <c r="B1862" s="14" t="s">
        <v>102</v>
      </c>
      <c r="C1862" s="15" t="s">
        <v>2340</v>
      </c>
      <c r="D1862" s="14" t="s">
        <v>1745</v>
      </c>
      <c r="E1862" s="14" t="s">
        <v>1747</v>
      </c>
      <c r="F1862" s="25">
        <v>0</v>
      </c>
      <c r="G1862" s="25">
        <v>0</v>
      </c>
    </row>
    <row r="1863" spans="1:7" x14ac:dyDescent="0.25">
      <c r="A1863" s="14" t="s">
        <v>233</v>
      </c>
      <c r="B1863" s="14" t="s">
        <v>118</v>
      </c>
      <c r="C1863" s="15" t="s">
        <v>2338</v>
      </c>
      <c r="D1863" s="14" t="s">
        <v>1745</v>
      </c>
      <c r="E1863" s="14" t="s">
        <v>1747</v>
      </c>
      <c r="F1863" s="25">
        <v>5760</v>
      </c>
      <c r="G1863" s="25">
        <v>4608</v>
      </c>
    </row>
    <row r="1864" spans="1:7" x14ac:dyDescent="0.25">
      <c r="A1864" s="14" t="s">
        <v>233</v>
      </c>
      <c r="B1864" s="14" t="s">
        <v>102</v>
      </c>
      <c r="C1864" s="15" t="s">
        <v>2340</v>
      </c>
      <c r="D1864" s="14" t="s">
        <v>1745</v>
      </c>
      <c r="E1864" s="14" t="s">
        <v>1746</v>
      </c>
      <c r="F1864" s="25">
        <v>0</v>
      </c>
      <c r="G1864" s="25">
        <v>0</v>
      </c>
    </row>
    <row r="1865" spans="1:7" x14ac:dyDescent="0.25">
      <c r="A1865" s="14" t="s">
        <v>250</v>
      </c>
      <c r="B1865" s="14">
        <v>19</v>
      </c>
      <c r="C1865" s="15" t="s">
        <v>2341</v>
      </c>
      <c r="D1865" s="14" t="s">
        <v>1745</v>
      </c>
      <c r="E1865" s="14" t="s">
        <v>1747</v>
      </c>
      <c r="F1865" s="25">
        <v>10740</v>
      </c>
      <c r="G1865" s="25">
        <v>8592</v>
      </c>
    </row>
    <row r="1866" spans="1:7" ht="30" x14ac:dyDescent="0.25">
      <c r="A1866" s="14" t="s">
        <v>250</v>
      </c>
      <c r="B1866" s="14">
        <v>14</v>
      </c>
      <c r="C1866" s="15" t="s">
        <v>2342</v>
      </c>
      <c r="D1866" s="14" t="s">
        <v>1745</v>
      </c>
      <c r="E1866" s="14" t="s">
        <v>1747</v>
      </c>
      <c r="F1866" s="25">
        <v>0</v>
      </c>
      <c r="G1866" s="25">
        <v>0</v>
      </c>
    </row>
    <row r="1867" spans="1:7" x14ac:dyDescent="0.25">
      <c r="A1867" s="14" t="s">
        <v>250</v>
      </c>
      <c r="B1867" s="14">
        <v>19</v>
      </c>
      <c r="C1867" s="15" t="s">
        <v>2341</v>
      </c>
      <c r="D1867" s="14" t="s">
        <v>1745</v>
      </c>
      <c r="E1867" s="14" t="s">
        <v>1746</v>
      </c>
      <c r="F1867" s="25">
        <v>11277</v>
      </c>
      <c r="G1867" s="25">
        <v>9021.6</v>
      </c>
    </row>
    <row r="1868" spans="1:7" x14ac:dyDescent="0.25">
      <c r="A1868" s="14" t="s">
        <v>250</v>
      </c>
      <c r="B1868" s="14">
        <v>18</v>
      </c>
      <c r="C1868" s="15" t="s">
        <v>2343</v>
      </c>
      <c r="D1868" s="14" t="s">
        <v>1745</v>
      </c>
      <c r="E1868" s="14" t="s">
        <v>1747</v>
      </c>
      <c r="F1868" s="25">
        <v>7980</v>
      </c>
      <c r="G1868" s="25">
        <v>6384</v>
      </c>
    </row>
    <row r="1869" spans="1:7" x14ac:dyDescent="0.25">
      <c r="A1869" s="14" t="s">
        <v>250</v>
      </c>
      <c r="B1869" s="14">
        <v>16</v>
      </c>
      <c r="C1869" s="15" t="s">
        <v>2344</v>
      </c>
      <c r="D1869" s="14" t="s">
        <v>1745</v>
      </c>
      <c r="E1869" s="14" t="s">
        <v>1747</v>
      </c>
      <c r="F1869" s="25">
        <v>7980</v>
      </c>
      <c r="G1869" s="25">
        <v>6384</v>
      </c>
    </row>
    <row r="1870" spans="1:7" x14ac:dyDescent="0.25">
      <c r="A1870" s="14" t="s">
        <v>250</v>
      </c>
      <c r="B1870" s="14">
        <v>18</v>
      </c>
      <c r="C1870" s="15" t="s">
        <v>2343</v>
      </c>
      <c r="D1870" s="14" t="s">
        <v>1745</v>
      </c>
      <c r="E1870" s="14" t="s">
        <v>1746</v>
      </c>
      <c r="F1870" s="25">
        <v>8379</v>
      </c>
      <c r="G1870" s="25">
        <v>6703.2</v>
      </c>
    </row>
    <row r="1871" spans="1:7" x14ac:dyDescent="0.25">
      <c r="A1871" s="14" t="s">
        <v>250</v>
      </c>
      <c r="B1871" s="14" t="s">
        <v>258</v>
      </c>
      <c r="C1871" s="15" t="s">
        <v>2345</v>
      </c>
      <c r="D1871" s="14" t="s">
        <v>1749</v>
      </c>
      <c r="E1871" s="14" t="s">
        <v>1766</v>
      </c>
      <c r="F1871" s="25">
        <v>0</v>
      </c>
      <c r="G1871" s="25">
        <v>0</v>
      </c>
    </row>
    <row r="1872" spans="1:7" x14ac:dyDescent="0.25">
      <c r="A1872" s="14" t="s">
        <v>250</v>
      </c>
      <c r="B1872" s="14">
        <v>12</v>
      </c>
      <c r="C1872" s="15" t="s">
        <v>2345</v>
      </c>
      <c r="D1872" s="14" t="s">
        <v>1745</v>
      </c>
      <c r="E1872" s="14" t="s">
        <v>1747</v>
      </c>
      <c r="F1872" s="25">
        <v>10740</v>
      </c>
      <c r="G1872" s="25">
        <v>8592</v>
      </c>
    </row>
    <row r="1873" spans="1:7" x14ac:dyDescent="0.25">
      <c r="A1873" s="14" t="s">
        <v>250</v>
      </c>
      <c r="B1873" s="14">
        <v>12</v>
      </c>
      <c r="C1873" s="15" t="s">
        <v>2345</v>
      </c>
      <c r="D1873" s="14" t="s">
        <v>1749</v>
      </c>
      <c r="E1873" s="14" t="s">
        <v>1746</v>
      </c>
      <c r="F1873" s="25">
        <v>1074</v>
      </c>
      <c r="G1873" s="25">
        <v>859.2</v>
      </c>
    </row>
    <row r="1874" spans="1:7" x14ac:dyDescent="0.25">
      <c r="A1874" s="14" t="s">
        <v>250</v>
      </c>
      <c r="B1874" s="14">
        <v>16</v>
      </c>
      <c r="C1874" s="15" t="s">
        <v>2344</v>
      </c>
      <c r="D1874" s="14" t="s">
        <v>1745</v>
      </c>
      <c r="E1874" s="14" t="s">
        <v>1746</v>
      </c>
      <c r="F1874" s="25">
        <v>8379</v>
      </c>
      <c r="G1874" s="25">
        <v>6703.2</v>
      </c>
    </row>
    <row r="1875" spans="1:7" ht="30" x14ac:dyDescent="0.25">
      <c r="A1875" s="14" t="s">
        <v>250</v>
      </c>
      <c r="B1875" s="14">
        <v>14</v>
      </c>
      <c r="C1875" s="15" t="s">
        <v>2342</v>
      </c>
      <c r="D1875" s="14" t="s">
        <v>1745</v>
      </c>
      <c r="E1875" s="14" t="s">
        <v>1746</v>
      </c>
      <c r="F1875" s="25">
        <v>0</v>
      </c>
      <c r="G1875" s="25">
        <v>0</v>
      </c>
    </row>
    <row r="1876" spans="1:7" x14ac:dyDescent="0.25">
      <c r="A1876" s="14" t="s">
        <v>250</v>
      </c>
      <c r="B1876" s="14">
        <v>19</v>
      </c>
      <c r="C1876" s="15" t="s">
        <v>2341</v>
      </c>
      <c r="D1876" s="14" t="s">
        <v>1749</v>
      </c>
      <c r="E1876" s="14" t="s">
        <v>1746</v>
      </c>
      <c r="F1876" s="25">
        <v>1074</v>
      </c>
      <c r="G1876" s="25">
        <v>859.2</v>
      </c>
    </row>
    <row r="1877" spans="1:7" x14ac:dyDescent="0.25">
      <c r="A1877" s="14" t="s">
        <v>250</v>
      </c>
      <c r="B1877" s="14">
        <v>12</v>
      </c>
      <c r="C1877" s="15" t="s">
        <v>2345</v>
      </c>
      <c r="D1877" s="14" t="s">
        <v>1745</v>
      </c>
      <c r="E1877" s="14" t="s">
        <v>1746</v>
      </c>
      <c r="F1877" s="25">
        <v>11277</v>
      </c>
      <c r="G1877" s="25">
        <v>9021.6</v>
      </c>
    </row>
    <row r="1878" spans="1:7" x14ac:dyDescent="0.25">
      <c r="A1878" s="14" t="s">
        <v>250</v>
      </c>
      <c r="B1878" s="14">
        <v>18</v>
      </c>
      <c r="C1878" s="15" t="s">
        <v>2343</v>
      </c>
      <c r="D1878" s="14" t="s">
        <v>1749</v>
      </c>
      <c r="E1878" s="14" t="s">
        <v>1746</v>
      </c>
      <c r="F1878" s="25">
        <v>798</v>
      </c>
      <c r="G1878" s="25">
        <v>638.4</v>
      </c>
    </row>
    <row r="1879" spans="1:7" x14ac:dyDescent="0.25">
      <c r="A1879" s="14" t="s">
        <v>250</v>
      </c>
      <c r="B1879" s="14">
        <v>16</v>
      </c>
      <c r="C1879" s="15" t="s">
        <v>2344</v>
      </c>
      <c r="D1879" s="14" t="s">
        <v>1749</v>
      </c>
      <c r="E1879" s="14" t="s">
        <v>1746</v>
      </c>
      <c r="F1879" s="25">
        <v>798</v>
      </c>
      <c r="G1879" s="25">
        <v>638.4</v>
      </c>
    </row>
    <row r="1880" spans="1:7" x14ac:dyDescent="0.25">
      <c r="A1880" s="14" t="s">
        <v>250</v>
      </c>
      <c r="B1880" s="14" t="s">
        <v>263</v>
      </c>
      <c r="C1880" s="15" t="s">
        <v>2344</v>
      </c>
      <c r="D1880" s="14" t="s">
        <v>1749</v>
      </c>
      <c r="E1880" s="14" t="s">
        <v>1766</v>
      </c>
      <c r="F1880" s="25">
        <v>0</v>
      </c>
      <c r="G1880" s="25">
        <v>0</v>
      </c>
    </row>
    <row r="1881" spans="1:7" ht="30" x14ac:dyDescent="0.25">
      <c r="A1881" s="14" t="s">
        <v>250</v>
      </c>
      <c r="B1881" s="14">
        <v>14</v>
      </c>
      <c r="C1881" s="15" t="s">
        <v>2342</v>
      </c>
      <c r="D1881" s="14" t="s">
        <v>1749</v>
      </c>
      <c r="E1881" s="14" t="s">
        <v>1746</v>
      </c>
      <c r="F1881" s="25">
        <v>0</v>
      </c>
      <c r="G1881" s="25">
        <v>0</v>
      </c>
    </row>
    <row r="1882" spans="1:7" x14ac:dyDescent="0.25">
      <c r="A1882" s="14" t="s">
        <v>287</v>
      </c>
      <c r="B1882" s="14">
        <v>5</v>
      </c>
      <c r="C1882" s="15" t="s">
        <v>2346</v>
      </c>
      <c r="D1882" s="14" t="s">
        <v>1745</v>
      </c>
      <c r="E1882" s="14" t="s">
        <v>1747</v>
      </c>
      <c r="F1882" s="25">
        <v>0</v>
      </c>
      <c r="G1882" s="25">
        <v>0</v>
      </c>
    </row>
    <row r="1883" spans="1:7" x14ac:dyDescent="0.25">
      <c r="A1883" s="14" t="s">
        <v>287</v>
      </c>
      <c r="B1883" s="14">
        <v>5</v>
      </c>
      <c r="C1883" s="15" t="s">
        <v>2346</v>
      </c>
      <c r="D1883" s="14" t="s">
        <v>1745</v>
      </c>
      <c r="E1883" s="14" t="s">
        <v>1746</v>
      </c>
      <c r="F1883" s="25">
        <v>0</v>
      </c>
      <c r="G1883" s="25">
        <v>0</v>
      </c>
    </row>
    <row r="1884" spans="1:7" x14ac:dyDescent="0.25">
      <c r="A1884" s="14" t="s">
        <v>287</v>
      </c>
      <c r="B1884" s="14">
        <v>5</v>
      </c>
      <c r="C1884" s="15" t="s">
        <v>2346</v>
      </c>
      <c r="D1884" s="14" t="s">
        <v>1749</v>
      </c>
      <c r="E1884" s="14" t="s">
        <v>1746</v>
      </c>
      <c r="F1884" s="25">
        <v>0</v>
      </c>
      <c r="G1884" s="25">
        <v>0</v>
      </c>
    </row>
    <row r="1885" spans="1:7" x14ac:dyDescent="0.25">
      <c r="A1885" s="14" t="s">
        <v>2347</v>
      </c>
      <c r="B1885" s="14">
        <v>1</v>
      </c>
      <c r="C1885" s="15" t="s">
        <v>2348</v>
      </c>
      <c r="D1885" s="14" t="s">
        <v>1749</v>
      </c>
      <c r="E1885" s="14" t="s">
        <v>1746</v>
      </c>
      <c r="F1885" s="25">
        <v>906</v>
      </c>
      <c r="G1885" s="25">
        <v>724.8</v>
      </c>
    </row>
    <row r="1886" spans="1:7" x14ac:dyDescent="0.25">
      <c r="A1886" s="14" t="s">
        <v>2347</v>
      </c>
      <c r="B1886" s="14">
        <v>1</v>
      </c>
      <c r="C1886" s="15" t="s">
        <v>2348</v>
      </c>
      <c r="D1886" s="14" t="s">
        <v>1745</v>
      </c>
      <c r="E1886" s="14" t="s">
        <v>1746</v>
      </c>
      <c r="F1886" s="25">
        <v>9513</v>
      </c>
      <c r="G1886" s="25">
        <v>7610.4</v>
      </c>
    </row>
    <row r="1887" spans="1:7" x14ac:dyDescent="0.25">
      <c r="A1887" s="14" t="s">
        <v>2347</v>
      </c>
      <c r="B1887" s="14">
        <v>1</v>
      </c>
      <c r="C1887" s="15" t="s">
        <v>2348</v>
      </c>
      <c r="D1887" s="14" t="s">
        <v>1745</v>
      </c>
      <c r="E1887" s="14" t="s">
        <v>1747</v>
      </c>
      <c r="F1887" s="25">
        <v>9060</v>
      </c>
      <c r="G1887" s="25">
        <v>7248</v>
      </c>
    </row>
    <row r="1888" spans="1:7" x14ac:dyDescent="0.25">
      <c r="A1888" s="14" t="s">
        <v>2349</v>
      </c>
      <c r="B1888" s="14" t="s">
        <v>235</v>
      </c>
      <c r="C1888" s="15" t="s">
        <v>2350</v>
      </c>
      <c r="D1888" s="14" t="s">
        <v>1745</v>
      </c>
      <c r="E1888" s="14" t="s">
        <v>1747</v>
      </c>
      <c r="F1888" s="25">
        <v>0</v>
      </c>
      <c r="G1888" s="25">
        <v>0</v>
      </c>
    </row>
    <row r="1889" spans="1:7" x14ac:dyDescent="0.25">
      <c r="A1889" s="14" t="s">
        <v>2349</v>
      </c>
      <c r="B1889" s="14" t="s">
        <v>608</v>
      </c>
      <c r="C1889" s="15" t="s">
        <v>2351</v>
      </c>
      <c r="D1889" s="14" t="s">
        <v>1749</v>
      </c>
      <c r="E1889" s="14" t="s">
        <v>1746</v>
      </c>
      <c r="F1889" s="25">
        <v>174</v>
      </c>
      <c r="G1889" s="25">
        <v>139.19999999999999</v>
      </c>
    </row>
    <row r="1890" spans="1:7" x14ac:dyDescent="0.25">
      <c r="A1890" s="14" t="s">
        <v>2349</v>
      </c>
      <c r="B1890" s="14" t="s">
        <v>608</v>
      </c>
      <c r="C1890" s="15" t="s">
        <v>2351</v>
      </c>
      <c r="D1890" s="14" t="s">
        <v>1745</v>
      </c>
      <c r="E1890" s="14" t="s">
        <v>1747</v>
      </c>
      <c r="F1890" s="25">
        <v>1740</v>
      </c>
      <c r="G1890" s="25">
        <v>1392</v>
      </c>
    </row>
    <row r="1891" spans="1:7" x14ac:dyDescent="0.25">
      <c r="A1891" s="14" t="s">
        <v>2349</v>
      </c>
      <c r="B1891" s="14">
        <v>1</v>
      </c>
      <c r="C1891" s="15" t="s">
        <v>2352</v>
      </c>
      <c r="D1891" s="14" t="s">
        <v>1745</v>
      </c>
      <c r="E1891" s="14" t="s">
        <v>1746</v>
      </c>
      <c r="F1891" s="25">
        <v>14679</v>
      </c>
      <c r="G1891" s="25">
        <v>11743.2</v>
      </c>
    </row>
    <row r="1892" spans="1:7" x14ac:dyDescent="0.25">
      <c r="A1892" s="14" t="s">
        <v>2349</v>
      </c>
      <c r="B1892" s="14" t="s">
        <v>263</v>
      </c>
      <c r="C1892" s="15" t="s">
        <v>2353</v>
      </c>
      <c r="D1892" s="14" t="s">
        <v>1745</v>
      </c>
      <c r="E1892" s="14" t="s">
        <v>1747</v>
      </c>
      <c r="F1892" s="25">
        <v>2220</v>
      </c>
      <c r="G1892" s="25">
        <v>1776</v>
      </c>
    </row>
    <row r="1893" spans="1:7" x14ac:dyDescent="0.25">
      <c r="A1893" s="14" t="s">
        <v>2349</v>
      </c>
      <c r="B1893" s="14" t="s">
        <v>470</v>
      </c>
      <c r="C1893" s="15" t="s">
        <v>2354</v>
      </c>
      <c r="D1893" s="14" t="s">
        <v>1745</v>
      </c>
      <c r="E1893" s="14" t="s">
        <v>1746</v>
      </c>
      <c r="F1893" s="25">
        <v>3654</v>
      </c>
      <c r="G1893" s="25">
        <v>3288.6</v>
      </c>
    </row>
    <row r="1894" spans="1:7" x14ac:dyDescent="0.25">
      <c r="A1894" s="14" t="s">
        <v>2349</v>
      </c>
      <c r="B1894" s="14" t="s">
        <v>235</v>
      </c>
      <c r="C1894" s="15" t="s">
        <v>2350</v>
      </c>
      <c r="D1894" s="14" t="s">
        <v>1745</v>
      </c>
      <c r="E1894" s="14" t="s">
        <v>1746</v>
      </c>
      <c r="F1894" s="25">
        <v>0</v>
      </c>
      <c r="G1894" s="25">
        <v>0</v>
      </c>
    </row>
    <row r="1895" spans="1:7" x14ac:dyDescent="0.25">
      <c r="A1895" s="14" t="s">
        <v>2349</v>
      </c>
      <c r="B1895" s="14" t="s">
        <v>608</v>
      </c>
      <c r="C1895" s="15" t="s">
        <v>2351</v>
      </c>
      <c r="D1895" s="14" t="s">
        <v>1745</v>
      </c>
      <c r="E1895" s="14" t="s">
        <v>1746</v>
      </c>
      <c r="F1895" s="25">
        <v>1827</v>
      </c>
      <c r="G1895" s="25">
        <v>1461.6</v>
      </c>
    </row>
    <row r="1896" spans="1:7" x14ac:dyDescent="0.25">
      <c r="A1896" s="14" t="s">
        <v>2349</v>
      </c>
      <c r="B1896" s="14">
        <v>24</v>
      </c>
      <c r="C1896" s="15" t="s">
        <v>2354</v>
      </c>
      <c r="D1896" s="14" t="s">
        <v>1749</v>
      </c>
      <c r="E1896" s="14" t="s">
        <v>1766</v>
      </c>
      <c r="F1896" s="25">
        <v>0</v>
      </c>
      <c r="G1896" s="25">
        <v>0</v>
      </c>
    </row>
    <row r="1897" spans="1:7" x14ac:dyDescent="0.25">
      <c r="A1897" s="14" t="s">
        <v>2349</v>
      </c>
      <c r="B1897" s="14">
        <v>1</v>
      </c>
      <c r="C1897" s="15" t="s">
        <v>2352</v>
      </c>
      <c r="D1897" s="14" t="s">
        <v>1749</v>
      </c>
      <c r="E1897" s="14" t="s">
        <v>1746</v>
      </c>
      <c r="F1897" s="25">
        <v>1398</v>
      </c>
      <c r="G1897" s="25">
        <v>1118.4000000000001</v>
      </c>
    </row>
    <row r="1898" spans="1:7" x14ac:dyDescent="0.25">
      <c r="A1898" s="14" t="s">
        <v>2349</v>
      </c>
      <c r="B1898" s="14" t="s">
        <v>263</v>
      </c>
      <c r="C1898" s="15" t="s">
        <v>2353</v>
      </c>
      <c r="D1898" s="14" t="s">
        <v>1745</v>
      </c>
      <c r="E1898" s="14" t="s">
        <v>1746</v>
      </c>
      <c r="F1898" s="25">
        <v>2331</v>
      </c>
      <c r="G1898" s="25">
        <v>1864.8</v>
      </c>
    </row>
    <row r="1899" spans="1:7" x14ac:dyDescent="0.25">
      <c r="A1899" s="14" t="s">
        <v>2349</v>
      </c>
      <c r="B1899" s="14" t="s">
        <v>263</v>
      </c>
      <c r="C1899" s="15" t="s">
        <v>2353</v>
      </c>
      <c r="D1899" s="14" t="s">
        <v>1749</v>
      </c>
      <c r="E1899" s="14" t="s">
        <v>1746</v>
      </c>
      <c r="F1899" s="25">
        <v>222</v>
      </c>
      <c r="G1899" s="25">
        <v>177.6</v>
      </c>
    </row>
    <row r="1900" spans="1:7" x14ac:dyDescent="0.25">
      <c r="A1900" s="14" t="s">
        <v>2349</v>
      </c>
      <c r="B1900" s="14">
        <v>1</v>
      </c>
      <c r="C1900" s="15" t="s">
        <v>2352</v>
      </c>
      <c r="D1900" s="14" t="s">
        <v>1745</v>
      </c>
      <c r="E1900" s="14" t="s">
        <v>1747</v>
      </c>
      <c r="F1900" s="25">
        <v>13980</v>
      </c>
      <c r="G1900" s="25">
        <v>11184</v>
      </c>
    </row>
    <row r="1901" spans="1:7" x14ac:dyDescent="0.25">
      <c r="A1901" s="14" t="s">
        <v>2349</v>
      </c>
      <c r="B1901" s="14" t="s">
        <v>470</v>
      </c>
      <c r="C1901" s="15" t="s">
        <v>2354</v>
      </c>
      <c r="D1901" s="14" t="s">
        <v>1745</v>
      </c>
      <c r="E1901" s="14" t="s">
        <v>1747</v>
      </c>
      <c r="F1901" s="25">
        <v>3480</v>
      </c>
      <c r="G1901" s="25">
        <v>3132</v>
      </c>
    </row>
    <row r="1902" spans="1:7" x14ac:dyDescent="0.25">
      <c r="A1902" s="14" t="s">
        <v>2349</v>
      </c>
      <c r="B1902" s="14" t="s">
        <v>470</v>
      </c>
      <c r="C1902" s="15" t="s">
        <v>2354</v>
      </c>
      <c r="D1902" s="14" t="s">
        <v>1749</v>
      </c>
      <c r="E1902" s="14" t="s">
        <v>1746</v>
      </c>
      <c r="F1902" s="25">
        <v>348</v>
      </c>
      <c r="G1902" s="25">
        <v>313.2</v>
      </c>
    </row>
    <row r="1903" spans="1:7" x14ac:dyDescent="0.25">
      <c r="A1903" s="14" t="s">
        <v>2349</v>
      </c>
      <c r="B1903" s="14" t="s">
        <v>235</v>
      </c>
      <c r="C1903" s="15" t="s">
        <v>2350</v>
      </c>
      <c r="D1903" s="14" t="s">
        <v>1749</v>
      </c>
      <c r="E1903" s="14" t="s">
        <v>1746</v>
      </c>
      <c r="F1903" s="25">
        <v>0</v>
      </c>
      <c r="G1903" s="25">
        <v>0</v>
      </c>
    </row>
    <row r="1904" spans="1:7" x14ac:dyDescent="0.25">
      <c r="A1904" s="14" t="s">
        <v>291</v>
      </c>
      <c r="B1904" s="14" t="s">
        <v>333</v>
      </c>
      <c r="C1904" s="15" t="s">
        <v>2355</v>
      </c>
      <c r="D1904" s="14" t="s">
        <v>1745</v>
      </c>
      <c r="E1904" s="14" t="s">
        <v>1747</v>
      </c>
      <c r="F1904" s="25">
        <v>0</v>
      </c>
      <c r="G1904" s="25">
        <v>0</v>
      </c>
    </row>
    <row r="1905" spans="1:7" x14ac:dyDescent="0.25">
      <c r="A1905" s="14" t="s">
        <v>291</v>
      </c>
      <c r="B1905" s="14" t="s">
        <v>325</v>
      </c>
      <c r="C1905" s="15" t="s">
        <v>2356</v>
      </c>
      <c r="D1905" s="14" t="s">
        <v>1749</v>
      </c>
      <c r="E1905" s="14" t="s">
        <v>1746</v>
      </c>
      <c r="F1905" s="25">
        <v>0</v>
      </c>
      <c r="G1905" s="25">
        <v>0</v>
      </c>
    </row>
    <row r="1906" spans="1:7" x14ac:dyDescent="0.25">
      <c r="A1906" s="14" t="s">
        <v>291</v>
      </c>
      <c r="B1906" s="14" t="s">
        <v>333</v>
      </c>
      <c r="C1906" s="15" t="s">
        <v>2355</v>
      </c>
      <c r="D1906" s="14" t="s">
        <v>1745</v>
      </c>
      <c r="E1906" s="14" t="s">
        <v>1746</v>
      </c>
      <c r="F1906" s="25">
        <v>0</v>
      </c>
      <c r="G1906" s="25">
        <v>0</v>
      </c>
    </row>
    <row r="1907" spans="1:7" x14ac:dyDescent="0.25">
      <c r="A1907" s="14" t="s">
        <v>291</v>
      </c>
      <c r="B1907" s="14" t="s">
        <v>333</v>
      </c>
      <c r="C1907" s="15" t="s">
        <v>2355</v>
      </c>
      <c r="D1907" s="14" t="s">
        <v>1749</v>
      </c>
      <c r="E1907" s="14" t="s">
        <v>1746</v>
      </c>
      <c r="F1907" s="25">
        <v>0</v>
      </c>
      <c r="G1907" s="25">
        <v>0</v>
      </c>
    </row>
    <row r="1908" spans="1:7" x14ac:dyDescent="0.25">
      <c r="A1908" s="14" t="s">
        <v>291</v>
      </c>
      <c r="B1908" s="14" t="s">
        <v>297</v>
      </c>
      <c r="C1908" s="15" t="s">
        <v>2357</v>
      </c>
      <c r="D1908" s="14" t="s">
        <v>1745</v>
      </c>
      <c r="E1908" s="14" t="s">
        <v>1746</v>
      </c>
      <c r="F1908" s="25">
        <v>1575</v>
      </c>
      <c r="G1908" s="25">
        <v>1260</v>
      </c>
    </row>
    <row r="1909" spans="1:7" x14ac:dyDescent="0.25">
      <c r="A1909" s="14" t="s">
        <v>291</v>
      </c>
      <c r="B1909" s="14" t="s">
        <v>297</v>
      </c>
      <c r="C1909" s="15" t="s">
        <v>2357</v>
      </c>
      <c r="D1909" s="14" t="s">
        <v>1745</v>
      </c>
      <c r="E1909" s="14" t="s">
        <v>1747</v>
      </c>
      <c r="F1909" s="25">
        <v>1500</v>
      </c>
      <c r="G1909" s="25">
        <v>1200</v>
      </c>
    </row>
    <row r="1910" spans="1:7" x14ac:dyDescent="0.25">
      <c r="A1910" s="14" t="s">
        <v>291</v>
      </c>
      <c r="B1910" s="14">
        <v>8</v>
      </c>
      <c r="C1910" s="15" t="s">
        <v>321</v>
      </c>
      <c r="D1910" s="14" t="s">
        <v>1745</v>
      </c>
      <c r="E1910" s="14" t="s">
        <v>1747</v>
      </c>
      <c r="F1910" s="25">
        <v>0</v>
      </c>
      <c r="G1910" s="25">
        <v>0</v>
      </c>
    </row>
    <row r="1911" spans="1:7" x14ac:dyDescent="0.25">
      <c r="A1911" s="14" t="s">
        <v>291</v>
      </c>
      <c r="B1911" s="14">
        <v>8</v>
      </c>
      <c r="C1911" s="15" t="s">
        <v>321</v>
      </c>
      <c r="D1911" s="14" t="s">
        <v>1745</v>
      </c>
      <c r="E1911" s="14" t="s">
        <v>1746</v>
      </c>
      <c r="F1911" s="25">
        <v>0</v>
      </c>
      <c r="G1911" s="25">
        <v>0</v>
      </c>
    </row>
    <row r="1912" spans="1:7" x14ac:dyDescent="0.25">
      <c r="A1912" s="14" t="s">
        <v>291</v>
      </c>
      <c r="B1912" s="14" t="s">
        <v>173</v>
      </c>
      <c r="C1912" s="15" t="s">
        <v>2358</v>
      </c>
      <c r="D1912" s="14" t="s">
        <v>1749</v>
      </c>
      <c r="E1912" s="14" t="s">
        <v>1746</v>
      </c>
      <c r="F1912" s="25">
        <v>112.8</v>
      </c>
      <c r="G1912" s="25">
        <v>90.24</v>
      </c>
    </row>
    <row r="1913" spans="1:7" x14ac:dyDescent="0.25">
      <c r="A1913" s="14" t="s">
        <v>291</v>
      </c>
      <c r="B1913" s="14" t="s">
        <v>297</v>
      </c>
      <c r="C1913" s="15" t="s">
        <v>2357</v>
      </c>
      <c r="D1913" s="14" t="s">
        <v>1749</v>
      </c>
      <c r="E1913" s="14" t="s">
        <v>1746</v>
      </c>
      <c r="F1913" s="25">
        <v>150</v>
      </c>
      <c r="G1913" s="25">
        <v>120</v>
      </c>
    </row>
    <row r="1914" spans="1:7" x14ac:dyDescent="0.25">
      <c r="A1914" s="14" t="s">
        <v>291</v>
      </c>
      <c r="B1914" s="14" t="s">
        <v>173</v>
      </c>
      <c r="C1914" s="15" t="s">
        <v>2358</v>
      </c>
      <c r="D1914" s="14" t="s">
        <v>1745</v>
      </c>
      <c r="E1914" s="14" t="s">
        <v>1746</v>
      </c>
      <c r="F1914" s="25">
        <v>1184.4000000000001</v>
      </c>
      <c r="G1914" s="25">
        <v>947.52</v>
      </c>
    </row>
    <row r="1915" spans="1:7" x14ac:dyDescent="0.25">
      <c r="A1915" s="14" t="s">
        <v>291</v>
      </c>
      <c r="B1915" s="14" t="s">
        <v>325</v>
      </c>
      <c r="C1915" s="15" t="s">
        <v>2356</v>
      </c>
      <c r="D1915" s="14" t="s">
        <v>1745</v>
      </c>
      <c r="E1915" s="14" t="s">
        <v>1747</v>
      </c>
      <c r="F1915" s="25">
        <v>0</v>
      </c>
      <c r="G1915" s="25">
        <v>0</v>
      </c>
    </row>
    <row r="1916" spans="1:7" x14ac:dyDescent="0.25">
      <c r="A1916" s="14" t="s">
        <v>291</v>
      </c>
      <c r="B1916" s="14" t="s">
        <v>173</v>
      </c>
      <c r="C1916" s="15" t="s">
        <v>2358</v>
      </c>
      <c r="D1916" s="14" t="s">
        <v>1745</v>
      </c>
      <c r="E1916" s="14" t="s">
        <v>1747</v>
      </c>
      <c r="F1916" s="25">
        <v>1128</v>
      </c>
      <c r="G1916" s="25">
        <v>902.4</v>
      </c>
    </row>
    <row r="1917" spans="1:7" x14ac:dyDescent="0.25">
      <c r="A1917" s="14" t="s">
        <v>291</v>
      </c>
      <c r="B1917" s="14" t="s">
        <v>325</v>
      </c>
      <c r="C1917" s="15" t="s">
        <v>2356</v>
      </c>
      <c r="D1917" s="14" t="s">
        <v>1745</v>
      </c>
      <c r="E1917" s="14" t="s">
        <v>1746</v>
      </c>
      <c r="F1917" s="25">
        <v>0</v>
      </c>
      <c r="G1917" s="25">
        <v>0</v>
      </c>
    </row>
    <row r="1918" spans="1:7" x14ac:dyDescent="0.25">
      <c r="A1918" s="14" t="s">
        <v>291</v>
      </c>
      <c r="B1918" s="14">
        <v>8</v>
      </c>
      <c r="C1918" s="15" t="s">
        <v>321</v>
      </c>
      <c r="D1918" s="14" t="s">
        <v>1749</v>
      </c>
      <c r="E1918" s="14" t="s">
        <v>1746</v>
      </c>
      <c r="F1918" s="25">
        <v>0</v>
      </c>
      <c r="G1918" s="25">
        <v>0</v>
      </c>
    </row>
    <row r="1919" spans="1:7" x14ac:dyDescent="0.25">
      <c r="A1919" s="14" t="s">
        <v>337</v>
      </c>
      <c r="B1919" s="14">
        <v>1</v>
      </c>
      <c r="C1919" s="15" t="s">
        <v>336</v>
      </c>
      <c r="D1919" s="14" t="s">
        <v>1745</v>
      </c>
      <c r="E1919" s="14" t="s">
        <v>1746</v>
      </c>
      <c r="F1919" s="25">
        <v>2142</v>
      </c>
      <c r="G1919" s="25">
        <v>1713.6</v>
      </c>
    </row>
    <row r="1920" spans="1:7" x14ac:dyDescent="0.25">
      <c r="A1920" s="14" t="s">
        <v>337</v>
      </c>
      <c r="B1920" s="14" t="s">
        <v>325</v>
      </c>
      <c r="C1920" s="15" t="s">
        <v>345</v>
      </c>
      <c r="D1920" s="14" t="s">
        <v>1749</v>
      </c>
      <c r="E1920" s="14" t="s">
        <v>1746</v>
      </c>
      <c r="F1920" s="25">
        <v>2796</v>
      </c>
      <c r="G1920" s="25">
        <v>2236.8000000000002</v>
      </c>
    </row>
    <row r="1921" spans="1:7" x14ac:dyDescent="0.25">
      <c r="A1921" s="14" t="s">
        <v>337</v>
      </c>
      <c r="B1921" s="14" t="s">
        <v>333</v>
      </c>
      <c r="C1921" s="15" t="s">
        <v>342</v>
      </c>
      <c r="D1921" s="14" t="s">
        <v>1745</v>
      </c>
      <c r="E1921" s="14" t="s">
        <v>1746</v>
      </c>
      <c r="F1921" s="25">
        <v>27657</v>
      </c>
      <c r="G1921" s="25">
        <v>22125.599999999999</v>
      </c>
    </row>
    <row r="1922" spans="1:7" x14ac:dyDescent="0.25">
      <c r="A1922" s="14" t="s">
        <v>337</v>
      </c>
      <c r="B1922" s="14" t="s">
        <v>325</v>
      </c>
      <c r="C1922" s="15" t="s">
        <v>345</v>
      </c>
      <c r="D1922" s="14" t="s">
        <v>1745</v>
      </c>
      <c r="E1922" s="14" t="s">
        <v>1746</v>
      </c>
      <c r="F1922" s="25">
        <v>29358</v>
      </c>
      <c r="G1922" s="25">
        <v>23486.400000000001</v>
      </c>
    </row>
    <row r="1923" spans="1:7" x14ac:dyDescent="0.25">
      <c r="A1923" s="14" t="s">
        <v>337</v>
      </c>
      <c r="B1923" s="14">
        <v>1</v>
      </c>
      <c r="C1923" s="15" t="s">
        <v>336</v>
      </c>
      <c r="D1923" s="14" t="s">
        <v>1749</v>
      </c>
      <c r="E1923" s="14" t="s">
        <v>1746</v>
      </c>
      <c r="F1923" s="25">
        <v>204</v>
      </c>
      <c r="G1923" s="25">
        <v>163.19999999999999</v>
      </c>
    </row>
    <row r="1924" spans="1:7" x14ac:dyDescent="0.25">
      <c r="A1924" s="14" t="s">
        <v>337</v>
      </c>
      <c r="B1924" s="14" t="s">
        <v>46</v>
      </c>
      <c r="C1924" s="15" t="s">
        <v>340</v>
      </c>
      <c r="D1924" s="14" t="s">
        <v>1745</v>
      </c>
      <c r="E1924" s="14" t="s">
        <v>1747</v>
      </c>
      <c r="F1924" s="25">
        <v>1560</v>
      </c>
      <c r="G1924" s="25">
        <v>1248</v>
      </c>
    </row>
    <row r="1925" spans="1:7" x14ac:dyDescent="0.25">
      <c r="A1925" s="14" t="s">
        <v>337</v>
      </c>
      <c r="B1925" s="14" t="s">
        <v>333</v>
      </c>
      <c r="C1925" s="15" t="s">
        <v>342</v>
      </c>
      <c r="D1925" s="14" t="s">
        <v>1749</v>
      </c>
      <c r="E1925" s="14" t="s">
        <v>1746</v>
      </c>
      <c r="F1925" s="25">
        <v>2634</v>
      </c>
      <c r="G1925" s="25">
        <v>2107.1999999999998</v>
      </c>
    </row>
    <row r="1926" spans="1:7" x14ac:dyDescent="0.25">
      <c r="A1926" s="14" t="s">
        <v>337</v>
      </c>
      <c r="B1926" s="14" t="s">
        <v>32</v>
      </c>
      <c r="C1926" s="15" t="s">
        <v>2359</v>
      </c>
      <c r="D1926" s="14" t="s">
        <v>1745</v>
      </c>
      <c r="E1926" s="14" t="s">
        <v>1747</v>
      </c>
      <c r="F1926" s="25">
        <v>0</v>
      </c>
      <c r="G1926" s="25">
        <v>0</v>
      </c>
    </row>
    <row r="1927" spans="1:7" x14ac:dyDescent="0.25">
      <c r="A1927" s="14" t="s">
        <v>337</v>
      </c>
      <c r="B1927" s="14" t="s">
        <v>32</v>
      </c>
      <c r="C1927" s="15" t="s">
        <v>2359</v>
      </c>
      <c r="D1927" s="14" t="s">
        <v>1749</v>
      </c>
      <c r="E1927" s="14" t="s">
        <v>1746</v>
      </c>
      <c r="F1927" s="25">
        <v>0</v>
      </c>
      <c r="G1927" s="25">
        <v>0</v>
      </c>
    </row>
    <row r="1928" spans="1:7" x14ac:dyDescent="0.25">
      <c r="A1928" s="14" t="s">
        <v>337</v>
      </c>
      <c r="B1928" s="14" t="s">
        <v>46</v>
      </c>
      <c r="C1928" s="15" t="s">
        <v>340</v>
      </c>
      <c r="D1928" s="14" t="s">
        <v>1749</v>
      </c>
      <c r="E1928" s="14" t="s">
        <v>1746</v>
      </c>
      <c r="F1928" s="25">
        <v>156</v>
      </c>
      <c r="G1928" s="25">
        <v>124.8</v>
      </c>
    </row>
    <row r="1929" spans="1:7" x14ac:dyDescent="0.25">
      <c r="A1929" s="14" t="s">
        <v>337</v>
      </c>
      <c r="B1929" s="14" t="s">
        <v>333</v>
      </c>
      <c r="C1929" s="15" t="s">
        <v>342</v>
      </c>
      <c r="D1929" s="14" t="s">
        <v>1745</v>
      </c>
      <c r="E1929" s="14" t="s">
        <v>1747</v>
      </c>
      <c r="F1929" s="25">
        <v>26340</v>
      </c>
      <c r="G1929" s="25">
        <v>21072</v>
      </c>
    </row>
    <row r="1930" spans="1:7" x14ac:dyDescent="0.25">
      <c r="A1930" s="14" t="s">
        <v>337</v>
      </c>
      <c r="B1930" s="14">
        <v>1</v>
      </c>
      <c r="C1930" s="15" t="s">
        <v>336</v>
      </c>
      <c r="D1930" s="14" t="s">
        <v>1745</v>
      </c>
      <c r="E1930" s="14" t="s">
        <v>1747</v>
      </c>
      <c r="F1930" s="25">
        <v>2040</v>
      </c>
      <c r="G1930" s="25">
        <v>1632</v>
      </c>
    </row>
    <row r="1931" spans="1:7" x14ac:dyDescent="0.25">
      <c r="A1931" s="14" t="s">
        <v>337</v>
      </c>
      <c r="B1931" s="14" t="s">
        <v>32</v>
      </c>
      <c r="C1931" s="15" t="s">
        <v>2359</v>
      </c>
      <c r="D1931" s="14" t="s">
        <v>1745</v>
      </c>
      <c r="E1931" s="14" t="s">
        <v>1746</v>
      </c>
      <c r="F1931" s="25">
        <v>0</v>
      </c>
      <c r="G1931" s="25">
        <v>0</v>
      </c>
    </row>
    <row r="1932" spans="1:7" x14ac:dyDescent="0.25">
      <c r="A1932" s="14" t="s">
        <v>337</v>
      </c>
      <c r="B1932" s="14" t="s">
        <v>325</v>
      </c>
      <c r="C1932" s="15" t="s">
        <v>345</v>
      </c>
      <c r="D1932" s="14" t="s">
        <v>1745</v>
      </c>
      <c r="E1932" s="14" t="s">
        <v>1747</v>
      </c>
      <c r="F1932" s="25">
        <v>27960</v>
      </c>
      <c r="G1932" s="25">
        <v>22368</v>
      </c>
    </row>
    <row r="1933" spans="1:7" x14ac:dyDescent="0.25">
      <c r="A1933" s="14" t="s">
        <v>337</v>
      </c>
      <c r="B1933" s="14" t="s">
        <v>46</v>
      </c>
      <c r="C1933" s="15" t="s">
        <v>340</v>
      </c>
      <c r="D1933" s="14" t="s">
        <v>1745</v>
      </c>
      <c r="E1933" s="14" t="s">
        <v>1746</v>
      </c>
      <c r="F1933" s="25">
        <v>1638</v>
      </c>
      <c r="G1933" s="25">
        <v>1310.4000000000001</v>
      </c>
    </row>
    <row r="1934" spans="1:7" x14ac:dyDescent="0.25">
      <c r="A1934" s="14" t="s">
        <v>354</v>
      </c>
      <c r="B1934" s="14" t="s">
        <v>28</v>
      </c>
      <c r="C1934" s="15" t="s">
        <v>357</v>
      </c>
      <c r="D1934" s="14" t="s">
        <v>1745</v>
      </c>
      <c r="E1934" s="14" t="s">
        <v>1747</v>
      </c>
      <c r="F1934" s="25">
        <v>18780</v>
      </c>
      <c r="G1934" s="25">
        <v>15024</v>
      </c>
    </row>
    <row r="1935" spans="1:7" x14ac:dyDescent="0.25">
      <c r="A1935" s="14" t="s">
        <v>354</v>
      </c>
      <c r="B1935" s="14">
        <v>2</v>
      </c>
      <c r="C1935" s="15" t="s">
        <v>353</v>
      </c>
      <c r="D1935" s="14" t="s">
        <v>1745</v>
      </c>
      <c r="E1935" s="14" t="s">
        <v>1746</v>
      </c>
      <c r="F1935" s="25">
        <v>23058</v>
      </c>
      <c r="G1935" s="25">
        <v>18446.400000000001</v>
      </c>
    </row>
    <row r="1936" spans="1:7" x14ac:dyDescent="0.25">
      <c r="A1936" s="14" t="s">
        <v>354</v>
      </c>
      <c r="B1936" s="14" t="s">
        <v>98</v>
      </c>
      <c r="C1936" s="15" t="s">
        <v>2360</v>
      </c>
      <c r="D1936" s="14" t="s">
        <v>1749</v>
      </c>
      <c r="E1936" s="14" t="s">
        <v>1746</v>
      </c>
      <c r="F1936" s="25">
        <v>2874</v>
      </c>
      <c r="G1936" s="25">
        <v>2299.1999999999998</v>
      </c>
    </row>
    <row r="1937" spans="1:7" x14ac:dyDescent="0.25">
      <c r="A1937" s="14" t="s">
        <v>354</v>
      </c>
      <c r="B1937" s="14" t="s">
        <v>55</v>
      </c>
      <c r="C1937" s="15" t="s">
        <v>2361</v>
      </c>
      <c r="D1937" s="14" t="s">
        <v>1745</v>
      </c>
      <c r="E1937" s="14" t="s">
        <v>1747</v>
      </c>
      <c r="F1937" s="25">
        <v>5520</v>
      </c>
      <c r="G1937" s="25">
        <v>4968</v>
      </c>
    </row>
    <row r="1938" spans="1:7" x14ac:dyDescent="0.25">
      <c r="A1938" s="14" t="s">
        <v>354</v>
      </c>
      <c r="B1938" s="14" t="s">
        <v>98</v>
      </c>
      <c r="C1938" s="15" t="s">
        <v>2360</v>
      </c>
      <c r="D1938" s="14" t="s">
        <v>1745</v>
      </c>
      <c r="E1938" s="14" t="s">
        <v>1747</v>
      </c>
      <c r="F1938" s="25">
        <v>28740</v>
      </c>
      <c r="G1938" s="25">
        <v>22992</v>
      </c>
    </row>
    <row r="1939" spans="1:7" x14ac:dyDescent="0.25">
      <c r="A1939" s="14" t="s">
        <v>354</v>
      </c>
      <c r="B1939" s="14" t="s">
        <v>55</v>
      </c>
      <c r="C1939" s="15" t="s">
        <v>2361</v>
      </c>
      <c r="D1939" s="14" t="s">
        <v>1745</v>
      </c>
      <c r="E1939" s="14" t="s">
        <v>1746</v>
      </c>
      <c r="F1939" s="25">
        <v>5796</v>
      </c>
      <c r="G1939" s="25">
        <v>5216.3999999999996</v>
      </c>
    </row>
    <row r="1940" spans="1:7" x14ac:dyDescent="0.25">
      <c r="A1940" s="14" t="s">
        <v>354</v>
      </c>
      <c r="B1940" s="14">
        <v>2</v>
      </c>
      <c r="C1940" s="15" t="s">
        <v>353</v>
      </c>
      <c r="D1940" s="14" t="s">
        <v>1745</v>
      </c>
      <c r="E1940" s="14" t="s">
        <v>1747</v>
      </c>
      <c r="F1940" s="25">
        <v>21960</v>
      </c>
      <c r="G1940" s="25">
        <v>17568</v>
      </c>
    </row>
    <row r="1941" spans="1:7" x14ac:dyDescent="0.25">
      <c r="A1941" s="14" t="s">
        <v>354</v>
      </c>
      <c r="B1941" s="14" t="s">
        <v>97</v>
      </c>
      <c r="C1941" s="15" t="s">
        <v>2362</v>
      </c>
      <c r="D1941" s="14" t="s">
        <v>1745</v>
      </c>
      <c r="E1941" s="14" t="s">
        <v>1746</v>
      </c>
      <c r="F1941" s="25">
        <v>33516</v>
      </c>
      <c r="G1941" s="25">
        <v>26812.799999999999</v>
      </c>
    </row>
    <row r="1942" spans="1:7" x14ac:dyDescent="0.25">
      <c r="A1942" s="14" t="s">
        <v>354</v>
      </c>
      <c r="B1942" s="14">
        <v>2</v>
      </c>
      <c r="C1942" s="15" t="s">
        <v>353</v>
      </c>
      <c r="D1942" s="14" t="s">
        <v>1749</v>
      </c>
      <c r="E1942" s="14" t="s">
        <v>1746</v>
      </c>
      <c r="F1942" s="25">
        <v>2196</v>
      </c>
      <c r="G1942" s="25">
        <v>1756.8</v>
      </c>
    </row>
    <row r="1943" spans="1:7" x14ac:dyDescent="0.25">
      <c r="A1943" s="14" t="s">
        <v>354</v>
      </c>
      <c r="B1943" s="14" t="s">
        <v>55</v>
      </c>
      <c r="C1943" s="15" t="s">
        <v>2361</v>
      </c>
      <c r="D1943" s="14" t="s">
        <v>1749</v>
      </c>
      <c r="E1943" s="14" t="s">
        <v>1746</v>
      </c>
      <c r="F1943" s="25">
        <v>552</v>
      </c>
      <c r="G1943" s="25">
        <v>496.8</v>
      </c>
    </row>
    <row r="1944" spans="1:7" x14ac:dyDescent="0.25">
      <c r="A1944" s="14" t="s">
        <v>354</v>
      </c>
      <c r="B1944" s="14">
        <v>3</v>
      </c>
      <c r="C1944" s="15" t="s">
        <v>353</v>
      </c>
      <c r="D1944" s="14" t="s">
        <v>1749</v>
      </c>
      <c r="E1944" s="14" t="s">
        <v>1766</v>
      </c>
      <c r="F1944" s="25">
        <v>0</v>
      </c>
      <c r="G1944" s="25">
        <v>0</v>
      </c>
    </row>
    <row r="1945" spans="1:7" x14ac:dyDescent="0.25">
      <c r="A1945" s="14" t="s">
        <v>354</v>
      </c>
      <c r="B1945" s="14" t="s">
        <v>98</v>
      </c>
      <c r="C1945" s="15" t="s">
        <v>2360</v>
      </c>
      <c r="D1945" s="14" t="s">
        <v>1745</v>
      </c>
      <c r="E1945" s="14" t="s">
        <v>1746</v>
      </c>
      <c r="F1945" s="25">
        <v>30177</v>
      </c>
      <c r="G1945" s="25">
        <v>24141.599999999999</v>
      </c>
    </row>
    <row r="1946" spans="1:7" x14ac:dyDescent="0.25">
      <c r="A1946" s="14" t="s">
        <v>354</v>
      </c>
      <c r="B1946" s="14" t="s">
        <v>39</v>
      </c>
      <c r="C1946" s="15" t="s">
        <v>2361</v>
      </c>
      <c r="D1946" s="14" t="s">
        <v>1749</v>
      </c>
      <c r="E1946" s="14" t="s">
        <v>1766</v>
      </c>
      <c r="F1946" s="25">
        <v>0</v>
      </c>
      <c r="G1946" s="25">
        <v>0</v>
      </c>
    </row>
    <row r="1947" spans="1:7" x14ac:dyDescent="0.25">
      <c r="A1947" s="14" t="s">
        <v>354</v>
      </c>
      <c r="B1947" s="14" t="s">
        <v>97</v>
      </c>
      <c r="C1947" s="15" t="s">
        <v>2362</v>
      </c>
      <c r="D1947" s="14" t="s">
        <v>1745</v>
      </c>
      <c r="E1947" s="14" t="s">
        <v>1747</v>
      </c>
      <c r="F1947" s="25">
        <v>31920</v>
      </c>
      <c r="G1947" s="25">
        <v>25536</v>
      </c>
    </row>
    <row r="1948" spans="1:7" x14ac:dyDescent="0.25">
      <c r="A1948" s="14" t="s">
        <v>354</v>
      </c>
      <c r="B1948" s="14" t="s">
        <v>97</v>
      </c>
      <c r="C1948" s="15" t="s">
        <v>2362</v>
      </c>
      <c r="D1948" s="14" t="s">
        <v>1749</v>
      </c>
      <c r="E1948" s="14" t="s">
        <v>1746</v>
      </c>
      <c r="F1948" s="25">
        <v>3192</v>
      </c>
      <c r="G1948" s="25">
        <v>2553.6</v>
      </c>
    </row>
    <row r="1949" spans="1:7" x14ac:dyDescent="0.25">
      <c r="A1949" s="14" t="s">
        <v>354</v>
      </c>
      <c r="B1949" s="14" t="s">
        <v>46</v>
      </c>
      <c r="C1949" s="15" t="s">
        <v>357</v>
      </c>
      <c r="D1949" s="14" t="s">
        <v>1749</v>
      </c>
      <c r="E1949" s="14" t="s">
        <v>1766</v>
      </c>
      <c r="F1949" s="25">
        <v>0</v>
      </c>
      <c r="G1949" s="25">
        <v>0</v>
      </c>
    </row>
    <row r="1950" spans="1:7" x14ac:dyDescent="0.25">
      <c r="A1950" s="14" t="s">
        <v>354</v>
      </c>
      <c r="B1950" s="14" t="s">
        <v>28</v>
      </c>
      <c r="C1950" s="15" t="s">
        <v>357</v>
      </c>
      <c r="D1950" s="14" t="s">
        <v>1745</v>
      </c>
      <c r="E1950" s="14" t="s">
        <v>1746</v>
      </c>
      <c r="F1950" s="25">
        <v>19719</v>
      </c>
      <c r="G1950" s="25">
        <v>15775.2</v>
      </c>
    </row>
    <row r="1951" spans="1:7" x14ac:dyDescent="0.25">
      <c r="A1951" s="14" t="s">
        <v>354</v>
      </c>
      <c r="B1951" s="14" t="s">
        <v>28</v>
      </c>
      <c r="C1951" s="15" t="s">
        <v>357</v>
      </c>
      <c r="D1951" s="14" t="s">
        <v>1749</v>
      </c>
      <c r="E1951" s="14" t="s">
        <v>1746</v>
      </c>
      <c r="F1951" s="25">
        <v>1878</v>
      </c>
      <c r="G1951" s="25">
        <v>1502.4</v>
      </c>
    </row>
    <row r="1952" spans="1:7" x14ac:dyDescent="0.25">
      <c r="A1952" s="14" t="s">
        <v>376</v>
      </c>
      <c r="B1952" s="14">
        <v>1</v>
      </c>
      <c r="C1952" s="15" t="s">
        <v>375</v>
      </c>
      <c r="D1952" s="14" t="s">
        <v>1745</v>
      </c>
      <c r="E1952" s="14" t="s">
        <v>1747</v>
      </c>
      <c r="F1952" s="25">
        <v>10320</v>
      </c>
      <c r="G1952" s="25">
        <v>8256</v>
      </c>
    </row>
    <row r="1953" spans="1:7" x14ac:dyDescent="0.25">
      <c r="A1953" s="14" t="s">
        <v>376</v>
      </c>
      <c r="B1953" s="14">
        <v>1</v>
      </c>
      <c r="C1953" s="15" t="s">
        <v>375</v>
      </c>
      <c r="D1953" s="14" t="s">
        <v>1749</v>
      </c>
      <c r="E1953" s="14" t="s">
        <v>1746</v>
      </c>
      <c r="F1953" s="25">
        <v>1032</v>
      </c>
      <c r="G1953" s="25">
        <v>825.6</v>
      </c>
    </row>
    <row r="1954" spans="1:7" x14ac:dyDescent="0.25">
      <c r="A1954" s="14" t="s">
        <v>376</v>
      </c>
      <c r="B1954" s="14">
        <v>12</v>
      </c>
      <c r="C1954" s="15" t="s">
        <v>378</v>
      </c>
      <c r="D1954" s="14" t="s">
        <v>1749</v>
      </c>
      <c r="E1954" s="14" t="s">
        <v>1766</v>
      </c>
      <c r="F1954" s="25">
        <v>0</v>
      </c>
      <c r="G1954" s="25">
        <v>0</v>
      </c>
    </row>
    <row r="1955" spans="1:7" x14ac:dyDescent="0.25">
      <c r="A1955" s="14" t="s">
        <v>376</v>
      </c>
      <c r="B1955" s="14" t="s">
        <v>112</v>
      </c>
      <c r="C1955" s="15" t="s">
        <v>2363</v>
      </c>
      <c r="D1955" s="14" t="s">
        <v>1745</v>
      </c>
      <c r="E1955" s="14" t="s">
        <v>1747</v>
      </c>
      <c r="F1955" s="25">
        <v>20280</v>
      </c>
      <c r="G1955" s="25">
        <v>16224</v>
      </c>
    </row>
    <row r="1956" spans="1:7" x14ac:dyDescent="0.25">
      <c r="A1956" s="14" t="s">
        <v>376</v>
      </c>
      <c r="B1956" s="14" t="s">
        <v>39</v>
      </c>
      <c r="C1956" s="15" t="s">
        <v>2364</v>
      </c>
      <c r="D1956" s="14" t="s">
        <v>1745</v>
      </c>
      <c r="E1956" s="14" t="s">
        <v>1747</v>
      </c>
      <c r="F1956" s="25">
        <v>2460</v>
      </c>
      <c r="G1956" s="25">
        <v>2214</v>
      </c>
    </row>
    <row r="1957" spans="1:7" x14ac:dyDescent="0.25">
      <c r="A1957" s="14" t="s">
        <v>376</v>
      </c>
      <c r="B1957" s="14">
        <v>5</v>
      </c>
      <c r="C1957" s="15" t="s">
        <v>375</v>
      </c>
      <c r="D1957" s="14" t="s">
        <v>1749</v>
      </c>
      <c r="E1957" s="14" t="s">
        <v>1766</v>
      </c>
      <c r="F1957" s="25">
        <v>0</v>
      </c>
      <c r="G1957" s="25">
        <v>0</v>
      </c>
    </row>
    <row r="1958" spans="1:7" x14ac:dyDescent="0.25">
      <c r="A1958" s="14" t="s">
        <v>376</v>
      </c>
      <c r="B1958" s="14" t="s">
        <v>112</v>
      </c>
      <c r="C1958" s="15" t="s">
        <v>2363</v>
      </c>
      <c r="D1958" s="14" t="s">
        <v>1745</v>
      </c>
      <c r="E1958" s="14" t="s">
        <v>1746</v>
      </c>
      <c r="F1958" s="25">
        <v>21294</v>
      </c>
      <c r="G1958" s="25">
        <v>17035.2</v>
      </c>
    </row>
    <row r="1959" spans="1:7" x14ac:dyDescent="0.25">
      <c r="A1959" s="14" t="s">
        <v>376</v>
      </c>
      <c r="B1959" s="14" t="s">
        <v>112</v>
      </c>
      <c r="C1959" s="15" t="s">
        <v>2363</v>
      </c>
      <c r="D1959" s="14" t="s">
        <v>1749</v>
      </c>
      <c r="E1959" s="14" t="s">
        <v>1746</v>
      </c>
      <c r="F1959" s="25">
        <v>2028</v>
      </c>
      <c r="G1959" s="25">
        <v>1622.4</v>
      </c>
    </row>
    <row r="1960" spans="1:7" x14ac:dyDescent="0.25">
      <c r="A1960" s="14" t="s">
        <v>376</v>
      </c>
      <c r="B1960" s="14" t="s">
        <v>122</v>
      </c>
      <c r="C1960" s="15" t="s">
        <v>2364</v>
      </c>
      <c r="D1960" s="14" t="s">
        <v>1749</v>
      </c>
      <c r="E1960" s="14" t="s">
        <v>1766</v>
      </c>
      <c r="F1960" s="25">
        <v>0</v>
      </c>
      <c r="G1960" s="25">
        <v>0</v>
      </c>
    </row>
    <row r="1961" spans="1:7" x14ac:dyDescent="0.25">
      <c r="A1961" s="14" t="s">
        <v>376</v>
      </c>
      <c r="B1961" s="14">
        <v>1</v>
      </c>
      <c r="C1961" s="15" t="s">
        <v>375</v>
      </c>
      <c r="D1961" s="14" t="s">
        <v>1745</v>
      </c>
      <c r="E1961" s="14" t="s">
        <v>1746</v>
      </c>
      <c r="F1961" s="25">
        <v>10836</v>
      </c>
      <c r="G1961" s="25">
        <v>8668.7999999999993</v>
      </c>
    </row>
    <row r="1962" spans="1:7" x14ac:dyDescent="0.25">
      <c r="A1962" s="14" t="s">
        <v>376</v>
      </c>
      <c r="B1962" s="14">
        <v>11</v>
      </c>
      <c r="C1962" s="15" t="s">
        <v>378</v>
      </c>
      <c r="D1962" s="14" t="s">
        <v>1749</v>
      </c>
      <c r="E1962" s="14" t="s">
        <v>1746</v>
      </c>
      <c r="F1962" s="25">
        <v>798</v>
      </c>
      <c r="G1962" s="25">
        <v>638.4</v>
      </c>
    </row>
    <row r="1963" spans="1:7" x14ac:dyDescent="0.25">
      <c r="A1963" s="14" t="s">
        <v>376</v>
      </c>
      <c r="B1963" s="14" t="s">
        <v>329</v>
      </c>
      <c r="C1963" s="15" t="s">
        <v>2365</v>
      </c>
      <c r="D1963" s="14" t="s">
        <v>1745</v>
      </c>
      <c r="E1963" s="14" t="s">
        <v>1747</v>
      </c>
      <c r="F1963" s="25">
        <v>23460</v>
      </c>
      <c r="G1963" s="25">
        <v>18768</v>
      </c>
    </row>
    <row r="1964" spans="1:7" x14ac:dyDescent="0.25">
      <c r="A1964" s="14" t="s">
        <v>376</v>
      </c>
      <c r="B1964" s="14" t="s">
        <v>329</v>
      </c>
      <c r="C1964" s="15" t="s">
        <v>2365</v>
      </c>
      <c r="D1964" s="14" t="s">
        <v>1749</v>
      </c>
      <c r="E1964" s="14" t="s">
        <v>1746</v>
      </c>
      <c r="F1964" s="25">
        <v>2346</v>
      </c>
      <c r="G1964" s="25">
        <v>1876.8</v>
      </c>
    </row>
    <row r="1965" spans="1:7" x14ac:dyDescent="0.25">
      <c r="A1965" s="14" t="s">
        <v>376</v>
      </c>
      <c r="B1965" s="14">
        <v>11</v>
      </c>
      <c r="C1965" s="15" t="s">
        <v>378</v>
      </c>
      <c r="D1965" s="14" t="s">
        <v>1745</v>
      </c>
      <c r="E1965" s="14" t="s">
        <v>1746</v>
      </c>
      <c r="F1965" s="25">
        <v>8379</v>
      </c>
      <c r="G1965" s="25">
        <v>6703.2</v>
      </c>
    </row>
    <row r="1966" spans="1:7" x14ac:dyDescent="0.25">
      <c r="A1966" s="14" t="s">
        <v>376</v>
      </c>
      <c r="B1966" s="14" t="s">
        <v>39</v>
      </c>
      <c r="C1966" s="15" t="s">
        <v>2364</v>
      </c>
      <c r="D1966" s="14" t="s">
        <v>1749</v>
      </c>
      <c r="E1966" s="14" t="s">
        <v>1746</v>
      </c>
      <c r="F1966" s="25">
        <v>246</v>
      </c>
      <c r="G1966" s="25">
        <v>221.4</v>
      </c>
    </row>
    <row r="1967" spans="1:7" x14ac:dyDescent="0.25">
      <c r="A1967" s="14" t="s">
        <v>376</v>
      </c>
      <c r="B1967" s="14" t="s">
        <v>329</v>
      </c>
      <c r="C1967" s="15" t="s">
        <v>2365</v>
      </c>
      <c r="D1967" s="14" t="s">
        <v>1745</v>
      </c>
      <c r="E1967" s="14" t="s">
        <v>1746</v>
      </c>
      <c r="F1967" s="25">
        <v>24633</v>
      </c>
      <c r="G1967" s="25">
        <v>19706.400000000001</v>
      </c>
    </row>
    <row r="1968" spans="1:7" x14ac:dyDescent="0.25">
      <c r="A1968" s="14" t="s">
        <v>376</v>
      </c>
      <c r="B1968" s="14" t="s">
        <v>39</v>
      </c>
      <c r="C1968" s="15" t="s">
        <v>2364</v>
      </c>
      <c r="D1968" s="14" t="s">
        <v>1745</v>
      </c>
      <c r="E1968" s="14" t="s">
        <v>1746</v>
      </c>
      <c r="F1968" s="25">
        <v>2583</v>
      </c>
      <c r="G1968" s="25">
        <v>2324.7600000000002</v>
      </c>
    </row>
    <row r="1969" spans="1:7" x14ac:dyDescent="0.25">
      <c r="A1969" s="14" t="s">
        <v>376</v>
      </c>
      <c r="B1969" s="14">
        <v>11</v>
      </c>
      <c r="C1969" s="15" t="s">
        <v>378</v>
      </c>
      <c r="D1969" s="14" t="s">
        <v>1745</v>
      </c>
      <c r="E1969" s="14" t="s">
        <v>1747</v>
      </c>
      <c r="F1969" s="25">
        <v>7980</v>
      </c>
      <c r="G1969" s="25">
        <v>6384</v>
      </c>
    </row>
    <row r="1970" spans="1:7" x14ac:dyDescent="0.25">
      <c r="A1970" s="14" t="s">
        <v>395</v>
      </c>
      <c r="B1970" s="14">
        <v>2</v>
      </c>
      <c r="C1970" s="15" t="s">
        <v>394</v>
      </c>
      <c r="D1970" s="14" t="s">
        <v>1745</v>
      </c>
      <c r="E1970" s="14" t="s">
        <v>1747</v>
      </c>
      <c r="F1970" s="25">
        <v>29940</v>
      </c>
      <c r="G1970" s="25">
        <v>23952</v>
      </c>
    </row>
    <row r="1971" spans="1:7" x14ac:dyDescent="0.25">
      <c r="A1971" s="14" t="s">
        <v>395</v>
      </c>
      <c r="B1971" s="14" t="s">
        <v>195</v>
      </c>
      <c r="C1971" s="15" t="s">
        <v>2366</v>
      </c>
      <c r="D1971" s="14" t="s">
        <v>1745</v>
      </c>
      <c r="E1971" s="14" t="s">
        <v>1746</v>
      </c>
      <c r="F1971" s="25">
        <v>26712</v>
      </c>
      <c r="G1971" s="25">
        <v>26712</v>
      </c>
    </row>
    <row r="1972" spans="1:7" x14ac:dyDescent="0.25">
      <c r="A1972" s="14" t="s">
        <v>395</v>
      </c>
      <c r="B1972" s="14" t="s">
        <v>108</v>
      </c>
      <c r="C1972" s="15" t="s">
        <v>2367</v>
      </c>
      <c r="D1972" s="14" t="s">
        <v>1749</v>
      </c>
      <c r="E1972" s="14" t="s">
        <v>1746</v>
      </c>
      <c r="F1972" s="25">
        <v>2094</v>
      </c>
      <c r="G1972" s="25">
        <v>1675.2</v>
      </c>
    </row>
    <row r="1973" spans="1:7" x14ac:dyDescent="0.25">
      <c r="A1973" s="14" t="s">
        <v>395</v>
      </c>
      <c r="B1973" s="14" t="s">
        <v>397</v>
      </c>
      <c r="C1973" s="15" t="s">
        <v>396</v>
      </c>
      <c r="D1973" s="14" t="s">
        <v>1752</v>
      </c>
      <c r="E1973" s="14" t="s">
        <v>1753</v>
      </c>
      <c r="F1973" s="25">
        <v>89820</v>
      </c>
      <c r="G1973" s="25">
        <v>71856</v>
      </c>
    </row>
    <row r="1974" spans="1:7" x14ac:dyDescent="0.25">
      <c r="A1974" s="14" t="s">
        <v>395</v>
      </c>
      <c r="B1974" s="14" t="s">
        <v>39</v>
      </c>
      <c r="C1974" s="15" t="s">
        <v>2368</v>
      </c>
      <c r="D1974" s="14" t="s">
        <v>1745</v>
      </c>
      <c r="E1974" s="14" t="s">
        <v>1746</v>
      </c>
      <c r="F1974" s="25">
        <v>18900</v>
      </c>
      <c r="G1974" s="25">
        <v>17388</v>
      </c>
    </row>
    <row r="1975" spans="1:7" x14ac:dyDescent="0.25">
      <c r="A1975" s="14" t="s">
        <v>395</v>
      </c>
      <c r="B1975" s="14" t="s">
        <v>397</v>
      </c>
      <c r="C1975" s="15" t="s">
        <v>396</v>
      </c>
      <c r="D1975" s="14" t="s">
        <v>1752</v>
      </c>
      <c r="E1975" s="14" t="s">
        <v>1747</v>
      </c>
      <c r="F1975" s="25">
        <v>89820</v>
      </c>
      <c r="G1975" s="25">
        <v>71856</v>
      </c>
    </row>
    <row r="1976" spans="1:7" x14ac:dyDescent="0.25">
      <c r="A1976" s="14" t="s">
        <v>395</v>
      </c>
      <c r="B1976" s="14" t="s">
        <v>50</v>
      </c>
      <c r="C1976" s="15" t="s">
        <v>2369</v>
      </c>
      <c r="D1976" s="14" t="s">
        <v>1745</v>
      </c>
      <c r="E1976" s="14" t="s">
        <v>1747</v>
      </c>
      <c r="F1976" s="25">
        <v>18000</v>
      </c>
      <c r="G1976" s="25">
        <v>16560</v>
      </c>
    </row>
    <row r="1977" spans="1:7" x14ac:dyDescent="0.25">
      <c r="A1977" s="14" t="s">
        <v>395</v>
      </c>
      <c r="B1977" s="14" t="s">
        <v>108</v>
      </c>
      <c r="C1977" s="15" t="s">
        <v>2367</v>
      </c>
      <c r="D1977" s="14" t="s">
        <v>1745</v>
      </c>
      <c r="E1977" s="14" t="s">
        <v>1747</v>
      </c>
      <c r="F1977" s="25">
        <v>20940</v>
      </c>
      <c r="G1977" s="25">
        <v>16752</v>
      </c>
    </row>
    <row r="1978" spans="1:7" x14ac:dyDescent="0.25">
      <c r="A1978" s="14" t="s">
        <v>395</v>
      </c>
      <c r="B1978" s="14" t="s">
        <v>39</v>
      </c>
      <c r="C1978" s="15" t="s">
        <v>2368</v>
      </c>
      <c r="D1978" s="14" t="s">
        <v>1745</v>
      </c>
      <c r="E1978" s="14" t="s">
        <v>1747</v>
      </c>
      <c r="F1978" s="25">
        <v>18000</v>
      </c>
      <c r="G1978" s="25">
        <v>16560</v>
      </c>
    </row>
    <row r="1979" spans="1:7" x14ac:dyDescent="0.25">
      <c r="A1979" s="14" t="s">
        <v>395</v>
      </c>
      <c r="B1979" s="14">
        <v>2</v>
      </c>
      <c r="C1979" s="15" t="s">
        <v>394</v>
      </c>
      <c r="D1979" s="14" t="s">
        <v>1745</v>
      </c>
      <c r="E1979" s="14" t="s">
        <v>1746</v>
      </c>
      <c r="F1979" s="25">
        <v>31437</v>
      </c>
      <c r="G1979" s="25">
        <v>25149.599999999999</v>
      </c>
    </row>
    <row r="1980" spans="1:7" x14ac:dyDescent="0.25">
      <c r="A1980" s="14" t="s">
        <v>395</v>
      </c>
      <c r="B1980" s="14" t="s">
        <v>108</v>
      </c>
      <c r="C1980" s="15" t="s">
        <v>2367</v>
      </c>
      <c r="D1980" s="14" t="s">
        <v>1745</v>
      </c>
      <c r="E1980" s="14" t="s">
        <v>1746</v>
      </c>
      <c r="F1980" s="25">
        <v>21987</v>
      </c>
      <c r="G1980" s="25">
        <v>17589.599999999999</v>
      </c>
    </row>
    <row r="1981" spans="1:7" x14ac:dyDescent="0.25">
      <c r="A1981" s="14" t="s">
        <v>395</v>
      </c>
      <c r="B1981" s="14" t="s">
        <v>50</v>
      </c>
      <c r="C1981" s="15" t="s">
        <v>2369</v>
      </c>
      <c r="D1981" s="14" t="s">
        <v>1745</v>
      </c>
      <c r="E1981" s="14" t="s">
        <v>1746</v>
      </c>
      <c r="F1981" s="25">
        <v>18900</v>
      </c>
      <c r="G1981" s="25">
        <v>17388</v>
      </c>
    </row>
    <row r="1982" spans="1:7" x14ac:dyDescent="0.25">
      <c r="A1982" s="14" t="s">
        <v>395</v>
      </c>
      <c r="B1982" s="14" t="s">
        <v>195</v>
      </c>
      <c r="C1982" s="15" t="s">
        <v>2366</v>
      </c>
      <c r="D1982" s="14" t="s">
        <v>1745</v>
      </c>
      <c r="E1982" s="14" t="s">
        <v>1747</v>
      </c>
      <c r="F1982" s="25">
        <v>25440</v>
      </c>
      <c r="G1982" s="25">
        <v>25440</v>
      </c>
    </row>
    <row r="1983" spans="1:7" x14ac:dyDescent="0.25">
      <c r="A1983" s="14" t="s">
        <v>493</v>
      </c>
      <c r="B1983" s="14">
        <v>3</v>
      </c>
      <c r="C1983" s="15" t="s">
        <v>508</v>
      </c>
      <c r="D1983" s="14" t="s">
        <v>1745</v>
      </c>
      <c r="E1983" s="14" t="s">
        <v>1746</v>
      </c>
      <c r="F1983" s="25">
        <v>40887</v>
      </c>
      <c r="G1983" s="25">
        <v>32709.599999999999</v>
      </c>
    </row>
    <row r="1984" spans="1:7" x14ac:dyDescent="0.25">
      <c r="A1984" s="14" t="s">
        <v>493</v>
      </c>
      <c r="B1984" s="14">
        <v>1</v>
      </c>
      <c r="C1984" s="15" t="s">
        <v>491</v>
      </c>
      <c r="D1984" s="14" t="s">
        <v>1745</v>
      </c>
      <c r="E1984" s="14" t="s">
        <v>1747</v>
      </c>
      <c r="F1984" s="25">
        <v>38940</v>
      </c>
      <c r="G1984" s="25">
        <v>31152</v>
      </c>
    </row>
    <row r="1985" spans="1:7" x14ac:dyDescent="0.25">
      <c r="A1985" s="14" t="s">
        <v>493</v>
      </c>
      <c r="B1985" s="14">
        <v>114</v>
      </c>
      <c r="C1985" s="15" t="s">
        <v>2370</v>
      </c>
      <c r="D1985" s="14" t="s">
        <v>1752</v>
      </c>
      <c r="E1985" s="14" t="s">
        <v>1747</v>
      </c>
      <c r="F1985" s="25">
        <v>29160</v>
      </c>
      <c r="G1985" s="25">
        <v>26244</v>
      </c>
    </row>
    <row r="1986" spans="1:7" x14ac:dyDescent="0.25">
      <c r="A1986" s="14" t="s">
        <v>493</v>
      </c>
      <c r="B1986" s="14" t="s">
        <v>269</v>
      </c>
      <c r="C1986" s="15" t="s">
        <v>499</v>
      </c>
      <c r="D1986" s="14" t="s">
        <v>1752</v>
      </c>
      <c r="E1986" s="14" t="s">
        <v>1747</v>
      </c>
      <c r="F1986" s="25">
        <v>116820</v>
      </c>
      <c r="G1986" s="25">
        <v>93456</v>
      </c>
    </row>
    <row r="1987" spans="1:7" x14ac:dyDescent="0.25">
      <c r="A1987" s="14" t="s">
        <v>493</v>
      </c>
      <c r="B1987" s="14" t="s">
        <v>317</v>
      </c>
      <c r="C1987" s="15" t="s">
        <v>2371</v>
      </c>
      <c r="D1987" s="14" t="s">
        <v>1749</v>
      </c>
      <c r="E1987" s="14" t="s">
        <v>1746</v>
      </c>
      <c r="F1987" s="25">
        <v>972</v>
      </c>
      <c r="G1987" s="25">
        <v>874.8</v>
      </c>
    </row>
    <row r="1988" spans="1:7" x14ac:dyDescent="0.25">
      <c r="A1988" s="14" t="s">
        <v>493</v>
      </c>
      <c r="B1988" s="14">
        <v>20</v>
      </c>
      <c r="C1988" s="15" t="s">
        <v>520</v>
      </c>
      <c r="D1988" s="14" t="s">
        <v>1745</v>
      </c>
      <c r="E1988" s="14" t="s">
        <v>1746</v>
      </c>
      <c r="F1988" s="25">
        <v>31941</v>
      </c>
      <c r="G1988" s="25">
        <v>25552.799999999999</v>
      </c>
    </row>
    <row r="1989" spans="1:7" x14ac:dyDescent="0.25">
      <c r="A1989" s="14" t="s">
        <v>493</v>
      </c>
      <c r="B1989" s="14" t="s">
        <v>498</v>
      </c>
      <c r="C1989" s="15" t="s">
        <v>2372</v>
      </c>
      <c r="D1989" s="14" t="s">
        <v>1749</v>
      </c>
      <c r="E1989" s="14" t="s">
        <v>1746</v>
      </c>
      <c r="F1989" s="25">
        <v>300</v>
      </c>
      <c r="G1989" s="25">
        <v>240</v>
      </c>
    </row>
    <row r="1990" spans="1:7" x14ac:dyDescent="0.25">
      <c r="A1990" s="14" t="s">
        <v>493</v>
      </c>
      <c r="B1990" s="14" t="s">
        <v>494</v>
      </c>
      <c r="C1990" s="15" t="s">
        <v>492</v>
      </c>
      <c r="D1990" s="14" t="s">
        <v>1749</v>
      </c>
      <c r="E1990" s="14" t="s">
        <v>1746</v>
      </c>
      <c r="F1990" s="25">
        <v>300</v>
      </c>
      <c r="G1990" s="25">
        <v>240</v>
      </c>
    </row>
    <row r="1991" spans="1:7" x14ac:dyDescent="0.25">
      <c r="A1991" s="14" t="s">
        <v>493</v>
      </c>
      <c r="B1991" s="14">
        <v>1</v>
      </c>
      <c r="C1991" s="15" t="s">
        <v>491</v>
      </c>
      <c r="D1991" s="14" t="s">
        <v>1745</v>
      </c>
      <c r="E1991" s="14" t="s">
        <v>1746</v>
      </c>
      <c r="F1991" s="25">
        <v>40887</v>
      </c>
      <c r="G1991" s="25">
        <v>32709.599999999999</v>
      </c>
    </row>
    <row r="1992" spans="1:7" x14ac:dyDescent="0.25">
      <c r="A1992" s="14" t="s">
        <v>493</v>
      </c>
      <c r="B1992" s="14" t="s">
        <v>356</v>
      </c>
      <c r="C1992" s="15" t="s">
        <v>2373</v>
      </c>
      <c r="D1992" s="14" t="s">
        <v>1752</v>
      </c>
      <c r="E1992" s="14" t="s">
        <v>1747</v>
      </c>
      <c r="F1992" s="25">
        <v>116820</v>
      </c>
      <c r="G1992" s="25">
        <v>93456</v>
      </c>
    </row>
    <row r="1993" spans="1:7" x14ac:dyDescent="0.25">
      <c r="A1993" s="14" t="s">
        <v>493</v>
      </c>
      <c r="B1993" s="14" t="s">
        <v>498</v>
      </c>
      <c r="C1993" s="15" t="s">
        <v>2372</v>
      </c>
      <c r="D1993" s="14" t="s">
        <v>1745</v>
      </c>
      <c r="E1993" s="14" t="s">
        <v>1746</v>
      </c>
      <c r="F1993" s="25">
        <v>3150</v>
      </c>
      <c r="G1993" s="25">
        <v>2520</v>
      </c>
    </row>
    <row r="1994" spans="1:7" x14ac:dyDescent="0.25">
      <c r="A1994" s="14" t="s">
        <v>493</v>
      </c>
      <c r="B1994" s="14" t="s">
        <v>317</v>
      </c>
      <c r="C1994" s="15" t="s">
        <v>2371</v>
      </c>
      <c r="D1994" s="14" t="s">
        <v>1745</v>
      </c>
      <c r="E1994" s="14" t="s">
        <v>1746</v>
      </c>
      <c r="F1994" s="25">
        <v>10206</v>
      </c>
      <c r="G1994" s="25">
        <v>9185.4</v>
      </c>
    </row>
    <row r="1995" spans="1:7" x14ac:dyDescent="0.25">
      <c r="A1995" s="14" t="s">
        <v>493</v>
      </c>
      <c r="B1995" s="14" t="s">
        <v>238</v>
      </c>
      <c r="C1995" s="15" t="s">
        <v>2374</v>
      </c>
      <c r="D1995" s="14" t="s">
        <v>1752</v>
      </c>
      <c r="E1995" s="14" t="s">
        <v>1747</v>
      </c>
      <c r="F1995" s="25">
        <v>91260</v>
      </c>
      <c r="G1995" s="25">
        <v>73008</v>
      </c>
    </row>
    <row r="1996" spans="1:7" x14ac:dyDescent="0.25">
      <c r="A1996" s="14" t="s">
        <v>493</v>
      </c>
      <c r="B1996" s="14">
        <v>21</v>
      </c>
      <c r="C1996" s="15" t="s">
        <v>514</v>
      </c>
      <c r="D1996" s="14" t="s">
        <v>1745</v>
      </c>
      <c r="E1996" s="14" t="s">
        <v>1746</v>
      </c>
      <c r="F1996" s="25">
        <v>31941</v>
      </c>
      <c r="G1996" s="25">
        <v>25552.799999999999</v>
      </c>
    </row>
    <row r="1997" spans="1:7" x14ac:dyDescent="0.25">
      <c r="A1997" s="14" t="s">
        <v>493</v>
      </c>
      <c r="B1997" s="14">
        <v>3</v>
      </c>
      <c r="C1997" s="15" t="s">
        <v>508</v>
      </c>
      <c r="D1997" s="14" t="s">
        <v>1749</v>
      </c>
      <c r="E1997" s="14" t="s">
        <v>1746</v>
      </c>
      <c r="F1997" s="25">
        <v>3894</v>
      </c>
      <c r="G1997" s="25">
        <v>3115.2</v>
      </c>
    </row>
    <row r="1998" spans="1:7" x14ac:dyDescent="0.25">
      <c r="A1998" s="14" t="s">
        <v>493</v>
      </c>
      <c r="B1998" s="14">
        <v>20</v>
      </c>
      <c r="C1998" s="15" t="s">
        <v>520</v>
      </c>
      <c r="D1998" s="14" t="s">
        <v>1749</v>
      </c>
      <c r="E1998" s="14" t="s">
        <v>1746</v>
      </c>
      <c r="F1998" s="25">
        <v>3042</v>
      </c>
      <c r="G1998" s="25">
        <v>2433.6</v>
      </c>
    </row>
    <row r="1999" spans="1:7" x14ac:dyDescent="0.25">
      <c r="A1999" s="14" t="s">
        <v>493</v>
      </c>
      <c r="B1999" s="14" t="s">
        <v>238</v>
      </c>
      <c r="C1999" s="15" t="s">
        <v>2374</v>
      </c>
      <c r="D1999" s="14" t="s">
        <v>1752</v>
      </c>
      <c r="E1999" s="14" t="s">
        <v>1753</v>
      </c>
      <c r="F1999" s="25">
        <v>91260</v>
      </c>
      <c r="G1999" s="25">
        <v>73008</v>
      </c>
    </row>
    <row r="2000" spans="1:7" x14ac:dyDescent="0.25">
      <c r="A2000" s="14" t="s">
        <v>493</v>
      </c>
      <c r="B2000" s="14" t="s">
        <v>494</v>
      </c>
      <c r="C2000" s="15" t="s">
        <v>492</v>
      </c>
      <c r="D2000" s="14" t="s">
        <v>1745</v>
      </c>
      <c r="E2000" s="14" t="s">
        <v>1747</v>
      </c>
      <c r="F2000" s="25">
        <v>3000</v>
      </c>
      <c r="G2000" s="25">
        <v>2400</v>
      </c>
    </row>
    <row r="2001" spans="1:7" x14ac:dyDescent="0.25">
      <c r="A2001" s="14" t="s">
        <v>493</v>
      </c>
      <c r="B2001" s="14" t="s">
        <v>356</v>
      </c>
      <c r="C2001" s="15" t="s">
        <v>2373</v>
      </c>
      <c r="D2001" s="14" t="s">
        <v>1752</v>
      </c>
      <c r="E2001" s="14" t="s">
        <v>1753</v>
      </c>
      <c r="F2001" s="25">
        <v>116820</v>
      </c>
      <c r="G2001" s="25">
        <v>93456</v>
      </c>
    </row>
    <row r="2002" spans="1:7" x14ac:dyDescent="0.25">
      <c r="A2002" s="14" t="s">
        <v>493</v>
      </c>
      <c r="B2002" s="14" t="s">
        <v>497</v>
      </c>
      <c r="C2002" s="15" t="s">
        <v>2372</v>
      </c>
      <c r="D2002" s="14" t="s">
        <v>1749</v>
      </c>
      <c r="E2002" s="14" t="s">
        <v>1766</v>
      </c>
      <c r="F2002" s="25">
        <v>0</v>
      </c>
      <c r="G2002" s="25">
        <v>0</v>
      </c>
    </row>
    <row r="2003" spans="1:7" x14ac:dyDescent="0.25">
      <c r="A2003" s="14" t="s">
        <v>493</v>
      </c>
      <c r="B2003" s="14" t="s">
        <v>498</v>
      </c>
      <c r="C2003" s="15" t="s">
        <v>2372</v>
      </c>
      <c r="D2003" s="14" t="s">
        <v>1752</v>
      </c>
      <c r="E2003" s="14" t="s">
        <v>1753</v>
      </c>
      <c r="F2003" s="25">
        <v>9000</v>
      </c>
      <c r="G2003" s="25">
        <v>7200</v>
      </c>
    </row>
    <row r="2004" spans="1:7" x14ac:dyDescent="0.25">
      <c r="A2004" s="14" t="s">
        <v>493</v>
      </c>
      <c r="B2004" s="14">
        <v>21</v>
      </c>
      <c r="C2004" s="15" t="s">
        <v>514</v>
      </c>
      <c r="D2004" s="14" t="s">
        <v>1745</v>
      </c>
      <c r="E2004" s="14" t="s">
        <v>1747</v>
      </c>
      <c r="F2004" s="25">
        <v>30420</v>
      </c>
      <c r="G2004" s="25">
        <v>24336</v>
      </c>
    </row>
    <row r="2005" spans="1:7" x14ac:dyDescent="0.25">
      <c r="A2005" s="14" t="s">
        <v>493</v>
      </c>
      <c r="B2005" s="14">
        <v>1</v>
      </c>
      <c r="C2005" s="15" t="s">
        <v>491</v>
      </c>
      <c r="D2005" s="14" t="s">
        <v>1749</v>
      </c>
      <c r="E2005" s="14" t="s">
        <v>1746</v>
      </c>
      <c r="F2005" s="25">
        <v>3894</v>
      </c>
      <c r="G2005" s="25">
        <v>3115.2</v>
      </c>
    </row>
    <row r="2006" spans="1:7" x14ac:dyDescent="0.25">
      <c r="A2006" s="14" t="s">
        <v>493</v>
      </c>
      <c r="B2006" s="14" t="s">
        <v>494</v>
      </c>
      <c r="C2006" s="15" t="s">
        <v>492</v>
      </c>
      <c r="D2006" s="14" t="s">
        <v>1752</v>
      </c>
      <c r="E2006" s="14" t="s">
        <v>1753</v>
      </c>
      <c r="F2006" s="25">
        <v>9000</v>
      </c>
      <c r="G2006" s="25">
        <v>7200</v>
      </c>
    </row>
    <row r="2007" spans="1:7" x14ac:dyDescent="0.25">
      <c r="A2007" s="14" t="s">
        <v>493</v>
      </c>
      <c r="B2007" s="14" t="s">
        <v>275</v>
      </c>
      <c r="C2007" s="15" t="s">
        <v>2375</v>
      </c>
      <c r="D2007" s="14" t="s">
        <v>1752</v>
      </c>
      <c r="E2007" s="14" t="s">
        <v>1747</v>
      </c>
      <c r="F2007" s="25">
        <v>91260</v>
      </c>
      <c r="G2007" s="25">
        <v>73008</v>
      </c>
    </row>
    <row r="2008" spans="1:7" x14ac:dyDescent="0.25">
      <c r="A2008" s="14" t="s">
        <v>493</v>
      </c>
      <c r="B2008" s="14">
        <v>114</v>
      </c>
      <c r="C2008" s="15" t="s">
        <v>2370</v>
      </c>
      <c r="D2008" s="14" t="s">
        <v>1752</v>
      </c>
      <c r="E2008" s="14" t="s">
        <v>1753</v>
      </c>
      <c r="F2008" s="25">
        <v>29160</v>
      </c>
      <c r="G2008" s="25">
        <v>26244</v>
      </c>
    </row>
    <row r="2009" spans="1:7" x14ac:dyDescent="0.25">
      <c r="A2009" s="14" t="s">
        <v>493</v>
      </c>
      <c r="B2009" s="14" t="s">
        <v>275</v>
      </c>
      <c r="C2009" s="15" t="s">
        <v>2375</v>
      </c>
      <c r="D2009" s="14" t="s">
        <v>1752</v>
      </c>
      <c r="E2009" s="14" t="s">
        <v>1753</v>
      </c>
      <c r="F2009" s="25">
        <v>91260</v>
      </c>
      <c r="G2009" s="25">
        <v>73008</v>
      </c>
    </row>
    <row r="2010" spans="1:7" x14ac:dyDescent="0.25">
      <c r="A2010" s="14" t="s">
        <v>493</v>
      </c>
      <c r="B2010" s="14" t="s">
        <v>269</v>
      </c>
      <c r="C2010" s="15" t="s">
        <v>499</v>
      </c>
      <c r="D2010" s="14" t="s">
        <v>1752</v>
      </c>
      <c r="E2010" s="14" t="s">
        <v>1753</v>
      </c>
      <c r="F2010" s="25">
        <v>116820</v>
      </c>
      <c r="G2010" s="25">
        <v>93456</v>
      </c>
    </row>
    <row r="2011" spans="1:7" x14ac:dyDescent="0.25">
      <c r="A2011" s="14" t="s">
        <v>493</v>
      </c>
      <c r="B2011" s="14" t="s">
        <v>317</v>
      </c>
      <c r="C2011" s="15" t="s">
        <v>2371</v>
      </c>
      <c r="D2011" s="14" t="s">
        <v>1745</v>
      </c>
      <c r="E2011" s="14" t="s">
        <v>1747</v>
      </c>
      <c r="F2011" s="25">
        <v>9720</v>
      </c>
      <c r="G2011" s="25">
        <v>8748</v>
      </c>
    </row>
    <row r="2012" spans="1:7" x14ac:dyDescent="0.25">
      <c r="A2012" s="14" t="s">
        <v>493</v>
      </c>
      <c r="B2012" s="14" t="s">
        <v>495</v>
      </c>
      <c r="C2012" s="15" t="s">
        <v>492</v>
      </c>
      <c r="D2012" s="14" t="s">
        <v>1749</v>
      </c>
      <c r="E2012" s="14" t="s">
        <v>1766</v>
      </c>
      <c r="F2012" s="25">
        <v>0</v>
      </c>
      <c r="G2012" s="25">
        <v>0</v>
      </c>
    </row>
    <row r="2013" spans="1:7" x14ac:dyDescent="0.25">
      <c r="A2013" s="14" t="s">
        <v>493</v>
      </c>
      <c r="B2013" s="14">
        <v>3</v>
      </c>
      <c r="C2013" s="15" t="s">
        <v>508</v>
      </c>
      <c r="D2013" s="14" t="s">
        <v>1745</v>
      </c>
      <c r="E2013" s="14" t="s">
        <v>1747</v>
      </c>
      <c r="F2013" s="25">
        <v>38940</v>
      </c>
      <c r="G2013" s="25">
        <v>31152</v>
      </c>
    </row>
    <row r="2014" spans="1:7" x14ac:dyDescent="0.25">
      <c r="A2014" s="14" t="s">
        <v>493</v>
      </c>
      <c r="B2014" s="14">
        <v>20</v>
      </c>
      <c r="C2014" s="15" t="s">
        <v>520</v>
      </c>
      <c r="D2014" s="14" t="s">
        <v>1745</v>
      </c>
      <c r="E2014" s="14" t="s">
        <v>1747</v>
      </c>
      <c r="F2014" s="25">
        <v>30420</v>
      </c>
      <c r="G2014" s="25">
        <v>24336</v>
      </c>
    </row>
    <row r="2015" spans="1:7" x14ac:dyDescent="0.25">
      <c r="A2015" s="14" t="s">
        <v>493</v>
      </c>
      <c r="B2015" s="14" t="s">
        <v>498</v>
      </c>
      <c r="C2015" s="15" t="s">
        <v>2372</v>
      </c>
      <c r="D2015" s="14" t="s">
        <v>1745</v>
      </c>
      <c r="E2015" s="14" t="s">
        <v>1747</v>
      </c>
      <c r="F2015" s="25">
        <v>3000</v>
      </c>
      <c r="G2015" s="25">
        <v>2400</v>
      </c>
    </row>
    <row r="2016" spans="1:7" x14ac:dyDescent="0.25">
      <c r="A2016" s="14" t="s">
        <v>493</v>
      </c>
      <c r="B2016" s="14" t="s">
        <v>494</v>
      </c>
      <c r="C2016" s="15" t="s">
        <v>492</v>
      </c>
      <c r="D2016" s="14" t="s">
        <v>1745</v>
      </c>
      <c r="E2016" s="14" t="s">
        <v>1746</v>
      </c>
      <c r="F2016" s="25">
        <v>3150</v>
      </c>
      <c r="G2016" s="25">
        <v>2520</v>
      </c>
    </row>
    <row r="2017" spans="1:7" x14ac:dyDescent="0.25">
      <c r="A2017" s="14" t="s">
        <v>493</v>
      </c>
      <c r="B2017" s="14">
        <v>21</v>
      </c>
      <c r="C2017" s="15" t="s">
        <v>514</v>
      </c>
      <c r="D2017" s="14" t="s">
        <v>1749</v>
      </c>
      <c r="E2017" s="14" t="s">
        <v>1746</v>
      </c>
      <c r="F2017" s="25">
        <v>3042</v>
      </c>
      <c r="G2017" s="25">
        <v>2433.6</v>
      </c>
    </row>
    <row r="2018" spans="1:7" x14ac:dyDescent="0.25">
      <c r="A2018" s="14" t="s">
        <v>543</v>
      </c>
      <c r="B2018" s="14" t="s">
        <v>260</v>
      </c>
      <c r="C2018" s="15" t="s">
        <v>2376</v>
      </c>
      <c r="D2018" s="14" t="s">
        <v>1752</v>
      </c>
      <c r="E2018" s="14" t="s">
        <v>1747</v>
      </c>
      <c r="F2018" s="25">
        <v>179640</v>
      </c>
      <c r="G2018" s="25">
        <v>143712</v>
      </c>
    </row>
    <row r="2019" spans="1:7" x14ac:dyDescent="0.25">
      <c r="A2019" s="14" t="s">
        <v>543</v>
      </c>
      <c r="B2019" s="14" t="s">
        <v>583</v>
      </c>
      <c r="C2019" s="15" t="s">
        <v>2377</v>
      </c>
      <c r="D2019" s="14" t="s">
        <v>1749</v>
      </c>
      <c r="E2019" s="14" t="s">
        <v>1746</v>
      </c>
      <c r="F2019" s="25">
        <v>2394</v>
      </c>
      <c r="G2019" s="25">
        <v>2154.6</v>
      </c>
    </row>
    <row r="2020" spans="1:7" x14ac:dyDescent="0.25">
      <c r="A2020" s="14" t="s">
        <v>543</v>
      </c>
      <c r="B2020" s="14" t="s">
        <v>269</v>
      </c>
      <c r="C2020" s="15" t="s">
        <v>2378</v>
      </c>
      <c r="D2020" s="14" t="s">
        <v>1752</v>
      </c>
      <c r="E2020" s="14" t="s">
        <v>1753</v>
      </c>
      <c r="F2020" s="25">
        <v>154080</v>
      </c>
      <c r="G2020" s="25">
        <v>123264</v>
      </c>
    </row>
    <row r="2021" spans="1:7" x14ac:dyDescent="0.25">
      <c r="A2021" s="14" t="s">
        <v>543</v>
      </c>
      <c r="B2021" s="14">
        <v>3</v>
      </c>
      <c r="C2021" s="15" t="s">
        <v>582</v>
      </c>
      <c r="D2021" s="14" t="s">
        <v>1745</v>
      </c>
      <c r="E2021" s="14" t="s">
        <v>1746</v>
      </c>
      <c r="F2021" s="25">
        <v>62874</v>
      </c>
      <c r="G2021" s="25">
        <v>50299.199999999997</v>
      </c>
    </row>
    <row r="2022" spans="1:7" x14ac:dyDescent="0.25">
      <c r="A2022" s="14" t="s">
        <v>543</v>
      </c>
      <c r="B2022" s="14" t="s">
        <v>269</v>
      </c>
      <c r="C2022" s="15" t="s">
        <v>2378</v>
      </c>
      <c r="D2022" s="14" t="s">
        <v>1752</v>
      </c>
      <c r="E2022" s="14" t="s">
        <v>1747</v>
      </c>
      <c r="F2022" s="25">
        <v>154080</v>
      </c>
      <c r="G2022" s="25">
        <v>123264</v>
      </c>
    </row>
    <row r="2023" spans="1:7" x14ac:dyDescent="0.25">
      <c r="A2023" s="14" t="s">
        <v>543</v>
      </c>
      <c r="B2023" s="14" t="s">
        <v>260</v>
      </c>
      <c r="C2023" s="15" t="s">
        <v>2376</v>
      </c>
      <c r="D2023" s="14" t="s">
        <v>1752</v>
      </c>
      <c r="E2023" s="14" t="s">
        <v>1753</v>
      </c>
      <c r="F2023" s="25">
        <v>179640</v>
      </c>
      <c r="G2023" s="25">
        <v>143712</v>
      </c>
    </row>
    <row r="2024" spans="1:7" x14ac:dyDescent="0.25">
      <c r="A2024" s="14" t="s">
        <v>543</v>
      </c>
      <c r="B2024" s="14" t="s">
        <v>583</v>
      </c>
      <c r="C2024" s="15" t="s">
        <v>2377</v>
      </c>
      <c r="D2024" s="14" t="s">
        <v>1745</v>
      </c>
      <c r="E2024" s="14" t="s">
        <v>1747</v>
      </c>
      <c r="F2024" s="25">
        <v>23940</v>
      </c>
      <c r="G2024" s="25">
        <v>21546</v>
      </c>
    </row>
    <row r="2025" spans="1:7" x14ac:dyDescent="0.25">
      <c r="A2025" s="14" t="s">
        <v>543</v>
      </c>
      <c r="B2025" s="14">
        <v>3</v>
      </c>
      <c r="C2025" s="15" t="s">
        <v>582</v>
      </c>
      <c r="D2025" s="14" t="s">
        <v>1749</v>
      </c>
      <c r="E2025" s="14" t="s">
        <v>1746</v>
      </c>
      <c r="F2025" s="25">
        <v>5988</v>
      </c>
      <c r="G2025" s="25">
        <v>4790.3999999999996</v>
      </c>
    </row>
    <row r="2026" spans="1:7" x14ac:dyDescent="0.25">
      <c r="A2026" s="14" t="s">
        <v>543</v>
      </c>
      <c r="B2026" s="14" t="s">
        <v>108</v>
      </c>
      <c r="C2026" s="15" t="s">
        <v>560</v>
      </c>
      <c r="D2026" s="14" t="s">
        <v>1745</v>
      </c>
      <c r="E2026" s="14" t="s">
        <v>1747</v>
      </c>
      <c r="F2026" s="25">
        <v>51360</v>
      </c>
      <c r="G2026" s="25">
        <v>41088</v>
      </c>
    </row>
    <row r="2027" spans="1:7" x14ac:dyDescent="0.25">
      <c r="A2027" s="14" t="s">
        <v>543</v>
      </c>
      <c r="B2027" s="14">
        <v>3</v>
      </c>
      <c r="C2027" s="15" t="s">
        <v>582</v>
      </c>
      <c r="D2027" s="14" t="s">
        <v>1745</v>
      </c>
      <c r="E2027" s="14" t="s">
        <v>1747</v>
      </c>
      <c r="F2027" s="25">
        <v>59880</v>
      </c>
      <c r="G2027" s="25">
        <v>47904</v>
      </c>
    </row>
    <row r="2028" spans="1:7" x14ac:dyDescent="0.25">
      <c r="A2028" s="14" t="s">
        <v>543</v>
      </c>
      <c r="B2028" s="14" t="s">
        <v>108</v>
      </c>
      <c r="C2028" s="15" t="s">
        <v>560</v>
      </c>
      <c r="D2028" s="14" t="s">
        <v>1749</v>
      </c>
      <c r="E2028" s="14" t="s">
        <v>1746</v>
      </c>
      <c r="F2028" s="25">
        <v>5136</v>
      </c>
      <c r="G2028" s="25">
        <v>4108.8</v>
      </c>
    </row>
    <row r="2029" spans="1:7" x14ac:dyDescent="0.25">
      <c r="A2029" s="14" t="s">
        <v>543</v>
      </c>
      <c r="B2029" s="14" t="s">
        <v>583</v>
      </c>
      <c r="C2029" s="15" t="s">
        <v>2377</v>
      </c>
      <c r="D2029" s="14" t="s">
        <v>1745</v>
      </c>
      <c r="E2029" s="14" t="s">
        <v>1746</v>
      </c>
      <c r="F2029" s="25">
        <v>25137</v>
      </c>
      <c r="G2029" s="25">
        <v>22623.360000000001</v>
      </c>
    </row>
    <row r="2030" spans="1:7" x14ac:dyDescent="0.25">
      <c r="A2030" s="14" t="s">
        <v>543</v>
      </c>
      <c r="B2030" s="14" t="s">
        <v>108</v>
      </c>
      <c r="C2030" s="15" t="s">
        <v>560</v>
      </c>
      <c r="D2030" s="14" t="s">
        <v>1745</v>
      </c>
      <c r="E2030" s="14" t="s">
        <v>1746</v>
      </c>
      <c r="F2030" s="25">
        <v>53928</v>
      </c>
      <c r="G2030" s="25">
        <v>43142.400000000001</v>
      </c>
    </row>
    <row r="2031" spans="1:7" x14ac:dyDescent="0.25">
      <c r="A2031" s="14" t="s">
        <v>601</v>
      </c>
      <c r="B2031" s="14" t="s">
        <v>55</v>
      </c>
      <c r="C2031" s="15" t="s">
        <v>2379</v>
      </c>
      <c r="D2031" s="14" t="s">
        <v>1749</v>
      </c>
      <c r="E2031" s="14" t="s">
        <v>1746</v>
      </c>
      <c r="F2031" s="25">
        <v>168</v>
      </c>
      <c r="G2031" s="25">
        <v>134.4</v>
      </c>
    </row>
    <row r="2032" spans="1:7" x14ac:dyDescent="0.25">
      <c r="A2032" s="14" t="s">
        <v>601</v>
      </c>
      <c r="B2032" s="14" t="s">
        <v>118</v>
      </c>
      <c r="C2032" s="15" t="s">
        <v>2380</v>
      </c>
      <c r="D2032" s="14" t="s">
        <v>1745</v>
      </c>
      <c r="E2032" s="14" t="s">
        <v>1747</v>
      </c>
      <c r="F2032" s="25">
        <v>788.4</v>
      </c>
      <c r="G2032" s="25">
        <v>630.72</v>
      </c>
    </row>
    <row r="2033" spans="1:7" x14ac:dyDescent="0.25">
      <c r="A2033" s="14" t="s">
        <v>601</v>
      </c>
      <c r="B2033" s="14" t="s">
        <v>55</v>
      </c>
      <c r="C2033" s="15" t="s">
        <v>2379</v>
      </c>
      <c r="D2033" s="14" t="s">
        <v>1745</v>
      </c>
      <c r="E2033" s="14" t="s">
        <v>1746</v>
      </c>
      <c r="F2033" s="25">
        <v>1764</v>
      </c>
      <c r="G2033" s="25">
        <v>1411.2</v>
      </c>
    </row>
    <row r="2034" spans="1:7" x14ac:dyDescent="0.25">
      <c r="A2034" s="14" t="s">
        <v>601</v>
      </c>
      <c r="B2034" s="14" t="s">
        <v>118</v>
      </c>
      <c r="C2034" s="15" t="s">
        <v>2380</v>
      </c>
      <c r="D2034" s="14" t="s">
        <v>1745</v>
      </c>
      <c r="E2034" s="14" t="s">
        <v>1746</v>
      </c>
      <c r="F2034" s="25">
        <v>827.88</v>
      </c>
      <c r="G2034" s="25">
        <v>662.28</v>
      </c>
    </row>
    <row r="2035" spans="1:7" x14ac:dyDescent="0.25">
      <c r="A2035" s="14" t="s">
        <v>601</v>
      </c>
      <c r="B2035" s="14" t="s">
        <v>50</v>
      </c>
      <c r="C2035" s="15" t="s">
        <v>2381</v>
      </c>
      <c r="D2035" s="14" t="s">
        <v>1745</v>
      </c>
      <c r="E2035" s="14" t="s">
        <v>1746</v>
      </c>
      <c r="F2035" s="25">
        <v>1449</v>
      </c>
      <c r="G2035" s="25">
        <v>1159.2</v>
      </c>
    </row>
    <row r="2036" spans="1:7" x14ac:dyDescent="0.25">
      <c r="A2036" s="14" t="s">
        <v>601</v>
      </c>
      <c r="B2036" s="14" t="s">
        <v>55</v>
      </c>
      <c r="C2036" s="15" t="s">
        <v>2379</v>
      </c>
      <c r="D2036" s="14" t="s">
        <v>1745</v>
      </c>
      <c r="E2036" s="14" t="s">
        <v>1747</v>
      </c>
      <c r="F2036" s="25">
        <v>1680</v>
      </c>
      <c r="G2036" s="25">
        <v>1344</v>
      </c>
    </row>
    <row r="2037" spans="1:7" x14ac:dyDescent="0.25">
      <c r="A2037" s="14" t="s">
        <v>601</v>
      </c>
      <c r="B2037" s="14" t="s">
        <v>32</v>
      </c>
      <c r="C2037" s="15" t="s">
        <v>2382</v>
      </c>
      <c r="D2037" s="14" t="s">
        <v>1749</v>
      </c>
      <c r="E2037" s="14" t="s">
        <v>1746</v>
      </c>
      <c r="F2037" s="25">
        <v>240</v>
      </c>
      <c r="G2037" s="25">
        <v>216</v>
      </c>
    </row>
    <row r="2038" spans="1:7" x14ac:dyDescent="0.25">
      <c r="A2038" s="14" t="s">
        <v>601</v>
      </c>
      <c r="B2038" s="14">
        <v>1</v>
      </c>
      <c r="C2038" s="15" t="s">
        <v>599</v>
      </c>
      <c r="D2038" s="14" t="s">
        <v>1745</v>
      </c>
      <c r="E2038" s="14" t="s">
        <v>1746</v>
      </c>
      <c r="F2038" s="25">
        <v>6300</v>
      </c>
      <c r="G2038" s="25">
        <v>5040</v>
      </c>
    </row>
    <row r="2039" spans="1:7" x14ac:dyDescent="0.25">
      <c r="A2039" s="14" t="s">
        <v>601</v>
      </c>
      <c r="B2039" s="14" t="s">
        <v>50</v>
      </c>
      <c r="C2039" s="15" t="s">
        <v>2381</v>
      </c>
      <c r="D2039" s="14" t="s">
        <v>1745</v>
      </c>
      <c r="E2039" s="14" t="s">
        <v>1747</v>
      </c>
      <c r="F2039" s="25">
        <v>1380</v>
      </c>
      <c r="G2039" s="25">
        <v>1104</v>
      </c>
    </row>
    <row r="2040" spans="1:7" x14ac:dyDescent="0.25">
      <c r="A2040" s="14" t="s">
        <v>601</v>
      </c>
      <c r="B2040" s="14" t="s">
        <v>32</v>
      </c>
      <c r="C2040" s="15" t="s">
        <v>2382</v>
      </c>
      <c r="D2040" s="14" t="s">
        <v>1745</v>
      </c>
      <c r="E2040" s="14" t="s">
        <v>1747</v>
      </c>
      <c r="F2040" s="25">
        <v>2400</v>
      </c>
      <c r="G2040" s="25">
        <v>2160</v>
      </c>
    </row>
    <row r="2041" spans="1:7" x14ac:dyDescent="0.25">
      <c r="A2041" s="14" t="s">
        <v>601</v>
      </c>
      <c r="B2041" s="14" t="s">
        <v>118</v>
      </c>
      <c r="C2041" s="15" t="s">
        <v>2380</v>
      </c>
      <c r="D2041" s="14" t="s">
        <v>1749</v>
      </c>
      <c r="E2041" s="14" t="s">
        <v>1746</v>
      </c>
      <c r="F2041" s="25">
        <v>78.84</v>
      </c>
      <c r="G2041" s="25">
        <v>63.07</v>
      </c>
    </row>
    <row r="2042" spans="1:7" x14ac:dyDescent="0.25">
      <c r="A2042" s="14" t="s">
        <v>601</v>
      </c>
      <c r="B2042" s="14" t="s">
        <v>50</v>
      </c>
      <c r="C2042" s="15" t="s">
        <v>2381</v>
      </c>
      <c r="D2042" s="14" t="s">
        <v>1749</v>
      </c>
      <c r="E2042" s="14" t="s">
        <v>1746</v>
      </c>
      <c r="F2042" s="25">
        <v>138</v>
      </c>
      <c r="G2042" s="25">
        <v>110.4</v>
      </c>
    </row>
    <row r="2043" spans="1:7" x14ac:dyDescent="0.25">
      <c r="A2043" s="14" t="s">
        <v>601</v>
      </c>
      <c r="B2043" s="14" t="s">
        <v>32</v>
      </c>
      <c r="C2043" s="15" t="s">
        <v>2382</v>
      </c>
      <c r="D2043" s="14" t="s">
        <v>1745</v>
      </c>
      <c r="E2043" s="14" t="s">
        <v>1746</v>
      </c>
      <c r="F2043" s="25">
        <v>2520</v>
      </c>
      <c r="G2043" s="25">
        <v>2268</v>
      </c>
    </row>
    <row r="2044" spans="1:7" x14ac:dyDescent="0.25">
      <c r="A2044" s="14" t="s">
        <v>601</v>
      </c>
      <c r="B2044" s="14">
        <v>1</v>
      </c>
      <c r="C2044" s="15" t="s">
        <v>599</v>
      </c>
      <c r="D2044" s="14" t="s">
        <v>1749</v>
      </c>
      <c r="E2044" s="14" t="s">
        <v>1746</v>
      </c>
      <c r="F2044" s="25">
        <v>600</v>
      </c>
      <c r="G2044" s="25">
        <v>480</v>
      </c>
    </row>
    <row r="2045" spans="1:7" x14ac:dyDescent="0.25">
      <c r="A2045" s="14" t="s">
        <v>601</v>
      </c>
      <c r="B2045" s="14">
        <v>1</v>
      </c>
      <c r="C2045" s="15" t="s">
        <v>599</v>
      </c>
      <c r="D2045" s="14" t="s">
        <v>1745</v>
      </c>
      <c r="E2045" s="14" t="s">
        <v>1747</v>
      </c>
      <c r="F2045" s="25">
        <v>6000</v>
      </c>
      <c r="G2045" s="25">
        <v>4800</v>
      </c>
    </row>
    <row r="2046" spans="1:7" x14ac:dyDescent="0.25">
      <c r="A2046" s="14" t="s">
        <v>622</v>
      </c>
      <c r="B2046" s="14" t="s">
        <v>32</v>
      </c>
      <c r="C2046" s="15" t="s">
        <v>2383</v>
      </c>
      <c r="D2046" s="14" t="s">
        <v>1745</v>
      </c>
      <c r="E2046" s="14" t="s">
        <v>1747</v>
      </c>
      <c r="F2046" s="25">
        <v>2820</v>
      </c>
      <c r="G2046" s="25">
        <v>2538</v>
      </c>
    </row>
    <row r="2047" spans="1:7" x14ac:dyDescent="0.25">
      <c r="A2047" s="14" t="s">
        <v>622</v>
      </c>
      <c r="B2047" s="14" t="s">
        <v>39</v>
      </c>
      <c r="C2047" s="15" t="s">
        <v>2384</v>
      </c>
      <c r="D2047" s="14" t="s">
        <v>1745</v>
      </c>
      <c r="E2047" s="14" t="s">
        <v>1746</v>
      </c>
      <c r="F2047" s="25">
        <v>1701</v>
      </c>
      <c r="G2047" s="25">
        <v>1360.8</v>
      </c>
    </row>
    <row r="2048" spans="1:7" x14ac:dyDescent="0.25">
      <c r="A2048" s="14" t="s">
        <v>622</v>
      </c>
      <c r="B2048" s="14">
        <v>1</v>
      </c>
      <c r="C2048" s="15" t="s">
        <v>620</v>
      </c>
      <c r="D2048" s="14" t="s">
        <v>1745</v>
      </c>
      <c r="E2048" s="14" t="s">
        <v>1747</v>
      </c>
      <c r="F2048" s="25">
        <v>6960</v>
      </c>
      <c r="G2048" s="25">
        <v>5568</v>
      </c>
    </row>
    <row r="2049" spans="1:7" x14ac:dyDescent="0.25">
      <c r="A2049" s="14" t="s">
        <v>622</v>
      </c>
      <c r="B2049" s="14" t="s">
        <v>118</v>
      </c>
      <c r="C2049" s="15" t="s">
        <v>2385</v>
      </c>
      <c r="D2049" s="14" t="s">
        <v>1745</v>
      </c>
      <c r="E2049" s="14" t="s">
        <v>1746</v>
      </c>
      <c r="F2049" s="25">
        <v>975.24</v>
      </c>
      <c r="G2049" s="25">
        <v>780.24</v>
      </c>
    </row>
    <row r="2050" spans="1:7" x14ac:dyDescent="0.25">
      <c r="A2050" s="14" t="s">
        <v>622</v>
      </c>
      <c r="B2050" s="14" t="s">
        <v>55</v>
      </c>
      <c r="C2050" s="15" t="s">
        <v>624</v>
      </c>
      <c r="D2050" s="14" t="s">
        <v>1749</v>
      </c>
      <c r="E2050" s="14" t="s">
        <v>1746</v>
      </c>
      <c r="F2050" s="25">
        <v>198</v>
      </c>
      <c r="G2050" s="25">
        <v>158.4</v>
      </c>
    </row>
    <row r="2051" spans="1:7" x14ac:dyDescent="0.25">
      <c r="A2051" s="14" t="s">
        <v>622</v>
      </c>
      <c r="B2051" s="14" t="s">
        <v>55</v>
      </c>
      <c r="C2051" s="15" t="s">
        <v>624</v>
      </c>
      <c r="D2051" s="14" t="s">
        <v>1745</v>
      </c>
      <c r="E2051" s="14" t="s">
        <v>1746</v>
      </c>
      <c r="F2051" s="25">
        <v>2079</v>
      </c>
      <c r="G2051" s="25">
        <v>1663.2</v>
      </c>
    </row>
    <row r="2052" spans="1:7" x14ac:dyDescent="0.25">
      <c r="A2052" s="14" t="s">
        <v>622</v>
      </c>
      <c r="B2052" s="14" t="s">
        <v>32</v>
      </c>
      <c r="C2052" s="15" t="s">
        <v>2383</v>
      </c>
      <c r="D2052" s="14" t="s">
        <v>1749</v>
      </c>
      <c r="E2052" s="14" t="s">
        <v>1746</v>
      </c>
      <c r="F2052" s="25">
        <v>282</v>
      </c>
      <c r="G2052" s="25">
        <v>253.8</v>
      </c>
    </row>
    <row r="2053" spans="1:7" x14ac:dyDescent="0.25">
      <c r="A2053" s="14" t="s">
        <v>622</v>
      </c>
      <c r="B2053" s="14">
        <v>1</v>
      </c>
      <c r="C2053" s="15" t="s">
        <v>620</v>
      </c>
      <c r="D2053" s="14" t="s">
        <v>1749</v>
      </c>
      <c r="E2053" s="14" t="s">
        <v>1746</v>
      </c>
      <c r="F2053" s="25">
        <v>696</v>
      </c>
      <c r="G2053" s="25">
        <v>556.79999999999995</v>
      </c>
    </row>
    <row r="2054" spans="1:7" x14ac:dyDescent="0.25">
      <c r="A2054" s="14" t="s">
        <v>622</v>
      </c>
      <c r="B2054" s="14" t="s">
        <v>118</v>
      </c>
      <c r="C2054" s="15" t="s">
        <v>2385</v>
      </c>
      <c r="D2054" s="14" t="s">
        <v>1745</v>
      </c>
      <c r="E2054" s="14" t="s">
        <v>1747</v>
      </c>
      <c r="F2054" s="25">
        <v>928.8</v>
      </c>
      <c r="G2054" s="25">
        <v>743.04</v>
      </c>
    </row>
    <row r="2055" spans="1:7" x14ac:dyDescent="0.25">
      <c r="A2055" s="14" t="s">
        <v>622</v>
      </c>
      <c r="B2055" s="14" t="s">
        <v>32</v>
      </c>
      <c r="C2055" s="15" t="s">
        <v>2383</v>
      </c>
      <c r="D2055" s="14" t="s">
        <v>1745</v>
      </c>
      <c r="E2055" s="14" t="s">
        <v>1746</v>
      </c>
      <c r="F2055" s="25">
        <v>2961</v>
      </c>
      <c r="G2055" s="25">
        <v>2664.96</v>
      </c>
    </row>
    <row r="2056" spans="1:7" x14ac:dyDescent="0.25">
      <c r="A2056" s="14" t="s">
        <v>622</v>
      </c>
      <c r="B2056" s="14">
        <v>1</v>
      </c>
      <c r="C2056" s="15" t="s">
        <v>620</v>
      </c>
      <c r="D2056" s="14" t="s">
        <v>1745</v>
      </c>
      <c r="E2056" s="14" t="s">
        <v>1746</v>
      </c>
      <c r="F2056" s="25">
        <v>7308</v>
      </c>
      <c r="G2056" s="25">
        <v>5846.4</v>
      </c>
    </row>
    <row r="2057" spans="1:7" x14ac:dyDescent="0.25">
      <c r="A2057" s="14" t="s">
        <v>622</v>
      </c>
      <c r="B2057" s="14" t="s">
        <v>55</v>
      </c>
      <c r="C2057" s="15" t="s">
        <v>624</v>
      </c>
      <c r="D2057" s="14" t="s">
        <v>1745</v>
      </c>
      <c r="E2057" s="14" t="s">
        <v>1747</v>
      </c>
      <c r="F2057" s="25">
        <v>1980</v>
      </c>
      <c r="G2057" s="25">
        <v>1584</v>
      </c>
    </row>
    <row r="2058" spans="1:7" x14ac:dyDescent="0.25">
      <c r="A2058" s="14" t="s">
        <v>622</v>
      </c>
      <c r="B2058" s="14" t="s">
        <v>39</v>
      </c>
      <c r="C2058" s="15" t="s">
        <v>2384</v>
      </c>
      <c r="D2058" s="14" t="s">
        <v>1745</v>
      </c>
      <c r="E2058" s="14" t="s">
        <v>1747</v>
      </c>
      <c r="F2058" s="25">
        <v>1620</v>
      </c>
      <c r="G2058" s="25">
        <v>1296</v>
      </c>
    </row>
    <row r="2059" spans="1:7" x14ac:dyDescent="0.25">
      <c r="A2059" s="14" t="s">
        <v>622</v>
      </c>
      <c r="B2059" s="14" t="s">
        <v>118</v>
      </c>
      <c r="C2059" s="15" t="s">
        <v>2385</v>
      </c>
      <c r="D2059" s="14" t="s">
        <v>1749</v>
      </c>
      <c r="E2059" s="14" t="s">
        <v>1746</v>
      </c>
      <c r="F2059" s="25">
        <v>92.88</v>
      </c>
      <c r="G2059" s="25">
        <v>74.3</v>
      </c>
    </row>
    <row r="2060" spans="1:7" x14ac:dyDescent="0.25">
      <c r="A2060" s="14" t="s">
        <v>622</v>
      </c>
      <c r="B2060" s="14" t="s">
        <v>39</v>
      </c>
      <c r="C2060" s="15" t="s">
        <v>2384</v>
      </c>
      <c r="D2060" s="14" t="s">
        <v>1749</v>
      </c>
      <c r="E2060" s="14" t="s">
        <v>1746</v>
      </c>
      <c r="F2060" s="25">
        <v>162</v>
      </c>
      <c r="G2060" s="25">
        <v>129.6</v>
      </c>
    </row>
    <row r="2061" spans="1:7" x14ac:dyDescent="0.25">
      <c r="A2061" s="14" t="s">
        <v>633</v>
      </c>
      <c r="B2061" s="14" t="s">
        <v>55</v>
      </c>
      <c r="C2061" s="15" t="s">
        <v>2386</v>
      </c>
      <c r="D2061" s="14" t="s">
        <v>1745</v>
      </c>
      <c r="E2061" s="14" t="s">
        <v>1747</v>
      </c>
      <c r="F2061" s="25">
        <v>1380</v>
      </c>
      <c r="G2061" s="25">
        <v>1104</v>
      </c>
    </row>
    <row r="2062" spans="1:7" x14ac:dyDescent="0.25">
      <c r="A2062" s="14" t="s">
        <v>633</v>
      </c>
      <c r="B2062" s="14">
        <v>1</v>
      </c>
      <c r="C2062" s="15" t="s">
        <v>631</v>
      </c>
      <c r="D2062" s="14" t="s">
        <v>1749</v>
      </c>
      <c r="E2062" s="14" t="s">
        <v>1746</v>
      </c>
      <c r="F2062" s="25">
        <v>600</v>
      </c>
      <c r="G2062" s="25">
        <v>480</v>
      </c>
    </row>
    <row r="2063" spans="1:7" x14ac:dyDescent="0.25">
      <c r="A2063" s="14" t="s">
        <v>633</v>
      </c>
      <c r="B2063" s="14" t="s">
        <v>55</v>
      </c>
      <c r="C2063" s="15" t="s">
        <v>2386</v>
      </c>
      <c r="D2063" s="14" t="s">
        <v>1745</v>
      </c>
      <c r="E2063" s="14" t="s">
        <v>1746</v>
      </c>
      <c r="F2063" s="25">
        <v>1449</v>
      </c>
      <c r="G2063" s="25">
        <v>1159.2</v>
      </c>
    </row>
    <row r="2064" spans="1:7" x14ac:dyDescent="0.25">
      <c r="A2064" s="14" t="s">
        <v>633</v>
      </c>
      <c r="B2064" s="14" t="s">
        <v>118</v>
      </c>
      <c r="C2064" s="15" t="s">
        <v>2387</v>
      </c>
      <c r="D2064" s="14" t="s">
        <v>1745</v>
      </c>
      <c r="E2064" s="14" t="s">
        <v>1747</v>
      </c>
      <c r="F2064" s="25">
        <v>788.4</v>
      </c>
      <c r="G2064" s="25">
        <v>630.72</v>
      </c>
    </row>
    <row r="2065" spans="1:7" x14ac:dyDescent="0.25">
      <c r="A2065" s="14" t="s">
        <v>633</v>
      </c>
      <c r="B2065" s="14" t="s">
        <v>50</v>
      </c>
      <c r="C2065" s="15" t="s">
        <v>2388</v>
      </c>
      <c r="D2065" s="14" t="s">
        <v>1745</v>
      </c>
      <c r="E2065" s="14" t="s">
        <v>1746</v>
      </c>
      <c r="F2065" s="25">
        <v>1764</v>
      </c>
      <c r="G2065" s="25">
        <v>1411.2</v>
      </c>
    </row>
    <row r="2066" spans="1:7" x14ac:dyDescent="0.25">
      <c r="A2066" s="14" t="s">
        <v>633</v>
      </c>
      <c r="B2066" s="14" t="s">
        <v>50</v>
      </c>
      <c r="C2066" s="15" t="s">
        <v>2388</v>
      </c>
      <c r="D2066" s="14" t="s">
        <v>1745</v>
      </c>
      <c r="E2066" s="14" t="s">
        <v>1747</v>
      </c>
      <c r="F2066" s="25">
        <v>1680</v>
      </c>
      <c r="G2066" s="25">
        <v>1344</v>
      </c>
    </row>
    <row r="2067" spans="1:7" x14ac:dyDescent="0.25">
      <c r="A2067" s="14" t="s">
        <v>633</v>
      </c>
      <c r="B2067" s="14">
        <v>1</v>
      </c>
      <c r="C2067" s="15" t="s">
        <v>631</v>
      </c>
      <c r="D2067" s="14" t="s">
        <v>1745</v>
      </c>
      <c r="E2067" s="14" t="s">
        <v>1747</v>
      </c>
      <c r="F2067" s="25">
        <v>6000</v>
      </c>
      <c r="G2067" s="25">
        <v>4800</v>
      </c>
    </row>
    <row r="2068" spans="1:7" x14ac:dyDescent="0.25">
      <c r="A2068" s="14" t="s">
        <v>633</v>
      </c>
      <c r="B2068" s="14" t="s">
        <v>118</v>
      </c>
      <c r="C2068" s="15" t="s">
        <v>2387</v>
      </c>
      <c r="D2068" s="14" t="s">
        <v>1749</v>
      </c>
      <c r="E2068" s="14" t="s">
        <v>1746</v>
      </c>
      <c r="F2068" s="25">
        <v>78.84</v>
      </c>
      <c r="G2068" s="25">
        <v>63.07</v>
      </c>
    </row>
    <row r="2069" spans="1:7" x14ac:dyDescent="0.25">
      <c r="A2069" s="14" t="s">
        <v>633</v>
      </c>
      <c r="B2069" s="14" t="s">
        <v>32</v>
      </c>
      <c r="C2069" s="15" t="s">
        <v>2389</v>
      </c>
      <c r="D2069" s="14" t="s">
        <v>1745</v>
      </c>
      <c r="E2069" s="14" t="s">
        <v>1746</v>
      </c>
      <c r="F2069" s="25">
        <v>2520</v>
      </c>
      <c r="G2069" s="25">
        <v>2268</v>
      </c>
    </row>
    <row r="2070" spans="1:7" x14ac:dyDescent="0.25">
      <c r="A2070" s="14" t="s">
        <v>633</v>
      </c>
      <c r="B2070" s="14" t="s">
        <v>55</v>
      </c>
      <c r="C2070" s="15" t="s">
        <v>2386</v>
      </c>
      <c r="D2070" s="14" t="s">
        <v>1749</v>
      </c>
      <c r="E2070" s="14" t="s">
        <v>1746</v>
      </c>
      <c r="F2070" s="25">
        <v>138</v>
      </c>
      <c r="G2070" s="25">
        <v>110.4</v>
      </c>
    </row>
    <row r="2071" spans="1:7" x14ac:dyDescent="0.25">
      <c r="A2071" s="14" t="s">
        <v>633</v>
      </c>
      <c r="B2071" s="14" t="s">
        <v>50</v>
      </c>
      <c r="C2071" s="15" t="s">
        <v>2388</v>
      </c>
      <c r="D2071" s="14" t="s">
        <v>1749</v>
      </c>
      <c r="E2071" s="14" t="s">
        <v>1746</v>
      </c>
      <c r="F2071" s="25">
        <v>168</v>
      </c>
      <c r="G2071" s="25">
        <v>134.4</v>
      </c>
    </row>
    <row r="2072" spans="1:7" x14ac:dyDescent="0.25">
      <c r="A2072" s="14" t="s">
        <v>633</v>
      </c>
      <c r="B2072" s="14" t="s">
        <v>32</v>
      </c>
      <c r="C2072" s="15" t="s">
        <v>2389</v>
      </c>
      <c r="D2072" s="14" t="s">
        <v>1749</v>
      </c>
      <c r="E2072" s="14" t="s">
        <v>1746</v>
      </c>
      <c r="F2072" s="25">
        <v>240</v>
      </c>
      <c r="G2072" s="25">
        <v>216</v>
      </c>
    </row>
    <row r="2073" spans="1:7" x14ac:dyDescent="0.25">
      <c r="A2073" s="14" t="s">
        <v>633</v>
      </c>
      <c r="B2073" s="14">
        <v>1</v>
      </c>
      <c r="C2073" s="15" t="s">
        <v>631</v>
      </c>
      <c r="D2073" s="14" t="s">
        <v>1745</v>
      </c>
      <c r="E2073" s="14" t="s">
        <v>1746</v>
      </c>
      <c r="F2073" s="25">
        <v>6300</v>
      </c>
      <c r="G2073" s="25">
        <v>5040</v>
      </c>
    </row>
    <row r="2074" spans="1:7" x14ac:dyDescent="0.25">
      <c r="A2074" s="14" t="s">
        <v>633</v>
      </c>
      <c r="B2074" s="14" t="s">
        <v>32</v>
      </c>
      <c r="C2074" s="15" t="s">
        <v>2389</v>
      </c>
      <c r="D2074" s="14" t="s">
        <v>1745</v>
      </c>
      <c r="E2074" s="14" t="s">
        <v>1747</v>
      </c>
      <c r="F2074" s="25">
        <v>2400</v>
      </c>
      <c r="G2074" s="25">
        <v>2160</v>
      </c>
    </row>
    <row r="2075" spans="1:7" x14ac:dyDescent="0.25">
      <c r="A2075" s="14" t="s">
        <v>633</v>
      </c>
      <c r="B2075" s="14" t="s">
        <v>118</v>
      </c>
      <c r="C2075" s="15" t="s">
        <v>2387</v>
      </c>
      <c r="D2075" s="14" t="s">
        <v>1745</v>
      </c>
      <c r="E2075" s="14" t="s">
        <v>1746</v>
      </c>
      <c r="F2075" s="25">
        <v>827.88</v>
      </c>
      <c r="G2075" s="25">
        <v>662.28</v>
      </c>
    </row>
    <row r="2076" spans="1:7" x14ac:dyDescent="0.25">
      <c r="A2076" s="14" t="s">
        <v>646</v>
      </c>
      <c r="B2076" s="14">
        <v>17</v>
      </c>
      <c r="C2076" s="15" t="s">
        <v>657</v>
      </c>
      <c r="D2076" s="14" t="s">
        <v>1752</v>
      </c>
      <c r="E2076" s="14" t="s">
        <v>1753</v>
      </c>
      <c r="F2076" s="25">
        <v>270900</v>
      </c>
      <c r="G2076" s="25">
        <v>216720</v>
      </c>
    </row>
    <row r="2077" spans="1:7" x14ac:dyDescent="0.25">
      <c r="A2077" s="14" t="s">
        <v>646</v>
      </c>
      <c r="B2077" s="14" t="s">
        <v>36</v>
      </c>
      <c r="C2077" s="15" t="s">
        <v>2390</v>
      </c>
      <c r="D2077" s="14" t="s">
        <v>1745</v>
      </c>
      <c r="E2077" s="14" t="s">
        <v>1746</v>
      </c>
      <c r="F2077" s="25">
        <v>94815</v>
      </c>
      <c r="G2077" s="25">
        <v>75852</v>
      </c>
    </row>
    <row r="2078" spans="1:7" x14ac:dyDescent="0.25">
      <c r="A2078" s="14" t="s">
        <v>646</v>
      </c>
      <c r="B2078" s="14" t="s">
        <v>102</v>
      </c>
      <c r="C2078" s="15" t="s">
        <v>2391</v>
      </c>
      <c r="D2078" s="14" t="s">
        <v>1749</v>
      </c>
      <c r="E2078" s="14" t="s">
        <v>1746</v>
      </c>
      <c r="F2078" s="25">
        <v>9882</v>
      </c>
      <c r="G2078" s="25">
        <v>7905.6</v>
      </c>
    </row>
    <row r="2079" spans="1:7" x14ac:dyDescent="0.25">
      <c r="A2079" s="14" t="s">
        <v>646</v>
      </c>
      <c r="B2079" s="14">
        <v>17</v>
      </c>
      <c r="C2079" s="15" t="s">
        <v>657</v>
      </c>
      <c r="D2079" s="14" t="s">
        <v>1752</v>
      </c>
      <c r="E2079" s="14" t="s">
        <v>1747</v>
      </c>
      <c r="F2079" s="25">
        <v>270900</v>
      </c>
      <c r="G2079" s="25">
        <v>216720</v>
      </c>
    </row>
    <row r="2080" spans="1:7" x14ac:dyDescent="0.25">
      <c r="A2080" s="14" t="s">
        <v>646</v>
      </c>
      <c r="B2080" s="14" t="s">
        <v>325</v>
      </c>
      <c r="C2080" s="15" t="s">
        <v>669</v>
      </c>
      <c r="D2080" s="14" t="s">
        <v>1752</v>
      </c>
      <c r="E2080" s="14" t="s">
        <v>1753</v>
      </c>
      <c r="F2080" s="25">
        <v>296460</v>
      </c>
      <c r="G2080" s="25">
        <v>237168</v>
      </c>
    </row>
    <row r="2081" spans="1:7" x14ac:dyDescent="0.25">
      <c r="A2081" s="14" t="s">
        <v>646</v>
      </c>
      <c r="B2081" s="14" t="s">
        <v>325</v>
      </c>
      <c r="C2081" s="15" t="s">
        <v>669</v>
      </c>
      <c r="D2081" s="14" t="s">
        <v>1752</v>
      </c>
      <c r="E2081" s="14" t="s">
        <v>1747</v>
      </c>
      <c r="F2081" s="25">
        <v>296460</v>
      </c>
      <c r="G2081" s="25">
        <v>237168</v>
      </c>
    </row>
    <row r="2082" spans="1:7" x14ac:dyDescent="0.25">
      <c r="A2082" s="14" t="s">
        <v>646</v>
      </c>
      <c r="B2082" s="14" t="s">
        <v>102</v>
      </c>
      <c r="C2082" s="15" t="s">
        <v>2391</v>
      </c>
      <c r="D2082" s="14" t="s">
        <v>1745</v>
      </c>
      <c r="E2082" s="14" t="s">
        <v>1747</v>
      </c>
      <c r="F2082" s="25">
        <v>98820</v>
      </c>
      <c r="G2082" s="25">
        <v>79056</v>
      </c>
    </row>
    <row r="2083" spans="1:7" x14ac:dyDescent="0.25">
      <c r="A2083" s="14" t="s">
        <v>646</v>
      </c>
      <c r="B2083" s="14" t="s">
        <v>102</v>
      </c>
      <c r="C2083" s="15" t="s">
        <v>2391</v>
      </c>
      <c r="D2083" s="14" t="s">
        <v>1745</v>
      </c>
      <c r="E2083" s="14" t="s">
        <v>1746</v>
      </c>
      <c r="F2083" s="25">
        <v>103761</v>
      </c>
      <c r="G2083" s="25">
        <v>83008.800000000003</v>
      </c>
    </row>
    <row r="2084" spans="1:7" x14ac:dyDescent="0.25">
      <c r="A2084" s="14" t="s">
        <v>646</v>
      </c>
      <c r="B2084" s="14" t="s">
        <v>36</v>
      </c>
      <c r="C2084" s="15" t="s">
        <v>2390</v>
      </c>
      <c r="D2084" s="14" t="s">
        <v>1745</v>
      </c>
      <c r="E2084" s="14" t="s">
        <v>1747</v>
      </c>
      <c r="F2084" s="25">
        <v>90300</v>
      </c>
      <c r="G2084" s="25">
        <v>72240</v>
      </c>
    </row>
    <row r="2085" spans="1:7" x14ac:dyDescent="0.25">
      <c r="A2085" s="14" t="s">
        <v>646</v>
      </c>
      <c r="B2085" s="14" t="s">
        <v>36</v>
      </c>
      <c r="C2085" s="15" t="s">
        <v>2390</v>
      </c>
      <c r="D2085" s="14" t="s">
        <v>1749</v>
      </c>
      <c r="E2085" s="14" t="s">
        <v>1746</v>
      </c>
      <c r="F2085" s="25">
        <v>9030</v>
      </c>
      <c r="G2085" s="25">
        <v>7224</v>
      </c>
    </row>
    <row r="2086" spans="1:7" x14ac:dyDescent="0.25">
      <c r="A2086" s="14" t="s">
        <v>2392</v>
      </c>
      <c r="B2086" s="14">
        <v>6</v>
      </c>
      <c r="C2086" s="15" t="s">
        <v>2393</v>
      </c>
      <c r="D2086" s="14" t="s">
        <v>1749</v>
      </c>
      <c r="E2086" s="14" t="s">
        <v>1746</v>
      </c>
      <c r="F2086" s="25">
        <v>29952</v>
      </c>
      <c r="G2086" s="25">
        <v>23961.599999999999</v>
      </c>
    </row>
    <row r="2087" spans="1:7" x14ac:dyDescent="0.25">
      <c r="A2087" s="14" t="s">
        <v>2392</v>
      </c>
      <c r="B2087" s="14">
        <v>6</v>
      </c>
      <c r="C2087" s="15" t="s">
        <v>2393</v>
      </c>
      <c r="D2087" s="14" t="s">
        <v>1745</v>
      </c>
      <c r="E2087" s="14" t="s">
        <v>1746</v>
      </c>
      <c r="F2087" s="25">
        <v>314496</v>
      </c>
      <c r="G2087" s="25">
        <v>251596.79999999999</v>
      </c>
    </row>
    <row r="2088" spans="1:7" x14ac:dyDescent="0.25">
      <c r="A2088" s="14" t="s">
        <v>2392</v>
      </c>
      <c r="B2088" s="14">
        <v>6</v>
      </c>
      <c r="C2088" s="15" t="s">
        <v>2393</v>
      </c>
      <c r="D2088" s="14" t="s">
        <v>1745</v>
      </c>
      <c r="E2088" s="14" t="s">
        <v>1747</v>
      </c>
      <c r="F2088" s="25">
        <v>299520</v>
      </c>
      <c r="G2088" s="25">
        <v>239616</v>
      </c>
    </row>
    <row r="2089" spans="1:7" x14ac:dyDescent="0.25">
      <c r="A2089" s="14" t="s">
        <v>676</v>
      </c>
      <c r="B2089" s="14" t="s">
        <v>39</v>
      </c>
      <c r="C2089" s="15" t="s">
        <v>2394</v>
      </c>
      <c r="D2089" s="14" t="s">
        <v>1745</v>
      </c>
      <c r="E2089" s="14" t="s">
        <v>1746</v>
      </c>
      <c r="F2089" s="25">
        <v>0</v>
      </c>
      <c r="G2089" s="25">
        <v>0</v>
      </c>
    </row>
    <row r="2090" spans="1:7" x14ac:dyDescent="0.25">
      <c r="A2090" s="14" t="s">
        <v>676</v>
      </c>
      <c r="B2090" s="14" t="s">
        <v>28</v>
      </c>
      <c r="C2090" s="15" t="s">
        <v>2395</v>
      </c>
      <c r="D2090" s="14" t="s">
        <v>1749</v>
      </c>
      <c r="E2090" s="14" t="s">
        <v>1746</v>
      </c>
      <c r="F2090" s="25">
        <v>0</v>
      </c>
      <c r="G2090" s="25">
        <v>0</v>
      </c>
    </row>
    <row r="2091" spans="1:7" x14ac:dyDescent="0.25">
      <c r="A2091" s="14" t="s">
        <v>676</v>
      </c>
      <c r="B2091" s="14" t="s">
        <v>39</v>
      </c>
      <c r="C2091" s="15" t="s">
        <v>2394</v>
      </c>
      <c r="D2091" s="14" t="s">
        <v>1745</v>
      </c>
      <c r="E2091" s="14" t="s">
        <v>1747</v>
      </c>
      <c r="F2091" s="25">
        <v>0</v>
      </c>
      <c r="G2091" s="25">
        <v>0</v>
      </c>
    </row>
    <row r="2092" spans="1:7" x14ac:dyDescent="0.25">
      <c r="A2092" s="14" t="s">
        <v>676</v>
      </c>
      <c r="B2092" s="14" t="s">
        <v>28</v>
      </c>
      <c r="C2092" s="15" t="s">
        <v>2395</v>
      </c>
      <c r="D2092" s="14" t="s">
        <v>1745</v>
      </c>
      <c r="E2092" s="14" t="s">
        <v>1747</v>
      </c>
      <c r="F2092" s="25">
        <v>0</v>
      </c>
      <c r="G2092" s="25">
        <v>0</v>
      </c>
    </row>
    <row r="2093" spans="1:7" x14ac:dyDescent="0.25">
      <c r="A2093" s="14" t="s">
        <v>676</v>
      </c>
      <c r="B2093" s="14" t="s">
        <v>28</v>
      </c>
      <c r="C2093" s="15" t="s">
        <v>2395</v>
      </c>
      <c r="D2093" s="14" t="s">
        <v>1745</v>
      </c>
      <c r="E2093" s="14" t="s">
        <v>1746</v>
      </c>
      <c r="F2093" s="25">
        <v>0</v>
      </c>
      <c r="G2093" s="25">
        <v>0</v>
      </c>
    </row>
    <row r="2094" spans="1:7" x14ac:dyDescent="0.25">
      <c r="A2094" s="14" t="s">
        <v>676</v>
      </c>
      <c r="B2094" s="14" t="s">
        <v>39</v>
      </c>
      <c r="C2094" s="15" t="s">
        <v>2394</v>
      </c>
      <c r="D2094" s="14" t="s">
        <v>1749</v>
      </c>
      <c r="E2094" s="14" t="s">
        <v>1746</v>
      </c>
      <c r="F2094" s="25">
        <v>0</v>
      </c>
      <c r="G2094" s="25">
        <v>0</v>
      </c>
    </row>
    <row r="2095" spans="1:7" x14ac:dyDescent="0.25">
      <c r="A2095" s="14" t="s">
        <v>682</v>
      </c>
      <c r="B2095" s="14">
        <v>25</v>
      </c>
      <c r="C2095" s="15" t="s">
        <v>2396</v>
      </c>
      <c r="D2095" s="14" t="s">
        <v>1745</v>
      </c>
      <c r="E2095" s="14" t="s">
        <v>1746</v>
      </c>
      <c r="F2095" s="25">
        <v>3339</v>
      </c>
      <c r="G2095" s="25">
        <v>3005.16</v>
      </c>
    </row>
    <row r="2096" spans="1:7" x14ac:dyDescent="0.25">
      <c r="A2096" s="14" t="s">
        <v>682</v>
      </c>
      <c r="B2096" s="14">
        <v>5</v>
      </c>
      <c r="C2096" s="15" t="s">
        <v>2397</v>
      </c>
      <c r="D2096" s="14" t="s">
        <v>1749</v>
      </c>
      <c r="E2096" s="14" t="s">
        <v>1746</v>
      </c>
      <c r="F2096" s="25">
        <v>798</v>
      </c>
      <c r="G2096" s="25">
        <v>638.4</v>
      </c>
    </row>
    <row r="2097" spans="1:7" x14ac:dyDescent="0.25">
      <c r="A2097" s="14" t="s">
        <v>682</v>
      </c>
      <c r="B2097" s="14">
        <v>5</v>
      </c>
      <c r="C2097" s="15" t="s">
        <v>2397</v>
      </c>
      <c r="D2097" s="14" t="s">
        <v>1745</v>
      </c>
      <c r="E2097" s="14" t="s">
        <v>1746</v>
      </c>
      <c r="F2097" s="25">
        <v>8379</v>
      </c>
      <c r="G2097" s="25">
        <v>6703.2</v>
      </c>
    </row>
    <row r="2098" spans="1:7" x14ac:dyDescent="0.25">
      <c r="A2098" s="14" t="s">
        <v>682</v>
      </c>
      <c r="B2098" s="14">
        <v>3</v>
      </c>
      <c r="C2098" s="15" t="s">
        <v>680</v>
      </c>
      <c r="D2098" s="14" t="s">
        <v>1749</v>
      </c>
      <c r="E2098" s="14" t="s">
        <v>1766</v>
      </c>
      <c r="F2098" s="25">
        <v>0</v>
      </c>
      <c r="G2098" s="25">
        <v>0</v>
      </c>
    </row>
    <row r="2099" spans="1:7" x14ac:dyDescent="0.25">
      <c r="A2099" s="14" t="s">
        <v>682</v>
      </c>
      <c r="B2099" s="14">
        <v>5</v>
      </c>
      <c r="C2099" s="15" t="s">
        <v>2397</v>
      </c>
      <c r="D2099" s="14" t="s">
        <v>1745</v>
      </c>
      <c r="E2099" s="14" t="s">
        <v>1747</v>
      </c>
      <c r="F2099" s="25">
        <v>7980</v>
      </c>
      <c r="G2099" s="25">
        <v>6384</v>
      </c>
    </row>
    <row r="2100" spans="1:7" x14ac:dyDescent="0.25">
      <c r="A2100" s="14" t="s">
        <v>682</v>
      </c>
      <c r="B2100" s="14" t="s">
        <v>260</v>
      </c>
      <c r="C2100" s="15" t="s">
        <v>2398</v>
      </c>
      <c r="D2100" s="14" t="s">
        <v>1749</v>
      </c>
      <c r="E2100" s="14" t="s">
        <v>1766</v>
      </c>
      <c r="F2100" s="25">
        <v>0</v>
      </c>
      <c r="G2100" s="25">
        <v>0</v>
      </c>
    </row>
    <row r="2101" spans="1:7" x14ac:dyDescent="0.25">
      <c r="A2101" s="14" t="s">
        <v>682</v>
      </c>
      <c r="B2101" s="14">
        <v>6</v>
      </c>
      <c r="C2101" s="15" t="s">
        <v>2399</v>
      </c>
      <c r="D2101" s="14" t="s">
        <v>1749</v>
      </c>
      <c r="E2101" s="14" t="s">
        <v>1746</v>
      </c>
      <c r="F2101" s="25">
        <v>798</v>
      </c>
      <c r="G2101" s="25">
        <v>638.4</v>
      </c>
    </row>
    <row r="2102" spans="1:7" x14ac:dyDescent="0.25">
      <c r="A2102" s="14" t="s">
        <v>682</v>
      </c>
      <c r="B2102" s="14">
        <v>6</v>
      </c>
      <c r="C2102" s="15" t="s">
        <v>2399</v>
      </c>
      <c r="D2102" s="14" t="s">
        <v>1745</v>
      </c>
      <c r="E2102" s="14" t="s">
        <v>1747</v>
      </c>
      <c r="F2102" s="25">
        <v>7980</v>
      </c>
      <c r="G2102" s="25">
        <v>6384</v>
      </c>
    </row>
    <row r="2103" spans="1:7" x14ac:dyDescent="0.25">
      <c r="A2103" s="14" t="s">
        <v>682</v>
      </c>
      <c r="B2103" s="14">
        <v>7</v>
      </c>
      <c r="C2103" s="15" t="s">
        <v>2400</v>
      </c>
      <c r="D2103" s="14" t="s">
        <v>1745</v>
      </c>
      <c r="E2103" s="14" t="s">
        <v>1747</v>
      </c>
      <c r="F2103" s="25">
        <v>12960</v>
      </c>
      <c r="G2103" s="25">
        <v>10368</v>
      </c>
    </row>
    <row r="2104" spans="1:7" x14ac:dyDescent="0.25">
      <c r="A2104" s="14" t="s">
        <v>682</v>
      </c>
      <c r="B2104" s="14">
        <v>7</v>
      </c>
      <c r="C2104" s="15" t="s">
        <v>2400</v>
      </c>
      <c r="D2104" s="14" t="s">
        <v>1749</v>
      </c>
      <c r="E2104" s="14" t="s">
        <v>1746</v>
      </c>
      <c r="F2104" s="25">
        <v>1296</v>
      </c>
      <c r="G2104" s="25">
        <v>1036.8</v>
      </c>
    </row>
    <row r="2105" spans="1:7" x14ac:dyDescent="0.25">
      <c r="A2105" s="14" t="s">
        <v>682</v>
      </c>
      <c r="B2105" s="14">
        <v>2</v>
      </c>
      <c r="C2105" s="15" t="s">
        <v>680</v>
      </c>
      <c r="D2105" s="14" t="s">
        <v>1749</v>
      </c>
      <c r="E2105" s="14" t="s">
        <v>1746</v>
      </c>
      <c r="F2105" s="25">
        <v>300</v>
      </c>
      <c r="G2105" s="25">
        <v>240</v>
      </c>
    </row>
    <row r="2106" spans="1:7" x14ac:dyDescent="0.25">
      <c r="A2106" s="14" t="s">
        <v>682</v>
      </c>
      <c r="B2106" s="14" t="s">
        <v>113</v>
      </c>
      <c r="C2106" s="15" t="s">
        <v>2401</v>
      </c>
      <c r="D2106" s="14" t="s">
        <v>1745</v>
      </c>
      <c r="E2106" s="14" t="s">
        <v>1746</v>
      </c>
      <c r="F2106" s="25">
        <v>1257.48</v>
      </c>
      <c r="G2106" s="25">
        <v>1131.72</v>
      </c>
    </row>
    <row r="2107" spans="1:7" x14ac:dyDescent="0.25">
      <c r="A2107" s="14" t="s">
        <v>682</v>
      </c>
      <c r="B2107" s="14" t="s">
        <v>265</v>
      </c>
      <c r="C2107" s="15" t="s">
        <v>2402</v>
      </c>
      <c r="D2107" s="14" t="s">
        <v>1745</v>
      </c>
      <c r="E2107" s="14" t="s">
        <v>1747</v>
      </c>
      <c r="F2107" s="25">
        <v>3180</v>
      </c>
      <c r="G2107" s="25">
        <v>2862</v>
      </c>
    </row>
    <row r="2108" spans="1:7" x14ac:dyDescent="0.25">
      <c r="A2108" s="14" t="s">
        <v>682</v>
      </c>
      <c r="B2108" s="14">
        <v>24</v>
      </c>
      <c r="C2108" s="15" t="s">
        <v>2403</v>
      </c>
      <c r="D2108" s="14" t="s">
        <v>1745</v>
      </c>
      <c r="E2108" s="14" t="s">
        <v>1746</v>
      </c>
      <c r="F2108" s="25">
        <v>5481</v>
      </c>
      <c r="G2108" s="25">
        <v>4932.96</v>
      </c>
    </row>
    <row r="2109" spans="1:7" x14ac:dyDescent="0.25">
      <c r="A2109" s="14" t="s">
        <v>682</v>
      </c>
      <c r="B2109" s="14" t="s">
        <v>265</v>
      </c>
      <c r="C2109" s="15" t="s">
        <v>2402</v>
      </c>
      <c r="D2109" s="14" t="s">
        <v>1749</v>
      </c>
      <c r="E2109" s="14" t="s">
        <v>1746</v>
      </c>
      <c r="F2109" s="25">
        <v>318</v>
      </c>
      <c r="G2109" s="25">
        <v>286.2</v>
      </c>
    </row>
    <row r="2110" spans="1:7" x14ac:dyDescent="0.25">
      <c r="A2110" s="14" t="s">
        <v>682</v>
      </c>
      <c r="B2110" s="14">
        <v>6</v>
      </c>
      <c r="C2110" s="15" t="s">
        <v>2399</v>
      </c>
      <c r="D2110" s="14" t="s">
        <v>1745</v>
      </c>
      <c r="E2110" s="14" t="s">
        <v>1746</v>
      </c>
      <c r="F2110" s="25">
        <v>8379</v>
      </c>
      <c r="G2110" s="25">
        <v>6703.2</v>
      </c>
    </row>
    <row r="2111" spans="1:7" x14ac:dyDescent="0.25">
      <c r="A2111" s="14" t="s">
        <v>682</v>
      </c>
      <c r="B2111" s="14">
        <v>25</v>
      </c>
      <c r="C2111" s="15" t="s">
        <v>2396</v>
      </c>
      <c r="D2111" s="14" t="s">
        <v>1745</v>
      </c>
      <c r="E2111" s="14" t="s">
        <v>1747</v>
      </c>
      <c r="F2111" s="25">
        <v>3180</v>
      </c>
      <c r="G2111" s="25">
        <v>2862</v>
      </c>
    </row>
    <row r="2112" spans="1:7" x14ac:dyDescent="0.25">
      <c r="A2112" s="14" t="s">
        <v>682</v>
      </c>
      <c r="B2112" s="14">
        <v>2</v>
      </c>
      <c r="C2112" s="15" t="s">
        <v>680</v>
      </c>
      <c r="D2112" s="14" t="s">
        <v>1745</v>
      </c>
      <c r="E2112" s="14" t="s">
        <v>1746</v>
      </c>
      <c r="F2112" s="25">
        <v>3150</v>
      </c>
      <c r="G2112" s="25">
        <v>2520</v>
      </c>
    </row>
    <row r="2113" spans="1:7" x14ac:dyDescent="0.25">
      <c r="A2113" s="14" t="s">
        <v>682</v>
      </c>
      <c r="B2113" s="14">
        <v>24</v>
      </c>
      <c r="C2113" s="15" t="s">
        <v>2403</v>
      </c>
      <c r="D2113" s="14" t="s">
        <v>1745</v>
      </c>
      <c r="E2113" s="14" t="s">
        <v>1747</v>
      </c>
      <c r="F2113" s="25">
        <v>5220</v>
      </c>
      <c r="G2113" s="25">
        <v>4698</v>
      </c>
    </row>
    <row r="2114" spans="1:7" x14ac:dyDescent="0.25">
      <c r="A2114" s="14" t="s">
        <v>682</v>
      </c>
      <c r="B2114" s="14">
        <v>25</v>
      </c>
      <c r="C2114" s="15" t="s">
        <v>2396</v>
      </c>
      <c r="D2114" s="14" t="s">
        <v>1749</v>
      </c>
      <c r="E2114" s="14" t="s">
        <v>1746</v>
      </c>
      <c r="F2114" s="25">
        <v>318</v>
      </c>
      <c r="G2114" s="25">
        <v>286.2</v>
      </c>
    </row>
    <row r="2115" spans="1:7" x14ac:dyDescent="0.25">
      <c r="A2115" s="14" t="s">
        <v>682</v>
      </c>
      <c r="B2115" s="14" t="s">
        <v>265</v>
      </c>
      <c r="C2115" s="15" t="s">
        <v>2402</v>
      </c>
      <c r="D2115" s="14" t="s">
        <v>1745</v>
      </c>
      <c r="E2115" s="14" t="s">
        <v>1746</v>
      </c>
      <c r="F2115" s="25">
        <v>3339</v>
      </c>
      <c r="G2115" s="25">
        <v>3005.16</v>
      </c>
    </row>
    <row r="2116" spans="1:7" x14ac:dyDescent="0.25">
      <c r="A2116" s="14" t="s">
        <v>682</v>
      </c>
      <c r="B2116" s="14">
        <v>7</v>
      </c>
      <c r="C2116" s="15" t="s">
        <v>2400</v>
      </c>
      <c r="D2116" s="14" t="s">
        <v>1745</v>
      </c>
      <c r="E2116" s="14" t="s">
        <v>1746</v>
      </c>
      <c r="F2116" s="25">
        <v>13608</v>
      </c>
      <c r="G2116" s="25">
        <v>10886.4</v>
      </c>
    </row>
    <row r="2117" spans="1:7" x14ac:dyDescent="0.25">
      <c r="A2117" s="14" t="s">
        <v>682</v>
      </c>
      <c r="B2117" s="14" t="s">
        <v>570</v>
      </c>
      <c r="C2117" s="15" t="s">
        <v>2398</v>
      </c>
      <c r="D2117" s="14" t="s">
        <v>1745</v>
      </c>
      <c r="E2117" s="14" t="s">
        <v>1746</v>
      </c>
      <c r="F2117" s="25">
        <v>2646</v>
      </c>
      <c r="G2117" s="25">
        <v>2116.8000000000002</v>
      </c>
    </row>
    <row r="2118" spans="1:7" x14ac:dyDescent="0.25">
      <c r="A2118" s="14" t="s">
        <v>682</v>
      </c>
      <c r="B2118" s="14" t="s">
        <v>570</v>
      </c>
      <c r="C2118" s="15" t="s">
        <v>2398</v>
      </c>
      <c r="D2118" s="14" t="s">
        <v>1745</v>
      </c>
      <c r="E2118" s="14" t="s">
        <v>1747</v>
      </c>
      <c r="F2118" s="25">
        <v>2520</v>
      </c>
      <c r="G2118" s="25">
        <v>2016</v>
      </c>
    </row>
    <row r="2119" spans="1:7" x14ac:dyDescent="0.25">
      <c r="A2119" s="14" t="s">
        <v>682</v>
      </c>
      <c r="B2119" s="14" t="s">
        <v>113</v>
      </c>
      <c r="C2119" s="15" t="s">
        <v>2401</v>
      </c>
      <c r="D2119" s="14" t="s">
        <v>1745</v>
      </c>
      <c r="E2119" s="14" t="s">
        <v>1747</v>
      </c>
      <c r="F2119" s="25">
        <v>1197.5999999999999</v>
      </c>
      <c r="G2119" s="25">
        <v>1077.8399999999999</v>
      </c>
    </row>
    <row r="2120" spans="1:7" x14ac:dyDescent="0.25">
      <c r="A2120" s="14" t="s">
        <v>682</v>
      </c>
      <c r="B2120" s="14" t="s">
        <v>570</v>
      </c>
      <c r="C2120" s="15" t="s">
        <v>2398</v>
      </c>
      <c r="D2120" s="14" t="s">
        <v>1749</v>
      </c>
      <c r="E2120" s="14" t="s">
        <v>1746</v>
      </c>
      <c r="F2120" s="25">
        <v>252</v>
      </c>
      <c r="G2120" s="25">
        <v>201.6</v>
      </c>
    </row>
    <row r="2121" spans="1:7" x14ac:dyDescent="0.25">
      <c r="A2121" s="14" t="s">
        <v>682</v>
      </c>
      <c r="B2121" s="14">
        <v>2</v>
      </c>
      <c r="C2121" s="15" t="s">
        <v>680</v>
      </c>
      <c r="D2121" s="14" t="s">
        <v>1745</v>
      </c>
      <c r="E2121" s="14" t="s">
        <v>1747</v>
      </c>
      <c r="F2121" s="25">
        <v>3000</v>
      </c>
      <c r="G2121" s="25">
        <v>2400</v>
      </c>
    </row>
    <row r="2122" spans="1:7" x14ac:dyDescent="0.25">
      <c r="A2122" s="14" t="s">
        <v>682</v>
      </c>
      <c r="B2122" s="14">
        <v>24</v>
      </c>
      <c r="C2122" s="15" t="s">
        <v>2403</v>
      </c>
      <c r="D2122" s="14" t="s">
        <v>1749</v>
      </c>
      <c r="E2122" s="14" t="s">
        <v>1746</v>
      </c>
      <c r="F2122" s="25">
        <v>522</v>
      </c>
      <c r="G2122" s="25">
        <v>469.8</v>
      </c>
    </row>
    <row r="2123" spans="1:7" x14ac:dyDescent="0.25">
      <c r="A2123" s="14" t="s">
        <v>682</v>
      </c>
      <c r="B2123" s="14" t="s">
        <v>113</v>
      </c>
      <c r="C2123" s="15" t="s">
        <v>2401</v>
      </c>
      <c r="D2123" s="14" t="s">
        <v>1749</v>
      </c>
      <c r="E2123" s="14" t="s">
        <v>1746</v>
      </c>
      <c r="F2123" s="25">
        <v>119.76</v>
      </c>
      <c r="G2123" s="25">
        <v>107.78</v>
      </c>
    </row>
    <row r="2124" spans="1:7" x14ac:dyDescent="0.25">
      <c r="A2124" s="14" t="s">
        <v>2404</v>
      </c>
      <c r="B2124" s="14">
        <v>13</v>
      </c>
      <c r="C2124" s="15" t="s">
        <v>2405</v>
      </c>
      <c r="D2124" s="14" t="s">
        <v>1745</v>
      </c>
      <c r="E2124" s="14" t="s">
        <v>1747</v>
      </c>
      <c r="F2124" s="25">
        <v>8940</v>
      </c>
      <c r="G2124" s="25">
        <v>7152</v>
      </c>
    </row>
    <row r="2125" spans="1:7" x14ac:dyDescent="0.25">
      <c r="A2125" s="14" t="s">
        <v>2404</v>
      </c>
      <c r="B2125" s="14">
        <v>1</v>
      </c>
      <c r="C2125" s="15" t="s">
        <v>2406</v>
      </c>
      <c r="D2125" s="14" t="s">
        <v>1749</v>
      </c>
      <c r="E2125" s="14" t="s">
        <v>1746</v>
      </c>
      <c r="F2125" s="25">
        <v>996</v>
      </c>
      <c r="G2125" s="25">
        <v>796.8</v>
      </c>
    </row>
    <row r="2126" spans="1:7" x14ac:dyDescent="0.25">
      <c r="A2126" s="14" t="s">
        <v>2404</v>
      </c>
      <c r="B2126" s="14" t="s">
        <v>118</v>
      </c>
      <c r="C2126" s="15" t="s">
        <v>2407</v>
      </c>
      <c r="D2126" s="14" t="s">
        <v>1745</v>
      </c>
      <c r="E2126" s="14" t="s">
        <v>1747</v>
      </c>
      <c r="F2126" s="25">
        <v>2520</v>
      </c>
      <c r="G2126" s="25">
        <v>2268</v>
      </c>
    </row>
    <row r="2127" spans="1:7" x14ac:dyDescent="0.25">
      <c r="A2127" s="14" t="s">
        <v>2404</v>
      </c>
      <c r="B2127" s="14">
        <v>13</v>
      </c>
      <c r="C2127" s="15" t="s">
        <v>2405</v>
      </c>
      <c r="D2127" s="14" t="s">
        <v>1745</v>
      </c>
      <c r="E2127" s="14" t="s">
        <v>1746</v>
      </c>
      <c r="F2127" s="25">
        <v>9387</v>
      </c>
      <c r="G2127" s="25">
        <v>7509.6</v>
      </c>
    </row>
    <row r="2128" spans="1:7" x14ac:dyDescent="0.25">
      <c r="A2128" s="14" t="s">
        <v>2404</v>
      </c>
      <c r="B2128" s="14">
        <v>1</v>
      </c>
      <c r="C2128" s="15" t="s">
        <v>2406</v>
      </c>
      <c r="D2128" s="14" t="s">
        <v>1745</v>
      </c>
      <c r="E2128" s="14" t="s">
        <v>1746</v>
      </c>
      <c r="F2128" s="25">
        <v>10458</v>
      </c>
      <c r="G2128" s="25">
        <v>8366.4</v>
      </c>
    </row>
    <row r="2129" spans="1:7" x14ac:dyDescent="0.25">
      <c r="A2129" s="14" t="s">
        <v>2404</v>
      </c>
      <c r="B2129" s="14">
        <v>13</v>
      </c>
      <c r="C2129" s="15" t="s">
        <v>2405</v>
      </c>
      <c r="D2129" s="14" t="s">
        <v>1749</v>
      </c>
      <c r="E2129" s="14" t="s">
        <v>1746</v>
      </c>
      <c r="F2129" s="25">
        <v>894</v>
      </c>
      <c r="G2129" s="25">
        <v>715.2</v>
      </c>
    </row>
    <row r="2130" spans="1:7" x14ac:dyDescent="0.25">
      <c r="A2130" s="14" t="s">
        <v>2404</v>
      </c>
      <c r="B2130" s="14" t="s">
        <v>118</v>
      </c>
      <c r="C2130" s="15" t="s">
        <v>2407</v>
      </c>
      <c r="D2130" s="14" t="s">
        <v>1749</v>
      </c>
      <c r="E2130" s="14" t="s">
        <v>1746</v>
      </c>
      <c r="F2130" s="25">
        <v>252</v>
      </c>
      <c r="G2130" s="25">
        <v>226.8</v>
      </c>
    </row>
    <row r="2131" spans="1:7" x14ac:dyDescent="0.25">
      <c r="A2131" s="14" t="s">
        <v>2404</v>
      </c>
      <c r="B2131" s="14" t="s">
        <v>118</v>
      </c>
      <c r="C2131" s="15" t="s">
        <v>2407</v>
      </c>
      <c r="D2131" s="14" t="s">
        <v>1745</v>
      </c>
      <c r="E2131" s="14" t="s">
        <v>1746</v>
      </c>
      <c r="F2131" s="25">
        <v>2646</v>
      </c>
      <c r="G2131" s="25">
        <v>2381.4</v>
      </c>
    </row>
    <row r="2132" spans="1:7" x14ac:dyDescent="0.25">
      <c r="A2132" s="14" t="s">
        <v>2404</v>
      </c>
      <c r="B2132" s="14">
        <v>1</v>
      </c>
      <c r="C2132" s="15" t="s">
        <v>2406</v>
      </c>
      <c r="D2132" s="14" t="s">
        <v>1745</v>
      </c>
      <c r="E2132" s="14" t="s">
        <v>1747</v>
      </c>
      <c r="F2132" s="25">
        <v>9960</v>
      </c>
      <c r="G2132" s="25">
        <v>7968</v>
      </c>
    </row>
    <row r="2133" spans="1:7" x14ac:dyDescent="0.25">
      <c r="A2133" s="14" t="s">
        <v>749</v>
      </c>
      <c r="B2133" s="14" t="s">
        <v>16</v>
      </c>
      <c r="C2133" s="15" t="s">
        <v>2408</v>
      </c>
      <c r="D2133" s="14" t="s">
        <v>1745</v>
      </c>
      <c r="E2133" s="14" t="s">
        <v>1746</v>
      </c>
      <c r="F2133" s="25">
        <v>1257.48</v>
      </c>
      <c r="G2133" s="25">
        <v>1131.72</v>
      </c>
    </row>
    <row r="2134" spans="1:7" x14ac:dyDescent="0.25">
      <c r="A2134" s="14" t="s">
        <v>749</v>
      </c>
      <c r="B2134" s="14">
        <v>9</v>
      </c>
      <c r="C2134" s="15" t="s">
        <v>751</v>
      </c>
      <c r="D2134" s="14" t="s">
        <v>1745</v>
      </c>
      <c r="E2134" s="14" t="s">
        <v>1746</v>
      </c>
      <c r="F2134" s="25">
        <v>5229</v>
      </c>
      <c r="G2134" s="25">
        <v>4183.2</v>
      </c>
    </row>
    <row r="2135" spans="1:7" x14ac:dyDescent="0.25">
      <c r="A2135" s="14" t="s">
        <v>749</v>
      </c>
      <c r="B2135" s="14">
        <v>7</v>
      </c>
      <c r="C2135" s="15" t="s">
        <v>753</v>
      </c>
      <c r="D2135" s="14" t="s">
        <v>1745</v>
      </c>
      <c r="E2135" s="14" t="s">
        <v>1747</v>
      </c>
      <c r="F2135" s="25">
        <v>3000</v>
      </c>
      <c r="G2135" s="25">
        <v>2400</v>
      </c>
    </row>
    <row r="2136" spans="1:7" x14ac:dyDescent="0.25">
      <c r="A2136" s="14" t="s">
        <v>749</v>
      </c>
      <c r="B2136" s="14">
        <v>7</v>
      </c>
      <c r="C2136" s="15" t="s">
        <v>753</v>
      </c>
      <c r="D2136" s="14" t="s">
        <v>1745</v>
      </c>
      <c r="E2136" s="14" t="s">
        <v>1746</v>
      </c>
      <c r="F2136" s="25">
        <v>3150</v>
      </c>
      <c r="G2136" s="25">
        <v>2520</v>
      </c>
    </row>
    <row r="2137" spans="1:7" x14ac:dyDescent="0.25">
      <c r="A2137" s="14" t="s">
        <v>749</v>
      </c>
      <c r="B2137" s="14" t="s">
        <v>16</v>
      </c>
      <c r="C2137" s="15" t="s">
        <v>2408</v>
      </c>
      <c r="D2137" s="14" t="s">
        <v>1745</v>
      </c>
      <c r="E2137" s="14" t="s">
        <v>1747</v>
      </c>
      <c r="F2137" s="25">
        <v>1197.5999999999999</v>
      </c>
      <c r="G2137" s="25">
        <v>1077.8399999999999</v>
      </c>
    </row>
    <row r="2138" spans="1:7" x14ac:dyDescent="0.25">
      <c r="A2138" s="14" t="s">
        <v>749</v>
      </c>
      <c r="B2138" s="14">
        <v>5</v>
      </c>
      <c r="C2138" s="15" t="s">
        <v>748</v>
      </c>
      <c r="D2138" s="14" t="s">
        <v>1749</v>
      </c>
      <c r="E2138" s="14" t="s">
        <v>1766</v>
      </c>
      <c r="F2138" s="25">
        <v>0</v>
      </c>
      <c r="G2138" s="25">
        <v>0</v>
      </c>
    </row>
    <row r="2139" spans="1:7" x14ac:dyDescent="0.25">
      <c r="A2139" s="14" t="s">
        <v>749</v>
      </c>
      <c r="B2139" s="14">
        <v>8</v>
      </c>
      <c r="C2139" s="15" t="s">
        <v>748</v>
      </c>
      <c r="D2139" s="14" t="s">
        <v>1749</v>
      </c>
      <c r="E2139" s="14" t="s">
        <v>1746</v>
      </c>
      <c r="F2139" s="25">
        <v>696</v>
      </c>
      <c r="G2139" s="25">
        <v>556.79999999999995</v>
      </c>
    </row>
    <row r="2140" spans="1:7" x14ac:dyDescent="0.25">
      <c r="A2140" s="14" t="s">
        <v>749</v>
      </c>
      <c r="B2140" s="14">
        <v>8</v>
      </c>
      <c r="C2140" s="15" t="s">
        <v>748</v>
      </c>
      <c r="D2140" s="14" t="s">
        <v>1745</v>
      </c>
      <c r="E2140" s="14" t="s">
        <v>1746</v>
      </c>
      <c r="F2140" s="25">
        <v>7308</v>
      </c>
      <c r="G2140" s="25">
        <v>5846.4</v>
      </c>
    </row>
    <row r="2141" spans="1:7" x14ac:dyDescent="0.25">
      <c r="A2141" s="14" t="s">
        <v>749</v>
      </c>
      <c r="B2141" s="14" t="s">
        <v>24</v>
      </c>
      <c r="C2141" s="15" t="s">
        <v>2409</v>
      </c>
      <c r="D2141" s="14" t="s">
        <v>1749</v>
      </c>
      <c r="E2141" s="14" t="s">
        <v>1746</v>
      </c>
      <c r="F2141" s="25">
        <v>282</v>
      </c>
      <c r="G2141" s="25">
        <v>253.8</v>
      </c>
    </row>
    <row r="2142" spans="1:7" x14ac:dyDescent="0.25">
      <c r="A2142" s="14" t="s">
        <v>749</v>
      </c>
      <c r="B2142" s="14" t="s">
        <v>16</v>
      </c>
      <c r="C2142" s="15" t="s">
        <v>2408</v>
      </c>
      <c r="D2142" s="14" t="s">
        <v>1749</v>
      </c>
      <c r="E2142" s="14" t="s">
        <v>1746</v>
      </c>
      <c r="F2142" s="25">
        <v>119.76</v>
      </c>
      <c r="G2142" s="25">
        <v>107.78</v>
      </c>
    </row>
    <row r="2143" spans="1:7" x14ac:dyDescent="0.25">
      <c r="A2143" s="14" t="s">
        <v>749</v>
      </c>
      <c r="B2143" s="14" t="s">
        <v>20</v>
      </c>
      <c r="C2143" s="15" t="s">
        <v>2410</v>
      </c>
      <c r="D2143" s="14" t="s">
        <v>1745</v>
      </c>
      <c r="E2143" s="14" t="s">
        <v>1746</v>
      </c>
      <c r="F2143" s="25">
        <v>2079</v>
      </c>
      <c r="G2143" s="25">
        <v>1871.16</v>
      </c>
    </row>
    <row r="2144" spans="1:7" x14ac:dyDescent="0.25">
      <c r="A2144" s="14" t="s">
        <v>749</v>
      </c>
      <c r="B2144" s="14" t="s">
        <v>20</v>
      </c>
      <c r="C2144" s="15" t="s">
        <v>2410</v>
      </c>
      <c r="D2144" s="14" t="s">
        <v>1749</v>
      </c>
      <c r="E2144" s="14" t="s">
        <v>1746</v>
      </c>
      <c r="F2144" s="25">
        <v>198</v>
      </c>
      <c r="G2144" s="25">
        <v>178.2</v>
      </c>
    </row>
    <row r="2145" spans="1:7" x14ac:dyDescent="0.25">
      <c r="A2145" s="14" t="s">
        <v>749</v>
      </c>
      <c r="B2145" s="14" t="s">
        <v>24</v>
      </c>
      <c r="C2145" s="15" t="s">
        <v>2409</v>
      </c>
      <c r="D2145" s="14" t="s">
        <v>1745</v>
      </c>
      <c r="E2145" s="14" t="s">
        <v>1746</v>
      </c>
      <c r="F2145" s="25">
        <v>2961</v>
      </c>
      <c r="G2145" s="25">
        <v>2664.96</v>
      </c>
    </row>
    <row r="2146" spans="1:7" x14ac:dyDescent="0.25">
      <c r="A2146" s="14" t="s">
        <v>749</v>
      </c>
      <c r="B2146" s="14">
        <v>7</v>
      </c>
      <c r="C2146" s="15" t="s">
        <v>753</v>
      </c>
      <c r="D2146" s="14" t="s">
        <v>1749</v>
      </c>
      <c r="E2146" s="14" t="s">
        <v>1746</v>
      </c>
      <c r="F2146" s="25">
        <v>300</v>
      </c>
      <c r="G2146" s="25">
        <v>240</v>
      </c>
    </row>
    <row r="2147" spans="1:7" x14ac:dyDescent="0.25">
      <c r="A2147" s="14" t="s">
        <v>749</v>
      </c>
      <c r="B2147" s="14" t="s">
        <v>24</v>
      </c>
      <c r="C2147" s="15" t="s">
        <v>2409</v>
      </c>
      <c r="D2147" s="14" t="s">
        <v>1745</v>
      </c>
      <c r="E2147" s="14" t="s">
        <v>1747</v>
      </c>
      <c r="F2147" s="25">
        <v>2820</v>
      </c>
      <c r="G2147" s="25">
        <v>2538</v>
      </c>
    </row>
    <row r="2148" spans="1:7" x14ac:dyDescent="0.25">
      <c r="A2148" s="14" t="s">
        <v>749</v>
      </c>
      <c r="B2148" s="14" t="s">
        <v>20</v>
      </c>
      <c r="C2148" s="15" t="s">
        <v>2410</v>
      </c>
      <c r="D2148" s="14" t="s">
        <v>1745</v>
      </c>
      <c r="E2148" s="14" t="s">
        <v>1747</v>
      </c>
      <c r="F2148" s="25">
        <v>1980</v>
      </c>
      <c r="G2148" s="25">
        <v>1782</v>
      </c>
    </row>
    <row r="2149" spans="1:7" x14ac:dyDescent="0.25">
      <c r="A2149" s="14" t="s">
        <v>749</v>
      </c>
      <c r="B2149" s="14">
        <v>9</v>
      </c>
      <c r="C2149" s="15" t="s">
        <v>751</v>
      </c>
      <c r="D2149" s="14" t="s">
        <v>1745</v>
      </c>
      <c r="E2149" s="14" t="s">
        <v>1747</v>
      </c>
      <c r="F2149" s="25">
        <v>4980</v>
      </c>
      <c r="G2149" s="25">
        <v>3984</v>
      </c>
    </row>
    <row r="2150" spans="1:7" x14ac:dyDescent="0.25">
      <c r="A2150" s="14" t="s">
        <v>749</v>
      </c>
      <c r="B2150" s="14">
        <v>8</v>
      </c>
      <c r="C2150" s="15" t="s">
        <v>748</v>
      </c>
      <c r="D2150" s="14" t="s">
        <v>1745</v>
      </c>
      <c r="E2150" s="14" t="s">
        <v>1747</v>
      </c>
      <c r="F2150" s="25">
        <v>6960</v>
      </c>
      <c r="G2150" s="25">
        <v>5568</v>
      </c>
    </row>
    <row r="2151" spans="1:7" x14ac:dyDescent="0.25">
      <c r="A2151" s="14" t="s">
        <v>749</v>
      </c>
      <c r="B2151" s="14">
        <v>9</v>
      </c>
      <c r="C2151" s="15" t="s">
        <v>751</v>
      </c>
      <c r="D2151" s="14" t="s">
        <v>1749</v>
      </c>
      <c r="E2151" s="14" t="s">
        <v>1746</v>
      </c>
      <c r="F2151" s="25">
        <v>498</v>
      </c>
      <c r="G2151" s="25">
        <v>398.4</v>
      </c>
    </row>
    <row r="2152" spans="1:7" x14ac:dyDescent="0.25">
      <c r="A2152" s="14" t="s">
        <v>2411</v>
      </c>
      <c r="B2152" s="14">
        <v>1</v>
      </c>
      <c r="C2152" s="15" t="s">
        <v>2412</v>
      </c>
      <c r="D2152" s="14" t="s">
        <v>1745</v>
      </c>
      <c r="E2152" s="14" t="s">
        <v>1747</v>
      </c>
      <c r="F2152" s="25">
        <v>1320</v>
      </c>
      <c r="G2152" s="25">
        <v>1056</v>
      </c>
    </row>
    <row r="2153" spans="1:7" x14ac:dyDescent="0.25">
      <c r="A2153" s="14" t="s">
        <v>2411</v>
      </c>
      <c r="B2153" s="14">
        <v>5</v>
      </c>
      <c r="C2153" s="15" t="s">
        <v>2413</v>
      </c>
      <c r="D2153" s="14" t="s">
        <v>1749</v>
      </c>
      <c r="E2153" s="14" t="s">
        <v>1746</v>
      </c>
      <c r="F2153" s="25">
        <v>198</v>
      </c>
      <c r="G2153" s="25">
        <v>158.4</v>
      </c>
    </row>
    <row r="2154" spans="1:7" x14ac:dyDescent="0.25">
      <c r="A2154" s="14" t="s">
        <v>2411</v>
      </c>
      <c r="B2154" s="14" t="s">
        <v>20</v>
      </c>
      <c r="C2154" s="15" t="s">
        <v>2414</v>
      </c>
      <c r="D2154" s="14" t="s">
        <v>1745</v>
      </c>
      <c r="E2154" s="14" t="s">
        <v>1746</v>
      </c>
      <c r="F2154" s="25">
        <v>838.68</v>
      </c>
      <c r="G2154" s="25">
        <v>754.8</v>
      </c>
    </row>
    <row r="2155" spans="1:7" x14ac:dyDescent="0.25">
      <c r="A2155" s="14" t="s">
        <v>2411</v>
      </c>
      <c r="B2155" s="14">
        <v>1</v>
      </c>
      <c r="C2155" s="15" t="s">
        <v>2412</v>
      </c>
      <c r="D2155" s="14" t="s">
        <v>1749</v>
      </c>
      <c r="E2155" s="14" t="s">
        <v>1746</v>
      </c>
      <c r="F2155" s="25">
        <v>132</v>
      </c>
      <c r="G2155" s="25">
        <v>105.6</v>
      </c>
    </row>
    <row r="2156" spans="1:7" x14ac:dyDescent="0.25">
      <c r="A2156" s="14" t="s">
        <v>2411</v>
      </c>
      <c r="B2156" s="14" t="s">
        <v>20</v>
      </c>
      <c r="C2156" s="15" t="s">
        <v>2414</v>
      </c>
      <c r="D2156" s="14" t="s">
        <v>1745</v>
      </c>
      <c r="E2156" s="14" t="s">
        <v>1747</v>
      </c>
      <c r="F2156" s="25">
        <v>798.72</v>
      </c>
      <c r="G2156" s="25">
        <v>718.85</v>
      </c>
    </row>
    <row r="2157" spans="1:7" x14ac:dyDescent="0.25">
      <c r="A2157" s="14" t="s">
        <v>2411</v>
      </c>
      <c r="B2157" s="14">
        <v>5</v>
      </c>
      <c r="C2157" s="15" t="s">
        <v>2413</v>
      </c>
      <c r="D2157" s="14" t="s">
        <v>1745</v>
      </c>
      <c r="E2157" s="14" t="s">
        <v>1746</v>
      </c>
      <c r="F2157" s="25">
        <v>2079</v>
      </c>
      <c r="G2157" s="25">
        <v>1663.2</v>
      </c>
    </row>
    <row r="2158" spans="1:7" x14ac:dyDescent="0.25">
      <c r="A2158" s="14" t="s">
        <v>2411</v>
      </c>
      <c r="B2158" s="14">
        <v>1</v>
      </c>
      <c r="C2158" s="15" t="s">
        <v>2412</v>
      </c>
      <c r="D2158" s="14" t="s">
        <v>1745</v>
      </c>
      <c r="E2158" s="14" t="s">
        <v>1746</v>
      </c>
      <c r="F2158" s="25">
        <v>1386</v>
      </c>
      <c r="G2158" s="25">
        <v>1108.8</v>
      </c>
    </row>
    <row r="2159" spans="1:7" x14ac:dyDescent="0.25">
      <c r="A2159" s="14" t="s">
        <v>2411</v>
      </c>
      <c r="B2159" s="14">
        <v>9</v>
      </c>
      <c r="C2159" s="15" t="s">
        <v>2415</v>
      </c>
      <c r="D2159" s="14" t="s">
        <v>1745</v>
      </c>
      <c r="E2159" s="14" t="s">
        <v>1747</v>
      </c>
      <c r="F2159" s="25">
        <v>299.52</v>
      </c>
      <c r="G2159" s="25">
        <v>239.62</v>
      </c>
    </row>
    <row r="2160" spans="1:7" x14ac:dyDescent="0.25">
      <c r="A2160" s="14" t="s">
        <v>2411</v>
      </c>
      <c r="B2160" s="14" t="s">
        <v>20</v>
      </c>
      <c r="C2160" s="15" t="s">
        <v>2414</v>
      </c>
      <c r="D2160" s="14" t="s">
        <v>1749</v>
      </c>
      <c r="E2160" s="14" t="s">
        <v>1746</v>
      </c>
      <c r="F2160" s="25">
        <v>79.87</v>
      </c>
      <c r="G2160" s="25">
        <v>71.88</v>
      </c>
    </row>
    <row r="2161" spans="1:7" x14ac:dyDescent="0.25">
      <c r="A2161" s="14" t="s">
        <v>2411</v>
      </c>
      <c r="B2161" s="14">
        <v>5</v>
      </c>
      <c r="C2161" s="15" t="s">
        <v>2413</v>
      </c>
      <c r="D2161" s="14" t="s">
        <v>1745</v>
      </c>
      <c r="E2161" s="14" t="s">
        <v>1747</v>
      </c>
      <c r="F2161" s="25">
        <v>1980</v>
      </c>
      <c r="G2161" s="25">
        <v>1584</v>
      </c>
    </row>
    <row r="2162" spans="1:7" x14ac:dyDescent="0.25">
      <c r="A2162" s="14" t="s">
        <v>2411</v>
      </c>
      <c r="B2162" s="14">
        <v>9</v>
      </c>
      <c r="C2162" s="15" t="s">
        <v>2415</v>
      </c>
      <c r="D2162" s="14" t="s">
        <v>1745</v>
      </c>
      <c r="E2162" s="14" t="s">
        <v>1746</v>
      </c>
      <c r="F2162" s="25">
        <v>314.52</v>
      </c>
      <c r="G2162" s="25">
        <v>251.64</v>
      </c>
    </row>
    <row r="2163" spans="1:7" x14ac:dyDescent="0.25">
      <c r="A2163" s="14" t="s">
        <v>2411</v>
      </c>
      <c r="B2163" s="14" t="s">
        <v>16</v>
      </c>
      <c r="C2163" s="15" t="s">
        <v>2416</v>
      </c>
      <c r="D2163" s="14" t="s">
        <v>1745</v>
      </c>
      <c r="E2163" s="14" t="s">
        <v>1746</v>
      </c>
      <c r="F2163" s="25">
        <v>419.28</v>
      </c>
      <c r="G2163" s="25">
        <v>335.52</v>
      </c>
    </row>
    <row r="2164" spans="1:7" x14ac:dyDescent="0.25">
      <c r="A2164" s="14" t="s">
        <v>2411</v>
      </c>
      <c r="B2164" s="14">
        <v>9</v>
      </c>
      <c r="C2164" s="15" t="s">
        <v>2415</v>
      </c>
      <c r="D2164" s="14" t="s">
        <v>1749</v>
      </c>
      <c r="E2164" s="14" t="s">
        <v>1746</v>
      </c>
      <c r="F2164" s="25">
        <v>29.95</v>
      </c>
      <c r="G2164" s="25">
        <v>23.96</v>
      </c>
    </row>
    <row r="2165" spans="1:7" x14ac:dyDescent="0.25">
      <c r="A2165" s="14" t="s">
        <v>2411</v>
      </c>
      <c r="B2165" s="14" t="s">
        <v>16</v>
      </c>
      <c r="C2165" s="15" t="s">
        <v>2416</v>
      </c>
      <c r="D2165" s="14" t="s">
        <v>1749</v>
      </c>
      <c r="E2165" s="14" t="s">
        <v>1746</v>
      </c>
      <c r="F2165" s="25">
        <v>39.94</v>
      </c>
      <c r="G2165" s="25">
        <v>31.95</v>
      </c>
    </row>
    <row r="2166" spans="1:7" x14ac:dyDescent="0.25">
      <c r="A2166" s="14" t="s">
        <v>2411</v>
      </c>
      <c r="B2166" s="14" t="s">
        <v>16</v>
      </c>
      <c r="C2166" s="15" t="s">
        <v>2416</v>
      </c>
      <c r="D2166" s="14" t="s">
        <v>1745</v>
      </c>
      <c r="E2166" s="14" t="s">
        <v>1747</v>
      </c>
      <c r="F2166" s="25">
        <v>399.36</v>
      </c>
      <c r="G2166" s="25">
        <v>319.49</v>
      </c>
    </row>
    <row r="2167" spans="1:7" x14ac:dyDescent="0.25">
      <c r="A2167" s="14" t="s">
        <v>756</v>
      </c>
      <c r="B2167" s="14">
        <v>1</v>
      </c>
      <c r="C2167" s="15" t="s">
        <v>760</v>
      </c>
      <c r="D2167" s="14" t="s">
        <v>1745</v>
      </c>
      <c r="E2167" s="14" t="s">
        <v>1746</v>
      </c>
      <c r="F2167" s="25">
        <v>0</v>
      </c>
      <c r="G2167" s="25">
        <v>0</v>
      </c>
    </row>
    <row r="2168" spans="1:7" x14ac:dyDescent="0.25">
      <c r="A2168" s="14" t="s">
        <v>756</v>
      </c>
      <c r="B2168" s="14" t="s">
        <v>195</v>
      </c>
      <c r="C2168" s="15" t="s">
        <v>2417</v>
      </c>
      <c r="D2168" s="14" t="s">
        <v>1749</v>
      </c>
      <c r="E2168" s="14" t="s">
        <v>1746</v>
      </c>
      <c r="F2168" s="25">
        <v>0</v>
      </c>
      <c r="G2168" s="25">
        <v>0</v>
      </c>
    </row>
    <row r="2169" spans="1:7" x14ac:dyDescent="0.25">
      <c r="A2169" s="14" t="s">
        <v>756</v>
      </c>
      <c r="B2169" s="14" t="s">
        <v>195</v>
      </c>
      <c r="C2169" s="15" t="s">
        <v>2417</v>
      </c>
      <c r="D2169" s="14" t="s">
        <v>1745</v>
      </c>
      <c r="E2169" s="14" t="s">
        <v>1747</v>
      </c>
      <c r="F2169" s="25">
        <v>0</v>
      </c>
      <c r="G2169" s="25">
        <v>0</v>
      </c>
    </row>
    <row r="2170" spans="1:7" x14ac:dyDescent="0.25">
      <c r="A2170" s="14" t="s">
        <v>756</v>
      </c>
      <c r="B2170" s="14" t="s">
        <v>46</v>
      </c>
      <c r="C2170" s="15" t="s">
        <v>755</v>
      </c>
      <c r="D2170" s="14" t="s">
        <v>1749</v>
      </c>
      <c r="E2170" s="14" t="s">
        <v>1746</v>
      </c>
      <c r="F2170" s="25">
        <v>19968</v>
      </c>
      <c r="G2170" s="25">
        <v>17971.2</v>
      </c>
    </row>
    <row r="2171" spans="1:7" x14ac:dyDescent="0.25">
      <c r="A2171" s="14" t="s">
        <v>756</v>
      </c>
      <c r="B2171" s="14">
        <v>11</v>
      </c>
      <c r="C2171" s="15" t="s">
        <v>2418</v>
      </c>
      <c r="D2171" s="14" t="s">
        <v>1745</v>
      </c>
      <c r="E2171" s="14" t="s">
        <v>1747</v>
      </c>
      <c r="F2171" s="25">
        <v>109800</v>
      </c>
      <c r="G2171" s="25">
        <v>98820</v>
      </c>
    </row>
    <row r="2172" spans="1:7" x14ac:dyDescent="0.25">
      <c r="A2172" s="14" t="s">
        <v>756</v>
      </c>
      <c r="B2172" s="14" t="s">
        <v>102</v>
      </c>
      <c r="C2172" s="15" t="s">
        <v>2419</v>
      </c>
      <c r="D2172" s="14" t="s">
        <v>1745</v>
      </c>
      <c r="E2172" s="14" t="s">
        <v>1747</v>
      </c>
      <c r="F2172" s="25">
        <v>0</v>
      </c>
      <c r="G2172" s="25">
        <v>0</v>
      </c>
    </row>
    <row r="2173" spans="1:7" x14ac:dyDescent="0.25">
      <c r="A2173" s="14" t="s">
        <v>756</v>
      </c>
      <c r="B2173" s="14">
        <v>1</v>
      </c>
      <c r="C2173" s="15" t="s">
        <v>760</v>
      </c>
      <c r="D2173" s="14" t="s">
        <v>1745</v>
      </c>
      <c r="E2173" s="14" t="s">
        <v>1747</v>
      </c>
      <c r="F2173" s="25">
        <v>0</v>
      </c>
      <c r="G2173" s="25">
        <v>0</v>
      </c>
    </row>
    <row r="2174" spans="1:7" x14ac:dyDescent="0.25">
      <c r="A2174" s="14" t="s">
        <v>756</v>
      </c>
      <c r="B2174" s="14">
        <v>1</v>
      </c>
      <c r="C2174" s="15" t="s">
        <v>760</v>
      </c>
      <c r="D2174" s="14" t="s">
        <v>1749</v>
      </c>
      <c r="E2174" s="14" t="s">
        <v>1746</v>
      </c>
      <c r="F2174" s="25">
        <v>0</v>
      </c>
      <c r="G2174" s="25">
        <v>0</v>
      </c>
    </row>
    <row r="2175" spans="1:7" x14ac:dyDescent="0.25">
      <c r="A2175" s="14" t="s">
        <v>756</v>
      </c>
      <c r="B2175" s="14" t="s">
        <v>46</v>
      </c>
      <c r="C2175" s="15" t="s">
        <v>755</v>
      </c>
      <c r="D2175" s="14" t="s">
        <v>1745</v>
      </c>
      <c r="E2175" s="14" t="s">
        <v>1746</v>
      </c>
      <c r="F2175" s="25">
        <v>209664</v>
      </c>
      <c r="G2175" s="25">
        <v>188697.60000000001</v>
      </c>
    </row>
    <row r="2176" spans="1:7" x14ac:dyDescent="0.25">
      <c r="A2176" s="14" t="s">
        <v>756</v>
      </c>
      <c r="B2176" s="14" t="s">
        <v>102</v>
      </c>
      <c r="C2176" s="15" t="s">
        <v>2419</v>
      </c>
      <c r="D2176" s="14" t="s">
        <v>1749</v>
      </c>
      <c r="E2176" s="14" t="s">
        <v>1746</v>
      </c>
      <c r="F2176" s="25">
        <v>0</v>
      </c>
      <c r="G2176" s="25">
        <v>0</v>
      </c>
    </row>
    <row r="2177" spans="1:7" x14ac:dyDescent="0.25">
      <c r="A2177" s="14" t="s">
        <v>756</v>
      </c>
      <c r="B2177" s="14" t="s">
        <v>46</v>
      </c>
      <c r="C2177" s="15" t="s">
        <v>755</v>
      </c>
      <c r="D2177" s="14" t="s">
        <v>1745</v>
      </c>
      <c r="E2177" s="14" t="s">
        <v>1747</v>
      </c>
      <c r="F2177" s="25">
        <v>199680</v>
      </c>
      <c r="G2177" s="25">
        <v>179712</v>
      </c>
    </row>
    <row r="2178" spans="1:7" x14ac:dyDescent="0.25">
      <c r="A2178" s="14" t="s">
        <v>756</v>
      </c>
      <c r="B2178" s="14" t="s">
        <v>195</v>
      </c>
      <c r="C2178" s="15" t="s">
        <v>2417</v>
      </c>
      <c r="D2178" s="14" t="s">
        <v>1745</v>
      </c>
      <c r="E2178" s="14" t="s">
        <v>1746</v>
      </c>
      <c r="F2178" s="25">
        <v>0</v>
      </c>
      <c r="G2178" s="25">
        <v>0</v>
      </c>
    </row>
    <row r="2179" spans="1:7" x14ac:dyDescent="0.25">
      <c r="A2179" s="14" t="s">
        <v>756</v>
      </c>
      <c r="B2179" s="14" t="s">
        <v>102</v>
      </c>
      <c r="C2179" s="15" t="s">
        <v>2419</v>
      </c>
      <c r="D2179" s="14" t="s">
        <v>1745</v>
      </c>
      <c r="E2179" s="14" t="s">
        <v>1746</v>
      </c>
      <c r="F2179" s="25">
        <v>0</v>
      </c>
      <c r="G2179" s="25">
        <v>0</v>
      </c>
    </row>
    <row r="2180" spans="1:7" x14ac:dyDescent="0.25">
      <c r="A2180" s="14" t="s">
        <v>756</v>
      </c>
      <c r="B2180" s="14">
        <v>11</v>
      </c>
      <c r="C2180" s="15" t="s">
        <v>2418</v>
      </c>
      <c r="D2180" s="14" t="s">
        <v>1745</v>
      </c>
      <c r="E2180" s="14" t="s">
        <v>1746</v>
      </c>
      <c r="F2180" s="25">
        <v>115290</v>
      </c>
      <c r="G2180" s="25">
        <v>103761</v>
      </c>
    </row>
    <row r="2181" spans="1:7" x14ac:dyDescent="0.25">
      <c r="A2181" s="14" t="s">
        <v>773</v>
      </c>
      <c r="B2181" s="14">
        <v>3</v>
      </c>
      <c r="C2181" s="15" t="s">
        <v>2420</v>
      </c>
      <c r="D2181" s="14" t="s">
        <v>1745</v>
      </c>
      <c r="E2181" s="14" t="s">
        <v>1747</v>
      </c>
      <c r="F2181" s="25">
        <v>1197.5999999999999</v>
      </c>
      <c r="G2181" s="25">
        <v>1077.8399999999999</v>
      </c>
    </row>
    <row r="2182" spans="1:7" x14ac:dyDescent="0.25">
      <c r="A2182" s="14" t="s">
        <v>773</v>
      </c>
      <c r="B2182" s="14">
        <v>3</v>
      </c>
      <c r="C2182" s="15" t="s">
        <v>2420</v>
      </c>
      <c r="D2182" s="14" t="s">
        <v>1745</v>
      </c>
      <c r="E2182" s="14" t="s">
        <v>1746</v>
      </c>
      <c r="F2182" s="25">
        <v>1257.48</v>
      </c>
      <c r="G2182" s="25">
        <v>1131.72</v>
      </c>
    </row>
    <row r="2183" spans="1:7" x14ac:dyDescent="0.25">
      <c r="A2183" s="14" t="s">
        <v>773</v>
      </c>
      <c r="B2183" s="14">
        <v>3</v>
      </c>
      <c r="C2183" s="15" t="s">
        <v>2420</v>
      </c>
      <c r="D2183" s="14" t="s">
        <v>1749</v>
      </c>
      <c r="E2183" s="14" t="s">
        <v>1746</v>
      </c>
      <c r="F2183" s="25">
        <v>119.76</v>
      </c>
      <c r="G2183" s="25">
        <v>107.78</v>
      </c>
    </row>
    <row r="2184" spans="1:7" x14ac:dyDescent="0.25">
      <c r="A2184" s="14" t="s">
        <v>773</v>
      </c>
      <c r="B2184" s="14">
        <v>2</v>
      </c>
      <c r="C2184" s="15" t="s">
        <v>772</v>
      </c>
      <c r="D2184" s="14" t="s">
        <v>1745</v>
      </c>
      <c r="E2184" s="14" t="s">
        <v>1746</v>
      </c>
      <c r="F2184" s="25">
        <v>3150</v>
      </c>
      <c r="G2184" s="25">
        <v>2520</v>
      </c>
    </row>
    <row r="2185" spans="1:7" x14ac:dyDescent="0.25">
      <c r="A2185" s="14" t="s">
        <v>773</v>
      </c>
      <c r="B2185" s="14">
        <v>2</v>
      </c>
      <c r="C2185" s="15" t="s">
        <v>772</v>
      </c>
      <c r="D2185" s="14" t="s">
        <v>1745</v>
      </c>
      <c r="E2185" s="14" t="s">
        <v>1747</v>
      </c>
      <c r="F2185" s="25">
        <v>3000</v>
      </c>
      <c r="G2185" s="25">
        <v>2400</v>
      </c>
    </row>
    <row r="2186" spans="1:7" x14ac:dyDescent="0.25">
      <c r="A2186" s="14" t="s">
        <v>773</v>
      </c>
      <c r="B2186" s="14">
        <v>2</v>
      </c>
      <c r="C2186" s="15" t="s">
        <v>772</v>
      </c>
      <c r="D2186" s="14" t="s">
        <v>1749</v>
      </c>
      <c r="E2186" s="14" t="s">
        <v>1746</v>
      </c>
      <c r="F2186" s="25">
        <v>300</v>
      </c>
      <c r="G2186" s="25">
        <v>240</v>
      </c>
    </row>
    <row r="2187" spans="1:7" x14ac:dyDescent="0.25">
      <c r="A2187" s="14" t="s">
        <v>776</v>
      </c>
      <c r="B2187" s="14">
        <v>5</v>
      </c>
      <c r="C2187" s="15" t="s">
        <v>775</v>
      </c>
      <c r="D2187" s="14" t="s">
        <v>1752</v>
      </c>
      <c r="E2187" s="14" t="s">
        <v>1747</v>
      </c>
      <c r="F2187" s="25">
        <v>9000</v>
      </c>
      <c r="G2187" s="25">
        <v>7200</v>
      </c>
    </row>
    <row r="2188" spans="1:7" x14ac:dyDescent="0.25">
      <c r="A2188" s="14" t="s">
        <v>776</v>
      </c>
      <c r="B2188" s="14">
        <v>7</v>
      </c>
      <c r="C2188" s="15" t="s">
        <v>2421</v>
      </c>
      <c r="D2188" s="14" t="s">
        <v>1745</v>
      </c>
      <c r="E2188" s="14" t="s">
        <v>1747</v>
      </c>
      <c r="F2188" s="25">
        <v>1197.5999999999999</v>
      </c>
      <c r="G2188" s="25">
        <v>1077.8399999999999</v>
      </c>
    </row>
    <row r="2189" spans="1:7" x14ac:dyDescent="0.25">
      <c r="A2189" s="14" t="s">
        <v>776</v>
      </c>
      <c r="B2189" s="14">
        <v>6</v>
      </c>
      <c r="C2189" s="15" t="s">
        <v>775</v>
      </c>
      <c r="D2189" s="14" t="s">
        <v>1749</v>
      </c>
      <c r="E2189" s="14" t="s">
        <v>1766</v>
      </c>
      <c r="F2189" s="25">
        <v>0</v>
      </c>
      <c r="G2189" s="25">
        <v>0</v>
      </c>
    </row>
    <row r="2190" spans="1:7" x14ac:dyDescent="0.25">
      <c r="A2190" s="14" t="s">
        <v>776</v>
      </c>
      <c r="B2190" s="14">
        <v>5</v>
      </c>
      <c r="C2190" s="15" t="s">
        <v>775</v>
      </c>
      <c r="D2190" s="14" t="s">
        <v>1745</v>
      </c>
      <c r="E2190" s="14" t="s">
        <v>1746</v>
      </c>
      <c r="F2190" s="25">
        <v>3150</v>
      </c>
      <c r="G2190" s="25">
        <v>2520</v>
      </c>
    </row>
    <row r="2191" spans="1:7" x14ac:dyDescent="0.25">
      <c r="A2191" s="14" t="s">
        <v>776</v>
      </c>
      <c r="B2191" s="14">
        <v>7</v>
      </c>
      <c r="C2191" s="15" t="s">
        <v>2421</v>
      </c>
      <c r="D2191" s="14" t="s">
        <v>1749</v>
      </c>
      <c r="E2191" s="14" t="s">
        <v>1746</v>
      </c>
      <c r="F2191" s="25">
        <v>119.76</v>
      </c>
      <c r="G2191" s="25">
        <v>107.78</v>
      </c>
    </row>
    <row r="2192" spans="1:7" x14ac:dyDescent="0.25">
      <c r="A2192" s="14" t="s">
        <v>776</v>
      </c>
      <c r="B2192" s="14">
        <v>5</v>
      </c>
      <c r="C2192" s="15" t="s">
        <v>775</v>
      </c>
      <c r="D2192" s="14" t="s">
        <v>1752</v>
      </c>
      <c r="E2192" s="14" t="s">
        <v>1753</v>
      </c>
      <c r="F2192" s="25">
        <v>9000</v>
      </c>
      <c r="G2192" s="25">
        <v>7200</v>
      </c>
    </row>
    <row r="2193" spans="1:7" x14ac:dyDescent="0.25">
      <c r="A2193" s="14" t="s">
        <v>776</v>
      </c>
      <c r="B2193" s="14">
        <v>7</v>
      </c>
      <c r="C2193" s="15" t="s">
        <v>2421</v>
      </c>
      <c r="D2193" s="14" t="s">
        <v>1745</v>
      </c>
      <c r="E2193" s="14" t="s">
        <v>1746</v>
      </c>
      <c r="F2193" s="25">
        <v>1257.48</v>
      </c>
      <c r="G2193" s="25">
        <v>1131.72</v>
      </c>
    </row>
    <row r="2194" spans="1:7" x14ac:dyDescent="0.25">
      <c r="A2194" s="14" t="s">
        <v>776</v>
      </c>
      <c r="B2194" s="14">
        <v>5</v>
      </c>
      <c r="C2194" s="15" t="s">
        <v>775</v>
      </c>
      <c r="D2194" s="14" t="s">
        <v>1749</v>
      </c>
      <c r="E2194" s="14" t="s">
        <v>1746</v>
      </c>
      <c r="F2194" s="25">
        <v>300</v>
      </c>
      <c r="G2194" s="25">
        <v>240</v>
      </c>
    </row>
    <row r="2195" spans="1:7" x14ac:dyDescent="0.25">
      <c r="A2195" s="14" t="s">
        <v>776</v>
      </c>
      <c r="B2195" s="14">
        <v>5</v>
      </c>
      <c r="C2195" s="15" t="s">
        <v>775</v>
      </c>
      <c r="D2195" s="14" t="s">
        <v>1745</v>
      </c>
      <c r="E2195" s="14" t="s">
        <v>1747</v>
      </c>
      <c r="F2195" s="25">
        <v>3000</v>
      </c>
      <c r="G2195" s="25">
        <v>2400</v>
      </c>
    </row>
    <row r="2196" spans="1:7" x14ac:dyDescent="0.25">
      <c r="A2196" s="14" t="s">
        <v>782</v>
      </c>
      <c r="B2196" s="14" t="s">
        <v>29</v>
      </c>
      <c r="C2196" s="15" t="s">
        <v>2422</v>
      </c>
      <c r="D2196" s="14" t="s">
        <v>1745</v>
      </c>
      <c r="E2196" s="14" t="s">
        <v>1746</v>
      </c>
      <c r="F2196" s="25">
        <v>917.28</v>
      </c>
      <c r="G2196" s="25">
        <v>825.6</v>
      </c>
    </row>
    <row r="2197" spans="1:7" x14ac:dyDescent="0.25">
      <c r="A2197" s="14" t="s">
        <v>782</v>
      </c>
      <c r="B2197" s="14" t="s">
        <v>36</v>
      </c>
      <c r="C2197" s="15" t="s">
        <v>2423</v>
      </c>
      <c r="D2197" s="14" t="s">
        <v>1745</v>
      </c>
      <c r="E2197" s="14" t="s">
        <v>1746</v>
      </c>
      <c r="F2197" s="25">
        <v>733.8</v>
      </c>
      <c r="G2197" s="25">
        <v>587.04</v>
      </c>
    </row>
    <row r="2198" spans="1:7" x14ac:dyDescent="0.25">
      <c r="A2198" s="14" t="s">
        <v>782</v>
      </c>
      <c r="B2198" s="14" t="s">
        <v>122</v>
      </c>
      <c r="C2198" s="15" t="s">
        <v>2424</v>
      </c>
      <c r="D2198" s="14" t="s">
        <v>1749</v>
      </c>
      <c r="E2198" s="14" t="s">
        <v>1746</v>
      </c>
      <c r="F2198" s="25">
        <v>69.89</v>
      </c>
      <c r="G2198" s="25">
        <v>55.91</v>
      </c>
    </row>
    <row r="2199" spans="1:7" x14ac:dyDescent="0.25">
      <c r="A2199" s="14" t="s">
        <v>782</v>
      </c>
      <c r="B2199" s="14" t="s">
        <v>46</v>
      </c>
      <c r="C2199" s="15" t="s">
        <v>783</v>
      </c>
      <c r="D2199" s="14" t="s">
        <v>1745</v>
      </c>
      <c r="E2199" s="14" t="s">
        <v>1746</v>
      </c>
      <c r="F2199" s="25">
        <v>2520</v>
      </c>
      <c r="G2199" s="25">
        <v>2016</v>
      </c>
    </row>
    <row r="2200" spans="1:7" x14ac:dyDescent="0.25">
      <c r="A2200" s="14" t="s">
        <v>782</v>
      </c>
      <c r="B2200" s="14">
        <v>1</v>
      </c>
      <c r="C2200" s="15" t="s">
        <v>786</v>
      </c>
      <c r="D2200" s="14" t="s">
        <v>1749</v>
      </c>
      <c r="E2200" s="14" t="s">
        <v>1746</v>
      </c>
      <c r="F2200" s="25">
        <v>348</v>
      </c>
      <c r="G2200" s="25">
        <v>278.39999999999998</v>
      </c>
    </row>
    <row r="2201" spans="1:7" x14ac:dyDescent="0.25">
      <c r="A2201" s="14" t="s">
        <v>782</v>
      </c>
      <c r="B2201" s="14" t="s">
        <v>46</v>
      </c>
      <c r="C2201" s="15" t="s">
        <v>783</v>
      </c>
      <c r="D2201" s="14" t="s">
        <v>1745</v>
      </c>
      <c r="E2201" s="14" t="s">
        <v>1747</v>
      </c>
      <c r="F2201" s="25">
        <v>2400</v>
      </c>
      <c r="G2201" s="25">
        <v>1920</v>
      </c>
    </row>
    <row r="2202" spans="1:7" x14ac:dyDescent="0.25">
      <c r="A2202" s="14" t="s">
        <v>782</v>
      </c>
      <c r="B2202" s="14" t="s">
        <v>122</v>
      </c>
      <c r="C2202" s="15" t="s">
        <v>2424</v>
      </c>
      <c r="D2202" s="14" t="s">
        <v>1745</v>
      </c>
      <c r="E2202" s="14" t="s">
        <v>1747</v>
      </c>
      <c r="F2202" s="25">
        <v>698.88</v>
      </c>
      <c r="G2202" s="25">
        <v>559.1</v>
      </c>
    </row>
    <row r="2203" spans="1:7" x14ac:dyDescent="0.25">
      <c r="A2203" s="14" t="s">
        <v>782</v>
      </c>
      <c r="B2203" s="14" t="s">
        <v>36</v>
      </c>
      <c r="C2203" s="15" t="s">
        <v>2423</v>
      </c>
      <c r="D2203" s="14" t="s">
        <v>1745</v>
      </c>
      <c r="E2203" s="14" t="s">
        <v>1747</v>
      </c>
      <c r="F2203" s="25">
        <v>698.88</v>
      </c>
      <c r="G2203" s="25">
        <v>559.1</v>
      </c>
    </row>
    <row r="2204" spans="1:7" x14ac:dyDescent="0.25">
      <c r="A2204" s="14" t="s">
        <v>782</v>
      </c>
      <c r="B2204" s="14">
        <v>1</v>
      </c>
      <c r="C2204" s="15" t="s">
        <v>786</v>
      </c>
      <c r="D2204" s="14" t="s">
        <v>1745</v>
      </c>
      <c r="E2204" s="14" t="s">
        <v>1746</v>
      </c>
      <c r="F2204" s="25">
        <v>3654</v>
      </c>
      <c r="G2204" s="25">
        <v>2923.2</v>
      </c>
    </row>
    <row r="2205" spans="1:7" x14ac:dyDescent="0.25">
      <c r="A2205" s="14" t="s">
        <v>782</v>
      </c>
      <c r="B2205" s="14" t="s">
        <v>29</v>
      </c>
      <c r="C2205" s="15" t="s">
        <v>2422</v>
      </c>
      <c r="D2205" s="14" t="s">
        <v>1745</v>
      </c>
      <c r="E2205" s="14" t="s">
        <v>1747</v>
      </c>
      <c r="F2205" s="25">
        <v>873.6</v>
      </c>
      <c r="G2205" s="25">
        <v>786.24</v>
      </c>
    </row>
    <row r="2206" spans="1:7" x14ac:dyDescent="0.25">
      <c r="A2206" s="14" t="s">
        <v>782</v>
      </c>
      <c r="B2206" s="14" t="s">
        <v>46</v>
      </c>
      <c r="C2206" s="15" t="s">
        <v>783</v>
      </c>
      <c r="D2206" s="14" t="s">
        <v>1749</v>
      </c>
      <c r="E2206" s="14" t="s">
        <v>1746</v>
      </c>
      <c r="F2206" s="25">
        <v>240</v>
      </c>
      <c r="G2206" s="25">
        <v>192</v>
      </c>
    </row>
    <row r="2207" spans="1:7" x14ac:dyDescent="0.25">
      <c r="A2207" s="14" t="s">
        <v>782</v>
      </c>
      <c r="B2207" s="14">
        <v>1</v>
      </c>
      <c r="C2207" s="15" t="s">
        <v>786</v>
      </c>
      <c r="D2207" s="14" t="s">
        <v>1745</v>
      </c>
      <c r="E2207" s="14" t="s">
        <v>1747</v>
      </c>
      <c r="F2207" s="25">
        <v>3480</v>
      </c>
      <c r="G2207" s="25">
        <v>2784</v>
      </c>
    </row>
    <row r="2208" spans="1:7" x14ac:dyDescent="0.25">
      <c r="A2208" s="14" t="s">
        <v>782</v>
      </c>
      <c r="B2208" s="14" t="s">
        <v>29</v>
      </c>
      <c r="C2208" s="15" t="s">
        <v>2422</v>
      </c>
      <c r="D2208" s="14" t="s">
        <v>1749</v>
      </c>
      <c r="E2208" s="14" t="s">
        <v>1746</v>
      </c>
      <c r="F2208" s="25">
        <v>87.36</v>
      </c>
      <c r="G2208" s="25">
        <v>78.62</v>
      </c>
    </row>
    <row r="2209" spans="1:7" x14ac:dyDescent="0.25">
      <c r="A2209" s="14" t="s">
        <v>782</v>
      </c>
      <c r="B2209" s="14" t="s">
        <v>122</v>
      </c>
      <c r="C2209" s="15" t="s">
        <v>2424</v>
      </c>
      <c r="D2209" s="14" t="s">
        <v>1745</v>
      </c>
      <c r="E2209" s="14" t="s">
        <v>1746</v>
      </c>
      <c r="F2209" s="25">
        <v>733.8</v>
      </c>
      <c r="G2209" s="25">
        <v>587.04</v>
      </c>
    </row>
    <row r="2210" spans="1:7" x14ac:dyDescent="0.25">
      <c r="A2210" s="14" t="s">
        <v>782</v>
      </c>
      <c r="B2210" s="14" t="s">
        <v>36</v>
      </c>
      <c r="C2210" s="15" t="s">
        <v>2423</v>
      </c>
      <c r="D2210" s="14" t="s">
        <v>1749</v>
      </c>
      <c r="E2210" s="14" t="s">
        <v>1746</v>
      </c>
      <c r="F2210" s="25">
        <v>69.89</v>
      </c>
      <c r="G2210" s="25">
        <v>55.91</v>
      </c>
    </row>
    <row r="2211" spans="1:7" x14ac:dyDescent="0.25">
      <c r="A2211" s="14" t="s">
        <v>789</v>
      </c>
      <c r="B2211" s="14">
        <v>7</v>
      </c>
      <c r="C2211" s="15" t="s">
        <v>2425</v>
      </c>
      <c r="D2211" s="14" t="s">
        <v>1745</v>
      </c>
      <c r="E2211" s="14" t="s">
        <v>1746</v>
      </c>
      <c r="F2211" s="25">
        <v>628.79999999999995</v>
      </c>
      <c r="G2211" s="25">
        <v>503.04</v>
      </c>
    </row>
    <row r="2212" spans="1:7" x14ac:dyDescent="0.25">
      <c r="A2212" s="14" t="s">
        <v>789</v>
      </c>
      <c r="B2212" s="14">
        <v>3</v>
      </c>
      <c r="C2212" s="15" t="s">
        <v>788</v>
      </c>
      <c r="D2212" s="14" t="s">
        <v>1745</v>
      </c>
      <c r="E2212" s="14" t="s">
        <v>1746</v>
      </c>
      <c r="F2212" s="25">
        <v>3150</v>
      </c>
      <c r="G2212" s="25">
        <v>2520</v>
      </c>
    </row>
    <row r="2213" spans="1:7" x14ac:dyDescent="0.25">
      <c r="A2213" s="14" t="s">
        <v>789</v>
      </c>
      <c r="B2213" s="14" t="s">
        <v>20</v>
      </c>
      <c r="C2213" s="15" t="s">
        <v>2426</v>
      </c>
      <c r="D2213" s="14" t="s">
        <v>1749</v>
      </c>
      <c r="E2213" s="14" t="s">
        <v>1746</v>
      </c>
      <c r="F2213" s="25">
        <v>59.88</v>
      </c>
      <c r="G2213" s="25">
        <v>47.9</v>
      </c>
    </row>
    <row r="2214" spans="1:7" x14ac:dyDescent="0.25">
      <c r="A2214" s="14" t="s">
        <v>789</v>
      </c>
      <c r="B2214" s="14">
        <v>7</v>
      </c>
      <c r="C2214" s="15" t="s">
        <v>2425</v>
      </c>
      <c r="D2214" s="14" t="s">
        <v>1745</v>
      </c>
      <c r="E2214" s="14" t="s">
        <v>1747</v>
      </c>
      <c r="F2214" s="25">
        <v>598.79999999999995</v>
      </c>
      <c r="G2214" s="25">
        <v>479.04</v>
      </c>
    </row>
    <row r="2215" spans="1:7" x14ac:dyDescent="0.25">
      <c r="A2215" s="14" t="s">
        <v>789</v>
      </c>
      <c r="B2215" s="14">
        <v>5</v>
      </c>
      <c r="C2215" s="15" t="s">
        <v>2427</v>
      </c>
      <c r="D2215" s="14" t="s">
        <v>1745</v>
      </c>
      <c r="E2215" s="14" t="s">
        <v>1747</v>
      </c>
      <c r="F2215" s="25">
        <v>1980</v>
      </c>
      <c r="G2215" s="25">
        <v>1584</v>
      </c>
    </row>
    <row r="2216" spans="1:7" x14ac:dyDescent="0.25">
      <c r="A2216" s="14" t="s">
        <v>789</v>
      </c>
      <c r="B2216" s="14" t="s">
        <v>20</v>
      </c>
      <c r="C2216" s="15" t="s">
        <v>2426</v>
      </c>
      <c r="D2216" s="14" t="s">
        <v>1745</v>
      </c>
      <c r="E2216" s="14" t="s">
        <v>1746</v>
      </c>
      <c r="F2216" s="25">
        <v>628.79999999999995</v>
      </c>
      <c r="G2216" s="25">
        <v>503.04</v>
      </c>
    </row>
    <row r="2217" spans="1:7" x14ac:dyDescent="0.25">
      <c r="A2217" s="14" t="s">
        <v>789</v>
      </c>
      <c r="B2217" s="14">
        <v>3</v>
      </c>
      <c r="C2217" s="15" t="s">
        <v>788</v>
      </c>
      <c r="D2217" s="14" t="s">
        <v>1749</v>
      </c>
      <c r="E2217" s="14" t="s">
        <v>1746</v>
      </c>
      <c r="F2217" s="25">
        <v>300</v>
      </c>
      <c r="G2217" s="25">
        <v>240</v>
      </c>
    </row>
    <row r="2218" spans="1:7" x14ac:dyDescent="0.25">
      <c r="A2218" s="14" t="s">
        <v>789</v>
      </c>
      <c r="B2218" s="14">
        <v>5</v>
      </c>
      <c r="C2218" s="15" t="s">
        <v>2427</v>
      </c>
      <c r="D2218" s="14" t="s">
        <v>1745</v>
      </c>
      <c r="E2218" s="14" t="s">
        <v>1746</v>
      </c>
      <c r="F2218" s="25">
        <v>2079</v>
      </c>
      <c r="G2218" s="25">
        <v>1663.2</v>
      </c>
    </row>
    <row r="2219" spans="1:7" x14ac:dyDescent="0.25">
      <c r="A2219" s="14" t="s">
        <v>789</v>
      </c>
      <c r="B2219" s="14">
        <v>3</v>
      </c>
      <c r="C2219" s="15" t="s">
        <v>788</v>
      </c>
      <c r="D2219" s="14" t="s">
        <v>1745</v>
      </c>
      <c r="E2219" s="14" t="s">
        <v>1747</v>
      </c>
      <c r="F2219" s="25">
        <v>3000</v>
      </c>
      <c r="G2219" s="25">
        <v>2400</v>
      </c>
    </row>
    <row r="2220" spans="1:7" x14ac:dyDescent="0.25">
      <c r="A2220" s="14" t="s">
        <v>789</v>
      </c>
      <c r="B2220" s="14">
        <v>5</v>
      </c>
      <c r="C2220" s="15" t="s">
        <v>2427</v>
      </c>
      <c r="D2220" s="14" t="s">
        <v>1749</v>
      </c>
      <c r="E2220" s="14" t="s">
        <v>1746</v>
      </c>
      <c r="F2220" s="25">
        <v>198</v>
      </c>
      <c r="G2220" s="25">
        <v>158.4</v>
      </c>
    </row>
    <row r="2221" spans="1:7" x14ac:dyDescent="0.25">
      <c r="A2221" s="14" t="s">
        <v>789</v>
      </c>
      <c r="B2221" s="14">
        <v>9</v>
      </c>
      <c r="C2221" s="15" t="s">
        <v>2428</v>
      </c>
      <c r="D2221" s="14" t="s">
        <v>1749</v>
      </c>
      <c r="E2221" s="14" t="s">
        <v>1746</v>
      </c>
      <c r="F2221" s="25">
        <v>74.88</v>
      </c>
      <c r="G2221" s="25">
        <v>67.39</v>
      </c>
    </row>
    <row r="2222" spans="1:7" x14ac:dyDescent="0.25">
      <c r="A2222" s="14" t="s">
        <v>789</v>
      </c>
      <c r="B2222" s="14">
        <v>9</v>
      </c>
      <c r="C2222" s="15" t="s">
        <v>2428</v>
      </c>
      <c r="D2222" s="14" t="s">
        <v>1745</v>
      </c>
      <c r="E2222" s="14" t="s">
        <v>1746</v>
      </c>
      <c r="F2222" s="25">
        <v>786.24</v>
      </c>
      <c r="G2222" s="25">
        <v>707.64</v>
      </c>
    </row>
    <row r="2223" spans="1:7" x14ac:dyDescent="0.25">
      <c r="A2223" s="14" t="s">
        <v>789</v>
      </c>
      <c r="B2223" s="14">
        <v>7</v>
      </c>
      <c r="C2223" s="15" t="s">
        <v>2425</v>
      </c>
      <c r="D2223" s="14" t="s">
        <v>1749</v>
      </c>
      <c r="E2223" s="14" t="s">
        <v>1746</v>
      </c>
      <c r="F2223" s="25">
        <v>59.88</v>
      </c>
      <c r="G2223" s="25">
        <v>47.9</v>
      </c>
    </row>
    <row r="2224" spans="1:7" x14ac:dyDescent="0.25">
      <c r="A2224" s="14" t="s">
        <v>789</v>
      </c>
      <c r="B2224" s="14" t="s">
        <v>20</v>
      </c>
      <c r="C2224" s="15" t="s">
        <v>2426</v>
      </c>
      <c r="D2224" s="14" t="s">
        <v>1745</v>
      </c>
      <c r="E2224" s="14" t="s">
        <v>1747</v>
      </c>
      <c r="F2224" s="25">
        <v>598.79999999999995</v>
      </c>
      <c r="G2224" s="25">
        <v>479.04</v>
      </c>
    </row>
    <row r="2225" spans="1:7" x14ac:dyDescent="0.25">
      <c r="A2225" s="14" t="s">
        <v>789</v>
      </c>
      <c r="B2225" s="14">
        <v>9</v>
      </c>
      <c r="C2225" s="15" t="s">
        <v>2428</v>
      </c>
      <c r="D2225" s="14" t="s">
        <v>1745</v>
      </c>
      <c r="E2225" s="14" t="s">
        <v>1747</v>
      </c>
      <c r="F2225" s="25">
        <v>748.8</v>
      </c>
      <c r="G2225" s="25">
        <v>673.92</v>
      </c>
    </row>
    <row r="2226" spans="1:7" x14ac:dyDescent="0.25">
      <c r="A2226" s="14" t="s">
        <v>798</v>
      </c>
      <c r="B2226" s="14" t="s">
        <v>650</v>
      </c>
      <c r="C2226" s="15" t="s">
        <v>2429</v>
      </c>
      <c r="D2226" s="14" t="s">
        <v>1745</v>
      </c>
      <c r="E2226" s="14" t="s">
        <v>1747</v>
      </c>
      <c r="F2226" s="25">
        <v>3480</v>
      </c>
      <c r="G2226" s="25">
        <v>2784</v>
      </c>
    </row>
    <row r="2227" spans="1:7" x14ac:dyDescent="0.25">
      <c r="A2227" s="14" t="s">
        <v>798</v>
      </c>
      <c r="B2227" s="14" t="s">
        <v>243</v>
      </c>
      <c r="C2227" s="15" t="s">
        <v>2430</v>
      </c>
      <c r="D2227" s="14" t="s">
        <v>1749</v>
      </c>
      <c r="E2227" s="14" t="s">
        <v>1746</v>
      </c>
      <c r="F2227" s="25">
        <v>252</v>
      </c>
      <c r="G2227" s="25">
        <v>201.6</v>
      </c>
    </row>
    <row r="2228" spans="1:7" x14ac:dyDescent="0.25">
      <c r="A2228" s="14" t="s">
        <v>798</v>
      </c>
      <c r="B2228" s="14" t="s">
        <v>650</v>
      </c>
      <c r="C2228" s="15" t="s">
        <v>2429</v>
      </c>
      <c r="D2228" s="14" t="s">
        <v>1745</v>
      </c>
      <c r="E2228" s="14" t="s">
        <v>1746</v>
      </c>
      <c r="F2228" s="25">
        <v>3654</v>
      </c>
      <c r="G2228" s="25">
        <v>2923.2</v>
      </c>
    </row>
    <row r="2229" spans="1:7" x14ac:dyDescent="0.25">
      <c r="A2229" s="14" t="s">
        <v>798</v>
      </c>
      <c r="B2229" s="14" t="s">
        <v>118</v>
      </c>
      <c r="C2229" s="15" t="s">
        <v>2431</v>
      </c>
      <c r="D2229" s="14" t="s">
        <v>1749</v>
      </c>
      <c r="E2229" s="14" t="s">
        <v>1746</v>
      </c>
      <c r="F2229" s="25">
        <v>210</v>
      </c>
      <c r="G2229" s="25">
        <v>189</v>
      </c>
    </row>
    <row r="2230" spans="1:7" x14ac:dyDescent="0.25">
      <c r="A2230" s="14" t="s">
        <v>798</v>
      </c>
      <c r="B2230" s="14" t="s">
        <v>120</v>
      </c>
      <c r="C2230" s="15" t="s">
        <v>2432</v>
      </c>
      <c r="D2230" s="14" t="s">
        <v>1749</v>
      </c>
      <c r="E2230" s="14" t="s">
        <v>1766</v>
      </c>
      <c r="F2230" s="25">
        <v>0</v>
      </c>
      <c r="G2230" s="25">
        <v>0</v>
      </c>
    </row>
    <row r="2231" spans="1:7" x14ac:dyDescent="0.25">
      <c r="A2231" s="14" t="s">
        <v>798</v>
      </c>
      <c r="B2231" s="14">
        <v>3</v>
      </c>
      <c r="C2231" s="15" t="s">
        <v>813</v>
      </c>
      <c r="D2231" s="14" t="s">
        <v>1745</v>
      </c>
      <c r="E2231" s="14" t="s">
        <v>1746</v>
      </c>
      <c r="F2231" s="25">
        <v>5481</v>
      </c>
      <c r="G2231" s="25">
        <v>4384.8</v>
      </c>
    </row>
    <row r="2232" spans="1:7" x14ac:dyDescent="0.25">
      <c r="A2232" s="14" t="s">
        <v>798</v>
      </c>
      <c r="B2232" s="14" t="s">
        <v>173</v>
      </c>
      <c r="C2232" s="15" t="s">
        <v>2433</v>
      </c>
      <c r="D2232" s="14" t="s">
        <v>1749</v>
      </c>
      <c r="E2232" s="14" t="s">
        <v>1746</v>
      </c>
      <c r="F2232" s="25">
        <v>522</v>
      </c>
      <c r="G2232" s="25">
        <v>417.6</v>
      </c>
    </row>
    <row r="2233" spans="1:7" x14ac:dyDescent="0.25">
      <c r="A2233" s="14" t="s">
        <v>798</v>
      </c>
      <c r="B2233" s="14" t="s">
        <v>102</v>
      </c>
      <c r="C2233" s="15" t="s">
        <v>2434</v>
      </c>
      <c r="D2233" s="14" t="s">
        <v>1745</v>
      </c>
      <c r="E2233" s="14" t="s">
        <v>1747</v>
      </c>
      <c r="F2233" s="25">
        <v>2100</v>
      </c>
      <c r="G2233" s="25">
        <v>1890</v>
      </c>
    </row>
    <row r="2234" spans="1:7" x14ac:dyDescent="0.25">
      <c r="A2234" s="14" t="s">
        <v>798</v>
      </c>
      <c r="B2234" s="14" t="s">
        <v>98</v>
      </c>
      <c r="C2234" s="15" t="s">
        <v>2432</v>
      </c>
      <c r="D2234" s="14" t="s">
        <v>1749</v>
      </c>
      <c r="E2234" s="14" t="s">
        <v>1746</v>
      </c>
      <c r="F2234" s="25">
        <v>107.82</v>
      </c>
      <c r="G2234" s="25">
        <v>86.26</v>
      </c>
    </row>
    <row r="2235" spans="1:7" x14ac:dyDescent="0.25">
      <c r="A2235" s="14" t="s">
        <v>798</v>
      </c>
      <c r="B2235" s="14">
        <v>1</v>
      </c>
      <c r="C2235" s="15" t="s">
        <v>796</v>
      </c>
      <c r="D2235" s="14" t="s">
        <v>1745</v>
      </c>
      <c r="E2235" s="14" t="s">
        <v>1746</v>
      </c>
      <c r="F2235" s="25">
        <v>5481</v>
      </c>
      <c r="G2235" s="25">
        <v>4384.8</v>
      </c>
    </row>
    <row r="2236" spans="1:7" x14ac:dyDescent="0.25">
      <c r="A2236" s="14" t="s">
        <v>798</v>
      </c>
      <c r="B2236" s="14" t="s">
        <v>243</v>
      </c>
      <c r="C2236" s="15" t="s">
        <v>2430</v>
      </c>
      <c r="D2236" s="14" t="s">
        <v>1745</v>
      </c>
      <c r="E2236" s="14" t="s">
        <v>1747</v>
      </c>
      <c r="F2236" s="25">
        <v>2520</v>
      </c>
      <c r="G2236" s="25">
        <v>2016</v>
      </c>
    </row>
    <row r="2237" spans="1:7" x14ac:dyDescent="0.25">
      <c r="A2237" s="14" t="s">
        <v>798</v>
      </c>
      <c r="B2237" s="14" t="s">
        <v>118</v>
      </c>
      <c r="C2237" s="15" t="s">
        <v>2431</v>
      </c>
      <c r="D2237" s="14" t="s">
        <v>1745</v>
      </c>
      <c r="E2237" s="14" t="s">
        <v>1746</v>
      </c>
      <c r="F2237" s="25">
        <v>2205</v>
      </c>
      <c r="G2237" s="25">
        <v>1984.56</v>
      </c>
    </row>
    <row r="2238" spans="1:7" x14ac:dyDescent="0.25">
      <c r="A2238" s="14" t="s">
        <v>798</v>
      </c>
      <c r="B2238" s="14" t="s">
        <v>98</v>
      </c>
      <c r="C2238" s="15" t="s">
        <v>2432</v>
      </c>
      <c r="D2238" s="14" t="s">
        <v>1745</v>
      </c>
      <c r="E2238" s="14" t="s">
        <v>1747</v>
      </c>
      <c r="F2238" s="25">
        <v>1078.2</v>
      </c>
      <c r="G2238" s="25">
        <v>862.56</v>
      </c>
    </row>
    <row r="2239" spans="1:7" x14ac:dyDescent="0.25">
      <c r="A2239" s="14" t="s">
        <v>798</v>
      </c>
      <c r="B2239" s="14" t="s">
        <v>243</v>
      </c>
      <c r="C2239" s="15" t="s">
        <v>2430</v>
      </c>
      <c r="D2239" s="14" t="s">
        <v>1745</v>
      </c>
      <c r="E2239" s="14" t="s">
        <v>1746</v>
      </c>
      <c r="F2239" s="25">
        <v>2646</v>
      </c>
      <c r="G2239" s="25">
        <v>2116.8000000000002</v>
      </c>
    </row>
    <row r="2240" spans="1:7" x14ac:dyDescent="0.25">
      <c r="A2240" s="14" t="s">
        <v>798</v>
      </c>
      <c r="B2240" s="14" t="s">
        <v>102</v>
      </c>
      <c r="C2240" s="15" t="s">
        <v>2434</v>
      </c>
      <c r="D2240" s="14" t="s">
        <v>1745</v>
      </c>
      <c r="E2240" s="14" t="s">
        <v>1746</v>
      </c>
      <c r="F2240" s="25">
        <v>2205</v>
      </c>
      <c r="G2240" s="25">
        <v>1984.56</v>
      </c>
    </row>
    <row r="2241" spans="1:7" x14ac:dyDescent="0.25">
      <c r="A2241" s="14" t="s">
        <v>798</v>
      </c>
      <c r="B2241" s="14">
        <v>3</v>
      </c>
      <c r="C2241" s="15" t="s">
        <v>813</v>
      </c>
      <c r="D2241" s="14" t="s">
        <v>1745</v>
      </c>
      <c r="E2241" s="14" t="s">
        <v>1747</v>
      </c>
      <c r="F2241" s="25">
        <v>5220</v>
      </c>
      <c r="G2241" s="25">
        <v>4176</v>
      </c>
    </row>
    <row r="2242" spans="1:7" x14ac:dyDescent="0.25">
      <c r="A2242" s="14" t="s">
        <v>798</v>
      </c>
      <c r="B2242" s="14" t="s">
        <v>173</v>
      </c>
      <c r="C2242" s="15" t="s">
        <v>2433</v>
      </c>
      <c r="D2242" s="14" t="s">
        <v>1745</v>
      </c>
      <c r="E2242" s="14" t="s">
        <v>1746</v>
      </c>
      <c r="F2242" s="25">
        <v>5481</v>
      </c>
      <c r="G2242" s="25">
        <v>4384.8</v>
      </c>
    </row>
    <row r="2243" spans="1:7" x14ac:dyDescent="0.25">
      <c r="A2243" s="14" t="s">
        <v>798</v>
      </c>
      <c r="B2243" s="14">
        <v>3</v>
      </c>
      <c r="C2243" s="15" t="s">
        <v>813</v>
      </c>
      <c r="D2243" s="14" t="s">
        <v>1749</v>
      </c>
      <c r="E2243" s="14" t="s">
        <v>1746</v>
      </c>
      <c r="F2243" s="25">
        <v>522</v>
      </c>
      <c r="G2243" s="25">
        <v>417.6</v>
      </c>
    </row>
    <row r="2244" spans="1:7" x14ac:dyDescent="0.25">
      <c r="A2244" s="14" t="s">
        <v>798</v>
      </c>
      <c r="B2244" s="14" t="s">
        <v>102</v>
      </c>
      <c r="C2244" s="15" t="s">
        <v>2434</v>
      </c>
      <c r="D2244" s="14" t="s">
        <v>1749</v>
      </c>
      <c r="E2244" s="14" t="s">
        <v>1746</v>
      </c>
      <c r="F2244" s="25">
        <v>210</v>
      </c>
      <c r="G2244" s="25">
        <v>189</v>
      </c>
    </row>
    <row r="2245" spans="1:7" x14ac:dyDescent="0.25">
      <c r="A2245" s="14" t="s">
        <v>798</v>
      </c>
      <c r="B2245" s="14">
        <v>1</v>
      </c>
      <c r="C2245" s="15" t="s">
        <v>796</v>
      </c>
      <c r="D2245" s="14" t="s">
        <v>1745</v>
      </c>
      <c r="E2245" s="14" t="s">
        <v>1747</v>
      </c>
      <c r="F2245" s="25">
        <v>5220</v>
      </c>
      <c r="G2245" s="25">
        <v>4176</v>
      </c>
    </row>
    <row r="2246" spans="1:7" x14ac:dyDescent="0.25">
      <c r="A2246" s="14" t="s">
        <v>798</v>
      </c>
      <c r="B2246" s="14" t="s">
        <v>650</v>
      </c>
      <c r="C2246" s="15" t="s">
        <v>2429</v>
      </c>
      <c r="D2246" s="14" t="s">
        <v>1749</v>
      </c>
      <c r="E2246" s="14" t="s">
        <v>1746</v>
      </c>
      <c r="F2246" s="25">
        <v>348</v>
      </c>
      <c r="G2246" s="25">
        <v>278.39999999999998</v>
      </c>
    </row>
    <row r="2247" spans="1:7" x14ac:dyDescent="0.25">
      <c r="A2247" s="14" t="s">
        <v>798</v>
      </c>
      <c r="B2247" s="14">
        <v>1</v>
      </c>
      <c r="C2247" s="15" t="s">
        <v>796</v>
      </c>
      <c r="D2247" s="14" t="s">
        <v>1749</v>
      </c>
      <c r="E2247" s="14" t="s">
        <v>1746</v>
      </c>
      <c r="F2247" s="25">
        <v>522</v>
      </c>
      <c r="G2247" s="25">
        <v>417.6</v>
      </c>
    </row>
    <row r="2248" spans="1:7" x14ac:dyDescent="0.25">
      <c r="A2248" s="14" t="s">
        <v>798</v>
      </c>
      <c r="B2248" s="14" t="s">
        <v>98</v>
      </c>
      <c r="C2248" s="15" t="s">
        <v>2432</v>
      </c>
      <c r="D2248" s="14" t="s">
        <v>1745</v>
      </c>
      <c r="E2248" s="14" t="s">
        <v>1746</v>
      </c>
      <c r="F2248" s="25">
        <v>1132.08</v>
      </c>
      <c r="G2248" s="25">
        <v>905.64</v>
      </c>
    </row>
    <row r="2249" spans="1:7" x14ac:dyDescent="0.25">
      <c r="A2249" s="14" t="s">
        <v>798</v>
      </c>
      <c r="B2249" s="14" t="s">
        <v>173</v>
      </c>
      <c r="C2249" s="15" t="s">
        <v>2433</v>
      </c>
      <c r="D2249" s="14" t="s">
        <v>1745</v>
      </c>
      <c r="E2249" s="14" t="s">
        <v>1747</v>
      </c>
      <c r="F2249" s="25">
        <v>5220</v>
      </c>
      <c r="G2249" s="25">
        <v>4176</v>
      </c>
    </row>
    <row r="2250" spans="1:7" x14ac:dyDescent="0.25">
      <c r="A2250" s="14" t="s">
        <v>798</v>
      </c>
      <c r="B2250" s="14" t="s">
        <v>118</v>
      </c>
      <c r="C2250" s="15" t="s">
        <v>2431</v>
      </c>
      <c r="D2250" s="14" t="s">
        <v>1745</v>
      </c>
      <c r="E2250" s="14" t="s">
        <v>1747</v>
      </c>
      <c r="F2250" s="25">
        <v>2100</v>
      </c>
      <c r="G2250" s="25">
        <v>1890</v>
      </c>
    </row>
    <row r="2251" spans="1:7" x14ac:dyDescent="0.25">
      <c r="A2251" s="14" t="s">
        <v>819</v>
      </c>
      <c r="B2251" s="14">
        <v>1</v>
      </c>
      <c r="C2251" s="15" t="s">
        <v>818</v>
      </c>
      <c r="D2251" s="14" t="s">
        <v>1745</v>
      </c>
      <c r="E2251" s="14" t="s">
        <v>1746</v>
      </c>
      <c r="F2251" s="25">
        <v>5796</v>
      </c>
      <c r="G2251" s="25">
        <v>4636.8</v>
      </c>
    </row>
    <row r="2252" spans="1:7" x14ac:dyDescent="0.25">
      <c r="A2252" s="14" t="s">
        <v>819</v>
      </c>
      <c r="B2252" s="14">
        <v>1</v>
      </c>
      <c r="C2252" s="15" t="s">
        <v>818</v>
      </c>
      <c r="D2252" s="14" t="s">
        <v>1749</v>
      </c>
      <c r="E2252" s="14" t="s">
        <v>1746</v>
      </c>
      <c r="F2252" s="25">
        <v>552</v>
      </c>
      <c r="G2252" s="25">
        <v>441.6</v>
      </c>
    </row>
    <row r="2253" spans="1:7" x14ac:dyDescent="0.25">
      <c r="A2253" s="14" t="s">
        <v>819</v>
      </c>
      <c r="B2253" s="14" t="s">
        <v>28</v>
      </c>
      <c r="C2253" s="15" t="s">
        <v>2435</v>
      </c>
      <c r="D2253" s="14" t="s">
        <v>1745</v>
      </c>
      <c r="E2253" s="14" t="s">
        <v>1746</v>
      </c>
      <c r="F2253" s="25">
        <v>1153.08</v>
      </c>
      <c r="G2253" s="25">
        <v>922.44</v>
      </c>
    </row>
    <row r="2254" spans="1:7" x14ac:dyDescent="0.25">
      <c r="A2254" s="14" t="s">
        <v>819</v>
      </c>
      <c r="B2254" s="14" t="s">
        <v>46</v>
      </c>
      <c r="C2254" s="15" t="s">
        <v>2436</v>
      </c>
      <c r="D2254" s="14" t="s">
        <v>1745</v>
      </c>
      <c r="E2254" s="14" t="s">
        <v>1746</v>
      </c>
      <c r="F2254" s="25">
        <v>2331</v>
      </c>
      <c r="G2254" s="25">
        <v>2097.96</v>
      </c>
    </row>
    <row r="2255" spans="1:7" x14ac:dyDescent="0.25">
      <c r="A2255" s="14" t="s">
        <v>819</v>
      </c>
      <c r="B2255" s="14">
        <v>1</v>
      </c>
      <c r="C2255" s="15" t="s">
        <v>818</v>
      </c>
      <c r="D2255" s="14" t="s">
        <v>1745</v>
      </c>
      <c r="E2255" s="14" t="s">
        <v>1747</v>
      </c>
      <c r="F2255" s="25">
        <v>5520</v>
      </c>
      <c r="G2255" s="25">
        <v>4416</v>
      </c>
    </row>
    <row r="2256" spans="1:7" x14ac:dyDescent="0.25">
      <c r="A2256" s="14" t="s">
        <v>819</v>
      </c>
      <c r="B2256" s="14" t="s">
        <v>46</v>
      </c>
      <c r="C2256" s="15" t="s">
        <v>2436</v>
      </c>
      <c r="D2256" s="14" t="s">
        <v>1745</v>
      </c>
      <c r="E2256" s="14" t="s">
        <v>1747</v>
      </c>
      <c r="F2256" s="25">
        <v>2220</v>
      </c>
      <c r="G2256" s="25">
        <v>1998</v>
      </c>
    </row>
    <row r="2257" spans="1:7" x14ac:dyDescent="0.25">
      <c r="A2257" s="14" t="s">
        <v>819</v>
      </c>
      <c r="B2257" s="14" t="s">
        <v>28</v>
      </c>
      <c r="C2257" s="15" t="s">
        <v>2435</v>
      </c>
      <c r="D2257" s="14" t="s">
        <v>1745</v>
      </c>
      <c r="E2257" s="14" t="s">
        <v>1747</v>
      </c>
      <c r="F2257" s="25">
        <v>1098.1199999999999</v>
      </c>
      <c r="G2257" s="25">
        <v>878.5</v>
      </c>
    </row>
    <row r="2258" spans="1:7" x14ac:dyDescent="0.25">
      <c r="A2258" s="14" t="s">
        <v>819</v>
      </c>
      <c r="B2258" s="14" t="s">
        <v>39</v>
      </c>
      <c r="C2258" s="15" t="s">
        <v>821</v>
      </c>
      <c r="D2258" s="14" t="s">
        <v>1745</v>
      </c>
      <c r="E2258" s="14" t="s">
        <v>1747</v>
      </c>
      <c r="F2258" s="25">
        <v>3720</v>
      </c>
      <c r="G2258" s="25">
        <v>2976</v>
      </c>
    </row>
    <row r="2259" spans="1:7" x14ac:dyDescent="0.25">
      <c r="A2259" s="14" t="s">
        <v>819</v>
      </c>
      <c r="B2259" s="14" t="s">
        <v>39</v>
      </c>
      <c r="C2259" s="15" t="s">
        <v>821</v>
      </c>
      <c r="D2259" s="14" t="s">
        <v>1749</v>
      </c>
      <c r="E2259" s="14" t="s">
        <v>1746</v>
      </c>
      <c r="F2259" s="25">
        <v>372</v>
      </c>
      <c r="G2259" s="25">
        <v>297.60000000000002</v>
      </c>
    </row>
    <row r="2260" spans="1:7" x14ac:dyDescent="0.25">
      <c r="A2260" s="14" t="s">
        <v>819</v>
      </c>
      <c r="B2260" s="14" t="s">
        <v>122</v>
      </c>
      <c r="C2260" s="15" t="s">
        <v>2437</v>
      </c>
      <c r="D2260" s="14" t="s">
        <v>1749</v>
      </c>
      <c r="E2260" s="14" t="s">
        <v>1746</v>
      </c>
      <c r="F2260" s="25">
        <v>109.81</v>
      </c>
      <c r="G2260" s="25">
        <v>87.85</v>
      </c>
    </row>
    <row r="2261" spans="1:7" x14ac:dyDescent="0.25">
      <c r="A2261" s="14" t="s">
        <v>819</v>
      </c>
      <c r="B2261" s="14" t="s">
        <v>39</v>
      </c>
      <c r="C2261" s="15" t="s">
        <v>821</v>
      </c>
      <c r="D2261" s="14" t="s">
        <v>1745</v>
      </c>
      <c r="E2261" s="14" t="s">
        <v>1746</v>
      </c>
      <c r="F2261" s="25">
        <v>3906</v>
      </c>
      <c r="G2261" s="25">
        <v>3124.8</v>
      </c>
    </row>
    <row r="2262" spans="1:7" x14ac:dyDescent="0.25">
      <c r="A2262" s="14" t="s">
        <v>819</v>
      </c>
      <c r="B2262" s="14" t="s">
        <v>122</v>
      </c>
      <c r="C2262" s="15" t="s">
        <v>2437</v>
      </c>
      <c r="D2262" s="14" t="s">
        <v>1745</v>
      </c>
      <c r="E2262" s="14" t="s">
        <v>1746</v>
      </c>
      <c r="F2262" s="25">
        <v>1153.08</v>
      </c>
      <c r="G2262" s="25">
        <v>922.44</v>
      </c>
    </row>
    <row r="2263" spans="1:7" x14ac:dyDescent="0.25">
      <c r="A2263" s="14" t="s">
        <v>819</v>
      </c>
      <c r="B2263" s="14" t="s">
        <v>46</v>
      </c>
      <c r="C2263" s="15" t="s">
        <v>2436</v>
      </c>
      <c r="D2263" s="14" t="s">
        <v>1749</v>
      </c>
      <c r="E2263" s="14" t="s">
        <v>1746</v>
      </c>
      <c r="F2263" s="25">
        <v>222</v>
      </c>
      <c r="G2263" s="25">
        <v>199.8</v>
      </c>
    </row>
    <row r="2264" spans="1:7" x14ac:dyDescent="0.25">
      <c r="A2264" s="14" t="s">
        <v>819</v>
      </c>
      <c r="B2264" s="14" t="s">
        <v>28</v>
      </c>
      <c r="C2264" s="15" t="s">
        <v>2435</v>
      </c>
      <c r="D2264" s="14" t="s">
        <v>1749</v>
      </c>
      <c r="E2264" s="14" t="s">
        <v>1746</v>
      </c>
      <c r="F2264" s="25">
        <v>109.81</v>
      </c>
      <c r="G2264" s="25">
        <v>87.85</v>
      </c>
    </row>
    <row r="2265" spans="1:7" x14ac:dyDescent="0.25">
      <c r="A2265" s="14" t="s">
        <v>819</v>
      </c>
      <c r="B2265" s="14" t="s">
        <v>122</v>
      </c>
      <c r="C2265" s="15" t="s">
        <v>2437</v>
      </c>
      <c r="D2265" s="14" t="s">
        <v>1745</v>
      </c>
      <c r="E2265" s="14" t="s">
        <v>1747</v>
      </c>
      <c r="F2265" s="25">
        <v>1098.1199999999999</v>
      </c>
      <c r="G2265" s="25">
        <v>878.5</v>
      </c>
    </row>
    <row r="2266" spans="1:7" x14ac:dyDescent="0.25">
      <c r="A2266" s="14" t="s">
        <v>824</v>
      </c>
      <c r="B2266" s="14">
        <v>2</v>
      </c>
      <c r="C2266" s="15" t="s">
        <v>823</v>
      </c>
      <c r="D2266" s="14" t="s">
        <v>1749</v>
      </c>
      <c r="E2266" s="14" t="s">
        <v>1746</v>
      </c>
      <c r="F2266" s="25">
        <v>84.86</v>
      </c>
      <c r="G2266" s="25">
        <v>67.89</v>
      </c>
    </row>
    <row r="2267" spans="1:7" x14ac:dyDescent="0.25">
      <c r="A2267" s="14" t="s">
        <v>824</v>
      </c>
      <c r="B2267" s="14">
        <v>5</v>
      </c>
      <c r="C2267" s="15" t="s">
        <v>2438</v>
      </c>
      <c r="D2267" s="14" t="s">
        <v>1745</v>
      </c>
      <c r="E2267" s="14" t="s">
        <v>1746</v>
      </c>
      <c r="F2267" s="25">
        <v>891.12</v>
      </c>
      <c r="G2267" s="25">
        <v>712.8</v>
      </c>
    </row>
    <row r="2268" spans="1:7" x14ac:dyDescent="0.25">
      <c r="A2268" s="14" t="s">
        <v>824</v>
      </c>
      <c r="B2268" s="14">
        <v>5</v>
      </c>
      <c r="C2268" s="15" t="s">
        <v>2438</v>
      </c>
      <c r="D2268" s="14" t="s">
        <v>1749</v>
      </c>
      <c r="E2268" s="14" t="s">
        <v>1746</v>
      </c>
      <c r="F2268" s="25">
        <v>84.86</v>
      </c>
      <c r="G2268" s="25">
        <v>67.89</v>
      </c>
    </row>
    <row r="2269" spans="1:7" x14ac:dyDescent="0.25">
      <c r="A2269" s="14" t="s">
        <v>824</v>
      </c>
      <c r="B2269" s="14">
        <v>3</v>
      </c>
      <c r="C2269" s="15" t="s">
        <v>2439</v>
      </c>
      <c r="D2269" s="14" t="s">
        <v>1745</v>
      </c>
      <c r="E2269" s="14" t="s">
        <v>1746</v>
      </c>
      <c r="F2269" s="25">
        <v>891.12</v>
      </c>
      <c r="G2269" s="25">
        <v>712.8</v>
      </c>
    </row>
    <row r="2270" spans="1:7" x14ac:dyDescent="0.25">
      <c r="A2270" s="14" t="s">
        <v>824</v>
      </c>
      <c r="B2270" s="14">
        <v>3</v>
      </c>
      <c r="C2270" s="15" t="s">
        <v>2439</v>
      </c>
      <c r="D2270" s="14" t="s">
        <v>1745</v>
      </c>
      <c r="E2270" s="14" t="s">
        <v>1747</v>
      </c>
      <c r="F2270" s="25">
        <v>848.64</v>
      </c>
      <c r="G2270" s="25">
        <v>678.91</v>
      </c>
    </row>
    <row r="2271" spans="1:7" x14ac:dyDescent="0.25">
      <c r="A2271" s="14" t="s">
        <v>824</v>
      </c>
      <c r="B2271" s="14">
        <v>2</v>
      </c>
      <c r="C2271" s="15" t="s">
        <v>823</v>
      </c>
      <c r="D2271" s="14" t="s">
        <v>1745</v>
      </c>
      <c r="E2271" s="14" t="s">
        <v>1747</v>
      </c>
      <c r="F2271" s="25">
        <v>848.64</v>
      </c>
      <c r="G2271" s="25">
        <v>678.91</v>
      </c>
    </row>
    <row r="2272" spans="1:7" x14ac:dyDescent="0.25">
      <c r="A2272" s="14" t="s">
        <v>824</v>
      </c>
      <c r="B2272" s="14">
        <v>5</v>
      </c>
      <c r="C2272" s="15" t="s">
        <v>2438</v>
      </c>
      <c r="D2272" s="14" t="s">
        <v>1745</v>
      </c>
      <c r="E2272" s="14" t="s">
        <v>1747</v>
      </c>
      <c r="F2272" s="25">
        <v>848.64</v>
      </c>
      <c r="G2272" s="25">
        <v>678.91</v>
      </c>
    </row>
    <row r="2273" spans="1:7" x14ac:dyDescent="0.25">
      <c r="A2273" s="14" t="s">
        <v>824</v>
      </c>
      <c r="B2273" s="14">
        <v>3</v>
      </c>
      <c r="C2273" s="15" t="s">
        <v>2439</v>
      </c>
      <c r="D2273" s="14" t="s">
        <v>1749</v>
      </c>
      <c r="E2273" s="14" t="s">
        <v>1746</v>
      </c>
      <c r="F2273" s="25">
        <v>84.86</v>
      </c>
      <c r="G2273" s="25">
        <v>67.89</v>
      </c>
    </row>
    <row r="2274" spans="1:7" x14ac:dyDescent="0.25">
      <c r="A2274" s="14" t="s">
        <v>824</v>
      </c>
      <c r="B2274" s="14">
        <v>2</v>
      </c>
      <c r="C2274" s="15" t="s">
        <v>823</v>
      </c>
      <c r="D2274" s="14" t="s">
        <v>1745</v>
      </c>
      <c r="E2274" s="14" t="s">
        <v>1746</v>
      </c>
      <c r="F2274" s="25">
        <v>891.12</v>
      </c>
      <c r="G2274" s="25">
        <v>712.8</v>
      </c>
    </row>
    <row r="2275" spans="1:7" x14ac:dyDescent="0.25">
      <c r="A2275" s="14" t="s">
        <v>828</v>
      </c>
      <c r="B2275" s="14" t="s">
        <v>50</v>
      </c>
      <c r="C2275" s="15" t="s">
        <v>2440</v>
      </c>
      <c r="D2275" s="14" t="s">
        <v>1745</v>
      </c>
      <c r="E2275" s="14" t="s">
        <v>1747</v>
      </c>
      <c r="F2275" s="25">
        <v>149760</v>
      </c>
      <c r="G2275" s="25">
        <v>119808</v>
      </c>
    </row>
    <row r="2276" spans="1:7" x14ac:dyDescent="0.25">
      <c r="A2276" s="14" t="s">
        <v>828</v>
      </c>
      <c r="B2276" s="14">
        <v>8</v>
      </c>
      <c r="C2276" s="15" t="s">
        <v>2441</v>
      </c>
      <c r="D2276" s="14" t="s">
        <v>1745</v>
      </c>
      <c r="E2276" s="14" t="s">
        <v>1746</v>
      </c>
      <c r="F2276" s="25">
        <v>262080</v>
      </c>
      <c r="G2276" s="25">
        <v>209664</v>
      </c>
    </row>
    <row r="2277" spans="1:7" x14ac:dyDescent="0.25">
      <c r="A2277" s="14" t="s">
        <v>828</v>
      </c>
      <c r="B2277" s="14" t="s">
        <v>55</v>
      </c>
      <c r="C2277" s="15" t="s">
        <v>2442</v>
      </c>
      <c r="D2277" s="14" t="s">
        <v>1745</v>
      </c>
      <c r="E2277" s="14" t="s">
        <v>1746</v>
      </c>
      <c r="F2277" s="25">
        <v>1572354</v>
      </c>
      <c r="G2277" s="25">
        <v>1257883</v>
      </c>
    </row>
    <row r="2278" spans="1:7" x14ac:dyDescent="0.25">
      <c r="A2278" s="14" t="s">
        <v>828</v>
      </c>
      <c r="B2278" s="14">
        <v>2</v>
      </c>
      <c r="C2278" s="15" t="s">
        <v>834</v>
      </c>
      <c r="D2278" s="14" t="s">
        <v>1745</v>
      </c>
      <c r="E2278" s="14" t="s">
        <v>1747</v>
      </c>
      <c r="F2278" s="25">
        <v>1497480</v>
      </c>
      <c r="G2278" s="25">
        <v>1197984</v>
      </c>
    </row>
    <row r="2279" spans="1:7" x14ac:dyDescent="0.25">
      <c r="A2279" s="14" t="s">
        <v>828</v>
      </c>
      <c r="B2279" s="14">
        <v>4</v>
      </c>
      <c r="C2279" s="15" t="s">
        <v>836</v>
      </c>
      <c r="D2279" s="14" t="s">
        <v>1745</v>
      </c>
      <c r="E2279" s="14" t="s">
        <v>1747</v>
      </c>
      <c r="F2279" s="25">
        <v>69900</v>
      </c>
      <c r="G2279" s="25">
        <v>55920</v>
      </c>
    </row>
    <row r="2280" spans="1:7" x14ac:dyDescent="0.25">
      <c r="A2280" s="14" t="s">
        <v>828</v>
      </c>
      <c r="B2280" s="14" t="s">
        <v>16</v>
      </c>
      <c r="C2280" s="15" t="s">
        <v>2443</v>
      </c>
      <c r="D2280" s="14" t="s">
        <v>1745</v>
      </c>
      <c r="E2280" s="14" t="s">
        <v>1747</v>
      </c>
      <c r="F2280" s="25">
        <v>1497480</v>
      </c>
      <c r="G2280" s="25">
        <v>1197984</v>
      </c>
    </row>
    <row r="2281" spans="1:7" x14ac:dyDescent="0.25">
      <c r="A2281" s="14" t="s">
        <v>828</v>
      </c>
      <c r="B2281" s="14">
        <v>3</v>
      </c>
      <c r="C2281" s="15" t="s">
        <v>830</v>
      </c>
      <c r="D2281" s="14" t="s">
        <v>1745</v>
      </c>
      <c r="E2281" s="14" t="s">
        <v>1747</v>
      </c>
      <c r="F2281" s="25">
        <v>249600</v>
      </c>
      <c r="G2281" s="25">
        <v>199680</v>
      </c>
    </row>
    <row r="2282" spans="1:7" x14ac:dyDescent="0.25">
      <c r="A2282" s="14" t="s">
        <v>828</v>
      </c>
      <c r="B2282" s="14" t="s">
        <v>34</v>
      </c>
      <c r="C2282" s="15" t="s">
        <v>2444</v>
      </c>
      <c r="D2282" s="14" t="s">
        <v>1745</v>
      </c>
      <c r="E2282" s="14" t="s">
        <v>1747</v>
      </c>
      <c r="F2282" s="25">
        <v>249600</v>
      </c>
      <c r="G2282" s="25">
        <v>199680</v>
      </c>
    </row>
    <row r="2283" spans="1:7" x14ac:dyDescent="0.25">
      <c r="A2283" s="14" t="s">
        <v>828</v>
      </c>
      <c r="B2283" s="14">
        <v>5</v>
      </c>
      <c r="C2283" s="15" t="s">
        <v>827</v>
      </c>
      <c r="D2283" s="14" t="s">
        <v>1745</v>
      </c>
      <c r="E2283" s="14" t="s">
        <v>1746</v>
      </c>
      <c r="F2283" s="25">
        <v>419328</v>
      </c>
      <c r="G2283" s="25">
        <v>335462.40000000002</v>
      </c>
    </row>
    <row r="2284" spans="1:7" x14ac:dyDescent="0.25">
      <c r="A2284" s="14" t="s">
        <v>828</v>
      </c>
      <c r="B2284" s="14" t="s">
        <v>20</v>
      </c>
      <c r="C2284" s="15" t="s">
        <v>2445</v>
      </c>
      <c r="D2284" s="14" t="s">
        <v>1745</v>
      </c>
      <c r="E2284" s="14" t="s">
        <v>1747</v>
      </c>
      <c r="F2284" s="25">
        <v>149760</v>
      </c>
      <c r="G2284" s="25">
        <v>119808</v>
      </c>
    </row>
    <row r="2285" spans="1:7" x14ac:dyDescent="0.25">
      <c r="A2285" s="14" t="s">
        <v>828</v>
      </c>
      <c r="B2285" s="14">
        <v>1</v>
      </c>
      <c r="C2285" s="15" t="s">
        <v>832</v>
      </c>
      <c r="D2285" s="14" t="s">
        <v>1745</v>
      </c>
      <c r="E2285" s="14" t="s">
        <v>1747</v>
      </c>
      <c r="F2285" s="25">
        <v>149760</v>
      </c>
      <c r="G2285" s="25">
        <v>119808</v>
      </c>
    </row>
    <row r="2286" spans="1:7" x14ac:dyDescent="0.25">
      <c r="A2286" s="14" t="s">
        <v>828</v>
      </c>
      <c r="B2286" s="14" t="s">
        <v>55</v>
      </c>
      <c r="C2286" s="15" t="s">
        <v>2442</v>
      </c>
      <c r="D2286" s="14" t="s">
        <v>1745</v>
      </c>
      <c r="E2286" s="14" t="s">
        <v>1747</v>
      </c>
      <c r="F2286" s="25">
        <v>1497480</v>
      </c>
      <c r="G2286" s="25">
        <v>1197984</v>
      </c>
    </row>
    <row r="2287" spans="1:7" x14ac:dyDescent="0.25">
      <c r="A2287" s="14" t="s">
        <v>828</v>
      </c>
      <c r="B2287" s="14" t="s">
        <v>50</v>
      </c>
      <c r="C2287" s="15" t="s">
        <v>2440</v>
      </c>
      <c r="D2287" s="14" t="s">
        <v>1745</v>
      </c>
      <c r="E2287" s="14" t="s">
        <v>1746</v>
      </c>
      <c r="F2287" s="25">
        <v>157248</v>
      </c>
      <c r="G2287" s="25">
        <v>125798.39999999999</v>
      </c>
    </row>
    <row r="2288" spans="1:7" x14ac:dyDescent="0.25">
      <c r="A2288" s="14" t="s">
        <v>828</v>
      </c>
      <c r="B2288" s="14">
        <v>3</v>
      </c>
      <c r="C2288" s="15" t="s">
        <v>830</v>
      </c>
      <c r="D2288" s="14" t="s">
        <v>1745</v>
      </c>
      <c r="E2288" s="14" t="s">
        <v>1746</v>
      </c>
      <c r="F2288" s="25">
        <v>262080</v>
      </c>
      <c r="G2288" s="25">
        <v>209664</v>
      </c>
    </row>
    <row r="2289" spans="1:7" x14ac:dyDescent="0.25">
      <c r="A2289" s="14" t="s">
        <v>828</v>
      </c>
      <c r="B2289" s="14" t="s">
        <v>16</v>
      </c>
      <c r="C2289" s="15" t="s">
        <v>2443</v>
      </c>
      <c r="D2289" s="14" t="s">
        <v>1745</v>
      </c>
      <c r="E2289" s="14" t="s">
        <v>1746</v>
      </c>
      <c r="F2289" s="25">
        <v>1572354</v>
      </c>
      <c r="G2289" s="25">
        <v>1257883</v>
      </c>
    </row>
    <row r="2290" spans="1:7" x14ac:dyDescent="0.25">
      <c r="A2290" s="14" t="s">
        <v>828</v>
      </c>
      <c r="B2290" s="14" t="s">
        <v>34</v>
      </c>
      <c r="C2290" s="15" t="s">
        <v>2444</v>
      </c>
      <c r="D2290" s="14" t="s">
        <v>1745</v>
      </c>
      <c r="E2290" s="14" t="s">
        <v>1746</v>
      </c>
      <c r="F2290" s="25">
        <v>262080</v>
      </c>
      <c r="G2290" s="25">
        <v>209664</v>
      </c>
    </row>
    <row r="2291" spans="1:7" x14ac:dyDescent="0.25">
      <c r="A2291" s="14" t="s">
        <v>828</v>
      </c>
      <c r="B2291" s="14">
        <v>1</v>
      </c>
      <c r="C2291" s="15" t="s">
        <v>832</v>
      </c>
      <c r="D2291" s="14" t="s">
        <v>1745</v>
      </c>
      <c r="E2291" s="14" t="s">
        <v>1746</v>
      </c>
      <c r="F2291" s="25">
        <v>157248</v>
      </c>
      <c r="G2291" s="25">
        <v>125798.39999999999</v>
      </c>
    </row>
    <row r="2292" spans="1:7" x14ac:dyDescent="0.25">
      <c r="A2292" s="14" t="s">
        <v>828</v>
      </c>
      <c r="B2292" s="14" t="s">
        <v>73</v>
      </c>
      <c r="C2292" s="15" t="s">
        <v>2446</v>
      </c>
      <c r="D2292" s="14" t="s">
        <v>1745</v>
      </c>
      <c r="E2292" s="14" t="s">
        <v>1747</v>
      </c>
      <c r="F2292" s="25">
        <v>399360</v>
      </c>
      <c r="G2292" s="25">
        <v>319488</v>
      </c>
    </row>
    <row r="2293" spans="1:7" x14ac:dyDescent="0.25">
      <c r="A2293" s="14" t="s">
        <v>828</v>
      </c>
      <c r="B2293" s="14" t="s">
        <v>73</v>
      </c>
      <c r="C2293" s="15" t="s">
        <v>2446</v>
      </c>
      <c r="D2293" s="14" t="s">
        <v>1745</v>
      </c>
      <c r="E2293" s="14" t="s">
        <v>1746</v>
      </c>
      <c r="F2293" s="25">
        <v>419328</v>
      </c>
      <c r="G2293" s="25">
        <v>335462.40000000002</v>
      </c>
    </row>
    <row r="2294" spans="1:7" x14ac:dyDescent="0.25">
      <c r="A2294" s="14" t="s">
        <v>828</v>
      </c>
      <c r="B2294" s="14">
        <v>9</v>
      </c>
      <c r="C2294" s="15" t="s">
        <v>2447</v>
      </c>
      <c r="D2294" s="14" t="s">
        <v>1745</v>
      </c>
      <c r="E2294" s="14" t="s">
        <v>1747</v>
      </c>
      <c r="F2294" s="25">
        <v>69900</v>
      </c>
      <c r="G2294" s="25">
        <v>55920</v>
      </c>
    </row>
    <row r="2295" spans="1:7" x14ac:dyDescent="0.25">
      <c r="A2295" s="14" t="s">
        <v>828</v>
      </c>
      <c r="B2295" s="14" t="s">
        <v>20</v>
      </c>
      <c r="C2295" s="15" t="s">
        <v>2445</v>
      </c>
      <c r="D2295" s="14" t="s">
        <v>1745</v>
      </c>
      <c r="E2295" s="14" t="s">
        <v>1746</v>
      </c>
      <c r="F2295" s="25">
        <v>157248</v>
      </c>
      <c r="G2295" s="25">
        <v>125798.39999999999</v>
      </c>
    </row>
    <row r="2296" spans="1:7" x14ac:dyDescent="0.25">
      <c r="A2296" s="14" t="s">
        <v>828</v>
      </c>
      <c r="B2296" s="14">
        <v>8</v>
      </c>
      <c r="C2296" s="15" t="s">
        <v>2441</v>
      </c>
      <c r="D2296" s="14" t="s">
        <v>1745</v>
      </c>
      <c r="E2296" s="14" t="s">
        <v>1747</v>
      </c>
      <c r="F2296" s="25">
        <v>249600</v>
      </c>
      <c r="G2296" s="25">
        <v>199680</v>
      </c>
    </row>
    <row r="2297" spans="1:7" x14ac:dyDescent="0.25">
      <c r="A2297" s="14" t="s">
        <v>828</v>
      </c>
      <c r="B2297" s="14">
        <v>2</v>
      </c>
      <c r="C2297" s="15" t="s">
        <v>834</v>
      </c>
      <c r="D2297" s="14" t="s">
        <v>1745</v>
      </c>
      <c r="E2297" s="14" t="s">
        <v>1746</v>
      </c>
      <c r="F2297" s="25">
        <v>1572354</v>
      </c>
      <c r="G2297" s="25">
        <v>1257883</v>
      </c>
    </row>
    <row r="2298" spans="1:7" x14ac:dyDescent="0.25">
      <c r="A2298" s="14" t="s">
        <v>828</v>
      </c>
      <c r="B2298" s="14" t="s">
        <v>89</v>
      </c>
      <c r="C2298" s="15" t="s">
        <v>2448</v>
      </c>
      <c r="D2298" s="14" t="s">
        <v>1745</v>
      </c>
      <c r="E2298" s="14" t="s">
        <v>1746</v>
      </c>
      <c r="F2298" s="25">
        <v>73395</v>
      </c>
      <c r="G2298" s="25">
        <v>58716</v>
      </c>
    </row>
    <row r="2299" spans="1:7" x14ac:dyDescent="0.25">
      <c r="A2299" s="14" t="s">
        <v>828</v>
      </c>
      <c r="B2299" s="14" t="s">
        <v>24</v>
      </c>
      <c r="C2299" s="15" t="s">
        <v>2449</v>
      </c>
      <c r="D2299" s="14" t="s">
        <v>1745</v>
      </c>
      <c r="E2299" s="14" t="s">
        <v>1747</v>
      </c>
      <c r="F2299" s="25">
        <v>399360</v>
      </c>
      <c r="G2299" s="25">
        <v>319488</v>
      </c>
    </row>
    <row r="2300" spans="1:7" x14ac:dyDescent="0.25">
      <c r="A2300" s="14" t="s">
        <v>828</v>
      </c>
      <c r="B2300" s="14" t="s">
        <v>24</v>
      </c>
      <c r="C2300" s="15" t="s">
        <v>2449</v>
      </c>
      <c r="D2300" s="14" t="s">
        <v>1745</v>
      </c>
      <c r="E2300" s="14" t="s">
        <v>1746</v>
      </c>
      <c r="F2300" s="25">
        <v>419328</v>
      </c>
      <c r="G2300" s="25">
        <v>335462.40000000002</v>
      </c>
    </row>
    <row r="2301" spans="1:7" x14ac:dyDescent="0.25">
      <c r="A2301" s="14" t="s">
        <v>828</v>
      </c>
      <c r="B2301" s="14">
        <v>5</v>
      </c>
      <c r="C2301" s="15" t="s">
        <v>827</v>
      </c>
      <c r="D2301" s="14" t="s">
        <v>1745</v>
      </c>
      <c r="E2301" s="14" t="s">
        <v>1747</v>
      </c>
      <c r="F2301" s="25">
        <v>399360</v>
      </c>
      <c r="G2301" s="25">
        <v>319488</v>
      </c>
    </row>
    <row r="2302" spans="1:7" x14ac:dyDescent="0.25">
      <c r="A2302" s="14" t="s">
        <v>828</v>
      </c>
      <c r="B2302" s="14">
        <v>9</v>
      </c>
      <c r="C2302" s="15" t="s">
        <v>2447</v>
      </c>
      <c r="D2302" s="14" t="s">
        <v>1745</v>
      </c>
      <c r="E2302" s="14" t="s">
        <v>1746</v>
      </c>
      <c r="F2302" s="25">
        <v>73395</v>
      </c>
      <c r="G2302" s="25">
        <v>58716</v>
      </c>
    </row>
    <row r="2303" spans="1:7" x14ac:dyDescent="0.25">
      <c r="A2303" s="14" t="s">
        <v>828</v>
      </c>
      <c r="B2303" s="14">
        <v>4</v>
      </c>
      <c r="C2303" s="15" t="s">
        <v>836</v>
      </c>
      <c r="D2303" s="14" t="s">
        <v>1745</v>
      </c>
      <c r="E2303" s="14" t="s">
        <v>1746</v>
      </c>
      <c r="F2303" s="25">
        <v>73395</v>
      </c>
      <c r="G2303" s="25">
        <v>58716</v>
      </c>
    </row>
    <row r="2304" spans="1:7" x14ac:dyDescent="0.25">
      <c r="A2304" s="14" t="s">
        <v>828</v>
      </c>
      <c r="B2304" s="14" t="s">
        <v>89</v>
      </c>
      <c r="C2304" s="15" t="s">
        <v>2448</v>
      </c>
      <c r="D2304" s="14" t="s">
        <v>1745</v>
      </c>
      <c r="E2304" s="14" t="s">
        <v>1747</v>
      </c>
      <c r="F2304" s="25">
        <v>69900</v>
      </c>
      <c r="G2304" s="25">
        <v>55920</v>
      </c>
    </row>
    <row r="2305" spans="1:7" x14ac:dyDescent="0.25">
      <c r="A2305" s="14" t="s">
        <v>2450</v>
      </c>
      <c r="B2305" s="14" t="s">
        <v>243</v>
      </c>
      <c r="C2305" s="15" t="s">
        <v>2451</v>
      </c>
      <c r="D2305" s="14" t="s">
        <v>1745</v>
      </c>
      <c r="E2305" s="14" t="s">
        <v>1746</v>
      </c>
      <c r="F2305" s="25">
        <v>1449</v>
      </c>
      <c r="G2305" s="25">
        <v>1159.2</v>
      </c>
    </row>
    <row r="2306" spans="1:7" x14ac:dyDescent="0.25">
      <c r="A2306" s="14" t="s">
        <v>2450</v>
      </c>
      <c r="B2306" s="14" t="s">
        <v>118</v>
      </c>
      <c r="C2306" s="15" t="s">
        <v>2452</v>
      </c>
      <c r="D2306" s="14" t="s">
        <v>1745</v>
      </c>
      <c r="E2306" s="14" t="s">
        <v>1747</v>
      </c>
      <c r="F2306" s="25">
        <v>698.4</v>
      </c>
      <c r="G2306" s="25">
        <v>558.72</v>
      </c>
    </row>
    <row r="2307" spans="1:7" x14ac:dyDescent="0.25">
      <c r="A2307" s="14" t="s">
        <v>2450</v>
      </c>
      <c r="B2307" s="14" t="s">
        <v>650</v>
      </c>
      <c r="C2307" s="15" t="s">
        <v>2453</v>
      </c>
      <c r="D2307" s="14" t="s">
        <v>1745</v>
      </c>
      <c r="E2307" s="14" t="s">
        <v>1746</v>
      </c>
      <c r="F2307" s="25">
        <v>839.16</v>
      </c>
      <c r="G2307" s="25">
        <v>755.28</v>
      </c>
    </row>
    <row r="2308" spans="1:7" ht="30" x14ac:dyDescent="0.25">
      <c r="A2308" s="14" t="s">
        <v>2450</v>
      </c>
      <c r="B2308" s="14" t="s">
        <v>583</v>
      </c>
      <c r="C2308" s="15" t="s">
        <v>2454</v>
      </c>
      <c r="D2308" s="14" t="s">
        <v>1749</v>
      </c>
      <c r="E2308" s="14" t="s">
        <v>1746</v>
      </c>
      <c r="F2308" s="25">
        <v>0</v>
      </c>
      <c r="G2308" s="25">
        <v>0</v>
      </c>
    </row>
    <row r="2309" spans="1:7" x14ac:dyDescent="0.25">
      <c r="A2309" s="14" t="s">
        <v>2450</v>
      </c>
      <c r="B2309" s="14" t="s">
        <v>243</v>
      </c>
      <c r="C2309" s="15" t="s">
        <v>2451</v>
      </c>
      <c r="D2309" s="14" t="s">
        <v>1749</v>
      </c>
      <c r="E2309" s="14" t="s">
        <v>1746</v>
      </c>
      <c r="F2309" s="25">
        <v>138</v>
      </c>
      <c r="G2309" s="25">
        <v>110.4</v>
      </c>
    </row>
    <row r="2310" spans="1:7" x14ac:dyDescent="0.25">
      <c r="A2310" s="14" t="s">
        <v>2450</v>
      </c>
      <c r="B2310" s="14" t="s">
        <v>118</v>
      </c>
      <c r="C2310" s="15" t="s">
        <v>2452</v>
      </c>
      <c r="D2310" s="14" t="s">
        <v>1745</v>
      </c>
      <c r="E2310" s="14" t="s">
        <v>1746</v>
      </c>
      <c r="F2310" s="25">
        <v>733.32</v>
      </c>
      <c r="G2310" s="25">
        <v>586.67999999999995</v>
      </c>
    </row>
    <row r="2311" spans="1:7" x14ac:dyDescent="0.25">
      <c r="A2311" s="14" t="s">
        <v>2450</v>
      </c>
      <c r="B2311" s="14" t="s">
        <v>29</v>
      </c>
      <c r="C2311" s="15" t="s">
        <v>2455</v>
      </c>
      <c r="D2311" s="14" t="s">
        <v>1745</v>
      </c>
      <c r="E2311" s="14" t="s">
        <v>1747</v>
      </c>
      <c r="F2311" s="25">
        <v>1320</v>
      </c>
      <c r="G2311" s="25">
        <v>1056</v>
      </c>
    </row>
    <row r="2312" spans="1:7" x14ac:dyDescent="0.25">
      <c r="A2312" s="14" t="s">
        <v>2450</v>
      </c>
      <c r="B2312" s="14" t="s">
        <v>650</v>
      </c>
      <c r="C2312" s="15" t="s">
        <v>2453</v>
      </c>
      <c r="D2312" s="14" t="s">
        <v>1745</v>
      </c>
      <c r="E2312" s="14" t="s">
        <v>1747</v>
      </c>
      <c r="F2312" s="25">
        <v>799.2</v>
      </c>
      <c r="G2312" s="25">
        <v>719.28</v>
      </c>
    </row>
    <row r="2313" spans="1:7" x14ac:dyDescent="0.25">
      <c r="A2313" s="14" t="s">
        <v>2450</v>
      </c>
      <c r="B2313" s="14">
        <v>1</v>
      </c>
      <c r="C2313" s="15" t="s">
        <v>2456</v>
      </c>
      <c r="D2313" s="14" t="s">
        <v>1749</v>
      </c>
      <c r="E2313" s="14" t="s">
        <v>1746</v>
      </c>
      <c r="F2313" s="25">
        <v>198</v>
      </c>
      <c r="G2313" s="25">
        <v>158.4</v>
      </c>
    </row>
    <row r="2314" spans="1:7" x14ac:dyDescent="0.25">
      <c r="A2314" s="14" t="s">
        <v>2450</v>
      </c>
      <c r="B2314" s="14" t="s">
        <v>650</v>
      </c>
      <c r="C2314" s="15" t="s">
        <v>2453</v>
      </c>
      <c r="D2314" s="14" t="s">
        <v>1749</v>
      </c>
      <c r="E2314" s="14" t="s">
        <v>1746</v>
      </c>
      <c r="F2314" s="25">
        <v>79.92</v>
      </c>
      <c r="G2314" s="25">
        <v>71.930000000000007</v>
      </c>
    </row>
    <row r="2315" spans="1:7" x14ac:dyDescent="0.25">
      <c r="A2315" s="14" t="s">
        <v>2450</v>
      </c>
      <c r="B2315" s="14" t="s">
        <v>243</v>
      </c>
      <c r="C2315" s="15" t="s">
        <v>2451</v>
      </c>
      <c r="D2315" s="14" t="s">
        <v>1745</v>
      </c>
      <c r="E2315" s="14" t="s">
        <v>1747</v>
      </c>
      <c r="F2315" s="25">
        <v>1380</v>
      </c>
      <c r="G2315" s="25">
        <v>1104</v>
      </c>
    </row>
    <row r="2316" spans="1:7" x14ac:dyDescent="0.25">
      <c r="A2316" s="14" t="s">
        <v>2450</v>
      </c>
      <c r="B2316" s="14" t="s">
        <v>29</v>
      </c>
      <c r="C2316" s="15" t="s">
        <v>2455</v>
      </c>
      <c r="D2316" s="14" t="s">
        <v>1749</v>
      </c>
      <c r="E2316" s="14" t="s">
        <v>1746</v>
      </c>
      <c r="F2316" s="25">
        <v>132</v>
      </c>
      <c r="G2316" s="25">
        <v>105.6</v>
      </c>
    </row>
    <row r="2317" spans="1:7" ht="30" x14ac:dyDescent="0.25">
      <c r="A2317" s="14" t="s">
        <v>2450</v>
      </c>
      <c r="B2317" s="14" t="s">
        <v>583</v>
      </c>
      <c r="C2317" s="15" t="s">
        <v>2454</v>
      </c>
      <c r="D2317" s="14" t="s">
        <v>1745</v>
      </c>
      <c r="E2317" s="14" t="s">
        <v>1746</v>
      </c>
      <c r="F2317" s="25">
        <v>0</v>
      </c>
      <c r="G2317" s="25">
        <v>0</v>
      </c>
    </row>
    <row r="2318" spans="1:7" x14ac:dyDescent="0.25">
      <c r="A2318" s="14" t="s">
        <v>2450</v>
      </c>
      <c r="B2318" s="14" t="s">
        <v>29</v>
      </c>
      <c r="C2318" s="15" t="s">
        <v>2455</v>
      </c>
      <c r="D2318" s="14" t="s">
        <v>1745</v>
      </c>
      <c r="E2318" s="14" t="s">
        <v>1746</v>
      </c>
      <c r="F2318" s="25">
        <v>1386</v>
      </c>
      <c r="G2318" s="25">
        <v>1108.8</v>
      </c>
    </row>
    <row r="2319" spans="1:7" x14ac:dyDescent="0.25">
      <c r="A2319" s="14" t="s">
        <v>2450</v>
      </c>
      <c r="B2319" s="14" t="s">
        <v>118</v>
      </c>
      <c r="C2319" s="15" t="s">
        <v>2452</v>
      </c>
      <c r="D2319" s="14" t="s">
        <v>1749</v>
      </c>
      <c r="E2319" s="14" t="s">
        <v>1746</v>
      </c>
      <c r="F2319" s="25">
        <v>69.84</v>
      </c>
      <c r="G2319" s="25">
        <v>55.87</v>
      </c>
    </row>
    <row r="2320" spans="1:7" ht="30" x14ac:dyDescent="0.25">
      <c r="A2320" s="14" t="s">
        <v>2450</v>
      </c>
      <c r="B2320" s="14" t="s">
        <v>583</v>
      </c>
      <c r="C2320" s="15" t="s">
        <v>2454</v>
      </c>
      <c r="D2320" s="14" t="s">
        <v>1745</v>
      </c>
      <c r="E2320" s="14" t="s">
        <v>1747</v>
      </c>
      <c r="F2320" s="25">
        <v>0</v>
      </c>
      <c r="G2320" s="25">
        <v>0</v>
      </c>
    </row>
    <row r="2321" spans="1:7" x14ac:dyDescent="0.25">
      <c r="A2321" s="14" t="s">
        <v>2450</v>
      </c>
      <c r="B2321" s="14">
        <v>1</v>
      </c>
      <c r="C2321" s="15" t="s">
        <v>2456</v>
      </c>
      <c r="D2321" s="14" t="s">
        <v>1745</v>
      </c>
      <c r="E2321" s="14" t="s">
        <v>1747</v>
      </c>
      <c r="F2321" s="25">
        <v>1980</v>
      </c>
      <c r="G2321" s="25">
        <v>1584</v>
      </c>
    </row>
    <row r="2322" spans="1:7" x14ac:dyDescent="0.25">
      <c r="A2322" s="14" t="s">
        <v>2450</v>
      </c>
      <c r="B2322" s="14">
        <v>1</v>
      </c>
      <c r="C2322" s="15" t="s">
        <v>2456</v>
      </c>
      <c r="D2322" s="14" t="s">
        <v>1745</v>
      </c>
      <c r="E2322" s="14" t="s">
        <v>1746</v>
      </c>
      <c r="F2322" s="25">
        <v>2079</v>
      </c>
      <c r="G2322" s="25">
        <v>1663.2</v>
      </c>
    </row>
    <row r="2323" spans="1:7" x14ac:dyDescent="0.25">
      <c r="A2323" s="14" t="s">
        <v>2457</v>
      </c>
      <c r="B2323" s="14">
        <v>1</v>
      </c>
      <c r="C2323" s="15" t="s">
        <v>2458</v>
      </c>
      <c r="D2323" s="14" t="s">
        <v>1749</v>
      </c>
      <c r="E2323" s="14" t="s">
        <v>1746</v>
      </c>
      <c r="F2323" s="25">
        <v>498</v>
      </c>
      <c r="G2323" s="25">
        <v>398.4</v>
      </c>
    </row>
    <row r="2324" spans="1:7" x14ac:dyDescent="0.25">
      <c r="A2324" s="14" t="s">
        <v>2457</v>
      </c>
      <c r="B2324" s="14" t="s">
        <v>122</v>
      </c>
      <c r="C2324" s="15" t="s">
        <v>2459</v>
      </c>
      <c r="D2324" s="14" t="s">
        <v>1749</v>
      </c>
      <c r="E2324" s="14" t="s">
        <v>1746</v>
      </c>
      <c r="F2324" s="25">
        <v>150</v>
      </c>
      <c r="G2324" s="25">
        <v>120</v>
      </c>
    </row>
    <row r="2325" spans="1:7" x14ac:dyDescent="0.25">
      <c r="A2325" s="14" t="s">
        <v>2457</v>
      </c>
      <c r="B2325" s="14" t="s">
        <v>39</v>
      </c>
      <c r="C2325" s="15" t="s">
        <v>2460</v>
      </c>
      <c r="D2325" s="14" t="s">
        <v>1749</v>
      </c>
      <c r="E2325" s="14" t="s">
        <v>1746</v>
      </c>
      <c r="F2325" s="25">
        <v>342</v>
      </c>
      <c r="G2325" s="25">
        <v>273.60000000000002</v>
      </c>
    </row>
    <row r="2326" spans="1:7" x14ac:dyDescent="0.25">
      <c r="A2326" s="14" t="s">
        <v>2457</v>
      </c>
      <c r="B2326" s="14" t="s">
        <v>363</v>
      </c>
      <c r="C2326" s="15" t="s">
        <v>2461</v>
      </c>
      <c r="D2326" s="14" t="s">
        <v>1745</v>
      </c>
      <c r="E2326" s="14" t="s">
        <v>1746</v>
      </c>
      <c r="F2326" s="25">
        <v>3150</v>
      </c>
      <c r="G2326" s="25">
        <v>2520</v>
      </c>
    </row>
    <row r="2327" spans="1:7" x14ac:dyDescent="0.25">
      <c r="A2327" s="14" t="s">
        <v>2457</v>
      </c>
      <c r="B2327" s="14" t="s">
        <v>363</v>
      </c>
      <c r="C2327" s="15" t="s">
        <v>2461</v>
      </c>
      <c r="D2327" s="14" t="s">
        <v>1752</v>
      </c>
      <c r="E2327" s="14" t="s">
        <v>1753</v>
      </c>
      <c r="F2327" s="25">
        <v>9000</v>
      </c>
      <c r="G2327" s="25">
        <v>7200</v>
      </c>
    </row>
    <row r="2328" spans="1:7" x14ac:dyDescent="0.25">
      <c r="A2328" s="14" t="s">
        <v>2457</v>
      </c>
      <c r="B2328" s="14" t="s">
        <v>46</v>
      </c>
      <c r="C2328" s="15" t="s">
        <v>2462</v>
      </c>
      <c r="D2328" s="14" t="s">
        <v>1745</v>
      </c>
      <c r="E2328" s="14" t="s">
        <v>1746</v>
      </c>
      <c r="F2328" s="25">
        <v>2079</v>
      </c>
      <c r="G2328" s="25">
        <v>1871.16</v>
      </c>
    </row>
    <row r="2329" spans="1:7" x14ac:dyDescent="0.25">
      <c r="A2329" s="14" t="s">
        <v>2457</v>
      </c>
      <c r="B2329" s="14" t="s">
        <v>29</v>
      </c>
      <c r="C2329" s="15" t="s">
        <v>2463</v>
      </c>
      <c r="D2329" s="14" t="s">
        <v>1749</v>
      </c>
      <c r="E2329" s="14" t="s">
        <v>1746</v>
      </c>
      <c r="F2329" s="25">
        <v>222</v>
      </c>
      <c r="G2329" s="25">
        <v>177.6</v>
      </c>
    </row>
    <row r="2330" spans="1:7" x14ac:dyDescent="0.25">
      <c r="A2330" s="14" t="s">
        <v>2457</v>
      </c>
      <c r="B2330" s="14" t="s">
        <v>46</v>
      </c>
      <c r="C2330" s="15" t="s">
        <v>2462</v>
      </c>
      <c r="D2330" s="14" t="s">
        <v>1749</v>
      </c>
      <c r="E2330" s="14" t="s">
        <v>1746</v>
      </c>
      <c r="F2330" s="25">
        <v>198</v>
      </c>
      <c r="G2330" s="25">
        <v>178.2</v>
      </c>
    </row>
    <row r="2331" spans="1:7" x14ac:dyDescent="0.25">
      <c r="A2331" s="14" t="s">
        <v>2457</v>
      </c>
      <c r="B2331" s="14">
        <v>1</v>
      </c>
      <c r="C2331" s="15" t="s">
        <v>2458</v>
      </c>
      <c r="D2331" s="14" t="s">
        <v>1745</v>
      </c>
      <c r="E2331" s="14" t="s">
        <v>1747</v>
      </c>
      <c r="F2331" s="25">
        <v>4980</v>
      </c>
      <c r="G2331" s="25">
        <v>3984</v>
      </c>
    </row>
    <row r="2332" spans="1:7" x14ac:dyDescent="0.25">
      <c r="A2332" s="14" t="s">
        <v>2457</v>
      </c>
      <c r="B2332" s="14" t="s">
        <v>29</v>
      </c>
      <c r="C2332" s="15" t="s">
        <v>2463</v>
      </c>
      <c r="D2332" s="14" t="s">
        <v>1745</v>
      </c>
      <c r="E2332" s="14" t="s">
        <v>1746</v>
      </c>
      <c r="F2332" s="25">
        <v>2331</v>
      </c>
      <c r="G2332" s="25">
        <v>1864.8</v>
      </c>
    </row>
    <row r="2333" spans="1:7" x14ac:dyDescent="0.25">
      <c r="A2333" s="14" t="s">
        <v>2457</v>
      </c>
      <c r="B2333" s="14" t="s">
        <v>29</v>
      </c>
      <c r="C2333" s="15" t="s">
        <v>2463</v>
      </c>
      <c r="D2333" s="14" t="s">
        <v>1745</v>
      </c>
      <c r="E2333" s="14" t="s">
        <v>1747</v>
      </c>
      <c r="F2333" s="25">
        <v>2220</v>
      </c>
      <c r="G2333" s="25">
        <v>1776</v>
      </c>
    </row>
    <row r="2334" spans="1:7" x14ac:dyDescent="0.25">
      <c r="A2334" s="14" t="s">
        <v>2457</v>
      </c>
      <c r="B2334" s="14" t="s">
        <v>122</v>
      </c>
      <c r="C2334" s="15" t="s">
        <v>2459</v>
      </c>
      <c r="D2334" s="14" t="s">
        <v>1745</v>
      </c>
      <c r="E2334" s="14" t="s">
        <v>1747</v>
      </c>
      <c r="F2334" s="25">
        <v>1500</v>
      </c>
      <c r="G2334" s="25">
        <v>1200</v>
      </c>
    </row>
    <row r="2335" spans="1:7" x14ac:dyDescent="0.25">
      <c r="A2335" s="14" t="s">
        <v>2457</v>
      </c>
      <c r="B2335" s="14" t="s">
        <v>363</v>
      </c>
      <c r="C2335" s="15" t="s">
        <v>2461</v>
      </c>
      <c r="D2335" s="14" t="s">
        <v>1749</v>
      </c>
      <c r="E2335" s="14" t="s">
        <v>1746</v>
      </c>
      <c r="F2335" s="25">
        <v>300</v>
      </c>
      <c r="G2335" s="25">
        <v>240</v>
      </c>
    </row>
    <row r="2336" spans="1:7" x14ac:dyDescent="0.25">
      <c r="A2336" s="14" t="s">
        <v>2457</v>
      </c>
      <c r="B2336" s="14" t="s">
        <v>39</v>
      </c>
      <c r="C2336" s="15" t="s">
        <v>2460</v>
      </c>
      <c r="D2336" s="14" t="s">
        <v>1745</v>
      </c>
      <c r="E2336" s="14" t="s">
        <v>1747</v>
      </c>
      <c r="F2336" s="25">
        <v>3420</v>
      </c>
      <c r="G2336" s="25">
        <v>2736</v>
      </c>
    </row>
    <row r="2337" spans="1:7" x14ac:dyDescent="0.25">
      <c r="A2337" s="14" t="s">
        <v>2457</v>
      </c>
      <c r="B2337" s="14" t="s">
        <v>39</v>
      </c>
      <c r="C2337" s="15" t="s">
        <v>2460</v>
      </c>
      <c r="D2337" s="14" t="s">
        <v>1745</v>
      </c>
      <c r="E2337" s="14" t="s">
        <v>1746</v>
      </c>
      <c r="F2337" s="25">
        <v>3591</v>
      </c>
      <c r="G2337" s="25">
        <v>2872.8</v>
      </c>
    </row>
    <row r="2338" spans="1:7" x14ac:dyDescent="0.25">
      <c r="A2338" s="14" t="s">
        <v>2457</v>
      </c>
      <c r="B2338" s="14">
        <v>1</v>
      </c>
      <c r="C2338" s="15" t="s">
        <v>2458</v>
      </c>
      <c r="D2338" s="14" t="s">
        <v>1745</v>
      </c>
      <c r="E2338" s="14" t="s">
        <v>1746</v>
      </c>
      <c r="F2338" s="25">
        <v>5229</v>
      </c>
      <c r="G2338" s="25">
        <v>4183.2</v>
      </c>
    </row>
    <row r="2339" spans="1:7" x14ac:dyDescent="0.25">
      <c r="A2339" s="14" t="s">
        <v>2457</v>
      </c>
      <c r="B2339" s="14" t="s">
        <v>363</v>
      </c>
      <c r="C2339" s="15" t="s">
        <v>2461</v>
      </c>
      <c r="D2339" s="14" t="s">
        <v>1745</v>
      </c>
      <c r="E2339" s="14" t="s">
        <v>1747</v>
      </c>
      <c r="F2339" s="25">
        <v>3000</v>
      </c>
      <c r="G2339" s="25">
        <v>2400</v>
      </c>
    </row>
    <row r="2340" spans="1:7" x14ac:dyDescent="0.25">
      <c r="A2340" s="14" t="s">
        <v>2457</v>
      </c>
      <c r="B2340" s="14" t="s">
        <v>363</v>
      </c>
      <c r="C2340" s="15" t="s">
        <v>2461</v>
      </c>
      <c r="D2340" s="14" t="s">
        <v>1752</v>
      </c>
      <c r="E2340" s="14" t="s">
        <v>1747</v>
      </c>
      <c r="F2340" s="25">
        <v>9000</v>
      </c>
      <c r="G2340" s="25">
        <v>7200</v>
      </c>
    </row>
    <row r="2341" spans="1:7" x14ac:dyDescent="0.25">
      <c r="A2341" s="14" t="s">
        <v>2457</v>
      </c>
      <c r="B2341" s="14" t="s">
        <v>122</v>
      </c>
      <c r="C2341" s="15" t="s">
        <v>2459</v>
      </c>
      <c r="D2341" s="14" t="s">
        <v>1745</v>
      </c>
      <c r="E2341" s="14" t="s">
        <v>1746</v>
      </c>
      <c r="F2341" s="25">
        <v>1575</v>
      </c>
      <c r="G2341" s="25">
        <v>1260</v>
      </c>
    </row>
    <row r="2342" spans="1:7" x14ac:dyDescent="0.25">
      <c r="A2342" s="14" t="s">
        <v>2457</v>
      </c>
      <c r="B2342" s="14" t="s">
        <v>46</v>
      </c>
      <c r="C2342" s="15" t="s">
        <v>2462</v>
      </c>
      <c r="D2342" s="14" t="s">
        <v>1745</v>
      </c>
      <c r="E2342" s="14" t="s">
        <v>1747</v>
      </c>
      <c r="F2342" s="25">
        <v>1980</v>
      </c>
      <c r="G2342" s="25">
        <v>1782</v>
      </c>
    </row>
    <row r="2343" spans="1:7" x14ac:dyDescent="0.25">
      <c r="A2343" s="14" t="s">
        <v>643</v>
      </c>
      <c r="B2343" s="14">
        <v>7</v>
      </c>
      <c r="C2343" s="15" t="s">
        <v>2464</v>
      </c>
      <c r="D2343" s="14" t="s">
        <v>1749</v>
      </c>
      <c r="E2343" s="14" t="s">
        <v>1746</v>
      </c>
      <c r="F2343" s="25">
        <v>480</v>
      </c>
      <c r="G2343" s="25">
        <v>432</v>
      </c>
    </row>
    <row r="2344" spans="1:7" x14ac:dyDescent="0.25">
      <c r="A2344" s="14" t="s">
        <v>643</v>
      </c>
      <c r="B2344" s="14">
        <v>1</v>
      </c>
      <c r="C2344" s="15" t="s">
        <v>838</v>
      </c>
      <c r="D2344" s="14" t="s">
        <v>1745</v>
      </c>
      <c r="E2344" s="14" t="s">
        <v>1747</v>
      </c>
      <c r="F2344" s="25">
        <v>12000</v>
      </c>
      <c r="G2344" s="25">
        <v>9600</v>
      </c>
    </row>
    <row r="2345" spans="1:7" x14ac:dyDescent="0.25">
      <c r="A2345" s="14" t="s">
        <v>643</v>
      </c>
      <c r="B2345" s="14" t="s">
        <v>20</v>
      </c>
      <c r="C2345" s="15" t="s">
        <v>2465</v>
      </c>
      <c r="D2345" s="14" t="s">
        <v>1752</v>
      </c>
      <c r="E2345" s="14" t="s">
        <v>1753</v>
      </c>
      <c r="F2345" s="25">
        <v>36000</v>
      </c>
      <c r="G2345" s="25">
        <v>28800</v>
      </c>
    </row>
    <row r="2346" spans="1:7" x14ac:dyDescent="0.25">
      <c r="A2346" s="14" t="s">
        <v>643</v>
      </c>
      <c r="B2346" s="14">
        <v>1</v>
      </c>
      <c r="C2346" s="15" t="s">
        <v>838</v>
      </c>
      <c r="D2346" s="14" t="s">
        <v>1745</v>
      </c>
      <c r="E2346" s="14" t="s">
        <v>1746</v>
      </c>
      <c r="F2346" s="25">
        <v>12600</v>
      </c>
      <c r="G2346" s="25">
        <v>10080</v>
      </c>
    </row>
    <row r="2347" spans="1:7" x14ac:dyDescent="0.25">
      <c r="A2347" s="14" t="s">
        <v>643</v>
      </c>
      <c r="B2347" s="14">
        <v>7</v>
      </c>
      <c r="C2347" s="15" t="s">
        <v>2464</v>
      </c>
      <c r="D2347" s="14" t="s">
        <v>1745</v>
      </c>
      <c r="E2347" s="14" t="s">
        <v>1747</v>
      </c>
      <c r="F2347" s="25">
        <v>4800</v>
      </c>
      <c r="G2347" s="25">
        <v>4320</v>
      </c>
    </row>
    <row r="2348" spans="1:7" x14ac:dyDescent="0.25">
      <c r="A2348" s="14" t="s">
        <v>643</v>
      </c>
      <c r="B2348" s="14">
        <v>7</v>
      </c>
      <c r="C2348" s="15" t="s">
        <v>2464</v>
      </c>
      <c r="D2348" s="14" t="s">
        <v>1745</v>
      </c>
      <c r="E2348" s="14" t="s">
        <v>1746</v>
      </c>
      <c r="F2348" s="25">
        <v>5040</v>
      </c>
      <c r="G2348" s="25">
        <v>4536</v>
      </c>
    </row>
    <row r="2349" spans="1:7" x14ac:dyDescent="0.25">
      <c r="A2349" s="14" t="s">
        <v>643</v>
      </c>
      <c r="B2349" s="14">
        <v>1</v>
      </c>
      <c r="C2349" s="15" t="s">
        <v>838</v>
      </c>
      <c r="D2349" s="14" t="s">
        <v>1749</v>
      </c>
      <c r="E2349" s="14" t="s">
        <v>1746</v>
      </c>
      <c r="F2349" s="25">
        <v>1200</v>
      </c>
      <c r="G2349" s="25">
        <v>960</v>
      </c>
    </row>
    <row r="2350" spans="1:7" x14ac:dyDescent="0.25">
      <c r="A2350" s="14" t="s">
        <v>643</v>
      </c>
      <c r="B2350" s="14">
        <v>7</v>
      </c>
      <c r="C2350" s="15" t="s">
        <v>2464</v>
      </c>
      <c r="D2350" s="14" t="s">
        <v>1752</v>
      </c>
      <c r="E2350" s="14" t="s">
        <v>1753</v>
      </c>
      <c r="F2350" s="25">
        <v>14400</v>
      </c>
      <c r="G2350" s="25">
        <v>12960</v>
      </c>
    </row>
    <row r="2351" spans="1:7" x14ac:dyDescent="0.25">
      <c r="A2351" s="14" t="s">
        <v>643</v>
      </c>
      <c r="B2351" s="14" t="s">
        <v>20</v>
      </c>
      <c r="C2351" s="15" t="s">
        <v>2465</v>
      </c>
      <c r="D2351" s="14" t="s">
        <v>1752</v>
      </c>
      <c r="E2351" s="14" t="s">
        <v>1747</v>
      </c>
      <c r="F2351" s="25">
        <v>36000</v>
      </c>
      <c r="G2351" s="25">
        <v>28800</v>
      </c>
    </row>
    <row r="2352" spans="1:7" x14ac:dyDescent="0.25">
      <c r="A2352" s="14" t="s">
        <v>283</v>
      </c>
      <c r="B2352" s="14">
        <v>8</v>
      </c>
      <c r="C2352" s="15" t="s">
        <v>2466</v>
      </c>
      <c r="D2352" s="14" t="s">
        <v>1745</v>
      </c>
      <c r="E2352" s="14" t="s">
        <v>1746</v>
      </c>
      <c r="F2352" s="25">
        <v>3465</v>
      </c>
      <c r="G2352" s="25">
        <v>2772</v>
      </c>
    </row>
    <row r="2353" spans="1:7" x14ac:dyDescent="0.25">
      <c r="A2353" s="14" t="s">
        <v>283</v>
      </c>
      <c r="B2353" s="14">
        <v>9</v>
      </c>
      <c r="C2353" s="15" t="s">
        <v>2467</v>
      </c>
      <c r="D2353" s="14" t="s">
        <v>1749</v>
      </c>
      <c r="E2353" s="14" t="s">
        <v>1746</v>
      </c>
      <c r="F2353" s="25">
        <v>282</v>
      </c>
      <c r="G2353" s="25">
        <v>225.6</v>
      </c>
    </row>
    <row r="2354" spans="1:7" x14ac:dyDescent="0.25">
      <c r="A2354" s="14" t="s">
        <v>283</v>
      </c>
      <c r="B2354" s="14">
        <v>7</v>
      </c>
      <c r="C2354" s="15" t="s">
        <v>2468</v>
      </c>
      <c r="D2354" s="14" t="s">
        <v>1745</v>
      </c>
      <c r="E2354" s="14" t="s">
        <v>1747</v>
      </c>
      <c r="F2354" s="25">
        <v>0</v>
      </c>
      <c r="G2354" s="25">
        <v>0</v>
      </c>
    </row>
    <row r="2355" spans="1:7" x14ac:dyDescent="0.25">
      <c r="A2355" s="14" t="s">
        <v>283</v>
      </c>
      <c r="B2355" s="14">
        <v>8</v>
      </c>
      <c r="C2355" s="15" t="s">
        <v>2466</v>
      </c>
      <c r="D2355" s="14" t="s">
        <v>1745</v>
      </c>
      <c r="E2355" s="14" t="s">
        <v>1747</v>
      </c>
      <c r="F2355" s="25">
        <v>3300</v>
      </c>
      <c r="G2355" s="25">
        <v>2640</v>
      </c>
    </row>
    <row r="2356" spans="1:7" x14ac:dyDescent="0.25">
      <c r="A2356" s="14" t="s">
        <v>283</v>
      </c>
      <c r="B2356" s="14">
        <v>7</v>
      </c>
      <c r="C2356" s="15" t="s">
        <v>2468</v>
      </c>
      <c r="D2356" s="14" t="s">
        <v>1745</v>
      </c>
      <c r="E2356" s="14" t="s">
        <v>1746</v>
      </c>
      <c r="F2356" s="25">
        <v>0</v>
      </c>
      <c r="G2356" s="25">
        <v>0</v>
      </c>
    </row>
    <row r="2357" spans="1:7" x14ac:dyDescent="0.25">
      <c r="A2357" s="14" t="s">
        <v>283</v>
      </c>
      <c r="B2357" s="14">
        <v>9</v>
      </c>
      <c r="C2357" s="15" t="s">
        <v>2467</v>
      </c>
      <c r="D2357" s="14" t="s">
        <v>1745</v>
      </c>
      <c r="E2357" s="14" t="s">
        <v>1746</v>
      </c>
      <c r="F2357" s="25">
        <v>2961</v>
      </c>
      <c r="G2357" s="25">
        <v>2368.8000000000002</v>
      </c>
    </row>
    <row r="2358" spans="1:7" x14ac:dyDescent="0.25">
      <c r="A2358" s="14" t="s">
        <v>283</v>
      </c>
      <c r="B2358" s="14">
        <v>9</v>
      </c>
      <c r="C2358" s="15" t="s">
        <v>2467</v>
      </c>
      <c r="D2358" s="14" t="s">
        <v>1745</v>
      </c>
      <c r="E2358" s="14" t="s">
        <v>1747</v>
      </c>
      <c r="F2358" s="25">
        <v>2820</v>
      </c>
      <c r="G2358" s="25">
        <v>2256</v>
      </c>
    </row>
    <row r="2359" spans="1:7" x14ac:dyDescent="0.25">
      <c r="A2359" s="14" t="s">
        <v>283</v>
      </c>
      <c r="B2359" s="14">
        <v>7</v>
      </c>
      <c r="C2359" s="15" t="s">
        <v>2468</v>
      </c>
      <c r="D2359" s="14" t="s">
        <v>1749</v>
      </c>
      <c r="E2359" s="14" t="s">
        <v>1746</v>
      </c>
      <c r="F2359" s="25">
        <v>0</v>
      </c>
      <c r="G2359" s="25">
        <v>0</v>
      </c>
    </row>
    <row r="2360" spans="1:7" x14ac:dyDescent="0.25">
      <c r="A2360" s="14" t="s">
        <v>283</v>
      </c>
      <c r="B2360" s="14">
        <v>8</v>
      </c>
      <c r="C2360" s="15" t="s">
        <v>2466</v>
      </c>
      <c r="D2360" s="14" t="s">
        <v>1749</v>
      </c>
      <c r="E2360" s="14" t="s">
        <v>1746</v>
      </c>
      <c r="F2360" s="25">
        <v>330</v>
      </c>
      <c r="G2360" s="25">
        <v>264</v>
      </c>
    </row>
    <row r="2361" spans="1:7" x14ac:dyDescent="0.25">
      <c r="A2361" s="14" t="s">
        <v>860</v>
      </c>
      <c r="B2361" s="14">
        <v>16</v>
      </c>
      <c r="C2361" s="15" t="s">
        <v>873</v>
      </c>
      <c r="D2361" s="14" t="s">
        <v>1745</v>
      </c>
      <c r="E2361" s="14" t="s">
        <v>1746</v>
      </c>
      <c r="F2361" s="25">
        <v>2079</v>
      </c>
      <c r="G2361" s="25">
        <v>1663.2</v>
      </c>
    </row>
    <row r="2362" spans="1:7" x14ac:dyDescent="0.25">
      <c r="A2362" s="14" t="s">
        <v>860</v>
      </c>
      <c r="B2362" s="14">
        <v>6</v>
      </c>
      <c r="C2362" s="15" t="s">
        <v>2469</v>
      </c>
      <c r="D2362" s="14" t="s">
        <v>1745</v>
      </c>
      <c r="E2362" s="14" t="s">
        <v>1747</v>
      </c>
      <c r="F2362" s="25">
        <v>499.2</v>
      </c>
      <c r="G2362" s="25">
        <v>449.28</v>
      </c>
    </row>
    <row r="2363" spans="1:7" x14ac:dyDescent="0.25">
      <c r="A2363" s="14" t="s">
        <v>860</v>
      </c>
      <c r="B2363" s="14">
        <v>5</v>
      </c>
      <c r="C2363" s="15" t="s">
        <v>869</v>
      </c>
      <c r="D2363" s="14" t="s">
        <v>1745</v>
      </c>
      <c r="E2363" s="14" t="s">
        <v>1746</v>
      </c>
      <c r="F2363" s="25">
        <v>2079</v>
      </c>
      <c r="G2363" s="25">
        <v>1663.2</v>
      </c>
    </row>
    <row r="2364" spans="1:7" x14ac:dyDescent="0.25">
      <c r="A2364" s="14" t="s">
        <v>860</v>
      </c>
      <c r="B2364" s="14">
        <v>9</v>
      </c>
      <c r="C2364" s="15" t="s">
        <v>2470</v>
      </c>
      <c r="D2364" s="14" t="s">
        <v>1745</v>
      </c>
      <c r="E2364" s="14" t="s">
        <v>1746</v>
      </c>
      <c r="F2364" s="25">
        <v>471.72</v>
      </c>
      <c r="G2364" s="25">
        <v>377.4</v>
      </c>
    </row>
    <row r="2365" spans="1:7" x14ac:dyDescent="0.25">
      <c r="A2365" s="14" t="s">
        <v>860</v>
      </c>
      <c r="B2365" s="14">
        <v>9</v>
      </c>
      <c r="C2365" s="15" t="s">
        <v>2470</v>
      </c>
      <c r="D2365" s="14" t="s">
        <v>1749</v>
      </c>
      <c r="E2365" s="14" t="s">
        <v>1746</v>
      </c>
      <c r="F2365" s="25">
        <v>44.93</v>
      </c>
      <c r="G2365" s="25">
        <v>35.94</v>
      </c>
    </row>
    <row r="2366" spans="1:7" x14ac:dyDescent="0.25">
      <c r="A2366" s="14" t="s">
        <v>860</v>
      </c>
      <c r="B2366" s="14">
        <v>8</v>
      </c>
      <c r="C2366" s="15" t="s">
        <v>2471</v>
      </c>
      <c r="D2366" s="14" t="s">
        <v>1749</v>
      </c>
      <c r="E2366" s="14" t="s">
        <v>1746</v>
      </c>
      <c r="F2366" s="25">
        <v>59.9</v>
      </c>
      <c r="G2366" s="25">
        <v>47.92</v>
      </c>
    </row>
    <row r="2367" spans="1:7" x14ac:dyDescent="0.25">
      <c r="A2367" s="14" t="s">
        <v>860</v>
      </c>
      <c r="B2367" s="14" t="s">
        <v>16</v>
      </c>
      <c r="C2367" s="15" t="s">
        <v>2472</v>
      </c>
      <c r="D2367" s="14" t="s">
        <v>1749</v>
      </c>
      <c r="E2367" s="14" t="s">
        <v>1746</v>
      </c>
      <c r="F2367" s="25">
        <v>29.95</v>
      </c>
      <c r="G2367" s="25">
        <v>23.96</v>
      </c>
    </row>
    <row r="2368" spans="1:7" x14ac:dyDescent="0.25">
      <c r="A2368" s="14" t="s">
        <v>860</v>
      </c>
      <c r="B2368" s="14">
        <v>7</v>
      </c>
      <c r="C2368" s="15" t="s">
        <v>2473</v>
      </c>
      <c r="D2368" s="14" t="s">
        <v>1749</v>
      </c>
      <c r="E2368" s="14" t="s">
        <v>1746</v>
      </c>
      <c r="F2368" s="25">
        <v>39.94</v>
      </c>
      <c r="G2368" s="25">
        <v>31.95</v>
      </c>
    </row>
    <row r="2369" spans="1:7" x14ac:dyDescent="0.25">
      <c r="A2369" s="14" t="s">
        <v>860</v>
      </c>
      <c r="B2369" s="14">
        <v>16</v>
      </c>
      <c r="C2369" s="15" t="s">
        <v>873</v>
      </c>
      <c r="D2369" s="14" t="s">
        <v>1749</v>
      </c>
      <c r="E2369" s="14" t="s">
        <v>1746</v>
      </c>
      <c r="F2369" s="25">
        <v>198</v>
      </c>
      <c r="G2369" s="25">
        <v>158.4</v>
      </c>
    </row>
    <row r="2370" spans="1:7" x14ac:dyDescent="0.25">
      <c r="A2370" s="14" t="s">
        <v>860</v>
      </c>
      <c r="B2370" s="14">
        <v>5</v>
      </c>
      <c r="C2370" s="15" t="s">
        <v>869</v>
      </c>
      <c r="D2370" s="14" t="s">
        <v>1745</v>
      </c>
      <c r="E2370" s="14" t="s">
        <v>1747</v>
      </c>
      <c r="F2370" s="25">
        <v>1980</v>
      </c>
      <c r="G2370" s="25">
        <v>1584</v>
      </c>
    </row>
    <row r="2371" spans="1:7" x14ac:dyDescent="0.25">
      <c r="A2371" s="14" t="s">
        <v>860</v>
      </c>
      <c r="B2371" s="14">
        <v>15</v>
      </c>
      <c r="C2371" s="15" t="s">
        <v>873</v>
      </c>
      <c r="D2371" s="14" t="s">
        <v>1749</v>
      </c>
      <c r="E2371" s="14" t="s">
        <v>1766</v>
      </c>
      <c r="F2371" s="25">
        <v>0</v>
      </c>
      <c r="G2371" s="25">
        <v>0</v>
      </c>
    </row>
    <row r="2372" spans="1:7" x14ac:dyDescent="0.25">
      <c r="A2372" s="14" t="s">
        <v>860</v>
      </c>
      <c r="B2372" s="14">
        <v>1</v>
      </c>
      <c r="C2372" s="15" t="s">
        <v>859</v>
      </c>
      <c r="D2372" s="14" t="s">
        <v>1745</v>
      </c>
      <c r="E2372" s="14" t="s">
        <v>1746</v>
      </c>
      <c r="F2372" s="25">
        <v>3150</v>
      </c>
      <c r="G2372" s="25">
        <v>2520</v>
      </c>
    </row>
    <row r="2373" spans="1:7" x14ac:dyDescent="0.25">
      <c r="A2373" s="14" t="s">
        <v>860</v>
      </c>
      <c r="B2373" s="14">
        <v>6</v>
      </c>
      <c r="C2373" s="15" t="s">
        <v>2469</v>
      </c>
      <c r="D2373" s="14" t="s">
        <v>1745</v>
      </c>
      <c r="E2373" s="14" t="s">
        <v>1746</v>
      </c>
      <c r="F2373" s="25">
        <v>524.16</v>
      </c>
      <c r="G2373" s="25">
        <v>471.72</v>
      </c>
    </row>
    <row r="2374" spans="1:7" x14ac:dyDescent="0.25">
      <c r="A2374" s="14" t="s">
        <v>860</v>
      </c>
      <c r="B2374" s="14">
        <v>16</v>
      </c>
      <c r="C2374" s="15" t="s">
        <v>873</v>
      </c>
      <c r="D2374" s="14" t="s">
        <v>1745</v>
      </c>
      <c r="E2374" s="14" t="s">
        <v>1747</v>
      </c>
      <c r="F2374" s="25">
        <v>1980</v>
      </c>
      <c r="G2374" s="25">
        <v>1584</v>
      </c>
    </row>
    <row r="2375" spans="1:7" x14ac:dyDescent="0.25">
      <c r="A2375" s="14" t="s">
        <v>860</v>
      </c>
      <c r="B2375" s="14">
        <v>1</v>
      </c>
      <c r="C2375" s="15" t="s">
        <v>859</v>
      </c>
      <c r="D2375" s="14" t="s">
        <v>1749</v>
      </c>
      <c r="E2375" s="14" t="s">
        <v>1746</v>
      </c>
      <c r="F2375" s="25">
        <v>300</v>
      </c>
      <c r="G2375" s="25">
        <v>240</v>
      </c>
    </row>
    <row r="2376" spans="1:7" ht="30" x14ac:dyDescent="0.25">
      <c r="A2376" s="14" t="s">
        <v>860</v>
      </c>
      <c r="B2376" s="14" t="s">
        <v>20</v>
      </c>
      <c r="C2376" s="15" t="s">
        <v>2474</v>
      </c>
      <c r="D2376" s="14" t="s">
        <v>1745</v>
      </c>
      <c r="E2376" s="14" t="s">
        <v>1746</v>
      </c>
      <c r="F2376" s="25">
        <v>2079</v>
      </c>
      <c r="G2376" s="25">
        <v>1663.2</v>
      </c>
    </row>
    <row r="2377" spans="1:7" x14ac:dyDescent="0.25">
      <c r="A2377" s="14" t="s">
        <v>860</v>
      </c>
      <c r="B2377" s="14">
        <v>1</v>
      </c>
      <c r="C2377" s="15" t="s">
        <v>859</v>
      </c>
      <c r="D2377" s="14" t="s">
        <v>1745</v>
      </c>
      <c r="E2377" s="14" t="s">
        <v>1747</v>
      </c>
      <c r="F2377" s="25">
        <v>3000</v>
      </c>
      <c r="G2377" s="25">
        <v>2400</v>
      </c>
    </row>
    <row r="2378" spans="1:7" x14ac:dyDescent="0.25">
      <c r="A2378" s="14" t="s">
        <v>860</v>
      </c>
      <c r="B2378" s="14">
        <v>7</v>
      </c>
      <c r="C2378" s="15" t="s">
        <v>2473</v>
      </c>
      <c r="D2378" s="14" t="s">
        <v>1745</v>
      </c>
      <c r="E2378" s="14" t="s">
        <v>1746</v>
      </c>
      <c r="F2378" s="25">
        <v>419.28</v>
      </c>
      <c r="G2378" s="25">
        <v>335.52</v>
      </c>
    </row>
    <row r="2379" spans="1:7" x14ac:dyDescent="0.25">
      <c r="A2379" s="14" t="s">
        <v>860</v>
      </c>
      <c r="B2379" s="14">
        <v>7</v>
      </c>
      <c r="C2379" s="15" t="s">
        <v>2473</v>
      </c>
      <c r="D2379" s="14" t="s">
        <v>1745</v>
      </c>
      <c r="E2379" s="14" t="s">
        <v>1747</v>
      </c>
      <c r="F2379" s="25">
        <v>399.36</v>
      </c>
      <c r="G2379" s="25">
        <v>319.49</v>
      </c>
    </row>
    <row r="2380" spans="1:7" x14ac:dyDescent="0.25">
      <c r="A2380" s="14" t="s">
        <v>860</v>
      </c>
      <c r="B2380" s="14" t="s">
        <v>16</v>
      </c>
      <c r="C2380" s="15" t="s">
        <v>2472</v>
      </c>
      <c r="D2380" s="14" t="s">
        <v>1745</v>
      </c>
      <c r="E2380" s="14" t="s">
        <v>1746</v>
      </c>
      <c r="F2380" s="25">
        <v>314.52</v>
      </c>
      <c r="G2380" s="25">
        <v>251.64</v>
      </c>
    </row>
    <row r="2381" spans="1:7" x14ac:dyDescent="0.25">
      <c r="A2381" s="14" t="s">
        <v>860</v>
      </c>
      <c r="B2381" s="14">
        <v>2</v>
      </c>
      <c r="C2381" s="15" t="s">
        <v>862</v>
      </c>
      <c r="D2381" s="14" t="s">
        <v>1749</v>
      </c>
      <c r="E2381" s="14" t="s">
        <v>1746</v>
      </c>
      <c r="F2381" s="25">
        <v>198</v>
      </c>
      <c r="G2381" s="25">
        <v>158.4</v>
      </c>
    </row>
    <row r="2382" spans="1:7" ht="30" x14ac:dyDescent="0.25">
      <c r="A2382" s="14" t="s">
        <v>860</v>
      </c>
      <c r="B2382" s="14" t="s">
        <v>20</v>
      </c>
      <c r="C2382" s="15" t="s">
        <v>2474</v>
      </c>
      <c r="D2382" s="14" t="s">
        <v>1749</v>
      </c>
      <c r="E2382" s="14" t="s">
        <v>1746</v>
      </c>
      <c r="F2382" s="25">
        <v>198</v>
      </c>
      <c r="G2382" s="25">
        <v>158.4</v>
      </c>
    </row>
    <row r="2383" spans="1:7" x14ac:dyDescent="0.25">
      <c r="A2383" s="14" t="s">
        <v>860</v>
      </c>
      <c r="B2383" s="14">
        <v>6</v>
      </c>
      <c r="C2383" s="15" t="s">
        <v>2469</v>
      </c>
      <c r="D2383" s="14" t="s">
        <v>1749</v>
      </c>
      <c r="E2383" s="14" t="s">
        <v>1746</v>
      </c>
      <c r="F2383" s="25">
        <v>49.92</v>
      </c>
      <c r="G2383" s="25">
        <v>44.93</v>
      </c>
    </row>
    <row r="2384" spans="1:7" x14ac:dyDescent="0.25">
      <c r="A2384" s="14" t="s">
        <v>860</v>
      </c>
      <c r="B2384" s="14">
        <v>5</v>
      </c>
      <c r="C2384" s="15" t="s">
        <v>869</v>
      </c>
      <c r="D2384" s="14" t="s">
        <v>1749</v>
      </c>
      <c r="E2384" s="14" t="s">
        <v>1746</v>
      </c>
      <c r="F2384" s="25">
        <v>198</v>
      </c>
      <c r="G2384" s="25">
        <v>158.4</v>
      </c>
    </row>
    <row r="2385" spans="1:7" ht="30" x14ac:dyDescent="0.25">
      <c r="A2385" s="14" t="s">
        <v>860</v>
      </c>
      <c r="B2385" s="14" t="s">
        <v>20</v>
      </c>
      <c r="C2385" s="15" t="s">
        <v>2474</v>
      </c>
      <c r="D2385" s="14" t="s">
        <v>1745</v>
      </c>
      <c r="E2385" s="14" t="s">
        <v>1747</v>
      </c>
      <c r="F2385" s="25">
        <v>1980</v>
      </c>
      <c r="G2385" s="25">
        <v>1584</v>
      </c>
    </row>
    <row r="2386" spans="1:7" x14ac:dyDescent="0.25">
      <c r="A2386" s="14" t="s">
        <v>860</v>
      </c>
      <c r="B2386" s="14">
        <v>9</v>
      </c>
      <c r="C2386" s="15" t="s">
        <v>2470</v>
      </c>
      <c r="D2386" s="14" t="s">
        <v>1745</v>
      </c>
      <c r="E2386" s="14" t="s">
        <v>1747</v>
      </c>
      <c r="F2386" s="25">
        <v>449.28</v>
      </c>
      <c r="G2386" s="25">
        <v>359.42</v>
      </c>
    </row>
    <row r="2387" spans="1:7" x14ac:dyDescent="0.25">
      <c r="A2387" s="14" t="s">
        <v>860</v>
      </c>
      <c r="B2387" s="14">
        <v>8</v>
      </c>
      <c r="C2387" s="15" t="s">
        <v>2471</v>
      </c>
      <c r="D2387" s="14" t="s">
        <v>1745</v>
      </c>
      <c r="E2387" s="14" t="s">
        <v>1746</v>
      </c>
      <c r="F2387" s="25">
        <v>629.04</v>
      </c>
      <c r="G2387" s="25">
        <v>503.16</v>
      </c>
    </row>
    <row r="2388" spans="1:7" x14ac:dyDescent="0.25">
      <c r="A2388" s="14" t="s">
        <v>860</v>
      </c>
      <c r="B2388" s="14">
        <v>8</v>
      </c>
      <c r="C2388" s="15" t="s">
        <v>2471</v>
      </c>
      <c r="D2388" s="14" t="s">
        <v>1745</v>
      </c>
      <c r="E2388" s="14" t="s">
        <v>1747</v>
      </c>
      <c r="F2388" s="25">
        <v>599.04</v>
      </c>
      <c r="G2388" s="25">
        <v>479.23</v>
      </c>
    </row>
    <row r="2389" spans="1:7" x14ac:dyDescent="0.25">
      <c r="A2389" s="14" t="s">
        <v>860</v>
      </c>
      <c r="B2389" s="14">
        <v>2</v>
      </c>
      <c r="C2389" s="15" t="s">
        <v>862</v>
      </c>
      <c r="D2389" s="14" t="s">
        <v>1745</v>
      </c>
      <c r="E2389" s="14" t="s">
        <v>1746</v>
      </c>
      <c r="F2389" s="25">
        <v>2079</v>
      </c>
      <c r="G2389" s="25">
        <v>1663.2</v>
      </c>
    </row>
    <row r="2390" spans="1:7" x14ac:dyDescent="0.25">
      <c r="A2390" s="14" t="s">
        <v>860</v>
      </c>
      <c r="B2390" s="14" t="s">
        <v>16</v>
      </c>
      <c r="C2390" s="15" t="s">
        <v>2472</v>
      </c>
      <c r="D2390" s="14" t="s">
        <v>1745</v>
      </c>
      <c r="E2390" s="14" t="s">
        <v>1747</v>
      </c>
      <c r="F2390" s="25">
        <v>299.52</v>
      </c>
      <c r="G2390" s="25">
        <v>239.62</v>
      </c>
    </row>
    <row r="2391" spans="1:7" x14ac:dyDescent="0.25">
      <c r="A2391" s="14" t="s">
        <v>860</v>
      </c>
      <c r="B2391" s="14">
        <v>2</v>
      </c>
      <c r="C2391" s="15" t="s">
        <v>862</v>
      </c>
      <c r="D2391" s="14" t="s">
        <v>1745</v>
      </c>
      <c r="E2391" s="14" t="s">
        <v>1747</v>
      </c>
      <c r="F2391" s="25">
        <v>1980</v>
      </c>
      <c r="G2391" s="25">
        <v>1584</v>
      </c>
    </row>
    <row r="2392" spans="1:7" x14ac:dyDescent="0.25">
      <c r="A2392" s="14" t="s">
        <v>879</v>
      </c>
      <c r="B2392" s="14">
        <v>3</v>
      </c>
      <c r="C2392" s="15" t="s">
        <v>883</v>
      </c>
      <c r="D2392" s="14" t="s">
        <v>1749</v>
      </c>
      <c r="E2392" s="14" t="s">
        <v>1766</v>
      </c>
      <c r="F2392" s="25">
        <v>0</v>
      </c>
      <c r="G2392" s="25">
        <v>0</v>
      </c>
    </row>
    <row r="2393" spans="1:7" ht="30" x14ac:dyDescent="0.25">
      <c r="A2393" s="14" t="s">
        <v>879</v>
      </c>
      <c r="B2393" s="14" t="s">
        <v>24</v>
      </c>
      <c r="C2393" s="15" t="s">
        <v>2475</v>
      </c>
      <c r="D2393" s="14" t="s">
        <v>1749</v>
      </c>
      <c r="E2393" s="14" t="s">
        <v>1746</v>
      </c>
      <c r="F2393" s="25">
        <v>79.87</v>
      </c>
      <c r="G2393" s="25">
        <v>63.9</v>
      </c>
    </row>
    <row r="2394" spans="1:7" x14ac:dyDescent="0.25">
      <c r="A2394" s="14" t="s">
        <v>879</v>
      </c>
      <c r="B2394" s="14">
        <v>4</v>
      </c>
      <c r="C2394" s="15" t="s">
        <v>883</v>
      </c>
      <c r="D2394" s="14" t="s">
        <v>1745</v>
      </c>
      <c r="E2394" s="14" t="s">
        <v>1747</v>
      </c>
      <c r="F2394" s="25">
        <v>4020</v>
      </c>
      <c r="G2394" s="25">
        <v>3216</v>
      </c>
    </row>
    <row r="2395" spans="1:7" x14ac:dyDescent="0.25">
      <c r="A2395" s="14" t="s">
        <v>879</v>
      </c>
      <c r="B2395" s="14" t="s">
        <v>89</v>
      </c>
      <c r="C2395" s="15" t="s">
        <v>881</v>
      </c>
      <c r="D2395" s="14" t="s">
        <v>1749</v>
      </c>
      <c r="E2395" s="14" t="s">
        <v>1746</v>
      </c>
      <c r="F2395" s="25">
        <v>270</v>
      </c>
      <c r="G2395" s="25">
        <v>216</v>
      </c>
    </row>
    <row r="2396" spans="1:7" x14ac:dyDescent="0.25">
      <c r="A2396" s="14" t="s">
        <v>879</v>
      </c>
      <c r="B2396" s="14">
        <v>1</v>
      </c>
      <c r="C2396" s="15" t="s">
        <v>878</v>
      </c>
      <c r="D2396" s="14" t="s">
        <v>1749</v>
      </c>
      <c r="E2396" s="14" t="s">
        <v>1746</v>
      </c>
      <c r="F2396" s="25">
        <v>696</v>
      </c>
      <c r="G2396" s="25">
        <v>556.79999999999995</v>
      </c>
    </row>
    <row r="2397" spans="1:7" x14ac:dyDescent="0.25">
      <c r="A2397" s="14" t="s">
        <v>879</v>
      </c>
      <c r="B2397" s="14">
        <v>4</v>
      </c>
      <c r="C2397" s="15" t="s">
        <v>883</v>
      </c>
      <c r="D2397" s="14" t="s">
        <v>1745</v>
      </c>
      <c r="E2397" s="14" t="s">
        <v>1746</v>
      </c>
      <c r="F2397" s="25">
        <v>4221</v>
      </c>
      <c r="G2397" s="25">
        <v>3376.8</v>
      </c>
    </row>
    <row r="2398" spans="1:7" ht="30" x14ac:dyDescent="0.25">
      <c r="A2398" s="14" t="s">
        <v>879</v>
      </c>
      <c r="B2398" s="14" t="s">
        <v>24</v>
      </c>
      <c r="C2398" s="15" t="s">
        <v>2475</v>
      </c>
      <c r="D2398" s="14" t="s">
        <v>1745</v>
      </c>
      <c r="E2398" s="14" t="s">
        <v>1746</v>
      </c>
      <c r="F2398" s="25">
        <v>838.68</v>
      </c>
      <c r="G2398" s="25">
        <v>670.92</v>
      </c>
    </row>
    <row r="2399" spans="1:7" ht="30" x14ac:dyDescent="0.25">
      <c r="A2399" s="14" t="s">
        <v>879</v>
      </c>
      <c r="B2399" s="14" t="s">
        <v>24</v>
      </c>
      <c r="C2399" s="15" t="s">
        <v>2475</v>
      </c>
      <c r="D2399" s="14" t="s">
        <v>1745</v>
      </c>
      <c r="E2399" s="14" t="s">
        <v>1747</v>
      </c>
      <c r="F2399" s="25">
        <v>798.72</v>
      </c>
      <c r="G2399" s="25">
        <v>638.98</v>
      </c>
    </row>
    <row r="2400" spans="1:7" ht="30" x14ac:dyDescent="0.25">
      <c r="A2400" s="14" t="s">
        <v>879</v>
      </c>
      <c r="B2400" s="14">
        <v>9</v>
      </c>
      <c r="C2400" s="15" t="s">
        <v>2476</v>
      </c>
      <c r="D2400" s="14" t="s">
        <v>1749</v>
      </c>
      <c r="E2400" s="14" t="s">
        <v>1746</v>
      </c>
      <c r="F2400" s="25">
        <v>59.9</v>
      </c>
      <c r="G2400" s="25">
        <v>47.92</v>
      </c>
    </row>
    <row r="2401" spans="1:7" x14ac:dyDescent="0.25">
      <c r="A2401" s="14" t="s">
        <v>879</v>
      </c>
      <c r="B2401" s="14">
        <v>2</v>
      </c>
      <c r="C2401" s="15" t="s">
        <v>878</v>
      </c>
      <c r="D2401" s="14" t="s">
        <v>1749</v>
      </c>
      <c r="E2401" s="14" t="s">
        <v>1766</v>
      </c>
      <c r="F2401" s="25">
        <v>0</v>
      </c>
      <c r="G2401" s="25">
        <v>0</v>
      </c>
    </row>
    <row r="2402" spans="1:7" x14ac:dyDescent="0.25">
      <c r="A2402" s="14" t="s">
        <v>879</v>
      </c>
      <c r="B2402" s="14" t="s">
        <v>55</v>
      </c>
      <c r="C2402" s="15" t="s">
        <v>887</v>
      </c>
      <c r="D2402" s="14" t="s">
        <v>1745</v>
      </c>
      <c r="E2402" s="14" t="s">
        <v>1746</v>
      </c>
      <c r="F2402" s="25">
        <v>4914</v>
      </c>
      <c r="G2402" s="25">
        <v>3931.2</v>
      </c>
    </row>
    <row r="2403" spans="1:7" x14ac:dyDescent="0.25">
      <c r="A2403" s="14" t="s">
        <v>879</v>
      </c>
      <c r="B2403" s="14" t="s">
        <v>89</v>
      </c>
      <c r="C2403" s="15" t="s">
        <v>881</v>
      </c>
      <c r="D2403" s="14" t="s">
        <v>1745</v>
      </c>
      <c r="E2403" s="14" t="s">
        <v>1746</v>
      </c>
      <c r="F2403" s="25">
        <v>2835</v>
      </c>
      <c r="G2403" s="25">
        <v>2268</v>
      </c>
    </row>
    <row r="2404" spans="1:7" x14ac:dyDescent="0.25">
      <c r="A2404" s="14" t="s">
        <v>879</v>
      </c>
      <c r="B2404" s="14" t="s">
        <v>73</v>
      </c>
      <c r="C2404" s="15" t="s">
        <v>2477</v>
      </c>
      <c r="D2404" s="14" t="s">
        <v>1745</v>
      </c>
      <c r="E2404" s="14" t="s">
        <v>1746</v>
      </c>
      <c r="F2404" s="25">
        <v>1449</v>
      </c>
      <c r="G2404" s="25">
        <v>1159.2</v>
      </c>
    </row>
    <row r="2405" spans="1:7" x14ac:dyDescent="0.25">
      <c r="A2405" s="14" t="s">
        <v>879</v>
      </c>
      <c r="B2405" s="14" t="s">
        <v>16</v>
      </c>
      <c r="C2405" s="15" t="s">
        <v>2478</v>
      </c>
      <c r="D2405" s="14" t="s">
        <v>1749</v>
      </c>
      <c r="E2405" s="14" t="s">
        <v>1746</v>
      </c>
      <c r="F2405" s="25">
        <v>104.82</v>
      </c>
      <c r="G2405" s="25">
        <v>83.86</v>
      </c>
    </row>
    <row r="2406" spans="1:7" x14ac:dyDescent="0.25">
      <c r="A2406" s="14" t="s">
        <v>879</v>
      </c>
      <c r="B2406" s="14" t="s">
        <v>16</v>
      </c>
      <c r="C2406" s="15" t="s">
        <v>2478</v>
      </c>
      <c r="D2406" s="14" t="s">
        <v>1745</v>
      </c>
      <c r="E2406" s="14" t="s">
        <v>1746</v>
      </c>
      <c r="F2406" s="25">
        <v>1100.6400000000001</v>
      </c>
      <c r="G2406" s="25">
        <v>880.44</v>
      </c>
    </row>
    <row r="2407" spans="1:7" ht="30" x14ac:dyDescent="0.25">
      <c r="A2407" s="14" t="s">
        <v>879</v>
      </c>
      <c r="B2407" s="14">
        <v>9</v>
      </c>
      <c r="C2407" s="15" t="s">
        <v>2476</v>
      </c>
      <c r="D2407" s="14" t="s">
        <v>1745</v>
      </c>
      <c r="E2407" s="14" t="s">
        <v>1746</v>
      </c>
      <c r="F2407" s="25">
        <v>629.04</v>
      </c>
      <c r="G2407" s="25">
        <v>503.16</v>
      </c>
    </row>
    <row r="2408" spans="1:7" x14ac:dyDescent="0.25">
      <c r="A2408" s="14" t="s">
        <v>879</v>
      </c>
      <c r="B2408" s="14">
        <v>1</v>
      </c>
      <c r="C2408" s="15" t="s">
        <v>878</v>
      </c>
      <c r="D2408" s="14" t="s">
        <v>1745</v>
      </c>
      <c r="E2408" s="14" t="s">
        <v>1747</v>
      </c>
      <c r="F2408" s="25">
        <v>6960</v>
      </c>
      <c r="G2408" s="25">
        <v>5568</v>
      </c>
    </row>
    <row r="2409" spans="1:7" x14ac:dyDescent="0.25">
      <c r="A2409" s="14" t="s">
        <v>879</v>
      </c>
      <c r="B2409" s="14" t="s">
        <v>55</v>
      </c>
      <c r="C2409" s="15" t="s">
        <v>887</v>
      </c>
      <c r="D2409" s="14" t="s">
        <v>1749</v>
      </c>
      <c r="E2409" s="14" t="s">
        <v>1746</v>
      </c>
      <c r="F2409" s="25">
        <v>468</v>
      </c>
      <c r="G2409" s="25">
        <v>374.4</v>
      </c>
    </row>
    <row r="2410" spans="1:7" x14ac:dyDescent="0.25">
      <c r="A2410" s="14" t="s">
        <v>879</v>
      </c>
      <c r="B2410" s="14">
        <v>4</v>
      </c>
      <c r="C2410" s="15" t="s">
        <v>883</v>
      </c>
      <c r="D2410" s="14" t="s">
        <v>1749</v>
      </c>
      <c r="E2410" s="14" t="s">
        <v>1746</v>
      </c>
      <c r="F2410" s="25">
        <v>402</v>
      </c>
      <c r="G2410" s="25">
        <v>321.60000000000002</v>
      </c>
    </row>
    <row r="2411" spans="1:7" x14ac:dyDescent="0.25">
      <c r="A2411" s="14" t="s">
        <v>879</v>
      </c>
      <c r="B2411" s="14">
        <v>1</v>
      </c>
      <c r="C2411" s="15" t="s">
        <v>878</v>
      </c>
      <c r="D2411" s="14" t="s">
        <v>1745</v>
      </c>
      <c r="E2411" s="14" t="s">
        <v>1746</v>
      </c>
      <c r="F2411" s="25">
        <v>7308</v>
      </c>
      <c r="G2411" s="25">
        <v>5846.4</v>
      </c>
    </row>
    <row r="2412" spans="1:7" x14ac:dyDescent="0.25">
      <c r="A2412" s="14" t="s">
        <v>879</v>
      </c>
      <c r="B2412" s="14" t="s">
        <v>89</v>
      </c>
      <c r="C2412" s="15" t="s">
        <v>881</v>
      </c>
      <c r="D2412" s="14" t="s">
        <v>1745</v>
      </c>
      <c r="E2412" s="14" t="s">
        <v>1747</v>
      </c>
      <c r="F2412" s="25">
        <v>2700</v>
      </c>
      <c r="G2412" s="25">
        <v>2160</v>
      </c>
    </row>
    <row r="2413" spans="1:7" x14ac:dyDescent="0.25">
      <c r="A2413" s="14" t="s">
        <v>879</v>
      </c>
      <c r="B2413" s="14" t="s">
        <v>16</v>
      </c>
      <c r="C2413" s="15" t="s">
        <v>2478</v>
      </c>
      <c r="D2413" s="14" t="s">
        <v>1745</v>
      </c>
      <c r="E2413" s="14" t="s">
        <v>1747</v>
      </c>
      <c r="F2413" s="25">
        <v>1048.2</v>
      </c>
      <c r="G2413" s="25">
        <v>838.56</v>
      </c>
    </row>
    <row r="2414" spans="1:7" ht="30" x14ac:dyDescent="0.25">
      <c r="A2414" s="14" t="s">
        <v>879</v>
      </c>
      <c r="B2414" s="14">
        <v>9</v>
      </c>
      <c r="C2414" s="15" t="s">
        <v>2476</v>
      </c>
      <c r="D2414" s="14" t="s">
        <v>1745</v>
      </c>
      <c r="E2414" s="14" t="s">
        <v>1747</v>
      </c>
      <c r="F2414" s="25">
        <v>599.04</v>
      </c>
      <c r="G2414" s="25">
        <v>479.23</v>
      </c>
    </row>
    <row r="2415" spans="1:7" x14ac:dyDescent="0.25">
      <c r="A2415" s="14" t="s">
        <v>879</v>
      </c>
      <c r="B2415" s="14" t="s">
        <v>73</v>
      </c>
      <c r="C2415" s="15" t="s">
        <v>2477</v>
      </c>
      <c r="D2415" s="14" t="s">
        <v>1749</v>
      </c>
      <c r="E2415" s="14" t="s">
        <v>1746</v>
      </c>
      <c r="F2415" s="25">
        <v>138</v>
      </c>
      <c r="G2415" s="25">
        <v>110.4</v>
      </c>
    </row>
    <row r="2416" spans="1:7" x14ac:dyDescent="0.25">
      <c r="A2416" s="14" t="s">
        <v>879</v>
      </c>
      <c r="B2416" s="14" t="s">
        <v>55</v>
      </c>
      <c r="C2416" s="15" t="s">
        <v>887</v>
      </c>
      <c r="D2416" s="14" t="s">
        <v>1745</v>
      </c>
      <c r="E2416" s="14" t="s">
        <v>1747</v>
      </c>
      <c r="F2416" s="25">
        <v>4680</v>
      </c>
      <c r="G2416" s="25">
        <v>3744</v>
      </c>
    </row>
    <row r="2417" spans="1:7" x14ac:dyDescent="0.25">
      <c r="A2417" s="14" t="s">
        <v>879</v>
      </c>
      <c r="B2417" s="14" t="s">
        <v>73</v>
      </c>
      <c r="C2417" s="15" t="s">
        <v>2477</v>
      </c>
      <c r="D2417" s="14" t="s">
        <v>1745</v>
      </c>
      <c r="E2417" s="14" t="s">
        <v>1747</v>
      </c>
      <c r="F2417" s="25">
        <v>1380</v>
      </c>
      <c r="G2417" s="25">
        <v>1104</v>
      </c>
    </row>
    <row r="2418" spans="1:7" x14ac:dyDescent="0.25">
      <c r="A2418" s="14" t="s">
        <v>87</v>
      </c>
      <c r="B2418" s="14">
        <v>2</v>
      </c>
      <c r="C2418" s="15" t="s">
        <v>2479</v>
      </c>
      <c r="D2418" s="14" t="s">
        <v>1745</v>
      </c>
      <c r="E2418" s="14" t="s">
        <v>1746</v>
      </c>
      <c r="F2418" s="25">
        <v>7308</v>
      </c>
      <c r="G2418" s="25">
        <v>5846.4</v>
      </c>
    </row>
    <row r="2419" spans="1:7" x14ac:dyDescent="0.25">
      <c r="A2419" s="14" t="s">
        <v>87</v>
      </c>
      <c r="B2419" s="14" t="s">
        <v>470</v>
      </c>
      <c r="C2419" s="15" t="s">
        <v>2480</v>
      </c>
      <c r="D2419" s="14" t="s">
        <v>1745</v>
      </c>
      <c r="E2419" s="14" t="s">
        <v>1747</v>
      </c>
      <c r="F2419" s="25">
        <v>299.52</v>
      </c>
      <c r="G2419" s="25">
        <v>239.62</v>
      </c>
    </row>
    <row r="2420" spans="1:7" x14ac:dyDescent="0.25">
      <c r="A2420" s="14" t="s">
        <v>87</v>
      </c>
      <c r="B2420" s="14" t="s">
        <v>120</v>
      </c>
      <c r="C2420" s="15" t="s">
        <v>2481</v>
      </c>
      <c r="D2420" s="14" t="s">
        <v>1749</v>
      </c>
      <c r="E2420" s="14" t="s">
        <v>1746</v>
      </c>
      <c r="F2420" s="25">
        <v>0</v>
      </c>
      <c r="G2420" s="25">
        <v>0</v>
      </c>
    </row>
    <row r="2421" spans="1:7" x14ac:dyDescent="0.25">
      <c r="A2421" s="14" t="s">
        <v>87</v>
      </c>
      <c r="B2421" s="14">
        <v>14</v>
      </c>
      <c r="C2421" s="15" t="s">
        <v>2482</v>
      </c>
      <c r="D2421" s="14" t="s">
        <v>1745</v>
      </c>
      <c r="E2421" s="14" t="s">
        <v>1747</v>
      </c>
      <c r="F2421" s="25">
        <v>599.04</v>
      </c>
      <c r="G2421" s="25">
        <v>479.23</v>
      </c>
    </row>
    <row r="2422" spans="1:7" x14ac:dyDescent="0.25">
      <c r="A2422" s="14" t="s">
        <v>87</v>
      </c>
      <c r="B2422" s="14" t="s">
        <v>108</v>
      </c>
      <c r="C2422" s="15" t="s">
        <v>2483</v>
      </c>
      <c r="D2422" s="14" t="s">
        <v>1749</v>
      </c>
      <c r="E2422" s="14" t="s">
        <v>1746</v>
      </c>
      <c r="F2422" s="25">
        <v>174</v>
      </c>
      <c r="G2422" s="25">
        <v>156.6</v>
      </c>
    </row>
    <row r="2423" spans="1:7" x14ac:dyDescent="0.25">
      <c r="A2423" s="14" t="s">
        <v>87</v>
      </c>
      <c r="B2423" s="14">
        <v>2</v>
      </c>
      <c r="C2423" s="15" t="s">
        <v>2479</v>
      </c>
      <c r="D2423" s="14" t="s">
        <v>1749</v>
      </c>
      <c r="E2423" s="14" t="s">
        <v>1746</v>
      </c>
      <c r="F2423" s="25">
        <v>696</v>
      </c>
      <c r="G2423" s="25">
        <v>556.79999999999995</v>
      </c>
    </row>
    <row r="2424" spans="1:7" x14ac:dyDescent="0.25">
      <c r="A2424" s="14" t="s">
        <v>87</v>
      </c>
      <c r="B2424" s="14">
        <v>14</v>
      </c>
      <c r="C2424" s="15" t="s">
        <v>2482</v>
      </c>
      <c r="D2424" s="14" t="s">
        <v>1745</v>
      </c>
      <c r="E2424" s="14" t="s">
        <v>1746</v>
      </c>
      <c r="F2424" s="25">
        <v>629.04</v>
      </c>
      <c r="G2424" s="25">
        <v>503.16</v>
      </c>
    </row>
    <row r="2425" spans="1:7" x14ac:dyDescent="0.25">
      <c r="A2425" s="14" t="s">
        <v>87</v>
      </c>
      <c r="B2425" s="14">
        <v>14</v>
      </c>
      <c r="C2425" s="15" t="s">
        <v>2482</v>
      </c>
      <c r="D2425" s="14" t="s">
        <v>1749</v>
      </c>
      <c r="E2425" s="14" t="s">
        <v>1746</v>
      </c>
      <c r="F2425" s="25">
        <v>59.9</v>
      </c>
      <c r="G2425" s="25">
        <v>47.92</v>
      </c>
    </row>
    <row r="2426" spans="1:7" x14ac:dyDescent="0.25">
      <c r="A2426" s="14" t="s">
        <v>87</v>
      </c>
      <c r="B2426" s="14" t="s">
        <v>108</v>
      </c>
      <c r="C2426" s="15" t="s">
        <v>2483</v>
      </c>
      <c r="D2426" s="14" t="s">
        <v>1745</v>
      </c>
      <c r="E2426" s="14" t="s">
        <v>1747</v>
      </c>
      <c r="F2426" s="25">
        <v>1740</v>
      </c>
      <c r="G2426" s="25">
        <v>1566</v>
      </c>
    </row>
    <row r="2427" spans="1:7" x14ac:dyDescent="0.25">
      <c r="A2427" s="14" t="s">
        <v>87</v>
      </c>
      <c r="B2427" s="14">
        <v>2</v>
      </c>
      <c r="C2427" s="15" t="s">
        <v>2479</v>
      </c>
      <c r="D2427" s="14" t="s">
        <v>1745</v>
      </c>
      <c r="E2427" s="14" t="s">
        <v>1747</v>
      </c>
      <c r="F2427" s="25">
        <v>6960</v>
      </c>
      <c r="G2427" s="25">
        <v>5568</v>
      </c>
    </row>
    <row r="2428" spans="1:7" x14ac:dyDescent="0.25">
      <c r="A2428" s="14" t="s">
        <v>87</v>
      </c>
      <c r="B2428" s="14" t="s">
        <v>470</v>
      </c>
      <c r="C2428" s="15" t="s">
        <v>2480</v>
      </c>
      <c r="D2428" s="14" t="s">
        <v>1745</v>
      </c>
      <c r="E2428" s="14" t="s">
        <v>1746</v>
      </c>
      <c r="F2428" s="25">
        <v>314.52</v>
      </c>
      <c r="G2428" s="25">
        <v>251.64</v>
      </c>
    </row>
    <row r="2429" spans="1:7" x14ac:dyDescent="0.25">
      <c r="A2429" s="14" t="s">
        <v>87</v>
      </c>
      <c r="B2429" s="14" t="s">
        <v>470</v>
      </c>
      <c r="C2429" s="15" t="s">
        <v>2480</v>
      </c>
      <c r="D2429" s="14" t="s">
        <v>1749</v>
      </c>
      <c r="E2429" s="14" t="s">
        <v>1746</v>
      </c>
      <c r="F2429" s="25">
        <v>29.95</v>
      </c>
      <c r="G2429" s="25">
        <v>23.96</v>
      </c>
    </row>
    <row r="2430" spans="1:7" x14ac:dyDescent="0.25">
      <c r="A2430" s="14" t="s">
        <v>87</v>
      </c>
      <c r="B2430" s="14" t="s">
        <v>120</v>
      </c>
      <c r="C2430" s="15" t="s">
        <v>2481</v>
      </c>
      <c r="D2430" s="14" t="s">
        <v>1745</v>
      </c>
      <c r="E2430" s="14" t="s">
        <v>1746</v>
      </c>
      <c r="F2430" s="25">
        <v>0</v>
      </c>
      <c r="G2430" s="25">
        <v>0</v>
      </c>
    </row>
    <row r="2431" spans="1:7" x14ac:dyDescent="0.25">
      <c r="A2431" s="14" t="s">
        <v>87</v>
      </c>
      <c r="B2431" s="14" t="s">
        <v>120</v>
      </c>
      <c r="C2431" s="15" t="s">
        <v>2481</v>
      </c>
      <c r="D2431" s="14" t="s">
        <v>1745</v>
      </c>
      <c r="E2431" s="14" t="s">
        <v>1747</v>
      </c>
      <c r="F2431" s="25">
        <v>0</v>
      </c>
      <c r="G2431" s="25">
        <v>0</v>
      </c>
    </row>
    <row r="2432" spans="1:7" x14ac:dyDescent="0.25">
      <c r="A2432" s="14" t="s">
        <v>87</v>
      </c>
      <c r="B2432" s="14" t="s">
        <v>108</v>
      </c>
      <c r="C2432" s="15" t="s">
        <v>2483</v>
      </c>
      <c r="D2432" s="14" t="s">
        <v>1745</v>
      </c>
      <c r="E2432" s="14" t="s">
        <v>1746</v>
      </c>
      <c r="F2432" s="25">
        <v>1827</v>
      </c>
      <c r="G2432" s="25">
        <v>1644.36</v>
      </c>
    </row>
    <row r="2433" spans="1:7" x14ac:dyDescent="0.25">
      <c r="A2433" s="14" t="s">
        <v>92</v>
      </c>
      <c r="B2433" s="14">
        <v>17</v>
      </c>
      <c r="C2433" s="15" t="s">
        <v>892</v>
      </c>
      <c r="D2433" s="14" t="s">
        <v>1749</v>
      </c>
      <c r="E2433" s="14" t="s">
        <v>1746</v>
      </c>
      <c r="F2433" s="25">
        <v>696</v>
      </c>
      <c r="G2433" s="25">
        <v>556.79999999999995</v>
      </c>
    </row>
    <row r="2434" spans="1:7" x14ac:dyDescent="0.25">
      <c r="A2434" s="14" t="s">
        <v>92</v>
      </c>
      <c r="B2434" s="14">
        <v>18</v>
      </c>
      <c r="C2434" s="15" t="s">
        <v>2484</v>
      </c>
      <c r="D2434" s="14" t="s">
        <v>1745</v>
      </c>
      <c r="E2434" s="14" t="s">
        <v>1747</v>
      </c>
      <c r="F2434" s="25">
        <v>4020</v>
      </c>
      <c r="G2434" s="25">
        <v>3618</v>
      </c>
    </row>
    <row r="2435" spans="1:7" x14ac:dyDescent="0.25">
      <c r="A2435" s="14" t="s">
        <v>92</v>
      </c>
      <c r="B2435" s="14">
        <v>1</v>
      </c>
      <c r="C2435" s="15" t="s">
        <v>891</v>
      </c>
      <c r="D2435" s="14" t="s">
        <v>1745</v>
      </c>
      <c r="E2435" s="14" t="s">
        <v>1746</v>
      </c>
      <c r="F2435" s="25">
        <v>10458</v>
      </c>
      <c r="G2435" s="25">
        <v>8366.4</v>
      </c>
    </row>
    <row r="2436" spans="1:7" x14ac:dyDescent="0.25">
      <c r="A2436" s="14" t="s">
        <v>92</v>
      </c>
      <c r="B2436" s="14" t="s">
        <v>258</v>
      </c>
      <c r="C2436" s="15" t="s">
        <v>2485</v>
      </c>
      <c r="D2436" s="14" t="s">
        <v>1749</v>
      </c>
      <c r="E2436" s="14" t="s">
        <v>1746</v>
      </c>
      <c r="F2436" s="25">
        <v>44.93</v>
      </c>
      <c r="G2436" s="25">
        <v>35.94</v>
      </c>
    </row>
    <row r="2437" spans="1:7" x14ac:dyDescent="0.25">
      <c r="A2437" s="14" t="s">
        <v>92</v>
      </c>
      <c r="B2437" s="14">
        <v>22</v>
      </c>
      <c r="C2437" s="15" t="s">
        <v>2486</v>
      </c>
      <c r="D2437" s="14" t="s">
        <v>1745</v>
      </c>
      <c r="E2437" s="14" t="s">
        <v>1746</v>
      </c>
      <c r="F2437" s="25">
        <v>0</v>
      </c>
      <c r="G2437" s="25">
        <v>0</v>
      </c>
    </row>
    <row r="2438" spans="1:7" x14ac:dyDescent="0.25">
      <c r="A2438" s="14" t="s">
        <v>92</v>
      </c>
      <c r="B2438" s="14">
        <v>22</v>
      </c>
      <c r="C2438" s="15" t="s">
        <v>2486</v>
      </c>
      <c r="D2438" s="14" t="s">
        <v>1745</v>
      </c>
      <c r="E2438" s="14" t="s">
        <v>1747</v>
      </c>
      <c r="F2438" s="25">
        <v>0</v>
      </c>
      <c r="G2438" s="25">
        <v>0</v>
      </c>
    </row>
    <row r="2439" spans="1:7" x14ac:dyDescent="0.25">
      <c r="A2439" s="14" t="s">
        <v>92</v>
      </c>
      <c r="B2439" s="14">
        <v>1</v>
      </c>
      <c r="C2439" s="15" t="s">
        <v>891</v>
      </c>
      <c r="D2439" s="14" t="s">
        <v>1745</v>
      </c>
      <c r="E2439" s="14" t="s">
        <v>1747</v>
      </c>
      <c r="F2439" s="25">
        <v>9960</v>
      </c>
      <c r="G2439" s="25">
        <v>7968</v>
      </c>
    </row>
    <row r="2440" spans="1:7" x14ac:dyDescent="0.25">
      <c r="A2440" s="14" t="s">
        <v>92</v>
      </c>
      <c r="B2440" s="14">
        <v>17</v>
      </c>
      <c r="C2440" s="15" t="s">
        <v>892</v>
      </c>
      <c r="D2440" s="14" t="s">
        <v>1745</v>
      </c>
      <c r="E2440" s="14" t="s">
        <v>1747</v>
      </c>
      <c r="F2440" s="25">
        <v>6960</v>
      </c>
      <c r="G2440" s="25">
        <v>5568</v>
      </c>
    </row>
    <row r="2441" spans="1:7" x14ac:dyDescent="0.25">
      <c r="A2441" s="14" t="s">
        <v>92</v>
      </c>
      <c r="B2441" s="14">
        <v>1</v>
      </c>
      <c r="C2441" s="15" t="s">
        <v>891</v>
      </c>
      <c r="D2441" s="14" t="s">
        <v>1749</v>
      </c>
      <c r="E2441" s="14" t="s">
        <v>1746</v>
      </c>
      <c r="F2441" s="25">
        <v>996</v>
      </c>
      <c r="G2441" s="25">
        <v>796.8</v>
      </c>
    </row>
    <row r="2442" spans="1:7" x14ac:dyDescent="0.25">
      <c r="A2442" s="14" t="s">
        <v>92</v>
      </c>
      <c r="B2442" s="14" t="s">
        <v>307</v>
      </c>
      <c r="C2442" s="15" t="s">
        <v>2487</v>
      </c>
      <c r="D2442" s="14" t="s">
        <v>1745</v>
      </c>
      <c r="E2442" s="14" t="s">
        <v>1746</v>
      </c>
      <c r="F2442" s="25">
        <v>943.44</v>
      </c>
      <c r="G2442" s="25">
        <v>754.8</v>
      </c>
    </row>
    <row r="2443" spans="1:7" x14ac:dyDescent="0.25">
      <c r="A2443" s="14" t="s">
        <v>92</v>
      </c>
      <c r="B2443" s="14" t="s">
        <v>258</v>
      </c>
      <c r="C2443" s="15" t="s">
        <v>2485</v>
      </c>
      <c r="D2443" s="14" t="s">
        <v>1745</v>
      </c>
      <c r="E2443" s="14" t="s">
        <v>1746</v>
      </c>
      <c r="F2443" s="25">
        <v>471.72</v>
      </c>
      <c r="G2443" s="25">
        <v>377.4</v>
      </c>
    </row>
    <row r="2444" spans="1:7" x14ac:dyDescent="0.25">
      <c r="A2444" s="14" t="s">
        <v>92</v>
      </c>
      <c r="B2444" s="14" t="s">
        <v>307</v>
      </c>
      <c r="C2444" s="15" t="s">
        <v>2487</v>
      </c>
      <c r="D2444" s="14" t="s">
        <v>1745</v>
      </c>
      <c r="E2444" s="14" t="s">
        <v>1747</v>
      </c>
      <c r="F2444" s="25">
        <v>898.56</v>
      </c>
      <c r="G2444" s="25">
        <v>718.85</v>
      </c>
    </row>
    <row r="2445" spans="1:7" x14ac:dyDescent="0.25">
      <c r="A2445" s="14" t="s">
        <v>92</v>
      </c>
      <c r="B2445" s="14" t="s">
        <v>307</v>
      </c>
      <c r="C2445" s="15" t="s">
        <v>2487</v>
      </c>
      <c r="D2445" s="14" t="s">
        <v>1749</v>
      </c>
      <c r="E2445" s="14" t="s">
        <v>1746</v>
      </c>
      <c r="F2445" s="25">
        <v>89.86</v>
      </c>
      <c r="G2445" s="25">
        <v>71.88</v>
      </c>
    </row>
    <row r="2446" spans="1:7" x14ac:dyDescent="0.25">
      <c r="A2446" s="14" t="s">
        <v>92</v>
      </c>
      <c r="B2446" s="14">
        <v>17</v>
      </c>
      <c r="C2446" s="15" t="s">
        <v>892</v>
      </c>
      <c r="D2446" s="14" t="s">
        <v>1745</v>
      </c>
      <c r="E2446" s="14" t="s">
        <v>1746</v>
      </c>
      <c r="F2446" s="25">
        <v>7308</v>
      </c>
      <c r="G2446" s="25">
        <v>5846.4</v>
      </c>
    </row>
    <row r="2447" spans="1:7" x14ac:dyDescent="0.25">
      <c r="A2447" s="14" t="s">
        <v>92</v>
      </c>
      <c r="B2447" s="14" t="s">
        <v>258</v>
      </c>
      <c r="C2447" s="15" t="s">
        <v>2485</v>
      </c>
      <c r="D2447" s="14" t="s">
        <v>1745</v>
      </c>
      <c r="E2447" s="14" t="s">
        <v>1747</v>
      </c>
      <c r="F2447" s="25">
        <v>449.28</v>
      </c>
      <c r="G2447" s="25">
        <v>359.42</v>
      </c>
    </row>
    <row r="2448" spans="1:7" x14ac:dyDescent="0.25">
      <c r="A2448" s="14" t="s">
        <v>92</v>
      </c>
      <c r="B2448" s="14">
        <v>18</v>
      </c>
      <c r="C2448" s="15" t="s">
        <v>2484</v>
      </c>
      <c r="D2448" s="14" t="s">
        <v>1749</v>
      </c>
      <c r="E2448" s="14" t="s">
        <v>1746</v>
      </c>
      <c r="F2448" s="25">
        <v>402</v>
      </c>
      <c r="G2448" s="25">
        <v>361.8</v>
      </c>
    </row>
    <row r="2449" spans="1:7" x14ac:dyDescent="0.25">
      <c r="A2449" s="14" t="s">
        <v>92</v>
      </c>
      <c r="B2449" s="14">
        <v>18</v>
      </c>
      <c r="C2449" s="15" t="s">
        <v>2484</v>
      </c>
      <c r="D2449" s="14" t="s">
        <v>1745</v>
      </c>
      <c r="E2449" s="14" t="s">
        <v>1746</v>
      </c>
      <c r="F2449" s="25">
        <v>4221</v>
      </c>
      <c r="G2449" s="25">
        <v>3798.96</v>
      </c>
    </row>
    <row r="2450" spans="1:7" x14ac:dyDescent="0.25">
      <c r="A2450" s="14" t="s">
        <v>92</v>
      </c>
      <c r="B2450" s="14">
        <v>22</v>
      </c>
      <c r="C2450" s="15" t="s">
        <v>2486</v>
      </c>
      <c r="D2450" s="14" t="s">
        <v>1749</v>
      </c>
      <c r="E2450" s="14" t="s">
        <v>1746</v>
      </c>
      <c r="F2450" s="25">
        <v>0</v>
      </c>
      <c r="G2450" s="25">
        <v>0</v>
      </c>
    </row>
    <row r="2451" spans="1:7" x14ac:dyDescent="0.25">
      <c r="A2451" s="14" t="s">
        <v>913</v>
      </c>
      <c r="B2451" s="14" t="s">
        <v>28</v>
      </c>
      <c r="C2451" s="15" t="s">
        <v>2488</v>
      </c>
      <c r="D2451" s="14" t="s">
        <v>1749</v>
      </c>
      <c r="E2451" s="14" t="s">
        <v>1746</v>
      </c>
      <c r="F2451" s="25">
        <v>336</v>
      </c>
      <c r="G2451" s="25">
        <v>268.8</v>
      </c>
    </row>
    <row r="2452" spans="1:7" x14ac:dyDescent="0.25">
      <c r="A2452" s="14" t="s">
        <v>913</v>
      </c>
      <c r="B2452" s="14" t="s">
        <v>102</v>
      </c>
      <c r="C2452" s="15" t="s">
        <v>912</v>
      </c>
      <c r="D2452" s="14" t="s">
        <v>1745</v>
      </c>
      <c r="E2452" s="14" t="s">
        <v>1747</v>
      </c>
      <c r="F2452" s="25">
        <v>74880</v>
      </c>
      <c r="G2452" s="25">
        <v>59904</v>
      </c>
    </row>
    <row r="2453" spans="1:7" x14ac:dyDescent="0.25">
      <c r="A2453" s="14" t="s">
        <v>913</v>
      </c>
      <c r="B2453" s="14">
        <v>3</v>
      </c>
      <c r="C2453" s="15" t="s">
        <v>2489</v>
      </c>
      <c r="D2453" s="14" t="s">
        <v>1749</v>
      </c>
      <c r="E2453" s="14" t="s">
        <v>1746</v>
      </c>
      <c r="F2453" s="25">
        <v>498</v>
      </c>
      <c r="G2453" s="25">
        <v>398.4</v>
      </c>
    </row>
    <row r="2454" spans="1:7" x14ac:dyDescent="0.25">
      <c r="A2454" s="14" t="s">
        <v>913</v>
      </c>
      <c r="B2454" s="14">
        <v>6</v>
      </c>
      <c r="C2454" s="15" t="s">
        <v>2490</v>
      </c>
      <c r="D2454" s="14" t="s">
        <v>1749</v>
      </c>
      <c r="E2454" s="14" t="s">
        <v>1746</v>
      </c>
      <c r="F2454" s="25">
        <v>498</v>
      </c>
      <c r="G2454" s="25">
        <v>398.4</v>
      </c>
    </row>
    <row r="2455" spans="1:7" x14ac:dyDescent="0.25">
      <c r="A2455" s="14" t="s">
        <v>913</v>
      </c>
      <c r="B2455" s="14" t="s">
        <v>24</v>
      </c>
      <c r="C2455" s="15" t="s">
        <v>2491</v>
      </c>
      <c r="D2455" s="14" t="s">
        <v>1745</v>
      </c>
      <c r="E2455" s="14" t="s">
        <v>1747</v>
      </c>
      <c r="F2455" s="25">
        <v>998.28</v>
      </c>
      <c r="G2455" s="25">
        <v>798.62</v>
      </c>
    </row>
    <row r="2456" spans="1:7" x14ac:dyDescent="0.25">
      <c r="A2456" s="14" t="s">
        <v>913</v>
      </c>
      <c r="B2456" s="14">
        <v>8</v>
      </c>
      <c r="C2456" s="15" t="s">
        <v>2492</v>
      </c>
      <c r="D2456" s="14" t="s">
        <v>1749</v>
      </c>
      <c r="E2456" s="14" t="s">
        <v>1746</v>
      </c>
      <c r="F2456" s="25">
        <v>74.88</v>
      </c>
      <c r="G2456" s="25">
        <v>59.9</v>
      </c>
    </row>
    <row r="2457" spans="1:7" x14ac:dyDescent="0.25">
      <c r="A2457" s="14" t="s">
        <v>913</v>
      </c>
      <c r="B2457" s="14">
        <v>10</v>
      </c>
      <c r="C2457" s="15" t="s">
        <v>2493</v>
      </c>
      <c r="D2457" s="14" t="s">
        <v>1749</v>
      </c>
      <c r="E2457" s="14" t="s">
        <v>1746</v>
      </c>
      <c r="F2457" s="25">
        <v>7488</v>
      </c>
      <c r="G2457" s="25">
        <v>5990.4</v>
      </c>
    </row>
    <row r="2458" spans="1:7" x14ac:dyDescent="0.25">
      <c r="A2458" s="14" t="s">
        <v>913</v>
      </c>
      <c r="B2458" s="14" t="s">
        <v>28</v>
      </c>
      <c r="C2458" s="15" t="s">
        <v>2488</v>
      </c>
      <c r="D2458" s="14" t="s">
        <v>1745</v>
      </c>
      <c r="E2458" s="14" t="s">
        <v>1746</v>
      </c>
      <c r="F2458" s="25">
        <v>3528</v>
      </c>
      <c r="G2458" s="25">
        <v>2822.4</v>
      </c>
    </row>
    <row r="2459" spans="1:7" x14ac:dyDescent="0.25">
      <c r="A2459" s="14" t="s">
        <v>913</v>
      </c>
      <c r="B2459" s="14">
        <v>3</v>
      </c>
      <c r="C2459" s="15" t="s">
        <v>2489</v>
      </c>
      <c r="D2459" s="14" t="s">
        <v>1745</v>
      </c>
      <c r="E2459" s="14" t="s">
        <v>1746</v>
      </c>
      <c r="F2459" s="25">
        <v>5229</v>
      </c>
      <c r="G2459" s="25">
        <v>4183.2</v>
      </c>
    </row>
    <row r="2460" spans="1:7" x14ac:dyDescent="0.25">
      <c r="A2460" s="14" t="s">
        <v>913</v>
      </c>
      <c r="B2460" s="14" t="s">
        <v>122</v>
      </c>
      <c r="C2460" s="15" t="s">
        <v>2494</v>
      </c>
      <c r="D2460" s="14" t="s">
        <v>1749</v>
      </c>
      <c r="E2460" s="14" t="s">
        <v>1746</v>
      </c>
      <c r="F2460" s="25">
        <v>336</v>
      </c>
      <c r="G2460" s="25">
        <v>268.8</v>
      </c>
    </row>
    <row r="2461" spans="1:7" x14ac:dyDescent="0.25">
      <c r="A2461" s="14" t="s">
        <v>913</v>
      </c>
      <c r="B2461" s="14" t="s">
        <v>243</v>
      </c>
      <c r="C2461" s="15" t="s">
        <v>2495</v>
      </c>
      <c r="D2461" s="14" t="s">
        <v>1745</v>
      </c>
      <c r="E2461" s="14" t="s">
        <v>1747</v>
      </c>
      <c r="F2461" s="25">
        <v>74880</v>
      </c>
      <c r="G2461" s="25">
        <v>59904</v>
      </c>
    </row>
    <row r="2462" spans="1:7" x14ac:dyDescent="0.25">
      <c r="A2462" s="14" t="s">
        <v>913</v>
      </c>
      <c r="B2462" s="14">
        <v>7</v>
      </c>
      <c r="C2462" s="15" t="s">
        <v>2496</v>
      </c>
      <c r="D2462" s="14" t="s">
        <v>1745</v>
      </c>
      <c r="E2462" s="14" t="s">
        <v>1747</v>
      </c>
      <c r="F2462" s="25">
        <v>998.28</v>
      </c>
      <c r="G2462" s="25">
        <v>798.62</v>
      </c>
    </row>
    <row r="2463" spans="1:7" x14ac:dyDescent="0.25">
      <c r="A2463" s="14" t="s">
        <v>913</v>
      </c>
      <c r="B2463" s="14">
        <v>10</v>
      </c>
      <c r="C2463" s="15" t="s">
        <v>2493</v>
      </c>
      <c r="D2463" s="14" t="s">
        <v>1745</v>
      </c>
      <c r="E2463" s="14" t="s">
        <v>1747</v>
      </c>
      <c r="F2463" s="25">
        <v>74880</v>
      </c>
      <c r="G2463" s="25">
        <v>59904</v>
      </c>
    </row>
    <row r="2464" spans="1:7" x14ac:dyDescent="0.25">
      <c r="A2464" s="14" t="s">
        <v>913</v>
      </c>
      <c r="B2464" s="14">
        <v>10</v>
      </c>
      <c r="C2464" s="15" t="s">
        <v>2493</v>
      </c>
      <c r="D2464" s="14" t="s">
        <v>1745</v>
      </c>
      <c r="E2464" s="14" t="s">
        <v>1746</v>
      </c>
      <c r="F2464" s="25">
        <v>78624</v>
      </c>
      <c r="G2464" s="25">
        <v>62899.199999999997</v>
      </c>
    </row>
    <row r="2465" spans="1:7" x14ac:dyDescent="0.25">
      <c r="A2465" s="14" t="s">
        <v>913</v>
      </c>
      <c r="B2465" s="14">
        <v>7</v>
      </c>
      <c r="C2465" s="15" t="s">
        <v>2496</v>
      </c>
      <c r="D2465" s="14" t="s">
        <v>1745</v>
      </c>
      <c r="E2465" s="14" t="s">
        <v>1746</v>
      </c>
      <c r="F2465" s="25">
        <v>1048.2</v>
      </c>
      <c r="G2465" s="25">
        <v>838.56</v>
      </c>
    </row>
    <row r="2466" spans="1:7" x14ac:dyDescent="0.25">
      <c r="A2466" s="14" t="s">
        <v>913</v>
      </c>
      <c r="B2466" s="14">
        <v>3</v>
      </c>
      <c r="C2466" s="15" t="s">
        <v>2489</v>
      </c>
      <c r="D2466" s="14" t="s">
        <v>1745</v>
      </c>
      <c r="E2466" s="14" t="s">
        <v>1747</v>
      </c>
      <c r="F2466" s="25">
        <v>4980</v>
      </c>
      <c r="G2466" s="25">
        <v>3984</v>
      </c>
    </row>
    <row r="2467" spans="1:7" x14ac:dyDescent="0.25">
      <c r="A2467" s="14" t="s">
        <v>913</v>
      </c>
      <c r="B2467" s="14">
        <v>7</v>
      </c>
      <c r="C2467" s="15" t="s">
        <v>2496</v>
      </c>
      <c r="D2467" s="14" t="s">
        <v>1749</v>
      </c>
      <c r="E2467" s="14" t="s">
        <v>1746</v>
      </c>
      <c r="F2467" s="25">
        <v>99.83</v>
      </c>
      <c r="G2467" s="25">
        <v>79.86</v>
      </c>
    </row>
    <row r="2468" spans="1:7" x14ac:dyDescent="0.25">
      <c r="A2468" s="14" t="s">
        <v>913</v>
      </c>
      <c r="B2468" s="14" t="s">
        <v>243</v>
      </c>
      <c r="C2468" s="15" t="s">
        <v>2495</v>
      </c>
      <c r="D2468" s="14" t="s">
        <v>1749</v>
      </c>
      <c r="E2468" s="14" t="s">
        <v>1746</v>
      </c>
      <c r="F2468" s="25">
        <v>7488</v>
      </c>
      <c r="G2468" s="25">
        <v>5990.4</v>
      </c>
    </row>
    <row r="2469" spans="1:7" x14ac:dyDescent="0.25">
      <c r="A2469" s="14" t="s">
        <v>913</v>
      </c>
      <c r="B2469" s="14" t="s">
        <v>24</v>
      </c>
      <c r="C2469" s="15" t="s">
        <v>2491</v>
      </c>
      <c r="D2469" s="14" t="s">
        <v>1745</v>
      </c>
      <c r="E2469" s="14" t="s">
        <v>1746</v>
      </c>
      <c r="F2469" s="25">
        <v>1048.2</v>
      </c>
      <c r="G2469" s="25">
        <v>838.56</v>
      </c>
    </row>
    <row r="2470" spans="1:7" x14ac:dyDescent="0.25">
      <c r="A2470" s="14" t="s">
        <v>913</v>
      </c>
      <c r="B2470" s="14">
        <v>6</v>
      </c>
      <c r="C2470" s="15" t="s">
        <v>2490</v>
      </c>
      <c r="D2470" s="14" t="s">
        <v>1745</v>
      </c>
      <c r="E2470" s="14" t="s">
        <v>1746</v>
      </c>
      <c r="F2470" s="25">
        <v>5229</v>
      </c>
      <c r="G2470" s="25">
        <v>4183.2</v>
      </c>
    </row>
    <row r="2471" spans="1:7" x14ac:dyDescent="0.25">
      <c r="A2471" s="14" t="s">
        <v>913</v>
      </c>
      <c r="B2471" s="14" t="s">
        <v>122</v>
      </c>
      <c r="C2471" s="15" t="s">
        <v>2494</v>
      </c>
      <c r="D2471" s="14" t="s">
        <v>1745</v>
      </c>
      <c r="E2471" s="14" t="s">
        <v>1747</v>
      </c>
      <c r="F2471" s="25">
        <v>3360</v>
      </c>
      <c r="G2471" s="25">
        <v>2688</v>
      </c>
    </row>
    <row r="2472" spans="1:7" x14ac:dyDescent="0.25">
      <c r="A2472" s="14" t="s">
        <v>913</v>
      </c>
      <c r="B2472" s="14" t="s">
        <v>20</v>
      </c>
      <c r="C2472" s="15" t="s">
        <v>2497</v>
      </c>
      <c r="D2472" s="14" t="s">
        <v>1749</v>
      </c>
      <c r="E2472" s="14" t="s">
        <v>1746</v>
      </c>
      <c r="F2472" s="25">
        <v>74.88</v>
      </c>
      <c r="G2472" s="25">
        <v>59.9</v>
      </c>
    </row>
    <row r="2473" spans="1:7" x14ac:dyDescent="0.25">
      <c r="A2473" s="14" t="s">
        <v>913</v>
      </c>
      <c r="B2473" s="14" t="s">
        <v>243</v>
      </c>
      <c r="C2473" s="15" t="s">
        <v>2495</v>
      </c>
      <c r="D2473" s="14" t="s">
        <v>1745</v>
      </c>
      <c r="E2473" s="14" t="s">
        <v>1746</v>
      </c>
      <c r="F2473" s="25">
        <v>78624</v>
      </c>
      <c r="G2473" s="25">
        <v>62899.199999999997</v>
      </c>
    </row>
    <row r="2474" spans="1:7" x14ac:dyDescent="0.25">
      <c r="A2474" s="14" t="s">
        <v>913</v>
      </c>
      <c r="B2474" s="14" t="s">
        <v>24</v>
      </c>
      <c r="C2474" s="15" t="s">
        <v>2491</v>
      </c>
      <c r="D2474" s="14" t="s">
        <v>1749</v>
      </c>
      <c r="E2474" s="14" t="s">
        <v>1746</v>
      </c>
      <c r="F2474" s="25">
        <v>99.83</v>
      </c>
      <c r="G2474" s="25">
        <v>79.86</v>
      </c>
    </row>
    <row r="2475" spans="1:7" x14ac:dyDescent="0.25">
      <c r="A2475" s="14" t="s">
        <v>913</v>
      </c>
      <c r="B2475" s="14" t="s">
        <v>20</v>
      </c>
      <c r="C2475" s="15" t="s">
        <v>2497</v>
      </c>
      <c r="D2475" s="14" t="s">
        <v>1745</v>
      </c>
      <c r="E2475" s="14" t="s">
        <v>1746</v>
      </c>
      <c r="F2475" s="25">
        <v>786.24</v>
      </c>
      <c r="G2475" s="25">
        <v>629.04</v>
      </c>
    </row>
    <row r="2476" spans="1:7" x14ac:dyDescent="0.25">
      <c r="A2476" s="14" t="s">
        <v>913</v>
      </c>
      <c r="B2476" s="14">
        <v>8</v>
      </c>
      <c r="C2476" s="15" t="s">
        <v>2492</v>
      </c>
      <c r="D2476" s="14" t="s">
        <v>1745</v>
      </c>
      <c r="E2476" s="14" t="s">
        <v>1746</v>
      </c>
      <c r="F2476" s="25">
        <v>786.24</v>
      </c>
      <c r="G2476" s="25">
        <v>629.04</v>
      </c>
    </row>
    <row r="2477" spans="1:7" x14ac:dyDescent="0.25">
      <c r="A2477" s="14" t="s">
        <v>913</v>
      </c>
      <c r="B2477" s="14" t="s">
        <v>28</v>
      </c>
      <c r="C2477" s="15" t="s">
        <v>2488</v>
      </c>
      <c r="D2477" s="14" t="s">
        <v>1745</v>
      </c>
      <c r="E2477" s="14" t="s">
        <v>1747</v>
      </c>
      <c r="F2477" s="25">
        <v>3360</v>
      </c>
      <c r="G2477" s="25">
        <v>2688</v>
      </c>
    </row>
    <row r="2478" spans="1:7" x14ac:dyDescent="0.25">
      <c r="A2478" s="14" t="s">
        <v>913</v>
      </c>
      <c r="B2478" s="14" t="s">
        <v>102</v>
      </c>
      <c r="C2478" s="15" t="s">
        <v>912</v>
      </c>
      <c r="D2478" s="14" t="s">
        <v>1749</v>
      </c>
      <c r="E2478" s="14" t="s">
        <v>1746</v>
      </c>
      <c r="F2478" s="25">
        <v>7488</v>
      </c>
      <c r="G2478" s="25">
        <v>5990.4</v>
      </c>
    </row>
    <row r="2479" spans="1:7" x14ac:dyDescent="0.25">
      <c r="A2479" s="14" t="s">
        <v>913</v>
      </c>
      <c r="B2479" s="14">
        <v>6</v>
      </c>
      <c r="C2479" s="15" t="s">
        <v>2490</v>
      </c>
      <c r="D2479" s="14" t="s">
        <v>1745</v>
      </c>
      <c r="E2479" s="14" t="s">
        <v>1747</v>
      </c>
      <c r="F2479" s="25">
        <v>4980</v>
      </c>
      <c r="G2479" s="25">
        <v>3984</v>
      </c>
    </row>
    <row r="2480" spans="1:7" x14ac:dyDescent="0.25">
      <c r="A2480" s="14" t="s">
        <v>913</v>
      </c>
      <c r="B2480" s="14">
        <v>8</v>
      </c>
      <c r="C2480" s="15" t="s">
        <v>2492</v>
      </c>
      <c r="D2480" s="14" t="s">
        <v>1745</v>
      </c>
      <c r="E2480" s="14" t="s">
        <v>1747</v>
      </c>
      <c r="F2480" s="25">
        <v>748.8</v>
      </c>
      <c r="G2480" s="25">
        <v>599.04</v>
      </c>
    </row>
    <row r="2481" spans="1:7" x14ac:dyDescent="0.25">
      <c r="A2481" s="14" t="s">
        <v>913</v>
      </c>
      <c r="B2481" s="14" t="s">
        <v>122</v>
      </c>
      <c r="C2481" s="15" t="s">
        <v>2494</v>
      </c>
      <c r="D2481" s="14" t="s">
        <v>1745</v>
      </c>
      <c r="E2481" s="14" t="s">
        <v>1746</v>
      </c>
      <c r="F2481" s="25">
        <v>3528</v>
      </c>
      <c r="G2481" s="25">
        <v>2822.4</v>
      </c>
    </row>
    <row r="2482" spans="1:7" x14ac:dyDescent="0.25">
      <c r="A2482" s="14" t="s">
        <v>913</v>
      </c>
      <c r="B2482" s="14" t="s">
        <v>102</v>
      </c>
      <c r="C2482" s="15" t="s">
        <v>912</v>
      </c>
      <c r="D2482" s="14" t="s">
        <v>1745</v>
      </c>
      <c r="E2482" s="14" t="s">
        <v>1746</v>
      </c>
      <c r="F2482" s="25">
        <v>78624</v>
      </c>
      <c r="G2482" s="25">
        <v>62899.199999999997</v>
      </c>
    </row>
    <row r="2483" spans="1:7" x14ac:dyDescent="0.25">
      <c r="A2483" s="14" t="s">
        <v>913</v>
      </c>
      <c r="B2483" s="14" t="s">
        <v>20</v>
      </c>
      <c r="C2483" s="15" t="s">
        <v>2497</v>
      </c>
      <c r="D2483" s="14" t="s">
        <v>1745</v>
      </c>
      <c r="E2483" s="14" t="s">
        <v>1747</v>
      </c>
      <c r="F2483" s="25">
        <v>748.8</v>
      </c>
      <c r="G2483" s="25">
        <v>599.04</v>
      </c>
    </row>
    <row r="2484" spans="1:7" x14ac:dyDescent="0.25">
      <c r="A2484" s="14" t="s">
        <v>916</v>
      </c>
      <c r="B2484" s="14">
        <v>4</v>
      </c>
      <c r="C2484" s="15" t="s">
        <v>915</v>
      </c>
      <c r="D2484" s="14" t="s">
        <v>1745</v>
      </c>
      <c r="E2484" s="14" t="s">
        <v>1747</v>
      </c>
      <c r="F2484" s="25">
        <v>12000</v>
      </c>
      <c r="G2484" s="25">
        <v>9600</v>
      </c>
    </row>
    <row r="2485" spans="1:7" x14ac:dyDescent="0.25">
      <c r="A2485" s="14" t="s">
        <v>916</v>
      </c>
      <c r="B2485" s="14">
        <v>4</v>
      </c>
      <c r="C2485" s="15" t="s">
        <v>915</v>
      </c>
      <c r="D2485" s="14" t="s">
        <v>1745</v>
      </c>
      <c r="E2485" s="14" t="s">
        <v>1746</v>
      </c>
      <c r="F2485" s="25">
        <v>12600</v>
      </c>
      <c r="G2485" s="25">
        <v>10080</v>
      </c>
    </row>
    <row r="2486" spans="1:7" x14ac:dyDescent="0.25">
      <c r="A2486" s="14" t="s">
        <v>916</v>
      </c>
      <c r="B2486" s="14" t="s">
        <v>89</v>
      </c>
      <c r="C2486" s="15" t="s">
        <v>920</v>
      </c>
      <c r="D2486" s="14" t="s">
        <v>1749</v>
      </c>
      <c r="E2486" s="14" t="s">
        <v>1746</v>
      </c>
      <c r="F2486" s="25">
        <v>900</v>
      </c>
      <c r="G2486" s="25">
        <v>720</v>
      </c>
    </row>
    <row r="2487" spans="1:7" x14ac:dyDescent="0.25">
      <c r="A2487" s="14" t="s">
        <v>916</v>
      </c>
      <c r="B2487" s="14">
        <v>3</v>
      </c>
      <c r="C2487" s="15" t="s">
        <v>923</v>
      </c>
      <c r="D2487" s="14" t="s">
        <v>1745</v>
      </c>
      <c r="E2487" s="14" t="s">
        <v>1746</v>
      </c>
      <c r="F2487" s="25">
        <v>8442</v>
      </c>
      <c r="G2487" s="25">
        <v>6753.6</v>
      </c>
    </row>
    <row r="2488" spans="1:7" x14ac:dyDescent="0.25">
      <c r="A2488" s="14" t="s">
        <v>916</v>
      </c>
      <c r="B2488" s="14" t="s">
        <v>24</v>
      </c>
      <c r="C2488" s="15" t="s">
        <v>2498</v>
      </c>
      <c r="D2488" s="14" t="s">
        <v>1745</v>
      </c>
      <c r="E2488" s="14" t="s">
        <v>1747</v>
      </c>
      <c r="F2488" s="25">
        <v>1320</v>
      </c>
      <c r="G2488" s="25">
        <v>1056</v>
      </c>
    </row>
    <row r="2489" spans="1:7" x14ac:dyDescent="0.25">
      <c r="A2489" s="14" t="s">
        <v>916</v>
      </c>
      <c r="B2489" s="14" t="s">
        <v>55</v>
      </c>
      <c r="C2489" s="15" t="s">
        <v>2499</v>
      </c>
      <c r="D2489" s="14" t="s">
        <v>1745</v>
      </c>
      <c r="E2489" s="14" t="s">
        <v>1746</v>
      </c>
      <c r="F2489" s="25">
        <v>1890</v>
      </c>
      <c r="G2489" s="25">
        <v>1512</v>
      </c>
    </row>
    <row r="2490" spans="1:7" x14ac:dyDescent="0.25">
      <c r="A2490" s="14" t="s">
        <v>916</v>
      </c>
      <c r="B2490" s="14">
        <v>5</v>
      </c>
      <c r="C2490" s="15" t="s">
        <v>2500</v>
      </c>
      <c r="D2490" s="14" t="s">
        <v>1745</v>
      </c>
      <c r="E2490" s="14" t="s">
        <v>1747</v>
      </c>
      <c r="F2490" s="25">
        <v>2400</v>
      </c>
      <c r="G2490" s="25">
        <v>1920</v>
      </c>
    </row>
    <row r="2491" spans="1:7" x14ac:dyDescent="0.25">
      <c r="A2491" s="14" t="s">
        <v>916</v>
      </c>
      <c r="B2491" s="14" t="s">
        <v>24</v>
      </c>
      <c r="C2491" s="15" t="s">
        <v>2498</v>
      </c>
      <c r="D2491" s="14" t="s">
        <v>1745</v>
      </c>
      <c r="E2491" s="14" t="s">
        <v>1746</v>
      </c>
      <c r="F2491" s="25">
        <v>1386</v>
      </c>
      <c r="G2491" s="25">
        <v>1108.8</v>
      </c>
    </row>
    <row r="2492" spans="1:7" x14ac:dyDescent="0.25">
      <c r="A2492" s="14" t="s">
        <v>916</v>
      </c>
      <c r="B2492" s="14">
        <v>7</v>
      </c>
      <c r="C2492" s="15" t="s">
        <v>2501</v>
      </c>
      <c r="D2492" s="14" t="s">
        <v>1745</v>
      </c>
      <c r="E2492" s="14" t="s">
        <v>1746</v>
      </c>
      <c r="F2492" s="25">
        <v>1890</v>
      </c>
      <c r="G2492" s="25">
        <v>1512</v>
      </c>
    </row>
    <row r="2493" spans="1:7" x14ac:dyDescent="0.25">
      <c r="A2493" s="14" t="s">
        <v>916</v>
      </c>
      <c r="B2493" s="14">
        <v>6</v>
      </c>
      <c r="C2493" s="15" t="s">
        <v>2502</v>
      </c>
      <c r="D2493" s="14" t="s">
        <v>1745</v>
      </c>
      <c r="E2493" s="14" t="s">
        <v>1746</v>
      </c>
      <c r="F2493" s="25">
        <v>5040</v>
      </c>
      <c r="G2493" s="25">
        <v>4536</v>
      </c>
    </row>
    <row r="2494" spans="1:7" x14ac:dyDescent="0.25">
      <c r="A2494" s="14" t="s">
        <v>916</v>
      </c>
      <c r="B2494" s="14" t="s">
        <v>89</v>
      </c>
      <c r="C2494" s="15" t="s">
        <v>920</v>
      </c>
      <c r="D2494" s="14" t="s">
        <v>1745</v>
      </c>
      <c r="E2494" s="14" t="s">
        <v>1746</v>
      </c>
      <c r="F2494" s="25">
        <v>9450</v>
      </c>
      <c r="G2494" s="25">
        <v>7560</v>
      </c>
    </row>
    <row r="2495" spans="1:7" x14ac:dyDescent="0.25">
      <c r="A2495" s="14" t="s">
        <v>916</v>
      </c>
      <c r="B2495" s="14" t="s">
        <v>20</v>
      </c>
      <c r="C2495" s="15" t="s">
        <v>918</v>
      </c>
      <c r="D2495" s="14" t="s">
        <v>1745</v>
      </c>
      <c r="E2495" s="14" t="s">
        <v>1747</v>
      </c>
      <c r="F2495" s="25">
        <v>6000</v>
      </c>
      <c r="G2495" s="25">
        <v>4800</v>
      </c>
    </row>
    <row r="2496" spans="1:7" x14ac:dyDescent="0.25">
      <c r="A2496" s="14" t="s">
        <v>916</v>
      </c>
      <c r="B2496" s="14" t="s">
        <v>55</v>
      </c>
      <c r="C2496" s="15" t="s">
        <v>2499</v>
      </c>
      <c r="D2496" s="14" t="s">
        <v>1745</v>
      </c>
      <c r="E2496" s="14" t="s">
        <v>1747</v>
      </c>
      <c r="F2496" s="25">
        <v>1800</v>
      </c>
      <c r="G2496" s="25">
        <v>1440</v>
      </c>
    </row>
    <row r="2497" spans="1:7" x14ac:dyDescent="0.25">
      <c r="A2497" s="14" t="s">
        <v>916</v>
      </c>
      <c r="B2497" s="14">
        <v>1</v>
      </c>
      <c r="C2497" s="15" t="s">
        <v>915</v>
      </c>
      <c r="D2497" s="14" t="s">
        <v>1749</v>
      </c>
      <c r="E2497" s="14" t="s">
        <v>1766</v>
      </c>
      <c r="F2497" s="25">
        <v>0</v>
      </c>
      <c r="G2497" s="25">
        <v>0</v>
      </c>
    </row>
    <row r="2498" spans="1:7" x14ac:dyDescent="0.25">
      <c r="A2498" s="14" t="s">
        <v>916</v>
      </c>
      <c r="B2498" s="14">
        <v>7</v>
      </c>
      <c r="C2498" s="15" t="s">
        <v>2501</v>
      </c>
      <c r="D2498" s="14" t="s">
        <v>1745</v>
      </c>
      <c r="E2498" s="14" t="s">
        <v>1747</v>
      </c>
      <c r="F2498" s="25">
        <v>1800</v>
      </c>
      <c r="G2498" s="25">
        <v>1440</v>
      </c>
    </row>
    <row r="2499" spans="1:7" x14ac:dyDescent="0.25">
      <c r="A2499" s="14" t="s">
        <v>916</v>
      </c>
      <c r="B2499" s="14">
        <v>5</v>
      </c>
      <c r="C2499" s="15" t="s">
        <v>2500</v>
      </c>
      <c r="D2499" s="14" t="s">
        <v>1745</v>
      </c>
      <c r="E2499" s="14" t="s">
        <v>1746</v>
      </c>
      <c r="F2499" s="25">
        <v>2520</v>
      </c>
      <c r="G2499" s="25">
        <v>2016</v>
      </c>
    </row>
    <row r="2500" spans="1:7" x14ac:dyDescent="0.25">
      <c r="A2500" s="14" t="s">
        <v>916</v>
      </c>
      <c r="B2500" s="14">
        <v>4</v>
      </c>
      <c r="C2500" s="15" t="s">
        <v>915</v>
      </c>
      <c r="D2500" s="14" t="s">
        <v>1749</v>
      </c>
      <c r="E2500" s="14" t="s">
        <v>1746</v>
      </c>
      <c r="F2500" s="25">
        <v>1200</v>
      </c>
      <c r="G2500" s="25">
        <v>960</v>
      </c>
    </row>
    <row r="2501" spans="1:7" x14ac:dyDescent="0.25">
      <c r="A2501" s="14" t="s">
        <v>916</v>
      </c>
      <c r="B2501" s="14">
        <v>3</v>
      </c>
      <c r="C2501" s="15" t="s">
        <v>923</v>
      </c>
      <c r="D2501" s="14" t="s">
        <v>1745</v>
      </c>
      <c r="E2501" s="14" t="s">
        <v>1747</v>
      </c>
      <c r="F2501" s="25">
        <v>8040</v>
      </c>
      <c r="G2501" s="25">
        <v>6432</v>
      </c>
    </row>
    <row r="2502" spans="1:7" x14ac:dyDescent="0.25">
      <c r="A2502" s="14" t="s">
        <v>916</v>
      </c>
      <c r="B2502" s="14">
        <v>6</v>
      </c>
      <c r="C2502" s="15" t="s">
        <v>2502</v>
      </c>
      <c r="D2502" s="14" t="s">
        <v>1745</v>
      </c>
      <c r="E2502" s="14" t="s">
        <v>1747</v>
      </c>
      <c r="F2502" s="25">
        <v>4800</v>
      </c>
      <c r="G2502" s="25">
        <v>4320</v>
      </c>
    </row>
    <row r="2503" spans="1:7" x14ac:dyDescent="0.25">
      <c r="A2503" s="14" t="s">
        <v>916</v>
      </c>
      <c r="B2503" s="14" t="s">
        <v>89</v>
      </c>
      <c r="C2503" s="15" t="s">
        <v>920</v>
      </c>
      <c r="D2503" s="14" t="s">
        <v>1745</v>
      </c>
      <c r="E2503" s="14" t="s">
        <v>1747</v>
      </c>
      <c r="F2503" s="25">
        <v>9000</v>
      </c>
      <c r="G2503" s="25">
        <v>7200</v>
      </c>
    </row>
    <row r="2504" spans="1:7" x14ac:dyDescent="0.25">
      <c r="A2504" s="14" t="s">
        <v>916</v>
      </c>
      <c r="B2504" s="14" t="s">
        <v>20</v>
      </c>
      <c r="C2504" s="15" t="s">
        <v>918</v>
      </c>
      <c r="D2504" s="14" t="s">
        <v>1749</v>
      </c>
      <c r="E2504" s="14" t="s">
        <v>1746</v>
      </c>
      <c r="F2504" s="25">
        <v>600</v>
      </c>
      <c r="G2504" s="25">
        <v>480</v>
      </c>
    </row>
    <row r="2505" spans="1:7" x14ac:dyDescent="0.25">
      <c r="A2505" s="14" t="s">
        <v>916</v>
      </c>
      <c r="B2505" s="14">
        <v>3</v>
      </c>
      <c r="C2505" s="15" t="s">
        <v>923</v>
      </c>
      <c r="D2505" s="14" t="s">
        <v>1749</v>
      </c>
      <c r="E2505" s="14" t="s">
        <v>1746</v>
      </c>
      <c r="F2505" s="25">
        <v>804</v>
      </c>
      <c r="G2505" s="25">
        <v>643.20000000000005</v>
      </c>
    </row>
    <row r="2506" spans="1:7" x14ac:dyDescent="0.25">
      <c r="A2506" s="14" t="s">
        <v>916</v>
      </c>
      <c r="B2506" s="14" t="s">
        <v>20</v>
      </c>
      <c r="C2506" s="15" t="s">
        <v>918</v>
      </c>
      <c r="D2506" s="14" t="s">
        <v>1745</v>
      </c>
      <c r="E2506" s="14" t="s">
        <v>1746</v>
      </c>
      <c r="F2506" s="25">
        <v>6300</v>
      </c>
      <c r="G2506" s="25">
        <v>5040</v>
      </c>
    </row>
    <row r="2507" spans="1:7" x14ac:dyDescent="0.25">
      <c r="A2507" s="14" t="s">
        <v>928</v>
      </c>
      <c r="B2507" s="14">
        <v>2</v>
      </c>
      <c r="C2507" s="15" t="s">
        <v>926</v>
      </c>
      <c r="D2507" s="14" t="s">
        <v>1752</v>
      </c>
      <c r="E2507" s="14" t="s">
        <v>1753</v>
      </c>
      <c r="F2507" s="25">
        <v>9000</v>
      </c>
      <c r="G2507" s="25">
        <v>7200</v>
      </c>
    </row>
    <row r="2508" spans="1:7" x14ac:dyDescent="0.25">
      <c r="A2508" s="14" t="s">
        <v>928</v>
      </c>
      <c r="B2508" s="14">
        <v>2</v>
      </c>
      <c r="C2508" s="15" t="s">
        <v>926</v>
      </c>
      <c r="D2508" s="14" t="s">
        <v>1745</v>
      </c>
      <c r="E2508" s="14" t="s">
        <v>1747</v>
      </c>
      <c r="F2508" s="25">
        <v>3000</v>
      </c>
      <c r="G2508" s="25">
        <v>2400</v>
      </c>
    </row>
    <row r="2509" spans="1:7" x14ac:dyDescent="0.25">
      <c r="A2509" s="14" t="s">
        <v>928</v>
      </c>
      <c r="B2509" s="14">
        <v>2</v>
      </c>
      <c r="C2509" s="15" t="s">
        <v>926</v>
      </c>
      <c r="D2509" s="14" t="s">
        <v>1749</v>
      </c>
      <c r="E2509" s="14" t="s">
        <v>1746</v>
      </c>
      <c r="F2509" s="25">
        <v>300</v>
      </c>
      <c r="G2509" s="25">
        <v>240</v>
      </c>
    </row>
    <row r="2510" spans="1:7" x14ac:dyDescent="0.25">
      <c r="A2510" s="14" t="s">
        <v>928</v>
      </c>
      <c r="B2510" s="14">
        <v>2</v>
      </c>
      <c r="C2510" s="15" t="s">
        <v>926</v>
      </c>
      <c r="D2510" s="14" t="s">
        <v>1745</v>
      </c>
      <c r="E2510" s="14" t="s">
        <v>1746</v>
      </c>
      <c r="F2510" s="25">
        <v>3150</v>
      </c>
      <c r="G2510" s="25">
        <v>2520</v>
      </c>
    </row>
    <row r="2511" spans="1:7" x14ac:dyDescent="0.25">
      <c r="A2511" s="14" t="s">
        <v>928</v>
      </c>
      <c r="B2511" s="14">
        <v>2</v>
      </c>
      <c r="C2511" s="15" t="s">
        <v>926</v>
      </c>
      <c r="D2511" s="14" t="s">
        <v>1752</v>
      </c>
      <c r="E2511" s="14" t="s">
        <v>1747</v>
      </c>
      <c r="F2511" s="25">
        <v>9000</v>
      </c>
      <c r="G2511" s="25">
        <v>7200</v>
      </c>
    </row>
    <row r="2512" spans="1:7" x14ac:dyDescent="0.25">
      <c r="A2512" s="14" t="s">
        <v>928</v>
      </c>
      <c r="B2512" s="14">
        <v>2</v>
      </c>
      <c r="C2512" s="15" t="s">
        <v>926</v>
      </c>
      <c r="D2512" s="14" t="s">
        <v>1752</v>
      </c>
      <c r="E2512" s="14" t="s">
        <v>1746</v>
      </c>
      <c r="F2512" s="25">
        <v>9450</v>
      </c>
      <c r="G2512" s="25">
        <v>7560</v>
      </c>
    </row>
    <row r="2513" spans="1:7" x14ac:dyDescent="0.25">
      <c r="A2513" s="14" t="s">
        <v>940</v>
      </c>
      <c r="B2513" s="14">
        <v>1</v>
      </c>
      <c r="C2513" s="15" t="s">
        <v>939</v>
      </c>
      <c r="D2513" s="14" t="s">
        <v>1749</v>
      </c>
      <c r="E2513" s="14" t="s">
        <v>1746</v>
      </c>
      <c r="F2513" s="25">
        <v>348</v>
      </c>
      <c r="G2513" s="25">
        <v>278.39999999999998</v>
      </c>
    </row>
    <row r="2514" spans="1:7" x14ac:dyDescent="0.25">
      <c r="A2514" s="14" t="s">
        <v>940</v>
      </c>
      <c r="B2514" s="14">
        <v>1</v>
      </c>
      <c r="C2514" s="15" t="s">
        <v>939</v>
      </c>
      <c r="D2514" s="14" t="s">
        <v>1745</v>
      </c>
      <c r="E2514" s="14" t="s">
        <v>1747</v>
      </c>
      <c r="F2514" s="25">
        <v>3480</v>
      </c>
      <c r="G2514" s="25">
        <v>2784</v>
      </c>
    </row>
    <row r="2515" spans="1:7" x14ac:dyDescent="0.25">
      <c r="A2515" s="14" t="s">
        <v>940</v>
      </c>
      <c r="B2515" s="14">
        <v>1</v>
      </c>
      <c r="C2515" s="15" t="s">
        <v>939</v>
      </c>
      <c r="D2515" s="14" t="s">
        <v>1745</v>
      </c>
      <c r="E2515" s="14" t="s">
        <v>1746</v>
      </c>
      <c r="F2515" s="25">
        <v>3654</v>
      </c>
      <c r="G2515" s="25">
        <v>2923.2</v>
      </c>
    </row>
    <row r="2516" spans="1:7" x14ac:dyDescent="0.25">
      <c r="A2516" s="14" t="s">
        <v>945</v>
      </c>
      <c r="B2516" s="14" t="s">
        <v>16</v>
      </c>
      <c r="C2516" s="15" t="s">
        <v>2503</v>
      </c>
      <c r="D2516" s="14" t="s">
        <v>1745</v>
      </c>
      <c r="E2516" s="14" t="s">
        <v>1746</v>
      </c>
      <c r="F2516" s="25">
        <v>786.24</v>
      </c>
      <c r="G2516" s="25">
        <v>629.04</v>
      </c>
    </row>
    <row r="2517" spans="1:7" x14ac:dyDescent="0.25">
      <c r="A2517" s="14" t="s">
        <v>945</v>
      </c>
      <c r="B2517" s="14" t="s">
        <v>24</v>
      </c>
      <c r="C2517" s="15" t="s">
        <v>2504</v>
      </c>
      <c r="D2517" s="14" t="s">
        <v>1745</v>
      </c>
      <c r="E2517" s="14" t="s">
        <v>1747</v>
      </c>
      <c r="F2517" s="25">
        <v>998.28</v>
      </c>
      <c r="G2517" s="25">
        <v>798.62</v>
      </c>
    </row>
    <row r="2518" spans="1:7" x14ac:dyDescent="0.25">
      <c r="A2518" s="14" t="s">
        <v>945</v>
      </c>
      <c r="B2518" s="14">
        <v>2</v>
      </c>
      <c r="C2518" s="15" t="s">
        <v>947</v>
      </c>
      <c r="D2518" s="14" t="s">
        <v>1749</v>
      </c>
      <c r="E2518" s="14" t="s">
        <v>1746</v>
      </c>
      <c r="F2518" s="25">
        <v>336</v>
      </c>
      <c r="G2518" s="25">
        <v>268.8</v>
      </c>
    </row>
    <row r="2519" spans="1:7" x14ac:dyDescent="0.25">
      <c r="A2519" s="14" t="s">
        <v>945</v>
      </c>
      <c r="B2519" s="14">
        <v>4</v>
      </c>
      <c r="C2519" s="15" t="s">
        <v>944</v>
      </c>
      <c r="D2519" s="14" t="s">
        <v>1745</v>
      </c>
      <c r="E2519" s="14" t="s">
        <v>1747</v>
      </c>
      <c r="F2519" s="25">
        <v>4980</v>
      </c>
      <c r="G2519" s="25">
        <v>3984</v>
      </c>
    </row>
    <row r="2520" spans="1:7" x14ac:dyDescent="0.25">
      <c r="A2520" s="14" t="s">
        <v>945</v>
      </c>
      <c r="B2520" s="14">
        <v>2</v>
      </c>
      <c r="C2520" s="15" t="s">
        <v>947</v>
      </c>
      <c r="D2520" s="14" t="s">
        <v>1745</v>
      </c>
      <c r="E2520" s="14" t="s">
        <v>1746</v>
      </c>
      <c r="F2520" s="25">
        <v>3528</v>
      </c>
      <c r="G2520" s="25">
        <v>2822.4</v>
      </c>
    </row>
    <row r="2521" spans="1:7" x14ac:dyDescent="0.25">
      <c r="A2521" s="14" t="s">
        <v>945</v>
      </c>
      <c r="B2521" s="14" t="s">
        <v>16</v>
      </c>
      <c r="C2521" s="15" t="s">
        <v>2503</v>
      </c>
      <c r="D2521" s="14" t="s">
        <v>1745</v>
      </c>
      <c r="E2521" s="14" t="s">
        <v>1747</v>
      </c>
      <c r="F2521" s="25">
        <v>748.8</v>
      </c>
      <c r="G2521" s="25">
        <v>599.04</v>
      </c>
    </row>
    <row r="2522" spans="1:7" x14ac:dyDescent="0.25">
      <c r="A2522" s="14" t="s">
        <v>945</v>
      </c>
      <c r="B2522" s="14" t="s">
        <v>24</v>
      </c>
      <c r="C2522" s="15" t="s">
        <v>2504</v>
      </c>
      <c r="D2522" s="14" t="s">
        <v>1749</v>
      </c>
      <c r="E2522" s="14" t="s">
        <v>1746</v>
      </c>
      <c r="F2522" s="25">
        <v>99.83</v>
      </c>
      <c r="G2522" s="25">
        <v>79.86</v>
      </c>
    </row>
    <row r="2523" spans="1:7" x14ac:dyDescent="0.25">
      <c r="A2523" s="14" t="s">
        <v>945</v>
      </c>
      <c r="B2523" s="14" t="s">
        <v>20</v>
      </c>
      <c r="C2523" s="15" t="s">
        <v>2505</v>
      </c>
      <c r="D2523" s="14" t="s">
        <v>1749</v>
      </c>
      <c r="E2523" s="14" t="s">
        <v>1746</v>
      </c>
      <c r="F2523" s="25">
        <v>198</v>
      </c>
      <c r="G2523" s="25">
        <v>178.2</v>
      </c>
    </row>
    <row r="2524" spans="1:7" x14ac:dyDescent="0.25">
      <c r="A2524" s="14" t="s">
        <v>945</v>
      </c>
      <c r="B2524" s="14">
        <v>4</v>
      </c>
      <c r="C2524" s="15" t="s">
        <v>944</v>
      </c>
      <c r="D2524" s="14" t="s">
        <v>1745</v>
      </c>
      <c r="E2524" s="14" t="s">
        <v>1746</v>
      </c>
      <c r="F2524" s="25">
        <v>5229</v>
      </c>
      <c r="G2524" s="25">
        <v>4183.2</v>
      </c>
    </row>
    <row r="2525" spans="1:7" x14ac:dyDescent="0.25">
      <c r="A2525" s="14" t="s">
        <v>945</v>
      </c>
      <c r="B2525" s="14">
        <v>2</v>
      </c>
      <c r="C2525" s="15" t="s">
        <v>947</v>
      </c>
      <c r="D2525" s="14" t="s">
        <v>1745</v>
      </c>
      <c r="E2525" s="14" t="s">
        <v>1747</v>
      </c>
      <c r="F2525" s="25">
        <v>3360</v>
      </c>
      <c r="G2525" s="25">
        <v>2688</v>
      </c>
    </row>
    <row r="2526" spans="1:7" x14ac:dyDescent="0.25">
      <c r="A2526" s="14" t="s">
        <v>945</v>
      </c>
      <c r="B2526" s="14">
        <v>4</v>
      </c>
      <c r="C2526" s="15" t="s">
        <v>944</v>
      </c>
      <c r="D2526" s="14" t="s">
        <v>1749</v>
      </c>
      <c r="E2526" s="14" t="s">
        <v>1746</v>
      </c>
      <c r="F2526" s="25">
        <v>498</v>
      </c>
      <c r="G2526" s="25">
        <v>398.4</v>
      </c>
    </row>
    <row r="2527" spans="1:7" x14ac:dyDescent="0.25">
      <c r="A2527" s="14" t="s">
        <v>945</v>
      </c>
      <c r="B2527" s="14" t="s">
        <v>20</v>
      </c>
      <c r="C2527" s="15" t="s">
        <v>2505</v>
      </c>
      <c r="D2527" s="14" t="s">
        <v>1745</v>
      </c>
      <c r="E2527" s="14" t="s">
        <v>1746</v>
      </c>
      <c r="F2527" s="25">
        <v>2079</v>
      </c>
      <c r="G2527" s="25">
        <v>1871.16</v>
      </c>
    </row>
    <row r="2528" spans="1:7" x14ac:dyDescent="0.25">
      <c r="A2528" s="14" t="s">
        <v>945</v>
      </c>
      <c r="B2528" s="14" t="s">
        <v>20</v>
      </c>
      <c r="C2528" s="15" t="s">
        <v>2505</v>
      </c>
      <c r="D2528" s="14" t="s">
        <v>1745</v>
      </c>
      <c r="E2528" s="14" t="s">
        <v>1747</v>
      </c>
      <c r="F2528" s="25">
        <v>1980</v>
      </c>
      <c r="G2528" s="25">
        <v>1782</v>
      </c>
    </row>
    <row r="2529" spans="1:7" x14ac:dyDescent="0.25">
      <c r="A2529" s="14" t="s">
        <v>945</v>
      </c>
      <c r="B2529" s="14" t="s">
        <v>24</v>
      </c>
      <c r="C2529" s="15" t="s">
        <v>2504</v>
      </c>
      <c r="D2529" s="14" t="s">
        <v>1745</v>
      </c>
      <c r="E2529" s="14" t="s">
        <v>1746</v>
      </c>
      <c r="F2529" s="25">
        <v>1048.2</v>
      </c>
      <c r="G2529" s="25">
        <v>838.56</v>
      </c>
    </row>
    <row r="2530" spans="1:7" x14ac:dyDescent="0.25">
      <c r="A2530" s="14" t="s">
        <v>945</v>
      </c>
      <c r="B2530" s="14" t="s">
        <v>16</v>
      </c>
      <c r="C2530" s="15" t="s">
        <v>2503</v>
      </c>
      <c r="D2530" s="14" t="s">
        <v>1749</v>
      </c>
      <c r="E2530" s="14" t="s">
        <v>1746</v>
      </c>
      <c r="F2530" s="25">
        <v>74.88</v>
      </c>
      <c r="G2530" s="25">
        <v>59.9</v>
      </c>
    </row>
    <row r="2531" spans="1:7" x14ac:dyDescent="0.25">
      <c r="A2531" s="14" t="s">
        <v>952</v>
      </c>
      <c r="B2531" s="14" t="s">
        <v>24</v>
      </c>
      <c r="C2531" s="15" t="s">
        <v>954</v>
      </c>
      <c r="D2531" s="14" t="s">
        <v>1745</v>
      </c>
      <c r="E2531" s="14" t="s">
        <v>1746</v>
      </c>
      <c r="F2531" s="25">
        <v>2079</v>
      </c>
      <c r="G2531" s="25">
        <v>1663.2</v>
      </c>
    </row>
    <row r="2532" spans="1:7" x14ac:dyDescent="0.25">
      <c r="A2532" s="14" t="s">
        <v>952</v>
      </c>
      <c r="B2532" s="14" t="s">
        <v>24</v>
      </c>
      <c r="C2532" s="15" t="s">
        <v>954</v>
      </c>
      <c r="D2532" s="14" t="s">
        <v>1745</v>
      </c>
      <c r="E2532" s="14" t="s">
        <v>1747</v>
      </c>
      <c r="F2532" s="25">
        <v>1980</v>
      </c>
      <c r="G2532" s="25">
        <v>1584</v>
      </c>
    </row>
    <row r="2533" spans="1:7" x14ac:dyDescent="0.25">
      <c r="A2533" s="14" t="s">
        <v>952</v>
      </c>
      <c r="B2533" s="14">
        <v>7</v>
      </c>
      <c r="C2533" s="15" t="s">
        <v>2506</v>
      </c>
      <c r="D2533" s="14" t="s">
        <v>1749</v>
      </c>
      <c r="E2533" s="14" t="s">
        <v>1746</v>
      </c>
      <c r="F2533" s="25">
        <v>119.8</v>
      </c>
      <c r="G2533" s="25">
        <v>107.82</v>
      </c>
    </row>
    <row r="2534" spans="1:7" x14ac:dyDescent="0.25">
      <c r="A2534" s="14" t="s">
        <v>952</v>
      </c>
      <c r="B2534" s="14">
        <v>3</v>
      </c>
      <c r="C2534" s="15" t="s">
        <v>2507</v>
      </c>
      <c r="D2534" s="14" t="s">
        <v>1745</v>
      </c>
      <c r="E2534" s="14" t="s">
        <v>1746</v>
      </c>
      <c r="F2534" s="25">
        <v>629.04</v>
      </c>
      <c r="G2534" s="25">
        <v>503.16</v>
      </c>
    </row>
    <row r="2535" spans="1:7" x14ac:dyDescent="0.25">
      <c r="A2535" s="14" t="s">
        <v>952</v>
      </c>
      <c r="B2535" s="14">
        <v>6</v>
      </c>
      <c r="C2535" s="15" t="s">
        <v>2508</v>
      </c>
      <c r="D2535" s="14" t="s">
        <v>1752</v>
      </c>
      <c r="E2535" s="14" t="s">
        <v>1747</v>
      </c>
      <c r="F2535" s="25">
        <v>1347.84</v>
      </c>
      <c r="G2535" s="25">
        <v>1078.26</v>
      </c>
    </row>
    <row r="2536" spans="1:7" x14ac:dyDescent="0.25">
      <c r="A2536" s="14" t="s">
        <v>952</v>
      </c>
      <c r="B2536" s="14">
        <v>1</v>
      </c>
      <c r="C2536" s="15" t="s">
        <v>951</v>
      </c>
      <c r="D2536" s="14" t="s">
        <v>1745</v>
      </c>
      <c r="E2536" s="14" t="s">
        <v>1747</v>
      </c>
      <c r="F2536" s="25">
        <v>3000</v>
      </c>
      <c r="G2536" s="25">
        <v>2400</v>
      </c>
    </row>
    <row r="2537" spans="1:7" x14ac:dyDescent="0.25">
      <c r="A2537" s="14" t="s">
        <v>952</v>
      </c>
      <c r="B2537" s="14">
        <v>6</v>
      </c>
      <c r="C2537" s="15" t="s">
        <v>2508</v>
      </c>
      <c r="D2537" s="14" t="s">
        <v>1752</v>
      </c>
      <c r="E2537" s="14" t="s">
        <v>1746</v>
      </c>
      <c r="F2537" s="25">
        <v>1415.16</v>
      </c>
      <c r="G2537" s="25">
        <v>1132.2</v>
      </c>
    </row>
    <row r="2538" spans="1:7" x14ac:dyDescent="0.25">
      <c r="A2538" s="14" t="s">
        <v>952</v>
      </c>
      <c r="B2538" s="14">
        <v>3</v>
      </c>
      <c r="C2538" s="15" t="s">
        <v>2507</v>
      </c>
      <c r="D2538" s="14" t="s">
        <v>1752</v>
      </c>
      <c r="E2538" s="14" t="s">
        <v>1747</v>
      </c>
      <c r="F2538" s="25">
        <v>1797.12</v>
      </c>
      <c r="G2538" s="25">
        <v>1437.69</v>
      </c>
    </row>
    <row r="2539" spans="1:7" x14ac:dyDescent="0.25">
      <c r="A2539" s="14" t="s">
        <v>952</v>
      </c>
      <c r="B2539" s="14">
        <v>7</v>
      </c>
      <c r="C2539" s="15" t="s">
        <v>2506</v>
      </c>
      <c r="D2539" s="14" t="s">
        <v>1752</v>
      </c>
      <c r="E2539" s="14" t="s">
        <v>1753</v>
      </c>
      <c r="F2539" s="25">
        <v>3593.88</v>
      </c>
      <c r="G2539" s="25">
        <v>3234.49</v>
      </c>
    </row>
    <row r="2540" spans="1:7" x14ac:dyDescent="0.25">
      <c r="A2540" s="14" t="s">
        <v>952</v>
      </c>
      <c r="B2540" s="14">
        <v>6</v>
      </c>
      <c r="C2540" s="15" t="s">
        <v>2508</v>
      </c>
      <c r="D2540" s="14" t="s">
        <v>1752</v>
      </c>
      <c r="E2540" s="14" t="s">
        <v>1753</v>
      </c>
      <c r="F2540" s="25">
        <v>1347.84</v>
      </c>
      <c r="G2540" s="25">
        <v>1078.27</v>
      </c>
    </row>
    <row r="2541" spans="1:7" x14ac:dyDescent="0.25">
      <c r="A2541" s="14" t="s">
        <v>952</v>
      </c>
      <c r="B2541" s="14" t="s">
        <v>24</v>
      </c>
      <c r="C2541" s="15" t="s">
        <v>954</v>
      </c>
      <c r="D2541" s="14" t="s">
        <v>1749</v>
      </c>
      <c r="E2541" s="14" t="s">
        <v>1746</v>
      </c>
      <c r="F2541" s="25">
        <v>198</v>
      </c>
      <c r="G2541" s="25">
        <v>158.4</v>
      </c>
    </row>
    <row r="2542" spans="1:7" x14ac:dyDescent="0.25">
      <c r="A2542" s="14" t="s">
        <v>952</v>
      </c>
      <c r="B2542" s="14">
        <v>7</v>
      </c>
      <c r="C2542" s="15" t="s">
        <v>2506</v>
      </c>
      <c r="D2542" s="14" t="s">
        <v>1752</v>
      </c>
      <c r="E2542" s="14" t="s">
        <v>1746</v>
      </c>
      <c r="F2542" s="25">
        <v>3773.52</v>
      </c>
      <c r="G2542" s="25">
        <v>3396.24</v>
      </c>
    </row>
    <row r="2543" spans="1:7" x14ac:dyDescent="0.25">
      <c r="A2543" s="14" t="s">
        <v>952</v>
      </c>
      <c r="B2543" s="14">
        <v>6</v>
      </c>
      <c r="C2543" s="15" t="s">
        <v>2508</v>
      </c>
      <c r="D2543" s="14" t="s">
        <v>1749</v>
      </c>
      <c r="E2543" s="14" t="s">
        <v>1746</v>
      </c>
      <c r="F2543" s="25">
        <v>44.93</v>
      </c>
      <c r="G2543" s="25">
        <v>35.94</v>
      </c>
    </row>
    <row r="2544" spans="1:7" x14ac:dyDescent="0.25">
      <c r="A2544" s="14" t="s">
        <v>952</v>
      </c>
      <c r="B2544" s="14">
        <v>1</v>
      </c>
      <c r="C2544" s="15" t="s">
        <v>951</v>
      </c>
      <c r="D2544" s="14" t="s">
        <v>1749</v>
      </c>
      <c r="E2544" s="14" t="s">
        <v>1746</v>
      </c>
      <c r="F2544" s="25">
        <v>300</v>
      </c>
      <c r="G2544" s="25">
        <v>240</v>
      </c>
    </row>
    <row r="2545" spans="1:7" x14ac:dyDescent="0.25">
      <c r="A2545" s="14" t="s">
        <v>952</v>
      </c>
      <c r="B2545" s="14">
        <v>3</v>
      </c>
      <c r="C2545" s="15" t="s">
        <v>2507</v>
      </c>
      <c r="D2545" s="14" t="s">
        <v>1745</v>
      </c>
      <c r="E2545" s="14" t="s">
        <v>1747</v>
      </c>
      <c r="F2545" s="25">
        <v>599.04</v>
      </c>
      <c r="G2545" s="25">
        <v>479.23</v>
      </c>
    </row>
    <row r="2546" spans="1:7" x14ac:dyDescent="0.25">
      <c r="A2546" s="14" t="s">
        <v>952</v>
      </c>
      <c r="B2546" s="14">
        <v>3</v>
      </c>
      <c r="C2546" s="15" t="s">
        <v>2507</v>
      </c>
      <c r="D2546" s="14" t="s">
        <v>1749</v>
      </c>
      <c r="E2546" s="14" t="s">
        <v>1746</v>
      </c>
      <c r="F2546" s="25">
        <v>59.9</v>
      </c>
      <c r="G2546" s="25">
        <v>47.92</v>
      </c>
    </row>
    <row r="2547" spans="1:7" x14ac:dyDescent="0.25">
      <c r="A2547" s="14" t="s">
        <v>952</v>
      </c>
      <c r="B2547" s="14">
        <v>1</v>
      </c>
      <c r="C2547" s="15" t="s">
        <v>951</v>
      </c>
      <c r="D2547" s="14" t="s">
        <v>1745</v>
      </c>
      <c r="E2547" s="14" t="s">
        <v>1746</v>
      </c>
      <c r="F2547" s="25">
        <v>3150</v>
      </c>
      <c r="G2547" s="25">
        <v>2520</v>
      </c>
    </row>
    <row r="2548" spans="1:7" x14ac:dyDescent="0.25">
      <c r="A2548" s="14" t="s">
        <v>952</v>
      </c>
      <c r="B2548" s="14">
        <v>7</v>
      </c>
      <c r="C2548" s="15" t="s">
        <v>2506</v>
      </c>
      <c r="D2548" s="14" t="s">
        <v>1745</v>
      </c>
      <c r="E2548" s="14" t="s">
        <v>1747</v>
      </c>
      <c r="F2548" s="25">
        <v>1197.96</v>
      </c>
      <c r="G2548" s="25">
        <v>1078.1600000000001</v>
      </c>
    </row>
    <row r="2549" spans="1:7" x14ac:dyDescent="0.25">
      <c r="A2549" s="14" t="s">
        <v>952</v>
      </c>
      <c r="B2549" s="14">
        <v>3</v>
      </c>
      <c r="C2549" s="15" t="s">
        <v>2507</v>
      </c>
      <c r="D2549" s="14" t="s">
        <v>1752</v>
      </c>
      <c r="E2549" s="14" t="s">
        <v>1753</v>
      </c>
      <c r="F2549" s="25">
        <v>1797.12</v>
      </c>
      <c r="G2549" s="25">
        <v>1437.7</v>
      </c>
    </row>
    <row r="2550" spans="1:7" x14ac:dyDescent="0.25">
      <c r="A2550" s="14" t="s">
        <v>952</v>
      </c>
      <c r="B2550" s="14">
        <v>7</v>
      </c>
      <c r="C2550" s="15" t="s">
        <v>2506</v>
      </c>
      <c r="D2550" s="14" t="s">
        <v>1752</v>
      </c>
      <c r="E2550" s="14" t="s">
        <v>1747</v>
      </c>
      <c r="F2550" s="25">
        <v>3593.88</v>
      </c>
      <c r="G2550" s="25">
        <v>3234.48</v>
      </c>
    </row>
    <row r="2551" spans="1:7" x14ac:dyDescent="0.25">
      <c r="A2551" s="14" t="s">
        <v>952</v>
      </c>
      <c r="B2551" s="14">
        <v>6</v>
      </c>
      <c r="C2551" s="15" t="s">
        <v>2508</v>
      </c>
      <c r="D2551" s="14" t="s">
        <v>1745</v>
      </c>
      <c r="E2551" s="14" t="s">
        <v>1746</v>
      </c>
      <c r="F2551" s="25">
        <v>471.72</v>
      </c>
      <c r="G2551" s="25">
        <v>377.4</v>
      </c>
    </row>
    <row r="2552" spans="1:7" x14ac:dyDescent="0.25">
      <c r="A2552" s="14" t="s">
        <v>952</v>
      </c>
      <c r="B2552" s="14">
        <v>7</v>
      </c>
      <c r="C2552" s="15" t="s">
        <v>2506</v>
      </c>
      <c r="D2552" s="14" t="s">
        <v>1745</v>
      </c>
      <c r="E2552" s="14" t="s">
        <v>1746</v>
      </c>
      <c r="F2552" s="25">
        <v>1257.8399999999999</v>
      </c>
      <c r="G2552" s="25">
        <v>1132.08</v>
      </c>
    </row>
    <row r="2553" spans="1:7" x14ac:dyDescent="0.25">
      <c r="A2553" s="14" t="s">
        <v>952</v>
      </c>
      <c r="B2553" s="14">
        <v>6</v>
      </c>
      <c r="C2553" s="15" t="s">
        <v>2508</v>
      </c>
      <c r="D2553" s="14" t="s">
        <v>1745</v>
      </c>
      <c r="E2553" s="14" t="s">
        <v>1747</v>
      </c>
      <c r="F2553" s="25">
        <v>449.28</v>
      </c>
      <c r="G2553" s="25">
        <v>359.42</v>
      </c>
    </row>
    <row r="2554" spans="1:7" x14ac:dyDescent="0.25">
      <c r="A2554" s="14" t="s">
        <v>952</v>
      </c>
      <c r="B2554" s="14">
        <v>3</v>
      </c>
      <c r="C2554" s="15" t="s">
        <v>2507</v>
      </c>
      <c r="D2554" s="14" t="s">
        <v>1752</v>
      </c>
      <c r="E2554" s="14" t="s">
        <v>1746</v>
      </c>
      <c r="F2554" s="25">
        <v>1887.12</v>
      </c>
      <c r="G2554" s="25">
        <v>1509.48</v>
      </c>
    </row>
    <row r="2555" spans="1:7" x14ac:dyDescent="0.25">
      <c r="A2555" s="14" t="s">
        <v>959</v>
      </c>
      <c r="B2555" s="14">
        <v>1</v>
      </c>
      <c r="C2555" s="15" t="s">
        <v>958</v>
      </c>
      <c r="D2555" s="14" t="s">
        <v>1745</v>
      </c>
      <c r="E2555" s="14" t="s">
        <v>1747</v>
      </c>
      <c r="F2555" s="25">
        <v>1980</v>
      </c>
      <c r="G2555" s="25">
        <v>1584</v>
      </c>
    </row>
    <row r="2556" spans="1:7" x14ac:dyDescent="0.25">
      <c r="A2556" s="14" t="s">
        <v>959</v>
      </c>
      <c r="B2556" s="14" t="s">
        <v>16</v>
      </c>
      <c r="C2556" s="15" t="s">
        <v>2509</v>
      </c>
      <c r="D2556" s="14" t="s">
        <v>1745</v>
      </c>
      <c r="E2556" s="14" t="s">
        <v>1746</v>
      </c>
      <c r="F2556" s="25">
        <v>838.68</v>
      </c>
      <c r="G2556" s="25">
        <v>754.8</v>
      </c>
    </row>
    <row r="2557" spans="1:7" x14ac:dyDescent="0.25">
      <c r="A2557" s="14" t="s">
        <v>959</v>
      </c>
      <c r="B2557" s="14">
        <v>1</v>
      </c>
      <c r="C2557" s="15" t="s">
        <v>958</v>
      </c>
      <c r="D2557" s="14" t="s">
        <v>1749</v>
      </c>
      <c r="E2557" s="14" t="s">
        <v>1746</v>
      </c>
      <c r="F2557" s="25">
        <v>198</v>
      </c>
      <c r="G2557" s="25">
        <v>158.4</v>
      </c>
    </row>
    <row r="2558" spans="1:7" x14ac:dyDescent="0.25">
      <c r="A2558" s="14" t="s">
        <v>959</v>
      </c>
      <c r="B2558" s="14">
        <v>5</v>
      </c>
      <c r="C2558" s="15" t="s">
        <v>961</v>
      </c>
      <c r="D2558" s="14" t="s">
        <v>1745</v>
      </c>
      <c r="E2558" s="14" t="s">
        <v>1747</v>
      </c>
      <c r="F2558" s="25">
        <v>1320</v>
      </c>
      <c r="G2558" s="25">
        <v>1056</v>
      </c>
    </row>
    <row r="2559" spans="1:7" x14ac:dyDescent="0.25">
      <c r="A2559" s="14" t="s">
        <v>959</v>
      </c>
      <c r="B2559" s="14" t="s">
        <v>24</v>
      </c>
      <c r="C2559" s="15" t="s">
        <v>2510</v>
      </c>
      <c r="D2559" s="14" t="s">
        <v>1745</v>
      </c>
      <c r="E2559" s="14" t="s">
        <v>1747</v>
      </c>
      <c r="F2559" s="25">
        <v>399.36</v>
      </c>
      <c r="G2559" s="25">
        <v>319.49</v>
      </c>
    </row>
    <row r="2560" spans="1:7" x14ac:dyDescent="0.25">
      <c r="A2560" s="14" t="s">
        <v>959</v>
      </c>
      <c r="B2560" s="14">
        <v>9</v>
      </c>
      <c r="C2560" s="15" t="s">
        <v>2511</v>
      </c>
      <c r="D2560" s="14" t="s">
        <v>1745</v>
      </c>
      <c r="E2560" s="14" t="s">
        <v>1746</v>
      </c>
      <c r="F2560" s="25">
        <v>314.52</v>
      </c>
      <c r="G2560" s="25">
        <v>251.64</v>
      </c>
    </row>
    <row r="2561" spans="1:7" x14ac:dyDescent="0.25">
      <c r="A2561" s="14" t="s">
        <v>959</v>
      </c>
      <c r="B2561" s="14" t="s">
        <v>24</v>
      </c>
      <c r="C2561" s="15" t="s">
        <v>2510</v>
      </c>
      <c r="D2561" s="14" t="s">
        <v>1745</v>
      </c>
      <c r="E2561" s="14" t="s">
        <v>1746</v>
      </c>
      <c r="F2561" s="25">
        <v>419.28</v>
      </c>
      <c r="G2561" s="25">
        <v>335.52</v>
      </c>
    </row>
    <row r="2562" spans="1:7" x14ac:dyDescent="0.25">
      <c r="A2562" s="14" t="s">
        <v>959</v>
      </c>
      <c r="B2562" s="14" t="s">
        <v>24</v>
      </c>
      <c r="C2562" s="15" t="s">
        <v>2510</v>
      </c>
      <c r="D2562" s="14" t="s">
        <v>1749</v>
      </c>
      <c r="E2562" s="14" t="s">
        <v>1746</v>
      </c>
      <c r="F2562" s="25">
        <v>39.94</v>
      </c>
      <c r="G2562" s="25">
        <v>31.95</v>
      </c>
    </row>
    <row r="2563" spans="1:7" x14ac:dyDescent="0.25">
      <c r="A2563" s="14" t="s">
        <v>959</v>
      </c>
      <c r="B2563" s="14">
        <v>9</v>
      </c>
      <c r="C2563" s="15" t="s">
        <v>2511</v>
      </c>
      <c r="D2563" s="14" t="s">
        <v>1745</v>
      </c>
      <c r="E2563" s="14" t="s">
        <v>1747</v>
      </c>
      <c r="F2563" s="25">
        <v>299.52</v>
      </c>
      <c r="G2563" s="25">
        <v>239.62</v>
      </c>
    </row>
    <row r="2564" spans="1:7" x14ac:dyDescent="0.25">
      <c r="A2564" s="14" t="s">
        <v>959</v>
      </c>
      <c r="B2564" s="14">
        <v>5</v>
      </c>
      <c r="C2564" s="15" t="s">
        <v>961</v>
      </c>
      <c r="D2564" s="14" t="s">
        <v>1749</v>
      </c>
      <c r="E2564" s="14" t="s">
        <v>1746</v>
      </c>
      <c r="F2564" s="25">
        <v>132</v>
      </c>
      <c r="G2564" s="25">
        <v>105.6</v>
      </c>
    </row>
    <row r="2565" spans="1:7" x14ac:dyDescent="0.25">
      <c r="A2565" s="14" t="s">
        <v>959</v>
      </c>
      <c r="B2565" s="14">
        <v>1</v>
      </c>
      <c r="C2565" s="15" t="s">
        <v>958</v>
      </c>
      <c r="D2565" s="14" t="s">
        <v>1745</v>
      </c>
      <c r="E2565" s="14" t="s">
        <v>1746</v>
      </c>
      <c r="F2565" s="25">
        <v>2079</v>
      </c>
      <c r="G2565" s="25">
        <v>1663.2</v>
      </c>
    </row>
    <row r="2566" spans="1:7" x14ac:dyDescent="0.25">
      <c r="A2566" s="14" t="s">
        <v>959</v>
      </c>
      <c r="B2566" s="14">
        <v>9</v>
      </c>
      <c r="C2566" s="15" t="s">
        <v>2511</v>
      </c>
      <c r="D2566" s="14" t="s">
        <v>1749</v>
      </c>
      <c r="E2566" s="14" t="s">
        <v>1746</v>
      </c>
      <c r="F2566" s="25">
        <v>29.95</v>
      </c>
      <c r="G2566" s="25">
        <v>23.96</v>
      </c>
    </row>
    <row r="2567" spans="1:7" x14ac:dyDescent="0.25">
      <c r="A2567" s="14" t="s">
        <v>959</v>
      </c>
      <c r="B2567" s="14" t="s">
        <v>16</v>
      </c>
      <c r="C2567" s="15" t="s">
        <v>2509</v>
      </c>
      <c r="D2567" s="14" t="s">
        <v>1749</v>
      </c>
      <c r="E2567" s="14" t="s">
        <v>1746</v>
      </c>
      <c r="F2567" s="25">
        <v>79.87</v>
      </c>
      <c r="G2567" s="25">
        <v>71.88</v>
      </c>
    </row>
    <row r="2568" spans="1:7" x14ac:dyDescent="0.25">
      <c r="A2568" s="14" t="s">
        <v>959</v>
      </c>
      <c r="B2568" s="14" t="s">
        <v>16</v>
      </c>
      <c r="C2568" s="15" t="s">
        <v>2509</v>
      </c>
      <c r="D2568" s="14" t="s">
        <v>1745</v>
      </c>
      <c r="E2568" s="14" t="s">
        <v>1747</v>
      </c>
      <c r="F2568" s="25">
        <v>798.72</v>
      </c>
      <c r="G2568" s="25">
        <v>718.85</v>
      </c>
    </row>
    <row r="2569" spans="1:7" x14ac:dyDescent="0.25">
      <c r="A2569" s="14" t="s">
        <v>959</v>
      </c>
      <c r="B2569" s="14">
        <v>5</v>
      </c>
      <c r="C2569" s="15" t="s">
        <v>961</v>
      </c>
      <c r="D2569" s="14" t="s">
        <v>1745</v>
      </c>
      <c r="E2569" s="14" t="s">
        <v>1746</v>
      </c>
      <c r="F2569" s="25">
        <v>1386</v>
      </c>
      <c r="G2569" s="25">
        <v>1108.8</v>
      </c>
    </row>
    <row r="2570" spans="1:7" x14ac:dyDescent="0.25">
      <c r="A2570" s="14" t="s">
        <v>2512</v>
      </c>
      <c r="B2570" s="14">
        <v>6</v>
      </c>
      <c r="C2570" s="15" t="s">
        <v>2513</v>
      </c>
      <c r="D2570" s="14" t="s">
        <v>1749</v>
      </c>
      <c r="E2570" s="14" t="s">
        <v>1746</v>
      </c>
      <c r="F2570" s="25">
        <v>402</v>
      </c>
      <c r="G2570" s="25">
        <v>321.60000000000002</v>
      </c>
    </row>
    <row r="2571" spans="1:7" x14ac:dyDescent="0.25">
      <c r="A2571" s="14" t="s">
        <v>2512</v>
      </c>
      <c r="B2571" s="14">
        <v>4</v>
      </c>
      <c r="C2571" s="15" t="s">
        <v>2514</v>
      </c>
      <c r="D2571" s="14" t="s">
        <v>1745</v>
      </c>
      <c r="E2571" s="14" t="s">
        <v>1746</v>
      </c>
      <c r="F2571" s="25">
        <v>2772</v>
      </c>
      <c r="G2571" s="25">
        <v>2217.6</v>
      </c>
    </row>
    <row r="2572" spans="1:7" x14ac:dyDescent="0.25">
      <c r="A2572" s="14" t="s">
        <v>2512</v>
      </c>
      <c r="B2572" s="14">
        <v>4</v>
      </c>
      <c r="C2572" s="15" t="s">
        <v>2514</v>
      </c>
      <c r="D2572" s="14" t="s">
        <v>1749</v>
      </c>
      <c r="E2572" s="14" t="s">
        <v>1746</v>
      </c>
      <c r="F2572" s="25">
        <v>264</v>
      </c>
      <c r="G2572" s="25">
        <v>211.2</v>
      </c>
    </row>
    <row r="2573" spans="1:7" x14ac:dyDescent="0.25">
      <c r="A2573" s="14" t="s">
        <v>2512</v>
      </c>
      <c r="B2573" s="14" t="s">
        <v>173</v>
      </c>
      <c r="C2573" s="15" t="s">
        <v>2515</v>
      </c>
      <c r="D2573" s="14" t="s">
        <v>1745</v>
      </c>
      <c r="E2573" s="14" t="s">
        <v>1746</v>
      </c>
      <c r="F2573" s="25">
        <v>629.04</v>
      </c>
      <c r="G2573" s="25">
        <v>503.16</v>
      </c>
    </row>
    <row r="2574" spans="1:7" x14ac:dyDescent="0.25">
      <c r="A2574" s="14" t="s">
        <v>2512</v>
      </c>
      <c r="B2574" s="14" t="s">
        <v>325</v>
      </c>
      <c r="C2574" s="15" t="s">
        <v>2516</v>
      </c>
      <c r="D2574" s="14" t="s">
        <v>1745</v>
      </c>
      <c r="E2574" s="14" t="s">
        <v>1746</v>
      </c>
      <c r="F2574" s="25">
        <v>2079</v>
      </c>
      <c r="G2574" s="25">
        <v>1871.16</v>
      </c>
    </row>
    <row r="2575" spans="1:7" x14ac:dyDescent="0.25">
      <c r="A2575" s="14" t="s">
        <v>2512</v>
      </c>
      <c r="B2575" s="14" t="s">
        <v>325</v>
      </c>
      <c r="C2575" s="15" t="s">
        <v>2516</v>
      </c>
      <c r="D2575" s="14" t="s">
        <v>1749</v>
      </c>
      <c r="E2575" s="14" t="s">
        <v>1746</v>
      </c>
      <c r="F2575" s="25">
        <v>198</v>
      </c>
      <c r="G2575" s="25">
        <v>178.2</v>
      </c>
    </row>
    <row r="2576" spans="1:7" x14ac:dyDescent="0.25">
      <c r="A2576" s="14" t="s">
        <v>2512</v>
      </c>
      <c r="B2576" s="14" t="s">
        <v>173</v>
      </c>
      <c r="C2576" s="15" t="s">
        <v>2515</v>
      </c>
      <c r="D2576" s="14" t="s">
        <v>1745</v>
      </c>
      <c r="E2576" s="14" t="s">
        <v>1747</v>
      </c>
      <c r="F2576" s="25">
        <v>599.04</v>
      </c>
      <c r="G2576" s="25">
        <v>479.23</v>
      </c>
    </row>
    <row r="2577" spans="1:7" x14ac:dyDescent="0.25">
      <c r="A2577" s="14" t="s">
        <v>2512</v>
      </c>
      <c r="B2577" s="14">
        <v>9</v>
      </c>
      <c r="C2577" s="15" t="s">
        <v>2517</v>
      </c>
      <c r="D2577" s="14" t="s">
        <v>1749</v>
      </c>
      <c r="E2577" s="14" t="s">
        <v>1746</v>
      </c>
      <c r="F2577" s="25">
        <v>798</v>
      </c>
      <c r="G2577" s="25">
        <v>638.4</v>
      </c>
    </row>
    <row r="2578" spans="1:7" x14ac:dyDescent="0.25">
      <c r="A2578" s="14" t="s">
        <v>2512</v>
      </c>
      <c r="B2578" s="14">
        <v>6</v>
      </c>
      <c r="C2578" s="15" t="s">
        <v>2513</v>
      </c>
      <c r="D2578" s="14" t="s">
        <v>1745</v>
      </c>
      <c r="E2578" s="14" t="s">
        <v>1746</v>
      </c>
      <c r="F2578" s="25">
        <v>4221</v>
      </c>
      <c r="G2578" s="25">
        <v>3376.8</v>
      </c>
    </row>
    <row r="2579" spans="1:7" x14ac:dyDescent="0.25">
      <c r="A2579" s="14" t="s">
        <v>2512</v>
      </c>
      <c r="B2579" s="14" t="s">
        <v>173</v>
      </c>
      <c r="C2579" s="15" t="s">
        <v>2515</v>
      </c>
      <c r="D2579" s="14" t="s">
        <v>1749</v>
      </c>
      <c r="E2579" s="14" t="s">
        <v>1746</v>
      </c>
      <c r="F2579" s="25">
        <v>59.9</v>
      </c>
      <c r="G2579" s="25">
        <v>47.92</v>
      </c>
    </row>
    <row r="2580" spans="1:7" x14ac:dyDescent="0.25">
      <c r="A2580" s="14" t="s">
        <v>2512</v>
      </c>
      <c r="B2580" s="14" t="s">
        <v>325</v>
      </c>
      <c r="C2580" s="15" t="s">
        <v>2516</v>
      </c>
      <c r="D2580" s="14" t="s">
        <v>1745</v>
      </c>
      <c r="E2580" s="14" t="s">
        <v>1747</v>
      </c>
      <c r="F2580" s="25">
        <v>1980</v>
      </c>
      <c r="G2580" s="25">
        <v>1782</v>
      </c>
    </row>
    <row r="2581" spans="1:7" x14ac:dyDescent="0.25">
      <c r="A2581" s="14" t="s">
        <v>2512</v>
      </c>
      <c r="B2581" s="14">
        <v>6</v>
      </c>
      <c r="C2581" s="15" t="s">
        <v>2513</v>
      </c>
      <c r="D2581" s="14" t="s">
        <v>1745</v>
      </c>
      <c r="E2581" s="14" t="s">
        <v>1747</v>
      </c>
      <c r="F2581" s="25">
        <v>4020</v>
      </c>
      <c r="G2581" s="25">
        <v>3216</v>
      </c>
    </row>
    <row r="2582" spans="1:7" x14ac:dyDescent="0.25">
      <c r="A2582" s="14" t="s">
        <v>2512</v>
      </c>
      <c r="B2582" s="14">
        <v>9</v>
      </c>
      <c r="C2582" s="15" t="s">
        <v>2517</v>
      </c>
      <c r="D2582" s="14" t="s">
        <v>1745</v>
      </c>
      <c r="E2582" s="14" t="s">
        <v>1747</v>
      </c>
      <c r="F2582" s="25">
        <v>7980</v>
      </c>
      <c r="G2582" s="25">
        <v>6384</v>
      </c>
    </row>
    <row r="2583" spans="1:7" x14ac:dyDescent="0.25">
      <c r="A2583" s="14" t="s">
        <v>2512</v>
      </c>
      <c r="B2583" s="14">
        <v>4</v>
      </c>
      <c r="C2583" s="15" t="s">
        <v>2514</v>
      </c>
      <c r="D2583" s="14" t="s">
        <v>1745</v>
      </c>
      <c r="E2583" s="14" t="s">
        <v>1747</v>
      </c>
      <c r="F2583" s="25">
        <v>2640</v>
      </c>
      <c r="G2583" s="25">
        <v>2112</v>
      </c>
    </row>
    <row r="2584" spans="1:7" x14ac:dyDescent="0.25">
      <c r="A2584" s="14" t="s">
        <v>2512</v>
      </c>
      <c r="B2584" s="14">
        <v>9</v>
      </c>
      <c r="C2584" s="15" t="s">
        <v>2517</v>
      </c>
      <c r="D2584" s="14" t="s">
        <v>1745</v>
      </c>
      <c r="E2584" s="14" t="s">
        <v>1746</v>
      </c>
      <c r="F2584" s="25">
        <v>8379</v>
      </c>
      <c r="G2584" s="25">
        <v>6703.2</v>
      </c>
    </row>
    <row r="2585" spans="1:7" x14ac:dyDescent="0.25">
      <c r="A2585" s="14" t="s">
        <v>2518</v>
      </c>
      <c r="B2585" s="14">
        <v>5</v>
      </c>
      <c r="C2585" s="15" t="s">
        <v>2519</v>
      </c>
      <c r="D2585" s="14" t="s">
        <v>1745</v>
      </c>
      <c r="E2585" s="14" t="s">
        <v>1747</v>
      </c>
      <c r="F2585" s="25">
        <v>746.76</v>
      </c>
      <c r="G2585" s="25">
        <v>597.41</v>
      </c>
    </row>
    <row r="2586" spans="1:7" x14ac:dyDescent="0.25">
      <c r="A2586" s="14" t="s">
        <v>2518</v>
      </c>
      <c r="B2586" s="14">
        <v>5</v>
      </c>
      <c r="C2586" s="15" t="s">
        <v>2519</v>
      </c>
      <c r="D2586" s="14" t="s">
        <v>1745</v>
      </c>
      <c r="E2586" s="14" t="s">
        <v>1746</v>
      </c>
      <c r="F2586" s="25">
        <v>784.08</v>
      </c>
      <c r="G2586" s="25">
        <v>627.24</v>
      </c>
    </row>
    <row r="2587" spans="1:7" x14ac:dyDescent="0.25">
      <c r="A2587" s="14" t="s">
        <v>2518</v>
      </c>
      <c r="B2587" s="14">
        <v>4</v>
      </c>
      <c r="C2587" s="15" t="s">
        <v>2520</v>
      </c>
      <c r="D2587" s="14" t="s">
        <v>1745</v>
      </c>
      <c r="E2587" s="14" t="s">
        <v>1747</v>
      </c>
      <c r="F2587" s="25">
        <v>746.76</v>
      </c>
      <c r="G2587" s="25">
        <v>597.41</v>
      </c>
    </row>
    <row r="2588" spans="1:7" x14ac:dyDescent="0.25">
      <c r="A2588" s="14" t="s">
        <v>2518</v>
      </c>
      <c r="B2588" s="14">
        <v>4</v>
      </c>
      <c r="C2588" s="15" t="s">
        <v>2520</v>
      </c>
      <c r="D2588" s="14" t="s">
        <v>1745</v>
      </c>
      <c r="E2588" s="14" t="s">
        <v>1746</v>
      </c>
      <c r="F2588" s="25">
        <v>784.08</v>
      </c>
      <c r="G2588" s="25">
        <v>627.24</v>
      </c>
    </row>
    <row r="2589" spans="1:7" x14ac:dyDescent="0.25">
      <c r="A2589" s="14" t="s">
        <v>2518</v>
      </c>
      <c r="B2589" s="14">
        <v>4</v>
      </c>
      <c r="C2589" s="15" t="s">
        <v>2520</v>
      </c>
      <c r="D2589" s="14" t="s">
        <v>1749</v>
      </c>
      <c r="E2589" s="14" t="s">
        <v>1746</v>
      </c>
      <c r="F2589" s="25">
        <v>74.680000000000007</v>
      </c>
      <c r="G2589" s="25">
        <v>59.74</v>
      </c>
    </row>
    <row r="2590" spans="1:7" x14ac:dyDescent="0.25">
      <c r="A2590" s="14" t="s">
        <v>2518</v>
      </c>
      <c r="B2590" s="14" t="s">
        <v>20</v>
      </c>
      <c r="C2590" s="15" t="s">
        <v>2521</v>
      </c>
      <c r="D2590" s="14" t="s">
        <v>1749</v>
      </c>
      <c r="E2590" s="14" t="s">
        <v>1746</v>
      </c>
      <c r="F2590" s="25">
        <v>0</v>
      </c>
      <c r="G2590" s="25">
        <v>0</v>
      </c>
    </row>
    <row r="2591" spans="1:7" x14ac:dyDescent="0.25">
      <c r="A2591" s="14" t="s">
        <v>2518</v>
      </c>
      <c r="B2591" s="14">
        <v>5</v>
      </c>
      <c r="C2591" s="15" t="s">
        <v>2519</v>
      </c>
      <c r="D2591" s="14" t="s">
        <v>1749</v>
      </c>
      <c r="E2591" s="14" t="s">
        <v>1746</v>
      </c>
      <c r="F2591" s="25">
        <v>74.680000000000007</v>
      </c>
      <c r="G2591" s="25">
        <v>59.74</v>
      </c>
    </row>
    <row r="2592" spans="1:7" x14ac:dyDescent="0.25">
      <c r="A2592" s="14" t="s">
        <v>2518</v>
      </c>
      <c r="B2592" s="14" t="s">
        <v>20</v>
      </c>
      <c r="C2592" s="15" t="s">
        <v>2521</v>
      </c>
      <c r="D2592" s="14" t="s">
        <v>1745</v>
      </c>
      <c r="E2592" s="14" t="s">
        <v>1747</v>
      </c>
      <c r="F2592" s="25">
        <v>0</v>
      </c>
      <c r="G2592" s="25">
        <v>0</v>
      </c>
    </row>
    <row r="2593" spans="1:7" x14ac:dyDescent="0.25">
      <c r="A2593" s="14" t="s">
        <v>2518</v>
      </c>
      <c r="B2593" s="14" t="s">
        <v>20</v>
      </c>
      <c r="C2593" s="15" t="s">
        <v>2521</v>
      </c>
      <c r="D2593" s="14" t="s">
        <v>1745</v>
      </c>
      <c r="E2593" s="14" t="s">
        <v>1746</v>
      </c>
      <c r="F2593" s="25">
        <v>0</v>
      </c>
      <c r="G2593" s="25">
        <v>0</v>
      </c>
    </row>
    <row r="2594" spans="1:7" x14ac:dyDescent="0.25">
      <c r="A2594" s="14" t="s">
        <v>966</v>
      </c>
      <c r="B2594" s="14" t="s">
        <v>24</v>
      </c>
      <c r="C2594" s="15" t="s">
        <v>968</v>
      </c>
      <c r="D2594" s="14" t="s">
        <v>1745</v>
      </c>
      <c r="E2594" s="14" t="s">
        <v>1746</v>
      </c>
      <c r="F2594" s="25">
        <v>2835</v>
      </c>
      <c r="G2594" s="25">
        <v>2268</v>
      </c>
    </row>
    <row r="2595" spans="1:7" x14ac:dyDescent="0.25">
      <c r="A2595" s="14" t="s">
        <v>966</v>
      </c>
      <c r="B2595" s="14">
        <v>5</v>
      </c>
      <c r="C2595" s="15" t="s">
        <v>2522</v>
      </c>
      <c r="D2595" s="14" t="s">
        <v>1749</v>
      </c>
      <c r="E2595" s="14" t="s">
        <v>1746</v>
      </c>
      <c r="F2595" s="25">
        <v>162</v>
      </c>
      <c r="G2595" s="25">
        <v>145.80000000000001</v>
      </c>
    </row>
    <row r="2596" spans="1:7" x14ac:dyDescent="0.25">
      <c r="A2596" s="14" t="s">
        <v>966</v>
      </c>
      <c r="B2596" s="14">
        <v>3</v>
      </c>
      <c r="C2596" s="15" t="s">
        <v>2523</v>
      </c>
      <c r="D2596" s="14" t="s">
        <v>1752</v>
      </c>
      <c r="E2596" s="14" t="s">
        <v>1746</v>
      </c>
      <c r="F2596" s="25">
        <v>1887.12</v>
      </c>
      <c r="G2596" s="25">
        <v>1509.48</v>
      </c>
    </row>
    <row r="2597" spans="1:7" x14ac:dyDescent="0.25">
      <c r="A2597" s="14" t="s">
        <v>966</v>
      </c>
      <c r="B2597" s="14">
        <v>5</v>
      </c>
      <c r="C2597" s="15" t="s">
        <v>2522</v>
      </c>
      <c r="D2597" s="14" t="s">
        <v>1752</v>
      </c>
      <c r="E2597" s="14" t="s">
        <v>1746</v>
      </c>
      <c r="F2597" s="25">
        <v>5103</v>
      </c>
      <c r="G2597" s="25">
        <v>4592.88</v>
      </c>
    </row>
    <row r="2598" spans="1:7" x14ac:dyDescent="0.25">
      <c r="A2598" s="14" t="s">
        <v>966</v>
      </c>
      <c r="B2598" s="14">
        <v>4</v>
      </c>
      <c r="C2598" s="15" t="s">
        <v>2524</v>
      </c>
      <c r="D2598" s="14" t="s">
        <v>1752</v>
      </c>
      <c r="E2598" s="14" t="s">
        <v>1747</v>
      </c>
      <c r="F2598" s="25">
        <v>2396.16</v>
      </c>
      <c r="G2598" s="25">
        <v>1916.94</v>
      </c>
    </row>
    <row r="2599" spans="1:7" x14ac:dyDescent="0.25">
      <c r="A2599" s="14" t="s">
        <v>966</v>
      </c>
      <c r="B2599" s="14">
        <v>5</v>
      </c>
      <c r="C2599" s="15" t="s">
        <v>2522</v>
      </c>
      <c r="D2599" s="14" t="s">
        <v>1745</v>
      </c>
      <c r="E2599" s="14" t="s">
        <v>1746</v>
      </c>
      <c r="F2599" s="25">
        <v>1701</v>
      </c>
      <c r="G2599" s="25">
        <v>1530.96</v>
      </c>
    </row>
    <row r="2600" spans="1:7" x14ac:dyDescent="0.25">
      <c r="A2600" s="14" t="s">
        <v>966</v>
      </c>
      <c r="B2600" s="14" t="s">
        <v>24</v>
      </c>
      <c r="C2600" s="15" t="s">
        <v>968</v>
      </c>
      <c r="D2600" s="14" t="s">
        <v>1749</v>
      </c>
      <c r="E2600" s="14" t="s">
        <v>1746</v>
      </c>
      <c r="F2600" s="25">
        <v>270</v>
      </c>
      <c r="G2600" s="25">
        <v>216</v>
      </c>
    </row>
    <row r="2601" spans="1:7" x14ac:dyDescent="0.25">
      <c r="A2601" s="14" t="s">
        <v>966</v>
      </c>
      <c r="B2601" s="14">
        <v>5</v>
      </c>
      <c r="C2601" s="15" t="s">
        <v>2522</v>
      </c>
      <c r="D2601" s="14" t="s">
        <v>1752</v>
      </c>
      <c r="E2601" s="14" t="s">
        <v>1753</v>
      </c>
      <c r="F2601" s="25">
        <v>4860</v>
      </c>
      <c r="G2601" s="25">
        <v>4374</v>
      </c>
    </row>
    <row r="2602" spans="1:7" x14ac:dyDescent="0.25">
      <c r="A2602" s="14" t="s">
        <v>966</v>
      </c>
      <c r="B2602" s="14">
        <v>3</v>
      </c>
      <c r="C2602" s="15" t="s">
        <v>2523</v>
      </c>
      <c r="D2602" s="14" t="s">
        <v>1745</v>
      </c>
      <c r="E2602" s="14" t="s">
        <v>1746</v>
      </c>
      <c r="F2602" s="25">
        <v>629.04</v>
      </c>
      <c r="G2602" s="25">
        <v>503.16</v>
      </c>
    </row>
    <row r="2603" spans="1:7" x14ac:dyDescent="0.25">
      <c r="A2603" s="14" t="s">
        <v>966</v>
      </c>
      <c r="B2603" s="14">
        <v>4</v>
      </c>
      <c r="C2603" s="15" t="s">
        <v>2524</v>
      </c>
      <c r="D2603" s="14" t="s">
        <v>1745</v>
      </c>
      <c r="E2603" s="14" t="s">
        <v>1746</v>
      </c>
      <c r="F2603" s="25">
        <v>838.68</v>
      </c>
      <c r="G2603" s="25">
        <v>670.92</v>
      </c>
    </row>
    <row r="2604" spans="1:7" x14ac:dyDescent="0.25">
      <c r="A2604" s="14" t="s">
        <v>966</v>
      </c>
      <c r="B2604" s="14">
        <v>2</v>
      </c>
      <c r="C2604" s="15" t="s">
        <v>965</v>
      </c>
      <c r="D2604" s="14" t="s">
        <v>1745</v>
      </c>
      <c r="E2604" s="14" t="s">
        <v>1747</v>
      </c>
      <c r="F2604" s="25">
        <v>4020</v>
      </c>
      <c r="G2604" s="25">
        <v>3216</v>
      </c>
    </row>
    <row r="2605" spans="1:7" x14ac:dyDescent="0.25">
      <c r="A2605" s="14" t="s">
        <v>966</v>
      </c>
      <c r="B2605" s="14">
        <v>3</v>
      </c>
      <c r="C2605" s="15" t="s">
        <v>2523</v>
      </c>
      <c r="D2605" s="14" t="s">
        <v>1745</v>
      </c>
      <c r="E2605" s="14" t="s">
        <v>1747</v>
      </c>
      <c r="F2605" s="25">
        <v>599.04</v>
      </c>
      <c r="G2605" s="25">
        <v>479.23</v>
      </c>
    </row>
    <row r="2606" spans="1:7" x14ac:dyDescent="0.25">
      <c r="A2606" s="14" t="s">
        <v>966</v>
      </c>
      <c r="B2606" s="14">
        <v>3</v>
      </c>
      <c r="C2606" s="15" t="s">
        <v>2523</v>
      </c>
      <c r="D2606" s="14" t="s">
        <v>1752</v>
      </c>
      <c r="E2606" s="14" t="s">
        <v>1753</v>
      </c>
      <c r="F2606" s="25">
        <v>1797.12</v>
      </c>
      <c r="G2606" s="25">
        <v>1437.7</v>
      </c>
    </row>
    <row r="2607" spans="1:7" x14ac:dyDescent="0.25">
      <c r="A2607" s="14" t="s">
        <v>966</v>
      </c>
      <c r="B2607" s="14">
        <v>4</v>
      </c>
      <c r="C2607" s="15" t="s">
        <v>2524</v>
      </c>
      <c r="D2607" s="14" t="s">
        <v>1752</v>
      </c>
      <c r="E2607" s="14" t="s">
        <v>1746</v>
      </c>
      <c r="F2607" s="25">
        <v>2516.04</v>
      </c>
      <c r="G2607" s="25">
        <v>2012.76</v>
      </c>
    </row>
    <row r="2608" spans="1:7" x14ac:dyDescent="0.25">
      <c r="A2608" s="14" t="s">
        <v>966</v>
      </c>
      <c r="B2608" s="14">
        <v>4</v>
      </c>
      <c r="C2608" s="15" t="s">
        <v>2524</v>
      </c>
      <c r="D2608" s="14" t="s">
        <v>1752</v>
      </c>
      <c r="E2608" s="14" t="s">
        <v>1753</v>
      </c>
      <c r="F2608" s="25">
        <v>2396.16</v>
      </c>
      <c r="G2608" s="25">
        <v>1916.93</v>
      </c>
    </row>
    <row r="2609" spans="1:7" x14ac:dyDescent="0.25">
      <c r="A2609" s="14" t="s">
        <v>966</v>
      </c>
      <c r="B2609" s="14">
        <v>5</v>
      </c>
      <c r="C2609" s="15" t="s">
        <v>2522</v>
      </c>
      <c r="D2609" s="14" t="s">
        <v>1745</v>
      </c>
      <c r="E2609" s="14" t="s">
        <v>1747</v>
      </c>
      <c r="F2609" s="25">
        <v>1620</v>
      </c>
      <c r="G2609" s="25">
        <v>1458</v>
      </c>
    </row>
    <row r="2610" spans="1:7" x14ac:dyDescent="0.25">
      <c r="A2610" s="14" t="s">
        <v>966</v>
      </c>
      <c r="B2610" s="14">
        <v>3</v>
      </c>
      <c r="C2610" s="15" t="s">
        <v>2523</v>
      </c>
      <c r="D2610" s="14" t="s">
        <v>1749</v>
      </c>
      <c r="E2610" s="14" t="s">
        <v>1746</v>
      </c>
      <c r="F2610" s="25">
        <v>59.9</v>
      </c>
      <c r="G2610" s="25">
        <v>47.92</v>
      </c>
    </row>
    <row r="2611" spans="1:7" x14ac:dyDescent="0.25">
      <c r="A2611" s="14" t="s">
        <v>966</v>
      </c>
      <c r="B2611" s="14">
        <v>5</v>
      </c>
      <c r="C2611" s="15" t="s">
        <v>2522</v>
      </c>
      <c r="D2611" s="14" t="s">
        <v>1752</v>
      </c>
      <c r="E2611" s="14" t="s">
        <v>1747</v>
      </c>
      <c r="F2611" s="25">
        <v>4860</v>
      </c>
      <c r="G2611" s="25">
        <v>4374</v>
      </c>
    </row>
    <row r="2612" spans="1:7" x14ac:dyDescent="0.25">
      <c r="A2612" s="14" t="s">
        <v>966</v>
      </c>
      <c r="B2612" s="14" t="s">
        <v>24</v>
      </c>
      <c r="C2612" s="15" t="s">
        <v>968</v>
      </c>
      <c r="D2612" s="14" t="s">
        <v>1745</v>
      </c>
      <c r="E2612" s="14" t="s">
        <v>1747</v>
      </c>
      <c r="F2612" s="25">
        <v>2700</v>
      </c>
      <c r="G2612" s="25">
        <v>2160</v>
      </c>
    </row>
    <row r="2613" spans="1:7" x14ac:dyDescent="0.25">
      <c r="A2613" s="14" t="s">
        <v>966</v>
      </c>
      <c r="B2613" s="14">
        <v>2</v>
      </c>
      <c r="C2613" s="15" t="s">
        <v>965</v>
      </c>
      <c r="D2613" s="14" t="s">
        <v>1749</v>
      </c>
      <c r="E2613" s="14" t="s">
        <v>1746</v>
      </c>
      <c r="F2613" s="25">
        <v>402</v>
      </c>
      <c r="G2613" s="25">
        <v>321.60000000000002</v>
      </c>
    </row>
    <row r="2614" spans="1:7" x14ac:dyDescent="0.25">
      <c r="A2614" s="14" t="s">
        <v>966</v>
      </c>
      <c r="B2614" s="14">
        <v>3</v>
      </c>
      <c r="C2614" s="15" t="s">
        <v>2523</v>
      </c>
      <c r="D2614" s="14" t="s">
        <v>1752</v>
      </c>
      <c r="E2614" s="14" t="s">
        <v>1747</v>
      </c>
      <c r="F2614" s="25">
        <v>1797.12</v>
      </c>
      <c r="G2614" s="25">
        <v>1437.69</v>
      </c>
    </row>
    <row r="2615" spans="1:7" x14ac:dyDescent="0.25">
      <c r="A2615" s="14" t="s">
        <v>966</v>
      </c>
      <c r="B2615" s="14">
        <v>4</v>
      </c>
      <c r="C2615" s="15" t="s">
        <v>2524</v>
      </c>
      <c r="D2615" s="14" t="s">
        <v>1749</v>
      </c>
      <c r="E2615" s="14" t="s">
        <v>1746</v>
      </c>
      <c r="F2615" s="25">
        <v>79.87</v>
      </c>
      <c r="G2615" s="25">
        <v>63.9</v>
      </c>
    </row>
    <row r="2616" spans="1:7" x14ac:dyDescent="0.25">
      <c r="A2616" s="14" t="s">
        <v>966</v>
      </c>
      <c r="B2616" s="14">
        <v>2</v>
      </c>
      <c r="C2616" s="15" t="s">
        <v>965</v>
      </c>
      <c r="D2616" s="14" t="s">
        <v>1745</v>
      </c>
      <c r="E2616" s="14" t="s">
        <v>1746</v>
      </c>
      <c r="F2616" s="25">
        <v>4221</v>
      </c>
      <c r="G2616" s="25">
        <v>3376.8</v>
      </c>
    </row>
    <row r="2617" spans="1:7" x14ac:dyDescent="0.25">
      <c r="A2617" s="14" t="s">
        <v>966</v>
      </c>
      <c r="B2617" s="14">
        <v>4</v>
      </c>
      <c r="C2617" s="15" t="s">
        <v>2524</v>
      </c>
      <c r="D2617" s="14" t="s">
        <v>1745</v>
      </c>
      <c r="E2617" s="14" t="s">
        <v>1747</v>
      </c>
      <c r="F2617" s="25">
        <v>798.72</v>
      </c>
      <c r="G2617" s="25">
        <v>638.98</v>
      </c>
    </row>
    <row r="2618" spans="1:7" x14ac:dyDescent="0.25">
      <c r="A2618" s="14" t="s">
        <v>973</v>
      </c>
      <c r="B2618" s="14">
        <v>1</v>
      </c>
      <c r="C2618" s="15" t="s">
        <v>972</v>
      </c>
      <c r="D2618" s="14" t="s">
        <v>1749</v>
      </c>
      <c r="E2618" s="14" t="s">
        <v>1746</v>
      </c>
      <c r="F2618" s="25">
        <v>234</v>
      </c>
      <c r="G2618" s="25">
        <v>187.2</v>
      </c>
    </row>
    <row r="2619" spans="1:7" x14ac:dyDescent="0.25">
      <c r="A2619" s="14" t="s">
        <v>973</v>
      </c>
      <c r="B2619" s="14">
        <v>1</v>
      </c>
      <c r="C2619" s="15" t="s">
        <v>972</v>
      </c>
      <c r="D2619" s="14" t="s">
        <v>1745</v>
      </c>
      <c r="E2619" s="14" t="s">
        <v>1746</v>
      </c>
      <c r="F2619" s="25">
        <v>2457</v>
      </c>
      <c r="G2619" s="25">
        <v>1965.6</v>
      </c>
    </row>
    <row r="2620" spans="1:7" x14ac:dyDescent="0.25">
      <c r="A2620" s="14" t="s">
        <v>973</v>
      </c>
      <c r="B2620" s="14">
        <v>1</v>
      </c>
      <c r="C2620" s="15" t="s">
        <v>972</v>
      </c>
      <c r="D2620" s="14" t="s">
        <v>1745</v>
      </c>
      <c r="E2620" s="14" t="s">
        <v>1747</v>
      </c>
      <c r="F2620" s="25">
        <v>2340</v>
      </c>
      <c r="G2620" s="25">
        <v>1872</v>
      </c>
    </row>
    <row r="2621" spans="1:7" x14ac:dyDescent="0.25">
      <c r="A2621" s="14" t="s">
        <v>976</v>
      </c>
      <c r="B2621" s="14">
        <v>6</v>
      </c>
      <c r="C2621" s="15" t="s">
        <v>2525</v>
      </c>
      <c r="D2621" s="14" t="s">
        <v>1749</v>
      </c>
      <c r="E2621" s="14" t="s">
        <v>1746</v>
      </c>
      <c r="F2621" s="25">
        <v>150</v>
      </c>
      <c r="G2621" s="25">
        <v>120</v>
      </c>
    </row>
    <row r="2622" spans="1:7" x14ac:dyDescent="0.25">
      <c r="A2622" s="14" t="s">
        <v>976</v>
      </c>
      <c r="B2622" s="14">
        <v>4</v>
      </c>
      <c r="C2622" s="15" t="s">
        <v>2526</v>
      </c>
      <c r="D2622" s="14" t="s">
        <v>1752</v>
      </c>
      <c r="E2622" s="14" t="s">
        <v>1746</v>
      </c>
      <c r="F2622" s="25">
        <v>12663</v>
      </c>
      <c r="G2622" s="25">
        <v>11396.88</v>
      </c>
    </row>
    <row r="2623" spans="1:7" x14ac:dyDescent="0.25">
      <c r="A2623" s="14" t="s">
        <v>976</v>
      </c>
      <c r="B2623" s="14">
        <v>6</v>
      </c>
      <c r="C2623" s="15" t="s">
        <v>2525</v>
      </c>
      <c r="D2623" s="14" t="s">
        <v>1752</v>
      </c>
      <c r="E2623" s="14" t="s">
        <v>1746</v>
      </c>
      <c r="F2623" s="25">
        <v>4725</v>
      </c>
      <c r="G2623" s="25">
        <v>3780</v>
      </c>
    </row>
    <row r="2624" spans="1:7" x14ac:dyDescent="0.25">
      <c r="A2624" s="14" t="s">
        <v>976</v>
      </c>
      <c r="B2624" s="14">
        <v>6</v>
      </c>
      <c r="C2624" s="15" t="s">
        <v>2525</v>
      </c>
      <c r="D2624" s="14" t="s">
        <v>1745</v>
      </c>
      <c r="E2624" s="14" t="s">
        <v>1747</v>
      </c>
      <c r="F2624" s="25">
        <v>1500</v>
      </c>
      <c r="G2624" s="25">
        <v>1200</v>
      </c>
    </row>
    <row r="2625" spans="1:7" x14ac:dyDescent="0.25">
      <c r="A2625" s="14" t="s">
        <v>976</v>
      </c>
      <c r="B2625" s="14" t="s">
        <v>24</v>
      </c>
      <c r="C2625" s="15" t="s">
        <v>978</v>
      </c>
      <c r="D2625" s="14" t="s">
        <v>1745</v>
      </c>
      <c r="E2625" s="14" t="s">
        <v>1747</v>
      </c>
      <c r="F2625" s="25">
        <v>6780</v>
      </c>
      <c r="G2625" s="25">
        <v>5424</v>
      </c>
    </row>
    <row r="2626" spans="1:7" x14ac:dyDescent="0.25">
      <c r="A2626" s="14" t="s">
        <v>976</v>
      </c>
      <c r="B2626" s="14">
        <v>4</v>
      </c>
      <c r="C2626" s="15" t="s">
        <v>2526</v>
      </c>
      <c r="D2626" s="14" t="s">
        <v>1745</v>
      </c>
      <c r="E2626" s="14" t="s">
        <v>1747</v>
      </c>
      <c r="F2626" s="25">
        <v>4020</v>
      </c>
      <c r="G2626" s="25">
        <v>3618</v>
      </c>
    </row>
    <row r="2627" spans="1:7" x14ac:dyDescent="0.25">
      <c r="A2627" s="14" t="s">
        <v>976</v>
      </c>
      <c r="B2627" s="14">
        <v>6</v>
      </c>
      <c r="C2627" s="15" t="s">
        <v>2525</v>
      </c>
      <c r="D2627" s="14" t="s">
        <v>1752</v>
      </c>
      <c r="E2627" s="14" t="s">
        <v>1753</v>
      </c>
      <c r="F2627" s="25">
        <v>4500</v>
      </c>
      <c r="G2627" s="25">
        <v>3600</v>
      </c>
    </row>
    <row r="2628" spans="1:7" x14ac:dyDescent="0.25">
      <c r="A2628" s="14" t="s">
        <v>976</v>
      </c>
      <c r="B2628" s="14">
        <v>3</v>
      </c>
      <c r="C2628" s="15" t="s">
        <v>2527</v>
      </c>
      <c r="D2628" s="14" t="s">
        <v>1752</v>
      </c>
      <c r="E2628" s="14" t="s">
        <v>1746</v>
      </c>
      <c r="F2628" s="25">
        <v>6237</v>
      </c>
      <c r="G2628" s="25">
        <v>4989.6000000000004</v>
      </c>
    </row>
    <row r="2629" spans="1:7" x14ac:dyDescent="0.25">
      <c r="A2629" s="14" t="s">
        <v>976</v>
      </c>
      <c r="B2629" s="14">
        <v>4</v>
      </c>
      <c r="C2629" s="15" t="s">
        <v>2526</v>
      </c>
      <c r="D2629" s="14" t="s">
        <v>1749</v>
      </c>
      <c r="E2629" s="14" t="s">
        <v>1746</v>
      </c>
      <c r="F2629" s="25">
        <v>402</v>
      </c>
      <c r="G2629" s="25">
        <v>361.8</v>
      </c>
    </row>
    <row r="2630" spans="1:7" x14ac:dyDescent="0.25">
      <c r="A2630" s="14" t="s">
        <v>976</v>
      </c>
      <c r="B2630" s="14">
        <v>4</v>
      </c>
      <c r="C2630" s="15" t="s">
        <v>2526</v>
      </c>
      <c r="D2630" s="14" t="s">
        <v>1745</v>
      </c>
      <c r="E2630" s="14" t="s">
        <v>1746</v>
      </c>
      <c r="F2630" s="25">
        <v>4221</v>
      </c>
      <c r="G2630" s="25">
        <v>3798.96</v>
      </c>
    </row>
    <row r="2631" spans="1:7" x14ac:dyDescent="0.25">
      <c r="A2631" s="14" t="s">
        <v>976</v>
      </c>
      <c r="B2631" s="14">
        <v>3</v>
      </c>
      <c r="C2631" s="15" t="s">
        <v>2527</v>
      </c>
      <c r="D2631" s="14" t="s">
        <v>1745</v>
      </c>
      <c r="E2631" s="14" t="s">
        <v>1746</v>
      </c>
      <c r="F2631" s="25">
        <v>2079</v>
      </c>
      <c r="G2631" s="25">
        <v>1663.2</v>
      </c>
    </row>
    <row r="2632" spans="1:7" x14ac:dyDescent="0.25">
      <c r="A2632" s="14" t="s">
        <v>976</v>
      </c>
      <c r="B2632" s="14">
        <v>3</v>
      </c>
      <c r="C2632" s="15" t="s">
        <v>2527</v>
      </c>
      <c r="D2632" s="14" t="s">
        <v>1749</v>
      </c>
      <c r="E2632" s="14" t="s">
        <v>1746</v>
      </c>
      <c r="F2632" s="25">
        <v>198</v>
      </c>
      <c r="G2632" s="25">
        <v>158.4</v>
      </c>
    </row>
    <row r="2633" spans="1:7" x14ac:dyDescent="0.25">
      <c r="A2633" s="14" t="s">
        <v>976</v>
      </c>
      <c r="B2633" s="14">
        <v>6</v>
      </c>
      <c r="C2633" s="15" t="s">
        <v>2525</v>
      </c>
      <c r="D2633" s="14" t="s">
        <v>1745</v>
      </c>
      <c r="E2633" s="14" t="s">
        <v>1746</v>
      </c>
      <c r="F2633" s="25">
        <v>1575</v>
      </c>
      <c r="G2633" s="25">
        <v>1260</v>
      </c>
    </row>
    <row r="2634" spans="1:7" x14ac:dyDescent="0.25">
      <c r="A2634" s="14" t="s">
        <v>976</v>
      </c>
      <c r="B2634" s="14">
        <v>3</v>
      </c>
      <c r="C2634" s="15" t="s">
        <v>2527</v>
      </c>
      <c r="D2634" s="14" t="s">
        <v>1752</v>
      </c>
      <c r="E2634" s="14" t="s">
        <v>1747</v>
      </c>
      <c r="F2634" s="25">
        <v>5940</v>
      </c>
      <c r="G2634" s="25">
        <v>4752</v>
      </c>
    </row>
    <row r="2635" spans="1:7" x14ac:dyDescent="0.25">
      <c r="A2635" s="14" t="s">
        <v>976</v>
      </c>
      <c r="B2635" s="14" t="s">
        <v>24</v>
      </c>
      <c r="C2635" s="15" t="s">
        <v>978</v>
      </c>
      <c r="D2635" s="14" t="s">
        <v>1745</v>
      </c>
      <c r="E2635" s="14" t="s">
        <v>1746</v>
      </c>
      <c r="F2635" s="25">
        <v>7119</v>
      </c>
      <c r="G2635" s="25">
        <v>5695.2</v>
      </c>
    </row>
    <row r="2636" spans="1:7" x14ac:dyDescent="0.25">
      <c r="A2636" s="14" t="s">
        <v>976</v>
      </c>
      <c r="B2636" s="14">
        <v>6</v>
      </c>
      <c r="C2636" s="15" t="s">
        <v>2525</v>
      </c>
      <c r="D2636" s="14" t="s">
        <v>1752</v>
      </c>
      <c r="E2636" s="14" t="s">
        <v>1747</v>
      </c>
      <c r="F2636" s="25">
        <v>4500</v>
      </c>
      <c r="G2636" s="25">
        <v>3600</v>
      </c>
    </row>
    <row r="2637" spans="1:7" x14ac:dyDescent="0.25">
      <c r="A2637" s="14" t="s">
        <v>976</v>
      </c>
      <c r="B2637" s="14">
        <v>1</v>
      </c>
      <c r="C2637" s="15" t="s">
        <v>975</v>
      </c>
      <c r="D2637" s="14" t="s">
        <v>1749</v>
      </c>
      <c r="E2637" s="14" t="s">
        <v>1746</v>
      </c>
      <c r="F2637" s="25">
        <v>996</v>
      </c>
      <c r="G2637" s="25">
        <v>796.8</v>
      </c>
    </row>
    <row r="2638" spans="1:7" x14ac:dyDescent="0.25">
      <c r="A2638" s="14" t="s">
        <v>976</v>
      </c>
      <c r="B2638" s="14">
        <v>1</v>
      </c>
      <c r="C2638" s="15" t="s">
        <v>975</v>
      </c>
      <c r="D2638" s="14" t="s">
        <v>1745</v>
      </c>
      <c r="E2638" s="14" t="s">
        <v>1746</v>
      </c>
      <c r="F2638" s="25">
        <v>10458</v>
      </c>
      <c r="G2638" s="25">
        <v>8366.4</v>
      </c>
    </row>
    <row r="2639" spans="1:7" x14ac:dyDescent="0.25">
      <c r="A2639" s="14" t="s">
        <v>976</v>
      </c>
      <c r="B2639" s="14">
        <v>4</v>
      </c>
      <c r="C2639" s="15" t="s">
        <v>2526</v>
      </c>
      <c r="D2639" s="14" t="s">
        <v>1752</v>
      </c>
      <c r="E2639" s="14" t="s">
        <v>1753</v>
      </c>
      <c r="F2639" s="25">
        <v>12060</v>
      </c>
      <c r="G2639" s="25">
        <v>10854</v>
      </c>
    </row>
    <row r="2640" spans="1:7" x14ac:dyDescent="0.25">
      <c r="A2640" s="14" t="s">
        <v>976</v>
      </c>
      <c r="B2640" s="14" t="s">
        <v>24</v>
      </c>
      <c r="C2640" s="15" t="s">
        <v>978</v>
      </c>
      <c r="D2640" s="14" t="s">
        <v>1749</v>
      </c>
      <c r="E2640" s="14" t="s">
        <v>1746</v>
      </c>
      <c r="F2640" s="25">
        <v>678</v>
      </c>
      <c r="G2640" s="25">
        <v>542.4</v>
      </c>
    </row>
    <row r="2641" spans="1:7" x14ac:dyDescent="0.25">
      <c r="A2641" s="14" t="s">
        <v>976</v>
      </c>
      <c r="B2641" s="14">
        <v>3</v>
      </c>
      <c r="C2641" s="15" t="s">
        <v>2527</v>
      </c>
      <c r="D2641" s="14" t="s">
        <v>1752</v>
      </c>
      <c r="E2641" s="14" t="s">
        <v>1753</v>
      </c>
      <c r="F2641" s="25">
        <v>5940</v>
      </c>
      <c r="G2641" s="25">
        <v>4752</v>
      </c>
    </row>
    <row r="2642" spans="1:7" x14ac:dyDescent="0.25">
      <c r="A2642" s="14" t="s">
        <v>976</v>
      </c>
      <c r="B2642" s="14">
        <v>1</v>
      </c>
      <c r="C2642" s="15" t="s">
        <v>975</v>
      </c>
      <c r="D2642" s="14" t="s">
        <v>1745</v>
      </c>
      <c r="E2642" s="14" t="s">
        <v>1747</v>
      </c>
      <c r="F2642" s="25">
        <v>9960</v>
      </c>
      <c r="G2642" s="25">
        <v>7968</v>
      </c>
    </row>
    <row r="2643" spans="1:7" x14ac:dyDescent="0.25">
      <c r="A2643" s="14" t="s">
        <v>976</v>
      </c>
      <c r="B2643" s="14">
        <v>3</v>
      </c>
      <c r="C2643" s="15" t="s">
        <v>2527</v>
      </c>
      <c r="D2643" s="14" t="s">
        <v>1745</v>
      </c>
      <c r="E2643" s="14" t="s">
        <v>1747</v>
      </c>
      <c r="F2643" s="25">
        <v>1980</v>
      </c>
      <c r="G2643" s="25">
        <v>1584</v>
      </c>
    </row>
    <row r="2644" spans="1:7" x14ac:dyDescent="0.25">
      <c r="A2644" s="14" t="s">
        <v>976</v>
      </c>
      <c r="B2644" s="14">
        <v>4</v>
      </c>
      <c r="C2644" s="15" t="s">
        <v>2526</v>
      </c>
      <c r="D2644" s="14" t="s">
        <v>1752</v>
      </c>
      <c r="E2644" s="14" t="s">
        <v>1747</v>
      </c>
      <c r="F2644" s="25">
        <v>12060</v>
      </c>
      <c r="G2644" s="25">
        <v>10854</v>
      </c>
    </row>
    <row r="2645" spans="1:7" x14ac:dyDescent="0.25">
      <c r="A2645" s="14" t="s">
        <v>591</v>
      </c>
      <c r="B2645" s="14">
        <v>2</v>
      </c>
      <c r="C2645" s="15" t="s">
        <v>590</v>
      </c>
      <c r="D2645" s="14" t="s">
        <v>1749</v>
      </c>
      <c r="E2645" s="14" t="s">
        <v>1746</v>
      </c>
      <c r="F2645" s="25">
        <v>49914</v>
      </c>
      <c r="G2645" s="25">
        <v>39931.199999999997</v>
      </c>
    </row>
    <row r="2646" spans="1:7" x14ac:dyDescent="0.25">
      <c r="A2646" s="14" t="s">
        <v>591</v>
      </c>
      <c r="B2646" s="14" t="s">
        <v>29</v>
      </c>
      <c r="C2646" s="15" t="s">
        <v>2528</v>
      </c>
      <c r="D2646" s="14" t="s">
        <v>1745</v>
      </c>
      <c r="E2646" s="14" t="s">
        <v>1746</v>
      </c>
      <c r="F2646" s="25">
        <v>524097</v>
      </c>
      <c r="G2646" s="25">
        <v>419277.6</v>
      </c>
    </row>
    <row r="2647" spans="1:7" x14ac:dyDescent="0.25">
      <c r="A2647" s="14" t="s">
        <v>591</v>
      </c>
      <c r="B2647" s="14" t="s">
        <v>29</v>
      </c>
      <c r="C2647" s="15" t="s">
        <v>2528</v>
      </c>
      <c r="D2647" s="14" t="s">
        <v>1745</v>
      </c>
      <c r="E2647" s="14" t="s">
        <v>1747</v>
      </c>
      <c r="F2647" s="25">
        <v>499140</v>
      </c>
      <c r="G2647" s="25">
        <v>399312</v>
      </c>
    </row>
    <row r="2648" spans="1:7" x14ac:dyDescent="0.25">
      <c r="A2648" s="14" t="s">
        <v>591</v>
      </c>
      <c r="B2648" s="14" t="s">
        <v>29</v>
      </c>
      <c r="C2648" s="15" t="s">
        <v>2528</v>
      </c>
      <c r="D2648" s="14" t="s">
        <v>1749</v>
      </c>
      <c r="E2648" s="14" t="s">
        <v>1746</v>
      </c>
      <c r="F2648" s="25">
        <v>49914</v>
      </c>
      <c r="G2648" s="25">
        <v>39931.199999999997</v>
      </c>
    </row>
    <row r="2649" spans="1:7" x14ac:dyDescent="0.25">
      <c r="A2649" s="14" t="s">
        <v>591</v>
      </c>
      <c r="B2649" s="14">
        <v>1</v>
      </c>
      <c r="C2649" s="15" t="s">
        <v>989</v>
      </c>
      <c r="D2649" s="14" t="s">
        <v>1749</v>
      </c>
      <c r="E2649" s="14" t="s">
        <v>1746</v>
      </c>
      <c r="F2649" s="25">
        <v>1200</v>
      </c>
      <c r="G2649" s="25">
        <v>960</v>
      </c>
    </row>
    <row r="2650" spans="1:7" x14ac:dyDescent="0.25">
      <c r="A2650" s="14" t="s">
        <v>591</v>
      </c>
      <c r="B2650" s="14" t="s">
        <v>122</v>
      </c>
      <c r="C2650" s="15" t="s">
        <v>2529</v>
      </c>
      <c r="D2650" s="14" t="s">
        <v>1752</v>
      </c>
      <c r="E2650" s="14" t="s">
        <v>1753</v>
      </c>
      <c r="F2650" s="25">
        <v>14400</v>
      </c>
      <c r="G2650" s="25">
        <v>12960</v>
      </c>
    </row>
    <row r="2651" spans="1:7" x14ac:dyDescent="0.25">
      <c r="A2651" s="14" t="s">
        <v>591</v>
      </c>
      <c r="B2651" s="14" t="s">
        <v>307</v>
      </c>
      <c r="C2651" s="15" t="s">
        <v>2530</v>
      </c>
      <c r="D2651" s="14" t="s">
        <v>1752</v>
      </c>
      <c r="E2651" s="14" t="s">
        <v>1753</v>
      </c>
      <c r="F2651" s="25">
        <v>36000</v>
      </c>
      <c r="G2651" s="25">
        <v>28800</v>
      </c>
    </row>
    <row r="2652" spans="1:7" x14ac:dyDescent="0.25">
      <c r="A2652" s="14" t="s">
        <v>591</v>
      </c>
      <c r="B2652" s="14">
        <v>1</v>
      </c>
      <c r="C2652" s="15" t="s">
        <v>989</v>
      </c>
      <c r="D2652" s="14" t="s">
        <v>1745</v>
      </c>
      <c r="E2652" s="14" t="s">
        <v>1746</v>
      </c>
      <c r="F2652" s="25">
        <v>12600</v>
      </c>
      <c r="G2652" s="25">
        <v>10080</v>
      </c>
    </row>
    <row r="2653" spans="1:7" x14ac:dyDescent="0.25">
      <c r="A2653" s="14" t="s">
        <v>591</v>
      </c>
      <c r="B2653" s="14" t="s">
        <v>122</v>
      </c>
      <c r="C2653" s="15" t="s">
        <v>2529</v>
      </c>
      <c r="D2653" s="14" t="s">
        <v>1745</v>
      </c>
      <c r="E2653" s="14" t="s">
        <v>1746</v>
      </c>
      <c r="F2653" s="25">
        <v>5040</v>
      </c>
      <c r="G2653" s="25">
        <v>4536</v>
      </c>
    </row>
    <row r="2654" spans="1:7" x14ac:dyDescent="0.25">
      <c r="A2654" s="14" t="s">
        <v>591</v>
      </c>
      <c r="B2654" s="14">
        <v>1</v>
      </c>
      <c r="C2654" s="15" t="s">
        <v>989</v>
      </c>
      <c r="D2654" s="14" t="s">
        <v>1745</v>
      </c>
      <c r="E2654" s="14" t="s">
        <v>1747</v>
      </c>
      <c r="F2654" s="25">
        <v>12000</v>
      </c>
      <c r="G2654" s="25">
        <v>9600</v>
      </c>
    </row>
    <row r="2655" spans="1:7" x14ac:dyDescent="0.25">
      <c r="A2655" s="14" t="s">
        <v>591</v>
      </c>
      <c r="B2655" s="14" t="s">
        <v>122</v>
      </c>
      <c r="C2655" s="15" t="s">
        <v>2529</v>
      </c>
      <c r="D2655" s="14" t="s">
        <v>1749</v>
      </c>
      <c r="E2655" s="14" t="s">
        <v>1746</v>
      </c>
      <c r="F2655" s="25">
        <v>480</v>
      </c>
      <c r="G2655" s="25">
        <v>432</v>
      </c>
    </row>
    <row r="2656" spans="1:7" x14ac:dyDescent="0.25">
      <c r="A2656" s="14" t="s">
        <v>591</v>
      </c>
      <c r="B2656" s="14" t="s">
        <v>122</v>
      </c>
      <c r="C2656" s="15" t="s">
        <v>2529</v>
      </c>
      <c r="D2656" s="14" t="s">
        <v>1745</v>
      </c>
      <c r="E2656" s="14" t="s">
        <v>1747</v>
      </c>
      <c r="F2656" s="25">
        <v>4800</v>
      </c>
      <c r="G2656" s="25">
        <v>4320</v>
      </c>
    </row>
    <row r="2657" spans="1:7" x14ac:dyDescent="0.25">
      <c r="A2657" s="14" t="s">
        <v>591</v>
      </c>
      <c r="B2657" s="14">
        <v>2</v>
      </c>
      <c r="C2657" s="15" t="s">
        <v>590</v>
      </c>
      <c r="D2657" s="14" t="s">
        <v>1745</v>
      </c>
      <c r="E2657" s="14" t="s">
        <v>1746</v>
      </c>
      <c r="F2657" s="25">
        <v>524097</v>
      </c>
      <c r="G2657" s="25">
        <v>419277.6</v>
      </c>
    </row>
    <row r="2658" spans="1:7" x14ac:dyDescent="0.25">
      <c r="A2658" s="14" t="s">
        <v>591</v>
      </c>
      <c r="B2658" s="14" t="s">
        <v>307</v>
      </c>
      <c r="C2658" s="15" t="s">
        <v>2530</v>
      </c>
      <c r="D2658" s="14" t="s">
        <v>1752</v>
      </c>
      <c r="E2658" s="14" t="s">
        <v>1747</v>
      </c>
      <c r="F2658" s="25">
        <v>36000</v>
      </c>
      <c r="G2658" s="25">
        <v>28800</v>
      </c>
    </row>
    <row r="2659" spans="1:7" x14ac:dyDescent="0.25">
      <c r="A2659" s="14" t="s">
        <v>591</v>
      </c>
      <c r="B2659" s="14">
        <v>2</v>
      </c>
      <c r="C2659" s="15" t="s">
        <v>590</v>
      </c>
      <c r="D2659" s="14" t="s">
        <v>1745</v>
      </c>
      <c r="E2659" s="14" t="s">
        <v>1747</v>
      </c>
      <c r="F2659" s="25">
        <v>499140</v>
      </c>
      <c r="G2659" s="25">
        <v>399312</v>
      </c>
    </row>
    <row r="2660" spans="1:7" x14ac:dyDescent="0.25">
      <c r="A2660" s="14" t="s">
        <v>278</v>
      </c>
      <c r="B2660" s="14">
        <v>5</v>
      </c>
      <c r="C2660" s="15" t="s">
        <v>2531</v>
      </c>
      <c r="D2660" s="14" t="s">
        <v>1749</v>
      </c>
      <c r="E2660" s="14" t="s">
        <v>1746</v>
      </c>
      <c r="F2660" s="25">
        <v>306</v>
      </c>
      <c r="G2660" s="25">
        <v>244.8</v>
      </c>
    </row>
    <row r="2661" spans="1:7" x14ac:dyDescent="0.25">
      <c r="A2661" s="14" t="s">
        <v>278</v>
      </c>
      <c r="B2661" s="14">
        <v>9</v>
      </c>
      <c r="C2661" s="15" t="s">
        <v>2532</v>
      </c>
      <c r="D2661" s="14" t="s">
        <v>1745</v>
      </c>
      <c r="E2661" s="14" t="s">
        <v>1747</v>
      </c>
      <c r="F2661" s="25">
        <v>1560</v>
      </c>
      <c r="G2661" s="25">
        <v>1248</v>
      </c>
    </row>
    <row r="2662" spans="1:7" x14ac:dyDescent="0.25">
      <c r="A2662" s="14" t="s">
        <v>278</v>
      </c>
      <c r="B2662" s="14">
        <v>9</v>
      </c>
      <c r="C2662" s="15" t="s">
        <v>2532</v>
      </c>
      <c r="D2662" s="14" t="s">
        <v>1745</v>
      </c>
      <c r="E2662" s="14" t="s">
        <v>1746</v>
      </c>
      <c r="F2662" s="25">
        <v>1638</v>
      </c>
      <c r="G2662" s="25">
        <v>1310.4000000000001</v>
      </c>
    </row>
    <row r="2663" spans="1:7" x14ac:dyDescent="0.25">
      <c r="A2663" s="14" t="s">
        <v>278</v>
      </c>
      <c r="B2663" s="14">
        <v>6</v>
      </c>
      <c r="C2663" s="15" t="s">
        <v>2533</v>
      </c>
      <c r="D2663" s="14" t="s">
        <v>1749</v>
      </c>
      <c r="E2663" s="14" t="s">
        <v>1746</v>
      </c>
      <c r="F2663" s="25">
        <v>252</v>
      </c>
      <c r="G2663" s="25">
        <v>201.6</v>
      </c>
    </row>
    <row r="2664" spans="1:7" x14ac:dyDescent="0.25">
      <c r="A2664" s="14" t="s">
        <v>278</v>
      </c>
      <c r="B2664" s="14">
        <v>9</v>
      </c>
      <c r="C2664" s="15" t="s">
        <v>2532</v>
      </c>
      <c r="D2664" s="14" t="s">
        <v>1749</v>
      </c>
      <c r="E2664" s="14" t="s">
        <v>1746</v>
      </c>
      <c r="F2664" s="25">
        <v>156</v>
      </c>
      <c r="G2664" s="25">
        <v>124.8</v>
      </c>
    </row>
    <row r="2665" spans="1:7" x14ac:dyDescent="0.25">
      <c r="A2665" s="14" t="s">
        <v>278</v>
      </c>
      <c r="B2665" s="14">
        <v>6</v>
      </c>
      <c r="C2665" s="15" t="s">
        <v>2533</v>
      </c>
      <c r="D2665" s="14" t="s">
        <v>1745</v>
      </c>
      <c r="E2665" s="14" t="s">
        <v>1746</v>
      </c>
      <c r="F2665" s="25">
        <v>2646</v>
      </c>
      <c r="G2665" s="25">
        <v>2116.8000000000002</v>
      </c>
    </row>
    <row r="2666" spans="1:7" x14ac:dyDescent="0.25">
      <c r="A2666" s="14" t="s">
        <v>278</v>
      </c>
      <c r="B2666" s="14">
        <v>5</v>
      </c>
      <c r="C2666" s="15" t="s">
        <v>2531</v>
      </c>
      <c r="D2666" s="14" t="s">
        <v>1745</v>
      </c>
      <c r="E2666" s="14" t="s">
        <v>1746</v>
      </c>
      <c r="F2666" s="25">
        <v>3213</v>
      </c>
      <c r="G2666" s="25">
        <v>2570.4</v>
      </c>
    </row>
    <row r="2667" spans="1:7" x14ac:dyDescent="0.25">
      <c r="A2667" s="14" t="s">
        <v>278</v>
      </c>
      <c r="B2667" s="14">
        <v>6</v>
      </c>
      <c r="C2667" s="15" t="s">
        <v>2533</v>
      </c>
      <c r="D2667" s="14" t="s">
        <v>1745</v>
      </c>
      <c r="E2667" s="14" t="s">
        <v>1747</v>
      </c>
      <c r="F2667" s="25">
        <v>2520</v>
      </c>
      <c r="G2667" s="25">
        <v>2016</v>
      </c>
    </row>
    <row r="2668" spans="1:7" x14ac:dyDescent="0.25">
      <c r="A2668" s="14" t="s">
        <v>278</v>
      </c>
      <c r="B2668" s="14">
        <v>5</v>
      </c>
      <c r="C2668" s="15" t="s">
        <v>2531</v>
      </c>
      <c r="D2668" s="14" t="s">
        <v>1745</v>
      </c>
      <c r="E2668" s="14" t="s">
        <v>1747</v>
      </c>
      <c r="F2668" s="25">
        <v>3060</v>
      </c>
      <c r="G2668" s="25">
        <v>2448</v>
      </c>
    </row>
    <row r="2669" spans="1:7" x14ac:dyDescent="0.25">
      <c r="A2669" s="14" t="s">
        <v>2534</v>
      </c>
      <c r="B2669" s="14">
        <v>5</v>
      </c>
      <c r="C2669" s="15" t="s">
        <v>2535</v>
      </c>
      <c r="D2669" s="14" t="s">
        <v>1749</v>
      </c>
      <c r="E2669" s="14" t="s">
        <v>1746</v>
      </c>
      <c r="F2669" s="25">
        <v>37.92</v>
      </c>
      <c r="G2669" s="25">
        <v>30.34</v>
      </c>
    </row>
    <row r="2670" spans="1:7" x14ac:dyDescent="0.25">
      <c r="A2670" s="14" t="s">
        <v>2534</v>
      </c>
      <c r="B2670" s="14">
        <v>6</v>
      </c>
      <c r="C2670" s="15" t="s">
        <v>2536</v>
      </c>
      <c r="D2670" s="14" t="s">
        <v>1745</v>
      </c>
      <c r="E2670" s="14" t="s">
        <v>1746</v>
      </c>
      <c r="F2670" s="25">
        <v>524.16</v>
      </c>
      <c r="G2670" s="25">
        <v>419.28</v>
      </c>
    </row>
    <row r="2671" spans="1:7" x14ac:dyDescent="0.25">
      <c r="A2671" s="14" t="s">
        <v>2534</v>
      </c>
      <c r="B2671" s="14">
        <v>1</v>
      </c>
      <c r="C2671" s="15" t="s">
        <v>2537</v>
      </c>
      <c r="D2671" s="14" t="s">
        <v>1749</v>
      </c>
      <c r="E2671" s="14" t="s">
        <v>1746</v>
      </c>
      <c r="F2671" s="25">
        <v>198</v>
      </c>
      <c r="G2671" s="25">
        <v>158.4</v>
      </c>
    </row>
    <row r="2672" spans="1:7" x14ac:dyDescent="0.25">
      <c r="A2672" s="14" t="s">
        <v>2534</v>
      </c>
      <c r="B2672" s="14">
        <v>7</v>
      </c>
      <c r="C2672" s="15" t="s">
        <v>2538</v>
      </c>
      <c r="D2672" s="14" t="s">
        <v>1745</v>
      </c>
      <c r="E2672" s="14" t="s">
        <v>1746</v>
      </c>
      <c r="F2672" s="25">
        <v>839.16</v>
      </c>
      <c r="G2672" s="25">
        <v>755.28</v>
      </c>
    </row>
    <row r="2673" spans="1:7" x14ac:dyDescent="0.25">
      <c r="A2673" s="14" t="s">
        <v>2534</v>
      </c>
      <c r="B2673" s="14">
        <v>5</v>
      </c>
      <c r="C2673" s="15" t="s">
        <v>2535</v>
      </c>
      <c r="D2673" s="14" t="s">
        <v>1745</v>
      </c>
      <c r="E2673" s="14" t="s">
        <v>1747</v>
      </c>
      <c r="F2673" s="25">
        <v>379.2</v>
      </c>
      <c r="G2673" s="25">
        <v>303.36</v>
      </c>
    </row>
    <row r="2674" spans="1:7" x14ac:dyDescent="0.25">
      <c r="A2674" s="14" t="s">
        <v>2534</v>
      </c>
      <c r="B2674" s="14">
        <v>1</v>
      </c>
      <c r="C2674" s="15" t="s">
        <v>2537</v>
      </c>
      <c r="D2674" s="14" t="s">
        <v>1745</v>
      </c>
      <c r="E2674" s="14" t="s">
        <v>1746</v>
      </c>
      <c r="F2674" s="25">
        <v>2079</v>
      </c>
      <c r="G2674" s="25">
        <v>1663.2</v>
      </c>
    </row>
    <row r="2675" spans="1:7" x14ac:dyDescent="0.25">
      <c r="A2675" s="14" t="s">
        <v>2534</v>
      </c>
      <c r="B2675" s="14">
        <v>5</v>
      </c>
      <c r="C2675" s="15" t="s">
        <v>2535</v>
      </c>
      <c r="D2675" s="14" t="s">
        <v>1745</v>
      </c>
      <c r="E2675" s="14" t="s">
        <v>1746</v>
      </c>
      <c r="F2675" s="25">
        <v>398.16</v>
      </c>
      <c r="G2675" s="25">
        <v>318.48</v>
      </c>
    </row>
    <row r="2676" spans="1:7" x14ac:dyDescent="0.25">
      <c r="A2676" s="14" t="s">
        <v>2534</v>
      </c>
      <c r="B2676" s="14">
        <v>1</v>
      </c>
      <c r="C2676" s="15" t="s">
        <v>2537</v>
      </c>
      <c r="D2676" s="14" t="s">
        <v>1745</v>
      </c>
      <c r="E2676" s="14" t="s">
        <v>1747</v>
      </c>
      <c r="F2676" s="25">
        <v>1980</v>
      </c>
      <c r="G2676" s="25">
        <v>1584</v>
      </c>
    </row>
    <row r="2677" spans="1:7" x14ac:dyDescent="0.25">
      <c r="A2677" s="14" t="s">
        <v>2534</v>
      </c>
      <c r="B2677" s="14">
        <v>7</v>
      </c>
      <c r="C2677" s="15" t="s">
        <v>2538</v>
      </c>
      <c r="D2677" s="14" t="s">
        <v>1749</v>
      </c>
      <c r="E2677" s="14" t="s">
        <v>1746</v>
      </c>
      <c r="F2677" s="25">
        <v>79.92</v>
      </c>
      <c r="G2677" s="25">
        <v>71.930000000000007</v>
      </c>
    </row>
    <row r="2678" spans="1:7" x14ac:dyDescent="0.25">
      <c r="A2678" s="14" t="s">
        <v>2534</v>
      </c>
      <c r="B2678" s="14">
        <v>6</v>
      </c>
      <c r="C2678" s="15" t="s">
        <v>2536</v>
      </c>
      <c r="D2678" s="14" t="s">
        <v>1745</v>
      </c>
      <c r="E2678" s="14" t="s">
        <v>1747</v>
      </c>
      <c r="F2678" s="25">
        <v>499.2</v>
      </c>
      <c r="G2678" s="25">
        <v>399.36</v>
      </c>
    </row>
    <row r="2679" spans="1:7" x14ac:dyDescent="0.25">
      <c r="A2679" s="14" t="s">
        <v>2534</v>
      </c>
      <c r="B2679" s="14">
        <v>6</v>
      </c>
      <c r="C2679" s="15" t="s">
        <v>2536</v>
      </c>
      <c r="D2679" s="14" t="s">
        <v>1749</v>
      </c>
      <c r="E2679" s="14" t="s">
        <v>1746</v>
      </c>
      <c r="F2679" s="25">
        <v>49.92</v>
      </c>
      <c r="G2679" s="25">
        <v>39.94</v>
      </c>
    </row>
    <row r="2680" spans="1:7" x14ac:dyDescent="0.25">
      <c r="A2680" s="14" t="s">
        <v>2534</v>
      </c>
      <c r="B2680" s="14">
        <v>7</v>
      </c>
      <c r="C2680" s="15" t="s">
        <v>2538</v>
      </c>
      <c r="D2680" s="14" t="s">
        <v>1745</v>
      </c>
      <c r="E2680" s="14" t="s">
        <v>1747</v>
      </c>
      <c r="F2680" s="25">
        <v>799.2</v>
      </c>
      <c r="G2680" s="25">
        <v>719.28</v>
      </c>
    </row>
    <row r="2681" spans="1:7" x14ac:dyDescent="0.25">
      <c r="A2681" s="14" t="s">
        <v>2539</v>
      </c>
      <c r="B2681" s="14" t="s">
        <v>73</v>
      </c>
      <c r="C2681" s="15" t="s">
        <v>2540</v>
      </c>
      <c r="D2681" s="14" t="s">
        <v>1745</v>
      </c>
      <c r="E2681" s="14" t="s">
        <v>1747</v>
      </c>
      <c r="F2681" s="25">
        <v>39960</v>
      </c>
      <c r="G2681" s="25">
        <v>35964</v>
      </c>
    </row>
    <row r="2682" spans="1:7" x14ac:dyDescent="0.25">
      <c r="A2682" s="14" t="s">
        <v>2539</v>
      </c>
      <c r="B2682" s="14" t="s">
        <v>20</v>
      </c>
      <c r="C2682" s="15" t="s">
        <v>2541</v>
      </c>
      <c r="D2682" s="14" t="s">
        <v>1745</v>
      </c>
      <c r="E2682" s="14" t="s">
        <v>1746</v>
      </c>
      <c r="F2682" s="25">
        <v>15750</v>
      </c>
      <c r="G2682" s="25">
        <v>12600</v>
      </c>
    </row>
    <row r="2683" spans="1:7" x14ac:dyDescent="0.25">
      <c r="A2683" s="14" t="s">
        <v>2539</v>
      </c>
      <c r="B2683" s="14">
        <v>1</v>
      </c>
      <c r="C2683" s="15" t="s">
        <v>2542</v>
      </c>
      <c r="D2683" s="14" t="s">
        <v>1745</v>
      </c>
      <c r="E2683" s="14" t="s">
        <v>1747</v>
      </c>
      <c r="F2683" s="25">
        <v>99840</v>
      </c>
      <c r="G2683" s="25">
        <v>79872</v>
      </c>
    </row>
    <row r="2684" spans="1:7" x14ac:dyDescent="0.25">
      <c r="A2684" s="14" t="s">
        <v>2539</v>
      </c>
      <c r="B2684" s="14" t="s">
        <v>20</v>
      </c>
      <c r="C2684" s="15" t="s">
        <v>2541</v>
      </c>
      <c r="D2684" s="14" t="s">
        <v>1745</v>
      </c>
      <c r="E2684" s="14" t="s">
        <v>1747</v>
      </c>
      <c r="F2684" s="25">
        <v>15000</v>
      </c>
      <c r="G2684" s="25">
        <v>12000</v>
      </c>
    </row>
    <row r="2685" spans="1:7" x14ac:dyDescent="0.25">
      <c r="A2685" s="14" t="s">
        <v>2539</v>
      </c>
      <c r="B2685" s="14">
        <v>1</v>
      </c>
      <c r="C2685" s="15" t="s">
        <v>2542</v>
      </c>
      <c r="D2685" s="14" t="s">
        <v>1749</v>
      </c>
      <c r="E2685" s="14" t="s">
        <v>1746</v>
      </c>
      <c r="F2685" s="25">
        <v>9984</v>
      </c>
      <c r="G2685" s="25">
        <v>7987.2</v>
      </c>
    </row>
    <row r="2686" spans="1:7" x14ac:dyDescent="0.25">
      <c r="A2686" s="14" t="s">
        <v>2539</v>
      </c>
      <c r="B2686" s="14" t="s">
        <v>73</v>
      </c>
      <c r="C2686" s="15" t="s">
        <v>2540</v>
      </c>
      <c r="D2686" s="14" t="s">
        <v>1749</v>
      </c>
      <c r="E2686" s="14" t="s">
        <v>1746</v>
      </c>
      <c r="F2686" s="25">
        <v>3996</v>
      </c>
      <c r="G2686" s="25">
        <v>3596.4</v>
      </c>
    </row>
    <row r="2687" spans="1:7" x14ac:dyDescent="0.25">
      <c r="A2687" s="14" t="s">
        <v>2539</v>
      </c>
      <c r="B2687" s="14" t="s">
        <v>20</v>
      </c>
      <c r="C2687" s="15" t="s">
        <v>2541</v>
      </c>
      <c r="D2687" s="14" t="s">
        <v>1749</v>
      </c>
      <c r="E2687" s="14" t="s">
        <v>1746</v>
      </c>
      <c r="F2687" s="25">
        <v>1500</v>
      </c>
      <c r="G2687" s="25">
        <v>1200</v>
      </c>
    </row>
    <row r="2688" spans="1:7" x14ac:dyDescent="0.25">
      <c r="A2688" s="14" t="s">
        <v>2539</v>
      </c>
      <c r="B2688" s="14" t="s">
        <v>24</v>
      </c>
      <c r="C2688" s="15" t="s">
        <v>2543</v>
      </c>
      <c r="D2688" s="14" t="s">
        <v>1749</v>
      </c>
      <c r="E2688" s="14" t="s">
        <v>1746</v>
      </c>
      <c r="F2688" s="25">
        <v>2496</v>
      </c>
      <c r="G2688" s="25">
        <v>1996.8</v>
      </c>
    </row>
    <row r="2689" spans="1:7" x14ac:dyDescent="0.25">
      <c r="A2689" s="14" t="s">
        <v>2539</v>
      </c>
      <c r="B2689" s="14" t="s">
        <v>73</v>
      </c>
      <c r="C2689" s="15" t="s">
        <v>2540</v>
      </c>
      <c r="D2689" s="14" t="s">
        <v>1745</v>
      </c>
      <c r="E2689" s="14" t="s">
        <v>1746</v>
      </c>
      <c r="F2689" s="25">
        <v>41958</v>
      </c>
      <c r="G2689" s="25">
        <v>37762.199999999997</v>
      </c>
    </row>
    <row r="2690" spans="1:7" x14ac:dyDescent="0.25">
      <c r="A2690" s="14" t="s">
        <v>2539</v>
      </c>
      <c r="B2690" s="14" t="s">
        <v>24</v>
      </c>
      <c r="C2690" s="15" t="s">
        <v>2543</v>
      </c>
      <c r="D2690" s="14" t="s">
        <v>1745</v>
      </c>
      <c r="E2690" s="14" t="s">
        <v>1746</v>
      </c>
      <c r="F2690" s="25">
        <v>26208</v>
      </c>
      <c r="G2690" s="25">
        <v>20966.400000000001</v>
      </c>
    </row>
    <row r="2691" spans="1:7" x14ac:dyDescent="0.25">
      <c r="A2691" s="14" t="s">
        <v>2539</v>
      </c>
      <c r="B2691" s="14" t="s">
        <v>24</v>
      </c>
      <c r="C2691" s="15" t="s">
        <v>2543</v>
      </c>
      <c r="D2691" s="14" t="s">
        <v>1745</v>
      </c>
      <c r="E2691" s="14" t="s">
        <v>1747</v>
      </c>
      <c r="F2691" s="25">
        <v>24960</v>
      </c>
      <c r="G2691" s="25">
        <v>19968</v>
      </c>
    </row>
    <row r="2692" spans="1:7" x14ac:dyDescent="0.25">
      <c r="A2692" s="14" t="s">
        <v>2539</v>
      </c>
      <c r="B2692" s="14">
        <v>1</v>
      </c>
      <c r="C2692" s="15" t="s">
        <v>2542</v>
      </c>
      <c r="D2692" s="14" t="s">
        <v>1745</v>
      </c>
      <c r="E2692" s="14" t="s">
        <v>1746</v>
      </c>
      <c r="F2692" s="25">
        <v>104832</v>
      </c>
      <c r="G2692" s="25">
        <v>83865.600000000006</v>
      </c>
    </row>
    <row r="2693" spans="1:7" x14ac:dyDescent="0.25">
      <c r="A2693" s="14" t="s">
        <v>2544</v>
      </c>
      <c r="B2693" s="14" t="s">
        <v>16</v>
      </c>
      <c r="C2693" s="15" t="s">
        <v>2545</v>
      </c>
      <c r="D2693" s="14" t="s">
        <v>1752</v>
      </c>
      <c r="E2693" s="14" t="s">
        <v>1746</v>
      </c>
      <c r="F2693" s="25">
        <v>5031558</v>
      </c>
      <c r="G2693" s="25">
        <v>3773669</v>
      </c>
    </row>
    <row r="2694" spans="1:7" x14ac:dyDescent="0.25">
      <c r="A2694" s="14" t="s">
        <v>2544</v>
      </c>
      <c r="B2694" s="14" t="s">
        <v>16</v>
      </c>
      <c r="C2694" s="15" t="s">
        <v>2545</v>
      </c>
      <c r="D2694" s="14" t="s">
        <v>1752</v>
      </c>
      <c r="E2694" s="14" t="s">
        <v>1747</v>
      </c>
      <c r="F2694" s="25">
        <v>4791960</v>
      </c>
      <c r="G2694" s="25">
        <v>3593970</v>
      </c>
    </row>
    <row r="2695" spans="1:7" x14ac:dyDescent="0.25">
      <c r="A2695" s="14" t="s">
        <v>2544</v>
      </c>
      <c r="B2695" s="14">
        <v>6</v>
      </c>
      <c r="C2695" s="15" t="s">
        <v>2546</v>
      </c>
      <c r="D2695" s="14" t="s">
        <v>1745</v>
      </c>
      <c r="E2695" s="14" t="s">
        <v>1747</v>
      </c>
      <c r="F2695" s="25">
        <v>598980</v>
      </c>
      <c r="G2695" s="25">
        <v>598980</v>
      </c>
    </row>
    <row r="2696" spans="1:7" x14ac:dyDescent="0.25">
      <c r="A2696" s="14" t="s">
        <v>2544</v>
      </c>
      <c r="B2696" s="14">
        <v>7</v>
      </c>
      <c r="C2696" s="15" t="s">
        <v>2547</v>
      </c>
      <c r="D2696" s="14" t="s">
        <v>1752</v>
      </c>
      <c r="E2696" s="14" t="s">
        <v>1753</v>
      </c>
      <c r="F2696" s="25">
        <v>0</v>
      </c>
      <c r="G2696" s="25">
        <v>0</v>
      </c>
    </row>
    <row r="2697" spans="1:7" x14ac:dyDescent="0.25">
      <c r="A2697" s="14" t="s">
        <v>2544</v>
      </c>
      <c r="B2697" s="14">
        <v>9</v>
      </c>
      <c r="C2697" s="15" t="s">
        <v>2548</v>
      </c>
      <c r="D2697" s="14" t="s">
        <v>1752</v>
      </c>
      <c r="E2697" s="14" t="s">
        <v>1753</v>
      </c>
      <c r="F2697" s="25">
        <v>0</v>
      </c>
      <c r="G2697" s="25">
        <v>0</v>
      </c>
    </row>
    <row r="2698" spans="1:7" x14ac:dyDescent="0.25">
      <c r="A2698" s="14" t="s">
        <v>2544</v>
      </c>
      <c r="B2698" s="14">
        <v>5</v>
      </c>
      <c r="C2698" s="15" t="s">
        <v>2549</v>
      </c>
      <c r="D2698" s="14" t="s">
        <v>1745</v>
      </c>
      <c r="E2698" s="14" t="s">
        <v>1747</v>
      </c>
      <c r="F2698" s="25">
        <v>798660</v>
      </c>
      <c r="G2698" s="25">
        <v>798660</v>
      </c>
    </row>
    <row r="2699" spans="1:7" x14ac:dyDescent="0.25">
      <c r="A2699" s="14" t="s">
        <v>2544</v>
      </c>
      <c r="B2699" s="14">
        <v>9</v>
      </c>
      <c r="C2699" s="15" t="s">
        <v>2548</v>
      </c>
      <c r="D2699" s="14" t="s">
        <v>1752</v>
      </c>
      <c r="E2699" s="14" t="s">
        <v>1746</v>
      </c>
      <c r="F2699" s="25">
        <v>0</v>
      </c>
      <c r="G2699" s="25">
        <v>0</v>
      </c>
    </row>
    <row r="2700" spans="1:7" x14ac:dyDescent="0.25">
      <c r="A2700" s="14" t="s">
        <v>2544</v>
      </c>
      <c r="B2700" s="14">
        <v>5</v>
      </c>
      <c r="C2700" s="15" t="s">
        <v>2549</v>
      </c>
      <c r="D2700" s="14" t="s">
        <v>1752</v>
      </c>
      <c r="E2700" s="14" t="s">
        <v>1753</v>
      </c>
      <c r="F2700" s="25">
        <v>2395980</v>
      </c>
      <c r="G2700" s="25">
        <v>2395980</v>
      </c>
    </row>
    <row r="2701" spans="1:7" x14ac:dyDescent="0.25">
      <c r="A2701" s="14" t="s">
        <v>2544</v>
      </c>
      <c r="B2701" s="14">
        <v>7</v>
      </c>
      <c r="C2701" s="15" t="s">
        <v>2547</v>
      </c>
      <c r="D2701" s="14" t="s">
        <v>1745</v>
      </c>
      <c r="E2701" s="14" t="s">
        <v>1747</v>
      </c>
      <c r="F2701" s="25">
        <v>0</v>
      </c>
      <c r="G2701" s="25">
        <v>0</v>
      </c>
    </row>
    <row r="2702" spans="1:7" x14ac:dyDescent="0.25">
      <c r="A2702" s="14" t="s">
        <v>2544</v>
      </c>
      <c r="B2702" s="14">
        <v>8</v>
      </c>
      <c r="C2702" s="15" t="s">
        <v>2550</v>
      </c>
      <c r="D2702" s="14" t="s">
        <v>1752</v>
      </c>
      <c r="E2702" s="14" t="s">
        <v>1747</v>
      </c>
      <c r="F2702" s="25">
        <v>0</v>
      </c>
      <c r="G2702" s="25">
        <v>0</v>
      </c>
    </row>
    <row r="2703" spans="1:7" x14ac:dyDescent="0.25">
      <c r="A2703" s="14" t="s">
        <v>2544</v>
      </c>
      <c r="B2703" s="14">
        <v>6</v>
      </c>
      <c r="C2703" s="15" t="s">
        <v>2546</v>
      </c>
      <c r="D2703" s="14" t="s">
        <v>1752</v>
      </c>
      <c r="E2703" s="14" t="s">
        <v>1746</v>
      </c>
      <c r="F2703" s="25">
        <v>1886787</v>
      </c>
      <c r="G2703" s="25">
        <v>1886787</v>
      </c>
    </row>
    <row r="2704" spans="1:7" x14ac:dyDescent="0.25">
      <c r="A2704" s="14" t="s">
        <v>2544</v>
      </c>
      <c r="B2704" s="14" t="s">
        <v>16</v>
      </c>
      <c r="C2704" s="15" t="s">
        <v>2545</v>
      </c>
      <c r="D2704" s="14" t="s">
        <v>1745</v>
      </c>
      <c r="E2704" s="14" t="s">
        <v>1747</v>
      </c>
      <c r="F2704" s="25">
        <v>1597320</v>
      </c>
      <c r="G2704" s="25">
        <v>1197990</v>
      </c>
    </row>
    <row r="2705" spans="1:7" x14ac:dyDescent="0.25">
      <c r="A2705" s="14" t="s">
        <v>2544</v>
      </c>
      <c r="B2705" s="14">
        <v>7</v>
      </c>
      <c r="C2705" s="15" t="s">
        <v>2547</v>
      </c>
      <c r="D2705" s="14" t="s">
        <v>1752</v>
      </c>
      <c r="E2705" s="14" t="s">
        <v>1747</v>
      </c>
      <c r="F2705" s="25">
        <v>0</v>
      </c>
      <c r="G2705" s="25">
        <v>0</v>
      </c>
    </row>
    <row r="2706" spans="1:7" x14ac:dyDescent="0.25">
      <c r="A2706" s="14" t="s">
        <v>2544</v>
      </c>
      <c r="B2706" s="14" t="s">
        <v>16</v>
      </c>
      <c r="C2706" s="15" t="s">
        <v>2545</v>
      </c>
      <c r="D2706" s="14" t="s">
        <v>1745</v>
      </c>
      <c r="E2706" s="14" t="s">
        <v>1746</v>
      </c>
      <c r="F2706" s="25">
        <v>1677186</v>
      </c>
      <c r="G2706" s="25">
        <v>1257890</v>
      </c>
    </row>
    <row r="2707" spans="1:7" x14ac:dyDescent="0.25">
      <c r="A2707" s="14" t="s">
        <v>2544</v>
      </c>
      <c r="B2707" s="14">
        <v>5</v>
      </c>
      <c r="C2707" s="15" t="s">
        <v>2549</v>
      </c>
      <c r="D2707" s="14" t="s">
        <v>1752</v>
      </c>
      <c r="E2707" s="14" t="s">
        <v>1746</v>
      </c>
      <c r="F2707" s="25">
        <v>2515779</v>
      </c>
      <c r="G2707" s="25">
        <v>2515779</v>
      </c>
    </row>
    <row r="2708" spans="1:7" x14ac:dyDescent="0.25">
      <c r="A2708" s="14" t="s">
        <v>2544</v>
      </c>
      <c r="B2708" s="14">
        <v>6</v>
      </c>
      <c r="C2708" s="15" t="s">
        <v>2546</v>
      </c>
      <c r="D2708" s="14" t="s">
        <v>1749</v>
      </c>
      <c r="E2708" s="14" t="s">
        <v>1746</v>
      </c>
      <c r="F2708" s="25">
        <v>59898</v>
      </c>
      <c r="G2708" s="25">
        <v>59898</v>
      </c>
    </row>
    <row r="2709" spans="1:7" x14ac:dyDescent="0.25">
      <c r="A2709" s="14" t="s">
        <v>2544</v>
      </c>
      <c r="B2709" s="14">
        <v>8</v>
      </c>
      <c r="C2709" s="15" t="s">
        <v>2550</v>
      </c>
      <c r="D2709" s="14" t="s">
        <v>1749</v>
      </c>
      <c r="E2709" s="14" t="s">
        <v>1746</v>
      </c>
      <c r="F2709" s="25">
        <v>0</v>
      </c>
      <c r="G2709" s="25">
        <v>0</v>
      </c>
    </row>
    <row r="2710" spans="1:7" x14ac:dyDescent="0.25">
      <c r="A2710" s="14" t="s">
        <v>2544</v>
      </c>
      <c r="B2710" s="14">
        <v>7</v>
      </c>
      <c r="C2710" s="15" t="s">
        <v>2547</v>
      </c>
      <c r="D2710" s="14" t="s">
        <v>1745</v>
      </c>
      <c r="E2710" s="14" t="s">
        <v>1746</v>
      </c>
      <c r="F2710" s="25">
        <v>0</v>
      </c>
      <c r="G2710" s="25">
        <v>0</v>
      </c>
    </row>
    <row r="2711" spans="1:7" x14ac:dyDescent="0.25">
      <c r="A2711" s="14" t="s">
        <v>2544</v>
      </c>
      <c r="B2711" s="14">
        <v>5</v>
      </c>
      <c r="C2711" s="15" t="s">
        <v>2549</v>
      </c>
      <c r="D2711" s="14" t="s">
        <v>1745</v>
      </c>
      <c r="E2711" s="14" t="s">
        <v>1746</v>
      </c>
      <c r="F2711" s="25">
        <v>838593</v>
      </c>
      <c r="G2711" s="25">
        <v>838593</v>
      </c>
    </row>
    <row r="2712" spans="1:7" x14ac:dyDescent="0.25">
      <c r="A2712" s="14" t="s">
        <v>2544</v>
      </c>
      <c r="B2712" s="14">
        <v>6</v>
      </c>
      <c r="C2712" s="15" t="s">
        <v>2546</v>
      </c>
      <c r="D2712" s="14" t="s">
        <v>1752</v>
      </c>
      <c r="E2712" s="14" t="s">
        <v>1747</v>
      </c>
      <c r="F2712" s="25">
        <v>1796940</v>
      </c>
      <c r="G2712" s="25">
        <v>1796940</v>
      </c>
    </row>
    <row r="2713" spans="1:7" x14ac:dyDescent="0.25">
      <c r="A2713" s="14" t="s">
        <v>2544</v>
      </c>
      <c r="B2713" s="14">
        <v>8</v>
      </c>
      <c r="C2713" s="15" t="s">
        <v>2550</v>
      </c>
      <c r="D2713" s="14" t="s">
        <v>1745</v>
      </c>
      <c r="E2713" s="14" t="s">
        <v>1747</v>
      </c>
      <c r="F2713" s="25">
        <v>0</v>
      </c>
      <c r="G2713" s="25">
        <v>0</v>
      </c>
    </row>
    <row r="2714" spans="1:7" x14ac:dyDescent="0.25">
      <c r="A2714" s="14" t="s">
        <v>2544</v>
      </c>
      <c r="B2714" s="14" t="s">
        <v>16</v>
      </c>
      <c r="C2714" s="15" t="s">
        <v>2545</v>
      </c>
      <c r="D2714" s="14" t="s">
        <v>1752</v>
      </c>
      <c r="E2714" s="14" t="s">
        <v>1753</v>
      </c>
      <c r="F2714" s="25">
        <v>4791960</v>
      </c>
      <c r="G2714" s="25">
        <v>3593970</v>
      </c>
    </row>
    <row r="2715" spans="1:7" x14ac:dyDescent="0.25">
      <c r="A2715" s="14" t="s">
        <v>2544</v>
      </c>
      <c r="B2715" s="14">
        <v>6</v>
      </c>
      <c r="C2715" s="15" t="s">
        <v>2546</v>
      </c>
      <c r="D2715" s="14" t="s">
        <v>1745</v>
      </c>
      <c r="E2715" s="14" t="s">
        <v>1746</v>
      </c>
      <c r="F2715" s="25">
        <v>628929</v>
      </c>
      <c r="G2715" s="25">
        <v>628929</v>
      </c>
    </row>
    <row r="2716" spans="1:7" x14ac:dyDescent="0.25">
      <c r="A2716" s="14" t="s">
        <v>2544</v>
      </c>
      <c r="B2716" s="14">
        <v>9</v>
      </c>
      <c r="C2716" s="15" t="s">
        <v>2548</v>
      </c>
      <c r="D2716" s="14" t="s">
        <v>1745</v>
      </c>
      <c r="E2716" s="14" t="s">
        <v>1746</v>
      </c>
      <c r="F2716" s="25">
        <v>0</v>
      </c>
      <c r="G2716" s="25">
        <v>0</v>
      </c>
    </row>
    <row r="2717" spans="1:7" x14ac:dyDescent="0.25">
      <c r="A2717" s="14" t="s">
        <v>2544</v>
      </c>
      <c r="B2717" s="14">
        <v>5</v>
      </c>
      <c r="C2717" s="15" t="s">
        <v>2549</v>
      </c>
      <c r="D2717" s="14" t="s">
        <v>1749</v>
      </c>
      <c r="E2717" s="14" t="s">
        <v>1746</v>
      </c>
      <c r="F2717" s="25">
        <v>79866</v>
      </c>
      <c r="G2717" s="25">
        <v>79866</v>
      </c>
    </row>
    <row r="2718" spans="1:7" x14ac:dyDescent="0.25">
      <c r="A2718" s="14" t="s">
        <v>2544</v>
      </c>
      <c r="B2718" s="14">
        <v>8</v>
      </c>
      <c r="C2718" s="15" t="s">
        <v>2550</v>
      </c>
      <c r="D2718" s="14" t="s">
        <v>1752</v>
      </c>
      <c r="E2718" s="14" t="s">
        <v>1753</v>
      </c>
      <c r="F2718" s="25">
        <v>0</v>
      </c>
      <c r="G2718" s="25">
        <v>0</v>
      </c>
    </row>
    <row r="2719" spans="1:7" x14ac:dyDescent="0.25">
      <c r="A2719" s="14" t="s">
        <v>2544</v>
      </c>
      <c r="B2719" s="14">
        <v>5</v>
      </c>
      <c r="C2719" s="15" t="s">
        <v>2549</v>
      </c>
      <c r="D2719" s="14" t="s">
        <v>1752</v>
      </c>
      <c r="E2719" s="14" t="s">
        <v>1747</v>
      </c>
      <c r="F2719" s="25">
        <v>2395980</v>
      </c>
      <c r="G2719" s="25">
        <v>2395980</v>
      </c>
    </row>
    <row r="2720" spans="1:7" x14ac:dyDescent="0.25">
      <c r="A2720" s="14" t="s">
        <v>2544</v>
      </c>
      <c r="B2720" s="14">
        <v>4</v>
      </c>
      <c r="C2720" s="15" t="s">
        <v>2551</v>
      </c>
      <c r="D2720" s="14" t="s">
        <v>1745</v>
      </c>
      <c r="E2720" s="14" t="s">
        <v>1747</v>
      </c>
      <c r="F2720" s="25">
        <v>3993360</v>
      </c>
      <c r="G2720" s="25">
        <v>2995020</v>
      </c>
    </row>
    <row r="2721" spans="1:7" x14ac:dyDescent="0.25">
      <c r="A2721" s="14" t="s">
        <v>2544</v>
      </c>
      <c r="B2721" s="14">
        <v>7</v>
      </c>
      <c r="C2721" s="15" t="s">
        <v>2547</v>
      </c>
      <c r="D2721" s="14" t="s">
        <v>1749</v>
      </c>
      <c r="E2721" s="14" t="s">
        <v>1746</v>
      </c>
      <c r="F2721" s="25">
        <v>0</v>
      </c>
      <c r="G2721" s="25">
        <v>0</v>
      </c>
    </row>
    <row r="2722" spans="1:7" x14ac:dyDescent="0.25">
      <c r="A2722" s="14" t="s">
        <v>2544</v>
      </c>
      <c r="B2722" s="14">
        <v>9</v>
      </c>
      <c r="C2722" s="15" t="s">
        <v>2548</v>
      </c>
      <c r="D2722" s="14" t="s">
        <v>1749</v>
      </c>
      <c r="E2722" s="14" t="s">
        <v>1746</v>
      </c>
      <c r="F2722" s="25">
        <v>0</v>
      </c>
      <c r="G2722" s="25">
        <v>0</v>
      </c>
    </row>
    <row r="2723" spans="1:7" x14ac:dyDescent="0.25">
      <c r="A2723" s="14" t="s">
        <v>2544</v>
      </c>
      <c r="B2723" s="14">
        <v>4</v>
      </c>
      <c r="C2723" s="15" t="s">
        <v>2551</v>
      </c>
      <c r="D2723" s="14" t="s">
        <v>1745</v>
      </c>
      <c r="E2723" s="14" t="s">
        <v>1746</v>
      </c>
      <c r="F2723" s="25">
        <v>4193028</v>
      </c>
      <c r="G2723" s="25">
        <v>3144771</v>
      </c>
    </row>
    <row r="2724" spans="1:7" x14ac:dyDescent="0.25">
      <c r="A2724" s="14" t="s">
        <v>2544</v>
      </c>
      <c r="B2724" s="14">
        <v>3</v>
      </c>
      <c r="C2724" s="15" t="s">
        <v>2552</v>
      </c>
      <c r="D2724" s="14" t="s">
        <v>1745</v>
      </c>
      <c r="E2724" s="14" t="s">
        <v>1746</v>
      </c>
      <c r="F2724" s="25">
        <v>0</v>
      </c>
      <c r="G2724" s="25">
        <v>0</v>
      </c>
    </row>
    <row r="2725" spans="1:7" x14ac:dyDescent="0.25">
      <c r="A2725" s="14" t="s">
        <v>2544</v>
      </c>
      <c r="B2725" s="14">
        <v>4</v>
      </c>
      <c r="C2725" s="15" t="s">
        <v>2551</v>
      </c>
      <c r="D2725" s="14" t="s">
        <v>1749</v>
      </c>
      <c r="E2725" s="14" t="s">
        <v>1746</v>
      </c>
      <c r="F2725" s="25">
        <v>399336</v>
      </c>
      <c r="G2725" s="25">
        <v>299502</v>
      </c>
    </row>
    <row r="2726" spans="1:7" x14ac:dyDescent="0.25">
      <c r="A2726" s="14" t="s">
        <v>2544</v>
      </c>
      <c r="B2726" s="14">
        <v>9</v>
      </c>
      <c r="C2726" s="15" t="s">
        <v>2548</v>
      </c>
      <c r="D2726" s="14" t="s">
        <v>1752</v>
      </c>
      <c r="E2726" s="14" t="s">
        <v>1747</v>
      </c>
      <c r="F2726" s="25">
        <v>0</v>
      </c>
      <c r="G2726" s="25">
        <v>0</v>
      </c>
    </row>
    <row r="2727" spans="1:7" x14ac:dyDescent="0.25">
      <c r="A2727" s="14" t="s">
        <v>2544</v>
      </c>
      <c r="B2727" s="14">
        <v>9</v>
      </c>
      <c r="C2727" s="15" t="s">
        <v>2548</v>
      </c>
      <c r="D2727" s="14" t="s">
        <v>1745</v>
      </c>
      <c r="E2727" s="14" t="s">
        <v>1747</v>
      </c>
      <c r="F2727" s="25">
        <v>0</v>
      </c>
      <c r="G2727" s="25">
        <v>0</v>
      </c>
    </row>
    <row r="2728" spans="1:7" x14ac:dyDescent="0.25">
      <c r="A2728" s="14" t="s">
        <v>2544</v>
      </c>
      <c r="B2728" s="14" t="s">
        <v>24</v>
      </c>
      <c r="C2728" s="15" t="s">
        <v>2545</v>
      </c>
      <c r="D2728" s="14" t="s">
        <v>1749</v>
      </c>
      <c r="E2728" s="14" t="s">
        <v>1766</v>
      </c>
      <c r="F2728" s="25">
        <v>0</v>
      </c>
      <c r="G2728" s="25">
        <v>0</v>
      </c>
    </row>
    <row r="2729" spans="1:7" x14ac:dyDescent="0.25">
      <c r="A2729" s="14" t="s">
        <v>2544</v>
      </c>
      <c r="B2729" s="14">
        <v>6</v>
      </c>
      <c r="C2729" s="15" t="s">
        <v>2546</v>
      </c>
      <c r="D2729" s="14" t="s">
        <v>1752</v>
      </c>
      <c r="E2729" s="14" t="s">
        <v>1753</v>
      </c>
      <c r="F2729" s="25">
        <v>1796940</v>
      </c>
      <c r="G2729" s="25">
        <v>1796940</v>
      </c>
    </row>
    <row r="2730" spans="1:7" x14ac:dyDescent="0.25">
      <c r="A2730" s="14" t="s">
        <v>2544</v>
      </c>
      <c r="B2730" s="14" t="s">
        <v>16</v>
      </c>
      <c r="C2730" s="15" t="s">
        <v>2545</v>
      </c>
      <c r="D2730" s="14" t="s">
        <v>1749</v>
      </c>
      <c r="E2730" s="14" t="s">
        <v>1746</v>
      </c>
      <c r="F2730" s="25">
        <v>159732</v>
      </c>
      <c r="G2730" s="25">
        <v>119799</v>
      </c>
    </row>
    <row r="2731" spans="1:7" x14ac:dyDescent="0.25">
      <c r="A2731" s="14" t="s">
        <v>2544</v>
      </c>
      <c r="B2731" s="14" t="s">
        <v>20</v>
      </c>
      <c r="C2731" s="15" t="s">
        <v>2548</v>
      </c>
      <c r="D2731" s="14" t="s">
        <v>1749</v>
      </c>
      <c r="E2731" s="14" t="s">
        <v>1766</v>
      </c>
      <c r="F2731" s="25">
        <v>0</v>
      </c>
      <c r="G2731" s="25">
        <v>0</v>
      </c>
    </row>
    <row r="2732" spans="1:7" x14ac:dyDescent="0.25">
      <c r="A2732" s="14" t="s">
        <v>2544</v>
      </c>
      <c r="B2732" s="14">
        <v>3</v>
      </c>
      <c r="C2732" s="15" t="s">
        <v>2552</v>
      </c>
      <c r="D2732" s="14" t="s">
        <v>1749</v>
      </c>
      <c r="E2732" s="14" t="s">
        <v>1746</v>
      </c>
      <c r="F2732" s="25">
        <v>0</v>
      </c>
      <c r="G2732" s="25">
        <v>0</v>
      </c>
    </row>
    <row r="2733" spans="1:7" x14ac:dyDescent="0.25">
      <c r="A2733" s="14" t="s">
        <v>2544</v>
      </c>
      <c r="B2733" s="14">
        <v>7</v>
      </c>
      <c r="C2733" s="15" t="s">
        <v>2547</v>
      </c>
      <c r="D2733" s="14" t="s">
        <v>1752</v>
      </c>
      <c r="E2733" s="14" t="s">
        <v>1746</v>
      </c>
      <c r="F2733" s="25">
        <v>0</v>
      </c>
      <c r="G2733" s="25">
        <v>0</v>
      </c>
    </row>
    <row r="2734" spans="1:7" x14ac:dyDescent="0.25">
      <c r="A2734" s="14" t="s">
        <v>2544</v>
      </c>
      <c r="B2734" s="14">
        <v>8</v>
      </c>
      <c r="C2734" s="15" t="s">
        <v>2550</v>
      </c>
      <c r="D2734" s="14" t="s">
        <v>1745</v>
      </c>
      <c r="E2734" s="14" t="s">
        <v>1746</v>
      </c>
      <c r="F2734" s="25">
        <v>0</v>
      </c>
      <c r="G2734" s="25">
        <v>0</v>
      </c>
    </row>
    <row r="2735" spans="1:7" x14ac:dyDescent="0.25">
      <c r="A2735" s="14" t="s">
        <v>2544</v>
      </c>
      <c r="B2735" s="14">
        <v>8</v>
      </c>
      <c r="C2735" s="15" t="s">
        <v>2550</v>
      </c>
      <c r="D2735" s="14" t="s">
        <v>1752</v>
      </c>
      <c r="E2735" s="14" t="s">
        <v>1746</v>
      </c>
      <c r="F2735" s="25">
        <v>0</v>
      </c>
      <c r="G2735" s="25">
        <v>0</v>
      </c>
    </row>
    <row r="2736" spans="1:7" x14ac:dyDescent="0.25">
      <c r="A2736" s="14" t="s">
        <v>2544</v>
      </c>
      <c r="B2736" s="14">
        <v>3</v>
      </c>
      <c r="C2736" s="15" t="s">
        <v>2552</v>
      </c>
      <c r="D2736" s="14" t="s">
        <v>1745</v>
      </c>
      <c r="E2736" s="14" t="s">
        <v>1747</v>
      </c>
      <c r="F2736" s="25">
        <v>0</v>
      </c>
      <c r="G2736" s="25">
        <v>0</v>
      </c>
    </row>
    <row r="2737" spans="1:7" x14ac:dyDescent="0.25">
      <c r="A2737" s="14" t="s">
        <v>2553</v>
      </c>
      <c r="B2737" s="14" t="s">
        <v>20</v>
      </c>
      <c r="C2737" s="15" t="s">
        <v>2554</v>
      </c>
      <c r="D2737" s="14" t="s">
        <v>1752</v>
      </c>
      <c r="E2737" s="14" t="s">
        <v>1747</v>
      </c>
      <c r="F2737" s="25">
        <v>0</v>
      </c>
      <c r="G2737" s="25">
        <v>0</v>
      </c>
    </row>
    <row r="2738" spans="1:7" x14ac:dyDescent="0.25">
      <c r="A2738" s="14" t="s">
        <v>2553</v>
      </c>
      <c r="B2738" s="14">
        <v>3</v>
      </c>
      <c r="C2738" s="15" t="s">
        <v>2555</v>
      </c>
      <c r="D2738" s="14" t="s">
        <v>1745</v>
      </c>
      <c r="E2738" s="14" t="s">
        <v>1747</v>
      </c>
      <c r="F2738" s="25">
        <v>11980020</v>
      </c>
      <c r="G2738" s="25">
        <v>8985015</v>
      </c>
    </row>
    <row r="2739" spans="1:7" x14ac:dyDescent="0.25">
      <c r="A2739" s="14" t="s">
        <v>2553</v>
      </c>
      <c r="B2739" s="14" t="s">
        <v>20</v>
      </c>
      <c r="C2739" s="15" t="s">
        <v>2554</v>
      </c>
      <c r="D2739" s="14" t="s">
        <v>1745</v>
      </c>
      <c r="E2739" s="14" t="s">
        <v>1747</v>
      </c>
      <c r="F2739" s="25">
        <v>0</v>
      </c>
      <c r="G2739" s="25">
        <v>0</v>
      </c>
    </row>
    <row r="2740" spans="1:7" x14ac:dyDescent="0.25">
      <c r="A2740" s="14" t="s">
        <v>2553</v>
      </c>
      <c r="B2740" s="14" t="s">
        <v>16</v>
      </c>
      <c r="C2740" s="15" t="s">
        <v>2556</v>
      </c>
      <c r="D2740" s="14" t="s">
        <v>1745</v>
      </c>
      <c r="E2740" s="14" t="s">
        <v>1747</v>
      </c>
      <c r="F2740" s="25">
        <v>4792020</v>
      </c>
      <c r="G2740" s="25">
        <v>3594015</v>
      </c>
    </row>
    <row r="2741" spans="1:7" x14ac:dyDescent="0.25">
      <c r="A2741" s="14" t="s">
        <v>2553</v>
      </c>
      <c r="B2741" s="14" t="s">
        <v>16</v>
      </c>
      <c r="C2741" s="15" t="s">
        <v>2556</v>
      </c>
      <c r="D2741" s="14" t="s">
        <v>1752</v>
      </c>
      <c r="E2741" s="14" t="s">
        <v>1753</v>
      </c>
      <c r="F2741" s="25">
        <v>14376060</v>
      </c>
      <c r="G2741" s="25">
        <v>10782045</v>
      </c>
    </row>
    <row r="2742" spans="1:7" x14ac:dyDescent="0.25">
      <c r="A2742" s="14" t="s">
        <v>2553</v>
      </c>
      <c r="B2742" s="14" t="s">
        <v>16</v>
      </c>
      <c r="C2742" s="15" t="s">
        <v>2556</v>
      </c>
      <c r="D2742" s="14" t="s">
        <v>1752</v>
      </c>
      <c r="E2742" s="14" t="s">
        <v>1747</v>
      </c>
      <c r="F2742" s="25">
        <v>14376060</v>
      </c>
      <c r="G2742" s="25">
        <v>10782045</v>
      </c>
    </row>
    <row r="2743" spans="1:7" x14ac:dyDescent="0.25">
      <c r="A2743" s="14" t="s">
        <v>2553</v>
      </c>
      <c r="B2743" s="14">
        <v>6</v>
      </c>
      <c r="C2743" s="15" t="s">
        <v>2557</v>
      </c>
      <c r="D2743" s="14" t="s">
        <v>1745</v>
      </c>
      <c r="E2743" s="14" t="s">
        <v>1746</v>
      </c>
      <c r="F2743" s="25">
        <v>0</v>
      </c>
      <c r="G2743" s="25">
        <v>0</v>
      </c>
    </row>
    <row r="2744" spans="1:7" x14ac:dyDescent="0.25">
      <c r="A2744" s="14" t="s">
        <v>2553</v>
      </c>
      <c r="B2744" s="14" t="s">
        <v>34</v>
      </c>
      <c r="C2744" s="15" t="s">
        <v>2556</v>
      </c>
      <c r="D2744" s="14" t="s">
        <v>1749</v>
      </c>
      <c r="E2744" s="14" t="s">
        <v>1766</v>
      </c>
      <c r="F2744" s="25">
        <v>0</v>
      </c>
      <c r="G2744" s="25">
        <v>0</v>
      </c>
    </row>
    <row r="2745" spans="1:7" x14ac:dyDescent="0.25">
      <c r="A2745" s="14" t="s">
        <v>2553</v>
      </c>
      <c r="B2745" s="14">
        <v>5</v>
      </c>
      <c r="C2745" s="15" t="s">
        <v>2557</v>
      </c>
      <c r="D2745" s="14" t="s">
        <v>1749</v>
      </c>
      <c r="E2745" s="14" t="s">
        <v>1766</v>
      </c>
      <c r="F2745" s="25">
        <v>0</v>
      </c>
      <c r="G2745" s="25">
        <v>0</v>
      </c>
    </row>
    <row r="2746" spans="1:7" x14ac:dyDescent="0.25">
      <c r="A2746" s="14" t="s">
        <v>2553</v>
      </c>
      <c r="B2746" s="14" t="s">
        <v>16</v>
      </c>
      <c r="C2746" s="15" t="s">
        <v>2556</v>
      </c>
      <c r="D2746" s="14" t="s">
        <v>1745</v>
      </c>
      <c r="E2746" s="14" t="s">
        <v>1746</v>
      </c>
      <c r="F2746" s="25">
        <v>5031621</v>
      </c>
      <c r="G2746" s="25">
        <v>3773716</v>
      </c>
    </row>
    <row r="2747" spans="1:7" x14ac:dyDescent="0.25">
      <c r="A2747" s="14" t="s">
        <v>2553</v>
      </c>
      <c r="B2747" s="14">
        <v>3</v>
      </c>
      <c r="C2747" s="15" t="s">
        <v>2555</v>
      </c>
      <c r="D2747" s="14" t="s">
        <v>1745</v>
      </c>
      <c r="E2747" s="14" t="s">
        <v>1746</v>
      </c>
      <c r="F2747" s="25">
        <v>12579021</v>
      </c>
      <c r="G2747" s="25">
        <v>9434266</v>
      </c>
    </row>
    <row r="2748" spans="1:7" x14ac:dyDescent="0.25">
      <c r="A2748" s="14" t="s">
        <v>2553</v>
      </c>
      <c r="B2748" s="14" t="s">
        <v>24</v>
      </c>
      <c r="C2748" s="15" t="s">
        <v>2554</v>
      </c>
      <c r="D2748" s="14" t="s">
        <v>1749</v>
      </c>
      <c r="E2748" s="14" t="s">
        <v>1766</v>
      </c>
      <c r="F2748" s="25">
        <v>0</v>
      </c>
      <c r="G2748" s="25">
        <v>0</v>
      </c>
    </row>
    <row r="2749" spans="1:7" x14ac:dyDescent="0.25">
      <c r="A2749" s="14" t="s">
        <v>2553</v>
      </c>
      <c r="B2749" s="14">
        <v>2</v>
      </c>
      <c r="C2749" s="15" t="s">
        <v>2555</v>
      </c>
      <c r="D2749" s="14" t="s">
        <v>1749</v>
      </c>
      <c r="E2749" s="14" t="s">
        <v>1766</v>
      </c>
      <c r="F2749" s="25">
        <v>0</v>
      </c>
      <c r="G2749" s="25">
        <v>0</v>
      </c>
    </row>
    <row r="2750" spans="1:7" x14ac:dyDescent="0.25">
      <c r="A2750" s="14" t="s">
        <v>2553</v>
      </c>
      <c r="B2750" s="14">
        <v>3</v>
      </c>
      <c r="C2750" s="15" t="s">
        <v>2555</v>
      </c>
      <c r="D2750" s="14" t="s">
        <v>1749</v>
      </c>
      <c r="E2750" s="14" t="s">
        <v>1746</v>
      </c>
      <c r="F2750" s="25">
        <v>1198002</v>
      </c>
      <c r="G2750" s="25">
        <v>898501.5</v>
      </c>
    </row>
    <row r="2751" spans="1:7" x14ac:dyDescent="0.25">
      <c r="A2751" s="14" t="s">
        <v>2553</v>
      </c>
      <c r="B2751" s="14" t="s">
        <v>16</v>
      </c>
      <c r="C2751" s="15" t="s">
        <v>2556</v>
      </c>
      <c r="D2751" s="14" t="s">
        <v>1752</v>
      </c>
      <c r="E2751" s="14" t="s">
        <v>1746</v>
      </c>
      <c r="F2751" s="25">
        <v>15094863</v>
      </c>
      <c r="G2751" s="25">
        <v>11321147</v>
      </c>
    </row>
    <row r="2752" spans="1:7" x14ac:dyDescent="0.25">
      <c r="A2752" s="14" t="s">
        <v>2553</v>
      </c>
      <c r="B2752" s="14" t="s">
        <v>20</v>
      </c>
      <c r="C2752" s="15" t="s">
        <v>2554</v>
      </c>
      <c r="D2752" s="14" t="s">
        <v>1745</v>
      </c>
      <c r="E2752" s="14" t="s">
        <v>1746</v>
      </c>
      <c r="F2752" s="25">
        <v>0</v>
      </c>
      <c r="G2752" s="25">
        <v>0</v>
      </c>
    </row>
    <row r="2753" spans="1:7" x14ac:dyDescent="0.25">
      <c r="A2753" s="14" t="s">
        <v>2553</v>
      </c>
      <c r="B2753" s="14" t="s">
        <v>20</v>
      </c>
      <c r="C2753" s="15" t="s">
        <v>2554</v>
      </c>
      <c r="D2753" s="14" t="s">
        <v>1752</v>
      </c>
      <c r="E2753" s="14" t="s">
        <v>1753</v>
      </c>
      <c r="F2753" s="25">
        <v>0</v>
      </c>
      <c r="G2753" s="25">
        <v>0</v>
      </c>
    </row>
    <row r="2754" spans="1:7" x14ac:dyDescent="0.25">
      <c r="A2754" s="14" t="s">
        <v>2553</v>
      </c>
      <c r="B2754" s="14">
        <v>6</v>
      </c>
      <c r="C2754" s="15" t="s">
        <v>2557</v>
      </c>
      <c r="D2754" s="14" t="s">
        <v>1749</v>
      </c>
      <c r="E2754" s="14" t="s">
        <v>1746</v>
      </c>
      <c r="F2754" s="25">
        <v>0</v>
      </c>
      <c r="G2754" s="25">
        <v>0</v>
      </c>
    </row>
    <row r="2755" spans="1:7" x14ac:dyDescent="0.25">
      <c r="A2755" s="14" t="s">
        <v>2553</v>
      </c>
      <c r="B2755" s="14" t="s">
        <v>20</v>
      </c>
      <c r="C2755" s="15" t="s">
        <v>2554</v>
      </c>
      <c r="D2755" s="14" t="s">
        <v>1749</v>
      </c>
      <c r="E2755" s="14" t="s">
        <v>1746</v>
      </c>
      <c r="F2755" s="25">
        <v>0</v>
      </c>
      <c r="G2755" s="25">
        <v>0</v>
      </c>
    </row>
    <row r="2756" spans="1:7" x14ac:dyDescent="0.25">
      <c r="A2756" s="14" t="s">
        <v>2553</v>
      </c>
      <c r="B2756" s="14" t="s">
        <v>16</v>
      </c>
      <c r="C2756" s="15" t="s">
        <v>2556</v>
      </c>
      <c r="D2756" s="14" t="s">
        <v>1749</v>
      </c>
      <c r="E2756" s="14" t="s">
        <v>1746</v>
      </c>
      <c r="F2756" s="25">
        <v>479202</v>
      </c>
      <c r="G2756" s="25">
        <v>359401.5</v>
      </c>
    </row>
    <row r="2757" spans="1:7" x14ac:dyDescent="0.25">
      <c r="A2757" s="14" t="s">
        <v>2553</v>
      </c>
      <c r="B2757" s="14">
        <v>6</v>
      </c>
      <c r="C2757" s="15" t="s">
        <v>2557</v>
      </c>
      <c r="D2757" s="14" t="s">
        <v>1745</v>
      </c>
      <c r="E2757" s="14" t="s">
        <v>1747</v>
      </c>
      <c r="F2757" s="25">
        <v>0</v>
      </c>
      <c r="G2757" s="25">
        <v>0</v>
      </c>
    </row>
    <row r="2758" spans="1:7" x14ac:dyDescent="0.25">
      <c r="A2758" s="14" t="s">
        <v>2553</v>
      </c>
      <c r="B2758" s="14" t="s">
        <v>20</v>
      </c>
      <c r="C2758" s="15" t="s">
        <v>2554</v>
      </c>
      <c r="D2758" s="14" t="s">
        <v>1752</v>
      </c>
      <c r="E2758" s="14" t="s">
        <v>1746</v>
      </c>
      <c r="F2758" s="25">
        <v>0</v>
      </c>
      <c r="G2758" s="25">
        <v>0</v>
      </c>
    </row>
    <row r="2759" spans="1:7" x14ac:dyDescent="0.25">
      <c r="A2759" s="14" t="s">
        <v>2558</v>
      </c>
      <c r="B2759" s="14" t="s">
        <v>55</v>
      </c>
      <c r="C2759" s="15" t="s">
        <v>2559</v>
      </c>
      <c r="D2759" s="14" t="s">
        <v>1745</v>
      </c>
      <c r="E2759" s="14" t="s">
        <v>1747</v>
      </c>
      <c r="F2759" s="25">
        <v>8520</v>
      </c>
      <c r="G2759" s="25">
        <v>6816</v>
      </c>
    </row>
    <row r="2760" spans="1:7" x14ac:dyDescent="0.25">
      <c r="A2760" s="14" t="s">
        <v>2558</v>
      </c>
      <c r="B2760" s="14">
        <v>9</v>
      </c>
      <c r="C2760" s="15" t="s">
        <v>2560</v>
      </c>
      <c r="D2760" s="14" t="s">
        <v>1745</v>
      </c>
      <c r="E2760" s="14" t="s">
        <v>1746</v>
      </c>
      <c r="F2760" s="25">
        <v>8946</v>
      </c>
      <c r="G2760" s="25">
        <v>7156.8</v>
      </c>
    </row>
    <row r="2761" spans="1:7" x14ac:dyDescent="0.25">
      <c r="A2761" s="14" t="s">
        <v>2558</v>
      </c>
      <c r="B2761" s="14" t="s">
        <v>39</v>
      </c>
      <c r="C2761" s="15" t="s">
        <v>2561</v>
      </c>
      <c r="D2761" s="14" t="s">
        <v>1752</v>
      </c>
      <c r="E2761" s="14" t="s">
        <v>1747</v>
      </c>
      <c r="F2761" s="25">
        <v>25560</v>
      </c>
      <c r="G2761" s="25">
        <v>20448</v>
      </c>
    </row>
    <row r="2762" spans="1:7" x14ac:dyDescent="0.25">
      <c r="A2762" s="14" t="s">
        <v>2558</v>
      </c>
      <c r="B2762" s="14">
        <v>9</v>
      </c>
      <c r="C2762" s="15" t="s">
        <v>2560</v>
      </c>
      <c r="D2762" s="14" t="s">
        <v>1745</v>
      </c>
      <c r="E2762" s="14" t="s">
        <v>1747</v>
      </c>
      <c r="F2762" s="25">
        <v>8520</v>
      </c>
      <c r="G2762" s="25">
        <v>6816</v>
      </c>
    </row>
    <row r="2763" spans="1:7" x14ac:dyDescent="0.25">
      <c r="A2763" s="14" t="s">
        <v>2558</v>
      </c>
      <c r="B2763" s="14">
        <v>9</v>
      </c>
      <c r="C2763" s="15" t="s">
        <v>2560</v>
      </c>
      <c r="D2763" s="14" t="s">
        <v>1749</v>
      </c>
      <c r="E2763" s="14" t="s">
        <v>1746</v>
      </c>
      <c r="F2763" s="25">
        <v>852</v>
      </c>
      <c r="G2763" s="25">
        <v>681.6</v>
      </c>
    </row>
    <row r="2764" spans="1:7" x14ac:dyDescent="0.25">
      <c r="A2764" s="14" t="s">
        <v>2558</v>
      </c>
      <c r="B2764" s="14" t="s">
        <v>46</v>
      </c>
      <c r="C2764" s="15" t="s">
        <v>2562</v>
      </c>
      <c r="D2764" s="14" t="s">
        <v>1752</v>
      </c>
      <c r="E2764" s="14" t="s">
        <v>1747</v>
      </c>
      <c r="F2764" s="25">
        <v>25560</v>
      </c>
      <c r="G2764" s="25">
        <v>20448</v>
      </c>
    </row>
    <row r="2765" spans="1:7" x14ac:dyDescent="0.25">
      <c r="A2765" s="14" t="s">
        <v>2558</v>
      </c>
      <c r="B2765" s="14" t="s">
        <v>46</v>
      </c>
      <c r="C2765" s="15" t="s">
        <v>2562</v>
      </c>
      <c r="D2765" s="14" t="s">
        <v>1752</v>
      </c>
      <c r="E2765" s="14" t="s">
        <v>1753</v>
      </c>
      <c r="F2765" s="25">
        <v>25560</v>
      </c>
      <c r="G2765" s="25">
        <v>20448</v>
      </c>
    </row>
    <row r="2766" spans="1:7" x14ac:dyDescent="0.25">
      <c r="A2766" s="14" t="s">
        <v>2558</v>
      </c>
      <c r="B2766" s="14" t="s">
        <v>16</v>
      </c>
      <c r="C2766" s="15" t="s">
        <v>2560</v>
      </c>
      <c r="D2766" s="14" t="s">
        <v>1749</v>
      </c>
      <c r="E2766" s="14" t="s">
        <v>1766</v>
      </c>
      <c r="F2766" s="25">
        <v>0</v>
      </c>
      <c r="G2766" s="25">
        <v>0</v>
      </c>
    </row>
    <row r="2767" spans="1:7" x14ac:dyDescent="0.25">
      <c r="A2767" s="14" t="s">
        <v>2558</v>
      </c>
      <c r="B2767" s="14" t="s">
        <v>55</v>
      </c>
      <c r="C2767" s="15" t="s">
        <v>2559</v>
      </c>
      <c r="D2767" s="14" t="s">
        <v>1745</v>
      </c>
      <c r="E2767" s="14" t="s">
        <v>1746</v>
      </c>
      <c r="F2767" s="25">
        <v>8946</v>
      </c>
      <c r="G2767" s="25">
        <v>7156.8</v>
      </c>
    </row>
    <row r="2768" spans="1:7" x14ac:dyDescent="0.25">
      <c r="A2768" s="14" t="s">
        <v>2558</v>
      </c>
      <c r="B2768" s="14" t="s">
        <v>39</v>
      </c>
      <c r="C2768" s="15" t="s">
        <v>2561</v>
      </c>
      <c r="D2768" s="14" t="s">
        <v>1752</v>
      </c>
      <c r="E2768" s="14" t="s">
        <v>1753</v>
      </c>
      <c r="F2768" s="25">
        <v>25560</v>
      </c>
      <c r="G2768" s="25">
        <v>20448</v>
      </c>
    </row>
    <row r="2769" spans="1:7" x14ac:dyDescent="0.25">
      <c r="A2769" s="14" t="s">
        <v>2563</v>
      </c>
      <c r="B2769" s="14">
        <v>2</v>
      </c>
      <c r="C2769" s="15" t="s">
        <v>2564</v>
      </c>
      <c r="D2769" s="14" t="s">
        <v>1745</v>
      </c>
      <c r="E2769" s="14" t="s">
        <v>1746</v>
      </c>
      <c r="F2769" s="25">
        <v>1449</v>
      </c>
      <c r="G2769" s="25">
        <v>1159.2</v>
      </c>
    </row>
    <row r="2770" spans="1:7" x14ac:dyDescent="0.25">
      <c r="A2770" s="14" t="s">
        <v>2563</v>
      </c>
      <c r="B2770" s="14">
        <v>2</v>
      </c>
      <c r="C2770" s="15" t="s">
        <v>2564</v>
      </c>
      <c r="D2770" s="14" t="s">
        <v>1749</v>
      </c>
      <c r="E2770" s="14" t="s">
        <v>1746</v>
      </c>
      <c r="F2770" s="25">
        <v>138</v>
      </c>
      <c r="G2770" s="25">
        <v>110.4</v>
      </c>
    </row>
    <row r="2771" spans="1:7" x14ac:dyDescent="0.25">
      <c r="A2771" s="14" t="s">
        <v>2563</v>
      </c>
      <c r="B2771" s="14">
        <v>2</v>
      </c>
      <c r="C2771" s="15" t="s">
        <v>2564</v>
      </c>
      <c r="D2771" s="14" t="s">
        <v>1745</v>
      </c>
      <c r="E2771" s="14" t="s">
        <v>1747</v>
      </c>
      <c r="F2771" s="25">
        <v>1380</v>
      </c>
      <c r="G2771" s="25">
        <v>1104</v>
      </c>
    </row>
    <row r="2772" spans="1:7" x14ac:dyDescent="0.25">
      <c r="A2772" s="14" t="s">
        <v>2563</v>
      </c>
      <c r="B2772" s="14">
        <v>1</v>
      </c>
      <c r="C2772" s="15" t="s">
        <v>2564</v>
      </c>
      <c r="D2772" s="14" t="s">
        <v>1749</v>
      </c>
      <c r="E2772" s="14" t="s">
        <v>1766</v>
      </c>
      <c r="F2772" s="25">
        <v>0</v>
      </c>
      <c r="G2772" s="25">
        <v>0</v>
      </c>
    </row>
    <row r="2773" spans="1:7" x14ac:dyDescent="0.25">
      <c r="A2773" s="14" t="s">
        <v>2565</v>
      </c>
      <c r="B2773" s="14">
        <v>1</v>
      </c>
      <c r="C2773" s="15" t="s">
        <v>2566</v>
      </c>
      <c r="D2773" s="14" t="s">
        <v>1749</v>
      </c>
      <c r="E2773" s="14" t="s">
        <v>1746</v>
      </c>
      <c r="F2773" s="25">
        <v>1998</v>
      </c>
      <c r="G2773" s="25">
        <v>1598.4</v>
      </c>
    </row>
    <row r="2774" spans="1:7" x14ac:dyDescent="0.25">
      <c r="A2774" s="14" t="s">
        <v>2565</v>
      </c>
      <c r="B2774" s="14">
        <v>1</v>
      </c>
      <c r="C2774" s="15" t="s">
        <v>2566</v>
      </c>
      <c r="D2774" s="14" t="s">
        <v>1745</v>
      </c>
      <c r="E2774" s="14" t="s">
        <v>1746</v>
      </c>
      <c r="F2774" s="25">
        <v>20979</v>
      </c>
      <c r="G2774" s="25">
        <v>16783.2</v>
      </c>
    </row>
    <row r="2775" spans="1:7" x14ac:dyDescent="0.25">
      <c r="A2775" s="14" t="s">
        <v>2565</v>
      </c>
      <c r="B2775" s="14">
        <v>1</v>
      </c>
      <c r="C2775" s="15" t="s">
        <v>2566</v>
      </c>
      <c r="D2775" s="14" t="s">
        <v>1745</v>
      </c>
      <c r="E2775" s="14" t="s">
        <v>1747</v>
      </c>
      <c r="F2775" s="25">
        <v>19980</v>
      </c>
      <c r="G2775" s="25">
        <v>15984</v>
      </c>
    </row>
    <row r="2776" spans="1:7" x14ac:dyDescent="0.25">
      <c r="A2776" s="14" t="s">
        <v>2567</v>
      </c>
      <c r="B2776" s="14">
        <v>1</v>
      </c>
      <c r="C2776" s="15" t="s">
        <v>2568</v>
      </c>
      <c r="D2776" s="14" t="s">
        <v>1745</v>
      </c>
      <c r="E2776" s="14" t="s">
        <v>1746</v>
      </c>
      <c r="F2776" s="25">
        <v>15750</v>
      </c>
      <c r="G2776" s="25">
        <v>12600</v>
      </c>
    </row>
    <row r="2777" spans="1:7" x14ac:dyDescent="0.25">
      <c r="A2777" s="14" t="s">
        <v>2567</v>
      </c>
      <c r="B2777" s="14">
        <v>1</v>
      </c>
      <c r="C2777" s="15" t="s">
        <v>2568</v>
      </c>
      <c r="D2777" s="14" t="s">
        <v>1745</v>
      </c>
      <c r="E2777" s="14" t="s">
        <v>1747</v>
      </c>
      <c r="F2777" s="25">
        <v>15000</v>
      </c>
      <c r="G2777" s="25">
        <v>12000</v>
      </c>
    </row>
    <row r="2778" spans="1:7" x14ac:dyDescent="0.25">
      <c r="A2778" s="14" t="s">
        <v>2569</v>
      </c>
      <c r="B2778" s="14">
        <v>5</v>
      </c>
      <c r="C2778" s="15" t="s">
        <v>2570</v>
      </c>
      <c r="D2778" s="14" t="s">
        <v>1745</v>
      </c>
      <c r="E2778" s="14" t="s">
        <v>1746</v>
      </c>
      <c r="F2778" s="25">
        <v>12600</v>
      </c>
      <c r="G2778" s="25">
        <v>10080</v>
      </c>
    </row>
    <row r="2779" spans="1:7" x14ac:dyDescent="0.25">
      <c r="A2779" s="14" t="s">
        <v>2569</v>
      </c>
      <c r="B2779" s="14">
        <v>5</v>
      </c>
      <c r="C2779" s="15" t="s">
        <v>2570</v>
      </c>
      <c r="D2779" s="14" t="s">
        <v>1749</v>
      </c>
      <c r="E2779" s="14" t="s">
        <v>1746</v>
      </c>
      <c r="F2779" s="25">
        <v>1200</v>
      </c>
      <c r="G2779" s="25">
        <v>960</v>
      </c>
    </row>
    <row r="2780" spans="1:7" x14ac:dyDescent="0.25">
      <c r="A2780" s="14" t="s">
        <v>2569</v>
      </c>
      <c r="B2780" s="14">
        <v>5</v>
      </c>
      <c r="C2780" s="15" t="s">
        <v>2570</v>
      </c>
      <c r="D2780" s="14" t="s">
        <v>1745</v>
      </c>
      <c r="E2780" s="14" t="s">
        <v>1747</v>
      </c>
      <c r="F2780" s="25">
        <v>12000</v>
      </c>
      <c r="G2780" s="25">
        <v>9600</v>
      </c>
    </row>
    <row r="2781" spans="1:7" x14ac:dyDescent="0.25">
      <c r="A2781" s="14" t="s">
        <v>739</v>
      </c>
      <c r="B2781" s="14" t="s">
        <v>73</v>
      </c>
      <c r="C2781" s="15" t="s">
        <v>2571</v>
      </c>
      <c r="D2781" s="14" t="s">
        <v>1745</v>
      </c>
      <c r="E2781" s="14" t="s">
        <v>1746</v>
      </c>
      <c r="F2781" s="25">
        <v>0</v>
      </c>
      <c r="G2781" s="25">
        <v>0</v>
      </c>
    </row>
    <row r="2782" spans="1:7" x14ac:dyDescent="0.25">
      <c r="A2782" s="14" t="s">
        <v>739</v>
      </c>
      <c r="B2782" s="14">
        <v>1</v>
      </c>
      <c r="C2782" s="15" t="s">
        <v>2572</v>
      </c>
      <c r="D2782" s="14" t="s">
        <v>1745</v>
      </c>
      <c r="E2782" s="14" t="s">
        <v>1747</v>
      </c>
      <c r="F2782" s="25">
        <v>0</v>
      </c>
      <c r="G2782" s="25">
        <v>0</v>
      </c>
    </row>
    <row r="2783" spans="1:7" x14ac:dyDescent="0.25">
      <c r="A2783" s="14" t="s">
        <v>739</v>
      </c>
      <c r="B2783" s="14" t="s">
        <v>73</v>
      </c>
      <c r="C2783" s="15" t="s">
        <v>2571</v>
      </c>
      <c r="D2783" s="14" t="s">
        <v>1749</v>
      </c>
      <c r="E2783" s="14" t="s">
        <v>1746</v>
      </c>
      <c r="F2783" s="25">
        <v>0</v>
      </c>
      <c r="G2783" s="25">
        <v>0</v>
      </c>
    </row>
    <row r="2784" spans="1:7" x14ac:dyDescent="0.25">
      <c r="A2784" s="14" t="s">
        <v>739</v>
      </c>
      <c r="B2784" s="14" t="s">
        <v>73</v>
      </c>
      <c r="C2784" s="15" t="s">
        <v>2571</v>
      </c>
      <c r="D2784" s="14" t="s">
        <v>1745</v>
      </c>
      <c r="E2784" s="14" t="s">
        <v>1747</v>
      </c>
      <c r="F2784" s="25">
        <v>0</v>
      </c>
      <c r="G2784" s="25">
        <v>0</v>
      </c>
    </row>
    <row r="2785" spans="1:7" x14ac:dyDescent="0.25">
      <c r="A2785" s="14" t="s">
        <v>739</v>
      </c>
      <c r="B2785" s="14" t="s">
        <v>34</v>
      </c>
      <c r="C2785" s="15" t="s">
        <v>2573</v>
      </c>
      <c r="D2785" s="14" t="s">
        <v>1745</v>
      </c>
      <c r="E2785" s="14" t="s">
        <v>1747</v>
      </c>
      <c r="F2785" s="25">
        <v>0</v>
      </c>
      <c r="G2785" s="25">
        <v>0</v>
      </c>
    </row>
    <row r="2786" spans="1:7" x14ac:dyDescent="0.25">
      <c r="A2786" s="14" t="s">
        <v>739</v>
      </c>
      <c r="B2786" s="14" t="s">
        <v>34</v>
      </c>
      <c r="C2786" s="15" t="s">
        <v>2573</v>
      </c>
      <c r="D2786" s="14" t="s">
        <v>1745</v>
      </c>
      <c r="E2786" s="14" t="s">
        <v>1746</v>
      </c>
      <c r="F2786" s="25">
        <v>0</v>
      </c>
      <c r="G2786" s="25">
        <v>0</v>
      </c>
    </row>
    <row r="2787" spans="1:7" x14ac:dyDescent="0.25">
      <c r="A2787" s="14" t="s">
        <v>739</v>
      </c>
      <c r="B2787" s="14">
        <v>1</v>
      </c>
      <c r="C2787" s="15" t="s">
        <v>2572</v>
      </c>
      <c r="D2787" s="14" t="s">
        <v>1749</v>
      </c>
      <c r="E2787" s="14" t="s">
        <v>1746</v>
      </c>
      <c r="F2787" s="25">
        <v>0</v>
      </c>
      <c r="G2787" s="25">
        <v>0</v>
      </c>
    </row>
    <row r="2788" spans="1:7" x14ac:dyDescent="0.25">
      <c r="A2788" s="14" t="s">
        <v>739</v>
      </c>
      <c r="B2788" s="14">
        <v>1</v>
      </c>
      <c r="C2788" s="15" t="s">
        <v>2572</v>
      </c>
      <c r="D2788" s="14" t="s">
        <v>1745</v>
      </c>
      <c r="E2788" s="14" t="s">
        <v>1746</v>
      </c>
      <c r="F2788" s="25">
        <v>0</v>
      </c>
      <c r="G2788" s="25">
        <v>0</v>
      </c>
    </row>
    <row r="2789" spans="1:7" x14ac:dyDescent="0.25">
      <c r="A2789" s="14" t="s">
        <v>739</v>
      </c>
      <c r="B2789" s="14" t="s">
        <v>34</v>
      </c>
      <c r="C2789" s="15" t="s">
        <v>2573</v>
      </c>
      <c r="D2789" s="14" t="s">
        <v>1749</v>
      </c>
      <c r="E2789" s="14" t="s">
        <v>1746</v>
      </c>
      <c r="F2789" s="25">
        <v>0</v>
      </c>
      <c r="G2789" s="25">
        <v>0</v>
      </c>
    </row>
    <row r="2790" spans="1:7" x14ac:dyDescent="0.25">
      <c r="A2790" s="14" t="s">
        <v>722</v>
      </c>
      <c r="B2790" s="14" t="s">
        <v>29</v>
      </c>
      <c r="C2790" s="15" t="s">
        <v>2574</v>
      </c>
      <c r="D2790" s="14" t="s">
        <v>1745</v>
      </c>
      <c r="E2790" s="14" t="s">
        <v>1746</v>
      </c>
      <c r="F2790" s="25">
        <v>3087</v>
      </c>
      <c r="G2790" s="25">
        <v>2778.36</v>
      </c>
    </row>
    <row r="2791" spans="1:7" x14ac:dyDescent="0.25">
      <c r="A2791" s="14" t="s">
        <v>722</v>
      </c>
      <c r="B2791" s="14" t="s">
        <v>263</v>
      </c>
      <c r="C2791" s="15" t="s">
        <v>735</v>
      </c>
      <c r="D2791" s="14" t="s">
        <v>1745</v>
      </c>
      <c r="E2791" s="14" t="s">
        <v>1746</v>
      </c>
      <c r="F2791" s="25">
        <v>5229</v>
      </c>
      <c r="G2791" s="25">
        <v>4183.2</v>
      </c>
    </row>
    <row r="2792" spans="1:7" x14ac:dyDescent="0.25">
      <c r="A2792" s="14" t="s">
        <v>722</v>
      </c>
      <c r="B2792" s="14" t="s">
        <v>195</v>
      </c>
      <c r="C2792" s="15" t="s">
        <v>2575</v>
      </c>
      <c r="D2792" s="14" t="s">
        <v>1745</v>
      </c>
      <c r="E2792" s="14" t="s">
        <v>1746</v>
      </c>
      <c r="F2792" s="25">
        <v>2331</v>
      </c>
      <c r="G2792" s="25">
        <v>1864.8</v>
      </c>
    </row>
    <row r="2793" spans="1:7" x14ac:dyDescent="0.25">
      <c r="A2793" s="14" t="s">
        <v>722</v>
      </c>
      <c r="B2793" s="14" t="s">
        <v>36</v>
      </c>
      <c r="C2793" s="15" t="s">
        <v>2576</v>
      </c>
      <c r="D2793" s="14" t="s">
        <v>1745</v>
      </c>
      <c r="E2793" s="14" t="s">
        <v>1746</v>
      </c>
      <c r="F2793" s="25">
        <v>3150</v>
      </c>
      <c r="G2793" s="25">
        <v>2520</v>
      </c>
    </row>
    <row r="2794" spans="1:7" x14ac:dyDescent="0.25">
      <c r="A2794" s="14" t="s">
        <v>722</v>
      </c>
      <c r="B2794" s="14" t="s">
        <v>195</v>
      </c>
      <c r="C2794" s="15" t="s">
        <v>2575</v>
      </c>
      <c r="D2794" s="14" t="s">
        <v>1749</v>
      </c>
      <c r="E2794" s="14" t="s">
        <v>1746</v>
      </c>
      <c r="F2794" s="25">
        <v>222</v>
      </c>
      <c r="G2794" s="25">
        <v>177.6</v>
      </c>
    </row>
    <row r="2795" spans="1:7" x14ac:dyDescent="0.25">
      <c r="A2795" s="14" t="s">
        <v>722</v>
      </c>
      <c r="B2795" s="14">
        <v>1</v>
      </c>
      <c r="C2795" s="15" t="s">
        <v>721</v>
      </c>
      <c r="D2795" s="14" t="s">
        <v>1745</v>
      </c>
      <c r="E2795" s="14" t="s">
        <v>1747</v>
      </c>
      <c r="F2795" s="25">
        <v>7380</v>
      </c>
      <c r="G2795" s="25">
        <v>5904</v>
      </c>
    </row>
    <row r="2796" spans="1:7" x14ac:dyDescent="0.25">
      <c r="A2796" s="14" t="s">
        <v>722</v>
      </c>
      <c r="B2796" s="14" t="s">
        <v>29</v>
      </c>
      <c r="C2796" s="15" t="s">
        <v>2574</v>
      </c>
      <c r="D2796" s="14" t="s">
        <v>1745</v>
      </c>
      <c r="E2796" s="14" t="s">
        <v>1747</v>
      </c>
      <c r="F2796" s="25">
        <v>2940</v>
      </c>
      <c r="G2796" s="25">
        <v>2646</v>
      </c>
    </row>
    <row r="2797" spans="1:7" x14ac:dyDescent="0.25">
      <c r="A2797" s="14" t="s">
        <v>722</v>
      </c>
      <c r="B2797" s="14" t="s">
        <v>29</v>
      </c>
      <c r="C2797" s="15" t="s">
        <v>2574</v>
      </c>
      <c r="D2797" s="14" t="s">
        <v>1749</v>
      </c>
      <c r="E2797" s="14" t="s">
        <v>1746</v>
      </c>
      <c r="F2797" s="25">
        <v>294</v>
      </c>
      <c r="G2797" s="25">
        <v>264.60000000000002</v>
      </c>
    </row>
    <row r="2798" spans="1:7" x14ac:dyDescent="0.25">
      <c r="A2798" s="14" t="s">
        <v>722</v>
      </c>
      <c r="B2798" s="14">
        <v>1</v>
      </c>
      <c r="C2798" s="15" t="s">
        <v>721</v>
      </c>
      <c r="D2798" s="14" t="s">
        <v>1745</v>
      </c>
      <c r="E2798" s="14" t="s">
        <v>1746</v>
      </c>
      <c r="F2798" s="25">
        <v>7749</v>
      </c>
      <c r="G2798" s="25">
        <v>6199.2</v>
      </c>
    </row>
    <row r="2799" spans="1:7" x14ac:dyDescent="0.25">
      <c r="A2799" s="14" t="s">
        <v>722</v>
      </c>
      <c r="B2799" s="14" t="s">
        <v>263</v>
      </c>
      <c r="C2799" s="15" t="s">
        <v>735</v>
      </c>
      <c r="D2799" s="14" t="s">
        <v>1745</v>
      </c>
      <c r="E2799" s="14" t="s">
        <v>1747</v>
      </c>
      <c r="F2799" s="25">
        <v>4980</v>
      </c>
      <c r="G2799" s="25">
        <v>3984</v>
      </c>
    </row>
    <row r="2800" spans="1:7" x14ac:dyDescent="0.25">
      <c r="A2800" s="14" t="s">
        <v>722</v>
      </c>
      <c r="B2800" s="14" t="s">
        <v>263</v>
      </c>
      <c r="C2800" s="15" t="s">
        <v>735</v>
      </c>
      <c r="D2800" s="14" t="s">
        <v>1749</v>
      </c>
      <c r="E2800" s="14" t="s">
        <v>1746</v>
      </c>
      <c r="F2800" s="25">
        <v>498</v>
      </c>
      <c r="G2800" s="25">
        <v>398.4</v>
      </c>
    </row>
    <row r="2801" spans="1:7" x14ac:dyDescent="0.25">
      <c r="A2801" s="14" t="s">
        <v>722</v>
      </c>
      <c r="B2801" s="14" t="s">
        <v>36</v>
      </c>
      <c r="C2801" s="15" t="s">
        <v>2576</v>
      </c>
      <c r="D2801" s="14" t="s">
        <v>1745</v>
      </c>
      <c r="E2801" s="14" t="s">
        <v>1747</v>
      </c>
      <c r="F2801" s="25">
        <v>3000</v>
      </c>
      <c r="G2801" s="25">
        <v>2400</v>
      </c>
    </row>
    <row r="2802" spans="1:7" x14ac:dyDescent="0.25">
      <c r="A2802" s="14" t="s">
        <v>722</v>
      </c>
      <c r="B2802" s="14">
        <v>1</v>
      </c>
      <c r="C2802" s="15" t="s">
        <v>721</v>
      </c>
      <c r="D2802" s="14" t="s">
        <v>1749</v>
      </c>
      <c r="E2802" s="14" t="s">
        <v>1746</v>
      </c>
      <c r="F2802" s="25">
        <v>738</v>
      </c>
      <c r="G2802" s="25">
        <v>590.4</v>
      </c>
    </row>
    <row r="2803" spans="1:7" x14ac:dyDescent="0.25">
      <c r="A2803" s="14" t="s">
        <v>722</v>
      </c>
      <c r="B2803" s="14" t="s">
        <v>195</v>
      </c>
      <c r="C2803" s="15" t="s">
        <v>2575</v>
      </c>
      <c r="D2803" s="14" t="s">
        <v>1745</v>
      </c>
      <c r="E2803" s="14" t="s">
        <v>1747</v>
      </c>
      <c r="F2803" s="25">
        <v>2220</v>
      </c>
      <c r="G2803" s="25">
        <v>1776</v>
      </c>
    </row>
    <row r="2804" spans="1:7" x14ac:dyDescent="0.25">
      <c r="A2804" s="14" t="s">
        <v>722</v>
      </c>
      <c r="B2804" s="14" t="s">
        <v>36</v>
      </c>
      <c r="C2804" s="15" t="s">
        <v>2576</v>
      </c>
      <c r="D2804" s="14" t="s">
        <v>1749</v>
      </c>
      <c r="E2804" s="14" t="s">
        <v>1746</v>
      </c>
      <c r="F2804" s="25">
        <v>300</v>
      </c>
      <c r="G2804" s="25">
        <v>240</v>
      </c>
    </row>
    <row r="2805" spans="1:7" x14ac:dyDescent="0.25">
      <c r="A2805" s="14" t="s">
        <v>1084</v>
      </c>
      <c r="B2805" s="14">
        <v>3</v>
      </c>
      <c r="C2805" s="15" t="s">
        <v>1088</v>
      </c>
      <c r="D2805" s="14" t="s">
        <v>1745</v>
      </c>
      <c r="E2805" s="14" t="s">
        <v>1747</v>
      </c>
      <c r="F2805" s="25">
        <v>12960</v>
      </c>
      <c r="G2805" s="25">
        <v>10368</v>
      </c>
    </row>
    <row r="2806" spans="1:7" x14ac:dyDescent="0.25">
      <c r="A2806" s="14" t="s">
        <v>1084</v>
      </c>
      <c r="B2806" s="14">
        <v>3</v>
      </c>
      <c r="C2806" s="15" t="s">
        <v>1088</v>
      </c>
      <c r="D2806" s="14" t="s">
        <v>1745</v>
      </c>
      <c r="E2806" s="14" t="s">
        <v>1746</v>
      </c>
      <c r="F2806" s="25">
        <v>13608</v>
      </c>
      <c r="G2806" s="25">
        <v>10886.4</v>
      </c>
    </row>
    <row r="2807" spans="1:7" x14ac:dyDescent="0.25">
      <c r="A2807" s="14" t="s">
        <v>1091</v>
      </c>
      <c r="B2807" s="14" t="s">
        <v>650</v>
      </c>
      <c r="C2807" s="15" t="s">
        <v>2577</v>
      </c>
      <c r="D2807" s="14" t="s">
        <v>1745</v>
      </c>
      <c r="E2807" s="14" t="s">
        <v>1747</v>
      </c>
      <c r="F2807" s="25">
        <v>15960</v>
      </c>
      <c r="G2807" s="25">
        <v>12768</v>
      </c>
    </row>
    <row r="2808" spans="1:7" x14ac:dyDescent="0.25">
      <c r="A2808" s="14" t="s">
        <v>1091</v>
      </c>
      <c r="B2808" s="14">
        <v>6</v>
      </c>
      <c r="C2808" s="15" t="s">
        <v>1097</v>
      </c>
      <c r="D2808" s="14" t="s">
        <v>1752</v>
      </c>
      <c r="E2808" s="14" t="s">
        <v>1753</v>
      </c>
      <c r="F2808" s="25">
        <v>119880</v>
      </c>
      <c r="G2808" s="25">
        <v>95904</v>
      </c>
    </row>
    <row r="2809" spans="1:7" x14ac:dyDescent="0.25">
      <c r="A2809" s="14" t="s">
        <v>1091</v>
      </c>
      <c r="B2809" s="14" t="s">
        <v>55</v>
      </c>
      <c r="C2809" s="15" t="s">
        <v>2578</v>
      </c>
      <c r="D2809" s="14" t="s">
        <v>1745</v>
      </c>
      <c r="E2809" s="14" t="s">
        <v>1746</v>
      </c>
      <c r="F2809" s="25">
        <v>10458</v>
      </c>
      <c r="G2809" s="25">
        <v>9412.2000000000007</v>
      </c>
    </row>
    <row r="2810" spans="1:7" x14ac:dyDescent="0.25">
      <c r="A2810" s="14" t="s">
        <v>1091</v>
      </c>
      <c r="B2810" s="14">
        <v>6</v>
      </c>
      <c r="C2810" s="15" t="s">
        <v>1097</v>
      </c>
      <c r="D2810" s="14" t="s">
        <v>1745</v>
      </c>
      <c r="E2810" s="14" t="s">
        <v>1746</v>
      </c>
      <c r="F2810" s="25">
        <v>41958</v>
      </c>
      <c r="G2810" s="25">
        <v>33566.400000000001</v>
      </c>
    </row>
    <row r="2811" spans="1:7" x14ac:dyDescent="0.25">
      <c r="A2811" s="14" t="s">
        <v>1091</v>
      </c>
      <c r="B2811" s="14" t="s">
        <v>55</v>
      </c>
      <c r="C2811" s="15" t="s">
        <v>2578</v>
      </c>
      <c r="D2811" s="14" t="s">
        <v>1745</v>
      </c>
      <c r="E2811" s="14" t="s">
        <v>1747</v>
      </c>
      <c r="F2811" s="25">
        <v>9960</v>
      </c>
      <c r="G2811" s="25">
        <v>8964</v>
      </c>
    </row>
    <row r="2812" spans="1:7" x14ac:dyDescent="0.25">
      <c r="A2812" s="14" t="s">
        <v>1091</v>
      </c>
      <c r="B2812" s="14" t="s">
        <v>55</v>
      </c>
      <c r="C2812" s="15" t="s">
        <v>2578</v>
      </c>
      <c r="D2812" s="14" t="s">
        <v>1749</v>
      </c>
      <c r="E2812" s="14" t="s">
        <v>1746</v>
      </c>
      <c r="F2812" s="25">
        <v>996</v>
      </c>
      <c r="G2812" s="25">
        <v>896.4</v>
      </c>
    </row>
    <row r="2813" spans="1:7" x14ac:dyDescent="0.25">
      <c r="A2813" s="14" t="s">
        <v>1091</v>
      </c>
      <c r="B2813" s="14">
        <v>6</v>
      </c>
      <c r="C2813" s="15" t="s">
        <v>1097</v>
      </c>
      <c r="D2813" s="14" t="s">
        <v>1752</v>
      </c>
      <c r="E2813" s="14" t="s">
        <v>1747</v>
      </c>
      <c r="F2813" s="25">
        <v>119880</v>
      </c>
      <c r="G2813" s="25">
        <v>95904</v>
      </c>
    </row>
    <row r="2814" spans="1:7" x14ac:dyDescent="0.25">
      <c r="A2814" s="14" t="s">
        <v>1091</v>
      </c>
      <c r="B2814" s="14">
        <v>6</v>
      </c>
      <c r="C2814" s="15" t="s">
        <v>1097</v>
      </c>
      <c r="D2814" s="14" t="s">
        <v>1749</v>
      </c>
      <c r="E2814" s="14" t="s">
        <v>1746</v>
      </c>
      <c r="F2814" s="25">
        <v>3996</v>
      </c>
      <c r="G2814" s="25">
        <v>3196.8</v>
      </c>
    </row>
    <row r="2815" spans="1:7" x14ac:dyDescent="0.25">
      <c r="A2815" s="14" t="s">
        <v>1091</v>
      </c>
      <c r="B2815" s="14">
        <v>6</v>
      </c>
      <c r="C2815" s="15" t="s">
        <v>1097</v>
      </c>
      <c r="D2815" s="14" t="s">
        <v>1745</v>
      </c>
      <c r="E2815" s="14" t="s">
        <v>1747</v>
      </c>
      <c r="F2815" s="25">
        <v>39960</v>
      </c>
      <c r="G2815" s="25">
        <v>31968</v>
      </c>
    </row>
    <row r="2816" spans="1:7" x14ac:dyDescent="0.25">
      <c r="A2816" s="14" t="s">
        <v>1091</v>
      </c>
      <c r="B2816" s="14">
        <v>2</v>
      </c>
      <c r="C2816" s="15" t="s">
        <v>1097</v>
      </c>
      <c r="D2816" s="14" t="s">
        <v>1749</v>
      </c>
      <c r="E2816" s="14" t="s">
        <v>1766</v>
      </c>
      <c r="F2816" s="25">
        <v>0</v>
      </c>
      <c r="G2816" s="25">
        <v>0</v>
      </c>
    </row>
    <row r="2817" spans="1:7" x14ac:dyDescent="0.25">
      <c r="A2817" s="14" t="s">
        <v>1091</v>
      </c>
      <c r="B2817" s="14" t="s">
        <v>650</v>
      </c>
      <c r="C2817" s="15" t="s">
        <v>2577</v>
      </c>
      <c r="D2817" s="14" t="s">
        <v>1745</v>
      </c>
      <c r="E2817" s="14" t="s">
        <v>1746</v>
      </c>
      <c r="F2817" s="25">
        <v>16758</v>
      </c>
      <c r="G2817" s="25">
        <v>13406.4</v>
      </c>
    </row>
    <row r="2818" spans="1:7" x14ac:dyDescent="0.25">
      <c r="A2818" s="14" t="s">
        <v>1091</v>
      </c>
      <c r="B2818" s="14" t="s">
        <v>650</v>
      </c>
      <c r="C2818" s="15" t="s">
        <v>2577</v>
      </c>
      <c r="D2818" s="14" t="s">
        <v>1749</v>
      </c>
      <c r="E2818" s="14" t="s">
        <v>1746</v>
      </c>
      <c r="F2818" s="25">
        <v>1596</v>
      </c>
      <c r="G2818" s="25">
        <v>1276.8</v>
      </c>
    </row>
    <row r="2819" spans="1:7" x14ac:dyDescent="0.25">
      <c r="A2819" s="14" t="s">
        <v>1107</v>
      </c>
      <c r="B2819" s="14" t="s">
        <v>28</v>
      </c>
      <c r="C2819" s="15" t="s">
        <v>2579</v>
      </c>
      <c r="D2819" s="14" t="s">
        <v>1745</v>
      </c>
      <c r="E2819" s="14" t="s">
        <v>1746</v>
      </c>
      <c r="F2819" s="25">
        <v>3150</v>
      </c>
      <c r="G2819" s="25">
        <v>2520</v>
      </c>
    </row>
    <row r="2820" spans="1:7" x14ac:dyDescent="0.25">
      <c r="A2820" s="14" t="s">
        <v>1107</v>
      </c>
      <c r="B2820" s="14">
        <v>1</v>
      </c>
      <c r="C2820" s="15" t="s">
        <v>2580</v>
      </c>
      <c r="D2820" s="14" t="s">
        <v>1745</v>
      </c>
      <c r="E2820" s="14" t="s">
        <v>1747</v>
      </c>
      <c r="F2820" s="25">
        <v>7980</v>
      </c>
      <c r="G2820" s="25">
        <v>6384</v>
      </c>
    </row>
    <row r="2821" spans="1:7" x14ac:dyDescent="0.25">
      <c r="A2821" s="14" t="s">
        <v>1107</v>
      </c>
      <c r="B2821" s="14" t="s">
        <v>183</v>
      </c>
      <c r="C2821" s="15" t="s">
        <v>2581</v>
      </c>
      <c r="D2821" s="14" t="s">
        <v>1745</v>
      </c>
      <c r="E2821" s="14" t="s">
        <v>1746</v>
      </c>
      <c r="F2821" s="25">
        <v>0</v>
      </c>
      <c r="G2821" s="25">
        <v>0</v>
      </c>
    </row>
    <row r="2822" spans="1:7" x14ac:dyDescent="0.25">
      <c r="A2822" s="14" t="s">
        <v>1107</v>
      </c>
      <c r="B2822" s="14" t="s">
        <v>39</v>
      </c>
      <c r="C2822" s="15" t="s">
        <v>2582</v>
      </c>
      <c r="D2822" s="14" t="s">
        <v>1745</v>
      </c>
      <c r="E2822" s="14" t="s">
        <v>1746</v>
      </c>
      <c r="F2822" s="25">
        <v>2331</v>
      </c>
      <c r="G2822" s="25">
        <v>1864.8</v>
      </c>
    </row>
    <row r="2823" spans="1:7" x14ac:dyDescent="0.25">
      <c r="A2823" s="14" t="s">
        <v>1107</v>
      </c>
      <c r="B2823" s="14" t="s">
        <v>28</v>
      </c>
      <c r="C2823" s="15" t="s">
        <v>2579</v>
      </c>
      <c r="D2823" s="14" t="s">
        <v>1745</v>
      </c>
      <c r="E2823" s="14" t="s">
        <v>1747</v>
      </c>
      <c r="F2823" s="25">
        <v>3000</v>
      </c>
      <c r="G2823" s="25">
        <v>2400</v>
      </c>
    </row>
    <row r="2824" spans="1:7" x14ac:dyDescent="0.25">
      <c r="A2824" s="14" t="s">
        <v>1107</v>
      </c>
      <c r="B2824" s="14">
        <v>25</v>
      </c>
      <c r="C2824" s="15" t="s">
        <v>2583</v>
      </c>
      <c r="D2824" s="14" t="s">
        <v>1745</v>
      </c>
      <c r="E2824" s="14" t="s">
        <v>1746</v>
      </c>
      <c r="F2824" s="25">
        <v>0</v>
      </c>
      <c r="G2824" s="25">
        <v>0</v>
      </c>
    </row>
    <row r="2825" spans="1:7" x14ac:dyDescent="0.25">
      <c r="A2825" s="14" t="s">
        <v>1107</v>
      </c>
      <c r="B2825" s="14">
        <v>1</v>
      </c>
      <c r="C2825" s="15" t="s">
        <v>2580</v>
      </c>
      <c r="D2825" s="14" t="s">
        <v>1745</v>
      </c>
      <c r="E2825" s="14" t="s">
        <v>1746</v>
      </c>
      <c r="F2825" s="25">
        <v>8379</v>
      </c>
      <c r="G2825" s="25">
        <v>6703.2</v>
      </c>
    </row>
    <row r="2826" spans="1:7" x14ac:dyDescent="0.25">
      <c r="A2826" s="14" t="s">
        <v>1107</v>
      </c>
      <c r="B2826" s="14" t="s">
        <v>32</v>
      </c>
      <c r="C2826" s="15" t="s">
        <v>2584</v>
      </c>
      <c r="D2826" s="14" t="s">
        <v>1749</v>
      </c>
      <c r="E2826" s="14" t="s">
        <v>1746</v>
      </c>
      <c r="F2826" s="25">
        <v>318</v>
      </c>
      <c r="G2826" s="25">
        <v>286.2</v>
      </c>
    </row>
    <row r="2827" spans="1:7" x14ac:dyDescent="0.25">
      <c r="A2827" s="14" t="s">
        <v>1107</v>
      </c>
      <c r="B2827" s="14">
        <v>26</v>
      </c>
      <c r="C2827" s="15" t="s">
        <v>1115</v>
      </c>
      <c r="D2827" s="14" t="s">
        <v>1745</v>
      </c>
      <c r="E2827" s="14" t="s">
        <v>1747</v>
      </c>
      <c r="F2827" s="25">
        <v>0</v>
      </c>
      <c r="G2827" s="25">
        <v>0</v>
      </c>
    </row>
    <row r="2828" spans="1:7" x14ac:dyDescent="0.25">
      <c r="A2828" s="14" t="s">
        <v>1107</v>
      </c>
      <c r="B2828" s="14" t="s">
        <v>329</v>
      </c>
      <c r="C2828" s="15" t="s">
        <v>2585</v>
      </c>
      <c r="D2828" s="14" t="s">
        <v>1745</v>
      </c>
      <c r="E2828" s="14" t="s">
        <v>1747</v>
      </c>
      <c r="F2828" s="25">
        <v>0</v>
      </c>
      <c r="G2828" s="25">
        <v>0</v>
      </c>
    </row>
    <row r="2829" spans="1:7" x14ac:dyDescent="0.25">
      <c r="A2829" s="14" t="s">
        <v>1107</v>
      </c>
      <c r="B2829" s="14">
        <v>25</v>
      </c>
      <c r="C2829" s="15" t="s">
        <v>2583</v>
      </c>
      <c r="D2829" s="14" t="s">
        <v>1749</v>
      </c>
      <c r="E2829" s="14" t="s">
        <v>1746</v>
      </c>
      <c r="F2829" s="25">
        <v>0</v>
      </c>
      <c r="G2829" s="25">
        <v>0</v>
      </c>
    </row>
    <row r="2830" spans="1:7" x14ac:dyDescent="0.25">
      <c r="A2830" s="14" t="s">
        <v>1107</v>
      </c>
      <c r="B2830" s="14" t="s">
        <v>329</v>
      </c>
      <c r="C2830" s="15" t="s">
        <v>2585</v>
      </c>
      <c r="D2830" s="14" t="s">
        <v>1745</v>
      </c>
      <c r="E2830" s="14" t="s">
        <v>1746</v>
      </c>
      <c r="F2830" s="25">
        <v>0</v>
      </c>
      <c r="G2830" s="25">
        <v>0</v>
      </c>
    </row>
    <row r="2831" spans="1:7" x14ac:dyDescent="0.25">
      <c r="A2831" s="14" t="s">
        <v>1107</v>
      </c>
      <c r="B2831" s="14">
        <v>26</v>
      </c>
      <c r="C2831" s="15" t="s">
        <v>1115</v>
      </c>
      <c r="D2831" s="14" t="s">
        <v>1749</v>
      </c>
      <c r="E2831" s="14" t="s">
        <v>1746</v>
      </c>
      <c r="F2831" s="25">
        <v>0</v>
      </c>
      <c r="G2831" s="25">
        <v>0</v>
      </c>
    </row>
    <row r="2832" spans="1:7" x14ac:dyDescent="0.25">
      <c r="A2832" s="14" t="s">
        <v>1107</v>
      </c>
      <c r="B2832" s="14" t="s">
        <v>183</v>
      </c>
      <c r="C2832" s="15" t="s">
        <v>2581</v>
      </c>
      <c r="D2832" s="14" t="s">
        <v>1749</v>
      </c>
      <c r="E2832" s="14" t="s">
        <v>1746</v>
      </c>
      <c r="F2832" s="25">
        <v>0</v>
      </c>
      <c r="G2832" s="25">
        <v>0</v>
      </c>
    </row>
    <row r="2833" spans="1:7" x14ac:dyDescent="0.25">
      <c r="A2833" s="14" t="s">
        <v>1107</v>
      </c>
      <c r="B2833" s="14" t="s">
        <v>32</v>
      </c>
      <c r="C2833" s="15" t="s">
        <v>2584</v>
      </c>
      <c r="D2833" s="14" t="s">
        <v>1745</v>
      </c>
      <c r="E2833" s="14" t="s">
        <v>1746</v>
      </c>
      <c r="F2833" s="25">
        <v>3339</v>
      </c>
      <c r="G2833" s="25">
        <v>3005.16</v>
      </c>
    </row>
    <row r="2834" spans="1:7" x14ac:dyDescent="0.25">
      <c r="A2834" s="14" t="s">
        <v>1107</v>
      </c>
      <c r="B2834" s="14" t="s">
        <v>39</v>
      </c>
      <c r="C2834" s="15" t="s">
        <v>2582</v>
      </c>
      <c r="D2834" s="14" t="s">
        <v>1745</v>
      </c>
      <c r="E2834" s="14" t="s">
        <v>1747</v>
      </c>
      <c r="F2834" s="25">
        <v>2220</v>
      </c>
      <c r="G2834" s="25">
        <v>1776</v>
      </c>
    </row>
    <row r="2835" spans="1:7" x14ac:dyDescent="0.25">
      <c r="A2835" s="14" t="s">
        <v>1107</v>
      </c>
      <c r="B2835" s="14" t="s">
        <v>39</v>
      </c>
      <c r="C2835" s="15" t="s">
        <v>2582</v>
      </c>
      <c r="D2835" s="14" t="s">
        <v>1749</v>
      </c>
      <c r="E2835" s="14" t="s">
        <v>1746</v>
      </c>
      <c r="F2835" s="25">
        <v>222</v>
      </c>
      <c r="G2835" s="25">
        <v>177.6</v>
      </c>
    </row>
    <row r="2836" spans="1:7" x14ac:dyDescent="0.25">
      <c r="A2836" s="14" t="s">
        <v>1107</v>
      </c>
      <c r="B2836" s="14" t="s">
        <v>32</v>
      </c>
      <c r="C2836" s="15" t="s">
        <v>2584</v>
      </c>
      <c r="D2836" s="14" t="s">
        <v>1745</v>
      </c>
      <c r="E2836" s="14" t="s">
        <v>1747</v>
      </c>
      <c r="F2836" s="25">
        <v>3180</v>
      </c>
      <c r="G2836" s="25">
        <v>2862</v>
      </c>
    </row>
    <row r="2837" spans="1:7" x14ac:dyDescent="0.25">
      <c r="A2837" s="14" t="s">
        <v>1107</v>
      </c>
      <c r="B2837" s="14">
        <v>26</v>
      </c>
      <c r="C2837" s="15" t="s">
        <v>1115</v>
      </c>
      <c r="D2837" s="14" t="s">
        <v>1745</v>
      </c>
      <c r="E2837" s="14" t="s">
        <v>1746</v>
      </c>
      <c r="F2837" s="25">
        <v>0</v>
      </c>
      <c r="G2837" s="25">
        <v>0</v>
      </c>
    </row>
    <row r="2838" spans="1:7" x14ac:dyDescent="0.25">
      <c r="A2838" s="14" t="s">
        <v>1107</v>
      </c>
      <c r="B2838" s="14" t="s">
        <v>329</v>
      </c>
      <c r="C2838" s="15" t="s">
        <v>2585</v>
      </c>
      <c r="D2838" s="14" t="s">
        <v>1749</v>
      </c>
      <c r="E2838" s="14" t="s">
        <v>1746</v>
      </c>
      <c r="F2838" s="25">
        <v>0</v>
      </c>
      <c r="G2838" s="25">
        <v>0</v>
      </c>
    </row>
    <row r="2839" spans="1:7" x14ac:dyDescent="0.25">
      <c r="A2839" s="14" t="s">
        <v>1107</v>
      </c>
      <c r="B2839" s="14" t="s">
        <v>28</v>
      </c>
      <c r="C2839" s="15" t="s">
        <v>2579</v>
      </c>
      <c r="D2839" s="14" t="s">
        <v>1749</v>
      </c>
      <c r="E2839" s="14" t="s">
        <v>1746</v>
      </c>
      <c r="F2839" s="25">
        <v>300</v>
      </c>
      <c r="G2839" s="25">
        <v>240</v>
      </c>
    </row>
    <row r="2840" spans="1:7" x14ac:dyDescent="0.25">
      <c r="A2840" s="14" t="s">
        <v>1107</v>
      </c>
      <c r="B2840" s="14" t="s">
        <v>183</v>
      </c>
      <c r="C2840" s="15" t="s">
        <v>2581</v>
      </c>
      <c r="D2840" s="14" t="s">
        <v>1745</v>
      </c>
      <c r="E2840" s="14" t="s">
        <v>1747</v>
      </c>
      <c r="F2840" s="25">
        <v>0</v>
      </c>
      <c r="G2840" s="25">
        <v>0</v>
      </c>
    </row>
    <row r="2841" spans="1:7" x14ac:dyDescent="0.25">
      <c r="A2841" s="14" t="s">
        <v>1107</v>
      </c>
      <c r="B2841" s="14">
        <v>1</v>
      </c>
      <c r="C2841" s="15" t="s">
        <v>2580</v>
      </c>
      <c r="D2841" s="14" t="s">
        <v>1749</v>
      </c>
      <c r="E2841" s="14" t="s">
        <v>1746</v>
      </c>
      <c r="F2841" s="25">
        <v>798</v>
      </c>
      <c r="G2841" s="25">
        <v>638.4</v>
      </c>
    </row>
    <row r="2842" spans="1:7" x14ac:dyDescent="0.25">
      <c r="A2842" s="14" t="s">
        <v>1107</v>
      </c>
      <c r="B2842" s="14">
        <v>25</v>
      </c>
      <c r="C2842" s="15" t="s">
        <v>2583</v>
      </c>
      <c r="D2842" s="14" t="s">
        <v>1745</v>
      </c>
      <c r="E2842" s="14" t="s">
        <v>1747</v>
      </c>
      <c r="F2842" s="25">
        <v>0</v>
      </c>
      <c r="G2842" s="25">
        <v>0</v>
      </c>
    </row>
    <row r="2843" spans="1:7" x14ac:dyDescent="0.25">
      <c r="A2843" s="14" t="s">
        <v>1122</v>
      </c>
      <c r="B2843" s="14">
        <v>1</v>
      </c>
      <c r="C2843" s="15" t="s">
        <v>1121</v>
      </c>
      <c r="D2843" s="14" t="s">
        <v>1745</v>
      </c>
      <c r="E2843" s="14" t="s">
        <v>1746</v>
      </c>
      <c r="F2843" s="25">
        <v>2079</v>
      </c>
      <c r="G2843" s="25">
        <v>1663.2</v>
      </c>
    </row>
    <row r="2844" spans="1:7" x14ac:dyDescent="0.25">
      <c r="A2844" s="14" t="s">
        <v>1122</v>
      </c>
      <c r="B2844" s="14">
        <v>1</v>
      </c>
      <c r="C2844" s="15" t="s">
        <v>1121</v>
      </c>
      <c r="D2844" s="14" t="s">
        <v>1745</v>
      </c>
      <c r="E2844" s="14" t="s">
        <v>1747</v>
      </c>
      <c r="F2844" s="25">
        <v>1980</v>
      </c>
      <c r="G2844" s="25">
        <v>1584</v>
      </c>
    </row>
    <row r="2845" spans="1:7" x14ac:dyDescent="0.25">
      <c r="A2845" s="14" t="s">
        <v>1122</v>
      </c>
      <c r="B2845" s="14">
        <v>4</v>
      </c>
      <c r="C2845" s="15" t="s">
        <v>2586</v>
      </c>
      <c r="D2845" s="14" t="s">
        <v>1745</v>
      </c>
      <c r="E2845" s="14" t="s">
        <v>1746</v>
      </c>
      <c r="F2845" s="25">
        <v>524.16</v>
      </c>
      <c r="G2845" s="25">
        <v>471.72</v>
      </c>
    </row>
    <row r="2846" spans="1:7" x14ac:dyDescent="0.25">
      <c r="A2846" s="14" t="s">
        <v>1122</v>
      </c>
      <c r="B2846" s="14">
        <v>4</v>
      </c>
      <c r="C2846" s="15" t="s">
        <v>2586</v>
      </c>
      <c r="D2846" s="14" t="s">
        <v>1745</v>
      </c>
      <c r="E2846" s="14" t="s">
        <v>1747</v>
      </c>
      <c r="F2846" s="25">
        <v>499.2</v>
      </c>
      <c r="G2846" s="25">
        <v>449.28</v>
      </c>
    </row>
    <row r="2847" spans="1:7" x14ac:dyDescent="0.25">
      <c r="A2847" s="14" t="s">
        <v>1125</v>
      </c>
      <c r="B2847" s="14">
        <v>7</v>
      </c>
      <c r="C2847" s="15" t="s">
        <v>2587</v>
      </c>
      <c r="D2847" s="14" t="s">
        <v>1745</v>
      </c>
      <c r="E2847" s="14" t="s">
        <v>1746</v>
      </c>
      <c r="F2847" s="25">
        <v>524.16</v>
      </c>
      <c r="G2847" s="25">
        <v>471.72</v>
      </c>
    </row>
    <row r="2848" spans="1:7" x14ac:dyDescent="0.25">
      <c r="A2848" s="14" t="s">
        <v>1125</v>
      </c>
      <c r="B2848" s="14">
        <v>1</v>
      </c>
      <c r="C2848" s="15" t="s">
        <v>1124</v>
      </c>
      <c r="D2848" s="14" t="s">
        <v>1745</v>
      </c>
      <c r="E2848" s="14" t="s">
        <v>1747</v>
      </c>
      <c r="F2848" s="25">
        <v>1980</v>
      </c>
      <c r="G2848" s="25">
        <v>1584</v>
      </c>
    </row>
    <row r="2849" spans="1:7" x14ac:dyDescent="0.25">
      <c r="A2849" s="14" t="s">
        <v>1125</v>
      </c>
      <c r="B2849" s="14">
        <v>7</v>
      </c>
      <c r="C2849" s="15" t="s">
        <v>2587</v>
      </c>
      <c r="D2849" s="14" t="s">
        <v>1745</v>
      </c>
      <c r="E2849" s="14" t="s">
        <v>1747</v>
      </c>
      <c r="F2849" s="25">
        <v>499.2</v>
      </c>
      <c r="G2849" s="25">
        <v>449.28</v>
      </c>
    </row>
    <row r="2850" spans="1:7" x14ac:dyDescent="0.25">
      <c r="A2850" s="14" t="s">
        <v>1125</v>
      </c>
      <c r="B2850" s="14">
        <v>1</v>
      </c>
      <c r="C2850" s="15" t="s">
        <v>1124</v>
      </c>
      <c r="D2850" s="14" t="s">
        <v>1745</v>
      </c>
      <c r="E2850" s="14" t="s">
        <v>1746</v>
      </c>
      <c r="F2850" s="25">
        <v>2079</v>
      </c>
      <c r="G2850" s="25">
        <v>1663.2</v>
      </c>
    </row>
    <row r="2851" spans="1:7" x14ac:dyDescent="0.25">
      <c r="A2851" s="14" t="s">
        <v>1135</v>
      </c>
      <c r="B2851" s="14">
        <v>8</v>
      </c>
      <c r="C2851" s="15" t="s">
        <v>1137</v>
      </c>
      <c r="D2851" s="14" t="s">
        <v>1745</v>
      </c>
      <c r="E2851" s="14" t="s">
        <v>1746</v>
      </c>
      <c r="F2851" s="25">
        <v>5241285</v>
      </c>
      <c r="G2851" s="25">
        <v>4193028</v>
      </c>
    </row>
    <row r="2852" spans="1:7" x14ac:dyDescent="0.25">
      <c r="A2852" s="14" t="s">
        <v>1135</v>
      </c>
      <c r="B2852" s="14" t="s">
        <v>50</v>
      </c>
      <c r="C2852" s="15" t="s">
        <v>2588</v>
      </c>
      <c r="D2852" s="14" t="s">
        <v>1749</v>
      </c>
      <c r="E2852" s="14" t="s">
        <v>1746</v>
      </c>
      <c r="F2852" s="25">
        <v>99.84</v>
      </c>
      <c r="G2852" s="25">
        <v>79.87</v>
      </c>
    </row>
    <row r="2853" spans="1:7" x14ac:dyDescent="0.25">
      <c r="A2853" s="14" t="s">
        <v>1135</v>
      </c>
      <c r="B2853" s="14" t="s">
        <v>28</v>
      </c>
      <c r="C2853" s="15" t="s">
        <v>2589</v>
      </c>
      <c r="D2853" s="14" t="s">
        <v>1749</v>
      </c>
      <c r="E2853" s="14" t="s">
        <v>1746</v>
      </c>
      <c r="F2853" s="25">
        <v>124794</v>
      </c>
      <c r="G2853" s="25">
        <v>112314.6</v>
      </c>
    </row>
    <row r="2854" spans="1:7" x14ac:dyDescent="0.25">
      <c r="A2854" s="14" t="s">
        <v>1135</v>
      </c>
      <c r="B2854" s="14" t="s">
        <v>28</v>
      </c>
      <c r="C2854" s="15" t="s">
        <v>2589</v>
      </c>
      <c r="D2854" s="14" t="s">
        <v>1745</v>
      </c>
      <c r="E2854" s="14" t="s">
        <v>1746</v>
      </c>
      <c r="F2854" s="25">
        <v>1310337</v>
      </c>
      <c r="G2854" s="25">
        <v>1179303</v>
      </c>
    </row>
    <row r="2855" spans="1:7" x14ac:dyDescent="0.25">
      <c r="A2855" s="14" t="s">
        <v>1135</v>
      </c>
      <c r="B2855" s="14" t="s">
        <v>55</v>
      </c>
      <c r="C2855" s="15" t="s">
        <v>2590</v>
      </c>
      <c r="D2855" s="14" t="s">
        <v>1745</v>
      </c>
      <c r="E2855" s="14" t="s">
        <v>1747</v>
      </c>
      <c r="F2855" s="25">
        <v>998.4</v>
      </c>
      <c r="G2855" s="25">
        <v>898.56</v>
      </c>
    </row>
    <row r="2856" spans="1:7" x14ac:dyDescent="0.25">
      <c r="A2856" s="14" t="s">
        <v>1135</v>
      </c>
      <c r="B2856" s="14">
        <v>1</v>
      </c>
      <c r="C2856" s="15" t="s">
        <v>1134</v>
      </c>
      <c r="D2856" s="14" t="s">
        <v>1745</v>
      </c>
      <c r="E2856" s="14" t="s">
        <v>1746</v>
      </c>
      <c r="F2856" s="25">
        <v>4221</v>
      </c>
      <c r="G2856" s="25">
        <v>3376.8</v>
      </c>
    </row>
    <row r="2857" spans="1:7" x14ac:dyDescent="0.25">
      <c r="A2857" s="14" t="s">
        <v>1135</v>
      </c>
      <c r="B2857" s="14">
        <v>1</v>
      </c>
      <c r="C2857" s="15" t="s">
        <v>1134</v>
      </c>
      <c r="D2857" s="14" t="s">
        <v>1745</v>
      </c>
      <c r="E2857" s="14" t="s">
        <v>1747</v>
      </c>
      <c r="F2857" s="25">
        <v>4020</v>
      </c>
      <c r="G2857" s="25">
        <v>3216</v>
      </c>
    </row>
    <row r="2858" spans="1:7" x14ac:dyDescent="0.25">
      <c r="A2858" s="14" t="s">
        <v>1135</v>
      </c>
      <c r="B2858" s="14" t="s">
        <v>50</v>
      </c>
      <c r="C2858" s="15" t="s">
        <v>2588</v>
      </c>
      <c r="D2858" s="14" t="s">
        <v>1745</v>
      </c>
      <c r="E2858" s="14" t="s">
        <v>1747</v>
      </c>
      <c r="F2858" s="25">
        <v>998.4</v>
      </c>
      <c r="G2858" s="25">
        <v>798.72</v>
      </c>
    </row>
    <row r="2859" spans="1:7" x14ac:dyDescent="0.25">
      <c r="A2859" s="14" t="s">
        <v>1135</v>
      </c>
      <c r="B2859" s="14" t="s">
        <v>50</v>
      </c>
      <c r="C2859" s="15" t="s">
        <v>2588</v>
      </c>
      <c r="D2859" s="14" t="s">
        <v>1745</v>
      </c>
      <c r="E2859" s="14" t="s">
        <v>1746</v>
      </c>
      <c r="F2859" s="25">
        <v>1048.32</v>
      </c>
      <c r="G2859" s="25">
        <v>838.68</v>
      </c>
    </row>
    <row r="2860" spans="1:7" x14ac:dyDescent="0.25">
      <c r="A2860" s="14" t="s">
        <v>1135</v>
      </c>
      <c r="B2860" s="14" t="s">
        <v>55</v>
      </c>
      <c r="C2860" s="15" t="s">
        <v>2590</v>
      </c>
      <c r="D2860" s="14" t="s">
        <v>1745</v>
      </c>
      <c r="E2860" s="14" t="s">
        <v>1746</v>
      </c>
      <c r="F2860" s="25">
        <v>1048.32</v>
      </c>
      <c r="G2860" s="25">
        <v>943.44</v>
      </c>
    </row>
    <row r="2861" spans="1:7" x14ac:dyDescent="0.25">
      <c r="A2861" s="14" t="s">
        <v>1135</v>
      </c>
      <c r="B2861" s="14" t="s">
        <v>28</v>
      </c>
      <c r="C2861" s="15" t="s">
        <v>2589</v>
      </c>
      <c r="D2861" s="14" t="s">
        <v>1745</v>
      </c>
      <c r="E2861" s="14" t="s">
        <v>1747</v>
      </c>
      <c r="F2861" s="25">
        <v>1247940</v>
      </c>
      <c r="G2861" s="25">
        <v>1123146</v>
      </c>
    </row>
    <row r="2862" spans="1:7" x14ac:dyDescent="0.25">
      <c r="A2862" s="14" t="s">
        <v>1135</v>
      </c>
      <c r="B2862" s="14">
        <v>1</v>
      </c>
      <c r="C2862" s="15" t="s">
        <v>1134</v>
      </c>
      <c r="D2862" s="14" t="s">
        <v>1749</v>
      </c>
      <c r="E2862" s="14" t="s">
        <v>1746</v>
      </c>
      <c r="F2862" s="25">
        <v>402</v>
      </c>
      <c r="G2862" s="25">
        <v>321.60000000000002</v>
      </c>
    </row>
    <row r="2863" spans="1:7" x14ac:dyDescent="0.25">
      <c r="A2863" s="14" t="s">
        <v>1135</v>
      </c>
      <c r="B2863" s="14" t="s">
        <v>55</v>
      </c>
      <c r="C2863" s="15" t="s">
        <v>2590</v>
      </c>
      <c r="D2863" s="14" t="s">
        <v>1749</v>
      </c>
      <c r="E2863" s="14" t="s">
        <v>1746</v>
      </c>
      <c r="F2863" s="25">
        <v>99.84</v>
      </c>
      <c r="G2863" s="25">
        <v>89.86</v>
      </c>
    </row>
    <row r="2864" spans="1:7" x14ac:dyDescent="0.25">
      <c r="A2864" s="14" t="s">
        <v>1135</v>
      </c>
      <c r="B2864" s="14">
        <v>8</v>
      </c>
      <c r="C2864" s="15" t="s">
        <v>1137</v>
      </c>
      <c r="D2864" s="14" t="s">
        <v>1745</v>
      </c>
      <c r="E2864" s="14" t="s">
        <v>1747</v>
      </c>
      <c r="F2864" s="25">
        <v>4991700</v>
      </c>
      <c r="G2864" s="25">
        <v>3993360</v>
      </c>
    </row>
    <row r="2865" spans="1:7" x14ac:dyDescent="0.25">
      <c r="A2865" s="14" t="s">
        <v>1135</v>
      </c>
      <c r="B2865" s="14">
        <v>8</v>
      </c>
      <c r="C2865" s="15" t="s">
        <v>1137</v>
      </c>
      <c r="D2865" s="14" t="s">
        <v>1749</v>
      </c>
      <c r="E2865" s="14" t="s">
        <v>1746</v>
      </c>
      <c r="F2865" s="25">
        <v>499170</v>
      </c>
      <c r="G2865" s="25">
        <v>399336</v>
      </c>
    </row>
    <row r="2866" spans="1:7" x14ac:dyDescent="0.25">
      <c r="A2866" s="14" t="s">
        <v>1142</v>
      </c>
      <c r="B2866" s="14">
        <v>2</v>
      </c>
      <c r="C2866" s="15" t="s">
        <v>1141</v>
      </c>
      <c r="D2866" s="14" t="s">
        <v>1745</v>
      </c>
      <c r="E2866" s="14" t="s">
        <v>1747</v>
      </c>
      <c r="F2866" s="25">
        <v>12000</v>
      </c>
      <c r="G2866" s="25">
        <v>9600</v>
      </c>
    </row>
    <row r="2867" spans="1:7" x14ac:dyDescent="0.25">
      <c r="A2867" s="14" t="s">
        <v>1142</v>
      </c>
      <c r="B2867" s="14">
        <v>7</v>
      </c>
      <c r="C2867" s="15" t="s">
        <v>2591</v>
      </c>
      <c r="D2867" s="14" t="s">
        <v>1745</v>
      </c>
      <c r="E2867" s="14" t="s">
        <v>1747</v>
      </c>
      <c r="F2867" s="25">
        <v>2280</v>
      </c>
      <c r="G2867" s="25">
        <v>2052</v>
      </c>
    </row>
    <row r="2868" spans="1:7" x14ac:dyDescent="0.25">
      <c r="A2868" s="14" t="s">
        <v>1142</v>
      </c>
      <c r="B2868" s="14">
        <v>2</v>
      </c>
      <c r="C2868" s="15" t="s">
        <v>1141</v>
      </c>
      <c r="D2868" s="14" t="s">
        <v>1749</v>
      </c>
      <c r="E2868" s="14" t="s">
        <v>1746</v>
      </c>
      <c r="F2868" s="25">
        <v>1200</v>
      </c>
      <c r="G2868" s="25">
        <v>960</v>
      </c>
    </row>
    <row r="2869" spans="1:7" x14ac:dyDescent="0.25">
      <c r="A2869" s="14" t="s">
        <v>1142</v>
      </c>
      <c r="B2869" s="14">
        <v>6</v>
      </c>
      <c r="C2869" s="15" t="s">
        <v>2592</v>
      </c>
      <c r="D2869" s="14" t="s">
        <v>1745</v>
      </c>
      <c r="E2869" s="14" t="s">
        <v>1747</v>
      </c>
      <c r="F2869" s="25">
        <v>2280</v>
      </c>
      <c r="G2869" s="25">
        <v>1824</v>
      </c>
    </row>
    <row r="2870" spans="1:7" x14ac:dyDescent="0.25">
      <c r="A2870" s="14" t="s">
        <v>1142</v>
      </c>
      <c r="B2870" s="14">
        <v>7</v>
      </c>
      <c r="C2870" s="15" t="s">
        <v>2591</v>
      </c>
      <c r="D2870" s="14" t="s">
        <v>1745</v>
      </c>
      <c r="E2870" s="14" t="s">
        <v>1746</v>
      </c>
      <c r="F2870" s="25">
        <v>2394</v>
      </c>
      <c r="G2870" s="25">
        <v>2154.6</v>
      </c>
    </row>
    <row r="2871" spans="1:7" x14ac:dyDescent="0.25">
      <c r="A2871" s="14" t="s">
        <v>1142</v>
      </c>
      <c r="B2871" s="14">
        <v>6</v>
      </c>
      <c r="C2871" s="15" t="s">
        <v>2592</v>
      </c>
      <c r="D2871" s="14" t="s">
        <v>1749</v>
      </c>
      <c r="E2871" s="14" t="s">
        <v>1746</v>
      </c>
      <c r="F2871" s="25">
        <v>228</v>
      </c>
      <c r="G2871" s="25">
        <v>182.4</v>
      </c>
    </row>
    <row r="2872" spans="1:7" x14ac:dyDescent="0.25">
      <c r="A2872" s="14" t="s">
        <v>1142</v>
      </c>
      <c r="B2872" s="14">
        <v>7</v>
      </c>
      <c r="C2872" s="15" t="s">
        <v>2591</v>
      </c>
      <c r="D2872" s="14" t="s">
        <v>1749</v>
      </c>
      <c r="E2872" s="14" t="s">
        <v>1746</v>
      </c>
      <c r="F2872" s="25">
        <v>228</v>
      </c>
      <c r="G2872" s="25">
        <v>205.2</v>
      </c>
    </row>
    <row r="2873" spans="1:7" x14ac:dyDescent="0.25">
      <c r="A2873" s="14" t="s">
        <v>1142</v>
      </c>
      <c r="B2873" s="14">
        <v>6</v>
      </c>
      <c r="C2873" s="15" t="s">
        <v>2592</v>
      </c>
      <c r="D2873" s="14" t="s">
        <v>1745</v>
      </c>
      <c r="E2873" s="14" t="s">
        <v>1746</v>
      </c>
      <c r="F2873" s="25">
        <v>2394</v>
      </c>
      <c r="G2873" s="25">
        <v>1915.2</v>
      </c>
    </row>
    <row r="2874" spans="1:7" x14ac:dyDescent="0.25">
      <c r="A2874" s="14" t="s">
        <v>1142</v>
      </c>
      <c r="B2874" s="14">
        <v>2</v>
      </c>
      <c r="C2874" s="15" t="s">
        <v>1141</v>
      </c>
      <c r="D2874" s="14" t="s">
        <v>1745</v>
      </c>
      <c r="E2874" s="14" t="s">
        <v>1746</v>
      </c>
      <c r="F2874" s="25">
        <v>12600</v>
      </c>
      <c r="G2874" s="25">
        <v>10080</v>
      </c>
    </row>
    <row r="2875" spans="1:7" x14ac:dyDescent="0.25">
      <c r="A2875" s="14" t="s">
        <v>2593</v>
      </c>
      <c r="B2875" s="14">
        <v>4</v>
      </c>
      <c r="C2875" s="15" t="s">
        <v>2594</v>
      </c>
      <c r="D2875" s="14" t="s">
        <v>1745</v>
      </c>
      <c r="E2875" s="14" t="s">
        <v>1747</v>
      </c>
      <c r="F2875" s="25">
        <v>429.24</v>
      </c>
      <c r="G2875" s="25">
        <v>343.39</v>
      </c>
    </row>
    <row r="2876" spans="1:7" x14ac:dyDescent="0.25">
      <c r="A2876" s="14" t="s">
        <v>2593</v>
      </c>
      <c r="B2876" s="14">
        <v>4</v>
      </c>
      <c r="C2876" s="15" t="s">
        <v>2594</v>
      </c>
      <c r="D2876" s="14" t="s">
        <v>1745</v>
      </c>
      <c r="E2876" s="14" t="s">
        <v>1746</v>
      </c>
      <c r="F2876" s="25">
        <v>450.72</v>
      </c>
      <c r="G2876" s="25">
        <v>360.6</v>
      </c>
    </row>
    <row r="2877" spans="1:7" x14ac:dyDescent="0.25">
      <c r="A2877" s="14" t="s">
        <v>2595</v>
      </c>
      <c r="B2877" s="14">
        <v>5</v>
      </c>
      <c r="C2877" s="15" t="s">
        <v>2596</v>
      </c>
      <c r="D2877" s="14" t="s">
        <v>1745</v>
      </c>
      <c r="E2877" s="14" t="s">
        <v>1747</v>
      </c>
      <c r="F2877" s="25">
        <v>429.24</v>
      </c>
      <c r="G2877" s="25">
        <v>343.39</v>
      </c>
    </row>
    <row r="2878" spans="1:7" x14ac:dyDescent="0.25">
      <c r="A2878" s="14" t="s">
        <v>2595</v>
      </c>
      <c r="B2878" s="14">
        <v>5</v>
      </c>
      <c r="C2878" s="15" t="s">
        <v>2596</v>
      </c>
      <c r="D2878" s="14" t="s">
        <v>1745</v>
      </c>
      <c r="E2878" s="14" t="s">
        <v>1746</v>
      </c>
      <c r="F2878" s="25">
        <v>450.72</v>
      </c>
      <c r="G2878" s="25">
        <v>360.6</v>
      </c>
    </row>
    <row r="2879" spans="1:7" x14ac:dyDescent="0.25">
      <c r="A2879" s="14" t="s">
        <v>2597</v>
      </c>
      <c r="B2879" s="14">
        <v>1</v>
      </c>
      <c r="C2879" s="15" t="s">
        <v>2598</v>
      </c>
      <c r="D2879" s="14" t="s">
        <v>1745</v>
      </c>
      <c r="E2879" s="14" t="s">
        <v>1746</v>
      </c>
      <c r="F2879" s="25">
        <v>2079</v>
      </c>
      <c r="G2879" s="25">
        <v>1663.2</v>
      </c>
    </row>
    <row r="2880" spans="1:7" x14ac:dyDescent="0.25">
      <c r="A2880" s="14" t="s">
        <v>2597</v>
      </c>
      <c r="B2880" s="14">
        <v>1</v>
      </c>
      <c r="C2880" s="15" t="s">
        <v>2598</v>
      </c>
      <c r="D2880" s="14" t="s">
        <v>1745</v>
      </c>
      <c r="E2880" s="14" t="s">
        <v>1747</v>
      </c>
      <c r="F2880" s="25">
        <v>1980</v>
      </c>
      <c r="G2880" s="25">
        <v>1584</v>
      </c>
    </row>
    <row r="2881" spans="1:7" x14ac:dyDescent="0.25">
      <c r="A2881" s="14" t="s">
        <v>1158</v>
      </c>
      <c r="B2881" s="14" t="s">
        <v>118</v>
      </c>
      <c r="C2881" s="15" t="s">
        <v>2599</v>
      </c>
      <c r="D2881" s="14" t="s">
        <v>1745</v>
      </c>
      <c r="E2881" s="14" t="s">
        <v>1747</v>
      </c>
      <c r="F2881" s="25">
        <v>0</v>
      </c>
      <c r="G2881" s="25">
        <v>0</v>
      </c>
    </row>
    <row r="2882" spans="1:7" x14ac:dyDescent="0.25">
      <c r="A2882" s="14" t="s">
        <v>1158</v>
      </c>
      <c r="B2882" s="14" t="s">
        <v>650</v>
      </c>
      <c r="C2882" s="15" t="s">
        <v>2600</v>
      </c>
      <c r="D2882" s="14" t="s">
        <v>1745</v>
      </c>
      <c r="E2882" s="14" t="s">
        <v>1747</v>
      </c>
      <c r="F2882" s="25">
        <v>0</v>
      </c>
      <c r="G2882" s="25">
        <v>0</v>
      </c>
    </row>
    <row r="2883" spans="1:7" x14ac:dyDescent="0.25">
      <c r="A2883" s="14" t="s">
        <v>1158</v>
      </c>
      <c r="B2883" s="14" t="s">
        <v>118</v>
      </c>
      <c r="C2883" s="15" t="s">
        <v>2599</v>
      </c>
      <c r="D2883" s="14" t="s">
        <v>1749</v>
      </c>
      <c r="E2883" s="14" t="s">
        <v>1746</v>
      </c>
      <c r="F2883" s="25">
        <v>0</v>
      </c>
      <c r="G2883" s="25">
        <v>0</v>
      </c>
    </row>
    <row r="2884" spans="1:7" x14ac:dyDescent="0.25">
      <c r="A2884" s="14" t="s">
        <v>1158</v>
      </c>
      <c r="B2884" s="14" t="s">
        <v>650</v>
      </c>
      <c r="C2884" s="15" t="s">
        <v>2600</v>
      </c>
      <c r="D2884" s="14" t="s">
        <v>1745</v>
      </c>
      <c r="E2884" s="14" t="s">
        <v>1746</v>
      </c>
      <c r="F2884" s="25">
        <v>0</v>
      </c>
      <c r="G2884" s="25">
        <v>0</v>
      </c>
    </row>
    <row r="2885" spans="1:7" x14ac:dyDescent="0.25">
      <c r="A2885" s="14" t="s">
        <v>1158</v>
      </c>
      <c r="B2885" s="14" t="s">
        <v>650</v>
      </c>
      <c r="C2885" s="15" t="s">
        <v>2600</v>
      </c>
      <c r="D2885" s="14" t="s">
        <v>1749</v>
      </c>
      <c r="E2885" s="14" t="s">
        <v>1746</v>
      </c>
      <c r="F2885" s="25">
        <v>0</v>
      </c>
      <c r="G2885" s="25">
        <v>0</v>
      </c>
    </row>
    <row r="2886" spans="1:7" x14ac:dyDescent="0.25">
      <c r="A2886" s="14" t="s">
        <v>1158</v>
      </c>
      <c r="B2886" s="14" t="s">
        <v>118</v>
      </c>
      <c r="C2886" s="15" t="s">
        <v>2599</v>
      </c>
      <c r="D2886" s="14" t="s">
        <v>1745</v>
      </c>
      <c r="E2886" s="14" t="s">
        <v>1746</v>
      </c>
      <c r="F2886" s="25">
        <v>0</v>
      </c>
      <c r="G2886" s="25">
        <v>0</v>
      </c>
    </row>
    <row r="2887" spans="1:7" x14ac:dyDescent="0.25">
      <c r="A2887" s="14" t="s">
        <v>1169</v>
      </c>
      <c r="B2887" s="14" t="s">
        <v>55</v>
      </c>
      <c r="C2887" s="15" t="s">
        <v>2601</v>
      </c>
      <c r="D2887" s="14" t="s">
        <v>1745</v>
      </c>
      <c r="E2887" s="14" t="s">
        <v>1747</v>
      </c>
      <c r="F2887" s="25">
        <v>0</v>
      </c>
      <c r="G2887" s="25">
        <v>0</v>
      </c>
    </row>
    <row r="2888" spans="1:7" x14ac:dyDescent="0.25">
      <c r="A2888" s="14" t="s">
        <v>1169</v>
      </c>
      <c r="B2888" s="14" t="s">
        <v>55</v>
      </c>
      <c r="C2888" s="15" t="s">
        <v>2601</v>
      </c>
      <c r="D2888" s="14" t="s">
        <v>1749</v>
      </c>
      <c r="E2888" s="14" t="s">
        <v>1746</v>
      </c>
      <c r="F2888" s="25">
        <v>0</v>
      </c>
      <c r="G2888" s="25">
        <v>0</v>
      </c>
    </row>
    <row r="2889" spans="1:7" x14ac:dyDescent="0.25">
      <c r="A2889" s="14" t="s">
        <v>1169</v>
      </c>
      <c r="B2889" s="14" t="s">
        <v>55</v>
      </c>
      <c r="C2889" s="15" t="s">
        <v>2601</v>
      </c>
      <c r="D2889" s="14" t="s">
        <v>1745</v>
      </c>
      <c r="E2889" s="14" t="s">
        <v>1746</v>
      </c>
      <c r="F2889" s="25">
        <v>0</v>
      </c>
      <c r="G2889" s="25">
        <v>0</v>
      </c>
    </row>
    <row r="2890" spans="1:7" x14ac:dyDescent="0.25">
      <c r="A2890" s="14" t="s">
        <v>1169</v>
      </c>
      <c r="B2890" s="14" t="s">
        <v>89</v>
      </c>
      <c r="C2890" s="15" t="s">
        <v>2602</v>
      </c>
      <c r="D2890" s="14" t="s">
        <v>1745</v>
      </c>
      <c r="E2890" s="14" t="s">
        <v>1746</v>
      </c>
      <c r="F2890" s="25">
        <v>3402</v>
      </c>
      <c r="G2890" s="25">
        <v>2721.6</v>
      </c>
    </row>
    <row r="2891" spans="1:7" x14ac:dyDescent="0.25">
      <c r="A2891" s="14" t="s">
        <v>1169</v>
      </c>
      <c r="B2891" s="14" t="s">
        <v>50</v>
      </c>
      <c r="C2891" s="15" t="s">
        <v>2603</v>
      </c>
      <c r="D2891" s="14" t="s">
        <v>1745</v>
      </c>
      <c r="E2891" s="14" t="s">
        <v>1746</v>
      </c>
      <c r="F2891" s="25">
        <v>2646</v>
      </c>
      <c r="G2891" s="25">
        <v>2116.8000000000002</v>
      </c>
    </row>
    <row r="2892" spans="1:7" x14ac:dyDescent="0.25">
      <c r="A2892" s="14" t="s">
        <v>1169</v>
      </c>
      <c r="B2892" s="14" t="s">
        <v>50</v>
      </c>
      <c r="C2892" s="15" t="s">
        <v>2603</v>
      </c>
      <c r="D2892" s="14" t="s">
        <v>1745</v>
      </c>
      <c r="E2892" s="14" t="s">
        <v>1747</v>
      </c>
      <c r="F2892" s="25">
        <v>2520</v>
      </c>
      <c r="G2892" s="25">
        <v>2016</v>
      </c>
    </row>
    <row r="2893" spans="1:7" x14ac:dyDescent="0.25">
      <c r="A2893" s="14" t="s">
        <v>1169</v>
      </c>
      <c r="B2893" s="14" t="s">
        <v>89</v>
      </c>
      <c r="C2893" s="15" t="s">
        <v>2602</v>
      </c>
      <c r="D2893" s="14" t="s">
        <v>1745</v>
      </c>
      <c r="E2893" s="14" t="s">
        <v>1747</v>
      </c>
      <c r="F2893" s="25">
        <v>3240</v>
      </c>
      <c r="G2893" s="25">
        <v>2592</v>
      </c>
    </row>
    <row r="2894" spans="1:7" x14ac:dyDescent="0.25">
      <c r="A2894" s="14" t="s">
        <v>1169</v>
      </c>
      <c r="B2894" s="14" t="s">
        <v>50</v>
      </c>
      <c r="C2894" s="15" t="s">
        <v>2603</v>
      </c>
      <c r="D2894" s="14" t="s">
        <v>1749</v>
      </c>
      <c r="E2894" s="14" t="s">
        <v>1746</v>
      </c>
      <c r="F2894" s="25">
        <v>252</v>
      </c>
      <c r="G2894" s="25">
        <v>201.6</v>
      </c>
    </row>
    <row r="2895" spans="1:7" x14ac:dyDescent="0.25">
      <c r="A2895" s="14" t="s">
        <v>1169</v>
      </c>
      <c r="B2895" s="14" t="s">
        <v>89</v>
      </c>
      <c r="C2895" s="15" t="s">
        <v>2602</v>
      </c>
      <c r="D2895" s="14" t="s">
        <v>1749</v>
      </c>
      <c r="E2895" s="14" t="s">
        <v>1746</v>
      </c>
      <c r="F2895" s="25">
        <v>324</v>
      </c>
      <c r="G2895" s="25">
        <v>259.2</v>
      </c>
    </row>
    <row r="2896" spans="1:7" x14ac:dyDescent="0.25">
      <c r="A2896" s="14" t="s">
        <v>1177</v>
      </c>
      <c r="B2896" s="14" t="s">
        <v>263</v>
      </c>
      <c r="C2896" s="15" t="s">
        <v>2604</v>
      </c>
      <c r="D2896" s="14" t="s">
        <v>1749</v>
      </c>
      <c r="E2896" s="14" t="s">
        <v>1746</v>
      </c>
      <c r="F2896" s="25">
        <v>798</v>
      </c>
      <c r="G2896" s="25">
        <v>638.4</v>
      </c>
    </row>
    <row r="2897" spans="1:7" x14ac:dyDescent="0.25">
      <c r="A2897" s="14" t="s">
        <v>1177</v>
      </c>
      <c r="B2897" s="14" t="s">
        <v>297</v>
      </c>
      <c r="C2897" s="15" t="s">
        <v>2605</v>
      </c>
      <c r="D2897" s="14" t="s">
        <v>1749</v>
      </c>
      <c r="E2897" s="14" t="s">
        <v>1766</v>
      </c>
      <c r="F2897" s="25">
        <v>0</v>
      </c>
      <c r="G2897" s="25">
        <v>0</v>
      </c>
    </row>
    <row r="2898" spans="1:7" x14ac:dyDescent="0.25">
      <c r="A2898" s="14" t="s">
        <v>1177</v>
      </c>
      <c r="B2898" s="14" t="s">
        <v>608</v>
      </c>
      <c r="C2898" s="15" t="s">
        <v>2606</v>
      </c>
      <c r="D2898" s="14" t="s">
        <v>1749</v>
      </c>
      <c r="E2898" s="14" t="s">
        <v>1746</v>
      </c>
      <c r="F2898" s="25">
        <v>798</v>
      </c>
      <c r="G2898" s="25">
        <v>638.4</v>
      </c>
    </row>
    <row r="2899" spans="1:7" x14ac:dyDescent="0.25">
      <c r="A2899" s="14" t="s">
        <v>1177</v>
      </c>
      <c r="B2899" s="14" t="s">
        <v>173</v>
      </c>
      <c r="C2899" s="15" t="s">
        <v>2606</v>
      </c>
      <c r="D2899" s="14" t="s">
        <v>1749</v>
      </c>
      <c r="E2899" s="14" t="s">
        <v>1766</v>
      </c>
      <c r="F2899" s="25">
        <v>0</v>
      </c>
      <c r="G2899" s="25">
        <v>0</v>
      </c>
    </row>
    <row r="2900" spans="1:7" ht="30" x14ac:dyDescent="0.25">
      <c r="A2900" s="14" t="s">
        <v>1177</v>
      </c>
      <c r="B2900" s="14" t="s">
        <v>258</v>
      </c>
      <c r="C2900" s="15" t="s">
        <v>2607</v>
      </c>
      <c r="D2900" s="14" t="s">
        <v>1745</v>
      </c>
      <c r="E2900" s="14" t="s">
        <v>1746</v>
      </c>
      <c r="F2900" s="25">
        <v>0</v>
      </c>
      <c r="G2900" s="25">
        <v>0</v>
      </c>
    </row>
    <row r="2901" spans="1:7" x14ac:dyDescent="0.25">
      <c r="A2901" s="14" t="s">
        <v>1177</v>
      </c>
      <c r="B2901" s="14" t="s">
        <v>470</v>
      </c>
      <c r="C2901" s="15" t="s">
        <v>2608</v>
      </c>
      <c r="D2901" s="14" t="s">
        <v>1745</v>
      </c>
      <c r="E2901" s="14" t="s">
        <v>1746</v>
      </c>
      <c r="F2901" s="25">
        <v>6300</v>
      </c>
      <c r="G2901" s="25">
        <v>5040</v>
      </c>
    </row>
    <row r="2902" spans="1:7" x14ac:dyDescent="0.25">
      <c r="A2902" s="14" t="s">
        <v>1177</v>
      </c>
      <c r="B2902" s="14" t="s">
        <v>470</v>
      </c>
      <c r="C2902" s="15" t="s">
        <v>2608</v>
      </c>
      <c r="D2902" s="14" t="s">
        <v>1745</v>
      </c>
      <c r="E2902" s="14" t="s">
        <v>1747</v>
      </c>
      <c r="F2902" s="25">
        <v>6000</v>
      </c>
      <c r="G2902" s="25">
        <v>4800</v>
      </c>
    </row>
    <row r="2903" spans="1:7" x14ac:dyDescent="0.25">
      <c r="A2903" s="14" t="s">
        <v>1177</v>
      </c>
      <c r="B2903" s="14" t="s">
        <v>583</v>
      </c>
      <c r="C2903" s="15" t="s">
        <v>2605</v>
      </c>
      <c r="D2903" s="14" t="s">
        <v>1749</v>
      </c>
      <c r="E2903" s="14" t="s">
        <v>1746</v>
      </c>
      <c r="F2903" s="25">
        <v>600</v>
      </c>
      <c r="G2903" s="25">
        <v>480</v>
      </c>
    </row>
    <row r="2904" spans="1:7" ht="30" x14ac:dyDescent="0.25">
      <c r="A2904" s="14" t="s">
        <v>1177</v>
      </c>
      <c r="B2904" s="14" t="s">
        <v>258</v>
      </c>
      <c r="C2904" s="15" t="s">
        <v>2607</v>
      </c>
      <c r="D2904" s="14" t="s">
        <v>1749</v>
      </c>
      <c r="E2904" s="14" t="s">
        <v>1746</v>
      </c>
      <c r="F2904" s="25">
        <v>0</v>
      </c>
      <c r="G2904" s="25">
        <v>0</v>
      </c>
    </row>
    <row r="2905" spans="1:7" ht="30" x14ac:dyDescent="0.25">
      <c r="A2905" s="14" t="s">
        <v>1177</v>
      </c>
      <c r="B2905" s="14" t="s">
        <v>258</v>
      </c>
      <c r="C2905" s="15" t="s">
        <v>2607</v>
      </c>
      <c r="D2905" s="14" t="s">
        <v>1745</v>
      </c>
      <c r="E2905" s="14" t="s">
        <v>1747</v>
      </c>
      <c r="F2905" s="25">
        <v>0</v>
      </c>
      <c r="G2905" s="25">
        <v>0</v>
      </c>
    </row>
    <row r="2906" spans="1:7" x14ac:dyDescent="0.25">
      <c r="A2906" s="14" t="s">
        <v>1177</v>
      </c>
      <c r="B2906" s="14" t="s">
        <v>470</v>
      </c>
      <c r="C2906" s="15" t="s">
        <v>2608</v>
      </c>
      <c r="D2906" s="14" t="s">
        <v>1749</v>
      </c>
      <c r="E2906" s="14" t="s">
        <v>1746</v>
      </c>
      <c r="F2906" s="25">
        <v>600</v>
      </c>
      <c r="G2906" s="25">
        <v>480</v>
      </c>
    </row>
    <row r="2907" spans="1:7" x14ac:dyDescent="0.25">
      <c r="A2907" s="14" t="s">
        <v>1177</v>
      </c>
      <c r="B2907" s="14" t="s">
        <v>263</v>
      </c>
      <c r="C2907" s="15" t="s">
        <v>2604</v>
      </c>
      <c r="D2907" s="14" t="s">
        <v>1745</v>
      </c>
      <c r="E2907" s="14" t="s">
        <v>1747</v>
      </c>
      <c r="F2907" s="25">
        <v>7980</v>
      </c>
      <c r="G2907" s="25">
        <v>6384</v>
      </c>
    </row>
    <row r="2908" spans="1:7" x14ac:dyDescent="0.25">
      <c r="A2908" s="14" t="s">
        <v>1177</v>
      </c>
      <c r="B2908" s="14" t="s">
        <v>608</v>
      </c>
      <c r="C2908" s="15" t="s">
        <v>2606</v>
      </c>
      <c r="D2908" s="14" t="s">
        <v>1745</v>
      </c>
      <c r="E2908" s="14" t="s">
        <v>1746</v>
      </c>
      <c r="F2908" s="25">
        <v>8379</v>
      </c>
      <c r="G2908" s="25">
        <v>6703.2</v>
      </c>
    </row>
    <row r="2909" spans="1:7" x14ac:dyDescent="0.25">
      <c r="A2909" s="14" t="s">
        <v>1177</v>
      </c>
      <c r="B2909" s="14" t="s">
        <v>583</v>
      </c>
      <c r="C2909" s="15" t="s">
        <v>2605</v>
      </c>
      <c r="D2909" s="14" t="s">
        <v>1745</v>
      </c>
      <c r="E2909" s="14" t="s">
        <v>1747</v>
      </c>
      <c r="F2909" s="25">
        <v>6000</v>
      </c>
      <c r="G2909" s="25">
        <v>4800</v>
      </c>
    </row>
    <row r="2910" spans="1:7" x14ac:dyDescent="0.25">
      <c r="A2910" s="14" t="s">
        <v>1177</v>
      </c>
      <c r="B2910" s="14" t="s">
        <v>263</v>
      </c>
      <c r="C2910" s="15" t="s">
        <v>2604</v>
      </c>
      <c r="D2910" s="14" t="s">
        <v>1745</v>
      </c>
      <c r="E2910" s="14" t="s">
        <v>1746</v>
      </c>
      <c r="F2910" s="25">
        <v>8379</v>
      </c>
      <c r="G2910" s="25">
        <v>6703.2</v>
      </c>
    </row>
    <row r="2911" spans="1:7" x14ac:dyDescent="0.25">
      <c r="A2911" s="14" t="s">
        <v>1177</v>
      </c>
      <c r="B2911" s="14" t="s">
        <v>583</v>
      </c>
      <c r="C2911" s="15" t="s">
        <v>2605</v>
      </c>
      <c r="D2911" s="14" t="s">
        <v>1745</v>
      </c>
      <c r="E2911" s="14" t="s">
        <v>1746</v>
      </c>
      <c r="F2911" s="25">
        <v>6300</v>
      </c>
      <c r="G2911" s="25">
        <v>5040</v>
      </c>
    </row>
    <row r="2912" spans="1:7" x14ac:dyDescent="0.25">
      <c r="A2912" s="14" t="s">
        <v>1177</v>
      </c>
      <c r="B2912" s="14" t="s">
        <v>608</v>
      </c>
      <c r="C2912" s="15" t="s">
        <v>2606</v>
      </c>
      <c r="D2912" s="14" t="s">
        <v>1745</v>
      </c>
      <c r="E2912" s="14" t="s">
        <v>1747</v>
      </c>
      <c r="F2912" s="25">
        <v>7980</v>
      </c>
      <c r="G2912" s="25">
        <v>6384</v>
      </c>
    </row>
    <row r="2913" spans="1:7" x14ac:dyDescent="0.25">
      <c r="A2913" s="14" t="s">
        <v>2609</v>
      </c>
      <c r="B2913" s="14">
        <v>9</v>
      </c>
      <c r="C2913" s="15" t="s">
        <v>2610</v>
      </c>
      <c r="D2913" s="14" t="s">
        <v>1749</v>
      </c>
      <c r="E2913" s="14" t="s">
        <v>1746</v>
      </c>
      <c r="F2913" s="25">
        <v>74.88</v>
      </c>
      <c r="G2913" s="25">
        <v>67.39</v>
      </c>
    </row>
    <row r="2914" spans="1:7" x14ac:dyDescent="0.25">
      <c r="A2914" s="14" t="s">
        <v>2609</v>
      </c>
      <c r="B2914" s="14">
        <v>1</v>
      </c>
      <c r="C2914" s="15" t="s">
        <v>2611</v>
      </c>
      <c r="D2914" s="14" t="s">
        <v>1745</v>
      </c>
      <c r="E2914" s="14" t="s">
        <v>1746</v>
      </c>
      <c r="F2914" s="25">
        <v>3150</v>
      </c>
      <c r="G2914" s="25">
        <v>2520</v>
      </c>
    </row>
    <row r="2915" spans="1:7" x14ac:dyDescent="0.25">
      <c r="A2915" s="14" t="s">
        <v>2609</v>
      </c>
      <c r="B2915" s="14">
        <v>9</v>
      </c>
      <c r="C2915" s="15" t="s">
        <v>2610</v>
      </c>
      <c r="D2915" s="14" t="s">
        <v>1745</v>
      </c>
      <c r="E2915" s="14" t="s">
        <v>1746</v>
      </c>
      <c r="F2915" s="25">
        <v>786.24</v>
      </c>
      <c r="G2915" s="25">
        <v>707.64</v>
      </c>
    </row>
    <row r="2916" spans="1:7" x14ac:dyDescent="0.25">
      <c r="A2916" s="14" t="s">
        <v>2609</v>
      </c>
      <c r="B2916" s="14">
        <v>9</v>
      </c>
      <c r="C2916" s="15" t="s">
        <v>2610</v>
      </c>
      <c r="D2916" s="14" t="s">
        <v>1745</v>
      </c>
      <c r="E2916" s="14" t="s">
        <v>1747</v>
      </c>
      <c r="F2916" s="25">
        <v>748.8</v>
      </c>
      <c r="G2916" s="25">
        <v>673.92</v>
      </c>
    </row>
    <row r="2917" spans="1:7" x14ac:dyDescent="0.25">
      <c r="A2917" s="14" t="s">
        <v>2609</v>
      </c>
      <c r="B2917" s="14">
        <v>1</v>
      </c>
      <c r="C2917" s="15" t="s">
        <v>2611</v>
      </c>
      <c r="D2917" s="14" t="s">
        <v>1749</v>
      </c>
      <c r="E2917" s="14" t="s">
        <v>1746</v>
      </c>
      <c r="F2917" s="25">
        <v>300</v>
      </c>
      <c r="G2917" s="25">
        <v>240</v>
      </c>
    </row>
    <row r="2918" spans="1:7" x14ac:dyDescent="0.25">
      <c r="A2918" s="14" t="s">
        <v>2609</v>
      </c>
      <c r="B2918" s="14">
        <v>1</v>
      </c>
      <c r="C2918" s="15" t="s">
        <v>2611</v>
      </c>
      <c r="D2918" s="14" t="s">
        <v>1745</v>
      </c>
      <c r="E2918" s="14" t="s">
        <v>1747</v>
      </c>
      <c r="F2918" s="25">
        <v>3000</v>
      </c>
      <c r="G2918" s="25">
        <v>2400</v>
      </c>
    </row>
    <row r="2919" spans="1:7" x14ac:dyDescent="0.25">
      <c r="A2919" s="14" t="s">
        <v>1198</v>
      </c>
      <c r="B2919" s="14">
        <v>1</v>
      </c>
      <c r="C2919" s="15" t="s">
        <v>1197</v>
      </c>
      <c r="D2919" s="14" t="s">
        <v>1745</v>
      </c>
      <c r="E2919" s="14" t="s">
        <v>1747</v>
      </c>
      <c r="F2919" s="25">
        <v>9960</v>
      </c>
      <c r="G2919" s="25">
        <v>7968</v>
      </c>
    </row>
    <row r="2920" spans="1:7" x14ac:dyDescent="0.25">
      <c r="A2920" s="14" t="s">
        <v>1198</v>
      </c>
      <c r="B2920" s="14">
        <v>19</v>
      </c>
      <c r="C2920" s="15" t="s">
        <v>2612</v>
      </c>
      <c r="D2920" s="14" t="s">
        <v>1745</v>
      </c>
      <c r="E2920" s="14" t="s">
        <v>1747</v>
      </c>
      <c r="F2920" s="25">
        <v>2520</v>
      </c>
      <c r="G2920" s="25">
        <v>2268</v>
      </c>
    </row>
    <row r="2921" spans="1:7" x14ac:dyDescent="0.25">
      <c r="A2921" s="14" t="s">
        <v>1198</v>
      </c>
      <c r="B2921" s="14">
        <v>19</v>
      </c>
      <c r="C2921" s="15" t="s">
        <v>2612</v>
      </c>
      <c r="D2921" s="14" t="s">
        <v>1749</v>
      </c>
      <c r="E2921" s="14" t="s">
        <v>1746</v>
      </c>
      <c r="F2921" s="25">
        <v>252</v>
      </c>
      <c r="G2921" s="25">
        <v>226.8</v>
      </c>
    </row>
    <row r="2922" spans="1:7" x14ac:dyDescent="0.25">
      <c r="A2922" s="14" t="s">
        <v>1198</v>
      </c>
      <c r="B2922" s="14">
        <v>1</v>
      </c>
      <c r="C2922" s="15" t="s">
        <v>1197</v>
      </c>
      <c r="D2922" s="14" t="s">
        <v>1745</v>
      </c>
      <c r="E2922" s="14" t="s">
        <v>1746</v>
      </c>
      <c r="F2922" s="25">
        <v>10458</v>
      </c>
      <c r="G2922" s="25">
        <v>8366.4</v>
      </c>
    </row>
    <row r="2923" spans="1:7" x14ac:dyDescent="0.25">
      <c r="A2923" s="14" t="s">
        <v>1198</v>
      </c>
      <c r="B2923" s="14" t="s">
        <v>120</v>
      </c>
      <c r="C2923" s="15" t="s">
        <v>1202</v>
      </c>
      <c r="D2923" s="14" t="s">
        <v>1745</v>
      </c>
      <c r="E2923" s="14" t="s">
        <v>1747</v>
      </c>
      <c r="F2923" s="25">
        <v>6780</v>
      </c>
      <c r="G2923" s="25">
        <v>5424</v>
      </c>
    </row>
    <row r="2924" spans="1:7" x14ac:dyDescent="0.25">
      <c r="A2924" s="14" t="s">
        <v>1198</v>
      </c>
      <c r="B2924" s="14" t="s">
        <v>120</v>
      </c>
      <c r="C2924" s="15" t="s">
        <v>1202</v>
      </c>
      <c r="D2924" s="14" t="s">
        <v>1745</v>
      </c>
      <c r="E2924" s="14" t="s">
        <v>1746</v>
      </c>
      <c r="F2924" s="25">
        <v>7119</v>
      </c>
      <c r="G2924" s="25">
        <v>5695.2</v>
      </c>
    </row>
    <row r="2925" spans="1:7" x14ac:dyDescent="0.25">
      <c r="A2925" s="14" t="s">
        <v>1198</v>
      </c>
      <c r="B2925" s="14">
        <v>19</v>
      </c>
      <c r="C2925" s="15" t="s">
        <v>2612</v>
      </c>
      <c r="D2925" s="14" t="s">
        <v>1745</v>
      </c>
      <c r="E2925" s="14" t="s">
        <v>1746</v>
      </c>
      <c r="F2925" s="25">
        <v>2646</v>
      </c>
      <c r="G2925" s="25">
        <v>2381.4</v>
      </c>
    </row>
    <row r="2926" spans="1:7" x14ac:dyDescent="0.25">
      <c r="A2926" s="14" t="s">
        <v>1198</v>
      </c>
      <c r="B2926" s="14">
        <v>1</v>
      </c>
      <c r="C2926" s="15" t="s">
        <v>1197</v>
      </c>
      <c r="D2926" s="14" t="s">
        <v>1749</v>
      </c>
      <c r="E2926" s="14" t="s">
        <v>1746</v>
      </c>
      <c r="F2926" s="25">
        <v>996</v>
      </c>
      <c r="G2926" s="25">
        <v>796.8</v>
      </c>
    </row>
    <row r="2927" spans="1:7" x14ac:dyDescent="0.25">
      <c r="A2927" s="14" t="s">
        <v>1198</v>
      </c>
      <c r="B2927" s="14" t="s">
        <v>120</v>
      </c>
      <c r="C2927" s="15" t="s">
        <v>1202</v>
      </c>
      <c r="D2927" s="14" t="s">
        <v>1749</v>
      </c>
      <c r="E2927" s="14" t="s">
        <v>1746</v>
      </c>
      <c r="F2927" s="25">
        <v>678</v>
      </c>
      <c r="G2927" s="25">
        <v>542.4</v>
      </c>
    </row>
    <row r="2928" spans="1:7" x14ac:dyDescent="0.25">
      <c r="A2928" s="14" t="s">
        <v>2613</v>
      </c>
      <c r="B2928" s="14">
        <v>7</v>
      </c>
      <c r="C2928" s="15" t="s">
        <v>2614</v>
      </c>
      <c r="D2928" s="14" t="s">
        <v>1745</v>
      </c>
      <c r="E2928" s="14" t="s">
        <v>1747</v>
      </c>
      <c r="F2928" s="25">
        <v>19980</v>
      </c>
      <c r="G2928" s="25">
        <v>15984</v>
      </c>
    </row>
    <row r="2929" spans="1:7" x14ac:dyDescent="0.25">
      <c r="A2929" s="14" t="s">
        <v>2613</v>
      </c>
      <c r="B2929" s="14">
        <v>7</v>
      </c>
      <c r="C2929" s="15" t="s">
        <v>2614</v>
      </c>
      <c r="D2929" s="14" t="s">
        <v>1749</v>
      </c>
      <c r="E2929" s="14" t="s">
        <v>1746</v>
      </c>
      <c r="F2929" s="25">
        <v>1998</v>
      </c>
      <c r="G2929" s="25">
        <v>1598.4</v>
      </c>
    </row>
    <row r="2930" spans="1:7" x14ac:dyDescent="0.25">
      <c r="A2930" s="14" t="s">
        <v>2613</v>
      </c>
      <c r="B2930" s="14">
        <v>9</v>
      </c>
      <c r="C2930" s="15" t="s">
        <v>2615</v>
      </c>
      <c r="D2930" s="14" t="s">
        <v>1749</v>
      </c>
      <c r="E2930" s="14" t="s">
        <v>1746</v>
      </c>
      <c r="F2930" s="25">
        <v>1674</v>
      </c>
      <c r="G2930" s="25">
        <v>1339.2</v>
      </c>
    </row>
    <row r="2931" spans="1:7" x14ac:dyDescent="0.25">
      <c r="A2931" s="14" t="s">
        <v>2613</v>
      </c>
      <c r="B2931" s="14">
        <v>7</v>
      </c>
      <c r="C2931" s="15" t="s">
        <v>2614</v>
      </c>
      <c r="D2931" s="14" t="s">
        <v>1745</v>
      </c>
      <c r="E2931" s="14" t="s">
        <v>1746</v>
      </c>
      <c r="F2931" s="25">
        <v>20979</v>
      </c>
      <c r="G2931" s="25">
        <v>16783.2</v>
      </c>
    </row>
    <row r="2932" spans="1:7" x14ac:dyDescent="0.25">
      <c r="A2932" s="14" t="s">
        <v>2613</v>
      </c>
      <c r="B2932" s="14">
        <v>9</v>
      </c>
      <c r="C2932" s="15" t="s">
        <v>2615</v>
      </c>
      <c r="D2932" s="14" t="s">
        <v>1745</v>
      </c>
      <c r="E2932" s="14" t="s">
        <v>1747</v>
      </c>
      <c r="F2932" s="25">
        <v>16740</v>
      </c>
      <c r="G2932" s="25">
        <v>13392</v>
      </c>
    </row>
    <row r="2933" spans="1:7" x14ac:dyDescent="0.25">
      <c r="A2933" s="14" t="s">
        <v>2613</v>
      </c>
      <c r="B2933" s="14">
        <v>9</v>
      </c>
      <c r="C2933" s="15" t="s">
        <v>2615</v>
      </c>
      <c r="D2933" s="14" t="s">
        <v>1745</v>
      </c>
      <c r="E2933" s="14" t="s">
        <v>1746</v>
      </c>
      <c r="F2933" s="25">
        <v>17577</v>
      </c>
      <c r="G2933" s="25">
        <v>14061.6</v>
      </c>
    </row>
    <row r="2934" spans="1:7" x14ac:dyDescent="0.25">
      <c r="A2934" s="14" t="s">
        <v>1212</v>
      </c>
      <c r="B2934" s="14">
        <v>20</v>
      </c>
      <c r="C2934" s="15" t="s">
        <v>1214</v>
      </c>
      <c r="D2934" s="14" t="s">
        <v>1745</v>
      </c>
      <c r="E2934" s="14" t="s">
        <v>1746</v>
      </c>
      <c r="F2934" s="25">
        <v>18270</v>
      </c>
      <c r="G2934" s="25">
        <v>14616</v>
      </c>
    </row>
    <row r="2935" spans="1:7" x14ac:dyDescent="0.25">
      <c r="A2935" s="14" t="s">
        <v>1212</v>
      </c>
      <c r="B2935" s="14">
        <v>8</v>
      </c>
      <c r="C2935" s="15" t="s">
        <v>1211</v>
      </c>
      <c r="D2935" s="14" t="s">
        <v>1749</v>
      </c>
      <c r="E2935" s="14" t="s">
        <v>1766</v>
      </c>
      <c r="F2935" s="25">
        <v>0</v>
      </c>
      <c r="G2935" s="25">
        <v>0</v>
      </c>
    </row>
    <row r="2936" spans="1:7" x14ac:dyDescent="0.25">
      <c r="A2936" s="14" t="s">
        <v>1212</v>
      </c>
      <c r="B2936" s="14">
        <v>14</v>
      </c>
      <c r="C2936" s="15" t="s">
        <v>2616</v>
      </c>
      <c r="D2936" s="14" t="s">
        <v>1745</v>
      </c>
      <c r="E2936" s="14" t="s">
        <v>1746</v>
      </c>
      <c r="F2936" s="25">
        <v>6804</v>
      </c>
      <c r="G2936" s="25">
        <v>6123.6</v>
      </c>
    </row>
    <row r="2937" spans="1:7" x14ac:dyDescent="0.25">
      <c r="A2937" s="14" t="s">
        <v>1212</v>
      </c>
      <c r="B2937" s="14" t="s">
        <v>120</v>
      </c>
      <c r="C2937" s="15" t="s">
        <v>2616</v>
      </c>
      <c r="D2937" s="14" t="s">
        <v>1749</v>
      </c>
      <c r="E2937" s="14" t="s">
        <v>1766</v>
      </c>
      <c r="F2937" s="25">
        <v>0</v>
      </c>
      <c r="G2937" s="25">
        <v>0</v>
      </c>
    </row>
    <row r="2938" spans="1:7" x14ac:dyDescent="0.25">
      <c r="A2938" s="14" t="s">
        <v>1212</v>
      </c>
      <c r="B2938" s="14">
        <v>20</v>
      </c>
      <c r="C2938" s="15" t="s">
        <v>1214</v>
      </c>
      <c r="D2938" s="14" t="s">
        <v>1745</v>
      </c>
      <c r="E2938" s="14" t="s">
        <v>1747</v>
      </c>
      <c r="F2938" s="25">
        <v>17400</v>
      </c>
      <c r="G2938" s="25">
        <v>13920</v>
      </c>
    </row>
    <row r="2939" spans="1:7" x14ac:dyDescent="0.25">
      <c r="A2939" s="14" t="s">
        <v>1212</v>
      </c>
      <c r="B2939" s="14">
        <v>20</v>
      </c>
      <c r="C2939" s="15" t="s">
        <v>1214</v>
      </c>
      <c r="D2939" s="14" t="s">
        <v>1749</v>
      </c>
      <c r="E2939" s="14" t="s">
        <v>1746</v>
      </c>
      <c r="F2939" s="25">
        <v>1740</v>
      </c>
      <c r="G2939" s="25">
        <v>1392</v>
      </c>
    </row>
    <row r="2940" spans="1:7" x14ac:dyDescent="0.25">
      <c r="A2940" s="14" t="s">
        <v>1212</v>
      </c>
      <c r="B2940" s="14">
        <v>1</v>
      </c>
      <c r="C2940" s="15" t="s">
        <v>1211</v>
      </c>
      <c r="D2940" s="14" t="s">
        <v>1745</v>
      </c>
      <c r="E2940" s="14" t="s">
        <v>1747</v>
      </c>
      <c r="F2940" s="25">
        <v>25980</v>
      </c>
      <c r="G2940" s="25">
        <v>20784</v>
      </c>
    </row>
    <row r="2941" spans="1:7" x14ac:dyDescent="0.25">
      <c r="A2941" s="14" t="s">
        <v>1212</v>
      </c>
      <c r="B2941" s="14">
        <v>14</v>
      </c>
      <c r="C2941" s="15" t="s">
        <v>2616</v>
      </c>
      <c r="D2941" s="14" t="s">
        <v>1745</v>
      </c>
      <c r="E2941" s="14" t="s">
        <v>1747</v>
      </c>
      <c r="F2941" s="25">
        <v>6480</v>
      </c>
      <c r="G2941" s="25">
        <v>5832</v>
      </c>
    </row>
    <row r="2942" spans="1:7" x14ac:dyDescent="0.25">
      <c r="A2942" s="14" t="s">
        <v>1212</v>
      </c>
      <c r="B2942" s="14">
        <v>14</v>
      </c>
      <c r="C2942" s="15" t="s">
        <v>2616</v>
      </c>
      <c r="D2942" s="14" t="s">
        <v>1749</v>
      </c>
      <c r="E2942" s="14" t="s">
        <v>1746</v>
      </c>
      <c r="F2942" s="25">
        <v>648</v>
      </c>
      <c r="G2942" s="25">
        <v>583.20000000000005</v>
      </c>
    </row>
    <row r="2943" spans="1:7" x14ac:dyDescent="0.25">
      <c r="A2943" s="14" t="s">
        <v>1212</v>
      </c>
      <c r="B2943" s="14">
        <v>1</v>
      </c>
      <c r="C2943" s="15" t="s">
        <v>1211</v>
      </c>
      <c r="D2943" s="14" t="s">
        <v>1745</v>
      </c>
      <c r="E2943" s="14" t="s">
        <v>1746</v>
      </c>
      <c r="F2943" s="25">
        <v>27279</v>
      </c>
      <c r="G2943" s="25">
        <v>21823.200000000001</v>
      </c>
    </row>
    <row r="2944" spans="1:7" x14ac:dyDescent="0.25">
      <c r="A2944" s="14" t="s">
        <v>1212</v>
      </c>
      <c r="B2944" s="14">
        <v>21</v>
      </c>
      <c r="C2944" s="15" t="s">
        <v>1214</v>
      </c>
      <c r="D2944" s="14" t="s">
        <v>1749</v>
      </c>
      <c r="E2944" s="14" t="s">
        <v>1766</v>
      </c>
      <c r="F2944" s="25">
        <v>0</v>
      </c>
      <c r="G2944" s="25">
        <v>0</v>
      </c>
    </row>
    <row r="2945" spans="1:7" x14ac:dyDescent="0.25">
      <c r="A2945" s="14" t="s">
        <v>1212</v>
      </c>
      <c r="B2945" s="14">
        <v>1</v>
      </c>
      <c r="C2945" s="15" t="s">
        <v>1211</v>
      </c>
      <c r="D2945" s="14" t="s">
        <v>1749</v>
      </c>
      <c r="E2945" s="14" t="s">
        <v>1746</v>
      </c>
      <c r="F2945" s="25">
        <v>2598</v>
      </c>
      <c r="G2945" s="25">
        <v>2078.4</v>
      </c>
    </row>
    <row r="2946" spans="1:7" x14ac:dyDescent="0.25">
      <c r="A2946" s="14" t="s">
        <v>1225</v>
      </c>
      <c r="B2946" s="14">
        <v>1</v>
      </c>
      <c r="C2946" s="15" t="s">
        <v>1245</v>
      </c>
      <c r="D2946" s="14" t="s">
        <v>1749</v>
      </c>
      <c r="E2946" s="14" t="s">
        <v>1746</v>
      </c>
      <c r="F2946" s="25">
        <v>4092</v>
      </c>
      <c r="G2946" s="25">
        <v>3273.6</v>
      </c>
    </row>
    <row r="2947" spans="1:7" x14ac:dyDescent="0.25">
      <c r="A2947" s="14" t="s">
        <v>1225</v>
      </c>
      <c r="B2947" s="14">
        <v>1</v>
      </c>
      <c r="C2947" s="15" t="s">
        <v>1245</v>
      </c>
      <c r="D2947" s="14" t="s">
        <v>1745</v>
      </c>
      <c r="E2947" s="14" t="s">
        <v>1747</v>
      </c>
      <c r="F2947" s="25">
        <v>40920</v>
      </c>
      <c r="G2947" s="25">
        <v>32736</v>
      </c>
    </row>
    <row r="2948" spans="1:7" x14ac:dyDescent="0.25">
      <c r="A2948" s="14" t="s">
        <v>1225</v>
      </c>
      <c r="B2948" s="14" t="s">
        <v>258</v>
      </c>
      <c r="C2948" s="15" t="s">
        <v>1230</v>
      </c>
      <c r="D2948" s="14" t="s">
        <v>1749</v>
      </c>
      <c r="E2948" s="14" t="s">
        <v>1766</v>
      </c>
      <c r="F2948" s="25">
        <v>0</v>
      </c>
      <c r="G2948" s="25">
        <v>0</v>
      </c>
    </row>
    <row r="2949" spans="1:7" x14ac:dyDescent="0.25">
      <c r="A2949" s="14" t="s">
        <v>1225</v>
      </c>
      <c r="B2949" s="14">
        <v>1</v>
      </c>
      <c r="C2949" s="15" t="s">
        <v>1245</v>
      </c>
      <c r="D2949" s="14" t="s">
        <v>1745</v>
      </c>
      <c r="E2949" s="14" t="s">
        <v>1746</v>
      </c>
      <c r="F2949" s="25">
        <v>42966</v>
      </c>
      <c r="G2949" s="25">
        <v>34372.800000000003</v>
      </c>
    </row>
    <row r="2950" spans="1:7" x14ac:dyDescent="0.25">
      <c r="A2950" s="14" t="s">
        <v>1225</v>
      </c>
      <c r="B2950" s="14">
        <v>13</v>
      </c>
      <c r="C2950" s="15" t="s">
        <v>2617</v>
      </c>
      <c r="D2950" s="14" t="s">
        <v>1745</v>
      </c>
      <c r="E2950" s="14" t="s">
        <v>1747</v>
      </c>
      <c r="F2950" s="25">
        <v>16380</v>
      </c>
      <c r="G2950" s="25">
        <v>14742</v>
      </c>
    </row>
    <row r="2951" spans="1:7" x14ac:dyDescent="0.25">
      <c r="A2951" s="14" t="s">
        <v>1225</v>
      </c>
      <c r="B2951" s="14">
        <v>13</v>
      </c>
      <c r="C2951" s="15" t="s">
        <v>2617</v>
      </c>
      <c r="D2951" s="14" t="s">
        <v>1745</v>
      </c>
      <c r="E2951" s="14" t="s">
        <v>1746</v>
      </c>
      <c r="F2951" s="25">
        <v>17199</v>
      </c>
      <c r="G2951" s="25">
        <v>15479.16</v>
      </c>
    </row>
    <row r="2952" spans="1:7" x14ac:dyDescent="0.25">
      <c r="A2952" s="14" t="s">
        <v>1225</v>
      </c>
      <c r="B2952" s="14">
        <v>13</v>
      </c>
      <c r="C2952" s="15" t="s">
        <v>2617</v>
      </c>
      <c r="D2952" s="14" t="s">
        <v>1749</v>
      </c>
      <c r="E2952" s="14" t="s">
        <v>1746</v>
      </c>
      <c r="F2952" s="25">
        <v>1638</v>
      </c>
      <c r="G2952" s="25">
        <v>1474.2</v>
      </c>
    </row>
    <row r="2953" spans="1:7" x14ac:dyDescent="0.25">
      <c r="A2953" s="14" t="s">
        <v>1225</v>
      </c>
      <c r="B2953" s="14" t="s">
        <v>317</v>
      </c>
      <c r="C2953" s="15" t="s">
        <v>1230</v>
      </c>
      <c r="D2953" s="14" t="s">
        <v>1749</v>
      </c>
      <c r="E2953" s="14" t="s">
        <v>1746</v>
      </c>
      <c r="F2953" s="25">
        <v>3240</v>
      </c>
      <c r="G2953" s="25">
        <v>2592</v>
      </c>
    </row>
    <row r="2954" spans="1:7" x14ac:dyDescent="0.25">
      <c r="A2954" s="14" t="s">
        <v>1225</v>
      </c>
      <c r="B2954" s="14" t="s">
        <v>317</v>
      </c>
      <c r="C2954" s="15" t="s">
        <v>1230</v>
      </c>
      <c r="D2954" s="14" t="s">
        <v>1745</v>
      </c>
      <c r="E2954" s="14" t="s">
        <v>1746</v>
      </c>
      <c r="F2954" s="25">
        <v>34020</v>
      </c>
      <c r="G2954" s="25">
        <v>27216</v>
      </c>
    </row>
    <row r="2955" spans="1:7" x14ac:dyDescent="0.25">
      <c r="A2955" s="14" t="s">
        <v>1225</v>
      </c>
      <c r="B2955" s="14" t="s">
        <v>317</v>
      </c>
      <c r="C2955" s="15" t="s">
        <v>1230</v>
      </c>
      <c r="D2955" s="14" t="s">
        <v>1745</v>
      </c>
      <c r="E2955" s="14" t="s">
        <v>1747</v>
      </c>
      <c r="F2955" s="25">
        <v>32400</v>
      </c>
      <c r="G2955" s="25">
        <v>25920</v>
      </c>
    </row>
    <row r="2956" spans="1:7" x14ac:dyDescent="0.25">
      <c r="A2956" s="14" t="s">
        <v>1225</v>
      </c>
      <c r="B2956" s="14" t="s">
        <v>16</v>
      </c>
      <c r="C2956" s="15" t="s">
        <v>1245</v>
      </c>
      <c r="D2956" s="14" t="s">
        <v>1749</v>
      </c>
      <c r="E2956" s="14" t="s">
        <v>1766</v>
      </c>
      <c r="F2956" s="25">
        <v>0</v>
      </c>
      <c r="G2956" s="25">
        <v>0</v>
      </c>
    </row>
    <row r="2957" spans="1:7" x14ac:dyDescent="0.25">
      <c r="A2957" s="14" t="s">
        <v>2618</v>
      </c>
      <c r="B2957" s="14" t="s">
        <v>50</v>
      </c>
      <c r="C2957" s="15" t="s">
        <v>2619</v>
      </c>
      <c r="D2957" s="14" t="s">
        <v>1745</v>
      </c>
      <c r="E2957" s="14" t="s">
        <v>1747</v>
      </c>
      <c r="F2957" s="25">
        <v>199.2</v>
      </c>
      <c r="G2957" s="25">
        <v>159.36000000000001</v>
      </c>
    </row>
    <row r="2958" spans="1:7" x14ac:dyDescent="0.25">
      <c r="A2958" s="14" t="s">
        <v>2618</v>
      </c>
      <c r="B2958" s="14">
        <v>1</v>
      </c>
      <c r="C2958" s="15" t="s">
        <v>2620</v>
      </c>
      <c r="D2958" s="14" t="s">
        <v>1749</v>
      </c>
      <c r="E2958" s="14" t="s">
        <v>1746</v>
      </c>
      <c r="F2958" s="25">
        <v>19.920000000000002</v>
      </c>
      <c r="G2958" s="25">
        <v>15.94</v>
      </c>
    </row>
    <row r="2959" spans="1:7" x14ac:dyDescent="0.25">
      <c r="A2959" s="14" t="s">
        <v>2618</v>
      </c>
      <c r="B2959" s="14">
        <v>1</v>
      </c>
      <c r="C2959" s="15" t="s">
        <v>2620</v>
      </c>
      <c r="D2959" s="14" t="s">
        <v>1745</v>
      </c>
      <c r="E2959" s="14" t="s">
        <v>1747</v>
      </c>
      <c r="F2959" s="25">
        <v>199.2</v>
      </c>
      <c r="G2959" s="25">
        <v>159.36000000000001</v>
      </c>
    </row>
    <row r="2960" spans="1:7" x14ac:dyDescent="0.25">
      <c r="A2960" s="14" t="s">
        <v>2618</v>
      </c>
      <c r="B2960" s="14" t="s">
        <v>73</v>
      </c>
      <c r="C2960" s="15" t="s">
        <v>2621</v>
      </c>
      <c r="D2960" s="14" t="s">
        <v>1745</v>
      </c>
      <c r="E2960" s="14" t="s">
        <v>1747</v>
      </c>
      <c r="F2960" s="25">
        <v>80.400000000000006</v>
      </c>
      <c r="G2960" s="25">
        <v>72.36</v>
      </c>
    </row>
    <row r="2961" spans="1:7" x14ac:dyDescent="0.25">
      <c r="A2961" s="14" t="s">
        <v>2618</v>
      </c>
      <c r="B2961" s="14" t="s">
        <v>73</v>
      </c>
      <c r="C2961" s="15" t="s">
        <v>2621</v>
      </c>
      <c r="D2961" s="14" t="s">
        <v>1745</v>
      </c>
      <c r="E2961" s="14" t="s">
        <v>1746</v>
      </c>
      <c r="F2961" s="25">
        <v>84.36</v>
      </c>
      <c r="G2961" s="25">
        <v>75.959999999999994</v>
      </c>
    </row>
    <row r="2962" spans="1:7" x14ac:dyDescent="0.25">
      <c r="A2962" s="14" t="s">
        <v>2618</v>
      </c>
      <c r="B2962" s="14" t="s">
        <v>50</v>
      </c>
      <c r="C2962" s="15" t="s">
        <v>2619</v>
      </c>
      <c r="D2962" s="14" t="s">
        <v>1745</v>
      </c>
      <c r="E2962" s="14" t="s">
        <v>1746</v>
      </c>
      <c r="F2962" s="25">
        <v>209.16</v>
      </c>
      <c r="G2962" s="25">
        <v>167.28</v>
      </c>
    </row>
    <row r="2963" spans="1:7" x14ac:dyDescent="0.25">
      <c r="A2963" s="14" t="s">
        <v>2618</v>
      </c>
      <c r="B2963" s="14">
        <v>1</v>
      </c>
      <c r="C2963" s="15" t="s">
        <v>2620</v>
      </c>
      <c r="D2963" s="14" t="s">
        <v>1745</v>
      </c>
      <c r="E2963" s="14" t="s">
        <v>1746</v>
      </c>
      <c r="F2963" s="25">
        <v>209.16</v>
      </c>
      <c r="G2963" s="25">
        <v>167.28</v>
      </c>
    </row>
    <row r="2964" spans="1:7" x14ac:dyDescent="0.25">
      <c r="A2964" s="14" t="s">
        <v>2618</v>
      </c>
      <c r="B2964" s="14" t="s">
        <v>50</v>
      </c>
      <c r="C2964" s="15" t="s">
        <v>2619</v>
      </c>
      <c r="D2964" s="14" t="s">
        <v>1749</v>
      </c>
      <c r="E2964" s="14" t="s">
        <v>1746</v>
      </c>
      <c r="F2964" s="25">
        <v>19.920000000000002</v>
      </c>
      <c r="G2964" s="25">
        <v>15.94</v>
      </c>
    </row>
    <row r="2965" spans="1:7" x14ac:dyDescent="0.25">
      <c r="A2965" s="14" t="s">
        <v>2618</v>
      </c>
      <c r="B2965" s="14" t="s">
        <v>73</v>
      </c>
      <c r="C2965" s="15" t="s">
        <v>2621</v>
      </c>
      <c r="D2965" s="14" t="s">
        <v>1749</v>
      </c>
      <c r="E2965" s="14" t="s">
        <v>1746</v>
      </c>
      <c r="F2965" s="25">
        <v>8.0399999999999991</v>
      </c>
      <c r="G2965" s="25">
        <v>7.24</v>
      </c>
    </row>
    <row r="2966" spans="1:7" x14ac:dyDescent="0.25">
      <c r="A2966" s="14" t="s">
        <v>2622</v>
      </c>
      <c r="B2966" s="14" t="s">
        <v>583</v>
      </c>
      <c r="C2966" s="15" t="s">
        <v>2623</v>
      </c>
      <c r="D2966" s="14" t="s">
        <v>1745</v>
      </c>
      <c r="E2966" s="14" t="s">
        <v>1747</v>
      </c>
      <c r="F2966" s="25">
        <v>998.28</v>
      </c>
      <c r="G2966" s="25">
        <v>898.45</v>
      </c>
    </row>
    <row r="2967" spans="1:7" x14ac:dyDescent="0.25">
      <c r="A2967" s="14" t="s">
        <v>2622</v>
      </c>
      <c r="B2967" s="14" t="s">
        <v>608</v>
      </c>
      <c r="C2967" s="15" t="s">
        <v>2624</v>
      </c>
      <c r="D2967" s="14" t="s">
        <v>1745</v>
      </c>
      <c r="E2967" s="14" t="s">
        <v>1747</v>
      </c>
      <c r="F2967" s="25">
        <v>3480</v>
      </c>
      <c r="G2967" s="25">
        <v>2784</v>
      </c>
    </row>
    <row r="2968" spans="1:7" x14ac:dyDescent="0.25">
      <c r="A2968" s="14" t="s">
        <v>2622</v>
      </c>
      <c r="B2968" s="14">
        <v>1</v>
      </c>
      <c r="C2968" s="15" t="s">
        <v>2625</v>
      </c>
      <c r="D2968" s="14" t="s">
        <v>1745</v>
      </c>
      <c r="E2968" s="14" t="s">
        <v>1747</v>
      </c>
      <c r="F2968" s="25">
        <v>4020</v>
      </c>
      <c r="G2968" s="25">
        <v>3216</v>
      </c>
    </row>
    <row r="2969" spans="1:7" x14ac:dyDescent="0.25">
      <c r="A2969" s="14" t="s">
        <v>2622</v>
      </c>
      <c r="B2969" s="14" t="s">
        <v>608</v>
      </c>
      <c r="C2969" s="15" t="s">
        <v>2624</v>
      </c>
      <c r="D2969" s="14" t="s">
        <v>1745</v>
      </c>
      <c r="E2969" s="14" t="s">
        <v>1746</v>
      </c>
      <c r="F2969" s="25">
        <v>3654</v>
      </c>
      <c r="G2969" s="25">
        <v>2923.2</v>
      </c>
    </row>
    <row r="2970" spans="1:7" x14ac:dyDescent="0.25">
      <c r="A2970" s="14" t="s">
        <v>2622</v>
      </c>
      <c r="B2970" s="14" t="s">
        <v>583</v>
      </c>
      <c r="C2970" s="15" t="s">
        <v>2623</v>
      </c>
      <c r="D2970" s="14" t="s">
        <v>1749</v>
      </c>
      <c r="E2970" s="14" t="s">
        <v>1746</v>
      </c>
      <c r="F2970" s="25">
        <v>99.83</v>
      </c>
      <c r="G2970" s="25">
        <v>89.85</v>
      </c>
    </row>
    <row r="2971" spans="1:7" x14ac:dyDescent="0.25">
      <c r="A2971" s="14" t="s">
        <v>2622</v>
      </c>
      <c r="B2971" s="14">
        <v>1</v>
      </c>
      <c r="C2971" s="15" t="s">
        <v>2625</v>
      </c>
      <c r="D2971" s="14" t="s">
        <v>1749</v>
      </c>
      <c r="E2971" s="14" t="s">
        <v>1746</v>
      </c>
      <c r="F2971" s="25">
        <v>402</v>
      </c>
      <c r="G2971" s="25">
        <v>321.60000000000002</v>
      </c>
    </row>
    <row r="2972" spans="1:7" x14ac:dyDescent="0.25">
      <c r="A2972" s="14" t="s">
        <v>2622</v>
      </c>
      <c r="B2972" s="14" t="s">
        <v>608</v>
      </c>
      <c r="C2972" s="15" t="s">
        <v>2624</v>
      </c>
      <c r="D2972" s="14" t="s">
        <v>1749</v>
      </c>
      <c r="E2972" s="14" t="s">
        <v>1746</v>
      </c>
      <c r="F2972" s="25">
        <v>348</v>
      </c>
      <c r="G2972" s="25">
        <v>278.39999999999998</v>
      </c>
    </row>
    <row r="2973" spans="1:7" x14ac:dyDescent="0.25">
      <c r="A2973" s="14" t="s">
        <v>2622</v>
      </c>
      <c r="B2973" s="14">
        <v>1</v>
      </c>
      <c r="C2973" s="15" t="s">
        <v>2625</v>
      </c>
      <c r="D2973" s="14" t="s">
        <v>1745</v>
      </c>
      <c r="E2973" s="14" t="s">
        <v>1746</v>
      </c>
      <c r="F2973" s="25">
        <v>4221</v>
      </c>
      <c r="G2973" s="25">
        <v>3376.8</v>
      </c>
    </row>
    <row r="2974" spans="1:7" x14ac:dyDescent="0.25">
      <c r="A2974" s="14" t="s">
        <v>2622</v>
      </c>
      <c r="B2974" s="14" t="s">
        <v>583</v>
      </c>
      <c r="C2974" s="15" t="s">
        <v>2623</v>
      </c>
      <c r="D2974" s="14" t="s">
        <v>1745</v>
      </c>
      <c r="E2974" s="14" t="s">
        <v>1746</v>
      </c>
      <c r="F2974" s="25">
        <v>1048.2</v>
      </c>
      <c r="G2974" s="25">
        <v>943.32</v>
      </c>
    </row>
    <row r="2975" spans="1:7" x14ac:dyDescent="0.25">
      <c r="A2975" s="14" t="s">
        <v>2626</v>
      </c>
      <c r="B2975" s="14">
        <v>8</v>
      </c>
      <c r="C2975" s="15" t="s">
        <v>2627</v>
      </c>
      <c r="D2975" s="14" t="s">
        <v>1745</v>
      </c>
      <c r="E2975" s="14" t="s">
        <v>1746</v>
      </c>
      <c r="F2975" s="25">
        <v>419328</v>
      </c>
      <c r="G2975" s="25">
        <v>335462.40000000002</v>
      </c>
    </row>
    <row r="2976" spans="1:7" x14ac:dyDescent="0.25">
      <c r="A2976" s="14" t="s">
        <v>2626</v>
      </c>
      <c r="B2976" s="14">
        <v>18</v>
      </c>
      <c r="C2976" s="15" t="s">
        <v>2628</v>
      </c>
      <c r="D2976" s="14" t="s">
        <v>1749</v>
      </c>
      <c r="E2976" s="14" t="s">
        <v>1746</v>
      </c>
      <c r="F2976" s="25">
        <v>99834</v>
      </c>
      <c r="G2976" s="25">
        <v>79867.199999999997</v>
      </c>
    </row>
    <row r="2977" spans="1:7" x14ac:dyDescent="0.25">
      <c r="A2977" s="14" t="s">
        <v>2626</v>
      </c>
      <c r="B2977" s="14">
        <v>17</v>
      </c>
      <c r="C2977" s="15" t="s">
        <v>2629</v>
      </c>
      <c r="D2977" s="14" t="s">
        <v>1745</v>
      </c>
      <c r="E2977" s="14" t="s">
        <v>1747</v>
      </c>
      <c r="F2977" s="25">
        <v>249600</v>
      </c>
      <c r="G2977" s="25">
        <v>224640</v>
      </c>
    </row>
    <row r="2978" spans="1:7" x14ac:dyDescent="0.25">
      <c r="A2978" s="14" t="s">
        <v>2626</v>
      </c>
      <c r="B2978" s="14">
        <v>1</v>
      </c>
      <c r="C2978" s="15" t="s">
        <v>2630</v>
      </c>
      <c r="D2978" s="14" t="s">
        <v>1749</v>
      </c>
      <c r="E2978" s="14" t="s">
        <v>1746</v>
      </c>
      <c r="F2978" s="25">
        <v>9984</v>
      </c>
      <c r="G2978" s="25">
        <v>7987.2</v>
      </c>
    </row>
    <row r="2979" spans="1:7" x14ac:dyDescent="0.25">
      <c r="A2979" s="14" t="s">
        <v>2626</v>
      </c>
      <c r="B2979" s="14">
        <v>1</v>
      </c>
      <c r="C2979" s="15" t="s">
        <v>2630</v>
      </c>
      <c r="D2979" s="14" t="s">
        <v>1745</v>
      </c>
      <c r="E2979" s="14" t="s">
        <v>1746</v>
      </c>
      <c r="F2979" s="25">
        <v>104832</v>
      </c>
      <c r="G2979" s="25">
        <v>83865.600000000006</v>
      </c>
    </row>
    <row r="2980" spans="1:7" x14ac:dyDescent="0.25">
      <c r="A2980" s="14" t="s">
        <v>2626</v>
      </c>
      <c r="B2980" s="14">
        <v>3</v>
      </c>
      <c r="C2980" s="15" t="s">
        <v>2631</v>
      </c>
      <c r="D2980" s="14" t="s">
        <v>1745</v>
      </c>
      <c r="E2980" s="14" t="s">
        <v>1746</v>
      </c>
      <c r="F2980" s="25">
        <v>20979</v>
      </c>
      <c r="G2980" s="25">
        <v>16783.2</v>
      </c>
    </row>
    <row r="2981" spans="1:7" x14ac:dyDescent="0.25">
      <c r="A2981" s="14" t="s">
        <v>2626</v>
      </c>
      <c r="B2981" s="14">
        <v>18</v>
      </c>
      <c r="C2981" s="15" t="s">
        <v>2628</v>
      </c>
      <c r="D2981" s="14" t="s">
        <v>1745</v>
      </c>
      <c r="E2981" s="14" t="s">
        <v>1747</v>
      </c>
      <c r="F2981" s="25">
        <v>998340</v>
      </c>
      <c r="G2981" s="25">
        <v>798672</v>
      </c>
    </row>
    <row r="2982" spans="1:7" x14ac:dyDescent="0.25">
      <c r="A2982" s="14" t="s">
        <v>2626</v>
      </c>
      <c r="B2982" s="14" t="s">
        <v>263</v>
      </c>
      <c r="C2982" s="15" t="s">
        <v>2632</v>
      </c>
      <c r="D2982" s="14" t="s">
        <v>1745</v>
      </c>
      <c r="E2982" s="14" t="s">
        <v>1746</v>
      </c>
      <c r="F2982" s="25">
        <v>157248</v>
      </c>
      <c r="G2982" s="25">
        <v>141523.20000000001</v>
      </c>
    </row>
    <row r="2983" spans="1:7" x14ac:dyDescent="0.25">
      <c r="A2983" s="14" t="s">
        <v>2626</v>
      </c>
      <c r="B2983" s="14">
        <v>3</v>
      </c>
      <c r="C2983" s="15" t="s">
        <v>2631</v>
      </c>
      <c r="D2983" s="14" t="s">
        <v>1745</v>
      </c>
      <c r="E2983" s="14" t="s">
        <v>1747</v>
      </c>
      <c r="F2983" s="25">
        <v>19980</v>
      </c>
      <c r="G2983" s="25">
        <v>15984</v>
      </c>
    </row>
    <row r="2984" spans="1:7" x14ac:dyDescent="0.25">
      <c r="A2984" s="14" t="s">
        <v>2626</v>
      </c>
      <c r="B2984" s="14">
        <v>8</v>
      </c>
      <c r="C2984" s="15" t="s">
        <v>2627</v>
      </c>
      <c r="D2984" s="14" t="s">
        <v>1745</v>
      </c>
      <c r="E2984" s="14" t="s">
        <v>1747</v>
      </c>
      <c r="F2984" s="25">
        <v>399360</v>
      </c>
      <c r="G2984" s="25">
        <v>319488</v>
      </c>
    </row>
    <row r="2985" spans="1:7" x14ac:dyDescent="0.25">
      <c r="A2985" s="14" t="s">
        <v>2626</v>
      </c>
      <c r="B2985" s="14" t="s">
        <v>317</v>
      </c>
      <c r="C2985" s="15" t="s">
        <v>2633</v>
      </c>
      <c r="D2985" s="14" t="s">
        <v>1745</v>
      </c>
      <c r="E2985" s="14" t="s">
        <v>1746</v>
      </c>
      <c r="F2985" s="25">
        <v>838593</v>
      </c>
      <c r="G2985" s="25">
        <v>670874.4</v>
      </c>
    </row>
    <row r="2986" spans="1:7" x14ac:dyDescent="0.25">
      <c r="A2986" s="14" t="s">
        <v>2626</v>
      </c>
      <c r="B2986" s="14" t="s">
        <v>583</v>
      </c>
      <c r="C2986" s="15" t="s">
        <v>2634</v>
      </c>
      <c r="D2986" s="14" t="s">
        <v>1745</v>
      </c>
      <c r="E2986" s="14" t="s">
        <v>1746</v>
      </c>
      <c r="F2986" s="25">
        <v>628929</v>
      </c>
      <c r="G2986" s="25">
        <v>503143.2</v>
      </c>
    </row>
    <row r="2987" spans="1:7" x14ac:dyDescent="0.25">
      <c r="A2987" s="14" t="s">
        <v>2626</v>
      </c>
      <c r="B2987" s="14">
        <v>18</v>
      </c>
      <c r="C2987" s="15" t="s">
        <v>2628</v>
      </c>
      <c r="D2987" s="14" t="s">
        <v>1745</v>
      </c>
      <c r="E2987" s="14" t="s">
        <v>1746</v>
      </c>
      <c r="F2987" s="25">
        <v>1048257</v>
      </c>
      <c r="G2987" s="25">
        <v>838605.6</v>
      </c>
    </row>
    <row r="2988" spans="1:7" x14ac:dyDescent="0.25">
      <c r="A2988" s="14" t="s">
        <v>2626</v>
      </c>
      <c r="B2988" s="14" t="s">
        <v>608</v>
      </c>
      <c r="C2988" s="15" t="s">
        <v>2635</v>
      </c>
      <c r="D2988" s="14" t="s">
        <v>1745</v>
      </c>
      <c r="E2988" s="14" t="s">
        <v>1747</v>
      </c>
      <c r="F2988" s="25">
        <v>199680</v>
      </c>
      <c r="G2988" s="25">
        <v>179712</v>
      </c>
    </row>
    <row r="2989" spans="1:7" x14ac:dyDescent="0.25">
      <c r="A2989" s="14" t="s">
        <v>2626</v>
      </c>
      <c r="B2989" s="14">
        <v>5</v>
      </c>
      <c r="C2989" s="15" t="s">
        <v>2636</v>
      </c>
      <c r="D2989" s="14" t="s">
        <v>1749</v>
      </c>
      <c r="E2989" s="14" t="s">
        <v>1746</v>
      </c>
      <c r="F2989" s="25">
        <v>2496</v>
      </c>
      <c r="G2989" s="25">
        <v>2246.4</v>
      </c>
    </row>
    <row r="2990" spans="1:7" x14ac:dyDescent="0.25">
      <c r="A2990" s="14" t="s">
        <v>2626</v>
      </c>
      <c r="B2990" s="14">
        <v>5</v>
      </c>
      <c r="C2990" s="15" t="s">
        <v>2636</v>
      </c>
      <c r="D2990" s="14" t="s">
        <v>1745</v>
      </c>
      <c r="E2990" s="14" t="s">
        <v>1746</v>
      </c>
      <c r="F2990" s="25">
        <v>26208</v>
      </c>
      <c r="G2990" s="25">
        <v>23587.200000000001</v>
      </c>
    </row>
    <row r="2991" spans="1:7" x14ac:dyDescent="0.25">
      <c r="A2991" s="14" t="s">
        <v>2626</v>
      </c>
      <c r="B2991" s="14">
        <v>14</v>
      </c>
      <c r="C2991" s="15" t="s">
        <v>2637</v>
      </c>
      <c r="D2991" s="14" t="s">
        <v>1749</v>
      </c>
      <c r="E2991" s="14" t="s">
        <v>1746</v>
      </c>
      <c r="F2991" s="25">
        <v>119802</v>
      </c>
      <c r="G2991" s="25">
        <v>95841.600000000006</v>
      </c>
    </row>
    <row r="2992" spans="1:7" x14ac:dyDescent="0.25">
      <c r="A2992" s="14" t="s">
        <v>2626</v>
      </c>
      <c r="B2992" s="14">
        <v>7</v>
      </c>
      <c r="C2992" s="15" t="s">
        <v>2638</v>
      </c>
      <c r="D2992" s="14" t="s">
        <v>1745</v>
      </c>
      <c r="E2992" s="14" t="s">
        <v>1746</v>
      </c>
      <c r="F2992" s="25">
        <v>209664</v>
      </c>
      <c r="G2992" s="25">
        <v>167731.20000000001</v>
      </c>
    </row>
    <row r="2993" spans="1:7" x14ac:dyDescent="0.25">
      <c r="A2993" s="14" t="s">
        <v>2626</v>
      </c>
      <c r="B2993" s="14">
        <v>3</v>
      </c>
      <c r="C2993" s="15" t="s">
        <v>2631</v>
      </c>
      <c r="D2993" s="14" t="s">
        <v>1749</v>
      </c>
      <c r="E2993" s="14" t="s">
        <v>1746</v>
      </c>
      <c r="F2993" s="25">
        <v>1998</v>
      </c>
      <c r="G2993" s="25">
        <v>1598.4</v>
      </c>
    </row>
    <row r="2994" spans="1:7" x14ac:dyDescent="0.25">
      <c r="A2994" s="14" t="s">
        <v>2626</v>
      </c>
      <c r="B2994" s="14">
        <v>2</v>
      </c>
      <c r="C2994" s="15" t="s">
        <v>2639</v>
      </c>
      <c r="D2994" s="14" t="s">
        <v>1745</v>
      </c>
      <c r="E2994" s="14" t="s">
        <v>1747</v>
      </c>
      <c r="F2994" s="25">
        <v>4980</v>
      </c>
      <c r="G2994" s="25">
        <v>4482</v>
      </c>
    </row>
    <row r="2995" spans="1:7" x14ac:dyDescent="0.25">
      <c r="A2995" s="14" t="s">
        <v>2626</v>
      </c>
      <c r="B2995" s="14">
        <v>17</v>
      </c>
      <c r="C2995" s="15" t="s">
        <v>2629</v>
      </c>
      <c r="D2995" s="14" t="s">
        <v>1745</v>
      </c>
      <c r="E2995" s="14" t="s">
        <v>1746</v>
      </c>
      <c r="F2995" s="25">
        <v>262080</v>
      </c>
      <c r="G2995" s="25">
        <v>235872</v>
      </c>
    </row>
    <row r="2996" spans="1:7" x14ac:dyDescent="0.25">
      <c r="A2996" s="14" t="s">
        <v>2626</v>
      </c>
      <c r="B2996" s="14" t="s">
        <v>317</v>
      </c>
      <c r="C2996" s="15" t="s">
        <v>2633</v>
      </c>
      <c r="D2996" s="14" t="s">
        <v>1749</v>
      </c>
      <c r="E2996" s="14" t="s">
        <v>1746</v>
      </c>
      <c r="F2996" s="25">
        <v>79866</v>
      </c>
      <c r="G2996" s="25">
        <v>63892.800000000003</v>
      </c>
    </row>
    <row r="2997" spans="1:7" x14ac:dyDescent="0.25">
      <c r="A2997" s="14" t="s">
        <v>2626</v>
      </c>
      <c r="B2997" s="14">
        <v>1</v>
      </c>
      <c r="C2997" s="15" t="s">
        <v>2630</v>
      </c>
      <c r="D2997" s="14" t="s">
        <v>1745</v>
      </c>
      <c r="E2997" s="14" t="s">
        <v>1747</v>
      </c>
      <c r="F2997" s="25">
        <v>99840</v>
      </c>
      <c r="G2997" s="25">
        <v>79872</v>
      </c>
    </row>
    <row r="2998" spans="1:7" x14ac:dyDescent="0.25">
      <c r="A2998" s="14" t="s">
        <v>2626</v>
      </c>
      <c r="B2998" s="14">
        <v>5</v>
      </c>
      <c r="C2998" s="15" t="s">
        <v>2636</v>
      </c>
      <c r="D2998" s="14" t="s">
        <v>1745</v>
      </c>
      <c r="E2998" s="14" t="s">
        <v>1747</v>
      </c>
      <c r="F2998" s="25">
        <v>24960</v>
      </c>
      <c r="G2998" s="25">
        <v>22464</v>
      </c>
    </row>
    <row r="2999" spans="1:7" x14ac:dyDescent="0.25">
      <c r="A2999" s="14" t="s">
        <v>2626</v>
      </c>
      <c r="B2999" s="14">
        <v>7</v>
      </c>
      <c r="C2999" s="15" t="s">
        <v>2638</v>
      </c>
      <c r="D2999" s="14" t="s">
        <v>1745</v>
      </c>
      <c r="E2999" s="14" t="s">
        <v>1747</v>
      </c>
      <c r="F2999" s="25">
        <v>199680</v>
      </c>
      <c r="G2999" s="25">
        <v>159744</v>
      </c>
    </row>
    <row r="3000" spans="1:7" x14ac:dyDescent="0.25">
      <c r="A3000" s="14" t="s">
        <v>2626</v>
      </c>
      <c r="B3000" s="14">
        <v>2</v>
      </c>
      <c r="C3000" s="15" t="s">
        <v>2639</v>
      </c>
      <c r="D3000" s="14" t="s">
        <v>1749</v>
      </c>
      <c r="E3000" s="14" t="s">
        <v>1746</v>
      </c>
      <c r="F3000" s="25">
        <v>498</v>
      </c>
      <c r="G3000" s="25">
        <v>448.2</v>
      </c>
    </row>
    <row r="3001" spans="1:7" x14ac:dyDescent="0.25">
      <c r="A3001" s="14" t="s">
        <v>2626</v>
      </c>
      <c r="B3001" s="14" t="s">
        <v>263</v>
      </c>
      <c r="C3001" s="15" t="s">
        <v>2632</v>
      </c>
      <c r="D3001" s="14" t="s">
        <v>1745</v>
      </c>
      <c r="E3001" s="14" t="s">
        <v>1747</v>
      </c>
      <c r="F3001" s="25">
        <v>149760</v>
      </c>
      <c r="G3001" s="25">
        <v>134784</v>
      </c>
    </row>
    <row r="3002" spans="1:7" x14ac:dyDescent="0.25">
      <c r="A3002" s="14" t="s">
        <v>2626</v>
      </c>
      <c r="B3002" s="14">
        <v>6</v>
      </c>
      <c r="C3002" s="15" t="s">
        <v>2640</v>
      </c>
      <c r="D3002" s="14" t="s">
        <v>1745</v>
      </c>
      <c r="E3002" s="14" t="s">
        <v>1747</v>
      </c>
      <c r="F3002" s="25">
        <v>49920</v>
      </c>
      <c r="G3002" s="25">
        <v>44928</v>
      </c>
    </row>
    <row r="3003" spans="1:7" x14ac:dyDescent="0.25">
      <c r="A3003" s="14" t="s">
        <v>2626</v>
      </c>
      <c r="B3003" s="14">
        <v>4</v>
      </c>
      <c r="C3003" s="15" t="s">
        <v>2641</v>
      </c>
      <c r="D3003" s="14" t="s">
        <v>1745</v>
      </c>
      <c r="E3003" s="14" t="s">
        <v>1747</v>
      </c>
      <c r="F3003" s="25">
        <v>99840</v>
      </c>
      <c r="G3003" s="25">
        <v>89856</v>
      </c>
    </row>
    <row r="3004" spans="1:7" x14ac:dyDescent="0.25">
      <c r="A3004" s="14" t="s">
        <v>2626</v>
      </c>
      <c r="B3004" s="14">
        <v>17</v>
      </c>
      <c r="C3004" s="15" t="s">
        <v>2629</v>
      </c>
      <c r="D3004" s="14" t="s">
        <v>1749</v>
      </c>
      <c r="E3004" s="14" t="s">
        <v>1746</v>
      </c>
      <c r="F3004" s="25">
        <v>24960</v>
      </c>
      <c r="G3004" s="25">
        <v>22464</v>
      </c>
    </row>
    <row r="3005" spans="1:7" x14ac:dyDescent="0.25">
      <c r="A3005" s="14" t="s">
        <v>2626</v>
      </c>
      <c r="B3005" s="14">
        <v>13</v>
      </c>
      <c r="C3005" s="15" t="s">
        <v>2642</v>
      </c>
      <c r="D3005" s="14" t="s">
        <v>1745</v>
      </c>
      <c r="E3005" s="14" t="s">
        <v>1746</v>
      </c>
      <c r="F3005" s="25">
        <v>314496</v>
      </c>
      <c r="G3005" s="25">
        <v>283046.40000000002</v>
      </c>
    </row>
    <row r="3006" spans="1:7" x14ac:dyDescent="0.25">
      <c r="A3006" s="14" t="s">
        <v>2626</v>
      </c>
      <c r="B3006" s="14" t="s">
        <v>263</v>
      </c>
      <c r="C3006" s="15" t="s">
        <v>2632</v>
      </c>
      <c r="D3006" s="14" t="s">
        <v>1749</v>
      </c>
      <c r="E3006" s="14" t="s">
        <v>1746</v>
      </c>
      <c r="F3006" s="25">
        <v>14976</v>
      </c>
      <c r="G3006" s="25">
        <v>13478.4</v>
      </c>
    </row>
    <row r="3007" spans="1:7" x14ac:dyDescent="0.25">
      <c r="A3007" s="14" t="s">
        <v>2626</v>
      </c>
      <c r="B3007" s="14">
        <v>4</v>
      </c>
      <c r="C3007" s="15" t="s">
        <v>2641</v>
      </c>
      <c r="D3007" s="14" t="s">
        <v>1745</v>
      </c>
      <c r="E3007" s="14" t="s">
        <v>1746</v>
      </c>
      <c r="F3007" s="25">
        <v>104832</v>
      </c>
      <c r="G3007" s="25">
        <v>94348.800000000003</v>
      </c>
    </row>
    <row r="3008" spans="1:7" x14ac:dyDescent="0.25">
      <c r="A3008" s="14" t="s">
        <v>2626</v>
      </c>
      <c r="B3008" s="14" t="s">
        <v>608</v>
      </c>
      <c r="C3008" s="15" t="s">
        <v>2635</v>
      </c>
      <c r="D3008" s="14" t="s">
        <v>1749</v>
      </c>
      <c r="E3008" s="14" t="s">
        <v>1746</v>
      </c>
      <c r="F3008" s="25">
        <v>19968</v>
      </c>
      <c r="G3008" s="25">
        <v>17971.2</v>
      </c>
    </row>
    <row r="3009" spans="1:7" x14ac:dyDescent="0.25">
      <c r="A3009" s="14" t="s">
        <v>2626</v>
      </c>
      <c r="B3009" s="14">
        <v>4</v>
      </c>
      <c r="C3009" s="15" t="s">
        <v>2641</v>
      </c>
      <c r="D3009" s="14" t="s">
        <v>1749</v>
      </c>
      <c r="E3009" s="14" t="s">
        <v>1746</v>
      </c>
      <c r="F3009" s="25">
        <v>9984</v>
      </c>
      <c r="G3009" s="25">
        <v>8985.6</v>
      </c>
    </row>
    <row r="3010" spans="1:7" x14ac:dyDescent="0.25">
      <c r="A3010" s="14" t="s">
        <v>2626</v>
      </c>
      <c r="B3010" s="14">
        <v>13</v>
      </c>
      <c r="C3010" s="15" t="s">
        <v>2642</v>
      </c>
      <c r="D3010" s="14" t="s">
        <v>1749</v>
      </c>
      <c r="E3010" s="14" t="s">
        <v>1746</v>
      </c>
      <c r="F3010" s="25">
        <v>29952</v>
      </c>
      <c r="G3010" s="25">
        <v>26956.799999999999</v>
      </c>
    </row>
    <row r="3011" spans="1:7" x14ac:dyDescent="0.25">
      <c r="A3011" s="14" t="s">
        <v>2626</v>
      </c>
      <c r="B3011" s="14" t="s">
        <v>608</v>
      </c>
      <c r="C3011" s="15" t="s">
        <v>2635</v>
      </c>
      <c r="D3011" s="14" t="s">
        <v>1745</v>
      </c>
      <c r="E3011" s="14" t="s">
        <v>1746</v>
      </c>
      <c r="F3011" s="25">
        <v>209664</v>
      </c>
      <c r="G3011" s="25">
        <v>188697.60000000001</v>
      </c>
    </row>
    <row r="3012" spans="1:7" x14ac:dyDescent="0.25">
      <c r="A3012" s="14" t="s">
        <v>2626</v>
      </c>
      <c r="B3012" s="14">
        <v>14</v>
      </c>
      <c r="C3012" s="15" t="s">
        <v>2637</v>
      </c>
      <c r="D3012" s="14" t="s">
        <v>1745</v>
      </c>
      <c r="E3012" s="14" t="s">
        <v>1746</v>
      </c>
      <c r="F3012" s="25">
        <v>1257921</v>
      </c>
      <c r="G3012" s="25">
        <v>1006337</v>
      </c>
    </row>
    <row r="3013" spans="1:7" x14ac:dyDescent="0.25">
      <c r="A3013" s="14" t="s">
        <v>2626</v>
      </c>
      <c r="B3013" s="14">
        <v>6</v>
      </c>
      <c r="C3013" s="15" t="s">
        <v>2640</v>
      </c>
      <c r="D3013" s="14" t="s">
        <v>1745</v>
      </c>
      <c r="E3013" s="14" t="s">
        <v>1746</v>
      </c>
      <c r="F3013" s="25">
        <v>52416</v>
      </c>
      <c r="G3013" s="25">
        <v>47174.400000000001</v>
      </c>
    </row>
    <row r="3014" spans="1:7" x14ac:dyDescent="0.25">
      <c r="A3014" s="14" t="s">
        <v>2626</v>
      </c>
      <c r="B3014" s="14">
        <v>2</v>
      </c>
      <c r="C3014" s="15" t="s">
        <v>2639</v>
      </c>
      <c r="D3014" s="14" t="s">
        <v>1745</v>
      </c>
      <c r="E3014" s="14" t="s">
        <v>1746</v>
      </c>
      <c r="F3014" s="25">
        <v>5229</v>
      </c>
      <c r="G3014" s="25">
        <v>4706.16</v>
      </c>
    </row>
    <row r="3015" spans="1:7" x14ac:dyDescent="0.25">
      <c r="A3015" s="14" t="s">
        <v>2626</v>
      </c>
      <c r="B3015" s="14" t="s">
        <v>583</v>
      </c>
      <c r="C3015" s="15" t="s">
        <v>2634</v>
      </c>
      <c r="D3015" s="14" t="s">
        <v>1749</v>
      </c>
      <c r="E3015" s="14" t="s">
        <v>1746</v>
      </c>
      <c r="F3015" s="25">
        <v>59898</v>
      </c>
      <c r="G3015" s="25">
        <v>47918.400000000001</v>
      </c>
    </row>
    <row r="3016" spans="1:7" x14ac:dyDescent="0.25">
      <c r="A3016" s="14" t="s">
        <v>2626</v>
      </c>
      <c r="B3016" s="14">
        <v>7</v>
      </c>
      <c r="C3016" s="15" t="s">
        <v>2638</v>
      </c>
      <c r="D3016" s="14" t="s">
        <v>1749</v>
      </c>
      <c r="E3016" s="14" t="s">
        <v>1746</v>
      </c>
      <c r="F3016" s="25">
        <v>19968</v>
      </c>
      <c r="G3016" s="25">
        <v>15974.4</v>
      </c>
    </row>
    <row r="3017" spans="1:7" x14ac:dyDescent="0.25">
      <c r="A3017" s="14" t="s">
        <v>2626</v>
      </c>
      <c r="B3017" s="14">
        <v>13</v>
      </c>
      <c r="C3017" s="15" t="s">
        <v>2642</v>
      </c>
      <c r="D3017" s="14" t="s">
        <v>1745</v>
      </c>
      <c r="E3017" s="14" t="s">
        <v>1747</v>
      </c>
      <c r="F3017" s="25">
        <v>299520</v>
      </c>
      <c r="G3017" s="25">
        <v>269568</v>
      </c>
    </row>
    <row r="3018" spans="1:7" x14ac:dyDescent="0.25">
      <c r="A3018" s="14" t="s">
        <v>2626</v>
      </c>
      <c r="B3018" s="14">
        <v>6</v>
      </c>
      <c r="C3018" s="15" t="s">
        <v>2640</v>
      </c>
      <c r="D3018" s="14" t="s">
        <v>1749</v>
      </c>
      <c r="E3018" s="14" t="s">
        <v>1746</v>
      </c>
      <c r="F3018" s="25">
        <v>4992</v>
      </c>
      <c r="G3018" s="25">
        <v>4492.8</v>
      </c>
    </row>
    <row r="3019" spans="1:7" x14ac:dyDescent="0.25">
      <c r="A3019" s="14" t="s">
        <v>2626</v>
      </c>
      <c r="B3019" s="14" t="s">
        <v>317</v>
      </c>
      <c r="C3019" s="15" t="s">
        <v>2633</v>
      </c>
      <c r="D3019" s="14" t="s">
        <v>1745</v>
      </c>
      <c r="E3019" s="14" t="s">
        <v>1747</v>
      </c>
      <c r="F3019" s="25">
        <v>798660</v>
      </c>
      <c r="G3019" s="25">
        <v>638928</v>
      </c>
    </row>
    <row r="3020" spans="1:7" x14ac:dyDescent="0.25">
      <c r="A3020" s="14" t="s">
        <v>2626</v>
      </c>
      <c r="B3020" s="14" t="s">
        <v>583</v>
      </c>
      <c r="C3020" s="15" t="s">
        <v>2634</v>
      </c>
      <c r="D3020" s="14" t="s">
        <v>1745</v>
      </c>
      <c r="E3020" s="14" t="s">
        <v>1747</v>
      </c>
      <c r="F3020" s="25">
        <v>598980</v>
      </c>
      <c r="G3020" s="25">
        <v>479184</v>
      </c>
    </row>
    <row r="3021" spans="1:7" x14ac:dyDescent="0.25">
      <c r="A3021" s="14" t="s">
        <v>2626</v>
      </c>
      <c r="B3021" s="14">
        <v>8</v>
      </c>
      <c r="C3021" s="15" t="s">
        <v>2627</v>
      </c>
      <c r="D3021" s="14" t="s">
        <v>1749</v>
      </c>
      <c r="E3021" s="14" t="s">
        <v>1746</v>
      </c>
      <c r="F3021" s="25">
        <v>39936</v>
      </c>
      <c r="G3021" s="25">
        <v>31948.799999999999</v>
      </c>
    </row>
    <row r="3022" spans="1:7" x14ac:dyDescent="0.25">
      <c r="A3022" s="14" t="s">
        <v>2626</v>
      </c>
      <c r="B3022" s="14">
        <v>14</v>
      </c>
      <c r="C3022" s="15" t="s">
        <v>2637</v>
      </c>
      <c r="D3022" s="14" t="s">
        <v>1745</v>
      </c>
      <c r="E3022" s="14" t="s">
        <v>1747</v>
      </c>
      <c r="F3022" s="25">
        <v>1198020</v>
      </c>
      <c r="G3022" s="25">
        <v>958416</v>
      </c>
    </row>
    <row r="3023" spans="1:7" x14ac:dyDescent="0.25">
      <c r="A3023" s="14" t="s">
        <v>2643</v>
      </c>
      <c r="B3023" s="14">
        <v>2</v>
      </c>
      <c r="C3023" s="15" t="s">
        <v>2644</v>
      </c>
      <c r="D3023" s="14" t="s">
        <v>1749</v>
      </c>
      <c r="E3023" s="14" t="s">
        <v>1746</v>
      </c>
      <c r="F3023" s="25">
        <v>2994</v>
      </c>
      <c r="G3023" s="25">
        <v>2395.1999999999998</v>
      </c>
    </row>
    <row r="3024" spans="1:7" x14ac:dyDescent="0.25">
      <c r="A3024" s="14" t="s">
        <v>2643</v>
      </c>
      <c r="B3024" s="14" t="s">
        <v>118</v>
      </c>
      <c r="C3024" s="15" t="s">
        <v>2645</v>
      </c>
      <c r="D3024" s="14" t="s">
        <v>1745</v>
      </c>
      <c r="E3024" s="14" t="s">
        <v>1747</v>
      </c>
      <c r="F3024" s="25">
        <v>4500</v>
      </c>
      <c r="G3024" s="25">
        <v>3600</v>
      </c>
    </row>
    <row r="3025" spans="1:7" x14ac:dyDescent="0.25">
      <c r="A3025" s="14" t="s">
        <v>2643</v>
      </c>
      <c r="B3025" s="14" t="s">
        <v>243</v>
      </c>
      <c r="C3025" s="15" t="s">
        <v>2646</v>
      </c>
      <c r="D3025" s="14" t="s">
        <v>1745</v>
      </c>
      <c r="E3025" s="14" t="s">
        <v>1746</v>
      </c>
      <c r="F3025" s="25">
        <v>6300</v>
      </c>
      <c r="G3025" s="25">
        <v>5040</v>
      </c>
    </row>
    <row r="3026" spans="1:7" x14ac:dyDescent="0.25">
      <c r="A3026" s="14" t="s">
        <v>2643</v>
      </c>
      <c r="B3026" s="14" t="s">
        <v>243</v>
      </c>
      <c r="C3026" s="15" t="s">
        <v>2646</v>
      </c>
      <c r="D3026" s="14" t="s">
        <v>1749</v>
      </c>
      <c r="E3026" s="14" t="s">
        <v>1746</v>
      </c>
      <c r="F3026" s="25">
        <v>600</v>
      </c>
      <c r="G3026" s="25">
        <v>480</v>
      </c>
    </row>
    <row r="3027" spans="1:7" x14ac:dyDescent="0.25">
      <c r="A3027" s="14" t="s">
        <v>2643</v>
      </c>
      <c r="B3027" s="14">
        <v>12</v>
      </c>
      <c r="C3027" s="15" t="s">
        <v>2647</v>
      </c>
      <c r="D3027" s="14" t="s">
        <v>1745</v>
      </c>
      <c r="E3027" s="14" t="s">
        <v>1747</v>
      </c>
      <c r="F3027" s="25">
        <v>12000</v>
      </c>
      <c r="G3027" s="25">
        <v>10800</v>
      </c>
    </row>
    <row r="3028" spans="1:7" x14ac:dyDescent="0.25">
      <c r="A3028" s="14" t="s">
        <v>2643</v>
      </c>
      <c r="B3028" s="14">
        <v>2</v>
      </c>
      <c r="C3028" s="15" t="s">
        <v>2644</v>
      </c>
      <c r="D3028" s="14" t="s">
        <v>1745</v>
      </c>
      <c r="E3028" s="14" t="s">
        <v>1746</v>
      </c>
      <c r="F3028" s="25">
        <v>31437</v>
      </c>
      <c r="G3028" s="25">
        <v>25149.599999999999</v>
      </c>
    </row>
    <row r="3029" spans="1:7" x14ac:dyDescent="0.25">
      <c r="A3029" s="14" t="s">
        <v>2643</v>
      </c>
      <c r="B3029" s="14" t="s">
        <v>118</v>
      </c>
      <c r="C3029" s="15" t="s">
        <v>2645</v>
      </c>
      <c r="D3029" s="14" t="s">
        <v>1745</v>
      </c>
      <c r="E3029" s="14" t="s">
        <v>1746</v>
      </c>
      <c r="F3029" s="25">
        <v>4725</v>
      </c>
      <c r="G3029" s="25">
        <v>3780</v>
      </c>
    </row>
    <row r="3030" spans="1:7" x14ac:dyDescent="0.25">
      <c r="A3030" s="14" t="s">
        <v>2643</v>
      </c>
      <c r="B3030" s="14">
        <v>4</v>
      </c>
      <c r="C3030" s="15" t="s">
        <v>2644</v>
      </c>
      <c r="D3030" s="14" t="s">
        <v>1749</v>
      </c>
      <c r="E3030" s="14" t="s">
        <v>1766</v>
      </c>
      <c r="F3030" s="25">
        <v>0</v>
      </c>
      <c r="G3030" s="25">
        <v>0</v>
      </c>
    </row>
    <row r="3031" spans="1:7" x14ac:dyDescent="0.25">
      <c r="A3031" s="14" t="s">
        <v>2643</v>
      </c>
      <c r="B3031" s="14" t="s">
        <v>118</v>
      </c>
      <c r="C3031" s="15" t="s">
        <v>2645</v>
      </c>
      <c r="D3031" s="14" t="s">
        <v>1749</v>
      </c>
      <c r="E3031" s="14" t="s">
        <v>1746</v>
      </c>
      <c r="F3031" s="25">
        <v>450</v>
      </c>
      <c r="G3031" s="25">
        <v>360</v>
      </c>
    </row>
    <row r="3032" spans="1:7" x14ac:dyDescent="0.25">
      <c r="A3032" s="14" t="s">
        <v>2643</v>
      </c>
      <c r="B3032" s="14">
        <v>12</v>
      </c>
      <c r="C3032" s="15" t="s">
        <v>2647</v>
      </c>
      <c r="D3032" s="14" t="s">
        <v>1749</v>
      </c>
      <c r="E3032" s="14" t="s">
        <v>1746</v>
      </c>
      <c r="F3032" s="25">
        <v>1200</v>
      </c>
      <c r="G3032" s="25">
        <v>1080</v>
      </c>
    </row>
    <row r="3033" spans="1:7" x14ac:dyDescent="0.25">
      <c r="A3033" s="14" t="s">
        <v>2643</v>
      </c>
      <c r="B3033" s="14">
        <v>12</v>
      </c>
      <c r="C3033" s="15" t="s">
        <v>2647</v>
      </c>
      <c r="D3033" s="14" t="s">
        <v>1745</v>
      </c>
      <c r="E3033" s="14" t="s">
        <v>1746</v>
      </c>
      <c r="F3033" s="25">
        <v>12600</v>
      </c>
      <c r="G3033" s="25">
        <v>11340</v>
      </c>
    </row>
    <row r="3034" spans="1:7" x14ac:dyDescent="0.25">
      <c r="A3034" s="14" t="s">
        <v>2643</v>
      </c>
      <c r="B3034" s="14">
        <v>2</v>
      </c>
      <c r="C3034" s="15" t="s">
        <v>2644</v>
      </c>
      <c r="D3034" s="14" t="s">
        <v>1745</v>
      </c>
      <c r="E3034" s="14" t="s">
        <v>1747</v>
      </c>
      <c r="F3034" s="25">
        <v>29940</v>
      </c>
      <c r="G3034" s="25">
        <v>23952</v>
      </c>
    </row>
    <row r="3035" spans="1:7" x14ac:dyDescent="0.25">
      <c r="A3035" s="14" t="s">
        <v>2643</v>
      </c>
      <c r="B3035" s="14" t="s">
        <v>243</v>
      </c>
      <c r="C3035" s="15" t="s">
        <v>2646</v>
      </c>
      <c r="D3035" s="14" t="s">
        <v>1745</v>
      </c>
      <c r="E3035" s="14" t="s">
        <v>1747</v>
      </c>
      <c r="F3035" s="25">
        <v>6000</v>
      </c>
      <c r="G3035" s="25">
        <v>4800</v>
      </c>
    </row>
    <row r="3036" spans="1:7" x14ac:dyDescent="0.25">
      <c r="A3036" s="14" t="s">
        <v>2648</v>
      </c>
      <c r="B3036" s="14">
        <v>4</v>
      </c>
      <c r="C3036" s="15" t="s">
        <v>2649</v>
      </c>
      <c r="D3036" s="14" t="s">
        <v>1749</v>
      </c>
      <c r="E3036" s="14" t="s">
        <v>1766</v>
      </c>
      <c r="F3036" s="25">
        <v>0</v>
      </c>
      <c r="G3036" s="25">
        <v>0</v>
      </c>
    </row>
    <row r="3037" spans="1:7" x14ac:dyDescent="0.25">
      <c r="A3037" s="14" t="s">
        <v>2648</v>
      </c>
      <c r="B3037" s="14">
        <v>2</v>
      </c>
      <c r="C3037" s="15" t="s">
        <v>2649</v>
      </c>
      <c r="D3037" s="14" t="s">
        <v>1745</v>
      </c>
      <c r="E3037" s="14" t="s">
        <v>1746</v>
      </c>
      <c r="F3037" s="25">
        <v>10458</v>
      </c>
      <c r="G3037" s="25">
        <v>8366.4</v>
      </c>
    </row>
    <row r="3038" spans="1:7" x14ac:dyDescent="0.25">
      <c r="A3038" s="14" t="s">
        <v>2648</v>
      </c>
      <c r="B3038" s="14">
        <v>2</v>
      </c>
      <c r="C3038" s="15" t="s">
        <v>2649</v>
      </c>
      <c r="D3038" s="14" t="s">
        <v>1749</v>
      </c>
      <c r="E3038" s="14" t="s">
        <v>1746</v>
      </c>
      <c r="F3038" s="25">
        <v>996</v>
      </c>
      <c r="G3038" s="25">
        <v>796.8</v>
      </c>
    </row>
    <row r="3039" spans="1:7" x14ac:dyDescent="0.25">
      <c r="A3039" s="14" t="s">
        <v>2648</v>
      </c>
      <c r="B3039" s="14">
        <v>2</v>
      </c>
      <c r="C3039" s="15" t="s">
        <v>2649</v>
      </c>
      <c r="D3039" s="14" t="s">
        <v>1745</v>
      </c>
      <c r="E3039" s="14" t="s">
        <v>1747</v>
      </c>
      <c r="F3039" s="25">
        <v>9960</v>
      </c>
      <c r="G3039" s="25">
        <v>7968</v>
      </c>
    </row>
    <row r="3040" spans="1:7" x14ac:dyDescent="0.25">
      <c r="A3040" s="14" t="s">
        <v>2650</v>
      </c>
      <c r="B3040" s="14">
        <v>9</v>
      </c>
      <c r="C3040" s="15" t="s">
        <v>2651</v>
      </c>
      <c r="D3040" s="14" t="s">
        <v>1745</v>
      </c>
      <c r="E3040" s="14" t="s">
        <v>1746</v>
      </c>
      <c r="F3040" s="25">
        <v>36666</v>
      </c>
      <c r="G3040" s="25">
        <v>27499.56</v>
      </c>
    </row>
    <row r="3041" spans="1:7" x14ac:dyDescent="0.25">
      <c r="A3041" s="14" t="s">
        <v>2650</v>
      </c>
      <c r="B3041" s="14">
        <v>9</v>
      </c>
      <c r="C3041" s="15" t="s">
        <v>2651</v>
      </c>
      <c r="D3041" s="14" t="s">
        <v>1749</v>
      </c>
      <c r="E3041" s="14" t="s">
        <v>1746</v>
      </c>
      <c r="F3041" s="25">
        <v>3492</v>
      </c>
      <c r="G3041" s="25">
        <v>2619</v>
      </c>
    </row>
    <row r="3042" spans="1:7" x14ac:dyDescent="0.25">
      <c r="A3042" s="14" t="s">
        <v>2650</v>
      </c>
      <c r="B3042" s="14" t="s">
        <v>16</v>
      </c>
      <c r="C3042" s="15" t="s">
        <v>2652</v>
      </c>
      <c r="D3042" s="14" t="s">
        <v>1745</v>
      </c>
      <c r="E3042" s="14" t="s">
        <v>1747</v>
      </c>
      <c r="F3042" s="25">
        <v>34920</v>
      </c>
      <c r="G3042" s="25">
        <v>31428</v>
      </c>
    </row>
    <row r="3043" spans="1:7" x14ac:dyDescent="0.25">
      <c r="A3043" s="14" t="s">
        <v>2650</v>
      </c>
      <c r="B3043" s="14" t="s">
        <v>16</v>
      </c>
      <c r="C3043" s="15" t="s">
        <v>2652</v>
      </c>
      <c r="D3043" s="14" t="s">
        <v>1749</v>
      </c>
      <c r="E3043" s="14" t="s">
        <v>1746</v>
      </c>
      <c r="F3043" s="25">
        <v>3492</v>
      </c>
      <c r="G3043" s="25">
        <v>3142.8</v>
      </c>
    </row>
    <row r="3044" spans="1:7" x14ac:dyDescent="0.25">
      <c r="A3044" s="14" t="s">
        <v>2650</v>
      </c>
      <c r="B3044" s="14">
        <v>1</v>
      </c>
      <c r="C3044" s="15" t="s">
        <v>2653</v>
      </c>
      <c r="D3044" s="14" t="s">
        <v>1749</v>
      </c>
      <c r="E3044" s="14" t="s">
        <v>1746</v>
      </c>
      <c r="F3044" s="25">
        <v>4992</v>
      </c>
      <c r="G3044" s="25">
        <v>3744</v>
      </c>
    </row>
    <row r="3045" spans="1:7" x14ac:dyDescent="0.25">
      <c r="A3045" s="14" t="s">
        <v>2650</v>
      </c>
      <c r="B3045" s="14" t="s">
        <v>16</v>
      </c>
      <c r="C3045" s="15" t="s">
        <v>2652</v>
      </c>
      <c r="D3045" s="14" t="s">
        <v>1745</v>
      </c>
      <c r="E3045" s="14" t="s">
        <v>1746</v>
      </c>
      <c r="F3045" s="25">
        <v>36666</v>
      </c>
      <c r="G3045" s="25">
        <v>32999.4</v>
      </c>
    </row>
    <row r="3046" spans="1:7" x14ac:dyDescent="0.25">
      <c r="A3046" s="14" t="s">
        <v>2650</v>
      </c>
      <c r="B3046" s="14">
        <v>1</v>
      </c>
      <c r="C3046" s="15" t="s">
        <v>2653</v>
      </c>
      <c r="D3046" s="14" t="s">
        <v>1745</v>
      </c>
      <c r="E3046" s="14" t="s">
        <v>1746</v>
      </c>
      <c r="F3046" s="25">
        <v>52416</v>
      </c>
      <c r="G3046" s="25">
        <v>39312</v>
      </c>
    </row>
    <row r="3047" spans="1:7" x14ac:dyDescent="0.25">
      <c r="A3047" s="14" t="s">
        <v>2650</v>
      </c>
      <c r="B3047" s="14">
        <v>9</v>
      </c>
      <c r="C3047" s="15" t="s">
        <v>2651</v>
      </c>
      <c r="D3047" s="14" t="s">
        <v>1745</v>
      </c>
      <c r="E3047" s="14" t="s">
        <v>1747</v>
      </c>
      <c r="F3047" s="25">
        <v>34920</v>
      </c>
      <c r="G3047" s="25">
        <v>26190</v>
      </c>
    </row>
    <row r="3048" spans="1:7" x14ac:dyDescent="0.25">
      <c r="A3048" s="14" t="s">
        <v>2650</v>
      </c>
      <c r="B3048" s="14">
        <v>1</v>
      </c>
      <c r="C3048" s="15" t="s">
        <v>2653</v>
      </c>
      <c r="D3048" s="14" t="s">
        <v>1745</v>
      </c>
      <c r="E3048" s="14" t="s">
        <v>1747</v>
      </c>
      <c r="F3048" s="25">
        <v>49920</v>
      </c>
      <c r="G3048" s="25">
        <v>37440</v>
      </c>
    </row>
    <row r="3049" spans="1:7" x14ac:dyDescent="0.25">
      <c r="A3049" s="14" t="s">
        <v>2654</v>
      </c>
      <c r="B3049" s="14" t="s">
        <v>28</v>
      </c>
      <c r="C3049" s="15" t="s">
        <v>2655</v>
      </c>
      <c r="D3049" s="14" t="s">
        <v>1749</v>
      </c>
      <c r="E3049" s="14" t="s">
        <v>1746</v>
      </c>
      <c r="F3049" s="25">
        <v>300</v>
      </c>
      <c r="G3049" s="25">
        <v>240</v>
      </c>
    </row>
    <row r="3050" spans="1:7" x14ac:dyDescent="0.25">
      <c r="A3050" s="14" t="s">
        <v>2654</v>
      </c>
      <c r="B3050" s="14" t="s">
        <v>89</v>
      </c>
      <c r="C3050" s="15" t="s">
        <v>2656</v>
      </c>
      <c r="D3050" s="14" t="s">
        <v>1745</v>
      </c>
      <c r="E3050" s="14" t="s">
        <v>1746</v>
      </c>
      <c r="F3050" s="25">
        <v>2646</v>
      </c>
      <c r="G3050" s="25">
        <v>2381.4</v>
      </c>
    </row>
    <row r="3051" spans="1:7" x14ac:dyDescent="0.25">
      <c r="A3051" s="14" t="s">
        <v>2654</v>
      </c>
      <c r="B3051" s="14" t="s">
        <v>28</v>
      </c>
      <c r="C3051" s="15" t="s">
        <v>2655</v>
      </c>
      <c r="D3051" s="14" t="s">
        <v>1745</v>
      </c>
      <c r="E3051" s="14" t="s">
        <v>1746</v>
      </c>
      <c r="F3051" s="25">
        <v>3150</v>
      </c>
      <c r="G3051" s="25">
        <v>2520</v>
      </c>
    </row>
    <row r="3052" spans="1:7" x14ac:dyDescent="0.25">
      <c r="A3052" s="14" t="s">
        <v>2654</v>
      </c>
      <c r="B3052" s="14" t="s">
        <v>73</v>
      </c>
      <c r="C3052" s="15" t="s">
        <v>2657</v>
      </c>
      <c r="D3052" s="14" t="s">
        <v>1749</v>
      </c>
      <c r="E3052" s="14" t="s">
        <v>1746</v>
      </c>
      <c r="F3052" s="25">
        <v>348</v>
      </c>
      <c r="G3052" s="25">
        <v>278.39999999999998</v>
      </c>
    </row>
    <row r="3053" spans="1:7" x14ac:dyDescent="0.25">
      <c r="A3053" s="14" t="s">
        <v>2654</v>
      </c>
      <c r="B3053" s="14" t="s">
        <v>89</v>
      </c>
      <c r="C3053" s="15" t="s">
        <v>2656</v>
      </c>
      <c r="D3053" s="14" t="s">
        <v>1749</v>
      </c>
      <c r="E3053" s="14" t="s">
        <v>1746</v>
      </c>
      <c r="F3053" s="25">
        <v>252</v>
      </c>
      <c r="G3053" s="25">
        <v>226.8</v>
      </c>
    </row>
    <row r="3054" spans="1:7" x14ac:dyDescent="0.25">
      <c r="A3054" s="14" t="s">
        <v>2654</v>
      </c>
      <c r="B3054" s="14" t="s">
        <v>89</v>
      </c>
      <c r="C3054" s="15" t="s">
        <v>2656</v>
      </c>
      <c r="D3054" s="14" t="s">
        <v>1745</v>
      </c>
      <c r="E3054" s="14" t="s">
        <v>1747</v>
      </c>
      <c r="F3054" s="25">
        <v>2520</v>
      </c>
      <c r="G3054" s="25">
        <v>2268</v>
      </c>
    </row>
    <row r="3055" spans="1:7" x14ac:dyDescent="0.25">
      <c r="A3055" s="14" t="s">
        <v>2654</v>
      </c>
      <c r="B3055" s="14" t="s">
        <v>73</v>
      </c>
      <c r="C3055" s="15" t="s">
        <v>2657</v>
      </c>
      <c r="D3055" s="14" t="s">
        <v>1745</v>
      </c>
      <c r="E3055" s="14" t="s">
        <v>1746</v>
      </c>
      <c r="F3055" s="25">
        <v>3654</v>
      </c>
      <c r="G3055" s="25">
        <v>2923.2</v>
      </c>
    </row>
    <row r="3056" spans="1:7" x14ac:dyDescent="0.25">
      <c r="A3056" s="14" t="s">
        <v>2654</v>
      </c>
      <c r="B3056" s="14" t="s">
        <v>28</v>
      </c>
      <c r="C3056" s="15" t="s">
        <v>2655</v>
      </c>
      <c r="D3056" s="14" t="s">
        <v>1745</v>
      </c>
      <c r="E3056" s="14" t="s">
        <v>1747</v>
      </c>
      <c r="F3056" s="25">
        <v>3000</v>
      </c>
      <c r="G3056" s="25">
        <v>2400</v>
      </c>
    </row>
    <row r="3057" spans="1:7" x14ac:dyDescent="0.25">
      <c r="A3057" s="14" t="s">
        <v>2654</v>
      </c>
      <c r="B3057" s="14" t="s">
        <v>73</v>
      </c>
      <c r="C3057" s="15" t="s">
        <v>2657</v>
      </c>
      <c r="D3057" s="14" t="s">
        <v>1745</v>
      </c>
      <c r="E3057" s="14" t="s">
        <v>1747</v>
      </c>
      <c r="F3057" s="25">
        <v>3480</v>
      </c>
      <c r="G3057" s="25">
        <v>2784</v>
      </c>
    </row>
    <row r="3058" spans="1:7" x14ac:dyDescent="0.25">
      <c r="A3058" s="14" t="s">
        <v>2654</v>
      </c>
      <c r="B3058" s="14">
        <v>12</v>
      </c>
      <c r="C3058" s="15" t="s">
        <v>2658</v>
      </c>
      <c r="D3058" s="14" t="s">
        <v>1745</v>
      </c>
      <c r="E3058" s="14" t="s">
        <v>1747</v>
      </c>
      <c r="F3058" s="25">
        <v>0</v>
      </c>
      <c r="G3058" s="25">
        <v>0</v>
      </c>
    </row>
    <row r="3059" spans="1:7" x14ac:dyDescent="0.25">
      <c r="A3059" s="14" t="s">
        <v>2654</v>
      </c>
      <c r="B3059" s="14">
        <v>2</v>
      </c>
      <c r="C3059" s="15" t="s">
        <v>2659</v>
      </c>
      <c r="D3059" s="14" t="s">
        <v>1749</v>
      </c>
      <c r="E3059" s="14" t="s">
        <v>1746</v>
      </c>
      <c r="F3059" s="25">
        <v>498</v>
      </c>
      <c r="G3059" s="25">
        <v>398.4</v>
      </c>
    </row>
    <row r="3060" spans="1:7" x14ac:dyDescent="0.25">
      <c r="A3060" s="14" t="s">
        <v>2654</v>
      </c>
      <c r="B3060" s="14">
        <v>2</v>
      </c>
      <c r="C3060" s="15" t="s">
        <v>2659</v>
      </c>
      <c r="D3060" s="14" t="s">
        <v>1745</v>
      </c>
      <c r="E3060" s="14" t="s">
        <v>1746</v>
      </c>
      <c r="F3060" s="25">
        <v>5229</v>
      </c>
      <c r="G3060" s="25">
        <v>4183.2</v>
      </c>
    </row>
    <row r="3061" spans="1:7" x14ac:dyDescent="0.25">
      <c r="A3061" s="14" t="s">
        <v>2654</v>
      </c>
      <c r="B3061" s="14">
        <v>2</v>
      </c>
      <c r="C3061" s="15" t="s">
        <v>2659</v>
      </c>
      <c r="D3061" s="14" t="s">
        <v>1745</v>
      </c>
      <c r="E3061" s="14" t="s">
        <v>1747</v>
      </c>
      <c r="F3061" s="25">
        <v>4980</v>
      </c>
      <c r="G3061" s="25">
        <v>3984</v>
      </c>
    </row>
    <row r="3062" spans="1:7" x14ac:dyDescent="0.25">
      <c r="A3062" s="14" t="s">
        <v>2654</v>
      </c>
      <c r="B3062" s="14">
        <v>12</v>
      </c>
      <c r="C3062" s="15" t="s">
        <v>2658</v>
      </c>
      <c r="D3062" s="14" t="s">
        <v>1745</v>
      </c>
      <c r="E3062" s="14" t="s">
        <v>1746</v>
      </c>
      <c r="F3062" s="25">
        <v>0</v>
      </c>
      <c r="G3062" s="25">
        <v>0</v>
      </c>
    </row>
    <row r="3063" spans="1:7" x14ac:dyDescent="0.25">
      <c r="A3063" s="14" t="s">
        <v>2660</v>
      </c>
      <c r="B3063" s="14" t="s">
        <v>243</v>
      </c>
      <c r="C3063" s="15" t="s">
        <v>2661</v>
      </c>
      <c r="D3063" s="14" t="s">
        <v>1745</v>
      </c>
      <c r="E3063" s="14" t="s">
        <v>1747</v>
      </c>
      <c r="F3063" s="25">
        <v>12000</v>
      </c>
      <c r="G3063" s="25">
        <v>9000</v>
      </c>
    </row>
    <row r="3064" spans="1:7" x14ac:dyDescent="0.25">
      <c r="A3064" s="14" t="s">
        <v>2660</v>
      </c>
      <c r="B3064" s="14" t="s">
        <v>243</v>
      </c>
      <c r="C3064" s="15" t="s">
        <v>2661</v>
      </c>
      <c r="D3064" s="14" t="s">
        <v>1745</v>
      </c>
      <c r="E3064" s="14" t="s">
        <v>1746</v>
      </c>
      <c r="F3064" s="25">
        <v>12600</v>
      </c>
      <c r="G3064" s="25">
        <v>9450</v>
      </c>
    </row>
    <row r="3065" spans="1:7" x14ac:dyDescent="0.25">
      <c r="A3065" s="14" t="s">
        <v>2660</v>
      </c>
      <c r="B3065" s="14">
        <v>13</v>
      </c>
      <c r="C3065" s="15" t="s">
        <v>2662</v>
      </c>
      <c r="D3065" s="14" t="s">
        <v>1745</v>
      </c>
      <c r="E3065" s="14" t="s">
        <v>1747</v>
      </c>
      <c r="F3065" s="25">
        <v>10980</v>
      </c>
      <c r="G3065" s="25">
        <v>8235</v>
      </c>
    </row>
    <row r="3066" spans="1:7" x14ac:dyDescent="0.25">
      <c r="A3066" s="14" t="s">
        <v>2660</v>
      </c>
      <c r="B3066" s="14">
        <v>2</v>
      </c>
      <c r="C3066" s="15" t="s">
        <v>2663</v>
      </c>
      <c r="D3066" s="14" t="s">
        <v>1749</v>
      </c>
      <c r="E3066" s="14" t="s">
        <v>1746</v>
      </c>
      <c r="F3066" s="25">
        <v>1998</v>
      </c>
      <c r="G3066" s="25">
        <v>1498.5</v>
      </c>
    </row>
    <row r="3067" spans="1:7" x14ac:dyDescent="0.25">
      <c r="A3067" s="14" t="s">
        <v>2660</v>
      </c>
      <c r="B3067" s="14">
        <v>14</v>
      </c>
      <c r="C3067" s="15" t="s">
        <v>2664</v>
      </c>
      <c r="D3067" s="14" t="s">
        <v>1749</v>
      </c>
      <c r="E3067" s="14" t="s">
        <v>1746</v>
      </c>
      <c r="F3067" s="25">
        <v>498</v>
      </c>
      <c r="G3067" s="25">
        <v>448.2</v>
      </c>
    </row>
    <row r="3068" spans="1:7" x14ac:dyDescent="0.25">
      <c r="A3068" s="14" t="s">
        <v>2660</v>
      </c>
      <c r="B3068" s="14">
        <v>2</v>
      </c>
      <c r="C3068" s="15" t="s">
        <v>2663</v>
      </c>
      <c r="D3068" s="14" t="s">
        <v>1745</v>
      </c>
      <c r="E3068" s="14" t="s">
        <v>1746</v>
      </c>
      <c r="F3068" s="25">
        <v>20979</v>
      </c>
      <c r="G3068" s="25">
        <v>15734.28</v>
      </c>
    </row>
    <row r="3069" spans="1:7" x14ac:dyDescent="0.25">
      <c r="A3069" s="14" t="s">
        <v>2660</v>
      </c>
      <c r="B3069" s="14">
        <v>13</v>
      </c>
      <c r="C3069" s="15" t="s">
        <v>2662</v>
      </c>
      <c r="D3069" s="14" t="s">
        <v>1749</v>
      </c>
      <c r="E3069" s="14" t="s">
        <v>1746</v>
      </c>
      <c r="F3069" s="25">
        <v>1098</v>
      </c>
      <c r="G3069" s="25">
        <v>823.5</v>
      </c>
    </row>
    <row r="3070" spans="1:7" x14ac:dyDescent="0.25">
      <c r="A3070" s="14" t="s">
        <v>2660</v>
      </c>
      <c r="B3070" s="14">
        <v>2</v>
      </c>
      <c r="C3070" s="15" t="s">
        <v>2663</v>
      </c>
      <c r="D3070" s="14" t="s">
        <v>1745</v>
      </c>
      <c r="E3070" s="14" t="s">
        <v>1747</v>
      </c>
      <c r="F3070" s="25">
        <v>19980</v>
      </c>
      <c r="G3070" s="25">
        <v>14985</v>
      </c>
    </row>
    <row r="3071" spans="1:7" x14ac:dyDescent="0.25">
      <c r="A3071" s="14" t="s">
        <v>2660</v>
      </c>
      <c r="B3071" s="14">
        <v>12</v>
      </c>
      <c r="C3071" s="15" t="s">
        <v>2665</v>
      </c>
      <c r="D3071" s="14" t="s">
        <v>1749</v>
      </c>
      <c r="E3071" s="14" t="s">
        <v>1746</v>
      </c>
      <c r="F3071" s="25">
        <v>798</v>
      </c>
      <c r="G3071" s="25">
        <v>598.5</v>
      </c>
    </row>
    <row r="3072" spans="1:7" x14ac:dyDescent="0.25">
      <c r="A3072" s="14" t="s">
        <v>2660</v>
      </c>
      <c r="B3072" s="14">
        <v>14</v>
      </c>
      <c r="C3072" s="15" t="s">
        <v>2664</v>
      </c>
      <c r="D3072" s="14" t="s">
        <v>1745</v>
      </c>
      <c r="E3072" s="14" t="s">
        <v>1746</v>
      </c>
      <c r="F3072" s="25">
        <v>5229</v>
      </c>
      <c r="G3072" s="25">
        <v>4706.16</v>
      </c>
    </row>
    <row r="3073" spans="1:7" x14ac:dyDescent="0.25">
      <c r="A3073" s="14" t="s">
        <v>2660</v>
      </c>
      <c r="B3073" s="14">
        <v>12</v>
      </c>
      <c r="C3073" s="15" t="s">
        <v>2665</v>
      </c>
      <c r="D3073" s="14" t="s">
        <v>1745</v>
      </c>
      <c r="E3073" s="14" t="s">
        <v>1746</v>
      </c>
      <c r="F3073" s="25">
        <v>8379</v>
      </c>
      <c r="G3073" s="25">
        <v>6284.28</v>
      </c>
    </row>
    <row r="3074" spans="1:7" x14ac:dyDescent="0.25">
      <c r="A3074" s="14" t="s">
        <v>2660</v>
      </c>
      <c r="B3074" s="14">
        <v>14</v>
      </c>
      <c r="C3074" s="15" t="s">
        <v>2664</v>
      </c>
      <c r="D3074" s="14" t="s">
        <v>1745</v>
      </c>
      <c r="E3074" s="14" t="s">
        <v>1747</v>
      </c>
      <c r="F3074" s="25">
        <v>4980</v>
      </c>
      <c r="G3074" s="25">
        <v>4482</v>
      </c>
    </row>
    <row r="3075" spans="1:7" x14ac:dyDescent="0.25">
      <c r="A3075" s="14" t="s">
        <v>2660</v>
      </c>
      <c r="B3075" s="14">
        <v>13</v>
      </c>
      <c r="C3075" s="15" t="s">
        <v>2662</v>
      </c>
      <c r="D3075" s="14" t="s">
        <v>1745</v>
      </c>
      <c r="E3075" s="14" t="s">
        <v>1746</v>
      </c>
      <c r="F3075" s="25">
        <v>11529</v>
      </c>
      <c r="G3075" s="25">
        <v>8646.7199999999993</v>
      </c>
    </row>
    <row r="3076" spans="1:7" x14ac:dyDescent="0.25">
      <c r="A3076" s="14" t="s">
        <v>2660</v>
      </c>
      <c r="B3076" s="14">
        <v>12</v>
      </c>
      <c r="C3076" s="15" t="s">
        <v>2665</v>
      </c>
      <c r="D3076" s="14" t="s">
        <v>1745</v>
      </c>
      <c r="E3076" s="14" t="s">
        <v>1747</v>
      </c>
      <c r="F3076" s="25">
        <v>7980</v>
      </c>
      <c r="G3076" s="25">
        <v>5985</v>
      </c>
    </row>
    <row r="3077" spans="1:7" x14ac:dyDescent="0.25">
      <c r="A3077" s="14" t="s">
        <v>2666</v>
      </c>
      <c r="B3077" s="14">
        <v>1</v>
      </c>
      <c r="C3077" s="15" t="s">
        <v>2667</v>
      </c>
      <c r="D3077" s="14" t="s">
        <v>1749</v>
      </c>
      <c r="E3077" s="14" t="s">
        <v>1746</v>
      </c>
      <c r="F3077" s="25">
        <v>5364</v>
      </c>
      <c r="G3077" s="25">
        <v>4827.6000000000004</v>
      </c>
    </row>
    <row r="3078" spans="1:7" x14ac:dyDescent="0.25">
      <c r="A3078" s="14" t="s">
        <v>2666</v>
      </c>
      <c r="B3078" s="14">
        <v>3</v>
      </c>
      <c r="C3078" s="15" t="s">
        <v>2668</v>
      </c>
      <c r="D3078" s="14" t="s">
        <v>1745</v>
      </c>
      <c r="E3078" s="14" t="s">
        <v>1747</v>
      </c>
      <c r="F3078" s="25">
        <v>214620</v>
      </c>
      <c r="G3078" s="25">
        <v>160965</v>
      </c>
    </row>
    <row r="3079" spans="1:7" x14ac:dyDescent="0.25">
      <c r="A3079" s="14" t="s">
        <v>2666</v>
      </c>
      <c r="B3079" s="14">
        <v>3</v>
      </c>
      <c r="C3079" s="15" t="s">
        <v>2668</v>
      </c>
      <c r="D3079" s="14" t="s">
        <v>1749</v>
      </c>
      <c r="E3079" s="14" t="s">
        <v>1746</v>
      </c>
      <c r="F3079" s="25">
        <v>21462</v>
      </c>
      <c r="G3079" s="25">
        <v>16096.5</v>
      </c>
    </row>
    <row r="3080" spans="1:7" x14ac:dyDescent="0.25">
      <c r="A3080" s="14" t="s">
        <v>2666</v>
      </c>
      <c r="B3080" s="14">
        <v>1</v>
      </c>
      <c r="C3080" s="15" t="s">
        <v>2667</v>
      </c>
      <c r="D3080" s="14" t="s">
        <v>1745</v>
      </c>
      <c r="E3080" s="14" t="s">
        <v>1746</v>
      </c>
      <c r="F3080" s="25">
        <v>56322</v>
      </c>
      <c r="G3080" s="25">
        <v>50689.8</v>
      </c>
    </row>
    <row r="3081" spans="1:7" x14ac:dyDescent="0.25">
      <c r="A3081" s="14" t="s">
        <v>2666</v>
      </c>
      <c r="B3081" s="14">
        <v>1</v>
      </c>
      <c r="C3081" s="15" t="s">
        <v>2667</v>
      </c>
      <c r="D3081" s="14" t="s">
        <v>1745</v>
      </c>
      <c r="E3081" s="14" t="s">
        <v>1747</v>
      </c>
      <c r="F3081" s="25">
        <v>53640</v>
      </c>
      <c r="G3081" s="25">
        <v>48276</v>
      </c>
    </row>
    <row r="3082" spans="1:7" x14ac:dyDescent="0.25">
      <c r="A3082" s="14" t="s">
        <v>2666</v>
      </c>
      <c r="B3082" s="14">
        <v>2</v>
      </c>
      <c r="C3082" s="15" t="s">
        <v>2669</v>
      </c>
      <c r="D3082" s="14" t="s">
        <v>1745</v>
      </c>
      <c r="E3082" s="14" t="s">
        <v>1747</v>
      </c>
      <c r="F3082" s="25">
        <v>85860</v>
      </c>
      <c r="G3082" s="25">
        <v>64395</v>
      </c>
    </row>
    <row r="3083" spans="1:7" x14ac:dyDescent="0.25">
      <c r="A3083" s="14" t="s">
        <v>2666</v>
      </c>
      <c r="B3083" s="14">
        <v>2</v>
      </c>
      <c r="C3083" s="15" t="s">
        <v>2669</v>
      </c>
      <c r="D3083" s="14" t="s">
        <v>1745</v>
      </c>
      <c r="E3083" s="14" t="s">
        <v>1746</v>
      </c>
      <c r="F3083" s="25">
        <v>90153</v>
      </c>
      <c r="G3083" s="25">
        <v>67614.720000000001</v>
      </c>
    </row>
    <row r="3084" spans="1:7" x14ac:dyDescent="0.25">
      <c r="A3084" s="14" t="s">
        <v>2666</v>
      </c>
      <c r="B3084" s="14">
        <v>3</v>
      </c>
      <c r="C3084" s="15" t="s">
        <v>2668</v>
      </c>
      <c r="D3084" s="14" t="s">
        <v>1745</v>
      </c>
      <c r="E3084" s="14" t="s">
        <v>1746</v>
      </c>
      <c r="F3084" s="25">
        <v>225351</v>
      </c>
      <c r="G3084" s="25">
        <v>169013.3</v>
      </c>
    </row>
    <row r="3085" spans="1:7" x14ac:dyDescent="0.25">
      <c r="A3085" s="14" t="s">
        <v>2666</v>
      </c>
      <c r="B3085" s="14">
        <v>6</v>
      </c>
      <c r="C3085" s="15" t="s">
        <v>2670</v>
      </c>
      <c r="D3085" s="14" t="s">
        <v>1745</v>
      </c>
      <c r="E3085" s="14" t="s">
        <v>1747</v>
      </c>
      <c r="F3085" s="25">
        <v>118080</v>
      </c>
      <c r="G3085" s="25">
        <v>88560</v>
      </c>
    </row>
    <row r="3086" spans="1:7" x14ac:dyDescent="0.25">
      <c r="A3086" s="14" t="s">
        <v>2666</v>
      </c>
      <c r="B3086" s="14">
        <v>6</v>
      </c>
      <c r="C3086" s="15" t="s">
        <v>2670</v>
      </c>
      <c r="D3086" s="14" t="s">
        <v>1749</v>
      </c>
      <c r="E3086" s="14" t="s">
        <v>1746</v>
      </c>
      <c r="F3086" s="25">
        <v>11808</v>
      </c>
      <c r="G3086" s="25">
        <v>8856</v>
      </c>
    </row>
    <row r="3087" spans="1:7" x14ac:dyDescent="0.25">
      <c r="A3087" s="14" t="s">
        <v>2666</v>
      </c>
      <c r="B3087" s="14">
        <v>6</v>
      </c>
      <c r="C3087" s="15" t="s">
        <v>2670</v>
      </c>
      <c r="D3087" s="14" t="s">
        <v>1745</v>
      </c>
      <c r="E3087" s="14" t="s">
        <v>1746</v>
      </c>
      <c r="F3087" s="25">
        <v>123984</v>
      </c>
      <c r="G3087" s="25">
        <v>92988</v>
      </c>
    </row>
    <row r="3088" spans="1:7" x14ac:dyDescent="0.25">
      <c r="A3088" s="14" t="s">
        <v>2666</v>
      </c>
      <c r="B3088" s="14">
        <v>2</v>
      </c>
      <c r="C3088" s="15" t="s">
        <v>2669</v>
      </c>
      <c r="D3088" s="14" t="s">
        <v>1749</v>
      </c>
      <c r="E3088" s="14" t="s">
        <v>1746</v>
      </c>
      <c r="F3088" s="25">
        <v>8586</v>
      </c>
      <c r="G3088" s="25">
        <v>6439.5</v>
      </c>
    </row>
    <row r="3089" spans="1:7" x14ac:dyDescent="0.25">
      <c r="A3089" s="14" t="s">
        <v>2671</v>
      </c>
      <c r="B3089" s="14">
        <v>1</v>
      </c>
      <c r="C3089" s="15" t="s">
        <v>2672</v>
      </c>
      <c r="D3089" s="14" t="s">
        <v>1745</v>
      </c>
      <c r="E3089" s="14" t="s">
        <v>1747</v>
      </c>
      <c r="F3089" s="25">
        <v>99840</v>
      </c>
      <c r="G3089" s="25">
        <v>74880</v>
      </c>
    </row>
    <row r="3090" spans="1:7" x14ac:dyDescent="0.25">
      <c r="A3090" s="14" t="s">
        <v>2671</v>
      </c>
      <c r="B3090" s="14" t="s">
        <v>16</v>
      </c>
      <c r="C3090" s="15" t="s">
        <v>2673</v>
      </c>
      <c r="D3090" s="14" t="s">
        <v>1745</v>
      </c>
      <c r="E3090" s="14" t="s">
        <v>1746</v>
      </c>
      <c r="F3090" s="25">
        <v>26208</v>
      </c>
      <c r="G3090" s="25">
        <v>23587.200000000001</v>
      </c>
    </row>
    <row r="3091" spans="1:7" x14ac:dyDescent="0.25">
      <c r="A3091" s="14" t="s">
        <v>2671</v>
      </c>
      <c r="B3091" s="14" t="s">
        <v>20</v>
      </c>
      <c r="C3091" s="15" t="s">
        <v>2674</v>
      </c>
      <c r="D3091" s="14" t="s">
        <v>1749</v>
      </c>
      <c r="E3091" s="14" t="s">
        <v>1746</v>
      </c>
      <c r="F3091" s="25">
        <v>5490</v>
      </c>
      <c r="G3091" s="25">
        <v>4117.5</v>
      </c>
    </row>
    <row r="3092" spans="1:7" x14ac:dyDescent="0.25">
      <c r="A3092" s="14" t="s">
        <v>2671</v>
      </c>
      <c r="B3092" s="14">
        <v>1</v>
      </c>
      <c r="C3092" s="15" t="s">
        <v>2672</v>
      </c>
      <c r="D3092" s="14" t="s">
        <v>1749</v>
      </c>
      <c r="E3092" s="14" t="s">
        <v>1746</v>
      </c>
      <c r="F3092" s="25">
        <v>9984</v>
      </c>
      <c r="G3092" s="25">
        <v>7488</v>
      </c>
    </row>
    <row r="3093" spans="1:7" x14ac:dyDescent="0.25">
      <c r="A3093" s="14" t="s">
        <v>2671</v>
      </c>
      <c r="B3093" s="14" t="s">
        <v>16</v>
      </c>
      <c r="C3093" s="15" t="s">
        <v>2673</v>
      </c>
      <c r="D3093" s="14" t="s">
        <v>1745</v>
      </c>
      <c r="E3093" s="14" t="s">
        <v>1747</v>
      </c>
      <c r="F3093" s="25">
        <v>24960</v>
      </c>
      <c r="G3093" s="25">
        <v>22464</v>
      </c>
    </row>
    <row r="3094" spans="1:7" x14ac:dyDescent="0.25">
      <c r="A3094" s="14" t="s">
        <v>2671</v>
      </c>
      <c r="B3094" s="14" t="s">
        <v>16</v>
      </c>
      <c r="C3094" s="15" t="s">
        <v>2673</v>
      </c>
      <c r="D3094" s="14" t="s">
        <v>1749</v>
      </c>
      <c r="E3094" s="14" t="s">
        <v>1746</v>
      </c>
      <c r="F3094" s="25">
        <v>2496</v>
      </c>
      <c r="G3094" s="25">
        <v>2246.4</v>
      </c>
    </row>
    <row r="3095" spans="1:7" x14ac:dyDescent="0.25">
      <c r="A3095" s="14" t="s">
        <v>2671</v>
      </c>
      <c r="B3095" s="14" t="s">
        <v>20</v>
      </c>
      <c r="C3095" s="15" t="s">
        <v>2674</v>
      </c>
      <c r="D3095" s="14" t="s">
        <v>1745</v>
      </c>
      <c r="E3095" s="14" t="s">
        <v>1747</v>
      </c>
      <c r="F3095" s="25">
        <v>54900</v>
      </c>
      <c r="G3095" s="25">
        <v>41175</v>
      </c>
    </row>
    <row r="3096" spans="1:7" x14ac:dyDescent="0.25">
      <c r="A3096" s="14" t="s">
        <v>2671</v>
      </c>
      <c r="B3096" s="14">
        <v>1</v>
      </c>
      <c r="C3096" s="15" t="s">
        <v>2672</v>
      </c>
      <c r="D3096" s="14" t="s">
        <v>1745</v>
      </c>
      <c r="E3096" s="14" t="s">
        <v>1746</v>
      </c>
      <c r="F3096" s="25">
        <v>104832</v>
      </c>
      <c r="G3096" s="25">
        <v>78624</v>
      </c>
    </row>
    <row r="3097" spans="1:7" x14ac:dyDescent="0.25">
      <c r="A3097" s="14" t="s">
        <v>2671</v>
      </c>
      <c r="B3097" s="14" t="s">
        <v>20</v>
      </c>
      <c r="C3097" s="15" t="s">
        <v>2674</v>
      </c>
      <c r="D3097" s="14" t="s">
        <v>1745</v>
      </c>
      <c r="E3097" s="14" t="s">
        <v>1746</v>
      </c>
      <c r="F3097" s="25">
        <v>57645</v>
      </c>
      <c r="G3097" s="25">
        <v>43233.72</v>
      </c>
    </row>
    <row r="3098" spans="1:7" x14ac:dyDescent="0.25">
      <c r="A3098" s="14" t="s">
        <v>2675</v>
      </c>
      <c r="B3098" s="14" t="s">
        <v>32</v>
      </c>
      <c r="C3098" s="15" t="s">
        <v>2676</v>
      </c>
      <c r="D3098" s="14" t="s">
        <v>1749</v>
      </c>
      <c r="E3098" s="14" t="s">
        <v>1746</v>
      </c>
      <c r="F3098" s="25">
        <v>372</v>
      </c>
      <c r="G3098" s="25">
        <v>334.8</v>
      </c>
    </row>
    <row r="3099" spans="1:7" x14ac:dyDescent="0.25">
      <c r="A3099" s="14" t="s">
        <v>2675</v>
      </c>
      <c r="B3099" s="14">
        <v>1</v>
      </c>
      <c r="C3099" s="15" t="s">
        <v>2677</v>
      </c>
      <c r="D3099" s="14" t="s">
        <v>1749</v>
      </c>
      <c r="E3099" s="14" t="s">
        <v>1746</v>
      </c>
      <c r="F3099" s="25">
        <v>1500</v>
      </c>
      <c r="G3099" s="25">
        <v>1125</v>
      </c>
    </row>
    <row r="3100" spans="1:7" x14ac:dyDescent="0.25">
      <c r="A3100" s="14" t="s">
        <v>2675</v>
      </c>
      <c r="B3100" s="14">
        <v>1</v>
      </c>
      <c r="C3100" s="15" t="s">
        <v>2677</v>
      </c>
      <c r="D3100" s="14" t="s">
        <v>1745</v>
      </c>
      <c r="E3100" s="14" t="s">
        <v>1746</v>
      </c>
      <c r="F3100" s="25">
        <v>15750</v>
      </c>
      <c r="G3100" s="25">
        <v>11812.56</v>
      </c>
    </row>
    <row r="3101" spans="1:7" x14ac:dyDescent="0.25">
      <c r="A3101" s="14" t="s">
        <v>2675</v>
      </c>
      <c r="B3101" s="14" t="s">
        <v>39</v>
      </c>
      <c r="C3101" s="15" t="s">
        <v>2678</v>
      </c>
      <c r="D3101" s="14" t="s">
        <v>1745</v>
      </c>
      <c r="E3101" s="14" t="s">
        <v>1746</v>
      </c>
      <c r="F3101" s="25">
        <v>6300</v>
      </c>
      <c r="G3101" s="25">
        <v>4725</v>
      </c>
    </row>
    <row r="3102" spans="1:7" x14ac:dyDescent="0.25">
      <c r="A3102" s="14" t="s">
        <v>2675</v>
      </c>
      <c r="B3102" s="14" t="s">
        <v>50</v>
      </c>
      <c r="C3102" s="15" t="s">
        <v>2679</v>
      </c>
      <c r="D3102" s="14" t="s">
        <v>1745</v>
      </c>
      <c r="E3102" s="14" t="s">
        <v>1746</v>
      </c>
      <c r="F3102" s="25">
        <v>8631</v>
      </c>
      <c r="G3102" s="25">
        <v>6473.28</v>
      </c>
    </row>
    <row r="3103" spans="1:7" x14ac:dyDescent="0.25">
      <c r="A3103" s="14" t="s">
        <v>2675</v>
      </c>
      <c r="B3103" s="14" t="s">
        <v>32</v>
      </c>
      <c r="C3103" s="15" t="s">
        <v>2676</v>
      </c>
      <c r="D3103" s="14" t="s">
        <v>1745</v>
      </c>
      <c r="E3103" s="14" t="s">
        <v>1746</v>
      </c>
      <c r="F3103" s="25">
        <v>3906</v>
      </c>
      <c r="G3103" s="25">
        <v>3515.4</v>
      </c>
    </row>
    <row r="3104" spans="1:7" x14ac:dyDescent="0.25">
      <c r="A3104" s="14" t="s">
        <v>2675</v>
      </c>
      <c r="B3104" s="14" t="s">
        <v>50</v>
      </c>
      <c r="C3104" s="15" t="s">
        <v>2679</v>
      </c>
      <c r="D3104" s="14" t="s">
        <v>1745</v>
      </c>
      <c r="E3104" s="14" t="s">
        <v>1747</v>
      </c>
      <c r="F3104" s="25">
        <v>8220</v>
      </c>
      <c r="G3104" s="25">
        <v>6165</v>
      </c>
    </row>
    <row r="3105" spans="1:7" x14ac:dyDescent="0.25">
      <c r="A3105" s="14" t="s">
        <v>2675</v>
      </c>
      <c r="B3105" s="14" t="s">
        <v>50</v>
      </c>
      <c r="C3105" s="15" t="s">
        <v>2679</v>
      </c>
      <c r="D3105" s="14" t="s">
        <v>1749</v>
      </c>
      <c r="E3105" s="14" t="s">
        <v>1746</v>
      </c>
      <c r="F3105" s="25">
        <v>822</v>
      </c>
      <c r="G3105" s="25">
        <v>616.5</v>
      </c>
    </row>
    <row r="3106" spans="1:7" x14ac:dyDescent="0.25">
      <c r="A3106" s="14" t="s">
        <v>2675</v>
      </c>
      <c r="B3106" s="14" t="s">
        <v>39</v>
      </c>
      <c r="C3106" s="15" t="s">
        <v>2678</v>
      </c>
      <c r="D3106" s="14" t="s">
        <v>1745</v>
      </c>
      <c r="E3106" s="14" t="s">
        <v>1747</v>
      </c>
      <c r="F3106" s="25">
        <v>6000</v>
      </c>
      <c r="G3106" s="25">
        <v>4500</v>
      </c>
    </row>
    <row r="3107" spans="1:7" x14ac:dyDescent="0.25">
      <c r="A3107" s="14" t="s">
        <v>2675</v>
      </c>
      <c r="B3107" s="14" t="s">
        <v>32</v>
      </c>
      <c r="C3107" s="15" t="s">
        <v>2676</v>
      </c>
      <c r="D3107" s="14" t="s">
        <v>1745</v>
      </c>
      <c r="E3107" s="14" t="s">
        <v>1747</v>
      </c>
      <c r="F3107" s="25">
        <v>3720</v>
      </c>
      <c r="G3107" s="25">
        <v>3348</v>
      </c>
    </row>
    <row r="3108" spans="1:7" x14ac:dyDescent="0.25">
      <c r="A3108" s="14" t="s">
        <v>2675</v>
      </c>
      <c r="B3108" s="14" t="s">
        <v>39</v>
      </c>
      <c r="C3108" s="15" t="s">
        <v>2678</v>
      </c>
      <c r="D3108" s="14" t="s">
        <v>1749</v>
      </c>
      <c r="E3108" s="14" t="s">
        <v>1746</v>
      </c>
      <c r="F3108" s="25">
        <v>600</v>
      </c>
      <c r="G3108" s="25">
        <v>450</v>
      </c>
    </row>
    <row r="3109" spans="1:7" x14ac:dyDescent="0.25">
      <c r="A3109" s="14" t="s">
        <v>2675</v>
      </c>
      <c r="B3109" s="14">
        <v>1</v>
      </c>
      <c r="C3109" s="15" t="s">
        <v>2677</v>
      </c>
      <c r="D3109" s="14" t="s">
        <v>1745</v>
      </c>
      <c r="E3109" s="14" t="s">
        <v>1747</v>
      </c>
      <c r="F3109" s="25">
        <v>15000</v>
      </c>
      <c r="G3109" s="25">
        <v>11250</v>
      </c>
    </row>
    <row r="3110" spans="1:7" x14ac:dyDescent="0.25">
      <c r="A3110" s="14" t="s">
        <v>2680</v>
      </c>
      <c r="B3110" s="14" t="s">
        <v>28</v>
      </c>
      <c r="C3110" s="15" t="s">
        <v>2681</v>
      </c>
      <c r="D3110" s="14" t="s">
        <v>1749</v>
      </c>
      <c r="E3110" s="14" t="s">
        <v>1746</v>
      </c>
      <c r="F3110" s="25">
        <v>822</v>
      </c>
      <c r="G3110" s="25">
        <v>616.5</v>
      </c>
    </row>
    <row r="3111" spans="1:7" x14ac:dyDescent="0.25">
      <c r="A3111" s="14" t="s">
        <v>2680</v>
      </c>
      <c r="B3111" s="14" t="s">
        <v>46</v>
      </c>
      <c r="C3111" s="15" t="s">
        <v>2682</v>
      </c>
      <c r="D3111" s="14" t="s">
        <v>1745</v>
      </c>
      <c r="E3111" s="14" t="s">
        <v>1747</v>
      </c>
      <c r="F3111" s="25">
        <v>6000</v>
      </c>
      <c r="G3111" s="25">
        <v>4500</v>
      </c>
    </row>
    <row r="3112" spans="1:7" x14ac:dyDescent="0.25">
      <c r="A3112" s="14" t="s">
        <v>2680</v>
      </c>
      <c r="B3112" s="14" t="s">
        <v>39</v>
      </c>
      <c r="C3112" s="15" t="s">
        <v>2683</v>
      </c>
      <c r="D3112" s="14" t="s">
        <v>1745</v>
      </c>
      <c r="E3112" s="14" t="s">
        <v>1746</v>
      </c>
      <c r="F3112" s="25">
        <v>3906</v>
      </c>
      <c r="G3112" s="25">
        <v>3515.4</v>
      </c>
    </row>
    <row r="3113" spans="1:7" x14ac:dyDescent="0.25">
      <c r="A3113" s="14" t="s">
        <v>2680</v>
      </c>
      <c r="B3113" s="14">
        <v>1</v>
      </c>
      <c r="C3113" s="15" t="s">
        <v>2684</v>
      </c>
      <c r="D3113" s="14" t="s">
        <v>1749</v>
      </c>
      <c r="E3113" s="14" t="s">
        <v>1746</v>
      </c>
      <c r="F3113" s="25">
        <v>1500</v>
      </c>
      <c r="G3113" s="25">
        <v>1125</v>
      </c>
    </row>
    <row r="3114" spans="1:7" x14ac:dyDescent="0.25">
      <c r="A3114" s="14" t="s">
        <v>2680</v>
      </c>
      <c r="B3114" s="14">
        <v>1</v>
      </c>
      <c r="C3114" s="15" t="s">
        <v>2684</v>
      </c>
      <c r="D3114" s="14" t="s">
        <v>1745</v>
      </c>
      <c r="E3114" s="14" t="s">
        <v>1746</v>
      </c>
      <c r="F3114" s="25">
        <v>15750</v>
      </c>
      <c r="G3114" s="25">
        <v>11812.56</v>
      </c>
    </row>
    <row r="3115" spans="1:7" x14ac:dyDescent="0.25">
      <c r="A3115" s="14" t="s">
        <v>2680</v>
      </c>
      <c r="B3115" s="14" t="s">
        <v>39</v>
      </c>
      <c r="C3115" s="15" t="s">
        <v>2683</v>
      </c>
      <c r="D3115" s="14" t="s">
        <v>1749</v>
      </c>
      <c r="E3115" s="14" t="s">
        <v>1746</v>
      </c>
      <c r="F3115" s="25">
        <v>372</v>
      </c>
      <c r="G3115" s="25">
        <v>334.8</v>
      </c>
    </row>
    <row r="3116" spans="1:7" x14ac:dyDescent="0.25">
      <c r="A3116" s="14" t="s">
        <v>2680</v>
      </c>
      <c r="B3116" s="14" t="s">
        <v>28</v>
      </c>
      <c r="C3116" s="15" t="s">
        <v>2681</v>
      </c>
      <c r="D3116" s="14" t="s">
        <v>1745</v>
      </c>
      <c r="E3116" s="14" t="s">
        <v>1746</v>
      </c>
      <c r="F3116" s="25">
        <v>8631</v>
      </c>
      <c r="G3116" s="25">
        <v>6473.28</v>
      </c>
    </row>
    <row r="3117" spans="1:7" x14ac:dyDescent="0.25">
      <c r="A3117" s="14" t="s">
        <v>2680</v>
      </c>
      <c r="B3117" s="14" t="s">
        <v>39</v>
      </c>
      <c r="C3117" s="15" t="s">
        <v>2683</v>
      </c>
      <c r="D3117" s="14" t="s">
        <v>1745</v>
      </c>
      <c r="E3117" s="14" t="s">
        <v>1747</v>
      </c>
      <c r="F3117" s="25">
        <v>3720</v>
      </c>
      <c r="G3117" s="25">
        <v>3348</v>
      </c>
    </row>
    <row r="3118" spans="1:7" x14ac:dyDescent="0.25">
      <c r="A3118" s="14" t="s">
        <v>2680</v>
      </c>
      <c r="B3118" s="14">
        <v>1</v>
      </c>
      <c r="C3118" s="15" t="s">
        <v>2684</v>
      </c>
      <c r="D3118" s="14" t="s">
        <v>1745</v>
      </c>
      <c r="E3118" s="14" t="s">
        <v>1747</v>
      </c>
      <c r="F3118" s="25">
        <v>15000</v>
      </c>
      <c r="G3118" s="25">
        <v>11250</v>
      </c>
    </row>
    <row r="3119" spans="1:7" x14ac:dyDescent="0.25">
      <c r="A3119" s="14" t="s">
        <v>2680</v>
      </c>
      <c r="B3119" s="14" t="s">
        <v>46</v>
      </c>
      <c r="C3119" s="15" t="s">
        <v>2682</v>
      </c>
      <c r="D3119" s="14" t="s">
        <v>1745</v>
      </c>
      <c r="E3119" s="14" t="s">
        <v>1746</v>
      </c>
      <c r="F3119" s="25">
        <v>6300</v>
      </c>
      <c r="G3119" s="25">
        <v>4725</v>
      </c>
    </row>
    <row r="3120" spans="1:7" x14ac:dyDescent="0.25">
      <c r="A3120" s="14" t="s">
        <v>2680</v>
      </c>
      <c r="B3120" s="14" t="s">
        <v>46</v>
      </c>
      <c r="C3120" s="15" t="s">
        <v>2682</v>
      </c>
      <c r="D3120" s="14" t="s">
        <v>1749</v>
      </c>
      <c r="E3120" s="14" t="s">
        <v>1746</v>
      </c>
      <c r="F3120" s="25">
        <v>600</v>
      </c>
      <c r="G3120" s="25">
        <v>450</v>
      </c>
    </row>
    <row r="3121" spans="1:7" x14ac:dyDescent="0.25">
      <c r="A3121" s="14" t="s">
        <v>2680</v>
      </c>
      <c r="B3121" s="14" t="s">
        <v>28</v>
      </c>
      <c r="C3121" s="15" t="s">
        <v>2681</v>
      </c>
      <c r="D3121" s="14" t="s">
        <v>1745</v>
      </c>
      <c r="E3121" s="14" t="s">
        <v>1747</v>
      </c>
      <c r="F3121" s="25">
        <v>8220</v>
      </c>
      <c r="G3121" s="25">
        <v>6165</v>
      </c>
    </row>
    <row r="3122" spans="1:7" x14ac:dyDescent="0.25">
      <c r="A3122" s="14" t="s">
        <v>2685</v>
      </c>
      <c r="B3122" s="14" t="s">
        <v>24</v>
      </c>
      <c r="C3122" s="15" t="s">
        <v>2686</v>
      </c>
      <c r="D3122" s="14" t="s">
        <v>1745</v>
      </c>
      <c r="E3122" s="14" t="s">
        <v>1746</v>
      </c>
      <c r="F3122" s="25">
        <v>31437</v>
      </c>
      <c r="G3122" s="25">
        <v>25149.599999999999</v>
      </c>
    </row>
    <row r="3123" spans="1:7" x14ac:dyDescent="0.25">
      <c r="A3123" s="14" t="s">
        <v>2685</v>
      </c>
      <c r="B3123" s="14">
        <v>1</v>
      </c>
      <c r="C3123" s="15" t="s">
        <v>2687</v>
      </c>
      <c r="D3123" s="14" t="s">
        <v>1745</v>
      </c>
      <c r="E3123" s="14" t="s">
        <v>1746</v>
      </c>
      <c r="F3123" s="25">
        <v>157248</v>
      </c>
      <c r="G3123" s="25">
        <v>125798.39999999999</v>
      </c>
    </row>
    <row r="3124" spans="1:7" x14ac:dyDescent="0.25">
      <c r="A3124" s="14" t="s">
        <v>2685</v>
      </c>
      <c r="B3124" s="14" t="s">
        <v>24</v>
      </c>
      <c r="C3124" s="15" t="s">
        <v>2686</v>
      </c>
      <c r="D3124" s="14" t="s">
        <v>1749</v>
      </c>
      <c r="E3124" s="14" t="s">
        <v>1746</v>
      </c>
      <c r="F3124" s="25">
        <v>2994</v>
      </c>
      <c r="G3124" s="25">
        <v>2395.1999999999998</v>
      </c>
    </row>
    <row r="3125" spans="1:7" x14ac:dyDescent="0.25">
      <c r="A3125" s="14" t="s">
        <v>2685</v>
      </c>
      <c r="B3125" s="14" t="s">
        <v>34</v>
      </c>
      <c r="C3125" s="15" t="s">
        <v>2688</v>
      </c>
      <c r="D3125" s="14" t="s">
        <v>1749</v>
      </c>
      <c r="E3125" s="14" t="s">
        <v>1746</v>
      </c>
      <c r="F3125" s="25">
        <v>5988</v>
      </c>
      <c r="G3125" s="25">
        <v>5389.2</v>
      </c>
    </row>
    <row r="3126" spans="1:7" x14ac:dyDescent="0.25">
      <c r="A3126" s="14" t="s">
        <v>2685</v>
      </c>
      <c r="B3126" s="14">
        <v>1</v>
      </c>
      <c r="C3126" s="15" t="s">
        <v>2687</v>
      </c>
      <c r="D3126" s="14" t="s">
        <v>1749</v>
      </c>
      <c r="E3126" s="14" t="s">
        <v>1746</v>
      </c>
      <c r="F3126" s="25">
        <v>14976</v>
      </c>
      <c r="G3126" s="25">
        <v>11980.8</v>
      </c>
    </row>
    <row r="3127" spans="1:7" x14ac:dyDescent="0.25">
      <c r="A3127" s="14" t="s">
        <v>2685</v>
      </c>
      <c r="B3127" s="14" t="s">
        <v>34</v>
      </c>
      <c r="C3127" s="15" t="s">
        <v>2688</v>
      </c>
      <c r="D3127" s="14" t="s">
        <v>1745</v>
      </c>
      <c r="E3127" s="14" t="s">
        <v>1747</v>
      </c>
      <c r="F3127" s="25">
        <v>59880</v>
      </c>
      <c r="G3127" s="25">
        <v>53892</v>
      </c>
    </row>
    <row r="3128" spans="1:7" x14ac:dyDescent="0.25">
      <c r="A3128" s="14" t="s">
        <v>2685</v>
      </c>
      <c r="B3128" s="14" t="s">
        <v>20</v>
      </c>
      <c r="C3128" s="15" t="s">
        <v>2689</v>
      </c>
      <c r="D3128" s="14" t="s">
        <v>1745</v>
      </c>
      <c r="E3128" s="14" t="s">
        <v>1746</v>
      </c>
      <c r="F3128" s="25">
        <v>23562</v>
      </c>
      <c r="G3128" s="25">
        <v>18849.599999999999</v>
      </c>
    </row>
    <row r="3129" spans="1:7" x14ac:dyDescent="0.25">
      <c r="A3129" s="14" t="s">
        <v>2685</v>
      </c>
      <c r="B3129" s="14" t="s">
        <v>24</v>
      </c>
      <c r="C3129" s="15" t="s">
        <v>2686</v>
      </c>
      <c r="D3129" s="14" t="s">
        <v>1745</v>
      </c>
      <c r="E3129" s="14" t="s">
        <v>1747</v>
      </c>
      <c r="F3129" s="25">
        <v>29940</v>
      </c>
      <c r="G3129" s="25">
        <v>23952</v>
      </c>
    </row>
    <row r="3130" spans="1:7" x14ac:dyDescent="0.25">
      <c r="A3130" s="14" t="s">
        <v>2685</v>
      </c>
      <c r="B3130" s="14">
        <v>1</v>
      </c>
      <c r="C3130" s="15" t="s">
        <v>2687</v>
      </c>
      <c r="D3130" s="14" t="s">
        <v>1745</v>
      </c>
      <c r="E3130" s="14" t="s">
        <v>1747</v>
      </c>
      <c r="F3130" s="25">
        <v>149760</v>
      </c>
      <c r="G3130" s="25">
        <v>119808</v>
      </c>
    </row>
    <row r="3131" spans="1:7" x14ac:dyDescent="0.25">
      <c r="A3131" s="14" t="s">
        <v>2685</v>
      </c>
      <c r="B3131" s="14" t="s">
        <v>34</v>
      </c>
      <c r="C3131" s="15" t="s">
        <v>2688</v>
      </c>
      <c r="D3131" s="14" t="s">
        <v>1745</v>
      </c>
      <c r="E3131" s="14" t="s">
        <v>1746</v>
      </c>
      <c r="F3131" s="25">
        <v>62874</v>
      </c>
      <c r="G3131" s="25">
        <v>56586.6</v>
      </c>
    </row>
    <row r="3132" spans="1:7" x14ac:dyDescent="0.25">
      <c r="A3132" s="14" t="s">
        <v>2685</v>
      </c>
      <c r="B3132" s="14" t="s">
        <v>20</v>
      </c>
      <c r="C3132" s="15" t="s">
        <v>2689</v>
      </c>
      <c r="D3132" s="14" t="s">
        <v>1745</v>
      </c>
      <c r="E3132" s="14" t="s">
        <v>1747</v>
      </c>
      <c r="F3132" s="25">
        <v>22440</v>
      </c>
      <c r="G3132" s="25">
        <v>17952</v>
      </c>
    </row>
    <row r="3133" spans="1:7" x14ac:dyDescent="0.25">
      <c r="A3133" s="14" t="s">
        <v>2685</v>
      </c>
      <c r="B3133" s="14" t="s">
        <v>20</v>
      </c>
      <c r="C3133" s="15" t="s">
        <v>2689</v>
      </c>
      <c r="D3133" s="14" t="s">
        <v>1749</v>
      </c>
      <c r="E3133" s="14" t="s">
        <v>1746</v>
      </c>
      <c r="F3133" s="25">
        <v>2244</v>
      </c>
      <c r="G3133" s="25">
        <v>1795.2</v>
      </c>
    </row>
    <row r="3134" spans="1:7" x14ac:dyDescent="0.25">
      <c r="A3134" s="14" t="s">
        <v>2690</v>
      </c>
      <c r="B3134" s="14">
        <v>3</v>
      </c>
      <c r="C3134" s="15" t="s">
        <v>2691</v>
      </c>
      <c r="D3134" s="14" t="s">
        <v>1745</v>
      </c>
      <c r="E3134" s="14" t="s">
        <v>1747</v>
      </c>
      <c r="F3134" s="25">
        <v>4991700</v>
      </c>
      <c r="G3134" s="25">
        <v>3993360</v>
      </c>
    </row>
    <row r="3135" spans="1:7" x14ac:dyDescent="0.25">
      <c r="A3135" s="14" t="s">
        <v>2690</v>
      </c>
      <c r="B3135" s="14" t="s">
        <v>20</v>
      </c>
      <c r="C3135" s="15" t="s">
        <v>2692</v>
      </c>
      <c r="D3135" s="14" t="s">
        <v>1749</v>
      </c>
      <c r="E3135" s="14" t="s">
        <v>1746</v>
      </c>
      <c r="F3135" s="25">
        <v>74874</v>
      </c>
      <c r="G3135" s="25">
        <v>59899.199999999997</v>
      </c>
    </row>
    <row r="3136" spans="1:7" x14ac:dyDescent="0.25">
      <c r="A3136" s="14" t="s">
        <v>2690</v>
      </c>
      <c r="B3136" s="14" t="s">
        <v>16</v>
      </c>
      <c r="C3136" s="15" t="s">
        <v>2693</v>
      </c>
      <c r="D3136" s="14" t="s">
        <v>1745</v>
      </c>
      <c r="E3136" s="14" t="s">
        <v>1747</v>
      </c>
      <c r="F3136" s="25">
        <v>1996680</v>
      </c>
      <c r="G3136" s="25">
        <v>1797012</v>
      </c>
    </row>
    <row r="3137" spans="1:7" x14ac:dyDescent="0.25">
      <c r="A3137" s="14" t="s">
        <v>2690</v>
      </c>
      <c r="B3137" s="14" t="s">
        <v>16</v>
      </c>
      <c r="C3137" s="15" t="s">
        <v>2693</v>
      </c>
      <c r="D3137" s="14" t="s">
        <v>1749</v>
      </c>
      <c r="E3137" s="14" t="s">
        <v>1746</v>
      </c>
      <c r="F3137" s="25">
        <v>199668</v>
      </c>
      <c r="G3137" s="25">
        <v>179701.2</v>
      </c>
    </row>
    <row r="3138" spans="1:7" x14ac:dyDescent="0.25">
      <c r="A3138" s="14" t="s">
        <v>2690</v>
      </c>
      <c r="B3138" s="14" t="s">
        <v>24</v>
      </c>
      <c r="C3138" s="15" t="s">
        <v>2694</v>
      </c>
      <c r="D3138" s="14" t="s">
        <v>1745</v>
      </c>
      <c r="E3138" s="14" t="s">
        <v>1746</v>
      </c>
      <c r="F3138" s="25">
        <v>1048257</v>
      </c>
      <c r="G3138" s="25">
        <v>838605.6</v>
      </c>
    </row>
    <row r="3139" spans="1:7" x14ac:dyDescent="0.25">
      <c r="A3139" s="14" t="s">
        <v>2690</v>
      </c>
      <c r="B3139" s="14" t="s">
        <v>16</v>
      </c>
      <c r="C3139" s="15" t="s">
        <v>2693</v>
      </c>
      <c r="D3139" s="14" t="s">
        <v>1745</v>
      </c>
      <c r="E3139" s="14" t="s">
        <v>1746</v>
      </c>
      <c r="F3139" s="25">
        <v>2096514</v>
      </c>
      <c r="G3139" s="25">
        <v>1886863</v>
      </c>
    </row>
    <row r="3140" spans="1:7" x14ac:dyDescent="0.25">
      <c r="A3140" s="14" t="s">
        <v>2690</v>
      </c>
      <c r="B3140" s="14">
        <v>3</v>
      </c>
      <c r="C3140" s="15" t="s">
        <v>2691</v>
      </c>
      <c r="D3140" s="14" t="s">
        <v>1749</v>
      </c>
      <c r="E3140" s="14" t="s">
        <v>1746</v>
      </c>
      <c r="F3140" s="25">
        <v>499170</v>
      </c>
      <c r="G3140" s="25">
        <v>399336</v>
      </c>
    </row>
    <row r="3141" spans="1:7" x14ac:dyDescent="0.25">
      <c r="A3141" s="14" t="s">
        <v>2690</v>
      </c>
      <c r="B3141" s="14" t="s">
        <v>24</v>
      </c>
      <c r="C3141" s="15" t="s">
        <v>2694</v>
      </c>
      <c r="D3141" s="14" t="s">
        <v>1745</v>
      </c>
      <c r="E3141" s="14" t="s">
        <v>1747</v>
      </c>
      <c r="F3141" s="25">
        <v>998340</v>
      </c>
      <c r="G3141" s="25">
        <v>798672</v>
      </c>
    </row>
    <row r="3142" spans="1:7" x14ac:dyDescent="0.25">
      <c r="A3142" s="14" t="s">
        <v>2690</v>
      </c>
      <c r="B3142" s="14" t="s">
        <v>20</v>
      </c>
      <c r="C3142" s="15" t="s">
        <v>2692</v>
      </c>
      <c r="D3142" s="14" t="s">
        <v>1745</v>
      </c>
      <c r="E3142" s="14" t="s">
        <v>1747</v>
      </c>
      <c r="F3142" s="25">
        <v>748740</v>
      </c>
      <c r="G3142" s="25">
        <v>598992</v>
      </c>
    </row>
    <row r="3143" spans="1:7" x14ac:dyDescent="0.25">
      <c r="A3143" s="14" t="s">
        <v>2690</v>
      </c>
      <c r="B3143" s="14" t="s">
        <v>24</v>
      </c>
      <c r="C3143" s="15" t="s">
        <v>2694</v>
      </c>
      <c r="D3143" s="14" t="s">
        <v>1749</v>
      </c>
      <c r="E3143" s="14" t="s">
        <v>1746</v>
      </c>
      <c r="F3143" s="25">
        <v>99834</v>
      </c>
      <c r="G3143" s="25">
        <v>79867.199999999997</v>
      </c>
    </row>
    <row r="3144" spans="1:7" x14ac:dyDescent="0.25">
      <c r="A3144" s="14" t="s">
        <v>2690</v>
      </c>
      <c r="B3144" s="14">
        <v>3</v>
      </c>
      <c r="C3144" s="15" t="s">
        <v>2691</v>
      </c>
      <c r="D3144" s="14" t="s">
        <v>1745</v>
      </c>
      <c r="E3144" s="14" t="s">
        <v>1746</v>
      </c>
      <c r="F3144" s="25">
        <v>5241285</v>
      </c>
      <c r="G3144" s="25">
        <v>4193028</v>
      </c>
    </row>
    <row r="3145" spans="1:7" x14ac:dyDescent="0.25">
      <c r="A3145" s="14" t="s">
        <v>2690</v>
      </c>
      <c r="B3145" s="14" t="s">
        <v>20</v>
      </c>
      <c r="C3145" s="15" t="s">
        <v>2692</v>
      </c>
      <c r="D3145" s="14" t="s">
        <v>1745</v>
      </c>
      <c r="E3145" s="14" t="s">
        <v>1746</v>
      </c>
      <c r="F3145" s="25">
        <v>786177</v>
      </c>
      <c r="G3145" s="25">
        <v>628941.6</v>
      </c>
    </row>
    <row r="3146" spans="1:7" x14ac:dyDescent="0.25">
      <c r="A3146" s="14" t="s">
        <v>2695</v>
      </c>
      <c r="B3146" s="14" t="s">
        <v>34</v>
      </c>
      <c r="C3146" s="15" t="s">
        <v>2696</v>
      </c>
      <c r="D3146" s="14" t="s">
        <v>1745</v>
      </c>
      <c r="E3146" s="14" t="s">
        <v>1746</v>
      </c>
      <c r="F3146" s="25">
        <v>86499</v>
      </c>
      <c r="G3146" s="25">
        <v>64874.28</v>
      </c>
    </row>
    <row r="3147" spans="1:7" x14ac:dyDescent="0.25">
      <c r="A3147" s="14" t="s">
        <v>2695</v>
      </c>
      <c r="B3147" s="14" t="s">
        <v>24</v>
      </c>
      <c r="C3147" s="15" t="s">
        <v>2697</v>
      </c>
      <c r="D3147" s="14" t="s">
        <v>1745</v>
      </c>
      <c r="E3147" s="14" t="s">
        <v>1746</v>
      </c>
      <c r="F3147" s="25">
        <v>39312</v>
      </c>
      <c r="G3147" s="25">
        <v>35380.800000000003</v>
      </c>
    </row>
    <row r="3148" spans="1:7" x14ac:dyDescent="0.25">
      <c r="A3148" s="14" t="s">
        <v>2695</v>
      </c>
      <c r="B3148" s="14" t="s">
        <v>34</v>
      </c>
      <c r="C3148" s="15" t="s">
        <v>2696</v>
      </c>
      <c r="D3148" s="14" t="s">
        <v>1745</v>
      </c>
      <c r="E3148" s="14" t="s">
        <v>1747</v>
      </c>
      <c r="F3148" s="25">
        <v>82380</v>
      </c>
      <c r="G3148" s="25">
        <v>61785</v>
      </c>
    </row>
    <row r="3149" spans="1:7" x14ac:dyDescent="0.25">
      <c r="A3149" s="14" t="s">
        <v>2695</v>
      </c>
      <c r="B3149" s="14" t="s">
        <v>24</v>
      </c>
      <c r="C3149" s="15" t="s">
        <v>2697</v>
      </c>
      <c r="D3149" s="14" t="s">
        <v>1749</v>
      </c>
      <c r="E3149" s="14" t="s">
        <v>1746</v>
      </c>
      <c r="F3149" s="25">
        <v>3744</v>
      </c>
      <c r="G3149" s="25">
        <v>3369.6</v>
      </c>
    </row>
    <row r="3150" spans="1:7" x14ac:dyDescent="0.25">
      <c r="A3150" s="14" t="s">
        <v>2695</v>
      </c>
      <c r="B3150" s="14" t="s">
        <v>34</v>
      </c>
      <c r="C3150" s="15" t="s">
        <v>2696</v>
      </c>
      <c r="D3150" s="14" t="s">
        <v>1749</v>
      </c>
      <c r="E3150" s="14" t="s">
        <v>1746</v>
      </c>
      <c r="F3150" s="25">
        <v>8238</v>
      </c>
      <c r="G3150" s="25">
        <v>6178.5</v>
      </c>
    </row>
    <row r="3151" spans="1:7" x14ac:dyDescent="0.25">
      <c r="A3151" s="14" t="s">
        <v>2695</v>
      </c>
      <c r="B3151" s="14">
        <v>1</v>
      </c>
      <c r="C3151" s="15" t="s">
        <v>2698</v>
      </c>
      <c r="D3151" s="14" t="s">
        <v>1745</v>
      </c>
      <c r="E3151" s="14" t="s">
        <v>1746</v>
      </c>
      <c r="F3151" s="25">
        <v>157248</v>
      </c>
      <c r="G3151" s="25">
        <v>117936</v>
      </c>
    </row>
    <row r="3152" spans="1:7" x14ac:dyDescent="0.25">
      <c r="A3152" s="14" t="s">
        <v>2695</v>
      </c>
      <c r="B3152" s="14">
        <v>1</v>
      </c>
      <c r="C3152" s="15" t="s">
        <v>2698</v>
      </c>
      <c r="D3152" s="14" t="s">
        <v>1745</v>
      </c>
      <c r="E3152" s="14" t="s">
        <v>1747</v>
      </c>
      <c r="F3152" s="25">
        <v>149760</v>
      </c>
      <c r="G3152" s="25">
        <v>112320</v>
      </c>
    </row>
    <row r="3153" spans="1:7" x14ac:dyDescent="0.25">
      <c r="A3153" s="14" t="s">
        <v>2695</v>
      </c>
      <c r="B3153" s="14" t="s">
        <v>89</v>
      </c>
      <c r="C3153" s="15" t="s">
        <v>2699</v>
      </c>
      <c r="D3153" s="14" t="s">
        <v>1745</v>
      </c>
      <c r="E3153" s="14" t="s">
        <v>1747</v>
      </c>
      <c r="F3153" s="25">
        <v>59880</v>
      </c>
      <c r="G3153" s="25">
        <v>44910</v>
      </c>
    </row>
    <row r="3154" spans="1:7" x14ac:dyDescent="0.25">
      <c r="A3154" s="14" t="s">
        <v>2695</v>
      </c>
      <c r="B3154" s="14" t="s">
        <v>89</v>
      </c>
      <c r="C3154" s="15" t="s">
        <v>2699</v>
      </c>
      <c r="D3154" s="14" t="s">
        <v>1745</v>
      </c>
      <c r="E3154" s="14" t="s">
        <v>1746</v>
      </c>
      <c r="F3154" s="25">
        <v>62874</v>
      </c>
      <c r="G3154" s="25">
        <v>47155.56</v>
      </c>
    </row>
    <row r="3155" spans="1:7" x14ac:dyDescent="0.25">
      <c r="A3155" s="14" t="s">
        <v>2695</v>
      </c>
      <c r="B3155" s="14">
        <v>1</v>
      </c>
      <c r="C3155" s="15" t="s">
        <v>2698</v>
      </c>
      <c r="D3155" s="14" t="s">
        <v>1749</v>
      </c>
      <c r="E3155" s="14" t="s">
        <v>1746</v>
      </c>
      <c r="F3155" s="25">
        <v>14976</v>
      </c>
      <c r="G3155" s="25">
        <v>11232</v>
      </c>
    </row>
    <row r="3156" spans="1:7" x14ac:dyDescent="0.25">
      <c r="A3156" s="14" t="s">
        <v>2695</v>
      </c>
      <c r="B3156" s="14" t="s">
        <v>24</v>
      </c>
      <c r="C3156" s="15" t="s">
        <v>2697</v>
      </c>
      <c r="D3156" s="14" t="s">
        <v>1745</v>
      </c>
      <c r="E3156" s="14" t="s">
        <v>1747</v>
      </c>
      <c r="F3156" s="25">
        <v>37440</v>
      </c>
      <c r="G3156" s="25">
        <v>33696</v>
      </c>
    </row>
    <row r="3157" spans="1:7" x14ac:dyDescent="0.25">
      <c r="A3157" s="14" t="s">
        <v>2695</v>
      </c>
      <c r="B3157" s="14" t="s">
        <v>89</v>
      </c>
      <c r="C3157" s="15" t="s">
        <v>2699</v>
      </c>
      <c r="D3157" s="14" t="s">
        <v>1749</v>
      </c>
      <c r="E3157" s="14" t="s">
        <v>1746</v>
      </c>
      <c r="F3157" s="25">
        <v>5988</v>
      </c>
      <c r="G3157" s="25">
        <v>4491</v>
      </c>
    </row>
    <row r="3158" spans="1:7" x14ac:dyDescent="0.25">
      <c r="A3158" s="14" t="s">
        <v>2700</v>
      </c>
      <c r="B3158" s="14" t="s">
        <v>32</v>
      </c>
      <c r="C3158" s="15" t="s">
        <v>2701</v>
      </c>
      <c r="D3158" s="14" t="s">
        <v>1745</v>
      </c>
      <c r="E3158" s="14" t="s">
        <v>1746</v>
      </c>
      <c r="F3158" s="25">
        <v>4725</v>
      </c>
      <c r="G3158" s="25">
        <v>3780</v>
      </c>
    </row>
    <row r="3159" spans="1:7" x14ac:dyDescent="0.25">
      <c r="A3159" s="14" t="s">
        <v>2700</v>
      </c>
      <c r="B3159" s="14" t="s">
        <v>32</v>
      </c>
      <c r="C3159" s="15" t="s">
        <v>2701</v>
      </c>
      <c r="D3159" s="14" t="s">
        <v>1745</v>
      </c>
      <c r="E3159" s="14" t="s">
        <v>1747</v>
      </c>
      <c r="F3159" s="25">
        <v>4500</v>
      </c>
      <c r="G3159" s="25">
        <v>3600</v>
      </c>
    </row>
    <row r="3160" spans="1:7" x14ac:dyDescent="0.25">
      <c r="A3160" s="14" t="s">
        <v>2700</v>
      </c>
      <c r="B3160" s="14">
        <v>1</v>
      </c>
      <c r="C3160" s="15" t="s">
        <v>2702</v>
      </c>
      <c r="D3160" s="14" t="s">
        <v>1745</v>
      </c>
      <c r="E3160" s="14" t="s">
        <v>1747</v>
      </c>
      <c r="F3160" s="25">
        <v>23940</v>
      </c>
      <c r="G3160" s="25">
        <v>19152</v>
      </c>
    </row>
    <row r="3161" spans="1:7" x14ac:dyDescent="0.25">
      <c r="A3161" s="14" t="s">
        <v>2700</v>
      </c>
      <c r="B3161" s="14">
        <v>1</v>
      </c>
      <c r="C3161" s="15" t="s">
        <v>2702</v>
      </c>
      <c r="D3161" s="14" t="s">
        <v>1745</v>
      </c>
      <c r="E3161" s="14" t="s">
        <v>1746</v>
      </c>
      <c r="F3161" s="25">
        <v>25137</v>
      </c>
      <c r="G3161" s="25">
        <v>20109.599999999999</v>
      </c>
    </row>
    <row r="3162" spans="1:7" x14ac:dyDescent="0.25">
      <c r="A3162" s="14" t="s">
        <v>2700</v>
      </c>
      <c r="B3162" s="14" t="s">
        <v>50</v>
      </c>
      <c r="C3162" s="15" t="s">
        <v>2703</v>
      </c>
      <c r="D3162" s="14" t="s">
        <v>1749</v>
      </c>
      <c r="E3162" s="14" t="s">
        <v>1746</v>
      </c>
      <c r="F3162" s="25">
        <v>252</v>
      </c>
      <c r="G3162" s="25">
        <v>201.6</v>
      </c>
    </row>
    <row r="3163" spans="1:7" x14ac:dyDescent="0.25">
      <c r="A3163" s="14" t="s">
        <v>2700</v>
      </c>
      <c r="B3163" s="14" t="s">
        <v>32</v>
      </c>
      <c r="C3163" s="15" t="s">
        <v>2701</v>
      </c>
      <c r="D3163" s="14" t="s">
        <v>1749</v>
      </c>
      <c r="E3163" s="14" t="s">
        <v>1746</v>
      </c>
      <c r="F3163" s="25">
        <v>450</v>
      </c>
      <c r="G3163" s="25">
        <v>360</v>
      </c>
    </row>
    <row r="3164" spans="1:7" x14ac:dyDescent="0.25">
      <c r="A3164" s="14" t="s">
        <v>2700</v>
      </c>
      <c r="B3164" s="14" t="s">
        <v>50</v>
      </c>
      <c r="C3164" s="15" t="s">
        <v>2703</v>
      </c>
      <c r="D3164" s="14" t="s">
        <v>1745</v>
      </c>
      <c r="E3164" s="14" t="s">
        <v>1747</v>
      </c>
      <c r="F3164" s="25">
        <v>2520</v>
      </c>
      <c r="G3164" s="25">
        <v>2016</v>
      </c>
    </row>
    <row r="3165" spans="1:7" x14ac:dyDescent="0.25">
      <c r="A3165" s="14" t="s">
        <v>2700</v>
      </c>
      <c r="B3165" s="14" t="s">
        <v>55</v>
      </c>
      <c r="C3165" s="15" t="s">
        <v>2704</v>
      </c>
      <c r="D3165" s="14" t="s">
        <v>1745</v>
      </c>
      <c r="E3165" s="14" t="s">
        <v>1747</v>
      </c>
      <c r="F3165" s="25">
        <v>9600</v>
      </c>
      <c r="G3165" s="25">
        <v>8640</v>
      </c>
    </row>
    <row r="3166" spans="1:7" x14ac:dyDescent="0.25">
      <c r="A3166" s="14" t="s">
        <v>2700</v>
      </c>
      <c r="B3166" s="14" t="s">
        <v>55</v>
      </c>
      <c r="C3166" s="15" t="s">
        <v>2704</v>
      </c>
      <c r="D3166" s="14" t="s">
        <v>1749</v>
      </c>
      <c r="E3166" s="14" t="s">
        <v>1746</v>
      </c>
      <c r="F3166" s="25">
        <v>960</v>
      </c>
      <c r="G3166" s="25">
        <v>864</v>
      </c>
    </row>
    <row r="3167" spans="1:7" x14ac:dyDescent="0.25">
      <c r="A3167" s="14" t="s">
        <v>2700</v>
      </c>
      <c r="B3167" s="14" t="s">
        <v>50</v>
      </c>
      <c r="C3167" s="15" t="s">
        <v>2703</v>
      </c>
      <c r="D3167" s="14" t="s">
        <v>1745</v>
      </c>
      <c r="E3167" s="14" t="s">
        <v>1746</v>
      </c>
      <c r="F3167" s="25">
        <v>2646</v>
      </c>
      <c r="G3167" s="25">
        <v>2116.8000000000002</v>
      </c>
    </row>
    <row r="3168" spans="1:7" x14ac:dyDescent="0.25">
      <c r="A3168" s="14" t="s">
        <v>2700</v>
      </c>
      <c r="B3168" s="14" t="s">
        <v>55</v>
      </c>
      <c r="C3168" s="15" t="s">
        <v>2704</v>
      </c>
      <c r="D3168" s="14" t="s">
        <v>1745</v>
      </c>
      <c r="E3168" s="14" t="s">
        <v>1746</v>
      </c>
      <c r="F3168" s="25">
        <v>10080</v>
      </c>
      <c r="G3168" s="25">
        <v>9072</v>
      </c>
    </row>
    <row r="3169" spans="1:7" x14ac:dyDescent="0.25">
      <c r="A3169" s="14" t="s">
        <v>2700</v>
      </c>
      <c r="B3169" s="14">
        <v>1</v>
      </c>
      <c r="C3169" s="15" t="s">
        <v>2702</v>
      </c>
      <c r="D3169" s="14" t="s">
        <v>1749</v>
      </c>
      <c r="E3169" s="14" t="s">
        <v>1746</v>
      </c>
      <c r="F3169" s="25">
        <v>2394</v>
      </c>
      <c r="G3169" s="25">
        <v>1915.2</v>
      </c>
    </row>
    <row r="3170" spans="1:7" x14ac:dyDescent="0.25">
      <c r="A3170" s="14" t="s">
        <v>2705</v>
      </c>
      <c r="B3170" s="14" t="s">
        <v>34</v>
      </c>
      <c r="C3170" s="15" t="s">
        <v>2706</v>
      </c>
      <c r="D3170" s="14" t="s">
        <v>1745</v>
      </c>
      <c r="E3170" s="14" t="s">
        <v>1746</v>
      </c>
      <c r="F3170" s="25">
        <v>1323</v>
      </c>
      <c r="G3170" s="25">
        <v>1058.4000000000001</v>
      </c>
    </row>
    <row r="3171" spans="1:7" x14ac:dyDescent="0.25">
      <c r="A3171" s="14" t="s">
        <v>2705</v>
      </c>
      <c r="B3171" s="14">
        <v>1</v>
      </c>
      <c r="C3171" s="15" t="s">
        <v>2707</v>
      </c>
      <c r="D3171" s="14" t="s">
        <v>1745</v>
      </c>
      <c r="E3171" s="14" t="s">
        <v>1746</v>
      </c>
      <c r="F3171" s="25">
        <v>10458</v>
      </c>
      <c r="G3171" s="25">
        <v>8366.4</v>
      </c>
    </row>
    <row r="3172" spans="1:7" x14ac:dyDescent="0.25">
      <c r="A3172" s="14" t="s">
        <v>2705</v>
      </c>
      <c r="B3172" s="14" t="s">
        <v>34</v>
      </c>
      <c r="C3172" s="15" t="s">
        <v>2706</v>
      </c>
      <c r="D3172" s="14" t="s">
        <v>1745</v>
      </c>
      <c r="E3172" s="14" t="s">
        <v>1747</v>
      </c>
      <c r="F3172" s="25">
        <v>1260</v>
      </c>
      <c r="G3172" s="25">
        <v>1008</v>
      </c>
    </row>
    <row r="3173" spans="1:7" x14ac:dyDescent="0.25">
      <c r="A3173" s="14" t="s">
        <v>2705</v>
      </c>
      <c r="B3173" s="14" t="s">
        <v>24</v>
      </c>
      <c r="C3173" s="15" t="s">
        <v>2708</v>
      </c>
      <c r="D3173" s="14" t="s">
        <v>1745</v>
      </c>
      <c r="E3173" s="14" t="s">
        <v>1746</v>
      </c>
      <c r="F3173" s="25">
        <v>4221</v>
      </c>
      <c r="G3173" s="25">
        <v>3798.96</v>
      </c>
    </row>
    <row r="3174" spans="1:7" x14ac:dyDescent="0.25">
      <c r="A3174" s="14" t="s">
        <v>2705</v>
      </c>
      <c r="B3174" s="14">
        <v>1</v>
      </c>
      <c r="C3174" s="15" t="s">
        <v>2707</v>
      </c>
      <c r="D3174" s="14" t="s">
        <v>1745</v>
      </c>
      <c r="E3174" s="14" t="s">
        <v>1747</v>
      </c>
      <c r="F3174" s="25">
        <v>9960</v>
      </c>
      <c r="G3174" s="25">
        <v>7968</v>
      </c>
    </row>
    <row r="3175" spans="1:7" x14ac:dyDescent="0.25">
      <c r="A3175" s="14" t="s">
        <v>2705</v>
      </c>
      <c r="B3175" s="14" t="s">
        <v>24</v>
      </c>
      <c r="C3175" s="15" t="s">
        <v>2708</v>
      </c>
      <c r="D3175" s="14" t="s">
        <v>1749</v>
      </c>
      <c r="E3175" s="14" t="s">
        <v>1746</v>
      </c>
      <c r="F3175" s="25">
        <v>402</v>
      </c>
      <c r="G3175" s="25">
        <v>361.8</v>
      </c>
    </row>
    <row r="3176" spans="1:7" x14ac:dyDescent="0.25">
      <c r="A3176" s="14" t="s">
        <v>2705</v>
      </c>
      <c r="B3176" s="14" t="s">
        <v>20</v>
      </c>
      <c r="C3176" s="15" t="s">
        <v>2709</v>
      </c>
      <c r="D3176" s="14" t="s">
        <v>1745</v>
      </c>
      <c r="E3176" s="14" t="s">
        <v>1746</v>
      </c>
      <c r="F3176" s="25">
        <v>2331</v>
      </c>
      <c r="G3176" s="25">
        <v>1864.8</v>
      </c>
    </row>
    <row r="3177" spans="1:7" x14ac:dyDescent="0.25">
      <c r="A3177" s="14" t="s">
        <v>2705</v>
      </c>
      <c r="B3177" s="14" t="s">
        <v>24</v>
      </c>
      <c r="C3177" s="15" t="s">
        <v>2708</v>
      </c>
      <c r="D3177" s="14" t="s">
        <v>1745</v>
      </c>
      <c r="E3177" s="14" t="s">
        <v>1747</v>
      </c>
      <c r="F3177" s="25">
        <v>4020</v>
      </c>
      <c r="G3177" s="25">
        <v>3618</v>
      </c>
    </row>
    <row r="3178" spans="1:7" x14ac:dyDescent="0.25">
      <c r="A3178" s="14" t="s">
        <v>2705</v>
      </c>
      <c r="B3178" s="14" t="s">
        <v>20</v>
      </c>
      <c r="C3178" s="15" t="s">
        <v>2709</v>
      </c>
      <c r="D3178" s="14" t="s">
        <v>1745</v>
      </c>
      <c r="E3178" s="14" t="s">
        <v>1747</v>
      </c>
      <c r="F3178" s="25">
        <v>2220</v>
      </c>
      <c r="G3178" s="25">
        <v>1776</v>
      </c>
    </row>
    <row r="3179" spans="1:7" x14ac:dyDescent="0.25">
      <c r="A3179" s="14" t="s">
        <v>2705</v>
      </c>
      <c r="B3179" s="14" t="s">
        <v>20</v>
      </c>
      <c r="C3179" s="15" t="s">
        <v>2709</v>
      </c>
      <c r="D3179" s="14" t="s">
        <v>1749</v>
      </c>
      <c r="E3179" s="14" t="s">
        <v>1746</v>
      </c>
      <c r="F3179" s="25">
        <v>222</v>
      </c>
      <c r="G3179" s="25">
        <v>177.6</v>
      </c>
    </row>
    <row r="3180" spans="1:7" x14ac:dyDescent="0.25">
      <c r="A3180" s="14" t="s">
        <v>2705</v>
      </c>
      <c r="B3180" s="14">
        <v>1</v>
      </c>
      <c r="C3180" s="15" t="s">
        <v>2707</v>
      </c>
      <c r="D3180" s="14" t="s">
        <v>1749</v>
      </c>
      <c r="E3180" s="14" t="s">
        <v>1746</v>
      </c>
      <c r="F3180" s="25">
        <v>996</v>
      </c>
      <c r="G3180" s="25">
        <v>796.8</v>
      </c>
    </row>
    <row r="3181" spans="1:7" x14ac:dyDescent="0.25">
      <c r="A3181" s="14" t="s">
        <v>2705</v>
      </c>
      <c r="B3181" s="14" t="s">
        <v>34</v>
      </c>
      <c r="C3181" s="15" t="s">
        <v>2706</v>
      </c>
      <c r="D3181" s="14" t="s">
        <v>1749</v>
      </c>
      <c r="E3181" s="14" t="s">
        <v>1746</v>
      </c>
      <c r="F3181" s="25">
        <v>126</v>
      </c>
      <c r="G3181" s="25">
        <v>100.8</v>
      </c>
    </row>
    <row r="3182" spans="1:7" x14ac:dyDescent="0.25">
      <c r="A3182" s="14" t="s">
        <v>2710</v>
      </c>
      <c r="B3182" s="14">
        <v>11</v>
      </c>
      <c r="C3182" s="15" t="s">
        <v>2711</v>
      </c>
      <c r="D3182" s="14" t="s">
        <v>1749</v>
      </c>
      <c r="E3182" s="14" t="s">
        <v>1746</v>
      </c>
      <c r="F3182" s="25">
        <v>222</v>
      </c>
      <c r="G3182" s="25">
        <v>177.6</v>
      </c>
    </row>
    <row r="3183" spans="1:7" x14ac:dyDescent="0.25">
      <c r="A3183" s="14" t="s">
        <v>2712</v>
      </c>
      <c r="B3183" s="14">
        <v>8</v>
      </c>
      <c r="C3183" s="15" t="s">
        <v>2713</v>
      </c>
      <c r="D3183" s="14" t="s">
        <v>1749</v>
      </c>
      <c r="E3183" s="14" t="s">
        <v>1746</v>
      </c>
      <c r="F3183" s="25">
        <v>420</v>
      </c>
      <c r="G3183" s="25">
        <v>378</v>
      </c>
    </row>
    <row r="3184" spans="1:7" x14ac:dyDescent="0.25">
      <c r="A3184" s="14" t="s">
        <v>2710</v>
      </c>
      <c r="B3184" s="14">
        <v>13</v>
      </c>
      <c r="C3184" s="15" t="s">
        <v>2714</v>
      </c>
      <c r="D3184" s="14" t="s">
        <v>1745</v>
      </c>
      <c r="E3184" s="14" t="s">
        <v>1746</v>
      </c>
      <c r="F3184" s="25">
        <v>1323</v>
      </c>
      <c r="G3184" s="25">
        <v>1058.4000000000001</v>
      </c>
    </row>
    <row r="3185" spans="1:7" x14ac:dyDescent="0.25">
      <c r="A3185" s="14" t="s">
        <v>2710</v>
      </c>
      <c r="B3185" s="14">
        <v>13</v>
      </c>
      <c r="C3185" s="15" t="s">
        <v>2714</v>
      </c>
      <c r="D3185" s="14" t="s">
        <v>1745</v>
      </c>
      <c r="E3185" s="14" t="s">
        <v>1747</v>
      </c>
      <c r="F3185" s="25">
        <v>1260</v>
      </c>
      <c r="G3185" s="25">
        <v>1008</v>
      </c>
    </row>
    <row r="3186" spans="1:7" x14ac:dyDescent="0.25">
      <c r="A3186" s="14" t="s">
        <v>2710</v>
      </c>
      <c r="B3186" s="14">
        <v>1</v>
      </c>
      <c r="C3186" s="15" t="s">
        <v>2715</v>
      </c>
      <c r="D3186" s="14" t="s">
        <v>1745</v>
      </c>
      <c r="E3186" s="14" t="s">
        <v>1746</v>
      </c>
      <c r="F3186" s="25">
        <v>14679</v>
      </c>
      <c r="G3186" s="25">
        <v>11743.2</v>
      </c>
    </row>
    <row r="3187" spans="1:7" x14ac:dyDescent="0.25">
      <c r="A3187" s="14" t="s">
        <v>2712</v>
      </c>
      <c r="B3187" s="14">
        <v>8</v>
      </c>
      <c r="C3187" s="15" t="s">
        <v>2713</v>
      </c>
      <c r="D3187" s="14" t="s">
        <v>1745</v>
      </c>
      <c r="E3187" s="14" t="s">
        <v>1746</v>
      </c>
      <c r="F3187" s="25">
        <v>4410</v>
      </c>
      <c r="G3187" s="25">
        <v>3969</v>
      </c>
    </row>
    <row r="3188" spans="1:7" x14ac:dyDescent="0.25">
      <c r="A3188" s="14" t="s">
        <v>2710</v>
      </c>
      <c r="B3188" s="14">
        <v>11</v>
      </c>
      <c r="C3188" s="15" t="s">
        <v>2711</v>
      </c>
      <c r="D3188" s="14" t="s">
        <v>1745</v>
      </c>
      <c r="E3188" s="14" t="s">
        <v>1747</v>
      </c>
      <c r="F3188" s="25">
        <v>2220</v>
      </c>
      <c r="G3188" s="25">
        <v>1776</v>
      </c>
    </row>
    <row r="3189" spans="1:7" x14ac:dyDescent="0.25">
      <c r="A3189" s="14" t="s">
        <v>2710</v>
      </c>
      <c r="B3189" s="14">
        <v>13</v>
      </c>
      <c r="C3189" s="15" t="s">
        <v>2714</v>
      </c>
      <c r="D3189" s="14" t="s">
        <v>1749</v>
      </c>
      <c r="E3189" s="14" t="s">
        <v>1746</v>
      </c>
      <c r="F3189" s="25">
        <v>126</v>
      </c>
      <c r="G3189" s="25">
        <v>100.8</v>
      </c>
    </row>
    <row r="3190" spans="1:7" x14ac:dyDescent="0.25">
      <c r="A3190" s="14" t="s">
        <v>2710</v>
      </c>
      <c r="B3190" s="14">
        <v>11</v>
      </c>
      <c r="C3190" s="15" t="s">
        <v>2711</v>
      </c>
      <c r="D3190" s="14" t="s">
        <v>1745</v>
      </c>
      <c r="E3190" s="14" t="s">
        <v>1746</v>
      </c>
      <c r="F3190" s="25">
        <v>2331</v>
      </c>
      <c r="G3190" s="25">
        <v>1864.8</v>
      </c>
    </row>
    <row r="3191" spans="1:7" x14ac:dyDescent="0.25">
      <c r="A3191" s="14" t="s">
        <v>2710</v>
      </c>
      <c r="B3191" s="14">
        <v>1</v>
      </c>
      <c r="C3191" s="15" t="s">
        <v>2715</v>
      </c>
      <c r="D3191" s="14" t="s">
        <v>1745</v>
      </c>
      <c r="E3191" s="14" t="s">
        <v>1747</v>
      </c>
      <c r="F3191" s="25">
        <v>13980</v>
      </c>
      <c r="G3191" s="25">
        <v>11184</v>
      </c>
    </row>
    <row r="3192" spans="1:7" x14ac:dyDescent="0.25">
      <c r="A3192" s="14" t="s">
        <v>2712</v>
      </c>
      <c r="B3192" s="14">
        <v>8</v>
      </c>
      <c r="C3192" s="15" t="s">
        <v>2713</v>
      </c>
      <c r="D3192" s="14" t="s">
        <v>1745</v>
      </c>
      <c r="E3192" s="14" t="s">
        <v>1747</v>
      </c>
      <c r="F3192" s="25">
        <v>4200</v>
      </c>
      <c r="G3192" s="25">
        <v>3780</v>
      </c>
    </row>
    <row r="3193" spans="1:7" x14ac:dyDescent="0.25">
      <c r="A3193" s="14" t="s">
        <v>2710</v>
      </c>
      <c r="B3193" s="14">
        <v>1</v>
      </c>
      <c r="C3193" s="15" t="s">
        <v>2715</v>
      </c>
      <c r="D3193" s="14" t="s">
        <v>1749</v>
      </c>
      <c r="E3193" s="14" t="s">
        <v>1746</v>
      </c>
      <c r="F3193" s="25">
        <v>1398</v>
      </c>
      <c r="G3193" s="25">
        <v>1118.4000000000001</v>
      </c>
    </row>
    <row r="3194" spans="1:7" ht="30" x14ac:dyDescent="0.25">
      <c r="A3194" s="14" t="s">
        <v>2716</v>
      </c>
      <c r="B3194" s="14" t="s">
        <v>243</v>
      </c>
      <c r="C3194" s="15" t="s">
        <v>2717</v>
      </c>
      <c r="D3194" s="14" t="s">
        <v>1745</v>
      </c>
      <c r="E3194" s="14" t="s">
        <v>1746</v>
      </c>
      <c r="F3194" s="25">
        <v>6552</v>
      </c>
      <c r="G3194" s="25">
        <v>5896.8</v>
      </c>
    </row>
    <row r="3195" spans="1:7" ht="30" x14ac:dyDescent="0.25">
      <c r="A3195" s="14" t="s">
        <v>2716</v>
      </c>
      <c r="B3195" s="14">
        <v>3</v>
      </c>
      <c r="C3195" s="15" t="s">
        <v>2718</v>
      </c>
      <c r="D3195" s="14" t="s">
        <v>1745</v>
      </c>
      <c r="E3195" s="14" t="s">
        <v>1746</v>
      </c>
      <c r="F3195" s="25">
        <v>26208</v>
      </c>
      <c r="G3195" s="25">
        <v>20966.400000000001</v>
      </c>
    </row>
    <row r="3196" spans="1:7" ht="30" x14ac:dyDescent="0.25">
      <c r="A3196" s="14" t="s">
        <v>2716</v>
      </c>
      <c r="B3196" s="14" t="s">
        <v>46</v>
      </c>
      <c r="C3196" s="15" t="s">
        <v>2719</v>
      </c>
      <c r="D3196" s="14" t="s">
        <v>1745</v>
      </c>
      <c r="E3196" s="14" t="s">
        <v>1746</v>
      </c>
      <c r="F3196" s="25">
        <v>14427</v>
      </c>
      <c r="G3196" s="25">
        <v>11541.6</v>
      </c>
    </row>
    <row r="3197" spans="1:7" x14ac:dyDescent="0.25">
      <c r="A3197" s="14" t="s">
        <v>2716</v>
      </c>
      <c r="B3197" s="14">
        <v>2</v>
      </c>
      <c r="C3197" s="15" t="s">
        <v>2720</v>
      </c>
      <c r="D3197" s="14" t="s">
        <v>1749</v>
      </c>
      <c r="E3197" s="14" t="s">
        <v>1746</v>
      </c>
      <c r="F3197" s="25">
        <v>7488</v>
      </c>
      <c r="G3197" s="25">
        <v>5990.4</v>
      </c>
    </row>
    <row r="3198" spans="1:7" ht="30" x14ac:dyDescent="0.25">
      <c r="A3198" s="14" t="s">
        <v>2716</v>
      </c>
      <c r="B3198" s="14" t="s">
        <v>29</v>
      </c>
      <c r="C3198" s="15" t="s">
        <v>2721</v>
      </c>
      <c r="D3198" s="14" t="s">
        <v>1745</v>
      </c>
      <c r="E3198" s="14" t="s">
        <v>1746</v>
      </c>
      <c r="F3198" s="25">
        <v>15750</v>
      </c>
      <c r="G3198" s="25">
        <v>12600</v>
      </c>
    </row>
    <row r="3199" spans="1:7" ht="30" x14ac:dyDescent="0.25">
      <c r="A3199" s="14" t="s">
        <v>2716</v>
      </c>
      <c r="B3199" s="14" t="s">
        <v>118</v>
      </c>
      <c r="C3199" s="15" t="s">
        <v>2722</v>
      </c>
      <c r="D3199" s="14" t="s">
        <v>1749</v>
      </c>
      <c r="E3199" s="14" t="s">
        <v>1746</v>
      </c>
      <c r="F3199" s="25">
        <v>936</v>
      </c>
      <c r="G3199" s="25">
        <v>842.4</v>
      </c>
    </row>
    <row r="3200" spans="1:7" ht="30" x14ac:dyDescent="0.25">
      <c r="A3200" s="14" t="s">
        <v>2716</v>
      </c>
      <c r="B3200" s="14" t="s">
        <v>32</v>
      </c>
      <c r="C3200" s="15" t="s">
        <v>2723</v>
      </c>
      <c r="D3200" s="14" t="s">
        <v>1745</v>
      </c>
      <c r="E3200" s="14" t="s">
        <v>1747</v>
      </c>
      <c r="F3200" s="25">
        <v>29940</v>
      </c>
      <c r="G3200" s="25">
        <v>23952</v>
      </c>
    </row>
    <row r="3201" spans="1:7" ht="30" x14ac:dyDescent="0.25">
      <c r="A3201" s="14" t="s">
        <v>2716</v>
      </c>
      <c r="B3201" s="14" t="s">
        <v>243</v>
      </c>
      <c r="C3201" s="15" t="s">
        <v>2717</v>
      </c>
      <c r="D3201" s="14" t="s">
        <v>1745</v>
      </c>
      <c r="E3201" s="14" t="s">
        <v>1747</v>
      </c>
      <c r="F3201" s="25">
        <v>6240</v>
      </c>
      <c r="G3201" s="25">
        <v>5616</v>
      </c>
    </row>
    <row r="3202" spans="1:7" ht="30" x14ac:dyDescent="0.25">
      <c r="A3202" s="14" t="s">
        <v>2716</v>
      </c>
      <c r="B3202" s="14">
        <v>3</v>
      </c>
      <c r="C3202" s="15" t="s">
        <v>2718</v>
      </c>
      <c r="D3202" s="14" t="s">
        <v>1745</v>
      </c>
      <c r="E3202" s="14" t="s">
        <v>1747</v>
      </c>
      <c r="F3202" s="25">
        <v>24960</v>
      </c>
      <c r="G3202" s="25">
        <v>19968</v>
      </c>
    </row>
    <row r="3203" spans="1:7" ht="30" x14ac:dyDescent="0.25">
      <c r="A3203" s="14" t="s">
        <v>2716</v>
      </c>
      <c r="B3203" s="14" t="s">
        <v>118</v>
      </c>
      <c r="C3203" s="15" t="s">
        <v>2722</v>
      </c>
      <c r="D3203" s="14" t="s">
        <v>1745</v>
      </c>
      <c r="E3203" s="14" t="s">
        <v>1746</v>
      </c>
      <c r="F3203" s="25">
        <v>9828</v>
      </c>
      <c r="G3203" s="25">
        <v>8845.2000000000007</v>
      </c>
    </row>
    <row r="3204" spans="1:7" ht="30" x14ac:dyDescent="0.25">
      <c r="A3204" s="14" t="s">
        <v>2716</v>
      </c>
      <c r="B3204" s="14" t="s">
        <v>122</v>
      </c>
      <c r="C3204" s="15" t="s">
        <v>2724</v>
      </c>
      <c r="D3204" s="14" t="s">
        <v>1749</v>
      </c>
      <c r="E3204" s="14" t="s">
        <v>1746</v>
      </c>
      <c r="F3204" s="25">
        <v>1872</v>
      </c>
      <c r="G3204" s="25">
        <v>1684.8</v>
      </c>
    </row>
    <row r="3205" spans="1:7" ht="30" x14ac:dyDescent="0.25">
      <c r="A3205" s="14" t="s">
        <v>2716</v>
      </c>
      <c r="B3205" s="14" t="s">
        <v>29</v>
      </c>
      <c r="C3205" s="15" t="s">
        <v>2721</v>
      </c>
      <c r="D3205" s="14" t="s">
        <v>1745</v>
      </c>
      <c r="E3205" s="14" t="s">
        <v>1747</v>
      </c>
      <c r="F3205" s="25">
        <v>15000</v>
      </c>
      <c r="G3205" s="25">
        <v>12000</v>
      </c>
    </row>
    <row r="3206" spans="1:7" ht="30" x14ac:dyDescent="0.25">
      <c r="A3206" s="14" t="s">
        <v>2716</v>
      </c>
      <c r="B3206" s="14">
        <v>3</v>
      </c>
      <c r="C3206" s="15" t="s">
        <v>2718</v>
      </c>
      <c r="D3206" s="14" t="s">
        <v>1749</v>
      </c>
      <c r="E3206" s="14" t="s">
        <v>1746</v>
      </c>
      <c r="F3206" s="25">
        <v>2496</v>
      </c>
      <c r="G3206" s="25">
        <v>1996.8</v>
      </c>
    </row>
    <row r="3207" spans="1:7" ht="30" x14ac:dyDescent="0.25">
      <c r="A3207" s="14" t="s">
        <v>2716</v>
      </c>
      <c r="B3207" s="14" t="s">
        <v>46</v>
      </c>
      <c r="C3207" s="15" t="s">
        <v>2719</v>
      </c>
      <c r="D3207" s="14" t="s">
        <v>1749</v>
      </c>
      <c r="E3207" s="14" t="s">
        <v>1746</v>
      </c>
      <c r="F3207" s="25">
        <v>1374</v>
      </c>
      <c r="G3207" s="25">
        <v>1099.2</v>
      </c>
    </row>
    <row r="3208" spans="1:7" ht="30" x14ac:dyDescent="0.25">
      <c r="A3208" s="14" t="s">
        <v>2716</v>
      </c>
      <c r="B3208" s="14" t="s">
        <v>28</v>
      </c>
      <c r="C3208" s="15" t="s">
        <v>2725</v>
      </c>
      <c r="D3208" s="14" t="s">
        <v>1745</v>
      </c>
      <c r="E3208" s="14" t="s">
        <v>1746</v>
      </c>
      <c r="F3208" s="25">
        <v>10458</v>
      </c>
      <c r="G3208" s="25">
        <v>8366.4</v>
      </c>
    </row>
    <row r="3209" spans="1:7" ht="30" x14ac:dyDescent="0.25">
      <c r="A3209" s="14" t="s">
        <v>2716</v>
      </c>
      <c r="B3209" s="14" t="s">
        <v>46</v>
      </c>
      <c r="C3209" s="15" t="s">
        <v>2719</v>
      </c>
      <c r="D3209" s="14" t="s">
        <v>1745</v>
      </c>
      <c r="E3209" s="14" t="s">
        <v>1747</v>
      </c>
      <c r="F3209" s="25">
        <v>13740</v>
      </c>
      <c r="G3209" s="25">
        <v>10992</v>
      </c>
    </row>
    <row r="3210" spans="1:7" ht="30" x14ac:dyDescent="0.25">
      <c r="A3210" s="14" t="s">
        <v>2716</v>
      </c>
      <c r="B3210" s="14" t="s">
        <v>122</v>
      </c>
      <c r="C3210" s="15" t="s">
        <v>2724</v>
      </c>
      <c r="D3210" s="14" t="s">
        <v>1745</v>
      </c>
      <c r="E3210" s="14" t="s">
        <v>1746</v>
      </c>
      <c r="F3210" s="25">
        <v>19656</v>
      </c>
      <c r="G3210" s="25">
        <v>17690.400000000001</v>
      </c>
    </row>
    <row r="3211" spans="1:7" ht="30" x14ac:dyDescent="0.25">
      <c r="A3211" s="14" t="s">
        <v>2716</v>
      </c>
      <c r="B3211" s="14">
        <v>1</v>
      </c>
      <c r="C3211" s="15" t="s">
        <v>2726</v>
      </c>
      <c r="D3211" s="14" t="s">
        <v>1749</v>
      </c>
      <c r="E3211" s="14" t="s">
        <v>1746</v>
      </c>
      <c r="F3211" s="25">
        <v>3744</v>
      </c>
      <c r="G3211" s="25">
        <v>2995.2</v>
      </c>
    </row>
    <row r="3212" spans="1:7" ht="30" x14ac:dyDescent="0.25">
      <c r="A3212" s="14" t="s">
        <v>2716</v>
      </c>
      <c r="B3212" s="14" t="s">
        <v>32</v>
      </c>
      <c r="C3212" s="15" t="s">
        <v>2723</v>
      </c>
      <c r="D3212" s="14" t="s">
        <v>1749</v>
      </c>
      <c r="E3212" s="14" t="s">
        <v>1746</v>
      </c>
      <c r="F3212" s="25">
        <v>2994</v>
      </c>
      <c r="G3212" s="25">
        <v>2395.1999999999998</v>
      </c>
    </row>
    <row r="3213" spans="1:7" ht="30" x14ac:dyDescent="0.25">
      <c r="A3213" s="14" t="s">
        <v>2716</v>
      </c>
      <c r="B3213" s="14" t="s">
        <v>50</v>
      </c>
      <c r="C3213" s="15" t="s">
        <v>2727</v>
      </c>
      <c r="D3213" s="14" t="s">
        <v>1745</v>
      </c>
      <c r="E3213" s="14" t="s">
        <v>1746</v>
      </c>
      <c r="F3213" s="25">
        <v>43218</v>
      </c>
      <c r="G3213" s="25">
        <v>34574.400000000001</v>
      </c>
    </row>
    <row r="3214" spans="1:7" ht="30" x14ac:dyDescent="0.25">
      <c r="A3214" s="14" t="s">
        <v>2716</v>
      </c>
      <c r="B3214" s="14" t="s">
        <v>243</v>
      </c>
      <c r="C3214" s="15" t="s">
        <v>2717</v>
      </c>
      <c r="D3214" s="14" t="s">
        <v>1749</v>
      </c>
      <c r="E3214" s="14" t="s">
        <v>1746</v>
      </c>
      <c r="F3214" s="25">
        <v>624</v>
      </c>
      <c r="G3214" s="25">
        <v>561.6</v>
      </c>
    </row>
    <row r="3215" spans="1:7" ht="30" x14ac:dyDescent="0.25">
      <c r="A3215" s="14" t="s">
        <v>2716</v>
      </c>
      <c r="B3215" s="14" t="s">
        <v>28</v>
      </c>
      <c r="C3215" s="15" t="s">
        <v>2725</v>
      </c>
      <c r="D3215" s="14" t="s">
        <v>1745</v>
      </c>
      <c r="E3215" s="14" t="s">
        <v>1747</v>
      </c>
      <c r="F3215" s="25">
        <v>9960</v>
      </c>
      <c r="G3215" s="25">
        <v>7968</v>
      </c>
    </row>
    <row r="3216" spans="1:7" ht="30" x14ac:dyDescent="0.25">
      <c r="A3216" s="14" t="s">
        <v>2716</v>
      </c>
      <c r="B3216" s="14" t="s">
        <v>39</v>
      </c>
      <c r="C3216" s="15" t="s">
        <v>2728</v>
      </c>
      <c r="D3216" s="14" t="s">
        <v>1745</v>
      </c>
      <c r="E3216" s="14" t="s">
        <v>1746</v>
      </c>
      <c r="F3216" s="25">
        <v>21609</v>
      </c>
      <c r="G3216" s="25">
        <v>17287.2</v>
      </c>
    </row>
    <row r="3217" spans="1:7" ht="30" x14ac:dyDescent="0.25">
      <c r="A3217" s="14" t="s">
        <v>2716</v>
      </c>
      <c r="B3217" s="14" t="s">
        <v>39</v>
      </c>
      <c r="C3217" s="15" t="s">
        <v>2728</v>
      </c>
      <c r="D3217" s="14" t="s">
        <v>1749</v>
      </c>
      <c r="E3217" s="14" t="s">
        <v>1746</v>
      </c>
      <c r="F3217" s="25">
        <v>2058</v>
      </c>
      <c r="G3217" s="25">
        <v>1646.4</v>
      </c>
    </row>
    <row r="3218" spans="1:7" ht="30" x14ac:dyDescent="0.25">
      <c r="A3218" s="14" t="s">
        <v>2716</v>
      </c>
      <c r="B3218" s="14" t="s">
        <v>122</v>
      </c>
      <c r="C3218" s="15" t="s">
        <v>2724</v>
      </c>
      <c r="D3218" s="14" t="s">
        <v>1745</v>
      </c>
      <c r="E3218" s="14" t="s">
        <v>1747</v>
      </c>
      <c r="F3218" s="25">
        <v>18720</v>
      </c>
      <c r="G3218" s="25">
        <v>16848</v>
      </c>
    </row>
    <row r="3219" spans="1:7" ht="30" x14ac:dyDescent="0.25">
      <c r="A3219" s="14" t="s">
        <v>2716</v>
      </c>
      <c r="B3219" s="14" t="s">
        <v>50</v>
      </c>
      <c r="C3219" s="15" t="s">
        <v>2727</v>
      </c>
      <c r="D3219" s="14" t="s">
        <v>1745</v>
      </c>
      <c r="E3219" s="14" t="s">
        <v>1747</v>
      </c>
      <c r="F3219" s="25">
        <v>41160</v>
      </c>
      <c r="G3219" s="25">
        <v>32928</v>
      </c>
    </row>
    <row r="3220" spans="1:7" ht="30" x14ac:dyDescent="0.25">
      <c r="A3220" s="14" t="s">
        <v>2716</v>
      </c>
      <c r="B3220" s="14" t="s">
        <v>50</v>
      </c>
      <c r="C3220" s="15" t="s">
        <v>2727</v>
      </c>
      <c r="D3220" s="14" t="s">
        <v>1749</v>
      </c>
      <c r="E3220" s="14" t="s">
        <v>1746</v>
      </c>
      <c r="F3220" s="25">
        <v>4116</v>
      </c>
      <c r="G3220" s="25">
        <v>3292.8</v>
      </c>
    </row>
    <row r="3221" spans="1:7" ht="30" x14ac:dyDescent="0.25">
      <c r="A3221" s="14" t="s">
        <v>2716</v>
      </c>
      <c r="B3221" s="14" t="s">
        <v>32</v>
      </c>
      <c r="C3221" s="15" t="s">
        <v>2723</v>
      </c>
      <c r="D3221" s="14" t="s">
        <v>1745</v>
      </c>
      <c r="E3221" s="14" t="s">
        <v>1746</v>
      </c>
      <c r="F3221" s="25">
        <v>31437</v>
      </c>
      <c r="G3221" s="25">
        <v>25149.599999999999</v>
      </c>
    </row>
    <row r="3222" spans="1:7" ht="30" x14ac:dyDescent="0.25">
      <c r="A3222" s="14" t="s">
        <v>2716</v>
      </c>
      <c r="B3222" s="14" t="s">
        <v>118</v>
      </c>
      <c r="C3222" s="15" t="s">
        <v>2722</v>
      </c>
      <c r="D3222" s="14" t="s">
        <v>1745</v>
      </c>
      <c r="E3222" s="14" t="s">
        <v>1747</v>
      </c>
      <c r="F3222" s="25">
        <v>9360</v>
      </c>
      <c r="G3222" s="25">
        <v>8424</v>
      </c>
    </row>
    <row r="3223" spans="1:7" x14ac:dyDescent="0.25">
      <c r="A3223" s="14" t="s">
        <v>2716</v>
      </c>
      <c r="B3223" s="14">
        <v>2</v>
      </c>
      <c r="C3223" s="15" t="s">
        <v>2720</v>
      </c>
      <c r="D3223" s="14" t="s">
        <v>1745</v>
      </c>
      <c r="E3223" s="14" t="s">
        <v>1746</v>
      </c>
      <c r="F3223" s="25">
        <v>78624</v>
      </c>
      <c r="G3223" s="25">
        <v>62899.199999999997</v>
      </c>
    </row>
    <row r="3224" spans="1:7" ht="30" x14ac:dyDescent="0.25">
      <c r="A3224" s="14" t="s">
        <v>2716</v>
      </c>
      <c r="B3224" s="14" t="s">
        <v>39</v>
      </c>
      <c r="C3224" s="15" t="s">
        <v>2728</v>
      </c>
      <c r="D3224" s="14" t="s">
        <v>1745</v>
      </c>
      <c r="E3224" s="14" t="s">
        <v>1747</v>
      </c>
      <c r="F3224" s="25">
        <v>20580</v>
      </c>
      <c r="G3224" s="25">
        <v>16464</v>
      </c>
    </row>
    <row r="3225" spans="1:7" ht="30" x14ac:dyDescent="0.25">
      <c r="A3225" s="14" t="s">
        <v>2716</v>
      </c>
      <c r="B3225" s="14">
        <v>1</v>
      </c>
      <c r="C3225" s="15" t="s">
        <v>2726</v>
      </c>
      <c r="D3225" s="14" t="s">
        <v>1745</v>
      </c>
      <c r="E3225" s="14" t="s">
        <v>1747</v>
      </c>
      <c r="F3225" s="25">
        <v>37440</v>
      </c>
      <c r="G3225" s="25">
        <v>29952</v>
      </c>
    </row>
    <row r="3226" spans="1:7" x14ac:dyDescent="0.25">
      <c r="A3226" s="14" t="s">
        <v>2716</v>
      </c>
      <c r="B3226" s="14">
        <v>2</v>
      </c>
      <c r="C3226" s="15" t="s">
        <v>2720</v>
      </c>
      <c r="D3226" s="14" t="s">
        <v>1745</v>
      </c>
      <c r="E3226" s="14" t="s">
        <v>1747</v>
      </c>
      <c r="F3226" s="25">
        <v>74880</v>
      </c>
      <c r="G3226" s="25">
        <v>59904</v>
      </c>
    </row>
    <row r="3227" spans="1:7" ht="30" x14ac:dyDescent="0.25">
      <c r="A3227" s="14" t="s">
        <v>2716</v>
      </c>
      <c r="B3227" s="14" t="s">
        <v>29</v>
      </c>
      <c r="C3227" s="15" t="s">
        <v>2721</v>
      </c>
      <c r="D3227" s="14" t="s">
        <v>1749</v>
      </c>
      <c r="E3227" s="14" t="s">
        <v>1746</v>
      </c>
      <c r="F3227" s="25">
        <v>1500</v>
      </c>
      <c r="G3227" s="25">
        <v>1200</v>
      </c>
    </row>
    <row r="3228" spans="1:7" ht="30" x14ac:dyDescent="0.25">
      <c r="A3228" s="14" t="s">
        <v>2716</v>
      </c>
      <c r="B3228" s="14">
        <v>1</v>
      </c>
      <c r="C3228" s="15" t="s">
        <v>2726</v>
      </c>
      <c r="D3228" s="14" t="s">
        <v>1745</v>
      </c>
      <c r="E3228" s="14" t="s">
        <v>1746</v>
      </c>
      <c r="F3228" s="25">
        <v>39312</v>
      </c>
      <c r="G3228" s="25">
        <v>31449.599999999999</v>
      </c>
    </row>
    <row r="3229" spans="1:7" ht="30" x14ac:dyDescent="0.25">
      <c r="A3229" s="14" t="s">
        <v>2716</v>
      </c>
      <c r="B3229" s="14" t="s">
        <v>28</v>
      </c>
      <c r="C3229" s="15" t="s">
        <v>2725</v>
      </c>
      <c r="D3229" s="14" t="s">
        <v>1749</v>
      </c>
      <c r="E3229" s="14" t="s">
        <v>1746</v>
      </c>
      <c r="F3229" s="25">
        <v>996</v>
      </c>
      <c r="G3229" s="25">
        <v>796.8</v>
      </c>
    </row>
    <row r="3230" spans="1:7" ht="30" x14ac:dyDescent="0.25">
      <c r="A3230" s="14" t="s">
        <v>2729</v>
      </c>
      <c r="B3230" s="14">
        <v>2</v>
      </c>
      <c r="C3230" s="15" t="s">
        <v>2730</v>
      </c>
      <c r="D3230" s="14" t="s">
        <v>1749</v>
      </c>
      <c r="E3230" s="14" t="s">
        <v>1746</v>
      </c>
      <c r="F3230" s="25">
        <v>4992</v>
      </c>
      <c r="G3230" s="25">
        <v>3993.6</v>
      </c>
    </row>
    <row r="3231" spans="1:7" ht="30" x14ac:dyDescent="0.25">
      <c r="A3231" s="14" t="s">
        <v>2729</v>
      </c>
      <c r="B3231" s="14" t="s">
        <v>195</v>
      </c>
      <c r="C3231" s="15" t="s">
        <v>2731</v>
      </c>
      <c r="D3231" s="14" t="s">
        <v>1745</v>
      </c>
      <c r="E3231" s="14" t="s">
        <v>1747</v>
      </c>
      <c r="F3231" s="25">
        <v>12480</v>
      </c>
      <c r="G3231" s="25">
        <v>11232</v>
      </c>
    </row>
    <row r="3232" spans="1:7" ht="30" x14ac:dyDescent="0.25">
      <c r="A3232" s="14" t="s">
        <v>2729</v>
      </c>
      <c r="B3232" s="14" t="s">
        <v>28</v>
      </c>
      <c r="C3232" s="15" t="s">
        <v>2732</v>
      </c>
      <c r="D3232" s="14" t="s">
        <v>1745</v>
      </c>
      <c r="E3232" s="14" t="s">
        <v>1746</v>
      </c>
      <c r="F3232" s="25">
        <v>43218</v>
      </c>
      <c r="G3232" s="25">
        <v>34574.400000000001</v>
      </c>
    </row>
    <row r="3233" spans="1:7" ht="30" x14ac:dyDescent="0.25">
      <c r="A3233" s="14" t="s">
        <v>2729</v>
      </c>
      <c r="B3233" s="14" t="s">
        <v>46</v>
      </c>
      <c r="C3233" s="15" t="s">
        <v>2733</v>
      </c>
      <c r="D3233" s="14" t="s">
        <v>1745</v>
      </c>
      <c r="E3233" s="14" t="s">
        <v>1746</v>
      </c>
      <c r="F3233" s="25">
        <v>83853</v>
      </c>
      <c r="G3233" s="25">
        <v>67082.399999999994</v>
      </c>
    </row>
    <row r="3234" spans="1:7" ht="30" x14ac:dyDescent="0.25">
      <c r="A3234" s="14" t="s">
        <v>2729</v>
      </c>
      <c r="B3234" s="14" t="s">
        <v>32</v>
      </c>
      <c r="C3234" s="15" t="s">
        <v>2734</v>
      </c>
      <c r="D3234" s="14" t="s">
        <v>1745</v>
      </c>
      <c r="E3234" s="14" t="s">
        <v>1746</v>
      </c>
      <c r="F3234" s="25">
        <v>28854</v>
      </c>
      <c r="G3234" s="25">
        <v>23083.200000000001</v>
      </c>
    </row>
    <row r="3235" spans="1:7" ht="30" x14ac:dyDescent="0.25">
      <c r="A3235" s="14" t="s">
        <v>2729</v>
      </c>
      <c r="B3235" s="14" t="s">
        <v>650</v>
      </c>
      <c r="C3235" s="15" t="s">
        <v>2735</v>
      </c>
      <c r="D3235" s="14" t="s">
        <v>1749</v>
      </c>
      <c r="E3235" s="14" t="s">
        <v>1746</v>
      </c>
      <c r="F3235" s="25">
        <v>1872</v>
      </c>
      <c r="G3235" s="25">
        <v>1684.8</v>
      </c>
    </row>
    <row r="3236" spans="1:7" ht="30" x14ac:dyDescent="0.25">
      <c r="A3236" s="14" t="s">
        <v>2729</v>
      </c>
      <c r="B3236" s="14" t="s">
        <v>39</v>
      </c>
      <c r="C3236" s="15" t="s">
        <v>2736</v>
      </c>
      <c r="D3236" s="14" t="s">
        <v>1745</v>
      </c>
      <c r="E3236" s="14" t="s">
        <v>1746</v>
      </c>
      <c r="F3236" s="25">
        <v>31437</v>
      </c>
      <c r="G3236" s="25">
        <v>25149.599999999999</v>
      </c>
    </row>
    <row r="3237" spans="1:7" x14ac:dyDescent="0.25">
      <c r="A3237" s="14" t="s">
        <v>2729</v>
      </c>
      <c r="B3237" s="14">
        <v>3</v>
      </c>
      <c r="C3237" s="15" t="s">
        <v>2737</v>
      </c>
      <c r="D3237" s="14" t="s">
        <v>1745</v>
      </c>
      <c r="E3237" s="14" t="s">
        <v>1746</v>
      </c>
      <c r="F3237" s="25">
        <v>209664</v>
      </c>
      <c r="G3237" s="25">
        <v>167731.20000000001</v>
      </c>
    </row>
    <row r="3238" spans="1:7" ht="30" x14ac:dyDescent="0.25">
      <c r="A3238" s="14" t="s">
        <v>2729</v>
      </c>
      <c r="B3238" s="14" t="s">
        <v>89</v>
      </c>
      <c r="C3238" s="15" t="s">
        <v>2738</v>
      </c>
      <c r="D3238" s="14" t="s">
        <v>1745</v>
      </c>
      <c r="E3238" s="14" t="s">
        <v>1747</v>
      </c>
      <c r="F3238" s="25">
        <v>109800</v>
      </c>
      <c r="G3238" s="25">
        <v>87840</v>
      </c>
    </row>
    <row r="3239" spans="1:7" ht="30" x14ac:dyDescent="0.25">
      <c r="A3239" s="14" t="s">
        <v>2729</v>
      </c>
      <c r="B3239" s="14">
        <v>1</v>
      </c>
      <c r="C3239" s="15" t="s">
        <v>2739</v>
      </c>
      <c r="D3239" s="14" t="s">
        <v>1745</v>
      </c>
      <c r="E3239" s="14" t="s">
        <v>1746</v>
      </c>
      <c r="F3239" s="25">
        <v>78624</v>
      </c>
      <c r="G3239" s="25">
        <v>62899.199999999997</v>
      </c>
    </row>
    <row r="3240" spans="1:7" ht="30" x14ac:dyDescent="0.25">
      <c r="A3240" s="14" t="s">
        <v>2729</v>
      </c>
      <c r="B3240" s="14">
        <v>2</v>
      </c>
      <c r="C3240" s="15" t="s">
        <v>2730</v>
      </c>
      <c r="D3240" s="14" t="s">
        <v>1745</v>
      </c>
      <c r="E3240" s="14" t="s">
        <v>1747</v>
      </c>
      <c r="F3240" s="25">
        <v>49920</v>
      </c>
      <c r="G3240" s="25">
        <v>39936</v>
      </c>
    </row>
    <row r="3241" spans="1:7" ht="30" x14ac:dyDescent="0.25">
      <c r="A3241" s="14" t="s">
        <v>2729</v>
      </c>
      <c r="B3241" s="14" t="s">
        <v>89</v>
      </c>
      <c r="C3241" s="15" t="s">
        <v>2738</v>
      </c>
      <c r="D3241" s="14" t="s">
        <v>1749</v>
      </c>
      <c r="E3241" s="14" t="s">
        <v>1746</v>
      </c>
      <c r="F3241" s="25">
        <v>10980</v>
      </c>
      <c r="G3241" s="25">
        <v>8784</v>
      </c>
    </row>
    <row r="3242" spans="1:7" ht="30" x14ac:dyDescent="0.25">
      <c r="A3242" s="14" t="s">
        <v>2729</v>
      </c>
      <c r="B3242" s="14">
        <v>1</v>
      </c>
      <c r="C3242" s="15" t="s">
        <v>2739</v>
      </c>
      <c r="D3242" s="14" t="s">
        <v>1745</v>
      </c>
      <c r="E3242" s="14" t="s">
        <v>1747</v>
      </c>
      <c r="F3242" s="25">
        <v>74880</v>
      </c>
      <c r="G3242" s="25">
        <v>59904</v>
      </c>
    </row>
    <row r="3243" spans="1:7" ht="30" x14ac:dyDescent="0.25">
      <c r="A3243" s="14" t="s">
        <v>2729</v>
      </c>
      <c r="B3243" s="14" t="s">
        <v>55</v>
      </c>
      <c r="C3243" s="15" t="s">
        <v>2740</v>
      </c>
      <c r="D3243" s="14" t="s">
        <v>1745</v>
      </c>
      <c r="E3243" s="14" t="s">
        <v>1747</v>
      </c>
      <c r="F3243" s="25">
        <v>19980</v>
      </c>
      <c r="G3243" s="25">
        <v>15984</v>
      </c>
    </row>
    <row r="3244" spans="1:7" ht="30" x14ac:dyDescent="0.25">
      <c r="A3244" s="14" t="s">
        <v>2729</v>
      </c>
      <c r="B3244" s="14" t="s">
        <v>32</v>
      </c>
      <c r="C3244" s="15" t="s">
        <v>2734</v>
      </c>
      <c r="D3244" s="14" t="s">
        <v>1749</v>
      </c>
      <c r="E3244" s="14" t="s">
        <v>1746</v>
      </c>
      <c r="F3244" s="25">
        <v>2748</v>
      </c>
      <c r="G3244" s="25">
        <v>2198.4</v>
      </c>
    </row>
    <row r="3245" spans="1:7" ht="30" x14ac:dyDescent="0.25">
      <c r="A3245" s="14" t="s">
        <v>2729</v>
      </c>
      <c r="B3245" s="14" t="s">
        <v>50</v>
      </c>
      <c r="C3245" s="15" t="s">
        <v>2741</v>
      </c>
      <c r="D3245" s="14" t="s">
        <v>1745</v>
      </c>
      <c r="E3245" s="14" t="s">
        <v>1746</v>
      </c>
      <c r="F3245" s="25">
        <v>52416</v>
      </c>
      <c r="G3245" s="25">
        <v>47174.400000000001</v>
      </c>
    </row>
    <row r="3246" spans="1:7" ht="30" x14ac:dyDescent="0.25">
      <c r="A3246" s="14" t="s">
        <v>2729</v>
      </c>
      <c r="B3246" s="14" t="s">
        <v>50</v>
      </c>
      <c r="C3246" s="15" t="s">
        <v>2741</v>
      </c>
      <c r="D3246" s="14" t="s">
        <v>1745</v>
      </c>
      <c r="E3246" s="14" t="s">
        <v>1747</v>
      </c>
      <c r="F3246" s="25">
        <v>49920</v>
      </c>
      <c r="G3246" s="25">
        <v>44928</v>
      </c>
    </row>
    <row r="3247" spans="1:7" ht="30" x14ac:dyDescent="0.25">
      <c r="A3247" s="14" t="s">
        <v>2729</v>
      </c>
      <c r="B3247" s="14" t="s">
        <v>89</v>
      </c>
      <c r="C3247" s="15" t="s">
        <v>2738</v>
      </c>
      <c r="D3247" s="14" t="s">
        <v>1745</v>
      </c>
      <c r="E3247" s="14" t="s">
        <v>1746</v>
      </c>
      <c r="F3247" s="25">
        <v>115290</v>
      </c>
      <c r="G3247" s="25">
        <v>92232</v>
      </c>
    </row>
    <row r="3248" spans="1:7" ht="30" x14ac:dyDescent="0.25">
      <c r="A3248" s="14" t="s">
        <v>2729</v>
      </c>
      <c r="B3248" s="14" t="s">
        <v>39</v>
      </c>
      <c r="C3248" s="15" t="s">
        <v>2736</v>
      </c>
      <c r="D3248" s="14" t="s">
        <v>1745</v>
      </c>
      <c r="E3248" s="14" t="s">
        <v>1747</v>
      </c>
      <c r="F3248" s="25">
        <v>29940</v>
      </c>
      <c r="G3248" s="25">
        <v>23952</v>
      </c>
    </row>
    <row r="3249" spans="1:7" ht="30" x14ac:dyDescent="0.25">
      <c r="A3249" s="14" t="s">
        <v>2729</v>
      </c>
      <c r="B3249" s="14" t="s">
        <v>39</v>
      </c>
      <c r="C3249" s="15" t="s">
        <v>2736</v>
      </c>
      <c r="D3249" s="14" t="s">
        <v>1749</v>
      </c>
      <c r="E3249" s="14" t="s">
        <v>1746</v>
      </c>
      <c r="F3249" s="25">
        <v>2994</v>
      </c>
      <c r="G3249" s="25">
        <v>2395.1999999999998</v>
      </c>
    </row>
    <row r="3250" spans="1:7" ht="30" x14ac:dyDescent="0.25">
      <c r="A3250" s="14" t="s">
        <v>2729</v>
      </c>
      <c r="B3250" s="14" t="s">
        <v>46</v>
      </c>
      <c r="C3250" s="15" t="s">
        <v>2733</v>
      </c>
      <c r="D3250" s="14" t="s">
        <v>1745</v>
      </c>
      <c r="E3250" s="14" t="s">
        <v>1747</v>
      </c>
      <c r="F3250" s="25">
        <v>79860</v>
      </c>
      <c r="G3250" s="25">
        <v>63888</v>
      </c>
    </row>
    <row r="3251" spans="1:7" ht="30" x14ac:dyDescent="0.25">
      <c r="A3251" s="14" t="s">
        <v>2729</v>
      </c>
      <c r="B3251" s="14" t="s">
        <v>55</v>
      </c>
      <c r="C3251" s="15" t="s">
        <v>2740</v>
      </c>
      <c r="D3251" s="14" t="s">
        <v>1745</v>
      </c>
      <c r="E3251" s="14" t="s">
        <v>1746</v>
      </c>
      <c r="F3251" s="25">
        <v>20979</v>
      </c>
      <c r="G3251" s="25">
        <v>16783.2</v>
      </c>
    </row>
    <row r="3252" spans="1:7" ht="30" x14ac:dyDescent="0.25">
      <c r="A3252" s="14" t="s">
        <v>2729</v>
      </c>
      <c r="B3252" s="14" t="s">
        <v>650</v>
      </c>
      <c r="C3252" s="15" t="s">
        <v>2735</v>
      </c>
      <c r="D3252" s="14" t="s">
        <v>1745</v>
      </c>
      <c r="E3252" s="14" t="s">
        <v>1746</v>
      </c>
      <c r="F3252" s="25">
        <v>19656</v>
      </c>
      <c r="G3252" s="25">
        <v>17690.400000000001</v>
      </c>
    </row>
    <row r="3253" spans="1:7" ht="30" x14ac:dyDescent="0.25">
      <c r="A3253" s="14" t="s">
        <v>2729</v>
      </c>
      <c r="B3253" s="14">
        <v>2</v>
      </c>
      <c r="C3253" s="15" t="s">
        <v>2730</v>
      </c>
      <c r="D3253" s="14" t="s">
        <v>1745</v>
      </c>
      <c r="E3253" s="14" t="s">
        <v>1746</v>
      </c>
      <c r="F3253" s="25">
        <v>52416</v>
      </c>
      <c r="G3253" s="25">
        <v>41932.800000000003</v>
      </c>
    </row>
    <row r="3254" spans="1:7" ht="30" x14ac:dyDescent="0.25">
      <c r="A3254" s="14" t="s">
        <v>2729</v>
      </c>
      <c r="B3254" s="14" t="s">
        <v>46</v>
      </c>
      <c r="C3254" s="15" t="s">
        <v>2733</v>
      </c>
      <c r="D3254" s="14" t="s">
        <v>1749</v>
      </c>
      <c r="E3254" s="14" t="s">
        <v>1746</v>
      </c>
      <c r="F3254" s="25">
        <v>7986</v>
      </c>
      <c r="G3254" s="25">
        <v>6388.8</v>
      </c>
    </row>
    <row r="3255" spans="1:7" ht="30" x14ac:dyDescent="0.25">
      <c r="A3255" s="14" t="s">
        <v>2729</v>
      </c>
      <c r="B3255" s="14" t="s">
        <v>28</v>
      </c>
      <c r="C3255" s="15" t="s">
        <v>2732</v>
      </c>
      <c r="D3255" s="14" t="s">
        <v>1745</v>
      </c>
      <c r="E3255" s="14" t="s">
        <v>1747</v>
      </c>
      <c r="F3255" s="25">
        <v>41160</v>
      </c>
      <c r="G3255" s="25">
        <v>32928</v>
      </c>
    </row>
    <row r="3256" spans="1:7" ht="30" x14ac:dyDescent="0.25">
      <c r="A3256" s="14" t="s">
        <v>2729</v>
      </c>
      <c r="B3256" s="14" t="s">
        <v>195</v>
      </c>
      <c r="C3256" s="15" t="s">
        <v>2731</v>
      </c>
      <c r="D3256" s="14" t="s">
        <v>1745</v>
      </c>
      <c r="E3256" s="14" t="s">
        <v>1746</v>
      </c>
      <c r="F3256" s="25">
        <v>13104</v>
      </c>
      <c r="G3256" s="25">
        <v>11793.6</v>
      </c>
    </row>
    <row r="3257" spans="1:7" ht="30" x14ac:dyDescent="0.25">
      <c r="A3257" s="14" t="s">
        <v>2729</v>
      </c>
      <c r="B3257" s="14">
        <v>1</v>
      </c>
      <c r="C3257" s="15" t="s">
        <v>2739</v>
      </c>
      <c r="D3257" s="14" t="s">
        <v>1749</v>
      </c>
      <c r="E3257" s="14" t="s">
        <v>1746</v>
      </c>
      <c r="F3257" s="25">
        <v>7488</v>
      </c>
      <c r="G3257" s="25">
        <v>5990.4</v>
      </c>
    </row>
    <row r="3258" spans="1:7" ht="30" x14ac:dyDescent="0.25">
      <c r="A3258" s="14" t="s">
        <v>2729</v>
      </c>
      <c r="B3258" s="14" t="s">
        <v>195</v>
      </c>
      <c r="C3258" s="15" t="s">
        <v>2731</v>
      </c>
      <c r="D3258" s="14" t="s">
        <v>1749</v>
      </c>
      <c r="E3258" s="14" t="s">
        <v>1746</v>
      </c>
      <c r="F3258" s="25">
        <v>1248</v>
      </c>
      <c r="G3258" s="25">
        <v>1123.2</v>
      </c>
    </row>
    <row r="3259" spans="1:7" ht="30" x14ac:dyDescent="0.25">
      <c r="A3259" s="14" t="s">
        <v>2729</v>
      </c>
      <c r="B3259" s="14" t="s">
        <v>28</v>
      </c>
      <c r="C3259" s="15" t="s">
        <v>2732</v>
      </c>
      <c r="D3259" s="14" t="s">
        <v>1749</v>
      </c>
      <c r="E3259" s="14" t="s">
        <v>1746</v>
      </c>
      <c r="F3259" s="25">
        <v>4116</v>
      </c>
      <c r="G3259" s="25">
        <v>3292.8</v>
      </c>
    </row>
    <row r="3260" spans="1:7" x14ac:dyDescent="0.25">
      <c r="A3260" s="14" t="s">
        <v>2729</v>
      </c>
      <c r="B3260" s="14">
        <v>3</v>
      </c>
      <c r="C3260" s="15" t="s">
        <v>2737</v>
      </c>
      <c r="D3260" s="14" t="s">
        <v>1749</v>
      </c>
      <c r="E3260" s="14" t="s">
        <v>1746</v>
      </c>
      <c r="F3260" s="25">
        <v>19968</v>
      </c>
      <c r="G3260" s="25">
        <v>15974.4</v>
      </c>
    </row>
    <row r="3261" spans="1:7" x14ac:dyDescent="0.25">
      <c r="A3261" s="14" t="s">
        <v>2729</v>
      </c>
      <c r="B3261" s="14">
        <v>3</v>
      </c>
      <c r="C3261" s="15" t="s">
        <v>2737</v>
      </c>
      <c r="D3261" s="14" t="s">
        <v>1745</v>
      </c>
      <c r="E3261" s="14" t="s">
        <v>1747</v>
      </c>
      <c r="F3261" s="25">
        <v>199680</v>
      </c>
      <c r="G3261" s="25">
        <v>159744</v>
      </c>
    </row>
    <row r="3262" spans="1:7" ht="30" x14ac:dyDescent="0.25">
      <c r="A3262" s="14" t="s">
        <v>2729</v>
      </c>
      <c r="B3262" s="14" t="s">
        <v>50</v>
      </c>
      <c r="C3262" s="15" t="s">
        <v>2741</v>
      </c>
      <c r="D3262" s="14" t="s">
        <v>1749</v>
      </c>
      <c r="E3262" s="14" t="s">
        <v>1746</v>
      </c>
      <c r="F3262" s="25">
        <v>4992</v>
      </c>
      <c r="G3262" s="25">
        <v>4492.8</v>
      </c>
    </row>
    <row r="3263" spans="1:7" ht="30" x14ac:dyDescent="0.25">
      <c r="A3263" s="14" t="s">
        <v>2729</v>
      </c>
      <c r="B3263" s="14" t="s">
        <v>32</v>
      </c>
      <c r="C3263" s="15" t="s">
        <v>2734</v>
      </c>
      <c r="D3263" s="14" t="s">
        <v>1745</v>
      </c>
      <c r="E3263" s="14" t="s">
        <v>1747</v>
      </c>
      <c r="F3263" s="25">
        <v>27480</v>
      </c>
      <c r="G3263" s="25">
        <v>21984</v>
      </c>
    </row>
    <row r="3264" spans="1:7" ht="30" x14ac:dyDescent="0.25">
      <c r="A3264" s="14" t="s">
        <v>2729</v>
      </c>
      <c r="B3264" s="14" t="s">
        <v>650</v>
      </c>
      <c r="C3264" s="15" t="s">
        <v>2735</v>
      </c>
      <c r="D3264" s="14" t="s">
        <v>1745</v>
      </c>
      <c r="E3264" s="14" t="s">
        <v>1747</v>
      </c>
      <c r="F3264" s="25">
        <v>18720</v>
      </c>
      <c r="G3264" s="25">
        <v>16848</v>
      </c>
    </row>
    <row r="3265" spans="1:7" ht="30" x14ac:dyDescent="0.25">
      <c r="A3265" s="14" t="s">
        <v>2729</v>
      </c>
      <c r="B3265" s="14" t="s">
        <v>55</v>
      </c>
      <c r="C3265" s="15" t="s">
        <v>2740</v>
      </c>
      <c r="D3265" s="14" t="s">
        <v>1749</v>
      </c>
      <c r="E3265" s="14" t="s">
        <v>1746</v>
      </c>
      <c r="F3265" s="25">
        <v>1998</v>
      </c>
      <c r="G3265" s="25">
        <v>1598.4</v>
      </c>
    </row>
    <row r="3266" spans="1:7" x14ac:dyDescent="0.25">
      <c r="A3266" s="14" t="s">
        <v>1272</v>
      </c>
      <c r="B3266" s="14" t="s">
        <v>317</v>
      </c>
      <c r="C3266" s="15" t="s">
        <v>2742</v>
      </c>
      <c r="D3266" s="14" t="s">
        <v>1745</v>
      </c>
      <c r="E3266" s="14" t="s">
        <v>1746</v>
      </c>
      <c r="F3266" s="25">
        <v>5229</v>
      </c>
      <c r="G3266" s="25">
        <v>4183.2</v>
      </c>
    </row>
    <row r="3267" spans="1:7" x14ac:dyDescent="0.25">
      <c r="A3267" s="14" t="s">
        <v>1272</v>
      </c>
      <c r="B3267" s="14" t="s">
        <v>24</v>
      </c>
      <c r="C3267" s="15" t="s">
        <v>2743</v>
      </c>
      <c r="D3267" s="14" t="s">
        <v>1745</v>
      </c>
      <c r="E3267" s="14" t="s">
        <v>1746</v>
      </c>
      <c r="F3267" s="25">
        <v>5229</v>
      </c>
      <c r="G3267" s="25">
        <v>4183.2</v>
      </c>
    </row>
    <row r="3268" spans="1:7" x14ac:dyDescent="0.25">
      <c r="A3268" s="14" t="s">
        <v>1272</v>
      </c>
      <c r="B3268" s="14" t="s">
        <v>317</v>
      </c>
      <c r="C3268" s="15" t="s">
        <v>2742</v>
      </c>
      <c r="D3268" s="14" t="s">
        <v>1745</v>
      </c>
      <c r="E3268" s="14" t="s">
        <v>1747</v>
      </c>
      <c r="F3268" s="25">
        <v>4980</v>
      </c>
      <c r="G3268" s="25">
        <v>3984</v>
      </c>
    </row>
    <row r="3269" spans="1:7" x14ac:dyDescent="0.25">
      <c r="A3269" s="14" t="s">
        <v>1272</v>
      </c>
      <c r="B3269" s="14" t="s">
        <v>24</v>
      </c>
      <c r="C3269" s="15" t="s">
        <v>2743</v>
      </c>
      <c r="D3269" s="14" t="s">
        <v>1749</v>
      </c>
      <c r="E3269" s="14" t="s">
        <v>1746</v>
      </c>
      <c r="F3269" s="25">
        <v>498</v>
      </c>
      <c r="G3269" s="25">
        <v>398.4</v>
      </c>
    </row>
    <row r="3270" spans="1:7" x14ac:dyDescent="0.25">
      <c r="A3270" s="14" t="s">
        <v>1272</v>
      </c>
      <c r="B3270" s="14" t="s">
        <v>608</v>
      </c>
      <c r="C3270" s="15" t="s">
        <v>2744</v>
      </c>
      <c r="D3270" s="14" t="s">
        <v>1745</v>
      </c>
      <c r="E3270" s="14" t="s">
        <v>1747</v>
      </c>
      <c r="F3270" s="25">
        <v>1980</v>
      </c>
      <c r="G3270" s="25">
        <v>1782</v>
      </c>
    </row>
    <row r="3271" spans="1:7" x14ac:dyDescent="0.25">
      <c r="A3271" s="14" t="s">
        <v>1272</v>
      </c>
      <c r="B3271" s="14" t="s">
        <v>24</v>
      </c>
      <c r="C3271" s="15" t="s">
        <v>2743</v>
      </c>
      <c r="D3271" s="14" t="s">
        <v>1745</v>
      </c>
      <c r="E3271" s="14" t="s">
        <v>1747</v>
      </c>
      <c r="F3271" s="25">
        <v>4980</v>
      </c>
      <c r="G3271" s="25">
        <v>3984</v>
      </c>
    </row>
    <row r="3272" spans="1:7" x14ac:dyDescent="0.25">
      <c r="A3272" s="14" t="s">
        <v>1272</v>
      </c>
      <c r="B3272" s="14" t="s">
        <v>608</v>
      </c>
      <c r="C3272" s="15" t="s">
        <v>2744</v>
      </c>
      <c r="D3272" s="14" t="s">
        <v>1745</v>
      </c>
      <c r="E3272" s="14" t="s">
        <v>1746</v>
      </c>
      <c r="F3272" s="25">
        <v>2079</v>
      </c>
      <c r="G3272" s="25">
        <v>1871.16</v>
      </c>
    </row>
    <row r="3273" spans="1:7" x14ac:dyDescent="0.25">
      <c r="A3273" s="14" t="s">
        <v>1272</v>
      </c>
      <c r="B3273" s="14" t="s">
        <v>608</v>
      </c>
      <c r="C3273" s="15" t="s">
        <v>2744</v>
      </c>
      <c r="D3273" s="14" t="s">
        <v>1749</v>
      </c>
      <c r="E3273" s="14" t="s">
        <v>1746</v>
      </c>
      <c r="F3273" s="25">
        <v>198</v>
      </c>
      <c r="G3273" s="25">
        <v>178.2</v>
      </c>
    </row>
    <row r="3274" spans="1:7" x14ac:dyDescent="0.25">
      <c r="A3274" s="14" t="s">
        <v>1272</v>
      </c>
      <c r="B3274" s="14" t="s">
        <v>317</v>
      </c>
      <c r="C3274" s="15" t="s">
        <v>2742</v>
      </c>
      <c r="D3274" s="14" t="s">
        <v>1749</v>
      </c>
      <c r="E3274" s="14" t="s">
        <v>1746</v>
      </c>
      <c r="F3274" s="25">
        <v>498</v>
      </c>
      <c r="G3274" s="25">
        <v>398.4</v>
      </c>
    </row>
    <row r="3275" spans="1:7" x14ac:dyDescent="0.25">
      <c r="A3275" s="14" t="s">
        <v>2745</v>
      </c>
      <c r="B3275" s="14">
        <v>4</v>
      </c>
      <c r="C3275" s="15" t="s">
        <v>2746</v>
      </c>
      <c r="D3275" s="14" t="s">
        <v>1745</v>
      </c>
      <c r="E3275" s="14" t="s">
        <v>1747</v>
      </c>
      <c r="F3275" s="25">
        <v>3600</v>
      </c>
      <c r="G3275" s="25">
        <v>3600</v>
      </c>
    </row>
    <row r="3276" spans="1:7" x14ac:dyDescent="0.25">
      <c r="A3276" s="14" t="s">
        <v>2745</v>
      </c>
      <c r="B3276" s="14">
        <v>3</v>
      </c>
      <c r="C3276" s="15" t="s">
        <v>2747</v>
      </c>
      <c r="D3276" s="14" t="s">
        <v>1745</v>
      </c>
      <c r="E3276" s="14" t="s">
        <v>1746</v>
      </c>
      <c r="F3276" s="25">
        <v>5166</v>
      </c>
      <c r="G3276" s="25">
        <v>5166</v>
      </c>
    </row>
    <row r="3277" spans="1:7" x14ac:dyDescent="0.25">
      <c r="A3277" s="14" t="s">
        <v>2745</v>
      </c>
      <c r="B3277" s="14">
        <v>4</v>
      </c>
      <c r="C3277" s="15" t="s">
        <v>2746</v>
      </c>
      <c r="D3277" s="14" t="s">
        <v>1749</v>
      </c>
      <c r="E3277" s="14" t="s">
        <v>1746</v>
      </c>
      <c r="F3277" s="25">
        <v>360</v>
      </c>
      <c r="G3277" s="25">
        <v>360</v>
      </c>
    </row>
    <row r="3278" spans="1:7" x14ac:dyDescent="0.25">
      <c r="A3278" s="14" t="s">
        <v>2745</v>
      </c>
      <c r="B3278" s="14">
        <v>3</v>
      </c>
      <c r="C3278" s="15" t="s">
        <v>2747</v>
      </c>
      <c r="D3278" s="14" t="s">
        <v>1749</v>
      </c>
      <c r="E3278" s="14" t="s">
        <v>1746</v>
      </c>
      <c r="F3278" s="25">
        <v>492</v>
      </c>
      <c r="G3278" s="25">
        <v>492</v>
      </c>
    </row>
    <row r="3279" spans="1:7" x14ac:dyDescent="0.25">
      <c r="A3279" s="14" t="s">
        <v>2745</v>
      </c>
      <c r="B3279" s="14">
        <v>1</v>
      </c>
      <c r="C3279" s="15" t="s">
        <v>2748</v>
      </c>
      <c r="D3279" s="14" t="s">
        <v>1745</v>
      </c>
      <c r="E3279" s="14" t="s">
        <v>1747</v>
      </c>
      <c r="F3279" s="25">
        <v>9000</v>
      </c>
      <c r="G3279" s="25">
        <v>9000</v>
      </c>
    </row>
    <row r="3280" spans="1:7" x14ac:dyDescent="0.25">
      <c r="A3280" s="14" t="s">
        <v>2745</v>
      </c>
      <c r="B3280" s="14">
        <v>1</v>
      </c>
      <c r="C3280" s="15" t="s">
        <v>2748</v>
      </c>
      <c r="D3280" s="14" t="s">
        <v>1749</v>
      </c>
      <c r="E3280" s="14" t="s">
        <v>1746</v>
      </c>
      <c r="F3280" s="25">
        <v>900</v>
      </c>
      <c r="G3280" s="25">
        <v>900</v>
      </c>
    </row>
    <row r="3281" spans="1:7" x14ac:dyDescent="0.25">
      <c r="A3281" s="14" t="s">
        <v>2745</v>
      </c>
      <c r="B3281" s="14">
        <v>4</v>
      </c>
      <c r="C3281" s="15" t="s">
        <v>2746</v>
      </c>
      <c r="D3281" s="14" t="s">
        <v>1745</v>
      </c>
      <c r="E3281" s="14" t="s">
        <v>1746</v>
      </c>
      <c r="F3281" s="25">
        <v>3780</v>
      </c>
      <c r="G3281" s="25">
        <v>3780</v>
      </c>
    </row>
    <row r="3282" spans="1:7" x14ac:dyDescent="0.25">
      <c r="A3282" s="14" t="s">
        <v>2745</v>
      </c>
      <c r="B3282" s="14">
        <v>3</v>
      </c>
      <c r="C3282" s="15" t="s">
        <v>2747</v>
      </c>
      <c r="D3282" s="14" t="s">
        <v>1745</v>
      </c>
      <c r="E3282" s="14" t="s">
        <v>1747</v>
      </c>
      <c r="F3282" s="25">
        <v>4920</v>
      </c>
      <c r="G3282" s="25">
        <v>4920</v>
      </c>
    </row>
    <row r="3283" spans="1:7" x14ac:dyDescent="0.25">
      <c r="A3283" s="14" t="s">
        <v>2745</v>
      </c>
      <c r="B3283" s="14">
        <v>1</v>
      </c>
      <c r="C3283" s="15" t="s">
        <v>2748</v>
      </c>
      <c r="D3283" s="14" t="s">
        <v>1745</v>
      </c>
      <c r="E3283" s="14" t="s">
        <v>1746</v>
      </c>
      <c r="F3283" s="25">
        <v>9450</v>
      </c>
      <c r="G3283" s="25">
        <v>9450</v>
      </c>
    </row>
    <row r="3284" spans="1:7" x14ac:dyDescent="0.25">
      <c r="A3284" s="14" t="s">
        <v>2749</v>
      </c>
      <c r="B3284" s="14">
        <v>4</v>
      </c>
      <c r="C3284" s="15" t="s">
        <v>2750</v>
      </c>
      <c r="D3284" s="14" t="s">
        <v>1749</v>
      </c>
      <c r="E3284" s="14" t="s">
        <v>1746</v>
      </c>
      <c r="F3284" s="25">
        <v>1998</v>
      </c>
      <c r="G3284" s="25">
        <v>1598.4</v>
      </c>
    </row>
    <row r="3285" spans="1:7" x14ac:dyDescent="0.25">
      <c r="A3285" s="14" t="s">
        <v>2749</v>
      </c>
      <c r="B3285" s="14">
        <v>4</v>
      </c>
      <c r="C3285" s="15" t="s">
        <v>2750</v>
      </c>
      <c r="D3285" s="14" t="s">
        <v>1745</v>
      </c>
      <c r="E3285" s="14" t="s">
        <v>1747</v>
      </c>
      <c r="F3285" s="25">
        <v>19980</v>
      </c>
      <c r="G3285" s="25">
        <v>15984</v>
      </c>
    </row>
    <row r="3286" spans="1:7" x14ac:dyDescent="0.25">
      <c r="A3286" s="14" t="s">
        <v>1305</v>
      </c>
      <c r="B3286" s="14" t="s">
        <v>20</v>
      </c>
      <c r="C3286" s="15" t="s">
        <v>2751</v>
      </c>
      <c r="D3286" s="14" t="s">
        <v>1745</v>
      </c>
      <c r="E3286" s="14" t="s">
        <v>1746</v>
      </c>
      <c r="F3286" s="25">
        <v>471.24</v>
      </c>
      <c r="G3286" s="25">
        <v>377.04</v>
      </c>
    </row>
    <row r="3287" spans="1:7" x14ac:dyDescent="0.25">
      <c r="A3287" s="14" t="s">
        <v>1305</v>
      </c>
      <c r="B3287" s="14" t="s">
        <v>20</v>
      </c>
      <c r="C3287" s="15" t="s">
        <v>2751</v>
      </c>
      <c r="D3287" s="14" t="s">
        <v>1752</v>
      </c>
      <c r="E3287" s="14" t="s">
        <v>1747</v>
      </c>
      <c r="F3287" s="25">
        <v>1346.4</v>
      </c>
      <c r="G3287" s="25">
        <v>1077.1199999999999</v>
      </c>
    </row>
    <row r="3288" spans="1:7" x14ac:dyDescent="0.25">
      <c r="A3288" s="14" t="s">
        <v>1305</v>
      </c>
      <c r="B3288" s="14" t="s">
        <v>24</v>
      </c>
      <c r="C3288" s="15" t="s">
        <v>2752</v>
      </c>
      <c r="D3288" s="14" t="s">
        <v>1749</v>
      </c>
      <c r="E3288" s="14" t="s">
        <v>1746</v>
      </c>
      <c r="F3288" s="25">
        <v>59.88</v>
      </c>
      <c r="G3288" s="25">
        <v>47.9</v>
      </c>
    </row>
    <row r="3289" spans="1:7" x14ac:dyDescent="0.25">
      <c r="A3289" s="14" t="s">
        <v>1305</v>
      </c>
      <c r="B3289" s="14">
        <v>2</v>
      </c>
      <c r="C3289" s="15" t="s">
        <v>1304</v>
      </c>
      <c r="D3289" s="14" t="s">
        <v>1749</v>
      </c>
      <c r="E3289" s="14" t="s">
        <v>1766</v>
      </c>
      <c r="F3289" s="25">
        <v>0</v>
      </c>
      <c r="G3289" s="25">
        <v>0</v>
      </c>
    </row>
    <row r="3290" spans="1:7" x14ac:dyDescent="0.25">
      <c r="A3290" s="14" t="s">
        <v>1305</v>
      </c>
      <c r="B3290" s="14" t="s">
        <v>34</v>
      </c>
      <c r="C3290" s="15" t="s">
        <v>2753</v>
      </c>
      <c r="D3290" s="14" t="s">
        <v>1745</v>
      </c>
      <c r="E3290" s="14" t="s">
        <v>1746</v>
      </c>
      <c r="F3290" s="25">
        <v>786.24</v>
      </c>
      <c r="G3290" s="25">
        <v>707.64</v>
      </c>
    </row>
    <row r="3291" spans="1:7" x14ac:dyDescent="0.25">
      <c r="A3291" s="14" t="s">
        <v>1305</v>
      </c>
      <c r="B3291" s="14" t="s">
        <v>24</v>
      </c>
      <c r="C3291" s="15" t="s">
        <v>2752</v>
      </c>
      <c r="D3291" s="14" t="s">
        <v>1745</v>
      </c>
      <c r="E3291" s="14" t="s">
        <v>1747</v>
      </c>
      <c r="F3291" s="25">
        <v>598.79999999999995</v>
      </c>
      <c r="G3291" s="25">
        <v>479.04</v>
      </c>
    </row>
    <row r="3292" spans="1:7" x14ac:dyDescent="0.25">
      <c r="A3292" s="14" t="s">
        <v>1305</v>
      </c>
      <c r="B3292" s="14" t="s">
        <v>34</v>
      </c>
      <c r="C3292" s="15" t="s">
        <v>2753</v>
      </c>
      <c r="D3292" s="14" t="s">
        <v>1749</v>
      </c>
      <c r="E3292" s="14" t="s">
        <v>1746</v>
      </c>
      <c r="F3292" s="25">
        <v>74.88</v>
      </c>
      <c r="G3292" s="25">
        <v>67.39</v>
      </c>
    </row>
    <row r="3293" spans="1:7" x14ac:dyDescent="0.25">
      <c r="A3293" s="14" t="s">
        <v>1305</v>
      </c>
      <c r="B3293" s="14" t="s">
        <v>20</v>
      </c>
      <c r="C3293" s="15" t="s">
        <v>2751</v>
      </c>
      <c r="D3293" s="14" t="s">
        <v>1752</v>
      </c>
      <c r="E3293" s="14" t="s">
        <v>1746</v>
      </c>
      <c r="F3293" s="25">
        <v>1413.72</v>
      </c>
      <c r="G3293" s="25">
        <v>1131.1199999999999</v>
      </c>
    </row>
    <row r="3294" spans="1:7" x14ac:dyDescent="0.25">
      <c r="A3294" s="14" t="s">
        <v>1305</v>
      </c>
      <c r="B3294" s="14">
        <v>1</v>
      </c>
      <c r="C3294" s="15" t="s">
        <v>1304</v>
      </c>
      <c r="D3294" s="14" t="s">
        <v>1749</v>
      </c>
      <c r="E3294" s="14" t="s">
        <v>1746</v>
      </c>
      <c r="F3294" s="25">
        <v>300</v>
      </c>
      <c r="G3294" s="25">
        <v>240</v>
      </c>
    </row>
    <row r="3295" spans="1:7" x14ac:dyDescent="0.25">
      <c r="A3295" s="14" t="s">
        <v>1305</v>
      </c>
      <c r="B3295" s="14" t="s">
        <v>20</v>
      </c>
      <c r="C3295" s="15" t="s">
        <v>2751</v>
      </c>
      <c r="D3295" s="14" t="s">
        <v>1749</v>
      </c>
      <c r="E3295" s="14" t="s">
        <v>1746</v>
      </c>
      <c r="F3295" s="25">
        <v>44.88</v>
      </c>
      <c r="G3295" s="25">
        <v>35.9</v>
      </c>
    </row>
    <row r="3296" spans="1:7" x14ac:dyDescent="0.25">
      <c r="A3296" s="14" t="s">
        <v>1305</v>
      </c>
      <c r="B3296" s="14" t="s">
        <v>34</v>
      </c>
      <c r="C3296" s="15" t="s">
        <v>2753</v>
      </c>
      <c r="D3296" s="14" t="s">
        <v>1745</v>
      </c>
      <c r="E3296" s="14" t="s">
        <v>1747</v>
      </c>
      <c r="F3296" s="25">
        <v>748.8</v>
      </c>
      <c r="G3296" s="25">
        <v>673.92</v>
      </c>
    </row>
    <row r="3297" spans="1:7" x14ac:dyDescent="0.25">
      <c r="A3297" s="14" t="s">
        <v>1305</v>
      </c>
      <c r="B3297" s="14" t="s">
        <v>20</v>
      </c>
      <c r="C3297" s="15" t="s">
        <v>2751</v>
      </c>
      <c r="D3297" s="14" t="s">
        <v>1745</v>
      </c>
      <c r="E3297" s="14" t="s">
        <v>1747</v>
      </c>
      <c r="F3297" s="25">
        <v>448.8</v>
      </c>
      <c r="G3297" s="25">
        <v>359.04</v>
      </c>
    </row>
    <row r="3298" spans="1:7" x14ac:dyDescent="0.25">
      <c r="A3298" s="14" t="s">
        <v>1305</v>
      </c>
      <c r="B3298" s="14" t="s">
        <v>24</v>
      </c>
      <c r="C3298" s="15" t="s">
        <v>2752</v>
      </c>
      <c r="D3298" s="14" t="s">
        <v>1752</v>
      </c>
      <c r="E3298" s="14" t="s">
        <v>1747</v>
      </c>
      <c r="F3298" s="25">
        <v>1796.4</v>
      </c>
      <c r="G3298" s="25">
        <v>1437.12</v>
      </c>
    </row>
    <row r="3299" spans="1:7" x14ac:dyDescent="0.25">
      <c r="A3299" s="14" t="s">
        <v>1305</v>
      </c>
      <c r="B3299" s="14" t="s">
        <v>20</v>
      </c>
      <c r="C3299" s="15" t="s">
        <v>2751</v>
      </c>
      <c r="D3299" s="14" t="s">
        <v>1752</v>
      </c>
      <c r="E3299" s="14" t="s">
        <v>1753</v>
      </c>
      <c r="F3299" s="25">
        <v>1346.4</v>
      </c>
      <c r="G3299" s="25">
        <v>1077.1199999999999</v>
      </c>
    </row>
    <row r="3300" spans="1:7" x14ac:dyDescent="0.25">
      <c r="A3300" s="14" t="s">
        <v>1305</v>
      </c>
      <c r="B3300" s="14">
        <v>1</v>
      </c>
      <c r="C3300" s="15" t="s">
        <v>1304</v>
      </c>
      <c r="D3300" s="14" t="s">
        <v>1752</v>
      </c>
      <c r="E3300" s="14" t="s">
        <v>1753</v>
      </c>
      <c r="F3300" s="25">
        <v>9000</v>
      </c>
      <c r="G3300" s="25">
        <v>7200</v>
      </c>
    </row>
    <row r="3301" spans="1:7" x14ac:dyDescent="0.25">
      <c r="A3301" s="14" t="s">
        <v>1305</v>
      </c>
      <c r="B3301" s="14" t="s">
        <v>24</v>
      </c>
      <c r="C3301" s="15" t="s">
        <v>2752</v>
      </c>
      <c r="D3301" s="14" t="s">
        <v>1752</v>
      </c>
      <c r="E3301" s="14" t="s">
        <v>1753</v>
      </c>
      <c r="F3301" s="25">
        <v>1796.4</v>
      </c>
      <c r="G3301" s="25">
        <v>1437.12</v>
      </c>
    </row>
    <row r="3302" spans="1:7" x14ac:dyDescent="0.25">
      <c r="A3302" s="14" t="s">
        <v>1305</v>
      </c>
      <c r="B3302" s="14">
        <v>7</v>
      </c>
      <c r="C3302" s="15" t="s">
        <v>2752</v>
      </c>
      <c r="D3302" s="14" t="s">
        <v>1749</v>
      </c>
      <c r="E3302" s="14" t="s">
        <v>1766</v>
      </c>
      <c r="F3302" s="25">
        <v>0</v>
      </c>
      <c r="G3302" s="25">
        <v>0</v>
      </c>
    </row>
    <row r="3303" spans="1:7" x14ac:dyDescent="0.25">
      <c r="A3303" s="14" t="s">
        <v>1305</v>
      </c>
      <c r="B3303" s="14">
        <v>1</v>
      </c>
      <c r="C3303" s="15" t="s">
        <v>1304</v>
      </c>
      <c r="D3303" s="14" t="s">
        <v>1745</v>
      </c>
      <c r="E3303" s="14" t="s">
        <v>1747</v>
      </c>
      <c r="F3303" s="25">
        <v>3000</v>
      </c>
      <c r="G3303" s="25">
        <v>2400</v>
      </c>
    </row>
    <row r="3304" spans="1:7" x14ac:dyDescent="0.25">
      <c r="A3304" s="14" t="s">
        <v>1305</v>
      </c>
      <c r="B3304" s="14">
        <v>1</v>
      </c>
      <c r="C3304" s="15" t="s">
        <v>1304</v>
      </c>
      <c r="D3304" s="14" t="s">
        <v>1745</v>
      </c>
      <c r="E3304" s="14" t="s">
        <v>1746</v>
      </c>
      <c r="F3304" s="25">
        <v>3150</v>
      </c>
      <c r="G3304" s="25">
        <v>2520</v>
      </c>
    </row>
    <row r="3305" spans="1:7" x14ac:dyDescent="0.25">
      <c r="A3305" s="14" t="s">
        <v>1305</v>
      </c>
      <c r="B3305" s="14">
        <v>9</v>
      </c>
      <c r="C3305" s="15" t="s">
        <v>2751</v>
      </c>
      <c r="D3305" s="14" t="s">
        <v>1749</v>
      </c>
      <c r="E3305" s="14" t="s">
        <v>1766</v>
      </c>
      <c r="F3305" s="25">
        <v>0</v>
      </c>
      <c r="G3305" s="25">
        <v>0</v>
      </c>
    </row>
    <row r="3306" spans="1:7" x14ac:dyDescent="0.25">
      <c r="A3306" s="14" t="s">
        <v>1305</v>
      </c>
      <c r="B3306" s="14">
        <v>1</v>
      </c>
      <c r="C3306" s="15" t="s">
        <v>1304</v>
      </c>
      <c r="D3306" s="14" t="s">
        <v>1752</v>
      </c>
      <c r="E3306" s="14" t="s">
        <v>1747</v>
      </c>
      <c r="F3306" s="25">
        <v>9000</v>
      </c>
      <c r="G3306" s="25">
        <v>7200</v>
      </c>
    </row>
    <row r="3307" spans="1:7" x14ac:dyDescent="0.25">
      <c r="A3307" s="14" t="s">
        <v>1305</v>
      </c>
      <c r="B3307" s="14" t="s">
        <v>24</v>
      </c>
      <c r="C3307" s="15" t="s">
        <v>2752</v>
      </c>
      <c r="D3307" s="14" t="s">
        <v>1752</v>
      </c>
      <c r="E3307" s="14" t="s">
        <v>1746</v>
      </c>
      <c r="F3307" s="25">
        <v>1886.4</v>
      </c>
      <c r="G3307" s="25">
        <v>1509.12</v>
      </c>
    </row>
    <row r="3308" spans="1:7" x14ac:dyDescent="0.25">
      <c r="A3308" s="14" t="s">
        <v>1305</v>
      </c>
      <c r="B3308" s="14" t="s">
        <v>24</v>
      </c>
      <c r="C3308" s="15" t="s">
        <v>2752</v>
      </c>
      <c r="D3308" s="14" t="s">
        <v>1745</v>
      </c>
      <c r="E3308" s="14" t="s">
        <v>1746</v>
      </c>
      <c r="F3308" s="25">
        <v>628.79999999999995</v>
      </c>
      <c r="G3308" s="25">
        <v>503.04</v>
      </c>
    </row>
    <row r="3309" spans="1:7" x14ac:dyDescent="0.25">
      <c r="A3309" s="14" t="s">
        <v>2754</v>
      </c>
      <c r="B3309" s="14">
        <v>9</v>
      </c>
      <c r="C3309" s="15" t="s">
        <v>2755</v>
      </c>
      <c r="D3309" s="14" t="s">
        <v>1749</v>
      </c>
      <c r="E3309" s="14" t="s">
        <v>1746</v>
      </c>
      <c r="F3309" s="25">
        <v>150</v>
      </c>
      <c r="G3309" s="25">
        <v>120</v>
      </c>
    </row>
    <row r="3310" spans="1:7" x14ac:dyDescent="0.25">
      <c r="A3310" s="14" t="s">
        <v>2754</v>
      </c>
      <c r="B3310" s="14">
        <v>1</v>
      </c>
      <c r="C3310" s="15" t="s">
        <v>2756</v>
      </c>
      <c r="D3310" s="14" t="s">
        <v>1745</v>
      </c>
      <c r="E3310" s="14" t="s">
        <v>1747</v>
      </c>
      <c r="F3310" s="25">
        <v>1980</v>
      </c>
      <c r="G3310" s="25">
        <v>1584</v>
      </c>
    </row>
    <row r="3311" spans="1:7" x14ac:dyDescent="0.25">
      <c r="A3311" s="14" t="s">
        <v>2754</v>
      </c>
      <c r="B3311" s="14">
        <v>9</v>
      </c>
      <c r="C3311" s="15" t="s">
        <v>2755</v>
      </c>
      <c r="D3311" s="14" t="s">
        <v>1745</v>
      </c>
      <c r="E3311" s="14" t="s">
        <v>1746</v>
      </c>
      <c r="F3311" s="25">
        <v>1575</v>
      </c>
      <c r="G3311" s="25">
        <v>1260</v>
      </c>
    </row>
    <row r="3312" spans="1:7" x14ac:dyDescent="0.25">
      <c r="A3312" s="14" t="s">
        <v>2754</v>
      </c>
      <c r="B3312" s="14">
        <v>1</v>
      </c>
      <c r="C3312" s="15" t="s">
        <v>2756</v>
      </c>
      <c r="D3312" s="14" t="s">
        <v>1745</v>
      </c>
      <c r="E3312" s="14" t="s">
        <v>1746</v>
      </c>
      <c r="F3312" s="25">
        <v>2079</v>
      </c>
      <c r="G3312" s="25">
        <v>1663.2</v>
      </c>
    </row>
    <row r="3313" spans="1:7" x14ac:dyDescent="0.25">
      <c r="A3313" s="14" t="s">
        <v>2754</v>
      </c>
      <c r="B3313" s="14">
        <v>9</v>
      </c>
      <c r="C3313" s="15" t="s">
        <v>2755</v>
      </c>
      <c r="D3313" s="14" t="s">
        <v>1745</v>
      </c>
      <c r="E3313" s="14" t="s">
        <v>1747</v>
      </c>
      <c r="F3313" s="25">
        <v>1500</v>
      </c>
      <c r="G3313" s="25">
        <v>1200</v>
      </c>
    </row>
    <row r="3314" spans="1:7" x14ac:dyDescent="0.25">
      <c r="A3314" s="14" t="s">
        <v>2754</v>
      </c>
      <c r="B3314" s="14">
        <v>1</v>
      </c>
      <c r="C3314" s="15" t="s">
        <v>2756</v>
      </c>
      <c r="D3314" s="14" t="s">
        <v>1749</v>
      </c>
      <c r="E3314" s="14" t="s">
        <v>1746</v>
      </c>
      <c r="F3314" s="25">
        <v>198</v>
      </c>
      <c r="G3314" s="25">
        <v>158.4</v>
      </c>
    </row>
    <row r="3315" spans="1:7" x14ac:dyDescent="0.25">
      <c r="A3315" s="14" t="s">
        <v>2754</v>
      </c>
      <c r="B3315" s="14" t="s">
        <v>20</v>
      </c>
      <c r="C3315" s="15" t="s">
        <v>2757</v>
      </c>
      <c r="D3315" s="14" t="s">
        <v>1745</v>
      </c>
      <c r="E3315" s="14" t="s">
        <v>1747</v>
      </c>
      <c r="F3315" s="25">
        <v>499.2</v>
      </c>
      <c r="G3315" s="25">
        <v>399.36</v>
      </c>
    </row>
    <row r="3316" spans="1:7" x14ac:dyDescent="0.25">
      <c r="A3316" s="14" t="s">
        <v>2754</v>
      </c>
      <c r="B3316" s="14" t="s">
        <v>20</v>
      </c>
      <c r="C3316" s="15" t="s">
        <v>2757</v>
      </c>
      <c r="D3316" s="14" t="s">
        <v>1745</v>
      </c>
      <c r="E3316" s="14" t="s">
        <v>1746</v>
      </c>
      <c r="F3316" s="25">
        <v>524.16</v>
      </c>
      <c r="G3316" s="25">
        <v>419.28</v>
      </c>
    </row>
    <row r="3317" spans="1:7" x14ac:dyDescent="0.25">
      <c r="A3317" s="14" t="s">
        <v>2754</v>
      </c>
      <c r="B3317" s="14" t="s">
        <v>20</v>
      </c>
      <c r="C3317" s="15" t="s">
        <v>2757</v>
      </c>
      <c r="D3317" s="14" t="s">
        <v>1749</v>
      </c>
      <c r="E3317" s="14" t="s">
        <v>1746</v>
      </c>
      <c r="F3317" s="25">
        <v>49.92</v>
      </c>
      <c r="G3317" s="25">
        <v>39.94</v>
      </c>
    </row>
    <row r="3318" spans="1:7" x14ac:dyDescent="0.25">
      <c r="A3318" s="14" t="s">
        <v>2758</v>
      </c>
      <c r="B3318" s="14">
        <v>1</v>
      </c>
      <c r="C3318" s="15" t="s">
        <v>2759</v>
      </c>
      <c r="D3318" s="14" t="s">
        <v>1745</v>
      </c>
      <c r="E3318" s="14" t="s">
        <v>1747</v>
      </c>
      <c r="F3318" s="25">
        <v>35940</v>
      </c>
      <c r="G3318" s="25">
        <v>28752</v>
      </c>
    </row>
    <row r="3319" spans="1:7" x14ac:dyDescent="0.25">
      <c r="A3319" s="14" t="s">
        <v>2758</v>
      </c>
      <c r="B3319" s="14">
        <v>1</v>
      </c>
      <c r="C3319" s="15" t="s">
        <v>2759</v>
      </c>
      <c r="D3319" s="14" t="s">
        <v>1745</v>
      </c>
      <c r="E3319" s="14" t="s">
        <v>1746</v>
      </c>
      <c r="F3319" s="25">
        <v>37737</v>
      </c>
      <c r="G3319" s="25">
        <v>30189.599999999999</v>
      </c>
    </row>
    <row r="3320" spans="1:7" x14ac:dyDescent="0.25">
      <c r="A3320" s="14" t="s">
        <v>2758</v>
      </c>
      <c r="B3320" s="14">
        <v>1</v>
      </c>
      <c r="C3320" s="15" t="s">
        <v>2759</v>
      </c>
      <c r="D3320" s="14" t="s">
        <v>1749</v>
      </c>
      <c r="E3320" s="14" t="s">
        <v>1746</v>
      </c>
      <c r="F3320" s="25">
        <v>3594</v>
      </c>
      <c r="G3320" s="25">
        <v>2875.2</v>
      </c>
    </row>
    <row r="3321" spans="1:7" x14ac:dyDescent="0.25">
      <c r="A3321" s="14" t="s">
        <v>1342</v>
      </c>
      <c r="B3321" s="14" t="s">
        <v>24</v>
      </c>
      <c r="C3321" s="15" t="s">
        <v>2760</v>
      </c>
      <c r="D3321" s="14" t="s">
        <v>1752</v>
      </c>
      <c r="E3321" s="14" t="s">
        <v>1753</v>
      </c>
      <c r="F3321" s="25">
        <v>31896900</v>
      </c>
      <c r="G3321" s="25">
        <v>25517520</v>
      </c>
    </row>
    <row r="3322" spans="1:7" x14ac:dyDescent="0.25">
      <c r="A3322" s="14" t="s">
        <v>1342</v>
      </c>
      <c r="B3322" s="14" t="s">
        <v>97</v>
      </c>
      <c r="C3322" s="15" t="s">
        <v>2761</v>
      </c>
      <c r="D3322" s="14" t="s">
        <v>1752</v>
      </c>
      <c r="E3322" s="14" t="s">
        <v>1753</v>
      </c>
      <c r="F3322" s="25">
        <v>17011620</v>
      </c>
      <c r="G3322" s="25">
        <v>13609296</v>
      </c>
    </row>
    <row r="3323" spans="1:7" x14ac:dyDescent="0.25">
      <c r="A3323" s="14" t="s">
        <v>1342</v>
      </c>
      <c r="B3323" s="14" t="s">
        <v>173</v>
      </c>
      <c r="C3323" s="15" t="s">
        <v>1354</v>
      </c>
      <c r="D3323" s="14" t="s">
        <v>1752</v>
      </c>
      <c r="E3323" s="14" t="s">
        <v>1747</v>
      </c>
      <c r="F3323" s="25">
        <v>15948360</v>
      </c>
      <c r="G3323" s="25">
        <v>12758688</v>
      </c>
    </row>
    <row r="3324" spans="1:7" x14ac:dyDescent="0.25">
      <c r="A3324" s="14" t="s">
        <v>1342</v>
      </c>
      <c r="B3324" s="14">
        <v>7</v>
      </c>
      <c r="C3324" s="15" t="s">
        <v>2762</v>
      </c>
      <c r="D3324" s="14" t="s">
        <v>1745</v>
      </c>
      <c r="E3324" s="14" t="s">
        <v>1746</v>
      </c>
      <c r="F3324" s="25">
        <v>930321</v>
      </c>
      <c r="G3324" s="25">
        <v>837289</v>
      </c>
    </row>
    <row r="3325" spans="1:7" x14ac:dyDescent="0.25">
      <c r="A3325" s="14" t="s">
        <v>1342</v>
      </c>
      <c r="B3325" s="14" t="s">
        <v>333</v>
      </c>
      <c r="C3325" s="15" t="s">
        <v>2763</v>
      </c>
      <c r="D3325" s="14" t="s">
        <v>1749</v>
      </c>
      <c r="E3325" s="14" t="s">
        <v>1746</v>
      </c>
      <c r="F3325" s="25">
        <v>212646</v>
      </c>
      <c r="G3325" s="25">
        <v>170116.8</v>
      </c>
    </row>
    <row r="3326" spans="1:7" x14ac:dyDescent="0.25">
      <c r="A3326" s="14" t="s">
        <v>1342</v>
      </c>
      <c r="B3326" s="14" t="s">
        <v>89</v>
      </c>
      <c r="C3326" s="15" t="s">
        <v>1341</v>
      </c>
      <c r="D3326" s="14" t="s">
        <v>1749</v>
      </c>
      <c r="E3326" s="14" t="s">
        <v>1746</v>
      </c>
      <c r="F3326" s="25">
        <v>2658072</v>
      </c>
      <c r="G3326" s="25">
        <v>2126458</v>
      </c>
    </row>
    <row r="3327" spans="1:7" x14ac:dyDescent="0.25">
      <c r="A3327" s="14" t="s">
        <v>1342</v>
      </c>
      <c r="B3327" s="14" t="s">
        <v>166</v>
      </c>
      <c r="C3327" s="15" t="s">
        <v>2764</v>
      </c>
      <c r="D3327" s="14" t="s">
        <v>1752</v>
      </c>
      <c r="E3327" s="14" t="s">
        <v>1747</v>
      </c>
      <c r="F3327" s="25">
        <v>7309980</v>
      </c>
      <c r="G3327" s="25">
        <v>6578982</v>
      </c>
    </row>
    <row r="3328" spans="1:7" x14ac:dyDescent="0.25">
      <c r="A3328" s="14" t="s">
        <v>1342</v>
      </c>
      <c r="B3328" s="14" t="s">
        <v>73</v>
      </c>
      <c r="C3328" s="15" t="s">
        <v>1366</v>
      </c>
      <c r="D3328" s="14" t="s">
        <v>1749</v>
      </c>
      <c r="E3328" s="14" t="s">
        <v>1746</v>
      </c>
      <c r="F3328" s="25">
        <v>1417638</v>
      </c>
      <c r="G3328" s="25">
        <v>1134110</v>
      </c>
    </row>
    <row r="3329" spans="1:7" x14ac:dyDescent="0.25">
      <c r="A3329" s="14" t="s">
        <v>1342</v>
      </c>
      <c r="B3329" s="14">
        <v>2</v>
      </c>
      <c r="C3329" s="15" t="s">
        <v>2765</v>
      </c>
      <c r="D3329" s="14" t="s">
        <v>1752</v>
      </c>
      <c r="E3329" s="14" t="s">
        <v>1753</v>
      </c>
      <c r="F3329" s="25">
        <v>24454260</v>
      </c>
      <c r="G3329" s="25">
        <v>19563408</v>
      </c>
    </row>
    <row r="3330" spans="1:7" x14ac:dyDescent="0.25">
      <c r="A3330" s="14" t="s">
        <v>1342</v>
      </c>
      <c r="B3330" s="14">
        <v>3</v>
      </c>
      <c r="C3330" s="15" t="s">
        <v>1350</v>
      </c>
      <c r="D3330" s="14" t="s">
        <v>1749</v>
      </c>
      <c r="E3330" s="14" t="s">
        <v>1746</v>
      </c>
      <c r="F3330" s="25">
        <v>141762</v>
      </c>
      <c r="G3330" s="25">
        <v>113409.60000000001</v>
      </c>
    </row>
    <row r="3331" spans="1:7" x14ac:dyDescent="0.25">
      <c r="A3331" s="14" t="s">
        <v>1342</v>
      </c>
      <c r="B3331" s="14">
        <v>4</v>
      </c>
      <c r="C3331" s="15" t="s">
        <v>1348</v>
      </c>
      <c r="D3331" s="14" t="s">
        <v>1749</v>
      </c>
      <c r="E3331" s="14" t="s">
        <v>1746</v>
      </c>
      <c r="F3331" s="25">
        <v>354408</v>
      </c>
      <c r="G3331" s="25">
        <v>283526.40000000002</v>
      </c>
    </row>
    <row r="3332" spans="1:7" x14ac:dyDescent="0.25">
      <c r="A3332" s="14" t="s">
        <v>1342</v>
      </c>
      <c r="B3332" s="14" t="s">
        <v>120</v>
      </c>
      <c r="C3332" s="15" t="s">
        <v>2766</v>
      </c>
      <c r="D3332" s="14" t="s">
        <v>1752</v>
      </c>
      <c r="E3332" s="14" t="s">
        <v>1753</v>
      </c>
      <c r="F3332" s="25">
        <v>11695500</v>
      </c>
      <c r="G3332" s="25">
        <v>9356400</v>
      </c>
    </row>
    <row r="3333" spans="1:7" x14ac:dyDescent="0.25">
      <c r="A3333" s="14" t="s">
        <v>1342</v>
      </c>
      <c r="B3333" s="14" t="s">
        <v>97</v>
      </c>
      <c r="C3333" s="15" t="s">
        <v>2761</v>
      </c>
      <c r="D3333" s="14" t="s">
        <v>1752</v>
      </c>
      <c r="E3333" s="14" t="s">
        <v>1747</v>
      </c>
      <c r="F3333" s="25">
        <v>17011620</v>
      </c>
      <c r="G3333" s="25">
        <v>13609296</v>
      </c>
    </row>
    <row r="3334" spans="1:7" x14ac:dyDescent="0.25">
      <c r="A3334" s="14" t="s">
        <v>1342</v>
      </c>
      <c r="B3334" s="14" t="s">
        <v>173</v>
      </c>
      <c r="C3334" s="15" t="s">
        <v>1354</v>
      </c>
      <c r="D3334" s="14" t="s">
        <v>1752</v>
      </c>
      <c r="E3334" s="14" t="s">
        <v>1753</v>
      </c>
      <c r="F3334" s="25">
        <v>15948360</v>
      </c>
      <c r="G3334" s="25">
        <v>12758688</v>
      </c>
    </row>
    <row r="3335" spans="1:7" x14ac:dyDescent="0.25">
      <c r="A3335" s="14" t="s">
        <v>1342</v>
      </c>
      <c r="B3335" s="14" t="s">
        <v>297</v>
      </c>
      <c r="C3335" s="15" t="s">
        <v>2767</v>
      </c>
      <c r="D3335" s="14" t="s">
        <v>1752</v>
      </c>
      <c r="E3335" s="14" t="s">
        <v>1753</v>
      </c>
      <c r="F3335" s="25">
        <v>3987180</v>
      </c>
      <c r="G3335" s="25">
        <v>3588462</v>
      </c>
    </row>
    <row r="3336" spans="1:7" x14ac:dyDescent="0.25">
      <c r="A3336" s="14" t="s">
        <v>1342</v>
      </c>
      <c r="B3336" s="14" t="s">
        <v>73</v>
      </c>
      <c r="C3336" s="15" t="s">
        <v>1366</v>
      </c>
      <c r="D3336" s="14" t="s">
        <v>1752</v>
      </c>
      <c r="E3336" s="14" t="s">
        <v>1747</v>
      </c>
      <c r="F3336" s="25">
        <v>42529140</v>
      </c>
      <c r="G3336" s="25">
        <v>34023312</v>
      </c>
    </row>
    <row r="3337" spans="1:7" x14ac:dyDescent="0.25">
      <c r="A3337" s="14" t="s">
        <v>1342</v>
      </c>
      <c r="B3337" s="14" t="s">
        <v>307</v>
      </c>
      <c r="C3337" s="15" t="s">
        <v>1378</v>
      </c>
      <c r="D3337" s="14" t="s">
        <v>1745</v>
      </c>
      <c r="E3337" s="14" t="s">
        <v>1746</v>
      </c>
      <c r="F3337" s="25">
        <v>21398013</v>
      </c>
      <c r="G3337" s="25">
        <v>17118410</v>
      </c>
    </row>
    <row r="3338" spans="1:7" x14ac:dyDescent="0.25">
      <c r="A3338" s="14" t="s">
        <v>1342</v>
      </c>
      <c r="B3338" s="14">
        <v>6</v>
      </c>
      <c r="C3338" s="15" t="s">
        <v>2768</v>
      </c>
      <c r="D3338" s="14" t="s">
        <v>1752</v>
      </c>
      <c r="E3338" s="14" t="s">
        <v>1747</v>
      </c>
      <c r="F3338" s="25">
        <v>1010880</v>
      </c>
      <c r="G3338" s="25">
        <v>909792</v>
      </c>
    </row>
    <row r="3339" spans="1:7" x14ac:dyDescent="0.25">
      <c r="A3339" s="14" t="s">
        <v>1342</v>
      </c>
      <c r="B3339" s="14" t="s">
        <v>89</v>
      </c>
      <c r="C3339" s="15" t="s">
        <v>1341</v>
      </c>
      <c r="D3339" s="14" t="s">
        <v>1752</v>
      </c>
      <c r="E3339" s="14" t="s">
        <v>1753</v>
      </c>
      <c r="F3339" s="25">
        <v>79742160</v>
      </c>
      <c r="G3339" s="25">
        <v>63793728</v>
      </c>
    </row>
    <row r="3340" spans="1:7" x14ac:dyDescent="0.25">
      <c r="A3340" s="14" t="s">
        <v>1342</v>
      </c>
      <c r="B3340" s="14" t="s">
        <v>24</v>
      </c>
      <c r="C3340" s="15" t="s">
        <v>2760</v>
      </c>
      <c r="D3340" s="14" t="s">
        <v>1752</v>
      </c>
      <c r="E3340" s="14" t="s">
        <v>1747</v>
      </c>
      <c r="F3340" s="25">
        <v>31896900</v>
      </c>
      <c r="G3340" s="25">
        <v>25517520</v>
      </c>
    </row>
    <row r="3341" spans="1:7" x14ac:dyDescent="0.25">
      <c r="A3341" s="14" t="s">
        <v>1342</v>
      </c>
      <c r="B3341" s="14">
        <v>4</v>
      </c>
      <c r="C3341" s="15" t="s">
        <v>1348</v>
      </c>
      <c r="D3341" s="14" t="s">
        <v>1752</v>
      </c>
      <c r="E3341" s="14" t="s">
        <v>1753</v>
      </c>
      <c r="F3341" s="25">
        <v>10632240</v>
      </c>
      <c r="G3341" s="25">
        <v>8505792</v>
      </c>
    </row>
    <row r="3342" spans="1:7" x14ac:dyDescent="0.25">
      <c r="A3342" s="14" t="s">
        <v>1342</v>
      </c>
      <c r="B3342" s="14">
        <v>3</v>
      </c>
      <c r="C3342" s="15" t="s">
        <v>1350</v>
      </c>
      <c r="D3342" s="14" t="s">
        <v>1745</v>
      </c>
      <c r="E3342" s="14" t="s">
        <v>1747</v>
      </c>
      <c r="F3342" s="25">
        <v>1417620</v>
      </c>
      <c r="G3342" s="25">
        <v>1134096</v>
      </c>
    </row>
    <row r="3343" spans="1:7" x14ac:dyDescent="0.25">
      <c r="A3343" s="14" t="s">
        <v>1342</v>
      </c>
      <c r="B3343" s="14">
        <v>3</v>
      </c>
      <c r="C3343" s="15" t="s">
        <v>1350</v>
      </c>
      <c r="D3343" s="14" t="s">
        <v>1752</v>
      </c>
      <c r="E3343" s="14" t="s">
        <v>1753</v>
      </c>
      <c r="F3343" s="25">
        <v>4252860</v>
      </c>
      <c r="G3343" s="25">
        <v>3402288</v>
      </c>
    </row>
    <row r="3344" spans="1:7" x14ac:dyDescent="0.25">
      <c r="A3344" s="14" t="s">
        <v>1342</v>
      </c>
      <c r="B3344" s="14" t="s">
        <v>258</v>
      </c>
      <c r="C3344" s="15" t="s">
        <v>2769</v>
      </c>
      <c r="D3344" s="14" t="s">
        <v>1752</v>
      </c>
      <c r="E3344" s="14" t="s">
        <v>1753</v>
      </c>
      <c r="F3344" s="25">
        <v>15284340</v>
      </c>
      <c r="G3344" s="25">
        <v>13755906</v>
      </c>
    </row>
    <row r="3345" spans="1:7" x14ac:dyDescent="0.25">
      <c r="A3345" s="14" t="s">
        <v>1342</v>
      </c>
      <c r="B3345" s="14" t="s">
        <v>120</v>
      </c>
      <c r="C3345" s="15" t="s">
        <v>2766</v>
      </c>
      <c r="D3345" s="14" t="s">
        <v>1752</v>
      </c>
      <c r="E3345" s="14" t="s">
        <v>1747</v>
      </c>
      <c r="F3345" s="25">
        <v>11695500</v>
      </c>
      <c r="G3345" s="25">
        <v>9356400</v>
      </c>
    </row>
    <row r="3346" spans="1:7" x14ac:dyDescent="0.25">
      <c r="A3346" s="14" t="s">
        <v>1342</v>
      </c>
      <c r="B3346" s="14" t="s">
        <v>173</v>
      </c>
      <c r="C3346" s="15" t="s">
        <v>1354</v>
      </c>
      <c r="D3346" s="14" t="s">
        <v>1749</v>
      </c>
      <c r="E3346" s="14" t="s">
        <v>1746</v>
      </c>
      <c r="F3346" s="25">
        <v>531612</v>
      </c>
      <c r="G3346" s="25">
        <v>425289.6</v>
      </c>
    </row>
    <row r="3347" spans="1:7" x14ac:dyDescent="0.25">
      <c r="A3347" s="14" t="s">
        <v>1342</v>
      </c>
      <c r="B3347" s="14">
        <v>1</v>
      </c>
      <c r="C3347" s="15" t="s">
        <v>2770</v>
      </c>
      <c r="D3347" s="14" t="s">
        <v>1752</v>
      </c>
      <c r="E3347" s="14" t="s">
        <v>1747</v>
      </c>
      <c r="F3347" s="25">
        <v>1617300</v>
      </c>
      <c r="G3347" s="25">
        <v>1293840</v>
      </c>
    </row>
    <row r="3348" spans="1:7" x14ac:dyDescent="0.25">
      <c r="A3348" s="14" t="s">
        <v>1342</v>
      </c>
      <c r="B3348" s="14" t="s">
        <v>166</v>
      </c>
      <c r="C3348" s="15" t="s">
        <v>2764</v>
      </c>
      <c r="D3348" s="14" t="s">
        <v>1745</v>
      </c>
      <c r="E3348" s="14" t="s">
        <v>1747</v>
      </c>
      <c r="F3348" s="25">
        <v>2436660</v>
      </c>
      <c r="G3348" s="25">
        <v>2192994</v>
      </c>
    </row>
    <row r="3349" spans="1:7" x14ac:dyDescent="0.25">
      <c r="A3349" s="14" t="s">
        <v>1342</v>
      </c>
      <c r="B3349" s="14">
        <v>4</v>
      </c>
      <c r="C3349" s="15" t="s">
        <v>1348</v>
      </c>
      <c r="D3349" s="14" t="s">
        <v>1745</v>
      </c>
      <c r="E3349" s="14" t="s">
        <v>1747</v>
      </c>
      <c r="F3349" s="25">
        <v>3544080</v>
      </c>
      <c r="G3349" s="25">
        <v>2835264</v>
      </c>
    </row>
    <row r="3350" spans="1:7" x14ac:dyDescent="0.25">
      <c r="A3350" s="14" t="s">
        <v>1342</v>
      </c>
      <c r="B3350" s="14">
        <v>9</v>
      </c>
      <c r="C3350" s="15" t="s">
        <v>2771</v>
      </c>
      <c r="D3350" s="14" t="s">
        <v>1745</v>
      </c>
      <c r="E3350" s="14" t="s">
        <v>1747</v>
      </c>
      <c r="F3350" s="25">
        <v>3544080</v>
      </c>
      <c r="G3350" s="25">
        <v>3189672</v>
      </c>
    </row>
    <row r="3351" spans="1:7" x14ac:dyDescent="0.25">
      <c r="A3351" s="14" t="s">
        <v>1342</v>
      </c>
      <c r="B3351" s="14">
        <v>3</v>
      </c>
      <c r="C3351" s="15" t="s">
        <v>1350</v>
      </c>
      <c r="D3351" s="14" t="s">
        <v>1745</v>
      </c>
      <c r="E3351" s="14" t="s">
        <v>1746</v>
      </c>
      <c r="F3351" s="25">
        <v>1488501</v>
      </c>
      <c r="G3351" s="25">
        <v>1190801</v>
      </c>
    </row>
    <row r="3352" spans="1:7" x14ac:dyDescent="0.25">
      <c r="A3352" s="14" t="s">
        <v>1342</v>
      </c>
      <c r="B3352" s="14" t="s">
        <v>258</v>
      </c>
      <c r="C3352" s="15" t="s">
        <v>2769</v>
      </c>
      <c r="D3352" s="14" t="s">
        <v>1745</v>
      </c>
      <c r="E3352" s="14" t="s">
        <v>1747</v>
      </c>
      <c r="F3352" s="25">
        <v>5094780</v>
      </c>
      <c r="G3352" s="25">
        <v>4585302</v>
      </c>
    </row>
    <row r="3353" spans="1:7" x14ac:dyDescent="0.25">
      <c r="A3353" s="14" t="s">
        <v>1342</v>
      </c>
      <c r="B3353" s="14" t="s">
        <v>166</v>
      </c>
      <c r="C3353" s="15" t="s">
        <v>2764</v>
      </c>
      <c r="D3353" s="14" t="s">
        <v>1752</v>
      </c>
      <c r="E3353" s="14" t="s">
        <v>1753</v>
      </c>
      <c r="F3353" s="25">
        <v>7309980</v>
      </c>
      <c r="G3353" s="25">
        <v>6578982</v>
      </c>
    </row>
    <row r="3354" spans="1:7" x14ac:dyDescent="0.25">
      <c r="A3354" s="14" t="s">
        <v>1342</v>
      </c>
      <c r="B3354" s="14" t="s">
        <v>120</v>
      </c>
      <c r="C3354" s="15" t="s">
        <v>2766</v>
      </c>
      <c r="D3354" s="14" t="s">
        <v>1745</v>
      </c>
      <c r="E3354" s="14" t="s">
        <v>1746</v>
      </c>
      <c r="F3354" s="25">
        <v>4093425</v>
      </c>
      <c r="G3354" s="25">
        <v>3274740</v>
      </c>
    </row>
    <row r="3355" spans="1:7" x14ac:dyDescent="0.25">
      <c r="A3355" s="14" t="s">
        <v>1342</v>
      </c>
      <c r="B3355" s="14" t="s">
        <v>166</v>
      </c>
      <c r="C3355" s="15" t="s">
        <v>2764</v>
      </c>
      <c r="D3355" s="14" t="s">
        <v>1749</v>
      </c>
      <c r="E3355" s="14" t="s">
        <v>1746</v>
      </c>
      <c r="F3355" s="25">
        <v>243666</v>
      </c>
      <c r="G3355" s="25">
        <v>219299.4</v>
      </c>
    </row>
    <row r="3356" spans="1:7" x14ac:dyDescent="0.25">
      <c r="A3356" s="14" t="s">
        <v>1342</v>
      </c>
      <c r="B3356" s="14">
        <v>1</v>
      </c>
      <c r="C3356" s="15" t="s">
        <v>2770</v>
      </c>
      <c r="D3356" s="14" t="s">
        <v>1749</v>
      </c>
      <c r="E3356" s="14" t="s">
        <v>1746</v>
      </c>
      <c r="F3356" s="25">
        <v>53910</v>
      </c>
      <c r="G3356" s="25">
        <v>43128</v>
      </c>
    </row>
    <row r="3357" spans="1:7" x14ac:dyDescent="0.25">
      <c r="A3357" s="14" t="s">
        <v>1342</v>
      </c>
      <c r="B3357" s="14">
        <v>8</v>
      </c>
      <c r="C3357" s="15" t="s">
        <v>1372</v>
      </c>
      <c r="D3357" s="14" t="s">
        <v>1745</v>
      </c>
      <c r="E3357" s="14" t="s">
        <v>1746</v>
      </c>
      <c r="F3357" s="25">
        <v>1415169</v>
      </c>
      <c r="G3357" s="25">
        <v>1132135</v>
      </c>
    </row>
    <row r="3358" spans="1:7" x14ac:dyDescent="0.25">
      <c r="A3358" s="14" t="s">
        <v>1342</v>
      </c>
      <c r="B3358" s="14" t="s">
        <v>307</v>
      </c>
      <c r="C3358" s="15" t="s">
        <v>1378</v>
      </c>
      <c r="D3358" s="14" t="s">
        <v>1752</v>
      </c>
      <c r="E3358" s="14" t="s">
        <v>1753</v>
      </c>
      <c r="F3358" s="25">
        <v>61137180</v>
      </c>
      <c r="G3358" s="25">
        <v>48909744</v>
      </c>
    </row>
    <row r="3359" spans="1:7" x14ac:dyDescent="0.25">
      <c r="A3359" s="14" t="s">
        <v>1342</v>
      </c>
      <c r="B3359" s="14">
        <v>8</v>
      </c>
      <c r="C3359" s="15" t="s">
        <v>1372</v>
      </c>
      <c r="D3359" s="14" t="s">
        <v>1752</v>
      </c>
      <c r="E3359" s="14" t="s">
        <v>1753</v>
      </c>
      <c r="F3359" s="25">
        <v>4043340</v>
      </c>
      <c r="G3359" s="25">
        <v>3234672</v>
      </c>
    </row>
    <row r="3360" spans="1:7" x14ac:dyDescent="0.25">
      <c r="A3360" s="14" t="s">
        <v>1342</v>
      </c>
      <c r="B3360" s="14">
        <v>9</v>
      </c>
      <c r="C3360" s="15" t="s">
        <v>2771</v>
      </c>
      <c r="D3360" s="14" t="s">
        <v>1745</v>
      </c>
      <c r="E3360" s="14" t="s">
        <v>1746</v>
      </c>
      <c r="F3360" s="25">
        <v>3721284</v>
      </c>
      <c r="G3360" s="25">
        <v>3349156</v>
      </c>
    </row>
    <row r="3361" spans="1:7" x14ac:dyDescent="0.25">
      <c r="A3361" s="14" t="s">
        <v>1342</v>
      </c>
      <c r="B3361" s="14">
        <v>2</v>
      </c>
      <c r="C3361" s="15" t="s">
        <v>2765</v>
      </c>
      <c r="D3361" s="14" t="s">
        <v>1749</v>
      </c>
      <c r="E3361" s="14" t="s">
        <v>1746</v>
      </c>
      <c r="F3361" s="25">
        <v>815142</v>
      </c>
      <c r="G3361" s="25">
        <v>652113.6</v>
      </c>
    </row>
    <row r="3362" spans="1:7" x14ac:dyDescent="0.25">
      <c r="A3362" s="14" t="s">
        <v>1342</v>
      </c>
      <c r="B3362" s="14" t="s">
        <v>297</v>
      </c>
      <c r="C3362" s="15" t="s">
        <v>2767</v>
      </c>
      <c r="D3362" s="14" t="s">
        <v>1745</v>
      </c>
      <c r="E3362" s="14" t="s">
        <v>1747</v>
      </c>
      <c r="F3362" s="25">
        <v>1329060</v>
      </c>
      <c r="G3362" s="25">
        <v>1196154</v>
      </c>
    </row>
    <row r="3363" spans="1:7" x14ac:dyDescent="0.25">
      <c r="A3363" s="14" t="s">
        <v>1342</v>
      </c>
      <c r="B3363" s="14">
        <v>1</v>
      </c>
      <c r="C3363" s="15" t="s">
        <v>2770</v>
      </c>
      <c r="D3363" s="14" t="s">
        <v>1752</v>
      </c>
      <c r="E3363" s="14" t="s">
        <v>1753</v>
      </c>
      <c r="F3363" s="25">
        <v>1617300</v>
      </c>
      <c r="G3363" s="25">
        <v>1293840</v>
      </c>
    </row>
    <row r="3364" spans="1:7" x14ac:dyDescent="0.25">
      <c r="A3364" s="14" t="s">
        <v>1342</v>
      </c>
      <c r="B3364" s="14">
        <v>6</v>
      </c>
      <c r="C3364" s="15" t="s">
        <v>2768</v>
      </c>
      <c r="D3364" s="14" t="s">
        <v>1752</v>
      </c>
      <c r="E3364" s="14" t="s">
        <v>1753</v>
      </c>
      <c r="F3364" s="25">
        <v>1010880</v>
      </c>
      <c r="G3364" s="25">
        <v>909792</v>
      </c>
    </row>
    <row r="3365" spans="1:7" x14ac:dyDescent="0.25">
      <c r="A3365" s="14" t="s">
        <v>1342</v>
      </c>
      <c r="B3365" s="14">
        <v>5</v>
      </c>
      <c r="C3365" s="15" t="s">
        <v>2772</v>
      </c>
      <c r="D3365" s="14" t="s">
        <v>1752</v>
      </c>
      <c r="E3365" s="14" t="s">
        <v>1753</v>
      </c>
      <c r="F3365" s="25">
        <v>19935540</v>
      </c>
      <c r="G3365" s="25">
        <v>17941986</v>
      </c>
    </row>
    <row r="3366" spans="1:7" x14ac:dyDescent="0.25">
      <c r="A3366" s="14" t="s">
        <v>1342</v>
      </c>
      <c r="B3366" s="14" t="s">
        <v>120</v>
      </c>
      <c r="C3366" s="15" t="s">
        <v>2766</v>
      </c>
      <c r="D3366" s="14" t="s">
        <v>1749</v>
      </c>
      <c r="E3366" s="14" t="s">
        <v>1746</v>
      </c>
      <c r="F3366" s="25">
        <v>389850</v>
      </c>
      <c r="G3366" s="25">
        <v>311880</v>
      </c>
    </row>
    <row r="3367" spans="1:7" x14ac:dyDescent="0.25">
      <c r="A3367" s="14" t="s">
        <v>1342</v>
      </c>
      <c r="B3367" s="14" t="s">
        <v>307</v>
      </c>
      <c r="C3367" s="15" t="s">
        <v>1378</v>
      </c>
      <c r="D3367" s="14" t="s">
        <v>1749</v>
      </c>
      <c r="E3367" s="14" t="s">
        <v>1746</v>
      </c>
      <c r="F3367" s="25">
        <v>2037906</v>
      </c>
      <c r="G3367" s="25">
        <v>1630325</v>
      </c>
    </row>
    <row r="3368" spans="1:7" x14ac:dyDescent="0.25">
      <c r="A3368" s="14" t="s">
        <v>1342</v>
      </c>
      <c r="B3368" s="14" t="s">
        <v>97</v>
      </c>
      <c r="C3368" s="15" t="s">
        <v>2761</v>
      </c>
      <c r="D3368" s="14" t="s">
        <v>1749</v>
      </c>
      <c r="E3368" s="14" t="s">
        <v>1746</v>
      </c>
      <c r="F3368" s="25">
        <v>567054</v>
      </c>
      <c r="G3368" s="25">
        <v>453643.2</v>
      </c>
    </row>
    <row r="3369" spans="1:7" x14ac:dyDescent="0.25">
      <c r="A3369" s="14" t="s">
        <v>1342</v>
      </c>
      <c r="B3369" s="14">
        <v>4</v>
      </c>
      <c r="C3369" s="15" t="s">
        <v>1348</v>
      </c>
      <c r="D3369" s="14" t="s">
        <v>1745</v>
      </c>
      <c r="E3369" s="14" t="s">
        <v>1746</v>
      </c>
      <c r="F3369" s="25">
        <v>3721284</v>
      </c>
      <c r="G3369" s="25">
        <v>2977027</v>
      </c>
    </row>
    <row r="3370" spans="1:7" x14ac:dyDescent="0.25">
      <c r="A3370" s="14" t="s">
        <v>1342</v>
      </c>
      <c r="B3370" s="14" t="s">
        <v>333</v>
      </c>
      <c r="C3370" s="15" t="s">
        <v>2763</v>
      </c>
      <c r="D3370" s="14" t="s">
        <v>1745</v>
      </c>
      <c r="E3370" s="14" t="s">
        <v>1747</v>
      </c>
      <c r="F3370" s="25">
        <v>2126460</v>
      </c>
      <c r="G3370" s="25">
        <v>1701168</v>
      </c>
    </row>
    <row r="3371" spans="1:7" x14ac:dyDescent="0.25">
      <c r="A3371" s="14" t="s">
        <v>1342</v>
      </c>
      <c r="B3371" s="14">
        <v>6</v>
      </c>
      <c r="C3371" s="15" t="s">
        <v>2768</v>
      </c>
      <c r="D3371" s="14" t="s">
        <v>1749</v>
      </c>
      <c r="E3371" s="14" t="s">
        <v>1746</v>
      </c>
      <c r="F3371" s="25">
        <v>33696</v>
      </c>
      <c r="G3371" s="25">
        <v>30326.400000000001</v>
      </c>
    </row>
    <row r="3372" spans="1:7" x14ac:dyDescent="0.25">
      <c r="A3372" s="14" t="s">
        <v>1342</v>
      </c>
      <c r="B3372" s="14">
        <v>2</v>
      </c>
      <c r="C3372" s="15" t="s">
        <v>2765</v>
      </c>
      <c r="D3372" s="14" t="s">
        <v>1752</v>
      </c>
      <c r="E3372" s="14" t="s">
        <v>1747</v>
      </c>
      <c r="F3372" s="25">
        <v>24454260</v>
      </c>
      <c r="G3372" s="25">
        <v>19563408</v>
      </c>
    </row>
    <row r="3373" spans="1:7" x14ac:dyDescent="0.25">
      <c r="A3373" s="14" t="s">
        <v>1342</v>
      </c>
      <c r="B3373" s="14" t="s">
        <v>258</v>
      </c>
      <c r="C3373" s="15" t="s">
        <v>2769</v>
      </c>
      <c r="D3373" s="14" t="s">
        <v>1752</v>
      </c>
      <c r="E3373" s="14" t="s">
        <v>1747</v>
      </c>
      <c r="F3373" s="25">
        <v>15284340</v>
      </c>
      <c r="G3373" s="25">
        <v>13755906</v>
      </c>
    </row>
    <row r="3374" spans="1:7" x14ac:dyDescent="0.25">
      <c r="A3374" s="14" t="s">
        <v>1342</v>
      </c>
      <c r="B3374" s="14">
        <v>7</v>
      </c>
      <c r="C3374" s="15" t="s">
        <v>2762</v>
      </c>
      <c r="D3374" s="14" t="s">
        <v>1752</v>
      </c>
      <c r="E3374" s="14" t="s">
        <v>1753</v>
      </c>
      <c r="F3374" s="25">
        <v>2658060</v>
      </c>
      <c r="G3374" s="25">
        <v>2392254</v>
      </c>
    </row>
    <row r="3375" spans="1:7" x14ac:dyDescent="0.25">
      <c r="A3375" s="14" t="s">
        <v>1342</v>
      </c>
      <c r="B3375" s="14">
        <v>2</v>
      </c>
      <c r="C3375" s="15" t="s">
        <v>2765</v>
      </c>
      <c r="D3375" s="14" t="s">
        <v>1745</v>
      </c>
      <c r="E3375" s="14" t="s">
        <v>1746</v>
      </c>
      <c r="F3375" s="25">
        <v>8558991</v>
      </c>
      <c r="G3375" s="25">
        <v>6847193</v>
      </c>
    </row>
    <row r="3376" spans="1:7" x14ac:dyDescent="0.25">
      <c r="A3376" s="14" t="s">
        <v>1342</v>
      </c>
      <c r="B3376" s="14" t="s">
        <v>97</v>
      </c>
      <c r="C3376" s="15" t="s">
        <v>2761</v>
      </c>
      <c r="D3376" s="14" t="s">
        <v>1745</v>
      </c>
      <c r="E3376" s="14" t="s">
        <v>1747</v>
      </c>
      <c r="F3376" s="25">
        <v>5670540</v>
      </c>
      <c r="G3376" s="25">
        <v>4536432</v>
      </c>
    </row>
    <row r="3377" spans="1:7" x14ac:dyDescent="0.25">
      <c r="A3377" s="14" t="s">
        <v>1342</v>
      </c>
      <c r="B3377" s="14" t="s">
        <v>97</v>
      </c>
      <c r="C3377" s="15" t="s">
        <v>2761</v>
      </c>
      <c r="D3377" s="14" t="s">
        <v>1745</v>
      </c>
      <c r="E3377" s="14" t="s">
        <v>1746</v>
      </c>
      <c r="F3377" s="25">
        <v>5954067</v>
      </c>
      <c r="G3377" s="25">
        <v>4763254</v>
      </c>
    </row>
    <row r="3378" spans="1:7" x14ac:dyDescent="0.25">
      <c r="A3378" s="14" t="s">
        <v>1342</v>
      </c>
      <c r="B3378" s="14">
        <v>1</v>
      </c>
      <c r="C3378" s="15" t="s">
        <v>2770</v>
      </c>
      <c r="D3378" s="14" t="s">
        <v>1745</v>
      </c>
      <c r="E3378" s="14" t="s">
        <v>1747</v>
      </c>
      <c r="F3378" s="25">
        <v>539100</v>
      </c>
      <c r="G3378" s="25">
        <v>431280</v>
      </c>
    </row>
    <row r="3379" spans="1:7" x14ac:dyDescent="0.25">
      <c r="A3379" s="14" t="s">
        <v>1342</v>
      </c>
      <c r="B3379" s="14" t="s">
        <v>173</v>
      </c>
      <c r="C3379" s="15" t="s">
        <v>1354</v>
      </c>
      <c r="D3379" s="14" t="s">
        <v>1745</v>
      </c>
      <c r="E3379" s="14" t="s">
        <v>1746</v>
      </c>
      <c r="F3379" s="25">
        <v>5581926</v>
      </c>
      <c r="G3379" s="25">
        <v>4465541</v>
      </c>
    </row>
    <row r="3380" spans="1:7" x14ac:dyDescent="0.25">
      <c r="A3380" s="14" t="s">
        <v>1342</v>
      </c>
      <c r="B3380" s="14" t="s">
        <v>166</v>
      </c>
      <c r="C3380" s="15" t="s">
        <v>2764</v>
      </c>
      <c r="D3380" s="14" t="s">
        <v>1745</v>
      </c>
      <c r="E3380" s="14" t="s">
        <v>1746</v>
      </c>
      <c r="F3380" s="25">
        <v>2558493</v>
      </c>
      <c r="G3380" s="25">
        <v>2302644</v>
      </c>
    </row>
    <row r="3381" spans="1:7" x14ac:dyDescent="0.25">
      <c r="A3381" s="14" t="s">
        <v>1342</v>
      </c>
      <c r="B3381" s="14" t="s">
        <v>113</v>
      </c>
      <c r="C3381" s="15" t="s">
        <v>1360</v>
      </c>
      <c r="D3381" s="14" t="s">
        <v>1752</v>
      </c>
      <c r="E3381" s="14" t="s">
        <v>1747</v>
      </c>
      <c r="F3381" s="25">
        <v>29240280</v>
      </c>
      <c r="G3381" s="25">
        <v>23392224</v>
      </c>
    </row>
    <row r="3382" spans="1:7" x14ac:dyDescent="0.25">
      <c r="A3382" s="14" t="s">
        <v>1342</v>
      </c>
      <c r="B3382" s="14" t="s">
        <v>307</v>
      </c>
      <c r="C3382" s="15" t="s">
        <v>1378</v>
      </c>
      <c r="D3382" s="14" t="s">
        <v>1745</v>
      </c>
      <c r="E3382" s="14" t="s">
        <v>1747</v>
      </c>
      <c r="F3382" s="25">
        <v>20379060</v>
      </c>
      <c r="G3382" s="25">
        <v>16303248</v>
      </c>
    </row>
    <row r="3383" spans="1:7" x14ac:dyDescent="0.25">
      <c r="A3383" s="14" t="s">
        <v>1342</v>
      </c>
      <c r="B3383" s="14" t="s">
        <v>113</v>
      </c>
      <c r="C3383" s="15" t="s">
        <v>1360</v>
      </c>
      <c r="D3383" s="14" t="s">
        <v>1745</v>
      </c>
      <c r="E3383" s="14" t="s">
        <v>1747</v>
      </c>
      <c r="F3383" s="25">
        <v>9746760</v>
      </c>
      <c r="G3383" s="25">
        <v>7797408</v>
      </c>
    </row>
    <row r="3384" spans="1:7" x14ac:dyDescent="0.25">
      <c r="A3384" s="14" t="s">
        <v>1342</v>
      </c>
      <c r="B3384" s="14">
        <v>5</v>
      </c>
      <c r="C3384" s="15" t="s">
        <v>2772</v>
      </c>
      <c r="D3384" s="14" t="s">
        <v>1749</v>
      </c>
      <c r="E3384" s="14" t="s">
        <v>1746</v>
      </c>
      <c r="F3384" s="25">
        <v>664518</v>
      </c>
      <c r="G3384" s="25">
        <v>598066.19999999995</v>
      </c>
    </row>
    <row r="3385" spans="1:7" x14ac:dyDescent="0.25">
      <c r="A3385" s="14" t="s">
        <v>1342</v>
      </c>
      <c r="B3385" s="14" t="s">
        <v>24</v>
      </c>
      <c r="C3385" s="15" t="s">
        <v>2760</v>
      </c>
      <c r="D3385" s="14" t="s">
        <v>1745</v>
      </c>
      <c r="E3385" s="14" t="s">
        <v>1746</v>
      </c>
      <c r="F3385" s="25">
        <v>11163915</v>
      </c>
      <c r="G3385" s="25">
        <v>8931132</v>
      </c>
    </row>
    <row r="3386" spans="1:7" x14ac:dyDescent="0.25">
      <c r="A3386" s="14" t="s">
        <v>1342</v>
      </c>
      <c r="B3386" s="14">
        <v>2</v>
      </c>
      <c r="C3386" s="15" t="s">
        <v>2765</v>
      </c>
      <c r="D3386" s="14" t="s">
        <v>1745</v>
      </c>
      <c r="E3386" s="14" t="s">
        <v>1747</v>
      </c>
      <c r="F3386" s="25">
        <v>8151420</v>
      </c>
      <c r="G3386" s="25">
        <v>6521136</v>
      </c>
    </row>
    <row r="3387" spans="1:7" x14ac:dyDescent="0.25">
      <c r="A3387" s="14" t="s">
        <v>1342</v>
      </c>
      <c r="B3387" s="14">
        <v>5</v>
      </c>
      <c r="C3387" s="15" t="s">
        <v>2772</v>
      </c>
      <c r="D3387" s="14" t="s">
        <v>1752</v>
      </c>
      <c r="E3387" s="14" t="s">
        <v>1747</v>
      </c>
      <c r="F3387" s="25">
        <v>19935540</v>
      </c>
      <c r="G3387" s="25">
        <v>17941986</v>
      </c>
    </row>
    <row r="3388" spans="1:7" x14ac:dyDescent="0.25">
      <c r="A3388" s="14" t="s">
        <v>1342</v>
      </c>
      <c r="B3388" s="14" t="s">
        <v>89</v>
      </c>
      <c r="C3388" s="15" t="s">
        <v>1341</v>
      </c>
      <c r="D3388" s="14" t="s">
        <v>1745</v>
      </c>
      <c r="E3388" s="14" t="s">
        <v>1746</v>
      </c>
      <c r="F3388" s="25">
        <v>27909756</v>
      </c>
      <c r="G3388" s="25">
        <v>22327805</v>
      </c>
    </row>
    <row r="3389" spans="1:7" x14ac:dyDescent="0.25">
      <c r="A3389" s="14" t="s">
        <v>1342</v>
      </c>
      <c r="B3389" s="14" t="s">
        <v>113</v>
      </c>
      <c r="C3389" s="15" t="s">
        <v>1360</v>
      </c>
      <c r="D3389" s="14" t="s">
        <v>1745</v>
      </c>
      <c r="E3389" s="14" t="s">
        <v>1746</v>
      </c>
      <c r="F3389" s="25">
        <v>10234098</v>
      </c>
      <c r="G3389" s="25">
        <v>8187278</v>
      </c>
    </row>
    <row r="3390" spans="1:7" x14ac:dyDescent="0.25">
      <c r="A3390" s="14" t="s">
        <v>1342</v>
      </c>
      <c r="B3390" s="14" t="s">
        <v>173</v>
      </c>
      <c r="C3390" s="15" t="s">
        <v>1354</v>
      </c>
      <c r="D3390" s="14" t="s">
        <v>1745</v>
      </c>
      <c r="E3390" s="14" t="s">
        <v>1747</v>
      </c>
      <c r="F3390" s="25">
        <v>5316120</v>
      </c>
      <c r="G3390" s="25">
        <v>4252896</v>
      </c>
    </row>
    <row r="3391" spans="1:7" x14ac:dyDescent="0.25">
      <c r="A3391" s="14" t="s">
        <v>1342</v>
      </c>
      <c r="B3391" s="14">
        <v>5</v>
      </c>
      <c r="C3391" s="15" t="s">
        <v>2772</v>
      </c>
      <c r="D3391" s="14" t="s">
        <v>1745</v>
      </c>
      <c r="E3391" s="14" t="s">
        <v>1747</v>
      </c>
      <c r="F3391" s="25">
        <v>6645180</v>
      </c>
      <c r="G3391" s="25">
        <v>5980662</v>
      </c>
    </row>
    <row r="3392" spans="1:7" x14ac:dyDescent="0.25">
      <c r="A3392" s="14" t="s">
        <v>1342</v>
      </c>
      <c r="B3392" s="14" t="s">
        <v>113</v>
      </c>
      <c r="C3392" s="15" t="s">
        <v>1360</v>
      </c>
      <c r="D3392" s="14" t="s">
        <v>1752</v>
      </c>
      <c r="E3392" s="14" t="s">
        <v>1753</v>
      </c>
      <c r="F3392" s="25">
        <v>29240280</v>
      </c>
      <c r="G3392" s="25">
        <v>23392224</v>
      </c>
    </row>
    <row r="3393" spans="1:7" x14ac:dyDescent="0.25">
      <c r="A3393" s="14" t="s">
        <v>1342</v>
      </c>
      <c r="B3393" s="14">
        <v>7</v>
      </c>
      <c r="C3393" s="15" t="s">
        <v>2762</v>
      </c>
      <c r="D3393" s="14" t="s">
        <v>1745</v>
      </c>
      <c r="E3393" s="14" t="s">
        <v>1747</v>
      </c>
      <c r="F3393" s="25">
        <v>886020</v>
      </c>
      <c r="G3393" s="25">
        <v>797418</v>
      </c>
    </row>
    <row r="3394" spans="1:7" x14ac:dyDescent="0.25">
      <c r="A3394" s="14" t="s">
        <v>1342</v>
      </c>
      <c r="B3394" s="14" t="s">
        <v>73</v>
      </c>
      <c r="C3394" s="15" t="s">
        <v>1366</v>
      </c>
      <c r="D3394" s="14" t="s">
        <v>1752</v>
      </c>
      <c r="E3394" s="14" t="s">
        <v>1753</v>
      </c>
      <c r="F3394" s="25">
        <v>42529140</v>
      </c>
      <c r="G3394" s="25">
        <v>34023312</v>
      </c>
    </row>
    <row r="3395" spans="1:7" x14ac:dyDescent="0.25">
      <c r="A3395" s="14" t="s">
        <v>1342</v>
      </c>
      <c r="B3395" s="14" t="s">
        <v>258</v>
      </c>
      <c r="C3395" s="15" t="s">
        <v>2769</v>
      </c>
      <c r="D3395" s="14" t="s">
        <v>1745</v>
      </c>
      <c r="E3395" s="14" t="s">
        <v>1746</v>
      </c>
      <c r="F3395" s="25">
        <v>5349519</v>
      </c>
      <c r="G3395" s="25">
        <v>4814567</v>
      </c>
    </row>
    <row r="3396" spans="1:7" x14ac:dyDescent="0.25">
      <c r="A3396" s="14" t="s">
        <v>1342</v>
      </c>
      <c r="B3396" s="14">
        <v>3</v>
      </c>
      <c r="C3396" s="15" t="s">
        <v>1350</v>
      </c>
      <c r="D3396" s="14" t="s">
        <v>1752</v>
      </c>
      <c r="E3396" s="14" t="s">
        <v>1747</v>
      </c>
      <c r="F3396" s="25">
        <v>4252860</v>
      </c>
      <c r="G3396" s="25">
        <v>3402288</v>
      </c>
    </row>
    <row r="3397" spans="1:7" x14ac:dyDescent="0.25">
      <c r="A3397" s="14" t="s">
        <v>1342</v>
      </c>
      <c r="B3397" s="14" t="s">
        <v>297</v>
      </c>
      <c r="C3397" s="15" t="s">
        <v>2767</v>
      </c>
      <c r="D3397" s="14" t="s">
        <v>1752</v>
      </c>
      <c r="E3397" s="14" t="s">
        <v>1747</v>
      </c>
      <c r="F3397" s="25">
        <v>3987180</v>
      </c>
      <c r="G3397" s="25">
        <v>3588462</v>
      </c>
    </row>
    <row r="3398" spans="1:7" x14ac:dyDescent="0.25">
      <c r="A3398" s="14" t="s">
        <v>1342</v>
      </c>
      <c r="B3398" s="14">
        <v>4</v>
      </c>
      <c r="C3398" s="15" t="s">
        <v>1348</v>
      </c>
      <c r="D3398" s="14" t="s">
        <v>1752</v>
      </c>
      <c r="E3398" s="14" t="s">
        <v>1747</v>
      </c>
      <c r="F3398" s="25">
        <v>10632240</v>
      </c>
      <c r="G3398" s="25">
        <v>8505792</v>
      </c>
    </row>
    <row r="3399" spans="1:7" x14ac:dyDescent="0.25">
      <c r="A3399" s="14" t="s">
        <v>1342</v>
      </c>
      <c r="B3399" s="14" t="s">
        <v>24</v>
      </c>
      <c r="C3399" s="15" t="s">
        <v>2760</v>
      </c>
      <c r="D3399" s="14" t="s">
        <v>1749</v>
      </c>
      <c r="E3399" s="14" t="s">
        <v>1746</v>
      </c>
      <c r="F3399" s="25">
        <v>1063230</v>
      </c>
      <c r="G3399" s="25">
        <v>850584</v>
      </c>
    </row>
    <row r="3400" spans="1:7" x14ac:dyDescent="0.25">
      <c r="A3400" s="14" t="s">
        <v>1342</v>
      </c>
      <c r="B3400" s="14" t="s">
        <v>333</v>
      </c>
      <c r="C3400" s="15" t="s">
        <v>2763</v>
      </c>
      <c r="D3400" s="14" t="s">
        <v>1752</v>
      </c>
      <c r="E3400" s="14" t="s">
        <v>1753</v>
      </c>
      <c r="F3400" s="25">
        <v>6379380</v>
      </c>
      <c r="G3400" s="25">
        <v>5103504</v>
      </c>
    </row>
    <row r="3401" spans="1:7" x14ac:dyDescent="0.25">
      <c r="A3401" s="14" t="s">
        <v>1342</v>
      </c>
      <c r="B3401" s="14" t="s">
        <v>89</v>
      </c>
      <c r="C3401" s="15" t="s">
        <v>1341</v>
      </c>
      <c r="D3401" s="14" t="s">
        <v>1745</v>
      </c>
      <c r="E3401" s="14" t="s">
        <v>1747</v>
      </c>
      <c r="F3401" s="25">
        <v>26580720</v>
      </c>
      <c r="G3401" s="25">
        <v>21264576</v>
      </c>
    </row>
    <row r="3402" spans="1:7" x14ac:dyDescent="0.25">
      <c r="A3402" s="14" t="s">
        <v>1342</v>
      </c>
      <c r="B3402" s="14">
        <v>9</v>
      </c>
      <c r="C3402" s="15" t="s">
        <v>2771</v>
      </c>
      <c r="D3402" s="14" t="s">
        <v>1752</v>
      </c>
      <c r="E3402" s="14" t="s">
        <v>1747</v>
      </c>
      <c r="F3402" s="25">
        <v>10632240</v>
      </c>
      <c r="G3402" s="25">
        <v>9569016</v>
      </c>
    </row>
    <row r="3403" spans="1:7" x14ac:dyDescent="0.25">
      <c r="A3403" s="14" t="s">
        <v>1342</v>
      </c>
      <c r="B3403" s="14">
        <v>8</v>
      </c>
      <c r="C3403" s="15" t="s">
        <v>1372</v>
      </c>
      <c r="D3403" s="14" t="s">
        <v>1745</v>
      </c>
      <c r="E3403" s="14" t="s">
        <v>1747</v>
      </c>
      <c r="F3403" s="25">
        <v>1347780</v>
      </c>
      <c r="G3403" s="25">
        <v>1078224</v>
      </c>
    </row>
    <row r="3404" spans="1:7" x14ac:dyDescent="0.25">
      <c r="A3404" s="14" t="s">
        <v>1342</v>
      </c>
      <c r="B3404" s="14" t="s">
        <v>89</v>
      </c>
      <c r="C3404" s="15" t="s">
        <v>1341</v>
      </c>
      <c r="D3404" s="14" t="s">
        <v>1752</v>
      </c>
      <c r="E3404" s="14" t="s">
        <v>1747</v>
      </c>
      <c r="F3404" s="25">
        <v>79742160</v>
      </c>
      <c r="G3404" s="25">
        <v>63793728</v>
      </c>
    </row>
    <row r="3405" spans="1:7" x14ac:dyDescent="0.25">
      <c r="A3405" s="14" t="s">
        <v>1342</v>
      </c>
      <c r="B3405" s="14" t="s">
        <v>73</v>
      </c>
      <c r="C3405" s="15" t="s">
        <v>1366</v>
      </c>
      <c r="D3405" s="14" t="s">
        <v>1745</v>
      </c>
      <c r="E3405" s="14" t="s">
        <v>1747</v>
      </c>
      <c r="F3405" s="25">
        <v>14176380</v>
      </c>
      <c r="G3405" s="25">
        <v>11341104</v>
      </c>
    </row>
    <row r="3406" spans="1:7" x14ac:dyDescent="0.25">
      <c r="A3406" s="14" t="s">
        <v>1342</v>
      </c>
      <c r="B3406" s="14" t="s">
        <v>297</v>
      </c>
      <c r="C3406" s="15" t="s">
        <v>2767</v>
      </c>
      <c r="D3406" s="14" t="s">
        <v>1749</v>
      </c>
      <c r="E3406" s="14" t="s">
        <v>1746</v>
      </c>
      <c r="F3406" s="25">
        <v>132906</v>
      </c>
      <c r="G3406" s="25">
        <v>119615.4</v>
      </c>
    </row>
    <row r="3407" spans="1:7" x14ac:dyDescent="0.25">
      <c r="A3407" s="14" t="s">
        <v>1342</v>
      </c>
      <c r="B3407" s="14">
        <v>6</v>
      </c>
      <c r="C3407" s="15" t="s">
        <v>2768</v>
      </c>
      <c r="D3407" s="14" t="s">
        <v>1745</v>
      </c>
      <c r="E3407" s="14" t="s">
        <v>1746</v>
      </c>
      <c r="F3407" s="25">
        <v>353808</v>
      </c>
      <c r="G3407" s="25">
        <v>318427.2</v>
      </c>
    </row>
    <row r="3408" spans="1:7" x14ac:dyDescent="0.25">
      <c r="A3408" s="14" t="s">
        <v>1342</v>
      </c>
      <c r="B3408" s="14">
        <v>9</v>
      </c>
      <c r="C3408" s="15" t="s">
        <v>2771</v>
      </c>
      <c r="D3408" s="14" t="s">
        <v>1749</v>
      </c>
      <c r="E3408" s="14" t="s">
        <v>1746</v>
      </c>
      <c r="F3408" s="25">
        <v>354408</v>
      </c>
      <c r="G3408" s="25">
        <v>318967.2</v>
      </c>
    </row>
    <row r="3409" spans="1:7" x14ac:dyDescent="0.25">
      <c r="A3409" s="14" t="s">
        <v>1342</v>
      </c>
      <c r="B3409" s="14">
        <v>8</v>
      </c>
      <c r="C3409" s="15" t="s">
        <v>1372</v>
      </c>
      <c r="D3409" s="14" t="s">
        <v>1749</v>
      </c>
      <c r="E3409" s="14" t="s">
        <v>1746</v>
      </c>
      <c r="F3409" s="25">
        <v>134778</v>
      </c>
      <c r="G3409" s="25">
        <v>107822.39999999999</v>
      </c>
    </row>
    <row r="3410" spans="1:7" x14ac:dyDescent="0.25">
      <c r="A3410" s="14" t="s">
        <v>1342</v>
      </c>
      <c r="B3410" s="14" t="s">
        <v>333</v>
      </c>
      <c r="C3410" s="15" t="s">
        <v>2763</v>
      </c>
      <c r="D3410" s="14" t="s">
        <v>1745</v>
      </c>
      <c r="E3410" s="14" t="s">
        <v>1746</v>
      </c>
      <c r="F3410" s="25">
        <v>2232783</v>
      </c>
      <c r="G3410" s="25">
        <v>1786226</v>
      </c>
    </row>
    <row r="3411" spans="1:7" x14ac:dyDescent="0.25">
      <c r="A3411" s="14" t="s">
        <v>1342</v>
      </c>
      <c r="B3411" s="14">
        <v>5</v>
      </c>
      <c r="C3411" s="15" t="s">
        <v>2772</v>
      </c>
      <c r="D3411" s="14" t="s">
        <v>1745</v>
      </c>
      <c r="E3411" s="14" t="s">
        <v>1746</v>
      </c>
      <c r="F3411" s="25">
        <v>6977439</v>
      </c>
      <c r="G3411" s="25">
        <v>6279695</v>
      </c>
    </row>
    <row r="3412" spans="1:7" x14ac:dyDescent="0.25">
      <c r="A3412" s="14" t="s">
        <v>1342</v>
      </c>
      <c r="B3412" s="14">
        <v>1</v>
      </c>
      <c r="C3412" s="15" t="s">
        <v>2770</v>
      </c>
      <c r="D3412" s="14" t="s">
        <v>1745</v>
      </c>
      <c r="E3412" s="14" t="s">
        <v>1746</v>
      </c>
      <c r="F3412" s="25">
        <v>566055</v>
      </c>
      <c r="G3412" s="25">
        <v>452844</v>
      </c>
    </row>
    <row r="3413" spans="1:7" x14ac:dyDescent="0.25">
      <c r="A3413" s="14" t="s">
        <v>1342</v>
      </c>
      <c r="B3413" s="14">
        <v>7</v>
      </c>
      <c r="C3413" s="15" t="s">
        <v>2762</v>
      </c>
      <c r="D3413" s="14" t="s">
        <v>1752</v>
      </c>
      <c r="E3413" s="14" t="s">
        <v>1747</v>
      </c>
      <c r="F3413" s="25">
        <v>2658060</v>
      </c>
      <c r="G3413" s="25">
        <v>2392254</v>
      </c>
    </row>
    <row r="3414" spans="1:7" x14ac:dyDescent="0.25">
      <c r="A3414" s="14" t="s">
        <v>1342</v>
      </c>
      <c r="B3414" s="14" t="s">
        <v>120</v>
      </c>
      <c r="C3414" s="15" t="s">
        <v>2766</v>
      </c>
      <c r="D3414" s="14" t="s">
        <v>1745</v>
      </c>
      <c r="E3414" s="14" t="s">
        <v>1747</v>
      </c>
      <c r="F3414" s="25">
        <v>3898500</v>
      </c>
      <c r="G3414" s="25">
        <v>3118800</v>
      </c>
    </row>
    <row r="3415" spans="1:7" x14ac:dyDescent="0.25">
      <c r="A3415" s="14" t="s">
        <v>1342</v>
      </c>
      <c r="B3415" s="14" t="s">
        <v>113</v>
      </c>
      <c r="C3415" s="15" t="s">
        <v>1360</v>
      </c>
      <c r="D3415" s="14" t="s">
        <v>1749</v>
      </c>
      <c r="E3415" s="14" t="s">
        <v>1746</v>
      </c>
      <c r="F3415" s="25">
        <v>974676</v>
      </c>
      <c r="G3415" s="25">
        <v>779740.8</v>
      </c>
    </row>
    <row r="3416" spans="1:7" x14ac:dyDescent="0.25">
      <c r="A3416" s="14" t="s">
        <v>1342</v>
      </c>
      <c r="B3416" s="14">
        <v>8</v>
      </c>
      <c r="C3416" s="15" t="s">
        <v>1372</v>
      </c>
      <c r="D3416" s="14" t="s">
        <v>1752</v>
      </c>
      <c r="E3416" s="14" t="s">
        <v>1747</v>
      </c>
      <c r="F3416" s="25">
        <v>4043340</v>
      </c>
      <c r="G3416" s="25">
        <v>3234672</v>
      </c>
    </row>
    <row r="3417" spans="1:7" x14ac:dyDescent="0.25">
      <c r="A3417" s="14" t="s">
        <v>1342</v>
      </c>
      <c r="B3417" s="14">
        <v>9</v>
      </c>
      <c r="C3417" s="15" t="s">
        <v>2771</v>
      </c>
      <c r="D3417" s="14" t="s">
        <v>1752</v>
      </c>
      <c r="E3417" s="14" t="s">
        <v>1753</v>
      </c>
      <c r="F3417" s="25">
        <v>10632240</v>
      </c>
      <c r="G3417" s="25">
        <v>9569016</v>
      </c>
    </row>
    <row r="3418" spans="1:7" x14ac:dyDescent="0.25">
      <c r="A3418" s="14" t="s">
        <v>1342</v>
      </c>
      <c r="B3418" s="14" t="s">
        <v>73</v>
      </c>
      <c r="C3418" s="15" t="s">
        <v>1366</v>
      </c>
      <c r="D3418" s="14" t="s">
        <v>1745</v>
      </c>
      <c r="E3418" s="14" t="s">
        <v>1746</v>
      </c>
      <c r="F3418" s="25">
        <v>14885199</v>
      </c>
      <c r="G3418" s="25">
        <v>11908159</v>
      </c>
    </row>
    <row r="3419" spans="1:7" x14ac:dyDescent="0.25">
      <c r="A3419" s="14" t="s">
        <v>1342</v>
      </c>
      <c r="B3419" s="14" t="s">
        <v>258</v>
      </c>
      <c r="C3419" s="15" t="s">
        <v>2769</v>
      </c>
      <c r="D3419" s="14" t="s">
        <v>1749</v>
      </c>
      <c r="E3419" s="14" t="s">
        <v>1746</v>
      </c>
      <c r="F3419" s="25">
        <v>509478</v>
      </c>
      <c r="G3419" s="25">
        <v>458530.2</v>
      </c>
    </row>
    <row r="3420" spans="1:7" x14ac:dyDescent="0.25">
      <c r="A3420" s="14" t="s">
        <v>1342</v>
      </c>
      <c r="B3420" s="14" t="s">
        <v>333</v>
      </c>
      <c r="C3420" s="15" t="s">
        <v>2763</v>
      </c>
      <c r="D3420" s="14" t="s">
        <v>1752</v>
      </c>
      <c r="E3420" s="14" t="s">
        <v>1747</v>
      </c>
      <c r="F3420" s="25">
        <v>6379380</v>
      </c>
      <c r="G3420" s="25">
        <v>5103504</v>
      </c>
    </row>
    <row r="3421" spans="1:7" x14ac:dyDescent="0.25">
      <c r="A3421" s="14" t="s">
        <v>1342</v>
      </c>
      <c r="B3421" s="14" t="s">
        <v>297</v>
      </c>
      <c r="C3421" s="15" t="s">
        <v>2767</v>
      </c>
      <c r="D3421" s="14" t="s">
        <v>1745</v>
      </c>
      <c r="E3421" s="14" t="s">
        <v>1746</v>
      </c>
      <c r="F3421" s="25">
        <v>1395513</v>
      </c>
      <c r="G3421" s="25">
        <v>1255962</v>
      </c>
    </row>
    <row r="3422" spans="1:7" x14ac:dyDescent="0.25">
      <c r="A3422" s="14" t="s">
        <v>1342</v>
      </c>
      <c r="B3422" s="14">
        <v>7</v>
      </c>
      <c r="C3422" s="15" t="s">
        <v>2762</v>
      </c>
      <c r="D3422" s="14" t="s">
        <v>1749</v>
      </c>
      <c r="E3422" s="14" t="s">
        <v>1746</v>
      </c>
      <c r="F3422" s="25">
        <v>88602</v>
      </c>
      <c r="G3422" s="25">
        <v>79741.8</v>
      </c>
    </row>
    <row r="3423" spans="1:7" x14ac:dyDescent="0.25">
      <c r="A3423" s="14" t="s">
        <v>1342</v>
      </c>
      <c r="B3423" s="14">
        <v>6</v>
      </c>
      <c r="C3423" s="15" t="s">
        <v>2768</v>
      </c>
      <c r="D3423" s="14" t="s">
        <v>1745</v>
      </c>
      <c r="E3423" s="14" t="s">
        <v>1747</v>
      </c>
      <c r="F3423" s="25">
        <v>336960</v>
      </c>
      <c r="G3423" s="25">
        <v>303264</v>
      </c>
    </row>
    <row r="3424" spans="1:7" x14ac:dyDescent="0.25">
      <c r="A3424" s="14" t="s">
        <v>1342</v>
      </c>
      <c r="B3424" s="14" t="s">
        <v>24</v>
      </c>
      <c r="C3424" s="15" t="s">
        <v>2760</v>
      </c>
      <c r="D3424" s="14" t="s">
        <v>1745</v>
      </c>
      <c r="E3424" s="14" t="s">
        <v>1747</v>
      </c>
      <c r="F3424" s="25">
        <v>10632300</v>
      </c>
      <c r="G3424" s="25">
        <v>8505840</v>
      </c>
    </row>
    <row r="3425" spans="1:7" x14ac:dyDescent="0.25">
      <c r="A3425" s="14" t="s">
        <v>1342</v>
      </c>
      <c r="B3425" s="14" t="s">
        <v>307</v>
      </c>
      <c r="C3425" s="15" t="s">
        <v>1378</v>
      </c>
      <c r="D3425" s="14" t="s">
        <v>1752</v>
      </c>
      <c r="E3425" s="14" t="s">
        <v>1747</v>
      </c>
      <c r="F3425" s="25">
        <v>61137180</v>
      </c>
      <c r="G3425" s="25">
        <v>48909744</v>
      </c>
    </row>
    <row r="3426" spans="1:7" x14ac:dyDescent="0.25">
      <c r="A3426" s="14" t="s">
        <v>1392</v>
      </c>
      <c r="B3426" s="14">
        <v>1</v>
      </c>
      <c r="C3426" s="15" t="s">
        <v>1391</v>
      </c>
      <c r="D3426" s="14" t="s">
        <v>1745</v>
      </c>
      <c r="E3426" s="14" t="s">
        <v>1746</v>
      </c>
      <c r="F3426" s="25">
        <v>35658</v>
      </c>
      <c r="G3426" s="25">
        <v>28526.400000000001</v>
      </c>
    </row>
    <row r="3427" spans="1:7" x14ac:dyDescent="0.25">
      <c r="A3427" s="14" t="s">
        <v>1392</v>
      </c>
      <c r="B3427" s="14">
        <v>1</v>
      </c>
      <c r="C3427" s="15" t="s">
        <v>1391</v>
      </c>
      <c r="D3427" s="14" t="s">
        <v>1749</v>
      </c>
      <c r="E3427" s="14" t="s">
        <v>1746</v>
      </c>
      <c r="F3427" s="25">
        <v>3396</v>
      </c>
      <c r="G3427" s="25">
        <v>2716.8</v>
      </c>
    </row>
    <row r="3428" spans="1:7" x14ac:dyDescent="0.25">
      <c r="A3428" s="14" t="s">
        <v>1392</v>
      </c>
      <c r="B3428" s="14">
        <v>1</v>
      </c>
      <c r="C3428" s="15" t="s">
        <v>1391</v>
      </c>
      <c r="D3428" s="14" t="s">
        <v>1745</v>
      </c>
      <c r="E3428" s="14" t="s">
        <v>1747</v>
      </c>
      <c r="F3428" s="25">
        <v>33960</v>
      </c>
      <c r="G3428" s="25">
        <v>27168</v>
      </c>
    </row>
    <row r="3429" spans="1:7" x14ac:dyDescent="0.25">
      <c r="A3429" s="14" t="s">
        <v>1396</v>
      </c>
      <c r="B3429" s="14">
        <v>22</v>
      </c>
      <c r="C3429" s="15" t="s">
        <v>1395</v>
      </c>
      <c r="D3429" s="14" t="s">
        <v>1749</v>
      </c>
      <c r="E3429" s="14" t="s">
        <v>1746</v>
      </c>
      <c r="F3429" s="25">
        <v>996</v>
      </c>
      <c r="G3429" s="25">
        <v>796.8</v>
      </c>
    </row>
    <row r="3430" spans="1:7" x14ac:dyDescent="0.25">
      <c r="A3430" s="14" t="s">
        <v>1396</v>
      </c>
      <c r="B3430" s="14" t="s">
        <v>112</v>
      </c>
      <c r="C3430" s="15" t="s">
        <v>2773</v>
      </c>
      <c r="D3430" s="14" t="s">
        <v>1745</v>
      </c>
      <c r="E3430" s="14" t="s">
        <v>1746</v>
      </c>
      <c r="F3430" s="25">
        <v>2079</v>
      </c>
      <c r="G3430" s="25">
        <v>1663.2</v>
      </c>
    </row>
    <row r="3431" spans="1:7" x14ac:dyDescent="0.25">
      <c r="A3431" s="14" t="s">
        <v>1396</v>
      </c>
      <c r="B3431" s="14">
        <v>22</v>
      </c>
      <c r="C3431" s="15" t="s">
        <v>1395</v>
      </c>
      <c r="D3431" s="14" t="s">
        <v>1745</v>
      </c>
      <c r="E3431" s="14" t="s">
        <v>1747</v>
      </c>
      <c r="F3431" s="25">
        <v>9960</v>
      </c>
      <c r="G3431" s="25">
        <v>7968</v>
      </c>
    </row>
    <row r="3432" spans="1:7" x14ac:dyDescent="0.25">
      <c r="A3432" s="14" t="s">
        <v>1396</v>
      </c>
      <c r="B3432" s="14" t="s">
        <v>112</v>
      </c>
      <c r="C3432" s="15" t="s">
        <v>2773</v>
      </c>
      <c r="D3432" s="14" t="s">
        <v>1745</v>
      </c>
      <c r="E3432" s="14" t="s">
        <v>1747</v>
      </c>
      <c r="F3432" s="25">
        <v>1980</v>
      </c>
      <c r="G3432" s="25">
        <v>1584</v>
      </c>
    </row>
    <row r="3433" spans="1:7" x14ac:dyDescent="0.25">
      <c r="A3433" s="14" t="s">
        <v>1396</v>
      </c>
      <c r="B3433" s="14">
        <v>21</v>
      </c>
      <c r="C3433" s="15" t="s">
        <v>2774</v>
      </c>
      <c r="D3433" s="14" t="s">
        <v>1752</v>
      </c>
      <c r="E3433" s="14" t="s">
        <v>1753</v>
      </c>
      <c r="F3433" s="25">
        <v>12060</v>
      </c>
      <c r="G3433" s="25">
        <v>10854</v>
      </c>
    </row>
    <row r="3434" spans="1:7" x14ac:dyDescent="0.25">
      <c r="A3434" s="14" t="s">
        <v>1396</v>
      </c>
      <c r="B3434" s="14">
        <v>21</v>
      </c>
      <c r="C3434" s="15" t="s">
        <v>2774</v>
      </c>
      <c r="D3434" s="14" t="s">
        <v>1749</v>
      </c>
      <c r="E3434" s="14" t="s">
        <v>1746</v>
      </c>
      <c r="F3434" s="25">
        <v>402</v>
      </c>
      <c r="G3434" s="25">
        <v>361.8</v>
      </c>
    </row>
    <row r="3435" spans="1:7" x14ac:dyDescent="0.25">
      <c r="A3435" s="14" t="s">
        <v>1396</v>
      </c>
      <c r="B3435" s="14">
        <v>22</v>
      </c>
      <c r="C3435" s="15" t="s">
        <v>1395</v>
      </c>
      <c r="D3435" s="14" t="s">
        <v>1752</v>
      </c>
      <c r="E3435" s="14" t="s">
        <v>1753</v>
      </c>
      <c r="F3435" s="25">
        <v>29880</v>
      </c>
      <c r="G3435" s="25">
        <v>23904</v>
      </c>
    </row>
    <row r="3436" spans="1:7" x14ac:dyDescent="0.25">
      <c r="A3436" s="14" t="s">
        <v>1396</v>
      </c>
      <c r="B3436" s="14">
        <v>21</v>
      </c>
      <c r="C3436" s="15" t="s">
        <v>2774</v>
      </c>
      <c r="D3436" s="14" t="s">
        <v>1745</v>
      </c>
      <c r="E3436" s="14" t="s">
        <v>1746</v>
      </c>
      <c r="F3436" s="25">
        <v>4221</v>
      </c>
      <c r="G3436" s="25">
        <v>3798.96</v>
      </c>
    </row>
    <row r="3437" spans="1:7" x14ac:dyDescent="0.25">
      <c r="A3437" s="14" t="s">
        <v>1396</v>
      </c>
      <c r="B3437" s="14">
        <v>22</v>
      </c>
      <c r="C3437" s="15" t="s">
        <v>1395</v>
      </c>
      <c r="D3437" s="14" t="s">
        <v>1745</v>
      </c>
      <c r="E3437" s="14" t="s">
        <v>1746</v>
      </c>
      <c r="F3437" s="25">
        <v>10458</v>
      </c>
      <c r="G3437" s="25">
        <v>8366.4</v>
      </c>
    </row>
    <row r="3438" spans="1:7" x14ac:dyDescent="0.25">
      <c r="A3438" s="14" t="s">
        <v>1396</v>
      </c>
      <c r="B3438" s="14">
        <v>22</v>
      </c>
      <c r="C3438" s="15" t="s">
        <v>1395</v>
      </c>
      <c r="D3438" s="14" t="s">
        <v>1752</v>
      </c>
      <c r="E3438" s="14" t="s">
        <v>1747</v>
      </c>
      <c r="F3438" s="25">
        <v>29880</v>
      </c>
      <c r="G3438" s="25">
        <v>23904</v>
      </c>
    </row>
    <row r="3439" spans="1:7" x14ac:dyDescent="0.25">
      <c r="A3439" s="14" t="s">
        <v>1396</v>
      </c>
      <c r="B3439" s="14">
        <v>21</v>
      </c>
      <c r="C3439" s="15" t="s">
        <v>2774</v>
      </c>
      <c r="D3439" s="14" t="s">
        <v>1745</v>
      </c>
      <c r="E3439" s="14" t="s">
        <v>1747</v>
      </c>
      <c r="F3439" s="25">
        <v>4020</v>
      </c>
      <c r="G3439" s="25">
        <v>3618</v>
      </c>
    </row>
    <row r="3440" spans="1:7" x14ac:dyDescent="0.25">
      <c r="A3440" s="14" t="s">
        <v>1396</v>
      </c>
      <c r="B3440" s="14" t="s">
        <v>112</v>
      </c>
      <c r="C3440" s="15" t="s">
        <v>2773</v>
      </c>
      <c r="D3440" s="14" t="s">
        <v>1749</v>
      </c>
      <c r="E3440" s="14" t="s">
        <v>1746</v>
      </c>
      <c r="F3440" s="25">
        <v>198</v>
      </c>
      <c r="G3440" s="25">
        <v>158.4</v>
      </c>
    </row>
    <row r="3441" spans="1:7" x14ac:dyDescent="0.25">
      <c r="A3441" s="14" t="s">
        <v>1396</v>
      </c>
      <c r="B3441" s="14" t="s">
        <v>183</v>
      </c>
      <c r="C3441" s="15" t="s">
        <v>2775</v>
      </c>
      <c r="D3441" s="14" t="s">
        <v>1749</v>
      </c>
      <c r="E3441" s="14" t="s">
        <v>1746</v>
      </c>
      <c r="F3441" s="25">
        <v>150</v>
      </c>
      <c r="G3441" s="25">
        <v>120</v>
      </c>
    </row>
    <row r="3442" spans="1:7" x14ac:dyDescent="0.25">
      <c r="A3442" s="14" t="s">
        <v>1396</v>
      </c>
      <c r="B3442" s="14" t="s">
        <v>183</v>
      </c>
      <c r="C3442" s="15" t="s">
        <v>2775</v>
      </c>
      <c r="D3442" s="14" t="s">
        <v>1745</v>
      </c>
      <c r="E3442" s="14" t="s">
        <v>1747</v>
      </c>
      <c r="F3442" s="25">
        <v>1500</v>
      </c>
      <c r="G3442" s="25">
        <v>1200</v>
      </c>
    </row>
    <row r="3443" spans="1:7" x14ac:dyDescent="0.25">
      <c r="A3443" s="14" t="s">
        <v>1396</v>
      </c>
      <c r="B3443" s="14" t="s">
        <v>183</v>
      </c>
      <c r="C3443" s="15" t="s">
        <v>2775</v>
      </c>
      <c r="D3443" s="14" t="s">
        <v>1745</v>
      </c>
      <c r="E3443" s="14" t="s">
        <v>1746</v>
      </c>
      <c r="F3443" s="25">
        <v>1575</v>
      </c>
      <c r="G3443" s="25">
        <v>1260</v>
      </c>
    </row>
    <row r="3444" spans="1:7" x14ac:dyDescent="0.25">
      <c r="A3444" s="14" t="s">
        <v>1396</v>
      </c>
      <c r="B3444" s="14">
        <v>21</v>
      </c>
      <c r="C3444" s="15" t="s">
        <v>2774</v>
      </c>
      <c r="D3444" s="14" t="s">
        <v>1752</v>
      </c>
      <c r="E3444" s="14" t="s">
        <v>1747</v>
      </c>
      <c r="F3444" s="25">
        <v>12060</v>
      </c>
      <c r="G3444" s="25">
        <v>10854</v>
      </c>
    </row>
    <row r="3445" spans="1:7" x14ac:dyDescent="0.25">
      <c r="A3445" s="14" t="s">
        <v>2776</v>
      </c>
      <c r="B3445" s="14" t="s">
        <v>73</v>
      </c>
      <c r="C3445" s="15" t="s">
        <v>2777</v>
      </c>
      <c r="D3445" s="14" t="s">
        <v>1745</v>
      </c>
      <c r="E3445" s="14" t="s">
        <v>1747</v>
      </c>
      <c r="F3445" s="25">
        <v>24960</v>
      </c>
      <c r="G3445" s="25">
        <v>19968</v>
      </c>
    </row>
    <row r="3446" spans="1:7" x14ac:dyDescent="0.25">
      <c r="A3446" s="14" t="s">
        <v>2776</v>
      </c>
      <c r="B3446" s="14" t="s">
        <v>118</v>
      </c>
      <c r="C3446" s="15" t="s">
        <v>2778</v>
      </c>
      <c r="D3446" s="14" t="s">
        <v>1749</v>
      </c>
      <c r="E3446" s="14" t="s">
        <v>1746</v>
      </c>
      <c r="F3446" s="25">
        <v>11982</v>
      </c>
      <c r="G3446" s="25">
        <v>10783.8</v>
      </c>
    </row>
    <row r="3447" spans="1:7" x14ac:dyDescent="0.25">
      <c r="A3447" s="14" t="s">
        <v>2779</v>
      </c>
      <c r="B3447" s="14" t="s">
        <v>20</v>
      </c>
      <c r="C3447" s="15" t="s">
        <v>2780</v>
      </c>
      <c r="D3447" s="14" t="s">
        <v>1745</v>
      </c>
      <c r="E3447" s="14" t="s">
        <v>1747</v>
      </c>
      <c r="F3447" s="25">
        <v>7500</v>
      </c>
      <c r="G3447" s="25">
        <v>6000</v>
      </c>
    </row>
    <row r="3448" spans="1:7" x14ac:dyDescent="0.25">
      <c r="A3448" s="14" t="s">
        <v>2776</v>
      </c>
      <c r="B3448" s="14">
        <v>18</v>
      </c>
      <c r="C3448" s="15" t="s">
        <v>2781</v>
      </c>
      <c r="D3448" s="14" t="s">
        <v>1745</v>
      </c>
      <c r="E3448" s="14" t="s">
        <v>1746</v>
      </c>
      <c r="F3448" s="25">
        <v>125811</v>
      </c>
      <c r="G3448" s="25">
        <v>113230</v>
      </c>
    </row>
    <row r="3449" spans="1:7" x14ac:dyDescent="0.25">
      <c r="A3449" s="14" t="s">
        <v>2776</v>
      </c>
      <c r="B3449" s="14" t="s">
        <v>243</v>
      </c>
      <c r="C3449" s="15" t="s">
        <v>2782</v>
      </c>
      <c r="D3449" s="14" t="s">
        <v>1745</v>
      </c>
      <c r="E3449" s="14" t="s">
        <v>1746</v>
      </c>
      <c r="F3449" s="25">
        <v>10458</v>
      </c>
      <c r="G3449" s="25">
        <v>9412.2000000000007</v>
      </c>
    </row>
    <row r="3450" spans="1:7" x14ac:dyDescent="0.25">
      <c r="A3450" s="14" t="s">
        <v>2776</v>
      </c>
      <c r="B3450" s="14">
        <v>2</v>
      </c>
      <c r="C3450" s="15" t="s">
        <v>2783</v>
      </c>
      <c r="D3450" s="14" t="s">
        <v>1745</v>
      </c>
      <c r="E3450" s="14" t="s">
        <v>1746</v>
      </c>
      <c r="F3450" s="25">
        <v>4221</v>
      </c>
      <c r="G3450" s="25">
        <v>3376.8</v>
      </c>
    </row>
    <row r="3451" spans="1:7" x14ac:dyDescent="0.25">
      <c r="A3451" s="14" t="s">
        <v>2776</v>
      </c>
      <c r="B3451" s="14" t="s">
        <v>102</v>
      </c>
      <c r="C3451" s="15" t="s">
        <v>2784</v>
      </c>
      <c r="D3451" s="14" t="s">
        <v>1745</v>
      </c>
      <c r="E3451" s="14" t="s">
        <v>1747</v>
      </c>
      <c r="F3451" s="25">
        <v>7500</v>
      </c>
      <c r="G3451" s="25">
        <v>6000</v>
      </c>
    </row>
    <row r="3452" spans="1:7" x14ac:dyDescent="0.25">
      <c r="A3452" s="14" t="s">
        <v>2779</v>
      </c>
      <c r="B3452" s="14" t="s">
        <v>89</v>
      </c>
      <c r="C3452" s="15" t="s">
        <v>2785</v>
      </c>
      <c r="D3452" s="14" t="s">
        <v>1745</v>
      </c>
      <c r="E3452" s="14" t="s">
        <v>1747</v>
      </c>
      <c r="F3452" s="25">
        <v>9960</v>
      </c>
      <c r="G3452" s="25">
        <v>8964</v>
      </c>
    </row>
    <row r="3453" spans="1:7" x14ac:dyDescent="0.25">
      <c r="A3453" s="14" t="s">
        <v>2776</v>
      </c>
      <c r="B3453" s="14">
        <v>16</v>
      </c>
      <c r="C3453" s="15" t="s">
        <v>2786</v>
      </c>
      <c r="D3453" s="14" t="s">
        <v>1745</v>
      </c>
      <c r="E3453" s="14" t="s">
        <v>1747</v>
      </c>
      <c r="F3453" s="25">
        <v>9960</v>
      </c>
      <c r="G3453" s="25">
        <v>8964</v>
      </c>
    </row>
    <row r="3454" spans="1:7" x14ac:dyDescent="0.25">
      <c r="A3454" s="14" t="s">
        <v>2776</v>
      </c>
      <c r="B3454" s="14" t="s">
        <v>73</v>
      </c>
      <c r="C3454" s="15" t="s">
        <v>2777</v>
      </c>
      <c r="D3454" s="14" t="s">
        <v>1749</v>
      </c>
      <c r="E3454" s="14" t="s">
        <v>1746</v>
      </c>
      <c r="F3454" s="25">
        <v>2496</v>
      </c>
      <c r="G3454" s="25">
        <v>1996.8</v>
      </c>
    </row>
    <row r="3455" spans="1:7" x14ac:dyDescent="0.25">
      <c r="A3455" s="14" t="s">
        <v>2776</v>
      </c>
      <c r="B3455" s="14" t="s">
        <v>36</v>
      </c>
      <c r="C3455" s="15" t="s">
        <v>2787</v>
      </c>
      <c r="D3455" s="14" t="s">
        <v>1745</v>
      </c>
      <c r="E3455" s="14" t="s">
        <v>1747</v>
      </c>
      <c r="F3455" s="25">
        <v>1620</v>
      </c>
      <c r="G3455" s="25">
        <v>1458</v>
      </c>
    </row>
    <row r="3456" spans="1:7" x14ac:dyDescent="0.25">
      <c r="A3456" s="14" t="s">
        <v>2776</v>
      </c>
      <c r="B3456" s="14">
        <v>18</v>
      </c>
      <c r="C3456" s="15" t="s">
        <v>2781</v>
      </c>
      <c r="D3456" s="14" t="s">
        <v>1745</v>
      </c>
      <c r="E3456" s="14" t="s">
        <v>1747</v>
      </c>
      <c r="F3456" s="25">
        <v>119820</v>
      </c>
      <c r="G3456" s="25">
        <v>107838</v>
      </c>
    </row>
    <row r="3457" spans="1:7" x14ac:dyDescent="0.25">
      <c r="A3457" s="14" t="s">
        <v>2776</v>
      </c>
      <c r="B3457" s="14" t="s">
        <v>195</v>
      </c>
      <c r="C3457" s="15" t="s">
        <v>2788</v>
      </c>
      <c r="D3457" s="14" t="s">
        <v>1745</v>
      </c>
      <c r="E3457" s="14" t="s">
        <v>1747</v>
      </c>
      <c r="F3457" s="25">
        <v>7500</v>
      </c>
      <c r="G3457" s="25">
        <v>6000</v>
      </c>
    </row>
    <row r="3458" spans="1:7" x14ac:dyDescent="0.25">
      <c r="A3458" s="14" t="s">
        <v>2779</v>
      </c>
      <c r="B3458" s="14" t="s">
        <v>50</v>
      </c>
      <c r="C3458" s="15" t="s">
        <v>2789</v>
      </c>
      <c r="D3458" s="14" t="s">
        <v>1745</v>
      </c>
      <c r="E3458" s="14" t="s">
        <v>1746</v>
      </c>
      <c r="F3458" s="25">
        <v>125811</v>
      </c>
      <c r="G3458" s="25">
        <v>113230</v>
      </c>
    </row>
    <row r="3459" spans="1:7" x14ac:dyDescent="0.25">
      <c r="A3459" s="14" t="s">
        <v>2776</v>
      </c>
      <c r="B3459" s="14" t="s">
        <v>34</v>
      </c>
      <c r="C3459" s="15" t="s">
        <v>2790</v>
      </c>
      <c r="D3459" s="14" t="s">
        <v>1745</v>
      </c>
      <c r="E3459" s="14" t="s">
        <v>1746</v>
      </c>
      <c r="F3459" s="25">
        <v>314496</v>
      </c>
      <c r="G3459" s="25">
        <v>251596.79999999999</v>
      </c>
    </row>
    <row r="3460" spans="1:7" x14ac:dyDescent="0.25">
      <c r="A3460" s="14" t="s">
        <v>2776</v>
      </c>
      <c r="B3460" s="14">
        <v>18</v>
      </c>
      <c r="C3460" s="15" t="s">
        <v>2781</v>
      </c>
      <c r="D3460" s="14" t="s">
        <v>1749</v>
      </c>
      <c r="E3460" s="14" t="s">
        <v>1746</v>
      </c>
      <c r="F3460" s="25">
        <v>11982</v>
      </c>
      <c r="G3460" s="25">
        <v>10783.8</v>
      </c>
    </row>
    <row r="3461" spans="1:7" x14ac:dyDescent="0.25">
      <c r="A3461" s="14" t="s">
        <v>2776</v>
      </c>
      <c r="B3461" s="14" t="s">
        <v>650</v>
      </c>
      <c r="C3461" s="15" t="s">
        <v>2791</v>
      </c>
      <c r="D3461" s="14" t="s">
        <v>1745</v>
      </c>
      <c r="E3461" s="14" t="s">
        <v>1747</v>
      </c>
      <c r="F3461" s="25">
        <v>599.04</v>
      </c>
      <c r="G3461" s="25">
        <v>479.23</v>
      </c>
    </row>
    <row r="3462" spans="1:7" x14ac:dyDescent="0.25">
      <c r="A3462" s="14" t="s">
        <v>2776</v>
      </c>
      <c r="B3462" s="14" t="s">
        <v>73</v>
      </c>
      <c r="C3462" s="15" t="s">
        <v>2777</v>
      </c>
      <c r="D3462" s="14" t="s">
        <v>1745</v>
      </c>
      <c r="E3462" s="14" t="s">
        <v>1746</v>
      </c>
      <c r="F3462" s="25">
        <v>26208</v>
      </c>
      <c r="G3462" s="25">
        <v>20966.400000000001</v>
      </c>
    </row>
    <row r="3463" spans="1:7" x14ac:dyDescent="0.25">
      <c r="A3463" s="14" t="s">
        <v>2776</v>
      </c>
      <c r="B3463" s="14" t="s">
        <v>29</v>
      </c>
      <c r="C3463" s="15" t="s">
        <v>2792</v>
      </c>
      <c r="D3463" s="14" t="s">
        <v>1745</v>
      </c>
      <c r="E3463" s="14" t="s">
        <v>1747</v>
      </c>
      <c r="F3463" s="25">
        <v>798.72</v>
      </c>
      <c r="G3463" s="25">
        <v>638.98</v>
      </c>
    </row>
    <row r="3464" spans="1:7" x14ac:dyDescent="0.25">
      <c r="A3464" s="14" t="s">
        <v>2776</v>
      </c>
      <c r="B3464" s="14" t="s">
        <v>29</v>
      </c>
      <c r="C3464" s="15" t="s">
        <v>2792</v>
      </c>
      <c r="D3464" s="14" t="s">
        <v>1745</v>
      </c>
      <c r="E3464" s="14" t="s">
        <v>1746</v>
      </c>
      <c r="F3464" s="25">
        <v>838.68</v>
      </c>
      <c r="G3464" s="25">
        <v>670.92</v>
      </c>
    </row>
    <row r="3465" spans="1:7" x14ac:dyDescent="0.25">
      <c r="A3465" s="14" t="s">
        <v>2779</v>
      </c>
      <c r="B3465" s="14" t="s">
        <v>89</v>
      </c>
      <c r="C3465" s="15" t="s">
        <v>2785</v>
      </c>
      <c r="D3465" s="14" t="s">
        <v>1749</v>
      </c>
      <c r="E3465" s="14" t="s">
        <v>1746</v>
      </c>
      <c r="F3465" s="25">
        <v>996</v>
      </c>
      <c r="G3465" s="25">
        <v>896.4</v>
      </c>
    </row>
    <row r="3466" spans="1:7" x14ac:dyDescent="0.25">
      <c r="A3466" s="14" t="s">
        <v>2776</v>
      </c>
      <c r="B3466" s="14" t="s">
        <v>34</v>
      </c>
      <c r="C3466" s="15" t="s">
        <v>2790</v>
      </c>
      <c r="D3466" s="14" t="s">
        <v>1745</v>
      </c>
      <c r="E3466" s="14" t="s">
        <v>1747</v>
      </c>
      <c r="F3466" s="25">
        <v>299520</v>
      </c>
      <c r="G3466" s="25">
        <v>239616</v>
      </c>
    </row>
    <row r="3467" spans="1:7" x14ac:dyDescent="0.25">
      <c r="A3467" s="14" t="s">
        <v>2779</v>
      </c>
      <c r="B3467" s="14" t="s">
        <v>20</v>
      </c>
      <c r="C3467" s="15" t="s">
        <v>2780</v>
      </c>
      <c r="D3467" s="14" t="s">
        <v>1745</v>
      </c>
      <c r="E3467" s="14" t="s">
        <v>1746</v>
      </c>
      <c r="F3467" s="25">
        <v>7875</v>
      </c>
      <c r="G3467" s="25">
        <v>6300</v>
      </c>
    </row>
    <row r="3468" spans="1:7" x14ac:dyDescent="0.25">
      <c r="A3468" s="14" t="s">
        <v>2779</v>
      </c>
      <c r="B3468" s="14" t="s">
        <v>89</v>
      </c>
      <c r="C3468" s="15" t="s">
        <v>2785</v>
      </c>
      <c r="D3468" s="14" t="s">
        <v>1745</v>
      </c>
      <c r="E3468" s="14" t="s">
        <v>1746</v>
      </c>
      <c r="F3468" s="25">
        <v>10458</v>
      </c>
      <c r="G3468" s="25">
        <v>9412.2000000000007</v>
      </c>
    </row>
    <row r="3469" spans="1:7" x14ac:dyDescent="0.25">
      <c r="A3469" s="14" t="s">
        <v>2776</v>
      </c>
      <c r="B3469" s="14" t="s">
        <v>34</v>
      </c>
      <c r="C3469" s="15" t="s">
        <v>2790</v>
      </c>
      <c r="D3469" s="14" t="s">
        <v>1749</v>
      </c>
      <c r="E3469" s="14" t="s">
        <v>1746</v>
      </c>
      <c r="F3469" s="25">
        <v>29952</v>
      </c>
      <c r="G3469" s="25">
        <v>23961.599999999999</v>
      </c>
    </row>
    <row r="3470" spans="1:7" x14ac:dyDescent="0.25">
      <c r="A3470" s="14" t="s">
        <v>2776</v>
      </c>
      <c r="B3470" s="14">
        <v>2</v>
      </c>
      <c r="C3470" s="15" t="s">
        <v>2783</v>
      </c>
      <c r="D3470" s="14" t="s">
        <v>1749</v>
      </c>
      <c r="E3470" s="14" t="s">
        <v>1746</v>
      </c>
      <c r="F3470" s="25">
        <v>402</v>
      </c>
      <c r="G3470" s="25">
        <v>321.60000000000002</v>
      </c>
    </row>
    <row r="3471" spans="1:7" x14ac:dyDescent="0.25">
      <c r="A3471" s="14" t="s">
        <v>2776</v>
      </c>
      <c r="B3471" s="14" t="s">
        <v>195</v>
      </c>
      <c r="C3471" s="15" t="s">
        <v>2788</v>
      </c>
      <c r="D3471" s="14" t="s">
        <v>1745</v>
      </c>
      <c r="E3471" s="14" t="s">
        <v>1746</v>
      </c>
      <c r="F3471" s="25">
        <v>7875</v>
      </c>
      <c r="G3471" s="25">
        <v>6300</v>
      </c>
    </row>
    <row r="3472" spans="1:7" x14ac:dyDescent="0.25">
      <c r="A3472" s="14" t="s">
        <v>2779</v>
      </c>
      <c r="B3472" s="14" t="s">
        <v>50</v>
      </c>
      <c r="C3472" s="15" t="s">
        <v>2789</v>
      </c>
      <c r="D3472" s="14" t="s">
        <v>1745</v>
      </c>
      <c r="E3472" s="14" t="s">
        <v>1747</v>
      </c>
      <c r="F3472" s="25">
        <v>119820</v>
      </c>
      <c r="G3472" s="25">
        <v>107838</v>
      </c>
    </row>
    <row r="3473" spans="1:7" x14ac:dyDescent="0.25">
      <c r="A3473" s="14" t="s">
        <v>2776</v>
      </c>
      <c r="B3473" s="14" t="s">
        <v>102</v>
      </c>
      <c r="C3473" s="15" t="s">
        <v>2784</v>
      </c>
      <c r="D3473" s="14" t="s">
        <v>1749</v>
      </c>
      <c r="E3473" s="14" t="s">
        <v>1746</v>
      </c>
      <c r="F3473" s="25">
        <v>750</v>
      </c>
      <c r="G3473" s="25">
        <v>600</v>
      </c>
    </row>
    <row r="3474" spans="1:7" x14ac:dyDescent="0.25">
      <c r="A3474" s="14" t="s">
        <v>2776</v>
      </c>
      <c r="B3474" s="14">
        <v>16</v>
      </c>
      <c r="C3474" s="15" t="s">
        <v>2786</v>
      </c>
      <c r="D3474" s="14" t="s">
        <v>1745</v>
      </c>
      <c r="E3474" s="14" t="s">
        <v>1746</v>
      </c>
      <c r="F3474" s="25">
        <v>10458</v>
      </c>
      <c r="G3474" s="25">
        <v>9412.2000000000007</v>
      </c>
    </row>
    <row r="3475" spans="1:7" x14ac:dyDescent="0.25">
      <c r="A3475" s="14" t="s">
        <v>2776</v>
      </c>
      <c r="B3475" s="14">
        <v>15</v>
      </c>
      <c r="C3475" s="15" t="s">
        <v>2793</v>
      </c>
      <c r="D3475" s="14" t="s">
        <v>1749</v>
      </c>
      <c r="E3475" s="14" t="s">
        <v>1746</v>
      </c>
      <c r="F3475" s="25">
        <v>8988</v>
      </c>
      <c r="G3475" s="25">
        <v>7190.4</v>
      </c>
    </row>
    <row r="3476" spans="1:7" x14ac:dyDescent="0.25">
      <c r="A3476" s="14" t="s">
        <v>2776</v>
      </c>
      <c r="B3476" s="14" t="s">
        <v>102</v>
      </c>
      <c r="C3476" s="15" t="s">
        <v>2784</v>
      </c>
      <c r="D3476" s="14" t="s">
        <v>1745</v>
      </c>
      <c r="E3476" s="14" t="s">
        <v>1746</v>
      </c>
      <c r="F3476" s="25">
        <v>7875</v>
      </c>
      <c r="G3476" s="25">
        <v>6300</v>
      </c>
    </row>
    <row r="3477" spans="1:7" x14ac:dyDescent="0.25">
      <c r="A3477" s="14" t="s">
        <v>2776</v>
      </c>
      <c r="B3477" s="14" t="s">
        <v>118</v>
      </c>
      <c r="C3477" s="15" t="s">
        <v>2778</v>
      </c>
      <c r="D3477" s="14" t="s">
        <v>1745</v>
      </c>
      <c r="E3477" s="14" t="s">
        <v>1746</v>
      </c>
      <c r="F3477" s="25">
        <v>125811</v>
      </c>
      <c r="G3477" s="25">
        <v>113230</v>
      </c>
    </row>
    <row r="3478" spans="1:7" x14ac:dyDescent="0.25">
      <c r="A3478" s="14" t="s">
        <v>2776</v>
      </c>
      <c r="B3478" s="14">
        <v>16</v>
      </c>
      <c r="C3478" s="15" t="s">
        <v>2786</v>
      </c>
      <c r="D3478" s="14" t="s">
        <v>1749</v>
      </c>
      <c r="E3478" s="14" t="s">
        <v>1746</v>
      </c>
      <c r="F3478" s="25">
        <v>996</v>
      </c>
      <c r="G3478" s="25">
        <v>896.4</v>
      </c>
    </row>
    <row r="3479" spans="1:7" x14ac:dyDescent="0.25">
      <c r="A3479" s="14" t="s">
        <v>2776</v>
      </c>
      <c r="B3479" s="14" t="s">
        <v>650</v>
      </c>
      <c r="C3479" s="15" t="s">
        <v>2791</v>
      </c>
      <c r="D3479" s="14" t="s">
        <v>1749</v>
      </c>
      <c r="E3479" s="14" t="s">
        <v>1746</v>
      </c>
      <c r="F3479" s="25">
        <v>59.9</v>
      </c>
      <c r="G3479" s="25">
        <v>47.92</v>
      </c>
    </row>
    <row r="3480" spans="1:7" x14ac:dyDescent="0.25">
      <c r="A3480" s="14" t="s">
        <v>2776</v>
      </c>
      <c r="B3480" s="14">
        <v>15</v>
      </c>
      <c r="C3480" s="15" t="s">
        <v>2793</v>
      </c>
      <c r="D3480" s="14" t="s">
        <v>1745</v>
      </c>
      <c r="E3480" s="14" t="s">
        <v>1747</v>
      </c>
      <c r="F3480" s="25">
        <v>89880</v>
      </c>
      <c r="G3480" s="25">
        <v>71904</v>
      </c>
    </row>
    <row r="3481" spans="1:7" x14ac:dyDescent="0.25">
      <c r="A3481" s="14" t="s">
        <v>2776</v>
      </c>
      <c r="B3481" s="14" t="s">
        <v>118</v>
      </c>
      <c r="C3481" s="15" t="s">
        <v>2778</v>
      </c>
      <c r="D3481" s="14" t="s">
        <v>1745</v>
      </c>
      <c r="E3481" s="14" t="s">
        <v>1747</v>
      </c>
      <c r="F3481" s="25">
        <v>119820</v>
      </c>
      <c r="G3481" s="25">
        <v>107838</v>
      </c>
    </row>
    <row r="3482" spans="1:7" x14ac:dyDescent="0.25">
      <c r="A3482" s="14" t="s">
        <v>2776</v>
      </c>
      <c r="B3482" s="14" t="s">
        <v>36</v>
      </c>
      <c r="C3482" s="15" t="s">
        <v>2787</v>
      </c>
      <c r="D3482" s="14" t="s">
        <v>1749</v>
      </c>
      <c r="E3482" s="14" t="s">
        <v>1746</v>
      </c>
      <c r="F3482" s="25">
        <v>162</v>
      </c>
      <c r="G3482" s="25">
        <v>145.80000000000001</v>
      </c>
    </row>
    <row r="3483" spans="1:7" x14ac:dyDescent="0.25">
      <c r="A3483" s="14" t="s">
        <v>2776</v>
      </c>
      <c r="B3483" s="14" t="s">
        <v>243</v>
      </c>
      <c r="C3483" s="15" t="s">
        <v>2782</v>
      </c>
      <c r="D3483" s="14" t="s">
        <v>1745</v>
      </c>
      <c r="E3483" s="14" t="s">
        <v>1747</v>
      </c>
      <c r="F3483" s="25">
        <v>9960</v>
      </c>
      <c r="G3483" s="25">
        <v>8964</v>
      </c>
    </row>
    <row r="3484" spans="1:7" x14ac:dyDescent="0.25">
      <c r="A3484" s="14" t="s">
        <v>2776</v>
      </c>
      <c r="B3484" s="14" t="s">
        <v>36</v>
      </c>
      <c r="C3484" s="15" t="s">
        <v>2787</v>
      </c>
      <c r="D3484" s="14" t="s">
        <v>1745</v>
      </c>
      <c r="E3484" s="14" t="s">
        <v>1746</v>
      </c>
      <c r="F3484" s="25">
        <v>1701</v>
      </c>
      <c r="G3484" s="25">
        <v>1530.96</v>
      </c>
    </row>
    <row r="3485" spans="1:7" x14ac:dyDescent="0.25">
      <c r="A3485" s="14" t="s">
        <v>2779</v>
      </c>
      <c r="B3485" s="14" t="s">
        <v>50</v>
      </c>
      <c r="C3485" s="15" t="s">
        <v>2789</v>
      </c>
      <c r="D3485" s="14" t="s">
        <v>1749</v>
      </c>
      <c r="E3485" s="14" t="s">
        <v>1746</v>
      </c>
      <c r="F3485" s="25">
        <v>11982</v>
      </c>
      <c r="G3485" s="25">
        <v>10783.8</v>
      </c>
    </row>
    <row r="3486" spans="1:7" x14ac:dyDescent="0.25">
      <c r="A3486" s="14" t="s">
        <v>2776</v>
      </c>
      <c r="B3486" s="14" t="s">
        <v>650</v>
      </c>
      <c r="C3486" s="15" t="s">
        <v>2791</v>
      </c>
      <c r="D3486" s="14" t="s">
        <v>1745</v>
      </c>
      <c r="E3486" s="14" t="s">
        <v>1746</v>
      </c>
      <c r="F3486" s="25">
        <v>629.04</v>
      </c>
      <c r="G3486" s="25">
        <v>503.16</v>
      </c>
    </row>
    <row r="3487" spans="1:7" x14ac:dyDescent="0.25">
      <c r="A3487" s="14" t="s">
        <v>2776</v>
      </c>
      <c r="B3487" s="14">
        <v>2</v>
      </c>
      <c r="C3487" s="15" t="s">
        <v>2783</v>
      </c>
      <c r="D3487" s="14" t="s">
        <v>1745</v>
      </c>
      <c r="E3487" s="14" t="s">
        <v>1747</v>
      </c>
      <c r="F3487" s="25">
        <v>4020</v>
      </c>
      <c r="G3487" s="25">
        <v>3216</v>
      </c>
    </row>
    <row r="3488" spans="1:7" x14ac:dyDescent="0.25">
      <c r="A3488" s="14" t="s">
        <v>2776</v>
      </c>
      <c r="B3488" s="14" t="s">
        <v>243</v>
      </c>
      <c r="C3488" s="15" t="s">
        <v>2782</v>
      </c>
      <c r="D3488" s="14" t="s">
        <v>1749</v>
      </c>
      <c r="E3488" s="14" t="s">
        <v>1746</v>
      </c>
      <c r="F3488" s="25">
        <v>996</v>
      </c>
      <c r="G3488" s="25">
        <v>896.4</v>
      </c>
    </row>
    <row r="3489" spans="1:7" x14ac:dyDescent="0.25">
      <c r="A3489" s="14" t="s">
        <v>2779</v>
      </c>
      <c r="B3489" s="14" t="s">
        <v>20</v>
      </c>
      <c r="C3489" s="15" t="s">
        <v>2780</v>
      </c>
      <c r="D3489" s="14" t="s">
        <v>1749</v>
      </c>
      <c r="E3489" s="14" t="s">
        <v>1746</v>
      </c>
      <c r="F3489" s="25">
        <v>750</v>
      </c>
      <c r="G3489" s="25">
        <v>600</v>
      </c>
    </row>
    <row r="3490" spans="1:7" x14ac:dyDescent="0.25">
      <c r="A3490" s="14" t="s">
        <v>2776</v>
      </c>
      <c r="B3490" s="14">
        <v>15</v>
      </c>
      <c r="C3490" s="15" t="s">
        <v>2793</v>
      </c>
      <c r="D3490" s="14" t="s">
        <v>1745</v>
      </c>
      <c r="E3490" s="14" t="s">
        <v>1746</v>
      </c>
      <c r="F3490" s="25">
        <v>94374</v>
      </c>
      <c r="G3490" s="25">
        <v>75499.199999999997</v>
      </c>
    </row>
    <row r="3491" spans="1:7" x14ac:dyDescent="0.25">
      <c r="A3491" s="14" t="s">
        <v>2776</v>
      </c>
      <c r="B3491" s="14" t="s">
        <v>195</v>
      </c>
      <c r="C3491" s="15" t="s">
        <v>2788</v>
      </c>
      <c r="D3491" s="14" t="s">
        <v>1749</v>
      </c>
      <c r="E3491" s="14" t="s">
        <v>1746</v>
      </c>
      <c r="F3491" s="25">
        <v>750</v>
      </c>
      <c r="G3491" s="25">
        <v>600</v>
      </c>
    </row>
    <row r="3492" spans="1:7" x14ac:dyDescent="0.25">
      <c r="A3492" s="14" t="s">
        <v>2776</v>
      </c>
      <c r="B3492" s="14" t="s">
        <v>29</v>
      </c>
      <c r="C3492" s="15" t="s">
        <v>2792</v>
      </c>
      <c r="D3492" s="14" t="s">
        <v>1749</v>
      </c>
      <c r="E3492" s="14" t="s">
        <v>1746</v>
      </c>
      <c r="F3492" s="25">
        <v>79.87</v>
      </c>
      <c r="G3492" s="25">
        <v>63.9</v>
      </c>
    </row>
    <row r="3493" spans="1:7" x14ac:dyDescent="0.25">
      <c r="A3493" s="14" t="s">
        <v>2794</v>
      </c>
      <c r="B3493" s="14">
        <v>12</v>
      </c>
      <c r="C3493" s="15" t="s">
        <v>2795</v>
      </c>
      <c r="D3493" s="14" t="s">
        <v>1749</v>
      </c>
      <c r="E3493" s="14" t="s">
        <v>1746</v>
      </c>
      <c r="F3493" s="25">
        <v>74.88</v>
      </c>
      <c r="G3493" s="25">
        <v>59.9</v>
      </c>
    </row>
    <row r="3494" spans="1:7" x14ac:dyDescent="0.25">
      <c r="A3494" s="14" t="s">
        <v>2794</v>
      </c>
      <c r="B3494" s="14">
        <v>3</v>
      </c>
      <c r="C3494" s="15" t="s">
        <v>2796</v>
      </c>
      <c r="D3494" s="14" t="s">
        <v>1745</v>
      </c>
      <c r="E3494" s="14" t="s">
        <v>1747</v>
      </c>
      <c r="F3494" s="25">
        <v>4980</v>
      </c>
      <c r="G3494" s="25">
        <v>3984</v>
      </c>
    </row>
    <row r="3495" spans="1:7" x14ac:dyDescent="0.25">
      <c r="A3495" s="14" t="s">
        <v>2794</v>
      </c>
      <c r="B3495" s="14">
        <v>3</v>
      </c>
      <c r="C3495" s="15" t="s">
        <v>2796</v>
      </c>
      <c r="D3495" s="14" t="s">
        <v>1745</v>
      </c>
      <c r="E3495" s="14" t="s">
        <v>1746</v>
      </c>
      <c r="F3495" s="25">
        <v>5229</v>
      </c>
      <c r="G3495" s="25">
        <v>4183.2</v>
      </c>
    </row>
    <row r="3496" spans="1:7" x14ac:dyDescent="0.25">
      <c r="A3496" s="14" t="s">
        <v>2794</v>
      </c>
      <c r="B3496" s="14">
        <v>11</v>
      </c>
      <c r="C3496" s="15" t="s">
        <v>2797</v>
      </c>
      <c r="D3496" s="14" t="s">
        <v>1745</v>
      </c>
      <c r="E3496" s="14" t="s">
        <v>1746</v>
      </c>
      <c r="F3496" s="25">
        <v>2079</v>
      </c>
      <c r="G3496" s="25">
        <v>1871.16</v>
      </c>
    </row>
    <row r="3497" spans="1:7" x14ac:dyDescent="0.25">
      <c r="A3497" s="14" t="s">
        <v>2794</v>
      </c>
      <c r="B3497" s="14">
        <v>14</v>
      </c>
      <c r="C3497" s="15" t="s">
        <v>2798</v>
      </c>
      <c r="D3497" s="14" t="s">
        <v>1749</v>
      </c>
      <c r="E3497" s="14" t="s">
        <v>1746</v>
      </c>
      <c r="F3497" s="25">
        <v>99.84</v>
      </c>
      <c r="G3497" s="25">
        <v>79.87</v>
      </c>
    </row>
    <row r="3498" spans="1:7" x14ac:dyDescent="0.25">
      <c r="A3498" s="14" t="s">
        <v>2794</v>
      </c>
      <c r="B3498" s="14">
        <v>4</v>
      </c>
      <c r="C3498" s="15" t="s">
        <v>2796</v>
      </c>
      <c r="D3498" s="14" t="s">
        <v>1749</v>
      </c>
      <c r="E3498" s="14" t="s">
        <v>1766</v>
      </c>
      <c r="F3498" s="25">
        <v>0</v>
      </c>
      <c r="G3498" s="25">
        <v>0</v>
      </c>
    </row>
    <row r="3499" spans="1:7" x14ac:dyDescent="0.25">
      <c r="A3499" s="14" t="s">
        <v>2794</v>
      </c>
      <c r="B3499" s="14">
        <v>12</v>
      </c>
      <c r="C3499" s="15" t="s">
        <v>2795</v>
      </c>
      <c r="D3499" s="14" t="s">
        <v>1745</v>
      </c>
      <c r="E3499" s="14" t="s">
        <v>1746</v>
      </c>
      <c r="F3499" s="25">
        <v>786.24</v>
      </c>
      <c r="G3499" s="25">
        <v>629.04</v>
      </c>
    </row>
    <row r="3500" spans="1:7" x14ac:dyDescent="0.25">
      <c r="A3500" s="14" t="s">
        <v>2794</v>
      </c>
      <c r="B3500" s="14">
        <v>14</v>
      </c>
      <c r="C3500" s="15" t="s">
        <v>2798</v>
      </c>
      <c r="D3500" s="14" t="s">
        <v>1745</v>
      </c>
      <c r="E3500" s="14" t="s">
        <v>1746</v>
      </c>
      <c r="F3500" s="25">
        <v>1048.32</v>
      </c>
      <c r="G3500" s="25">
        <v>838.68</v>
      </c>
    </row>
    <row r="3501" spans="1:7" x14ac:dyDescent="0.25">
      <c r="A3501" s="14" t="s">
        <v>2794</v>
      </c>
      <c r="B3501" s="14">
        <v>11</v>
      </c>
      <c r="C3501" s="15" t="s">
        <v>2797</v>
      </c>
      <c r="D3501" s="14" t="s">
        <v>1749</v>
      </c>
      <c r="E3501" s="14" t="s">
        <v>1746</v>
      </c>
      <c r="F3501" s="25">
        <v>198</v>
      </c>
      <c r="G3501" s="25">
        <v>178.2</v>
      </c>
    </row>
    <row r="3502" spans="1:7" x14ac:dyDescent="0.25">
      <c r="A3502" s="14" t="s">
        <v>2794</v>
      </c>
      <c r="B3502" s="14">
        <v>3</v>
      </c>
      <c r="C3502" s="15" t="s">
        <v>2796</v>
      </c>
      <c r="D3502" s="14" t="s">
        <v>1749</v>
      </c>
      <c r="E3502" s="14" t="s">
        <v>1746</v>
      </c>
      <c r="F3502" s="25">
        <v>498</v>
      </c>
      <c r="G3502" s="25">
        <v>398.4</v>
      </c>
    </row>
    <row r="3503" spans="1:7" x14ac:dyDescent="0.25">
      <c r="A3503" s="14" t="s">
        <v>2794</v>
      </c>
      <c r="B3503" s="14">
        <v>14</v>
      </c>
      <c r="C3503" s="15" t="s">
        <v>2798</v>
      </c>
      <c r="D3503" s="14" t="s">
        <v>1745</v>
      </c>
      <c r="E3503" s="14" t="s">
        <v>1747</v>
      </c>
      <c r="F3503" s="25">
        <v>998.4</v>
      </c>
      <c r="G3503" s="25">
        <v>798.72</v>
      </c>
    </row>
    <row r="3504" spans="1:7" x14ac:dyDescent="0.25">
      <c r="A3504" s="14" t="s">
        <v>2794</v>
      </c>
      <c r="B3504" s="14" t="s">
        <v>317</v>
      </c>
      <c r="C3504" s="15" t="s">
        <v>2797</v>
      </c>
      <c r="D3504" s="14" t="s">
        <v>1749</v>
      </c>
      <c r="E3504" s="14" t="s">
        <v>1766</v>
      </c>
      <c r="F3504" s="25">
        <v>0</v>
      </c>
      <c r="G3504" s="25">
        <v>0</v>
      </c>
    </row>
    <row r="3505" spans="1:7" x14ac:dyDescent="0.25">
      <c r="A3505" s="14" t="s">
        <v>2794</v>
      </c>
      <c r="B3505" s="14">
        <v>12</v>
      </c>
      <c r="C3505" s="15" t="s">
        <v>2795</v>
      </c>
      <c r="D3505" s="14" t="s">
        <v>1745</v>
      </c>
      <c r="E3505" s="14" t="s">
        <v>1747</v>
      </c>
      <c r="F3505" s="25">
        <v>748.8</v>
      </c>
      <c r="G3505" s="25">
        <v>599.04</v>
      </c>
    </row>
    <row r="3506" spans="1:7" x14ac:dyDescent="0.25">
      <c r="A3506" s="14" t="s">
        <v>2794</v>
      </c>
      <c r="B3506" s="14">
        <v>11</v>
      </c>
      <c r="C3506" s="15" t="s">
        <v>2797</v>
      </c>
      <c r="D3506" s="14" t="s">
        <v>1745</v>
      </c>
      <c r="E3506" s="14" t="s">
        <v>1747</v>
      </c>
      <c r="F3506" s="25">
        <v>1980</v>
      </c>
      <c r="G3506" s="25">
        <v>1782</v>
      </c>
    </row>
    <row r="3507" spans="1:7" x14ac:dyDescent="0.25">
      <c r="A3507" s="14" t="s">
        <v>2799</v>
      </c>
      <c r="B3507" s="14">
        <v>11</v>
      </c>
      <c r="C3507" s="15" t="s">
        <v>2800</v>
      </c>
      <c r="D3507" s="14" t="s">
        <v>1745</v>
      </c>
      <c r="E3507" s="14" t="s">
        <v>1747</v>
      </c>
      <c r="F3507" s="25">
        <v>6000</v>
      </c>
      <c r="G3507" s="25">
        <v>5400</v>
      </c>
    </row>
    <row r="3508" spans="1:7" x14ac:dyDescent="0.25">
      <c r="A3508" s="14" t="s">
        <v>2799</v>
      </c>
      <c r="B3508" s="14">
        <v>14</v>
      </c>
      <c r="C3508" s="15" t="s">
        <v>2801</v>
      </c>
      <c r="D3508" s="14" t="s">
        <v>1745</v>
      </c>
      <c r="E3508" s="14" t="s">
        <v>1746</v>
      </c>
      <c r="F3508" s="25">
        <v>1764</v>
      </c>
      <c r="G3508" s="25">
        <v>1411.2</v>
      </c>
    </row>
    <row r="3509" spans="1:7" x14ac:dyDescent="0.25">
      <c r="A3509" s="14" t="s">
        <v>2799</v>
      </c>
      <c r="B3509" s="14">
        <v>12</v>
      </c>
      <c r="C3509" s="15" t="s">
        <v>2802</v>
      </c>
      <c r="D3509" s="14" t="s">
        <v>1745</v>
      </c>
      <c r="E3509" s="14" t="s">
        <v>1747</v>
      </c>
      <c r="F3509" s="25">
        <v>2220</v>
      </c>
      <c r="G3509" s="25">
        <v>1776</v>
      </c>
    </row>
    <row r="3510" spans="1:7" x14ac:dyDescent="0.25">
      <c r="A3510" s="14" t="s">
        <v>2799</v>
      </c>
      <c r="B3510" s="14">
        <v>14</v>
      </c>
      <c r="C3510" s="15" t="s">
        <v>2801</v>
      </c>
      <c r="D3510" s="14" t="s">
        <v>1745</v>
      </c>
      <c r="E3510" s="14" t="s">
        <v>1747</v>
      </c>
      <c r="F3510" s="25">
        <v>1680</v>
      </c>
      <c r="G3510" s="25">
        <v>1344</v>
      </c>
    </row>
    <row r="3511" spans="1:7" x14ac:dyDescent="0.25">
      <c r="A3511" s="14" t="s">
        <v>2799</v>
      </c>
      <c r="B3511" s="14">
        <v>2</v>
      </c>
      <c r="C3511" s="15" t="s">
        <v>2803</v>
      </c>
      <c r="D3511" s="14" t="s">
        <v>1745</v>
      </c>
      <c r="E3511" s="14" t="s">
        <v>1746</v>
      </c>
      <c r="F3511" s="25">
        <v>15750</v>
      </c>
      <c r="G3511" s="25">
        <v>12600</v>
      </c>
    </row>
    <row r="3512" spans="1:7" x14ac:dyDescent="0.25">
      <c r="A3512" s="14" t="s">
        <v>2799</v>
      </c>
      <c r="B3512" s="14">
        <v>11</v>
      </c>
      <c r="C3512" s="15" t="s">
        <v>2800</v>
      </c>
      <c r="D3512" s="14" t="s">
        <v>1745</v>
      </c>
      <c r="E3512" s="14" t="s">
        <v>1746</v>
      </c>
      <c r="F3512" s="25">
        <v>6300</v>
      </c>
      <c r="G3512" s="25">
        <v>5670</v>
      </c>
    </row>
    <row r="3513" spans="1:7" x14ac:dyDescent="0.25">
      <c r="A3513" s="14" t="s">
        <v>2799</v>
      </c>
      <c r="B3513" s="14">
        <v>12</v>
      </c>
      <c r="C3513" s="15" t="s">
        <v>2802</v>
      </c>
      <c r="D3513" s="14" t="s">
        <v>1749</v>
      </c>
      <c r="E3513" s="14" t="s">
        <v>1746</v>
      </c>
      <c r="F3513" s="25">
        <v>222</v>
      </c>
      <c r="G3513" s="25">
        <v>177.6</v>
      </c>
    </row>
    <row r="3514" spans="1:7" x14ac:dyDescent="0.25">
      <c r="A3514" s="14" t="s">
        <v>2799</v>
      </c>
      <c r="B3514" s="14">
        <v>14</v>
      </c>
      <c r="C3514" s="15" t="s">
        <v>2801</v>
      </c>
      <c r="D3514" s="14" t="s">
        <v>1749</v>
      </c>
      <c r="E3514" s="14" t="s">
        <v>1746</v>
      </c>
      <c r="F3514" s="25">
        <v>168</v>
      </c>
      <c r="G3514" s="25">
        <v>134.4</v>
      </c>
    </row>
    <row r="3515" spans="1:7" x14ac:dyDescent="0.25">
      <c r="A3515" s="14" t="s">
        <v>2799</v>
      </c>
      <c r="B3515" s="14">
        <v>2</v>
      </c>
      <c r="C3515" s="15" t="s">
        <v>2803</v>
      </c>
      <c r="D3515" s="14" t="s">
        <v>1749</v>
      </c>
      <c r="E3515" s="14" t="s">
        <v>1746</v>
      </c>
      <c r="F3515" s="25">
        <v>1500</v>
      </c>
      <c r="G3515" s="25">
        <v>1200</v>
      </c>
    </row>
    <row r="3516" spans="1:7" x14ac:dyDescent="0.25">
      <c r="A3516" s="14" t="s">
        <v>2799</v>
      </c>
      <c r="B3516" s="14">
        <v>11</v>
      </c>
      <c r="C3516" s="15" t="s">
        <v>2800</v>
      </c>
      <c r="D3516" s="14" t="s">
        <v>1749</v>
      </c>
      <c r="E3516" s="14" t="s">
        <v>1746</v>
      </c>
      <c r="F3516" s="25">
        <v>600</v>
      </c>
      <c r="G3516" s="25">
        <v>540</v>
      </c>
    </row>
    <row r="3517" spans="1:7" x14ac:dyDescent="0.25">
      <c r="A3517" s="14" t="s">
        <v>2799</v>
      </c>
      <c r="B3517" s="14">
        <v>12</v>
      </c>
      <c r="C3517" s="15" t="s">
        <v>2802</v>
      </c>
      <c r="D3517" s="14" t="s">
        <v>1745</v>
      </c>
      <c r="E3517" s="14" t="s">
        <v>1746</v>
      </c>
      <c r="F3517" s="25">
        <v>2331</v>
      </c>
      <c r="G3517" s="25">
        <v>1864.8</v>
      </c>
    </row>
    <row r="3518" spans="1:7" x14ac:dyDescent="0.25">
      <c r="A3518" s="14" t="s">
        <v>2799</v>
      </c>
      <c r="B3518" s="14">
        <v>4</v>
      </c>
      <c r="C3518" s="15" t="s">
        <v>2803</v>
      </c>
      <c r="D3518" s="14" t="s">
        <v>1749</v>
      </c>
      <c r="E3518" s="14" t="s">
        <v>1766</v>
      </c>
      <c r="F3518" s="25">
        <v>0</v>
      </c>
      <c r="G3518" s="25">
        <v>0</v>
      </c>
    </row>
    <row r="3519" spans="1:7" x14ac:dyDescent="0.25">
      <c r="A3519" s="14" t="s">
        <v>2799</v>
      </c>
      <c r="B3519" s="14">
        <v>2</v>
      </c>
      <c r="C3519" s="15" t="s">
        <v>2803</v>
      </c>
      <c r="D3519" s="14" t="s">
        <v>1745</v>
      </c>
      <c r="E3519" s="14" t="s">
        <v>1747</v>
      </c>
      <c r="F3519" s="25">
        <v>15000</v>
      </c>
      <c r="G3519" s="25">
        <v>12000</v>
      </c>
    </row>
    <row r="3520" spans="1:7" x14ac:dyDescent="0.25">
      <c r="A3520" s="14" t="s">
        <v>2799</v>
      </c>
      <c r="B3520" s="14" t="s">
        <v>317</v>
      </c>
      <c r="C3520" s="15" t="s">
        <v>2800</v>
      </c>
      <c r="D3520" s="14" t="s">
        <v>1749</v>
      </c>
      <c r="E3520" s="14" t="s">
        <v>1766</v>
      </c>
      <c r="F3520" s="25">
        <v>0</v>
      </c>
      <c r="G3520" s="25">
        <v>0</v>
      </c>
    </row>
    <row r="3521" spans="1:7" x14ac:dyDescent="0.25">
      <c r="A3521" s="14" t="s">
        <v>1427</v>
      </c>
      <c r="B3521" s="14">
        <v>6</v>
      </c>
      <c r="C3521" s="15" t="s">
        <v>2804</v>
      </c>
      <c r="D3521" s="14" t="s">
        <v>1749</v>
      </c>
      <c r="E3521" s="14" t="s">
        <v>1746</v>
      </c>
      <c r="F3521" s="25">
        <v>99.84</v>
      </c>
      <c r="G3521" s="25">
        <v>89.86</v>
      </c>
    </row>
    <row r="3522" spans="1:7" x14ac:dyDescent="0.25">
      <c r="A3522" s="14" t="s">
        <v>1427</v>
      </c>
      <c r="B3522" s="14">
        <v>7</v>
      </c>
      <c r="C3522" s="15" t="s">
        <v>2805</v>
      </c>
      <c r="D3522" s="14" t="s">
        <v>1745</v>
      </c>
      <c r="E3522" s="14" t="s">
        <v>1747</v>
      </c>
      <c r="F3522" s="25">
        <v>998.4</v>
      </c>
      <c r="G3522" s="25">
        <v>798.72</v>
      </c>
    </row>
    <row r="3523" spans="1:7" x14ac:dyDescent="0.25">
      <c r="A3523" s="14" t="s">
        <v>1427</v>
      </c>
      <c r="B3523" s="14">
        <v>7</v>
      </c>
      <c r="C3523" s="15" t="s">
        <v>2805</v>
      </c>
      <c r="D3523" s="14" t="s">
        <v>1745</v>
      </c>
      <c r="E3523" s="14" t="s">
        <v>1746</v>
      </c>
      <c r="F3523" s="25">
        <v>1048.32</v>
      </c>
      <c r="G3523" s="25">
        <v>838.68</v>
      </c>
    </row>
    <row r="3524" spans="1:7" x14ac:dyDescent="0.25">
      <c r="A3524" s="14" t="s">
        <v>1427</v>
      </c>
      <c r="B3524" s="14">
        <v>1</v>
      </c>
      <c r="C3524" s="15" t="s">
        <v>2806</v>
      </c>
      <c r="D3524" s="14" t="s">
        <v>1745</v>
      </c>
      <c r="E3524" s="14" t="s">
        <v>1747</v>
      </c>
      <c r="F3524" s="25">
        <v>4020</v>
      </c>
      <c r="G3524" s="25">
        <v>3216</v>
      </c>
    </row>
    <row r="3525" spans="1:7" x14ac:dyDescent="0.25">
      <c r="A3525" s="14" t="s">
        <v>1427</v>
      </c>
      <c r="B3525" s="14">
        <v>7</v>
      </c>
      <c r="C3525" s="15" t="s">
        <v>2805</v>
      </c>
      <c r="D3525" s="14" t="s">
        <v>1749</v>
      </c>
      <c r="E3525" s="14" t="s">
        <v>1746</v>
      </c>
      <c r="F3525" s="25">
        <v>99.84</v>
      </c>
      <c r="G3525" s="25">
        <v>79.87</v>
      </c>
    </row>
    <row r="3526" spans="1:7" x14ac:dyDescent="0.25">
      <c r="A3526" s="14" t="s">
        <v>1427</v>
      </c>
      <c r="B3526" s="14">
        <v>1</v>
      </c>
      <c r="C3526" s="15" t="s">
        <v>2806</v>
      </c>
      <c r="D3526" s="14" t="s">
        <v>1745</v>
      </c>
      <c r="E3526" s="14" t="s">
        <v>1746</v>
      </c>
      <c r="F3526" s="25">
        <v>4221</v>
      </c>
      <c r="G3526" s="25">
        <v>3376.8</v>
      </c>
    </row>
    <row r="3527" spans="1:7" x14ac:dyDescent="0.25">
      <c r="A3527" s="14" t="s">
        <v>1427</v>
      </c>
      <c r="B3527" s="14">
        <v>1</v>
      </c>
      <c r="C3527" s="15" t="s">
        <v>2806</v>
      </c>
      <c r="D3527" s="14" t="s">
        <v>1749</v>
      </c>
      <c r="E3527" s="14" t="s">
        <v>1746</v>
      </c>
      <c r="F3527" s="25">
        <v>402</v>
      </c>
      <c r="G3527" s="25">
        <v>321.60000000000002</v>
      </c>
    </row>
    <row r="3528" spans="1:7" x14ac:dyDescent="0.25">
      <c r="A3528" s="14" t="s">
        <v>1427</v>
      </c>
      <c r="B3528" s="14">
        <v>6</v>
      </c>
      <c r="C3528" s="15" t="s">
        <v>2804</v>
      </c>
      <c r="D3528" s="14" t="s">
        <v>1745</v>
      </c>
      <c r="E3528" s="14" t="s">
        <v>1747</v>
      </c>
      <c r="F3528" s="25">
        <v>998.4</v>
      </c>
      <c r="G3528" s="25">
        <v>898.56</v>
      </c>
    </row>
    <row r="3529" spans="1:7" x14ac:dyDescent="0.25">
      <c r="A3529" s="14" t="s">
        <v>1427</v>
      </c>
      <c r="B3529" s="14">
        <v>6</v>
      </c>
      <c r="C3529" s="15" t="s">
        <v>2804</v>
      </c>
      <c r="D3529" s="14" t="s">
        <v>1745</v>
      </c>
      <c r="E3529" s="14" t="s">
        <v>1746</v>
      </c>
      <c r="F3529" s="25">
        <v>1048.32</v>
      </c>
      <c r="G3529" s="25">
        <v>943.44</v>
      </c>
    </row>
    <row r="3530" spans="1:7" x14ac:dyDescent="0.25">
      <c r="A3530" s="14" t="s">
        <v>2807</v>
      </c>
      <c r="B3530" s="14">
        <v>6</v>
      </c>
      <c r="C3530" s="15" t="s">
        <v>2808</v>
      </c>
      <c r="D3530" s="14" t="s">
        <v>1745</v>
      </c>
      <c r="E3530" s="14" t="s">
        <v>1747</v>
      </c>
      <c r="F3530" s="25">
        <v>1620</v>
      </c>
      <c r="G3530" s="25">
        <v>1296</v>
      </c>
    </row>
    <row r="3531" spans="1:7" x14ac:dyDescent="0.25">
      <c r="A3531" s="14" t="s">
        <v>2807</v>
      </c>
      <c r="B3531" s="14">
        <v>6</v>
      </c>
      <c r="C3531" s="15" t="s">
        <v>2808</v>
      </c>
      <c r="D3531" s="14" t="s">
        <v>1745</v>
      </c>
      <c r="E3531" s="14" t="s">
        <v>1746</v>
      </c>
      <c r="F3531" s="25">
        <v>1701</v>
      </c>
      <c r="G3531" s="25">
        <v>1360.8</v>
      </c>
    </row>
    <row r="3532" spans="1:7" x14ac:dyDescent="0.25">
      <c r="A3532" s="14" t="s">
        <v>2807</v>
      </c>
      <c r="B3532" s="14">
        <v>7</v>
      </c>
      <c r="C3532" s="15" t="s">
        <v>2809</v>
      </c>
      <c r="D3532" s="14" t="s">
        <v>1745</v>
      </c>
      <c r="E3532" s="14" t="s">
        <v>1747</v>
      </c>
      <c r="F3532" s="25">
        <v>2220</v>
      </c>
      <c r="G3532" s="25">
        <v>1776</v>
      </c>
    </row>
    <row r="3533" spans="1:7" x14ac:dyDescent="0.25">
      <c r="A3533" s="14" t="s">
        <v>2807</v>
      </c>
      <c r="B3533" s="14">
        <v>7</v>
      </c>
      <c r="C3533" s="15" t="s">
        <v>2809</v>
      </c>
      <c r="D3533" s="14" t="s">
        <v>1745</v>
      </c>
      <c r="E3533" s="14" t="s">
        <v>1746</v>
      </c>
      <c r="F3533" s="25">
        <v>2331</v>
      </c>
      <c r="G3533" s="25">
        <v>1864.8</v>
      </c>
    </row>
    <row r="3534" spans="1:7" x14ac:dyDescent="0.25">
      <c r="A3534" s="14" t="s">
        <v>2807</v>
      </c>
      <c r="B3534" s="14">
        <v>7</v>
      </c>
      <c r="C3534" s="15" t="s">
        <v>2809</v>
      </c>
      <c r="D3534" s="14" t="s">
        <v>1749</v>
      </c>
      <c r="E3534" s="14" t="s">
        <v>1746</v>
      </c>
      <c r="F3534" s="25">
        <v>222</v>
      </c>
      <c r="G3534" s="25">
        <v>177.6</v>
      </c>
    </row>
    <row r="3535" spans="1:7" x14ac:dyDescent="0.25">
      <c r="A3535" s="14" t="s">
        <v>2807</v>
      </c>
      <c r="B3535" s="14">
        <v>8</v>
      </c>
      <c r="C3535" s="15" t="s">
        <v>2810</v>
      </c>
      <c r="D3535" s="14" t="s">
        <v>1749</v>
      </c>
      <c r="E3535" s="14" t="s">
        <v>1746</v>
      </c>
      <c r="F3535" s="25">
        <v>0</v>
      </c>
      <c r="G3535" s="25">
        <v>0</v>
      </c>
    </row>
    <row r="3536" spans="1:7" x14ac:dyDescent="0.25">
      <c r="A3536" s="14" t="s">
        <v>2807</v>
      </c>
      <c r="B3536" s="14">
        <v>8</v>
      </c>
      <c r="C3536" s="15" t="s">
        <v>2810</v>
      </c>
      <c r="D3536" s="14" t="s">
        <v>1745</v>
      </c>
      <c r="E3536" s="14" t="s">
        <v>1747</v>
      </c>
      <c r="F3536" s="25">
        <v>0</v>
      </c>
      <c r="G3536" s="25">
        <v>0</v>
      </c>
    </row>
    <row r="3537" spans="1:7" x14ac:dyDescent="0.25">
      <c r="A3537" s="14" t="s">
        <v>2807</v>
      </c>
      <c r="B3537" s="14">
        <v>8</v>
      </c>
      <c r="C3537" s="15" t="s">
        <v>2810</v>
      </c>
      <c r="D3537" s="14" t="s">
        <v>1745</v>
      </c>
      <c r="E3537" s="14" t="s">
        <v>1746</v>
      </c>
      <c r="F3537" s="25">
        <v>0</v>
      </c>
      <c r="G3537" s="25">
        <v>0</v>
      </c>
    </row>
    <row r="3538" spans="1:7" x14ac:dyDescent="0.25">
      <c r="A3538" s="14" t="s">
        <v>2807</v>
      </c>
      <c r="B3538" s="14">
        <v>6</v>
      </c>
      <c r="C3538" s="15" t="s">
        <v>2808</v>
      </c>
      <c r="D3538" s="14" t="s">
        <v>1749</v>
      </c>
      <c r="E3538" s="14" t="s">
        <v>1746</v>
      </c>
      <c r="F3538" s="25">
        <v>162</v>
      </c>
      <c r="G3538" s="25">
        <v>129.6</v>
      </c>
    </row>
    <row r="3539" spans="1:7" x14ac:dyDescent="0.25">
      <c r="A3539" s="14" t="s">
        <v>2811</v>
      </c>
      <c r="B3539" s="14">
        <v>6</v>
      </c>
      <c r="C3539" s="15" t="s">
        <v>2812</v>
      </c>
      <c r="D3539" s="14" t="s">
        <v>1745</v>
      </c>
      <c r="E3539" s="14" t="s">
        <v>1747</v>
      </c>
      <c r="F3539" s="25">
        <v>5700</v>
      </c>
      <c r="G3539" s="25">
        <v>4560</v>
      </c>
    </row>
    <row r="3540" spans="1:7" x14ac:dyDescent="0.25">
      <c r="A3540" s="14" t="s">
        <v>2811</v>
      </c>
      <c r="B3540" s="14">
        <v>4</v>
      </c>
      <c r="C3540" s="15" t="s">
        <v>2813</v>
      </c>
      <c r="D3540" s="14" t="s">
        <v>1749</v>
      </c>
      <c r="E3540" s="14" t="s">
        <v>1746</v>
      </c>
      <c r="F3540" s="25">
        <v>0</v>
      </c>
      <c r="G3540" s="25">
        <v>0</v>
      </c>
    </row>
    <row r="3541" spans="1:7" x14ac:dyDescent="0.25">
      <c r="A3541" s="14" t="s">
        <v>2811</v>
      </c>
      <c r="B3541" s="14">
        <v>4</v>
      </c>
      <c r="C3541" s="15" t="s">
        <v>2813</v>
      </c>
      <c r="D3541" s="14" t="s">
        <v>1745</v>
      </c>
      <c r="E3541" s="14" t="s">
        <v>1746</v>
      </c>
      <c r="F3541" s="25">
        <v>0</v>
      </c>
      <c r="G3541" s="25">
        <v>0</v>
      </c>
    </row>
    <row r="3542" spans="1:7" x14ac:dyDescent="0.25">
      <c r="A3542" s="14" t="s">
        <v>2811</v>
      </c>
      <c r="B3542" s="14">
        <v>4</v>
      </c>
      <c r="C3542" s="15" t="s">
        <v>2813</v>
      </c>
      <c r="D3542" s="14" t="s">
        <v>1745</v>
      </c>
      <c r="E3542" s="14" t="s">
        <v>1747</v>
      </c>
      <c r="F3542" s="25">
        <v>0</v>
      </c>
      <c r="G3542" s="25">
        <v>0</v>
      </c>
    </row>
    <row r="3543" spans="1:7" x14ac:dyDescent="0.25">
      <c r="A3543" s="14" t="s">
        <v>2811</v>
      </c>
      <c r="B3543" s="14">
        <v>5</v>
      </c>
      <c r="C3543" s="15" t="s">
        <v>2814</v>
      </c>
      <c r="D3543" s="14" t="s">
        <v>1745</v>
      </c>
      <c r="E3543" s="14" t="s">
        <v>1747</v>
      </c>
      <c r="F3543" s="25">
        <v>6300</v>
      </c>
      <c r="G3543" s="25">
        <v>5040</v>
      </c>
    </row>
    <row r="3544" spans="1:7" x14ac:dyDescent="0.25">
      <c r="A3544" s="14" t="s">
        <v>2811</v>
      </c>
      <c r="B3544" s="14">
        <v>5</v>
      </c>
      <c r="C3544" s="15" t="s">
        <v>2814</v>
      </c>
      <c r="D3544" s="14" t="s">
        <v>1749</v>
      </c>
      <c r="E3544" s="14" t="s">
        <v>1746</v>
      </c>
      <c r="F3544" s="25">
        <v>630</v>
      </c>
      <c r="G3544" s="25">
        <v>504</v>
      </c>
    </row>
    <row r="3545" spans="1:7" x14ac:dyDescent="0.25">
      <c r="A3545" s="14" t="s">
        <v>2811</v>
      </c>
      <c r="B3545" s="14">
        <v>5</v>
      </c>
      <c r="C3545" s="15" t="s">
        <v>2814</v>
      </c>
      <c r="D3545" s="14" t="s">
        <v>1745</v>
      </c>
      <c r="E3545" s="14" t="s">
        <v>1746</v>
      </c>
      <c r="F3545" s="25">
        <v>6615</v>
      </c>
      <c r="G3545" s="25">
        <v>5292</v>
      </c>
    </row>
    <row r="3546" spans="1:7" x14ac:dyDescent="0.25">
      <c r="A3546" s="14" t="s">
        <v>2811</v>
      </c>
      <c r="B3546" s="14">
        <v>6</v>
      </c>
      <c r="C3546" s="15" t="s">
        <v>2812</v>
      </c>
      <c r="D3546" s="14" t="s">
        <v>1745</v>
      </c>
      <c r="E3546" s="14" t="s">
        <v>1746</v>
      </c>
      <c r="F3546" s="25">
        <v>5985</v>
      </c>
      <c r="G3546" s="25">
        <v>4788</v>
      </c>
    </row>
    <row r="3547" spans="1:7" x14ac:dyDescent="0.25">
      <c r="A3547" s="14" t="s">
        <v>2811</v>
      </c>
      <c r="B3547" s="14">
        <v>6</v>
      </c>
      <c r="C3547" s="15" t="s">
        <v>2812</v>
      </c>
      <c r="D3547" s="14" t="s">
        <v>1749</v>
      </c>
      <c r="E3547" s="14" t="s">
        <v>1746</v>
      </c>
      <c r="F3547" s="25">
        <v>570</v>
      </c>
      <c r="G3547" s="25">
        <v>456</v>
      </c>
    </row>
    <row r="3548" spans="1:7" x14ac:dyDescent="0.25">
      <c r="A3548" s="14" t="s">
        <v>2815</v>
      </c>
      <c r="B3548" s="14">
        <v>2</v>
      </c>
      <c r="C3548" s="15" t="s">
        <v>2816</v>
      </c>
      <c r="D3548" s="14" t="s">
        <v>1749</v>
      </c>
      <c r="E3548" s="14" t="s">
        <v>1746</v>
      </c>
      <c r="F3548" s="25">
        <v>762</v>
      </c>
      <c r="G3548" s="25">
        <v>609.6</v>
      </c>
    </row>
    <row r="3549" spans="1:7" x14ac:dyDescent="0.25">
      <c r="A3549" s="14" t="s">
        <v>2815</v>
      </c>
      <c r="B3549" s="14">
        <v>1</v>
      </c>
      <c r="C3549" s="15" t="s">
        <v>2817</v>
      </c>
      <c r="D3549" s="14" t="s">
        <v>1749</v>
      </c>
      <c r="E3549" s="14" t="s">
        <v>1746</v>
      </c>
      <c r="F3549" s="25">
        <v>1422</v>
      </c>
      <c r="G3549" s="25">
        <v>1137.5999999999999</v>
      </c>
    </row>
    <row r="3550" spans="1:7" x14ac:dyDescent="0.25">
      <c r="A3550" s="14" t="s">
        <v>2815</v>
      </c>
      <c r="B3550" s="14">
        <v>7</v>
      </c>
      <c r="C3550" s="15" t="s">
        <v>2818</v>
      </c>
      <c r="D3550" s="14" t="s">
        <v>1745</v>
      </c>
      <c r="E3550" s="14" t="s">
        <v>1747</v>
      </c>
      <c r="F3550" s="25">
        <v>1920</v>
      </c>
      <c r="G3550" s="25">
        <v>1728</v>
      </c>
    </row>
    <row r="3551" spans="1:7" x14ac:dyDescent="0.25">
      <c r="A3551" s="14" t="s">
        <v>2815</v>
      </c>
      <c r="B3551" s="14">
        <v>7</v>
      </c>
      <c r="C3551" s="15" t="s">
        <v>2818</v>
      </c>
      <c r="D3551" s="14" t="s">
        <v>1745</v>
      </c>
      <c r="E3551" s="14" t="s">
        <v>1746</v>
      </c>
      <c r="F3551" s="25">
        <v>2016</v>
      </c>
      <c r="G3551" s="25">
        <v>1814.4</v>
      </c>
    </row>
    <row r="3552" spans="1:7" x14ac:dyDescent="0.25">
      <c r="A3552" s="14" t="s">
        <v>2815</v>
      </c>
      <c r="B3552" s="14">
        <v>7</v>
      </c>
      <c r="C3552" s="15" t="s">
        <v>2818</v>
      </c>
      <c r="D3552" s="14" t="s">
        <v>1749</v>
      </c>
      <c r="E3552" s="14" t="s">
        <v>1746</v>
      </c>
      <c r="F3552" s="25">
        <v>192</v>
      </c>
      <c r="G3552" s="25">
        <v>172.8</v>
      </c>
    </row>
    <row r="3553" spans="1:7" x14ac:dyDescent="0.25">
      <c r="A3553" s="14" t="s">
        <v>2815</v>
      </c>
      <c r="B3553" s="14">
        <v>2</v>
      </c>
      <c r="C3553" s="15" t="s">
        <v>2816</v>
      </c>
      <c r="D3553" s="14" t="s">
        <v>1745</v>
      </c>
      <c r="E3553" s="14" t="s">
        <v>1746</v>
      </c>
      <c r="F3553" s="25">
        <v>8001</v>
      </c>
      <c r="G3553" s="25">
        <v>6400.8</v>
      </c>
    </row>
    <row r="3554" spans="1:7" x14ac:dyDescent="0.25">
      <c r="A3554" s="14" t="s">
        <v>2815</v>
      </c>
      <c r="B3554" s="14">
        <v>5</v>
      </c>
      <c r="C3554" s="15" t="s">
        <v>2819</v>
      </c>
      <c r="D3554" s="14" t="s">
        <v>1749</v>
      </c>
      <c r="E3554" s="14" t="s">
        <v>1766</v>
      </c>
      <c r="F3554" s="25">
        <v>0</v>
      </c>
      <c r="G3554" s="25">
        <v>0</v>
      </c>
    </row>
    <row r="3555" spans="1:7" x14ac:dyDescent="0.25">
      <c r="A3555" s="14" t="s">
        <v>2815</v>
      </c>
      <c r="B3555" s="14">
        <v>1</v>
      </c>
      <c r="C3555" s="15" t="s">
        <v>2817</v>
      </c>
      <c r="D3555" s="14" t="s">
        <v>1745</v>
      </c>
      <c r="E3555" s="14" t="s">
        <v>1747</v>
      </c>
      <c r="F3555" s="25">
        <v>14220</v>
      </c>
      <c r="G3555" s="25">
        <v>11376</v>
      </c>
    </row>
    <row r="3556" spans="1:7" x14ac:dyDescent="0.25">
      <c r="A3556" s="14" t="s">
        <v>2815</v>
      </c>
      <c r="B3556" s="14">
        <v>4</v>
      </c>
      <c r="C3556" s="15" t="s">
        <v>2819</v>
      </c>
      <c r="D3556" s="14" t="s">
        <v>1745</v>
      </c>
      <c r="E3556" s="14" t="s">
        <v>1746</v>
      </c>
      <c r="F3556" s="25">
        <v>8001</v>
      </c>
      <c r="G3556" s="25">
        <v>6400.8</v>
      </c>
    </row>
    <row r="3557" spans="1:7" x14ac:dyDescent="0.25">
      <c r="A3557" s="14" t="s">
        <v>2815</v>
      </c>
      <c r="B3557" s="14">
        <v>4</v>
      </c>
      <c r="C3557" s="15" t="s">
        <v>2819</v>
      </c>
      <c r="D3557" s="14" t="s">
        <v>1749</v>
      </c>
      <c r="E3557" s="14" t="s">
        <v>1746</v>
      </c>
      <c r="F3557" s="25">
        <v>762</v>
      </c>
      <c r="G3557" s="25">
        <v>609.6</v>
      </c>
    </row>
    <row r="3558" spans="1:7" x14ac:dyDescent="0.25">
      <c r="A3558" s="14" t="s">
        <v>2815</v>
      </c>
      <c r="B3558" s="14">
        <v>1</v>
      </c>
      <c r="C3558" s="15" t="s">
        <v>2817</v>
      </c>
      <c r="D3558" s="14" t="s">
        <v>1745</v>
      </c>
      <c r="E3558" s="14" t="s">
        <v>1746</v>
      </c>
      <c r="F3558" s="25">
        <v>14931</v>
      </c>
      <c r="G3558" s="25">
        <v>11944.8</v>
      </c>
    </row>
    <row r="3559" spans="1:7" x14ac:dyDescent="0.25">
      <c r="A3559" s="14" t="s">
        <v>2815</v>
      </c>
      <c r="B3559" s="14">
        <v>2</v>
      </c>
      <c r="C3559" s="15" t="s">
        <v>2816</v>
      </c>
      <c r="D3559" s="14" t="s">
        <v>1745</v>
      </c>
      <c r="E3559" s="14" t="s">
        <v>1747</v>
      </c>
      <c r="F3559" s="25">
        <v>7620</v>
      </c>
      <c r="G3559" s="25">
        <v>6096</v>
      </c>
    </row>
    <row r="3560" spans="1:7" x14ac:dyDescent="0.25">
      <c r="A3560" s="14" t="s">
        <v>2815</v>
      </c>
      <c r="B3560" s="14">
        <v>4</v>
      </c>
      <c r="C3560" s="15" t="s">
        <v>2819</v>
      </c>
      <c r="D3560" s="14" t="s">
        <v>1745</v>
      </c>
      <c r="E3560" s="14" t="s">
        <v>1747</v>
      </c>
      <c r="F3560" s="25">
        <v>7620</v>
      </c>
      <c r="G3560" s="25">
        <v>6096</v>
      </c>
    </row>
    <row r="3561" spans="1:7" x14ac:dyDescent="0.25">
      <c r="A3561" s="14" t="s">
        <v>2820</v>
      </c>
      <c r="B3561" s="14" t="s">
        <v>73</v>
      </c>
      <c r="C3561" s="15" t="s">
        <v>2821</v>
      </c>
      <c r="D3561" s="14" t="s">
        <v>1749</v>
      </c>
      <c r="E3561" s="14" t="s">
        <v>1746</v>
      </c>
      <c r="F3561" s="25">
        <v>384</v>
      </c>
      <c r="G3561" s="25">
        <v>345.6</v>
      </c>
    </row>
    <row r="3562" spans="1:7" x14ac:dyDescent="0.25">
      <c r="A3562" s="14" t="s">
        <v>2820</v>
      </c>
      <c r="B3562" s="14">
        <v>2</v>
      </c>
      <c r="C3562" s="15" t="s">
        <v>2822</v>
      </c>
      <c r="D3562" s="14" t="s">
        <v>1745</v>
      </c>
      <c r="E3562" s="14" t="s">
        <v>1747</v>
      </c>
      <c r="F3562" s="25">
        <v>12780</v>
      </c>
      <c r="G3562" s="25">
        <v>10479.6</v>
      </c>
    </row>
    <row r="3563" spans="1:7" x14ac:dyDescent="0.25">
      <c r="A3563" s="14" t="s">
        <v>2820</v>
      </c>
      <c r="B3563" s="14" t="s">
        <v>73</v>
      </c>
      <c r="C3563" s="15" t="s">
        <v>2821</v>
      </c>
      <c r="D3563" s="14" t="s">
        <v>1745</v>
      </c>
      <c r="E3563" s="14" t="s">
        <v>1746</v>
      </c>
      <c r="F3563" s="25">
        <v>4032</v>
      </c>
      <c r="G3563" s="25">
        <v>3628.8</v>
      </c>
    </row>
    <row r="3564" spans="1:7" x14ac:dyDescent="0.25">
      <c r="A3564" s="14" t="s">
        <v>2820</v>
      </c>
      <c r="B3564" s="14" t="s">
        <v>73</v>
      </c>
      <c r="C3564" s="15" t="s">
        <v>2821</v>
      </c>
      <c r="D3564" s="14" t="s">
        <v>1745</v>
      </c>
      <c r="E3564" s="14" t="s">
        <v>1747</v>
      </c>
      <c r="F3564" s="25">
        <v>3840</v>
      </c>
      <c r="G3564" s="25">
        <v>3456</v>
      </c>
    </row>
    <row r="3565" spans="1:7" x14ac:dyDescent="0.25">
      <c r="A3565" s="14" t="s">
        <v>2820</v>
      </c>
      <c r="B3565" s="14">
        <v>2</v>
      </c>
      <c r="C3565" s="15" t="s">
        <v>2822</v>
      </c>
      <c r="D3565" s="14" t="s">
        <v>1745</v>
      </c>
      <c r="E3565" s="14" t="s">
        <v>1746</v>
      </c>
      <c r="F3565" s="25">
        <v>13419</v>
      </c>
      <c r="G3565" s="25">
        <v>11003.64</v>
      </c>
    </row>
    <row r="3566" spans="1:7" x14ac:dyDescent="0.25">
      <c r="A3566" s="14" t="s">
        <v>2820</v>
      </c>
      <c r="B3566" s="14">
        <v>2</v>
      </c>
      <c r="C3566" s="15" t="s">
        <v>2822</v>
      </c>
      <c r="D3566" s="14" t="s">
        <v>1749</v>
      </c>
      <c r="E3566" s="14" t="s">
        <v>1746</v>
      </c>
      <c r="F3566" s="25">
        <v>1278</v>
      </c>
      <c r="G3566" s="25">
        <v>1047.96</v>
      </c>
    </row>
    <row r="3567" spans="1:7" x14ac:dyDescent="0.25">
      <c r="A3567" s="14" t="s">
        <v>2823</v>
      </c>
      <c r="B3567" s="14" t="s">
        <v>28</v>
      </c>
      <c r="C3567" s="15" t="s">
        <v>2824</v>
      </c>
      <c r="D3567" s="14" t="s">
        <v>1745</v>
      </c>
      <c r="E3567" s="14" t="s">
        <v>1746</v>
      </c>
      <c r="F3567" s="25">
        <v>35891.160000000003</v>
      </c>
      <c r="G3567" s="25">
        <v>28712.880000000001</v>
      </c>
    </row>
    <row r="3568" spans="1:7" x14ac:dyDescent="0.25">
      <c r="A3568" s="14" t="s">
        <v>2823</v>
      </c>
      <c r="B3568" s="14" t="s">
        <v>122</v>
      </c>
      <c r="C3568" s="15" t="s">
        <v>2825</v>
      </c>
      <c r="D3568" s="14" t="s">
        <v>1745</v>
      </c>
      <c r="E3568" s="14" t="s">
        <v>1746</v>
      </c>
      <c r="F3568" s="25">
        <v>43999.199999999997</v>
      </c>
      <c r="G3568" s="25">
        <v>35199.360000000001</v>
      </c>
    </row>
    <row r="3569" spans="1:7" x14ac:dyDescent="0.25">
      <c r="A3569" s="14" t="s">
        <v>2823</v>
      </c>
      <c r="B3569" s="14" t="s">
        <v>28</v>
      </c>
      <c r="C3569" s="15" t="s">
        <v>2824</v>
      </c>
      <c r="D3569" s="14" t="s">
        <v>1749</v>
      </c>
      <c r="E3569" s="14" t="s">
        <v>1746</v>
      </c>
      <c r="F3569" s="25">
        <v>3165</v>
      </c>
      <c r="G3569" s="25">
        <v>2532</v>
      </c>
    </row>
    <row r="3570" spans="1:7" x14ac:dyDescent="0.25">
      <c r="A3570" s="14" t="s">
        <v>2823</v>
      </c>
      <c r="B3570" s="14" t="s">
        <v>39</v>
      </c>
      <c r="C3570" s="15" t="s">
        <v>2826</v>
      </c>
      <c r="D3570" s="14" t="s">
        <v>1745</v>
      </c>
      <c r="E3570" s="14" t="s">
        <v>1746</v>
      </c>
      <c r="F3570" s="25">
        <v>28520.16</v>
      </c>
      <c r="G3570" s="25">
        <v>22816.080000000002</v>
      </c>
    </row>
    <row r="3571" spans="1:7" x14ac:dyDescent="0.25">
      <c r="A3571" s="14" t="s">
        <v>2823</v>
      </c>
      <c r="B3571" s="14">
        <v>5</v>
      </c>
      <c r="C3571" s="15" t="s">
        <v>2827</v>
      </c>
      <c r="D3571" s="14" t="s">
        <v>1745</v>
      </c>
      <c r="E3571" s="14" t="s">
        <v>1747</v>
      </c>
      <c r="F3571" s="25">
        <v>98604</v>
      </c>
      <c r="G3571" s="25">
        <v>78883.199999999997</v>
      </c>
    </row>
    <row r="3572" spans="1:7" x14ac:dyDescent="0.25">
      <c r="A3572" s="14" t="s">
        <v>2823</v>
      </c>
      <c r="B3572" s="14">
        <v>4</v>
      </c>
      <c r="C3572" s="15" t="s">
        <v>2828</v>
      </c>
      <c r="D3572" s="14" t="s">
        <v>1745</v>
      </c>
      <c r="E3572" s="14" t="s">
        <v>1746</v>
      </c>
      <c r="F3572" s="25">
        <v>110848.6</v>
      </c>
      <c r="G3572" s="25">
        <v>88678.8</v>
      </c>
    </row>
    <row r="3573" spans="1:7" x14ac:dyDescent="0.25">
      <c r="A3573" s="14" t="s">
        <v>2823</v>
      </c>
      <c r="B3573" s="14" t="s">
        <v>46</v>
      </c>
      <c r="C3573" s="15" t="s">
        <v>2829</v>
      </c>
      <c r="D3573" s="14" t="s">
        <v>1749</v>
      </c>
      <c r="E3573" s="14" t="s">
        <v>1746</v>
      </c>
      <c r="F3573" s="25">
        <v>3235</v>
      </c>
      <c r="G3573" s="25">
        <v>2588</v>
      </c>
    </row>
    <row r="3574" spans="1:7" x14ac:dyDescent="0.25">
      <c r="A3574" s="14" t="s">
        <v>2823</v>
      </c>
      <c r="B3574" s="14" t="s">
        <v>46</v>
      </c>
      <c r="C3574" s="15" t="s">
        <v>2829</v>
      </c>
      <c r="D3574" s="14" t="s">
        <v>1745</v>
      </c>
      <c r="E3574" s="14" t="s">
        <v>1747</v>
      </c>
      <c r="F3574" s="25">
        <v>34938</v>
      </c>
      <c r="G3574" s="25">
        <v>27950.400000000001</v>
      </c>
    </row>
    <row r="3575" spans="1:7" x14ac:dyDescent="0.25">
      <c r="A3575" s="14" t="s">
        <v>2823</v>
      </c>
      <c r="B3575" s="14">
        <v>25</v>
      </c>
      <c r="C3575" s="15" t="s">
        <v>2830</v>
      </c>
      <c r="D3575" s="14" t="s">
        <v>1749</v>
      </c>
      <c r="E3575" s="14" t="s">
        <v>1746</v>
      </c>
      <c r="F3575" s="25">
        <v>20200</v>
      </c>
      <c r="G3575" s="25">
        <v>16160</v>
      </c>
    </row>
    <row r="3576" spans="1:7" x14ac:dyDescent="0.25">
      <c r="A3576" s="14" t="s">
        <v>2823</v>
      </c>
      <c r="B3576" s="14">
        <v>5</v>
      </c>
      <c r="C3576" s="15" t="s">
        <v>2827</v>
      </c>
      <c r="D3576" s="14" t="s">
        <v>1745</v>
      </c>
      <c r="E3576" s="14" t="s">
        <v>1746</v>
      </c>
      <c r="F3576" s="25">
        <v>103534.2</v>
      </c>
      <c r="G3576" s="25">
        <v>82827.360000000001</v>
      </c>
    </row>
    <row r="3577" spans="1:7" x14ac:dyDescent="0.25">
      <c r="A3577" s="14" t="s">
        <v>2823</v>
      </c>
      <c r="B3577" s="14" t="s">
        <v>32</v>
      </c>
      <c r="C3577" s="15" t="s">
        <v>2831</v>
      </c>
      <c r="D3577" s="14" t="s">
        <v>1749</v>
      </c>
      <c r="E3577" s="14" t="s">
        <v>1746</v>
      </c>
      <c r="F3577" s="25">
        <v>2300</v>
      </c>
      <c r="G3577" s="25">
        <v>1840</v>
      </c>
    </row>
    <row r="3578" spans="1:7" x14ac:dyDescent="0.25">
      <c r="A3578" s="14" t="s">
        <v>2823</v>
      </c>
      <c r="B3578" s="14">
        <v>10</v>
      </c>
      <c r="C3578" s="15" t="s">
        <v>2829</v>
      </c>
      <c r="D3578" s="14" t="s">
        <v>1749</v>
      </c>
      <c r="E3578" s="14" t="s">
        <v>1766</v>
      </c>
      <c r="F3578" s="25">
        <v>0</v>
      </c>
      <c r="G3578" s="25">
        <v>0</v>
      </c>
    </row>
    <row r="3579" spans="1:7" x14ac:dyDescent="0.25">
      <c r="A3579" s="14" t="s">
        <v>2823</v>
      </c>
      <c r="B3579" s="14" t="s">
        <v>122</v>
      </c>
      <c r="C3579" s="15" t="s">
        <v>2825</v>
      </c>
      <c r="D3579" s="14" t="s">
        <v>1745</v>
      </c>
      <c r="E3579" s="14" t="s">
        <v>1747</v>
      </c>
      <c r="F3579" s="25">
        <v>41904</v>
      </c>
      <c r="G3579" s="25">
        <v>33523.199999999997</v>
      </c>
    </row>
    <row r="3580" spans="1:7" x14ac:dyDescent="0.25">
      <c r="A3580" s="14" t="s">
        <v>2823</v>
      </c>
      <c r="B3580" s="14" t="s">
        <v>39</v>
      </c>
      <c r="C3580" s="15" t="s">
        <v>2826</v>
      </c>
      <c r="D3580" s="14" t="s">
        <v>1745</v>
      </c>
      <c r="E3580" s="14" t="s">
        <v>1747</v>
      </c>
      <c r="F3580" s="25">
        <v>27162</v>
      </c>
      <c r="G3580" s="25">
        <v>21729.599999999999</v>
      </c>
    </row>
    <row r="3581" spans="1:7" x14ac:dyDescent="0.25">
      <c r="A3581" s="14" t="s">
        <v>2823</v>
      </c>
      <c r="B3581" s="14" t="s">
        <v>36</v>
      </c>
      <c r="C3581" s="15" t="s">
        <v>2832</v>
      </c>
      <c r="D3581" s="14" t="s">
        <v>1745</v>
      </c>
      <c r="E3581" s="14" t="s">
        <v>1747</v>
      </c>
      <c r="F3581" s="25">
        <v>61344</v>
      </c>
      <c r="G3581" s="25">
        <v>49075.199999999997</v>
      </c>
    </row>
    <row r="3582" spans="1:7" x14ac:dyDescent="0.25">
      <c r="A3582" s="14" t="s">
        <v>2823</v>
      </c>
      <c r="B3582" s="14">
        <v>24</v>
      </c>
      <c r="C3582" s="15" t="s">
        <v>2833</v>
      </c>
      <c r="D3582" s="14" t="s">
        <v>1745</v>
      </c>
      <c r="E3582" s="14" t="s">
        <v>1747</v>
      </c>
      <c r="F3582" s="25">
        <v>247644</v>
      </c>
      <c r="G3582" s="25">
        <v>198115.20000000001</v>
      </c>
    </row>
    <row r="3583" spans="1:7" x14ac:dyDescent="0.25">
      <c r="A3583" s="14" t="s">
        <v>2823</v>
      </c>
      <c r="B3583" s="14">
        <v>1</v>
      </c>
      <c r="C3583" s="15" t="s">
        <v>2834</v>
      </c>
      <c r="D3583" s="14" t="s">
        <v>1745</v>
      </c>
      <c r="E3583" s="14" t="s">
        <v>1747</v>
      </c>
      <c r="F3583" s="25">
        <v>81486</v>
      </c>
      <c r="G3583" s="25">
        <v>65188.800000000003</v>
      </c>
    </row>
    <row r="3584" spans="1:7" x14ac:dyDescent="0.25">
      <c r="A3584" s="14" t="s">
        <v>2823</v>
      </c>
      <c r="B3584" s="14">
        <v>1</v>
      </c>
      <c r="C3584" s="15" t="s">
        <v>2834</v>
      </c>
      <c r="D3584" s="14" t="s">
        <v>1749</v>
      </c>
      <c r="E3584" s="14" t="s">
        <v>1746</v>
      </c>
      <c r="F3584" s="25">
        <v>7545</v>
      </c>
      <c r="G3584" s="25">
        <v>6036</v>
      </c>
    </row>
    <row r="3585" spans="1:7" x14ac:dyDescent="0.25">
      <c r="A3585" s="14" t="s">
        <v>2823</v>
      </c>
      <c r="B3585" s="14">
        <v>2</v>
      </c>
      <c r="C3585" s="15" t="s">
        <v>2835</v>
      </c>
      <c r="D3585" s="14" t="s">
        <v>1749</v>
      </c>
      <c r="E3585" s="14" t="s">
        <v>1746</v>
      </c>
      <c r="F3585" s="25">
        <v>11645</v>
      </c>
      <c r="G3585" s="25">
        <v>9316</v>
      </c>
    </row>
    <row r="3586" spans="1:7" x14ac:dyDescent="0.25">
      <c r="A3586" s="14" t="s">
        <v>2823</v>
      </c>
      <c r="B3586" s="14">
        <v>2</v>
      </c>
      <c r="C3586" s="15" t="s">
        <v>2835</v>
      </c>
      <c r="D3586" s="14" t="s">
        <v>1745</v>
      </c>
      <c r="E3586" s="14" t="s">
        <v>1747</v>
      </c>
      <c r="F3586" s="25">
        <v>125766</v>
      </c>
      <c r="G3586" s="25">
        <v>100612.8</v>
      </c>
    </row>
    <row r="3587" spans="1:7" x14ac:dyDescent="0.25">
      <c r="A3587" s="14" t="s">
        <v>2823</v>
      </c>
      <c r="B3587" s="14" t="s">
        <v>29</v>
      </c>
      <c r="C3587" s="15" t="s">
        <v>2836</v>
      </c>
      <c r="D3587" s="14" t="s">
        <v>1745</v>
      </c>
      <c r="E3587" s="14" t="s">
        <v>1746</v>
      </c>
      <c r="F3587" s="25">
        <v>57040.2</v>
      </c>
      <c r="G3587" s="25">
        <v>45632.160000000003</v>
      </c>
    </row>
    <row r="3588" spans="1:7" x14ac:dyDescent="0.25">
      <c r="A3588" s="14" t="s">
        <v>2823</v>
      </c>
      <c r="B3588" s="14">
        <v>1</v>
      </c>
      <c r="C3588" s="15" t="s">
        <v>2834</v>
      </c>
      <c r="D3588" s="14" t="s">
        <v>1745</v>
      </c>
      <c r="E3588" s="14" t="s">
        <v>1746</v>
      </c>
      <c r="F3588" s="25">
        <v>85560.36</v>
      </c>
      <c r="G3588" s="25">
        <v>68448.240000000005</v>
      </c>
    </row>
    <row r="3589" spans="1:7" x14ac:dyDescent="0.25">
      <c r="A3589" s="14" t="s">
        <v>2823</v>
      </c>
      <c r="B3589" s="14">
        <v>24</v>
      </c>
      <c r="C3589" s="15" t="s">
        <v>2833</v>
      </c>
      <c r="D3589" s="14" t="s">
        <v>1749</v>
      </c>
      <c r="E3589" s="14" t="s">
        <v>1746</v>
      </c>
      <c r="F3589" s="25">
        <v>22930</v>
      </c>
      <c r="G3589" s="25">
        <v>18344</v>
      </c>
    </row>
    <row r="3590" spans="1:7" x14ac:dyDescent="0.25">
      <c r="A3590" s="14" t="s">
        <v>2823</v>
      </c>
      <c r="B3590" s="14" t="s">
        <v>36</v>
      </c>
      <c r="C3590" s="15" t="s">
        <v>2832</v>
      </c>
      <c r="D3590" s="14" t="s">
        <v>1749</v>
      </c>
      <c r="E3590" s="14" t="s">
        <v>1746</v>
      </c>
      <c r="F3590" s="25">
        <v>5680</v>
      </c>
      <c r="G3590" s="25">
        <v>4544</v>
      </c>
    </row>
    <row r="3591" spans="1:7" x14ac:dyDescent="0.25">
      <c r="A3591" s="14" t="s">
        <v>2823</v>
      </c>
      <c r="B3591" s="14" t="s">
        <v>32</v>
      </c>
      <c r="C3591" s="15" t="s">
        <v>2831</v>
      </c>
      <c r="D3591" s="14" t="s">
        <v>1745</v>
      </c>
      <c r="E3591" s="14" t="s">
        <v>1747</v>
      </c>
      <c r="F3591" s="25">
        <v>24840</v>
      </c>
      <c r="G3591" s="25">
        <v>19872</v>
      </c>
    </row>
    <row r="3592" spans="1:7" x14ac:dyDescent="0.25">
      <c r="A3592" s="14" t="s">
        <v>2823</v>
      </c>
      <c r="B3592" s="14">
        <v>25</v>
      </c>
      <c r="C3592" s="15" t="s">
        <v>2830</v>
      </c>
      <c r="D3592" s="14" t="s">
        <v>1745</v>
      </c>
      <c r="E3592" s="14" t="s">
        <v>1746</v>
      </c>
      <c r="F3592" s="25">
        <v>229068</v>
      </c>
      <c r="G3592" s="25">
        <v>183254.39999999999</v>
      </c>
    </row>
    <row r="3593" spans="1:7" x14ac:dyDescent="0.25">
      <c r="A3593" s="14" t="s">
        <v>2823</v>
      </c>
      <c r="B3593" s="14" t="s">
        <v>39</v>
      </c>
      <c r="C3593" s="15" t="s">
        <v>2826</v>
      </c>
      <c r="D3593" s="14" t="s">
        <v>1749</v>
      </c>
      <c r="E3593" s="14" t="s">
        <v>1746</v>
      </c>
      <c r="F3593" s="25">
        <v>2515</v>
      </c>
      <c r="G3593" s="25">
        <v>2012</v>
      </c>
    </row>
    <row r="3594" spans="1:7" x14ac:dyDescent="0.25">
      <c r="A3594" s="14" t="s">
        <v>2823</v>
      </c>
      <c r="B3594" s="14">
        <v>24</v>
      </c>
      <c r="C3594" s="15" t="s">
        <v>2833</v>
      </c>
      <c r="D3594" s="14" t="s">
        <v>1745</v>
      </c>
      <c r="E3594" s="14" t="s">
        <v>1746</v>
      </c>
      <c r="F3594" s="25">
        <v>260026.2</v>
      </c>
      <c r="G3594" s="25">
        <v>208021</v>
      </c>
    </row>
    <row r="3595" spans="1:7" x14ac:dyDescent="0.25">
      <c r="A3595" s="14" t="s">
        <v>2823</v>
      </c>
      <c r="B3595" s="14" t="s">
        <v>29</v>
      </c>
      <c r="C3595" s="15" t="s">
        <v>2836</v>
      </c>
      <c r="D3595" s="14" t="s">
        <v>1749</v>
      </c>
      <c r="E3595" s="14" t="s">
        <v>1746</v>
      </c>
      <c r="F3595" s="25">
        <v>5030</v>
      </c>
      <c r="G3595" s="25">
        <v>4024</v>
      </c>
    </row>
    <row r="3596" spans="1:7" x14ac:dyDescent="0.25">
      <c r="A3596" s="14" t="s">
        <v>2823</v>
      </c>
      <c r="B3596" s="14">
        <v>25</v>
      </c>
      <c r="C3596" s="15" t="s">
        <v>2830</v>
      </c>
      <c r="D3596" s="14" t="s">
        <v>1745</v>
      </c>
      <c r="E3596" s="14" t="s">
        <v>1747</v>
      </c>
      <c r="F3596" s="25">
        <v>218160</v>
      </c>
      <c r="G3596" s="25">
        <v>174528</v>
      </c>
    </row>
    <row r="3597" spans="1:7" x14ac:dyDescent="0.25">
      <c r="A3597" s="14" t="s">
        <v>2823</v>
      </c>
      <c r="B3597" s="14">
        <v>4</v>
      </c>
      <c r="C3597" s="15" t="s">
        <v>2828</v>
      </c>
      <c r="D3597" s="14" t="s">
        <v>1749</v>
      </c>
      <c r="E3597" s="14" t="s">
        <v>1746</v>
      </c>
      <c r="F3597" s="25">
        <v>9775</v>
      </c>
      <c r="G3597" s="25">
        <v>7820</v>
      </c>
    </row>
    <row r="3598" spans="1:7" x14ac:dyDescent="0.25">
      <c r="A3598" s="14" t="s">
        <v>2823</v>
      </c>
      <c r="B3598" s="14">
        <v>5</v>
      </c>
      <c r="C3598" s="15" t="s">
        <v>2827</v>
      </c>
      <c r="D3598" s="14" t="s">
        <v>1749</v>
      </c>
      <c r="E3598" s="14" t="s">
        <v>1746</v>
      </c>
      <c r="F3598" s="25">
        <v>9130</v>
      </c>
      <c r="G3598" s="25">
        <v>7304</v>
      </c>
    </row>
    <row r="3599" spans="1:7" x14ac:dyDescent="0.25">
      <c r="A3599" s="14" t="s">
        <v>2823</v>
      </c>
      <c r="B3599" s="14" t="s">
        <v>36</v>
      </c>
      <c r="C3599" s="15" t="s">
        <v>2832</v>
      </c>
      <c r="D3599" s="14" t="s">
        <v>1745</v>
      </c>
      <c r="E3599" s="14" t="s">
        <v>1746</v>
      </c>
      <c r="F3599" s="25">
        <v>64411.199999999997</v>
      </c>
      <c r="G3599" s="25">
        <v>51528.959999999999</v>
      </c>
    </row>
    <row r="3600" spans="1:7" x14ac:dyDescent="0.25">
      <c r="A3600" s="14" t="s">
        <v>2823</v>
      </c>
      <c r="B3600" s="14" t="s">
        <v>32</v>
      </c>
      <c r="C3600" s="15" t="s">
        <v>2831</v>
      </c>
      <c r="D3600" s="14" t="s">
        <v>1745</v>
      </c>
      <c r="E3600" s="14" t="s">
        <v>1746</v>
      </c>
      <c r="F3600" s="25">
        <v>26082</v>
      </c>
      <c r="G3600" s="25">
        <v>20865.599999999999</v>
      </c>
    </row>
    <row r="3601" spans="1:7" x14ac:dyDescent="0.25">
      <c r="A3601" s="14" t="s">
        <v>2823</v>
      </c>
      <c r="B3601" s="14" t="s">
        <v>29</v>
      </c>
      <c r="C3601" s="15" t="s">
        <v>2836</v>
      </c>
      <c r="D3601" s="14" t="s">
        <v>1745</v>
      </c>
      <c r="E3601" s="14" t="s">
        <v>1747</v>
      </c>
      <c r="F3601" s="25">
        <v>54324</v>
      </c>
      <c r="G3601" s="25">
        <v>43459.199999999997</v>
      </c>
    </row>
    <row r="3602" spans="1:7" x14ac:dyDescent="0.25">
      <c r="A3602" s="14" t="s">
        <v>2823</v>
      </c>
      <c r="B3602" s="14" t="s">
        <v>122</v>
      </c>
      <c r="C3602" s="15" t="s">
        <v>2825</v>
      </c>
      <c r="D3602" s="14" t="s">
        <v>1749</v>
      </c>
      <c r="E3602" s="14" t="s">
        <v>1746</v>
      </c>
      <c r="F3602" s="25">
        <v>3880</v>
      </c>
      <c r="G3602" s="25">
        <v>3104</v>
      </c>
    </row>
    <row r="3603" spans="1:7" x14ac:dyDescent="0.25">
      <c r="A3603" s="14" t="s">
        <v>2823</v>
      </c>
      <c r="B3603" s="14">
        <v>2</v>
      </c>
      <c r="C3603" s="15" t="s">
        <v>2835</v>
      </c>
      <c r="D3603" s="14" t="s">
        <v>1745</v>
      </c>
      <c r="E3603" s="14" t="s">
        <v>1746</v>
      </c>
      <c r="F3603" s="25">
        <v>132054.39999999999</v>
      </c>
      <c r="G3603" s="25">
        <v>105643.4</v>
      </c>
    </row>
    <row r="3604" spans="1:7" x14ac:dyDescent="0.25">
      <c r="A3604" s="14" t="s">
        <v>2823</v>
      </c>
      <c r="B3604" s="14">
        <v>4</v>
      </c>
      <c r="C3604" s="15" t="s">
        <v>2828</v>
      </c>
      <c r="D3604" s="14" t="s">
        <v>1745</v>
      </c>
      <c r="E3604" s="14" t="s">
        <v>1747</v>
      </c>
      <c r="F3604" s="25">
        <v>105570</v>
      </c>
      <c r="G3604" s="25">
        <v>84456</v>
      </c>
    </row>
    <row r="3605" spans="1:7" x14ac:dyDescent="0.25">
      <c r="A3605" s="14" t="s">
        <v>2823</v>
      </c>
      <c r="B3605" s="14" t="s">
        <v>46</v>
      </c>
      <c r="C3605" s="15" t="s">
        <v>2829</v>
      </c>
      <c r="D3605" s="14" t="s">
        <v>1745</v>
      </c>
      <c r="E3605" s="14" t="s">
        <v>1746</v>
      </c>
      <c r="F3605" s="25">
        <v>36684.959999999999</v>
      </c>
      <c r="G3605" s="25">
        <v>29347.919999999998</v>
      </c>
    </row>
    <row r="3606" spans="1:7" x14ac:dyDescent="0.25">
      <c r="A3606" s="14" t="s">
        <v>2823</v>
      </c>
      <c r="B3606" s="14" t="s">
        <v>28</v>
      </c>
      <c r="C3606" s="15" t="s">
        <v>2824</v>
      </c>
      <c r="D3606" s="14" t="s">
        <v>1745</v>
      </c>
      <c r="E3606" s="14" t="s">
        <v>1747</v>
      </c>
      <c r="F3606" s="25">
        <v>34182</v>
      </c>
      <c r="G3606" s="25">
        <v>27345.599999999999</v>
      </c>
    </row>
    <row r="3607" spans="1:7" x14ac:dyDescent="0.25">
      <c r="A3607" s="14" t="s">
        <v>1433</v>
      </c>
      <c r="B3607" s="14">
        <v>1</v>
      </c>
      <c r="C3607" s="15" t="s">
        <v>1432</v>
      </c>
      <c r="D3607" s="14" t="s">
        <v>1749</v>
      </c>
      <c r="E3607" s="14" t="s">
        <v>1746</v>
      </c>
      <c r="F3607" s="25">
        <v>450</v>
      </c>
      <c r="G3607" s="25">
        <v>360</v>
      </c>
    </row>
    <row r="3608" spans="1:7" x14ac:dyDescent="0.25">
      <c r="A3608" s="14" t="s">
        <v>1433</v>
      </c>
      <c r="B3608" s="14">
        <v>1</v>
      </c>
      <c r="C3608" s="15" t="s">
        <v>1432</v>
      </c>
      <c r="D3608" s="14" t="s">
        <v>1745</v>
      </c>
      <c r="E3608" s="14" t="s">
        <v>1747</v>
      </c>
      <c r="F3608" s="25">
        <v>4860</v>
      </c>
      <c r="G3608" s="25">
        <v>3888</v>
      </c>
    </row>
    <row r="3609" spans="1:7" x14ac:dyDescent="0.25">
      <c r="A3609" s="14" t="s">
        <v>1433</v>
      </c>
      <c r="B3609" s="14">
        <v>1</v>
      </c>
      <c r="C3609" s="15" t="s">
        <v>1432</v>
      </c>
      <c r="D3609" s="14" t="s">
        <v>1745</v>
      </c>
      <c r="E3609" s="14" t="s">
        <v>1746</v>
      </c>
      <c r="F3609" s="25">
        <v>5103</v>
      </c>
      <c r="G3609" s="25">
        <v>4082.4</v>
      </c>
    </row>
    <row r="3610" spans="1:7" x14ac:dyDescent="0.25">
      <c r="A3610" s="14" t="s">
        <v>1437</v>
      </c>
      <c r="B3610" s="14">
        <v>3</v>
      </c>
      <c r="C3610" s="15" t="s">
        <v>1439</v>
      </c>
      <c r="D3610" s="14" t="s">
        <v>1745</v>
      </c>
      <c r="E3610" s="14" t="s">
        <v>1747</v>
      </c>
      <c r="F3610" s="25">
        <v>43686</v>
      </c>
      <c r="G3610" s="25">
        <v>34948.800000000003</v>
      </c>
    </row>
    <row r="3611" spans="1:7" x14ac:dyDescent="0.25">
      <c r="A3611" s="14" t="s">
        <v>1437</v>
      </c>
      <c r="B3611" s="14">
        <v>2</v>
      </c>
      <c r="C3611" s="15" t="s">
        <v>1441</v>
      </c>
      <c r="D3611" s="14" t="s">
        <v>1745</v>
      </c>
      <c r="E3611" s="14" t="s">
        <v>1747</v>
      </c>
      <c r="F3611" s="25">
        <v>87318</v>
      </c>
      <c r="G3611" s="25">
        <v>69854.399999999994</v>
      </c>
    </row>
    <row r="3612" spans="1:7" x14ac:dyDescent="0.25">
      <c r="A3612" s="14" t="s">
        <v>1437</v>
      </c>
      <c r="B3612" s="14">
        <v>3</v>
      </c>
      <c r="C3612" s="15" t="s">
        <v>1439</v>
      </c>
      <c r="D3612" s="14" t="s">
        <v>1745</v>
      </c>
      <c r="E3612" s="14" t="s">
        <v>1746</v>
      </c>
      <c r="F3612" s="25">
        <v>45870.36</v>
      </c>
      <c r="G3612" s="25">
        <v>36696.239999999998</v>
      </c>
    </row>
    <row r="3613" spans="1:7" x14ac:dyDescent="0.25">
      <c r="A3613" s="14" t="s">
        <v>1437</v>
      </c>
      <c r="B3613" s="14">
        <v>2</v>
      </c>
      <c r="C3613" s="15" t="s">
        <v>1441</v>
      </c>
      <c r="D3613" s="14" t="s">
        <v>1745</v>
      </c>
      <c r="E3613" s="14" t="s">
        <v>1746</v>
      </c>
      <c r="F3613" s="25">
        <v>91683.96</v>
      </c>
      <c r="G3613" s="25">
        <v>73347.12</v>
      </c>
    </row>
    <row r="3614" spans="1:7" x14ac:dyDescent="0.25">
      <c r="A3614" s="14" t="s">
        <v>1437</v>
      </c>
      <c r="B3614" s="14">
        <v>4</v>
      </c>
      <c r="C3614" s="15" t="s">
        <v>1436</v>
      </c>
      <c r="D3614" s="14" t="s">
        <v>1745</v>
      </c>
      <c r="E3614" s="14" t="s">
        <v>1747</v>
      </c>
      <c r="F3614" s="25">
        <v>174690</v>
      </c>
      <c r="G3614" s="25">
        <v>139752</v>
      </c>
    </row>
    <row r="3615" spans="1:7" x14ac:dyDescent="0.25">
      <c r="A3615" s="14" t="s">
        <v>1437</v>
      </c>
      <c r="B3615" s="14">
        <v>3</v>
      </c>
      <c r="C3615" s="15" t="s">
        <v>1439</v>
      </c>
      <c r="D3615" s="14" t="s">
        <v>1749</v>
      </c>
      <c r="E3615" s="14" t="s">
        <v>1746</v>
      </c>
      <c r="F3615" s="25">
        <v>4045</v>
      </c>
      <c r="G3615" s="25">
        <v>3236</v>
      </c>
    </row>
    <row r="3616" spans="1:7" x14ac:dyDescent="0.25">
      <c r="A3616" s="14" t="s">
        <v>1437</v>
      </c>
      <c r="B3616" s="14">
        <v>4</v>
      </c>
      <c r="C3616" s="15" t="s">
        <v>1436</v>
      </c>
      <c r="D3616" s="14" t="s">
        <v>1749</v>
      </c>
      <c r="E3616" s="14" t="s">
        <v>1746</v>
      </c>
      <c r="F3616" s="25">
        <v>16175</v>
      </c>
      <c r="G3616" s="25">
        <v>12940</v>
      </c>
    </row>
    <row r="3617" spans="1:7" x14ac:dyDescent="0.25">
      <c r="A3617" s="14" t="s">
        <v>1437</v>
      </c>
      <c r="B3617" s="14">
        <v>2</v>
      </c>
      <c r="C3617" s="15" t="s">
        <v>1441</v>
      </c>
      <c r="D3617" s="14" t="s">
        <v>1749</v>
      </c>
      <c r="E3617" s="14" t="s">
        <v>1746</v>
      </c>
      <c r="F3617" s="25">
        <v>8085</v>
      </c>
      <c r="G3617" s="25">
        <v>6468</v>
      </c>
    </row>
    <row r="3618" spans="1:7" x14ac:dyDescent="0.25">
      <c r="A3618" s="14" t="s">
        <v>1437</v>
      </c>
      <c r="B3618" s="14">
        <v>4</v>
      </c>
      <c r="C3618" s="15" t="s">
        <v>1436</v>
      </c>
      <c r="D3618" s="14" t="s">
        <v>1745</v>
      </c>
      <c r="E3618" s="14" t="s">
        <v>1746</v>
      </c>
      <c r="F3618" s="25">
        <v>183424.6</v>
      </c>
      <c r="G3618" s="25">
        <v>146739.6</v>
      </c>
    </row>
    <row r="3619" spans="1:7" x14ac:dyDescent="0.25">
      <c r="A3619" s="14" t="s">
        <v>1445</v>
      </c>
      <c r="B3619" s="14">
        <v>13</v>
      </c>
      <c r="C3619" s="15" t="s">
        <v>1533</v>
      </c>
      <c r="D3619" s="14" t="s">
        <v>1745</v>
      </c>
      <c r="E3619" s="14" t="s">
        <v>1746</v>
      </c>
      <c r="F3619" s="25">
        <v>31581.96</v>
      </c>
      <c r="G3619" s="25">
        <v>25265.52</v>
      </c>
    </row>
    <row r="3620" spans="1:7" x14ac:dyDescent="0.25">
      <c r="A3620" s="14" t="s">
        <v>1445</v>
      </c>
      <c r="B3620" s="14">
        <v>15</v>
      </c>
      <c r="C3620" s="15" t="s">
        <v>1548</v>
      </c>
      <c r="D3620" s="14" t="s">
        <v>1749</v>
      </c>
      <c r="E3620" s="14" t="s">
        <v>1746</v>
      </c>
      <c r="F3620" s="25">
        <v>3685</v>
      </c>
      <c r="G3620" s="25">
        <v>2948</v>
      </c>
    </row>
    <row r="3621" spans="1:7" x14ac:dyDescent="0.25">
      <c r="A3621" s="14" t="s">
        <v>1445</v>
      </c>
      <c r="B3621" s="14" t="s">
        <v>465</v>
      </c>
      <c r="C3621" s="15" t="s">
        <v>1604</v>
      </c>
      <c r="D3621" s="14" t="s">
        <v>1745</v>
      </c>
      <c r="E3621" s="14" t="s">
        <v>1747</v>
      </c>
      <c r="F3621" s="25">
        <v>998514</v>
      </c>
      <c r="G3621" s="25">
        <v>798811.2</v>
      </c>
    </row>
    <row r="3622" spans="1:7" x14ac:dyDescent="0.25">
      <c r="A3622" s="14" t="s">
        <v>1445</v>
      </c>
      <c r="B3622" s="14">
        <v>15</v>
      </c>
      <c r="C3622" s="15" t="s">
        <v>1548</v>
      </c>
      <c r="D3622" s="14" t="s">
        <v>1745</v>
      </c>
      <c r="E3622" s="14" t="s">
        <v>1746</v>
      </c>
      <c r="F3622" s="25">
        <v>41787.96</v>
      </c>
      <c r="G3622" s="25">
        <v>33430.32</v>
      </c>
    </row>
    <row r="3623" spans="1:7" x14ac:dyDescent="0.25">
      <c r="A3623" s="14" t="s">
        <v>1445</v>
      </c>
      <c r="B3623" s="14">
        <v>12</v>
      </c>
      <c r="C3623" s="15" t="s">
        <v>1543</v>
      </c>
      <c r="D3623" s="14" t="s">
        <v>1745</v>
      </c>
      <c r="E3623" s="14" t="s">
        <v>1746</v>
      </c>
      <c r="F3623" s="25">
        <v>28520.16</v>
      </c>
      <c r="G3623" s="25">
        <v>22816.080000000002</v>
      </c>
    </row>
    <row r="3624" spans="1:7" x14ac:dyDescent="0.25">
      <c r="A3624" s="14" t="s">
        <v>1445</v>
      </c>
      <c r="B3624" s="14" t="s">
        <v>1592</v>
      </c>
      <c r="C3624" s="15" t="s">
        <v>1591</v>
      </c>
      <c r="D3624" s="14" t="s">
        <v>1745</v>
      </c>
      <c r="E3624" s="14" t="s">
        <v>1746</v>
      </c>
      <c r="F3624" s="25">
        <v>1950197</v>
      </c>
      <c r="G3624" s="25">
        <v>1560157</v>
      </c>
    </row>
    <row r="3625" spans="1:7" x14ac:dyDescent="0.25">
      <c r="A3625" s="14" t="s">
        <v>1445</v>
      </c>
      <c r="B3625" s="14">
        <v>48</v>
      </c>
      <c r="C3625" s="15" t="s">
        <v>1528</v>
      </c>
      <c r="D3625" s="14" t="s">
        <v>1749</v>
      </c>
      <c r="E3625" s="14" t="s">
        <v>1746</v>
      </c>
      <c r="F3625" s="25">
        <v>24890</v>
      </c>
      <c r="G3625" s="25">
        <v>19912</v>
      </c>
    </row>
    <row r="3626" spans="1:7" x14ac:dyDescent="0.25">
      <c r="A3626" s="14" t="s">
        <v>1445</v>
      </c>
      <c r="B3626" s="14" t="s">
        <v>488</v>
      </c>
      <c r="C3626" s="15" t="s">
        <v>1598</v>
      </c>
      <c r="D3626" s="14" t="s">
        <v>1749</v>
      </c>
      <c r="E3626" s="14" t="s">
        <v>1746</v>
      </c>
      <c r="F3626" s="25">
        <v>48250</v>
      </c>
      <c r="G3626" s="25">
        <v>38600</v>
      </c>
    </row>
    <row r="3627" spans="1:7" x14ac:dyDescent="0.25">
      <c r="A3627" s="14" t="s">
        <v>1445</v>
      </c>
      <c r="B3627" s="14">
        <v>14</v>
      </c>
      <c r="C3627" s="15" t="s">
        <v>1538</v>
      </c>
      <c r="D3627" s="14" t="s">
        <v>1745</v>
      </c>
      <c r="E3627" s="14" t="s">
        <v>1747</v>
      </c>
      <c r="F3627" s="25">
        <v>38826</v>
      </c>
      <c r="G3627" s="25">
        <v>31060.799999999999</v>
      </c>
    </row>
    <row r="3628" spans="1:7" x14ac:dyDescent="0.25">
      <c r="A3628" s="14" t="s">
        <v>1445</v>
      </c>
      <c r="B3628" s="14" t="s">
        <v>118</v>
      </c>
      <c r="C3628" s="15" t="s">
        <v>1571</v>
      </c>
      <c r="D3628" s="14" t="s">
        <v>1745</v>
      </c>
      <c r="E3628" s="14" t="s">
        <v>1747</v>
      </c>
      <c r="F3628" s="25">
        <v>98010</v>
      </c>
      <c r="G3628" s="25">
        <v>78408</v>
      </c>
    </row>
    <row r="3629" spans="1:7" x14ac:dyDescent="0.25">
      <c r="A3629" s="14" t="s">
        <v>1445</v>
      </c>
      <c r="B3629" s="14" t="s">
        <v>118</v>
      </c>
      <c r="C3629" s="15" t="s">
        <v>1571</v>
      </c>
      <c r="D3629" s="14" t="s">
        <v>1749</v>
      </c>
      <c r="E3629" s="14" t="s">
        <v>1746</v>
      </c>
      <c r="F3629" s="25">
        <v>9075</v>
      </c>
      <c r="G3629" s="25">
        <v>7260</v>
      </c>
    </row>
    <row r="3630" spans="1:7" x14ac:dyDescent="0.25">
      <c r="A3630" s="14" t="s">
        <v>1445</v>
      </c>
      <c r="B3630" s="14">
        <v>15</v>
      </c>
      <c r="C3630" s="15" t="s">
        <v>1548</v>
      </c>
      <c r="D3630" s="14" t="s">
        <v>1745</v>
      </c>
      <c r="E3630" s="14" t="s">
        <v>1747</v>
      </c>
      <c r="F3630" s="25">
        <v>39798</v>
      </c>
      <c r="G3630" s="25">
        <v>31838.400000000001</v>
      </c>
    </row>
    <row r="3631" spans="1:7" x14ac:dyDescent="0.25">
      <c r="A3631" s="14" t="s">
        <v>1445</v>
      </c>
      <c r="B3631" s="14" t="s">
        <v>2837</v>
      </c>
      <c r="C3631" s="15" t="s">
        <v>1610</v>
      </c>
      <c r="D3631" s="14" t="s">
        <v>1745</v>
      </c>
      <c r="E3631" s="14" t="s">
        <v>1747</v>
      </c>
      <c r="F3631" s="25">
        <v>300834</v>
      </c>
      <c r="G3631" s="25">
        <v>240667.2</v>
      </c>
    </row>
    <row r="3632" spans="1:7" x14ac:dyDescent="0.25">
      <c r="A3632" s="14" t="s">
        <v>1445</v>
      </c>
      <c r="B3632" s="14" t="s">
        <v>102</v>
      </c>
      <c r="C3632" s="15" t="s">
        <v>1562</v>
      </c>
      <c r="D3632" s="14" t="s">
        <v>1745</v>
      </c>
      <c r="E3632" s="14" t="s">
        <v>1747</v>
      </c>
      <c r="F3632" s="25">
        <v>64044</v>
      </c>
      <c r="G3632" s="25">
        <v>51235.199999999997</v>
      </c>
    </row>
    <row r="3633" spans="1:7" x14ac:dyDescent="0.25">
      <c r="A3633" s="14" t="s">
        <v>1445</v>
      </c>
      <c r="B3633" s="14" t="s">
        <v>102</v>
      </c>
      <c r="C3633" s="15" t="s">
        <v>1562</v>
      </c>
      <c r="D3633" s="14" t="s">
        <v>1749</v>
      </c>
      <c r="E3633" s="14" t="s">
        <v>1746</v>
      </c>
      <c r="F3633" s="25">
        <v>5930</v>
      </c>
      <c r="G3633" s="25">
        <v>4744</v>
      </c>
    </row>
    <row r="3634" spans="1:7" x14ac:dyDescent="0.25">
      <c r="A3634" s="14" t="s">
        <v>1445</v>
      </c>
      <c r="B3634" s="14" t="s">
        <v>2837</v>
      </c>
      <c r="C3634" s="15" t="s">
        <v>1610</v>
      </c>
      <c r="D3634" s="14" t="s">
        <v>1749</v>
      </c>
      <c r="E3634" s="14" t="s">
        <v>1746</v>
      </c>
      <c r="F3634" s="25">
        <v>27855</v>
      </c>
      <c r="G3634" s="25">
        <v>22284</v>
      </c>
    </row>
    <row r="3635" spans="1:7" x14ac:dyDescent="0.25">
      <c r="A3635" s="14" t="s">
        <v>1445</v>
      </c>
      <c r="B3635" s="14" t="s">
        <v>1561</v>
      </c>
      <c r="C3635" s="15" t="s">
        <v>1560</v>
      </c>
      <c r="D3635" s="14" t="s">
        <v>1745</v>
      </c>
      <c r="E3635" s="14" t="s">
        <v>1746</v>
      </c>
      <c r="F3635" s="25">
        <v>779455</v>
      </c>
      <c r="G3635" s="25">
        <v>623563.9</v>
      </c>
    </row>
    <row r="3636" spans="1:7" x14ac:dyDescent="0.25">
      <c r="A3636" s="14" t="s">
        <v>1445</v>
      </c>
      <c r="B3636" s="14" t="s">
        <v>1592</v>
      </c>
      <c r="C3636" s="15" t="s">
        <v>1591</v>
      </c>
      <c r="D3636" s="14" t="s">
        <v>1749</v>
      </c>
      <c r="E3636" s="14" t="s">
        <v>1746</v>
      </c>
      <c r="F3636" s="25">
        <v>171975</v>
      </c>
      <c r="G3636" s="25">
        <v>137580</v>
      </c>
    </row>
    <row r="3637" spans="1:7" x14ac:dyDescent="0.25">
      <c r="A3637" s="14" t="s">
        <v>1445</v>
      </c>
      <c r="B3637" s="14" t="s">
        <v>295</v>
      </c>
      <c r="C3637" s="15" t="s">
        <v>1524</v>
      </c>
      <c r="D3637" s="14" t="s">
        <v>1745</v>
      </c>
      <c r="E3637" s="14" t="s">
        <v>1746</v>
      </c>
      <c r="F3637" s="25">
        <v>320978.8</v>
      </c>
      <c r="G3637" s="25">
        <v>256783</v>
      </c>
    </row>
    <row r="3638" spans="1:7" x14ac:dyDescent="0.25">
      <c r="A3638" s="14" t="s">
        <v>1445</v>
      </c>
      <c r="B3638" s="14" t="s">
        <v>243</v>
      </c>
      <c r="C3638" s="15" t="s">
        <v>1586</v>
      </c>
      <c r="D3638" s="14" t="s">
        <v>1749</v>
      </c>
      <c r="E3638" s="14" t="s">
        <v>1746</v>
      </c>
      <c r="F3638" s="25">
        <v>14195</v>
      </c>
      <c r="G3638" s="25">
        <v>11356</v>
      </c>
    </row>
    <row r="3639" spans="1:7" x14ac:dyDescent="0.25">
      <c r="A3639" s="14" t="s">
        <v>1445</v>
      </c>
      <c r="B3639" s="14">
        <v>48</v>
      </c>
      <c r="C3639" s="15" t="s">
        <v>1528</v>
      </c>
      <c r="D3639" s="14" t="s">
        <v>1745</v>
      </c>
      <c r="E3639" s="14" t="s">
        <v>1746</v>
      </c>
      <c r="F3639" s="25">
        <v>282252.59999999998</v>
      </c>
      <c r="G3639" s="25">
        <v>225802.1</v>
      </c>
    </row>
    <row r="3640" spans="1:7" x14ac:dyDescent="0.25">
      <c r="A3640" s="14" t="s">
        <v>1445</v>
      </c>
      <c r="B3640" s="14" t="s">
        <v>488</v>
      </c>
      <c r="C3640" s="15" t="s">
        <v>1598</v>
      </c>
      <c r="D3640" s="14" t="s">
        <v>1745</v>
      </c>
      <c r="E3640" s="14" t="s">
        <v>1746</v>
      </c>
      <c r="F3640" s="25">
        <v>547155</v>
      </c>
      <c r="G3640" s="25">
        <v>437724</v>
      </c>
    </row>
    <row r="3641" spans="1:7" x14ac:dyDescent="0.25">
      <c r="A3641" s="14" t="s">
        <v>1445</v>
      </c>
      <c r="B3641" s="14" t="s">
        <v>650</v>
      </c>
      <c r="C3641" s="15" t="s">
        <v>1581</v>
      </c>
      <c r="D3641" s="14" t="s">
        <v>1745</v>
      </c>
      <c r="E3641" s="14" t="s">
        <v>1747</v>
      </c>
      <c r="F3641" s="25">
        <v>128088</v>
      </c>
      <c r="G3641" s="25">
        <v>102470.39999999999</v>
      </c>
    </row>
    <row r="3642" spans="1:7" x14ac:dyDescent="0.25">
      <c r="A3642" s="14" t="s">
        <v>1445</v>
      </c>
      <c r="B3642" s="14" t="s">
        <v>650</v>
      </c>
      <c r="C3642" s="15" t="s">
        <v>1581</v>
      </c>
      <c r="D3642" s="14" t="s">
        <v>1745</v>
      </c>
      <c r="E3642" s="14" t="s">
        <v>1746</v>
      </c>
      <c r="F3642" s="25">
        <v>134492.4</v>
      </c>
      <c r="G3642" s="25">
        <v>107593.9</v>
      </c>
    </row>
    <row r="3643" spans="1:7" x14ac:dyDescent="0.25">
      <c r="A3643" s="14" t="s">
        <v>1445</v>
      </c>
      <c r="B3643" s="14" t="s">
        <v>243</v>
      </c>
      <c r="C3643" s="15" t="s">
        <v>1586</v>
      </c>
      <c r="D3643" s="14" t="s">
        <v>1745</v>
      </c>
      <c r="E3643" s="14" t="s">
        <v>1746</v>
      </c>
      <c r="F3643" s="25">
        <v>160971.4</v>
      </c>
      <c r="G3643" s="25">
        <v>128777</v>
      </c>
    </row>
    <row r="3644" spans="1:7" x14ac:dyDescent="0.25">
      <c r="A3644" s="14" t="s">
        <v>1445</v>
      </c>
      <c r="B3644" s="14">
        <v>13</v>
      </c>
      <c r="C3644" s="15" t="s">
        <v>1533</v>
      </c>
      <c r="D3644" s="14" t="s">
        <v>1749</v>
      </c>
      <c r="E3644" s="14" t="s">
        <v>1746</v>
      </c>
      <c r="F3644" s="25">
        <v>2785</v>
      </c>
      <c r="G3644" s="25">
        <v>2228</v>
      </c>
    </row>
    <row r="3645" spans="1:7" x14ac:dyDescent="0.25">
      <c r="A3645" s="14" t="s">
        <v>1445</v>
      </c>
      <c r="B3645" s="14" t="s">
        <v>650</v>
      </c>
      <c r="C3645" s="15" t="s">
        <v>1581</v>
      </c>
      <c r="D3645" s="14" t="s">
        <v>1749</v>
      </c>
      <c r="E3645" s="14" t="s">
        <v>1746</v>
      </c>
      <c r="F3645" s="25">
        <v>11860</v>
      </c>
      <c r="G3645" s="25">
        <v>9488</v>
      </c>
    </row>
    <row r="3646" spans="1:7" x14ac:dyDescent="0.25">
      <c r="A3646" s="14" t="s">
        <v>1445</v>
      </c>
      <c r="B3646" s="14">
        <v>13</v>
      </c>
      <c r="C3646" s="15" t="s">
        <v>1533</v>
      </c>
      <c r="D3646" s="14" t="s">
        <v>1745</v>
      </c>
      <c r="E3646" s="14" t="s">
        <v>1747</v>
      </c>
      <c r="F3646" s="25">
        <v>30078</v>
      </c>
      <c r="G3646" s="25">
        <v>24062.400000000001</v>
      </c>
    </row>
    <row r="3647" spans="1:7" x14ac:dyDescent="0.25">
      <c r="A3647" s="14" t="s">
        <v>1445</v>
      </c>
      <c r="B3647" s="14" t="s">
        <v>465</v>
      </c>
      <c r="C3647" s="15" t="s">
        <v>1604</v>
      </c>
      <c r="D3647" s="14" t="s">
        <v>1749</v>
      </c>
      <c r="E3647" s="14" t="s">
        <v>1746</v>
      </c>
      <c r="F3647" s="25">
        <v>92455</v>
      </c>
      <c r="G3647" s="25">
        <v>73964</v>
      </c>
    </row>
    <row r="3648" spans="1:7" x14ac:dyDescent="0.25">
      <c r="A3648" s="14" t="s">
        <v>1445</v>
      </c>
      <c r="B3648" s="14">
        <v>19</v>
      </c>
      <c r="C3648" s="15" t="s">
        <v>1548</v>
      </c>
      <c r="D3648" s="14" t="s">
        <v>1749</v>
      </c>
      <c r="E3648" s="14" t="s">
        <v>1766</v>
      </c>
      <c r="F3648" s="25">
        <v>0</v>
      </c>
      <c r="G3648" s="25">
        <v>0</v>
      </c>
    </row>
    <row r="3649" spans="1:7" x14ac:dyDescent="0.25">
      <c r="A3649" s="14" t="s">
        <v>1445</v>
      </c>
      <c r="B3649" s="14" t="s">
        <v>1559</v>
      </c>
      <c r="C3649" s="15" t="s">
        <v>1558</v>
      </c>
      <c r="D3649" s="14" t="s">
        <v>1745</v>
      </c>
      <c r="E3649" s="14" t="s">
        <v>1746</v>
      </c>
      <c r="F3649" s="25">
        <v>677565</v>
      </c>
      <c r="G3649" s="25">
        <v>542052</v>
      </c>
    </row>
    <row r="3650" spans="1:7" x14ac:dyDescent="0.25">
      <c r="A3650" s="14" t="s">
        <v>1445</v>
      </c>
      <c r="B3650" s="14" t="s">
        <v>102</v>
      </c>
      <c r="C3650" s="15" t="s">
        <v>1562</v>
      </c>
      <c r="D3650" s="14" t="s">
        <v>1745</v>
      </c>
      <c r="E3650" s="14" t="s">
        <v>1746</v>
      </c>
      <c r="F3650" s="25">
        <v>67246.2</v>
      </c>
      <c r="G3650" s="25">
        <v>53796.959999999999</v>
      </c>
    </row>
    <row r="3651" spans="1:7" x14ac:dyDescent="0.25">
      <c r="A3651" s="14" t="s">
        <v>1445</v>
      </c>
      <c r="B3651" s="14" t="s">
        <v>195</v>
      </c>
      <c r="C3651" s="15" t="s">
        <v>1567</v>
      </c>
      <c r="D3651" s="14" t="s">
        <v>1745</v>
      </c>
      <c r="E3651" s="14" t="s">
        <v>1746</v>
      </c>
      <c r="F3651" s="25">
        <v>76431.600000000006</v>
      </c>
      <c r="G3651" s="25">
        <v>61145.279999999999</v>
      </c>
    </row>
    <row r="3652" spans="1:7" x14ac:dyDescent="0.25">
      <c r="A3652" s="14" t="s">
        <v>1445</v>
      </c>
      <c r="B3652" s="14" t="s">
        <v>1561</v>
      </c>
      <c r="C3652" s="15" t="s">
        <v>1560</v>
      </c>
      <c r="D3652" s="14" t="s">
        <v>1749</v>
      </c>
      <c r="E3652" s="14" t="s">
        <v>1746</v>
      </c>
      <c r="F3652" s="25">
        <v>68735</v>
      </c>
      <c r="G3652" s="25">
        <v>54988</v>
      </c>
    </row>
    <row r="3653" spans="1:7" x14ac:dyDescent="0.25">
      <c r="A3653" s="14" t="s">
        <v>1445</v>
      </c>
      <c r="B3653" s="14" t="s">
        <v>118</v>
      </c>
      <c r="C3653" s="15" t="s">
        <v>1571</v>
      </c>
      <c r="D3653" s="14" t="s">
        <v>1745</v>
      </c>
      <c r="E3653" s="14" t="s">
        <v>1746</v>
      </c>
      <c r="F3653" s="25">
        <v>102910.6</v>
      </c>
      <c r="G3653" s="25">
        <v>82328.399999999994</v>
      </c>
    </row>
    <row r="3654" spans="1:7" x14ac:dyDescent="0.25">
      <c r="A3654" s="14" t="s">
        <v>1445</v>
      </c>
      <c r="B3654" s="14" t="s">
        <v>1561</v>
      </c>
      <c r="C3654" s="15" t="s">
        <v>1560</v>
      </c>
      <c r="D3654" s="14" t="s">
        <v>1745</v>
      </c>
      <c r="E3654" s="14" t="s">
        <v>1747</v>
      </c>
      <c r="F3654" s="25">
        <v>742338</v>
      </c>
      <c r="G3654" s="25">
        <v>593870.4</v>
      </c>
    </row>
    <row r="3655" spans="1:7" x14ac:dyDescent="0.25">
      <c r="A3655" s="14" t="s">
        <v>1445</v>
      </c>
      <c r="B3655" s="14" t="s">
        <v>1559</v>
      </c>
      <c r="C3655" s="15" t="s">
        <v>1558</v>
      </c>
      <c r="D3655" s="14" t="s">
        <v>1749</v>
      </c>
      <c r="E3655" s="14" t="s">
        <v>1746</v>
      </c>
      <c r="F3655" s="25">
        <v>59750</v>
      </c>
      <c r="G3655" s="25">
        <v>47800</v>
      </c>
    </row>
    <row r="3656" spans="1:7" x14ac:dyDescent="0.25">
      <c r="A3656" s="14" t="s">
        <v>1445</v>
      </c>
      <c r="B3656" s="14" t="s">
        <v>195</v>
      </c>
      <c r="C3656" s="15" t="s">
        <v>1567</v>
      </c>
      <c r="D3656" s="14" t="s">
        <v>1749</v>
      </c>
      <c r="E3656" s="14" t="s">
        <v>1746</v>
      </c>
      <c r="F3656" s="25">
        <v>6740</v>
      </c>
      <c r="G3656" s="25">
        <v>5392</v>
      </c>
    </row>
    <row r="3657" spans="1:7" x14ac:dyDescent="0.25">
      <c r="A3657" s="14" t="s">
        <v>1445</v>
      </c>
      <c r="B3657" s="14" t="s">
        <v>1613</v>
      </c>
      <c r="C3657" s="15" t="s">
        <v>1612</v>
      </c>
      <c r="D3657" s="14" t="s">
        <v>1745</v>
      </c>
      <c r="E3657" s="14" t="s">
        <v>1747</v>
      </c>
      <c r="F3657" s="25">
        <v>325080</v>
      </c>
      <c r="G3657" s="25">
        <v>260064</v>
      </c>
    </row>
    <row r="3658" spans="1:7" x14ac:dyDescent="0.25">
      <c r="A3658" s="14" t="s">
        <v>1445</v>
      </c>
      <c r="B3658" s="14">
        <v>16</v>
      </c>
      <c r="C3658" s="15" t="s">
        <v>1553</v>
      </c>
      <c r="D3658" s="14" t="s">
        <v>1745</v>
      </c>
      <c r="E3658" s="14" t="s">
        <v>1746</v>
      </c>
      <c r="F3658" s="25">
        <v>50973.36</v>
      </c>
      <c r="G3658" s="25">
        <v>40778.639999999999</v>
      </c>
    </row>
    <row r="3659" spans="1:7" x14ac:dyDescent="0.25">
      <c r="A3659" s="14" t="s">
        <v>1445</v>
      </c>
      <c r="B3659" s="14">
        <v>16</v>
      </c>
      <c r="C3659" s="15" t="s">
        <v>1553</v>
      </c>
      <c r="D3659" s="14" t="s">
        <v>1745</v>
      </c>
      <c r="E3659" s="14" t="s">
        <v>1747</v>
      </c>
      <c r="F3659" s="25">
        <v>48546</v>
      </c>
      <c r="G3659" s="25">
        <v>38836.800000000003</v>
      </c>
    </row>
    <row r="3660" spans="1:7" x14ac:dyDescent="0.25">
      <c r="A3660" s="14" t="s">
        <v>1445</v>
      </c>
      <c r="B3660" s="14" t="s">
        <v>488</v>
      </c>
      <c r="C3660" s="15" t="s">
        <v>1598</v>
      </c>
      <c r="D3660" s="14" t="s">
        <v>1745</v>
      </c>
      <c r="E3660" s="14" t="s">
        <v>1747</v>
      </c>
      <c r="F3660" s="25">
        <v>521100</v>
      </c>
      <c r="G3660" s="25">
        <v>416880</v>
      </c>
    </row>
    <row r="3661" spans="1:7" x14ac:dyDescent="0.25">
      <c r="A3661" s="14" t="s">
        <v>1445</v>
      </c>
      <c r="B3661" s="14" t="s">
        <v>295</v>
      </c>
      <c r="C3661" s="15" t="s">
        <v>1524</v>
      </c>
      <c r="D3661" s="14" t="s">
        <v>1749</v>
      </c>
      <c r="E3661" s="14" t="s">
        <v>1746</v>
      </c>
      <c r="F3661" s="25">
        <v>28305</v>
      </c>
      <c r="G3661" s="25">
        <v>22644</v>
      </c>
    </row>
    <row r="3662" spans="1:7" x14ac:dyDescent="0.25">
      <c r="A3662" s="14" t="s">
        <v>1445</v>
      </c>
      <c r="B3662" s="14" t="s">
        <v>295</v>
      </c>
      <c r="C3662" s="15" t="s">
        <v>1524</v>
      </c>
      <c r="D3662" s="14" t="s">
        <v>1745</v>
      </c>
      <c r="E3662" s="14" t="s">
        <v>1747</v>
      </c>
      <c r="F3662" s="25">
        <v>305694</v>
      </c>
      <c r="G3662" s="25">
        <v>244555.2</v>
      </c>
    </row>
    <row r="3663" spans="1:7" x14ac:dyDescent="0.25">
      <c r="A3663" s="14" t="s">
        <v>1445</v>
      </c>
      <c r="B3663" s="14" t="s">
        <v>465</v>
      </c>
      <c r="C3663" s="15" t="s">
        <v>1604</v>
      </c>
      <c r="D3663" s="14" t="s">
        <v>1745</v>
      </c>
      <c r="E3663" s="14" t="s">
        <v>1746</v>
      </c>
      <c r="F3663" s="25">
        <v>1048440</v>
      </c>
      <c r="G3663" s="25">
        <v>838751.8</v>
      </c>
    </row>
    <row r="3664" spans="1:7" x14ac:dyDescent="0.25">
      <c r="A3664" s="14" t="s">
        <v>1445</v>
      </c>
      <c r="B3664" s="14">
        <v>10</v>
      </c>
      <c r="C3664" s="15" t="s">
        <v>1576</v>
      </c>
      <c r="D3664" s="14" t="s">
        <v>1749</v>
      </c>
      <c r="E3664" s="14" t="s">
        <v>1746</v>
      </c>
      <c r="F3664" s="25">
        <v>11050</v>
      </c>
      <c r="G3664" s="25">
        <v>8840</v>
      </c>
    </row>
    <row r="3665" spans="1:7" x14ac:dyDescent="0.25">
      <c r="A3665" s="14" t="s">
        <v>1445</v>
      </c>
      <c r="B3665" s="14" t="s">
        <v>195</v>
      </c>
      <c r="C3665" s="15" t="s">
        <v>1567</v>
      </c>
      <c r="D3665" s="14" t="s">
        <v>1745</v>
      </c>
      <c r="E3665" s="14" t="s">
        <v>1747</v>
      </c>
      <c r="F3665" s="25">
        <v>72792</v>
      </c>
      <c r="G3665" s="25">
        <v>58233.599999999999</v>
      </c>
    </row>
    <row r="3666" spans="1:7" x14ac:dyDescent="0.25">
      <c r="A3666" s="14" t="s">
        <v>1445</v>
      </c>
      <c r="B3666" s="14">
        <v>12</v>
      </c>
      <c r="C3666" s="15" t="s">
        <v>1543</v>
      </c>
      <c r="D3666" s="14" t="s">
        <v>1745</v>
      </c>
      <c r="E3666" s="14" t="s">
        <v>1747</v>
      </c>
      <c r="F3666" s="25">
        <v>27162</v>
      </c>
      <c r="G3666" s="25">
        <v>21729.599999999999</v>
      </c>
    </row>
    <row r="3667" spans="1:7" x14ac:dyDescent="0.25">
      <c r="A3667" s="14" t="s">
        <v>1445</v>
      </c>
      <c r="B3667" s="14">
        <v>16</v>
      </c>
      <c r="C3667" s="15" t="s">
        <v>1553</v>
      </c>
      <c r="D3667" s="14" t="s">
        <v>1749</v>
      </c>
      <c r="E3667" s="14" t="s">
        <v>1746</v>
      </c>
      <c r="F3667" s="25">
        <v>4495</v>
      </c>
      <c r="G3667" s="25">
        <v>3596</v>
      </c>
    </row>
    <row r="3668" spans="1:7" x14ac:dyDescent="0.25">
      <c r="A3668" s="14" t="s">
        <v>1445</v>
      </c>
      <c r="B3668" s="14" t="s">
        <v>1613</v>
      </c>
      <c r="C3668" s="15" t="s">
        <v>1612</v>
      </c>
      <c r="D3668" s="14" t="s">
        <v>1749</v>
      </c>
      <c r="E3668" s="14" t="s">
        <v>1746</v>
      </c>
      <c r="F3668" s="25">
        <v>30100</v>
      </c>
      <c r="G3668" s="25">
        <v>24080</v>
      </c>
    </row>
    <row r="3669" spans="1:7" x14ac:dyDescent="0.25">
      <c r="A3669" s="14" t="s">
        <v>1445</v>
      </c>
      <c r="B3669" s="14">
        <v>14</v>
      </c>
      <c r="C3669" s="15" t="s">
        <v>1538</v>
      </c>
      <c r="D3669" s="14" t="s">
        <v>1745</v>
      </c>
      <c r="E3669" s="14" t="s">
        <v>1746</v>
      </c>
      <c r="F3669" s="25">
        <v>40767.360000000001</v>
      </c>
      <c r="G3669" s="25">
        <v>32613.84</v>
      </c>
    </row>
    <row r="3670" spans="1:7" x14ac:dyDescent="0.25">
      <c r="A3670" s="14" t="s">
        <v>1445</v>
      </c>
      <c r="B3670" s="14">
        <v>48</v>
      </c>
      <c r="C3670" s="15" t="s">
        <v>1528</v>
      </c>
      <c r="D3670" s="14" t="s">
        <v>1745</v>
      </c>
      <c r="E3670" s="14" t="s">
        <v>1747</v>
      </c>
      <c r="F3670" s="25">
        <v>268812</v>
      </c>
      <c r="G3670" s="25">
        <v>215049.60000000001</v>
      </c>
    </row>
    <row r="3671" spans="1:7" x14ac:dyDescent="0.25">
      <c r="A3671" s="14" t="s">
        <v>1445</v>
      </c>
      <c r="B3671" s="14" t="s">
        <v>1559</v>
      </c>
      <c r="C3671" s="15" t="s">
        <v>1558</v>
      </c>
      <c r="D3671" s="14" t="s">
        <v>1745</v>
      </c>
      <c r="E3671" s="14" t="s">
        <v>1747</v>
      </c>
      <c r="F3671" s="25">
        <v>645300</v>
      </c>
      <c r="G3671" s="25">
        <v>516240</v>
      </c>
    </row>
    <row r="3672" spans="1:7" x14ac:dyDescent="0.25">
      <c r="A3672" s="14" t="s">
        <v>1445</v>
      </c>
      <c r="B3672" s="14" t="s">
        <v>1613</v>
      </c>
      <c r="C3672" s="15" t="s">
        <v>1612</v>
      </c>
      <c r="D3672" s="14" t="s">
        <v>1745</v>
      </c>
      <c r="E3672" s="14" t="s">
        <v>1746</v>
      </c>
      <c r="F3672" s="25">
        <v>341334</v>
      </c>
      <c r="G3672" s="25">
        <v>273067.2</v>
      </c>
    </row>
    <row r="3673" spans="1:7" x14ac:dyDescent="0.25">
      <c r="A3673" s="14" t="s">
        <v>1445</v>
      </c>
      <c r="B3673" s="14" t="s">
        <v>1592</v>
      </c>
      <c r="C3673" s="15" t="s">
        <v>1591</v>
      </c>
      <c r="D3673" s="14" t="s">
        <v>1745</v>
      </c>
      <c r="E3673" s="14" t="s">
        <v>1747</v>
      </c>
      <c r="F3673" s="25">
        <v>1857330</v>
      </c>
      <c r="G3673" s="25">
        <v>1485864</v>
      </c>
    </row>
    <row r="3674" spans="1:7" x14ac:dyDescent="0.25">
      <c r="A3674" s="14" t="s">
        <v>1445</v>
      </c>
      <c r="B3674" s="14">
        <v>10</v>
      </c>
      <c r="C3674" s="15" t="s">
        <v>1576</v>
      </c>
      <c r="D3674" s="14" t="s">
        <v>1745</v>
      </c>
      <c r="E3674" s="14" t="s">
        <v>1747</v>
      </c>
      <c r="F3674" s="25">
        <v>119340</v>
      </c>
      <c r="G3674" s="25">
        <v>95472</v>
      </c>
    </row>
    <row r="3675" spans="1:7" x14ac:dyDescent="0.25">
      <c r="A3675" s="14" t="s">
        <v>1445</v>
      </c>
      <c r="B3675" s="14">
        <v>14</v>
      </c>
      <c r="C3675" s="15" t="s">
        <v>1538</v>
      </c>
      <c r="D3675" s="14" t="s">
        <v>1749</v>
      </c>
      <c r="E3675" s="14" t="s">
        <v>1746</v>
      </c>
      <c r="F3675" s="25">
        <v>3595</v>
      </c>
      <c r="G3675" s="25">
        <v>2876</v>
      </c>
    </row>
    <row r="3676" spans="1:7" x14ac:dyDescent="0.25">
      <c r="A3676" s="14" t="s">
        <v>1445</v>
      </c>
      <c r="B3676" s="14">
        <v>12</v>
      </c>
      <c r="C3676" s="15" t="s">
        <v>1543</v>
      </c>
      <c r="D3676" s="14" t="s">
        <v>1749</v>
      </c>
      <c r="E3676" s="14" t="s">
        <v>1746</v>
      </c>
      <c r="F3676" s="25">
        <v>2515</v>
      </c>
      <c r="G3676" s="25">
        <v>2012</v>
      </c>
    </row>
    <row r="3677" spans="1:7" x14ac:dyDescent="0.25">
      <c r="A3677" s="14" t="s">
        <v>1445</v>
      </c>
      <c r="B3677" s="14">
        <v>10</v>
      </c>
      <c r="C3677" s="15" t="s">
        <v>1576</v>
      </c>
      <c r="D3677" s="14" t="s">
        <v>1745</v>
      </c>
      <c r="E3677" s="14" t="s">
        <v>1746</v>
      </c>
      <c r="F3677" s="25">
        <v>125307</v>
      </c>
      <c r="G3677" s="25">
        <v>100245.6</v>
      </c>
    </row>
    <row r="3678" spans="1:7" x14ac:dyDescent="0.25">
      <c r="A3678" s="14" t="s">
        <v>1445</v>
      </c>
      <c r="B3678" s="14" t="s">
        <v>2837</v>
      </c>
      <c r="C3678" s="15" t="s">
        <v>1610</v>
      </c>
      <c r="D3678" s="14" t="s">
        <v>1745</v>
      </c>
      <c r="E3678" s="14" t="s">
        <v>1746</v>
      </c>
      <c r="F3678" s="25">
        <v>315875.8</v>
      </c>
      <c r="G3678" s="25">
        <v>252700.6</v>
      </c>
    </row>
    <row r="3679" spans="1:7" x14ac:dyDescent="0.25">
      <c r="A3679" s="14" t="s">
        <v>1445</v>
      </c>
      <c r="B3679" s="14" t="s">
        <v>243</v>
      </c>
      <c r="C3679" s="15" t="s">
        <v>1586</v>
      </c>
      <c r="D3679" s="14" t="s">
        <v>1745</v>
      </c>
      <c r="E3679" s="14" t="s">
        <v>1747</v>
      </c>
      <c r="F3679" s="25">
        <v>153306</v>
      </c>
      <c r="G3679" s="25">
        <v>122644.8</v>
      </c>
    </row>
    <row r="3680" spans="1:7" x14ac:dyDescent="0.25">
      <c r="A3680" s="14" t="s">
        <v>1616</v>
      </c>
      <c r="B3680" s="14" t="s">
        <v>32</v>
      </c>
      <c r="C3680" s="15" t="s">
        <v>1721</v>
      </c>
      <c r="D3680" s="14" t="s">
        <v>1745</v>
      </c>
      <c r="E3680" s="14" t="s">
        <v>1746</v>
      </c>
      <c r="F3680" s="25">
        <v>201738.6</v>
      </c>
      <c r="G3680" s="25">
        <v>161390.9</v>
      </c>
    </row>
    <row r="3681" spans="1:7" x14ac:dyDescent="0.25">
      <c r="A3681" s="14" t="s">
        <v>1616</v>
      </c>
      <c r="B3681" s="14" t="s">
        <v>122</v>
      </c>
      <c r="C3681" s="15" t="s">
        <v>1709</v>
      </c>
      <c r="D3681" s="14" t="s">
        <v>1749</v>
      </c>
      <c r="E3681" s="14" t="s">
        <v>1746</v>
      </c>
      <c r="F3681" s="25">
        <v>8895</v>
      </c>
      <c r="G3681" s="25">
        <v>7116</v>
      </c>
    </row>
    <row r="3682" spans="1:7" x14ac:dyDescent="0.25">
      <c r="A3682" s="14" t="s">
        <v>1616</v>
      </c>
      <c r="B3682" s="14" t="s">
        <v>55</v>
      </c>
      <c r="C3682" s="15" t="s">
        <v>1702</v>
      </c>
      <c r="D3682" s="14" t="s">
        <v>1745</v>
      </c>
      <c r="E3682" s="14" t="s">
        <v>1747</v>
      </c>
      <c r="F3682" s="25">
        <v>72792</v>
      </c>
      <c r="G3682" s="25">
        <v>58233.599999999999</v>
      </c>
    </row>
    <row r="3683" spans="1:7" x14ac:dyDescent="0.25">
      <c r="A3683" s="14" t="s">
        <v>1616</v>
      </c>
      <c r="B3683" s="14" t="s">
        <v>46</v>
      </c>
      <c r="C3683" s="15" t="s">
        <v>1712</v>
      </c>
      <c r="D3683" s="14" t="s">
        <v>1745</v>
      </c>
      <c r="E3683" s="14" t="s">
        <v>1746</v>
      </c>
      <c r="F3683" s="25">
        <v>115157.8</v>
      </c>
      <c r="G3683" s="25">
        <v>92126.16</v>
      </c>
    </row>
    <row r="3684" spans="1:7" x14ac:dyDescent="0.25">
      <c r="A3684" s="14" t="s">
        <v>1616</v>
      </c>
      <c r="B3684" s="14" t="s">
        <v>1735</v>
      </c>
      <c r="C3684" s="15" t="s">
        <v>1734</v>
      </c>
      <c r="D3684" s="14" t="s">
        <v>1745</v>
      </c>
      <c r="E3684" s="14" t="s">
        <v>1747</v>
      </c>
      <c r="F3684" s="25">
        <v>451224</v>
      </c>
      <c r="G3684" s="25">
        <v>360979.20000000001</v>
      </c>
    </row>
    <row r="3685" spans="1:7" x14ac:dyDescent="0.25">
      <c r="A3685" s="14" t="s">
        <v>1616</v>
      </c>
      <c r="B3685" s="14">
        <v>15</v>
      </c>
      <c r="C3685" s="15" t="s">
        <v>1727</v>
      </c>
      <c r="D3685" s="14" t="s">
        <v>1749</v>
      </c>
      <c r="E3685" s="14" t="s">
        <v>1746</v>
      </c>
      <c r="F3685" s="25">
        <v>257960</v>
      </c>
      <c r="G3685" s="25">
        <v>206368</v>
      </c>
    </row>
    <row r="3686" spans="1:7" x14ac:dyDescent="0.25">
      <c r="A3686" s="14" t="s">
        <v>1616</v>
      </c>
      <c r="B3686" s="14" t="s">
        <v>39</v>
      </c>
      <c r="C3686" s="15" t="s">
        <v>1718</v>
      </c>
      <c r="D3686" s="14" t="s">
        <v>1745</v>
      </c>
      <c r="E3686" s="14" t="s">
        <v>1746</v>
      </c>
      <c r="F3686" s="25">
        <v>188470.8</v>
      </c>
      <c r="G3686" s="25">
        <v>150776.6</v>
      </c>
    </row>
    <row r="3687" spans="1:7" x14ac:dyDescent="0.25">
      <c r="A3687" s="14" t="s">
        <v>1616</v>
      </c>
      <c r="B3687" s="14" t="s">
        <v>1737</v>
      </c>
      <c r="C3687" s="15" t="s">
        <v>1736</v>
      </c>
      <c r="D3687" s="14" t="s">
        <v>1749</v>
      </c>
      <c r="E3687" s="14" t="s">
        <v>1746</v>
      </c>
      <c r="F3687" s="25">
        <v>45150</v>
      </c>
      <c r="G3687" s="25">
        <v>36120</v>
      </c>
    </row>
    <row r="3688" spans="1:7" x14ac:dyDescent="0.25">
      <c r="A3688" s="14" t="s">
        <v>1616</v>
      </c>
      <c r="B3688" s="14" t="s">
        <v>32</v>
      </c>
      <c r="C3688" s="15" t="s">
        <v>1721</v>
      </c>
      <c r="D3688" s="14" t="s">
        <v>1745</v>
      </c>
      <c r="E3688" s="14" t="s">
        <v>1747</v>
      </c>
      <c r="F3688" s="25">
        <v>192132</v>
      </c>
      <c r="G3688" s="25">
        <v>153705.60000000001</v>
      </c>
    </row>
    <row r="3689" spans="1:7" x14ac:dyDescent="0.25">
      <c r="A3689" s="14" t="s">
        <v>1616</v>
      </c>
      <c r="B3689" s="14" t="s">
        <v>1708</v>
      </c>
      <c r="C3689" s="15" t="s">
        <v>1707</v>
      </c>
      <c r="D3689" s="14" t="s">
        <v>1745</v>
      </c>
      <c r="E3689" s="14" t="s">
        <v>1747</v>
      </c>
      <c r="F3689" s="25">
        <v>1113534</v>
      </c>
      <c r="G3689" s="25">
        <v>890827.2</v>
      </c>
    </row>
    <row r="3690" spans="1:7" x14ac:dyDescent="0.25">
      <c r="A3690" s="14" t="s">
        <v>1616</v>
      </c>
      <c r="B3690" s="14">
        <v>11</v>
      </c>
      <c r="C3690" s="15" t="s">
        <v>1684</v>
      </c>
      <c r="D3690" s="14" t="s">
        <v>1745</v>
      </c>
      <c r="E3690" s="14" t="s">
        <v>1747</v>
      </c>
      <c r="F3690" s="25">
        <v>459000</v>
      </c>
      <c r="G3690" s="25">
        <v>367200</v>
      </c>
    </row>
    <row r="3691" spans="1:7" x14ac:dyDescent="0.25">
      <c r="A3691" s="14" t="s">
        <v>1616</v>
      </c>
      <c r="B3691" s="14" t="s">
        <v>50</v>
      </c>
      <c r="C3691" s="15" t="s">
        <v>1724</v>
      </c>
      <c r="D3691" s="14" t="s">
        <v>1745</v>
      </c>
      <c r="E3691" s="14" t="s">
        <v>1746</v>
      </c>
      <c r="F3691" s="25">
        <v>241485.4</v>
      </c>
      <c r="G3691" s="25">
        <v>193188.2</v>
      </c>
    </row>
    <row r="3692" spans="1:7" x14ac:dyDescent="0.25">
      <c r="A3692" s="14" t="s">
        <v>1616</v>
      </c>
      <c r="B3692" s="14" t="s">
        <v>34</v>
      </c>
      <c r="C3692" s="15" t="s">
        <v>1693</v>
      </c>
      <c r="D3692" s="14" t="s">
        <v>1745</v>
      </c>
      <c r="E3692" s="14" t="s">
        <v>1746</v>
      </c>
      <c r="F3692" s="25">
        <v>61122.6</v>
      </c>
      <c r="G3692" s="25">
        <v>48898.080000000002</v>
      </c>
    </row>
    <row r="3693" spans="1:7" x14ac:dyDescent="0.25">
      <c r="A3693" s="14" t="s">
        <v>1616</v>
      </c>
      <c r="B3693" s="14" t="s">
        <v>50</v>
      </c>
      <c r="C3693" s="15" t="s">
        <v>1724</v>
      </c>
      <c r="D3693" s="14" t="s">
        <v>1749</v>
      </c>
      <c r="E3693" s="14" t="s">
        <v>1746</v>
      </c>
      <c r="F3693" s="25">
        <v>21295</v>
      </c>
      <c r="G3693" s="25">
        <v>17036</v>
      </c>
    </row>
    <row r="3694" spans="1:7" x14ac:dyDescent="0.25">
      <c r="A3694" s="14" t="s">
        <v>1616</v>
      </c>
      <c r="B3694" s="14">
        <v>13</v>
      </c>
      <c r="C3694" s="15" t="s">
        <v>1687</v>
      </c>
      <c r="D3694" s="14" t="s">
        <v>1745</v>
      </c>
      <c r="E3694" s="14" t="s">
        <v>1747</v>
      </c>
      <c r="F3694" s="25">
        <v>403704</v>
      </c>
      <c r="G3694" s="25">
        <v>322963.20000000001</v>
      </c>
    </row>
    <row r="3695" spans="1:7" x14ac:dyDescent="0.25">
      <c r="A3695" s="14" t="s">
        <v>1616</v>
      </c>
      <c r="B3695" s="14" t="s">
        <v>122</v>
      </c>
      <c r="C3695" s="15" t="s">
        <v>1709</v>
      </c>
      <c r="D3695" s="14" t="s">
        <v>1745</v>
      </c>
      <c r="E3695" s="14" t="s">
        <v>1747</v>
      </c>
      <c r="F3695" s="25">
        <v>96066</v>
      </c>
      <c r="G3695" s="25">
        <v>76852.800000000003</v>
      </c>
    </row>
    <row r="3696" spans="1:7" x14ac:dyDescent="0.25">
      <c r="A3696" s="14" t="s">
        <v>1616</v>
      </c>
      <c r="B3696" s="14" t="s">
        <v>1708</v>
      </c>
      <c r="C3696" s="15" t="s">
        <v>1707</v>
      </c>
      <c r="D3696" s="14" t="s">
        <v>1749</v>
      </c>
      <c r="E3696" s="14" t="s">
        <v>1746</v>
      </c>
      <c r="F3696" s="25">
        <v>103105</v>
      </c>
      <c r="G3696" s="25">
        <v>82484</v>
      </c>
    </row>
    <row r="3697" spans="1:7" x14ac:dyDescent="0.25">
      <c r="A3697" s="14" t="s">
        <v>1616</v>
      </c>
      <c r="B3697" s="14">
        <v>17</v>
      </c>
      <c r="C3697" s="15" t="s">
        <v>1729</v>
      </c>
      <c r="D3697" s="14" t="s">
        <v>1749</v>
      </c>
      <c r="E3697" s="14" t="s">
        <v>1746</v>
      </c>
      <c r="F3697" s="25">
        <v>72420</v>
      </c>
      <c r="G3697" s="25">
        <v>57936</v>
      </c>
    </row>
    <row r="3698" spans="1:7" x14ac:dyDescent="0.25">
      <c r="A3698" s="14" t="s">
        <v>1616</v>
      </c>
      <c r="B3698" s="14" t="s">
        <v>34</v>
      </c>
      <c r="C3698" s="15" t="s">
        <v>1693</v>
      </c>
      <c r="D3698" s="14" t="s">
        <v>1745</v>
      </c>
      <c r="E3698" s="14" t="s">
        <v>1747</v>
      </c>
      <c r="F3698" s="25">
        <v>58212</v>
      </c>
      <c r="G3698" s="25">
        <v>46569.599999999999</v>
      </c>
    </row>
    <row r="3699" spans="1:7" x14ac:dyDescent="0.25">
      <c r="A3699" s="14" t="s">
        <v>1616</v>
      </c>
      <c r="B3699" s="14">
        <v>11</v>
      </c>
      <c r="C3699" s="15" t="s">
        <v>1684</v>
      </c>
      <c r="D3699" s="14" t="s">
        <v>1749</v>
      </c>
      <c r="E3699" s="14" t="s">
        <v>1746</v>
      </c>
      <c r="F3699" s="25">
        <v>42500</v>
      </c>
      <c r="G3699" s="25">
        <v>34000</v>
      </c>
    </row>
    <row r="3700" spans="1:7" x14ac:dyDescent="0.25">
      <c r="A3700" s="14" t="s">
        <v>1616</v>
      </c>
      <c r="B3700" s="14" t="s">
        <v>122</v>
      </c>
      <c r="C3700" s="15" t="s">
        <v>1709</v>
      </c>
      <c r="D3700" s="14" t="s">
        <v>1745</v>
      </c>
      <c r="E3700" s="14" t="s">
        <v>1746</v>
      </c>
      <c r="F3700" s="25">
        <v>100869.4</v>
      </c>
      <c r="G3700" s="25">
        <v>80695.44</v>
      </c>
    </row>
    <row r="3701" spans="1:7" x14ac:dyDescent="0.25">
      <c r="A3701" s="14" t="s">
        <v>1616</v>
      </c>
      <c r="B3701" s="14" t="s">
        <v>1737</v>
      </c>
      <c r="C3701" s="15" t="s">
        <v>1736</v>
      </c>
      <c r="D3701" s="14" t="s">
        <v>1745</v>
      </c>
      <c r="E3701" s="14" t="s">
        <v>1747</v>
      </c>
      <c r="F3701" s="25">
        <v>487620</v>
      </c>
      <c r="G3701" s="25">
        <v>390096</v>
      </c>
    </row>
    <row r="3702" spans="1:7" x14ac:dyDescent="0.25">
      <c r="A3702" s="14" t="s">
        <v>1616</v>
      </c>
      <c r="B3702" s="14" t="s">
        <v>73</v>
      </c>
      <c r="C3702" s="15" t="s">
        <v>1699</v>
      </c>
      <c r="D3702" s="14" t="s">
        <v>1745</v>
      </c>
      <c r="E3702" s="14" t="s">
        <v>1747</v>
      </c>
      <c r="F3702" s="25">
        <v>60156</v>
      </c>
      <c r="G3702" s="25">
        <v>48124.800000000003</v>
      </c>
    </row>
    <row r="3703" spans="1:7" x14ac:dyDescent="0.25">
      <c r="A3703" s="14" t="s">
        <v>1616</v>
      </c>
      <c r="B3703" s="14" t="s">
        <v>89</v>
      </c>
      <c r="C3703" s="15" t="s">
        <v>1690</v>
      </c>
      <c r="D3703" s="14" t="s">
        <v>1749</v>
      </c>
      <c r="E3703" s="14" t="s">
        <v>1746</v>
      </c>
      <c r="F3703" s="25">
        <v>4225</v>
      </c>
      <c r="G3703" s="25">
        <v>3380</v>
      </c>
    </row>
    <row r="3704" spans="1:7" x14ac:dyDescent="0.25">
      <c r="A3704" s="14" t="s">
        <v>1616</v>
      </c>
      <c r="B3704" s="14" t="s">
        <v>46</v>
      </c>
      <c r="C3704" s="15" t="s">
        <v>1712</v>
      </c>
      <c r="D3704" s="14" t="s">
        <v>1745</v>
      </c>
      <c r="E3704" s="14" t="s">
        <v>1747</v>
      </c>
      <c r="F3704" s="25">
        <v>109674</v>
      </c>
      <c r="G3704" s="25">
        <v>87739.199999999997</v>
      </c>
    </row>
    <row r="3705" spans="1:7" x14ac:dyDescent="0.25">
      <c r="A3705" s="14" t="s">
        <v>1616</v>
      </c>
      <c r="B3705" s="14" t="s">
        <v>1708</v>
      </c>
      <c r="C3705" s="15" t="s">
        <v>1707</v>
      </c>
      <c r="D3705" s="14" t="s">
        <v>1745</v>
      </c>
      <c r="E3705" s="14" t="s">
        <v>1746</v>
      </c>
      <c r="F3705" s="25">
        <v>1169211</v>
      </c>
      <c r="G3705" s="25">
        <v>935368.6</v>
      </c>
    </row>
    <row r="3706" spans="1:7" x14ac:dyDescent="0.25">
      <c r="A3706" s="14" t="s">
        <v>1616</v>
      </c>
      <c r="B3706" s="14" t="s">
        <v>24</v>
      </c>
      <c r="C3706" s="15" t="s">
        <v>1696</v>
      </c>
      <c r="D3706" s="14" t="s">
        <v>1749</v>
      </c>
      <c r="E3706" s="14" t="s">
        <v>1746</v>
      </c>
      <c r="F3706" s="25">
        <v>3775</v>
      </c>
      <c r="G3706" s="25">
        <v>3020</v>
      </c>
    </row>
    <row r="3707" spans="1:7" x14ac:dyDescent="0.25">
      <c r="A3707" s="14" t="s">
        <v>1616</v>
      </c>
      <c r="B3707" s="14">
        <v>16</v>
      </c>
      <c r="C3707" s="15" t="s">
        <v>1732</v>
      </c>
      <c r="D3707" s="14" t="s">
        <v>1749</v>
      </c>
      <c r="E3707" s="14" t="s">
        <v>1746</v>
      </c>
      <c r="F3707" s="25">
        <v>138730</v>
      </c>
      <c r="G3707" s="25">
        <v>110984</v>
      </c>
    </row>
    <row r="3708" spans="1:7" x14ac:dyDescent="0.25">
      <c r="A3708" s="14" t="s">
        <v>1616</v>
      </c>
      <c r="B3708" s="14" t="s">
        <v>34</v>
      </c>
      <c r="C3708" s="15" t="s">
        <v>1693</v>
      </c>
      <c r="D3708" s="14" t="s">
        <v>1749</v>
      </c>
      <c r="E3708" s="14" t="s">
        <v>1746</v>
      </c>
      <c r="F3708" s="25">
        <v>5390</v>
      </c>
      <c r="G3708" s="25">
        <v>4312</v>
      </c>
    </row>
    <row r="3709" spans="1:7" x14ac:dyDescent="0.25">
      <c r="A3709" s="14" t="s">
        <v>1616</v>
      </c>
      <c r="B3709" s="14" t="s">
        <v>28</v>
      </c>
      <c r="C3709" s="15" t="s">
        <v>1715</v>
      </c>
      <c r="D3709" s="14" t="s">
        <v>1745</v>
      </c>
      <c r="E3709" s="14" t="s">
        <v>1746</v>
      </c>
      <c r="F3709" s="25">
        <v>154847.79999999999</v>
      </c>
      <c r="G3709" s="25">
        <v>123878.2</v>
      </c>
    </row>
    <row r="3710" spans="1:7" x14ac:dyDescent="0.25">
      <c r="A3710" s="14" t="s">
        <v>1616</v>
      </c>
      <c r="B3710" s="14" t="s">
        <v>1735</v>
      </c>
      <c r="C3710" s="15" t="s">
        <v>1734</v>
      </c>
      <c r="D3710" s="14" t="s">
        <v>1745</v>
      </c>
      <c r="E3710" s="14" t="s">
        <v>1746</v>
      </c>
      <c r="F3710" s="25">
        <v>473785.2</v>
      </c>
      <c r="G3710" s="25">
        <v>379028.2</v>
      </c>
    </row>
    <row r="3711" spans="1:7" x14ac:dyDescent="0.25">
      <c r="A3711" s="14" t="s">
        <v>1616</v>
      </c>
      <c r="B3711" s="14" t="s">
        <v>89</v>
      </c>
      <c r="C3711" s="15" t="s">
        <v>1690</v>
      </c>
      <c r="D3711" s="14" t="s">
        <v>1745</v>
      </c>
      <c r="E3711" s="14" t="s">
        <v>1747</v>
      </c>
      <c r="F3711" s="25">
        <v>45630</v>
      </c>
      <c r="G3711" s="25">
        <v>36504</v>
      </c>
    </row>
    <row r="3712" spans="1:7" x14ac:dyDescent="0.25">
      <c r="A3712" s="14" t="s">
        <v>1616</v>
      </c>
      <c r="B3712" s="14">
        <v>80</v>
      </c>
      <c r="C3712" s="15" t="s">
        <v>1705</v>
      </c>
      <c r="D3712" s="14" t="s">
        <v>1749</v>
      </c>
      <c r="E3712" s="14" t="s">
        <v>1746</v>
      </c>
      <c r="F3712" s="25">
        <v>89625</v>
      </c>
      <c r="G3712" s="25">
        <v>71700</v>
      </c>
    </row>
    <row r="3713" spans="1:7" x14ac:dyDescent="0.25">
      <c r="A3713" s="14" t="s">
        <v>1616</v>
      </c>
      <c r="B3713" s="14">
        <v>13</v>
      </c>
      <c r="C3713" s="15" t="s">
        <v>1687</v>
      </c>
      <c r="D3713" s="14" t="s">
        <v>1749</v>
      </c>
      <c r="E3713" s="14" t="s">
        <v>1746</v>
      </c>
      <c r="F3713" s="25">
        <v>37380</v>
      </c>
      <c r="G3713" s="25">
        <v>29904</v>
      </c>
    </row>
    <row r="3714" spans="1:7" x14ac:dyDescent="0.25">
      <c r="A3714" s="14" t="s">
        <v>1616</v>
      </c>
      <c r="B3714" s="14" t="s">
        <v>55</v>
      </c>
      <c r="C3714" s="15" t="s">
        <v>1702</v>
      </c>
      <c r="D3714" s="14" t="s">
        <v>1749</v>
      </c>
      <c r="E3714" s="14" t="s">
        <v>1746</v>
      </c>
      <c r="F3714" s="25">
        <v>6740</v>
      </c>
      <c r="G3714" s="25">
        <v>5392</v>
      </c>
    </row>
    <row r="3715" spans="1:7" x14ac:dyDescent="0.25">
      <c r="A3715" s="14" t="s">
        <v>1616</v>
      </c>
      <c r="B3715" s="14">
        <v>15</v>
      </c>
      <c r="C3715" s="15" t="s">
        <v>1727</v>
      </c>
      <c r="D3715" s="14" t="s">
        <v>1745</v>
      </c>
      <c r="E3715" s="14" t="s">
        <v>1747</v>
      </c>
      <c r="F3715" s="25">
        <v>2785968</v>
      </c>
      <c r="G3715" s="25">
        <v>2228774</v>
      </c>
    </row>
    <row r="3716" spans="1:7" x14ac:dyDescent="0.25">
      <c r="A3716" s="14" t="s">
        <v>1616</v>
      </c>
      <c r="B3716" s="14" t="s">
        <v>1737</v>
      </c>
      <c r="C3716" s="15" t="s">
        <v>1736</v>
      </c>
      <c r="D3716" s="14" t="s">
        <v>1745</v>
      </c>
      <c r="E3716" s="14" t="s">
        <v>1746</v>
      </c>
      <c r="F3716" s="25">
        <v>512001</v>
      </c>
      <c r="G3716" s="25">
        <v>409600.8</v>
      </c>
    </row>
    <row r="3717" spans="1:7" x14ac:dyDescent="0.25">
      <c r="A3717" s="14" t="s">
        <v>1616</v>
      </c>
      <c r="B3717" s="14">
        <v>17</v>
      </c>
      <c r="C3717" s="15" t="s">
        <v>1729</v>
      </c>
      <c r="D3717" s="14" t="s">
        <v>1745</v>
      </c>
      <c r="E3717" s="14" t="s">
        <v>1747</v>
      </c>
      <c r="F3717" s="25">
        <v>782136</v>
      </c>
      <c r="G3717" s="25">
        <v>625708.80000000005</v>
      </c>
    </row>
    <row r="3718" spans="1:7" x14ac:dyDescent="0.25">
      <c r="A3718" s="14" t="s">
        <v>1616</v>
      </c>
      <c r="B3718" s="14">
        <v>11</v>
      </c>
      <c r="C3718" s="15" t="s">
        <v>1684</v>
      </c>
      <c r="D3718" s="14" t="s">
        <v>1745</v>
      </c>
      <c r="E3718" s="14" t="s">
        <v>1746</v>
      </c>
      <c r="F3718" s="25">
        <v>481950</v>
      </c>
      <c r="G3718" s="25">
        <v>385560</v>
      </c>
    </row>
    <row r="3719" spans="1:7" x14ac:dyDescent="0.25">
      <c r="A3719" s="14" t="s">
        <v>1616</v>
      </c>
      <c r="B3719" s="14" t="s">
        <v>28</v>
      </c>
      <c r="C3719" s="15" t="s">
        <v>1715</v>
      </c>
      <c r="D3719" s="14" t="s">
        <v>1745</v>
      </c>
      <c r="E3719" s="14" t="s">
        <v>1747</v>
      </c>
      <c r="F3719" s="25">
        <v>147474</v>
      </c>
      <c r="G3719" s="25">
        <v>117979.2</v>
      </c>
    </row>
    <row r="3720" spans="1:7" x14ac:dyDescent="0.25">
      <c r="A3720" s="14" t="s">
        <v>1616</v>
      </c>
      <c r="B3720" s="14" t="s">
        <v>73</v>
      </c>
      <c r="C3720" s="15" t="s">
        <v>1699</v>
      </c>
      <c r="D3720" s="14" t="s">
        <v>1749</v>
      </c>
      <c r="E3720" s="14" t="s">
        <v>1746</v>
      </c>
      <c r="F3720" s="25">
        <v>5570</v>
      </c>
      <c r="G3720" s="25">
        <v>4456</v>
      </c>
    </row>
    <row r="3721" spans="1:7" x14ac:dyDescent="0.25">
      <c r="A3721" s="14" t="s">
        <v>1616</v>
      </c>
      <c r="B3721" s="14" t="s">
        <v>55</v>
      </c>
      <c r="C3721" s="15" t="s">
        <v>1702</v>
      </c>
      <c r="D3721" s="14" t="s">
        <v>1745</v>
      </c>
      <c r="E3721" s="14" t="s">
        <v>1746</v>
      </c>
      <c r="F3721" s="25">
        <v>76431.600000000006</v>
      </c>
      <c r="G3721" s="25">
        <v>61145.279999999999</v>
      </c>
    </row>
    <row r="3722" spans="1:7" x14ac:dyDescent="0.25">
      <c r="A3722" s="14" t="s">
        <v>1616</v>
      </c>
      <c r="B3722" s="14">
        <v>80</v>
      </c>
      <c r="C3722" s="15" t="s">
        <v>1705</v>
      </c>
      <c r="D3722" s="14" t="s">
        <v>1745</v>
      </c>
      <c r="E3722" s="14" t="s">
        <v>1747</v>
      </c>
      <c r="F3722" s="25">
        <v>967950</v>
      </c>
      <c r="G3722" s="25">
        <v>774360</v>
      </c>
    </row>
    <row r="3723" spans="1:7" x14ac:dyDescent="0.25">
      <c r="A3723" s="14" t="s">
        <v>1616</v>
      </c>
      <c r="B3723" s="14" t="s">
        <v>24</v>
      </c>
      <c r="C3723" s="15" t="s">
        <v>1696</v>
      </c>
      <c r="D3723" s="14" t="s">
        <v>1745</v>
      </c>
      <c r="E3723" s="14" t="s">
        <v>1747</v>
      </c>
      <c r="F3723" s="25">
        <v>40770</v>
      </c>
      <c r="G3723" s="25">
        <v>32616</v>
      </c>
    </row>
    <row r="3724" spans="1:7" x14ac:dyDescent="0.25">
      <c r="A3724" s="14" t="s">
        <v>1616</v>
      </c>
      <c r="B3724" s="14" t="s">
        <v>1735</v>
      </c>
      <c r="C3724" s="15" t="s">
        <v>1734</v>
      </c>
      <c r="D3724" s="14" t="s">
        <v>1749</v>
      </c>
      <c r="E3724" s="14" t="s">
        <v>1746</v>
      </c>
      <c r="F3724" s="25">
        <v>41780</v>
      </c>
      <c r="G3724" s="25">
        <v>33424</v>
      </c>
    </row>
    <row r="3725" spans="1:7" x14ac:dyDescent="0.25">
      <c r="A3725" s="14" t="s">
        <v>1616</v>
      </c>
      <c r="B3725" s="14" t="s">
        <v>89</v>
      </c>
      <c r="C3725" s="15" t="s">
        <v>1690</v>
      </c>
      <c r="D3725" s="14" t="s">
        <v>1745</v>
      </c>
      <c r="E3725" s="14" t="s">
        <v>1746</v>
      </c>
      <c r="F3725" s="25">
        <v>47911.56</v>
      </c>
      <c r="G3725" s="25">
        <v>38329.199999999997</v>
      </c>
    </row>
    <row r="3726" spans="1:7" x14ac:dyDescent="0.25">
      <c r="A3726" s="14" t="s">
        <v>1616</v>
      </c>
      <c r="B3726" s="14" t="s">
        <v>39</v>
      </c>
      <c r="C3726" s="15" t="s">
        <v>1718</v>
      </c>
      <c r="D3726" s="14" t="s">
        <v>1749</v>
      </c>
      <c r="E3726" s="14" t="s">
        <v>1746</v>
      </c>
      <c r="F3726" s="25">
        <v>16620</v>
      </c>
      <c r="G3726" s="25">
        <v>13296</v>
      </c>
    </row>
    <row r="3727" spans="1:7" x14ac:dyDescent="0.25">
      <c r="A3727" s="14" t="s">
        <v>1616</v>
      </c>
      <c r="B3727" s="14">
        <v>16</v>
      </c>
      <c r="C3727" s="15" t="s">
        <v>1732</v>
      </c>
      <c r="D3727" s="14" t="s">
        <v>1745</v>
      </c>
      <c r="E3727" s="14" t="s">
        <v>1747</v>
      </c>
      <c r="F3727" s="25">
        <v>1498284</v>
      </c>
      <c r="G3727" s="25">
        <v>1198627</v>
      </c>
    </row>
    <row r="3728" spans="1:7" x14ac:dyDescent="0.25">
      <c r="A3728" s="14" t="s">
        <v>1616</v>
      </c>
      <c r="B3728" s="14">
        <v>15</v>
      </c>
      <c r="C3728" s="15" t="s">
        <v>1727</v>
      </c>
      <c r="D3728" s="14" t="s">
        <v>1745</v>
      </c>
      <c r="E3728" s="14" t="s">
        <v>1746</v>
      </c>
      <c r="F3728" s="25">
        <v>2925266</v>
      </c>
      <c r="G3728" s="25">
        <v>2340213</v>
      </c>
    </row>
    <row r="3729" spans="1:7" x14ac:dyDescent="0.25">
      <c r="A3729" s="14" t="s">
        <v>1616</v>
      </c>
      <c r="B3729" s="14" t="s">
        <v>28</v>
      </c>
      <c r="C3729" s="15" t="s">
        <v>1715</v>
      </c>
      <c r="D3729" s="14" t="s">
        <v>1749</v>
      </c>
      <c r="E3729" s="14" t="s">
        <v>1746</v>
      </c>
      <c r="F3729" s="25">
        <v>13655</v>
      </c>
      <c r="G3729" s="25">
        <v>10924</v>
      </c>
    </row>
    <row r="3730" spans="1:7" x14ac:dyDescent="0.25">
      <c r="A3730" s="14" t="s">
        <v>1616</v>
      </c>
      <c r="B3730" s="14" t="s">
        <v>39</v>
      </c>
      <c r="C3730" s="15" t="s">
        <v>1718</v>
      </c>
      <c r="D3730" s="14" t="s">
        <v>1745</v>
      </c>
      <c r="E3730" s="14" t="s">
        <v>1747</v>
      </c>
      <c r="F3730" s="25">
        <v>179496</v>
      </c>
      <c r="G3730" s="25">
        <v>143596.79999999999</v>
      </c>
    </row>
    <row r="3731" spans="1:7" x14ac:dyDescent="0.25">
      <c r="A3731" s="14" t="s">
        <v>1616</v>
      </c>
      <c r="B3731" s="14" t="s">
        <v>73</v>
      </c>
      <c r="C3731" s="15" t="s">
        <v>1699</v>
      </c>
      <c r="D3731" s="14" t="s">
        <v>1745</v>
      </c>
      <c r="E3731" s="14" t="s">
        <v>1746</v>
      </c>
      <c r="F3731" s="25">
        <v>63163.8</v>
      </c>
      <c r="G3731" s="25">
        <v>50531.040000000001</v>
      </c>
    </row>
    <row r="3732" spans="1:7" x14ac:dyDescent="0.25">
      <c r="A3732" s="14" t="s">
        <v>1616</v>
      </c>
      <c r="B3732" s="14">
        <v>17</v>
      </c>
      <c r="C3732" s="15" t="s">
        <v>1729</v>
      </c>
      <c r="D3732" s="14" t="s">
        <v>1745</v>
      </c>
      <c r="E3732" s="14" t="s">
        <v>1746</v>
      </c>
      <c r="F3732" s="25">
        <v>821242.8</v>
      </c>
      <c r="G3732" s="25">
        <v>656994.19999999995</v>
      </c>
    </row>
    <row r="3733" spans="1:7" x14ac:dyDescent="0.25">
      <c r="A3733" s="14" t="s">
        <v>1616</v>
      </c>
      <c r="B3733" s="14">
        <v>80</v>
      </c>
      <c r="C3733" s="15" t="s">
        <v>1705</v>
      </c>
      <c r="D3733" s="14" t="s">
        <v>1745</v>
      </c>
      <c r="E3733" s="14" t="s">
        <v>1746</v>
      </c>
      <c r="F3733" s="25">
        <v>1016348</v>
      </c>
      <c r="G3733" s="25">
        <v>813078</v>
      </c>
    </row>
    <row r="3734" spans="1:7" x14ac:dyDescent="0.25">
      <c r="A3734" s="14" t="s">
        <v>1616</v>
      </c>
      <c r="B3734" s="14" t="s">
        <v>50</v>
      </c>
      <c r="C3734" s="15" t="s">
        <v>1724</v>
      </c>
      <c r="D3734" s="14" t="s">
        <v>1745</v>
      </c>
      <c r="E3734" s="14" t="s">
        <v>1747</v>
      </c>
      <c r="F3734" s="25">
        <v>229986</v>
      </c>
      <c r="G3734" s="25">
        <v>183988.8</v>
      </c>
    </row>
    <row r="3735" spans="1:7" x14ac:dyDescent="0.25">
      <c r="A3735" s="14" t="s">
        <v>1616</v>
      </c>
      <c r="B3735" s="14">
        <v>16</v>
      </c>
      <c r="C3735" s="15" t="s">
        <v>1732</v>
      </c>
      <c r="D3735" s="14" t="s">
        <v>1745</v>
      </c>
      <c r="E3735" s="14" t="s">
        <v>1746</v>
      </c>
      <c r="F3735" s="25">
        <v>1573198</v>
      </c>
      <c r="G3735" s="25">
        <v>1258559</v>
      </c>
    </row>
    <row r="3736" spans="1:7" x14ac:dyDescent="0.25">
      <c r="A3736" s="14" t="s">
        <v>1616</v>
      </c>
      <c r="B3736" s="14" t="s">
        <v>32</v>
      </c>
      <c r="C3736" s="15" t="s">
        <v>1721</v>
      </c>
      <c r="D3736" s="14" t="s">
        <v>1749</v>
      </c>
      <c r="E3736" s="14" t="s">
        <v>1746</v>
      </c>
      <c r="F3736" s="25">
        <v>17790</v>
      </c>
      <c r="G3736" s="25">
        <v>14232</v>
      </c>
    </row>
    <row r="3737" spans="1:7" x14ac:dyDescent="0.25">
      <c r="A3737" s="14" t="s">
        <v>1616</v>
      </c>
      <c r="B3737" s="14" t="s">
        <v>24</v>
      </c>
      <c r="C3737" s="15" t="s">
        <v>1696</v>
      </c>
      <c r="D3737" s="14" t="s">
        <v>1745</v>
      </c>
      <c r="E3737" s="14" t="s">
        <v>1746</v>
      </c>
      <c r="F3737" s="25">
        <v>42808.56</v>
      </c>
      <c r="G3737" s="25">
        <v>34246.800000000003</v>
      </c>
    </row>
    <row r="3738" spans="1:7" x14ac:dyDescent="0.25">
      <c r="A3738" s="14" t="s">
        <v>1616</v>
      </c>
      <c r="B3738" s="14">
        <v>13</v>
      </c>
      <c r="C3738" s="15" t="s">
        <v>1687</v>
      </c>
      <c r="D3738" s="14" t="s">
        <v>1745</v>
      </c>
      <c r="E3738" s="14" t="s">
        <v>1746</v>
      </c>
      <c r="F3738" s="25">
        <v>423889.2</v>
      </c>
      <c r="G3738" s="25">
        <v>339111.4</v>
      </c>
    </row>
    <row r="3739" spans="1:7" x14ac:dyDescent="0.25">
      <c r="A3739" s="14" t="s">
        <v>1616</v>
      </c>
      <c r="B3739" s="14" t="s">
        <v>46</v>
      </c>
      <c r="C3739" s="15" t="s">
        <v>1712</v>
      </c>
      <c r="D3739" s="14" t="s">
        <v>1749</v>
      </c>
      <c r="E3739" s="14" t="s">
        <v>1746</v>
      </c>
      <c r="F3739" s="25">
        <v>10155</v>
      </c>
      <c r="G3739" s="25">
        <v>8124</v>
      </c>
    </row>
    <row r="3740" spans="1:7" x14ac:dyDescent="0.25">
      <c r="A3740" s="14" t="s">
        <v>2838</v>
      </c>
      <c r="B3740" s="14">
        <v>1</v>
      </c>
      <c r="C3740" s="15" t="s">
        <v>2839</v>
      </c>
      <c r="D3740" s="14" t="s">
        <v>1745</v>
      </c>
      <c r="E3740" s="14" t="s">
        <v>1747</v>
      </c>
      <c r="F3740" s="25">
        <v>1800</v>
      </c>
      <c r="G3740" s="25">
        <v>1440</v>
      </c>
    </row>
    <row r="3741" spans="1:7" x14ac:dyDescent="0.25">
      <c r="A3741" s="17"/>
      <c r="B3741" s="17"/>
      <c r="C3741" s="15" t="s">
        <v>2840</v>
      </c>
      <c r="D3741" s="14"/>
      <c r="E3741" s="14" t="s">
        <v>2841</v>
      </c>
      <c r="F3741" s="25">
        <v>1954</v>
      </c>
      <c r="G3741" s="25">
        <v>1911.989</v>
      </c>
    </row>
    <row r="3742" spans="1:7" x14ac:dyDescent="0.25">
      <c r="A3742" s="17"/>
      <c r="B3742" s="17"/>
      <c r="C3742" s="15" t="s">
        <v>2840</v>
      </c>
      <c r="D3742" s="14"/>
      <c r="E3742" s="14" t="s">
        <v>2841</v>
      </c>
      <c r="F3742" s="25">
        <v>3610</v>
      </c>
      <c r="G3742" s="25">
        <v>3532.3850000000002</v>
      </c>
    </row>
    <row r="3743" spans="1:7" x14ac:dyDescent="0.25">
      <c r="A3743" s="17"/>
      <c r="B3743" s="17"/>
      <c r="C3743" s="15" t="s">
        <v>2840</v>
      </c>
      <c r="D3743" s="14"/>
      <c r="E3743" s="14" t="s">
        <v>2841</v>
      </c>
      <c r="F3743" s="25">
        <v>14443</v>
      </c>
      <c r="G3743" s="25">
        <v>14132.4755</v>
      </c>
    </row>
    <row r="3744" spans="1:7" x14ac:dyDescent="0.25">
      <c r="A3744" s="17"/>
      <c r="B3744" s="17"/>
      <c r="C3744" s="15" t="s">
        <v>2842</v>
      </c>
      <c r="D3744" s="14" t="s">
        <v>1752</v>
      </c>
      <c r="E3744" s="14" t="s">
        <v>1747</v>
      </c>
      <c r="F3744" s="25">
        <v>15293.01</v>
      </c>
      <c r="G3744" s="25">
        <v>13389.031799999999</v>
      </c>
    </row>
    <row r="3745" spans="1:7" x14ac:dyDescent="0.25">
      <c r="A3745" s="17"/>
      <c r="B3745" s="17"/>
      <c r="C3745" s="15" t="s">
        <v>2843</v>
      </c>
      <c r="D3745" s="14" t="s">
        <v>1745</v>
      </c>
      <c r="E3745" s="14" t="s">
        <v>1747</v>
      </c>
      <c r="F3745" s="25">
        <v>8496</v>
      </c>
      <c r="G3745" s="25">
        <v>7438.2480000000005</v>
      </c>
    </row>
    <row r="3746" spans="1:7" x14ac:dyDescent="0.25">
      <c r="A3746" s="17"/>
      <c r="B3746" s="17"/>
      <c r="C3746" s="15" t="s">
        <v>2842</v>
      </c>
      <c r="D3746" s="14" t="s">
        <v>1752</v>
      </c>
      <c r="E3746" s="14" t="s">
        <v>1753</v>
      </c>
      <c r="F3746" s="25">
        <v>15293</v>
      </c>
      <c r="G3746" s="25">
        <v>13389.021499999999</v>
      </c>
    </row>
    <row r="3747" spans="1:7" x14ac:dyDescent="0.25">
      <c r="A3747" s="17"/>
      <c r="B3747" s="17"/>
      <c r="C3747" s="15" t="s">
        <v>2844</v>
      </c>
      <c r="D3747" s="14"/>
      <c r="E3747" s="14" t="s">
        <v>2841</v>
      </c>
      <c r="F3747" s="25">
        <v>107391</v>
      </c>
      <c r="G3747" s="25">
        <v>94020.820500000002</v>
      </c>
    </row>
    <row r="3748" spans="1:7" x14ac:dyDescent="0.25">
      <c r="A3748" s="17"/>
      <c r="B3748" s="17"/>
      <c r="C3748" s="15" t="s">
        <v>2844</v>
      </c>
      <c r="D3748" s="14"/>
      <c r="E3748" s="14" t="s">
        <v>2841</v>
      </c>
      <c r="F3748" s="25">
        <v>26847</v>
      </c>
      <c r="G3748" s="25">
        <v>23504.548500000001</v>
      </c>
    </row>
    <row r="3749" spans="1:7" x14ac:dyDescent="0.25">
      <c r="A3749" s="17"/>
      <c r="B3749" s="17"/>
      <c r="C3749" s="15" t="s">
        <v>2844</v>
      </c>
      <c r="D3749" s="14"/>
      <c r="E3749" s="14" t="s">
        <v>2841</v>
      </c>
      <c r="F3749" s="25">
        <v>42956</v>
      </c>
      <c r="G3749" s="25">
        <v>37607.977999999996</v>
      </c>
    </row>
    <row r="3750" spans="1:7" x14ac:dyDescent="0.25">
      <c r="A3750" s="17"/>
      <c r="B3750" s="17"/>
      <c r="C3750" s="15" t="s">
        <v>2845</v>
      </c>
      <c r="D3750" s="14"/>
      <c r="E3750" s="14" t="s">
        <v>2841</v>
      </c>
      <c r="F3750" s="25">
        <v>751537</v>
      </c>
      <c r="G3750" s="25">
        <v>657970.69499999995</v>
      </c>
    </row>
    <row r="3751" spans="1:7" x14ac:dyDescent="0.25">
      <c r="A3751" s="17"/>
      <c r="B3751" s="17"/>
      <c r="C3751" s="15" t="s">
        <v>2845</v>
      </c>
      <c r="D3751" s="14"/>
      <c r="E3751" s="14" t="s">
        <v>2841</v>
      </c>
      <c r="F3751" s="25">
        <v>1878844</v>
      </c>
      <c r="G3751" s="25">
        <v>1644927.51</v>
      </c>
    </row>
    <row r="3752" spans="1:7" x14ac:dyDescent="0.25">
      <c r="A3752" s="17"/>
      <c r="B3752" s="17"/>
      <c r="C3752" s="15" t="s">
        <v>2845</v>
      </c>
      <c r="D3752" s="14"/>
      <c r="E3752" s="14" t="s">
        <v>2841</v>
      </c>
      <c r="F3752" s="25">
        <v>469711</v>
      </c>
      <c r="G3752" s="25">
        <v>411232.03200000001</v>
      </c>
    </row>
    <row r="3753" spans="1:7" x14ac:dyDescent="0.25">
      <c r="A3753" s="17"/>
      <c r="B3753" s="17"/>
      <c r="C3753" s="15" t="s">
        <v>2846</v>
      </c>
      <c r="D3753" s="14"/>
      <c r="E3753" s="14" t="s">
        <v>2841</v>
      </c>
      <c r="F3753" s="25">
        <v>430756</v>
      </c>
      <c r="G3753" s="25">
        <v>377126.87799999997</v>
      </c>
    </row>
    <row r="3754" spans="1:7" x14ac:dyDescent="0.25">
      <c r="A3754" s="17"/>
      <c r="B3754" s="17"/>
      <c r="C3754" s="15" t="s">
        <v>2846</v>
      </c>
      <c r="D3754" s="14"/>
      <c r="E3754" s="14" t="s">
        <v>2841</v>
      </c>
      <c r="F3754" s="25">
        <v>107689</v>
      </c>
      <c r="G3754" s="25">
        <v>94281.719499999992</v>
      </c>
    </row>
    <row r="3755" spans="1:7" x14ac:dyDescent="0.25">
      <c r="A3755" s="17"/>
      <c r="B3755" s="17"/>
      <c r="C3755" s="15" t="s">
        <v>2846</v>
      </c>
      <c r="D3755" s="14"/>
      <c r="E3755" s="14" t="s">
        <v>2841</v>
      </c>
      <c r="F3755" s="25">
        <v>172302</v>
      </c>
      <c r="G3755" s="25">
        <v>150850.40100000001</v>
      </c>
    </row>
    <row r="3756" spans="1:7" x14ac:dyDescent="0.25">
      <c r="A3756" s="17"/>
      <c r="B3756" s="17"/>
      <c r="C3756" s="15" t="s">
        <v>2847</v>
      </c>
      <c r="D3756" s="14"/>
      <c r="E3756" s="14" t="s">
        <v>2841</v>
      </c>
      <c r="F3756" s="25">
        <v>3610</v>
      </c>
      <c r="G3756" s="25">
        <v>3532.3850000000002</v>
      </c>
    </row>
    <row r="3757" spans="1:7" x14ac:dyDescent="0.25">
      <c r="A3757" s="17"/>
      <c r="B3757" s="17"/>
      <c r="C3757" s="15" t="s">
        <v>2847</v>
      </c>
      <c r="D3757" s="14"/>
      <c r="E3757" s="14" t="s">
        <v>2841</v>
      </c>
      <c r="F3757" s="25">
        <v>14443</v>
      </c>
      <c r="G3757" s="25">
        <v>14132.4755</v>
      </c>
    </row>
    <row r="3758" spans="1:7" x14ac:dyDescent="0.25">
      <c r="A3758" s="17"/>
      <c r="B3758" s="17"/>
      <c r="C3758" s="15" t="s">
        <v>2847</v>
      </c>
      <c r="D3758" s="14"/>
      <c r="E3758" s="14" t="s">
        <v>2841</v>
      </c>
      <c r="F3758" s="25">
        <v>1954</v>
      </c>
      <c r="G3758" s="25">
        <v>1911.989</v>
      </c>
    </row>
    <row r="3759" spans="1:7" x14ac:dyDescent="0.25">
      <c r="A3759" s="17"/>
      <c r="B3759" s="17"/>
      <c r="C3759" s="15" t="s">
        <v>2848</v>
      </c>
      <c r="D3759" s="14"/>
      <c r="E3759" s="14" t="s">
        <v>2841</v>
      </c>
      <c r="F3759" s="25">
        <v>14443</v>
      </c>
      <c r="G3759" s="25">
        <v>14132.4755</v>
      </c>
    </row>
    <row r="3760" spans="1:7" x14ac:dyDescent="0.25">
      <c r="A3760" s="17"/>
      <c r="B3760" s="17"/>
      <c r="C3760" s="15" t="s">
        <v>2848</v>
      </c>
      <c r="D3760" s="14"/>
      <c r="E3760" s="14" t="s">
        <v>2841</v>
      </c>
      <c r="F3760" s="25">
        <v>3610</v>
      </c>
      <c r="G3760" s="25">
        <v>3532.3850000000002</v>
      </c>
    </row>
    <row r="3761" spans="1:7" x14ac:dyDescent="0.25">
      <c r="A3761" s="17"/>
      <c r="B3761" s="17"/>
      <c r="C3761" s="15" t="s">
        <v>2848</v>
      </c>
      <c r="D3761" s="14"/>
      <c r="E3761" s="14" t="s">
        <v>2841</v>
      </c>
      <c r="F3761" s="25">
        <v>1954</v>
      </c>
      <c r="G3761" s="25">
        <v>1911.989</v>
      </c>
    </row>
    <row r="3762" spans="1:7" x14ac:dyDescent="0.25">
      <c r="A3762" s="17"/>
      <c r="B3762" s="17"/>
      <c r="C3762" s="15" t="s">
        <v>2849</v>
      </c>
      <c r="D3762" s="14"/>
      <c r="E3762" s="14" t="s">
        <v>2841</v>
      </c>
      <c r="F3762" s="25">
        <v>1631</v>
      </c>
      <c r="G3762" s="25">
        <v>1427.9404999999999</v>
      </c>
    </row>
    <row r="3763" spans="1:7" x14ac:dyDescent="0.25">
      <c r="A3763" s="17"/>
      <c r="B3763" s="17"/>
      <c r="C3763" s="15" t="s">
        <v>2850</v>
      </c>
      <c r="D3763" s="14"/>
      <c r="E3763" s="14" t="s">
        <v>2841</v>
      </c>
      <c r="F3763" s="25">
        <v>3993</v>
      </c>
      <c r="G3763" s="25">
        <v>3495.8715000000002</v>
      </c>
    </row>
    <row r="3764" spans="1:7" x14ac:dyDescent="0.25">
      <c r="A3764" s="17"/>
      <c r="B3764" s="17"/>
      <c r="C3764" s="15" t="s">
        <v>2850</v>
      </c>
      <c r="D3764" s="14"/>
      <c r="E3764" s="14" t="s">
        <v>2841</v>
      </c>
      <c r="F3764" s="25">
        <v>998</v>
      </c>
      <c r="G3764" s="25">
        <v>873.74899999999991</v>
      </c>
    </row>
    <row r="3765" spans="1:7" x14ac:dyDescent="0.25">
      <c r="A3765" s="17"/>
      <c r="B3765" s="17"/>
      <c r="C3765" s="15" t="s">
        <v>2850</v>
      </c>
      <c r="D3765" s="14"/>
      <c r="E3765" s="14" t="s">
        <v>2841</v>
      </c>
      <c r="F3765" s="25">
        <v>1597</v>
      </c>
      <c r="G3765" s="25">
        <v>1398.1735000000001</v>
      </c>
    </row>
    <row r="3766" spans="1:7" x14ac:dyDescent="0.25">
      <c r="A3766" s="17"/>
      <c r="B3766" s="17"/>
      <c r="C3766" s="15" t="s">
        <v>2849</v>
      </c>
      <c r="D3766" s="14"/>
      <c r="E3766" s="14" t="s">
        <v>2841</v>
      </c>
      <c r="F3766" s="25">
        <v>1019</v>
      </c>
      <c r="G3766" s="25">
        <v>892.1345</v>
      </c>
    </row>
    <row r="3767" spans="1:7" x14ac:dyDescent="0.25">
      <c r="A3767" s="17"/>
      <c r="B3767" s="17"/>
      <c r="C3767" s="15" t="s">
        <v>2849</v>
      </c>
      <c r="D3767" s="14"/>
      <c r="E3767" s="14" t="s">
        <v>2841</v>
      </c>
      <c r="F3767" s="25">
        <v>5097</v>
      </c>
      <c r="G3767" s="25">
        <v>4462.4234999999999</v>
      </c>
    </row>
    <row r="3768" spans="1:7" x14ac:dyDescent="0.25">
      <c r="A3768" s="17"/>
      <c r="B3768" s="17"/>
      <c r="C3768" s="15" t="s">
        <v>2851</v>
      </c>
      <c r="D3768" s="14"/>
      <c r="E3768" s="14" t="s">
        <v>2841</v>
      </c>
      <c r="F3768" s="25">
        <v>6372</v>
      </c>
      <c r="G3768" s="25">
        <v>5578.6859999999997</v>
      </c>
    </row>
    <row r="3769" spans="1:7" x14ac:dyDescent="0.25">
      <c r="A3769" s="17"/>
      <c r="B3769" s="17"/>
      <c r="C3769" s="15" t="s">
        <v>2852</v>
      </c>
      <c r="D3769" s="14"/>
      <c r="E3769" s="14" t="s">
        <v>2841</v>
      </c>
      <c r="F3769" s="25">
        <v>412</v>
      </c>
      <c r="G3769" s="25">
        <v>360.70599999999996</v>
      </c>
    </row>
    <row r="3770" spans="1:7" x14ac:dyDescent="0.25">
      <c r="A3770" s="17"/>
      <c r="B3770" s="17"/>
      <c r="C3770" s="15" t="s">
        <v>2852</v>
      </c>
      <c r="D3770" s="14"/>
      <c r="E3770" s="14" t="s">
        <v>2841</v>
      </c>
      <c r="F3770" s="25">
        <v>8241</v>
      </c>
      <c r="G3770" s="25">
        <v>7214.9955</v>
      </c>
    </row>
    <row r="3771" spans="1:7" x14ac:dyDescent="0.25">
      <c r="A3771" s="17"/>
      <c r="B3771" s="17"/>
      <c r="C3771" s="15" t="s">
        <v>2851</v>
      </c>
      <c r="D3771" s="14"/>
      <c r="E3771" s="14" t="s">
        <v>2841</v>
      </c>
      <c r="F3771" s="25">
        <v>318</v>
      </c>
      <c r="G3771" s="25">
        <v>278.40899999999999</v>
      </c>
    </row>
    <row r="3772" spans="1:7" x14ac:dyDescent="0.25">
      <c r="A3772" s="17"/>
      <c r="B3772" s="17"/>
      <c r="C3772" s="15" t="s">
        <v>2852</v>
      </c>
      <c r="D3772" s="14"/>
      <c r="E3772" s="14" t="s">
        <v>2841</v>
      </c>
      <c r="F3772" s="25">
        <v>1648</v>
      </c>
      <c r="G3772" s="25">
        <v>1442.8239999999998</v>
      </c>
    </row>
    <row r="3773" spans="1:7" x14ac:dyDescent="0.25">
      <c r="A3773" s="17"/>
      <c r="B3773" s="17"/>
      <c r="C3773" s="15" t="s">
        <v>2851</v>
      </c>
      <c r="D3773" s="14"/>
      <c r="E3773" s="14" t="s">
        <v>2841</v>
      </c>
      <c r="F3773" s="25">
        <v>1593</v>
      </c>
      <c r="G3773" s="25">
        <v>1394.6714999999999</v>
      </c>
    </row>
    <row r="3774" spans="1:7" x14ac:dyDescent="0.25">
      <c r="A3774" s="17"/>
      <c r="B3774" s="17"/>
      <c r="C3774" s="15" t="s">
        <v>2853</v>
      </c>
      <c r="D3774" s="14"/>
      <c r="E3774" s="14" t="s">
        <v>2841</v>
      </c>
      <c r="F3774" s="25">
        <v>1284803</v>
      </c>
      <c r="G3774" s="25">
        <v>1124845.49</v>
      </c>
    </row>
    <row r="3775" spans="1:7" x14ac:dyDescent="0.25">
      <c r="A3775" s="17"/>
      <c r="B3775" s="17"/>
      <c r="C3775" s="15" t="s">
        <v>2854</v>
      </c>
      <c r="D3775" s="14"/>
      <c r="E3775" s="14" t="s">
        <v>2841</v>
      </c>
      <c r="F3775" s="25">
        <v>83784</v>
      </c>
      <c r="G3775" s="25">
        <v>73352.891999999993</v>
      </c>
    </row>
    <row r="3776" spans="1:7" x14ac:dyDescent="0.25">
      <c r="A3776" s="17"/>
      <c r="B3776" s="17"/>
      <c r="C3776" s="15" t="s">
        <v>2855</v>
      </c>
      <c r="D3776" s="14"/>
      <c r="E3776" s="14" t="s">
        <v>2841</v>
      </c>
      <c r="F3776" s="25">
        <v>802878</v>
      </c>
      <c r="G3776" s="25">
        <v>702919.68900000001</v>
      </c>
    </row>
    <row r="3777" spans="1:7" x14ac:dyDescent="0.25">
      <c r="A3777" s="17"/>
      <c r="B3777" s="17"/>
      <c r="C3777" s="15" t="s">
        <v>2854</v>
      </c>
      <c r="D3777" s="14" t="s">
        <v>1745</v>
      </c>
      <c r="E3777" s="14" t="s">
        <v>2841</v>
      </c>
      <c r="F3777" s="25">
        <v>83784</v>
      </c>
      <c r="G3777" s="25">
        <v>73352.891999999993</v>
      </c>
    </row>
    <row r="3778" spans="1:7" x14ac:dyDescent="0.25">
      <c r="A3778" s="17"/>
      <c r="B3778" s="17"/>
      <c r="C3778" s="15" t="s">
        <v>2856</v>
      </c>
      <c r="D3778" s="14"/>
      <c r="E3778" s="14" t="s">
        <v>2841</v>
      </c>
      <c r="F3778" s="25">
        <v>1284803</v>
      </c>
      <c r="G3778" s="25">
        <v>1124845.49</v>
      </c>
    </row>
    <row r="3779" spans="1:7" x14ac:dyDescent="0.25">
      <c r="A3779" s="17"/>
      <c r="B3779" s="17"/>
      <c r="C3779" s="15" t="s">
        <v>2857</v>
      </c>
      <c r="D3779" s="14"/>
      <c r="E3779" s="14" t="s">
        <v>2841</v>
      </c>
      <c r="F3779" s="25">
        <v>83784</v>
      </c>
      <c r="G3779" s="25">
        <v>73352.891999999993</v>
      </c>
    </row>
    <row r="3780" spans="1:7" x14ac:dyDescent="0.25">
      <c r="A3780" s="17"/>
      <c r="B3780" s="17"/>
      <c r="C3780" s="15" t="s">
        <v>2858</v>
      </c>
      <c r="D3780" s="14"/>
      <c r="E3780" s="14" t="s">
        <v>2841</v>
      </c>
      <c r="F3780" s="25">
        <v>802878</v>
      </c>
      <c r="G3780" s="25">
        <v>702919.68900000001</v>
      </c>
    </row>
    <row r="3781" spans="1:7" x14ac:dyDescent="0.25">
      <c r="A3781" s="17"/>
      <c r="B3781" s="17"/>
      <c r="C3781" s="15" t="s">
        <v>2859</v>
      </c>
      <c r="D3781" s="14"/>
      <c r="E3781" s="14" t="s">
        <v>2841</v>
      </c>
      <c r="F3781" s="25">
        <v>83784</v>
      </c>
      <c r="G3781" s="25">
        <v>73352.891999999993</v>
      </c>
    </row>
    <row r="3782" spans="1:7" x14ac:dyDescent="0.25">
      <c r="A3782" s="17"/>
      <c r="B3782" s="17"/>
      <c r="C3782" s="15" t="s">
        <v>2860</v>
      </c>
      <c r="D3782" s="14"/>
      <c r="E3782" s="14" t="s">
        <v>2841</v>
      </c>
      <c r="F3782" s="25">
        <v>335136</v>
      </c>
      <c r="G3782" s="25">
        <v>293411.56799999997</v>
      </c>
    </row>
    <row r="3783" spans="1:7" x14ac:dyDescent="0.25">
      <c r="A3783" s="17"/>
      <c r="B3783" s="17"/>
      <c r="C3783" s="15" t="s">
        <v>2853</v>
      </c>
      <c r="D3783" s="14" t="s">
        <v>1745</v>
      </c>
      <c r="E3783" s="14" t="s">
        <v>2841</v>
      </c>
      <c r="F3783" s="25">
        <v>1284803</v>
      </c>
      <c r="G3783" s="25">
        <v>1124845.49</v>
      </c>
    </row>
    <row r="3784" spans="1:7" x14ac:dyDescent="0.25">
      <c r="A3784" s="17"/>
      <c r="B3784" s="17"/>
      <c r="C3784" s="15" t="s">
        <v>2861</v>
      </c>
      <c r="D3784" s="14" t="s">
        <v>1745</v>
      </c>
      <c r="E3784" s="14" t="s">
        <v>2841</v>
      </c>
      <c r="F3784" s="25">
        <v>802878</v>
      </c>
      <c r="G3784" s="25">
        <v>702919.68900000001</v>
      </c>
    </row>
    <row r="3785" spans="1:7" x14ac:dyDescent="0.25">
      <c r="A3785" s="17"/>
      <c r="B3785" s="17"/>
      <c r="C3785" s="15" t="s">
        <v>2862</v>
      </c>
      <c r="D3785" s="14"/>
      <c r="E3785" s="14" t="s">
        <v>2841</v>
      </c>
      <c r="F3785" s="25">
        <v>1284803</v>
      </c>
      <c r="G3785" s="25">
        <v>1124845.49</v>
      </c>
    </row>
    <row r="3786" spans="1:7" x14ac:dyDescent="0.25">
      <c r="A3786" s="17"/>
      <c r="B3786" s="17"/>
      <c r="C3786" s="15" t="s">
        <v>2863</v>
      </c>
      <c r="D3786" s="14"/>
      <c r="E3786" s="14" t="s">
        <v>2841</v>
      </c>
      <c r="F3786" s="25">
        <v>335136</v>
      </c>
      <c r="G3786" s="25">
        <v>293411.56799999997</v>
      </c>
    </row>
    <row r="3787" spans="1:7" x14ac:dyDescent="0.25">
      <c r="A3787" s="17"/>
      <c r="B3787" s="17"/>
      <c r="C3787" s="15" t="s">
        <v>2863</v>
      </c>
      <c r="D3787" s="14" t="s">
        <v>1745</v>
      </c>
      <c r="E3787" s="14" t="s">
        <v>2841</v>
      </c>
      <c r="F3787" s="25">
        <v>335136</v>
      </c>
      <c r="G3787" s="25">
        <v>293411.56799999997</v>
      </c>
    </row>
    <row r="3788" spans="1:7" x14ac:dyDescent="0.25">
      <c r="A3788" s="17"/>
      <c r="B3788" s="17"/>
      <c r="C3788" s="15" t="s">
        <v>2864</v>
      </c>
      <c r="D3788" s="14"/>
      <c r="E3788" s="14" t="s">
        <v>2841</v>
      </c>
      <c r="F3788" s="25">
        <v>802878</v>
      </c>
      <c r="G3788" s="25">
        <v>702919.68900000001</v>
      </c>
    </row>
    <row r="3789" spans="1:7" x14ac:dyDescent="0.25">
      <c r="A3789" s="17"/>
      <c r="B3789" s="17"/>
      <c r="C3789" s="15" t="s">
        <v>2865</v>
      </c>
      <c r="D3789" s="14"/>
      <c r="E3789" s="14" t="s">
        <v>2841</v>
      </c>
      <c r="F3789" s="25">
        <v>335136</v>
      </c>
      <c r="G3789" s="25">
        <v>293411.56799999997</v>
      </c>
    </row>
    <row r="3790" spans="1:7" x14ac:dyDescent="0.25">
      <c r="A3790" s="17"/>
      <c r="B3790" s="17"/>
      <c r="C3790" s="15" t="s">
        <v>2866</v>
      </c>
      <c r="D3790" s="14" t="s">
        <v>1745</v>
      </c>
      <c r="E3790" s="14" t="s">
        <v>2841</v>
      </c>
      <c r="F3790" s="25">
        <v>261512</v>
      </c>
      <c r="G3790" s="25">
        <v>228953.75600000002</v>
      </c>
    </row>
    <row r="3791" spans="1:7" x14ac:dyDescent="0.25">
      <c r="A3791" s="17"/>
      <c r="B3791" s="17"/>
      <c r="C3791" s="15" t="s">
        <v>2867</v>
      </c>
      <c r="D3791" s="14" t="s">
        <v>1745</v>
      </c>
      <c r="E3791" s="14" t="s">
        <v>2841</v>
      </c>
      <c r="F3791" s="25">
        <v>65335</v>
      </c>
      <c r="G3791" s="25">
        <v>57200.792500000003</v>
      </c>
    </row>
    <row r="3792" spans="1:7" x14ac:dyDescent="0.25">
      <c r="A3792" s="17"/>
      <c r="B3792" s="17"/>
      <c r="C3792" s="15" t="s">
        <v>2868</v>
      </c>
      <c r="D3792" s="14"/>
      <c r="E3792" s="14" t="s">
        <v>2841</v>
      </c>
      <c r="F3792" s="25">
        <v>261512</v>
      </c>
      <c r="G3792" s="25">
        <v>228953.75600000002</v>
      </c>
    </row>
    <row r="3793" spans="1:7" x14ac:dyDescent="0.25">
      <c r="A3793" s="17"/>
      <c r="B3793" s="17"/>
      <c r="C3793" s="15" t="s">
        <v>2869</v>
      </c>
      <c r="D3793" s="14"/>
      <c r="E3793" s="14" t="s">
        <v>2841</v>
      </c>
      <c r="F3793" s="25">
        <v>65335</v>
      </c>
      <c r="G3793" s="25">
        <v>57200.792500000003</v>
      </c>
    </row>
    <row r="3794" spans="1:7" x14ac:dyDescent="0.25">
      <c r="A3794" s="17"/>
      <c r="B3794" s="17"/>
      <c r="C3794" s="15" t="s">
        <v>2870</v>
      </c>
      <c r="D3794" s="14"/>
      <c r="E3794" s="14" t="s">
        <v>2841</v>
      </c>
      <c r="F3794" s="25">
        <v>261512</v>
      </c>
      <c r="G3794" s="25">
        <v>228953.75600000002</v>
      </c>
    </row>
    <row r="3795" spans="1:7" x14ac:dyDescent="0.25">
      <c r="A3795" s="17"/>
      <c r="B3795" s="17"/>
      <c r="C3795" s="15" t="s">
        <v>2871</v>
      </c>
      <c r="D3795" s="14"/>
      <c r="E3795" s="14" t="s">
        <v>2841</v>
      </c>
      <c r="F3795" s="25">
        <v>65335</v>
      </c>
      <c r="G3795" s="25">
        <v>57200.792500000003</v>
      </c>
    </row>
    <row r="3796" spans="1:7" x14ac:dyDescent="0.25">
      <c r="A3796" s="17"/>
      <c r="B3796" s="17"/>
      <c r="C3796" s="15" t="s">
        <v>2872</v>
      </c>
      <c r="D3796" s="14"/>
      <c r="E3796" s="14" t="s">
        <v>2841</v>
      </c>
      <c r="F3796" s="25">
        <v>45369</v>
      </c>
      <c r="G3796" s="25">
        <v>39720.559500000003</v>
      </c>
    </row>
    <row r="3797" spans="1:7" x14ac:dyDescent="0.25">
      <c r="A3797" s="17"/>
      <c r="B3797" s="17"/>
      <c r="C3797" s="15" t="s">
        <v>2873</v>
      </c>
      <c r="D3797" s="14" t="s">
        <v>1745</v>
      </c>
      <c r="E3797" s="14" t="s">
        <v>2841</v>
      </c>
      <c r="F3797" s="25">
        <v>11384</v>
      </c>
      <c r="G3797" s="25">
        <v>9966.6919999999991</v>
      </c>
    </row>
    <row r="3798" spans="1:7" x14ac:dyDescent="0.25">
      <c r="A3798" s="17"/>
      <c r="B3798" s="17"/>
      <c r="C3798" s="15" t="s">
        <v>2874</v>
      </c>
      <c r="D3798" s="14"/>
      <c r="E3798" s="14" t="s">
        <v>2841</v>
      </c>
      <c r="F3798" s="25">
        <v>45369</v>
      </c>
      <c r="G3798" s="25">
        <v>39720.559500000003</v>
      </c>
    </row>
    <row r="3799" spans="1:7" x14ac:dyDescent="0.25">
      <c r="A3799" s="17"/>
      <c r="B3799" s="17"/>
      <c r="C3799" s="15" t="s">
        <v>2875</v>
      </c>
      <c r="D3799" s="14"/>
      <c r="E3799" s="14" t="s">
        <v>2841</v>
      </c>
      <c r="F3799" s="25">
        <v>11384</v>
      </c>
      <c r="G3799" s="25">
        <v>9966.6919999999991</v>
      </c>
    </row>
    <row r="3800" spans="1:7" x14ac:dyDescent="0.25">
      <c r="A3800" s="17"/>
      <c r="B3800" s="17"/>
      <c r="C3800" s="15" t="s">
        <v>2876</v>
      </c>
      <c r="D3800" s="14" t="s">
        <v>1745</v>
      </c>
      <c r="E3800" s="14" t="s">
        <v>2841</v>
      </c>
      <c r="F3800" s="25">
        <v>45369</v>
      </c>
      <c r="G3800" s="25">
        <v>39720.559500000003</v>
      </c>
    </row>
    <row r="3801" spans="1:7" x14ac:dyDescent="0.25">
      <c r="A3801" s="17"/>
      <c r="B3801" s="17"/>
      <c r="C3801" s="15" t="s">
        <v>2877</v>
      </c>
      <c r="D3801" s="14"/>
      <c r="E3801" s="14" t="s">
        <v>2841</v>
      </c>
      <c r="F3801" s="25">
        <v>11384</v>
      </c>
      <c r="G3801" s="25">
        <v>9966.6919999999991</v>
      </c>
    </row>
    <row r="3802" spans="1:7" x14ac:dyDescent="0.25">
      <c r="A3802" s="17"/>
      <c r="B3802" s="17"/>
      <c r="C3802" s="15" t="s">
        <v>2878</v>
      </c>
      <c r="D3802" s="14"/>
      <c r="E3802" s="14" t="s">
        <v>2841</v>
      </c>
      <c r="F3802" s="25">
        <v>57349</v>
      </c>
      <c r="G3802" s="25">
        <v>50209.049500000001</v>
      </c>
    </row>
    <row r="3803" spans="1:7" x14ac:dyDescent="0.25">
      <c r="A3803" s="17"/>
      <c r="B3803" s="17"/>
      <c r="C3803" s="15" t="s">
        <v>2878</v>
      </c>
      <c r="D3803" s="14"/>
      <c r="E3803" s="14" t="s">
        <v>2841</v>
      </c>
      <c r="F3803" s="25">
        <v>14337</v>
      </c>
      <c r="G3803" s="25">
        <v>12552.043500000002</v>
      </c>
    </row>
    <row r="3804" spans="1:7" x14ac:dyDescent="0.25">
      <c r="A3804" s="17"/>
      <c r="B3804" s="17"/>
      <c r="C3804" s="15" t="s">
        <v>2878</v>
      </c>
      <c r="D3804" s="14"/>
      <c r="E3804" s="14" t="s">
        <v>2841</v>
      </c>
      <c r="F3804" s="25">
        <v>7816</v>
      </c>
      <c r="G3804" s="25">
        <v>6842.9080000000004</v>
      </c>
    </row>
    <row r="3805" spans="1:7" x14ac:dyDescent="0.25">
      <c r="A3805" s="17"/>
      <c r="B3805" s="17"/>
      <c r="C3805" s="15" t="s">
        <v>2879</v>
      </c>
      <c r="D3805" s="14"/>
      <c r="E3805" s="14" t="s">
        <v>2841</v>
      </c>
      <c r="F3805" s="25">
        <v>42056</v>
      </c>
      <c r="G3805" s="25">
        <v>36820.027999999998</v>
      </c>
    </row>
    <row r="3806" spans="1:7" x14ac:dyDescent="0.25">
      <c r="A3806" s="17"/>
      <c r="B3806" s="17"/>
      <c r="C3806" s="15" t="s">
        <v>2879</v>
      </c>
      <c r="D3806" s="14"/>
      <c r="E3806" s="14" t="s">
        <v>2841</v>
      </c>
      <c r="F3806" s="25">
        <v>10514</v>
      </c>
      <c r="G3806" s="25">
        <v>9205.0069999999996</v>
      </c>
    </row>
    <row r="3807" spans="1:7" x14ac:dyDescent="0.25">
      <c r="A3807" s="17"/>
      <c r="B3807" s="17"/>
      <c r="C3807" s="15" t="s">
        <v>2879</v>
      </c>
      <c r="D3807" s="14"/>
      <c r="E3807" s="14" t="s">
        <v>2841</v>
      </c>
      <c r="F3807" s="25">
        <v>5694</v>
      </c>
      <c r="G3807" s="25">
        <v>4985.0969999999998</v>
      </c>
    </row>
    <row r="3808" spans="1:7" x14ac:dyDescent="0.25">
      <c r="A3808" s="17"/>
      <c r="B3808" s="17"/>
      <c r="C3808" s="15" t="s">
        <v>2880</v>
      </c>
      <c r="D3808" s="14"/>
      <c r="E3808" s="14" t="s">
        <v>2841</v>
      </c>
      <c r="F3808" s="25">
        <v>42056</v>
      </c>
      <c r="G3808" s="25">
        <v>36820.027999999998</v>
      </c>
    </row>
    <row r="3809" spans="1:7" x14ac:dyDescent="0.25">
      <c r="A3809" s="17"/>
      <c r="B3809" s="17"/>
      <c r="C3809" s="15" t="s">
        <v>2880</v>
      </c>
      <c r="D3809" s="14"/>
      <c r="E3809" s="14" t="s">
        <v>2841</v>
      </c>
      <c r="F3809" s="25">
        <v>5694</v>
      </c>
      <c r="G3809" s="25">
        <v>4985.0969999999998</v>
      </c>
    </row>
    <row r="3810" spans="1:7" x14ac:dyDescent="0.25">
      <c r="A3810" s="17"/>
      <c r="B3810" s="17"/>
      <c r="C3810" s="15" t="s">
        <v>2880</v>
      </c>
      <c r="D3810" s="14"/>
      <c r="E3810" s="14" t="s">
        <v>2841</v>
      </c>
      <c r="F3810" s="25">
        <v>10514</v>
      </c>
      <c r="G3810" s="25">
        <v>9205.0069999999996</v>
      </c>
    </row>
    <row r="3811" spans="1:7" x14ac:dyDescent="0.25">
      <c r="A3811" s="17"/>
      <c r="B3811" s="17"/>
      <c r="C3811" s="15" t="s">
        <v>2881</v>
      </c>
      <c r="D3811" s="14"/>
      <c r="E3811" s="14" t="s">
        <v>2841</v>
      </c>
      <c r="F3811" s="25">
        <v>1954</v>
      </c>
      <c r="G3811" s="25">
        <v>1911.989</v>
      </c>
    </row>
    <row r="3812" spans="1:7" x14ac:dyDescent="0.25">
      <c r="A3812" s="17"/>
      <c r="B3812" s="17"/>
      <c r="C3812" s="15" t="s">
        <v>2881</v>
      </c>
      <c r="D3812" s="14"/>
      <c r="E3812" s="14" t="s">
        <v>2841</v>
      </c>
      <c r="F3812" s="25">
        <v>14443</v>
      </c>
      <c r="G3812" s="25">
        <v>14132.4755</v>
      </c>
    </row>
    <row r="3813" spans="1:7" x14ac:dyDescent="0.25">
      <c r="A3813" s="17"/>
      <c r="B3813" s="17"/>
      <c r="C3813" s="15" t="s">
        <v>2881</v>
      </c>
      <c r="D3813" s="14"/>
      <c r="E3813" s="14" t="s">
        <v>2841</v>
      </c>
      <c r="F3813" s="25">
        <v>3610</v>
      </c>
      <c r="G3813" s="25">
        <v>3532.3850000000002</v>
      </c>
    </row>
    <row r="3814" spans="1:7" x14ac:dyDescent="0.25">
      <c r="A3814" s="17"/>
      <c r="B3814" s="17"/>
      <c r="C3814" s="15" t="s">
        <v>2882</v>
      </c>
      <c r="D3814" s="14"/>
      <c r="E3814" s="14" t="s">
        <v>2841</v>
      </c>
      <c r="F3814" s="25">
        <v>1954</v>
      </c>
      <c r="G3814" s="25">
        <v>1911.989</v>
      </c>
    </row>
    <row r="3815" spans="1:7" x14ac:dyDescent="0.25">
      <c r="A3815" s="17"/>
      <c r="B3815" s="17"/>
      <c r="C3815" s="15" t="s">
        <v>2882</v>
      </c>
      <c r="D3815" s="14"/>
      <c r="E3815" s="14" t="s">
        <v>2841</v>
      </c>
      <c r="F3815" s="25">
        <v>3610</v>
      </c>
      <c r="G3815" s="25">
        <v>3532.3850000000002</v>
      </c>
    </row>
    <row r="3816" spans="1:7" x14ac:dyDescent="0.25">
      <c r="A3816" s="17"/>
      <c r="B3816" s="17"/>
      <c r="C3816" s="15" t="s">
        <v>2882</v>
      </c>
      <c r="D3816" s="14"/>
      <c r="E3816" s="14" t="s">
        <v>2841</v>
      </c>
      <c r="F3816" s="25">
        <v>14443</v>
      </c>
      <c r="G3816" s="25">
        <v>14132.4755</v>
      </c>
    </row>
    <row r="3817" spans="1:7" x14ac:dyDescent="0.25">
      <c r="A3817" s="17"/>
      <c r="B3817" s="17"/>
      <c r="C3817" s="15" t="s">
        <v>2883</v>
      </c>
      <c r="D3817" s="14"/>
      <c r="E3817" s="14" t="s">
        <v>2841</v>
      </c>
      <c r="F3817" s="25">
        <v>3610</v>
      </c>
      <c r="G3817" s="25">
        <v>3532.3850000000002</v>
      </c>
    </row>
    <row r="3818" spans="1:7" x14ac:dyDescent="0.25">
      <c r="A3818" s="17"/>
      <c r="B3818" s="17"/>
      <c r="C3818" s="15" t="s">
        <v>2883</v>
      </c>
      <c r="D3818" s="14"/>
      <c r="E3818" s="14" t="s">
        <v>2841</v>
      </c>
      <c r="F3818" s="25">
        <v>1954</v>
      </c>
      <c r="G3818" s="25">
        <v>1911.989</v>
      </c>
    </row>
    <row r="3819" spans="1:7" x14ac:dyDescent="0.25">
      <c r="A3819" s="17"/>
      <c r="B3819" s="17"/>
      <c r="C3819" s="15" t="s">
        <v>2883</v>
      </c>
      <c r="D3819" s="14"/>
      <c r="E3819" s="14" t="s">
        <v>2841</v>
      </c>
      <c r="F3819" s="25">
        <v>14443</v>
      </c>
      <c r="G3819" s="25">
        <v>14132.4755</v>
      </c>
    </row>
    <row r="3820" spans="1:7" x14ac:dyDescent="0.25">
      <c r="A3820" s="17"/>
      <c r="B3820" s="17"/>
      <c r="C3820" s="15" t="s">
        <v>2884</v>
      </c>
      <c r="D3820" s="14"/>
      <c r="E3820" s="14" t="s">
        <v>2841</v>
      </c>
      <c r="F3820" s="25">
        <v>1954</v>
      </c>
      <c r="G3820" s="25">
        <v>1911.989</v>
      </c>
    </row>
    <row r="3821" spans="1:7" x14ac:dyDescent="0.25">
      <c r="A3821" s="17"/>
      <c r="B3821" s="17"/>
      <c r="C3821" s="15" t="s">
        <v>2884</v>
      </c>
      <c r="D3821" s="14"/>
      <c r="E3821" s="14" t="s">
        <v>2841</v>
      </c>
      <c r="F3821" s="25">
        <v>3610</v>
      </c>
      <c r="G3821" s="25">
        <v>3532.3850000000002</v>
      </c>
    </row>
    <row r="3822" spans="1:7" x14ac:dyDescent="0.25">
      <c r="A3822" s="17"/>
      <c r="B3822" s="17"/>
      <c r="C3822" s="15" t="s">
        <v>2884</v>
      </c>
      <c r="D3822" s="14"/>
      <c r="E3822" s="14" t="s">
        <v>2841</v>
      </c>
      <c r="F3822" s="25">
        <v>14443</v>
      </c>
      <c r="G3822" s="25">
        <v>14132.4755</v>
      </c>
    </row>
    <row r="3823" spans="1:7" x14ac:dyDescent="0.25">
      <c r="A3823" s="17"/>
      <c r="B3823" s="17"/>
      <c r="C3823" s="15" t="s">
        <v>2885</v>
      </c>
      <c r="D3823" s="14"/>
      <c r="E3823" s="14" t="s">
        <v>2841</v>
      </c>
      <c r="F3823" s="25">
        <v>24001</v>
      </c>
      <c r="G3823" s="25">
        <v>21012.875499999998</v>
      </c>
    </row>
    <row r="3824" spans="1:7" x14ac:dyDescent="0.25">
      <c r="A3824" s="17"/>
      <c r="B3824" s="17"/>
      <c r="C3824" s="15" t="s">
        <v>2885</v>
      </c>
      <c r="D3824" s="14"/>
      <c r="E3824" s="14" t="s">
        <v>2841</v>
      </c>
      <c r="F3824" s="25">
        <v>96006</v>
      </c>
      <c r="G3824" s="25">
        <v>84053.253000000012</v>
      </c>
    </row>
    <row r="3825" spans="1:7" x14ac:dyDescent="0.25">
      <c r="A3825" s="17"/>
      <c r="B3825" s="17"/>
      <c r="C3825" s="15" t="s">
        <v>2885</v>
      </c>
      <c r="D3825" s="14"/>
      <c r="E3825" s="14" t="s">
        <v>2841</v>
      </c>
      <c r="F3825" s="25">
        <v>14362</v>
      </c>
      <c r="G3825" s="25">
        <v>12573.931</v>
      </c>
    </row>
    <row r="3826" spans="1:7" x14ac:dyDescent="0.25">
      <c r="A3826" s="17"/>
      <c r="B3826" s="17"/>
      <c r="C3826" s="15" t="s">
        <v>2886</v>
      </c>
      <c r="D3826" s="14"/>
      <c r="E3826" s="14" t="s">
        <v>2841</v>
      </c>
      <c r="F3826" s="25">
        <v>211792</v>
      </c>
      <c r="G3826" s="25">
        <v>185423.89600000001</v>
      </c>
    </row>
    <row r="3827" spans="1:7" x14ac:dyDescent="0.25">
      <c r="A3827" s="17"/>
      <c r="B3827" s="17"/>
      <c r="C3827" s="15" t="s">
        <v>2886</v>
      </c>
      <c r="D3827" s="14"/>
      <c r="E3827" s="14" t="s">
        <v>2841</v>
      </c>
      <c r="F3827" s="25">
        <v>132370</v>
      </c>
      <c r="G3827" s="25">
        <v>115889.935</v>
      </c>
    </row>
    <row r="3828" spans="1:7" x14ac:dyDescent="0.25">
      <c r="A3828" s="17"/>
      <c r="B3828" s="17"/>
      <c r="C3828" s="15" t="s">
        <v>2886</v>
      </c>
      <c r="D3828" s="14"/>
      <c r="E3828" s="14" t="s">
        <v>2841</v>
      </c>
      <c r="F3828" s="25">
        <v>529481</v>
      </c>
      <c r="G3828" s="25">
        <v>463560.66700000002</v>
      </c>
    </row>
    <row r="3829" spans="1:7" x14ac:dyDescent="0.25">
      <c r="A3829" s="17"/>
      <c r="B3829" s="17"/>
      <c r="C3829" s="15" t="s">
        <v>2887</v>
      </c>
      <c r="D3829" s="14"/>
      <c r="E3829" s="14" t="s">
        <v>2841</v>
      </c>
      <c r="F3829" s="25">
        <v>3906</v>
      </c>
      <c r="G3829" s="25">
        <v>3419.703</v>
      </c>
    </row>
    <row r="3830" spans="1:7" x14ac:dyDescent="0.25">
      <c r="A3830" s="17"/>
      <c r="B3830" s="17"/>
      <c r="C3830" s="15" t="s">
        <v>2888</v>
      </c>
      <c r="D3830" s="14"/>
      <c r="E3830" s="14" t="s">
        <v>2841</v>
      </c>
      <c r="F3830" s="25">
        <v>15802</v>
      </c>
      <c r="G3830" s="25">
        <v>13834.651000000002</v>
      </c>
    </row>
    <row r="3831" spans="1:7" x14ac:dyDescent="0.25">
      <c r="A3831" s="17"/>
      <c r="B3831" s="17"/>
      <c r="C3831" s="15" t="s">
        <v>2887</v>
      </c>
      <c r="D3831" s="14"/>
      <c r="E3831" s="14" t="s">
        <v>2841</v>
      </c>
      <c r="F3831" s="25">
        <v>20560</v>
      </c>
      <c r="G3831" s="25">
        <v>18000.28</v>
      </c>
    </row>
    <row r="3832" spans="1:7" x14ac:dyDescent="0.25">
      <c r="A3832" s="17"/>
      <c r="B3832" s="17"/>
      <c r="C3832" s="15" t="s">
        <v>2887</v>
      </c>
      <c r="D3832" s="14"/>
      <c r="E3832" s="14" t="s">
        <v>2841</v>
      </c>
      <c r="F3832" s="25">
        <v>6373</v>
      </c>
      <c r="G3832" s="25">
        <v>5579.5614999999998</v>
      </c>
    </row>
    <row r="3833" spans="1:7" x14ac:dyDescent="0.25">
      <c r="A3833" s="17"/>
      <c r="B3833" s="17"/>
      <c r="C3833" s="15" t="s">
        <v>2888</v>
      </c>
      <c r="D3833" s="14"/>
      <c r="E3833" s="14" t="s">
        <v>2841</v>
      </c>
      <c r="F3833" s="25">
        <v>3950</v>
      </c>
      <c r="G3833" s="25">
        <v>3458.2249999999999</v>
      </c>
    </row>
    <row r="3834" spans="1:7" x14ac:dyDescent="0.25">
      <c r="A3834" s="17"/>
      <c r="B3834" s="17"/>
      <c r="C3834" s="15" t="s">
        <v>2888</v>
      </c>
      <c r="D3834" s="14"/>
      <c r="E3834" s="14" t="s">
        <v>2841</v>
      </c>
      <c r="F3834" s="25">
        <v>6321</v>
      </c>
      <c r="G3834" s="25">
        <v>5534.0355</v>
      </c>
    </row>
    <row r="3835" spans="1:7" x14ac:dyDescent="0.25">
      <c r="A3835" s="17"/>
      <c r="B3835" s="17"/>
      <c r="C3835" s="15" t="s">
        <v>2889</v>
      </c>
      <c r="D3835" s="14"/>
      <c r="E3835" s="14" t="s">
        <v>2841</v>
      </c>
      <c r="F3835" s="25">
        <v>23109</v>
      </c>
      <c r="G3835" s="25">
        <v>20231.929500000002</v>
      </c>
    </row>
    <row r="3836" spans="1:7" x14ac:dyDescent="0.25">
      <c r="A3836" s="17"/>
      <c r="B3836" s="17"/>
      <c r="C3836" s="15" t="s">
        <v>2889</v>
      </c>
      <c r="D3836" s="14"/>
      <c r="E3836" s="14" t="s">
        <v>2841</v>
      </c>
      <c r="F3836" s="25">
        <v>57774</v>
      </c>
      <c r="G3836" s="25">
        <v>50581.137000000002</v>
      </c>
    </row>
    <row r="3837" spans="1:7" x14ac:dyDescent="0.25">
      <c r="A3837" s="17"/>
      <c r="B3837" s="17"/>
      <c r="C3837" s="15" t="s">
        <v>2889</v>
      </c>
      <c r="D3837" s="14"/>
      <c r="E3837" s="14" t="s">
        <v>2841</v>
      </c>
      <c r="F3837" s="25">
        <v>8666</v>
      </c>
      <c r="G3837" s="25">
        <v>7587.0830000000005</v>
      </c>
    </row>
    <row r="3838" spans="1:7" x14ac:dyDescent="0.25">
      <c r="A3838" s="17"/>
      <c r="B3838" s="17"/>
      <c r="C3838" s="15" t="s">
        <v>2890</v>
      </c>
      <c r="D3838" s="14"/>
      <c r="E3838" s="14" t="s">
        <v>2841</v>
      </c>
      <c r="F3838" s="25">
        <v>3126</v>
      </c>
      <c r="G3838" s="25">
        <v>2736.8130000000001</v>
      </c>
    </row>
    <row r="3839" spans="1:7" x14ac:dyDescent="0.25">
      <c r="A3839" s="17"/>
      <c r="B3839" s="17"/>
      <c r="C3839" s="15" t="s">
        <v>2890</v>
      </c>
      <c r="D3839" s="14"/>
      <c r="E3839" s="14" t="s">
        <v>2841</v>
      </c>
      <c r="F3839" s="25">
        <v>7816</v>
      </c>
      <c r="G3839" s="25">
        <v>6842.9080000000004</v>
      </c>
    </row>
    <row r="3840" spans="1:7" x14ac:dyDescent="0.25">
      <c r="A3840" s="17"/>
      <c r="B3840" s="17"/>
      <c r="C3840" s="15" t="s">
        <v>2891</v>
      </c>
      <c r="D3840" s="14"/>
      <c r="E3840" s="14" t="s">
        <v>2841</v>
      </c>
      <c r="F3840" s="25">
        <v>3058</v>
      </c>
      <c r="G3840" s="25">
        <v>2677.279</v>
      </c>
    </row>
    <row r="3841" spans="1:7" x14ac:dyDescent="0.25">
      <c r="A3841" s="17"/>
      <c r="B3841" s="17"/>
      <c r="C3841" s="15" t="s">
        <v>2891</v>
      </c>
      <c r="D3841" s="14"/>
      <c r="E3841" s="14" t="s">
        <v>2841</v>
      </c>
      <c r="F3841" s="25">
        <v>1937</v>
      </c>
      <c r="G3841" s="25">
        <v>1695.8434999999999</v>
      </c>
    </row>
    <row r="3842" spans="1:7" x14ac:dyDescent="0.25">
      <c r="A3842" s="17"/>
      <c r="B3842" s="17"/>
      <c r="C3842" s="15" t="s">
        <v>2890</v>
      </c>
      <c r="D3842" s="14"/>
      <c r="E3842" s="14" t="s">
        <v>2841</v>
      </c>
      <c r="F3842" s="25">
        <v>1954</v>
      </c>
      <c r="G3842" s="25">
        <v>1710.7270000000001</v>
      </c>
    </row>
    <row r="3843" spans="1:7" x14ac:dyDescent="0.25">
      <c r="A3843" s="17"/>
      <c r="B3843" s="17"/>
      <c r="C3843" s="15" t="s">
        <v>2891</v>
      </c>
      <c r="D3843" s="14"/>
      <c r="E3843" s="14" t="s">
        <v>2841</v>
      </c>
      <c r="F3843" s="25">
        <v>10195</v>
      </c>
      <c r="G3843" s="25">
        <v>8925.7224999999999</v>
      </c>
    </row>
    <row r="3844" spans="1:7" x14ac:dyDescent="0.25">
      <c r="A3844" s="17"/>
      <c r="B3844" s="17"/>
      <c r="C3844" s="15" t="s">
        <v>2892</v>
      </c>
      <c r="D3844" s="14"/>
      <c r="E3844" s="14" t="s">
        <v>2841</v>
      </c>
      <c r="F3844" s="25">
        <v>2293</v>
      </c>
      <c r="G3844" s="25">
        <v>2007.5215000000001</v>
      </c>
    </row>
    <row r="3845" spans="1:7" x14ac:dyDescent="0.25">
      <c r="A3845" s="17"/>
      <c r="B3845" s="17"/>
      <c r="C3845" s="15" t="s">
        <v>2892</v>
      </c>
      <c r="D3845" s="14"/>
      <c r="E3845" s="14" t="s">
        <v>2841</v>
      </c>
      <c r="F3845" s="25">
        <v>2293</v>
      </c>
      <c r="G3845" s="25">
        <v>2007.5215000000001</v>
      </c>
    </row>
    <row r="3846" spans="1:7" x14ac:dyDescent="0.25">
      <c r="A3846" s="17"/>
      <c r="B3846" s="17"/>
      <c r="C3846" s="15" t="s">
        <v>2893</v>
      </c>
      <c r="D3846" s="14"/>
      <c r="E3846" s="14" t="s">
        <v>2841</v>
      </c>
      <c r="F3846" s="25">
        <v>9005</v>
      </c>
      <c r="G3846" s="25">
        <v>7883.8774999999996</v>
      </c>
    </row>
    <row r="3847" spans="1:7" x14ac:dyDescent="0.25">
      <c r="A3847" s="17"/>
      <c r="B3847" s="17"/>
      <c r="C3847" s="15" t="s">
        <v>2893</v>
      </c>
      <c r="D3847" s="14"/>
      <c r="E3847" s="14" t="s">
        <v>2841</v>
      </c>
      <c r="F3847" s="25">
        <v>2251</v>
      </c>
      <c r="G3847" s="25">
        <v>1970.7504999999999</v>
      </c>
    </row>
    <row r="3848" spans="1:7" x14ac:dyDescent="0.25">
      <c r="A3848" s="17"/>
      <c r="B3848" s="17"/>
      <c r="C3848" s="15" t="s">
        <v>2893</v>
      </c>
      <c r="D3848" s="14"/>
      <c r="E3848" s="14" t="s">
        <v>2841</v>
      </c>
      <c r="F3848" s="25">
        <v>2251</v>
      </c>
      <c r="G3848" s="25">
        <v>1970.7504999999999</v>
      </c>
    </row>
    <row r="3849" spans="1:7" x14ac:dyDescent="0.25">
      <c r="A3849" s="17"/>
      <c r="B3849" s="17"/>
      <c r="C3849" s="15" t="s">
        <v>2892</v>
      </c>
      <c r="D3849" s="14"/>
      <c r="E3849" s="14" t="s">
        <v>2841</v>
      </c>
      <c r="F3849" s="25">
        <v>11469</v>
      </c>
      <c r="G3849" s="25">
        <v>10041.1095</v>
      </c>
    </row>
    <row r="3850" spans="1:7" x14ac:dyDescent="0.25">
      <c r="A3850" s="17"/>
      <c r="B3850" s="17"/>
      <c r="C3850" s="15" t="s">
        <v>2894</v>
      </c>
      <c r="D3850" s="14"/>
      <c r="E3850" s="14" t="s">
        <v>2841</v>
      </c>
      <c r="F3850" s="25">
        <v>2548</v>
      </c>
      <c r="G3850" s="25">
        <v>2230.7740000000003</v>
      </c>
    </row>
    <row r="3851" spans="1:7" x14ac:dyDescent="0.25">
      <c r="A3851" s="17"/>
      <c r="B3851" s="17"/>
      <c r="C3851" s="15" t="s">
        <v>2894</v>
      </c>
      <c r="D3851" s="14"/>
      <c r="E3851" s="14" t="s">
        <v>2841</v>
      </c>
      <c r="F3851" s="25">
        <v>4078</v>
      </c>
      <c r="G3851" s="25">
        <v>3570.2890000000002</v>
      </c>
    </row>
    <row r="3852" spans="1:7" x14ac:dyDescent="0.25">
      <c r="A3852" s="17"/>
      <c r="B3852" s="17"/>
      <c r="C3852" s="15" t="s">
        <v>2894</v>
      </c>
      <c r="D3852" s="14"/>
      <c r="E3852" s="14" t="s">
        <v>2841</v>
      </c>
      <c r="F3852" s="25">
        <v>10195</v>
      </c>
      <c r="G3852" s="25">
        <v>8925.7224999999999</v>
      </c>
    </row>
    <row r="3853" spans="1:7" x14ac:dyDescent="0.25">
      <c r="A3853" s="17"/>
      <c r="B3853" s="17"/>
      <c r="C3853" s="15" t="s">
        <v>2895</v>
      </c>
      <c r="D3853" s="14"/>
      <c r="E3853" s="14" t="s">
        <v>2841</v>
      </c>
      <c r="F3853" s="25">
        <v>2502</v>
      </c>
      <c r="G3853" s="25">
        <v>2190.5009999999997</v>
      </c>
    </row>
    <row r="3854" spans="1:7" x14ac:dyDescent="0.25">
      <c r="A3854" s="17"/>
      <c r="B3854" s="17"/>
      <c r="C3854" s="15" t="s">
        <v>2895</v>
      </c>
      <c r="D3854" s="14"/>
      <c r="E3854" s="14" t="s">
        <v>2841</v>
      </c>
      <c r="F3854" s="25">
        <v>3950</v>
      </c>
      <c r="G3854" s="25">
        <v>3458.2249999999999</v>
      </c>
    </row>
    <row r="3855" spans="1:7" x14ac:dyDescent="0.25">
      <c r="A3855" s="17"/>
      <c r="B3855" s="17"/>
      <c r="C3855" s="15" t="s">
        <v>2895</v>
      </c>
      <c r="D3855" s="14"/>
      <c r="E3855" s="14" t="s">
        <v>2841</v>
      </c>
      <c r="F3855" s="25">
        <v>13169</v>
      </c>
      <c r="G3855" s="25">
        <v>11529.459499999999</v>
      </c>
    </row>
    <row r="3856" spans="1:7" x14ac:dyDescent="0.25">
      <c r="A3856" s="17"/>
      <c r="B3856" s="17"/>
      <c r="C3856" s="15" t="s">
        <v>2896</v>
      </c>
      <c r="D3856" s="14"/>
      <c r="E3856" s="14" t="s">
        <v>2841</v>
      </c>
      <c r="F3856" s="25">
        <v>13169</v>
      </c>
      <c r="G3856" s="25">
        <v>11529.459499999999</v>
      </c>
    </row>
    <row r="3857" spans="1:7" x14ac:dyDescent="0.25">
      <c r="A3857" s="17"/>
      <c r="B3857" s="17"/>
      <c r="C3857" s="15" t="s">
        <v>2897</v>
      </c>
      <c r="D3857" s="14"/>
      <c r="E3857" s="14" t="s">
        <v>2841</v>
      </c>
      <c r="F3857" s="25">
        <v>10195</v>
      </c>
      <c r="G3857" s="25">
        <v>8925.7224999999999</v>
      </c>
    </row>
    <row r="3858" spans="1:7" x14ac:dyDescent="0.25">
      <c r="A3858" s="17"/>
      <c r="B3858" s="17"/>
      <c r="C3858" s="15" t="s">
        <v>2896</v>
      </c>
      <c r="D3858" s="14"/>
      <c r="E3858" s="14" t="s">
        <v>2841</v>
      </c>
      <c r="F3858" s="25">
        <v>2502</v>
      </c>
      <c r="G3858" s="25">
        <v>2190.5009999999997</v>
      </c>
    </row>
    <row r="3859" spans="1:7" x14ac:dyDescent="0.25">
      <c r="A3859" s="17"/>
      <c r="B3859" s="17"/>
      <c r="C3859" s="15" t="s">
        <v>2897</v>
      </c>
      <c r="D3859" s="14"/>
      <c r="E3859" s="14" t="s">
        <v>2841</v>
      </c>
      <c r="F3859" s="25">
        <v>2548</v>
      </c>
      <c r="G3859" s="25">
        <v>2230.7740000000003</v>
      </c>
    </row>
    <row r="3860" spans="1:7" x14ac:dyDescent="0.25">
      <c r="A3860" s="17"/>
      <c r="B3860" s="17"/>
      <c r="C3860" s="15" t="s">
        <v>2897</v>
      </c>
      <c r="D3860" s="14"/>
      <c r="E3860" s="14" t="s">
        <v>2841</v>
      </c>
      <c r="F3860" s="25">
        <v>2548</v>
      </c>
      <c r="G3860" s="25">
        <v>2230.7740000000003</v>
      </c>
    </row>
    <row r="3861" spans="1:7" x14ac:dyDescent="0.25">
      <c r="A3861" s="17"/>
      <c r="B3861" s="17"/>
      <c r="C3861" s="15" t="s">
        <v>2896</v>
      </c>
      <c r="D3861" s="14"/>
      <c r="E3861" s="14" t="s">
        <v>2841</v>
      </c>
      <c r="F3861" s="25">
        <v>2502</v>
      </c>
      <c r="G3861" s="25">
        <v>2190.5009999999997</v>
      </c>
    </row>
    <row r="3862" spans="1:7" x14ac:dyDescent="0.25">
      <c r="A3862" s="17"/>
      <c r="B3862" s="17"/>
      <c r="C3862" s="15" t="s">
        <v>2898</v>
      </c>
      <c r="D3862" s="14"/>
      <c r="E3862" s="14" t="s">
        <v>2841</v>
      </c>
      <c r="F3862" s="25">
        <v>3058</v>
      </c>
      <c r="G3862" s="25">
        <v>2677.279</v>
      </c>
    </row>
    <row r="3863" spans="1:7" x14ac:dyDescent="0.25">
      <c r="A3863" s="17"/>
      <c r="B3863" s="17"/>
      <c r="C3863" s="15" t="s">
        <v>2898</v>
      </c>
      <c r="D3863" s="14"/>
      <c r="E3863" s="14" t="s">
        <v>2841</v>
      </c>
      <c r="F3863" s="25">
        <v>764</v>
      </c>
      <c r="G3863" s="25">
        <v>668.88199999999995</v>
      </c>
    </row>
    <row r="3864" spans="1:7" x14ac:dyDescent="0.25">
      <c r="A3864" s="17"/>
      <c r="B3864" s="17"/>
      <c r="C3864" s="15" t="s">
        <v>2898</v>
      </c>
      <c r="D3864" s="14"/>
      <c r="E3864" s="14" t="s">
        <v>2841</v>
      </c>
      <c r="F3864" s="25">
        <v>764</v>
      </c>
      <c r="G3864" s="25">
        <v>668.88199999999995</v>
      </c>
    </row>
    <row r="3865" spans="1:7" x14ac:dyDescent="0.25">
      <c r="A3865" s="17"/>
      <c r="B3865" s="17"/>
      <c r="C3865" s="15" t="s">
        <v>2899</v>
      </c>
      <c r="D3865" s="14"/>
      <c r="E3865" s="14" t="s">
        <v>2841</v>
      </c>
      <c r="F3865" s="25">
        <v>742</v>
      </c>
      <c r="G3865" s="25">
        <v>649.62100000000009</v>
      </c>
    </row>
    <row r="3866" spans="1:7" x14ac:dyDescent="0.25">
      <c r="A3866" s="17"/>
      <c r="B3866" s="17"/>
      <c r="C3866" s="15" t="s">
        <v>2899</v>
      </c>
      <c r="D3866" s="14"/>
      <c r="E3866" s="14" t="s">
        <v>2841</v>
      </c>
      <c r="F3866" s="25">
        <v>742</v>
      </c>
      <c r="G3866" s="25">
        <v>649.62100000000009</v>
      </c>
    </row>
    <row r="3867" spans="1:7" x14ac:dyDescent="0.25">
      <c r="A3867" s="17"/>
      <c r="B3867" s="17"/>
      <c r="C3867" s="15" t="s">
        <v>2899</v>
      </c>
      <c r="D3867" s="14"/>
      <c r="E3867" s="14" t="s">
        <v>2841</v>
      </c>
      <c r="F3867" s="25">
        <v>3908</v>
      </c>
      <c r="G3867" s="25">
        <v>3421.4540000000002</v>
      </c>
    </row>
    <row r="3868" spans="1:7" x14ac:dyDescent="0.25">
      <c r="A3868" s="17"/>
      <c r="B3868" s="17"/>
      <c r="C3868" s="15" t="s">
        <v>2900</v>
      </c>
      <c r="D3868" s="14"/>
      <c r="E3868" s="14" t="s">
        <v>2841</v>
      </c>
      <c r="F3868" s="25">
        <v>83784</v>
      </c>
      <c r="G3868" s="25">
        <v>73352.891999999993</v>
      </c>
    </row>
    <row r="3869" spans="1:7" x14ac:dyDescent="0.25">
      <c r="A3869" s="17"/>
      <c r="B3869" s="17"/>
      <c r="C3869" s="15" t="s">
        <v>2901</v>
      </c>
      <c r="D3869" s="14"/>
      <c r="E3869" s="14" t="s">
        <v>2841</v>
      </c>
      <c r="F3869" s="25">
        <v>335136</v>
      </c>
      <c r="G3869" s="25">
        <v>293411.56799999997</v>
      </c>
    </row>
    <row r="3870" spans="1:7" x14ac:dyDescent="0.25">
      <c r="A3870" s="17"/>
      <c r="B3870" s="17"/>
      <c r="C3870" s="15" t="s">
        <v>2902</v>
      </c>
      <c r="D3870" s="14"/>
      <c r="E3870" s="14" t="s">
        <v>2841</v>
      </c>
      <c r="F3870" s="25">
        <v>1284803</v>
      </c>
      <c r="G3870" s="25">
        <v>1124845.49</v>
      </c>
    </row>
    <row r="3871" spans="1:7" x14ac:dyDescent="0.25">
      <c r="A3871" s="17"/>
      <c r="B3871" s="17"/>
      <c r="C3871" s="15" t="s">
        <v>2903</v>
      </c>
      <c r="D3871" s="14"/>
      <c r="E3871" s="14" t="s">
        <v>2841</v>
      </c>
      <c r="F3871" s="25">
        <v>802878</v>
      </c>
      <c r="G3871" s="25">
        <v>702919.68900000001</v>
      </c>
    </row>
    <row r="3872" spans="1:7" x14ac:dyDescent="0.25">
      <c r="A3872" s="17"/>
      <c r="B3872" s="17"/>
      <c r="C3872" s="15" t="s">
        <v>2904</v>
      </c>
      <c r="D3872" s="14"/>
      <c r="E3872" s="14" t="s">
        <v>2841</v>
      </c>
      <c r="F3872" s="25">
        <v>83784</v>
      </c>
      <c r="G3872" s="25">
        <v>73352.891999999993</v>
      </c>
    </row>
    <row r="3873" spans="1:7" x14ac:dyDescent="0.25">
      <c r="A3873" s="17"/>
      <c r="B3873" s="17"/>
      <c r="C3873" s="15" t="s">
        <v>2905</v>
      </c>
      <c r="D3873" s="14"/>
      <c r="E3873" s="14" t="s">
        <v>2841</v>
      </c>
      <c r="F3873" s="25">
        <v>802878</v>
      </c>
      <c r="G3873" s="25">
        <v>702919.68900000001</v>
      </c>
    </row>
    <row r="3874" spans="1:7" x14ac:dyDescent="0.25">
      <c r="A3874" s="17"/>
      <c r="B3874" s="17"/>
      <c r="C3874" s="15" t="s">
        <v>2906</v>
      </c>
      <c r="D3874" s="14"/>
      <c r="E3874" s="14" t="s">
        <v>2841</v>
      </c>
      <c r="F3874" s="25">
        <v>335136</v>
      </c>
      <c r="G3874" s="25">
        <v>293411.56799999997</v>
      </c>
    </row>
    <row r="3875" spans="1:7" x14ac:dyDescent="0.25">
      <c r="A3875" s="17"/>
      <c r="B3875" s="17"/>
      <c r="C3875" s="15" t="s">
        <v>2907</v>
      </c>
      <c r="D3875" s="14"/>
      <c r="E3875" s="14" t="s">
        <v>2841</v>
      </c>
      <c r="F3875" s="25">
        <v>335136</v>
      </c>
      <c r="G3875" s="25">
        <v>293411.56799999997</v>
      </c>
    </row>
    <row r="3876" spans="1:7" x14ac:dyDescent="0.25">
      <c r="A3876" s="17"/>
      <c r="B3876" s="17"/>
      <c r="C3876" s="15" t="s">
        <v>2908</v>
      </c>
      <c r="D3876" s="14"/>
      <c r="E3876" s="14" t="s">
        <v>2841</v>
      </c>
      <c r="F3876" s="25">
        <v>1284803</v>
      </c>
      <c r="G3876" s="25">
        <v>1124845.49</v>
      </c>
    </row>
    <row r="3877" spans="1:7" x14ac:dyDescent="0.25">
      <c r="A3877" s="17"/>
      <c r="B3877" s="17"/>
      <c r="C3877" s="15" t="s">
        <v>2909</v>
      </c>
      <c r="D3877" s="14"/>
      <c r="E3877" s="14" t="s">
        <v>2841</v>
      </c>
      <c r="F3877" s="25">
        <v>1284803</v>
      </c>
      <c r="G3877" s="25">
        <v>1124845.49</v>
      </c>
    </row>
    <row r="3878" spans="1:7" x14ac:dyDescent="0.25">
      <c r="A3878" s="17"/>
      <c r="B3878" s="17"/>
      <c r="C3878" s="15" t="s">
        <v>2910</v>
      </c>
      <c r="D3878" s="14"/>
      <c r="E3878" s="14" t="s">
        <v>2841</v>
      </c>
      <c r="F3878" s="25">
        <v>83784</v>
      </c>
      <c r="G3878" s="25">
        <v>73352.891999999993</v>
      </c>
    </row>
    <row r="3879" spans="1:7" x14ac:dyDescent="0.25">
      <c r="A3879" s="17"/>
      <c r="B3879" s="17"/>
      <c r="C3879" s="15" t="s">
        <v>2911</v>
      </c>
      <c r="D3879" s="14"/>
      <c r="E3879" s="14" t="s">
        <v>2841</v>
      </c>
      <c r="F3879" s="25">
        <v>802878</v>
      </c>
      <c r="G3879" s="25">
        <v>702919.68900000001</v>
      </c>
    </row>
    <row r="3880" spans="1:7" x14ac:dyDescent="0.25">
      <c r="A3880" s="17"/>
      <c r="B3880" s="17"/>
      <c r="C3880" s="15" t="s">
        <v>2912</v>
      </c>
      <c r="D3880" s="14"/>
      <c r="E3880" s="14" t="s">
        <v>2841</v>
      </c>
      <c r="F3880" s="25">
        <v>4883</v>
      </c>
      <c r="G3880" s="25">
        <v>4275.0664999999999</v>
      </c>
    </row>
    <row r="3881" spans="1:7" x14ac:dyDescent="0.25">
      <c r="A3881" s="17"/>
      <c r="B3881" s="17"/>
      <c r="C3881" s="15" t="s">
        <v>2913</v>
      </c>
      <c r="D3881" s="14"/>
      <c r="E3881" s="14" t="s">
        <v>2841</v>
      </c>
      <c r="F3881" s="25">
        <v>7813</v>
      </c>
      <c r="G3881" s="25">
        <v>6840.2815000000001</v>
      </c>
    </row>
    <row r="3882" spans="1:7" x14ac:dyDescent="0.25">
      <c r="A3882" s="17"/>
      <c r="B3882" s="17"/>
      <c r="C3882" s="15" t="s">
        <v>2913</v>
      </c>
      <c r="D3882" s="14"/>
      <c r="E3882" s="14" t="s">
        <v>2841</v>
      </c>
      <c r="F3882" s="25">
        <v>19532</v>
      </c>
      <c r="G3882" s="25">
        <v>17100.266</v>
      </c>
    </row>
    <row r="3883" spans="1:7" x14ac:dyDescent="0.25">
      <c r="A3883" s="17"/>
      <c r="B3883" s="17"/>
      <c r="C3883" s="15" t="s">
        <v>2912</v>
      </c>
      <c r="D3883" s="14"/>
      <c r="E3883" s="14" t="s">
        <v>2841</v>
      </c>
      <c r="F3883" s="25">
        <v>7813</v>
      </c>
      <c r="G3883" s="25">
        <v>6840.2815000000001</v>
      </c>
    </row>
    <row r="3884" spans="1:7" x14ac:dyDescent="0.25">
      <c r="A3884" s="17"/>
      <c r="B3884" s="17"/>
      <c r="C3884" s="15" t="s">
        <v>2913</v>
      </c>
      <c r="D3884" s="14"/>
      <c r="E3884" s="14" t="s">
        <v>2841</v>
      </c>
      <c r="F3884" s="25">
        <v>4883</v>
      </c>
      <c r="G3884" s="25">
        <v>4275.0664999999999</v>
      </c>
    </row>
    <row r="3885" spans="1:7" x14ac:dyDescent="0.25">
      <c r="A3885" s="17"/>
      <c r="B3885" s="17"/>
      <c r="C3885" s="15" t="s">
        <v>2912</v>
      </c>
      <c r="D3885" s="14"/>
      <c r="E3885" s="14" t="s">
        <v>2841</v>
      </c>
      <c r="F3885" s="25">
        <v>19532</v>
      </c>
      <c r="G3885" s="25">
        <v>17100.266</v>
      </c>
    </row>
    <row r="3886" spans="1:7" x14ac:dyDescent="0.25">
      <c r="A3886" s="17"/>
      <c r="B3886" s="17"/>
      <c r="C3886" s="15" t="s">
        <v>2914</v>
      </c>
      <c r="D3886" s="14"/>
      <c r="E3886" s="14" t="s">
        <v>2841</v>
      </c>
      <c r="F3886" s="25">
        <v>513943</v>
      </c>
      <c r="G3886" s="25">
        <v>449957.14799999999</v>
      </c>
    </row>
    <row r="3887" spans="1:7" x14ac:dyDescent="0.25">
      <c r="A3887" s="17"/>
      <c r="B3887" s="17"/>
      <c r="C3887" s="15" t="s">
        <v>2915</v>
      </c>
      <c r="D3887" s="14" t="s">
        <v>1752</v>
      </c>
      <c r="E3887" s="14" t="s">
        <v>1747</v>
      </c>
      <c r="F3887" s="25">
        <v>1523551</v>
      </c>
      <c r="G3887" s="25">
        <v>1333868.54</v>
      </c>
    </row>
    <row r="3888" spans="1:7" x14ac:dyDescent="0.25">
      <c r="A3888" s="17"/>
      <c r="B3888" s="17"/>
      <c r="C3888" s="15" t="s">
        <v>2916</v>
      </c>
      <c r="D3888" s="14" t="s">
        <v>1745</v>
      </c>
      <c r="E3888" s="14" t="s">
        <v>1746</v>
      </c>
      <c r="F3888" s="25">
        <v>606841</v>
      </c>
      <c r="G3888" s="25">
        <v>531289.24399999995</v>
      </c>
    </row>
    <row r="3889" spans="1:7" x14ac:dyDescent="0.25">
      <c r="A3889" s="17"/>
      <c r="B3889" s="17"/>
      <c r="C3889" s="15" t="s">
        <v>2914</v>
      </c>
      <c r="D3889" s="14"/>
      <c r="E3889" s="14" t="s">
        <v>2841</v>
      </c>
      <c r="F3889" s="25">
        <v>1284859</v>
      </c>
      <c r="G3889" s="25">
        <v>1124893.8999999999</v>
      </c>
    </row>
    <row r="3890" spans="1:7" x14ac:dyDescent="0.25">
      <c r="A3890" s="17"/>
      <c r="B3890" s="17"/>
      <c r="C3890" s="15" t="s">
        <v>2916</v>
      </c>
      <c r="D3890" s="14" t="s">
        <v>1745</v>
      </c>
      <c r="E3890" s="14" t="s">
        <v>1747</v>
      </c>
      <c r="F3890" s="25">
        <v>606841</v>
      </c>
      <c r="G3890" s="25">
        <v>531289.34700000007</v>
      </c>
    </row>
    <row r="3891" spans="1:7" x14ac:dyDescent="0.25">
      <c r="A3891" s="17"/>
      <c r="B3891" s="17"/>
      <c r="C3891" s="15" t="s">
        <v>2914</v>
      </c>
      <c r="D3891" s="14"/>
      <c r="E3891" s="14" t="s">
        <v>2841</v>
      </c>
      <c r="F3891" s="25">
        <v>321214</v>
      </c>
      <c r="G3891" s="25">
        <v>281222.85700000002</v>
      </c>
    </row>
    <row r="3892" spans="1:7" x14ac:dyDescent="0.25">
      <c r="A3892" s="17"/>
      <c r="B3892" s="17"/>
      <c r="C3892" s="15" t="s">
        <v>2915</v>
      </c>
      <c r="D3892" s="14" t="s">
        <v>1752</v>
      </c>
      <c r="E3892" s="14" t="s">
        <v>1753</v>
      </c>
      <c r="F3892" s="25">
        <v>1523551</v>
      </c>
      <c r="G3892" s="25">
        <v>1333868.54</v>
      </c>
    </row>
    <row r="3893" spans="1:7" x14ac:dyDescent="0.25">
      <c r="A3893" s="17"/>
      <c r="B3893" s="17"/>
      <c r="C3893" s="15" t="s">
        <v>2917</v>
      </c>
      <c r="D3893" s="14"/>
      <c r="E3893" s="14" t="s">
        <v>2841</v>
      </c>
      <c r="F3893" s="25">
        <v>83785</v>
      </c>
      <c r="G3893" s="25">
        <v>73353.767500000002</v>
      </c>
    </row>
    <row r="3894" spans="1:7" x14ac:dyDescent="0.25">
      <c r="A3894" s="17"/>
      <c r="B3894" s="17"/>
      <c r="C3894" s="15" t="s">
        <v>2918</v>
      </c>
      <c r="D3894" s="14" t="s">
        <v>1752</v>
      </c>
      <c r="E3894" s="14" t="s">
        <v>1753</v>
      </c>
      <c r="F3894" s="25">
        <v>397570</v>
      </c>
      <c r="G3894" s="25">
        <v>348072.53499999997</v>
      </c>
    </row>
    <row r="3895" spans="1:7" x14ac:dyDescent="0.25">
      <c r="A3895" s="17"/>
      <c r="B3895" s="17"/>
      <c r="C3895" s="15" t="s">
        <v>2917</v>
      </c>
      <c r="D3895" s="14"/>
      <c r="E3895" s="14" t="s">
        <v>2841</v>
      </c>
      <c r="F3895" s="25">
        <v>335140</v>
      </c>
      <c r="G3895" s="25">
        <v>293415.07</v>
      </c>
    </row>
    <row r="3896" spans="1:7" x14ac:dyDescent="0.25">
      <c r="A3896" s="17"/>
      <c r="B3896" s="17"/>
      <c r="C3896" s="15" t="s">
        <v>2917</v>
      </c>
      <c r="D3896" s="14"/>
      <c r="E3896" s="14" t="s">
        <v>2841</v>
      </c>
      <c r="F3896" s="25">
        <v>134056</v>
      </c>
      <c r="G3896" s="25">
        <v>117366.02800000001</v>
      </c>
    </row>
    <row r="3897" spans="1:7" x14ac:dyDescent="0.25">
      <c r="A3897" s="17"/>
      <c r="B3897" s="17"/>
      <c r="C3897" s="15" t="s">
        <v>2919</v>
      </c>
      <c r="D3897" s="14" t="s">
        <v>1745</v>
      </c>
      <c r="E3897" s="14" t="s">
        <v>1747</v>
      </c>
      <c r="F3897" s="25">
        <v>158284</v>
      </c>
      <c r="G3897" s="25">
        <v>138577.64199999999</v>
      </c>
    </row>
    <row r="3898" spans="1:7" x14ac:dyDescent="0.25">
      <c r="A3898" s="17"/>
      <c r="B3898" s="17"/>
      <c r="C3898" s="15" t="s">
        <v>2919</v>
      </c>
      <c r="D3898" s="14" t="s">
        <v>1745</v>
      </c>
      <c r="E3898" s="14" t="s">
        <v>1746</v>
      </c>
      <c r="F3898" s="25">
        <v>158284</v>
      </c>
      <c r="G3898" s="25">
        <v>138577.64199999999</v>
      </c>
    </row>
    <row r="3899" spans="1:7" x14ac:dyDescent="0.25">
      <c r="A3899" s="17"/>
      <c r="B3899" s="17"/>
      <c r="C3899" s="15" t="s">
        <v>2918</v>
      </c>
      <c r="D3899" s="14" t="s">
        <v>1752</v>
      </c>
      <c r="E3899" s="14" t="s">
        <v>1747</v>
      </c>
      <c r="F3899" s="25">
        <v>397570</v>
      </c>
      <c r="G3899" s="25">
        <v>348072.53499999997</v>
      </c>
    </row>
    <row r="3900" spans="1:7" x14ac:dyDescent="0.25">
      <c r="A3900" s="17"/>
      <c r="B3900" s="17"/>
      <c r="C3900" s="15" t="s">
        <v>2920</v>
      </c>
      <c r="D3900" s="14"/>
      <c r="E3900" s="14" t="s">
        <v>2841</v>
      </c>
      <c r="F3900" s="25">
        <v>83925</v>
      </c>
      <c r="G3900" s="25">
        <v>73476.337499999994</v>
      </c>
    </row>
    <row r="3901" spans="1:7" x14ac:dyDescent="0.25">
      <c r="A3901" s="17"/>
      <c r="B3901" s="17"/>
      <c r="C3901" s="15" t="s">
        <v>2920</v>
      </c>
      <c r="D3901" s="14"/>
      <c r="E3901" s="14" t="s">
        <v>2841</v>
      </c>
      <c r="F3901" s="25">
        <v>20981</v>
      </c>
      <c r="G3901" s="25">
        <v>18368.8655</v>
      </c>
    </row>
    <row r="3902" spans="1:7" x14ac:dyDescent="0.25">
      <c r="A3902" s="17"/>
      <c r="B3902" s="17"/>
      <c r="C3902" s="15" t="s">
        <v>2920</v>
      </c>
      <c r="D3902" s="14"/>
      <c r="E3902" s="14" t="s">
        <v>2841</v>
      </c>
      <c r="F3902" s="25">
        <v>33570</v>
      </c>
      <c r="G3902" s="25">
        <v>29390.535</v>
      </c>
    </row>
    <row r="3903" spans="1:7" x14ac:dyDescent="0.25">
      <c r="A3903" s="17"/>
      <c r="B3903" s="17"/>
      <c r="C3903" s="15" t="s">
        <v>2921</v>
      </c>
      <c r="D3903" s="14" t="s">
        <v>1745</v>
      </c>
      <c r="E3903" s="14" t="s">
        <v>1747</v>
      </c>
      <c r="F3903" s="25">
        <v>31775</v>
      </c>
      <c r="G3903" s="25">
        <v>27819.012500000001</v>
      </c>
    </row>
    <row r="3904" spans="1:7" x14ac:dyDescent="0.25">
      <c r="A3904" s="17"/>
      <c r="B3904" s="17"/>
      <c r="C3904" s="15" t="s">
        <v>2922</v>
      </c>
      <c r="D3904" s="14" t="s">
        <v>1745</v>
      </c>
      <c r="E3904" s="14" t="s">
        <v>1746</v>
      </c>
      <c r="F3904" s="25">
        <v>13272</v>
      </c>
      <c r="G3904" s="25">
        <v>11619.636</v>
      </c>
    </row>
    <row r="3905" spans="1:7" x14ac:dyDescent="0.25">
      <c r="A3905" s="17"/>
      <c r="B3905" s="17"/>
      <c r="C3905" s="15" t="s">
        <v>2922</v>
      </c>
      <c r="D3905" s="14" t="s">
        <v>1745</v>
      </c>
      <c r="E3905" s="14" t="s">
        <v>1747</v>
      </c>
      <c r="F3905" s="25">
        <v>13272</v>
      </c>
      <c r="G3905" s="25">
        <v>11619.636</v>
      </c>
    </row>
    <row r="3906" spans="1:7" x14ac:dyDescent="0.25">
      <c r="A3906" s="17"/>
      <c r="B3906" s="17"/>
      <c r="C3906" s="15" t="s">
        <v>2923</v>
      </c>
      <c r="D3906" s="14" t="s">
        <v>1752</v>
      </c>
      <c r="E3906" s="14" t="s">
        <v>1753</v>
      </c>
      <c r="F3906" s="25">
        <v>33169</v>
      </c>
      <c r="G3906" s="25">
        <v>29039.459500000001</v>
      </c>
    </row>
    <row r="3907" spans="1:7" x14ac:dyDescent="0.25">
      <c r="A3907" s="17"/>
      <c r="B3907" s="17"/>
      <c r="C3907" s="15" t="s">
        <v>2923</v>
      </c>
      <c r="D3907" s="14" t="s">
        <v>1752</v>
      </c>
      <c r="E3907" s="14" t="s">
        <v>1747</v>
      </c>
      <c r="F3907" s="25">
        <v>33168.99</v>
      </c>
      <c r="G3907" s="25">
        <v>29039.449199999999</v>
      </c>
    </row>
    <row r="3908" spans="1:7" x14ac:dyDescent="0.25">
      <c r="A3908" s="17"/>
      <c r="B3908" s="17"/>
      <c r="C3908" s="15" t="s">
        <v>2924</v>
      </c>
      <c r="D3908" s="14" t="s">
        <v>1745</v>
      </c>
      <c r="E3908" s="14" t="s">
        <v>1747</v>
      </c>
      <c r="F3908" s="25">
        <v>4868</v>
      </c>
      <c r="G3908" s="25">
        <v>4261.9340000000002</v>
      </c>
    </row>
    <row r="3909" spans="1:7" x14ac:dyDescent="0.25">
      <c r="A3909" s="17"/>
      <c r="B3909" s="17"/>
      <c r="C3909" s="15" t="s">
        <v>2925</v>
      </c>
      <c r="D3909" s="14" t="s">
        <v>1752</v>
      </c>
      <c r="E3909" s="14" t="s">
        <v>1747</v>
      </c>
      <c r="F3909" s="25">
        <v>12150.99</v>
      </c>
      <c r="G3909" s="25">
        <v>10638.190200000001</v>
      </c>
    </row>
    <row r="3910" spans="1:7" x14ac:dyDescent="0.25">
      <c r="A3910" s="17"/>
      <c r="B3910" s="17"/>
      <c r="C3910" s="15" t="s">
        <v>2924</v>
      </c>
      <c r="D3910" s="14" t="s">
        <v>1745</v>
      </c>
      <c r="E3910" s="14" t="s">
        <v>1746</v>
      </c>
      <c r="F3910" s="25">
        <v>4868.04</v>
      </c>
      <c r="G3910" s="25">
        <v>4261.9751999999999</v>
      </c>
    </row>
    <row r="3911" spans="1:7" x14ac:dyDescent="0.25">
      <c r="A3911" s="17"/>
      <c r="B3911" s="17"/>
      <c r="C3911" s="15" t="s">
        <v>2925</v>
      </c>
      <c r="D3911" s="14" t="s">
        <v>1752</v>
      </c>
      <c r="E3911" s="14" t="s">
        <v>1753</v>
      </c>
      <c r="F3911" s="25">
        <v>12151</v>
      </c>
      <c r="G3911" s="25">
        <v>10638.200500000001</v>
      </c>
    </row>
    <row r="3912" spans="1:7" x14ac:dyDescent="0.25">
      <c r="A3912" s="17"/>
      <c r="B3912" s="17"/>
      <c r="C3912" s="15" t="s">
        <v>2926</v>
      </c>
      <c r="D3912" s="14"/>
      <c r="E3912" s="14" t="s">
        <v>2841</v>
      </c>
      <c r="F3912" s="25">
        <v>19711</v>
      </c>
      <c r="G3912" s="25">
        <v>17256.980499999998</v>
      </c>
    </row>
    <row r="3913" spans="1:7" x14ac:dyDescent="0.25">
      <c r="A3913" s="17"/>
      <c r="B3913" s="17"/>
      <c r="C3913" s="15" t="s">
        <v>2926</v>
      </c>
      <c r="D3913" s="14"/>
      <c r="E3913" s="14" t="s">
        <v>2841</v>
      </c>
      <c r="F3913" s="25">
        <v>49277</v>
      </c>
      <c r="G3913" s="25">
        <v>43142.013499999994</v>
      </c>
    </row>
    <row r="3914" spans="1:7" x14ac:dyDescent="0.25">
      <c r="A3914" s="17"/>
      <c r="B3914" s="17"/>
      <c r="C3914" s="15" t="s">
        <v>2926</v>
      </c>
      <c r="D3914" s="14"/>
      <c r="E3914" s="14" t="s">
        <v>2841</v>
      </c>
      <c r="F3914" s="25">
        <v>7391</v>
      </c>
      <c r="G3914" s="25">
        <v>6470.8205000000007</v>
      </c>
    </row>
    <row r="3915" spans="1:7" x14ac:dyDescent="0.25">
      <c r="A3915" s="17"/>
      <c r="B3915" s="17"/>
      <c r="C3915" s="15" t="s">
        <v>2927</v>
      </c>
      <c r="D3915" s="14"/>
      <c r="E3915" s="14" t="s">
        <v>2841</v>
      </c>
      <c r="F3915" s="25">
        <v>3908</v>
      </c>
      <c r="G3915" s="25">
        <v>3421.4540000000002</v>
      </c>
    </row>
    <row r="3916" spans="1:7" x14ac:dyDescent="0.25">
      <c r="A3916" s="17"/>
      <c r="B3916" s="17"/>
      <c r="C3916" s="15" t="s">
        <v>2927</v>
      </c>
      <c r="D3916" s="14"/>
      <c r="E3916" s="14" t="s">
        <v>2841</v>
      </c>
      <c r="F3916" s="25">
        <v>26338</v>
      </c>
      <c r="G3916" s="25">
        <v>23058.918999999998</v>
      </c>
    </row>
    <row r="3917" spans="1:7" x14ac:dyDescent="0.25">
      <c r="A3917" s="17"/>
      <c r="B3917" s="17"/>
      <c r="C3917" s="15" t="s">
        <v>2927</v>
      </c>
      <c r="D3917" s="14"/>
      <c r="E3917" s="14" t="s">
        <v>2841</v>
      </c>
      <c r="F3917" s="25">
        <v>10535</v>
      </c>
      <c r="G3917" s="25">
        <v>9223.3924999999999</v>
      </c>
    </row>
    <row r="3918" spans="1:7" x14ac:dyDescent="0.25">
      <c r="A3918" s="17"/>
      <c r="B3918" s="17"/>
      <c r="C3918" s="15" t="s">
        <v>2928</v>
      </c>
      <c r="D3918" s="14"/>
      <c r="E3918" s="14" t="s">
        <v>2841</v>
      </c>
      <c r="F3918" s="25">
        <v>42395</v>
      </c>
      <c r="G3918" s="25">
        <v>37116.822500000002</v>
      </c>
    </row>
    <row r="3919" spans="1:7" x14ac:dyDescent="0.25">
      <c r="A3919" s="17"/>
      <c r="B3919" s="17"/>
      <c r="C3919" s="15" t="s">
        <v>2928</v>
      </c>
      <c r="D3919" s="14"/>
      <c r="E3919" s="14" t="s">
        <v>2841</v>
      </c>
      <c r="F3919" s="25">
        <v>16958</v>
      </c>
      <c r="G3919" s="25">
        <v>14846.728999999999</v>
      </c>
    </row>
    <row r="3920" spans="1:7" x14ac:dyDescent="0.25">
      <c r="A3920" s="17"/>
      <c r="B3920" s="17"/>
      <c r="C3920" s="15" t="s">
        <v>2928</v>
      </c>
      <c r="D3920" s="14"/>
      <c r="E3920" s="14" t="s">
        <v>2841</v>
      </c>
      <c r="F3920" s="25">
        <v>6359</v>
      </c>
      <c r="G3920" s="25">
        <v>5567.3044999999993</v>
      </c>
    </row>
    <row r="3921" spans="1:7" x14ac:dyDescent="0.25">
      <c r="A3921" s="17"/>
      <c r="B3921" s="17"/>
      <c r="C3921" s="15" t="s">
        <v>2929</v>
      </c>
      <c r="D3921" s="14"/>
      <c r="E3921" s="14" t="s">
        <v>2841</v>
      </c>
      <c r="F3921" s="25">
        <v>10365</v>
      </c>
      <c r="G3921" s="25">
        <v>9074.5575000000008</v>
      </c>
    </row>
    <row r="3922" spans="1:7" x14ac:dyDescent="0.25">
      <c r="A3922" s="17"/>
      <c r="B3922" s="17"/>
      <c r="C3922" s="15" t="s">
        <v>2930</v>
      </c>
      <c r="D3922" s="14"/>
      <c r="E3922" s="14" t="s">
        <v>2841</v>
      </c>
      <c r="F3922" s="25">
        <v>20730</v>
      </c>
      <c r="G3922" s="25">
        <v>18149.115000000002</v>
      </c>
    </row>
    <row r="3923" spans="1:7" x14ac:dyDescent="0.25">
      <c r="A3923" s="17"/>
      <c r="B3923" s="17"/>
      <c r="C3923" s="15" t="s">
        <v>2931</v>
      </c>
      <c r="D3923" s="14"/>
      <c r="E3923" s="14" t="s">
        <v>2841</v>
      </c>
      <c r="F3923" s="25">
        <v>5182</v>
      </c>
      <c r="G3923" s="25">
        <v>4536.8409999999994</v>
      </c>
    </row>
    <row r="3924" spans="1:7" x14ac:dyDescent="0.25">
      <c r="A3924" s="17"/>
      <c r="B3924" s="17"/>
      <c r="C3924" s="15" t="s">
        <v>2929</v>
      </c>
      <c r="D3924" s="14"/>
      <c r="E3924" s="14" t="s">
        <v>2841</v>
      </c>
      <c r="F3924" s="25">
        <v>10365</v>
      </c>
      <c r="G3924" s="25">
        <v>9074.5575000000008</v>
      </c>
    </row>
    <row r="3925" spans="1:7" x14ac:dyDescent="0.25">
      <c r="A3925" s="17"/>
      <c r="B3925" s="17"/>
      <c r="C3925" s="15" t="s">
        <v>2930</v>
      </c>
      <c r="D3925" s="14"/>
      <c r="E3925" s="14" t="s">
        <v>2841</v>
      </c>
      <c r="F3925" s="25">
        <v>20730</v>
      </c>
      <c r="G3925" s="25">
        <v>18149.115000000002</v>
      </c>
    </row>
    <row r="3926" spans="1:7" x14ac:dyDescent="0.25">
      <c r="A3926" s="17"/>
      <c r="B3926" s="17"/>
      <c r="C3926" s="15" t="s">
        <v>2931</v>
      </c>
      <c r="D3926" s="14"/>
      <c r="E3926" s="14" t="s">
        <v>2841</v>
      </c>
      <c r="F3926" s="25">
        <v>5182</v>
      </c>
      <c r="G3926" s="25">
        <v>4536.8409999999994</v>
      </c>
    </row>
    <row r="3927" spans="1:7" x14ac:dyDescent="0.25">
      <c r="A3927" s="17"/>
      <c r="B3927" s="17"/>
      <c r="C3927" s="15" t="s">
        <v>2932</v>
      </c>
      <c r="D3927" s="14"/>
      <c r="E3927" s="14" t="s">
        <v>2841</v>
      </c>
      <c r="F3927" s="25">
        <v>6265</v>
      </c>
      <c r="G3927" s="25">
        <v>5485.0074999999997</v>
      </c>
    </row>
    <row r="3928" spans="1:7" x14ac:dyDescent="0.25">
      <c r="A3928" s="17"/>
      <c r="B3928" s="17"/>
      <c r="C3928" s="15" t="s">
        <v>2932</v>
      </c>
      <c r="D3928" s="14"/>
      <c r="E3928" s="14" t="s">
        <v>2841</v>
      </c>
      <c r="F3928" s="25">
        <v>25063</v>
      </c>
      <c r="G3928" s="25">
        <v>21942.656500000001</v>
      </c>
    </row>
    <row r="3929" spans="1:7" x14ac:dyDescent="0.25">
      <c r="A3929" s="17"/>
      <c r="B3929" s="17"/>
      <c r="C3929" s="15" t="s">
        <v>2933</v>
      </c>
      <c r="D3929" s="14"/>
      <c r="E3929" s="14" t="s">
        <v>2841</v>
      </c>
      <c r="F3929" s="25">
        <v>6265</v>
      </c>
      <c r="G3929" s="25">
        <v>5485.0074999999997</v>
      </c>
    </row>
    <row r="3930" spans="1:7" x14ac:dyDescent="0.25">
      <c r="A3930" s="17"/>
      <c r="B3930" s="17"/>
      <c r="C3930" s="15" t="s">
        <v>2933</v>
      </c>
      <c r="D3930" s="14"/>
      <c r="E3930" s="14" t="s">
        <v>2841</v>
      </c>
      <c r="F3930" s="25">
        <v>25063</v>
      </c>
      <c r="G3930" s="25">
        <v>21942.656500000001</v>
      </c>
    </row>
    <row r="3931" spans="1:7" x14ac:dyDescent="0.25">
      <c r="A3931" s="17"/>
      <c r="B3931" s="17"/>
      <c r="C3931" s="15" t="s">
        <v>2934</v>
      </c>
      <c r="D3931" s="14"/>
      <c r="E3931" s="14" t="s">
        <v>2841</v>
      </c>
      <c r="F3931" s="25">
        <v>170</v>
      </c>
      <c r="G3931" s="25">
        <v>148.83500000000001</v>
      </c>
    </row>
    <row r="3932" spans="1:7" x14ac:dyDescent="0.25">
      <c r="A3932" s="17"/>
      <c r="B3932" s="17"/>
      <c r="C3932" s="15" t="s">
        <v>2935</v>
      </c>
      <c r="D3932" s="14"/>
      <c r="E3932" s="14" t="s">
        <v>2841</v>
      </c>
      <c r="F3932" s="25">
        <v>20730</v>
      </c>
      <c r="G3932" s="25">
        <v>18149.115000000002</v>
      </c>
    </row>
    <row r="3933" spans="1:7" x14ac:dyDescent="0.25">
      <c r="A3933" s="17"/>
      <c r="B3933" s="17"/>
      <c r="C3933" s="15" t="s">
        <v>2934</v>
      </c>
      <c r="D3933" s="14"/>
      <c r="E3933" s="14" t="s">
        <v>2841</v>
      </c>
      <c r="F3933" s="25">
        <v>170</v>
      </c>
      <c r="G3933" s="25">
        <v>148.83500000000001</v>
      </c>
    </row>
    <row r="3934" spans="1:7" x14ac:dyDescent="0.25">
      <c r="A3934" s="17"/>
      <c r="B3934" s="17"/>
      <c r="C3934" s="15" t="s">
        <v>2934</v>
      </c>
      <c r="D3934" s="14"/>
      <c r="E3934" s="14" t="s">
        <v>2841</v>
      </c>
      <c r="F3934" s="25">
        <v>10365</v>
      </c>
      <c r="G3934" s="25">
        <v>9074.5575000000008</v>
      </c>
    </row>
    <row r="3935" spans="1:7" x14ac:dyDescent="0.25">
      <c r="A3935" s="17"/>
      <c r="B3935" s="17"/>
      <c r="C3935" s="15" t="s">
        <v>2936</v>
      </c>
      <c r="D3935" s="14"/>
      <c r="E3935" s="14" t="s">
        <v>2841</v>
      </c>
      <c r="F3935" s="25">
        <v>85</v>
      </c>
      <c r="G3935" s="25">
        <v>74.417500000000004</v>
      </c>
    </row>
    <row r="3936" spans="1:7" x14ac:dyDescent="0.25">
      <c r="A3936" s="17"/>
      <c r="B3936" s="17"/>
      <c r="C3936" s="15" t="s">
        <v>2936</v>
      </c>
      <c r="D3936" s="14"/>
      <c r="E3936" s="14" t="s">
        <v>2841</v>
      </c>
      <c r="F3936" s="25">
        <v>85</v>
      </c>
      <c r="G3936" s="25">
        <v>74.417500000000004</v>
      </c>
    </row>
    <row r="3937" spans="1:7" x14ac:dyDescent="0.25">
      <c r="A3937" s="17"/>
      <c r="B3937" s="17"/>
      <c r="C3937" s="15" t="s">
        <v>2936</v>
      </c>
      <c r="D3937" s="14"/>
      <c r="E3937" s="14" t="s">
        <v>2841</v>
      </c>
      <c r="F3937" s="25">
        <v>5182</v>
      </c>
      <c r="G3937" s="25">
        <v>4536.8409999999994</v>
      </c>
    </row>
    <row r="3938" spans="1:7" x14ac:dyDescent="0.25">
      <c r="A3938" s="17"/>
      <c r="B3938" s="17"/>
      <c r="C3938" s="15" t="s">
        <v>2935</v>
      </c>
      <c r="D3938" s="14"/>
      <c r="E3938" s="14" t="s">
        <v>2841</v>
      </c>
      <c r="F3938" s="25">
        <v>340</v>
      </c>
      <c r="G3938" s="25">
        <v>297.67</v>
      </c>
    </row>
    <row r="3939" spans="1:7" x14ac:dyDescent="0.25">
      <c r="A3939" s="17"/>
      <c r="B3939" s="17"/>
      <c r="C3939" s="15" t="s">
        <v>2935</v>
      </c>
      <c r="D3939" s="14"/>
      <c r="E3939" s="14" t="s">
        <v>2841</v>
      </c>
      <c r="F3939" s="25">
        <v>340</v>
      </c>
      <c r="G3939" s="25">
        <v>297.67</v>
      </c>
    </row>
    <row r="3940" spans="1:7" x14ac:dyDescent="0.25">
      <c r="A3940" s="17"/>
      <c r="B3940" s="17"/>
      <c r="C3940" s="15" t="s">
        <v>2937</v>
      </c>
      <c r="D3940" s="14"/>
      <c r="E3940" s="14" t="s">
        <v>2841</v>
      </c>
      <c r="F3940" s="25">
        <v>25063</v>
      </c>
      <c r="G3940" s="25">
        <v>21942.656500000001</v>
      </c>
    </row>
    <row r="3941" spans="1:7" x14ac:dyDescent="0.25">
      <c r="A3941" s="17"/>
      <c r="B3941" s="17"/>
      <c r="C3941" s="15" t="s">
        <v>2938</v>
      </c>
      <c r="D3941" s="14"/>
      <c r="E3941" s="14" t="s">
        <v>2841</v>
      </c>
      <c r="F3941" s="25">
        <v>25063</v>
      </c>
      <c r="G3941" s="25">
        <v>21942.656500000001</v>
      </c>
    </row>
    <row r="3942" spans="1:7" x14ac:dyDescent="0.25">
      <c r="A3942" s="17"/>
      <c r="B3942" s="17"/>
      <c r="C3942" s="15" t="s">
        <v>2938</v>
      </c>
      <c r="D3942" s="14"/>
      <c r="E3942" s="14" t="s">
        <v>2841</v>
      </c>
      <c r="F3942" s="25">
        <v>6265</v>
      </c>
      <c r="G3942" s="25">
        <v>5485.0074999999997</v>
      </c>
    </row>
    <row r="3943" spans="1:7" x14ac:dyDescent="0.25">
      <c r="A3943" s="17"/>
      <c r="B3943" s="17"/>
      <c r="C3943" s="15" t="s">
        <v>2939</v>
      </c>
      <c r="D3943" s="14"/>
      <c r="E3943" s="14" t="s">
        <v>2841</v>
      </c>
      <c r="F3943" s="25">
        <v>6265</v>
      </c>
      <c r="G3943" s="25">
        <v>5485.0074999999997</v>
      </c>
    </row>
    <row r="3944" spans="1:7" x14ac:dyDescent="0.25">
      <c r="A3944" s="17"/>
      <c r="B3944" s="17"/>
      <c r="C3944" s="15" t="s">
        <v>2939</v>
      </c>
      <c r="D3944" s="14"/>
      <c r="E3944" s="14" t="s">
        <v>2841</v>
      </c>
      <c r="F3944" s="25">
        <v>25063</v>
      </c>
      <c r="G3944" s="25">
        <v>21942.656500000001</v>
      </c>
    </row>
    <row r="3945" spans="1:7" x14ac:dyDescent="0.25">
      <c r="A3945" s="17"/>
      <c r="B3945" s="17"/>
      <c r="C3945" s="15" t="s">
        <v>2940</v>
      </c>
      <c r="D3945" s="14"/>
      <c r="E3945" s="14" t="s">
        <v>2841</v>
      </c>
      <c r="F3945" s="25">
        <v>15972</v>
      </c>
      <c r="G3945" s="25">
        <v>13983.486000000001</v>
      </c>
    </row>
    <row r="3946" spans="1:7" x14ac:dyDescent="0.25">
      <c r="A3946" s="17"/>
      <c r="B3946" s="17"/>
      <c r="C3946" s="15" t="s">
        <v>2941</v>
      </c>
      <c r="D3946" s="14"/>
      <c r="E3946" s="14" t="s">
        <v>2841</v>
      </c>
      <c r="F3946" s="25">
        <v>11724</v>
      </c>
      <c r="G3946" s="25">
        <v>9660.5760000000009</v>
      </c>
    </row>
    <row r="3947" spans="1:7" x14ac:dyDescent="0.25">
      <c r="A3947" s="17"/>
      <c r="B3947" s="17"/>
      <c r="C3947" s="15" t="s">
        <v>2942</v>
      </c>
      <c r="D3947" s="14"/>
      <c r="E3947" s="14" t="s">
        <v>2841</v>
      </c>
      <c r="F3947" s="25">
        <v>15972</v>
      </c>
      <c r="G3947" s="25">
        <v>13983.486000000001</v>
      </c>
    </row>
    <row r="3948" spans="1:7" x14ac:dyDescent="0.25">
      <c r="A3948" s="17"/>
      <c r="B3948" s="17"/>
      <c r="C3948" s="15" t="s">
        <v>2943</v>
      </c>
      <c r="D3948" s="14"/>
      <c r="E3948" s="14" t="s">
        <v>2841</v>
      </c>
      <c r="F3948" s="25">
        <v>25063</v>
      </c>
      <c r="G3948" s="25">
        <v>21942.656500000001</v>
      </c>
    </row>
    <row r="3949" spans="1:7" x14ac:dyDescent="0.25">
      <c r="A3949" s="17"/>
      <c r="B3949" s="17"/>
      <c r="C3949" s="15" t="s">
        <v>2944</v>
      </c>
      <c r="D3949" s="14"/>
      <c r="E3949" s="14" t="s">
        <v>2841</v>
      </c>
      <c r="F3949" s="25">
        <v>4163</v>
      </c>
      <c r="G3949" s="25">
        <v>3644.7065000000002</v>
      </c>
    </row>
    <row r="3950" spans="1:7" x14ac:dyDescent="0.25">
      <c r="A3950" s="17"/>
      <c r="B3950" s="17"/>
      <c r="C3950" s="15" t="s">
        <v>2945</v>
      </c>
      <c r="D3950" s="14"/>
      <c r="E3950" s="14" t="s">
        <v>2841</v>
      </c>
      <c r="F3950" s="25">
        <v>4226</v>
      </c>
      <c r="G3950" s="25">
        <v>3699.8629999999998</v>
      </c>
    </row>
    <row r="3951" spans="1:7" x14ac:dyDescent="0.25">
      <c r="A3951" s="17"/>
      <c r="B3951" s="17"/>
      <c r="C3951" s="15" t="s">
        <v>2946</v>
      </c>
      <c r="D3951" s="14"/>
      <c r="E3951" s="14" t="s">
        <v>2841</v>
      </c>
      <c r="F3951" s="25">
        <v>15887</v>
      </c>
      <c r="G3951" s="25">
        <v>13909.068500000001</v>
      </c>
    </row>
    <row r="3952" spans="1:7" x14ac:dyDescent="0.25">
      <c r="A3952" s="17"/>
      <c r="B3952" s="17"/>
      <c r="C3952" s="15" t="s">
        <v>2946</v>
      </c>
      <c r="D3952" s="14"/>
      <c r="E3952" s="14" t="s">
        <v>2841</v>
      </c>
      <c r="F3952" s="25">
        <v>5560</v>
      </c>
      <c r="G3952" s="25">
        <v>4867.78</v>
      </c>
    </row>
    <row r="3953" spans="1:7" x14ac:dyDescent="0.25">
      <c r="A3953" s="17"/>
      <c r="B3953" s="17"/>
      <c r="C3953" s="15" t="s">
        <v>2947</v>
      </c>
      <c r="D3953" s="14"/>
      <c r="E3953" s="14" t="s">
        <v>2841</v>
      </c>
      <c r="F3953" s="25">
        <v>15887</v>
      </c>
      <c r="G3953" s="25">
        <v>13909.068500000001</v>
      </c>
    </row>
    <row r="3954" spans="1:7" x14ac:dyDescent="0.25">
      <c r="A3954" s="17"/>
      <c r="B3954" s="17"/>
      <c r="C3954" s="15" t="s">
        <v>2947</v>
      </c>
      <c r="D3954" s="14"/>
      <c r="E3954" s="14" t="s">
        <v>2841</v>
      </c>
      <c r="F3954" s="25">
        <v>5560</v>
      </c>
      <c r="G3954" s="25">
        <v>4867.78</v>
      </c>
    </row>
    <row r="3955" spans="1:7" x14ac:dyDescent="0.25">
      <c r="A3955" s="17"/>
      <c r="B3955" s="17"/>
      <c r="C3955" s="15" t="s">
        <v>2948</v>
      </c>
      <c r="D3955" s="14"/>
      <c r="E3955" s="14" t="s">
        <v>2841</v>
      </c>
      <c r="F3955" s="25">
        <v>4163</v>
      </c>
      <c r="G3955" s="25">
        <v>3644.7065000000002</v>
      </c>
    </row>
    <row r="3956" spans="1:7" x14ac:dyDescent="0.25">
      <c r="A3956" s="17"/>
      <c r="B3956" s="17"/>
      <c r="C3956" s="15" t="s">
        <v>2949</v>
      </c>
      <c r="D3956" s="14"/>
      <c r="E3956" s="14" t="s">
        <v>2841</v>
      </c>
      <c r="F3956" s="25">
        <v>4226</v>
      </c>
      <c r="G3956" s="25">
        <v>3699.8629999999998</v>
      </c>
    </row>
    <row r="3957" spans="1:7" x14ac:dyDescent="0.25">
      <c r="A3957" s="17"/>
      <c r="B3957" s="17"/>
      <c r="C3957" s="15" t="s">
        <v>2950</v>
      </c>
      <c r="D3957" s="14"/>
      <c r="E3957" s="14" t="s">
        <v>2841</v>
      </c>
      <c r="F3957" s="25">
        <v>1484146</v>
      </c>
      <c r="G3957" s="25">
        <v>1299369.72</v>
      </c>
    </row>
    <row r="3958" spans="1:7" x14ac:dyDescent="0.25">
      <c r="A3958" s="17"/>
      <c r="B3958" s="17"/>
      <c r="C3958" s="15" t="s">
        <v>2950</v>
      </c>
      <c r="D3958" s="14"/>
      <c r="E3958" s="14" t="s">
        <v>2841</v>
      </c>
      <c r="F3958" s="25">
        <v>371036</v>
      </c>
      <c r="G3958" s="25">
        <v>324842.01799999998</v>
      </c>
    </row>
    <row r="3959" spans="1:7" x14ac:dyDescent="0.25">
      <c r="A3959" s="17"/>
      <c r="B3959" s="17"/>
      <c r="C3959" s="15" t="s">
        <v>2950</v>
      </c>
      <c r="D3959" s="14"/>
      <c r="E3959" s="14" t="s">
        <v>2841</v>
      </c>
      <c r="F3959" s="25">
        <v>371036</v>
      </c>
      <c r="G3959" s="25">
        <v>324842.01799999998</v>
      </c>
    </row>
    <row r="3960" spans="1:7" x14ac:dyDescent="0.25">
      <c r="A3960" s="17"/>
      <c r="B3960" s="17"/>
      <c r="C3960" s="15" t="s">
        <v>2951</v>
      </c>
      <c r="D3960" s="14"/>
      <c r="E3960" s="14" t="s">
        <v>2841</v>
      </c>
      <c r="F3960" s="25">
        <v>4205</v>
      </c>
      <c r="G3960" s="25">
        <v>3681.4775</v>
      </c>
    </row>
    <row r="3961" spans="1:7" x14ac:dyDescent="0.25">
      <c r="A3961" s="17"/>
      <c r="B3961" s="17"/>
      <c r="C3961" s="15" t="s">
        <v>2952</v>
      </c>
      <c r="D3961" s="14"/>
      <c r="E3961" s="14" t="s">
        <v>2841</v>
      </c>
      <c r="F3961" s="25">
        <v>2168</v>
      </c>
      <c r="G3961" s="25">
        <v>1898.0840000000001</v>
      </c>
    </row>
    <row r="3962" spans="1:7" x14ac:dyDescent="0.25">
      <c r="A3962" s="17"/>
      <c r="B3962" s="17"/>
      <c r="C3962" s="15" t="s">
        <v>2953</v>
      </c>
      <c r="D3962" s="14" t="s">
        <v>1745</v>
      </c>
      <c r="E3962" s="14" t="s">
        <v>1747</v>
      </c>
      <c r="F3962" s="25">
        <v>1775</v>
      </c>
      <c r="G3962" s="25">
        <v>1554.0125</v>
      </c>
    </row>
    <row r="3963" spans="1:7" x14ac:dyDescent="0.25">
      <c r="A3963" s="17"/>
      <c r="B3963" s="17"/>
      <c r="C3963" s="15" t="s">
        <v>2953</v>
      </c>
      <c r="D3963" s="14" t="s">
        <v>1745</v>
      </c>
      <c r="E3963" s="14" t="s">
        <v>1746</v>
      </c>
      <c r="F3963" s="25">
        <v>1775.04</v>
      </c>
      <c r="G3963" s="25">
        <v>1554.0228</v>
      </c>
    </row>
    <row r="3964" spans="1:7" x14ac:dyDescent="0.25">
      <c r="A3964" s="17"/>
      <c r="B3964" s="17"/>
      <c r="C3964" s="15" t="s">
        <v>2954</v>
      </c>
      <c r="D3964" s="14" t="s">
        <v>1752</v>
      </c>
      <c r="E3964" s="14" t="s">
        <v>1753</v>
      </c>
      <c r="F3964" s="25">
        <v>6448</v>
      </c>
      <c r="G3964" s="25">
        <v>5645.2240000000002</v>
      </c>
    </row>
    <row r="3965" spans="1:7" x14ac:dyDescent="0.25">
      <c r="A3965" s="17"/>
      <c r="B3965" s="17"/>
      <c r="C3965" s="15" t="s">
        <v>2955</v>
      </c>
      <c r="D3965" s="14" t="s">
        <v>1745</v>
      </c>
      <c r="E3965" s="14" t="s">
        <v>1746</v>
      </c>
      <c r="F3965" s="25">
        <v>2148.96</v>
      </c>
      <c r="G3965" s="25">
        <v>1881.4392</v>
      </c>
    </row>
    <row r="3966" spans="1:7" x14ac:dyDescent="0.25">
      <c r="A3966" s="17"/>
      <c r="B3966" s="17"/>
      <c r="C3966" s="15" t="s">
        <v>2952</v>
      </c>
      <c r="D3966" s="14"/>
      <c r="E3966" s="14" t="s">
        <v>2841</v>
      </c>
      <c r="F3966" s="25">
        <v>5420</v>
      </c>
      <c r="G3966" s="25">
        <v>4745.21</v>
      </c>
    </row>
    <row r="3967" spans="1:7" x14ac:dyDescent="0.25">
      <c r="A3967" s="17"/>
      <c r="B3967" s="17"/>
      <c r="C3967" s="15" t="s">
        <v>2951</v>
      </c>
      <c r="D3967" s="14"/>
      <c r="E3967" s="14" t="s">
        <v>2841</v>
      </c>
      <c r="F3967" s="25">
        <v>1051</v>
      </c>
      <c r="G3967" s="25">
        <v>920.15049999999997</v>
      </c>
    </row>
    <row r="3968" spans="1:7" x14ac:dyDescent="0.25">
      <c r="A3968" s="17"/>
      <c r="B3968" s="17"/>
      <c r="C3968" s="15" t="s">
        <v>2956</v>
      </c>
      <c r="D3968" s="14" t="s">
        <v>1752</v>
      </c>
      <c r="E3968" s="14" t="s">
        <v>1753</v>
      </c>
      <c r="F3968" s="25">
        <v>5233</v>
      </c>
      <c r="G3968" s="25">
        <v>4581.4915000000001</v>
      </c>
    </row>
    <row r="3969" spans="1:7" x14ac:dyDescent="0.25">
      <c r="A3969" s="17"/>
      <c r="B3969" s="17"/>
      <c r="C3969" s="15" t="s">
        <v>2956</v>
      </c>
      <c r="D3969" s="14" t="s">
        <v>1752</v>
      </c>
      <c r="E3969" s="14" t="s">
        <v>1747</v>
      </c>
      <c r="F3969" s="25">
        <v>5232.99</v>
      </c>
      <c r="G3969" s="25">
        <v>4581.4812000000002</v>
      </c>
    </row>
    <row r="3970" spans="1:7" x14ac:dyDescent="0.25">
      <c r="A3970" s="17"/>
      <c r="B3970" s="17"/>
      <c r="C3970" s="15" t="s">
        <v>2951</v>
      </c>
      <c r="D3970" s="14"/>
      <c r="E3970" s="14" t="s">
        <v>2841</v>
      </c>
      <c r="F3970" s="25">
        <v>1682</v>
      </c>
      <c r="G3970" s="25">
        <v>1472.5910000000001</v>
      </c>
    </row>
    <row r="3971" spans="1:7" x14ac:dyDescent="0.25">
      <c r="A3971" s="17"/>
      <c r="B3971" s="17"/>
      <c r="C3971" s="15" t="s">
        <v>2955</v>
      </c>
      <c r="D3971" s="14" t="s">
        <v>1745</v>
      </c>
      <c r="E3971" s="14" t="s">
        <v>1747</v>
      </c>
      <c r="F3971" s="25">
        <v>2149</v>
      </c>
      <c r="G3971" s="25">
        <v>1881.4495000000002</v>
      </c>
    </row>
    <row r="3972" spans="1:7" x14ac:dyDescent="0.25">
      <c r="A3972" s="17"/>
      <c r="B3972" s="17"/>
      <c r="C3972" s="15" t="s">
        <v>2952</v>
      </c>
      <c r="D3972" s="14"/>
      <c r="E3972" s="14" t="s">
        <v>2841</v>
      </c>
      <c r="F3972" s="25">
        <v>1355</v>
      </c>
      <c r="G3972" s="25">
        <v>1186.3025</v>
      </c>
    </row>
    <row r="3973" spans="1:7" x14ac:dyDescent="0.25">
      <c r="A3973" s="17"/>
      <c r="B3973" s="17"/>
      <c r="C3973" s="15" t="s">
        <v>2954</v>
      </c>
      <c r="D3973" s="14" t="s">
        <v>1752</v>
      </c>
      <c r="E3973" s="14" t="s">
        <v>1747</v>
      </c>
      <c r="F3973" s="25">
        <v>6447.99</v>
      </c>
      <c r="G3973" s="25">
        <v>5645.2137000000002</v>
      </c>
    </row>
    <row r="3974" spans="1:7" x14ac:dyDescent="0.25">
      <c r="A3974" s="17"/>
      <c r="B3974" s="17"/>
      <c r="C3974" s="15" t="s">
        <v>2957</v>
      </c>
      <c r="D3974" s="14"/>
      <c r="E3974" s="14" t="s">
        <v>2841</v>
      </c>
      <c r="F3974" s="25">
        <v>207570</v>
      </c>
      <c r="G3974" s="25">
        <v>181727.535</v>
      </c>
    </row>
    <row r="3975" spans="1:7" x14ac:dyDescent="0.25">
      <c r="A3975" s="17"/>
      <c r="B3975" s="17"/>
      <c r="C3975" s="15" t="s">
        <v>2957</v>
      </c>
      <c r="D3975" s="14"/>
      <c r="E3975" s="14" t="s">
        <v>2841</v>
      </c>
      <c r="F3975" s="25">
        <v>51892</v>
      </c>
      <c r="G3975" s="25">
        <v>45431.445999999996</v>
      </c>
    </row>
    <row r="3976" spans="1:7" x14ac:dyDescent="0.25">
      <c r="A3976" s="17"/>
      <c r="B3976" s="17"/>
      <c r="C3976" s="15" t="s">
        <v>2957</v>
      </c>
      <c r="D3976" s="14"/>
      <c r="E3976" s="14" t="s">
        <v>2841</v>
      </c>
      <c r="F3976" s="25">
        <v>51892</v>
      </c>
      <c r="G3976" s="25">
        <v>45431.445999999996</v>
      </c>
    </row>
    <row r="3977" spans="1:7" x14ac:dyDescent="0.25">
      <c r="A3977" s="17"/>
      <c r="B3977" s="17"/>
      <c r="C3977" s="15" t="s">
        <v>2958</v>
      </c>
      <c r="D3977" s="14"/>
      <c r="E3977" s="14" t="s">
        <v>2841</v>
      </c>
      <c r="F3977" s="25">
        <v>2956</v>
      </c>
      <c r="G3977" s="25">
        <v>2587.9780000000001</v>
      </c>
    </row>
    <row r="3978" spans="1:7" x14ac:dyDescent="0.25">
      <c r="A3978" s="17"/>
      <c r="B3978" s="17"/>
      <c r="C3978" s="15" t="s">
        <v>2958</v>
      </c>
      <c r="D3978" s="14"/>
      <c r="E3978" s="14" t="s">
        <v>2841</v>
      </c>
      <c r="F3978" s="25">
        <v>14783</v>
      </c>
      <c r="G3978" s="25">
        <v>12942.5165</v>
      </c>
    </row>
    <row r="3979" spans="1:7" x14ac:dyDescent="0.25">
      <c r="A3979" s="17"/>
      <c r="B3979" s="17"/>
      <c r="C3979" s="15" t="s">
        <v>2959</v>
      </c>
      <c r="D3979" s="14"/>
      <c r="E3979" s="14" t="s">
        <v>2841</v>
      </c>
      <c r="F3979" s="25">
        <v>14783</v>
      </c>
      <c r="G3979" s="25">
        <v>12942.5165</v>
      </c>
    </row>
    <row r="3980" spans="1:7" x14ac:dyDescent="0.25">
      <c r="A3980" s="17"/>
      <c r="B3980" s="17"/>
      <c r="C3980" s="15" t="s">
        <v>2960</v>
      </c>
      <c r="D3980" s="14" t="s">
        <v>1752</v>
      </c>
      <c r="E3980" s="14" t="s">
        <v>1747</v>
      </c>
      <c r="F3980" s="25">
        <v>17127.990000000002</v>
      </c>
      <c r="G3980" s="25">
        <v>14995.5537</v>
      </c>
    </row>
    <row r="3981" spans="1:7" x14ac:dyDescent="0.25">
      <c r="A3981" s="17"/>
      <c r="B3981" s="17"/>
      <c r="C3981" s="15" t="s">
        <v>2958</v>
      </c>
      <c r="D3981" s="14"/>
      <c r="E3981" s="14" t="s">
        <v>2841</v>
      </c>
      <c r="F3981" s="25">
        <v>2956</v>
      </c>
      <c r="G3981" s="25">
        <v>2587.9780000000001</v>
      </c>
    </row>
    <row r="3982" spans="1:7" x14ac:dyDescent="0.25">
      <c r="A3982" s="17"/>
      <c r="B3982" s="17"/>
      <c r="C3982" s="15" t="s">
        <v>2959</v>
      </c>
      <c r="D3982" s="14"/>
      <c r="E3982" s="14" t="s">
        <v>2841</v>
      </c>
      <c r="F3982" s="25">
        <v>2956</v>
      </c>
      <c r="G3982" s="25">
        <v>2587.9780000000001</v>
      </c>
    </row>
    <row r="3983" spans="1:7" x14ac:dyDescent="0.25">
      <c r="A3983" s="17"/>
      <c r="B3983" s="17"/>
      <c r="C3983" s="15" t="s">
        <v>2959</v>
      </c>
      <c r="D3983" s="14"/>
      <c r="E3983" s="14" t="s">
        <v>2841</v>
      </c>
      <c r="F3983" s="25">
        <v>2956</v>
      </c>
      <c r="G3983" s="25">
        <v>2587.9780000000001</v>
      </c>
    </row>
    <row r="3984" spans="1:7" x14ac:dyDescent="0.25">
      <c r="A3984" s="17"/>
      <c r="B3984" s="17"/>
      <c r="C3984" s="15" t="s">
        <v>2961</v>
      </c>
      <c r="D3984" s="14" t="s">
        <v>1745</v>
      </c>
      <c r="E3984" s="14" t="s">
        <v>1747</v>
      </c>
      <c r="F3984" s="25">
        <v>7700</v>
      </c>
      <c r="G3984" s="25">
        <v>6741.35</v>
      </c>
    </row>
    <row r="3985" spans="1:7" x14ac:dyDescent="0.25">
      <c r="A3985" s="17"/>
      <c r="B3985" s="17"/>
      <c r="C3985" s="15" t="s">
        <v>2961</v>
      </c>
      <c r="D3985" s="14" t="s">
        <v>1745</v>
      </c>
      <c r="E3985" s="14" t="s">
        <v>1746</v>
      </c>
      <c r="F3985" s="25">
        <v>7700.04</v>
      </c>
      <c r="G3985" s="25">
        <v>6741.3912</v>
      </c>
    </row>
    <row r="3986" spans="1:7" x14ac:dyDescent="0.25">
      <c r="A3986" s="17"/>
      <c r="B3986" s="17"/>
      <c r="C3986" s="15" t="s">
        <v>2960</v>
      </c>
      <c r="D3986" s="14" t="s">
        <v>1752</v>
      </c>
      <c r="E3986" s="14" t="s">
        <v>1753</v>
      </c>
      <c r="F3986" s="25">
        <v>17128</v>
      </c>
      <c r="G3986" s="25">
        <v>14995.563999999998</v>
      </c>
    </row>
    <row r="3987" spans="1:7" x14ac:dyDescent="0.25">
      <c r="A3987" s="17"/>
      <c r="B3987" s="17"/>
      <c r="C3987" s="15" t="s">
        <v>2962</v>
      </c>
      <c r="D3987" s="14" t="s">
        <v>1745</v>
      </c>
      <c r="E3987" s="14" t="s">
        <v>1747</v>
      </c>
      <c r="F3987" s="25">
        <v>1028</v>
      </c>
      <c r="G3987" s="25">
        <v>900.0139999999999</v>
      </c>
    </row>
    <row r="3988" spans="1:7" x14ac:dyDescent="0.25">
      <c r="A3988" s="17"/>
      <c r="B3988" s="17"/>
      <c r="C3988" s="15" t="s">
        <v>2963</v>
      </c>
      <c r="D3988" s="14"/>
      <c r="E3988" s="14" t="s">
        <v>2841</v>
      </c>
      <c r="F3988" s="25">
        <v>1345</v>
      </c>
      <c r="G3988" s="25">
        <v>1177.5474999999999</v>
      </c>
    </row>
    <row r="3989" spans="1:7" x14ac:dyDescent="0.25">
      <c r="A3989" s="17"/>
      <c r="B3989" s="17"/>
      <c r="C3989" s="15" t="s">
        <v>2962</v>
      </c>
      <c r="D3989" s="14" t="s">
        <v>1745</v>
      </c>
      <c r="E3989" s="14" t="s">
        <v>1746</v>
      </c>
      <c r="F3989" s="25">
        <v>1028.04</v>
      </c>
      <c r="G3989" s="25">
        <v>900.05520000000001</v>
      </c>
    </row>
    <row r="3990" spans="1:7" x14ac:dyDescent="0.25">
      <c r="A3990" s="17"/>
      <c r="B3990" s="17"/>
      <c r="C3990" s="15" t="s">
        <v>2964</v>
      </c>
      <c r="D3990" s="14" t="s">
        <v>1745</v>
      </c>
      <c r="E3990" s="14" t="s">
        <v>1747</v>
      </c>
      <c r="F3990" s="25">
        <v>1214</v>
      </c>
      <c r="G3990" s="25">
        <v>1062.8570000000002</v>
      </c>
    </row>
    <row r="3991" spans="1:7" x14ac:dyDescent="0.25">
      <c r="A3991" s="17"/>
      <c r="B3991" s="17"/>
      <c r="C3991" s="15" t="s">
        <v>2965</v>
      </c>
      <c r="D3991" s="14"/>
      <c r="E3991" s="14" t="s">
        <v>2841</v>
      </c>
      <c r="F3991" s="25">
        <v>1719</v>
      </c>
      <c r="G3991" s="25">
        <v>1504.9845</v>
      </c>
    </row>
    <row r="3992" spans="1:7" x14ac:dyDescent="0.25">
      <c r="A3992" s="17"/>
      <c r="B3992" s="17"/>
      <c r="C3992" s="15" t="s">
        <v>2965</v>
      </c>
      <c r="D3992" s="14"/>
      <c r="E3992" s="14" t="s">
        <v>2841</v>
      </c>
      <c r="F3992" s="25">
        <v>1074</v>
      </c>
      <c r="G3992" s="25">
        <v>940.28699999999992</v>
      </c>
    </row>
    <row r="3993" spans="1:7" x14ac:dyDescent="0.25">
      <c r="A3993" s="17"/>
      <c r="B3993" s="17"/>
      <c r="C3993" s="15" t="s">
        <v>2965</v>
      </c>
      <c r="D3993" s="14"/>
      <c r="E3993" s="14" t="s">
        <v>2841</v>
      </c>
      <c r="F3993" s="25">
        <v>4299</v>
      </c>
      <c r="G3993" s="25">
        <v>3763.7745</v>
      </c>
    </row>
    <row r="3994" spans="1:7" x14ac:dyDescent="0.25">
      <c r="A3994" s="17"/>
      <c r="B3994" s="17"/>
      <c r="C3994" s="15" t="s">
        <v>2966</v>
      </c>
      <c r="D3994" s="14" t="s">
        <v>1752</v>
      </c>
      <c r="E3994" s="14" t="s">
        <v>1753</v>
      </c>
      <c r="F3994" s="25">
        <v>3084</v>
      </c>
      <c r="G3994" s="25">
        <v>2700.0419999999999</v>
      </c>
    </row>
    <row r="3995" spans="1:7" x14ac:dyDescent="0.25">
      <c r="A3995" s="17"/>
      <c r="B3995" s="17"/>
      <c r="C3995" s="15" t="s">
        <v>2967</v>
      </c>
      <c r="D3995" s="14" t="s">
        <v>1752</v>
      </c>
      <c r="E3995" s="14" t="s">
        <v>1747</v>
      </c>
      <c r="F3995" s="25">
        <v>3653.01</v>
      </c>
      <c r="G3995" s="25">
        <v>3198.2118</v>
      </c>
    </row>
    <row r="3996" spans="1:7" x14ac:dyDescent="0.25">
      <c r="A3996" s="17"/>
      <c r="B3996" s="17"/>
      <c r="C3996" s="15" t="s">
        <v>2964</v>
      </c>
      <c r="D3996" s="14" t="s">
        <v>1745</v>
      </c>
      <c r="E3996" s="14" t="s">
        <v>1746</v>
      </c>
      <c r="F3996" s="25">
        <v>1214.04</v>
      </c>
      <c r="G3996" s="25">
        <v>1062.8364000000001</v>
      </c>
    </row>
    <row r="3997" spans="1:7" x14ac:dyDescent="0.25">
      <c r="A3997" s="17"/>
      <c r="B3997" s="17"/>
      <c r="C3997" s="15" t="s">
        <v>2963</v>
      </c>
      <c r="D3997" s="14"/>
      <c r="E3997" s="14" t="s">
        <v>2841</v>
      </c>
      <c r="F3997" s="25">
        <v>3364</v>
      </c>
      <c r="G3997" s="25">
        <v>2945.1820000000002</v>
      </c>
    </row>
    <row r="3998" spans="1:7" x14ac:dyDescent="0.25">
      <c r="A3998" s="17"/>
      <c r="B3998" s="17"/>
      <c r="C3998" s="15" t="s">
        <v>2966</v>
      </c>
      <c r="D3998" s="14" t="s">
        <v>1752</v>
      </c>
      <c r="E3998" s="14" t="s">
        <v>1747</v>
      </c>
      <c r="F3998" s="25">
        <v>3084</v>
      </c>
      <c r="G3998" s="25">
        <v>2700.0419999999999</v>
      </c>
    </row>
    <row r="3999" spans="1:7" x14ac:dyDescent="0.25">
      <c r="A3999" s="17"/>
      <c r="B3999" s="17"/>
      <c r="C3999" s="15" t="s">
        <v>2963</v>
      </c>
      <c r="D3999" s="14"/>
      <c r="E3999" s="14" t="s">
        <v>2841</v>
      </c>
      <c r="F3999" s="25">
        <v>841</v>
      </c>
      <c r="G3999" s="25">
        <v>736.29550000000006</v>
      </c>
    </row>
    <row r="4000" spans="1:7" x14ac:dyDescent="0.25">
      <c r="A4000" s="17"/>
      <c r="B4000" s="17"/>
      <c r="C4000" s="15" t="s">
        <v>2967</v>
      </c>
      <c r="D4000" s="14" t="s">
        <v>1752</v>
      </c>
      <c r="E4000" s="14" t="s">
        <v>1753</v>
      </c>
      <c r="F4000" s="25">
        <v>3653</v>
      </c>
      <c r="G4000" s="25">
        <v>3198.2015000000001</v>
      </c>
    </row>
    <row r="4001" spans="1:7" x14ac:dyDescent="0.25">
      <c r="A4001" s="17"/>
      <c r="B4001" s="17"/>
      <c r="C4001" s="15" t="s">
        <v>2968</v>
      </c>
      <c r="D4001" s="14" t="s">
        <v>1745</v>
      </c>
      <c r="E4001" s="14" t="s">
        <v>1747</v>
      </c>
      <c r="F4001" s="25">
        <v>40651</v>
      </c>
      <c r="G4001" s="25">
        <v>35589.950499999999</v>
      </c>
    </row>
    <row r="4002" spans="1:7" x14ac:dyDescent="0.25">
      <c r="A4002" s="17"/>
      <c r="B4002" s="17"/>
      <c r="C4002" s="15" t="s">
        <v>2969</v>
      </c>
      <c r="D4002" s="14" t="s">
        <v>1752</v>
      </c>
      <c r="E4002" s="14" t="s">
        <v>1753</v>
      </c>
      <c r="F4002" s="25">
        <v>84961</v>
      </c>
      <c r="G4002" s="25">
        <v>74383.355500000005</v>
      </c>
    </row>
    <row r="4003" spans="1:7" x14ac:dyDescent="0.25">
      <c r="A4003" s="17"/>
      <c r="B4003" s="17"/>
      <c r="C4003" s="15" t="s">
        <v>2970</v>
      </c>
      <c r="D4003" s="14" t="s">
        <v>1745</v>
      </c>
      <c r="E4003" s="14" t="s">
        <v>1746</v>
      </c>
      <c r="F4003" s="25">
        <v>162606</v>
      </c>
      <c r="G4003" s="25">
        <v>142361.45000000001</v>
      </c>
    </row>
    <row r="4004" spans="1:7" x14ac:dyDescent="0.25">
      <c r="A4004" s="17"/>
      <c r="B4004" s="17"/>
      <c r="C4004" s="15" t="s">
        <v>2971</v>
      </c>
      <c r="D4004" s="14" t="s">
        <v>1752</v>
      </c>
      <c r="E4004" s="14" t="s">
        <v>1747</v>
      </c>
      <c r="F4004" s="25">
        <v>339847</v>
      </c>
      <c r="G4004" s="25">
        <v>297535.99700000003</v>
      </c>
    </row>
    <row r="4005" spans="1:7" x14ac:dyDescent="0.25">
      <c r="A4005" s="17"/>
      <c r="B4005" s="17"/>
      <c r="C4005" s="15" t="s">
        <v>2971</v>
      </c>
      <c r="D4005" s="14" t="s">
        <v>1752</v>
      </c>
      <c r="E4005" s="14" t="s">
        <v>1753</v>
      </c>
      <c r="F4005" s="25">
        <v>339847</v>
      </c>
      <c r="G4005" s="25">
        <v>297536.09999999998</v>
      </c>
    </row>
    <row r="4006" spans="1:7" x14ac:dyDescent="0.25">
      <c r="A4006" s="17"/>
      <c r="B4006" s="17"/>
      <c r="C4006" s="15" t="s">
        <v>2972</v>
      </c>
      <c r="D4006" s="14"/>
      <c r="E4006" s="14" t="s">
        <v>2841</v>
      </c>
      <c r="F4006" s="25">
        <v>230076</v>
      </c>
      <c r="G4006" s="25">
        <v>201431.538</v>
      </c>
    </row>
    <row r="4007" spans="1:7" x14ac:dyDescent="0.25">
      <c r="A4007" s="17"/>
      <c r="B4007" s="17"/>
      <c r="C4007" s="15" t="s">
        <v>2973</v>
      </c>
      <c r="D4007" s="14"/>
      <c r="E4007" s="14" t="s">
        <v>2841</v>
      </c>
      <c r="F4007" s="25">
        <v>28759</v>
      </c>
      <c r="G4007" s="25">
        <v>25178.504500000003</v>
      </c>
    </row>
    <row r="4008" spans="1:7" x14ac:dyDescent="0.25">
      <c r="A4008" s="17"/>
      <c r="B4008" s="17"/>
      <c r="C4008" s="15" t="s">
        <v>2970</v>
      </c>
      <c r="D4008" s="14" t="s">
        <v>1745</v>
      </c>
      <c r="E4008" s="14" t="s">
        <v>1747</v>
      </c>
      <c r="F4008" s="25">
        <v>162606</v>
      </c>
      <c r="G4008" s="25">
        <v>142361.55300000001</v>
      </c>
    </row>
    <row r="4009" spans="1:7" x14ac:dyDescent="0.25">
      <c r="A4009" s="17"/>
      <c r="B4009" s="17"/>
      <c r="C4009" s="15" t="s">
        <v>2969</v>
      </c>
      <c r="D4009" s="14" t="s">
        <v>1752</v>
      </c>
      <c r="E4009" s="14" t="s">
        <v>1747</v>
      </c>
      <c r="F4009" s="25">
        <v>84960.99</v>
      </c>
      <c r="G4009" s="25">
        <v>74383.345199999996</v>
      </c>
    </row>
    <row r="4010" spans="1:7" x14ac:dyDescent="0.25">
      <c r="A4010" s="17"/>
      <c r="B4010" s="17"/>
      <c r="C4010" s="15" t="s">
        <v>2973</v>
      </c>
      <c r="D4010" s="14"/>
      <c r="E4010" s="14" t="s">
        <v>2841</v>
      </c>
      <c r="F4010" s="25">
        <v>17974</v>
      </c>
      <c r="G4010" s="25">
        <v>15736.236999999999</v>
      </c>
    </row>
    <row r="4011" spans="1:7" x14ac:dyDescent="0.25">
      <c r="A4011" s="17"/>
      <c r="B4011" s="17"/>
      <c r="C4011" s="15" t="s">
        <v>2968</v>
      </c>
      <c r="D4011" s="14" t="s">
        <v>1745</v>
      </c>
      <c r="E4011" s="14" t="s">
        <v>1746</v>
      </c>
      <c r="F4011" s="25">
        <v>40650.959999999999</v>
      </c>
      <c r="G4011" s="25">
        <v>35590.002</v>
      </c>
    </row>
    <row r="4012" spans="1:7" x14ac:dyDescent="0.25">
      <c r="A4012" s="17"/>
      <c r="B4012" s="17"/>
      <c r="C4012" s="15" t="s">
        <v>2973</v>
      </c>
      <c r="D4012" s="14"/>
      <c r="E4012" s="14" t="s">
        <v>2841</v>
      </c>
      <c r="F4012" s="25">
        <v>71898</v>
      </c>
      <c r="G4012" s="25">
        <v>62946.699000000001</v>
      </c>
    </row>
    <row r="4013" spans="1:7" x14ac:dyDescent="0.25">
      <c r="A4013" s="17"/>
      <c r="B4013" s="17"/>
      <c r="C4013" s="15" t="s">
        <v>2972</v>
      </c>
      <c r="D4013" s="14"/>
      <c r="E4013" s="14" t="s">
        <v>2841</v>
      </c>
      <c r="F4013" s="25">
        <v>143797</v>
      </c>
      <c r="G4013" s="25">
        <v>125894.325</v>
      </c>
    </row>
    <row r="4014" spans="1:7" x14ac:dyDescent="0.25">
      <c r="A4014" s="17"/>
      <c r="B4014" s="17"/>
      <c r="C4014" s="15" t="s">
        <v>2972</v>
      </c>
      <c r="D4014" s="14"/>
      <c r="E4014" s="14" t="s">
        <v>2841</v>
      </c>
      <c r="F4014" s="25">
        <v>575191</v>
      </c>
      <c r="G4014" s="25">
        <v>503579.772</v>
      </c>
    </row>
    <row r="4015" spans="1:7" x14ac:dyDescent="0.25">
      <c r="A4015" s="17"/>
      <c r="B4015" s="17"/>
      <c r="C4015" s="15" t="s">
        <v>2974</v>
      </c>
      <c r="D4015" s="14"/>
      <c r="E4015" s="14" t="s">
        <v>2841</v>
      </c>
      <c r="F4015" s="25">
        <v>425849</v>
      </c>
      <c r="G4015" s="25">
        <v>372830.85100000002</v>
      </c>
    </row>
    <row r="4016" spans="1:7" x14ac:dyDescent="0.25">
      <c r="A4016" s="17"/>
      <c r="B4016" s="17"/>
      <c r="C4016" s="15" t="s">
        <v>2974</v>
      </c>
      <c r="D4016" s="14"/>
      <c r="E4016" s="14" t="s">
        <v>2841</v>
      </c>
      <c r="F4016" s="25">
        <v>1703398</v>
      </c>
      <c r="G4016" s="25">
        <v>1491324.64</v>
      </c>
    </row>
    <row r="4017" spans="1:7" x14ac:dyDescent="0.25">
      <c r="A4017" s="17"/>
      <c r="B4017" s="17"/>
      <c r="C4017" s="15" t="s">
        <v>2974</v>
      </c>
      <c r="D4017" s="14"/>
      <c r="E4017" s="14" t="s">
        <v>2841</v>
      </c>
      <c r="F4017" s="25">
        <v>425849</v>
      </c>
      <c r="G4017" s="25">
        <v>372830.85100000002</v>
      </c>
    </row>
    <row r="4018" spans="1:7" x14ac:dyDescent="0.25">
      <c r="A4018" s="17"/>
      <c r="B4018" s="17"/>
      <c r="C4018" s="15" t="s">
        <v>2975</v>
      </c>
      <c r="D4018" s="14"/>
      <c r="E4018" s="14" t="s">
        <v>2841</v>
      </c>
      <c r="F4018" s="25">
        <v>3130</v>
      </c>
      <c r="G4018" s="25">
        <v>2740.3150000000001</v>
      </c>
    </row>
    <row r="4019" spans="1:7" x14ac:dyDescent="0.25">
      <c r="A4019" s="17"/>
      <c r="B4019" s="17"/>
      <c r="C4019" s="15" t="s">
        <v>2976</v>
      </c>
      <c r="D4019" s="14" t="s">
        <v>1752</v>
      </c>
      <c r="E4019" s="14" t="s">
        <v>1747</v>
      </c>
      <c r="F4019" s="25">
        <v>59813.01</v>
      </c>
      <c r="G4019" s="25">
        <v>52366.291799999999</v>
      </c>
    </row>
    <row r="4020" spans="1:7" x14ac:dyDescent="0.25">
      <c r="A4020" s="17"/>
      <c r="B4020" s="17"/>
      <c r="C4020" s="15" t="s">
        <v>2977</v>
      </c>
      <c r="D4020" s="14"/>
      <c r="E4020" s="14" t="s">
        <v>2841</v>
      </c>
      <c r="F4020" s="25">
        <v>99915</v>
      </c>
      <c r="G4020" s="25">
        <v>87475.582500000004</v>
      </c>
    </row>
    <row r="4021" spans="1:7" x14ac:dyDescent="0.25">
      <c r="A4021" s="17"/>
      <c r="B4021" s="17"/>
      <c r="C4021" s="15" t="s">
        <v>2978</v>
      </c>
      <c r="D4021" s="14" t="s">
        <v>1745</v>
      </c>
      <c r="E4021" s="14" t="s">
        <v>1746</v>
      </c>
      <c r="F4021" s="25">
        <v>23364</v>
      </c>
      <c r="G4021" s="25">
        <v>20455.182000000001</v>
      </c>
    </row>
    <row r="4022" spans="1:7" x14ac:dyDescent="0.25">
      <c r="A4022" s="17"/>
      <c r="B4022" s="17"/>
      <c r="C4022" s="15" t="s">
        <v>2979</v>
      </c>
      <c r="D4022" s="14" t="s">
        <v>1745</v>
      </c>
      <c r="E4022" s="14" t="s">
        <v>1747</v>
      </c>
      <c r="F4022" s="25">
        <v>5841</v>
      </c>
      <c r="G4022" s="25">
        <v>5113.7955000000002</v>
      </c>
    </row>
    <row r="4023" spans="1:7" x14ac:dyDescent="0.25">
      <c r="A4023" s="17"/>
      <c r="B4023" s="17"/>
      <c r="C4023" s="15" t="s">
        <v>2980</v>
      </c>
      <c r="D4023" s="14" t="s">
        <v>1752</v>
      </c>
      <c r="E4023" s="14" t="s">
        <v>1753</v>
      </c>
      <c r="F4023" s="25">
        <v>14929</v>
      </c>
      <c r="G4023" s="25">
        <v>13070.3395</v>
      </c>
    </row>
    <row r="4024" spans="1:7" x14ac:dyDescent="0.25">
      <c r="A4024" s="17"/>
      <c r="B4024" s="17"/>
      <c r="C4024" s="15" t="s">
        <v>2978</v>
      </c>
      <c r="D4024" s="14" t="s">
        <v>1745</v>
      </c>
      <c r="E4024" s="14" t="s">
        <v>1747</v>
      </c>
      <c r="F4024" s="25">
        <v>23364</v>
      </c>
      <c r="G4024" s="25">
        <v>20455.182000000001</v>
      </c>
    </row>
    <row r="4025" spans="1:7" x14ac:dyDescent="0.25">
      <c r="A4025" s="17"/>
      <c r="B4025" s="17"/>
      <c r="C4025" s="15" t="s">
        <v>2980</v>
      </c>
      <c r="D4025" s="14" t="s">
        <v>1752</v>
      </c>
      <c r="E4025" s="14" t="s">
        <v>1747</v>
      </c>
      <c r="F4025" s="25">
        <v>14928.99</v>
      </c>
      <c r="G4025" s="25">
        <v>13070.3292</v>
      </c>
    </row>
    <row r="4026" spans="1:7" x14ac:dyDescent="0.25">
      <c r="A4026" s="17"/>
      <c r="B4026" s="17"/>
      <c r="C4026" s="15" t="s">
        <v>2977</v>
      </c>
      <c r="D4026" s="14"/>
      <c r="E4026" s="14" t="s">
        <v>2841</v>
      </c>
      <c r="F4026" s="25">
        <v>24978</v>
      </c>
      <c r="G4026" s="25">
        <v>21868.238999999998</v>
      </c>
    </row>
    <row r="4027" spans="1:7" x14ac:dyDescent="0.25">
      <c r="A4027" s="17"/>
      <c r="B4027" s="17"/>
      <c r="C4027" s="15" t="s">
        <v>2975</v>
      </c>
      <c r="D4027" s="14"/>
      <c r="E4027" s="14" t="s">
        <v>2841</v>
      </c>
      <c r="F4027" s="25">
        <v>5009</v>
      </c>
      <c r="G4027" s="25">
        <v>4385.3795</v>
      </c>
    </row>
    <row r="4028" spans="1:7" x14ac:dyDescent="0.25">
      <c r="A4028" s="17"/>
      <c r="B4028" s="17"/>
      <c r="C4028" s="15" t="s">
        <v>2975</v>
      </c>
      <c r="D4028" s="14"/>
      <c r="E4028" s="14" t="s">
        <v>2841</v>
      </c>
      <c r="F4028" s="25">
        <v>12523</v>
      </c>
      <c r="G4028" s="25">
        <v>10963.886499999999</v>
      </c>
    </row>
    <row r="4029" spans="1:7" x14ac:dyDescent="0.25">
      <c r="A4029" s="17"/>
      <c r="B4029" s="17"/>
      <c r="C4029" s="15" t="s">
        <v>2977</v>
      </c>
      <c r="D4029" s="14"/>
      <c r="E4029" s="14" t="s">
        <v>2841</v>
      </c>
      <c r="F4029" s="25">
        <v>39966</v>
      </c>
      <c r="G4029" s="25">
        <v>34990.233</v>
      </c>
    </row>
    <row r="4030" spans="1:7" x14ac:dyDescent="0.25">
      <c r="A4030" s="17"/>
      <c r="B4030" s="17"/>
      <c r="C4030" s="15" t="s">
        <v>2976</v>
      </c>
      <c r="D4030" s="14" t="s">
        <v>1752</v>
      </c>
      <c r="E4030" s="14" t="s">
        <v>1753</v>
      </c>
      <c r="F4030" s="25">
        <v>59813</v>
      </c>
      <c r="G4030" s="25">
        <v>52366.281500000005</v>
      </c>
    </row>
    <row r="4031" spans="1:7" x14ac:dyDescent="0.25">
      <c r="A4031" s="17"/>
      <c r="B4031" s="17"/>
      <c r="C4031" s="15" t="s">
        <v>2979</v>
      </c>
      <c r="D4031" s="14" t="s">
        <v>1745</v>
      </c>
      <c r="E4031" s="14" t="s">
        <v>1746</v>
      </c>
      <c r="F4031" s="25">
        <v>5841</v>
      </c>
      <c r="G4031" s="25">
        <v>5113.8263999999999</v>
      </c>
    </row>
    <row r="4032" spans="1:7" x14ac:dyDescent="0.25">
      <c r="A4032" s="17"/>
      <c r="B4032" s="17"/>
      <c r="C4032" s="15" t="s">
        <v>2981</v>
      </c>
      <c r="D4032" s="14"/>
      <c r="E4032" s="14" t="s">
        <v>2841</v>
      </c>
      <c r="F4032" s="25">
        <v>3610</v>
      </c>
      <c r="G4032" s="25">
        <v>3532.3850000000002</v>
      </c>
    </row>
    <row r="4033" spans="1:7" x14ac:dyDescent="0.25">
      <c r="A4033" s="17"/>
      <c r="B4033" s="17"/>
      <c r="C4033" s="15" t="s">
        <v>2981</v>
      </c>
      <c r="D4033" s="14"/>
      <c r="E4033" s="14" t="s">
        <v>2841</v>
      </c>
      <c r="F4033" s="25">
        <v>1954</v>
      </c>
      <c r="G4033" s="25">
        <v>1911.989</v>
      </c>
    </row>
    <row r="4034" spans="1:7" x14ac:dyDescent="0.25">
      <c r="A4034" s="17"/>
      <c r="B4034" s="17"/>
      <c r="C4034" s="15" t="s">
        <v>2981</v>
      </c>
      <c r="D4034" s="14"/>
      <c r="E4034" s="14" t="s">
        <v>2841</v>
      </c>
      <c r="F4034" s="25">
        <v>14443</v>
      </c>
      <c r="G4034" s="25">
        <v>14132.4755</v>
      </c>
    </row>
    <row r="4035" spans="1:7" x14ac:dyDescent="0.25">
      <c r="A4035" s="17"/>
      <c r="B4035" s="17"/>
      <c r="C4035" s="15" t="s">
        <v>2982</v>
      </c>
      <c r="D4035" s="14"/>
      <c r="E4035" s="14" t="s">
        <v>2841</v>
      </c>
      <c r="F4035" s="25">
        <v>3610</v>
      </c>
      <c r="G4035" s="25">
        <v>3532.3850000000002</v>
      </c>
    </row>
    <row r="4036" spans="1:7" x14ac:dyDescent="0.25">
      <c r="A4036" s="17"/>
      <c r="B4036" s="17"/>
      <c r="C4036" s="15" t="s">
        <v>2982</v>
      </c>
      <c r="D4036" s="14"/>
      <c r="E4036" s="14" t="s">
        <v>2841</v>
      </c>
      <c r="F4036" s="25">
        <v>14443</v>
      </c>
      <c r="G4036" s="25">
        <v>14132.4755</v>
      </c>
    </row>
    <row r="4037" spans="1:7" ht="15.75" thickBot="1" x14ac:dyDescent="0.3">
      <c r="A4037" s="18"/>
      <c r="B4037" s="18"/>
      <c r="C4037" s="19" t="s">
        <v>2982</v>
      </c>
      <c r="D4037" s="20"/>
      <c r="E4037" s="20" t="s">
        <v>2841</v>
      </c>
      <c r="F4037" s="28">
        <v>1954</v>
      </c>
      <c r="G4037" s="28">
        <v>1911.989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D6D2-D656-4D3E-AE06-96B424145B83}">
  <dimension ref="A1:N4032"/>
  <sheetViews>
    <sheetView zoomScale="112" zoomScaleNormal="112" workbookViewId="0">
      <selection activeCell="Q9" sqref="Q9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9" style="21" customWidth="1"/>
    <col min="4" max="4" width="18.140625" bestFit="1" customWidth="1"/>
    <col min="5" max="5" width="15" bestFit="1" customWidth="1"/>
    <col min="6" max="6" width="15" customWidth="1"/>
    <col min="7" max="7" width="14.140625" bestFit="1" customWidth="1"/>
    <col min="8" max="8" width="13.85546875" style="33" bestFit="1" customWidth="1"/>
    <col min="9" max="9" width="18.7109375" style="33" bestFit="1" customWidth="1"/>
    <col min="10" max="10" width="18.7109375" style="33" customWidth="1"/>
    <col min="11" max="11" width="13.42578125" style="33" bestFit="1" customWidth="1"/>
    <col min="12" max="12" width="18.140625" style="35" bestFit="1" customWidth="1"/>
    <col min="13" max="13" width="17.28515625" customWidth="1"/>
    <col min="14" max="14" width="16.5703125" customWidth="1"/>
  </cols>
  <sheetData>
    <row r="1" spans="1:14" ht="15.75" thickBot="1" x14ac:dyDescent="0.3">
      <c r="H1"/>
      <c r="I1"/>
      <c r="J1"/>
      <c r="K1"/>
      <c r="L1"/>
    </row>
    <row r="2" spans="1:14" ht="45" x14ac:dyDescent="0.25">
      <c r="A2" s="12" t="s">
        <v>1738</v>
      </c>
      <c r="B2" s="12" t="s">
        <v>1739</v>
      </c>
      <c r="C2" s="13" t="s">
        <v>1740</v>
      </c>
      <c r="D2" s="12" t="s">
        <v>1741</v>
      </c>
      <c r="E2" s="12" t="s">
        <v>1742</v>
      </c>
      <c r="F2" s="12" t="s">
        <v>2992</v>
      </c>
      <c r="G2" s="12" t="s">
        <v>1743</v>
      </c>
      <c r="H2" s="12" t="s">
        <v>1744</v>
      </c>
      <c r="I2" s="22" t="s">
        <v>2983</v>
      </c>
      <c r="J2" s="22" t="s">
        <v>2984</v>
      </c>
      <c r="K2" s="22" t="s">
        <v>2985</v>
      </c>
      <c r="L2" s="22" t="s">
        <v>2986</v>
      </c>
      <c r="M2" s="22" t="s">
        <v>2996</v>
      </c>
      <c r="N2" s="22" t="s">
        <v>2997</v>
      </c>
    </row>
    <row r="3" spans="1:14" x14ac:dyDescent="0.25">
      <c r="A3" s="14" t="s">
        <v>12</v>
      </c>
      <c r="B3" s="14">
        <v>1</v>
      </c>
      <c r="C3" s="15" t="s">
        <v>11</v>
      </c>
      <c r="D3" s="14" t="s">
        <v>1745</v>
      </c>
      <c r="E3" s="14" t="s">
        <v>1746</v>
      </c>
      <c r="F3" s="17" t="s">
        <v>2993</v>
      </c>
      <c r="G3" s="14">
        <v>2079</v>
      </c>
      <c r="H3" s="14">
        <v>1663.2</v>
      </c>
      <c r="I3" s="31">
        <f>IF(COUNTIFS(Addendum!C:C,A3,Addendum!D:D,IF(ISNUMBER(B3),TEXT(B3,"0000"),B3),Addendum!E:E,"X")&gt;0,4%,0)</f>
        <v>0.04</v>
      </c>
      <c r="J3" s="31">
        <f>IF(COUNTIFS(Addendum!C:C,A3,Addendum!D:D,IF(ISNUMBER(B3),TEXT(B3,"0000"),B3),Addendum!F:F,"X")&gt;0,2.5%,0)</f>
        <v>0</v>
      </c>
      <c r="K3" s="31">
        <f>IF(COUNTIFS(Addendum!C:C,A3,Addendum!D:D,IF(ISNUMBER(B3),TEXT(B3,"0000"),B3),Addendum!G:G,"X")&gt;0,7%,0)</f>
        <v>0</v>
      </c>
      <c r="L3" s="31">
        <f>IF(COUNTIFS(Addendum!C:C,A3,Addendum!D:D,IF(ISNUMBER(B3),TEXT(B3,"0000"),B3),Addendum!I:I,"X")&gt;0,10%,0)</f>
        <v>0</v>
      </c>
      <c r="M3" s="34">
        <f>IF(AND(I3=0%,J3=0%,K3=0%,L3=0%),0%,
IF(OR(TRIM(E3)="OneTime",TRIM(D3)=""),0%,
IF(
OR(
TRIM(D3)="P1M",
AND(TRIM(D3)="P1Y",TRIM(E3)="Monthly"),
AND(TRIM(D3)="P3Y",TRIM(E3)="Monthly")
),
IF(AND(I3=4%,J3=0%,K3=0%,L3=0%),1%,
IF(AND(I3=4%,J3=2.5%,K3=0%,L3=10%),2%,
IF(AND(I3=4%,J3=0%,K3=7%,L3=10%),3%,0%))),
IF(
OR(
AND(TRIM(D3)="P1Y",TRIM(E3)="Annual"),
AND(TRIM(D3)="P3Y",TRIM(E3)="Annual"),
AND(TRIM(D3)="P3Y",TRIM(E3)="Triennial")
),
IF(AND(I3=4%,J3=0%,K3=0%,L3=0%),3%,
IF(AND(I3=4%,J3=2.5%,K3=0%,L3=10%),10%,
IF(AND(I3=4%,J3=0%,K3=7%,L3=10%),14%,0%))),
0%
))))</f>
        <v>0.01</v>
      </c>
      <c r="N3" s="17">
        <f>H3-(H3*M3)</f>
        <v>1646.568</v>
      </c>
    </row>
    <row r="4" spans="1:14" x14ac:dyDescent="0.25">
      <c r="A4" s="14" t="s">
        <v>12</v>
      </c>
      <c r="B4" s="14">
        <v>1</v>
      </c>
      <c r="C4" s="15" t="s">
        <v>11</v>
      </c>
      <c r="D4" s="14" t="s">
        <v>1745</v>
      </c>
      <c r="E4" s="14" t="s">
        <v>1747</v>
      </c>
      <c r="F4" s="17" t="s">
        <v>2993</v>
      </c>
      <c r="G4" s="14">
        <v>1980</v>
      </c>
      <c r="H4" s="14">
        <v>1584</v>
      </c>
      <c r="I4" s="31">
        <f>IF(COUNTIFS(Addendum!C:C,A4,Addendum!D:D,IF(ISNUMBER(B4),TEXT(B4,"0000"),B4),Addendum!E:E,"X")&gt;0,4%,0)</f>
        <v>0.04</v>
      </c>
      <c r="J4" s="31">
        <f>IF(COUNTIFS(Addendum!C:C,A4,Addendum!D:D,IF(ISNUMBER(B4),TEXT(B4,"0000"),B4),Addendum!F:F,"X")&gt;0,2.5%,0)</f>
        <v>0</v>
      </c>
      <c r="K4" s="31">
        <f>IF(COUNTIFS(Addendum!C:C,A4,Addendum!D:D,IF(ISNUMBER(B4),TEXT(B4,"0000"),B4),Addendum!G:G,"X")&gt;0,7%,0)</f>
        <v>0</v>
      </c>
      <c r="L4" s="31">
        <f>IF(COUNTIFS(Addendum!C:C,A4,Addendum!D:D,IF(ISNUMBER(B4),TEXT(B4,"0000"),B4),Addendum!I:I,"X")&gt;0,10%,0)</f>
        <v>0</v>
      </c>
      <c r="M4" s="34">
        <f t="shared" ref="M4:M67" si="0">IF(AND(I4=0%,J4=0%,K4=0%,L4=0%),0%,
IF(OR(TRIM(E4)="OneTime",TRIM(D4)=""),0%,
IF(
OR(
TRIM(D4)="P1M",
AND(TRIM(D4)="P1Y",TRIM(E4)="Monthly"),
AND(TRIM(D4)="P3Y",TRIM(E4)="Monthly")
),
IF(AND(I4=4%,J4=0%,K4=0%,L4=0%),1%,
IF(AND(I4=4%,J4=2.5%,K4=0%,L4=10%),2%,
IF(AND(I4=4%,J4=0%,K4=7%,L4=10%),3%,0%))),
IF(
OR(
AND(TRIM(D4)="P1Y",TRIM(E4)="Annual"),
AND(TRIM(D4)="P3Y",TRIM(E4)="Annual"),
AND(TRIM(D4)="P3Y",TRIM(E4)="Triennial")
),
IF(AND(I4=4%,J4=0%,K4=0%,L4=0%),3%,
IF(AND(I4=4%,J4=2.5%,K4=0%,L4=10%),10%,
IF(AND(I4=4%,J4=0%,K4=7%,L4=10%),14%,0%))),
0%
))))</f>
        <v>0.03</v>
      </c>
      <c r="N4" s="17">
        <f t="shared" ref="N4:N67" si="1">H4-(H4*M4)</f>
        <v>1536.48</v>
      </c>
    </row>
    <row r="5" spans="1:14" x14ac:dyDescent="0.25">
      <c r="A5" s="14" t="s">
        <v>12</v>
      </c>
      <c r="B5" s="14">
        <v>5</v>
      </c>
      <c r="C5" s="15" t="s">
        <v>21</v>
      </c>
      <c r="D5" s="14" t="s">
        <v>1745</v>
      </c>
      <c r="E5" s="14" t="s">
        <v>1746</v>
      </c>
      <c r="F5" s="17" t="s">
        <v>2993</v>
      </c>
      <c r="G5" s="14">
        <v>1386</v>
      </c>
      <c r="H5" s="14">
        <v>1108.8</v>
      </c>
      <c r="I5" s="31">
        <f>IF(COUNTIFS(Addendum!C:C,A5,Addendum!D:D,IF(ISNUMBER(B5),TEXT(B5,"0000"),B5),Addendum!E:E,"X")&gt;0,4%,0)</f>
        <v>0.04</v>
      </c>
      <c r="J5" s="31">
        <f>IF(COUNTIFS(Addendum!C:C,A5,Addendum!D:D,IF(ISNUMBER(B5),TEXT(B5,"0000"),B5),Addendum!F:F,"X")&gt;0,2.5%,0)</f>
        <v>0</v>
      </c>
      <c r="K5" s="31">
        <f>IF(COUNTIFS(Addendum!C:C,A5,Addendum!D:D,IF(ISNUMBER(B5),TEXT(B5,"0000"),B5),Addendum!G:G,"X")&gt;0,7%,0)</f>
        <v>0</v>
      </c>
      <c r="L5" s="31">
        <f>IF(COUNTIFS(Addendum!C:C,A5,Addendum!D:D,IF(ISNUMBER(B5),TEXT(B5,"0000"),B5),Addendum!I:I,"X")&gt;0,10%,0)</f>
        <v>0</v>
      </c>
      <c r="M5" s="34">
        <f t="shared" si="0"/>
        <v>0.01</v>
      </c>
      <c r="N5" s="17">
        <f t="shared" si="1"/>
        <v>1097.712</v>
      </c>
    </row>
    <row r="6" spans="1:14" x14ac:dyDescent="0.25">
      <c r="A6" s="14" t="s">
        <v>12</v>
      </c>
      <c r="B6" s="14">
        <v>4</v>
      </c>
      <c r="C6" s="15" t="s">
        <v>1748</v>
      </c>
      <c r="D6" s="14" t="s">
        <v>1745</v>
      </c>
      <c r="E6" s="14" t="s">
        <v>1747</v>
      </c>
      <c r="F6" s="17" t="s">
        <v>2994</v>
      </c>
      <c r="G6" s="14">
        <v>1980</v>
      </c>
      <c r="H6" s="14">
        <v>1584</v>
      </c>
      <c r="I6" s="31">
        <f>IF(COUNTIFS(Addendum!C:C,A6,Addendum!D:D,IF(ISNUMBER(B6),TEXT(B6,"0000"),B6),Addendum!E:E,"X")&gt;0,4%,0)</f>
        <v>0.04</v>
      </c>
      <c r="J6" s="31">
        <f>IF(COUNTIFS(Addendum!C:C,A6,Addendum!D:D,IF(ISNUMBER(B6),TEXT(B6,"0000"),B6),Addendum!F:F,"X")&gt;0,2.5%,0)</f>
        <v>0</v>
      </c>
      <c r="K6" s="31">
        <f>IF(COUNTIFS(Addendum!C:C,A6,Addendum!D:D,IF(ISNUMBER(B6),TEXT(B6,"0000"),B6),Addendum!G:G,"X")&gt;0,7%,0)</f>
        <v>0</v>
      </c>
      <c r="L6" s="31">
        <f>IF(COUNTIFS(Addendum!C:C,A6,Addendum!D:D,IF(ISNUMBER(B6),TEXT(B6,"0000"),B6),Addendum!I:I,"X")&gt;0,10%,0)</f>
        <v>0</v>
      </c>
      <c r="M6" s="34">
        <f t="shared" si="0"/>
        <v>0.03</v>
      </c>
      <c r="N6" s="17">
        <f t="shared" si="1"/>
        <v>1536.48</v>
      </c>
    </row>
    <row r="7" spans="1:14" x14ac:dyDescent="0.25">
      <c r="A7" s="14" t="s">
        <v>12</v>
      </c>
      <c r="B7" s="14">
        <v>5</v>
      </c>
      <c r="C7" s="15" t="s">
        <v>21</v>
      </c>
      <c r="D7" s="14" t="s">
        <v>1745</v>
      </c>
      <c r="E7" s="14" t="s">
        <v>1747</v>
      </c>
      <c r="F7" s="17" t="s">
        <v>2993</v>
      </c>
      <c r="G7" s="14">
        <v>1320</v>
      </c>
      <c r="H7" s="14">
        <v>1056</v>
      </c>
      <c r="I7" s="31">
        <f>IF(COUNTIFS(Addendum!C:C,A7,Addendum!D:D,IF(ISNUMBER(B7),TEXT(B7,"0000"),B7),Addendum!E:E,"X")&gt;0,4%,0)</f>
        <v>0.04</v>
      </c>
      <c r="J7" s="31">
        <f>IF(COUNTIFS(Addendum!C:C,A7,Addendum!D:D,IF(ISNUMBER(B7),TEXT(B7,"0000"),B7),Addendum!F:F,"X")&gt;0,2.5%,0)</f>
        <v>0</v>
      </c>
      <c r="K7" s="31">
        <f>IF(COUNTIFS(Addendum!C:C,A7,Addendum!D:D,IF(ISNUMBER(B7),TEXT(B7,"0000"),B7),Addendum!G:G,"X")&gt;0,7%,0)</f>
        <v>0</v>
      </c>
      <c r="L7" s="31">
        <f>IF(COUNTIFS(Addendum!C:C,A7,Addendum!D:D,IF(ISNUMBER(B7),TEXT(B7,"0000"),B7),Addendum!I:I,"X")&gt;0,10%,0)</f>
        <v>0</v>
      </c>
      <c r="M7" s="34">
        <f t="shared" si="0"/>
        <v>0.03</v>
      </c>
      <c r="N7" s="17">
        <f t="shared" si="1"/>
        <v>1024.32</v>
      </c>
    </row>
    <row r="8" spans="1:14" x14ac:dyDescent="0.25">
      <c r="A8" s="14" t="s">
        <v>12</v>
      </c>
      <c r="B8" s="14">
        <v>1</v>
      </c>
      <c r="C8" s="15" t="s">
        <v>11</v>
      </c>
      <c r="D8" s="14" t="s">
        <v>1749</v>
      </c>
      <c r="E8" s="14" t="s">
        <v>1746</v>
      </c>
      <c r="F8" s="17" t="s">
        <v>2993</v>
      </c>
      <c r="G8" s="14">
        <v>198</v>
      </c>
      <c r="H8" s="14">
        <v>158.4</v>
      </c>
      <c r="I8" s="31">
        <f>IF(COUNTIFS(Addendum!C:C,A8,Addendum!D:D,IF(ISNUMBER(B8),TEXT(B8,"0000"),B8),Addendum!E:E,"X")&gt;0,4%,0)</f>
        <v>0.04</v>
      </c>
      <c r="J8" s="31">
        <f>IF(COUNTIFS(Addendum!C:C,A8,Addendum!D:D,IF(ISNUMBER(B8),TEXT(B8,"0000"),B8),Addendum!F:F,"X")&gt;0,2.5%,0)</f>
        <v>0</v>
      </c>
      <c r="K8" s="31">
        <f>IF(COUNTIFS(Addendum!C:C,A8,Addendum!D:D,IF(ISNUMBER(B8),TEXT(B8,"0000"),B8),Addendum!G:G,"X")&gt;0,7%,0)</f>
        <v>0</v>
      </c>
      <c r="L8" s="31">
        <f>IF(COUNTIFS(Addendum!C:C,A8,Addendum!D:D,IF(ISNUMBER(B8),TEXT(B8,"0000"),B8),Addendum!I:I,"X")&gt;0,10%,0)</f>
        <v>0</v>
      </c>
      <c r="M8" s="34">
        <f t="shared" si="0"/>
        <v>0.01</v>
      </c>
      <c r="N8" s="17">
        <f t="shared" si="1"/>
        <v>156.816</v>
      </c>
    </row>
    <row r="9" spans="1:14" x14ac:dyDescent="0.25">
      <c r="A9" s="14" t="s">
        <v>12</v>
      </c>
      <c r="B9" s="14">
        <v>4</v>
      </c>
      <c r="C9" s="15" t="s">
        <v>1748</v>
      </c>
      <c r="D9" s="14" t="s">
        <v>1749</v>
      </c>
      <c r="E9" s="14" t="s">
        <v>1746</v>
      </c>
      <c r="F9" s="17" t="s">
        <v>2994</v>
      </c>
      <c r="G9" s="14">
        <v>198</v>
      </c>
      <c r="H9" s="14">
        <v>158.4</v>
      </c>
      <c r="I9" s="31">
        <f>IF(COUNTIFS(Addendum!C:C,A9,Addendum!D:D,IF(ISNUMBER(B9),TEXT(B9,"0000"),B9),Addendum!E:E,"X")&gt;0,4%,0)</f>
        <v>0.04</v>
      </c>
      <c r="J9" s="31">
        <f>IF(COUNTIFS(Addendum!C:C,A9,Addendum!D:D,IF(ISNUMBER(B9),TEXT(B9,"0000"),B9),Addendum!F:F,"X")&gt;0,2.5%,0)</f>
        <v>0</v>
      </c>
      <c r="K9" s="31">
        <f>IF(COUNTIFS(Addendum!C:C,A9,Addendum!D:D,IF(ISNUMBER(B9),TEXT(B9,"0000"),B9),Addendum!G:G,"X")&gt;0,7%,0)</f>
        <v>0</v>
      </c>
      <c r="L9" s="31">
        <f>IF(COUNTIFS(Addendum!C:C,A9,Addendum!D:D,IF(ISNUMBER(B9),TEXT(B9,"0000"),B9),Addendum!I:I,"X")&gt;0,10%,0)</f>
        <v>0</v>
      </c>
      <c r="M9" s="34">
        <f t="shared" si="0"/>
        <v>0.01</v>
      </c>
      <c r="N9" s="17">
        <f t="shared" si="1"/>
        <v>156.816</v>
      </c>
    </row>
    <row r="10" spans="1:14" x14ac:dyDescent="0.25">
      <c r="A10" s="14" t="s">
        <v>12</v>
      </c>
      <c r="B10" s="14">
        <v>5</v>
      </c>
      <c r="C10" s="15" t="s">
        <v>21</v>
      </c>
      <c r="D10" s="14" t="s">
        <v>1749</v>
      </c>
      <c r="E10" s="14" t="s">
        <v>1746</v>
      </c>
      <c r="F10" s="17" t="s">
        <v>2993</v>
      </c>
      <c r="G10" s="14">
        <v>132</v>
      </c>
      <c r="H10" s="14">
        <v>105.6</v>
      </c>
      <c r="I10" s="31">
        <f>IF(COUNTIFS(Addendum!C:C,A10,Addendum!D:D,IF(ISNUMBER(B10),TEXT(B10,"0000"),B10),Addendum!E:E,"X")&gt;0,4%,0)</f>
        <v>0.04</v>
      </c>
      <c r="J10" s="31">
        <f>IF(COUNTIFS(Addendum!C:C,A10,Addendum!D:D,IF(ISNUMBER(B10),TEXT(B10,"0000"),B10),Addendum!F:F,"X")&gt;0,2.5%,0)</f>
        <v>0</v>
      </c>
      <c r="K10" s="31">
        <f>IF(COUNTIFS(Addendum!C:C,A10,Addendum!D:D,IF(ISNUMBER(B10),TEXT(B10,"0000"),B10),Addendum!G:G,"X")&gt;0,7%,0)</f>
        <v>0</v>
      </c>
      <c r="L10" s="31">
        <f>IF(COUNTIFS(Addendum!C:C,A10,Addendum!D:D,IF(ISNUMBER(B10),TEXT(B10,"0000"),B10),Addendum!I:I,"X")&gt;0,10%,0)</f>
        <v>0</v>
      </c>
      <c r="M10" s="34">
        <f t="shared" si="0"/>
        <v>0.01</v>
      </c>
      <c r="N10" s="17">
        <f t="shared" si="1"/>
        <v>104.544</v>
      </c>
    </row>
    <row r="11" spans="1:14" x14ac:dyDescent="0.25">
      <c r="A11" s="14" t="s">
        <v>12</v>
      </c>
      <c r="B11" s="14">
        <v>4</v>
      </c>
      <c r="C11" s="15" t="s">
        <v>1748</v>
      </c>
      <c r="D11" s="14" t="s">
        <v>1745</v>
      </c>
      <c r="E11" s="14" t="s">
        <v>1746</v>
      </c>
      <c r="F11" s="17" t="s">
        <v>2994</v>
      </c>
      <c r="G11" s="14">
        <v>2079</v>
      </c>
      <c r="H11" s="14">
        <v>1663.2</v>
      </c>
      <c r="I11" s="31">
        <f>IF(COUNTIFS(Addendum!C:C,A11,Addendum!D:D,IF(ISNUMBER(B11),TEXT(B11,"0000"),B11),Addendum!E:E,"X")&gt;0,4%,0)</f>
        <v>0.04</v>
      </c>
      <c r="J11" s="31">
        <f>IF(COUNTIFS(Addendum!C:C,A11,Addendum!D:D,IF(ISNUMBER(B11),TEXT(B11,"0000"),B11),Addendum!F:F,"X")&gt;0,2.5%,0)</f>
        <v>0</v>
      </c>
      <c r="K11" s="31">
        <f>IF(COUNTIFS(Addendum!C:C,A11,Addendum!D:D,IF(ISNUMBER(B11),TEXT(B11,"0000"),B11),Addendum!G:G,"X")&gt;0,7%,0)</f>
        <v>0</v>
      </c>
      <c r="L11" s="31">
        <f>IF(COUNTIFS(Addendum!C:C,A11,Addendum!D:D,IF(ISNUMBER(B11),TEXT(B11,"0000"),B11),Addendum!I:I,"X")&gt;0,10%,0)</f>
        <v>0</v>
      </c>
      <c r="M11" s="34">
        <f t="shared" si="0"/>
        <v>0.01</v>
      </c>
      <c r="N11" s="17">
        <f t="shared" si="1"/>
        <v>1646.568</v>
      </c>
    </row>
    <row r="12" spans="1:14" x14ac:dyDescent="0.25">
      <c r="A12" s="14" t="s">
        <v>1750</v>
      </c>
      <c r="B12" s="14">
        <v>1</v>
      </c>
      <c r="C12" s="15" t="s">
        <v>1751</v>
      </c>
      <c r="D12" s="14" t="s">
        <v>1745</v>
      </c>
      <c r="E12" s="14" t="s">
        <v>1746</v>
      </c>
      <c r="F12" s="17" t="s">
        <v>2993</v>
      </c>
      <c r="G12" s="14">
        <v>2079</v>
      </c>
      <c r="H12" s="14">
        <v>1663.2</v>
      </c>
      <c r="I12" s="31">
        <f>IF(COUNTIFS(Addendum!C:C,A12,Addendum!D:D,IF(ISNUMBER(B12),TEXT(B12,"0000"),B12),Addendum!E:E,"X")&gt;0,4%,0)</f>
        <v>0</v>
      </c>
      <c r="J12" s="31">
        <f>IF(COUNTIFS(Addendum!C:C,A12,Addendum!D:D,IF(ISNUMBER(B12),TEXT(B12,"0000"),B12),Addendum!F:F,"X")&gt;0,2.5%,0)</f>
        <v>0</v>
      </c>
      <c r="K12" s="31">
        <f>IF(COUNTIFS(Addendum!C:C,A12,Addendum!D:D,IF(ISNUMBER(B12),TEXT(B12,"0000"),B12),Addendum!G:G,"X")&gt;0,7%,0)</f>
        <v>0</v>
      </c>
      <c r="L12" s="31">
        <f>IF(COUNTIFS(Addendum!C:C,A12,Addendum!D:D,IF(ISNUMBER(B12),TEXT(B12,"0000"),B12),Addendum!I:I,"X")&gt;0,10%,0)</f>
        <v>0</v>
      </c>
      <c r="M12" s="34">
        <f t="shared" si="0"/>
        <v>0</v>
      </c>
      <c r="N12" s="17">
        <f t="shared" si="1"/>
        <v>1663.2</v>
      </c>
    </row>
    <row r="13" spans="1:14" x14ac:dyDescent="0.25">
      <c r="A13" s="14" t="s">
        <v>1750</v>
      </c>
      <c r="B13" s="14">
        <v>1</v>
      </c>
      <c r="C13" s="15" t="s">
        <v>1751</v>
      </c>
      <c r="D13" s="14" t="s">
        <v>1752</v>
      </c>
      <c r="E13" s="14" t="s">
        <v>1753</v>
      </c>
      <c r="F13" s="17" t="s">
        <v>2993</v>
      </c>
      <c r="G13" s="14">
        <v>5940</v>
      </c>
      <c r="H13" s="14">
        <v>4752</v>
      </c>
      <c r="I13" s="31">
        <f>IF(COUNTIFS(Addendum!C:C,A13,Addendum!D:D,IF(ISNUMBER(B13),TEXT(B13,"0000"),B13),Addendum!E:E,"X")&gt;0,4%,0)</f>
        <v>0</v>
      </c>
      <c r="J13" s="31">
        <f>IF(COUNTIFS(Addendum!C:C,A13,Addendum!D:D,IF(ISNUMBER(B13),TEXT(B13,"0000"),B13),Addendum!F:F,"X")&gt;0,2.5%,0)</f>
        <v>0</v>
      </c>
      <c r="K13" s="31">
        <f>IF(COUNTIFS(Addendum!C:C,A13,Addendum!D:D,IF(ISNUMBER(B13),TEXT(B13,"0000"),B13),Addendum!G:G,"X")&gt;0,7%,0)</f>
        <v>0</v>
      </c>
      <c r="L13" s="31">
        <f>IF(COUNTIFS(Addendum!C:C,A13,Addendum!D:D,IF(ISNUMBER(B13),TEXT(B13,"0000"),B13),Addendum!I:I,"X")&gt;0,10%,0)</f>
        <v>0</v>
      </c>
      <c r="M13" s="34">
        <f t="shared" si="0"/>
        <v>0</v>
      </c>
      <c r="N13" s="17">
        <f t="shared" si="1"/>
        <v>4752</v>
      </c>
    </row>
    <row r="14" spans="1:14" x14ac:dyDescent="0.25">
      <c r="A14" s="14" t="s">
        <v>1750</v>
      </c>
      <c r="B14" s="14">
        <v>1</v>
      </c>
      <c r="C14" s="15" t="s">
        <v>1751</v>
      </c>
      <c r="D14" s="14" t="s">
        <v>1745</v>
      </c>
      <c r="E14" s="14" t="s">
        <v>1747</v>
      </c>
      <c r="F14" s="17" t="s">
        <v>2993</v>
      </c>
      <c r="G14" s="14">
        <v>1980</v>
      </c>
      <c r="H14" s="14">
        <v>1584</v>
      </c>
      <c r="I14" s="31">
        <f>IF(COUNTIFS(Addendum!C:C,A14,Addendum!D:D,IF(ISNUMBER(B14),TEXT(B14,"0000"),B14),Addendum!E:E,"X")&gt;0,4%,0)</f>
        <v>0</v>
      </c>
      <c r="J14" s="31">
        <f>IF(COUNTIFS(Addendum!C:C,A14,Addendum!D:D,IF(ISNUMBER(B14),TEXT(B14,"0000"),B14),Addendum!F:F,"X")&gt;0,2.5%,0)</f>
        <v>0</v>
      </c>
      <c r="K14" s="31">
        <f>IF(COUNTIFS(Addendum!C:C,A14,Addendum!D:D,IF(ISNUMBER(B14),TEXT(B14,"0000"),B14),Addendum!G:G,"X")&gt;0,7%,0)</f>
        <v>0</v>
      </c>
      <c r="L14" s="31">
        <f>IF(COUNTIFS(Addendum!C:C,A14,Addendum!D:D,IF(ISNUMBER(B14),TEXT(B14,"0000"),B14),Addendum!I:I,"X")&gt;0,10%,0)</f>
        <v>0</v>
      </c>
      <c r="M14" s="34">
        <f t="shared" si="0"/>
        <v>0</v>
      </c>
      <c r="N14" s="17">
        <f t="shared" si="1"/>
        <v>1584</v>
      </c>
    </row>
    <row r="15" spans="1:14" x14ac:dyDescent="0.25">
      <c r="A15" s="14" t="s">
        <v>1750</v>
      </c>
      <c r="B15" s="14">
        <v>1</v>
      </c>
      <c r="C15" s="15" t="s">
        <v>1751</v>
      </c>
      <c r="D15" s="14" t="s">
        <v>1752</v>
      </c>
      <c r="E15" s="14" t="s">
        <v>1747</v>
      </c>
      <c r="F15" s="17" t="s">
        <v>2993</v>
      </c>
      <c r="G15" s="14">
        <v>5940</v>
      </c>
      <c r="H15" s="14">
        <v>4752</v>
      </c>
      <c r="I15" s="31">
        <f>IF(COUNTIFS(Addendum!C:C,A15,Addendum!D:D,IF(ISNUMBER(B15),TEXT(B15,"0000"),B15),Addendum!E:E,"X")&gt;0,4%,0)</f>
        <v>0</v>
      </c>
      <c r="J15" s="31">
        <f>IF(COUNTIFS(Addendum!C:C,A15,Addendum!D:D,IF(ISNUMBER(B15),TEXT(B15,"0000"),B15),Addendum!F:F,"X")&gt;0,2.5%,0)</f>
        <v>0</v>
      </c>
      <c r="K15" s="31">
        <f>IF(COUNTIFS(Addendum!C:C,A15,Addendum!D:D,IF(ISNUMBER(B15),TEXT(B15,"0000"),B15),Addendum!G:G,"X")&gt;0,7%,0)</f>
        <v>0</v>
      </c>
      <c r="L15" s="31">
        <f>IF(COUNTIFS(Addendum!C:C,A15,Addendum!D:D,IF(ISNUMBER(B15),TEXT(B15,"0000"),B15),Addendum!I:I,"X")&gt;0,10%,0)</f>
        <v>0</v>
      </c>
      <c r="M15" s="34">
        <f t="shared" si="0"/>
        <v>0</v>
      </c>
      <c r="N15" s="17">
        <f t="shared" si="1"/>
        <v>4752</v>
      </c>
    </row>
    <row r="16" spans="1:14" x14ac:dyDescent="0.25">
      <c r="A16" s="14" t="s">
        <v>26</v>
      </c>
      <c r="B16" s="14" t="s">
        <v>16</v>
      </c>
      <c r="C16" s="15" t="s">
        <v>1754</v>
      </c>
      <c r="D16" s="14" t="s">
        <v>1745</v>
      </c>
      <c r="E16" s="14" t="s">
        <v>1746</v>
      </c>
      <c r="F16" s="17" t="s">
        <v>2995</v>
      </c>
      <c r="G16" s="14">
        <v>5040</v>
      </c>
      <c r="H16" s="14">
        <v>4536</v>
      </c>
      <c r="I16" s="31">
        <f>IF(COUNTIFS(Addendum!C:C,A16,Addendum!D:D,IF(ISNUMBER(B16),TEXT(B16,"0000"),B16),Addendum!E:E,"X")&gt;0,4%,0)</f>
        <v>0.04</v>
      </c>
      <c r="J16" s="31">
        <f>IF(COUNTIFS(Addendum!C:C,A16,Addendum!D:D,IF(ISNUMBER(B16),TEXT(B16,"0000"),B16),Addendum!F:F,"X")&gt;0,2.5%,0)</f>
        <v>0</v>
      </c>
      <c r="K16" s="31">
        <f>IF(COUNTIFS(Addendum!C:C,A16,Addendum!D:D,IF(ISNUMBER(B16),TEXT(B16,"0000"),B16),Addendum!G:G,"X")&gt;0,7%,0)</f>
        <v>0</v>
      </c>
      <c r="L16" s="31">
        <f>IF(COUNTIFS(Addendum!C:C,A16,Addendum!D:D,IF(ISNUMBER(B16),TEXT(B16,"0000"),B16),Addendum!I:I,"X")&gt;0,10%,0)</f>
        <v>0</v>
      </c>
      <c r="M16" s="34">
        <f t="shared" si="0"/>
        <v>0.01</v>
      </c>
      <c r="N16" s="17">
        <f t="shared" si="1"/>
        <v>4490.6400000000003</v>
      </c>
    </row>
    <row r="17" spans="1:14" x14ac:dyDescent="0.25">
      <c r="A17" s="14" t="s">
        <v>26</v>
      </c>
      <c r="B17" s="14" t="s">
        <v>24</v>
      </c>
      <c r="C17" s="15" t="s">
        <v>1755</v>
      </c>
      <c r="D17" s="14" t="s">
        <v>1745</v>
      </c>
      <c r="E17" s="14" t="s">
        <v>1746</v>
      </c>
      <c r="F17" s="17" t="s">
        <v>2994</v>
      </c>
      <c r="G17" s="14">
        <v>1890</v>
      </c>
      <c r="H17" s="14">
        <v>1512</v>
      </c>
      <c r="I17" s="31">
        <f>IF(COUNTIFS(Addendum!C:C,A17,Addendum!D:D,IF(ISNUMBER(B17),TEXT(B17,"0000"),B17),Addendum!E:E,"X")&gt;0,4%,0)</f>
        <v>0.04</v>
      </c>
      <c r="J17" s="31">
        <f>IF(COUNTIFS(Addendum!C:C,A17,Addendum!D:D,IF(ISNUMBER(B17),TEXT(B17,"0000"),B17),Addendum!F:F,"X")&gt;0,2.5%,0)</f>
        <v>0</v>
      </c>
      <c r="K17" s="31">
        <f>IF(COUNTIFS(Addendum!C:C,A17,Addendum!D:D,IF(ISNUMBER(B17),TEXT(B17,"0000"),B17),Addendum!G:G,"X")&gt;0,7%,0)</f>
        <v>0</v>
      </c>
      <c r="L17" s="31">
        <f>IF(COUNTIFS(Addendum!C:C,A17,Addendum!D:D,IF(ISNUMBER(B17),TEXT(B17,"0000"),B17),Addendum!I:I,"X")&gt;0,10%,0)</f>
        <v>0</v>
      </c>
      <c r="M17" s="34">
        <f t="shared" si="0"/>
        <v>0.01</v>
      </c>
      <c r="N17" s="17">
        <f t="shared" si="1"/>
        <v>1496.88</v>
      </c>
    </row>
    <row r="18" spans="1:14" x14ac:dyDescent="0.25">
      <c r="A18" s="14" t="s">
        <v>26</v>
      </c>
      <c r="B18" s="14" t="s">
        <v>20</v>
      </c>
      <c r="C18" s="15" t="s">
        <v>1756</v>
      </c>
      <c r="D18" s="14" t="s">
        <v>1745</v>
      </c>
      <c r="E18" s="14" t="s">
        <v>1746</v>
      </c>
      <c r="F18" s="17" t="s">
        <v>2994</v>
      </c>
      <c r="G18" s="14">
        <v>2520</v>
      </c>
      <c r="H18" s="14">
        <v>2016</v>
      </c>
      <c r="I18" s="31">
        <f>IF(COUNTIFS(Addendum!C:C,A18,Addendum!D:D,IF(ISNUMBER(B18),TEXT(B18,"0000"),B18),Addendum!E:E,"X")&gt;0,4%,0)</f>
        <v>0.04</v>
      </c>
      <c r="J18" s="31">
        <f>IF(COUNTIFS(Addendum!C:C,A18,Addendum!D:D,IF(ISNUMBER(B18),TEXT(B18,"0000"),B18),Addendum!F:F,"X")&gt;0,2.5%,0)</f>
        <v>0</v>
      </c>
      <c r="K18" s="31">
        <f>IF(COUNTIFS(Addendum!C:C,A18,Addendum!D:D,IF(ISNUMBER(B18),TEXT(B18,"0000"),B18),Addendum!G:G,"X")&gt;0,7%,0)</f>
        <v>0</v>
      </c>
      <c r="L18" s="31">
        <f>IF(COUNTIFS(Addendum!C:C,A18,Addendum!D:D,IF(ISNUMBER(B18),TEXT(B18,"0000"),B18),Addendum!I:I,"X")&gt;0,10%,0)</f>
        <v>0</v>
      </c>
      <c r="M18" s="34">
        <f t="shared" si="0"/>
        <v>0.01</v>
      </c>
      <c r="N18" s="17">
        <f t="shared" si="1"/>
        <v>1995.84</v>
      </c>
    </row>
    <row r="19" spans="1:14" x14ac:dyDescent="0.25">
      <c r="A19" s="14" t="s">
        <v>26</v>
      </c>
      <c r="B19" s="14" t="s">
        <v>20</v>
      </c>
      <c r="C19" s="15" t="s">
        <v>1756</v>
      </c>
      <c r="D19" s="14" t="s">
        <v>1745</v>
      </c>
      <c r="E19" s="14" t="s">
        <v>1747</v>
      </c>
      <c r="F19" s="17" t="s">
        <v>2994</v>
      </c>
      <c r="G19" s="14">
        <v>2400</v>
      </c>
      <c r="H19" s="14">
        <v>1920</v>
      </c>
      <c r="I19" s="31">
        <f>IF(COUNTIFS(Addendum!C:C,A19,Addendum!D:D,IF(ISNUMBER(B19),TEXT(B19,"0000"),B19),Addendum!E:E,"X")&gt;0,4%,0)</f>
        <v>0.04</v>
      </c>
      <c r="J19" s="31">
        <f>IF(COUNTIFS(Addendum!C:C,A19,Addendum!D:D,IF(ISNUMBER(B19),TEXT(B19,"0000"),B19),Addendum!F:F,"X")&gt;0,2.5%,0)</f>
        <v>0</v>
      </c>
      <c r="K19" s="31">
        <f>IF(COUNTIFS(Addendum!C:C,A19,Addendum!D:D,IF(ISNUMBER(B19),TEXT(B19,"0000"),B19),Addendum!G:G,"X")&gt;0,7%,0)</f>
        <v>0</v>
      </c>
      <c r="L19" s="31">
        <f>IF(COUNTIFS(Addendum!C:C,A19,Addendum!D:D,IF(ISNUMBER(B19),TEXT(B19,"0000"),B19),Addendum!I:I,"X")&gt;0,10%,0)</f>
        <v>0</v>
      </c>
      <c r="M19" s="34">
        <f t="shared" si="0"/>
        <v>0.03</v>
      </c>
      <c r="N19" s="17">
        <f t="shared" si="1"/>
        <v>1862.4</v>
      </c>
    </row>
    <row r="20" spans="1:14" x14ac:dyDescent="0.25">
      <c r="A20" s="14" t="s">
        <v>26</v>
      </c>
      <c r="B20" s="14" t="s">
        <v>16</v>
      </c>
      <c r="C20" s="15" t="s">
        <v>1754</v>
      </c>
      <c r="D20" s="14" t="s">
        <v>1749</v>
      </c>
      <c r="E20" s="14" t="s">
        <v>1746</v>
      </c>
      <c r="F20" s="17" t="s">
        <v>2995</v>
      </c>
      <c r="G20" s="14">
        <v>480</v>
      </c>
      <c r="H20" s="14">
        <v>432</v>
      </c>
      <c r="I20" s="31">
        <f>IF(COUNTIFS(Addendum!C:C,A20,Addendum!D:D,IF(ISNUMBER(B20),TEXT(B20,"0000"),B20),Addendum!E:E,"X")&gt;0,4%,0)</f>
        <v>0.04</v>
      </c>
      <c r="J20" s="31">
        <f>IF(COUNTIFS(Addendum!C:C,A20,Addendum!D:D,IF(ISNUMBER(B20),TEXT(B20,"0000"),B20),Addendum!F:F,"X")&gt;0,2.5%,0)</f>
        <v>0</v>
      </c>
      <c r="K20" s="31">
        <f>IF(COUNTIFS(Addendum!C:C,A20,Addendum!D:D,IF(ISNUMBER(B20),TEXT(B20,"0000"),B20),Addendum!G:G,"X")&gt;0,7%,0)</f>
        <v>0</v>
      </c>
      <c r="L20" s="31">
        <f>IF(COUNTIFS(Addendum!C:C,A20,Addendum!D:D,IF(ISNUMBER(B20),TEXT(B20,"0000"),B20),Addendum!I:I,"X")&gt;0,10%,0)</f>
        <v>0</v>
      </c>
      <c r="M20" s="34">
        <f t="shared" si="0"/>
        <v>0.01</v>
      </c>
      <c r="N20" s="17">
        <f t="shared" si="1"/>
        <v>427.68</v>
      </c>
    </row>
    <row r="21" spans="1:14" x14ac:dyDescent="0.25">
      <c r="A21" s="14" t="s">
        <v>26</v>
      </c>
      <c r="B21" s="14" t="s">
        <v>24</v>
      </c>
      <c r="C21" s="15" t="s">
        <v>1755</v>
      </c>
      <c r="D21" s="14" t="s">
        <v>1749</v>
      </c>
      <c r="E21" s="14" t="s">
        <v>1746</v>
      </c>
      <c r="F21" s="17" t="s">
        <v>2994</v>
      </c>
      <c r="G21" s="14">
        <v>180</v>
      </c>
      <c r="H21" s="14">
        <v>144</v>
      </c>
      <c r="I21" s="31">
        <f>IF(COUNTIFS(Addendum!C:C,A21,Addendum!D:D,IF(ISNUMBER(B21),TEXT(B21,"0000"),B21),Addendum!E:E,"X")&gt;0,4%,0)</f>
        <v>0.04</v>
      </c>
      <c r="J21" s="31">
        <f>IF(COUNTIFS(Addendum!C:C,A21,Addendum!D:D,IF(ISNUMBER(B21),TEXT(B21,"0000"),B21),Addendum!F:F,"X")&gt;0,2.5%,0)</f>
        <v>0</v>
      </c>
      <c r="K21" s="31">
        <f>IF(COUNTIFS(Addendum!C:C,A21,Addendum!D:D,IF(ISNUMBER(B21),TEXT(B21,"0000"),B21),Addendum!G:G,"X")&gt;0,7%,0)</f>
        <v>0</v>
      </c>
      <c r="L21" s="31">
        <f>IF(COUNTIFS(Addendum!C:C,A21,Addendum!D:D,IF(ISNUMBER(B21),TEXT(B21,"0000"),B21),Addendum!I:I,"X")&gt;0,10%,0)</f>
        <v>0</v>
      </c>
      <c r="M21" s="34">
        <f t="shared" si="0"/>
        <v>0.01</v>
      </c>
      <c r="N21" s="17">
        <f t="shared" si="1"/>
        <v>142.56</v>
      </c>
    </row>
    <row r="22" spans="1:14" x14ac:dyDescent="0.25">
      <c r="A22" s="14" t="s">
        <v>26</v>
      </c>
      <c r="B22" s="14">
        <v>1</v>
      </c>
      <c r="C22" s="15" t="s">
        <v>25</v>
      </c>
      <c r="D22" s="14" t="s">
        <v>1749</v>
      </c>
      <c r="E22" s="14" t="s">
        <v>1746</v>
      </c>
      <c r="F22" s="17" t="s">
        <v>2993</v>
      </c>
      <c r="G22" s="14">
        <v>1200</v>
      </c>
      <c r="H22" s="14">
        <v>960</v>
      </c>
      <c r="I22" s="31">
        <f>IF(COUNTIFS(Addendum!C:C,A22,Addendum!D:D,IF(ISNUMBER(B22),TEXT(B22,"0000"),B22),Addendum!E:E,"X")&gt;0,4%,0)</f>
        <v>0.04</v>
      </c>
      <c r="J22" s="31">
        <f>IF(COUNTIFS(Addendum!C:C,A22,Addendum!D:D,IF(ISNUMBER(B22),TEXT(B22,"0000"),B22),Addendum!F:F,"X")&gt;0,2.5%,0)</f>
        <v>0</v>
      </c>
      <c r="K22" s="31">
        <f>IF(COUNTIFS(Addendum!C:C,A22,Addendum!D:D,IF(ISNUMBER(B22),TEXT(B22,"0000"),B22),Addendum!G:G,"X")&gt;0,7%,0)</f>
        <v>0</v>
      </c>
      <c r="L22" s="31">
        <f>IF(COUNTIFS(Addendum!C:C,A22,Addendum!D:D,IF(ISNUMBER(B22),TEXT(B22,"0000"),B22),Addendum!I:I,"X")&gt;0,10%,0)</f>
        <v>0</v>
      </c>
      <c r="M22" s="34">
        <f t="shared" si="0"/>
        <v>0.01</v>
      </c>
      <c r="N22" s="17">
        <f t="shared" si="1"/>
        <v>950.4</v>
      </c>
    </row>
    <row r="23" spans="1:14" x14ac:dyDescent="0.25">
      <c r="A23" s="14" t="s">
        <v>26</v>
      </c>
      <c r="B23" s="14" t="s">
        <v>16</v>
      </c>
      <c r="C23" s="15" t="s">
        <v>1754</v>
      </c>
      <c r="D23" s="14" t="s">
        <v>1745</v>
      </c>
      <c r="E23" s="14" t="s">
        <v>1747</v>
      </c>
      <c r="F23" s="17" t="s">
        <v>2995</v>
      </c>
      <c r="G23" s="14">
        <v>4800</v>
      </c>
      <c r="H23" s="14">
        <v>4320</v>
      </c>
      <c r="I23" s="31">
        <f>IF(COUNTIFS(Addendum!C:C,A23,Addendum!D:D,IF(ISNUMBER(B23),TEXT(B23,"0000"),B23),Addendum!E:E,"X")&gt;0,4%,0)</f>
        <v>0.04</v>
      </c>
      <c r="J23" s="31">
        <f>IF(COUNTIFS(Addendum!C:C,A23,Addendum!D:D,IF(ISNUMBER(B23),TEXT(B23,"0000"),B23),Addendum!F:F,"X")&gt;0,2.5%,0)</f>
        <v>0</v>
      </c>
      <c r="K23" s="31">
        <f>IF(COUNTIFS(Addendum!C:C,A23,Addendum!D:D,IF(ISNUMBER(B23),TEXT(B23,"0000"),B23),Addendum!G:G,"X")&gt;0,7%,0)</f>
        <v>0</v>
      </c>
      <c r="L23" s="31">
        <f>IF(COUNTIFS(Addendum!C:C,A23,Addendum!D:D,IF(ISNUMBER(B23),TEXT(B23,"0000"),B23),Addendum!I:I,"X")&gt;0,10%,0)</f>
        <v>0</v>
      </c>
      <c r="M23" s="34">
        <f t="shared" si="0"/>
        <v>0.03</v>
      </c>
      <c r="N23" s="17">
        <f t="shared" si="1"/>
        <v>4190.3999999999996</v>
      </c>
    </row>
    <row r="24" spans="1:14" x14ac:dyDescent="0.25">
      <c r="A24" s="14" t="s">
        <v>26</v>
      </c>
      <c r="B24" s="14">
        <v>1</v>
      </c>
      <c r="C24" s="15" t="s">
        <v>25</v>
      </c>
      <c r="D24" s="14" t="s">
        <v>1745</v>
      </c>
      <c r="E24" s="14" t="s">
        <v>1747</v>
      </c>
      <c r="F24" s="17" t="s">
        <v>2993</v>
      </c>
      <c r="G24" s="14">
        <v>12000</v>
      </c>
      <c r="H24" s="14">
        <v>9600</v>
      </c>
      <c r="I24" s="31">
        <f>IF(COUNTIFS(Addendum!C:C,A24,Addendum!D:D,IF(ISNUMBER(B24),TEXT(B24,"0000"),B24),Addendum!E:E,"X")&gt;0,4%,0)</f>
        <v>0.04</v>
      </c>
      <c r="J24" s="31">
        <f>IF(COUNTIFS(Addendum!C:C,A24,Addendum!D:D,IF(ISNUMBER(B24),TEXT(B24,"0000"),B24),Addendum!F:F,"X")&gt;0,2.5%,0)</f>
        <v>0</v>
      </c>
      <c r="K24" s="31">
        <f>IF(COUNTIFS(Addendum!C:C,A24,Addendum!D:D,IF(ISNUMBER(B24),TEXT(B24,"0000"),B24),Addendum!G:G,"X")&gt;0,7%,0)</f>
        <v>0</v>
      </c>
      <c r="L24" s="31">
        <f>IF(COUNTIFS(Addendum!C:C,A24,Addendum!D:D,IF(ISNUMBER(B24),TEXT(B24,"0000"),B24),Addendum!I:I,"X")&gt;0,10%,0)</f>
        <v>0</v>
      </c>
      <c r="M24" s="34">
        <f t="shared" si="0"/>
        <v>0.03</v>
      </c>
      <c r="N24" s="17">
        <f t="shared" si="1"/>
        <v>9312</v>
      </c>
    </row>
    <row r="25" spans="1:14" x14ac:dyDescent="0.25">
      <c r="A25" s="14" t="s">
        <v>26</v>
      </c>
      <c r="B25" s="14">
        <v>1</v>
      </c>
      <c r="C25" s="15" t="s">
        <v>25</v>
      </c>
      <c r="D25" s="14" t="s">
        <v>1745</v>
      </c>
      <c r="E25" s="14" t="s">
        <v>1746</v>
      </c>
      <c r="F25" s="17" t="s">
        <v>2993</v>
      </c>
      <c r="G25" s="14">
        <v>12600</v>
      </c>
      <c r="H25" s="14">
        <v>10080</v>
      </c>
      <c r="I25" s="31">
        <f>IF(COUNTIFS(Addendum!C:C,A25,Addendum!D:D,IF(ISNUMBER(B25),TEXT(B25,"0000"),B25),Addendum!E:E,"X")&gt;0,4%,0)</f>
        <v>0.04</v>
      </c>
      <c r="J25" s="31">
        <f>IF(COUNTIFS(Addendum!C:C,A25,Addendum!D:D,IF(ISNUMBER(B25),TEXT(B25,"0000"),B25),Addendum!F:F,"X")&gt;0,2.5%,0)</f>
        <v>0</v>
      </c>
      <c r="K25" s="31">
        <f>IF(COUNTIFS(Addendum!C:C,A25,Addendum!D:D,IF(ISNUMBER(B25),TEXT(B25,"0000"),B25),Addendum!G:G,"X")&gt;0,7%,0)</f>
        <v>0</v>
      </c>
      <c r="L25" s="31">
        <f>IF(COUNTIFS(Addendum!C:C,A25,Addendum!D:D,IF(ISNUMBER(B25),TEXT(B25,"0000"),B25),Addendum!I:I,"X")&gt;0,10%,0)</f>
        <v>0</v>
      </c>
      <c r="M25" s="34">
        <f t="shared" si="0"/>
        <v>0.01</v>
      </c>
      <c r="N25" s="17">
        <f t="shared" si="1"/>
        <v>9979.2000000000007</v>
      </c>
    </row>
    <row r="26" spans="1:14" x14ac:dyDescent="0.25">
      <c r="A26" s="14" t="s">
        <v>26</v>
      </c>
      <c r="B26" s="14" t="s">
        <v>24</v>
      </c>
      <c r="C26" s="15" t="s">
        <v>1755</v>
      </c>
      <c r="D26" s="14" t="s">
        <v>1745</v>
      </c>
      <c r="E26" s="14" t="s">
        <v>1747</v>
      </c>
      <c r="F26" s="17" t="s">
        <v>2994</v>
      </c>
      <c r="G26" s="14">
        <v>1800</v>
      </c>
      <c r="H26" s="14">
        <v>1440</v>
      </c>
      <c r="I26" s="31">
        <f>IF(COUNTIFS(Addendum!C:C,A26,Addendum!D:D,IF(ISNUMBER(B26),TEXT(B26,"0000"),B26),Addendum!E:E,"X")&gt;0,4%,0)</f>
        <v>0.04</v>
      </c>
      <c r="J26" s="31">
        <f>IF(COUNTIFS(Addendum!C:C,A26,Addendum!D:D,IF(ISNUMBER(B26),TEXT(B26,"0000"),B26),Addendum!F:F,"X")&gt;0,2.5%,0)</f>
        <v>0</v>
      </c>
      <c r="K26" s="31">
        <f>IF(COUNTIFS(Addendum!C:C,A26,Addendum!D:D,IF(ISNUMBER(B26),TEXT(B26,"0000"),B26),Addendum!G:G,"X")&gt;0,7%,0)</f>
        <v>0</v>
      </c>
      <c r="L26" s="31">
        <f>IF(COUNTIFS(Addendum!C:C,A26,Addendum!D:D,IF(ISNUMBER(B26),TEXT(B26,"0000"),B26),Addendum!I:I,"X")&gt;0,10%,0)</f>
        <v>0</v>
      </c>
      <c r="M26" s="34">
        <f t="shared" si="0"/>
        <v>0.03</v>
      </c>
      <c r="N26" s="17">
        <f t="shared" si="1"/>
        <v>1396.8</v>
      </c>
    </row>
    <row r="27" spans="1:14" x14ac:dyDescent="0.25">
      <c r="A27" s="14" t="s">
        <v>26</v>
      </c>
      <c r="B27" s="14" t="s">
        <v>20</v>
      </c>
      <c r="C27" s="15" t="s">
        <v>1756</v>
      </c>
      <c r="D27" s="14" t="s">
        <v>1749</v>
      </c>
      <c r="E27" s="14" t="s">
        <v>1746</v>
      </c>
      <c r="F27" s="17" t="s">
        <v>2994</v>
      </c>
      <c r="G27" s="14">
        <v>240</v>
      </c>
      <c r="H27" s="14">
        <v>192</v>
      </c>
      <c r="I27" s="31">
        <f>IF(COUNTIFS(Addendum!C:C,A27,Addendum!D:D,IF(ISNUMBER(B27),TEXT(B27,"0000"),B27),Addendum!E:E,"X")&gt;0,4%,0)</f>
        <v>0.04</v>
      </c>
      <c r="J27" s="31">
        <f>IF(COUNTIFS(Addendum!C:C,A27,Addendum!D:D,IF(ISNUMBER(B27),TEXT(B27,"0000"),B27),Addendum!F:F,"X")&gt;0,2.5%,0)</f>
        <v>0</v>
      </c>
      <c r="K27" s="31">
        <f>IF(COUNTIFS(Addendum!C:C,A27,Addendum!D:D,IF(ISNUMBER(B27),TEXT(B27,"0000"),B27),Addendum!G:G,"X")&gt;0,7%,0)</f>
        <v>0</v>
      </c>
      <c r="L27" s="31">
        <f>IF(COUNTIFS(Addendum!C:C,A27,Addendum!D:D,IF(ISNUMBER(B27),TEXT(B27,"0000"),B27),Addendum!I:I,"X")&gt;0,10%,0)</f>
        <v>0</v>
      </c>
      <c r="M27" s="34">
        <f t="shared" si="0"/>
        <v>0.01</v>
      </c>
      <c r="N27" s="17">
        <f t="shared" si="1"/>
        <v>190.08</v>
      </c>
    </row>
    <row r="28" spans="1:14" x14ac:dyDescent="0.25">
      <c r="A28" s="14" t="s">
        <v>1757</v>
      </c>
      <c r="B28" s="14">
        <v>4</v>
      </c>
      <c r="C28" s="15" t="s">
        <v>1758</v>
      </c>
      <c r="D28" s="14" t="s">
        <v>1749</v>
      </c>
      <c r="E28" s="14" t="s">
        <v>1746</v>
      </c>
      <c r="F28" s="17" t="s">
        <v>2994</v>
      </c>
      <c r="G28" s="14">
        <v>1998</v>
      </c>
      <c r="H28" s="14">
        <v>1598.4</v>
      </c>
      <c r="I28" s="31">
        <f>IF(COUNTIFS(Addendum!C:C,A28,Addendum!D:D,IF(ISNUMBER(B28),TEXT(B28,"0000"),B28),Addendum!E:E,"X")&gt;0,4%,0)</f>
        <v>0</v>
      </c>
      <c r="J28" s="31">
        <f>IF(COUNTIFS(Addendum!C:C,A28,Addendum!D:D,IF(ISNUMBER(B28),TEXT(B28,"0000"),B28),Addendum!F:F,"X")&gt;0,2.5%,0)</f>
        <v>0</v>
      </c>
      <c r="K28" s="31">
        <f>IF(COUNTIFS(Addendum!C:C,A28,Addendum!D:D,IF(ISNUMBER(B28),TEXT(B28,"0000"),B28),Addendum!G:G,"X")&gt;0,7%,0)</f>
        <v>0</v>
      </c>
      <c r="L28" s="31">
        <f>IF(COUNTIFS(Addendum!C:C,A28,Addendum!D:D,IF(ISNUMBER(B28),TEXT(B28,"0000"),B28),Addendum!I:I,"X")&gt;0,10%,0)</f>
        <v>0</v>
      </c>
      <c r="M28" s="34">
        <f t="shared" si="0"/>
        <v>0</v>
      </c>
      <c r="N28" s="17">
        <f t="shared" si="1"/>
        <v>1598.4</v>
      </c>
    </row>
    <row r="29" spans="1:14" x14ac:dyDescent="0.25">
      <c r="A29" s="14" t="s">
        <v>1757</v>
      </c>
      <c r="B29" s="14">
        <v>4</v>
      </c>
      <c r="C29" s="15" t="s">
        <v>1758</v>
      </c>
      <c r="D29" s="14" t="s">
        <v>1745</v>
      </c>
      <c r="E29" s="14" t="s">
        <v>1746</v>
      </c>
      <c r="F29" s="17" t="s">
        <v>2994</v>
      </c>
      <c r="G29" s="14">
        <v>20979</v>
      </c>
      <c r="H29" s="14">
        <v>16783.2</v>
      </c>
      <c r="I29" s="31">
        <f>IF(COUNTIFS(Addendum!C:C,A29,Addendum!D:D,IF(ISNUMBER(B29),TEXT(B29,"0000"),B29),Addendum!E:E,"X")&gt;0,4%,0)</f>
        <v>0</v>
      </c>
      <c r="J29" s="31">
        <f>IF(COUNTIFS(Addendum!C:C,A29,Addendum!D:D,IF(ISNUMBER(B29),TEXT(B29,"0000"),B29),Addendum!F:F,"X")&gt;0,2.5%,0)</f>
        <v>0</v>
      </c>
      <c r="K29" s="31">
        <f>IF(COUNTIFS(Addendum!C:C,A29,Addendum!D:D,IF(ISNUMBER(B29),TEXT(B29,"0000"),B29),Addendum!G:G,"X")&gt;0,7%,0)</f>
        <v>0</v>
      </c>
      <c r="L29" s="31">
        <f>IF(COUNTIFS(Addendum!C:C,A29,Addendum!D:D,IF(ISNUMBER(B29),TEXT(B29,"0000"),B29),Addendum!I:I,"X")&gt;0,10%,0)</f>
        <v>0</v>
      </c>
      <c r="M29" s="34">
        <f t="shared" si="0"/>
        <v>0</v>
      </c>
      <c r="N29" s="17">
        <f t="shared" si="1"/>
        <v>16783.2</v>
      </c>
    </row>
    <row r="30" spans="1:14" x14ac:dyDescent="0.25">
      <c r="A30" s="14" t="s">
        <v>1757</v>
      </c>
      <c r="B30" s="14">
        <v>4</v>
      </c>
      <c r="C30" s="15" t="s">
        <v>1758</v>
      </c>
      <c r="D30" s="14" t="s">
        <v>1745</v>
      </c>
      <c r="E30" s="14" t="s">
        <v>1747</v>
      </c>
      <c r="F30" s="17" t="s">
        <v>2994</v>
      </c>
      <c r="G30" s="14">
        <v>19980</v>
      </c>
      <c r="H30" s="14">
        <v>15984</v>
      </c>
      <c r="I30" s="31">
        <f>IF(COUNTIFS(Addendum!C:C,A30,Addendum!D:D,IF(ISNUMBER(B30),TEXT(B30,"0000"),B30),Addendum!E:E,"X")&gt;0,4%,0)</f>
        <v>0</v>
      </c>
      <c r="J30" s="31">
        <f>IF(COUNTIFS(Addendum!C:C,A30,Addendum!D:D,IF(ISNUMBER(B30),TEXT(B30,"0000"),B30),Addendum!F:F,"X")&gt;0,2.5%,0)</f>
        <v>0</v>
      </c>
      <c r="K30" s="31">
        <f>IF(COUNTIFS(Addendum!C:C,A30,Addendum!D:D,IF(ISNUMBER(B30),TEXT(B30,"0000"),B30),Addendum!G:G,"X")&gt;0,7%,0)</f>
        <v>0</v>
      </c>
      <c r="L30" s="31">
        <f>IF(COUNTIFS(Addendum!C:C,A30,Addendum!D:D,IF(ISNUMBER(B30),TEXT(B30,"0000"),B30),Addendum!I:I,"X")&gt;0,10%,0)</f>
        <v>0</v>
      </c>
      <c r="M30" s="34">
        <f t="shared" si="0"/>
        <v>0</v>
      </c>
      <c r="N30" s="17">
        <f t="shared" si="1"/>
        <v>15984</v>
      </c>
    </row>
    <row r="31" spans="1:14" x14ac:dyDescent="0.25">
      <c r="A31" s="14" t="s">
        <v>1757</v>
      </c>
      <c r="B31" s="14">
        <v>1</v>
      </c>
      <c r="C31" s="15" t="s">
        <v>1759</v>
      </c>
      <c r="D31" s="14" t="s">
        <v>1745</v>
      </c>
      <c r="E31" s="14" t="s">
        <v>1746</v>
      </c>
      <c r="F31" s="17" t="s">
        <v>2993</v>
      </c>
      <c r="G31" s="14">
        <v>104832</v>
      </c>
      <c r="H31" s="14">
        <v>83865.600000000006</v>
      </c>
      <c r="I31" s="31">
        <f>IF(COUNTIFS(Addendum!C:C,A31,Addendum!D:D,IF(ISNUMBER(B31),TEXT(B31,"0000"),B31),Addendum!E:E,"X")&gt;0,4%,0)</f>
        <v>0</v>
      </c>
      <c r="J31" s="31">
        <f>IF(COUNTIFS(Addendum!C:C,A31,Addendum!D:D,IF(ISNUMBER(B31),TEXT(B31,"0000"),B31),Addendum!F:F,"X")&gt;0,2.5%,0)</f>
        <v>0</v>
      </c>
      <c r="K31" s="31">
        <f>IF(COUNTIFS(Addendum!C:C,A31,Addendum!D:D,IF(ISNUMBER(B31),TEXT(B31,"0000"),B31),Addendum!G:G,"X")&gt;0,7%,0)</f>
        <v>0</v>
      </c>
      <c r="L31" s="31">
        <f>IF(COUNTIFS(Addendum!C:C,A31,Addendum!D:D,IF(ISNUMBER(B31),TEXT(B31,"0000"),B31),Addendum!I:I,"X")&gt;0,10%,0)</f>
        <v>0</v>
      </c>
      <c r="M31" s="34">
        <f t="shared" si="0"/>
        <v>0</v>
      </c>
      <c r="N31" s="17">
        <f t="shared" si="1"/>
        <v>83865.600000000006</v>
      </c>
    </row>
    <row r="32" spans="1:14" x14ac:dyDescent="0.25">
      <c r="A32" s="14" t="s">
        <v>1757</v>
      </c>
      <c r="B32" s="14">
        <v>5</v>
      </c>
      <c r="C32" s="15" t="s">
        <v>1760</v>
      </c>
      <c r="D32" s="14" t="s">
        <v>1745</v>
      </c>
      <c r="E32" s="14" t="s">
        <v>1746</v>
      </c>
      <c r="F32" s="17" t="s">
        <v>2995</v>
      </c>
      <c r="G32" s="14">
        <v>41958</v>
      </c>
      <c r="H32" s="14">
        <v>37762.199999999997</v>
      </c>
      <c r="I32" s="31">
        <f>IF(COUNTIFS(Addendum!C:C,A32,Addendum!D:D,IF(ISNUMBER(B32),TEXT(B32,"0000"),B32),Addendum!E:E,"X")&gt;0,4%,0)</f>
        <v>0</v>
      </c>
      <c r="J32" s="31">
        <f>IF(COUNTIFS(Addendum!C:C,A32,Addendum!D:D,IF(ISNUMBER(B32),TEXT(B32,"0000"),B32),Addendum!F:F,"X")&gt;0,2.5%,0)</f>
        <v>0</v>
      </c>
      <c r="K32" s="31">
        <f>IF(COUNTIFS(Addendum!C:C,A32,Addendum!D:D,IF(ISNUMBER(B32),TEXT(B32,"0000"),B32),Addendum!G:G,"X")&gt;0,7%,0)</f>
        <v>0</v>
      </c>
      <c r="L32" s="31">
        <f>IF(COUNTIFS(Addendum!C:C,A32,Addendum!D:D,IF(ISNUMBER(B32),TEXT(B32,"0000"),B32),Addendum!I:I,"X")&gt;0,10%,0)</f>
        <v>0</v>
      </c>
      <c r="M32" s="34">
        <f t="shared" si="0"/>
        <v>0</v>
      </c>
      <c r="N32" s="17">
        <f t="shared" si="1"/>
        <v>37762.199999999997</v>
      </c>
    </row>
    <row r="33" spans="1:14" x14ac:dyDescent="0.25">
      <c r="A33" s="14" t="s">
        <v>1757</v>
      </c>
      <c r="B33" s="14">
        <v>1</v>
      </c>
      <c r="C33" s="15" t="s">
        <v>1759</v>
      </c>
      <c r="D33" s="14" t="s">
        <v>1745</v>
      </c>
      <c r="E33" s="14" t="s">
        <v>1747</v>
      </c>
      <c r="F33" s="17" t="s">
        <v>2993</v>
      </c>
      <c r="G33" s="14">
        <v>99840</v>
      </c>
      <c r="H33" s="14">
        <v>79872</v>
      </c>
      <c r="I33" s="31">
        <f>IF(COUNTIFS(Addendum!C:C,A33,Addendum!D:D,IF(ISNUMBER(B33),TEXT(B33,"0000"),B33),Addendum!E:E,"X")&gt;0,4%,0)</f>
        <v>0</v>
      </c>
      <c r="J33" s="31">
        <f>IF(COUNTIFS(Addendum!C:C,A33,Addendum!D:D,IF(ISNUMBER(B33),TEXT(B33,"0000"),B33),Addendum!F:F,"X")&gt;0,2.5%,0)</f>
        <v>0</v>
      </c>
      <c r="K33" s="31">
        <f>IF(COUNTIFS(Addendum!C:C,A33,Addendum!D:D,IF(ISNUMBER(B33),TEXT(B33,"0000"),B33),Addendum!G:G,"X")&gt;0,7%,0)</f>
        <v>0</v>
      </c>
      <c r="L33" s="31">
        <f>IF(COUNTIFS(Addendum!C:C,A33,Addendum!D:D,IF(ISNUMBER(B33),TEXT(B33,"0000"),B33),Addendum!I:I,"X")&gt;0,10%,0)</f>
        <v>0</v>
      </c>
      <c r="M33" s="34">
        <f t="shared" si="0"/>
        <v>0</v>
      </c>
      <c r="N33" s="17">
        <f t="shared" si="1"/>
        <v>79872</v>
      </c>
    </row>
    <row r="34" spans="1:14" x14ac:dyDescent="0.25">
      <c r="A34" s="14" t="s">
        <v>1757</v>
      </c>
      <c r="B34" s="14">
        <v>5</v>
      </c>
      <c r="C34" s="15" t="s">
        <v>1760</v>
      </c>
      <c r="D34" s="14" t="s">
        <v>1749</v>
      </c>
      <c r="E34" s="14" t="s">
        <v>1746</v>
      </c>
      <c r="F34" s="17" t="s">
        <v>2995</v>
      </c>
      <c r="G34" s="14">
        <v>3996</v>
      </c>
      <c r="H34" s="14">
        <v>3596.4</v>
      </c>
      <c r="I34" s="31">
        <f>IF(COUNTIFS(Addendum!C:C,A34,Addendum!D:D,IF(ISNUMBER(B34),TEXT(B34,"0000"),B34),Addendum!E:E,"X")&gt;0,4%,0)</f>
        <v>0</v>
      </c>
      <c r="J34" s="31">
        <f>IF(COUNTIFS(Addendum!C:C,A34,Addendum!D:D,IF(ISNUMBER(B34),TEXT(B34,"0000"),B34),Addendum!F:F,"X")&gt;0,2.5%,0)</f>
        <v>0</v>
      </c>
      <c r="K34" s="31">
        <f>IF(COUNTIFS(Addendum!C:C,A34,Addendum!D:D,IF(ISNUMBER(B34),TEXT(B34,"0000"),B34),Addendum!G:G,"X")&gt;0,7%,0)</f>
        <v>0</v>
      </c>
      <c r="L34" s="31">
        <f>IF(COUNTIFS(Addendum!C:C,A34,Addendum!D:D,IF(ISNUMBER(B34),TEXT(B34,"0000"),B34),Addendum!I:I,"X")&gt;0,10%,0)</f>
        <v>0</v>
      </c>
      <c r="M34" s="34">
        <f t="shared" si="0"/>
        <v>0</v>
      </c>
      <c r="N34" s="17">
        <f t="shared" si="1"/>
        <v>3596.4</v>
      </c>
    </row>
    <row r="35" spans="1:14" x14ac:dyDescent="0.25">
      <c r="A35" s="14" t="s">
        <v>1757</v>
      </c>
      <c r="B35" s="14">
        <v>5</v>
      </c>
      <c r="C35" s="15" t="s">
        <v>1760</v>
      </c>
      <c r="D35" s="14" t="s">
        <v>1745</v>
      </c>
      <c r="E35" s="14" t="s">
        <v>1747</v>
      </c>
      <c r="F35" s="17" t="s">
        <v>2995</v>
      </c>
      <c r="G35" s="14">
        <v>39960</v>
      </c>
      <c r="H35" s="14">
        <v>35964</v>
      </c>
      <c r="I35" s="31">
        <f>IF(COUNTIFS(Addendum!C:C,A35,Addendum!D:D,IF(ISNUMBER(B35),TEXT(B35,"0000"),B35),Addendum!E:E,"X")&gt;0,4%,0)</f>
        <v>0</v>
      </c>
      <c r="J35" s="31">
        <f>IF(COUNTIFS(Addendum!C:C,A35,Addendum!D:D,IF(ISNUMBER(B35),TEXT(B35,"0000"),B35),Addendum!F:F,"X")&gt;0,2.5%,0)</f>
        <v>0</v>
      </c>
      <c r="K35" s="31">
        <f>IF(COUNTIFS(Addendum!C:C,A35,Addendum!D:D,IF(ISNUMBER(B35),TEXT(B35,"0000"),B35),Addendum!G:G,"X")&gt;0,7%,0)</f>
        <v>0</v>
      </c>
      <c r="L35" s="31">
        <f>IF(COUNTIFS(Addendum!C:C,A35,Addendum!D:D,IF(ISNUMBER(B35),TEXT(B35,"0000"),B35),Addendum!I:I,"X")&gt;0,10%,0)</f>
        <v>0</v>
      </c>
      <c r="M35" s="34">
        <f t="shared" si="0"/>
        <v>0</v>
      </c>
      <c r="N35" s="17">
        <f t="shared" si="1"/>
        <v>35964</v>
      </c>
    </row>
    <row r="36" spans="1:14" x14ac:dyDescent="0.25">
      <c r="A36" s="14" t="s">
        <v>1757</v>
      </c>
      <c r="B36" s="14">
        <v>1</v>
      </c>
      <c r="C36" s="15" t="s">
        <v>1759</v>
      </c>
      <c r="D36" s="14" t="s">
        <v>1749</v>
      </c>
      <c r="E36" s="14" t="s">
        <v>1746</v>
      </c>
      <c r="F36" s="17" t="s">
        <v>2993</v>
      </c>
      <c r="G36" s="14">
        <v>9984</v>
      </c>
      <c r="H36" s="14">
        <v>7987.2</v>
      </c>
      <c r="I36" s="31">
        <f>IF(COUNTIFS(Addendum!C:C,A36,Addendum!D:D,IF(ISNUMBER(B36),TEXT(B36,"0000"),B36),Addendum!E:E,"X")&gt;0,4%,0)</f>
        <v>0</v>
      </c>
      <c r="J36" s="31">
        <f>IF(COUNTIFS(Addendum!C:C,A36,Addendum!D:D,IF(ISNUMBER(B36),TEXT(B36,"0000"),B36),Addendum!F:F,"X")&gt;0,2.5%,0)</f>
        <v>0</v>
      </c>
      <c r="K36" s="31">
        <f>IF(COUNTIFS(Addendum!C:C,A36,Addendum!D:D,IF(ISNUMBER(B36),TEXT(B36,"0000"),B36),Addendum!G:G,"X")&gt;0,7%,0)</f>
        <v>0</v>
      </c>
      <c r="L36" s="31">
        <f>IF(COUNTIFS(Addendum!C:C,A36,Addendum!D:D,IF(ISNUMBER(B36),TEXT(B36,"0000"),B36),Addendum!I:I,"X")&gt;0,10%,0)</f>
        <v>0</v>
      </c>
      <c r="M36" s="34">
        <f t="shared" si="0"/>
        <v>0</v>
      </c>
      <c r="N36" s="17">
        <f t="shared" si="1"/>
        <v>7987.2</v>
      </c>
    </row>
    <row r="37" spans="1:14" x14ac:dyDescent="0.25">
      <c r="A37" s="14" t="s">
        <v>42</v>
      </c>
      <c r="B37" s="14">
        <v>3</v>
      </c>
      <c r="C37" s="15" t="s">
        <v>372</v>
      </c>
      <c r="D37" s="14" t="s">
        <v>1745</v>
      </c>
      <c r="E37" s="14" t="s">
        <v>1746</v>
      </c>
      <c r="F37" s="17" t="s">
        <v>2993</v>
      </c>
      <c r="G37" s="14">
        <v>15750</v>
      </c>
      <c r="H37" s="14">
        <v>12600</v>
      </c>
      <c r="I37" s="31">
        <f>IF(COUNTIFS(Addendum!C:C,A37,Addendum!D:D,IF(ISNUMBER(B37),TEXT(B37,"0000"),B37),Addendum!E:E,"X")&gt;0,4%,0)</f>
        <v>0.04</v>
      </c>
      <c r="J37" s="31">
        <f>IF(COUNTIFS(Addendum!C:C,A37,Addendum!D:D,IF(ISNUMBER(B37),TEXT(B37,"0000"),B37),Addendum!F:F,"X")&gt;0,2.5%,0)</f>
        <v>2.5000000000000001E-2</v>
      </c>
      <c r="K37" s="31">
        <f>IF(COUNTIFS(Addendum!C:C,A37,Addendum!D:D,IF(ISNUMBER(B37),TEXT(B37,"0000"),B37),Addendum!G:G,"X")&gt;0,7%,0)</f>
        <v>0</v>
      </c>
      <c r="L37" s="31">
        <f>IF(COUNTIFS(Addendum!C:C,A37,Addendum!D:D,IF(ISNUMBER(B37),TEXT(B37,"0000"),B37),Addendum!I:I,"X")&gt;0,10%,0)</f>
        <v>0.1</v>
      </c>
      <c r="M37" s="34">
        <f t="shared" si="0"/>
        <v>0.02</v>
      </c>
      <c r="N37" s="17">
        <f t="shared" si="1"/>
        <v>12348</v>
      </c>
    </row>
    <row r="38" spans="1:14" x14ac:dyDescent="0.25">
      <c r="A38" s="14" t="s">
        <v>42</v>
      </c>
      <c r="B38" s="14">
        <v>1</v>
      </c>
      <c r="C38" s="15" t="s">
        <v>373</v>
      </c>
      <c r="D38" s="14" t="s">
        <v>1745</v>
      </c>
      <c r="E38" s="14" t="s">
        <v>1746</v>
      </c>
      <c r="F38" s="17" t="s">
        <v>2993</v>
      </c>
      <c r="G38" s="14">
        <v>10458</v>
      </c>
      <c r="H38" s="14">
        <v>8366.4</v>
      </c>
      <c r="I38" s="31">
        <f>IF(COUNTIFS(Addendum!C:C,A38,Addendum!D:D,IF(ISNUMBER(B38),TEXT(B38,"0000"),B38),Addendum!E:E,"X")&gt;0,4%,0)</f>
        <v>0.04</v>
      </c>
      <c r="J38" s="31">
        <f>IF(COUNTIFS(Addendum!C:C,A38,Addendum!D:D,IF(ISNUMBER(B38),TEXT(B38,"0000"),B38),Addendum!F:F,"X")&gt;0,2.5%,0)</f>
        <v>2.5000000000000001E-2</v>
      </c>
      <c r="K38" s="31">
        <f>IF(COUNTIFS(Addendum!C:C,A38,Addendum!D:D,IF(ISNUMBER(B38),TEXT(B38,"0000"),B38),Addendum!G:G,"X")&gt;0,7%,0)</f>
        <v>0</v>
      </c>
      <c r="L38" s="31">
        <f>IF(COUNTIFS(Addendum!C:C,A38,Addendum!D:D,IF(ISNUMBER(B38),TEXT(B38,"0000"),B38),Addendum!I:I,"X")&gt;0,10%,0)</f>
        <v>0.1</v>
      </c>
      <c r="M38" s="34">
        <f t="shared" si="0"/>
        <v>0.02</v>
      </c>
      <c r="N38" s="17">
        <f t="shared" si="1"/>
        <v>8199.0720000000001</v>
      </c>
    </row>
    <row r="39" spans="1:14" x14ac:dyDescent="0.25">
      <c r="A39" s="14" t="s">
        <v>42</v>
      </c>
      <c r="B39" s="14">
        <v>7</v>
      </c>
      <c r="C39" s="15" t="s">
        <v>1761</v>
      </c>
      <c r="D39" s="14" t="s">
        <v>1745</v>
      </c>
      <c r="E39" s="14" t="s">
        <v>1746</v>
      </c>
      <c r="F39" s="17" t="s">
        <v>2995</v>
      </c>
      <c r="G39" s="14">
        <v>4221</v>
      </c>
      <c r="H39" s="14">
        <v>3798.96</v>
      </c>
      <c r="I39" s="31">
        <f>IF(COUNTIFS(Addendum!C:C,A39,Addendum!D:D,IF(ISNUMBER(B39),TEXT(B39,"0000"),B39),Addendum!E:E,"X")&gt;0,4%,0)</f>
        <v>0.04</v>
      </c>
      <c r="J39" s="31">
        <f>IF(COUNTIFS(Addendum!C:C,A39,Addendum!D:D,IF(ISNUMBER(B39),TEXT(B39,"0000"),B39),Addendum!F:F,"X")&gt;0,2.5%,0)</f>
        <v>2.5000000000000001E-2</v>
      </c>
      <c r="K39" s="31">
        <f>IF(COUNTIFS(Addendum!C:C,A39,Addendum!D:D,IF(ISNUMBER(B39),TEXT(B39,"0000"),B39),Addendum!G:G,"X")&gt;0,7%,0)</f>
        <v>0</v>
      </c>
      <c r="L39" s="31">
        <f>IF(COUNTIFS(Addendum!C:C,A39,Addendum!D:D,IF(ISNUMBER(B39),TEXT(B39,"0000"),B39),Addendum!I:I,"X")&gt;0,10%,0)</f>
        <v>0.1</v>
      </c>
      <c r="M39" s="34">
        <f t="shared" si="0"/>
        <v>0.02</v>
      </c>
      <c r="N39" s="17">
        <f t="shared" si="1"/>
        <v>3722.9807999999998</v>
      </c>
    </row>
    <row r="40" spans="1:14" ht="30" x14ac:dyDescent="0.25">
      <c r="A40" s="14" t="s">
        <v>42</v>
      </c>
      <c r="B40" s="14">
        <v>9</v>
      </c>
      <c r="C40" s="15" t="s">
        <v>1762</v>
      </c>
      <c r="D40" s="14" t="s">
        <v>1749</v>
      </c>
      <c r="E40" s="14" t="s">
        <v>1746</v>
      </c>
      <c r="F40" s="17" t="s">
        <v>2995</v>
      </c>
      <c r="G40" s="14">
        <v>600</v>
      </c>
      <c r="H40" s="14">
        <v>540</v>
      </c>
      <c r="I40" s="31">
        <f>IF(COUNTIFS(Addendum!C:C,A40,Addendum!D:D,IF(ISNUMBER(B40),TEXT(B40,"0000"),B40),Addendum!E:E,"X")&gt;0,4%,0)</f>
        <v>0.04</v>
      </c>
      <c r="J40" s="31">
        <f>IF(COUNTIFS(Addendum!C:C,A40,Addendum!D:D,IF(ISNUMBER(B40),TEXT(B40,"0000"),B40),Addendum!F:F,"X")&gt;0,2.5%,0)</f>
        <v>2.5000000000000001E-2</v>
      </c>
      <c r="K40" s="31">
        <f>IF(COUNTIFS(Addendum!C:C,A40,Addendum!D:D,IF(ISNUMBER(B40),TEXT(B40,"0000"),B40),Addendum!G:G,"X")&gt;0,7%,0)</f>
        <v>0</v>
      </c>
      <c r="L40" s="31">
        <f>IF(COUNTIFS(Addendum!C:C,A40,Addendum!D:D,IF(ISNUMBER(B40),TEXT(B40,"0000"),B40),Addendum!I:I,"X")&gt;0,10%,0)</f>
        <v>0.1</v>
      </c>
      <c r="M40" s="34">
        <f t="shared" si="0"/>
        <v>0.02</v>
      </c>
      <c r="N40" s="17">
        <f t="shared" si="1"/>
        <v>529.20000000000005</v>
      </c>
    </row>
    <row r="41" spans="1:14" ht="30" x14ac:dyDescent="0.25">
      <c r="A41" s="14" t="s">
        <v>42</v>
      </c>
      <c r="B41" s="14">
        <v>9</v>
      </c>
      <c r="C41" s="15" t="s">
        <v>1762</v>
      </c>
      <c r="D41" s="14" t="s">
        <v>1745</v>
      </c>
      <c r="E41" s="14" t="s">
        <v>1746</v>
      </c>
      <c r="F41" s="17" t="s">
        <v>2995</v>
      </c>
      <c r="G41" s="14">
        <v>6300</v>
      </c>
      <c r="H41" s="14">
        <v>5670</v>
      </c>
      <c r="I41" s="31">
        <f>IF(COUNTIFS(Addendum!C:C,A41,Addendum!D:D,IF(ISNUMBER(B41),TEXT(B41,"0000"),B41),Addendum!E:E,"X")&gt;0,4%,0)</f>
        <v>0.04</v>
      </c>
      <c r="J41" s="31">
        <f>IF(COUNTIFS(Addendum!C:C,A41,Addendum!D:D,IF(ISNUMBER(B41),TEXT(B41,"0000"),B41),Addendum!F:F,"X")&gt;0,2.5%,0)</f>
        <v>2.5000000000000001E-2</v>
      </c>
      <c r="K41" s="31">
        <f>IF(COUNTIFS(Addendum!C:C,A41,Addendum!D:D,IF(ISNUMBER(B41),TEXT(B41,"0000"),B41),Addendum!G:G,"X")&gt;0,7%,0)</f>
        <v>0</v>
      </c>
      <c r="L41" s="31">
        <f>IF(COUNTIFS(Addendum!C:C,A41,Addendum!D:D,IF(ISNUMBER(B41),TEXT(B41,"0000"),B41),Addendum!I:I,"X")&gt;0,10%,0)</f>
        <v>0.1</v>
      </c>
      <c r="M41" s="34">
        <f t="shared" si="0"/>
        <v>0.02</v>
      </c>
      <c r="N41" s="17">
        <f t="shared" si="1"/>
        <v>5556.6</v>
      </c>
    </row>
    <row r="42" spans="1:14" x14ac:dyDescent="0.25">
      <c r="A42" s="14" t="s">
        <v>42</v>
      </c>
      <c r="B42" s="14">
        <v>3</v>
      </c>
      <c r="C42" s="15" t="s">
        <v>372</v>
      </c>
      <c r="D42" s="14" t="s">
        <v>1745</v>
      </c>
      <c r="E42" s="14" t="s">
        <v>1747</v>
      </c>
      <c r="F42" s="17" t="s">
        <v>2993</v>
      </c>
      <c r="G42" s="14">
        <v>15000</v>
      </c>
      <c r="H42" s="14">
        <v>12000</v>
      </c>
      <c r="I42" s="31">
        <f>IF(COUNTIFS(Addendum!C:C,A42,Addendum!D:D,IF(ISNUMBER(B42),TEXT(B42,"0000"),B42),Addendum!E:E,"X")&gt;0,4%,0)</f>
        <v>0.04</v>
      </c>
      <c r="J42" s="31">
        <f>IF(COUNTIFS(Addendum!C:C,A42,Addendum!D:D,IF(ISNUMBER(B42),TEXT(B42,"0000"),B42),Addendum!F:F,"X")&gt;0,2.5%,0)</f>
        <v>2.5000000000000001E-2</v>
      </c>
      <c r="K42" s="31">
        <f>IF(COUNTIFS(Addendum!C:C,A42,Addendum!D:D,IF(ISNUMBER(B42),TEXT(B42,"0000"),B42),Addendum!G:G,"X")&gt;0,7%,0)</f>
        <v>0</v>
      </c>
      <c r="L42" s="31">
        <f>IF(COUNTIFS(Addendum!C:C,A42,Addendum!D:D,IF(ISNUMBER(B42),TEXT(B42,"0000"),B42),Addendum!I:I,"X")&gt;0,10%,0)</f>
        <v>0.1</v>
      </c>
      <c r="M42" s="34">
        <f t="shared" si="0"/>
        <v>0.1</v>
      </c>
      <c r="N42" s="17">
        <f t="shared" si="1"/>
        <v>10800</v>
      </c>
    </row>
    <row r="43" spans="1:14" x14ac:dyDescent="0.25">
      <c r="A43" s="14" t="s">
        <v>42</v>
      </c>
      <c r="B43" s="14">
        <v>8</v>
      </c>
      <c r="C43" s="15" t="s">
        <v>1763</v>
      </c>
      <c r="D43" s="14" t="s">
        <v>1745</v>
      </c>
      <c r="E43" s="14" t="s">
        <v>1747</v>
      </c>
      <c r="F43" s="17" t="s">
        <v>2995</v>
      </c>
      <c r="G43" s="14">
        <v>4020</v>
      </c>
      <c r="H43" s="14">
        <v>3618</v>
      </c>
      <c r="I43" s="31">
        <f>IF(COUNTIFS(Addendum!C:C,A43,Addendum!D:D,IF(ISNUMBER(B43),TEXT(B43,"0000"),B43),Addendum!E:E,"X")&gt;0,4%,0)</f>
        <v>0.04</v>
      </c>
      <c r="J43" s="31">
        <f>IF(COUNTIFS(Addendum!C:C,A43,Addendum!D:D,IF(ISNUMBER(B43),TEXT(B43,"0000"),B43),Addendum!F:F,"X")&gt;0,2.5%,0)</f>
        <v>2.5000000000000001E-2</v>
      </c>
      <c r="K43" s="31">
        <f>IF(COUNTIFS(Addendum!C:C,A43,Addendum!D:D,IF(ISNUMBER(B43),TEXT(B43,"0000"),B43),Addendum!G:G,"X")&gt;0,7%,0)</f>
        <v>0</v>
      </c>
      <c r="L43" s="31">
        <f>IF(COUNTIFS(Addendum!C:C,A43,Addendum!D:D,IF(ISNUMBER(B43),TEXT(B43,"0000"),B43),Addendum!I:I,"X")&gt;0,10%,0)</f>
        <v>0.1</v>
      </c>
      <c r="M43" s="34">
        <f t="shared" si="0"/>
        <v>0.1</v>
      </c>
      <c r="N43" s="17">
        <f t="shared" si="1"/>
        <v>3256.2</v>
      </c>
    </row>
    <row r="44" spans="1:14" x14ac:dyDescent="0.25">
      <c r="A44" s="14" t="s">
        <v>42</v>
      </c>
      <c r="B44" s="14">
        <v>2</v>
      </c>
      <c r="C44" s="15" t="s">
        <v>374</v>
      </c>
      <c r="D44" s="14" t="s">
        <v>1745</v>
      </c>
      <c r="E44" s="14" t="s">
        <v>1747</v>
      </c>
      <c r="F44" s="17" t="s">
        <v>2993</v>
      </c>
      <c r="G44" s="14">
        <v>9960</v>
      </c>
      <c r="H44" s="14">
        <v>7968</v>
      </c>
      <c r="I44" s="31">
        <f>IF(COUNTIFS(Addendum!C:C,A44,Addendum!D:D,IF(ISNUMBER(B44),TEXT(B44,"0000"),B44),Addendum!E:E,"X")&gt;0,4%,0)</f>
        <v>0.04</v>
      </c>
      <c r="J44" s="31">
        <f>IF(COUNTIFS(Addendum!C:C,A44,Addendum!D:D,IF(ISNUMBER(B44),TEXT(B44,"0000"),B44),Addendum!F:F,"X")&gt;0,2.5%,0)</f>
        <v>2.5000000000000001E-2</v>
      </c>
      <c r="K44" s="31">
        <f>IF(COUNTIFS(Addendum!C:C,A44,Addendum!D:D,IF(ISNUMBER(B44),TEXT(B44,"0000"),B44),Addendum!G:G,"X")&gt;0,7%,0)</f>
        <v>0</v>
      </c>
      <c r="L44" s="31">
        <f>IF(COUNTIFS(Addendum!C:C,A44,Addendum!D:D,IF(ISNUMBER(B44),TEXT(B44,"0000"),B44),Addendum!I:I,"X")&gt;0,10%,0)</f>
        <v>0.1</v>
      </c>
      <c r="M44" s="34">
        <f t="shared" si="0"/>
        <v>0.1</v>
      </c>
      <c r="N44" s="17">
        <f t="shared" si="1"/>
        <v>7171.2</v>
      </c>
    </row>
    <row r="45" spans="1:14" x14ac:dyDescent="0.25">
      <c r="A45" s="14" t="s">
        <v>42</v>
      </c>
      <c r="B45" s="14">
        <v>8</v>
      </c>
      <c r="C45" s="15" t="s">
        <v>1763</v>
      </c>
      <c r="D45" s="14" t="s">
        <v>1745</v>
      </c>
      <c r="E45" s="14" t="s">
        <v>1746</v>
      </c>
      <c r="F45" s="17" t="s">
        <v>2995</v>
      </c>
      <c r="G45" s="14">
        <v>4221</v>
      </c>
      <c r="H45" s="14">
        <v>3798.96</v>
      </c>
      <c r="I45" s="31">
        <f>IF(COUNTIFS(Addendum!C:C,A45,Addendum!D:D,IF(ISNUMBER(B45),TEXT(B45,"0000"),B45),Addendum!E:E,"X")&gt;0,4%,0)</f>
        <v>0.04</v>
      </c>
      <c r="J45" s="31">
        <f>IF(COUNTIFS(Addendum!C:C,A45,Addendum!D:D,IF(ISNUMBER(B45),TEXT(B45,"0000"),B45),Addendum!F:F,"X")&gt;0,2.5%,0)</f>
        <v>2.5000000000000001E-2</v>
      </c>
      <c r="K45" s="31">
        <f>IF(COUNTIFS(Addendum!C:C,A45,Addendum!D:D,IF(ISNUMBER(B45),TEXT(B45,"0000"),B45),Addendum!G:G,"X")&gt;0,7%,0)</f>
        <v>0</v>
      </c>
      <c r="L45" s="31">
        <f>IF(COUNTIFS(Addendum!C:C,A45,Addendum!D:D,IF(ISNUMBER(B45),TEXT(B45,"0000"),B45),Addendum!I:I,"X")&gt;0,10%,0)</f>
        <v>0.1</v>
      </c>
      <c r="M45" s="34">
        <f t="shared" si="0"/>
        <v>0.02</v>
      </c>
      <c r="N45" s="17">
        <f t="shared" si="1"/>
        <v>3722.9807999999998</v>
      </c>
    </row>
    <row r="46" spans="1:14" x14ac:dyDescent="0.25">
      <c r="A46" s="14" t="s">
        <v>42</v>
      </c>
      <c r="B46" s="14">
        <v>1</v>
      </c>
      <c r="C46" s="15" t="s">
        <v>373</v>
      </c>
      <c r="D46" s="14" t="s">
        <v>1749</v>
      </c>
      <c r="E46" s="14" t="s">
        <v>1746</v>
      </c>
      <c r="F46" s="17" t="s">
        <v>2993</v>
      </c>
      <c r="G46" s="14">
        <v>996</v>
      </c>
      <c r="H46" s="14">
        <v>796.8</v>
      </c>
      <c r="I46" s="31">
        <f>IF(COUNTIFS(Addendum!C:C,A46,Addendum!D:D,IF(ISNUMBER(B46),TEXT(B46,"0000"),B46),Addendum!E:E,"X")&gt;0,4%,0)</f>
        <v>0.04</v>
      </c>
      <c r="J46" s="31">
        <f>IF(COUNTIFS(Addendum!C:C,A46,Addendum!D:D,IF(ISNUMBER(B46),TEXT(B46,"0000"),B46),Addendum!F:F,"X")&gt;0,2.5%,0)</f>
        <v>2.5000000000000001E-2</v>
      </c>
      <c r="K46" s="31">
        <f>IF(COUNTIFS(Addendum!C:C,A46,Addendum!D:D,IF(ISNUMBER(B46),TEXT(B46,"0000"),B46),Addendum!G:G,"X")&gt;0,7%,0)</f>
        <v>0</v>
      </c>
      <c r="L46" s="31">
        <f>IF(COUNTIFS(Addendum!C:C,A46,Addendum!D:D,IF(ISNUMBER(B46),TEXT(B46,"0000"),B46),Addendum!I:I,"X")&gt;0,10%,0)</f>
        <v>0.1</v>
      </c>
      <c r="M46" s="34">
        <f t="shared" si="0"/>
        <v>0.02</v>
      </c>
      <c r="N46" s="17">
        <f t="shared" si="1"/>
        <v>780.86399999999992</v>
      </c>
    </row>
    <row r="47" spans="1:14" x14ac:dyDescent="0.25">
      <c r="A47" s="14" t="s">
        <v>42</v>
      </c>
      <c r="B47" s="14">
        <v>1</v>
      </c>
      <c r="C47" s="15" t="s">
        <v>373</v>
      </c>
      <c r="D47" s="14" t="s">
        <v>1745</v>
      </c>
      <c r="E47" s="14" t="s">
        <v>1747</v>
      </c>
      <c r="F47" s="17" t="s">
        <v>2993</v>
      </c>
      <c r="G47" s="14">
        <v>9960</v>
      </c>
      <c r="H47" s="14">
        <v>7968</v>
      </c>
      <c r="I47" s="31">
        <f>IF(COUNTIFS(Addendum!C:C,A47,Addendum!D:D,IF(ISNUMBER(B47),TEXT(B47,"0000"),B47),Addendum!E:E,"X")&gt;0,4%,0)</f>
        <v>0.04</v>
      </c>
      <c r="J47" s="31">
        <f>IF(COUNTIFS(Addendum!C:C,A47,Addendum!D:D,IF(ISNUMBER(B47),TEXT(B47,"0000"),B47),Addendum!F:F,"X")&gt;0,2.5%,0)</f>
        <v>2.5000000000000001E-2</v>
      </c>
      <c r="K47" s="31">
        <f>IF(COUNTIFS(Addendum!C:C,A47,Addendum!D:D,IF(ISNUMBER(B47),TEXT(B47,"0000"),B47),Addendum!G:G,"X")&gt;0,7%,0)</f>
        <v>0</v>
      </c>
      <c r="L47" s="31">
        <f>IF(COUNTIFS(Addendum!C:C,A47,Addendum!D:D,IF(ISNUMBER(B47),TEXT(B47,"0000"),B47),Addendum!I:I,"X")&gt;0,10%,0)</f>
        <v>0.1</v>
      </c>
      <c r="M47" s="34">
        <f t="shared" si="0"/>
        <v>0.1</v>
      </c>
      <c r="N47" s="17">
        <f t="shared" si="1"/>
        <v>7171.2</v>
      </c>
    </row>
    <row r="48" spans="1:14" x14ac:dyDescent="0.25">
      <c r="A48" s="14" t="s">
        <v>42</v>
      </c>
      <c r="B48" s="14">
        <v>8</v>
      </c>
      <c r="C48" s="15" t="s">
        <v>1763</v>
      </c>
      <c r="D48" s="14" t="s">
        <v>1749</v>
      </c>
      <c r="E48" s="14" t="s">
        <v>1746</v>
      </c>
      <c r="F48" s="17" t="s">
        <v>2995</v>
      </c>
      <c r="G48" s="14">
        <v>402</v>
      </c>
      <c r="H48" s="14">
        <v>361.8</v>
      </c>
      <c r="I48" s="31">
        <f>IF(COUNTIFS(Addendum!C:C,A48,Addendum!D:D,IF(ISNUMBER(B48),TEXT(B48,"0000"),B48),Addendum!E:E,"X")&gt;0,4%,0)</f>
        <v>0.04</v>
      </c>
      <c r="J48" s="31">
        <f>IF(COUNTIFS(Addendum!C:C,A48,Addendum!D:D,IF(ISNUMBER(B48),TEXT(B48,"0000"),B48),Addendum!F:F,"X")&gt;0,2.5%,0)</f>
        <v>2.5000000000000001E-2</v>
      </c>
      <c r="K48" s="31">
        <f>IF(COUNTIFS(Addendum!C:C,A48,Addendum!D:D,IF(ISNUMBER(B48),TEXT(B48,"0000"),B48),Addendum!G:G,"X")&gt;0,7%,0)</f>
        <v>0</v>
      </c>
      <c r="L48" s="31">
        <f>IF(COUNTIFS(Addendum!C:C,A48,Addendum!D:D,IF(ISNUMBER(B48),TEXT(B48,"0000"),B48),Addendum!I:I,"X")&gt;0,10%,0)</f>
        <v>0.1</v>
      </c>
      <c r="M48" s="34">
        <f t="shared" si="0"/>
        <v>0.02</v>
      </c>
      <c r="N48" s="17">
        <f t="shared" si="1"/>
        <v>354.56400000000002</v>
      </c>
    </row>
    <row r="49" spans="1:14" x14ac:dyDescent="0.25">
      <c r="A49" s="14" t="s">
        <v>42</v>
      </c>
      <c r="B49" s="14">
        <v>2</v>
      </c>
      <c r="C49" s="15" t="s">
        <v>374</v>
      </c>
      <c r="D49" s="14" t="s">
        <v>1745</v>
      </c>
      <c r="E49" s="14" t="s">
        <v>1746</v>
      </c>
      <c r="F49" s="17" t="s">
        <v>2993</v>
      </c>
      <c r="G49" s="14">
        <v>10458</v>
      </c>
      <c r="H49" s="14">
        <v>8366.4</v>
      </c>
      <c r="I49" s="31">
        <f>IF(COUNTIFS(Addendum!C:C,A49,Addendum!D:D,IF(ISNUMBER(B49),TEXT(B49,"0000"),B49),Addendum!E:E,"X")&gt;0,4%,0)</f>
        <v>0.04</v>
      </c>
      <c r="J49" s="31">
        <f>IF(COUNTIFS(Addendum!C:C,A49,Addendum!D:D,IF(ISNUMBER(B49),TEXT(B49,"0000"),B49),Addendum!F:F,"X")&gt;0,2.5%,0)</f>
        <v>2.5000000000000001E-2</v>
      </c>
      <c r="K49" s="31">
        <f>IF(COUNTIFS(Addendum!C:C,A49,Addendum!D:D,IF(ISNUMBER(B49),TEXT(B49,"0000"),B49),Addendum!G:G,"X")&gt;0,7%,0)</f>
        <v>0</v>
      </c>
      <c r="L49" s="31">
        <f>IF(COUNTIFS(Addendum!C:C,A49,Addendum!D:D,IF(ISNUMBER(B49),TEXT(B49,"0000"),B49),Addendum!I:I,"X")&gt;0,10%,0)</f>
        <v>0.1</v>
      </c>
      <c r="M49" s="34">
        <f t="shared" si="0"/>
        <v>0.02</v>
      </c>
      <c r="N49" s="17">
        <f t="shared" si="1"/>
        <v>8199.0720000000001</v>
      </c>
    </row>
    <row r="50" spans="1:14" ht="30" x14ac:dyDescent="0.25">
      <c r="A50" s="14" t="s">
        <v>42</v>
      </c>
      <c r="B50" s="14">
        <v>9</v>
      </c>
      <c r="C50" s="15" t="s">
        <v>1762</v>
      </c>
      <c r="D50" s="14" t="s">
        <v>1745</v>
      </c>
      <c r="E50" s="14" t="s">
        <v>1747</v>
      </c>
      <c r="F50" s="17" t="s">
        <v>2995</v>
      </c>
      <c r="G50" s="14">
        <v>6000</v>
      </c>
      <c r="H50" s="14">
        <v>5400</v>
      </c>
      <c r="I50" s="31">
        <f>IF(COUNTIFS(Addendum!C:C,A50,Addendum!D:D,IF(ISNUMBER(B50),TEXT(B50,"0000"),B50),Addendum!E:E,"X")&gt;0,4%,0)</f>
        <v>0.04</v>
      </c>
      <c r="J50" s="31">
        <f>IF(COUNTIFS(Addendum!C:C,A50,Addendum!D:D,IF(ISNUMBER(B50),TEXT(B50,"0000"),B50),Addendum!F:F,"X")&gt;0,2.5%,0)</f>
        <v>2.5000000000000001E-2</v>
      </c>
      <c r="K50" s="31">
        <f>IF(COUNTIFS(Addendum!C:C,A50,Addendum!D:D,IF(ISNUMBER(B50),TEXT(B50,"0000"),B50),Addendum!G:G,"X")&gt;0,7%,0)</f>
        <v>0</v>
      </c>
      <c r="L50" s="31">
        <f>IF(COUNTIFS(Addendum!C:C,A50,Addendum!D:D,IF(ISNUMBER(B50),TEXT(B50,"0000"),B50),Addendum!I:I,"X")&gt;0,10%,0)</f>
        <v>0.1</v>
      </c>
      <c r="M50" s="34">
        <f t="shared" si="0"/>
        <v>0.1</v>
      </c>
      <c r="N50" s="17">
        <f t="shared" si="1"/>
        <v>4860</v>
      </c>
    </row>
    <row r="51" spans="1:14" x14ac:dyDescent="0.25">
      <c r="A51" s="14" t="s">
        <v>42</v>
      </c>
      <c r="B51" s="14">
        <v>7</v>
      </c>
      <c r="C51" s="15" t="s">
        <v>1761</v>
      </c>
      <c r="D51" s="14" t="s">
        <v>1749</v>
      </c>
      <c r="E51" s="14" t="s">
        <v>1746</v>
      </c>
      <c r="F51" s="17" t="s">
        <v>2995</v>
      </c>
      <c r="G51" s="14">
        <v>402</v>
      </c>
      <c r="H51" s="14">
        <v>361.8</v>
      </c>
      <c r="I51" s="31">
        <f>IF(COUNTIFS(Addendum!C:C,A51,Addendum!D:D,IF(ISNUMBER(B51),TEXT(B51,"0000"),B51),Addendum!E:E,"X")&gt;0,4%,0)</f>
        <v>0.04</v>
      </c>
      <c r="J51" s="31">
        <f>IF(COUNTIFS(Addendum!C:C,A51,Addendum!D:D,IF(ISNUMBER(B51),TEXT(B51,"0000"),B51),Addendum!F:F,"X")&gt;0,2.5%,0)</f>
        <v>2.5000000000000001E-2</v>
      </c>
      <c r="K51" s="31">
        <f>IF(COUNTIFS(Addendum!C:C,A51,Addendum!D:D,IF(ISNUMBER(B51),TEXT(B51,"0000"),B51),Addendum!G:G,"X")&gt;0,7%,0)</f>
        <v>0</v>
      </c>
      <c r="L51" s="31">
        <f>IF(COUNTIFS(Addendum!C:C,A51,Addendum!D:D,IF(ISNUMBER(B51),TEXT(B51,"0000"),B51),Addendum!I:I,"X")&gt;0,10%,0)</f>
        <v>0.1</v>
      </c>
      <c r="M51" s="34">
        <f t="shared" si="0"/>
        <v>0.02</v>
      </c>
      <c r="N51" s="17">
        <f t="shared" si="1"/>
        <v>354.56400000000002</v>
      </c>
    </row>
    <row r="52" spans="1:14" x14ac:dyDescent="0.25">
      <c r="A52" s="14" t="s">
        <v>42</v>
      </c>
      <c r="B52" s="14">
        <v>3</v>
      </c>
      <c r="C52" s="15" t="s">
        <v>372</v>
      </c>
      <c r="D52" s="14" t="s">
        <v>1749</v>
      </c>
      <c r="E52" s="14" t="s">
        <v>1746</v>
      </c>
      <c r="F52" s="17" t="s">
        <v>2993</v>
      </c>
      <c r="G52" s="14">
        <v>1500</v>
      </c>
      <c r="H52" s="14">
        <v>1200</v>
      </c>
      <c r="I52" s="31">
        <f>IF(COUNTIFS(Addendum!C:C,A52,Addendum!D:D,IF(ISNUMBER(B52),TEXT(B52,"0000"),B52),Addendum!E:E,"X")&gt;0,4%,0)</f>
        <v>0.04</v>
      </c>
      <c r="J52" s="31">
        <f>IF(COUNTIFS(Addendum!C:C,A52,Addendum!D:D,IF(ISNUMBER(B52),TEXT(B52,"0000"),B52),Addendum!F:F,"X")&gt;0,2.5%,0)</f>
        <v>2.5000000000000001E-2</v>
      </c>
      <c r="K52" s="31">
        <f>IF(COUNTIFS(Addendum!C:C,A52,Addendum!D:D,IF(ISNUMBER(B52),TEXT(B52,"0000"),B52),Addendum!G:G,"X")&gt;0,7%,0)</f>
        <v>0</v>
      </c>
      <c r="L52" s="31">
        <f>IF(COUNTIFS(Addendum!C:C,A52,Addendum!D:D,IF(ISNUMBER(B52),TEXT(B52,"0000"),B52),Addendum!I:I,"X")&gt;0,10%,0)</f>
        <v>0.1</v>
      </c>
      <c r="M52" s="34">
        <f t="shared" si="0"/>
        <v>0.02</v>
      </c>
      <c r="N52" s="17">
        <f t="shared" si="1"/>
        <v>1176</v>
      </c>
    </row>
    <row r="53" spans="1:14" x14ac:dyDescent="0.25">
      <c r="A53" s="14" t="s">
        <v>42</v>
      </c>
      <c r="B53" s="14">
        <v>7</v>
      </c>
      <c r="C53" s="15" t="s">
        <v>1761</v>
      </c>
      <c r="D53" s="14" t="s">
        <v>1745</v>
      </c>
      <c r="E53" s="14" t="s">
        <v>1747</v>
      </c>
      <c r="F53" s="17" t="s">
        <v>2995</v>
      </c>
      <c r="G53" s="14">
        <v>4020</v>
      </c>
      <c r="H53" s="14">
        <v>3618</v>
      </c>
      <c r="I53" s="31">
        <f>IF(COUNTIFS(Addendum!C:C,A53,Addendum!D:D,IF(ISNUMBER(B53),TEXT(B53,"0000"),B53),Addendum!E:E,"X")&gt;0,4%,0)</f>
        <v>0.04</v>
      </c>
      <c r="J53" s="31">
        <f>IF(COUNTIFS(Addendum!C:C,A53,Addendum!D:D,IF(ISNUMBER(B53),TEXT(B53,"0000"),B53),Addendum!F:F,"X")&gt;0,2.5%,0)</f>
        <v>2.5000000000000001E-2</v>
      </c>
      <c r="K53" s="31">
        <f>IF(COUNTIFS(Addendum!C:C,A53,Addendum!D:D,IF(ISNUMBER(B53),TEXT(B53,"0000"),B53),Addendum!G:G,"X")&gt;0,7%,0)</f>
        <v>0</v>
      </c>
      <c r="L53" s="31">
        <f>IF(COUNTIFS(Addendum!C:C,A53,Addendum!D:D,IF(ISNUMBER(B53),TEXT(B53,"0000"),B53),Addendum!I:I,"X")&gt;0,10%,0)</f>
        <v>0.1</v>
      </c>
      <c r="M53" s="34">
        <f t="shared" si="0"/>
        <v>0.1</v>
      </c>
      <c r="N53" s="17">
        <f t="shared" si="1"/>
        <v>3256.2</v>
      </c>
    </row>
    <row r="54" spans="1:14" x14ac:dyDescent="0.25">
      <c r="A54" s="14" t="s">
        <v>42</v>
      </c>
      <c r="B54" s="14">
        <v>2</v>
      </c>
      <c r="C54" s="15" t="s">
        <v>374</v>
      </c>
      <c r="D54" s="14" t="s">
        <v>1749</v>
      </c>
      <c r="E54" s="14" t="s">
        <v>1746</v>
      </c>
      <c r="F54" s="17" t="s">
        <v>2993</v>
      </c>
      <c r="G54" s="14">
        <v>996</v>
      </c>
      <c r="H54" s="14">
        <v>796.8</v>
      </c>
      <c r="I54" s="31">
        <f>IF(COUNTIFS(Addendum!C:C,A54,Addendum!D:D,IF(ISNUMBER(B54),TEXT(B54,"0000"),B54),Addendum!E:E,"X")&gt;0,4%,0)</f>
        <v>0.04</v>
      </c>
      <c r="J54" s="31">
        <f>IF(COUNTIFS(Addendum!C:C,A54,Addendum!D:D,IF(ISNUMBER(B54),TEXT(B54,"0000"),B54),Addendum!F:F,"X")&gt;0,2.5%,0)</f>
        <v>2.5000000000000001E-2</v>
      </c>
      <c r="K54" s="31">
        <f>IF(COUNTIFS(Addendum!C:C,A54,Addendum!D:D,IF(ISNUMBER(B54),TEXT(B54,"0000"),B54),Addendum!G:G,"X")&gt;0,7%,0)</f>
        <v>0</v>
      </c>
      <c r="L54" s="31">
        <f>IF(COUNTIFS(Addendum!C:C,A54,Addendum!D:D,IF(ISNUMBER(B54),TEXT(B54,"0000"),B54),Addendum!I:I,"X")&gt;0,10%,0)</f>
        <v>0.1</v>
      </c>
      <c r="M54" s="34">
        <f t="shared" si="0"/>
        <v>0.02</v>
      </c>
      <c r="N54" s="17">
        <f t="shared" si="1"/>
        <v>780.86399999999992</v>
      </c>
    </row>
    <row r="55" spans="1:14" x14ac:dyDescent="0.25">
      <c r="A55" s="14" t="s">
        <v>57</v>
      </c>
      <c r="B55" s="14">
        <v>6</v>
      </c>
      <c r="C55" s="15" t="s">
        <v>1764</v>
      </c>
      <c r="D55" s="14" t="s">
        <v>1745</v>
      </c>
      <c r="E55" s="14" t="s">
        <v>1747</v>
      </c>
      <c r="F55" s="17" t="s">
        <v>2994</v>
      </c>
      <c r="G55" s="14">
        <v>15000</v>
      </c>
      <c r="H55" s="14">
        <v>13800</v>
      </c>
      <c r="I55" s="31">
        <f>IF(COUNTIFS(Addendum!C:C,A55,Addendum!D:D,IF(ISNUMBER(B55),TEXT(B55,"0000"),B55),Addendum!E:E,"X")&gt;0,4%,0)</f>
        <v>0.04</v>
      </c>
      <c r="J55" s="31">
        <f>IF(COUNTIFS(Addendum!C:C,A55,Addendum!D:D,IF(ISNUMBER(B55),TEXT(B55,"0000"),B55),Addendum!F:F,"X")&gt;0,2.5%,0)</f>
        <v>0</v>
      </c>
      <c r="K55" s="31">
        <f>IF(COUNTIFS(Addendum!C:C,A55,Addendum!D:D,IF(ISNUMBER(B55),TEXT(B55,"0000"),B55),Addendum!G:G,"X")&gt;0,7%,0)</f>
        <v>7.0000000000000007E-2</v>
      </c>
      <c r="L55" s="31">
        <f>IF(COUNTIFS(Addendum!C:C,A55,Addendum!D:D,IF(ISNUMBER(B55),TEXT(B55,"0000"),B55),Addendum!I:I,"X")&gt;0,10%,0)</f>
        <v>0.1</v>
      </c>
      <c r="M55" s="34">
        <f t="shared" si="0"/>
        <v>0.14000000000000001</v>
      </c>
      <c r="N55" s="17">
        <f t="shared" si="1"/>
        <v>11868</v>
      </c>
    </row>
    <row r="56" spans="1:14" x14ac:dyDescent="0.25">
      <c r="A56" s="14" t="s">
        <v>57</v>
      </c>
      <c r="B56" s="14">
        <v>9</v>
      </c>
      <c r="C56" s="15" t="s">
        <v>1765</v>
      </c>
      <c r="D56" s="14" t="s">
        <v>1749</v>
      </c>
      <c r="E56" s="14" t="s">
        <v>1766</v>
      </c>
      <c r="F56" s="17" t="s">
        <v>2994</v>
      </c>
      <c r="G56" s="14">
        <v>0</v>
      </c>
      <c r="H56" s="14">
        <v>0</v>
      </c>
      <c r="I56" s="31">
        <f>IF(COUNTIFS(Addendum!C:C,A56,Addendum!D:D,IF(ISNUMBER(B56),TEXT(B56,"0000"),B56),Addendum!E:E,"X")&gt;0,4%,0)</f>
        <v>0.04</v>
      </c>
      <c r="J56" s="31">
        <f>IF(COUNTIFS(Addendum!C:C,A56,Addendum!D:D,IF(ISNUMBER(B56),TEXT(B56,"0000"),B56),Addendum!F:F,"X")&gt;0,2.5%,0)</f>
        <v>0</v>
      </c>
      <c r="K56" s="31">
        <f>IF(COUNTIFS(Addendum!C:C,A56,Addendum!D:D,IF(ISNUMBER(B56),TEXT(B56,"0000"),B56),Addendum!G:G,"X")&gt;0,7%,0)</f>
        <v>7.0000000000000007E-2</v>
      </c>
      <c r="L56" s="31">
        <f>IF(COUNTIFS(Addendum!C:C,A56,Addendum!D:D,IF(ISNUMBER(B56),TEXT(B56,"0000"),B56),Addendum!I:I,"X")&gt;0,10%,0)</f>
        <v>0.1</v>
      </c>
      <c r="M56" s="34">
        <f t="shared" si="0"/>
        <v>0.03</v>
      </c>
      <c r="N56" s="17">
        <f t="shared" si="1"/>
        <v>0</v>
      </c>
    </row>
    <row r="57" spans="1:14" x14ac:dyDescent="0.25">
      <c r="A57" s="14" t="s">
        <v>57</v>
      </c>
      <c r="B57" s="14">
        <v>4</v>
      </c>
      <c r="C57" s="15" t="s">
        <v>1765</v>
      </c>
      <c r="D57" s="14" t="s">
        <v>1745</v>
      </c>
      <c r="E57" s="14" t="s">
        <v>1746</v>
      </c>
      <c r="F57" s="17" t="s">
        <v>2994</v>
      </c>
      <c r="G57" s="14">
        <v>15750</v>
      </c>
      <c r="H57" s="14">
        <v>14490</v>
      </c>
      <c r="I57" s="31">
        <f>IF(COUNTIFS(Addendum!C:C,A57,Addendum!D:D,IF(ISNUMBER(B57),TEXT(B57,"0000"),B57),Addendum!E:E,"X")&gt;0,4%,0)</f>
        <v>0.04</v>
      </c>
      <c r="J57" s="31">
        <f>IF(COUNTIFS(Addendum!C:C,A57,Addendum!D:D,IF(ISNUMBER(B57),TEXT(B57,"0000"),B57),Addendum!F:F,"X")&gt;0,2.5%,0)</f>
        <v>0</v>
      </c>
      <c r="K57" s="31">
        <f>IF(COUNTIFS(Addendum!C:C,A57,Addendum!D:D,IF(ISNUMBER(B57),TEXT(B57,"0000"),B57),Addendum!G:G,"X")&gt;0,7%,0)</f>
        <v>7.0000000000000007E-2</v>
      </c>
      <c r="L57" s="31">
        <f>IF(COUNTIFS(Addendum!C:C,A57,Addendum!D:D,IF(ISNUMBER(B57),TEXT(B57,"0000"),B57),Addendum!I:I,"X")&gt;0,10%,0)</f>
        <v>0.1</v>
      </c>
      <c r="M57" s="34">
        <f t="shared" si="0"/>
        <v>0.03</v>
      </c>
      <c r="N57" s="17">
        <f t="shared" si="1"/>
        <v>14055.3</v>
      </c>
    </row>
    <row r="58" spans="1:14" x14ac:dyDescent="0.25">
      <c r="A58" s="14" t="s">
        <v>57</v>
      </c>
      <c r="B58" s="14">
        <v>2</v>
      </c>
      <c r="C58" s="15" t="s">
        <v>56</v>
      </c>
      <c r="D58" s="14" t="s">
        <v>1745</v>
      </c>
      <c r="E58" s="14" t="s">
        <v>1747</v>
      </c>
      <c r="F58" s="17" t="s">
        <v>2993</v>
      </c>
      <c r="G58" s="14">
        <v>15000</v>
      </c>
      <c r="H58" s="14">
        <v>12000</v>
      </c>
      <c r="I58" s="31">
        <f>IF(COUNTIFS(Addendum!C:C,A58,Addendum!D:D,IF(ISNUMBER(B58),TEXT(B58,"0000"),B58),Addendum!E:E,"X")&gt;0,4%,0)</f>
        <v>0.04</v>
      </c>
      <c r="J58" s="31">
        <f>IF(COUNTIFS(Addendum!C:C,A58,Addendum!D:D,IF(ISNUMBER(B58),TEXT(B58,"0000"),B58),Addendum!F:F,"X")&gt;0,2.5%,0)</f>
        <v>0</v>
      </c>
      <c r="K58" s="31">
        <f>IF(COUNTIFS(Addendum!C:C,A58,Addendum!D:D,IF(ISNUMBER(B58),TEXT(B58,"0000"),B58),Addendum!G:G,"X")&gt;0,7%,0)</f>
        <v>7.0000000000000007E-2</v>
      </c>
      <c r="L58" s="31">
        <f>IF(COUNTIFS(Addendum!C:C,A58,Addendum!D:D,IF(ISNUMBER(B58),TEXT(B58,"0000"),B58),Addendum!I:I,"X")&gt;0,10%,0)</f>
        <v>0.1</v>
      </c>
      <c r="M58" s="34">
        <f t="shared" si="0"/>
        <v>0.14000000000000001</v>
      </c>
      <c r="N58" s="17">
        <f t="shared" si="1"/>
        <v>10320</v>
      </c>
    </row>
    <row r="59" spans="1:14" x14ac:dyDescent="0.25">
      <c r="A59" s="14" t="s">
        <v>57</v>
      </c>
      <c r="B59" s="14">
        <v>2</v>
      </c>
      <c r="C59" s="15" t="s">
        <v>56</v>
      </c>
      <c r="D59" s="14" t="s">
        <v>1749</v>
      </c>
      <c r="E59" s="14" t="s">
        <v>1746</v>
      </c>
      <c r="F59" s="17" t="s">
        <v>2993</v>
      </c>
      <c r="G59" s="14">
        <v>1500</v>
      </c>
      <c r="H59" s="14">
        <v>1200</v>
      </c>
      <c r="I59" s="31">
        <f>IF(COUNTIFS(Addendum!C:C,A59,Addendum!D:D,IF(ISNUMBER(B59),TEXT(B59,"0000"),B59),Addendum!E:E,"X")&gt;0,4%,0)</f>
        <v>0.04</v>
      </c>
      <c r="J59" s="31">
        <f>IF(COUNTIFS(Addendum!C:C,A59,Addendum!D:D,IF(ISNUMBER(B59),TEXT(B59,"0000"),B59),Addendum!F:F,"X")&gt;0,2.5%,0)</f>
        <v>0</v>
      </c>
      <c r="K59" s="31">
        <f>IF(COUNTIFS(Addendum!C:C,A59,Addendum!D:D,IF(ISNUMBER(B59),TEXT(B59,"0000"),B59),Addendum!G:G,"X")&gt;0,7%,0)</f>
        <v>7.0000000000000007E-2</v>
      </c>
      <c r="L59" s="31">
        <f>IF(COUNTIFS(Addendum!C:C,A59,Addendum!D:D,IF(ISNUMBER(B59),TEXT(B59,"0000"),B59),Addendum!I:I,"X")&gt;0,10%,0)</f>
        <v>0.1</v>
      </c>
      <c r="M59" s="34">
        <f t="shared" si="0"/>
        <v>0.03</v>
      </c>
      <c r="N59" s="17">
        <f t="shared" si="1"/>
        <v>1164</v>
      </c>
    </row>
    <row r="60" spans="1:14" x14ac:dyDescent="0.25">
      <c r="A60" s="14" t="s">
        <v>57</v>
      </c>
      <c r="B60" s="14">
        <v>5</v>
      </c>
      <c r="C60" s="15" t="s">
        <v>1764</v>
      </c>
      <c r="D60" s="14" t="s">
        <v>1749</v>
      </c>
      <c r="E60" s="14" t="s">
        <v>1766</v>
      </c>
      <c r="F60" s="17" t="s">
        <v>2994</v>
      </c>
      <c r="G60" s="14">
        <v>0</v>
      </c>
      <c r="H60" s="14">
        <v>0</v>
      </c>
      <c r="I60" s="31">
        <f>IF(COUNTIFS(Addendum!C:C,A60,Addendum!D:D,IF(ISNUMBER(B60),TEXT(B60,"0000"),B60),Addendum!E:E,"X")&gt;0,4%,0)</f>
        <v>0.04</v>
      </c>
      <c r="J60" s="31">
        <f>IF(COUNTIFS(Addendum!C:C,A60,Addendum!D:D,IF(ISNUMBER(B60),TEXT(B60,"0000"),B60),Addendum!F:F,"X")&gt;0,2.5%,0)</f>
        <v>0</v>
      </c>
      <c r="K60" s="31">
        <f>IF(COUNTIFS(Addendum!C:C,A60,Addendum!D:D,IF(ISNUMBER(B60),TEXT(B60,"0000"),B60),Addendum!G:G,"X")&gt;0,7%,0)</f>
        <v>7.0000000000000007E-2</v>
      </c>
      <c r="L60" s="31">
        <f>IF(COUNTIFS(Addendum!C:C,A60,Addendum!D:D,IF(ISNUMBER(B60),TEXT(B60,"0000"),B60),Addendum!I:I,"X")&gt;0,10%,0)</f>
        <v>0.1</v>
      </c>
      <c r="M60" s="34">
        <f t="shared" si="0"/>
        <v>0.03</v>
      </c>
      <c r="N60" s="17">
        <f t="shared" si="1"/>
        <v>0</v>
      </c>
    </row>
    <row r="61" spans="1:14" x14ac:dyDescent="0.25">
      <c r="A61" s="14" t="s">
        <v>57</v>
      </c>
      <c r="B61" s="14">
        <v>6</v>
      </c>
      <c r="C61" s="15" t="s">
        <v>1764</v>
      </c>
      <c r="D61" s="14" t="s">
        <v>1745</v>
      </c>
      <c r="E61" s="14" t="s">
        <v>1746</v>
      </c>
      <c r="F61" s="17" t="s">
        <v>2994</v>
      </c>
      <c r="G61" s="14">
        <v>15750</v>
      </c>
      <c r="H61" s="14">
        <v>14490</v>
      </c>
      <c r="I61" s="31">
        <f>IF(COUNTIFS(Addendum!C:C,A61,Addendum!D:D,IF(ISNUMBER(B61),TEXT(B61,"0000"),B61),Addendum!E:E,"X")&gt;0,4%,0)</f>
        <v>0.04</v>
      </c>
      <c r="J61" s="31">
        <f>IF(COUNTIFS(Addendum!C:C,A61,Addendum!D:D,IF(ISNUMBER(B61),TEXT(B61,"0000"),B61),Addendum!F:F,"X")&gt;0,2.5%,0)</f>
        <v>0</v>
      </c>
      <c r="K61" s="31">
        <f>IF(COUNTIFS(Addendum!C:C,A61,Addendum!D:D,IF(ISNUMBER(B61),TEXT(B61,"0000"),B61),Addendum!G:G,"X")&gt;0,7%,0)</f>
        <v>7.0000000000000007E-2</v>
      </c>
      <c r="L61" s="31">
        <f>IF(COUNTIFS(Addendum!C:C,A61,Addendum!D:D,IF(ISNUMBER(B61),TEXT(B61,"0000"),B61),Addendum!I:I,"X")&gt;0,10%,0)</f>
        <v>0.1</v>
      </c>
      <c r="M61" s="34">
        <f t="shared" si="0"/>
        <v>0.03</v>
      </c>
      <c r="N61" s="17">
        <f t="shared" si="1"/>
        <v>14055.3</v>
      </c>
    </row>
    <row r="62" spans="1:14" x14ac:dyDescent="0.25">
      <c r="A62" s="14" t="s">
        <v>57</v>
      </c>
      <c r="B62" s="14">
        <v>4</v>
      </c>
      <c r="C62" s="15" t="s">
        <v>1765</v>
      </c>
      <c r="D62" s="14" t="s">
        <v>1745</v>
      </c>
      <c r="E62" s="14" t="s">
        <v>1747</v>
      </c>
      <c r="F62" s="17" t="s">
        <v>2994</v>
      </c>
      <c r="G62" s="14">
        <v>15000</v>
      </c>
      <c r="H62" s="14">
        <v>13800</v>
      </c>
      <c r="I62" s="31">
        <f>IF(COUNTIFS(Addendum!C:C,A62,Addendum!D:D,IF(ISNUMBER(B62),TEXT(B62,"0000"),B62),Addendum!E:E,"X")&gt;0,4%,0)</f>
        <v>0.04</v>
      </c>
      <c r="J62" s="31">
        <f>IF(COUNTIFS(Addendum!C:C,A62,Addendum!D:D,IF(ISNUMBER(B62),TEXT(B62,"0000"),B62),Addendum!F:F,"X")&gt;0,2.5%,0)</f>
        <v>0</v>
      </c>
      <c r="K62" s="31">
        <f>IF(COUNTIFS(Addendum!C:C,A62,Addendum!D:D,IF(ISNUMBER(B62),TEXT(B62,"0000"),B62),Addendum!G:G,"X")&gt;0,7%,0)</f>
        <v>7.0000000000000007E-2</v>
      </c>
      <c r="L62" s="31">
        <f>IF(COUNTIFS(Addendum!C:C,A62,Addendum!D:D,IF(ISNUMBER(B62),TEXT(B62,"0000"),B62),Addendum!I:I,"X")&gt;0,10%,0)</f>
        <v>0.1</v>
      </c>
      <c r="M62" s="34">
        <f t="shared" si="0"/>
        <v>0.14000000000000001</v>
      </c>
      <c r="N62" s="17">
        <f t="shared" si="1"/>
        <v>11868</v>
      </c>
    </row>
    <row r="63" spans="1:14" x14ac:dyDescent="0.25">
      <c r="A63" s="14" t="s">
        <v>57</v>
      </c>
      <c r="B63" s="14">
        <v>2</v>
      </c>
      <c r="C63" s="15" t="s">
        <v>56</v>
      </c>
      <c r="D63" s="14" t="s">
        <v>1745</v>
      </c>
      <c r="E63" s="14" t="s">
        <v>1746</v>
      </c>
      <c r="F63" s="17" t="s">
        <v>2993</v>
      </c>
      <c r="G63" s="14">
        <v>15750</v>
      </c>
      <c r="H63" s="14">
        <v>12600</v>
      </c>
      <c r="I63" s="31">
        <f>IF(COUNTIFS(Addendum!C:C,A63,Addendum!D:D,IF(ISNUMBER(B63),TEXT(B63,"0000"),B63),Addendum!E:E,"X")&gt;0,4%,0)</f>
        <v>0.04</v>
      </c>
      <c r="J63" s="31">
        <f>IF(COUNTIFS(Addendum!C:C,A63,Addendum!D:D,IF(ISNUMBER(B63),TEXT(B63,"0000"),B63),Addendum!F:F,"X")&gt;0,2.5%,0)</f>
        <v>0</v>
      </c>
      <c r="K63" s="31">
        <f>IF(COUNTIFS(Addendum!C:C,A63,Addendum!D:D,IF(ISNUMBER(B63),TEXT(B63,"0000"),B63),Addendum!G:G,"X")&gt;0,7%,0)</f>
        <v>7.0000000000000007E-2</v>
      </c>
      <c r="L63" s="31">
        <f>IF(COUNTIFS(Addendum!C:C,A63,Addendum!D:D,IF(ISNUMBER(B63),TEXT(B63,"0000"),B63),Addendum!I:I,"X")&gt;0,10%,0)</f>
        <v>0.1</v>
      </c>
      <c r="M63" s="34">
        <f t="shared" si="0"/>
        <v>0.03</v>
      </c>
      <c r="N63" s="17">
        <f t="shared" si="1"/>
        <v>12222</v>
      </c>
    </row>
    <row r="64" spans="1:14" x14ac:dyDescent="0.25">
      <c r="A64" s="14" t="s">
        <v>1767</v>
      </c>
      <c r="B64" s="14">
        <v>1</v>
      </c>
      <c r="C64" s="15" t="s">
        <v>1768</v>
      </c>
      <c r="D64" s="14" t="s">
        <v>1745</v>
      </c>
      <c r="E64" s="14" t="s">
        <v>1746</v>
      </c>
      <c r="F64" s="17" t="s">
        <v>2993</v>
      </c>
      <c r="G64" s="14">
        <v>1048.32</v>
      </c>
      <c r="H64" s="14">
        <v>838.68</v>
      </c>
      <c r="I64" s="31">
        <f>IF(COUNTIFS(Addendum!C:C,A64,Addendum!D:D,IF(ISNUMBER(B64),TEXT(B64,"0000"),B64),Addendum!E:E,"X")&gt;0,4%,0)</f>
        <v>0</v>
      </c>
      <c r="J64" s="31">
        <f>IF(COUNTIFS(Addendum!C:C,A64,Addendum!D:D,IF(ISNUMBER(B64),TEXT(B64,"0000"),B64),Addendum!F:F,"X")&gt;0,2.5%,0)</f>
        <v>0</v>
      </c>
      <c r="K64" s="31">
        <f>IF(COUNTIFS(Addendum!C:C,A64,Addendum!D:D,IF(ISNUMBER(B64),TEXT(B64,"0000"),B64),Addendum!G:G,"X")&gt;0,7%,0)</f>
        <v>0</v>
      </c>
      <c r="L64" s="31">
        <f>IF(COUNTIFS(Addendum!C:C,A64,Addendum!D:D,IF(ISNUMBER(B64),TEXT(B64,"0000"),B64),Addendum!I:I,"X")&gt;0,10%,0)</f>
        <v>0</v>
      </c>
      <c r="M64" s="34">
        <f t="shared" si="0"/>
        <v>0</v>
      </c>
      <c r="N64" s="17">
        <f t="shared" si="1"/>
        <v>838.68</v>
      </c>
    </row>
    <row r="65" spans="1:14" x14ac:dyDescent="0.25">
      <c r="A65" s="14" t="s">
        <v>1767</v>
      </c>
      <c r="B65" s="14">
        <v>1</v>
      </c>
      <c r="C65" s="15" t="s">
        <v>1768</v>
      </c>
      <c r="D65" s="14" t="s">
        <v>1745</v>
      </c>
      <c r="E65" s="14" t="s">
        <v>1747</v>
      </c>
      <c r="F65" s="17" t="s">
        <v>2993</v>
      </c>
      <c r="G65" s="14">
        <v>998.4</v>
      </c>
      <c r="H65" s="14">
        <v>798.72</v>
      </c>
      <c r="I65" s="31">
        <f>IF(COUNTIFS(Addendum!C:C,A65,Addendum!D:D,IF(ISNUMBER(B65),TEXT(B65,"0000"),B65),Addendum!E:E,"X")&gt;0,4%,0)</f>
        <v>0</v>
      </c>
      <c r="J65" s="31">
        <f>IF(COUNTIFS(Addendum!C:C,A65,Addendum!D:D,IF(ISNUMBER(B65),TEXT(B65,"0000"),B65),Addendum!F:F,"X")&gt;0,2.5%,0)</f>
        <v>0</v>
      </c>
      <c r="K65" s="31">
        <f>IF(COUNTIFS(Addendum!C:C,A65,Addendum!D:D,IF(ISNUMBER(B65),TEXT(B65,"0000"),B65),Addendum!G:G,"X")&gt;0,7%,0)</f>
        <v>0</v>
      </c>
      <c r="L65" s="31">
        <f>IF(COUNTIFS(Addendum!C:C,A65,Addendum!D:D,IF(ISNUMBER(B65),TEXT(B65,"0000"),B65),Addendum!I:I,"X")&gt;0,10%,0)</f>
        <v>0</v>
      </c>
      <c r="M65" s="34">
        <f t="shared" si="0"/>
        <v>0</v>
      </c>
      <c r="N65" s="17">
        <f t="shared" si="1"/>
        <v>798.72</v>
      </c>
    </row>
    <row r="66" spans="1:14" x14ac:dyDescent="0.25">
      <c r="A66" s="14" t="s">
        <v>1767</v>
      </c>
      <c r="B66" s="14">
        <v>1</v>
      </c>
      <c r="C66" s="15" t="s">
        <v>1768</v>
      </c>
      <c r="D66" s="14" t="s">
        <v>1749</v>
      </c>
      <c r="E66" s="14" t="s">
        <v>1746</v>
      </c>
      <c r="F66" s="17" t="s">
        <v>2993</v>
      </c>
      <c r="G66" s="14">
        <v>99.84</v>
      </c>
      <c r="H66" s="14">
        <v>79.87</v>
      </c>
      <c r="I66" s="31">
        <f>IF(COUNTIFS(Addendum!C:C,A66,Addendum!D:D,IF(ISNUMBER(B66),TEXT(B66,"0000"),B66),Addendum!E:E,"X")&gt;0,4%,0)</f>
        <v>0</v>
      </c>
      <c r="J66" s="31">
        <f>IF(COUNTIFS(Addendum!C:C,A66,Addendum!D:D,IF(ISNUMBER(B66),TEXT(B66,"0000"),B66),Addendum!F:F,"X")&gt;0,2.5%,0)</f>
        <v>0</v>
      </c>
      <c r="K66" s="31">
        <f>IF(COUNTIFS(Addendum!C:C,A66,Addendum!D:D,IF(ISNUMBER(B66),TEXT(B66,"0000"),B66),Addendum!G:G,"X")&gt;0,7%,0)</f>
        <v>0</v>
      </c>
      <c r="L66" s="31">
        <f>IF(COUNTIFS(Addendum!C:C,A66,Addendum!D:D,IF(ISNUMBER(B66),TEXT(B66,"0000"),B66),Addendum!I:I,"X")&gt;0,10%,0)</f>
        <v>0</v>
      </c>
      <c r="M66" s="34">
        <f t="shared" si="0"/>
        <v>0</v>
      </c>
      <c r="N66" s="17">
        <f t="shared" si="1"/>
        <v>79.87</v>
      </c>
    </row>
    <row r="67" spans="1:14" x14ac:dyDescent="0.25">
      <c r="A67" s="14" t="s">
        <v>1769</v>
      </c>
      <c r="B67" s="14">
        <v>1</v>
      </c>
      <c r="C67" s="15" t="s">
        <v>1770</v>
      </c>
      <c r="D67" s="14" t="s">
        <v>1749</v>
      </c>
      <c r="E67" s="14" t="s">
        <v>1746</v>
      </c>
      <c r="F67" s="17" t="s">
        <v>2993</v>
      </c>
      <c r="G67" s="14">
        <v>0</v>
      </c>
      <c r="H67" s="14">
        <v>0</v>
      </c>
      <c r="I67" s="31">
        <f>IF(COUNTIFS(Addendum!C:C,A67,Addendum!D:D,IF(ISNUMBER(B67),TEXT(B67,"0000"),B67),Addendum!E:E,"X")&gt;0,4%,0)</f>
        <v>0</v>
      </c>
      <c r="J67" s="31">
        <f>IF(COUNTIFS(Addendum!C:C,A67,Addendum!D:D,IF(ISNUMBER(B67),TEXT(B67,"0000"),B67),Addendum!F:F,"X")&gt;0,2.5%,0)</f>
        <v>0</v>
      </c>
      <c r="K67" s="31">
        <f>IF(COUNTIFS(Addendum!C:C,A67,Addendum!D:D,IF(ISNUMBER(B67),TEXT(B67,"0000"),B67),Addendum!G:G,"X")&gt;0,7%,0)</f>
        <v>0</v>
      </c>
      <c r="L67" s="31">
        <f>IF(COUNTIFS(Addendum!C:C,A67,Addendum!D:D,IF(ISNUMBER(B67),TEXT(B67,"0000"),B67),Addendum!I:I,"X")&gt;0,10%,0)</f>
        <v>0</v>
      </c>
      <c r="M67" s="34">
        <f t="shared" si="0"/>
        <v>0</v>
      </c>
      <c r="N67" s="17">
        <f t="shared" si="1"/>
        <v>0</v>
      </c>
    </row>
    <row r="68" spans="1:14" x14ac:dyDescent="0.25">
      <c r="A68" s="14" t="s">
        <v>1769</v>
      </c>
      <c r="B68" s="14">
        <v>1</v>
      </c>
      <c r="C68" s="15" t="s">
        <v>1770</v>
      </c>
      <c r="D68" s="14" t="s">
        <v>1745</v>
      </c>
      <c r="E68" s="14" t="s">
        <v>1747</v>
      </c>
      <c r="F68" s="17" t="s">
        <v>2993</v>
      </c>
      <c r="G68" s="14">
        <v>0</v>
      </c>
      <c r="H68" s="14">
        <v>0</v>
      </c>
      <c r="I68" s="31">
        <f>IF(COUNTIFS(Addendum!C:C,A68,Addendum!D:D,IF(ISNUMBER(B68),TEXT(B68,"0000"),B68),Addendum!E:E,"X")&gt;0,4%,0)</f>
        <v>0</v>
      </c>
      <c r="J68" s="31">
        <f>IF(COUNTIFS(Addendum!C:C,A68,Addendum!D:D,IF(ISNUMBER(B68),TEXT(B68,"0000"),B68),Addendum!F:F,"X")&gt;0,2.5%,0)</f>
        <v>0</v>
      </c>
      <c r="K68" s="31">
        <f>IF(COUNTIFS(Addendum!C:C,A68,Addendum!D:D,IF(ISNUMBER(B68),TEXT(B68,"0000"),B68),Addendum!G:G,"X")&gt;0,7%,0)</f>
        <v>0</v>
      </c>
      <c r="L68" s="31">
        <f>IF(COUNTIFS(Addendum!C:C,A68,Addendum!D:D,IF(ISNUMBER(B68),TEXT(B68,"0000"),B68),Addendum!I:I,"X")&gt;0,10%,0)</f>
        <v>0</v>
      </c>
      <c r="M68" s="34">
        <f t="shared" ref="M68:M131" si="2">IF(AND(I68=0%,J68=0%,K68=0%,L68=0%),0%,
IF(OR(TRIM(E68)="OneTime",TRIM(D68)=""),0%,
IF(
OR(
TRIM(D68)="P1M",
AND(TRIM(D68)="P1Y",TRIM(E68)="Monthly"),
AND(TRIM(D68)="P3Y",TRIM(E68)="Monthly")
),
IF(AND(I68=4%,J68=0%,K68=0%,L68=0%),1%,
IF(AND(I68=4%,J68=2.5%,K68=0%,L68=10%),2%,
IF(AND(I68=4%,J68=0%,K68=7%,L68=10%),3%,0%))),
IF(
OR(
AND(TRIM(D68)="P1Y",TRIM(E68)="Annual"),
AND(TRIM(D68)="P3Y",TRIM(E68)="Annual"),
AND(TRIM(D68)="P3Y",TRIM(E68)="Triennial")
),
IF(AND(I68=4%,J68=0%,K68=0%,L68=0%),3%,
IF(AND(I68=4%,J68=2.5%,K68=0%,L68=10%),10%,
IF(AND(I68=4%,J68=0%,K68=7%,L68=10%),14%,0%))),
0%
))))</f>
        <v>0</v>
      </c>
      <c r="N68" s="17">
        <f t="shared" ref="N68:N131" si="3">H68-(H68*M68)</f>
        <v>0</v>
      </c>
    </row>
    <row r="69" spans="1:14" x14ac:dyDescent="0.25">
      <c r="A69" s="14" t="s">
        <v>1769</v>
      </c>
      <c r="B69" s="14">
        <v>1</v>
      </c>
      <c r="C69" s="15" t="s">
        <v>1770</v>
      </c>
      <c r="D69" s="14" t="s">
        <v>1745</v>
      </c>
      <c r="E69" s="14" t="s">
        <v>1746</v>
      </c>
      <c r="F69" s="17" t="s">
        <v>2993</v>
      </c>
      <c r="G69" s="14">
        <v>0</v>
      </c>
      <c r="H69" s="14">
        <v>0</v>
      </c>
      <c r="I69" s="31">
        <f>IF(COUNTIFS(Addendum!C:C,A69,Addendum!D:D,IF(ISNUMBER(B69),TEXT(B69,"0000"),B69),Addendum!E:E,"X")&gt;0,4%,0)</f>
        <v>0</v>
      </c>
      <c r="J69" s="31">
        <f>IF(COUNTIFS(Addendum!C:C,A69,Addendum!D:D,IF(ISNUMBER(B69),TEXT(B69,"0000"),B69),Addendum!F:F,"X")&gt;0,2.5%,0)</f>
        <v>0</v>
      </c>
      <c r="K69" s="31">
        <f>IF(COUNTIFS(Addendum!C:C,A69,Addendum!D:D,IF(ISNUMBER(B69),TEXT(B69,"0000"),B69),Addendum!G:G,"X")&gt;0,7%,0)</f>
        <v>0</v>
      </c>
      <c r="L69" s="31">
        <f>IF(COUNTIFS(Addendum!C:C,A69,Addendum!D:D,IF(ISNUMBER(B69),TEXT(B69,"0000"),B69),Addendum!I:I,"X")&gt;0,10%,0)</f>
        <v>0</v>
      </c>
      <c r="M69" s="34">
        <f t="shared" si="2"/>
        <v>0</v>
      </c>
      <c r="N69" s="17">
        <f t="shared" si="3"/>
        <v>0</v>
      </c>
    </row>
    <row r="70" spans="1:14" x14ac:dyDescent="0.25">
      <c r="A70" s="14" t="s">
        <v>1771</v>
      </c>
      <c r="B70" s="14">
        <v>2</v>
      </c>
      <c r="C70" s="15" t="s">
        <v>1772</v>
      </c>
      <c r="D70" s="14" t="s">
        <v>1745</v>
      </c>
      <c r="E70" s="14" t="s">
        <v>1746</v>
      </c>
      <c r="F70" s="17" t="s">
        <v>2993</v>
      </c>
      <c r="G70" s="14">
        <v>4221</v>
      </c>
      <c r="H70" s="14">
        <v>3376.8</v>
      </c>
      <c r="I70" s="31">
        <f>IF(COUNTIFS(Addendum!C:C,A70,Addendum!D:D,IF(ISNUMBER(B70),TEXT(B70,"0000"),B70),Addendum!E:E,"X")&gt;0,4%,0)</f>
        <v>0</v>
      </c>
      <c r="J70" s="31">
        <f>IF(COUNTIFS(Addendum!C:C,A70,Addendum!D:D,IF(ISNUMBER(B70),TEXT(B70,"0000"),B70),Addendum!F:F,"X")&gt;0,2.5%,0)</f>
        <v>0</v>
      </c>
      <c r="K70" s="31">
        <f>IF(COUNTIFS(Addendum!C:C,A70,Addendum!D:D,IF(ISNUMBER(B70),TEXT(B70,"0000"),B70),Addendum!G:G,"X")&gt;0,7%,0)</f>
        <v>0</v>
      </c>
      <c r="L70" s="31">
        <f>IF(COUNTIFS(Addendum!C:C,A70,Addendum!D:D,IF(ISNUMBER(B70),TEXT(B70,"0000"),B70),Addendum!I:I,"X")&gt;0,10%,0)</f>
        <v>0</v>
      </c>
      <c r="M70" s="34">
        <f t="shared" si="2"/>
        <v>0</v>
      </c>
      <c r="N70" s="17">
        <f t="shared" si="3"/>
        <v>3376.8</v>
      </c>
    </row>
    <row r="71" spans="1:14" x14ac:dyDescent="0.25">
      <c r="A71" s="14" t="s">
        <v>1771</v>
      </c>
      <c r="B71" s="14">
        <v>2</v>
      </c>
      <c r="C71" s="15" t="s">
        <v>1772</v>
      </c>
      <c r="D71" s="14" t="s">
        <v>1745</v>
      </c>
      <c r="E71" s="14" t="s">
        <v>1747</v>
      </c>
      <c r="F71" s="17" t="s">
        <v>2993</v>
      </c>
      <c r="G71" s="14">
        <v>4020</v>
      </c>
      <c r="H71" s="14">
        <v>3216</v>
      </c>
      <c r="I71" s="31">
        <f>IF(COUNTIFS(Addendum!C:C,A71,Addendum!D:D,IF(ISNUMBER(B71),TEXT(B71,"0000"),B71),Addendum!E:E,"X")&gt;0,4%,0)</f>
        <v>0</v>
      </c>
      <c r="J71" s="31">
        <f>IF(COUNTIFS(Addendum!C:C,A71,Addendum!D:D,IF(ISNUMBER(B71),TEXT(B71,"0000"),B71),Addendum!F:F,"X")&gt;0,2.5%,0)</f>
        <v>0</v>
      </c>
      <c r="K71" s="31">
        <f>IF(COUNTIFS(Addendum!C:C,A71,Addendum!D:D,IF(ISNUMBER(B71),TEXT(B71,"0000"),B71),Addendum!G:G,"X")&gt;0,7%,0)</f>
        <v>0</v>
      </c>
      <c r="L71" s="31">
        <f>IF(COUNTIFS(Addendum!C:C,A71,Addendum!D:D,IF(ISNUMBER(B71),TEXT(B71,"0000"),B71),Addendum!I:I,"X")&gt;0,10%,0)</f>
        <v>0</v>
      </c>
      <c r="M71" s="34">
        <f t="shared" si="2"/>
        <v>0</v>
      </c>
      <c r="N71" s="17">
        <f t="shared" si="3"/>
        <v>3216</v>
      </c>
    </row>
    <row r="72" spans="1:14" x14ac:dyDescent="0.25">
      <c r="A72" s="14" t="s">
        <v>1773</v>
      </c>
      <c r="B72" s="14">
        <v>5</v>
      </c>
      <c r="C72" s="15" t="s">
        <v>1774</v>
      </c>
      <c r="D72" s="14" t="s">
        <v>1745</v>
      </c>
      <c r="E72" s="14" t="s">
        <v>1747</v>
      </c>
      <c r="F72" s="17" t="s">
        <v>2993</v>
      </c>
      <c r="G72" s="14">
        <v>1260</v>
      </c>
      <c r="H72" s="14">
        <v>1008</v>
      </c>
      <c r="I72" s="31">
        <f>IF(COUNTIFS(Addendum!C:C,A72,Addendum!D:D,IF(ISNUMBER(B72),TEXT(B72,"0000"),B72),Addendum!E:E,"X")&gt;0,4%,0)</f>
        <v>0</v>
      </c>
      <c r="J72" s="31">
        <f>IF(COUNTIFS(Addendum!C:C,A72,Addendum!D:D,IF(ISNUMBER(B72),TEXT(B72,"0000"),B72),Addendum!F:F,"X")&gt;0,2.5%,0)</f>
        <v>0</v>
      </c>
      <c r="K72" s="31">
        <f>IF(COUNTIFS(Addendum!C:C,A72,Addendum!D:D,IF(ISNUMBER(B72),TEXT(B72,"0000"),B72),Addendum!G:G,"X")&gt;0,7%,0)</f>
        <v>0</v>
      </c>
      <c r="L72" s="31">
        <f>IF(COUNTIFS(Addendum!C:C,A72,Addendum!D:D,IF(ISNUMBER(B72),TEXT(B72,"0000"),B72),Addendum!I:I,"X")&gt;0,10%,0)</f>
        <v>0</v>
      </c>
      <c r="M72" s="34">
        <f t="shared" si="2"/>
        <v>0</v>
      </c>
      <c r="N72" s="17">
        <f t="shared" si="3"/>
        <v>1008</v>
      </c>
    </row>
    <row r="73" spans="1:14" x14ac:dyDescent="0.25">
      <c r="A73" s="14" t="s">
        <v>1775</v>
      </c>
      <c r="B73" s="14">
        <v>2</v>
      </c>
      <c r="C73" s="15" t="s">
        <v>1776</v>
      </c>
      <c r="D73" s="14" t="s">
        <v>1745</v>
      </c>
      <c r="E73" s="14" t="s">
        <v>1747</v>
      </c>
      <c r="F73" s="17" t="s">
        <v>2993</v>
      </c>
      <c r="G73" s="14">
        <v>39960</v>
      </c>
      <c r="H73" s="14">
        <v>29970</v>
      </c>
      <c r="I73" s="31">
        <f>IF(COUNTIFS(Addendum!C:C,A73,Addendum!D:D,IF(ISNUMBER(B73),TEXT(B73,"0000"),B73),Addendum!E:E,"X")&gt;0,4%,0)</f>
        <v>0</v>
      </c>
      <c r="J73" s="31">
        <f>IF(COUNTIFS(Addendum!C:C,A73,Addendum!D:D,IF(ISNUMBER(B73),TEXT(B73,"0000"),B73),Addendum!F:F,"X")&gt;0,2.5%,0)</f>
        <v>0</v>
      </c>
      <c r="K73" s="31">
        <f>IF(COUNTIFS(Addendum!C:C,A73,Addendum!D:D,IF(ISNUMBER(B73),TEXT(B73,"0000"),B73),Addendum!G:G,"X")&gt;0,7%,0)</f>
        <v>0</v>
      </c>
      <c r="L73" s="31">
        <f>IF(COUNTIFS(Addendum!C:C,A73,Addendum!D:D,IF(ISNUMBER(B73),TEXT(B73,"0000"),B73),Addendum!I:I,"X")&gt;0,10%,0)</f>
        <v>0</v>
      </c>
      <c r="M73" s="34">
        <f t="shared" si="2"/>
        <v>0</v>
      </c>
      <c r="N73" s="17">
        <f t="shared" si="3"/>
        <v>29970</v>
      </c>
    </row>
    <row r="74" spans="1:14" x14ac:dyDescent="0.25">
      <c r="A74" s="14" t="s">
        <v>1775</v>
      </c>
      <c r="B74" s="14" t="s">
        <v>89</v>
      </c>
      <c r="C74" s="15" t="s">
        <v>1777</v>
      </c>
      <c r="D74" s="14" t="s">
        <v>1749</v>
      </c>
      <c r="E74" s="14" t="s">
        <v>1746</v>
      </c>
      <c r="F74" s="17" t="s">
        <v>2994</v>
      </c>
      <c r="G74" s="14">
        <v>2796</v>
      </c>
      <c r="H74" s="14">
        <v>2097</v>
      </c>
      <c r="I74" s="31">
        <f>IF(COUNTIFS(Addendum!C:C,A74,Addendum!D:D,IF(ISNUMBER(B74),TEXT(B74,"0000"),B74),Addendum!E:E,"X")&gt;0,4%,0)</f>
        <v>0</v>
      </c>
      <c r="J74" s="31">
        <f>IF(COUNTIFS(Addendum!C:C,A74,Addendum!D:D,IF(ISNUMBER(B74),TEXT(B74,"0000"),B74),Addendum!F:F,"X")&gt;0,2.5%,0)</f>
        <v>0</v>
      </c>
      <c r="K74" s="31">
        <f>IF(COUNTIFS(Addendum!C:C,A74,Addendum!D:D,IF(ISNUMBER(B74),TEXT(B74,"0000"),B74),Addendum!G:G,"X")&gt;0,7%,0)</f>
        <v>0</v>
      </c>
      <c r="L74" s="31">
        <f>IF(COUNTIFS(Addendum!C:C,A74,Addendum!D:D,IF(ISNUMBER(B74),TEXT(B74,"0000"),B74),Addendum!I:I,"X")&gt;0,10%,0)</f>
        <v>0</v>
      </c>
      <c r="M74" s="34">
        <f t="shared" si="2"/>
        <v>0</v>
      </c>
      <c r="N74" s="17">
        <f t="shared" si="3"/>
        <v>2097</v>
      </c>
    </row>
    <row r="75" spans="1:14" x14ac:dyDescent="0.25">
      <c r="A75" s="14" t="s">
        <v>1775</v>
      </c>
      <c r="B75" s="14">
        <v>2</v>
      </c>
      <c r="C75" s="15" t="s">
        <v>1776</v>
      </c>
      <c r="D75" s="14" t="s">
        <v>1749</v>
      </c>
      <c r="E75" s="14" t="s">
        <v>1746</v>
      </c>
      <c r="F75" s="17" t="s">
        <v>2993</v>
      </c>
      <c r="G75" s="14">
        <v>3996</v>
      </c>
      <c r="H75" s="14">
        <v>2997</v>
      </c>
      <c r="I75" s="31">
        <f>IF(COUNTIFS(Addendum!C:C,A75,Addendum!D:D,IF(ISNUMBER(B75),TEXT(B75,"0000"),B75),Addendum!E:E,"X")&gt;0,4%,0)</f>
        <v>0</v>
      </c>
      <c r="J75" s="31">
        <f>IF(COUNTIFS(Addendum!C:C,A75,Addendum!D:D,IF(ISNUMBER(B75),TEXT(B75,"0000"),B75),Addendum!F:F,"X")&gt;0,2.5%,0)</f>
        <v>0</v>
      </c>
      <c r="K75" s="31">
        <f>IF(COUNTIFS(Addendum!C:C,A75,Addendum!D:D,IF(ISNUMBER(B75),TEXT(B75,"0000"),B75),Addendum!G:G,"X")&gt;0,7%,0)</f>
        <v>0</v>
      </c>
      <c r="L75" s="31">
        <f>IF(COUNTIFS(Addendum!C:C,A75,Addendum!D:D,IF(ISNUMBER(B75),TEXT(B75,"0000"),B75),Addendum!I:I,"X")&gt;0,10%,0)</f>
        <v>0</v>
      </c>
      <c r="M75" s="34">
        <f t="shared" si="2"/>
        <v>0</v>
      </c>
      <c r="N75" s="17">
        <f t="shared" si="3"/>
        <v>2997</v>
      </c>
    </row>
    <row r="76" spans="1:14" x14ac:dyDescent="0.25">
      <c r="A76" s="14" t="s">
        <v>1775</v>
      </c>
      <c r="B76" s="14" t="s">
        <v>55</v>
      </c>
      <c r="C76" s="15" t="s">
        <v>1778</v>
      </c>
      <c r="D76" s="14" t="s">
        <v>1745</v>
      </c>
      <c r="E76" s="14" t="s">
        <v>1746</v>
      </c>
      <c r="F76" s="17" t="s">
        <v>2995</v>
      </c>
      <c r="G76" s="14">
        <v>29358</v>
      </c>
      <c r="H76" s="14">
        <v>26422.2</v>
      </c>
      <c r="I76" s="31">
        <f>IF(COUNTIFS(Addendum!C:C,A76,Addendum!D:D,IF(ISNUMBER(B76),TEXT(B76,"0000"),B76),Addendum!E:E,"X")&gt;0,4%,0)</f>
        <v>0</v>
      </c>
      <c r="J76" s="31">
        <f>IF(COUNTIFS(Addendum!C:C,A76,Addendum!D:D,IF(ISNUMBER(B76),TEXT(B76,"0000"),B76),Addendum!F:F,"X")&gt;0,2.5%,0)</f>
        <v>0</v>
      </c>
      <c r="K76" s="31">
        <f>IF(COUNTIFS(Addendum!C:C,A76,Addendum!D:D,IF(ISNUMBER(B76),TEXT(B76,"0000"),B76),Addendum!G:G,"X")&gt;0,7%,0)</f>
        <v>0</v>
      </c>
      <c r="L76" s="31">
        <f>IF(COUNTIFS(Addendum!C:C,A76,Addendum!D:D,IF(ISNUMBER(B76),TEXT(B76,"0000"),B76),Addendum!I:I,"X")&gt;0,10%,0)</f>
        <v>0</v>
      </c>
      <c r="M76" s="34">
        <f t="shared" si="2"/>
        <v>0</v>
      </c>
      <c r="N76" s="17">
        <f t="shared" si="3"/>
        <v>26422.2</v>
      </c>
    </row>
    <row r="77" spans="1:14" x14ac:dyDescent="0.25">
      <c r="A77" s="14" t="s">
        <v>1775</v>
      </c>
      <c r="B77" s="14">
        <v>2</v>
      </c>
      <c r="C77" s="15" t="s">
        <v>1776</v>
      </c>
      <c r="D77" s="14" t="s">
        <v>1745</v>
      </c>
      <c r="E77" s="14" t="s">
        <v>1746</v>
      </c>
      <c r="F77" s="17" t="s">
        <v>2993</v>
      </c>
      <c r="G77" s="14">
        <v>41958</v>
      </c>
      <c r="H77" s="14">
        <v>31468.560000000001</v>
      </c>
      <c r="I77" s="31">
        <f>IF(COUNTIFS(Addendum!C:C,A77,Addendum!D:D,IF(ISNUMBER(B77),TEXT(B77,"0000"),B77),Addendum!E:E,"X")&gt;0,4%,0)</f>
        <v>0</v>
      </c>
      <c r="J77" s="31">
        <f>IF(COUNTIFS(Addendum!C:C,A77,Addendum!D:D,IF(ISNUMBER(B77),TEXT(B77,"0000"),B77),Addendum!F:F,"X")&gt;0,2.5%,0)</f>
        <v>0</v>
      </c>
      <c r="K77" s="31">
        <f>IF(COUNTIFS(Addendum!C:C,A77,Addendum!D:D,IF(ISNUMBER(B77),TEXT(B77,"0000"),B77),Addendum!G:G,"X")&gt;0,7%,0)</f>
        <v>0</v>
      </c>
      <c r="L77" s="31">
        <f>IF(COUNTIFS(Addendum!C:C,A77,Addendum!D:D,IF(ISNUMBER(B77),TEXT(B77,"0000"),B77),Addendum!I:I,"X")&gt;0,10%,0)</f>
        <v>0</v>
      </c>
      <c r="M77" s="34">
        <f t="shared" si="2"/>
        <v>0</v>
      </c>
      <c r="N77" s="17">
        <f t="shared" si="3"/>
        <v>31468.560000000001</v>
      </c>
    </row>
    <row r="78" spans="1:14" x14ac:dyDescent="0.25">
      <c r="A78" s="14" t="s">
        <v>1775</v>
      </c>
      <c r="B78" s="14" t="s">
        <v>89</v>
      </c>
      <c r="C78" s="15" t="s">
        <v>1777</v>
      </c>
      <c r="D78" s="14" t="s">
        <v>1745</v>
      </c>
      <c r="E78" s="14" t="s">
        <v>1746</v>
      </c>
      <c r="F78" s="17" t="s">
        <v>2994</v>
      </c>
      <c r="G78" s="14">
        <v>29358</v>
      </c>
      <c r="H78" s="14">
        <v>22018.560000000001</v>
      </c>
      <c r="I78" s="31">
        <f>IF(COUNTIFS(Addendum!C:C,A78,Addendum!D:D,IF(ISNUMBER(B78),TEXT(B78,"0000"),B78),Addendum!E:E,"X")&gt;0,4%,0)</f>
        <v>0</v>
      </c>
      <c r="J78" s="31">
        <f>IF(COUNTIFS(Addendum!C:C,A78,Addendum!D:D,IF(ISNUMBER(B78),TEXT(B78,"0000"),B78),Addendum!F:F,"X")&gt;0,2.5%,0)</f>
        <v>0</v>
      </c>
      <c r="K78" s="31">
        <f>IF(COUNTIFS(Addendum!C:C,A78,Addendum!D:D,IF(ISNUMBER(B78),TEXT(B78,"0000"),B78),Addendum!G:G,"X")&gt;0,7%,0)</f>
        <v>0</v>
      </c>
      <c r="L78" s="31">
        <f>IF(COUNTIFS(Addendum!C:C,A78,Addendum!D:D,IF(ISNUMBER(B78),TEXT(B78,"0000"),B78),Addendum!I:I,"X")&gt;0,10%,0)</f>
        <v>0</v>
      </c>
      <c r="M78" s="34">
        <f t="shared" si="2"/>
        <v>0</v>
      </c>
      <c r="N78" s="17">
        <f t="shared" si="3"/>
        <v>22018.560000000001</v>
      </c>
    </row>
    <row r="79" spans="1:14" x14ac:dyDescent="0.25">
      <c r="A79" s="14" t="s">
        <v>1775</v>
      </c>
      <c r="B79" s="14" t="s">
        <v>55</v>
      </c>
      <c r="C79" s="15" t="s">
        <v>1778</v>
      </c>
      <c r="D79" s="14" t="s">
        <v>1749</v>
      </c>
      <c r="E79" s="14" t="s">
        <v>1746</v>
      </c>
      <c r="F79" s="17" t="s">
        <v>2995</v>
      </c>
      <c r="G79" s="14">
        <v>2796</v>
      </c>
      <c r="H79" s="14">
        <v>2516.4</v>
      </c>
      <c r="I79" s="31">
        <f>IF(COUNTIFS(Addendum!C:C,A79,Addendum!D:D,IF(ISNUMBER(B79),TEXT(B79,"0000"),B79),Addendum!E:E,"X")&gt;0,4%,0)</f>
        <v>0</v>
      </c>
      <c r="J79" s="31">
        <f>IF(COUNTIFS(Addendum!C:C,A79,Addendum!D:D,IF(ISNUMBER(B79),TEXT(B79,"0000"),B79),Addendum!F:F,"X")&gt;0,2.5%,0)</f>
        <v>0</v>
      </c>
      <c r="K79" s="31">
        <f>IF(COUNTIFS(Addendum!C:C,A79,Addendum!D:D,IF(ISNUMBER(B79),TEXT(B79,"0000"),B79),Addendum!G:G,"X")&gt;0,7%,0)</f>
        <v>0</v>
      </c>
      <c r="L79" s="31">
        <f>IF(COUNTIFS(Addendum!C:C,A79,Addendum!D:D,IF(ISNUMBER(B79),TEXT(B79,"0000"),B79),Addendum!I:I,"X")&gt;0,10%,0)</f>
        <v>0</v>
      </c>
      <c r="M79" s="34">
        <f t="shared" si="2"/>
        <v>0</v>
      </c>
      <c r="N79" s="17">
        <f t="shared" si="3"/>
        <v>2516.4</v>
      </c>
    </row>
    <row r="80" spans="1:14" x14ac:dyDescent="0.25">
      <c r="A80" s="14" t="s">
        <v>1775</v>
      </c>
      <c r="B80" s="14" t="s">
        <v>89</v>
      </c>
      <c r="C80" s="15" t="s">
        <v>1777</v>
      </c>
      <c r="D80" s="14" t="s">
        <v>1745</v>
      </c>
      <c r="E80" s="14" t="s">
        <v>1747</v>
      </c>
      <c r="F80" s="17" t="s">
        <v>2994</v>
      </c>
      <c r="G80" s="14">
        <v>27960</v>
      </c>
      <c r="H80" s="14">
        <v>20970</v>
      </c>
      <c r="I80" s="31">
        <f>IF(COUNTIFS(Addendum!C:C,A80,Addendum!D:D,IF(ISNUMBER(B80),TEXT(B80,"0000"),B80),Addendum!E:E,"X")&gt;0,4%,0)</f>
        <v>0</v>
      </c>
      <c r="J80" s="31">
        <f>IF(COUNTIFS(Addendum!C:C,A80,Addendum!D:D,IF(ISNUMBER(B80),TEXT(B80,"0000"),B80),Addendum!F:F,"X")&gt;0,2.5%,0)</f>
        <v>0</v>
      </c>
      <c r="K80" s="31">
        <f>IF(COUNTIFS(Addendum!C:C,A80,Addendum!D:D,IF(ISNUMBER(B80),TEXT(B80,"0000"),B80),Addendum!G:G,"X")&gt;0,7%,0)</f>
        <v>0</v>
      </c>
      <c r="L80" s="31">
        <f>IF(COUNTIFS(Addendum!C:C,A80,Addendum!D:D,IF(ISNUMBER(B80),TEXT(B80,"0000"),B80),Addendum!I:I,"X")&gt;0,10%,0)</f>
        <v>0</v>
      </c>
      <c r="M80" s="34">
        <f t="shared" si="2"/>
        <v>0</v>
      </c>
      <c r="N80" s="17">
        <f t="shared" si="3"/>
        <v>20970</v>
      </c>
    </row>
    <row r="81" spans="1:14" x14ac:dyDescent="0.25">
      <c r="A81" s="14" t="s">
        <v>1775</v>
      </c>
      <c r="B81" s="14" t="s">
        <v>55</v>
      </c>
      <c r="C81" s="15" t="s">
        <v>1778</v>
      </c>
      <c r="D81" s="14" t="s">
        <v>1745</v>
      </c>
      <c r="E81" s="14" t="s">
        <v>1747</v>
      </c>
      <c r="F81" s="17" t="s">
        <v>2995</v>
      </c>
      <c r="G81" s="14">
        <v>27960</v>
      </c>
      <c r="H81" s="14">
        <v>25164</v>
      </c>
      <c r="I81" s="31">
        <f>IF(COUNTIFS(Addendum!C:C,A81,Addendum!D:D,IF(ISNUMBER(B81),TEXT(B81,"0000"),B81),Addendum!E:E,"X")&gt;0,4%,0)</f>
        <v>0</v>
      </c>
      <c r="J81" s="31">
        <f>IF(COUNTIFS(Addendum!C:C,A81,Addendum!D:D,IF(ISNUMBER(B81),TEXT(B81,"0000"),B81),Addendum!F:F,"X")&gt;0,2.5%,0)</f>
        <v>0</v>
      </c>
      <c r="K81" s="31">
        <f>IF(COUNTIFS(Addendum!C:C,A81,Addendum!D:D,IF(ISNUMBER(B81),TEXT(B81,"0000"),B81),Addendum!G:G,"X")&gt;0,7%,0)</f>
        <v>0</v>
      </c>
      <c r="L81" s="31">
        <f>IF(COUNTIFS(Addendum!C:C,A81,Addendum!D:D,IF(ISNUMBER(B81),TEXT(B81,"0000"),B81),Addendum!I:I,"X")&gt;0,10%,0)</f>
        <v>0</v>
      </c>
      <c r="M81" s="34">
        <f t="shared" si="2"/>
        <v>0</v>
      </c>
      <c r="N81" s="17">
        <f t="shared" si="3"/>
        <v>25164</v>
      </c>
    </row>
    <row r="82" spans="1:14" x14ac:dyDescent="0.25">
      <c r="A82" s="14" t="s">
        <v>1779</v>
      </c>
      <c r="B82" s="14">
        <v>3</v>
      </c>
      <c r="C82" s="15" t="s">
        <v>1780</v>
      </c>
      <c r="D82" s="14" t="s">
        <v>1749</v>
      </c>
      <c r="E82" s="14" t="s">
        <v>1746</v>
      </c>
      <c r="F82" s="17" t="s">
        <v>2993</v>
      </c>
      <c r="G82" s="14">
        <v>2994</v>
      </c>
      <c r="H82" s="14">
        <v>2245.5</v>
      </c>
      <c r="I82" s="31">
        <f>IF(COUNTIFS(Addendum!C:C,A82,Addendum!D:D,IF(ISNUMBER(B82),TEXT(B82,"0000"),B82),Addendum!E:E,"X")&gt;0,4%,0)</f>
        <v>0</v>
      </c>
      <c r="J82" s="31">
        <f>IF(COUNTIFS(Addendum!C:C,A82,Addendum!D:D,IF(ISNUMBER(B82),TEXT(B82,"0000"),B82),Addendum!F:F,"X")&gt;0,2.5%,0)</f>
        <v>0</v>
      </c>
      <c r="K82" s="31">
        <f>IF(COUNTIFS(Addendum!C:C,A82,Addendum!D:D,IF(ISNUMBER(B82),TEXT(B82,"0000"),B82),Addendum!G:G,"X")&gt;0,7%,0)</f>
        <v>0</v>
      </c>
      <c r="L82" s="31">
        <f>IF(COUNTIFS(Addendum!C:C,A82,Addendum!D:D,IF(ISNUMBER(B82),TEXT(B82,"0000"),B82),Addendum!I:I,"X")&gt;0,10%,0)</f>
        <v>0</v>
      </c>
      <c r="M82" s="34">
        <f t="shared" si="2"/>
        <v>0</v>
      </c>
      <c r="N82" s="17">
        <f t="shared" si="3"/>
        <v>2245.5</v>
      </c>
    </row>
    <row r="83" spans="1:14" x14ac:dyDescent="0.25">
      <c r="A83" s="14" t="s">
        <v>1779</v>
      </c>
      <c r="B83" s="14">
        <v>3</v>
      </c>
      <c r="C83" s="15" t="s">
        <v>1780</v>
      </c>
      <c r="D83" s="14" t="s">
        <v>1745</v>
      </c>
      <c r="E83" s="14" t="s">
        <v>1747</v>
      </c>
      <c r="F83" s="17" t="s">
        <v>2993</v>
      </c>
      <c r="G83" s="14">
        <v>29940</v>
      </c>
      <c r="H83" s="14">
        <v>22455</v>
      </c>
      <c r="I83" s="31">
        <f>IF(COUNTIFS(Addendum!C:C,A83,Addendum!D:D,IF(ISNUMBER(B83),TEXT(B83,"0000"),B83),Addendum!E:E,"X")&gt;0,4%,0)</f>
        <v>0</v>
      </c>
      <c r="J83" s="31">
        <f>IF(COUNTIFS(Addendum!C:C,A83,Addendum!D:D,IF(ISNUMBER(B83),TEXT(B83,"0000"),B83),Addendum!F:F,"X")&gt;0,2.5%,0)</f>
        <v>0</v>
      </c>
      <c r="K83" s="31">
        <f>IF(COUNTIFS(Addendum!C:C,A83,Addendum!D:D,IF(ISNUMBER(B83),TEXT(B83,"0000"),B83),Addendum!G:G,"X")&gt;0,7%,0)</f>
        <v>0</v>
      </c>
      <c r="L83" s="31">
        <f>IF(COUNTIFS(Addendum!C:C,A83,Addendum!D:D,IF(ISNUMBER(B83),TEXT(B83,"0000"),B83),Addendum!I:I,"X")&gt;0,10%,0)</f>
        <v>0</v>
      </c>
      <c r="M83" s="34">
        <f t="shared" si="2"/>
        <v>0</v>
      </c>
      <c r="N83" s="17">
        <f t="shared" si="3"/>
        <v>22455</v>
      </c>
    </row>
    <row r="84" spans="1:14" x14ac:dyDescent="0.25">
      <c r="A84" s="14" t="s">
        <v>1779</v>
      </c>
      <c r="B84" s="14">
        <v>3</v>
      </c>
      <c r="C84" s="15" t="s">
        <v>1780</v>
      </c>
      <c r="D84" s="14" t="s">
        <v>1745</v>
      </c>
      <c r="E84" s="14" t="s">
        <v>1746</v>
      </c>
      <c r="F84" s="17" t="s">
        <v>2993</v>
      </c>
      <c r="G84" s="14">
        <v>31437</v>
      </c>
      <c r="H84" s="14">
        <v>23577.72</v>
      </c>
      <c r="I84" s="31">
        <f>IF(COUNTIFS(Addendum!C:C,A84,Addendum!D:D,IF(ISNUMBER(B84),TEXT(B84,"0000"),B84),Addendum!E:E,"X")&gt;0,4%,0)</f>
        <v>0</v>
      </c>
      <c r="J84" s="31">
        <f>IF(COUNTIFS(Addendum!C:C,A84,Addendum!D:D,IF(ISNUMBER(B84),TEXT(B84,"0000"),B84),Addendum!F:F,"X")&gt;0,2.5%,0)</f>
        <v>0</v>
      </c>
      <c r="K84" s="31">
        <f>IF(COUNTIFS(Addendum!C:C,A84,Addendum!D:D,IF(ISNUMBER(B84),TEXT(B84,"0000"),B84),Addendum!G:G,"X")&gt;0,7%,0)</f>
        <v>0</v>
      </c>
      <c r="L84" s="31">
        <f>IF(COUNTIFS(Addendum!C:C,A84,Addendum!D:D,IF(ISNUMBER(B84),TEXT(B84,"0000"),B84),Addendum!I:I,"X")&gt;0,10%,0)</f>
        <v>0</v>
      </c>
      <c r="M84" s="34">
        <f t="shared" si="2"/>
        <v>0</v>
      </c>
      <c r="N84" s="17">
        <f t="shared" si="3"/>
        <v>23577.72</v>
      </c>
    </row>
    <row r="85" spans="1:14" x14ac:dyDescent="0.25">
      <c r="A85" s="14" t="s">
        <v>1779</v>
      </c>
      <c r="B85" s="14">
        <v>2</v>
      </c>
      <c r="C85" s="15" t="s">
        <v>1780</v>
      </c>
      <c r="D85" s="14" t="s">
        <v>1749</v>
      </c>
      <c r="E85" s="14" t="s">
        <v>1766</v>
      </c>
      <c r="F85" s="17" t="s">
        <v>2993</v>
      </c>
      <c r="G85" s="14">
        <v>0</v>
      </c>
      <c r="H85" s="14">
        <v>0</v>
      </c>
      <c r="I85" s="31">
        <f>IF(COUNTIFS(Addendum!C:C,A85,Addendum!D:D,IF(ISNUMBER(B85),TEXT(B85,"0000"),B85),Addendum!E:E,"X")&gt;0,4%,0)</f>
        <v>0</v>
      </c>
      <c r="J85" s="31">
        <f>IF(COUNTIFS(Addendum!C:C,A85,Addendum!D:D,IF(ISNUMBER(B85),TEXT(B85,"0000"),B85),Addendum!F:F,"X")&gt;0,2.5%,0)</f>
        <v>0</v>
      </c>
      <c r="K85" s="31">
        <f>IF(COUNTIFS(Addendum!C:C,A85,Addendum!D:D,IF(ISNUMBER(B85),TEXT(B85,"0000"),B85),Addendum!G:G,"X")&gt;0,7%,0)</f>
        <v>0</v>
      </c>
      <c r="L85" s="31">
        <f>IF(COUNTIFS(Addendum!C:C,A85,Addendum!D:D,IF(ISNUMBER(B85),TEXT(B85,"0000"),B85),Addendum!I:I,"X")&gt;0,10%,0)</f>
        <v>0</v>
      </c>
      <c r="M85" s="34">
        <f t="shared" si="2"/>
        <v>0</v>
      </c>
      <c r="N85" s="17">
        <f t="shared" si="3"/>
        <v>0</v>
      </c>
    </row>
    <row r="86" spans="1:14" x14ac:dyDescent="0.25">
      <c r="A86" s="14" t="s">
        <v>1781</v>
      </c>
      <c r="B86" s="14">
        <v>1</v>
      </c>
      <c r="C86" s="15" t="s">
        <v>1782</v>
      </c>
      <c r="D86" s="14" t="s">
        <v>1745</v>
      </c>
      <c r="E86" s="14" t="s">
        <v>1746</v>
      </c>
      <c r="F86" s="17" t="s">
        <v>2993</v>
      </c>
      <c r="G86" s="14">
        <v>2079</v>
      </c>
      <c r="H86" s="14">
        <v>1559.28</v>
      </c>
      <c r="I86" s="31">
        <f>IF(COUNTIFS(Addendum!C:C,A86,Addendum!D:D,IF(ISNUMBER(B86),TEXT(B86,"0000"),B86),Addendum!E:E,"X")&gt;0,4%,0)</f>
        <v>0</v>
      </c>
      <c r="J86" s="31">
        <f>IF(COUNTIFS(Addendum!C:C,A86,Addendum!D:D,IF(ISNUMBER(B86),TEXT(B86,"0000"),B86),Addendum!F:F,"X")&gt;0,2.5%,0)</f>
        <v>0</v>
      </c>
      <c r="K86" s="31">
        <f>IF(COUNTIFS(Addendum!C:C,A86,Addendum!D:D,IF(ISNUMBER(B86),TEXT(B86,"0000"),B86),Addendum!G:G,"X")&gt;0,7%,0)</f>
        <v>0</v>
      </c>
      <c r="L86" s="31">
        <f>IF(COUNTIFS(Addendum!C:C,A86,Addendum!D:D,IF(ISNUMBER(B86),TEXT(B86,"0000"),B86),Addendum!I:I,"X")&gt;0,10%,0)</f>
        <v>0</v>
      </c>
      <c r="M86" s="34">
        <f t="shared" si="2"/>
        <v>0</v>
      </c>
      <c r="N86" s="17">
        <f t="shared" si="3"/>
        <v>1559.28</v>
      </c>
    </row>
    <row r="87" spans="1:14" x14ac:dyDescent="0.25">
      <c r="A87" s="14" t="s">
        <v>1781</v>
      </c>
      <c r="B87" s="14" t="s">
        <v>73</v>
      </c>
      <c r="C87" s="15" t="s">
        <v>1783</v>
      </c>
      <c r="D87" s="14" t="s">
        <v>1745</v>
      </c>
      <c r="E87" s="14" t="s">
        <v>1746</v>
      </c>
      <c r="F87" s="17" t="s">
        <v>2995</v>
      </c>
      <c r="G87" s="14">
        <v>1449</v>
      </c>
      <c r="H87" s="14">
        <v>1304.1600000000001</v>
      </c>
      <c r="I87" s="31">
        <f>IF(COUNTIFS(Addendum!C:C,A87,Addendum!D:D,IF(ISNUMBER(B87),TEXT(B87,"0000"),B87),Addendum!E:E,"X")&gt;0,4%,0)</f>
        <v>0</v>
      </c>
      <c r="J87" s="31">
        <f>IF(COUNTIFS(Addendum!C:C,A87,Addendum!D:D,IF(ISNUMBER(B87),TEXT(B87,"0000"),B87),Addendum!F:F,"X")&gt;0,2.5%,0)</f>
        <v>0</v>
      </c>
      <c r="K87" s="31">
        <f>IF(COUNTIFS(Addendum!C:C,A87,Addendum!D:D,IF(ISNUMBER(B87),TEXT(B87,"0000"),B87),Addendum!G:G,"X")&gt;0,7%,0)</f>
        <v>0</v>
      </c>
      <c r="L87" s="31">
        <f>IF(COUNTIFS(Addendum!C:C,A87,Addendum!D:D,IF(ISNUMBER(B87),TEXT(B87,"0000"),B87),Addendum!I:I,"X")&gt;0,10%,0)</f>
        <v>0</v>
      </c>
      <c r="M87" s="34">
        <f t="shared" si="2"/>
        <v>0</v>
      </c>
      <c r="N87" s="17">
        <f t="shared" si="3"/>
        <v>1304.1600000000001</v>
      </c>
    </row>
    <row r="88" spans="1:14" x14ac:dyDescent="0.25">
      <c r="A88" s="14" t="s">
        <v>1781</v>
      </c>
      <c r="B88" s="14">
        <v>1</v>
      </c>
      <c r="C88" s="15" t="s">
        <v>1782</v>
      </c>
      <c r="D88" s="14" t="s">
        <v>1745</v>
      </c>
      <c r="E88" s="14" t="s">
        <v>1747</v>
      </c>
      <c r="F88" s="17" t="s">
        <v>2993</v>
      </c>
      <c r="G88" s="14">
        <v>1980</v>
      </c>
      <c r="H88" s="14">
        <v>1485</v>
      </c>
      <c r="I88" s="31">
        <f>IF(COUNTIFS(Addendum!C:C,A88,Addendum!D:D,IF(ISNUMBER(B88),TEXT(B88,"0000"),B88),Addendum!E:E,"X")&gt;0,4%,0)</f>
        <v>0</v>
      </c>
      <c r="J88" s="31">
        <f>IF(COUNTIFS(Addendum!C:C,A88,Addendum!D:D,IF(ISNUMBER(B88),TEXT(B88,"0000"),B88),Addendum!F:F,"X")&gt;0,2.5%,0)</f>
        <v>0</v>
      </c>
      <c r="K88" s="31">
        <f>IF(COUNTIFS(Addendum!C:C,A88,Addendum!D:D,IF(ISNUMBER(B88),TEXT(B88,"0000"),B88),Addendum!G:G,"X")&gt;0,7%,0)</f>
        <v>0</v>
      </c>
      <c r="L88" s="31">
        <f>IF(COUNTIFS(Addendum!C:C,A88,Addendum!D:D,IF(ISNUMBER(B88),TEXT(B88,"0000"),B88),Addendum!I:I,"X")&gt;0,10%,0)</f>
        <v>0</v>
      </c>
      <c r="M88" s="34">
        <f t="shared" si="2"/>
        <v>0</v>
      </c>
      <c r="N88" s="17">
        <f t="shared" si="3"/>
        <v>1485</v>
      </c>
    </row>
    <row r="89" spans="1:14" x14ac:dyDescent="0.25">
      <c r="A89" s="14" t="s">
        <v>1781</v>
      </c>
      <c r="B89" s="14" t="s">
        <v>73</v>
      </c>
      <c r="C89" s="15" t="s">
        <v>1783</v>
      </c>
      <c r="D89" s="14" t="s">
        <v>1745</v>
      </c>
      <c r="E89" s="14" t="s">
        <v>1747</v>
      </c>
      <c r="F89" s="17" t="s">
        <v>2995</v>
      </c>
      <c r="G89" s="14">
        <v>1380</v>
      </c>
      <c r="H89" s="14">
        <v>1242</v>
      </c>
      <c r="I89" s="31">
        <f>IF(COUNTIFS(Addendum!C:C,A89,Addendum!D:D,IF(ISNUMBER(B89),TEXT(B89,"0000"),B89),Addendum!E:E,"X")&gt;0,4%,0)</f>
        <v>0</v>
      </c>
      <c r="J89" s="31">
        <f>IF(COUNTIFS(Addendum!C:C,A89,Addendum!D:D,IF(ISNUMBER(B89),TEXT(B89,"0000"),B89),Addendum!F:F,"X")&gt;0,2.5%,0)</f>
        <v>0</v>
      </c>
      <c r="K89" s="31">
        <f>IF(COUNTIFS(Addendum!C:C,A89,Addendum!D:D,IF(ISNUMBER(B89),TEXT(B89,"0000"),B89),Addendum!G:G,"X")&gt;0,7%,0)</f>
        <v>0</v>
      </c>
      <c r="L89" s="31">
        <f>IF(COUNTIFS(Addendum!C:C,A89,Addendum!D:D,IF(ISNUMBER(B89),TEXT(B89,"0000"),B89),Addendum!I:I,"X")&gt;0,10%,0)</f>
        <v>0</v>
      </c>
      <c r="M89" s="34">
        <f t="shared" si="2"/>
        <v>0</v>
      </c>
      <c r="N89" s="17">
        <f t="shared" si="3"/>
        <v>1242</v>
      </c>
    </row>
    <row r="90" spans="1:14" x14ac:dyDescent="0.25">
      <c r="A90" s="14" t="s">
        <v>1781</v>
      </c>
      <c r="B90" s="14" t="s">
        <v>89</v>
      </c>
      <c r="C90" s="15" t="s">
        <v>1784</v>
      </c>
      <c r="D90" s="14" t="s">
        <v>1745</v>
      </c>
      <c r="E90" s="14" t="s">
        <v>1747</v>
      </c>
      <c r="F90" s="17" t="s">
        <v>2994</v>
      </c>
      <c r="G90" s="14">
        <v>1380</v>
      </c>
      <c r="H90" s="14">
        <v>1035</v>
      </c>
      <c r="I90" s="31">
        <f>IF(COUNTIFS(Addendum!C:C,A90,Addendum!D:D,IF(ISNUMBER(B90),TEXT(B90,"0000"),B90),Addendum!E:E,"X")&gt;0,4%,0)</f>
        <v>0</v>
      </c>
      <c r="J90" s="31">
        <f>IF(COUNTIFS(Addendum!C:C,A90,Addendum!D:D,IF(ISNUMBER(B90),TEXT(B90,"0000"),B90),Addendum!F:F,"X")&gt;0,2.5%,0)</f>
        <v>0</v>
      </c>
      <c r="K90" s="31">
        <f>IF(COUNTIFS(Addendum!C:C,A90,Addendum!D:D,IF(ISNUMBER(B90),TEXT(B90,"0000"),B90),Addendum!G:G,"X")&gt;0,7%,0)</f>
        <v>0</v>
      </c>
      <c r="L90" s="31">
        <f>IF(COUNTIFS(Addendum!C:C,A90,Addendum!D:D,IF(ISNUMBER(B90),TEXT(B90,"0000"),B90),Addendum!I:I,"X")&gt;0,10%,0)</f>
        <v>0</v>
      </c>
      <c r="M90" s="34">
        <f t="shared" si="2"/>
        <v>0</v>
      </c>
      <c r="N90" s="17">
        <f t="shared" si="3"/>
        <v>1035</v>
      </c>
    </row>
    <row r="91" spans="1:14" x14ac:dyDescent="0.25">
      <c r="A91" s="14" t="s">
        <v>1781</v>
      </c>
      <c r="B91" s="14" t="s">
        <v>89</v>
      </c>
      <c r="C91" s="15" t="s">
        <v>1784</v>
      </c>
      <c r="D91" s="14" t="s">
        <v>1745</v>
      </c>
      <c r="E91" s="14" t="s">
        <v>1746</v>
      </c>
      <c r="F91" s="17" t="s">
        <v>2994</v>
      </c>
      <c r="G91" s="14">
        <v>1449</v>
      </c>
      <c r="H91" s="14">
        <v>1086.72</v>
      </c>
      <c r="I91" s="31">
        <f>IF(COUNTIFS(Addendum!C:C,A91,Addendum!D:D,IF(ISNUMBER(B91),TEXT(B91,"0000"),B91),Addendum!E:E,"X")&gt;0,4%,0)</f>
        <v>0</v>
      </c>
      <c r="J91" s="31">
        <f>IF(COUNTIFS(Addendum!C:C,A91,Addendum!D:D,IF(ISNUMBER(B91),TEXT(B91,"0000"),B91),Addendum!F:F,"X")&gt;0,2.5%,0)</f>
        <v>0</v>
      </c>
      <c r="K91" s="31">
        <f>IF(COUNTIFS(Addendum!C:C,A91,Addendum!D:D,IF(ISNUMBER(B91),TEXT(B91,"0000"),B91),Addendum!G:G,"X")&gt;0,7%,0)</f>
        <v>0</v>
      </c>
      <c r="L91" s="31">
        <f>IF(COUNTIFS(Addendum!C:C,A91,Addendum!D:D,IF(ISNUMBER(B91),TEXT(B91,"0000"),B91),Addendum!I:I,"X")&gt;0,10%,0)</f>
        <v>0</v>
      </c>
      <c r="M91" s="34">
        <f t="shared" si="2"/>
        <v>0</v>
      </c>
      <c r="N91" s="17">
        <f t="shared" si="3"/>
        <v>1086.72</v>
      </c>
    </row>
    <row r="92" spans="1:14" x14ac:dyDescent="0.25">
      <c r="A92" s="14" t="s">
        <v>1781</v>
      </c>
      <c r="B92" s="14">
        <v>1</v>
      </c>
      <c r="C92" s="15" t="s">
        <v>1782</v>
      </c>
      <c r="D92" s="14" t="s">
        <v>1749</v>
      </c>
      <c r="E92" s="14" t="s">
        <v>1746</v>
      </c>
      <c r="F92" s="17" t="s">
        <v>2993</v>
      </c>
      <c r="G92" s="14">
        <v>198</v>
      </c>
      <c r="H92" s="14">
        <v>148.5</v>
      </c>
      <c r="I92" s="31">
        <f>IF(COUNTIFS(Addendum!C:C,A92,Addendum!D:D,IF(ISNUMBER(B92),TEXT(B92,"0000"),B92),Addendum!E:E,"X")&gt;0,4%,0)</f>
        <v>0</v>
      </c>
      <c r="J92" s="31">
        <f>IF(COUNTIFS(Addendum!C:C,A92,Addendum!D:D,IF(ISNUMBER(B92),TEXT(B92,"0000"),B92),Addendum!F:F,"X")&gt;0,2.5%,0)</f>
        <v>0</v>
      </c>
      <c r="K92" s="31">
        <f>IF(COUNTIFS(Addendum!C:C,A92,Addendum!D:D,IF(ISNUMBER(B92),TEXT(B92,"0000"),B92),Addendum!G:G,"X")&gt;0,7%,0)</f>
        <v>0</v>
      </c>
      <c r="L92" s="31">
        <f>IF(COUNTIFS(Addendum!C:C,A92,Addendum!D:D,IF(ISNUMBER(B92),TEXT(B92,"0000"),B92),Addendum!I:I,"X")&gt;0,10%,0)</f>
        <v>0</v>
      </c>
      <c r="M92" s="34">
        <f t="shared" si="2"/>
        <v>0</v>
      </c>
      <c r="N92" s="17">
        <f t="shared" si="3"/>
        <v>148.5</v>
      </c>
    </row>
    <row r="93" spans="1:14" x14ac:dyDescent="0.25">
      <c r="A93" s="14" t="s">
        <v>1781</v>
      </c>
      <c r="B93" s="14" t="s">
        <v>73</v>
      </c>
      <c r="C93" s="15" t="s">
        <v>1783</v>
      </c>
      <c r="D93" s="14" t="s">
        <v>1749</v>
      </c>
      <c r="E93" s="14" t="s">
        <v>1746</v>
      </c>
      <c r="F93" s="17" t="s">
        <v>2995</v>
      </c>
      <c r="G93" s="14">
        <v>138</v>
      </c>
      <c r="H93" s="14">
        <v>124.2</v>
      </c>
      <c r="I93" s="31">
        <f>IF(COUNTIFS(Addendum!C:C,A93,Addendum!D:D,IF(ISNUMBER(B93),TEXT(B93,"0000"),B93),Addendum!E:E,"X")&gt;0,4%,0)</f>
        <v>0</v>
      </c>
      <c r="J93" s="31">
        <f>IF(COUNTIFS(Addendum!C:C,A93,Addendum!D:D,IF(ISNUMBER(B93),TEXT(B93,"0000"),B93),Addendum!F:F,"X")&gt;0,2.5%,0)</f>
        <v>0</v>
      </c>
      <c r="K93" s="31">
        <f>IF(COUNTIFS(Addendum!C:C,A93,Addendum!D:D,IF(ISNUMBER(B93),TEXT(B93,"0000"),B93),Addendum!G:G,"X")&gt;0,7%,0)</f>
        <v>0</v>
      </c>
      <c r="L93" s="31">
        <f>IF(COUNTIFS(Addendum!C:C,A93,Addendum!D:D,IF(ISNUMBER(B93),TEXT(B93,"0000"),B93),Addendum!I:I,"X")&gt;0,10%,0)</f>
        <v>0</v>
      </c>
      <c r="M93" s="34">
        <f t="shared" si="2"/>
        <v>0</v>
      </c>
      <c r="N93" s="17">
        <f t="shared" si="3"/>
        <v>124.2</v>
      </c>
    </row>
    <row r="94" spans="1:14" x14ac:dyDescent="0.25">
      <c r="A94" s="14" t="s">
        <v>1781</v>
      </c>
      <c r="B94" s="14" t="s">
        <v>89</v>
      </c>
      <c r="C94" s="15" t="s">
        <v>1784</v>
      </c>
      <c r="D94" s="14" t="s">
        <v>1749</v>
      </c>
      <c r="E94" s="14" t="s">
        <v>1746</v>
      </c>
      <c r="F94" s="17" t="s">
        <v>2994</v>
      </c>
      <c r="G94" s="14">
        <v>138</v>
      </c>
      <c r="H94" s="14">
        <v>103.5</v>
      </c>
      <c r="I94" s="31">
        <f>IF(COUNTIFS(Addendum!C:C,A94,Addendum!D:D,IF(ISNUMBER(B94),TEXT(B94,"0000"),B94),Addendum!E:E,"X")&gt;0,4%,0)</f>
        <v>0</v>
      </c>
      <c r="J94" s="31">
        <f>IF(COUNTIFS(Addendum!C:C,A94,Addendum!D:D,IF(ISNUMBER(B94),TEXT(B94,"0000"),B94),Addendum!F:F,"X")&gt;0,2.5%,0)</f>
        <v>0</v>
      </c>
      <c r="K94" s="31">
        <f>IF(COUNTIFS(Addendum!C:C,A94,Addendum!D:D,IF(ISNUMBER(B94),TEXT(B94,"0000"),B94),Addendum!G:G,"X")&gt;0,7%,0)</f>
        <v>0</v>
      </c>
      <c r="L94" s="31">
        <f>IF(COUNTIFS(Addendum!C:C,A94,Addendum!D:D,IF(ISNUMBER(B94),TEXT(B94,"0000"),B94),Addendum!I:I,"X")&gt;0,10%,0)</f>
        <v>0</v>
      </c>
      <c r="M94" s="34">
        <f t="shared" si="2"/>
        <v>0</v>
      </c>
      <c r="N94" s="17">
        <f t="shared" si="3"/>
        <v>103.5</v>
      </c>
    </row>
    <row r="95" spans="1:14" x14ac:dyDescent="0.25">
      <c r="A95" s="14" t="s">
        <v>1785</v>
      </c>
      <c r="B95" s="14" t="s">
        <v>73</v>
      </c>
      <c r="C95" s="15" t="s">
        <v>1786</v>
      </c>
      <c r="D95" s="14" t="s">
        <v>1745</v>
      </c>
      <c r="E95" s="14" t="s">
        <v>1746</v>
      </c>
      <c r="F95" s="17" t="s">
        <v>2995</v>
      </c>
      <c r="G95" s="14">
        <v>7308</v>
      </c>
      <c r="H95" s="14">
        <v>6577.2</v>
      </c>
      <c r="I95" s="31">
        <f>IF(COUNTIFS(Addendum!C:C,A95,Addendum!D:D,IF(ISNUMBER(B95),TEXT(B95,"0000"),B95),Addendum!E:E,"X")&gt;0,4%,0)</f>
        <v>0</v>
      </c>
      <c r="J95" s="31">
        <f>IF(COUNTIFS(Addendum!C:C,A95,Addendum!D:D,IF(ISNUMBER(B95),TEXT(B95,"0000"),B95),Addendum!F:F,"X")&gt;0,2.5%,0)</f>
        <v>0</v>
      </c>
      <c r="K95" s="31">
        <f>IF(COUNTIFS(Addendum!C:C,A95,Addendum!D:D,IF(ISNUMBER(B95),TEXT(B95,"0000"),B95),Addendum!G:G,"X")&gt;0,7%,0)</f>
        <v>0</v>
      </c>
      <c r="L95" s="31">
        <f>IF(COUNTIFS(Addendum!C:C,A95,Addendum!D:D,IF(ISNUMBER(B95),TEXT(B95,"0000"),B95),Addendum!I:I,"X")&gt;0,10%,0)</f>
        <v>0</v>
      </c>
      <c r="M95" s="34">
        <f t="shared" si="2"/>
        <v>0</v>
      </c>
      <c r="N95" s="17">
        <f t="shared" si="3"/>
        <v>6577.2</v>
      </c>
    </row>
    <row r="96" spans="1:14" x14ac:dyDescent="0.25">
      <c r="A96" s="14" t="s">
        <v>1785</v>
      </c>
      <c r="B96" s="14">
        <v>1</v>
      </c>
      <c r="C96" s="15" t="s">
        <v>1787</v>
      </c>
      <c r="D96" s="14" t="s">
        <v>1749</v>
      </c>
      <c r="E96" s="14" t="s">
        <v>1746</v>
      </c>
      <c r="F96" s="17" t="s">
        <v>2993</v>
      </c>
      <c r="G96" s="14">
        <v>996</v>
      </c>
      <c r="H96" s="14">
        <v>747</v>
      </c>
      <c r="I96" s="31">
        <f>IF(COUNTIFS(Addendum!C:C,A96,Addendum!D:D,IF(ISNUMBER(B96),TEXT(B96,"0000"),B96),Addendum!E:E,"X")&gt;0,4%,0)</f>
        <v>0</v>
      </c>
      <c r="J96" s="31">
        <f>IF(COUNTIFS(Addendum!C:C,A96,Addendum!D:D,IF(ISNUMBER(B96),TEXT(B96,"0000"),B96),Addendum!F:F,"X")&gt;0,2.5%,0)</f>
        <v>0</v>
      </c>
      <c r="K96" s="31">
        <f>IF(COUNTIFS(Addendum!C:C,A96,Addendum!D:D,IF(ISNUMBER(B96),TEXT(B96,"0000"),B96),Addendum!G:G,"X")&gt;0,7%,0)</f>
        <v>0</v>
      </c>
      <c r="L96" s="31">
        <f>IF(COUNTIFS(Addendum!C:C,A96,Addendum!D:D,IF(ISNUMBER(B96),TEXT(B96,"0000"),B96),Addendum!I:I,"X")&gt;0,10%,0)</f>
        <v>0</v>
      </c>
      <c r="M96" s="34">
        <f t="shared" si="2"/>
        <v>0</v>
      </c>
      <c r="N96" s="17">
        <f t="shared" si="3"/>
        <v>747</v>
      </c>
    </row>
    <row r="97" spans="1:14" x14ac:dyDescent="0.25">
      <c r="A97" s="14" t="s">
        <v>1785</v>
      </c>
      <c r="B97" s="14">
        <v>1</v>
      </c>
      <c r="C97" s="15" t="s">
        <v>1787</v>
      </c>
      <c r="D97" s="14" t="s">
        <v>1745</v>
      </c>
      <c r="E97" s="14" t="s">
        <v>1746</v>
      </c>
      <c r="F97" s="17" t="s">
        <v>2993</v>
      </c>
      <c r="G97" s="14">
        <v>10458</v>
      </c>
      <c r="H97" s="14">
        <v>7843.56</v>
      </c>
      <c r="I97" s="31">
        <f>IF(COUNTIFS(Addendum!C:C,A97,Addendum!D:D,IF(ISNUMBER(B97),TEXT(B97,"0000"),B97),Addendum!E:E,"X")&gt;0,4%,0)</f>
        <v>0</v>
      </c>
      <c r="J97" s="31">
        <f>IF(COUNTIFS(Addendum!C:C,A97,Addendum!D:D,IF(ISNUMBER(B97),TEXT(B97,"0000"),B97),Addendum!F:F,"X")&gt;0,2.5%,0)</f>
        <v>0</v>
      </c>
      <c r="K97" s="31">
        <f>IF(COUNTIFS(Addendum!C:C,A97,Addendum!D:D,IF(ISNUMBER(B97),TEXT(B97,"0000"),B97),Addendum!G:G,"X")&gt;0,7%,0)</f>
        <v>0</v>
      </c>
      <c r="L97" s="31">
        <f>IF(COUNTIFS(Addendum!C:C,A97,Addendum!D:D,IF(ISNUMBER(B97),TEXT(B97,"0000"),B97),Addendum!I:I,"X")&gt;0,10%,0)</f>
        <v>0</v>
      </c>
      <c r="M97" s="34">
        <f t="shared" si="2"/>
        <v>0</v>
      </c>
      <c r="N97" s="17">
        <f t="shared" si="3"/>
        <v>7843.56</v>
      </c>
    </row>
    <row r="98" spans="1:14" x14ac:dyDescent="0.25">
      <c r="A98" s="14" t="s">
        <v>1785</v>
      </c>
      <c r="B98" s="14">
        <v>1</v>
      </c>
      <c r="C98" s="15" t="s">
        <v>1787</v>
      </c>
      <c r="D98" s="14" t="s">
        <v>1745</v>
      </c>
      <c r="E98" s="14" t="s">
        <v>1747</v>
      </c>
      <c r="F98" s="17" t="s">
        <v>2993</v>
      </c>
      <c r="G98" s="14">
        <v>9960</v>
      </c>
      <c r="H98" s="14">
        <v>7470</v>
      </c>
      <c r="I98" s="31">
        <f>IF(COUNTIFS(Addendum!C:C,A98,Addendum!D:D,IF(ISNUMBER(B98),TEXT(B98,"0000"),B98),Addendum!E:E,"X")&gt;0,4%,0)</f>
        <v>0</v>
      </c>
      <c r="J98" s="31">
        <f>IF(COUNTIFS(Addendum!C:C,A98,Addendum!D:D,IF(ISNUMBER(B98),TEXT(B98,"0000"),B98),Addendum!F:F,"X")&gt;0,2.5%,0)</f>
        <v>0</v>
      </c>
      <c r="K98" s="31">
        <f>IF(COUNTIFS(Addendum!C:C,A98,Addendum!D:D,IF(ISNUMBER(B98),TEXT(B98,"0000"),B98),Addendum!G:G,"X")&gt;0,7%,0)</f>
        <v>0</v>
      </c>
      <c r="L98" s="31">
        <f>IF(COUNTIFS(Addendum!C:C,A98,Addendum!D:D,IF(ISNUMBER(B98),TEXT(B98,"0000"),B98),Addendum!I:I,"X")&gt;0,10%,0)</f>
        <v>0</v>
      </c>
      <c r="M98" s="34">
        <f t="shared" si="2"/>
        <v>0</v>
      </c>
      <c r="N98" s="17">
        <f t="shared" si="3"/>
        <v>7470</v>
      </c>
    </row>
    <row r="99" spans="1:14" x14ac:dyDescent="0.25">
      <c r="A99" s="14" t="s">
        <v>1785</v>
      </c>
      <c r="B99" s="14" t="s">
        <v>73</v>
      </c>
      <c r="C99" s="15" t="s">
        <v>1786</v>
      </c>
      <c r="D99" s="14" t="s">
        <v>1745</v>
      </c>
      <c r="E99" s="14" t="s">
        <v>1747</v>
      </c>
      <c r="F99" s="17" t="s">
        <v>2995</v>
      </c>
      <c r="G99" s="14">
        <v>6960</v>
      </c>
      <c r="H99" s="14">
        <v>6264</v>
      </c>
      <c r="I99" s="31">
        <f>IF(COUNTIFS(Addendum!C:C,A99,Addendum!D:D,IF(ISNUMBER(B99),TEXT(B99,"0000"),B99),Addendum!E:E,"X")&gt;0,4%,0)</f>
        <v>0</v>
      </c>
      <c r="J99" s="31">
        <f>IF(COUNTIFS(Addendum!C:C,A99,Addendum!D:D,IF(ISNUMBER(B99),TEXT(B99,"0000"),B99),Addendum!F:F,"X")&gt;0,2.5%,0)</f>
        <v>0</v>
      </c>
      <c r="K99" s="31">
        <f>IF(COUNTIFS(Addendum!C:C,A99,Addendum!D:D,IF(ISNUMBER(B99),TEXT(B99,"0000"),B99),Addendum!G:G,"X")&gt;0,7%,0)</f>
        <v>0</v>
      </c>
      <c r="L99" s="31">
        <f>IF(COUNTIFS(Addendum!C:C,A99,Addendum!D:D,IF(ISNUMBER(B99),TEXT(B99,"0000"),B99),Addendum!I:I,"X")&gt;0,10%,0)</f>
        <v>0</v>
      </c>
      <c r="M99" s="34">
        <f t="shared" si="2"/>
        <v>0</v>
      </c>
      <c r="N99" s="17">
        <f t="shared" si="3"/>
        <v>6264</v>
      </c>
    </row>
    <row r="100" spans="1:14" x14ac:dyDescent="0.25">
      <c r="A100" s="14" t="s">
        <v>1785</v>
      </c>
      <c r="B100" s="14" t="s">
        <v>89</v>
      </c>
      <c r="C100" s="15" t="s">
        <v>1788</v>
      </c>
      <c r="D100" s="14" t="s">
        <v>1745</v>
      </c>
      <c r="E100" s="14" t="s">
        <v>1746</v>
      </c>
      <c r="F100" s="17" t="s">
        <v>2994</v>
      </c>
      <c r="G100" s="14">
        <v>7308</v>
      </c>
      <c r="H100" s="14">
        <v>5481</v>
      </c>
      <c r="I100" s="31">
        <f>IF(COUNTIFS(Addendum!C:C,A100,Addendum!D:D,IF(ISNUMBER(B100),TEXT(B100,"0000"),B100),Addendum!E:E,"X")&gt;0,4%,0)</f>
        <v>0</v>
      </c>
      <c r="J100" s="31">
        <f>IF(COUNTIFS(Addendum!C:C,A100,Addendum!D:D,IF(ISNUMBER(B100),TEXT(B100,"0000"),B100),Addendum!F:F,"X")&gt;0,2.5%,0)</f>
        <v>0</v>
      </c>
      <c r="K100" s="31">
        <f>IF(COUNTIFS(Addendum!C:C,A100,Addendum!D:D,IF(ISNUMBER(B100),TEXT(B100,"0000"),B100),Addendum!G:G,"X")&gt;0,7%,0)</f>
        <v>0</v>
      </c>
      <c r="L100" s="31">
        <f>IF(COUNTIFS(Addendum!C:C,A100,Addendum!D:D,IF(ISNUMBER(B100),TEXT(B100,"0000"),B100),Addendum!I:I,"X")&gt;0,10%,0)</f>
        <v>0</v>
      </c>
      <c r="M100" s="34">
        <f t="shared" si="2"/>
        <v>0</v>
      </c>
      <c r="N100" s="17">
        <f t="shared" si="3"/>
        <v>5481</v>
      </c>
    </row>
    <row r="101" spans="1:14" x14ac:dyDescent="0.25">
      <c r="A101" s="14" t="s">
        <v>1785</v>
      </c>
      <c r="B101" s="14" t="s">
        <v>89</v>
      </c>
      <c r="C101" s="15" t="s">
        <v>1788</v>
      </c>
      <c r="D101" s="14" t="s">
        <v>1745</v>
      </c>
      <c r="E101" s="14" t="s">
        <v>1747</v>
      </c>
      <c r="F101" s="17" t="s">
        <v>2994</v>
      </c>
      <c r="G101" s="14">
        <v>6960</v>
      </c>
      <c r="H101" s="14">
        <v>5220</v>
      </c>
      <c r="I101" s="31">
        <f>IF(COUNTIFS(Addendum!C:C,A101,Addendum!D:D,IF(ISNUMBER(B101),TEXT(B101,"0000"),B101),Addendum!E:E,"X")&gt;0,4%,0)</f>
        <v>0</v>
      </c>
      <c r="J101" s="31">
        <f>IF(COUNTIFS(Addendum!C:C,A101,Addendum!D:D,IF(ISNUMBER(B101),TEXT(B101,"0000"),B101),Addendum!F:F,"X")&gt;0,2.5%,0)</f>
        <v>0</v>
      </c>
      <c r="K101" s="31">
        <f>IF(COUNTIFS(Addendum!C:C,A101,Addendum!D:D,IF(ISNUMBER(B101),TEXT(B101,"0000"),B101),Addendum!G:G,"X")&gt;0,7%,0)</f>
        <v>0</v>
      </c>
      <c r="L101" s="31">
        <f>IF(COUNTIFS(Addendum!C:C,A101,Addendum!D:D,IF(ISNUMBER(B101),TEXT(B101,"0000"),B101),Addendum!I:I,"X")&gt;0,10%,0)</f>
        <v>0</v>
      </c>
      <c r="M101" s="34">
        <f t="shared" si="2"/>
        <v>0</v>
      </c>
      <c r="N101" s="17">
        <f t="shared" si="3"/>
        <v>5220</v>
      </c>
    </row>
    <row r="102" spans="1:14" x14ac:dyDescent="0.25">
      <c r="A102" s="14" t="s">
        <v>1785</v>
      </c>
      <c r="B102" s="14" t="s">
        <v>73</v>
      </c>
      <c r="C102" s="15" t="s">
        <v>1786</v>
      </c>
      <c r="D102" s="14" t="s">
        <v>1749</v>
      </c>
      <c r="E102" s="14" t="s">
        <v>1746</v>
      </c>
      <c r="F102" s="17" t="s">
        <v>2995</v>
      </c>
      <c r="G102" s="14">
        <v>696</v>
      </c>
      <c r="H102" s="14">
        <v>626.4</v>
      </c>
      <c r="I102" s="31">
        <f>IF(COUNTIFS(Addendum!C:C,A102,Addendum!D:D,IF(ISNUMBER(B102),TEXT(B102,"0000"),B102),Addendum!E:E,"X")&gt;0,4%,0)</f>
        <v>0</v>
      </c>
      <c r="J102" s="31">
        <f>IF(COUNTIFS(Addendum!C:C,A102,Addendum!D:D,IF(ISNUMBER(B102),TEXT(B102,"0000"),B102),Addendum!F:F,"X")&gt;0,2.5%,0)</f>
        <v>0</v>
      </c>
      <c r="K102" s="31">
        <f>IF(COUNTIFS(Addendum!C:C,A102,Addendum!D:D,IF(ISNUMBER(B102),TEXT(B102,"0000"),B102),Addendum!G:G,"X")&gt;0,7%,0)</f>
        <v>0</v>
      </c>
      <c r="L102" s="31">
        <f>IF(COUNTIFS(Addendum!C:C,A102,Addendum!D:D,IF(ISNUMBER(B102),TEXT(B102,"0000"),B102),Addendum!I:I,"X")&gt;0,10%,0)</f>
        <v>0</v>
      </c>
      <c r="M102" s="34">
        <f t="shared" si="2"/>
        <v>0</v>
      </c>
      <c r="N102" s="17">
        <f t="shared" si="3"/>
        <v>626.4</v>
      </c>
    </row>
    <row r="103" spans="1:14" x14ac:dyDescent="0.25">
      <c r="A103" s="14" t="s">
        <v>1785</v>
      </c>
      <c r="B103" s="14" t="s">
        <v>89</v>
      </c>
      <c r="C103" s="15" t="s">
        <v>1788</v>
      </c>
      <c r="D103" s="14" t="s">
        <v>1749</v>
      </c>
      <c r="E103" s="14" t="s">
        <v>1746</v>
      </c>
      <c r="F103" s="17" t="s">
        <v>2994</v>
      </c>
      <c r="G103" s="14">
        <v>696</v>
      </c>
      <c r="H103" s="14">
        <v>522</v>
      </c>
      <c r="I103" s="31">
        <f>IF(COUNTIFS(Addendum!C:C,A103,Addendum!D:D,IF(ISNUMBER(B103),TEXT(B103,"0000"),B103),Addendum!E:E,"X")&gt;0,4%,0)</f>
        <v>0</v>
      </c>
      <c r="J103" s="31">
        <f>IF(COUNTIFS(Addendum!C:C,A103,Addendum!D:D,IF(ISNUMBER(B103),TEXT(B103,"0000"),B103),Addendum!F:F,"X")&gt;0,2.5%,0)</f>
        <v>0</v>
      </c>
      <c r="K103" s="31">
        <f>IF(COUNTIFS(Addendum!C:C,A103,Addendum!D:D,IF(ISNUMBER(B103),TEXT(B103,"0000"),B103),Addendum!G:G,"X")&gt;0,7%,0)</f>
        <v>0</v>
      </c>
      <c r="L103" s="31">
        <f>IF(COUNTIFS(Addendum!C:C,A103,Addendum!D:D,IF(ISNUMBER(B103),TEXT(B103,"0000"),B103),Addendum!I:I,"X")&gt;0,10%,0)</f>
        <v>0</v>
      </c>
      <c r="M103" s="34">
        <f t="shared" si="2"/>
        <v>0</v>
      </c>
      <c r="N103" s="17">
        <f t="shared" si="3"/>
        <v>522</v>
      </c>
    </row>
    <row r="104" spans="1:14" x14ac:dyDescent="0.25">
      <c r="A104" s="14" t="s">
        <v>1789</v>
      </c>
      <c r="B104" s="14" t="s">
        <v>16</v>
      </c>
      <c r="C104" s="15" t="s">
        <v>1790</v>
      </c>
      <c r="D104" s="14" t="s">
        <v>1749</v>
      </c>
      <c r="E104" s="14" t="s">
        <v>1746</v>
      </c>
      <c r="F104" s="17" t="s">
        <v>2994</v>
      </c>
      <c r="G104" s="14">
        <v>34944</v>
      </c>
      <c r="H104" s="14">
        <v>24460.799999999999</v>
      </c>
      <c r="I104" s="31">
        <f>IF(COUNTIFS(Addendum!C:C,A104,Addendum!D:D,IF(ISNUMBER(B104),TEXT(B104,"0000"),B104),Addendum!E:E,"X")&gt;0,4%,0)</f>
        <v>0</v>
      </c>
      <c r="J104" s="31">
        <f>IF(COUNTIFS(Addendum!C:C,A104,Addendum!D:D,IF(ISNUMBER(B104),TEXT(B104,"0000"),B104),Addendum!F:F,"X")&gt;0,2.5%,0)</f>
        <v>0</v>
      </c>
      <c r="K104" s="31">
        <f>IF(COUNTIFS(Addendum!C:C,A104,Addendum!D:D,IF(ISNUMBER(B104),TEXT(B104,"0000"),B104),Addendum!G:G,"X")&gt;0,7%,0)</f>
        <v>0</v>
      </c>
      <c r="L104" s="31">
        <f>IF(COUNTIFS(Addendum!C:C,A104,Addendum!D:D,IF(ISNUMBER(B104),TEXT(B104,"0000"),B104),Addendum!I:I,"X")&gt;0,10%,0)</f>
        <v>0</v>
      </c>
      <c r="M104" s="34">
        <f t="shared" si="2"/>
        <v>0</v>
      </c>
      <c r="N104" s="17">
        <f t="shared" si="3"/>
        <v>24460.799999999999</v>
      </c>
    </row>
    <row r="105" spans="1:14" x14ac:dyDescent="0.25">
      <c r="A105" s="14" t="s">
        <v>1789</v>
      </c>
      <c r="B105" s="14">
        <v>1</v>
      </c>
      <c r="C105" s="15" t="s">
        <v>1791</v>
      </c>
      <c r="D105" s="14" t="s">
        <v>1749</v>
      </c>
      <c r="E105" s="14" t="s">
        <v>1746</v>
      </c>
      <c r="F105" s="17" t="s">
        <v>2993</v>
      </c>
      <c r="G105" s="14">
        <v>49914</v>
      </c>
      <c r="H105" s="14">
        <v>34939.800000000003</v>
      </c>
      <c r="I105" s="31">
        <f>IF(COUNTIFS(Addendum!C:C,A105,Addendum!D:D,IF(ISNUMBER(B105),TEXT(B105,"0000"),B105),Addendum!E:E,"X")&gt;0,4%,0)</f>
        <v>0</v>
      </c>
      <c r="J105" s="31">
        <f>IF(COUNTIFS(Addendum!C:C,A105,Addendum!D:D,IF(ISNUMBER(B105),TEXT(B105,"0000"),B105),Addendum!F:F,"X")&gt;0,2.5%,0)</f>
        <v>0</v>
      </c>
      <c r="K105" s="31">
        <f>IF(COUNTIFS(Addendum!C:C,A105,Addendum!D:D,IF(ISNUMBER(B105),TEXT(B105,"0000"),B105),Addendum!G:G,"X")&gt;0,7%,0)</f>
        <v>0</v>
      </c>
      <c r="L105" s="31">
        <f>IF(COUNTIFS(Addendum!C:C,A105,Addendum!D:D,IF(ISNUMBER(B105),TEXT(B105,"0000"),B105),Addendum!I:I,"X")&gt;0,10%,0)</f>
        <v>0</v>
      </c>
      <c r="M105" s="34">
        <f t="shared" si="2"/>
        <v>0</v>
      </c>
      <c r="N105" s="17">
        <f t="shared" si="3"/>
        <v>34939.800000000003</v>
      </c>
    </row>
    <row r="106" spans="1:14" x14ac:dyDescent="0.25">
      <c r="A106" s="14" t="s">
        <v>1789</v>
      </c>
      <c r="B106" s="14">
        <v>1</v>
      </c>
      <c r="C106" s="15" t="s">
        <v>1791</v>
      </c>
      <c r="D106" s="14" t="s">
        <v>1745</v>
      </c>
      <c r="E106" s="14" t="s">
        <v>1747</v>
      </c>
      <c r="F106" s="17" t="s">
        <v>2993</v>
      </c>
      <c r="G106" s="14">
        <v>499140</v>
      </c>
      <c r="H106" s="14">
        <v>349398</v>
      </c>
      <c r="I106" s="31">
        <f>IF(COUNTIFS(Addendum!C:C,A106,Addendum!D:D,IF(ISNUMBER(B106),TEXT(B106,"0000"),B106),Addendum!E:E,"X")&gt;0,4%,0)</f>
        <v>0</v>
      </c>
      <c r="J106" s="31">
        <f>IF(COUNTIFS(Addendum!C:C,A106,Addendum!D:D,IF(ISNUMBER(B106),TEXT(B106,"0000"),B106),Addendum!F:F,"X")&gt;0,2.5%,0)</f>
        <v>0</v>
      </c>
      <c r="K106" s="31">
        <f>IF(COUNTIFS(Addendum!C:C,A106,Addendum!D:D,IF(ISNUMBER(B106),TEXT(B106,"0000"),B106),Addendum!G:G,"X")&gt;0,7%,0)</f>
        <v>0</v>
      </c>
      <c r="L106" s="31">
        <f>IF(COUNTIFS(Addendum!C:C,A106,Addendum!D:D,IF(ISNUMBER(B106),TEXT(B106,"0000"),B106),Addendum!I:I,"X")&gt;0,10%,0)</f>
        <v>0</v>
      </c>
      <c r="M106" s="34">
        <f t="shared" si="2"/>
        <v>0</v>
      </c>
      <c r="N106" s="17">
        <f t="shared" si="3"/>
        <v>349398</v>
      </c>
    </row>
    <row r="107" spans="1:14" x14ac:dyDescent="0.25">
      <c r="A107" s="14" t="s">
        <v>1789</v>
      </c>
      <c r="B107" s="14">
        <v>1</v>
      </c>
      <c r="C107" s="15" t="s">
        <v>1791</v>
      </c>
      <c r="D107" s="14" t="s">
        <v>1745</v>
      </c>
      <c r="E107" s="14" t="s">
        <v>1746</v>
      </c>
      <c r="F107" s="17" t="s">
        <v>2993</v>
      </c>
      <c r="G107" s="14">
        <v>524097</v>
      </c>
      <c r="H107" s="14">
        <v>366868</v>
      </c>
      <c r="I107" s="31">
        <f>IF(COUNTIFS(Addendum!C:C,A107,Addendum!D:D,IF(ISNUMBER(B107),TEXT(B107,"0000"),B107),Addendum!E:E,"X")&gt;0,4%,0)</f>
        <v>0</v>
      </c>
      <c r="J107" s="31">
        <f>IF(COUNTIFS(Addendum!C:C,A107,Addendum!D:D,IF(ISNUMBER(B107),TEXT(B107,"0000"),B107),Addendum!F:F,"X")&gt;0,2.5%,0)</f>
        <v>0</v>
      </c>
      <c r="K107" s="31">
        <f>IF(COUNTIFS(Addendum!C:C,A107,Addendum!D:D,IF(ISNUMBER(B107),TEXT(B107,"0000"),B107),Addendum!G:G,"X")&gt;0,7%,0)</f>
        <v>0</v>
      </c>
      <c r="L107" s="31">
        <f>IF(COUNTIFS(Addendum!C:C,A107,Addendum!D:D,IF(ISNUMBER(B107),TEXT(B107,"0000"),B107),Addendum!I:I,"X")&gt;0,10%,0)</f>
        <v>0</v>
      </c>
      <c r="M107" s="34">
        <f t="shared" si="2"/>
        <v>0</v>
      </c>
      <c r="N107" s="17">
        <f t="shared" si="3"/>
        <v>366868</v>
      </c>
    </row>
    <row r="108" spans="1:14" x14ac:dyDescent="0.25">
      <c r="A108" s="14" t="s">
        <v>1789</v>
      </c>
      <c r="B108" s="14" t="s">
        <v>73</v>
      </c>
      <c r="C108" s="15" t="s">
        <v>1792</v>
      </c>
      <c r="D108" s="14" t="s">
        <v>1745</v>
      </c>
      <c r="E108" s="14" t="s">
        <v>1746</v>
      </c>
      <c r="F108" s="17" t="s">
        <v>2995</v>
      </c>
      <c r="G108" s="14">
        <v>131040</v>
      </c>
      <c r="H108" s="14">
        <v>117936</v>
      </c>
      <c r="I108" s="31">
        <f>IF(COUNTIFS(Addendum!C:C,A108,Addendum!D:D,IF(ISNUMBER(B108),TEXT(B108,"0000"),B108),Addendum!E:E,"X")&gt;0,4%,0)</f>
        <v>0</v>
      </c>
      <c r="J108" s="31">
        <f>IF(COUNTIFS(Addendum!C:C,A108,Addendum!D:D,IF(ISNUMBER(B108),TEXT(B108,"0000"),B108),Addendum!F:F,"X")&gt;0,2.5%,0)</f>
        <v>0</v>
      </c>
      <c r="K108" s="31">
        <f>IF(COUNTIFS(Addendum!C:C,A108,Addendum!D:D,IF(ISNUMBER(B108),TEXT(B108,"0000"),B108),Addendum!G:G,"X")&gt;0,7%,0)</f>
        <v>0</v>
      </c>
      <c r="L108" s="31">
        <f>IF(COUNTIFS(Addendum!C:C,A108,Addendum!D:D,IF(ISNUMBER(B108),TEXT(B108,"0000"),B108),Addendum!I:I,"X")&gt;0,10%,0)</f>
        <v>0</v>
      </c>
      <c r="M108" s="34">
        <f t="shared" si="2"/>
        <v>0</v>
      </c>
      <c r="N108" s="17">
        <f t="shared" si="3"/>
        <v>117936</v>
      </c>
    </row>
    <row r="109" spans="1:14" x14ac:dyDescent="0.25">
      <c r="A109" s="14" t="s">
        <v>1789</v>
      </c>
      <c r="B109" s="14" t="s">
        <v>16</v>
      </c>
      <c r="C109" s="15" t="s">
        <v>1790</v>
      </c>
      <c r="D109" s="14" t="s">
        <v>1745</v>
      </c>
      <c r="E109" s="14" t="s">
        <v>1746</v>
      </c>
      <c r="F109" s="17" t="s">
        <v>2994</v>
      </c>
      <c r="G109" s="14">
        <v>366912</v>
      </c>
      <c r="H109" s="14">
        <v>256838.39999999999</v>
      </c>
      <c r="I109" s="31">
        <f>IF(COUNTIFS(Addendum!C:C,A109,Addendum!D:D,IF(ISNUMBER(B109),TEXT(B109,"0000"),B109),Addendum!E:E,"X")&gt;0,4%,0)</f>
        <v>0</v>
      </c>
      <c r="J109" s="31">
        <f>IF(COUNTIFS(Addendum!C:C,A109,Addendum!D:D,IF(ISNUMBER(B109),TEXT(B109,"0000"),B109),Addendum!F:F,"X")&gt;0,2.5%,0)</f>
        <v>0</v>
      </c>
      <c r="K109" s="31">
        <f>IF(COUNTIFS(Addendum!C:C,A109,Addendum!D:D,IF(ISNUMBER(B109),TEXT(B109,"0000"),B109),Addendum!G:G,"X")&gt;0,7%,0)</f>
        <v>0</v>
      </c>
      <c r="L109" s="31">
        <f>IF(COUNTIFS(Addendum!C:C,A109,Addendum!D:D,IF(ISNUMBER(B109),TEXT(B109,"0000"),B109),Addendum!I:I,"X")&gt;0,10%,0)</f>
        <v>0</v>
      </c>
      <c r="M109" s="34">
        <f t="shared" si="2"/>
        <v>0</v>
      </c>
      <c r="N109" s="17">
        <f t="shared" si="3"/>
        <v>256838.39999999999</v>
      </c>
    </row>
    <row r="110" spans="1:14" x14ac:dyDescent="0.25">
      <c r="A110" s="14" t="s">
        <v>1789</v>
      </c>
      <c r="B110" s="14" t="s">
        <v>16</v>
      </c>
      <c r="C110" s="15" t="s">
        <v>1790</v>
      </c>
      <c r="D110" s="14" t="s">
        <v>1745</v>
      </c>
      <c r="E110" s="14" t="s">
        <v>1747</v>
      </c>
      <c r="F110" s="17" t="s">
        <v>2994</v>
      </c>
      <c r="G110" s="14">
        <v>349440</v>
      </c>
      <c r="H110" s="14">
        <v>244608</v>
      </c>
      <c r="I110" s="31">
        <f>IF(COUNTIFS(Addendum!C:C,A110,Addendum!D:D,IF(ISNUMBER(B110),TEXT(B110,"0000"),B110),Addendum!E:E,"X")&gt;0,4%,0)</f>
        <v>0</v>
      </c>
      <c r="J110" s="31">
        <f>IF(COUNTIFS(Addendum!C:C,A110,Addendum!D:D,IF(ISNUMBER(B110),TEXT(B110,"0000"),B110),Addendum!F:F,"X")&gt;0,2.5%,0)</f>
        <v>0</v>
      </c>
      <c r="K110" s="31">
        <f>IF(COUNTIFS(Addendum!C:C,A110,Addendum!D:D,IF(ISNUMBER(B110),TEXT(B110,"0000"),B110),Addendum!G:G,"X")&gt;0,7%,0)</f>
        <v>0</v>
      </c>
      <c r="L110" s="31">
        <f>IF(COUNTIFS(Addendum!C:C,A110,Addendum!D:D,IF(ISNUMBER(B110),TEXT(B110,"0000"),B110),Addendum!I:I,"X")&gt;0,10%,0)</f>
        <v>0</v>
      </c>
      <c r="M110" s="34">
        <f t="shared" si="2"/>
        <v>0</v>
      </c>
      <c r="N110" s="17">
        <f t="shared" si="3"/>
        <v>244608</v>
      </c>
    </row>
    <row r="111" spans="1:14" x14ac:dyDescent="0.25">
      <c r="A111" s="14" t="s">
        <v>1789</v>
      </c>
      <c r="B111" s="14" t="s">
        <v>73</v>
      </c>
      <c r="C111" s="15" t="s">
        <v>1792</v>
      </c>
      <c r="D111" s="14" t="s">
        <v>1749</v>
      </c>
      <c r="E111" s="14" t="s">
        <v>1746</v>
      </c>
      <c r="F111" s="17" t="s">
        <v>2995</v>
      </c>
      <c r="G111" s="14">
        <v>12480</v>
      </c>
      <c r="H111" s="14">
        <v>11232</v>
      </c>
      <c r="I111" s="31">
        <f>IF(COUNTIFS(Addendum!C:C,A111,Addendum!D:D,IF(ISNUMBER(B111),TEXT(B111,"0000"),B111),Addendum!E:E,"X")&gt;0,4%,0)</f>
        <v>0</v>
      </c>
      <c r="J111" s="31">
        <f>IF(COUNTIFS(Addendum!C:C,A111,Addendum!D:D,IF(ISNUMBER(B111),TEXT(B111,"0000"),B111),Addendum!F:F,"X")&gt;0,2.5%,0)</f>
        <v>0</v>
      </c>
      <c r="K111" s="31">
        <f>IF(COUNTIFS(Addendum!C:C,A111,Addendum!D:D,IF(ISNUMBER(B111),TEXT(B111,"0000"),B111),Addendum!G:G,"X")&gt;0,7%,0)</f>
        <v>0</v>
      </c>
      <c r="L111" s="31">
        <f>IF(COUNTIFS(Addendum!C:C,A111,Addendum!D:D,IF(ISNUMBER(B111),TEXT(B111,"0000"),B111),Addendum!I:I,"X")&gt;0,10%,0)</f>
        <v>0</v>
      </c>
      <c r="M111" s="34">
        <f t="shared" si="2"/>
        <v>0</v>
      </c>
      <c r="N111" s="17">
        <f t="shared" si="3"/>
        <v>11232</v>
      </c>
    </row>
    <row r="112" spans="1:14" x14ac:dyDescent="0.25">
      <c r="A112" s="14" t="s">
        <v>1789</v>
      </c>
      <c r="B112" s="14" t="s">
        <v>73</v>
      </c>
      <c r="C112" s="15" t="s">
        <v>1792</v>
      </c>
      <c r="D112" s="14" t="s">
        <v>1745</v>
      </c>
      <c r="E112" s="14" t="s">
        <v>1747</v>
      </c>
      <c r="F112" s="17" t="s">
        <v>2995</v>
      </c>
      <c r="G112" s="14">
        <v>124800</v>
      </c>
      <c r="H112" s="14">
        <v>112320</v>
      </c>
      <c r="I112" s="31">
        <f>IF(COUNTIFS(Addendum!C:C,A112,Addendum!D:D,IF(ISNUMBER(B112),TEXT(B112,"0000"),B112),Addendum!E:E,"X")&gt;0,4%,0)</f>
        <v>0</v>
      </c>
      <c r="J112" s="31">
        <f>IF(COUNTIFS(Addendum!C:C,A112,Addendum!D:D,IF(ISNUMBER(B112),TEXT(B112,"0000"),B112),Addendum!F:F,"X")&gt;0,2.5%,0)</f>
        <v>0</v>
      </c>
      <c r="K112" s="31">
        <f>IF(COUNTIFS(Addendum!C:C,A112,Addendum!D:D,IF(ISNUMBER(B112),TEXT(B112,"0000"),B112),Addendum!G:G,"X")&gt;0,7%,0)</f>
        <v>0</v>
      </c>
      <c r="L112" s="31">
        <f>IF(COUNTIFS(Addendum!C:C,A112,Addendum!D:D,IF(ISNUMBER(B112),TEXT(B112,"0000"),B112),Addendum!I:I,"X")&gt;0,10%,0)</f>
        <v>0</v>
      </c>
      <c r="M112" s="34">
        <f t="shared" si="2"/>
        <v>0</v>
      </c>
      <c r="N112" s="17">
        <f t="shared" si="3"/>
        <v>112320</v>
      </c>
    </row>
    <row r="113" spans="1:14" x14ac:dyDescent="0.25">
      <c r="A113" s="14" t="s">
        <v>1793</v>
      </c>
      <c r="B113" s="14">
        <v>1</v>
      </c>
      <c r="C113" s="15" t="s">
        <v>1794</v>
      </c>
      <c r="D113" s="14" t="s">
        <v>1749</v>
      </c>
      <c r="E113" s="14" t="s">
        <v>1746</v>
      </c>
      <c r="F113" s="17" t="s">
        <v>2993</v>
      </c>
      <c r="G113" s="14">
        <v>9984</v>
      </c>
      <c r="H113" s="14">
        <v>6988.8</v>
      </c>
      <c r="I113" s="31">
        <f>IF(COUNTIFS(Addendum!C:C,A113,Addendum!D:D,IF(ISNUMBER(B113),TEXT(B113,"0000"),B113),Addendum!E:E,"X")&gt;0,4%,0)</f>
        <v>0</v>
      </c>
      <c r="J113" s="31">
        <f>IF(COUNTIFS(Addendum!C:C,A113,Addendum!D:D,IF(ISNUMBER(B113),TEXT(B113,"0000"),B113),Addendum!F:F,"X")&gt;0,2.5%,0)</f>
        <v>0</v>
      </c>
      <c r="K113" s="31">
        <f>IF(COUNTIFS(Addendum!C:C,A113,Addendum!D:D,IF(ISNUMBER(B113),TEXT(B113,"0000"),B113),Addendum!G:G,"X")&gt;0,7%,0)</f>
        <v>0</v>
      </c>
      <c r="L113" s="31">
        <f>IF(COUNTIFS(Addendum!C:C,A113,Addendum!D:D,IF(ISNUMBER(B113),TEXT(B113,"0000"),B113),Addendum!I:I,"X")&gt;0,10%,0)</f>
        <v>0</v>
      </c>
      <c r="M113" s="34">
        <f t="shared" si="2"/>
        <v>0</v>
      </c>
      <c r="N113" s="17">
        <f t="shared" si="3"/>
        <v>6988.8</v>
      </c>
    </row>
    <row r="114" spans="1:14" x14ac:dyDescent="0.25">
      <c r="A114" s="14" t="s">
        <v>1793</v>
      </c>
      <c r="B114" s="14">
        <v>1</v>
      </c>
      <c r="C114" s="15" t="s">
        <v>1794</v>
      </c>
      <c r="D114" s="14" t="s">
        <v>1752</v>
      </c>
      <c r="E114" s="14" t="s">
        <v>1746</v>
      </c>
      <c r="F114" s="17" t="s">
        <v>2993</v>
      </c>
      <c r="G114" s="14">
        <v>314496</v>
      </c>
      <c r="H114" s="14">
        <v>220147.20000000001</v>
      </c>
      <c r="I114" s="31">
        <f>IF(COUNTIFS(Addendum!C:C,A114,Addendum!D:D,IF(ISNUMBER(B114),TEXT(B114,"0000"),B114),Addendum!E:E,"X")&gt;0,4%,0)</f>
        <v>0</v>
      </c>
      <c r="J114" s="31">
        <f>IF(COUNTIFS(Addendum!C:C,A114,Addendum!D:D,IF(ISNUMBER(B114),TEXT(B114,"0000"),B114),Addendum!F:F,"X")&gt;0,2.5%,0)</f>
        <v>0</v>
      </c>
      <c r="K114" s="31">
        <f>IF(COUNTIFS(Addendum!C:C,A114,Addendum!D:D,IF(ISNUMBER(B114),TEXT(B114,"0000"),B114),Addendum!G:G,"X")&gt;0,7%,0)</f>
        <v>0</v>
      </c>
      <c r="L114" s="31">
        <f>IF(COUNTIFS(Addendum!C:C,A114,Addendum!D:D,IF(ISNUMBER(B114),TEXT(B114,"0000"),B114),Addendum!I:I,"X")&gt;0,10%,0)</f>
        <v>0</v>
      </c>
      <c r="M114" s="34">
        <f t="shared" si="2"/>
        <v>0</v>
      </c>
      <c r="N114" s="17">
        <f t="shared" si="3"/>
        <v>220147.20000000001</v>
      </c>
    </row>
    <row r="115" spans="1:14" x14ac:dyDescent="0.25">
      <c r="A115" s="14" t="s">
        <v>1793</v>
      </c>
      <c r="B115" s="14" t="s">
        <v>20</v>
      </c>
      <c r="C115" s="15" t="s">
        <v>1795</v>
      </c>
      <c r="D115" s="14" t="s">
        <v>1745</v>
      </c>
      <c r="E115" s="14" t="s">
        <v>1746</v>
      </c>
      <c r="F115" s="17" t="s">
        <v>2994</v>
      </c>
      <c r="G115" s="14">
        <v>73395</v>
      </c>
      <c r="H115" s="14">
        <v>51376.56</v>
      </c>
      <c r="I115" s="31">
        <f>IF(COUNTIFS(Addendum!C:C,A115,Addendum!D:D,IF(ISNUMBER(B115),TEXT(B115,"0000"),B115),Addendum!E:E,"X")&gt;0,4%,0)</f>
        <v>0</v>
      </c>
      <c r="J115" s="31">
        <f>IF(COUNTIFS(Addendum!C:C,A115,Addendum!D:D,IF(ISNUMBER(B115),TEXT(B115,"0000"),B115),Addendum!F:F,"X")&gt;0,2.5%,0)</f>
        <v>0</v>
      </c>
      <c r="K115" s="31">
        <f>IF(COUNTIFS(Addendum!C:C,A115,Addendum!D:D,IF(ISNUMBER(B115),TEXT(B115,"0000"),B115),Addendum!G:G,"X")&gt;0,7%,0)</f>
        <v>0</v>
      </c>
      <c r="L115" s="31">
        <f>IF(COUNTIFS(Addendum!C:C,A115,Addendum!D:D,IF(ISNUMBER(B115),TEXT(B115,"0000"),B115),Addendum!I:I,"X")&gt;0,10%,0)</f>
        <v>0</v>
      </c>
      <c r="M115" s="34">
        <f t="shared" si="2"/>
        <v>0</v>
      </c>
      <c r="N115" s="17">
        <f t="shared" si="3"/>
        <v>51376.56</v>
      </c>
    </row>
    <row r="116" spans="1:14" x14ac:dyDescent="0.25">
      <c r="A116" s="14" t="s">
        <v>1793</v>
      </c>
      <c r="B116" s="14">
        <v>1</v>
      </c>
      <c r="C116" s="15" t="s">
        <v>1794</v>
      </c>
      <c r="D116" s="14" t="s">
        <v>1745</v>
      </c>
      <c r="E116" s="14" t="s">
        <v>1747</v>
      </c>
      <c r="F116" s="17" t="s">
        <v>2993</v>
      </c>
      <c r="G116" s="14">
        <v>99840</v>
      </c>
      <c r="H116" s="14">
        <v>69888</v>
      </c>
      <c r="I116" s="31">
        <f>IF(COUNTIFS(Addendum!C:C,A116,Addendum!D:D,IF(ISNUMBER(B116),TEXT(B116,"0000"),B116),Addendum!E:E,"X")&gt;0,4%,0)</f>
        <v>0</v>
      </c>
      <c r="J116" s="31">
        <f>IF(COUNTIFS(Addendum!C:C,A116,Addendum!D:D,IF(ISNUMBER(B116),TEXT(B116,"0000"),B116),Addendum!F:F,"X")&gt;0,2.5%,0)</f>
        <v>0</v>
      </c>
      <c r="K116" s="31">
        <f>IF(COUNTIFS(Addendum!C:C,A116,Addendum!D:D,IF(ISNUMBER(B116),TEXT(B116,"0000"),B116),Addendum!G:G,"X")&gt;0,7%,0)</f>
        <v>0</v>
      </c>
      <c r="L116" s="31">
        <f>IF(COUNTIFS(Addendum!C:C,A116,Addendum!D:D,IF(ISNUMBER(B116),TEXT(B116,"0000"),B116),Addendum!I:I,"X")&gt;0,10%,0)</f>
        <v>0</v>
      </c>
      <c r="M116" s="34">
        <f t="shared" si="2"/>
        <v>0</v>
      </c>
      <c r="N116" s="17">
        <f t="shared" si="3"/>
        <v>69888</v>
      </c>
    </row>
    <row r="117" spans="1:14" x14ac:dyDescent="0.25">
      <c r="A117" s="14" t="s">
        <v>1793</v>
      </c>
      <c r="B117" s="14" t="s">
        <v>20</v>
      </c>
      <c r="C117" s="15" t="s">
        <v>1795</v>
      </c>
      <c r="D117" s="14" t="s">
        <v>1745</v>
      </c>
      <c r="E117" s="14" t="s">
        <v>1747</v>
      </c>
      <c r="F117" s="17" t="s">
        <v>2994</v>
      </c>
      <c r="G117" s="14">
        <v>69900</v>
      </c>
      <c r="H117" s="14">
        <v>48930</v>
      </c>
      <c r="I117" s="31">
        <f>IF(COUNTIFS(Addendum!C:C,A117,Addendum!D:D,IF(ISNUMBER(B117),TEXT(B117,"0000"),B117),Addendum!E:E,"X")&gt;0,4%,0)</f>
        <v>0</v>
      </c>
      <c r="J117" s="31">
        <f>IF(COUNTIFS(Addendum!C:C,A117,Addendum!D:D,IF(ISNUMBER(B117),TEXT(B117,"0000"),B117),Addendum!F:F,"X")&gt;0,2.5%,0)</f>
        <v>0</v>
      </c>
      <c r="K117" s="31">
        <f>IF(COUNTIFS(Addendum!C:C,A117,Addendum!D:D,IF(ISNUMBER(B117),TEXT(B117,"0000"),B117),Addendum!G:G,"X")&gt;0,7%,0)</f>
        <v>0</v>
      </c>
      <c r="L117" s="31">
        <f>IF(COUNTIFS(Addendum!C:C,A117,Addendum!D:D,IF(ISNUMBER(B117),TEXT(B117,"0000"),B117),Addendum!I:I,"X")&gt;0,10%,0)</f>
        <v>0</v>
      </c>
      <c r="M117" s="34">
        <f t="shared" si="2"/>
        <v>0</v>
      </c>
      <c r="N117" s="17">
        <f t="shared" si="3"/>
        <v>48930</v>
      </c>
    </row>
    <row r="118" spans="1:14" x14ac:dyDescent="0.25">
      <c r="A118" s="14" t="s">
        <v>1793</v>
      </c>
      <c r="B118" s="14" t="s">
        <v>16</v>
      </c>
      <c r="C118" s="15" t="s">
        <v>1796</v>
      </c>
      <c r="D118" s="14" t="s">
        <v>1745</v>
      </c>
      <c r="E118" s="14" t="s">
        <v>1747</v>
      </c>
      <c r="F118" s="17" t="s">
        <v>2995</v>
      </c>
      <c r="G118" s="14">
        <v>69900</v>
      </c>
      <c r="H118" s="14">
        <v>62910</v>
      </c>
      <c r="I118" s="31">
        <f>IF(COUNTIFS(Addendum!C:C,A118,Addendum!D:D,IF(ISNUMBER(B118),TEXT(B118,"0000"),B118),Addendum!E:E,"X")&gt;0,4%,0)</f>
        <v>0</v>
      </c>
      <c r="J118" s="31">
        <f>IF(COUNTIFS(Addendum!C:C,A118,Addendum!D:D,IF(ISNUMBER(B118),TEXT(B118,"0000"),B118),Addendum!F:F,"X")&gt;0,2.5%,0)</f>
        <v>0</v>
      </c>
      <c r="K118" s="31">
        <f>IF(COUNTIFS(Addendum!C:C,A118,Addendum!D:D,IF(ISNUMBER(B118),TEXT(B118,"0000"),B118),Addendum!G:G,"X")&gt;0,7%,0)</f>
        <v>0</v>
      </c>
      <c r="L118" s="31">
        <f>IF(COUNTIFS(Addendum!C:C,A118,Addendum!D:D,IF(ISNUMBER(B118),TEXT(B118,"0000"),B118),Addendum!I:I,"X")&gt;0,10%,0)</f>
        <v>0</v>
      </c>
      <c r="M118" s="34">
        <f t="shared" si="2"/>
        <v>0</v>
      </c>
      <c r="N118" s="17">
        <f t="shared" si="3"/>
        <v>62910</v>
      </c>
    </row>
    <row r="119" spans="1:14" x14ac:dyDescent="0.25">
      <c r="A119" s="14" t="s">
        <v>1793</v>
      </c>
      <c r="B119" s="14" t="s">
        <v>16</v>
      </c>
      <c r="C119" s="15" t="s">
        <v>1796</v>
      </c>
      <c r="D119" s="14" t="s">
        <v>1749</v>
      </c>
      <c r="E119" s="14" t="s">
        <v>1746</v>
      </c>
      <c r="F119" s="17" t="s">
        <v>2995</v>
      </c>
      <c r="G119" s="14">
        <v>6990</v>
      </c>
      <c r="H119" s="14">
        <v>6291</v>
      </c>
      <c r="I119" s="31">
        <f>IF(COUNTIFS(Addendum!C:C,A119,Addendum!D:D,IF(ISNUMBER(B119),TEXT(B119,"0000"),B119),Addendum!E:E,"X")&gt;0,4%,0)</f>
        <v>0</v>
      </c>
      <c r="J119" s="31">
        <f>IF(COUNTIFS(Addendum!C:C,A119,Addendum!D:D,IF(ISNUMBER(B119),TEXT(B119,"0000"),B119),Addendum!F:F,"X")&gt;0,2.5%,0)</f>
        <v>0</v>
      </c>
      <c r="K119" s="31">
        <f>IF(COUNTIFS(Addendum!C:C,A119,Addendum!D:D,IF(ISNUMBER(B119),TEXT(B119,"0000"),B119),Addendum!G:G,"X")&gt;0,7%,0)</f>
        <v>0</v>
      </c>
      <c r="L119" s="31">
        <f>IF(COUNTIFS(Addendum!C:C,A119,Addendum!D:D,IF(ISNUMBER(B119),TEXT(B119,"0000"),B119),Addendum!I:I,"X")&gt;0,10%,0)</f>
        <v>0</v>
      </c>
      <c r="M119" s="34">
        <f t="shared" si="2"/>
        <v>0</v>
      </c>
      <c r="N119" s="17">
        <f t="shared" si="3"/>
        <v>6291</v>
      </c>
    </row>
    <row r="120" spans="1:14" x14ac:dyDescent="0.25">
      <c r="A120" s="14" t="s">
        <v>1793</v>
      </c>
      <c r="B120" s="14" t="s">
        <v>20</v>
      </c>
      <c r="C120" s="15" t="s">
        <v>1795</v>
      </c>
      <c r="D120" s="14" t="s">
        <v>1749</v>
      </c>
      <c r="E120" s="14" t="s">
        <v>1746</v>
      </c>
      <c r="F120" s="17" t="s">
        <v>2994</v>
      </c>
      <c r="G120" s="14">
        <v>6990</v>
      </c>
      <c r="H120" s="14">
        <v>4893</v>
      </c>
      <c r="I120" s="31">
        <f>IF(COUNTIFS(Addendum!C:C,A120,Addendum!D:D,IF(ISNUMBER(B120),TEXT(B120,"0000"),B120),Addendum!E:E,"X")&gt;0,4%,0)</f>
        <v>0</v>
      </c>
      <c r="J120" s="31">
        <f>IF(COUNTIFS(Addendum!C:C,A120,Addendum!D:D,IF(ISNUMBER(B120),TEXT(B120,"0000"),B120),Addendum!F:F,"X")&gt;0,2.5%,0)</f>
        <v>0</v>
      </c>
      <c r="K120" s="31">
        <f>IF(COUNTIFS(Addendum!C:C,A120,Addendum!D:D,IF(ISNUMBER(B120),TEXT(B120,"0000"),B120),Addendum!G:G,"X")&gt;0,7%,0)</f>
        <v>0</v>
      </c>
      <c r="L120" s="31">
        <f>IF(COUNTIFS(Addendum!C:C,A120,Addendum!D:D,IF(ISNUMBER(B120),TEXT(B120,"0000"),B120),Addendum!I:I,"X")&gt;0,10%,0)</f>
        <v>0</v>
      </c>
      <c r="M120" s="34">
        <f t="shared" si="2"/>
        <v>0</v>
      </c>
      <c r="N120" s="17">
        <f t="shared" si="3"/>
        <v>4893</v>
      </c>
    </row>
    <row r="121" spans="1:14" x14ac:dyDescent="0.25">
      <c r="A121" s="14" t="s">
        <v>1793</v>
      </c>
      <c r="B121" s="14">
        <v>1</v>
      </c>
      <c r="C121" s="15" t="s">
        <v>1794</v>
      </c>
      <c r="D121" s="14" t="s">
        <v>1752</v>
      </c>
      <c r="E121" s="14" t="s">
        <v>1753</v>
      </c>
      <c r="F121" s="17" t="s">
        <v>2993</v>
      </c>
      <c r="G121" s="14">
        <v>299520</v>
      </c>
      <c r="H121" s="14">
        <v>209664</v>
      </c>
      <c r="I121" s="31">
        <f>IF(COUNTIFS(Addendum!C:C,A121,Addendum!D:D,IF(ISNUMBER(B121),TEXT(B121,"0000"),B121),Addendum!E:E,"X")&gt;0,4%,0)</f>
        <v>0</v>
      </c>
      <c r="J121" s="31">
        <f>IF(COUNTIFS(Addendum!C:C,A121,Addendum!D:D,IF(ISNUMBER(B121),TEXT(B121,"0000"),B121),Addendum!F:F,"X")&gt;0,2.5%,0)</f>
        <v>0</v>
      </c>
      <c r="K121" s="31">
        <f>IF(COUNTIFS(Addendum!C:C,A121,Addendum!D:D,IF(ISNUMBER(B121),TEXT(B121,"0000"),B121),Addendum!G:G,"X")&gt;0,7%,0)</f>
        <v>0</v>
      </c>
      <c r="L121" s="31">
        <f>IF(COUNTIFS(Addendum!C:C,A121,Addendum!D:D,IF(ISNUMBER(B121),TEXT(B121,"0000"),B121),Addendum!I:I,"X")&gt;0,10%,0)</f>
        <v>0</v>
      </c>
      <c r="M121" s="34">
        <f t="shared" si="2"/>
        <v>0</v>
      </c>
      <c r="N121" s="17">
        <f t="shared" si="3"/>
        <v>209664</v>
      </c>
    </row>
    <row r="122" spans="1:14" x14ac:dyDescent="0.25">
      <c r="A122" s="14" t="s">
        <v>1793</v>
      </c>
      <c r="B122" s="14" t="s">
        <v>16</v>
      </c>
      <c r="C122" s="15" t="s">
        <v>1796</v>
      </c>
      <c r="D122" s="14" t="s">
        <v>1745</v>
      </c>
      <c r="E122" s="14" t="s">
        <v>1746</v>
      </c>
      <c r="F122" s="17" t="s">
        <v>2995</v>
      </c>
      <c r="G122" s="14">
        <v>73395</v>
      </c>
      <c r="H122" s="14">
        <v>66055.56</v>
      </c>
      <c r="I122" s="31">
        <f>IF(COUNTIFS(Addendum!C:C,A122,Addendum!D:D,IF(ISNUMBER(B122),TEXT(B122,"0000"),B122),Addendum!E:E,"X")&gt;0,4%,0)</f>
        <v>0</v>
      </c>
      <c r="J122" s="31">
        <f>IF(COUNTIFS(Addendum!C:C,A122,Addendum!D:D,IF(ISNUMBER(B122),TEXT(B122,"0000"),B122),Addendum!F:F,"X")&gt;0,2.5%,0)</f>
        <v>0</v>
      </c>
      <c r="K122" s="31">
        <f>IF(COUNTIFS(Addendum!C:C,A122,Addendum!D:D,IF(ISNUMBER(B122),TEXT(B122,"0000"),B122),Addendum!G:G,"X")&gt;0,7%,0)</f>
        <v>0</v>
      </c>
      <c r="L122" s="31">
        <f>IF(COUNTIFS(Addendum!C:C,A122,Addendum!D:D,IF(ISNUMBER(B122),TEXT(B122,"0000"),B122),Addendum!I:I,"X")&gt;0,10%,0)</f>
        <v>0</v>
      </c>
      <c r="M122" s="34">
        <f t="shared" si="2"/>
        <v>0</v>
      </c>
      <c r="N122" s="17">
        <f t="shared" si="3"/>
        <v>66055.56</v>
      </c>
    </row>
    <row r="123" spans="1:14" x14ac:dyDescent="0.25">
      <c r="A123" s="14" t="s">
        <v>1793</v>
      </c>
      <c r="B123" s="14">
        <v>1</v>
      </c>
      <c r="C123" s="15" t="s">
        <v>1794</v>
      </c>
      <c r="D123" s="14" t="s">
        <v>1752</v>
      </c>
      <c r="E123" s="14" t="s">
        <v>1747</v>
      </c>
      <c r="F123" s="17" t="s">
        <v>2993</v>
      </c>
      <c r="G123" s="14">
        <v>299520</v>
      </c>
      <c r="H123" s="14">
        <v>209664</v>
      </c>
      <c r="I123" s="31">
        <f>IF(COUNTIFS(Addendum!C:C,A123,Addendum!D:D,IF(ISNUMBER(B123),TEXT(B123,"0000"),B123),Addendum!E:E,"X")&gt;0,4%,0)</f>
        <v>0</v>
      </c>
      <c r="J123" s="31">
        <f>IF(COUNTIFS(Addendum!C:C,A123,Addendum!D:D,IF(ISNUMBER(B123),TEXT(B123,"0000"),B123),Addendum!F:F,"X")&gt;0,2.5%,0)</f>
        <v>0</v>
      </c>
      <c r="K123" s="31">
        <f>IF(COUNTIFS(Addendum!C:C,A123,Addendum!D:D,IF(ISNUMBER(B123),TEXT(B123,"0000"),B123),Addendum!G:G,"X")&gt;0,7%,0)</f>
        <v>0</v>
      </c>
      <c r="L123" s="31">
        <f>IF(COUNTIFS(Addendum!C:C,A123,Addendum!D:D,IF(ISNUMBER(B123),TEXT(B123,"0000"),B123),Addendum!I:I,"X")&gt;0,10%,0)</f>
        <v>0</v>
      </c>
      <c r="M123" s="34">
        <f t="shared" si="2"/>
        <v>0</v>
      </c>
      <c r="N123" s="17">
        <f t="shared" si="3"/>
        <v>209664</v>
      </c>
    </row>
    <row r="124" spans="1:14" x14ac:dyDescent="0.25">
      <c r="A124" s="14" t="s">
        <v>1793</v>
      </c>
      <c r="B124" s="14">
        <v>1</v>
      </c>
      <c r="C124" s="15" t="s">
        <v>1794</v>
      </c>
      <c r="D124" s="14" t="s">
        <v>1745</v>
      </c>
      <c r="E124" s="14" t="s">
        <v>1746</v>
      </c>
      <c r="F124" s="17" t="s">
        <v>2993</v>
      </c>
      <c r="G124" s="14">
        <v>104832</v>
      </c>
      <c r="H124" s="14">
        <v>73382.399999999994</v>
      </c>
      <c r="I124" s="31">
        <f>IF(COUNTIFS(Addendum!C:C,A124,Addendum!D:D,IF(ISNUMBER(B124),TEXT(B124,"0000"),B124),Addendum!E:E,"X")&gt;0,4%,0)</f>
        <v>0</v>
      </c>
      <c r="J124" s="31">
        <f>IF(COUNTIFS(Addendum!C:C,A124,Addendum!D:D,IF(ISNUMBER(B124),TEXT(B124,"0000"),B124),Addendum!F:F,"X")&gt;0,2.5%,0)</f>
        <v>0</v>
      </c>
      <c r="K124" s="31">
        <f>IF(COUNTIFS(Addendum!C:C,A124,Addendum!D:D,IF(ISNUMBER(B124),TEXT(B124,"0000"),B124),Addendum!G:G,"X")&gt;0,7%,0)</f>
        <v>0</v>
      </c>
      <c r="L124" s="31">
        <f>IF(COUNTIFS(Addendum!C:C,A124,Addendum!D:D,IF(ISNUMBER(B124),TEXT(B124,"0000"),B124),Addendum!I:I,"X")&gt;0,10%,0)</f>
        <v>0</v>
      </c>
      <c r="M124" s="34">
        <f t="shared" si="2"/>
        <v>0</v>
      </c>
      <c r="N124" s="17">
        <f t="shared" si="3"/>
        <v>73382.399999999994</v>
      </c>
    </row>
    <row r="125" spans="1:14" ht="30" x14ac:dyDescent="0.25">
      <c r="A125" s="14" t="s">
        <v>1797</v>
      </c>
      <c r="B125" s="14">
        <v>3</v>
      </c>
      <c r="C125" s="15" t="s">
        <v>1798</v>
      </c>
      <c r="D125" s="14" t="s">
        <v>1745</v>
      </c>
      <c r="E125" s="14" t="s">
        <v>1747</v>
      </c>
      <c r="F125" s="17" t="s">
        <v>2994</v>
      </c>
      <c r="G125" s="14">
        <v>164700</v>
      </c>
      <c r="H125" s="14">
        <v>115290</v>
      </c>
      <c r="I125" s="31">
        <f>IF(COUNTIFS(Addendum!C:C,A125,Addendum!D:D,IF(ISNUMBER(B125),TEXT(B125,"0000"),B125),Addendum!E:E,"X")&gt;0,4%,0)</f>
        <v>0</v>
      </c>
      <c r="J125" s="31">
        <f>IF(COUNTIFS(Addendum!C:C,A125,Addendum!D:D,IF(ISNUMBER(B125),TEXT(B125,"0000"),B125),Addendum!F:F,"X")&gt;0,2.5%,0)</f>
        <v>0</v>
      </c>
      <c r="K125" s="31">
        <f>IF(COUNTIFS(Addendum!C:C,A125,Addendum!D:D,IF(ISNUMBER(B125),TEXT(B125,"0000"),B125),Addendum!G:G,"X")&gt;0,7%,0)</f>
        <v>0</v>
      </c>
      <c r="L125" s="31">
        <f>IF(COUNTIFS(Addendum!C:C,A125,Addendum!D:D,IF(ISNUMBER(B125),TEXT(B125,"0000"),B125),Addendum!I:I,"X")&gt;0,10%,0)</f>
        <v>0</v>
      </c>
      <c r="M125" s="34">
        <f t="shared" si="2"/>
        <v>0</v>
      </c>
      <c r="N125" s="17">
        <f t="shared" si="3"/>
        <v>115290</v>
      </c>
    </row>
    <row r="126" spans="1:14" x14ac:dyDescent="0.25">
      <c r="A126" s="14" t="s">
        <v>1797</v>
      </c>
      <c r="B126" s="14">
        <v>1</v>
      </c>
      <c r="C126" s="15" t="s">
        <v>1799</v>
      </c>
      <c r="D126" s="14" t="s">
        <v>1749</v>
      </c>
      <c r="E126" s="14" t="s">
        <v>1746</v>
      </c>
      <c r="F126" s="17" t="s">
        <v>2993</v>
      </c>
      <c r="G126" s="14">
        <v>29952</v>
      </c>
      <c r="H126" s="14">
        <v>20966.400000000001</v>
      </c>
      <c r="I126" s="31">
        <f>IF(COUNTIFS(Addendum!C:C,A126,Addendum!D:D,IF(ISNUMBER(B126),TEXT(B126,"0000"),B126),Addendum!E:E,"X")&gt;0,4%,0)</f>
        <v>0</v>
      </c>
      <c r="J126" s="31">
        <f>IF(COUNTIFS(Addendum!C:C,A126,Addendum!D:D,IF(ISNUMBER(B126),TEXT(B126,"0000"),B126),Addendum!F:F,"X")&gt;0,2.5%,0)</f>
        <v>0</v>
      </c>
      <c r="K126" s="31">
        <f>IF(COUNTIFS(Addendum!C:C,A126,Addendum!D:D,IF(ISNUMBER(B126),TEXT(B126,"0000"),B126),Addendum!G:G,"X")&gt;0,7%,0)</f>
        <v>0</v>
      </c>
      <c r="L126" s="31">
        <f>IF(COUNTIFS(Addendum!C:C,A126,Addendum!D:D,IF(ISNUMBER(B126),TEXT(B126,"0000"),B126),Addendum!I:I,"X")&gt;0,10%,0)</f>
        <v>0</v>
      </c>
      <c r="M126" s="34">
        <f t="shared" si="2"/>
        <v>0</v>
      </c>
      <c r="N126" s="17">
        <f t="shared" si="3"/>
        <v>20966.400000000001</v>
      </c>
    </row>
    <row r="127" spans="1:14" x14ac:dyDescent="0.25">
      <c r="A127" s="14" t="s">
        <v>1797</v>
      </c>
      <c r="B127" s="14">
        <v>4</v>
      </c>
      <c r="C127" s="15" t="s">
        <v>1800</v>
      </c>
      <c r="D127" s="14" t="s">
        <v>1745</v>
      </c>
      <c r="E127" s="14" t="s">
        <v>1747</v>
      </c>
      <c r="F127" s="17" t="s">
        <v>2995</v>
      </c>
      <c r="G127" s="14">
        <v>119820</v>
      </c>
      <c r="H127" s="14">
        <v>107838</v>
      </c>
      <c r="I127" s="31">
        <f>IF(COUNTIFS(Addendum!C:C,A127,Addendum!D:D,IF(ISNUMBER(B127),TEXT(B127,"0000"),B127),Addendum!E:E,"X")&gt;0,4%,0)</f>
        <v>0</v>
      </c>
      <c r="J127" s="31">
        <f>IF(COUNTIFS(Addendum!C:C,A127,Addendum!D:D,IF(ISNUMBER(B127),TEXT(B127,"0000"),B127),Addendum!F:F,"X")&gt;0,2.5%,0)</f>
        <v>0</v>
      </c>
      <c r="K127" s="31">
        <f>IF(COUNTIFS(Addendum!C:C,A127,Addendum!D:D,IF(ISNUMBER(B127),TEXT(B127,"0000"),B127),Addendum!G:G,"X")&gt;0,7%,0)</f>
        <v>0</v>
      </c>
      <c r="L127" s="31">
        <f>IF(COUNTIFS(Addendum!C:C,A127,Addendum!D:D,IF(ISNUMBER(B127),TEXT(B127,"0000"),B127),Addendum!I:I,"X")&gt;0,10%,0)</f>
        <v>0</v>
      </c>
      <c r="M127" s="34">
        <f t="shared" si="2"/>
        <v>0</v>
      </c>
      <c r="N127" s="17">
        <f t="shared" si="3"/>
        <v>107838</v>
      </c>
    </row>
    <row r="128" spans="1:14" ht="30" x14ac:dyDescent="0.25">
      <c r="A128" s="14" t="s">
        <v>1797</v>
      </c>
      <c r="B128" s="14">
        <v>3</v>
      </c>
      <c r="C128" s="15" t="s">
        <v>1798</v>
      </c>
      <c r="D128" s="14" t="s">
        <v>1749</v>
      </c>
      <c r="E128" s="14" t="s">
        <v>1746</v>
      </c>
      <c r="F128" s="17" t="s">
        <v>2994</v>
      </c>
      <c r="G128" s="14">
        <v>16470</v>
      </c>
      <c r="H128" s="14">
        <v>11529</v>
      </c>
      <c r="I128" s="31">
        <f>IF(COUNTIFS(Addendum!C:C,A128,Addendum!D:D,IF(ISNUMBER(B128),TEXT(B128,"0000"),B128),Addendum!E:E,"X")&gt;0,4%,0)</f>
        <v>0</v>
      </c>
      <c r="J128" s="31">
        <f>IF(COUNTIFS(Addendum!C:C,A128,Addendum!D:D,IF(ISNUMBER(B128),TEXT(B128,"0000"),B128),Addendum!F:F,"X")&gt;0,2.5%,0)</f>
        <v>0</v>
      </c>
      <c r="K128" s="31">
        <f>IF(COUNTIFS(Addendum!C:C,A128,Addendum!D:D,IF(ISNUMBER(B128),TEXT(B128,"0000"),B128),Addendum!G:G,"X")&gt;0,7%,0)</f>
        <v>0</v>
      </c>
      <c r="L128" s="31">
        <f>IF(COUNTIFS(Addendum!C:C,A128,Addendum!D:D,IF(ISNUMBER(B128),TEXT(B128,"0000"),B128),Addendum!I:I,"X")&gt;0,10%,0)</f>
        <v>0</v>
      </c>
      <c r="M128" s="34">
        <f t="shared" si="2"/>
        <v>0</v>
      </c>
      <c r="N128" s="17">
        <f t="shared" si="3"/>
        <v>11529</v>
      </c>
    </row>
    <row r="129" spans="1:14" x14ac:dyDescent="0.25">
      <c r="A129" s="14" t="s">
        <v>1797</v>
      </c>
      <c r="B129" s="14">
        <v>1</v>
      </c>
      <c r="C129" s="15" t="s">
        <v>1799</v>
      </c>
      <c r="D129" s="14" t="s">
        <v>1745</v>
      </c>
      <c r="E129" s="14" t="s">
        <v>1746</v>
      </c>
      <c r="F129" s="17" t="s">
        <v>2993</v>
      </c>
      <c r="G129" s="14">
        <v>314496</v>
      </c>
      <c r="H129" s="14">
        <v>220147.20000000001</v>
      </c>
      <c r="I129" s="31">
        <f>IF(COUNTIFS(Addendum!C:C,A129,Addendum!D:D,IF(ISNUMBER(B129),TEXT(B129,"0000"),B129),Addendum!E:E,"X")&gt;0,4%,0)</f>
        <v>0</v>
      </c>
      <c r="J129" s="31">
        <f>IF(COUNTIFS(Addendum!C:C,A129,Addendum!D:D,IF(ISNUMBER(B129),TEXT(B129,"0000"),B129),Addendum!F:F,"X")&gt;0,2.5%,0)</f>
        <v>0</v>
      </c>
      <c r="K129" s="31">
        <f>IF(COUNTIFS(Addendum!C:C,A129,Addendum!D:D,IF(ISNUMBER(B129),TEXT(B129,"0000"),B129),Addendum!G:G,"X")&gt;0,7%,0)</f>
        <v>0</v>
      </c>
      <c r="L129" s="31">
        <f>IF(COUNTIFS(Addendum!C:C,A129,Addendum!D:D,IF(ISNUMBER(B129),TEXT(B129,"0000"),B129),Addendum!I:I,"X")&gt;0,10%,0)</f>
        <v>0</v>
      </c>
      <c r="M129" s="34">
        <f t="shared" si="2"/>
        <v>0</v>
      </c>
      <c r="N129" s="17">
        <f t="shared" si="3"/>
        <v>220147.20000000001</v>
      </c>
    </row>
    <row r="130" spans="1:14" x14ac:dyDescent="0.25">
      <c r="A130" s="14" t="s">
        <v>1797</v>
      </c>
      <c r="B130" s="14">
        <v>4</v>
      </c>
      <c r="C130" s="15" t="s">
        <v>1800</v>
      </c>
      <c r="D130" s="14" t="s">
        <v>1745</v>
      </c>
      <c r="E130" s="14" t="s">
        <v>1746</v>
      </c>
      <c r="F130" s="17" t="s">
        <v>2995</v>
      </c>
      <c r="G130" s="14">
        <v>125811</v>
      </c>
      <c r="H130" s="14">
        <v>113230</v>
      </c>
      <c r="I130" s="31">
        <f>IF(COUNTIFS(Addendum!C:C,A130,Addendum!D:D,IF(ISNUMBER(B130),TEXT(B130,"0000"),B130),Addendum!E:E,"X")&gt;0,4%,0)</f>
        <v>0</v>
      </c>
      <c r="J130" s="31">
        <f>IF(COUNTIFS(Addendum!C:C,A130,Addendum!D:D,IF(ISNUMBER(B130),TEXT(B130,"0000"),B130),Addendum!F:F,"X")&gt;0,2.5%,0)</f>
        <v>0</v>
      </c>
      <c r="K130" s="31">
        <f>IF(COUNTIFS(Addendum!C:C,A130,Addendum!D:D,IF(ISNUMBER(B130),TEXT(B130,"0000"),B130),Addendum!G:G,"X")&gt;0,7%,0)</f>
        <v>0</v>
      </c>
      <c r="L130" s="31">
        <f>IF(COUNTIFS(Addendum!C:C,A130,Addendum!D:D,IF(ISNUMBER(B130),TEXT(B130,"0000"),B130),Addendum!I:I,"X")&gt;0,10%,0)</f>
        <v>0</v>
      </c>
      <c r="M130" s="34">
        <f t="shared" si="2"/>
        <v>0</v>
      </c>
      <c r="N130" s="17">
        <f t="shared" si="3"/>
        <v>113230</v>
      </c>
    </row>
    <row r="131" spans="1:14" x14ac:dyDescent="0.25">
      <c r="A131" s="14" t="s">
        <v>1797</v>
      </c>
      <c r="B131" s="14">
        <v>1</v>
      </c>
      <c r="C131" s="15" t="s">
        <v>1799</v>
      </c>
      <c r="D131" s="14" t="s">
        <v>1745</v>
      </c>
      <c r="E131" s="14" t="s">
        <v>1747</v>
      </c>
      <c r="F131" s="17" t="s">
        <v>2993</v>
      </c>
      <c r="G131" s="14">
        <v>299520</v>
      </c>
      <c r="H131" s="14">
        <v>209664</v>
      </c>
      <c r="I131" s="31">
        <f>IF(COUNTIFS(Addendum!C:C,A131,Addendum!D:D,IF(ISNUMBER(B131),TEXT(B131,"0000"),B131),Addendum!E:E,"X")&gt;0,4%,0)</f>
        <v>0</v>
      </c>
      <c r="J131" s="31">
        <f>IF(COUNTIFS(Addendum!C:C,A131,Addendum!D:D,IF(ISNUMBER(B131),TEXT(B131,"0000"),B131),Addendum!F:F,"X")&gt;0,2.5%,0)</f>
        <v>0</v>
      </c>
      <c r="K131" s="31">
        <f>IF(COUNTIFS(Addendum!C:C,A131,Addendum!D:D,IF(ISNUMBER(B131),TEXT(B131,"0000"),B131),Addendum!G:G,"X")&gt;0,7%,0)</f>
        <v>0</v>
      </c>
      <c r="L131" s="31">
        <f>IF(COUNTIFS(Addendum!C:C,A131,Addendum!D:D,IF(ISNUMBER(B131),TEXT(B131,"0000"),B131),Addendum!I:I,"X")&gt;0,10%,0)</f>
        <v>0</v>
      </c>
      <c r="M131" s="34">
        <f t="shared" si="2"/>
        <v>0</v>
      </c>
      <c r="N131" s="17">
        <f t="shared" si="3"/>
        <v>209664</v>
      </c>
    </row>
    <row r="132" spans="1:14" x14ac:dyDescent="0.25">
      <c r="A132" s="14" t="s">
        <v>1797</v>
      </c>
      <c r="B132" s="14">
        <v>4</v>
      </c>
      <c r="C132" s="15" t="s">
        <v>1800</v>
      </c>
      <c r="D132" s="14" t="s">
        <v>1749</v>
      </c>
      <c r="E132" s="14" t="s">
        <v>1746</v>
      </c>
      <c r="F132" s="17" t="s">
        <v>2995</v>
      </c>
      <c r="G132" s="14">
        <v>11982</v>
      </c>
      <c r="H132" s="14">
        <v>10783.8</v>
      </c>
      <c r="I132" s="31">
        <f>IF(COUNTIFS(Addendum!C:C,A132,Addendum!D:D,IF(ISNUMBER(B132),TEXT(B132,"0000"),B132),Addendum!E:E,"X")&gt;0,4%,0)</f>
        <v>0</v>
      </c>
      <c r="J132" s="31">
        <f>IF(COUNTIFS(Addendum!C:C,A132,Addendum!D:D,IF(ISNUMBER(B132),TEXT(B132,"0000"),B132),Addendum!F:F,"X")&gt;0,2.5%,0)</f>
        <v>0</v>
      </c>
      <c r="K132" s="31">
        <f>IF(COUNTIFS(Addendum!C:C,A132,Addendum!D:D,IF(ISNUMBER(B132),TEXT(B132,"0000"),B132),Addendum!G:G,"X")&gt;0,7%,0)</f>
        <v>0</v>
      </c>
      <c r="L132" s="31">
        <f>IF(COUNTIFS(Addendum!C:C,A132,Addendum!D:D,IF(ISNUMBER(B132),TEXT(B132,"0000"),B132),Addendum!I:I,"X")&gt;0,10%,0)</f>
        <v>0</v>
      </c>
      <c r="M132" s="34">
        <f t="shared" ref="M132:M195" si="4">IF(AND(I132=0%,J132=0%,K132=0%,L132=0%),0%,
IF(OR(TRIM(E132)="OneTime",TRIM(D132)=""),0%,
IF(
OR(
TRIM(D132)="P1M",
AND(TRIM(D132)="P1Y",TRIM(E132)="Monthly"),
AND(TRIM(D132)="P3Y",TRIM(E132)="Monthly")
),
IF(AND(I132=4%,J132=0%,K132=0%,L132=0%),1%,
IF(AND(I132=4%,J132=2.5%,K132=0%,L132=10%),2%,
IF(AND(I132=4%,J132=0%,K132=7%,L132=10%),3%,0%))),
IF(
OR(
AND(TRIM(D132)="P1Y",TRIM(E132)="Annual"),
AND(TRIM(D132)="P3Y",TRIM(E132)="Annual"),
AND(TRIM(D132)="P3Y",TRIM(E132)="Triennial")
),
IF(AND(I132=4%,J132=0%,K132=0%,L132=0%),3%,
IF(AND(I132=4%,J132=2.5%,K132=0%,L132=10%),10%,
IF(AND(I132=4%,J132=0%,K132=7%,L132=10%),14%,0%))),
0%
))))</f>
        <v>0</v>
      </c>
      <c r="N132" s="17">
        <f t="shared" ref="N132:N195" si="5">H132-(H132*M132)</f>
        <v>10783.8</v>
      </c>
    </row>
    <row r="133" spans="1:14" ht="30" x14ac:dyDescent="0.25">
      <c r="A133" s="14" t="s">
        <v>1797</v>
      </c>
      <c r="B133" s="14">
        <v>3</v>
      </c>
      <c r="C133" s="15" t="s">
        <v>1798</v>
      </c>
      <c r="D133" s="14" t="s">
        <v>1745</v>
      </c>
      <c r="E133" s="14" t="s">
        <v>1746</v>
      </c>
      <c r="F133" s="17" t="s">
        <v>2994</v>
      </c>
      <c r="G133" s="14">
        <v>172935</v>
      </c>
      <c r="H133" s="14">
        <v>121054.6</v>
      </c>
      <c r="I133" s="31">
        <f>IF(COUNTIFS(Addendum!C:C,A133,Addendum!D:D,IF(ISNUMBER(B133),TEXT(B133,"0000"),B133),Addendum!E:E,"X")&gt;0,4%,0)</f>
        <v>0</v>
      </c>
      <c r="J133" s="31">
        <f>IF(COUNTIFS(Addendum!C:C,A133,Addendum!D:D,IF(ISNUMBER(B133),TEXT(B133,"0000"),B133),Addendum!F:F,"X")&gt;0,2.5%,0)</f>
        <v>0</v>
      </c>
      <c r="K133" s="31">
        <f>IF(COUNTIFS(Addendum!C:C,A133,Addendum!D:D,IF(ISNUMBER(B133),TEXT(B133,"0000"),B133),Addendum!G:G,"X")&gt;0,7%,0)</f>
        <v>0</v>
      </c>
      <c r="L133" s="31">
        <f>IF(COUNTIFS(Addendum!C:C,A133,Addendum!D:D,IF(ISNUMBER(B133),TEXT(B133,"0000"),B133),Addendum!I:I,"X")&gt;0,10%,0)</f>
        <v>0</v>
      </c>
      <c r="M133" s="34">
        <f t="shared" si="4"/>
        <v>0</v>
      </c>
      <c r="N133" s="17">
        <f t="shared" si="5"/>
        <v>121054.6</v>
      </c>
    </row>
    <row r="134" spans="1:14" x14ac:dyDescent="0.25">
      <c r="A134" s="14" t="s">
        <v>1801</v>
      </c>
      <c r="B134" s="14">
        <v>7</v>
      </c>
      <c r="C134" s="15" t="s">
        <v>1802</v>
      </c>
      <c r="D134" s="14" t="s">
        <v>1749</v>
      </c>
      <c r="E134" s="14" t="s">
        <v>1746</v>
      </c>
      <c r="F134" s="17" t="s">
        <v>2994</v>
      </c>
      <c r="G134" s="14">
        <v>552</v>
      </c>
      <c r="H134" s="14">
        <v>386.4</v>
      </c>
      <c r="I134" s="31">
        <f>IF(COUNTIFS(Addendum!C:C,A134,Addendum!D:D,IF(ISNUMBER(B134),TEXT(B134,"0000"),B134),Addendum!E:E,"X")&gt;0,4%,0)</f>
        <v>0</v>
      </c>
      <c r="J134" s="31">
        <f>IF(COUNTIFS(Addendum!C:C,A134,Addendum!D:D,IF(ISNUMBER(B134),TEXT(B134,"0000"),B134),Addendum!F:F,"X")&gt;0,2.5%,0)</f>
        <v>0</v>
      </c>
      <c r="K134" s="31">
        <f>IF(COUNTIFS(Addendum!C:C,A134,Addendum!D:D,IF(ISNUMBER(B134),TEXT(B134,"0000"),B134),Addendum!G:G,"X")&gt;0,7%,0)</f>
        <v>0</v>
      </c>
      <c r="L134" s="31">
        <f>IF(COUNTIFS(Addendum!C:C,A134,Addendum!D:D,IF(ISNUMBER(B134),TEXT(B134,"0000"),B134),Addendum!I:I,"X")&gt;0,10%,0)</f>
        <v>0</v>
      </c>
      <c r="M134" s="34">
        <f t="shared" si="4"/>
        <v>0</v>
      </c>
      <c r="N134" s="17">
        <f t="shared" si="5"/>
        <v>386.4</v>
      </c>
    </row>
    <row r="135" spans="1:14" x14ac:dyDescent="0.25">
      <c r="A135" s="14" t="s">
        <v>1801</v>
      </c>
      <c r="B135" s="14" t="s">
        <v>24</v>
      </c>
      <c r="C135" s="15" t="s">
        <v>1803</v>
      </c>
      <c r="D135" s="14" t="s">
        <v>1745</v>
      </c>
      <c r="E135" s="14" t="s">
        <v>1746</v>
      </c>
      <c r="F135" s="17" t="s">
        <v>2994</v>
      </c>
      <c r="G135" s="14">
        <v>2898</v>
      </c>
      <c r="H135" s="14">
        <v>2028.6</v>
      </c>
      <c r="I135" s="31">
        <f>IF(COUNTIFS(Addendum!C:C,A135,Addendum!D:D,IF(ISNUMBER(B135),TEXT(B135,"0000"),B135),Addendum!E:E,"X")&gt;0,4%,0)</f>
        <v>0</v>
      </c>
      <c r="J135" s="31">
        <f>IF(COUNTIFS(Addendum!C:C,A135,Addendum!D:D,IF(ISNUMBER(B135),TEXT(B135,"0000"),B135),Addendum!F:F,"X")&gt;0,2.5%,0)</f>
        <v>0</v>
      </c>
      <c r="K135" s="31">
        <f>IF(COUNTIFS(Addendum!C:C,A135,Addendum!D:D,IF(ISNUMBER(B135),TEXT(B135,"0000"),B135),Addendum!G:G,"X")&gt;0,7%,0)</f>
        <v>0</v>
      </c>
      <c r="L135" s="31">
        <f>IF(COUNTIFS(Addendum!C:C,A135,Addendum!D:D,IF(ISNUMBER(B135),TEXT(B135,"0000"),B135),Addendum!I:I,"X")&gt;0,10%,0)</f>
        <v>0</v>
      </c>
      <c r="M135" s="34">
        <f t="shared" si="4"/>
        <v>0</v>
      </c>
      <c r="N135" s="17">
        <f t="shared" si="5"/>
        <v>2028.6</v>
      </c>
    </row>
    <row r="136" spans="1:14" x14ac:dyDescent="0.25">
      <c r="A136" s="14" t="s">
        <v>1801</v>
      </c>
      <c r="B136" s="14">
        <v>5</v>
      </c>
      <c r="C136" s="15" t="s">
        <v>1804</v>
      </c>
      <c r="D136" s="14" t="s">
        <v>1745</v>
      </c>
      <c r="E136" s="14" t="s">
        <v>1747</v>
      </c>
      <c r="F136" s="17" t="s">
        <v>2995</v>
      </c>
      <c r="G136" s="14">
        <v>4020</v>
      </c>
      <c r="H136" s="14">
        <v>3618</v>
      </c>
      <c r="I136" s="31">
        <f>IF(COUNTIFS(Addendum!C:C,A136,Addendum!D:D,IF(ISNUMBER(B136),TEXT(B136,"0000"),B136),Addendum!E:E,"X")&gt;0,4%,0)</f>
        <v>0</v>
      </c>
      <c r="J136" s="31">
        <f>IF(COUNTIFS(Addendum!C:C,A136,Addendum!D:D,IF(ISNUMBER(B136),TEXT(B136,"0000"),B136),Addendum!F:F,"X")&gt;0,2.5%,0)</f>
        <v>0</v>
      </c>
      <c r="K136" s="31">
        <f>IF(COUNTIFS(Addendum!C:C,A136,Addendum!D:D,IF(ISNUMBER(B136),TEXT(B136,"0000"),B136),Addendum!G:G,"X")&gt;0,7%,0)</f>
        <v>0</v>
      </c>
      <c r="L136" s="31">
        <f>IF(COUNTIFS(Addendum!C:C,A136,Addendum!D:D,IF(ISNUMBER(B136),TEXT(B136,"0000"),B136),Addendum!I:I,"X")&gt;0,10%,0)</f>
        <v>0</v>
      </c>
      <c r="M136" s="34">
        <f t="shared" si="4"/>
        <v>0</v>
      </c>
      <c r="N136" s="17">
        <f t="shared" si="5"/>
        <v>3618</v>
      </c>
    </row>
    <row r="137" spans="1:14" x14ac:dyDescent="0.25">
      <c r="A137" s="14" t="s">
        <v>1801</v>
      </c>
      <c r="B137" s="14" t="s">
        <v>16</v>
      </c>
      <c r="C137" s="15" t="s">
        <v>1805</v>
      </c>
      <c r="D137" s="14" t="s">
        <v>1745</v>
      </c>
      <c r="E137" s="14" t="s">
        <v>1746</v>
      </c>
      <c r="F137" s="17" t="s">
        <v>2994</v>
      </c>
      <c r="G137" s="14">
        <v>209664</v>
      </c>
      <c r="H137" s="14">
        <v>146764.79999999999</v>
      </c>
      <c r="I137" s="31">
        <f>IF(COUNTIFS(Addendum!C:C,A137,Addendum!D:D,IF(ISNUMBER(B137),TEXT(B137,"0000"),B137),Addendum!E:E,"X")&gt;0,4%,0)</f>
        <v>0</v>
      </c>
      <c r="J137" s="31">
        <f>IF(COUNTIFS(Addendum!C:C,A137,Addendum!D:D,IF(ISNUMBER(B137),TEXT(B137,"0000"),B137),Addendum!F:F,"X")&gt;0,2.5%,0)</f>
        <v>0</v>
      </c>
      <c r="K137" s="31">
        <f>IF(COUNTIFS(Addendum!C:C,A137,Addendum!D:D,IF(ISNUMBER(B137),TEXT(B137,"0000"),B137),Addendum!G:G,"X")&gt;0,7%,0)</f>
        <v>0</v>
      </c>
      <c r="L137" s="31">
        <f>IF(COUNTIFS(Addendum!C:C,A137,Addendum!D:D,IF(ISNUMBER(B137),TEXT(B137,"0000"),B137),Addendum!I:I,"X")&gt;0,10%,0)</f>
        <v>0</v>
      </c>
      <c r="M137" s="34">
        <f t="shared" si="4"/>
        <v>0</v>
      </c>
      <c r="N137" s="17">
        <f t="shared" si="5"/>
        <v>146764.79999999999</v>
      </c>
    </row>
    <row r="138" spans="1:14" x14ac:dyDescent="0.25">
      <c r="A138" s="14" t="s">
        <v>1801</v>
      </c>
      <c r="B138" s="14">
        <v>7</v>
      </c>
      <c r="C138" s="15" t="s">
        <v>1802</v>
      </c>
      <c r="D138" s="14" t="s">
        <v>1745</v>
      </c>
      <c r="E138" s="14" t="s">
        <v>1746</v>
      </c>
      <c r="F138" s="17" t="s">
        <v>2994</v>
      </c>
      <c r="G138" s="14">
        <v>5796</v>
      </c>
      <c r="H138" s="14">
        <v>4057.2</v>
      </c>
      <c r="I138" s="31">
        <f>IF(COUNTIFS(Addendum!C:C,A138,Addendum!D:D,IF(ISNUMBER(B138),TEXT(B138,"0000"),B138),Addendum!E:E,"X")&gt;0,4%,0)</f>
        <v>0</v>
      </c>
      <c r="J138" s="31">
        <f>IF(COUNTIFS(Addendum!C:C,A138,Addendum!D:D,IF(ISNUMBER(B138),TEXT(B138,"0000"),B138),Addendum!F:F,"X")&gt;0,2.5%,0)</f>
        <v>0</v>
      </c>
      <c r="K138" s="31">
        <f>IF(COUNTIFS(Addendum!C:C,A138,Addendum!D:D,IF(ISNUMBER(B138),TEXT(B138,"0000"),B138),Addendum!G:G,"X")&gt;0,7%,0)</f>
        <v>0</v>
      </c>
      <c r="L138" s="31">
        <f>IF(COUNTIFS(Addendum!C:C,A138,Addendum!D:D,IF(ISNUMBER(B138),TEXT(B138,"0000"),B138),Addendum!I:I,"X")&gt;0,10%,0)</f>
        <v>0</v>
      </c>
      <c r="M138" s="34">
        <f t="shared" si="4"/>
        <v>0</v>
      </c>
      <c r="N138" s="17">
        <f t="shared" si="5"/>
        <v>4057.2</v>
      </c>
    </row>
    <row r="139" spans="1:14" x14ac:dyDescent="0.25">
      <c r="A139" s="14" t="s">
        <v>1801</v>
      </c>
      <c r="B139" s="14">
        <v>8</v>
      </c>
      <c r="C139" s="15" t="s">
        <v>1806</v>
      </c>
      <c r="D139" s="14" t="s">
        <v>1745</v>
      </c>
      <c r="E139" s="14" t="s">
        <v>1746</v>
      </c>
      <c r="F139" s="17" t="s">
        <v>2995</v>
      </c>
      <c r="G139" s="14">
        <v>2079</v>
      </c>
      <c r="H139" s="14">
        <v>1871.16</v>
      </c>
      <c r="I139" s="31">
        <f>IF(COUNTIFS(Addendum!C:C,A139,Addendum!D:D,IF(ISNUMBER(B139),TEXT(B139,"0000"),B139),Addendum!E:E,"X")&gt;0,4%,0)</f>
        <v>0</v>
      </c>
      <c r="J139" s="31">
        <f>IF(COUNTIFS(Addendum!C:C,A139,Addendum!D:D,IF(ISNUMBER(B139),TEXT(B139,"0000"),B139),Addendum!F:F,"X")&gt;0,2.5%,0)</f>
        <v>0</v>
      </c>
      <c r="K139" s="31">
        <f>IF(COUNTIFS(Addendum!C:C,A139,Addendum!D:D,IF(ISNUMBER(B139),TEXT(B139,"0000"),B139),Addendum!G:G,"X")&gt;0,7%,0)</f>
        <v>0</v>
      </c>
      <c r="L139" s="31">
        <f>IF(COUNTIFS(Addendum!C:C,A139,Addendum!D:D,IF(ISNUMBER(B139),TEXT(B139,"0000"),B139),Addendum!I:I,"X")&gt;0,10%,0)</f>
        <v>0</v>
      </c>
      <c r="M139" s="34">
        <f t="shared" si="4"/>
        <v>0</v>
      </c>
      <c r="N139" s="17">
        <f t="shared" si="5"/>
        <v>1871.16</v>
      </c>
    </row>
    <row r="140" spans="1:14" x14ac:dyDescent="0.25">
      <c r="A140" s="14" t="s">
        <v>1801</v>
      </c>
      <c r="B140" s="14" t="s">
        <v>24</v>
      </c>
      <c r="C140" s="15" t="s">
        <v>1803</v>
      </c>
      <c r="D140" s="14" t="s">
        <v>1749</v>
      </c>
      <c r="E140" s="14" t="s">
        <v>1746</v>
      </c>
      <c r="F140" s="17" t="s">
        <v>2994</v>
      </c>
      <c r="G140" s="14">
        <v>276</v>
      </c>
      <c r="H140" s="14">
        <v>193.2</v>
      </c>
      <c r="I140" s="31">
        <f>IF(COUNTIFS(Addendum!C:C,A140,Addendum!D:D,IF(ISNUMBER(B140),TEXT(B140,"0000"),B140),Addendum!E:E,"X")&gt;0,4%,0)</f>
        <v>0</v>
      </c>
      <c r="J140" s="31">
        <f>IF(COUNTIFS(Addendum!C:C,A140,Addendum!D:D,IF(ISNUMBER(B140),TEXT(B140,"0000"),B140),Addendum!F:F,"X")&gt;0,2.5%,0)</f>
        <v>0</v>
      </c>
      <c r="K140" s="31">
        <f>IF(COUNTIFS(Addendum!C:C,A140,Addendum!D:D,IF(ISNUMBER(B140),TEXT(B140,"0000"),B140),Addendum!G:G,"X")&gt;0,7%,0)</f>
        <v>0</v>
      </c>
      <c r="L140" s="31">
        <f>IF(COUNTIFS(Addendum!C:C,A140,Addendum!D:D,IF(ISNUMBER(B140),TEXT(B140,"0000"),B140),Addendum!I:I,"X")&gt;0,10%,0)</f>
        <v>0</v>
      </c>
      <c r="M140" s="34">
        <f t="shared" si="4"/>
        <v>0</v>
      </c>
      <c r="N140" s="17">
        <f t="shared" si="5"/>
        <v>193.2</v>
      </c>
    </row>
    <row r="141" spans="1:14" x14ac:dyDescent="0.25">
      <c r="A141" s="14" t="s">
        <v>1801</v>
      </c>
      <c r="B141" s="14">
        <v>8</v>
      </c>
      <c r="C141" s="15" t="s">
        <v>1806</v>
      </c>
      <c r="D141" s="14" t="s">
        <v>1745</v>
      </c>
      <c r="E141" s="14" t="s">
        <v>1747</v>
      </c>
      <c r="F141" s="17" t="s">
        <v>2995</v>
      </c>
      <c r="G141" s="14">
        <v>1980</v>
      </c>
      <c r="H141" s="14">
        <v>1782</v>
      </c>
      <c r="I141" s="31">
        <f>IF(COUNTIFS(Addendum!C:C,A141,Addendum!D:D,IF(ISNUMBER(B141),TEXT(B141,"0000"),B141),Addendum!E:E,"X")&gt;0,4%,0)</f>
        <v>0</v>
      </c>
      <c r="J141" s="31">
        <f>IF(COUNTIFS(Addendum!C:C,A141,Addendum!D:D,IF(ISNUMBER(B141),TEXT(B141,"0000"),B141),Addendum!F:F,"X")&gt;0,2.5%,0)</f>
        <v>0</v>
      </c>
      <c r="K141" s="31">
        <f>IF(COUNTIFS(Addendum!C:C,A141,Addendum!D:D,IF(ISNUMBER(B141),TEXT(B141,"0000"),B141),Addendum!G:G,"X")&gt;0,7%,0)</f>
        <v>0</v>
      </c>
      <c r="L141" s="31">
        <f>IF(COUNTIFS(Addendum!C:C,A141,Addendum!D:D,IF(ISNUMBER(B141),TEXT(B141,"0000"),B141),Addendum!I:I,"X")&gt;0,10%,0)</f>
        <v>0</v>
      </c>
      <c r="M141" s="34">
        <f t="shared" si="4"/>
        <v>0</v>
      </c>
      <c r="N141" s="17">
        <f t="shared" si="5"/>
        <v>1782</v>
      </c>
    </row>
    <row r="142" spans="1:14" x14ac:dyDescent="0.25">
      <c r="A142" s="14" t="s">
        <v>1801</v>
      </c>
      <c r="B142" s="14" t="s">
        <v>34</v>
      </c>
      <c r="C142" s="15" t="s">
        <v>1807</v>
      </c>
      <c r="D142" s="14" t="s">
        <v>1745</v>
      </c>
      <c r="E142" s="14" t="s">
        <v>1746</v>
      </c>
      <c r="F142" s="17" t="s">
        <v>2994</v>
      </c>
      <c r="G142" s="14">
        <v>288288</v>
      </c>
      <c r="H142" s="14">
        <v>201801.60000000001</v>
      </c>
      <c r="I142" s="31">
        <f>IF(COUNTIFS(Addendum!C:C,A142,Addendum!D:D,IF(ISNUMBER(B142),TEXT(B142,"0000"),B142),Addendum!E:E,"X")&gt;0,4%,0)</f>
        <v>0</v>
      </c>
      <c r="J142" s="31">
        <f>IF(COUNTIFS(Addendum!C:C,A142,Addendum!D:D,IF(ISNUMBER(B142),TEXT(B142,"0000"),B142),Addendum!F:F,"X")&gt;0,2.5%,0)</f>
        <v>0</v>
      </c>
      <c r="K142" s="31">
        <f>IF(COUNTIFS(Addendum!C:C,A142,Addendum!D:D,IF(ISNUMBER(B142),TEXT(B142,"0000"),B142),Addendum!G:G,"X")&gt;0,7%,0)</f>
        <v>0</v>
      </c>
      <c r="L142" s="31">
        <f>IF(COUNTIFS(Addendum!C:C,A142,Addendum!D:D,IF(ISNUMBER(B142),TEXT(B142,"0000"),B142),Addendum!I:I,"X")&gt;0,10%,0)</f>
        <v>0</v>
      </c>
      <c r="M142" s="34">
        <f t="shared" si="4"/>
        <v>0</v>
      </c>
      <c r="N142" s="17">
        <f t="shared" si="5"/>
        <v>201801.60000000001</v>
      </c>
    </row>
    <row r="143" spans="1:14" x14ac:dyDescent="0.25">
      <c r="A143" s="14" t="s">
        <v>1801</v>
      </c>
      <c r="B143" s="14">
        <v>2</v>
      </c>
      <c r="C143" s="15" t="s">
        <v>1808</v>
      </c>
      <c r="D143" s="14" t="s">
        <v>1745</v>
      </c>
      <c r="E143" s="14" t="s">
        <v>1746</v>
      </c>
      <c r="F143" s="17" t="s">
        <v>2993</v>
      </c>
      <c r="G143" s="14">
        <v>524097</v>
      </c>
      <c r="H143" s="14">
        <v>366868</v>
      </c>
      <c r="I143" s="31">
        <f>IF(COUNTIFS(Addendum!C:C,A143,Addendum!D:D,IF(ISNUMBER(B143),TEXT(B143,"0000"),B143),Addendum!E:E,"X")&gt;0,4%,0)</f>
        <v>0</v>
      </c>
      <c r="J143" s="31">
        <f>IF(COUNTIFS(Addendum!C:C,A143,Addendum!D:D,IF(ISNUMBER(B143),TEXT(B143,"0000"),B143),Addendum!F:F,"X")&gt;0,2.5%,0)</f>
        <v>0</v>
      </c>
      <c r="K143" s="31">
        <f>IF(COUNTIFS(Addendum!C:C,A143,Addendum!D:D,IF(ISNUMBER(B143),TEXT(B143,"0000"),B143),Addendum!G:G,"X")&gt;0,7%,0)</f>
        <v>0</v>
      </c>
      <c r="L143" s="31">
        <f>IF(COUNTIFS(Addendum!C:C,A143,Addendum!D:D,IF(ISNUMBER(B143),TEXT(B143,"0000"),B143),Addendum!I:I,"X")&gt;0,10%,0)</f>
        <v>0</v>
      </c>
      <c r="M143" s="34">
        <f t="shared" si="4"/>
        <v>0</v>
      </c>
      <c r="N143" s="17">
        <f t="shared" si="5"/>
        <v>366868</v>
      </c>
    </row>
    <row r="144" spans="1:14" x14ac:dyDescent="0.25">
      <c r="A144" s="14" t="s">
        <v>1801</v>
      </c>
      <c r="B144" s="14" t="s">
        <v>16</v>
      </c>
      <c r="C144" s="15" t="s">
        <v>1805</v>
      </c>
      <c r="D144" s="14" t="s">
        <v>1749</v>
      </c>
      <c r="E144" s="14" t="s">
        <v>1746</v>
      </c>
      <c r="F144" s="17" t="s">
        <v>2994</v>
      </c>
      <c r="G144" s="14">
        <v>19968</v>
      </c>
      <c r="H144" s="14">
        <v>13977.6</v>
      </c>
      <c r="I144" s="31">
        <f>IF(COUNTIFS(Addendum!C:C,A144,Addendum!D:D,IF(ISNUMBER(B144),TEXT(B144,"0000"),B144),Addendum!E:E,"X")&gt;0,4%,0)</f>
        <v>0</v>
      </c>
      <c r="J144" s="31">
        <f>IF(COUNTIFS(Addendum!C:C,A144,Addendum!D:D,IF(ISNUMBER(B144),TEXT(B144,"0000"),B144),Addendum!F:F,"X")&gt;0,2.5%,0)</f>
        <v>0</v>
      </c>
      <c r="K144" s="31">
        <f>IF(COUNTIFS(Addendum!C:C,A144,Addendum!D:D,IF(ISNUMBER(B144),TEXT(B144,"0000"),B144),Addendum!G:G,"X")&gt;0,7%,0)</f>
        <v>0</v>
      </c>
      <c r="L144" s="31">
        <f>IF(COUNTIFS(Addendum!C:C,A144,Addendum!D:D,IF(ISNUMBER(B144),TEXT(B144,"0000"),B144),Addendum!I:I,"X")&gt;0,10%,0)</f>
        <v>0</v>
      </c>
      <c r="M144" s="34">
        <f t="shared" si="4"/>
        <v>0</v>
      </c>
      <c r="N144" s="17">
        <f t="shared" si="5"/>
        <v>13977.6</v>
      </c>
    </row>
    <row r="145" spans="1:14" ht="30" x14ac:dyDescent="0.25">
      <c r="A145" s="14" t="s">
        <v>1801</v>
      </c>
      <c r="B145" s="14">
        <v>9</v>
      </c>
      <c r="C145" s="15" t="s">
        <v>1809</v>
      </c>
      <c r="D145" s="14" t="s">
        <v>1749</v>
      </c>
      <c r="E145" s="14" t="s">
        <v>1746</v>
      </c>
      <c r="F145" s="17" t="s">
        <v>2994</v>
      </c>
      <c r="G145" s="14">
        <v>198</v>
      </c>
      <c r="H145" s="14">
        <v>138.6</v>
      </c>
      <c r="I145" s="31">
        <f>IF(COUNTIFS(Addendum!C:C,A145,Addendum!D:D,IF(ISNUMBER(B145),TEXT(B145,"0000"),B145),Addendum!E:E,"X")&gt;0,4%,0)</f>
        <v>0</v>
      </c>
      <c r="J145" s="31">
        <f>IF(COUNTIFS(Addendum!C:C,A145,Addendum!D:D,IF(ISNUMBER(B145),TEXT(B145,"0000"),B145),Addendum!F:F,"X")&gt;0,2.5%,0)</f>
        <v>0</v>
      </c>
      <c r="K145" s="31">
        <f>IF(COUNTIFS(Addendum!C:C,A145,Addendum!D:D,IF(ISNUMBER(B145),TEXT(B145,"0000"),B145),Addendum!G:G,"X")&gt;0,7%,0)</f>
        <v>0</v>
      </c>
      <c r="L145" s="31">
        <f>IF(COUNTIFS(Addendum!C:C,A145,Addendum!D:D,IF(ISNUMBER(B145),TEXT(B145,"0000"),B145),Addendum!I:I,"X")&gt;0,10%,0)</f>
        <v>0</v>
      </c>
      <c r="M145" s="34">
        <f t="shared" si="4"/>
        <v>0</v>
      </c>
      <c r="N145" s="17">
        <f t="shared" si="5"/>
        <v>138.6</v>
      </c>
    </row>
    <row r="146" spans="1:14" ht="30" x14ac:dyDescent="0.25">
      <c r="A146" s="14" t="s">
        <v>1801</v>
      </c>
      <c r="B146" s="14">
        <v>9</v>
      </c>
      <c r="C146" s="15" t="s">
        <v>1809</v>
      </c>
      <c r="D146" s="14" t="s">
        <v>1745</v>
      </c>
      <c r="E146" s="14" t="s">
        <v>1746</v>
      </c>
      <c r="F146" s="17" t="s">
        <v>2994</v>
      </c>
      <c r="G146" s="14">
        <v>2079</v>
      </c>
      <c r="H146" s="14">
        <v>1455.36</v>
      </c>
      <c r="I146" s="31">
        <f>IF(COUNTIFS(Addendum!C:C,A146,Addendum!D:D,IF(ISNUMBER(B146),TEXT(B146,"0000"),B146),Addendum!E:E,"X")&gt;0,4%,0)</f>
        <v>0</v>
      </c>
      <c r="J146" s="31">
        <f>IF(COUNTIFS(Addendum!C:C,A146,Addendum!D:D,IF(ISNUMBER(B146),TEXT(B146,"0000"),B146),Addendum!F:F,"X")&gt;0,2.5%,0)</f>
        <v>0</v>
      </c>
      <c r="K146" s="31">
        <f>IF(COUNTIFS(Addendum!C:C,A146,Addendum!D:D,IF(ISNUMBER(B146),TEXT(B146,"0000"),B146),Addendum!G:G,"X")&gt;0,7%,0)</f>
        <v>0</v>
      </c>
      <c r="L146" s="31">
        <f>IF(COUNTIFS(Addendum!C:C,A146,Addendum!D:D,IF(ISNUMBER(B146),TEXT(B146,"0000"),B146),Addendum!I:I,"X")&gt;0,10%,0)</f>
        <v>0</v>
      </c>
      <c r="M146" s="34">
        <f t="shared" si="4"/>
        <v>0</v>
      </c>
      <c r="N146" s="17">
        <f t="shared" si="5"/>
        <v>1455.36</v>
      </c>
    </row>
    <row r="147" spans="1:14" x14ac:dyDescent="0.25">
      <c r="A147" s="14" t="s">
        <v>1801</v>
      </c>
      <c r="B147" s="14" t="s">
        <v>20</v>
      </c>
      <c r="C147" s="15" t="s">
        <v>1810</v>
      </c>
      <c r="D147" s="14" t="s">
        <v>1749</v>
      </c>
      <c r="E147" s="14" t="s">
        <v>1746</v>
      </c>
      <c r="F147" s="17" t="s">
        <v>2994</v>
      </c>
      <c r="G147" s="14">
        <v>402</v>
      </c>
      <c r="H147" s="14">
        <v>281.39999999999998</v>
      </c>
      <c r="I147" s="31">
        <f>IF(COUNTIFS(Addendum!C:C,A147,Addendum!D:D,IF(ISNUMBER(B147),TEXT(B147,"0000"),B147),Addendum!E:E,"X")&gt;0,4%,0)</f>
        <v>0</v>
      </c>
      <c r="J147" s="31">
        <f>IF(COUNTIFS(Addendum!C:C,A147,Addendum!D:D,IF(ISNUMBER(B147),TEXT(B147,"0000"),B147),Addendum!F:F,"X")&gt;0,2.5%,0)</f>
        <v>0</v>
      </c>
      <c r="K147" s="31">
        <f>IF(COUNTIFS(Addendum!C:C,A147,Addendum!D:D,IF(ISNUMBER(B147),TEXT(B147,"0000"),B147),Addendum!G:G,"X")&gt;0,7%,0)</f>
        <v>0</v>
      </c>
      <c r="L147" s="31">
        <f>IF(COUNTIFS(Addendum!C:C,A147,Addendum!D:D,IF(ISNUMBER(B147),TEXT(B147,"0000"),B147),Addendum!I:I,"X")&gt;0,10%,0)</f>
        <v>0</v>
      </c>
      <c r="M147" s="34">
        <f t="shared" si="4"/>
        <v>0</v>
      </c>
      <c r="N147" s="17">
        <f t="shared" si="5"/>
        <v>281.39999999999998</v>
      </c>
    </row>
    <row r="148" spans="1:14" x14ac:dyDescent="0.25">
      <c r="A148" s="14" t="s">
        <v>1801</v>
      </c>
      <c r="B148" s="14" t="s">
        <v>16</v>
      </c>
      <c r="C148" s="15" t="s">
        <v>1805</v>
      </c>
      <c r="D148" s="14" t="s">
        <v>1745</v>
      </c>
      <c r="E148" s="14" t="s">
        <v>1747</v>
      </c>
      <c r="F148" s="17" t="s">
        <v>2994</v>
      </c>
      <c r="G148" s="14">
        <v>199680</v>
      </c>
      <c r="H148" s="14">
        <v>139776</v>
      </c>
      <c r="I148" s="31">
        <f>IF(COUNTIFS(Addendum!C:C,A148,Addendum!D:D,IF(ISNUMBER(B148),TEXT(B148,"0000"),B148),Addendum!E:E,"X")&gt;0,4%,0)</f>
        <v>0</v>
      </c>
      <c r="J148" s="31">
        <f>IF(COUNTIFS(Addendum!C:C,A148,Addendum!D:D,IF(ISNUMBER(B148),TEXT(B148,"0000"),B148),Addendum!F:F,"X")&gt;0,2.5%,0)</f>
        <v>0</v>
      </c>
      <c r="K148" s="31">
        <f>IF(COUNTIFS(Addendum!C:C,A148,Addendum!D:D,IF(ISNUMBER(B148),TEXT(B148,"0000"),B148),Addendum!G:G,"X")&gt;0,7%,0)</f>
        <v>0</v>
      </c>
      <c r="L148" s="31">
        <f>IF(COUNTIFS(Addendum!C:C,A148,Addendum!D:D,IF(ISNUMBER(B148),TEXT(B148,"0000"),B148),Addendum!I:I,"X")&gt;0,10%,0)</f>
        <v>0</v>
      </c>
      <c r="M148" s="34">
        <f t="shared" si="4"/>
        <v>0</v>
      </c>
      <c r="N148" s="17">
        <f t="shared" si="5"/>
        <v>139776</v>
      </c>
    </row>
    <row r="149" spans="1:14" x14ac:dyDescent="0.25">
      <c r="A149" s="14" t="s">
        <v>1801</v>
      </c>
      <c r="B149" s="14">
        <v>7</v>
      </c>
      <c r="C149" s="15" t="s">
        <v>1802</v>
      </c>
      <c r="D149" s="14" t="s">
        <v>1745</v>
      </c>
      <c r="E149" s="14" t="s">
        <v>1747</v>
      </c>
      <c r="F149" s="17" t="s">
        <v>2994</v>
      </c>
      <c r="G149" s="14">
        <v>5520</v>
      </c>
      <c r="H149" s="14">
        <v>3864</v>
      </c>
      <c r="I149" s="31">
        <f>IF(COUNTIFS(Addendum!C:C,A149,Addendum!D:D,IF(ISNUMBER(B149),TEXT(B149,"0000"),B149),Addendum!E:E,"X")&gt;0,4%,0)</f>
        <v>0</v>
      </c>
      <c r="J149" s="31">
        <f>IF(COUNTIFS(Addendum!C:C,A149,Addendum!D:D,IF(ISNUMBER(B149),TEXT(B149,"0000"),B149),Addendum!F:F,"X")&gt;0,2.5%,0)</f>
        <v>0</v>
      </c>
      <c r="K149" s="31">
        <f>IF(COUNTIFS(Addendum!C:C,A149,Addendum!D:D,IF(ISNUMBER(B149),TEXT(B149,"0000"),B149),Addendum!G:G,"X")&gt;0,7%,0)</f>
        <v>0</v>
      </c>
      <c r="L149" s="31">
        <f>IF(COUNTIFS(Addendum!C:C,A149,Addendum!D:D,IF(ISNUMBER(B149),TEXT(B149,"0000"),B149),Addendum!I:I,"X")&gt;0,10%,0)</f>
        <v>0</v>
      </c>
      <c r="M149" s="34">
        <f t="shared" si="4"/>
        <v>0</v>
      </c>
      <c r="N149" s="17">
        <f t="shared" si="5"/>
        <v>3864</v>
      </c>
    </row>
    <row r="150" spans="1:14" x14ac:dyDescent="0.25">
      <c r="A150" s="14" t="s">
        <v>1801</v>
      </c>
      <c r="B150" s="14" t="s">
        <v>34</v>
      </c>
      <c r="C150" s="15" t="s">
        <v>1807</v>
      </c>
      <c r="D150" s="14" t="s">
        <v>1749</v>
      </c>
      <c r="E150" s="14" t="s">
        <v>1746</v>
      </c>
      <c r="F150" s="17" t="s">
        <v>2994</v>
      </c>
      <c r="G150" s="14">
        <v>27456</v>
      </c>
      <c r="H150" s="14">
        <v>19219.2</v>
      </c>
      <c r="I150" s="31">
        <f>IF(COUNTIFS(Addendum!C:C,A150,Addendum!D:D,IF(ISNUMBER(B150),TEXT(B150,"0000"),B150),Addendum!E:E,"X")&gt;0,4%,0)</f>
        <v>0</v>
      </c>
      <c r="J150" s="31">
        <f>IF(COUNTIFS(Addendum!C:C,A150,Addendum!D:D,IF(ISNUMBER(B150),TEXT(B150,"0000"),B150),Addendum!F:F,"X")&gt;0,2.5%,0)</f>
        <v>0</v>
      </c>
      <c r="K150" s="31">
        <f>IF(COUNTIFS(Addendum!C:C,A150,Addendum!D:D,IF(ISNUMBER(B150),TEXT(B150,"0000"),B150),Addendum!G:G,"X")&gt;0,7%,0)</f>
        <v>0</v>
      </c>
      <c r="L150" s="31">
        <f>IF(COUNTIFS(Addendum!C:C,A150,Addendum!D:D,IF(ISNUMBER(B150),TEXT(B150,"0000"),B150),Addendum!I:I,"X")&gt;0,10%,0)</f>
        <v>0</v>
      </c>
      <c r="M150" s="34">
        <f t="shared" si="4"/>
        <v>0</v>
      </c>
      <c r="N150" s="17">
        <f t="shared" si="5"/>
        <v>19219.2</v>
      </c>
    </row>
    <row r="151" spans="1:14" x14ac:dyDescent="0.25">
      <c r="A151" s="14" t="s">
        <v>1801</v>
      </c>
      <c r="B151" s="14">
        <v>1</v>
      </c>
      <c r="C151" s="15" t="s">
        <v>1811</v>
      </c>
      <c r="D151" s="14" t="s">
        <v>1749</v>
      </c>
      <c r="E151" s="14" t="s">
        <v>1746</v>
      </c>
      <c r="F151" s="17" t="s">
        <v>2993</v>
      </c>
      <c r="G151" s="14">
        <v>996</v>
      </c>
      <c r="H151" s="14">
        <v>697.2</v>
      </c>
      <c r="I151" s="31">
        <f>IF(COUNTIFS(Addendum!C:C,A151,Addendum!D:D,IF(ISNUMBER(B151),TEXT(B151,"0000"),B151),Addendum!E:E,"X")&gt;0,4%,0)</f>
        <v>0</v>
      </c>
      <c r="J151" s="31">
        <f>IF(COUNTIFS(Addendum!C:C,A151,Addendum!D:D,IF(ISNUMBER(B151),TEXT(B151,"0000"),B151),Addendum!F:F,"X")&gt;0,2.5%,0)</f>
        <v>0</v>
      </c>
      <c r="K151" s="31">
        <f>IF(COUNTIFS(Addendum!C:C,A151,Addendum!D:D,IF(ISNUMBER(B151),TEXT(B151,"0000"),B151),Addendum!G:G,"X")&gt;0,7%,0)</f>
        <v>0</v>
      </c>
      <c r="L151" s="31">
        <f>IF(COUNTIFS(Addendum!C:C,A151,Addendum!D:D,IF(ISNUMBER(B151),TEXT(B151,"0000"),B151),Addendum!I:I,"X")&gt;0,10%,0)</f>
        <v>0</v>
      </c>
      <c r="M151" s="34">
        <f t="shared" si="4"/>
        <v>0</v>
      </c>
      <c r="N151" s="17">
        <f t="shared" si="5"/>
        <v>697.2</v>
      </c>
    </row>
    <row r="152" spans="1:14" x14ac:dyDescent="0.25">
      <c r="A152" s="14" t="s">
        <v>1801</v>
      </c>
      <c r="B152" s="14" t="s">
        <v>20</v>
      </c>
      <c r="C152" s="15" t="s">
        <v>1810</v>
      </c>
      <c r="D152" s="14" t="s">
        <v>1745</v>
      </c>
      <c r="E152" s="14" t="s">
        <v>1747</v>
      </c>
      <c r="F152" s="17" t="s">
        <v>2994</v>
      </c>
      <c r="G152" s="14">
        <v>4020</v>
      </c>
      <c r="H152" s="14">
        <v>2814</v>
      </c>
      <c r="I152" s="31">
        <f>IF(COUNTIFS(Addendum!C:C,A152,Addendum!D:D,IF(ISNUMBER(B152),TEXT(B152,"0000"),B152),Addendum!E:E,"X")&gt;0,4%,0)</f>
        <v>0</v>
      </c>
      <c r="J152" s="31">
        <f>IF(COUNTIFS(Addendum!C:C,A152,Addendum!D:D,IF(ISNUMBER(B152),TEXT(B152,"0000"),B152),Addendum!F:F,"X")&gt;0,2.5%,0)</f>
        <v>0</v>
      </c>
      <c r="K152" s="31">
        <f>IF(COUNTIFS(Addendum!C:C,A152,Addendum!D:D,IF(ISNUMBER(B152),TEXT(B152,"0000"),B152),Addendum!G:G,"X")&gt;0,7%,0)</f>
        <v>0</v>
      </c>
      <c r="L152" s="31">
        <f>IF(COUNTIFS(Addendum!C:C,A152,Addendum!D:D,IF(ISNUMBER(B152),TEXT(B152,"0000"),B152),Addendum!I:I,"X")&gt;0,10%,0)</f>
        <v>0</v>
      </c>
      <c r="M152" s="34">
        <f t="shared" si="4"/>
        <v>0</v>
      </c>
      <c r="N152" s="17">
        <f t="shared" si="5"/>
        <v>2814</v>
      </c>
    </row>
    <row r="153" spans="1:14" x14ac:dyDescent="0.25">
      <c r="A153" s="14" t="s">
        <v>1801</v>
      </c>
      <c r="B153" s="14">
        <v>1</v>
      </c>
      <c r="C153" s="15" t="s">
        <v>1811</v>
      </c>
      <c r="D153" s="14" t="s">
        <v>1745</v>
      </c>
      <c r="E153" s="14" t="s">
        <v>1746</v>
      </c>
      <c r="F153" s="17" t="s">
        <v>2993</v>
      </c>
      <c r="G153" s="14">
        <v>10458</v>
      </c>
      <c r="H153" s="14">
        <v>7320.6</v>
      </c>
      <c r="I153" s="31">
        <f>IF(COUNTIFS(Addendum!C:C,A153,Addendum!D:D,IF(ISNUMBER(B153),TEXT(B153,"0000"),B153),Addendum!E:E,"X")&gt;0,4%,0)</f>
        <v>0</v>
      </c>
      <c r="J153" s="31">
        <f>IF(COUNTIFS(Addendum!C:C,A153,Addendum!D:D,IF(ISNUMBER(B153),TEXT(B153,"0000"),B153),Addendum!F:F,"X")&gt;0,2.5%,0)</f>
        <v>0</v>
      </c>
      <c r="K153" s="31">
        <f>IF(COUNTIFS(Addendum!C:C,A153,Addendum!D:D,IF(ISNUMBER(B153),TEXT(B153,"0000"),B153),Addendum!G:G,"X")&gt;0,7%,0)</f>
        <v>0</v>
      </c>
      <c r="L153" s="31">
        <f>IF(COUNTIFS(Addendum!C:C,A153,Addendum!D:D,IF(ISNUMBER(B153),TEXT(B153,"0000"),B153),Addendum!I:I,"X")&gt;0,10%,0)</f>
        <v>0</v>
      </c>
      <c r="M153" s="34">
        <f t="shared" si="4"/>
        <v>0</v>
      </c>
      <c r="N153" s="17">
        <f t="shared" si="5"/>
        <v>7320.6</v>
      </c>
    </row>
    <row r="154" spans="1:14" x14ac:dyDescent="0.25">
      <c r="A154" s="14" t="s">
        <v>1801</v>
      </c>
      <c r="B154" s="14">
        <v>2</v>
      </c>
      <c r="C154" s="15" t="s">
        <v>1808</v>
      </c>
      <c r="D154" s="14" t="s">
        <v>1745</v>
      </c>
      <c r="E154" s="14" t="s">
        <v>1747</v>
      </c>
      <c r="F154" s="17" t="s">
        <v>2993</v>
      </c>
      <c r="G154" s="14">
        <v>499140</v>
      </c>
      <c r="H154" s="14">
        <v>349398</v>
      </c>
      <c r="I154" s="31">
        <f>IF(COUNTIFS(Addendum!C:C,A154,Addendum!D:D,IF(ISNUMBER(B154),TEXT(B154,"0000"),B154),Addendum!E:E,"X")&gt;0,4%,0)</f>
        <v>0</v>
      </c>
      <c r="J154" s="31">
        <f>IF(COUNTIFS(Addendum!C:C,A154,Addendum!D:D,IF(ISNUMBER(B154),TEXT(B154,"0000"),B154),Addendum!F:F,"X")&gt;0,2.5%,0)</f>
        <v>0</v>
      </c>
      <c r="K154" s="31">
        <f>IF(COUNTIFS(Addendum!C:C,A154,Addendum!D:D,IF(ISNUMBER(B154),TEXT(B154,"0000"),B154),Addendum!G:G,"X")&gt;0,7%,0)</f>
        <v>0</v>
      </c>
      <c r="L154" s="31">
        <f>IF(COUNTIFS(Addendum!C:C,A154,Addendum!D:D,IF(ISNUMBER(B154),TEXT(B154,"0000"),B154),Addendum!I:I,"X")&gt;0,10%,0)</f>
        <v>0</v>
      </c>
      <c r="M154" s="34">
        <f t="shared" si="4"/>
        <v>0</v>
      </c>
      <c r="N154" s="17">
        <f t="shared" si="5"/>
        <v>349398</v>
      </c>
    </row>
    <row r="155" spans="1:14" ht="30" x14ac:dyDescent="0.25">
      <c r="A155" s="14" t="s">
        <v>1801</v>
      </c>
      <c r="B155" s="14">
        <v>9</v>
      </c>
      <c r="C155" s="15" t="s">
        <v>1809</v>
      </c>
      <c r="D155" s="14" t="s">
        <v>1745</v>
      </c>
      <c r="E155" s="14" t="s">
        <v>1747</v>
      </c>
      <c r="F155" s="17" t="s">
        <v>2994</v>
      </c>
      <c r="G155" s="14">
        <v>1980</v>
      </c>
      <c r="H155" s="14">
        <v>1386</v>
      </c>
      <c r="I155" s="31">
        <f>IF(COUNTIFS(Addendum!C:C,A155,Addendum!D:D,IF(ISNUMBER(B155),TEXT(B155,"0000"),B155),Addendum!E:E,"X")&gt;0,4%,0)</f>
        <v>0</v>
      </c>
      <c r="J155" s="31">
        <f>IF(COUNTIFS(Addendum!C:C,A155,Addendum!D:D,IF(ISNUMBER(B155),TEXT(B155,"0000"),B155),Addendum!F:F,"X")&gt;0,2.5%,0)</f>
        <v>0</v>
      </c>
      <c r="K155" s="31">
        <f>IF(COUNTIFS(Addendum!C:C,A155,Addendum!D:D,IF(ISNUMBER(B155),TEXT(B155,"0000"),B155),Addendum!G:G,"X")&gt;0,7%,0)</f>
        <v>0</v>
      </c>
      <c r="L155" s="31">
        <f>IF(COUNTIFS(Addendum!C:C,A155,Addendum!D:D,IF(ISNUMBER(B155),TEXT(B155,"0000"),B155),Addendum!I:I,"X")&gt;0,10%,0)</f>
        <v>0</v>
      </c>
      <c r="M155" s="34">
        <f t="shared" si="4"/>
        <v>0</v>
      </c>
      <c r="N155" s="17">
        <f t="shared" si="5"/>
        <v>1386</v>
      </c>
    </row>
    <row r="156" spans="1:14" x14ac:dyDescent="0.25">
      <c r="A156" s="14" t="s">
        <v>1801</v>
      </c>
      <c r="B156" s="14">
        <v>1</v>
      </c>
      <c r="C156" s="15" t="s">
        <v>1811</v>
      </c>
      <c r="D156" s="14" t="s">
        <v>1745</v>
      </c>
      <c r="E156" s="14" t="s">
        <v>1747</v>
      </c>
      <c r="F156" s="17" t="s">
        <v>2993</v>
      </c>
      <c r="G156" s="14">
        <v>9960</v>
      </c>
      <c r="H156" s="14">
        <v>6972</v>
      </c>
      <c r="I156" s="31">
        <f>IF(COUNTIFS(Addendum!C:C,A156,Addendum!D:D,IF(ISNUMBER(B156),TEXT(B156,"0000"),B156),Addendum!E:E,"X")&gt;0,4%,0)</f>
        <v>0</v>
      </c>
      <c r="J156" s="31">
        <f>IF(COUNTIFS(Addendum!C:C,A156,Addendum!D:D,IF(ISNUMBER(B156),TEXT(B156,"0000"),B156),Addendum!F:F,"X")&gt;0,2.5%,0)</f>
        <v>0</v>
      </c>
      <c r="K156" s="31">
        <f>IF(COUNTIFS(Addendum!C:C,A156,Addendum!D:D,IF(ISNUMBER(B156),TEXT(B156,"0000"),B156),Addendum!G:G,"X")&gt;0,7%,0)</f>
        <v>0</v>
      </c>
      <c r="L156" s="31">
        <f>IF(COUNTIFS(Addendum!C:C,A156,Addendum!D:D,IF(ISNUMBER(B156),TEXT(B156,"0000"),B156),Addendum!I:I,"X")&gt;0,10%,0)</f>
        <v>0</v>
      </c>
      <c r="M156" s="34">
        <f t="shared" si="4"/>
        <v>0</v>
      </c>
      <c r="N156" s="17">
        <f t="shared" si="5"/>
        <v>6972</v>
      </c>
    </row>
    <row r="157" spans="1:14" x14ac:dyDescent="0.25">
      <c r="A157" s="14" t="s">
        <v>1801</v>
      </c>
      <c r="B157" s="14" t="s">
        <v>34</v>
      </c>
      <c r="C157" s="15" t="s">
        <v>1807</v>
      </c>
      <c r="D157" s="14" t="s">
        <v>1745</v>
      </c>
      <c r="E157" s="14" t="s">
        <v>1747</v>
      </c>
      <c r="F157" s="17" t="s">
        <v>2994</v>
      </c>
      <c r="G157" s="14">
        <v>274560</v>
      </c>
      <c r="H157" s="14">
        <v>192192</v>
      </c>
      <c r="I157" s="31">
        <f>IF(COUNTIFS(Addendum!C:C,A157,Addendum!D:D,IF(ISNUMBER(B157),TEXT(B157,"0000"),B157),Addendum!E:E,"X")&gt;0,4%,0)</f>
        <v>0</v>
      </c>
      <c r="J157" s="31">
        <f>IF(COUNTIFS(Addendum!C:C,A157,Addendum!D:D,IF(ISNUMBER(B157),TEXT(B157,"0000"),B157),Addendum!F:F,"X")&gt;0,2.5%,0)</f>
        <v>0</v>
      </c>
      <c r="K157" s="31">
        <f>IF(COUNTIFS(Addendum!C:C,A157,Addendum!D:D,IF(ISNUMBER(B157),TEXT(B157,"0000"),B157),Addendum!G:G,"X")&gt;0,7%,0)</f>
        <v>0</v>
      </c>
      <c r="L157" s="31">
        <f>IF(COUNTIFS(Addendum!C:C,A157,Addendum!D:D,IF(ISNUMBER(B157),TEXT(B157,"0000"),B157),Addendum!I:I,"X")&gt;0,10%,0)</f>
        <v>0</v>
      </c>
      <c r="M157" s="34">
        <f t="shared" si="4"/>
        <v>0</v>
      </c>
      <c r="N157" s="17">
        <f t="shared" si="5"/>
        <v>192192</v>
      </c>
    </row>
    <row r="158" spans="1:14" x14ac:dyDescent="0.25">
      <c r="A158" s="14" t="s">
        <v>1801</v>
      </c>
      <c r="B158" s="14">
        <v>5</v>
      </c>
      <c r="C158" s="15" t="s">
        <v>1804</v>
      </c>
      <c r="D158" s="14" t="s">
        <v>1745</v>
      </c>
      <c r="E158" s="14" t="s">
        <v>1746</v>
      </c>
      <c r="F158" s="17" t="s">
        <v>2995</v>
      </c>
      <c r="G158" s="14">
        <v>4221</v>
      </c>
      <c r="H158" s="14">
        <v>3798.96</v>
      </c>
      <c r="I158" s="31">
        <f>IF(COUNTIFS(Addendum!C:C,A158,Addendum!D:D,IF(ISNUMBER(B158),TEXT(B158,"0000"),B158),Addendum!E:E,"X")&gt;0,4%,0)</f>
        <v>0</v>
      </c>
      <c r="J158" s="31">
        <f>IF(COUNTIFS(Addendum!C:C,A158,Addendum!D:D,IF(ISNUMBER(B158),TEXT(B158,"0000"),B158),Addendum!F:F,"X")&gt;0,2.5%,0)</f>
        <v>0</v>
      </c>
      <c r="K158" s="31">
        <f>IF(COUNTIFS(Addendum!C:C,A158,Addendum!D:D,IF(ISNUMBER(B158),TEXT(B158,"0000"),B158),Addendum!G:G,"X")&gt;0,7%,0)</f>
        <v>0</v>
      </c>
      <c r="L158" s="31">
        <f>IF(COUNTIFS(Addendum!C:C,A158,Addendum!D:D,IF(ISNUMBER(B158),TEXT(B158,"0000"),B158),Addendum!I:I,"X")&gt;0,10%,0)</f>
        <v>0</v>
      </c>
      <c r="M158" s="34">
        <f t="shared" si="4"/>
        <v>0</v>
      </c>
      <c r="N158" s="17">
        <f t="shared" si="5"/>
        <v>3798.96</v>
      </c>
    </row>
    <row r="159" spans="1:14" x14ac:dyDescent="0.25">
      <c r="A159" s="14" t="s">
        <v>1801</v>
      </c>
      <c r="B159" s="14">
        <v>3</v>
      </c>
      <c r="C159" s="15" t="s">
        <v>1812</v>
      </c>
      <c r="D159" s="14" t="s">
        <v>1745</v>
      </c>
      <c r="E159" s="14" t="s">
        <v>1746</v>
      </c>
      <c r="F159" s="17" t="s">
        <v>2993</v>
      </c>
      <c r="G159" s="14">
        <v>5229</v>
      </c>
      <c r="H159" s="14">
        <v>3660.36</v>
      </c>
      <c r="I159" s="31">
        <f>IF(COUNTIFS(Addendum!C:C,A159,Addendum!D:D,IF(ISNUMBER(B159),TEXT(B159,"0000"),B159),Addendum!E:E,"X")&gt;0,4%,0)</f>
        <v>0</v>
      </c>
      <c r="J159" s="31">
        <f>IF(COUNTIFS(Addendum!C:C,A159,Addendum!D:D,IF(ISNUMBER(B159),TEXT(B159,"0000"),B159),Addendum!F:F,"X")&gt;0,2.5%,0)</f>
        <v>0</v>
      </c>
      <c r="K159" s="31">
        <f>IF(COUNTIFS(Addendum!C:C,A159,Addendum!D:D,IF(ISNUMBER(B159),TEXT(B159,"0000"),B159),Addendum!G:G,"X")&gt;0,7%,0)</f>
        <v>0</v>
      </c>
      <c r="L159" s="31">
        <f>IF(COUNTIFS(Addendum!C:C,A159,Addendum!D:D,IF(ISNUMBER(B159),TEXT(B159,"0000"),B159),Addendum!I:I,"X")&gt;0,10%,0)</f>
        <v>0</v>
      </c>
      <c r="M159" s="34">
        <f t="shared" si="4"/>
        <v>0</v>
      </c>
      <c r="N159" s="17">
        <f t="shared" si="5"/>
        <v>3660.36</v>
      </c>
    </row>
    <row r="160" spans="1:14" x14ac:dyDescent="0.25">
      <c r="A160" s="14" t="s">
        <v>1801</v>
      </c>
      <c r="B160" s="14" t="s">
        <v>20</v>
      </c>
      <c r="C160" s="15" t="s">
        <v>1810</v>
      </c>
      <c r="D160" s="14" t="s">
        <v>1745</v>
      </c>
      <c r="E160" s="14" t="s">
        <v>1746</v>
      </c>
      <c r="F160" s="17" t="s">
        <v>2994</v>
      </c>
      <c r="G160" s="14">
        <v>4221</v>
      </c>
      <c r="H160" s="14">
        <v>2954.76</v>
      </c>
      <c r="I160" s="31">
        <f>IF(COUNTIFS(Addendum!C:C,A160,Addendum!D:D,IF(ISNUMBER(B160),TEXT(B160,"0000"),B160),Addendum!E:E,"X")&gt;0,4%,0)</f>
        <v>0</v>
      </c>
      <c r="J160" s="31">
        <f>IF(COUNTIFS(Addendum!C:C,A160,Addendum!D:D,IF(ISNUMBER(B160),TEXT(B160,"0000"),B160),Addendum!F:F,"X")&gt;0,2.5%,0)</f>
        <v>0</v>
      </c>
      <c r="K160" s="31">
        <f>IF(COUNTIFS(Addendum!C:C,A160,Addendum!D:D,IF(ISNUMBER(B160),TEXT(B160,"0000"),B160),Addendum!G:G,"X")&gt;0,7%,0)</f>
        <v>0</v>
      </c>
      <c r="L160" s="31">
        <f>IF(COUNTIFS(Addendum!C:C,A160,Addendum!D:D,IF(ISNUMBER(B160),TEXT(B160,"0000"),B160),Addendum!I:I,"X")&gt;0,10%,0)</f>
        <v>0</v>
      </c>
      <c r="M160" s="34">
        <f t="shared" si="4"/>
        <v>0</v>
      </c>
      <c r="N160" s="17">
        <f t="shared" si="5"/>
        <v>2954.76</v>
      </c>
    </row>
    <row r="161" spans="1:14" x14ac:dyDescent="0.25">
      <c r="A161" s="14" t="s">
        <v>1801</v>
      </c>
      <c r="B161" s="14">
        <v>8</v>
      </c>
      <c r="C161" s="15" t="s">
        <v>1806</v>
      </c>
      <c r="D161" s="14" t="s">
        <v>1749</v>
      </c>
      <c r="E161" s="14" t="s">
        <v>1746</v>
      </c>
      <c r="F161" s="17" t="s">
        <v>2995</v>
      </c>
      <c r="G161" s="14">
        <v>198</v>
      </c>
      <c r="H161" s="14">
        <v>178.2</v>
      </c>
      <c r="I161" s="31">
        <f>IF(COUNTIFS(Addendum!C:C,A161,Addendum!D:D,IF(ISNUMBER(B161),TEXT(B161,"0000"),B161),Addendum!E:E,"X")&gt;0,4%,0)</f>
        <v>0</v>
      </c>
      <c r="J161" s="31">
        <f>IF(COUNTIFS(Addendum!C:C,A161,Addendum!D:D,IF(ISNUMBER(B161),TEXT(B161,"0000"),B161),Addendum!F:F,"X")&gt;0,2.5%,0)</f>
        <v>0</v>
      </c>
      <c r="K161" s="31">
        <f>IF(COUNTIFS(Addendum!C:C,A161,Addendum!D:D,IF(ISNUMBER(B161),TEXT(B161,"0000"),B161),Addendum!G:G,"X")&gt;0,7%,0)</f>
        <v>0</v>
      </c>
      <c r="L161" s="31">
        <f>IF(COUNTIFS(Addendum!C:C,A161,Addendum!D:D,IF(ISNUMBER(B161),TEXT(B161,"0000"),B161),Addendum!I:I,"X")&gt;0,10%,0)</f>
        <v>0</v>
      </c>
      <c r="M161" s="34">
        <f t="shared" si="4"/>
        <v>0</v>
      </c>
      <c r="N161" s="17">
        <f t="shared" si="5"/>
        <v>178.2</v>
      </c>
    </row>
    <row r="162" spans="1:14" x14ac:dyDescent="0.25">
      <c r="A162" s="14" t="s">
        <v>1801</v>
      </c>
      <c r="B162" s="14">
        <v>3</v>
      </c>
      <c r="C162" s="15" t="s">
        <v>1812</v>
      </c>
      <c r="D162" s="14" t="s">
        <v>1745</v>
      </c>
      <c r="E162" s="14" t="s">
        <v>1747</v>
      </c>
      <c r="F162" s="17" t="s">
        <v>2993</v>
      </c>
      <c r="G162" s="14">
        <v>4980</v>
      </c>
      <c r="H162" s="14">
        <v>3486</v>
      </c>
      <c r="I162" s="31">
        <f>IF(COUNTIFS(Addendum!C:C,A162,Addendum!D:D,IF(ISNUMBER(B162),TEXT(B162,"0000"),B162),Addendum!E:E,"X")&gt;0,4%,0)</f>
        <v>0</v>
      </c>
      <c r="J162" s="31">
        <f>IF(COUNTIFS(Addendum!C:C,A162,Addendum!D:D,IF(ISNUMBER(B162),TEXT(B162,"0000"),B162),Addendum!F:F,"X")&gt;0,2.5%,0)</f>
        <v>0</v>
      </c>
      <c r="K162" s="31">
        <f>IF(COUNTIFS(Addendum!C:C,A162,Addendum!D:D,IF(ISNUMBER(B162),TEXT(B162,"0000"),B162),Addendum!G:G,"X")&gt;0,7%,0)</f>
        <v>0</v>
      </c>
      <c r="L162" s="31">
        <f>IF(COUNTIFS(Addendum!C:C,A162,Addendum!D:D,IF(ISNUMBER(B162),TEXT(B162,"0000"),B162),Addendum!I:I,"X")&gt;0,10%,0)</f>
        <v>0</v>
      </c>
      <c r="M162" s="34">
        <f t="shared" si="4"/>
        <v>0</v>
      </c>
      <c r="N162" s="17">
        <f t="shared" si="5"/>
        <v>3486</v>
      </c>
    </row>
    <row r="163" spans="1:14" x14ac:dyDescent="0.25">
      <c r="A163" s="14" t="s">
        <v>1801</v>
      </c>
      <c r="B163" s="14">
        <v>5</v>
      </c>
      <c r="C163" s="15" t="s">
        <v>1804</v>
      </c>
      <c r="D163" s="14" t="s">
        <v>1749</v>
      </c>
      <c r="E163" s="14" t="s">
        <v>1746</v>
      </c>
      <c r="F163" s="17" t="s">
        <v>2995</v>
      </c>
      <c r="G163" s="14">
        <v>402</v>
      </c>
      <c r="H163" s="14">
        <v>361.8</v>
      </c>
      <c r="I163" s="31">
        <f>IF(COUNTIFS(Addendum!C:C,A163,Addendum!D:D,IF(ISNUMBER(B163),TEXT(B163,"0000"),B163),Addendum!E:E,"X")&gt;0,4%,0)</f>
        <v>0</v>
      </c>
      <c r="J163" s="31">
        <f>IF(COUNTIFS(Addendum!C:C,A163,Addendum!D:D,IF(ISNUMBER(B163),TEXT(B163,"0000"),B163),Addendum!F:F,"X")&gt;0,2.5%,0)</f>
        <v>0</v>
      </c>
      <c r="K163" s="31">
        <f>IF(COUNTIFS(Addendum!C:C,A163,Addendum!D:D,IF(ISNUMBER(B163),TEXT(B163,"0000"),B163),Addendum!G:G,"X")&gt;0,7%,0)</f>
        <v>0</v>
      </c>
      <c r="L163" s="31">
        <f>IF(COUNTIFS(Addendum!C:C,A163,Addendum!D:D,IF(ISNUMBER(B163),TEXT(B163,"0000"),B163),Addendum!I:I,"X")&gt;0,10%,0)</f>
        <v>0</v>
      </c>
      <c r="M163" s="34">
        <f t="shared" si="4"/>
        <v>0</v>
      </c>
      <c r="N163" s="17">
        <f t="shared" si="5"/>
        <v>361.8</v>
      </c>
    </row>
    <row r="164" spans="1:14" x14ac:dyDescent="0.25">
      <c r="A164" s="14" t="s">
        <v>1801</v>
      </c>
      <c r="B164" s="14">
        <v>2</v>
      </c>
      <c r="C164" s="15" t="s">
        <v>1808</v>
      </c>
      <c r="D164" s="14" t="s">
        <v>1749</v>
      </c>
      <c r="E164" s="14" t="s">
        <v>1746</v>
      </c>
      <c r="F164" s="17" t="s">
        <v>2993</v>
      </c>
      <c r="G164" s="14">
        <v>49914</v>
      </c>
      <c r="H164" s="14">
        <v>34939.800000000003</v>
      </c>
      <c r="I164" s="31">
        <f>IF(COUNTIFS(Addendum!C:C,A164,Addendum!D:D,IF(ISNUMBER(B164),TEXT(B164,"0000"),B164),Addendum!E:E,"X")&gt;0,4%,0)</f>
        <v>0</v>
      </c>
      <c r="J164" s="31">
        <f>IF(COUNTIFS(Addendum!C:C,A164,Addendum!D:D,IF(ISNUMBER(B164),TEXT(B164,"0000"),B164),Addendum!F:F,"X")&gt;0,2.5%,0)</f>
        <v>0</v>
      </c>
      <c r="K164" s="31">
        <f>IF(COUNTIFS(Addendum!C:C,A164,Addendum!D:D,IF(ISNUMBER(B164),TEXT(B164,"0000"),B164),Addendum!G:G,"X")&gt;0,7%,0)</f>
        <v>0</v>
      </c>
      <c r="L164" s="31">
        <f>IF(COUNTIFS(Addendum!C:C,A164,Addendum!D:D,IF(ISNUMBER(B164),TEXT(B164,"0000"),B164),Addendum!I:I,"X")&gt;0,10%,0)</f>
        <v>0</v>
      </c>
      <c r="M164" s="34">
        <f t="shared" si="4"/>
        <v>0</v>
      </c>
      <c r="N164" s="17">
        <f t="shared" si="5"/>
        <v>34939.800000000003</v>
      </c>
    </row>
    <row r="165" spans="1:14" x14ac:dyDescent="0.25">
      <c r="A165" s="14" t="s">
        <v>1801</v>
      </c>
      <c r="B165" s="14">
        <v>6</v>
      </c>
      <c r="C165" s="15" t="s">
        <v>1813</v>
      </c>
      <c r="D165" s="14" t="s">
        <v>1745</v>
      </c>
      <c r="E165" s="14" t="s">
        <v>1746</v>
      </c>
      <c r="F165" s="17" t="s">
        <v>2995</v>
      </c>
      <c r="G165" s="14">
        <v>209664</v>
      </c>
      <c r="H165" s="14">
        <v>188697.60000000001</v>
      </c>
      <c r="I165" s="31">
        <f>IF(COUNTIFS(Addendum!C:C,A165,Addendum!D:D,IF(ISNUMBER(B165),TEXT(B165,"0000"),B165),Addendum!E:E,"X")&gt;0,4%,0)</f>
        <v>0</v>
      </c>
      <c r="J165" s="31">
        <f>IF(COUNTIFS(Addendum!C:C,A165,Addendum!D:D,IF(ISNUMBER(B165),TEXT(B165,"0000"),B165),Addendum!F:F,"X")&gt;0,2.5%,0)</f>
        <v>0</v>
      </c>
      <c r="K165" s="31">
        <f>IF(COUNTIFS(Addendum!C:C,A165,Addendum!D:D,IF(ISNUMBER(B165),TEXT(B165,"0000"),B165),Addendum!G:G,"X")&gt;0,7%,0)</f>
        <v>0</v>
      </c>
      <c r="L165" s="31">
        <f>IF(COUNTIFS(Addendum!C:C,A165,Addendum!D:D,IF(ISNUMBER(B165),TEXT(B165,"0000"),B165),Addendum!I:I,"X")&gt;0,10%,0)</f>
        <v>0</v>
      </c>
      <c r="M165" s="34">
        <f t="shared" si="4"/>
        <v>0</v>
      </c>
      <c r="N165" s="17">
        <f t="shared" si="5"/>
        <v>188697.60000000001</v>
      </c>
    </row>
    <row r="166" spans="1:14" x14ac:dyDescent="0.25">
      <c r="A166" s="14" t="s">
        <v>1801</v>
      </c>
      <c r="B166" s="14">
        <v>3</v>
      </c>
      <c r="C166" s="15" t="s">
        <v>1812</v>
      </c>
      <c r="D166" s="14" t="s">
        <v>1749</v>
      </c>
      <c r="E166" s="14" t="s">
        <v>1746</v>
      </c>
      <c r="F166" s="17" t="s">
        <v>2993</v>
      </c>
      <c r="G166" s="14">
        <v>498</v>
      </c>
      <c r="H166" s="14">
        <v>348.6</v>
      </c>
      <c r="I166" s="31">
        <f>IF(COUNTIFS(Addendum!C:C,A166,Addendum!D:D,IF(ISNUMBER(B166),TEXT(B166,"0000"),B166),Addendum!E:E,"X")&gt;0,4%,0)</f>
        <v>0</v>
      </c>
      <c r="J166" s="31">
        <f>IF(COUNTIFS(Addendum!C:C,A166,Addendum!D:D,IF(ISNUMBER(B166),TEXT(B166,"0000"),B166),Addendum!F:F,"X")&gt;0,2.5%,0)</f>
        <v>0</v>
      </c>
      <c r="K166" s="31">
        <f>IF(COUNTIFS(Addendum!C:C,A166,Addendum!D:D,IF(ISNUMBER(B166),TEXT(B166,"0000"),B166),Addendum!G:G,"X")&gt;0,7%,0)</f>
        <v>0</v>
      </c>
      <c r="L166" s="31">
        <f>IF(COUNTIFS(Addendum!C:C,A166,Addendum!D:D,IF(ISNUMBER(B166),TEXT(B166,"0000"),B166),Addendum!I:I,"X")&gt;0,10%,0)</f>
        <v>0</v>
      </c>
      <c r="M166" s="34">
        <f t="shared" si="4"/>
        <v>0</v>
      </c>
      <c r="N166" s="17">
        <f t="shared" si="5"/>
        <v>348.6</v>
      </c>
    </row>
    <row r="167" spans="1:14" x14ac:dyDescent="0.25">
      <c r="A167" s="14" t="s">
        <v>1801</v>
      </c>
      <c r="B167" s="14" t="s">
        <v>24</v>
      </c>
      <c r="C167" s="15" t="s">
        <v>1803</v>
      </c>
      <c r="D167" s="14" t="s">
        <v>1745</v>
      </c>
      <c r="E167" s="14" t="s">
        <v>1747</v>
      </c>
      <c r="F167" s="17" t="s">
        <v>2994</v>
      </c>
      <c r="G167" s="14">
        <v>2760</v>
      </c>
      <c r="H167" s="14">
        <v>1932</v>
      </c>
      <c r="I167" s="31">
        <f>IF(COUNTIFS(Addendum!C:C,A167,Addendum!D:D,IF(ISNUMBER(B167),TEXT(B167,"0000"),B167),Addendum!E:E,"X")&gt;0,4%,0)</f>
        <v>0</v>
      </c>
      <c r="J167" s="31">
        <f>IF(COUNTIFS(Addendum!C:C,A167,Addendum!D:D,IF(ISNUMBER(B167),TEXT(B167,"0000"),B167),Addendum!F:F,"X")&gt;0,2.5%,0)</f>
        <v>0</v>
      </c>
      <c r="K167" s="31">
        <f>IF(COUNTIFS(Addendum!C:C,A167,Addendum!D:D,IF(ISNUMBER(B167),TEXT(B167,"0000"),B167),Addendum!G:G,"X")&gt;0,7%,0)</f>
        <v>0</v>
      </c>
      <c r="L167" s="31">
        <f>IF(COUNTIFS(Addendum!C:C,A167,Addendum!D:D,IF(ISNUMBER(B167),TEXT(B167,"0000"),B167),Addendum!I:I,"X")&gt;0,10%,0)</f>
        <v>0</v>
      </c>
      <c r="M167" s="34">
        <f t="shared" si="4"/>
        <v>0</v>
      </c>
      <c r="N167" s="17">
        <f t="shared" si="5"/>
        <v>1932</v>
      </c>
    </row>
    <row r="168" spans="1:14" x14ac:dyDescent="0.25">
      <c r="A168" s="14" t="s">
        <v>1801</v>
      </c>
      <c r="B168" s="14">
        <v>6</v>
      </c>
      <c r="C168" s="15" t="s">
        <v>1813</v>
      </c>
      <c r="D168" s="14" t="s">
        <v>1749</v>
      </c>
      <c r="E168" s="14" t="s">
        <v>1746</v>
      </c>
      <c r="F168" s="17" t="s">
        <v>2995</v>
      </c>
      <c r="G168" s="14">
        <v>19968</v>
      </c>
      <c r="H168" s="14">
        <v>17971.2</v>
      </c>
      <c r="I168" s="31">
        <f>IF(COUNTIFS(Addendum!C:C,A168,Addendum!D:D,IF(ISNUMBER(B168),TEXT(B168,"0000"),B168),Addendum!E:E,"X")&gt;0,4%,0)</f>
        <v>0</v>
      </c>
      <c r="J168" s="31">
        <f>IF(COUNTIFS(Addendum!C:C,A168,Addendum!D:D,IF(ISNUMBER(B168),TEXT(B168,"0000"),B168),Addendum!F:F,"X")&gt;0,2.5%,0)</f>
        <v>0</v>
      </c>
      <c r="K168" s="31">
        <f>IF(COUNTIFS(Addendum!C:C,A168,Addendum!D:D,IF(ISNUMBER(B168),TEXT(B168,"0000"),B168),Addendum!G:G,"X")&gt;0,7%,0)</f>
        <v>0</v>
      </c>
      <c r="L168" s="31">
        <f>IF(COUNTIFS(Addendum!C:C,A168,Addendum!D:D,IF(ISNUMBER(B168),TEXT(B168,"0000"),B168),Addendum!I:I,"X")&gt;0,10%,0)</f>
        <v>0</v>
      </c>
      <c r="M168" s="34">
        <f t="shared" si="4"/>
        <v>0</v>
      </c>
      <c r="N168" s="17">
        <f t="shared" si="5"/>
        <v>17971.2</v>
      </c>
    </row>
    <row r="169" spans="1:14" x14ac:dyDescent="0.25">
      <c r="A169" s="14" t="s">
        <v>1801</v>
      </c>
      <c r="B169" s="14">
        <v>6</v>
      </c>
      <c r="C169" s="15" t="s">
        <v>1813</v>
      </c>
      <c r="D169" s="14" t="s">
        <v>1745</v>
      </c>
      <c r="E169" s="14" t="s">
        <v>1747</v>
      </c>
      <c r="F169" s="17" t="s">
        <v>2995</v>
      </c>
      <c r="G169" s="14">
        <v>199680</v>
      </c>
      <c r="H169" s="14">
        <v>179712</v>
      </c>
      <c r="I169" s="31">
        <f>IF(COUNTIFS(Addendum!C:C,A169,Addendum!D:D,IF(ISNUMBER(B169),TEXT(B169,"0000"),B169),Addendum!E:E,"X")&gt;0,4%,0)</f>
        <v>0</v>
      </c>
      <c r="J169" s="31">
        <f>IF(COUNTIFS(Addendum!C:C,A169,Addendum!D:D,IF(ISNUMBER(B169),TEXT(B169,"0000"),B169),Addendum!F:F,"X")&gt;0,2.5%,0)</f>
        <v>0</v>
      </c>
      <c r="K169" s="31">
        <f>IF(COUNTIFS(Addendum!C:C,A169,Addendum!D:D,IF(ISNUMBER(B169),TEXT(B169,"0000"),B169),Addendum!G:G,"X")&gt;0,7%,0)</f>
        <v>0</v>
      </c>
      <c r="L169" s="31">
        <f>IF(COUNTIFS(Addendum!C:C,A169,Addendum!D:D,IF(ISNUMBER(B169),TEXT(B169,"0000"),B169),Addendum!I:I,"X")&gt;0,10%,0)</f>
        <v>0</v>
      </c>
      <c r="M169" s="34">
        <f t="shared" si="4"/>
        <v>0</v>
      </c>
      <c r="N169" s="17">
        <f t="shared" si="5"/>
        <v>179712</v>
      </c>
    </row>
    <row r="170" spans="1:14" x14ac:dyDescent="0.25">
      <c r="A170" s="14" t="s">
        <v>1814</v>
      </c>
      <c r="B170" s="14">
        <v>4</v>
      </c>
      <c r="C170" s="15" t="s">
        <v>1815</v>
      </c>
      <c r="D170" s="14" t="s">
        <v>1752</v>
      </c>
      <c r="E170" s="14" t="s">
        <v>1747</v>
      </c>
      <c r="F170" s="17" t="s">
        <v>2995</v>
      </c>
      <c r="G170" s="14">
        <v>54000</v>
      </c>
      <c r="H170" s="14">
        <v>48600</v>
      </c>
      <c r="I170" s="31">
        <f>IF(COUNTIFS(Addendum!C:C,A170,Addendum!D:D,IF(ISNUMBER(B170),TEXT(B170,"0000"),B170),Addendum!E:E,"X")&gt;0,4%,0)</f>
        <v>0</v>
      </c>
      <c r="J170" s="31">
        <f>IF(COUNTIFS(Addendum!C:C,A170,Addendum!D:D,IF(ISNUMBER(B170),TEXT(B170,"0000"),B170),Addendum!F:F,"X")&gt;0,2.5%,0)</f>
        <v>0</v>
      </c>
      <c r="K170" s="31">
        <f>IF(COUNTIFS(Addendum!C:C,A170,Addendum!D:D,IF(ISNUMBER(B170),TEXT(B170,"0000"),B170),Addendum!G:G,"X")&gt;0,7%,0)</f>
        <v>0</v>
      </c>
      <c r="L170" s="31">
        <f>IF(COUNTIFS(Addendum!C:C,A170,Addendum!D:D,IF(ISNUMBER(B170),TEXT(B170,"0000"),B170),Addendum!I:I,"X")&gt;0,10%,0)</f>
        <v>0</v>
      </c>
      <c r="M170" s="34">
        <f t="shared" si="4"/>
        <v>0</v>
      </c>
      <c r="N170" s="17">
        <f t="shared" si="5"/>
        <v>48600</v>
      </c>
    </row>
    <row r="171" spans="1:14" x14ac:dyDescent="0.25">
      <c r="A171" s="14" t="s">
        <v>1814</v>
      </c>
      <c r="B171" s="14">
        <v>6</v>
      </c>
      <c r="C171" s="15" t="s">
        <v>1816</v>
      </c>
      <c r="D171" s="14" t="s">
        <v>1752</v>
      </c>
      <c r="E171" s="14" t="s">
        <v>1746</v>
      </c>
      <c r="F171" s="17" t="s">
        <v>2994</v>
      </c>
      <c r="G171" s="14">
        <v>77868</v>
      </c>
      <c r="H171" s="14">
        <v>54507.6</v>
      </c>
      <c r="I171" s="31">
        <f>IF(COUNTIFS(Addendum!C:C,A171,Addendum!D:D,IF(ISNUMBER(B171),TEXT(B171,"0000"),B171),Addendum!E:E,"X")&gt;0,4%,0)</f>
        <v>0</v>
      </c>
      <c r="J171" s="31">
        <f>IF(COUNTIFS(Addendum!C:C,A171,Addendum!D:D,IF(ISNUMBER(B171),TEXT(B171,"0000"),B171),Addendum!F:F,"X")&gt;0,2.5%,0)</f>
        <v>0</v>
      </c>
      <c r="K171" s="31">
        <f>IF(COUNTIFS(Addendum!C:C,A171,Addendum!D:D,IF(ISNUMBER(B171),TEXT(B171,"0000"),B171),Addendum!G:G,"X")&gt;0,7%,0)</f>
        <v>0</v>
      </c>
      <c r="L171" s="31">
        <f>IF(COUNTIFS(Addendum!C:C,A171,Addendum!D:D,IF(ISNUMBER(B171),TEXT(B171,"0000"),B171),Addendum!I:I,"X")&gt;0,10%,0)</f>
        <v>0</v>
      </c>
      <c r="M171" s="34">
        <f t="shared" si="4"/>
        <v>0</v>
      </c>
      <c r="N171" s="17">
        <f t="shared" si="5"/>
        <v>54507.6</v>
      </c>
    </row>
    <row r="172" spans="1:14" x14ac:dyDescent="0.25">
      <c r="A172" s="14" t="s">
        <v>1814</v>
      </c>
      <c r="B172" s="14">
        <v>4</v>
      </c>
      <c r="C172" s="15" t="s">
        <v>1815</v>
      </c>
      <c r="D172" s="14" t="s">
        <v>1745</v>
      </c>
      <c r="E172" s="14" t="s">
        <v>1747</v>
      </c>
      <c r="F172" s="17" t="s">
        <v>2995</v>
      </c>
      <c r="G172" s="14">
        <v>18000</v>
      </c>
      <c r="H172" s="14">
        <v>16200</v>
      </c>
      <c r="I172" s="31">
        <f>IF(COUNTIFS(Addendum!C:C,A172,Addendum!D:D,IF(ISNUMBER(B172),TEXT(B172,"0000"),B172),Addendum!E:E,"X")&gt;0,4%,0)</f>
        <v>0</v>
      </c>
      <c r="J172" s="31">
        <f>IF(COUNTIFS(Addendum!C:C,A172,Addendum!D:D,IF(ISNUMBER(B172),TEXT(B172,"0000"),B172),Addendum!F:F,"X")&gt;0,2.5%,0)</f>
        <v>0</v>
      </c>
      <c r="K172" s="31">
        <f>IF(COUNTIFS(Addendum!C:C,A172,Addendum!D:D,IF(ISNUMBER(B172),TEXT(B172,"0000"),B172),Addendum!G:G,"X")&gt;0,7%,0)</f>
        <v>0</v>
      </c>
      <c r="L172" s="31">
        <f>IF(COUNTIFS(Addendum!C:C,A172,Addendum!D:D,IF(ISNUMBER(B172),TEXT(B172,"0000"),B172),Addendum!I:I,"X")&gt;0,10%,0)</f>
        <v>0</v>
      </c>
      <c r="M172" s="34">
        <f t="shared" si="4"/>
        <v>0</v>
      </c>
      <c r="N172" s="17">
        <f t="shared" si="5"/>
        <v>16200</v>
      </c>
    </row>
    <row r="173" spans="1:14" x14ac:dyDescent="0.25">
      <c r="A173" s="14" t="s">
        <v>1814</v>
      </c>
      <c r="B173" s="14">
        <v>6</v>
      </c>
      <c r="C173" s="15" t="s">
        <v>1816</v>
      </c>
      <c r="D173" s="14" t="s">
        <v>1752</v>
      </c>
      <c r="E173" s="14" t="s">
        <v>1747</v>
      </c>
      <c r="F173" s="17" t="s">
        <v>2994</v>
      </c>
      <c r="G173" s="14">
        <v>74160</v>
      </c>
      <c r="H173" s="14">
        <v>51912</v>
      </c>
      <c r="I173" s="31">
        <f>IF(COUNTIFS(Addendum!C:C,A173,Addendum!D:D,IF(ISNUMBER(B173),TEXT(B173,"0000"),B173),Addendum!E:E,"X")&gt;0,4%,0)</f>
        <v>0</v>
      </c>
      <c r="J173" s="31">
        <f>IF(COUNTIFS(Addendum!C:C,A173,Addendum!D:D,IF(ISNUMBER(B173),TEXT(B173,"0000"),B173),Addendum!F:F,"X")&gt;0,2.5%,0)</f>
        <v>0</v>
      </c>
      <c r="K173" s="31">
        <f>IF(COUNTIFS(Addendum!C:C,A173,Addendum!D:D,IF(ISNUMBER(B173),TEXT(B173,"0000"),B173),Addendum!G:G,"X")&gt;0,7%,0)</f>
        <v>0</v>
      </c>
      <c r="L173" s="31">
        <f>IF(COUNTIFS(Addendum!C:C,A173,Addendum!D:D,IF(ISNUMBER(B173),TEXT(B173,"0000"),B173),Addendum!I:I,"X")&gt;0,10%,0)</f>
        <v>0</v>
      </c>
      <c r="M173" s="34">
        <f t="shared" si="4"/>
        <v>0</v>
      </c>
      <c r="N173" s="17">
        <f t="shared" si="5"/>
        <v>51912</v>
      </c>
    </row>
    <row r="174" spans="1:14" x14ac:dyDescent="0.25">
      <c r="A174" s="14" t="s">
        <v>1814</v>
      </c>
      <c r="B174" s="14">
        <v>5</v>
      </c>
      <c r="C174" s="15" t="s">
        <v>1817</v>
      </c>
      <c r="D174" s="14" t="s">
        <v>1752</v>
      </c>
      <c r="E174" s="14" t="s">
        <v>1746</v>
      </c>
      <c r="F174" s="17" t="s">
        <v>2994</v>
      </c>
      <c r="G174" s="14">
        <v>56700</v>
      </c>
      <c r="H174" s="14">
        <v>39690</v>
      </c>
      <c r="I174" s="31">
        <f>IF(COUNTIFS(Addendum!C:C,A174,Addendum!D:D,IF(ISNUMBER(B174),TEXT(B174,"0000"),B174),Addendum!E:E,"X")&gt;0,4%,0)</f>
        <v>0</v>
      </c>
      <c r="J174" s="31">
        <f>IF(COUNTIFS(Addendum!C:C,A174,Addendum!D:D,IF(ISNUMBER(B174),TEXT(B174,"0000"),B174),Addendum!F:F,"X")&gt;0,2.5%,0)</f>
        <v>0</v>
      </c>
      <c r="K174" s="31">
        <f>IF(COUNTIFS(Addendum!C:C,A174,Addendum!D:D,IF(ISNUMBER(B174),TEXT(B174,"0000"),B174),Addendum!G:G,"X")&gt;0,7%,0)</f>
        <v>0</v>
      </c>
      <c r="L174" s="31">
        <f>IF(COUNTIFS(Addendum!C:C,A174,Addendum!D:D,IF(ISNUMBER(B174),TEXT(B174,"0000"),B174),Addendum!I:I,"X")&gt;0,10%,0)</f>
        <v>0</v>
      </c>
      <c r="M174" s="34">
        <f t="shared" si="4"/>
        <v>0</v>
      </c>
      <c r="N174" s="17">
        <f t="shared" si="5"/>
        <v>39690</v>
      </c>
    </row>
    <row r="175" spans="1:14" x14ac:dyDescent="0.25">
      <c r="A175" s="14" t="s">
        <v>1814</v>
      </c>
      <c r="B175" s="14">
        <v>6</v>
      </c>
      <c r="C175" s="15" t="s">
        <v>1816</v>
      </c>
      <c r="D175" s="14" t="s">
        <v>1749</v>
      </c>
      <c r="E175" s="14" t="s">
        <v>1746</v>
      </c>
      <c r="F175" s="17" t="s">
        <v>2994</v>
      </c>
      <c r="G175" s="14">
        <v>2472</v>
      </c>
      <c r="H175" s="14">
        <v>1730.4</v>
      </c>
      <c r="I175" s="31">
        <f>IF(COUNTIFS(Addendum!C:C,A175,Addendum!D:D,IF(ISNUMBER(B175),TEXT(B175,"0000"),B175),Addendum!E:E,"X")&gt;0,4%,0)</f>
        <v>0</v>
      </c>
      <c r="J175" s="31">
        <f>IF(COUNTIFS(Addendum!C:C,A175,Addendum!D:D,IF(ISNUMBER(B175),TEXT(B175,"0000"),B175),Addendum!F:F,"X")&gt;0,2.5%,0)</f>
        <v>0</v>
      </c>
      <c r="K175" s="31">
        <f>IF(COUNTIFS(Addendum!C:C,A175,Addendum!D:D,IF(ISNUMBER(B175),TEXT(B175,"0000"),B175),Addendum!G:G,"X")&gt;0,7%,0)</f>
        <v>0</v>
      </c>
      <c r="L175" s="31">
        <f>IF(COUNTIFS(Addendum!C:C,A175,Addendum!D:D,IF(ISNUMBER(B175),TEXT(B175,"0000"),B175),Addendum!I:I,"X")&gt;0,10%,0)</f>
        <v>0</v>
      </c>
      <c r="M175" s="34">
        <f t="shared" si="4"/>
        <v>0</v>
      </c>
      <c r="N175" s="17">
        <f t="shared" si="5"/>
        <v>1730.4</v>
      </c>
    </row>
    <row r="176" spans="1:14" x14ac:dyDescent="0.25">
      <c r="A176" s="14" t="s">
        <v>1814</v>
      </c>
      <c r="B176" s="14">
        <v>2</v>
      </c>
      <c r="C176" s="15" t="s">
        <v>1818</v>
      </c>
      <c r="D176" s="14" t="s">
        <v>1752</v>
      </c>
      <c r="E176" s="14" t="s">
        <v>1747</v>
      </c>
      <c r="F176" s="17" t="s">
        <v>2993</v>
      </c>
      <c r="G176" s="14">
        <v>134820</v>
      </c>
      <c r="H176" s="14">
        <v>94374</v>
      </c>
      <c r="I176" s="31">
        <f>IF(COUNTIFS(Addendum!C:C,A176,Addendum!D:D,IF(ISNUMBER(B176),TEXT(B176,"0000"),B176),Addendum!E:E,"X")&gt;0,4%,0)</f>
        <v>0</v>
      </c>
      <c r="J176" s="31">
        <f>IF(COUNTIFS(Addendum!C:C,A176,Addendum!D:D,IF(ISNUMBER(B176),TEXT(B176,"0000"),B176),Addendum!F:F,"X")&gt;0,2.5%,0)</f>
        <v>0</v>
      </c>
      <c r="K176" s="31">
        <f>IF(COUNTIFS(Addendum!C:C,A176,Addendum!D:D,IF(ISNUMBER(B176),TEXT(B176,"0000"),B176),Addendum!G:G,"X")&gt;0,7%,0)</f>
        <v>0</v>
      </c>
      <c r="L176" s="31">
        <f>IF(COUNTIFS(Addendum!C:C,A176,Addendum!D:D,IF(ISNUMBER(B176),TEXT(B176,"0000"),B176),Addendum!I:I,"X")&gt;0,10%,0)</f>
        <v>0</v>
      </c>
      <c r="M176" s="34">
        <f t="shared" si="4"/>
        <v>0</v>
      </c>
      <c r="N176" s="17">
        <f t="shared" si="5"/>
        <v>94374</v>
      </c>
    </row>
    <row r="177" spans="1:14" x14ac:dyDescent="0.25">
      <c r="A177" s="14" t="s">
        <v>1814</v>
      </c>
      <c r="B177" s="14">
        <v>4</v>
      </c>
      <c r="C177" s="15" t="s">
        <v>1815</v>
      </c>
      <c r="D177" s="14" t="s">
        <v>1749</v>
      </c>
      <c r="E177" s="14" t="s">
        <v>1746</v>
      </c>
      <c r="F177" s="17" t="s">
        <v>2995</v>
      </c>
      <c r="G177" s="14">
        <v>1800</v>
      </c>
      <c r="H177" s="14">
        <v>1620</v>
      </c>
      <c r="I177" s="31">
        <f>IF(COUNTIFS(Addendum!C:C,A177,Addendum!D:D,IF(ISNUMBER(B177),TEXT(B177,"0000"),B177),Addendum!E:E,"X")&gt;0,4%,0)</f>
        <v>0</v>
      </c>
      <c r="J177" s="31">
        <f>IF(COUNTIFS(Addendum!C:C,A177,Addendum!D:D,IF(ISNUMBER(B177),TEXT(B177,"0000"),B177),Addendum!F:F,"X")&gt;0,2.5%,0)</f>
        <v>0</v>
      </c>
      <c r="K177" s="31">
        <f>IF(COUNTIFS(Addendum!C:C,A177,Addendum!D:D,IF(ISNUMBER(B177),TEXT(B177,"0000"),B177),Addendum!G:G,"X")&gt;0,7%,0)</f>
        <v>0</v>
      </c>
      <c r="L177" s="31">
        <f>IF(COUNTIFS(Addendum!C:C,A177,Addendum!D:D,IF(ISNUMBER(B177),TEXT(B177,"0000"),B177),Addendum!I:I,"X")&gt;0,10%,0)</f>
        <v>0</v>
      </c>
      <c r="M177" s="34">
        <f t="shared" si="4"/>
        <v>0</v>
      </c>
      <c r="N177" s="17">
        <f t="shared" si="5"/>
        <v>1620</v>
      </c>
    </row>
    <row r="178" spans="1:14" x14ac:dyDescent="0.25">
      <c r="A178" s="14" t="s">
        <v>1814</v>
      </c>
      <c r="B178" s="14">
        <v>8</v>
      </c>
      <c r="C178" s="15" t="s">
        <v>1819</v>
      </c>
      <c r="D178" s="14" t="s">
        <v>1752</v>
      </c>
      <c r="E178" s="14" t="s">
        <v>1747</v>
      </c>
      <c r="F178" s="17" t="s">
        <v>2993</v>
      </c>
      <c r="G178" s="14">
        <v>104760</v>
      </c>
      <c r="H178" s="14">
        <v>73332</v>
      </c>
      <c r="I178" s="31">
        <f>IF(COUNTIFS(Addendum!C:C,A178,Addendum!D:D,IF(ISNUMBER(B178),TEXT(B178,"0000"),B178),Addendum!E:E,"X")&gt;0,4%,0)</f>
        <v>0</v>
      </c>
      <c r="J178" s="31">
        <f>IF(COUNTIFS(Addendum!C:C,A178,Addendum!D:D,IF(ISNUMBER(B178),TEXT(B178,"0000"),B178),Addendum!F:F,"X")&gt;0,2.5%,0)</f>
        <v>0</v>
      </c>
      <c r="K178" s="31">
        <f>IF(COUNTIFS(Addendum!C:C,A178,Addendum!D:D,IF(ISNUMBER(B178),TEXT(B178,"0000"),B178),Addendum!G:G,"X")&gt;0,7%,0)</f>
        <v>0</v>
      </c>
      <c r="L178" s="31">
        <f>IF(COUNTIFS(Addendum!C:C,A178,Addendum!D:D,IF(ISNUMBER(B178),TEXT(B178,"0000"),B178),Addendum!I:I,"X")&gt;0,10%,0)</f>
        <v>0</v>
      </c>
      <c r="M178" s="34">
        <f t="shared" si="4"/>
        <v>0</v>
      </c>
      <c r="N178" s="17">
        <f t="shared" si="5"/>
        <v>73332</v>
      </c>
    </row>
    <row r="179" spans="1:14" x14ac:dyDescent="0.25">
      <c r="A179" s="14" t="s">
        <v>1814</v>
      </c>
      <c r="B179" s="14">
        <v>2</v>
      </c>
      <c r="C179" s="15" t="s">
        <v>1818</v>
      </c>
      <c r="D179" s="14" t="s">
        <v>1752</v>
      </c>
      <c r="E179" s="14" t="s">
        <v>1746</v>
      </c>
      <c r="F179" s="17" t="s">
        <v>2993</v>
      </c>
      <c r="G179" s="14">
        <v>141561</v>
      </c>
      <c r="H179" s="14">
        <v>99092.88</v>
      </c>
      <c r="I179" s="31">
        <f>IF(COUNTIFS(Addendum!C:C,A179,Addendum!D:D,IF(ISNUMBER(B179),TEXT(B179,"0000"),B179),Addendum!E:E,"X")&gt;0,4%,0)</f>
        <v>0</v>
      </c>
      <c r="J179" s="31">
        <f>IF(COUNTIFS(Addendum!C:C,A179,Addendum!D:D,IF(ISNUMBER(B179),TEXT(B179,"0000"),B179),Addendum!F:F,"X")&gt;0,2.5%,0)</f>
        <v>0</v>
      </c>
      <c r="K179" s="31">
        <f>IF(COUNTIFS(Addendum!C:C,A179,Addendum!D:D,IF(ISNUMBER(B179),TEXT(B179,"0000"),B179),Addendum!G:G,"X")&gt;0,7%,0)</f>
        <v>0</v>
      </c>
      <c r="L179" s="31">
        <f>IF(COUNTIFS(Addendum!C:C,A179,Addendum!D:D,IF(ISNUMBER(B179),TEXT(B179,"0000"),B179),Addendum!I:I,"X")&gt;0,10%,0)</f>
        <v>0</v>
      </c>
      <c r="M179" s="34">
        <f t="shared" si="4"/>
        <v>0</v>
      </c>
      <c r="N179" s="17">
        <f t="shared" si="5"/>
        <v>99092.88</v>
      </c>
    </row>
    <row r="180" spans="1:14" x14ac:dyDescent="0.25">
      <c r="A180" s="14" t="s">
        <v>1814</v>
      </c>
      <c r="B180" s="14">
        <v>4</v>
      </c>
      <c r="C180" s="15" t="s">
        <v>1815</v>
      </c>
      <c r="D180" s="14" t="s">
        <v>1752</v>
      </c>
      <c r="E180" s="14" t="s">
        <v>1746</v>
      </c>
      <c r="F180" s="17" t="s">
        <v>2995</v>
      </c>
      <c r="G180" s="14">
        <v>56700</v>
      </c>
      <c r="H180" s="14">
        <v>51030</v>
      </c>
      <c r="I180" s="31">
        <f>IF(COUNTIFS(Addendum!C:C,A180,Addendum!D:D,IF(ISNUMBER(B180),TEXT(B180,"0000"),B180),Addendum!E:E,"X")&gt;0,4%,0)</f>
        <v>0</v>
      </c>
      <c r="J180" s="31">
        <f>IF(COUNTIFS(Addendum!C:C,A180,Addendum!D:D,IF(ISNUMBER(B180),TEXT(B180,"0000"),B180),Addendum!F:F,"X")&gt;0,2.5%,0)</f>
        <v>0</v>
      </c>
      <c r="K180" s="31">
        <f>IF(COUNTIFS(Addendum!C:C,A180,Addendum!D:D,IF(ISNUMBER(B180),TEXT(B180,"0000"),B180),Addendum!G:G,"X")&gt;0,7%,0)</f>
        <v>0</v>
      </c>
      <c r="L180" s="31">
        <f>IF(COUNTIFS(Addendum!C:C,A180,Addendum!D:D,IF(ISNUMBER(B180),TEXT(B180,"0000"),B180),Addendum!I:I,"X")&gt;0,10%,0)</f>
        <v>0</v>
      </c>
      <c r="M180" s="34">
        <f t="shared" si="4"/>
        <v>0</v>
      </c>
      <c r="N180" s="17">
        <f t="shared" si="5"/>
        <v>51030</v>
      </c>
    </row>
    <row r="181" spans="1:14" x14ac:dyDescent="0.25">
      <c r="A181" s="14" t="s">
        <v>1814</v>
      </c>
      <c r="B181" s="14">
        <v>8</v>
      </c>
      <c r="C181" s="15" t="s">
        <v>1819</v>
      </c>
      <c r="D181" s="14" t="s">
        <v>1752</v>
      </c>
      <c r="E181" s="14" t="s">
        <v>1753</v>
      </c>
      <c r="F181" s="17" t="s">
        <v>2993</v>
      </c>
      <c r="G181" s="14">
        <v>104760</v>
      </c>
      <c r="H181" s="14">
        <v>73332</v>
      </c>
      <c r="I181" s="31">
        <f>IF(COUNTIFS(Addendum!C:C,A181,Addendum!D:D,IF(ISNUMBER(B181),TEXT(B181,"0000"),B181),Addendum!E:E,"X")&gt;0,4%,0)</f>
        <v>0</v>
      </c>
      <c r="J181" s="31">
        <f>IF(COUNTIFS(Addendum!C:C,A181,Addendum!D:D,IF(ISNUMBER(B181),TEXT(B181,"0000"),B181),Addendum!F:F,"X")&gt;0,2.5%,0)</f>
        <v>0</v>
      </c>
      <c r="K181" s="31">
        <f>IF(COUNTIFS(Addendum!C:C,A181,Addendum!D:D,IF(ISNUMBER(B181),TEXT(B181,"0000"),B181),Addendum!G:G,"X")&gt;0,7%,0)</f>
        <v>0</v>
      </c>
      <c r="L181" s="31">
        <f>IF(COUNTIFS(Addendum!C:C,A181,Addendum!D:D,IF(ISNUMBER(B181),TEXT(B181,"0000"),B181),Addendum!I:I,"X")&gt;0,10%,0)</f>
        <v>0</v>
      </c>
      <c r="M181" s="34">
        <f t="shared" si="4"/>
        <v>0</v>
      </c>
      <c r="N181" s="17">
        <f t="shared" si="5"/>
        <v>73332</v>
      </c>
    </row>
    <row r="182" spans="1:14" x14ac:dyDescent="0.25">
      <c r="A182" s="14" t="s">
        <v>1814</v>
      </c>
      <c r="B182" s="14">
        <v>8</v>
      </c>
      <c r="C182" s="15" t="s">
        <v>1819</v>
      </c>
      <c r="D182" s="14" t="s">
        <v>1745</v>
      </c>
      <c r="E182" s="14" t="s">
        <v>1746</v>
      </c>
      <c r="F182" s="17" t="s">
        <v>2993</v>
      </c>
      <c r="G182" s="14">
        <v>36666</v>
      </c>
      <c r="H182" s="14">
        <v>25666.2</v>
      </c>
      <c r="I182" s="31">
        <f>IF(COUNTIFS(Addendum!C:C,A182,Addendum!D:D,IF(ISNUMBER(B182),TEXT(B182,"0000"),B182),Addendum!E:E,"X")&gt;0,4%,0)</f>
        <v>0</v>
      </c>
      <c r="J182" s="31">
        <f>IF(COUNTIFS(Addendum!C:C,A182,Addendum!D:D,IF(ISNUMBER(B182),TEXT(B182,"0000"),B182),Addendum!F:F,"X")&gt;0,2.5%,0)</f>
        <v>0</v>
      </c>
      <c r="K182" s="31">
        <f>IF(COUNTIFS(Addendum!C:C,A182,Addendum!D:D,IF(ISNUMBER(B182),TEXT(B182,"0000"),B182),Addendum!G:G,"X")&gt;0,7%,0)</f>
        <v>0</v>
      </c>
      <c r="L182" s="31">
        <f>IF(COUNTIFS(Addendum!C:C,A182,Addendum!D:D,IF(ISNUMBER(B182),TEXT(B182,"0000"),B182),Addendum!I:I,"X")&gt;0,10%,0)</f>
        <v>0</v>
      </c>
      <c r="M182" s="34">
        <f t="shared" si="4"/>
        <v>0</v>
      </c>
      <c r="N182" s="17">
        <f t="shared" si="5"/>
        <v>25666.2</v>
      </c>
    </row>
    <row r="183" spans="1:14" x14ac:dyDescent="0.25">
      <c r="A183" s="14" t="s">
        <v>1814</v>
      </c>
      <c r="B183" s="14">
        <v>2</v>
      </c>
      <c r="C183" s="15" t="s">
        <v>1818</v>
      </c>
      <c r="D183" s="14" t="s">
        <v>1749</v>
      </c>
      <c r="E183" s="14" t="s">
        <v>1746</v>
      </c>
      <c r="F183" s="17" t="s">
        <v>2993</v>
      </c>
      <c r="G183" s="14">
        <v>4494</v>
      </c>
      <c r="H183" s="14">
        <v>3145.8</v>
      </c>
      <c r="I183" s="31">
        <f>IF(COUNTIFS(Addendum!C:C,A183,Addendum!D:D,IF(ISNUMBER(B183),TEXT(B183,"0000"),B183),Addendum!E:E,"X")&gt;0,4%,0)</f>
        <v>0</v>
      </c>
      <c r="J183" s="31">
        <f>IF(COUNTIFS(Addendum!C:C,A183,Addendum!D:D,IF(ISNUMBER(B183),TEXT(B183,"0000"),B183),Addendum!F:F,"X")&gt;0,2.5%,0)</f>
        <v>0</v>
      </c>
      <c r="K183" s="31">
        <f>IF(COUNTIFS(Addendum!C:C,A183,Addendum!D:D,IF(ISNUMBER(B183),TEXT(B183,"0000"),B183),Addendum!G:G,"X")&gt;0,7%,0)</f>
        <v>0</v>
      </c>
      <c r="L183" s="31">
        <f>IF(COUNTIFS(Addendum!C:C,A183,Addendum!D:D,IF(ISNUMBER(B183),TEXT(B183,"0000"),B183),Addendum!I:I,"X")&gt;0,10%,0)</f>
        <v>0</v>
      </c>
      <c r="M183" s="34">
        <f t="shared" si="4"/>
        <v>0</v>
      </c>
      <c r="N183" s="17">
        <f t="shared" si="5"/>
        <v>3145.8</v>
      </c>
    </row>
    <row r="184" spans="1:14" x14ac:dyDescent="0.25">
      <c r="A184" s="14" t="s">
        <v>1814</v>
      </c>
      <c r="B184" s="14">
        <v>6</v>
      </c>
      <c r="C184" s="15" t="s">
        <v>1816</v>
      </c>
      <c r="D184" s="14" t="s">
        <v>1745</v>
      </c>
      <c r="E184" s="14" t="s">
        <v>1746</v>
      </c>
      <c r="F184" s="17" t="s">
        <v>2994</v>
      </c>
      <c r="G184" s="14">
        <v>25956</v>
      </c>
      <c r="H184" s="14">
        <v>18169.2</v>
      </c>
      <c r="I184" s="31">
        <f>IF(COUNTIFS(Addendum!C:C,A184,Addendum!D:D,IF(ISNUMBER(B184),TEXT(B184,"0000"),B184),Addendum!E:E,"X")&gt;0,4%,0)</f>
        <v>0</v>
      </c>
      <c r="J184" s="31">
        <f>IF(COUNTIFS(Addendum!C:C,A184,Addendum!D:D,IF(ISNUMBER(B184),TEXT(B184,"0000"),B184),Addendum!F:F,"X")&gt;0,2.5%,0)</f>
        <v>0</v>
      </c>
      <c r="K184" s="31">
        <f>IF(COUNTIFS(Addendum!C:C,A184,Addendum!D:D,IF(ISNUMBER(B184),TEXT(B184,"0000"),B184),Addendum!G:G,"X")&gt;0,7%,0)</f>
        <v>0</v>
      </c>
      <c r="L184" s="31">
        <f>IF(COUNTIFS(Addendum!C:C,A184,Addendum!D:D,IF(ISNUMBER(B184),TEXT(B184,"0000"),B184),Addendum!I:I,"X")&gt;0,10%,0)</f>
        <v>0</v>
      </c>
      <c r="M184" s="34">
        <f t="shared" si="4"/>
        <v>0</v>
      </c>
      <c r="N184" s="17">
        <f t="shared" si="5"/>
        <v>18169.2</v>
      </c>
    </row>
    <row r="185" spans="1:14" x14ac:dyDescent="0.25">
      <c r="A185" s="14" t="s">
        <v>1814</v>
      </c>
      <c r="B185" s="14">
        <v>2</v>
      </c>
      <c r="C185" s="15" t="s">
        <v>1818</v>
      </c>
      <c r="D185" s="14" t="s">
        <v>1745</v>
      </c>
      <c r="E185" s="14" t="s">
        <v>1746</v>
      </c>
      <c r="F185" s="17" t="s">
        <v>2993</v>
      </c>
      <c r="G185" s="14">
        <v>47187</v>
      </c>
      <c r="H185" s="14">
        <v>33030.959999999999</v>
      </c>
      <c r="I185" s="31">
        <f>IF(COUNTIFS(Addendum!C:C,A185,Addendum!D:D,IF(ISNUMBER(B185),TEXT(B185,"0000"),B185),Addendum!E:E,"X")&gt;0,4%,0)</f>
        <v>0</v>
      </c>
      <c r="J185" s="31">
        <f>IF(COUNTIFS(Addendum!C:C,A185,Addendum!D:D,IF(ISNUMBER(B185),TEXT(B185,"0000"),B185),Addendum!F:F,"X")&gt;0,2.5%,0)</f>
        <v>0</v>
      </c>
      <c r="K185" s="31">
        <f>IF(COUNTIFS(Addendum!C:C,A185,Addendum!D:D,IF(ISNUMBER(B185),TEXT(B185,"0000"),B185),Addendum!G:G,"X")&gt;0,7%,0)</f>
        <v>0</v>
      </c>
      <c r="L185" s="31">
        <f>IF(COUNTIFS(Addendum!C:C,A185,Addendum!D:D,IF(ISNUMBER(B185),TEXT(B185,"0000"),B185),Addendum!I:I,"X")&gt;0,10%,0)</f>
        <v>0</v>
      </c>
      <c r="M185" s="34">
        <f t="shared" si="4"/>
        <v>0</v>
      </c>
      <c r="N185" s="17">
        <f t="shared" si="5"/>
        <v>33030.959999999999</v>
      </c>
    </row>
    <row r="186" spans="1:14" x14ac:dyDescent="0.25">
      <c r="A186" s="14" t="s">
        <v>1814</v>
      </c>
      <c r="B186" s="14">
        <v>2</v>
      </c>
      <c r="C186" s="15" t="s">
        <v>1818</v>
      </c>
      <c r="D186" s="14" t="s">
        <v>1752</v>
      </c>
      <c r="E186" s="14" t="s">
        <v>1753</v>
      </c>
      <c r="F186" s="17" t="s">
        <v>2993</v>
      </c>
      <c r="G186" s="14">
        <v>134820</v>
      </c>
      <c r="H186" s="14">
        <v>94374</v>
      </c>
      <c r="I186" s="31">
        <f>IF(COUNTIFS(Addendum!C:C,A186,Addendum!D:D,IF(ISNUMBER(B186),TEXT(B186,"0000"),B186),Addendum!E:E,"X")&gt;0,4%,0)</f>
        <v>0</v>
      </c>
      <c r="J186" s="31">
        <f>IF(COUNTIFS(Addendum!C:C,A186,Addendum!D:D,IF(ISNUMBER(B186),TEXT(B186,"0000"),B186),Addendum!F:F,"X")&gt;0,2.5%,0)</f>
        <v>0</v>
      </c>
      <c r="K186" s="31">
        <f>IF(COUNTIFS(Addendum!C:C,A186,Addendum!D:D,IF(ISNUMBER(B186),TEXT(B186,"0000"),B186),Addendum!G:G,"X")&gt;0,7%,0)</f>
        <v>0</v>
      </c>
      <c r="L186" s="31">
        <f>IF(COUNTIFS(Addendum!C:C,A186,Addendum!D:D,IF(ISNUMBER(B186),TEXT(B186,"0000"),B186),Addendum!I:I,"X")&gt;0,10%,0)</f>
        <v>0</v>
      </c>
      <c r="M186" s="34">
        <f t="shared" si="4"/>
        <v>0</v>
      </c>
      <c r="N186" s="17">
        <f t="shared" si="5"/>
        <v>94374</v>
      </c>
    </row>
    <row r="187" spans="1:14" x14ac:dyDescent="0.25">
      <c r="A187" s="14" t="s">
        <v>1814</v>
      </c>
      <c r="B187" s="14">
        <v>8</v>
      </c>
      <c r="C187" s="15" t="s">
        <v>1819</v>
      </c>
      <c r="D187" s="14" t="s">
        <v>1749</v>
      </c>
      <c r="E187" s="14" t="s">
        <v>1746</v>
      </c>
      <c r="F187" s="17" t="s">
        <v>2993</v>
      </c>
      <c r="G187" s="14">
        <v>3492</v>
      </c>
      <c r="H187" s="14">
        <v>2444.4</v>
      </c>
      <c r="I187" s="31">
        <f>IF(COUNTIFS(Addendum!C:C,A187,Addendum!D:D,IF(ISNUMBER(B187),TEXT(B187,"0000"),B187),Addendum!E:E,"X")&gt;0,4%,0)</f>
        <v>0</v>
      </c>
      <c r="J187" s="31">
        <f>IF(COUNTIFS(Addendum!C:C,A187,Addendum!D:D,IF(ISNUMBER(B187),TEXT(B187,"0000"),B187),Addendum!F:F,"X")&gt;0,2.5%,0)</f>
        <v>0</v>
      </c>
      <c r="K187" s="31">
        <f>IF(COUNTIFS(Addendum!C:C,A187,Addendum!D:D,IF(ISNUMBER(B187),TEXT(B187,"0000"),B187),Addendum!G:G,"X")&gt;0,7%,0)</f>
        <v>0</v>
      </c>
      <c r="L187" s="31">
        <f>IF(COUNTIFS(Addendum!C:C,A187,Addendum!D:D,IF(ISNUMBER(B187),TEXT(B187,"0000"),B187),Addendum!I:I,"X")&gt;0,10%,0)</f>
        <v>0</v>
      </c>
      <c r="M187" s="34">
        <f t="shared" si="4"/>
        <v>0</v>
      </c>
      <c r="N187" s="17">
        <f t="shared" si="5"/>
        <v>2444.4</v>
      </c>
    </row>
    <row r="188" spans="1:14" x14ac:dyDescent="0.25">
      <c r="A188" s="14" t="s">
        <v>1814</v>
      </c>
      <c r="B188" s="14">
        <v>5</v>
      </c>
      <c r="C188" s="15" t="s">
        <v>1817</v>
      </c>
      <c r="D188" s="14" t="s">
        <v>1752</v>
      </c>
      <c r="E188" s="14" t="s">
        <v>1747</v>
      </c>
      <c r="F188" s="17" t="s">
        <v>2994</v>
      </c>
      <c r="G188" s="14">
        <v>54000</v>
      </c>
      <c r="H188" s="14">
        <v>37800</v>
      </c>
      <c r="I188" s="31">
        <f>IF(COUNTIFS(Addendum!C:C,A188,Addendum!D:D,IF(ISNUMBER(B188),TEXT(B188,"0000"),B188),Addendum!E:E,"X")&gt;0,4%,0)</f>
        <v>0</v>
      </c>
      <c r="J188" s="31">
        <f>IF(COUNTIFS(Addendum!C:C,A188,Addendum!D:D,IF(ISNUMBER(B188),TEXT(B188,"0000"),B188),Addendum!F:F,"X")&gt;0,2.5%,0)</f>
        <v>0</v>
      </c>
      <c r="K188" s="31">
        <f>IF(COUNTIFS(Addendum!C:C,A188,Addendum!D:D,IF(ISNUMBER(B188),TEXT(B188,"0000"),B188),Addendum!G:G,"X")&gt;0,7%,0)</f>
        <v>0</v>
      </c>
      <c r="L188" s="31">
        <f>IF(COUNTIFS(Addendum!C:C,A188,Addendum!D:D,IF(ISNUMBER(B188),TEXT(B188,"0000"),B188),Addendum!I:I,"X")&gt;0,10%,0)</f>
        <v>0</v>
      </c>
      <c r="M188" s="34">
        <f t="shared" si="4"/>
        <v>0</v>
      </c>
      <c r="N188" s="17">
        <f t="shared" si="5"/>
        <v>37800</v>
      </c>
    </row>
    <row r="189" spans="1:14" x14ac:dyDescent="0.25">
      <c r="A189" s="14" t="s">
        <v>1814</v>
      </c>
      <c r="B189" s="14">
        <v>4</v>
      </c>
      <c r="C189" s="15" t="s">
        <v>1815</v>
      </c>
      <c r="D189" s="14" t="s">
        <v>1745</v>
      </c>
      <c r="E189" s="14" t="s">
        <v>1746</v>
      </c>
      <c r="F189" s="17" t="s">
        <v>2995</v>
      </c>
      <c r="G189" s="14">
        <v>18900</v>
      </c>
      <c r="H189" s="14">
        <v>17010</v>
      </c>
      <c r="I189" s="31">
        <f>IF(COUNTIFS(Addendum!C:C,A189,Addendum!D:D,IF(ISNUMBER(B189),TEXT(B189,"0000"),B189),Addendum!E:E,"X")&gt;0,4%,0)</f>
        <v>0</v>
      </c>
      <c r="J189" s="31">
        <f>IF(COUNTIFS(Addendum!C:C,A189,Addendum!D:D,IF(ISNUMBER(B189),TEXT(B189,"0000"),B189),Addendum!F:F,"X")&gt;0,2.5%,0)</f>
        <v>0</v>
      </c>
      <c r="K189" s="31">
        <f>IF(COUNTIFS(Addendum!C:C,A189,Addendum!D:D,IF(ISNUMBER(B189),TEXT(B189,"0000"),B189),Addendum!G:G,"X")&gt;0,7%,0)</f>
        <v>0</v>
      </c>
      <c r="L189" s="31">
        <f>IF(COUNTIFS(Addendum!C:C,A189,Addendum!D:D,IF(ISNUMBER(B189),TEXT(B189,"0000"),B189),Addendum!I:I,"X")&gt;0,10%,0)</f>
        <v>0</v>
      </c>
      <c r="M189" s="34">
        <f t="shared" si="4"/>
        <v>0</v>
      </c>
      <c r="N189" s="17">
        <f t="shared" si="5"/>
        <v>17010</v>
      </c>
    </row>
    <row r="190" spans="1:14" x14ac:dyDescent="0.25">
      <c r="A190" s="14" t="s">
        <v>1814</v>
      </c>
      <c r="B190" s="14">
        <v>5</v>
      </c>
      <c r="C190" s="15" t="s">
        <v>1817</v>
      </c>
      <c r="D190" s="14" t="s">
        <v>1745</v>
      </c>
      <c r="E190" s="14" t="s">
        <v>1746</v>
      </c>
      <c r="F190" s="17" t="s">
        <v>2994</v>
      </c>
      <c r="G190" s="14">
        <v>18900</v>
      </c>
      <c r="H190" s="14">
        <v>13230</v>
      </c>
      <c r="I190" s="31">
        <f>IF(COUNTIFS(Addendum!C:C,A190,Addendum!D:D,IF(ISNUMBER(B190),TEXT(B190,"0000"),B190),Addendum!E:E,"X")&gt;0,4%,0)</f>
        <v>0</v>
      </c>
      <c r="J190" s="31">
        <f>IF(COUNTIFS(Addendum!C:C,A190,Addendum!D:D,IF(ISNUMBER(B190),TEXT(B190,"0000"),B190),Addendum!F:F,"X")&gt;0,2.5%,0)</f>
        <v>0</v>
      </c>
      <c r="K190" s="31">
        <f>IF(COUNTIFS(Addendum!C:C,A190,Addendum!D:D,IF(ISNUMBER(B190),TEXT(B190,"0000"),B190),Addendum!G:G,"X")&gt;0,7%,0)</f>
        <v>0</v>
      </c>
      <c r="L190" s="31">
        <f>IF(COUNTIFS(Addendum!C:C,A190,Addendum!D:D,IF(ISNUMBER(B190),TEXT(B190,"0000"),B190),Addendum!I:I,"X")&gt;0,10%,0)</f>
        <v>0</v>
      </c>
      <c r="M190" s="34">
        <f t="shared" si="4"/>
        <v>0</v>
      </c>
      <c r="N190" s="17">
        <f t="shared" si="5"/>
        <v>13230</v>
      </c>
    </row>
    <row r="191" spans="1:14" x14ac:dyDescent="0.25">
      <c r="A191" s="14" t="s">
        <v>1814</v>
      </c>
      <c r="B191" s="14">
        <v>2</v>
      </c>
      <c r="C191" s="15" t="s">
        <v>1818</v>
      </c>
      <c r="D191" s="14" t="s">
        <v>1745</v>
      </c>
      <c r="E191" s="14" t="s">
        <v>1747</v>
      </c>
      <c r="F191" s="17" t="s">
        <v>2993</v>
      </c>
      <c r="G191" s="14">
        <v>44940</v>
      </c>
      <c r="H191" s="14">
        <v>31458</v>
      </c>
      <c r="I191" s="31">
        <f>IF(COUNTIFS(Addendum!C:C,A191,Addendum!D:D,IF(ISNUMBER(B191),TEXT(B191,"0000"),B191),Addendum!E:E,"X")&gt;0,4%,0)</f>
        <v>0</v>
      </c>
      <c r="J191" s="31">
        <f>IF(COUNTIFS(Addendum!C:C,A191,Addendum!D:D,IF(ISNUMBER(B191),TEXT(B191,"0000"),B191),Addendum!F:F,"X")&gt;0,2.5%,0)</f>
        <v>0</v>
      </c>
      <c r="K191" s="31">
        <f>IF(COUNTIFS(Addendum!C:C,A191,Addendum!D:D,IF(ISNUMBER(B191),TEXT(B191,"0000"),B191),Addendum!G:G,"X")&gt;0,7%,0)</f>
        <v>0</v>
      </c>
      <c r="L191" s="31">
        <f>IF(COUNTIFS(Addendum!C:C,A191,Addendum!D:D,IF(ISNUMBER(B191),TEXT(B191,"0000"),B191),Addendum!I:I,"X")&gt;0,10%,0)</f>
        <v>0</v>
      </c>
      <c r="M191" s="34">
        <f t="shared" si="4"/>
        <v>0</v>
      </c>
      <c r="N191" s="17">
        <f t="shared" si="5"/>
        <v>31458</v>
      </c>
    </row>
    <row r="192" spans="1:14" x14ac:dyDescent="0.25">
      <c r="A192" s="14" t="s">
        <v>1814</v>
      </c>
      <c r="B192" s="14">
        <v>6</v>
      </c>
      <c r="C192" s="15" t="s">
        <v>1816</v>
      </c>
      <c r="D192" s="14" t="s">
        <v>1745</v>
      </c>
      <c r="E192" s="14" t="s">
        <v>1747</v>
      </c>
      <c r="F192" s="17" t="s">
        <v>2994</v>
      </c>
      <c r="G192" s="14">
        <v>24720</v>
      </c>
      <c r="H192" s="14">
        <v>17304</v>
      </c>
      <c r="I192" s="31">
        <f>IF(COUNTIFS(Addendum!C:C,A192,Addendum!D:D,IF(ISNUMBER(B192),TEXT(B192,"0000"),B192),Addendum!E:E,"X")&gt;0,4%,0)</f>
        <v>0</v>
      </c>
      <c r="J192" s="31">
        <f>IF(COUNTIFS(Addendum!C:C,A192,Addendum!D:D,IF(ISNUMBER(B192),TEXT(B192,"0000"),B192),Addendum!F:F,"X")&gt;0,2.5%,0)</f>
        <v>0</v>
      </c>
      <c r="K192" s="31">
        <f>IF(COUNTIFS(Addendum!C:C,A192,Addendum!D:D,IF(ISNUMBER(B192),TEXT(B192,"0000"),B192),Addendum!G:G,"X")&gt;0,7%,0)</f>
        <v>0</v>
      </c>
      <c r="L192" s="31">
        <f>IF(COUNTIFS(Addendum!C:C,A192,Addendum!D:D,IF(ISNUMBER(B192),TEXT(B192,"0000"),B192),Addendum!I:I,"X")&gt;0,10%,0)</f>
        <v>0</v>
      </c>
      <c r="M192" s="34">
        <f t="shared" si="4"/>
        <v>0</v>
      </c>
      <c r="N192" s="17">
        <f t="shared" si="5"/>
        <v>17304</v>
      </c>
    </row>
    <row r="193" spans="1:14" x14ac:dyDescent="0.25">
      <c r="A193" s="14" t="s">
        <v>1814</v>
      </c>
      <c r="B193" s="14">
        <v>5</v>
      </c>
      <c r="C193" s="15" t="s">
        <v>1817</v>
      </c>
      <c r="D193" s="14" t="s">
        <v>1749</v>
      </c>
      <c r="E193" s="14" t="s">
        <v>1746</v>
      </c>
      <c r="F193" s="17" t="s">
        <v>2994</v>
      </c>
      <c r="G193" s="14">
        <v>1800</v>
      </c>
      <c r="H193" s="14">
        <v>1260</v>
      </c>
      <c r="I193" s="31">
        <f>IF(COUNTIFS(Addendum!C:C,A193,Addendum!D:D,IF(ISNUMBER(B193),TEXT(B193,"0000"),B193),Addendum!E:E,"X")&gt;0,4%,0)</f>
        <v>0</v>
      </c>
      <c r="J193" s="31">
        <f>IF(COUNTIFS(Addendum!C:C,A193,Addendum!D:D,IF(ISNUMBER(B193),TEXT(B193,"0000"),B193),Addendum!F:F,"X")&gt;0,2.5%,0)</f>
        <v>0</v>
      </c>
      <c r="K193" s="31">
        <f>IF(COUNTIFS(Addendum!C:C,A193,Addendum!D:D,IF(ISNUMBER(B193),TEXT(B193,"0000"),B193),Addendum!G:G,"X")&gt;0,7%,0)</f>
        <v>0</v>
      </c>
      <c r="L193" s="31">
        <f>IF(COUNTIFS(Addendum!C:C,A193,Addendum!D:D,IF(ISNUMBER(B193),TEXT(B193,"0000"),B193),Addendum!I:I,"X")&gt;0,10%,0)</f>
        <v>0</v>
      </c>
      <c r="M193" s="34">
        <f t="shared" si="4"/>
        <v>0</v>
      </c>
      <c r="N193" s="17">
        <f t="shared" si="5"/>
        <v>1260</v>
      </c>
    </row>
    <row r="194" spans="1:14" x14ac:dyDescent="0.25">
      <c r="A194" s="14" t="s">
        <v>1814</v>
      </c>
      <c r="B194" s="14">
        <v>5</v>
      </c>
      <c r="C194" s="15" t="s">
        <v>1817</v>
      </c>
      <c r="D194" s="14" t="s">
        <v>1745</v>
      </c>
      <c r="E194" s="14" t="s">
        <v>1747</v>
      </c>
      <c r="F194" s="17" t="s">
        <v>2994</v>
      </c>
      <c r="G194" s="14">
        <v>18000</v>
      </c>
      <c r="H194" s="14">
        <v>12600</v>
      </c>
      <c r="I194" s="31">
        <f>IF(COUNTIFS(Addendum!C:C,A194,Addendum!D:D,IF(ISNUMBER(B194),TEXT(B194,"0000"),B194),Addendum!E:E,"X")&gt;0,4%,0)</f>
        <v>0</v>
      </c>
      <c r="J194" s="31">
        <f>IF(COUNTIFS(Addendum!C:C,A194,Addendum!D:D,IF(ISNUMBER(B194),TEXT(B194,"0000"),B194),Addendum!F:F,"X")&gt;0,2.5%,0)</f>
        <v>0</v>
      </c>
      <c r="K194" s="31">
        <f>IF(COUNTIFS(Addendum!C:C,A194,Addendum!D:D,IF(ISNUMBER(B194),TEXT(B194,"0000"),B194),Addendum!G:G,"X")&gt;0,7%,0)</f>
        <v>0</v>
      </c>
      <c r="L194" s="31">
        <f>IF(COUNTIFS(Addendum!C:C,A194,Addendum!D:D,IF(ISNUMBER(B194),TEXT(B194,"0000"),B194),Addendum!I:I,"X")&gt;0,10%,0)</f>
        <v>0</v>
      </c>
      <c r="M194" s="34">
        <f t="shared" si="4"/>
        <v>0</v>
      </c>
      <c r="N194" s="17">
        <f t="shared" si="5"/>
        <v>12600</v>
      </c>
    </row>
    <row r="195" spans="1:14" x14ac:dyDescent="0.25">
      <c r="A195" s="14" t="s">
        <v>1814</v>
      </c>
      <c r="B195" s="14">
        <v>8</v>
      </c>
      <c r="C195" s="15" t="s">
        <v>1819</v>
      </c>
      <c r="D195" s="14" t="s">
        <v>1752</v>
      </c>
      <c r="E195" s="14" t="s">
        <v>1746</v>
      </c>
      <c r="F195" s="17" t="s">
        <v>2993</v>
      </c>
      <c r="G195" s="14">
        <v>109998</v>
      </c>
      <c r="H195" s="14">
        <v>76998.600000000006</v>
      </c>
      <c r="I195" s="31">
        <f>IF(COUNTIFS(Addendum!C:C,A195,Addendum!D:D,IF(ISNUMBER(B195),TEXT(B195,"0000"),B195),Addendum!E:E,"X")&gt;0,4%,0)</f>
        <v>0</v>
      </c>
      <c r="J195" s="31">
        <f>IF(COUNTIFS(Addendum!C:C,A195,Addendum!D:D,IF(ISNUMBER(B195),TEXT(B195,"0000"),B195),Addendum!F:F,"X")&gt;0,2.5%,0)</f>
        <v>0</v>
      </c>
      <c r="K195" s="31">
        <f>IF(COUNTIFS(Addendum!C:C,A195,Addendum!D:D,IF(ISNUMBER(B195),TEXT(B195,"0000"),B195),Addendum!G:G,"X")&gt;0,7%,0)</f>
        <v>0</v>
      </c>
      <c r="L195" s="31">
        <f>IF(COUNTIFS(Addendum!C:C,A195,Addendum!D:D,IF(ISNUMBER(B195),TEXT(B195,"0000"),B195),Addendum!I:I,"X")&gt;0,10%,0)</f>
        <v>0</v>
      </c>
      <c r="M195" s="34">
        <f t="shared" si="4"/>
        <v>0</v>
      </c>
      <c r="N195" s="17">
        <f t="shared" si="5"/>
        <v>76998.600000000006</v>
      </c>
    </row>
    <row r="196" spans="1:14" x14ac:dyDescent="0.25">
      <c r="A196" s="14" t="s">
        <v>1814</v>
      </c>
      <c r="B196" s="14">
        <v>8</v>
      </c>
      <c r="C196" s="15" t="s">
        <v>1819</v>
      </c>
      <c r="D196" s="14" t="s">
        <v>1745</v>
      </c>
      <c r="E196" s="14" t="s">
        <v>1747</v>
      </c>
      <c r="F196" s="17" t="s">
        <v>2993</v>
      </c>
      <c r="G196" s="14">
        <v>34920</v>
      </c>
      <c r="H196" s="14">
        <v>24444</v>
      </c>
      <c r="I196" s="31">
        <f>IF(COUNTIFS(Addendum!C:C,A196,Addendum!D:D,IF(ISNUMBER(B196),TEXT(B196,"0000"),B196),Addendum!E:E,"X")&gt;0,4%,0)</f>
        <v>0</v>
      </c>
      <c r="J196" s="31">
        <f>IF(COUNTIFS(Addendum!C:C,A196,Addendum!D:D,IF(ISNUMBER(B196),TEXT(B196,"0000"),B196),Addendum!F:F,"X")&gt;0,2.5%,0)</f>
        <v>0</v>
      </c>
      <c r="K196" s="31">
        <f>IF(COUNTIFS(Addendum!C:C,A196,Addendum!D:D,IF(ISNUMBER(B196),TEXT(B196,"0000"),B196),Addendum!G:G,"X")&gt;0,7%,0)</f>
        <v>0</v>
      </c>
      <c r="L196" s="31">
        <f>IF(COUNTIFS(Addendum!C:C,A196,Addendum!D:D,IF(ISNUMBER(B196),TEXT(B196,"0000"),B196),Addendum!I:I,"X")&gt;0,10%,0)</f>
        <v>0</v>
      </c>
      <c r="M196" s="34">
        <f t="shared" ref="M196:M259" si="6">IF(AND(I196=0%,J196=0%,K196=0%,L196=0%),0%,
IF(OR(TRIM(E196)="OneTime",TRIM(D196)=""),0%,
IF(
OR(
TRIM(D196)="P1M",
AND(TRIM(D196)="P1Y",TRIM(E196)="Monthly"),
AND(TRIM(D196)="P3Y",TRIM(E196)="Monthly")
),
IF(AND(I196=4%,J196=0%,K196=0%,L196=0%),1%,
IF(AND(I196=4%,J196=2.5%,K196=0%,L196=10%),2%,
IF(AND(I196=4%,J196=0%,K196=7%,L196=10%),3%,0%))),
IF(
OR(
AND(TRIM(D196)="P1Y",TRIM(E196)="Annual"),
AND(TRIM(D196)="P3Y",TRIM(E196)="Annual"),
AND(TRIM(D196)="P3Y",TRIM(E196)="Triennial")
),
IF(AND(I196=4%,J196=0%,K196=0%,L196=0%),3%,
IF(AND(I196=4%,J196=2.5%,K196=0%,L196=10%),10%,
IF(AND(I196=4%,J196=0%,K196=7%,L196=10%),14%,0%))),
0%
))))</f>
        <v>0</v>
      </c>
      <c r="N196" s="17">
        <f t="shared" ref="N196:N259" si="7">H196-(H196*M196)</f>
        <v>24444</v>
      </c>
    </row>
    <row r="197" spans="1:14" x14ac:dyDescent="0.25">
      <c r="A197" s="14" t="s">
        <v>1820</v>
      </c>
      <c r="B197" s="14">
        <v>1</v>
      </c>
      <c r="C197" s="15" t="s">
        <v>1821</v>
      </c>
      <c r="D197" s="14" t="s">
        <v>1752</v>
      </c>
      <c r="E197" s="14" t="s">
        <v>1753</v>
      </c>
      <c r="F197" s="17" t="s">
        <v>2993</v>
      </c>
      <c r="G197" s="14">
        <v>239580</v>
      </c>
      <c r="H197" s="14">
        <v>167706</v>
      </c>
      <c r="I197" s="31">
        <f>IF(COUNTIFS(Addendum!C:C,A197,Addendum!D:D,IF(ISNUMBER(B197),TEXT(B197,"0000"),B197),Addendum!E:E,"X")&gt;0,4%,0)</f>
        <v>0</v>
      </c>
      <c r="J197" s="31">
        <f>IF(COUNTIFS(Addendum!C:C,A197,Addendum!D:D,IF(ISNUMBER(B197),TEXT(B197,"0000"),B197),Addendum!F:F,"X")&gt;0,2.5%,0)</f>
        <v>0</v>
      </c>
      <c r="K197" s="31">
        <f>IF(COUNTIFS(Addendum!C:C,A197,Addendum!D:D,IF(ISNUMBER(B197),TEXT(B197,"0000"),B197),Addendum!G:G,"X")&gt;0,7%,0)</f>
        <v>0</v>
      </c>
      <c r="L197" s="31">
        <f>IF(COUNTIFS(Addendum!C:C,A197,Addendum!D:D,IF(ISNUMBER(B197),TEXT(B197,"0000"),B197),Addendum!I:I,"X")&gt;0,10%,0)</f>
        <v>0</v>
      </c>
      <c r="M197" s="34">
        <f t="shared" si="6"/>
        <v>0</v>
      </c>
      <c r="N197" s="17">
        <f t="shared" si="7"/>
        <v>167706</v>
      </c>
    </row>
    <row r="198" spans="1:14" x14ac:dyDescent="0.25">
      <c r="A198" s="14" t="s">
        <v>1820</v>
      </c>
      <c r="B198" s="14">
        <v>1</v>
      </c>
      <c r="C198" s="15" t="s">
        <v>1821</v>
      </c>
      <c r="D198" s="14" t="s">
        <v>1745</v>
      </c>
      <c r="E198" s="14" t="s">
        <v>1747</v>
      </c>
      <c r="F198" s="17" t="s">
        <v>2993</v>
      </c>
      <c r="G198" s="14">
        <v>79860</v>
      </c>
      <c r="H198" s="14">
        <v>55902</v>
      </c>
      <c r="I198" s="31">
        <f>IF(COUNTIFS(Addendum!C:C,A198,Addendum!D:D,IF(ISNUMBER(B198),TEXT(B198,"0000"),B198),Addendum!E:E,"X")&gt;0,4%,0)</f>
        <v>0</v>
      </c>
      <c r="J198" s="31">
        <f>IF(COUNTIFS(Addendum!C:C,A198,Addendum!D:D,IF(ISNUMBER(B198),TEXT(B198,"0000"),B198),Addendum!F:F,"X")&gt;0,2.5%,0)</f>
        <v>0</v>
      </c>
      <c r="K198" s="31">
        <f>IF(COUNTIFS(Addendum!C:C,A198,Addendum!D:D,IF(ISNUMBER(B198),TEXT(B198,"0000"),B198),Addendum!G:G,"X")&gt;0,7%,0)</f>
        <v>0</v>
      </c>
      <c r="L198" s="31">
        <f>IF(COUNTIFS(Addendum!C:C,A198,Addendum!D:D,IF(ISNUMBER(B198),TEXT(B198,"0000"),B198),Addendum!I:I,"X")&gt;0,10%,0)</f>
        <v>0</v>
      </c>
      <c r="M198" s="34">
        <f t="shared" si="6"/>
        <v>0</v>
      </c>
      <c r="N198" s="17">
        <f t="shared" si="7"/>
        <v>55902</v>
      </c>
    </row>
    <row r="199" spans="1:14" x14ac:dyDescent="0.25">
      <c r="A199" s="14" t="s">
        <v>1820</v>
      </c>
      <c r="B199" s="14">
        <v>5</v>
      </c>
      <c r="C199" s="15" t="s">
        <v>1822</v>
      </c>
      <c r="D199" s="14" t="s">
        <v>1745</v>
      </c>
      <c r="E199" s="14" t="s">
        <v>1747</v>
      </c>
      <c r="F199" s="17" t="s">
        <v>2994</v>
      </c>
      <c r="G199" s="14">
        <v>31920</v>
      </c>
      <c r="H199" s="14">
        <v>22344</v>
      </c>
      <c r="I199" s="31">
        <f>IF(COUNTIFS(Addendum!C:C,A199,Addendum!D:D,IF(ISNUMBER(B199),TEXT(B199,"0000"),B199),Addendum!E:E,"X")&gt;0,4%,0)</f>
        <v>0</v>
      </c>
      <c r="J199" s="31">
        <f>IF(COUNTIFS(Addendum!C:C,A199,Addendum!D:D,IF(ISNUMBER(B199),TEXT(B199,"0000"),B199),Addendum!F:F,"X")&gt;0,2.5%,0)</f>
        <v>0</v>
      </c>
      <c r="K199" s="31">
        <f>IF(COUNTIFS(Addendum!C:C,A199,Addendum!D:D,IF(ISNUMBER(B199),TEXT(B199,"0000"),B199),Addendum!G:G,"X")&gt;0,7%,0)</f>
        <v>0</v>
      </c>
      <c r="L199" s="31">
        <f>IF(COUNTIFS(Addendum!C:C,A199,Addendum!D:D,IF(ISNUMBER(B199),TEXT(B199,"0000"),B199),Addendum!I:I,"X")&gt;0,10%,0)</f>
        <v>0</v>
      </c>
      <c r="M199" s="34">
        <f t="shared" si="6"/>
        <v>0</v>
      </c>
      <c r="N199" s="17">
        <f t="shared" si="7"/>
        <v>22344</v>
      </c>
    </row>
    <row r="200" spans="1:14" x14ac:dyDescent="0.25">
      <c r="A200" s="14" t="s">
        <v>1820</v>
      </c>
      <c r="B200" s="14">
        <v>5</v>
      </c>
      <c r="C200" s="15" t="s">
        <v>1822</v>
      </c>
      <c r="D200" s="14" t="s">
        <v>1745</v>
      </c>
      <c r="E200" s="14" t="s">
        <v>1746</v>
      </c>
      <c r="F200" s="17" t="s">
        <v>2994</v>
      </c>
      <c r="G200" s="14">
        <v>33516</v>
      </c>
      <c r="H200" s="14">
        <v>23461.200000000001</v>
      </c>
      <c r="I200" s="31">
        <f>IF(COUNTIFS(Addendum!C:C,A200,Addendum!D:D,IF(ISNUMBER(B200),TEXT(B200,"0000"),B200),Addendum!E:E,"X")&gt;0,4%,0)</f>
        <v>0</v>
      </c>
      <c r="J200" s="31">
        <f>IF(COUNTIFS(Addendum!C:C,A200,Addendum!D:D,IF(ISNUMBER(B200),TEXT(B200,"0000"),B200),Addendum!F:F,"X")&gt;0,2.5%,0)</f>
        <v>0</v>
      </c>
      <c r="K200" s="31">
        <f>IF(COUNTIFS(Addendum!C:C,A200,Addendum!D:D,IF(ISNUMBER(B200),TEXT(B200,"0000"),B200),Addendum!G:G,"X")&gt;0,7%,0)</f>
        <v>0</v>
      </c>
      <c r="L200" s="31">
        <f>IF(COUNTIFS(Addendum!C:C,A200,Addendum!D:D,IF(ISNUMBER(B200),TEXT(B200,"0000"),B200),Addendum!I:I,"X")&gt;0,10%,0)</f>
        <v>0</v>
      </c>
      <c r="M200" s="34">
        <f t="shared" si="6"/>
        <v>0</v>
      </c>
      <c r="N200" s="17">
        <f t="shared" si="7"/>
        <v>23461.200000000001</v>
      </c>
    </row>
    <row r="201" spans="1:14" x14ac:dyDescent="0.25">
      <c r="A201" s="14" t="s">
        <v>1820</v>
      </c>
      <c r="B201" s="14">
        <v>6</v>
      </c>
      <c r="C201" s="15" t="s">
        <v>1823</v>
      </c>
      <c r="D201" s="14" t="s">
        <v>1749</v>
      </c>
      <c r="E201" s="14" t="s">
        <v>1746</v>
      </c>
      <c r="F201" s="17" t="s">
        <v>2994</v>
      </c>
      <c r="G201" s="14">
        <v>4392</v>
      </c>
      <c r="H201" s="14">
        <v>3074.4</v>
      </c>
      <c r="I201" s="31">
        <f>IF(COUNTIFS(Addendum!C:C,A201,Addendum!D:D,IF(ISNUMBER(B201),TEXT(B201,"0000"),B201),Addendum!E:E,"X")&gt;0,4%,0)</f>
        <v>0</v>
      </c>
      <c r="J201" s="31">
        <f>IF(COUNTIFS(Addendum!C:C,A201,Addendum!D:D,IF(ISNUMBER(B201),TEXT(B201,"0000"),B201),Addendum!F:F,"X")&gt;0,2.5%,0)</f>
        <v>0</v>
      </c>
      <c r="K201" s="31">
        <f>IF(COUNTIFS(Addendum!C:C,A201,Addendum!D:D,IF(ISNUMBER(B201),TEXT(B201,"0000"),B201),Addendum!G:G,"X")&gt;0,7%,0)</f>
        <v>0</v>
      </c>
      <c r="L201" s="31">
        <f>IF(COUNTIFS(Addendum!C:C,A201,Addendum!D:D,IF(ISNUMBER(B201),TEXT(B201,"0000"),B201),Addendum!I:I,"X")&gt;0,10%,0)</f>
        <v>0</v>
      </c>
      <c r="M201" s="34">
        <f t="shared" si="6"/>
        <v>0</v>
      </c>
      <c r="N201" s="17">
        <f t="shared" si="7"/>
        <v>3074.4</v>
      </c>
    </row>
    <row r="202" spans="1:14" x14ac:dyDescent="0.25">
      <c r="A202" s="14" t="s">
        <v>1820</v>
      </c>
      <c r="B202" s="14">
        <v>7</v>
      </c>
      <c r="C202" s="15" t="s">
        <v>1824</v>
      </c>
      <c r="D202" s="14" t="s">
        <v>1749</v>
      </c>
      <c r="E202" s="14" t="s">
        <v>1746</v>
      </c>
      <c r="F202" s="17" t="s">
        <v>2995</v>
      </c>
      <c r="G202" s="14">
        <v>3192</v>
      </c>
      <c r="H202" s="14">
        <v>2872.8</v>
      </c>
      <c r="I202" s="31">
        <f>IF(COUNTIFS(Addendum!C:C,A202,Addendum!D:D,IF(ISNUMBER(B202),TEXT(B202,"0000"),B202),Addendum!E:E,"X")&gt;0,4%,0)</f>
        <v>0</v>
      </c>
      <c r="J202" s="31">
        <f>IF(COUNTIFS(Addendum!C:C,A202,Addendum!D:D,IF(ISNUMBER(B202),TEXT(B202,"0000"),B202),Addendum!F:F,"X")&gt;0,2.5%,0)</f>
        <v>0</v>
      </c>
      <c r="K202" s="31">
        <f>IF(COUNTIFS(Addendum!C:C,A202,Addendum!D:D,IF(ISNUMBER(B202),TEXT(B202,"0000"),B202),Addendum!G:G,"X")&gt;0,7%,0)</f>
        <v>0</v>
      </c>
      <c r="L202" s="31">
        <f>IF(COUNTIFS(Addendum!C:C,A202,Addendum!D:D,IF(ISNUMBER(B202),TEXT(B202,"0000"),B202),Addendum!I:I,"X")&gt;0,10%,0)</f>
        <v>0</v>
      </c>
      <c r="M202" s="34">
        <f t="shared" si="6"/>
        <v>0</v>
      </c>
      <c r="N202" s="17">
        <f t="shared" si="7"/>
        <v>2872.8</v>
      </c>
    </row>
    <row r="203" spans="1:14" x14ac:dyDescent="0.25">
      <c r="A203" s="14" t="s">
        <v>1820</v>
      </c>
      <c r="B203" s="14">
        <v>6</v>
      </c>
      <c r="C203" s="15" t="s">
        <v>1823</v>
      </c>
      <c r="D203" s="14" t="s">
        <v>1745</v>
      </c>
      <c r="E203" s="14" t="s">
        <v>1747</v>
      </c>
      <c r="F203" s="17" t="s">
        <v>2994</v>
      </c>
      <c r="G203" s="14">
        <v>43920</v>
      </c>
      <c r="H203" s="14">
        <v>30744</v>
      </c>
      <c r="I203" s="31">
        <f>IF(COUNTIFS(Addendum!C:C,A203,Addendum!D:D,IF(ISNUMBER(B203),TEXT(B203,"0000"),B203),Addendum!E:E,"X")&gt;0,4%,0)</f>
        <v>0</v>
      </c>
      <c r="J203" s="31">
        <f>IF(COUNTIFS(Addendum!C:C,A203,Addendum!D:D,IF(ISNUMBER(B203),TEXT(B203,"0000"),B203),Addendum!F:F,"X")&gt;0,2.5%,0)</f>
        <v>0</v>
      </c>
      <c r="K203" s="31">
        <f>IF(COUNTIFS(Addendum!C:C,A203,Addendum!D:D,IF(ISNUMBER(B203),TEXT(B203,"0000"),B203),Addendum!G:G,"X")&gt;0,7%,0)</f>
        <v>0</v>
      </c>
      <c r="L203" s="31">
        <f>IF(COUNTIFS(Addendum!C:C,A203,Addendum!D:D,IF(ISNUMBER(B203),TEXT(B203,"0000"),B203),Addendum!I:I,"X")&gt;0,10%,0)</f>
        <v>0</v>
      </c>
      <c r="M203" s="34">
        <f t="shared" si="6"/>
        <v>0</v>
      </c>
      <c r="N203" s="17">
        <f t="shared" si="7"/>
        <v>30744</v>
      </c>
    </row>
    <row r="204" spans="1:14" x14ac:dyDescent="0.25">
      <c r="A204" s="14" t="s">
        <v>1820</v>
      </c>
      <c r="B204" s="14">
        <v>1</v>
      </c>
      <c r="C204" s="15" t="s">
        <v>1821</v>
      </c>
      <c r="D204" s="14" t="s">
        <v>1752</v>
      </c>
      <c r="E204" s="14" t="s">
        <v>1746</v>
      </c>
      <c r="F204" s="17" t="s">
        <v>2993</v>
      </c>
      <c r="G204" s="14">
        <v>251559</v>
      </c>
      <c r="H204" s="14">
        <v>176091.5</v>
      </c>
      <c r="I204" s="31">
        <f>IF(COUNTIFS(Addendum!C:C,A204,Addendum!D:D,IF(ISNUMBER(B204),TEXT(B204,"0000"),B204),Addendum!E:E,"X")&gt;0,4%,0)</f>
        <v>0</v>
      </c>
      <c r="J204" s="31">
        <f>IF(COUNTIFS(Addendum!C:C,A204,Addendum!D:D,IF(ISNUMBER(B204),TEXT(B204,"0000"),B204),Addendum!F:F,"X")&gt;0,2.5%,0)</f>
        <v>0</v>
      </c>
      <c r="K204" s="31">
        <f>IF(COUNTIFS(Addendum!C:C,A204,Addendum!D:D,IF(ISNUMBER(B204),TEXT(B204,"0000"),B204),Addendum!G:G,"X")&gt;0,7%,0)</f>
        <v>0</v>
      </c>
      <c r="L204" s="31">
        <f>IF(COUNTIFS(Addendum!C:C,A204,Addendum!D:D,IF(ISNUMBER(B204),TEXT(B204,"0000"),B204),Addendum!I:I,"X")&gt;0,10%,0)</f>
        <v>0</v>
      </c>
      <c r="M204" s="34">
        <f t="shared" si="6"/>
        <v>0</v>
      </c>
      <c r="N204" s="17">
        <f t="shared" si="7"/>
        <v>176091.5</v>
      </c>
    </row>
    <row r="205" spans="1:14" x14ac:dyDescent="0.25">
      <c r="A205" s="14" t="s">
        <v>1820</v>
      </c>
      <c r="B205" s="14">
        <v>5</v>
      </c>
      <c r="C205" s="15" t="s">
        <v>1822</v>
      </c>
      <c r="D205" s="14" t="s">
        <v>1749</v>
      </c>
      <c r="E205" s="14" t="s">
        <v>1746</v>
      </c>
      <c r="F205" s="17" t="s">
        <v>2994</v>
      </c>
      <c r="G205" s="14">
        <v>3192</v>
      </c>
      <c r="H205" s="14">
        <v>2234.4</v>
      </c>
      <c r="I205" s="31">
        <f>IF(COUNTIFS(Addendum!C:C,A205,Addendum!D:D,IF(ISNUMBER(B205),TEXT(B205,"0000"),B205),Addendum!E:E,"X")&gt;0,4%,0)</f>
        <v>0</v>
      </c>
      <c r="J205" s="31">
        <f>IF(COUNTIFS(Addendum!C:C,A205,Addendum!D:D,IF(ISNUMBER(B205),TEXT(B205,"0000"),B205),Addendum!F:F,"X")&gt;0,2.5%,0)</f>
        <v>0</v>
      </c>
      <c r="K205" s="31">
        <f>IF(COUNTIFS(Addendum!C:C,A205,Addendum!D:D,IF(ISNUMBER(B205),TEXT(B205,"0000"),B205),Addendum!G:G,"X")&gt;0,7%,0)</f>
        <v>0</v>
      </c>
      <c r="L205" s="31">
        <f>IF(COUNTIFS(Addendum!C:C,A205,Addendum!D:D,IF(ISNUMBER(B205),TEXT(B205,"0000"),B205),Addendum!I:I,"X")&gt;0,10%,0)</f>
        <v>0</v>
      </c>
      <c r="M205" s="34">
        <f t="shared" si="6"/>
        <v>0</v>
      </c>
      <c r="N205" s="17">
        <f t="shared" si="7"/>
        <v>2234.4</v>
      </c>
    </row>
    <row r="206" spans="1:14" x14ac:dyDescent="0.25">
      <c r="A206" s="14" t="s">
        <v>1820</v>
      </c>
      <c r="B206" s="14">
        <v>1</v>
      </c>
      <c r="C206" s="15" t="s">
        <v>1821</v>
      </c>
      <c r="D206" s="14" t="s">
        <v>1749</v>
      </c>
      <c r="E206" s="14" t="s">
        <v>1746</v>
      </c>
      <c r="F206" s="17" t="s">
        <v>2993</v>
      </c>
      <c r="G206" s="14">
        <v>7986</v>
      </c>
      <c r="H206" s="14">
        <v>5590.2</v>
      </c>
      <c r="I206" s="31">
        <f>IF(COUNTIFS(Addendum!C:C,A206,Addendum!D:D,IF(ISNUMBER(B206),TEXT(B206,"0000"),B206),Addendum!E:E,"X")&gt;0,4%,0)</f>
        <v>0</v>
      </c>
      <c r="J206" s="31">
        <f>IF(COUNTIFS(Addendum!C:C,A206,Addendum!D:D,IF(ISNUMBER(B206),TEXT(B206,"0000"),B206),Addendum!F:F,"X")&gt;0,2.5%,0)</f>
        <v>0</v>
      </c>
      <c r="K206" s="31">
        <f>IF(COUNTIFS(Addendum!C:C,A206,Addendum!D:D,IF(ISNUMBER(B206),TEXT(B206,"0000"),B206),Addendum!G:G,"X")&gt;0,7%,0)</f>
        <v>0</v>
      </c>
      <c r="L206" s="31">
        <f>IF(COUNTIFS(Addendum!C:C,A206,Addendum!D:D,IF(ISNUMBER(B206),TEXT(B206,"0000"),B206),Addendum!I:I,"X")&gt;0,10%,0)</f>
        <v>0</v>
      </c>
      <c r="M206" s="34">
        <f t="shared" si="6"/>
        <v>0</v>
      </c>
      <c r="N206" s="17">
        <f t="shared" si="7"/>
        <v>5590.2</v>
      </c>
    </row>
    <row r="207" spans="1:14" x14ac:dyDescent="0.25">
      <c r="A207" s="14" t="s">
        <v>1820</v>
      </c>
      <c r="B207" s="14">
        <v>1</v>
      </c>
      <c r="C207" s="15" t="s">
        <v>1821</v>
      </c>
      <c r="D207" s="14" t="s">
        <v>1752</v>
      </c>
      <c r="E207" s="14" t="s">
        <v>1747</v>
      </c>
      <c r="F207" s="17" t="s">
        <v>2993</v>
      </c>
      <c r="G207" s="14">
        <v>239580</v>
      </c>
      <c r="H207" s="14">
        <v>167706</v>
      </c>
      <c r="I207" s="31">
        <f>IF(COUNTIFS(Addendum!C:C,A207,Addendum!D:D,IF(ISNUMBER(B207),TEXT(B207,"0000"),B207),Addendum!E:E,"X")&gt;0,4%,0)</f>
        <v>0</v>
      </c>
      <c r="J207" s="31">
        <f>IF(COUNTIFS(Addendum!C:C,A207,Addendum!D:D,IF(ISNUMBER(B207),TEXT(B207,"0000"),B207),Addendum!F:F,"X")&gt;0,2.5%,0)</f>
        <v>0</v>
      </c>
      <c r="K207" s="31">
        <f>IF(COUNTIFS(Addendum!C:C,A207,Addendum!D:D,IF(ISNUMBER(B207),TEXT(B207,"0000"),B207),Addendum!G:G,"X")&gt;0,7%,0)</f>
        <v>0</v>
      </c>
      <c r="L207" s="31">
        <f>IF(COUNTIFS(Addendum!C:C,A207,Addendum!D:D,IF(ISNUMBER(B207),TEXT(B207,"0000"),B207),Addendum!I:I,"X")&gt;0,10%,0)</f>
        <v>0</v>
      </c>
      <c r="M207" s="34">
        <f t="shared" si="6"/>
        <v>0</v>
      </c>
      <c r="N207" s="17">
        <f t="shared" si="7"/>
        <v>167706</v>
      </c>
    </row>
    <row r="208" spans="1:14" x14ac:dyDescent="0.25">
      <c r="A208" s="14" t="s">
        <v>1820</v>
      </c>
      <c r="B208" s="14">
        <v>6</v>
      </c>
      <c r="C208" s="15" t="s">
        <v>1823</v>
      </c>
      <c r="D208" s="14" t="s">
        <v>1745</v>
      </c>
      <c r="E208" s="14" t="s">
        <v>1746</v>
      </c>
      <c r="F208" s="17" t="s">
        <v>2994</v>
      </c>
      <c r="G208" s="14">
        <v>46116</v>
      </c>
      <c r="H208" s="14">
        <v>32281.200000000001</v>
      </c>
      <c r="I208" s="31">
        <f>IF(COUNTIFS(Addendum!C:C,A208,Addendum!D:D,IF(ISNUMBER(B208),TEXT(B208,"0000"),B208),Addendum!E:E,"X")&gt;0,4%,0)</f>
        <v>0</v>
      </c>
      <c r="J208" s="31">
        <f>IF(COUNTIFS(Addendum!C:C,A208,Addendum!D:D,IF(ISNUMBER(B208),TEXT(B208,"0000"),B208),Addendum!F:F,"X")&gt;0,2.5%,0)</f>
        <v>0</v>
      </c>
      <c r="K208" s="31">
        <f>IF(COUNTIFS(Addendum!C:C,A208,Addendum!D:D,IF(ISNUMBER(B208),TEXT(B208,"0000"),B208),Addendum!G:G,"X")&gt;0,7%,0)</f>
        <v>0</v>
      </c>
      <c r="L208" s="31">
        <f>IF(COUNTIFS(Addendum!C:C,A208,Addendum!D:D,IF(ISNUMBER(B208),TEXT(B208,"0000"),B208),Addendum!I:I,"X")&gt;0,10%,0)</f>
        <v>0</v>
      </c>
      <c r="M208" s="34">
        <f t="shared" si="6"/>
        <v>0</v>
      </c>
      <c r="N208" s="17">
        <f t="shared" si="7"/>
        <v>32281.200000000001</v>
      </c>
    </row>
    <row r="209" spans="1:14" x14ac:dyDescent="0.25">
      <c r="A209" s="14" t="s">
        <v>1820</v>
      </c>
      <c r="B209" s="14">
        <v>1</v>
      </c>
      <c r="C209" s="15" t="s">
        <v>1821</v>
      </c>
      <c r="D209" s="14" t="s">
        <v>1745</v>
      </c>
      <c r="E209" s="14" t="s">
        <v>1746</v>
      </c>
      <c r="F209" s="17" t="s">
        <v>2993</v>
      </c>
      <c r="G209" s="14">
        <v>83853</v>
      </c>
      <c r="H209" s="14">
        <v>58697.16</v>
      </c>
      <c r="I209" s="31">
        <f>IF(COUNTIFS(Addendum!C:C,A209,Addendum!D:D,IF(ISNUMBER(B209),TEXT(B209,"0000"),B209),Addendum!E:E,"X")&gt;0,4%,0)</f>
        <v>0</v>
      </c>
      <c r="J209" s="31">
        <f>IF(COUNTIFS(Addendum!C:C,A209,Addendum!D:D,IF(ISNUMBER(B209),TEXT(B209,"0000"),B209),Addendum!F:F,"X")&gt;0,2.5%,0)</f>
        <v>0</v>
      </c>
      <c r="K209" s="31">
        <f>IF(COUNTIFS(Addendum!C:C,A209,Addendum!D:D,IF(ISNUMBER(B209),TEXT(B209,"0000"),B209),Addendum!G:G,"X")&gt;0,7%,0)</f>
        <v>0</v>
      </c>
      <c r="L209" s="31">
        <f>IF(COUNTIFS(Addendum!C:C,A209,Addendum!D:D,IF(ISNUMBER(B209),TEXT(B209,"0000"),B209),Addendum!I:I,"X")&gt;0,10%,0)</f>
        <v>0</v>
      </c>
      <c r="M209" s="34">
        <f t="shared" si="6"/>
        <v>0</v>
      </c>
      <c r="N209" s="17">
        <f t="shared" si="7"/>
        <v>58697.16</v>
      </c>
    </row>
    <row r="210" spans="1:14" x14ac:dyDescent="0.25">
      <c r="A210" s="14" t="s">
        <v>1820</v>
      </c>
      <c r="B210" s="14">
        <v>7</v>
      </c>
      <c r="C210" s="15" t="s">
        <v>1824</v>
      </c>
      <c r="D210" s="14" t="s">
        <v>1745</v>
      </c>
      <c r="E210" s="14" t="s">
        <v>1746</v>
      </c>
      <c r="F210" s="17" t="s">
        <v>2995</v>
      </c>
      <c r="G210" s="14">
        <v>33516</v>
      </c>
      <c r="H210" s="14">
        <v>30164.400000000001</v>
      </c>
      <c r="I210" s="31">
        <f>IF(COUNTIFS(Addendum!C:C,A210,Addendum!D:D,IF(ISNUMBER(B210),TEXT(B210,"0000"),B210),Addendum!E:E,"X")&gt;0,4%,0)</f>
        <v>0</v>
      </c>
      <c r="J210" s="31">
        <f>IF(COUNTIFS(Addendum!C:C,A210,Addendum!D:D,IF(ISNUMBER(B210),TEXT(B210,"0000"),B210),Addendum!F:F,"X")&gt;0,2.5%,0)</f>
        <v>0</v>
      </c>
      <c r="K210" s="31">
        <f>IF(COUNTIFS(Addendum!C:C,A210,Addendum!D:D,IF(ISNUMBER(B210),TEXT(B210,"0000"),B210),Addendum!G:G,"X")&gt;0,7%,0)</f>
        <v>0</v>
      </c>
      <c r="L210" s="31">
        <f>IF(COUNTIFS(Addendum!C:C,A210,Addendum!D:D,IF(ISNUMBER(B210),TEXT(B210,"0000"),B210),Addendum!I:I,"X")&gt;0,10%,0)</f>
        <v>0</v>
      </c>
      <c r="M210" s="34">
        <f t="shared" si="6"/>
        <v>0</v>
      </c>
      <c r="N210" s="17">
        <f t="shared" si="7"/>
        <v>30164.400000000001</v>
      </c>
    </row>
    <row r="211" spans="1:14" x14ac:dyDescent="0.25">
      <c r="A211" s="14" t="s">
        <v>1820</v>
      </c>
      <c r="B211" s="14">
        <v>7</v>
      </c>
      <c r="C211" s="15" t="s">
        <v>1824</v>
      </c>
      <c r="D211" s="14" t="s">
        <v>1745</v>
      </c>
      <c r="E211" s="14" t="s">
        <v>1747</v>
      </c>
      <c r="F211" s="17" t="s">
        <v>2995</v>
      </c>
      <c r="G211" s="14">
        <v>31920</v>
      </c>
      <c r="H211" s="14">
        <v>28728</v>
      </c>
      <c r="I211" s="31">
        <f>IF(COUNTIFS(Addendum!C:C,A211,Addendum!D:D,IF(ISNUMBER(B211),TEXT(B211,"0000"),B211),Addendum!E:E,"X")&gt;0,4%,0)</f>
        <v>0</v>
      </c>
      <c r="J211" s="31">
        <f>IF(COUNTIFS(Addendum!C:C,A211,Addendum!D:D,IF(ISNUMBER(B211),TEXT(B211,"0000"),B211),Addendum!F:F,"X")&gt;0,2.5%,0)</f>
        <v>0</v>
      </c>
      <c r="K211" s="31">
        <f>IF(COUNTIFS(Addendum!C:C,A211,Addendum!D:D,IF(ISNUMBER(B211),TEXT(B211,"0000"),B211),Addendum!G:G,"X")&gt;0,7%,0)</f>
        <v>0</v>
      </c>
      <c r="L211" s="31">
        <f>IF(COUNTIFS(Addendum!C:C,A211,Addendum!D:D,IF(ISNUMBER(B211),TEXT(B211,"0000"),B211),Addendum!I:I,"X")&gt;0,10%,0)</f>
        <v>0</v>
      </c>
      <c r="M211" s="34">
        <f t="shared" si="6"/>
        <v>0</v>
      </c>
      <c r="N211" s="17">
        <f t="shared" si="7"/>
        <v>28728</v>
      </c>
    </row>
    <row r="212" spans="1:14" x14ac:dyDescent="0.25">
      <c r="A212" s="14" t="s">
        <v>1825</v>
      </c>
      <c r="B212" s="14">
        <v>7</v>
      </c>
      <c r="C212" s="15" t="s">
        <v>1826</v>
      </c>
      <c r="D212" s="14" t="s">
        <v>1749</v>
      </c>
      <c r="E212" s="14" t="s">
        <v>1746</v>
      </c>
      <c r="F212" s="17" t="s">
        <v>2994</v>
      </c>
      <c r="G212" s="14">
        <v>402</v>
      </c>
      <c r="H212" s="14">
        <v>301.5</v>
      </c>
      <c r="I212" s="31">
        <f>IF(COUNTIFS(Addendum!C:C,A212,Addendum!D:D,IF(ISNUMBER(B212),TEXT(B212,"0000"),B212),Addendum!E:E,"X")&gt;0,4%,0)</f>
        <v>0</v>
      </c>
      <c r="J212" s="31">
        <f>IF(COUNTIFS(Addendum!C:C,A212,Addendum!D:D,IF(ISNUMBER(B212),TEXT(B212,"0000"),B212),Addendum!F:F,"X")&gt;0,2.5%,0)</f>
        <v>0</v>
      </c>
      <c r="K212" s="31">
        <f>IF(COUNTIFS(Addendum!C:C,A212,Addendum!D:D,IF(ISNUMBER(B212),TEXT(B212,"0000"),B212),Addendum!G:G,"X")&gt;0,7%,0)</f>
        <v>0</v>
      </c>
      <c r="L212" s="31">
        <f>IF(COUNTIFS(Addendum!C:C,A212,Addendum!D:D,IF(ISNUMBER(B212),TEXT(B212,"0000"),B212),Addendum!I:I,"X")&gt;0,10%,0)</f>
        <v>0</v>
      </c>
      <c r="M212" s="34">
        <f t="shared" si="6"/>
        <v>0</v>
      </c>
      <c r="N212" s="17">
        <f t="shared" si="7"/>
        <v>301.5</v>
      </c>
    </row>
    <row r="213" spans="1:14" x14ac:dyDescent="0.25">
      <c r="A213" s="14" t="s">
        <v>1825</v>
      </c>
      <c r="B213" s="14">
        <v>2</v>
      </c>
      <c r="C213" s="15" t="s">
        <v>1827</v>
      </c>
      <c r="D213" s="14" t="s">
        <v>1752</v>
      </c>
      <c r="E213" s="14" t="s">
        <v>1746</v>
      </c>
      <c r="F213" s="17" t="s">
        <v>2993</v>
      </c>
      <c r="G213" s="14">
        <v>62937</v>
      </c>
      <c r="H213" s="14">
        <v>47202.84</v>
      </c>
      <c r="I213" s="31">
        <f>IF(COUNTIFS(Addendum!C:C,A213,Addendum!D:D,IF(ISNUMBER(B213),TEXT(B213,"0000"),B213),Addendum!E:E,"X")&gt;0,4%,0)</f>
        <v>0</v>
      </c>
      <c r="J213" s="31">
        <f>IF(COUNTIFS(Addendum!C:C,A213,Addendum!D:D,IF(ISNUMBER(B213),TEXT(B213,"0000"),B213),Addendum!F:F,"X")&gt;0,2.5%,0)</f>
        <v>0</v>
      </c>
      <c r="K213" s="31">
        <f>IF(COUNTIFS(Addendum!C:C,A213,Addendum!D:D,IF(ISNUMBER(B213),TEXT(B213,"0000"),B213),Addendum!G:G,"X")&gt;0,7%,0)</f>
        <v>0</v>
      </c>
      <c r="L213" s="31">
        <f>IF(COUNTIFS(Addendum!C:C,A213,Addendum!D:D,IF(ISNUMBER(B213),TEXT(B213,"0000"),B213),Addendum!I:I,"X")&gt;0,10%,0)</f>
        <v>0</v>
      </c>
      <c r="M213" s="34">
        <f t="shared" si="6"/>
        <v>0</v>
      </c>
      <c r="N213" s="17">
        <f t="shared" si="7"/>
        <v>47202.84</v>
      </c>
    </row>
    <row r="214" spans="1:14" x14ac:dyDescent="0.25">
      <c r="A214" s="14" t="s">
        <v>1825</v>
      </c>
      <c r="B214" s="14">
        <v>5</v>
      </c>
      <c r="C214" s="15" t="s">
        <v>1828</v>
      </c>
      <c r="D214" s="14" t="s">
        <v>1749</v>
      </c>
      <c r="E214" s="14" t="s">
        <v>1746</v>
      </c>
      <c r="F214" s="17" t="s">
        <v>2995</v>
      </c>
      <c r="G214" s="14">
        <v>798</v>
      </c>
      <c r="H214" s="14">
        <v>718.2</v>
      </c>
      <c r="I214" s="31">
        <f>IF(COUNTIFS(Addendum!C:C,A214,Addendum!D:D,IF(ISNUMBER(B214),TEXT(B214,"0000"),B214),Addendum!E:E,"X")&gt;0,4%,0)</f>
        <v>0</v>
      </c>
      <c r="J214" s="31">
        <f>IF(COUNTIFS(Addendum!C:C,A214,Addendum!D:D,IF(ISNUMBER(B214),TEXT(B214,"0000"),B214),Addendum!F:F,"X")&gt;0,2.5%,0)</f>
        <v>0</v>
      </c>
      <c r="K214" s="31">
        <f>IF(COUNTIFS(Addendum!C:C,A214,Addendum!D:D,IF(ISNUMBER(B214),TEXT(B214,"0000"),B214),Addendum!G:G,"X")&gt;0,7%,0)</f>
        <v>0</v>
      </c>
      <c r="L214" s="31">
        <f>IF(COUNTIFS(Addendum!C:C,A214,Addendum!D:D,IF(ISNUMBER(B214),TEXT(B214,"0000"),B214),Addendum!I:I,"X")&gt;0,10%,0)</f>
        <v>0</v>
      </c>
      <c r="M214" s="34">
        <f t="shared" si="6"/>
        <v>0</v>
      </c>
      <c r="N214" s="17">
        <f t="shared" si="7"/>
        <v>718.2</v>
      </c>
    </row>
    <row r="215" spans="1:14" x14ac:dyDescent="0.25">
      <c r="A215" s="14" t="s">
        <v>1825</v>
      </c>
      <c r="B215" s="14">
        <v>5</v>
      </c>
      <c r="C215" s="15" t="s">
        <v>1828</v>
      </c>
      <c r="D215" s="14" t="s">
        <v>1745</v>
      </c>
      <c r="E215" s="14" t="s">
        <v>1747</v>
      </c>
      <c r="F215" s="17" t="s">
        <v>2995</v>
      </c>
      <c r="G215" s="14">
        <v>7980</v>
      </c>
      <c r="H215" s="14">
        <v>7182</v>
      </c>
      <c r="I215" s="31">
        <f>IF(COUNTIFS(Addendum!C:C,A215,Addendum!D:D,IF(ISNUMBER(B215),TEXT(B215,"0000"),B215),Addendum!E:E,"X")&gt;0,4%,0)</f>
        <v>0</v>
      </c>
      <c r="J215" s="31">
        <f>IF(COUNTIFS(Addendum!C:C,A215,Addendum!D:D,IF(ISNUMBER(B215),TEXT(B215,"0000"),B215),Addendum!F:F,"X")&gt;0,2.5%,0)</f>
        <v>0</v>
      </c>
      <c r="K215" s="31">
        <f>IF(COUNTIFS(Addendum!C:C,A215,Addendum!D:D,IF(ISNUMBER(B215),TEXT(B215,"0000"),B215),Addendum!G:G,"X")&gt;0,7%,0)</f>
        <v>0</v>
      </c>
      <c r="L215" s="31">
        <f>IF(COUNTIFS(Addendum!C:C,A215,Addendum!D:D,IF(ISNUMBER(B215),TEXT(B215,"0000"),B215),Addendum!I:I,"X")&gt;0,10%,0)</f>
        <v>0</v>
      </c>
      <c r="M215" s="34">
        <f t="shared" si="6"/>
        <v>0</v>
      </c>
      <c r="N215" s="17">
        <f t="shared" si="7"/>
        <v>7182</v>
      </c>
    </row>
    <row r="216" spans="1:14" x14ac:dyDescent="0.25">
      <c r="A216" s="14" t="s">
        <v>1825</v>
      </c>
      <c r="B216" s="14">
        <v>2</v>
      </c>
      <c r="C216" s="15" t="s">
        <v>1827</v>
      </c>
      <c r="D216" s="14" t="s">
        <v>1752</v>
      </c>
      <c r="E216" s="14" t="s">
        <v>1753</v>
      </c>
      <c r="F216" s="17" t="s">
        <v>2993</v>
      </c>
      <c r="G216" s="14">
        <v>59940</v>
      </c>
      <c r="H216" s="14">
        <v>44955</v>
      </c>
      <c r="I216" s="31">
        <f>IF(COUNTIFS(Addendum!C:C,A216,Addendum!D:D,IF(ISNUMBER(B216),TEXT(B216,"0000"),B216),Addendum!E:E,"X")&gt;0,4%,0)</f>
        <v>0</v>
      </c>
      <c r="J216" s="31">
        <f>IF(COUNTIFS(Addendum!C:C,A216,Addendum!D:D,IF(ISNUMBER(B216),TEXT(B216,"0000"),B216),Addendum!F:F,"X")&gt;0,2.5%,0)</f>
        <v>0</v>
      </c>
      <c r="K216" s="31">
        <f>IF(COUNTIFS(Addendum!C:C,A216,Addendum!D:D,IF(ISNUMBER(B216),TEXT(B216,"0000"),B216),Addendum!G:G,"X")&gt;0,7%,0)</f>
        <v>0</v>
      </c>
      <c r="L216" s="31">
        <f>IF(COUNTIFS(Addendum!C:C,A216,Addendum!D:D,IF(ISNUMBER(B216),TEXT(B216,"0000"),B216),Addendum!I:I,"X")&gt;0,10%,0)</f>
        <v>0</v>
      </c>
      <c r="M216" s="34">
        <f t="shared" si="6"/>
        <v>0</v>
      </c>
      <c r="N216" s="17">
        <f t="shared" si="7"/>
        <v>44955</v>
      </c>
    </row>
    <row r="217" spans="1:14" x14ac:dyDescent="0.25">
      <c r="A217" s="14" t="s">
        <v>1825</v>
      </c>
      <c r="B217" s="14">
        <v>5</v>
      </c>
      <c r="C217" s="15" t="s">
        <v>1828</v>
      </c>
      <c r="D217" s="14" t="s">
        <v>1745</v>
      </c>
      <c r="E217" s="14" t="s">
        <v>1746</v>
      </c>
      <c r="F217" s="17" t="s">
        <v>2995</v>
      </c>
      <c r="G217" s="14">
        <v>8379</v>
      </c>
      <c r="H217" s="14">
        <v>7541.16</v>
      </c>
      <c r="I217" s="31">
        <f>IF(COUNTIFS(Addendum!C:C,A217,Addendum!D:D,IF(ISNUMBER(B217),TEXT(B217,"0000"),B217),Addendum!E:E,"X")&gt;0,4%,0)</f>
        <v>0</v>
      </c>
      <c r="J217" s="31">
        <f>IF(COUNTIFS(Addendum!C:C,A217,Addendum!D:D,IF(ISNUMBER(B217),TEXT(B217,"0000"),B217),Addendum!F:F,"X")&gt;0,2.5%,0)</f>
        <v>0</v>
      </c>
      <c r="K217" s="31">
        <f>IF(COUNTIFS(Addendum!C:C,A217,Addendum!D:D,IF(ISNUMBER(B217),TEXT(B217,"0000"),B217),Addendum!G:G,"X")&gt;0,7%,0)</f>
        <v>0</v>
      </c>
      <c r="L217" s="31">
        <f>IF(COUNTIFS(Addendum!C:C,A217,Addendum!D:D,IF(ISNUMBER(B217),TEXT(B217,"0000"),B217),Addendum!I:I,"X")&gt;0,10%,0)</f>
        <v>0</v>
      </c>
      <c r="M217" s="34">
        <f t="shared" si="6"/>
        <v>0</v>
      </c>
      <c r="N217" s="17">
        <f t="shared" si="7"/>
        <v>7541.16</v>
      </c>
    </row>
    <row r="218" spans="1:14" x14ac:dyDescent="0.25">
      <c r="A218" s="14" t="s">
        <v>1825</v>
      </c>
      <c r="B218" s="14">
        <v>2</v>
      </c>
      <c r="C218" s="15" t="s">
        <v>1827</v>
      </c>
      <c r="D218" s="14" t="s">
        <v>1752</v>
      </c>
      <c r="E218" s="14" t="s">
        <v>1747</v>
      </c>
      <c r="F218" s="17" t="s">
        <v>2993</v>
      </c>
      <c r="G218" s="14">
        <v>59940</v>
      </c>
      <c r="H218" s="14">
        <v>44955</v>
      </c>
      <c r="I218" s="31">
        <f>IF(COUNTIFS(Addendum!C:C,A218,Addendum!D:D,IF(ISNUMBER(B218),TEXT(B218,"0000"),B218),Addendum!E:E,"X")&gt;0,4%,0)</f>
        <v>0</v>
      </c>
      <c r="J218" s="31">
        <f>IF(COUNTIFS(Addendum!C:C,A218,Addendum!D:D,IF(ISNUMBER(B218),TEXT(B218,"0000"),B218),Addendum!F:F,"X")&gt;0,2.5%,0)</f>
        <v>0</v>
      </c>
      <c r="K218" s="31">
        <f>IF(COUNTIFS(Addendum!C:C,A218,Addendum!D:D,IF(ISNUMBER(B218),TEXT(B218,"0000"),B218),Addendum!G:G,"X")&gt;0,7%,0)</f>
        <v>0</v>
      </c>
      <c r="L218" s="31">
        <f>IF(COUNTIFS(Addendum!C:C,A218,Addendum!D:D,IF(ISNUMBER(B218),TEXT(B218,"0000"),B218),Addendum!I:I,"X")&gt;0,10%,0)</f>
        <v>0</v>
      </c>
      <c r="M218" s="34">
        <f t="shared" si="6"/>
        <v>0</v>
      </c>
      <c r="N218" s="17">
        <f t="shared" si="7"/>
        <v>44955</v>
      </c>
    </row>
    <row r="219" spans="1:14" x14ac:dyDescent="0.25">
      <c r="A219" s="14" t="s">
        <v>1825</v>
      </c>
      <c r="B219" s="14">
        <v>7</v>
      </c>
      <c r="C219" s="15" t="s">
        <v>1826</v>
      </c>
      <c r="D219" s="14" t="s">
        <v>1745</v>
      </c>
      <c r="E219" s="14" t="s">
        <v>1746</v>
      </c>
      <c r="F219" s="17" t="s">
        <v>2994</v>
      </c>
      <c r="G219" s="14">
        <v>4221</v>
      </c>
      <c r="H219" s="14">
        <v>3165.72</v>
      </c>
      <c r="I219" s="31">
        <f>IF(COUNTIFS(Addendum!C:C,A219,Addendum!D:D,IF(ISNUMBER(B219),TEXT(B219,"0000"),B219),Addendum!E:E,"X")&gt;0,4%,0)</f>
        <v>0</v>
      </c>
      <c r="J219" s="31">
        <f>IF(COUNTIFS(Addendum!C:C,A219,Addendum!D:D,IF(ISNUMBER(B219),TEXT(B219,"0000"),B219),Addendum!F:F,"X")&gt;0,2.5%,0)</f>
        <v>0</v>
      </c>
      <c r="K219" s="31">
        <f>IF(COUNTIFS(Addendum!C:C,A219,Addendum!D:D,IF(ISNUMBER(B219),TEXT(B219,"0000"),B219),Addendum!G:G,"X")&gt;0,7%,0)</f>
        <v>0</v>
      </c>
      <c r="L219" s="31">
        <f>IF(COUNTIFS(Addendum!C:C,A219,Addendum!D:D,IF(ISNUMBER(B219),TEXT(B219,"0000"),B219),Addendum!I:I,"X")&gt;0,10%,0)</f>
        <v>0</v>
      </c>
      <c r="M219" s="34">
        <f t="shared" si="6"/>
        <v>0</v>
      </c>
      <c r="N219" s="17">
        <f t="shared" si="7"/>
        <v>3165.72</v>
      </c>
    </row>
    <row r="220" spans="1:14" x14ac:dyDescent="0.25">
      <c r="A220" s="14" t="s">
        <v>1825</v>
      </c>
      <c r="B220" s="14">
        <v>7</v>
      </c>
      <c r="C220" s="15" t="s">
        <v>1826</v>
      </c>
      <c r="D220" s="14" t="s">
        <v>1745</v>
      </c>
      <c r="E220" s="14" t="s">
        <v>1747</v>
      </c>
      <c r="F220" s="17" t="s">
        <v>2994</v>
      </c>
      <c r="G220" s="14">
        <v>4020</v>
      </c>
      <c r="H220" s="14">
        <v>3015</v>
      </c>
      <c r="I220" s="31">
        <f>IF(COUNTIFS(Addendum!C:C,A220,Addendum!D:D,IF(ISNUMBER(B220),TEXT(B220,"0000"),B220),Addendum!E:E,"X")&gt;0,4%,0)</f>
        <v>0</v>
      </c>
      <c r="J220" s="31">
        <f>IF(COUNTIFS(Addendum!C:C,A220,Addendum!D:D,IF(ISNUMBER(B220),TEXT(B220,"0000"),B220),Addendum!F:F,"X")&gt;0,2.5%,0)</f>
        <v>0</v>
      </c>
      <c r="K220" s="31">
        <f>IF(COUNTIFS(Addendum!C:C,A220,Addendum!D:D,IF(ISNUMBER(B220),TEXT(B220,"0000"),B220),Addendum!G:G,"X")&gt;0,7%,0)</f>
        <v>0</v>
      </c>
      <c r="L220" s="31">
        <f>IF(COUNTIFS(Addendum!C:C,A220,Addendum!D:D,IF(ISNUMBER(B220),TEXT(B220,"0000"),B220),Addendum!I:I,"X")&gt;0,10%,0)</f>
        <v>0</v>
      </c>
      <c r="M220" s="34">
        <f t="shared" si="6"/>
        <v>0</v>
      </c>
      <c r="N220" s="17">
        <f t="shared" si="7"/>
        <v>3015</v>
      </c>
    </row>
    <row r="221" spans="1:14" x14ac:dyDescent="0.25">
      <c r="A221" s="14" t="s">
        <v>1825</v>
      </c>
      <c r="B221" s="14">
        <v>6</v>
      </c>
      <c r="C221" s="15" t="s">
        <v>1829</v>
      </c>
      <c r="D221" s="14" t="s">
        <v>1745</v>
      </c>
      <c r="E221" s="14" t="s">
        <v>1746</v>
      </c>
      <c r="F221" s="17" t="s">
        <v>2994</v>
      </c>
      <c r="G221" s="14">
        <v>3150</v>
      </c>
      <c r="H221" s="14">
        <v>2362.56</v>
      </c>
      <c r="I221" s="31">
        <f>IF(COUNTIFS(Addendum!C:C,A221,Addendum!D:D,IF(ISNUMBER(B221),TEXT(B221,"0000"),B221),Addendum!E:E,"X")&gt;0,4%,0)</f>
        <v>0</v>
      </c>
      <c r="J221" s="31">
        <f>IF(COUNTIFS(Addendum!C:C,A221,Addendum!D:D,IF(ISNUMBER(B221),TEXT(B221,"0000"),B221),Addendum!F:F,"X")&gt;0,2.5%,0)</f>
        <v>0</v>
      </c>
      <c r="K221" s="31">
        <f>IF(COUNTIFS(Addendum!C:C,A221,Addendum!D:D,IF(ISNUMBER(B221),TEXT(B221,"0000"),B221),Addendum!G:G,"X")&gt;0,7%,0)</f>
        <v>0</v>
      </c>
      <c r="L221" s="31">
        <f>IF(COUNTIFS(Addendum!C:C,A221,Addendum!D:D,IF(ISNUMBER(B221),TEXT(B221,"0000"),B221),Addendum!I:I,"X")&gt;0,10%,0)</f>
        <v>0</v>
      </c>
      <c r="M221" s="34">
        <f t="shared" si="6"/>
        <v>0</v>
      </c>
      <c r="N221" s="17">
        <f t="shared" si="7"/>
        <v>2362.56</v>
      </c>
    </row>
    <row r="222" spans="1:14" x14ac:dyDescent="0.25">
      <c r="A222" s="14" t="s">
        <v>1825</v>
      </c>
      <c r="B222" s="14">
        <v>6</v>
      </c>
      <c r="C222" s="15" t="s">
        <v>1829</v>
      </c>
      <c r="D222" s="14" t="s">
        <v>1749</v>
      </c>
      <c r="E222" s="14" t="s">
        <v>1746</v>
      </c>
      <c r="F222" s="17" t="s">
        <v>2994</v>
      </c>
      <c r="G222" s="14">
        <v>300</v>
      </c>
      <c r="H222" s="14">
        <v>225</v>
      </c>
      <c r="I222" s="31">
        <f>IF(COUNTIFS(Addendum!C:C,A222,Addendum!D:D,IF(ISNUMBER(B222),TEXT(B222,"0000"),B222),Addendum!E:E,"X")&gt;0,4%,0)</f>
        <v>0</v>
      </c>
      <c r="J222" s="31">
        <f>IF(COUNTIFS(Addendum!C:C,A222,Addendum!D:D,IF(ISNUMBER(B222),TEXT(B222,"0000"),B222),Addendum!F:F,"X")&gt;0,2.5%,0)</f>
        <v>0</v>
      </c>
      <c r="K222" s="31">
        <f>IF(COUNTIFS(Addendum!C:C,A222,Addendum!D:D,IF(ISNUMBER(B222),TEXT(B222,"0000"),B222),Addendum!G:G,"X")&gt;0,7%,0)</f>
        <v>0</v>
      </c>
      <c r="L222" s="31">
        <f>IF(COUNTIFS(Addendum!C:C,A222,Addendum!D:D,IF(ISNUMBER(B222),TEXT(B222,"0000"),B222),Addendum!I:I,"X")&gt;0,10%,0)</f>
        <v>0</v>
      </c>
      <c r="M222" s="34">
        <f t="shared" si="6"/>
        <v>0</v>
      </c>
      <c r="N222" s="17">
        <f t="shared" si="7"/>
        <v>225</v>
      </c>
    </row>
    <row r="223" spans="1:14" x14ac:dyDescent="0.25">
      <c r="A223" s="14" t="s">
        <v>1825</v>
      </c>
      <c r="B223" s="14">
        <v>2</v>
      </c>
      <c r="C223" s="15" t="s">
        <v>1827</v>
      </c>
      <c r="D223" s="14" t="s">
        <v>1745</v>
      </c>
      <c r="E223" s="14" t="s">
        <v>1746</v>
      </c>
      <c r="F223" s="17" t="s">
        <v>2993</v>
      </c>
      <c r="G223" s="14">
        <v>20979</v>
      </c>
      <c r="H223" s="14">
        <v>15734.28</v>
      </c>
      <c r="I223" s="31">
        <f>IF(COUNTIFS(Addendum!C:C,A223,Addendum!D:D,IF(ISNUMBER(B223),TEXT(B223,"0000"),B223),Addendum!E:E,"X")&gt;0,4%,0)</f>
        <v>0</v>
      </c>
      <c r="J223" s="31">
        <f>IF(COUNTIFS(Addendum!C:C,A223,Addendum!D:D,IF(ISNUMBER(B223),TEXT(B223,"0000"),B223),Addendum!F:F,"X")&gt;0,2.5%,0)</f>
        <v>0</v>
      </c>
      <c r="K223" s="31">
        <f>IF(COUNTIFS(Addendum!C:C,A223,Addendum!D:D,IF(ISNUMBER(B223),TEXT(B223,"0000"),B223),Addendum!G:G,"X")&gt;0,7%,0)</f>
        <v>0</v>
      </c>
      <c r="L223" s="31">
        <f>IF(COUNTIFS(Addendum!C:C,A223,Addendum!D:D,IF(ISNUMBER(B223),TEXT(B223,"0000"),B223),Addendum!I:I,"X")&gt;0,10%,0)</f>
        <v>0</v>
      </c>
      <c r="M223" s="34">
        <f t="shared" si="6"/>
        <v>0</v>
      </c>
      <c r="N223" s="17">
        <f t="shared" si="7"/>
        <v>15734.28</v>
      </c>
    </row>
    <row r="224" spans="1:14" x14ac:dyDescent="0.25">
      <c r="A224" s="14" t="s">
        <v>1825</v>
      </c>
      <c r="B224" s="14">
        <v>2</v>
      </c>
      <c r="C224" s="15" t="s">
        <v>1827</v>
      </c>
      <c r="D224" s="14" t="s">
        <v>1745</v>
      </c>
      <c r="E224" s="14" t="s">
        <v>1747</v>
      </c>
      <c r="F224" s="17" t="s">
        <v>2993</v>
      </c>
      <c r="G224" s="14">
        <v>19980</v>
      </c>
      <c r="H224" s="14">
        <v>14985</v>
      </c>
      <c r="I224" s="31">
        <f>IF(COUNTIFS(Addendum!C:C,A224,Addendum!D:D,IF(ISNUMBER(B224),TEXT(B224,"0000"),B224),Addendum!E:E,"X")&gt;0,4%,0)</f>
        <v>0</v>
      </c>
      <c r="J224" s="31">
        <f>IF(COUNTIFS(Addendum!C:C,A224,Addendum!D:D,IF(ISNUMBER(B224),TEXT(B224,"0000"),B224),Addendum!F:F,"X")&gt;0,2.5%,0)</f>
        <v>0</v>
      </c>
      <c r="K224" s="31">
        <f>IF(COUNTIFS(Addendum!C:C,A224,Addendum!D:D,IF(ISNUMBER(B224),TEXT(B224,"0000"),B224),Addendum!G:G,"X")&gt;0,7%,0)</f>
        <v>0</v>
      </c>
      <c r="L224" s="31">
        <f>IF(COUNTIFS(Addendum!C:C,A224,Addendum!D:D,IF(ISNUMBER(B224),TEXT(B224,"0000"),B224),Addendum!I:I,"X")&gt;0,10%,0)</f>
        <v>0</v>
      </c>
      <c r="M224" s="34">
        <f t="shared" si="6"/>
        <v>0</v>
      </c>
      <c r="N224" s="17">
        <f t="shared" si="7"/>
        <v>14985</v>
      </c>
    </row>
    <row r="225" spans="1:14" x14ac:dyDescent="0.25">
      <c r="A225" s="14" t="s">
        <v>1825</v>
      </c>
      <c r="B225" s="14">
        <v>2</v>
      </c>
      <c r="C225" s="15" t="s">
        <v>1827</v>
      </c>
      <c r="D225" s="14" t="s">
        <v>1749</v>
      </c>
      <c r="E225" s="14" t="s">
        <v>1746</v>
      </c>
      <c r="F225" s="17" t="s">
        <v>2993</v>
      </c>
      <c r="G225" s="14">
        <v>1998</v>
      </c>
      <c r="H225" s="14">
        <v>1498.5</v>
      </c>
      <c r="I225" s="31">
        <f>IF(COUNTIFS(Addendum!C:C,A225,Addendum!D:D,IF(ISNUMBER(B225),TEXT(B225,"0000"),B225),Addendum!E:E,"X")&gt;0,4%,0)</f>
        <v>0</v>
      </c>
      <c r="J225" s="31">
        <f>IF(COUNTIFS(Addendum!C:C,A225,Addendum!D:D,IF(ISNUMBER(B225),TEXT(B225,"0000"),B225),Addendum!F:F,"X")&gt;0,2.5%,0)</f>
        <v>0</v>
      </c>
      <c r="K225" s="31">
        <f>IF(COUNTIFS(Addendum!C:C,A225,Addendum!D:D,IF(ISNUMBER(B225),TEXT(B225,"0000"),B225),Addendum!G:G,"X")&gt;0,7%,0)</f>
        <v>0</v>
      </c>
      <c r="L225" s="31">
        <f>IF(COUNTIFS(Addendum!C:C,A225,Addendum!D:D,IF(ISNUMBER(B225),TEXT(B225,"0000"),B225),Addendum!I:I,"X")&gt;0,10%,0)</f>
        <v>0</v>
      </c>
      <c r="M225" s="34">
        <f t="shared" si="6"/>
        <v>0</v>
      </c>
      <c r="N225" s="17">
        <f t="shared" si="7"/>
        <v>1498.5</v>
      </c>
    </row>
    <row r="226" spans="1:14" x14ac:dyDescent="0.25">
      <c r="A226" s="14" t="s">
        <v>1825</v>
      </c>
      <c r="B226" s="14">
        <v>6</v>
      </c>
      <c r="C226" s="15" t="s">
        <v>1829</v>
      </c>
      <c r="D226" s="14" t="s">
        <v>1745</v>
      </c>
      <c r="E226" s="14" t="s">
        <v>1747</v>
      </c>
      <c r="F226" s="17" t="s">
        <v>2994</v>
      </c>
      <c r="G226" s="14">
        <v>3000</v>
      </c>
      <c r="H226" s="14">
        <v>2250</v>
      </c>
      <c r="I226" s="31">
        <f>IF(COUNTIFS(Addendum!C:C,A226,Addendum!D:D,IF(ISNUMBER(B226),TEXT(B226,"0000"),B226),Addendum!E:E,"X")&gt;0,4%,0)</f>
        <v>0</v>
      </c>
      <c r="J226" s="31">
        <f>IF(COUNTIFS(Addendum!C:C,A226,Addendum!D:D,IF(ISNUMBER(B226),TEXT(B226,"0000"),B226),Addendum!F:F,"X")&gt;0,2.5%,0)</f>
        <v>0</v>
      </c>
      <c r="K226" s="31">
        <f>IF(COUNTIFS(Addendum!C:C,A226,Addendum!D:D,IF(ISNUMBER(B226),TEXT(B226,"0000"),B226),Addendum!G:G,"X")&gt;0,7%,0)</f>
        <v>0</v>
      </c>
      <c r="L226" s="31">
        <f>IF(COUNTIFS(Addendum!C:C,A226,Addendum!D:D,IF(ISNUMBER(B226),TEXT(B226,"0000"),B226),Addendum!I:I,"X")&gt;0,10%,0)</f>
        <v>0</v>
      </c>
      <c r="M226" s="34">
        <f t="shared" si="6"/>
        <v>0</v>
      </c>
      <c r="N226" s="17">
        <f t="shared" si="7"/>
        <v>2250</v>
      </c>
    </row>
    <row r="227" spans="1:14" x14ac:dyDescent="0.25">
      <c r="A227" s="14" t="s">
        <v>1830</v>
      </c>
      <c r="B227" s="14">
        <v>5</v>
      </c>
      <c r="C227" s="15" t="s">
        <v>1831</v>
      </c>
      <c r="D227" s="14" t="s">
        <v>1745</v>
      </c>
      <c r="E227" s="14" t="s">
        <v>1747</v>
      </c>
      <c r="F227" s="17" t="s">
        <v>2994</v>
      </c>
      <c r="G227" s="14">
        <v>0</v>
      </c>
      <c r="H227" s="14">
        <v>0</v>
      </c>
      <c r="I227" s="31">
        <f>IF(COUNTIFS(Addendum!C:C,A227,Addendum!D:D,IF(ISNUMBER(B227),TEXT(B227,"0000"),B227),Addendum!E:E,"X")&gt;0,4%,0)</f>
        <v>0</v>
      </c>
      <c r="J227" s="31">
        <f>IF(COUNTIFS(Addendum!C:C,A227,Addendum!D:D,IF(ISNUMBER(B227),TEXT(B227,"0000"),B227),Addendum!F:F,"X")&gt;0,2.5%,0)</f>
        <v>0</v>
      </c>
      <c r="K227" s="31">
        <f>IF(COUNTIFS(Addendum!C:C,A227,Addendum!D:D,IF(ISNUMBER(B227),TEXT(B227,"0000"),B227),Addendum!G:G,"X")&gt;0,7%,0)</f>
        <v>0</v>
      </c>
      <c r="L227" s="31">
        <f>IF(COUNTIFS(Addendum!C:C,A227,Addendum!D:D,IF(ISNUMBER(B227),TEXT(B227,"0000"),B227),Addendum!I:I,"X")&gt;0,10%,0)</f>
        <v>0</v>
      </c>
      <c r="M227" s="34">
        <f t="shared" si="6"/>
        <v>0</v>
      </c>
      <c r="N227" s="17">
        <f t="shared" si="7"/>
        <v>0</v>
      </c>
    </row>
    <row r="228" spans="1:14" x14ac:dyDescent="0.25">
      <c r="A228" s="14" t="s">
        <v>1830</v>
      </c>
      <c r="B228" s="14">
        <v>1</v>
      </c>
      <c r="C228" s="15" t="s">
        <v>1832</v>
      </c>
      <c r="D228" s="14" t="s">
        <v>1749</v>
      </c>
      <c r="E228" s="14" t="s">
        <v>1746</v>
      </c>
      <c r="F228" s="17" t="s">
        <v>2993</v>
      </c>
      <c r="G228" s="14">
        <v>0</v>
      </c>
      <c r="H228" s="14">
        <v>0</v>
      </c>
      <c r="I228" s="31">
        <f>IF(COUNTIFS(Addendum!C:C,A228,Addendum!D:D,IF(ISNUMBER(B228),TEXT(B228,"0000"),B228),Addendum!E:E,"X")&gt;0,4%,0)</f>
        <v>0</v>
      </c>
      <c r="J228" s="31">
        <f>IF(COUNTIFS(Addendum!C:C,A228,Addendum!D:D,IF(ISNUMBER(B228),TEXT(B228,"0000"),B228),Addendum!F:F,"X")&gt;0,2.5%,0)</f>
        <v>0</v>
      </c>
      <c r="K228" s="31">
        <f>IF(COUNTIFS(Addendum!C:C,A228,Addendum!D:D,IF(ISNUMBER(B228),TEXT(B228,"0000"),B228),Addendum!G:G,"X")&gt;0,7%,0)</f>
        <v>0</v>
      </c>
      <c r="L228" s="31">
        <f>IF(COUNTIFS(Addendum!C:C,A228,Addendum!D:D,IF(ISNUMBER(B228),TEXT(B228,"0000"),B228),Addendum!I:I,"X")&gt;0,10%,0)</f>
        <v>0</v>
      </c>
      <c r="M228" s="34">
        <f t="shared" si="6"/>
        <v>0</v>
      </c>
      <c r="N228" s="17">
        <f t="shared" si="7"/>
        <v>0</v>
      </c>
    </row>
    <row r="229" spans="1:14" x14ac:dyDescent="0.25">
      <c r="A229" s="14" t="s">
        <v>1830</v>
      </c>
      <c r="B229" s="14">
        <v>4</v>
      </c>
      <c r="C229" s="15" t="s">
        <v>1833</v>
      </c>
      <c r="D229" s="14" t="s">
        <v>1749</v>
      </c>
      <c r="E229" s="14" t="s">
        <v>1746</v>
      </c>
      <c r="F229" s="17" t="s">
        <v>2995</v>
      </c>
      <c r="G229" s="14">
        <v>0</v>
      </c>
      <c r="H229" s="14">
        <v>0</v>
      </c>
      <c r="I229" s="31">
        <f>IF(COUNTIFS(Addendum!C:C,A229,Addendum!D:D,IF(ISNUMBER(B229),TEXT(B229,"0000"),B229),Addendum!E:E,"X")&gt;0,4%,0)</f>
        <v>0</v>
      </c>
      <c r="J229" s="31">
        <f>IF(COUNTIFS(Addendum!C:C,A229,Addendum!D:D,IF(ISNUMBER(B229),TEXT(B229,"0000"),B229),Addendum!F:F,"X")&gt;0,2.5%,0)</f>
        <v>0</v>
      </c>
      <c r="K229" s="31">
        <f>IF(COUNTIFS(Addendum!C:C,A229,Addendum!D:D,IF(ISNUMBER(B229),TEXT(B229,"0000"),B229),Addendum!G:G,"X")&gt;0,7%,0)</f>
        <v>0</v>
      </c>
      <c r="L229" s="31">
        <f>IF(COUNTIFS(Addendum!C:C,A229,Addendum!D:D,IF(ISNUMBER(B229),TEXT(B229,"0000"),B229),Addendum!I:I,"X")&gt;0,10%,0)</f>
        <v>0</v>
      </c>
      <c r="M229" s="34">
        <f t="shared" si="6"/>
        <v>0</v>
      </c>
      <c r="N229" s="17">
        <f t="shared" si="7"/>
        <v>0</v>
      </c>
    </row>
    <row r="230" spans="1:14" x14ac:dyDescent="0.25">
      <c r="A230" s="14" t="s">
        <v>1830</v>
      </c>
      <c r="B230" s="14">
        <v>4</v>
      </c>
      <c r="C230" s="15" t="s">
        <v>1833</v>
      </c>
      <c r="D230" s="14" t="s">
        <v>1745</v>
      </c>
      <c r="E230" s="14" t="s">
        <v>1747</v>
      </c>
      <c r="F230" s="17" t="s">
        <v>2995</v>
      </c>
      <c r="G230" s="14">
        <v>0</v>
      </c>
      <c r="H230" s="14">
        <v>0</v>
      </c>
      <c r="I230" s="31">
        <f>IF(COUNTIFS(Addendum!C:C,A230,Addendum!D:D,IF(ISNUMBER(B230),TEXT(B230,"0000"),B230),Addendum!E:E,"X")&gt;0,4%,0)</f>
        <v>0</v>
      </c>
      <c r="J230" s="31">
        <f>IF(COUNTIFS(Addendum!C:C,A230,Addendum!D:D,IF(ISNUMBER(B230),TEXT(B230,"0000"),B230),Addendum!F:F,"X")&gt;0,2.5%,0)</f>
        <v>0</v>
      </c>
      <c r="K230" s="31">
        <f>IF(COUNTIFS(Addendum!C:C,A230,Addendum!D:D,IF(ISNUMBER(B230),TEXT(B230,"0000"),B230),Addendum!G:G,"X")&gt;0,7%,0)</f>
        <v>0</v>
      </c>
      <c r="L230" s="31">
        <f>IF(COUNTIFS(Addendum!C:C,A230,Addendum!D:D,IF(ISNUMBER(B230),TEXT(B230,"0000"),B230),Addendum!I:I,"X")&gt;0,10%,0)</f>
        <v>0</v>
      </c>
      <c r="M230" s="34">
        <f t="shared" si="6"/>
        <v>0</v>
      </c>
      <c r="N230" s="17">
        <f t="shared" si="7"/>
        <v>0</v>
      </c>
    </row>
    <row r="231" spans="1:14" x14ac:dyDescent="0.25">
      <c r="A231" s="14" t="s">
        <v>1830</v>
      </c>
      <c r="B231" s="14">
        <v>5</v>
      </c>
      <c r="C231" s="15" t="s">
        <v>1831</v>
      </c>
      <c r="D231" s="14" t="s">
        <v>1749</v>
      </c>
      <c r="E231" s="14" t="s">
        <v>1746</v>
      </c>
      <c r="F231" s="17" t="s">
        <v>2994</v>
      </c>
      <c r="G231" s="14">
        <v>0</v>
      </c>
      <c r="H231" s="14">
        <v>0</v>
      </c>
      <c r="I231" s="31">
        <f>IF(COUNTIFS(Addendum!C:C,A231,Addendum!D:D,IF(ISNUMBER(B231),TEXT(B231,"0000"),B231),Addendum!E:E,"X")&gt;0,4%,0)</f>
        <v>0</v>
      </c>
      <c r="J231" s="31">
        <f>IF(COUNTIFS(Addendum!C:C,A231,Addendum!D:D,IF(ISNUMBER(B231),TEXT(B231,"0000"),B231),Addendum!F:F,"X")&gt;0,2.5%,0)</f>
        <v>0</v>
      </c>
      <c r="K231" s="31">
        <f>IF(COUNTIFS(Addendum!C:C,A231,Addendum!D:D,IF(ISNUMBER(B231),TEXT(B231,"0000"),B231),Addendum!G:G,"X")&gt;0,7%,0)</f>
        <v>0</v>
      </c>
      <c r="L231" s="31">
        <f>IF(COUNTIFS(Addendum!C:C,A231,Addendum!D:D,IF(ISNUMBER(B231),TEXT(B231,"0000"),B231),Addendum!I:I,"X")&gt;0,10%,0)</f>
        <v>0</v>
      </c>
      <c r="M231" s="34">
        <f t="shared" si="6"/>
        <v>0</v>
      </c>
      <c r="N231" s="17">
        <f t="shared" si="7"/>
        <v>0</v>
      </c>
    </row>
    <row r="232" spans="1:14" x14ac:dyDescent="0.25">
      <c r="A232" s="14" t="s">
        <v>1830</v>
      </c>
      <c r="B232" s="14">
        <v>3</v>
      </c>
      <c r="C232" s="15" t="s">
        <v>1834</v>
      </c>
      <c r="D232" s="14" t="s">
        <v>1745</v>
      </c>
      <c r="E232" s="14" t="s">
        <v>1746</v>
      </c>
      <c r="F232" s="17" t="s">
        <v>2994</v>
      </c>
      <c r="G232" s="14">
        <v>0</v>
      </c>
      <c r="H232" s="14">
        <v>0</v>
      </c>
      <c r="I232" s="31">
        <f>IF(COUNTIFS(Addendum!C:C,A232,Addendum!D:D,IF(ISNUMBER(B232),TEXT(B232,"0000"),B232),Addendum!E:E,"X")&gt;0,4%,0)</f>
        <v>0</v>
      </c>
      <c r="J232" s="31">
        <f>IF(COUNTIFS(Addendum!C:C,A232,Addendum!D:D,IF(ISNUMBER(B232),TEXT(B232,"0000"),B232),Addendum!F:F,"X")&gt;0,2.5%,0)</f>
        <v>0</v>
      </c>
      <c r="K232" s="31">
        <f>IF(COUNTIFS(Addendum!C:C,A232,Addendum!D:D,IF(ISNUMBER(B232),TEXT(B232,"0000"),B232),Addendum!G:G,"X")&gt;0,7%,0)</f>
        <v>0</v>
      </c>
      <c r="L232" s="31">
        <f>IF(COUNTIFS(Addendum!C:C,A232,Addendum!D:D,IF(ISNUMBER(B232),TEXT(B232,"0000"),B232),Addendum!I:I,"X")&gt;0,10%,0)</f>
        <v>0</v>
      </c>
      <c r="M232" s="34">
        <f t="shared" si="6"/>
        <v>0</v>
      </c>
      <c r="N232" s="17">
        <f t="shared" si="7"/>
        <v>0</v>
      </c>
    </row>
    <row r="233" spans="1:14" x14ac:dyDescent="0.25">
      <c r="A233" s="14" t="s">
        <v>1830</v>
      </c>
      <c r="B233" s="14">
        <v>3</v>
      </c>
      <c r="C233" s="15" t="s">
        <v>1834</v>
      </c>
      <c r="D233" s="14" t="s">
        <v>1745</v>
      </c>
      <c r="E233" s="14" t="s">
        <v>1747</v>
      </c>
      <c r="F233" s="17" t="s">
        <v>2994</v>
      </c>
      <c r="G233" s="14">
        <v>0</v>
      </c>
      <c r="H233" s="14">
        <v>0</v>
      </c>
      <c r="I233" s="31">
        <f>IF(COUNTIFS(Addendum!C:C,A233,Addendum!D:D,IF(ISNUMBER(B233),TEXT(B233,"0000"),B233),Addendum!E:E,"X")&gt;0,4%,0)</f>
        <v>0</v>
      </c>
      <c r="J233" s="31">
        <f>IF(COUNTIFS(Addendum!C:C,A233,Addendum!D:D,IF(ISNUMBER(B233),TEXT(B233,"0000"),B233),Addendum!F:F,"X")&gt;0,2.5%,0)</f>
        <v>0</v>
      </c>
      <c r="K233" s="31">
        <f>IF(COUNTIFS(Addendum!C:C,A233,Addendum!D:D,IF(ISNUMBER(B233),TEXT(B233,"0000"),B233),Addendum!G:G,"X")&gt;0,7%,0)</f>
        <v>0</v>
      </c>
      <c r="L233" s="31">
        <f>IF(COUNTIFS(Addendum!C:C,A233,Addendum!D:D,IF(ISNUMBER(B233),TEXT(B233,"0000"),B233),Addendum!I:I,"X")&gt;0,10%,0)</f>
        <v>0</v>
      </c>
      <c r="M233" s="34">
        <f t="shared" si="6"/>
        <v>0</v>
      </c>
      <c r="N233" s="17">
        <f t="shared" si="7"/>
        <v>0</v>
      </c>
    </row>
    <row r="234" spans="1:14" x14ac:dyDescent="0.25">
      <c r="A234" s="14" t="s">
        <v>1830</v>
      </c>
      <c r="B234" s="14">
        <v>3</v>
      </c>
      <c r="C234" s="15" t="s">
        <v>1834</v>
      </c>
      <c r="D234" s="14" t="s">
        <v>1749</v>
      </c>
      <c r="E234" s="14" t="s">
        <v>1746</v>
      </c>
      <c r="F234" s="17" t="s">
        <v>2994</v>
      </c>
      <c r="G234" s="14">
        <v>0</v>
      </c>
      <c r="H234" s="14">
        <v>0</v>
      </c>
      <c r="I234" s="31">
        <f>IF(COUNTIFS(Addendum!C:C,A234,Addendum!D:D,IF(ISNUMBER(B234),TEXT(B234,"0000"),B234),Addendum!E:E,"X")&gt;0,4%,0)</f>
        <v>0</v>
      </c>
      <c r="J234" s="31">
        <f>IF(COUNTIFS(Addendum!C:C,A234,Addendum!D:D,IF(ISNUMBER(B234),TEXT(B234,"0000"),B234),Addendum!F:F,"X")&gt;0,2.5%,0)</f>
        <v>0</v>
      </c>
      <c r="K234" s="31">
        <f>IF(COUNTIFS(Addendum!C:C,A234,Addendum!D:D,IF(ISNUMBER(B234),TEXT(B234,"0000"),B234),Addendum!G:G,"X")&gt;0,7%,0)</f>
        <v>0</v>
      </c>
      <c r="L234" s="31">
        <f>IF(COUNTIFS(Addendum!C:C,A234,Addendum!D:D,IF(ISNUMBER(B234),TEXT(B234,"0000"),B234),Addendum!I:I,"X")&gt;0,10%,0)</f>
        <v>0</v>
      </c>
      <c r="M234" s="34">
        <f t="shared" si="6"/>
        <v>0</v>
      </c>
      <c r="N234" s="17">
        <f t="shared" si="7"/>
        <v>0</v>
      </c>
    </row>
    <row r="235" spans="1:14" x14ac:dyDescent="0.25">
      <c r="A235" s="14" t="s">
        <v>1830</v>
      </c>
      <c r="B235" s="14">
        <v>4</v>
      </c>
      <c r="C235" s="15" t="s">
        <v>1833</v>
      </c>
      <c r="D235" s="14" t="s">
        <v>1752</v>
      </c>
      <c r="E235" s="14" t="s">
        <v>1747</v>
      </c>
      <c r="F235" s="17" t="s">
        <v>2995</v>
      </c>
      <c r="G235" s="14">
        <v>0</v>
      </c>
      <c r="H235" s="14">
        <v>0</v>
      </c>
      <c r="I235" s="31">
        <f>IF(COUNTIFS(Addendum!C:C,A235,Addendum!D:D,IF(ISNUMBER(B235),TEXT(B235,"0000"),B235),Addendum!E:E,"X")&gt;0,4%,0)</f>
        <v>0</v>
      </c>
      <c r="J235" s="31">
        <f>IF(COUNTIFS(Addendum!C:C,A235,Addendum!D:D,IF(ISNUMBER(B235),TEXT(B235,"0000"),B235),Addendum!F:F,"X")&gt;0,2.5%,0)</f>
        <v>0</v>
      </c>
      <c r="K235" s="31">
        <f>IF(COUNTIFS(Addendum!C:C,A235,Addendum!D:D,IF(ISNUMBER(B235),TEXT(B235,"0000"),B235),Addendum!G:G,"X")&gt;0,7%,0)</f>
        <v>0</v>
      </c>
      <c r="L235" s="31">
        <f>IF(COUNTIFS(Addendum!C:C,A235,Addendum!D:D,IF(ISNUMBER(B235),TEXT(B235,"0000"),B235),Addendum!I:I,"X")&gt;0,10%,0)</f>
        <v>0</v>
      </c>
      <c r="M235" s="34">
        <f t="shared" si="6"/>
        <v>0</v>
      </c>
      <c r="N235" s="17">
        <f t="shared" si="7"/>
        <v>0</v>
      </c>
    </row>
    <row r="236" spans="1:14" x14ac:dyDescent="0.25">
      <c r="A236" s="14" t="s">
        <v>1830</v>
      </c>
      <c r="B236" s="14">
        <v>4</v>
      </c>
      <c r="C236" s="15" t="s">
        <v>1833</v>
      </c>
      <c r="D236" s="14" t="s">
        <v>1752</v>
      </c>
      <c r="E236" s="14" t="s">
        <v>1746</v>
      </c>
      <c r="F236" s="17" t="s">
        <v>2995</v>
      </c>
      <c r="G236" s="14">
        <v>0</v>
      </c>
      <c r="H236" s="14">
        <v>0</v>
      </c>
      <c r="I236" s="31">
        <f>IF(COUNTIFS(Addendum!C:C,A236,Addendum!D:D,IF(ISNUMBER(B236),TEXT(B236,"0000"),B236),Addendum!E:E,"X")&gt;0,4%,0)</f>
        <v>0</v>
      </c>
      <c r="J236" s="31">
        <f>IF(COUNTIFS(Addendum!C:C,A236,Addendum!D:D,IF(ISNUMBER(B236),TEXT(B236,"0000"),B236),Addendum!F:F,"X")&gt;0,2.5%,0)</f>
        <v>0</v>
      </c>
      <c r="K236" s="31">
        <f>IF(COUNTIFS(Addendum!C:C,A236,Addendum!D:D,IF(ISNUMBER(B236),TEXT(B236,"0000"),B236),Addendum!G:G,"X")&gt;0,7%,0)</f>
        <v>0</v>
      </c>
      <c r="L236" s="31">
        <f>IF(COUNTIFS(Addendum!C:C,A236,Addendum!D:D,IF(ISNUMBER(B236),TEXT(B236,"0000"),B236),Addendum!I:I,"X")&gt;0,10%,0)</f>
        <v>0</v>
      </c>
      <c r="M236" s="34">
        <f t="shared" si="6"/>
        <v>0</v>
      </c>
      <c r="N236" s="17">
        <f t="shared" si="7"/>
        <v>0</v>
      </c>
    </row>
    <row r="237" spans="1:14" x14ac:dyDescent="0.25">
      <c r="A237" s="14" t="s">
        <v>1830</v>
      </c>
      <c r="B237" s="14">
        <v>1</v>
      </c>
      <c r="C237" s="15" t="s">
        <v>1832</v>
      </c>
      <c r="D237" s="14" t="s">
        <v>1752</v>
      </c>
      <c r="E237" s="14" t="s">
        <v>1747</v>
      </c>
      <c r="F237" s="17" t="s">
        <v>2993</v>
      </c>
      <c r="G237" s="14">
        <v>0</v>
      </c>
      <c r="H237" s="14">
        <v>0</v>
      </c>
      <c r="I237" s="31">
        <f>IF(COUNTIFS(Addendum!C:C,A237,Addendum!D:D,IF(ISNUMBER(B237),TEXT(B237,"0000"),B237),Addendum!E:E,"X")&gt;0,4%,0)</f>
        <v>0</v>
      </c>
      <c r="J237" s="31">
        <f>IF(COUNTIFS(Addendum!C:C,A237,Addendum!D:D,IF(ISNUMBER(B237),TEXT(B237,"0000"),B237),Addendum!F:F,"X")&gt;0,2.5%,0)</f>
        <v>0</v>
      </c>
      <c r="K237" s="31">
        <f>IF(COUNTIFS(Addendum!C:C,A237,Addendum!D:D,IF(ISNUMBER(B237),TEXT(B237,"0000"),B237),Addendum!G:G,"X")&gt;0,7%,0)</f>
        <v>0</v>
      </c>
      <c r="L237" s="31">
        <f>IF(COUNTIFS(Addendum!C:C,A237,Addendum!D:D,IF(ISNUMBER(B237),TEXT(B237,"0000"),B237),Addendum!I:I,"X")&gt;0,10%,0)</f>
        <v>0</v>
      </c>
      <c r="M237" s="34">
        <f t="shared" si="6"/>
        <v>0</v>
      </c>
      <c r="N237" s="17">
        <f t="shared" si="7"/>
        <v>0</v>
      </c>
    </row>
    <row r="238" spans="1:14" x14ac:dyDescent="0.25">
      <c r="A238" s="14" t="s">
        <v>1830</v>
      </c>
      <c r="B238" s="14">
        <v>1</v>
      </c>
      <c r="C238" s="15" t="s">
        <v>1832</v>
      </c>
      <c r="D238" s="14" t="s">
        <v>1752</v>
      </c>
      <c r="E238" s="14" t="s">
        <v>1746</v>
      </c>
      <c r="F238" s="17" t="s">
        <v>2993</v>
      </c>
      <c r="G238" s="14">
        <v>0</v>
      </c>
      <c r="H238" s="14">
        <v>0</v>
      </c>
      <c r="I238" s="31">
        <f>IF(COUNTIFS(Addendum!C:C,A238,Addendum!D:D,IF(ISNUMBER(B238),TEXT(B238,"0000"),B238),Addendum!E:E,"X")&gt;0,4%,0)</f>
        <v>0</v>
      </c>
      <c r="J238" s="31">
        <f>IF(COUNTIFS(Addendum!C:C,A238,Addendum!D:D,IF(ISNUMBER(B238),TEXT(B238,"0000"),B238),Addendum!F:F,"X")&gt;0,2.5%,0)</f>
        <v>0</v>
      </c>
      <c r="K238" s="31">
        <f>IF(COUNTIFS(Addendum!C:C,A238,Addendum!D:D,IF(ISNUMBER(B238),TEXT(B238,"0000"),B238),Addendum!G:G,"X")&gt;0,7%,0)</f>
        <v>0</v>
      </c>
      <c r="L238" s="31">
        <f>IF(COUNTIFS(Addendum!C:C,A238,Addendum!D:D,IF(ISNUMBER(B238),TEXT(B238,"0000"),B238),Addendum!I:I,"X")&gt;0,10%,0)</f>
        <v>0</v>
      </c>
      <c r="M238" s="34">
        <f t="shared" si="6"/>
        <v>0</v>
      </c>
      <c r="N238" s="17">
        <f t="shared" si="7"/>
        <v>0</v>
      </c>
    </row>
    <row r="239" spans="1:14" x14ac:dyDescent="0.25">
      <c r="A239" s="14" t="s">
        <v>1830</v>
      </c>
      <c r="B239" s="14">
        <v>1</v>
      </c>
      <c r="C239" s="15" t="s">
        <v>1832</v>
      </c>
      <c r="D239" s="14" t="s">
        <v>1745</v>
      </c>
      <c r="E239" s="14" t="s">
        <v>1746</v>
      </c>
      <c r="F239" s="17" t="s">
        <v>2993</v>
      </c>
      <c r="G239" s="14">
        <v>0</v>
      </c>
      <c r="H239" s="14">
        <v>0</v>
      </c>
      <c r="I239" s="31">
        <f>IF(COUNTIFS(Addendum!C:C,A239,Addendum!D:D,IF(ISNUMBER(B239),TEXT(B239,"0000"),B239),Addendum!E:E,"X")&gt;0,4%,0)</f>
        <v>0</v>
      </c>
      <c r="J239" s="31">
        <f>IF(COUNTIFS(Addendum!C:C,A239,Addendum!D:D,IF(ISNUMBER(B239),TEXT(B239,"0000"),B239),Addendum!F:F,"X")&gt;0,2.5%,0)</f>
        <v>0</v>
      </c>
      <c r="K239" s="31">
        <f>IF(COUNTIFS(Addendum!C:C,A239,Addendum!D:D,IF(ISNUMBER(B239),TEXT(B239,"0000"),B239),Addendum!G:G,"X")&gt;0,7%,0)</f>
        <v>0</v>
      </c>
      <c r="L239" s="31">
        <f>IF(COUNTIFS(Addendum!C:C,A239,Addendum!D:D,IF(ISNUMBER(B239),TEXT(B239,"0000"),B239),Addendum!I:I,"X")&gt;0,10%,0)</f>
        <v>0</v>
      </c>
      <c r="M239" s="34">
        <f t="shared" si="6"/>
        <v>0</v>
      </c>
      <c r="N239" s="17">
        <f t="shared" si="7"/>
        <v>0</v>
      </c>
    </row>
    <row r="240" spans="1:14" x14ac:dyDescent="0.25">
      <c r="A240" s="14" t="s">
        <v>1830</v>
      </c>
      <c r="B240" s="14">
        <v>1</v>
      </c>
      <c r="C240" s="15" t="s">
        <v>1832</v>
      </c>
      <c r="D240" s="14" t="s">
        <v>1752</v>
      </c>
      <c r="E240" s="14" t="s">
        <v>1753</v>
      </c>
      <c r="F240" s="17" t="s">
        <v>2993</v>
      </c>
      <c r="G240" s="14">
        <v>0</v>
      </c>
      <c r="H240" s="14">
        <v>0</v>
      </c>
      <c r="I240" s="31">
        <f>IF(COUNTIFS(Addendum!C:C,A240,Addendum!D:D,IF(ISNUMBER(B240),TEXT(B240,"0000"),B240),Addendum!E:E,"X")&gt;0,4%,0)</f>
        <v>0</v>
      </c>
      <c r="J240" s="31">
        <f>IF(COUNTIFS(Addendum!C:C,A240,Addendum!D:D,IF(ISNUMBER(B240),TEXT(B240,"0000"),B240),Addendum!F:F,"X")&gt;0,2.5%,0)</f>
        <v>0</v>
      </c>
      <c r="K240" s="31">
        <f>IF(COUNTIFS(Addendum!C:C,A240,Addendum!D:D,IF(ISNUMBER(B240),TEXT(B240,"0000"),B240),Addendum!G:G,"X")&gt;0,7%,0)</f>
        <v>0</v>
      </c>
      <c r="L240" s="31">
        <f>IF(COUNTIFS(Addendum!C:C,A240,Addendum!D:D,IF(ISNUMBER(B240),TEXT(B240,"0000"),B240),Addendum!I:I,"X")&gt;0,10%,0)</f>
        <v>0</v>
      </c>
      <c r="M240" s="34">
        <f t="shared" si="6"/>
        <v>0</v>
      </c>
      <c r="N240" s="17">
        <f t="shared" si="7"/>
        <v>0</v>
      </c>
    </row>
    <row r="241" spans="1:14" x14ac:dyDescent="0.25">
      <c r="A241" s="14" t="s">
        <v>1830</v>
      </c>
      <c r="B241" s="14">
        <v>5</v>
      </c>
      <c r="C241" s="15" t="s">
        <v>1831</v>
      </c>
      <c r="D241" s="14" t="s">
        <v>1745</v>
      </c>
      <c r="E241" s="14" t="s">
        <v>1746</v>
      </c>
      <c r="F241" s="17" t="s">
        <v>2994</v>
      </c>
      <c r="G241" s="14">
        <v>0</v>
      </c>
      <c r="H241" s="14">
        <v>0</v>
      </c>
      <c r="I241" s="31">
        <f>IF(COUNTIFS(Addendum!C:C,A241,Addendum!D:D,IF(ISNUMBER(B241),TEXT(B241,"0000"),B241),Addendum!E:E,"X")&gt;0,4%,0)</f>
        <v>0</v>
      </c>
      <c r="J241" s="31">
        <f>IF(COUNTIFS(Addendum!C:C,A241,Addendum!D:D,IF(ISNUMBER(B241),TEXT(B241,"0000"),B241),Addendum!F:F,"X")&gt;0,2.5%,0)</f>
        <v>0</v>
      </c>
      <c r="K241" s="31">
        <f>IF(COUNTIFS(Addendum!C:C,A241,Addendum!D:D,IF(ISNUMBER(B241),TEXT(B241,"0000"),B241),Addendum!G:G,"X")&gt;0,7%,0)</f>
        <v>0</v>
      </c>
      <c r="L241" s="31">
        <f>IF(COUNTIFS(Addendum!C:C,A241,Addendum!D:D,IF(ISNUMBER(B241),TEXT(B241,"0000"),B241),Addendum!I:I,"X")&gt;0,10%,0)</f>
        <v>0</v>
      </c>
      <c r="M241" s="34">
        <f t="shared" si="6"/>
        <v>0</v>
      </c>
      <c r="N241" s="17">
        <f t="shared" si="7"/>
        <v>0</v>
      </c>
    </row>
    <row r="242" spans="1:14" x14ac:dyDescent="0.25">
      <c r="A242" s="14" t="s">
        <v>1830</v>
      </c>
      <c r="B242" s="14">
        <v>1</v>
      </c>
      <c r="C242" s="15" t="s">
        <v>1832</v>
      </c>
      <c r="D242" s="14" t="s">
        <v>1745</v>
      </c>
      <c r="E242" s="14" t="s">
        <v>1747</v>
      </c>
      <c r="F242" s="17" t="s">
        <v>2993</v>
      </c>
      <c r="G242" s="14">
        <v>0</v>
      </c>
      <c r="H242" s="14">
        <v>0</v>
      </c>
      <c r="I242" s="31">
        <f>IF(COUNTIFS(Addendum!C:C,A242,Addendum!D:D,IF(ISNUMBER(B242),TEXT(B242,"0000"),B242),Addendum!E:E,"X")&gt;0,4%,0)</f>
        <v>0</v>
      </c>
      <c r="J242" s="31">
        <f>IF(COUNTIFS(Addendum!C:C,A242,Addendum!D:D,IF(ISNUMBER(B242),TEXT(B242,"0000"),B242),Addendum!F:F,"X")&gt;0,2.5%,0)</f>
        <v>0</v>
      </c>
      <c r="K242" s="31">
        <f>IF(COUNTIFS(Addendum!C:C,A242,Addendum!D:D,IF(ISNUMBER(B242),TEXT(B242,"0000"),B242),Addendum!G:G,"X")&gt;0,7%,0)</f>
        <v>0</v>
      </c>
      <c r="L242" s="31">
        <f>IF(COUNTIFS(Addendum!C:C,A242,Addendum!D:D,IF(ISNUMBER(B242),TEXT(B242,"0000"),B242),Addendum!I:I,"X")&gt;0,10%,0)</f>
        <v>0</v>
      </c>
      <c r="M242" s="34">
        <f t="shared" si="6"/>
        <v>0</v>
      </c>
      <c r="N242" s="17">
        <f t="shared" si="7"/>
        <v>0</v>
      </c>
    </row>
    <row r="243" spans="1:14" x14ac:dyDescent="0.25">
      <c r="A243" s="14" t="s">
        <v>1830</v>
      </c>
      <c r="B243" s="14">
        <v>4</v>
      </c>
      <c r="C243" s="15" t="s">
        <v>1833</v>
      </c>
      <c r="D243" s="14" t="s">
        <v>1745</v>
      </c>
      <c r="E243" s="14" t="s">
        <v>1746</v>
      </c>
      <c r="F243" s="17" t="s">
        <v>2995</v>
      </c>
      <c r="G243" s="14">
        <v>0</v>
      </c>
      <c r="H243" s="14">
        <v>0</v>
      </c>
      <c r="I243" s="31">
        <f>IF(COUNTIFS(Addendum!C:C,A243,Addendum!D:D,IF(ISNUMBER(B243),TEXT(B243,"0000"),B243),Addendum!E:E,"X")&gt;0,4%,0)</f>
        <v>0</v>
      </c>
      <c r="J243" s="31">
        <f>IF(COUNTIFS(Addendum!C:C,A243,Addendum!D:D,IF(ISNUMBER(B243),TEXT(B243,"0000"),B243),Addendum!F:F,"X")&gt;0,2.5%,0)</f>
        <v>0</v>
      </c>
      <c r="K243" s="31">
        <f>IF(COUNTIFS(Addendum!C:C,A243,Addendum!D:D,IF(ISNUMBER(B243),TEXT(B243,"0000"),B243),Addendum!G:G,"X")&gt;0,7%,0)</f>
        <v>0</v>
      </c>
      <c r="L243" s="31">
        <f>IF(COUNTIFS(Addendum!C:C,A243,Addendum!D:D,IF(ISNUMBER(B243),TEXT(B243,"0000"),B243),Addendum!I:I,"X")&gt;0,10%,0)</f>
        <v>0</v>
      </c>
      <c r="M243" s="34">
        <f t="shared" si="6"/>
        <v>0</v>
      </c>
      <c r="N243" s="17">
        <f t="shared" si="7"/>
        <v>0</v>
      </c>
    </row>
    <row r="244" spans="1:14" x14ac:dyDescent="0.25">
      <c r="A244" s="14" t="s">
        <v>1835</v>
      </c>
      <c r="B244" s="14">
        <v>9</v>
      </c>
      <c r="C244" s="15" t="s">
        <v>1836</v>
      </c>
      <c r="D244" s="14" t="s">
        <v>1745</v>
      </c>
      <c r="E244" s="14" t="s">
        <v>1747</v>
      </c>
      <c r="F244" s="17" t="s">
        <v>2994</v>
      </c>
      <c r="G244" s="14">
        <v>43920</v>
      </c>
      <c r="H244" s="14">
        <v>30744</v>
      </c>
      <c r="I244" s="31">
        <f>IF(COUNTIFS(Addendum!C:C,A244,Addendum!D:D,IF(ISNUMBER(B244),TEXT(B244,"0000"),B244),Addendum!E:E,"X")&gt;0,4%,0)</f>
        <v>0</v>
      </c>
      <c r="J244" s="31">
        <f>IF(COUNTIFS(Addendum!C:C,A244,Addendum!D:D,IF(ISNUMBER(B244),TEXT(B244,"0000"),B244),Addendum!F:F,"X")&gt;0,2.5%,0)</f>
        <v>0</v>
      </c>
      <c r="K244" s="31">
        <f>IF(COUNTIFS(Addendum!C:C,A244,Addendum!D:D,IF(ISNUMBER(B244),TEXT(B244,"0000"),B244),Addendum!G:G,"X")&gt;0,7%,0)</f>
        <v>0</v>
      </c>
      <c r="L244" s="31">
        <f>IF(COUNTIFS(Addendum!C:C,A244,Addendum!D:D,IF(ISNUMBER(B244),TEXT(B244,"0000"),B244),Addendum!I:I,"X")&gt;0,10%,0)</f>
        <v>0</v>
      </c>
      <c r="M244" s="34">
        <f t="shared" si="6"/>
        <v>0</v>
      </c>
      <c r="N244" s="17">
        <f t="shared" si="7"/>
        <v>30744</v>
      </c>
    </row>
    <row r="245" spans="1:14" x14ac:dyDescent="0.25">
      <c r="A245" s="14" t="s">
        <v>1835</v>
      </c>
      <c r="B245" s="14">
        <v>7</v>
      </c>
      <c r="C245" s="15" t="s">
        <v>1837</v>
      </c>
      <c r="D245" s="14" t="s">
        <v>1745</v>
      </c>
      <c r="E245" s="14" t="s">
        <v>1746</v>
      </c>
      <c r="F245" s="17" t="s">
        <v>2995</v>
      </c>
      <c r="G245" s="14">
        <v>46116</v>
      </c>
      <c r="H245" s="14">
        <v>41504.400000000001</v>
      </c>
      <c r="I245" s="31">
        <f>IF(COUNTIFS(Addendum!C:C,A245,Addendum!D:D,IF(ISNUMBER(B245),TEXT(B245,"0000"),B245),Addendum!E:E,"X")&gt;0,4%,0)</f>
        <v>0</v>
      </c>
      <c r="J245" s="31">
        <f>IF(COUNTIFS(Addendum!C:C,A245,Addendum!D:D,IF(ISNUMBER(B245),TEXT(B245,"0000"),B245),Addendum!F:F,"X")&gt;0,2.5%,0)</f>
        <v>0</v>
      </c>
      <c r="K245" s="31">
        <f>IF(COUNTIFS(Addendum!C:C,A245,Addendum!D:D,IF(ISNUMBER(B245),TEXT(B245,"0000"),B245),Addendum!G:G,"X")&gt;0,7%,0)</f>
        <v>0</v>
      </c>
      <c r="L245" s="31">
        <f>IF(COUNTIFS(Addendum!C:C,A245,Addendum!D:D,IF(ISNUMBER(B245),TEXT(B245,"0000"),B245),Addendum!I:I,"X")&gt;0,10%,0)</f>
        <v>0</v>
      </c>
      <c r="M245" s="34">
        <f t="shared" si="6"/>
        <v>0</v>
      </c>
      <c r="N245" s="17">
        <f t="shared" si="7"/>
        <v>41504.400000000001</v>
      </c>
    </row>
    <row r="246" spans="1:14" x14ac:dyDescent="0.25">
      <c r="A246" s="14" t="s">
        <v>1835</v>
      </c>
      <c r="B246" s="14">
        <v>1</v>
      </c>
      <c r="C246" s="15" t="s">
        <v>1838</v>
      </c>
      <c r="D246" s="14" t="s">
        <v>1745</v>
      </c>
      <c r="E246" s="14" t="s">
        <v>1747</v>
      </c>
      <c r="F246" s="17" t="s">
        <v>2993</v>
      </c>
      <c r="G246" s="14">
        <v>109800</v>
      </c>
      <c r="H246" s="14">
        <v>76860</v>
      </c>
      <c r="I246" s="31">
        <f>IF(COUNTIFS(Addendum!C:C,A246,Addendum!D:D,IF(ISNUMBER(B246),TEXT(B246,"0000"),B246),Addendum!E:E,"X")&gt;0,4%,0)</f>
        <v>0</v>
      </c>
      <c r="J246" s="31">
        <f>IF(COUNTIFS(Addendum!C:C,A246,Addendum!D:D,IF(ISNUMBER(B246),TEXT(B246,"0000"),B246),Addendum!F:F,"X")&gt;0,2.5%,0)</f>
        <v>0</v>
      </c>
      <c r="K246" s="31">
        <f>IF(COUNTIFS(Addendum!C:C,A246,Addendum!D:D,IF(ISNUMBER(B246),TEXT(B246,"0000"),B246),Addendum!G:G,"X")&gt;0,7%,0)</f>
        <v>0</v>
      </c>
      <c r="L246" s="31">
        <f>IF(COUNTIFS(Addendum!C:C,A246,Addendum!D:D,IF(ISNUMBER(B246),TEXT(B246,"0000"),B246),Addendum!I:I,"X")&gt;0,10%,0)</f>
        <v>0</v>
      </c>
      <c r="M246" s="34">
        <f t="shared" si="6"/>
        <v>0</v>
      </c>
      <c r="N246" s="17">
        <f t="shared" si="7"/>
        <v>76860</v>
      </c>
    </row>
    <row r="247" spans="1:14" x14ac:dyDescent="0.25">
      <c r="A247" s="14" t="s">
        <v>1835</v>
      </c>
      <c r="B247" s="14">
        <v>7</v>
      </c>
      <c r="C247" s="15" t="s">
        <v>1837</v>
      </c>
      <c r="D247" s="14" t="s">
        <v>1745</v>
      </c>
      <c r="E247" s="14" t="s">
        <v>1747</v>
      </c>
      <c r="F247" s="17" t="s">
        <v>2995</v>
      </c>
      <c r="G247" s="14">
        <v>43920</v>
      </c>
      <c r="H247" s="14">
        <v>39528</v>
      </c>
      <c r="I247" s="31">
        <f>IF(COUNTIFS(Addendum!C:C,A247,Addendum!D:D,IF(ISNUMBER(B247),TEXT(B247,"0000"),B247),Addendum!E:E,"X")&gt;0,4%,0)</f>
        <v>0</v>
      </c>
      <c r="J247" s="31">
        <f>IF(COUNTIFS(Addendum!C:C,A247,Addendum!D:D,IF(ISNUMBER(B247),TEXT(B247,"0000"),B247),Addendum!F:F,"X")&gt;0,2.5%,0)</f>
        <v>0</v>
      </c>
      <c r="K247" s="31">
        <f>IF(COUNTIFS(Addendum!C:C,A247,Addendum!D:D,IF(ISNUMBER(B247),TEXT(B247,"0000"),B247),Addendum!G:G,"X")&gt;0,7%,0)</f>
        <v>0</v>
      </c>
      <c r="L247" s="31">
        <f>IF(COUNTIFS(Addendum!C:C,A247,Addendum!D:D,IF(ISNUMBER(B247),TEXT(B247,"0000"),B247),Addendum!I:I,"X")&gt;0,10%,0)</f>
        <v>0</v>
      </c>
      <c r="M247" s="34">
        <f t="shared" si="6"/>
        <v>0</v>
      </c>
      <c r="N247" s="17">
        <f t="shared" si="7"/>
        <v>39528</v>
      </c>
    </row>
    <row r="248" spans="1:14" x14ac:dyDescent="0.25">
      <c r="A248" s="14" t="s">
        <v>1835</v>
      </c>
      <c r="B248" s="14">
        <v>8</v>
      </c>
      <c r="C248" s="15" t="s">
        <v>1839</v>
      </c>
      <c r="D248" s="14" t="s">
        <v>1745</v>
      </c>
      <c r="E248" s="14" t="s">
        <v>1747</v>
      </c>
      <c r="F248" s="17" t="s">
        <v>2994</v>
      </c>
      <c r="G248" s="14">
        <v>60420</v>
      </c>
      <c r="H248" s="14">
        <v>42294</v>
      </c>
      <c r="I248" s="31">
        <f>IF(COUNTIFS(Addendum!C:C,A248,Addendum!D:D,IF(ISNUMBER(B248),TEXT(B248,"0000"),B248),Addendum!E:E,"X")&gt;0,4%,0)</f>
        <v>0</v>
      </c>
      <c r="J248" s="31">
        <f>IF(COUNTIFS(Addendum!C:C,A248,Addendum!D:D,IF(ISNUMBER(B248),TEXT(B248,"0000"),B248),Addendum!F:F,"X")&gt;0,2.5%,0)</f>
        <v>0</v>
      </c>
      <c r="K248" s="31">
        <f>IF(COUNTIFS(Addendum!C:C,A248,Addendum!D:D,IF(ISNUMBER(B248),TEXT(B248,"0000"),B248),Addendum!G:G,"X")&gt;0,7%,0)</f>
        <v>0</v>
      </c>
      <c r="L248" s="31">
        <f>IF(COUNTIFS(Addendum!C:C,A248,Addendum!D:D,IF(ISNUMBER(B248),TEXT(B248,"0000"),B248),Addendum!I:I,"X")&gt;0,10%,0)</f>
        <v>0</v>
      </c>
      <c r="M248" s="34">
        <f t="shared" si="6"/>
        <v>0</v>
      </c>
      <c r="N248" s="17">
        <f t="shared" si="7"/>
        <v>42294</v>
      </c>
    </row>
    <row r="249" spans="1:14" x14ac:dyDescent="0.25">
      <c r="A249" s="14" t="s">
        <v>1835</v>
      </c>
      <c r="B249" s="14">
        <v>8</v>
      </c>
      <c r="C249" s="15" t="s">
        <v>1839</v>
      </c>
      <c r="D249" s="14" t="s">
        <v>1749</v>
      </c>
      <c r="E249" s="14" t="s">
        <v>1746</v>
      </c>
      <c r="F249" s="17" t="s">
        <v>2994</v>
      </c>
      <c r="G249" s="14">
        <v>6042</v>
      </c>
      <c r="H249" s="14">
        <v>4229.3999999999996</v>
      </c>
      <c r="I249" s="31">
        <f>IF(COUNTIFS(Addendum!C:C,A249,Addendum!D:D,IF(ISNUMBER(B249),TEXT(B249,"0000"),B249),Addendum!E:E,"X")&gt;0,4%,0)</f>
        <v>0</v>
      </c>
      <c r="J249" s="31">
        <f>IF(COUNTIFS(Addendum!C:C,A249,Addendum!D:D,IF(ISNUMBER(B249),TEXT(B249,"0000"),B249),Addendum!F:F,"X")&gt;0,2.5%,0)</f>
        <v>0</v>
      </c>
      <c r="K249" s="31">
        <f>IF(COUNTIFS(Addendum!C:C,A249,Addendum!D:D,IF(ISNUMBER(B249),TEXT(B249,"0000"),B249),Addendum!G:G,"X")&gt;0,7%,0)</f>
        <v>0</v>
      </c>
      <c r="L249" s="31">
        <f>IF(COUNTIFS(Addendum!C:C,A249,Addendum!D:D,IF(ISNUMBER(B249),TEXT(B249,"0000"),B249),Addendum!I:I,"X")&gt;0,10%,0)</f>
        <v>0</v>
      </c>
      <c r="M249" s="34">
        <f t="shared" si="6"/>
        <v>0</v>
      </c>
      <c r="N249" s="17">
        <f t="shared" si="7"/>
        <v>4229.3999999999996</v>
      </c>
    </row>
    <row r="250" spans="1:14" x14ac:dyDescent="0.25">
      <c r="A250" s="14" t="s">
        <v>1835</v>
      </c>
      <c r="B250" s="14">
        <v>1</v>
      </c>
      <c r="C250" s="15" t="s">
        <v>1838</v>
      </c>
      <c r="D250" s="14" t="s">
        <v>1752</v>
      </c>
      <c r="E250" s="14" t="s">
        <v>1753</v>
      </c>
      <c r="F250" s="17" t="s">
        <v>2993</v>
      </c>
      <c r="G250" s="14">
        <v>329400</v>
      </c>
      <c r="H250" s="14">
        <v>230580</v>
      </c>
      <c r="I250" s="31">
        <f>IF(COUNTIFS(Addendum!C:C,A250,Addendum!D:D,IF(ISNUMBER(B250),TEXT(B250,"0000"),B250),Addendum!E:E,"X")&gt;0,4%,0)</f>
        <v>0</v>
      </c>
      <c r="J250" s="31">
        <f>IF(COUNTIFS(Addendum!C:C,A250,Addendum!D:D,IF(ISNUMBER(B250),TEXT(B250,"0000"),B250),Addendum!F:F,"X")&gt;0,2.5%,0)</f>
        <v>0</v>
      </c>
      <c r="K250" s="31">
        <f>IF(COUNTIFS(Addendum!C:C,A250,Addendum!D:D,IF(ISNUMBER(B250),TEXT(B250,"0000"),B250),Addendum!G:G,"X")&gt;0,7%,0)</f>
        <v>0</v>
      </c>
      <c r="L250" s="31">
        <f>IF(COUNTIFS(Addendum!C:C,A250,Addendum!D:D,IF(ISNUMBER(B250),TEXT(B250,"0000"),B250),Addendum!I:I,"X")&gt;0,10%,0)</f>
        <v>0</v>
      </c>
      <c r="M250" s="34">
        <f t="shared" si="6"/>
        <v>0</v>
      </c>
      <c r="N250" s="17">
        <f t="shared" si="7"/>
        <v>230580</v>
      </c>
    </row>
    <row r="251" spans="1:14" x14ac:dyDescent="0.25">
      <c r="A251" s="14" t="s">
        <v>1835</v>
      </c>
      <c r="B251" s="14">
        <v>1</v>
      </c>
      <c r="C251" s="15" t="s">
        <v>1838</v>
      </c>
      <c r="D251" s="14" t="s">
        <v>1752</v>
      </c>
      <c r="E251" s="14" t="s">
        <v>1746</v>
      </c>
      <c r="F251" s="17" t="s">
        <v>2993</v>
      </c>
      <c r="G251" s="14">
        <v>345870</v>
      </c>
      <c r="H251" s="14">
        <v>242109</v>
      </c>
      <c r="I251" s="31">
        <f>IF(COUNTIFS(Addendum!C:C,A251,Addendum!D:D,IF(ISNUMBER(B251),TEXT(B251,"0000"),B251),Addendum!E:E,"X")&gt;0,4%,0)</f>
        <v>0</v>
      </c>
      <c r="J251" s="31">
        <f>IF(COUNTIFS(Addendum!C:C,A251,Addendum!D:D,IF(ISNUMBER(B251),TEXT(B251,"0000"),B251),Addendum!F:F,"X")&gt;0,2.5%,0)</f>
        <v>0</v>
      </c>
      <c r="K251" s="31">
        <f>IF(COUNTIFS(Addendum!C:C,A251,Addendum!D:D,IF(ISNUMBER(B251),TEXT(B251,"0000"),B251),Addendum!G:G,"X")&gt;0,7%,0)</f>
        <v>0</v>
      </c>
      <c r="L251" s="31">
        <f>IF(COUNTIFS(Addendum!C:C,A251,Addendum!D:D,IF(ISNUMBER(B251),TEXT(B251,"0000"),B251),Addendum!I:I,"X")&gt;0,10%,0)</f>
        <v>0</v>
      </c>
      <c r="M251" s="34">
        <f t="shared" si="6"/>
        <v>0</v>
      </c>
      <c r="N251" s="17">
        <f t="shared" si="7"/>
        <v>242109</v>
      </c>
    </row>
    <row r="252" spans="1:14" x14ac:dyDescent="0.25">
      <c r="A252" s="14" t="s">
        <v>1835</v>
      </c>
      <c r="B252" s="14">
        <v>1</v>
      </c>
      <c r="C252" s="15" t="s">
        <v>1838</v>
      </c>
      <c r="D252" s="14" t="s">
        <v>1745</v>
      </c>
      <c r="E252" s="14" t="s">
        <v>1746</v>
      </c>
      <c r="F252" s="17" t="s">
        <v>2993</v>
      </c>
      <c r="G252" s="14">
        <v>115290</v>
      </c>
      <c r="H252" s="14">
        <v>80703</v>
      </c>
      <c r="I252" s="31">
        <f>IF(COUNTIFS(Addendum!C:C,A252,Addendum!D:D,IF(ISNUMBER(B252),TEXT(B252,"0000"),B252),Addendum!E:E,"X")&gt;0,4%,0)</f>
        <v>0</v>
      </c>
      <c r="J252" s="31">
        <f>IF(COUNTIFS(Addendum!C:C,A252,Addendum!D:D,IF(ISNUMBER(B252),TEXT(B252,"0000"),B252),Addendum!F:F,"X")&gt;0,2.5%,0)</f>
        <v>0</v>
      </c>
      <c r="K252" s="31">
        <f>IF(COUNTIFS(Addendum!C:C,A252,Addendum!D:D,IF(ISNUMBER(B252),TEXT(B252,"0000"),B252),Addendum!G:G,"X")&gt;0,7%,0)</f>
        <v>0</v>
      </c>
      <c r="L252" s="31">
        <f>IF(COUNTIFS(Addendum!C:C,A252,Addendum!D:D,IF(ISNUMBER(B252),TEXT(B252,"0000"),B252),Addendum!I:I,"X")&gt;0,10%,0)</f>
        <v>0</v>
      </c>
      <c r="M252" s="34">
        <f t="shared" si="6"/>
        <v>0</v>
      </c>
      <c r="N252" s="17">
        <f t="shared" si="7"/>
        <v>80703</v>
      </c>
    </row>
    <row r="253" spans="1:14" x14ac:dyDescent="0.25">
      <c r="A253" s="14" t="s">
        <v>1835</v>
      </c>
      <c r="B253" s="14">
        <v>1</v>
      </c>
      <c r="C253" s="15" t="s">
        <v>1838</v>
      </c>
      <c r="D253" s="14" t="s">
        <v>1749</v>
      </c>
      <c r="E253" s="14" t="s">
        <v>1746</v>
      </c>
      <c r="F253" s="17" t="s">
        <v>2993</v>
      </c>
      <c r="G253" s="14">
        <v>10980</v>
      </c>
      <c r="H253" s="14">
        <v>7686</v>
      </c>
      <c r="I253" s="31">
        <f>IF(COUNTIFS(Addendum!C:C,A253,Addendum!D:D,IF(ISNUMBER(B253),TEXT(B253,"0000"),B253),Addendum!E:E,"X")&gt;0,4%,0)</f>
        <v>0</v>
      </c>
      <c r="J253" s="31">
        <f>IF(COUNTIFS(Addendum!C:C,A253,Addendum!D:D,IF(ISNUMBER(B253),TEXT(B253,"0000"),B253),Addendum!F:F,"X")&gt;0,2.5%,0)</f>
        <v>0</v>
      </c>
      <c r="K253" s="31">
        <f>IF(COUNTIFS(Addendum!C:C,A253,Addendum!D:D,IF(ISNUMBER(B253),TEXT(B253,"0000"),B253),Addendum!G:G,"X")&gt;0,7%,0)</f>
        <v>0</v>
      </c>
      <c r="L253" s="31">
        <f>IF(COUNTIFS(Addendum!C:C,A253,Addendum!D:D,IF(ISNUMBER(B253),TEXT(B253,"0000"),B253),Addendum!I:I,"X")&gt;0,10%,0)</f>
        <v>0</v>
      </c>
      <c r="M253" s="34">
        <f t="shared" si="6"/>
        <v>0</v>
      </c>
      <c r="N253" s="17">
        <f t="shared" si="7"/>
        <v>7686</v>
      </c>
    </row>
    <row r="254" spans="1:14" x14ac:dyDescent="0.25">
      <c r="A254" s="14" t="s">
        <v>1835</v>
      </c>
      <c r="B254" s="14">
        <v>8</v>
      </c>
      <c r="C254" s="15" t="s">
        <v>1839</v>
      </c>
      <c r="D254" s="14" t="s">
        <v>1745</v>
      </c>
      <c r="E254" s="14" t="s">
        <v>1746</v>
      </c>
      <c r="F254" s="17" t="s">
        <v>2994</v>
      </c>
      <c r="G254" s="14">
        <v>63441</v>
      </c>
      <c r="H254" s="14">
        <v>44408.76</v>
      </c>
      <c r="I254" s="31">
        <f>IF(COUNTIFS(Addendum!C:C,A254,Addendum!D:D,IF(ISNUMBER(B254),TEXT(B254,"0000"),B254),Addendum!E:E,"X")&gt;0,4%,0)</f>
        <v>0</v>
      </c>
      <c r="J254" s="31">
        <f>IF(COUNTIFS(Addendum!C:C,A254,Addendum!D:D,IF(ISNUMBER(B254),TEXT(B254,"0000"),B254),Addendum!F:F,"X")&gt;0,2.5%,0)</f>
        <v>0</v>
      </c>
      <c r="K254" s="31">
        <f>IF(COUNTIFS(Addendum!C:C,A254,Addendum!D:D,IF(ISNUMBER(B254),TEXT(B254,"0000"),B254),Addendum!G:G,"X")&gt;0,7%,0)</f>
        <v>0</v>
      </c>
      <c r="L254" s="31">
        <f>IF(COUNTIFS(Addendum!C:C,A254,Addendum!D:D,IF(ISNUMBER(B254),TEXT(B254,"0000"),B254),Addendum!I:I,"X")&gt;0,10%,0)</f>
        <v>0</v>
      </c>
      <c r="M254" s="34">
        <f t="shared" si="6"/>
        <v>0</v>
      </c>
      <c r="N254" s="17">
        <f t="shared" si="7"/>
        <v>44408.76</v>
      </c>
    </row>
    <row r="255" spans="1:14" x14ac:dyDescent="0.25">
      <c r="A255" s="14" t="s">
        <v>1835</v>
      </c>
      <c r="B255" s="14">
        <v>9</v>
      </c>
      <c r="C255" s="15" t="s">
        <v>1836</v>
      </c>
      <c r="D255" s="14" t="s">
        <v>1745</v>
      </c>
      <c r="E255" s="14" t="s">
        <v>1746</v>
      </c>
      <c r="F255" s="17" t="s">
        <v>2994</v>
      </c>
      <c r="G255" s="14">
        <v>46116</v>
      </c>
      <c r="H255" s="14">
        <v>32281.200000000001</v>
      </c>
      <c r="I255" s="31">
        <f>IF(COUNTIFS(Addendum!C:C,A255,Addendum!D:D,IF(ISNUMBER(B255),TEXT(B255,"0000"),B255),Addendum!E:E,"X")&gt;0,4%,0)</f>
        <v>0</v>
      </c>
      <c r="J255" s="31">
        <f>IF(COUNTIFS(Addendum!C:C,A255,Addendum!D:D,IF(ISNUMBER(B255),TEXT(B255,"0000"),B255),Addendum!F:F,"X")&gt;0,2.5%,0)</f>
        <v>0</v>
      </c>
      <c r="K255" s="31">
        <f>IF(COUNTIFS(Addendum!C:C,A255,Addendum!D:D,IF(ISNUMBER(B255),TEXT(B255,"0000"),B255),Addendum!G:G,"X")&gt;0,7%,0)</f>
        <v>0</v>
      </c>
      <c r="L255" s="31">
        <f>IF(COUNTIFS(Addendum!C:C,A255,Addendum!D:D,IF(ISNUMBER(B255),TEXT(B255,"0000"),B255),Addendum!I:I,"X")&gt;0,10%,0)</f>
        <v>0</v>
      </c>
      <c r="M255" s="34">
        <f t="shared" si="6"/>
        <v>0</v>
      </c>
      <c r="N255" s="17">
        <f t="shared" si="7"/>
        <v>32281.200000000001</v>
      </c>
    </row>
    <row r="256" spans="1:14" x14ac:dyDescent="0.25">
      <c r="A256" s="14" t="s">
        <v>1835</v>
      </c>
      <c r="B256" s="14">
        <v>3</v>
      </c>
      <c r="C256" s="15" t="s">
        <v>1838</v>
      </c>
      <c r="D256" s="14" t="s">
        <v>1749</v>
      </c>
      <c r="E256" s="14" t="s">
        <v>1766</v>
      </c>
      <c r="F256" s="17" t="s">
        <v>2993</v>
      </c>
      <c r="G256" s="14">
        <v>0</v>
      </c>
      <c r="H256" s="14">
        <v>0</v>
      </c>
      <c r="I256" s="31">
        <f>IF(COUNTIFS(Addendum!C:C,A256,Addendum!D:D,IF(ISNUMBER(B256),TEXT(B256,"0000"),B256),Addendum!E:E,"X")&gt;0,4%,0)</f>
        <v>0</v>
      </c>
      <c r="J256" s="31">
        <f>IF(COUNTIFS(Addendum!C:C,A256,Addendum!D:D,IF(ISNUMBER(B256),TEXT(B256,"0000"),B256),Addendum!F:F,"X")&gt;0,2.5%,0)</f>
        <v>0</v>
      </c>
      <c r="K256" s="31">
        <f>IF(COUNTIFS(Addendum!C:C,A256,Addendum!D:D,IF(ISNUMBER(B256),TEXT(B256,"0000"),B256),Addendum!G:G,"X")&gt;0,7%,0)</f>
        <v>0</v>
      </c>
      <c r="L256" s="31">
        <f>IF(COUNTIFS(Addendum!C:C,A256,Addendum!D:D,IF(ISNUMBER(B256),TEXT(B256,"0000"),B256),Addendum!I:I,"X")&gt;0,10%,0)</f>
        <v>0</v>
      </c>
      <c r="M256" s="34">
        <f t="shared" si="6"/>
        <v>0</v>
      </c>
      <c r="N256" s="17">
        <f t="shared" si="7"/>
        <v>0</v>
      </c>
    </row>
    <row r="257" spans="1:14" x14ac:dyDescent="0.25">
      <c r="A257" s="14" t="s">
        <v>1835</v>
      </c>
      <c r="B257" s="14">
        <v>7</v>
      </c>
      <c r="C257" s="15" t="s">
        <v>1837</v>
      </c>
      <c r="D257" s="14" t="s">
        <v>1749</v>
      </c>
      <c r="E257" s="14" t="s">
        <v>1746</v>
      </c>
      <c r="F257" s="17" t="s">
        <v>2995</v>
      </c>
      <c r="G257" s="14">
        <v>4392</v>
      </c>
      <c r="H257" s="14">
        <v>3952.8</v>
      </c>
      <c r="I257" s="31">
        <f>IF(COUNTIFS(Addendum!C:C,A257,Addendum!D:D,IF(ISNUMBER(B257),TEXT(B257,"0000"),B257),Addendum!E:E,"X")&gt;0,4%,0)</f>
        <v>0</v>
      </c>
      <c r="J257" s="31">
        <f>IF(COUNTIFS(Addendum!C:C,A257,Addendum!D:D,IF(ISNUMBER(B257),TEXT(B257,"0000"),B257),Addendum!F:F,"X")&gt;0,2.5%,0)</f>
        <v>0</v>
      </c>
      <c r="K257" s="31">
        <f>IF(COUNTIFS(Addendum!C:C,A257,Addendum!D:D,IF(ISNUMBER(B257),TEXT(B257,"0000"),B257),Addendum!G:G,"X")&gt;0,7%,0)</f>
        <v>0</v>
      </c>
      <c r="L257" s="31">
        <f>IF(COUNTIFS(Addendum!C:C,A257,Addendum!D:D,IF(ISNUMBER(B257),TEXT(B257,"0000"),B257),Addendum!I:I,"X")&gt;0,10%,0)</f>
        <v>0</v>
      </c>
      <c r="M257" s="34">
        <f t="shared" si="6"/>
        <v>0</v>
      </c>
      <c r="N257" s="17">
        <f t="shared" si="7"/>
        <v>3952.8</v>
      </c>
    </row>
    <row r="258" spans="1:14" x14ac:dyDescent="0.25">
      <c r="A258" s="14" t="s">
        <v>1835</v>
      </c>
      <c r="B258" s="14">
        <v>9</v>
      </c>
      <c r="C258" s="15" t="s">
        <v>1836</v>
      </c>
      <c r="D258" s="14" t="s">
        <v>1749</v>
      </c>
      <c r="E258" s="14" t="s">
        <v>1746</v>
      </c>
      <c r="F258" s="17" t="s">
        <v>2994</v>
      </c>
      <c r="G258" s="14">
        <v>4392</v>
      </c>
      <c r="H258" s="14">
        <v>3074.4</v>
      </c>
      <c r="I258" s="31">
        <f>IF(COUNTIFS(Addendum!C:C,A258,Addendum!D:D,IF(ISNUMBER(B258),TEXT(B258,"0000"),B258),Addendum!E:E,"X")&gt;0,4%,0)</f>
        <v>0</v>
      </c>
      <c r="J258" s="31">
        <f>IF(COUNTIFS(Addendum!C:C,A258,Addendum!D:D,IF(ISNUMBER(B258),TEXT(B258,"0000"),B258),Addendum!F:F,"X")&gt;0,2.5%,0)</f>
        <v>0</v>
      </c>
      <c r="K258" s="31">
        <f>IF(COUNTIFS(Addendum!C:C,A258,Addendum!D:D,IF(ISNUMBER(B258),TEXT(B258,"0000"),B258),Addendum!G:G,"X")&gt;0,7%,0)</f>
        <v>0</v>
      </c>
      <c r="L258" s="31">
        <f>IF(COUNTIFS(Addendum!C:C,A258,Addendum!D:D,IF(ISNUMBER(B258),TEXT(B258,"0000"),B258),Addendum!I:I,"X")&gt;0,10%,0)</f>
        <v>0</v>
      </c>
      <c r="M258" s="34">
        <f t="shared" si="6"/>
        <v>0</v>
      </c>
      <c r="N258" s="17">
        <f t="shared" si="7"/>
        <v>3074.4</v>
      </c>
    </row>
    <row r="259" spans="1:14" x14ac:dyDescent="0.25">
      <c r="A259" s="14" t="s">
        <v>1835</v>
      </c>
      <c r="B259" s="14">
        <v>1</v>
      </c>
      <c r="C259" s="15" t="s">
        <v>1838</v>
      </c>
      <c r="D259" s="14" t="s">
        <v>1752</v>
      </c>
      <c r="E259" s="14" t="s">
        <v>1747</v>
      </c>
      <c r="F259" s="17" t="s">
        <v>2993</v>
      </c>
      <c r="G259" s="14">
        <v>329400</v>
      </c>
      <c r="H259" s="14">
        <v>230580</v>
      </c>
      <c r="I259" s="31">
        <f>IF(COUNTIFS(Addendum!C:C,A259,Addendum!D:D,IF(ISNUMBER(B259),TEXT(B259,"0000"),B259),Addendum!E:E,"X")&gt;0,4%,0)</f>
        <v>0</v>
      </c>
      <c r="J259" s="31">
        <f>IF(COUNTIFS(Addendum!C:C,A259,Addendum!D:D,IF(ISNUMBER(B259),TEXT(B259,"0000"),B259),Addendum!F:F,"X")&gt;0,2.5%,0)</f>
        <v>0</v>
      </c>
      <c r="K259" s="31">
        <f>IF(COUNTIFS(Addendum!C:C,A259,Addendum!D:D,IF(ISNUMBER(B259),TEXT(B259,"0000"),B259),Addendum!G:G,"X")&gt;0,7%,0)</f>
        <v>0</v>
      </c>
      <c r="L259" s="31">
        <f>IF(COUNTIFS(Addendum!C:C,A259,Addendum!D:D,IF(ISNUMBER(B259),TEXT(B259,"0000"),B259),Addendum!I:I,"X")&gt;0,10%,0)</f>
        <v>0</v>
      </c>
      <c r="M259" s="34">
        <f t="shared" si="6"/>
        <v>0</v>
      </c>
      <c r="N259" s="17">
        <f t="shared" si="7"/>
        <v>230580</v>
      </c>
    </row>
    <row r="260" spans="1:14" x14ac:dyDescent="0.25">
      <c r="A260" s="14" t="s">
        <v>1840</v>
      </c>
      <c r="B260" s="14">
        <v>2</v>
      </c>
      <c r="C260" s="15" t="s">
        <v>1841</v>
      </c>
      <c r="D260" s="14" t="s">
        <v>1752</v>
      </c>
      <c r="E260" s="14" t="s">
        <v>1747</v>
      </c>
      <c r="F260" s="17" t="s">
        <v>2993</v>
      </c>
      <c r="G260" s="14">
        <v>23940</v>
      </c>
      <c r="H260" s="14">
        <v>16758</v>
      </c>
      <c r="I260" s="31">
        <f>IF(COUNTIFS(Addendum!C:C,A260,Addendum!D:D,IF(ISNUMBER(B260),TEXT(B260,"0000"),B260),Addendum!E:E,"X")&gt;0,4%,0)</f>
        <v>0</v>
      </c>
      <c r="J260" s="31">
        <f>IF(COUNTIFS(Addendum!C:C,A260,Addendum!D:D,IF(ISNUMBER(B260),TEXT(B260,"0000"),B260),Addendum!F:F,"X")&gt;0,2.5%,0)</f>
        <v>0</v>
      </c>
      <c r="K260" s="31">
        <f>IF(COUNTIFS(Addendum!C:C,A260,Addendum!D:D,IF(ISNUMBER(B260),TEXT(B260,"0000"),B260),Addendum!G:G,"X")&gt;0,7%,0)</f>
        <v>0</v>
      </c>
      <c r="L260" s="31">
        <f>IF(COUNTIFS(Addendum!C:C,A260,Addendum!D:D,IF(ISNUMBER(B260),TEXT(B260,"0000"),B260),Addendum!I:I,"X")&gt;0,10%,0)</f>
        <v>0</v>
      </c>
      <c r="M260" s="34">
        <f t="shared" ref="M260:M323" si="8">IF(AND(I260=0%,J260=0%,K260=0%,L260=0%),0%,
IF(OR(TRIM(E260)="OneTime",TRIM(D260)=""),0%,
IF(
OR(
TRIM(D260)="P1M",
AND(TRIM(D260)="P1Y",TRIM(E260)="Monthly"),
AND(TRIM(D260)="P3Y",TRIM(E260)="Monthly")
),
IF(AND(I260=4%,J260=0%,K260=0%,L260=0%),1%,
IF(AND(I260=4%,J260=2.5%,K260=0%,L260=10%),2%,
IF(AND(I260=4%,J260=0%,K260=7%,L260=10%),3%,0%))),
IF(
OR(
AND(TRIM(D260)="P1Y",TRIM(E260)="Annual"),
AND(TRIM(D260)="P3Y",TRIM(E260)="Annual"),
AND(TRIM(D260)="P3Y",TRIM(E260)="Triennial")
),
IF(AND(I260=4%,J260=0%,K260=0%,L260=0%),3%,
IF(AND(I260=4%,J260=2.5%,K260=0%,L260=10%),10%,
IF(AND(I260=4%,J260=0%,K260=7%,L260=10%),14%,0%))),
0%
))))</f>
        <v>0</v>
      </c>
      <c r="N260" s="17">
        <f t="shared" ref="N260:N323" si="9">H260-(H260*M260)</f>
        <v>16758</v>
      </c>
    </row>
    <row r="261" spans="1:14" x14ac:dyDescent="0.25">
      <c r="A261" s="14" t="s">
        <v>1840</v>
      </c>
      <c r="B261" s="14">
        <v>4</v>
      </c>
      <c r="C261" s="15" t="s">
        <v>1842</v>
      </c>
      <c r="D261" s="14" t="s">
        <v>1749</v>
      </c>
      <c r="E261" s="14" t="s">
        <v>1746</v>
      </c>
      <c r="F261" s="17" t="s">
        <v>2995</v>
      </c>
      <c r="G261" s="14">
        <v>318</v>
      </c>
      <c r="H261" s="14">
        <v>286.2</v>
      </c>
      <c r="I261" s="31">
        <f>IF(COUNTIFS(Addendum!C:C,A261,Addendum!D:D,IF(ISNUMBER(B261),TEXT(B261,"0000"),B261),Addendum!E:E,"X")&gt;0,4%,0)</f>
        <v>0</v>
      </c>
      <c r="J261" s="31">
        <f>IF(COUNTIFS(Addendum!C:C,A261,Addendum!D:D,IF(ISNUMBER(B261),TEXT(B261,"0000"),B261),Addendum!F:F,"X")&gt;0,2.5%,0)</f>
        <v>0</v>
      </c>
      <c r="K261" s="31">
        <f>IF(COUNTIFS(Addendum!C:C,A261,Addendum!D:D,IF(ISNUMBER(B261),TEXT(B261,"0000"),B261),Addendum!G:G,"X")&gt;0,7%,0)</f>
        <v>0</v>
      </c>
      <c r="L261" s="31">
        <f>IF(COUNTIFS(Addendum!C:C,A261,Addendum!D:D,IF(ISNUMBER(B261),TEXT(B261,"0000"),B261),Addendum!I:I,"X")&gt;0,10%,0)</f>
        <v>0</v>
      </c>
      <c r="M261" s="34">
        <f t="shared" si="8"/>
        <v>0</v>
      </c>
      <c r="N261" s="17">
        <f t="shared" si="9"/>
        <v>286.2</v>
      </c>
    </row>
    <row r="262" spans="1:14" x14ac:dyDescent="0.25">
      <c r="A262" s="14" t="s">
        <v>1840</v>
      </c>
      <c r="B262" s="14">
        <v>2</v>
      </c>
      <c r="C262" s="15" t="s">
        <v>1841</v>
      </c>
      <c r="D262" s="14" t="s">
        <v>1752</v>
      </c>
      <c r="E262" s="14" t="s">
        <v>1746</v>
      </c>
      <c r="F262" s="17" t="s">
        <v>2993</v>
      </c>
      <c r="G262" s="14">
        <v>25137</v>
      </c>
      <c r="H262" s="14">
        <v>17596.080000000002</v>
      </c>
      <c r="I262" s="31">
        <f>IF(COUNTIFS(Addendum!C:C,A262,Addendum!D:D,IF(ISNUMBER(B262),TEXT(B262,"0000"),B262),Addendum!E:E,"X")&gt;0,4%,0)</f>
        <v>0</v>
      </c>
      <c r="J262" s="31">
        <f>IF(COUNTIFS(Addendum!C:C,A262,Addendum!D:D,IF(ISNUMBER(B262),TEXT(B262,"0000"),B262),Addendum!F:F,"X")&gt;0,2.5%,0)</f>
        <v>0</v>
      </c>
      <c r="K262" s="31">
        <f>IF(COUNTIFS(Addendum!C:C,A262,Addendum!D:D,IF(ISNUMBER(B262),TEXT(B262,"0000"),B262),Addendum!G:G,"X")&gt;0,7%,0)</f>
        <v>0</v>
      </c>
      <c r="L262" s="31">
        <f>IF(COUNTIFS(Addendum!C:C,A262,Addendum!D:D,IF(ISNUMBER(B262),TEXT(B262,"0000"),B262),Addendum!I:I,"X")&gt;0,10%,0)</f>
        <v>0</v>
      </c>
      <c r="M262" s="34">
        <f t="shared" si="8"/>
        <v>0</v>
      </c>
      <c r="N262" s="17">
        <f t="shared" si="9"/>
        <v>17596.080000000002</v>
      </c>
    </row>
    <row r="263" spans="1:14" x14ac:dyDescent="0.25">
      <c r="A263" s="14" t="s">
        <v>1840</v>
      </c>
      <c r="B263" s="14">
        <v>2</v>
      </c>
      <c r="C263" s="15" t="s">
        <v>1841</v>
      </c>
      <c r="D263" s="14" t="s">
        <v>1752</v>
      </c>
      <c r="E263" s="14" t="s">
        <v>1753</v>
      </c>
      <c r="F263" s="17" t="s">
        <v>2993</v>
      </c>
      <c r="G263" s="14">
        <v>23940</v>
      </c>
      <c r="H263" s="14">
        <v>16758</v>
      </c>
      <c r="I263" s="31">
        <f>IF(COUNTIFS(Addendum!C:C,A263,Addendum!D:D,IF(ISNUMBER(B263),TEXT(B263,"0000"),B263),Addendum!E:E,"X")&gt;0,4%,0)</f>
        <v>0</v>
      </c>
      <c r="J263" s="31">
        <f>IF(COUNTIFS(Addendum!C:C,A263,Addendum!D:D,IF(ISNUMBER(B263),TEXT(B263,"0000"),B263),Addendum!F:F,"X")&gt;0,2.5%,0)</f>
        <v>0</v>
      </c>
      <c r="K263" s="31">
        <f>IF(COUNTIFS(Addendum!C:C,A263,Addendum!D:D,IF(ISNUMBER(B263),TEXT(B263,"0000"),B263),Addendum!G:G,"X")&gt;0,7%,0)</f>
        <v>0</v>
      </c>
      <c r="L263" s="31">
        <f>IF(COUNTIFS(Addendum!C:C,A263,Addendum!D:D,IF(ISNUMBER(B263),TEXT(B263,"0000"),B263),Addendum!I:I,"X")&gt;0,10%,0)</f>
        <v>0</v>
      </c>
      <c r="M263" s="34">
        <f t="shared" si="8"/>
        <v>0</v>
      </c>
      <c r="N263" s="17">
        <f t="shared" si="9"/>
        <v>16758</v>
      </c>
    </row>
    <row r="264" spans="1:14" x14ac:dyDescent="0.25">
      <c r="A264" s="14" t="s">
        <v>1840</v>
      </c>
      <c r="B264" s="14">
        <v>6</v>
      </c>
      <c r="C264" s="15" t="s">
        <v>1843</v>
      </c>
      <c r="D264" s="14" t="s">
        <v>1745</v>
      </c>
      <c r="E264" s="14" t="s">
        <v>1747</v>
      </c>
      <c r="F264" s="17" t="s">
        <v>2994</v>
      </c>
      <c r="G264" s="14">
        <v>3180</v>
      </c>
      <c r="H264" s="14">
        <v>2226</v>
      </c>
      <c r="I264" s="31">
        <f>IF(COUNTIFS(Addendum!C:C,A264,Addendum!D:D,IF(ISNUMBER(B264),TEXT(B264,"0000"),B264),Addendum!E:E,"X")&gt;0,4%,0)</f>
        <v>0</v>
      </c>
      <c r="J264" s="31">
        <f>IF(COUNTIFS(Addendum!C:C,A264,Addendum!D:D,IF(ISNUMBER(B264),TEXT(B264,"0000"),B264),Addendum!F:F,"X")&gt;0,2.5%,0)</f>
        <v>0</v>
      </c>
      <c r="K264" s="31">
        <f>IF(COUNTIFS(Addendum!C:C,A264,Addendum!D:D,IF(ISNUMBER(B264),TEXT(B264,"0000"),B264),Addendum!G:G,"X")&gt;0,7%,0)</f>
        <v>0</v>
      </c>
      <c r="L264" s="31">
        <f>IF(COUNTIFS(Addendum!C:C,A264,Addendum!D:D,IF(ISNUMBER(B264),TEXT(B264,"0000"),B264),Addendum!I:I,"X")&gt;0,10%,0)</f>
        <v>0</v>
      </c>
      <c r="M264" s="34">
        <f t="shared" si="8"/>
        <v>0</v>
      </c>
      <c r="N264" s="17">
        <f t="shared" si="9"/>
        <v>2226</v>
      </c>
    </row>
    <row r="265" spans="1:14" x14ac:dyDescent="0.25">
      <c r="A265" s="14" t="s">
        <v>1840</v>
      </c>
      <c r="B265" s="14">
        <v>6</v>
      </c>
      <c r="C265" s="15" t="s">
        <v>1843</v>
      </c>
      <c r="D265" s="14" t="s">
        <v>1749</v>
      </c>
      <c r="E265" s="14" t="s">
        <v>1746</v>
      </c>
      <c r="F265" s="17" t="s">
        <v>2994</v>
      </c>
      <c r="G265" s="14">
        <v>318</v>
      </c>
      <c r="H265" s="14">
        <v>222.6</v>
      </c>
      <c r="I265" s="31">
        <f>IF(COUNTIFS(Addendum!C:C,A265,Addendum!D:D,IF(ISNUMBER(B265),TEXT(B265,"0000"),B265),Addendum!E:E,"X")&gt;0,4%,0)</f>
        <v>0</v>
      </c>
      <c r="J265" s="31">
        <f>IF(COUNTIFS(Addendum!C:C,A265,Addendum!D:D,IF(ISNUMBER(B265),TEXT(B265,"0000"),B265),Addendum!F:F,"X")&gt;0,2.5%,0)</f>
        <v>0</v>
      </c>
      <c r="K265" s="31">
        <f>IF(COUNTIFS(Addendum!C:C,A265,Addendum!D:D,IF(ISNUMBER(B265),TEXT(B265,"0000"),B265),Addendum!G:G,"X")&gt;0,7%,0)</f>
        <v>0</v>
      </c>
      <c r="L265" s="31">
        <f>IF(COUNTIFS(Addendum!C:C,A265,Addendum!D:D,IF(ISNUMBER(B265),TEXT(B265,"0000"),B265),Addendum!I:I,"X")&gt;0,10%,0)</f>
        <v>0</v>
      </c>
      <c r="M265" s="34">
        <f t="shared" si="8"/>
        <v>0</v>
      </c>
      <c r="N265" s="17">
        <f t="shared" si="9"/>
        <v>222.6</v>
      </c>
    </row>
    <row r="266" spans="1:14" x14ac:dyDescent="0.25">
      <c r="A266" s="14" t="s">
        <v>1840</v>
      </c>
      <c r="B266" s="14">
        <v>4</v>
      </c>
      <c r="C266" s="15" t="s">
        <v>1842</v>
      </c>
      <c r="D266" s="14" t="s">
        <v>1745</v>
      </c>
      <c r="E266" s="14" t="s">
        <v>1746</v>
      </c>
      <c r="F266" s="17" t="s">
        <v>2995</v>
      </c>
      <c r="G266" s="14">
        <v>3339</v>
      </c>
      <c r="H266" s="14">
        <v>3005.16</v>
      </c>
      <c r="I266" s="31">
        <f>IF(COUNTIFS(Addendum!C:C,A266,Addendum!D:D,IF(ISNUMBER(B266),TEXT(B266,"0000"),B266),Addendum!E:E,"X")&gt;0,4%,0)</f>
        <v>0</v>
      </c>
      <c r="J266" s="31">
        <f>IF(COUNTIFS(Addendum!C:C,A266,Addendum!D:D,IF(ISNUMBER(B266),TEXT(B266,"0000"),B266),Addendum!F:F,"X")&gt;0,2.5%,0)</f>
        <v>0</v>
      </c>
      <c r="K266" s="31">
        <f>IF(COUNTIFS(Addendum!C:C,A266,Addendum!D:D,IF(ISNUMBER(B266),TEXT(B266,"0000"),B266),Addendum!G:G,"X")&gt;0,7%,0)</f>
        <v>0</v>
      </c>
      <c r="L266" s="31">
        <f>IF(COUNTIFS(Addendum!C:C,A266,Addendum!D:D,IF(ISNUMBER(B266),TEXT(B266,"0000"),B266),Addendum!I:I,"X")&gt;0,10%,0)</f>
        <v>0</v>
      </c>
      <c r="M266" s="34">
        <f t="shared" si="8"/>
        <v>0</v>
      </c>
      <c r="N266" s="17">
        <f t="shared" si="9"/>
        <v>3005.16</v>
      </c>
    </row>
    <row r="267" spans="1:14" x14ac:dyDescent="0.25">
      <c r="A267" s="14" t="s">
        <v>1840</v>
      </c>
      <c r="B267" s="14">
        <v>2</v>
      </c>
      <c r="C267" s="15" t="s">
        <v>1841</v>
      </c>
      <c r="D267" s="14" t="s">
        <v>1745</v>
      </c>
      <c r="E267" s="14" t="s">
        <v>1747</v>
      </c>
      <c r="F267" s="17" t="s">
        <v>2993</v>
      </c>
      <c r="G267" s="14">
        <v>7980</v>
      </c>
      <c r="H267" s="14">
        <v>5586</v>
      </c>
      <c r="I267" s="31">
        <f>IF(COUNTIFS(Addendum!C:C,A267,Addendum!D:D,IF(ISNUMBER(B267),TEXT(B267,"0000"),B267),Addendum!E:E,"X")&gt;0,4%,0)</f>
        <v>0</v>
      </c>
      <c r="J267" s="31">
        <f>IF(COUNTIFS(Addendum!C:C,A267,Addendum!D:D,IF(ISNUMBER(B267),TEXT(B267,"0000"),B267),Addendum!F:F,"X")&gt;0,2.5%,0)</f>
        <v>0</v>
      </c>
      <c r="K267" s="31">
        <f>IF(COUNTIFS(Addendum!C:C,A267,Addendum!D:D,IF(ISNUMBER(B267),TEXT(B267,"0000"),B267),Addendum!G:G,"X")&gt;0,7%,0)</f>
        <v>0</v>
      </c>
      <c r="L267" s="31">
        <f>IF(COUNTIFS(Addendum!C:C,A267,Addendum!D:D,IF(ISNUMBER(B267),TEXT(B267,"0000"),B267),Addendum!I:I,"X")&gt;0,10%,0)</f>
        <v>0</v>
      </c>
      <c r="M267" s="34">
        <f t="shared" si="8"/>
        <v>0</v>
      </c>
      <c r="N267" s="17">
        <f t="shared" si="9"/>
        <v>5586</v>
      </c>
    </row>
    <row r="268" spans="1:14" x14ac:dyDescent="0.25">
      <c r="A268" s="14" t="s">
        <v>1840</v>
      </c>
      <c r="B268" s="14">
        <v>4</v>
      </c>
      <c r="C268" s="15" t="s">
        <v>1842</v>
      </c>
      <c r="D268" s="14" t="s">
        <v>1745</v>
      </c>
      <c r="E268" s="14" t="s">
        <v>1747</v>
      </c>
      <c r="F268" s="17" t="s">
        <v>2995</v>
      </c>
      <c r="G268" s="14">
        <v>3180</v>
      </c>
      <c r="H268" s="14">
        <v>2862</v>
      </c>
      <c r="I268" s="31">
        <f>IF(COUNTIFS(Addendum!C:C,A268,Addendum!D:D,IF(ISNUMBER(B268),TEXT(B268,"0000"),B268),Addendum!E:E,"X")&gt;0,4%,0)</f>
        <v>0</v>
      </c>
      <c r="J268" s="31">
        <f>IF(COUNTIFS(Addendum!C:C,A268,Addendum!D:D,IF(ISNUMBER(B268),TEXT(B268,"0000"),B268),Addendum!F:F,"X")&gt;0,2.5%,0)</f>
        <v>0</v>
      </c>
      <c r="K268" s="31">
        <f>IF(COUNTIFS(Addendum!C:C,A268,Addendum!D:D,IF(ISNUMBER(B268),TEXT(B268,"0000"),B268),Addendum!G:G,"X")&gt;0,7%,0)</f>
        <v>0</v>
      </c>
      <c r="L268" s="31">
        <f>IF(COUNTIFS(Addendum!C:C,A268,Addendum!D:D,IF(ISNUMBER(B268),TEXT(B268,"0000"),B268),Addendum!I:I,"X")&gt;0,10%,0)</f>
        <v>0</v>
      </c>
      <c r="M268" s="34">
        <f t="shared" si="8"/>
        <v>0</v>
      </c>
      <c r="N268" s="17">
        <f t="shared" si="9"/>
        <v>2862</v>
      </c>
    </row>
    <row r="269" spans="1:14" x14ac:dyDescent="0.25">
      <c r="A269" s="14" t="s">
        <v>1840</v>
      </c>
      <c r="B269" s="14">
        <v>6</v>
      </c>
      <c r="C269" s="15" t="s">
        <v>1843</v>
      </c>
      <c r="D269" s="14" t="s">
        <v>1745</v>
      </c>
      <c r="E269" s="14" t="s">
        <v>1746</v>
      </c>
      <c r="F269" s="17" t="s">
        <v>2994</v>
      </c>
      <c r="G269" s="14">
        <v>3339</v>
      </c>
      <c r="H269" s="14">
        <v>2337.36</v>
      </c>
      <c r="I269" s="31">
        <f>IF(COUNTIFS(Addendum!C:C,A269,Addendum!D:D,IF(ISNUMBER(B269),TEXT(B269,"0000"),B269),Addendum!E:E,"X")&gt;0,4%,0)</f>
        <v>0</v>
      </c>
      <c r="J269" s="31">
        <f>IF(COUNTIFS(Addendum!C:C,A269,Addendum!D:D,IF(ISNUMBER(B269),TEXT(B269,"0000"),B269),Addendum!F:F,"X")&gt;0,2.5%,0)</f>
        <v>0</v>
      </c>
      <c r="K269" s="31">
        <f>IF(COUNTIFS(Addendum!C:C,A269,Addendum!D:D,IF(ISNUMBER(B269),TEXT(B269,"0000"),B269),Addendum!G:G,"X")&gt;0,7%,0)</f>
        <v>0</v>
      </c>
      <c r="L269" s="31">
        <f>IF(COUNTIFS(Addendum!C:C,A269,Addendum!D:D,IF(ISNUMBER(B269),TEXT(B269,"0000"),B269),Addendum!I:I,"X")&gt;0,10%,0)</f>
        <v>0</v>
      </c>
      <c r="M269" s="34">
        <f t="shared" si="8"/>
        <v>0</v>
      </c>
      <c r="N269" s="17">
        <f t="shared" si="9"/>
        <v>2337.36</v>
      </c>
    </row>
    <row r="270" spans="1:14" x14ac:dyDescent="0.25">
      <c r="A270" s="14" t="s">
        <v>1840</v>
      </c>
      <c r="B270" s="14">
        <v>5</v>
      </c>
      <c r="C270" s="15" t="s">
        <v>1844</v>
      </c>
      <c r="D270" s="14" t="s">
        <v>1749</v>
      </c>
      <c r="E270" s="14" t="s">
        <v>1746</v>
      </c>
      <c r="F270" s="17" t="s">
        <v>2994</v>
      </c>
      <c r="G270" s="14">
        <v>438</v>
      </c>
      <c r="H270" s="14">
        <v>306.60000000000002</v>
      </c>
      <c r="I270" s="31">
        <f>IF(COUNTIFS(Addendum!C:C,A270,Addendum!D:D,IF(ISNUMBER(B270),TEXT(B270,"0000"),B270),Addendum!E:E,"X")&gt;0,4%,0)</f>
        <v>0</v>
      </c>
      <c r="J270" s="31">
        <f>IF(COUNTIFS(Addendum!C:C,A270,Addendum!D:D,IF(ISNUMBER(B270),TEXT(B270,"0000"),B270),Addendum!F:F,"X")&gt;0,2.5%,0)</f>
        <v>0</v>
      </c>
      <c r="K270" s="31">
        <f>IF(COUNTIFS(Addendum!C:C,A270,Addendum!D:D,IF(ISNUMBER(B270),TEXT(B270,"0000"),B270),Addendum!G:G,"X")&gt;0,7%,0)</f>
        <v>0</v>
      </c>
      <c r="L270" s="31">
        <f>IF(COUNTIFS(Addendum!C:C,A270,Addendum!D:D,IF(ISNUMBER(B270),TEXT(B270,"0000"),B270),Addendum!I:I,"X")&gt;0,10%,0)</f>
        <v>0</v>
      </c>
      <c r="M270" s="34">
        <f t="shared" si="8"/>
        <v>0</v>
      </c>
      <c r="N270" s="17">
        <f t="shared" si="9"/>
        <v>306.60000000000002</v>
      </c>
    </row>
    <row r="271" spans="1:14" x14ac:dyDescent="0.25">
      <c r="A271" s="14" t="s">
        <v>1840</v>
      </c>
      <c r="B271" s="14">
        <v>5</v>
      </c>
      <c r="C271" s="15" t="s">
        <v>1844</v>
      </c>
      <c r="D271" s="14" t="s">
        <v>1745</v>
      </c>
      <c r="E271" s="14" t="s">
        <v>1747</v>
      </c>
      <c r="F271" s="17" t="s">
        <v>2994</v>
      </c>
      <c r="G271" s="14">
        <v>4380</v>
      </c>
      <c r="H271" s="14">
        <v>3066</v>
      </c>
      <c r="I271" s="31">
        <f>IF(COUNTIFS(Addendum!C:C,A271,Addendum!D:D,IF(ISNUMBER(B271),TEXT(B271,"0000"),B271),Addendum!E:E,"X")&gt;0,4%,0)</f>
        <v>0</v>
      </c>
      <c r="J271" s="31">
        <f>IF(COUNTIFS(Addendum!C:C,A271,Addendum!D:D,IF(ISNUMBER(B271),TEXT(B271,"0000"),B271),Addendum!F:F,"X")&gt;0,2.5%,0)</f>
        <v>0</v>
      </c>
      <c r="K271" s="31">
        <f>IF(COUNTIFS(Addendum!C:C,A271,Addendum!D:D,IF(ISNUMBER(B271),TEXT(B271,"0000"),B271),Addendum!G:G,"X")&gt;0,7%,0)</f>
        <v>0</v>
      </c>
      <c r="L271" s="31">
        <f>IF(COUNTIFS(Addendum!C:C,A271,Addendum!D:D,IF(ISNUMBER(B271),TEXT(B271,"0000"),B271),Addendum!I:I,"X")&gt;0,10%,0)</f>
        <v>0</v>
      </c>
      <c r="M271" s="34">
        <f t="shared" si="8"/>
        <v>0</v>
      </c>
      <c r="N271" s="17">
        <f t="shared" si="9"/>
        <v>3066</v>
      </c>
    </row>
    <row r="272" spans="1:14" x14ac:dyDescent="0.25">
      <c r="A272" s="14" t="s">
        <v>1840</v>
      </c>
      <c r="B272" s="14">
        <v>2</v>
      </c>
      <c r="C272" s="15" t="s">
        <v>1841</v>
      </c>
      <c r="D272" s="14" t="s">
        <v>1745</v>
      </c>
      <c r="E272" s="14" t="s">
        <v>1746</v>
      </c>
      <c r="F272" s="17" t="s">
        <v>2993</v>
      </c>
      <c r="G272" s="14">
        <v>8379</v>
      </c>
      <c r="H272" s="14">
        <v>5865.36</v>
      </c>
      <c r="I272" s="31">
        <f>IF(COUNTIFS(Addendum!C:C,A272,Addendum!D:D,IF(ISNUMBER(B272),TEXT(B272,"0000"),B272),Addendum!E:E,"X")&gt;0,4%,0)</f>
        <v>0</v>
      </c>
      <c r="J272" s="31">
        <f>IF(COUNTIFS(Addendum!C:C,A272,Addendum!D:D,IF(ISNUMBER(B272),TEXT(B272,"0000"),B272),Addendum!F:F,"X")&gt;0,2.5%,0)</f>
        <v>0</v>
      </c>
      <c r="K272" s="31">
        <f>IF(COUNTIFS(Addendum!C:C,A272,Addendum!D:D,IF(ISNUMBER(B272),TEXT(B272,"0000"),B272),Addendum!G:G,"X")&gt;0,7%,0)</f>
        <v>0</v>
      </c>
      <c r="L272" s="31">
        <f>IF(COUNTIFS(Addendum!C:C,A272,Addendum!D:D,IF(ISNUMBER(B272),TEXT(B272,"0000"),B272),Addendum!I:I,"X")&gt;0,10%,0)</f>
        <v>0</v>
      </c>
      <c r="M272" s="34">
        <f t="shared" si="8"/>
        <v>0</v>
      </c>
      <c r="N272" s="17">
        <f t="shared" si="9"/>
        <v>5865.36</v>
      </c>
    </row>
    <row r="273" spans="1:14" x14ac:dyDescent="0.25">
      <c r="A273" s="14" t="s">
        <v>1840</v>
      </c>
      <c r="B273" s="14">
        <v>5</v>
      </c>
      <c r="C273" s="15" t="s">
        <v>1844</v>
      </c>
      <c r="D273" s="14" t="s">
        <v>1745</v>
      </c>
      <c r="E273" s="14" t="s">
        <v>1746</v>
      </c>
      <c r="F273" s="17" t="s">
        <v>2994</v>
      </c>
      <c r="G273" s="14">
        <v>4599</v>
      </c>
      <c r="H273" s="14">
        <v>3219.36</v>
      </c>
      <c r="I273" s="31">
        <f>IF(COUNTIFS(Addendum!C:C,A273,Addendum!D:D,IF(ISNUMBER(B273),TEXT(B273,"0000"),B273),Addendum!E:E,"X")&gt;0,4%,0)</f>
        <v>0</v>
      </c>
      <c r="J273" s="31">
        <f>IF(COUNTIFS(Addendum!C:C,A273,Addendum!D:D,IF(ISNUMBER(B273),TEXT(B273,"0000"),B273),Addendum!F:F,"X")&gt;0,2.5%,0)</f>
        <v>0</v>
      </c>
      <c r="K273" s="31">
        <f>IF(COUNTIFS(Addendum!C:C,A273,Addendum!D:D,IF(ISNUMBER(B273),TEXT(B273,"0000"),B273),Addendum!G:G,"X")&gt;0,7%,0)</f>
        <v>0</v>
      </c>
      <c r="L273" s="31">
        <f>IF(COUNTIFS(Addendum!C:C,A273,Addendum!D:D,IF(ISNUMBER(B273),TEXT(B273,"0000"),B273),Addendum!I:I,"X")&gt;0,10%,0)</f>
        <v>0</v>
      </c>
      <c r="M273" s="34">
        <f t="shared" si="8"/>
        <v>0</v>
      </c>
      <c r="N273" s="17">
        <f t="shared" si="9"/>
        <v>3219.36</v>
      </c>
    </row>
    <row r="274" spans="1:14" x14ac:dyDescent="0.25">
      <c r="A274" s="14" t="s">
        <v>1840</v>
      </c>
      <c r="B274" s="14">
        <v>2</v>
      </c>
      <c r="C274" s="15" t="s">
        <v>1841</v>
      </c>
      <c r="D274" s="14" t="s">
        <v>1749</v>
      </c>
      <c r="E274" s="14" t="s">
        <v>1746</v>
      </c>
      <c r="F274" s="17" t="s">
        <v>2993</v>
      </c>
      <c r="G274" s="14">
        <v>798</v>
      </c>
      <c r="H274" s="14">
        <v>558.6</v>
      </c>
      <c r="I274" s="31">
        <f>IF(COUNTIFS(Addendum!C:C,A274,Addendum!D:D,IF(ISNUMBER(B274),TEXT(B274,"0000"),B274),Addendum!E:E,"X")&gt;0,4%,0)</f>
        <v>0</v>
      </c>
      <c r="J274" s="31">
        <f>IF(COUNTIFS(Addendum!C:C,A274,Addendum!D:D,IF(ISNUMBER(B274),TEXT(B274,"0000"),B274),Addendum!F:F,"X")&gt;0,2.5%,0)</f>
        <v>0</v>
      </c>
      <c r="K274" s="31">
        <f>IF(COUNTIFS(Addendum!C:C,A274,Addendum!D:D,IF(ISNUMBER(B274),TEXT(B274,"0000"),B274),Addendum!G:G,"X")&gt;0,7%,0)</f>
        <v>0</v>
      </c>
      <c r="L274" s="31">
        <f>IF(COUNTIFS(Addendum!C:C,A274,Addendum!D:D,IF(ISNUMBER(B274),TEXT(B274,"0000"),B274),Addendum!I:I,"X")&gt;0,10%,0)</f>
        <v>0</v>
      </c>
      <c r="M274" s="34">
        <f t="shared" si="8"/>
        <v>0</v>
      </c>
      <c r="N274" s="17">
        <f t="shared" si="9"/>
        <v>558.6</v>
      </c>
    </row>
    <row r="275" spans="1:14" x14ac:dyDescent="0.25">
      <c r="A275" s="14" t="s">
        <v>1845</v>
      </c>
      <c r="B275" s="14">
        <v>2</v>
      </c>
      <c r="C275" s="15" t="s">
        <v>1846</v>
      </c>
      <c r="D275" s="14" t="s">
        <v>1749</v>
      </c>
      <c r="E275" s="14" t="s">
        <v>1746</v>
      </c>
      <c r="F275" s="17" t="s">
        <v>2994</v>
      </c>
      <c r="G275" s="14">
        <v>600</v>
      </c>
      <c r="H275" s="14">
        <v>450</v>
      </c>
      <c r="I275" s="31">
        <f>IF(COUNTIFS(Addendum!C:C,A275,Addendum!D:D,IF(ISNUMBER(B275),TEXT(B275,"0000"),B275),Addendum!E:E,"X")&gt;0,4%,0)</f>
        <v>0</v>
      </c>
      <c r="J275" s="31">
        <f>IF(COUNTIFS(Addendum!C:C,A275,Addendum!D:D,IF(ISNUMBER(B275),TEXT(B275,"0000"),B275),Addendum!F:F,"X")&gt;0,2.5%,0)</f>
        <v>0</v>
      </c>
      <c r="K275" s="31">
        <f>IF(COUNTIFS(Addendum!C:C,A275,Addendum!D:D,IF(ISNUMBER(B275),TEXT(B275,"0000"),B275),Addendum!G:G,"X")&gt;0,7%,0)</f>
        <v>0</v>
      </c>
      <c r="L275" s="31">
        <f>IF(COUNTIFS(Addendum!C:C,A275,Addendum!D:D,IF(ISNUMBER(B275),TEXT(B275,"0000"),B275),Addendum!I:I,"X")&gt;0,10%,0)</f>
        <v>0</v>
      </c>
      <c r="M275" s="34">
        <f t="shared" si="8"/>
        <v>0</v>
      </c>
      <c r="N275" s="17">
        <f t="shared" si="9"/>
        <v>450</v>
      </c>
    </row>
    <row r="276" spans="1:14" x14ac:dyDescent="0.25">
      <c r="A276" s="14" t="s">
        <v>1845</v>
      </c>
      <c r="B276" s="14">
        <v>4</v>
      </c>
      <c r="C276" s="15" t="s">
        <v>1847</v>
      </c>
      <c r="D276" s="14" t="s">
        <v>1749</v>
      </c>
      <c r="E276" s="14" t="s">
        <v>1746</v>
      </c>
      <c r="F276" s="17" t="s">
        <v>2995</v>
      </c>
      <c r="G276" s="14">
        <v>372</v>
      </c>
      <c r="H276" s="14">
        <v>334.8</v>
      </c>
      <c r="I276" s="31">
        <f>IF(COUNTIFS(Addendum!C:C,A276,Addendum!D:D,IF(ISNUMBER(B276),TEXT(B276,"0000"),B276),Addendum!E:E,"X")&gt;0,4%,0)</f>
        <v>0</v>
      </c>
      <c r="J276" s="31">
        <f>IF(COUNTIFS(Addendum!C:C,A276,Addendum!D:D,IF(ISNUMBER(B276),TEXT(B276,"0000"),B276),Addendum!F:F,"X")&gt;0,2.5%,0)</f>
        <v>0</v>
      </c>
      <c r="K276" s="31">
        <f>IF(COUNTIFS(Addendum!C:C,A276,Addendum!D:D,IF(ISNUMBER(B276),TEXT(B276,"0000"),B276),Addendum!G:G,"X")&gt;0,7%,0)</f>
        <v>0</v>
      </c>
      <c r="L276" s="31">
        <f>IF(COUNTIFS(Addendum!C:C,A276,Addendum!D:D,IF(ISNUMBER(B276),TEXT(B276,"0000"),B276),Addendum!I:I,"X")&gt;0,10%,0)</f>
        <v>0</v>
      </c>
      <c r="M276" s="34">
        <f t="shared" si="8"/>
        <v>0</v>
      </c>
      <c r="N276" s="17">
        <f t="shared" si="9"/>
        <v>334.8</v>
      </c>
    </row>
    <row r="277" spans="1:14" x14ac:dyDescent="0.25">
      <c r="A277" s="14" t="s">
        <v>1845</v>
      </c>
      <c r="B277" s="14">
        <v>1</v>
      </c>
      <c r="C277" s="15" t="s">
        <v>1848</v>
      </c>
      <c r="D277" s="14" t="s">
        <v>1749</v>
      </c>
      <c r="E277" s="14" t="s">
        <v>1746</v>
      </c>
      <c r="F277" s="17" t="s">
        <v>2993</v>
      </c>
      <c r="G277" s="14">
        <v>1500</v>
      </c>
      <c r="H277" s="14">
        <v>1125</v>
      </c>
      <c r="I277" s="31">
        <f>IF(COUNTIFS(Addendum!C:C,A277,Addendum!D:D,IF(ISNUMBER(B277),TEXT(B277,"0000"),B277),Addendum!E:E,"X")&gt;0,4%,0)</f>
        <v>0</v>
      </c>
      <c r="J277" s="31">
        <f>IF(COUNTIFS(Addendum!C:C,A277,Addendum!D:D,IF(ISNUMBER(B277),TEXT(B277,"0000"),B277),Addendum!F:F,"X")&gt;0,2.5%,0)</f>
        <v>0</v>
      </c>
      <c r="K277" s="31">
        <f>IF(COUNTIFS(Addendum!C:C,A277,Addendum!D:D,IF(ISNUMBER(B277),TEXT(B277,"0000"),B277),Addendum!G:G,"X")&gt;0,7%,0)</f>
        <v>0</v>
      </c>
      <c r="L277" s="31">
        <f>IF(COUNTIFS(Addendum!C:C,A277,Addendum!D:D,IF(ISNUMBER(B277),TEXT(B277,"0000"),B277),Addendum!I:I,"X")&gt;0,10%,0)</f>
        <v>0</v>
      </c>
      <c r="M277" s="34">
        <f t="shared" si="8"/>
        <v>0</v>
      </c>
      <c r="N277" s="17">
        <f t="shared" si="9"/>
        <v>1125</v>
      </c>
    </row>
    <row r="278" spans="1:14" x14ac:dyDescent="0.25">
      <c r="A278" s="14" t="s">
        <v>1845</v>
      </c>
      <c r="B278" s="14">
        <v>3</v>
      </c>
      <c r="C278" s="15" t="s">
        <v>1849</v>
      </c>
      <c r="D278" s="14" t="s">
        <v>1745</v>
      </c>
      <c r="E278" s="14" t="s">
        <v>1747</v>
      </c>
      <c r="F278" s="17" t="s">
        <v>2994</v>
      </c>
      <c r="G278" s="14">
        <v>8220</v>
      </c>
      <c r="H278" s="14">
        <v>6165</v>
      </c>
      <c r="I278" s="31">
        <f>IF(COUNTIFS(Addendum!C:C,A278,Addendum!D:D,IF(ISNUMBER(B278),TEXT(B278,"0000"),B278),Addendum!E:E,"X")&gt;0,4%,0)</f>
        <v>0</v>
      </c>
      <c r="J278" s="31">
        <f>IF(COUNTIFS(Addendum!C:C,A278,Addendum!D:D,IF(ISNUMBER(B278),TEXT(B278,"0000"),B278),Addendum!F:F,"X")&gt;0,2.5%,0)</f>
        <v>0</v>
      </c>
      <c r="K278" s="31">
        <f>IF(COUNTIFS(Addendum!C:C,A278,Addendum!D:D,IF(ISNUMBER(B278),TEXT(B278,"0000"),B278),Addendum!G:G,"X")&gt;0,7%,0)</f>
        <v>0</v>
      </c>
      <c r="L278" s="31">
        <f>IF(COUNTIFS(Addendum!C:C,A278,Addendum!D:D,IF(ISNUMBER(B278),TEXT(B278,"0000"),B278),Addendum!I:I,"X")&gt;0,10%,0)</f>
        <v>0</v>
      </c>
      <c r="M278" s="34">
        <f t="shared" si="8"/>
        <v>0</v>
      </c>
      <c r="N278" s="17">
        <f t="shared" si="9"/>
        <v>6165</v>
      </c>
    </row>
    <row r="279" spans="1:14" x14ac:dyDescent="0.25">
      <c r="A279" s="14" t="s">
        <v>1845</v>
      </c>
      <c r="B279" s="14">
        <v>3</v>
      </c>
      <c r="C279" s="15" t="s">
        <v>1849</v>
      </c>
      <c r="D279" s="14" t="s">
        <v>1745</v>
      </c>
      <c r="E279" s="14" t="s">
        <v>1746</v>
      </c>
      <c r="F279" s="17" t="s">
        <v>2994</v>
      </c>
      <c r="G279" s="14">
        <v>8631</v>
      </c>
      <c r="H279" s="14">
        <v>6473.28</v>
      </c>
      <c r="I279" s="31">
        <f>IF(COUNTIFS(Addendum!C:C,A279,Addendum!D:D,IF(ISNUMBER(B279),TEXT(B279,"0000"),B279),Addendum!E:E,"X")&gt;0,4%,0)</f>
        <v>0</v>
      </c>
      <c r="J279" s="31">
        <f>IF(COUNTIFS(Addendum!C:C,A279,Addendum!D:D,IF(ISNUMBER(B279),TEXT(B279,"0000"),B279),Addendum!F:F,"X")&gt;0,2.5%,0)</f>
        <v>0</v>
      </c>
      <c r="K279" s="31">
        <f>IF(COUNTIFS(Addendum!C:C,A279,Addendum!D:D,IF(ISNUMBER(B279),TEXT(B279,"0000"),B279),Addendum!G:G,"X")&gt;0,7%,0)</f>
        <v>0</v>
      </c>
      <c r="L279" s="31">
        <f>IF(COUNTIFS(Addendum!C:C,A279,Addendum!D:D,IF(ISNUMBER(B279),TEXT(B279,"0000"),B279),Addendum!I:I,"X")&gt;0,10%,0)</f>
        <v>0</v>
      </c>
      <c r="M279" s="34">
        <f t="shared" si="8"/>
        <v>0</v>
      </c>
      <c r="N279" s="17">
        <f t="shared" si="9"/>
        <v>6473.28</v>
      </c>
    </row>
    <row r="280" spans="1:14" x14ac:dyDescent="0.25">
      <c r="A280" s="14" t="s">
        <v>1845</v>
      </c>
      <c r="B280" s="14">
        <v>1</v>
      </c>
      <c r="C280" s="15" t="s">
        <v>1848</v>
      </c>
      <c r="D280" s="14" t="s">
        <v>1745</v>
      </c>
      <c r="E280" s="14" t="s">
        <v>1746</v>
      </c>
      <c r="F280" s="17" t="s">
        <v>2993</v>
      </c>
      <c r="G280" s="14">
        <v>15750</v>
      </c>
      <c r="H280" s="14">
        <v>11812.56</v>
      </c>
      <c r="I280" s="31">
        <f>IF(COUNTIFS(Addendum!C:C,A280,Addendum!D:D,IF(ISNUMBER(B280),TEXT(B280,"0000"),B280),Addendum!E:E,"X")&gt;0,4%,0)</f>
        <v>0</v>
      </c>
      <c r="J280" s="31">
        <f>IF(COUNTIFS(Addendum!C:C,A280,Addendum!D:D,IF(ISNUMBER(B280),TEXT(B280,"0000"),B280),Addendum!F:F,"X")&gt;0,2.5%,0)</f>
        <v>0</v>
      </c>
      <c r="K280" s="31">
        <f>IF(COUNTIFS(Addendum!C:C,A280,Addendum!D:D,IF(ISNUMBER(B280),TEXT(B280,"0000"),B280),Addendum!G:G,"X")&gt;0,7%,0)</f>
        <v>0</v>
      </c>
      <c r="L280" s="31">
        <f>IF(COUNTIFS(Addendum!C:C,A280,Addendum!D:D,IF(ISNUMBER(B280),TEXT(B280,"0000"),B280),Addendum!I:I,"X")&gt;0,10%,0)</f>
        <v>0</v>
      </c>
      <c r="M280" s="34">
        <f t="shared" si="8"/>
        <v>0</v>
      </c>
      <c r="N280" s="17">
        <f t="shared" si="9"/>
        <v>11812.56</v>
      </c>
    </row>
    <row r="281" spans="1:14" x14ac:dyDescent="0.25">
      <c r="A281" s="14" t="s">
        <v>1845</v>
      </c>
      <c r="B281" s="14">
        <v>2</v>
      </c>
      <c r="C281" s="15" t="s">
        <v>1846</v>
      </c>
      <c r="D281" s="14" t="s">
        <v>1745</v>
      </c>
      <c r="E281" s="14" t="s">
        <v>1746</v>
      </c>
      <c r="F281" s="17" t="s">
        <v>2994</v>
      </c>
      <c r="G281" s="14">
        <v>6300</v>
      </c>
      <c r="H281" s="14">
        <v>4725</v>
      </c>
      <c r="I281" s="31">
        <f>IF(COUNTIFS(Addendum!C:C,A281,Addendum!D:D,IF(ISNUMBER(B281),TEXT(B281,"0000"),B281),Addendum!E:E,"X")&gt;0,4%,0)</f>
        <v>0</v>
      </c>
      <c r="J281" s="31">
        <f>IF(COUNTIFS(Addendum!C:C,A281,Addendum!D:D,IF(ISNUMBER(B281),TEXT(B281,"0000"),B281),Addendum!F:F,"X")&gt;0,2.5%,0)</f>
        <v>0</v>
      </c>
      <c r="K281" s="31">
        <f>IF(COUNTIFS(Addendum!C:C,A281,Addendum!D:D,IF(ISNUMBER(B281),TEXT(B281,"0000"),B281),Addendum!G:G,"X")&gt;0,7%,0)</f>
        <v>0</v>
      </c>
      <c r="L281" s="31">
        <f>IF(COUNTIFS(Addendum!C:C,A281,Addendum!D:D,IF(ISNUMBER(B281),TEXT(B281,"0000"),B281),Addendum!I:I,"X")&gt;0,10%,0)</f>
        <v>0</v>
      </c>
      <c r="M281" s="34">
        <f t="shared" si="8"/>
        <v>0</v>
      </c>
      <c r="N281" s="17">
        <f t="shared" si="9"/>
        <v>4725</v>
      </c>
    </row>
    <row r="282" spans="1:14" x14ac:dyDescent="0.25">
      <c r="A282" s="14" t="s">
        <v>1845</v>
      </c>
      <c r="B282" s="14">
        <v>4</v>
      </c>
      <c r="C282" s="15" t="s">
        <v>1847</v>
      </c>
      <c r="D282" s="14" t="s">
        <v>1745</v>
      </c>
      <c r="E282" s="14" t="s">
        <v>1747</v>
      </c>
      <c r="F282" s="17" t="s">
        <v>2995</v>
      </c>
      <c r="G282" s="14">
        <v>3720</v>
      </c>
      <c r="H282" s="14">
        <v>3348</v>
      </c>
      <c r="I282" s="31">
        <f>IF(COUNTIFS(Addendum!C:C,A282,Addendum!D:D,IF(ISNUMBER(B282),TEXT(B282,"0000"),B282),Addendum!E:E,"X")&gt;0,4%,0)</f>
        <v>0</v>
      </c>
      <c r="J282" s="31">
        <f>IF(COUNTIFS(Addendum!C:C,A282,Addendum!D:D,IF(ISNUMBER(B282),TEXT(B282,"0000"),B282),Addendum!F:F,"X")&gt;0,2.5%,0)</f>
        <v>0</v>
      </c>
      <c r="K282" s="31">
        <f>IF(COUNTIFS(Addendum!C:C,A282,Addendum!D:D,IF(ISNUMBER(B282),TEXT(B282,"0000"),B282),Addendum!G:G,"X")&gt;0,7%,0)</f>
        <v>0</v>
      </c>
      <c r="L282" s="31">
        <f>IF(COUNTIFS(Addendum!C:C,A282,Addendum!D:D,IF(ISNUMBER(B282),TEXT(B282,"0000"),B282),Addendum!I:I,"X")&gt;0,10%,0)</f>
        <v>0</v>
      </c>
      <c r="M282" s="34">
        <f t="shared" si="8"/>
        <v>0</v>
      </c>
      <c r="N282" s="17">
        <f t="shared" si="9"/>
        <v>3348</v>
      </c>
    </row>
    <row r="283" spans="1:14" x14ac:dyDescent="0.25">
      <c r="A283" s="14" t="s">
        <v>1845</v>
      </c>
      <c r="B283" s="14">
        <v>4</v>
      </c>
      <c r="C283" s="15" t="s">
        <v>1847</v>
      </c>
      <c r="D283" s="14" t="s">
        <v>1745</v>
      </c>
      <c r="E283" s="14" t="s">
        <v>1746</v>
      </c>
      <c r="F283" s="17" t="s">
        <v>2995</v>
      </c>
      <c r="G283" s="14">
        <v>3906</v>
      </c>
      <c r="H283" s="14">
        <v>3515.4</v>
      </c>
      <c r="I283" s="31">
        <f>IF(COUNTIFS(Addendum!C:C,A283,Addendum!D:D,IF(ISNUMBER(B283),TEXT(B283,"0000"),B283),Addendum!E:E,"X")&gt;0,4%,0)</f>
        <v>0</v>
      </c>
      <c r="J283" s="31">
        <f>IF(COUNTIFS(Addendum!C:C,A283,Addendum!D:D,IF(ISNUMBER(B283),TEXT(B283,"0000"),B283),Addendum!F:F,"X")&gt;0,2.5%,0)</f>
        <v>0</v>
      </c>
      <c r="K283" s="31">
        <f>IF(COUNTIFS(Addendum!C:C,A283,Addendum!D:D,IF(ISNUMBER(B283),TEXT(B283,"0000"),B283),Addendum!G:G,"X")&gt;0,7%,0)</f>
        <v>0</v>
      </c>
      <c r="L283" s="31">
        <f>IF(COUNTIFS(Addendum!C:C,A283,Addendum!D:D,IF(ISNUMBER(B283),TEXT(B283,"0000"),B283),Addendum!I:I,"X")&gt;0,10%,0)</f>
        <v>0</v>
      </c>
      <c r="M283" s="34">
        <f t="shared" si="8"/>
        <v>0</v>
      </c>
      <c r="N283" s="17">
        <f t="shared" si="9"/>
        <v>3515.4</v>
      </c>
    </row>
    <row r="284" spans="1:14" x14ac:dyDescent="0.25">
      <c r="A284" s="14" t="s">
        <v>1845</v>
      </c>
      <c r="B284" s="14">
        <v>2</v>
      </c>
      <c r="C284" s="15" t="s">
        <v>1846</v>
      </c>
      <c r="D284" s="14" t="s">
        <v>1745</v>
      </c>
      <c r="E284" s="14" t="s">
        <v>1747</v>
      </c>
      <c r="F284" s="17" t="s">
        <v>2994</v>
      </c>
      <c r="G284" s="14">
        <v>6000</v>
      </c>
      <c r="H284" s="14">
        <v>4500</v>
      </c>
      <c r="I284" s="31">
        <f>IF(COUNTIFS(Addendum!C:C,A284,Addendum!D:D,IF(ISNUMBER(B284),TEXT(B284,"0000"),B284),Addendum!E:E,"X")&gt;0,4%,0)</f>
        <v>0</v>
      </c>
      <c r="J284" s="31">
        <f>IF(COUNTIFS(Addendum!C:C,A284,Addendum!D:D,IF(ISNUMBER(B284),TEXT(B284,"0000"),B284),Addendum!F:F,"X")&gt;0,2.5%,0)</f>
        <v>0</v>
      </c>
      <c r="K284" s="31">
        <f>IF(COUNTIFS(Addendum!C:C,A284,Addendum!D:D,IF(ISNUMBER(B284),TEXT(B284,"0000"),B284),Addendum!G:G,"X")&gt;0,7%,0)</f>
        <v>0</v>
      </c>
      <c r="L284" s="31">
        <f>IF(COUNTIFS(Addendum!C:C,A284,Addendum!D:D,IF(ISNUMBER(B284),TEXT(B284,"0000"),B284),Addendum!I:I,"X")&gt;0,10%,0)</f>
        <v>0</v>
      </c>
      <c r="M284" s="34">
        <f t="shared" si="8"/>
        <v>0</v>
      </c>
      <c r="N284" s="17">
        <f t="shared" si="9"/>
        <v>4500</v>
      </c>
    </row>
    <row r="285" spans="1:14" x14ac:dyDescent="0.25">
      <c r="A285" s="14" t="s">
        <v>1845</v>
      </c>
      <c r="B285" s="14">
        <v>3</v>
      </c>
      <c r="C285" s="15" t="s">
        <v>1849</v>
      </c>
      <c r="D285" s="14" t="s">
        <v>1749</v>
      </c>
      <c r="E285" s="14" t="s">
        <v>1746</v>
      </c>
      <c r="F285" s="17" t="s">
        <v>2994</v>
      </c>
      <c r="G285" s="14">
        <v>822</v>
      </c>
      <c r="H285" s="14">
        <v>616.5</v>
      </c>
      <c r="I285" s="31">
        <f>IF(COUNTIFS(Addendum!C:C,A285,Addendum!D:D,IF(ISNUMBER(B285),TEXT(B285,"0000"),B285),Addendum!E:E,"X")&gt;0,4%,0)</f>
        <v>0</v>
      </c>
      <c r="J285" s="31">
        <f>IF(COUNTIFS(Addendum!C:C,A285,Addendum!D:D,IF(ISNUMBER(B285),TEXT(B285,"0000"),B285),Addendum!F:F,"X")&gt;0,2.5%,0)</f>
        <v>0</v>
      </c>
      <c r="K285" s="31">
        <f>IF(COUNTIFS(Addendum!C:C,A285,Addendum!D:D,IF(ISNUMBER(B285),TEXT(B285,"0000"),B285),Addendum!G:G,"X")&gt;0,7%,0)</f>
        <v>0</v>
      </c>
      <c r="L285" s="31">
        <f>IF(COUNTIFS(Addendum!C:C,A285,Addendum!D:D,IF(ISNUMBER(B285),TEXT(B285,"0000"),B285),Addendum!I:I,"X")&gt;0,10%,0)</f>
        <v>0</v>
      </c>
      <c r="M285" s="34">
        <f t="shared" si="8"/>
        <v>0</v>
      </c>
      <c r="N285" s="17">
        <f t="shared" si="9"/>
        <v>616.5</v>
      </c>
    </row>
    <row r="286" spans="1:14" x14ac:dyDescent="0.25">
      <c r="A286" s="14" t="s">
        <v>1845</v>
      </c>
      <c r="B286" s="14">
        <v>1</v>
      </c>
      <c r="C286" s="15" t="s">
        <v>1848</v>
      </c>
      <c r="D286" s="14" t="s">
        <v>1745</v>
      </c>
      <c r="E286" s="14" t="s">
        <v>1747</v>
      </c>
      <c r="F286" s="17" t="s">
        <v>2993</v>
      </c>
      <c r="G286" s="14">
        <v>15000</v>
      </c>
      <c r="H286" s="14">
        <v>11250</v>
      </c>
      <c r="I286" s="31">
        <f>IF(COUNTIFS(Addendum!C:C,A286,Addendum!D:D,IF(ISNUMBER(B286),TEXT(B286,"0000"),B286),Addendum!E:E,"X")&gt;0,4%,0)</f>
        <v>0</v>
      </c>
      <c r="J286" s="31">
        <f>IF(COUNTIFS(Addendum!C:C,A286,Addendum!D:D,IF(ISNUMBER(B286),TEXT(B286,"0000"),B286),Addendum!F:F,"X")&gt;0,2.5%,0)</f>
        <v>0</v>
      </c>
      <c r="K286" s="31">
        <f>IF(COUNTIFS(Addendum!C:C,A286,Addendum!D:D,IF(ISNUMBER(B286),TEXT(B286,"0000"),B286),Addendum!G:G,"X")&gt;0,7%,0)</f>
        <v>0</v>
      </c>
      <c r="L286" s="31">
        <f>IF(COUNTIFS(Addendum!C:C,A286,Addendum!D:D,IF(ISNUMBER(B286),TEXT(B286,"0000"),B286),Addendum!I:I,"X")&gt;0,10%,0)</f>
        <v>0</v>
      </c>
      <c r="M286" s="34">
        <f t="shared" si="8"/>
        <v>0</v>
      </c>
      <c r="N286" s="17">
        <f t="shared" si="9"/>
        <v>11250</v>
      </c>
    </row>
    <row r="287" spans="1:14" x14ac:dyDescent="0.25">
      <c r="A287" s="14" t="s">
        <v>1850</v>
      </c>
      <c r="B287" s="14">
        <v>1</v>
      </c>
      <c r="C287" s="15" t="s">
        <v>1851</v>
      </c>
      <c r="D287" s="14" t="s">
        <v>1745</v>
      </c>
      <c r="E287" s="14" t="s">
        <v>1746</v>
      </c>
      <c r="F287" s="17" t="s">
        <v>2993</v>
      </c>
      <c r="G287" s="14">
        <v>31437</v>
      </c>
      <c r="H287" s="14">
        <v>22005.96</v>
      </c>
      <c r="I287" s="31">
        <f>IF(COUNTIFS(Addendum!C:C,A287,Addendum!D:D,IF(ISNUMBER(B287),TEXT(B287,"0000"),B287),Addendum!E:E,"X")&gt;0,4%,0)</f>
        <v>0</v>
      </c>
      <c r="J287" s="31">
        <f>IF(COUNTIFS(Addendum!C:C,A287,Addendum!D:D,IF(ISNUMBER(B287),TEXT(B287,"0000"),B287),Addendum!F:F,"X")&gt;0,2.5%,0)</f>
        <v>0</v>
      </c>
      <c r="K287" s="31">
        <f>IF(COUNTIFS(Addendum!C:C,A287,Addendum!D:D,IF(ISNUMBER(B287),TEXT(B287,"0000"),B287),Addendum!G:G,"X")&gt;0,7%,0)</f>
        <v>0</v>
      </c>
      <c r="L287" s="31">
        <f>IF(COUNTIFS(Addendum!C:C,A287,Addendum!D:D,IF(ISNUMBER(B287),TEXT(B287,"0000"),B287),Addendum!I:I,"X")&gt;0,10%,0)</f>
        <v>0</v>
      </c>
      <c r="M287" s="34">
        <f t="shared" si="8"/>
        <v>0</v>
      </c>
      <c r="N287" s="17">
        <f t="shared" si="9"/>
        <v>22005.96</v>
      </c>
    </row>
    <row r="288" spans="1:14" x14ac:dyDescent="0.25">
      <c r="A288" s="14" t="s">
        <v>1852</v>
      </c>
      <c r="B288" s="14" t="s">
        <v>1643</v>
      </c>
      <c r="C288" s="15" t="s">
        <v>1853</v>
      </c>
      <c r="D288" s="14" t="s">
        <v>1745</v>
      </c>
      <c r="E288" s="14" t="s">
        <v>1746</v>
      </c>
      <c r="F288" s="17" t="s">
        <v>2995</v>
      </c>
      <c r="G288" s="14">
        <v>157248</v>
      </c>
      <c r="H288" s="14">
        <v>141523.20000000001</v>
      </c>
      <c r="I288" s="31">
        <f>IF(COUNTIFS(Addendum!C:C,A288,Addendum!D:D,IF(ISNUMBER(B288),TEXT(B288,"0000"),B288),Addendum!E:E,"X")&gt;0,4%,0)</f>
        <v>0</v>
      </c>
      <c r="J288" s="31">
        <f>IF(COUNTIFS(Addendum!C:C,A288,Addendum!D:D,IF(ISNUMBER(B288),TEXT(B288,"0000"),B288),Addendum!F:F,"X")&gt;0,2.5%,0)</f>
        <v>0</v>
      </c>
      <c r="K288" s="31">
        <f>IF(COUNTIFS(Addendum!C:C,A288,Addendum!D:D,IF(ISNUMBER(B288),TEXT(B288,"0000"),B288),Addendum!G:G,"X")&gt;0,7%,0)</f>
        <v>0</v>
      </c>
      <c r="L288" s="31">
        <f>IF(COUNTIFS(Addendum!C:C,A288,Addendum!D:D,IF(ISNUMBER(B288),TEXT(B288,"0000"),B288),Addendum!I:I,"X")&gt;0,10%,0)</f>
        <v>0</v>
      </c>
      <c r="M288" s="34">
        <f t="shared" si="8"/>
        <v>0</v>
      </c>
      <c r="N288" s="17">
        <f t="shared" si="9"/>
        <v>141523.20000000001</v>
      </c>
    </row>
    <row r="289" spans="1:14" ht="30" x14ac:dyDescent="0.25">
      <c r="A289" s="14" t="s">
        <v>1850</v>
      </c>
      <c r="B289" s="14" t="s">
        <v>39</v>
      </c>
      <c r="C289" s="15" t="s">
        <v>1854</v>
      </c>
      <c r="D289" s="14" t="s">
        <v>1745</v>
      </c>
      <c r="E289" s="14" t="s">
        <v>1746</v>
      </c>
      <c r="F289" s="17" t="s">
        <v>2994</v>
      </c>
      <c r="G289" s="14">
        <v>12600</v>
      </c>
      <c r="H289" s="14">
        <v>8820</v>
      </c>
      <c r="I289" s="31">
        <f>IF(COUNTIFS(Addendum!C:C,A289,Addendum!D:D,IF(ISNUMBER(B289),TEXT(B289,"0000"),B289),Addendum!E:E,"X")&gt;0,4%,0)</f>
        <v>0</v>
      </c>
      <c r="J289" s="31">
        <f>IF(COUNTIFS(Addendum!C:C,A289,Addendum!D:D,IF(ISNUMBER(B289),TEXT(B289,"0000"),B289),Addendum!F:F,"X")&gt;0,2.5%,0)</f>
        <v>0</v>
      </c>
      <c r="K289" s="31">
        <f>IF(COUNTIFS(Addendum!C:C,A289,Addendum!D:D,IF(ISNUMBER(B289),TEXT(B289,"0000"),B289),Addendum!G:G,"X")&gt;0,7%,0)</f>
        <v>0</v>
      </c>
      <c r="L289" s="31">
        <f>IF(COUNTIFS(Addendum!C:C,A289,Addendum!D:D,IF(ISNUMBER(B289),TEXT(B289,"0000"),B289),Addendum!I:I,"X")&gt;0,10%,0)</f>
        <v>0</v>
      </c>
      <c r="M289" s="34">
        <f t="shared" si="8"/>
        <v>0</v>
      </c>
      <c r="N289" s="17">
        <f t="shared" si="9"/>
        <v>8820</v>
      </c>
    </row>
    <row r="290" spans="1:14" x14ac:dyDescent="0.25">
      <c r="A290" s="14" t="s">
        <v>1852</v>
      </c>
      <c r="B290" s="14">
        <v>52</v>
      </c>
      <c r="C290" s="15" t="s">
        <v>1855</v>
      </c>
      <c r="D290" s="14" t="s">
        <v>1749</v>
      </c>
      <c r="E290" s="14" t="s">
        <v>1746</v>
      </c>
      <c r="F290" s="17" t="s">
        <v>2994</v>
      </c>
      <c r="G290" s="14">
        <v>19968</v>
      </c>
      <c r="H290" s="14">
        <v>13977.6</v>
      </c>
      <c r="I290" s="31">
        <f>IF(COUNTIFS(Addendum!C:C,A290,Addendum!D:D,IF(ISNUMBER(B290),TEXT(B290,"0000"),B290),Addendum!E:E,"X")&gt;0,4%,0)</f>
        <v>0</v>
      </c>
      <c r="J290" s="31">
        <f>IF(COUNTIFS(Addendum!C:C,A290,Addendum!D:D,IF(ISNUMBER(B290),TEXT(B290,"0000"),B290),Addendum!F:F,"X")&gt;0,2.5%,0)</f>
        <v>0</v>
      </c>
      <c r="K290" s="31">
        <f>IF(COUNTIFS(Addendum!C:C,A290,Addendum!D:D,IF(ISNUMBER(B290),TEXT(B290,"0000"),B290),Addendum!G:G,"X")&gt;0,7%,0)</f>
        <v>0</v>
      </c>
      <c r="L290" s="31">
        <f>IF(COUNTIFS(Addendum!C:C,A290,Addendum!D:D,IF(ISNUMBER(B290),TEXT(B290,"0000"),B290),Addendum!I:I,"X")&gt;0,10%,0)</f>
        <v>0</v>
      </c>
      <c r="M290" s="34">
        <f t="shared" si="8"/>
        <v>0</v>
      </c>
      <c r="N290" s="17">
        <f t="shared" si="9"/>
        <v>13977.6</v>
      </c>
    </row>
    <row r="291" spans="1:14" x14ac:dyDescent="0.25">
      <c r="A291" s="14" t="s">
        <v>1852</v>
      </c>
      <c r="B291" s="14" t="s">
        <v>1578</v>
      </c>
      <c r="C291" s="15" t="s">
        <v>1856</v>
      </c>
      <c r="D291" s="14" t="s">
        <v>1745</v>
      </c>
      <c r="E291" s="14" t="s">
        <v>1747</v>
      </c>
      <c r="F291" s="17" t="s">
        <v>2995</v>
      </c>
      <c r="G291" s="14">
        <v>149760</v>
      </c>
      <c r="H291" s="14">
        <v>134784</v>
      </c>
      <c r="I291" s="31">
        <f>IF(COUNTIFS(Addendum!C:C,A291,Addendum!D:D,IF(ISNUMBER(B291),TEXT(B291,"0000"),B291),Addendum!E:E,"X")&gt;0,4%,0)</f>
        <v>0</v>
      </c>
      <c r="J291" s="31">
        <f>IF(COUNTIFS(Addendum!C:C,A291,Addendum!D:D,IF(ISNUMBER(B291),TEXT(B291,"0000"),B291),Addendum!F:F,"X")&gt;0,2.5%,0)</f>
        <v>0</v>
      </c>
      <c r="K291" s="31">
        <f>IF(COUNTIFS(Addendum!C:C,A291,Addendum!D:D,IF(ISNUMBER(B291),TEXT(B291,"0000"),B291),Addendum!G:G,"X")&gt;0,7%,0)</f>
        <v>0</v>
      </c>
      <c r="L291" s="31">
        <f>IF(COUNTIFS(Addendum!C:C,A291,Addendum!D:D,IF(ISNUMBER(B291),TEXT(B291,"0000"),B291),Addendum!I:I,"X")&gt;0,10%,0)</f>
        <v>0</v>
      </c>
      <c r="M291" s="34">
        <f t="shared" si="8"/>
        <v>0</v>
      </c>
      <c r="N291" s="17">
        <f t="shared" si="9"/>
        <v>134784</v>
      </c>
    </row>
    <row r="292" spans="1:14" x14ac:dyDescent="0.25">
      <c r="A292" s="14" t="s">
        <v>1852</v>
      </c>
      <c r="B292" s="14">
        <v>76</v>
      </c>
      <c r="C292" s="15" t="s">
        <v>1857</v>
      </c>
      <c r="D292" s="14" t="s">
        <v>1749</v>
      </c>
      <c r="E292" s="14" t="s">
        <v>1746</v>
      </c>
      <c r="F292" s="17" t="s">
        <v>2995</v>
      </c>
      <c r="G292" s="14">
        <v>928452</v>
      </c>
      <c r="H292" s="14">
        <v>835606.8</v>
      </c>
      <c r="I292" s="31">
        <f>IF(COUNTIFS(Addendum!C:C,A292,Addendum!D:D,IF(ISNUMBER(B292),TEXT(B292,"0000"),B292),Addendum!E:E,"X")&gt;0,4%,0)</f>
        <v>0</v>
      </c>
      <c r="J292" s="31">
        <f>IF(COUNTIFS(Addendum!C:C,A292,Addendum!D:D,IF(ISNUMBER(B292),TEXT(B292,"0000"),B292),Addendum!F:F,"X")&gt;0,2.5%,0)</f>
        <v>0</v>
      </c>
      <c r="K292" s="31">
        <f>IF(COUNTIFS(Addendum!C:C,A292,Addendum!D:D,IF(ISNUMBER(B292),TEXT(B292,"0000"),B292),Addendum!G:G,"X")&gt;0,7%,0)</f>
        <v>0</v>
      </c>
      <c r="L292" s="31">
        <f>IF(COUNTIFS(Addendum!C:C,A292,Addendum!D:D,IF(ISNUMBER(B292),TEXT(B292,"0000"),B292),Addendum!I:I,"X")&gt;0,10%,0)</f>
        <v>0</v>
      </c>
      <c r="M292" s="34">
        <f t="shared" si="8"/>
        <v>0</v>
      </c>
      <c r="N292" s="17">
        <f t="shared" si="9"/>
        <v>835606.8</v>
      </c>
    </row>
    <row r="293" spans="1:14" x14ac:dyDescent="0.25">
      <c r="A293" s="14" t="s">
        <v>1852</v>
      </c>
      <c r="B293" s="14" t="s">
        <v>1647</v>
      </c>
      <c r="C293" s="15" t="s">
        <v>1858</v>
      </c>
      <c r="D293" s="14" t="s">
        <v>1745</v>
      </c>
      <c r="E293" s="14" t="s">
        <v>1747</v>
      </c>
      <c r="F293" s="17" t="s">
        <v>2994</v>
      </c>
      <c r="G293" s="14">
        <v>199680</v>
      </c>
      <c r="H293" s="14">
        <v>139776</v>
      </c>
      <c r="I293" s="31">
        <f>IF(COUNTIFS(Addendum!C:C,A293,Addendum!D:D,IF(ISNUMBER(B293),TEXT(B293,"0000"),B293),Addendum!E:E,"X")&gt;0,4%,0)</f>
        <v>0</v>
      </c>
      <c r="J293" s="31">
        <f>IF(COUNTIFS(Addendum!C:C,A293,Addendum!D:D,IF(ISNUMBER(B293),TEXT(B293,"0000"),B293),Addendum!F:F,"X")&gt;0,2.5%,0)</f>
        <v>0</v>
      </c>
      <c r="K293" s="31">
        <f>IF(COUNTIFS(Addendum!C:C,A293,Addendum!D:D,IF(ISNUMBER(B293),TEXT(B293,"0000"),B293),Addendum!G:G,"X")&gt;0,7%,0)</f>
        <v>0</v>
      </c>
      <c r="L293" s="31">
        <f>IF(COUNTIFS(Addendum!C:C,A293,Addendum!D:D,IF(ISNUMBER(B293),TEXT(B293,"0000"),B293),Addendum!I:I,"X")&gt;0,10%,0)</f>
        <v>0</v>
      </c>
      <c r="M293" s="34">
        <f t="shared" si="8"/>
        <v>0</v>
      </c>
      <c r="N293" s="17">
        <f t="shared" si="9"/>
        <v>139776</v>
      </c>
    </row>
    <row r="294" spans="1:14" x14ac:dyDescent="0.25">
      <c r="A294" s="14" t="s">
        <v>1852</v>
      </c>
      <c r="B294" s="14" t="s">
        <v>1595</v>
      </c>
      <c r="C294" s="15" t="s">
        <v>1859</v>
      </c>
      <c r="D294" s="14" t="s">
        <v>1745</v>
      </c>
      <c r="E294" s="14" t="s">
        <v>1746</v>
      </c>
      <c r="F294" s="17" t="s">
        <v>2994</v>
      </c>
      <c r="G294" s="14">
        <v>288288</v>
      </c>
      <c r="H294" s="14">
        <v>201801.60000000001</v>
      </c>
      <c r="I294" s="31">
        <f>IF(COUNTIFS(Addendum!C:C,A294,Addendum!D:D,IF(ISNUMBER(B294),TEXT(B294,"0000"),B294),Addendum!E:E,"X")&gt;0,4%,0)</f>
        <v>0</v>
      </c>
      <c r="J294" s="31">
        <f>IF(COUNTIFS(Addendum!C:C,A294,Addendum!D:D,IF(ISNUMBER(B294),TEXT(B294,"0000"),B294),Addendum!F:F,"X")&gt;0,2.5%,0)</f>
        <v>0</v>
      </c>
      <c r="K294" s="31">
        <f>IF(COUNTIFS(Addendum!C:C,A294,Addendum!D:D,IF(ISNUMBER(B294),TEXT(B294,"0000"),B294),Addendum!G:G,"X")&gt;0,7%,0)</f>
        <v>0</v>
      </c>
      <c r="L294" s="31">
        <f>IF(COUNTIFS(Addendum!C:C,A294,Addendum!D:D,IF(ISNUMBER(B294),TEXT(B294,"0000"),B294),Addendum!I:I,"X")&gt;0,10%,0)</f>
        <v>0</v>
      </c>
      <c r="M294" s="34">
        <f t="shared" si="8"/>
        <v>0</v>
      </c>
      <c r="N294" s="17">
        <f t="shared" si="9"/>
        <v>201801.60000000001</v>
      </c>
    </row>
    <row r="295" spans="1:14" x14ac:dyDescent="0.25">
      <c r="A295" s="14" t="s">
        <v>1852</v>
      </c>
      <c r="B295" s="14" t="s">
        <v>1708</v>
      </c>
      <c r="C295" s="15" t="s">
        <v>1860</v>
      </c>
      <c r="D295" s="14" t="s">
        <v>1745</v>
      </c>
      <c r="E295" s="14" t="s">
        <v>1746</v>
      </c>
      <c r="F295" s="17" t="s">
        <v>2995</v>
      </c>
      <c r="G295" s="14">
        <v>4559877</v>
      </c>
      <c r="H295" s="14">
        <v>4103889</v>
      </c>
      <c r="I295" s="31">
        <f>IF(COUNTIFS(Addendum!C:C,A295,Addendum!D:D,IF(ISNUMBER(B295),TEXT(B295,"0000"),B295),Addendum!E:E,"X")&gt;0,4%,0)</f>
        <v>0</v>
      </c>
      <c r="J295" s="31">
        <f>IF(COUNTIFS(Addendum!C:C,A295,Addendum!D:D,IF(ISNUMBER(B295),TEXT(B295,"0000"),B295),Addendum!F:F,"X")&gt;0,2.5%,0)</f>
        <v>0</v>
      </c>
      <c r="K295" s="31">
        <f>IF(COUNTIFS(Addendum!C:C,A295,Addendum!D:D,IF(ISNUMBER(B295),TEXT(B295,"0000"),B295),Addendum!G:G,"X")&gt;0,7%,0)</f>
        <v>0</v>
      </c>
      <c r="L295" s="31">
        <f>IF(COUNTIFS(Addendum!C:C,A295,Addendum!D:D,IF(ISNUMBER(B295),TEXT(B295,"0000"),B295),Addendum!I:I,"X")&gt;0,10%,0)</f>
        <v>0</v>
      </c>
      <c r="M295" s="34">
        <f t="shared" si="8"/>
        <v>0</v>
      </c>
      <c r="N295" s="17">
        <f t="shared" si="9"/>
        <v>4103889</v>
      </c>
    </row>
    <row r="296" spans="1:14" x14ac:dyDescent="0.25">
      <c r="A296" s="14" t="s">
        <v>1852</v>
      </c>
      <c r="B296" s="14" t="s">
        <v>1583</v>
      </c>
      <c r="C296" s="15" t="s">
        <v>1861</v>
      </c>
      <c r="D296" s="14" t="s">
        <v>1749</v>
      </c>
      <c r="E296" s="14" t="s">
        <v>1746</v>
      </c>
      <c r="F296" s="17" t="s">
        <v>2994</v>
      </c>
      <c r="G296" s="14">
        <v>1237938</v>
      </c>
      <c r="H296" s="14">
        <v>866556.6</v>
      </c>
      <c r="I296" s="31">
        <f>IF(COUNTIFS(Addendum!C:C,A296,Addendum!D:D,IF(ISNUMBER(B296),TEXT(B296,"0000"),B296),Addendum!E:E,"X")&gt;0,4%,0)</f>
        <v>0</v>
      </c>
      <c r="J296" s="31">
        <f>IF(COUNTIFS(Addendum!C:C,A296,Addendum!D:D,IF(ISNUMBER(B296),TEXT(B296,"0000"),B296),Addendum!F:F,"X")&gt;0,2.5%,0)</f>
        <v>0</v>
      </c>
      <c r="K296" s="31">
        <f>IF(COUNTIFS(Addendum!C:C,A296,Addendum!D:D,IF(ISNUMBER(B296),TEXT(B296,"0000"),B296),Addendum!G:G,"X")&gt;0,7%,0)</f>
        <v>0</v>
      </c>
      <c r="L296" s="31">
        <f>IF(COUNTIFS(Addendum!C:C,A296,Addendum!D:D,IF(ISNUMBER(B296),TEXT(B296,"0000"),B296),Addendum!I:I,"X")&gt;0,10%,0)</f>
        <v>0</v>
      </c>
      <c r="M296" s="34">
        <f t="shared" si="8"/>
        <v>0</v>
      </c>
      <c r="N296" s="17">
        <f t="shared" si="9"/>
        <v>866556.6</v>
      </c>
    </row>
    <row r="297" spans="1:14" x14ac:dyDescent="0.25">
      <c r="A297" s="14" t="s">
        <v>1852</v>
      </c>
      <c r="B297" s="14" t="s">
        <v>118</v>
      </c>
      <c r="C297" s="15" t="s">
        <v>1862</v>
      </c>
      <c r="D297" s="14" t="s">
        <v>1749</v>
      </c>
      <c r="E297" s="14" t="s">
        <v>1746</v>
      </c>
      <c r="F297" s="17" t="s">
        <v>2993</v>
      </c>
      <c r="G297" s="14">
        <v>1447590</v>
      </c>
      <c r="H297" s="14">
        <v>1013313</v>
      </c>
      <c r="I297" s="31">
        <f>IF(COUNTIFS(Addendum!C:C,A297,Addendum!D:D,IF(ISNUMBER(B297),TEXT(B297,"0000"),B297),Addendum!E:E,"X")&gt;0,4%,0)</f>
        <v>0</v>
      </c>
      <c r="J297" s="31">
        <f>IF(COUNTIFS(Addendum!C:C,A297,Addendum!D:D,IF(ISNUMBER(B297),TEXT(B297,"0000"),B297),Addendum!F:F,"X")&gt;0,2.5%,0)</f>
        <v>0</v>
      </c>
      <c r="K297" s="31">
        <f>IF(COUNTIFS(Addendum!C:C,A297,Addendum!D:D,IF(ISNUMBER(B297),TEXT(B297,"0000"),B297),Addendum!G:G,"X")&gt;0,7%,0)</f>
        <v>0</v>
      </c>
      <c r="L297" s="31">
        <f>IF(COUNTIFS(Addendum!C:C,A297,Addendum!D:D,IF(ISNUMBER(B297),TEXT(B297,"0000"),B297),Addendum!I:I,"X")&gt;0,10%,0)</f>
        <v>0</v>
      </c>
      <c r="M297" s="34">
        <f t="shared" si="8"/>
        <v>0</v>
      </c>
      <c r="N297" s="17">
        <f t="shared" si="9"/>
        <v>1013313</v>
      </c>
    </row>
    <row r="298" spans="1:14" x14ac:dyDescent="0.25">
      <c r="A298" s="14" t="s">
        <v>1852</v>
      </c>
      <c r="B298" s="14">
        <v>13</v>
      </c>
      <c r="C298" s="15" t="s">
        <v>1863</v>
      </c>
      <c r="D298" s="14" t="s">
        <v>1745</v>
      </c>
      <c r="E298" s="14" t="s">
        <v>1747</v>
      </c>
      <c r="F298" s="17" t="s">
        <v>2993</v>
      </c>
      <c r="G298" s="14">
        <v>3993360</v>
      </c>
      <c r="H298" s="14">
        <v>2795352</v>
      </c>
      <c r="I298" s="31">
        <f>IF(COUNTIFS(Addendum!C:C,A298,Addendum!D:D,IF(ISNUMBER(B298),TEXT(B298,"0000"),B298),Addendum!E:E,"X")&gt;0,4%,0)</f>
        <v>0</v>
      </c>
      <c r="J298" s="31">
        <f>IF(COUNTIFS(Addendum!C:C,A298,Addendum!D:D,IF(ISNUMBER(B298),TEXT(B298,"0000"),B298),Addendum!F:F,"X")&gt;0,2.5%,0)</f>
        <v>0</v>
      </c>
      <c r="K298" s="31">
        <f>IF(COUNTIFS(Addendum!C:C,A298,Addendum!D:D,IF(ISNUMBER(B298),TEXT(B298,"0000"),B298),Addendum!G:G,"X")&gt;0,7%,0)</f>
        <v>0</v>
      </c>
      <c r="L298" s="31">
        <f>IF(COUNTIFS(Addendum!C:C,A298,Addendum!D:D,IF(ISNUMBER(B298),TEXT(B298,"0000"),B298),Addendum!I:I,"X")&gt;0,10%,0)</f>
        <v>0</v>
      </c>
      <c r="M298" s="34">
        <f t="shared" si="8"/>
        <v>0</v>
      </c>
      <c r="N298" s="17">
        <f t="shared" si="9"/>
        <v>2795352</v>
      </c>
    </row>
    <row r="299" spans="1:14" x14ac:dyDescent="0.25">
      <c r="A299" s="14" t="s">
        <v>1852</v>
      </c>
      <c r="B299" s="14">
        <v>67</v>
      </c>
      <c r="C299" s="15" t="s">
        <v>1864</v>
      </c>
      <c r="D299" s="14" t="s">
        <v>1745</v>
      </c>
      <c r="E299" s="14" t="s">
        <v>1746</v>
      </c>
      <c r="F299" s="17" t="s">
        <v>2994</v>
      </c>
      <c r="G299" s="14">
        <v>209664</v>
      </c>
      <c r="H299" s="14">
        <v>146764.79999999999</v>
      </c>
      <c r="I299" s="31">
        <f>IF(COUNTIFS(Addendum!C:C,A299,Addendum!D:D,IF(ISNUMBER(B299),TEXT(B299,"0000"),B299),Addendum!E:E,"X")&gt;0,4%,0)</f>
        <v>0</v>
      </c>
      <c r="J299" s="31">
        <f>IF(COUNTIFS(Addendum!C:C,A299,Addendum!D:D,IF(ISNUMBER(B299),TEXT(B299,"0000"),B299),Addendum!F:F,"X")&gt;0,2.5%,0)</f>
        <v>0</v>
      </c>
      <c r="K299" s="31">
        <f>IF(COUNTIFS(Addendum!C:C,A299,Addendum!D:D,IF(ISNUMBER(B299),TEXT(B299,"0000"),B299),Addendum!G:G,"X")&gt;0,7%,0)</f>
        <v>0</v>
      </c>
      <c r="L299" s="31">
        <f>IF(COUNTIFS(Addendum!C:C,A299,Addendum!D:D,IF(ISNUMBER(B299),TEXT(B299,"0000"),B299),Addendum!I:I,"X")&gt;0,10%,0)</f>
        <v>0</v>
      </c>
      <c r="M299" s="34">
        <f t="shared" si="8"/>
        <v>0</v>
      </c>
      <c r="N299" s="17">
        <f t="shared" si="9"/>
        <v>146764.79999999999</v>
      </c>
    </row>
    <row r="300" spans="1:14" x14ac:dyDescent="0.25">
      <c r="A300" s="14" t="s">
        <v>1852</v>
      </c>
      <c r="B300" s="14">
        <v>64</v>
      </c>
      <c r="C300" s="15" t="s">
        <v>1865</v>
      </c>
      <c r="D300" s="14" t="s">
        <v>1745</v>
      </c>
      <c r="E300" s="14" t="s">
        <v>1746</v>
      </c>
      <c r="F300" s="17" t="s">
        <v>2994</v>
      </c>
      <c r="G300" s="14">
        <v>209664</v>
      </c>
      <c r="H300" s="14">
        <v>146764.79999999999</v>
      </c>
      <c r="I300" s="31">
        <f>IF(COUNTIFS(Addendum!C:C,A300,Addendum!D:D,IF(ISNUMBER(B300),TEXT(B300,"0000"),B300),Addendum!E:E,"X")&gt;0,4%,0)</f>
        <v>0</v>
      </c>
      <c r="J300" s="31">
        <f>IF(COUNTIFS(Addendum!C:C,A300,Addendum!D:D,IF(ISNUMBER(B300),TEXT(B300,"0000"),B300),Addendum!F:F,"X")&gt;0,2.5%,0)</f>
        <v>0</v>
      </c>
      <c r="K300" s="31">
        <f>IF(COUNTIFS(Addendum!C:C,A300,Addendum!D:D,IF(ISNUMBER(B300),TEXT(B300,"0000"),B300),Addendum!G:G,"X")&gt;0,7%,0)</f>
        <v>0</v>
      </c>
      <c r="L300" s="31">
        <f>IF(COUNTIFS(Addendum!C:C,A300,Addendum!D:D,IF(ISNUMBER(B300),TEXT(B300,"0000"),B300),Addendum!I:I,"X")&gt;0,10%,0)</f>
        <v>0</v>
      </c>
      <c r="M300" s="34">
        <f t="shared" si="8"/>
        <v>0</v>
      </c>
      <c r="N300" s="17">
        <f t="shared" si="9"/>
        <v>146764.79999999999</v>
      </c>
    </row>
    <row r="301" spans="1:14" x14ac:dyDescent="0.25">
      <c r="A301" s="14" t="s">
        <v>1852</v>
      </c>
      <c r="B301" s="14" t="s">
        <v>46</v>
      </c>
      <c r="C301" s="15" t="s">
        <v>1866</v>
      </c>
      <c r="D301" s="14" t="s">
        <v>1745</v>
      </c>
      <c r="E301" s="14" t="s">
        <v>1746</v>
      </c>
      <c r="F301" s="17" t="s">
        <v>2993</v>
      </c>
      <c r="G301" s="14">
        <v>15199695</v>
      </c>
      <c r="H301" s="14">
        <v>10639787</v>
      </c>
      <c r="I301" s="31">
        <f>IF(COUNTIFS(Addendum!C:C,A301,Addendum!D:D,IF(ISNUMBER(B301),TEXT(B301,"0000"),B301),Addendum!E:E,"X")&gt;0,4%,0)</f>
        <v>0</v>
      </c>
      <c r="J301" s="31">
        <f>IF(COUNTIFS(Addendum!C:C,A301,Addendum!D:D,IF(ISNUMBER(B301),TEXT(B301,"0000"),B301),Addendum!F:F,"X")&gt;0,2.5%,0)</f>
        <v>0</v>
      </c>
      <c r="K301" s="31">
        <f>IF(COUNTIFS(Addendum!C:C,A301,Addendum!D:D,IF(ISNUMBER(B301),TEXT(B301,"0000"),B301),Addendum!G:G,"X")&gt;0,7%,0)</f>
        <v>0</v>
      </c>
      <c r="L301" s="31">
        <f>IF(COUNTIFS(Addendum!C:C,A301,Addendum!D:D,IF(ISNUMBER(B301),TEXT(B301,"0000"),B301),Addendum!I:I,"X")&gt;0,10%,0)</f>
        <v>0</v>
      </c>
      <c r="M301" s="34">
        <f t="shared" si="8"/>
        <v>0</v>
      </c>
      <c r="N301" s="17">
        <f t="shared" si="9"/>
        <v>10639787</v>
      </c>
    </row>
    <row r="302" spans="1:14" x14ac:dyDescent="0.25">
      <c r="A302" s="14" t="s">
        <v>1852</v>
      </c>
      <c r="B302" s="14">
        <v>87</v>
      </c>
      <c r="C302" s="15" t="s">
        <v>1867</v>
      </c>
      <c r="D302" s="14" t="s">
        <v>1745</v>
      </c>
      <c r="E302" s="14" t="s">
        <v>1747</v>
      </c>
      <c r="F302" s="17" t="s">
        <v>2995</v>
      </c>
      <c r="G302" s="14">
        <v>1198020</v>
      </c>
      <c r="H302" s="14">
        <v>1078218</v>
      </c>
      <c r="I302" s="31">
        <f>IF(COUNTIFS(Addendum!C:C,A302,Addendum!D:D,IF(ISNUMBER(B302),TEXT(B302,"0000"),B302),Addendum!E:E,"X")&gt;0,4%,0)</f>
        <v>0</v>
      </c>
      <c r="J302" s="31">
        <f>IF(COUNTIFS(Addendum!C:C,A302,Addendum!D:D,IF(ISNUMBER(B302),TEXT(B302,"0000"),B302),Addendum!F:F,"X")&gt;0,2.5%,0)</f>
        <v>0</v>
      </c>
      <c r="K302" s="31">
        <f>IF(COUNTIFS(Addendum!C:C,A302,Addendum!D:D,IF(ISNUMBER(B302),TEXT(B302,"0000"),B302),Addendum!G:G,"X")&gt;0,7%,0)</f>
        <v>0</v>
      </c>
      <c r="L302" s="31">
        <f>IF(COUNTIFS(Addendum!C:C,A302,Addendum!D:D,IF(ISNUMBER(B302),TEXT(B302,"0000"),B302),Addendum!I:I,"X")&gt;0,10%,0)</f>
        <v>0</v>
      </c>
      <c r="M302" s="34">
        <f t="shared" si="8"/>
        <v>0</v>
      </c>
      <c r="N302" s="17">
        <f t="shared" si="9"/>
        <v>1078218</v>
      </c>
    </row>
    <row r="303" spans="1:14" x14ac:dyDescent="0.25">
      <c r="A303" s="14" t="s">
        <v>1852</v>
      </c>
      <c r="B303" s="14" t="s">
        <v>417</v>
      </c>
      <c r="C303" s="15" t="s">
        <v>1868</v>
      </c>
      <c r="D303" s="14" t="s">
        <v>1749</v>
      </c>
      <c r="E303" s="14" t="s">
        <v>1746</v>
      </c>
      <c r="F303" s="17" t="s">
        <v>2995</v>
      </c>
      <c r="G303" s="14">
        <v>434274</v>
      </c>
      <c r="H303" s="14">
        <v>390846.6</v>
      </c>
      <c r="I303" s="31">
        <f>IF(COUNTIFS(Addendum!C:C,A303,Addendum!D:D,IF(ISNUMBER(B303),TEXT(B303,"0000"),B303),Addendum!E:E,"X")&gt;0,4%,0)</f>
        <v>0</v>
      </c>
      <c r="J303" s="31">
        <f>IF(COUNTIFS(Addendum!C:C,A303,Addendum!D:D,IF(ISNUMBER(B303),TEXT(B303,"0000"),B303),Addendum!F:F,"X")&gt;0,2.5%,0)</f>
        <v>0</v>
      </c>
      <c r="K303" s="31">
        <f>IF(COUNTIFS(Addendum!C:C,A303,Addendum!D:D,IF(ISNUMBER(B303),TEXT(B303,"0000"),B303),Addendum!G:G,"X")&gt;0,7%,0)</f>
        <v>0</v>
      </c>
      <c r="L303" s="31">
        <f>IF(COUNTIFS(Addendum!C:C,A303,Addendum!D:D,IF(ISNUMBER(B303),TEXT(B303,"0000"),B303),Addendum!I:I,"X")&gt;0,10%,0)</f>
        <v>0</v>
      </c>
      <c r="M303" s="34">
        <f t="shared" si="8"/>
        <v>0</v>
      </c>
      <c r="N303" s="17">
        <f t="shared" si="9"/>
        <v>390846.6</v>
      </c>
    </row>
    <row r="304" spans="1:14" x14ac:dyDescent="0.25">
      <c r="A304" s="14" t="s">
        <v>1852</v>
      </c>
      <c r="B304" s="14" t="s">
        <v>1634</v>
      </c>
      <c r="C304" s="15" t="s">
        <v>1869</v>
      </c>
      <c r="D304" s="14" t="s">
        <v>1745</v>
      </c>
      <c r="E304" s="14" t="s">
        <v>1747</v>
      </c>
      <c r="F304" s="17" t="s">
        <v>2994</v>
      </c>
      <c r="G304" s="14">
        <v>199680</v>
      </c>
      <c r="H304" s="14">
        <v>139776</v>
      </c>
      <c r="I304" s="31">
        <f>IF(COUNTIFS(Addendum!C:C,A304,Addendum!D:D,IF(ISNUMBER(B304),TEXT(B304,"0000"),B304),Addendum!E:E,"X")&gt;0,4%,0)</f>
        <v>0</v>
      </c>
      <c r="J304" s="31">
        <f>IF(COUNTIFS(Addendum!C:C,A304,Addendum!D:D,IF(ISNUMBER(B304),TEXT(B304,"0000"),B304),Addendum!F:F,"X")&gt;0,2.5%,0)</f>
        <v>0</v>
      </c>
      <c r="K304" s="31">
        <f>IF(COUNTIFS(Addendum!C:C,A304,Addendum!D:D,IF(ISNUMBER(B304),TEXT(B304,"0000"),B304),Addendum!G:G,"X")&gt;0,7%,0)</f>
        <v>0</v>
      </c>
      <c r="L304" s="31">
        <f>IF(COUNTIFS(Addendum!C:C,A304,Addendum!D:D,IF(ISNUMBER(B304),TEXT(B304,"0000"),B304),Addendum!I:I,"X")&gt;0,10%,0)</f>
        <v>0</v>
      </c>
      <c r="M304" s="34">
        <f t="shared" si="8"/>
        <v>0</v>
      </c>
      <c r="N304" s="17">
        <f t="shared" si="9"/>
        <v>139776</v>
      </c>
    </row>
    <row r="305" spans="1:14" x14ac:dyDescent="0.25">
      <c r="A305" s="14" t="s">
        <v>1852</v>
      </c>
      <c r="B305" s="14">
        <v>5</v>
      </c>
      <c r="C305" s="15" t="s">
        <v>1870</v>
      </c>
      <c r="D305" s="14" t="s">
        <v>1745</v>
      </c>
      <c r="E305" s="14" t="s">
        <v>1747</v>
      </c>
      <c r="F305" s="17" t="s">
        <v>2993</v>
      </c>
      <c r="G305" s="14">
        <v>30948420</v>
      </c>
      <c r="H305" s="14">
        <v>21663894</v>
      </c>
      <c r="I305" s="31">
        <f>IF(COUNTIFS(Addendum!C:C,A305,Addendum!D:D,IF(ISNUMBER(B305),TEXT(B305,"0000"),B305),Addendum!E:E,"X")&gt;0,4%,0)</f>
        <v>0</v>
      </c>
      <c r="J305" s="31">
        <f>IF(COUNTIFS(Addendum!C:C,A305,Addendum!D:D,IF(ISNUMBER(B305),TEXT(B305,"0000"),B305),Addendum!F:F,"X")&gt;0,2.5%,0)</f>
        <v>0</v>
      </c>
      <c r="K305" s="31">
        <f>IF(COUNTIFS(Addendum!C:C,A305,Addendum!D:D,IF(ISNUMBER(B305),TEXT(B305,"0000"),B305),Addendum!G:G,"X")&gt;0,7%,0)</f>
        <v>0</v>
      </c>
      <c r="L305" s="31">
        <f>IF(COUNTIFS(Addendum!C:C,A305,Addendum!D:D,IF(ISNUMBER(B305),TEXT(B305,"0000"),B305),Addendum!I:I,"X")&gt;0,10%,0)</f>
        <v>0</v>
      </c>
      <c r="M305" s="34">
        <f t="shared" si="8"/>
        <v>0</v>
      </c>
      <c r="N305" s="17">
        <f t="shared" si="9"/>
        <v>21663894</v>
      </c>
    </row>
    <row r="306" spans="1:14" x14ac:dyDescent="0.25">
      <c r="A306" s="14" t="s">
        <v>1852</v>
      </c>
      <c r="B306" s="14">
        <v>68</v>
      </c>
      <c r="C306" s="15" t="s">
        <v>1871</v>
      </c>
      <c r="D306" s="14" t="s">
        <v>1745</v>
      </c>
      <c r="E306" s="14" t="s">
        <v>1747</v>
      </c>
      <c r="F306" s="17" t="s">
        <v>2994</v>
      </c>
      <c r="G306" s="14">
        <v>274560</v>
      </c>
      <c r="H306" s="14">
        <v>192192</v>
      </c>
      <c r="I306" s="31">
        <f>IF(COUNTIFS(Addendum!C:C,A306,Addendum!D:D,IF(ISNUMBER(B306),TEXT(B306,"0000"),B306),Addendum!E:E,"X")&gt;0,4%,0)</f>
        <v>0</v>
      </c>
      <c r="J306" s="31">
        <f>IF(COUNTIFS(Addendum!C:C,A306,Addendum!D:D,IF(ISNUMBER(B306),TEXT(B306,"0000"),B306),Addendum!F:F,"X")&gt;0,2.5%,0)</f>
        <v>0</v>
      </c>
      <c r="K306" s="31">
        <f>IF(COUNTIFS(Addendum!C:C,A306,Addendum!D:D,IF(ISNUMBER(B306),TEXT(B306,"0000"),B306),Addendum!G:G,"X")&gt;0,7%,0)</f>
        <v>0</v>
      </c>
      <c r="L306" s="31">
        <f>IF(COUNTIFS(Addendum!C:C,A306,Addendum!D:D,IF(ISNUMBER(B306),TEXT(B306,"0000"),B306),Addendum!I:I,"X")&gt;0,10%,0)</f>
        <v>0</v>
      </c>
      <c r="M306" s="34">
        <f t="shared" si="8"/>
        <v>0</v>
      </c>
      <c r="N306" s="17">
        <f t="shared" si="9"/>
        <v>192192</v>
      </c>
    </row>
    <row r="307" spans="1:14" x14ac:dyDescent="0.25">
      <c r="A307" s="14" t="s">
        <v>1852</v>
      </c>
      <c r="B307" s="14">
        <v>76</v>
      </c>
      <c r="C307" s="15" t="s">
        <v>1857</v>
      </c>
      <c r="D307" s="14" t="s">
        <v>1745</v>
      </c>
      <c r="E307" s="14" t="s">
        <v>1747</v>
      </c>
      <c r="F307" s="17" t="s">
        <v>2995</v>
      </c>
      <c r="G307" s="14">
        <v>9284520</v>
      </c>
      <c r="H307" s="14">
        <v>8356068</v>
      </c>
      <c r="I307" s="31">
        <f>IF(COUNTIFS(Addendum!C:C,A307,Addendum!D:D,IF(ISNUMBER(B307),TEXT(B307,"0000"),B307),Addendum!E:E,"X")&gt;0,4%,0)</f>
        <v>0</v>
      </c>
      <c r="J307" s="31">
        <f>IF(COUNTIFS(Addendum!C:C,A307,Addendum!D:D,IF(ISNUMBER(B307),TEXT(B307,"0000"),B307),Addendum!F:F,"X")&gt;0,2.5%,0)</f>
        <v>0</v>
      </c>
      <c r="K307" s="31">
        <f>IF(COUNTIFS(Addendum!C:C,A307,Addendum!D:D,IF(ISNUMBER(B307),TEXT(B307,"0000"),B307),Addendum!G:G,"X")&gt;0,7%,0)</f>
        <v>0</v>
      </c>
      <c r="L307" s="31">
        <f>IF(COUNTIFS(Addendum!C:C,A307,Addendum!D:D,IF(ISNUMBER(B307),TEXT(B307,"0000"),B307),Addendum!I:I,"X")&gt;0,10%,0)</f>
        <v>0</v>
      </c>
      <c r="M307" s="34">
        <f t="shared" si="8"/>
        <v>0</v>
      </c>
      <c r="N307" s="17">
        <f t="shared" si="9"/>
        <v>8356068</v>
      </c>
    </row>
    <row r="308" spans="1:14" x14ac:dyDescent="0.25">
      <c r="A308" s="14" t="s">
        <v>1852</v>
      </c>
      <c r="B308" s="14">
        <v>3</v>
      </c>
      <c r="C308" s="15" t="s">
        <v>1872</v>
      </c>
      <c r="D308" s="14" t="s">
        <v>1745</v>
      </c>
      <c r="E308" s="14" t="s">
        <v>1747</v>
      </c>
      <c r="F308" s="17" t="s">
        <v>2993</v>
      </c>
      <c r="G308" s="14">
        <v>499140</v>
      </c>
      <c r="H308" s="14">
        <v>349398</v>
      </c>
      <c r="I308" s="31">
        <f>IF(COUNTIFS(Addendum!C:C,A308,Addendum!D:D,IF(ISNUMBER(B308),TEXT(B308,"0000"),B308),Addendum!E:E,"X")&gt;0,4%,0)</f>
        <v>0</v>
      </c>
      <c r="J308" s="31">
        <f>IF(COUNTIFS(Addendum!C:C,A308,Addendum!D:D,IF(ISNUMBER(B308),TEXT(B308,"0000"),B308),Addendum!F:F,"X")&gt;0,2.5%,0)</f>
        <v>0</v>
      </c>
      <c r="K308" s="31">
        <f>IF(COUNTIFS(Addendum!C:C,A308,Addendum!D:D,IF(ISNUMBER(B308),TEXT(B308,"0000"),B308),Addendum!G:G,"X")&gt;0,7%,0)</f>
        <v>0</v>
      </c>
      <c r="L308" s="31">
        <f>IF(COUNTIFS(Addendum!C:C,A308,Addendum!D:D,IF(ISNUMBER(B308),TEXT(B308,"0000"),B308),Addendum!I:I,"X")&gt;0,10%,0)</f>
        <v>0</v>
      </c>
      <c r="M308" s="34">
        <f t="shared" si="8"/>
        <v>0</v>
      </c>
      <c r="N308" s="17">
        <f t="shared" si="9"/>
        <v>349398</v>
      </c>
    </row>
    <row r="309" spans="1:14" x14ac:dyDescent="0.25">
      <c r="A309" s="14" t="s">
        <v>1852</v>
      </c>
      <c r="B309" s="14">
        <v>9</v>
      </c>
      <c r="C309" s="15" t="s">
        <v>1873</v>
      </c>
      <c r="D309" s="14" t="s">
        <v>1749</v>
      </c>
      <c r="E309" s="14" t="s">
        <v>1746</v>
      </c>
      <c r="F309" s="17" t="s">
        <v>2993</v>
      </c>
      <c r="G309" s="14">
        <v>3094842</v>
      </c>
      <c r="H309" s="14">
        <v>2166389</v>
      </c>
      <c r="I309" s="31">
        <f>IF(COUNTIFS(Addendum!C:C,A309,Addendum!D:D,IF(ISNUMBER(B309),TEXT(B309,"0000"),B309),Addendum!E:E,"X")&gt;0,4%,0)</f>
        <v>0</v>
      </c>
      <c r="J309" s="31">
        <f>IF(COUNTIFS(Addendum!C:C,A309,Addendum!D:D,IF(ISNUMBER(B309),TEXT(B309,"0000"),B309),Addendum!F:F,"X")&gt;0,2.5%,0)</f>
        <v>0</v>
      </c>
      <c r="K309" s="31">
        <f>IF(COUNTIFS(Addendum!C:C,A309,Addendum!D:D,IF(ISNUMBER(B309),TEXT(B309,"0000"),B309),Addendum!G:G,"X")&gt;0,7%,0)</f>
        <v>0</v>
      </c>
      <c r="L309" s="31">
        <f>IF(COUNTIFS(Addendum!C:C,A309,Addendum!D:D,IF(ISNUMBER(B309),TEXT(B309,"0000"),B309),Addendum!I:I,"X")&gt;0,10%,0)</f>
        <v>0</v>
      </c>
      <c r="M309" s="34">
        <f t="shared" si="8"/>
        <v>0</v>
      </c>
      <c r="N309" s="17">
        <f t="shared" si="9"/>
        <v>2166389</v>
      </c>
    </row>
    <row r="310" spans="1:14" x14ac:dyDescent="0.25">
      <c r="A310" s="14" t="s">
        <v>1852</v>
      </c>
      <c r="B310" s="14">
        <v>84</v>
      </c>
      <c r="C310" s="15" t="s">
        <v>1874</v>
      </c>
      <c r="D310" s="14" t="s">
        <v>1749</v>
      </c>
      <c r="E310" s="14" t="s">
        <v>1746</v>
      </c>
      <c r="F310" s="17" t="s">
        <v>2995</v>
      </c>
      <c r="G310" s="14">
        <v>119802</v>
      </c>
      <c r="H310" s="14">
        <v>107821.8</v>
      </c>
      <c r="I310" s="31">
        <f>IF(COUNTIFS(Addendum!C:C,A310,Addendum!D:D,IF(ISNUMBER(B310),TEXT(B310,"0000"),B310),Addendum!E:E,"X")&gt;0,4%,0)</f>
        <v>0</v>
      </c>
      <c r="J310" s="31">
        <f>IF(COUNTIFS(Addendum!C:C,A310,Addendum!D:D,IF(ISNUMBER(B310),TEXT(B310,"0000"),B310),Addendum!F:F,"X")&gt;0,2.5%,0)</f>
        <v>0</v>
      </c>
      <c r="K310" s="31">
        <f>IF(COUNTIFS(Addendum!C:C,A310,Addendum!D:D,IF(ISNUMBER(B310),TEXT(B310,"0000"),B310),Addendum!G:G,"X")&gt;0,7%,0)</f>
        <v>0</v>
      </c>
      <c r="L310" s="31">
        <f>IF(COUNTIFS(Addendum!C:C,A310,Addendum!D:D,IF(ISNUMBER(B310),TEXT(B310,"0000"),B310),Addendum!I:I,"X")&gt;0,10%,0)</f>
        <v>0</v>
      </c>
      <c r="M310" s="34">
        <f t="shared" si="8"/>
        <v>0</v>
      </c>
      <c r="N310" s="17">
        <f t="shared" si="9"/>
        <v>107821.8</v>
      </c>
    </row>
    <row r="311" spans="1:14" x14ac:dyDescent="0.25">
      <c r="A311" s="14" t="s">
        <v>1852</v>
      </c>
      <c r="B311" s="14" t="s">
        <v>1875</v>
      </c>
      <c r="C311" s="15" t="s">
        <v>1876</v>
      </c>
      <c r="D311" s="14" t="s">
        <v>1745</v>
      </c>
      <c r="E311" s="14" t="s">
        <v>1747</v>
      </c>
      <c r="F311" s="17" t="s">
        <v>2994</v>
      </c>
      <c r="G311" s="14">
        <v>7961760</v>
      </c>
      <c r="H311" s="14">
        <v>5573232</v>
      </c>
      <c r="I311" s="31">
        <f>IF(COUNTIFS(Addendum!C:C,A311,Addendum!D:D,IF(ISNUMBER(B311),TEXT(B311,"0000"),B311),Addendum!E:E,"X")&gt;0,4%,0)</f>
        <v>0</v>
      </c>
      <c r="J311" s="31">
        <f>IF(COUNTIFS(Addendum!C:C,A311,Addendum!D:D,IF(ISNUMBER(B311),TEXT(B311,"0000"),B311),Addendum!F:F,"X")&gt;0,2.5%,0)</f>
        <v>0</v>
      </c>
      <c r="K311" s="31">
        <f>IF(COUNTIFS(Addendum!C:C,A311,Addendum!D:D,IF(ISNUMBER(B311),TEXT(B311,"0000"),B311),Addendum!G:G,"X")&gt;0,7%,0)</f>
        <v>0</v>
      </c>
      <c r="L311" s="31">
        <f>IF(COUNTIFS(Addendum!C:C,A311,Addendum!D:D,IF(ISNUMBER(B311),TEXT(B311,"0000"),B311),Addendum!I:I,"X")&gt;0,10%,0)</f>
        <v>0</v>
      </c>
      <c r="M311" s="34">
        <f t="shared" si="8"/>
        <v>0</v>
      </c>
      <c r="N311" s="17">
        <f t="shared" si="9"/>
        <v>5573232</v>
      </c>
    </row>
    <row r="312" spans="1:14" x14ac:dyDescent="0.25">
      <c r="A312" s="14" t="s">
        <v>1852</v>
      </c>
      <c r="B312" s="14" t="s">
        <v>1877</v>
      </c>
      <c r="C312" s="15" t="s">
        <v>1878</v>
      </c>
      <c r="D312" s="14" t="s">
        <v>1749</v>
      </c>
      <c r="E312" s="14" t="s">
        <v>1746</v>
      </c>
      <c r="F312" s="17" t="s">
        <v>2995</v>
      </c>
      <c r="G312" s="14">
        <v>434274</v>
      </c>
      <c r="H312" s="14">
        <v>390846.6</v>
      </c>
      <c r="I312" s="31">
        <f>IF(COUNTIFS(Addendum!C:C,A312,Addendum!D:D,IF(ISNUMBER(B312),TEXT(B312,"0000"),B312),Addendum!E:E,"X")&gt;0,4%,0)</f>
        <v>0</v>
      </c>
      <c r="J312" s="31">
        <f>IF(COUNTIFS(Addendum!C:C,A312,Addendum!D:D,IF(ISNUMBER(B312),TEXT(B312,"0000"),B312),Addendum!F:F,"X")&gt;0,2.5%,0)</f>
        <v>0</v>
      </c>
      <c r="K312" s="31">
        <f>IF(COUNTIFS(Addendum!C:C,A312,Addendum!D:D,IF(ISNUMBER(B312),TEXT(B312,"0000"),B312),Addendum!G:G,"X")&gt;0,7%,0)</f>
        <v>0</v>
      </c>
      <c r="L312" s="31">
        <f>IF(COUNTIFS(Addendum!C:C,A312,Addendum!D:D,IF(ISNUMBER(B312),TEXT(B312,"0000"),B312),Addendum!I:I,"X")&gt;0,10%,0)</f>
        <v>0</v>
      </c>
      <c r="M312" s="34">
        <f t="shared" si="8"/>
        <v>0</v>
      </c>
      <c r="N312" s="17">
        <f t="shared" si="9"/>
        <v>390846.6</v>
      </c>
    </row>
    <row r="313" spans="1:14" x14ac:dyDescent="0.25">
      <c r="A313" s="14" t="s">
        <v>1852</v>
      </c>
      <c r="B313" s="14" t="s">
        <v>1669</v>
      </c>
      <c r="C313" s="15" t="s">
        <v>1879</v>
      </c>
      <c r="D313" s="14" t="s">
        <v>1749</v>
      </c>
      <c r="E313" s="14" t="s">
        <v>1746</v>
      </c>
      <c r="F313" s="17" t="s">
        <v>2994</v>
      </c>
      <c r="G313" s="14">
        <v>19968</v>
      </c>
      <c r="H313" s="14">
        <v>13977.6</v>
      </c>
      <c r="I313" s="31">
        <f>IF(COUNTIFS(Addendum!C:C,A313,Addendum!D:D,IF(ISNUMBER(B313),TEXT(B313,"0000"),B313),Addendum!E:E,"X")&gt;0,4%,0)</f>
        <v>0</v>
      </c>
      <c r="J313" s="31">
        <f>IF(COUNTIFS(Addendum!C:C,A313,Addendum!D:D,IF(ISNUMBER(B313),TEXT(B313,"0000"),B313),Addendum!F:F,"X")&gt;0,2.5%,0)</f>
        <v>0</v>
      </c>
      <c r="K313" s="31">
        <f>IF(COUNTIFS(Addendum!C:C,A313,Addendum!D:D,IF(ISNUMBER(B313),TEXT(B313,"0000"),B313),Addendum!G:G,"X")&gt;0,7%,0)</f>
        <v>0</v>
      </c>
      <c r="L313" s="31">
        <f>IF(COUNTIFS(Addendum!C:C,A313,Addendum!D:D,IF(ISNUMBER(B313),TEXT(B313,"0000"),B313),Addendum!I:I,"X")&gt;0,10%,0)</f>
        <v>0</v>
      </c>
      <c r="M313" s="34">
        <f t="shared" si="8"/>
        <v>0</v>
      </c>
      <c r="N313" s="17">
        <f t="shared" si="9"/>
        <v>13977.6</v>
      </c>
    </row>
    <row r="314" spans="1:14" x14ac:dyDescent="0.25">
      <c r="A314" s="14" t="s">
        <v>1852</v>
      </c>
      <c r="B314" s="14" t="s">
        <v>1647</v>
      </c>
      <c r="C314" s="15" t="s">
        <v>1858</v>
      </c>
      <c r="D314" s="14" t="s">
        <v>1745</v>
      </c>
      <c r="E314" s="14" t="s">
        <v>1746</v>
      </c>
      <c r="F314" s="17" t="s">
        <v>2994</v>
      </c>
      <c r="G314" s="14">
        <v>209664</v>
      </c>
      <c r="H314" s="14">
        <v>146764.79999999999</v>
      </c>
      <c r="I314" s="31">
        <f>IF(COUNTIFS(Addendum!C:C,A314,Addendum!D:D,IF(ISNUMBER(B314),TEXT(B314,"0000"),B314),Addendum!E:E,"X")&gt;0,4%,0)</f>
        <v>0</v>
      </c>
      <c r="J314" s="31">
        <f>IF(COUNTIFS(Addendum!C:C,A314,Addendum!D:D,IF(ISNUMBER(B314),TEXT(B314,"0000"),B314),Addendum!F:F,"X")&gt;0,2.5%,0)</f>
        <v>0</v>
      </c>
      <c r="K314" s="31">
        <f>IF(COUNTIFS(Addendum!C:C,A314,Addendum!D:D,IF(ISNUMBER(B314),TEXT(B314,"0000"),B314),Addendum!G:G,"X")&gt;0,7%,0)</f>
        <v>0</v>
      </c>
      <c r="L314" s="31">
        <f>IF(COUNTIFS(Addendum!C:C,A314,Addendum!D:D,IF(ISNUMBER(B314),TEXT(B314,"0000"),B314),Addendum!I:I,"X")&gt;0,10%,0)</f>
        <v>0</v>
      </c>
      <c r="M314" s="34">
        <f t="shared" si="8"/>
        <v>0</v>
      </c>
      <c r="N314" s="17">
        <f t="shared" si="9"/>
        <v>146764.79999999999</v>
      </c>
    </row>
    <row r="315" spans="1:14" x14ac:dyDescent="0.25">
      <c r="A315" s="14" t="s">
        <v>1852</v>
      </c>
      <c r="B315" s="14">
        <v>79</v>
      </c>
      <c r="C315" s="15" t="s">
        <v>1880</v>
      </c>
      <c r="D315" s="14" t="s">
        <v>1745</v>
      </c>
      <c r="E315" s="14" t="s">
        <v>1747</v>
      </c>
      <c r="F315" s="17" t="s">
        <v>2994</v>
      </c>
      <c r="G315" s="14">
        <v>12379380</v>
      </c>
      <c r="H315" s="14">
        <v>8665566</v>
      </c>
      <c r="I315" s="31">
        <f>IF(COUNTIFS(Addendum!C:C,A315,Addendum!D:D,IF(ISNUMBER(B315),TEXT(B315,"0000"),B315),Addendum!E:E,"X")&gt;0,4%,0)</f>
        <v>0</v>
      </c>
      <c r="J315" s="31">
        <f>IF(COUNTIFS(Addendum!C:C,A315,Addendum!D:D,IF(ISNUMBER(B315),TEXT(B315,"0000"),B315),Addendum!F:F,"X")&gt;0,2.5%,0)</f>
        <v>0</v>
      </c>
      <c r="K315" s="31">
        <f>IF(COUNTIFS(Addendum!C:C,A315,Addendum!D:D,IF(ISNUMBER(B315),TEXT(B315,"0000"),B315),Addendum!G:G,"X")&gt;0,7%,0)</f>
        <v>0</v>
      </c>
      <c r="L315" s="31">
        <f>IF(COUNTIFS(Addendum!C:C,A315,Addendum!D:D,IF(ISNUMBER(B315),TEXT(B315,"0000"),B315),Addendum!I:I,"X")&gt;0,10%,0)</f>
        <v>0</v>
      </c>
      <c r="M315" s="34">
        <f t="shared" si="8"/>
        <v>0</v>
      </c>
      <c r="N315" s="17">
        <f t="shared" si="9"/>
        <v>8665566</v>
      </c>
    </row>
    <row r="316" spans="1:14" x14ac:dyDescent="0.25">
      <c r="A316" s="14" t="s">
        <v>1852</v>
      </c>
      <c r="B316" s="14" t="s">
        <v>1881</v>
      </c>
      <c r="C316" s="15" t="s">
        <v>1882</v>
      </c>
      <c r="D316" s="14" t="s">
        <v>1745</v>
      </c>
      <c r="E316" s="14" t="s">
        <v>1746</v>
      </c>
      <c r="F316" s="17" t="s">
        <v>2994</v>
      </c>
      <c r="G316" s="14">
        <v>288288</v>
      </c>
      <c r="H316" s="14">
        <v>201801.60000000001</v>
      </c>
      <c r="I316" s="31">
        <f>IF(COUNTIFS(Addendum!C:C,A316,Addendum!D:D,IF(ISNUMBER(B316),TEXT(B316,"0000"),B316),Addendum!E:E,"X")&gt;0,4%,0)</f>
        <v>0</v>
      </c>
      <c r="J316" s="31">
        <f>IF(COUNTIFS(Addendum!C:C,A316,Addendum!D:D,IF(ISNUMBER(B316),TEXT(B316,"0000"),B316),Addendum!F:F,"X")&gt;0,2.5%,0)</f>
        <v>0</v>
      </c>
      <c r="K316" s="31">
        <f>IF(COUNTIFS(Addendum!C:C,A316,Addendum!D:D,IF(ISNUMBER(B316),TEXT(B316,"0000"),B316),Addendum!G:G,"X")&gt;0,7%,0)</f>
        <v>0</v>
      </c>
      <c r="L316" s="31">
        <f>IF(COUNTIFS(Addendum!C:C,A316,Addendum!D:D,IF(ISNUMBER(B316),TEXT(B316,"0000"),B316),Addendum!I:I,"X")&gt;0,10%,0)</f>
        <v>0</v>
      </c>
      <c r="M316" s="34">
        <f t="shared" si="8"/>
        <v>0</v>
      </c>
      <c r="N316" s="17">
        <f t="shared" si="9"/>
        <v>201801.60000000001</v>
      </c>
    </row>
    <row r="317" spans="1:14" x14ac:dyDescent="0.25">
      <c r="A317" s="14" t="s">
        <v>1852</v>
      </c>
      <c r="B317" s="14" t="s">
        <v>1737</v>
      </c>
      <c r="C317" s="15" t="s">
        <v>1883</v>
      </c>
      <c r="D317" s="14" t="s">
        <v>1745</v>
      </c>
      <c r="E317" s="14" t="s">
        <v>1747</v>
      </c>
      <c r="F317" s="17" t="s">
        <v>2995</v>
      </c>
      <c r="G317" s="14">
        <v>4342740</v>
      </c>
      <c r="H317" s="14">
        <v>3908466</v>
      </c>
      <c r="I317" s="31">
        <f>IF(COUNTIFS(Addendum!C:C,A317,Addendum!D:D,IF(ISNUMBER(B317),TEXT(B317,"0000"),B317),Addendum!E:E,"X")&gt;0,4%,0)</f>
        <v>0</v>
      </c>
      <c r="J317" s="31">
        <f>IF(COUNTIFS(Addendum!C:C,A317,Addendum!D:D,IF(ISNUMBER(B317),TEXT(B317,"0000"),B317),Addendum!F:F,"X")&gt;0,2.5%,0)</f>
        <v>0</v>
      </c>
      <c r="K317" s="31">
        <f>IF(COUNTIFS(Addendum!C:C,A317,Addendum!D:D,IF(ISNUMBER(B317),TEXT(B317,"0000"),B317),Addendum!G:G,"X")&gt;0,7%,0)</f>
        <v>0</v>
      </c>
      <c r="L317" s="31">
        <f>IF(COUNTIFS(Addendum!C:C,A317,Addendum!D:D,IF(ISNUMBER(B317),TEXT(B317,"0000"),B317),Addendum!I:I,"X")&gt;0,10%,0)</f>
        <v>0</v>
      </c>
      <c r="M317" s="34">
        <f t="shared" si="8"/>
        <v>0</v>
      </c>
      <c r="N317" s="17">
        <f t="shared" si="9"/>
        <v>3908466</v>
      </c>
    </row>
    <row r="318" spans="1:14" ht="30" x14ac:dyDescent="0.25">
      <c r="A318" s="14" t="s">
        <v>1850</v>
      </c>
      <c r="B318" s="14" t="s">
        <v>32</v>
      </c>
      <c r="C318" s="15" t="s">
        <v>1884</v>
      </c>
      <c r="D318" s="14" t="s">
        <v>1749</v>
      </c>
      <c r="E318" s="14" t="s">
        <v>1746</v>
      </c>
      <c r="F318" s="17" t="s">
        <v>2994</v>
      </c>
      <c r="G318" s="14">
        <v>1650</v>
      </c>
      <c r="H318" s="14">
        <v>1155</v>
      </c>
      <c r="I318" s="31">
        <f>IF(COUNTIFS(Addendum!C:C,A318,Addendum!D:D,IF(ISNUMBER(B318),TEXT(B318,"0000"),B318),Addendum!E:E,"X")&gt;0,4%,0)</f>
        <v>0</v>
      </c>
      <c r="J318" s="31">
        <f>IF(COUNTIFS(Addendum!C:C,A318,Addendum!D:D,IF(ISNUMBER(B318),TEXT(B318,"0000"),B318),Addendum!F:F,"X")&gt;0,2.5%,0)</f>
        <v>0</v>
      </c>
      <c r="K318" s="31">
        <f>IF(COUNTIFS(Addendum!C:C,A318,Addendum!D:D,IF(ISNUMBER(B318),TEXT(B318,"0000"),B318),Addendum!G:G,"X")&gt;0,7%,0)</f>
        <v>0</v>
      </c>
      <c r="L318" s="31">
        <f>IF(COUNTIFS(Addendum!C:C,A318,Addendum!D:D,IF(ISNUMBER(B318),TEXT(B318,"0000"),B318),Addendum!I:I,"X")&gt;0,10%,0)</f>
        <v>0</v>
      </c>
      <c r="M318" s="34">
        <f t="shared" si="8"/>
        <v>0</v>
      </c>
      <c r="N318" s="17">
        <f t="shared" si="9"/>
        <v>1155</v>
      </c>
    </row>
    <row r="319" spans="1:14" x14ac:dyDescent="0.25">
      <c r="A319" s="14" t="s">
        <v>1852</v>
      </c>
      <c r="B319" s="14">
        <v>68</v>
      </c>
      <c r="C319" s="15" t="s">
        <v>1871</v>
      </c>
      <c r="D319" s="14" t="s">
        <v>1749</v>
      </c>
      <c r="E319" s="14" t="s">
        <v>1746</v>
      </c>
      <c r="F319" s="17" t="s">
        <v>2994</v>
      </c>
      <c r="G319" s="14">
        <v>27456</v>
      </c>
      <c r="H319" s="14">
        <v>19219.2</v>
      </c>
      <c r="I319" s="31">
        <f>IF(COUNTIFS(Addendum!C:C,A319,Addendum!D:D,IF(ISNUMBER(B319),TEXT(B319,"0000"),B319),Addendum!E:E,"X")&gt;0,4%,0)</f>
        <v>0</v>
      </c>
      <c r="J319" s="31">
        <f>IF(COUNTIFS(Addendum!C:C,A319,Addendum!D:D,IF(ISNUMBER(B319),TEXT(B319,"0000"),B319),Addendum!F:F,"X")&gt;0,2.5%,0)</f>
        <v>0</v>
      </c>
      <c r="K319" s="31">
        <f>IF(COUNTIFS(Addendum!C:C,A319,Addendum!D:D,IF(ISNUMBER(B319),TEXT(B319,"0000"),B319),Addendum!G:G,"X")&gt;0,7%,0)</f>
        <v>0</v>
      </c>
      <c r="L319" s="31">
        <f>IF(COUNTIFS(Addendum!C:C,A319,Addendum!D:D,IF(ISNUMBER(B319),TEXT(B319,"0000"),B319),Addendum!I:I,"X")&gt;0,10%,0)</f>
        <v>0</v>
      </c>
      <c r="M319" s="34">
        <f t="shared" si="8"/>
        <v>0</v>
      </c>
      <c r="N319" s="17">
        <f t="shared" si="9"/>
        <v>19219.2</v>
      </c>
    </row>
    <row r="320" spans="1:14" x14ac:dyDescent="0.25">
      <c r="A320" s="14" t="s">
        <v>1852</v>
      </c>
      <c r="B320" s="14" t="s">
        <v>55</v>
      </c>
      <c r="C320" s="15" t="s">
        <v>1885</v>
      </c>
      <c r="D320" s="14" t="s">
        <v>1749</v>
      </c>
      <c r="E320" s="14" t="s">
        <v>1746</v>
      </c>
      <c r="F320" s="17" t="s">
        <v>2993</v>
      </c>
      <c r="G320" s="14">
        <v>49914</v>
      </c>
      <c r="H320" s="14">
        <v>34939.800000000003</v>
      </c>
      <c r="I320" s="31">
        <f>IF(COUNTIFS(Addendum!C:C,A320,Addendum!D:D,IF(ISNUMBER(B320),TEXT(B320,"0000"),B320),Addendum!E:E,"X")&gt;0,4%,0)</f>
        <v>0</v>
      </c>
      <c r="J320" s="31">
        <f>IF(COUNTIFS(Addendum!C:C,A320,Addendum!D:D,IF(ISNUMBER(B320),TEXT(B320,"0000"),B320),Addendum!F:F,"X")&gt;0,2.5%,0)</f>
        <v>0</v>
      </c>
      <c r="K320" s="31">
        <f>IF(COUNTIFS(Addendum!C:C,A320,Addendum!D:D,IF(ISNUMBER(B320),TEXT(B320,"0000"),B320),Addendum!G:G,"X")&gt;0,7%,0)</f>
        <v>0</v>
      </c>
      <c r="L320" s="31">
        <f>IF(COUNTIFS(Addendum!C:C,A320,Addendum!D:D,IF(ISNUMBER(B320),TEXT(B320,"0000"),B320),Addendum!I:I,"X")&gt;0,10%,0)</f>
        <v>0</v>
      </c>
      <c r="M320" s="34">
        <f t="shared" si="8"/>
        <v>0</v>
      </c>
      <c r="N320" s="17">
        <f t="shared" si="9"/>
        <v>34939.800000000003</v>
      </c>
    </row>
    <row r="321" spans="1:14" x14ac:dyDescent="0.25">
      <c r="A321" s="14" t="s">
        <v>1852</v>
      </c>
      <c r="B321" s="14">
        <v>3</v>
      </c>
      <c r="C321" s="15" t="s">
        <v>1872</v>
      </c>
      <c r="D321" s="14" t="s">
        <v>1745</v>
      </c>
      <c r="E321" s="14" t="s">
        <v>1746</v>
      </c>
      <c r="F321" s="17" t="s">
        <v>2993</v>
      </c>
      <c r="G321" s="14">
        <v>524097</v>
      </c>
      <c r="H321" s="14">
        <v>366868</v>
      </c>
      <c r="I321" s="31">
        <f>IF(COUNTIFS(Addendum!C:C,A321,Addendum!D:D,IF(ISNUMBER(B321),TEXT(B321,"0000"),B321),Addendum!E:E,"X")&gt;0,4%,0)</f>
        <v>0</v>
      </c>
      <c r="J321" s="31">
        <f>IF(COUNTIFS(Addendum!C:C,A321,Addendum!D:D,IF(ISNUMBER(B321),TEXT(B321,"0000"),B321),Addendum!F:F,"X")&gt;0,2.5%,0)</f>
        <v>0</v>
      </c>
      <c r="K321" s="31">
        <f>IF(COUNTIFS(Addendum!C:C,A321,Addendum!D:D,IF(ISNUMBER(B321),TEXT(B321,"0000"),B321),Addendum!G:G,"X")&gt;0,7%,0)</f>
        <v>0</v>
      </c>
      <c r="L321" s="31">
        <f>IF(COUNTIFS(Addendum!C:C,A321,Addendum!D:D,IF(ISNUMBER(B321),TEXT(B321,"0000"),B321),Addendum!I:I,"X")&gt;0,10%,0)</f>
        <v>0</v>
      </c>
      <c r="M321" s="34">
        <f t="shared" si="8"/>
        <v>0</v>
      </c>
      <c r="N321" s="17">
        <f t="shared" si="9"/>
        <v>366868</v>
      </c>
    </row>
    <row r="322" spans="1:14" x14ac:dyDescent="0.25">
      <c r="A322" s="14" t="s">
        <v>1852</v>
      </c>
      <c r="B322" s="14">
        <v>4</v>
      </c>
      <c r="C322" s="15" t="s">
        <v>1886</v>
      </c>
      <c r="D322" s="14" t="s">
        <v>1745</v>
      </c>
      <c r="E322" s="14" t="s">
        <v>1747</v>
      </c>
      <c r="F322" s="17" t="s">
        <v>2993</v>
      </c>
      <c r="G322" s="14">
        <v>499140</v>
      </c>
      <c r="H322" s="14">
        <v>349398</v>
      </c>
      <c r="I322" s="31">
        <f>IF(COUNTIFS(Addendum!C:C,A322,Addendum!D:D,IF(ISNUMBER(B322),TEXT(B322,"0000"),B322),Addendum!E:E,"X")&gt;0,4%,0)</f>
        <v>0</v>
      </c>
      <c r="J322" s="31">
        <f>IF(COUNTIFS(Addendum!C:C,A322,Addendum!D:D,IF(ISNUMBER(B322),TEXT(B322,"0000"),B322),Addendum!F:F,"X")&gt;0,2.5%,0)</f>
        <v>0</v>
      </c>
      <c r="K322" s="31">
        <f>IF(COUNTIFS(Addendum!C:C,A322,Addendum!D:D,IF(ISNUMBER(B322),TEXT(B322,"0000"),B322),Addendum!G:G,"X")&gt;0,7%,0)</f>
        <v>0</v>
      </c>
      <c r="L322" s="31">
        <f>IF(COUNTIFS(Addendum!C:C,A322,Addendum!D:D,IF(ISNUMBER(B322),TEXT(B322,"0000"),B322),Addendum!I:I,"X")&gt;0,10%,0)</f>
        <v>0</v>
      </c>
      <c r="M322" s="34">
        <f t="shared" si="8"/>
        <v>0</v>
      </c>
      <c r="N322" s="17">
        <f t="shared" si="9"/>
        <v>349398</v>
      </c>
    </row>
    <row r="323" spans="1:14" x14ac:dyDescent="0.25">
      <c r="A323" s="14" t="s">
        <v>1852</v>
      </c>
      <c r="B323" s="14" t="s">
        <v>1601</v>
      </c>
      <c r="C323" s="15" t="s">
        <v>1887</v>
      </c>
      <c r="D323" s="14" t="s">
        <v>1749</v>
      </c>
      <c r="E323" s="14" t="s">
        <v>1746</v>
      </c>
      <c r="F323" s="17" t="s">
        <v>2995</v>
      </c>
      <c r="G323" s="14">
        <v>14976</v>
      </c>
      <c r="H323" s="14">
        <v>13478.4</v>
      </c>
      <c r="I323" s="31">
        <f>IF(COUNTIFS(Addendum!C:C,A323,Addendum!D:D,IF(ISNUMBER(B323),TEXT(B323,"0000"),B323),Addendum!E:E,"X")&gt;0,4%,0)</f>
        <v>0</v>
      </c>
      <c r="J323" s="31">
        <f>IF(COUNTIFS(Addendum!C:C,A323,Addendum!D:D,IF(ISNUMBER(B323),TEXT(B323,"0000"),B323),Addendum!F:F,"X")&gt;0,2.5%,0)</f>
        <v>0</v>
      </c>
      <c r="K323" s="31">
        <f>IF(COUNTIFS(Addendum!C:C,A323,Addendum!D:D,IF(ISNUMBER(B323),TEXT(B323,"0000"),B323),Addendum!G:G,"X")&gt;0,7%,0)</f>
        <v>0</v>
      </c>
      <c r="L323" s="31">
        <f>IF(COUNTIFS(Addendum!C:C,A323,Addendum!D:D,IF(ISNUMBER(B323),TEXT(B323,"0000"),B323),Addendum!I:I,"X")&gt;0,10%,0)</f>
        <v>0</v>
      </c>
      <c r="M323" s="34">
        <f t="shared" si="8"/>
        <v>0</v>
      </c>
      <c r="N323" s="17">
        <f t="shared" si="9"/>
        <v>13478.4</v>
      </c>
    </row>
    <row r="324" spans="1:14" x14ac:dyDescent="0.25">
      <c r="A324" s="14" t="s">
        <v>1852</v>
      </c>
      <c r="B324" s="14">
        <v>71</v>
      </c>
      <c r="C324" s="15" t="s">
        <v>1888</v>
      </c>
      <c r="D324" s="14" t="s">
        <v>1749</v>
      </c>
      <c r="E324" s="14" t="s">
        <v>1746</v>
      </c>
      <c r="F324" s="17" t="s">
        <v>2995</v>
      </c>
      <c r="G324" s="14">
        <v>119802</v>
      </c>
      <c r="H324" s="14">
        <v>107821.8</v>
      </c>
      <c r="I324" s="31">
        <f>IF(COUNTIFS(Addendum!C:C,A324,Addendum!D:D,IF(ISNUMBER(B324),TEXT(B324,"0000"),B324),Addendum!E:E,"X")&gt;0,4%,0)</f>
        <v>0</v>
      </c>
      <c r="J324" s="31">
        <f>IF(COUNTIFS(Addendum!C:C,A324,Addendum!D:D,IF(ISNUMBER(B324),TEXT(B324,"0000"),B324),Addendum!F:F,"X")&gt;0,2.5%,0)</f>
        <v>0</v>
      </c>
      <c r="K324" s="31">
        <f>IF(COUNTIFS(Addendum!C:C,A324,Addendum!D:D,IF(ISNUMBER(B324),TEXT(B324,"0000"),B324),Addendum!G:G,"X")&gt;0,7%,0)</f>
        <v>0</v>
      </c>
      <c r="L324" s="31">
        <f>IF(COUNTIFS(Addendum!C:C,A324,Addendum!D:D,IF(ISNUMBER(B324),TEXT(B324,"0000"),B324),Addendum!I:I,"X")&gt;0,10%,0)</f>
        <v>0</v>
      </c>
      <c r="M324" s="34">
        <f t="shared" ref="M324:M387" si="10">IF(AND(I324=0%,J324=0%,K324=0%,L324=0%),0%,
IF(OR(TRIM(E324)="OneTime",TRIM(D324)=""),0%,
IF(
OR(
TRIM(D324)="P1M",
AND(TRIM(D324)="P1Y",TRIM(E324)="Monthly"),
AND(TRIM(D324)="P3Y",TRIM(E324)="Monthly")
),
IF(AND(I324=4%,J324=0%,K324=0%,L324=0%),1%,
IF(AND(I324=4%,J324=2.5%,K324=0%,L324=10%),2%,
IF(AND(I324=4%,J324=0%,K324=7%,L324=10%),3%,0%))),
IF(
OR(
AND(TRIM(D324)="P1Y",TRIM(E324)="Annual"),
AND(TRIM(D324)="P3Y",TRIM(E324)="Annual"),
AND(TRIM(D324)="P3Y",TRIM(E324)="Triennial")
),
IF(AND(I324=4%,J324=0%,K324=0%,L324=0%),3%,
IF(AND(I324=4%,J324=2.5%,K324=0%,L324=10%),10%,
IF(AND(I324=4%,J324=0%,K324=7%,L324=10%),14%,0%))),
0%
))))</f>
        <v>0</v>
      </c>
      <c r="N324" s="17">
        <f t="shared" ref="N324:N387" si="11">H324-(H324*M324)</f>
        <v>107821.8</v>
      </c>
    </row>
    <row r="325" spans="1:14" x14ac:dyDescent="0.25">
      <c r="A325" s="14" t="s">
        <v>1852</v>
      </c>
      <c r="B325" s="14" t="s">
        <v>16</v>
      </c>
      <c r="C325" s="15" t="s">
        <v>1889</v>
      </c>
      <c r="D325" s="14" t="s">
        <v>1749</v>
      </c>
      <c r="E325" s="14" t="s">
        <v>1746</v>
      </c>
      <c r="F325" s="17" t="s">
        <v>2993</v>
      </c>
      <c r="G325" s="14">
        <v>49914</v>
      </c>
      <c r="H325" s="14">
        <v>34939.800000000003</v>
      </c>
      <c r="I325" s="31">
        <f>IF(COUNTIFS(Addendum!C:C,A325,Addendum!D:D,IF(ISNUMBER(B325),TEXT(B325,"0000"),B325),Addendum!E:E,"X")&gt;0,4%,0)</f>
        <v>0</v>
      </c>
      <c r="J325" s="31">
        <f>IF(COUNTIFS(Addendum!C:C,A325,Addendum!D:D,IF(ISNUMBER(B325),TEXT(B325,"0000"),B325),Addendum!F:F,"X")&gt;0,2.5%,0)</f>
        <v>0</v>
      </c>
      <c r="K325" s="31">
        <f>IF(COUNTIFS(Addendum!C:C,A325,Addendum!D:D,IF(ISNUMBER(B325),TEXT(B325,"0000"),B325),Addendum!G:G,"X")&gt;0,7%,0)</f>
        <v>0</v>
      </c>
      <c r="L325" s="31">
        <f>IF(COUNTIFS(Addendum!C:C,A325,Addendum!D:D,IF(ISNUMBER(B325),TEXT(B325,"0000"),B325),Addendum!I:I,"X")&gt;0,10%,0)</f>
        <v>0</v>
      </c>
      <c r="M325" s="34">
        <f t="shared" si="10"/>
        <v>0</v>
      </c>
      <c r="N325" s="17">
        <f t="shared" si="11"/>
        <v>34939.800000000003</v>
      </c>
    </row>
    <row r="326" spans="1:14" ht="30" x14ac:dyDescent="0.25">
      <c r="A326" s="14" t="s">
        <v>1850</v>
      </c>
      <c r="B326" s="14" t="s">
        <v>39</v>
      </c>
      <c r="C326" s="15" t="s">
        <v>1854</v>
      </c>
      <c r="D326" s="14" t="s">
        <v>1749</v>
      </c>
      <c r="E326" s="14" t="s">
        <v>1746</v>
      </c>
      <c r="F326" s="17" t="s">
        <v>2994</v>
      </c>
      <c r="G326" s="14">
        <v>1200</v>
      </c>
      <c r="H326" s="14">
        <v>840</v>
      </c>
      <c r="I326" s="31">
        <f>IF(COUNTIFS(Addendum!C:C,A326,Addendum!D:D,IF(ISNUMBER(B326),TEXT(B326,"0000"),B326),Addendum!E:E,"X")&gt;0,4%,0)</f>
        <v>0</v>
      </c>
      <c r="J326" s="31">
        <f>IF(COUNTIFS(Addendum!C:C,A326,Addendum!D:D,IF(ISNUMBER(B326),TEXT(B326,"0000"),B326),Addendum!F:F,"X")&gt;0,2.5%,0)</f>
        <v>0</v>
      </c>
      <c r="K326" s="31">
        <f>IF(COUNTIFS(Addendum!C:C,A326,Addendum!D:D,IF(ISNUMBER(B326),TEXT(B326,"0000"),B326),Addendum!G:G,"X")&gt;0,7%,0)</f>
        <v>0</v>
      </c>
      <c r="L326" s="31">
        <f>IF(COUNTIFS(Addendum!C:C,A326,Addendum!D:D,IF(ISNUMBER(B326),TEXT(B326,"0000"),B326),Addendum!I:I,"X")&gt;0,10%,0)</f>
        <v>0</v>
      </c>
      <c r="M326" s="34">
        <f t="shared" si="10"/>
        <v>0</v>
      </c>
      <c r="N326" s="17">
        <f t="shared" si="11"/>
        <v>840</v>
      </c>
    </row>
    <row r="327" spans="1:14" x14ac:dyDescent="0.25">
      <c r="A327" s="14" t="s">
        <v>1852</v>
      </c>
      <c r="B327" s="14">
        <v>77</v>
      </c>
      <c r="C327" s="15" t="s">
        <v>1890</v>
      </c>
      <c r="D327" s="14" t="s">
        <v>1745</v>
      </c>
      <c r="E327" s="14" t="s">
        <v>1747</v>
      </c>
      <c r="F327" s="17" t="s">
        <v>2994</v>
      </c>
      <c r="G327" s="14">
        <v>17021640</v>
      </c>
      <c r="H327" s="14">
        <v>11915148</v>
      </c>
      <c r="I327" s="31">
        <f>IF(COUNTIFS(Addendum!C:C,A327,Addendum!D:D,IF(ISNUMBER(B327),TEXT(B327,"0000"),B327),Addendum!E:E,"X")&gt;0,4%,0)</f>
        <v>0</v>
      </c>
      <c r="J327" s="31">
        <f>IF(COUNTIFS(Addendum!C:C,A327,Addendum!D:D,IF(ISNUMBER(B327),TEXT(B327,"0000"),B327),Addendum!F:F,"X")&gt;0,2.5%,0)</f>
        <v>0</v>
      </c>
      <c r="K327" s="31">
        <f>IF(COUNTIFS(Addendum!C:C,A327,Addendum!D:D,IF(ISNUMBER(B327),TEXT(B327,"0000"),B327),Addendum!G:G,"X")&gt;0,7%,0)</f>
        <v>0</v>
      </c>
      <c r="L327" s="31">
        <f>IF(COUNTIFS(Addendum!C:C,A327,Addendum!D:D,IF(ISNUMBER(B327),TEXT(B327,"0000"),B327),Addendum!I:I,"X")&gt;0,10%,0)</f>
        <v>0</v>
      </c>
      <c r="M327" s="34">
        <f t="shared" si="10"/>
        <v>0</v>
      </c>
      <c r="N327" s="17">
        <f t="shared" si="11"/>
        <v>11915148</v>
      </c>
    </row>
    <row r="328" spans="1:14" x14ac:dyDescent="0.25">
      <c r="A328" s="14" t="s">
        <v>1852</v>
      </c>
      <c r="B328" s="14" t="s">
        <v>1634</v>
      </c>
      <c r="C328" s="15" t="s">
        <v>1869</v>
      </c>
      <c r="D328" s="14" t="s">
        <v>1749</v>
      </c>
      <c r="E328" s="14" t="s">
        <v>1746</v>
      </c>
      <c r="F328" s="17" t="s">
        <v>2994</v>
      </c>
      <c r="G328" s="14">
        <v>19968</v>
      </c>
      <c r="H328" s="14">
        <v>13977.6</v>
      </c>
      <c r="I328" s="31">
        <f>IF(COUNTIFS(Addendum!C:C,A328,Addendum!D:D,IF(ISNUMBER(B328),TEXT(B328,"0000"),B328),Addendum!E:E,"X")&gt;0,4%,0)</f>
        <v>0</v>
      </c>
      <c r="J328" s="31">
        <f>IF(COUNTIFS(Addendum!C:C,A328,Addendum!D:D,IF(ISNUMBER(B328),TEXT(B328,"0000"),B328),Addendum!F:F,"X")&gt;0,2.5%,0)</f>
        <v>0</v>
      </c>
      <c r="K328" s="31">
        <f>IF(COUNTIFS(Addendum!C:C,A328,Addendum!D:D,IF(ISNUMBER(B328),TEXT(B328,"0000"),B328),Addendum!G:G,"X")&gt;0,7%,0)</f>
        <v>0</v>
      </c>
      <c r="L328" s="31">
        <f>IF(COUNTIFS(Addendum!C:C,A328,Addendum!D:D,IF(ISNUMBER(B328),TEXT(B328,"0000"),B328),Addendum!I:I,"X")&gt;0,10%,0)</f>
        <v>0</v>
      </c>
      <c r="M328" s="34">
        <f t="shared" si="10"/>
        <v>0</v>
      </c>
      <c r="N328" s="17">
        <f t="shared" si="11"/>
        <v>13977.6</v>
      </c>
    </row>
    <row r="329" spans="1:14" x14ac:dyDescent="0.25">
      <c r="A329" s="14" t="s">
        <v>1852</v>
      </c>
      <c r="B329" s="14" t="s">
        <v>1566</v>
      </c>
      <c r="C329" s="15" t="s">
        <v>1891</v>
      </c>
      <c r="D329" s="14" t="s">
        <v>1749</v>
      </c>
      <c r="E329" s="14" t="s">
        <v>1746</v>
      </c>
      <c r="F329" s="17" t="s">
        <v>2994</v>
      </c>
      <c r="G329" s="14">
        <v>219636</v>
      </c>
      <c r="H329" s="14">
        <v>153745.20000000001</v>
      </c>
      <c r="I329" s="31">
        <f>IF(COUNTIFS(Addendum!C:C,A329,Addendum!D:D,IF(ISNUMBER(B329),TEXT(B329,"0000"),B329),Addendum!E:E,"X")&gt;0,4%,0)</f>
        <v>0</v>
      </c>
      <c r="J329" s="31">
        <f>IF(COUNTIFS(Addendum!C:C,A329,Addendum!D:D,IF(ISNUMBER(B329),TEXT(B329,"0000"),B329),Addendum!F:F,"X")&gt;0,2.5%,0)</f>
        <v>0</v>
      </c>
      <c r="K329" s="31">
        <f>IF(COUNTIFS(Addendum!C:C,A329,Addendum!D:D,IF(ISNUMBER(B329),TEXT(B329,"0000"),B329),Addendum!G:G,"X")&gt;0,7%,0)</f>
        <v>0</v>
      </c>
      <c r="L329" s="31">
        <f>IF(COUNTIFS(Addendum!C:C,A329,Addendum!D:D,IF(ISNUMBER(B329),TEXT(B329,"0000"),B329),Addendum!I:I,"X")&gt;0,10%,0)</f>
        <v>0</v>
      </c>
      <c r="M329" s="34">
        <f t="shared" si="10"/>
        <v>0</v>
      </c>
      <c r="N329" s="17">
        <f t="shared" si="11"/>
        <v>153745.20000000001</v>
      </c>
    </row>
    <row r="330" spans="1:14" x14ac:dyDescent="0.25">
      <c r="A330" s="14" t="s">
        <v>1852</v>
      </c>
      <c r="B330" s="14" t="s">
        <v>1535</v>
      </c>
      <c r="C330" s="15" t="s">
        <v>1892</v>
      </c>
      <c r="D330" s="14" t="s">
        <v>1745</v>
      </c>
      <c r="E330" s="14" t="s">
        <v>1746</v>
      </c>
      <c r="F330" s="17" t="s">
        <v>2994</v>
      </c>
      <c r="G330" s="14">
        <v>288288</v>
      </c>
      <c r="H330" s="14">
        <v>201801.60000000001</v>
      </c>
      <c r="I330" s="31">
        <f>IF(COUNTIFS(Addendum!C:C,A330,Addendum!D:D,IF(ISNUMBER(B330),TEXT(B330,"0000"),B330),Addendum!E:E,"X")&gt;0,4%,0)</f>
        <v>0</v>
      </c>
      <c r="J330" s="31">
        <f>IF(COUNTIFS(Addendum!C:C,A330,Addendum!D:D,IF(ISNUMBER(B330),TEXT(B330,"0000"),B330),Addendum!F:F,"X")&gt;0,2.5%,0)</f>
        <v>0</v>
      </c>
      <c r="K330" s="31">
        <f>IF(COUNTIFS(Addendum!C:C,A330,Addendum!D:D,IF(ISNUMBER(B330),TEXT(B330,"0000"),B330),Addendum!G:G,"X")&gt;0,7%,0)</f>
        <v>0</v>
      </c>
      <c r="L330" s="31">
        <f>IF(COUNTIFS(Addendum!C:C,A330,Addendum!D:D,IF(ISNUMBER(B330),TEXT(B330,"0000"),B330),Addendum!I:I,"X")&gt;0,10%,0)</f>
        <v>0</v>
      </c>
      <c r="M330" s="34">
        <f t="shared" si="10"/>
        <v>0</v>
      </c>
      <c r="N330" s="17">
        <f t="shared" si="11"/>
        <v>201801.60000000001</v>
      </c>
    </row>
    <row r="331" spans="1:14" x14ac:dyDescent="0.25">
      <c r="A331" s="14" t="s">
        <v>1852</v>
      </c>
      <c r="B331" s="14">
        <v>88</v>
      </c>
      <c r="C331" s="15" t="s">
        <v>1893</v>
      </c>
      <c r="D331" s="14" t="s">
        <v>1745</v>
      </c>
      <c r="E331" s="14" t="s">
        <v>1746</v>
      </c>
      <c r="F331" s="17" t="s">
        <v>2994</v>
      </c>
      <c r="G331" s="14">
        <v>6079878</v>
      </c>
      <c r="H331" s="14">
        <v>4255915</v>
      </c>
      <c r="I331" s="31">
        <f>IF(COUNTIFS(Addendum!C:C,A331,Addendum!D:D,IF(ISNUMBER(B331),TEXT(B331,"0000"),B331),Addendum!E:E,"X")&gt;0,4%,0)</f>
        <v>0</v>
      </c>
      <c r="J331" s="31">
        <f>IF(COUNTIFS(Addendum!C:C,A331,Addendum!D:D,IF(ISNUMBER(B331),TEXT(B331,"0000"),B331),Addendum!F:F,"X")&gt;0,2.5%,0)</f>
        <v>0</v>
      </c>
      <c r="K331" s="31">
        <f>IF(COUNTIFS(Addendum!C:C,A331,Addendum!D:D,IF(ISNUMBER(B331),TEXT(B331,"0000"),B331),Addendum!G:G,"X")&gt;0,7%,0)</f>
        <v>0</v>
      </c>
      <c r="L331" s="31">
        <f>IF(COUNTIFS(Addendum!C:C,A331,Addendum!D:D,IF(ISNUMBER(B331),TEXT(B331,"0000"),B331),Addendum!I:I,"X")&gt;0,10%,0)</f>
        <v>0</v>
      </c>
      <c r="M331" s="34">
        <f t="shared" si="10"/>
        <v>0</v>
      </c>
      <c r="N331" s="17">
        <f t="shared" si="11"/>
        <v>4255915</v>
      </c>
    </row>
    <row r="332" spans="1:14" x14ac:dyDescent="0.25">
      <c r="A332" s="14" t="s">
        <v>1852</v>
      </c>
      <c r="B332" s="14">
        <v>62</v>
      </c>
      <c r="C332" s="15" t="s">
        <v>1894</v>
      </c>
      <c r="D332" s="14" t="s">
        <v>1749</v>
      </c>
      <c r="E332" s="14" t="s">
        <v>1746</v>
      </c>
      <c r="F332" s="17" t="s">
        <v>2994</v>
      </c>
      <c r="G332" s="14">
        <v>27456</v>
      </c>
      <c r="H332" s="14">
        <v>19219.2</v>
      </c>
      <c r="I332" s="31">
        <f>IF(COUNTIFS(Addendum!C:C,A332,Addendum!D:D,IF(ISNUMBER(B332),TEXT(B332,"0000"),B332),Addendum!E:E,"X")&gt;0,4%,0)</f>
        <v>0</v>
      </c>
      <c r="J332" s="31">
        <f>IF(COUNTIFS(Addendum!C:C,A332,Addendum!D:D,IF(ISNUMBER(B332),TEXT(B332,"0000"),B332),Addendum!F:F,"X")&gt;0,2.5%,0)</f>
        <v>0</v>
      </c>
      <c r="K332" s="31">
        <f>IF(COUNTIFS(Addendum!C:C,A332,Addendum!D:D,IF(ISNUMBER(B332),TEXT(B332,"0000"),B332),Addendum!G:G,"X")&gt;0,7%,0)</f>
        <v>0</v>
      </c>
      <c r="L332" s="31">
        <f>IF(COUNTIFS(Addendum!C:C,A332,Addendum!D:D,IF(ISNUMBER(B332),TEXT(B332,"0000"),B332),Addendum!I:I,"X")&gt;0,10%,0)</f>
        <v>0</v>
      </c>
      <c r="M332" s="34">
        <f t="shared" si="10"/>
        <v>0</v>
      </c>
      <c r="N332" s="17">
        <f t="shared" si="11"/>
        <v>19219.2</v>
      </c>
    </row>
    <row r="333" spans="1:14" x14ac:dyDescent="0.25">
      <c r="A333" s="14" t="s">
        <v>1852</v>
      </c>
      <c r="B333" s="14" t="s">
        <v>32</v>
      </c>
      <c r="C333" s="15" t="s">
        <v>1895</v>
      </c>
      <c r="D333" s="14" t="s">
        <v>1745</v>
      </c>
      <c r="E333" s="14" t="s">
        <v>1746</v>
      </c>
      <c r="F333" s="17" t="s">
        <v>2993</v>
      </c>
      <c r="G333" s="14">
        <v>524097</v>
      </c>
      <c r="H333" s="14">
        <v>366868</v>
      </c>
      <c r="I333" s="31">
        <f>IF(COUNTIFS(Addendum!C:C,A333,Addendum!D:D,IF(ISNUMBER(B333),TEXT(B333,"0000"),B333),Addendum!E:E,"X")&gt;0,4%,0)</f>
        <v>0</v>
      </c>
      <c r="J333" s="31">
        <f>IF(COUNTIFS(Addendum!C:C,A333,Addendum!D:D,IF(ISNUMBER(B333),TEXT(B333,"0000"),B333),Addendum!F:F,"X")&gt;0,2.5%,0)</f>
        <v>0</v>
      </c>
      <c r="K333" s="31">
        <f>IF(COUNTIFS(Addendum!C:C,A333,Addendum!D:D,IF(ISNUMBER(B333),TEXT(B333,"0000"),B333),Addendum!G:G,"X")&gt;0,7%,0)</f>
        <v>0</v>
      </c>
      <c r="L333" s="31">
        <f>IF(COUNTIFS(Addendum!C:C,A333,Addendum!D:D,IF(ISNUMBER(B333),TEXT(B333,"0000"),B333),Addendum!I:I,"X")&gt;0,10%,0)</f>
        <v>0</v>
      </c>
      <c r="M333" s="34">
        <f t="shared" si="10"/>
        <v>0</v>
      </c>
      <c r="N333" s="17">
        <f t="shared" si="11"/>
        <v>366868</v>
      </c>
    </row>
    <row r="334" spans="1:14" x14ac:dyDescent="0.25">
      <c r="A334" s="14" t="s">
        <v>1852</v>
      </c>
      <c r="B334" s="14" t="s">
        <v>407</v>
      </c>
      <c r="C334" s="15" t="s">
        <v>1896</v>
      </c>
      <c r="D334" s="14" t="s">
        <v>1745</v>
      </c>
      <c r="E334" s="14" t="s">
        <v>1746</v>
      </c>
      <c r="F334" s="17" t="s">
        <v>2994</v>
      </c>
      <c r="G334" s="14">
        <v>6079878</v>
      </c>
      <c r="H334" s="14">
        <v>4255915</v>
      </c>
      <c r="I334" s="31">
        <f>IF(COUNTIFS(Addendum!C:C,A334,Addendum!D:D,IF(ISNUMBER(B334),TEXT(B334,"0000"),B334),Addendum!E:E,"X")&gt;0,4%,0)</f>
        <v>0</v>
      </c>
      <c r="J334" s="31">
        <f>IF(COUNTIFS(Addendum!C:C,A334,Addendum!D:D,IF(ISNUMBER(B334),TEXT(B334,"0000"),B334),Addendum!F:F,"X")&gt;0,2.5%,0)</f>
        <v>0</v>
      </c>
      <c r="K334" s="31">
        <f>IF(COUNTIFS(Addendum!C:C,A334,Addendum!D:D,IF(ISNUMBER(B334),TEXT(B334,"0000"),B334),Addendum!G:G,"X")&gt;0,7%,0)</f>
        <v>0</v>
      </c>
      <c r="L334" s="31">
        <f>IF(COUNTIFS(Addendum!C:C,A334,Addendum!D:D,IF(ISNUMBER(B334),TEXT(B334,"0000"),B334),Addendum!I:I,"X")&gt;0,10%,0)</f>
        <v>0</v>
      </c>
      <c r="M334" s="34">
        <f t="shared" si="10"/>
        <v>0</v>
      </c>
      <c r="N334" s="17">
        <f t="shared" si="11"/>
        <v>4255915</v>
      </c>
    </row>
    <row r="335" spans="1:14" x14ac:dyDescent="0.25">
      <c r="A335" s="14" t="s">
        <v>1852</v>
      </c>
      <c r="B335" s="14" t="s">
        <v>1569</v>
      </c>
      <c r="C335" s="15" t="s">
        <v>1897</v>
      </c>
      <c r="D335" s="14" t="s">
        <v>1745</v>
      </c>
      <c r="E335" s="14" t="s">
        <v>1746</v>
      </c>
      <c r="F335" s="17" t="s">
        <v>2995</v>
      </c>
      <c r="G335" s="14">
        <v>157248</v>
      </c>
      <c r="H335" s="14">
        <v>141523.20000000001</v>
      </c>
      <c r="I335" s="31">
        <f>IF(COUNTIFS(Addendum!C:C,A335,Addendum!D:D,IF(ISNUMBER(B335),TEXT(B335,"0000"),B335),Addendum!E:E,"X")&gt;0,4%,0)</f>
        <v>0</v>
      </c>
      <c r="J335" s="31">
        <f>IF(COUNTIFS(Addendum!C:C,A335,Addendum!D:D,IF(ISNUMBER(B335),TEXT(B335,"0000"),B335),Addendum!F:F,"X")&gt;0,2.5%,0)</f>
        <v>0</v>
      </c>
      <c r="K335" s="31">
        <f>IF(COUNTIFS(Addendum!C:C,A335,Addendum!D:D,IF(ISNUMBER(B335),TEXT(B335,"0000"),B335),Addendum!G:G,"X")&gt;0,7%,0)</f>
        <v>0</v>
      </c>
      <c r="L335" s="31">
        <f>IF(COUNTIFS(Addendum!C:C,A335,Addendum!D:D,IF(ISNUMBER(B335),TEXT(B335,"0000"),B335),Addendum!I:I,"X")&gt;0,10%,0)</f>
        <v>0</v>
      </c>
      <c r="M335" s="34">
        <f t="shared" si="10"/>
        <v>0</v>
      </c>
      <c r="N335" s="17">
        <f t="shared" si="11"/>
        <v>141523.20000000001</v>
      </c>
    </row>
    <row r="336" spans="1:14" x14ac:dyDescent="0.25">
      <c r="A336" s="14" t="s">
        <v>1850</v>
      </c>
      <c r="B336" s="14">
        <v>1</v>
      </c>
      <c r="C336" s="15" t="s">
        <v>1851</v>
      </c>
      <c r="D336" s="14" t="s">
        <v>1745</v>
      </c>
      <c r="E336" s="14" t="s">
        <v>1747</v>
      </c>
      <c r="F336" s="17" t="s">
        <v>2993</v>
      </c>
      <c r="G336" s="14">
        <v>29940</v>
      </c>
      <c r="H336" s="14">
        <v>20958</v>
      </c>
      <c r="I336" s="31">
        <f>IF(COUNTIFS(Addendum!C:C,A336,Addendum!D:D,IF(ISNUMBER(B336),TEXT(B336,"0000"),B336),Addendum!E:E,"X")&gt;0,4%,0)</f>
        <v>0</v>
      </c>
      <c r="J336" s="31">
        <f>IF(COUNTIFS(Addendum!C:C,A336,Addendum!D:D,IF(ISNUMBER(B336),TEXT(B336,"0000"),B336),Addendum!F:F,"X")&gt;0,2.5%,0)</f>
        <v>0</v>
      </c>
      <c r="K336" s="31">
        <f>IF(COUNTIFS(Addendum!C:C,A336,Addendum!D:D,IF(ISNUMBER(B336),TEXT(B336,"0000"),B336),Addendum!G:G,"X")&gt;0,7%,0)</f>
        <v>0</v>
      </c>
      <c r="L336" s="31">
        <f>IF(COUNTIFS(Addendum!C:C,A336,Addendum!D:D,IF(ISNUMBER(B336),TEXT(B336,"0000"),B336),Addendum!I:I,"X")&gt;0,10%,0)</f>
        <v>0</v>
      </c>
      <c r="M336" s="34">
        <f t="shared" si="10"/>
        <v>0</v>
      </c>
      <c r="N336" s="17">
        <f t="shared" si="11"/>
        <v>20958</v>
      </c>
    </row>
    <row r="337" spans="1:14" x14ac:dyDescent="0.25">
      <c r="A337" s="14" t="s">
        <v>1852</v>
      </c>
      <c r="B337" s="14" t="s">
        <v>1898</v>
      </c>
      <c r="C337" s="15" t="s">
        <v>1899</v>
      </c>
      <c r="D337" s="14" t="s">
        <v>1745</v>
      </c>
      <c r="E337" s="14" t="s">
        <v>1746</v>
      </c>
      <c r="F337" s="17" t="s">
        <v>2994</v>
      </c>
      <c r="G337" s="14">
        <v>2306178</v>
      </c>
      <c r="H337" s="14">
        <v>1614325</v>
      </c>
      <c r="I337" s="31">
        <f>IF(COUNTIFS(Addendum!C:C,A337,Addendum!D:D,IF(ISNUMBER(B337),TEXT(B337,"0000"),B337),Addendum!E:E,"X")&gt;0,4%,0)</f>
        <v>0</v>
      </c>
      <c r="J337" s="31">
        <f>IF(COUNTIFS(Addendum!C:C,A337,Addendum!D:D,IF(ISNUMBER(B337),TEXT(B337,"0000"),B337),Addendum!F:F,"X")&gt;0,2.5%,0)</f>
        <v>0</v>
      </c>
      <c r="K337" s="31">
        <f>IF(COUNTIFS(Addendum!C:C,A337,Addendum!D:D,IF(ISNUMBER(B337),TEXT(B337,"0000"),B337),Addendum!G:G,"X")&gt;0,7%,0)</f>
        <v>0</v>
      </c>
      <c r="L337" s="31">
        <f>IF(COUNTIFS(Addendum!C:C,A337,Addendum!D:D,IF(ISNUMBER(B337),TEXT(B337,"0000"),B337),Addendum!I:I,"X")&gt;0,10%,0)</f>
        <v>0</v>
      </c>
      <c r="M337" s="34">
        <f t="shared" si="10"/>
        <v>0</v>
      </c>
      <c r="N337" s="17">
        <f t="shared" si="11"/>
        <v>1614325</v>
      </c>
    </row>
    <row r="338" spans="1:14" x14ac:dyDescent="0.25">
      <c r="A338" s="14" t="s">
        <v>1852</v>
      </c>
      <c r="B338" s="14" t="s">
        <v>1900</v>
      </c>
      <c r="C338" s="15" t="s">
        <v>1901</v>
      </c>
      <c r="D338" s="14" t="s">
        <v>1745</v>
      </c>
      <c r="E338" s="14" t="s">
        <v>1747</v>
      </c>
      <c r="F338" s="17" t="s">
        <v>2994</v>
      </c>
      <c r="G338" s="14">
        <v>1597320</v>
      </c>
      <c r="H338" s="14">
        <v>1118124</v>
      </c>
      <c r="I338" s="31">
        <f>IF(COUNTIFS(Addendum!C:C,A338,Addendum!D:D,IF(ISNUMBER(B338),TEXT(B338,"0000"),B338),Addendum!E:E,"X")&gt;0,4%,0)</f>
        <v>0</v>
      </c>
      <c r="J338" s="31">
        <f>IF(COUNTIFS(Addendum!C:C,A338,Addendum!D:D,IF(ISNUMBER(B338),TEXT(B338,"0000"),B338),Addendum!F:F,"X")&gt;0,2.5%,0)</f>
        <v>0</v>
      </c>
      <c r="K338" s="31">
        <f>IF(COUNTIFS(Addendum!C:C,A338,Addendum!D:D,IF(ISNUMBER(B338),TEXT(B338,"0000"),B338),Addendum!G:G,"X")&gt;0,7%,0)</f>
        <v>0</v>
      </c>
      <c r="L338" s="31">
        <f>IF(COUNTIFS(Addendum!C:C,A338,Addendum!D:D,IF(ISNUMBER(B338),TEXT(B338,"0000"),B338),Addendum!I:I,"X")&gt;0,10%,0)</f>
        <v>0</v>
      </c>
      <c r="M338" s="34">
        <f t="shared" si="10"/>
        <v>0</v>
      </c>
      <c r="N338" s="17">
        <f t="shared" si="11"/>
        <v>1118124</v>
      </c>
    </row>
    <row r="339" spans="1:14" x14ac:dyDescent="0.25">
      <c r="A339" s="14" t="s">
        <v>1852</v>
      </c>
      <c r="B339" s="14">
        <v>1</v>
      </c>
      <c r="C339" s="15" t="s">
        <v>1902</v>
      </c>
      <c r="D339" s="14" t="s">
        <v>1745</v>
      </c>
      <c r="E339" s="14" t="s">
        <v>1746</v>
      </c>
      <c r="F339" s="17" t="s">
        <v>2993</v>
      </c>
      <c r="G339" s="14">
        <v>4193028</v>
      </c>
      <c r="H339" s="14">
        <v>2935120</v>
      </c>
      <c r="I339" s="31">
        <f>IF(COUNTIFS(Addendum!C:C,A339,Addendum!D:D,IF(ISNUMBER(B339),TEXT(B339,"0000"),B339),Addendum!E:E,"X")&gt;0,4%,0)</f>
        <v>0</v>
      </c>
      <c r="J339" s="31">
        <f>IF(COUNTIFS(Addendum!C:C,A339,Addendum!D:D,IF(ISNUMBER(B339),TEXT(B339,"0000"),B339),Addendum!F:F,"X")&gt;0,2.5%,0)</f>
        <v>0</v>
      </c>
      <c r="K339" s="31">
        <f>IF(COUNTIFS(Addendum!C:C,A339,Addendum!D:D,IF(ISNUMBER(B339),TEXT(B339,"0000"),B339),Addendum!G:G,"X")&gt;0,7%,0)</f>
        <v>0</v>
      </c>
      <c r="L339" s="31">
        <f>IF(COUNTIFS(Addendum!C:C,A339,Addendum!D:D,IF(ISNUMBER(B339),TEXT(B339,"0000"),B339),Addendum!I:I,"X")&gt;0,10%,0)</f>
        <v>0</v>
      </c>
      <c r="M339" s="34">
        <f t="shared" si="10"/>
        <v>0</v>
      </c>
      <c r="N339" s="17">
        <f t="shared" si="11"/>
        <v>2935120</v>
      </c>
    </row>
    <row r="340" spans="1:14" x14ac:dyDescent="0.25">
      <c r="A340" s="14" t="s">
        <v>1852</v>
      </c>
      <c r="B340" s="14">
        <v>11</v>
      </c>
      <c r="C340" s="15" t="s">
        <v>1903</v>
      </c>
      <c r="D340" s="14" t="s">
        <v>1749</v>
      </c>
      <c r="E340" s="14" t="s">
        <v>1746</v>
      </c>
      <c r="F340" s="17" t="s">
        <v>2993</v>
      </c>
      <c r="G340" s="14">
        <v>399336</v>
      </c>
      <c r="H340" s="14">
        <v>279535.2</v>
      </c>
      <c r="I340" s="31">
        <f>IF(COUNTIFS(Addendum!C:C,A340,Addendum!D:D,IF(ISNUMBER(B340),TEXT(B340,"0000"),B340),Addendum!E:E,"X")&gt;0,4%,0)</f>
        <v>0</v>
      </c>
      <c r="J340" s="31">
        <f>IF(COUNTIFS(Addendum!C:C,A340,Addendum!D:D,IF(ISNUMBER(B340),TEXT(B340,"0000"),B340),Addendum!F:F,"X")&gt;0,2.5%,0)</f>
        <v>0</v>
      </c>
      <c r="K340" s="31">
        <f>IF(COUNTIFS(Addendum!C:C,A340,Addendum!D:D,IF(ISNUMBER(B340),TEXT(B340,"0000"),B340),Addendum!G:G,"X")&gt;0,7%,0)</f>
        <v>0</v>
      </c>
      <c r="L340" s="31">
        <f>IF(COUNTIFS(Addendum!C:C,A340,Addendum!D:D,IF(ISNUMBER(B340),TEXT(B340,"0000"),B340),Addendum!I:I,"X")&gt;0,10%,0)</f>
        <v>0</v>
      </c>
      <c r="M340" s="34">
        <f t="shared" si="10"/>
        <v>0</v>
      </c>
      <c r="N340" s="17">
        <f t="shared" si="11"/>
        <v>279535.2</v>
      </c>
    </row>
    <row r="341" spans="1:14" x14ac:dyDescent="0.25">
      <c r="A341" s="14" t="s">
        <v>1852</v>
      </c>
      <c r="B341" s="14" t="s">
        <v>1904</v>
      </c>
      <c r="C341" s="15" t="s">
        <v>1905</v>
      </c>
      <c r="D341" s="14" t="s">
        <v>1745</v>
      </c>
      <c r="E341" s="14" t="s">
        <v>1746</v>
      </c>
      <c r="F341" s="17" t="s">
        <v>2995</v>
      </c>
      <c r="G341" s="14">
        <v>157248</v>
      </c>
      <c r="H341" s="14">
        <v>141523.20000000001</v>
      </c>
      <c r="I341" s="31">
        <f>IF(COUNTIFS(Addendum!C:C,A341,Addendum!D:D,IF(ISNUMBER(B341),TEXT(B341,"0000"),B341),Addendum!E:E,"X")&gt;0,4%,0)</f>
        <v>0</v>
      </c>
      <c r="J341" s="31">
        <f>IF(COUNTIFS(Addendum!C:C,A341,Addendum!D:D,IF(ISNUMBER(B341),TEXT(B341,"0000"),B341),Addendum!F:F,"X")&gt;0,2.5%,0)</f>
        <v>0</v>
      </c>
      <c r="K341" s="31">
        <f>IF(COUNTIFS(Addendum!C:C,A341,Addendum!D:D,IF(ISNUMBER(B341),TEXT(B341,"0000"),B341),Addendum!G:G,"X")&gt;0,7%,0)</f>
        <v>0</v>
      </c>
      <c r="L341" s="31">
        <f>IF(COUNTIFS(Addendum!C:C,A341,Addendum!D:D,IF(ISNUMBER(B341),TEXT(B341,"0000"),B341),Addendum!I:I,"X")&gt;0,10%,0)</f>
        <v>0</v>
      </c>
      <c r="M341" s="34">
        <f t="shared" si="10"/>
        <v>0</v>
      </c>
      <c r="N341" s="17">
        <f t="shared" si="11"/>
        <v>141523.20000000001</v>
      </c>
    </row>
    <row r="342" spans="1:14" x14ac:dyDescent="0.25">
      <c r="A342" s="14" t="s">
        <v>1852</v>
      </c>
      <c r="B342" s="14" t="s">
        <v>39</v>
      </c>
      <c r="C342" s="15" t="s">
        <v>1906</v>
      </c>
      <c r="D342" s="14" t="s">
        <v>1745</v>
      </c>
      <c r="E342" s="14" t="s">
        <v>1747</v>
      </c>
      <c r="F342" s="17" t="s">
        <v>2993</v>
      </c>
      <c r="G342" s="14">
        <v>14475900</v>
      </c>
      <c r="H342" s="14">
        <v>10133130</v>
      </c>
      <c r="I342" s="31">
        <f>IF(COUNTIFS(Addendum!C:C,A342,Addendum!D:D,IF(ISNUMBER(B342),TEXT(B342,"0000"),B342),Addendum!E:E,"X")&gt;0,4%,0)</f>
        <v>0</v>
      </c>
      <c r="J342" s="31">
        <f>IF(COUNTIFS(Addendum!C:C,A342,Addendum!D:D,IF(ISNUMBER(B342),TEXT(B342,"0000"),B342),Addendum!F:F,"X")&gt;0,2.5%,0)</f>
        <v>0</v>
      </c>
      <c r="K342" s="31">
        <f>IF(COUNTIFS(Addendum!C:C,A342,Addendum!D:D,IF(ISNUMBER(B342),TEXT(B342,"0000"),B342),Addendum!G:G,"X")&gt;0,7%,0)</f>
        <v>0</v>
      </c>
      <c r="L342" s="31">
        <f>IF(COUNTIFS(Addendum!C:C,A342,Addendum!D:D,IF(ISNUMBER(B342),TEXT(B342,"0000"),B342),Addendum!I:I,"X")&gt;0,10%,0)</f>
        <v>0</v>
      </c>
      <c r="M342" s="34">
        <f t="shared" si="10"/>
        <v>0</v>
      </c>
      <c r="N342" s="17">
        <f t="shared" si="11"/>
        <v>10133130</v>
      </c>
    </row>
    <row r="343" spans="1:14" x14ac:dyDescent="0.25">
      <c r="A343" s="14" t="s">
        <v>1852</v>
      </c>
      <c r="B343" s="14" t="s">
        <v>1737</v>
      </c>
      <c r="C343" s="15" t="s">
        <v>1883</v>
      </c>
      <c r="D343" s="14" t="s">
        <v>1745</v>
      </c>
      <c r="E343" s="14" t="s">
        <v>1746</v>
      </c>
      <c r="F343" s="17" t="s">
        <v>2995</v>
      </c>
      <c r="G343" s="14">
        <v>4559877</v>
      </c>
      <c r="H343" s="14">
        <v>4103889</v>
      </c>
      <c r="I343" s="31">
        <f>IF(COUNTIFS(Addendum!C:C,A343,Addendum!D:D,IF(ISNUMBER(B343),TEXT(B343,"0000"),B343),Addendum!E:E,"X")&gt;0,4%,0)</f>
        <v>0</v>
      </c>
      <c r="J343" s="31">
        <f>IF(COUNTIFS(Addendum!C:C,A343,Addendum!D:D,IF(ISNUMBER(B343),TEXT(B343,"0000"),B343),Addendum!F:F,"X")&gt;0,2.5%,0)</f>
        <v>0</v>
      </c>
      <c r="K343" s="31">
        <f>IF(COUNTIFS(Addendum!C:C,A343,Addendum!D:D,IF(ISNUMBER(B343),TEXT(B343,"0000"),B343),Addendum!G:G,"X")&gt;0,7%,0)</f>
        <v>0</v>
      </c>
      <c r="L343" s="31">
        <f>IF(COUNTIFS(Addendum!C:C,A343,Addendum!D:D,IF(ISNUMBER(B343),TEXT(B343,"0000"),B343),Addendum!I:I,"X")&gt;0,10%,0)</f>
        <v>0</v>
      </c>
      <c r="M343" s="34">
        <f t="shared" si="10"/>
        <v>0</v>
      </c>
      <c r="N343" s="17">
        <f t="shared" si="11"/>
        <v>4103889</v>
      </c>
    </row>
    <row r="344" spans="1:14" x14ac:dyDescent="0.25">
      <c r="A344" s="14" t="s">
        <v>1852</v>
      </c>
      <c r="B344" s="14" t="s">
        <v>1907</v>
      </c>
      <c r="C344" s="15" t="s">
        <v>1908</v>
      </c>
      <c r="D344" s="14" t="s">
        <v>1749</v>
      </c>
      <c r="E344" s="14" t="s">
        <v>1746</v>
      </c>
      <c r="F344" s="17" t="s">
        <v>2995</v>
      </c>
      <c r="G344" s="14">
        <v>14976</v>
      </c>
      <c r="H344" s="14">
        <v>13478.4</v>
      </c>
      <c r="I344" s="31">
        <f>IF(COUNTIFS(Addendum!C:C,A344,Addendum!D:D,IF(ISNUMBER(B344),TEXT(B344,"0000"),B344),Addendum!E:E,"X")&gt;0,4%,0)</f>
        <v>0</v>
      </c>
      <c r="J344" s="31">
        <f>IF(COUNTIFS(Addendum!C:C,A344,Addendum!D:D,IF(ISNUMBER(B344),TEXT(B344,"0000"),B344),Addendum!F:F,"X")&gt;0,2.5%,0)</f>
        <v>0</v>
      </c>
      <c r="K344" s="31">
        <f>IF(COUNTIFS(Addendum!C:C,A344,Addendum!D:D,IF(ISNUMBER(B344),TEXT(B344,"0000"),B344),Addendum!G:G,"X")&gt;0,7%,0)</f>
        <v>0</v>
      </c>
      <c r="L344" s="31">
        <f>IF(COUNTIFS(Addendum!C:C,A344,Addendum!D:D,IF(ISNUMBER(B344),TEXT(B344,"0000"),B344),Addendum!I:I,"X")&gt;0,10%,0)</f>
        <v>0</v>
      </c>
      <c r="M344" s="34">
        <f t="shared" si="10"/>
        <v>0</v>
      </c>
      <c r="N344" s="17">
        <f t="shared" si="11"/>
        <v>13478.4</v>
      </c>
    </row>
    <row r="345" spans="1:14" x14ac:dyDescent="0.25">
      <c r="A345" s="14" t="s">
        <v>1852</v>
      </c>
      <c r="B345" s="14">
        <v>61</v>
      </c>
      <c r="C345" s="15" t="s">
        <v>1909</v>
      </c>
      <c r="D345" s="14" t="s">
        <v>1745</v>
      </c>
      <c r="E345" s="14" t="s">
        <v>1746</v>
      </c>
      <c r="F345" s="17" t="s">
        <v>2994</v>
      </c>
      <c r="G345" s="14">
        <v>209664</v>
      </c>
      <c r="H345" s="14">
        <v>146764.79999999999</v>
      </c>
      <c r="I345" s="31">
        <f>IF(COUNTIFS(Addendum!C:C,A345,Addendum!D:D,IF(ISNUMBER(B345),TEXT(B345,"0000"),B345),Addendum!E:E,"X")&gt;0,4%,0)</f>
        <v>0</v>
      </c>
      <c r="J345" s="31">
        <f>IF(COUNTIFS(Addendum!C:C,A345,Addendum!D:D,IF(ISNUMBER(B345),TEXT(B345,"0000"),B345),Addendum!F:F,"X")&gt;0,2.5%,0)</f>
        <v>0</v>
      </c>
      <c r="K345" s="31">
        <f>IF(COUNTIFS(Addendum!C:C,A345,Addendum!D:D,IF(ISNUMBER(B345),TEXT(B345,"0000"),B345),Addendum!G:G,"X")&gt;0,7%,0)</f>
        <v>0</v>
      </c>
      <c r="L345" s="31">
        <f>IF(COUNTIFS(Addendum!C:C,A345,Addendum!D:D,IF(ISNUMBER(B345),TEXT(B345,"0000"),B345),Addendum!I:I,"X")&gt;0,10%,0)</f>
        <v>0</v>
      </c>
      <c r="M345" s="34">
        <f t="shared" si="10"/>
        <v>0</v>
      </c>
      <c r="N345" s="17">
        <f t="shared" si="11"/>
        <v>146764.79999999999</v>
      </c>
    </row>
    <row r="346" spans="1:14" x14ac:dyDescent="0.25">
      <c r="A346" s="14" t="s">
        <v>1852</v>
      </c>
      <c r="B346" s="14" t="s">
        <v>36</v>
      </c>
      <c r="C346" s="15" t="s">
        <v>1910</v>
      </c>
      <c r="D346" s="14" t="s">
        <v>1749</v>
      </c>
      <c r="E346" s="14" t="s">
        <v>1746</v>
      </c>
      <c r="F346" s="17" t="s">
        <v>2993</v>
      </c>
      <c r="G346" s="14">
        <v>49914</v>
      </c>
      <c r="H346" s="14">
        <v>34939.800000000003</v>
      </c>
      <c r="I346" s="31">
        <f>IF(COUNTIFS(Addendum!C:C,A346,Addendum!D:D,IF(ISNUMBER(B346),TEXT(B346,"0000"),B346),Addendum!E:E,"X")&gt;0,4%,0)</f>
        <v>0</v>
      </c>
      <c r="J346" s="31">
        <f>IF(COUNTIFS(Addendum!C:C,A346,Addendum!D:D,IF(ISNUMBER(B346),TEXT(B346,"0000"),B346),Addendum!F:F,"X")&gt;0,2.5%,0)</f>
        <v>0</v>
      </c>
      <c r="K346" s="31">
        <f>IF(COUNTIFS(Addendum!C:C,A346,Addendum!D:D,IF(ISNUMBER(B346),TEXT(B346,"0000"),B346),Addendum!G:G,"X")&gt;0,7%,0)</f>
        <v>0</v>
      </c>
      <c r="L346" s="31">
        <f>IF(COUNTIFS(Addendum!C:C,A346,Addendum!D:D,IF(ISNUMBER(B346),TEXT(B346,"0000"),B346),Addendum!I:I,"X")&gt;0,10%,0)</f>
        <v>0</v>
      </c>
      <c r="M346" s="34">
        <f t="shared" si="10"/>
        <v>0</v>
      </c>
      <c r="N346" s="17">
        <f t="shared" si="11"/>
        <v>34939.800000000003</v>
      </c>
    </row>
    <row r="347" spans="1:14" x14ac:dyDescent="0.25">
      <c r="A347" s="14" t="s">
        <v>1852</v>
      </c>
      <c r="B347" s="14" t="s">
        <v>50</v>
      </c>
      <c r="C347" s="15" t="s">
        <v>1911</v>
      </c>
      <c r="D347" s="14" t="s">
        <v>1745</v>
      </c>
      <c r="E347" s="14" t="s">
        <v>1746</v>
      </c>
      <c r="F347" s="17" t="s">
        <v>2993</v>
      </c>
      <c r="G347" s="14">
        <v>32495841</v>
      </c>
      <c r="H347" s="14">
        <v>22747089</v>
      </c>
      <c r="I347" s="31">
        <f>IF(COUNTIFS(Addendum!C:C,A347,Addendum!D:D,IF(ISNUMBER(B347),TEXT(B347,"0000"),B347),Addendum!E:E,"X")&gt;0,4%,0)</f>
        <v>0</v>
      </c>
      <c r="J347" s="31">
        <f>IF(COUNTIFS(Addendum!C:C,A347,Addendum!D:D,IF(ISNUMBER(B347),TEXT(B347,"0000"),B347),Addendum!F:F,"X")&gt;0,2.5%,0)</f>
        <v>0</v>
      </c>
      <c r="K347" s="31">
        <f>IF(COUNTIFS(Addendum!C:C,A347,Addendum!D:D,IF(ISNUMBER(B347),TEXT(B347,"0000"),B347),Addendum!G:G,"X")&gt;0,7%,0)</f>
        <v>0</v>
      </c>
      <c r="L347" s="31">
        <f>IF(COUNTIFS(Addendum!C:C,A347,Addendum!D:D,IF(ISNUMBER(B347),TEXT(B347,"0000"),B347),Addendum!I:I,"X")&gt;0,10%,0)</f>
        <v>0</v>
      </c>
      <c r="M347" s="34">
        <f t="shared" si="10"/>
        <v>0</v>
      </c>
      <c r="N347" s="17">
        <f t="shared" si="11"/>
        <v>22747089</v>
      </c>
    </row>
    <row r="348" spans="1:14" x14ac:dyDescent="0.25">
      <c r="A348" s="14" t="s">
        <v>1852</v>
      </c>
      <c r="B348" s="14">
        <v>89</v>
      </c>
      <c r="C348" s="15" t="s">
        <v>1912</v>
      </c>
      <c r="D348" s="14" t="s">
        <v>1745</v>
      </c>
      <c r="E348" s="14" t="s">
        <v>1747</v>
      </c>
      <c r="F348" s="17" t="s">
        <v>2994</v>
      </c>
      <c r="G348" s="14">
        <v>1597320</v>
      </c>
      <c r="H348" s="14">
        <v>1118124</v>
      </c>
      <c r="I348" s="31">
        <f>IF(COUNTIFS(Addendum!C:C,A348,Addendum!D:D,IF(ISNUMBER(B348),TEXT(B348,"0000"),B348),Addendum!E:E,"X")&gt;0,4%,0)</f>
        <v>0</v>
      </c>
      <c r="J348" s="31">
        <f>IF(COUNTIFS(Addendum!C:C,A348,Addendum!D:D,IF(ISNUMBER(B348),TEXT(B348,"0000"),B348),Addendum!F:F,"X")&gt;0,2.5%,0)</f>
        <v>0</v>
      </c>
      <c r="K348" s="31">
        <f>IF(COUNTIFS(Addendum!C:C,A348,Addendum!D:D,IF(ISNUMBER(B348),TEXT(B348,"0000"),B348),Addendum!G:G,"X")&gt;0,7%,0)</f>
        <v>0</v>
      </c>
      <c r="L348" s="31">
        <f>IF(COUNTIFS(Addendum!C:C,A348,Addendum!D:D,IF(ISNUMBER(B348),TEXT(B348,"0000"),B348),Addendum!I:I,"X")&gt;0,10%,0)</f>
        <v>0</v>
      </c>
      <c r="M348" s="34">
        <f t="shared" si="10"/>
        <v>0</v>
      </c>
      <c r="N348" s="17">
        <f t="shared" si="11"/>
        <v>1118124</v>
      </c>
    </row>
    <row r="349" spans="1:14" x14ac:dyDescent="0.25">
      <c r="A349" s="14" t="s">
        <v>1852</v>
      </c>
      <c r="B349" s="14" t="s">
        <v>1671</v>
      </c>
      <c r="C349" s="15" t="s">
        <v>1913</v>
      </c>
      <c r="D349" s="14" t="s">
        <v>1749</v>
      </c>
      <c r="E349" s="14" t="s">
        <v>1746</v>
      </c>
      <c r="F349" s="17" t="s">
        <v>2995</v>
      </c>
      <c r="G349" s="14">
        <v>14976</v>
      </c>
      <c r="H349" s="14">
        <v>13478.4</v>
      </c>
      <c r="I349" s="31">
        <f>IF(COUNTIFS(Addendum!C:C,A349,Addendum!D:D,IF(ISNUMBER(B349),TEXT(B349,"0000"),B349),Addendum!E:E,"X")&gt;0,4%,0)</f>
        <v>0</v>
      </c>
      <c r="J349" s="31">
        <f>IF(COUNTIFS(Addendum!C:C,A349,Addendum!D:D,IF(ISNUMBER(B349),TEXT(B349,"0000"),B349),Addendum!F:F,"X")&gt;0,2.5%,0)</f>
        <v>0</v>
      </c>
      <c r="K349" s="31">
        <f>IF(COUNTIFS(Addendum!C:C,A349,Addendum!D:D,IF(ISNUMBER(B349),TEXT(B349,"0000"),B349),Addendum!G:G,"X")&gt;0,7%,0)</f>
        <v>0</v>
      </c>
      <c r="L349" s="31">
        <f>IF(COUNTIFS(Addendum!C:C,A349,Addendum!D:D,IF(ISNUMBER(B349),TEXT(B349,"0000"),B349),Addendum!I:I,"X")&gt;0,10%,0)</f>
        <v>0</v>
      </c>
      <c r="M349" s="34">
        <f t="shared" si="10"/>
        <v>0</v>
      </c>
      <c r="N349" s="17">
        <f t="shared" si="11"/>
        <v>13478.4</v>
      </c>
    </row>
    <row r="350" spans="1:14" x14ac:dyDescent="0.25">
      <c r="A350" s="14" t="s">
        <v>1852</v>
      </c>
      <c r="B350" s="14" t="s">
        <v>417</v>
      </c>
      <c r="C350" s="15" t="s">
        <v>1868</v>
      </c>
      <c r="D350" s="14" t="s">
        <v>1745</v>
      </c>
      <c r="E350" s="14" t="s">
        <v>1746</v>
      </c>
      <c r="F350" s="17" t="s">
        <v>2995</v>
      </c>
      <c r="G350" s="14">
        <v>4559877</v>
      </c>
      <c r="H350" s="14">
        <v>4103889</v>
      </c>
      <c r="I350" s="31">
        <f>IF(COUNTIFS(Addendum!C:C,A350,Addendum!D:D,IF(ISNUMBER(B350),TEXT(B350,"0000"),B350),Addendum!E:E,"X")&gt;0,4%,0)</f>
        <v>0</v>
      </c>
      <c r="J350" s="31">
        <f>IF(COUNTIFS(Addendum!C:C,A350,Addendum!D:D,IF(ISNUMBER(B350),TEXT(B350,"0000"),B350),Addendum!F:F,"X")&gt;0,2.5%,0)</f>
        <v>0</v>
      </c>
      <c r="K350" s="31">
        <f>IF(COUNTIFS(Addendum!C:C,A350,Addendum!D:D,IF(ISNUMBER(B350),TEXT(B350,"0000"),B350),Addendum!G:G,"X")&gt;0,7%,0)</f>
        <v>0</v>
      </c>
      <c r="L350" s="31">
        <f>IF(COUNTIFS(Addendum!C:C,A350,Addendum!D:D,IF(ISNUMBER(B350),TEXT(B350,"0000"),B350),Addendum!I:I,"X")&gt;0,10%,0)</f>
        <v>0</v>
      </c>
      <c r="M350" s="34">
        <f t="shared" si="10"/>
        <v>0</v>
      </c>
      <c r="N350" s="17">
        <f t="shared" si="11"/>
        <v>4103889</v>
      </c>
    </row>
    <row r="351" spans="1:14" x14ac:dyDescent="0.25">
      <c r="A351" s="14" t="s">
        <v>1852</v>
      </c>
      <c r="B351" s="14">
        <v>57</v>
      </c>
      <c r="C351" s="15" t="s">
        <v>1914</v>
      </c>
      <c r="D351" s="14" t="s">
        <v>1745</v>
      </c>
      <c r="E351" s="14" t="s">
        <v>1747</v>
      </c>
      <c r="F351" s="17" t="s">
        <v>2994</v>
      </c>
      <c r="G351" s="14">
        <v>199680</v>
      </c>
      <c r="H351" s="14">
        <v>139776</v>
      </c>
      <c r="I351" s="31">
        <f>IF(COUNTIFS(Addendum!C:C,A351,Addendum!D:D,IF(ISNUMBER(B351),TEXT(B351,"0000"),B351),Addendum!E:E,"X")&gt;0,4%,0)</f>
        <v>0</v>
      </c>
      <c r="J351" s="31">
        <f>IF(COUNTIFS(Addendum!C:C,A351,Addendum!D:D,IF(ISNUMBER(B351),TEXT(B351,"0000"),B351),Addendum!F:F,"X")&gt;0,2.5%,0)</f>
        <v>0</v>
      </c>
      <c r="K351" s="31">
        <f>IF(COUNTIFS(Addendum!C:C,A351,Addendum!D:D,IF(ISNUMBER(B351),TEXT(B351,"0000"),B351),Addendum!G:G,"X")&gt;0,7%,0)</f>
        <v>0</v>
      </c>
      <c r="L351" s="31">
        <f>IF(COUNTIFS(Addendum!C:C,A351,Addendum!D:D,IF(ISNUMBER(B351),TEXT(B351,"0000"),B351),Addendum!I:I,"X")&gt;0,10%,0)</f>
        <v>0</v>
      </c>
      <c r="M351" s="34">
        <f t="shared" si="10"/>
        <v>0</v>
      </c>
      <c r="N351" s="17">
        <f t="shared" si="11"/>
        <v>139776</v>
      </c>
    </row>
    <row r="352" spans="1:14" x14ac:dyDescent="0.25">
      <c r="A352" s="14" t="s">
        <v>1852</v>
      </c>
      <c r="B352" s="14" t="s">
        <v>34</v>
      </c>
      <c r="C352" s="15" t="s">
        <v>1915</v>
      </c>
      <c r="D352" s="14" t="s">
        <v>1745</v>
      </c>
      <c r="E352" s="14" t="s">
        <v>1746</v>
      </c>
      <c r="F352" s="17" t="s">
        <v>2993</v>
      </c>
      <c r="G352" s="14">
        <v>32495841</v>
      </c>
      <c r="H352" s="14">
        <v>22747089</v>
      </c>
      <c r="I352" s="31">
        <f>IF(COUNTIFS(Addendum!C:C,A352,Addendum!D:D,IF(ISNUMBER(B352),TEXT(B352,"0000"),B352),Addendum!E:E,"X")&gt;0,4%,0)</f>
        <v>0</v>
      </c>
      <c r="J352" s="31">
        <f>IF(COUNTIFS(Addendum!C:C,A352,Addendum!D:D,IF(ISNUMBER(B352),TEXT(B352,"0000"),B352),Addendum!F:F,"X")&gt;0,2.5%,0)</f>
        <v>0</v>
      </c>
      <c r="K352" s="31">
        <f>IF(COUNTIFS(Addendum!C:C,A352,Addendum!D:D,IF(ISNUMBER(B352),TEXT(B352,"0000"),B352),Addendum!G:G,"X")&gt;0,7%,0)</f>
        <v>0</v>
      </c>
      <c r="L352" s="31">
        <f>IF(COUNTIFS(Addendum!C:C,A352,Addendum!D:D,IF(ISNUMBER(B352),TEXT(B352,"0000"),B352),Addendum!I:I,"X")&gt;0,10%,0)</f>
        <v>0</v>
      </c>
      <c r="M352" s="34">
        <f t="shared" si="10"/>
        <v>0</v>
      </c>
      <c r="N352" s="17">
        <f t="shared" si="11"/>
        <v>22747089</v>
      </c>
    </row>
    <row r="353" spans="1:14" x14ac:dyDescent="0.25">
      <c r="A353" s="14" t="s">
        <v>1852</v>
      </c>
      <c r="B353" s="14">
        <v>83</v>
      </c>
      <c r="C353" s="15" t="s">
        <v>1916</v>
      </c>
      <c r="D353" s="14" t="s">
        <v>1745</v>
      </c>
      <c r="E353" s="14" t="s">
        <v>1746</v>
      </c>
      <c r="F353" s="17" t="s">
        <v>2994</v>
      </c>
      <c r="G353" s="14">
        <v>8359848</v>
      </c>
      <c r="H353" s="14">
        <v>5851894</v>
      </c>
      <c r="I353" s="31">
        <f>IF(COUNTIFS(Addendum!C:C,A353,Addendum!D:D,IF(ISNUMBER(B353),TEXT(B353,"0000"),B353),Addendum!E:E,"X")&gt;0,4%,0)</f>
        <v>0</v>
      </c>
      <c r="J353" s="31">
        <f>IF(COUNTIFS(Addendum!C:C,A353,Addendum!D:D,IF(ISNUMBER(B353),TEXT(B353,"0000"),B353),Addendum!F:F,"X")&gt;0,2.5%,0)</f>
        <v>0</v>
      </c>
      <c r="K353" s="31">
        <f>IF(COUNTIFS(Addendum!C:C,A353,Addendum!D:D,IF(ISNUMBER(B353),TEXT(B353,"0000"),B353),Addendum!G:G,"X")&gt;0,7%,0)</f>
        <v>0</v>
      </c>
      <c r="L353" s="31">
        <f>IF(COUNTIFS(Addendum!C:C,A353,Addendum!D:D,IF(ISNUMBER(B353),TEXT(B353,"0000"),B353),Addendum!I:I,"X")&gt;0,10%,0)</f>
        <v>0</v>
      </c>
      <c r="M353" s="34">
        <f t="shared" si="10"/>
        <v>0</v>
      </c>
      <c r="N353" s="17">
        <f t="shared" si="11"/>
        <v>5851894</v>
      </c>
    </row>
    <row r="354" spans="1:14" x14ac:dyDescent="0.25">
      <c r="A354" s="14" t="s">
        <v>1852</v>
      </c>
      <c r="B354" s="14" t="s">
        <v>122</v>
      </c>
      <c r="C354" s="15" t="s">
        <v>1917</v>
      </c>
      <c r="D354" s="14" t="s">
        <v>1745</v>
      </c>
      <c r="E354" s="14" t="s">
        <v>1746</v>
      </c>
      <c r="F354" s="17" t="s">
        <v>2993</v>
      </c>
      <c r="G354" s="14">
        <v>524097</v>
      </c>
      <c r="H354" s="14">
        <v>366868</v>
      </c>
      <c r="I354" s="31">
        <f>IF(COUNTIFS(Addendum!C:C,A354,Addendum!D:D,IF(ISNUMBER(B354),TEXT(B354,"0000"),B354),Addendum!E:E,"X")&gt;0,4%,0)</f>
        <v>0</v>
      </c>
      <c r="J354" s="31">
        <f>IF(COUNTIFS(Addendum!C:C,A354,Addendum!D:D,IF(ISNUMBER(B354),TEXT(B354,"0000"),B354),Addendum!F:F,"X")&gt;0,2.5%,0)</f>
        <v>0</v>
      </c>
      <c r="K354" s="31">
        <f>IF(COUNTIFS(Addendum!C:C,A354,Addendum!D:D,IF(ISNUMBER(B354),TEXT(B354,"0000"),B354),Addendum!G:G,"X")&gt;0,7%,0)</f>
        <v>0</v>
      </c>
      <c r="L354" s="31">
        <f>IF(COUNTIFS(Addendum!C:C,A354,Addendum!D:D,IF(ISNUMBER(B354),TEXT(B354,"0000"),B354),Addendum!I:I,"X")&gt;0,10%,0)</f>
        <v>0</v>
      </c>
      <c r="M354" s="34">
        <f t="shared" si="10"/>
        <v>0</v>
      </c>
      <c r="N354" s="17">
        <f t="shared" si="11"/>
        <v>366868</v>
      </c>
    </row>
    <row r="355" spans="1:14" x14ac:dyDescent="0.25">
      <c r="A355" s="14" t="s">
        <v>1850</v>
      </c>
      <c r="B355" s="14" t="s">
        <v>122</v>
      </c>
      <c r="C355" s="15" t="s">
        <v>1918</v>
      </c>
      <c r="D355" s="14" t="s">
        <v>1745</v>
      </c>
      <c r="E355" s="14" t="s">
        <v>1747</v>
      </c>
      <c r="F355" s="17" t="s">
        <v>2994</v>
      </c>
      <c r="G355" s="14">
        <v>83880</v>
      </c>
      <c r="H355" s="14">
        <v>58716</v>
      </c>
      <c r="I355" s="31">
        <f>IF(COUNTIFS(Addendum!C:C,A355,Addendum!D:D,IF(ISNUMBER(B355),TEXT(B355,"0000"),B355),Addendum!E:E,"X")&gt;0,4%,0)</f>
        <v>0</v>
      </c>
      <c r="J355" s="31">
        <f>IF(COUNTIFS(Addendum!C:C,A355,Addendum!D:D,IF(ISNUMBER(B355),TEXT(B355,"0000"),B355),Addendum!F:F,"X")&gt;0,2.5%,0)</f>
        <v>0</v>
      </c>
      <c r="K355" s="31">
        <f>IF(COUNTIFS(Addendum!C:C,A355,Addendum!D:D,IF(ISNUMBER(B355),TEXT(B355,"0000"),B355),Addendum!G:G,"X")&gt;0,7%,0)</f>
        <v>0</v>
      </c>
      <c r="L355" s="31">
        <f>IF(COUNTIFS(Addendum!C:C,A355,Addendum!D:D,IF(ISNUMBER(B355),TEXT(B355,"0000"),B355),Addendum!I:I,"X")&gt;0,10%,0)</f>
        <v>0</v>
      </c>
      <c r="M355" s="34">
        <f t="shared" si="10"/>
        <v>0</v>
      </c>
      <c r="N355" s="17">
        <f t="shared" si="11"/>
        <v>58716</v>
      </c>
    </row>
    <row r="356" spans="1:14" x14ac:dyDescent="0.25">
      <c r="A356" s="14" t="s">
        <v>1852</v>
      </c>
      <c r="B356" s="14" t="s">
        <v>1595</v>
      </c>
      <c r="C356" s="15" t="s">
        <v>1859</v>
      </c>
      <c r="D356" s="14" t="s">
        <v>1745</v>
      </c>
      <c r="E356" s="14" t="s">
        <v>1747</v>
      </c>
      <c r="F356" s="17" t="s">
        <v>2994</v>
      </c>
      <c r="G356" s="14">
        <v>274560</v>
      </c>
      <c r="H356" s="14">
        <v>192192</v>
      </c>
      <c r="I356" s="31">
        <f>IF(COUNTIFS(Addendum!C:C,A356,Addendum!D:D,IF(ISNUMBER(B356),TEXT(B356,"0000"),B356),Addendum!E:E,"X")&gt;0,4%,0)</f>
        <v>0</v>
      </c>
      <c r="J356" s="31">
        <f>IF(COUNTIFS(Addendum!C:C,A356,Addendum!D:D,IF(ISNUMBER(B356),TEXT(B356,"0000"),B356),Addendum!F:F,"X")&gt;0,2.5%,0)</f>
        <v>0</v>
      </c>
      <c r="K356" s="31">
        <f>IF(COUNTIFS(Addendum!C:C,A356,Addendum!D:D,IF(ISNUMBER(B356),TEXT(B356,"0000"),B356),Addendum!G:G,"X")&gt;0,7%,0)</f>
        <v>0</v>
      </c>
      <c r="L356" s="31">
        <f>IF(COUNTIFS(Addendum!C:C,A356,Addendum!D:D,IF(ISNUMBER(B356),TEXT(B356,"0000"),B356),Addendum!I:I,"X")&gt;0,10%,0)</f>
        <v>0</v>
      </c>
      <c r="M356" s="34">
        <f t="shared" si="10"/>
        <v>0</v>
      </c>
      <c r="N356" s="17">
        <f t="shared" si="11"/>
        <v>192192</v>
      </c>
    </row>
    <row r="357" spans="1:14" x14ac:dyDescent="0.25">
      <c r="A357" s="14" t="s">
        <v>1852</v>
      </c>
      <c r="B357" s="14">
        <v>50</v>
      </c>
      <c r="C357" s="15" t="s">
        <v>1919</v>
      </c>
      <c r="D357" s="14" t="s">
        <v>1745</v>
      </c>
      <c r="E357" s="14" t="s">
        <v>1746</v>
      </c>
      <c r="F357" s="17" t="s">
        <v>2994</v>
      </c>
      <c r="G357" s="14">
        <v>17872722</v>
      </c>
      <c r="H357" s="14">
        <v>12510905</v>
      </c>
      <c r="I357" s="31">
        <f>IF(COUNTIFS(Addendum!C:C,A357,Addendum!D:D,IF(ISNUMBER(B357),TEXT(B357,"0000"),B357),Addendum!E:E,"X")&gt;0,4%,0)</f>
        <v>0</v>
      </c>
      <c r="J357" s="31">
        <f>IF(COUNTIFS(Addendum!C:C,A357,Addendum!D:D,IF(ISNUMBER(B357),TEXT(B357,"0000"),B357),Addendum!F:F,"X")&gt;0,2.5%,0)</f>
        <v>0</v>
      </c>
      <c r="K357" s="31">
        <f>IF(COUNTIFS(Addendum!C:C,A357,Addendum!D:D,IF(ISNUMBER(B357),TEXT(B357,"0000"),B357),Addendum!G:G,"X")&gt;0,7%,0)</f>
        <v>0</v>
      </c>
      <c r="L357" s="31">
        <f>IF(COUNTIFS(Addendum!C:C,A357,Addendum!D:D,IF(ISNUMBER(B357),TEXT(B357,"0000"),B357),Addendum!I:I,"X")&gt;0,10%,0)</f>
        <v>0</v>
      </c>
      <c r="M357" s="34">
        <f t="shared" si="10"/>
        <v>0</v>
      </c>
      <c r="N357" s="17">
        <f t="shared" si="11"/>
        <v>12510905</v>
      </c>
    </row>
    <row r="358" spans="1:14" x14ac:dyDescent="0.25">
      <c r="A358" s="14" t="s">
        <v>1852</v>
      </c>
      <c r="B358" s="14" t="s">
        <v>1550</v>
      </c>
      <c r="C358" s="15" t="s">
        <v>1920</v>
      </c>
      <c r="D358" s="14" t="s">
        <v>1749</v>
      </c>
      <c r="E358" s="14" t="s">
        <v>1746</v>
      </c>
      <c r="F358" s="17" t="s">
        <v>2995</v>
      </c>
      <c r="G358" s="14">
        <v>14976</v>
      </c>
      <c r="H358" s="14">
        <v>13478.4</v>
      </c>
      <c r="I358" s="31">
        <f>IF(COUNTIFS(Addendum!C:C,A358,Addendum!D:D,IF(ISNUMBER(B358),TEXT(B358,"0000"),B358),Addendum!E:E,"X")&gt;0,4%,0)</f>
        <v>0</v>
      </c>
      <c r="J358" s="31">
        <f>IF(COUNTIFS(Addendum!C:C,A358,Addendum!D:D,IF(ISNUMBER(B358),TEXT(B358,"0000"),B358),Addendum!F:F,"X")&gt;0,2.5%,0)</f>
        <v>0</v>
      </c>
      <c r="K358" s="31">
        <f>IF(COUNTIFS(Addendum!C:C,A358,Addendum!D:D,IF(ISNUMBER(B358),TEXT(B358,"0000"),B358),Addendum!G:G,"X")&gt;0,7%,0)</f>
        <v>0</v>
      </c>
      <c r="L358" s="31">
        <f>IF(COUNTIFS(Addendum!C:C,A358,Addendum!D:D,IF(ISNUMBER(B358),TEXT(B358,"0000"),B358),Addendum!I:I,"X")&gt;0,10%,0)</f>
        <v>0</v>
      </c>
      <c r="M358" s="34">
        <f t="shared" si="10"/>
        <v>0</v>
      </c>
      <c r="N358" s="17">
        <f t="shared" si="11"/>
        <v>13478.4</v>
      </c>
    </row>
    <row r="359" spans="1:14" x14ac:dyDescent="0.25">
      <c r="A359" s="14" t="s">
        <v>1852</v>
      </c>
      <c r="B359" s="14">
        <v>56</v>
      </c>
      <c r="C359" s="15" t="s">
        <v>1921</v>
      </c>
      <c r="D359" s="14" t="s">
        <v>1745</v>
      </c>
      <c r="E359" s="14" t="s">
        <v>1747</v>
      </c>
      <c r="F359" s="17" t="s">
        <v>2994</v>
      </c>
      <c r="G359" s="14">
        <v>12379380</v>
      </c>
      <c r="H359" s="14">
        <v>8665566</v>
      </c>
      <c r="I359" s="31">
        <f>IF(COUNTIFS(Addendum!C:C,A359,Addendum!D:D,IF(ISNUMBER(B359),TEXT(B359,"0000"),B359),Addendum!E:E,"X")&gt;0,4%,0)</f>
        <v>0</v>
      </c>
      <c r="J359" s="31">
        <f>IF(COUNTIFS(Addendum!C:C,A359,Addendum!D:D,IF(ISNUMBER(B359),TEXT(B359,"0000"),B359),Addendum!F:F,"X")&gt;0,2.5%,0)</f>
        <v>0</v>
      </c>
      <c r="K359" s="31">
        <f>IF(COUNTIFS(Addendum!C:C,A359,Addendum!D:D,IF(ISNUMBER(B359),TEXT(B359,"0000"),B359),Addendum!G:G,"X")&gt;0,7%,0)</f>
        <v>0</v>
      </c>
      <c r="L359" s="31">
        <f>IF(COUNTIFS(Addendum!C:C,A359,Addendum!D:D,IF(ISNUMBER(B359),TEXT(B359,"0000"),B359),Addendum!I:I,"X")&gt;0,10%,0)</f>
        <v>0</v>
      </c>
      <c r="M359" s="34">
        <f t="shared" si="10"/>
        <v>0</v>
      </c>
      <c r="N359" s="17">
        <f t="shared" si="11"/>
        <v>8665566</v>
      </c>
    </row>
    <row r="360" spans="1:14" x14ac:dyDescent="0.25">
      <c r="A360" s="14" t="s">
        <v>1852</v>
      </c>
      <c r="B360" s="14" t="s">
        <v>1552</v>
      </c>
      <c r="C360" s="15" t="s">
        <v>1922</v>
      </c>
      <c r="D360" s="14" t="s">
        <v>1749</v>
      </c>
      <c r="E360" s="14" t="s">
        <v>1746</v>
      </c>
      <c r="F360" s="17" t="s">
        <v>2994</v>
      </c>
      <c r="G360" s="14">
        <v>219636</v>
      </c>
      <c r="H360" s="14">
        <v>153745.20000000001</v>
      </c>
      <c r="I360" s="31">
        <f>IF(COUNTIFS(Addendum!C:C,A360,Addendum!D:D,IF(ISNUMBER(B360),TEXT(B360,"0000"),B360),Addendum!E:E,"X")&gt;0,4%,0)</f>
        <v>0</v>
      </c>
      <c r="J360" s="31">
        <f>IF(COUNTIFS(Addendum!C:C,A360,Addendum!D:D,IF(ISNUMBER(B360),TEXT(B360,"0000"),B360),Addendum!F:F,"X")&gt;0,2.5%,0)</f>
        <v>0</v>
      </c>
      <c r="K360" s="31">
        <f>IF(COUNTIFS(Addendum!C:C,A360,Addendum!D:D,IF(ISNUMBER(B360),TEXT(B360,"0000"),B360),Addendum!G:G,"X")&gt;0,7%,0)</f>
        <v>0</v>
      </c>
      <c r="L360" s="31">
        <f>IF(COUNTIFS(Addendum!C:C,A360,Addendum!D:D,IF(ISNUMBER(B360),TEXT(B360,"0000"),B360),Addendum!I:I,"X")&gt;0,10%,0)</f>
        <v>0</v>
      </c>
      <c r="M360" s="34">
        <f t="shared" si="10"/>
        <v>0</v>
      </c>
      <c r="N360" s="17">
        <f t="shared" si="11"/>
        <v>153745.20000000001</v>
      </c>
    </row>
    <row r="361" spans="1:14" x14ac:dyDescent="0.25">
      <c r="A361" s="14" t="s">
        <v>1852</v>
      </c>
      <c r="B361" s="14">
        <v>6</v>
      </c>
      <c r="C361" s="15" t="s">
        <v>1923</v>
      </c>
      <c r="D361" s="14" t="s">
        <v>1745</v>
      </c>
      <c r="E361" s="14" t="s">
        <v>1747</v>
      </c>
      <c r="F361" s="17" t="s">
        <v>2993</v>
      </c>
      <c r="G361" s="14">
        <v>30948420</v>
      </c>
      <c r="H361" s="14">
        <v>21663894</v>
      </c>
      <c r="I361" s="31">
        <f>IF(COUNTIFS(Addendum!C:C,A361,Addendum!D:D,IF(ISNUMBER(B361),TEXT(B361,"0000"),B361),Addendum!E:E,"X")&gt;0,4%,0)</f>
        <v>0</v>
      </c>
      <c r="J361" s="31">
        <f>IF(COUNTIFS(Addendum!C:C,A361,Addendum!D:D,IF(ISNUMBER(B361),TEXT(B361,"0000"),B361),Addendum!F:F,"X")&gt;0,2.5%,0)</f>
        <v>0</v>
      </c>
      <c r="K361" s="31">
        <f>IF(COUNTIFS(Addendum!C:C,A361,Addendum!D:D,IF(ISNUMBER(B361),TEXT(B361,"0000"),B361),Addendum!G:G,"X")&gt;0,7%,0)</f>
        <v>0</v>
      </c>
      <c r="L361" s="31">
        <f>IF(COUNTIFS(Addendum!C:C,A361,Addendum!D:D,IF(ISNUMBER(B361),TEXT(B361,"0000"),B361),Addendum!I:I,"X")&gt;0,10%,0)</f>
        <v>0</v>
      </c>
      <c r="M361" s="34">
        <f t="shared" si="10"/>
        <v>0</v>
      </c>
      <c r="N361" s="17">
        <f t="shared" si="11"/>
        <v>21663894</v>
      </c>
    </row>
    <row r="362" spans="1:14" x14ac:dyDescent="0.25">
      <c r="A362" s="14" t="s">
        <v>1852</v>
      </c>
      <c r="B362" s="14" t="s">
        <v>1924</v>
      </c>
      <c r="C362" s="15" t="s">
        <v>1925</v>
      </c>
      <c r="D362" s="14" t="s">
        <v>1749</v>
      </c>
      <c r="E362" s="14" t="s">
        <v>1746</v>
      </c>
      <c r="F362" s="17" t="s">
        <v>2994</v>
      </c>
      <c r="G362" s="14">
        <v>27456</v>
      </c>
      <c r="H362" s="14">
        <v>19219.2</v>
      </c>
      <c r="I362" s="31">
        <f>IF(COUNTIFS(Addendum!C:C,A362,Addendum!D:D,IF(ISNUMBER(B362),TEXT(B362,"0000"),B362),Addendum!E:E,"X")&gt;0,4%,0)</f>
        <v>0</v>
      </c>
      <c r="J362" s="31">
        <f>IF(COUNTIFS(Addendum!C:C,A362,Addendum!D:D,IF(ISNUMBER(B362),TEXT(B362,"0000"),B362),Addendum!F:F,"X")&gt;0,2.5%,0)</f>
        <v>0</v>
      </c>
      <c r="K362" s="31">
        <f>IF(COUNTIFS(Addendum!C:C,A362,Addendum!D:D,IF(ISNUMBER(B362),TEXT(B362,"0000"),B362),Addendum!G:G,"X")&gt;0,7%,0)</f>
        <v>0</v>
      </c>
      <c r="L362" s="31">
        <f>IF(COUNTIFS(Addendum!C:C,A362,Addendum!D:D,IF(ISNUMBER(B362),TEXT(B362,"0000"),B362),Addendum!I:I,"X")&gt;0,10%,0)</f>
        <v>0</v>
      </c>
      <c r="M362" s="34">
        <f t="shared" si="10"/>
        <v>0</v>
      </c>
      <c r="N362" s="17">
        <f t="shared" si="11"/>
        <v>19219.2</v>
      </c>
    </row>
    <row r="363" spans="1:14" x14ac:dyDescent="0.25">
      <c r="A363" s="14" t="s">
        <v>1852</v>
      </c>
      <c r="B363" s="14" t="s">
        <v>1566</v>
      </c>
      <c r="C363" s="15" t="s">
        <v>1891</v>
      </c>
      <c r="D363" s="14" t="s">
        <v>1745</v>
      </c>
      <c r="E363" s="14" t="s">
        <v>1747</v>
      </c>
      <c r="F363" s="17" t="s">
        <v>2994</v>
      </c>
      <c r="G363" s="14">
        <v>2196360</v>
      </c>
      <c r="H363" s="14">
        <v>1537452</v>
      </c>
      <c r="I363" s="31">
        <f>IF(COUNTIFS(Addendum!C:C,A363,Addendum!D:D,IF(ISNUMBER(B363),TEXT(B363,"0000"),B363),Addendum!E:E,"X")&gt;0,4%,0)</f>
        <v>0</v>
      </c>
      <c r="J363" s="31">
        <f>IF(COUNTIFS(Addendum!C:C,A363,Addendum!D:D,IF(ISNUMBER(B363),TEXT(B363,"0000"),B363),Addendum!F:F,"X")&gt;0,2.5%,0)</f>
        <v>0</v>
      </c>
      <c r="K363" s="31">
        <f>IF(COUNTIFS(Addendum!C:C,A363,Addendum!D:D,IF(ISNUMBER(B363),TEXT(B363,"0000"),B363),Addendum!G:G,"X")&gt;0,7%,0)</f>
        <v>0</v>
      </c>
      <c r="L363" s="31">
        <f>IF(COUNTIFS(Addendum!C:C,A363,Addendum!D:D,IF(ISNUMBER(B363),TEXT(B363,"0000"),B363),Addendum!I:I,"X")&gt;0,10%,0)</f>
        <v>0</v>
      </c>
      <c r="M363" s="34">
        <f t="shared" si="10"/>
        <v>0</v>
      </c>
      <c r="N363" s="17">
        <f t="shared" si="11"/>
        <v>1537452</v>
      </c>
    </row>
    <row r="364" spans="1:14" x14ac:dyDescent="0.25">
      <c r="A364" s="14" t="s">
        <v>1852</v>
      </c>
      <c r="B364" s="14" t="s">
        <v>1881</v>
      </c>
      <c r="C364" s="15" t="s">
        <v>1882</v>
      </c>
      <c r="D364" s="14" t="s">
        <v>1749</v>
      </c>
      <c r="E364" s="14" t="s">
        <v>1746</v>
      </c>
      <c r="F364" s="17" t="s">
        <v>2994</v>
      </c>
      <c r="G364" s="14">
        <v>27456</v>
      </c>
      <c r="H364" s="14">
        <v>19219.2</v>
      </c>
      <c r="I364" s="31">
        <f>IF(COUNTIFS(Addendum!C:C,A364,Addendum!D:D,IF(ISNUMBER(B364),TEXT(B364,"0000"),B364),Addendum!E:E,"X")&gt;0,4%,0)</f>
        <v>0</v>
      </c>
      <c r="J364" s="31">
        <f>IF(COUNTIFS(Addendum!C:C,A364,Addendum!D:D,IF(ISNUMBER(B364),TEXT(B364,"0000"),B364),Addendum!F:F,"X")&gt;0,2.5%,0)</f>
        <v>0</v>
      </c>
      <c r="K364" s="31">
        <f>IF(COUNTIFS(Addendum!C:C,A364,Addendum!D:D,IF(ISNUMBER(B364),TEXT(B364,"0000"),B364),Addendum!G:G,"X")&gt;0,7%,0)</f>
        <v>0</v>
      </c>
      <c r="L364" s="31">
        <f>IF(COUNTIFS(Addendum!C:C,A364,Addendum!D:D,IF(ISNUMBER(B364),TEXT(B364,"0000"),B364),Addendum!I:I,"X")&gt;0,10%,0)</f>
        <v>0</v>
      </c>
      <c r="M364" s="34">
        <f t="shared" si="10"/>
        <v>0</v>
      </c>
      <c r="N364" s="17">
        <f t="shared" si="11"/>
        <v>19219.2</v>
      </c>
    </row>
    <row r="365" spans="1:14" x14ac:dyDescent="0.25">
      <c r="A365" s="14" t="s">
        <v>1852</v>
      </c>
      <c r="B365" s="14" t="s">
        <v>1904</v>
      </c>
      <c r="C365" s="15" t="s">
        <v>1905</v>
      </c>
      <c r="D365" s="14" t="s">
        <v>1745</v>
      </c>
      <c r="E365" s="14" t="s">
        <v>1747</v>
      </c>
      <c r="F365" s="17" t="s">
        <v>2995</v>
      </c>
      <c r="G365" s="14">
        <v>149760</v>
      </c>
      <c r="H365" s="14">
        <v>134784</v>
      </c>
      <c r="I365" s="31">
        <f>IF(COUNTIFS(Addendum!C:C,A365,Addendum!D:D,IF(ISNUMBER(B365),TEXT(B365,"0000"),B365),Addendum!E:E,"X")&gt;0,4%,0)</f>
        <v>0</v>
      </c>
      <c r="J365" s="31">
        <f>IF(COUNTIFS(Addendum!C:C,A365,Addendum!D:D,IF(ISNUMBER(B365),TEXT(B365,"0000"),B365),Addendum!F:F,"X")&gt;0,2.5%,0)</f>
        <v>0</v>
      </c>
      <c r="K365" s="31">
        <f>IF(COUNTIFS(Addendum!C:C,A365,Addendum!D:D,IF(ISNUMBER(B365),TEXT(B365,"0000"),B365),Addendum!G:G,"X")&gt;0,7%,0)</f>
        <v>0</v>
      </c>
      <c r="L365" s="31">
        <f>IF(COUNTIFS(Addendum!C:C,A365,Addendum!D:D,IF(ISNUMBER(B365),TEXT(B365,"0000"),B365),Addendum!I:I,"X")&gt;0,10%,0)</f>
        <v>0</v>
      </c>
      <c r="M365" s="34">
        <f t="shared" si="10"/>
        <v>0</v>
      </c>
      <c r="N365" s="17">
        <f t="shared" si="11"/>
        <v>134784</v>
      </c>
    </row>
    <row r="366" spans="1:14" x14ac:dyDescent="0.25">
      <c r="A366" s="14" t="s">
        <v>1852</v>
      </c>
      <c r="B366" s="14">
        <v>65</v>
      </c>
      <c r="C366" s="15" t="s">
        <v>1926</v>
      </c>
      <c r="D366" s="14" t="s">
        <v>1749</v>
      </c>
      <c r="E366" s="14" t="s">
        <v>1746</v>
      </c>
      <c r="F366" s="17" t="s">
        <v>2994</v>
      </c>
      <c r="G366" s="14">
        <v>27456</v>
      </c>
      <c r="H366" s="14">
        <v>19219.2</v>
      </c>
      <c r="I366" s="31">
        <f>IF(COUNTIFS(Addendum!C:C,A366,Addendum!D:D,IF(ISNUMBER(B366),TEXT(B366,"0000"),B366),Addendum!E:E,"X")&gt;0,4%,0)</f>
        <v>0</v>
      </c>
      <c r="J366" s="31">
        <f>IF(COUNTIFS(Addendum!C:C,A366,Addendum!D:D,IF(ISNUMBER(B366),TEXT(B366,"0000"),B366),Addendum!F:F,"X")&gt;0,2.5%,0)</f>
        <v>0</v>
      </c>
      <c r="K366" s="31">
        <f>IF(COUNTIFS(Addendum!C:C,A366,Addendum!D:D,IF(ISNUMBER(B366),TEXT(B366,"0000"),B366),Addendum!G:G,"X")&gt;0,7%,0)</f>
        <v>0</v>
      </c>
      <c r="L366" s="31">
        <f>IF(COUNTIFS(Addendum!C:C,A366,Addendum!D:D,IF(ISNUMBER(B366),TEXT(B366,"0000"),B366),Addendum!I:I,"X")&gt;0,10%,0)</f>
        <v>0</v>
      </c>
      <c r="M366" s="34">
        <f t="shared" si="10"/>
        <v>0</v>
      </c>
      <c r="N366" s="17">
        <f t="shared" si="11"/>
        <v>19219.2</v>
      </c>
    </row>
    <row r="367" spans="1:14" x14ac:dyDescent="0.25">
      <c r="A367" s="14" t="s">
        <v>1852</v>
      </c>
      <c r="B367" s="14" t="s">
        <v>1545</v>
      </c>
      <c r="C367" s="15" t="s">
        <v>1927</v>
      </c>
      <c r="D367" s="14" t="s">
        <v>1745</v>
      </c>
      <c r="E367" s="14" t="s">
        <v>1747</v>
      </c>
      <c r="F367" s="17" t="s">
        <v>2994</v>
      </c>
      <c r="G367" s="14">
        <v>274560</v>
      </c>
      <c r="H367" s="14">
        <v>192192</v>
      </c>
      <c r="I367" s="31">
        <f>IF(COUNTIFS(Addendum!C:C,A367,Addendum!D:D,IF(ISNUMBER(B367),TEXT(B367,"0000"),B367),Addendum!E:E,"X")&gt;0,4%,0)</f>
        <v>0</v>
      </c>
      <c r="J367" s="31">
        <f>IF(COUNTIFS(Addendum!C:C,A367,Addendum!D:D,IF(ISNUMBER(B367),TEXT(B367,"0000"),B367),Addendum!F:F,"X")&gt;0,2.5%,0)</f>
        <v>0</v>
      </c>
      <c r="K367" s="31">
        <f>IF(COUNTIFS(Addendum!C:C,A367,Addendum!D:D,IF(ISNUMBER(B367),TEXT(B367,"0000"),B367),Addendum!G:G,"X")&gt;0,7%,0)</f>
        <v>0</v>
      </c>
      <c r="L367" s="31">
        <f>IF(COUNTIFS(Addendum!C:C,A367,Addendum!D:D,IF(ISNUMBER(B367),TEXT(B367,"0000"),B367),Addendum!I:I,"X")&gt;0,10%,0)</f>
        <v>0</v>
      </c>
      <c r="M367" s="34">
        <f t="shared" si="10"/>
        <v>0</v>
      </c>
      <c r="N367" s="17">
        <f t="shared" si="11"/>
        <v>192192</v>
      </c>
    </row>
    <row r="368" spans="1:14" x14ac:dyDescent="0.25">
      <c r="A368" s="14" t="s">
        <v>1852</v>
      </c>
      <c r="B368" s="14">
        <v>67</v>
      </c>
      <c r="C368" s="15" t="s">
        <v>1864</v>
      </c>
      <c r="D368" s="14" t="s">
        <v>1745</v>
      </c>
      <c r="E368" s="14" t="s">
        <v>1747</v>
      </c>
      <c r="F368" s="17" t="s">
        <v>2994</v>
      </c>
      <c r="G368" s="14">
        <v>199680</v>
      </c>
      <c r="H368" s="14">
        <v>139776</v>
      </c>
      <c r="I368" s="31">
        <f>IF(COUNTIFS(Addendum!C:C,A368,Addendum!D:D,IF(ISNUMBER(B368),TEXT(B368,"0000"),B368),Addendum!E:E,"X")&gt;0,4%,0)</f>
        <v>0</v>
      </c>
      <c r="J368" s="31">
        <f>IF(COUNTIFS(Addendum!C:C,A368,Addendum!D:D,IF(ISNUMBER(B368),TEXT(B368,"0000"),B368),Addendum!F:F,"X")&gt;0,2.5%,0)</f>
        <v>0</v>
      </c>
      <c r="K368" s="31">
        <f>IF(COUNTIFS(Addendum!C:C,A368,Addendum!D:D,IF(ISNUMBER(B368),TEXT(B368,"0000"),B368),Addendum!G:G,"X")&gt;0,7%,0)</f>
        <v>0</v>
      </c>
      <c r="L368" s="31">
        <f>IF(COUNTIFS(Addendum!C:C,A368,Addendum!D:D,IF(ISNUMBER(B368),TEXT(B368,"0000"),B368),Addendum!I:I,"X")&gt;0,10%,0)</f>
        <v>0</v>
      </c>
      <c r="M368" s="34">
        <f t="shared" si="10"/>
        <v>0</v>
      </c>
      <c r="N368" s="17">
        <f t="shared" si="11"/>
        <v>139776</v>
      </c>
    </row>
    <row r="369" spans="1:14" x14ac:dyDescent="0.25">
      <c r="A369" s="14" t="s">
        <v>1852</v>
      </c>
      <c r="B369" s="14" t="s">
        <v>28</v>
      </c>
      <c r="C369" s="15" t="s">
        <v>1928</v>
      </c>
      <c r="D369" s="14" t="s">
        <v>1745</v>
      </c>
      <c r="E369" s="14" t="s">
        <v>1746</v>
      </c>
      <c r="F369" s="17" t="s">
        <v>2993</v>
      </c>
      <c r="G369" s="14">
        <v>524097</v>
      </c>
      <c r="H369" s="14">
        <v>366868</v>
      </c>
      <c r="I369" s="31">
        <f>IF(COUNTIFS(Addendum!C:C,A369,Addendum!D:D,IF(ISNUMBER(B369),TEXT(B369,"0000"),B369),Addendum!E:E,"X")&gt;0,4%,0)</f>
        <v>0</v>
      </c>
      <c r="J369" s="31">
        <f>IF(COUNTIFS(Addendum!C:C,A369,Addendum!D:D,IF(ISNUMBER(B369),TEXT(B369,"0000"),B369),Addendum!F:F,"X")&gt;0,2.5%,0)</f>
        <v>0</v>
      </c>
      <c r="K369" s="31">
        <f>IF(COUNTIFS(Addendum!C:C,A369,Addendum!D:D,IF(ISNUMBER(B369),TEXT(B369,"0000"),B369),Addendum!G:G,"X")&gt;0,7%,0)</f>
        <v>0</v>
      </c>
      <c r="L369" s="31">
        <f>IF(COUNTIFS(Addendum!C:C,A369,Addendum!D:D,IF(ISNUMBER(B369),TEXT(B369,"0000"),B369),Addendum!I:I,"X")&gt;0,10%,0)</f>
        <v>0</v>
      </c>
      <c r="M369" s="34">
        <f t="shared" si="10"/>
        <v>0</v>
      </c>
      <c r="N369" s="17">
        <f t="shared" si="11"/>
        <v>366868</v>
      </c>
    </row>
    <row r="370" spans="1:14" x14ac:dyDescent="0.25">
      <c r="A370" s="14" t="s">
        <v>1852</v>
      </c>
      <c r="B370" s="14">
        <v>13</v>
      </c>
      <c r="C370" s="15" t="s">
        <v>1863</v>
      </c>
      <c r="D370" s="14" t="s">
        <v>1749</v>
      </c>
      <c r="E370" s="14" t="s">
        <v>1746</v>
      </c>
      <c r="F370" s="17" t="s">
        <v>2993</v>
      </c>
      <c r="G370" s="14">
        <v>399336</v>
      </c>
      <c r="H370" s="14">
        <v>279535.2</v>
      </c>
      <c r="I370" s="31">
        <f>IF(COUNTIFS(Addendum!C:C,A370,Addendum!D:D,IF(ISNUMBER(B370),TEXT(B370,"0000"),B370),Addendum!E:E,"X")&gt;0,4%,0)</f>
        <v>0</v>
      </c>
      <c r="J370" s="31">
        <f>IF(COUNTIFS(Addendum!C:C,A370,Addendum!D:D,IF(ISNUMBER(B370),TEXT(B370,"0000"),B370),Addendum!F:F,"X")&gt;0,2.5%,0)</f>
        <v>0</v>
      </c>
      <c r="K370" s="31">
        <f>IF(COUNTIFS(Addendum!C:C,A370,Addendum!D:D,IF(ISNUMBER(B370),TEXT(B370,"0000"),B370),Addendum!G:G,"X")&gt;0,7%,0)</f>
        <v>0</v>
      </c>
      <c r="L370" s="31">
        <f>IF(COUNTIFS(Addendum!C:C,A370,Addendum!D:D,IF(ISNUMBER(B370),TEXT(B370,"0000"),B370),Addendum!I:I,"X")&gt;0,10%,0)</f>
        <v>0</v>
      </c>
      <c r="M370" s="34">
        <f t="shared" si="10"/>
        <v>0</v>
      </c>
      <c r="N370" s="17">
        <f t="shared" si="11"/>
        <v>279535.2</v>
      </c>
    </row>
    <row r="371" spans="1:14" x14ac:dyDescent="0.25">
      <c r="A371" s="14" t="s">
        <v>1852</v>
      </c>
      <c r="B371" s="14" t="s">
        <v>1583</v>
      </c>
      <c r="C371" s="15" t="s">
        <v>1861</v>
      </c>
      <c r="D371" s="14" t="s">
        <v>1745</v>
      </c>
      <c r="E371" s="14" t="s">
        <v>1747</v>
      </c>
      <c r="F371" s="17" t="s">
        <v>2994</v>
      </c>
      <c r="G371" s="14">
        <v>12379380</v>
      </c>
      <c r="H371" s="14">
        <v>8665566</v>
      </c>
      <c r="I371" s="31">
        <f>IF(COUNTIFS(Addendum!C:C,A371,Addendum!D:D,IF(ISNUMBER(B371),TEXT(B371,"0000"),B371),Addendum!E:E,"X")&gt;0,4%,0)</f>
        <v>0</v>
      </c>
      <c r="J371" s="31">
        <f>IF(COUNTIFS(Addendum!C:C,A371,Addendum!D:D,IF(ISNUMBER(B371),TEXT(B371,"0000"),B371),Addendum!F:F,"X")&gt;0,2.5%,0)</f>
        <v>0</v>
      </c>
      <c r="K371" s="31">
        <f>IF(COUNTIFS(Addendum!C:C,A371,Addendum!D:D,IF(ISNUMBER(B371),TEXT(B371,"0000"),B371),Addendum!G:G,"X")&gt;0,7%,0)</f>
        <v>0</v>
      </c>
      <c r="L371" s="31">
        <f>IF(COUNTIFS(Addendum!C:C,A371,Addendum!D:D,IF(ISNUMBER(B371),TEXT(B371,"0000"),B371),Addendum!I:I,"X")&gt;0,10%,0)</f>
        <v>0</v>
      </c>
      <c r="M371" s="34">
        <f t="shared" si="10"/>
        <v>0</v>
      </c>
      <c r="N371" s="17">
        <f t="shared" si="11"/>
        <v>8665566</v>
      </c>
    </row>
    <row r="372" spans="1:14" x14ac:dyDescent="0.25">
      <c r="A372" s="14" t="s">
        <v>1852</v>
      </c>
      <c r="B372" s="14" t="s">
        <v>89</v>
      </c>
      <c r="C372" s="15" t="s">
        <v>1929</v>
      </c>
      <c r="D372" s="14" t="s">
        <v>1749</v>
      </c>
      <c r="E372" s="14" t="s">
        <v>1746</v>
      </c>
      <c r="F372" s="17" t="s">
        <v>2993</v>
      </c>
      <c r="G372" s="14">
        <v>3094842</v>
      </c>
      <c r="H372" s="14">
        <v>2166389</v>
      </c>
      <c r="I372" s="31">
        <f>IF(COUNTIFS(Addendum!C:C,A372,Addendum!D:D,IF(ISNUMBER(B372),TEXT(B372,"0000"),B372),Addendum!E:E,"X")&gt;0,4%,0)</f>
        <v>0</v>
      </c>
      <c r="J372" s="31">
        <f>IF(COUNTIFS(Addendum!C:C,A372,Addendum!D:D,IF(ISNUMBER(B372),TEXT(B372,"0000"),B372),Addendum!F:F,"X")&gt;0,2.5%,0)</f>
        <v>0</v>
      </c>
      <c r="K372" s="31">
        <f>IF(COUNTIFS(Addendum!C:C,A372,Addendum!D:D,IF(ISNUMBER(B372),TEXT(B372,"0000"),B372),Addendum!G:G,"X")&gt;0,7%,0)</f>
        <v>0</v>
      </c>
      <c r="L372" s="31">
        <f>IF(COUNTIFS(Addendum!C:C,A372,Addendum!D:D,IF(ISNUMBER(B372),TEXT(B372,"0000"),B372),Addendum!I:I,"X")&gt;0,10%,0)</f>
        <v>0</v>
      </c>
      <c r="M372" s="34">
        <f t="shared" si="10"/>
        <v>0</v>
      </c>
      <c r="N372" s="17">
        <f t="shared" si="11"/>
        <v>2166389</v>
      </c>
    </row>
    <row r="373" spans="1:14" x14ac:dyDescent="0.25">
      <c r="A373" s="14" t="s">
        <v>1852</v>
      </c>
      <c r="B373" s="14" t="s">
        <v>1573</v>
      </c>
      <c r="C373" s="15" t="s">
        <v>1930</v>
      </c>
      <c r="D373" s="14" t="s">
        <v>1749</v>
      </c>
      <c r="E373" s="14" t="s">
        <v>1746</v>
      </c>
      <c r="F373" s="17" t="s">
        <v>2994</v>
      </c>
      <c r="G373" s="14">
        <v>27456</v>
      </c>
      <c r="H373" s="14">
        <v>19219.2</v>
      </c>
      <c r="I373" s="31">
        <f>IF(COUNTIFS(Addendum!C:C,A373,Addendum!D:D,IF(ISNUMBER(B373),TEXT(B373,"0000"),B373),Addendum!E:E,"X")&gt;0,4%,0)</f>
        <v>0</v>
      </c>
      <c r="J373" s="31">
        <f>IF(COUNTIFS(Addendum!C:C,A373,Addendum!D:D,IF(ISNUMBER(B373),TEXT(B373,"0000"),B373),Addendum!F:F,"X")&gt;0,2.5%,0)</f>
        <v>0</v>
      </c>
      <c r="K373" s="31">
        <f>IF(COUNTIFS(Addendum!C:C,A373,Addendum!D:D,IF(ISNUMBER(B373),TEXT(B373,"0000"),B373),Addendum!G:G,"X")&gt;0,7%,0)</f>
        <v>0</v>
      </c>
      <c r="L373" s="31">
        <f>IF(COUNTIFS(Addendum!C:C,A373,Addendum!D:D,IF(ISNUMBER(B373),TEXT(B373,"0000"),B373),Addendum!I:I,"X")&gt;0,10%,0)</f>
        <v>0</v>
      </c>
      <c r="M373" s="34">
        <f t="shared" si="10"/>
        <v>0</v>
      </c>
      <c r="N373" s="17">
        <f t="shared" si="11"/>
        <v>19219.2</v>
      </c>
    </row>
    <row r="374" spans="1:14" x14ac:dyDescent="0.25">
      <c r="A374" s="14" t="s">
        <v>1852</v>
      </c>
      <c r="B374" s="14" t="s">
        <v>1649</v>
      </c>
      <c r="C374" s="15" t="s">
        <v>1931</v>
      </c>
      <c r="D374" s="14" t="s">
        <v>1745</v>
      </c>
      <c r="E374" s="14" t="s">
        <v>1746</v>
      </c>
      <c r="F374" s="17" t="s">
        <v>2994</v>
      </c>
      <c r="G374" s="14">
        <v>288288</v>
      </c>
      <c r="H374" s="14">
        <v>201801.60000000001</v>
      </c>
      <c r="I374" s="31">
        <f>IF(COUNTIFS(Addendum!C:C,A374,Addendum!D:D,IF(ISNUMBER(B374),TEXT(B374,"0000"),B374),Addendum!E:E,"X")&gt;0,4%,0)</f>
        <v>0</v>
      </c>
      <c r="J374" s="31">
        <f>IF(COUNTIFS(Addendum!C:C,A374,Addendum!D:D,IF(ISNUMBER(B374),TEXT(B374,"0000"),B374),Addendum!F:F,"X")&gt;0,2.5%,0)</f>
        <v>0</v>
      </c>
      <c r="K374" s="31">
        <f>IF(COUNTIFS(Addendum!C:C,A374,Addendum!D:D,IF(ISNUMBER(B374),TEXT(B374,"0000"),B374),Addendum!G:G,"X")&gt;0,7%,0)</f>
        <v>0</v>
      </c>
      <c r="L374" s="31">
        <f>IF(COUNTIFS(Addendum!C:C,A374,Addendum!D:D,IF(ISNUMBER(B374),TEXT(B374,"0000"),B374),Addendum!I:I,"X")&gt;0,10%,0)</f>
        <v>0</v>
      </c>
      <c r="M374" s="34">
        <f t="shared" si="10"/>
        <v>0</v>
      </c>
      <c r="N374" s="17">
        <f t="shared" si="11"/>
        <v>201801.60000000001</v>
      </c>
    </row>
    <row r="375" spans="1:14" x14ac:dyDescent="0.25">
      <c r="A375" s="14" t="s">
        <v>1852</v>
      </c>
      <c r="B375" s="14" t="s">
        <v>402</v>
      </c>
      <c r="C375" s="15" t="s">
        <v>1932</v>
      </c>
      <c r="D375" s="14" t="s">
        <v>1749</v>
      </c>
      <c r="E375" s="14" t="s">
        <v>1746</v>
      </c>
      <c r="F375" s="17" t="s">
        <v>2994</v>
      </c>
      <c r="G375" s="14">
        <v>796176</v>
      </c>
      <c r="H375" s="14">
        <v>557323.19999999995</v>
      </c>
      <c r="I375" s="31">
        <f>IF(COUNTIFS(Addendum!C:C,A375,Addendum!D:D,IF(ISNUMBER(B375),TEXT(B375,"0000"),B375),Addendum!E:E,"X")&gt;0,4%,0)</f>
        <v>0</v>
      </c>
      <c r="J375" s="31">
        <f>IF(COUNTIFS(Addendum!C:C,A375,Addendum!D:D,IF(ISNUMBER(B375),TEXT(B375,"0000"),B375),Addendum!F:F,"X")&gt;0,2.5%,0)</f>
        <v>0</v>
      </c>
      <c r="K375" s="31">
        <f>IF(COUNTIFS(Addendum!C:C,A375,Addendum!D:D,IF(ISNUMBER(B375),TEXT(B375,"0000"),B375),Addendum!G:G,"X")&gt;0,7%,0)</f>
        <v>0</v>
      </c>
      <c r="L375" s="31">
        <f>IF(COUNTIFS(Addendum!C:C,A375,Addendum!D:D,IF(ISNUMBER(B375),TEXT(B375,"0000"),B375),Addendum!I:I,"X")&gt;0,10%,0)</f>
        <v>0</v>
      </c>
      <c r="M375" s="34">
        <f t="shared" si="10"/>
        <v>0</v>
      </c>
      <c r="N375" s="17">
        <f t="shared" si="11"/>
        <v>557323.19999999995</v>
      </c>
    </row>
    <row r="376" spans="1:14" x14ac:dyDescent="0.25">
      <c r="A376" s="14" t="s">
        <v>1852</v>
      </c>
      <c r="B376" s="14" t="s">
        <v>1898</v>
      </c>
      <c r="C376" s="15" t="s">
        <v>1899</v>
      </c>
      <c r="D376" s="14" t="s">
        <v>1749</v>
      </c>
      <c r="E376" s="14" t="s">
        <v>1746</v>
      </c>
      <c r="F376" s="17" t="s">
        <v>2994</v>
      </c>
      <c r="G376" s="14">
        <v>219636</v>
      </c>
      <c r="H376" s="14">
        <v>153745.20000000001</v>
      </c>
      <c r="I376" s="31">
        <f>IF(COUNTIFS(Addendum!C:C,A376,Addendum!D:D,IF(ISNUMBER(B376),TEXT(B376,"0000"),B376),Addendum!E:E,"X")&gt;0,4%,0)</f>
        <v>0</v>
      </c>
      <c r="J376" s="31">
        <f>IF(COUNTIFS(Addendum!C:C,A376,Addendum!D:D,IF(ISNUMBER(B376),TEXT(B376,"0000"),B376),Addendum!F:F,"X")&gt;0,2.5%,0)</f>
        <v>0</v>
      </c>
      <c r="K376" s="31">
        <f>IF(COUNTIFS(Addendum!C:C,A376,Addendum!D:D,IF(ISNUMBER(B376),TEXT(B376,"0000"),B376),Addendum!G:G,"X")&gt;0,7%,0)</f>
        <v>0</v>
      </c>
      <c r="L376" s="31">
        <f>IF(COUNTIFS(Addendum!C:C,A376,Addendum!D:D,IF(ISNUMBER(B376),TEXT(B376,"0000"),B376),Addendum!I:I,"X")&gt;0,10%,0)</f>
        <v>0</v>
      </c>
      <c r="M376" s="34">
        <f t="shared" si="10"/>
        <v>0</v>
      </c>
      <c r="N376" s="17">
        <f t="shared" si="11"/>
        <v>153745.20000000001</v>
      </c>
    </row>
    <row r="377" spans="1:14" x14ac:dyDescent="0.25">
      <c r="A377" s="14" t="s">
        <v>1852</v>
      </c>
      <c r="B377" s="14" t="s">
        <v>1655</v>
      </c>
      <c r="C377" s="15" t="s">
        <v>1933</v>
      </c>
      <c r="D377" s="14" t="s">
        <v>1745</v>
      </c>
      <c r="E377" s="14" t="s">
        <v>1746</v>
      </c>
      <c r="F377" s="17" t="s">
        <v>2994</v>
      </c>
      <c r="G377" s="14">
        <v>209664</v>
      </c>
      <c r="H377" s="14">
        <v>146764.79999999999</v>
      </c>
      <c r="I377" s="31">
        <f>IF(COUNTIFS(Addendum!C:C,A377,Addendum!D:D,IF(ISNUMBER(B377),TEXT(B377,"0000"),B377),Addendum!E:E,"X")&gt;0,4%,0)</f>
        <v>0</v>
      </c>
      <c r="J377" s="31">
        <f>IF(COUNTIFS(Addendum!C:C,A377,Addendum!D:D,IF(ISNUMBER(B377),TEXT(B377,"0000"),B377),Addendum!F:F,"X")&gt;0,2.5%,0)</f>
        <v>0</v>
      </c>
      <c r="K377" s="31">
        <f>IF(COUNTIFS(Addendum!C:C,A377,Addendum!D:D,IF(ISNUMBER(B377),TEXT(B377,"0000"),B377),Addendum!G:G,"X")&gt;0,7%,0)</f>
        <v>0</v>
      </c>
      <c r="L377" s="31">
        <f>IF(COUNTIFS(Addendum!C:C,A377,Addendum!D:D,IF(ISNUMBER(B377),TEXT(B377,"0000"),B377),Addendum!I:I,"X")&gt;0,10%,0)</f>
        <v>0</v>
      </c>
      <c r="M377" s="34">
        <f t="shared" si="10"/>
        <v>0</v>
      </c>
      <c r="N377" s="17">
        <f t="shared" si="11"/>
        <v>146764.79999999999</v>
      </c>
    </row>
    <row r="378" spans="1:14" x14ac:dyDescent="0.25">
      <c r="A378" s="14" t="s">
        <v>1852</v>
      </c>
      <c r="B378" s="14">
        <v>80</v>
      </c>
      <c r="C378" s="15" t="s">
        <v>1934</v>
      </c>
      <c r="D378" s="14" t="s">
        <v>1745</v>
      </c>
      <c r="E378" s="14" t="s">
        <v>1746</v>
      </c>
      <c r="F378" s="17" t="s">
        <v>2994</v>
      </c>
      <c r="G378" s="14">
        <v>6079878</v>
      </c>
      <c r="H378" s="14">
        <v>4255915</v>
      </c>
      <c r="I378" s="31">
        <f>IF(COUNTIFS(Addendum!C:C,A378,Addendum!D:D,IF(ISNUMBER(B378),TEXT(B378,"0000"),B378),Addendum!E:E,"X")&gt;0,4%,0)</f>
        <v>0</v>
      </c>
      <c r="J378" s="31">
        <f>IF(COUNTIFS(Addendum!C:C,A378,Addendum!D:D,IF(ISNUMBER(B378),TEXT(B378,"0000"),B378),Addendum!F:F,"X")&gt;0,2.5%,0)</f>
        <v>0</v>
      </c>
      <c r="K378" s="31">
        <f>IF(COUNTIFS(Addendum!C:C,A378,Addendum!D:D,IF(ISNUMBER(B378),TEXT(B378,"0000"),B378),Addendum!G:G,"X")&gt;0,7%,0)</f>
        <v>0</v>
      </c>
      <c r="L378" s="31">
        <f>IF(COUNTIFS(Addendum!C:C,A378,Addendum!D:D,IF(ISNUMBER(B378),TEXT(B378,"0000"),B378),Addendum!I:I,"X")&gt;0,10%,0)</f>
        <v>0</v>
      </c>
      <c r="M378" s="34">
        <f t="shared" si="10"/>
        <v>0</v>
      </c>
      <c r="N378" s="17">
        <f t="shared" si="11"/>
        <v>4255915</v>
      </c>
    </row>
    <row r="379" spans="1:14" x14ac:dyDescent="0.25">
      <c r="A379" s="14" t="s">
        <v>1852</v>
      </c>
      <c r="B379" s="14">
        <v>7</v>
      </c>
      <c r="C379" s="15" t="s">
        <v>1935</v>
      </c>
      <c r="D379" s="14" t="s">
        <v>1745</v>
      </c>
      <c r="E379" s="14" t="s">
        <v>1747</v>
      </c>
      <c r="F379" s="17" t="s">
        <v>2993</v>
      </c>
      <c r="G379" s="14">
        <v>3993360</v>
      </c>
      <c r="H379" s="14">
        <v>2795352</v>
      </c>
      <c r="I379" s="31">
        <f>IF(COUNTIFS(Addendum!C:C,A379,Addendum!D:D,IF(ISNUMBER(B379),TEXT(B379,"0000"),B379),Addendum!E:E,"X")&gt;0,4%,0)</f>
        <v>0</v>
      </c>
      <c r="J379" s="31">
        <f>IF(COUNTIFS(Addendum!C:C,A379,Addendum!D:D,IF(ISNUMBER(B379),TEXT(B379,"0000"),B379),Addendum!F:F,"X")&gt;0,2.5%,0)</f>
        <v>0</v>
      </c>
      <c r="K379" s="31">
        <f>IF(COUNTIFS(Addendum!C:C,A379,Addendum!D:D,IF(ISNUMBER(B379),TEXT(B379,"0000"),B379),Addendum!G:G,"X")&gt;0,7%,0)</f>
        <v>0</v>
      </c>
      <c r="L379" s="31">
        <f>IF(COUNTIFS(Addendum!C:C,A379,Addendum!D:D,IF(ISNUMBER(B379),TEXT(B379,"0000"),B379),Addendum!I:I,"X")&gt;0,10%,0)</f>
        <v>0</v>
      </c>
      <c r="M379" s="34">
        <f t="shared" si="10"/>
        <v>0</v>
      </c>
      <c r="N379" s="17">
        <f t="shared" si="11"/>
        <v>2795352</v>
      </c>
    </row>
    <row r="380" spans="1:14" x14ac:dyDescent="0.25">
      <c r="A380" s="14" t="s">
        <v>1850</v>
      </c>
      <c r="B380" s="14">
        <v>1</v>
      </c>
      <c r="C380" s="15" t="s">
        <v>1851</v>
      </c>
      <c r="D380" s="14" t="s">
        <v>1749</v>
      </c>
      <c r="E380" s="14" t="s">
        <v>1746</v>
      </c>
      <c r="F380" s="17" t="s">
        <v>2993</v>
      </c>
      <c r="G380" s="14">
        <v>2994</v>
      </c>
      <c r="H380" s="14">
        <v>2095.8000000000002</v>
      </c>
      <c r="I380" s="31">
        <f>IF(COUNTIFS(Addendum!C:C,A380,Addendum!D:D,IF(ISNUMBER(B380),TEXT(B380,"0000"),B380),Addendum!E:E,"X")&gt;0,4%,0)</f>
        <v>0</v>
      </c>
      <c r="J380" s="31">
        <f>IF(COUNTIFS(Addendum!C:C,A380,Addendum!D:D,IF(ISNUMBER(B380),TEXT(B380,"0000"),B380),Addendum!F:F,"X")&gt;0,2.5%,0)</f>
        <v>0</v>
      </c>
      <c r="K380" s="31">
        <f>IF(COUNTIFS(Addendum!C:C,A380,Addendum!D:D,IF(ISNUMBER(B380),TEXT(B380,"0000"),B380),Addendum!G:G,"X")&gt;0,7%,0)</f>
        <v>0</v>
      </c>
      <c r="L380" s="31">
        <f>IF(COUNTIFS(Addendum!C:C,A380,Addendum!D:D,IF(ISNUMBER(B380),TEXT(B380,"0000"),B380),Addendum!I:I,"X")&gt;0,10%,0)</f>
        <v>0</v>
      </c>
      <c r="M380" s="34">
        <f t="shared" si="10"/>
        <v>0</v>
      </c>
      <c r="N380" s="17">
        <f t="shared" si="11"/>
        <v>2095.8000000000002</v>
      </c>
    </row>
    <row r="381" spans="1:14" x14ac:dyDescent="0.25">
      <c r="A381" s="14" t="s">
        <v>1852</v>
      </c>
      <c r="B381" s="14">
        <v>52</v>
      </c>
      <c r="C381" s="15" t="s">
        <v>1855</v>
      </c>
      <c r="D381" s="14" t="s">
        <v>1745</v>
      </c>
      <c r="E381" s="14" t="s">
        <v>1746</v>
      </c>
      <c r="F381" s="17" t="s">
        <v>2994</v>
      </c>
      <c r="G381" s="14">
        <v>209664</v>
      </c>
      <c r="H381" s="14">
        <v>146764.79999999999</v>
      </c>
      <c r="I381" s="31">
        <f>IF(COUNTIFS(Addendum!C:C,A381,Addendum!D:D,IF(ISNUMBER(B381),TEXT(B381,"0000"),B381),Addendum!E:E,"X")&gt;0,4%,0)</f>
        <v>0</v>
      </c>
      <c r="J381" s="31">
        <f>IF(COUNTIFS(Addendum!C:C,A381,Addendum!D:D,IF(ISNUMBER(B381),TEXT(B381,"0000"),B381),Addendum!F:F,"X")&gt;0,2.5%,0)</f>
        <v>0</v>
      </c>
      <c r="K381" s="31">
        <f>IF(COUNTIFS(Addendum!C:C,A381,Addendum!D:D,IF(ISNUMBER(B381),TEXT(B381,"0000"),B381),Addendum!G:G,"X")&gt;0,7%,0)</f>
        <v>0</v>
      </c>
      <c r="L381" s="31">
        <f>IF(COUNTIFS(Addendum!C:C,A381,Addendum!D:D,IF(ISNUMBER(B381),TEXT(B381,"0000"),B381),Addendum!I:I,"X")&gt;0,10%,0)</f>
        <v>0</v>
      </c>
      <c r="M381" s="34">
        <f t="shared" si="10"/>
        <v>0</v>
      </c>
      <c r="N381" s="17">
        <f t="shared" si="11"/>
        <v>146764.79999999999</v>
      </c>
    </row>
    <row r="382" spans="1:14" x14ac:dyDescent="0.25">
      <c r="A382" s="14" t="s">
        <v>1852</v>
      </c>
      <c r="B382" s="14" t="s">
        <v>1564</v>
      </c>
      <c r="C382" s="15" t="s">
        <v>1936</v>
      </c>
      <c r="D382" s="14" t="s">
        <v>1745</v>
      </c>
      <c r="E382" s="14" t="s">
        <v>1747</v>
      </c>
      <c r="F382" s="17" t="s">
        <v>2994</v>
      </c>
      <c r="G382" s="14">
        <v>274560</v>
      </c>
      <c r="H382" s="14">
        <v>192192</v>
      </c>
      <c r="I382" s="31">
        <f>IF(COUNTIFS(Addendum!C:C,A382,Addendum!D:D,IF(ISNUMBER(B382),TEXT(B382,"0000"),B382),Addendum!E:E,"X")&gt;0,4%,0)</f>
        <v>0</v>
      </c>
      <c r="J382" s="31">
        <f>IF(COUNTIFS(Addendum!C:C,A382,Addendum!D:D,IF(ISNUMBER(B382),TEXT(B382,"0000"),B382),Addendum!F:F,"X")&gt;0,2.5%,0)</f>
        <v>0</v>
      </c>
      <c r="K382" s="31">
        <f>IF(COUNTIFS(Addendum!C:C,A382,Addendum!D:D,IF(ISNUMBER(B382),TEXT(B382,"0000"),B382),Addendum!G:G,"X")&gt;0,7%,0)</f>
        <v>0</v>
      </c>
      <c r="L382" s="31">
        <f>IF(COUNTIFS(Addendum!C:C,A382,Addendum!D:D,IF(ISNUMBER(B382),TEXT(B382,"0000"),B382),Addendum!I:I,"X")&gt;0,10%,0)</f>
        <v>0</v>
      </c>
      <c r="M382" s="34">
        <f t="shared" si="10"/>
        <v>0</v>
      </c>
      <c r="N382" s="17">
        <f t="shared" si="11"/>
        <v>192192</v>
      </c>
    </row>
    <row r="383" spans="1:14" x14ac:dyDescent="0.25">
      <c r="A383" s="14" t="s">
        <v>1852</v>
      </c>
      <c r="B383" s="14" t="s">
        <v>414</v>
      </c>
      <c r="C383" s="15" t="s">
        <v>1937</v>
      </c>
      <c r="D383" s="14" t="s">
        <v>1745</v>
      </c>
      <c r="E383" s="14" t="s">
        <v>1747</v>
      </c>
      <c r="F383" s="17" t="s">
        <v>2994</v>
      </c>
      <c r="G383" s="14">
        <v>5790360</v>
      </c>
      <c r="H383" s="14">
        <v>4053252</v>
      </c>
      <c r="I383" s="31">
        <f>IF(COUNTIFS(Addendum!C:C,A383,Addendum!D:D,IF(ISNUMBER(B383),TEXT(B383,"0000"),B383),Addendum!E:E,"X")&gt;0,4%,0)</f>
        <v>0</v>
      </c>
      <c r="J383" s="31">
        <f>IF(COUNTIFS(Addendum!C:C,A383,Addendum!D:D,IF(ISNUMBER(B383),TEXT(B383,"0000"),B383),Addendum!F:F,"X")&gt;0,2.5%,0)</f>
        <v>0</v>
      </c>
      <c r="K383" s="31">
        <f>IF(COUNTIFS(Addendum!C:C,A383,Addendum!D:D,IF(ISNUMBER(B383),TEXT(B383,"0000"),B383),Addendum!G:G,"X")&gt;0,7%,0)</f>
        <v>0</v>
      </c>
      <c r="L383" s="31">
        <f>IF(COUNTIFS(Addendum!C:C,A383,Addendum!D:D,IF(ISNUMBER(B383),TEXT(B383,"0000"),B383),Addendum!I:I,"X")&gt;0,10%,0)</f>
        <v>0</v>
      </c>
      <c r="M383" s="34">
        <f t="shared" si="10"/>
        <v>0</v>
      </c>
      <c r="N383" s="17">
        <f t="shared" si="11"/>
        <v>4053252</v>
      </c>
    </row>
    <row r="384" spans="1:14" x14ac:dyDescent="0.25">
      <c r="A384" s="14" t="s">
        <v>1852</v>
      </c>
      <c r="B384" s="14">
        <v>7</v>
      </c>
      <c r="C384" s="15" t="s">
        <v>1935</v>
      </c>
      <c r="D384" s="14" t="s">
        <v>1749</v>
      </c>
      <c r="E384" s="14" t="s">
        <v>1746</v>
      </c>
      <c r="F384" s="17" t="s">
        <v>2993</v>
      </c>
      <c r="G384" s="14">
        <v>399336</v>
      </c>
      <c r="H384" s="14">
        <v>279535.2</v>
      </c>
      <c r="I384" s="31">
        <f>IF(COUNTIFS(Addendum!C:C,A384,Addendum!D:D,IF(ISNUMBER(B384),TEXT(B384,"0000"),B384),Addendum!E:E,"X")&gt;0,4%,0)</f>
        <v>0</v>
      </c>
      <c r="J384" s="31">
        <f>IF(COUNTIFS(Addendum!C:C,A384,Addendum!D:D,IF(ISNUMBER(B384),TEXT(B384,"0000"),B384),Addendum!F:F,"X")&gt;0,2.5%,0)</f>
        <v>0</v>
      </c>
      <c r="K384" s="31">
        <f>IF(COUNTIFS(Addendum!C:C,A384,Addendum!D:D,IF(ISNUMBER(B384),TEXT(B384,"0000"),B384),Addendum!G:G,"X")&gt;0,7%,0)</f>
        <v>0</v>
      </c>
      <c r="L384" s="31">
        <f>IF(COUNTIFS(Addendum!C:C,A384,Addendum!D:D,IF(ISNUMBER(B384),TEXT(B384,"0000"),B384),Addendum!I:I,"X")&gt;0,10%,0)</f>
        <v>0</v>
      </c>
      <c r="M384" s="34">
        <f t="shared" si="10"/>
        <v>0</v>
      </c>
      <c r="N384" s="17">
        <f t="shared" si="11"/>
        <v>279535.2</v>
      </c>
    </row>
    <row r="385" spans="1:14" x14ac:dyDescent="0.25">
      <c r="A385" s="14" t="s">
        <v>1852</v>
      </c>
      <c r="B385" s="14">
        <v>63</v>
      </c>
      <c r="C385" s="15" t="s">
        <v>1938</v>
      </c>
      <c r="D385" s="14" t="s">
        <v>1745</v>
      </c>
      <c r="E385" s="14" t="s">
        <v>1746</v>
      </c>
      <c r="F385" s="17" t="s">
        <v>2995</v>
      </c>
      <c r="G385" s="14">
        <v>157248</v>
      </c>
      <c r="H385" s="14">
        <v>141523.20000000001</v>
      </c>
      <c r="I385" s="31">
        <f>IF(COUNTIFS(Addendum!C:C,A385,Addendum!D:D,IF(ISNUMBER(B385),TEXT(B385,"0000"),B385),Addendum!E:E,"X")&gt;0,4%,0)</f>
        <v>0</v>
      </c>
      <c r="J385" s="31">
        <f>IF(COUNTIFS(Addendum!C:C,A385,Addendum!D:D,IF(ISNUMBER(B385),TEXT(B385,"0000"),B385),Addendum!F:F,"X")&gt;0,2.5%,0)</f>
        <v>0</v>
      </c>
      <c r="K385" s="31">
        <f>IF(COUNTIFS(Addendum!C:C,A385,Addendum!D:D,IF(ISNUMBER(B385),TEXT(B385,"0000"),B385),Addendum!G:G,"X")&gt;0,7%,0)</f>
        <v>0</v>
      </c>
      <c r="L385" s="31">
        <f>IF(COUNTIFS(Addendum!C:C,A385,Addendum!D:D,IF(ISNUMBER(B385),TEXT(B385,"0000"),B385),Addendum!I:I,"X")&gt;0,10%,0)</f>
        <v>0</v>
      </c>
      <c r="M385" s="34">
        <f t="shared" si="10"/>
        <v>0</v>
      </c>
      <c r="N385" s="17">
        <f t="shared" si="11"/>
        <v>141523.20000000001</v>
      </c>
    </row>
    <row r="386" spans="1:14" x14ac:dyDescent="0.25">
      <c r="A386" s="14" t="s">
        <v>1852</v>
      </c>
      <c r="B386" s="14" t="s">
        <v>1939</v>
      </c>
      <c r="C386" s="15" t="s">
        <v>1940</v>
      </c>
      <c r="D386" s="14" t="s">
        <v>1745</v>
      </c>
      <c r="E386" s="14" t="s">
        <v>1746</v>
      </c>
      <c r="F386" s="17" t="s">
        <v>2995</v>
      </c>
      <c r="G386" s="14">
        <v>1257921</v>
      </c>
      <c r="H386" s="14">
        <v>1132129</v>
      </c>
      <c r="I386" s="31">
        <f>IF(COUNTIFS(Addendum!C:C,A386,Addendum!D:D,IF(ISNUMBER(B386),TEXT(B386,"0000"),B386),Addendum!E:E,"X")&gt;0,4%,0)</f>
        <v>0</v>
      </c>
      <c r="J386" s="31">
        <f>IF(COUNTIFS(Addendum!C:C,A386,Addendum!D:D,IF(ISNUMBER(B386),TEXT(B386,"0000"),B386),Addendum!F:F,"X")&gt;0,2.5%,0)</f>
        <v>0</v>
      </c>
      <c r="K386" s="31">
        <f>IF(COUNTIFS(Addendum!C:C,A386,Addendum!D:D,IF(ISNUMBER(B386),TEXT(B386,"0000"),B386),Addendum!G:G,"X")&gt;0,7%,0)</f>
        <v>0</v>
      </c>
      <c r="L386" s="31">
        <f>IF(COUNTIFS(Addendum!C:C,A386,Addendum!D:D,IF(ISNUMBER(B386),TEXT(B386,"0000"),B386),Addendum!I:I,"X")&gt;0,10%,0)</f>
        <v>0</v>
      </c>
      <c r="M386" s="34">
        <f t="shared" si="10"/>
        <v>0</v>
      </c>
      <c r="N386" s="17">
        <f t="shared" si="11"/>
        <v>1132129</v>
      </c>
    </row>
    <row r="387" spans="1:14" x14ac:dyDescent="0.25">
      <c r="A387" s="14" t="s">
        <v>1852</v>
      </c>
      <c r="B387" s="14">
        <v>79</v>
      </c>
      <c r="C387" s="15" t="s">
        <v>1880</v>
      </c>
      <c r="D387" s="14" t="s">
        <v>1749</v>
      </c>
      <c r="E387" s="14" t="s">
        <v>1746</v>
      </c>
      <c r="F387" s="17" t="s">
        <v>2994</v>
      </c>
      <c r="G387" s="14">
        <v>1237938</v>
      </c>
      <c r="H387" s="14">
        <v>866556.6</v>
      </c>
      <c r="I387" s="31">
        <f>IF(COUNTIFS(Addendum!C:C,A387,Addendum!D:D,IF(ISNUMBER(B387),TEXT(B387,"0000"),B387),Addendum!E:E,"X")&gt;0,4%,0)</f>
        <v>0</v>
      </c>
      <c r="J387" s="31">
        <f>IF(COUNTIFS(Addendum!C:C,A387,Addendum!D:D,IF(ISNUMBER(B387),TEXT(B387,"0000"),B387),Addendum!F:F,"X")&gt;0,2.5%,0)</f>
        <v>0</v>
      </c>
      <c r="K387" s="31">
        <f>IF(COUNTIFS(Addendum!C:C,A387,Addendum!D:D,IF(ISNUMBER(B387),TEXT(B387,"0000"),B387),Addendum!G:G,"X")&gt;0,7%,0)</f>
        <v>0</v>
      </c>
      <c r="L387" s="31">
        <f>IF(COUNTIFS(Addendum!C:C,A387,Addendum!D:D,IF(ISNUMBER(B387),TEXT(B387,"0000"),B387),Addendum!I:I,"X")&gt;0,10%,0)</f>
        <v>0</v>
      </c>
      <c r="M387" s="34">
        <f t="shared" si="10"/>
        <v>0</v>
      </c>
      <c r="N387" s="17">
        <f t="shared" si="11"/>
        <v>866556.6</v>
      </c>
    </row>
    <row r="388" spans="1:14" x14ac:dyDescent="0.25">
      <c r="A388" s="14" t="s">
        <v>1852</v>
      </c>
      <c r="B388" s="14" t="s">
        <v>1941</v>
      </c>
      <c r="C388" s="15" t="s">
        <v>1942</v>
      </c>
      <c r="D388" s="14" t="s">
        <v>1745</v>
      </c>
      <c r="E388" s="14" t="s">
        <v>1747</v>
      </c>
      <c r="F388" s="17" t="s">
        <v>2994</v>
      </c>
      <c r="G388" s="14">
        <v>1597320</v>
      </c>
      <c r="H388" s="14">
        <v>1118124</v>
      </c>
      <c r="I388" s="31">
        <f>IF(COUNTIFS(Addendum!C:C,A388,Addendum!D:D,IF(ISNUMBER(B388),TEXT(B388,"0000"),B388),Addendum!E:E,"X")&gt;0,4%,0)</f>
        <v>0</v>
      </c>
      <c r="J388" s="31">
        <f>IF(COUNTIFS(Addendum!C:C,A388,Addendum!D:D,IF(ISNUMBER(B388),TEXT(B388,"0000"),B388),Addendum!F:F,"X")&gt;0,2.5%,0)</f>
        <v>0</v>
      </c>
      <c r="K388" s="31">
        <f>IF(COUNTIFS(Addendum!C:C,A388,Addendum!D:D,IF(ISNUMBER(B388),TEXT(B388,"0000"),B388),Addendum!G:G,"X")&gt;0,7%,0)</f>
        <v>0</v>
      </c>
      <c r="L388" s="31">
        <f>IF(COUNTIFS(Addendum!C:C,A388,Addendum!D:D,IF(ISNUMBER(B388),TEXT(B388,"0000"),B388),Addendum!I:I,"X")&gt;0,10%,0)</f>
        <v>0</v>
      </c>
      <c r="M388" s="34">
        <f t="shared" ref="M388:M451" si="12">IF(AND(I388=0%,J388=0%,K388=0%,L388=0%),0%,
IF(OR(TRIM(E388)="OneTime",TRIM(D388)=""),0%,
IF(
OR(
TRIM(D388)="P1M",
AND(TRIM(D388)="P1Y",TRIM(E388)="Monthly"),
AND(TRIM(D388)="P3Y",TRIM(E388)="Monthly")
),
IF(AND(I388=4%,J388=0%,K388=0%,L388=0%),1%,
IF(AND(I388=4%,J388=2.5%,K388=0%,L388=10%),2%,
IF(AND(I388=4%,J388=0%,K388=7%,L388=10%),3%,0%))),
IF(
OR(
AND(TRIM(D388)="P1Y",TRIM(E388)="Annual"),
AND(TRIM(D388)="P3Y",TRIM(E388)="Annual"),
AND(TRIM(D388)="P3Y",TRIM(E388)="Triennial")
),
IF(AND(I388=4%,J388=0%,K388=0%,L388=0%),3%,
IF(AND(I388=4%,J388=2.5%,K388=0%,L388=10%),10%,
IF(AND(I388=4%,J388=0%,K388=7%,L388=10%),14%,0%))),
0%
))))</f>
        <v>0</v>
      </c>
      <c r="N388" s="17">
        <f t="shared" ref="N388:N451" si="13">H388-(H388*M388)</f>
        <v>1118124</v>
      </c>
    </row>
    <row r="389" spans="1:14" x14ac:dyDescent="0.25">
      <c r="A389" s="14" t="s">
        <v>1852</v>
      </c>
      <c r="B389" s="14" t="s">
        <v>29</v>
      </c>
      <c r="C389" s="15" t="s">
        <v>1943</v>
      </c>
      <c r="D389" s="14" t="s">
        <v>1745</v>
      </c>
      <c r="E389" s="14" t="s">
        <v>1746</v>
      </c>
      <c r="F389" s="17" t="s">
        <v>2993</v>
      </c>
      <c r="G389" s="14">
        <v>15199695</v>
      </c>
      <c r="H389" s="14">
        <v>10639787</v>
      </c>
      <c r="I389" s="31">
        <f>IF(COUNTIFS(Addendum!C:C,A389,Addendum!D:D,IF(ISNUMBER(B389),TEXT(B389,"0000"),B389),Addendum!E:E,"X")&gt;0,4%,0)</f>
        <v>0</v>
      </c>
      <c r="J389" s="31">
        <f>IF(COUNTIFS(Addendum!C:C,A389,Addendum!D:D,IF(ISNUMBER(B389),TEXT(B389,"0000"),B389),Addendum!F:F,"X")&gt;0,2.5%,0)</f>
        <v>0</v>
      </c>
      <c r="K389" s="31">
        <f>IF(COUNTIFS(Addendum!C:C,A389,Addendum!D:D,IF(ISNUMBER(B389),TEXT(B389,"0000"),B389),Addendum!G:G,"X")&gt;0,7%,0)</f>
        <v>0</v>
      </c>
      <c r="L389" s="31">
        <f>IF(COUNTIFS(Addendum!C:C,A389,Addendum!D:D,IF(ISNUMBER(B389),TEXT(B389,"0000"),B389),Addendum!I:I,"X")&gt;0,10%,0)</f>
        <v>0</v>
      </c>
      <c r="M389" s="34">
        <f t="shared" si="12"/>
        <v>0</v>
      </c>
      <c r="N389" s="17">
        <f t="shared" si="13"/>
        <v>10639787</v>
      </c>
    </row>
    <row r="390" spans="1:14" x14ac:dyDescent="0.25">
      <c r="A390" s="14" t="s">
        <v>1852</v>
      </c>
      <c r="B390" s="14" t="s">
        <v>1550</v>
      </c>
      <c r="C390" s="15" t="s">
        <v>1920</v>
      </c>
      <c r="D390" s="14" t="s">
        <v>1745</v>
      </c>
      <c r="E390" s="14" t="s">
        <v>1747</v>
      </c>
      <c r="F390" s="17" t="s">
        <v>2995</v>
      </c>
      <c r="G390" s="14">
        <v>149760</v>
      </c>
      <c r="H390" s="14">
        <v>134784</v>
      </c>
      <c r="I390" s="31">
        <f>IF(COUNTIFS(Addendum!C:C,A390,Addendum!D:D,IF(ISNUMBER(B390),TEXT(B390,"0000"),B390),Addendum!E:E,"X")&gt;0,4%,0)</f>
        <v>0</v>
      </c>
      <c r="J390" s="31">
        <f>IF(COUNTIFS(Addendum!C:C,A390,Addendum!D:D,IF(ISNUMBER(B390),TEXT(B390,"0000"),B390),Addendum!F:F,"X")&gt;0,2.5%,0)</f>
        <v>0</v>
      </c>
      <c r="K390" s="31">
        <f>IF(COUNTIFS(Addendum!C:C,A390,Addendum!D:D,IF(ISNUMBER(B390),TEXT(B390,"0000"),B390),Addendum!G:G,"X")&gt;0,7%,0)</f>
        <v>0</v>
      </c>
      <c r="L390" s="31">
        <f>IF(COUNTIFS(Addendum!C:C,A390,Addendum!D:D,IF(ISNUMBER(B390),TEXT(B390,"0000"),B390),Addendum!I:I,"X")&gt;0,10%,0)</f>
        <v>0</v>
      </c>
      <c r="M390" s="34">
        <f t="shared" si="12"/>
        <v>0</v>
      </c>
      <c r="N390" s="17">
        <f t="shared" si="13"/>
        <v>134784</v>
      </c>
    </row>
    <row r="391" spans="1:14" x14ac:dyDescent="0.25">
      <c r="A391" s="14" t="s">
        <v>1852</v>
      </c>
      <c r="B391" s="14" t="s">
        <v>1601</v>
      </c>
      <c r="C391" s="15" t="s">
        <v>1887</v>
      </c>
      <c r="D391" s="14" t="s">
        <v>1745</v>
      </c>
      <c r="E391" s="14" t="s">
        <v>1746</v>
      </c>
      <c r="F391" s="17" t="s">
        <v>2995</v>
      </c>
      <c r="G391" s="14">
        <v>157248</v>
      </c>
      <c r="H391" s="14">
        <v>141523.20000000001</v>
      </c>
      <c r="I391" s="31">
        <f>IF(COUNTIFS(Addendum!C:C,A391,Addendum!D:D,IF(ISNUMBER(B391),TEXT(B391,"0000"),B391),Addendum!E:E,"X")&gt;0,4%,0)</f>
        <v>0</v>
      </c>
      <c r="J391" s="31">
        <f>IF(COUNTIFS(Addendum!C:C,A391,Addendum!D:D,IF(ISNUMBER(B391),TEXT(B391,"0000"),B391),Addendum!F:F,"X")&gt;0,2.5%,0)</f>
        <v>0</v>
      </c>
      <c r="K391" s="31">
        <f>IF(COUNTIFS(Addendum!C:C,A391,Addendum!D:D,IF(ISNUMBER(B391),TEXT(B391,"0000"),B391),Addendum!G:G,"X")&gt;0,7%,0)</f>
        <v>0</v>
      </c>
      <c r="L391" s="31">
        <f>IF(COUNTIFS(Addendum!C:C,A391,Addendum!D:D,IF(ISNUMBER(B391),TEXT(B391,"0000"),B391),Addendum!I:I,"X")&gt;0,10%,0)</f>
        <v>0</v>
      </c>
      <c r="M391" s="34">
        <f t="shared" si="12"/>
        <v>0</v>
      </c>
      <c r="N391" s="17">
        <f t="shared" si="13"/>
        <v>141523.20000000001</v>
      </c>
    </row>
    <row r="392" spans="1:14" x14ac:dyDescent="0.25">
      <c r="A392" s="14" t="s">
        <v>1852</v>
      </c>
      <c r="B392" s="14" t="s">
        <v>410</v>
      </c>
      <c r="C392" s="15" t="s">
        <v>1944</v>
      </c>
      <c r="D392" s="14" t="s">
        <v>1745</v>
      </c>
      <c r="E392" s="14" t="s">
        <v>1746</v>
      </c>
      <c r="F392" s="17" t="s">
        <v>2994</v>
      </c>
      <c r="G392" s="14">
        <v>6079878</v>
      </c>
      <c r="H392" s="14">
        <v>4255915</v>
      </c>
      <c r="I392" s="31">
        <f>IF(COUNTIFS(Addendum!C:C,A392,Addendum!D:D,IF(ISNUMBER(B392),TEXT(B392,"0000"),B392),Addendum!E:E,"X")&gt;0,4%,0)</f>
        <v>0</v>
      </c>
      <c r="J392" s="31">
        <f>IF(COUNTIFS(Addendum!C:C,A392,Addendum!D:D,IF(ISNUMBER(B392),TEXT(B392,"0000"),B392),Addendum!F:F,"X")&gt;0,2.5%,0)</f>
        <v>0</v>
      </c>
      <c r="K392" s="31">
        <f>IF(COUNTIFS(Addendum!C:C,A392,Addendum!D:D,IF(ISNUMBER(B392),TEXT(B392,"0000"),B392),Addendum!G:G,"X")&gt;0,7%,0)</f>
        <v>0</v>
      </c>
      <c r="L392" s="31">
        <f>IF(COUNTIFS(Addendum!C:C,A392,Addendum!D:D,IF(ISNUMBER(B392),TEXT(B392,"0000"),B392),Addendum!I:I,"X")&gt;0,10%,0)</f>
        <v>0</v>
      </c>
      <c r="M392" s="34">
        <f t="shared" si="12"/>
        <v>0</v>
      </c>
      <c r="N392" s="17">
        <f t="shared" si="13"/>
        <v>4255915</v>
      </c>
    </row>
    <row r="393" spans="1:14" x14ac:dyDescent="0.25">
      <c r="A393" s="14" t="s">
        <v>1852</v>
      </c>
      <c r="B393" s="14" t="s">
        <v>1945</v>
      </c>
      <c r="C393" s="15" t="s">
        <v>1946</v>
      </c>
      <c r="D393" s="14" t="s">
        <v>1745</v>
      </c>
      <c r="E393" s="14" t="s">
        <v>1746</v>
      </c>
      <c r="F393" s="17" t="s">
        <v>2995</v>
      </c>
      <c r="G393" s="14">
        <v>1257921</v>
      </c>
      <c r="H393" s="14">
        <v>1132129</v>
      </c>
      <c r="I393" s="31">
        <f>IF(COUNTIFS(Addendum!C:C,A393,Addendum!D:D,IF(ISNUMBER(B393),TEXT(B393,"0000"),B393),Addendum!E:E,"X")&gt;0,4%,0)</f>
        <v>0</v>
      </c>
      <c r="J393" s="31">
        <f>IF(COUNTIFS(Addendum!C:C,A393,Addendum!D:D,IF(ISNUMBER(B393),TEXT(B393,"0000"),B393),Addendum!F:F,"X")&gt;0,2.5%,0)</f>
        <v>0</v>
      </c>
      <c r="K393" s="31">
        <f>IF(COUNTIFS(Addendum!C:C,A393,Addendum!D:D,IF(ISNUMBER(B393),TEXT(B393,"0000"),B393),Addendum!G:G,"X")&gt;0,7%,0)</f>
        <v>0</v>
      </c>
      <c r="L393" s="31">
        <f>IF(COUNTIFS(Addendum!C:C,A393,Addendum!D:D,IF(ISNUMBER(B393),TEXT(B393,"0000"),B393),Addendum!I:I,"X")&gt;0,10%,0)</f>
        <v>0</v>
      </c>
      <c r="M393" s="34">
        <f t="shared" si="12"/>
        <v>0</v>
      </c>
      <c r="N393" s="17">
        <f t="shared" si="13"/>
        <v>1132129</v>
      </c>
    </row>
    <row r="394" spans="1:14" ht="30" x14ac:dyDescent="0.25">
      <c r="A394" s="14" t="s">
        <v>1850</v>
      </c>
      <c r="B394" s="14" t="s">
        <v>50</v>
      </c>
      <c r="C394" s="15" t="s">
        <v>1947</v>
      </c>
      <c r="D394" s="14" t="s">
        <v>1745</v>
      </c>
      <c r="E394" s="14" t="s">
        <v>1746</v>
      </c>
      <c r="F394" s="17" t="s">
        <v>2995</v>
      </c>
      <c r="G394" s="14">
        <v>15750</v>
      </c>
      <c r="H394" s="14">
        <v>14175</v>
      </c>
      <c r="I394" s="31">
        <f>IF(COUNTIFS(Addendum!C:C,A394,Addendum!D:D,IF(ISNUMBER(B394),TEXT(B394,"0000"),B394),Addendum!E:E,"X")&gt;0,4%,0)</f>
        <v>0</v>
      </c>
      <c r="J394" s="31">
        <f>IF(COUNTIFS(Addendum!C:C,A394,Addendum!D:D,IF(ISNUMBER(B394),TEXT(B394,"0000"),B394),Addendum!F:F,"X")&gt;0,2.5%,0)</f>
        <v>0</v>
      </c>
      <c r="K394" s="31">
        <f>IF(COUNTIFS(Addendum!C:C,A394,Addendum!D:D,IF(ISNUMBER(B394),TEXT(B394,"0000"),B394),Addendum!G:G,"X")&gt;0,7%,0)</f>
        <v>0</v>
      </c>
      <c r="L394" s="31">
        <f>IF(COUNTIFS(Addendum!C:C,A394,Addendum!D:D,IF(ISNUMBER(B394),TEXT(B394,"0000"),B394),Addendum!I:I,"X")&gt;0,10%,0)</f>
        <v>0</v>
      </c>
      <c r="M394" s="34">
        <f t="shared" si="12"/>
        <v>0</v>
      </c>
      <c r="N394" s="17">
        <f t="shared" si="13"/>
        <v>14175</v>
      </c>
    </row>
    <row r="395" spans="1:14" x14ac:dyDescent="0.25">
      <c r="A395" s="14" t="s">
        <v>1850</v>
      </c>
      <c r="B395" s="14">
        <v>2</v>
      </c>
      <c r="C395" s="15" t="s">
        <v>1948</v>
      </c>
      <c r="D395" s="14" t="s">
        <v>1749</v>
      </c>
      <c r="E395" s="14" t="s">
        <v>1746</v>
      </c>
      <c r="F395" s="17" t="s">
        <v>2993</v>
      </c>
      <c r="G395" s="14">
        <v>20964</v>
      </c>
      <c r="H395" s="14">
        <v>14674.8</v>
      </c>
      <c r="I395" s="31">
        <f>IF(COUNTIFS(Addendum!C:C,A395,Addendum!D:D,IF(ISNUMBER(B395),TEXT(B395,"0000"),B395),Addendum!E:E,"X")&gt;0,4%,0)</f>
        <v>0</v>
      </c>
      <c r="J395" s="31">
        <f>IF(COUNTIFS(Addendum!C:C,A395,Addendum!D:D,IF(ISNUMBER(B395),TEXT(B395,"0000"),B395),Addendum!F:F,"X")&gt;0,2.5%,0)</f>
        <v>0</v>
      </c>
      <c r="K395" s="31">
        <f>IF(COUNTIFS(Addendum!C:C,A395,Addendum!D:D,IF(ISNUMBER(B395),TEXT(B395,"0000"),B395),Addendum!G:G,"X")&gt;0,7%,0)</f>
        <v>0</v>
      </c>
      <c r="L395" s="31">
        <f>IF(COUNTIFS(Addendum!C:C,A395,Addendum!D:D,IF(ISNUMBER(B395),TEXT(B395,"0000"),B395),Addendum!I:I,"X")&gt;0,10%,0)</f>
        <v>0</v>
      </c>
      <c r="M395" s="34">
        <f t="shared" si="12"/>
        <v>0</v>
      </c>
      <c r="N395" s="17">
        <f t="shared" si="13"/>
        <v>14674.8</v>
      </c>
    </row>
    <row r="396" spans="1:14" x14ac:dyDescent="0.25">
      <c r="A396" s="14" t="s">
        <v>1852</v>
      </c>
      <c r="B396" s="14" t="s">
        <v>118</v>
      </c>
      <c r="C396" s="15" t="s">
        <v>1862</v>
      </c>
      <c r="D396" s="14" t="s">
        <v>1745</v>
      </c>
      <c r="E396" s="14" t="s">
        <v>1746</v>
      </c>
      <c r="F396" s="17" t="s">
        <v>2993</v>
      </c>
      <c r="G396" s="14">
        <v>15199695</v>
      </c>
      <c r="H396" s="14">
        <v>10639787</v>
      </c>
      <c r="I396" s="31">
        <f>IF(COUNTIFS(Addendum!C:C,A396,Addendum!D:D,IF(ISNUMBER(B396),TEXT(B396,"0000"),B396),Addendum!E:E,"X")&gt;0,4%,0)</f>
        <v>0</v>
      </c>
      <c r="J396" s="31">
        <f>IF(COUNTIFS(Addendum!C:C,A396,Addendum!D:D,IF(ISNUMBER(B396),TEXT(B396,"0000"),B396),Addendum!F:F,"X")&gt;0,2.5%,0)</f>
        <v>0</v>
      </c>
      <c r="K396" s="31">
        <f>IF(COUNTIFS(Addendum!C:C,A396,Addendum!D:D,IF(ISNUMBER(B396),TEXT(B396,"0000"),B396),Addendum!G:G,"X")&gt;0,7%,0)</f>
        <v>0</v>
      </c>
      <c r="L396" s="31">
        <f>IF(COUNTIFS(Addendum!C:C,A396,Addendum!D:D,IF(ISNUMBER(B396),TEXT(B396,"0000"),B396),Addendum!I:I,"X")&gt;0,10%,0)</f>
        <v>0</v>
      </c>
      <c r="M396" s="34">
        <f t="shared" si="12"/>
        <v>0</v>
      </c>
      <c r="N396" s="17">
        <f t="shared" si="13"/>
        <v>10639787</v>
      </c>
    </row>
    <row r="397" spans="1:14" x14ac:dyDescent="0.25">
      <c r="A397" s="14" t="s">
        <v>1852</v>
      </c>
      <c r="B397" s="14" t="s">
        <v>1949</v>
      </c>
      <c r="C397" s="15" t="s">
        <v>1950</v>
      </c>
      <c r="D397" s="14" t="s">
        <v>1749</v>
      </c>
      <c r="E397" s="14" t="s">
        <v>1746</v>
      </c>
      <c r="F397" s="17" t="s">
        <v>2994</v>
      </c>
      <c r="G397" s="14">
        <v>19968</v>
      </c>
      <c r="H397" s="14">
        <v>13977.6</v>
      </c>
      <c r="I397" s="31">
        <f>IF(COUNTIFS(Addendum!C:C,A397,Addendum!D:D,IF(ISNUMBER(B397),TEXT(B397,"0000"),B397),Addendum!E:E,"X")&gt;0,4%,0)</f>
        <v>0</v>
      </c>
      <c r="J397" s="31">
        <f>IF(COUNTIFS(Addendum!C:C,A397,Addendum!D:D,IF(ISNUMBER(B397),TEXT(B397,"0000"),B397),Addendum!F:F,"X")&gt;0,2.5%,0)</f>
        <v>0</v>
      </c>
      <c r="K397" s="31">
        <f>IF(COUNTIFS(Addendum!C:C,A397,Addendum!D:D,IF(ISNUMBER(B397),TEXT(B397,"0000"),B397),Addendum!G:G,"X")&gt;0,7%,0)</f>
        <v>0</v>
      </c>
      <c r="L397" s="31">
        <f>IF(COUNTIFS(Addendum!C:C,A397,Addendum!D:D,IF(ISNUMBER(B397),TEXT(B397,"0000"),B397),Addendum!I:I,"X")&gt;0,10%,0)</f>
        <v>0</v>
      </c>
      <c r="M397" s="34">
        <f t="shared" si="12"/>
        <v>0</v>
      </c>
      <c r="N397" s="17">
        <f t="shared" si="13"/>
        <v>13977.6</v>
      </c>
    </row>
    <row r="398" spans="1:14" x14ac:dyDescent="0.25">
      <c r="A398" s="14" t="s">
        <v>1852</v>
      </c>
      <c r="B398" s="14" t="s">
        <v>50</v>
      </c>
      <c r="C398" s="15" t="s">
        <v>1911</v>
      </c>
      <c r="D398" s="14" t="s">
        <v>1745</v>
      </c>
      <c r="E398" s="14" t="s">
        <v>1747</v>
      </c>
      <c r="F398" s="17" t="s">
        <v>2993</v>
      </c>
      <c r="G398" s="14">
        <v>30948420</v>
      </c>
      <c r="H398" s="14">
        <v>21663894</v>
      </c>
      <c r="I398" s="31">
        <f>IF(COUNTIFS(Addendum!C:C,A398,Addendum!D:D,IF(ISNUMBER(B398),TEXT(B398,"0000"),B398),Addendum!E:E,"X")&gt;0,4%,0)</f>
        <v>0</v>
      </c>
      <c r="J398" s="31">
        <f>IF(COUNTIFS(Addendum!C:C,A398,Addendum!D:D,IF(ISNUMBER(B398),TEXT(B398,"0000"),B398),Addendum!F:F,"X")&gt;0,2.5%,0)</f>
        <v>0</v>
      </c>
      <c r="K398" s="31">
        <f>IF(COUNTIFS(Addendum!C:C,A398,Addendum!D:D,IF(ISNUMBER(B398),TEXT(B398,"0000"),B398),Addendum!G:G,"X")&gt;0,7%,0)</f>
        <v>0</v>
      </c>
      <c r="L398" s="31">
        <f>IF(COUNTIFS(Addendum!C:C,A398,Addendum!D:D,IF(ISNUMBER(B398),TEXT(B398,"0000"),B398),Addendum!I:I,"X")&gt;0,10%,0)</f>
        <v>0</v>
      </c>
      <c r="M398" s="34">
        <f t="shared" si="12"/>
        <v>0</v>
      </c>
      <c r="N398" s="17">
        <f t="shared" si="13"/>
        <v>21663894</v>
      </c>
    </row>
    <row r="399" spans="1:14" x14ac:dyDescent="0.25">
      <c r="A399" s="14" t="s">
        <v>1852</v>
      </c>
      <c r="B399" s="14">
        <v>85</v>
      </c>
      <c r="C399" s="15" t="s">
        <v>1951</v>
      </c>
      <c r="D399" s="14" t="s">
        <v>1749</v>
      </c>
      <c r="E399" s="14" t="s">
        <v>1746</v>
      </c>
      <c r="F399" s="17" t="s">
        <v>2995</v>
      </c>
      <c r="G399" s="14">
        <v>434274</v>
      </c>
      <c r="H399" s="14">
        <v>390846.6</v>
      </c>
      <c r="I399" s="31">
        <f>IF(COUNTIFS(Addendum!C:C,A399,Addendum!D:D,IF(ISNUMBER(B399),TEXT(B399,"0000"),B399),Addendum!E:E,"X")&gt;0,4%,0)</f>
        <v>0</v>
      </c>
      <c r="J399" s="31">
        <f>IF(COUNTIFS(Addendum!C:C,A399,Addendum!D:D,IF(ISNUMBER(B399),TEXT(B399,"0000"),B399),Addendum!F:F,"X")&gt;0,2.5%,0)</f>
        <v>0</v>
      </c>
      <c r="K399" s="31">
        <f>IF(COUNTIFS(Addendum!C:C,A399,Addendum!D:D,IF(ISNUMBER(B399),TEXT(B399,"0000"),B399),Addendum!G:G,"X")&gt;0,7%,0)</f>
        <v>0</v>
      </c>
      <c r="L399" s="31">
        <f>IF(COUNTIFS(Addendum!C:C,A399,Addendum!D:D,IF(ISNUMBER(B399),TEXT(B399,"0000"),B399),Addendum!I:I,"X")&gt;0,10%,0)</f>
        <v>0</v>
      </c>
      <c r="M399" s="34">
        <f t="shared" si="12"/>
        <v>0</v>
      </c>
      <c r="N399" s="17">
        <f t="shared" si="13"/>
        <v>390846.6</v>
      </c>
    </row>
    <row r="400" spans="1:14" x14ac:dyDescent="0.25">
      <c r="A400" s="14" t="s">
        <v>1852</v>
      </c>
      <c r="B400" s="14" t="s">
        <v>1671</v>
      </c>
      <c r="C400" s="15" t="s">
        <v>1913</v>
      </c>
      <c r="D400" s="14" t="s">
        <v>1745</v>
      </c>
      <c r="E400" s="14" t="s">
        <v>1747</v>
      </c>
      <c r="F400" s="17" t="s">
        <v>2995</v>
      </c>
      <c r="G400" s="14">
        <v>149760</v>
      </c>
      <c r="H400" s="14">
        <v>134784</v>
      </c>
      <c r="I400" s="31">
        <f>IF(COUNTIFS(Addendum!C:C,A400,Addendum!D:D,IF(ISNUMBER(B400),TEXT(B400,"0000"),B400),Addendum!E:E,"X")&gt;0,4%,0)</f>
        <v>0</v>
      </c>
      <c r="J400" s="31">
        <f>IF(COUNTIFS(Addendum!C:C,A400,Addendum!D:D,IF(ISNUMBER(B400),TEXT(B400,"0000"),B400),Addendum!F:F,"X")&gt;0,2.5%,0)</f>
        <v>0</v>
      </c>
      <c r="K400" s="31">
        <f>IF(COUNTIFS(Addendum!C:C,A400,Addendum!D:D,IF(ISNUMBER(B400),TEXT(B400,"0000"),B400),Addendum!G:G,"X")&gt;0,7%,0)</f>
        <v>0</v>
      </c>
      <c r="L400" s="31">
        <f>IF(COUNTIFS(Addendum!C:C,A400,Addendum!D:D,IF(ISNUMBER(B400),TEXT(B400,"0000"),B400),Addendum!I:I,"X")&gt;0,10%,0)</f>
        <v>0</v>
      </c>
      <c r="M400" s="34">
        <f t="shared" si="12"/>
        <v>0</v>
      </c>
      <c r="N400" s="17">
        <f t="shared" si="13"/>
        <v>134784</v>
      </c>
    </row>
    <row r="401" spans="1:14" x14ac:dyDescent="0.25">
      <c r="A401" s="14" t="s">
        <v>1852</v>
      </c>
      <c r="B401" s="14" t="s">
        <v>1545</v>
      </c>
      <c r="C401" s="15" t="s">
        <v>1927</v>
      </c>
      <c r="D401" s="14" t="s">
        <v>1749</v>
      </c>
      <c r="E401" s="14" t="s">
        <v>1746</v>
      </c>
      <c r="F401" s="17" t="s">
        <v>2994</v>
      </c>
      <c r="G401" s="14">
        <v>27456</v>
      </c>
      <c r="H401" s="14">
        <v>19219.2</v>
      </c>
      <c r="I401" s="31">
        <f>IF(COUNTIFS(Addendum!C:C,A401,Addendum!D:D,IF(ISNUMBER(B401),TEXT(B401,"0000"),B401),Addendum!E:E,"X")&gt;0,4%,0)</f>
        <v>0</v>
      </c>
      <c r="J401" s="31">
        <f>IF(COUNTIFS(Addendum!C:C,A401,Addendum!D:D,IF(ISNUMBER(B401),TEXT(B401,"0000"),B401),Addendum!F:F,"X")&gt;0,2.5%,0)</f>
        <v>0</v>
      </c>
      <c r="K401" s="31">
        <f>IF(COUNTIFS(Addendum!C:C,A401,Addendum!D:D,IF(ISNUMBER(B401),TEXT(B401,"0000"),B401),Addendum!G:G,"X")&gt;0,7%,0)</f>
        <v>0</v>
      </c>
      <c r="L401" s="31">
        <f>IF(COUNTIFS(Addendum!C:C,A401,Addendum!D:D,IF(ISNUMBER(B401),TEXT(B401,"0000"),B401),Addendum!I:I,"X")&gt;0,10%,0)</f>
        <v>0</v>
      </c>
      <c r="M401" s="34">
        <f t="shared" si="12"/>
        <v>0</v>
      </c>
      <c r="N401" s="17">
        <f t="shared" si="13"/>
        <v>19219.2</v>
      </c>
    </row>
    <row r="402" spans="1:14" x14ac:dyDescent="0.25">
      <c r="A402" s="14" t="s">
        <v>1852</v>
      </c>
      <c r="B402" s="14">
        <v>16</v>
      </c>
      <c r="C402" s="15" t="s">
        <v>1952</v>
      </c>
      <c r="D402" s="14" t="s">
        <v>1745</v>
      </c>
      <c r="E402" s="14" t="s">
        <v>1747</v>
      </c>
      <c r="F402" s="17" t="s">
        <v>2993</v>
      </c>
      <c r="G402" s="14">
        <v>499140</v>
      </c>
      <c r="H402" s="14">
        <v>349398</v>
      </c>
      <c r="I402" s="31">
        <f>IF(COUNTIFS(Addendum!C:C,A402,Addendum!D:D,IF(ISNUMBER(B402),TEXT(B402,"0000"),B402),Addendum!E:E,"X")&gt;0,4%,0)</f>
        <v>0</v>
      </c>
      <c r="J402" s="31">
        <f>IF(COUNTIFS(Addendum!C:C,A402,Addendum!D:D,IF(ISNUMBER(B402),TEXT(B402,"0000"),B402),Addendum!F:F,"X")&gt;0,2.5%,0)</f>
        <v>0</v>
      </c>
      <c r="K402" s="31">
        <f>IF(COUNTIFS(Addendum!C:C,A402,Addendum!D:D,IF(ISNUMBER(B402),TEXT(B402,"0000"),B402),Addendum!G:G,"X")&gt;0,7%,0)</f>
        <v>0</v>
      </c>
      <c r="L402" s="31">
        <f>IF(COUNTIFS(Addendum!C:C,A402,Addendum!D:D,IF(ISNUMBER(B402),TEXT(B402,"0000"),B402),Addendum!I:I,"X")&gt;0,10%,0)</f>
        <v>0</v>
      </c>
      <c r="M402" s="34">
        <f t="shared" si="12"/>
        <v>0</v>
      </c>
      <c r="N402" s="17">
        <f t="shared" si="13"/>
        <v>349398</v>
      </c>
    </row>
    <row r="403" spans="1:14" x14ac:dyDescent="0.25">
      <c r="A403" s="14" t="s">
        <v>1852</v>
      </c>
      <c r="B403" s="14">
        <v>70</v>
      </c>
      <c r="C403" s="15" t="s">
        <v>1953</v>
      </c>
      <c r="D403" s="14" t="s">
        <v>1745</v>
      </c>
      <c r="E403" s="14" t="s">
        <v>1746</v>
      </c>
      <c r="F403" s="17" t="s">
        <v>2995</v>
      </c>
      <c r="G403" s="14">
        <v>157248</v>
      </c>
      <c r="H403" s="14">
        <v>141523.20000000001</v>
      </c>
      <c r="I403" s="31">
        <f>IF(COUNTIFS(Addendum!C:C,A403,Addendum!D:D,IF(ISNUMBER(B403),TEXT(B403,"0000"),B403),Addendum!E:E,"X")&gt;0,4%,0)</f>
        <v>0</v>
      </c>
      <c r="J403" s="31">
        <f>IF(COUNTIFS(Addendum!C:C,A403,Addendum!D:D,IF(ISNUMBER(B403),TEXT(B403,"0000"),B403),Addendum!F:F,"X")&gt;0,2.5%,0)</f>
        <v>0</v>
      </c>
      <c r="K403" s="31">
        <f>IF(COUNTIFS(Addendum!C:C,A403,Addendum!D:D,IF(ISNUMBER(B403),TEXT(B403,"0000"),B403),Addendum!G:G,"X")&gt;0,7%,0)</f>
        <v>0</v>
      </c>
      <c r="L403" s="31">
        <f>IF(COUNTIFS(Addendum!C:C,A403,Addendum!D:D,IF(ISNUMBER(B403),TEXT(B403,"0000"),B403),Addendum!I:I,"X")&gt;0,10%,0)</f>
        <v>0</v>
      </c>
      <c r="M403" s="34">
        <f t="shared" si="12"/>
        <v>0</v>
      </c>
      <c r="N403" s="17">
        <f t="shared" si="13"/>
        <v>141523.20000000001</v>
      </c>
    </row>
    <row r="404" spans="1:14" x14ac:dyDescent="0.25">
      <c r="A404" s="14" t="s">
        <v>1852</v>
      </c>
      <c r="B404" s="14" t="s">
        <v>32</v>
      </c>
      <c r="C404" s="15" t="s">
        <v>1895</v>
      </c>
      <c r="D404" s="14" t="s">
        <v>1745</v>
      </c>
      <c r="E404" s="14" t="s">
        <v>1747</v>
      </c>
      <c r="F404" s="17" t="s">
        <v>2993</v>
      </c>
      <c r="G404" s="14">
        <v>499140</v>
      </c>
      <c r="H404" s="14">
        <v>349398</v>
      </c>
      <c r="I404" s="31">
        <f>IF(COUNTIFS(Addendum!C:C,A404,Addendum!D:D,IF(ISNUMBER(B404),TEXT(B404,"0000"),B404),Addendum!E:E,"X")&gt;0,4%,0)</f>
        <v>0</v>
      </c>
      <c r="J404" s="31">
        <f>IF(COUNTIFS(Addendum!C:C,A404,Addendum!D:D,IF(ISNUMBER(B404),TEXT(B404,"0000"),B404),Addendum!F:F,"X")&gt;0,2.5%,0)</f>
        <v>0</v>
      </c>
      <c r="K404" s="31">
        <f>IF(COUNTIFS(Addendum!C:C,A404,Addendum!D:D,IF(ISNUMBER(B404),TEXT(B404,"0000"),B404),Addendum!G:G,"X")&gt;0,7%,0)</f>
        <v>0</v>
      </c>
      <c r="L404" s="31">
        <f>IF(COUNTIFS(Addendum!C:C,A404,Addendum!D:D,IF(ISNUMBER(B404),TEXT(B404,"0000"),B404),Addendum!I:I,"X")&gt;0,10%,0)</f>
        <v>0</v>
      </c>
      <c r="M404" s="34">
        <f t="shared" si="12"/>
        <v>0</v>
      </c>
      <c r="N404" s="17">
        <f t="shared" si="13"/>
        <v>349398</v>
      </c>
    </row>
    <row r="405" spans="1:14" x14ac:dyDescent="0.25">
      <c r="A405" s="14" t="s">
        <v>1852</v>
      </c>
      <c r="B405" s="14">
        <v>73</v>
      </c>
      <c r="C405" s="15" t="s">
        <v>1954</v>
      </c>
      <c r="D405" s="14" t="s">
        <v>1745</v>
      </c>
      <c r="E405" s="14" t="s">
        <v>1746</v>
      </c>
      <c r="F405" s="17" t="s">
        <v>2994</v>
      </c>
      <c r="G405" s="14">
        <v>12998349</v>
      </c>
      <c r="H405" s="14">
        <v>9098844</v>
      </c>
      <c r="I405" s="31">
        <f>IF(COUNTIFS(Addendum!C:C,A405,Addendum!D:D,IF(ISNUMBER(B405),TEXT(B405,"0000"),B405),Addendum!E:E,"X")&gt;0,4%,0)</f>
        <v>0</v>
      </c>
      <c r="J405" s="31">
        <f>IF(COUNTIFS(Addendum!C:C,A405,Addendum!D:D,IF(ISNUMBER(B405),TEXT(B405,"0000"),B405),Addendum!F:F,"X")&gt;0,2.5%,0)</f>
        <v>0</v>
      </c>
      <c r="K405" s="31">
        <f>IF(COUNTIFS(Addendum!C:C,A405,Addendum!D:D,IF(ISNUMBER(B405),TEXT(B405,"0000"),B405),Addendum!G:G,"X")&gt;0,7%,0)</f>
        <v>0</v>
      </c>
      <c r="L405" s="31">
        <f>IF(COUNTIFS(Addendum!C:C,A405,Addendum!D:D,IF(ISNUMBER(B405),TEXT(B405,"0000"),B405),Addendum!I:I,"X")&gt;0,10%,0)</f>
        <v>0</v>
      </c>
      <c r="M405" s="34">
        <f t="shared" si="12"/>
        <v>0</v>
      </c>
      <c r="N405" s="17">
        <f t="shared" si="13"/>
        <v>9098844</v>
      </c>
    </row>
    <row r="406" spans="1:14" x14ac:dyDescent="0.25">
      <c r="A406" s="14" t="s">
        <v>1850</v>
      </c>
      <c r="B406" s="14">
        <v>2</v>
      </c>
      <c r="C406" s="15" t="s">
        <v>1948</v>
      </c>
      <c r="D406" s="14" t="s">
        <v>1752</v>
      </c>
      <c r="E406" s="14" t="s">
        <v>1746</v>
      </c>
      <c r="F406" s="17" t="s">
        <v>2993</v>
      </c>
      <c r="G406" s="14">
        <v>660366</v>
      </c>
      <c r="H406" s="14">
        <v>462256.2</v>
      </c>
      <c r="I406" s="31">
        <f>IF(COUNTIFS(Addendum!C:C,A406,Addendum!D:D,IF(ISNUMBER(B406),TEXT(B406,"0000"),B406),Addendum!E:E,"X")&gt;0,4%,0)</f>
        <v>0</v>
      </c>
      <c r="J406" s="31">
        <f>IF(COUNTIFS(Addendum!C:C,A406,Addendum!D:D,IF(ISNUMBER(B406),TEXT(B406,"0000"),B406),Addendum!F:F,"X")&gt;0,2.5%,0)</f>
        <v>0</v>
      </c>
      <c r="K406" s="31">
        <f>IF(COUNTIFS(Addendum!C:C,A406,Addendum!D:D,IF(ISNUMBER(B406),TEXT(B406,"0000"),B406),Addendum!G:G,"X")&gt;0,7%,0)</f>
        <v>0</v>
      </c>
      <c r="L406" s="31">
        <f>IF(COUNTIFS(Addendum!C:C,A406,Addendum!D:D,IF(ISNUMBER(B406),TEXT(B406,"0000"),B406),Addendum!I:I,"X")&gt;0,10%,0)</f>
        <v>0</v>
      </c>
      <c r="M406" s="34">
        <f t="shared" si="12"/>
        <v>0</v>
      </c>
      <c r="N406" s="17">
        <f t="shared" si="13"/>
        <v>462256.2</v>
      </c>
    </row>
    <row r="407" spans="1:14" x14ac:dyDescent="0.25">
      <c r="A407" s="14" t="s">
        <v>1852</v>
      </c>
      <c r="B407" s="14">
        <v>6</v>
      </c>
      <c r="C407" s="15" t="s">
        <v>1923</v>
      </c>
      <c r="D407" s="14" t="s">
        <v>1745</v>
      </c>
      <c r="E407" s="14" t="s">
        <v>1746</v>
      </c>
      <c r="F407" s="17" t="s">
        <v>2993</v>
      </c>
      <c r="G407" s="14">
        <v>32495841</v>
      </c>
      <c r="H407" s="14">
        <v>22747089</v>
      </c>
      <c r="I407" s="31">
        <f>IF(COUNTIFS(Addendum!C:C,A407,Addendum!D:D,IF(ISNUMBER(B407),TEXT(B407,"0000"),B407),Addendum!E:E,"X")&gt;0,4%,0)</f>
        <v>0</v>
      </c>
      <c r="J407" s="31">
        <f>IF(COUNTIFS(Addendum!C:C,A407,Addendum!D:D,IF(ISNUMBER(B407),TEXT(B407,"0000"),B407),Addendum!F:F,"X")&gt;0,2.5%,0)</f>
        <v>0</v>
      </c>
      <c r="K407" s="31">
        <f>IF(COUNTIFS(Addendum!C:C,A407,Addendum!D:D,IF(ISNUMBER(B407),TEXT(B407,"0000"),B407),Addendum!G:G,"X")&gt;0,7%,0)</f>
        <v>0</v>
      </c>
      <c r="L407" s="31">
        <f>IF(COUNTIFS(Addendum!C:C,A407,Addendum!D:D,IF(ISNUMBER(B407),TEXT(B407,"0000"),B407),Addendum!I:I,"X")&gt;0,10%,0)</f>
        <v>0</v>
      </c>
      <c r="M407" s="34">
        <f t="shared" si="12"/>
        <v>0</v>
      </c>
      <c r="N407" s="17">
        <f t="shared" si="13"/>
        <v>22747089</v>
      </c>
    </row>
    <row r="408" spans="1:14" x14ac:dyDescent="0.25">
      <c r="A408" s="14" t="s">
        <v>1852</v>
      </c>
      <c r="B408" s="14">
        <v>6</v>
      </c>
      <c r="C408" s="15" t="s">
        <v>1923</v>
      </c>
      <c r="D408" s="14" t="s">
        <v>1749</v>
      </c>
      <c r="E408" s="14" t="s">
        <v>1746</v>
      </c>
      <c r="F408" s="17" t="s">
        <v>2993</v>
      </c>
      <c r="G408" s="14">
        <v>3094842</v>
      </c>
      <c r="H408" s="14">
        <v>2166389</v>
      </c>
      <c r="I408" s="31">
        <f>IF(COUNTIFS(Addendum!C:C,A408,Addendum!D:D,IF(ISNUMBER(B408),TEXT(B408,"0000"),B408),Addendum!E:E,"X")&gt;0,4%,0)</f>
        <v>0</v>
      </c>
      <c r="J408" s="31">
        <f>IF(COUNTIFS(Addendum!C:C,A408,Addendum!D:D,IF(ISNUMBER(B408),TEXT(B408,"0000"),B408),Addendum!F:F,"X")&gt;0,2.5%,0)</f>
        <v>0</v>
      </c>
      <c r="K408" s="31">
        <f>IF(COUNTIFS(Addendum!C:C,A408,Addendum!D:D,IF(ISNUMBER(B408),TEXT(B408,"0000"),B408),Addendum!G:G,"X")&gt;0,7%,0)</f>
        <v>0</v>
      </c>
      <c r="L408" s="31">
        <f>IF(COUNTIFS(Addendum!C:C,A408,Addendum!D:D,IF(ISNUMBER(B408),TEXT(B408,"0000"),B408),Addendum!I:I,"X")&gt;0,10%,0)</f>
        <v>0</v>
      </c>
      <c r="M408" s="34">
        <f t="shared" si="12"/>
        <v>0</v>
      </c>
      <c r="N408" s="17">
        <f t="shared" si="13"/>
        <v>2166389</v>
      </c>
    </row>
    <row r="409" spans="1:14" x14ac:dyDescent="0.25">
      <c r="A409" s="14" t="s">
        <v>1852</v>
      </c>
      <c r="B409" s="14">
        <v>58</v>
      </c>
      <c r="C409" s="15" t="s">
        <v>1955</v>
      </c>
      <c r="D409" s="14" t="s">
        <v>1745</v>
      </c>
      <c r="E409" s="14" t="s">
        <v>1746</v>
      </c>
      <c r="F409" s="17" t="s">
        <v>2994</v>
      </c>
      <c r="G409" s="14">
        <v>288288</v>
      </c>
      <c r="H409" s="14">
        <v>201801.60000000001</v>
      </c>
      <c r="I409" s="31">
        <f>IF(COUNTIFS(Addendum!C:C,A409,Addendum!D:D,IF(ISNUMBER(B409),TEXT(B409,"0000"),B409),Addendum!E:E,"X")&gt;0,4%,0)</f>
        <v>0</v>
      </c>
      <c r="J409" s="31">
        <f>IF(COUNTIFS(Addendum!C:C,A409,Addendum!D:D,IF(ISNUMBER(B409),TEXT(B409,"0000"),B409),Addendum!F:F,"X")&gt;0,2.5%,0)</f>
        <v>0</v>
      </c>
      <c r="K409" s="31">
        <f>IF(COUNTIFS(Addendum!C:C,A409,Addendum!D:D,IF(ISNUMBER(B409),TEXT(B409,"0000"),B409),Addendum!G:G,"X")&gt;0,7%,0)</f>
        <v>0</v>
      </c>
      <c r="L409" s="31">
        <f>IF(COUNTIFS(Addendum!C:C,A409,Addendum!D:D,IF(ISNUMBER(B409),TEXT(B409,"0000"),B409),Addendum!I:I,"X")&gt;0,10%,0)</f>
        <v>0</v>
      </c>
      <c r="M409" s="34">
        <f t="shared" si="12"/>
        <v>0</v>
      </c>
      <c r="N409" s="17">
        <f t="shared" si="13"/>
        <v>201801.60000000001</v>
      </c>
    </row>
    <row r="410" spans="1:14" x14ac:dyDescent="0.25">
      <c r="A410" s="14" t="s">
        <v>1852</v>
      </c>
      <c r="B410" s="14">
        <v>69</v>
      </c>
      <c r="C410" s="15" t="s">
        <v>1956</v>
      </c>
      <c r="D410" s="14" t="s">
        <v>1745</v>
      </c>
      <c r="E410" s="14" t="s">
        <v>1746</v>
      </c>
      <c r="F410" s="17" t="s">
        <v>2995</v>
      </c>
      <c r="G410" s="14">
        <v>157248</v>
      </c>
      <c r="H410" s="14">
        <v>141523.20000000001</v>
      </c>
      <c r="I410" s="31">
        <f>IF(COUNTIFS(Addendum!C:C,A410,Addendum!D:D,IF(ISNUMBER(B410),TEXT(B410,"0000"),B410),Addendum!E:E,"X")&gt;0,4%,0)</f>
        <v>0</v>
      </c>
      <c r="J410" s="31">
        <f>IF(COUNTIFS(Addendum!C:C,A410,Addendum!D:D,IF(ISNUMBER(B410),TEXT(B410,"0000"),B410),Addendum!F:F,"X")&gt;0,2.5%,0)</f>
        <v>0</v>
      </c>
      <c r="K410" s="31">
        <f>IF(COUNTIFS(Addendum!C:C,A410,Addendum!D:D,IF(ISNUMBER(B410),TEXT(B410,"0000"),B410),Addendum!G:G,"X")&gt;0,7%,0)</f>
        <v>0</v>
      </c>
      <c r="L410" s="31">
        <f>IF(COUNTIFS(Addendum!C:C,A410,Addendum!D:D,IF(ISNUMBER(B410),TEXT(B410,"0000"),B410),Addendum!I:I,"X")&gt;0,10%,0)</f>
        <v>0</v>
      </c>
      <c r="M410" s="34">
        <f t="shared" si="12"/>
        <v>0</v>
      </c>
      <c r="N410" s="17">
        <f t="shared" si="13"/>
        <v>141523.20000000001</v>
      </c>
    </row>
    <row r="411" spans="1:14" x14ac:dyDescent="0.25">
      <c r="A411" s="14" t="s">
        <v>1852</v>
      </c>
      <c r="B411" s="14" t="s">
        <v>1957</v>
      </c>
      <c r="C411" s="15" t="s">
        <v>1958</v>
      </c>
      <c r="D411" s="14" t="s">
        <v>1745</v>
      </c>
      <c r="E411" s="14" t="s">
        <v>1746</v>
      </c>
      <c r="F411" s="17" t="s">
        <v>2994</v>
      </c>
      <c r="G411" s="14">
        <v>209664</v>
      </c>
      <c r="H411" s="14">
        <v>146764.79999999999</v>
      </c>
      <c r="I411" s="31">
        <f>IF(COUNTIFS(Addendum!C:C,A411,Addendum!D:D,IF(ISNUMBER(B411),TEXT(B411,"0000"),B411),Addendum!E:E,"X")&gt;0,4%,0)</f>
        <v>0</v>
      </c>
      <c r="J411" s="31">
        <f>IF(COUNTIFS(Addendum!C:C,A411,Addendum!D:D,IF(ISNUMBER(B411),TEXT(B411,"0000"),B411),Addendum!F:F,"X")&gt;0,2.5%,0)</f>
        <v>0</v>
      </c>
      <c r="K411" s="31">
        <f>IF(COUNTIFS(Addendum!C:C,A411,Addendum!D:D,IF(ISNUMBER(B411),TEXT(B411,"0000"),B411),Addendum!G:G,"X")&gt;0,7%,0)</f>
        <v>0</v>
      </c>
      <c r="L411" s="31">
        <f>IF(COUNTIFS(Addendum!C:C,A411,Addendum!D:D,IF(ISNUMBER(B411),TEXT(B411,"0000"),B411),Addendum!I:I,"X")&gt;0,10%,0)</f>
        <v>0</v>
      </c>
      <c r="M411" s="34">
        <f t="shared" si="12"/>
        <v>0</v>
      </c>
      <c r="N411" s="17">
        <f t="shared" si="13"/>
        <v>146764.79999999999</v>
      </c>
    </row>
    <row r="412" spans="1:14" x14ac:dyDescent="0.25">
      <c r="A412" s="14" t="s">
        <v>1852</v>
      </c>
      <c r="B412" s="14">
        <v>5</v>
      </c>
      <c r="C412" s="15" t="s">
        <v>1870</v>
      </c>
      <c r="D412" s="14" t="s">
        <v>1749</v>
      </c>
      <c r="E412" s="14" t="s">
        <v>1746</v>
      </c>
      <c r="F412" s="17" t="s">
        <v>2993</v>
      </c>
      <c r="G412" s="14">
        <v>3094842</v>
      </c>
      <c r="H412" s="14">
        <v>2166389</v>
      </c>
      <c r="I412" s="31">
        <f>IF(COUNTIFS(Addendum!C:C,A412,Addendum!D:D,IF(ISNUMBER(B412),TEXT(B412,"0000"),B412),Addendum!E:E,"X")&gt;0,4%,0)</f>
        <v>0</v>
      </c>
      <c r="J412" s="31">
        <f>IF(COUNTIFS(Addendum!C:C,A412,Addendum!D:D,IF(ISNUMBER(B412),TEXT(B412,"0000"),B412),Addendum!F:F,"X")&gt;0,2.5%,0)</f>
        <v>0</v>
      </c>
      <c r="K412" s="31">
        <f>IF(COUNTIFS(Addendum!C:C,A412,Addendum!D:D,IF(ISNUMBER(B412),TEXT(B412,"0000"),B412),Addendum!G:G,"X")&gt;0,7%,0)</f>
        <v>0</v>
      </c>
      <c r="L412" s="31">
        <f>IF(COUNTIFS(Addendum!C:C,A412,Addendum!D:D,IF(ISNUMBER(B412),TEXT(B412,"0000"),B412),Addendum!I:I,"X")&gt;0,10%,0)</f>
        <v>0</v>
      </c>
      <c r="M412" s="34">
        <f t="shared" si="12"/>
        <v>0</v>
      </c>
      <c r="N412" s="17">
        <f t="shared" si="13"/>
        <v>2166389</v>
      </c>
    </row>
    <row r="413" spans="1:14" x14ac:dyDescent="0.25">
      <c r="A413" s="14" t="s">
        <v>1852</v>
      </c>
      <c r="B413" s="14" t="s">
        <v>1639</v>
      </c>
      <c r="C413" s="15" t="s">
        <v>1959</v>
      </c>
      <c r="D413" s="14" t="s">
        <v>1745</v>
      </c>
      <c r="E413" s="14" t="s">
        <v>1747</v>
      </c>
      <c r="F413" s="17" t="s">
        <v>2994</v>
      </c>
      <c r="G413" s="14">
        <v>7961760</v>
      </c>
      <c r="H413" s="14">
        <v>5573232</v>
      </c>
      <c r="I413" s="31">
        <f>IF(COUNTIFS(Addendum!C:C,A413,Addendum!D:D,IF(ISNUMBER(B413),TEXT(B413,"0000"),B413),Addendum!E:E,"X")&gt;0,4%,0)</f>
        <v>0</v>
      </c>
      <c r="J413" s="31">
        <f>IF(COUNTIFS(Addendum!C:C,A413,Addendum!D:D,IF(ISNUMBER(B413),TEXT(B413,"0000"),B413),Addendum!F:F,"X")&gt;0,2.5%,0)</f>
        <v>0</v>
      </c>
      <c r="K413" s="31">
        <f>IF(COUNTIFS(Addendum!C:C,A413,Addendum!D:D,IF(ISNUMBER(B413),TEXT(B413,"0000"),B413),Addendum!G:G,"X")&gt;0,7%,0)</f>
        <v>0</v>
      </c>
      <c r="L413" s="31">
        <f>IF(COUNTIFS(Addendum!C:C,A413,Addendum!D:D,IF(ISNUMBER(B413),TEXT(B413,"0000"),B413),Addendum!I:I,"X")&gt;0,10%,0)</f>
        <v>0</v>
      </c>
      <c r="M413" s="34">
        <f t="shared" si="12"/>
        <v>0</v>
      </c>
      <c r="N413" s="17">
        <f t="shared" si="13"/>
        <v>5573232</v>
      </c>
    </row>
    <row r="414" spans="1:14" x14ac:dyDescent="0.25">
      <c r="A414" s="14" t="s">
        <v>1852</v>
      </c>
      <c r="B414" s="14" t="s">
        <v>46</v>
      </c>
      <c r="C414" s="15" t="s">
        <v>1866</v>
      </c>
      <c r="D414" s="14" t="s">
        <v>1745</v>
      </c>
      <c r="E414" s="14" t="s">
        <v>1747</v>
      </c>
      <c r="F414" s="17" t="s">
        <v>2993</v>
      </c>
      <c r="G414" s="14">
        <v>14475900</v>
      </c>
      <c r="H414" s="14">
        <v>10133130</v>
      </c>
      <c r="I414" s="31">
        <f>IF(COUNTIFS(Addendum!C:C,A414,Addendum!D:D,IF(ISNUMBER(B414),TEXT(B414,"0000"),B414),Addendum!E:E,"X")&gt;0,4%,0)</f>
        <v>0</v>
      </c>
      <c r="J414" s="31">
        <f>IF(COUNTIFS(Addendum!C:C,A414,Addendum!D:D,IF(ISNUMBER(B414),TEXT(B414,"0000"),B414),Addendum!F:F,"X")&gt;0,2.5%,0)</f>
        <v>0</v>
      </c>
      <c r="K414" s="31">
        <f>IF(COUNTIFS(Addendum!C:C,A414,Addendum!D:D,IF(ISNUMBER(B414),TEXT(B414,"0000"),B414),Addendum!G:G,"X")&gt;0,7%,0)</f>
        <v>0</v>
      </c>
      <c r="L414" s="31">
        <f>IF(COUNTIFS(Addendum!C:C,A414,Addendum!D:D,IF(ISNUMBER(B414),TEXT(B414,"0000"),B414),Addendum!I:I,"X")&gt;0,10%,0)</f>
        <v>0</v>
      </c>
      <c r="M414" s="34">
        <f t="shared" si="12"/>
        <v>0</v>
      </c>
      <c r="N414" s="17">
        <f t="shared" si="13"/>
        <v>10133130</v>
      </c>
    </row>
    <row r="415" spans="1:14" x14ac:dyDescent="0.25">
      <c r="A415" s="14" t="s">
        <v>1852</v>
      </c>
      <c r="B415" s="14">
        <v>51</v>
      </c>
      <c r="C415" s="15" t="s">
        <v>1960</v>
      </c>
      <c r="D415" s="14" t="s">
        <v>1745</v>
      </c>
      <c r="E415" s="14" t="s">
        <v>1747</v>
      </c>
      <c r="F415" s="17" t="s">
        <v>2994</v>
      </c>
      <c r="G415" s="14">
        <v>12379380</v>
      </c>
      <c r="H415" s="14">
        <v>8665566</v>
      </c>
      <c r="I415" s="31">
        <f>IF(COUNTIFS(Addendum!C:C,A415,Addendum!D:D,IF(ISNUMBER(B415),TEXT(B415,"0000"),B415),Addendum!E:E,"X")&gt;0,4%,0)</f>
        <v>0</v>
      </c>
      <c r="J415" s="31">
        <f>IF(COUNTIFS(Addendum!C:C,A415,Addendum!D:D,IF(ISNUMBER(B415),TEXT(B415,"0000"),B415),Addendum!F:F,"X")&gt;0,2.5%,0)</f>
        <v>0</v>
      </c>
      <c r="K415" s="31">
        <f>IF(COUNTIFS(Addendum!C:C,A415,Addendum!D:D,IF(ISNUMBER(B415),TEXT(B415,"0000"),B415),Addendum!G:G,"X")&gt;0,7%,0)</f>
        <v>0</v>
      </c>
      <c r="L415" s="31">
        <f>IF(COUNTIFS(Addendum!C:C,A415,Addendum!D:D,IF(ISNUMBER(B415),TEXT(B415,"0000"),B415),Addendum!I:I,"X")&gt;0,10%,0)</f>
        <v>0</v>
      </c>
      <c r="M415" s="34">
        <f t="shared" si="12"/>
        <v>0</v>
      </c>
      <c r="N415" s="17">
        <f t="shared" si="13"/>
        <v>8665566</v>
      </c>
    </row>
    <row r="416" spans="1:14" x14ac:dyDescent="0.25">
      <c r="A416" s="14" t="s">
        <v>1852</v>
      </c>
      <c r="B416" s="14" t="s">
        <v>1904</v>
      </c>
      <c r="C416" s="15" t="s">
        <v>1905</v>
      </c>
      <c r="D416" s="14" t="s">
        <v>1749</v>
      </c>
      <c r="E416" s="14" t="s">
        <v>1746</v>
      </c>
      <c r="F416" s="17" t="s">
        <v>2995</v>
      </c>
      <c r="G416" s="14">
        <v>14976</v>
      </c>
      <c r="H416" s="14">
        <v>13478.4</v>
      </c>
      <c r="I416" s="31">
        <f>IF(COUNTIFS(Addendum!C:C,A416,Addendum!D:D,IF(ISNUMBER(B416),TEXT(B416,"0000"),B416),Addendum!E:E,"X")&gt;0,4%,0)</f>
        <v>0</v>
      </c>
      <c r="J416" s="31">
        <f>IF(COUNTIFS(Addendum!C:C,A416,Addendum!D:D,IF(ISNUMBER(B416),TEXT(B416,"0000"),B416),Addendum!F:F,"X")&gt;0,2.5%,0)</f>
        <v>0</v>
      </c>
      <c r="K416" s="31">
        <f>IF(COUNTIFS(Addendum!C:C,A416,Addendum!D:D,IF(ISNUMBER(B416),TEXT(B416,"0000"),B416),Addendum!G:G,"X")&gt;0,7%,0)</f>
        <v>0</v>
      </c>
      <c r="L416" s="31">
        <f>IF(COUNTIFS(Addendum!C:C,A416,Addendum!D:D,IF(ISNUMBER(B416),TEXT(B416,"0000"),B416),Addendum!I:I,"X")&gt;0,10%,0)</f>
        <v>0</v>
      </c>
      <c r="M416" s="34">
        <f t="shared" si="12"/>
        <v>0</v>
      </c>
      <c r="N416" s="17">
        <f t="shared" si="13"/>
        <v>13478.4</v>
      </c>
    </row>
    <row r="417" spans="1:14" x14ac:dyDescent="0.25">
      <c r="A417" s="14" t="s">
        <v>1852</v>
      </c>
      <c r="B417" s="14" t="s">
        <v>1961</v>
      </c>
      <c r="C417" s="15" t="s">
        <v>1962</v>
      </c>
      <c r="D417" s="14" t="s">
        <v>1745</v>
      </c>
      <c r="E417" s="14" t="s">
        <v>1747</v>
      </c>
      <c r="F417" s="17" t="s">
        <v>2994</v>
      </c>
      <c r="G417" s="14">
        <v>5790360</v>
      </c>
      <c r="H417" s="14">
        <v>4053252</v>
      </c>
      <c r="I417" s="31">
        <f>IF(COUNTIFS(Addendum!C:C,A417,Addendum!D:D,IF(ISNUMBER(B417),TEXT(B417,"0000"),B417),Addendum!E:E,"X")&gt;0,4%,0)</f>
        <v>0</v>
      </c>
      <c r="J417" s="31">
        <f>IF(COUNTIFS(Addendum!C:C,A417,Addendum!D:D,IF(ISNUMBER(B417),TEXT(B417,"0000"),B417),Addendum!F:F,"X")&gt;0,2.5%,0)</f>
        <v>0</v>
      </c>
      <c r="K417" s="31">
        <f>IF(COUNTIFS(Addendum!C:C,A417,Addendum!D:D,IF(ISNUMBER(B417),TEXT(B417,"0000"),B417),Addendum!G:G,"X")&gt;0,7%,0)</f>
        <v>0</v>
      </c>
      <c r="L417" s="31">
        <f>IF(COUNTIFS(Addendum!C:C,A417,Addendum!D:D,IF(ISNUMBER(B417),TEXT(B417,"0000"),B417),Addendum!I:I,"X")&gt;0,10%,0)</f>
        <v>0</v>
      </c>
      <c r="M417" s="34">
        <f t="shared" si="12"/>
        <v>0</v>
      </c>
      <c r="N417" s="17">
        <f t="shared" si="13"/>
        <v>4053252</v>
      </c>
    </row>
    <row r="418" spans="1:14" x14ac:dyDescent="0.25">
      <c r="A418" s="14" t="s">
        <v>1850</v>
      </c>
      <c r="B418" s="14">
        <v>1</v>
      </c>
      <c r="C418" s="15" t="s">
        <v>1851</v>
      </c>
      <c r="D418" s="14" t="s">
        <v>1752</v>
      </c>
      <c r="E418" s="14" t="s">
        <v>1753</v>
      </c>
      <c r="F418" s="17" t="s">
        <v>2993</v>
      </c>
      <c r="G418" s="14">
        <v>89820</v>
      </c>
      <c r="H418" s="14">
        <v>62874</v>
      </c>
      <c r="I418" s="31">
        <f>IF(COUNTIFS(Addendum!C:C,A418,Addendum!D:D,IF(ISNUMBER(B418),TEXT(B418,"0000"),B418),Addendum!E:E,"X")&gt;0,4%,0)</f>
        <v>0</v>
      </c>
      <c r="J418" s="31">
        <f>IF(COUNTIFS(Addendum!C:C,A418,Addendum!D:D,IF(ISNUMBER(B418),TEXT(B418,"0000"),B418),Addendum!F:F,"X")&gt;0,2.5%,0)</f>
        <v>0</v>
      </c>
      <c r="K418" s="31">
        <f>IF(COUNTIFS(Addendum!C:C,A418,Addendum!D:D,IF(ISNUMBER(B418),TEXT(B418,"0000"),B418),Addendum!G:G,"X")&gt;0,7%,0)</f>
        <v>0</v>
      </c>
      <c r="L418" s="31">
        <f>IF(COUNTIFS(Addendum!C:C,A418,Addendum!D:D,IF(ISNUMBER(B418),TEXT(B418,"0000"),B418),Addendum!I:I,"X")&gt;0,10%,0)</f>
        <v>0</v>
      </c>
      <c r="M418" s="34">
        <f t="shared" si="12"/>
        <v>0</v>
      </c>
      <c r="N418" s="17">
        <f t="shared" si="13"/>
        <v>62874</v>
      </c>
    </row>
    <row r="419" spans="1:14" x14ac:dyDescent="0.25">
      <c r="A419" s="14" t="s">
        <v>1852</v>
      </c>
      <c r="B419" s="14" t="s">
        <v>1907</v>
      </c>
      <c r="C419" s="15" t="s">
        <v>1908</v>
      </c>
      <c r="D419" s="14" t="s">
        <v>1745</v>
      </c>
      <c r="E419" s="14" t="s">
        <v>1746</v>
      </c>
      <c r="F419" s="17" t="s">
        <v>2995</v>
      </c>
      <c r="G419" s="14">
        <v>157248</v>
      </c>
      <c r="H419" s="14">
        <v>141523.20000000001</v>
      </c>
      <c r="I419" s="31">
        <f>IF(COUNTIFS(Addendum!C:C,A419,Addendum!D:D,IF(ISNUMBER(B419),TEXT(B419,"0000"),B419),Addendum!E:E,"X")&gt;0,4%,0)</f>
        <v>0</v>
      </c>
      <c r="J419" s="31">
        <f>IF(COUNTIFS(Addendum!C:C,A419,Addendum!D:D,IF(ISNUMBER(B419),TEXT(B419,"0000"),B419),Addendum!F:F,"X")&gt;0,2.5%,0)</f>
        <v>0</v>
      </c>
      <c r="K419" s="31">
        <f>IF(COUNTIFS(Addendum!C:C,A419,Addendum!D:D,IF(ISNUMBER(B419),TEXT(B419,"0000"),B419),Addendum!G:G,"X")&gt;0,7%,0)</f>
        <v>0</v>
      </c>
      <c r="L419" s="31">
        <f>IF(COUNTIFS(Addendum!C:C,A419,Addendum!D:D,IF(ISNUMBER(B419),TEXT(B419,"0000"),B419),Addendum!I:I,"X")&gt;0,10%,0)</f>
        <v>0</v>
      </c>
      <c r="M419" s="34">
        <f t="shared" si="12"/>
        <v>0</v>
      </c>
      <c r="N419" s="17">
        <f t="shared" si="13"/>
        <v>141523.20000000001</v>
      </c>
    </row>
    <row r="420" spans="1:14" x14ac:dyDescent="0.25">
      <c r="A420" s="14" t="s">
        <v>1852</v>
      </c>
      <c r="B420" s="14" t="s">
        <v>1963</v>
      </c>
      <c r="C420" s="15" t="s">
        <v>1964</v>
      </c>
      <c r="D420" s="14" t="s">
        <v>1749</v>
      </c>
      <c r="E420" s="14" t="s">
        <v>1746</v>
      </c>
      <c r="F420" s="17" t="s">
        <v>2994</v>
      </c>
      <c r="G420" s="14">
        <v>27456</v>
      </c>
      <c r="H420" s="14">
        <v>19219.2</v>
      </c>
      <c r="I420" s="31">
        <f>IF(COUNTIFS(Addendum!C:C,A420,Addendum!D:D,IF(ISNUMBER(B420),TEXT(B420,"0000"),B420),Addendum!E:E,"X")&gt;0,4%,0)</f>
        <v>0</v>
      </c>
      <c r="J420" s="31">
        <f>IF(COUNTIFS(Addendum!C:C,A420,Addendum!D:D,IF(ISNUMBER(B420),TEXT(B420,"0000"),B420),Addendum!F:F,"X")&gt;0,2.5%,0)</f>
        <v>0</v>
      </c>
      <c r="K420" s="31">
        <f>IF(COUNTIFS(Addendum!C:C,A420,Addendum!D:D,IF(ISNUMBER(B420),TEXT(B420,"0000"),B420),Addendum!G:G,"X")&gt;0,7%,0)</f>
        <v>0</v>
      </c>
      <c r="L420" s="31">
        <f>IF(COUNTIFS(Addendum!C:C,A420,Addendum!D:D,IF(ISNUMBER(B420),TEXT(B420,"0000"),B420),Addendum!I:I,"X")&gt;0,10%,0)</f>
        <v>0</v>
      </c>
      <c r="M420" s="34">
        <f t="shared" si="12"/>
        <v>0</v>
      </c>
      <c r="N420" s="17">
        <f t="shared" si="13"/>
        <v>19219.2</v>
      </c>
    </row>
    <row r="421" spans="1:14" x14ac:dyDescent="0.25">
      <c r="A421" s="14" t="s">
        <v>1852</v>
      </c>
      <c r="B421" s="14" t="s">
        <v>405</v>
      </c>
      <c r="C421" s="15" t="s">
        <v>1965</v>
      </c>
      <c r="D421" s="14" t="s">
        <v>1745</v>
      </c>
      <c r="E421" s="14" t="s">
        <v>1747</v>
      </c>
      <c r="F421" s="17" t="s">
        <v>2994</v>
      </c>
      <c r="G421" s="14">
        <v>7961760</v>
      </c>
      <c r="H421" s="14">
        <v>5573232</v>
      </c>
      <c r="I421" s="31">
        <f>IF(COUNTIFS(Addendum!C:C,A421,Addendum!D:D,IF(ISNUMBER(B421),TEXT(B421,"0000"),B421),Addendum!E:E,"X")&gt;0,4%,0)</f>
        <v>0</v>
      </c>
      <c r="J421" s="31">
        <f>IF(COUNTIFS(Addendum!C:C,A421,Addendum!D:D,IF(ISNUMBER(B421),TEXT(B421,"0000"),B421),Addendum!F:F,"X")&gt;0,2.5%,0)</f>
        <v>0</v>
      </c>
      <c r="K421" s="31">
        <f>IF(COUNTIFS(Addendum!C:C,A421,Addendum!D:D,IF(ISNUMBER(B421),TEXT(B421,"0000"),B421),Addendum!G:G,"X")&gt;0,7%,0)</f>
        <v>0</v>
      </c>
      <c r="L421" s="31">
        <f>IF(COUNTIFS(Addendum!C:C,A421,Addendum!D:D,IF(ISNUMBER(B421),TEXT(B421,"0000"),B421),Addendum!I:I,"X")&gt;0,10%,0)</f>
        <v>0</v>
      </c>
      <c r="M421" s="34">
        <f t="shared" si="12"/>
        <v>0</v>
      </c>
      <c r="N421" s="17">
        <f t="shared" si="13"/>
        <v>5573232</v>
      </c>
    </row>
    <row r="422" spans="1:14" x14ac:dyDescent="0.25">
      <c r="A422" s="14" t="s">
        <v>1852</v>
      </c>
      <c r="B422" s="14" t="s">
        <v>1966</v>
      </c>
      <c r="C422" s="15" t="s">
        <v>1967</v>
      </c>
      <c r="D422" s="14" t="s">
        <v>1745</v>
      </c>
      <c r="E422" s="14" t="s">
        <v>1746</v>
      </c>
      <c r="F422" s="17" t="s">
        <v>2995</v>
      </c>
      <c r="G422" s="14">
        <v>4559877</v>
      </c>
      <c r="H422" s="14">
        <v>4103889</v>
      </c>
      <c r="I422" s="31">
        <f>IF(COUNTIFS(Addendum!C:C,A422,Addendum!D:D,IF(ISNUMBER(B422),TEXT(B422,"0000"),B422),Addendum!E:E,"X")&gt;0,4%,0)</f>
        <v>0</v>
      </c>
      <c r="J422" s="31">
        <f>IF(COUNTIFS(Addendum!C:C,A422,Addendum!D:D,IF(ISNUMBER(B422),TEXT(B422,"0000"),B422),Addendum!F:F,"X")&gt;0,2.5%,0)</f>
        <v>0</v>
      </c>
      <c r="K422" s="31">
        <f>IF(COUNTIFS(Addendum!C:C,A422,Addendum!D:D,IF(ISNUMBER(B422),TEXT(B422,"0000"),B422),Addendum!G:G,"X")&gt;0,7%,0)</f>
        <v>0</v>
      </c>
      <c r="L422" s="31">
        <f>IF(COUNTIFS(Addendum!C:C,A422,Addendum!D:D,IF(ISNUMBER(B422),TEXT(B422,"0000"),B422),Addendum!I:I,"X")&gt;0,10%,0)</f>
        <v>0</v>
      </c>
      <c r="M422" s="34">
        <f t="shared" si="12"/>
        <v>0</v>
      </c>
      <c r="N422" s="17">
        <f t="shared" si="13"/>
        <v>4103889</v>
      </c>
    </row>
    <row r="423" spans="1:14" x14ac:dyDescent="0.25">
      <c r="A423" s="14" t="s">
        <v>1852</v>
      </c>
      <c r="B423" s="14" t="s">
        <v>1968</v>
      </c>
      <c r="C423" s="15" t="s">
        <v>1969</v>
      </c>
      <c r="D423" s="14" t="s">
        <v>1749</v>
      </c>
      <c r="E423" s="14" t="s">
        <v>1746</v>
      </c>
      <c r="F423" s="17" t="s">
        <v>2995</v>
      </c>
      <c r="G423" s="14">
        <v>928452</v>
      </c>
      <c r="H423" s="14">
        <v>835606.8</v>
      </c>
      <c r="I423" s="31">
        <f>IF(COUNTIFS(Addendum!C:C,A423,Addendum!D:D,IF(ISNUMBER(B423),TEXT(B423,"0000"),B423),Addendum!E:E,"X")&gt;0,4%,0)</f>
        <v>0</v>
      </c>
      <c r="J423" s="31">
        <f>IF(COUNTIFS(Addendum!C:C,A423,Addendum!D:D,IF(ISNUMBER(B423),TEXT(B423,"0000"),B423),Addendum!F:F,"X")&gt;0,2.5%,0)</f>
        <v>0</v>
      </c>
      <c r="K423" s="31">
        <f>IF(COUNTIFS(Addendum!C:C,A423,Addendum!D:D,IF(ISNUMBER(B423),TEXT(B423,"0000"),B423),Addendum!G:G,"X")&gt;0,7%,0)</f>
        <v>0</v>
      </c>
      <c r="L423" s="31">
        <f>IF(COUNTIFS(Addendum!C:C,A423,Addendum!D:D,IF(ISNUMBER(B423),TEXT(B423,"0000"),B423),Addendum!I:I,"X")&gt;0,10%,0)</f>
        <v>0</v>
      </c>
      <c r="M423" s="34">
        <f t="shared" si="12"/>
        <v>0</v>
      </c>
      <c r="N423" s="17">
        <f t="shared" si="13"/>
        <v>835606.8</v>
      </c>
    </row>
    <row r="424" spans="1:14" x14ac:dyDescent="0.25">
      <c r="A424" s="14" t="s">
        <v>1852</v>
      </c>
      <c r="B424" s="14" t="s">
        <v>243</v>
      </c>
      <c r="C424" s="15" t="s">
        <v>1970</v>
      </c>
      <c r="D424" s="14" t="s">
        <v>1745</v>
      </c>
      <c r="E424" s="14" t="s">
        <v>1747</v>
      </c>
      <c r="F424" s="17" t="s">
        <v>2993</v>
      </c>
      <c r="G424" s="14">
        <v>499140</v>
      </c>
      <c r="H424" s="14">
        <v>349398</v>
      </c>
      <c r="I424" s="31">
        <f>IF(COUNTIFS(Addendum!C:C,A424,Addendum!D:D,IF(ISNUMBER(B424),TEXT(B424,"0000"),B424),Addendum!E:E,"X")&gt;0,4%,0)</f>
        <v>0</v>
      </c>
      <c r="J424" s="31">
        <f>IF(COUNTIFS(Addendum!C:C,A424,Addendum!D:D,IF(ISNUMBER(B424),TEXT(B424,"0000"),B424),Addendum!F:F,"X")&gt;0,2.5%,0)</f>
        <v>0</v>
      </c>
      <c r="K424" s="31">
        <f>IF(COUNTIFS(Addendum!C:C,A424,Addendum!D:D,IF(ISNUMBER(B424),TEXT(B424,"0000"),B424),Addendum!G:G,"X")&gt;0,7%,0)</f>
        <v>0</v>
      </c>
      <c r="L424" s="31">
        <f>IF(COUNTIFS(Addendum!C:C,A424,Addendum!D:D,IF(ISNUMBER(B424),TEXT(B424,"0000"),B424),Addendum!I:I,"X")&gt;0,10%,0)</f>
        <v>0</v>
      </c>
      <c r="M424" s="34">
        <f t="shared" si="12"/>
        <v>0</v>
      </c>
      <c r="N424" s="17">
        <f t="shared" si="13"/>
        <v>349398</v>
      </c>
    </row>
    <row r="425" spans="1:14" x14ac:dyDescent="0.25">
      <c r="A425" s="14" t="s">
        <v>1852</v>
      </c>
      <c r="B425" s="14">
        <v>85</v>
      </c>
      <c r="C425" s="15" t="s">
        <v>1951</v>
      </c>
      <c r="D425" s="14" t="s">
        <v>1745</v>
      </c>
      <c r="E425" s="14" t="s">
        <v>1746</v>
      </c>
      <c r="F425" s="17" t="s">
        <v>2995</v>
      </c>
      <c r="G425" s="14">
        <v>4559877</v>
      </c>
      <c r="H425" s="14">
        <v>4103889</v>
      </c>
      <c r="I425" s="31">
        <f>IF(COUNTIFS(Addendum!C:C,A425,Addendum!D:D,IF(ISNUMBER(B425),TEXT(B425,"0000"),B425),Addendum!E:E,"X")&gt;0,4%,0)</f>
        <v>0</v>
      </c>
      <c r="J425" s="31">
        <f>IF(COUNTIFS(Addendum!C:C,A425,Addendum!D:D,IF(ISNUMBER(B425),TEXT(B425,"0000"),B425),Addendum!F:F,"X")&gt;0,2.5%,0)</f>
        <v>0</v>
      </c>
      <c r="K425" s="31">
        <f>IF(COUNTIFS(Addendum!C:C,A425,Addendum!D:D,IF(ISNUMBER(B425),TEXT(B425,"0000"),B425),Addendum!G:G,"X")&gt;0,7%,0)</f>
        <v>0</v>
      </c>
      <c r="L425" s="31">
        <f>IF(COUNTIFS(Addendum!C:C,A425,Addendum!D:D,IF(ISNUMBER(B425),TEXT(B425,"0000"),B425),Addendum!I:I,"X")&gt;0,10%,0)</f>
        <v>0</v>
      </c>
      <c r="M425" s="34">
        <f t="shared" si="12"/>
        <v>0</v>
      </c>
      <c r="N425" s="17">
        <f t="shared" si="13"/>
        <v>4103889</v>
      </c>
    </row>
    <row r="426" spans="1:14" x14ac:dyDescent="0.25">
      <c r="A426" s="14" t="s">
        <v>1852</v>
      </c>
      <c r="B426" s="14">
        <v>7</v>
      </c>
      <c r="C426" s="15" t="s">
        <v>1935</v>
      </c>
      <c r="D426" s="14" t="s">
        <v>1745</v>
      </c>
      <c r="E426" s="14" t="s">
        <v>1746</v>
      </c>
      <c r="F426" s="17" t="s">
        <v>2993</v>
      </c>
      <c r="G426" s="14">
        <v>4193028</v>
      </c>
      <c r="H426" s="14">
        <v>2935120</v>
      </c>
      <c r="I426" s="31">
        <f>IF(COUNTIFS(Addendum!C:C,A426,Addendum!D:D,IF(ISNUMBER(B426),TEXT(B426,"0000"),B426),Addendum!E:E,"X")&gt;0,4%,0)</f>
        <v>0</v>
      </c>
      <c r="J426" s="31">
        <f>IF(COUNTIFS(Addendum!C:C,A426,Addendum!D:D,IF(ISNUMBER(B426),TEXT(B426,"0000"),B426),Addendum!F:F,"X")&gt;0,2.5%,0)</f>
        <v>0</v>
      </c>
      <c r="K426" s="31">
        <f>IF(COUNTIFS(Addendum!C:C,A426,Addendum!D:D,IF(ISNUMBER(B426),TEXT(B426,"0000"),B426),Addendum!G:G,"X")&gt;0,7%,0)</f>
        <v>0</v>
      </c>
      <c r="L426" s="31">
        <f>IF(COUNTIFS(Addendum!C:C,A426,Addendum!D:D,IF(ISNUMBER(B426),TEXT(B426,"0000"),B426),Addendum!I:I,"X")&gt;0,10%,0)</f>
        <v>0</v>
      </c>
      <c r="M426" s="34">
        <f t="shared" si="12"/>
        <v>0</v>
      </c>
      <c r="N426" s="17">
        <f t="shared" si="13"/>
        <v>2935120</v>
      </c>
    </row>
    <row r="427" spans="1:14" x14ac:dyDescent="0.25">
      <c r="A427" s="14" t="s">
        <v>1852</v>
      </c>
      <c r="B427" s="14" t="s">
        <v>1877</v>
      </c>
      <c r="C427" s="15" t="s">
        <v>1878</v>
      </c>
      <c r="D427" s="14" t="s">
        <v>1745</v>
      </c>
      <c r="E427" s="14" t="s">
        <v>1746</v>
      </c>
      <c r="F427" s="17" t="s">
        <v>2995</v>
      </c>
      <c r="G427" s="14">
        <v>4559877</v>
      </c>
      <c r="H427" s="14">
        <v>4103889</v>
      </c>
      <c r="I427" s="31">
        <f>IF(COUNTIFS(Addendum!C:C,A427,Addendum!D:D,IF(ISNUMBER(B427),TEXT(B427,"0000"),B427),Addendum!E:E,"X")&gt;0,4%,0)</f>
        <v>0</v>
      </c>
      <c r="J427" s="31">
        <f>IF(COUNTIFS(Addendum!C:C,A427,Addendum!D:D,IF(ISNUMBER(B427),TEXT(B427,"0000"),B427),Addendum!F:F,"X")&gt;0,2.5%,0)</f>
        <v>0</v>
      </c>
      <c r="K427" s="31">
        <f>IF(COUNTIFS(Addendum!C:C,A427,Addendum!D:D,IF(ISNUMBER(B427),TEXT(B427,"0000"),B427),Addendum!G:G,"X")&gt;0,7%,0)</f>
        <v>0</v>
      </c>
      <c r="L427" s="31">
        <f>IF(COUNTIFS(Addendum!C:C,A427,Addendum!D:D,IF(ISNUMBER(B427),TEXT(B427,"0000"),B427),Addendum!I:I,"X")&gt;0,10%,0)</f>
        <v>0</v>
      </c>
      <c r="M427" s="34">
        <f t="shared" si="12"/>
        <v>0</v>
      </c>
      <c r="N427" s="17">
        <f t="shared" si="13"/>
        <v>4103889</v>
      </c>
    </row>
    <row r="428" spans="1:14" x14ac:dyDescent="0.25">
      <c r="A428" s="14" t="s">
        <v>1852</v>
      </c>
      <c r="B428" s="14" t="s">
        <v>1651</v>
      </c>
      <c r="C428" s="15" t="s">
        <v>1971</v>
      </c>
      <c r="D428" s="14" t="s">
        <v>1749</v>
      </c>
      <c r="E428" s="14" t="s">
        <v>1746</v>
      </c>
      <c r="F428" s="17" t="s">
        <v>2994</v>
      </c>
      <c r="G428" s="14">
        <v>19968</v>
      </c>
      <c r="H428" s="14">
        <v>13977.6</v>
      </c>
      <c r="I428" s="31">
        <f>IF(COUNTIFS(Addendum!C:C,A428,Addendum!D:D,IF(ISNUMBER(B428),TEXT(B428,"0000"),B428),Addendum!E:E,"X")&gt;0,4%,0)</f>
        <v>0</v>
      </c>
      <c r="J428" s="31">
        <f>IF(COUNTIFS(Addendum!C:C,A428,Addendum!D:D,IF(ISNUMBER(B428),TEXT(B428,"0000"),B428),Addendum!F:F,"X")&gt;0,2.5%,0)</f>
        <v>0</v>
      </c>
      <c r="K428" s="31">
        <f>IF(COUNTIFS(Addendum!C:C,A428,Addendum!D:D,IF(ISNUMBER(B428),TEXT(B428,"0000"),B428),Addendum!G:G,"X")&gt;0,7%,0)</f>
        <v>0</v>
      </c>
      <c r="L428" s="31">
        <f>IF(COUNTIFS(Addendum!C:C,A428,Addendum!D:D,IF(ISNUMBER(B428),TEXT(B428,"0000"),B428),Addendum!I:I,"X")&gt;0,10%,0)</f>
        <v>0</v>
      </c>
      <c r="M428" s="34">
        <f t="shared" si="12"/>
        <v>0</v>
      </c>
      <c r="N428" s="17">
        <f t="shared" si="13"/>
        <v>13977.6</v>
      </c>
    </row>
    <row r="429" spans="1:14" x14ac:dyDescent="0.25">
      <c r="A429" s="14" t="s">
        <v>1852</v>
      </c>
      <c r="B429" s="14" t="s">
        <v>1595</v>
      </c>
      <c r="C429" s="15" t="s">
        <v>1859</v>
      </c>
      <c r="D429" s="14" t="s">
        <v>1749</v>
      </c>
      <c r="E429" s="14" t="s">
        <v>1746</v>
      </c>
      <c r="F429" s="17" t="s">
        <v>2994</v>
      </c>
      <c r="G429" s="14">
        <v>27456</v>
      </c>
      <c r="H429" s="14">
        <v>19219.2</v>
      </c>
      <c r="I429" s="31">
        <f>IF(COUNTIFS(Addendum!C:C,A429,Addendum!D:D,IF(ISNUMBER(B429),TEXT(B429,"0000"),B429),Addendum!E:E,"X")&gt;0,4%,0)</f>
        <v>0</v>
      </c>
      <c r="J429" s="31">
        <f>IF(COUNTIFS(Addendum!C:C,A429,Addendum!D:D,IF(ISNUMBER(B429),TEXT(B429,"0000"),B429),Addendum!F:F,"X")&gt;0,2.5%,0)</f>
        <v>0</v>
      </c>
      <c r="K429" s="31">
        <f>IF(COUNTIFS(Addendum!C:C,A429,Addendum!D:D,IF(ISNUMBER(B429),TEXT(B429,"0000"),B429),Addendum!G:G,"X")&gt;0,7%,0)</f>
        <v>0</v>
      </c>
      <c r="L429" s="31">
        <f>IF(COUNTIFS(Addendum!C:C,A429,Addendum!D:D,IF(ISNUMBER(B429),TEXT(B429,"0000"),B429),Addendum!I:I,"X")&gt;0,10%,0)</f>
        <v>0</v>
      </c>
      <c r="M429" s="34">
        <f t="shared" si="12"/>
        <v>0</v>
      </c>
      <c r="N429" s="17">
        <f t="shared" si="13"/>
        <v>19219.2</v>
      </c>
    </row>
    <row r="430" spans="1:14" x14ac:dyDescent="0.25">
      <c r="A430" s="14" t="s">
        <v>1852</v>
      </c>
      <c r="B430" s="14" t="s">
        <v>407</v>
      </c>
      <c r="C430" s="15" t="s">
        <v>1896</v>
      </c>
      <c r="D430" s="14" t="s">
        <v>1745</v>
      </c>
      <c r="E430" s="14" t="s">
        <v>1747</v>
      </c>
      <c r="F430" s="17" t="s">
        <v>2994</v>
      </c>
      <c r="G430" s="14">
        <v>5790360</v>
      </c>
      <c r="H430" s="14">
        <v>4053252</v>
      </c>
      <c r="I430" s="31">
        <f>IF(COUNTIFS(Addendum!C:C,A430,Addendum!D:D,IF(ISNUMBER(B430),TEXT(B430,"0000"),B430),Addendum!E:E,"X")&gt;0,4%,0)</f>
        <v>0</v>
      </c>
      <c r="J430" s="31">
        <f>IF(COUNTIFS(Addendum!C:C,A430,Addendum!D:D,IF(ISNUMBER(B430),TEXT(B430,"0000"),B430),Addendum!F:F,"X")&gt;0,2.5%,0)</f>
        <v>0</v>
      </c>
      <c r="K430" s="31">
        <f>IF(COUNTIFS(Addendum!C:C,A430,Addendum!D:D,IF(ISNUMBER(B430),TEXT(B430,"0000"),B430),Addendum!G:G,"X")&gt;0,7%,0)</f>
        <v>0</v>
      </c>
      <c r="L430" s="31">
        <f>IF(COUNTIFS(Addendum!C:C,A430,Addendum!D:D,IF(ISNUMBER(B430),TEXT(B430,"0000"),B430),Addendum!I:I,"X")&gt;0,10%,0)</f>
        <v>0</v>
      </c>
      <c r="M430" s="34">
        <f t="shared" si="12"/>
        <v>0</v>
      </c>
      <c r="N430" s="17">
        <f t="shared" si="13"/>
        <v>4053252</v>
      </c>
    </row>
    <row r="431" spans="1:14" x14ac:dyDescent="0.25">
      <c r="A431" s="14" t="s">
        <v>1852</v>
      </c>
      <c r="B431" s="14" t="s">
        <v>1573</v>
      </c>
      <c r="C431" s="15" t="s">
        <v>1930</v>
      </c>
      <c r="D431" s="14" t="s">
        <v>1745</v>
      </c>
      <c r="E431" s="14" t="s">
        <v>1747</v>
      </c>
      <c r="F431" s="17" t="s">
        <v>2994</v>
      </c>
      <c r="G431" s="14">
        <v>274560</v>
      </c>
      <c r="H431" s="14">
        <v>192192</v>
      </c>
      <c r="I431" s="31">
        <f>IF(COUNTIFS(Addendum!C:C,A431,Addendum!D:D,IF(ISNUMBER(B431),TEXT(B431,"0000"),B431),Addendum!E:E,"X")&gt;0,4%,0)</f>
        <v>0</v>
      </c>
      <c r="J431" s="31">
        <f>IF(COUNTIFS(Addendum!C:C,A431,Addendum!D:D,IF(ISNUMBER(B431),TEXT(B431,"0000"),B431),Addendum!F:F,"X")&gt;0,2.5%,0)</f>
        <v>0</v>
      </c>
      <c r="K431" s="31">
        <f>IF(COUNTIFS(Addendum!C:C,A431,Addendum!D:D,IF(ISNUMBER(B431),TEXT(B431,"0000"),B431),Addendum!G:G,"X")&gt;0,7%,0)</f>
        <v>0</v>
      </c>
      <c r="L431" s="31">
        <f>IF(COUNTIFS(Addendum!C:C,A431,Addendum!D:D,IF(ISNUMBER(B431),TEXT(B431,"0000"),B431),Addendum!I:I,"X")&gt;0,10%,0)</f>
        <v>0</v>
      </c>
      <c r="M431" s="34">
        <f t="shared" si="12"/>
        <v>0</v>
      </c>
      <c r="N431" s="17">
        <f t="shared" si="13"/>
        <v>192192</v>
      </c>
    </row>
    <row r="432" spans="1:14" x14ac:dyDescent="0.25">
      <c r="A432" s="14" t="s">
        <v>1852</v>
      </c>
      <c r="B432" s="14" t="s">
        <v>1653</v>
      </c>
      <c r="C432" s="15" t="s">
        <v>1972</v>
      </c>
      <c r="D432" s="14" t="s">
        <v>1745</v>
      </c>
      <c r="E432" s="14" t="s">
        <v>1747</v>
      </c>
      <c r="F432" s="17" t="s">
        <v>2995</v>
      </c>
      <c r="G432" s="14">
        <v>149760</v>
      </c>
      <c r="H432" s="14">
        <v>134784</v>
      </c>
      <c r="I432" s="31">
        <f>IF(COUNTIFS(Addendum!C:C,A432,Addendum!D:D,IF(ISNUMBER(B432),TEXT(B432,"0000"),B432),Addendum!E:E,"X")&gt;0,4%,0)</f>
        <v>0</v>
      </c>
      <c r="J432" s="31">
        <f>IF(COUNTIFS(Addendum!C:C,A432,Addendum!D:D,IF(ISNUMBER(B432),TEXT(B432,"0000"),B432),Addendum!F:F,"X")&gt;0,2.5%,0)</f>
        <v>0</v>
      </c>
      <c r="K432" s="31">
        <f>IF(COUNTIFS(Addendum!C:C,A432,Addendum!D:D,IF(ISNUMBER(B432),TEXT(B432,"0000"),B432),Addendum!G:G,"X")&gt;0,7%,0)</f>
        <v>0</v>
      </c>
      <c r="L432" s="31">
        <f>IF(COUNTIFS(Addendum!C:C,A432,Addendum!D:D,IF(ISNUMBER(B432),TEXT(B432,"0000"),B432),Addendum!I:I,"X")&gt;0,10%,0)</f>
        <v>0</v>
      </c>
      <c r="M432" s="34">
        <f t="shared" si="12"/>
        <v>0</v>
      </c>
      <c r="N432" s="17">
        <f t="shared" si="13"/>
        <v>134784</v>
      </c>
    </row>
    <row r="433" spans="1:14" x14ac:dyDescent="0.25">
      <c r="A433" s="14" t="s">
        <v>1852</v>
      </c>
      <c r="B433" s="14" t="s">
        <v>34</v>
      </c>
      <c r="C433" s="15" t="s">
        <v>1915</v>
      </c>
      <c r="D433" s="14" t="s">
        <v>1749</v>
      </c>
      <c r="E433" s="14" t="s">
        <v>1746</v>
      </c>
      <c r="F433" s="17" t="s">
        <v>2993</v>
      </c>
      <c r="G433" s="14">
        <v>3094842</v>
      </c>
      <c r="H433" s="14">
        <v>2166389</v>
      </c>
      <c r="I433" s="31">
        <f>IF(COUNTIFS(Addendum!C:C,A433,Addendum!D:D,IF(ISNUMBER(B433),TEXT(B433,"0000"),B433),Addendum!E:E,"X")&gt;0,4%,0)</f>
        <v>0</v>
      </c>
      <c r="J433" s="31">
        <f>IF(COUNTIFS(Addendum!C:C,A433,Addendum!D:D,IF(ISNUMBER(B433),TEXT(B433,"0000"),B433),Addendum!F:F,"X")&gt;0,2.5%,0)</f>
        <v>0</v>
      </c>
      <c r="K433" s="31">
        <f>IF(COUNTIFS(Addendum!C:C,A433,Addendum!D:D,IF(ISNUMBER(B433),TEXT(B433,"0000"),B433),Addendum!G:G,"X")&gt;0,7%,0)</f>
        <v>0</v>
      </c>
      <c r="L433" s="31">
        <f>IF(COUNTIFS(Addendum!C:C,A433,Addendum!D:D,IF(ISNUMBER(B433),TEXT(B433,"0000"),B433),Addendum!I:I,"X")&gt;0,10%,0)</f>
        <v>0</v>
      </c>
      <c r="M433" s="34">
        <f t="shared" si="12"/>
        <v>0</v>
      </c>
      <c r="N433" s="17">
        <f t="shared" si="13"/>
        <v>2166389</v>
      </c>
    </row>
    <row r="434" spans="1:14" x14ac:dyDescent="0.25">
      <c r="A434" s="14" t="s">
        <v>1852</v>
      </c>
      <c r="B434" s="14" t="s">
        <v>1973</v>
      </c>
      <c r="C434" s="15" t="s">
        <v>1974</v>
      </c>
      <c r="D434" s="14" t="s">
        <v>1749</v>
      </c>
      <c r="E434" s="14" t="s">
        <v>1746</v>
      </c>
      <c r="F434" s="17" t="s">
        <v>2995</v>
      </c>
      <c r="G434" s="14">
        <v>928452</v>
      </c>
      <c r="H434" s="14">
        <v>835606.8</v>
      </c>
      <c r="I434" s="31">
        <f>IF(COUNTIFS(Addendum!C:C,A434,Addendum!D:D,IF(ISNUMBER(B434),TEXT(B434,"0000"),B434),Addendum!E:E,"X")&gt;0,4%,0)</f>
        <v>0</v>
      </c>
      <c r="J434" s="31">
        <f>IF(COUNTIFS(Addendum!C:C,A434,Addendum!D:D,IF(ISNUMBER(B434),TEXT(B434,"0000"),B434),Addendum!F:F,"X")&gt;0,2.5%,0)</f>
        <v>0</v>
      </c>
      <c r="K434" s="31">
        <f>IF(COUNTIFS(Addendum!C:C,A434,Addendum!D:D,IF(ISNUMBER(B434),TEXT(B434,"0000"),B434),Addendum!G:G,"X")&gt;0,7%,0)</f>
        <v>0</v>
      </c>
      <c r="L434" s="31">
        <f>IF(COUNTIFS(Addendum!C:C,A434,Addendum!D:D,IF(ISNUMBER(B434),TEXT(B434,"0000"),B434),Addendum!I:I,"X")&gt;0,10%,0)</f>
        <v>0</v>
      </c>
      <c r="M434" s="34">
        <f t="shared" si="12"/>
        <v>0</v>
      </c>
      <c r="N434" s="17">
        <f t="shared" si="13"/>
        <v>835606.8</v>
      </c>
    </row>
    <row r="435" spans="1:14" x14ac:dyDescent="0.25">
      <c r="A435" s="14" t="s">
        <v>1852</v>
      </c>
      <c r="B435" s="14" t="s">
        <v>650</v>
      </c>
      <c r="C435" s="15" t="s">
        <v>1975</v>
      </c>
      <c r="D435" s="14" t="s">
        <v>1749</v>
      </c>
      <c r="E435" s="14" t="s">
        <v>1746</v>
      </c>
      <c r="F435" s="17" t="s">
        <v>2993</v>
      </c>
      <c r="G435" s="14">
        <v>49914</v>
      </c>
      <c r="H435" s="14">
        <v>34939.800000000003</v>
      </c>
      <c r="I435" s="31">
        <f>IF(COUNTIFS(Addendum!C:C,A435,Addendum!D:D,IF(ISNUMBER(B435),TEXT(B435,"0000"),B435),Addendum!E:E,"X")&gt;0,4%,0)</f>
        <v>0</v>
      </c>
      <c r="J435" s="31">
        <f>IF(COUNTIFS(Addendum!C:C,A435,Addendum!D:D,IF(ISNUMBER(B435),TEXT(B435,"0000"),B435),Addendum!F:F,"X")&gt;0,2.5%,0)</f>
        <v>0</v>
      </c>
      <c r="K435" s="31">
        <f>IF(COUNTIFS(Addendum!C:C,A435,Addendum!D:D,IF(ISNUMBER(B435),TEXT(B435,"0000"),B435),Addendum!G:G,"X")&gt;0,7%,0)</f>
        <v>0</v>
      </c>
      <c r="L435" s="31">
        <f>IF(COUNTIFS(Addendum!C:C,A435,Addendum!D:D,IF(ISNUMBER(B435),TEXT(B435,"0000"),B435),Addendum!I:I,"X")&gt;0,10%,0)</f>
        <v>0</v>
      </c>
      <c r="M435" s="34">
        <f t="shared" si="12"/>
        <v>0</v>
      </c>
      <c r="N435" s="17">
        <f t="shared" si="13"/>
        <v>34939.800000000003</v>
      </c>
    </row>
    <row r="436" spans="1:14" x14ac:dyDescent="0.25">
      <c r="A436" s="14" t="s">
        <v>1852</v>
      </c>
      <c r="B436" s="14" t="s">
        <v>1976</v>
      </c>
      <c r="C436" s="15" t="s">
        <v>1977</v>
      </c>
      <c r="D436" s="14" t="s">
        <v>1749</v>
      </c>
      <c r="E436" s="14" t="s">
        <v>1746</v>
      </c>
      <c r="F436" s="17" t="s">
        <v>2994</v>
      </c>
      <c r="G436" s="14">
        <v>1702164</v>
      </c>
      <c r="H436" s="14">
        <v>1191515</v>
      </c>
      <c r="I436" s="31">
        <f>IF(COUNTIFS(Addendum!C:C,A436,Addendum!D:D,IF(ISNUMBER(B436),TEXT(B436,"0000"),B436),Addendum!E:E,"X")&gt;0,4%,0)</f>
        <v>0</v>
      </c>
      <c r="J436" s="31">
        <f>IF(COUNTIFS(Addendum!C:C,A436,Addendum!D:D,IF(ISNUMBER(B436),TEXT(B436,"0000"),B436),Addendum!F:F,"X")&gt;0,2.5%,0)</f>
        <v>0</v>
      </c>
      <c r="K436" s="31">
        <f>IF(COUNTIFS(Addendum!C:C,A436,Addendum!D:D,IF(ISNUMBER(B436),TEXT(B436,"0000"),B436),Addendum!G:G,"X")&gt;0,7%,0)</f>
        <v>0</v>
      </c>
      <c r="L436" s="31">
        <f>IF(COUNTIFS(Addendum!C:C,A436,Addendum!D:D,IF(ISNUMBER(B436),TEXT(B436,"0000"),B436),Addendum!I:I,"X")&gt;0,10%,0)</f>
        <v>0</v>
      </c>
      <c r="M436" s="34">
        <f t="shared" si="12"/>
        <v>0</v>
      </c>
      <c r="N436" s="17">
        <f t="shared" si="13"/>
        <v>1191515</v>
      </c>
    </row>
    <row r="437" spans="1:14" x14ac:dyDescent="0.25">
      <c r="A437" s="14" t="s">
        <v>1852</v>
      </c>
      <c r="B437" s="14" t="s">
        <v>1647</v>
      </c>
      <c r="C437" s="15" t="s">
        <v>1858</v>
      </c>
      <c r="D437" s="14" t="s">
        <v>1749</v>
      </c>
      <c r="E437" s="14" t="s">
        <v>1746</v>
      </c>
      <c r="F437" s="17" t="s">
        <v>2994</v>
      </c>
      <c r="G437" s="14">
        <v>19968</v>
      </c>
      <c r="H437" s="14">
        <v>13977.6</v>
      </c>
      <c r="I437" s="31">
        <f>IF(COUNTIFS(Addendum!C:C,A437,Addendum!D:D,IF(ISNUMBER(B437),TEXT(B437,"0000"),B437),Addendum!E:E,"X")&gt;0,4%,0)</f>
        <v>0</v>
      </c>
      <c r="J437" s="31">
        <f>IF(COUNTIFS(Addendum!C:C,A437,Addendum!D:D,IF(ISNUMBER(B437),TEXT(B437,"0000"),B437),Addendum!F:F,"X")&gt;0,2.5%,0)</f>
        <v>0</v>
      </c>
      <c r="K437" s="31">
        <f>IF(COUNTIFS(Addendum!C:C,A437,Addendum!D:D,IF(ISNUMBER(B437),TEXT(B437,"0000"),B437),Addendum!G:G,"X")&gt;0,7%,0)</f>
        <v>0</v>
      </c>
      <c r="L437" s="31">
        <f>IF(COUNTIFS(Addendum!C:C,A437,Addendum!D:D,IF(ISNUMBER(B437),TEXT(B437,"0000"),B437),Addendum!I:I,"X")&gt;0,10%,0)</f>
        <v>0</v>
      </c>
      <c r="M437" s="34">
        <f t="shared" si="12"/>
        <v>0</v>
      </c>
      <c r="N437" s="17">
        <f t="shared" si="13"/>
        <v>13977.6</v>
      </c>
    </row>
    <row r="438" spans="1:14" x14ac:dyDescent="0.25">
      <c r="A438" s="14" t="s">
        <v>1852</v>
      </c>
      <c r="B438" s="14" t="s">
        <v>410</v>
      </c>
      <c r="C438" s="15" t="s">
        <v>1944</v>
      </c>
      <c r="D438" s="14" t="s">
        <v>1745</v>
      </c>
      <c r="E438" s="14" t="s">
        <v>1747</v>
      </c>
      <c r="F438" s="17" t="s">
        <v>2994</v>
      </c>
      <c r="G438" s="14">
        <v>5790360</v>
      </c>
      <c r="H438" s="14">
        <v>4053252</v>
      </c>
      <c r="I438" s="31">
        <f>IF(COUNTIFS(Addendum!C:C,A438,Addendum!D:D,IF(ISNUMBER(B438),TEXT(B438,"0000"),B438),Addendum!E:E,"X")&gt;0,4%,0)</f>
        <v>0</v>
      </c>
      <c r="J438" s="31">
        <f>IF(COUNTIFS(Addendum!C:C,A438,Addendum!D:D,IF(ISNUMBER(B438),TEXT(B438,"0000"),B438),Addendum!F:F,"X")&gt;0,2.5%,0)</f>
        <v>0</v>
      </c>
      <c r="K438" s="31">
        <f>IF(COUNTIFS(Addendum!C:C,A438,Addendum!D:D,IF(ISNUMBER(B438),TEXT(B438,"0000"),B438),Addendum!G:G,"X")&gt;0,7%,0)</f>
        <v>0</v>
      </c>
      <c r="L438" s="31">
        <f>IF(COUNTIFS(Addendum!C:C,A438,Addendum!D:D,IF(ISNUMBER(B438),TEXT(B438,"0000"),B438),Addendum!I:I,"X")&gt;0,10%,0)</f>
        <v>0</v>
      </c>
      <c r="M438" s="34">
        <f t="shared" si="12"/>
        <v>0</v>
      </c>
      <c r="N438" s="17">
        <f t="shared" si="13"/>
        <v>4053252</v>
      </c>
    </row>
    <row r="439" spans="1:14" x14ac:dyDescent="0.25">
      <c r="A439" s="14" t="s">
        <v>1852</v>
      </c>
      <c r="B439" s="14" t="s">
        <v>20</v>
      </c>
      <c r="C439" s="15" t="s">
        <v>1978</v>
      </c>
      <c r="D439" s="14" t="s">
        <v>1745</v>
      </c>
      <c r="E439" s="14" t="s">
        <v>1747</v>
      </c>
      <c r="F439" s="17" t="s">
        <v>2993</v>
      </c>
      <c r="G439" s="14">
        <v>3993360</v>
      </c>
      <c r="H439" s="14">
        <v>2795352</v>
      </c>
      <c r="I439" s="31">
        <f>IF(COUNTIFS(Addendum!C:C,A439,Addendum!D:D,IF(ISNUMBER(B439),TEXT(B439,"0000"),B439),Addendum!E:E,"X")&gt;0,4%,0)</f>
        <v>0</v>
      </c>
      <c r="J439" s="31">
        <f>IF(COUNTIFS(Addendum!C:C,A439,Addendum!D:D,IF(ISNUMBER(B439),TEXT(B439,"0000"),B439),Addendum!F:F,"X")&gt;0,2.5%,0)</f>
        <v>0</v>
      </c>
      <c r="K439" s="31">
        <f>IF(COUNTIFS(Addendum!C:C,A439,Addendum!D:D,IF(ISNUMBER(B439),TEXT(B439,"0000"),B439),Addendum!G:G,"X")&gt;0,7%,0)</f>
        <v>0</v>
      </c>
      <c r="L439" s="31">
        <f>IF(COUNTIFS(Addendum!C:C,A439,Addendum!D:D,IF(ISNUMBER(B439),TEXT(B439,"0000"),B439),Addendum!I:I,"X")&gt;0,10%,0)</f>
        <v>0</v>
      </c>
      <c r="M439" s="34">
        <f t="shared" si="12"/>
        <v>0</v>
      </c>
      <c r="N439" s="17">
        <f t="shared" si="13"/>
        <v>2795352</v>
      </c>
    </row>
    <row r="440" spans="1:14" x14ac:dyDescent="0.25">
      <c r="A440" s="14" t="s">
        <v>1852</v>
      </c>
      <c r="B440" s="14" t="s">
        <v>55</v>
      </c>
      <c r="C440" s="15" t="s">
        <v>1885</v>
      </c>
      <c r="D440" s="14" t="s">
        <v>1745</v>
      </c>
      <c r="E440" s="14" t="s">
        <v>1747</v>
      </c>
      <c r="F440" s="17" t="s">
        <v>2993</v>
      </c>
      <c r="G440" s="14">
        <v>499140</v>
      </c>
      <c r="H440" s="14">
        <v>349398</v>
      </c>
      <c r="I440" s="31">
        <f>IF(COUNTIFS(Addendum!C:C,A440,Addendum!D:D,IF(ISNUMBER(B440),TEXT(B440,"0000"),B440),Addendum!E:E,"X")&gt;0,4%,0)</f>
        <v>0</v>
      </c>
      <c r="J440" s="31">
        <f>IF(COUNTIFS(Addendum!C:C,A440,Addendum!D:D,IF(ISNUMBER(B440),TEXT(B440,"0000"),B440),Addendum!F:F,"X")&gt;0,2.5%,0)</f>
        <v>0</v>
      </c>
      <c r="K440" s="31">
        <f>IF(COUNTIFS(Addendum!C:C,A440,Addendum!D:D,IF(ISNUMBER(B440),TEXT(B440,"0000"),B440),Addendum!G:G,"X")&gt;0,7%,0)</f>
        <v>0</v>
      </c>
      <c r="L440" s="31">
        <f>IF(COUNTIFS(Addendum!C:C,A440,Addendum!D:D,IF(ISNUMBER(B440),TEXT(B440,"0000"),B440),Addendum!I:I,"X")&gt;0,10%,0)</f>
        <v>0</v>
      </c>
      <c r="M440" s="34">
        <f t="shared" si="12"/>
        <v>0</v>
      </c>
      <c r="N440" s="17">
        <f t="shared" si="13"/>
        <v>349398</v>
      </c>
    </row>
    <row r="441" spans="1:14" x14ac:dyDescent="0.25">
      <c r="A441" s="14" t="s">
        <v>1852</v>
      </c>
      <c r="B441" s="14" t="s">
        <v>1875</v>
      </c>
      <c r="C441" s="15" t="s">
        <v>1876</v>
      </c>
      <c r="D441" s="14" t="s">
        <v>1745</v>
      </c>
      <c r="E441" s="14" t="s">
        <v>1746</v>
      </c>
      <c r="F441" s="17" t="s">
        <v>2994</v>
      </c>
      <c r="G441" s="14">
        <v>8359848</v>
      </c>
      <c r="H441" s="14">
        <v>5851894</v>
      </c>
      <c r="I441" s="31">
        <f>IF(COUNTIFS(Addendum!C:C,A441,Addendum!D:D,IF(ISNUMBER(B441),TEXT(B441,"0000"),B441),Addendum!E:E,"X")&gt;0,4%,0)</f>
        <v>0</v>
      </c>
      <c r="J441" s="31">
        <f>IF(COUNTIFS(Addendum!C:C,A441,Addendum!D:D,IF(ISNUMBER(B441),TEXT(B441,"0000"),B441),Addendum!F:F,"X")&gt;0,2.5%,0)</f>
        <v>0</v>
      </c>
      <c r="K441" s="31">
        <f>IF(COUNTIFS(Addendum!C:C,A441,Addendum!D:D,IF(ISNUMBER(B441),TEXT(B441,"0000"),B441),Addendum!G:G,"X")&gt;0,7%,0)</f>
        <v>0</v>
      </c>
      <c r="L441" s="31">
        <f>IF(COUNTIFS(Addendum!C:C,A441,Addendum!D:D,IF(ISNUMBER(B441),TEXT(B441,"0000"),B441),Addendum!I:I,"X")&gt;0,10%,0)</f>
        <v>0</v>
      </c>
      <c r="M441" s="34">
        <f t="shared" si="12"/>
        <v>0</v>
      </c>
      <c r="N441" s="17">
        <f t="shared" si="13"/>
        <v>5851894</v>
      </c>
    </row>
    <row r="442" spans="1:14" x14ac:dyDescent="0.25">
      <c r="A442" s="14" t="s">
        <v>1852</v>
      </c>
      <c r="B442" s="14">
        <v>54</v>
      </c>
      <c r="C442" s="15" t="s">
        <v>1979</v>
      </c>
      <c r="D442" s="14" t="s">
        <v>1745</v>
      </c>
      <c r="E442" s="14" t="s">
        <v>1747</v>
      </c>
      <c r="F442" s="17" t="s">
        <v>2995</v>
      </c>
      <c r="G442" s="14">
        <v>9284520</v>
      </c>
      <c r="H442" s="14">
        <v>8356068</v>
      </c>
      <c r="I442" s="31">
        <f>IF(COUNTIFS(Addendum!C:C,A442,Addendum!D:D,IF(ISNUMBER(B442),TEXT(B442,"0000"),B442),Addendum!E:E,"X")&gt;0,4%,0)</f>
        <v>0</v>
      </c>
      <c r="J442" s="31">
        <f>IF(COUNTIFS(Addendum!C:C,A442,Addendum!D:D,IF(ISNUMBER(B442),TEXT(B442,"0000"),B442),Addendum!F:F,"X")&gt;0,2.5%,0)</f>
        <v>0</v>
      </c>
      <c r="K442" s="31">
        <f>IF(COUNTIFS(Addendum!C:C,A442,Addendum!D:D,IF(ISNUMBER(B442),TEXT(B442,"0000"),B442),Addendum!G:G,"X")&gt;0,7%,0)</f>
        <v>0</v>
      </c>
      <c r="L442" s="31">
        <f>IF(COUNTIFS(Addendum!C:C,A442,Addendum!D:D,IF(ISNUMBER(B442),TEXT(B442,"0000"),B442),Addendum!I:I,"X")&gt;0,10%,0)</f>
        <v>0</v>
      </c>
      <c r="M442" s="34">
        <f t="shared" si="12"/>
        <v>0</v>
      </c>
      <c r="N442" s="17">
        <f t="shared" si="13"/>
        <v>8356068</v>
      </c>
    </row>
    <row r="443" spans="1:14" x14ac:dyDescent="0.25">
      <c r="A443" s="14" t="s">
        <v>1852</v>
      </c>
      <c r="B443" s="14" t="s">
        <v>1673</v>
      </c>
      <c r="C443" s="15" t="s">
        <v>1980</v>
      </c>
      <c r="D443" s="14" t="s">
        <v>1745</v>
      </c>
      <c r="E443" s="14" t="s">
        <v>1746</v>
      </c>
      <c r="F443" s="17" t="s">
        <v>2994</v>
      </c>
      <c r="G443" s="14">
        <v>209664</v>
      </c>
      <c r="H443" s="14">
        <v>146764.79999999999</v>
      </c>
      <c r="I443" s="31">
        <f>IF(COUNTIFS(Addendum!C:C,A443,Addendum!D:D,IF(ISNUMBER(B443),TEXT(B443,"0000"),B443),Addendum!E:E,"X")&gt;0,4%,0)</f>
        <v>0</v>
      </c>
      <c r="J443" s="31">
        <f>IF(COUNTIFS(Addendum!C:C,A443,Addendum!D:D,IF(ISNUMBER(B443),TEXT(B443,"0000"),B443),Addendum!F:F,"X")&gt;0,2.5%,0)</f>
        <v>0</v>
      </c>
      <c r="K443" s="31">
        <f>IF(COUNTIFS(Addendum!C:C,A443,Addendum!D:D,IF(ISNUMBER(B443),TEXT(B443,"0000"),B443),Addendum!G:G,"X")&gt;0,7%,0)</f>
        <v>0</v>
      </c>
      <c r="L443" s="31">
        <f>IF(COUNTIFS(Addendum!C:C,A443,Addendum!D:D,IF(ISNUMBER(B443),TEXT(B443,"0000"),B443),Addendum!I:I,"X")&gt;0,10%,0)</f>
        <v>0</v>
      </c>
      <c r="M443" s="34">
        <f t="shared" si="12"/>
        <v>0</v>
      </c>
      <c r="N443" s="17">
        <f t="shared" si="13"/>
        <v>146764.79999999999</v>
      </c>
    </row>
    <row r="444" spans="1:14" x14ac:dyDescent="0.25">
      <c r="A444" s="14" t="s">
        <v>1852</v>
      </c>
      <c r="B444" s="14" t="s">
        <v>1875</v>
      </c>
      <c r="C444" s="15" t="s">
        <v>1876</v>
      </c>
      <c r="D444" s="14" t="s">
        <v>1749</v>
      </c>
      <c r="E444" s="14" t="s">
        <v>1746</v>
      </c>
      <c r="F444" s="17" t="s">
        <v>2994</v>
      </c>
      <c r="G444" s="14">
        <v>796176</v>
      </c>
      <c r="H444" s="14">
        <v>557323.19999999995</v>
      </c>
      <c r="I444" s="31">
        <f>IF(COUNTIFS(Addendum!C:C,A444,Addendum!D:D,IF(ISNUMBER(B444),TEXT(B444,"0000"),B444),Addendum!E:E,"X")&gt;0,4%,0)</f>
        <v>0</v>
      </c>
      <c r="J444" s="31">
        <f>IF(COUNTIFS(Addendum!C:C,A444,Addendum!D:D,IF(ISNUMBER(B444),TEXT(B444,"0000"),B444),Addendum!F:F,"X")&gt;0,2.5%,0)</f>
        <v>0</v>
      </c>
      <c r="K444" s="31">
        <f>IF(COUNTIFS(Addendum!C:C,A444,Addendum!D:D,IF(ISNUMBER(B444),TEXT(B444,"0000"),B444),Addendum!G:G,"X")&gt;0,7%,0)</f>
        <v>0</v>
      </c>
      <c r="L444" s="31">
        <f>IF(COUNTIFS(Addendum!C:C,A444,Addendum!D:D,IF(ISNUMBER(B444),TEXT(B444,"0000"),B444),Addendum!I:I,"X")&gt;0,10%,0)</f>
        <v>0</v>
      </c>
      <c r="M444" s="34">
        <f t="shared" si="12"/>
        <v>0</v>
      </c>
      <c r="N444" s="17">
        <f t="shared" si="13"/>
        <v>557323.19999999995</v>
      </c>
    </row>
    <row r="445" spans="1:14" x14ac:dyDescent="0.25">
      <c r="A445" s="14" t="s">
        <v>1852</v>
      </c>
      <c r="B445" s="14" t="s">
        <v>1545</v>
      </c>
      <c r="C445" s="15" t="s">
        <v>1927</v>
      </c>
      <c r="D445" s="14" t="s">
        <v>1745</v>
      </c>
      <c r="E445" s="14" t="s">
        <v>1746</v>
      </c>
      <c r="F445" s="17" t="s">
        <v>2994</v>
      </c>
      <c r="G445" s="14">
        <v>288288</v>
      </c>
      <c r="H445" s="14">
        <v>201801.60000000001</v>
      </c>
      <c r="I445" s="31">
        <f>IF(COUNTIFS(Addendum!C:C,A445,Addendum!D:D,IF(ISNUMBER(B445),TEXT(B445,"0000"),B445),Addendum!E:E,"X")&gt;0,4%,0)</f>
        <v>0</v>
      </c>
      <c r="J445" s="31">
        <f>IF(COUNTIFS(Addendum!C:C,A445,Addendum!D:D,IF(ISNUMBER(B445),TEXT(B445,"0000"),B445),Addendum!F:F,"X")&gt;0,2.5%,0)</f>
        <v>0</v>
      </c>
      <c r="K445" s="31">
        <f>IF(COUNTIFS(Addendum!C:C,A445,Addendum!D:D,IF(ISNUMBER(B445),TEXT(B445,"0000"),B445),Addendum!G:G,"X")&gt;0,7%,0)</f>
        <v>0</v>
      </c>
      <c r="L445" s="31">
        <f>IF(COUNTIFS(Addendum!C:C,A445,Addendum!D:D,IF(ISNUMBER(B445),TEXT(B445,"0000"),B445),Addendum!I:I,"X")&gt;0,10%,0)</f>
        <v>0</v>
      </c>
      <c r="M445" s="34">
        <f t="shared" si="12"/>
        <v>0</v>
      </c>
      <c r="N445" s="17">
        <f t="shared" si="13"/>
        <v>201801.60000000001</v>
      </c>
    </row>
    <row r="446" spans="1:14" x14ac:dyDescent="0.25">
      <c r="A446" s="14" t="s">
        <v>1852</v>
      </c>
      <c r="B446" s="14">
        <v>80</v>
      </c>
      <c r="C446" s="15" t="s">
        <v>1934</v>
      </c>
      <c r="D446" s="14" t="s">
        <v>1749</v>
      </c>
      <c r="E446" s="14" t="s">
        <v>1746</v>
      </c>
      <c r="F446" s="17" t="s">
        <v>2994</v>
      </c>
      <c r="G446" s="14">
        <v>579036</v>
      </c>
      <c r="H446" s="14">
        <v>405325.2</v>
      </c>
      <c r="I446" s="31">
        <f>IF(COUNTIFS(Addendum!C:C,A446,Addendum!D:D,IF(ISNUMBER(B446),TEXT(B446,"0000"),B446),Addendum!E:E,"X")&gt;0,4%,0)</f>
        <v>0</v>
      </c>
      <c r="J446" s="31">
        <f>IF(COUNTIFS(Addendum!C:C,A446,Addendum!D:D,IF(ISNUMBER(B446),TEXT(B446,"0000"),B446),Addendum!F:F,"X")&gt;0,2.5%,0)</f>
        <v>0</v>
      </c>
      <c r="K446" s="31">
        <f>IF(COUNTIFS(Addendum!C:C,A446,Addendum!D:D,IF(ISNUMBER(B446),TEXT(B446,"0000"),B446),Addendum!G:G,"X")&gt;0,7%,0)</f>
        <v>0</v>
      </c>
      <c r="L446" s="31">
        <f>IF(COUNTIFS(Addendum!C:C,A446,Addendum!D:D,IF(ISNUMBER(B446),TEXT(B446,"0000"),B446),Addendum!I:I,"X")&gt;0,10%,0)</f>
        <v>0</v>
      </c>
      <c r="M446" s="34">
        <f t="shared" si="12"/>
        <v>0</v>
      </c>
      <c r="N446" s="17">
        <f t="shared" si="13"/>
        <v>405325.2</v>
      </c>
    </row>
    <row r="447" spans="1:14" x14ac:dyDescent="0.25">
      <c r="A447" s="14" t="s">
        <v>1852</v>
      </c>
      <c r="B447" s="14">
        <v>8</v>
      </c>
      <c r="C447" s="15" t="s">
        <v>1981</v>
      </c>
      <c r="D447" s="14" t="s">
        <v>1749</v>
      </c>
      <c r="E447" s="14" t="s">
        <v>1746</v>
      </c>
      <c r="F447" s="17" t="s">
        <v>2993</v>
      </c>
      <c r="G447" s="14">
        <v>49914</v>
      </c>
      <c r="H447" s="14">
        <v>34939.800000000003</v>
      </c>
      <c r="I447" s="31">
        <f>IF(COUNTIFS(Addendum!C:C,A447,Addendum!D:D,IF(ISNUMBER(B447),TEXT(B447,"0000"),B447),Addendum!E:E,"X")&gt;0,4%,0)</f>
        <v>0</v>
      </c>
      <c r="J447" s="31">
        <f>IF(COUNTIFS(Addendum!C:C,A447,Addendum!D:D,IF(ISNUMBER(B447),TEXT(B447,"0000"),B447),Addendum!F:F,"X")&gt;0,2.5%,0)</f>
        <v>0</v>
      </c>
      <c r="K447" s="31">
        <f>IF(COUNTIFS(Addendum!C:C,A447,Addendum!D:D,IF(ISNUMBER(B447),TEXT(B447,"0000"),B447),Addendum!G:G,"X")&gt;0,7%,0)</f>
        <v>0</v>
      </c>
      <c r="L447" s="31">
        <f>IF(COUNTIFS(Addendum!C:C,A447,Addendum!D:D,IF(ISNUMBER(B447),TEXT(B447,"0000"),B447),Addendum!I:I,"X")&gt;0,10%,0)</f>
        <v>0</v>
      </c>
      <c r="M447" s="34">
        <f t="shared" si="12"/>
        <v>0</v>
      </c>
      <c r="N447" s="17">
        <f t="shared" si="13"/>
        <v>34939.800000000003</v>
      </c>
    </row>
    <row r="448" spans="1:14" ht="30" x14ac:dyDescent="0.25">
      <c r="A448" s="14" t="s">
        <v>1850</v>
      </c>
      <c r="B448" s="14" t="s">
        <v>32</v>
      </c>
      <c r="C448" s="15" t="s">
        <v>1884</v>
      </c>
      <c r="D448" s="14" t="s">
        <v>1745</v>
      </c>
      <c r="E448" s="14" t="s">
        <v>1747</v>
      </c>
      <c r="F448" s="17" t="s">
        <v>2994</v>
      </c>
      <c r="G448" s="14">
        <v>16500</v>
      </c>
      <c r="H448" s="14">
        <v>11550</v>
      </c>
      <c r="I448" s="31">
        <f>IF(COUNTIFS(Addendum!C:C,A448,Addendum!D:D,IF(ISNUMBER(B448),TEXT(B448,"0000"),B448),Addendum!E:E,"X")&gt;0,4%,0)</f>
        <v>0</v>
      </c>
      <c r="J448" s="31">
        <f>IF(COUNTIFS(Addendum!C:C,A448,Addendum!D:D,IF(ISNUMBER(B448),TEXT(B448,"0000"),B448),Addendum!F:F,"X")&gt;0,2.5%,0)</f>
        <v>0</v>
      </c>
      <c r="K448" s="31">
        <f>IF(COUNTIFS(Addendum!C:C,A448,Addendum!D:D,IF(ISNUMBER(B448),TEXT(B448,"0000"),B448),Addendum!G:G,"X")&gt;0,7%,0)</f>
        <v>0</v>
      </c>
      <c r="L448" s="31">
        <f>IF(COUNTIFS(Addendum!C:C,A448,Addendum!D:D,IF(ISNUMBER(B448),TEXT(B448,"0000"),B448),Addendum!I:I,"X")&gt;0,10%,0)</f>
        <v>0</v>
      </c>
      <c r="M448" s="34">
        <f t="shared" si="12"/>
        <v>0</v>
      </c>
      <c r="N448" s="17">
        <f t="shared" si="13"/>
        <v>11550</v>
      </c>
    </row>
    <row r="449" spans="1:14" x14ac:dyDescent="0.25">
      <c r="A449" s="14" t="s">
        <v>1852</v>
      </c>
      <c r="B449" s="14" t="s">
        <v>1645</v>
      </c>
      <c r="C449" s="15" t="s">
        <v>1982</v>
      </c>
      <c r="D449" s="14" t="s">
        <v>1745</v>
      </c>
      <c r="E449" s="14" t="s">
        <v>1747</v>
      </c>
      <c r="F449" s="17" t="s">
        <v>2994</v>
      </c>
      <c r="G449" s="14">
        <v>274560</v>
      </c>
      <c r="H449" s="14">
        <v>192192</v>
      </c>
      <c r="I449" s="31">
        <f>IF(COUNTIFS(Addendum!C:C,A449,Addendum!D:D,IF(ISNUMBER(B449),TEXT(B449,"0000"),B449),Addendum!E:E,"X")&gt;0,4%,0)</f>
        <v>0</v>
      </c>
      <c r="J449" s="31">
        <f>IF(COUNTIFS(Addendum!C:C,A449,Addendum!D:D,IF(ISNUMBER(B449),TEXT(B449,"0000"),B449),Addendum!F:F,"X")&gt;0,2.5%,0)</f>
        <v>0</v>
      </c>
      <c r="K449" s="31">
        <f>IF(COUNTIFS(Addendum!C:C,A449,Addendum!D:D,IF(ISNUMBER(B449),TEXT(B449,"0000"),B449),Addendum!G:G,"X")&gt;0,7%,0)</f>
        <v>0</v>
      </c>
      <c r="L449" s="31">
        <f>IF(COUNTIFS(Addendum!C:C,A449,Addendum!D:D,IF(ISNUMBER(B449),TEXT(B449,"0000"),B449),Addendum!I:I,"X")&gt;0,10%,0)</f>
        <v>0</v>
      </c>
      <c r="M449" s="34">
        <f t="shared" si="12"/>
        <v>0</v>
      </c>
      <c r="N449" s="17">
        <f t="shared" si="13"/>
        <v>192192</v>
      </c>
    </row>
    <row r="450" spans="1:14" x14ac:dyDescent="0.25">
      <c r="A450" s="14" t="s">
        <v>1852</v>
      </c>
      <c r="B450" s="14" t="s">
        <v>407</v>
      </c>
      <c r="C450" s="15" t="s">
        <v>1896</v>
      </c>
      <c r="D450" s="14" t="s">
        <v>1749</v>
      </c>
      <c r="E450" s="14" t="s">
        <v>1746</v>
      </c>
      <c r="F450" s="17" t="s">
        <v>2994</v>
      </c>
      <c r="G450" s="14">
        <v>579036</v>
      </c>
      <c r="H450" s="14">
        <v>405325.2</v>
      </c>
      <c r="I450" s="31">
        <f>IF(COUNTIFS(Addendum!C:C,A450,Addendum!D:D,IF(ISNUMBER(B450),TEXT(B450,"0000"),B450),Addendum!E:E,"X")&gt;0,4%,0)</f>
        <v>0</v>
      </c>
      <c r="J450" s="31">
        <f>IF(COUNTIFS(Addendum!C:C,A450,Addendum!D:D,IF(ISNUMBER(B450),TEXT(B450,"0000"),B450),Addendum!F:F,"X")&gt;0,2.5%,0)</f>
        <v>0</v>
      </c>
      <c r="K450" s="31">
        <f>IF(COUNTIFS(Addendum!C:C,A450,Addendum!D:D,IF(ISNUMBER(B450),TEXT(B450,"0000"),B450),Addendum!G:G,"X")&gt;0,7%,0)</f>
        <v>0</v>
      </c>
      <c r="L450" s="31">
        <f>IF(COUNTIFS(Addendum!C:C,A450,Addendum!D:D,IF(ISNUMBER(B450),TEXT(B450,"0000"),B450),Addendum!I:I,"X")&gt;0,10%,0)</f>
        <v>0</v>
      </c>
      <c r="M450" s="34">
        <f t="shared" si="12"/>
        <v>0</v>
      </c>
      <c r="N450" s="17">
        <f t="shared" si="13"/>
        <v>405325.2</v>
      </c>
    </row>
    <row r="451" spans="1:14" x14ac:dyDescent="0.25">
      <c r="A451" s="14" t="s">
        <v>1852</v>
      </c>
      <c r="B451" s="14" t="s">
        <v>420</v>
      </c>
      <c r="C451" s="15" t="s">
        <v>1983</v>
      </c>
      <c r="D451" s="14" t="s">
        <v>1745</v>
      </c>
      <c r="E451" s="14" t="s">
        <v>1746</v>
      </c>
      <c r="F451" s="17" t="s">
        <v>2994</v>
      </c>
      <c r="G451" s="14">
        <v>17872722</v>
      </c>
      <c r="H451" s="14">
        <v>12510905</v>
      </c>
      <c r="I451" s="31">
        <f>IF(COUNTIFS(Addendum!C:C,A451,Addendum!D:D,IF(ISNUMBER(B451),TEXT(B451,"0000"),B451),Addendum!E:E,"X")&gt;0,4%,0)</f>
        <v>0</v>
      </c>
      <c r="J451" s="31">
        <f>IF(COUNTIFS(Addendum!C:C,A451,Addendum!D:D,IF(ISNUMBER(B451),TEXT(B451,"0000"),B451),Addendum!F:F,"X")&gt;0,2.5%,0)</f>
        <v>0</v>
      </c>
      <c r="K451" s="31">
        <f>IF(COUNTIFS(Addendum!C:C,A451,Addendum!D:D,IF(ISNUMBER(B451),TEXT(B451,"0000"),B451),Addendum!G:G,"X")&gt;0,7%,0)</f>
        <v>0</v>
      </c>
      <c r="L451" s="31">
        <f>IF(COUNTIFS(Addendum!C:C,A451,Addendum!D:D,IF(ISNUMBER(B451),TEXT(B451,"0000"),B451),Addendum!I:I,"X")&gt;0,10%,0)</f>
        <v>0</v>
      </c>
      <c r="M451" s="34">
        <f t="shared" si="12"/>
        <v>0</v>
      </c>
      <c r="N451" s="17">
        <f t="shared" si="13"/>
        <v>12510905</v>
      </c>
    </row>
    <row r="452" spans="1:14" x14ac:dyDescent="0.25">
      <c r="A452" s="14" t="s">
        <v>1852</v>
      </c>
      <c r="B452" s="14">
        <v>71</v>
      </c>
      <c r="C452" s="15" t="s">
        <v>1888</v>
      </c>
      <c r="D452" s="14" t="s">
        <v>1745</v>
      </c>
      <c r="E452" s="14" t="s">
        <v>1746</v>
      </c>
      <c r="F452" s="17" t="s">
        <v>2995</v>
      </c>
      <c r="G452" s="14">
        <v>1257921</v>
      </c>
      <c r="H452" s="14">
        <v>1132129</v>
      </c>
      <c r="I452" s="31">
        <f>IF(COUNTIFS(Addendum!C:C,A452,Addendum!D:D,IF(ISNUMBER(B452),TEXT(B452,"0000"),B452),Addendum!E:E,"X")&gt;0,4%,0)</f>
        <v>0</v>
      </c>
      <c r="J452" s="31">
        <f>IF(COUNTIFS(Addendum!C:C,A452,Addendum!D:D,IF(ISNUMBER(B452),TEXT(B452,"0000"),B452),Addendum!F:F,"X")&gt;0,2.5%,0)</f>
        <v>0</v>
      </c>
      <c r="K452" s="31">
        <f>IF(COUNTIFS(Addendum!C:C,A452,Addendum!D:D,IF(ISNUMBER(B452),TEXT(B452,"0000"),B452),Addendum!G:G,"X")&gt;0,7%,0)</f>
        <v>0</v>
      </c>
      <c r="L452" s="31">
        <f>IF(COUNTIFS(Addendum!C:C,A452,Addendum!D:D,IF(ISNUMBER(B452),TEXT(B452,"0000"),B452),Addendum!I:I,"X")&gt;0,10%,0)</f>
        <v>0</v>
      </c>
      <c r="M452" s="34">
        <f t="shared" ref="M452:M515" si="14">IF(AND(I452=0%,J452=0%,K452=0%,L452=0%),0%,
IF(OR(TRIM(E452)="OneTime",TRIM(D452)=""),0%,
IF(
OR(
TRIM(D452)="P1M",
AND(TRIM(D452)="P1Y",TRIM(E452)="Monthly"),
AND(TRIM(D452)="P3Y",TRIM(E452)="Monthly")
),
IF(AND(I452=4%,J452=0%,K452=0%,L452=0%),1%,
IF(AND(I452=4%,J452=2.5%,K452=0%,L452=10%),2%,
IF(AND(I452=4%,J452=0%,K452=7%,L452=10%),3%,0%))),
IF(
OR(
AND(TRIM(D452)="P1Y",TRIM(E452)="Annual"),
AND(TRIM(D452)="P3Y",TRIM(E452)="Annual"),
AND(TRIM(D452)="P3Y",TRIM(E452)="Triennial")
),
IF(AND(I452=4%,J452=0%,K452=0%,L452=0%),3%,
IF(AND(I452=4%,J452=2.5%,K452=0%,L452=10%),10%,
IF(AND(I452=4%,J452=0%,K452=7%,L452=10%),14%,0%))),
0%
))))</f>
        <v>0</v>
      </c>
      <c r="N452" s="17">
        <f t="shared" ref="N452:N515" si="15">H452-(H452*M452)</f>
        <v>1132129</v>
      </c>
    </row>
    <row r="453" spans="1:14" x14ac:dyDescent="0.25">
      <c r="A453" s="14" t="s">
        <v>1852</v>
      </c>
      <c r="B453" s="14">
        <v>88</v>
      </c>
      <c r="C453" s="15" t="s">
        <v>1893</v>
      </c>
      <c r="D453" s="14" t="s">
        <v>1745</v>
      </c>
      <c r="E453" s="14" t="s">
        <v>1747</v>
      </c>
      <c r="F453" s="17" t="s">
        <v>2994</v>
      </c>
      <c r="G453" s="14">
        <v>5790360</v>
      </c>
      <c r="H453" s="14">
        <v>4053252</v>
      </c>
      <c r="I453" s="31">
        <f>IF(COUNTIFS(Addendum!C:C,A453,Addendum!D:D,IF(ISNUMBER(B453),TEXT(B453,"0000"),B453),Addendum!E:E,"X")&gt;0,4%,0)</f>
        <v>0</v>
      </c>
      <c r="J453" s="31">
        <f>IF(COUNTIFS(Addendum!C:C,A453,Addendum!D:D,IF(ISNUMBER(B453),TEXT(B453,"0000"),B453),Addendum!F:F,"X")&gt;0,2.5%,0)</f>
        <v>0</v>
      </c>
      <c r="K453" s="31">
        <f>IF(COUNTIFS(Addendum!C:C,A453,Addendum!D:D,IF(ISNUMBER(B453),TEXT(B453,"0000"),B453),Addendum!G:G,"X")&gt;0,7%,0)</f>
        <v>0</v>
      </c>
      <c r="L453" s="31">
        <f>IF(COUNTIFS(Addendum!C:C,A453,Addendum!D:D,IF(ISNUMBER(B453),TEXT(B453,"0000"),B453),Addendum!I:I,"X")&gt;0,10%,0)</f>
        <v>0</v>
      </c>
      <c r="M453" s="34">
        <f t="shared" si="14"/>
        <v>0</v>
      </c>
      <c r="N453" s="17">
        <f t="shared" si="15"/>
        <v>4053252</v>
      </c>
    </row>
    <row r="454" spans="1:14" x14ac:dyDescent="0.25">
      <c r="A454" s="14" t="s">
        <v>1852</v>
      </c>
      <c r="B454" s="14" t="s">
        <v>1731</v>
      </c>
      <c r="C454" s="15" t="s">
        <v>1984</v>
      </c>
      <c r="D454" s="14" t="s">
        <v>1749</v>
      </c>
      <c r="E454" s="14" t="s">
        <v>1746</v>
      </c>
      <c r="F454" s="17" t="s">
        <v>2994</v>
      </c>
      <c r="G454" s="14">
        <v>27456</v>
      </c>
      <c r="H454" s="14">
        <v>19219.2</v>
      </c>
      <c r="I454" s="31">
        <f>IF(COUNTIFS(Addendum!C:C,A454,Addendum!D:D,IF(ISNUMBER(B454),TEXT(B454,"0000"),B454),Addendum!E:E,"X")&gt;0,4%,0)</f>
        <v>0</v>
      </c>
      <c r="J454" s="31">
        <f>IF(COUNTIFS(Addendum!C:C,A454,Addendum!D:D,IF(ISNUMBER(B454),TEXT(B454,"0000"),B454),Addendum!F:F,"X")&gt;0,2.5%,0)</f>
        <v>0</v>
      </c>
      <c r="K454" s="31">
        <f>IF(COUNTIFS(Addendum!C:C,A454,Addendum!D:D,IF(ISNUMBER(B454),TEXT(B454,"0000"),B454),Addendum!G:G,"X")&gt;0,7%,0)</f>
        <v>0</v>
      </c>
      <c r="L454" s="31">
        <f>IF(COUNTIFS(Addendum!C:C,A454,Addendum!D:D,IF(ISNUMBER(B454),TEXT(B454,"0000"),B454),Addendum!I:I,"X")&gt;0,10%,0)</f>
        <v>0</v>
      </c>
      <c r="M454" s="34">
        <f t="shared" si="14"/>
        <v>0</v>
      </c>
      <c r="N454" s="17">
        <f t="shared" si="15"/>
        <v>19219.2</v>
      </c>
    </row>
    <row r="455" spans="1:14" x14ac:dyDescent="0.25">
      <c r="A455" s="14" t="s">
        <v>1852</v>
      </c>
      <c r="B455" s="14" t="s">
        <v>1949</v>
      </c>
      <c r="C455" s="15" t="s">
        <v>1950</v>
      </c>
      <c r="D455" s="14" t="s">
        <v>1745</v>
      </c>
      <c r="E455" s="14" t="s">
        <v>1746</v>
      </c>
      <c r="F455" s="17" t="s">
        <v>2994</v>
      </c>
      <c r="G455" s="14">
        <v>209664</v>
      </c>
      <c r="H455" s="14">
        <v>146764.79999999999</v>
      </c>
      <c r="I455" s="31">
        <f>IF(COUNTIFS(Addendum!C:C,A455,Addendum!D:D,IF(ISNUMBER(B455),TEXT(B455,"0000"),B455),Addendum!E:E,"X")&gt;0,4%,0)</f>
        <v>0</v>
      </c>
      <c r="J455" s="31">
        <f>IF(COUNTIFS(Addendum!C:C,A455,Addendum!D:D,IF(ISNUMBER(B455),TEXT(B455,"0000"),B455),Addendum!F:F,"X")&gt;0,2.5%,0)</f>
        <v>0</v>
      </c>
      <c r="K455" s="31">
        <f>IF(COUNTIFS(Addendum!C:C,A455,Addendum!D:D,IF(ISNUMBER(B455),TEXT(B455,"0000"),B455),Addendum!G:G,"X")&gt;0,7%,0)</f>
        <v>0</v>
      </c>
      <c r="L455" s="31">
        <f>IF(COUNTIFS(Addendum!C:C,A455,Addendum!D:D,IF(ISNUMBER(B455),TEXT(B455,"0000"),B455),Addendum!I:I,"X")&gt;0,10%,0)</f>
        <v>0</v>
      </c>
      <c r="M455" s="34">
        <f t="shared" si="14"/>
        <v>0</v>
      </c>
      <c r="N455" s="17">
        <f t="shared" si="15"/>
        <v>146764.79999999999</v>
      </c>
    </row>
    <row r="456" spans="1:14" x14ac:dyDescent="0.25">
      <c r="A456" s="14" t="s">
        <v>1852</v>
      </c>
      <c r="B456" s="14" t="s">
        <v>1636</v>
      </c>
      <c r="C456" s="15" t="s">
        <v>1985</v>
      </c>
      <c r="D456" s="14" t="s">
        <v>1749</v>
      </c>
      <c r="E456" s="14" t="s">
        <v>1746</v>
      </c>
      <c r="F456" s="17" t="s">
        <v>2994</v>
      </c>
      <c r="G456" s="14">
        <v>27456</v>
      </c>
      <c r="H456" s="14">
        <v>19219.2</v>
      </c>
      <c r="I456" s="31">
        <f>IF(COUNTIFS(Addendum!C:C,A456,Addendum!D:D,IF(ISNUMBER(B456),TEXT(B456,"0000"),B456),Addendum!E:E,"X")&gt;0,4%,0)</f>
        <v>0</v>
      </c>
      <c r="J456" s="31">
        <f>IF(COUNTIFS(Addendum!C:C,A456,Addendum!D:D,IF(ISNUMBER(B456),TEXT(B456,"0000"),B456),Addendum!F:F,"X")&gt;0,2.5%,0)</f>
        <v>0</v>
      </c>
      <c r="K456" s="31">
        <f>IF(COUNTIFS(Addendum!C:C,A456,Addendum!D:D,IF(ISNUMBER(B456),TEXT(B456,"0000"),B456),Addendum!G:G,"X")&gt;0,7%,0)</f>
        <v>0</v>
      </c>
      <c r="L456" s="31">
        <f>IF(COUNTIFS(Addendum!C:C,A456,Addendum!D:D,IF(ISNUMBER(B456),TEXT(B456,"0000"),B456),Addendum!I:I,"X")&gt;0,10%,0)</f>
        <v>0</v>
      </c>
      <c r="M456" s="34">
        <f t="shared" si="14"/>
        <v>0</v>
      </c>
      <c r="N456" s="17">
        <f t="shared" si="15"/>
        <v>19219.2</v>
      </c>
    </row>
    <row r="457" spans="1:14" x14ac:dyDescent="0.25">
      <c r="A457" s="14" t="s">
        <v>1852</v>
      </c>
      <c r="B457" s="14">
        <v>61</v>
      </c>
      <c r="C457" s="15" t="s">
        <v>1909</v>
      </c>
      <c r="D457" s="14" t="s">
        <v>1749</v>
      </c>
      <c r="E457" s="14" t="s">
        <v>1746</v>
      </c>
      <c r="F457" s="17" t="s">
        <v>2994</v>
      </c>
      <c r="G457" s="14">
        <v>19968</v>
      </c>
      <c r="H457" s="14">
        <v>13977.6</v>
      </c>
      <c r="I457" s="31">
        <f>IF(COUNTIFS(Addendum!C:C,A457,Addendum!D:D,IF(ISNUMBER(B457),TEXT(B457,"0000"),B457),Addendum!E:E,"X")&gt;0,4%,0)</f>
        <v>0</v>
      </c>
      <c r="J457" s="31">
        <f>IF(COUNTIFS(Addendum!C:C,A457,Addendum!D:D,IF(ISNUMBER(B457),TEXT(B457,"0000"),B457),Addendum!F:F,"X")&gt;0,2.5%,0)</f>
        <v>0</v>
      </c>
      <c r="K457" s="31">
        <f>IF(COUNTIFS(Addendum!C:C,A457,Addendum!D:D,IF(ISNUMBER(B457),TEXT(B457,"0000"),B457),Addendum!G:G,"X")&gt;0,7%,0)</f>
        <v>0</v>
      </c>
      <c r="L457" s="31">
        <f>IF(COUNTIFS(Addendum!C:C,A457,Addendum!D:D,IF(ISNUMBER(B457),TEXT(B457,"0000"),B457),Addendum!I:I,"X")&gt;0,10%,0)</f>
        <v>0</v>
      </c>
      <c r="M457" s="34">
        <f t="shared" si="14"/>
        <v>0</v>
      </c>
      <c r="N457" s="17">
        <f t="shared" si="15"/>
        <v>13977.6</v>
      </c>
    </row>
    <row r="458" spans="1:14" x14ac:dyDescent="0.25">
      <c r="A458" s="14" t="s">
        <v>1852</v>
      </c>
      <c r="B458" s="14">
        <v>81</v>
      </c>
      <c r="C458" s="15" t="s">
        <v>1986</v>
      </c>
      <c r="D458" s="14" t="s">
        <v>1745</v>
      </c>
      <c r="E458" s="14" t="s">
        <v>1747</v>
      </c>
      <c r="F458" s="17" t="s">
        <v>2994</v>
      </c>
      <c r="G458" s="14">
        <v>1597320</v>
      </c>
      <c r="H458" s="14">
        <v>1118124</v>
      </c>
      <c r="I458" s="31">
        <f>IF(COUNTIFS(Addendum!C:C,A458,Addendum!D:D,IF(ISNUMBER(B458),TEXT(B458,"0000"),B458),Addendum!E:E,"X")&gt;0,4%,0)</f>
        <v>0</v>
      </c>
      <c r="J458" s="31">
        <f>IF(COUNTIFS(Addendum!C:C,A458,Addendum!D:D,IF(ISNUMBER(B458),TEXT(B458,"0000"),B458),Addendum!F:F,"X")&gt;0,2.5%,0)</f>
        <v>0</v>
      </c>
      <c r="K458" s="31">
        <f>IF(COUNTIFS(Addendum!C:C,A458,Addendum!D:D,IF(ISNUMBER(B458),TEXT(B458,"0000"),B458),Addendum!G:G,"X")&gt;0,7%,0)</f>
        <v>0</v>
      </c>
      <c r="L458" s="31">
        <f>IF(COUNTIFS(Addendum!C:C,A458,Addendum!D:D,IF(ISNUMBER(B458),TEXT(B458,"0000"),B458),Addendum!I:I,"X")&gt;0,10%,0)</f>
        <v>0</v>
      </c>
      <c r="M458" s="34">
        <f t="shared" si="14"/>
        <v>0</v>
      </c>
      <c r="N458" s="17">
        <f t="shared" si="15"/>
        <v>1118124</v>
      </c>
    </row>
    <row r="459" spans="1:14" x14ac:dyDescent="0.25">
      <c r="A459" s="14" t="s">
        <v>1852</v>
      </c>
      <c r="B459" s="14" t="s">
        <v>1632</v>
      </c>
      <c r="C459" s="15" t="s">
        <v>1987</v>
      </c>
      <c r="D459" s="14" t="s">
        <v>1745</v>
      </c>
      <c r="E459" s="14" t="s">
        <v>1747</v>
      </c>
      <c r="F459" s="17" t="s">
        <v>2995</v>
      </c>
      <c r="G459" s="14">
        <v>149760</v>
      </c>
      <c r="H459" s="14">
        <v>134784</v>
      </c>
      <c r="I459" s="31">
        <f>IF(COUNTIFS(Addendum!C:C,A459,Addendum!D:D,IF(ISNUMBER(B459),TEXT(B459,"0000"),B459),Addendum!E:E,"X")&gt;0,4%,0)</f>
        <v>0</v>
      </c>
      <c r="J459" s="31">
        <f>IF(COUNTIFS(Addendum!C:C,A459,Addendum!D:D,IF(ISNUMBER(B459),TEXT(B459,"0000"),B459),Addendum!F:F,"X")&gt;0,2.5%,0)</f>
        <v>0</v>
      </c>
      <c r="K459" s="31">
        <f>IF(COUNTIFS(Addendum!C:C,A459,Addendum!D:D,IF(ISNUMBER(B459),TEXT(B459,"0000"),B459),Addendum!G:G,"X")&gt;0,7%,0)</f>
        <v>0</v>
      </c>
      <c r="L459" s="31">
        <f>IF(COUNTIFS(Addendum!C:C,A459,Addendum!D:D,IF(ISNUMBER(B459),TEXT(B459,"0000"),B459),Addendum!I:I,"X")&gt;0,10%,0)</f>
        <v>0</v>
      </c>
      <c r="M459" s="34">
        <f t="shared" si="14"/>
        <v>0</v>
      </c>
      <c r="N459" s="17">
        <f t="shared" si="15"/>
        <v>134784</v>
      </c>
    </row>
    <row r="460" spans="1:14" x14ac:dyDescent="0.25">
      <c r="A460" s="14" t="s">
        <v>1852</v>
      </c>
      <c r="B460" s="14" t="s">
        <v>1651</v>
      </c>
      <c r="C460" s="15" t="s">
        <v>1971</v>
      </c>
      <c r="D460" s="14" t="s">
        <v>1745</v>
      </c>
      <c r="E460" s="14" t="s">
        <v>1747</v>
      </c>
      <c r="F460" s="17" t="s">
        <v>2994</v>
      </c>
      <c r="G460" s="14">
        <v>199680</v>
      </c>
      <c r="H460" s="14">
        <v>139776</v>
      </c>
      <c r="I460" s="31">
        <f>IF(COUNTIFS(Addendum!C:C,A460,Addendum!D:D,IF(ISNUMBER(B460),TEXT(B460,"0000"),B460),Addendum!E:E,"X")&gt;0,4%,0)</f>
        <v>0</v>
      </c>
      <c r="J460" s="31">
        <f>IF(COUNTIFS(Addendum!C:C,A460,Addendum!D:D,IF(ISNUMBER(B460),TEXT(B460,"0000"),B460),Addendum!F:F,"X")&gt;0,2.5%,0)</f>
        <v>0</v>
      </c>
      <c r="K460" s="31">
        <f>IF(COUNTIFS(Addendum!C:C,A460,Addendum!D:D,IF(ISNUMBER(B460),TEXT(B460,"0000"),B460),Addendum!G:G,"X")&gt;0,7%,0)</f>
        <v>0</v>
      </c>
      <c r="L460" s="31">
        <f>IF(COUNTIFS(Addendum!C:C,A460,Addendum!D:D,IF(ISNUMBER(B460),TEXT(B460,"0000"),B460),Addendum!I:I,"X")&gt;0,10%,0)</f>
        <v>0</v>
      </c>
      <c r="M460" s="34">
        <f t="shared" si="14"/>
        <v>0</v>
      </c>
      <c r="N460" s="17">
        <f t="shared" si="15"/>
        <v>139776</v>
      </c>
    </row>
    <row r="461" spans="1:14" x14ac:dyDescent="0.25">
      <c r="A461" s="14" t="s">
        <v>1852</v>
      </c>
      <c r="B461" s="14" t="s">
        <v>195</v>
      </c>
      <c r="C461" s="15" t="s">
        <v>1988</v>
      </c>
      <c r="D461" s="14" t="s">
        <v>1745</v>
      </c>
      <c r="E461" s="14" t="s">
        <v>1746</v>
      </c>
      <c r="F461" s="17" t="s">
        <v>2993</v>
      </c>
      <c r="G461" s="14">
        <v>15199695</v>
      </c>
      <c r="H461" s="14">
        <v>10639787</v>
      </c>
      <c r="I461" s="31">
        <f>IF(COUNTIFS(Addendum!C:C,A461,Addendum!D:D,IF(ISNUMBER(B461),TEXT(B461,"0000"),B461),Addendum!E:E,"X")&gt;0,4%,0)</f>
        <v>0</v>
      </c>
      <c r="J461" s="31">
        <f>IF(COUNTIFS(Addendum!C:C,A461,Addendum!D:D,IF(ISNUMBER(B461),TEXT(B461,"0000"),B461),Addendum!F:F,"X")&gt;0,2.5%,0)</f>
        <v>0</v>
      </c>
      <c r="K461" s="31">
        <f>IF(COUNTIFS(Addendum!C:C,A461,Addendum!D:D,IF(ISNUMBER(B461),TEXT(B461,"0000"),B461),Addendum!G:G,"X")&gt;0,7%,0)</f>
        <v>0</v>
      </c>
      <c r="L461" s="31">
        <f>IF(COUNTIFS(Addendum!C:C,A461,Addendum!D:D,IF(ISNUMBER(B461),TEXT(B461,"0000"),B461),Addendum!I:I,"X")&gt;0,10%,0)</f>
        <v>0</v>
      </c>
      <c r="M461" s="34">
        <f t="shared" si="14"/>
        <v>0</v>
      </c>
      <c r="N461" s="17">
        <f t="shared" si="15"/>
        <v>10639787</v>
      </c>
    </row>
    <row r="462" spans="1:14" x14ac:dyDescent="0.25">
      <c r="A462" s="14" t="s">
        <v>1852</v>
      </c>
      <c r="B462" s="14">
        <v>69</v>
      </c>
      <c r="C462" s="15" t="s">
        <v>1956</v>
      </c>
      <c r="D462" s="14" t="s">
        <v>1749</v>
      </c>
      <c r="E462" s="14" t="s">
        <v>1746</v>
      </c>
      <c r="F462" s="17" t="s">
        <v>2995</v>
      </c>
      <c r="G462" s="14">
        <v>14976</v>
      </c>
      <c r="H462" s="14">
        <v>13478.4</v>
      </c>
      <c r="I462" s="31">
        <f>IF(COUNTIFS(Addendum!C:C,A462,Addendum!D:D,IF(ISNUMBER(B462),TEXT(B462,"0000"),B462),Addendum!E:E,"X")&gt;0,4%,0)</f>
        <v>0</v>
      </c>
      <c r="J462" s="31">
        <f>IF(COUNTIFS(Addendum!C:C,A462,Addendum!D:D,IF(ISNUMBER(B462),TEXT(B462,"0000"),B462),Addendum!F:F,"X")&gt;0,2.5%,0)</f>
        <v>0</v>
      </c>
      <c r="K462" s="31">
        <f>IF(COUNTIFS(Addendum!C:C,A462,Addendum!D:D,IF(ISNUMBER(B462),TEXT(B462,"0000"),B462),Addendum!G:G,"X")&gt;0,7%,0)</f>
        <v>0</v>
      </c>
      <c r="L462" s="31">
        <f>IF(COUNTIFS(Addendum!C:C,A462,Addendum!D:D,IF(ISNUMBER(B462),TEXT(B462,"0000"),B462),Addendum!I:I,"X")&gt;0,10%,0)</f>
        <v>0</v>
      </c>
      <c r="M462" s="34">
        <f t="shared" si="14"/>
        <v>0</v>
      </c>
      <c r="N462" s="17">
        <f t="shared" si="15"/>
        <v>13478.4</v>
      </c>
    </row>
    <row r="463" spans="1:14" x14ac:dyDescent="0.25">
      <c r="A463" s="14" t="s">
        <v>1850</v>
      </c>
      <c r="B463" s="14">
        <v>2</v>
      </c>
      <c r="C463" s="15" t="s">
        <v>1948</v>
      </c>
      <c r="D463" s="14" t="s">
        <v>1752</v>
      </c>
      <c r="E463" s="14" t="s">
        <v>1753</v>
      </c>
      <c r="F463" s="17" t="s">
        <v>2993</v>
      </c>
      <c r="G463" s="14">
        <v>628920</v>
      </c>
      <c r="H463" s="14">
        <v>440244</v>
      </c>
      <c r="I463" s="31">
        <f>IF(COUNTIFS(Addendum!C:C,A463,Addendum!D:D,IF(ISNUMBER(B463),TEXT(B463,"0000"),B463),Addendum!E:E,"X")&gt;0,4%,0)</f>
        <v>0</v>
      </c>
      <c r="J463" s="31">
        <f>IF(COUNTIFS(Addendum!C:C,A463,Addendum!D:D,IF(ISNUMBER(B463),TEXT(B463,"0000"),B463),Addendum!F:F,"X")&gt;0,2.5%,0)</f>
        <v>0</v>
      </c>
      <c r="K463" s="31">
        <f>IF(COUNTIFS(Addendum!C:C,A463,Addendum!D:D,IF(ISNUMBER(B463),TEXT(B463,"0000"),B463),Addendum!G:G,"X")&gt;0,7%,0)</f>
        <v>0</v>
      </c>
      <c r="L463" s="31">
        <f>IF(COUNTIFS(Addendum!C:C,A463,Addendum!D:D,IF(ISNUMBER(B463),TEXT(B463,"0000"),B463),Addendum!I:I,"X")&gt;0,10%,0)</f>
        <v>0</v>
      </c>
      <c r="M463" s="34">
        <f t="shared" si="14"/>
        <v>0</v>
      </c>
      <c r="N463" s="17">
        <f t="shared" si="15"/>
        <v>440244</v>
      </c>
    </row>
    <row r="464" spans="1:14" x14ac:dyDescent="0.25">
      <c r="A464" s="14" t="s">
        <v>1852</v>
      </c>
      <c r="B464" s="14" t="s">
        <v>1639</v>
      </c>
      <c r="C464" s="15" t="s">
        <v>1959</v>
      </c>
      <c r="D464" s="14" t="s">
        <v>1745</v>
      </c>
      <c r="E464" s="14" t="s">
        <v>1746</v>
      </c>
      <c r="F464" s="17" t="s">
        <v>2994</v>
      </c>
      <c r="G464" s="14">
        <v>8359848</v>
      </c>
      <c r="H464" s="14">
        <v>5851894</v>
      </c>
      <c r="I464" s="31">
        <f>IF(COUNTIFS(Addendum!C:C,A464,Addendum!D:D,IF(ISNUMBER(B464),TEXT(B464,"0000"),B464),Addendum!E:E,"X")&gt;0,4%,0)</f>
        <v>0</v>
      </c>
      <c r="J464" s="31">
        <f>IF(COUNTIFS(Addendum!C:C,A464,Addendum!D:D,IF(ISNUMBER(B464),TEXT(B464,"0000"),B464),Addendum!F:F,"X")&gt;0,2.5%,0)</f>
        <v>0</v>
      </c>
      <c r="K464" s="31">
        <f>IF(COUNTIFS(Addendum!C:C,A464,Addendum!D:D,IF(ISNUMBER(B464),TEXT(B464,"0000"),B464),Addendum!G:G,"X")&gt;0,7%,0)</f>
        <v>0</v>
      </c>
      <c r="L464" s="31">
        <f>IF(COUNTIFS(Addendum!C:C,A464,Addendum!D:D,IF(ISNUMBER(B464),TEXT(B464,"0000"),B464),Addendum!I:I,"X")&gt;0,10%,0)</f>
        <v>0</v>
      </c>
      <c r="M464" s="34">
        <f t="shared" si="14"/>
        <v>0</v>
      </c>
      <c r="N464" s="17">
        <f t="shared" si="15"/>
        <v>5851894</v>
      </c>
    </row>
    <row r="465" spans="1:14" x14ac:dyDescent="0.25">
      <c r="A465" s="14" t="s">
        <v>1852</v>
      </c>
      <c r="B465" s="14">
        <v>14</v>
      </c>
      <c r="C465" s="15" t="s">
        <v>1989</v>
      </c>
      <c r="D465" s="14" t="s">
        <v>1749</v>
      </c>
      <c r="E465" s="14" t="s">
        <v>1746</v>
      </c>
      <c r="F465" s="17" t="s">
        <v>2993</v>
      </c>
      <c r="G465" s="14">
        <v>49914</v>
      </c>
      <c r="H465" s="14">
        <v>34939.800000000003</v>
      </c>
      <c r="I465" s="31">
        <f>IF(COUNTIFS(Addendum!C:C,A465,Addendum!D:D,IF(ISNUMBER(B465),TEXT(B465,"0000"),B465),Addendum!E:E,"X")&gt;0,4%,0)</f>
        <v>0</v>
      </c>
      <c r="J465" s="31">
        <f>IF(COUNTIFS(Addendum!C:C,A465,Addendum!D:D,IF(ISNUMBER(B465),TEXT(B465,"0000"),B465),Addendum!F:F,"X")&gt;0,2.5%,0)</f>
        <v>0</v>
      </c>
      <c r="K465" s="31">
        <f>IF(COUNTIFS(Addendum!C:C,A465,Addendum!D:D,IF(ISNUMBER(B465),TEXT(B465,"0000"),B465),Addendum!G:G,"X")&gt;0,7%,0)</f>
        <v>0</v>
      </c>
      <c r="L465" s="31">
        <f>IF(COUNTIFS(Addendum!C:C,A465,Addendum!D:D,IF(ISNUMBER(B465),TEXT(B465,"0000"),B465),Addendum!I:I,"X")&gt;0,10%,0)</f>
        <v>0</v>
      </c>
      <c r="M465" s="34">
        <f t="shared" si="14"/>
        <v>0</v>
      </c>
      <c r="N465" s="17">
        <f t="shared" si="15"/>
        <v>34939.800000000003</v>
      </c>
    </row>
    <row r="466" spans="1:14" x14ac:dyDescent="0.25">
      <c r="A466" s="14" t="s">
        <v>1852</v>
      </c>
      <c r="B466" s="14" t="s">
        <v>1628</v>
      </c>
      <c r="C466" s="15" t="s">
        <v>1990</v>
      </c>
      <c r="D466" s="14" t="s">
        <v>1745</v>
      </c>
      <c r="E466" s="14" t="s">
        <v>1746</v>
      </c>
      <c r="F466" s="17" t="s">
        <v>2994</v>
      </c>
      <c r="G466" s="14">
        <v>288288</v>
      </c>
      <c r="H466" s="14">
        <v>201801.60000000001</v>
      </c>
      <c r="I466" s="31">
        <f>IF(COUNTIFS(Addendum!C:C,A466,Addendum!D:D,IF(ISNUMBER(B466),TEXT(B466,"0000"),B466),Addendum!E:E,"X")&gt;0,4%,0)</f>
        <v>0</v>
      </c>
      <c r="J466" s="31">
        <f>IF(COUNTIFS(Addendum!C:C,A466,Addendum!D:D,IF(ISNUMBER(B466),TEXT(B466,"0000"),B466),Addendum!F:F,"X")&gt;0,2.5%,0)</f>
        <v>0</v>
      </c>
      <c r="K466" s="31">
        <f>IF(COUNTIFS(Addendum!C:C,A466,Addendum!D:D,IF(ISNUMBER(B466),TEXT(B466,"0000"),B466),Addendum!G:G,"X")&gt;0,7%,0)</f>
        <v>0</v>
      </c>
      <c r="L466" s="31">
        <f>IF(COUNTIFS(Addendum!C:C,A466,Addendum!D:D,IF(ISNUMBER(B466),TEXT(B466,"0000"),B466),Addendum!I:I,"X")&gt;0,10%,0)</f>
        <v>0</v>
      </c>
      <c r="M466" s="34">
        <f t="shared" si="14"/>
        <v>0</v>
      </c>
      <c r="N466" s="17">
        <f t="shared" si="15"/>
        <v>201801.60000000001</v>
      </c>
    </row>
    <row r="467" spans="1:14" x14ac:dyDescent="0.25">
      <c r="A467" s="14" t="s">
        <v>1852</v>
      </c>
      <c r="B467" s="14" t="s">
        <v>1991</v>
      </c>
      <c r="C467" s="15" t="s">
        <v>1992</v>
      </c>
      <c r="D467" s="14" t="s">
        <v>1745</v>
      </c>
      <c r="E467" s="14" t="s">
        <v>1747</v>
      </c>
      <c r="F467" s="17" t="s">
        <v>2994</v>
      </c>
      <c r="G467" s="14">
        <v>7961760</v>
      </c>
      <c r="H467" s="14">
        <v>5573232</v>
      </c>
      <c r="I467" s="31">
        <f>IF(COUNTIFS(Addendum!C:C,A467,Addendum!D:D,IF(ISNUMBER(B467),TEXT(B467,"0000"),B467),Addendum!E:E,"X")&gt;0,4%,0)</f>
        <v>0</v>
      </c>
      <c r="J467" s="31">
        <f>IF(COUNTIFS(Addendum!C:C,A467,Addendum!D:D,IF(ISNUMBER(B467),TEXT(B467,"0000"),B467),Addendum!F:F,"X")&gt;0,2.5%,0)</f>
        <v>0</v>
      </c>
      <c r="K467" s="31">
        <f>IF(COUNTIFS(Addendum!C:C,A467,Addendum!D:D,IF(ISNUMBER(B467),TEXT(B467,"0000"),B467),Addendum!G:G,"X")&gt;0,7%,0)</f>
        <v>0</v>
      </c>
      <c r="L467" s="31">
        <f>IF(COUNTIFS(Addendum!C:C,A467,Addendum!D:D,IF(ISNUMBER(B467),TEXT(B467,"0000"),B467),Addendum!I:I,"X")&gt;0,10%,0)</f>
        <v>0</v>
      </c>
      <c r="M467" s="34">
        <f t="shared" si="14"/>
        <v>0</v>
      </c>
      <c r="N467" s="17">
        <f t="shared" si="15"/>
        <v>5573232</v>
      </c>
    </row>
    <row r="468" spans="1:14" x14ac:dyDescent="0.25">
      <c r="A468" s="14" t="s">
        <v>1852</v>
      </c>
      <c r="B468" s="14">
        <v>51</v>
      </c>
      <c r="C468" s="15" t="s">
        <v>1960</v>
      </c>
      <c r="D468" s="14" t="s">
        <v>1745</v>
      </c>
      <c r="E468" s="14" t="s">
        <v>1746</v>
      </c>
      <c r="F468" s="17" t="s">
        <v>2994</v>
      </c>
      <c r="G468" s="14">
        <v>12998349</v>
      </c>
      <c r="H468" s="14">
        <v>9098844</v>
      </c>
      <c r="I468" s="31">
        <f>IF(COUNTIFS(Addendum!C:C,A468,Addendum!D:D,IF(ISNUMBER(B468),TEXT(B468,"0000"),B468),Addendum!E:E,"X")&gt;0,4%,0)</f>
        <v>0</v>
      </c>
      <c r="J468" s="31">
        <f>IF(COUNTIFS(Addendum!C:C,A468,Addendum!D:D,IF(ISNUMBER(B468),TEXT(B468,"0000"),B468),Addendum!F:F,"X")&gt;0,2.5%,0)</f>
        <v>0</v>
      </c>
      <c r="K468" s="31">
        <f>IF(COUNTIFS(Addendum!C:C,A468,Addendum!D:D,IF(ISNUMBER(B468),TEXT(B468,"0000"),B468),Addendum!G:G,"X")&gt;0,7%,0)</f>
        <v>0</v>
      </c>
      <c r="L468" s="31">
        <f>IF(COUNTIFS(Addendum!C:C,A468,Addendum!D:D,IF(ISNUMBER(B468),TEXT(B468,"0000"),B468),Addendum!I:I,"X")&gt;0,10%,0)</f>
        <v>0</v>
      </c>
      <c r="M468" s="34">
        <f t="shared" si="14"/>
        <v>0</v>
      </c>
      <c r="N468" s="17">
        <f t="shared" si="15"/>
        <v>9098844</v>
      </c>
    </row>
    <row r="469" spans="1:14" x14ac:dyDescent="0.25">
      <c r="A469" s="14" t="s">
        <v>1852</v>
      </c>
      <c r="B469" s="14" t="s">
        <v>1634</v>
      </c>
      <c r="C469" s="15" t="s">
        <v>1869</v>
      </c>
      <c r="D469" s="14" t="s">
        <v>1745</v>
      </c>
      <c r="E469" s="14" t="s">
        <v>1746</v>
      </c>
      <c r="F469" s="17" t="s">
        <v>2994</v>
      </c>
      <c r="G469" s="14">
        <v>209664</v>
      </c>
      <c r="H469" s="14">
        <v>146764.79999999999</v>
      </c>
      <c r="I469" s="31">
        <f>IF(COUNTIFS(Addendum!C:C,A469,Addendum!D:D,IF(ISNUMBER(B469),TEXT(B469,"0000"),B469),Addendum!E:E,"X")&gt;0,4%,0)</f>
        <v>0</v>
      </c>
      <c r="J469" s="31">
        <f>IF(COUNTIFS(Addendum!C:C,A469,Addendum!D:D,IF(ISNUMBER(B469),TEXT(B469,"0000"),B469),Addendum!F:F,"X")&gt;0,2.5%,0)</f>
        <v>0</v>
      </c>
      <c r="K469" s="31">
        <f>IF(COUNTIFS(Addendum!C:C,A469,Addendum!D:D,IF(ISNUMBER(B469),TEXT(B469,"0000"),B469),Addendum!G:G,"X")&gt;0,7%,0)</f>
        <v>0</v>
      </c>
      <c r="L469" s="31">
        <f>IF(COUNTIFS(Addendum!C:C,A469,Addendum!D:D,IF(ISNUMBER(B469),TEXT(B469,"0000"),B469),Addendum!I:I,"X")&gt;0,10%,0)</f>
        <v>0</v>
      </c>
      <c r="M469" s="34">
        <f t="shared" si="14"/>
        <v>0</v>
      </c>
      <c r="N469" s="17">
        <f t="shared" si="15"/>
        <v>146764.79999999999</v>
      </c>
    </row>
    <row r="470" spans="1:14" x14ac:dyDescent="0.25">
      <c r="A470" s="14" t="s">
        <v>1852</v>
      </c>
      <c r="B470" s="14" t="s">
        <v>24</v>
      </c>
      <c r="C470" s="15" t="s">
        <v>1993</v>
      </c>
      <c r="D470" s="14" t="s">
        <v>1749</v>
      </c>
      <c r="E470" s="14" t="s">
        <v>1746</v>
      </c>
      <c r="F470" s="17" t="s">
        <v>2993</v>
      </c>
      <c r="G470" s="14">
        <v>49914</v>
      </c>
      <c r="H470" s="14">
        <v>34939.800000000003</v>
      </c>
      <c r="I470" s="31">
        <f>IF(COUNTIFS(Addendum!C:C,A470,Addendum!D:D,IF(ISNUMBER(B470),TEXT(B470,"0000"),B470),Addendum!E:E,"X")&gt;0,4%,0)</f>
        <v>0</v>
      </c>
      <c r="J470" s="31">
        <f>IF(COUNTIFS(Addendum!C:C,A470,Addendum!D:D,IF(ISNUMBER(B470),TEXT(B470,"0000"),B470),Addendum!F:F,"X")&gt;0,2.5%,0)</f>
        <v>0</v>
      </c>
      <c r="K470" s="31">
        <f>IF(COUNTIFS(Addendum!C:C,A470,Addendum!D:D,IF(ISNUMBER(B470),TEXT(B470,"0000"),B470),Addendum!G:G,"X")&gt;0,7%,0)</f>
        <v>0</v>
      </c>
      <c r="L470" s="31">
        <f>IF(COUNTIFS(Addendum!C:C,A470,Addendum!D:D,IF(ISNUMBER(B470),TEXT(B470,"0000"),B470),Addendum!I:I,"X")&gt;0,10%,0)</f>
        <v>0</v>
      </c>
      <c r="M470" s="34">
        <f t="shared" si="14"/>
        <v>0</v>
      </c>
      <c r="N470" s="17">
        <f t="shared" si="15"/>
        <v>34939.800000000003</v>
      </c>
    </row>
    <row r="471" spans="1:14" x14ac:dyDescent="0.25">
      <c r="A471" s="14" t="s">
        <v>1852</v>
      </c>
      <c r="B471" s="14" t="s">
        <v>20</v>
      </c>
      <c r="C471" s="15" t="s">
        <v>1978</v>
      </c>
      <c r="D471" s="14" t="s">
        <v>1749</v>
      </c>
      <c r="E471" s="14" t="s">
        <v>1746</v>
      </c>
      <c r="F471" s="17" t="s">
        <v>2993</v>
      </c>
      <c r="G471" s="14">
        <v>399336</v>
      </c>
      <c r="H471" s="14">
        <v>279535.2</v>
      </c>
      <c r="I471" s="31">
        <f>IF(COUNTIFS(Addendum!C:C,A471,Addendum!D:D,IF(ISNUMBER(B471),TEXT(B471,"0000"),B471),Addendum!E:E,"X")&gt;0,4%,0)</f>
        <v>0</v>
      </c>
      <c r="J471" s="31">
        <f>IF(COUNTIFS(Addendum!C:C,A471,Addendum!D:D,IF(ISNUMBER(B471),TEXT(B471,"0000"),B471),Addendum!F:F,"X")&gt;0,2.5%,0)</f>
        <v>0</v>
      </c>
      <c r="K471" s="31">
        <f>IF(COUNTIFS(Addendum!C:C,A471,Addendum!D:D,IF(ISNUMBER(B471),TEXT(B471,"0000"),B471),Addendum!G:G,"X")&gt;0,7%,0)</f>
        <v>0</v>
      </c>
      <c r="L471" s="31">
        <f>IF(COUNTIFS(Addendum!C:C,A471,Addendum!D:D,IF(ISNUMBER(B471),TEXT(B471,"0000"),B471),Addendum!I:I,"X")&gt;0,10%,0)</f>
        <v>0</v>
      </c>
      <c r="M471" s="34">
        <f t="shared" si="14"/>
        <v>0</v>
      </c>
      <c r="N471" s="17">
        <f t="shared" si="15"/>
        <v>279535.2</v>
      </c>
    </row>
    <row r="472" spans="1:14" x14ac:dyDescent="0.25">
      <c r="A472" s="14" t="s">
        <v>1850</v>
      </c>
      <c r="B472" s="14">
        <v>1</v>
      </c>
      <c r="C472" s="15" t="s">
        <v>1851</v>
      </c>
      <c r="D472" s="14" t="s">
        <v>1752</v>
      </c>
      <c r="E472" s="14" t="s">
        <v>1746</v>
      </c>
      <c r="F472" s="17" t="s">
        <v>2993</v>
      </c>
      <c r="G472" s="14">
        <v>94311</v>
      </c>
      <c r="H472" s="14">
        <v>66017.88</v>
      </c>
      <c r="I472" s="31">
        <f>IF(COUNTIFS(Addendum!C:C,A472,Addendum!D:D,IF(ISNUMBER(B472),TEXT(B472,"0000"),B472),Addendum!E:E,"X")&gt;0,4%,0)</f>
        <v>0</v>
      </c>
      <c r="J472" s="31">
        <f>IF(COUNTIFS(Addendum!C:C,A472,Addendum!D:D,IF(ISNUMBER(B472),TEXT(B472,"0000"),B472),Addendum!F:F,"X")&gt;0,2.5%,0)</f>
        <v>0</v>
      </c>
      <c r="K472" s="31">
        <f>IF(COUNTIFS(Addendum!C:C,A472,Addendum!D:D,IF(ISNUMBER(B472),TEXT(B472,"0000"),B472),Addendum!G:G,"X")&gt;0,7%,0)</f>
        <v>0</v>
      </c>
      <c r="L472" s="31">
        <f>IF(COUNTIFS(Addendum!C:C,A472,Addendum!D:D,IF(ISNUMBER(B472),TEXT(B472,"0000"),B472),Addendum!I:I,"X")&gt;0,10%,0)</f>
        <v>0</v>
      </c>
      <c r="M472" s="34">
        <f t="shared" si="14"/>
        <v>0</v>
      </c>
      <c r="N472" s="17">
        <f t="shared" si="15"/>
        <v>66017.88</v>
      </c>
    </row>
    <row r="473" spans="1:14" x14ac:dyDescent="0.25">
      <c r="A473" s="14" t="s">
        <v>1852</v>
      </c>
      <c r="B473" s="14">
        <v>64</v>
      </c>
      <c r="C473" s="15" t="s">
        <v>1865</v>
      </c>
      <c r="D473" s="14" t="s">
        <v>1749</v>
      </c>
      <c r="E473" s="14" t="s">
        <v>1746</v>
      </c>
      <c r="F473" s="17" t="s">
        <v>2994</v>
      </c>
      <c r="G473" s="14">
        <v>19968</v>
      </c>
      <c r="H473" s="14">
        <v>13977.6</v>
      </c>
      <c r="I473" s="31">
        <f>IF(COUNTIFS(Addendum!C:C,A473,Addendum!D:D,IF(ISNUMBER(B473),TEXT(B473,"0000"),B473),Addendum!E:E,"X")&gt;0,4%,0)</f>
        <v>0</v>
      </c>
      <c r="J473" s="31">
        <f>IF(COUNTIFS(Addendum!C:C,A473,Addendum!D:D,IF(ISNUMBER(B473),TEXT(B473,"0000"),B473),Addendum!F:F,"X")&gt;0,2.5%,0)</f>
        <v>0</v>
      </c>
      <c r="K473" s="31">
        <f>IF(COUNTIFS(Addendum!C:C,A473,Addendum!D:D,IF(ISNUMBER(B473),TEXT(B473,"0000"),B473),Addendum!G:G,"X")&gt;0,7%,0)</f>
        <v>0</v>
      </c>
      <c r="L473" s="31">
        <f>IF(COUNTIFS(Addendum!C:C,A473,Addendum!D:D,IF(ISNUMBER(B473),TEXT(B473,"0000"),B473),Addendum!I:I,"X")&gt;0,10%,0)</f>
        <v>0</v>
      </c>
      <c r="M473" s="34">
        <f t="shared" si="14"/>
        <v>0</v>
      </c>
      <c r="N473" s="17">
        <f t="shared" si="15"/>
        <v>13977.6</v>
      </c>
    </row>
    <row r="474" spans="1:14" ht="30" x14ac:dyDescent="0.25">
      <c r="A474" s="14" t="s">
        <v>1850</v>
      </c>
      <c r="B474" s="14" t="s">
        <v>39</v>
      </c>
      <c r="C474" s="15" t="s">
        <v>1854</v>
      </c>
      <c r="D474" s="14" t="s">
        <v>1745</v>
      </c>
      <c r="E474" s="14" t="s">
        <v>1747</v>
      </c>
      <c r="F474" s="17" t="s">
        <v>2994</v>
      </c>
      <c r="G474" s="14">
        <v>12000</v>
      </c>
      <c r="H474" s="14">
        <v>8400</v>
      </c>
      <c r="I474" s="31">
        <f>IF(COUNTIFS(Addendum!C:C,A474,Addendum!D:D,IF(ISNUMBER(B474),TEXT(B474,"0000"),B474),Addendum!E:E,"X")&gt;0,4%,0)</f>
        <v>0</v>
      </c>
      <c r="J474" s="31">
        <f>IF(COUNTIFS(Addendum!C:C,A474,Addendum!D:D,IF(ISNUMBER(B474),TEXT(B474,"0000"),B474),Addendum!F:F,"X")&gt;0,2.5%,0)</f>
        <v>0</v>
      </c>
      <c r="K474" s="31">
        <f>IF(COUNTIFS(Addendum!C:C,A474,Addendum!D:D,IF(ISNUMBER(B474),TEXT(B474,"0000"),B474),Addendum!G:G,"X")&gt;0,7%,0)</f>
        <v>0</v>
      </c>
      <c r="L474" s="31">
        <f>IF(COUNTIFS(Addendum!C:C,A474,Addendum!D:D,IF(ISNUMBER(B474),TEXT(B474,"0000"),B474),Addendum!I:I,"X")&gt;0,10%,0)</f>
        <v>0</v>
      </c>
      <c r="M474" s="34">
        <f t="shared" si="14"/>
        <v>0</v>
      </c>
      <c r="N474" s="17">
        <f t="shared" si="15"/>
        <v>8400</v>
      </c>
    </row>
    <row r="475" spans="1:14" x14ac:dyDescent="0.25">
      <c r="A475" s="14" t="s">
        <v>1852</v>
      </c>
      <c r="B475" s="14">
        <v>13</v>
      </c>
      <c r="C475" s="15" t="s">
        <v>1863</v>
      </c>
      <c r="D475" s="14" t="s">
        <v>1745</v>
      </c>
      <c r="E475" s="14" t="s">
        <v>1746</v>
      </c>
      <c r="F475" s="17" t="s">
        <v>2993</v>
      </c>
      <c r="G475" s="14">
        <v>4193028</v>
      </c>
      <c r="H475" s="14">
        <v>2935120</v>
      </c>
      <c r="I475" s="31">
        <f>IF(COUNTIFS(Addendum!C:C,A475,Addendum!D:D,IF(ISNUMBER(B475),TEXT(B475,"0000"),B475),Addendum!E:E,"X")&gt;0,4%,0)</f>
        <v>0</v>
      </c>
      <c r="J475" s="31">
        <f>IF(COUNTIFS(Addendum!C:C,A475,Addendum!D:D,IF(ISNUMBER(B475),TEXT(B475,"0000"),B475),Addendum!F:F,"X")&gt;0,2.5%,0)</f>
        <v>0</v>
      </c>
      <c r="K475" s="31">
        <f>IF(COUNTIFS(Addendum!C:C,A475,Addendum!D:D,IF(ISNUMBER(B475),TEXT(B475,"0000"),B475),Addendum!G:G,"X")&gt;0,7%,0)</f>
        <v>0</v>
      </c>
      <c r="L475" s="31">
        <f>IF(COUNTIFS(Addendum!C:C,A475,Addendum!D:D,IF(ISNUMBER(B475),TEXT(B475,"0000"),B475),Addendum!I:I,"X")&gt;0,10%,0)</f>
        <v>0</v>
      </c>
      <c r="M475" s="34">
        <f t="shared" si="14"/>
        <v>0</v>
      </c>
      <c r="N475" s="17">
        <f t="shared" si="15"/>
        <v>2935120</v>
      </c>
    </row>
    <row r="476" spans="1:14" x14ac:dyDescent="0.25">
      <c r="A476" s="14" t="s">
        <v>1852</v>
      </c>
      <c r="B476" s="14" t="s">
        <v>417</v>
      </c>
      <c r="C476" s="15" t="s">
        <v>1868</v>
      </c>
      <c r="D476" s="14" t="s">
        <v>1745</v>
      </c>
      <c r="E476" s="14" t="s">
        <v>1747</v>
      </c>
      <c r="F476" s="17" t="s">
        <v>2995</v>
      </c>
      <c r="G476" s="14">
        <v>4342740</v>
      </c>
      <c r="H476" s="14">
        <v>3908466</v>
      </c>
      <c r="I476" s="31">
        <f>IF(COUNTIFS(Addendum!C:C,A476,Addendum!D:D,IF(ISNUMBER(B476),TEXT(B476,"0000"),B476),Addendum!E:E,"X")&gt;0,4%,0)</f>
        <v>0</v>
      </c>
      <c r="J476" s="31">
        <f>IF(COUNTIFS(Addendum!C:C,A476,Addendum!D:D,IF(ISNUMBER(B476),TEXT(B476,"0000"),B476),Addendum!F:F,"X")&gt;0,2.5%,0)</f>
        <v>0</v>
      </c>
      <c r="K476" s="31">
        <f>IF(COUNTIFS(Addendum!C:C,A476,Addendum!D:D,IF(ISNUMBER(B476),TEXT(B476,"0000"),B476),Addendum!G:G,"X")&gt;0,7%,0)</f>
        <v>0</v>
      </c>
      <c r="L476" s="31">
        <f>IF(COUNTIFS(Addendum!C:C,A476,Addendum!D:D,IF(ISNUMBER(B476),TEXT(B476,"0000"),B476),Addendum!I:I,"X")&gt;0,10%,0)</f>
        <v>0</v>
      </c>
      <c r="M476" s="34">
        <f t="shared" si="14"/>
        <v>0</v>
      </c>
      <c r="N476" s="17">
        <f t="shared" si="15"/>
        <v>3908466</v>
      </c>
    </row>
    <row r="477" spans="1:14" x14ac:dyDescent="0.25">
      <c r="A477" s="14" t="s">
        <v>1852</v>
      </c>
      <c r="B477" s="14" t="s">
        <v>195</v>
      </c>
      <c r="C477" s="15" t="s">
        <v>1988</v>
      </c>
      <c r="D477" s="14" t="s">
        <v>1745</v>
      </c>
      <c r="E477" s="14" t="s">
        <v>1747</v>
      </c>
      <c r="F477" s="17" t="s">
        <v>2993</v>
      </c>
      <c r="G477" s="14">
        <v>14475900</v>
      </c>
      <c r="H477" s="14">
        <v>10133130</v>
      </c>
      <c r="I477" s="31">
        <f>IF(COUNTIFS(Addendum!C:C,A477,Addendum!D:D,IF(ISNUMBER(B477),TEXT(B477,"0000"),B477),Addendum!E:E,"X")&gt;0,4%,0)</f>
        <v>0</v>
      </c>
      <c r="J477" s="31">
        <f>IF(COUNTIFS(Addendum!C:C,A477,Addendum!D:D,IF(ISNUMBER(B477),TEXT(B477,"0000"),B477),Addendum!F:F,"X")&gt;0,2.5%,0)</f>
        <v>0</v>
      </c>
      <c r="K477" s="31">
        <f>IF(COUNTIFS(Addendum!C:C,A477,Addendum!D:D,IF(ISNUMBER(B477),TEXT(B477,"0000"),B477),Addendum!G:G,"X")&gt;0,7%,0)</f>
        <v>0</v>
      </c>
      <c r="L477" s="31">
        <f>IF(COUNTIFS(Addendum!C:C,A477,Addendum!D:D,IF(ISNUMBER(B477),TEXT(B477,"0000"),B477),Addendum!I:I,"X")&gt;0,10%,0)</f>
        <v>0</v>
      </c>
      <c r="M477" s="34">
        <f t="shared" si="14"/>
        <v>0</v>
      </c>
      <c r="N477" s="17">
        <f t="shared" si="15"/>
        <v>10133130</v>
      </c>
    </row>
    <row r="478" spans="1:14" x14ac:dyDescent="0.25">
      <c r="A478" s="14" t="s">
        <v>1852</v>
      </c>
      <c r="B478" s="14" t="s">
        <v>1735</v>
      </c>
      <c r="C478" s="15" t="s">
        <v>1994</v>
      </c>
      <c r="D478" s="14" t="s">
        <v>1749</v>
      </c>
      <c r="E478" s="14" t="s">
        <v>1746</v>
      </c>
      <c r="F478" s="17" t="s">
        <v>2995</v>
      </c>
      <c r="G478" s="14">
        <v>119802</v>
      </c>
      <c r="H478" s="14">
        <v>107821.8</v>
      </c>
      <c r="I478" s="31">
        <f>IF(COUNTIFS(Addendum!C:C,A478,Addendum!D:D,IF(ISNUMBER(B478),TEXT(B478,"0000"),B478),Addendum!E:E,"X")&gt;0,4%,0)</f>
        <v>0</v>
      </c>
      <c r="J478" s="31">
        <f>IF(COUNTIFS(Addendum!C:C,A478,Addendum!D:D,IF(ISNUMBER(B478),TEXT(B478,"0000"),B478),Addendum!F:F,"X")&gt;0,2.5%,0)</f>
        <v>0</v>
      </c>
      <c r="K478" s="31">
        <f>IF(COUNTIFS(Addendum!C:C,A478,Addendum!D:D,IF(ISNUMBER(B478),TEXT(B478,"0000"),B478),Addendum!G:G,"X")&gt;0,7%,0)</f>
        <v>0</v>
      </c>
      <c r="L478" s="31">
        <f>IF(COUNTIFS(Addendum!C:C,A478,Addendum!D:D,IF(ISNUMBER(B478),TEXT(B478,"0000"),B478),Addendum!I:I,"X")&gt;0,10%,0)</f>
        <v>0</v>
      </c>
      <c r="M478" s="34">
        <f t="shared" si="14"/>
        <v>0</v>
      </c>
      <c r="N478" s="17">
        <f t="shared" si="15"/>
        <v>107821.8</v>
      </c>
    </row>
    <row r="479" spans="1:14" x14ac:dyDescent="0.25">
      <c r="A479" s="14" t="s">
        <v>1852</v>
      </c>
      <c r="B479" s="14">
        <v>74</v>
      </c>
      <c r="C479" s="15" t="s">
        <v>1995</v>
      </c>
      <c r="D479" s="14" t="s">
        <v>1745</v>
      </c>
      <c r="E479" s="14" t="s">
        <v>1746</v>
      </c>
      <c r="F479" s="17" t="s">
        <v>2995</v>
      </c>
      <c r="G479" s="14">
        <v>9748746</v>
      </c>
      <c r="H479" s="14">
        <v>8773871</v>
      </c>
      <c r="I479" s="31">
        <f>IF(COUNTIFS(Addendum!C:C,A479,Addendum!D:D,IF(ISNUMBER(B479),TEXT(B479,"0000"),B479),Addendum!E:E,"X")&gt;0,4%,0)</f>
        <v>0</v>
      </c>
      <c r="J479" s="31">
        <f>IF(COUNTIFS(Addendum!C:C,A479,Addendum!D:D,IF(ISNUMBER(B479),TEXT(B479,"0000"),B479),Addendum!F:F,"X")&gt;0,2.5%,0)</f>
        <v>0</v>
      </c>
      <c r="K479" s="31">
        <f>IF(COUNTIFS(Addendum!C:C,A479,Addendum!D:D,IF(ISNUMBER(B479),TEXT(B479,"0000"),B479),Addendum!G:G,"X")&gt;0,7%,0)</f>
        <v>0</v>
      </c>
      <c r="L479" s="31">
        <f>IF(COUNTIFS(Addendum!C:C,A479,Addendum!D:D,IF(ISNUMBER(B479),TEXT(B479,"0000"),B479),Addendum!I:I,"X")&gt;0,10%,0)</f>
        <v>0</v>
      </c>
      <c r="M479" s="34">
        <f t="shared" si="14"/>
        <v>0</v>
      </c>
      <c r="N479" s="17">
        <f t="shared" si="15"/>
        <v>8773871</v>
      </c>
    </row>
    <row r="480" spans="1:14" x14ac:dyDescent="0.25">
      <c r="A480" s="14" t="s">
        <v>1852</v>
      </c>
      <c r="B480" s="14">
        <v>74</v>
      </c>
      <c r="C480" s="15" t="s">
        <v>1995</v>
      </c>
      <c r="D480" s="14" t="s">
        <v>1749</v>
      </c>
      <c r="E480" s="14" t="s">
        <v>1746</v>
      </c>
      <c r="F480" s="17" t="s">
        <v>2995</v>
      </c>
      <c r="G480" s="14">
        <v>928452</v>
      </c>
      <c r="H480" s="14">
        <v>835606.8</v>
      </c>
      <c r="I480" s="31">
        <f>IF(COUNTIFS(Addendum!C:C,A480,Addendum!D:D,IF(ISNUMBER(B480),TEXT(B480,"0000"),B480),Addendum!E:E,"X")&gt;0,4%,0)</f>
        <v>0</v>
      </c>
      <c r="J480" s="31">
        <f>IF(COUNTIFS(Addendum!C:C,A480,Addendum!D:D,IF(ISNUMBER(B480),TEXT(B480,"0000"),B480),Addendum!F:F,"X")&gt;0,2.5%,0)</f>
        <v>0</v>
      </c>
      <c r="K480" s="31">
        <f>IF(COUNTIFS(Addendum!C:C,A480,Addendum!D:D,IF(ISNUMBER(B480),TEXT(B480,"0000"),B480),Addendum!G:G,"X")&gt;0,7%,0)</f>
        <v>0</v>
      </c>
      <c r="L480" s="31">
        <f>IF(COUNTIFS(Addendum!C:C,A480,Addendum!D:D,IF(ISNUMBER(B480),TEXT(B480,"0000"),B480),Addendum!I:I,"X")&gt;0,10%,0)</f>
        <v>0</v>
      </c>
      <c r="M480" s="34">
        <f t="shared" si="14"/>
        <v>0</v>
      </c>
      <c r="N480" s="17">
        <f t="shared" si="15"/>
        <v>835606.8</v>
      </c>
    </row>
    <row r="481" spans="1:14" x14ac:dyDescent="0.25">
      <c r="A481" s="14" t="s">
        <v>1852</v>
      </c>
      <c r="B481" s="14" t="s">
        <v>1976</v>
      </c>
      <c r="C481" s="15" t="s">
        <v>1977</v>
      </c>
      <c r="D481" s="14" t="s">
        <v>1745</v>
      </c>
      <c r="E481" s="14" t="s">
        <v>1746</v>
      </c>
      <c r="F481" s="17" t="s">
        <v>2994</v>
      </c>
      <c r="G481" s="14">
        <v>17872722</v>
      </c>
      <c r="H481" s="14">
        <v>12510905</v>
      </c>
      <c r="I481" s="31">
        <f>IF(COUNTIFS(Addendum!C:C,A481,Addendum!D:D,IF(ISNUMBER(B481),TEXT(B481,"0000"),B481),Addendum!E:E,"X")&gt;0,4%,0)</f>
        <v>0</v>
      </c>
      <c r="J481" s="31">
        <f>IF(COUNTIFS(Addendum!C:C,A481,Addendum!D:D,IF(ISNUMBER(B481),TEXT(B481,"0000"),B481),Addendum!F:F,"X")&gt;0,2.5%,0)</f>
        <v>0</v>
      </c>
      <c r="K481" s="31">
        <f>IF(COUNTIFS(Addendum!C:C,A481,Addendum!D:D,IF(ISNUMBER(B481),TEXT(B481,"0000"),B481),Addendum!G:G,"X")&gt;0,7%,0)</f>
        <v>0</v>
      </c>
      <c r="L481" s="31">
        <f>IF(COUNTIFS(Addendum!C:C,A481,Addendum!D:D,IF(ISNUMBER(B481),TEXT(B481,"0000"),B481),Addendum!I:I,"X")&gt;0,10%,0)</f>
        <v>0</v>
      </c>
      <c r="M481" s="34">
        <f t="shared" si="14"/>
        <v>0</v>
      </c>
      <c r="N481" s="17">
        <f t="shared" si="15"/>
        <v>12510905</v>
      </c>
    </row>
    <row r="482" spans="1:14" x14ac:dyDescent="0.25">
      <c r="A482" s="14" t="s">
        <v>1852</v>
      </c>
      <c r="B482" s="14">
        <v>87</v>
      </c>
      <c r="C482" s="15" t="s">
        <v>1867</v>
      </c>
      <c r="D482" s="14" t="s">
        <v>1749</v>
      </c>
      <c r="E482" s="14" t="s">
        <v>1746</v>
      </c>
      <c r="F482" s="17" t="s">
        <v>2995</v>
      </c>
      <c r="G482" s="14">
        <v>119802</v>
      </c>
      <c r="H482" s="14">
        <v>107821.8</v>
      </c>
      <c r="I482" s="31">
        <f>IF(COUNTIFS(Addendum!C:C,A482,Addendum!D:D,IF(ISNUMBER(B482),TEXT(B482,"0000"),B482),Addendum!E:E,"X")&gt;0,4%,0)</f>
        <v>0</v>
      </c>
      <c r="J482" s="31">
        <f>IF(COUNTIFS(Addendum!C:C,A482,Addendum!D:D,IF(ISNUMBER(B482),TEXT(B482,"0000"),B482),Addendum!F:F,"X")&gt;0,2.5%,0)</f>
        <v>0</v>
      </c>
      <c r="K482" s="31">
        <f>IF(COUNTIFS(Addendum!C:C,A482,Addendum!D:D,IF(ISNUMBER(B482),TEXT(B482,"0000"),B482),Addendum!G:G,"X")&gt;0,7%,0)</f>
        <v>0</v>
      </c>
      <c r="L482" s="31">
        <f>IF(COUNTIFS(Addendum!C:C,A482,Addendum!D:D,IF(ISNUMBER(B482),TEXT(B482,"0000"),B482),Addendum!I:I,"X")&gt;0,10%,0)</f>
        <v>0</v>
      </c>
      <c r="M482" s="34">
        <f t="shared" si="14"/>
        <v>0</v>
      </c>
      <c r="N482" s="17">
        <f t="shared" si="15"/>
        <v>107821.8</v>
      </c>
    </row>
    <row r="483" spans="1:14" x14ac:dyDescent="0.25">
      <c r="A483" s="14" t="s">
        <v>1852</v>
      </c>
      <c r="B483" s="14">
        <v>89</v>
      </c>
      <c r="C483" s="15" t="s">
        <v>1912</v>
      </c>
      <c r="D483" s="14" t="s">
        <v>1745</v>
      </c>
      <c r="E483" s="14" t="s">
        <v>1746</v>
      </c>
      <c r="F483" s="17" t="s">
        <v>2994</v>
      </c>
      <c r="G483" s="14">
        <v>1677186</v>
      </c>
      <c r="H483" s="14">
        <v>1174030</v>
      </c>
      <c r="I483" s="31">
        <f>IF(COUNTIFS(Addendum!C:C,A483,Addendum!D:D,IF(ISNUMBER(B483),TEXT(B483,"0000"),B483),Addendum!E:E,"X")&gt;0,4%,0)</f>
        <v>0</v>
      </c>
      <c r="J483" s="31">
        <f>IF(COUNTIFS(Addendum!C:C,A483,Addendum!D:D,IF(ISNUMBER(B483),TEXT(B483,"0000"),B483),Addendum!F:F,"X")&gt;0,2.5%,0)</f>
        <v>0</v>
      </c>
      <c r="K483" s="31">
        <f>IF(COUNTIFS(Addendum!C:C,A483,Addendum!D:D,IF(ISNUMBER(B483),TEXT(B483,"0000"),B483),Addendum!G:G,"X")&gt;0,7%,0)</f>
        <v>0</v>
      </c>
      <c r="L483" s="31">
        <f>IF(COUNTIFS(Addendum!C:C,A483,Addendum!D:D,IF(ISNUMBER(B483),TEXT(B483,"0000"),B483),Addendum!I:I,"X")&gt;0,10%,0)</f>
        <v>0</v>
      </c>
      <c r="M483" s="34">
        <f t="shared" si="14"/>
        <v>0</v>
      </c>
      <c r="N483" s="17">
        <f t="shared" si="15"/>
        <v>1174030</v>
      </c>
    </row>
    <row r="484" spans="1:14" x14ac:dyDescent="0.25">
      <c r="A484" s="14" t="s">
        <v>1852</v>
      </c>
      <c r="B484" s="14" t="s">
        <v>1641</v>
      </c>
      <c r="C484" s="15" t="s">
        <v>1996</v>
      </c>
      <c r="D484" s="14" t="s">
        <v>1749</v>
      </c>
      <c r="E484" s="14" t="s">
        <v>1746</v>
      </c>
      <c r="F484" s="17" t="s">
        <v>2995</v>
      </c>
      <c r="G484" s="14">
        <v>14976</v>
      </c>
      <c r="H484" s="14">
        <v>13478.4</v>
      </c>
      <c r="I484" s="31">
        <f>IF(COUNTIFS(Addendum!C:C,A484,Addendum!D:D,IF(ISNUMBER(B484),TEXT(B484,"0000"),B484),Addendum!E:E,"X")&gt;0,4%,0)</f>
        <v>0</v>
      </c>
      <c r="J484" s="31">
        <f>IF(COUNTIFS(Addendum!C:C,A484,Addendum!D:D,IF(ISNUMBER(B484),TEXT(B484,"0000"),B484),Addendum!F:F,"X")&gt;0,2.5%,0)</f>
        <v>0</v>
      </c>
      <c r="K484" s="31">
        <f>IF(COUNTIFS(Addendum!C:C,A484,Addendum!D:D,IF(ISNUMBER(B484),TEXT(B484,"0000"),B484),Addendum!G:G,"X")&gt;0,7%,0)</f>
        <v>0</v>
      </c>
      <c r="L484" s="31">
        <f>IF(COUNTIFS(Addendum!C:C,A484,Addendum!D:D,IF(ISNUMBER(B484),TEXT(B484,"0000"),B484),Addendum!I:I,"X")&gt;0,10%,0)</f>
        <v>0</v>
      </c>
      <c r="M484" s="34">
        <f t="shared" si="14"/>
        <v>0</v>
      </c>
      <c r="N484" s="17">
        <f t="shared" si="15"/>
        <v>13478.4</v>
      </c>
    </row>
    <row r="485" spans="1:14" x14ac:dyDescent="0.25">
      <c r="A485" s="14" t="s">
        <v>1850</v>
      </c>
      <c r="B485" s="14" t="s">
        <v>36</v>
      </c>
      <c r="C485" s="15" t="s">
        <v>1997</v>
      </c>
      <c r="D485" s="14" t="s">
        <v>1749</v>
      </c>
      <c r="E485" s="14" t="s">
        <v>1746</v>
      </c>
      <c r="F485" s="17" t="s">
        <v>2995</v>
      </c>
      <c r="G485" s="14">
        <v>8388</v>
      </c>
      <c r="H485" s="14">
        <v>7549.2</v>
      </c>
      <c r="I485" s="31">
        <f>IF(COUNTIFS(Addendum!C:C,A485,Addendum!D:D,IF(ISNUMBER(B485),TEXT(B485,"0000"),B485),Addendum!E:E,"X")&gt;0,4%,0)</f>
        <v>0</v>
      </c>
      <c r="J485" s="31">
        <f>IF(COUNTIFS(Addendum!C:C,A485,Addendum!D:D,IF(ISNUMBER(B485),TEXT(B485,"0000"),B485),Addendum!F:F,"X")&gt;0,2.5%,0)</f>
        <v>0</v>
      </c>
      <c r="K485" s="31">
        <f>IF(COUNTIFS(Addendum!C:C,A485,Addendum!D:D,IF(ISNUMBER(B485),TEXT(B485,"0000"),B485),Addendum!G:G,"X")&gt;0,7%,0)</f>
        <v>0</v>
      </c>
      <c r="L485" s="31">
        <f>IF(COUNTIFS(Addendum!C:C,A485,Addendum!D:D,IF(ISNUMBER(B485),TEXT(B485,"0000"),B485),Addendum!I:I,"X")&gt;0,10%,0)</f>
        <v>0</v>
      </c>
      <c r="M485" s="34">
        <f t="shared" si="14"/>
        <v>0</v>
      </c>
      <c r="N485" s="17">
        <f t="shared" si="15"/>
        <v>7549.2</v>
      </c>
    </row>
    <row r="486" spans="1:14" x14ac:dyDescent="0.25">
      <c r="A486" s="14" t="s">
        <v>1852</v>
      </c>
      <c r="B486" s="14" t="s">
        <v>1628</v>
      </c>
      <c r="C486" s="15" t="s">
        <v>1990</v>
      </c>
      <c r="D486" s="14" t="s">
        <v>1749</v>
      </c>
      <c r="E486" s="14" t="s">
        <v>1746</v>
      </c>
      <c r="F486" s="17" t="s">
        <v>2994</v>
      </c>
      <c r="G486" s="14">
        <v>27456</v>
      </c>
      <c r="H486" s="14">
        <v>19219.2</v>
      </c>
      <c r="I486" s="31">
        <f>IF(COUNTIFS(Addendum!C:C,A486,Addendum!D:D,IF(ISNUMBER(B486),TEXT(B486,"0000"),B486),Addendum!E:E,"X")&gt;0,4%,0)</f>
        <v>0</v>
      </c>
      <c r="J486" s="31">
        <f>IF(COUNTIFS(Addendum!C:C,A486,Addendum!D:D,IF(ISNUMBER(B486),TEXT(B486,"0000"),B486),Addendum!F:F,"X")&gt;0,2.5%,0)</f>
        <v>0</v>
      </c>
      <c r="K486" s="31">
        <f>IF(COUNTIFS(Addendum!C:C,A486,Addendum!D:D,IF(ISNUMBER(B486),TEXT(B486,"0000"),B486),Addendum!G:G,"X")&gt;0,7%,0)</f>
        <v>0</v>
      </c>
      <c r="L486" s="31">
        <f>IF(COUNTIFS(Addendum!C:C,A486,Addendum!D:D,IF(ISNUMBER(B486),TEXT(B486,"0000"),B486),Addendum!I:I,"X")&gt;0,10%,0)</f>
        <v>0</v>
      </c>
      <c r="M486" s="34">
        <f t="shared" si="14"/>
        <v>0</v>
      </c>
      <c r="N486" s="17">
        <f t="shared" si="15"/>
        <v>19219.2</v>
      </c>
    </row>
    <row r="487" spans="1:14" x14ac:dyDescent="0.25">
      <c r="A487" s="14" t="s">
        <v>1852</v>
      </c>
      <c r="B487" s="14">
        <v>12</v>
      </c>
      <c r="C487" s="15" t="s">
        <v>1998</v>
      </c>
      <c r="D487" s="14" t="s">
        <v>1745</v>
      </c>
      <c r="E487" s="14" t="s">
        <v>1746</v>
      </c>
      <c r="F487" s="17" t="s">
        <v>2993</v>
      </c>
      <c r="G487" s="14">
        <v>524097</v>
      </c>
      <c r="H487" s="14">
        <v>366868</v>
      </c>
      <c r="I487" s="31">
        <f>IF(COUNTIFS(Addendum!C:C,A487,Addendum!D:D,IF(ISNUMBER(B487),TEXT(B487,"0000"),B487),Addendum!E:E,"X")&gt;0,4%,0)</f>
        <v>0</v>
      </c>
      <c r="J487" s="31">
        <f>IF(COUNTIFS(Addendum!C:C,A487,Addendum!D:D,IF(ISNUMBER(B487),TEXT(B487,"0000"),B487),Addendum!F:F,"X")&gt;0,2.5%,0)</f>
        <v>0</v>
      </c>
      <c r="K487" s="31">
        <f>IF(COUNTIFS(Addendum!C:C,A487,Addendum!D:D,IF(ISNUMBER(B487),TEXT(B487,"0000"),B487),Addendum!G:G,"X")&gt;0,7%,0)</f>
        <v>0</v>
      </c>
      <c r="L487" s="31">
        <f>IF(COUNTIFS(Addendum!C:C,A487,Addendum!D:D,IF(ISNUMBER(B487),TEXT(B487,"0000"),B487),Addendum!I:I,"X")&gt;0,10%,0)</f>
        <v>0</v>
      </c>
      <c r="M487" s="34">
        <f t="shared" si="14"/>
        <v>0</v>
      </c>
      <c r="N487" s="17">
        <f t="shared" si="15"/>
        <v>366868</v>
      </c>
    </row>
    <row r="488" spans="1:14" x14ac:dyDescent="0.25">
      <c r="A488" s="14" t="s">
        <v>1852</v>
      </c>
      <c r="B488" s="14" t="s">
        <v>29</v>
      </c>
      <c r="C488" s="15" t="s">
        <v>1943</v>
      </c>
      <c r="D488" s="14" t="s">
        <v>1749</v>
      </c>
      <c r="E488" s="14" t="s">
        <v>1746</v>
      </c>
      <c r="F488" s="17" t="s">
        <v>2993</v>
      </c>
      <c r="G488" s="14">
        <v>1447590</v>
      </c>
      <c r="H488" s="14">
        <v>1013313</v>
      </c>
      <c r="I488" s="31">
        <f>IF(COUNTIFS(Addendum!C:C,A488,Addendum!D:D,IF(ISNUMBER(B488),TEXT(B488,"0000"),B488),Addendum!E:E,"X")&gt;0,4%,0)</f>
        <v>0</v>
      </c>
      <c r="J488" s="31">
        <f>IF(COUNTIFS(Addendum!C:C,A488,Addendum!D:D,IF(ISNUMBER(B488),TEXT(B488,"0000"),B488),Addendum!F:F,"X")&gt;0,2.5%,0)</f>
        <v>0</v>
      </c>
      <c r="K488" s="31">
        <f>IF(COUNTIFS(Addendum!C:C,A488,Addendum!D:D,IF(ISNUMBER(B488),TEXT(B488,"0000"),B488),Addendum!G:G,"X")&gt;0,7%,0)</f>
        <v>0</v>
      </c>
      <c r="L488" s="31">
        <f>IF(COUNTIFS(Addendum!C:C,A488,Addendum!D:D,IF(ISNUMBER(B488),TEXT(B488,"0000"),B488),Addendum!I:I,"X")&gt;0,10%,0)</f>
        <v>0</v>
      </c>
      <c r="M488" s="34">
        <f t="shared" si="14"/>
        <v>0</v>
      </c>
      <c r="N488" s="17">
        <f t="shared" si="15"/>
        <v>1013313</v>
      </c>
    </row>
    <row r="489" spans="1:14" x14ac:dyDescent="0.25">
      <c r="A489" s="14" t="s">
        <v>1850</v>
      </c>
      <c r="B489" s="14">
        <v>2</v>
      </c>
      <c r="C489" s="15" t="s">
        <v>1948</v>
      </c>
      <c r="D489" s="14" t="s">
        <v>1745</v>
      </c>
      <c r="E489" s="14" t="s">
        <v>1746</v>
      </c>
      <c r="F489" s="17" t="s">
        <v>2993</v>
      </c>
      <c r="G489" s="14">
        <v>220122</v>
      </c>
      <c r="H489" s="14">
        <v>154085.4</v>
      </c>
      <c r="I489" s="31">
        <f>IF(COUNTIFS(Addendum!C:C,A489,Addendum!D:D,IF(ISNUMBER(B489),TEXT(B489,"0000"),B489),Addendum!E:E,"X")&gt;0,4%,0)</f>
        <v>0</v>
      </c>
      <c r="J489" s="31">
        <f>IF(COUNTIFS(Addendum!C:C,A489,Addendum!D:D,IF(ISNUMBER(B489),TEXT(B489,"0000"),B489),Addendum!F:F,"X")&gt;0,2.5%,0)</f>
        <v>0</v>
      </c>
      <c r="K489" s="31">
        <f>IF(COUNTIFS(Addendum!C:C,A489,Addendum!D:D,IF(ISNUMBER(B489),TEXT(B489,"0000"),B489),Addendum!G:G,"X")&gt;0,7%,0)</f>
        <v>0</v>
      </c>
      <c r="L489" s="31">
        <f>IF(COUNTIFS(Addendum!C:C,A489,Addendum!D:D,IF(ISNUMBER(B489),TEXT(B489,"0000"),B489),Addendum!I:I,"X")&gt;0,10%,0)</f>
        <v>0</v>
      </c>
      <c r="M489" s="34">
        <f t="shared" si="14"/>
        <v>0</v>
      </c>
      <c r="N489" s="17">
        <f t="shared" si="15"/>
        <v>154085.4</v>
      </c>
    </row>
    <row r="490" spans="1:14" x14ac:dyDescent="0.25">
      <c r="A490" s="14" t="s">
        <v>1852</v>
      </c>
      <c r="B490" s="14" t="s">
        <v>1651</v>
      </c>
      <c r="C490" s="15" t="s">
        <v>1971</v>
      </c>
      <c r="D490" s="14" t="s">
        <v>1745</v>
      </c>
      <c r="E490" s="14" t="s">
        <v>1746</v>
      </c>
      <c r="F490" s="17" t="s">
        <v>2994</v>
      </c>
      <c r="G490" s="14">
        <v>209664</v>
      </c>
      <c r="H490" s="14">
        <v>146764.79999999999</v>
      </c>
      <c r="I490" s="31">
        <f>IF(COUNTIFS(Addendum!C:C,A490,Addendum!D:D,IF(ISNUMBER(B490),TEXT(B490,"0000"),B490),Addendum!E:E,"X")&gt;0,4%,0)</f>
        <v>0</v>
      </c>
      <c r="J490" s="31">
        <f>IF(COUNTIFS(Addendum!C:C,A490,Addendum!D:D,IF(ISNUMBER(B490),TEXT(B490,"0000"),B490),Addendum!F:F,"X")&gt;0,2.5%,0)</f>
        <v>0</v>
      </c>
      <c r="K490" s="31">
        <f>IF(COUNTIFS(Addendum!C:C,A490,Addendum!D:D,IF(ISNUMBER(B490),TEXT(B490,"0000"),B490),Addendum!G:G,"X")&gt;0,7%,0)</f>
        <v>0</v>
      </c>
      <c r="L490" s="31">
        <f>IF(COUNTIFS(Addendum!C:C,A490,Addendum!D:D,IF(ISNUMBER(B490),TEXT(B490,"0000"),B490),Addendum!I:I,"X")&gt;0,10%,0)</f>
        <v>0</v>
      </c>
      <c r="M490" s="34">
        <f t="shared" si="14"/>
        <v>0</v>
      </c>
      <c r="N490" s="17">
        <f t="shared" si="15"/>
        <v>146764.79999999999</v>
      </c>
    </row>
    <row r="491" spans="1:14" x14ac:dyDescent="0.25">
      <c r="A491" s="14" t="s">
        <v>1852</v>
      </c>
      <c r="B491" s="14" t="s">
        <v>401</v>
      </c>
      <c r="C491" s="15" t="s">
        <v>1999</v>
      </c>
      <c r="D491" s="14" t="s">
        <v>1749</v>
      </c>
      <c r="E491" s="14" t="s">
        <v>1746</v>
      </c>
      <c r="F491" s="17" t="s">
        <v>2994</v>
      </c>
      <c r="G491" s="14">
        <v>219636</v>
      </c>
      <c r="H491" s="14">
        <v>153745.20000000001</v>
      </c>
      <c r="I491" s="31">
        <f>IF(COUNTIFS(Addendum!C:C,A491,Addendum!D:D,IF(ISNUMBER(B491),TEXT(B491,"0000"),B491),Addendum!E:E,"X")&gt;0,4%,0)</f>
        <v>0</v>
      </c>
      <c r="J491" s="31">
        <f>IF(COUNTIFS(Addendum!C:C,A491,Addendum!D:D,IF(ISNUMBER(B491),TEXT(B491,"0000"),B491),Addendum!F:F,"X")&gt;0,2.5%,0)</f>
        <v>0</v>
      </c>
      <c r="K491" s="31">
        <f>IF(COUNTIFS(Addendum!C:C,A491,Addendum!D:D,IF(ISNUMBER(B491),TEXT(B491,"0000"),B491),Addendum!G:G,"X")&gt;0,7%,0)</f>
        <v>0</v>
      </c>
      <c r="L491" s="31">
        <f>IF(COUNTIFS(Addendum!C:C,A491,Addendum!D:D,IF(ISNUMBER(B491),TEXT(B491,"0000"),B491),Addendum!I:I,"X")&gt;0,10%,0)</f>
        <v>0</v>
      </c>
      <c r="M491" s="34">
        <f t="shared" si="14"/>
        <v>0</v>
      </c>
      <c r="N491" s="17">
        <f t="shared" si="15"/>
        <v>153745.20000000001</v>
      </c>
    </row>
    <row r="492" spans="1:14" x14ac:dyDescent="0.25">
      <c r="A492" s="14" t="s">
        <v>1852</v>
      </c>
      <c r="B492" s="14">
        <v>89</v>
      </c>
      <c r="C492" s="15" t="s">
        <v>1912</v>
      </c>
      <c r="D492" s="14" t="s">
        <v>1749</v>
      </c>
      <c r="E492" s="14" t="s">
        <v>1746</v>
      </c>
      <c r="F492" s="17" t="s">
        <v>2994</v>
      </c>
      <c r="G492" s="14">
        <v>159732</v>
      </c>
      <c r="H492" s="14">
        <v>111812.4</v>
      </c>
      <c r="I492" s="31">
        <f>IF(COUNTIFS(Addendum!C:C,A492,Addendum!D:D,IF(ISNUMBER(B492),TEXT(B492,"0000"),B492),Addendum!E:E,"X")&gt;0,4%,0)</f>
        <v>0</v>
      </c>
      <c r="J492" s="31">
        <f>IF(COUNTIFS(Addendum!C:C,A492,Addendum!D:D,IF(ISNUMBER(B492),TEXT(B492,"0000"),B492),Addendum!F:F,"X")&gt;0,2.5%,0)</f>
        <v>0</v>
      </c>
      <c r="K492" s="31">
        <f>IF(COUNTIFS(Addendum!C:C,A492,Addendum!D:D,IF(ISNUMBER(B492),TEXT(B492,"0000"),B492),Addendum!G:G,"X")&gt;0,7%,0)</f>
        <v>0</v>
      </c>
      <c r="L492" s="31">
        <f>IF(COUNTIFS(Addendum!C:C,A492,Addendum!D:D,IF(ISNUMBER(B492),TEXT(B492,"0000"),B492),Addendum!I:I,"X")&gt;0,10%,0)</f>
        <v>0</v>
      </c>
      <c r="M492" s="34">
        <f t="shared" si="14"/>
        <v>0</v>
      </c>
      <c r="N492" s="17">
        <f t="shared" si="15"/>
        <v>111812.4</v>
      </c>
    </row>
    <row r="493" spans="1:14" x14ac:dyDescent="0.25">
      <c r="A493" s="14" t="s">
        <v>1852</v>
      </c>
      <c r="B493" s="14">
        <v>56</v>
      </c>
      <c r="C493" s="15" t="s">
        <v>1921</v>
      </c>
      <c r="D493" s="14" t="s">
        <v>1749</v>
      </c>
      <c r="E493" s="14" t="s">
        <v>1746</v>
      </c>
      <c r="F493" s="17" t="s">
        <v>2994</v>
      </c>
      <c r="G493" s="14">
        <v>1237938</v>
      </c>
      <c r="H493" s="14">
        <v>866556.6</v>
      </c>
      <c r="I493" s="31">
        <f>IF(COUNTIFS(Addendum!C:C,A493,Addendum!D:D,IF(ISNUMBER(B493),TEXT(B493,"0000"),B493),Addendum!E:E,"X")&gt;0,4%,0)</f>
        <v>0</v>
      </c>
      <c r="J493" s="31">
        <f>IF(COUNTIFS(Addendum!C:C,A493,Addendum!D:D,IF(ISNUMBER(B493),TEXT(B493,"0000"),B493),Addendum!F:F,"X")&gt;0,2.5%,0)</f>
        <v>0</v>
      </c>
      <c r="K493" s="31">
        <f>IF(COUNTIFS(Addendum!C:C,A493,Addendum!D:D,IF(ISNUMBER(B493),TEXT(B493,"0000"),B493),Addendum!G:G,"X")&gt;0,7%,0)</f>
        <v>0</v>
      </c>
      <c r="L493" s="31">
        <f>IF(COUNTIFS(Addendum!C:C,A493,Addendum!D:D,IF(ISNUMBER(B493),TEXT(B493,"0000"),B493),Addendum!I:I,"X")&gt;0,10%,0)</f>
        <v>0</v>
      </c>
      <c r="M493" s="34">
        <f t="shared" si="14"/>
        <v>0</v>
      </c>
      <c r="N493" s="17">
        <f t="shared" si="15"/>
        <v>866556.6</v>
      </c>
    </row>
    <row r="494" spans="1:14" x14ac:dyDescent="0.25">
      <c r="A494" s="14" t="s">
        <v>1852</v>
      </c>
      <c r="B494" s="14" t="s">
        <v>118</v>
      </c>
      <c r="C494" s="15" t="s">
        <v>1862</v>
      </c>
      <c r="D494" s="14" t="s">
        <v>1745</v>
      </c>
      <c r="E494" s="14" t="s">
        <v>1747</v>
      </c>
      <c r="F494" s="17" t="s">
        <v>2993</v>
      </c>
      <c r="G494" s="14">
        <v>14475900</v>
      </c>
      <c r="H494" s="14">
        <v>10133130</v>
      </c>
      <c r="I494" s="31">
        <f>IF(COUNTIFS(Addendum!C:C,A494,Addendum!D:D,IF(ISNUMBER(B494),TEXT(B494,"0000"),B494),Addendum!E:E,"X")&gt;0,4%,0)</f>
        <v>0</v>
      </c>
      <c r="J494" s="31">
        <f>IF(COUNTIFS(Addendum!C:C,A494,Addendum!D:D,IF(ISNUMBER(B494),TEXT(B494,"0000"),B494),Addendum!F:F,"X")&gt;0,2.5%,0)</f>
        <v>0</v>
      </c>
      <c r="K494" s="31">
        <f>IF(COUNTIFS(Addendum!C:C,A494,Addendum!D:D,IF(ISNUMBER(B494),TEXT(B494,"0000"),B494),Addendum!G:G,"X")&gt;0,7%,0)</f>
        <v>0</v>
      </c>
      <c r="L494" s="31">
        <f>IF(COUNTIFS(Addendum!C:C,A494,Addendum!D:D,IF(ISNUMBER(B494),TEXT(B494,"0000"),B494),Addendum!I:I,"X")&gt;0,10%,0)</f>
        <v>0</v>
      </c>
      <c r="M494" s="34">
        <f t="shared" si="14"/>
        <v>0</v>
      </c>
      <c r="N494" s="17">
        <f t="shared" si="15"/>
        <v>10133130</v>
      </c>
    </row>
    <row r="495" spans="1:14" x14ac:dyDescent="0.25">
      <c r="A495" s="14" t="s">
        <v>1852</v>
      </c>
      <c r="B495" s="14">
        <v>59</v>
      </c>
      <c r="C495" s="15" t="s">
        <v>2000</v>
      </c>
      <c r="D495" s="14" t="s">
        <v>1745</v>
      </c>
      <c r="E495" s="14" t="s">
        <v>1747</v>
      </c>
      <c r="F495" s="17" t="s">
        <v>2995</v>
      </c>
      <c r="G495" s="14">
        <v>149760</v>
      </c>
      <c r="H495" s="14">
        <v>134784</v>
      </c>
      <c r="I495" s="31">
        <f>IF(COUNTIFS(Addendum!C:C,A495,Addendum!D:D,IF(ISNUMBER(B495),TEXT(B495,"0000"),B495),Addendum!E:E,"X")&gt;0,4%,0)</f>
        <v>0</v>
      </c>
      <c r="J495" s="31">
        <f>IF(COUNTIFS(Addendum!C:C,A495,Addendum!D:D,IF(ISNUMBER(B495),TEXT(B495,"0000"),B495),Addendum!F:F,"X")&gt;0,2.5%,0)</f>
        <v>0</v>
      </c>
      <c r="K495" s="31">
        <f>IF(COUNTIFS(Addendum!C:C,A495,Addendum!D:D,IF(ISNUMBER(B495),TEXT(B495,"0000"),B495),Addendum!G:G,"X")&gt;0,7%,0)</f>
        <v>0</v>
      </c>
      <c r="L495" s="31">
        <f>IF(COUNTIFS(Addendum!C:C,A495,Addendum!D:D,IF(ISNUMBER(B495),TEXT(B495,"0000"),B495),Addendum!I:I,"X")&gt;0,10%,0)</f>
        <v>0</v>
      </c>
      <c r="M495" s="34">
        <f t="shared" si="14"/>
        <v>0</v>
      </c>
      <c r="N495" s="17">
        <f t="shared" si="15"/>
        <v>134784</v>
      </c>
    </row>
    <row r="496" spans="1:14" x14ac:dyDescent="0.25">
      <c r="A496" s="14" t="s">
        <v>1852</v>
      </c>
      <c r="B496" s="14" t="s">
        <v>1735</v>
      </c>
      <c r="C496" s="15" t="s">
        <v>1994</v>
      </c>
      <c r="D496" s="14" t="s">
        <v>1745</v>
      </c>
      <c r="E496" s="14" t="s">
        <v>1746</v>
      </c>
      <c r="F496" s="17" t="s">
        <v>2995</v>
      </c>
      <c r="G496" s="14">
        <v>1257921</v>
      </c>
      <c r="H496" s="14">
        <v>1132129</v>
      </c>
      <c r="I496" s="31">
        <f>IF(COUNTIFS(Addendum!C:C,A496,Addendum!D:D,IF(ISNUMBER(B496),TEXT(B496,"0000"),B496),Addendum!E:E,"X")&gt;0,4%,0)</f>
        <v>0</v>
      </c>
      <c r="J496" s="31">
        <f>IF(COUNTIFS(Addendum!C:C,A496,Addendum!D:D,IF(ISNUMBER(B496),TEXT(B496,"0000"),B496),Addendum!F:F,"X")&gt;0,2.5%,0)</f>
        <v>0</v>
      </c>
      <c r="K496" s="31">
        <f>IF(COUNTIFS(Addendum!C:C,A496,Addendum!D:D,IF(ISNUMBER(B496),TEXT(B496,"0000"),B496),Addendum!G:G,"X")&gt;0,7%,0)</f>
        <v>0</v>
      </c>
      <c r="L496" s="31">
        <f>IF(COUNTIFS(Addendum!C:C,A496,Addendum!D:D,IF(ISNUMBER(B496),TEXT(B496,"0000"),B496),Addendum!I:I,"X")&gt;0,10%,0)</f>
        <v>0</v>
      </c>
      <c r="M496" s="34">
        <f t="shared" si="14"/>
        <v>0</v>
      </c>
      <c r="N496" s="17">
        <f t="shared" si="15"/>
        <v>1132129</v>
      </c>
    </row>
    <row r="497" spans="1:14" x14ac:dyDescent="0.25">
      <c r="A497" s="14" t="s">
        <v>1852</v>
      </c>
      <c r="B497" s="14" t="s">
        <v>102</v>
      </c>
      <c r="C497" s="15" t="s">
        <v>2001</v>
      </c>
      <c r="D497" s="14" t="s">
        <v>1745</v>
      </c>
      <c r="E497" s="14" t="s">
        <v>1746</v>
      </c>
      <c r="F497" s="17" t="s">
        <v>2993</v>
      </c>
      <c r="G497" s="14">
        <v>15199695</v>
      </c>
      <c r="H497" s="14">
        <v>10639787</v>
      </c>
      <c r="I497" s="31">
        <f>IF(COUNTIFS(Addendum!C:C,A497,Addendum!D:D,IF(ISNUMBER(B497),TEXT(B497,"0000"),B497),Addendum!E:E,"X")&gt;0,4%,0)</f>
        <v>0</v>
      </c>
      <c r="J497" s="31">
        <f>IF(COUNTIFS(Addendum!C:C,A497,Addendum!D:D,IF(ISNUMBER(B497),TEXT(B497,"0000"),B497),Addendum!F:F,"X")&gt;0,2.5%,0)</f>
        <v>0</v>
      </c>
      <c r="K497" s="31">
        <f>IF(COUNTIFS(Addendum!C:C,A497,Addendum!D:D,IF(ISNUMBER(B497),TEXT(B497,"0000"),B497),Addendum!G:G,"X")&gt;0,7%,0)</f>
        <v>0</v>
      </c>
      <c r="L497" s="31">
        <f>IF(COUNTIFS(Addendum!C:C,A497,Addendum!D:D,IF(ISNUMBER(B497),TEXT(B497,"0000"),B497),Addendum!I:I,"X")&gt;0,10%,0)</f>
        <v>0</v>
      </c>
      <c r="M497" s="34">
        <f t="shared" si="14"/>
        <v>0</v>
      </c>
      <c r="N497" s="17">
        <f t="shared" si="15"/>
        <v>10639787</v>
      </c>
    </row>
    <row r="498" spans="1:14" x14ac:dyDescent="0.25">
      <c r="A498" s="14" t="s">
        <v>1852</v>
      </c>
      <c r="B498" s="14" t="s">
        <v>1900</v>
      </c>
      <c r="C498" s="15" t="s">
        <v>1901</v>
      </c>
      <c r="D498" s="14" t="s">
        <v>1749</v>
      </c>
      <c r="E498" s="14" t="s">
        <v>1746</v>
      </c>
      <c r="F498" s="17" t="s">
        <v>2994</v>
      </c>
      <c r="G498" s="14">
        <v>159732</v>
      </c>
      <c r="H498" s="14">
        <v>111812.4</v>
      </c>
      <c r="I498" s="31">
        <f>IF(COUNTIFS(Addendum!C:C,A498,Addendum!D:D,IF(ISNUMBER(B498),TEXT(B498,"0000"),B498),Addendum!E:E,"X")&gt;0,4%,0)</f>
        <v>0</v>
      </c>
      <c r="J498" s="31">
        <f>IF(COUNTIFS(Addendum!C:C,A498,Addendum!D:D,IF(ISNUMBER(B498),TEXT(B498,"0000"),B498),Addendum!F:F,"X")&gt;0,2.5%,0)</f>
        <v>0</v>
      </c>
      <c r="K498" s="31">
        <f>IF(COUNTIFS(Addendum!C:C,A498,Addendum!D:D,IF(ISNUMBER(B498),TEXT(B498,"0000"),B498),Addendum!G:G,"X")&gt;0,7%,0)</f>
        <v>0</v>
      </c>
      <c r="L498" s="31">
        <f>IF(COUNTIFS(Addendum!C:C,A498,Addendum!D:D,IF(ISNUMBER(B498),TEXT(B498,"0000"),B498),Addendum!I:I,"X")&gt;0,10%,0)</f>
        <v>0</v>
      </c>
      <c r="M498" s="34">
        <f t="shared" si="14"/>
        <v>0</v>
      </c>
      <c r="N498" s="17">
        <f t="shared" si="15"/>
        <v>111812.4</v>
      </c>
    </row>
    <row r="499" spans="1:14" x14ac:dyDescent="0.25">
      <c r="A499" s="14" t="s">
        <v>1852</v>
      </c>
      <c r="B499" s="14" t="s">
        <v>401</v>
      </c>
      <c r="C499" s="15" t="s">
        <v>1999</v>
      </c>
      <c r="D499" s="14" t="s">
        <v>1745</v>
      </c>
      <c r="E499" s="14" t="s">
        <v>1746</v>
      </c>
      <c r="F499" s="17" t="s">
        <v>2994</v>
      </c>
      <c r="G499" s="14">
        <v>2306178</v>
      </c>
      <c r="H499" s="14">
        <v>1614325</v>
      </c>
      <c r="I499" s="31">
        <f>IF(COUNTIFS(Addendum!C:C,A499,Addendum!D:D,IF(ISNUMBER(B499),TEXT(B499,"0000"),B499),Addendum!E:E,"X")&gt;0,4%,0)</f>
        <v>0</v>
      </c>
      <c r="J499" s="31">
        <f>IF(COUNTIFS(Addendum!C:C,A499,Addendum!D:D,IF(ISNUMBER(B499),TEXT(B499,"0000"),B499),Addendum!F:F,"X")&gt;0,2.5%,0)</f>
        <v>0</v>
      </c>
      <c r="K499" s="31">
        <f>IF(COUNTIFS(Addendum!C:C,A499,Addendum!D:D,IF(ISNUMBER(B499),TEXT(B499,"0000"),B499),Addendum!G:G,"X")&gt;0,7%,0)</f>
        <v>0</v>
      </c>
      <c r="L499" s="31">
        <f>IF(COUNTIFS(Addendum!C:C,A499,Addendum!D:D,IF(ISNUMBER(B499),TEXT(B499,"0000"),B499),Addendum!I:I,"X")&gt;0,10%,0)</f>
        <v>0</v>
      </c>
      <c r="M499" s="34">
        <f t="shared" si="14"/>
        <v>0</v>
      </c>
      <c r="N499" s="17">
        <f t="shared" si="15"/>
        <v>1614325</v>
      </c>
    </row>
    <row r="500" spans="1:14" x14ac:dyDescent="0.25">
      <c r="A500" s="14" t="s">
        <v>1852</v>
      </c>
      <c r="B500" s="14" t="s">
        <v>1924</v>
      </c>
      <c r="C500" s="15" t="s">
        <v>1925</v>
      </c>
      <c r="D500" s="14" t="s">
        <v>1745</v>
      </c>
      <c r="E500" s="14" t="s">
        <v>1747</v>
      </c>
      <c r="F500" s="17" t="s">
        <v>2994</v>
      </c>
      <c r="G500" s="14">
        <v>274560</v>
      </c>
      <c r="H500" s="14">
        <v>192192</v>
      </c>
      <c r="I500" s="31">
        <f>IF(COUNTIFS(Addendum!C:C,A500,Addendum!D:D,IF(ISNUMBER(B500),TEXT(B500,"0000"),B500),Addendum!E:E,"X")&gt;0,4%,0)</f>
        <v>0</v>
      </c>
      <c r="J500" s="31">
        <f>IF(COUNTIFS(Addendum!C:C,A500,Addendum!D:D,IF(ISNUMBER(B500),TEXT(B500,"0000"),B500),Addendum!F:F,"X")&gt;0,2.5%,0)</f>
        <v>0</v>
      </c>
      <c r="K500" s="31">
        <f>IF(COUNTIFS(Addendum!C:C,A500,Addendum!D:D,IF(ISNUMBER(B500),TEXT(B500,"0000"),B500),Addendum!G:G,"X")&gt;0,7%,0)</f>
        <v>0</v>
      </c>
      <c r="L500" s="31">
        <f>IF(COUNTIFS(Addendum!C:C,A500,Addendum!D:D,IF(ISNUMBER(B500),TEXT(B500,"0000"),B500),Addendum!I:I,"X")&gt;0,10%,0)</f>
        <v>0</v>
      </c>
      <c r="M500" s="34">
        <f t="shared" si="14"/>
        <v>0</v>
      </c>
      <c r="N500" s="17">
        <f t="shared" si="15"/>
        <v>192192</v>
      </c>
    </row>
    <row r="501" spans="1:14" x14ac:dyDescent="0.25">
      <c r="A501" s="14" t="s">
        <v>1852</v>
      </c>
      <c r="B501" s="14" t="s">
        <v>1735</v>
      </c>
      <c r="C501" s="15" t="s">
        <v>1994</v>
      </c>
      <c r="D501" s="14" t="s">
        <v>1745</v>
      </c>
      <c r="E501" s="14" t="s">
        <v>1747</v>
      </c>
      <c r="F501" s="17" t="s">
        <v>2995</v>
      </c>
      <c r="G501" s="14">
        <v>1198020</v>
      </c>
      <c r="H501" s="14">
        <v>1078218</v>
      </c>
      <c r="I501" s="31">
        <f>IF(COUNTIFS(Addendum!C:C,A501,Addendum!D:D,IF(ISNUMBER(B501),TEXT(B501,"0000"),B501),Addendum!E:E,"X")&gt;0,4%,0)</f>
        <v>0</v>
      </c>
      <c r="J501" s="31">
        <f>IF(COUNTIFS(Addendum!C:C,A501,Addendum!D:D,IF(ISNUMBER(B501),TEXT(B501,"0000"),B501),Addendum!F:F,"X")&gt;0,2.5%,0)</f>
        <v>0</v>
      </c>
      <c r="K501" s="31">
        <f>IF(COUNTIFS(Addendum!C:C,A501,Addendum!D:D,IF(ISNUMBER(B501),TEXT(B501,"0000"),B501),Addendum!G:G,"X")&gt;0,7%,0)</f>
        <v>0</v>
      </c>
      <c r="L501" s="31">
        <f>IF(COUNTIFS(Addendum!C:C,A501,Addendum!D:D,IF(ISNUMBER(B501),TEXT(B501,"0000"),B501),Addendum!I:I,"X")&gt;0,10%,0)</f>
        <v>0</v>
      </c>
      <c r="M501" s="34">
        <f t="shared" si="14"/>
        <v>0</v>
      </c>
      <c r="N501" s="17">
        <f t="shared" si="15"/>
        <v>1078218</v>
      </c>
    </row>
    <row r="502" spans="1:14" x14ac:dyDescent="0.25">
      <c r="A502" s="14" t="s">
        <v>1852</v>
      </c>
      <c r="B502" s="14">
        <v>68</v>
      </c>
      <c r="C502" s="15" t="s">
        <v>1871</v>
      </c>
      <c r="D502" s="14" t="s">
        <v>1745</v>
      </c>
      <c r="E502" s="14" t="s">
        <v>1746</v>
      </c>
      <c r="F502" s="17" t="s">
        <v>2994</v>
      </c>
      <c r="G502" s="14">
        <v>288288</v>
      </c>
      <c r="H502" s="14">
        <v>201801.60000000001</v>
      </c>
      <c r="I502" s="31">
        <f>IF(COUNTIFS(Addendum!C:C,A502,Addendum!D:D,IF(ISNUMBER(B502),TEXT(B502,"0000"),B502),Addendum!E:E,"X")&gt;0,4%,0)</f>
        <v>0</v>
      </c>
      <c r="J502" s="31">
        <f>IF(COUNTIFS(Addendum!C:C,A502,Addendum!D:D,IF(ISNUMBER(B502),TEXT(B502,"0000"),B502),Addendum!F:F,"X")&gt;0,2.5%,0)</f>
        <v>0</v>
      </c>
      <c r="K502" s="31">
        <f>IF(COUNTIFS(Addendum!C:C,A502,Addendum!D:D,IF(ISNUMBER(B502),TEXT(B502,"0000"),B502),Addendum!G:G,"X")&gt;0,7%,0)</f>
        <v>0</v>
      </c>
      <c r="L502" s="31">
        <f>IF(COUNTIFS(Addendum!C:C,A502,Addendum!D:D,IF(ISNUMBER(B502),TEXT(B502,"0000"),B502),Addendum!I:I,"X")&gt;0,10%,0)</f>
        <v>0</v>
      </c>
      <c r="M502" s="34">
        <f t="shared" si="14"/>
        <v>0</v>
      </c>
      <c r="N502" s="17">
        <f t="shared" si="15"/>
        <v>201801.60000000001</v>
      </c>
    </row>
    <row r="503" spans="1:14" x14ac:dyDescent="0.25">
      <c r="A503" s="14" t="s">
        <v>1852</v>
      </c>
      <c r="B503" s="14">
        <v>82</v>
      </c>
      <c r="C503" s="15" t="s">
        <v>2002</v>
      </c>
      <c r="D503" s="14" t="s">
        <v>1745</v>
      </c>
      <c r="E503" s="14" t="s">
        <v>1747</v>
      </c>
      <c r="F503" s="17" t="s">
        <v>2994</v>
      </c>
      <c r="G503" s="14">
        <v>2196360</v>
      </c>
      <c r="H503" s="14">
        <v>1537452</v>
      </c>
      <c r="I503" s="31">
        <f>IF(COUNTIFS(Addendum!C:C,A503,Addendum!D:D,IF(ISNUMBER(B503),TEXT(B503,"0000"),B503),Addendum!E:E,"X")&gt;0,4%,0)</f>
        <v>0</v>
      </c>
      <c r="J503" s="31">
        <f>IF(COUNTIFS(Addendum!C:C,A503,Addendum!D:D,IF(ISNUMBER(B503),TEXT(B503,"0000"),B503),Addendum!F:F,"X")&gt;0,2.5%,0)</f>
        <v>0</v>
      </c>
      <c r="K503" s="31">
        <f>IF(COUNTIFS(Addendum!C:C,A503,Addendum!D:D,IF(ISNUMBER(B503),TEXT(B503,"0000"),B503),Addendum!G:G,"X")&gt;0,7%,0)</f>
        <v>0</v>
      </c>
      <c r="L503" s="31">
        <f>IF(COUNTIFS(Addendum!C:C,A503,Addendum!D:D,IF(ISNUMBER(B503),TEXT(B503,"0000"),B503),Addendum!I:I,"X")&gt;0,10%,0)</f>
        <v>0</v>
      </c>
      <c r="M503" s="34">
        <f t="shared" si="14"/>
        <v>0</v>
      </c>
      <c r="N503" s="17">
        <f t="shared" si="15"/>
        <v>1537452</v>
      </c>
    </row>
    <row r="504" spans="1:14" ht="30" x14ac:dyDescent="0.25">
      <c r="A504" s="14" t="s">
        <v>1850</v>
      </c>
      <c r="B504" s="14" t="s">
        <v>50</v>
      </c>
      <c r="C504" s="15" t="s">
        <v>1947</v>
      </c>
      <c r="D504" s="14" t="s">
        <v>1745</v>
      </c>
      <c r="E504" s="14" t="s">
        <v>1747</v>
      </c>
      <c r="F504" s="17" t="s">
        <v>2995</v>
      </c>
      <c r="G504" s="14">
        <v>15000</v>
      </c>
      <c r="H504" s="14">
        <v>13500</v>
      </c>
      <c r="I504" s="31">
        <f>IF(COUNTIFS(Addendum!C:C,A504,Addendum!D:D,IF(ISNUMBER(B504),TEXT(B504,"0000"),B504),Addendum!E:E,"X")&gt;0,4%,0)</f>
        <v>0</v>
      </c>
      <c r="J504" s="31">
        <f>IF(COUNTIFS(Addendum!C:C,A504,Addendum!D:D,IF(ISNUMBER(B504),TEXT(B504,"0000"),B504),Addendum!F:F,"X")&gt;0,2.5%,0)</f>
        <v>0</v>
      </c>
      <c r="K504" s="31">
        <f>IF(COUNTIFS(Addendum!C:C,A504,Addendum!D:D,IF(ISNUMBER(B504),TEXT(B504,"0000"),B504),Addendum!G:G,"X")&gt;0,7%,0)</f>
        <v>0</v>
      </c>
      <c r="L504" s="31">
        <f>IF(COUNTIFS(Addendum!C:C,A504,Addendum!D:D,IF(ISNUMBER(B504),TEXT(B504,"0000"),B504),Addendum!I:I,"X")&gt;0,10%,0)</f>
        <v>0</v>
      </c>
      <c r="M504" s="34">
        <f t="shared" si="14"/>
        <v>0</v>
      </c>
      <c r="N504" s="17">
        <f t="shared" si="15"/>
        <v>13500</v>
      </c>
    </row>
    <row r="505" spans="1:14" x14ac:dyDescent="0.25">
      <c r="A505" s="14" t="s">
        <v>1852</v>
      </c>
      <c r="B505" s="14">
        <v>51</v>
      </c>
      <c r="C505" s="15" t="s">
        <v>1960</v>
      </c>
      <c r="D505" s="14" t="s">
        <v>1749</v>
      </c>
      <c r="E505" s="14" t="s">
        <v>1746</v>
      </c>
      <c r="F505" s="17" t="s">
        <v>2994</v>
      </c>
      <c r="G505" s="14">
        <v>1237938</v>
      </c>
      <c r="H505" s="14">
        <v>866556.6</v>
      </c>
      <c r="I505" s="31">
        <f>IF(COUNTIFS(Addendum!C:C,A505,Addendum!D:D,IF(ISNUMBER(B505),TEXT(B505,"0000"),B505),Addendum!E:E,"X")&gt;0,4%,0)</f>
        <v>0</v>
      </c>
      <c r="J505" s="31">
        <f>IF(COUNTIFS(Addendum!C:C,A505,Addendum!D:D,IF(ISNUMBER(B505),TEXT(B505,"0000"),B505),Addendum!F:F,"X")&gt;0,2.5%,0)</f>
        <v>0</v>
      </c>
      <c r="K505" s="31">
        <f>IF(COUNTIFS(Addendum!C:C,A505,Addendum!D:D,IF(ISNUMBER(B505),TEXT(B505,"0000"),B505),Addendum!G:G,"X")&gt;0,7%,0)</f>
        <v>0</v>
      </c>
      <c r="L505" s="31">
        <f>IF(COUNTIFS(Addendum!C:C,A505,Addendum!D:D,IF(ISNUMBER(B505),TEXT(B505,"0000"),B505),Addendum!I:I,"X")&gt;0,10%,0)</f>
        <v>0</v>
      </c>
      <c r="M505" s="34">
        <f t="shared" si="14"/>
        <v>0</v>
      </c>
      <c r="N505" s="17">
        <f t="shared" si="15"/>
        <v>866556.6</v>
      </c>
    </row>
    <row r="506" spans="1:14" x14ac:dyDescent="0.25">
      <c r="A506" s="14" t="s">
        <v>1852</v>
      </c>
      <c r="B506" s="14" t="s">
        <v>73</v>
      </c>
      <c r="C506" s="15" t="s">
        <v>2003</v>
      </c>
      <c r="D506" s="14" t="s">
        <v>1745</v>
      </c>
      <c r="E506" s="14" t="s">
        <v>1746</v>
      </c>
      <c r="F506" s="17" t="s">
        <v>2993</v>
      </c>
      <c r="G506" s="14">
        <v>524097</v>
      </c>
      <c r="H506" s="14">
        <v>366868</v>
      </c>
      <c r="I506" s="31">
        <f>IF(COUNTIFS(Addendum!C:C,A506,Addendum!D:D,IF(ISNUMBER(B506),TEXT(B506,"0000"),B506),Addendum!E:E,"X")&gt;0,4%,0)</f>
        <v>0</v>
      </c>
      <c r="J506" s="31">
        <f>IF(COUNTIFS(Addendum!C:C,A506,Addendum!D:D,IF(ISNUMBER(B506),TEXT(B506,"0000"),B506),Addendum!F:F,"X")&gt;0,2.5%,0)</f>
        <v>0</v>
      </c>
      <c r="K506" s="31">
        <f>IF(COUNTIFS(Addendum!C:C,A506,Addendum!D:D,IF(ISNUMBER(B506),TEXT(B506,"0000"),B506),Addendum!G:G,"X")&gt;0,7%,0)</f>
        <v>0</v>
      </c>
      <c r="L506" s="31">
        <f>IF(COUNTIFS(Addendum!C:C,A506,Addendum!D:D,IF(ISNUMBER(B506),TEXT(B506,"0000"),B506),Addendum!I:I,"X")&gt;0,10%,0)</f>
        <v>0</v>
      </c>
      <c r="M506" s="34">
        <f t="shared" si="14"/>
        <v>0</v>
      </c>
      <c r="N506" s="17">
        <f t="shared" si="15"/>
        <v>366868</v>
      </c>
    </row>
    <row r="507" spans="1:14" x14ac:dyDescent="0.25">
      <c r="A507" s="14" t="s">
        <v>1852</v>
      </c>
      <c r="B507" s="14" t="s">
        <v>402</v>
      </c>
      <c r="C507" s="15" t="s">
        <v>1932</v>
      </c>
      <c r="D507" s="14" t="s">
        <v>1745</v>
      </c>
      <c r="E507" s="14" t="s">
        <v>1746</v>
      </c>
      <c r="F507" s="17" t="s">
        <v>2994</v>
      </c>
      <c r="G507" s="14">
        <v>8359848</v>
      </c>
      <c r="H507" s="14">
        <v>5851894</v>
      </c>
      <c r="I507" s="31">
        <f>IF(COUNTIFS(Addendum!C:C,A507,Addendum!D:D,IF(ISNUMBER(B507),TEXT(B507,"0000"),B507),Addendum!E:E,"X")&gt;0,4%,0)</f>
        <v>0</v>
      </c>
      <c r="J507" s="31">
        <f>IF(COUNTIFS(Addendum!C:C,A507,Addendum!D:D,IF(ISNUMBER(B507),TEXT(B507,"0000"),B507),Addendum!F:F,"X")&gt;0,2.5%,0)</f>
        <v>0</v>
      </c>
      <c r="K507" s="31">
        <f>IF(COUNTIFS(Addendum!C:C,A507,Addendum!D:D,IF(ISNUMBER(B507),TEXT(B507,"0000"),B507),Addendum!G:G,"X")&gt;0,7%,0)</f>
        <v>0</v>
      </c>
      <c r="L507" s="31">
        <f>IF(COUNTIFS(Addendum!C:C,A507,Addendum!D:D,IF(ISNUMBER(B507),TEXT(B507,"0000"),B507),Addendum!I:I,"X")&gt;0,10%,0)</f>
        <v>0</v>
      </c>
      <c r="M507" s="34">
        <f t="shared" si="14"/>
        <v>0</v>
      </c>
      <c r="N507" s="17">
        <f t="shared" si="15"/>
        <v>5851894</v>
      </c>
    </row>
    <row r="508" spans="1:14" x14ac:dyDescent="0.25">
      <c r="A508" s="14" t="s">
        <v>1852</v>
      </c>
      <c r="B508" s="14">
        <v>73</v>
      </c>
      <c r="C508" s="15" t="s">
        <v>1954</v>
      </c>
      <c r="D508" s="14" t="s">
        <v>1745</v>
      </c>
      <c r="E508" s="14" t="s">
        <v>1747</v>
      </c>
      <c r="F508" s="17" t="s">
        <v>2994</v>
      </c>
      <c r="G508" s="14">
        <v>12379380</v>
      </c>
      <c r="H508" s="14">
        <v>8665566</v>
      </c>
      <c r="I508" s="31">
        <f>IF(COUNTIFS(Addendum!C:C,A508,Addendum!D:D,IF(ISNUMBER(B508),TEXT(B508,"0000"),B508),Addendum!E:E,"X")&gt;0,4%,0)</f>
        <v>0</v>
      </c>
      <c r="J508" s="31">
        <f>IF(COUNTIFS(Addendum!C:C,A508,Addendum!D:D,IF(ISNUMBER(B508),TEXT(B508,"0000"),B508),Addendum!F:F,"X")&gt;0,2.5%,0)</f>
        <v>0</v>
      </c>
      <c r="K508" s="31">
        <f>IF(COUNTIFS(Addendum!C:C,A508,Addendum!D:D,IF(ISNUMBER(B508),TEXT(B508,"0000"),B508),Addendum!G:G,"X")&gt;0,7%,0)</f>
        <v>0</v>
      </c>
      <c r="L508" s="31">
        <f>IF(COUNTIFS(Addendum!C:C,A508,Addendum!D:D,IF(ISNUMBER(B508),TEXT(B508,"0000"),B508),Addendum!I:I,"X")&gt;0,10%,0)</f>
        <v>0</v>
      </c>
      <c r="M508" s="34">
        <f t="shared" si="14"/>
        <v>0</v>
      </c>
      <c r="N508" s="17">
        <f t="shared" si="15"/>
        <v>8665566</v>
      </c>
    </row>
    <row r="509" spans="1:14" x14ac:dyDescent="0.25">
      <c r="A509" s="14" t="s">
        <v>1852</v>
      </c>
      <c r="B509" s="14">
        <v>87</v>
      </c>
      <c r="C509" s="15" t="s">
        <v>1867</v>
      </c>
      <c r="D509" s="14" t="s">
        <v>1745</v>
      </c>
      <c r="E509" s="14" t="s">
        <v>1746</v>
      </c>
      <c r="F509" s="17" t="s">
        <v>2995</v>
      </c>
      <c r="G509" s="14">
        <v>1257921</v>
      </c>
      <c r="H509" s="14">
        <v>1132129</v>
      </c>
      <c r="I509" s="31">
        <f>IF(COUNTIFS(Addendum!C:C,A509,Addendum!D:D,IF(ISNUMBER(B509),TEXT(B509,"0000"),B509),Addendum!E:E,"X")&gt;0,4%,0)</f>
        <v>0</v>
      </c>
      <c r="J509" s="31">
        <f>IF(COUNTIFS(Addendum!C:C,A509,Addendum!D:D,IF(ISNUMBER(B509),TEXT(B509,"0000"),B509),Addendum!F:F,"X")&gt;0,2.5%,0)</f>
        <v>0</v>
      </c>
      <c r="K509" s="31">
        <f>IF(COUNTIFS(Addendum!C:C,A509,Addendum!D:D,IF(ISNUMBER(B509),TEXT(B509,"0000"),B509),Addendum!G:G,"X")&gt;0,7%,0)</f>
        <v>0</v>
      </c>
      <c r="L509" s="31">
        <f>IF(COUNTIFS(Addendum!C:C,A509,Addendum!D:D,IF(ISNUMBER(B509),TEXT(B509,"0000"),B509),Addendum!I:I,"X")&gt;0,10%,0)</f>
        <v>0</v>
      </c>
      <c r="M509" s="34">
        <f t="shared" si="14"/>
        <v>0</v>
      </c>
      <c r="N509" s="17">
        <f t="shared" si="15"/>
        <v>1132129</v>
      </c>
    </row>
    <row r="510" spans="1:14" x14ac:dyDescent="0.25">
      <c r="A510" s="14" t="s">
        <v>1852</v>
      </c>
      <c r="B510" s="14" t="s">
        <v>16</v>
      </c>
      <c r="C510" s="15" t="s">
        <v>1889</v>
      </c>
      <c r="D510" s="14" t="s">
        <v>1745</v>
      </c>
      <c r="E510" s="14" t="s">
        <v>1747</v>
      </c>
      <c r="F510" s="17" t="s">
        <v>2993</v>
      </c>
      <c r="G510" s="14">
        <v>499140</v>
      </c>
      <c r="H510" s="14">
        <v>349398</v>
      </c>
      <c r="I510" s="31">
        <f>IF(COUNTIFS(Addendum!C:C,A510,Addendum!D:D,IF(ISNUMBER(B510),TEXT(B510,"0000"),B510),Addendum!E:E,"X")&gt;0,4%,0)</f>
        <v>0</v>
      </c>
      <c r="J510" s="31">
        <f>IF(COUNTIFS(Addendum!C:C,A510,Addendum!D:D,IF(ISNUMBER(B510),TEXT(B510,"0000"),B510),Addendum!F:F,"X")&gt;0,2.5%,0)</f>
        <v>0</v>
      </c>
      <c r="K510" s="31">
        <f>IF(COUNTIFS(Addendum!C:C,A510,Addendum!D:D,IF(ISNUMBER(B510),TEXT(B510,"0000"),B510),Addendum!G:G,"X")&gt;0,7%,0)</f>
        <v>0</v>
      </c>
      <c r="L510" s="31">
        <f>IF(COUNTIFS(Addendum!C:C,A510,Addendum!D:D,IF(ISNUMBER(B510),TEXT(B510,"0000"),B510),Addendum!I:I,"X")&gt;0,10%,0)</f>
        <v>0</v>
      </c>
      <c r="M510" s="34">
        <f t="shared" si="14"/>
        <v>0</v>
      </c>
      <c r="N510" s="17">
        <f t="shared" si="15"/>
        <v>349398</v>
      </c>
    </row>
    <row r="511" spans="1:14" x14ac:dyDescent="0.25">
      <c r="A511" s="14" t="s">
        <v>1852</v>
      </c>
      <c r="B511" s="14" t="s">
        <v>1945</v>
      </c>
      <c r="C511" s="15" t="s">
        <v>1946</v>
      </c>
      <c r="D511" s="14" t="s">
        <v>1749</v>
      </c>
      <c r="E511" s="14" t="s">
        <v>1746</v>
      </c>
      <c r="F511" s="17" t="s">
        <v>2995</v>
      </c>
      <c r="G511" s="14">
        <v>119802</v>
      </c>
      <c r="H511" s="14">
        <v>107821.8</v>
      </c>
      <c r="I511" s="31">
        <f>IF(COUNTIFS(Addendum!C:C,A511,Addendum!D:D,IF(ISNUMBER(B511),TEXT(B511,"0000"),B511),Addendum!E:E,"X")&gt;0,4%,0)</f>
        <v>0</v>
      </c>
      <c r="J511" s="31">
        <f>IF(COUNTIFS(Addendum!C:C,A511,Addendum!D:D,IF(ISNUMBER(B511),TEXT(B511,"0000"),B511),Addendum!F:F,"X")&gt;0,2.5%,0)</f>
        <v>0</v>
      </c>
      <c r="K511" s="31">
        <f>IF(COUNTIFS(Addendum!C:C,A511,Addendum!D:D,IF(ISNUMBER(B511),TEXT(B511,"0000"),B511),Addendum!G:G,"X")&gt;0,7%,0)</f>
        <v>0</v>
      </c>
      <c r="L511" s="31">
        <f>IF(COUNTIFS(Addendum!C:C,A511,Addendum!D:D,IF(ISNUMBER(B511),TEXT(B511,"0000"),B511),Addendum!I:I,"X")&gt;0,10%,0)</f>
        <v>0</v>
      </c>
      <c r="M511" s="34">
        <f t="shared" si="14"/>
        <v>0</v>
      </c>
      <c r="N511" s="17">
        <f t="shared" si="15"/>
        <v>107821.8</v>
      </c>
    </row>
    <row r="512" spans="1:14" x14ac:dyDescent="0.25">
      <c r="A512" s="14" t="s">
        <v>1852</v>
      </c>
      <c r="B512" s="14" t="s">
        <v>89</v>
      </c>
      <c r="C512" s="15" t="s">
        <v>1929</v>
      </c>
      <c r="D512" s="14" t="s">
        <v>1745</v>
      </c>
      <c r="E512" s="14" t="s">
        <v>1747</v>
      </c>
      <c r="F512" s="17" t="s">
        <v>2993</v>
      </c>
      <c r="G512" s="14">
        <v>30948420</v>
      </c>
      <c r="H512" s="14">
        <v>21663894</v>
      </c>
      <c r="I512" s="31">
        <f>IF(COUNTIFS(Addendum!C:C,A512,Addendum!D:D,IF(ISNUMBER(B512),TEXT(B512,"0000"),B512),Addendum!E:E,"X")&gt;0,4%,0)</f>
        <v>0</v>
      </c>
      <c r="J512" s="31">
        <f>IF(COUNTIFS(Addendum!C:C,A512,Addendum!D:D,IF(ISNUMBER(B512),TEXT(B512,"0000"),B512),Addendum!F:F,"X")&gt;0,2.5%,0)</f>
        <v>0</v>
      </c>
      <c r="K512" s="31">
        <f>IF(COUNTIFS(Addendum!C:C,A512,Addendum!D:D,IF(ISNUMBER(B512),TEXT(B512,"0000"),B512),Addendum!G:G,"X")&gt;0,7%,0)</f>
        <v>0</v>
      </c>
      <c r="L512" s="31">
        <f>IF(COUNTIFS(Addendum!C:C,A512,Addendum!D:D,IF(ISNUMBER(B512),TEXT(B512,"0000"),B512),Addendum!I:I,"X")&gt;0,10%,0)</f>
        <v>0</v>
      </c>
      <c r="M512" s="34">
        <f t="shared" si="14"/>
        <v>0</v>
      </c>
      <c r="N512" s="17">
        <f t="shared" si="15"/>
        <v>21663894</v>
      </c>
    </row>
    <row r="513" spans="1:14" x14ac:dyDescent="0.25">
      <c r="A513" s="14" t="s">
        <v>1852</v>
      </c>
      <c r="B513" s="14" t="s">
        <v>34</v>
      </c>
      <c r="C513" s="15" t="s">
        <v>1915</v>
      </c>
      <c r="D513" s="14" t="s">
        <v>1745</v>
      </c>
      <c r="E513" s="14" t="s">
        <v>1747</v>
      </c>
      <c r="F513" s="17" t="s">
        <v>2993</v>
      </c>
      <c r="G513" s="14">
        <v>30948420</v>
      </c>
      <c r="H513" s="14">
        <v>21663894</v>
      </c>
      <c r="I513" s="31">
        <f>IF(COUNTIFS(Addendum!C:C,A513,Addendum!D:D,IF(ISNUMBER(B513),TEXT(B513,"0000"),B513),Addendum!E:E,"X")&gt;0,4%,0)</f>
        <v>0</v>
      </c>
      <c r="J513" s="31">
        <f>IF(COUNTIFS(Addendum!C:C,A513,Addendum!D:D,IF(ISNUMBER(B513),TEXT(B513,"0000"),B513),Addendum!F:F,"X")&gt;0,2.5%,0)</f>
        <v>0</v>
      </c>
      <c r="K513" s="31">
        <f>IF(COUNTIFS(Addendum!C:C,A513,Addendum!D:D,IF(ISNUMBER(B513),TEXT(B513,"0000"),B513),Addendum!G:G,"X")&gt;0,7%,0)</f>
        <v>0</v>
      </c>
      <c r="L513" s="31">
        <f>IF(COUNTIFS(Addendum!C:C,A513,Addendum!D:D,IF(ISNUMBER(B513),TEXT(B513,"0000"),B513),Addendum!I:I,"X")&gt;0,10%,0)</f>
        <v>0</v>
      </c>
      <c r="M513" s="34">
        <f t="shared" si="14"/>
        <v>0</v>
      </c>
      <c r="N513" s="17">
        <f t="shared" si="15"/>
        <v>21663894</v>
      </c>
    </row>
    <row r="514" spans="1:14" x14ac:dyDescent="0.25">
      <c r="A514" s="14" t="s">
        <v>1852</v>
      </c>
      <c r="B514" s="14">
        <v>57</v>
      </c>
      <c r="C514" s="15" t="s">
        <v>1914</v>
      </c>
      <c r="D514" s="14" t="s">
        <v>1749</v>
      </c>
      <c r="E514" s="14" t="s">
        <v>1746</v>
      </c>
      <c r="F514" s="17" t="s">
        <v>2994</v>
      </c>
      <c r="G514" s="14">
        <v>19968</v>
      </c>
      <c r="H514" s="14">
        <v>13977.6</v>
      </c>
      <c r="I514" s="31">
        <f>IF(COUNTIFS(Addendum!C:C,A514,Addendum!D:D,IF(ISNUMBER(B514),TEXT(B514,"0000"),B514),Addendum!E:E,"X")&gt;0,4%,0)</f>
        <v>0</v>
      </c>
      <c r="J514" s="31">
        <f>IF(COUNTIFS(Addendum!C:C,A514,Addendum!D:D,IF(ISNUMBER(B514),TEXT(B514,"0000"),B514),Addendum!F:F,"X")&gt;0,2.5%,0)</f>
        <v>0</v>
      </c>
      <c r="K514" s="31">
        <f>IF(COUNTIFS(Addendum!C:C,A514,Addendum!D:D,IF(ISNUMBER(B514),TEXT(B514,"0000"),B514),Addendum!G:G,"X")&gt;0,7%,0)</f>
        <v>0</v>
      </c>
      <c r="L514" s="31">
        <f>IF(COUNTIFS(Addendum!C:C,A514,Addendum!D:D,IF(ISNUMBER(B514),TEXT(B514,"0000"),B514),Addendum!I:I,"X")&gt;0,10%,0)</f>
        <v>0</v>
      </c>
      <c r="M514" s="34">
        <f t="shared" si="14"/>
        <v>0</v>
      </c>
      <c r="N514" s="17">
        <f t="shared" si="15"/>
        <v>13977.6</v>
      </c>
    </row>
    <row r="515" spans="1:14" x14ac:dyDescent="0.25">
      <c r="A515" s="14" t="s">
        <v>1852</v>
      </c>
      <c r="B515" s="14">
        <v>14</v>
      </c>
      <c r="C515" s="15" t="s">
        <v>1989</v>
      </c>
      <c r="D515" s="14" t="s">
        <v>1745</v>
      </c>
      <c r="E515" s="14" t="s">
        <v>1747</v>
      </c>
      <c r="F515" s="17" t="s">
        <v>2993</v>
      </c>
      <c r="G515" s="14">
        <v>499140</v>
      </c>
      <c r="H515" s="14">
        <v>349398</v>
      </c>
      <c r="I515" s="31">
        <f>IF(COUNTIFS(Addendum!C:C,A515,Addendum!D:D,IF(ISNUMBER(B515),TEXT(B515,"0000"),B515),Addendum!E:E,"X")&gt;0,4%,0)</f>
        <v>0</v>
      </c>
      <c r="J515" s="31">
        <f>IF(COUNTIFS(Addendum!C:C,A515,Addendum!D:D,IF(ISNUMBER(B515),TEXT(B515,"0000"),B515),Addendum!F:F,"X")&gt;0,2.5%,0)</f>
        <v>0</v>
      </c>
      <c r="K515" s="31">
        <f>IF(COUNTIFS(Addendum!C:C,A515,Addendum!D:D,IF(ISNUMBER(B515),TEXT(B515,"0000"),B515),Addendum!G:G,"X")&gt;0,7%,0)</f>
        <v>0</v>
      </c>
      <c r="L515" s="31">
        <f>IF(COUNTIFS(Addendum!C:C,A515,Addendum!D:D,IF(ISNUMBER(B515),TEXT(B515,"0000"),B515),Addendum!I:I,"X")&gt;0,10%,0)</f>
        <v>0</v>
      </c>
      <c r="M515" s="34">
        <f t="shared" si="14"/>
        <v>0</v>
      </c>
      <c r="N515" s="17">
        <f t="shared" si="15"/>
        <v>349398</v>
      </c>
    </row>
    <row r="516" spans="1:14" x14ac:dyDescent="0.25">
      <c r="A516" s="14" t="s">
        <v>1852</v>
      </c>
      <c r="B516" s="14">
        <v>75</v>
      </c>
      <c r="C516" s="15" t="s">
        <v>2004</v>
      </c>
      <c r="D516" s="14" t="s">
        <v>1749</v>
      </c>
      <c r="E516" s="14" t="s">
        <v>1746</v>
      </c>
      <c r="F516" s="17" t="s">
        <v>2994</v>
      </c>
      <c r="G516" s="14">
        <v>1702164</v>
      </c>
      <c r="H516" s="14">
        <v>1191515</v>
      </c>
      <c r="I516" s="31">
        <f>IF(COUNTIFS(Addendum!C:C,A516,Addendum!D:D,IF(ISNUMBER(B516),TEXT(B516,"0000"),B516),Addendum!E:E,"X")&gt;0,4%,0)</f>
        <v>0</v>
      </c>
      <c r="J516" s="31">
        <f>IF(COUNTIFS(Addendum!C:C,A516,Addendum!D:D,IF(ISNUMBER(B516),TEXT(B516,"0000"),B516),Addendum!F:F,"X")&gt;0,2.5%,0)</f>
        <v>0</v>
      </c>
      <c r="K516" s="31">
        <f>IF(COUNTIFS(Addendum!C:C,A516,Addendum!D:D,IF(ISNUMBER(B516),TEXT(B516,"0000"),B516),Addendum!G:G,"X")&gt;0,7%,0)</f>
        <v>0</v>
      </c>
      <c r="L516" s="31">
        <f>IF(COUNTIFS(Addendum!C:C,A516,Addendum!D:D,IF(ISNUMBER(B516),TEXT(B516,"0000"),B516),Addendum!I:I,"X")&gt;0,10%,0)</f>
        <v>0</v>
      </c>
      <c r="M516" s="34">
        <f t="shared" ref="M516:M579" si="16">IF(AND(I516=0%,J516=0%,K516=0%,L516=0%),0%,
IF(OR(TRIM(E516)="OneTime",TRIM(D516)=""),0%,
IF(
OR(
TRIM(D516)="P1M",
AND(TRIM(D516)="P1Y",TRIM(E516)="Monthly"),
AND(TRIM(D516)="P3Y",TRIM(E516)="Monthly")
),
IF(AND(I516=4%,J516=0%,K516=0%,L516=0%),1%,
IF(AND(I516=4%,J516=2.5%,K516=0%,L516=10%),2%,
IF(AND(I516=4%,J516=0%,K516=7%,L516=10%),3%,0%))),
IF(
OR(
AND(TRIM(D516)="P1Y",TRIM(E516)="Annual"),
AND(TRIM(D516)="P3Y",TRIM(E516)="Annual"),
AND(TRIM(D516)="P3Y",TRIM(E516)="Triennial")
),
IF(AND(I516=4%,J516=0%,K516=0%,L516=0%),3%,
IF(AND(I516=4%,J516=2.5%,K516=0%,L516=10%),10%,
IF(AND(I516=4%,J516=0%,K516=7%,L516=10%),14%,0%))),
0%
))))</f>
        <v>0</v>
      </c>
      <c r="N516" s="17">
        <f t="shared" ref="N516:N579" si="17">H516-(H516*M516)</f>
        <v>1191515</v>
      </c>
    </row>
    <row r="517" spans="1:14" x14ac:dyDescent="0.25">
      <c r="A517" s="14" t="s">
        <v>1852</v>
      </c>
      <c r="B517" s="14">
        <v>53</v>
      </c>
      <c r="C517" s="15" t="s">
        <v>2005</v>
      </c>
      <c r="D517" s="14" t="s">
        <v>1745</v>
      </c>
      <c r="E517" s="14" t="s">
        <v>1747</v>
      </c>
      <c r="F517" s="17" t="s">
        <v>2995</v>
      </c>
      <c r="G517" s="14">
        <v>149760</v>
      </c>
      <c r="H517" s="14">
        <v>134784</v>
      </c>
      <c r="I517" s="31">
        <f>IF(COUNTIFS(Addendum!C:C,A517,Addendum!D:D,IF(ISNUMBER(B517),TEXT(B517,"0000"),B517),Addendum!E:E,"X")&gt;0,4%,0)</f>
        <v>0</v>
      </c>
      <c r="J517" s="31">
        <f>IF(COUNTIFS(Addendum!C:C,A517,Addendum!D:D,IF(ISNUMBER(B517),TEXT(B517,"0000"),B517),Addendum!F:F,"X")&gt;0,2.5%,0)</f>
        <v>0</v>
      </c>
      <c r="K517" s="31">
        <f>IF(COUNTIFS(Addendum!C:C,A517,Addendum!D:D,IF(ISNUMBER(B517),TEXT(B517,"0000"),B517),Addendum!G:G,"X")&gt;0,7%,0)</f>
        <v>0</v>
      </c>
      <c r="L517" s="31">
        <f>IF(COUNTIFS(Addendum!C:C,A517,Addendum!D:D,IF(ISNUMBER(B517),TEXT(B517,"0000"),B517),Addendum!I:I,"X")&gt;0,10%,0)</f>
        <v>0</v>
      </c>
      <c r="M517" s="34">
        <f t="shared" si="16"/>
        <v>0</v>
      </c>
      <c r="N517" s="17">
        <f t="shared" si="17"/>
        <v>134784</v>
      </c>
    </row>
    <row r="518" spans="1:14" x14ac:dyDescent="0.25">
      <c r="A518" s="14" t="s">
        <v>1852</v>
      </c>
      <c r="B518" s="14" t="s">
        <v>1641</v>
      </c>
      <c r="C518" s="15" t="s">
        <v>1996</v>
      </c>
      <c r="D518" s="14" t="s">
        <v>1745</v>
      </c>
      <c r="E518" s="14" t="s">
        <v>1747</v>
      </c>
      <c r="F518" s="17" t="s">
        <v>2995</v>
      </c>
      <c r="G518" s="14">
        <v>149760</v>
      </c>
      <c r="H518" s="14">
        <v>134784</v>
      </c>
      <c r="I518" s="31">
        <f>IF(COUNTIFS(Addendum!C:C,A518,Addendum!D:D,IF(ISNUMBER(B518),TEXT(B518,"0000"),B518),Addendum!E:E,"X")&gt;0,4%,0)</f>
        <v>0</v>
      </c>
      <c r="J518" s="31">
        <f>IF(COUNTIFS(Addendum!C:C,A518,Addendum!D:D,IF(ISNUMBER(B518),TEXT(B518,"0000"),B518),Addendum!F:F,"X")&gt;0,2.5%,0)</f>
        <v>0</v>
      </c>
      <c r="K518" s="31">
        <f>IF(COUNTIFS(Addendum!C:C,A518,Addendum!D:D,IF(ISNUMBER(B518),TEXT(B518,"0000"),B518),Addendum!G:G,"X")&gt;0,7%,0)</f>
        <v>0</v>
      </c>
      <c r="L518" s="31">
        <f>IF(COUNTIFS(Addendum!C:C,A518,Addendum!D:D,IF(ISNUMBER(B518),TEXT(B518,"0000"),B518),Addendum!I:I,"X")&gt;0,10%,0)</f>
        <v>0</v>
      </c>
      <c r="M518" s="34">
        <f t="shared" si="16"/>
        <v>0</v>
      </c>
      <c r="N518" s="17">
        <f t="shared" si="17"/>
        <v>134784</v>
      </c>
    </row>
    <row r="519" spans="1:14" x14ac:dyDescent="0.25">
      <c r="A519" s="14" t="s">
        <v>1852</v>
      </c>
      <c r="B519" s="14">
        <v>1</v>
      </c>
      <c r="C519" s="15" t="s">
        <v>1902</v>
      </c>
      <c r="D519" s="14" t="s">
        <v>1745</v>
      </c>
      <c r="E519" s="14" t="s">
        <v>1747</v>
      </c>
      <c r="F519" s="17" t="s">
        <v>2993</v>
      </c>
      <c r="G519" s="14">
        <v>3993360</v>
      </c>
      <c r="H519" s="14">
        <v>2795352</v>
      </c>
      <c r="I519" s="31">
        <f>IF(COUNTIFS(Addendum!C:C,A519,Addendum!D:D,IF(ISNUMBER(B519),TEXT(B519,"0000"),B519),Addendum!E:E,"X")&gt;0,4%,0)</f>
        <v>0</v>
      </c>
      <c r="J519" s="31">
        <f>IF(COUNTIFS(Addendum!C:C,A519,Addendum!D:D,IF(ISNUMBER(B519),TEXT(B519,"0000"),B519),Addendum!F:F,"X")&gt;0,2.5%,0)</f>
        <v>0</v>
      </c>
      <c r="K519" s="31">
        <f>IF(COUNTIFS(Addendum!C:C,A519,Addendum!D:D,IF(ISNUMBER(B519),TEXT(B519,"0000"),B519),Addendum!G:G,"X")&gt;0,7%,0)</f>
        <v>0</v>
      </c>
      <c r="L519" s="31">
        <f>IF(COUNTIFS(Addendum!C:C,A519,Addendum!D:D,IF(ISNUMBER(B519),TEXT(B519,"0000"),B519),Addendum!I:I,"X")&gt;0,10%,0)</f>
        <v>0</v>
      </c>
      <c r="M519" s="34">
        <f t="shared" si="16"/>
        <v>0</v>
      </c>
      <c r="N519" s="17">
        <f t="shared" si="17"/>
        <v>2795352</v>
      </c>
    </row>
    <row r="520" spans="1:14" x14ac:dyDescent="0.25">
      <c r="A520" s="14" t="s">
        <v>1852</v>
      </c>
      <c r="B520" s="14" t="s">
        <v>39</v>
      </c>
      <c r="C520" s="15" t="s">
        <v>1906</v>
      </c>
      <c r="D520" s="14" t="s">
        <v>1745</v>
      </c>
      <c r="E520" s="14" t="s">
        <v>1746</v>
      </c>
      <c r="F520" s="17" t="s">
        <v>2993</v>
      </c>
      <c r="G520" s="14">
        <v>15199695</v>
      </c>
      <c r="H520" s="14">
        <v>10639787</v>
      </c>
      <c r="I520" s="31">
        <f>IF(COUNTIFS(Addendum!C:C,A520,Addendum!D:D,IF(ISNUMBER(B520),TEXT(B520,"0000"),B520),Addendum!E:E,"X")&gt;0,4%,0)</f>
        <v>0</v>
      </c>
      <c r="J520" s="31">
        <f>IF(COUNTIFS(Addendum!C:C,A520,Addendum!D:D,IF(ISNUMBER(B520),TEXT(B520,"0000"),B520),Addendum!F:F,"X")&gt;0,2.5%,0)</f>
        <v>0</v>
      </c>
      <c r="K520" s="31">
        <f>IF(COUNTIFS(Addendum!C:C,A520,Addendum!D:D,IF(ISNUMBER(B520),TEXT(B520,"0000"),B520),Addendum!G:G,"X")&gt;0,7%,0)</f>
        <v>0</v>
      </c>
      <c r="L520" s="31">
        <f>IF(COUNTIFS(Addendum!C:C,A520,Addendum!D:D,IF(ISNUMBER(B520),TEXT(B520,"0000"),B520),Addendum!I:I,"X")&gt;0,10%,0)</f>
        <v>0</v>
      </c>
      <c r="M520" s="34">
        <f t="shared" si="16"/>
        <v>0</v>
      </c>
      <c r="N520" s="17">
        <f t="shared" si="17"/>
        <v>10639787</v>
      </c>
    </row>
    <row r="521" spans="1:14" x14ac:dyDescent="0.25">
      <c r="A521" s="14" t="s">
        <v>1852</v>
      </c>
      <c r="B521" s="14">
        <v>55</v>
      </c>
      <c r="C521" s="15" t="s">
        <v>2006</v>
      </c>
      <c r="D521" s="14" t="s">
        <v>1745</v>
      </c>
      <c r="E521" s="14" t="s">
        <v>1746</v>
      </c>
      <c r="F521" s="17" t="s">
        <v>2994</v>
      </c>
      <c r="G521" s="14">
        <v>17872722</v>
      </c>
      <c r="H521" s="14">
        <v>12510905</v>
      </c>
      <c r="I521" s="31">
        <f>IF(COUNTIFS(Addendum!C:C,A521,Addendum!D:D,IF(ISNUMBER(B521),TEXT(B521,"0000"),B521),Addendum!E:E,"X")&gt;0,4%,0)</f>
        <v>0</v>
      </c>
      <c r="J521" s="31">
        <f>IF(COUNTIFS(Addendum!C:C,A521,Addendum!D:D,IF(ISNUMBER(B521),TEXT(B521,"0000"),B521),Addendum!F:F,"X")&gt;0,2.5%,0)</f>
        <v>0</v>
      </c>
      <c r="K521" s="31">
        <f>IF(COUNTIFS(Addendum!C:C,A521,Addendum!D:D,IF(ISNUMBER(B521),TEXT(B521,"0000"),B521),Addendum!G:G,"X")&gt;0,7%,0)</f>
        <v>0</v>
      </c>
      <c r="L521" s="31">
        <f>IF(COUNTIFS(Addendum!C:C,A521,Addendum!D:D,IF(ISNUMBER(B521),TEXT(B521,"0000"),B521),Addendum!I:I,"X")&gt;0,10%,0)</f>
        <v>0</v>
      </c>
      <c r="M521" s="34">
        <f t="shared" si="16"/>
        <v>0</v>
      </c>
      <c r="N521" s="17">
        <f t="shared" si="17"/>
        <v>12510905</v>
      </c>
    </row>
    <row r="522" spans="1:14" x14ac:dyDescent="0.25">
      <c r="A522" s="14" t="s">
        <v>1852</v>
      </c>
      <c r="B522" s="14" t="s">
        <v>1991</v>
      </c>
      <c r="C522" s="15" t="s">
        <v>1992</v>
      </c>
      <c r="D522" s="14" t="s">
        <v>1745</v>
      </c>
      <c r="E522" s="14" t="s">
        <v>1746</v>
      </c>
      <c r="F522" s="17" t="s">
        <v>2994</v>
      </c>
      <c r="G522" s="14">
        <v>8359848</v>
      </c>
      <c r="H522" s="14">
        <v>5851894</v>
      </c>
      <c r="I522" s="31">
        <f>IF(COUNTIFS(Addendum!C:C,A522,Addendum!D:D,IF(ISNUMBER(B522),TEXT(B522,"0000"),B522),Addendum!E:E,"X")&gt;0,4%,0)</f>
        <v>0</v>
      </c>
      <c r="J522" s="31">
        <f>IF(COUNTIFS(Addendum!C:C,A522,Addendum!D:D,IF(ISNUMBER(B522),TEXT(B522,"0000"),B522),Addendum!F:F,"X")&gt;0,2.5%,0)</f>
        <v>0</v>
      </c>
      <c r="K522" s="31">
        <f>IF(COUNTIFS(Addendum!C:C,A522,Addendum!D:D,IF(ISNUMBER(B522),TEXT(B522,"0000"),B522),Addendum!G:G,"X")&gt;0,7%,0)</f>
        <v>0</v>
      </c>
      <c r="L522" s="31">
        <f>IF(COUNTIFS(Addendum!C:C,A522,Addendum!D:D,IF(ISNUMBER(B522),TEXT(B522,"0000"),B522),Addendum!I:I,"X")&gt;0,10%,0)</f>
        <v>0</v>
      </c>
      <c r="M522" s="34">
        <f t="shared" si="16"/>
        <v>0</v>
      </c>
      <c r="N522" s="17">
        <f t="shared" si="17"/>
        <v>5851894</v>
      </c>
    </row>
    <row r="523" spans="1:14" x14ac:dyDescent="0.25">
      <c r="A523" s="14" t="s">
        <v>1852</v>
      </c>
      <c r="B523" s="14" t="s">
        <v>122</v>
      </c>
      <c r="C523" s="15" t="s">
        <v>1917</v>
      </c>
      <c r="D523" s="14" t="s">
        <v>1745</v>
      </c>
      <c r="E523" s="14" t="s">
        <v>1747</v>
      </c>
      <c r="F523" s="17" t="s">
        <v>2993</v>
      </c>
      <c r="G523" s="14">
        <v>499140</v>
      </c>
      <c r="H523" s="14">
        <v>349398</v>
      </c>
      <c r="I523" s="31">
        <f>IF(COUNTIFS(Addendum!C:C,A523,Addendum!D:D,IF(ISNUMBER(B523),TEXT(B523,"0000"),B523),Addendum!E:E,"X")&gt;0,4%,0)</f>
        <v>0</v>
      </c>
      <c r="J523" s="31">
        <f>IF(COUNTIFS(Addendum!C:C,A523,Addendum!D:D,IF(ISNUMBER(B523),TEXT(B523,"0000"),B523),Addendum!F:F,"X")&gt;0,2.5%,0)</f>
        <v>0</v>
      </c>
      <c r="K523" s="31">
        <f>IF(COUNTIFS(Addendum!C:C,A523,Addendum!D:D,IF(ISNUMBER(B523),TEXT(B523,"0000"),B523),Addendum!G:G,"X")&gt;0,7%,0)</f>
        <v>0</v>
      </c>
      <c r="L523" s="31">
        <f>IF(COUNTIFS(Addendum!C:C,A523,Addendum!D:D,IF(ISNUMBER(B523),TEXT(B523,"0000"),B523),Addendum!I:I,"X")&gt;0,10%,0)</f>
        <v>0</v>
      </c>
      <c r="M523" s="34">
        <f t="shared" si="16"/>
        <v>0</v>
      </c>
      <c r="N523" s="17">
        <f t="shared" si="17"/>
        <v>349398</v>
      </c>
    </row>
    <row r="524" spans="1:14" x14ac:dyDescent="0.25">
      <c r="A524" s="14" t="s">
        <v>1850</v>
      </c>
      <c r="B524" s="14" t="s">
        <v>36</v>
      </c>
      <c r="C524" s="15" t="s">
        <v>1997</v>
      </c>
      <c r="D524" s="14" t="s">
        <v>1745</v>
      </c>
      <c r="E524" s="14" t="s">
        <v>1746</v>
      </c>
      <c r="F524" s="17" t="s">
        <v>2995</v>
      </c>
      <c r="G524" s="14">
        <v>88074</v>
      </c>
      <c r="H524" s="14">
        <v>79266.600000000006</v>
      </c>
      <c r="I524" s="31">
        <f>IF(COUNTIFS(Addendum!C:C,A524,Addendum!D:D,IF(ISNUMBER(B524),TEXT(B524,"0000"),B524),Addendum!E:E,"X")&gt;0,4%,0)</f>
        <v>0</v>
      </c>
      <c r="J524" s="31">
        <f>IF(COUNTIFS(Addendum!C:C,A524,Addendum!D:D,IF(ISNUMBER(B524),TEXT(B524,"0000"),B524),Addendum!F:F,"X")&gt;0,2.5%,0)</f>
        <v>0</v>
      </c>
      <c r="K524" s="31">
        <f>IF(COUNTIFS(Addendum!C:C,A524,Addendum!D:D,IF(ISNUMBER(B524),TEXT(B524,"0000"),B524),Addendum!G:G,"X")&gt;0,7%,0)</f>
        <v>0</v>
      </c>
      <c r="L524" s="31">
        <f>IF(COUNTIFS(Addendum!C:C,A524,Addendum!D:D,IF(ISNUMBER(B524),TEXT(B524,"0000"),B524),Addendum!I:I,"X")&gt;0,10%,0)</f>
        <v>0</v>
      </c>
      <c r="M524" s="34">
        <f t="shared" si="16"/>
        <v>0</v>
      </c>
      <c r="N524" s="17">
        <f t="shared" si="17"/>
        <v>79266.600000000006</v>
      </c>
    </row>
    <row r="525" spans="1:14" x14ac:dyDescent="0.25">
      <c r="A525" s="14" t="s">
        <v>1852</v>
      </c>
      <c r="B525" s="14" t="s">
        <v>1569</v>
      </c>
      <c r="C525" s="15" t="s">
        <v>1897</v>
      </c>
      <c r="D525" s="14" t="s">
        <v>1745</v>
      </c>
      <c r="E525" s="14" t="s">
        <v>1747</v>
      </c>
      <c r="F525" s="17" t="s">
        <v>2995</v>
      </c>
      <c r="G525" s="14">
        <v>149760</v>
      </c>
      <c r="H525" s="14">
        <v>134784</v>
      </c>
      <c r="I525" s="31">
        <f>IF(COUNTIFS(Addendum!C:C,A525,Addendum!D:D,IF(ISNUMBER(B525),TEXT(B525,"0000"),B525),Addendum!E:E,"X")&gt;0,4%,0)</f>
        <v>0</v>
      </c>
      <c r="J525" s="31">
        <f>IF(COUNTIFS(Addendum!C:C,A525,Addendum!D:D,IF(ISNUMBER(B525),TEXT(B525,"0000"),B525),Addendum!F:F,"X")&gt;0,2.5%,0)</f>
        <v>0</v>
      </c>
      <c r="K525" s="31">
        <f>IF(COUNTIFS(Addendum!C:C,A525,Addendum!D:D,IF(ISNUMBER(B525),TEXT(B525,"0000"),B525),Addendum!G:G,"X")&gt;0,7%,0)</f>
        <v>0</v>
      </c>
      <c r="L525" s="31">
        <f>IF(COUNTIFS(Addendum!C:C,A525,Addendum!D:D,IF(ISNUMBER(B525),TEXT(B525,"0000"),B525),Addendum!I:I,"X")&gt;0,10%,0)</f>
        <v>0</v>
      </c>
      <c r="M525" s="34">
        <f t="shared" si="16"/>
        <v>0</v>
      </c>
      <c r="N525" s="17">
        <f t="shared" si="17"/>
        <v>134784</v>
      </c>
    </row>
    <row r="526" spans="1:14" x14ac:dyDescent="0.25">
      <c r="A526" s="14" t="s">
        <v>1852</v>
      </c>
      <c r="B526" s="14" t="s">
        <v>1939</v>
      </c>
      <c r="C526" s="15" t="s">
        <v>1940</v>
      </c>
      <c r="D526" s="14" t="s">
        <v>1749</v>
      </c>
      <c r="E526" s="14" t="s">
        <v>1746</v>
      </c>
      <c r="F526" s="17" t="s">
        <v>2995</v>
      </c>
      <c r="G526" s="14">
        <v>119802</v>
      </c>
      <c r="H526" s="14">
        <v>107821.8</v>
      </c>
      <c r="I526" s="31">
        <f>IF(COUNTIFS(Addendum!C:C,A526,Addendum!D:D,IF(ISNUMBER(B526),TEXT(B526,"0000"),B526),Addendum!E:E,"X")&gt;0,4%,0)</f>
        <v>0</v>
      </c>
      <c r="J526" s="31">
        <f>IF(COUNTIFS(Addendum!C:C,A526,Addendum!D:D,IF(ISNUMBER(B526),TEXT(B526,"0000"),B526),Addendum!F:F,"X")&gt;0,2.5%,0)</f>
        <v>0</v>
      </c>
      <c r="K526" s="31">
        <f>IF(COUNTIFS(Addendum!C:C,A526,Addendum!D:D,IF(ISNUMBER(B526),TEXT(B526,"0000"),B526),Addendum!G:G,"X")&gt;0,7%,0)</f>
        <v>0</v>
      </c>
      <c r="L526" s="31">
        <f>IF(COUNTIFS(Addendum!C:C,A526,Addendum!D:D,IF(ISNUMBER(B526),TEXT(B526,"0000"),B526),Addendum!I:I,"X")&gt;0,10%,0)</f>
        <v>0</v>
      </c>
      <c r="M526" s="34">
        <f t="shared" si="16"/>
        <v>0</v>
      </c>
      <c r="N526" s="17">
        <f t="shared" si="17"/>
        <v>107821.8</v>
      </c>
    </row>
    <row r="527" spans="1:14" x14ac:dyDescent="0.25">
      <c r="A527" s="14" t="s">
        <v>1852</v>
      </c>
      <c r="B527" s="14">
        <v>83</v>
      </c>
      <c r="C527" s="15" t="s">
        <v>1916</v>
      </c>
      <c r="D527" s="14" t="s">
        <v>1745</v>
      </c>
      <c r="E527" s="14" t="s">
        <v>1747</v>
      </c>
      <c r="F527" s="17" t="s">
        <v>2994</v>
      </c>
      <c r="G527" s="14">
        <v>7961760</v>
      </c>
      <c r="H527" s="14">
        <v>5573232</v>
      </c>
      <c r="I527" s="31">
        <f>IF(COUNTIFS(Addendum!C:C,A527,Addendum!D:D,IF(ISNUMBER(B527),TEXT(B527,"0000"),B527),Addendum!E:E,"X")&gt;0,4%,0)</f>
        <v>0</v>
      </c>
      <c r="J527" s="31">
        <f>IF(COUNTIFS(Addendum!C:C,A527,Addendum!D:D,IF(ISNUMBER(B527),TEXT(B527,"0000"),B527),Addendum!F:F,"X")&gt;0,2.5%,0)</f>
        <v>0</v>
      </c>
      <c r="K527" s="31">
        <f>IF(COUNTIFS(Addendum!C:C,A527,Addendum!D:D,IF(ISNUMBER(B527),TEXT(B527,"0000"),B527),Addendum!G:G,"X")&gt;0,7%,0)</f>
        <v>0</v>
      </c>
      <c r="L527" s="31">
        <f>IF(COUNTIFS(Addendum!C:C,A527,Addendum!D:D,IF(ISNUMBER(B527),TEXT(B527,"0000"),B527),Addendum!I:I,"X")&gt;0,10%,0)</f>
        <v>0</v>
      </c>
      <c r="M527" s="34">
        <f t="shared" si="16"/>
        <v>0</v>
      </c>
      <c r="N527" s="17">
        <f t="shared" si="17"/>
        <v>5573232</v>
      </c>
    </row>
    <row r="528" spans="1:14" x14ac:dyDescent="0.25">
      <c r="A528" s="14" t="s">
        <v>1852</v>
      </c>
      <c r="B528" s="14">
        <v>63</v>
      </c>
      <c r="C528" s="15" t="s">
        <v>1938</v>
      </c>
      <c r="D528" s="14" t="s">
        <v>1745</v>
      </c>
      <c r="E528" s="14" t="s">
        <v>1747</v>
      </c>
      <c r="F528" s="17" t="s">
        <v>2995</v>
      </c>
      <c r="G528" s="14">
        <v>149760</v>
      </c>
      <c r="H528" s="14">
        <v>134784</v>
      </c>
      <c r="I528" s="31">
        <f>IF(COUNTIFS(Addendum!C:C,A528,Addendum!D:D,IF(ISNUMBER(B528),TEXT(B528,"0000"),B528),Addendum!E:E,"X")&gt;0,4%,0)</f>
        <v>0</v>
      </c>
      <c r="J528" s="31">
        <f>IF(COUNTIFS(Addendum!C:C,A528,Addendum!D:D,IF(ISNUMBER(B528),TEXT(B528,"0000"),B528),Addendum!F:F,"X")&gt;0,2.5%,0)</f>
        <v>0</v>
      </c>
      <c r="K528" s="31">
        <f>IF(COUNTIFS(Addendum!C:C,A528,Addendum!D:D,IF(ISNUMBER(B528),TEXT(B528,"0000"),B528),Addendum!G:G,"X")&gt;0,7%,0)</f>
        <v>0</v>
      </c>
      <c r="L528" s="31">
        <f>IF(COUNTIFS(Addendum!C:C,A528,Addendum!D:D,IF(ISNUMBER(B528),TEXT(B528,"0000"),B528),Addendum!I:I,"X")&gt;0,10%,0)</f>
        <v>0</v>
      </c>
      <c r="M528" s="34">
        <f t="shared" si="16"/>
        <v>0</v>
      </c>
      <c r="N528" s="17">
        <f t="shared" si="17"/>
        <v>134784</v>
      </c>
    </row>
    <row r="529" spans="1:14" x14ac:dyDescent="0.25">
      <c r="A529" s="14" t="s">
        <v>1852</v>
      </c>
      <c r="B529" s="14">
        <v>60</v>
      </c>
      <c r="C529" s="15" t="s">
        <v>2007</v>
      </c>
      <c r="D529" s="14" t="s">
        <v>1749</v>
      </c>
      <c r="E529" s="14" t="s">
        <v>1746</v>
      </c>
      <c r="F529" s="17" t="s">
        <v>2994</v>
      </c>
      <c r="G529" s="14">
        <v>27456</v>
      </c>
      <c r="H529" s="14">
        <v>19219.2</v>
      </c>
      <c r="I529" s="31">
        <f>IF(COUNTIFS(Addendum!C:C,A529,Addendum!D:D,IF(ISNUMBER(B529),TEXT(B529,"0000"),B529),Addendum!E:E,"X")&gt;0,4%,0)</f>
        <v>0</v>
      </c>
      <c r="J529" s="31">
        <f>IF(COUNTIFS(Addendum!C:C,A529,Addendum!D:D,IF(ISNUMBER(B529),TEXT(B529,"0000"),B529),Addendum!F:F,"X")&gt;0,2.5%,0)</f>
        <v>0</v>
      </c>
      <c r="K529" s="31">
        <f>IF(COUNTIFS(Addendum!C:C,A529,Addendum!D:D,IF(ISNUMBER(B529),TEXT(B529,"0000"),B529),Addendum!G:G,"X")&gt;0,7%,0)</f>
        <v>0</v>
      </c>
      <c r="L529" s="31">
        <f>IF(COUNTIFS(Addendum!C:C,A529,Addendum!D:D,IF(ISNUMBER(B529),TEXT(B529,"0000"),B529),Addendum!I:I,"X")&gt;0,10%,0)</f>
        <v>0</v>
      </c>
      <c r="M529" s="34">
        <f t="shared" si="16"/>
        <v>0</v>
      </c>
      <c r="N529" s="17">
        <f t="shared" si="17"/>
        <v>19219.2</v>
      </c>
    </row>
    <row r="530" spans="1:14" x14ac:dyDescent="0.25">
      <c r="A530" s="14" t="s">
        <v>1852</v>
      </c>
      <c r="B530" s="14" t="s">
        <v>1649</v>
      </c>
      <c r="C530" s="15" t="s">
        <v>1931</v>
      </c>
      <c r="D530" s="14" t="s">
        <v>1749</v>
      </c>
      <c r="E530" s="14" t="s">
        <v>1746</v>
      </c>
      <c r="F530" s="17" t="s">
        <v>2994</v>
      </c>
      <c r="G530" s="14">
        <v>27456</v>
      </c>
      <c r="H530" s="14">
        <v>19219.2</v>
      </c>
      <c r="I530" s="31">
        <f>IF(COUNTIFS(Addendum!C:C,A530,Addendum!D:D,IF(ISNUMBER(B530),TEXT(B530,"0000"),B530),Addendum!E:E,"X")&gt;0,4%,0)</f>
        <v>0</v>
      </c>
      <c r="J530" s="31">
        <f>IF(COUNTIFS(Addendum!C:C,A530,Addendum!D:D,IF(ISNUMBER(B530),TEXT(B530,"0000"),B530),Addendum!F:F,"X")&gt;0,2.5%,0)</f>
        <v>0</v>
      </c>
      <c r="K530" s="31">
        <f>IF(COUNTIFS(Addendum!C:C,A530,Addendum!D:D,IF(ISNUMBER(B530),TEXT(B530,"0000"),B530),Addendum!G:G,"X")&gt;0,7%,0)</f>
        <v>0</v>
      </c>
      <c r="L530" s="31">
        <f>IF(COUNTIFS(Addendum!C:C,A530,Addendum!D:D,IF(ISNUMBER(B530),TEXT(B530,"0000"),B530),Addendum!I:I,"X")&gt;0,10%,0)</f>
        <v>0</v>
      </c>
      <c r="M530" s="34">
        <f t="shared" si="16"/>
        <v>0</v>
      </c>
      <c r="N530" s="17">
        <f t="shared" si="17"/>
        <v>19219.2</v>
      </c>
    </row>
    <row r="531" spans="1:14" x14ac:dyDescent="0.25">
      <c r="A531" s="14" t="s">
        <v>1852</v>
      </c>
      <c r="B531" s="14" t="s">
        <v>1671</v>
      </c>
      <c r="C531" s="15" t="s">
        <v>1913</v>
      </c>
      <c r="D531" s="14" t="s">
        <v>1745</v>
      </c>
      <c r="E531" s="14" t="s">
        <v>1746</v>
      </c>
      <c r="F531" s="17" t="s">
        <v>2995</v>
      </c>
      <c r="G531" s="14">
        <v>157248</v>
      </c>
      <c r="H531" s="14">
        <v>141523.20000000001</v>
      </c>
      <c r="I531" s="31">
        <f>IF(COUNTIFS(Addendum!C:C,A531,Addendum!D:D,IF(ISNUMBER(B531),TEXT(B531,"0000"),B531),Addendum!E:E,"X")&gt;0,4%,0)</f>
        <v>0</v>
      </c>
      <c r="J531" s="31">
        <f>IF(COUNTIFS(Addendum!C:C,A531,Addendum!D:D,IF(ISNUMBER(B531),TEXT(B531,"0000"),B531),Addendum!F:F,"X")&gt;0,2.5%,0)</f>
        <v>0</v>
      </c>
      <c r="K531" s="31">
        <f>IF(COUNTIFS(Addendum!C:C,A531,Addendum!D:D,IF(ISNUMBER(B531),TEXT(B531,"0000"),B531),Addendum!G:G,"X")&gt;0,7%,0)</f>
        <v>0</v>
      </c>
      <c r="L531" s="31">
        <f>IF(COUNTIFS(Addendum!C:C,A531,Addendum!D:D,IF(ISNUMBER(B531),TEXT(B531,"0000"),B531),Addendum!I:I,"X")&gt;0,10%,0)</f>
        <v>0</v>
      </c>
      <c r="M531" s="34">
        <f t="shared" si="16"/>
        <v>0</v>
      </c>
      <c r="N531" s="17">
        <f t="shared" si="17"/>
        <v>141523.20000000001</v>
      </c>
    </row>
    <row r="532" spans="1:14" x14ac:dyDescent="0.25">
      <c r="A532" s="14" t="s">
        <v>1852</v>
      </c>
      <c r="B532" s="14" t="s">
        <v>650</v>
      </c>
      <c r="C532" s="15" t="s">
        <v>1975</v>
      </c>
      <c r="D532" s="14" t="s">
        <v>1745</v>
      </c>
      <c r="E532" s="14" t="s">
        <v>1747</v>
      </c>
      <c r="F532" s="17" t="s">
        <v>2993</v>
      </c>
      <c r="G532" s="14">
        <v>499140</v>
      </c>
      <c r="H532" s="14">
        <v>349398</v>
      </c>
      <c r="I532" s="31">
        <f>IF(COUNTIFS(Addendum!C:C,A532,Addendum!D:D,IF(ISNUMBER(B532),TEXT(B532,"0000"),B532),Addendum!E:E,"X")&gt;0,4%,0)</f>
        <v>0</v>
      </c>
      <c r="J532" s="31">
        <f>IF(COUNTIFS(Addendum!C:C,A532,Addendum!D:D,IF(ISNUMBER(B532),TEXT(B532,"0000"),B532),Addendum!F:F,"X")&gt;0,2.5%,0)</f>
        <v>0</v>
      </c>
      <c r="K532" s="31">
        <f>IF(COUNTIFS(Addendum!C:C,A532,Addendum!D:D,IF(ISNUMBER(B532),TEXT(B532,"0000"),B532),Addendum!G:G,"X")&gt;0,7%,0)</f>
        <v>0</v>
      </c>
      <c r="L532" s="31">
        <f>IF(COUNTIFS(Addendum!C:C,A532,Addendum!D:D,IF(ISNUMBER(B532),TEXT(B532,"0000"),B532),Addendum!I:I,"X")&gt;0,10%,0)</f>
        <v>0</v>
      </c>
      <c r="M532" s="34">
        <f t="shared" si="16"/>
        <v>0</v>
      </c>
      <c r="N532" s="17">
        <f t="shared" si="17"/>
        <v>349398</v>
      </c>
    </row>
    <row r="533" spans="1:14" x14ac:dyDescent="0.25">
      <c r="A533" s="14" t="s">
        <v>1852</v>
      </c>
      <c r="B533" s="14">
        <v>78</v>
      </c>
      <c r="C533" s="15" t="s">
        <v>2008</v>
      </c>
      <c r="D533" s="14" t="s">
        <v>1749</v>
      </c>
      <c r="E533" s="14" t="s">
        <v>1746</v>
      </c>
      <c r="F533" s="17" t="s">
        <v>2995</v>
      </c>
      <c r="G533" s="14">
        <v>928452</v>
      </c>
      <c r="H533" s="14">
        <v>835606.8</v>
      </c>
      <c r="I533" s="31">
        <f>IF(COUNTIFS(Addendum!C:C,A533,Addendum!D:D,IF(ISNUMBER(B533),TEXT(B533,"0000"),B533),Addendum!E:E,"X")&gt;0,4%,0)</f>
        <v>0</v>
      </c>
      <c r="J533" s="31">
        <f>IF(COUNTIFS(Addendum!C:C,A533,Addendum!D:D,IF(ISNUMBER(B533),TEXT(B533,"0000"),B533),Addendum!F:F,"X")&gt;0,2.5%,0)</f>
        <v>0</v>
      </c>
      <c r="K533" s="31">
        <f>IF(COUNTIFS(Addendum!C:C,A533,Addendum!D:D,IF(ISNUMBER(B533),TEXT(B533,"0000"),B533),Addendum!G:G,"X")&gt;0,7%,0)</f>
        <v>0</v>
      </c>
      <c r="L533" s="31">
        <f>IF(COUNTIFS(Addendum!C:C,A533,Addendum!D:D,IF(ISNUMBER(B533),TEXT(B533,"0000"),B533),Addendum!I:I,"X")&gt;0,10%,0)</f>
        <v>0</v>
      </c>
      <c r="M533" s="34">
        <f t="shared" si="16"/>
        <v>0</v>
      </c>
      <c r="N533" s="17">
        <f t="shared" si="17"/>
        <v>835606.8</v>
      </c>
    </row>
    <row r="534" spans="1:14" x14ac:dyDescent="0.25">
      <c r="A534" s="14" t="s">
        <v>1852</v>
      </c>
      <c r="B534" s="14" t="s">
        <v>1655</v>
      </c>
      <c r="C534" s="15" t="s">
        <v>1933</v>
      </c>
      <c r="D534" s="14" t="s">
        <v>1745</v>
      </c>
      <c r="E534" s="14" t="s">
        <v>1747</v>
      </c>
      <c r="F534" s="17" t="s">
        <v>2994</v>
      </c>
      <c r="G534" s="14">
        <v>199680</v>
      </c>
      <c r="H534" s="14">
        <v>139776</v>
      </c>
      <c r="I534" s="31">
        <f>IF(COUNTIFS(Addendum!C:C,A534,Addendum!D:D,IF(ISNUMBER(B534),TEXT(B534,"0000"),B534),Addendum!E:E,"X")&gt;0,4%,0)</f>
        <v>0</v>
      </c>
      <c r="J534" s="31">
        <f>IF(COUNTIFS(Addendum!C:C,A534,Addendum!D:D,IF(ISNUMBER(B534),TEXT(B534,"0000"),B534),Addendum!F:F,"X")&gt;0,2.5%,0)</f>
        <v>0</v>
      </c>
      <c r="K534" s="31">
        <f>IF(COUNTIFS(Addendum!C:C,A534,Addendum!D:D,IF(ISNUMBER(B534),TEXT(B534,"0000"),B534),Addendum!G:G,"X")&gt;0,7%,0)</f>
        <v>0</v>
      </c>
      <c r="L534" s="31">
        <f>IF(COUNTIFS(Addendum!C:C,A534,Addendum!D:D,IF(ISNUMBER(B534),TEXT(B534,"0000"),B534),Addendum!I:I,"X")&gt;0,10%,0)</f>
        <v>0</v>
      </c>
      <c r="M534" s="34">
        <f t="shared" si="16"/>
        <v>0</v>
      </c>
      <c r="N534" s="17">
        <f t="shared" si="17"/>
        <v>139776</v>
      </c>
    </row>
    <row r="535" spans="1:14" x14ac:dyDescent="0.25">
      <c r="A535" s="14" t="s">
        <v>1852</v>
      </c>
      <c r="B535" s="14">
        <v>61</v>
      </c>
      <c r="C535" s="15" t="s">
        <v>1909</v>
      </c>
      <c r="D535" s="14" t="s">
        <v>1745</v>
      </c>
      <c r="E535" s="14" t="s">
        <v>1747</v>
      </c>
      <c r="F535" s="17" t="s">
        <v>2994</v>
      </c>
      <c r="G535" s="14">
        <v>199680</v>
      </c>
      <c r="H535" s="14">
        <v>139776</v>
      </c>
      <c r="I535" s="31">
        <f>IF(COUNTIFS(Addendum!C:C,A535,Addendum!D:D,IF(ISNUMBER(B535),TEXT(B535,"0000"),B535),Addendum!E:E,"X")&gt;0,4%,0)</f>
        <v>0</v>
      </c>
      <c r="J535" s="31">
        <f>IF(COUNTIFS(Addendum!C:C,A535,Addendum!D:D,IF(ISNUMBER(B535),TEXT(B535,"0000"),B535),Addendum!F:F,"X")&gt;0,2.5%,0)</f>
        <v>0</v>
      </c>
      <c r="K535" s="31">
        <f>IF(COUNTIFS(Addendum!C:C,A535,Addendum!D:D,IF(ISNUMBER(B535),TEXT(B535,"0000"),B535),Addendum!G:G,"X")&gt;0,7%,0)</f>
        <v>0</v>
      </c>
      <c r="L535" s="31">
        <f>IF(COUNTIFS(Addendum!C:C,A535,Addendum!D:D,IF(ISNUMBER(B535),TEXT(B535,"0000"),B535),Addendum!I:I,"X")&gt;0,10%,0)</f>
        <v>0</v>
      </c>
      <c r="M535" s="34">
        <f t="shared" si="16"/>
        <v>0</v>
      </c>
      <c r="N535" s="17">
        <f t="shared" si="17"/>
        <v>139776</v>
      </c>
    </row>
    <row r="536" spans="1:14" x14ac:dyDescent="0.25">
      <c r="A536" s="14" t="s">
        <v>1852</v>
      </c>
      <c r="B536" s="14" t="s">
        <v>243</v>
      </c>
      <c r="C536" s="15" t="s">
        <v>1970</v>
      </c>
      <c r="D536" s="14" t="s">
        <v>1749</v>
      </c>
      <c r="E536" s="14" t="s">
        <v>1746</v>
      </c>
      <c r="F536" s="17" t="s">
        <v>2993</v>
      </c>
      <c r="G536" s="14">
        <v>49914</v>
      </c>
      <c r="H536" s="14">
        <v>34939.800000000003</v>
      </c>
      <c r="I536" s="31">
        <f>IF(COUNTIFS(Addendum!C:C,A536,Addendum!D:D,IF(ISNUMBER(B536),TEXT(B536,"0000"),B536),Addendum!E:E,"X")&gt;0,4%,0)</f>
        <v>0</v>
      </c>
      <c r="J536" s="31">
        <f>IF(COUNTIFS(Addendum!C:C,A536,Addendum!D:D,IF(ISNUMBER(B536),TEXT(B536,"0000"),B536),Addendum!F:F,"X")&gt;0,2.5%,0)</f>
        <v>0</v>
      </c>
      <c r="K536" s="31">
        <f>IF(COUNTIFS(Addendum!C:C,A536,Addendum!D:D,IF(ISNUMBER(B536),TEXT(B536,"0000"),B536),Addendum!G:G,"X")&gt;0,7%,0)</f>
        <v>0</v>
      </c>
      <c r="L536" s="31">
        <f>IF(COUNTIFS(Addendum!C:C,A536,Addendum!D:D,IF(ISNUMBER(B536),TEXT(B536,"0000"),B536),Addendum!I:I,"X")&gt;0,10%,0)</f>
        <v>0</v>
      </c>
      <c r="M536" s="34">
        <f t="shared" si="16"/>
        <v>0</v>
      </c>
      <c r="N536" s="17">
        <f t="shared" si="17"/>
        <v>34939.800000000003</v>
      </c>
    </row>
    <row r="537" spans="1:14" x14ac:dyDescent="0.25">
      <c r="A537" s="14" t="s">
        <v>1852</v>
      </c>
      <c r="B537" s="14" t="s">
        <v>1973</v>
      </c>
      <c r="C537" s="15" t="s">
        <v>1974</v>
      </c>
      <c r="D537" s="14" t="s">
        <v>1745</v>
      </c>
      <c r="E537" s="14" t="s">
        <v>1747</v>
      </c>
      <c r="F537" s="17" t="s">
        <v>2995</v>
      </c>
      <c r="G537" s="14">
        <v>9284520</v>
      </c>
      <c r="H537" s="14">
        <v>8356068</v>
      </c>
      <c r="I537" s="31">
        <f>IF(COUNTIFS(Addendum!C:C,A537,Addendum!D:D,IF(ISNUMBER(B537),TEXT(B537,"0000"),B537),Addendum!E:E,"X")&gt;0,4%,0)</f>
        <v>0</v>
      </c>
      <c r="J537" s="31">
        <f>IF(COUNTIFS(Addendum!C:C,A537,Addendum!D:D,IF(ISNUMBER(B537),TEXT(B537,"0000"),B537),Addendum!F:F,"X")&gt;0,2.5%,0)</f>
        <v>0</v>
      </c>
      <c r="K537" s="31">
        <f>IF(COUNTIFS(Addendum!C:C,A537,Addendum!D:D,IF(ISNUMBER(B537),TEXT(B537,"0000"),B537),Addendum!G:G,"X")&gt;0,7%,0)</f>
        <v>0</v>
      </c>
      <c r="L537" s="31">
        <f>IF(COUNTIFS(Addendum!C:C,A537,Addendum!D:D,IF(ISNUMBER(B537),TEXT(B537,"0000"),B537),Addendum!I:I,"X")&gt;0,10%,0)</f>
        <v>0</v>
      </c>
      <c r="M537" s="34">
        <f t="shared" si="16"/>
        <v>0</v>
      </c>
      <c r="N537" s="17">
        <f t="shared" si="17"/>
        <v>8356068</v>
      </c>
    </row>
    <row r="538" spans="1:14" x14ac:dyDescent="0.25">
      <c r="A538" s="14" t="s">
        <v>1852</v>
      </c>
      <c r="B538" s="14" t="s">
        <v>1708</v>
      </c>
      <c r="C538" s="15" t="s">
        <v>1860</v>
      </c>
      <c r="D538" s="14" t="s">
        <v>1745</v>
      </c>
      <c r="E538" s="14" t="s">
        <v>1747</v>
      </c>
      <c r="F538" s="17" t="s">
        <v>2995</v>
      </c>
      <c r="G538" s="14">
        <v>4342740</v>
      </c>
      <c r="H538" s="14">
        <v>3908466</v>
      </c>
      <c r="I538" s="31">
        <f>IF(COUNTIFS(Addendum!C:C,A538,Addendum!D:D,IF(ISNUMBER(B538),TEXT(B538,"0000"),B538),Addendum!E:E,"X")&gt;0,4%,0)</f>
        <v>0</v>
      </c>
      <c r="J538" s="31">
        <f>IF(COUNTIFS(Addendum!C:C,A538,Addendum!D:D,IF(ISNUMBER(B538),TEXT(B538,"0000"),B538),Addendum!F:F,"X")&gt;0,2.5%,0)</f>
        <v>0</v>
      </c>
      <c r="K538" s="31">
        <f>IF(COUNTIFS(Addendum!C:C,A538,Addendum!D:D,IF(ISNUMBER(B538),TEXT(B538,"0000"),B538),Addendum!G:G,"X")&gt;0,7%,0)</f>
        <v>0</v>
      </c>
      <c r="L538" s="31">
        <f>IF(COUNTIFS(Addendum!C:C,A538,Addendum!D:D,IF(ISNUMBER(B538),TEXT(B538,"0000"),B538),Addendum!I:I,"X")&gt;0,10%,0)</f>
        <v>0</v>
      </c>
      <c r="M538" s="34">
        <f t="shared" si="16"/>
        <v>0</v>
      </c>
      <c r="N538" s="17">
        <f t="shared" si="17"/>
        <v>3908466</v>
      </c>
    </row>
    <row r="539" spans="1:14" x14ac:dyDescent="0.25">
      <c r="A539" s="14" t="s">
        <v>1852</v>
      </c>
      <c r="B539" s="14">
        <v>81</v>
      </c>
      <c r="C539" s="15" t="s">
        <v>1986</v>
      </c>
      <c r="D539" s="14" t="s">
        <v>1745</v>
      </c>
      <c r="E539" s="14" t="s">
        <v>1746</v>
      </c>
      <c r="F539" s="17" t="s">
        <v>2994</v>
      </c>
      <c r="G539" s="14">
        <v>1677186</v>
      </c>
      <c r="H539" s="14">
        <v>1174030</v>
      </c>
      <c r="I539" s="31">
        <f>IF(COUNTIFS(Addendum!C:C,A539,Addendum!D:D,IF(ISNUMBER(B539),TEXT(B539,"0000"),B539),Addendum!E:E,"X")&gt;0,4%,0)</f>
        <v>0</v>
      </c>
      <c r="J539" s="31">
        <f>IF(COUNTIFS(Addendum!C:C,A539,Addendum!D:D,IF(ISNUMBER(B539),TEXT(B539,"0000"),B539),Addendum!F:F,"X")&gt;0,2.5%,0)</f>
        <v>0</v>
      </c>
      <c r="K539" s="31">
        <f>IF(COUNTIFS(Addendum!C:C,A539,Addendum!D:D,IF(ISNUMBER(B539),TEXT(B539,"0000"),B539),Addendum!G:G,"X")&gt;0,7%,0)</f>
        <v>0</v>
      </c>
      <c r="L539" s="31">
        <f>IF(COUNTIFS(Addendum!C:C,A539,Addendum!D:D,IF(ISNUMBER(B539),TEXT(B539,"0000"),B539),Addendum!I:I,"X")&gt;0,10%,0)</f>
        <v>0</v>
      </c>
      <c r="M539" s="34">
        <f t="shared" si="16"/>
        <v>0</v>
      </c>
      <c r="N539" s="17">
        <f t="shared" si="17"/>
        <v>1174030</v>
      </c>
    </row>
    <row r="540" spans="1:14" x14ac:dyDescent="0.25">
      <c r="A540" s="14" t="s">
        <v>1852</v>
      </c>
      <c r="B540" s="14" t="s">
        <v>1679</v>
      </c>
      <c r="C540" s="15" t="s">
        <v>2009</v>
      </c>
      <c r="D540" s="14" t="s">
        <v>1749</v>
      </c>
      <c r="E540" s="14" t="s">
        <v>1746</v>
      </c>
      <c r="F540" s="17" t="s">
        <v>2994</v>
      </c>
      <c r="G540" s="14">
        <v>19968</v>
      </c>
      <c r="H540" s="14">
        <v>13977.6</v>
      </c>
      <c r="I540" s="31">
        <f>IF(COUNTIFS(Addendum!C:C,A540,Addendum!D:D,IF(ISNUMBER(B540),TEXT(B540,"0000"),B540),Addendum!E:E,"X")&gt;0,4%,0)</f>
        <v>0</v>
      </c>
      <c r="J540" s="31">
        <f>IF(COUNTIFS(Addendum!C:C,A540,Addendum!D:D,IF(ISNUMBER(B540),TEXT(B540,"0000"),B540),Addendum!F:F,"X")&gt;0,2.5%,0)</f>
        <v>0</v>
      </c>
      <c r="K540" s="31">
        <f>IF(COUNTIFS(Addendum!C:C,A540,Addendum!D:D,IF(ISNUMBER(B540),TEXT(B540,"0000"),B540),Addendum!G:G,"X")&gt;0,7%,0)</f>
        <v>0</v>
      </c>
      <c r="L540" s="31">
        <f>IF(COUNTIFS(Addendum!C:C,A540,Addendum!D:D,IF(ISNUMBER(B540),TEXT(B540,"0000"),B540),Addendum!I:I,"X")&gt;0,10%,0)</f>
        <v>0</v>
      </c>
      <c r="M540" s="34">
        <f t="shared" si="16"/>
        <v>0</v>
      </c>
      <c r="N540" s="17">
        <f t="shared" si="17"/>
        <v>13977.6</v>
      </c>
    </row>
    <row r="541" spans="1:14" x14ac:dyDescent="0.25">
      <c r="A541" s="14" t="s">
        <v>1852</v>
      </c>
      <c r="B541" s="14" t="s">
        <v>1630</v>
      </c>
      <c r="C541" s="15" t="s">
        <v>2010</v>
      </c>
      <c r="D541" s="14" t="s">
        <v>1749</v>
      </c>
      <c r="E541" s="14" t="s">
        <v>1746</v>
      </c>
      <c r="F541" s="17" t="s">
        <v>2994</v>
      </c>
      <c r="G541" s="14">
        <v>159732</v>
      </c>
      <c r="H541" s="14">
        <v>111812.4</v>
      </c>
      <c r="I541" s="31">
        <f>IF(COUNTIFS(Addendum!C:C,A541,Addendum!D:D,IF(ISNUMBER(B541),TEXT(B541,"0000"),B541),Addendum!E:E,"X")&gt;0,4%,0)</f>
        <v>0</v>
      </c>
      <c r="J541" s="31">
        <f>IF(COUNTIFS(Addendum!C:C,A541,Addendum!D:D,IF(ISNUMBER(B541),TEXT(B541,"0000"),B541),Addendum!F:F,"X")&gt;0,2.5%,0)</f>
        <v>0</v>
      </c>
      <c r="K541" s="31">
        <f>IF(COUNTIFS(Addendum!C:C,A541,Addendum!D:D,IF(ISNUMBER(B541),TEXT(B541,"0000"),B541),Addendum!G:G,"X")&gt;0,7%,0)</f>
        <v>0</v>
      </c>
      <c r="L541" s="31">
        <f>IF(COUNTIFS(Addendum!C:C,A541,Addendum!D:D,IF(ISNUMBER(B541),TEXT(B541,"0000"),B541),Addendum!I:I,"X")&gt;0,10%,0)</f>
        <v>0</v>
      </c>
      <c r="M541" s="34">
        <f t="shared" si="16"/>
        <v>0</v>
      </c>
      <c r="N541" s="17">
        <f t="shared" si="17"/>
        <v>111812.4</v>
      </c>
    </row>
    <row r="542" spans="1:14" x14ac:dyDescent="0.25">
      <c r="A542" s="14" t="s">
        <v>1852</v>
      </c>
      <c r="B542" s="14">
        <v>2</v>
      </c>
      <c r="C542" s="15" t="s">
        <v>2011</v>
      </c>
      <c r="D542" s="14" t="s">
        <v>1745</v>
      </c>
      <c r="E542" s="14" t="s">
        <v>1747</v>
      </c>
      <c r="F542" s="17" t="s">
        <v>2993</v>
      </c>
      <c r="G542" s="14">
        <v>3993360</v>
      </c>
      <c r="H542" s="14">
        <v>2795352</v>
      </c>
      <c r="I542" s="31">
        <f>IF(COUNTIFS(Addendum!C:C,A542,Addendum!D:D,IF(ISNUMBER(B542),TEXT(B542,"0000"),B542),Addendum!E:E,"X")&gt;0,4%,0)</f>
        <v>0</v>
      </c>
      <c r="J542" s="31">
        <f>IF(COUNTIFS(Addendum!C:C,A542,Addendum!D:D,IF(ISNUMBER(B542),TEXT(B542,"0000"),B542),Addendum!F:F,"X")&gt;0,2.5%,0)</f>
        <v>0</v>
      </c>
      <c r="K542" s="31">
        <f>IF(COUNTIFS(Addendum!C:C,A542,Addendum!D:D,IF(ISNUMBER(B542),TEXT(B542,"0000"),B542),Addendum!G:G,"X")&gt;0,7%,0)</f>
        <v>0</v>
      </c>
      <c r="L542" s="31">
        <f>IF(COUNTIFS(Addendum!C:C,A542,Addendum!D:D,IF(ISNUMBER(B542),TEXT(B542,"0000"),B542),Addendum!I:I,"X")&gt;0,10%,0)</f>
        <v>0</v>
      </c>
      <c r="M542" s="34">
        <f t="shared" si="16"/>
        <v>0</v>
      </c>
      <c r="N542" s="17">
        <f t="shared" si="17"/>
        <v>2795352</v>
      </c>
    </row>
    <row r="543" spans="1:14" x14ac:dyDescent="0.25">
      <c r="A543" s="14" t="s">
        <v>1852</v>
      </c>
      <c r="B543" s="14" t="s">
        <v>1941</v>
      </c>
      <c r="C543" s="15" t="s">
        <v>1942</v>
      </c>
      <c r="D543" s="14" t="s">
        <v>1745</v>
      </c>
      <c r="E543" s="14" t="s">
        <v>1746</v>
      </c>
      <c r="F543" s="17" t="s">
        <v>2994</v>
      </c>
      <c r="G543" s="14">
        <v>1677186</v>
      </c>
      <c r="H543" s="14">
        <v>1174030</v>
      </c>
      <c r="I543" s="31">
        <f>IF(COUNTIFS(Addendum!C:C,A543,Addendum!D:D,IF(ISNUMBER(B543),TEXT(B543,"0000"),B543),Addendum!E:E,"X")&gt;0,4%,0)</f>
        <v>0</v>
      </c>
      <c r="J543" s="31">
        <f>IF(COUNTIFS(Addendum!C:C,A543,Addendum!D:D,IF(ISNUMBER(B543),TEXT(B543,"0000"),B543),Addendum!F:F,"X")&gt;0,2.5%,0)</f>
        <v>0</v>
      </c>
      <c r="K543" s="31">
        <f>IF(COUNTIFS(Addendum!C:C,A543,Addendum!D:D,IF(ISNUMBER(B543),TEXT(B543,"0000"),B543),Addendum!G:G,"X")&gt;0,7%,0)</f>
        <v>0</v>
      </c>
      <c r="L543" s="31">
        <f>IF(COUNTIFS(Addendum!C:C,A543,Addendum!D:D,IF(ISNUMBER(B543),TEXT(B543,"0000"),B543),Addendum!I:I,"X")&gt;0,10%,0)</f>
        <v>0</v>
      </c>
      <c r="M543" s="34">
        <f t="shared" si="16"/>
        <v>0</v>
      </c>
      <c r="N543" s="17">
        <f t="shared" si="17"/>
        <v>1174030</v>
      </c>
    </row>
    <row r="544" spans="1:14" x14ac:dyDescent="0.25">
      <c r="A544" s="14" t="s">
        <v>1852</v>
      </c>
      <c r="B544" s="14" t="s">
        <v>2012</v>
      </c>
      <c r="C544" s="15" t="s">
        <v>2013</v>
      </c>
      <c r="D544" s="14" t="s">
        <v>1745</v>
      </c>
      <c r="E544" s="14" t="s">
        <v>1747</v>
      </c>
      <c r="F544" s="17" t="s">
        <v>2994</v>
      </c>
      <c r="G544" s="14">
        <v>2196360</v>
      </c>
      <c r="H544" s="14">
        <v>1537452</v>
      </c>
      <c r="I544" s="31">
        <f>IF(COUNTIFS(Addendum!C:C,A544,Addendum!D:D,IF(ISNUMBER(B544),TEXT(B544,"0000"),B544),Addendum!E:E,"X")&gt;0,4%,0)</f>
        <v>0</v>
      </c>
      <c r="J544" s="31">
        <f>IF(COUNTIFS(Addendum!C:C,A544,Addendum!D:D,IF(ISNUMBER(B544),TEXT(B544,"0000"),B544),Addendum!F:F,"X")&gt;0,2.5%,0)</f>
        <v>0</v>
      </c>
      <c r="K544" s="31">
        <f>IF(COUNTIFS(Addendum!C:C,A544,Addendum!D:D,IF(ISNUMBER(B544),TEXT(B544,"0000"),B544),Addendum!G:G,"X")&gt;0,7%,0)</f>
        <v>0</v>
      </c>
      <c r="L544" s="31">
        <f>IF(COUNTIFS(Addendum!C:C,A544,Addendum!D:D,IF(ISNUMBER(B544),TEXT(B544,"0000"),B544),Addendum!I:I,"X")&gt;0,10%,0)</f>
        <v>0</v>
      </c>
      <c r="M544" s="34">
        <f t="shared" si="16"/>
        <v>0</v>
      </c>
      <c r="N544" s="17">
        <f t="shared" si="17"/>
        <v>1537452</v>
      </c>
    </row>
    <row r="545" spans="1:14" x14ac:dyDescent="0.25">
      <c r="A545" s="14" t="s">
        <v>1852</v>
      </c>
      <c r="B545" s="14" t="s">
        <v>2012</v>
      </c>
      <c r="C545" s="15" t="s">
        <v>2013</v>
      </c>
      <c r="D545" s="14" t="s">
        <v>1745</v>
      </c>
      <c r="E545" s="14" t="s">
        <v>1746</v>
      </c>
      <c r="F545" s="17" t="s">
        <v>2994</v>
      </c>
      <c r="G545" s="14">
        <v>2306178</v>
      </c>
      <c r="H545" s="14">
        <v>1614325</v>
      </c>
      <c r="I545" s="31">
        <f>IF(COUNTIFS(Addendum!C:C,A545,Addendum!D:D,IF(ISNUMBER(B545),TEXT(B545,"0000"),B545),Addendum!E:E,"X")&gt;0,4%,0)</f>
        <v>0</v>
      </c>
      <c r="J545" s="31">
        <f>IF(COUNTIFS(Addendum!C:C,A545,Addendum!D:D,IF(ISNUMBER(B545),TEXT(B545,"0000"),B545),Addendum!F:F,"X")&gt;0,2.5%,0)</f>
        <v>0</v>
      </c>
      <c r="K545" s="31">
        <f>IF(COUNTIFS(Addendum!C:C,A545,Addendum!D:D,IF(ISNUMBER(B545),TEXT(B545,"0000"),B545),Addendum!G:G,"X")&gt;0,7%,0)</f>
        <v>0</v>
      </c>
      <c r="L545" s="31">
        <f>IF(COUNTIFS(Addendum!C:C,A545,Addendum!D:D,IF(ISNUMBER(B545),TEXT(B545,"0000"),B545),Addendum!I:I,"X")&gt;0,10%,0)</f>
        <v>0</v>
      </c>
      <c r="M545" s="34">
        <f t="shared" si="16"/>
        <v>0</v>
      </c>
      <c r="N545" s="17">
        <f t="shared" si="17"/>
        <v>1614325</v>
      </c>
    </row>
    <row r="546" spans="1:14" x14ac:dyDescent="0.25">
      <c r="A546" s="14" t="s">
        <v>1852</v>
      </c>
      <c r="B546" s="14" t="s">
        <v>1669</v>
      </c>
      <c r="C546" s="15" t="s">
        <v>1879</v>
      </c>
      <c r="D546" s="14" t="s">
        <v>1745</v>
      </c>
      <c r="E546" s="14" t="s">
        <v>1747</v>
      </c>
      <c r="F546" s="17" t="s">
        <v>2994</v>
      </c>
      <c r="G546" s="14">
        <v>199680</v>
      </c>
      <c r="H546" s="14">
        <v>139776</v>
      </c>
      <c r="I546" s="31">
        <f>IF(COUNTIFS(Addendum!C:C,A546,Addendum!D:D,IF(ISNUMBER(B546),TEXT(B546,"0000"),B546),Addendum!E:E,"X")&gt;0,4%,0)</f>
        <v>0</v>
      </c>
      <c r="J546" s="31">
        <f>IF(COUNTIFS(Addendum!C:C,A546,Addendum!D:D,IF(ISNUMBER(B546),TEXT(B546,"0000"),B546),Addendum!F:F,"X")&gt;0,2.5%,0)</f>
        <v>0</v>
      </c>
      <c r="K546" s="31">
        <f>IF(COUNTIFS(Addendum!C:C,A546,Addendum!D:D,IF(ISNUMBER(B546),TEXT(B546,"0000"),B546),Addendum!G:G,"X")&gt;0,7%,0)</f>
        <v>0</v>
      </c>
      <c r="L546" s="31">
        <f>IF(COUNTIFS(Addendum!C:C,A546,Addendum!D:D,IF(ISNUMBER(B546),TEXT(B546,"0000"),B546),Addendum!I:I,"X")&gt;0,10%,0)</f>
        <v>0</v>
      </c>
      <c r="M546" s="34">
        <f t="shared" si="16"/>
        <v>0</v>
      </c>
      <c r="N546" s="17">
        <f t="shared" si="17"/>
        <v>139776</v>
      </c>
    </row>
    <row r="547" spans="1:14" x14ac:dyDescent="0.25">
      <c r="A547" s="14" t="s">
        <v>1852</v>
      </c>
      <c r="B547" s="14">
        <v>4</v>
      </c>
      <c r="C547" s="15" t="s">
        <v>1886</v>
      </c>
      <c r="D547" s="14" t="s">
        <v>1745</v>
      </c>
      <c r="E547" s="14" t="s">
        <v>1746</v>
      </c>
      <c r="F547" s="17" t="s">
        <v>2993</v>
      </c>
      <c r="G547" s="14">
        <v>524097</v>
      </c>
      <c r="H547" s="14">
        <v>366868</v>
      </c>
      <c r="I547" s="31">
        <f>IF(COUNTIFS(Addendum!C:C,A547,Addendum!D:D,IF(ISNUMBER(B547),TEXT(B547,"0000"),B547),Addendum!E:E,"X")&gt;0,4%,0)</f>
        <v>0</v>
      </c>
      <c r="J547" s="31">
        <f>IF(COUNTIFS(Addendum!C:C,A547,Addendum!D:D,IF(ISNUMBER(B547),TEXT(B547,"0000"),B547),Addendum!F:F,"X")&gt;0,2.5%,0)</f>
        <v>0</v>
      </c>
      <c r="K547" s="31">
        <f>IF(COUNTIFS(Addendum!C:C,A547,Addendum!D:D,IF(ISNUMBER(B547),TEXT(B547,"0000"),B547),Addendum!G:G,"X")&gt;0,7%,0)</f>
        <v>0</v>
      </c>
      <c r="L547" s="31">
        <f>IF(COUNTIFS(Addendum!C:C,A547,Addendum!D:D,IF(ISNUMBER(B547),TEXT(B547,"0000"),B547),Addendum!I:I,"X")&gt;0,10%,0)</f>
        <v>0</v>
      </c>
      <c r="M547" s="34">
        <f t="shared" si="16"/>
        <v>0</v>
      </c>
      <c r="N547" s="17">
        <f t="shared" si="17"/>
        <v>366868</v>
      </c>
    </row>
    <row r="548" spans="1:14" x14ac:dyDescent="0.25">
      <c r="A548" s="14" t="s">
        <v>1852</v>
      </c>
      <c r="B548" s="14" t="s">
        <v>102</v>
      </c>
      <c r="C548" s="15" t="s">
        <v>2001</v>
      </c>
      <c r="D548" s="14" t="s">
        <v>1745</v>
      </c>
      <c r="E548" s="14" t="s">
        <v>1747</v>
      </c>
      <c r="F548" s="17" t="s">
        <v>2993</v>
      </c>
      <c r="G548" s="14">
        <v>14475900</v>
      </c>
      <c r="H548" s="14">
        <v>10133130</v>
      </c>
      <c r="I548" s="31">
        <f>IF(COUNTIFS(Addendum!C:C,A548,Addendum!D:D,IF(ISNUMBER(B548),TEXT(B548,"0000"),B548),Addendum!E:E,"X")&gt;0,4%,0)</f>
        <v>0</v>
      </c>
      <c r="J548" s="31">
        <f>IF(COUNTIFS(Addendum!C:C,A548,Addendum!D:D,IF(ISNUMBER(B548),TEXT(B548,"0000"),B548),Addendum!F:F,"X")&gt;0,2.5%,0)</f>
        <v>0</v>
      </c>
      <c r="K548" s="31">
        <f>IF(COUNTIFS(Addendum!C:C,A548,Addendum!D:D,IF(ISNUMBER(B548),TEXT(B548,"0000"),B548),Addendum!G:G,"X")&gt;0,7%,0)</f>
        <v>0</v>
      </c>
      <c r="L548" s="31">
        <f>IF(COUNTIFS(Addendum!C:C,A548,Addendum!D:D,IF(ISNUMBER(B548),TEXT(B548,"0000"),B548),Addendum!I:I,"X")&gt;0,10%,0)</f>
        <v>0</v>
      </c>
      <c r="M548" s="34">
        <f t="shared" si="16"/>
        <v>0</v>
      </c>
      <c r="N548" s="17">
        <f t="shared" si="17"/>
        <v>10133130</v>
      </c>
    </row>
    <row r="549" spans="1:14" x14ac:dyDescent="0.25">
      <c r="A549" s="14" t="s">
        <v>1852</v>
      </c>
      <c r="B549" s="14">
        <v>2</v>
      </c>
      <c r="C549" s="15" t="s">
        <v>2011</v>
      </c>
      <c r="D549" s="14" t="s">
        <v>1745</v>
      </c>
      <c r="E549" s="14" t="s">
        <v>1746</v>
      </c>
      <c r="F549" s="17" t="s">
        <v>2993</v>
      </c>
      <c r="G549" s="14">
        <v>4193028</v>
      </c>
      <c r="H549" s="14">
        <v>2935120</v>
      </c>
      <c r="I549" s="31">
        <f>IF(COUNTIFS(Addendum!C:C,A549,Addendum!D:D,IF(ISNUMBER(B549),TEXT(B549,"0000"),B549),Addendum!E:E,"X")&gt;0,4%,0)</f>
        <v>0</v>
      </c>
      <c r="J549" s="31">
        <f>IF(COUNTIFS(Addendum!C:C,A549,Addendum!D:D,IF(ISNUMBER(B549),TEXT(B549,"0000"),B549),Addendum!F:F,"X")&gt;0,2.5%,0)</f>
        <v>0</v>
      </c>
      <c r="K549" s="31">
        <f>IF(COUNTIFS(Addendum!C:C,A549,Addendum!D:D,IF(ISNUMBER(B549),TEXT(B549,"0000"),B549),Addendum!G:G,"X")&gt;0,7%,0)</f>
        <v>0</v>
      </c>
      <c r="L549" s="31">
        <f>IF(COUNTIFS(Addendum!C:C,A549,Addendum!D:D,IF(ISNUMBER(B549),TEXT(B549,"0000"),B549),Addendum!I:I,"X")&gt;0,10%,0)</f>
        <v>0</v>
      </c>
      <c r="M549" s="34">
        <f t="shared" si="16"/>
        <v>0</v>
      </c>
      <c r="N549" s="17">
        <f t="shared" si="17"/>
        <v>2935120</v>
      </c>
    </row>
    <row r="550" spans="1:14" x14ac:dyDescent="0.25">
      <c r="A550" s="14" t="s">
        <v>1852</v>
      </c>
      <c r="B550" s="14" t="s">
        <v>401</v>
      </c>
      <c r="C550" s="15" t="s">
        <v>1999</v>
      </c>
      <c r="D550" s="14" t="s">
        <v>1745</v>
      </c>
      <c r="E550" s="14" t="s">
        <v>1747</v>
      </c>
      <c r="F550" s="17" t="s">
        <v>2994</v>
      </c>
      <c r="G550" s="14">
        <v>2196360</v>
      </c>
      <c r="H550" s="14">
        <v>1537452</v>
      </c>
      <c r="I550" s="31">
        <f>IF(COUNTIFS(Addendum!C:C,A550,Addendum!D:D,IF(ISNUMBER(B550),TEXT(B550,"0000"),B550),Addendum!E:E,"X")&gt;0,4%,0)</f>
        <v>0</v>
      </c>
      <c r="J550" s="31">
        <f>IF(COUNTIFS(Addendum!C:C,A550,Addendum!D:D,IF(ISNUMBER(B550),TEXT(B550,"0000"),B550),Addendum!F:F,"X")&gt;0,2.5%,0)</f>
        <v>0</v>
      </c>
      <c r="K550" s="31">
        <f>IF(COUNTIFS(Addendum!C:C,A550,Addendum!D:D,IF(ISNUMBER(B550),TEXT(B550,"0000"),B550),Addendum!G:G,"X")&gt;0,7%,0)</f>
        <v>0</v>
      </c>
      <c r="L550" s="31">
        <f>IF(COUNTIFS(Addendum!C:C,A550,Addendum!D:D,IF(ISNUMBER(B550),TEXT(B550,"0000"),B550),Addendum!I:I,"X")&gt;0,10%,0)</f>
        <v>0</v>
      </c>
      <c r="M550" s="34">
        <f t="shared" si="16"/>
        <v>0</v>
      </c>
      <c r="N550" s="17">
        <f t="shared" si="17"/>
        <v>1537452</v>
      </c>
    </row>
    <row r="551" spans="1:14" x14ac:dyDescent="0.25">
      <c r="A551" s="14" t="s">
        <v>1852</v>
      </c>
      <c r="B551" s="14" t="s">
        <v>1583</v>
      </c>
      <c r="C551" s="15" t="s">
        <v>1861</v>
      </c>
      <c r="D551" s="14" t="s">
        <v>1745</v>
      </c>
      <c r="E551" s="14" t="s">
        <v>1746</v>
      </c>
      <c r="F551" s="17" t="s">
        <v>2994</v>
      </c>
      <c r="G551" s="14">
        <v>12998349</v>
      </c>
      <c r="H551" s="14">
        <v>9098844</v>
      </c>
      <c r="I551" s="31">
        <f>IF(COUNTIFS(Addendum!C:C,A551,Addendum!D:D,IF(ISNUMBER(B551),TEXT(B551,"0000"),B551),Addendum!E:E,"X")&gt;0,4%,0)</f>
        <v>0</v>
      </c>
      <c r="J551" s="31">
        <f>IF(COUNTIFS(Addendum!C:C,A551,Addendum!D:D,IF(ISNUMBER(B551),TEXT(B551,"0000"),B551),Addendum!F:F,"X")&gt;0,2.5%,0)</f>
        <v>0</v>
      </c>
      <c r="K551" s="31">
        <f>IF(COUNTIFS(Addendum!C:C,A551,Addendum!D:D,IF(ISNUMBER(B551),TEXT(B551,"0000"),B551),Addendum!G:G,"X")&gt;0,7%,0)</f>
        <v>0</v>
      </c>
      <c r="L551" s="31">
        <f>IF(COUNTIFS(Addendum!C:C,A551,Addendum!D:D,IF(ISNUMBER(B551),TEXT(B551,"0000"),B551),Addendum!I:I,"X")&gt;0,10%,0)</f>
        <v>0</v>
      </c>
      <c r="M551" s="34">
        <f t="shared" si="16"/>
        <v>0</v>
      </c>
      <c r="N551" s="17">
        <f t="shared" si="17"/>
        <v>9098844</v>
      </c>
    </row>
    <row r="552" spans="1:14" x14ac:dyDescent="0.25">
      <c r="A552" s="14" t="s">
        <v>1852</v>
      </c>
      <c r="B552" s="14" t="s">
        <v>1550</v>
      </c>
      <c r="C552" s="15" t="s">
        <v>1920</v>
      </c>
      <c r="D552" s="14" t="s">
        <v>1745</v>
      </c>
      <c r="E552" s="14" t="s">
        <v>1746</v>
      </c>
      <c r="F552" s="17" t="s">
        <v>2995</v>
      </c>
      <c r="G552" s="14">
        <v>157248</v>
      </c>
      <c r="H552" s="14">
        <v>141523.20000000001</v>
      </c>
      <c r="I552" s="31">
        <f>IF(COUNTIFS(Addendum!C:C,A552,Addendum!D:D,IF(ISNUMBER(B552),TEXT(B552,"0000"),B552),Addendum!E:E,"X")&gt;0,4%,0)</f>
        <v>0</v>
      </c>
      <c r="J552" s="31">
        <f>IF(COUNTIFS(Addendum!C:C,A552,Addendum!D:D,IF(ISNUMBER(B552),TEXT(B552,"0000"),B552),Addendum!F:F,"X")&gt;0,2.5%,0)</f>
        <v>0</v>
      </c>
      <c r="K552" s="31">
        <f>IF(COUNTIFS(Addendum!C:C,A552,Addendum!D:D,IF(ISNUMBER(B552),TEXT(B552,"0000"),B552),Addendum!G:G,"X")&gt;0,7%,0)</f>
        <v>0</v>
      </c>
      <c r="L552" s="31">
        <f>IF(COUNTIFS(Addendum!C:C,A552,Addendum!D:D,IF(ISNUMBER(B552),TEXT(B552,"0000"),B552),Addendum!I:I,"X")&gt;0,10%,0)</f>
        <v>0</v>
      </c>
      <c r="M552" s="34">
        <f t="shared" si="16"/>
        <v>0</v>
      </c>
      <c r="N552" s="17">
        <f t="shared" si="17"/>
        <v>141523.20000000001</v>
      </c>
    </row>
    <row r="553" spans="1:14" x14ac:dyDescent="0.25">
      <c r="A553" s="14" t="s">
        <v>1852</v>
      </c>
      <c r="B553" s="14" t="s">
        <v>1881</v>
      </c>
      <c r="C553" s="15" t="s">
        <v>1882</v>
      </c>
      <c r="D553" s="14" t="s">
        <v>1745</v>
      </c>
      <c r="E553" s="14" t="s">
        <v>1747</v>
      </c>
      <c r="F553" s="17" t="s">
        <v>2994</v>
      </c>
      <c r="G553" s="14">
        <v>274560</v>
      </c>
      <c r="H553" s="14">
        <v>192192</v>
      </c>
      <c r="I553" s="31">
        <f>IF(COUNTIFS(Addendum!C:C,A553,Addendum!D:D,IF(ISNUMBER(B553),TEXT(B553,"0000"),B553),Addendum!E:E,"X")&gt;0,4%,0)</f>
        <v>0</v>
      </c>
      <c r="J553" s="31">
        <f>IF(COUNTIFS(Addendum!C:C,A553,Addendum!D:D,IF(ISNUMBER(B553),TEXT(B553,"0000"),B553),Addendum!F:F,"X")&gt;0,2.5%,0)</f>
        <v>0</v>
      </c>
      <c r="K553" s="31">
        <f>IF(COUNTIFS(Addendum!C:C,A553,Addendum!D:D,IF(ISNUMBER(B553),TEXT(B553,"0000"),B553),Addendum!G:G,"X")&gt;0,7%,0)</f>
        <v>0</v>
      </c>
      <c r="L553" s="31">
        <f>IF(COUNTIFS(Addendum!C:C,A553,Addendum!D:D,IF(ISNUMBER(B553),TEXT(B553,"0000"),B553),Addendum!I:I,"X")&gt;0,10%,0)</f>
        <v>0</v>
      </c>
      <c r="M553" s="34">
        <f t="shared" si="16"/>
        <v>0</v>
      </c>
      <c r="N553" s="17">
        <f t="shared" si="17"/>
        <v>192192</v>
      </c>
    </row>
    <row r="554" spans="1:14" x14ac:dyDescent="0.25">
      <c r="A554" s="14" t="s">
        <v>1852</v>
      </c>
      <c r="B554" s="14" t="s">
        <v>32</v>
      </c>
      <c r="C554" s="15" t="s">
        <v>1895</v>
      </c>
      <c r="D554" s="14" t="s">
        <v>1749</v>
      </c>
      <c r="E554" s="14" t="s">
        <v>1746</v>
      </c>
      <c r="F554" s="17" t="s">
        <v>2993</v>
      </c>
      <c r="G554" s="14">
        <v>49914</v>
      </c>
      <c r="H554" s="14">
        <v>34939.800000000003</v>
      </c>
      <c r="I554" s="31">
        <f>IF(COUNTIFS(Addendum!C:C,A554,Addendum!D:D,IF(ISNUMBER(B554),TEXT(B554,"0000"),B554),Addendum!E:E,"X")&gt;0,4%,0)</f>
        <v>0</v>
      </c>
      <c r="J554" s="31">
        <f>IF(COUNTIFS(Addendum!C:C,A554,Addendum!D:D,IF(ISNUMBER(B554),TEXT(B554,"0000"),B554),Addendum!F:F,"X")&gt;0,2.5%,0)</f>
        <v>0</v>
      </c>
      <c r="K554" s="31">
        <f>IF(COUNTIFS(Addendum!C:C,A554,Addendum!D:D,IF(ISNUMBER(B554),TEXT(B554,"0000"),B554),Addendum!G:G,"X")&gt;0,7%,0)</f>
        <v>0</v>
      </c>
      <c r="L554" s="31">
        <f>IF(COUNTIFS(Addendum!C:C,A554,Addendum!D:D,IF(ISNUMBER(B554),TEXT(B554,"0000"),B554),Addendum!I:I,"X")&gt;0,10%,0)</f>
        <v>0</v>
      </c>
      <c r="M554" s="34">
        <f t="shared" si="16"/>
        <v>0</v>
      </c>
      <c r="N554" s="17">
        <f t="shared" si="17"/>
        <v>34939.800000000003</v>
      </c>
    </row>
    <row r="555" spans="1:14" x14ac:dyDescent="0.25">
      <c r="A555" s="14" t="s">
        <v>1852</v>
      </c>
      <c r="B555" s="14">
        <v>58</v>
      </c>
      <c r="C555" s="15" t="s">
        <v>1955</v>
      </c>
      <c r="D555" s="14" t="s">
        <v>1749</v>
      </c>
      <c r="E555" s="14" t="s">
        <v>1746</v>
      </c>
      <c r="F555" s="17" t="s">
        <v>2994</v>
      </c>
      <c r="G555" s="14">
        <v>27456</v>
      </c>
      <c r="H555" s="14">
        <v>19219.2</v>
      </c>
      <c r="I555" s="31">
        <f>IF(COUNTIFS(Addendum!C:C,A555,Addendum!D:D,IF(ISNUMBER(B555),TEXT(B555,"0000"),B555),Addendum!E:E,"X")&gt;0,4%,0)</f>
        <v>0</v>
      </c>
      <c r="J555" s="31">
        <f>IF(COUNTIFS(Addendum!C:C,A555,Addendum!D:D,IF(ISNUMBER(B555),TEXT(B555,"0000"),B555),Addendum!F:F,"X")&gt;0,2.5%,0)</f>
        <v>0</v>
      </c>
      <c r="K555" s="31">
        <f>IF(COUNTIFS(Addendum!C:C,A555,Addendum!D:D,IF(ISNUMBER(B555),TEXT(B555,"0000"),B555),Addendum!G:G,"X")&gt;0,7%,0)</f>
        <v>0</v>
      </c>
      <c r="L555" s="31">
        <f>IF(COUNTIFS(Addendum!C:C,A555,Addendum!D:D,IF(ISNUMBER(B555),TEXT(B555,"0000"),B555),Addendum!I:I,"X")&gt;0,10%,0)</f>
        <v>0</v>
      </c>
      <c r="M555" s="34">
        <f t="shared" si="16"/>
        <v>0</v>
      </c>
      <c r="N555" s="17">
        <f t="shared" si="17"/>
        <v>19219.2</v>
      </c>
    </row>
    <row r="556" spans="1:14" x14ac:dyDescent="0.25">
      <c r="A556" s="14" t="s">
        <v>1852</v>
      </c>
      <c r="B556" s="14" t="s">
        <v>1957</v>
      </c>
      <c r="C556" s="15" t="s">
        <v>1958</v>
      </c>
      <c r="D556" s="14" t="s">
        <v>1745</v>
      </c>
      <c r="E556" s="14" t="s">
        <v>1747</v>
      </c>
      <c r="F556" s="17" t="s">
        <v>2994</v>
      </c>
      <c r="G556" s="14">
        <v>199680</v>
      </c>
      <c r="H556" s="14">
        <v>139776</v>
      </c>
      <c r="I556" s="31">
        <f>IF(COUNTIFS(Addendum!C:C,A556,Addendum!D:D,IF(ISNUMBER(B556),TEXT(B556,"0000"),B556),Addendum!E:E,"X")&gt;0,4%,0)</f>
        <v>0</v>
      </c>
      <c r="J556" s="31">
        <f>IF(COUNTIFS(Addendum!C:C,A556,Addendum!D:D,IF(ISNUMBER(B556),TEXT(B556,"0000"),B556),Addendum!F:F,"X")&gt;0,2.5%,0)</f>
        <v>0</v>
      </c>
      <c r="K556" s="31">
        <f>IF(COUNTIFS(Addendum!C:C,A556,Addendum!D:D,IF(ISNUMBER(B556),TEXT(B556,"0000"),B556),Addendum!G:G,"X")&gt;0,7%,0)</f>
        <v>0</v>
      </c>
      <c r="L556" s="31">
        <f>IF(COUNTIFS(Addendum!C:C,A556,Addendum!D:D,IF(ISNUMBER(B556),TEXT(B556,"0000"),B556),Addendum!I:I,"X")&gt;0,10%,0)</f>
        <v>0</v>
      </c>
      <c r="M556" s="34">
        <f t="shared" si="16"/>
        <v>0</v>
      </c>
      <c r="N556" s="17">
        <f t="shared" si="17"/>
        <v>139776</v>
      </c>
    </row>
    <row r="557" spans="1:14" x14ac:dyDescent="0.25">
      <c r="A557" s="14" t="s">
        <v>1852</v>
      </c>
      <c r="B557" s="14" t="s">
        <v>1607</v>
      </c>
      <c r="C557" s="15" t="s">
        <v>2014</v>
      </c>
      <c r="D557" s="14" t="s">
        <v>1745</v>
      </c>
      <c r="E557" s="14" t="s">
        <v>1747</v>
      </c>
      <c r="F557" s="17" t="s">
        <v>2994</v>
      </c>
      <c r="G557" s="14">
        <v>199680</v>
      </c>
      <c r="H557" s="14">
        <v>139776</v>
      </c>
      <c r="I557" s="31">
        <f>IF(COUNTIFS(Addendum!C:C,A557,Addendum!D:D,IF(ISNUMBER(B557),TEXT(B557,"0000"),B557),Addendum!E:E,"X")&gt;0,4%,0)</f>
        <v>0</v>
      </c>
      <c r="J557" s="31">
        <f>IF(COUNTIFS(Addendum!C:C,A557,Addendum!D:D,IF(ISNUMBER(B557),TEXT(B557,"0000"),B557),Addendum!F:F,"X")&gt;0,2.5%,0)</f>
        <v>0</v>
      </c>
      <c r="K557" s="31">
        <f>IF(COUNTIFS(Addendum!C:C,A557,Addendum!D:D,IF(ISNUMBER(B557),TEXT(B557,"0000"),B557),Addendum!G:G,"X")&gt;0,7%,0)</f>
        <v>0</v>
      </c>
      <c r="L557" s="31">
        <f>IF(COUNTIFS(Addendum!C:C,A557,Addendum!D:D,IF(ISNUMBER(B557),TEXT(B557,"0000"),B557),Addendum!I:I,"X")&gt;0,10%,0)</f>
        <v>0</v>
      </c>
      <c r="M557" s="34">
        <f t="shared" si="16"/>
        <v>0</v>
      </c>
      <c r="N557" s="17">
        <f t="shared" si="17"/>
        <v>139776</v>
      </c>
    </row>
    <row r="558" spans="1:14" x14ac:dyDescent="0.25">
      <c r="A558" s="14" t="s">
        <v>1852</v>
      </c>
      <c r="B558" s="14" t="s">
        <v>1607</v>
      </c>
      <c r="C558" s="15" t="s">
        <v>2014</v>
      </c>
      <c r="D558" s="14" t="s">
        <v>1745</v>
      </c>
      <c r="E558" s="14" t="s">
        <v>1746</v>
      </c>
      <c r="F558" s="17" t="s">
        <v>2994</v>
      </c>
      <c r="G558" s="14">
        <v>209664</v>
      </c>
      <c r="H558" s="14">
        <v>146764.79999999999</v>
      </c>
      <c r="I558" s="31">
        <f>IF(COUNTIFS(Addendum!C:C,A558,Addendum!D:D,IF(ISNUMBER(B558),TEXT(B558,"0000"),B558),Addendum!E:E,"X")&gt;0,4%,0)</f>
        <v>0</v>
      </c>
      <c r="J558" s="31">
        <f>IF(COUNTIFS(Addendum!C:C,A558,Addendum!D:D,IF(ISNUMBER(B558),TEXT(B558,"0000"),B558),Addendum!F:F,"X")&gt;0,2.5%,0)</f>
        <v>0</v>
      </c>
      <c r="K558" s="31">
        <f>IF(COUNTIFS(Addendum!C:C,A558,Addendum!D:D,IF(ISNUMBER(B558),TEXT(B558,"0000"),B558),Addendum!G:G,"X")&gt;0,7%,0)</f>
        <v>0</v>
      </c>
      <c r="L558" s="31">
        <f>IF(COUNTIFS(Addendum!C:C,A558,Addendum!D:D,IF(ISNUMBER(B558),TEXT(B558,"0000"),B558),Addendum!I:I,"X")&gt;0,10%,0)</f>
        <v>0</v>
      </c>
      <c r="M558" s="34">
        <f t="shared" si="16"/>
        <v>0</v>
      </c>
      <c r="N558" s="17">
        <f t="shared" si="17"/>
        <v>146764.79999999999</v>
      </c>
    </row>
    <row r="559" spans="1:14" x14ac:dyDescent="0.25">
      <c r="A559" s="14" t="s">
        <v>1852</v>
      </c>
      <c r="B559" s="14">
        <v>78</v>
      </c>
      <c r="C559" s="15" t="s">
        <v>2008</v>
      </c>
      <c r="D559" s="14" t="s">
        <v>1745</v>
      </c>
      <c r="E559" s="14" t="s">
        <v>1746</v>
      </c>
      <c r="F559" s="17" t="s">
        <v>2995</v>
      </c>
      <c r="G559" s="14">
        <v>9748746</v>
      </c>
      <c r="H559" s="14">
        <v>8773871</v>
      </c>
      <c r="I559" s="31">
        <f>IF(COUNTIFS(Addendum!C:C,A559,Addendum!D:D,IF(ISNUMBER(B559),TEXT(B559,"0000"),B559),Addendum!E:E,"X")&gt;0,4%,0)</f>
        <v>0</v>
      </c>
      <c r="J559" s="31">
        <f>IF(COUNTIFS(Addendum!C:C,A559,Addendum!D:D,IF(ISNUMBER(B559),TEXT(B559,"0000"),B559),Addendum!F:F,"X")&gt;0,2.5%,0)</f>
        <v>0</v>
      </c>
      <c r="K559" s="31">
        <f>IF(COUNTIFS(Addendum!C:C,A559,Addendum!D:D,IF(ISNUMBER(B559),TEXT(B559,"0000"),B559),Addendum!G:G,"X")&gt;0,7%,0)</f>
        <v>0</v>
      </c>
      <c r="L559" s="31">
        <f>IF(COUNTIFS(Addendum!C:C,A559,Addendum!D:D,IF(ISNUMBER(B559),TEXT(B559,"0000"),B559),Addendum!I:I,"X")&gt;0,10%,0)</f>
        <v>0</v>
      </c>
      <c r="M559" s="34">
        <f t="shared" si="16"/>
        <v>0</v>
      </c>
      <c r="N559" s="17">
        <f t="shared" si="17"/>
        <v>8773871</v>
      </c>
    </row>
    <row r="560" spans="1:14" x14ac:dyDescent="0.25">
      <c r="A560" s="14" t="s">
        <v>1852</v>
      </c>
      <c r="B560" s="14" t="s">
        <v>89</v>
      </c>
      <c r="C560" s="15" t="s">
        <v>1929</v>
      </c>
      <c r="D560" s="14" t="s">
        <v>1745</v>
      </c>
      <c r="E560" s="14" t="s">
        <v>1746</v>
      </c>
      <c r="F560" s="17" t="s">
        <v>2993</v>
      </c>
      <c r="G560" s="14">
        <v>32495841</v>
      </c>
      <c r="H560" s="14">
        <v>22747089</v>
      </c>
      <c r="I560" s="31">
        <f>IF(COUNTIFS(Addendum!C:C,A560,Addendum!D:D,IF(ISNUMBER(B560),TEXT(B560,"0000"),B560),Addendum!E:E,"X")&gt;0,4%,0)</f>
        <v>0</v>
      </c>
      <c r="J560" s="31">
        <f>IF(COUNTIFS(Addendum!C:C,A560,Addendum!D:D,IF(ISNUMBER(B560),TEXT(B560,"0000"),B560),Addendum!F:F,"X")&gt;0,2.5%,0)</f>
        <v>0</v>
      </c>
      <c r="K560" s="31">
        <f>IF(COUNTIFS(Addendum!C:C,A560,Addendum!D:D,IF(ISNUMBER(B560),TEXT(B560,"0000"),B560),Addendum!G:G,"X")&gt;0,7%,0)</f>
        <v>0</v>
      </c>
      <c r="L560" s="31">
        <f>IF(COUNTIFS(Addendum!C:C,A560,Addendum!D:D,IF(ISNUMBER(B560),TEXT(B560,"0000"),B560),Addendum!I:I,"X")&gt;0,10%,0)</f>
        <v>0</v>
      </c>
      <c r="M560" s="34">
        <f t="shared" si="16"/>
        <v>0</v>
      </c>
      <c r="N560" s="17">
        <f t="shared" si="17"/>
        <v>22747089</v>
      </c>
    </row>
    <row r="561" spans="1:14" x14ac:dyDescent="0.25">
      <c r="A561" s="14" t="s">
        <v>1852</v>
      </c>
      <c r="B561" s="14" t="s">
        <v>243</v>
      </c>
      <c r="C561" s="15" t="s">
        <v>1970</v>
      </c>
      <c r="D561" s="14" t="s">
        <v>1745</v>
      </c>
      <c r="E561" s="14" t="s">
        <v>1746</v>
      </c>
      <c r="F561" s="17" t="s">
        <v>2993</v>
      </c>
      <c r="G561" s="14">
        <v>524097</v>
      </c>
      <c r="H561" s="14">
        <v>366868</v>
      </c>
      <c r="I561" s="31">
        <f>IF(COUNTIFS(Addendum!C:C,A561,Addendum!D:D,IF(ISNUMBER(B561),TEXT(B561,"0000"),B561),Addendum!E:E,"X")&gt;0,4%,0)</f>
        <v>0</v>
      </c>
      <c r="J561" s="31">
        <f>IF(COUNTIFS(Addendum!C:C,A561,Addendum!D:D,IF(ISNUMBER(B561),TEXT(B561,"0000"),B561),Addendum!F:F,"X")&gt;0,2.5%,0)</f>
        <v>0</v>
      </c>
      <c r="K561" s="31">
        <f>IF(COUNTIFS(Addendum!C:C,A561,Addendum!D:D,IF(ISNUMBER(B561),TEXT(B561,"0000"),B561),Addendum!G:G,"X")&gt;0,7%,0)</f>
        <v>0</v>
      </c>
      <c r="L561" s="31">
        <f>IF(COUNTIFS(Addendum!C:C,A561,Addendum!D:D,IF(ISNUMBER(B561),TEXT(B561,"0000"),B561),Addendum!I:I,"X")&gt;0,10%,0)</f>
        <v>0</v>
      </c>
      <c r="M561" s="34">
        <f t="shared" si="16"/>
        <v>0</v>
      </c>
      <c r="N561" s="17">
        <f t="shared" si="17"/>
        <v>366868</v>
      </c>
    </row>
    <row r="562" spans="1:14" x14ac:dyDescent="0.25">
      <c r="A562" s="14" t="s">
        <v>1852</v>
      </c>
      <c r="B562" s="14">
        <v>86</v>
      </c>
      <c r="C562" s="15" t="s">
        <v>2015</v>
      </c>
      <c r="D562" s="14" t="s">
        <v>1745</v>
      </c>
      <c r="E562" s="14" t="s">
        <v>1747</v>
      </c>
      <c r="F562" s="17" t="s">
        <v>2994</v>
      </c>
      <c r="G562" s="14">
        <v>1597320</v>
      </c>
      <c r="H562" s="14">
        <v>1118124</v>
      </c>
      <c r="I562" s="31">
        <f>IF(COUNTIFS(Addendum!C:C,A562,Addendum!D:D,IF(ISNUMBER(B562),TEXT(B562,"0000"),B562),Addendum!E:E,"X")&gt;0,4%,0)</f>
        <v>0</v>
      </c>
      <c r="J562" s="31">
        <f>IF(COUNTIFS(Addendum!C:C,A562,Addendum!D:D,IF(ISNUMBER(B562),TEXT(B562,"0000"),B562),Addendum!F:F,"X")&gt;0,2.5%,0)</f>
        <v>0</v>
      </c>
      <c r="K562" s="31">
        <f>IF(COUNTIFS(Addendum!C:C,A562,Addendum!D:D,IF(ISNUMBER(B562),TEXT(B562,"0000"),B562),Addendum!G:G,"X")&gt;0,7%,0)</f>
        <v>0</v>
      </c>
      <c r="L562" s="31">
        <f>IF(COUNTIFS(Addendum!C:C,A562,Addendum!D:D,IF(ISNUMBER(B562),TEXT(B562,"0000"),B562),Addendum!I:I,"X")&gt;0,10%,0)</f>
        <v>0</v>
      </c>
      <c r="M562" s="34">
        <f t="shared" si="16"/>
        <v>0</v>
      </c>
      <c r="N562" s="17">
        <f t="shared" si="17"/>
        <v>1118124</v>
      </c>
    </row>
    <row r="563" spans="1:14" x14ac:dyDescent="0.25">
      <c r="A563" s="14" t="s">
        <v>1852</v>
      </c>
      <c r="B563" s="14">
        <v>58</v>
      </c>
      <c r="C563" s="15" t="s">
        <v>1955</v>
      </c>
      <c r="D563" s="14" t="s">
        <v>1745</v>
      </c>
      <c r="E563" s="14" t="s">
        <v>1747</v>
      </c>
      <c r="F563" s="17" t="s">
        <v>2994</v>
      </c>
      <c r="G563" s="14">
        <v>274560</v>
      </c>
      <c r="H563" s="14">
        <v>192192</v>
      </c>
      <c r="I563" s="31">
        <f>IF(COUNTIFS(Addendum!C:C,A563,Addendum!D:D,IF(ISNUMBER(B563),TEXT(B563,"0000"),B563),Addendum!E:E,"X")&gt;0,4%,0)</f>
        <v>0</v>
      </c>
      <c r="J563" s="31">
        <f>IF(COUNTIFS(Addendum!C:C,A563,Addendum!D:D,IF(ISNUMBER(B563),TEXT(B563,"0000"),B563),Addendum!F:F,"X")&gt;0,2.5%,0)</f>
        <v>0</v>
      </c>
      <c r="K563" s="31">
        <f>IF(COUNTIFS(Addendum!C:C,A563,Addendum!D:D,IF(ISNUMBER(B563),TEXT(B563,"0000"),B563),Addendum!G:G,"X")&gt;0,7%,0)</f>
        <v>0</v>
      </c>
      <c r="L563" s="31">
        <f>IF(COUNTIFS(Addendum!C:C,A563,Addendum!D:D,IF(ISNUMBER(B563),TEXT(B563,"0000"),B563),Addendum!I:I,"X")&gt;0,10%,0)</f>
        <v>0</v>
      </c>
      <c r="M563" s="34">
        <f t="shared" si="16"/>
        <v>0</v>
      </c>
      <c r="N563" s="17">
        <f t="shared" si="17"/>
        <v>192192</v>
      </c>
    </row>
    <row r="564" spans="1:14" x14ac:dyDescent="0.25">
      <c r="A564" s="14" t="s">
        <v>1852</v>
      </c>
      <c r="B564" s="14" t="s">
        <v>1632</v>
      </c>
      <c r="C564" s="15" t="s">
        <v>1987</v>
      </c>
      <c r="D564" s="14" t="s">
        <v>1745</v>
      </c>
      <c r="E564" s="14" t="s">
        <v>1746</v>
      </c>
      <c r="F564" s="17" t="s">
        <v>2995</v>
      </c>
      <c r="G564" s="14">
        <v>157248</v>
      </c>
      <c r="H564" s="14">
        <v>141523.20000000001</v>
      </c>
      <c r="I564" s="31">
        <f>IF(COUNTIFS(Addendum!C:C,A564,Addendum!D:D,IF(ISNUMBER(B564),TEXT(B564,"0000"),B564),Addendum!E:E,"X")&gt;0,4%,0)</f>
        <v>0</v>
      </c>
      <c r="J564" s="31">
        <f>IF(COUNTIFS(Addendum!C:C,A564,Addendum!D:D,IF(ISNUMBER(B564),TEXT(B564,"0000"),B564),Addendum!F:F,"X")&gt;0,2.5%,0)</f>
        <v>0</v>
      </c>
      <c r="K564" s="31">
        <f>IF(COUNTIFS(Addendum!C:C,A564,Addendum!D:D,IF(ISNUMBER(B564),TEXT(B564,"0000"),B564),Addendum!G:G,"X")&gt;0,7%,0)</f>
        <v>0</v>
      </c>
      <c r="L564" s="31">
        <f>IF(COUNTIFS(Addendum!C:C,A564,Addendum!D:D,IF(ISNUMBER(B564),TEXT(B564,"0000"),B564),Addendum!I:I,"X")&gt;0,10%,0)</f>
        <v>0</v>
      </c>
      <c r="M564" s="34">
        <f t="shared" si="16"/>
        <v>0</v>
      </c>
      <c r="N564" s="17">
        <f t="shared" si="17"/>
        <v>141523.20000000001</v>
      </c>
    </row>
    <row r="565" spans="1:14" x14ac:dyDescent="0.25">
      <c r="A565" s="14" t="s">
        <v>1852</v>
      </c>
      <c r="B565" s="14" t="s">
        <v>1564</v>
      </c>
      <c r="C565" s="15" t="s">
        <v>1936</v>
      </c>
      <c r="D565" s="14" t="s">
        <v>1749</v>
      </c>
      <c r="E565" s="14" t="s">
        <v>1746</v>
      </c>
      <c r="F565" s="17" t="s">
        <v>2994</v>
      </c>
      <c r="G565" s="14">
        <v>27456</v>
      </c>
      <c r="H565" s="14">
        <v>19219.2</v>
      </c>
      <c r="I565" s="31">
        <f>IF(COUNTIFS(Addendum!C:C,A565,Addendum!D:D,IF(ISNUMBER(B565),TEXT(B565,"0000"),B565),Addendum!E:E,"X")&gt;0,4%,0)</f>
        <v>0</v>
      </c>
      <c r="J565" s="31">
        <f>IF(COUNTIFS(Addendum!C:C,A565,Addendum!D:D,IF(ISNUMBER(B565),TEXT(B565,"0000"),B565),Addendum!F:F,"X")&gt;0,2.5%,0)</f>
        <v>0</v>
      </c>
      <c r="K565" s="31">
        <f>IF(COUNTIFS(Addendum!C:C,A565,Addendum!D:D,IF(ISNUMBER(B565),TEXT(B565,"0000"),B565),Addendum!G:G,"X")&gt;0,7%,0)</f>
        <v>0</v>
      </c>
      <c r="L565" s="31">
        <f>IF(COUNTIFS(Addendum!C:C,A565,Addendum!D:D,IF(ISNUMBER(B565),TEXT(B565,"0000"),B565),Addendum!I:I,"X")&gt;0,10%,0)</f>
        <v>0</v>
      </c>
      <c r="M565" s="34">
        <f t="shared" si="16"/>
        <v>0</v>
      </c>
      <c r="N565" s="17">
        <f t="shared" si="17"/>
        <v>19219.2</v>
      </c>
    </row>
    <row r="566" spans="1:14" x14ac:dyDescent="0.25">
      <c r="A566" s="14" t="s">
        <v>1852</v>
      </c>
      <c r="B566" s="14" t="s">
        <v>29</v>
      </c>
      <c r="C566" s="15" t="s">
        <v>1943</v>
      </c>
      <c r="D566" s="14" t="s">
        <v>1745</v>
      </c>
      <c r="E566" s="14" t="s">
        <v>1747</v>
      </c>
      <c r="F566" s="17" t="s">
        <v>2993</v>
      </c>
      <c r="G566" s="14">
        <v>14475900</v>
      </c>
      <c r="H566" s="14">
        <v>10133130</v>
      </c>
      <c r="I566" s="31">
        <f>IF(COUNTIFS(Addendum!C:C,A566,Addendum!D:D,IF(ISNUMBER(B566),TEXT(B566,"0000"),B566),Addendum!E:E,"X")&gt;0,4%,0)</f>
        <v>0</v>
      </c>
      <c r="J566" s="31">
        <f>IF(COUNTIFS(Addendum!C:C,A566,Addendum!D:D,IF(ISNUMBER(B566),TEXT(B566,"0000"),B566),Addendum!F:F,"X")&gt;0,2.5%,0)</f>
        <v>0</v>
      </c>
      <c r="K566" s="31">
        <f>IF(COUNTIFS(Addendum!C:C,A566,Addendum!D:D,IF(ISNUMBER(B566),TEXT(B566,"0000"),B566),Addendum!G:G,"X")&gt;0,7%,0)</f>
        <v>0</v>
      </c>
      <c r="L566" s="31">
        <f>IF(COUNTIFS(Addendum!C:C,A566,Addendum!D:D,IF(ISNUMBER(B566),TEXT(B566,"0000"),B566),Addendum!I:I,"X")&gt;0,10%,0)</f>
        <v>0</v>
      </c>
      <c r="M566" s="34">
        <f t="shared" si="16"/>
        <v>0</v>
      </c>
      <c r="N566" s="17">
        <f t="shared" si="17"/>
        <v>10133130</v>
      </c>
    </row>
    <row r="567" spans="1:14" x14ac:dyDescent="0.25">
      <c r="A567" s="14" t="s">
        <v>1852</v>
      </c>
      <c r="B567" s="14">
        <v>64</v>
      </c>
      <c r="C567" s="15" t="s">
        <v>1865</v>
      </c>
      <c r="D567" s="14" t="s">
        <v>1745</v>
      </c>
      <c r="E567" s="14" t="s">
        <v>1747</v>
      </c>
      <c r="F567" s="17" t="s">
        <v>2994</v>
      </c>
      <c r="G567" s="14">
        <v>199680</v>
      </c>
      <c r="H567" s="14">
        <v>139776</v>
      </c>
      <c r="I567" s="31">
        <f>IF(COUNTIFS(Addendum!C:C,A567,Addendum!D:D,IF(ISNUMBER(B567),TEXT(B567,"0000"),B567),Addendum!E:E,"X")&gt;0,4%,0)</f>
        <v>0</v>
      </c>
      <c r="J567" s="31">
        <f>IF(COUNTIFS(Addendum!C:C,A567,Addendum!D:D,IF(ISNUMBER(B567),TEXT(B567,"0000"),B567),Addendum!F:F,"X")&gt;0,2.5%,0)</f>
        <v>0</v>
      </c>
      <c r="K567" s="31">
        <f>IF(COUNTIFS(Addendum!C:C,A567,Addendum!D:D,IF(ISNUMBER(B567),TEXT(B567,"0000"),B567),Addendum!G:G,"X")&gt;0,7%,0)</f>
        <v>0</v>
      </c>
      <c r="L567" s="31">
        <f>IF(COUNTIFS(Addendum!C:C,A567,Addendum!D:D,IF(ISNUMBER(B567),TEXT(B567,"0000"),B567),Addendum!I:I,"X")&gt;0,10%,0)</f>
        <v>0</v>
      </c>
      <c r="M567" s="34">
        <f t="shared" si="16"/>
        <v>0</v>
      </c>
      <c r="N567" s="17">
        <f t="shared" si="17"/>
        <v>139776</v>
      </c>
    </row>
    <row r="568" spans="1:14" x14ac:dyDescent="0.25">
      <c r="A568" s="14" t="s">
        <v>1850</v>
      </c>
      <c r="B568" s="14">
        <v>1</v>
      </c>
      <c r="C568" s="15" t="s">
        <v>1851</v>
      </c>
      <c r="D568" s="14" t="s">
        <v>1752</v>
      </c>
      <c r="E568" s="14" t="s">
        <v>1747</v>
      </c>
      <c r="F568" s="17" t="s">
        <v>2993</v>
      </c>
      <c r="G568" s="14">
        <v>89820</v>
      </c>
      <c r="H568" s="14">
        <v>62874</v>
      </c>
      <c r="I568" s="31">
        <f>IF(COUNTIFS(Addendum!C:C,A568,Addendum!D:D,IF(ISNUMBER(B568),TEXT(B568,"0000"),B568),Addendum!E:E,"X")&gt;0,4%,0)</f>
        <v>0</v>
      </c>
      <c r="J568" s="31">
        <f>IF(COUNTIFS(Addendum!C:C,A568,Addendum!D:D,IF(ISNUMBER(B568),TEXT(B568,"0000"),B568),Addendum!F:F,"X")&gt;0,2.5%,0)</f>
        <v>0</v>
      </c>
      <c r="K568" s="31">
        <f>IF(COUNTIFS(Addendum!C:C,A568,Addendum!D:D,IF(ISNUMBER(B568),TEXT(B568,"0000"),B568),Addendum!G:G,"X")&gt;0,7%,0)</f>
        <v>0</v>
      </c>
      <c r="L568" s="31">
        <f>IF(COUNTIFS(Addendum!C:C,A568,Addendum!D:D,IF(ISNUMBER(B568),TEXT(B568,"0000"),B568),Addendum!I:I,"X")&gt;0,10%,0)</f>
        <v>0</v>
      </c>
      <c r="M568" s="34">
        <f t="shared" si="16"/>
        <v>0</v>
      </c>
      <c r="N568" s="17">
        <f t="shared" si="17"/>
        <v>62874</v>
      </c>
    </row>
    <row r="569" spans="1:14" x14ac:dyDescent="0.25">
      <c r="A569" s="14" t="s">
        <v>1852</v>
      </c>
      <c r="B569" s="14" t="s">
        <v>1607</v>
      </c>
      <c r="C569" s="15" t="s">
        <v>2014</v>
      </c>
      <c r="D569" s="14" t="s">
        <v>1749</v>
      </c>
      <c r="E569" s="14" t="s">
        <v>1746</v>
      </c>
      <c r="F569" s="17" t="s">
        <v>2994</v>
      </c>
      <c r="G569" s="14">
        <v>19968</v>
      </c>
      <c r="H569" s="14">
        <v>13977.6</v>
      </c>
      <c r="I569" s="31">
        <f>IF(COUNTIFS(Addendum!C:C,A569,Addendum!D:D,IF(ISNUMBER(B569),TEXT(B569,"0000"),B569),Addendum!E:E,"X")&gt;0,4%,0)</f>
        <v>0</v>
      </c>
      <c r="J569" s="31">
        <f>IF(COUNTIFS(Addendum!C:C,A569,Addendum!D:D,IF(ISNUMBER(B569),TEXT(B569,"0000"),B569),Addendum!F:F,"X")&gt;0,2.5%,0)</f>
        <v>0</v>
      </c>
      <c r="K569" s="31">
        <f>IF(COUNTIFS(Addendum!C:C,A569,Addendum!D:D,IF(ISNUMBER(B569),TEXT(B569,"0000"),B569),Addendum!G:G,"X")&gt;0,7%,0)</f>
        <v>0</v>
      </c>
      <c r="L569" s="31">
        <f>IF(COUNTIFS(Addendum!C:C,A569,Addendum!D:D,IF(ISNUMBER(B569),TEXT(B569,"0000"),B569),Addendum!I:I,"X")&gt;0,10%,0)</f>
        <v>0</v>
      </c>
      <c r="M569" s="34">
        <f t="shared" si="16"/>
        <v>0</v>
      </c>
      <c r="N569" s="17">
        <f t="shared" si="17"/>
        <v>13977.6</v>
      </c>
    </row>
    <row r="570" spans="1:14" x14ac:dyDescent="0.25">
      <c r="A570" s="14" t="s">
        <v>1852</v>
      </c>
      <c r="B570" s="14">
        <v>62</v>
      </c>
      <c r="C570" s="15" t="s">
        <v>1894</v>
      </c>
      <c r="D570" s="14" t="s">
        <v>1745</v>
      </c>
      <c r="E570" s="14" t="s">
        <v>1746</v>
      </c>
      <c r="F570" s="17" t="s">
        <v>2994</v>
      </c>
      <c r="G570" s="14">
        <v>288288</v>
      </c>
      <c r="H570" s="14">
        <v>201801.60000000001</v>
      </c>
      <c r="I570" s="31">
        <f>IF(COUNTIFS(Addendum!C:C,A570,Addendum!D:D,IF(ISNUMBER(B570),TEXT(B570,"0000"),B570),Addendum!E:E,"X")&gt;0,4%,0)</f>
        <v>0</v>
      </c>
      <c r="J570" s="31">
        <f>IF(COUNTIFS(Addendum!C:C,A570,Addendum!D:D,IF(ISNUMBER(B570),TEXT(B570,"0000"),B570),Addendum!F:F,"X")&gt;0,2.5%,0)</f>
        <v>0</v>
      </c>
      <c r="K570" s="31">
        <f>IF(COUNTIFS(Addendum!C:C,A570,Addendum!D:D,IF(ISNUMBER(B570),TEXT(B570,"0000"),B570),Addendum!G:G,"X")&gt;0,7%,0)</f>
        <v>0</v>
      </c>
      <c r="L570" s="31">
        <f>IF(COUNTIFS(Addendum!C:C,A570,Addendum!D:D,IF(ISNUMBER(B570),TEXT(B570,"0000"),B570),Addendum!I:I,"X")&gt;0,10%,0)</f>
        <v>0</v>
      </c>
      <c r="M570" s="34">
        <f t="shared" si="16"/>
        <v>0</v>
      </c>
      <c r="N570" s="17">
        <f t="shared" si="17"/>
        <v>201801.60000000001</v>
      </c>
    </row>
    <row r="571" spans="1:14" x14ac:dyDescent="0.25">
      <c r="A571" s="14" t="s">
        <v>1852</v>
      </c>
      <c r="B571" s="14" t="s">
        <v>2012</v>
      </c>
      <c r="C571" s="15" t="s">
        <v>2013</v>
      </c>
      <c r="D571" s="14" t="s">
        <v>1749</v>
      </c>
      <c r="E571" s="14" t="s">
        <v>1746</v>
      </c>
      <c r="F571" s="17" t="s">
        <v>2994</v>
      </c>
      <c r="G571" s="14">
        <v>219636</v>
      </c>
      <c r="H571" s="14">
        <v>153745.20000000001</v>
      </c>
      <c r="I571" s="31">
        <f>IF(COUNTIFS(Addendum!C:C,A571,Addendum!D:D,IF(ISNUMBER(B571),TEXT(B571,"0000"),B571),Addendum!E:E,"X")&gt;0,4%,0)</f>
        <v>0</v>
      </c>
      <c r="J571" s="31">
        <f>IF(COUNTIFS(Addendum!C:C,A571,Addendum!D:D,IF(ISNUMBER(B571),TEXT(B571,"0000"),B571),Addendum!F:F,"X")&gt;0,2.5%,0)</f>
        <v>0</v>
      </c>
      <c r="K571" s="31">
        <f>IF(COUNTIFS(Addendum!C:C,A571,Addendum!D:D,IF(ISNUMBER(B571),TEXT(B571,"0000"),B571),Addendum!G:G,"X")&gt;0,7%,0)</f>
        <v>0</v>
      </c>
      <c r="L571" s="31">
        <f>IF(COUNTIFS(Addendum!C:C,A571,Addendum!D:D,IF(ISNUMBER(B571),TEXT(B571,"0000"),B571),Addendum!I:I,"X")&gt;0,10%,0)</f>
        <v>0</v>
      </c>
      <c r="M571" s="34">
        <f t="shared" si="16"/>
        <v>0</v>
      </c>
      <c r="N571" s="17">
        <f t="shared" si="17"/>
        <v>153745.20000000001</v>
      </c>
    </row>
    <row r="572" spans="1:14" x14ac:dyDescent="0.25">
      <c r="A572" s="14" t="s">
        <v>1852</v>
      </c>
      <c r="B572" s="14" t="s">
        <v>1679</v>
      </c>
      <c r="C572" s="15" t="s">
        <v>2009</v>
      </c>
      <c r="D572" s="14" t="s">
        <v>1745</v>
      </c>
      <c r="E572" s="14" t="s">
        <v>1747</v>
      </c>
      <c r="F572" s="17" t="s">
        <v>2994</v>
      </c>
      <c r="G572" s="14">
        <v>199680</v>
      </c>
      <c r="H572" s="14">
        <v>139776</v>
      </c>
      <c r="I572" s="31">
        <f>IF(COUNTIFS(Addendum!C:C,A572,Addendum!D:D,IF(ISNUMBER(B572),TEXT(B572,"0000"),B572),Addendum!E:E,"X")&gt;0,4%,0)</f>
        <v>0</v>
      </c>
      <c r="J572" s="31">
        <f>IF(COUNTIFS(Addendum!C:C,A572,Addendum!D:D,IF(ISNUMBER(B572),TEXT(B572,"0000"),B572),Addendum!F:F,"X")&gt;0,2.5%,0)</f>
        <v>0</v>
      </c>
      <c r="K572" s="31">
        <f>IF(COUNTIFS(Addendum!C:C,A572,Addendum!D:D,IF(ISNUMBER(B572),TEXT(B572,"0000"),B572),Addendum!G:G,"X")&gt;0,7%,0)</f>
        <v>0</v>
      </c>
      <c r="L572" s="31">
        <f>IF(COUNTIFS(Addendum!C:C,A572,Addendum!D:D,IF(ISNUMBER(B572),TEXT(B572,"0000"),B572),Addendum!I:I,"X")&gt;0,10%,0)</f>
        <v>0</v>
      </c>
      <c r="M572" s="34">
        <f t="shared" si="16"/>
        <v>0</v>
      </c>
      <c r="N572" s="17">
        <f t="shared" si="17"/>
        <v>139776</v>
      </c>
    </row>
    <row r="573" spans="1:14" x14ac:dyDescent="0.25">
      <c r="A573" s="14" t="s">
        <v>1852</v>
      </c>
      <c r="B573" s="14" t="s">
        <v>405</v>
      </c>
      <c r="C573" s="15" t="s">
        <v>1965</v>
      </c>
      <c r="D573" s="14" t="s">
        <v>1745</v>
      </c>
      <c r="E573" s="14" t="s">
        <v>1746</v>
      </c>
      <c r="F573" s="17" t="s">
        <v>2994</v>
      </c>
      <c r="G573" s="14">
        <v>8359848</v>
      </c>
      <c r="H573" s="14">
        <v>5851894</v>
      </c>
      <c r="I573" s="31">
        <f>IF(COUNTIFS(Addendum!C:C,A573,Addendum!D:D,IF(ISNUMBER(B573),TEXT(B573,"0000"),B573),Addendum!E:E,"X")&gt;0,4%,0)</f>
        <v>0</v>
      </c>
      <c r="J573" s="31">
        <f>IF(COUNTIFS(Addendum!C:C,A573,Addendum!D:D,IF(ISNUMBER(B573),TEXT(B573,"0000"),B573),Addendum!F:F,"X")&gt;0,2.5%,0)</f>
        <v>0</v>
      </c>
      <c r="K573" s="31">
        <f>IF(COUNTIFS(Addendum!C:C,A573,Addendum!D:D,IF(ISNUMBER(B573),TEXT(B573,"0000"),B573),Addendum!G:G,"X")&gt;0,7%,0)</f>
        <v>0</v>
      </c>
      <c r="L573" s="31">
        <f>IF(COUNTIFS(Addendum!C:C,A573,Addendum!D:D,IF(ISNUMBER(B573),TEXT(B573,"0000"),B573),Addendum!I:I,"X")&gt;0,10%,0)</f>
        <v>0</v>
      </c>
      <c r="M573" s="34">
        <f t="shared" si="16"/>
        <v>0</v>
      </c>
      <c r="N573" s="17">
        <f t="shared" si="17"/>
        <v>5851894</v>
      </c>
    </row>
    <row r="574" spans="1:14" x14ac:dyDescent="0.25">
      <c r="A574" s="14" t="s">
        <v>1852</v>
      </c>
      <c r="B574" s="14" t="s">
        <v>1945</v>
      </c>
      <c r="C574" s="15" t="s">
        <v>1946</v>
      </c>
      <c r="D574" s="14" t="s">
        <v>1745</v>
      </c>
      <c r="E574" s="14" t="s">
        <v>1747</v>
      </c>
      <c r="F574" s="17" t="s">
        <v>2995</v>
      </c>
      <c r="G574" s="14">
        <v>1198020</v>
      </c>
      <c r="H574" s="14">
        <v>1078218</v>
      </c>
      <c r="I574" s="31">
        <f>IF(COUNTIFS(Addendum!C:C,A574,Addendum!D:D,IF(ISNUMBER(B574),TEXT(B574,"0000"),B574),Addendum!E:E,"X")&gt;0,4%,0)</f>
        <v>0</v>
      </c>
      <c r="J574" s="31">
        <f>IF(COUNTIFS(Addendum!C:C,A574,Addendum!D:D,IF(ISNUMBER(B574),TEXT(B574,"0000"),B574),Addendum!F:F,"X")&gt;0,2.5%,0)</f>
        <v>0</v>
      </c>
      <c r="K574" s="31">
        <f>IF(COUNTIFS(Addendum!C:C,A574,Addendum!D:D,IF(ISNUMBER(B574),TEXT(B574,"0000"),B574),Addendum!G:G,"X")&gt;0,7%,0)</f>
        <v>0</v>
      </c>
      <c r="L574" s="31">
        <f>IF(COUNTIFS(Addendum!C:C,A574,Addendum!D:D,IF(ISNUMBER(B574),TEXT(B574,"0000"),B574),Addendum!I:I,"X")&gt;0,10%,0)</f>
        <v>0</v>
      </c>
      <c r="M574" s="34">
        <f t="shared" si="16"/>
        <v>0</v>
      </c>
      <c r="N574" s="17">
        <f t="shared" si="17"/>
        <v>1078218</v>
      </c>
    </row>
    <row r="575" spans="1:14" x14ac:dyDescent="0.25">
      <c r="A575" s="14" t="s">
        <v>1852</v>
      </c>
      <c r="B575" s="14">
        <v>11</v>
      </c>
      <c r="C575" s="15" t="s">
        <v>1903</v>
      </c>
      <c r="D575" s="14" t="s">
        <v>1745</v>
      </c>
      <c r="E575" s="14" t="s">
        <v>1747</v>
      </c>
      <c r="F575" s="17" t="s">
        <v>2993</v>
      </c>
      <c r="G575" s="14">
        <v>3993360</v>
      </c>
      <c r="H575" s="14">
        <v>2795352</v>
      </c>
      <c r="I575" s="31">
        <f>IF(COUNTIFS(Addendum!C:C,A575,Addendum!D:D,IF(ISNUMBER(B575),TEXT(B575,"0000"),B575),Addendum!E:E,"X")&gt;0,4%,0)</f>
        <v>0</v>
      </c>
      <c r="J575" s="31">
        <f>IF(COUNTIFS(Addendum!C:C,A575,Addendum!D:D,IF(ISNUMBER(B575),TEXT(B575,"0000"),B575),Addendum!F:F,"X")&gt;0,2.5%,0)</f>
        <v>0</v>
      </c>
      <c r="K575" s="31">
        <f>IF(COUNTIFS(Addendum!C:C,A575,Addendum!D:D,IF(ISNUMBER(B575),TEXT(B575,"0000"),B575),Addendum!G:G,"X")&gt;0,7%,0)</f>
        <v>0</v>
      </c>
      <c r="L575" s="31">
        <f>IF(COUNTIFS(Addendum!C:C,A575,Addendum!D:D,IF(ISNUMBER(B575),TEXT(B575,"0000"),B575),Addendum!I:I,"X")&gt;0,10%,0)</f>
        <v>0</v>
      </c>
      <c r="M575" s="34">
        <f t="shared" si="16"/>
        <v>0</v>
      </c>
      <c r="N575" s="17">
        <f t="shared" si="17"/>
        <v>2795352</v>
      </c>
    </row>
    <row r="576" spans="1:14" x14ac:dyDescent="0.25">
      <c r="A576" s="14" t="s">
        <v>1852</v>
      </c>
      <c r="B576" s="14">
        <v>15</v>
      </c>
      <c r="C576" s="15" t="s">
        <v>2016</v>
      </c>
      <c r="D576" s="14" t="s">
        <v>1745</v>
      </c>
      <c r="E576" s="14" t="s">
        <v>1746</v>
      </c>
      <c r="F576" s="17" t="s">
        <v>2993</v>
      </c>
      <c r="G576" s="14">
        <v>524097</v>
      </c>
      <c r="H576" s="14">
        <v>366868</v>
      </c>
      <c r="I576" s="31">
        <f>IF(COUNTIFS(Addendum!C:C,A576,Addendum!D:D,IF(ISNUMBER(B576),TEXT(B576,"0000"),B576),Addendum!E:E,"X")&gt;0,4%,0)</f>
        <v>0</v>
      </c>
      <c r="J576" s="31">
        <f>IF(COUNTIFS(Addendum!C:C,A576,Addendum!D:D,IF(ISNUMBER(B576),TEXT(B576,"0000"),B576),Addendum!F:F,"X")&gt;0,2.5%,0)</f>
        <v>0</v>
      </c>
      <c r="K576" s="31">
        <f>IF(COUNTIFS(Addendum!C:C,A576,Addendum!D:D,IF(ISNUMBER(B576),TEXT(B576,"0000"),B576),Addendum!G:G,"X")&gt;0,7%,0)</f>
        <v>0</v>
      </c>
      <c r="L576" s="31">
        <f>IF(COUNTIFS(Addendum!C:C,A576,Addendum!D:D,IF(ISNUMBER(B576),TEXT(B576,"0000"),B576),Addendum!I:I,"X")&gt;0,10%,0)</f>
        <v>0</v>
      </c>
      <c r="M576" s="34">
        <f t="shared" si="16"/>
        <v>0</v>
      </c>
      <c r="N576" s="17">
        <f t="shared" si="17"/>
        <v>366868</v>
      </c>
    </row>
    <row r="577" spans="1:14" x14ac:dyDescent="0.25">
      <c r="A577" s="14" t="s">
        <v>1850</v>
      </c>
      <c r="B577" s="14" t="s">
        <v>29</v>
      </c>
      <c r="C577" s="15" t="s">
        <v>2017</v>
      </c>
      <c r="D577" s="14" t="s">
        <v>1745</v>
      </c>
      <c r="E577" s="14" t="s">
        <v>1746</v>
      </c>
      <c r="F577" s="17" t="s">
        <v>2994</v>
      </c>
      <c r="G577" s="14">
        <v>121086</v>
      </c>
      <c r="H577" s="14">
        <v>84760.2</v>
      </c>
      <c r="I577" s="31">
        <f>IF(COUNTIFS(Addendum!C:C,A577,Addendum!D:D,IF(ISNUMBER(B577),TEXT(B577,"0000"),B577),Addendum!E:E,"X")&gt;0,4%,0)</f>
        <v>0</v>
      </c>
      <c r="J577" s="31">
        <f>IF(COUNTIFS(Addendum!C:C,A577,Addendum!D:D,IF(ISNUMBER(B577),TEXT(B577,"0000"),B577),Addendum!F:F,"X")&gt;0,2.5%,0)</f>
        <v>0</v>
      </c>
      <c r="K577" s="31">
        <f>IF(COUNTIFS(Addendum!C:C,A577,Addendum!D:D,IF(ISNUMBER(B577),TEXT(B577,"0000"),B577),Addendum!G:G,"X")&gt;0,7%,0)</f>
        <v>0</v>
      </c>
      <c r="L577" s="31">
        <f>IF(COUNTIFS(Addendum!C:C,A577,Addendum!D:D,IF(ISNUMBER(B577),TEXT(B577,"0000"),B577),Addendum!I:I,"X")&gt;0,10%,0)</f>
        <v>0</v>
      </c>
      <c r="M577" s="34">
        <f t="shared" si="16"/>
        <v>0</v>
      </c>
      <c r="N577" s="17">
        <f t="shared" si="17"/>
        <v>84760.2</v>
      </c>
    </row>
    <row r="578" spans="1:14" x14ac:dyDescent="0.25">
      <c r="A578" s="14" t="s">
        <v>1852</v>
      </c>
      <c r="B578" s="14" t="s">
        <v>1973</v>
      </c>
      <c r="C578" s="15" t="s">
        <v>1974</v>
      </c>
      <c r="D578" s="14" t="s">
        <v>1745</v>
      </c>
      <c r="E578" s="14" t="s">
        <v>1746</v>
      </c>
      <c r="F578" s="17" t="s">
        <v>2995</v>
      </c>
      <c r="G578" s="14">
        <v>9748746</v>
      </c>
      <c r="H578" s="14">
        <v>8773871</v>
      </c>
      <c r="I578" s="31">
        <f>IF(COUNTIFS(Addendum!C:C,A578,Addendum!D:D,IF(ISNUMBER(B578),TEXT(B578,"0000"),B578),Addendum!E:E,"X")&gt;0,4%,0)</f>
        <v>0</v>
      </c>
      <c r="J578" s="31">
        <f>IF(COUNTIFS(Addendum!C:C,A578,Addendum!D:D,IF(ISNUMBER(B578),TEXT(B578,"0000"),B578),Addendum!F:F,"X")&gt;0,2.5%,0)</f>
        <v>0</v>
      </c>
      <c r="K578" s="31">
        <f>IF(COUNTIFS(Addendum!C:C,A578,Addendum!D:D,IF(ISNUMBER(B578),TEXT(B578,"0000"),B578),Addendum!G:G,"X")&gt;0,7%,0)</f>
        <v>0</v>
      </c>
      <c r="L578" s="31">
        <f>IF(COUNTIFS(Addendum!C:C,A578,Addendum!D:D,IF(ISNUMBER(B578),TEXT(B578,"0000"),B578),Addendum!I:I,"X")&gt;0,10%,0)</f>
        <v>0</v>
      </c>
      <c r="M578" s="34">
        <f t="shared" si="16"/>
        <v>0</v>
      </c>
      <c r="N578" s="17">
        <f t="shared" si="17"/>
        <v>8773871</v>
      </c>
    </row>
    <row r="579" spans="1:14" x14ac:dyDescent="0.25">
      <c r="A579" s="14" t="s">
        <v>1850</v>
      </c>
      <c r="B579" s="14">
        <v>2</v>
      </c>
      <c r="C579" s="15" t="s">
        <v>1948</v>
      </c>
      <c r="D579" s="14" t="s">
        <v>1752</v>
      </c>
      <c r="E579" s="14" t="s">
        <v>1747</v>
      </c>
      <c r="F579" s="17" t="s">
        <v>2993</v>
      </c>
      <c r="G579" s="14">
        <v>628920</v>
      </c>
      <c r="H579" s="14">
        <v>440244</v>
      </c>
      <c r="I579" s="31">
        <f>IF(COUNTIFS(Addendum!C:C,A579,Addendum!D:D,IF(ISNUMBER(B579),TEXT(B579,"0000"),B579),Addendum!E:E,"X")&gt;0,4%,0)</f>
        <v>0</v>
      </c>
      <c r="J579" s="31">
        <f>IF(COUNTIFS(Addendum!C:C,A579,Addendum!D:D,IF(ISNUMBER(B579),TEXT(B579,"0000"),B579),Addendum!F:F,"X")&gt;0,2.5%,0)</f>
        <v>0</v>
      </c>
      <c r="K579" s="31">
        <f>IF(COUNTIFS(Addendum!C:C,A579,Addendum!D:D,IF(ISNUMBER(B579),TEXT(B579,"0000"),B579),Addendum!G:G,"X")&gt;0,7%,0)</f>
        <v>0</v>
      </c>
      <c r="L579" s="31">
        <f>IF(COUNTIFS(Addendum!C:C,A579,Addendum!D:D,IF(ISNUMBER(B579),TEXT(B579,"0000"),B579),Addendum!I:I,"X")&gt;0,10%,0)</f>
        <v>0</v>
      </c>
      <c r="M579" s="34">
        <f t="shared" si="16"/>
        <v>0</v>
      </c>
      <c r="N579" s="17">
        <f t="shared" si="17"/>
        <v>440244</v>
      </c>
    </row>
    <row r="580" spans="1:14" x14ac:dyDescent="0.25">
      <c r="A580" s="14" t="s">
        <v>1852</v>
      </c>
      <c r="B580" s="14" t="s">
        <v>1555</v>
      </c>
      <c r="C580" s="15" t="s">
        <v>2018</v>
      </c>
      <c r="D580" s="14" t="s">
        <v>1749</v>
      </c>
      <c r="E580" s="14" t="s">
        <v>1746</v>
      </c>
      <c r="F580" s="17" t="s">
        <v>2994</v>
      </c>
      <c r="G580" s="14">
        <v>19968</v>
      </c>
      <c r="H580" s="14">
        <v>13977.6</v>
      </c>
      <c r="I580" s="31">
        <f>IF(COUNTIFS(Addendum!C:C,A580,Addendum!D:D,IF(ISNUMBER(B580),TEXT(B580,"0000"),B580),Addendum!E:E,"X")&gt;0,4%,0)</f>
        <v>0</v>
      </c>
      <c r="J580" s="31">
        <f>IF(COUNTIFS(Addendum!C:C,A580,Addendum!D:D,IF(ISNUMBER(B580),TEXT(B580,"0000"),B580),Addendum!F:F,"X")&gt;0,2.5%,0)</f>
        <v>0</v>
      </c>
      <c r="K580" s="31">
        <f>IF(COUNTIFS(Addendum!C:C,A580,Addendum!D:D,IF(ISNUMBER(B580),TEXT(B580,"0000"),B580),Addendum!G:G,"X")&gt;0,7%,0)</f>
        <v>0</v>
      </c>
      <c r="L580" s="31">
        <f>IF(COUNTIFS(Addendum!C:C,A580,Addendum!D:D,IF(ISNUMBER(B580),TEXT(B580,"0000"),B580),Addendum!I:I,"X")&gt;0,10%,0)</f>
        <v>0</v>
      </c>
      <c r="M580" s="34">
        <f t="shared" ref="M580:M643" si="18">IF(AND(I580=0%,J580=0%,K580=0%,L580=0%),0%,
IF(OR(TRIM(E580)="OneTime",TRIM(D580)=""),0%,
IF(
OR(
TRIM(D580)="P1M",
AND(TRIM(D580)="P1Y",TRIM(E580)="Monthly"),
AND(TRIM(D580)="P3Y",TRIM(E580)="Monthly")
),
IF(AND(I580=4%,J580=0%,K580=0%,L580=0%),1%,
IF(AND(I580=4%,J580=2.5%,K580=0%,L580=10%),2%,
IF(AND(I580=4%,J580=0%,K580=7%,L580=10%),3%,0%))),
IF(
OR(
AND(TRIM(D580)="P1Y",TRIM(E580)="Annual"),
AND(TRIM(D580)="P3Y",TRIM(E580)="Annual"),
AND(TRIM(D580)="P3Y",TRIM(E580)="Triennial")
),
IF(AND(I580=4%,J580=0%,K580=0%,L580=0%),3%,
IF(AND(I580=4%,J580=2.5%,K580=0%,L580=10%),10%,
IF(AND(I580=4%,J580=0%,K580=7%,L580=10%),14%,0%))),
0%
))))</f>
        <v>0</v>
      </c>
      <c r="N580" s="17">
        <f t="shared" ref="N580:N643" si="19">H580-(H580*M580)</f>
        <v>13977.6</v>
      </c>
    </row>
    <row r="581" spans="1:14" x14ac:dyDescent="0.25">
      <c r="A581" s="14" t="s">
        <v>1852</v>
      </c>
      <c r="B581" s="14" t="s">
        <v>2019</v>
      </c>
      <c r="C581" s="15" t="s">
        <v>2020</v>
      </c>
      <c r="D581" s="14" t="s">
        <v>1749</v>
      </c>
      <c r="E581" s="14" t="s">
        <v>1746</v>
      </c>
      <c r="F581" s="17" t="s">
        <v>2994</v>
      </c>
      <c r="G581" s="14">
        <v>19968</v>
      </c>
      <c r="H581" s="14">
        <v>13977.6</v>
      </c>
      <c r="I581" s="31">
        <f>IF(COUNTIFS(Addendum!C:C,A581,Addendum!D:D,IF(ISNUMBER(B581),TEXT(B581,"0000"),B581),Addendum!E:E,"X")&gt;0,4%,0)</f>
        <v>0</v>
      </c>
      <c r="J581" s="31">
        <f>IF(COUNTIFS(Addendum!C:C,A581,Addendum!D:D,IF(ISNUMBER(B581),TEXT(B581,"0000"),B581),Addendum!F:F,"X")&gt;0,2.5%,0)</f>
        <v>0</v>
      </c>
      <c r="K581" s="31">
        <f>IF(COUNTIFS(Addendum!C:C,A581,Addendum!D:D,IF(ISNUMBER(B581),TEXT(B581,"0000"),B581),Addendum!G:G,"X")&gt;0,7%,0)</f>
        <v>0</v>
      </c>
      <c r="L581" s="31">
        <f>IF(COUNTIFS(Addendum!C:C,A581,Addendum!D:D,IF(ISNUMBER(B581),TEXT(B581,"0000"),B581),Addendum!I:I,"X")&gt;0,10%,0)</f>
        <v>0</v>
      </c>
      <c r="M581" s="34">
        <f t="shared" si="18"/>
        <v>0</v>
      </c>
      <c r="N581" s="17">
        <f t="shared" si="19"/>
        <v>13977.6</v>
      </c>
    </row>
    <row r="582" spans="1:14" x14ac:dyDescent="0.25">
      <c r="A582" s="14" t="s">
        <v>1852</v>
      </c>
      <c r="B582" s="14">
        <v>84</v>
      </c>
      <c r="C582" s="15" t="s">
        <v>1874</v>
      </c>
      <c r="D582" s="14" t="s">
        <v>1745</v>
      </c>
      <c r="E582" s="14" t="s">
        <v>1747</v>
      </c>
      <c r="F582" s="17" t="s">
        <v>2995</v>
      </c>
      <c r="G582" s="14">
        <v>1198020</v>
      </c>
      <c r="H582" s="14">
        <v>1078218</v>
      </c>
      <c r="I582" s="31">
        <f>IF(COUNTIFS(Addendum!C:C,A582,Addendum!D:D,IF(ISNUMBER(B582),TEXT(B582,"0000"),B582),Addendum!E:E,"X")&gt;0,4%,0)</f>
        <v>0</v>
      </c>
      <c r="J582" s="31">
        <f>IF(COUNTIFS(Addendum!C:C,A582,Addendum!D:D,IF(ISNUMBER(B582),TEXT(B582,"0000"),B582),Addendum!F:F,"X")&gt;0,2.5%,0)</f>
        <v>0</v>
      </c>
      <c r="K582" s="31">
        <f>IF(COUNTIFS(Addendum!C:C,A582,Addendum!D:D,IF(ISNUMBER(B582),TEXT(B582,"0000"),B582),Addendum!G:G,"X")&gt;0,7%,0)</f>
        <v>0</v>
      </c>
      <c r="L582" s="31">
        <f>IF(COUNTIFS(Addendum!C:C,A582,Addendum!D:D,IF(ISNUMBER(B582),TEXT(B582,"0000"),B582),Addendum!I:I,"X")&gt;0,10%,0)</f>
        <v>0</v>
      </c>
      <c r="M582" s="34">
        <f t="shared" si="18"/>
        <v>0</v>
      </c>
      <c r="N582" s="17">
        <f t="shared" si="19"/>
        <v>1078218</v>
      </c>
    </row>
    <row r="583" spans="1:14" x14ac:dyDescent="0.25">
      <c r="A583" s="14" t="s">
        <v>1852</v>
      </c>
      <c r="B583" s="14">
        <v>70</v>
      </c>
      <c r="C583" s="15" t="s">
        <v>1953</v>
      </c>
      <c r="D583" s="14" t="s">
        <v>1745</v>
      </c>
      <c r="E583" s="14" t="s">
        <v>1747</v>
      </c>
      <c r="F583" s="17" t="s">
        <v>2995</v>
      </c>
      <c r="G583" s="14">
        <v>149760</v>
      </c>
      <c r="H583" s="14">
        <v>134784</v>
      </c>
      <c r="I583" s="31">
        <f>IF(COUNTIFS(Addendum!C:C,A583,Addendum!D:D,IF(ISNUMBER(B583),TEXT(B583,"0000"),B583),Addendum!E:E,"X")&gt;0,4%,0)</f>
        <v>0</v>
      </c>
      <c r="J583" s="31">
        <f>IF(COUNTIFS(Addendum!C:C,A583,Addendum!D:D,IF(ISNUMBER(B583),TEXT(B583,"0000"),B583),Addendum!F:F,"X")&gt;0,2.5%,0)</f>
        <v>0</v>
      </c>
      <c r="K583" s="31">
        <f>IF(COUNTIFS(Addendum!C:C,A583,Addendum!D:D,IF(ISNUMBER(B583),TEXT(B583,"0000"),B583),Addendum!G:G,"X")&gt;0,7%,0)</f>
        <v>0</v>
      </c>
      <c r="L583" s="31">
        <f>IF(COUNTIFS(Addendum!C:C,A583,Addendum!D:D,IF(ISNUMBER(B583),TEXT(B583,"0000"),B583),Addendum!I:I,"X")&gt;0,10%,0)</f>
        <v>0</v>
      </c>
      <c r="M583" s="34">
        <f t="shared" si="18"/>
        <v>0</v>
      </c>
      <c r="N583" s="17">
        <f t="shared" si="19"/>
        <v>134784</v>
      </c>
    </row>
    <row r="584" spans="1:14" x14ac:dyDescent="0.25">
      <c r="A584" s="14" t="s">
        <v>1852</v>
      </c>
      <c r="B584" s="14">
        <v>59</v>
      </c>
      <c r="C584" s="15" t="s">
        <v>2000</v>
      </c>
      <c r="D584" s="14" t="s">
        <v>1745</v>
      </c>
      <c r="E584" s="14" t="s">
        <v>1746</v>
      </c>
      <c r="F584" s="17" t="s">
        <v>2995</v>
      </c>
      <c r="G584" s="14">
        <v>157248</v>
      </c>
      <c r="H584" s="14">
        <v>141523.20000000001</v>
      </c>
      <c r="I584" s="31">
        <f>IF(COUNTIFS(Addendum!C:C,A584,Addendum!D:D,IF(ISNUMBER(B584),TEXT(B584,"0000"),B584),Addendum!E:E,"X")&gt;0,4%,0)</f>
        <v>0</v>
      </c>
      <c r="J584" s="31">
        <f>IF(COUNTIFS(Addendum!C:C,A584,Addendum!D:D,IF(ISNUMBER(B584),TEXT(B584,"0000"),B584),Addendum!F:F,"X")&gt;0,2.5%,0)</f>
        <v>0</v>
      </c>
      <c r="K584" s="31">
        <f>IF(COUNTIFS(Addendum!C:C,A584,Addendum!D:D,IF(ISNUMBER(B584),TEXT(B584,"0000"),B584),Addendum!G:G,"X")&gt;0,7%,0)</f>
        <v>0</v>
      </c>
      <c r="L584" s="31">
        <f>IF(COUNTIFS(Addendum!C:C,A584,Addendum!D:D,IF(ISNUMBER(B584),TEXT(B584,"0000"),B584),Addendum!I:I,"X")&gt;0,10%,0)</f>
        <v>0</v>
      </c>
      <c r="M584" s="34">
        <f t="shared" si="18"/>
        <v>0</v>
      </c>
      <c r="N584" s="17">
        <f t="shared" si="19"/>
        <v>141523.20000000001</v>
      </c>
    </row>
    <row r="585" spans="1:14" x14ac:dyDescent="0.25">
      <c r="A585" s="14" t="s">
        <v>1852</v>
      </c>
      <c r="B585" s="14" t="s">
        <v>2019</v>
      </c>
      <c r="C585" s="15" t="s">
        <v>2020</v>
      </c>
      <c r="D585" s="14" t="s">
        <v>1745</v>
      </c>
      <c r="E585" s="14" t="s">
        <v>1746</v>
      </c>
      <c r="F585" s="17" t="s">
        <v>2994</v>
      </c>
      <c r="G585" s="14">
        <v>209664</v>
      </c>
      <c r="H585" s="14">
        <v>146764.79999999999</v>
      </c>
      <c r="I585" s="31">
        <f>IF(COUNTIFS(Addendum!C:C,A585,Addendum!D:D,IF(ISNUMBER(B585),TEXT(B585,"0000"),B585),Addendum!E:E,"X")&gt;0,4%,0)</f>
        <v>0</v>
      </c>
      <c r="J585" s="31">
        <f>IF(COUNTIFS(Addendum!C:C,A585,Addendum!D:D,IF(ISNUMBER(B585),TEXT(B585,"0000"),B585),Addendum!F:F,"X")&gt;0,2.5%,0)</f>
        <v>0</v>
      </c>
      <c r="K585" s="31">
        <f>IF(COUNTIFS(Addendum!C:C,A585,Addendum!D:D,IF(ISNUMBER(B585),TEXT(B585,"0000"),B585),Addendum!G:G,"X")&gt;0,7%,0)</f>
        <v>0</v>
      </c>
      <c r="L585" s="31">
        <f>IF(COUNTIFS(Addendum!C:C,A585,Addendum!D:D,IF(ISNUMBER(B585),TEXT(B585,"0000"),B585),Addendum!I:I,"X")&gt;0,10%,0)</f>
        <v>0</v>
      </c>
      <c r="M585" s="34">
        <f t="shared" si="18"/>
        <v>0</v>
      </c>
      <c r="N585" s="17">
        <f t="shared" si="19"/>
        <v>146764.79999999999</v>
      </c>
    </row>
    <row r="586" spans="1:14" x14ac:dyDescent="0.25">
      <c r="A586" s="14" t="s">
        <v>1852</v>
      </c>
      <c r="B586" s="14">
        <v>86</v>
      </c>
      <c r="C586" s="15" t="s">
        <v>2015</v>
      </c>
      <c r="D586" s="14" t="s">
        <v>1745</v>
      </c>
      <c r="E586" s="14" t="s">
        <v>1746</v>
      </c>
      <c r="F586" s="17" t="s">
        <v>2994</v>
      </c>
      <c r="G586" s="14">
        <v>1677186</v>
      </c>
      <c r="H586" s="14">
        <v>1174030</v>
      </c>
      <c r="I586" s="31">
        <f>IF(COUNTIFS(Addendum!C:C,A586,Addendum!D:D,IF(ISNUMBER(B586),TEXT(B586,"0000"),B586),Addendum!E:E,"X")&gt;0,4%,0)</f>
        <v>0</v>
      </c>
      <c r="J586" s="31">
        <f>IF(COUNTIFS(Addendum!C:C,A586,Addendum!D:D,IF(ISNUMBER(B586),TEXT(B586,"0000"),B586),Addendum!F:F,"X")&gt;0,2.5%,0)</f>
        <v>0</v>
      </c>
      <c r="K586" s="31">
        <f>IF(COUNTIFS(Addendum!C:C,A586,Addendum!D:D,IF(ISNUMBER(B586),TEXT(B586,"0000"),B586),Addendum!G:G,"X")&gt;0,7%,0)</f>
        <v>0</v>
      </c>
      <c r="L586" s="31">
        <f>IF(COUNTIFS(Addendum!C:C,A586,Addendum!D:D,IF(ISNUMBER(B586),TEXT(B586,"0000"),B586),Addendum!I:I,"X")&gt;0,10%,0)</f>
        <v>0</v>
      </c>
      <c r="M586" s="34">
        <f t="shared" si="18"/>
        <v>0</v>
      </c>
      <c r="N586" s="17">
        <f t="shared" si="19"/>
        <v>1174030</v>
      </c>
    </row>
    <row r="587" spans="1:14" x14ac:dyDescent="0.25">
      <c r="A587" s="14" t="s">
        <v>1852</v>
      </c>
      <c r="B587" s="14" t="s">
        <v>1630</v>
      </c>
      <c r="C587" s="15" t="s">
        <v>2010</v>
      </c>
      <c r="D587" s="14" t="s">
        <v>1745</v>
      </c>
      <c r="E587" s="14" t="s">
        <v>1746</v>
      </c>
      <c r="F587" s="17" t="s">
        <v>2994</v>
      </c>
      <c r="G587" s="14">
        <v>1677186</v>
      </c>
      <c r="H587" s="14">
        <v>1174030</v>
      </c>
      <c r="I587" s="31">
        <f>IF(COUNTIFS(Addendum!C:C,A587,Addendum!D:D,IF(ISNUMBER(B587),TEXT(B587,"0000"),B587),Addendum!E:E,"X")&gt;0,4%,0)</f>
        <v>0</v>
      </c>
      <c r="J587" s="31">
        <f>IF(COUNTIFS(Addendum!C:C,A587,Addendum!D:D,IF(ISNUMBER(B587),TEXT(B587,"0000"),B587),Addendum!F:F,"X")&gt;0,2.5%,0)</f>
        <v>0</v>
      </c>
      <c r="K587" s="31">
        <f>IF(COUNTIFS(Addendum!C:C,A587,Addendum!D:D,IF(ISNUMBER(B587),TEXT(B587,"0000"),B587),Addendum!G:G,"X")&gt;0,7%,0)</f>
        <v>0</v>
      </c>
      <c r="L587" s="31">
        <f>IF(COUNTIFS(Addendum!C:C,A587,Addendum!D:D,IF(ISNUMBER(B587),TEXT(B587,"0000"),B587),Addendum!I:I,"X")&gt;0,10%,0)</f>
        <v>0</v>
      </c>
      <c r="M587" s="34">
        <f t="shared" si="18"/>
        <v>0</v>
      </c>
      <c r="N587" s="17">
        <f t="shared" si="19"/>
        <v>1174030</v>
      </c>
    </row>
    <row r="588" spans="1:14" x14ac:dyDescent="0.25">
      <c r="A588" s="14" t="s">
        <v>1852</v>
      </c>
      <c r="B588" s="14" t="s">
        <v>1877</v>
      </c>
      <c r="C588" s="15" t="s">
        <v>1878</v>
      </c>
      <c r="D588" s="14" t="s">
        <v>1745</v>
      </c>
      <c r="E588" s="14" t="s">
        <v>1747</v>
      </c>
      <c r="F588" s="17" t="s">
        <v>2995</v>
      </c>
      <c r="G588" s="14">
        <v>4342740</v>
      </c>
      <c r="H588" s="14">
        <v>3908466</v>
      </c>
      <c r="I588" s="31">
        <f>IF(COUNTIFS(Addendum!C:C,A588,Addendum!D:D,IF(ISNUMBER(B588),TEXT(B588,"0000"),B588),Addendum!E:E,"X")&gt;0,4%,0)</f>
        <v>0</v>
      </c>
      <c r="J588" s="31">
        <f>IF(COUNTIFS(Addendum!C:C,A588,Addendum!D:D,IF(ISNUMBER(B588),TEXT(B588,"0000"),B588),Addendum!F:F,"X")&gt;0,2.5%,0)</f>
        <v>0</v>
      </c>
      <c r="K588" s="31">
        <f>IF(COUNTIFS(Addendum!C:C,A588,Addendum!D:D,IF(ISNUMBER(B588),TEXT(B588,"0000"),B588),Addendum!G:G,"X")&gt;0,7%,0)</f>
        <v>0</v>
      </c>
      <c r="L588" s="31">
        <f>IF(COUNTIFS(Addendum!C:C,A588,Addendum!D:D,IF(ISNUMBER(B588),TEXT(B588,"0000"),B588),Addendum!I:I,"X")&gt;0,10%,0)</f>
        <v>0</v>
      </c>
      <c r="M588" s="34">
        <f t="shared" si="18"/>
        <v>0</v>
      </c>
      <c r="N588" s="17">
        <f t="shared" si="19"/>
        <v>3908466</v>
      </c>
    </row>
    <row r="589" spans="1:14" x14ac:dyDescent="0.25">
      <c r="A589" s="14" t="s">
        <v>1852</v>
      </c>
      <c r="B589" s="14">
        <v>12</v>
      </c>
      <c r="C589" s="15" t="s">
        <v>1998</v>
      </c>
      <c r="D589" s="14" t="s">
        <v>1749</v>
      </c>
      <c r="E589" s="14" t="s">
        <v>1746</v>
      </c>
      <c r="F589" s="17" t="s">
        <v>2993</v>
      </c>
      <c r="G589" s="14">
        <v>49914</v>
      </c>
      <c r="H589" s="14">
        <v>34939.800000000003</v>
      </c>
      <c r="I589" s="31">
        <f>IF(COUNTIFS(Addendum!C:C,A589,Addendum!D:D,IF(ISNUMBER(B589),TEXT(B589,"0000"),B589),Addendum!E:E,"X")&gt;0,4%,0)</f>
        <v>0</v>
      </c>
      <c r="J589" s="31">
        <f>IF(COUNTIFS(Addendum!C:C,A589,Addendum!D:D,IF(ISNUMBER(B589),TEXT(B589,"0000"),B589),Addendum!F:F,"X")&gt;0,2.5%,0)</f>
        <v>0</v>
      </c>
      <c r="K589" s="31">
        <f>IF(COUNTIFS(Addendum!C:C,A589,Addendum!D:D,IF(ISNUMBER(B589),TEXT(B589,"0000"),B589),Addendum!G:G,"X")&gt;0,7%,0)</f>
        <v>0</v>
      </c>
      <c r="L589" s="31">
        <f>IF(COUNTIFS(Addendum!C:C,A589,Addendum!D:D,IF(ISNUMBER(B589),TEXT(B589,"0000"),B589),Addendum!I:I,"X")&gt;0,10%,0)</f>
        <v>0</v>
      </c>
      <c r="M589" s="34">
        <f t="shared" si="18"/>
        <v>0</v>
      </c>
      <c r="N589" s="17">
        <f t="shared" si="19"/>
        <v>34939.800000000003</v>
      </c>
    </row>
    <row r="590" spans="1:14" x14ac:dyDescent="0.25">
      <c r="A590" s="14" t="s">
        <v>1852</v>
      </c>
      <c r="B590" s="14" t="s">
        <v>1578</v>
      </c>
      <c r="C590" s="15" t="s">
        <v>1856</v>
      </c>
      <c r="D590" s="14" t="s">
        <v>1749</v>
      </c>
      <c r="E590" s="14" t="s">
        <v>1746</v>
      </c>
      <c r="F590" s="17" t="s">
        <v>2995</v>
      </c>
      <c r="G590" s="14">
        <v>14976</v>
      </c>
      <c r="H590" s="14">
        <v>13478.4</v>
      </c>
      <c r="I590" s="31">
        <f>IF(COUNTIFS(Addendum!C:C,A590,Addendum!D:D,IF(ISNUMBER(B590),TEXT(B590,"0000"),B590),Addendum!E:E,"X")&gt;0,4%,0)</f>
        <v>0</v>
      </c>
      <c r="J590" s="31">
        <f>IF(COUNTIFS(Addendum!C:C,A590,Addendum!D:D,IF(ISNUMBER(B590),TEXT(B590,"0000"),B590),Addendum!F:F,"X")&gt;0,2.5%,0)</f>
        <v>0</v>
      </c>
      <c r="K590" s="31">
        <f>IF(COUNTIFS(Addendum!C:C,A590,Addendum!D:D,IF(ISNUMBER(B590),TEXT(B590,"0000"),B590),Addendum!G:G,"X")&gt;0,7%,0)</f>
        <v>0</v>
      </c>
      <c r="L590" s="31">
        <f>IF(COUNTIFS(Addendum!C:C,A590,Addendum!D:D,IF(ISNUMBER(B590),TEXT(B590,"0000"),B590),Addendum!I:I,"X")&gt;0,10%,0)</f>
        <v>0</v>
      </c>
      <c r="M590" s="34">
        <f t="shared" si="18"/>
        <v>0</v>
      </c>
      <c r="N590" s="17">
        <f t="shared" si="19"/>
        <v>13478.4</v>
      </c>
    </row>
    <row r="591" spans="1:14" x14ac:dyDescent="0.25">
      <c r="A591" s="14" t="s">
        <v>1852</v>
      </c>
      <c r="B591" s="14">
        <v>86</v>
      </c>
      <c r="C591" s="15" t="s">
        <v>2015</v>
      </c>
      <c r="D591" s="14" t="s">
        <v>1749</v>
      </c>
      <c r="E591" s="14" t="s">
        <v>1746</v>
      </c>
      <c r="F591" s="17" t="s">
        <v>2994</v>
      </c>
      <c r="G591" s="14">
        <v>159732</v>
      </c>
      <c r="H591" s="14">
        <v>111812.4</v>
      </c>
      <c r="I591" s="31">
        <f>IF(COUNTIFS(Addendum!C:C,A591,Addendum!D:D,IF(ISNUMBER(B591),TEXT(B591,"0000"),B591),Addendum!E:E,"X")&gt;0,4%,0)</f>
        <v>0</v>
      </c>
      <c r="J591" s="31">
        <f>IF(COUNTIFS(Addendum!C:C,A591,Addendum!D:D,IF(ISNUMBER(B591),TEXT(B591,"0000"),B591),Addendum!F:F,"X")&gt;0,2.5%,0)</f>
        <v>0</v>
      </c>
      <c r="K591" s="31">
        <f>IF(COUNTIFS(Addendum!C:C,A591,Addendum!D:D,IF(ISNUMBER(B591),TEXT(B591,"0000"),B591),Addendum!G:G,"X")&gt;0,7%,0)</f>
        <v>0</v>
      </c>
      <c r="L591" s="31">
        <f>IF(COUNTIFS(Addendum!C:C,A591,Addendum!D:D,IF(ISNUMBER(B591),TEXT(B591,"0000"),B591),Addendum!I:I,"X")&gt;0,10%,0)</f>
        <v>0</v>
      </c>
      <c r="M591" s="34">
        <f t="shared" si="18"/>
        <v>0</v>
      </c>
      <c r="N591" s="17">
        <f t="shared" si="19"/>
        <v>111812.4</v>
      </c>
    </row>
    <row r="592" spans="1:14" x14ac:dyDescent="0.25">
      <c r="A592" s="14" t="s">
        <v>1852</v>
      </c>
      <c r="B592" s="14" t="s">
        <v>1991</v>
      </c>
      <c r="C592" s="15" t="s">
        <v>1992</v>
      </c>
      <c r="D592" s="14" t="s">
        <v>1749</v>
      </c>
      <c r="E592" s="14" t="s">
        <v>1746</v>
      </c>
      <c r="F592" s="17" t="s">
        <v>2994</v>
      </c>
      <c r="G592" s="14">
        <v>796176</v>
      </c>
      <c r="H592" s="14">
        <v>557323.19999999995</v>
      </c>
      <c r="I592" s="31">
        <f>IF(COUNTIFS(Addendum!C:C,A592,Addendum!D:D,IF(ISNUMBER(B592),TEXT(B592,"0000"),B592),Addendum!E:E,"X")&gt;0,4%,0)</f>
        <v>0</v>
      </c>
      <c r="J592" s="31">
        <f>IF(COUNTIFS(Addendum!C:C,A592,Addendum!D:D,IF(ISNUMBER(B592),TEXT(B592,"0000"),B592),Addendum!F:F,"X")&gt;0,2.5%,0)</f>
        <v>0</v>
      </c>
      <c r="K592" s="31">
        <f>IF(COUNTIFS(Addendum!C:C,A592,Addendum!D:D,IF(ISNUMBER(B592),TEXT(B592,"0000"),B592),Addendum!G:G,"X")&gt;0,7%,0)</f>
        <v>0</v>
      </c>
      <c r="L592" s="31">
        <f>IF(COUNTIFS(Addendum!C:C,A592,Addendum!D:D,IF(ISNUMBER(B592),TEXT(B592,"0000"),B592),Addendum!I:I,"X")&gt;0,10%,0)</f>
        <v>0</v>
      </c>
      <c r="M592" s="34">
        <f t="shared" si="18"/>
        <v>0</v>
      </c>
      <c r="N592" s="17">
        <f t="shared" si="19"/>
        <v>557323.19999999995</v>
      </c>
    </row>
    <row r="593" spans="1:14" x14ac:dyDescent="0.25">
      <c r="A593" s="14" t="s">
        <v>1852</v>
      </c>
      <c r="B593" s="14">
        <v>10</v>
      </c>
      <c r="C593" s="15" t="s">
        <v>2021</v>
      </c>
      <c r="D593" s="14" t="s">
        <v>1745</v>
      </c>
      <c r="E593" s="14" t="s">
        <v>1746</v>
      </c>
      <c r="F593" s="17" t="s">
        <v>2993</v>
      </c>
      <c r="G593" s="14">
        <v>524097</v>
      </c>
      <c r="H593" s="14">
        <v>366868</v>
      </c>
      <c r="I593" s="31">
        <f>IF(COUNTIFS(Addendum!C:C,A593,Addendum!D:D,IF(ISNUMBER(B593),TEXT(B593,"0000"),B593),Addendum!E:E,"X")&gt;0,4%,0)</f>
        <v>0</v>
      </c>
      <c r="J593" s="31">
        <f>IF(COUNTIFS(Addendum!C:C,A593,Addendum!D:D,IF(ISNUMBER(B593),TEXT(B593,"0000"),B593),Addendum!F:F,"X")&gt;0,2.5%,0)</f>
        <v>0</v>
      </c>
      <c r="K593" s="31">
        <f>IF(COUNTIFS(Addendum!C:C,A593,Addendum!D:D,IF(ISNUMBER(B593),TEXT(B593,"0000"),B593),Addendum!G:G,"X")&gt;0,7%,0)</f>
        <v>0</v>
      </c>
      <c r="L593" s="31">
        <f>IF(COUNTIFS(Addendum!C:C,A593,Addendum!D:D,IF(ISNUMBER(B593),TEXT(B593,"0000"),B593),Addendum!I:I,"X")&gt;0,10%,0)</f>
        <v>0</v>
      </c>
      <c r="M593" s="34">
        <f t="shared" si="18"/>
        <v>0</v>
      </c>
      <c r="N593" s="17">
        <f t="shared" si="19"/>
        <v>366868</v>
      </c>
    </row>
    <row r="594" spans="1:14" x14ac:dyDescent="0.25">
      <c r="A594" s="14" t="s">
        <v>1852</v>
      </c>
      <c r="B594" s="14">
        <v>11</v>
      </c>
      <c r="C594" s="15" t="s">
        <v>1903</v>
      </c>
      <c r="D594" s="14" t="s">
        <v>1745</v>
      </c>
      <c r="E594" s="14" t="s">
        <v>1746</v>
      </c>
      <c r="F594" s="17" t="s">
        <v>2993</v>
      </c>
      <c r="G594" s="14">
        <v>4193028</v>
      </c>
      <c r="H594" s="14">
        <v>2935120</v>
      </c>
      <c r="I594" s="31">
        <f>IF(COUNTIFS(Addendum!C:C,A594,Addendum!D:D,IF(ISNUMBER(B594),TEXT(B594,"0000"),B594),Addendum!E:E,"X")&gt;0,4%,0)</f>
        <v>0</v>
      </c>
      <c r="J594" s="31">
        <f>IF(COUNTIFS(Addendum!C:C,A594,Addendum!D:D,IF(ISNUMBER(B594),TEXT(B594,"0000"),B594),Addendum!F:F,"X")&gt;0,2.5%,0)</f>
        <v>0</v>
      </c>
      <c r="K594" s="31">
        <f>IF(COUNTIFS(Addendum!C:C,A594,Addendum!D:D,IF(ISNUMBER(B594),TEXT(B594,"0000"),B594),Addendum!G:G,"X")&gt;0,7%,0)</f>
        <v>0</v>
      </c>
      <c r="L594" s="31">
        <f>IF(COUNTIFS(Addendum!C:C,A594,Addendum!D:D,IF(ISNUMBER(B594),TEXT(B594,"0000"),B594),Addendum!I:I,"X")&gt;0,10%,0)</f>
        <v>0</v>
      </c>
      <c r="M594" s="34">
        <f t="shared" si="18"/>
        <v>0</v>
      </c>
      <c r="N594" s="17">
        <f t="shared" si="19"/>
        <v>2935120</v>
      </c>
    </row>
    <row r="595" spans="1:14" x14ac:dyDescent="0.25">
      <c r="A595" s="14" t="s">
        <v>1852</v>
      </c>
      <c r="B595" s="14" t="s">
        <v>1966</v>
      </c>
      <c r="C595" s="15" t="s">
        <v>1967</v>
      </c>
      <c r="D595" s="14" t="s">
        <v>1745</v>
      </c>
      <c r="E595" s="14" t="s">
        <v>1747</v>
      </c>
      <c r="F595" s="17" t="s">
        <v>2995</v>
      </c>
      <c r="G595" s="14">
        <v>4342740</v>
      </c>
      <c r="H595" s="14">
        <v>3908466</v>
      </c>
      <c r="I595" s="31">
        <f>IF(COUNTIFS(Addendum!C:C,A595,Addendum!D:D,IF(ISNUMBER(B595),TEXT(B595,"0000"),B595),Addendum!E:E,"X")&gt;0,4%,0)</f>
        <v>0</v>
      </c>
      <c r="J595" s="31">
        <f>IF(COUNTIFS(Addendum!C:C,A595,Addendum!D:D,IF(ISNUMBER(B595),TEXT(B595,"0000"),B595),Addendum!F:F,"X")&gt;0,2.5%,0)</f>
        <v>0</v>
      </c>
      <c r="K595" s="31">
        <f>IF(COUNTIFS(Addendum!C:C,A595,Addendum!D:D,IF(ISNUMBER(B595),TEXT(B595,"0000"),B595),Addendum!G:G,"X")&gt;0,7%,0)</f>
        <v>0</v>
      </c>
      <c r="L595" s="31">
        <f>IF(COUNTIFS(Addendum!C:C,A595,Addendum!D:D,IF(ISNUMBER(B595),TEXT(B595,"0000"),B595),Addendum!I:I,"X")&gt;0,10%,0)</f>
        <v>0</v>
      </c>
      <c r="M595" s="34">
        <f t="shared" si="18"/>
        <v>0</v>
      </c>
      <c r="N595" s="17">
        <f t="shared" si="19"/>
        <v>3908466</v>
      </c>
    </row>
    <row r="596" spans="1:14" x14ac:dyDescent="0.25">
      <c r="A596" s="14" t="s">
        <v>1852</v>
      </c>
      <c r="B596" s="14">
        <v>9</v>
      </c>
      <c r="C596" s="15" t="s">
        <v>1873</v>
      </c>
      <c r="D596" s="14" t="s">
        <v>1745</v>
      </c>
      <c r="E596" s="14" t="s">
        <v>1747</v>
      </c>
      <c r="F596" s="17" t="s">
        <v>2993</v>
      </c>
      <c r="G596" s="14">
        <v>30948420</v>
      </c>
      <c r="H596" s="14">
        <v>21663894</v>
      </c>
      <c r="I596" s="31">
        <f>IF(COUNTIFS(Addendum!C:C,A596,Addendum!D:D,IF(ISNUMBER(B596),TEXT(B596,"0000"),B596),Addendum!E:E,"X")&gt;0,4%,0)</f>
        <v>0</v>
      </c>
      <c r="J596" s="31">
        <f>IF(COUNTIFS(Addendum!C:C,A596,Addendum!D:D,IF(ISNUMBER(B596),TEXT(B596,"0000"),B596),Addendum!F:F,"X")&gt;0,2.5%,0)</f>
        <v>0</v>
      </c>
      <c r="K596" s="31">
        <f>IF(COUNTIFS(Addendum!C:C,A596,Addendum!D:D,IF(ISNUMBER(B596),TEXT(B596,"0000"),B596),Addendum!G:G,"X")&gt;0,7%,0)</f>
        <v>0</v>
      </c>
      <c r="L596" s="31">
        <f>IF(COUNTIFS(Addendum!C:C,A596,Addendum!D:D,IF(ISNUMBER(B596),TEXT(B596,"0000"),B596),Addendum!I:I,"X")&gt;0,10%,0)</f>
        <v>0</v>
      </c>
      <c r="M596" s="34">
        <f t="shared" si="18"/>
        <v>0</v>
      </c>
      <c r="N596" s="17">
        <f t="shared" si="19"/>
        <v>21663894</v>
      </c>
    </row>
    <row r="597" spans="1:14" x14ac:dyDescent="0.25">
      <c r="A597" s="14" t="s">
        <v>1850</v>
      </c>
      <c r="B597" s="14" t="s">
        <v>36</v>
      </c>
      <c r="C597" s="15" t="s">
        <v>1997</v>
      </c>
      <c r="D597" s="14" t="s">
        <v>1745</v>
      </c>
      <c r="E597" s="14" t="s">
        <v>1747</v>
      </c>
      <c r="F597" s="17" t="s">
        <v>2995</v>
      </c>
      <c r="G597" s="14">
        <v>83880</v>
      </c>
      <c r="H597" s="14">
        <v>75492</v>
      </c>
      <c r="I597" s="31">
        <f>IF(COUNTIFS(Addendum!C:C,A597,Addendum!D:D,IF(ISNUMBER(B597),TEXT(B597,"0000"),B597),Addendum!E:E,"X")&gt;0,4%,0)</f>
        <v>0</v>
      </c>
      <c r="J597" s="31">
        <f>IF(COUNTIFS(Addendum!C:C,A597,Addendum!D:D,IF(ISNUMBER(B597),TEXT(B597,"0000"),B597),Addendum!F:F,"X")&gt;0,2.5%,0)</f>
        <v>0</v>
      </c>
      <c r="K597" s="31">
        <f>IF(COUNTIFS(Addendum!C:C,A597,Addendum!D:D,IF(ISNUMBER(B597),TEXT(B597,"0000"),B597),Addendum!G:G,"X")&gt;0,7%,0)</f>
        <v>0</v>
      </c>
      <c r="L597" s="31">
        <f>IF(COUNTIFS(Addendum!C:C,A597,Addendum!D:D,IF(ISNUMBER(B597),TEXT(B597,"0000"),B597),Addendum!I:I,"X")&gt;0,10%,0)</f>
        <v>0</v>
      </c>
      <c r="M597" s="34">
        <f t="shared" si="18"/>
        <v>0</v>
      </c>
      <c r="N597" s="17">
        <f t="shared" si="19"/>
        <v>75492</v>
      </c>
    </row>
    <row r="598" spans="1:14" x14ac:dyDescent="0.25">
      <c r="A598" s="14" t="s">
        <v>1852</v>
      </c>
      <c r="B598" s="14" t="s">
        <v>1540</v>
      </c>
      <c r="C598" s="15" t="s">
        <v>2022</v>
      </c>
      <c r="D598" s="14" t="s">
        <v>1745</v>
      </c>
      <c r="E598" s="14" t="s">
        <v>1747</v>
      </c>
      <c r="F598" s="17" t="s">
        <v>2994</v>
      </c>
      <c r="G598" s="14">
        <v>199680</v>
      </c>
      <c r="H598" s="14">
        <v>139776</v>
      </c>
      <c r="I598" s="31">
        <f>IF(COUNTIFS(Addendum!C:C,A598,Addendum!D:D,IF(ISNUMBER(B598),TEXT(B598,"0000"),B598),Addendum!E:E,"X")&gt;0,4%,0)</f>
        <v>0</v>
      </c>
      <c r="J598" s="31">
        <f>IF(COUNTIFS(Addendum!C:C,A598,Addendum!D:D,IF(ISNUMBER(B598),TEXT(B598,"0000"),B598),Addendum!F:F,"X")&gt;0,2.5%,0)</f>
        <v>0</v>
      </c>
      <c r="K598" s="31">
        <f>IF(COUNTIFS(Addendum!C:C,A598,Addendum!D:D,IF(ISNUMBER(B598),TEXT(B598,"0000"),B598),Addendum!G:G,"X")&gt;0,7%,0)</f>
        <v>0</v>
      </c>
      <c r="L598" s="31">
        <f>IF(COUNTIFS(Addendum!C:C,A598,Addendum!D:D,IF(ISNUMBER(B598),TEXT(B598,"0000"),B598),Addendum!I:I,"X")&gt;0,10%,0)</f>
        <v>0</v>
      </c>
      <c r="M598" s="34">
        <f t="shared" si="18"/>
        <v>0</v>
      </c>
      <c r="N598" s="17">
        <f t="shared" si="19"/>
        <v>139776</v>
      </c>
    </row>
    <row r="599" spans="1:14" x14ac:dyDescent="0.25">
      <c r="A599" s="14" t="s">
        <v>1852</v>
      </c>
      <c r="B599" s="14" t="s">
        <v>39</v>
      </c>
      <c r="C599" s="15" t="s">
        <v>1906</v>
      </c>
      <c r="D599" s="14" t="s">
        <v>1749</v>
      </c>
      <c r="E599" s="14" t="s">
        <v>1746</v>
      </c>
      <c r="F599" s="17" t="s">
        <v>2993</v>
      </c>
      <c r="G599" s="14">
        <v>1447590</v>
      </c>
      <c r="H599" s="14">
        <v>1013313</v>
      </c>
      <c r="I599" s="31">
        <f>IF(COUNTIFS(Addendum!C:C,A599,Addendum!D:D,IF(ISNUMBER(B599),TEXT(B599,"0000"),B599),Addendum!E:E,"X")&gt;0,4%,0)</f>
        <v>0</v>
      </c>
      <c r="J599" s="31">
        <f>IF(COUNTIFS(Addendum!C:C,A599,Addendum!D:D,IF(ISNUMBER(B599),TEXT(B599,"0000"),B599),Addendum!F:F,"X")&gt;0,2.5%,0)</f>
        <v>0</v>
      </c>
      <c r="K599" s="31">
        <f>IF(COUNTIFS(Addendum!C:C,A599,Addendum!D:D,IF(ISNUMBER(B599),TEXT(B599,"0000"),B599),Addendum!G:G,"X")&gt;0,7%,0)</f>
        <v>0</v>
      </c>
      <c r="L599" s="31">
        <f>IF(COUNTIFS(Addendum!C:C,A599,Addendum!D:D,IF(ISNUMBER(B599),TEXT(B599,"0000"),B599),Addendum!I:I,"X")&gt;0,10%,0)</f>
        <v>0</v>
      </c>
      <c r="M599" s="34">
        <f t="shared" si="18"/>
        <v>0</v>
      </c>
      <c r="N599" s="17">
        <f t="shared" si="19"/>
        <v>1013313</v>
      </c>
    </row>
    <row r="600" spans="1:14" x14ac:dyDescent="0.25">
      <c r="A600" s="14" t="s">
        <v>1852</v>
      </c>
      <c r="B600" s="14" t="s">
        <v>1900</v>
      </c>
      <c r="C600" s="15" t="s">
        <v>1901</v>
      </c>
      <c r="D600" s="14" t="s">
        <v>1745</v>
      </c>
      <c r="E600" s="14" t="s">
        <v>1746</v>
      </c>
      <c r="F600" s="17" t="s">
        <v>2994</v>
      </c>
      <c r="G600" s="14">
        <v>1677186</v>
      </c>
      <c r="H600" s="14">
        <v>1174030</v>
      </c>
      <c r="I600" s="31">
        <f>IF(COUNTIFS(Addendum!C:C,A600,Addendum!D:D,IF(ISNUMBER(B600),TEXT(B600,"0000"),B600),Addendum!E:E,"X")&gt;0,4%,0)</f>
        <v>0</v>
      </c>
      <c r="J600" s="31">
        <f>IF(COUNTIFS(Addendum!C:C,A600,Addendum!D:D,IF(ISNUMBER(B600),TEXT(B600,"0000"),B600),Addendum!F:F,"X")&gt;0,2.5%,0)</f>
        <v>0</v>
      </c>
      <c r="K600" s="31">
        <f>IF(COUNTIFS(Addendum!C:C,A600,Addendum!D:D,IF(ISNUMBER(B600),TEXT(B600,"0000"),B600),Addendum!G:G,"X")&gt;0,7%,0)</f>
        <v>0</v>
      </c>
      <c r="L600" s="31">
        <f>IF(COUNTIFS(Addendum!C:C,A600,Addendum!D:D,IF(ISNUMBER(B600),TEXT(B600,"0000"),B600),Addendum!I:I,"X")&gt;0,10%,0)</f>
        <v>0</v>
      </c>
      <c r="M600" s="34">
        <f t="shared" si="18"/>
        <v>0</v>
      </c>
      <c r="N600" s="17">
        <f t="shared" si="19"/>
        <v>1174030</v>
      </c>
    </row>
    <row r="601" spans="1:14" x14ac:dyDescent="0.25">
      <c r="A601" s="14" t="s">
        <v>1852</v>
      </c>
      <c r="B601" s="14">
        <v>77</v>
      </c>
      <c r="C601" s="15" t="s">
        <v>1890</v>
      </c>
      <c r="D601" s="14" t="s">
        <v>1749</v>
      </c>
      <c r="E601" s="14" t="s">
        <v>1746</v>
      </c>
      <c r="F601" s="17" t="s">
        <v>2994</v>
      </c>
      <c r="G601" s="14">
        <v>1702164</v>
      </c>
      <c r="H601" s="14">
        <v>1191515</v>
      </c>
      <c r="I601" s="31">
        <f>IF(COUNTIFS(Addendum!C:C,A601,Addendum!D:D,IF(ISNUMBER(B601),TEXT(B601,"0000"),B601),Addendum!E:E,"X")&gt;0,4%,0)</f>
        <v>0</v>
      </c>
      <c r="J601" s="31">
        <f>IF(COUNTIFS(Addendum!C:C,A601,Addendum!D:D,IF(ISNUMBER(B601),TEXT(B601,"0000"),B601),Addendum!F:F,"X")&gt;0,2.5%,0)</f>
        <v>0</v>
      </c>
      <c r="K601" s="31">
        <f>IF(COUNTIFS(Addendum!C:C,A601,Addendum!D:D,IF(ISNUMBER(B601),TEXT(B601,"0000"),B601),Addendum!G:G,"X")&gt;0,7%,0)</f>
        <v>0</v>
      </c>
      <c r="L601" s="31">
        <f>IF(COUNTIFS(Addendum!C:C,A601,Addendum!D:D,IF(ISNUMBER(B601),TEXT(B601,"0000"),B601),Addendum!I:I,"X")&gt;0,10%,0)</f>
        <v>0</v>
      </c>
      <c r="M601" s="34">
        <f t="shared" si="18"/>
        <v>0</v>
      </c>
      <c r="N601" s="17">
        <f t="shared" si="19"/>
        <v>1191515</v>
      </c>
    </row>
    <row r="602" spans="1:14" x14ac:dyDescent="0.25">
      <c r="A602" s="14" t="s">
        <v>1852</v>
      </c>
      <c r="B602" s="14">
        <v>67</v>
      </c>
      <c r="C602" s="15" t="s">
        <v>1864</v>
      </c>
      <c r="D602" s="14" t="s">
        <v>1749</v>
      </c>
      <c r="E602" s="14" t="s">
        <v>1746</v>
      </c>
      <c r="F602" s="17" t="s">
        <v>2994</v>
      </c>
      <c r="G602" s="14">
        <v>19968</v>
      </c>
      <c r="H602" s="14">
        <v>13977.6</v>
      </c>
      <c r="I602" s="31">
        <f>IF(COUNTIFS(Addendum!C:C,A602,Addendum!D:D,IF(ISNUMBER(B602),TEXT(B602,"0000"),B602),Addendum!E:E,"X")&gt;0,4%,0)</f>
        <v>0</v>
      </c>
      <c r="J602" s="31">
        <f>IF(COUNTIFS(Addendum!C:C,A602,Addendum!D:D,IF(ISNUMBER(B602),TEXT(B602,"0000"),B602),Addendum!F:F,"X")&gt;0,2.5%,0)</f>
        <v>0</v>
      </c>
      <c r="K602" s="31">
        <f>IF(COUNTIFS(Addendum!C:C,A602,Addendum!D:D,IF(ISNUMBER(B602),TEXT(B602,"0000"),B602),Addendum!G:G,"X")&gt;0,7%,0)</f>
        <v>0</v>
      </c>
      <c r="L602" s="31">
        <f>IF(COUNTIFS(Addendum!C:C,A602,Addendum!D:D,IF(ISNUMBER(B602),TEXT(B602,"0000"),B602),Addendum!I:I,"X")&gt;0,10%,0)</f>
        <v>0</v>
      </c>
      <c r="M602" s="34">
        <f t="shared" si="18"/>
        <v>0</v>
      </c>
      <c r="N602" s="17">
        <f t="shared" si="19"/>
        <v>13977.6</v>
      </c>
    </row>
    <row r="603" spans="1:14" x14ac:dyDescent="0.25">
      <c r="A603" s="14" t="s">
        <v>1852</v>
      </c>
      <c r="B603" s="14" t="s">
        <v>1535</v>
      </c>
      <c r="C603" s="15" t="s">
        <v>1892</v>
      </c>
      <c r="D603" s="14" t="s">
        <v>1745</v>
      </c>
      <c r="E603" s="14" t="s">
        <v>1747</v>
      </c>
      <c r="F603" s="17" t="s">
        <v>2994</v>
      </c>
      <c r="G603" s="14">
        <v>274560</v>
      </c>
      <c r="H603" s="14">
        <v>192192</v>
      </c>
      <c r="I603" s="31">
        <f>IF(COUNTIFS(Addendum!C:C,A603,Addendum!D:D,IF(ISNUMBER(B603),TEXT(B603,"0000"),B603),Addendum!E:E,"X")&gt;0,4%,0)</f>
        <v>0</v>
      </c>
      <c r="J603" s="31">
        <f>IF(COUNTIFS(Addendum!C:C,A603,Addendum!D:D,IF(ISNUMBER(B603),TEXT(B603,"0000"),B603),Addendum!F:F,"X")&gt;0,2.5%,0)</f>
        <v>0</v>
      </c>
      <c r="K603" s="31">
        <f>IF(COUNTIFS(Addendum!C:C,A603,Addendum!D:D,IF(ISNUMBER(B603),TEXT(B603,"0000"),B603),Addendum!G:G,"X")&gt;0,7%,0)</f>
        <v>0</v>
      </c>
      <c r="L603" s="31">
        <f>IF(COUNTIFS(Addendum!C:C,A603,Addendum!D:D,IF(ISNUMBER(B603),TEXT(B603,"0000"),B603),Addendum!I:I,"X")&gt;0,10%,0)</f>
        <v>0</v>
      </c>
      <c r="M603" s="34">
        <f t="shared" si="18"/>
        <v>0</v>
      </c>
      <c r="N603" s="17">
        <f t="shared" si="19"/>
        <v>192192</v>
      </c>
    </row>
    <row r="604" spans="1:14" x14ac:dyDescent="0.25">
      <c r="A604" s="14" t="s">
        <v>1852</v>
      </c>
      <c r="B604" s="14">
        <v>85</v>
      </c>
      <c r="C604" s="15" t="s">
        <v>1951</v>
      </c>
      <c r="D604" s="14" t="s">
        <v>1745</v>
      </c>
      <c r="E604" s="14" t="s">
        <v>1747</v>
      </c>
      <c r="F604" s="17" t="s">
        <v>2995</v>
      </c>
      <c r="G604" s="14">
        <v>4342740</v>
      </c>
      <c r="H604" s="14">
        <v>3908466</v>
      </c>
      <c r="I604" s="31">
        <f>IF(COUNTIFS(Addendum!C:C,A604,Addendum!D:D,IF(ISNUMBER(B604),TEXT(B604,"0000"),B604),Addendum!E:E,"X")&gt;0,4%,0)</f>
        <v>0</v>
      </c>
      <c r="J604" s="31">
        <f>IF(COUNTIFS(Addendum!C:C,A604,Addendum!D:D,IF(ISNUMBER(B604),TEXT(B604,"0000"),B604),Addendum!F:F,"X")&gt;0,2.5%,0)</f>
        <v>0</v>
      </c>
      <c r="K604" s="31">
        <f>IF(COUNTIFS(Addendum!C:C,A604,Addendum!D:D,IF(ISNUMBER(B604),TEXT(B604,"0000"),B604),Addendum!G:G,"X")&gt;0,7%,0)</f>
        <v>0</v>
      </c>
      <c r="L604" s="31">
        <f>IF(COUNTIFS(Addendum!C:C,A604,Addendum!D:D,IF(ISNUMBER(B604),TEXT(B604,"0000"),B604),Addendum!I:I,"X")&gt;0,10%,0)</f>
        <v>0</v>
      </c>
      <c r="M604" s="34">
        <f t="shared" si="18"/>
        <v>0</v>
      </c>
      <c r="N604" s="17">
        <f t="shared" si="19"/>
        <v>3908466</v>
      </c>
    </row>
    <row r="605" spans="1:14" x14ac:dyDescent="0.25">
      <c r="A605" s="14" t="s">
        <v>1852</v>
      </c>
      <c r="B605" s="14">
        <v>76</v>
      </c>
      <c r="C605" s="15" t="s">
        <v>1857</v>
      </c>
      <c r="D605" s="14" t="s">
        <v>1745</v>
      </c>
      <c r="E605" s="14" t="s">
        <v>1746</v>
      </c>
      <c r="F605" s="17" t="s">
        <v>2995</v>
      </c>
      <c r="G605" s="14">
        <v>9748746</v>
      </c>
      <c r="H605" s="14">
        <v>8773871</v>
      </c>
      <c r="I605" s="31">
        <f>IF(COUNTIFS(Addendum!C:C,A605,Addendum!D:D,IF(ISNUMBER(B605),TEXT(B605,"0000"),B605),Addendum!E:E,"X")&gt;0,4%,0)</f>
        <v>0</v>
      </c>
      <c r="J605" s="31">
        <f>IF(COUNTIFS(Addendum!C:C,A605,Addendum!D:D,IF(ISNUMBER(B605),TEXT(B605,"0000"),B605),Addendum!F:F,"X")&gt;0,2.5%,0)</f>
        <v>0</v>
      </c>
      <c r="K605" s="31">
        <f>IF(COUNTIFS(Addendum!C:C,A605,Addendum!D:D,IF(ISNUMBER(B605),TEXT(B605,"0000"),B605),Addendum!G:G,"X")&gt;0,7%,0)</f>
        <v>0</v>
      </c>
      <c r="L605" s="31">
        <f>IF(COUNTIFS(Addendum!C:C,A605,Addendum!D:D,IF(ISNUMBER(B605),TEXT(B605,"0000"),B605),Addendum!I:I,"X")&gt;0,10%,0)</f>
        <v>0</v>
      </c>
      <c r="M605" s="34">
        <f t="shared" si="18"/>
        <v>0</v>
      </c>
      <c r="N605" s="17">
        <f t="shared" si="19"/>
        <v>8773871</v>
      </c>
    </row>
    <row r="606" spans="1:14" ht="30" x14ac:dyDescent="0.25">
      <c r="A606" s="14" t="s">
        <v>1850</v>
      </c>
      <c r="B606" s="14" t="s">
        <v>50</v>
      </c>
      <c r="C606" s="15" t="s">
        <v>1947</v>
      </c>
      <c r="D606" s="14" t="s">
        <v>1749</v>
      </c>
      <c r="E606" s="14" t="s">
        <v>1746</v>
      </c>
      <c r="F606" s="17" t="s">
        <v>2995</v>
      </c>
      <c r="G606" s="14">
        <v>1500</v>
      </c>
      <c r="H606" s="14">
        <v>1350</v>
      </c>
      <c r="I606" s="31">
        <f>IF(COUNTIFS(Addendum!C:C,A606,Addendum!D:D,IF(ISNUMBER(B606),TEXT(B606,"0000"),B606),Addendum!E:E,"X")&gt;0,4%,0)</f>
        <v>0</v>
      </c>
      <c r="J606" s="31">
        <f>IF(COUNTIFS(Addendum!C:C,A606,Addendum!D:D,IF(ISNUMBER(B606),TEXT(B606,"0000"),B606),Addendum!F:F,"X")&gt;0,2.5%,0)</f>
        <v>0</v>
      </c>
      <c r="K606" s="31">
        <f>IF(COUNTIFS(Addendum!C:C,A606,Addendum!D:D,IF(ISNUMBER(B606),TEXT(B606,"0000"),B606),Addendum!G:G,"X")&gt;0,7%,0)</f>
        <v>0</v>
      </c>
      <c r="L606" s="31">
        <f>IF(COUNTIFS(Addendum!C:C,A606,Addendum!D:D,IF(ISNUMBER(B606),TEXT(B606,"0000"),B606),Addendum!I:I,"X")&gt;0,10%,0)</f>
        <v>0</v>
      </c>
      <c r="M606" s="34">
        <f t="shared" si="18"/>
        <v>0</v>
      </c>
      <c r="N606" s="17">
        <f t="shared" si="19"/>
        <v>1350</v>
      </c>
    </row>
    <row r="607" spans="1:14" x14ac:dyDescent="0.25">
      <c r="A607" s="14" t="s">
        <v>1852</v>
      </c>
      <c r="B607" s="14" t="s">
        <v>1673</v>
      </c>
      <c r="C607" s="15" t="s">
        <v>1980</v>
      </c>
      <c r="D607" s="14" t="s">
        <v>1745</v>
      </c>
      <c r="E607" s="14" t="s">
        <v>1747</v>
      </c>
      <c r="F607" s="17" t="s">
        <v>2994</v>
      </c>
      <c r="G607" s="14">
        <v>199680</v>
      </c>
      <c r="H607" s="14">
        <v>139776</v>
      </c>
      <c r="I607" s="31">
        <f>IF(COUNTIFS(Addendum!C:C,A607,Addendum!D:D,IF(ISNUMBER(B607),TEXT(B607,"0000"),B607),Addendum!E:E,"X")&gt;0,4%,0)</f>
        <v>0</v>
      </c>
      <c r="J607" s="31">
        <f>IF(COUNTIFS(Addendum!C:C,A607,Addendum!D:D,IF(ISNUMBER(B607),TEXT(B607,"0000"),B607),Addendum!F:F,"X")&gt;0,2.5%,0)</f>
        <v>0</v>
      </c>
      <c r="K607" s="31">
        <f>IF(COUNTIFS(Addendum!C:C,A607,Addendum!D:D,IF(ISNUMBER(B607),TEXT(B607,"0000"),B607),Addendum!G:G,"X")&gt;0,7%,0)</f>
        <v>0</v>
      </c>
      <c r="L607" s="31">
        <f>IF(COUNTIFS(Addendum!C:C,A607,Addendum!D:D,IF(ISNUMBER(B607),TEXT(B607,"0000"),B607),Addendum!I:I,"X")&gt;0,10%,0)</f>
        <v>0</v>
      </c>
      <c r="M607" s="34">
        <f t="shared" si="18"/>
        <v>0</v>
      </c>
      <c r="N607" s="17">
        <f t="shared" si="19"/>
        <v>139776</v>
      </c>
    </row>
    <row r="608" spans="1:14" x14ac:dyDescent="0.25">
      <c r="A608" s="14" t="s">
        <v>1850</v>
      </c>
      <c r="B608" s="14">
        <v>2</v>
      </c>
      <c r="C608" s="15" t="s">
        <v>1948</v>
      </c>
      <c r="D608" s="14" t="s">
        <v>1745</v>
      </c>
      <c r="E608" s="14" t="s">
        <v>1747</v>
      </c>
      <c r="F608" s="17" t="s">
        <v>2993</v>
      </c>
      <c r="G608" s="14">
        <v>209640</v>
      </c>
      <c r="H608" s="14">
        <v>146748</v>
      </c>
      <c r="I608" s="31">
        <f>IF(COUNTIFS(Addendum!C:C,A608,Addendum!D:D,IF(ISNUMBER(B608),TEXT(B608,"0000"),B608),Addendum!E:E,"X")&gt;0,4%,0)</f>
        <v>0</v>
      </c>
      <c r="J608" s="31">
        <f>IF(COUNTIFS(Addendum!C:C,A608,Addendum!D:D,IF(ISNUMBER(B608),TEXT(B608,"0000"),B608),Addendum!F:F,"X")&gt;0,2.5%,0)</f>
        <v>0</v>
      </c>
      <c r="K608" s="31">
        <f>IF(COUNTIFS(Addendum!C:C,A608,Addendum!D:D,IF(ISNUMBER(B608),TEXT(B608,"0000"),B608),Addendum!G:G,"X")&gt;0,7%,0)</f>
        <v>0</v>
      </c>
      <c r="L608" s="31">
        <f>IF(COUNTIFS(Addendum!C:C,A608,Addendum!D:D,IF(ISNUMBER(B608),TEXT(B608,"0000"),B608),Addendum!I:I,"X")&gt;0,10%,0)</f>
        <v>0</v>
      </c>
      <c r="M608" s="34">
        <f t="shared" si="18"/>
        <v>0</v>
      </c>
      <c r="N608" s="17">
        <f t="shared" si="19"/>
        <v>146748</v>
      </c>
    </row>
    <row r="609" spans="1:14" x14ac:dyDescent="0.25">
      <c r="A609" s="14" t="s">
        <v>1852</v>
      </c>
      <c r="B609" s="14">
        <v>10</v>
      </c>
      <c r="C609" s="15" t="s">
        <v>2021</v>
      </c>
      <c r="D609" s="14" t="s">
        <v>1749</v>
      </c>
      <c r="E609" s="14" t="s">
        <v>1746</v>
      </c>
      <c r="F609" s="17" t="s">
        <v>2993</v>
      </c>
      <c r="G609" s="14">
        <v>49914</v>
      </c>
      <c r="H609" s="14">
        <v>34939.800000000003</v>
      </c>
      <c r="I609" s="31">
        <f>IF(COUNTIFS(Addendum!C:C,A609,Addendum!D:D,IF(ISNUMBER(B609),TEXT(B609,"0000"),B609),Addendum!E:E,"X")&gt;0,4%,0)</f>
        <v>0</v>
      </c>
      <c r="J609" s="31">
        <f>IF(COUNTIFS(Addendum!C:C,A609,Addendum!D:D,IF(ISNUMBER(B609),TEXT(B609,"0000"),B609),Addendum!F:F,"X")&gt;0,2.5%,0)</f>
        <v>0</v>
      </c>
      <c r="K609" s="31">
        <f>IF(COUNTIFS(Addendum!C:C,A609,Addendum!D:D,IF(ISNUMBER(B609),TEXT(B609,"0000"),B609),Addendum!G:G,"X")&gt;0,7%,0)</f>
        <v>0</v>
      </c>
      <c r="L609" s="31">
        <f>IF(COUNTIFS(Addendum!C:C,A609,Addendum!D:D,IF(ISNUMBER(B609),TEXT(B609,"0000"),B609),Addendum!I:I,"X")&gt;0,10%,0)</f>
        <v>0</v>
      </c>
      <c r="M609" s="34">
        <f t="shared" si="18"/>
        <v>0</v>
      </c>
      <c r="N609" s="17">
        <f t="shared" si="19"/>
        <v>34939.800000000003</v>
      </c>
    </row>
    <row r="610" spans="1:14" x14ac:dyDescent="0.25">
      <c r="A610" s="14" t="s">
        <v>1852</v>
      </c>
      <c r="B610" s="14">
        <v>62</v>
      </c>
      <c r="C610" s="15" t="s">
        <v>1894</v>
      </c>
      <c r="D610" s="14" t="s">
        <v>1745</v>
      </c>
      <c r="E610" s="14" t="s">
        <v>1747</v>
      </c>
      <c r="F610" s="17" t="s">
        <v>2994</v>
      </c>
      <c r="G610" s="14">
        <v>274560</v>
      </c>
      <c r="H610" s="14">
        <v>192192</v>
      </c>
      <c r="I610" s="31">
        <f>IF(COUNTIFS(Addendum!C:C,A610,Addendum!D:D,IF(ISNUMBER(B610),TEXT(B610,"0000"),B610),Addendum!E:E,"X")&gt;0,4%,0)</f>
        <v>0</v>
      </c>
      <c r="J610" s="31">
        <f>IF(COUNTIFS(Addendum!C:C,A610,Addendum!D:D,IF(ISNUMBER(B610),TEXT(B610,"0000"),B610),Addendum!F:F,"X")&gt;0,2.5%,0)</f>
        <v>0</v>
      </c>
      <c r="K610" s="31">
        <f>IF(COUNTIFS(Addendum!C:C,A610,Addendum!D:D,IF(ISNUMBER(B610),TEXT(B610,"0000"),B610),Addendum!G:G,"X")&gt;0,7%,0)</f>
        <v>0</v>
      </c>
      <c r="L610" s="31">
        <f>IF(COUNTIFS(Addendum!C:C,A610,Addendum!D:D,IF(ISNUMBER(B610),TEXT(B610,"0000"),B610),Addendum!I:I,"X")&gt;0,10%,0)</f>
        <v>0</v>
      </c>
      <c r="M610" s="34">
        <f t="shared" si="18"/>
        <v>0</v>
      </c>
      <c r="N610" s="17">
        <f t="shared" si="19"/>
        <v>192192</v>
      </c>
    </row>
    <row r="611" spans="1:14" x14ac:dyDescent="0.25">
      <c r="A611" s="14" t="s">
        <v>1852</v>
      </c>
      <c r="B611" s="14">
        <v>56</v>
      </c>
      <c r="C611" s="15" t="s">
        <v>1921</v>
      </c>
      <c r="D611" s="14" t="s">
        <v>1745</v>
      </c>
      <c r="E611" s="14" t="s">
        <v>1746</v>
      </c>
      <c r="F611" s="17" t="s">
        <v>2994</v>
      </c>
      <c r="G611" s="14">
        <v>12998349</v>
      </c>
      <c r="H611" s="14">
        <v>9098844</v>
      </c>
      <c r="I611" s="31">
        <f>IF(COUNTIFS(Addendum!C:C,A611,Addendum!D:D,IF(ISNUMBER(B611),TEXT(B611,"0000"),B611),Addendum!E:E,"X")&gt;0,4%,0)</f>
        <v>0</v>
      </c>
      <c r="J611" s="31">
        <f>IF(COUNTIFS(Addendum!C:C,A611,Addendum!D:D,IF(ISNUMBER(B611),TEXT(B611,"0000"),B611),Addendum!F:F,"X")&gt;0,2.5%,0)</f>
        <v>0</v>
      </c>
      <c r="K611" s="31">
        <f>IF(COUNTIFS(Addendum!C:C,A611,Addendum!D:D,IF(ISNUMBER(B611),TEXT(B611,"0000"),B611),Addendum!G:G,"X")&gt;0,7%,0)</f>
        <v>0</v>
      </c>
      <c r="L611" s="31">
        <f>IF(COUNTIFS(Addendum!C:C,A611,Addendum!D:D,IF(ISNUMBER(B611),TEXT(B611,"0000"),B611),Addendum!I:I,"X")&gt;0,10%,0)</f>
        <v>0</v>
      </c>
      <c r="M611" s="34">
        <f t="shared" si="18"/>
        <v>0</v>
      </c>
      <c r="N611" s="17">
        <f t="shared" si="19"/>
        <v>9098844</v>
      </c>
    </row>
    <row r="612" spans="1:14" x14ac:dyDescent="0.25">
      <c r="A612" s="14" t="s">
        <v>1852</v>
      </c>
      <c r="B612" s="14" t="s">
        <v>195</v>
      </c>
      <c r="C612" s="15" t="s">
        <v>1988</v>
      </c>
      <c r="D612" s="14" t="s">
        <v>1749</v>
      </c>
      <c r="E612" s="14" t="s">
        <v>1746</v>
      </c>
      <c r="F612" s="17" t="s">
        <v>2993</v>
      </c>
      <c r="G612" s="14">
        <v>1447590</v>
      </c>
      <c r="H612" s="14">
        <v>1013313</v>
      </c>
      <c r="I612" s="31">
        <f>IF(COUNTIFS(Addendum!C:C,A612,Addendum!D:D,IF(ISNUMBER(B612),TEXT(B612,"0000"),B612),Addendum!E:E,"X")&gt;0,4%,0)</f>
        <v>0</v>
      </c>
      <c r="J612" s="31">
        <f>IF(COUNTIFS(Addendum!C:C,A612,Addendum!D:D,IF(ISNUMBER(B612),TEXT(B612,"0000"),B612),Addendum!F:F,"X")&gt;0,2.5%,0)</f>
        <v>0</v>
      </c>
      <c r="K612" s="31">
        <f>IF(COUNTIFS(Addendum!C:C,A612,Addendum!D:D,IF(ISNUMBER(B612),TEXT(B612,"0000"),B612),Addendum!G:G,"X")&gt;0,7%,0)</f>
        <v>0</v>
      </c>
      <c r="L612" s="31">
        <f>IF(COUNTIFS(Addendum!C:C,A612,Addendum!D:D,IF(ISNUMBER(B612),TEXT(B612,"0000"),B612),Addendum!I:I,"X")&gt;0,10%,0)</f>
        <v>0</v>
      </c>
      <c r="M612" s="34">
        <f t="shared" si="18"/>
        <v>0</v>
      </c>
      <c r="N612" s="17">
        <f t="shared" si="19"/>
        <v>1013313</v>
      </c>
    </row>
    <row r="613" spans="1:14" x14ac:dyDescent="0.25">
      <c r="A613" s="14" t="s">
        <v>1852</v>
      </c>
      <c r="B613" s="14">
        <v>16</v>
      </c>
      <c r="C613" s="15" t="s">
        <v>1952</v>
      </c>
      <c r="D613" s="14" t="s">
        <v>1745</v>
      </c>
      <c r="E613" s="14" t="s">
        <v>1746</v>
      </c>
      <c r="F613" s="17" t="s">
        <v>2993</v>
      </c>
      <c r="G613" s="14">
        <v>524097</v>
      </c>
      <c r="H613" s="14">
        <v>366868</v>
      </c>
      <c r="I613" s="31">
        <f>IF(COUNTIFS(Addendum!C:C,A613,Addendum!D:D,IF(ISNUMBER(B613),TEXT(B613,"0000"),B613),Addendum!E:E,"X")&gt;0,4%,0)</f>
        <v>0</v>
      </c>
      <c r="J613" s="31">
        <f>IF(COUNTIFS(Addendum!C:C,A613,Addendum!D:D,IF(ISNUMBER(B613),TEXT(B613,"0000"),B613),Addendum!F:F,"X")&gt;0,2.5%,0)</f>
        <v>0</v>
      </c>
      <c r="K613" s="31">
        <f>IF(COUNTIFS(Addendum!C:C,A613,Addendum!D:D,IF(ISNUMBER(B613),TEXT(B613,"0000"),B613),Addendum!G:G,"X")&gt;0,7%,0)</f>
        <v>0</v>
      </c>
      <c r="L613" s="31">
        <f>IF(COUNTIFS(Addendum!C:C,A613,Addendum!D:D,IF(ISNUMBER(B613),TEXT(B613,"0000"),B613),Addendum!I:I,"X")&gt;0,10%,0)</f>
        <v>0</v>
      </c>
      <c r="M613" s="34">
        <f t="shared" si="18"/>
        <v>0</v>
      </c>
      <c r="N613" s="17">
        <f t="shared" si="19"/>
        <v>366868</v>
      </c>
    </row>
    <row r="614" spans="1:14" x14ac:dyDescent="0.25">
      <c r="A614" s="14" t="s">
        <v>1852</v>
      </c>
      <c r="B614" s="14">
        <v>1</v>
      </c>
      <c r="C614" s="15" t="s">
        <v>1902</v>
      </c>
      <c r="D614" s="14" t="s">
        <v>1749</v>
      </c>
      <c r="E614" s="14" t="s">
        <v>1746</v>
      </c>
      <c r="F614" s="17" t="s">
        <v>2993</v>
      </c>
      <c r="G614" s="14">
        <v>399336</v>
      </c>
      <c r="H614" s="14">
        <v>279535.2</v>
      </c>
      <c r="I614" s="31">
        <f>IF(COUNTIFS(Addendum!C:C,A614,Addendum!D:D,IF(ISNUMBER(B614),TEXT(B614,"0000"),B614),Addendum!E:E,"X")&gt;0,4%,0)</f>
        <v>0</v>
      </c>
      <c r="J614" s="31">
        <f>IF(COUNTIFS(Addendum!C:C,A614,Addendum!D:D,IF(ISNUMBER(B614),TEXT(B614,"0000"),B614),Addendum!F:F,"X")&gt;0,2.5%,0)</f>
        <v>0</v>
      </c>
      <c r="K614" s="31">
        <f>IF(COUNTIFS(Addendum!C:C,A614,Addendum!D:D,IF(ISNUMBER(B614),TEXT(B614,"0000"),B614),Addendum!G:G,"X")&gt;0,7%,0)</f>
        <v>0</v>
      </c>
      <c r="L614" s="31">
        <f>IF(COUNTIFS(Addendum!C:C,A614,Addendum!D:D,IF(ISNUMBER(B614),TEXT(B614,"0000"),B614),Addendum!I:I,"X")&gt;0,10%,0)</f>
        <v>0</v>
      </c>
      <c r="M614" s="34">
        <f t="shared" si="18"/>
        <v>0</v>
      </c>
      <c r="N614" s="17">
        <f t="shared" si="19"/>
        <v>279535.2</v>
      </c>
    </row>
    <row r="615" spans="1:14" x14ac:dyDescent="0.25">
      <c r="A615" s="14" t="s">
        <v>1852</v>
      </c>
      <c r="B615" s="14">
        <v>8</v>
      </c>
      <c r="C615" s="15" t="s">
        <v>1981</v>
      </c>
      <c r="D615" s="14" t="s">
        <v>1745</v>
      </c>
      <c r="E615" s="14" t="s">
        <v>1746</v>
      </c>
      <c r="F615" s="17" t="s">
        <v>2993</v>
      </c>
      <c r="G615" s="14">
        <v>524097</v>
      </c>
      <c r="H615" s="14">
        <v>366868</v>
      </c>
      <c r="I615" s="31">
        <f>IF(COUNTIFS(Addendum!C:C,A615,Addendum!D:D,IF(ISNUMBER(B615),TEXT(B615,"0000"),B615),Addendum!E:E,"X")&gt;0,4%,0)</f>
        <v>0</v>
      </c>
      <c r="J615" s="31">
        <f>IF(COUNTIFS(Addendum!C:C,A615,Addendum!D:D,IF(ISNUMBER(B615),TEXT(B615,"0000"),B615),Addendum!F:F,"X")&gt;0,2.5%,0)</f>
        <v>0</v>
      </c>
      <c r="K615" s="31">
        <f>IF(COUNTIFS(Addendum!C:C,A615,Addendum!D:D,IF(ISNUMBER(B615),TEXT(B615,"0000"),B615),Addendum!G:G,"X")&gt;0,7%,0)</f>
        <v>0</v>
      </c>
      <c r="L615" s="31">
        <f>IF(COUNTIFS(Addendum!C:C,A615,Addendum!D:D,IF(ISNUMBER(B615),TEXT(B615,"0000"),B615),Addendum!I:I,"X")&gt;0,10%,0)</f>
        <v>0</v>
      </c>
      <c r="M615" s="34">
        <f t="shared" si="18"/>
        <v>0</v>
      </c>
      <c r="N615" s="17">
        <f t="shared" si="19"/>
        <v>366868</v>
      </c>
    </row>
    <row r="616" spans="1:14" x14ac:dyDescent="0.25">
      <c r="A616" s="14" t="s">
        <v>1852</v>
      </c>
      <c r="B616" s="14">
        <v>15</v>
      </c>
      <c r="C616" s="15" t="s">
        <v>2016</v>
      </c>
      <c r="D616" s="14" t="s">
        <v>1745</v>
      </c>
      <c r="E616" s="14" t="s">
        <v>1747</v>
      </c>
      <c r="F616" s="17" t="s">
        <v>2993</v>
      </c>
      <c r="G616" s="14">
        <v>499140</v>
      </c>
      <c r="H616" s="14">
        <v>349398</v>
      </c>
      <c r="I616" s="31">
        <f>IF(COUNTIFS(Addendum!C:C,A616,Addendum!D:D,IF(ISNUMBER(B616),TEXT(B616,"0000"),B616),Addendum!E:E,"X")&gt;0,4%,0)</f>
        <v>0</v>
      </c>
      <c r="J616" s="31">
        <f>IF(COUNTIFS(Addendum!C:C,A616,Addendum!D:D,IF(ISNUMBER(B616),TEXT(B616,"0000"),B616),Addendum!F:F,"X")&gt;0,2.5%,0)</f>
        <v>0</v>
      </c>
      <c r="K616" s="31">
        <f>IF(COUNTIFS(Addendum!C:C,A616,Addendum!D:D,IF(ISNUMBER(B616),TEXT(B616,"0000"),B616),Addendum!G:G,"X")&gt;0,7%,0)</f>
        <v>0</v>
      </c>
      <c r="L616" s="31">
        <f>IF(COUNTIFS(Addendum!C:C,A616,Addendum!D:D,IF(ISNUMBER(B616),TEXT(B616,"0000"),B616),Addendum!I:I,"X")&gt;0,10%,0)</f>
        <v>0</v>
      </c>
      <c r="M616" s="34">
        <f t="shared" si="18"/>
        <v>0</v>
      </c>
      <c r="N616" s="17">
        <f t="shared" si="19"/>
        <v>349398</v>
      </c>
    </row>
    <row r="617" spans="1:14" x14ac:dyDescent="0.25">
      <c r="A617" s="14" t="s">
        <v>1852</v>
      </c>
      <c r="B617" s="14" t="s">
        <v>16</v>
      </c>
      <c r="C617" s="15" t="s">
        <v>1889</v>
      </c>
      <c r="D617" s="14" t="s">
        <v>1745</v>
      </c>
      <c r="E617" s="14" t="s">
        <v>1746</v>
      </c>
      <c r="F617" s="17" t="s">
        <v>2993</v>
      </c>
      <c r="G617" s="14">
        <v>524097</v>
      </c>
      <c r="H617" s="14">
        <v>366868</v>
      </c>
      <c r="I617" s="31">
        <f>IF(COUNTIFS(Addendum!C:C,A617,Addendum!D:D,IF(ISNUMBER(B617),TEXT(B617,"0000"),B617),Addendum!E:E,"X")&gt;0,4%,0)</f>
        <v>0</v>
      </c>
      <c r="J617" s="31">
        <f>IF(COUNTIFS(Addendum!C:C,A617,Addendum!D:D,IF(ISNUMBER(B617),TEXT(B617,"0000"),B617),Addendum!F:F,"X")&gt;0,2.5%,0)</f>
        <v>0</v>
      </c>
      <c r="K617" s="31">
        <f>IF(COUNTIFS(Addendum!C:C,A617,Addendum!D:D,IF(ISNUMBER(B617),TEXT(B617,"0000"),B617),Addendum!G:G,"X")&gt;0,7%,0)</f>
        <v>0</v>
      </c>
      <c r="L617" s="31">
        <f>IF(COUNTIFS(Addendum!C:C,A617,Addendum!D:D,IF(ISNUMBER(B617),TEXT(B617,"0000"),B617),Addendum!I:I,"X")&gt;0,10%,0)</f>
        <v>0</v>
      </c>
      <c r="M617" s="34">
        <f t="shared" si="18"/>
        <v>0</v>
      </c>
      <c r="N617" s="17">
        <f t="shared" si="19"/>
        <v>366868</v>
      </c>
    </row>
    <row r="618" spans="1:14" x14ac:dyDescent="0.25">
      <c r="A618" s="14" t="s">
        <v>1852</v>
      </c>
      <c r="B618" s="14" t="s">
        <v>28</v>
      </c>
      <c r="C618" s="15" t="s">
        <v>1928</v>
      </c>
      <c r="D618" s="14" t="s">
        <v>1745</v>
      </c>
      <c r="E618" s="14" t="s">
        <v>1747</v>
      </c>
      <c r="F618" s="17" t="s">
        <v>2993</v>
      </c>
      <c r="G618" s="14">
        <v>499140</v>
      </c>
      <c r="H618" s="14">
        <v>349398</v>
      </c>
      <c r="I618" s="31">
        <f>IF(COUNTIFS(Addendum!C:C,A618,Addendum!D:D,IF(ISNUMBER(B618),TEXT(B618,"0000"),B618),Addendum!E:E,"X")&gt;0,4%,0)</f>
        <v>0</v>
      </c>
      <c r="J618" s="31">
        <f>IF(COUNTIFS(Addendum!C:C,A618,Addendum!D:D,IF(ISNUMBER(B618),TEXT(B618,"0000"),B618),Addendum!F:F,"X")&gt;0,2.5%,0)</f>
        <v>0</v>
      </c>
      <c r="K618" s="31">
        <f>IF(COUNTIFS(Addendum!C:C,A618,Addendum!D:D,IF(ISNUMBER(B618),TEXT(B618,"0000"),B618),Addendum!G:G,"X")&gt;0,7%,0)</f>
        <v>0</v>
      </c>
      <c r="L618" s="31">
        <f>IF(COUNTIFS(Addendum!C:C,A618,Addendum!D:D,IF(ISNUMBER(B618),TEXT(B618,"0000"),B618),Addendum!I:I,"X")&gt;0,10%,0)</f>
        <v>0</v>
      </c>
      <c r="M618" s="34">
        <f t="shared" si="18"/>
        <v>0</v>
      </c>
      <c r="N618" s="17">
        <f t="shared" si="19"/>
        <v>349398</v>
      </c>
    </row>
    <row r="619" spans="1:14" x14ac:dyDescent="0.25">
      <c r="A619" s="14" t="s">
        <v>1852</v>
      </c>
      <c r="B619" s="14">
        <v>2</v>
      </c>
      <c r="C619" s="15" t="s">
        <v>2011</v>
      </c>
      <c r="D619" s="14" t="s">
        <v>1749</v>
      </c>
      <c r="E619" s="14" t="s">
        <v>1746</v>
      </c>
      <c r="F619" s="17" t="s">
        <v>2993</v>
      </c>
      <c r="G619" s="14">
        <v>399336</v>
      </c>
      <c r="H619" s="14">
        <v>279535.2</v>
      </c>
      <c r="I619" s="31">
        <f>IF(COUNTIFS(Addendum!C:C,A619,Addendum!D:D,IF(ISNUMBER(B619),TEXT(B619,"0000"),B619),Addendum!E:E,"X")&gt;0,4%,0)</f>
        <v>0</v>
      </c>
      <c r="J619" s="31">
        <f>IF(COUNTIFS(Addendum!C:C,A619,Addendum!D:D,IF(ISNUMBER(B619),TEXT(B619,"0000"),B619),Addendum!F:F,"X")&gt;0,2.5%,0)</f>
        <v>0</v>
      </c>
      <c r="K619" s="31">
        <f>IF(COUNTIFS(Addendum!C:C,A619,Addendum!D:D,IF(ISNUMBER(B619),TEXT(B619,"0000"),B619),Addendum!G:G,"X")&gt;0,7%,0)</f>
        <v>0</v>
      </c>
      <c r="L619" s="31">
        <f>IF(COUNTIFS(Addendum!C:C,A619,Addendum!D:D,IF(ISNUMBER(B619),TEXT(B619,"0000"),B619),Addendum!I:I,"X")&gt;0,10%,0)</f>
        <v>0</v>
      </c>
      <c r="M619" s="34">
        <f t="shared" si="18"/>
        <v>0</v>
      </c>
      <c r="N619" s="17">
        <f t="shared" si="19"/>
        <v>279535.2</v>
      </c>
    </row>
    <row r="620" spans="1:14" x14ac:dyDescent="0.25">
      <c r="A620" s="14" t="s">
        <v>1852</v>
      </c>
      <c r="B620" s="14">
        <v>69</v>
      </c>
      <c r="C620" s="15" t="s">
        <v>1956</v>
      </c>
      <c r="D620" s="14" t="s">
        <v>1745</v>
      </c>
      <c r="E620" s="14" t="s">
        <v>1747</v>
      </c>
      <c r="F620" s="17" t="s">
        <v>2995</v>
      </c>
      <c r="G620" s="14">
        <v>149760</v>
      </c>
      <c r="H620" s="14">
        <v>134784</v>
      </c>
      <c r="I620" s="31">
        <f>IF(COUNTIFS(Addendum!C:C,A620,Addendum!D:D,IF(ISNUMBER(B620),TEXT(B620,"0000"),B620),Addendum!E:E,"X")&gt;0,4%,0)</f>
        <v>0</v>
      </c>
      <c r="J620" s="31">
        <f>IF(COUNTIFS(Addendum!C:C,A620,Addendum!D:D,IF(ISNUMBER(B620),TEXT(B620,"0000"),B620),Addendum!F:F,"X")&gt;0,2.5%,0)</f>
        <v>0</v>
      </c>
      <c r="K620" s="31">
        <f>IF(COUNTIFS(Addendum!C:C,A620,Addendum!D:D,IF(ISNUMBER(B620),TEXT(B620,"0000"),B620),Addendum!G:G,"X")&gt;0,7%,0)</f>
        <v>0</v>
      </c>
      <c r="L620" s="31">
        <f>IF(COUNTIFS(Addendum!C:C,A620,Addendum!D:D,IF(ISNUMBER(B620),TEXT(B620,"0000"),B620),Addendum!I:I,"X")&gt;0,10%,0)</f>
        <v>0</v>
      </c>
      <c r="M620" s="34">
        <f t="shared" si="18"/>
        <v>0</v>
      </c>
      <c r="N620" s="17">
        <f t="shared" si="19"/>
        <v>134784</v>
      </c>
    </row>
    <row r="621" spans="1:14" x14ac:dyDescent="0.25">
      <c r="A621" s="14" t="s">
        <v>1852</v>
      </c>
      <c r="B621" s="14">
        <v>52</v>
      </c>
      <c r="C621" s="15" t="s">
        <v>1855</v>
      </c>
      <c r="D621" s="14" t="s">
        <v>1745</v>
      </c>
      <c r="E621" s="14" t="s">
        <v>1747</v>
      </c>
      <c r="F621" s="17" t="s">
        <v>2994</v>
      </c>
      <c r="G621" s="14">
        <v>199680</v>
      </c>
      <c r="H621" s="14">
        <v>139776</v>
      </c>
      <c r="I621" s="31">
        <f>IF(COUNTIFS(Addendum!C:C,A621,Addendum!D:D,IF(ISNUMBER(B621),TEXT(B621,"0000"),B621),Addendum!E:E,"X")&gt;0,4%,0)</f>
        <v>0</v>
      </c>
      <c r="J621" s="31">
        <f>IF(COUNTIFS(Addendum!C:C,A621,Addendum!D:D,IF(ISNUMBER(B621),TEXT(B621,"0000"),B621),Addendum!F:F,"X")&gt;0,2.5%,0)</f>
        <v>0</v>
      </c>
      <c r="K621" s="31">
        <f>IF(COUNTIFS(Addendum!C:C,A621,Addendum!D:D,IF(ISNUMBER(B621),TEXT(B621,"0000"),B621),Addendum!G:G,"X")&gt;0,7%,0)</f>
        <v>0</v>
      </c>
      <c r="L621" s="31">
        <f>IF(COUNTIFS(Addendum!C:C,A621,Addendum!D:D,IF(ISNUMBER(B621),TEXT(B621,"0000"),B621),Addendum!I:I,"X")&gt;0,10%,0)</f>
        <v>0</v>
      </c>
      <c r="M621" s="34">
        <f t="shared" si="18"/>
        <v>0</v>
      </c>
      <c r="N621" s="17">
        <f t="shared" si="19"/>
        <v>139776</v>
      </c>
    </row>
    <row r="622" spans="1:14" x14ac:dyDescent="0.25">
      <c r="A622" s="14" t="s">
        <v>1852</v>
      </c>
      <c r="B622" s="14" t="s">
        <v>1636</v>
      </c>
      <c r="C622" s="15" t="s">
        <v>1985</v>
      </c>
      <c r="D622" s="14" t="s">
        <v>1745</v>
      </c>
      <c r="E622" s="14" t="s">
        <v>1747</v>
      </c>
      <c r="F622" s="17" t="s">
        <v>2994</v>
      </c>
      <c r="G622" s="14">
        <v>274560</v>
      </c>
      <c r="H622" s="14">
        <v>192192</v>
      </c>
      <c r="I622" s="31">
        <f>IF(COUNTIFS(Addendum!C:C,A622,Addendum!D:D,IF(ISNUMBER(B622),TEXT(B622,"0000"),B622),Addendum!E:E,"X")&gt;0,4%,0)</f>
        <v>0</v>
      </c>
      <c r="J622" s="31">
        <f>IF(COUNTIFS(Addendum!C:C,A622,Addendum!D:D,IF(ISNUMBER(B622),TEXT(B622,"0000"),B622),Addendum!F:F,"X")&gt;0,2.5%,0)</f>
        <v>0</v>
      </c>
      <c r="K622" s="31">
        <f>IF(COUNTIFS(Addendum!C:C,A622,Addendum!D:D,IF(ISNUMBER(B622),TEXT(B622,"0000"),B622),Addendum!G:G,"X")&gt;0,7%,0)</f>
        <v>0</v>
      </c>
      <c r="L622" s="31">
        <f>IF(COUNTIFS(Addendum!C:C,A622,Addendum!D:D,IF(ISNUMBER(B622),TEXT(B622,"0000"),B622),Addendum!I:I,"X")&gt;0,10%,0)</f>
        <v>0</v>
      </c>
      <c r="M622" s="34">
        <f t="shared" si="18"/>
        <v>0</v>
      </c>
      <c r="N622" s="17">
        <f t="shared" si="19"/>
        <v>192192</v>
      </c>
    </row>
    <row r="623" spans="1:14" x14ac:dyDescent="0.25">
      <c r="A623" s="14" t="s">
        <v>1852</v>
      </c>
      <c r="B623" s="14" t="s">
        <v>55</v>
      </c>
      <c r="C623" s="15" t="s">
        <v>1885</v>
      </c>
      <c r="D623" s="14" t="s">
        <v>1745</v>
      </c>
      <c r="E623" s="14" t="s">
        <v>1746</v>
      </c>
      <c r="F623" s="17" t="s">
        <v>2993</v>
      </c>
      <c r="G623" s="14">
        <v>524097</v>
      </c>
      <c r="H623" s="14">
        <v>366868</v>
      </c>
      <c r="I623" s="31">
        <f>IF(COUNTIFS(Addendum!C:C,A623,Addendum!D:D,IF(ISNUMBER(B623),TEXT(B623,"0000"),B623),Addendum!E:E,"X")&gt;0,4%,0)</f>
        <v>0</v>
      </c>
      <c r="J623" s="31">
        <f>IF(COUNTIFS(Addendum!C:C,A623,Addendum!D:D,IF(ISNUMBER(B623),TEXT(B623,"0000"),B623),Addendum!F:F,"X")&gt;0,2.5%,0)</f>
        <v>0</v>
      </c>
      <c r="K623" s="31">
        <f>IF(COUNTIFS(Addendum!C:C,A623,Addendum!D:D,IF(ISNUMBER(B623),TEXT(B623,"0000"),B623),Addendum!G:G,"X")&gt;0,7%,0)</f>
        <v>0</v>
      </c>
      <c r="L623" s="31">
        <f>IF(COUNTIFS(Addendum!C:C,A623,Addendum!D:D,IF(ISNUMBER(B623),TEXT(B623,"0000"),B623),Addendum!I:I,"X")&gt;0,10%,0)</f>
        <v>0</v>
      </c>
      <c r="M623" s="34">
        <f t="shared" si="18"/>
        <v>0</v>
      </c>
      <c r="N623" s="17">
        <f t="shared" si="19"/>
        <v>366868</v>
      </c>
    </row>
    <row r="624" spans="1:14" x14ac:dyDescent="0.25">
      <c r="A624" s="14" t="s">
        <v>1852</v>
      </c>
      <c r="B624" s="14" t="s">
        <v>1636</v>
      </c>
      <c r="C624" s="15" t="s">
        <v>1985</v>
      </c>
      <c r="D624" s="14" t="s">
        <v>1745</v>
      </c>
      <c r="E624" s="14" t="s">
        <v>1746</v>
      </c>
      <c r="F624" s="17" t="s">
        <v>2994</v>
      </c>
      <c r="G624" s="14">
        <v>288288</v>
      </c>
      <c r="H624" s="14">
        <v>201801.60000000001</v>
      </c>
      <c r="I624" s="31">
        <f>IF(COUNTIFS(Addendum!C:C,A624,Addendum!D:D,IF(ISNUMBER(B624),TEXT(B624,"0000"),B624),Addendum!E:E,"X")&gt;0,4%,0)</f>
        <v>0</v>
      </c>
      <c r="J624" s="31">
        <f>IF(COUNTIFS(Addendum!C:C,A624,Addendum!D:D,IF(ISNUMBER(B624),TEXT(B624,"0000"),B624),Addendum!F:F,"X")&gt;0,2.5%,0)</f>
        <v>0</v>
      </c>
      <c r="K624" s="31">
        <f>IF(COUNTIFS(Addendum!C:C,A624,Addendum!D:D,IF(ISNUMBER(B624),TEXT(B624,"0000"),B624),Addendum!G:G,"X")&gt;0,7%,0)</f>
        <v>0</v>
      </c>
      <c r="L624" s="31">
        <f>IF(COUNTIFS(Addendum!C:C,A624,Addendum!D:D,IF(ISNUMBER(B624),TEXT(B624,"0000"),B624),Addendum!I:I,"X")&gt;0,10%,0)</f>
        <v>0</v>
      </c>
      <c r="M624" s="34">
        <f t="shared" si="18"/>
        <v>0</v>
      </c>
      <c r="N624" s="17">
        <f t="shared" si="19"/>
        <v>201801.60000000001</v>
      </c>
    </row>
    <row r="625" spans="1:14" x14ac:dyDescent="0.25">
      <c r="A625" s="14" t="s">
        <v>1852</v>
      </c>
      <c r="B625" s="14" t="s">
        <v>1708</v>
      </c>
      <c r="C625" s="15" t="s">
        <v>1860</v>
      </c>
      <c r="D625" s="14" t="s">
        <v>1749</v>
      </c>
      <c r="E625" s="14" t="s">
        <v>1746</v>
      </c>
      <c r="F625" s="17" t="s">
        <v>2995</v>
      </c>
      <c r="G625" s="14">
        <v>434274</v>
      </c>
      <c r="H625" s="14">
        <v>390846.6</v>
      </c>
      <c r="I625" s="31">
        <f>IF(COUNTIFS(Addendum!C:C,A625,Addendum!D:D,IF(ISNUMBER(B625),TEXT(B625,"0000"),B625),Addendum!E:E,"X")&gt;0,4%,0)</f>
        <v>0</v>
      </c>
      <c r="J625" s="31">
        <f>IF(COUNTIFS(Addendum!C:C,A625,Addendum!D:D,IF(ISNUMBER(B625),TEXT(B625,"0000"),B625),Addendum!F:F,"X")&gt;0,2.5%,0)</f>
        <v>0</v>
      </c>
      <c r="K625" s="31">
        <f>IF(COUNTIFS(Addendum!C:C,A625,Addendum!D:D,IF(ISNUMBER(B625),TEXT(B625,"0000"),B625),Addendum!G:G,"X")&gt;0,7%,0)</f>
        <v>0</v>
      </c>
      <c r="L625" s="31">
        <f>IF(COUNTIFS(Addendum!C:C,A625,Addendum!D:D,IF(ISNUMBER(B625),TEXT(B625,"0000"),B625),Addendum!I:I,"X")&gt;0,10%,0)</f>
        <v>0</v>
      </c>
      <c r="M625" s="34">
        <f t="shared" si="18"/>
        <v>0</v>
      </c>
      <c r="N625" s="17">
        <f t="shared" si="19"/>
        <v>390846.6</v>
      </c>
    </row>
    <row r="626" spans="1:14" x14ac:dyDescent="0.25">
      <c r="A626" s="14" t="s">
        <v>1852</v>
      </c>
      <c r="B626" s="14" t="s">
        <v>1573</v>
      </c>
      <c r="C626" s="15" t="s">
        <v>1930</v>
      </c>
      <c r="D626" s="14" t="s">
        <v>1745</v>
      </c>
      <c r="E626" s="14" t="s">
        <v>1746</v>
      </c>
      <c r="F626" s="17" t="s">
        <v>2994</v>
      </c>
      <c r="G626" s="14">
        <v>288288</v>
      </c>
      <c r="H626" s="14">
        <v>201801.60000000001</v>
      </c>
      <c r="I626" s="31">
        <f>IF(COUNTIFS(Addendum!C:C,A626,Addendum!D:D,IF(ISNUMBER(B626),TEXT(B626,"0000"),B626),Addendum!E:E,"X")&gt;0,4%,0)</f>
        <v>0</v>
      </c>
      <c r="J626" s="31">
        <f>IF(COUNTIFS(Addendum!C:C,A626,Addendum!D:D,IF(ISNUMBER(B626),TEXT(B626,"0000"),B626),Addendum!F:F,"X")&gt;0,2.5%,0)</f>
        <v>0</v>
      </c>
      <c r="K626" s="31">
        <f>IF(COUNTIFS(Addendum!C:C,A626,Addendum!D:D,IF(ISNUMBER(B626),TEXT(B626,"0000"),B626),Addendum!G:G,"X")&gt;0,7%,0)</f>
        <v>0</v>
      </c>
      <c r="L626" s="31">
        <f>IF(COUNTIFS(Addendum!C:C,A626,Addendum!D:D,IF(ISNUMBER(B626),TEXT(B626,"0000"),B626),Addendum!I:I,"X")&gt;0,10%,0)</f>
        <v>0</v>
      </c>
      <c r="M626" s="34">
        <f t="shared" si="18"/>
        <v>0</v>
      </c>
      <c r="N626" s="17">
        <f t="shared" si="19"/>
        <v>201801.60000000001</v>
      </c>
    </row>
    <row r="627" spans="1:14" x14ac:dyDescent="0.25">
      <c r="A627" s="14" t="s">
        <v>1852</v>
      </c>
      <c r="B627" s="14" t="s">
        <v>1535</v>
      </c>
      <c r="C627" s="15" t="s">
        <v>1892</v>
      </c>
      <c r="D627" s="14" t="s">
        <v>1749</v>
      </c>
      <c r="E627" s="14" t="s">
        <v>1746</v>
      </c>
      <c r="F627" s="17" t="s">
        <v>2994</v>
      </c>
      <c r="G627" s="14">
        <v>27456</v>
      </c>
      <c r="H627" s="14">
        <v>19219.2</v>
      </c>
      <c r="I627" s="31">
        <f>IF(COUNTIFS(Addendum!C:C,A627,Addendum!D:D,IF(ISNUMBER(B627),TEXT(B627,"0000"),B627),Addendum!E:E,"X")&gt;0,4%,0)</f>
        <v>0</v>
      </c>
      <c r="J627" s="31">
        <f>IF(COUNTIFS(Addendum!C:C,A627,Addendum!D:D,IF(ISNUMBER(B627),TEXT(B627,"0000"),B627),Addendum!F:F,"X")&gt;0,2.5%,0)</f>
        <v>0</v>
      </c>
      <c r="K627" s="31">
        <f>IF(COUNTIFS(Addendum!C:C,A627,Addendum!D:D,IF(ISNUMBER(B627),TEXT(B627,"0000"),B627),Addendum!G:G,"X")&gt;0,7%,0)</f>
        <v>0</v>
      </c>
      <c r="L627" s="31">
        <f>IF(COUNTIFS(Addendum!C:C,A627,Addendum!D:D,IF(ISNUMBER(B627),TEXT(B627,"0000"),B627),Addendum!I:I,"X")&gt;0,10%,0)</f>
        <v>0</v>
      </c>
      <c r="M627" s="34">
        <f t="shared" si="18"/>
        <v>0</v>
      </c>
      <c r="N627" s="17">
        <f t="shared" si="19"/>
        <v>19219.2</v>
      </c>
    </row>
    <row r="628" spans="1:14" x14ac:dyDescent="0.25">
      <c r="A628" s="14" t="s">
        <v>1852</v>
      </c>
      <c r="B628" s="14" t="s">
        <v>1924</v>
      </c>
      <c r="C628" s="15" t="s">
        <v>1925</v>
      </c>
      <c r="D628" s="14" t="s">
        <v>1745</v>
      </c>
      <c r="E628" s="14" t="s">
        <v>1746</v>
      </c>
      <c r="F628" s="17" t="s">
        <v>2994</v>
      </c>
      <c r="G628" s="14">
        <v>288288</v>
      </c>
      <c r="H628" s="14">
        <v>201801.60000000001</v>
      </c>
      <c r="I628" s="31">
        <f>IF(COUNTIFS(Addendum!C:C,A628,Addendum!D:D,IF(ISNUMBER(B628),TEXT(B628,"0000"),B628),Addendum!E:E,"X")&gt;0,4%,0)</f>
        <v>0</v>
      </c>
      <c r="J628" s="31">
        <f>IF(COUNTIFS(Addendum!C:C,A628,Addendum!D:D,IF(ISNUMBER(B628),TEXT(B628,"0000"),B628),Addendum!F:F,"X")&gt;0,2.5%,0)</f>
        <v>0</v>
      </c>
      <c r="K628" s="31">
        <f>IF(COUNTIFS(Addendum!C:C,A628,Addendum!D:D,IF(ISNUMBER(B628),TEXT(B628,"0000"),B628),Addendum!G:G,"X")&gt;0,7%,0)</f>
        <v>0</v>
      </c>
      <c r="L628" s="31">
        <f>IF(COUNTIFS(Addendum!C:C,A628,Addendum!D:D,IF(ISNUMBER(B628),TEXT(B628,"0000"),B628),Addendum!I:I,"X")&gt;0,10%,0)</f>
        <v>0</v>
      </c>
      <c r="M628" s="34">
        <f t="shared" si="18"/>
        <v>0</v>
      </c>
      <c r="N628" s="17">
        <f t="shared" si="19"/>
        <v>201801.60000000001</v>
      </c>
    </row>
    <row r="629" spans="1:14" x14ac:dyDescent="0.25">
      <c r="A629" s="14" t="s">
        <v>1852</v>
      </c>
      <c r="B629" s="14">
        <v>3</v>
      </c>
      <c r="C629" s="15" t="s">
        <v>1872</v>
      </c>
      <c r="D629" s="14" t="s">
        <v>1749</v>
      </c>
      <c r="E629" s="14" t="s">
        <v>1746</v>
      </c>
      <c r="F629" s="17" t="s">
        <v>2993</v>
      </c>
      <c r="G629" s="14">
        <v>49914</v>
      </c>
      <c r="H629" s="14">
        <v>34939.800000000003</v>
      </c>
      <c r="I629" s="31">
        <f>IF(COUNTIFS(Addendum!C:C,A629,Addendum!D:D,IF(ISNUMBER(B629),TEXT(B629,"0000"),B629),Addendum!E:E,"X")&gt;0,4%,0)</f>
        <v>0</v>
      </c>
      <c r="J629" s="31">
        <f>IF(COUNTIFS(Addendum!C:C,A629,Addendum!D:D,IF(ISNUMBER(B629),TEXT(B629,"0000"),B629),Addendum!F:F,"X")&gt;0,2.5%,0)</f>
        <v>0</v>
      </c>
      <c r="K629" s="31">
        <f>IF(COUNTIFS(Addendum!C:C,A629,Addendum!D:D,IF(ISNUMBER(B629),TEXT(B629,"0000"),B629),Addendum!G:G,"X")&gt;0,7%,0)</f>
        <v>0</v>
      </c>
      <c r="L629" s="31">
        <f>IF(COUNTIFS(Addendum!C:C,A629,Addendum!D:D,IF(ISNUMBER(B629),TEXT(B629,"0000"),B629),Addendum!I:I,"X")&gt;0,10%,0)</f>
        <v>0</v>
      </c>
      <c r="M629" s="34">
        <f t="shared" si="18"/>
        <v>0</v>
      </c>
      <c r="N629" s="17">
        <f t="shared" si="19"/>
        <v>34939.800000000003</v>
      </c>
    </row>
    <row r="630" spans="1:14" x14ac:dyDescent="0.25">
      <c r="A630" s="14" t="s">
        <v>1852</v>
      </c>
      <c r="B630" s="14" t="s">
        <v>1552</v>
      </c>
      <c r="C630" s="15" t="s">
        <v>1922</v>
      </c>
      <c r="D630" s="14" t="s">
        <v>1745</v>
      </c>
      <c r="E630" s="14" t="s">
        <v>1746</v>
      </c>
      <c r="F630" s="17" t="s">
        <v>2994</v>
      </c>
      <c r="G630" s="14">
        <v>2306178</v>
      </c>
      <c r="H630" s="14">
        <v>1614325</v>
      </c>
      <c r="I630" s="31">
        <f>IF(COUNTIFS(Addendum!C:C,A630,Addendum!D:D,IF(ISNUMBER(B630),TEXT(B630,"0000"),B630),Addendum!E:E,"X")&gt;0,4%,0)</f>
        <v>0</v>
      </c>
      <c r="J630" s="31">
        <f>IF(COUNTIFS(Addendum!C:C,A630,Addendum!D:D,IF(ISNUMBER(B630),TEXT(B630,"0000"),B630),Addendum!F:F,"X")&gt;0,2.5%,0)</f>
        <v>0</v>
      </c>
      <c r="K630" s="31">
        <f>IF(COUNTIFS(Addendum!C:C,A630,Addendum!D:D,IF(ISNUMBER(B630),TEXT(B630,"0000"),B630),Addendum!G:G,"X")&gt;0,7%,0)</f>
        <v>0</v>
      </c>
      <c r="L630" s="31">
        <f>IF(COUNTIFS(Addendum!C:C,A630,Addendum!D:D,IF(ISNUMBER(B630),TEXT(B630,"0000"),B630),Addendum!I:I,"X")&gt;0,10%,0)</f>
        <v>0</v>
      </c>
      <c r="M630" s="34">
        <f t="shared" si="18"/>
        <v>0</v>
      </c>
      <c r="N630" s="17">
        <f t="shared" si="19"/>
        <v>1614325</v>
      </c>
    </row>
    <row r="631" spans="1:14" x14ac:dyDescent="0.25">
      <c r="A631" s="14" t="s">
        <v>1852</v>
      </c>
      <c r="B631" s="14">
        <v>10</v>
      </c>
      <c r="C631" s="15" t="s">
        <v>2021</v>
      </c>
      <c r="D631" s="14" t="s">
        <v>1745</v>
      </c>
      <c r="E631" s="14" t="s">
        <v>1747</v>
      </c>
      <c r="F631" s="17" t="s">
        <v>2993</v>
      </c>
      <c r="G631" s="14">
        <v>499140</v>
      </c>
      <c r="H631" s="14">
        <v>349398</v>
      </c>
      <c r="I631" s="31">
        <f>IF(COUNTIFS(Addendum!C:C,A631,Addendum!D:D,IF(ISNUMBER(B631),TEXT(B631,"0000"),B631),Addendum!E:E,"X")&gt;0,4%,0)</f>
        <v>0</v>
      </c>
      <c r="J631" s="31">
        <f>IF(COUNTIFS(Addendum!C:C,A631,Addendum!D:D,IF(ISNUMBER(B631),TEXT(B631,"0000"),B631),Addendum!F:F,"X")&gt;0,2.5%,0)</f>
        <v>0</v>
      </c>
      <c r="K631" s="31">
        <f>IF(COUNTIFS(Addendum!C:C,A631,Addendum!D:D,IF(ISNUMBER(B631),TEXT(B631,"0000"),B631),Addendum!G:G,"X")&gt;0,7%,0)</f>
        <v>0</v>
      </c>
      <c r="L631" s="31">
        <f>IF(COUNTIFS(Addendum!C:C,A631,Addendum!D:D,IF(ISNUMBER(B631),TEXT(B631,"0000"),B631),Addendum!I:I,"X")&gt;0,10%,0)</f>
        <v>0</v>
      </c>
      <c r="M631" s="34">
        <f t="shared" si="18"/>
        <v>0</v>
      </c>
      <c r="N631" s="17">
        <f t="shared" si="19"/>
        <v>349398</v>
      </c>
    </row>
    <row r="632" spans="1:14" x14ac:dyDescent="0.25">
      <c r="A632" s="14" t="s">
        <v>1852</v>
      </c>
      <c r="B632" s="14">
        <v>65</v>
      </c>
      <c r="C632" s="15" t="s">
        <v>1926</v>
      </c>
      <c r="D632" s="14" t="s">
        <v>1745</v>
      </c>
      <c r="E632" s="14" t="s">
        <v>1747</v>
      </c>
      <c r="F632" s="17" t="s">
        <v>2994</v>
      </c>
      <c r="G632" s="14">
        <v>274560</v>
      </c>
      <c r="H632" s="14">
        <v>192192</v>
      </c>
      <c r="I632" s="31">
        <f>IF(COUNTIFS(Addendum!C:C,A632,Addendum!D:D,IF(ISNUMBER(B632),TEXT(B632,"0000"),B632),Addendum!E:E,"X")&gt;0,4%,0)</f>
        <v>0</v>
      </c>
      <c r="J632" s="31">
        <f>IF(COUNTIFS(Addendum!C:C,A632,Addendum!D:D,IF(ISNUMBER(B632),TEXT(B632,"0000"),B632),Addendum!F:F,"X")&gt;0,2.5%,0)</f>
        <v>0</v>
      </c>
      <c r="K632" s="31">
        <f>IF(COUNTIFS(Addendum!C:C,A632,Addendum!D:D,IF(ISNUMBER(B632),TEXT(B632,"0000"),B632),Addendum!G:G,"X")&gt;0,7%,0)</f>
        <v>0</v>
      </c>
      <c r="L632" s="31">
        <f>IF(COUNTIFS(Addendum!C:C,A632,Addendum!D:D,IF(ISNUMBER(B632),TEXT(B632,"0000"),B632),Addendum!I:I,"X")&gt;0,10%,0)</f>
        <v>0</v>
      </c>
      <c r="M632" s="34">
        <f t="shared" si="18"/>
        <v>0</v>
      </c>
      <c r="N632" s="17">
        <f t="shared" si="19"/>
        <v>192192</v>
      </c>
    </row>
    <row r="633" spans="1:14" x14ac:dyDescent="0.25">
      <c r="A633" s="14" t="s">
        <v>1852</v>
      </c>
      <c r="B633" s="14" t="s">
        <v>1941</v>
      </c>
      <c r="C633" s="15" t="s">
        <v>1942</v>
      </c>
      <c r="D633" s="14" t="s">
        <v>1749</v>
      </c>
      <c r="E633" s="14" t="s">
        <v>1746</v>
      </c>
      <c r="F633" s="17" t="s">
        <v>2994</v>
      </c>
      <c r="G633" s="14">
        <v>159732</v>
      </c>
      <c r="H633" s="14">
        <v>111812.4</v>
      </c>
      <c r="I633" s="31">
        <f>IF(COUNTIFS(Addendum!C:C,A633,Addendum!D:D,IF(ISNUMBER(B633),TEXT(B633,"0000"),B633),Addendum!E:E,"X")&gt;0,4%,0)</f>
        <v>0</v>
      </c>
      <c r="J633" s="31">
        <f>IF(COUNTIFS(Addendum!C:C,A633,Addendum!D:D,IF(ISNUMBER(B633),TEXT(B633,"0000"),B633),Addendum!F:F,"X")&gt;0,2.5%,0)</f>
        <v>0</v>
      </c>
      <c r="K633" s="31">
        <f>IF(COUNTIFS(Addendum!C:C,A633,Addendum!D:D,IF(ISNUMBER(B633),TEXT(B633,"0000"),B633),Addendum!G:G,"X")&gt;0,7%,0)</f>
        <v>0</v>
      </c>
      <c r="L633" s="31">
        <f>IF(COUNTIFS(Addendum!C:C,A633,Addendum!D:D,IF(ISNUMBER(B633),TEXT(B633,"0000"),B633),Addendum!I:I,"X")&gt;0,10%,0)</f>
        <v>0</v>
      </c>
      <c r="M633" s="34">
        <f t="shared" si="18"/>
        <v>0</v>
      </c>
      <c r="N633" s="17">
        <f t="shared" si="19"/>
        <v>111812.4</v>
      </c>
    </row>
    <row r="634" spans="1:14" x14ac:dyDescent="0.25">
      <c r="A634" s="14" t="s">
        <v>1852</v>
      </c>
      <c r="B634" s="14">
        <v>5</v>
      </c>
      <c r="C634" s="15" t="s">
        <v>1870</v>
      </c>
      <c r="D634" s="14" t="s">
        <v>1745</v>
      </c>
      <c r="E634" s="14" t="s">
        <v>1746</v>
      </c>
      <c r="F634" s="17" t="s">
        <v>2993</v>
      </c>
      <c r="G634" s="14">
        <v>32495841</v>
      </c>
      <c r="H634" s="14">
        <v>22747089</v>
      </c>
      <c r="I634" s="31">
        <f>IF(COUNTIFS(Addendum!C:C,A634,Addendum!D:D,IF(ISNUMBER(B634),TEXT(B634,"0000"),B634),Addendum!E:E,"X")&gt;0,4%,0)</f>
        <v>0</v>
      </c>
      <c r="J634" s="31">
        <f>IF(COUNTIFS(Addendum!C:C,A634,Addendum!D:D,IF(ISNUMBER(B634),TEXT(B634,"0000"),B634),Addendum!F:F,"X")&gt;0,2.5%,0)</f>
        <v>0</v>
      </c>
      <c r="K634" s="31">
        <f>IF(COUNTIFS(Addendum!C:C,A634,Addendum!D:D,IF(ISNUMBER(B634),TEXT(B634,"0000"),B634),Addendum!G:G,"X")&gt;0,7%,0)</f>
        <v>0</v>
      </c>
      <c r="L634" s="31">
        <f>IF(COUNTIFS(Addendum!C:C,A634,Addendum!D:D,IF(ISNUMBER(B634),TEXT(B634,"0000"),B634),Addendum!I:I,"X")&gt;0,10%,0)</f>
        <v>0</v>
      </c>
      <c r="M634" s="34">
        <f t="shared" si="18"/>
        <v>0</v>
      </c>
      <c r="N634" s="17">
        <f t="shared" si="19"/>
        <v>22747089</v>
      </c>
    </row>
    <row r="635" spans="1:14" x14ac:dyDescent="0.25">
      <c r="A635" s="14" t="s">
        <v>1852</v>
      </c>
      <c r="B635" s="14" t="s">
        <v>1645</v>
      </c>
      <c r="C635" s="15" t="s">
        <v>1982</v>
      </c>
      <c r="D635" s="14" t="s">
        <v>1745</v>
      </c>
      <c r="E635" s="14" t="s">
        <v>1746</v>
      </c>
      <c r="F635" s="17" t="s">
        <v>2994</v>
      </c>
      <c r="G635" s="14">
        <v>288288</v>
      </c>
      <c r="H635" s="14">
        <v>201801.60000000001</v>
      </c>
      <c r="I635" s="31">
        <f>IF(COUNTIFS(Addendum!C:C,A635,Addendum!D:D,IF(ISNUMBER(B635),TEXT(B635,"0000"),B635),Addendum!E:E,"X")&gt;0,4%,0)</f>
        <v>0</v>
      </c>
      <c r="J635" s="31">
        <f>IF(COUNTIFS(Addendum!C:C,A635,Addendum!D:D,IF(ISNUMBER(B635),TEXT(B635,"0000"),B635),Addendum!F:F,"X")&gt;0,2.5%,0)</f>
        <v>0</v>
      </c>
      <c r="K635" s="31">
        <f>IF(COUNTIFS(Addendum!C:C,A635,Addendum!D:D,IF(ISNUMBER(B635),TEXT(B635,"0000"),B635),Addendum!G:G,"X")&gt;0,7%,0)</f>
        <v>0</v>
      </c>
      <c r="L635" s="31">
        <f>IF(COUNTIFS(Addendum!C:C,A635,Addendum!D:D,IF(ISNUMBER(B635),TEXT(B635,"0000"),B635),Addendum!I:I,"X")&gt;0,10%,0)</f>
        <v>0</v>
      </c>
      <c r="M635" s="34">
        <f t="shared" si="18"/>
        <v>0</v>
      </c>
      <c r="N635" s="17">
        <f t="shared" si="19"/>
        <v>201801.60000000001</v>
      </c>
    </row>
    <row r="636" spans="1:14" x14ac:dyDescent="0.25">
      <c r="A636" s="14" t="s">
        <v>1852</v>
      </c>
      <c r="B636" s="14" t="s">
        <v>1963</v>
      </c>
      <c r="C636" s="15" t="s">
        <v>1964</v>
      </c>
      <c r="D636" s="14" t="s">
        <v>1745</v>
      </c>
      <c r="E636" s="14" t="s">
        <v>1747</v>
      </c>
      <c r="F636" s="17" t="s">
        <v>2994</v>
      </c>
      <c r="G636" s="14">
        <v>274560</v>
      </c>
      <c r="H636" s="14">
        <v>192192</v>
      </c>
      <c r="I636" s="31">
        <f>IF(COUNTIFS(Addendum!C:C,A636,Addendum!D:D,IF(ISNUMBER(B636),TEXT(B636,"0000"),B636),Addendum!E:E,"X")&gt;0,4%,0)</f>
        <v>0</v>
      </c>
      <c r="J636" s="31">
        <f>IF(COUNTIFS(Addendum!C:C,A636,Addendum!D:D,IF(ISNUMBER(B636),TEXT(B636,"0000"),B636),Addendum!F:F,"X")&gt;0,2.5%,0)</f>
        <v>0</v>
      </c>
      <c r="K636" s="31">
        <f>IF(COUNTIFS(Addendum!C:C,A636,Addendum!D:D,IF(ISNUMBER(B636),TEXT(B636,"0000"),B636),Addendum!G:G,"X")&gt;0,7%,0)</f>
        <v>0</v>
      </c>
      <c r="L636" s="31">
        <f>IF(COUNTIFS(Addendum!C:C,A636,Addendum!D:D,IF(ISNUMBER(B636),TEXT(B636,"0000"),B636),Addendum!I:I,"X")&gt;0,10%,0)</f>
        <v>0</v>
      </c>
      <c r="M636" s="34">
        <f t="shared" si="18"/>
        <v>0</v>
      </c>
      <c r="N636" s="17">
        <f t="shared" si="19"/>
        <v>192192</v>
      </c>
    </row>
    <row r="637" spans="1:14" x14ac:dyDescent="0.25">
      <c r="A637" s="14" t="s">
        <v>1852</v>
      </c>
      <c r="B637" s="14">
        <v>14</v>
      </c>
      <c r="C637" s="15" t="s">
        <v>1989</v>
      </c>
      <c r="D637" s="14" t="s">
        <v>1745</v>
      </c>
      <c r="E637" s="14" t="s">
        <v>1746</v>
      </c>
      <c r="F637" s="17" t="s">
        <v>2993</v>
      </c>
      <c r="G637" s="14">
        <v>524097</v>
      </c>
      <c r="H637" s="14">
        <v>366868</v>
      </c>
      <c r="I637" s="31">
        <f>IF(COUNTIFS(Addendum!C:C,A637,Addendum!D:D,IF(ISNUMBER(B637),TEXT(B637,"0000"),B637),Addendum!E:E,"X")&gt;0,4%,0)</f>
        <v>0</v>
      </c>
      <c r="J637" s="31">
        <f>IF(COUNTIFS(Addendum!C:C,A637,Addendum!D:D,IF(ISNUMBER(B637),TEXT(B637,"0000"),B637),Addendum!F:F,"X")&gt;0,2.5%,0)</f>
        <v>0</v>
      </c>
      <c r="K637" s="31">
        <f>IF(COUNTIFS(Addendum!C:C,A637,Addendum!D:D,IF(ISNUMBER(B637),TEXT(B637,"0000"),B637),Addendum!G:G,"X")&gt;0,7%,0)</f>
        <v>0</v>
      </c>
      <c r="L637" s="31">
        <f>IF(COUNTIFS(Addendum!C:C,A637,Addendum!D:D,IF(ISNUMBER(B637),TEXT(B637,"0000"),B637),Addendum!I:I,"X")&gt;0,10%,0)</f>
        <v>0</v>
      </c>
      <c r="M637" s="34">
        <f t="shared" si="18"/>
        <v>0</v>
      </c>
      <c r="N637" s="17">
        <f t="shared" si="19"/>
        <v>366868</v>
      </c>
    </row>
    <row r="638" spans="1:14" x14ac:dyDescent="0.25">
      <c r="A638" s="14" t="s">
        <v>1852</v>
      </c>
      <c r="B638" s="14">
        <v>74</v>
      </c>
      <c r="C638" s="15" t="s">
        <v>1995</v>
      </c>
      <c r="D638" s="14" t="s">
        <v>1745</v>
      </c>
      <c r="E638" s="14" t="s">
        <v>1747</v>
      </c>
      <c r="F638" s="17" t="s">
        <v>2995</v>
      </c>
      <c r="G638" s="14">
        <v>9284520</v>
      </c>
      <c r="H638" s="14">
        <v>8356068</v>
      </c>
      <c r="I638" s="31">
        <f>IF(COUNTIFS(Addendum!C:C,A638,Addendum!D:D,IF(ISNUMBER(B638),TEXT(B638,"0000"),B638),Addendum!E:E,"X")&gt;0,4%,0)</f>
        <v>0</v>
      </c>
      <c r="J638" s="31">
        <f>IF(COUNTIFS(Addendum!C:C,A638,Addendum!D:D,IF(ISNUMBER(B638),TEXT(B638,"0000"),B638),Addendum!F:F,"X")&gt;0,2.5%,0)</f>
        <v>0</v>
      </c>
      <c r="K638" s="31">
        <f>IF(COUNTIFS(Addendum!C:C,A638,Addendum!D:D,IF(ISNUMBER(B638),TEXT(B638,"0000"),B638),Addendum!G:G,"X")&gt;0,7%,0)</f>
        <v>0</v>
      </c>
      <c r="L638" s="31">
        <f>IF(COUNTIFS(Addendum!C:C,A638,Addendum!D:D,IF(ISNUMBER(B638),TEXT(B638,"0000"),B638),Addendum!I:I,"X")&gt;0,10%,0)</f>
        <v>0</v>
      </c>
      <c r="M638" s="34">
        <f t="shared" si="18"/>
        <v>0</v>
      </c>
      <c r="N638" s="17">
        <f t="shared" si="19"/>
        <v>8356068</v>
      </c>
    </row>
    <row r="639" spans="1:14" x14ac:dyDescent="0.25">
      <c r="A639" s="14" t="s">
        <v>1852</v>
      </c>
      <c r="B639" s="14">
        <v>77</v>
      </c>
      <c r="C639" s="15" t="s">
        <v>1890</v>
      </c>
      <c r="D639" s="14" t="s">
        <v>1745</v>
      </c>
      <c r="E639" s="14" t="s">
        <v>1746</v>
      </c>
      <c r="F639" s="17" t="s">
        <v>2994</v>
      </c>
      <c r="G639" s="14">
        <v>17872722</v>
      </c>
      <c r="H639" s="14">
        <v>12510905</v>
      </c>
      <c r="I639" s="31">
        <f>IF(COUNTIFS(Addendum!C:C,A639,Addendum!D:D,IF(ISNUMBER(B639),TEXT(B639,"0000"),B639),Addendum!E:E,"X")&gt;0,4%,0)</f>
        <v>0</v>
      </c>
      <c r="J639" s="31">
        <f>IF(COUNTIFS(Addendum!C:C,A639,Addendum!D:D,IF(ISNUMBER(B639),TEXT(B639,"0000"),B639),Addendum!F:F,"X")&gt;0,2.5%,0)</f>
        <v>0</v>
      </c>
      <c r="K639" s="31">
        <f>IF(COUNTIFS(Addendum!C:C,A639,Addendum!D:D,IF(ISNUMBER(B639),TEXT(B639,"0000"),B639),Addendum!G:G,"X")&gt;0,7%,0)</f>
        <v>0</v>
      </c>
      <c r="L639" s="31">
        <f>IF(COUNTIFS(Addendum!C:C,A639,Addendum!D:D,IF(ISNUMBER(B639),TEXT(B639,"0000"),B639),Addendum!I:I,"X")&gt;0,10%,0)</f>
        <v>0</v>
      </c>
      <c r="M639" s="34">
        <f t="shared" si="18"/>
        <v>0</v>
      </c>
      <c r="N639" s="17">
        <f t="shared" si="19"/>
        <v>12510905</v>
      </c>
    </row>
    <row r="640" spans="1:14" x14ac:dyDescent="0.25">
      <c r="A640" s="14" t="s">
        <v>1852</v>
      </c>
      <c r="B640" s="14">
        <v>82</v>
      </c>
      <c r="C640" s="15" t="s">
        <v>2002</v>
      </c>
      <c r="D640" s="14" t="s">
        <v>1745</v>
      </c>
      <c r="E640" s="14" t="s">
        <v>1746</v>
      </c>
      <c r="F640" s="17" t="s">
        <v>2994</v>
      </c>
      <c r="G640" s="14">
        <v>2306178</v>
      </c>
      <c r="H640" s="14">
        <v>1614325</v>
      </c>
      <c r="I640" s="31">
        <f>IF(COUNTIFS(Addendum!C:C,A640,Addendum!D:D,IF(ISNUMBER(B640),TEXT(B640,"0000"),B640),Addendum!E:E,"X")&gt;0,4%,0)</f>
        <v>0</v>
      </c>
      <c r="J640" s="31">
        <f>IF(COUNTIFS(Addendum!C:C,A640,Addendum!D:D,IF(ISNUMBER(B640),TEXT(B640,"0000"),B640),Addendum!F:F,"X")&gt;0,2.5%,0)</f>
        <v>0</v>
      </c>
      <c r="K640" s="31">
        <f>IF(COUNTIFS(Addendum!C:C,A640,Addendum!D:D,IF(ISNUMBER(B640),TEXT(B640,"0000"),B640),Addendum!G:G,"X")&gt;0,7%,0)</f>
        <v>0</v>
      </c>
      <c r="L640" s="31">
        <f>IF(COUNTIFS(Addendum!C:C,A640,Addendum!D:D,IF(ISNUMBER(B640),TEXT(B640,"0000"),B640),Addendum!I:I,"X")&gt;0,10%,0)</f>
        <v>0</v>
      </c>
      <c r="M640" s="34">
        <f t="shared" si="18"/>
        <v>0</v>
      </c>
      <c r="N640" s="17">
        <f t="shared" si="19"/>
        <v>1614325</v>
      </c>
    </row>
    <row r="641" spans="1:14" x14ac:dyDescent="0.25">
      <c r="A641" s="14" t="s">
        <v>1852</v>
      </c>
      <c r="B641" s="14">
        <v>15</v>
      </c>
      <c r="C641" s="15" t="s">
        <v>2016</v>
      </c>
      <c r="D641" s="14" t="s">
        <v>1749</v>
      </c>
      <c r="E641" s="14" t="s">
        <v>1746</v>
      </c>
      <c r="F641" s="17" t="s">
        <v>2993</v>
      </c>
      <c r="G641" s="14">
        <v>49914</v>
      </c>
      <c r="H641" s="14">
        <v>34939.800000000003</v>
      </c>
      <c r="I641" s="31">
        <f>IF(COUNTIFS(Addendum!C:C,A641,Addendum!D:D,IF(ISNUMBER(B641),TEXT(B641,"0000"),B641),Addendum!E:E,"X")&gt;0,4%,0)</f>
        <v>0</v>
      </c>
      <c r="J641" s="31">
        <f>IF(COUNTIFS(Addendum!C:C,A641,Addendum!D:D,IF(ISNUMBER(B641),TEXT(B641,"0000"),B641),Addendum!F:F,"X")&gt;0,2.5%,0)</f>
        <v>0</v>
      </c>
      <c r="K641" s="31">
        <f>IF(COUNTIFS(Addendum!C:C,A641,Addendum!D:D,IF(ISNUMBER(B641),TEXT(B641,"0000"),B641),Addendum!G:G,"X")&gt;0,7%,0)</f>
        <v>0</v>
      </c>
      <c r="L641" s="31">
        <f>IF(COUNTIFS(Addendum!C:C,A641,Addendum!D:D,IF(ISNUMBER(B641),TEXT(B641,"0000"),B641),Addendum!I:I,"X")&gt;0,10%,0)</f>
        <v>0</v>
      </c>
      <c r="M641" s="34">
        <f t="shared" si="18"/>
        <v>0</v>
      </c>
      <c r="N641" s="17">
        <f t="shared" si="19"/>
        <v>34939.800000000003</v>
      </c>
    </row>
    <row r="642" spans="1:14" x14ac:dyDescent="0.25">
      <c r="A642" s="14" t="s">
        <v>1852</v>
      </c>
      <c r="B642" s="14">
        <v>66</v>
      </c>
      <c r="C642" s="15" t="s">
        <v>2023</v>
      </c>
      <c r="D642" s="14" t="s">
        <v>1749</v>
      </c>
      <c r="E642" s="14" t="s">
        <v>1746</v>
      </c>
      <c r="F642" s="17" t="s">
        <v>2995</v>
      </c>
      <c r="G642" s="14">
        <v>14976</v>
      </c>
      <c r="H642" s="14">
        <v>13478.4</v>
      </c>
      <c r="I642" s="31">
        <f>IF(COUNTIFS(Addendum!C:C,A642,Addendum!D:D,IF(ISNUMBER(B642),TEXT(B642,"0000"),B642),Addendum!E:E,"X")&gt;0,4%,0)</f>
        <v>0</v>
      </c>
      <c r="J642" s="31">
        <f>IF(COUNTIFS(Addendum!C:C,A642,Addendum!D:D,IF(ISNUMBER(B642),TEXT(B642,"0000"),B642),Addendum!F:F,"X")&gt;0,2.5%,0)</f>
        <v>0</v>
      </c>
      <c r="K642" s="31">
        <f>IF(COUNTIFS(Addendum!C:C,A642,Addendum!D:D,IF(ISNUMBER(B642),TEXT(B642,"0000"),B642),Addendum!G:G,"X")&gt;0,7%,0)</f>
        <v>0</v>
      </c>
      <c r="L642" s="31">
        <f>IF(COUNTIFS(Addendum!C:C,A642,Addendum!D:D,IF(ISNUMBER(B642),TEXT(B642,"0000"),B642),Addendum!I:I,"X")&gt;0,10%,0)</f>
        <v>0</v>
      </c>
      <c r="M642" s="34">
        <f t="shared" si="18"/>
        <v>0</v>
      </c>
      <c r="N642" s="17">
        <f t="shared" si="19"/>
        <v>13478.4</v>
      </c>
    </row>
    <row r="643" spans="1:14" x14ac:dyDescent="0.25">
      <c r="A643" s="14" t="s">
        <v>1852</v>
      </c>
      <c r="B643" s="14" t="s">
        <v>1643</v>
      </c>
      <c r="C643" s="15" t="s">
        <v>1853</v>
      </c>
      <c r="D643" s="14" t="s">
        <v>1749</v>
      </c>
      <c r="E643" s="14" t="s">
        <v>1746</v>
      </c>
      <c r="F643" s="17" t="s">
        <v>2995</v>
      </c>
      <c r="G643" s="14">
        <v>14976</v>
      </c>
      <c r="H643" s="14">
        <v>13478.4</v>
      </c>
      <c r="I643" s="31">
        <f>IF(COUNTIFS(Addendum!C:C,A643,Addendum!D:D,IF(ISNUMBER(B643),TEXT(B643,"0000"),B643),Addendum!E:E,"X")&gt;0,4%,0)</f>
        <v>0</v>
      </c>
      <c r="J643" s="31">
        <f>IF(COUNTIFS(Addendum!C:C,A643,Addendum!D:D,IF(ISNUMBER(B643),TEXT(B643,"0000"),B643),Addendum!F:F,"X")&gt;0,2.5%,0)</f>
        <v>0</v>
      </c>
      <c r="K643" s="31">
        <f>IF(COUNTIFS(Addendum!C:C,A643,Addendum!D:D,IF(ISNUMBER(B643),TEXT(B643,"0000"),B643),Addendum!G:G,"X")&gt;0,7%,0)</f>
        <v>0</v>
      </c>
      <c r="L643" s="31">
        <f>IF(COUNTIFS(Addendum!C:C,A643,Addendum!D:D,IF(ISNUMBER(B643),TEXT(B643,"0000"),B643),Addendum!I:I,"X")&gt;0,10%,0)</f>
        <v>0</v>
      </c>
      <c r="M643" s="34">
        <f t="shared" si="18"/>
        <v>0</v>
      </c>
      <c r="N643" s="17">
        <f t="shared" si="19"/>
        <v>13478.4</v>
      </c>
    </row>
    <row r="644" spans="1:14" x14ac:dyDescent="0.25">
      <c r="A644" s="14" t="s">
        <v>1852</v>
      </c>
      <c r="B644" s="14">
        <v>8</v>
      </c>
      <c r="C644" s="15" t="s">
        <v>1981</v>
      </c>
      <c r="D644" s="14" t="s">
        <v>1745</v>
      </c>
      <c r="E644" s="14" t="s">
        <v>1747</v>
      </c>
      <c r="F644" s="17" t="s">
        <v>2993</v>
      </c>
      <c r="G644" s="14">
        <v>499140</v>
      </c>
      <c r="H644" s="14">
        <v>349398</v>
      </c>
      <c r="I644" s="31">
        <f>IF(COUNTIFS(Addendum!C:C,A644,Addendum!D:D,IF(ISNUMBER(B644),TEXT(B644,"0000"),B644),Addendum!E:E,"X")&gt;0,4%,0)</f>
        <v>0</v>
      </c>
      <c r="J644" s="31">
        <f>IF(COUNTIFS(Addendum!C:C,A644,Addendum!D:D,IF(ISNUMBER(B644),TEXT(B644,"0000"),B644),Addendum!F:F,"X")&gt;0,2.5%,0)</f>
        <v>0</v>
      </c>
      <c r="K644" s="31">
        <f>IF(COUNTIFS(Addendum!C:C,A644,Addendum!D:D,IF(ISNUMBER(B644),TEXT(B644,"0000"),B644),Addendum!G:G,"X")&gt;0,7%,0)</f>
        <v>0</v>
      </c>
      <c r="L644" s="31">
        <f>IF(COUNTIFS(Addendum!C:C,A644,Addendum!D:D,IF(ISNUMBER(B644),TEXT(B644,"0000"),B644),Addendum!I:I,"X")&gt;0,10%,0)</f>
        <v>0</v>
      </c>
      <c r="M644" s="34">
        <f t="shared" ref="M644:M707" si="20">IF(AND(I644=0%,J644=0%,K644=0%,L644=0%),0%,
IF(OR(TRIM(E644)="OneTime",TRIM(D644)=""),0%,
IF(
OR(
TRIM(D644)="P1M",
AND(TRIM(D644)="P1Y",TRIM(E644)="Monthly"),
AND(TRIM(D644)="P3Y",TRIM(E644)="Monthly")
),
IF(AND(I644=4%,J644=0%,K644=0%,L644=0%),1%,
IF(AND(I644=4%,J644=2.5%,K644=0%,L644=10%),2%,
IF(AND(I644=4%,J644=0%,K644=7%,L644=10%),3%,0%))),
IF(
OR(
AND(TRIM(D644)="P1Y",TRIM(E644)="Annual"),
AND(TRIM(D644)="P3Y",TRIM(E644)="Annual"),
AND(TRIM(D644)="P3Y",TRIM(E644)="Triennial")
),
IF(AND(I644=4%,J644=0%,K644=0%,L644=0%),3%,
IF(AND(I644=4%,J644=2.5%,K644=0%,L644=10%),10%,
IF(AND(I644=4%,J644=0%,K644=7%,L644=10%),14%,0%))),
0%
))))</f>
        <v>0</v>
      </c>
      <c r="N644" s="17">
        <f t="shared" ref="N644:N707" si="21">H644-(H644*M644)</f>
        <v>349398</v>
      </c>
    </row>
    <row r="645" spans="1:14" x14ac:dyDescent="0.25">
      <c r="A645" s="14" t="s">
        <v>1852</v>
      </c>
      <c r="B645" s="14">
        <v>84</v>
      </c>
      <c r="C645" s="15" t="s">
        <v>1874</v>
      </c>
      <c r="D645" s="14" t="s">
        <v>1745</v>
      </c>
      <c r="E645" s="14" t="s">
        <v>1746</v>
      </c>
      <c r="F645" s="17" t="s">
        <v>2995</v>
      </c>
      <c r="G645" s="14">
        <v>1257921</v>
      </c>
      <c r="H645" s="14">
        <v>1132129</v>
      </c>
      <c r="I645" s="31">
        <f>IF(COUNTIFS(Addendum!C:C,A645,Addendum!D:D,IF(ISNUMBER(B645),TEXT(B645,"0000"),B645),Addendum!E:E,"X")&gt;0,4%,0)</f>
        <v>0</v>
      </c>
      <c r="J645" s="31">
        <f>IF(COUNTIFS(Addendum!C:C,A645,Addendum!D:D,IF(ISNUMBER(B645),TEXT(B645,"0000"),B645),Addendum!F:F,"X")&gt;0,2.5%,0)</f>
        <v>0</v>
      </c>
      <c r="K645" s="31">
        <f>IF(COUNTIFS(Addendum!C:C,A645,Addendum!D:D,IF(ISNUMBER(B645),TEXT(B645,"0000"),B645),Addendum!G:G,"X")&gt;0,7%,0)</f>
        <v>0</v>
      </c>
      <c r="L645" s="31">
        <f>IF(COUNTIFS(Addendum!C:C,A645,Addendum!D:D,IF(ISNUMBER(B645),TEXT(B645,"0000"),B645),Addendum!I:I,"X")&gt;0,10%,0)</f>
        <v>0</v>
      </c>
      <c r="M645" s="34">
        <f t="shared" si="20"/>
        <v>0</v>
      </c>
      <c r="N645" s="17">
        <f t="shared" si="21"/>
        <v>1132129</v>
      </c>
    </row>
    <row r="646" spans="1:14" x14ac:dyDescent="0.25">
      <c r="A646" s="14" t="s">
        <v>1852</v>
      </c>
      <c r="B646" s="14">
        <v>55</v>
      </c>
      <c r="C646" s="15" t="s">
        <v>2006</v>
      </c>
      <c r="D646" s="14" t="s">
        <v>1749</v>
      </c>
      <c r="E646" s="14" t="s">
        <v>1746</v>
      </c>
      <c r="F646" s="17" t="s">
        <v>2994</v>
      </c>
      <c r="G646" s="14">
        <v>1702164</v>
      </c>
      <c r="H646" s="14">
        <v>1191515</v>
      </c>
      <c r="I646" s="31">
        <f>IF(COUNTIFS(Addendum!C:C,A646,Addendum!D:D,IF(ISNUMBER(B646),TEXT(B646,"0000"),B646),Addendum!E:E,"X")&gt;0,4%,0)</f>
        <v>0</v>
      </c>
      <c r="J646" s="31">
        <f>IF(COUNTIFS(Addendum!C:C,A646,Addendum!D:D,IF(ISNUMBER(B646),TEXT(B646,"0000"),B646),Addendum!F:F,"X")&gt;0,2.5%,0)</f>
        <v>0</v>
      </c>
      <c r="K646" s="31">
        <f>IF(COUNTIFS(Addendum!C:C,A646,Addendum!D:D,IF(ISNUMBER(B646),TEXT(B646,"0000"),B646),Addendum!G:G,"X")&gt;0,7%,0)</f>
        <v>0</v>
      </c>
      <c r="L646" s="31">
        <f>IF(COUNTIFS(Addendum!C:C,A646,Addendum!D:D,IF(ISNUMBER(B646),TEXT(B646,"0000"),B646),Addendum!I:I,"X")&gt;0,10%,0)</f>
        <v>0</v>
      </c>
      <c r="M646" s="34">
        <f t="shared" si="20"/>
        <v>0</v>
      </c>
      <c r="N646" s="17">
        <f t="shared" si="21"/>
        <v>1191515</v>
      </c>
    </row>
    <row r="647" spans="1:14" x14ac:dyDescent="0.25">
      <c r="A647" s="14" t="s">
        <v>1852</v>
      </c>
      <c r="B647" s="14">
        <v>50</v>
      </c>
      <c r="C647" s="15" t="s">
        <v>1919</v>
      </c>
      <c r="D647" s="14" t="s">
        <v>1749</v>
      </c>
      <c r="E647" s="14" t="s">
        <v>1746</v>
      </c>
      <c r="F647" s="17" t="s">
        <v>2994</v>
      </c>
      <c r="G647" s="14">
        <v>1702164</v>
      </c>
      <c r="H647" s="14">
        <v>1191515</v>
      </c>
      <c r="I647" s="31">
        <f>IF(COUNTIFS(Addendum!C:C,A647,Addendum!D:D,IF(ISNUMBER(B647),TEXT(B647,"0000"),B647),Addendum!E:E,"X")&gt;0,4%,0)</f>
        <v>0</v>
      </c>
      <c r="J647" s="31">
        <f>IF(COUNTIFS(Addendum!C:C,A647,Addendum!D:D,IF(ISNUMBER(B647),TEXT(B647,"0000"),B647),Addendum!F:F,"X")&gt;0,2.5%,0)</f>
        <v>0</v>
      </c>
      <c r="K647" s="31">
        <f>IF(COUNTIFS(Addendum!C:C,A647,Addendum!D:D,IF(ISNUMBER(B647),TEXT(B647,"0000"),B647),Addendum!G:G,"X")&gt;0,7%,0)</f>
        <v>0</v>
      </c>
      <c r="L647" s="31">
        <f>IF(COUNTIFS(Addendum!C:C,A647,Addendum!D:D,IF(ISNUMBER(B647),TEXT(B647,"0000"),B647),Addendum!I:I,"X")&gt;0,10%,0)</f>
        <v>0</v>
      </c>
      <c r="M647" s="34">
        <f t="shared" si="20"/>
        <v>0</v>
      </c>
      <c r="N647" s="17">
        <f t="shared" si="21"/>
        <v>1191515</v>
      </c>
    </row>
    <row r="648" spans="1:14" x14ac:dyDescent="0.25">
      <c r="A648" s="14" t="s">
        <v>1852</v>
      </c>
      <c r="B648" s="14" t="s">
        <v>1653</v>
      </c>
      <c r="C648" s="15" t="s">
        <v>1972</v>
      </c>
      <c r="D648" s="14" t="s">
        <v>1745</v>
      </c>
      <c r="E648" s="14" t="s">
        <v>1746</v>
      </c>
      <c r="F648" s="17" t="s">
        <v>2995</v>
      </c>
      <c r="G648" s="14">
        <v>157248</v>
      </c>
      <c r="H648" s="14">
        <v>141523.20000000001</v>
      </c>
      <c r="I648" s="31">
        <f>IF(COUNTIFS(Addendum!C:C,A648,Addendum!D:D,IF(ISNUMBER(B648),TEXT(B648,"0000"),B648),Addendum!E:E,"X")&gt;0,4%,0)</f>
        <v>0</v>
      </c>
      <c r="J648" s="31">
        <f>IF(COUNTIFS(Addendum!C:C,A648,Addendum!D:D,IF(ISNUMBER(B648),TEXT(B648,"0000"),B648),Addendum!F:F,"X")&gt;0,2.5%,0)</f>
        <v>0</v>
      </c>
      <c r="K648" s="31">
        <f>IF(COUNTIFS(Addendum!C:C,A648,Addendum!D:D,IF(ISNUMBER(B648),TEXT(B648,"0000"),B648),Addendum!G:G,"X")&gt;0,7%,0)</f>
        <v>0</v>
      </c>
      <c r="L648" s="31">
        <f>IF(COUNTIFS(Addendum!C:C,A648,Addendum!D:D,IF(ISNUMBER(B648),TEXT(B648,"0000"),B648),Addendum!I:I,"X")&gt;0,10%,0)</f>
        <v>0</v>
      </c>
      <c r="M648" s="34">
        <f t="shared" si="20"/>
        <v>0</v>
      </c>
      <c r="N648" s="17">
        <f t="shared" si="21"/>
        <v>141523.20000000001</v>
      </c>
    </row>
    <row r="649" spans="1:14" x14ac:dyDescent="0.25">
      <c r="A649" s="14" t="s">
        <v>1852</v>
      </c>
      <c r="B649" s="14">
        <v>78</v>
      </c>
      <c r="C649" s="15" t="s">
        <v>2008</v>
      </c>
      <c r="D649" s="14" t="s">
        <v>1745</v>
      </c>
      <c r="E649" s="14" t="s">
        <v>1747</v>
      </c>
      <c r="F649" s="17" t="s">
        <v>2995</v>
      </c>
      <c r="G649" s="14">
        <v>9284520</v>
      </c>
      <c r="H649" s="14">
        <v>8356068</v>
      </c>
      <c r="I649" s="31">
        <f>IF(COUNTIFS(Addendum!C:C,A649,Addendum!D:D,IF(ISNUMBER(B649),TEXT(B649,"0000"),B649),Addendum!E:E,"X")&gt;0,4%,0)</f>
        <v>0</v>
      </c>
      <c r="J649" s="31">
        <f>IF(COUNTIFS(Addendum!C:C,A649,Addendum!D:D,IF(ISNUMBER(B649),TEXT(B649,"0000"),B649),Addendum!F:F,"X")&gt;0,2.5%,0)</f>
        <v>0</v>
      </c>
      <c r="K649" s="31">
        <f>IF(COUNTIFS(Addendum!C:C,A649,Addendum!D:D,IF(ISNUMBER(B649),TEXT(B649,"0000"),B649),Addendum!G:G,"X")&gt;0,7%,0)</f>
        <v>0</v>
      </c>
      <c r="L649" s="31">
        <f>IF(COUNTIFS(Addendum!C:C,A649,Addendum!D:D,IF(ISNUMBER(B649),TEXT(B649,"0000"),B649),Addendum!I:I,"X")&gt;0,10%,0)</f>
        <v>0</v>
      </c>
      <c r="M649" s="34">
        <f t="shared" si="20"/>
        <v>0</v>
      </c>
      <c r="N649" s="17">
        <f t="shared" si="21"/>
        <v>8356068</v>
      </c>
    </row>
    <row r="650" spans="1:14" x14ac:dyDescent="0.25">
      <c r="A650" s="14" t="s">
        <v>1852</v>
      </c>
      <c r="B650" s="14" t="s">
        <v>1649</v>
      </c>
      <c r="C650" s="15" t="s">
        <v>1931</v>
      </c>
      <c r="D650" s="14" t="s">
        <v>1745</v>
      </c>
      <c r="E650" s="14" t="s">
        <v>1747</v>
      </c>
      <c r="F650" s="17" t="s">
        <v>2994</v>
      </c>
      <c r="G650" s="14">
        <v>274560</v>
      </c>
      <c r="H650" s="14">
        <v>192192</v>
      </c>
      <c r="I650" s="31">
        <f>IF(COUNTIFS(Addendum!C:C,A650,Addendum!D:D,IF(ISNUMBER(B650),TEXT(B650,"0000"),B650),Addendum!E:E,"X")&gt;0,4%,0)</f>
        <v>0</v>
      </c>
      <c r="J650" s="31">
        <f>IF(COUNTIFS(Addendum!C:C,A650,Addendum!D:D,IF(ISNUMBER(B650),TEXT(B650,"0000"),B650),Addendum!F:F,"X")&gt;0,2.5%,0)</f>
        <v>0</v>
      </c>
      <c r="K650" s="31">
        <f>IF(COUNTIFS(Addendum!C:C,A650,Addendum!D:D,IF(ISNUMBER(B650),TEXT(B650,"0000"),B650),Addendum!G:G,"X")&gt;0,7%,0)</f>
        <v>0</v>
      </c>
      <c r="L650" s="31">
        <f>IF(COUNTIFS(Addendum!C:C,A650,Addendum!D:D,IF(ISNUMBER(B650),TEXT(B650,"0000"),B650),Addendum!I:I,"X")&gt;0,10%,0)</f>
        <v>0</v>
      </c>
      <c r="M650" s="34">
        <f t="shared" si="20"/>
        <v>0</v>
      </c>
      <c r="N650" s="17">
        <f t="shared" si="21"/>
        <v>192192</v>
      </c>
    </row>
    <row r="651" spans="1:14" x14ac:dyDescent="0.25">
      <c r="A651" s="14" t="s">
        <v>1850</v>
      </c>
      <c r="B651" s="14" t="s">
        <v>29</v>
      </c>
      <c r="C651" s="15" t="s">
        <v>2017</v>
      </c>
      <c r="D651" s="14" t="s">
        <v>1749</v>
      </c>
      <c r="E651" s="14" t="s">
        <v>1746</v>
      </c>
      <c r="F651" s="17" t="s">
        <v>2994</v>
      </c>
      <c r="G651" s="14">
        <v>11532</v>
      </c>
      <c r="H651" s="14">
        <v>8072.4</v>
      </c>
      <c r="I651" s="31">
        <f>IF(COUNTIFS(Addendum!C:C,A651,Addendum!D:D,IF(ISNUMBER(B651),TEXT(B651,"0000"),B651),Addendum!E:E,"X")&gt;0,4%,0)</f>
        <v>0</v>
      </c>
      <c r="J651" s="31">
        <f>IF(COUNTIFS(Addendum!C:C,A651,Addendum!D:D,IF(ISNUMBER(B651),TEXT(B651,"0000"),B651),Addendum!F:F,"X")&gt;0,2.5%,0)</f>
        <v>0</v>
      </c>
      <c r="K651" s="31">
        <f>IF(COUNTIFS(Addendum!C:C,A651,Addendum!D:D,IF(ISNUMBER(B651),TEXT(B651,"0000"),B651),Addendum!G:G,"X")&gt;0,7%,0)</f>
        <v>0</v>
      </c>
      <c r="L651" s="31">
        <f>IF(COUNTIFS(Addendum!C:C,A651,Addendum!D:D,IF(ISNUMBER(B651),TEXT(B651,"0000"),B651),Addendum!I:I,"X")&gt;0,10%,0)</f>
        <v>0</v>
      </c>
      <c r="M651" s="34">
        <f t="shared" si="20"/>
        <v>0</v>
      </c>
      <c r="N651" s="17">
        <f t="shared" si="21"/>
        <v>8072.4</v>
      </c>
    </row>
    <row r="652" spans="1:14" x14ac:dyDescent="0.25">
      <c r="A652" s="14" t="s">
        <v>1852</v>
      </c>
      <c r="B652" s="14" t="s">
        <v>1957</v>
      </c>
      <c r="C652" s="15" t="s">
        <v>1958</v>
      </c>
      <c r="D652" s="14" t="s">
        <v>1749</v>
      </c>
      <c r="E652" s="14" t="s">
        <v>1746</v>
      </c>
      <c r="F652" s="17" t="s">
        <v>2994</v>
      </c>
      <c r="G652" s="14">
        <v>19968</v>
      </c>
      <c r="H652" s="14">
        <v>13977.6</v>
      </c>
      <c r="I652" s="31">
        <f>IF(COUNTIFS(Addendum!C:C,A652,Addendum!D:D,IF(ISNUMBER(B652),TEXT(B652,"0000"),B652),Addendum!E:E,"X")&gt;0,4%,0)</f>
        <v>0</v>
      </c>
      <c r="J652" s="31">
        <f>IF(COUNTIFS(Addendum!C:C,A652,Addendum!D:D,IF(ISNUMBER(B652),TEXT(B652,"0000"),B652),Addendum!F:F,"X")&gt;0,2.5%,0)</f>
        <v>0</v>
      </c>
      <c r="K652" s="31">
        <f>IF(COUNTIFS(Addendum!C:C,A652,Addendum!D:D,IF(ISNUMBER(B652),TEXT(B652,"0000"),B652),Addendum!G:G,"X")&gt;0,7%,0)</f>
        <v>0</v>
      </c>
      <c r="L652" s="31">
        <f>IF(COUNTIFS(Addendum!C:C,A652,Addendum!D:D,IF(ISNUMBER(B652),TEXT(B652,"0000"),B652),Addendum!I:I,"X")&gt;0,10%,0)</f>
        <v>0</v>
      </c>
      <c r="M652" s="34">
        <f t="shared" si="20"/>
        <v>0</v>
      </c>
      <c r="N652" s="17">
        <f t="shared" si="21"/>
        <v>13977.6</v>
      </c>
    </row>
    <row r="653" spans="1:14" x14ac:dyDescent="0.25">
      <c r="A653" s="14" t="s">
        <v>1852</v>
      </c>
      <c r="B653" s="14">
        <v>60</v>
      </c>
      <c r="C653" s="15" t="s">
        <v>2007</v>
      </c>
      <c r="D653" s="14" t="s">
        <v>1745</v>
      </c>
      <c r="E653" s="14" t="s">
        <v>1746</v>
      </c>
      <c r="F653" s="17" t="s">
        <v>2994</v>
      </c>
      <c r="G653" s="14">
        <v>288288</v>
      </c>
      <c r="H653" s="14">
        <v>201801.60000000001</v>
      </c>
      <c r="I653" s="31">
        <f>IF(COUNTIFS(Addendum!C:C,A653,Addendum!D:D,IF(ISNUMBER(B653),TEXT(B653,"0000"),B653),Addendum!E:E,"X")&gt;0,4%,0)</f>
        <v>0</v>
      </c>
      <c r="J653" s="31">
        <f>IF(COUNTIFS(Addendum!C:C,A653,Addendum!D:D,IF(ISNUMBER(B653),TEXT(B653,"0000"),B653),Addendum!F:F,"X")&gt;0,2.5%,0)</f>
        <v>0</v>
      </c>
      <c r="K653" s="31">
        <f>IF(COUNTIFS(Addendum!C:C,A653,Addendum!D:D,IF(ISNUMBER(B653),TEXT(B653,"0000"),B653),Addendum!G:G,"X")&gt;0,7%,0)</f>
        <v>0</v>
      </c>
      <c r="L653" s="31">
        <f>IF(COUNTIFS(Addendum!C:C,A653,Addendum!D:D,IF(ISNUMBER(B653),TEXT(B653,"0000"),B653),Addendum!I:I,"X")&gt;0,10%,0)</f>
        <v>0</v>
      </c>
      <c r="M653" s="34">
        <f t="shared" si="20"/>
        <v>0</v>
      </c>
      <c r="N653" s="17">
        <f t="shared" si="21"/>
        <v>201801.60000000001</v>
      </c>
    </row>
    <row r="654" spans="1:14" x14ac:dyDescent="0.25">
      <c r="A654" s="14" t="s">
        <v>1852</v>
      </c>
      <c r="B654" s="14">
        <v>72</v>
      </c>
      <c r="C654" s="15" t="s">
        <v>2024</v>
      </c>
      <c r="D654" s="14" t="s">
        <v>1749</v>
      </c>
      <c r="E654" s="14" t="s">
        <v>1746</v>
      </c>
      <c r="F654" s="17" t="s">
        <v>2994</v>
      </c>
      <c r="G654" s="14">
        <v>1237938</v>
      </c>
      <c r="H654" s="14">
        <v>866556.6</v>
      </c>
      <c r="I654" s="31">
        <f>IF(COUNTIFS(Addendum!C:C,A654,Addendum!D:D,IF(ISNUMBER(B654),TEXT(B654,"0000"),B654),Addendum!E:E,"X")&gt;0,4%,0)</f>
        <v>0</v>
      </c>
      <c r="J654" s="31">
        <f>IF(COUNTIFS(Addendum!C:C,A654,Addendum!D:D,IF(ISNUMBER(B654),TEXT(B654,"0000"),B654),Addendum!F:F,"X")&gt;0,2.5%,0)</f>
        <v>0</v>
      </c>
      <c r="K654" s="31">
        <f>IF(COUNTIFS(Addendum!C:C,A654,Addendum!D:D,IF(ISNUMBER(B654),TEXT(B654,"0000"),B654),Addendum!G:G,"X")&gt;0,7%,0)</f>
        <v>0</v>
      </c>
      <c r="L654" s="31">
        <f>IF(COUNTIFS(Addendum!C:C,A654,Addendum!D:D,IF(ISNUMBER(B654),TEXT(B654,"0000"),B654),Addendum!I:I,"X")&gt;0,10%,0)</f>
        <v>0</v>
      </c>
      <c r="M654" s="34">
        <f t="shared" si="20"/>
        <v>0</v>
      </c>
      <c r="N654" s="17">
        <f t="shared" si="21"/>
        <v>866556.6</v>
      </c>
    </row>
    <row r="655" spans="1:14" x14ac:dyDescent="0.25">
      <c r="A655" s="14" t="s">
        <v>1852</v>
      </c>
      <c r="B655" s="14">
        <v>72</v>
      </c>
      <c r="C655" s="15" t="s">
        <v>2024</v>
      </c>
      <c r="D655" s="14" t="s">
        <v>1745</v>
      </c>
      <c r="E655" s="14" t="s">
        <v>1746</v>
      </c>
      <c r="F655" s="17" t="s">
        <v>2994</v>
      </c>
      <c r="G655" s="14">
        <v>12998349</v>
      </c>
      <c r="H655" s="14">
        <v>9098844</v>
      </c>
      <c r="I655" s="31">
        <f>IF(COUNTIFS(Addendum!C:C,A655,Addendum!D:D,IF(ISNUMBER(B655),TEXT(B655,"0000"),B655),Addendum!E:E,"X")&gt;0,4%,0)</f>
        <v>0</v>
      </c>
      <c r="J655" s="31">
        <f>IF(COUNTIFS(Addendum!C:C,A655,Addendum!D:D,IF(ISNUMBER(B655),TEXT(B655,"0000"),B655),Addendum!F:F,"X")&gt;0,2.5%,0)</f>
        <v>0</v>
      </c>
      <c r="K655" s="31">
        <f>IF(COUNTIFS(Addendum!C:C,A655,Addendum!D:D,IF(ISNUMBER(B655),TEXT(B655,"0000"),B655),Addendum!G:G,"X")&gt;0,7%,0)</f>
        <v>0</v>
      </c>
      <c r="L655" s="31">
        <f>IF(COUNTIFS(Addendum!C:C,A655,Addendum!D:D,IF(ISNUMBER(B655),TEXT(B655,"0000"),B655),Addendum!I:I,"X")&gt;0,10%,0)</f>
        <v>0</v>
      </c>
      <c r="M655" s="34">
        <f t="shared" si="20"/>
        <v>0</v>
      </c>
      <c r="N655" s="17">
        <f t="shared" si="21"/>
        <v>9098844</v>
      </c>
    </row>
    <row r="656" spans="1:14" x14ac:dyDescent="0.25">
      <c r="A656" s="14" t="s">
        <v>1852</v>
      </c>
      <c r="B656" s="14" t="s">
        <v>46</v>
      </c>
      <c r="C656" s="15" t="s">
        <v>1866</v>
      </c>
      <c r="D656" s="14" t="s">
        <v>1749</v>
      </c>
      <c r="E656" s="14" t="s">
        <v>1746</v>
      </c>
      <c r="F656" s="17" t="s">
        <v>2993</v>
      </c>
      <c r="G656" s="14">
        <v>1447590</v>
      </c>
      <c r="H656" s="14">
        <v>1013313</v>
      </c>
      <c r="I656" s="31">
        <f>IF(COUNTIFS(Addendum!C:C,A656,Addendum!D:D,IF(ISNUMBER(B656),TEXT(B656,"0000"),B656),Addendum!E:E,"X")&gt;0,4%,0)</f>
        <v>0</v>
      </c>
      <c r="J656" s="31">
        <f>IF(COUNTIFS(Addendum!C:C,A656,Addendum!D:D,IF(ISNUMBER(B656),TEXT(B656,"0000"),B656),Addendum!F:F,"X")&gt;0,2.5%,0)</f>
        <v>0</v>
      </c>
      <c r="K656" s="31">
        <f>IF(COUNTIFS(Addendum!C:C,A656,Addendum!D:D,IF(ISNUMBER(B656),TEXT(B656,"0000"),B656),Addendum!G:G,"X")&gt;0,7%,0)</f>
        <v>0</v>
      </c>
      <c r="L656" s="31">
        <f>IF(COUNTIFS(Addendum!C:C,A656,Addendum!D:D,IF(ISNUMBER(B656),TEXT(B656,"0000"),B656),Addendum!I:I,"X")&gt;0,10%,0)</f>
        <v>0</v>
      </c>
      <c r="M656" s="34">
        <f t="shared" si="20"/>
        <v>0</v>
      </c>
      <c r="N656" s="17">
        <f t="shared" si="21"/>
        <v>1013313</v>
      </c>
    </row>
    <row r="657" spans="1:14" x14ac:dyDescent="0.25">
      <c r="A657" s="14" t="s">
        <v>1852</v>
      </c>
      <c r="B657" s="14" t="s">
        <v>1643</v>
      </c>
      <c r="C657" s="15" t="s">
        <v>1853</v>
      </c>
      <c r="D657" s="14" t="s">
        <v>1745</v>
      </c>
      <c r="E657" s="14" t="s">
        <v>1747</v>
      </c>
      <c r="F657" s="17" t="s">
        <v>2995</v>
      </c>
      <c r="G657" s="14">
        <v>149760</v>
      </c>
      <c r="H657" s="14">
        <v>134784</v>
      </c>
      <c r="I657" s="31">
        <f>IF(COUNTIFS(Addendum!C:C,A657,Addendum!D:D,IF(ISNUMBER(B657),TEXT(B657,"0000"),B657),Addendum!E:E,"X")&gt;0,4%,0)</f>
        <v>0</v>
      </c>
      <c r="J657" s="31">
        <f>IF(COUNTIFS(Addendum!C:C,A657,Addendum!D:D,IF(ISNUMBER(B657),TEXT(B657,"0000"),B657),Addendum!F:F,"X")&gt;0,2.5%,0)</f>
        <v>0</v>
      </c>
      <c r="K657" s="31">
        <f>IF(COUNTIFS(Addendum!C:C,A657,Addendum!D:D,IF(ISNUMBER(B657),TEXT(B657,"0000"),B657),Addendum!G:G,"X")&gt;0,7%,0)</f>
        <v>0</v>
      </c>
      <c r="L657" s="31">
        <f>IF(COUNTIFS(Addendum!C:C,A657,Addendum!D:D,IF(ISNUMBER(B657),TEXT(B657,"0000"),B657),Addendum!I:I,"X")&gt;0,10%,0)</f>
        <v>0</v>
      </c>
      <c r="M657" s="34">
        <f t="shared" si="20"/>
        <v>0</v>
      </c>
      <c r="N657" s="17">
        <f t="shared" si="21"/>
        <v>134784</v>
      </c>
    </row>
    <row r="658" spans="1:14" x14ac:dyDescent="0.25">
      <c r="A658" s="14" t="s">
        <v>1852</v>
      </c>
      <c r="B658" s="14" t="s">
        <v>1555</v>
      </c>
      <c r="C658" s="15" t="s">
        <v>2018</v>
      </c>
      <c r="D658" s="14" t="s">
        <v>1745</v>
      </c>
      <c r="E658" s="14" t="s">
        <v>1747</v>
      </c>
      <c r="F658" s="17" t="s">
        <v>2994</v>
      </c>
      <c r="G658" s="14">
        <v>199680</v>
      </c>
      <c r="H658" s="14">
        <v>139776</v>
      </c>
      <c r="I658" s="31">
        <f>IF(COUNTIFS(Addendum!C:C,A658,Addendum!D:D,IF(ISNUMBER(B658),TEXT(B658,"0000"),B658),Addendum!E:E,"X")&gt;0,4%,0)</f>
        <v>0</v>
      </c>
      <c r="J658" s="31">
        <f>IF(COUNTIFS(Addendum!C:C,A658,Addendum!D:D,IF(ISNUMBER(B658),TEXT(B658,"0000"),B658),Addendum!F:F,"X")&gt;0,2.5%,0)</f>
        <v>0</v>
      </c>
      <c r="K658" s="31">
        <f>IF(COUNTIFS(Addendum!C:C,A658,Addendum!D:D,IF(ISNUMBER(B658),TEXT(B658,"0000"),B658),Addendum!G:G,"X")&gt;0,7%,0)</f>
        <v>0</v>
      </c>
      <c r="L658" s="31">
        <f>IF(COUNTIFS(Addendum!C:C,A658,Addendum!D:D,IF(ISNUMBER(B658),TEXT(B658,"0000"),B658),Addendum!I:I,"X")&gt;0,10%,0)</f>
        <v>0</v>
      </c>
      <c r="M658" s="34">
        <f t="shared" si="20"/>
        <v>0</v>
      </c>
      <c r="N658" s="17">
        <f t="shared" si="21"/>
        <v>139776</v>
      </c>
    </row>
    <row r="659" spans="1:14" x14ac:dyDescent="0.25">
      <c r="A659" s="14" t="s">
        <v>1852</v>
      </c>
      <c r="B659" s="14">
        <v>4</v>
      </c>
      <c r="C659" s="15" t="s">
        <v>1886</v>
      </c>
      <c r="D659" s="14" t="s">
        <v>1749</v>
      </c>
      <c r="E659" s="14" t="s">
        <v>1746</v>
      </c>
      <c r="F659" s="17" t="s">
        <v>2993</v>
      </c>
      <c r="G659" s="14">
        <v>49914</v>
      </c>
      <c r="H659" s="14">
        <v>34939.800000000003</v>
      </c>
      <c r="I659" s="31">
        <f>IF(COUNTIFS(Addendum!C:C,A659,Addendum!D:D,IF(ISNUMBER(B659),TEXT(B659,"0000"),B659),Addendum!E:E,"X")&gt;0,4%,0)</f>
        <v>0</v>
      </c>
      <c r="J659" s="31">
        <f>IF(COUNTIFS(Addendum!C:C,A659,Addendum!D:D,IF(ISNUMBER(B659),TEXT(B659,"0000"),B659),Addendum!F:F,"X")&gt;0,2.5%,0)</f>
        <v>0</v>
      </c>
      <c r="K659" s="31">
        <f>IF(COUNTIFS(Addendum!C:C,A659,Addendum!D:D,IF(ISNUMBER(B659),TEXT(B659,"0000"),B659),Addendum!G:G,"X")&gt;0,7%,0)</f>
        <v>0</v>
      </c>
      <c r="L659" s="31">
        <f>IF(COUNTIFS(Addendum!C:C,A659,Addendum!D:D,IF(ISNUMBER(B659),TEXT(B659,"0000"),B659),Addendum!I:I,"X")&gt;0,10%,0)</f>
        <v>0</v>
      </c>
      <c r="M659" s="34">
        <f t="shared" si="20"/>
        <v>0</v>
      </c>
      <c r="N659" s="17">
        <f t="shared" si="21"/>
        <v>34939.800000000003</v>
      </c>
    </row>
    <row r="660" spans="1:14" x14ac:dyDescent="0.25">
      <c r="A660" s="14" t="s">
        <v>1852</v>
      </c>
      <c r="B660" s="14">
        <v>53</v>
      </c>
      <c r="C660" s="15" t="s">
        <v>2005</v>
      </c>
      <c r="D660" s="14" t="s">
        <v>1745</v>
      </c>
      <c r="E660" s="14" t="s">
        <v>1746</v>
      </c>
      <c r="F660" s="17" t="s">
        <v>2995</v>
      </c>
      <c r="G660" s="14">
        <v>157248</v>
      </c>
      <c r="H660" s="14">
        <v>141523.20000000001</v>
      </c>
      <c r="I660" s="31">
        <f>IF(COUNTIFS(Addendum!C:C,A660,Addendum!D:D,IF(ISNUMBER(B660),TEXT(B660,"0000"),B660),Addendum!E:E,"X")&gt;0,4%,0)</f>
        <v>0</v>
      </c>
      <c r="J660" s="31">
        <f>IF(COUNTIFS(Addendum!C:C,A660,Addendum!D:D,IF(ISNUMBER(B660),TEXT(B660,"0000"),B660),Addendum!F:F,"X")&gt;0,2.5%,0)</f>
        <v>0</v>
      </c>
      <c r="K660" s="31">
        <f>IF(COUNTIFS(Addendum!C:C,A660,Addendum!D:D,IF(ISNUMBER(B660),TEXT(B660,"0000"),B660),Addendum!G:G,"X")&gt;0,7%,0)</f>
        <v>0</v>
      </c>
      <c r="L660" s="31">
        <f>IF(COUNTIFS(Addendum!C:C,A660,Addendum!D:D,IF(ISNUMBER(B660),TEXT(B660,"0000"),B660),Addendum!I:I,"X")&gt;0,10%,0)</f>
        <v>0</v>
      </c>
      <c r="M660" s="34">
        <f t="shared" si="20"/>
        <v>0</v>
      </c>
      <c r="N660" s="17">
        <f t="shared" si="21"/>
        <v>141523.20000000001</v>
      </c>
    </row>
    <row r="661" spans="1:14" x14ac:dyDescent="0.25">
      <c r="A661" s="14" t="s">
        <v>1850</v>
      </c>
      <c r="B661" s="14" t="s">
        <v>29</v>
      </c>
      <c r="C661" s="15" t="s">
        <v>2017</v>
      </c>
      <c r="D661" s="14" t="s">
        <v>1745</v>
      </c>
      <c r="E661" s="14" t="s">
        <v>1747</v>
      </c>
      <c r="F661" s="17" t="s">
        <v>2994</v>
      </c>
      <c r="G661" s="14">
        <v>115320</v>
      </c>
      <c r="H661" s="14">
        <v>80724</v>
      </c>
      <c r="I661" s="31">
        <f>IF(COUNTIFS(Addendum!C:C,A661,Addendum!D:D,IF(ISNUMBER(B661),TEXT(B661,"0000"),B661),Addendum!E:E,"X")&gt;0,4%,0)</f>
        <v>0</v>
      </c>
      <c r="J661" s="31">
        <f>IF(COUNTIFS(Addendum!C:C,A661,Addendum!D:D,IF(ISNUMBER(B661),TEXT(B661,"0000"),B661),Addendum!F:F,"X")&gt;0,2.5%,0)</f>
        <v>0</v>
      </c>
      <c r="K661" s="31">
        <f>IF(COUNTIFS(Addendum!C:C,A661,Addendum!D:D,IF(ISNUMBER(B661),TEXT(B661,"0000"),B661),Addendum!G:G,"X")&gt;0,7%,0)</f>
        <v>0</v>
      </c>
      <c r="L661" s="31">
        <f>IF(COUNTIFS(Addendum!C:C,A661,Addendum!D:D,IF(ISNUMBER(B661),TEXT(B661,"0000"),B661),Addendum!I:I,"X")&gt;0,10%,0)</f>
        <v>0</v>
      </c>
      <c r="M661" s="34">
        <f t="shared" si="20"/>
        <v>0</v>
      </c>
      <c r="N661" s="17">
        <f t="shared" si="21"/>
        <v>80724</v>
      </c>
    </row>
    <row r="662" spans="1:14" x14ac:dyDescent="0.25">
      <c r="A662" s="14" t="s">
        <v>1852</v>
      </c>
      <c r="B662" s="14" t="s">
        <v>1639</v>
      </c>
      <c r="C662" s="15" t="s">
        <v>1959</v>
      </c>
      <c r="D662" s="14" t="s">
        <v>1749</v>
      </c>
      <c r="E662" s="14" t="s">
        <v>1746</v>
      </c>
      <c r="F662" s="17" t="s">
        <v>2994</v>
      </c>
      <c r="G662" s="14">
        <v>796176</v>
      </c>
      <c r="H662" s="14">
        <v>557323.19999999995</v>
      </c>
      <c r="I662" s="31">
        <f>IF(COUNTIFS(Addendum!C:C,A662,Addendum!D:D,IF(ISNUMBER(B662),TEXT(B662,"0000"),B662),Addendum!E:E,"X")&gt;0,4%,0)</f>
        <v>0</v>
      </c>
      <c r="J662" s="31">
        <f>IF(COUNTIFS(Addendum!C:C,A662,Addendum!D:D,IF(ISNUMBER(B662),TEXT(B662,"0000"),B662),Addendum!F:F,"X")&gt;0,2.5%,0)</f>
        <v>0</v>
      </c>
      <c r="K662" s="31">
        <f>IF(COUNTIFS(Addendum!C:C,A662,Addendum!D:D,IF(ISNUMBER(B662),TEXT(B662,"0000"),B662),Addendum!G:G,"X")&gt;0,7%,0)</f>
        <v>0</v>
      </c>
      <c r="L662" s="31">
        <f>IF(COUNTIFS(Addendum!C:C,A662,Addendum!D:D,IF(ISNUMBER(B662),TEXT(B662,"0000"),B662),Addendum!I:I,"X")&gt;0,10%,0)</f>
        <v>0</v>
      </c>
      <c r="M662" s="34">
        <f t="shared" si="20"/>
        <v>0</v>
      </c>
      <c r="N662" s="17">
        <f t="shared" si="21"/>
        <v>557323.19999999995</v>
      </c>
    </row>
    <row r="663" spans="1:14" x14ac:dyDescent="0.25">
      <c r="A663" s="14" t="s">
        <v>1852</v>
      </c>
      <c r="B663" s="14" t="s">
        <v>1961</v>
      </c>
      <c r="C663" s="15" t="s">
        <v>1962</v>
      </c>
      <c r="D663" s="14" t="s">
        <v>1749</v>
      </c>
      <c r="E663" s="14" t="s">
        <v>1746</v>
      </c>
      <c r="F663" s="17" t="s">
        <v>2994</v>
      </c>
      <c r="G663" s="14">
        <v>579036</v>
      </c>
      <c r="H663" s="14">
        <v>405325.2</v>
      </c>
      <c r="I663" s="31">
        <f>IF(COUNTIFS(Addendum!C:C,A663,Addendum!D:D,IF(ISNUMBER(B663),TEXT(B663,"0000"),B663),Addendum!E:E,"X")&gt;0,4%,0)</f>
        <v>0</v>
      </c>
      <c r="J663" s="31">
        <f>IF(COUNTIFS(Addendum!C:C,A663,Addendum!D:D,IF(ISNUMBER(B663),TEXT(B663,"0000"),B663),Addendum!F:F,"X")&gt;0,2.5%,0)</f>
        <v>0</v>
      </c>
      <c r="K663" s="31">
        <f>IF(COUNTIFS(Addendum!C:C,A663,Addendum!D:D,IF(ISNUMBER(B663),TEXT(B663,"0000"),B663),Addendum!G:G,"X")&gt;0,7%,0)</f>
        <v>0</v>
      </c>
      <c r="L663" s="31">
        <f>IF(COUNTIFS(Addendum!C:C,A663,Addendum!D:D,IF(ISNUMBER(B663),TEXT(B663,"0000"),B663),Addendum!I:I,"X")&gt;0,10%,0)</f>
        <v>0</v>
      </c>
      <c r="M663" s="34">
        <f t="shared" si="20"/>
        <v>0</v>
      </c>
      <c r="N663" s="17">
        <f t="shared" si="21"/>
        <v>405325.2</v>
      </c>
    </row>
    <row r="664" spans="1:14" x14ac:dyDescent="0.25">
      <c r="A664" s="14" t="s">
        <v>1852</v>
      </c>
      <c r="B664" s="14" t="s">
        <v>1655</v>
      </c>
      <c r="C664" s="15" t="s">
        <v>1933</v>
      </c>
      <c r="D664" s="14" t="s">
        <v>1749</v>
      </c>
      <c r="E664" s="14" t="s">
        <v>1746</v>
      </c>
      <c r="F664" s="17" t="s">
        <v>2994</v>
      </c>
      <c r="G664" s="14">
        <v>19968</v>
      </c>
      <c r="H664" s="14">
        <v>13977.6</v>
      </c>
      <c r="I664" s="31">
        <f>IF(COUNTIFS(Addendum!C:C,A664,Addendum!D:D,IF(ISNUMBER(B664),TEXT(B664,"0000"),B664),Addendum!E:E,"X")&gt;0,4%,0)</f>
        <v>0</v>
      </c>
      <c r="J664" s="31">
        <f>IF(COUNTIFS(Addendum!C:C,A664,Addendum!D:D,IF(ISNUMBER(B664),TEXT(B664,"0000"),B664),Addendum!F:F,"X")&gt;0,2.5%,0)</f>
        <v>0</v>
      </c>
      <c r="K664" s="31">
        <f>IF(COUNTIFS(Addendum!C:C,A664,Addendum!D:D,IF(ISNUMBER(B664),TEXT(B664,"0000"),B664),Addendum!G:G,"X")&gt;0,7%,0)</f>
        <v>0</v>
      </c>
      <c r="L664" s="31">
        <f>IF(COUNTIFS(Addendum!C:C,A664,Addendum!D:D,IF(ISNUMBER(B664),TEXT(B664,"0000"),B664),Addendum!I:I,"X")&gt;0,10%,0)</f>
        <v>0</v>
      </c>
      <c r="M664" s="34">
        <f t="shared" si="20"/>
        <v>0</v>
      </c>
      <c r="N664" s="17">
        <f t="shared" si="21"/>
        <v>13977.6</v>
      </c>
    </row>
    <row r="665" spans="1:14" x14ac:dyDescent="0.25">
      <c r="A665" s="14" t="s">
        <v>1852</v>
      </c>
      <c r="B665" s="14" t="s">
        <v>405</v>
      </c>
      <c r="C665" s="15" t="s">
        <v>1965</v>
      </c>
      <c r="D665" s="14" t="s">
        <v>1749</v>
      </c>
      <c r="E665" s="14" t="s">
        <v>1746</v>
      </c>
      <c r="F665" s="17" t="s">
        <v>2994</v>
      </c>
      <c r="G665" s="14">
        <v>796176</v>
      </c>
      <c r="H665" s="14">
        <v>557323.19999999995</v>
      </c>
      <c r="I665" s="31">
        <f>IF(COUNTIFS(Addendum!C:C,A665,Addendum!D:D,IF(ISNUMBER(B665),TEXT(B665,"0000"),B665),Addendum!E:E,"X")&gt;0,4%,0)</f>
        <v>0</v>
      </c>
      <c r="J665" s="31">
        <f>IF(COUNTIFS(Addendum!C:C,A665,Addendum!D:D,IF(ISNUMBER(B665),TEXT(B665,"0000"),B665),Addendum!F:F,"X")&gt;0,2.5%,0)</f>
        <v>0</v>
      </c>
      <c r="K665" s="31">
        <f>IF(COUNTIFS(Addendum!C:C,A665,Addendum!D:D,IF(ISNUMBER(B665),TEXT(B665,"0000"),B665),Addendum!G:G,"X")&gt;0,7%,0)</f>
        <v>0</v>
      </c>
      <c r="L665" s="31">
        <f>IF(COUNTIFS(Addendum!C:C,A665,Addendum!D:D,IF(ISNUMBER(B665),TEXT(B665,"0000"),B665),Addendum!I:I,"X")&gt;0,10%,0)</f>
        <v>0</v>
      </c>
      <c r="M665" s="34">
        <f t="shared" si="20"/>
        <v>0</v>
      </c>
      <c r="N665" s="17">
        <f t="shared" si="21"/>
        <v>557323.19999999995</v>
      </c>
    </row>
    <row r="666" spans="1:14" x14ac:dyDescent="0.25">
      <c r="A666" s="14" t="s">
        <v>1852</v>
      </c>
      <c r="B666" s="14" t="s">
        <v>1540</v>
      </c>
      <c r="C666" s="15" t="s">
        <v>2022</v>
      </c>
      <c r="D666" s="14" t="s">
        <v>1745</v>
      </c>
      <c r="E666" s="14" t="s">
        <v>1746</v>
      </c>
      <c r="F666" s="17" t="s">
        <v>2994</v>
      </c>
      <c r="G666" s="14">
        <v>209664</v>
      </c>
      <c r="H666" s="14">
        <v>146764.79999999999</v>
      </c>
      <c r="I666" s="31">
        <f>IF(COUNTIFS(Addendum!C:C,A666,Addendum!D:D,IF(ISNUMBER(B666),TEXT(B666,"0000"),B666),Addendum!E:E,"X")&gt;0,4%,0)</f>
        <v>0</v>
      </c>
      <c r="J666" s="31">
        <f>IF(COUNTIFS(Addendum!C:C,A666,Addendum!D:D,IF(ISNUMBER(B666),TEXT(B666,"0000"),B666),Addendum!F:F,"X")&gt;0,2.5%,0)</f>
        <v>0</v>
      </c>
      <c r="K666" s="31">
        <f>IF(COUNTIFS(Addendum!C:C,A666,Addendum!D:D,IF(ISNUMBER(B666),TEXT(B666,"0000"),B666),Addendum!G:G,"X")&gt;0,7%,0)</f>
        <v>0</v>
      </c>
      <c r="L666" s="31">
        <f>IF(COUNTIFS(Addendum!C:C,A666,Addendum!D:D,IF(ISNUMBER(B666),TEXT(B666,"0000"),B666),Addendum!I:I,"X")&gt;0,10%,0)</f>
        <v>0</v>
      </c>
      <c r="M666" s="34">
        <f t="shared" si="20"/>
        <v>0</v>
      </c>
      <c r="N666" s="17">
        <f t="shared" si="21"/>
        <v>146764.79999999999</v>
      </c>
    </row>
    <row r="667" spans="1:14" x14ac:dyDescent="0.25">
      <c r="A667" s="14" t="s">
        <v>1852</v>
      </c>
      <c r="B667" s="14" t="s">
        <v>1683</v>
      </c>
      <c r="C667" s="15" t="s">
        <v>2025</v>
      </c>
      <c r="D667" s="14" t="s">
        <v>1745</v>
      </c>
      <c r="E667" s="14" t="s">
        <v>1746</v>
      </c>
      <c r="F667" s="17" t="s">
        <v>2995</v>
      </c>
      <c r="G667" s="14">
        <v>157248</v>
      </c>
      <c r="H667" s="14">
        <v>141523.20000000001</v>
      </c>
      <c r="I667" s="31">
        <f>IF(COUNTIFS(Addendum!C:C,A667,Addendum!D:D,IF(ISNUMBER(B667),TEXT(B667,"0000"),B667),Addendum!E:E,"X")&gt;0,4%,0)</f>
        <v>0</v>
      </c>
      <c r="J667" s="31">
        <f>IF(COUNTIFS(Addendum!C:C,A667,Addendum!D:D,IF(ISNUMBER(B667),TEXT(B667,"0000"),B667),Addendum!F:F,"X")&gt;0,2.5%,0)</f>
        <v>0</v>
      </c>
      <c r="K667" s="31">
        <f>IF(COUNTIFS(Addendum!C:C,A667,Addendum!D:D,IF(ISNUMBER(B667),TEXT(B667,"0000"),B667),Addendum!G:G,"X")&gt;0,7%,0)</f>
        <v>0</v>
      </c>
      <c r="L667" s="31">
        <f>IF(COUNTIFS(Addendum!C:C,A667,Addendum!D:D,IF(ISNUMBER(B667),TEXT(B667,"0000"),B667),Addendum!I:I,"X")&gt;0,10%,0)</f>
        <v>0</v>
      </c>
      <c r="M667" s="34">
        <f t="shared" si="20"/>
        <v>0</v>
      </c>
      <c r="N667" s="17">
        <f t="shared" si="21"/>
        <v>141523.20000000001</v>
      </c>
    </row>
    <row r="668" spans="1:14" x14ac:dyDescent="0.25">
      <c r="A668" s="14" t="s">
        <v>1852</v>
      </c>
      <c r="B668" s="14">
        <v>60</v>
      </c>
      <c r="C668" s="15" t="s">
        <v>2007</v>
      </c>
      <c r="D668" s="14" t="s">
        <v>1745</v>
      </c>
      <c r="E668" s="14" t="s">
        <v>1747</v>
      </c>
      <c r="F668" s="17" t="s">
        <v>2994</v>
      </c>
      <c r="G668" s="14">
        <v>274560</v>
      </c>
      <c r="H668" s="14">
        <v>192192</v>
      </c>
      <c r="I668" s="31">
        <f>IF(COUNTIFS(Addendum!C:C,A668,Addendum!D:D,IF(ISNUMBER(B668),TEXT(B668,"0000"),B668),Addendum!E:E,"X")&gt;0,4%,0)</f>
        <v>0</v>
      </c>
      <c r="J668" s="31">
        <f>IF(COUNTIFS(Addendum!C:C,A668,Addendum!D:D,IF(ISNUMBER(B668),TEXT(B668,"0000"),B668),Addendum!F:F,"X")&gt;0,2.5%,0)</f>
        <v>0</v>
      </c>
      <c r="K668" s="31">
        <f>IF(COUNTIFS(Addendum!C:C,A668,Addendum!D:D,IF(ISNUMBER(B668),TEXT(B668,"0000"),B668),Addendum!G:G,"X")&gt;0,7%,0)</f>
        <v>0</v>
      </c>
      <c r="L668" s="31">
        <f>IF(COUNTIFS(Addendum!C:C,A668,Addendum!D:D,IF(ISNUMBER(B668),TEXT(B668,"0000"),B668),Addendum!I:I,"X")&gt;0,10%,0)</f>
        <v>0</v>
      </c>
      <c r="M668" s="34">
        <f t="shared" si="20"/>
        <v>0</v>
      </c>
      <c r="N668" s="17">
        <f t="shared" si="21"/>
        <v>192192</v>
      </c>
    </row>
    <row r="669" spans="1:14" x14ac:dyDescent="0.25">
      <c r="A669" s="14" t="s">
        <v>1852</v>
      </c>
      <c r="B669" s="14" t="s">
        <v>1966</v>
      </c>
      <c r="C669" s="15" t="s">
        <v>1967</v>
      </c>
      <c r="D669" s="14" t="s">
        <v>1749</v>
      </c>
      <c r="E669" s="14" t="s">
        <v>1746</v>
      </c>
      <c r="F669" s="17" t="s">
        <v>2995</v>
      </c>
      <c r="G669" s="14">
        <v>434274</v>
      </c>
      <c r="H669" s="14">
        <v>390846.6</v>
      </c>
      <c r="I669" s="31">
        <f>IF(COUNTIFS(Addendum!C:C,A669,Addendum!D:D,IF(ISNUMBER(B669),TEXT(B669,"0000"),B669),Addendum!E:E,"X")&gt;0,4%,0)</f>
        <v>0</v>
      </c>
      <c r="J669" s="31">
        <f>IF(COUNTIFS(Addendum!C:C,A669,Addendum!D:D,IF(ISNUMBER(B669),TEXT(B669,"0000"),B669),Addendum!F:F,"X")&gt;0,2.5%,0)</f>
        <v>0</v>
      </c>
      <c r="K669" s="31">
        <f>IF(COUNTIFS(Addendum!C:C,A669,Addendum!D:D,IF(ISNUMBER(B669),TEXT(B669,"0000"),B669),Addendum!G:G,"X")&gt;0,7%,0)</f>
        <v>0</v>
      </c>
      <c r="L669" s="31">
        <f>IF(COUNTIFS(Addendum!C:C,A669,Addendum!D:D,IF(ISNUMBER(B669),TEXT(B669,"0000"),B669),Addendum!I:I,"X")&gt;0,10%,0)</f>
        <v>0</v>
      </c>
      <c r="M669" s="34">
        <f t="shared" si="20"/>
        <v>0</v>
      </c>
      <c r="N669" s="17">
        <f t="shared" si="21"/>
        <v>390846.6</v>
      </c>
    </row>
    <row r="670" spans="1:14" x14ac:dyDescent="0.25">
      <c r="A670" s="14" t="s">
        <v>1852</v>
      </c>
      <c r="B670" s="14" t="s">
        <v>1569</v>
      </c>
      <c r="C670" s="15" t="s">
        <v>1897</v>
      </c>
      <c r="D670" s="14" t="s">
        <v>1749</v>
      </c>
      <c r="E670" s="14" t="s">
        <v>1746</v>
      </c>
      <c r="F670" s="17" t="s">
        <v>2995</v>
      </c>
      <c r="G670" s="14">
        <v>14976</v>
      </c>
      <c r="H670" s="14">
        <v>13478.4</v>
      </c>
      <c r="I670" s="31">
        <f>IF(COUNTIFS(Addendum!C:C,A670,Addendum!D:D,IF(ISNUMBER(B670),TEXT(B670,"0000"),B670),Addendum!E:E,"X")&gt;0,4%,0)</f>
        <v>0</v>
      </c>
      <c r="J670" s="31">
        <f>IF(COUNTIFS(Addendum!C:C,A670,Addendum!D:D,IF(ISNUMBER(B670),TEXT(B670,"0000"),B670),Addendum!F:F,"X")&gt;0,2.5%,0)</f>
        <v>0</v>
      </c>
      <c r="K670" s="31">
        <f>IF(COUNTIFS(Addendum!C:C,A670,Addendum!D:D,IF(ISNUMBER(B670),TEXT(B670,"0000"),B670),Addendum!G:G,"X")&gt;0,7%,0)</f>
        <v>0</v>
      </c>
      <c r="L670" s="31">
        <f>IF(COUNTIFS(Addendum!C:C,A670,Addendum!D:D,IF(ISNUMBER(B670),TEXT(B670,"0000"),B670),Addendum!I:I,"X")&gt;0,10%,0)</f>
        <v>0</v>
      </c>
      <c r="M670" s="34">
        <f t="shared" si="20"/>
        <v>0</v>
      </c>
      <c r="N670" s="17">
        <f t="shared" si="21"/>
        <v>13478.4</v>
      </c>
    </row>
    <row r="671" spans="1:14" x14ac:dyDescent="0.25">
      <c r="A671" s="14" t="s">
        <v>1852</v>
      </c>
      <c r="B671" s="14" t="s">
        <v>1976</v>
      </c>
      <c r="C671" s="15" t="s">
        <v>1977</v>
      </c>
      <c r="D671" s="14" t="s">
        <v>1745</v>
      </c>
      <c r="E671" s="14" t="s">
        <v>1747</v>
      </c>
      <c r="F671" s="17" t="s">
        <v>2994</v>
      </c>
      <c r="G671" s="14">
        <v>17021640</v>
      </c>
      <c r="H671" s="14">
        <v>11915148</v>
      </c>
      <c r="I671" s="31">
        <f>IF(COUNTIFS(Addendum!C:C,A671,Addendum!D:D,IF(ISNUMBER(B671),TEXT(B671,"0000"),B671),Addendum!E:E,"X")&gt;0,4%,0)</f>
        <v>0</v>
      </c>
      <c r="J671" s="31">
        <f>IF(COUNTIFS(Addendum!C:C,A671,Addendum!D:D,IF(ISNUMBER(B671),TEXT(B671,"0000"),B671),Addendum!F:F,"X")&gt;0,2.5%,0)</f>
        <v>0</v>
      </c>
      <c r="K671" s="31">
        <f>IF(COUNTIFS(Addendum!C:C,A671,Addendum!D:D,IF(ISNUMBER(B671),TEXT(B671,"0000"),B671),Addendum!G:G,"X")&gt;0,7%,0)</f>
        <v>0</v>
      </c>
      <c r="L671" s="31">
        <f>IF(COUNTIFS(Addendum!C:C,A671,Addendum!D:D,IF(ISNUMBER(B671),TEXT(B671,"0000"),B671),Addendum!I:I,"X")&gt;0,10%,0)</f>
        <v>0</v>
      </c>
      <c r="M671" s="34">
        <f t="shared" si="20"/>
        <v>0</v>
      </c>
      <c r="N671" s="17">
        <f t="shared" si="21"/>
        <v>11915148</v>
      </c>
    </row>
    <row r="672" spans="1:14" x14ac:dyDescent="0.25">
      <c r="A672" s="14" t="s">
        <v>1852</v>
      </c>
      <c r="B672" s="14" t="s">
        <v>420</v>
      </c>
      <c r="C672" s="15" t="s">
        <v>1983</v>
      </c>
      <c r="D672" s="14" t="s">
        <v>1749</v>
      </c>
      <c r="E672" s="14" t="s">
        <v>1746</v>
      </c>
      <c r="F672" s="17" t="s">
        <v>2994</v>
      </c>
      <c r="G672" s="14">
        <v>1702164</v>
      </c>
      <c r="H672" s="14">
        <v>1191515</v>
      </c>
      <c r="I672" s="31">
        <f>IF(COUNTIFS(Addendum!C:C,A672,Addendum!D:D,IF(ISNUMBER(B672),TEXT(B672,"0000"),B672),Addendum!E:E,"X")&gt;0,4%,0)</f>
        <v>0</v>
      </c>
      <c r="J672" s="31">
        <f>IF(COUNTIFS(Addendum!C:C,A672,Addendum!D:D,IF(ISNUMBER(B672),TEXT(B672,"0000"),B672),Addendum!F:F,"X")&gt;0,2.5%,0)</f>
        <v>0</v>
      </c>
      <c r="K672" s="31">
        <f>IF(COUNTIFS(Addendum!C:C,A672,Addendum!D:D,IF(ISNUMBER(B672),TEXT(B672,"0000"),B672),Addendum!G:G,"X")&gt;0,7%,0)</f>
        <v>0</v>
      </c>
      <c r="L672" s="31">
        <f>IF(COUNTIFS(Addendum!C:C,A672,Addendum!D:D,IF(ISNUMBER(B672),TEXT(B672,"0000"),B672),Addendum!I:I,"X")&gt;0,10%,0)</f>
        <v>0</v>
      </c>
      <c r="M672" s="34">
        <f t="shared" si="20"/>
        <v>0</v>
      </c>
      <c r="N672" s="17">
        <f t="shared" si="21"/>
        <v>1191515</v>
      </c>
    </row>
    <row r="673" spans="1:14" x14ac:dyDescent="0.25">
      <c r="A673" s="14" t="s">
        <v>1852</v>
      </c>
      <c r="B673" s="14" t="s">
        <v>1669</v>
      </c>
      <c r="C673" s="15" t="s">
        <v>1879</v>
      </c>
      <c r="D673" s="14" t="s">
        <v>1745</v>
      </c>
      <c r="E673" s="14" t="s">
        <v>1746</v>
      </c>
      <c r="F673" s="17" t="s">
        <v>2994</v>
      </c>
      <c r="G673" s="14">
        <v>209664</v>
      </c>
      <c r="H673" s="14">
        <v>146764.79999999999</v>
      </c>
      <c r="I673" s="31">
        <f>IF(COUNTIFS(Addendum!C:C,A673,Addendum!D:D,IF(ISNUMBER(B673),TEXT(B673,"0000"),B673),Addendum!E:E,"X")&gt;0,4%,0)</f>
        <v>0</v>
      </c>
      <c r="J673" s="31">
        <f>IF(COUNTIFS(Addendum!C:C,A673,Addendum!D:D,IF(ISNUMBER(B673),TEXT(B673,"0000"),B673),Addendum!F:F,"X")&gt;0,2.5%,0)</f>
        <v>0</v>
      </c>
      <c r="K673" s="31">
        <f>IF(COUNTIFS(Addendum!C:C,A673,Addendum!D:D,IF(ISNUMBER(B673),TEXT(B673,"0000"),B673),Addendum!G:G,"X")&gt;0,7%,0)</f>
        <v>0</v>
      </c>
      <c r="L673" s="31">
        <f>IF(COUNTIFS(Addendum!C:C,A673,Addendum!D:D,IF(ISNUMBER(B673),TEXT(B673,"0000"),B673),Addendum!I:I,"X")&gt;0,10%,0)</f>
        <v>0</v>
      </c>
      <c r="M673" s="34">
        <f t="shared" si="20"/>
        <v>0</v>
      </c>
      <c r="N673" s="17">
        <f t="shared" si="21"/>
        <v>146764.79999999999</v>
      </c>
    </row>
    <row r="674" spans="1:14" x14ac:dyDescent="0.25">
      <c r="A674" s="14" t="s">
        <v>1852</v>
      </c>
      <c r="B674" s="14" t="s">
        <v>36</v>
      </c>
      <c r="C674" s="15" t="s">
        <v>1910</v>
      </c>
      <c r="D674" s="14" t="s">
        <v>1745</v>
      </c>
      <c r="E674" s="14" t="s">
        <v>1747</v>
      </c>
      <c r="F674" s="17" t="s">
        <v>2993</v>
      </c>
      <c r="G674" s="14">
        <v>499140</v>
      </c>
      <c r="H674" s="14">
        <v>349398</v>
      </c>
      <c r="I674" s="31">
        <f>IF(COUNTIFS(Addendum!C:C,A674,Addendum!D:D,IF(ISNUMBER(B674),TEXT(B674,"0000"),B674),Addendum!E:E,"X")&gt;0,4%,0)</f>
        <v>0</v>
      </c>
      <c r="J674" s="31">
        <f>IF(COUNTIFS(Addendum!C:C,A674,Addendum!D:D,IF(ISNUMBER(B674),TEXT(B674,"0000"),B674),Addendum!F:F,"X")&gt;0,2.5%,0)</f>
        <v>0</v>
      </c>
      <c r="K674" s="31">
        <f>IF(COUNTIFS(Addendum!C:C,A674,Addendum!D:D,IF(ISNUMBER(B674),TEXT(B674,"0000"),B674),Addendum!G:G,"X")&gt;0,7%,0)</f>
        <v>0</v>
      </c>
      <c r="L674" s="31">
        <f>IF(COUNTIFS(Addendum!C:C,A674,Addendum!D:D,IF(ISNUMBER(B674),TEXT(B674,"0000"),B674),Addendum!I:I,"X")&gt;0,10%,0)</f>
        <v>0</v>
      </c>
      <c r="M674" s="34">
        <f t="shared" si="20"/>
        <v>0</v>
      </c>
      <c r="N674" s="17">
        <f t="shared" si="21"/>
        <v>349398</v>
      </c>
    </row>
    <row r="675" spans="1:14" x14ac:dyDescent="0.25">
      <c r="A675" s="14" t="s">
        <v>1852</v>
      </c>
      <c r="B675" s="14">
        <v>83</v>
      </c>
      <c r="C675" s="15" t="s">
        <v>1916</v>
      </c>
      <c r="D675" s="14" t="s">
        <v>1749</v>
      </c>
      <c r="E675" s="14" t="s">
        <v>1746</v>
      </c>
      <c r="F675" s="17" t="s">
        <v>2994</v>
      </c>
      <c r="G675" s="14">
        <v>796176</v>
      </c>
      <c r="H675" s="14">
        <v>557323.19999999995</v>
      </c>
      <c r="I675" s="31">
        <f>IF(COUNTIFS(Addendum!C:C,A675,Addendum!D:D,IF(ISNUMBER(B675),TEXT(B675,"0000"),B675),Addendum!E:E,"X")&gt;0,4%,0)</f>
        <v>0</v>
      </c>
      <c r="J675" s="31">
        <f>IF(COUNTIFS(Addendum!C:C,A675,Addendum!D:D,IF(ISNUMBER(B675),TEXT(B675,"0000"),B675),Addendum!F:F,"X")&gt;0,2.5%,0)</f>
        <v>0</v>
      </c>
      <c r="K675" s="31">
        <f>IF(COUNTIFS(Addendum!C:C,A675,Addendum!D:D,IF(ISNUMBER(B675),TEXT(B675,"0000"),B675),Addendum!G:G,"X")&gt;0,7%,0)</f>
        <v>0</v>
      </c>
      <c r="L675" s="31">
        <f>IF(COUNTIFS(Addendum!C:C,A675,Addendum!D:D,IF(ISNUMBER(B675),TEXT(B675,"0000"),B675),Addendum!I:I,"X")&gt;0,10%,0)</f>
        <v>0</v>
      </c>
      <c r="M675" s="34">
        <f t="shared" si="20"/>
        <v>0</v>
      </c>
      <c r="N675" s="17">
        <f t="shared" si="21"/>
        <v>557323.19999999995</v>
      </c>
    </row>
    <row r="676" spans="1:14" x14ac:dyDescent="0.25">
      <c r="A676" s="14" t="s">
        <v>1852</v>
      </c>
      <c r="B676" s="14" t="s">
        <v>122</v>
      </c>
      <c r="C676" s="15" t="s">
        <v>1917</v>
      </c>
      <c r="D676" s="14" t="s">
        <v>1749</v>
      </c>
      <c r="E676" s="14" t="s">
        <v>1746</v>
      </c>
      <c r="F676" s="17" t="s">
        <v>2993</v>
      </c>
      <c r="G676" s="14">
        <v>49914</v>
      </c>
      <c r="H676" s="14">
        <v>34939.800000000003</v>
      </c>
      <c r="I676" s="31">
        <f>IF(COUNTIFS(Addendum!C:C,A676,Addendum!D:D,IF(ISNUMBER(B676),TEXT(B676,"0000"),B676),Addendum!E:E,"X")&gt;0,4%,0)</f>
        <v>0</v>
      </c>
      <c r="J676" s="31">
        <f>IF(COUNTIFS(Addendum!C:C,A676,Addendum!D:D,IF(ISNUMBER(B676),TEXT(B676,"0000"),B676),Addendum!F:F,"X")&gt;0,2.5%,0)</f>
        <v>0</v>
      </c>
      <c r="K676" s="31">
        <f>IF(COUNTIFS(Addendum!C:C,A676,Addendum!D:D,IF(ISNUMBER(B676),TEXT(B676,"0000"),B676),Addendum!G:G,"X")&gt;0,7%,0)</f>
        <v>0</v>
      </c>
      <c r="L676" s="31">
        <f>IF(COUNTIFS(Addendum!C:C,A676,Addendum!D:D,IF(ISNUMBER(B676),TEXT(B676,"0000"),B676),Addendum!I:I,"X")&gt;0,10%,0)</f>
        <v>0</v>
      </c>
      <c r="M676" s="34">
        <f t="shared" si="20"/>
        <v>0</v>
      </c>
      <c r="N676" s="17">
        <f t="shared" si="21"/>
        <v>34939.800000000003</v>
      </c>
    </row>
    <row r="677" spans="1:14" x14ac:dyDescent="0.25">
      <c r="A677" s="14" t="s">
        <v>1852</v>
      </c>
      <c r="B677" s="14" t="s">
        <v>1679</v>
      </c>
      <c r="C677" s="15" t="s">
        <v>2009</v>
      </c>
      <c r="D677" s="14" t="s">
        <v>1745</v>
      </c>
      <c r="E677" s="14" t="s">
        <v>1746</v>
      </c>
      <c r="F677" s="17" t="s">
        <v>2994</v>
      </c>
      <c r="G677" s="14">
        <v>209664</v>
      </c>
      <c r="H677" s="14">
        <v>146764.79999999999</v>
      </c>
      <c r="I677" s="31">
        <f>IF(COUNTIFS(Addendum!C:C,A677,Addendum!D:D,IF(ISNUMBER(B677),TEXT(B677,"0000"),B677),Addendum!E:E,"X")&gt;0,4%,0)</f>
        <v>0</v>
      </c>
      <c r="J677" s="31">
        <f>IF(COUNTIFS(Addendum!C:C,A677,Addendum!D:D,IF(ISNUMBER(B677),TEXT(B677,"0000"),B677),Addendum!F:F,"X")&gt;0,2.5%,0)</f>
        <v>0</v>
      </c>
      <c r="K677" s="31">
        <f>IF(COUNTIFS(Addendum!C:C,A677,Addendum!D:D,IF(ISNUMBER(B677),TEXT(B677,"0000"),B677),Addendum!G:G,"X")&gt;0,7%,0)</f>
        <v>0</v>
      </c>
      <c r="L677" s="31">
        <f>IF(COUNTIFS(Addendum!C:C,A677,Addendum!D:D,IF(ISNUMBER(B677),TEXT(B677,"0000"),B677),Addendum!I:I,"X")&gt;0,10%,0)</f>
        <v>0</v>
      </c>
      <c r="M677" s="34">
        <f t="shared" si="20"/>
        <v>0</v>
      </c>
      <c r="N677" s="17">
        <f t="shared" si="21"/>
        <v>146764.79999999999</v>
      </c>
    </row>
    <row r="678" spans="1:14" x14ac:dyDescent="0.25">
      <c r="A678" s="14" t="s">
        <v>1852</v>
      </c>
      <c r="B678" s="14" t="s">
        <v>1939</v>
      </c>
      <c r="C678" s="15" t="s">
        <v>1940</v>
      </c>
      <c r="D678" s="14" t="s">
        <v>1745</v>
      </c>
      <c r="E678" s="14" t="s">
        <v>1747</v>
      </c>
      <c r="F678" s="17" t="s">
        <v>2995</v>
      </c>
      <c r="G678" s="14">
        <v>1198020</v>
      </c>
      <c r="H678" s="14">
        <v>1078218</v>
      </c>
      <c r="I678" s="31">
        <f>IF(COUNTIFS(Addendum!C:C,A678,Addendum!D:D,IF(ISNUMBER(B678),TEXT(B678,"0000"),B678),Addendum!E:E,"X")&gt;0,4%,0)</f>
        <v>0</v>
      </c>
      <c r="J678" s="31">
        <f>IF(COUNTIFS(Addendum!C:C,A678,Addendum!D:D,IF(ISNUMBER(B678),TEXT(B678,"0000"),B678),Addendum!F:F,"X")&gt;0,2.5%,0)</f>
        <v>0</v>
      </c>
      <c r="K678" s="31">
        <f>IF(COUNTIFS(Addendum!C:C,A678,Addendum!D:D,IF(ISNUMBER(B678),TEXT(B678,"0000"),B678),Addendum!G:G,"X")&gt;0,7%,0)</f>
        <v>0</v>
      </c>
      <c r="L678" s="31">
        <f>IF(COUNTIFS(Addendum!C:C,A678,Addendum!D:D,IF(ISNUMBER(B678),TEXT(B678,"0000"),B678),Addendum!I:I,"X")&gt;0,10%,0)</f>
        <v>0</v>
      </c>
      <c r="M678" s="34">
        <f t="shared" si="20"/>
        <v>0</v>
      </c>
      <c r="N678" s="17">
        <f t="shared" si="21"/>
        <v>1078218</v>
      </c>
    </row>
    <row r="679" spans="1:14" x14ac:dyDescent="0.25">
      <c r="A679" s="14" t="s">
        <v>1852</v>
      </c>
      <c r="B679" s="14" t="s">
        <v>1641</v>
      </c>
      <c r="C679" s="15" t="s">
        <v>1996</v>
      </c>
      <c r="D679" s="14" t="s">
        <v>1745</v>
      </c>
      <c r="E679" s="14" t="s">
        <v>1746</v>
      </c>
      <c r="F679" s="17" t="s">
        <v>2995</v>
      </c>
      <c r="G679" s="14">
        <v>157248</v>
      </c>
      <c r="H679" s="14">
        <v>141523.20000000001</v>
      </c>
      <c r="I679" s="31">
        <f>IF(COUNTIFS(Addendum!C:C,A679,Addendum!D:D,IF(ISNUMBER(B679),TEXT(B679,"0000"),B679),Addendum!E:E,"X")&gt;0,4%,0)</f>
        <v>0</v>
      </c>
      <c r="J679" s="31">
        <f>IF(COUNTIFS(Addendum!C:C,A679,Addendum!D:D,IF(ISNUMBER(B679),TEXT(B679,"0000"),B679),Addendum!F:F,"X")&gt;0,2.5%,0)</f>
        <v>0</v>
      </c>
      <c r="K679" s="31">
        <f>IF(COUNTIFS(Addendum!C:C,A679,Addendum!D:D,IF(ISNUMBER(B679),TEXT(B679,"0000"),B679),Addendum!G:G,"X")&gt;0,7%,0)</f>
        <v>0</v>
      </c>
      <c r="L679" s="31">
        <f>IF(COUNTIFS(Addendum!C:C,A679,Addendum!D:D,IF(ISNUMBER(B679),TEXT(B679,"0000"),B679),Addendum!I:I,"X")&gt;0,10%,0)</f>
        <v>0</v>
      </c>
      <c r="M679" s="34">
        <f t="shared" si="20"/>
        <v>0</v>
      </c>
      <c r="N679" s="17">
        <f t="shared" si="21"/>
        <v>141523.20000000001</v>
      </c>
    </row>
    <row r="680" spans="1:14" x14ac:dyDescent="0.25">
      <c r="A680" s="14" t="s">
        <v>1852</v>
      </c>
      <c r="B680" s="14" t="s">
        <v>410</v>
      </c>
      <c r="C680" s="15" t="s">
        <v>1944</v>
      </c>
      <c r="D680" s="14" t="s">
        <v>1749</v>
      </c>
      <c r="E680" s="14" t="s">
        <v>1746</v>
      </c>
      <c r="F680" s="17" t="s">
        <v>2994</v>
      </c>
      <c r="G680" s="14">
        <v>579036</v>
      </c>
      <c r="H680" s="14">
        <v>405325.2</v>
      </c>
      <c r="I680" s="31">
        <f>IF(COUNTIFS(Addendum!C:C,A680,Addendum!D:D,IF(ISNUMBER(B680),TEXT(B680,"0000"),B680),Addendum!E:E,"X")&gt;0,4%,0)</f>
        <v>0</v>
      </c>
      <c r="J680" s="31">
        <f>IF(COUNTIFS(Addendum!C:C,A680,Addendum!D:D,IF(ISNUMBER(B680),TEXT(B680,"0000"),B680),Addendum!F:F,"X")&gt;0,2.5%,0)</f>
        <v>0</v>
      </c>
      <c r="K680" s="31">
        <f>IF(COUNTIFS(Addendum!C:C,A680,Addendum!D:D,IF(ISNUMBER(B680),TEXT(B680,"0000"),B680),Addendum!G:G,"X")&gt;0,7%,0)</f>
        <v>0</v>
      </c>
      <c r="L680" s="31">
        <f>IF(COUNTIFS(Addendum!C:C,A680,Addendum!D:D,IF(ISNUMBER(B680),TEXT(B680,"0000"),B680),Addendum!I:I,"X")&gt;0,10%,0)</f>
        <v>0</v>
      </c>
      <c r="M680" s="34">
        <f t="shared" si="20"/>
        <v>0</v>
      </c>
      <c r="N680" s="17">
        <f t="shared" si="21"/>
        <v>405325.2</v>
      </c>
    </row>
    <row r="681" spans="1:14" x14ac:dyDescent="0.25">
      <c r="A681" s="14" t="s">
        <v>1852</v>
      </c>
      <c r="B681" s="14" t="s">
        <v>1731</v>
      </c>
      <c r="C681" s="15" t="s">
        <v>1984</v>
      </c>
      <c r="D681" s="14" t="s">
        <v>1745</v>
      </c>
      <c r="E681" s="14" t="s">
        <v>1747</v>
      </c>
      <c r="F681" s="17" t="s">
        <v>2994</v>
      </c>
      <c r="G681" s="14">
        <v>274560</v>
      </c>
      <c r="H681" s="14">
        <v>192192</v>
      </c>
      <c r="I681" s="31">
        <f>IF(COUNTIFS(Addendum!C:C,A681,Addendum!D:D,IF(ISNUMBER(B681),TEXT(B681,"0000"),B681),Addendum!E:E,"X")&gt;0,4%,0)</f>
        <v>0</v>
      </c>
      <c r="J681" s="31">
        <f>IF(COUNTIFS(Addendum!C:C,A681,Addendum!D:D,IF(ISNUMBER(B681),TEXT(B681,"0000"),B681),Addendum!F:F,"X")&gt;0,2.5%,0)</f>
        <v>0</v>
      </c>
      <c r="K681" s="31">
        <f>IF(COUNTIFS(Addendum!C:C,A681,Addendum!D:D,IF(ISNUMBER(B681),TEXT(B681,"0000"),B681),Addendum!G:G,"X")&gt;0,7%,0)</f>
        <v>0</v>
      </c>
      <c r="L681" s="31">
        <f>IF(COUNTIFS(Addendum!C:C,A681,Addendum!D:D,IF(ISNUMBER(B681),TEXT(B681,"0000"),B681),Addendum!I:I,"X")&gt;0,10%,0)</f>
        <v>0</v>
      </c>
      <c r="M681" s="34">
        <f t="shared" si="20"/>
        <v>0</v>
      </c>
      <c r="N681" s="17">
        <f t="shared" si="21"/>
        <v>192192</v>
      </c>
    </row>
    <row r="682" spans="1:14" x14ac:dyDescent="0.25">
      <c r="A682" s="14" t="s">
        <v>1852</v>
      </c>
      <c r="B682" s="14" t="s">
        <v>650</v>
      </c>
      <c r="C682" s="15" t="s">
        <v>1975</v>
      </c>
      <c r="D682" s="14" t="s">
        <v>1745</v>
      </c>
      <c r="E682" s="14" t="s">
        <v>1746</v>
      </c>
      <c r="F682" s="17" t="s">
        <v>2993</v>
      </c>
      <c r="G682" s="14">
        <v>524097</v>
      </c>
      <c r="H682" s="14">
        <v>366868</v>
      </c>
      <c r="I682" s="31">
        <f>IF(COUNTIFS(Addendum!C:C,A682,Addendum!D:D,IF(ISNUMBER(B682),TEXT(B682,"0000"),B682),Addendum!E:E,"X")&gt;0,4%,0)</f>
        <v>0</v>
      </c>
      <c r="J682" s="31">
        <f>IF(COUNTIFS(Addendum!C:C,A682,Addendum!D:D,IF(ISNUMBER(B682),TEXT(B682,"0000"),B682),Addendum!F:F,"X")&gt;0,2.5%,0)</f>
        <v>0</v>
      </c>
      <c r="K682" s="31">
        <f>IF(COUNTIFS(Addendum!C:C,A682,Addendum!D:D,IF(ISNUMBER(B682),TEXT(B682,"0000"),B682),Addendum!G:G,"X")&gt;0,7%,0)</f>
        <v>0</v>
      </c>
      <c r="L682" s="31">
        <f>IF(COUNTIFS(Addendum!C:C,A682,Addendum!D:D,IF(ISNUMBER(B682),TEXT(B682,"0000"),B682),Addendum!I:I,"X")&gt;0,10%,0)</f>
        <v>0</v>
      </c>
      <c r="M682" s="34">
        <f t="shared" si="20"/>
        <v>0</v>
      </c>
      <c r="N682" s="17">
        <f t="shared" si="21"/>
        <v>366868</v>
      </c>
    </row>
    <row r="683" spans="1:14" x14ac:dyDescent="0.25">
      <c r="A683" s="14" t="s">
        <v>1852</v>
      </c>
      <c r="B683" s="14" t="s">
        <v>420</v>
      </c>
      <c r="C683" s="15" t="s">
        <v>1983</v>
      </c>
      <c r="D683" s="14" t="s">
        <v>1745</v>
      </c>
      <c r="E683" s="14" t="s">
        <v>1747</v>
      </c>
      <c r="F683" s="17" t="s">
        <v>2994</v>
      </c>
      <c r="G683" s="14">
        <v>17021640</v>
      </c>
      <c r="H683" s="14">
        <v>11915148</v>
      </c>
      <c r="I683" s="31">
        <f>IF(COUNTIFS(Addendum!C:C,A683,Addendum!D:D,IF(ISNUMBER(B683),TEXT(B683,"0000"),B683),Addendum!E:E,"X")&gt;0,4%,0)</f>
        <v>0</v>
      </c>
      <c r="J683" s="31">
        <f>IF(COUNTIFS(Addendum!C:C,A683,Addendum!D:D,IF(ISNUMBER(B683),TEXT(B683,"0000"),B683),Addendum!F:F,"X")&gt;0,2.5%,0)</f>
        <v>0</v>
      </c>
      <c r="K683" s="31">
        <f>IF(COUNTIFS(Addendum!C:C,A683,Addendum!D:D,IF(ISNUMBER(B683),TEXT(B683,"0000"),B683),Addendum!G:G,"X")&gt;0,7%,0)</f>
        <v>0</v>
      </c>
      <c r="L683" s="31">
        <f>IF(COUNTIFS(Addendum!C:C,A683,Addendum!D:D,IF(ISNUMBER(B683),TEXT(B683,"0000"),B683),Addendum!I:I,"X")&gt;0,10%,0)</f>
        <v>0</v>
      </c>
      <c r="M683" s="34">
        <f t="shared" si="20"/>
        <v>0</v>
      </c>
      <c r="N683" s="17">
        <f t="shared" si="21"/>
        <v>11915148</v>
      </c>
    </row>
    <row r="684" spans="1:14" x14ac:dyDescent="0.25">
      <c r="A684" s="14" t="s">
        <v>1852</v>
      </c>
      <c r="B684" s="14">
        <v>66</v>
      </c>
      <c r="C684" s="15" t="s">
        <v>2023</v>
      </c>
      <c r="D684" s="14" t="s">
        <v>1745</v>
      </c>
      <c r="E684" s="14" t="s">
        <v>1746</v>
      </c>
      <c r="F684" s="17" t="s">
        <v>2995</v>
      </c>
      <c r="G684" s="14">
        <v>157248</v>
      </c>
      <c r="H684" s="14">
        <v>141523.20000000001</v>
      </c>
      <c r="I684" s="31">
        <f>IF(COUNTIFS(Addendum!C:C,A684,Addendum!D:D,IF(ISNUMBER(B684),TEXT(B684,"0000"),B684),Addendum!E:E,"X")&gt;0,4%,0)</f>
        <v>0</v>
      </c>
      <c r="J684" s="31">
        <f>IF(COUNTIFS(Addendum!C:C,A684,Addendum!D:D,IF(ISNUMBER(B684),TEXT(B684,"0000"),B684),Addendum!F:F,"X")&gt;0,2.5%,0)</f>
        <v>0</v>
      </c>
      <c r="K684" s="31">
        <f>IF(COUNTIFS(Addendum!C:C,A684,Addendum!D:D,IF(ISNUMBER(B684),TEXT(B684,"0000"),B684),Addendum!G:G,"X")&gt;0,7%,0)</f>
        <v>0</v>
      </c>
      <c r="L684" s="31">
        <f>IF(COUNTIFS(Addendum!C:C,A684,Addendum!D:D,IF(ISNUMBER(B684),TEXT(B684,"0000"),B684),Addendum!I:I,"X")&gt;0,10%,0)</f>
        <v>0</v>
      </c>
      <c r="M684" s="34">
        <f t="shared" si="20"/>
        <v>0</v>
      </c>
      <c r="N684" s="17">
        <f t="shared" si="21"/>
        <v>141523.20000000001</v>
      </c>
    </row>
    <row r="685" spans="1:14" x14ac:dyDescent="0.25">
      <c r="A685" s="14" t="s">
        <v>1852</v>
      </c>
      <c r="B685" s="14" t="s">
        <v>102</v>
      </c>
      <c r="C685" s="15" t="s">
        <v>2001</v>
      </c>
      <c r="D685" s="14" t="s">
        <v>1749</v>
      </c>
      <c r="E685" s="14" t="s">
        <v>1746</v>
      </c>
      <c r="F685" s="17" t="s">
        <v>2993</v>
      </c>
      <c r="G685" s="14">
        <v>1447590</v>
      </c>
      <c r="H685" s="14">
        <v>1013313</v>
      </c>
      <c r="I685" s="31">
        <f>IF(COUNTIFS(Addendum!C:C,A685,Addendum!D:D,IF(ISNUMBER(B685),TEXT(B685,"0000"),B685),Addendum!E:E,"X")&gt;0,4%,0)</f>
        <v>0</v>
      </c>
      <c r="J685" s="31">
        <f>IF(COUNTIFS(Addendum!C:C,A685,Addendum!D:D,IF(ISNUMBER(B685),TEXT(B685,"0000"),B685),Addendum!F:F,"X")&gt;0,2.5%,0)</f>
        <v>0</v>
      </c>
      <c r="K685" s="31">
        <f>IF(COUNTIFS(Addendum!C:C,A685,Addendum!D:D,IF(ISNUMBER(B685),TEXT(B685,"0000"),B685),Addendum!G:G,"X")&gt;0,7%,0)</f>
        <v>0</v>
      </c>
      <c r="L685" s="31">
        <f>IF(COUNTIFS(Addendum!C:C,A685,Addendum!D:D,IF(ISNUMBER(B685),TEXT(B685,"0000"),B685),Addendum!I:I,"X")&gt;0,10%,0)</f>
        <v>0</v>
      </c>
      <c r="M685" s="34">
        <f t="shared" si="20"/>
        <v>0</v>
      </c>
      <c r="N685" s="17">
        <f t="shared" si="21"/>
        <v>1013313</v>
      </c>
    </row>
    <row r="686" spans="1:14" x14ac:dyDescent="0.25">
      <c r="A686" s="14" t="s">
        <v>1852</v>
      </c>
      <c r="B686" s="14" t="s">
        <v>1653</v>
      </c>
      <c r="C686" s="15" t="s">
        <v>1972</v>
      </c>
      <c r="D686" s="14" t="s">
        <v>1749</v>
      </c>
      <c r="E686" s="14" t="s">
        <v>1746</v>
      </c>
      <c r="F686" s="17" t="s">
        <v>2995</v>
      </c>
      <c r="G686" s="14">
        <v>14976</v>
      </c>
      <c r="H686" s="14">
        <v>13478.4</v>
      </c>
      <c r="I686" s="31">
        <f>IF(COUNTIFS(Addendum!C:C,A686,Addendum!D:D,IF(ISNUMBER(B686),TEXT(B686,"0000"),B686),Addendum!E:E,"X")&gt;0,4%,0)</f>
        <v>0</v>
      </c>
      <c r="J686" s="31">
        <f>IF(COUNTIFS(Addendum!C:C,A686,Addendum!D:D,IF(ISNUMBER(B686),TEXT(B686,"0000"),B686),Addendum!F:F,"X")&gt;0,2.5%,0)</f>
        <v>0</v>
      </c>
      <c r="K686" s="31">
        <f>IF(COUNTIFS(Addendum!C:C,A686,Addendum!D:D,IF(ISNUMBER(B686),TEXT(B686,"0000"),B686),Addendum!G:G,"X")&gt;0,7%,0)</f>
        <v>0</v>
      </c>
      <c r="L686" s="31">
        <f>IF(COUNTIFS(Addendum!C:C,A686,Addendum!D:D,IF(ISNUMBER(B686),TEXT(B686,"0000"),B686),Addendum!I:I,"X")&gt;0,10%,0)</f>
        <v>0</v>
      </c>
      <c r="M686" s="34">
        <f t="shared" si="20"/>
        <v>0</v>
      </c>
      <c r="N686" s="17">
        <f t="shared" si="21"/>
        <v>13478.4</v>
      </c>
    </row>
    <row r="687" spans="1:14" x14ac:dyDescent="0.25">
      <c r="A687" s="14" t="s">
        <v>1852</v>
      </c>
      <c r="B687" s="14" t="s">
        <v>1961</v>
      </c>
      <c r="C687" s="15" t="s">
        <v>1962</v>
      </c>
      <c r="D687" s="14" t="s">
        <v>1745</v>
      </c>
      <c r="E687" s="14" t="s">
        <v>1746</v>
      </c>
      <c r="F687" s="17" t="s">
        <v>2994</v>
      </c>
      <c r="G687" s="14">
        <v>6079878</v>
      </c>
      <c r="H687" s="14">
        <v>4255915</v>
      </c>
      <c r="I687" s="31">
        <f>IF(COUNTIFS(Addendum!C:C,A687,Addendum!D:D,IF(ISNUMBER(B687),TEXT(B687,"0000"),B687),Addendum!E:E,"X")&gt;0,4%,0)</f>
        <v>0</v>
      </c>
      <c r="J687" s="31">
        <f>IF(COUNTIFS(Addendum!C:C,A687,Addendum!D:D,IF(ISNUMBER(B687),TEXT(B687,"0000"),B687),Addendum!F:F,"X")&gt;0,2.5%,0)</f>
        <v>0</v>
      </c>
      <c r="K687" s="31">
        <f>IF(COUNTIFS(Addendum!C:C,A687,Addendum!D:D,IF(ISNUMBER(B687),TEXT(B687,"0000"),B687),Addendum!G:G,"X")&gt;0,7%,0)</f>
        <v>0</v>
      </c>
      <c r="L687" s="31">
        <f>IF(COUNTIFS(Addendum!C:C,A687,Addendum!D:D,IF(ISNUMBER(B687),TEXT(B687,"0000"),B687),Addendum!I:I,"X")&gt;0,10%,0)</f>
        <v>0</v>
      </c>
      <c r="M687" s="34">
        <f t="shared" si="20"/>
        <v>0</v>
      </c>
      <c r="N687" s="17">
        <f t="shared" si="21"/>
        <v>4255915</v>
      </c>
    </row>
    <row r="688" spans="1:14" x14ac:dyDescent="0.25">
      <c r="A688" s="14" t="s">
        <v>1852</v>
      </c>
      <c r="B688" s="14" t="s">
        <v>28</v>
      </c>
      <c r="C688" s="15" t="s">
        <v>1928</v>
      </c>
      <c r="D688" s="14" t="s">
        <v>1749</v>
      </c>
      <c r="E688" s="14" t="s">
        <v>1746</v>
      </c>
      <c r="F688" s="17" t="s">
        <v>2993</v>
      </c>
      <c r="G688" s="14">
        <v>49914</v>
      </c>
      <c r="H688" s="14">
        <v>34939.800000000003</v>
      </c>
      <c r="I688" s="31">
        <f>IF(COUNTIFS(Addendum!C:C,A688,Addendum!D:D,IF(ISNUMBER(B688),TEXT(B688,"0000"),B688),Addendum!E:E,"X")&gt;0,4%,0)</f>
        <v>0</v>
      </c>
      <c r="J688" s="31">
        <f>IF(COUNTIFS(Addendum!C:C,A688,Addendum!D:D,IF(ISNUMBER(B688),TEXT(B688,"0000"),B688),Addendum!F:F,"X")&gt;0,2.5%,0)</f>
        <v>0</v>
      </c>
      <c r="K688" s="31">
        <f>IF(COUNTIFS(Addendum!C:C,A688,Addendum!D:D,IF(ISNUMBER(B688),TEXT(B688,"0000"),B688),Addendum!G:G,"X")&gt;0,7%,0)</f>
        <v>0</v>
      </c>
      <c r="L688" s="31">
        <f>IF(COUNTIFS(Addendum!C:C,A688,Addendum!D:D,IF(ISNUMBER(B688),TEXT(B688,"0000"),B688),Addendum!I:I,"X")&gt;0,10%,0)</f>
        <v>0</v>
      </c>
      <c r="M688" s="34">
        <f t="shared" si="20"/>
        <v>0</v>
      </c>
      <c r="N688" s="17">
        <f t="shared" si="21"/>
        <v>34939.800000000003</v>
      </c>
    </row>
    <row r="689" spans="1:14" x14ac:dyDescent="0.25">
      <c r="A689" s="14" t="s">
        <v>1852</v>
      </c>
      <c r="B689" s="14" t="s">
        <v>1949</v>
      </c>
      <c r="C689" s="15" t="s">
        <v>1950</v>
      </c>
      <c r="D689" s="14" t="s">
        <v>1745</v>
      </c>
      <c r="E689" s="14" t="s">
        <v>1747</v>
      </c>
      <c r="F689" s="17" t="s">
        <v>2994</v>
      </c>
      <c r="G689" s="14">
        <v>199680</v>
      </c>
      <c r="H689" s="14">
        <v>139776</v>
      </c>
      <c r="I689" s="31">
        <f>IF(COUNTIFS(Addendum!C:C,A689,Addendum!D:D,IF(ISNUMBER(B689),TEXT(B689,"0000"),B689),Addendum!E:E,"X")&gt;0,4%,0)</f>
        <v>0</v>
      </c>
      <c r="J689" s="31">
        <f>IF(COUNTIFS(Addendum!C:C,A689,Addendum!D:D,IF(ISNUMBER(B689),TEXT(B689,"0000"),B689),Addendum!F:F,"X")&gt;0,2.5%,0)</f>
        <v>0</v>
      </c>
      <c r="K689" s="31">
        <f>IF(COUNTIFS(Addendum!C:C,A689,Addendum!D:D,IF(ISNUMBER(B689),TEXT(B689,"0000"),B689),Addendum!G:G,"X")&gt;0,7%,0)</f>
        <v>0</v>
      </c>
      <c r="L689" s="31">
        <f>IF(COUNTIFS(Addendum!C:C,A689,Addendum!D:D,IF(ISNUMBER(B689),TEXT(B689,"0000"),B689),Addendum!I:I,"X")&gt;0,10%,0)</f>
        <v>0</v>
      </c>
      <c r="M689" s="34">
        <f t="shared" si="20"/>
        <v>0</v>
      </c>
      <c r="N689" s="17">
        <f t="shared" si="21"/>
        <v>139776</v>
      </c>
    </row>
    <row r="690" spans="1:14" x14ac:dyDescent="0.25">
      <c r="A690" s="14" t="s">
        <v>1852</v>
      </c>
      <c r="B690" s="14">
        <v>72</v>
      </c>
      <c r="C690" s="15" t="s">
        <v>2024</v>
      </c>
      <c r="D690" s="14" t="s">
        <v>1745</v>
      </c>
      <c r="E690" s="14" t="s">
        <v>1747</v>
      </c>
      <c r="F690" s="17" t="s">
        <v>2994</v>
      </c>
      <c r="G690" s="14">
        <v>12379380</v>
      </c>
      <c r="H690" s="14">
        <v>8665566</v>
      </c>
      <c r="I690" s="31">
        <f>IF(COUNTIFS(Addendum!C:C,A690,Addendum!D:D,IF(ISNUMBER(B690),TEXT(B690,"0000"),B690),Addendum!E:E,"X")&gt;0,4%,0)</f>
        <v>0</v>
      </c>
      <c r="J690" s="31">
        <f>IF(COUNTIFS(Addendum!C:C,A690,Addendum!D:D,IF(ISNUMBER(B690),TEXT(B690,"0000"),B690),Addendum!F:F,"X")&gt;0,2.5%,0)</f>
        <v>0</v>
      </c>
      <c r="K690" s="31">
        <f>IF(COUNTIFS(Addendum!C:C,A690,Addendum!D:D,IF(ISNUMBER(B690),TEXT(B690,"0000"),B690),Addendum!G:G,"X")&gt;0,7%,0)</f>
        <v>0</v>
      </c>
      <c r="L690" s="31">
        <f>IF(COUNTIFS(Addendum!C:C,A690,Addendum!D:D,IF(ISNUMBER(B690),TEXT(B690,"0000"),B690),Addendum!I:I,"X")&gt;0,10%,0)</f>
        <v>0</v>
      </c>
      <c r="M690" s="34">
        <f t="shared" si="20"/>
        <v>0</v>
      </c>
      <c r="N690" s="17">
        <f t="shared" si="21"/>
        <v>8665566</v>
      </c>
    </row>
    <row r="691" spans="1:14" x14ac:dyDescent="0.25">
      <c r="A691" s="14" t="s">
        <v>1852</v>
      </c>
      <c r="B691" s="14">
        <v>65</v>
      </c>
      <c r="C691" s="15" t="s">
        <v>1926</v>
      </c>
      <c r="D691" s="14" t="s">
        <v>1745</v>
      </c>
      <c r="E691" s="14" t="s">
        <v>1746</v>
      </c>
      <c r="F691" s="17" t="s">
        <v>2994</v>
      </c>
      <c r="G691" s="14">
        <v>288288</v>
      </c>
      <c r="H691" s="14">
        <v>201801.60000000001</v>
      </c>
      <c r="I691" s="31">
        <f>IF(COUNTIFS(Addendum!C:C,A691,Addendum!D:D,IF(ISNUMBER(B691),TEXT(B691,"0000"),B691),Addendum!E:E,"X")&gt;0,4%,0)</f>
        <v>0</v>
      </c>
      <c r="J691" s="31">
        <f>IF(COUNTIFS(Addendum!C:C,A691,Addendum!D:D,IF(ISNUMBER(B691),TEXT(B691,"0000"),B691),Addendum!F:F,"X")&gt;0,2.5%,0)</f>
        <v>0</v>
      </c>
      <c r="K691" s="31">
        <f>IF(COUNTIFS(Addendum!C:C,A691,Addendum!D:D,IF(ISNUMBER(B691),TEXT(B691,"0000"),B691),Addendum!G:G,"X")&gt;0,7%,0)</f>
        <v>0</v>
      </c>
      <c r="L691" s="31">
        <f>IF(COUNTIFS(Addendum!C:C,A691,Addendum!D:D,IF(ISNUMBER(B691),TEXT(B691,"0000"),B691),Addendum!I:I,"X")&gt;0,10%,0)</f>
        <v>0</v>
      </c>
      <c r="M691" s="34">
        <f t="shared" si="20"/>
        <v>0</v>
      </c>
      <c r="N691" s="17">
        <f t="shared" si="21"/>
        <v>201801.60000000001</v>
      </c>
    </row>
    <row r="692" spans="1:14" x14ac:dyDescent="0.25">
      <c r="A692" s="14" t="s">
        <v>1852</v>
      </c>
      <c r="B692" s="14">
        <v>82</v>
      </c>
      <c r="C692" s="15" t="s">
        <v>2002</v>
      </c>
      <c r="D692" s="14" t="s">
        <v>1749</v>
      </c>
      <c r="E692" s="14" t="s">
        <v>1746</v>
      </c>
      <c r="F692" s="17" t="s">
        <v>2994</v>
      </c>
      <c r="G692" s="14">
        <v>219636</v>
      </c>
      <c r="H692" s="14">
        <v>153745.20000000001</v>
      </c>
      <c r="I692" s="31">
        <f>IF(COUNTIFS(Addendum!C:C,A692,Addendum!D:D,IF(ISNUMBER(B692),TEXT(B692,"0000"),B692),Addendum!E:E,"X")&gt;0,4%,0)</f>
        <v>0</v>
      </c>
      <c r="J692" s="31">
        <f>IF(COUNTIFS(Addendum!C:C,A692,Addendum!D:D,IF(ISNUMBER(B692),TEXT(B692,"0000"),B692),Addendum!F:F,"X")&gt;0,2.5%,0)</f>
        <v>0</v>
      </c>
      <c r="K692" s="31">
        <f>IF(COUNTIFS(Addendum!C:C,A692,Addendum!D:D,IF(ISNUMBER(B692),TEXT(B692,"0000"),B692),Addendum!G:G,"X")&gt;0,7%,0)</f>
        <v>0</v>
      </c>
      <c r="L692" s="31">
        <f>IF(COUNTIFS(Addendum!C:C,A692,Addendum!D:D,IF(ISNUMBER(B692),TEXT(B692,"0000"),B692),Addendum!I:I,"X")&gt;0,10%,0)</f>
        <v>0</v>
      </c>
      <c r="M692" s="34">
        <f t="shared" si="20"/>
        <v>0</v>
      </c>
      <c r="N692" s="17">
        <f t="shared" si="21"/>
        <v>153745.20000000001</v>
      </c>
    </row>
    <row r="693" spans="1:14" x14ac:dyDescent="0.25">
      <c r="A693" s="14" t="s">
        <v>1850</v>
      </c>
      <c r="B693" s="14" t="s">
        <v>122</v>
      </c>
      <c r="C693" s="15" t="s">
        <v>1918</v>
      </c>
      <c r="D693" s="14" t="s">
        <v>1745</v>
      </c>
      <c r="E693" s="14" t="s">
        <v>1746</v>
      </c>
      <c r="F693" s="17" t="s">
        <v>2994</v>
      </c>
      <c r="G693" s="14">
        <v>88074</v>
      </c>
      <c r="H693" s="14">
        <v>61651.8</v>
      </c>
      <c r="I693" s="31">
        <f>IF(COUNTIFS(Addendum!C:C,A693,Addendum!D:D,IF(ISNUMBER(B693),TEXT(B693,"0000"),B693),Addendum!E:E,"X")&gt;0,4%,0)</f>
        <v>0</v>
      </c>
      <c r="J693" s="31">
        <f>IF(COUNTIFS(Addendum!C:C,A693,Addendum!D:D,IF(ISNUMBER(B693),TEXT(B693,"0000"),B693),Addendum!F:F,"X")&gt;0,2.5%,0)</f>
        <v>0</v>
      </c>
      <c r="K693" s="31">
        <f>IF(COUNTIFS(Addendum!C:C,A693,Addendum!D:D,IF(ISNUMBER(B693),TEXT(B693,"0000"),B693),Addendum!G:G,"X")&gt;0,7%,0)</f>
        <v>0</v>
      </c>
      <c r="L693" s="31">
        <f>IF(COUNTIFS(Addendum!C:C,A693,Addendum!D:D,IF(ISNUMBER(B693),TEXT(B693,"0000"),B693),Addendum!I:I,"X")&gt;0,10%,0)</f>
        <v>0</v>
      </c>
      <c r="M693" s="34">
        <f t="shared" si="20"/>
        <v>0</v>
      </c>
      <c r="N693" s="17">
        <f t="shared" si="21"/>
        <v>61651.8</v>
      </c>
    </row>
    <row r="694" spans="1:14" x14ac:dyDescent="0.25">
      <c r="A694" s="14" t="s">
        <v>1852</v>
      </c>
      <c r="B694" s="14" t="s">
        <v>1963</v>
      </c>
      <c r="C694" s="15" t="s">
        <v>1964</v>
      </c>
      <c r="D694" s="14" t="s">
        <v>1745</v>
      </c>
      <c r="E694" s="14" t="s">
        <v>1746</v>
      </c>
      <c r="F694" s="17" t="s">
        <v>2994</v>
      </c>
      <c r="G694" s="14">
        <v>288288</v>
      </c>
      <c r="H694" s="14">
        <v>201801.60000000001</v>
      </c>
      <c r="I694" s="31">
        <f>IF(COUNTIFS(Addendum!C:C,A694,Addendum!D:D,IF(ISNUMBER(B694),TEXT(B694,"0000"),B694),Addendum!E:E,"X")&gt;0,4%,0)</f>
        <v>0</v>
      </c>
      <c r="J694" s="31">
        <f>IF(COUNTIFS(Addendum!C:C,A694,Addendum!D:D,IF(ISNUMBER(B694),TEXT(B694,"0000"),B694),Addendum!F:F,"X")&gt;0,2.5%,0)</f>
        <v>0</v>
      </c>
      <c r="K694" s="31">
        <f>IF(COUNTIFS(Addendum!C:C,A694,Addendum!D:D,IF(ISNUMBER(B694),TEXT(B694,"0000"),B694),Addendum!G:G,"X")&gt;0,7%,0)</f>
        <v>0</v>
      </c>
      <c r="L694" s="31">
        <f>IF(COUNTIFS(Addendum!C:C,A694,Addendum!D:D,IF(ISNUMBER(B694),TEXT(B694,"0000"),B694),Addendum!I:I,"X")&gt;0,10%,0)</f>
        <v>0</v>
      </c>
      <c r="M694" s="34">
        <f t="shared" si="20"/>
        <v>0</v>
      </c>
      <c r="N694" s="17">
        <f t="shared" si="21"/>
        <v>201801.60000000001</v>
      </c>
    </row>
    <row r="695" spans="1:14" x14ac:dyDescent="0.25">
      <c r="A695" s="14" t="s">
        <v>1852</v>
      </c>
      <c r="B695" s="14">
        <v>57</v>
      </c>
      <c r="C695" s="15" t="s">
        <v>1914</v>
      </c>
      <c r="D695" s="14" t="s">
        <v>1745</v>
      </c>
      <c r="E695" s="14" t="s">
        <v>1746</v>
      </c>
      <c r="F695" s="17" t="s">
        <v>2994</v>
      </c>
      <c r="G695" s="14">
        <v>209664</v>
      </c>
      <c r="H695" s="14">
        <v>146764.79999999999</v>
      </c>
      <c r="I695" s="31">
        <f>IF(COUNTIFS(Addendum!C:C,A695,Addendum!D:D,IF(ISNUMBER(B695),TEXT(B695,"0000"),B695),Addendum!E:E,"X")&gt;0,4%,0)</f>
        <v>0</v>
      </c>
      <c r="J695" s="31">
        <f>IF(COUNTIFS(Addendum!C:C,A695,Addendum!D:D,IF(ISNUMBER(B695),TEXT(B695,"0000"),B695),Addendum!F:F,"X")&gt;0,2.5%,0)</f>
        <v>0</v>
      </c>
      <c r="K695" s="31">
        <f>IF(COUNTIFS(Addendum!C:C,A695,Addendum!D:D,IF(ISNUMBER(B695),TEXT(B695,"0000"),B695),Addendum!G:G,"X")&gt;0,7%,0)</f>
        <v>0</v>
      </c>
      <c r="L695" s="31">
        <f>IF(COUNTIFS(Addendum!C:C,A695,Addendum!D:D,IF(ISNUMBER(B695),TEXT(B695,"0000"),B695),Addendum!I:I,"X")&gt;0,10%,0)</f>
        <v>0</v>
      </c>
      <c r="M695" s="34">
        <f t="shared" si="20"/>
        <v>0</v>
      </c>
      <c r="N695" s="17">
        <f t="shared" si="21"/>
        <v>146764.79999999999</v>
      </c>
    </row>
    <row r="696" spans="1:14" x14ac:dyDescent="0.25">
      <c r="A696" s="14" t="s">
        <v>1852</v>
      </c>
      <c r="B696" s="14">
        <v>54</v>
      </c>
      <c r="C696" s="15" t="s">
        <v>1979</v>
      </c>
      <c r="D696" s="14" t="s">
        <v>1749</v>
      </c>
      <c r="E696" s="14" t="s">
        <v>1746</v>
      </c>
      <c r="F696" s="17" t="s">
        <v>2995</v>
      </c>
      <c r="G696" s="14">
        <v>928452</v>
      </c>
      <c r="H696" s="14">
        <v>835606.8</v>
      </c>
      <c r="I696" s="31">
        <f>IF(COUNTIFS(Addendum!C:C,A696,Addendum!D:D,IF(ISNUMBER(B696),TEXT(B696,"0000"),B696),Addendum!E:E,"X")&gt;0,4%,0)</f>
        <v>0</v>
      </c>
      <c r="J696" s="31">
        <f>IF(COUNTIFS(Addendum!C:C,A696,Addendum!D:D,IF(ISNUMBER(B696),TEXT(B696,"0000"),B696),Addendum!F:F,"X")&gt;0,2.5%,0)</f>
        <v>0</v>
      </c>
      <c r="K696" s="31">
        <f>IF(COUNTIFS(Addendum!C:C,A696,Addendum!D:D,IF(ISNUMBER(B696),TEXT(B696,"0000"),B696),Addendum!G:G,"X")&gt;0,7%,0)</f>
        <v>0</v>
      </c>
      <c r="L696" s="31">
        <f>IF(COUNTIFS(Addendum!C:C,A696,Addendum!D:D,IF(ISNUMBER(B696),TEXT(B696,"0000"),B696),Addendum!I:I,"X")&gt;0,10%,0)</f>
        <v>0</v>
      </c>
      <c r="M696" s="34">
        <f t="shared" si="20"/>
        <v>0</v>
      </c>
      <c r="N696" s="17">
        <f t="shared" si="21"/>
        <v>835606.8</v>
      </c>
    </row>
    <row r="697" spans="1:14" x14ac:dyDescent="0.25">
      <c r="A697" s="14" t="s">
        <v>1852</v>
      </c>
      <c r="B697" s="14" t="s">
        <v>20</v>
      </c>
      <c r="C697" s="15" t="s">
        <v>1978</v>
      </c>
      <c r="D697" s="14" t="s">
        <v>1745</v>
      </c>
      <c r="E697" s="14" t="s">
        <v>1746</v>
      </c>
      <c r="F697" s="17" t="s">
        <v>2993</v>
      </c>
      <c r="G697" s="14">
        <v>4193028</v>
      </c>
      <c r="H697" s="14">
        <v>2935120</v>
      </c>
      <c r="I697" s="31">
        <f>IF(COUNTIFS(Addendum!C:C,A697,Addendum!D:D,IF(ISNUMBER(B697),TEXT(B697,"0000"),B697),Addendum!E:E,"X")&gt;0,4%,0)</f>
        <v>0</v>
      </c>
      <c r="J697" s="31">
        <f>IF(COUNTIFS(Addendum!C:C,A697,Addendum!D:D,IF(ISNUMBER(B697),TEXT(B697,"0000"),B697),Addendum!F:F,"X")&gt;0,2.5%,0)</f>
        <v>0</v>
      </c>
      <c r="K697" s="31">
        <f>IF(COUNTIFS(Addendum!C:C,A697,Addendum!D:D,IF(ISNUMBER(B697),TEXT(B697,"0000"),B697),Addendum!G:G,"X")&gt;0,7%,0)</f>
        <v>0</v>
      </c>
      <c r="L697" s="31">
        <f>IF(COUNTIFS(Addendum!C:C,A697,Addendum!D:D,IF(ISNUMBER(B697),TEXT(B697,"0000"),B697),Addendum!I:I,"X")&gt;0,10%,0)</f>
        <v>0</v>
      </c>
      <c r="M697" s="34">
        <f t="shared" si="20"/>
        <v>0</v>
      </c>
      <c r="N697" s="17">
        <f t="shared" si="21"/>
        <v>2935120</v>
      </c>
    </row>
    <row r="698" spans="1:14" x14ac:dyDescent="0.25">
      <c r="A698" s="14" t="s">
        <v>1852</v>
      </c>
      <c r="B698" s="14" t="s">
        <v>1731</v>
      </c>
      <c r="C698" s="15" t="s">
        <v>1984</v>
      </c>
      <c r="D698" s="14" t="s">
        <v>1745</v>
      </c>
      <c r="E698" s="14" t="s">
        <v>1746</v>
      </c>
      <c r="F698" s="17" t="s">
        <v>2994</v>
      </c>
      <c r="G698" s="14">
        <v>288288</v>
      </c>
      <c r="H698" s="14">
        <v>201801.60000000001</v>
      </c>
      <c r="I698" s="31">
        <f>IF(COUNTIFS(Addendum!C:C,A698,Addendum!D:D,IF(ISNUMBER(B698),TEXT(B698,"0000"),B698),Addendum!E:E,"X")&gt;0,4%,0)</f>
        <v>0</v>
      </c>
      <c r="J698" s="31">
        <f>IF(COUNTIFS(Addendum!C:C,A698,Addendum!D:D,IF(ISNUMBER(B698),TEXT(B698,"0000"),B698),Addendum!F:F,"X")&gt;0,2.5%,0)</f>
        <v>0</v>
      </c>
      <c r="K698" s="31">
        <f>IF(COUNTIFS(Addendum!C:C,A698,Addendum!D:D,IF(ISNUMBER(B698),TEXT(B698,"0000"),B698),Addendum!G:G,"X")&gt;0,7%,0)</f>
        <v>0</v>
      </c>
      <c r="L698" s="31">
        <f>IF(COUNTIFS(Addendum!C:C,A698,Addendum!D:D,IF(ISNUMBER(B698),TEXT(B698,"0000"),B698),Addendum!I:I,"X")&gt;0,10%,0)</f>
        <v>0</v>
      </c>
      <c r="M698" s="34">
        <f t="shared" si="20"/>
        <v>0</v>
      </c>
      <c r="N698" s="17">
        <f t="shared" si="21"/>
        <v>201801.60000000001</v>
      </c>
    </row>
    <row r="699" spans="1:14" x14ac:dyDescent="0.25">
      <c r="A699" s="14" t="s">
        <v>1852</v>
      </c>
      <c r="B699" s="14" t="s">
        <v>1628</v>
      </c>
      <c r="C699" s="15" t="s">
        <v>1990</v>
      </c>
      <c r="D699" s="14" t="s">
        <v>1745</v>
      </c>
      <c r="E699" s="14" t="s">
        <v>1747</v>
      </c>
      <c r="F699" s="17" t="s">
        <v>2994</v>
      </c>
      <c r="G699" s="14">
        <v>274560</v>
      </c>
      <c r="H699" s="14">
        <v>192192</v>
      </c>
      <c r="I699" s="31">
        <f>IF(COUNTIFS(Addendum!C:C,A699,Addendum!D:D,IF(ISNUMBER(B699),TEXT(B699,"0000"),B699),Addendum!E:E,"X")&gt;0,4%,0)</f>
        <v>0</v>
      </c>
      <c r="J699" s="31">
        <f>IF(COUNTIFS(Addendum!C:C,A699,Addendum!D:D,IF(ISNUMBER(B699),TEXT(B699,"0000"),B699),Addendum!F:F,"X")&gt;0,2.5%,0)</f>
        <v>0</v>
      </c>
      <c r="K699" s="31">
        <f>IF(COUNTIFS(Addendum!C:C,A699,Addendum!D:D,IF(ISNUMBER(B699),TEXT(B699,"0000"),B699),Addendum!G:G,"X")&gt;0,7%,0)</f>
        <v>0</v>
      </c>
      <c r="L699" s="31">
        <f>IF(COUNTIFS(Addendum!C:C,A699,Addendum!D:D,IF(ISNUMBER(B699),TEXT(B699,"0000"),B699),Addendum!I:I,"X")&gt;0,10%,0)</f>
        <v>0</v>
      </c>
      <c r="M699" s="34">
        <f t="shared" si="20"/>
        <v>0</v>
      </c>
      <c r="N699" s="17">
        <f t="shared" si="21"/>
        <v>192192</v>
      </c>
    </row>
    <row r="700" spans="1:14" x14ac:dyDescent="0.25">
      <c r="A700" s="14" t="s">
        <v>1852</v>
      </c>
      <c r="B700" s="14">
        <v>63</v>
      </c>
      <c r="C700" s="15" t="s">
        <v>1938</v>
      </c>
      <c r="D700" s="14" t="s">
        <v>1749</v>
      </c>
      <c r="E700" s="14" t="s">
        <v>1746</v>
      </c>
      <c r="F700" s="17" t="s">
        <v>2995</v>
      </c>
      <c r="G700" s="14">
        <v>14976</v>
      </c>
      <c r="H700" s="14">
        <v>13478.4</v>
      </c>
      <c r="I700" s="31">
        <f>IF(COUNTIFS(Addendum!C:C,A700,Addendum!D:D,IF(ISNUMBER(B700),TEXT(B700,"0000"),B700),Addendum!E:E,"X")&gt;0,4%,0)</f>
        <v>0</v>
      </c>
      <c r="J700" s="31">
        <f>IF(COUNTIFS(Addendum!C:C,A700,Addendum!D:D,IF(ISNUMBER(B700),TEXT(B700,"0000"),B700),Addendum!F:F,"X")&gt;0,2.5%,0)</f>
        <v>0</v>
      </c>
      <c r="K700" s="31">
        <f>IF(COUNTIFS(Addendum!C:C,A700,Addendum!D:D,IF(ISNUMBER(B700),TEXT(B700,"0000"),B700),Addendum!G:G,"X")&gt;0,7%,0)</f>
        <v>0</v>
      </c>
      <c r="L700" s="31">
        <f>IF(COUNTIFS(Addendum!C:C,A700,Addendum!D:D,IF(ISNUMBER(B700),TEXT(B700,"0000"),B700),Addendum!I:I,"X")&gt;0,10%,0)</f>
        <v>0</v>
      </c>
      <c r="M700" s="34">
        <f t="shared" si="20"/>
        <v>0</v>
      </c>
      <c r="N700" s="17">
        <f t="shared" si="21"/>
        <v>13478.4</v>
      </c>
    </row>
    <row r="701" spans="1:14" x14ac:dyDescent="0.25">
      <c r="A701" s="14" t="s">
        <v>1852</v>
      </c>
      <c r="B701" s="14">
        <v>71</v>
      </c>
      <c r="C701" s="15" t="s">
        <v>1888</v>
      </c>
      <c r="D701" s="14" t="s">
        <v>1745</v>
      </c>
      <c r="E701" s="14" t="s">
        <v>1747</v>
      </c>
      <c r="F701" s="17" t="s">
        <v>2995</v>
      </c>
      <c r="G701" s="14">
        <v>1198020</v>
      </c>
      <c r="H701" s="14">
        <v>1078218</v>
      </c>
      <c r="I701" s="31">
        <f>IF(COUNTIFS(Addendum!C:C,A701,Addendum!D:D,IF(ISNUMBER(B701),TEXT(B701,"0000"),B701),Addendum!E:E,"X")&gt;0,4%,0)</f>
        <v>0</v>
      </c>
      <c r="J701" s="31">
        <f>IF(COUNTIFS(Addendum!C:C,A701,Addendum!D:D,IF(ISNUMBER(B701),TEXT(B701,"0000"),B701),Addendum!F:F,"X")&gt;0,2.5%,0)</f>
        <v>0</v>
      </c>
      <c r="K701" s="31">
        <f>IF(COUNTIFS(Addendum!C:C,A701,Addendum!D:D,IF(ISNUMBER(B701),TEXT(B701,"0000"),B701),Addendum!G:G,"X")&gt;0,7%,0)</f>
        <v>0</v>
      </c>
      <c r="L701" s="31">
        <f>IF(COUNTIFS(Addendum!C:C,A701,Addendum!D:D,IF(ISNUMBER(B701),TEXT(B701,"0000"),B701),Addendum!I:I,"X")&gt;0,10%,0)</f>
        <v>0</v>
      </c>
      <c r="M701" s="34">
        <f t="shared" si="20"/>
        <v>0</v>
      </c>
      <c r="N701" s="17">
        <f t="shared" si="21"/>
        <v>1078218</v>
      </c>
    </row>
    <row r="702" spans="1:14" x14ac:dyDescent="0.25">
      <c r="A702" s="14" t="s">
        <v>1852</v>
      </c>
      <c r="B702" s="14">
        <v>12</v>
      </c>
      <c r="C702" s="15" t="s">
        <v>1998</v>
      </c>
      <c r="D702" s="14" t="s">
        <v>1745</v>
      </c>
      <c r="E702" s="14" t="s">
        <v>1747</v>
      </c>
      <c r="F702" s="17" t="s">
        <v>2993</v>
      </c>
      <c r="G702" s="14">
        <v>499140</v>
      </c>
      <c r="H702" s="14">
        <v>349398</v>
      </c>
      <c r="I702" s="31">
        <f>IF(COUNTIFS(Addendum!C:C,A702,Addendum!D:D,IF(ISNUMBER(B702),TEXT(B702,"0000"),B702),Addendum!E:E,"X")&gt;0,4%,0)</f>
        <v>0</v>
      </c>
      <c r="J702" s="31">
        <f>IF(COUNTIFS(Addendum!C:C,A702,Addendum!D:D,IF(ISNUMBER(B702),TEXT(B702,"0000"),B702),Addendum!F:F,"X")&gt;0,2.5%,0)</f>
        <v>0</v>
      </c>
      <c r="K702" s="31">
        <f>IF(COUNTIFS(Addendum!C:C,A702,Addendum!D:D,IF(ISNUMBER(B702),TEXT(B702,"0000"),B702),Addendum!G:G,"X")&gt;0,7%,0)</f>
        <v>0</v>
      </c>
      <c r="L702" s="31">
        <f>IF(COUNTIFS(Addendum!C:C,A702,Addendum!D:D,IF(ISNUMBER(B702),TEXT(B702,"0000"),B702),Addendum!I:I,"X")&gt;0,10%,0)</f>
        <v>0</v>
      </c>
      <c r="M702" s="34">
        <f t="shared" si="20"/>
        <v>0</v>
      </c>
      <c r="N702" s="17">
        <f t="shared" si="21"/>
        <v>349398</v>
      </c>
    </row>
    <row r="703" spans="1:14" x14ac:dyDescent="0.25">
      <c r="A703" s="14" t="s">
        <v>1852</v>
      </c>
      <c r="B703" s="14">
        <v>79</v>
      </c>
      <c r="C703" s="15" t="s">
        <v>1880</v>
      </c>
      <c r="D703" s="14" t="s">
        <v>1745</v>
      </c>
      <c r="E703" s="14" t="s">
        <v>1746</v>
      </c>
      <c r="F703" s="17" t="s">
        <v>2994</v>
      </c>
      <c r="G703" s="14">
        <v>12998349</v>
      </c>
      <c r="H703" s="14">
        <v>9098844</v>
      </c>
      <c r="I703" s="31">
        <f>IF(COUNTIFS(Addendum!C:C,A703,Addendum!D:D,IF(ISNUMBER(B703),TEXT(B703,"0000"),B703),Addendum!E:E,"X")&gt;0,4%,0)</f>
        <v>0</v>
      </c>
      <c r="J703" s="31">
        <f>IF(COUNTIFS(Addendum!C:C,A703,Addendum!D:D,IF(ISNUMBER(B703),TEXT(B703,"0000"),B703),Addendum!F:F,"X")&gt;0,2.5%,0)</f>
        <v>0</v>
      </c>
      <c r="K703" s="31">
        <f>IF(COUNTIFS(Addendum!C:C,A703,Addendum!D:D,IF(ISNUMBER(B703),TEXT(B703,"0000"),B703),Addendum!G:G,"X")&gt;0,7%,0)</f>
        <v>0</v>
      </c>
      <c r="L703" s="31">
        <f>IF(COUNTIFS(Addendum!C:C,A703,Addendum!D:D,IF(ISNUMBER(B703),TEXT(B703,"0000"),B703),Addendum!I:I,"X")&gt;0,10%,0)</f>
        <v>0</v>
      </c>
      <c r="M703" s="34">
        <f t="shared" si="20"/>
        <v>0</v>
      </c>
      <c r="N703" s="17">
        <f t="shared" si="21"/>
        <v>9098844</v>
      </c>
    </row>
    <row r="704" spans="1:14" x14ac:dyDescent="0.25">
      <c r="A704" s="14" t="s">
        <v>1852</v>
      </c>
      <c r="B704" s="14" t="s">
        <v>24</v>
      </c>
      <c r="C704" s="15" t="s">
        <v>1993</v>
      </c>
      <c r="D704" s="14" t="s">
        <v>1745</v>
      </c>
      <c r="E704" s="14" t="s">
        <v>1746</v>
      </c>
      <c r="F704" s="17" t="s">
        <v>2993</v>
      </c>
      <c r="G704" s="14">
        <v>524097</v>
      </c>
      <c r="H704" s="14">
        <v>366868</v>
      </c>
      <c r="I704" s="31">
        <f>IF(COUNTIFS(Addendum!C:C,A704,Addendum!D:D,IF(ISNUMBER(B704),TEXT(B704,"0000"),B704),Addendum!E:E,"X")&gt;0,4%,0)</f>
        <v>0</v>
      </c>
      <c r="J704" s="31">
        <f>IF(COUNTIFS(Addendum!C:C,A704,Addendum!D:D,IF(ISNUMBER(B704),TEXT(B704,"0000"),B704),Addendum!F:F,"X")&gt;0,2.5%,0)</f>
        <v>0</v>
      </c>
      <c r="K704" s="31">
        <f>IF(COUNTIFS(Addendum!C:C,A704,Addendum!D:D,IF(ISNUMBER(B704),TEXT(B704,"0000"),B704),Addendum!G:G,"X")&gt;0,7%,0)</f>
        <v>0</v>
      </c>
      <c r="L704" s="31">
        <f>IF(COUNTIFS(Addendum!C:C,A704,Addendum!D:D,IF(ISNUMBER(B704),TEXT(B704,"0000"),B704),Addendum!I:I,"X")&gt;0,10%,0)</f>
        <v>0</v>
      </c>
      <c r="M704" s="34">
        <f t="shared" si="20"/>
        <v>0</v>
      </c>
      <c r="N704" s="17">
        <f t="shared" si="21"/>
        <v>366868</v>
      </c>
    </row>
    <row r="705" spans="1:14" x14ac:dyDescent="0.25">
      <c r="A705" s="14" t="s">
        <v>1850</v>
      </c>
      <c r="B705" s="14" t="s">
        <v>122</v>
      </c>
      <c r="C705" s="15" t="s">
        <v>1918</v>
      </c>
      <c r="D705" s="14" t="s">
        <v>1749</v>
      </c>
      <c r="E705" s="14" t="s">
        <v>1746</v>
      </c>
      <c r="F705" s="17" t="s">
        <v>2994</v>
      </c>
      <c r="G705" s="14">
        <v>8388</v>
      </c>
      <c r="H705" s="14">
        <v>5871.6</v>
      </c>
      <c r="I705" s="31">
        <f>IF(COUNTIFS(Addendum!C:C,A705,Addendum!D:D,IF(ISNUMBER(B705),TEXT(B705,"0000"),B705),Addendum!E:E,"X")&gt;0,4%,0)</f>
        <v>0</v>
      </c>
      <c r="J705" s="31">
        <f>IF(COUNTIFS(Addendum!C:C,A705,Addendum!D:D,IF(ISNUMBER(B705),TEXT(B705,"0000"),B705),Addendum!F:F,"X")&gt;0,2.5%,0)</f>
        <v>0</v>
      </c>
      <c r="K705" s="31">
        <f>IF(COUNTIFS(Addendum!C:C,A705,Addendum!D:D,IF(ISNUMBER(B705),TEXT(B705,"0000"),B705),Addendum!G:G,"X")&gt;0,7%,0)</f>
        <v>0</v>
      </c>
      <c r="L705" s="31">
        <f>IF(COUNTIFS(Addendum!C:C,A705,Addendum!D:D,IF(ISNUMBER(B705),TEXT(B705,"0000"),B705),Addendum!I:I,"X")&gt;0,10%,0)</f>
        <v>0</v>
      </c>
      <c r="M705" s="34">
        <f t="shared" si="20"/>
        <v>0</v>
      </c>
      <c r="N705" s="17">
        <f t="shared" si="21"/>
        <v>5871.6</v>
      </c>
    </row>
    <row r="706" spans="1:14" x14ac:dyDescent="0.25">
      <c r="A706" s="14" t="s">
        <v>1852</v>
      </c>
      <c r="B706" s="14" t="s">
        <v>1630</v>
      </c>
      <c r="C706" s="15" t="s">
        <v>2010</v>
      </c>
      <c r="D706" s="14" t="s">
        <v>1745</v>
      </c>
      <c r="E706" s="14" t="s">
        <v>1747</v>
      </c>
      <c r="F706" s="17" t="s">
        <v>2994</v>
      </c>
      <c r="G706" s="14">
        <v>1597320</v>
      </c>
      <c r="H706" s="14">
        <v>1118124</v>
      </c>
      <c r="I706" s="31">
        <f>IF(COUNTIFS(Addendum!C:C,A706,Addendum!D:D,IF(ISNUMBER(B706),TEXT(B706,"0000"),B706),Addendum!E:E,"X")&gt;0,4%,0)</f>
        <v>0</v>
      </c>
      <c r="J706" s="31">
        <f>IF(COUNTIFS(Addendum!C:C,A706,Addendum!D:D,IF(ISNUMBER(B706),TEXT(B706,"0000"),B706),Addendum!F:F,"X")&gt;0,2.5%,0)</f>
        <v>0</v>
      </c>
      <c r="K706" s="31">
        <f>IF(COUNTIFS(Addendum!C:C,A706,Addendum!D:D,IF(ISNUMBER(B706),TEXT(B706,"0000"),B706),Addendum!G:G,"X")&gt;0,7%,0)</f>
        <v>0</v>
      </c>
      <c r="L706" s="31">
        <f>IF(COUNTIFS(Addendum!C:C,A706,Addendum!D:D,IF(ISNUMBER(B706),TEXT(B706,"0000"),B706),Addendum!I:I,"X")&gt;0,10%,0)</f>
        <v>0</v>
      </c>
      <c r="M706" s="34">
        <f t="shared" si="20"/>
        <v>0</v>
      </c>
      <c r="N706" s="17">
        <f t="shared" si="21"/>
        <v>1118124</v>
      </c>
    </row>
    <row r="707" spans="1:14" x14ac:dyDescent="0.25">
      <c r="A707" s="14" t="s">
        <v>1852</v>
      </c>
      <c r="B707" s="14" t="s">
        <v>1552</v>
      </c>
      <c r="C707" s="15" t="s">
        <v>1922</v>
      </c>
      <c r="D707" s="14" t="s">
        <v>1745</v>
      </c>
      <c r="E707" s="14" t="s">
        <v>1747</v>
      </c>
      <c r="F707" s="17" t="s">
        <v>2994</v>
      </c>
      <c r="G707" s="14">
        <v>2196360</v>
      </c>
      <c r="H707" s="14">
        <v>1537452</v>
      </c>
      <c r="I707" s="31">
        <f>IF(COUNTIFS(Addendum!C:C,A707,Addendum!D:D,IF(ISNUMBER(B707),TEXT(B707,"0000"),B707),Addendum!E:E,"X")&gt;0,4%,0)</f>
        <v>0</v>
      </c>
      <c r="J707" s="31">
        <f>IF(COUNTIFS(Addendum!C:C,A707,Addendum!D:D,IF(ISNUMBER(B707),TEXT(B707,"0000"),B707),Addendum!F:F,"X")&gt;0,2.5%,0)</f>
        <v>0</v>
      </c>
      <c r="K707" s="31">
        <f>IF(COUNTIFS(Addendum!C:C,A707,Addendum!D:D,IF(ISNUMBER(B707),TEXT(B707,"0000"),B707),Addendum!G:G,"X")&gt;0,7%,0)</f>
        <v>0</v>
      </c>
      <c r="L707" s="31">
        <f>IF(COUNTIFS(Addendum!C:C,A707,Addendum!D:D,IF(ISNUMBER(B707),TEXT(B707,"0000"),B707),Addendum!I:I,"X")&gt;0,10%,0)</f>
        <v>0</v>
      </c>
      <c r="M707" s="34">
        <f t="shared" si="20"/>
        <v>0</v>
      </c>
      <c r="N707" s="17">
        <f t="shared" si="21"/>
        <v>1537452</v>
      </c>
    </row>
    <row r="708" spans="1:14" x14ac:dyDescent="0.25">
      <c r="A708" s="14" t="s">
        <v>1852</v>
      </c>
      <c r="B708" s="14">
        <v>88</v>
      </c>
      <c r="C708" s="15" t="s">
        <v>1893</v>
      </c>
      <c r="D708" s="14" t="s">
        <v>1749</v>
      </c>
      <c r="E708" s="14" t="s">
        <v>1746</v>
      </c>
      <c r="F708" s="17" t="s">
        <v>2994</v>
      </c>
      <c r="G708" s="14">
        <v>579036</v>
      </c>
      <c r="H708" s="14">
        <v>405325.2</v>
      </c>
      <c r="I708" s="31">
        <f>IF(COUNTIFS(Addendum!C:C,A708,Addendum!D:D,IF(ISNUMBER(B708),TEXT(B708,"0000"),B708),Addendum!E:E,"X")&gt;0,4%,0)</f>
        <v>0</v>
      </c>
      <c r="J708" s="31">
        <f>IF(COUNTIFS(Addendum!C:C,A708,Addendum!D:D,IF(ISNUMBER(B708),TEXT(B708,"0000"),B708),Addendum!F:F,"X")&gt;0,2.5%,0)</f>
        <v>0</v>
      </c>
      <c r="K708" s="31">
        <f>IF(COUNTIFS(Addendum!C:C,A708,Addendum!D:D,IF(ISNUMBER(B708),TEXT(B708,"0000"),B708),Addendum!G:G,"X")&gt;0,7%,0)</f>
        <v>0</v>
      </c>
      <c r="L708" s="31">
        <f>IF(COUNTIFS(Addendum!C:C,A708,Addendum!D:D,IF(ISNUMBER(B708),TEXT(B708,"0000"),B708),Addendum!I:I,"X")&gt;0,10%,0)</f>
        <v>0</v>
      </c>
      <c r="M708" s="34">
        <f t="shared" ref="M708:M771" si="22">IF(AND(I708=0%,J708=0%,K708=0%,L708=0%),0%,
IF(OR(TRIM(E708)="OneTime",TRIM(D708)=""),0%,
IF(
OR(
TRIM(D708)="P1M",
AND(TRIM(D708)="P1Y",TRIM(E708)="Monthly"),
AND(TRIM(D708)="P3Y",TRIM(E708)="Monthly")
),
IF(AND(I708=4%,J708=0%,K708=0%,L708=0%),1%,
IF(AND(I708=4%,J708=2.5%,K708=0%,L708=10%),2%,
IF(AND(I708=4%,J708=0%,K708=7%,L708=10%),3%,0%))),
IF(
OR(
AND(TRIM(D708)="P1Y",TRIM(E708)="Annual"),
AND(TRIM(D708)="P3Y",TRIM(E708)="Annual"),
AND(TRIM(D708)="P3Y",TRIM(E708)="Triennial")
),
IF(AND(I708=4%,J708=0%,K708=0%,L708=0%),3%,
IF(AND(I708=4%,J708=2.5%,K708=0%,L708=10%),10%,
IF(AND(I708=4%,J708=0%,K708=7%,L708=10%),14%,0%))),
0%
))))</f>
        <v>0</v>
      </c>
      <c r="N708" s="17">
        <f t="shared" ref="N708:N771" si="23">H708-(H708*M708)</f>
        <v>405325.2</v>
      </c>
    </row>
    <row r="709" spans="1:14" x14ac:dyDescent="0.25">
      <c r="A709" s="14" t="s">
        <v>1852</v>
      </c>
      <c r="B709" s="14" t="s">
        <v>1673</v>
      </c>
      <c r="C709" s="15" t="s">
        <v>1980</v>
      </c>
      <c r="D709" s="14" t="s">
        <v>1749</v>
      </c>
      <c r="E709" s="14" t="s">
        <v>1746</v>
      </c>
      <c r="F709" s="17" t="s">
        <v>2994</v>
      </c>
      <c r="G709" s="14">
        <v>19968</v>
      </c>
      <c r="H709" s="14">
        <v>13977.6</v>
      </c>
      <c r="I709" s="31">
        <f>IF(COUNTIFS(Addendum!C:C,A709,Addendum!D:D,IF(ISNUMBER(B709),TEXT(B709,"0000"),B709),Addendum!E:E,"X")&gt;0,4%,0)</f>
        <v>0</v>
      </c>
      <c r="J709" s="31">
        <f>IF(COUNTIFS(Addendum!C:C,A709,Addendum!D:D,IF(ISNUMBER(B709),TEXT(B709,"0000"),B709),Addendum!F:F,"X")&gt;0,2.5%,0)</f>
        <v>0</v>
      </c>
      <c r="K709" s="31">
        <f>IF(COUNTIFS(Addendum!C:C,A709,Addendum!D:D,IF(ISNUMBER(B709),TEXT(B709,"0000"),B709),Addendum!G:G,"X")&gt;0,7%,0)</f>
        <v>0</v>
      </c>
      <c r="L709" s="31">
        <f>IF(COUNTIFS(Addendum!C:C,A709,Addendum!D:D,IF(ISNUMBER(B709),TEXT(B709,"0000"),B709),Addendum!I:I,"X")&gt;0,10%,0)</f>
        <v>0</v>
      </c>
      <c r="M709" s="34">
        <f t="shared" si="22"/>
        <v>0</v>
      </c>
      <c r="N709" s="17">
        <f t="shared" si="23"/>
        <v>13977.6</v>
      </c>
    </row>
    <row r="710" spans="1:14" x14ac:dyDescent="0.25">
      <c r="A710" s="14" t="s">
        <v>1852</v>
      </c>
      <c r="B710" s="14" t="s">
        <v>1564</v>
      </c>
      <c r="C710" s="15" t="s">
        <v>1936</v>
      </c>
      <c r="D710" s="14" t="s">
        <v>1745</v>
      </c>
      <c r="E710" s="14" t="s">
        <v>1746</v>
      </c>
      <c r="F710" s="17" t="s">
        <v>2994</v>
      </c>
      <c r="G710" s="14">
        <v>288288</v>
      </c>
      <c r="H710" s="14">
        <v>201801.60000000001</v>
      </c>
      <c r="I710" s="31">
        <f>IF(COUNTIFS(Addendum!C:C,A710,Addendum!D:D,IF(ISNUMBER(B710),TEXT(B710,"0000"),B710),Addendum!E:E,"X")&gt;0,4%,0)</f>
        <v>0</v>
      </c>
      <c r="J710" s="31">
        <f>IF(COUNTIFS(Addendum!C:C,A710,Addendum!D:D,IF(ISNUMBER(B710),TEXT(B710,"0000"),B710),Addendum!F:F,"X")&gt;0,2.5%,0)</f>
        <v>0</v>
      </c>
      <c r="K710" s="31">
        <f>IF(COUNTIFS(Addendum!C:C,A710,Addendum!D:D,IF(ISNUMBER(B710),TEXT(B710,"0000"),B710),Addendum!G:G,"X")&gt;0,7%,0)</f>
        <v>0</v>
      </c>
      <c r="L710" s="31">
        <f>IF(COUNTIFS(Addendum!C:C,A710,Addendum!D:D,IF(ISNUMBER(B710),TEXT(B710,"0000"),B710),Addendum!I:I,"X")&gt;0,10%,0)</f>
        <v>0</v>
      </c>
      <c r="M710" s="34">
        <f t="shared" si="22"/>
        <v>0</v>
      </c>
      <c r="N710" s="17">
        <f t="shared" si="23"/>
        <v>201801.60000000001</v>
      </c>
    </row>
    <row r="711" spans="1:14" x14ac:dyDescent="0.25">
      <c r="A711" s="14" t="s">
        <v>1852</v>
      </c>
      <c r="B711" s="14" t="s">
        <v>1968</v>
      </c>
      <c r="C711" s="15" t="s">
        <v>1969</v>
      </c>
      <c r="D711" s="14" t="s">
        <v>1745</v>
      </c>
      <c r="E711" s="14" t="s">
        <v>1746</v>
      </c>
      <c r="F711" s="17" t="s">
        <v>2995</v>
      </c>
      <c r="G711" s="14">
        <v>9748746</v>
      </c>
      <c r="H711" s="14">
        <v>8773871</v>
      </c>
      <c r="I711" s="31">
        <f>IF(COUNTIFS(Addendum!C:C,A711,Addendum!D:D,IF(ISNUMBER(B711),TEXT(B711,"0000"),B711),Addendum!E:E,"X")&gt;0,4%,0)</f>
        <v>0</v>
      </c>
      <c r="J711" s="31">
        <f>IF(COUNTIFS(Addendum!C:C,A711,Addendum!D:D,IF(ISNUMBER(B711),TEXT(B711,"0000"),B711),Addendum!F:F,"X")&gt;0,2.5%,0)</f>
        <v>0</v>
      </c>
      <c r="K711" s="31">
        <f>IF(COUNTIFS(Addendum!C:C,A711,Addendum!D:D,IF(ISNUMBER(B711),TEXT(B711,"0000"),B711),Addendum!G:G,"X")&gt;0,7%,0)</f>
        <v>0</v>
      </c>
      <c r="L711" s="31">
        <f>IF(COUNTIFS(Addendum!C:C,A711,Addendum!D:D,IF(ISNUMBER(B711),TEXT(B711,"0000"),B711),Addendum!I:I,"X")&gt;0,10%,0)</f>
        <v>0</v>
      </c>
      <c r="M711" s="34">
        <f t="shared" si="22"/>
        <v>0</v>
      </c>
      <c r="N711" s="17">
        <f t="shared" si="23"/>
        <v>8773871</v>
      </c>
    </row>
    <row r="712" spans="1:14" x14ac:dyDescent="0.25">
      <c r="A712" s="14" t="s">
        <v>1852</v>
      </c>
      <c r="B712" s="14" t="s">
        <v>1683</v>
      </c>
      <c r="C712" s="15" t="s">
        <v>2025</v>
      </c>
      <c r="D712" s="14" t="s">
        <v>1745</v>
      </c>
      <c r="E712" s="14" t="s">
        <v>1747</v>
      </c>
      <c r="F712" s="17" t="s">
        <v>2995</v>
      </c>
      <c r="G712" s="14">
        <v>149760</v>
      </c>
      <c r="H712" s="14">
        <v>134784</v>
      </c>
      <c r="I712" s="31">
        <f>IF(COUNTIFS(Addendum!C:C,A712,Addendum!D:D,IF(ISNUMBER(B712),TEXT(B712,"0000"),B712),Addendum!E:E,"X")&gt;0,4%,0)</f>
        <v>0</v>
      </c>
      <c r="J712" s="31">
        <f>IF(COUNTIFS(Addendum!C:C,A712,Addendum!D:D,IF(ISNUMBER(B712),TEXT(B712,"0000"),B712),Addendum!F:F,"X")&gt;0,2.5%,0)</f>
        <v>0</v>
      </c>
      <c r="K712" s="31">
        <f>IF(COUNTIFS(Addendum!C:C,A712,Addendum!D:D,IF(ISNUMBER(B712),TEXT(B712,"0000"),B712),Addendum!G:G,"X")&gt;0,7%,0)</f>
        <v>0</v>
      </c>
      <c r="L712" s="31">
        <f>IF(COUNTIFS(Addendum!C:C,A712,Addendum!D:D,IF(ISNUMBER(B712),TEXT(B712,"0000"),B712),Addendum!I:I,"X")&gt;0,10%,0)</f>
        <v>0</v>
      </c>
      <c r="M712" s="34">
        <f t="shared" si="22"/>
        <v>0</v>
      </c>
      <c r="N712" s="17">
        <f t="shared" si="23"/>
        <v>134784</v>
      </c>
    </row>
    <row r="713" spans="1:14" x14ac:dyDescent="0.25">
      <c r="A713" s="14" t="s">
        <v>1852</v>
      </c>
      <c r="B713" s="14">
        <v>73</v>
      </c>
      <c r="C713" s="15" t="s">
        <v>1954</v>
      </c>
      <c r="D713" s="14" t="s">
        <v>1749</v>
      </c>
      <c r="E713" s="14" t="s">
        <v>1746</v>
      </c>
      <c r="F713" s="17" t="s">
        <v>2994</v>
      </c>
      <c r="G713" s="14">
        <v>1237938</v>
      </c>
      <c r="H713" s="14">
        <v>866556.6</v>
      </c>
      <c r="I713" s="31">
        <f>IF(COUNTIFS(Addendum!C:C,A713,Addendum!D:D,IF(ISNUMBER(B713),TEXT(B713,"0000"),B713),Addendum!E:E,"X")&gt;0,4%,0)</f>
        <v>0</v>
      </c>
      <c r="J713" s="31">
        <f>IF(COUNTIFS(Addendum!C:C,A713,Addendum!D:D,IF(ISNUMBER(B713),TEXT(B713,"0000"),B713),Addendum!F:F,"X")&gt;0,2.5%,0)</f>
        <v>0</v>
      </c>
      <c r="K713" s="31">
        <f>IF(COUNTIFS(Addendum!C:C,A713,Addendum!D:D,IF(ISNUMBER(B713),TEXT(B713,"0000"),B713),Addendum!G:G,"X")&gt;0,7%,0)</f>
        <v>0</v>
      </c>
      <c r="L713" s="31">
        <f>IF(COUNTIFS(Addendum!C:C,A713,Addendum!D:D,IF(ISNUMBER(B713),TEXT(B713,"0000"),B713),Addendum!I:I,"X")&gt;0,10%,0)</f>
        <v>0</v>
      </c>
      <c r="M713" s="34">
        <f t="shared" si="22"/>
        <v>0</v>
      </c>
      <c r="N713" s="17">
        <f t="shared" si="23"/>
        <v>866556.6</v>
      </c>
    </row>
    <row r="714" spans="1:14" x14ac:dyDescent="0.25">
      <c r="A714" s="14" t="s">
        <v>1852</v>
      </c>
      <c r="B714" s="14" t="s">
        <v>414</v>
      </c>
      <c r="C714" s="15" t="s">
        <v>1937</v>
      </c>
      <c r="D714" s="14" t="s">
        <v>1749</v>
      </c>
      <c r="E714" s="14" t="s">
        <v>1746</v>
      </c>
      <c r="F714" s="17" t="s">
        <v>2994</v>
      </c>
      <c r="G714" s="14">
        <v>579036</v>
      </c>
      <c r="H714" s="14">
        <v>405325.2</v>
      </c>
      <c r="I714" s="31">
        <f>IF(COUNTIFS(Addendum!C:C,A714,Addendum!D:D,IF(ISNUMBER(B714),TEXT(B714,"0000"),B714),Addendum!E:E,"X")&gt;0,4%,0)</f>
        <v>0</v>
      </c>
      <c r="J714" s="31">
        <f>IF(COUNTIFS(Addendum!C:C,A714,Addendum!D:D,IF(ISNUMBER(B714),TEXT(B714,"0000"),B714),Addendum!F:F,"X")&gt;0,2.5%,0)</f>
        <v>0</v>
      </c>
      <c r="K714" s="31">
        <f>IF(COUNTIFS(Addendum!C:C,A714,Addendum!D:D,IF(ISNUMBER(B714),TEXT(B714,"0000"),B714),Addendum!G:G,"X")&gt;0,7%,0)</f>
        <v>0</v>
      </c>
      <c r="L714" s="31">
        <f>IF(COUNTIFS(Addendum!C:C,A714,Addendum!D:D,IF(ISNUMBER(B714),TEXT(B714,"0000"),B714),Addendum!I:I,"X")&gt;0,10%,0)</f>
        <v>0</v>
      </c>
      <c r="M714" s="34">
        <f t="shared" si="22"/>
        <v>0</v>
      </c>
      <c r="N714" s="17">
        <f t="shared" si="23"/>
        <v>405325.2</v>
      </c>
    </row>
    <row r="715" spans="1:14" x14ac:dyDescent="0.25">
      <c r="A715" s="14" t="s">
        <v>1852</v>
      </c>
      <c r="B715" s="14">
        <v>80</v>
      </c>
      <c r="C715" s="15" t="s">
        <v>1934</v>
      </c>
      <c r="D715" s="14" t="s">
        <v>1745</v>
      </c>
      <c r="E715" s="14" t="s">
        <v>1747</v>
      </c>
      <c r="F715" s="17" t="s">
        <v>2994</v>
      </c>
      <c r="G715" s="14">
        <v>5790360</v>
      </c>
      <c r="H715" s="14">
        <v>4053252</v>
      </c>
      <c r="I715" s="31">
        <f>IF(COUNTIFS(Addendum!C:C,A715,Addendum!D:D,IF(ISNUMBER(B715),TEXT(B715,"0000"),B715),Addendum!E:E,"X")&gt;0,4%,0)</f>
        <v>0</v>
      </c>
      <c r="J715" s="31">
        <f>IF(COUNTIFS(Addendum!C:C,A715,Addendum!D:D,IF(ISNUMBER(B715),TEXT(B715,"0000"),B715),Addendum!F:F,"X")&gt;0,2.5%,0)</f>
        <v>0</v>
      </c>
      <c r="K715" s="31">
        <f>IF(COUNTIFS(Addendum!C:C,A715,Addendum!D:D,IF(ISNUMBER(B715),TEXT(B715,"0000"),B715),Addendum!G:G,"X")&gt;0,7%,0)</f>
        <v>0</v>
      </c>
      <c r="L715" s="31">
        <f>IF(COUNTIFS(Addendum!C:C,A715,Addendum!D:D,IF(ISNUMBER(B715),TEXT(B715,"0000"),B715),Addendum!I:I,"X")&gt;0,10%,0)</f>
        <v>0</v>
      </c>
      <c r="M715" s="34">
        <f t="shared" si="22"/>
        <v>0</v>
      </c>
      <c r="N715" s="17">
        <f t="shared" si="23"/>
        <v>4053252</v>
      </c>
    </row>
    <row r="716" spans="1:14" x14ac:dyDescent="0.25">
      <c r="A716" s="14" t="s">
        <v>1852</v>
      </c>
      <c r="B716" s="14">
        <v>53</v>
      </c>
      <c r="C716" s="15" t="s">
        <v>2005</v>
      </c>
      <c r="D716" s="14" t="s">
        <v>1749</v>
      </c>
      <c r="E716" s="14" t="s">
        <v>1746</v>
      </c>
      <c r="F716" s="17" t="s">
        <v>2995</v>
      </c>
      <c r="G716" s="14">
        <v>14976</v>
      </c>
      <c r="H716" s="14">
        <v>13478.4</v>
      </c>
      <c r="I716" s="31">
        <f>IF(COUNTIFS(Addendum!C:C,A716,Addendum!D:D,IF(ISNUMBER(B716),TEXT(B716,"0000"),B716),Addendum!E:E,"X")&gt;0,4%,0)</f>
        <v>0</v>
      </c>
      <c r="J716" s="31">
        <f>IF(COUNTIFS(Addendum!C:C,A716,Addendum!D:D,IF(ISNUMBER(B716),TEXT(B716,"0000"),B716),Addendum!F:F,"X")&gt;0,2.5%,0)</f>
        <v>0</v>
      </c>
      <c r="K716" s="31">
        <f>IF(COUNTIFS(Addendum!C:C,A716,Addendum!D:D,IF(ISNUMBER(B716),TEXT(B716,"0000"),B716),Addendum!G:G,"X")&gt;0,7%,0)</f>
        <v>0</v>
      </c>
      <c r="L716" s="31">
        <f>IF(COUNTIFS(Addendum!C:C,A716,Addendum!D:D,IF(ISNUMBER(B716),TEXT(B716,"0000"),B716),Addendum!I:I,"X")&gt;0,10%,0)</f>
        <v>0</v>
      </c>
      <c r="M716" s="34">
        <f t="shared" si="22"/>
        <v>0</v>
      </c>
      <c r="N716" s="17">
        <f t="shared" si="23"/>
        <v>13478.4</v>
      </c>
    </row>
    <row r="717" spans="1:14" x14ac:dyDescent="0.25">
      <c r="A717" s="14" t="s">
        <v>1852</v>
      </c>
      <c r="B717" s="14" t="s">
        <v>36</v>
      </c>
      <c r="C717" s="15" t="s">
        <v>1910</v>
      </c>
      <c r="D717" s="14" t="s">
        <v>1745</v>
      </c>
      <c r="E717" s="14" t="s">
        <v>1746</v>
      </c>
      <c r="F717" s="17" t="s">
        <v>2993</v>
      </c>
      <c r="G717" s="14">
        <v>524097</v>
      </c>
      <c r="H717" s="14">
        <v>366868</v>
      </c>
      <c r="I717" s="31">
        <f>IF(COUNTIFS(Addendum!C:C,A717,Addendum!D:D,IF(ISNUMBER(B717),TEXT(B717,"0000"),B717),Addendum!E:E,"X")&gt;0,4%,0)</f>
        <v>0</v>
      </c>
      <c r="J717" s="31">
        <f>IF(COUNTIFS(Addendum!C:C,A717,Addendum!D:D,IF(ISNUMBER(B717),TEXT(B717,"0000"),B717),Addendum!F:F,"X")&gt;0,2.5%,0)</f>
        <v>0</v>
      </c>
      <c r="K717" s="31">
        <f>IF(COUNTIFS(Addendum!C:C,A717,Addendum!D:D,IF(ISNUMBER(B717),TEXT(B717,"0000"),B717),Addendum!G:G,"X")&gt;0,7%,0)</f>
        <v>0</v>
      </c>
      <c r="L717" s="31">
        <f>IF(COUNTIFS(Addendum!C:C,A717,Addendum!D:D,IF(ISNUMBER(B717),TEXT(B717,"0000"),B717),Addendum!I:I,"X")&gt;0,10%,0)</f>
        <v>0</v>
      </c>
      <c r="M717" s="34">
        <f t="shared" si="22"/>
        <v>0</v>
      </c>
      <c r="N717" s="17">
        <f t="shared" si="23"/>
        <v>366868</v>
      </c>
    </row>
    <row r="718" spans="1:14" x14ac:dyDescent="0.25">
      <c r="A718" s="14" t="s">
        <v>1852</v>
      </c>
      <c r="B718" s="14" t="s">
        <v>50</v>
      </c>
      <c r="C718" s="15" t="s">
        <v>1911</v>
      </c>
      <c r="D718" s="14" t="s">
        <v>1749</v>
      </c>
      <c r="E718" s="14" t="s">
        <v>1746</v>
      </c>
      <c r="F718" s="17" t="s">
        <v>2993</v>
      </c>
      <c r="G718" s="14">
        <v>3094842</v>
      </c>
      <c r="H718" s="14">
        <v>2166389</v>
      </c>
      <c r="I718" s="31">
        <f>IF(COUNTIFS(Addendum!C:C,A718,Addendum!D:D,IF(ISNUMBER(B718),TEXT(B718,"0000"),B718),Addendum!E:E,"X")&gt;0,4%,0)</f>
        <v>0</v>
      </c>
      <c r="J718" s="31">
        <f>IF(COUNTIFS(Addendum!C:C,A718,Addendum!D:D,IF(ISNUMBER(B718),TEXT(B718,"0000"),B718),Addendum!F:F,"X")&gt;0,2.5%,0)</f>
        <v>0</v>
      </c>
      <c r="K718" s="31">
        <f>IF(COUNTIFS(Addendum!C:C,A718,Addendum!D:D,IF(ISNUMBER(B718),TEXT(B718,"0000"),B718),Addendum!G:G,"X")&gt;0,7%,0)</f>
        <v>0</v>
      </c>
      <c r="L718" s="31">
        <f>IF(COUNTIFS(Addendum!C:C,A718,Addendum!D:D,IF(ISNUMBER(B718),TEXT(B718,"0000"),B718),Addendum!I:I,"X")&gt;0,10%,0)</f>
        <v>0</v>
      </c>
      <c r="M718" s="34">
        <f t="shared" si="22"/>
        <v>0</v>
      </c>
      <c r="N718" s="17">
        <f t="shared" si="23"/>
        <v>2166389</v>
      </c>
    </row>
    <row r="719" spans="1:14" x14ac:dyDescent="0.25">
      <c r="A719" s="14" t="s">
        <v>1852</v>
      </c>
      <c r="B719" s="14" t="s">
        <v>1645</v>
      </c>
      <c r="C719" s="15" t="s">
        <v>1982</v>
      </c>
      <c r="D719" s="14" t="s">
        <v>1749</v>
      </c>
      <c r="E719" s="14" t="s">
        <v>1746</v>
      </c>
      <c r="F719" s="17" t="s">
        <v>2994</v>
      </c>
      <c r="G719" s="14">
        <v>27456</v>
      </c>
      <c r="H719" s="14">
        <v>19219.2</v>
      </c>
      <c r="I719" s="31">
        <f>IF(COUNTIFS(Addendum!C:C,A719,Addendum!D:D,IF(ISNUMBER(B719),TEXT(B719,"0000"),B719),Addendum!E:E,"X")&gt;0,4%,0)</f>
        <v>0</v>
      </c>
      <c r="J719" s="31">
        <f>IF(COUNTIFS(Addendum!C:C,A719,Addendum!D:D,IF(ISNUMBER(B719),TEXT(B719,"0000"),B719),Addendum!F:F,"X")&gt;0,2.5%,0)</f>
        <v>0</v>
      </c>
      <c r="K719" s="31">
        <f>IF(COUNTIFS(Addendum!C:C,A719,Addendum!D:D,IF(ISNUMBER(B719),TEXT(B719,"0000"),B719),Addendum!G:G,"X")&gt;0,7%,0)</f>
        <v>0</v>
      </c>
      <c r="L719" s="31">
        <f>IF(COUNTIFS(Addendum!C:C,A719,Addendum!D:D,IF(ISNUMBER(B719),TEXT(B719,"0000"),B719),Addendum!I:I,"X")&gt;0,10%,0)</f>
        <v>0</v>
      </c>
      <c r="M719" s="34">
        <f t="shared" si="22"/>
        <v>0</v>
      </c>
      <c r="N719" s="17">
        <f t="shared" si="23"/>
        <v>19219.2</v>
      </c>
    </row>
    <row r="720" spans="1:14" x14ac:dyDescent="0.25">
      <c r="A720" s="14" t="s">
        <v>1852</v>
      </c>
      <c r="B720" s="14" t="s">
        <v>1601</v>
      </c>
      <c r="C720" s="15" t="s">
        <v>1887</v>
      </c>
      <c r="D720" s="14" t="s">
        <v>1745</v>
      </c>
      <c r="E720" s="14" t="s">
        <v>1747</v>
      </c>
      <c r="F720" s="17" t="s">
        <v>2995</v>
      </c>
      <c r="G720" s="14">
        <v>149760</v>
      </c>
      <c r="H720" s="14">
        <v>134784</v>
      </c>
      <c r="I720" s="31">
        <f>IF(COUNTIFS(Addendum!C:C,A720,Addendum!D:D,IF(ISNUMBER(B720),TEXT(B720,"0000"),B720),Addendum!E:E,"X")&gt;0,4%,0)</f>
        <v>0</v>
      </c>
      <c r="J720" s="31">
        <f>IF(COUNTIFS(Addendum!C:C,A720,Addendum!D:D,IF(ISNUMBER(B720),TEXT(B720,"0000"),B720),Addendum!F:F,"X")&gt;0,2.5%,0)</f>
        <v>0</v>
      </c>
      <c r="K720" s="31">
        <f>IF(COUNTIFS(Addendum!C:C,A720,Addendum!D:D,IF(ISNUMBER(B720),TEXT(B720,"0000"),B720),Addendum!G:G,"X")&gt;0,7%,0)</f>
        <v>0</v>
      </c>
      <c r="L720" s="31">
        <f>IF(COUNTIFS(Addendum!C:C,A720,Addendum!D:D,IF(ISNUMBER(B720),TEXT(B720,"0000"),B720),Addendum!I:I,"X")&gt;0,10%,0)</f>
        <v>0</v>
      </c>
      <c r="M720" s="34">
        <f t="shared" si="22"/>
        <v>0</v>
      </c>
      <c r="N720" s="17">
        <f t="shared" si="23"/>
        <v>134784</v>
      </c>
    </row>
    <row r="721" spans="1:14" x14ac:dyDescent="0.25">
      <c r="A721" s="14" t="s">
        <v>1852</v>
      </c>
      <c r="B721" s="14" t="s">
        <v>1566</v>
      </c>
      <c r="C721" s="15" t="s">
        <v>1891</v>
      </c>
      <c r="D721" s="14" t="s">
        <v>1745</v>
      </c>
      <c r="E721" s="14" t="s">
        <v>1746</v>
      </c>
      <c r="F721" s="17" t="s">
        <v>2994</v>
      </c>
      <c r="G721" s="14">
        <v>2306178</v>
      </c>
      <c r="H721" s="14">
        <v>1614325</v>
      </c>
      <c r="I721" s="31">
        <f>IF(COUNTIFS(Addendum!C:C,A721,Addendum!D:D,IF(ISNUMBER(B721),TEXT(B721,"0000"),B721),Addendum!E:E,"X")&gt;0,4%,0)</f>
        <v>0</v>
      </c>
      <c r="J721" s="31">
        <f>IF(COUNTIFS(Addendum!C:C,A721,Addendum!D:D,IF(ISNUMBER(B721),TEXT(B721,"0000"),B721),Addendum!F:F,"X")&gt;0,2.5%,0)</f>
        <v>0</v>
      </c>
      <c r="K721" s="31">
        <f>IF(COUNTIFS(Addendum!C:C,A721,Addendum!D:D,IF(ISNUMBER(B721),TEXT(B721,"0000"),B721),Addendum!G:G,"X")&gt;0,7%,0)</f>
        <v>0</v>
      </c>
      <c r="L721" s="31">
        <f>IF(COUNTIFS(Addendum!C:C,A721,Addendum!D:D,IF(ISNUMBER(B721),TEXT(B721,"0000"),B721),Addendum!I:I,"X")&gt;0,10%,0)</f>
        <v>0</v>
      </c>
      <c r="M721" s="34">
        <f t="shared" si="22"/>
        <v>0</v>
      </c>
      <c r="N721" s="17">
        <f t="shared" si="23"/>
        <v>1614325</v>
      </c>
    </row>
    <row r="722" spans="1:14" x14ac:dyDescent="0.25">
      <c r="A722" s="14" t="s">
        <v>1852</v>
      </c>
      <c r="B722" s="14" t="s">
        <v>73</v>
      </c>
      <c r="C722" s="15" t="s">
        <v>2003</v>
      </c>
      <c r="D722" s="14" t="s">
        <v>1745</v>
      </c>
      <c r="E722" s="14" t="s">
        <v>1747</v>
      </c>
      <c r="F722" s="17" t="s">
        <v>2993</v>
      </c>
      <c r="G722" s="14">
        <v>499140</v>
      </c>
      <c r="H722" s="14">
        <v>349398</v>
      </c>
      <c r="I722" s="31">
        <f>IF(COUNTIFS(Addendum!C:C,A722,Addendum!D:D,IF(ISNUMBER(B722),TEXT(B722,"0000"),B722),Addendum!E:E,"X")&gt;0,4%,0)</f>
        <v>0</v>
      </c>
      <c r="J722" s="31">
        <f>IF(COUNTIFS(Addendum!C:C,A722,Addendum!D:D,IF(ISNUMBER(B722),TEXT(B722,"0000"),B722),Addendum!F:F,"X")&gt;0,2.5%,0)</f>
        <v>0</v>
      </c>
      <c r="K722" s="31">
        <f>IF(COUNTIFS(Addendum!C:C,A722,Addendum!D:D,IF(ISNUMBER(B722),TEXT(B722,"0000"),B722),Addendum!G:G,"X")&gt;0,7%,0)</f>
        <v>0</v>
      </c>
      <c r="L722" s="31">
        <f>IF(COUNTIFS(Addendum!C:C,A722,Addendum!D:D,IF(ISNUMBER(B722),TEXT(B722,"0000"),B722),Addendum!I:I,"X")&gt;0,10%,0)</f>
        <v>0</v>
      </c>
      <c r="M722" s="34">
        <f t="shared" si="22"/>
        <v>0</v>
      </c>
      <c r="N722" s="17">
        <f t="shared" si="23"/>
        <v>349398</v>
      </c>
    </row>
    <row r="723" spans="1:14" x14ac:dyDescent="0.25">
      <c r="A723" s="14" t="s">
        <v>1852</v>
      </c>
      <c r="B723" s="14" t="s">
        <v>1540</v>
      </c>
      <c r="C723" s="15" t="s">
        <v>2022</v>
      </c>
      <c r="D723" s="14" t="s">
        <v>1749</v>
      </c>
      <c r="E723" s="14" t="s">
        <v>1746</v>
      </c>
      <c r="F723" s="17" t="s">
        <v>2994</v>
      </c>
      <c r="G723" s="14">
        <v>19968</v>
      </c>
      <c r="H723" s="14">
        <v>13977.6</v>
      </c>
      <c r="I723" s="31">
        <f>IF(COUNTIFS(Addendum!C:C,A723,Addendum!D:D,IF(ISNUMBER(B723),TEXT(B723,"0000"),B723),Addendum!E:E,"X")&gt;0,4%,0)</f>
        <v>0</v>
      </c>
      <c r="J723" s="31">
        <f>IF(COUNTIFS(Addendum!C:C,A723,Addendum!D:D,IF(ISNUMBER(B723),TEXT(B723,"0000"),B723),Addendum!F:F,"X")&gt;0,2.5%,0)</f>
        <v>0</v>
      </c>
      <c r="K723" s="31">
        <f>IF(COUNTIFS(Addendum!C:C,A723,Addendum!D:D,IF(ISNUMBER(B723),TEXT(B723,"0000"),B723),Addendum!G:G,"X")&gt;0,7%,0)</f>
        <v>0</v>
      </c>
      <c r="L723" s="31">
        <f>IF(COUNTIFS(Addendum!C:C,A723,Addendum!D:D,IF(ISNUMBER(B723),TEXT(B723,"0000"),B723),Addendum!I:I,"X")&gt;0,10%,0)</f>
        <v>0</v>
      </c>
      <c r="M723" s="34">
        <f t="shared" si="22"/>
        <v>0</v>
      </c>
      <c r="N723" s="17">
        <f t="shared" si="23"/>
        <v>13977.6</v>
      </c>
    </row>
    <row r="724" spans="1:14" x14ac:dyDescent="0.25">
      <c r="A724" s="14" t="s">
        <v>1852</v>
      </c>
      <c r="B724" s="14" t="s">
        <v>1555</v>
      </c>
      <c r="C724" s="15" t="s">
        <v>2018</v>
      </c>
      <c r="D724" s="14" t="s">
        <v>1745</v>
      </c>
      <c r="E724" s="14" t="s">
        <v>1746</v>
      </c>
      <c r="F724" s="17" t="s">
        <v>2994</v>
      </c>
      <c r="G724" s="14">
        <v>209664</v>
      </c>
      <c r="H724" s="14">
        <v>146764.79999999999</v>
      </c>
      <c r="I724" s="31">
        <f>IF(COUNTIFS(Addendum!C:C,A724,Addendum!D:D,IF(ISNUMBER(B724),TEXT(B724,"0000"),B724),Addendum!E:E,"X")&gt;0,4%,0)</f>
        <v>0</v>
      </c>
      <c r="J724" s="31">
        <f>IF(COUNTIFS(Addendum!C:C,A724,Addendum!D:D,IF(ISNUMBER(B724),TEXT(B724,"0000"),B724),Addendum!F:F,"X")&gt;0,2.5%,0)</f>
        <v>0</v>
      </c>
      <c r="K724" s="31">
        <f>IF(COUNTIFS(Addendum!C:C,A724,Addendum!D:D,IF(ISNUMBER(B724),TEXT(B724,"0000"),B724),Addendum!G:G,"X")&gt;0,7%,0)</f>
        <v>0</v>
      </c>
      <c r="L724" s="31">
        <f>IF(COUNTIFS(Addendum!C:C,A724,Addendum!D:D,IF(ISNUMBER(B724),TEXT(B724,"0000"),B724),Addendum!I:I,"X")&gt;0,10%,0)</f>
        <v>0</v>
      </c>
      <c r="M724" s="34">
        <f t="shared" si="22"/>
        <v>0</v>
      </c>
      <c r="N724" s="17">
        <f t="shared" si="23"/>
        <v>146764.79999999999</v>
      </c>
    </row>
    <row r="725" spans="1:14" x14ac:dyDescent="0.25">
      <c r="A725" s="14" t="s">
        <v>1852</v>
      </c>
      <c r="B725" s="14">
        <v>75</v>
      </c>
      <c r="C725" s="15" t="s">
        <v>2004</v>
      </c>
      <c r="D725" s="14" t="s">
        <v>1745</v>
      </c>
      <c r="E725" s="14" t="s">
        <v>1746</v>
      </c>
      <c r="F725" s="17" t="s">
        <v>2994</v>
      </c>
      <c r="G725" s="14">
        <v>17872722</v>
      </c>
      <c r="H725" s="14">
        <v>12510905</v>
      </c>
      <c r="I725" s="31">
        <f>IF(COUNTIFS(Addendum!C:C,A725,Addendum!D:D,IF(ISNUMBER(B725),TEXT(B725,"0000"),B725),Addendum!E:E,"X")&gt;0,4%,0)</f>
        <v>0</v>
      </c>
      <c r="J725" s="31">
        <f>IF(COUNTIFS(Addendum!C:C,A725,Addendum!D:D,IF(ISNUMBER(B725),TEXT(B725,"0000"),B725),Addendum!F:F,"X")&gt;0,2.5%,0)</f>
        <v>0</v>
      </c>
      <c r="K725" s="31">
        <f>IF(COUNTIFS(Addendum!C:C,A725,Addendum!D:D,IF(ISNUMBER(B725),TEXT(B725,"0000"),B725),Addendum!G:G,"X")&gt;0,7%,0)</f>
        <v>0</v>
      </c>
      <c r="L725" s="31">
        <f>IF(COUNTIFS(Addendum!C:C,A725,Addendum!D:D,IF(ISNUMBER(B725),TEXT(B725,"0000"),B725),Addendum!I:I,"X")&gt;0,10%,0)</f>
        <v>0</v>
      </c>
      <c r="M725" s="34">
        <f t="shared" si="22"/>
        <v>0</v>
      </c>
      <c r="N725" s="17">
        <f t="shared" si="23"/>
        <v>12510905</v>
      </c>
    </row>
    <row r="726" spans="1:14" x14ac:dyDescent="0.25">
      <c r="A726" s="14" t="s">
        <v>1852</v>
      </c>
      <c r="B726" s="14" t="s">
        <v>1898</v>
      </c>
      <c r="C726" s="15" t="s">
        <v>1899</v>
      </c>
      <c r="D726" s="14" t="s">
        <v>1745</v>
      </c>
      <c r="E726" s="14" t="s">
        <v>1747</v>
      </c>
      <c r="F726" s="17" t="s">
        <v>2994</v>
      </c>
      <c r="G726" s="14">
        <v>2196360</v>
      </c>
      <c r="H726" s="14">
        <v>1537452</v>
      </c>
      <c r="I726" s="31">
        <f>IF(COUNTIFS(Addendum!C:C,A726,Addendum!D:D,IF(ISNUMBER(B726),TEXT(B726,"0000"),B726),Addendum!E:E,"X")&gt;0,4%,0)</f>
        <v>0</v>
      </c>
      <c r="J726" s="31">
        <f>IF(COUNTIFS(Addendum!C:C,A726,Addendum!D:D,IF(ISNUMBER(B726),TEXT(B726,"0000"),B726),Addendum!F:F,"X")&gt;0,2.5%,0)</f>
        <v>0</v>
      </c>
      <c r="K726" s="31">
        <f>IF(COUNTIFS(Addendum!C:C,A726,Addendum!D:D,IF(ISNUMBER(B726),TEXT(B726,"0000"),B726),Addendum!G:G,"X")&gt;0,7%,0)</f>
        <v>0</v>
      </c>
      <c r="L726" s="31">
        <f>IF(COUNTIFS(Addendum!C:C,A726,Addendum!D:D,IF(ISNUMBER(B726),TEXT(B726,"0000"),B726),Addendum!I:I,"X")&gt;0,10%,0)</f>
        <v>0</v>
      </c>
      <c r="M726" s="34">
        <f t="shared" si="22"/>
        <v>0</v>
      </c>
      <c r="N726" s="17">
        <f t="shared" si="23"/>
        <v>1537452</v>
      </c>
    </row>
    <row r="727" spans="1:14" x14ac:dyDescent="0.25">
      <c r="A727" s="14" t="s">
        <v>1852</v>
      </c>
      <c r="B727" s="14">
        <v>50</v>
      </c>
      <c r="C727" s="15" t="s">
        <v>1919</v>
      </c>
      <c r="D727" s="14" t="s">
        <v>1745</v>
      </c>
      <c r="E727" s="14" t="s">
        <v>1747</v>
      </c>
      <c r="F727" s="17" t="s">
        <v>2994</v>
      </c>
      <c r="G727" s="14">
        <v>17021640</v>
      </c>
      <c r="H727" s="14">
        <v>11915148</v>
      </c>
      <c r="I727" s="31">
        <f>IF(COUNTIFS(Addendum!C:C,A727,Addendum!D:D,IF(ISNUMBER(B727),TEXT(B727,"0000"),B727),Addendum!E:E,"X")&gt;0,4%,0)</f>
        <v>0</v>
      </c>
      <c r="J727" s="31">
        <f>IF(COUNTIFS(Addendum!C:C,A727,Addendum!D:D,IF(ISNUMBER(B727),TEXT(B727,"0000"),B727),Addendum!F:F,"X")&gt;0,2.5%,0)</f>
        <v>0</v>
      </c>
      <c r="K727" s="31">
        <f>IF(COUNTIFS(Addendum!C:C,A727,Addendum!D:D,IF(ISNUMBER(B727),TEXT(B727,"0000"),B727),Addendum!G:G,"X")&gt;0,7%,0)</f>
        <v>0</v>
      </c>
      <c r="L727" s="31">
        <f>IF(COUNTIFS(Addendum!C:C,A727,Addendum!D:D,IF(ISNUMBER(B727),TEXT(B727,"0000"),B727),Addendum!I:I,"X")&gt;0,10%,0)</f>
        <v>0</v>
      </c>
      <c r="M727" s="34">
        <f t="shared" si="22"/>
        <v>0</v>
      </c>
      <c r="N727" s="17">
        <f t="shared" si="23"/>
        <v>11915148</v>
      </c>
    </row>
    <row r="728" spans="1:14" x14ac:dyDescent="0.25">
      <c r="A728" s="14" t="s">
        <v>1852</v>
      </c>
      <c r="B728" s="14">
        <v>75</v>
      </c>
      <c r="C728" s="15" t="s">
        <v>2004</v>
      </c>
      <c r="D728" s="14" t="s">
        <v>1745</v>
      </c>
      <c r="E728" s="14" t="s">
        <v>1747</v>
      </c>
      <c r="F728" s="17" t="s">
        <v>2994</v>
      </c>
      <c r="G728" s="14">
        <v>17021640</v>
      </c>
      <c r="H728" s="14">
        <v>11915148</v>
      </c>
      <c r="I728" s="31">
        <f>IF(COUNTIFS(Addendum!C:C,A728,Addendum!D:D,IF(ISNUMBER(B728),TEXT(B728,"0000"),B728),Addendum!E:E,"X")&gt;0,4%,0)</f>
        <v>0</v>
      </c>
      <c r="J728" s="31">
        <f>IF(COUNTIFS(Addendum!C:C,A728,Addendum!D:D,IF(ISNUMBER(B728),TEXT(B728,"0000"),B728),Addendum!F:F,"X")&gt;0,2.5%,0)</f>
        <v>0</v>
      </c>
      <c r="K728" s="31">
        <f>IF(COUNTIFS(Addendum!C:C,A728,Addendum!D:D,IF(ISNUMBER(B728),TEXT(B728,"0000"),B728),Addendum!G:G,"X")&gt;0,7%,0)</f>
        <v>0</v>
      </c>
      <c r="L728" s="31">
        <f>IF(COUNTIFS(Addendum!C:C,A728,Addendum!D:D,IF(ISNUMBER(B728),TEXT(B728,"0000"),B728),Addendum!I:I,"X")&gt;0,10%,0)</f>
        <v>0</v>
      </c>
      <c r="M728" s="34">
        <f t="shared" si="22"/>
        <v>0</v>
      </c>
      <c r="N728" s="17">
        <f t="shared" si="23"/>
        <v>11915148</v>
      </c>
    </row>
    <row r="729" spans="1:14" x14ac:dyDescent="0.25">
      <c r="A729" s="14" t="s">
        <v>1852</v>
      </c>
      <c r="B729" s="14" t="s">
        <v>414</v>
      </c>
      <c r="C729" s="15" t="s">
        <v>1937</v>
      </c>
      <c r="D729" s="14" t="s">
        <v>1745</v>
      </c>
      <c r="E729" s="14" t="s">
        <v>1746</v>
      </c>
      <c r="F729" s="17" t="s">
        <v>2994</v>
      </c>
      <c r="G729" s="14">
        <v>6079878</v>
      </c>
      <c r="H729" s="14">
        <v>4255915</v>
      </c>
      <c r="I729" s="31">
        <f>IF(COUNTIFS(Addendum!C:C,A729,Addendum!D:D,IF(ISNUMBER(B729),TEXT(B729,"0000"),B729),Addendum!E:E,"X")&gt;0,4%,0)</f>
        <v>0</v>
      </c>
      <c r="J729" s="31">
        <f>IF(COUNTIFS(Addendum!C:C,A729,Addendum!D:D,IF(ISNUMBER(B729),TEXT(B729,"0000"),B729),Addendum!F:F,"X")&gt;0,2.5%,0)</f>
        <v>0</v>
      </c>
      <c r="K729" s="31">
        <f>IF(COUNTIFS(Addendum!C:C,A729,Addendum!D:D,IF(ISNUMBER(B729),TEXT(B729,"0000"),B729),Addendum!G:G,"X")&gt;0,7%,0)</f>
        <v>0</v>
      </c>
      <c r="L729" s="31">
        <f>IF(COUNTIFS(Addendum!C:C,A729,Addendum!D:D,IF(ISNUMBER(B729),TEXT(B729,"0000"),B729),Addendum!I:I,"X")&gt;0,10%,0)</f>
        <v>0</v>
      </c>
      <c r="M729" s="34">
        <f t="shared" si="22"/>
        <v>0</v>
      </c>
      <c r="N729" s="17">
        <f t="shared" si="23"/>
        <v>4255915</v>
      </c>
    </row>
    <row r="730" spans="1:14" x14ac:dyDescent="0.25">
      <c r="A730" s="14" t="s">
        <v>1852</v>
      </c>
      <c r="B730" s="14">
        <v>54</v>
      </c>
      <c r="C730" s="15" t="s">
        <v>1979</v>
      </c>
      <c r="D730" s="14" t="s">
        <v>1745</v>
      </c>
      <c r="E730" s="14" t="s">
        <v>1746</v>
      </c>
      <c r="F730" s="17" t="s">
        <v>2995</v>
      </c>
      <c r="G730" s="14">
        <v>9748746</v>
      </c>
      <c r="H730" s="14">
        <v>8773871</v>
      </c>
      <c r="I730" s="31">
        <f>IF(COUNTIFS(Addendum!C:C,A730,Addendum!D:D,IF(ISNUMBER(B730),TEXT(B730,"0000"),B730),Addendum!E:E,"X")&gt;0,4%,0)</f>
        <v>0</v>
      </c>
      <c r="J730" s="31">
        <f>IF(COUNTIFS(Addendum!C:C,A730,Addendum!D:D,IF(ISNUMBER(B730),TEXT(B730,"0000"),B730),Addendum!F:F,"X")&gt;0,2.5%,0)</f>
        <v>0</v>
      </c>
      <c r="K730" s="31">
        <f>IF(COUNTIFS(Addendum!C:C,A730,Addendum!D:D,IF(ISNUMBER(B730),TEXT(B730,"0000"),B730),Addendum!G:G,"X")&gt;0,7%,0)</f>
        <v>0</v>
      </c>
      <c r="L730" s="31">
        <f>IF(COUNTIFS(Addendum!C:C,A730,Addendum!D:D,IF(ISNUMBER(B730),TEXT(B730,"0000"),B730),Addendum!I:I,"X")&gt;0,10%,0)</f>
        <v>0</v>
      </c>
      <c r="M730" s="34">
        <f t="shared" si="22"/>
        <v>0</v>
      </c>
      <c r="N730" s="17">
        <f t="shared" si="23"/>
        <v>8773871</v>
      </c>
    </row>
    <row r="731" spans="1:14" x14ac:dyDescent="0.25">
      <c r="A731" s="14" t="s">
        <v>1852</v>
      </c>
      <c r="B731" s="14">
        <v>81</v>
      </c>
      <c r="C731" s="15" t="s">
        <v>1986</v>
      </c>
      <c r="D731" s="14" t="s">
        <v>1749</v>
      </c>
      <c r="E731" s="14" t="s">
        <v>1746</v>
      </c>
      <c r="F731" s="17" t="s">
        <v>2994</v>
      </c>
      <c r="G731" s="14">
        <v>159732</v>
      </c>
      <c r="H731" s="14">
        <v>111812.4</v>
      </c>
      <c r="I731" s="31">
        <f>IF(COUNTIFS(Addendum!C:C,A731,Addendum!D:D,IF(ISNUMBER(B731),TEXT(B731,"0000"),B731),Addendum!E:E,"X")&gt;0,4%,0)</f>
        <v>0</v>
      </c>
      <c r="J731" s="31">
        <f>IF(COUNTIFS(Addendum!C:C,A731,Addendum!D:D,IF(ISNUMBER(B731),TEXT(B731,"0000"),B731),Addendum!F:F,"X")&gt;0,2.5%,0)</f>
        <v>0</v>
      </c>
      <c r="K731" s="31">
        <f>IF(COUNTIFS(Addendum!C:C,A731,Addendum!D:D,IF(ISNUMBER(B731),TEXT(B731,"0000"),B731),Addendum!G:G,"X")&gt;0,7%,0)</f>
        <v>0</v>
      </c>
      <c r="L731" s="31">
        <f>IF(COUNTIFS(Addendum!C:C,A731,Addendum!D:D,IF(ISNUMBER(B731),TEXT(B731,"0000"),B731),Addendum!I:I,"X")&gt;0,10%,0)</f>
        <v>0</v>
      </c>
      <c r="M731" s="34">
        <f t="shared" si="22"/>
        <v>0</v>
      </c>
      <c r="N731" s="17">
        <f t="shared" si="23"/>
        <v>111812.4</v>
      </c>
    </row>
    <row r="732" spans="1:14" x14ac:dyDescent="0.25">
      <c r="A732" s="14" t="s">
        <v>1852</v>
      </c>
      <c r="B732" s="14" t="s">
        <v>1632</v>
      </c>
      <c r="C732" s="15" t="s">
        <v>1987</v>
      </c>
      <c r="D732" s="14" t="s">
        <v>1749</v>
      </c>
      <c r="E732" s="14" t="s">
        <v>1746</v>
      </c>
      <c r="F732" s="17" t="s">
        <v>2995</v>
      </c>
      <c r="G732" s="14">
        <v>14976</v>
      </c>
      <c r="H732" s="14">
        <v>13478.4</v>
      </c>
      <c r="I732" s="31">
        <f>IF(COUNTIFS(Addendum!C:C,A732,Addendum!D:D,IF(ISNUMBER(B732),TEXT(B732,"0000"),B732),Addendum!E:E,"X")&gt;0,4%,0)</f>
        <v>0</v>
      </c>
      <c r="J732" s="31">
        <f>IF(COUNTIFS(Addendum!C:C,A732,Addendum!D:D,IF(ISNUMBER(B732),TEXT(B732,"0000"),B732),Addendum!F:F,"X")&gt;0,2.5%,0)</f>
        <v>0</v>
      </c>
      <c r="K732" s="31">
        <f>IF(COUNTIFS(Addendum!C:C,A732,Addendum!D:D,IF(ISNUMBER(B732),TEXT(B732,"0000"),B732),Addendum!G:G,"X")&gt;0,7%,0)</f>
        <v>0</v>
      </c>
      <c r="L732" s="31">
        <f>IF(COUNTIFS(Addendum!C:C,A732,Addendum!D:D,IF(ISNUMBER(B732),TEXT(B732,"0000"),B732),Addendum!I:I,"X")&gt;0,10%,0)</f>
        <v>0</v>
      </c>
      <c r="M732" s="34">
        <f t="shared" si="22"/>
        <v>0</v>
      </c>
      <c r="N732" s="17">
        <f t="shared" si="23"/>
        <v>13478.4</v>
      </c>
    </row>
    <row r="733" spans="1:14" x14ac:dyDescent="0.25">
      <c r="A733" s="14" t="s">
        <v>1852</v>
      </c>
      <c r="B733" s="14" t="s">
        <v>1737</v>
      </c>
      <c r="C733" s="15" t="s">
        <v>1883</v>
      </c>
      <c r="D733" s="14" t="s">
        <v>1749</v>
      </c>
      <c r="E733" s="14" t="s">
        <v>1746</v>
      </c>
      <c r="F733" s="17" t="s">
        <v>2995</v>
      </c>
      <c r="G733" s="14">
        <v>434274</v>
      </c>
      <c r="H733" s="14">
        <v>390846.6</v>
      </c>
      <c r="I733" s="31">
        <f>IF(COUNTIFS(Addendum!C:C,A733,Addendum!D:D,IF(ISNUMBER(B733),TEXT(B733,"0000"),B733),Addendum!E:E,"X")&gt;0,4%,0)</f>
        <v>0</v>
      </c>
      <c r="J733" s="31">
        <f>IF(COUNTIFS(Addendum!C:C,A733,Addendum!D:D,IF(ISNUMBER(B733),TEXT(B733,"0000"),B733),Addendum!F:F,"X")&gt;0,2.5%,0)</f>
        <v>0</v>
      </c>
      <c r="K733" s="31">
        <f>IF(COUNTIFS(Addendum!C:C,A733,Addendum!D:D,IF(ISNUMBER(B733),TEXT(B733,"0000"),B733),Addendum!G:G,"X")&gt;0,7%,0)</f>
        <v>0</v>
      </c>
      <c r="L733" s="31">
        <f>IF(COUNTIFS(Addendum!C:C,A733,Addendum!D:D,IF(ISNUMBER(B733),TEXT(B733,"0000"),B733),Addendum!I:I,"X")&gt;0,10%,0)</f>
        <v>0</v>
      </c>
      <c r="M733" s="34">
        <f t="shared" si="22"/>
        <v>0</v>
      </c>
      <c r="N733" s="17">
        <f t="shared" si="23"/>
        <v>390846.6</v>
      </c>
    </row>
    <row r="734" spans="1:14" x14ac:dyDescent="0.25">
      <c r="A734" s="14" t="s">
        <v>1852</v>
      </c>
      <c r="B734" s="14">
        <v>59</v>
      </c>
      <c r="C734" s="15" t="s">
        <v>2000</v>
      </c>
      <c r="D734" s="14" t="s">
        <v>1749</v>
      </c>
      <c r="E734" s="14" t="s">
        <v>1746</v>
      </c>
      <c r="F734" s="17" t="s">
        <v>2995</v>
      </c>
      <c r="G734" s="14">
        <v>14976</v>
      </c>
      <c r="H734" s="14">
        <v>13478.4</v>
      </c>
      <c r="I734" s="31">
        <f>IF(COUNTIFS(Addendum!C:C,A734,Addendum!D:D,IF(ISNUMBER(B734),TEXT(B734,"0000"),B734),Addendum!E:E,"X")&gt;0,4%,0)</f>
        <v>0</v>
      </c>
      <c r="J734" s="31">
        <f>IF(COUNTIFS(Addendum!C:C,A734,Addendum!D:D,IF(ISNUMBER(B734),TEXT(B734,"0000"),B734),Addendum!F:F,"X")&gt;0,2.5%,0)</f>
        <v>0</v>
      </c>
      <c r="K734" s="31">
        <f>IF(COUNTIFS(Addendum!C:C,A734,Addendum!D:D,IF(ISNUMBER(B734),TEXT(B734,"0000"),B734),Addendum!G:G,"X")&gt;0,7%,0)</f>
        <v>0</v>
      </c>
      <c r="L734" s="31">
        <f>IF(COUNTIFS(Addendum!C:C,A734,Addendum!D:D,IF(ISNUMBER(B734),TEXT(B734,"0000"),B734),Addendum!I:I,"X")&gt;0,10%,0)</f>
        <v>0</v>
      </c>
      <c r="M734" s="34">
        <f t="shared" si="22"/>
        <v>0</v>
      </c>
      <c r="N734" s="17">
        <f t="shared" si="23"/>
        <v>13478.4</v>
      </c>
    </row>
    <row r="735" spans="1:14" x14ac:dyDescent="0.25">
      <c r="A735" s="14" t="s">
        <v>1852</v>
      </c>
      <c r="B735" s="14" t="s">
        <v>402</v>
      </c>
      <c r="C735" s="15" t="s">
        <v>1932</v>
      </c>
      <c r="D735" s="14" t="s">
        <v>1745</v>
      </c>
      <c r="E735" s="14" t="s">
        <v>1747</v>
      </c>
      <c r="F735" s="17" t="s">
        <v>2994</v>
      </c>
      <c r="G735" s="14">
        <v>7961760</v>
      </c>
      <c r="H735" s="14">
        <v>5573232</v>
      </c>
      <c r="I735" s="31">
        <f>IF(COUNTIFS(Addendum!C:C,A735,Addendum!D:D,IF(ISNUMBER(B735),TEXT(B735,"0000"),B735),Addendum!E:E,"X")&gt;0,4%,0)</f>
        <v>0</v>
      </c>
      <c r="J735" s="31">
        <f>IF(COUNTIFS(Addendum!C:C,A735,Addendum!D:D,IF(ISNUMBER(B735),TEXT(B735,"0000"),B735),Addendum!F:F,"X")&gt;0,2.5%,0)</f>
        <v>0</v>
      </c>
      <c r="K735" s="31">
        <f>IF(COUNTIFS(Addendum!C:C,A735,Addendum!D:D,IF(ISNUMBER(B735),TEXT(B735,"0000"),B735),Addendum!G:G,"X")&gt;0,7%,0)</f>
        <v>0</v>
      </c>
      <c r="L735" s="31">
        <f>IF(COUNTIFS(Addendum!C:C,A735,Addendum!D:D,IF(ISNUMBER(B735),TEXT(B735,"0000"),B735),Addendum!I:I,"X")&gt;0,10%,0)</f>
        <v>0</v>
      </c>
      <c r="M735" s="34">
        <f t="shared" si="22"/>
        <v>0</v>
      </c>
      <c r="N735" s="17">
        <f t="shared" si="23"/>
        <v>5573232</v>
      </c>
    </row>
    <row r="736" spans="1:14" x14ac:dyDescent="0.25">
      <c r="A736" s="14" t="s">
        <v>1852</v>
      </c>
      <c r="B736" s="14">
        <v>9</v>
      </c>
      <c r="C736" s="15" t="s">
        <v>1873</v>
      </c>
      <c r="D736" s="14" t="s">
        <v>1745</v>
      </c>
      <c r="E736" s="14" t="s">
        <v>1746</v>
      </c>
      <c r="F736" s="17" t="s">
        <v>2993</v>
      </c>
      <c r="G736" s="14">
        <v>32495841</v>
      </c>
      <c r="H736" s="14">
        <v>22747089</v>
      </c>
      <c r="I736" s="31">
        <f>IF(COUNTIFS(Addendum!C:C,A736,Addendum!D:D,IF(ISNUMBER(B736),TEXT(B736,"0000"),B736),Addendum!E:E,"X")&gt;0,4%,0)</f>
        <v>0</v>
      </c>
      <c r="J736" s="31">
        <f>IF(COUNTIFS(Addendum!C:C,A736,Addendum!D:D,IF(ISNUMBER(B736),TEXT(B736,"0000"),B736),Addendum!F:F,"X")&gt;0,2.5%,0)</f>
        <v>0</v>
      </c>
      <c r="K736" s="31">
        <f>IF(COUNTIFS(Addendum!C:C,A736,Addendum!D:D,IF(ISNUMBER(B736),TEXT(B736,"0000"),B736),Addendum!G:G,"X")&gt;0,7%,0)</f>
        <v>0</v>
      </c>
      <c r="L736" s="31">
        <f>IF(COUNTIFS(Addendum!C:C,A736,Addendum!D:D,IF(ISNUMBER(B736),TEXT(B736,"0000"),B736),Addendum!I:I,"X")&gt;0,10%,0)</f>
        <v>0</v>
      </c>
      <c r="M736" s="34">
        <f t="shared" si="22"/>
        <v>0</v>
      </c>
      <c r="N736" s="17">
        <f t="shared" si="23"/>
        <v>22747089</v>
      </c>
    </row>
    <row r="737" spans="1:14" x14ac:dyDescent="0.25">
      <c r="A737" s="14" t="s">
        <v>1852</v>
      </c>
      <c r="B737" s="14">
        <v>55</v>
      </c>
      <c r="C737" s="15" t="s">
        <v>2006</v>
      </c>
      <c r="D737" s="14" t="s">
        <v>1745</v>
      </c>
      <c r="E737" s="14" t="s">
        <v>1747</v>
      </c>
      <c r="F737" s="17" t="s">
        <v>2994</v>
      </c>
      <c r="G737" s="14">
        <v>17021640</v>
      </c>
      <c r="H737" s="14">
        <v>11915148</v>
      </c>
      <c r="I737" s="31">
        <f>IF(COUNTIFS(Addendum!C:C,A737,Addendum!D:D,IF(ISNUMBER(B737),TEXT(B737,"0000"),B737),Addendum!E:E,"X")&gt;0,4%,0)</f>
        <v>0</v>
      </c>
      <c r="J737" s="31">
        <f>IF(COUNTIFS(Addendum!C:C,A737,Addendum!D:D,IF(ISNUMBER(B737),TEXT(B737,"0000"),B737),Addendum!F:F,"X")&gt;0,2.5%,0)</f>
        <v>0</v>
      </c>
      <c r="K737" s="31">
        <f>IF(COUNTIFS(Addendum!C:C,A737,Addendum!D:D,IF(ISNUMBER(B737),TEXT(B737,"0000"),B737),Addendum!G:G,"X")&gt;0,7%,0)</f>
        <v>0</v>
      </c>
      <c r="L737" s="31">
        <f>IF(COUNTIFS(Addendum!C:C,A737,Addendum!D:D,IF(ISNUMBER(B737),TEXT(B737,"0000"),B737),Addendum!I:I,"X")&gt;0,10%,0)</f>
        <v>0</v>
      </c>
      <c r="M737" s="34">
        <f t="shared" si="22"/>
        <v>0</v>
      </c>
      <c r="N737" s="17">
        <f t="shared" si="23"/>
        <v>11915148</v>
      </c>
    </row>
    <row r="738" spans="1:14" x14ac:dyDescent="0.25">
      <c r="A738" s="14" t="s">
        <v>1852</v>
      </c>
      <c r="B738" s="14" t="s">
        <v>24</v>
      </c>
      <c r="C738" s="15" t="s">
        <v>1993</v>
      </c>
      <c r="D738" s="14" t="s">
        <v>1745</v>
      </c>
      <c r="E738" s="14" t="s">
        <v>1747</v>
      </c>
      <c r="F738" s="17" t="s">
        <v>2993</v>
      </c>
      <c r="G738" s="14">
        <v>499140</v>
      </c>
      <c r="H738" s="14">
        <v>349398</v>
      </c>
      <c r="I738" s="31">
        <f>IF(COUNTIFS(Addendum!C:C,A738,Addendum!D:D,IF(ISNUMBER(B738),TEXT(B738,"0000"),B738),Addendum!E:E,"X")&gt;0,4%,0)</f>
        <v>0</v>
      </c>
      <c r="J738" s="31">
        <f>IF(COUNTIFS(Addendum!C:C,A738,Addendum!D:D,IF(ISNUMBER(B738),TEXT(B738,"0000"),B738),Addendum!F:F,"X")&gt;0,2.5%,0)</f>
        <v>0</v>
      </c>
      <c r="K738" s="31">
        <f>IF(COUNTIFS(Addendum!C:C,A738,Addendum!D:D,IF(ISNUMBER(B738),TEXT(B738,"0000"),B738),Addendum!G:G,"X")&gt;0,7%,0)</f>
        <v>0</v>
      </c>
      <c r="L738" s="31">
        <f>IF(COUNTIFS(Addendum!C:C,A738,Addendum!D:D,IF(ISNUMBER(B738),TEXT(B738,"0000"),B738),Addendum!I:I,"X")&gt;0,10%,0)</f>
        <v>0</v>
      </c>
      <c r="M738" s="34">
        <f t="shared" si="22"/>
        <v>0</v>
      </c>
      <c r="N738" s="17">
        <f t="shared" si="23"/>
        <v>349398</v>
      </c>
    </row>
    <row r="739" spans="1:14" ht="30" x14ac:dyDescent="0.25">
      <c r="A739" s="14" t="s">
        <v>1850</v>
      </c>
      <c r="B739" s="14" t="s">
        <v>32</v>
      </c>
      <c r="C739" s="15" t="s">
        <v>1884</v>
      </c>
      <c r="D739" s="14" t="s">
        <v>1745</v>
      </c>
      <c r="E739" s="14" t="s">
        <v>1746</v>
      </c>
      <c r="F739" s="17" t="s">
        <v>2994</v>
      </c>
      <c r="G739" s="14">
        <v>17325</v>
      </c>
      <c r="H739" s="14">
        <v>12127.56</v>
      </c>
      <c r="I739" s="31">
        <f>IF(COUNTIFS(Addendum!C:C,A739,Addendum!D:D,IF(ISNUMBER(B739),TEXT(B739,"0000"),B739),Addendum!E:E,"X")&gt;0,4%,0)</f>
        <v>0</v>
      </c>
      <c r="J739" s="31">
        <f>IF(COUNTIFS(Addendum!C:C,A739,Addendum!D:D,IF(ISNUMBER(B739),TEXT(B739,"0000"),B739),Addendum!F:F,"X")&gt;0,2.5%,0)</f>
        <v>0</v>
      </c>
      <c r="K739" s="31">
        <f>IF(COUNTIFS(Addendum!C:C,A739,Addendum!D:D,IF(ISNUMBER(B739),TEXT(B739,"0000"),B739),Addendum!G:G,"X")&gt;0,7%,0)</f>
        <v>0</v>
      </c>
      <c r="L739" s="31">
        <f>IF(COUNTIFS(Addendum!C:C,A739,Addendum!D:D,IF(ISNUMBER(B739),TEXT(B739,"0000"),B739),Addendum!I:I,"X")&gt;0,10%,0)</f>
        <v>0</v>
      </c>
      <c r="M739" s="34">
        <f t="shared" si="22"/>
        <v>0</v>
      </c>
      <c r="N739" s="17">
        <f t="shared" si="23"/>
        <v>12127.56</v>
      </c>
    </row>
    <row r="740" spans="1:14" x14ac:dyDescent="0.25">
      <c r="A740" s="14" t="s">
        <v>1852</v>
      </c>
      <c r="B740" s="14" t="s">
        <v>73</v>
      </c>
      <c r="C740" s="15" t="s">
        <v>2003</v>
      </c>
      <c r="D740" s="14" t="s">
        <v>1749</v>
      </c>
      <c r="E740" s="14" t="s">
        <v>1746</v>
      </c>
      <c r="F740" s="17" t="s">
        <v>2993</v>
      </c>
      <c r="G740" s="14">
        <v>49914</v>
      </c>
      <c r="H740" s="14">
        <v>34939.800000000003</v>
      </c>
      <c r="I740" s="31">
        <f>IF(COUNTIFS(Addendum!C:C,A740,Addendum!D:D,IF(ISNUMBER(B740),TEXT(B740,"0000"),B740),Addendum!E:E,"X")&gt;0,4%,0)</f>
        <v>0</v>
      </c>
      <c r="J740" s="31">
        <f>IF(COUNTIFS(Addendum!C:C,A740,Addendum!D:D,IF(ISNUMBER(B740),TEXT(B740,"0000"),B740),Addendum!F:F,"X")&gt;0,2.5%,0)</f>
        <v>0</v>
      </c>
      <c r="K740" s="31">
        <f>IF(COUNTIFS(Addendum!C:C,A740,Addendum!D:D,IF(ISNUMBER(B740),TEXT(B740,"0000"),B740),Addendum!G:G,"X")&gt;0,7%,0)</f>
        <v>0</v>
      </c>
      <c r="L740" s="31">
        <f>IF(COUNTIFS(Addendum!C:C,A740,Addendum!D:D,IF(ISNUMBER(B740),TEXT(B740,"0000"),B740),Addendum!I:I,"X")&gt;0,10%,0)</f>
        <v>0</v>
      </c>
      <c r="M740" s="34">
        <f t="shared" si="22"/>
        <v>0</v>
      </c>
      <c r="N740" s="17">
        <f t="shared" si="23"/>
        <v>34939.800000000003</v>
      </c>
    </row>
    <row r="741" spans="1:14" x14ac:dyDescent="0.25">
      <c r="A741" s="14" t="s">
        <v>1852</v>
      </c>
      <c r="B741" s="14">
        <v>70</v>
      </c>
      <c r="C741" s="15" t="s">
        <v>1953</v>
      </c>
      <c r="D741" s="14" t="s">
        <v>1749</v>
      </c>
      <c r="E741" s="14" t="s">
        <v>1746</v>
      </c>
      <c r="F741" s="17" t="s">
        <v>2995</v>
      </c>
      <c r="G741" s="14">
        <v>14976</v>
      </c>
      <c r="H741" s="14">
        <v>13478.4</v>
      </c>
      <c r="I741" s="31">
        <f>IF(COUNTIFS(Addendum!C:C,A741,Addendum!D:D,IF(ISNUMBER(B741),TEXT(B741,"0000"),B741),Addendum!E:E,"X")&gt;0,4%,0)</f>
        <v>0</v>
      </c>
      <c r="J741" s="31">
        <f>IF(COUNTIFS(Addendum!C:C,A741,Addendum!D:D,IF(ISNUMBER(B741),TEXT(B741,"0000"),B741),Addendum!F:F,"X")&gt;0,2.5%,0)</f>
        <v>0</v>
      </c>
      <c r="K741" s="31">
        <f>IF(COUNTIFS(Addendum!C:C,A741,Addendum!D:D,IF(ISNUMBER(B741),TEXT(B741,"0000"),B741),Addendum!G:G,"X")&gt;0,7%,0)</f>
        <v>0</v>
      </c>
      <c r="L741" s="31">
        <f>IF(COUNTIFS(Addendum!C:C,A741,Addendum!D:D,IF(ISNUMBER(B741),TEXT(B741,"0000"),B741),Addendum!I:I,"X")&gt;0,10%,0)</f>
        <v>0</v>
      </c>
      <c r="M741" s="34">
        <f t="shared" si="22"/>
        <v>0</v>
      </c>
      <c r="N741" s="17">
        <f t="shared" si="23"/>
        <v>13478.4</v>
      </c>
    </row>
    <row r="742" spans="1:14" x14ac:dyDescent="0.25">
      <c r="A742" s="14" t="s">
        <v>1852</v>
      </c>
      <c r="B742" s="14">
        <v>66</v>
      </c>
      <c r="C742" s="15" t="s">
        <v>2023</v>
      </c>
      <c r="D742" s="14" t="s">
        <v>1745</v>
      </c>
      <c r="E742" s="14" t="s">
        <v>1747</v>
      </c>
      <c r="F742" s="17" t="s">
        <v>2995</v>
      </c>
      <c r="G742" s="14">
        <v>149760</v>
      </c>
      <c r="H742" s="14">
        <v>134784</v>
      </c>
      <c r="I742" s="31">
        <f>IF(COUNTIFS(Addendum!C:C,A742,Addendum!D:D,IF(ISNUMBER(B742),TEXT(B742,"0000"),B742),Addendum!E:E,"X")&gt;0,4%,0)</f>
        <v>0</v>
      </c>
      <c r="J742" s="31">
        <f>IF(COUNTIFS(Addendum!C:C,A742,Addendum!D:D,IF(ISNUMBER(B742),TEXT(B742,"0000"),B742),Addendum!F:F,"X")&gt;0,2.5%,0)</f>
        <v>0</v>
      </c>
      <c r="K742" s="31">
        <f>IF(COUNTIFS(Addendum!C:C,A742,Addendum!D:D,IF(ISNUMBER(B742),TEXT(B742,"0000"),B742),Addendum!G:G,"X")&gt;0,7%,0)</f>
        <v>0</v>
      </c>
      <c r="L742" s="31">
        <f>IF(COUNTIFS(Addendum!C:C,A742,Addendum!D:D,IF(ISNUMBER(B742),TEXT(B742,"0000"),B742),Addendum!I:I,"X")&gt;0,10%,0)</f>
        <v>0</v>
      </c>
      <c r="M742" s="34">
        <f t="shared" si="22"/>
        <v>0</v>
      </c>
      <c r="N742" s="17">
        <f t="shared" si="23"/>
        <v>134784</v>
      </c>
    </row>
    <row r="743" spans="1:14" x14ac:dyDescent="0.25">
      <c r="A743" s="14" t="s">
        <v>1852</v>
      </c>
      <c r="B743" s="14" t="s">
        <v>1907</v>
      </c>
      <c r="C743" s="15" t="s">
        <v>1908</v>
      </c>
      <c r="D743" s="14" t="s">
        <v>1745</v>
      </c>
      <c r="E743" s="14" t="s">
        <v>1747</v>
      </c>
      <c r="F743" s="17" t="s">
        <v>2995</v>
      </c>
      <c r="G743" s="14">
        <v>149760</v>
      </c>
      <c r="H743" s="14">
        <v>134784</v>
      </c>
      <c r="I743" s="31">
        <f>IF(COUNTIFS(Addendum!C:C,A743,Addendum!D:D,IF(ISNUMBER(B743),TEXT(B743,"0000"),B743),Addendum!E:E,"X")&gt;0,4%,0)</f>
        <v>0</v>
      </c>
      <c r="J743" s="31">
        <f>IF(COUNTIFS(Addendum!C:C,A743,Addendum!D:D,IF(ISNUMBER(B743),TEXT(B743,"0000"),B743),Addendum!F:F,"X")&gt;0,2.5%,0)</f>
        <v>0</v>
      </c>
      <c r="K743" s="31">
        <f>IF(COUNTIFS(Addendum!C:C,A743,Addendum!D:D,IF(ISNUMBER(B743),TEXT(B743,"0000"),B743),Addendum!G:G,"X")&gt;0,7%,0)</f>
        <v>0</v>
      </c>
      <c r="L743" s="31">
        <f>IF(COUNTIFS(Addendum!C:C,A743,Addendum!D:D,IF(ISNUMBER(B743),TEXT(B743,"0000"),B743),Addendum!I:I,"X")&gt;0,10%,0)</f>
        <v>0</v>
      </c>
      <c r="M743" s="34">
        <f t="shared" si="22"/>
        <v>0</v>
      </c>
      <c r="N743" s="17">
        <f t="shared" si="23"/>
        <v>134784</v>
      </c>
    </row>
    <row r="744" spans="1:14" x14ac:dyDescent="0.25">
      <c r="A744" s="14" t="s">
        <v>1852</v>
      </c>
      <c r="B744" s="14" t="s">
        <v>1968</v>
      </c>
      <c r="C744" s="15" t="s">
        <v>1969</v>
      </c>
      <c r="D744" s="14" t="s">
        <v>1745</v>
      </c>
      <c r="E744" s="14" t="s">
        <v>1747</v>
      </c>
      <c r="F744" s="17" t="s">
        <v>2995</v>
      </c>
      <c r="G744" s="14">
        <v>9284520</v>
      </c>
      <c r="H744" s="14">
        <v>8356068</v>
      </c>
      <c r="I744" s="31">
        <f>IF(COUNTIFS(Addendum!C:C,A744,Addendum!D:D,IF(ISNUMBER(B744),TEXT(B744,"0000"),B744),Addendum!E:E,"X")&gt;0,4%,0)</f>
        <v>0</v>
      </c>
      <c r="J744" s="31">
        <f>IF(COUNTIFS(Addendum!C:C,A744,Addendum!D:D,IF(ISNUMBER(B744),TEXT(B744,"0000"),B744),Addendum!F:F,"X")&gt;0,2.5%,0)</f>
        <v>0</v>
      </c>
      <c r="K744" s="31">
        <f>IF(COUNTIFS(Addendum!C:C,A744,Addendum!D:D,IF(ISNUMBER(B744),TEXT(B744,"0000"),B744),Addendum!G:G,"X")&gt;0,7%,0)</f>
        <v>0</v>
      </c>
      <c r="L744" s="31">
        <f>IF(COUNTIFS(Addendum!C:C,A744,Addendum!D:D,IF(ISNUMBER(B744),TEXT(B744,"0000"),B744),Addendum!I:I,"X")&gt;0,10%,0)</f>
        <v>0</v>
      </c>
      <c r="M744" s="34">
        <f t="shared" si="22"/>
        <v>0</v>
      </c>
      <c r="N744" s="17">
        <f t="shared" si="23"/>
        <v>8356068</v>
      </c>
    </row>
    <row r="745" spans="1:14" x14ac:dyDescent="0.25">
      <c r="A745" s="14" t="s">
        <v>1852</v>
      </c>
      <c r="B745" s="14">
        <v>16</v>
      </c>
      <c r="C745" s="15" t="s">
        <v>1952</v>
      </c>
      <c r="D745" s="14" t="s">
        <v>1749</v>
      </c>
      <c r="E745" s="14" t="s">
        <v>1746</v>
      </c>
      <c r="F745" s="17" t="s">
        <v>2993</v>
      </c>
      <c r="G745" s="14">
        <v>49914</v>
      </c>
      <c r="H745" s="14">
        <v>34939.800000000003</v>
      </c>
      <c r="I745" s="31">
        <f>IF(COUNTIFS(Addendum!C:C,A745,Addendum!D:D,IF(ISNUMBER(B745),TEXT(B745,"0000"),B745),Addendum!E:E,"X")&gt;0,4%,0)</f>
        <v>0</v>
      </c>
      <c r="J745" s="31">
        <f>IF(COUNTIFS(Addendum!C:C,A745,Addendum!D:D,IF(ISNUMBER(B745),TEXT(B745,"0000"),B745),Addendum!F:F,"X")&gt;0,2.5%,0)</f>
        <v>0</v>
      </c>
      <c r="K745" s="31">
        <f>IF(COUNTIFS(Addendum!C:C,A745,Addendum!D:D,IF(ISNUMBER(B745),TEXT(B745,"0000"),B745),Addendum!G:G,"X")&gt;0,7%,0)</f>
        <v>0</v>
      </c>
      <c r="L745" s="31">
        <f>IF(COUNTIFS(Addendum!C:C,A745,Addendum!D:D,IF(ISNUMBER(B745),TEXT(B745,"0000"),B745),Addendum!I:I,"X")&gt;0,10%,0)</f>
        <v>0</v>
      </c>
      <c r="M745" s="34">
        <f t="shared" si="22"/>
        <v>0</v>
      </c>
      <c r="N745" s="17">
        <f t="shared" si="23"/>
        <v>34939.800000000003</v>
      </c>
    </row>
    <row r="746" spans="1:14" x14ac:dyDescent="0.25">
      <c r="A746" s="14" t="s">
        <v>1852</v>
      </c>
      <c r="B746" s="14" t="s">
        <v>1683</v>
      </c>
      <c r="C746" s="15" t="s">
        <v>2025</v>
      </c>
      <c r="D746" s="14" t="s">
        <v>1749</v>
      </c>
      <c r="E746" s="14" t="s">
        <v>1746</v>
      </c>
      <c r="F746" s="17" t="s">
        <v>2995</v>
      </c>
      <c r="G746" s="14">
        <v>14976</v>
      </c>
      <c r="H746" s="14">
        <v>13478.4</v>
      </c>
      <c r="I746" s="31">
        <f>IF(COUNTIFS(Addendum!C:C,A746,Addendum!D:D,IF(ISNUMBER(B746),TEXT(B746,"0000"),B746),Addendum!E:E,"X")&gt;0,4%,0)</f>
        <v>0</v>
      </c>
      <c r="J746" s="31">
        <f>IF(COUNTIFS(Addendum!C:C,A746,Addendum!D:D,IF(ISNUMBER(B746),TEXT(B746,"0000"),B746),Addendum!F:F,"X")&gt;0,2.5%,0)</f>
        <v>0</v>
      </c>
      <c r="K746" s="31">
        <f>IF(COUNTIFS(Addendum!C:C,A746,Addendum!D:D,IF(ISNUMBER(B746),TEXT(B746,"0000"),B746),Addendum!G:G,"X")&gt;0,7%,0)</f>
        <v>0</v>
      </c>
      <c r="L746" s="31">
        <f>IF(COUNTIFS(Addendum!C:C,A746,Addendum!D:D,IF(ISNUMBER(B746),TEXT(B746,"0000"),B746),Addendum!I:I,"X")&gt;0,10%,0)</f>
        <v>0</v>
      </c>
      <c r="M746" s="34">
        <f t="shared" si="22"/>
        <v>0</v>
      </c>
      <c r="N746" s="17">
        <f t="shared" si="23"/>
        <v>13478.4</v>
      </c>
    </row>
    <row r="747" spans="1:14" x14ac:dyDescent="0.25">
      <c r="A747" s="14" t="s">
        <v>1852</v>
      </c>
      <c r="B747" s="14" t="s">
        <v>2019</v>
      </c>
      <c r="C747" s="15" t="s">
        <v>2020</v>
      </c>
      <c r="D747" s="14" t="s">
        <v>1745</v>
      </c>
      <c r="E747" s="14" t="s">
        <v>1747</v>
      </c>
      <c r="F747" s="17" t="s">
        <v>2994</v>
      </c>
      <c r="G747" s="14">
        <v>199680</v>
      </c>
      <c r="H747" s="14">
        <v>139776</v>
      </c>
      <c r="I747" s="31">
        <f>IF(COUNTIFS(Addendum!C:C,A747,Addendum!D:D,IF(ISNUMBER(B747),TEXT(B747,"0000"),B747),Addendum!E:E,"X")&gt;0,4%,0)</f>
        <v>0</v>
      </c>
      <c r="J747" s="31">
        <f>IF(COUNTIFS(Addendum!C:C,A747,Addendum!D:D,IF(ISNUMBER(B747),TEXT(B747,"0000"),B747),Addendum!F:F,"X")&gt;0,2.5%,0)</f>
        <v>0</v>
      </c>
      <c r="K747" s="31">
        <f>IF(COUNTIFS(Addendum!C:C,A747,Addendum!D:D,IF(ISNUMBER(B747),TEXT(B747,"0000"),B747),Addendum!G:G,"X")&gt;0,7%,0)</f>
        <v>0</v>
      </c>
      <c r="L747" s="31">
        <f>IF(COUNTIFS(Addendum!C:C,A747,Addendum!D:D,IF(ISNUMBER(B747),TEXT(B747,"0000"),B747),Addendum!I:I,"X")&gt;0,10%,0)</f>
        <v>0</v>
      </c>
      <c r="M747" s="34">
        <f t="shared" si="22"/>
        <v>0</v>
      </c>
      <c r="N747" s="17">
        <f t="shared" si="23"/>
        <v>139776</v>
      </c>
    </row>
    <row r="748" spans="1:14" x14ac:dyDescent="0.25">
      <c r="A748" s="14" t="s">
        <v>1852</v>
      </c>
      <c r="B748" s="14" t="s">
        <v>1578</v>
      </c>
      <c r="C748" s="15" t="s">
        <v>1856</v>
      </c>
      <c r="D748" s="14" t="s">
        <v>1745</v>
      </c>
      <c r="E748" s="14" t="s">
        <v>1746</v>
      </c>
      <c r="F748" s="17" t="s">
        <v>2995</v>
      </c>
      <c r="G748" s="14">
        <v>157248</v>
      </c>
      <c r="H748" s="14">
        <v>141523.20000000001</v>
      </c>
      <c r="I748" s="31">
        <f>IF(COUNTIFS(Addendum!C:C,A748,Addendum!D:D,IF(ISNUMBER(B748),TEXT(B748,"0000"),B748),Addendum!E:E,"X")&gt;0,4%,0)</f>
        <v>0</v>
      </c>
      <c r="J748" s="31">
        <f>IF(COUNTIFS(Addendum!C:C,A748,Addendum!D:D,IF(ISNUMBER(B748),TEXT(B748,"0000"),B748),Addendum!F:F,"X")&gt;0,2.5%,0)</f>
        <v>0</v>
      </c>
      <c r="K748" s="31">
        <f>IF(COUNTIFS(Addendum!C:C,A748,Addendum!D:D,IF(ISNUMBER(B748),TEXT(B748,"0000"),B748),Addendum!G:G,"X")&gt;0,7%,0)</f>
        <v>0</v>
      </c>
      <c r="L748" s="31">
        <f>IF(COUNTIFS(Addendum!C:C,A748,Addendum!D:D,IF(ISNUMBER(B748),TEXT(B748,"0000"),B748),Addendum!I:I,"X")&gt;0,10%,0)</f>
        <v>0</v>
      </c>
      <c r="M748" s="34">
        <f t="shared" si="22"/>
        <v>0</v>
      </c>
      <c r="N748" s="17">
        <f t="shared" si="23"/>
        <v>141523.20000000001</v>
      </c>
    </row>
    <row r="749" spans="1:14" x14ac:dyDescent="0.25">
      <c r="A749" s="14" t="s">
        <v>2026</v>
      </c>
      <c r="B749" s="14">
        <v>7</v>
      </c>
      <c r="C749" s="15" t="s">
        <v>2027</v>
      </c>
      <c r="D749" s="14" t="s">
        <v>1745</v>
      </c>
      <c r="E749" s="14" t="s">
        <v>1746</v>
      </c>
      <c r="F749" s="17" t="s">
        <v>2994</v>
      </c>
      <c r="G749" s="14">
        <v>63441</v>
      </c>
      <c r="H749" s="14">
        <v>47580.72</v>
      </c>
      <c r="I749" s="31">
        <f>IF(COUNTIFS(Addendum!C:C,A749,Addendum!D:D,IF(ISNUMBER(B749),TEXT(B749,"0000"),B749),Addendum!E:E,"X")&gt;0,4%,0)</f>
        <v>0</v>
      </c>
      <c r="J749" s="31">
        <f>IF(COUNTIFS(Addendum!C:C,A749,Addendum!D:D,IF(ISNUMBER(B749),TEXT(B749,"0000"),B749),Addendum!F:F,"X")&gt;0,2.5%,0)</f>
        <v>0</v>
      </c>
      <c r="K749" s="31">
        <f>IF(COUNTIFS(Addendum!C:C,A749,Addendum!D:D,IF(ISNUMBER(B749),TEXT(B749,"0000"),B749),Addendum!G:G,"X")&gt;0,7%,0)</f>
        <v>0</v>
      </c>
      <c r="L749" s="31">
        <f>IF(COUNTIFS(Addendum!C:C,A749,Addendum!D:D,IF(ISNUMBER(B749),TEXT(B749,"0000"),B749),Addendum!I:I,"X")&gt;0,10%,0)</f>
        <v>0</v>
      </c>
      <c r="M749" s="34">
        <f t="shared" si="22"/>
        <v>0</v>
      </c>
      <c r="N749" s="17">
        <f t="shared" si="23"/>
        <v>47580.72</v>
      </c>
    </row>
    <row r="750" spans="1:14" ht="30" x14ac:dyDescent="0.25">
      <c r="A750" s="14" t="s">
        <v>2026</v>
      </c>
      <c r="B750" s="14">
        <v>8</v>
      </c>
      <c r="C750" s="15" t="s">
        <v>2028</v>
      </c>
      <c r="D750" s="14" t="s">
        <v>1745</v>
      </c>
      <c r="E750" s="14" t="s">
        <v>1747</v>
      </c>
      <c r="F750" s="17" t="s">
        <v>2994</v>
      </c>
      <c r="G750" s="14">
        <v>49440</v>
      </c>
      <c r="H750" s="14">
        <v>37080</v>
      </c>
      <c r="I750" s="31">
        <f>IF(COUNTIFS(Addendum!C:C,A750,Addendum!D:D,IF(ISNUMBER(B750),TEXT(B750,"0000"),B750),Addendum!E:E,"X")&gt;0,4%,0)</f>
        <v>0</v>
      </c>
      <c r="J750" s="31">
        <f>IF(COUNTIFS(Addendum!C:C,A750,Addendum!D:D,IF(ISNUMBER(B750),TEXT(B750,"0000"),B750),Addendum!F:F,"X")&gt;0,2.5%,0)</f>
        <v>0</v>
      </c>
      <c r="K750" s="31">
        <f>IF(COUNTIFS(Addendum!C:C,A750,Addendum!D:D,IF(ISNUMBER(B750),TEXT(B750,"0000"),B750),Addendum!G:G,"X")&gt;0,7%,0)</f>
        <v>0</v>
      </c>
      <c r="L750" s="31">
        <f>IF(COUNTIFS(Addendum!C:C,A750,Addendum!D:D,IF(ISNUMBER(B750),TEXT(B750,"0000"),B750),Addendum!I:I,"X")&gt;0,10%,0)</f>
        <v>0</v>
      </c>
      <c r="M750" s="34">
        <f t="shared" si="22"/>
        <v>0</v>
      </c>
      <c r="N750" s="17">
        <f t="shared" si="23"/>
        <v>37080</v>
      </c>
    </row>
    <row r="751" spans="1:14" ht="30" x14ac:dyDescent="0.25">
      <c r="A751" s="14" t="s">
        <v>2026</v>
      </c>
      <c r="B751" s="14">
        <v>8</v>
      </c>
      <c r="C751" s="15" t="s">
        <v>2028</v>
      </c>
      <c r="D751" s="14" t="s">
        <v>1745</v>
      </c>
      <c r="E751" s="14" t="s">
        <v>1746</v>
      </c>
      <c r="F751" s="17" t="s">
        <v>2994</v>
      </c>
      <c r="G751" s="14">
        <v>51912</v>
      </c>
      <c r="H751" s="14">
        <v>38934</v>
      </c>
      <c r="I751" s="31">
        <f>IF(COUNTIFS(Addendum!C:C,A751,Addendum!D:D,IF(ISNUMBER(B751),TEXT(B751,"0000"),B751),Addendum!E:E,"X")&gt;0,4%,0)</f>
        <v>0</v>
      </c>
      <c r="J751" s="31">
        <f>IF(COUNTIFS(Addendum!C:C,A751,Addendum!D:D,IF(ISNUMBER(B751),TEXT(B751,"0000"),B751),Addendum!F:F,"X")&gt;0,2.5%,0)</f>
        <v>0</v>
      </c>
      <c r="K751" s="31">
        <f>IF(COUNTIFS(Addendum!C:C,A751,Addendum!D:D,IF(ISNUMBER(B751),TEXT(B751,"0000"),B751),Addendum!G:G,"X")&gt;0,7%,0)</f>
        <v>0</v>
      </c>
      <c r="L751" s="31">
        <f>IF(COUNTIFS(Addendum!C:C,A751,Addendum!D:D,IF(ISNUMBER(B751),TEXT(B751,"0000"),B751),Addendum!I:I,"X")&gt;0,10%,0)</f>
        <v>0</v>
      </c>
      <c r="M751" s="34">
        <f t="shared" si="22"/>
        <v>0</v>
      </c>
      <c r="N751" s="17">
        <f t="shared" si="23"/>
        <v>38934</v>
      </c>
    </row>
    <row r="752" spans="1:14" x14ac:dyDescent="0.25">
      <c r="A752" s="14" t="s">
        <v>2026</v>
      </c>
      <c r="B752" s="14">
        <v>9</v>
      </c>
      <c r="C752" s="15" t="s">
        <v>2029</v>
      </c>
      <c r="D752" s="14" t="s">
        <v>1749</v>
      </c>
      <c r="E752" s="14" t="s">
        <v>1746</v>
      </c>
      <c r="F752" s="17" t="s">
        <v>2993</v>
      </c>
      <c r="G752" s="14">
        <v>8988</v>
      </c>
      <c r="H752" s="14">
        <v>6741</v>
      </c>
      <c r="I752" s="31">
        <f>IF(COUNTIFS(Addendum!C:C,A752,Addendum!D:D,IF(ISNUMBER(B752),TEXT(B752,"0000"),B752),Addendum!E:E,"X")&gt;0,4%,0)</f>
        <v>0</v>
      </c>
      <c r="J752" s="31">
        <f>IF(COUNTIFS(Addendum!C:C,A752,Addendum!D:D,IF(ISNUMBER(B752),TEXT(B752,"0000"),B752),Addendum!F:F,"X")&gt;0,2.5%,0)</f>
        <v>0</v>
      </c>
      <c r="K752" s="31">
        <f>IF(COUNTIFS(Addendum!C:C,A752,Addendum!D:D,IF(ISNUMBER(B752),TEXT(B752,"0000"),B752),Addendum!G:G,"X")&gt;0,7%,0)</f>
        <v>0</v>
      </c>
      <c r="L752" s="31">
        <f>IF(COUNTIFS(Addendum!C:C,A752,Addendum!D:D,IF(ISNUMBER(B752),TEXT(B752,"0000"),B752),Addendum!I:I,"X")&gt;0,10%,0)</f>
        <v>0</v>
      </c>
      <c r="M752" s="34">
        <f t="shared" si="22"/>
        <v>0</v>
      </c>
      <c r="N752" s="17">
        <f t="shared" si="23"/>
        <v>6741</v>
      </c>
    </row>
    <row r="753" spans="1:14" ht="30" x14ac:dyDescent="0.25">
      <c r="A753" s="14" t="s">
        <v>2026</v>
      </c>
      <c r="B753" s="14">
        <v>5</v>
      </c>
      <c r="C753" s="15" t="s">
        <v>2030</v>
      </c>
      <c r="D753" s="14" t="s">
        <v>1749</v>
      </c>
      <c r="E753" s="14" t="s">
        <v>1746</v>
      </c>
      <c r="F753" s="17" t="s">
        <v>2994</v>
      </c>
      <c r="G753" s="14">
        <v>3594</v>
      </c>
      <c r="H753" s="14">
        <v>2695.5</v>
      </c>
      <c r="I753" s="31">
        <f>IF(COUNTIFS(Addendum!C:C,A753,Addendum!D:D,IF(ISNUMBER(B753),TEXT(B753,"0000"),B753),Addendum!E:E,"X")&gt;0,4%,0)</f>
        <v>0</v>
      </c>
      <c r="J753" s="31">
        <f>IF(COUNTIFS(Addendum!C:C,A753,Addendum!D:D,IF(ISNUMBER(B753),TEXT(B753,"0000"),B753),Addendum!F:F,"X")&gt;0,2.5%,0)</f>
        <v>0</v>
      </c>
      <c r="K753" s="31">
        <f>IF(COUNTIFS(Addendum!C:C,A753,Addendum!D:D,IF(ISNUMBER(B753),TEXT(B753,"0000"),B753),Addendum!G:G,"X")&gt;0,7%,0)</f>
        <v>0</v>
      </c>
      <c r="L753" s="31">
        <f>IF(COUNTIFS(Addendum!C:C,A753,Addendum!D:D,IF(ISNUMBER(B753),TEXT(B753,"0000"),B753),Addendum!I:I,"X")&gt;0,10%,0)</f>
        <v>0</v>
      </c>
      <c r="M753" s="34">
        <f t="shared" si="22"/>
        <v>0</v>
      </c>
      <c r="N753" s="17">
        <f t="shared" si="23"/>
        <v>2695.5</v>
      </c>
    </row>
    <row r="754" spans="1:14" x14ac:dyDescent="0.25">
      <c r="A754" s="14" t="s">
        <v>2026</v>
      </c>
      <c r="B754" s="14">
        <v>9</v>
      </c>
      <c r="C754" s="15" t="s">
        <v>2029</v>
      </c>
      <c r="D754" s="14" t="s">
        <v>1745</v>
      </c>
      <c r="E754" s="14" t="s">
        <v>1746</v>
      </c>
      <c r="F754" s="17" t="s">
        <v>2993</v>
      </c>
      <c r="G754" s="14">
        <v>94374</v>
      </c>
      <c r="H754" s="14">
        <v>70780.56</v>
      </c>
      <c r="I754" s="31">
        <f>IF(COUNTIFS(Addendum!C:C,A754,Addendum!D:D,IF(ISNUMBER(B754),TEXT(B754,"0000"),B754),Addendum!E:E,"X")&gt;0,4%,0)</f>
        <v>0</v>
      </c>
      <c r="J754" s="31">
        <f>IF(COUNTIFS(Addendum!C:C,A754,Addendum!D:D,IF(ISNUMBER(B754),TEXT(B754,"0000"),B754),Addendum!F:F,"X")&gt;0,2.5%,0)</f>
        <v>0</v>
      </c>
      <c r="K754" s="31">
        <f>IF(COUNTIFS(Addendum!C:C,A754,Addendum!D:D,IF(ISNUMBER(B754),TEXT(B754,"0000"),B754),Addendum!G:G,"X")&gt;0,7%,0)</f>
        <v>0</v>
      </c>
      <c r="L754" s="31">
        <f>IF(COUNTIFS(Addendum!C:C,A754,Addendum!D:D,IF(ISNUMBER(B754),TEXT(B754,"0000"),B754),Addendum!I:I,"X")&gt;0,10%,0)</f>
        <v>0</v>
      </c>
      <c r="M754" s="34">
        <f t="shared" si="22"/>
        <v>0</v>
      </c>
      <c r="N754" s="17">
        <f t="shared" si="23"/>
        <v>70780.56</v>
      </c>
    </row>
    <row r="755" spans="1:14" x14ac:dyDescent="0.25">
      <c r="A755" s="14" t="s">
        <v>2026</v>
      </c>
      <c r="B755" s="14">
        <v>2</v>
      </c>
      <c r="C755" s="15" t="s">
        <v>2031</v>
      </c>
      <c r="D755" s="14" t="s">
        <v>1745</v>
      </c>
      <c r="E755" s="14" t="s">
        <v>1746</v>
      </c>
      <c r="F755" s="17" t="s">
        <v>2995</v>
      </c>
      <c r="G755" s="14">
        <v>28854</v>
      </c>
      <c r="H755" s="14">
        <v>25968.6</v>
      </c>
      <c r="I755" s="31">
        <f>IF(COUNTIFS(Addendum!C:C,A755,Addendum!D:D,IF(ISNUMBER(B755),TEXT(B755,"0000"),B755),Addendum!E:E,"X")&gt;0,4%,0)</f>
        <v>0</v>
      </c>
      <c r="J755" s="31">
        <f>IF(COUNTIFS(Addendum!C:C,A755,Addendum!D:D,IF(ISNUMBER(B755),TEXT(B755,"0000"),B755),Addendum!F:F,"X")&gt;0,2.5%,0)</f>
        <v>0</v>
      </c>
      <c r="K755" s="31">
        <f>IF(COUNTIFS(Addendum!C:C,A755,Addendum!D:D,IF(ISNUMBER(B755),TEXT(B755,"0000"),B755),Addendum!G:G,"X")&gt;0,7%,0)</f>
        <v>0</v>
      </c>
      <c r="L755" s="31">
        <f>IF(COUNTIFS(Addendum!C:C,A755,Addendum!D:D,IF(ISNUMBER(B755),TEXT(B755,"0000"),B755),Addendum!I:I,"X")&gt;0,10%,0)</f>
        <v>0</v>
      </c>
      <c r="M755" s="34">
        <f t="shared" si="22"/>
        <v>0</v>
      </c>
      <c r="N755" s="17">
        <f t="shared" si="23"/>
        <v>25968.6</v>
      </c>
    </row>
    <row r="756" spans="1:14" ht="30" x14ac:dyDescent="0.25">
      <c r="A756" s="14" t="s">
        <v>2026</v>
      </c>
      <c r="B756" s="14">
        <v>8</v>
      </c>
      <c r="C756" s="15" t="s">
        <v>2028</v>
      </c>
      <c r="D756" s="14" t="s">
        <v>1749</v>
      </c>
      <c r="E756" s="14" t="s">
        <v>1746</v>
      </c>
      <c r="F756" s="17" t="s">
        <v>2994</v>
      </c>
      <c r="G756" s="14">
        <v>4944</v>
      </c>
      <c r="H756" s="14">
        <v>3708</v>
      </c>
      <c r="I756" s="31">
        <f>IF(COUNTIFS(Addendum!C:C,A756,Addendum!D:D,IF(ISNUMBER(B756),TEXT(B756,"0000"),B756),Addendum!E:E,"X")&gt;0,4%,0)</f>
        <v>0</v>
      </c>
      <c r="J756" s="31">
        <f>IF(COUNTIFS(Addendum!C:C,A756,Addendum!D:D,IF(ISNUMBER(B756),TEXT(B756,"0000"),B756),Addendum!F:F,"X")&gt;0,2.5%,0)</f>
        <v>0</v>
      </c>
      <c r="K756" s="31">
        <f>IF(COUNTIFS(Addendum!C:C,A756,Addendum!D:D,IF(ISNUMBER(B756),TEXT(B756,"0000"),B756),Addendum!G:G,"X")&gt;0,7%,0)</f>
        <v>0</v>
      </c>
      <c r="L756" s="31">
        <f>IF(COUNTIFS(Addendum!C:C,A756,Addendum!D:D,IF(ISNUMBER(B756),TEXT(B756,"0000"),B756),Addendum!I:I,"X")&gt;0,10%,0)</f>
        <v>0</v>
      </c>
      <c r="M756" s="34">
        <f t="shared" si="22"/>
        <v>0</v>
      </c>
      <c r="N756" s="17">
        <f t="shared" si="23"/>
        <v>3708</v>
      </c>
    </row>
    <row r="757" spans="1:14" x14ac:dyDescent="0.25">
      <c r="A757" s="14" t="s">
        <v>2026</v>
      </c>
      <c r="B757" s="14">
        <v>6</v>
      </c>
      <c r="C757" s="15" t="s">
        <v>2032</v>
      </c>
      <c r="D757" s="14" t="s">
        <v>1745</v>
      </c>
      <c r="E757" s="14" t="s">
        <v>1746</v>
      </c>
      <c r="F757" s="17" t="s">
        <v>2993</v>
      </c>
      <c r="G757" s="14">
        <v>115290</v>
      </c>
      <c r="H757" s="14">
        <v>86467.56</v>
      </c>
      <c r="I757" s="31">
        <f>IF(COUNTIFS(Addendum!C:C,A757,Addendum!D:D,IF(ISNUMBER(B757),TEXT(B757,"0000"),B757),Addendum!E:E,"X")&gt;0,4%,0)</f>
        <v>0</v>
      </c>
      <c r="J757" s="31">
        <f>IF(COUNTIFS(Addendum!C:C,A757,Addendum!D:D,IF(ISNUMBER(B757),TEXT(B757,"0000"),B757),Addendum!F:F,"X")&gt;0,2.5%,0)</f>
        <v>0</v>
      </c>
      <c r="K757" s="31">
        <f>IF(COUNTIFS(Addendum!C:C,A757,Addendum!D:D,IF(ISNUMBER(B757),TEXT(B757,"0000"),B757),Addendum!G:G,"X")&gt;0,7%,0)</f>
        <v>0</v>
      </c>
      <c r="L757" s="31">
        <f>IF(COUNTIFS(Addendum!C:C,A757,Addendum!D:D,IF(ISNUMBER(B757),TEXT(B757,"0000"),B757),Addendum!I:I,"X")&gt;0,10%,0)</f>
        <v>0</v>
      </c>
      <c r="M757" s="34">
        <f t="shared" si="22"/>
        <v>0</v>
      </c>
      <c r="N757" s="17">
        <f t="shared" si="23"/>
        <v>86467.56</v>
      </c>
    </row>
    <row r="758" spans="1:14" x14ac:dyDescent="0.25">
      <c r="A758" s="14" t="s">
        <v>2026</v>
      </c>
      <c r="B758" s="14">
        <v>9</v>
      </c>
      <c r="C758" s="15" t="s">
        <v>2029</v>
      </c>
      <c r="D758" s="14" t="s">
        <v>1745</v>
      </c>
      <c r="E758" s="14" t="s">
        <v>1747</v>
      </c>
      <c r="F758" s="17" t="s">
        <v>2993</v>
      </c>
      <c r="G758" s="14">
        <v>89880</v>
      </c>
      <c r="H758" s="14">
        <v>67410</v>
      </c>
      <c r="I758" s="31">
        <f>IF(COUNTIFS(Addendum!C:C,A758,Addendum!D:D,IF(ISNUMBER(B758),TEXT(B758,"0000"),B758),Addendum!E:E,"X")&gt;0,4%,0)</f>
        <v>0</v>
      </c>
      <c r="J758" s="31">
        <f>IF(COUNTIFS(Addendum!C:C,A758,Addendum!D:D,IF(ISNUMBER(B758),TEXT(B758,"0000"),B758),Addendum!F:F,"X")&gt;0,2.5%,0)</f>
        <v>0</v>
      </c>
      <c r="K758" s="31">
        <f>IF(COUNTIFS(Addendum!C:C,A758,Addendum!D:D,IF(ISNUMBER(B758),TEXT(B758,"0000"),B758),Addendum!G:G,"X")&gt;0,7%,0)</f>
        <v>0</v>
      </c>
      <c r="L758" s="31">
        <f>IF(COUNTIFS(Addendum!C:C,A758,Addendum!D:D,IF(ISNUMBER(B758),TEXT(B758,"0000"),B758),Addendum!I:I,"X")&gt;0,10%,0)</f>
        <v>0</v>
      </c>
      <c r="M758" s="34">
        <f t="shared" si="22"/>
        <v>0</v>
      </c>
      <c r="N758" s="17">
        <f t="shared" si="23"/>
        <v>67410</v>
      </c>
    </row>
    <row r="759" spans="1:14" x14ac:dyDescent="0.25">
      <c r="A759" s="14" t="s">
        <v>2026</v>
      </c>
      <c r="B759" s="14">
        <v>6</v>
      </c>
      <c r="C759" s="15" t="s">
        <v>2032</v>
      </c>
      <c r="D759" s="14" t="s">
        <v>1749</v>
      </c>
      <c r="E759" s="14" t="s">
        <v>1746</v>
      </c>
      <c r="F759" s="17" t="s">
        <v>2993</v>
      </c>
      <c r="G759" s="14">
        <v>10980</v>
      </c>
      <c r="H759" s="14">
        <v>8235</v>
      </c>
      <c r="I759" s="31">
        <f>IF(COUNTIFS(Addendum!C:C,A759,Addendum!D:D,IF(ISNUMBER(B759),TEXT(B759,"0000"),B759),Addendum!E:E,"X")&gt;0,4%,0)</f>
        <v>0</v>
      </c>
      <c r="J759" s="31">
        <f>IF(COUNTIFS(Addendum!C:C,A759,Addendum!D:D,IF(ISNUMBER(B759),TEXT(B759,"0000"),B759),Addendum!F:F,"X")&gt;0,2.5%,0)</f>
        <v>0</v>
      </c>
      <c r="K759" s="31">
        <f>IF(COUNTIFS(Addendum!C:C,A759,Addendum!D:D,IF(ISNUMBER(B759),TEXT(B759,"0000"),B759),Addendum!G:G,"X")&gt;0,7%,0)</f>
        <v>0</v>
      </c>
      <c r="L759" s="31">
        <f>IF(COUNTIFS(Addendum!C:C,A759,Addendum!D:D,IF(ISNUMBER(B759),TEXT(B759,"0000"),B759),Addendum!I:I,"X")&gt;0,10%,0)</f>
        <v>0</v>
      </c>
      <c r="M759" s="34">
        <f t="shared" si="22"/>
        <v>0</v>
      </c>
      <c r="N759" s="17">
        <f t="shared" si="23"/>
        <v>8235</v>
      </c>
    </row>
    <row r="760" spans="1:14" ht="30" x14ac:dyDescent="0.25">
      <c r="A760" s="14" t="s">
        <v>2026</v>
      </c>
      <c r="B760" s="14">
        <v>4</v>
      </c>
      <c r="C760" s="15" t="s">
        <v>2033</v>
      </c>
      <c r="D760" s="14" t="s">
        <v>1745</v>
      </c>
      <c r="E760" s="14" t="s">
        <v>1747</v>
      </c>
      <c r="F760" s="17" t="s">
        <v>2995</v>
      </c>
      <c r="G760" s="14">
        <v>22440</v>
      </c>
      <c r="H760" s="14">
        <v>20196</v>
      </c>
      <c r="I760" s="31">
        <f>IF(COUNTIFS(Addendum!C:C,A760,Addendum!D:D,IF(ISNUMBER(B760),TEXT(B760,"0000"),B760),Addendum!E:E,"X")&gt;0,4%,0)</f>
        <v>0</v>
      </c>
      <c r="J760" s="31">
        <f>IF(COUNTIFS(Addendum!C:C,A760,Addendum!D:D,IF(ISNUMBER(B760),TEXT(B760,"0000"),B760),Addendum!F:F,"X")&gt;0,2.5%,0)</f>
        <v>0</v>
      </c>
      <c r="K760" s="31">
        <f>IF(COUNTIFS(Addendum!C:C,A760,Addendum!D:D,IF(ISNUMBER(B760),TEXT(B760,"0000"),B760),Addendum!G:G,"X")&gt;0,7%,0)</f>
        <v>0</v>
      </c>
      <c r="L760" s="31">
        <f>IF(COUNTIFS(Addendum!C:C,A760,Addendum!D:D,IF(ISNUMBER(B760),TEXT(B760,"0000"),B760),Addendum!I:I,"X")&gt;0,10%,0)</f>
        <v>0</v>
      </c>
      <c r="M760" s="34">
        <f t="shared" si="22"/>
        <v>0</v>
      </c>
      <c r="N760" s="17">
        <f t="shared" si="23"/>
        <v>20196</v>
      </c>
    </row>
    <row r="761" spans="1:14" x14ac:dyDescent="0.25">
      <c r="A761" s="14" t="s">
        <v>2026</v>
      </c>
      <c r="B761" s="14">
        <v>1</v>
      </c>
      <c r="C761" s="15" t="s">
        <v>2034</v>
      </c>
      <c r="D761" s="14" t="s">
        <v>1745</v>
      </c>
      <c r="E761" s="14" t="s">
        <v>1747</v>
      </c>
      <c r="F761" s="17" t="s">
        <v>2994</v>
      </c>
      <c r="G761" s="14">
        <v>43920</v>
      </c>
      <c r="H761" s="14">
        <v>32940</v>
      </c>
      <c r="I761" s="31">
        <f>IF(COUNTIFS(Addendum!C:C,A761,Addendum!D:D,IF(ISNUMBER(B761),TEXT(B761,"0000"),B761),Addendum!E:E,"X")&gt;0,4%,0)</f>
        <v>0</v>
      </c>
      <c r="J761" s="31">
        <f>IF(COUNTIFS(Addendum!C:C,A761,Addendum!D:D,IF(ISNUMBER(B761),TEXT(B761,"0000"),B761),Addendum!F:F,"X")&gt;0,2.5%,0)</f>
        <v>0</v>
      </c>
      <c r="K761" s="31">
        <f>IF(COUNTIFS(Addendum!C:C,A761,Addendum!D:D,IF(ISNUMBER(B761),TEXT(B761,"0000"),B761),Addendum!G:G,"X")&gt;0,7%,0)</f>
        <v>0</v>
      </c>
      <c r="L761" s="31">
        <f>IF(COUNTIFS(Addendum!C:C,A761,Addendum!D:D,IF(ISNUMBER(B761),TEXT(B761,"0000"),B761),Addendum!I:I,"X")&gt;0,10%,0)</f>
        <v>0</v>
      </c>
      <c r="M761" s="34">
        <f t="shared" si="22"/>
        <v>0</v>
      </c>
      <c r="N761" s="17">
        <f t="shared" si="23"/>
        <v>32940</v>
      </c>
    </row>
    <row r="762" spans="1:14" x14ac:dyDescent="0.25">
      <c r="A762" s="14" t="s">
        <v>2026</v>
      </c>
      <c r="B762" s="14">
        <v>2</v>
      </c>
      <c r="C762" s="15" t="s">
        <v>2031</v>
      </c>
      <c r="D762" s="14" t="s">
        <v>1745</v>
      </c>
      <c r="E762" s="14" t="s">
        <v>1747</v>
      </c>
      <c r="F762" s="17" t="s">
        <v>2995</v>
      </c>
      <c r="G762" s="14">
        <v>27480</v>
      </c>
      <c r="H762" s="14">
        <v>24732</v>
      </c>
      <c r="I762" s="31">
        <f>IF(COUNTIFS(Addendum!C:C,A762,Addendum!D:D,IF(ISNUMBER(B762),TEXT(B762,"0000"),B762),Addendum!E:E,"X")&gt;0,4%,0)</f>
        <v>0</v>
      </c>
      <c r="J762" s="31">
        <f>IF(COUNTIFS(Addendum!C:C,A762,Addendum!D:D,IF(ISNUMBER(B762),TEXT(B762,"0000"),B762),Addendum!F:F,"X")&gt;0,2.5%,0)</f>
        <v>0</v>
      </c>
      <c r="K762" s="31">
        <f>IF(COUNTIFS(Addendum!C:C,A762,Addendum!D:D,IF(ISNUMBER(B762),TEXT(B762,"0000"),B762),Addendum!G:G,"X")&gt;0,7%,0)</f>
        <v>0</v>
      </c>
      <c r="L762" s="31">
        <f>IF(COUNTIFS(Addendum!C:C,A762,Addendum!D:D,IF(ISNUMBER(B762),TEXT(B762,"0000"),B762),Addendum!I:I,"X")&gt;0,10%,0)</f>
        <v>0</v>
      </c>
      <c r="M762" s="34">
        <f t="shared" si="22"/>
        <v>0</v>
      </c>
      <c r="N762" s="17">
        <f t="shared" si="23"/>
        <v>24732</v>
      </c>
    </row>
    <row r="763" spans="1:14" x14ac:dyDescent="0.25">
      <c r="A763" s="14" t="s">
        <v>2026</v>
      </c>
      <c r="B763" s="14">
        <v>6</v>
      </c>
      <c r="C763" s="15" t="s">
        <v>2032</v>
      </c>
      <c r="D763" s="14" t="s">
        <v>1745</v>
      </c>
      <c r="E763" s="14" t="s">
        <v>1747</v>
      </c>
      <c r="F763" s="17" t="s">
        <v>2993</v>
      </c>
      <c r="G763" s="14">
        <v>109800</v>
      </c>
      <c r="H763" s="14">
        <v>82350</v>
      </c>
      <c r="I763" s="31">
        <f>IF(COUNTIFS(Addendum!C:C,A763,Addendum!D:D,IF(ISNUMBER(B763),TEXT(B763,"0000"),B763),Addendum!E:E,"X")&gt;0,4%,0)</f>
        <v>0</v>
      </c>
      <c r="J763" s="31">
        <f>IF(COUNTIFS(Addendum!C:C,A763,Addendum!D:D,IF(ISNUMBER(B763),TEXT(B763,"0000"),B763),Addendum!F:F,"X")&gt;0,2.5%,0)</f>
        <v>0</v>
      </c>
      <c r="K763" s="31">
        <f>IF(COUNTIFS(Addendum!C:C,A763,Addendum!D:D,IF(ISNUMBER(B763),TEXT(B763,"0000"),B763),Addendum!G:G,"X")&gt;0,7%,0)</f>
        <v>0</v>
      </c>
      <c r="L763" s="31">
        <f>IF(COUNTIFS(Addendum!C:C,A763,Addendum!D:D,IF(ISNUMBER(B763),TEXT(B763,"0000"),B763),Addendum!I:I,"X")&gt;0,10%,0)</f>
        <v>0</v>
      </c>
      <c r="M763" s="34">
        <f t="shared" si="22"/>
        <v>0</v>
      </c>
      <c r="N763" s="17">
        <f t="shared" si="23"/>
        <v>82350</v>
      </c>
    </row>
    <row r="764" spans="1:14" x14ac:dyDescent="0.25">
      <c r="A764" s="14" t="s">
        <v>2026</v>
      </c>
      <c r="B764" s="14">
        <v>7</v>
      </c>
      <c r="C764" s="15" t="s">
        <v>2027</v>
      </c>
      <c r="D764" s="14" t="s">
        <v>1749</v>
      </c>
      <c r="E764" s="14" t="s">
        <v>1746</v>
      </c>
      <c r="F764" s="17" t="s">
        <v>2994</v>
      </c>
      <c r="G764" s="14">
        <v>6042</v>
      </c>
      <c r="H764" s="14">
        <v>4531.5</v>
      </c>
      <c r="I764" s="31">
        <f>IF(COUNTIFS(Addendum!C:C,A764,Addendum!D:D,IF(ISNUMBER(B764),TEXT(B764,"0000"),B764),Addendum!E:E,"X")&gt;0,4%,0)</f>
        <v>0</v>
      </c>
      <c r="J764" s="31">
        <f>IF(COUNTIFS(Addendum!C:C,A764,Addendum!D:D,IF(ISNUMBER(B764),TEXT(B764,"0000"),B764),Addendum!F:F,"X")&gt;0,2.5%,0)</f>
        <v>0</v>
      </c>
      <c r="K764" s="31">
        <f>IF(COUNTIFS(Addendum!C:C,A764,Addendum!D:D,IF(ISNUMBER(B764),TEXT(B764,"0000"),B764),Addendum!G:G,"X")&gt;0,7%,0)</f>
        <v>0</v>
      </c>
      <c r="L764" s="31">
        <f>IF(COUNTIFS(Addendum!C:C,A764,Addendum!D:D,IF(ISNUMBER(B764),TEXT(B764,"0000"),B764),Addendum!I:I,"X")&gt;0,10%,0)</f>
        <v>0</v>
      </c>
      <c r="M764" s="34">
        <f t="shared" si="22"/>
        <v>0</v>
      </c>
      <c r="N764" s="17">
        <f t="shared" si="23"/>
        <v>4531.5</v>
      </c>
    </row>
    <row r="765" spans="1:14" ht="30" x14ac:dyDescent="0.25">
      <c r="A765" s="14" t="s">
        <v>2026</v>
      </c>
      <c r="B765" s="14">
        <v>4</v>
      </c>
      <c r="C765" s="15" t="s">
        <v>2033</v>
      </c>
      <c r="D765" s="14" t="s">
        <v>1749</v>
      </c>
      <c r="E765" s="14" t="s">
        <v>1746</v>
      </c>
      <c r="F765" s="17" t="s">
        <v>2995</v>
      </c>
      <c r="G765" s="14">
        <v>2244</v>
      </c>
      <c r="H765" s="14">
        <v>2019.6</v>
      </c>
      <c r="I765" s="31">
        <f>IF(COUNTIFS(Addendum!C:C,A765,Addendum!D:D,IF(ISNUMBER(B765),TEXT(B765,"0000"),B765),Addendum!E:E,"X")&gt;0,4%,0)</f>
        <v>0</v>
      </c>
      <c r="J765" s="31">
        <f>IF(COUNTIFS(Addendum!C:C,A765,Addendum!D:D,IF(ISNUMBER(B765),TEXT(B765,"0000"),B765),Addendum!F:F,"X")&gt;0,2.5%,0)</f>
        <v>0</v>
      </c>
      <c r="K765" s="31">
        <f>IF(COUNTIFS(Addendum!C:C,A765,Addendum!D:D,IF(ISNUMBER(B765),TEXT(B765,"0000"),B765),Addendum!G:G,"X")&gt;0,7%,0)</f>
        <v>0</v>
      </c>
      <c r="L765" s="31">
        <f>IF(COUNTIFS(Addendum!C:C,A765,Addendum!D:D,IF(ISNUMBER(B765),TEXT(B765,"0000"),B765),Addendum!I:I,"X")&gt;0,10%,0)</f>
        <v>0</v>
      </c>
      <c r="M765" s="34">
        <f t="shared" si="22"/>
        <v>0</v>
      </c>
      <c r="N765" s="17">
        <f t="shared" si="23"/>
        <v>2019.6</v>
      </c>
    </row>
    <row r="766" spans="1:14" ht="30" x14ac:dyDescent="0.25">
      <c r="A766" s="14" t="s">
        <v>2026</v>
      </c>
      <c r="B766" s="14">
        <v>5</v>
      </c>
      <c r="C766" s="15" t="s">
        <v>2030</v>
      </c>
      <c r="D766" s="14" t="s">
        <v>1745</v>
      </c>
      <c r="E766" s="14" t="s">
        <v>1747</v>
      </c>
      <c r="F766" s="17" t="s">
        <v>2994</v>
      </c>
      <c r="G766" s="14">
        <v>35940</v>
      </c>
      <c r="H766" s="14">
        <v>26955</v>
      </c>
      <c r="I766" s="31">
        <f>IF(COUNTIFS(Addendum!C:C,A766,Addendum!D:D,IF(ISNUMBER(B766),TEXT(B766,"0000"),B766),Addendum!E:E,"X")&gt;0,4%,0)</f>
        <v>0</v>
      </c>
      <c r="J766" s="31">
        <f>IF(COUNTIFS(Addendum!C:C,A766,Addendum!D:D,IF(ISNUMBER(B766),TEXT(B766,"0000"),B766),Addendum!F:F,"X")&gt;0,2.5%,0)</f>
        <v>0</v>
      </c>
      <c r="K766" s="31">
        <f>IF(COUNTIFS(Addendum!C:C,A766,Addendum!D:D,IF(ISNUMBER(B766),TEXT(B766,"0000"),B766),Addendum!G:G,"X")&gt;0,7%,0)</f>
        <v>0</v>
      </c>
      <c r="L766" s="31">
        <f>IF(COUNTIFS(Addendum!C:C,A766,Addendum!D:D,IF(ISNUMBER(B766),TEXT(B766,"0000"),B766),Addendum!I:I,"X")&gt;0,10%,0)</f>
        <v>0</v>
      </c>
      <c r="M766" s="34">
        <f t="shared" si="22"/>
        <v>0</v>
      </c>
      <c r="N766" s="17">
        <f t="shared" si="23"/>
        <v>26955</v>
      </c>
    </row>
    <row r="767" spans="1:14" x14ac:dyDescent="0.25">
      <c r="A767" s="14" t="s">
        <v>2026</v>
      </c>
      <c r="B767" s="14">
        <v>1</v>
      </c>
      <c r="C767" s="15" t="s">
        <v>2034</v>
      </c>
      <c r="D767" s="14" t="s">
        <v>1745</v>
      </c>
      <c r="E767" s="14" t="s">
        <v>1746</v>
      </c>
      <c r="F767" s="17" t="s">
        <v>2994</v>
      </c>
      <c r="G767" s="14">
        <v>46116</v>
      </c>
      <c r="H767" s="14">
        <v>34587</v>
      </c>
      <c r="I767" s="31">
        <f>IF(COUNTIFS(Addendum!C:C,A767,Addendum!D:D,IF(ISNUMBER(B767),TEXT(B767,"0000"),B767),Addendum!E:E,"X")&gt;0,4%,0)</f>
        <v>0</v>
      </c>
      <c r="J767" s="31">
        <f>IF(COUNTIFS(Addendum!C:C,A767,Addendum!D:D,IF(ISNUMBER(B767),TEXT(B767,"0000"),B767),Addendum!F:F,"X")&gt;0,2.5%,0)</f>
        <v>0</v>
      </c>
      <c r="K767" s="31">
        <f>IF(COUNTIFS(Addendum!C:C,A767,Addendum!D:D,IF(ISNUMBER(B767),TEXT(B767,"0000"),B767),Addendum!G:G,"X")&gt;0,7%,0)</f>
        <v>0</v>
      </c>
      <c r="L767" s="31">
        <f>IF(COUNTIFS(Addendum!C:C,A767,Addendum!D:D,IF(ISNUMBER(B767),TEXT(B767,"0000"),B767),Addendum!I:I,"X")&gt;0,10%,0)</f>
        <v>0</v>
      </c>
      <c r="M767" s="34">
        <f t="shared" si="22"/>
        <v>0</v>
      </c>
      <c r="N767" s="17">
        <f t="shared" si="23"/>
        <v>34587</v>
      </c>
    </row>
    <row r="768" spans="1:14" x14ac:dyDescent="0.25">
      <c r="A768" s="14" t="s">
        <v>2026</v>
      </c>
      <c r="B768" s="14">
        <v>9</v>
      </c>
      <c r="C768" s="15" t="s">
        <v>2029</v>
      </c>
      <c r="D768" s="14" t="s">
        <v>1752</v>
      </c>
      <c r="E768" s="14" t="s">
        <v>1746</v>
      </c>
      <c r="F768" s="17" t="s">
        <v>2993</v>
      </c>
      <c r="G768" s="14">
        <v>283122</v>
      </c>
      <c r="H768" s="14">
        <v>212341.7</v>
      </c>
      <c r="I768" s="31">
        <f>IF(COUNTIFS(Addendum!C:C,A768,Addendum!D:D,IF(ISNUMBER(B768),TEXT(B768,"0000"),B768),Addendum!E:E,"X")&gt;0,4%,0)</f>
        <v>0</v>
      </c>
      <c r="J768" s="31">
        <f>IF(COUNTIFS(Addendum!C:C,A768,Addendum!D:D,IF(ISNUMBER(B768),TEXT(B768,"0000"),B768),Addendum!F:F,"X")&gt;0,2.5%,0)</f>
        <v>0</v>
      </c>
      <c r="K768" s="31">
        <f>IF(COUNTIFS(Addendum!C:C,A768,Addendum!D:D,IF(ISNUMBER(B768),TEXT(B768,"0000"),B768),Addendum!G:G,"X")&gt;0,7%,0)</f>
        <v>0</v>
      </c>
      <c r="L768" s="31">
        <f>IF(COUNTIFS(Addendum!C:C,A768,Addendum!D:D,IF(ISNUMBER(B768),TEXT(B768,"0000"),B768),Addendum!I:I,"X")&gt;0,10%,0)</f>
        <v>0</v>
      </c>
      <c r="M768" s="34">
        <f t="shared" si="22"/>
        <v>0</v>
      </c>
      <c r="N768" s="17">
        <f t="shared" si="23"/>
        <v>212341.7</v>
      </c>
    </row>
    <row r="769" spans="1:14" x14ac:dyDescent="0.25">
      <c r="A769" s="14" t="s">
        <v>2026</v>
      </c>
      <c r="B769" s="14">
        <v>7</v>
      </c>
      <c r="C769" s="15" t="s">
        <v>2027</v>
      </c>
      <c r="D769" s="14" t="s">
        <v>1745</v>
      </c>
      <c r="E769" s="14" t="s">
        <v>1747</v>
      </c>
      <c r="F769" s="17" t="s">
        <v>2994</v>
      </c>
      <c r="G769" s="14">
        <v>60420</v>
      </c>
      <c r="H769" s="14">
        <v>45315</v>
      </c>
      <c r="I769" s="31">
        <f>IF(COUNTIFS(Addendum!C:C,A769,Addendum!D:D,IF(ISNUMBER(B769),TEXT(B769,"0000"),B769),Addendum!E:E,"X")&gt;0,4%,0)</f>
        <v>0</v>
      </c>
      <c r="J769" s="31">
        <f>IF(COUNTIFS(Addendum!C:C,A769,Addendum!D:D,IF(ISNUMBER(B769),TEXT(B769,"0000"),B769),Addendum!F:F,"X")&gt;0,2.5%,0)</f>
        <v>0</v>
      </c>
      <c r="K769" s="31">
        <f>IF(COUNTIFS(Addendum!C:C,A769,Addendum!D:D,IF(ISNUMBER(B769),TEXT(B769,"0000"),B769),Addendum!G:G,"X")&gt;0,7%,0)</f>
        <v>0</v>
      </c>
      <c r="L769" s="31">
        <f>IF(COUNTIFS(Addendum!C:C,A769,Addendum!D:D,IF(ISNUMBER(B769),TEXT(B769,"0000"),B769),Addendum!I:I,"X")&gt;0,10%,0)</f>
        <v>0</v>
      </c>
      <c r="M769" s="34">
        <f t="shared" si="22"/>
        <v>0</v>
      </c>
      <c r="N769" s="17">
        <f t="shared" si="23"/>
        <v>45315</v>
      </c>
    </row>
    <row r="770" spans="1:14" x14ac:dyDescent="0.25">
      <c r="A770" s="14" t="s">
        <v>2026</v>
      </c>
      <c r="B770" s="14">
        <v>1</v>
      </c>
      <c r="C770" s="15" t="s">
        <v>2034</v>
      </c>
      <c r="D770" s="14" t="s">
        <v>1749</v>
      </c>
      <c r="E770" s="14" t="s">
        <v>1746</v>
      </c>
      <c r="F770" s="17" t="s">
        <v>2994</v>
      </c>
      <c r="G770" s="14">
        <v>4392</v>
      </c>
      <c r="H770" s="14">
        <v>3294</v>
      </c>
      <c r="I770" s="31">
        <f>IF(COUNTIFS(Addendum!C:C,A770,Addendum!D:D,IF(ISNUMBER(B770),TEXT(B770,"0000"),B770),Addendum!E:E,"X")&gt;0,4%,0)</f>
        <v>0</v>
      </c>
      <c r="J770" s="31">
        <f>IF(COUNTIFS(Addendum!C:C,A770,Addendum!D:D,IF(ISNUMBER(B770),TEXT(B770,"0000"),B770),Addendum!F:F,"X")&gt;0,2.5%,0)</f>
        <v>0</v>
      </c>
      <c r="K770" s="31">
        <f>IF(COUNTIFS(Addendum!C:C,A770,Addendum!D:D,IF(ISNUMBER(B770),TEXT(B770,"0000"),B770),Addendum!G:G,"X")&gt;0,7%,0)</f>
        <v>0</v>
      </c>
      <c r="L770" s="31">
        <f>IF(COUNTIFS(Addendum!C:C,A770,Addendum!D:D,IF(ISNUMBER(B770),TEXT(B770,"0000"),B770),Addendum!I:I,"X")&gt;0,10%,0)</f>
        <v>0</v>
      </c>
      <c r="M770" s="34">
        <f t="shared" si="22"/>
        <v>0</v>
      </c>
      <c r="N770" s="17">
        <f t="shared" si="23"/>
        <v>3294</v>
      </c>
    </row>
    <row r="771" spans="1:14" ht="30" x14ac:dyDescent="0.25">
      <c r="A771" s="14" t="s">
        <v>2026</v>
      </c>
      <c r="B771" s="14">
        <v>5</v>
      </c>
      <c r="C771" s="15" t="s">
        <v>2030</v>
      </c>
      <c r="D771" s="14" t="s">
        <v>1745</v>
      </c>
      <c r="E771" s="14" t="s">
        <v>1746</v>
      </c>
      <c r="F771" s="17" t="s">
        <v>2994</v>
      </c>
      <c r="G771" s="14">
        <v>37737</v>
      </c>
      <c r="H771" s="14">
        <v>28302.720000000001</v>
      </c>
      <c r="I771" s="31">
        <f>IF(COUNTIFS(Addendum!C:C,A771,Addendum!D:D,IF(ISNUMBER(B771),TEXT(B771,"0000"),B771),Addendum!E:E,"X")&gt;0,4%,0)</f>
        <v>0</v>
      </c>
      <c r="J771" s="31">
        <f>IF(COUNTIFS(Addendum!C:C,A771,Addendum!D:D,IF(ISNUMBER(B771),TEXT(B771,"0000"),B771),Addendum!F:F,"X")&gt;0,2.5%,0)</f>
        <v>0</v>
      </c>
      <c r="K771" s="31">
        <f>IF(COUNTIFS(Addendum!C:C,A771,Addendum!D:D,IF(ISNUMBER(B771),TEXT(B771,"0000"),B771),Addendum!G:G,"X")&gt;0,7%,0)</f>
        <v>0</v>
      </c>
      <c r="L771" s="31">
        <f>IF(COUNTIFS(Addendum!C:C,A771,Addendum!D:D,IF(ISNUMBER(B771),TEXT(B771,"0000"),B771),Addendum!I:I,"X")&gt;0,10%,0)</f>
        <v>0</v>
      </c>
      <c r="M771" s="34">
        <f t="shared" si="22"/>
        <v>0</v>
      </c>
      <c r="N771" s="17">
        <f t="shared" si="23"/>
        <v>28302.720000000001</v>
      </c>
    </row>
    <row r="772" spans="1:14" x14ac:dyDescent="0.25">
      <c r="A772" s="14" t="s">
        <v>2026</v>
      </c>
      <c r="B772" s="14">
        <v>9</v>
      </c>
      <c r="C772" s="15" t="s">
        <v>2029</v>
      </c>
      <c r="D772" s="14" t="s">
        <v>1752</v>
      </c>
      <c r="E772" s="14" t="s">
        <v>1753</v>
      </c>
      <c r="F772" s="17" t="s">
        <v>2993</v>
      </c>
      <c r="G772" s="14">
        <v>269640</v>
      </c>
      <c r="H772" s="14">
        <v>202230</v>
      </c>
      <c r="I772" s="31">
        <f>IF(COUNTIFS(Addendum!C:C,A772,Addendum!D:D,IF(ISNUMBER(B772),TEXT(B772,"0000"),B772),Addendum!E:E,"X")&gt;0,4%,0)</f>
        <v>0</v>
      </c>
      <c r="J772" s="31">
        <f>IF(COUNTIFS(Addendum!C:C,A772,Addendum!D:D,IF(ISNUMBER(B772),TEXT(B772,"0000"),B772),Addendum!F:F,"X")&gt;0,2.5%,0)</f>
        <v>0</v>
      </c>
      <c r="K772" s="31">
        <f>IF(COUNTIFS(Addendum!C:C,A772,Addendum!D:D,IF(ISNUMBER(B772),TEXT(B772,"0000"),B772),Addendum!G:G,"X")&gt;0,7%,0)</f>
        <v>0</v>
      </c>
      <c r="L772" s="31">
        <f>IF(COUNTIFS(Addendum!C:C,A772,Addendum!D:D,IF(ISNUMBER(B772),TEXT(B772,"0000"),B772),Addendum!I:I,"X")&gt;0,10%,0)</f>
        <v>0</v>
      </c>
      <c r="M772" s="34">
        <f t="shared" ref="M772:M835" si="24">IF(AND(I772=0%,J772=0%,K772=0%,L772=0%),0%,
IF(OR(TRIM(E772)="OneTime",TRIM(D772)=""),0%,
IF(
OR(
TRIM(D772)="P1M",
AND(TRIM(D772)="P1Y",TRIM(E772)="Monthly"),
AND(TRIM(D772)="P3Y",TRIM(E772)="Monthly")
),
IF(AND(I772=4%,J772=0%,K772=0%,L772=0%),1%,
IF(AND(I772=4%,J772=2.5%,K772=0%,L772=10%),2%,
IF(AND(I772=4%,J772=0%,K772=7%,L772=10%),3%,0%))),
IF(
OR(
AND(TRIM(D772)="P1Y",TRIM(E772)="Annual"),
AND(TRIM(D772)="P3Y",TRIM(E772)="Annual"),
AND(TRIM(D772)="P3Y",TRIM(E772)="Triennial")
),
IF(AND(I772=4%,J772=0%,K772=0%,L772=0%),3%,
IF(AND(I772=4%,J772=2.5%,K772=0%,L772=10%),10%,
IF(AND(I772=4%,J772=0%,K772=7%,L772=10%),14%,0%))),
0%
))))</f>
        <v>0</v>
      </c>
      <c r="N772" s="17">
        <f t="shared" ref="N772:N835" si="25">H772-(H772*M772)</f>
        <v>202230</v>
      </c>
    </row>
    <row r="773" spans="1:14" ht="30" x14ac:dyDescent="0.25">
      <c r="A773" s="14" t="s">
        <v>2026</v>
      </c>
      <c r="B773" s="14">
        <v>4</v>
      </c>
      <c r="C773" s="15" t="s">
        <v>2033</v>
      </c>
      <c r="D773" s="14" t="s">
        <v>1745</v>
      </c>
      <c r="E773" s="14" t="s">
        <v>1746</v>
      </c>
      <c r="F773" s="17" t="s">
        <v>2995</v>
      </c>
      <c r="G773" s="14">
        <v>23562</v>
      </c>
      <c r="H773" s="14">
        <v>21205.8</v>
      </c>
      <c r="I773" s="31">
        <f>IF(COUNTIFS(Addendum!C:C,A773,Addendum!D:D,IF(ISNUMBER(B773),TEXT(B773,"0000"),B773),Addendum!E:E,"X")&gt;0,4%,0)</f>
        <v>0</v>
      </c>
      <c r="J773" s="31">
        <f>IF(COUNTIFS(Addendum!C:C,A773,Addendum!D:D,IF(ISNUMBER(B773),TEXT(B773,"0000"),B773),Addendum!F:F,"X")&gt;0,2.5%,0)</f>
        <v>0</v>
      </c>
      <c r="K773" s="31">
        <f>IF(COUNTIFS(Addendum!C:C,A773,Addendum!D:D,IF(ISNUMBER(B773),TEXT(B773,"0000"),B773),Addendum!G:G,"X")&gt;0,7%,0)</f>
        <v>0</v>
      </c>
      <c r="L773" s="31">
        <f>IF(COUNTIFS(Addendum!C:C,A773,Addendum!D:D,IF(ISNUMBER(B773),TEXT(B773,"0000"),B773),Addendum!I:I,"X")&gt;0,10%,0)</f>
        <v>0</v>
      </c>
      <c r="M773" s="34">
        <f t="shared" si="24"/>
        <v>0</v>
      </c>
      <c r="N773" s="17">
        <f t="shared" si="25"/>
        <v>21205.8</v>
      </c>
    </row>
    <row r="774" spans="1:14" x14ac:dyDescent="0.25">
      <c r="A774" s="14" t="s">
        <v>2026</v>
      </c>
      <c r="B774" s="14">
        <v>9</v>
      </c>
      <c r="C774" s="15" t="s">
        <v>2029</v>
      </c>
      <c r="D774" s="14" t="s">
        <v>1752</v>
      </c>
      <c r="E774" s="14" t="s">
        <v>1747</v>
      </c>
      <c r="F774" s="17" t="s">
        <v>2993</v>
      </c>
      <c r="G774" s="14">
        <v>269640</v>
      </c>
      <c r="H774" s="14">
        <v>202230</v>
      </c>
      <c r="I774" s="31">
        <f>IF(COUNTIFS(Addendum!C:C,A774,Addendum!D:D,IF(ISNUMBER(B774),TEXT(B774,"0000"),B774),Addendum!E:E,"X")&gt;0,4%,0)</f>
        <v>0</v>
      </c>
      <c r="J774" s="31">
        <f>IF(COUNTIFS(Addendum!C:C,A774,Addendum!D:D,IF(ISNUMBER(B774),TEXT(B774,"0000"),B774),Addendum!F:F,"X")&gt;0,2.5%,0)</f>
        <v>0</v>
      </c>
      <c r="K774" s="31">
        <f>IF(COUNTIFS(Addendum!C:C,A774,Addendum!D:D,IF(ISNUMBER(B774),TEXT(B774,"0000"),B774),Addendum!G:G,"X")&gt;0,7%,0)</f>
        <v>0</v>
      </c>
      <c r="L774" s="31">
        <f>IF(COUNTIFS(Addendum!C:C,A774,Addendum!D:D,IF(ISNUMBER(B774),TEXT(B774,"0000"),B774),Addendum!I:I,"X")&gt;0,10%,0)</f>
        <v>0</v>
      </c>
      <c r="M774" s="34">
        <f t="shared" si="24"/>
        <v>0</v>
      </c>
      <c r="N774" s="17">
        <f t="shared" si="25"/>
        <v>202230</v>
      </c>
    </row>
    <row r="775" spans="1:14" x14ac:dyDescent="0.25">
      <c r="A775" s="14" t="s">
        <v>2026</v>
      </c>
      <c r="B775" s="14">
        <v>2</v>
      </c>
      <c r="C775" s="15" t="s">
        <v>2031</v>
      </c>
      <c r="D775" s="14" t="s">
        <v>1749</v>
      </c>
      <c r="E775" s="14" t="s">
        <v>1746</v>
      </c>
      <c r="F775" s="17" t="s">
        <v>2995</v>
      </c>
      <c r="G775" s="14">
        <v>2748</v>
      </c>
      <c r="H775" s="14">
        <v>2473.1999999999998</v>
      </c>
      <c r="I775" s="31">
        <f>IF(COUNTIFS(Addendum!C:C,A775,Addendum!D:D,IF(ISNUMBER(B775),TEXT(B775,"0000"),B775),Addendum!E:E,"X")&gt;0,4%,0)</f>
        <v>0</v>
      </c>
      <c r="J775" s="31">
        <f>IF(COUNTIFS(Addendum!C:C,A775,Addendum!D:D,IF(ISNUMBER(B775),TEXT(B775,"0000"),B775),Addendum!F:F,"X")&gt;0,2.5%,0)</f>
        <v>0</v>
      </c>
      <c r="K775" s="31">
        <f>IF(COUNTIFS(Addendum!C:C,A775,Addendum!D:D,IF(ISNUMBER(B775),TEXT(B775,"0000"),B775),Addendum!G:G,"X")&gt;0,7%,0)</f>
        <v>0</v>
      </c>
      <c r="L775" s="31">
        <f>IF(COUNTIFS(Addendum!C:C,A775,Addendum!D:D,IF(ISNUMBER(B775),TEXT(B775,"0000"),B775),Addendum!I:I,"X")&gt;0,10%,0)</f>
        <v>0</v>
      </c>
      <c r="M775" s="34">
        <f t="shared" si="24"/>
        <v>0</v>
      </c>
      <c r="N775" s="17">
        <f t="shared" si="25"/>
        <v>2473.1999999999998</v>
      </c>
    </row>
    <row r="776" spans="1:14" ht="30" x14ac:dyDescent="0.25">
      <c r="A776" s="14" t="s">
        <v>2035</v>
      </c>
      <c r="B776" s="14">
        <v>3</v>
      </c>
      <c r="C776" s="15" t="s">
        <v>2036</v>
      </c>
      <c r="D776" s="14" t="s">
        <v>1749</v>
      </c>
      <c r="E776" s="14" t="s">
        <v>1746</v>
      </c>
      <c r="F776" s="17" t="s">
        <v>2994</v>
      </c>
      <c r="G776" s="14">
        <v>2994</v>
      </c>
      <c r="H776" s="14">
        <v>2245.5</v>
      </c>
      <c r="I776" s="31">
        <f>IF(COUNTIFS(Addendum!C:C,A776,Addendum!D:D,IF(ISNUMBER(B776),TEXT(B776,"0000"),B776),Addendum!E:E,"X")&gt;0,4%,0)</f>
        <v>0</v>
      </c>
      <c r="J776" s="31">
        <f>IF(COUNTIFS(Addendum!C:C,A776,Addendum!D:D,IF(ISNUMBER(B776),TEXT(B776,"0000"),B776),Addendum!F:F,"X")&gt;0,2.5%,0)</f>
        <v>0</v>
      </c>
      <c r="K776" s="31">
        <f>IF(COUNTIFS(Addendum!C:C,A776,Addendum!D:D,IF(ISNUMBER(B776),TEXT(B776,"0000"),B776),Addendum!G:G,"X")&gt;0,7%,0)</f>
        <v>0</v>
      </c>
      <c r="L776" s="31">
        <f>IF(COUNTIFS(Addendum!C:C,A776,Addendum!D:D,IF(ISNUMBER(B776),TEXT(B776,"0000"),B776),Addendum!I:I,"X")&gt;0,10%,0)</f>
        <v>0</v>
      </c>
      <c r="M776" s="34">
        <f t="shared" si="24"/>
        <v>0</v>
      </c>
      <c r="N776" s="17">
        <f t="shared" si="25"/>
        <v>2245.5</v>
      </c>
    </row>
    <row r="777" spans="1:14" x14ac:dyDescent="0.25">
      <c r="A777" s="14" t="s">
        <v>2035</v>
      </c>
      <c r="B777" s="14">
        <v>4</v>
      </c>
      <c r="C777" s="15" t="s">
        <v>2037</v>
      </c>
      <c r="D777" s="14" t="s">
        <v>1745</v>
      </c>
      <c r="E777" s="14" t="s">
        <v>1747</v>
      </c>
      <c r="F777" s="17" t="s">
        <v>2994</v>
      </c>
      <c r="G777" s="14">
        <v>37920</v>
      </c>
      <c r="H777" s="14">
        <v>28440</v>
      </c>
      <c r="I777" s="31">
        <f>IF(COUNTIFS(Addendum!C:C,A777,Addendum!D:D,IF(ISNUMBER(B777),TEXT(B777,"0000"),B777),Addendum!E:E,"X")&gt;0,4%,0)</f>
        <v>0</v>
      </c>
      <c r="J777" s="31">
        <f>IF(COUNTIFS(Addendum!C:C,A777,Addendum!D:D,IF(ISNUMBER(B777),TEXT(B777,"0000"),B777),Addendum!F:F,"X")&gt;0,2.5%,0)</f>
        <v>0</v>
      </c>
      <c r="K777" s="31">
        <f>IF(COUNTIFS(Addendum!C:C,A777,Addendum!D:D,IF(ISNUMBER(B777),TEXT(B777,"0000"),B777),Addendum!G:G,"X")&gt;0,7%,0)</f>
        <v>0</v>
      </c>
      <c r="L777" s="31">
        <f>IF(COUNTIFS(Addendum!C:C,A777,Addendum!D:D,IF(ISNUMBER(B777),TEXT(B777,"0000"),B777),Addendum!I:I,"X")&gt;0,10%,0)</f>
        <v>0</v>
      </c>
      <c r="M777" s="34">
        <f t="shared" si="24"/>
        <v>0</v>
      </c>
      <c r="N777" s="17">
        <f t="shared" si="25"/>
        <v>28440</v>
      </c>
    </row>
    <row r="778" spans="1:14" x14ac:dyDescent="0.25">
      <c r="A778" s="14" t="s">
        <v>2035</v>
      </c>
      <c r="B778" s="14">
        <v>9</v>
      </c>
      <c r="C778" s="15" t="s">
        <v>2038</v>
      </c>
      <c r="D778" s="14" t="s">
        <v>1745</v>
      </c>
      <c r="E778" s="14" t="s">
        <v>1747</v>
      </c>
      <c r="F778" s="17" t="s">
        <v>2993</v>
      </c>
      <c r="G778" s="14">
        <v>74880</v>
      </c>
      <c r="H778" s="14">
        <v>56160</v>
      </c>
      <c r="I778" s="31">
        <f>IF(COUNTIFS(Addendum!C:C,A778,Addendum!D:D,IF(ISNUMBER(B778),TEXT(B778,"0000"),B778),Addendum!E:E,"X")&gt;0,4%,0)</f>
        <v>0</v>
      </c>
      <c r="J778" s="31">
        <f>IF(COUNTIFS(Addendum!C:C,A778,Addendum!D:D,IF(ISNUMBER(B778),TEXT(B778,"0000"),B778),Addendum!F:F,"X")&gt;0,2.5%,0)</f>
        <v>0</v>
      </c>
      <c r="K778" s="31">
        <f>IF(COUNTIFS(Addendum!C:C,A778,Addendum!D:D,IF(ISNUMBER(B778),TEXT(B778,"0000"),B778),Addendum!G:G,"X")&gt;0,7%,0)</f>
        <v>0</v>
      </c>
      <c r="L778" s="31">
        <f>IF(COUNTIFS(Addendum!C:C,A778,Addendum!D:D,IF(ISNUMBER(B778),TEXT(B778,"0000"),B778),Addendum!I:I,"X")&gt;0,10%,0)</f>
        <v>0</v>
      </c>
      <c r="M778" s="34">
        <f t="shared" si="24"/>
        <v>0</v>
      </c>
      <c r="N778" s="17">
        <f t="shared" si="25"/>
        <v>56160</v>
      </c>
    </row>
    <row r="779" spans="1:14" x14ac:dyDescent="0.25">
      <c r="A779" s="14" t="s">
        <v>2035</v>
      </c>
      <c r="B779" s="14">
        <v>7</v>
      </c>
      <c r="C779" s="15" t="s">
        <v>2039</v>
      </c>
      <c r="D779" s="14" t="s">
        <v>1745</v>
      </c>
      <c r="E779" s="14" t="s">
        <v>1746</v>
      </c>
      <c r="F779" s="17" t="s">
        <v>2993</v>
      </c>
      <c r="G779" s="14">
        <v>99603</v>
      </c>
      <c r="H779" s="14">
        <v>74702.28</v>
      </c>
      <c r="I779" s="31">
        <f>IF(COUNTIFS(Addendum!C:C,A779,Addendum!D:D,IF(ISNUMBER(B779),TEXT(B779,"0000"),B779),Addendum!E:E,"X")&gt;0,4%,0)</f>
        <v>0</v>
      </c>
      <c r="J779" s="31">
        <f>IF(COUNTIFS(Addendum!C:C,A779,Addendum!D:D,IF(ISNUMBER(B779),TEXT(B779,"0000"),B779),Addendum!F:F,"X")&gt;0,2.5%,0)</f>
        <v>0</v>
      </c>
      <c r="K779" s="31">
        <f>IF(COUNTIFS(Addendum!C:C,A779,Addendum!D:D,IF(ISNUMBER(B779),TEXT(B779,"0000"),B779),Addendum!G:G,"X")&gt;0,7%,0)</f>
        <v>0</v>
      </c>
      <c r="L779" s="31">
        <f>IF(COUNTIFS(Addendum!C:C,A779,Addendum!D:D,IF(ISNUMBER(B779),TEXT(B779,"0000"),B779),Addendum!I:I,"X")&gt;0,10%,0)</f>
        <v>0</v>
      </c>
      <c r="M779" s="34">
        <f t="shared" si="24"/>
        <v>0</v>
      </c>
      <c r="N779" s="17">
        <f t="shared" si="25"/>
        <v>74702.28</v>
      </c>
    </row>
    <row r="780" spans="1:14" x14ac:dyDescent="0.25">
      <c r="A780" s="14" t="s">
        <v>2035</v>
      </c>
      <c r="B780" s="14">
        <v>8</v>
      </c>
      <c r="C780" s="15" t="s">
        <v>2040</v>
      </c>
      <c r="D780" s="14" t="s">
        <v>1745</v>
      </c>
      <c r="E780" s="14" t="s">
        <v>1747</v>
      </c>
      <c r="F780" s="17" t="s">
        <v>2994</v>
      </c>
      <c r="G780" s="14">
        <v>52140</v>
      </c>
      <c r="H780" s="14">
        <v>39105</v>
      </c>
      <c r="I780" s="31">
        <f>IF(COUNTIFS(Addendum!C:C,A780,Addendum!D:D,IF(ISNUMBER(B780),TEXT(B780,"0000"),B780),Addendum!E:E,"X")&gt;0,4%,0)</f>
        <v>0</v>
      </c>
      <c r="J780" s="31">
        <f>IF(COUNTIFS(Addendum!C:C,A780,Addendum!D:D,IF(ISNUMBER(B780),TEXT(B780,"0000"),B780),Addendum!F:F,"X")&gt;0,2.5%,0)</f>
        <v>0</v>
      </c>
      <c r="K780" s="31">
        <f>IF(COUNTIFS(Addendum!C:C,A780,Addendum!D:D,IF(ISNUMBER(B780),TEXT(B780,"0000"),B780),Addendum!G:G,"X")&gt;0,7%,0)</f>
        <v>0</v>
      </c>
      <c r="L780" s="31">
        <f>IF(COUNTIFS(Addendum!C:C,A780,Addendum!D:D,IF(ISNUMBER(B780),TEXT(B780,"0000"),B780),Addendum!I:I,"X")&gt;0,10%,0)</f>
        <v>0</v>
      </c>
      <c r="M780" s="34">
        <f t="shared" si="24"/>
        <v>0</v>
      </c>
      <c r="N780" s="17">
        <f t="shared" si="25"/>
        <v>39105</v>
      </c>
    </row>
    <row r="781" spans="1:14" x14ac:dyDescent="0.25">
      <c r="A781" s="14" t="s">
        <v>2035</v>
      </c>
      <c r="B781" s="14">
        <v>9</v>
      </c>
      <c r="C781" s="15" t="s">
        <v>2038</v>
      </c>
      <c r="D781" s="14" t="s">
        <v>1749</v>
      </c>
      <c r="E781" s="14" t="s">
        <v>1746</v>
      </c>
      <c r="F781" s="17" t="s">
        <v>2993</v>
      </c>
      <c r="G781" s="14">
        <v>7488</v>
      </c>
      <c r="H781" s="14">
        <v>5616</v>
      </c>
      <c r="I781" s="31">
        <f>IF(COUNTIFS(Addendum!C:C,A781,Addendum!D:D,IF(ISNUMBER(B781),TEXT(B781,"0000"),B781),Addendum!E:E,"X")&gt;0,4%,0)</f>
        <v>0</v>
      </c>
      <c r="J781" s="31">
        <f>IF(COUNTIFS(Addendum!C:C,A781,Addendum!D:D,IF(ISNUMBER(B781),TEXT(B781,"0000"),B781),Addendum!F:F,"X")&gt;0,2.5%,0)</f>
        <v>0</v>
      </c>
      <c r="K781" s="31">
        <f>IF(COUNTIFS(Addendum!C:C,A781,Addendum!D:D,IF(ISNUMBER(B781),TEXT(B781,"0000"),B781),Addendum!G:G,"X")&gt;0,7%,0)</f>
        <v>0</v>
      </c>
      <c r="L781" s="31">
        <f>IF(COUNTIFS(Addendum!C:C,A781,Addendum!D:D,IF(ISNUMBER(B781),TEXT(B781,"0000"),B781),Addendum!I:I,"X")&gt;0,10%,0)</f>
        <v>0</v>
      </c>
      <c r="M781" s="34">
        <f t="shared" si="24"/>
        <v>0</v>
      </c>
      <c r="N781" s="17">
        <f t="shared" si="25"/>
        <v>5616</v>
      </c>
    </row>
    <row r="782" spans="1:14" x14ac:dyDescent="0.25">
      <c r="A782" s="14" t="s">
        <v>2035</v>
      </c>
      <c r="B782" s="14">
        <v>4</v>
      </c>
      <c r="C782" s="15" t="s">
        <v>2037</v>
      </c>
      <c r="D782" s="14" t="s">
        <v>1749</v>
      </c>
      <c r="E782" s="14" t="s">
        <v>1746</v>
      </c>
      <c r="F782" s="17" t="s">
        <v>2994</v>
      </c>
      <c r="G782" s="14">
        <v>3792</v>
      </c>
      <c r="H782" s="14">
        <v>2844</v>
      </c>
      <c r="I782" s="31">
        <f>IF(COUNTIFS(Addendum!C:C,A782,Addendum!D:D,IF(ISNUMBER(B782),TEXT(B782,"0000"),B782),Addendum!E:E,"X")&gt;0,4%,0)</f>
        <v>0</v>
      </c>
      <c r="J782" s="31">
        <f>IF(COUNTIFS(Addendum!C:C,A782,Addendum!D:D,IF(ISNUMBER(B782),TEXT(B782,"0000"),B782),Addendum!F:F,"X")&gt;0,2.5%,0)</f>
        <v>0</v>
      </c>
      <c r="K782" s="31">
        <f>IF(COUNTIFS(Addendum!C:C,A782,Addendum!D:D,IF(ISNUMBER(B782),TEXT(B782,"0000"),B782),Addendum!G:G,"X")&gt;0,7%,0)</f>
        <v>0</v>
      </c>
      <c r="L782" s="31">
        <f>IF(COUNTIFS(Addendum!C:C,A782,Addendum!D:D,IF(ISNUMBER(B782),TEXT(B782,"0000"),B782),Addendum!I:I,"X")&gt;0,10%,0)</f>
        <v>0</v>
      </c>
      <c r="M782" s="34">
        <f t="shared" si="24"/>
        <v>0</v>
      </c>
      <c r="N782" s="17">
        <f t="shared" si="25"/>
        <v>2844</v>
      </c>
    </row>
    <row r="783" spans="1:14" x14ac:dyDescent="0.25">
      <c r="A783" s="14" t="s">
        <v>2035</v>
      </c>
      <c r="B783" s="14">
        <v>6</v>
      </c>
      <c r="C783" s="15" t="s">
        <v>2041</v>
      </c>
      <c r="D783" s="14" t="s">
        <v>1749</v>
      </c>
      <c r="E783" s="14" t="s">
        <v>1746</v>
      </c>
      <c r="F783" s="17" t="s">
        <v>2995</v>
      </c>
      <c r="G783" s="14">
        <v>2370</v>
      </c>
      <c r="H783" s="14">
        <v>2133</v>
      </c>
      <c r="I783" s="31">
        <f>IF(COUNTIFS(Addendum!C:C,A783,Addendum!D:D,IF(ISNUMBER(B783),TEXT(B783,"0000"),B783),Addendum!E:E,"X")&gt;0,4%,0)</f>
        <v>0</v>
      </c>
      <c r="J783" s="31">
        <f>IF(COUNTIFS(Addendum!C:C,A783,Addendum!D:D,IF(ISNUMBER(B783),TEXT(B783,"0000"),B783),Addendum!F:F,"X")&gt;0,2.5%,0)</f>
        <v>0</v>
      </c>
      <c r="K783" s="31">
        <f>IF(COUNTIFS(Addendum!C:C,A783,Addendum!D:D,IF(ISNUMBER(B783),TEXT(B783,"0000"),B783),Addendum!G:G,"X")&gt;0,7%,0)</f>
        <v>0</v>
      </c>
      <c r="L783" s="31">
        <f>IF(COUNTIFS(Addendum!C:C,A783,Addendum!D:D,IF(ISNUMBER(B783),TEXT(B783,"0000"),B783),Addendum!I:I,"X")&gt;0,10%,0)</f>
        <v>0</v>
      </c>
      <c r="M783" s="34">
        <f t="shared" si="24"/>
        <v>0</v>
      </c>
      <c r="N783" s="17">
        <f t="shared" si="25"/>
        <v>2133</v>
      </c>
    </row>
    <row r="784" spans="1:14" ht="30" x14ac:dyDescent="0.25">
      <c r="A784" s="14" t="s">
        <v>2035</v>
      </c>
      <c r="B784" s="14">
        <v>3</v>
      </c>
      <c r="C784" s="15" t="s">
        <v>2036</v>
      </c>
      <c r="D784" s="14" t="s">
        <v>1745</v>
      </c>
      <c r="E784" s="14" t="s">
        <v>1747</v>
      </c>
      <c r="F784" s="17" t="s">
        <v>2994</v>
      </c>
      <c r="G784" s="14">
        <v>29940</v>
      </c>
      <c r="H784" s="14">
        <v>22455</v>
      </c>
      <c r="I784" s="31">
        <f>IF(COUNTIFS(Addendum!C:C,A784,Addendum!D:D,IF(ISNUMBER(B784),TEXT(B784,"0000"),B784),Addendum!E:E,"X")&gt;0,4%,0)</f>
        <v>0</v>
      </c>
      <c r="J784" s="31">
        <f>IF(COUNTIFS(Addendum!C:C,A784,Addendum!D:D,IF(ISNUMBER(B784),TEXT(B784,"0000"),B784),Addendum!F:F,"X")&gt;0,2.5%,0)</f>
        <v>0</v>
      </c>
      <c r="K784" s="31">
        <f>IF(COUNTIFS(Addendum!C:C,A784,Addendum!D:D,IF(ISNUMBER(B784),TEXT(B784,"0000"),B784),Addendum!G:G,"X")&gt;0,7%,0)</f>
        <v>0</v>
      </c>
      <c r="L784" s="31">
        <f>IF(COUNTIFS(Addendum!C:C,A784,Addendum!D:D,IF(ISNUMBER(B784),TEXT(B784,"0000"),B784),Addendum!I:I,"X")&gt;0,10%,0)</f>
        <v>0</v>
      </c>
      <c r="M784" s="34">
        <f t="shared" si="24"/>
        <v>0</v>
      </c>
      <c r="N784" s="17">
        <f t="shared" si="25"/>
        <v>22455</v>
      </c>
    </row>
    <row r="785" spans="1:14" ht="30" x14ac:dyDescent="0.25">
      <c r="A785" s="14" t="s">
        <v>2035</v>
      </c>
      <c r="B785" s="14">
        <v>5</v>
      </c>
      <c r="C785" s="15" t="s">
        <v>2042</v>
      </c>
      <c r="D785" s="14" t="s">
        <v>1749</v>
      </c>
      <c r="E785" s="14" t="s">
        <v>1746</v>
      </c>
      <c r="F785" s="17" t="s">
        <v>2995</v>
      </c>
      <c r="G785" s="14">
        <v>1872</v>
      </c>
      <c r="H785" s="14">
        <v>1684.8</v>
      </c>
      <c r="I785" s="31">
        <f>IF(COUNTIFS(Addendum!C:C,A785,Addendum!D:D,IF(ISNUMBER(B785),TEXT(B785,"0000"),B785),Addendum!E:E,"X")&gt;0,4%,0)</f>
        <v>0</v>
      </c>
      <c r="J785" s="31">
        <f>IF(COUNTIFS(Addendum!C:C,A785,Addendum!D:D,IF(ISNUMBER(B785),TEXT(B785,"0000"),B785),Addendum!F:F,"X")&gt;0,2.5%,0)</f>
        <v>0</v>
      </c>
      <c r="K785" s="31">
        <f>IF(COUNTIFS(Addendum!C:C,A785,Addendum!D:D,IF(ISNUMBER(B785),TEXT(B785,"0000"),B785),Addendum!G:G,"X")&gt;0,7%,0)</f>
        <v>0</v>
      </c>
      <c r="L785" s="31">
        <f>IF(COUNTIFS(Addendum!C:C,A785,Addendum!D:D,IF(ISNUMBER(B785),TEXT(B785,"0000"),B785),Addendum!I:I,"X")&gt;0,10%,0)</f>
        <v>0</v>
      </c>
      <c r="M785" s="34">
        <f t="shared" si="24"/>
        <v>0</v>
      </c>
      <c r="N785" s="17">
        <f t="shared" si="25"/>
        <v>1684.8</v>
      </c>
    </row>
    <row r="786" spans="1:14" ht="30" x14ac:dyDescent="0.25">
      <c r="A786" s="14" t="s">
        <v>2035</v>
      </c>
      <c r="B786" s="14" t="s">
        <v>16</v>
      </c>
      <c r="C786" s="15" t="s">
        <v>2043</v>
      </c>
      <c r="D786" s="14" t="s">
        <v>1745</v>
      </c>
      <c r="E786" s="14" t="s">
        <v>1746</v>
      </c>
      <c r="F786" s="17" t="s">
        <v>2994</v>
      </c>
      <c r="G786" s="14">
        <v>43218</v>
      </c>
      <c r="H786" s="14">
        <v>32413.56</v>
      </c>
      <c r="I786" s="31">
        <f>IF(COUNTIFS(Addendum!C:C,A786,Addendum!D:D,IF(ISNUMBER(B786),TEXT(B786,"0000"),B786),Addendum!E:E,"X")&gt;0,4%,0)</f>
        <v>0</v>
      </c>
      <c r="J786" s="31">
        <f>IF(COUNTIFS(Addendum!C:C,A786,Addendum!D:D,IF(ISNUMBER(B786),TEXT(B786,"0000"),B786),Addendum!F:F,"X")&gt;0,2.5%,0)</f>
        <v>0</v>
      </c>
      <c r="K786" s="31">
        <f>IF(COUNTIFS(Addendum!C:C,A786,Addendum!D:D,IF(ISNUMBER(B786),TEXT(B786,"0000"),B786),Addendum!G:G,"X")&gt;0,7%,0)</f>
        <v>0</v>
      </c>
      <c r="L786" s="31">
        <f>IF(COUNTIFS(Addendum!C:C,A786,Addendum!D:D,IF(ISNUMBER(B786),TEXT(B786,"0000"),B786),Addendum!I:I,"X")&gt;0,10%,0)</f>
        <v>0</v>
      </c>
      <c r="M786" s="34">
        <f t="shared" si="24"/>
        <v>0</v>
      </c>
      <c r="N786" s="17">
        <f t="shared" si="25"/>
        <v>32413.56</v>
      </c>
    </row>
    <row r="787" spans="1:14" x14ac:dyDescent="0.25">
      <c r="A787" s="14" t="s">
        <v>2035</v>
      </c>
      <c r="B787" s="14">
        <v>6</v>
      </c>
      <c r="C787" s="15" t="s">
        <v>2041</v>
      </c>
      <c r="D787" s="14" t="s">
        <v>1745</v>
      </c>
      <c r="E787" s="14" t="s">
        <v>1747</v>
      </c>
      <c r="F787" s="17" t="s">
        <v>2995</v>
      </c>
      <c r="G787" s="14">
        <v>23700</v>
      </c>
      <c r="H787" s="14">
        <v>21330</v>
      </c>
      <c r="I787" s="31">
        <f>IF(COUNTIFS(Addendum!C:C,A787,Addendum!D:D,IF(ISNUMBER(B787),TEXT(B787,"0000"),B787),Addendum!E:E,"X")&gt;0,4%,0)</f>
        <v>0</v>
      </c>
      <c r="J787" s="31">
        <f>IF(COUNTIFS(Addendum!C:C,A787,Addendum!D:D,IF(ISNUMBER(B787),TEXT(B787,"0000"),B787),Addendum!F:F,"X")&gt;0,2.5%,0)</f>
        <v>0</v>
      </c>
      <c r="K787" s="31">
        <f>IF(COUNTIFS(Addendum!C:C,A787,Addendum!D:D,IF(ISNUMBER(B787),TEXT(B787,"0000"),B787),Addendum!G:G,"X")&gt;0,7%,0)</f>
        <v>0</v>
      </c>
      <c r="L787" s="31">
        <f>IF(COUNTIFS(Addendum!C:C,A787,Addendum!D:D,IF(ISNUMBER(B787),TEXT(B787,"0000"),B787),Addendum!I:I,"X")&gt;0,10%,0)</f>
        <v>0</v>
      </c>
      <c r="M787" s="34">
        <f t="shared" si="24"/>
        <v>0</v>
      </c>
      <c r="N787" s="17">
        <f t="shared" si="25"/>
        <v>21330</v>
      </c>
    </row>
    <row r="788" spans="1:14" x14ac:dyDescent="0.25">
      <c r="A788" s="14" t="s">
        <v>2035</v>
      </c>
      <c r="B788" s="14">
        <v>7</v>
      </c>
      <c r="C788" s="15" t="s">
        <v>2039</v>
      </c>
      <c r="D788" s="14" t="s">
        <v>1745</v>
      </c>
      <c r="E788" s="14" t="s">
        <v>1747</v>
      </c>
      <c r="F788" s="17" t="s">
        <v>2993</v>
      </c>
      <c r="G788" s="14">
        <v>94860</v>
      </c>
      <c r="H788" s="14">
        <v>71145</v>
      </c>
      <c r="I788" s="31">
        <f>IF(COUNTIFS(Addendum!C:C,A788,Addendum!D:D,IF(ISNUMBER(B788),TEXT(B788,"0000"),B788),Addendum!E:E,"X")&gt;0,4%,0)</f>
        <v>0</v>
      </c>
      <c r="J788" s="31">
        <f>IF(COUNTIFS(Addendum!C:C,A788,Addendum!D:D,IF(ISNUMBER(B788),TEXT(B788,"0000"),B788),Addendum!F:F,"X")&gt;0,2.5%,0)</f>
        <v>0</v>
      </c>
      <c r="K788" s="31">
        <f>IF(COUNTIFS(Addendum!C:C,A788,Addendum!D:D,IF(ISNUMBER(B788),TEXT(B788,"0000"),B788),Addendum!G:G,"X")&gt;0,7%,0)</f>
        <v>0</v>
      </c>
      <c r="L788" s="31">
        <f>IF(COUNTIFS(Addendum!C:C,A788,Addendum!D:D,IF(ISNUMBER(B788),TEXT(B788,"0000"),B788),Addendum!I:I,"X")&gt;0,10%,0)</f>
        <v>0</v>
      </c>
      <c r="M788" s="34">
        <f t="shared" si="24"/>
        <v>0</v>
      </c>
      <c r="N788" s="17">
        <f t="shared" si="25"/>
        <v>71145</v>
      </c>
    </row>
    <row r="789" spans="1:14" x14ac:dyDescent="0.25">
      <c r="A789" s="14" t="s">
        <v>2035</v>
      </c>
      <c r="B789" s="14">
        <v>9</v>
      </c>
      <c r="C789" s="15" t="s">
        <v>2038</v>
      </c>
      <c r="D789" s="14" t="s">
        <v>1745</v>
      </c>
      <c r="E789" s="14" t="s">
        <v>1746</v>
      </c>
      <c r="F789" s="17" t="s">
        <v>2993</v>
      </c>
      <c r="G789" s="14">
        <v>78624</v>
      </c>
      <c r="H789" s="14">
        <v>58968</v>
      </c>
      <c r="I789" s="31">
        <f>IF(COUNTIFS(Addendum!C:C,A789,Addendum!D:D,IF(ISNUMBER(B789),TEXT(B789,"0000"),B789),Addendum!E:E,"X")&gt;0,4%,0)</f>
        <v>0</v>
      </c>
      <c r="J789" s="31">
        <f>IF(COUNTIFS(Addendum!C:C,A789,Addendum!D:D,IF(ISNUMBER(B789),TEXT(B789,"0000"),B789),Addendum!F:F,"X")&gt;0,2.5%,0)</f>
        <v>0</v>
      </c>
      <c r="K789" s="31">
        <f>IF(COUNTIFS(Addendum!C:C,A789,Addendum!D:D,IF(ISNUMBER(B789),TEXT(B789,"0000"),B789),Addendum!G:G,"X")&gt;0,7%,0)</f>
        <v>0</v>
      </c>
      <c r="L789" s="31">
        <f>IF(COUNTIFS(Addendum!C:C,A789,Addendum!D:D,IF(ISNUMBER(B789),TEXT(B789,"0000"),B789),Addendum!I:I,"X")&gt;0,10%,0)</f>
        <v>0</v>
      </c>
      <c r="M789" s="34">
        <f t="shared" si="24"/>
        <v>0</v>
      </c>
      <c r="N789" s="17">
        <f t="shared" si="25"/>
        <v>58968</v>
      </c>
    </row>
    <row r="790" spans="1:14" ht="30" x14ac:dyDescent="0.25">
      <c r="A790" s="14" t="s">
        <v>2035</v>
      </c>
      <c r="B790" s="14" t="s">
        <v>16</v>
      </c>
      <c r="C790" s="15" t="s">
        <v>2043</v>
      </c>
      <c r="D790" s="14" t="s">
        <v>1745</v>
      </c>
      <c r="E790" s="14" t="s">
        <v>1747</v>
      </c>
      <c r="F790" s="17" t="s">
        <v>2994</v>
      </c>
      <c r="G790" s="14">
        <v>41160</v>
      </c>
      <c r="H790" s="14">
        <v>30870</v>
      </c>
      <c r="I790" s="31">
        <f>IF(COUNTIFS(Addendum!C:C,A790,Addendum!D:D,IF(ISNUMBER(B790),TEXT(B790,"0000"),B790),Addendum!E:E,"X")&gt;0,4%,0)</f>
        <v>0</v>
      </c>
      <c r="J790" s="31">
        <f>IF(COUNTIFS(Addendum!C:C,A790,Addendum!D:D,IF(ISNUMBER(B790),TEXT(B790,"0000"),B790),Addendum!F:F,"X")&gt;0,2.5%,0)</f>
        <v>0</v>
      </c>
      <c r="K790" s="31">
        <f>IF(COUNTIFS(Addendum!C:C,A790,Addendum!D:D,IF(ISNUMBER(B790),TEXT(B790,"0000"),B790),Addendum!G:G,"X")&gt;0,7%,0)</f>
        <v>0</v>
      </c>
      <c r="L790" s="31">
        <f>IF(COUNTIFS(Addendum!C:C,A790,Addendum!D:D,IF(ISNUMBER(B790),TEXT(B790,"0000"),B790),Addendum!I:I,"X")&gt;0,10%,0)</f>
        <v>0</v>
      </c>
      <c r="M790" s="34">
        <f t="shared" si="24"/>
        <v>0</v>
      </c>
      <c r="N790" s="17">
        <f t="shared" si="25"/>
        <v>30870</v>
      </c>
    </row>
    <row r="791" spans="1:14" x14ac:dyDescent="0.25">
      <c r="A791" s="14" t="s">
        <v>2035</v>
      </c>
      <c r="B791" s="14">
        <v>6</v>
      </c>
      <c r="C791" s="15" t="s">
        <v>2041</v>
      </c>
      <c r="D791" s="14" t="s">
        <v>1745</v>
      </c>
      <c r="E791" s="14" t="s">
        <v>1746</v>
      </c>
      <c r="F791" s="17" t="s">
        <v>2995</v>
      </c>
      <c r="G791" s="14">
        <v>24885</v>
      </c>
      <c r="H791" s="14">
        <v>22396.560000000001</v>
      </c>
      <c r="I791" s="31">
        <f>IF(COUNTIFS(Addendum!C:C,A791,Addendum!D:D,IF(ISNUMBER(B791),TEXT(B791,"0000"),B791),Addendum!E:E,"X")&gt;0,4%,0)</f>
        <v>0</v>
      </c>
      <c r="J791" s="31">
        <f>IF(COUNTIFS(Addendum!C:C,A791,Addendum!D:D,IF(ISNUMBER(B791),TEXT(B791,"0000"),B791),Addendum!F:F,"X")&gt;0,2.5%,0)</f>
        <v>0</v>
      </c>
      <c r="K791" s="31">
        <f>IF(COUNTIFS(Addendum!C:C,A791,Addendum!D:D,IF(ISNUMBER(B791),TEXT(B791,"0000"),B791),Addendum!G:G,"X")&gt;0,7%,0)</f>
        <v>0</v>
      </c>
      <c r="L791" s="31">
        <f>IF(COUNTIFS(Addendum!C:C,A791,Addendum!D:D,IF(ISNUMBER(B791),TEXT(B791,"0000"),B791),Addendum!I:I,"X")&gt;0,10%,0)</f>
        <v>0</v>
      </c>
      <c r="M791" s="34">
        <f t="shared" si="24"/>
        <v>0</v>
      </c>
      <c r="N791" s="17">
        <f t="shared" si="25"/>
        <v>22396.560000000001</v>
      </c>
    </row>
    <row r="792" spans="1:14" x14ac:dyDescent="0.25">
      <c r="A792" s="14" t="s">
        <v>2035</v>
      </c>
      <c r="B792" s="14">
        <v>8</v>
      </c>
      <c r="C792" s="15" t="s">
        <v>2040</v>
      </c>
      <c r="D792" s="14" t="s">
        <v>1745</v>
      </c>
      <c r="E792" s="14" t="s">
        <v>1746</v>
      </c>
      <c r="F792" s="17" t="s">
        <v>2994</v>
      </c>
      <c r="G792" s="14">
        <v>54747</v>
      </c>
      <c r="H792" s="14">
        <v>41060.28</v>
      </c>
      <c r="I792" s="31">
        <f>IF(COUNTIFS(Addendum!C:C,A792,Addendum!D:D,IF(ISNUMBER(B792),TEXT(B792,"0000"),B792),Addendum!E:E,"X")&gt;0,4%,0)</f>
        <v>0</v>
      </c>
      <c r="J792" s="31">
        <f>IF(COUNTIFS(Addendum!C:C,A792,Addendum!D:D,IF(ISNUMBER(B792),TEXT(B792,"0000"),B792),Addendum!F:F,"X")&gt;0,2.5%,0)</f>
        <v>0</v>
      </c>
      <c r="K792" s="31">
        <f>IF(COUNTIFS(Addendum!C:C,A792,Addendum!D:D,IF(ISNUMBER(B792),TEXT(B792,"0000"),B792),Addendum!G:G,"X")&gt;0,7%,0)</f>
        <v>0</v>
      </c>
      <c r="L792" s="31">
        <f>IF(COUNTIFS(Addendum!C:C,A792,Addendum!D:D,IF(ISNUMBER(B792),TEXT(B792,"0000"),B792),Addendum!I:I,"X")&gt;0,10%,0)</f>
        <v>0</v>
      </c>
      <c r="M792" s="34">
        <f t="shared" si="24"/>
        <v>0</v>
      </c>
      <c r="N792" s="17">
        <f t="shared" si="25"/>
        <v>41060.28</v>
      </c>
    </row>
    <row r="793" spans="1:14" x14ac:dyDescent="0.25">
      <c r="A793" s="14" t="s">
        <v>2035</v>
      </c>
      <c r="B793" s="14">
        <v>7</v>
      </c>
      <c r="C793" s="15" t="s">
        <v>2039</v>
      </c>
      <c r="D793" s="14" t="s">
        <v>1749</v>
      </c>
      <c r="E793" s="14" t="s">
        <v>1746</v>
      </c>
      <c r="F793" s="17" t="s">
        <v>2993</v>
      </c>
      <c r="G793" s="14">
        <v>9486</v>
      </c>
      <c r="H793" s="14">
        <v>7114.5</v>
      </c>
      <c r="I793" s="31">
        <f>IF(COUNTIFS(Addendum!C:C,A793,Addendum!D:D,IF(ISNUMBER(B793),TEXT(B793,"0000"),B793),Addendum!E:E,"X")&gt;0,4%,0)</f>
        <v>0</v>
      </c>
      <c r="J793" s="31">
        <f>IF(COUNTIFS(Addendum!C:C,A793,Addendum!D:D,IF(ISNUMBER(B793),TEXT(B793,"0000"),B793),Addendum!F:F,"X")&gt;0,2.5%,0)</f>
        <v>0</v>
      </c>
      <c r="K793" s="31">
        <f>IF(COUNTIFS(Addendum!C:C,A793,Addendum!D:D,IF(ISNUMBER(B793),TEXT(B793,"0000"),B793),Addendum!G:G,"X")&gt;0,7%,0)</f>
        <v>0</v>
      </c>
      <c r="L793" s="31">
        <f>IF(COUNTIFS(Addendum!C:C,A793,Addendum!D:D,IF(ISNUMBER(B793),TEXT(B793,"0000"),B793),Addendum!I:I,"X")&gt;0,10%,0)</f>
        <v>0</v>
      </c>
      <c r="M793" s="34">
        <f t="shared" si="24"/>
        <v>0</v>
      </c>
      <c r="N793" s="17">
        <f t="shared" si="25"/>
        <v>7114.5</v>
      </c>
    </row>
    <row r="794" spans="1:14" ht="30" x14ac:dyDescent="0.25">
      <c r="A794" s="14" t="s">
        <v>2035</v>
      </c>
      <c r="B794" s="14">
        <v>5</v>
      </c>
      <c r="C794" s="15" t="s">
        <v>2042</v>
      </c>
      <c r="D794" s="14" t="s">
        <v>1745</v>
      </c>
      <c r="E794" s="14" t="s">
        <v>1746</v>
      </c>
      <c r="F794" s="17" t="s">
        <v>2995</v>
      </c>
      <c r="G794" s="14">
        <v>19656</v>
      </c>
      <c r="H794" s="14">
        <v>17690.400000000001</v>
      </c>
      <c r="I794" s="31">
        <f>IF(COUNTIFS(Addendum!C:C,A794,Addendum!D:D,IF(ISNUMBER(B794),TEXT(B794,"0000"),B794),Addendum!E:E,"X")&gt;0,4%,0)</f>
        <v>0</v>
      </c>
      <c r="J794" s="31">
        <f>IF(COUNTIFS(Addendum!C:C,A794,Addendum!D:D,IF(ISNUMBER(B794),TEXT(B794,"0000"),B794),Addendum!F:F,"X")&gt;0,2.5%,0)</f>
        <v>0</v>
      </c>
      <c r="K794" s="31">
        <f>IF(COUNTIFS(Addendum!C:C,A794,Addendum!D:D,IF(ISNUMBER(B794),TEXT(B794,"0000"),B794),Addendum!G:G,"X")&gt;0,7%,0)</f>
        <v>0</v>
      </c>
      <c r="L794" s="31">
        <f>IF(COUNTIFS(Addendum!C:C,A794,Addendum!D:D,IF(ISNUMBER(B794),TEXT(B794,"0000"),B794),Addendum!I:I,"X")&gt;0,10%,0)</f>
        <v>0</v>
      </c>
      <c r="M794" s="34">
        <f t="shared" si="24"/>
        <v>0</v>
      </c>
      <c r="N794" s="17">
        <f t="shared" si="25"/>
        <v>17690.400000000001</v>
      </c>
    </row>
    <row r="795" spans="1:14" x14ac:dyDescent="0.25">
      <c r="A795" s="14" t="s">
        <v>2035</v>
      </c>
      <c r="B795" s="14">
        <v>8</v>
      </c>
      <c r="C795" s="15" t="s">
        <v>2040</v>
      </c>
      <c r="D795" s="14" t="s">
        <v>1749</v>
      </c>
      <c r="E795" s="14" t="s">
        <v>1746</v>
      </c>
      <c r="F795" s="17" t="s">
        <v>2994</v>
      </c>
      <c r="G795" s="14">
        <v>5214</v>
      </c>
      <c r="H795" s="14">
        <v>3910.5</v>
      </c>
      <c r="I795" s="31">
        <f>IF(COUNTIFS(Addendum!C:C,A795,Addendum!D:D,IF(ISNUMBER(B795),TEXT(B795,"0000"),B795),Addendum!E:E,"X")&gt;0,4%,0)</f>
        <v>0</v>
      </c>
      <c r="J795" s="31">
        <f>IF(COUNTIFS(Addendum!C:C,A795,Addendum!D:D,IF(ISNUMBER(B795),TEXT(B795,"0000"),B795),Addendum!F:F,"X")&gt;0,2.5%,0)</f>
        <v>0</v>
      </c>
      <c r="K795" s="31">
        <f>IF(COUNTIFS(Addendum!C:C,A795,Addendum!D:D,IF(ISNUMBER(B795),TEXT(B795,"0000"),B795),Addendum!G:G,"X")&gt;0,7%,0)</f>
        <v>0</v>
      </c>
      <c r="L795" s="31">
        <f>IF(COUNTIFS(Addendum!C:C,A795,Addendum!D:D,IF(ISNUMBER(B795),TEXT(B795,"0000"),B795),Addendum!I:I,"X")&gt;0,10%,0)</f>
        <v>0</v>
      </c>
      <c r="M795" s="34">
        <f t="shared" si="24"/>
        <v>0</v>
      </c>
      <c r="N795" s="17">
        <f t="shared" si="25"/>
        <v>3910.5</v>
      </c>
    </row>
    <row r="796" spans="1:14" x14ac:dyDescent="0.25">
      <c r="A796" s="14" t="s">
        <v>2035</v>
      </c>
      <c r="B796" s="14">
        <v>4</v>
      </c>
      <c r="C796" s="15" t="s">
        <v>2037</v>
      </c>
      <c r="D796" s="14" t="s">
        <v>1745</v>
      </c>
      <c r="E796" s="14" t="s">
        <v>1746</v>
      </c>
      <c r="F796" s="17" t="s">
        <v>2994</v>
      </c>
      <c r="G796" s="14">
        <v>39816</v>
      </c>
      <c r="H796" s="14">
        <v>29862</v>
      </c>
      <c r="I796" s="31">
        <f>IF(COUNTIFS(Addendum!C:C,A796,Addendum!D:D,IF(ISNUMBER(B796),TEXT(B796,"0000"),B796),Addendum!E:E,"X")&gt;0,4%,0)</f>
        <v>0</v>
      </c>
      <c r="J796" s="31">
        <f>IF(COUNTIFS(Addendum!C:C,A796,Addendum!D:D,IF(ISNUMBER(B796),TEXT(B796,"0000"),B796),Addendum!F:F,"X")&gt;0,2.5%,0)</f>
        <v>0</v>
      </c>
      <c r="K796" s="31">
        <f>IF(COUNTIFS(Addendum!C:C,A796,Addendum!D:D,IF(ISNUMBER(B796),TEXT(B796,"0000"),B796),Addendum!G:G,"X")&gt;0,7%,0)</f>
        <v>0</v>
      </c>
      <c r="L796" s="31">
        <f>IF(COUNTIFS(Addendum!C:C,A796,Addendum!D:D,IF(ISNUMBER(B796),TEXT(B796,"0000"),B796),Addendum!I:I,"X")&gt;0,10%,0)</f>
        <v>0</v>
      </c>
      <c r="M796" s="34">
        <f t="shared" si="24"/>
        <v>0</v>
      </c>
      <c r="N796" s="17">
        <f t="shared" si="25"/>
        <v>29862</v>
      </c>
    </row>
    <row r="797" spans="1:14" ht="30" x14ac:dyDescent="0.25">
      <c r="A797" s="14" t="s">
        <v>2035</v>
      </c>
      <c r="B797" s="14" t="s">
        <v>16</v>
      </c>
      <c r="C797" s="15" t="s">
        <v>2043</v>
      </c>
      <c r="D797" s="14" t="s">
        <v>1749</v>
      </c>
      <c r="E797" s="14" t="s">
        <v>1746</v>
      </c>
      <c r="F797" s="17" t="s">
        <v>2994</v>
      </c>
      <c r="G797" s="14">
        <v>4116</v>
      </c>
      <c r="H797" s="14">
        <v>3087</v>
      </c>
      <c r="I797" s="31">
        <f>IF(COUNTIFS(Addendum!C:C,A797,Addendum!D:D,IF(ISNUMBER(B797),TEXT(B797,"0000"),B797),Addendum!E:E,"X")&gt;0,4%,0)</f>
        <v>0</v>
      </c>
      <c r="J797" s="31">
        <f>IF(COUNTIFS(Addendum!C:C,A797,Addendum!D:D,IF(ISNUMBER(B797),TEXT(B797,"0000"),B797),Addendum!F:F,"X")&gt;0,2.5%,0)</f>
        <v>0</v>
      </c>
      <c r="K797" s="31">
        <f>IF(COUNTIFS(Addendum!C:C,A797,Addendum!D:D,IF(ISNUMBER(B797),TEXT(B797,"0000"),B797),Addendum!G:G,"X")&gt;0,7%,0)</f>
        <v>0</v>
      </c>
      <c r="L797" s="31">
        <f>IF(COUNTIFS(Addendum!C:C,A797,Addendum!D:D,IF(ISNUMBER(B797),TEXT(B797,"0000"),B797),Addendum!I:I,"X")&gt;0,10%,0)</f>
        <v>0</v>
      </c>
      <c r="M797" s="34">
        <f t="shared" si="24"/>
        <v>0</v>
      </c>
      <c r="N797" s="17">
        <f t="shared" si="25"/>
        <v>3087</v>
      </c>
    </row>
    <row r="798" spans="1:14" ht="30" x14ac:dyDescent="0.25">
      <c r="A798" s="14" t="s">
        <v>2035</v>
      </c>
      <c r="B798" s="14">
        <v>5</v>
      </c>
      <c r="C798" s="15" t="s">
        <v>2042</v>
      </c>
      <c r="D798" s="14" t="s">
        <v>1745</v>
      </c>
      <c r="E798" s="14" t="s">
        <v>1747</v>
      </c>
      <c r="F798" s="17" t="s">
        <v>2995</v>
      </c>
      <c r="G798" s="14">
        <v>18720</v>
      </c>
      <c r="H798" s="14">
        <v>16848</v>
      </c>
      <c r="I798" s="31">
        <f>IF(COUNTIFS(Addendum!C:C,A798,Addendum!D:D,IF(ISNUMBER(B798),TEXT(B798,"0000"),B798),Addendum!E:E,"X")&gt;0,4%,0)</f>
        <v>0</v>
      </c>
      <c r="J798" s="31">
        <f>IF(COUNTIFS(Addendum!C:C,A798,Addendum!D:D,IF(ISNUMBER(B798),TEXT(B798,"0000"),B798),Addendum!F:F,"X")&gt;0,2.5%,0)</f>
        <v>0</v>
      </c>
      <c r="K798" s="31">
        <f>IF(COUNTIFS(Addendum!C:C,A798,Addendum!D:D,IF(ISNUMBER(B798),TEXT(B798,"0000"),B798),Addendum!G:G,"X")&gt;0,7%,0)</f>
        <v>0</v>
      </c>
      <c r="L798" s="31">
        <f>IF(COUNTIFS(Addendum!C:C,A798,Addendum!D:D,IF(ISNUMBER(B798),TEXT(B798,"0000"),B798),Addendum!I:I,"X")&gt;0,10%,0)</f>
        <v>0</v>
      </c>
      <c r="M798" s="34">
        <f t="shared" si="24"/>
        <v>0</v>
      </c>
      <c r="N798" s="17">
        <f t="shared" si="25"/>
        <v>16848</v>
      </c>
    </row>
    <row r="799" spans="1:14" ht="30" x14ac:dyDescent="0.25">
      <c r="A799" s="14" t="s">
        <v>2035</v>
      </c>
      <c r="B799" s="14">
        <v>3</v>
      </c>
      <c r="C799" s="15" t="s">
        <v>2036</v>
      </c>
      <c r="D799" s="14" t="s">
        <v>1745</v>
      </c>
      <c r="E799" s="14" t="s">
        <v>1746</v>
      </c>
      <c r="F799" s="17" t="s">
        <v>2994</v>
      </c>
      <c r="G799" s="14">
        <v>31437</v>
      </c>
      <c r="H799" s="14">
        <v>23577.72</v>
      </c>
      <c r="I799" s="31">
        <f>IF(COUNTIFS(Addendum!C:C,A799,Addendum!D:D,IF(ISNUMBER(B799),TEXT(B799,"0000"),B799),Addendum!E:E,"X")&gt;0,4%,0)</f>
        <v>0</v>
      </c>
      <c r="J799" s="31">
        <f>IF(COUNTIFS(Addendum!C:C,A799,Addendum!D:D,IF(ISNUMBER(B799),TEXT(B799,"0000"),B799),Addendum!F:F,"X")&gt;0,2.5%,0)</f>
        <v>0</v>
      </c>
      <c r="K799" s="31">
        <f>IF(COUNTIFS(Addendum!C:C,A799,Addendum!D:D,IF(ISNUMBER(B799),TEXT(B799,"0000"),B799),Addendum!G:G,"X")&gt;0,7%,0)</f>
        <v>0</v>
      </c>
      <c r="L799" s="31">
        <f>IF(COUNTIFS(Addendum!C:C,A799,Addendum!D:D,IF(ISNUMBER(B799),TEXT(B799,"0000"),B799),Addendum!I:I,"X")&gt;0,10%,0)</f>
        <v>0</v>
      </c>
      <c r="M799" s="34">
        <f t="shared" si="24"/>
        <v>0</v>
      </c>
      <c r="N799" s="17">
        <f t="shared" si="25"/>
        <v>23577.72</v>
      </c>
    </row>
    <row r="800" spans="1:14" x14ac:dyDescent="0.25">
      <c r="A800" s="14" t="s">
        <v>2044</v>
      </c>
      <c r="B800" s="14">
        <v>8</v>
      </c>
      <c r="C800" s="15" t="s">
        <v>2045</v>
      </c>
      <c r="D800" s="14" t="s">
        <v>1749</v>
      </c>
      <c r="E800" s="14" t="s">
        <v>1746</v>
      </c>
      <c r="F800" s="17" t="s">
        <v>2993</v>
      </c>
      <c r="G800" s="14">
        <v>7488</v>
      </c>
      <c r="H800" s="14">
        <v>5616</v>
      </c>
      <c r="I800" s="31">
        <f>IF(COUNTIFS(Addendum!C:C,A800,Addendum!D:D,IF(ISNUMBER(B800),TEXT(B800,"0000"),B800),Addendum!E:E,"X")&gt;0,4%,0)</f>
        <v>0</v>
      </c>
      <c r="J800" s="31">
        <f>IF(COUNTIFS(Addendum!C:C,A800,Addendum!D:D,IF(ISNUMBER(B800),TEXT(B800,"0000"),B800),Addendum!F:F,"X")&gt;0,2.5%,0)</f>
        <v>0</v>
      </c>
      <c r="K800" s="31">
        <f>IF(COUNTIFS(Addendum!C:C,A800,Addendum!D:D,IF(ISNUMBER(B800),TEXT(B800,"0000"),B800),Addendum!G:G,"X")&gt;0,7%,0)</f>
        <v>0</v>
      </c>
      <c r="L800" s="31">
        <f>IF(COUNTIFS(Addendum!C:C,A800,Addendum!D:D,IF(ISNUMBER(B800),TEXT(B800,"0000"),B800),Addendum!I:I,"X")&gt;0,10%,0)</f>
        <v>0</v>
      </c>
      <c r="M800" s="34">
        <f t="shared" si="24"/>
        <v>0</v>
      </c>
      <c r="N800" s="17">
        <f t="shared" si="25"/>
        <v>5616</v>
      </c>
    </row>
    <row r="801" spans="1:14" x14ac:dyDescent="0.25">
      <c r="A801" s="14" t="s">
        <v>2044</v>
      </c>
      <c r="B801" s="14">
        <v>7</v>
      </c>
      <c r="C801" s="15" t="s">
        <v>2046</v>
      </c>
      <c r="D801" s="14" t="s">
        <v>1745</v>
      </c>
      <c r="E801" s="14" t="s">
        <v>1746</v>
      </c>
      <c r="F801" s="17" t="s">
        <v>2994</v>
      </c>
      <c r="G801" s="14">
        <v>54747</v>
      </c>
      <c r="H801" s="14">
        <v>41060.28</v>
      </c>
      <c r="I801" s="31">
        <f>IF(COUNTIFS(Addendum!C:C,A801,Addendum!D:D,IF(ISNUMBER(B801),TEXT(B801,"0000"),B801),Addendum!E:E,"X")&gt;0,4%,0)</f>
        <v>0</v>
      </c>
      <c r="J801" s="31">
        <f>IF(COUNTIFS(Addendum!C:C,A801,Addendum!D:D,IF(ISNUMBER(B801),TEXT(B801,"0000"),B801),Addendum!F:F,"X")&gt;0,2.5%,0)</f>
        <v>0</v>
      </c>
      <c r="K801" s="31">
        <f>IF(COUNTIFS(Addendum!C:C,A801,Addendum!D:D,IF(ISNUMBER(B801),TEXT(B801,"0000"),B801),Addendum!G:G,"X")&gt;0,7%,0)</f>
        <v>0</v>
      </c>
      <c r="L801" s="31">
        <f>IF(COUNTIFS(Addendum!C:C,A801,Addendum!D:D,IF(ISNUMBER(B801),TEXT(B801,"0000"),B801),Addendum!I:I,"X")&gt;0,10%,0)</f>
        <v>0</v>
      </c>
      <c r="M801" s="34">
        <f t="shared" si="24"/>
        <v>0</v>
      </c>
      <c r="N801" s="17">
        <f t="shared" si="25"/>
        <v>41060.28</v>
      </c>
    </row>
    <row r="802" spans="1:14" ht="30" x14ac:dyDescent="0.25">
      <c r="A802" s="14" t="s">
        <v>2044</v>
      </c>
      <c r="B802" s="14">
        <v>9</v>
      </c>
      <c r="C802" s="15" t="s">
        <v>2047</v>
      </c>
      <c r="D802" s="14" t="s">
        <v>1745</v>
      </c>
      <c r="E802" s="14" t="s">
        <v>1747</v>
      </c>
      <c r="F802" s="17" t="s">
        <v>2994</v>
      </c>
      <c r="G802" s="14">
        <v>41160</v>
      </c>
      <c r="H802" s="14">
        <v>30870</v>
      </c>
      <c r="I802" s="31">
        <f>IF(COUNTIFS(Addendum!C:C,A802,Addendum!D:D,IF(ISNUMBER(B802),TEXT(B802,"0000"),B802),Addendum!E:E,"X")&gt;0,4%,0)</f>
        <v>0</v>
      </c>
      <c r="J802" s="31">
        <f>IF(COUNTIFS(Addendum!C:C,A802,Addendum!D:D,IF(ISNUMBER(B802),TEXT(B802,"0000"),B802),Addendum!F:F,"X")&gt;0,2.5%,0)</f>
        <v>0</v>
      </c>
      <c r="K802" s="31">
        <f>IF(COUNTIFS(Addendum!C:C,A802,Addendum!D:D,IF(ISNUMBER(B802),TEXT(B802,"0000"),B802),Addendum!G:G,"X")&gt;0,7%,0)</f>
        <v>0</v>
      </c>
      <c r="L802" s="31">
        <f>IF(COUNTIFS(Addendum!C:C,A802,Addendum!D:D,IF(ISNUMBER(B802),TEXT(B802,"0000"),B802),Addendum!I:I,"X")&gt;0,10%,0)</f>
        <v>0</v>
      </c>
      <c r="M802" s="34">
        <f t="shared" si="24"/>
        <v>0</v>
      </c>
      <c r="N802" s="17">
        <f t="shared" si="25"/>
        <v>30870</v>
      </c>
    </row>
    <row r="803" spans="1:14" x14ac:dyDescent="0.25">
      <c r="A803" s="14" t="s">
        <v>2044</v>
      </c>
      <c r="B803" s="14" t="s">
        <v>16</v>
      </c>
      <c r="C803" s="15" t="s">
        <v>2048</v>
      </c>
      <c r="D803" s="14" t="s">
        <v>1749</v>
      </c>
      <c r="E803" s="14" t="s">
        <v>1746</v>
      </c>
      <c r="F803" s="17" t="s">
        <v>2993</v>
      </c>
      <c r="G803" s="14">
        <v>9486</v>
      </c>
      <c r="H803" s="14">
        <v>7114.5</v>
      </c>
      <c r="I803" s="31">
        <f>IF(COUNTIFS(Addendum!C:C,A803,Addendum!D:D,IF(ISNUMBER(B803),TEXT(B803,"0000"),B803),Addendum!E:E,"X")&gt;0,4%,0)</f>
        <v>0</v>
      </c>
      <c r="J803" s="31">
        <f>IF(COUNTIFS(Addendum!C:C,A803,Addendum!D:D,IF(ISNUMBER(B803),TEXT(B803,"0000"),B803),Addendum!F:F,"X")&gt;0,2.5%,0)</f>
        <v>0</v>
      </c>
      <c r="K803" s="31">
        <f>IF(COUNTIFS(Addendum!C:C,A803,Addendum!D:D,IF(ISNUMBER(B803),TEXT(B803,"0000"),B803),Addendum!G:G,"X")&gt;0,7%,0)</f>
        <v>0</v>
      </c>
      <c r="L803" s="31">
        <f>IF(COUNTIFS(Addendum!C:C,A803,Addendum!D:D,IF(ISNUMBER(B803),TEXT(B803,"0000"),B803),Addendum!I:I,"X")&gt;0,10%,0)</f>
        <v>0</v>
      </c>
      <c r="M803" s="34">
        <f t="shared" si="24"/>
        <v>0</v>
      </c>
      <c r="N803" s="17">
        <f t="shared" si="25"/>
        <v>7114.5</v>
      </c>
    </row>
    <row r="804" spans="1:14" ht="30" x14ac:dyDescent="0.25">
      <c r="A804" s="14" t="s">
        <v>2044</v>
      </c>
      <c r="B804" s="14">
        <v>1</v>
      </c>
      <c r="C804" s="15" t="s">
        <v>2049</v>
      </c>
      <c r="D804" s="14" t="s">
        <v>1749</v>
      </c>
      <c r="E804" s="14" t="s">
        <v>1746</v>
      </c>
      <c r="F804" s="17" t="s">
        <v>2994</v>
      </c>
      <c r="G804" s="14">
        <v>2994</v>
      </c>
      <c r="H804" s="14">
        <v>2245.5</v>
      </c>
      <c r="I804" s="31">
        <f>IF(COUNTIFS(Addendum!C:C,A804,Addendum!D:D,IF(ISNUMBER(B804),TEXT(B804,"0000"),B804),Addendum!E:E,"X")&gt;0,4%,0)</f>
        <v>0</v>
      </c>
      <c r="J804" s="31">
        <f>IF(COUNTIFS(Addendum!C:C,A804,Addendum!D:D,IF(ISNUMBER(B804),TEXT(B804,"0000"),B804),Addendum!F:F,"X")&gt;0,2.5%,0)</f>
        <v>0</v>
      </c>
      <c r="K804" s="31">
        <f>IF(COUNTIFS(Addendum!C:C,A804,Addendum!D:D,IF(ISNUMBER(B804),TEXT(B804,"0000"),B804),Addendum!G:G,"X")&gt;0,7%,0)</f>
        <v>0</v>
      </c>
      <c r="L804" s="31">
        <f>IF(COUNTIFS(Addendum!C:C,A804,Addendum!D:D,IF(ISNUMBER(B804),TEXT(B804,"0000"),B804),Addendum!I:I,"X")&gt;0,10%,0)</f>
        <v>0</v>
      </c>
      <c r="M804" s="34">
        <f t="shared" si="24"/>
        <v>0</v>
      </c>
      <c r="N804" s="17">
        <f t="shared" si="25"/>
        <v>2245.5</v>
      </c>
    </row>
    <row r="805" spans="1:14" ht="30" x14ac:dyDescent="0.25">
      <c r="A805" s="14" t="s">
        <v>2044</v>
      </c>
      <c r="B805" s="14">
        <v>9</v>
      </c>
      <c r="C805" s="15" t="s">
        <v>2047</v>
      </c>
      <c r="D805" s="14" t="s">
        <v>1749</v>
      </c>
      <c r="E805" s="14" t="s">
        <v>1746</v>
      </c>
      <c r="F805" s="17" t="s">
        <v>2994</v>
      </c>
      <c r="G805" s="14">
        <v>4116</v>
      </c>
      <c r="H805" s="14">
        <v>3087</v>
      </c>
      <c r="I805" s="31">
        <f>IF(COUNTIFS(Addendum!C:C,A805,Addendum!D:D,IF(ISNUMBER(B805),TEXT(B805,"0000"),B805),Addendum!E:E,"X")&gt;0,4%,0)</f>
        <v>0</v>
      </c>
      <c r="J805" s="31">
        <f>IF(COUNTIFS(Addendum!C:C,A805,Addendum!D:D,IF(ISNUMBER(B805),TEXT(B805,"0000"),B805),Addendum!F:F,"X")&gt;0,2.5%,0)</f>
        <v>0</v>
      </c>
      <c r="K805" s="31">
        <f>IF(COUNTIFS(Addendum!C:C,A805,Addendum!D:D,IF(ISNUMBER(B805),TEXT(B805,"0000"),B805),Addendum!G:G,"X")&gt;0,7%,0)</f>
        <v>0</v>
      </c>
      <c r="L805" s="31">
        <f>IF(COUNTIFS(Addendum!C:C,A805,Addendum!D:D,IF(ISNUMBER(B805),TEXT(B805,"0000"),B805),Addendum!I:I,"X")&gt;0,10%,0)</f>
        <v>0</v>
      </c>
      <c r="M805" s="34">
        <f t="shared" si="24"/>
        <v>0</v>
      </c>
      <c r="N805" s="17">
        <f t="shared" si="25"/>
        <v>3087</v>
      </c>
    </row>
    <row r="806" spans="1:14" ht="30" x14ac:dyDescent="0.25">
      <c r="A806" s="14" t="s">
        <v>2044</v>
      </c>
      <c r="B806" s="14">
        <v>1</v>
      </c>
      <c r="C806" s="15" t="s">
        <v>2049</v>
      </c>
      <c r="D806" s="14" t="s">
        <v>1745</v>
      </c>
      <c r="E806" s="14" t="s">
        <v>1747</v>
      </c>
      <c r="F806" s="17" t="s">
        <v>2994</v>
      </c>
      <c r="G806" s="14">
        <v>29940</v>
      </c>
      <c r="H806" s="14">
        <v>22455</v>
      </c>
      <c r="I806" s="31">
        <f>IF(COUNTIFS(Addendum!C:C,A806,Addendum!D:D,IF(ISNUMBER(B806),TEXT(B806,"0000"),B806),Addendum!E:E,"X")&gt;0,4%,0)</f>
        <v>0</v>
      </c>
      <c r="J806" s="31">
        <f>IF(COUNTIFS(Addendum!C:C,A806,Addendum!D:D,IF(ISNUMBER(B806),TEXT(B806,"0000"),B806),Addendum!F:F,"X")&gt;0,2.5%,0)</f>
        <v>0</v>
      </c>
      <c r="K806" s="31">
        <f>IF(COUNTIFS(Addendum!C:C,A806,Addendum!D:D,IF(ISNUMBER(B806),TEXT(B806,"0000"),B806),Addendum!G:G,"X")&gt;0,7%,0)</f>
        <v>0</v>
      </c>
      <c r="L806" s="31">
        <f>IF(COUNTIFS(Addendum!C:C,A806,Addendum!D:D,IF(ISNUMBER(B806),TEXT(B806,"0000"),B806),Addendum!I:I,"X")&gt;0,10%,0)</f>
        <v>0</v>
      </c>
      <c r="M806" s="34">
        <f t="shared" si="24"/>
        <v>0</v>
      </c>
      <c r="N806" s="17">
        <f t="shared" si="25"/>
        <v>22455</v>
      </c>
    </row>
    <row r="807" spans="1:14" x14ac:dyDescent="0.25">
      <c r="A807" s="14" t="s">
        <v>2044</v>
      </c>
      <c r="B807" s="14">
        <v>2</v>
      </c>
      <c r="C807" s="15" t="s">
        <v>2050</v>
      </c>
      <c r="D807" s="14" t="s">
        <v>1745</v>
      </c>
      <c r="E807" s="14" t="s">
        <v>1746</v>
      </c>
      <c r="F807" s="17" t="s">
        <v>2995</v>
      </c>
      <c r="G807" s="14">
        <v>24885</v>
      </c>
      <c r="H807" s="14">
        <v>22396.560000000001</v>
      </c>
      <c r="I807" s="31">
        <f>IF(COUNTIFS(Addendum!C:C,A807,Addendum!D:D,IF(ISNUMBER(B807),TEXT(B807,"0000"),B807),Addendum!E:E,"X")&gt;0,4%,0)</f>
        <v>0</v>
      </c>
      <c r="J807" s="31">
        <f>IF(COUNTIFS(Addendum!C:C,A807,Addendum!D:D,IF(ISNUMBER(B807),TEXT(B807,"0000"),B807),Addendum!F:F,"X")&gt;0,2.5%,0)</f>
        <v>0</v>
      </c>
      <c r="K807" s="31">
        <f>IF(COUNTIFS(Addendum!C:C,A807,Addendum!D:D,IF(ISNUMBER(B807),TEXT(B807,"0000"),B807),Addendum!G:G,"X")&gt;0,7%,0)</f>
        <v>0</v>
      </c>
      <c r="L807" s="31">
        <f>IF(COUNTIFS(Addendum!C:C,A807,Addendum!D:D,IF(ISNUMBER(B807),TEXT(B807,"0000"),B807),Addendum!I:I,"X")&gt;0,10%,0)</f>
        <v>0</v>
      </c>
      <c r="M807" s="34">
        <f t="shared" si="24"/>
        <v>0</v>
      </c>
      <c r="N807" s="17">
        <f t="shared" si="25"/>
        <v>22396.560000000001</v>
      </c>
    </row>
    <row r="808" spans="1:14" ht="30" x14ac:dyDescent="0.25">
      <c r="A808" s="14" t="s">
        <v>2044</v>
      </c>
      <c r="B808" s="14">
        <v>9</v>
      </c>
      <c r="C808" s="15" t="s">
        <v>2047</v>
      </c>
      <c r="D808" s="14" t="s">
        <v>1745</v>
      </c>
      <c r="E808" s="14" t="s">
        <v>1746</v>
      </c>
      <c r="F808" s="17" t="s">
        <v>2994</v>
      </c>
      <c r="G808" s="14">
        <v>43218</v>
      </c>
      <c r="H808" s="14">
        <v>32413.56</v>
      </c>
      <c r="I808" s="31">
        <f>IF(COUNTIFS(Addendum!C:C,A808,Addendum!D:D,IF(ISNUMBER(B808),TEXT(B808,"0000"),B808),Addendum!E:E,"X")&gt;0,4%,0)</f>
        <v>0</v>
      </c>
      <c r="J808" s="31">
        <f>IF(COUNTIFS(Addendum!C:C,A808,Addendum!D:D,IF(ISNUMBER(B808),TEXT(B808,"0000"),B808),Addendum!F:F,"X")&gt;0,2.5%,0)</f>
        <v>0</v>
      </c>
      <c r="K808" s="31">
        <f>IF(COUNTIFS(Addendum!C:C,A808,Addendum!D:D,IF(ISNUMBER(B808),TEXT(B808,"0000"),B808),Addendum!G:G,"X")&gt;0,7%,0)</f>
        <v>0</v>
      </c>
      <c r="L808" s="31">
        <f>IF(COUNTIFS(Addendum!C:C,A808,Addendum!D:D,IF(ISNUMBER(B808),TEXT(B808,"0000"),B808),Addendum!I:I,"X")&gt;0,10%,0)</f>
        <v>0</v>
      </c>
      <c r="M808" s="34">
        <f t="shared" si="24"/>
        <v>0</v>
      </c>
      <c r="N808" s="17">
        <f t="shared" si="25"/>
        <v>32413.56</v>
      </c>
    </row>
    <row r="809" spans="1:14" x14ac:dyDescent="0.25">
      <c r="A809" s="14" t="s">
        <v>2044</v>
      </c>
      <c r="B809" s="14">
        <v>4</v>
      </c>
      <c r="C809" s="15" t="s">
        <v>2051</v>
      </c>
      <c r="D809" s="14" t="s">
        <v>1745</v>
      </c>
      <c r="E809" s="14" t="s">
        <v>1746</v>
      </c>
      <c r="F809" s="17" t="s">
        <v>2994</v>
      </c>
      <c r="G809" s="14">
        <v>39816</v>
      </c>
      <c r="H809" s="14">
        <v>29862</v>
      </c>
      <c r="I809" s="31">
        <f>IF(COUNTIFS(Addendum!C:C,A809,Addendum!D:D,IF(ISNUMBER(B809),TEXT(B809,"0000"),B809),Addendum!E:E,"X")&gt;0,4%,0)</f>
        <v>0</v>
      </c>
      <c r="J809" s="31">
        <f>IF(COUNTIFS(Addendum!C:C,A809,Addendum!D:D,IF(ISNUMBER(B809),TEXT(B809,"0000"),B809),Addendum!F:F,"X")&gt;0,2.5%,0)</f>
        <v>0</v>
      </c>
      <c r="K809" s="31">
        <f>IF(COUNTIFS(Addendum!C:C,A809,Addendum!D:D,IF(ISNUMBER(B809),TEXT(B809,"0000"),B809),Addendum!G:G,"X")&gt;0,7%,0)</f>
        <v>0</v>
      </c>
      <c r="L809" s="31">
        <f>IF(COUNTIFS(Addendum!C:C,A809,Addendum!D:D,IF(ISNUMBER(B809),TEXT(B809,"0000"),B809),Addendum!I:I,"X")&gt;0,10%,0)</f>
        <v>0</v>
      </c>
      <c r="M809" s="34">
        <f t="shared" si="24"/>
        <v>0</v>
      </c>
      <c r="N809" s="17">
        <f t="shared" si="25"/>
        <v>29862</v>
      </c>
    </row>
    <row r="810" spans="1:14" ht="30" x14ac:dyDescent="0.25">
      <c r="A810" s="14" t="s">
        <v>2044</v>
      </c>
      <c r="B810" s="14">
        <v>6</v>
      </c>
      <c r="C810" s="15" t="s">
        <v>2052</v>
      </c>
      <c r="D810" s="14" t="s">
        <v>1745</v>
      </c>
      <c r="E810" s="14" t="s">
        <v>1746</v>
      </c>
      <c r="F810" s="17" t="s">
        <v>2995</v>
      </c>
      <c r="G810" s="14">
        <v>19656</v>
      </c>
      <c r="H810" s="14">
        <v>17690.400000000001</v>
      </c>
      <c r="I810" s="31">
        <f>IF(COUNTIFS(Addendum!C:C,A810,Addendum!D:D,IF(ISNUMBER(B810),TEXT(B810,"0000"),B810),Addendum!E:E,"X")&gt;0,4%,0)</f>
        <v>0</v>
      </c>
      <c r="J810" s="31">
        <f>IF(COUNTIFS(Addendum!C:C,A810,Addendum!D:D,IF(ISNUMBER(B810),TEXT(B810,"0000"),B810),Addendum!F:F,"X")&gt;0,2.5%,0)</f>
        <v>0</v>
      </c>
      <c r="K810" s="31">
        <f>IF(COUNTIFS(Addendum!C:C,A810,Addendum!D:D,IF(ISNUMBER(B810),TEXT(B810,"0000"),B810),Addendum!G:G,"X")&gt;0,7%,0)</f>
        <v>0</v>
      </c>
      <c r="L810" s="31">
        <f>IF(COUNTIFS(Addendum!C:C,A810,Addendum!D:D,IF(ISNUMBER(B810),TEXT(B810,"0000"),B810),Addendum!I:I,"X")&gt;0,10%,0)</f>
        <v>0</v>
      </c>
      <c r="M810" s="34">
        <f t="shared" si="24"/>
        <v>0</v>
      </c>
      <c r="N810" s="17">
        <f t="shared" si="25"/>
        <v>17690.400000000001</v>
      </c>
    </row>
    <row r="811" spans="1:14" x14ac:dyDescent="0.25">
      <c r="A811" s="14" t="s">
        <v>2044</v>
      </c>
      <c r="B811" s="14">
        <v>2</v>
      </c>
      <c r="C811" s="15" t="s">
        <v>2050</v>
      </c>
      <c r="D811" s="14" t="s">
        <v>1745</v>
      </c>
      <c r="E811" s="14" t="s">
        <v>1747</v>
      </c>
      <c r="F811" s="17" t="s">
        <v>2995</v>
      </c>
      <c r="G811" s="14">
        <v>23700</v>
      </c>
      <c r="H811" s="14">
        <v>21330</v>
      </c>
      <c r="I811" s="31">
        <f>IF(COUNTIFS(Addendum!C:C,A811,Addendum!D:D,IF(ISNUMBER(B811),TEXT(B811,"0000"),B811),Addendum!E:E,"X")&gt;0,4%,0)</f>
        <v>0</v>
      </c>
      <c r="J811" s="31">
        <f>IF(COUNTIFS(Addendum!C:C,A811,Addendum!D:D,IF(ISNUMBER(B811),TEXT(B811,"0000"),B811),Addendum!F:F,"X")&gt;0,2.5%,0)</f>
        <v>0</v>
      </c>
      <c r="K811" s="31">
        <f>IF(COUNTIFS(Addendum!C:C,A811,Addendum!D:D,IF(ISNUMBER(B811),TEXT(B811,"0000"),B811),Addendum!G:G,"X")&gt;0,7%,0)</f>
        <v>0</v>
      </c>
      <c r="L811" s="31">
        <f>IF(COUNTIFS(Addendum!C:C,A811,Addendum!D:D,IF(ISNUMBER(B811),TEXT(B811,"0000"),B811),Addendum!I:I,"X")&gt;0,10%,0)</f>
        <v>0</v>
      </c>
      <c r="M811" s="34">
        <f t="shared" si="24"/>
        <v>0</v>
      </c>
      <c r="N811" s="17">
        <f t="shared" si="25"/>
        <v>21330</v>
      </c>
    </row>
    <row r="812" spans="1:14" ht="30" x14ac:dyDescent="0.25">
      <c r="A812" s="14" t="s">
        <v>2044</v>
      </c>
      <c r="B812" s="14">
        <v>1</v>
      </c>
      <c r="C812" s="15" t="s">
        <v>2049</v>
      </c>
      <c r="D812" s="14" t="s">
        <v>1745</v>
      </c>
      <c r="E812" s="14" t="s">
        <v>1746</v>
      </c>
      <c r="F812" s="17" t="s">
        <v>2994</v>
      </c>
      <c r="G812" s="14">
        <v>31437</v>
      </c>
      <c r="H812" s="14">
        <v>23577.72</v>
      </c>
      <c r="I812" s="31">
        <f>IF(COUNTIFS(Addendum!C:C,A812,Addendum!D:D,IF(ISNUMBER(B812),TEXT(B812,"0000"),B812),Addendum!E:E,"X")&gt;0,4%,0)</f>
        <v>0</v>
      </c>
      <c r="J812" s="31">
        <f>IF(COUNTIFS(Addendum!C:C,A812,Addendum!D:D,IF(ISNUMBER(B812),TEXT(B812,"0000"),B812),Addendum!F:F,"X")&gt;0,2.5%,0)</f>
        <v>0</v>
      </c>
      <c r="K812" s="31">
        <f>IF(COUNTIFS(Addendum!C:C,A812,Addendum!D:D,IF(ISNUMBER(B812),TEXT(B812,"0000"),B812),Addendum!G:G,"X")&gt;0,7%,0)</f>
        <v>0</v>
      </c>
      <c r="L812" s="31">
        <f>IF(COUNTIFS(Addendum!C:C,A812,Addendum!D:D,IF(ISNUMBER(B812),TEXT(B812,"0000"),B812),Addendum!I:I,"X")&gt;0,10%,0)</f>
        <v>0</v>
      </c>
      <c r="M812" s="34">
        <f t="shared" si="24"/>
        <v>0</v>
      </c>
      <c r="N812" s="17">
        <f t="shared" si="25"/>
        <v>23577.72</v>
      </c>
    </row>
    <row r="813" spans="1:14" x14ac:dyDescent="0.25">
      <c r="A813" s="14" t="s">
        <v>2044</v>
      </c>
      <c r="B813" s="14">
        <v>8</v>
      </c>
      <c r="C813" s="15" t="s">
        <v>2045</v>
      </c>
      <c r="D813" s="14" t="s">
        <v>1745</v>
      </c>
      <c r="E813" s="14" t="s">
        <v>1747</v>
      </c>
      <c r="F813" s="17" t="s">
        <v>2993</v>
      </c>
      <c r="G813" s="14">
        <v>74880</v>
      </c>
      <c r="H813" s="14">
        <v>56160</v>
      </c>
      <c r="I813" s="31">
        <f>IF(COUNTIFS(Addendum!C:C,A813,Addendum!D:D,IF(ISNUMBER(B813),TEXT(B813,"0000"),B813),Addendum!E:E,"X")&gt;0,4%,0)</f>
        <v>0</v>
      </c>
      <c r="J813" s="31">
        <f>IF(COUNTIFS(Addendum!C:C,A813,Addendum!D:D,IF(ISNUMBER(B813),TEXT(B813,"0000"),B813),Addendum!F:F,"X")&gt;0,2.5%,0)</f>
        <v>0</v>
      </c>
      <c r="K813" s="31">
        <f>IF(COUNTIFS(Addendum!C:C,A813,Addendum!D:D,IF(ISNUMBER(B813),TEXT(B813,"0000"),B813),Addendum!G:G,"X")&gt;0,7%,0)</f>
        <v>0</v>
      </c>
      <c r="L813" s="31">
        <f>IF(COUNTIFS(Addendum!C:C,A813,Addendum!D:D,IF(ISNUMBER(B813),TEXT(B813,"0000"),B813),Addendum!I:I,"X")&gt;0,10%,0)</f>
        <v>0</v>
      </c>
      <c r="M813" s="34">
        <f t="shared" si="24"/>
        <v>0</v>
      </c>
      <c r="N813" s="17">
        <f t="shared" si="25"/>
        <v>56160</v>
      </c>
    </row>
    <row r="814" spans="1:14" x14ac:dyDescent="0.25">
      <c r="A814" s="14" t="s">
        <v>2044</v>
      </c>
      <c r="B814" s="14">
        <v>2</v>
      </c>
      <c r="C814" s="15" t="s">
        <v>2050</v>
      </c>
      <c r="D814" s="14" t="s">
        <v>1749</v>
      </c>
      <c r="E814" s="14" t="s">
        <v>1746</v>
      </c>
      <c r="F814" s="17" t="s">
        <v>2995</v>
      </c>
      <c r="G814" s="14">
        <v>2370</v>
      </c>
      <c r="H814" s="14">
        <v>2133</v>
      </c>
      <c r="I814" s="31">
        <f>IF(COUNTIFS(Addendum!C:C,A814,Addendum!D:D,IF(ISNUMBER(B814),TEXT(B814,"0000"),B814),Addendum!E:E,"X")&gt;0,4%,0)</f>
        <v>0</v>
      </c>
      <c r="J814" s="31">
        <f>IF(COUNTIFS(Addendum!C:C,A814,Addendum!D:D,IF(ISNUMBER(B814),TEXT(B814,"0000"),B814),Addendum!F:F,"X")&gt;0,2.5%,0)</f>
        <v>0</v>
      </c>
      <c r="K814" s="31">
        <f>IF(COUNTIFS(Addendum!C:C,A814,Addendum!D:D,IF(ISNUMBER(B814),TEXT(B814,"0000"),B814),Addendum!G:G,"X")&gt;0,7%,0)</f>
        <v>0</v>
      </c>
      <c r="L814" s="31">
        <f>IF(COUNTIFS(Addendum!C:C,A814,Addendum!D:D,IF(ISNUMBER(B814),TEXT(B814,"0000"),B814),Addendum!I:I,"X")&gt;0,10%,0)</f>
        <v>0</v>
      </c>
      <c r="M814" s="34">
        <f t="shared" si="24"/>
        <v>0</v>
      </c>
      <c r="N814" s="17">
        <f t="shared" si="25"/>
        <v>2133</v>
      </c>
    </row>
    <row r="815" spans="1:14" x14ac:dyDescent="0.25">
      <c r="A815" s="14" t="s">
        <v>2044</v>
      </c>
      <c r="B815" s="14">
        <v>8</v>
      </c>
      <c r="C815" s="15" t="s">
        <v>2045</v>
      </c>
      <c r="D815" s="14" t="s">
        <v>1745</v>
      </c>
      <c r="E815" s="14" t="s">
        <v>1746</v>
      </c>
      <c r="F815" s="17" t="s">
        <v>2993</v>
      </c>
      <c r="G815" s="14">
        <v>78624</v>
      </c>
      <c r="H815" s="14">
        <v>58968</v>
      </c>
      <c r="I815" s="31">
        <f>IF(COUNTIFS(Addendum!C:C,A815,Addendum!D:D,IF(ISNUMBER(B815),TEXT(B815,"0000"),B815),Addendum!E:E,"X")&gt;0,4%,0)</f>
        <v>0</v>
      </c>
      <c r="J815" s="31">
        <f>IF(COUNTIFS(Addendum!C:C,A815,Addendum!D:D,IF(ISNUMBER(B815),TEXT(B815,"0000"),B815),Addendum!F:F,"X")&gt;0,2.5%,0)</f>
        <v>0</v>
      </c>
      <c r="K815" s="31">
        <f>IF(COUNTIFS(Addendum!C:C,A815,Addendum!D:D,IF(ISNUMBER(B815),TEXT(B815,"0000"),B815),Addendum!G:G,"X")&gt;0,7%,0)</f>
        <v>0</v>
      </c>
      <c r="L815" s="31">
        <f>IF(COUNTIFS(Addendum!C:C,A815,Addendum!D:D,IF(ISNUMBER(B815),TEXT(B815,"0000"),B815),Addendum!I:I,"X")&gt;0,10%,0)</f>
        <v>0</v>
      </c>
      <c r="M815" s="34">
        <f t="shared" si="24"/>
        <v>0</v>
      </c>
      <c r="N815" s="17">
        <f t="shared" si="25"/>
        <v>58968</v>
      </c>
    </row>
    <row r="816" spans="1:14" x14ac:dyDescent="0.25">
      <c r="A816" s="14" t="s">
        <v>2044</v>
      </c>
      <c r="B816" s="14">
        <v>4</v>
      </c>
      <c r="C816" s="15" t="s">
        <v>2051</v>
      </c>
      <c r="D816" s="14" t="s">
        <v>1745</v>
      </c>
      <c r="E816" s="14" t="s">
        <v>1747</v>
      </c>
      <c r="F816" s="17" t="s">
        <v>2994</v>
      </c>
      <c r="G816" s="14">
        <v>37920</v>
      </c>
      <c r="H816" s="14">
        <v>28440</v>
      </c>
      <c r="I816" s="31">
        <f>IF(COUNTIFS(Addendum!C:C,A816,Addendum!D:D,IF(ISNUMBER(B816),TEXT(B816,"0000"),B816),Addendum!E:E,"X")&gt;0,4%,0)</f>
        <v>0</v>
      </c>
      <c r="J816" s="31">
        <f>IF(COUNTIFS(Addendum!C:C,A816,Addendum!D:D,IF(ISNUMBER(B816),TEXT(B816,"0000"),B816),Addendum!F:F,"X")&gt;0,2.5%,0)</f>
        <v>0</v>
      </c>
      <c r="K816" s="31">
        <f>IF(COUNTIFS(Addendum!C:C,A816,Addendum!D:D,IF(ISNUMBER(B816),TEXT(B816,"0000"),B816),Addendum!G:G,"X")&gt;0,7%,0)</f>
        <v>0</v>
      </c>
      <c r="L816" s="31">
        <f>IF(COUNTIFS(Addendum!C:C,A816,Addendum!D:D,IF(ISNUMBER(B816),TEXT(B816,"0000"),B816),Addendum!I:I,"X")&gt;0,10%,0)</f>
        <v>0</v>
      </c>
      <c r="M816" s="34">
        <f t="shared" si="24"/>
        <v>0</v>
      </c>
      <c r="N816" s="17">
        <f t="shared" si="25"/>
        <v>28440</v>
      </c>
    </row>
    <row r="817" spans="1:14" x14ac:dyDescent="0.25">
      <c r="A817" s="14" t="s">
        <v>2044</v>
      </c>
      <c r="B817" s="14" t="s">
        <v>16</v>
      </c>
      <c r="C817" s="15" t="s">
        <v>2048</v>
      </c>
      <c r="D817" s="14" t="s">
        <v>1745</v>
      </c>
      <c r="E817" s="14" t="s">
        <v>1746</v>
      </c>
      <c r="F817" s="17" t="s">
        <v>2993</v>
      </c>
      <c r="G817" s="14">
        <v>99603</v>
      </c>
      <c r="H817" s="14">
        <v>74702.28</v>
      </c>
      <c r="I817" s="31">
        <f>IF(COUNTIFS(Addendum!C:C,A817,Addendum!D:D,IF(ISNUMBER(B817),TEXT(B817,"0000"),B817),Addendum!E:E,"X")&gt;0,4%,0)</f>
        <v>0</v>
      </c>
      <c r="J817" s="31">
        <f>IF(COUNTIFS(Addendum!C:C,A817,Addendum!D:D,IF(ISNUMBER(B817),TEXT(B817,"0000"),B817),Addendum!F:F,"X")&gt;0,2.5%,0)</f>
        <v>0</v>
      </c>
      <c r="K817" s="31">
        <f>IF(COUNTIFS(Addendum!C:C,A817,Addendum!D:D,IF(ISNUMBER(B817),TEXT(B817,"0000"),B817),Addendum!G:G,"X")&gt;0,7%,0)</f>
        <v>0</v>
      </c>
      <c r="L817" s="31">
        <f>IF(COUNTIFS(Addendum!C:C,A817,Addendum!D:D,IF(ISNUMBER(B817),TEXT(B817,"0000"),B817),Addendum!I:I,"X")&gt;0,10%,0)</f>
        <v>0</v>
      </c>
      <c r="M817" s="34">
        <f t="shared" si="24"/>
        <v>0</v>
      </c>
      <c r="N817" s="17">
        <f t="shared" si="25"/>
        <v>74702.28</v>
      </c>
    </row>
    <row r="818" spans="1:14" x14ac:dyDescent="0.25">
      <c r="A818" s="14" t="s">
        <v>2044</v>
      </c>
      <c r="B818" s="14">
        <v>7</v>
      </c>
      <c r="C818" s="15" t="s">
        <v>2046</v>
      </c>
      <c r="D818" s="14" t="s">
        <v>1749</v>
      </c>
      <c r="E818" s="14" t="s">
        <v>1746</v>
      </c>
      <c r="F818" s="17" t="s">
        <v>2994</v>
      </c>
      <c r="G818" s="14">
        <v>5214</v>
      </c>
      <c r="H818" s="14">
        <v>3910.5</v>
      </c>
      <c r="I818" s="31">
        <f>IF(COUNTIFS(Addendum!C:C,A818,Addendum!D:D,IF(ISNUMBER(B818),TEXT(B818,"0000"),B818),Addendum!E:E,"X")&gt;0,4%,0)</f>
        <v>0</v>
      </c>
      <c r="J818" s="31">
        <f>IF(COUNTIFS(Addendum!C:C,A818,Addendum!D:D,IF(ISNUMBER(B818),TEXT(B818,"0000"),B818),Addendum!F:F,"X")&gt;0,2.5%,0)</f>
        <v>0</v>
      </c>
      <c r="K818" s="31">
        <f>IF(COUNTIFS(Addendum!C:C,A818,Addendum!D:D,IF(ISNUMBER(B818),TEXT(B818,"0000"),B818),Addendum!G:G,"X")&gt;0,7%,0)</f>
        <v>0</v>
      </c>
      <c r="L818" s="31">
        <f>IF(COUNTIFS(Addendum!C:C,A818,Addendum!D:D,IF(ISNUMBER(B818),TEXT(B818,"0000"),B818),Addendum!I:I,"X")&gt;0,10%,0)</f>
        <v>0</v>
      </c>
      <c r="M818" s="34">
        <f t="shared" si="24"/>
        <v>0</v>
      </c>
      <c r="N818" s="17">
        <f t="shared" si="25"/>
        <v>3910.5</v>
      </c>
    </row>
    <row r="819" spans="1:14" ht="30" x14ac:dyDescent="0.25">
      <c r="A819" s="14" t="s">
        <v>2044</v>
      </c>
      <c r="B819" s="14">
        <v>6</v>
      </c>
      <c r="C819" s="15" t="s">
        <v>2052</v>
      </c>
      <c r="D819" s="14" t="s">
        <v>1749</v>
      </c>
      <c r="E819" s="14" t="s">
        <v>1746</v>
      </c>
      <c r="F819" s="17" t="s">
        <v>2995</v>
      </c>
      <c r="G819" s="14">
        <v>1872</v>
      </c>
      <c r="H819" s="14">
        <v>1684.8</v>
      </c>
      <c r="I819" s="31">
        <f>IF(COUNTIFS(Addendum!C:C,A819,Addendum!D:D,IF(ISNUMBER(B819),TEXT(B819,"0000"),B819),Addendum!E:E,"X")&gt;0,4%,0)</f>
        <v>0</v>
      </c>
      <c r="J819" s="31">
        <f>IF(COUNTIFS(Addendum!C:C,A819,Addendum!D:D,IF(ISNUMBER(B819),TEXT(B819,"0000"),B819),Addendum!F:F,"X")&gt;0,2.5%,0)</f>
        <v>0</v>
      </c>
      <c r="K819" s="31">
        <f>IF(COUNTIFS(Addendum!C:C,A819,Addendum!D:D,IF(ISNUMBER(B819),TEXT(B819,"0000"),B819),Addendum!G:G,"X")&gt;0,7%,0)</f>
        <v>0</v>
      </c>
      <c r="L819" s="31">
        <f>IF(COUNTIFS(Addendum!C:C,A819,Addendum!D:D,IF(ISNUMBER(B819),TEXT(B819,"0000"),B819),Addendum!I:I,"X")&gt;0,10%,0)</f>
        <v>0</v>
      </c>
      <c r="M819" s="34">
        <f t="shared" si="24"/>
        <v>0</v>
      </c>
      <c r="N819" s="17">
        <f t="shared" si="25"/>
        <v>1684.8</v>
      </c>
    </row>
    <row r="820" spans="1:14" x14ac:dyDescent="0.25">
      <c r="A820" s="14" t="s">
        <v>2044</v>
      </c>
      <c r="B820" s="14">
        <v>7</v>
      </c>
      <c r="C820" s="15" t="s">
        <v>2046</v>
      </c>
      <c r="D820" s="14" t="s">
        <v>1745</v>
      </c>
      <c r="E820" s="14" t="s">
        <v>1747</v>
      </c>
      <c r="F820" s="17" t="s">
        <v>2994</v>
      </c>
      <c r="G820" s="14">
        <v>52140</v>
      </c>
      <c r="H820" s="14">
        <v>39105</v>
      </c>
      <c r="I820" s="31">
        <f>IF(COUNTIFS(Addendum!C:C,A820,Addendum!D:D,IF(ISNUMBER(B820),TEXT(B820,"0000"),B820),Addendum!E:E,"X")&gt;0,4%,0)</f>
        <v>0</v>
      </c>
      <c r="J820" s="31">
        <f>IF(COUNTIFS(Addendum!C:C,A820,Addendum!D:D,IF(ISNUMBER(B820),TEXT(B820,"0000"),B820),Addendum!F:F,"X")&gt;0,2.5%,0)</f>
        <v>0</v>
      </c>
      <c r="K820" s="31">
        <f>IF(COUNTIFS(Addendum!C:C,A820,Addendum!D:D,IF(ISNUMBER(B820),TEXT(B820,"0000"),B820),Addendum!G:G,"X")&gt;0,7%,0)</f>
        <v>0</v>
      </c>
      <c r="L820" s="31">
        <f>IF(COUNTIFS(Addendum!C:C,A820,Addendum!D:D,IF(ISNUMBER(B820),TEXT(B820,"0000"),B820),Addendum!I:I,"X")&gt;0,10%,0)</f>
        <v>0</v>
      </c>
      <c r="M820" s="34">
        <f t="shared" si="24"/>
        <v>0</v>
      </c>
      <c r="N820" s="17">
        <f t="shared" si="25"/>
        <v>39105</v>
      </c>
    </row>
    <row r="821" spans="1:14" ht="30" x14ac:dyDescent="0.25">
      <c r="A821" s="14" t="s">
        <v>2044</v>
      </c>
      <c r="B821" s="14">
        <v>6</v>
      </c>
      <c r="C821" s="15" t="s">
        <v>2052</v>
      </c>
      <c r="D821" s="14" t="s">
        <v>1745</v>
      </c>
      <c r="E821" s="14" t="s">
        <v>1747</v>
      </c>
      <c r="F821" s="17" t="s">
        <v>2995</v>
      </c>
      <c r="G821" s="14">
        <v>18720</v>
      </c>
      <c r="H821" s="14">
        <v>16848</v>
      </c>
      <c r="I821" s="31">
        <f>IF(COUNTIFS(Addendum!C:C,A821,Addendum!D:D,IF(ISNUMBER(B821),TEXT(B821,"0000"),B821),Addendum!E:E,"X")&gt;0,4%,0)</f>
        <v>0</v>
      </c>
      <c r="J821" s="31">
        <f>IF(COUNTIFS(Addendum!C:C,A821,Addendum!D:D,IF(ISNUMBER(B821),TEXT(B821,"0000"),B821),Addendum!F:F,"X")&gt;0,2.5%,0)</f>
        <v>0</v>
      </c>
      <c r="K821" s="31">
        <f>IF(COUNTIFS(Addendum!C:C,A821,Addendum!D:D,IF(ISNUMBER(B821),TEXT(B821,"0000"),B821),Addendum!G:G,"X")&gt;0,7%,0)</f>
        <v>0</v>
      </c>
      <c r="L821" s="31">
        <f>IF(COUNTIFS(Addendum!C:C,A821,Addendum!D:D,IF(ISNUMBER(B821),TEXT(B821,"0000"),B821),Addendum!I:I,"X")&gt;0,10%,0)</f>
        <v>0</v>
      </c>
      <c r="M821" s="34">
        <f t="shared" si="24"/>
        <v>0</v>
      </c>
      <c r="N821" s="17">
        <f t="shared" si="25"/>
        <v>16848</v>
      </c>
    </row>
    <row r="822" spans="1:14" x14ac:dyDescent="0.25">
      <c r="A822" s="14" t="s">
        <v>2044</v>
      </c>
      <c r="B822" s="14" t="s">
        <v>16</v>
      </c>
      <c r="C822" s="15" t="s">
        <v>2048</v>
      </c>
      <c r="D822" s="14" t="s">
        <v>1745</v>
      </c>
      <c r="E822" s="14" t="s">
        <v>1747</v>
      </c>
      <c r="F822" s="17" t="s">
        <v>2993</v>
      </c>
      <c r="G822" s="14">
        <v>94860</v>
      </c>
      <c r="H822" s="14">
        <v>71145</v>
      </c>
      <c r="I822" s="31">
        <f>IF(COUNTIFS(Addendum!C:C,A822,Addendum!D:D,IF(ISNUMBER(B822),TEXT(B822,"0000"),B822),Addendum!E:E,"X")&gt;0,4%,0)</f>
        <v>0</v>
      </c>
      <c r="J822" s="31">
        <f>IF(COUNTIFS(Addendum!C:C,A822,Addendum!D:D,IF(ISNUMBER(B822),TEXT(B822,"0000"),B822),Addendum!F:F,"X")&gt;0,2.5%,0)</f>
        <v>0</v>
      </c>
      <c r="K822" s="31">
        <f>IF(COUNTIFS(Addendum!C:C,A822,Addendum!D:D,IF(ISNUMBER(B822),TEXT(B822,"0000"),B822),Addendum!G:G,"X")&gt;0,7%,0)</f>
        <v>0</v>
      </c>
      <c r="L822" s="31">
        <f>IF(COUNTIFS(Addendum!C:C,A822,Addendum!D:D,IF(ISNUMBER(B822),TEXT(B822,"0000"),B822),Addendum!I:I,"X")&gt;0,10%,0)</f>
        <v>0</v>
      </c>
      <c r="M822" s="34">
        <f t="shared" si="24"/>
        <v>0</v>
      </c>
      <c r="N822" s="17">
        <f t="shared" si="25"/>
        <v>71145</v>
      </c>
    </row>
    <row r="823" spans="1:14" x14ac:dyDescent="0.25">
      <c r="A823" s="14" t="s">
        <v>2044</v>
      </c>
      <c r="B823" s="14">
        <v>4</v>
      </c>
      <c r="C823" s="15" t="s">
        <v>2051</v>
      </c>
      <c r="D823" s="14" t="s">
        <v>1749</v>
      </c>
      <c r="E823" s="14" t="s">
        <v>1746</v>
      </c>
      <c r="F823" s="17" t="s">
        <v>2994</v>
      </c>
      <c r="G823" s="14">
        <v>3792</v>
      </c>
      <c r="H823" s="14">
        <v>2844</v>
      </c>
      <c r="I823" s="31">
        <f>IF(COUNTIFS(Addendum!C:C,A823,Addendum!D:D,IF(ISNUMBER(B823),TEXT(B823,"0000"),B823),Addendum!E:E,"X")&gt;0,4%,0)</f>
        <v>0</v>
      </c>
      <c r="J823" s="31">
        <f>IF(COUNTIFS(Addendum!C:C,A823,Addendum!D:D,IF(ISNUMBER(B823),TEXT(B823,"0000"),B823),Addendum!F:F,"X")&gt;0,2.5%,0)</f>
        <v>0</v>
      </c>
      <c r="K823" s="31">
        <f>IF(COUNTIFS(Addendum!C:C,A823,Addendum!D:D,IF(ISNUMBER(B823),TEXT(B823,"0000"),B823),Addendum!G:G,"X")&gt;0,7%,0)</f>
        <v>0</v>
      </c>
      <c r="L823" s="31">
        <f>IF(COUNTIFS(Addendum!C:C,A823,Addendum!D:D,IF(ISNUMBER(B823),TEXT(B823,"0000"),B823),Addendum!I:I,"X")&gt;0,10%,0)</f>
        <v>0</v>
      </c>
      <c r="M823" s="34">
        <f t="shared" si="24"/>
        <v>0</v>
      </c>
      <c r="N823" s="17">
        <f t="shared" si="25"/>
        <v>2844</v>
      </c>
    </row>
    <row r="824" spans="1:14" x14ac:dyDescent="0.25">
      <c r="A824" s="14" t="s">
        <v>2053</v>
      </c>
      <c r="B824" s="14">
        <v>3</v>
      </c>
      <c r="C824" s="15" t="s">
        <v>2054</v>
      </c>
      <c r="D824" s="14" t="s">
        <v>1749</v>
      </c>
      <c r="E824" s="14" t="s">
        <v>1766</v>
      </c>
      <c r="F824" s="17" t="s">
        <v>2993</v>
      </c>
      <c r="G824" s="14">
        <v>0</v>
      </c>
      <c r="H824" s="14">
        <v>0</v>
      </c>
      <c r="I824" s="31">
        <f>IF(COUNTIFS(Addendum!C:C,A824,Addendum!D:D,IF(ISNUMBER(B824),TEXT(B824,"0000"),B824),Addendum!E:E,"X")&gt;0,4%,0)</f>
        <v>0</v>
      </c>
      <c r="J824" s="31">
        <f>IF(COUNTIFS(Addendum!C:C,A824,Addendum!D:D,IF(ISNUMBER(B824),TEXT(B824,"0000"),B824),Addendum!F:F,"X")&gt;0,2.5%,0)</f>
        <v>0</v>
      </c>
      <c r="K824" s="31">
        <f>IF(COUNTIFS(Addendum!C:C,A824,Addendum!D:D,IF(ISNUMBER(B824),TEXT(B824,"0000"),B824),Addendum!G:G,"X")&gt;0,7%,0)</f>
        <v>0</v>
      </c>
      <c r="L824" s="31">
        <f>IF(COUNTIFS(Addendum!C:C,A824,Addendum!D:D,IF(ISNUMBER(B824),TEXT(B824,"0000"),B824),Addendum!I:I,"X")&gt;0,10%,0)</f>
        <v>0</v>
      </c>
      <c r="M824" s="34">
        <f t="shared" si="24"/>
        <v>0</v>
      </c>
      <c r="N824" s="17">
        <f t="shared" si="25"/>
        <v>0</v>
      </c>
    </row>
    <row r="825" spans="1:14" x14ac:dyDescent="0.25">
      <c r="A825" s="14" t="s">
        <v>2055</v>
      </c>
      <c r="B825" s="14">
        <v>4</v>
      </c>
      <c r="C825" s="15" t="s">
        <v>2056</v>
      </c>
      <c r="D825" s="14" t="s">
        <v>1745</v>
      </c>
      <c r="E825" s="14" t="s">
        <v>1746</v>
      </c>
      <c r="F825" s="17" t="s">
        <v>2993</v>
      </c>
      <c r="G825" s="14">
        <v>314496</v>
      </c>
      <c r="H825" s="14">
        <v>251596.79999999999</v>
      </c>
      <c r="I825" s="31">
        <f>IF(COUNTIFS(Addendum!C:C,A825,Addendum!D:D,IF(ISNUMBER(B825),TEXT(B825,"0000"),B825),Addendum!E:E,"X")&gt;0,4%,0)</f>
        <v>0</v>
      </c>
      <c r="J825" s="31">
        <f>IF(COUNTIFS(Addendum!C:C,A825,Addendum!D:D,IF(ISNUMBER(B825),TEXT(B825,"0000"),B825),Addendum!F:F,"X")&gt;0,2.5%,0)</f>
        <v>0</v>
      </c>
      <c r="K825" s="31">
        <f>IF(COUNTIFS(Addendum!C:C,A825,Addendum!D:D,IF(ISNUMBER(B825),TEXT(B825,"0000"),B825),Addendum!G:G,"X")&gt;0,7%,0)</f>
        <v>0</v>
      </c>
      <c r="L825" s="31">
        <f>IF(COUNTIFS(Addendum!C:C,A825,Addendum!D:D,IF(ISNUMBER(B825),TEXT(B825,"0000"),B825),Addendum!I:I,"X")&gt;0,10%,0)</f>
        <v>0</v>
      </c>
      <c r="M825" s="34">
        <f t="shared" si="24"/>
        <v>0</v>
      </c>
      <c r="N825" s="17">
        <f t="shared" si="25"/>
        <v>251596.79999999999</v>
      </c>
    </row>
    <row r="826" spans="1:14" x14ac:dyDescent="0.25">
      <c r="A826" s="14" t="s">
        <v>2055</v>
      </c>
      <c r="B826" s="14" t="s">
        <v>583</v>
      </c>
      <c r="C826" s="15" t="s">
        <v>2057</v>
      </c>
      <c r="D826" s="14" t="s">
        <v>1752</v>
      </c>
      <c r="E826" s="14" t="s">
        <v>1746</v>
      </c>
      <c r="F826" s="17" t="s">
        <v>2994</v>
      </c>
      <c r="G826" s="14">
        <v>0</v>
      </c>
      <c r="H826" s="14">
        <v>0</v>
      </c>
      <c r="I826" s="31">
        <f>IF(COUNTIFS(Addendum!C:C,A826,Addendum!D:D,IF(ISNUMBER(B826),TEXT(B826,"0000"),B826),Addendum!E:E,"X")&gt;0,4%,0)</f>
        <v>0</v>
      </c>
      <c r="J826" s="31">
        <f>IF(COUNTIFS(Addendum!C:C,A826,Addendum!D:D,IF(ISNUMBER(B826),TEXT(B826,"0000"),B826),Addendum!F:F,"X")&gt;0,2.5%,0)</f>
        <v>0</v>
      </c>
      <c r="K826" s="31">
        <f>IF(COUNTIFS(Addendum!C:C,A826,Addendum!D:D,IF(ISNUMBER(B826),TEXT(B826,"0000"),B826),Addendum!G:G,"X")&gt;0,7%,0)</f>
        <v>0</v>
      </c>
      <c r="L826" s="31">
        <f>IF(COUNTIFS(Addendum!C:C,A826,Addendum!D:D,IF(ISNUMBER(B826),TEXT(B826,"0000"),B826),Addendum!I:I,"X")&gt;0,10%,0)</f>
        <v>0</v>
      </c>
      <c r="M826" s="34">
        <f t="shared" si="24"/>
        <v>0</v>
      </c>
      <c r="N826" s="17">
        <f t="shared" si="25"/>
        <v>0</v>
      </c>
    </row>
    <row r="827" spans="1:14" x14ac:dyDescent="0.25">
      <c r="A827" s="14" t="s">
        <v>2055</v>
      </c>
      <c r="B827" s="14" t="s">
        <v>73</v>
      </c>
      <c r="C827" s="15" t="s">
        <v>2058</v>
      </c>
      <c r="D827" s="14" t="s">
        <v>1752</v>
      </c>
      <c r="E827" s="14" t="s">
        <v>1746</v>
      </c>
      <c r="F827" s="17" t="s">
        <v>2993</v>
      </c>
      <c r="G827" s="14">
        <v>3144771</v>
      </c>
      <c r="H827" s="14">
        <v>2358578</v>
      </c>
      <c r="I827" s="31">
        <f>IF(COUNTIFS(Addendum!C:C,A827,Addendum!D:D,IF(ISNUMBER(B827),TEXT(B827,"0000"),B827),Addendum!E:E,"X")&gt;0,4%,0)</f>
        <v>0</v>
      </c>
      <c r="J827" s="31">
        <f>IF(COUNTIFS(Addendum!C:C,A827,Addendum!D:D,IF(ISNUMBER(B827),TEXT(B827,"0000"),B827),Addendum!F:F,"X")&gt;0,2.5%,0)</f>
        <v>0</v>
      </c>
      <c r="K827" s="31">
        <f>IF(COUNTIFS(Addendum!C:C,A827,Addendum!D:D,IF(ISNUMBER(B827),TEXT(B827,"0000"),B827),Addendum!G:G,"X")&gt;0,7%,0)</f>
        <v>0</v>
      </c>
      <c r="L827" s="31">
        <f>IF(COUNTIFS(Addendum!C:C,A827,Addendum!D:D,IF(ISNUMBER(B827),TEXT(B827,"0000"),B827),Addendum!I:I,"X")&gt;0,10%,0)</f>
        <v>0</v>
      </c>
      <c r="M827" s="34">
        <f t="shared" si="24"/>
        <v>0</v>
      </c>
      <c r="N827" s="17">
        <f t="shared" si="25"/>
        <v>2358578</v>
      </c>
    </row>
    <row r="828" spans="1:14" x14ac:dyDescent="0.25">
      <c r="A828" s="14" t="s">
        <v>2055</v>
      </c>
      <c r="B828" s="14">
        <v>17</v>
      </c>
      <c r="C828" s="15" t="s">
        <v>2059</v>
      </c>
      <c r="D828" s="14" t="s">
        <v>1745</v>
      </c>
      <c r="E828" s="14" t="s">
        <v>1747</v>
      </c>
      <c r="F828" s="17" t="s">
        <v>2994</v>
      </c>
      <c r="G828" s="14">
        <v>549060</v>
      </c>
      <c r="H828" s="14">
        <v>411795</v>
      </c>
      <c r="I828" s="31">
        <f>IF(COUNTIFS(Addendum!C:C,A828,Addendum!D:D,IF(ISNUMBER(B828),TEXT(B828,"0000"),B828),Addendum!E:E,"X")&gt;0,4%,0)</f>
        <v>0</v>
      </c>
      <c r="J828" s="31">
        <f>IF(COUNTIFS(Addendum!C:C,A828,Addendum!D:D,IF(ISNUMBER(B828),TEXT(B828,"0000"),B828),Addendum!F:F,"X")&gt;0,2.5%,0)</f>
        <v>0</v>
      </c>
      <c r="K828" s="31">
        <f>IF(COUNTIFS(Addendum!C:C,A828,Addendum!D:D,IF(ISNUMBER(B828),TEXT(B828,"0000"),B828),Addendum!G:G,"X")&gt;0,7%,0)</f>
        <v>0</v>
      </c>
      <c r="L828" s="31">
        <f>IF(COUNTIFS(Addendum!C:C,A828,Addendum!D:D,IF(ISNUMBER(B828),TEXT(B828,"0000"),B828),Addendum!I:I,"X")&gt;0,10%,0)</f>
        <v>0</v>
      </c>
      <c r="M828" s="34">
        <f t="shared" si="24"/>
        <v>0</v>
      </c>
      <c r="N828" s="17">
        <f t="shared" si="25"/>
        <v>411795</v>
      </c>
    </row>
    <row r="829" spans="1:14" x14ac:dyDescent="0.25">
      <c r="A829" s="14" t="s">
        <v>2055</v>
      </c>
      <c r="B829" s="14" t="s">
        <v>73</v>
      </c>
      <c r="C829" s="15" t="s">
        <v>2058</v>
      </c>
      <c r="D829" s="14" t="s">
        <v>1745</v>
      </c>
      <c r="E829" s="14" t="s">
        <v>1747</v>
      </c>
      <c r="F829" s="17" t="s">
        <v>2993</v>
      </c>
      <c r="G829" s="14">
        <v>998340</v>
      </c>
      <c r="H829" s="14">
        <v>748755</v>
      </c>
      <c r="I829" s="31">
        <f>IF(COUNTIFS(Addendum!C:C,A829,Addendum!D:D,IF(ISNUMBER(B829),TEXT(B829,"0000"),B829),Addendum!E:E,"X")&gt;0,4%,0)</f>
        <v>0</v>
      </c>
      <c r="J829" s="31">
        <f>IF(COUNTIFS(Addendum!C:C,A829,Addendum!D:D,IF(ISNUMBER(B829),TEXT(B829,"0000"),B829),Addendum!F:F,"X")&gt;0,2.5%,0)</f>
        <v>0</v>
      </c>
      <c r="K829" s="31">
        <f>IF(COUNTIFS(Addendum!C:C,A829,Addendum!D:D,IF(ISNUMBER(B829),TEXT(B829,"0000"),B829),Addendum!G:G,"X")&gt;0,7%,0)</f>
        <v>0</v>
      </c>
      <c r="L829" s="31">
        <f>IF(COUNTIFS(Addendum!C:C,A829,Addendum!D:D,IF(ISNUMBER(B829),TEXT(B829,"0000"),B829),Addendum!I:I,"X")&gt;0,10%,0)</f>
        <v>0</v>
      </c>
      <c r="M829" s="34">
        <f t="shared" si="24"/>
        <v>0</v>
      </c>
      <c r="N829" s="17">
        <f t="shared" si="25"/>
        <v>748755</v>
      </c>
    </row>
    <row r="830" spans="1:14" ht="30" x14ac:dyDescent="0.25">
      <c r="A830" s="14" t="s">
        <v>2055</v>
      </c>
      <c r="B830" s="14" t="s">
        <v>118</v>
      </c>
      <c r="C830" s="15" t="s">
        <v>2060</v>
      </c>
      <c r="D830" s="14" t="s">
        <v>1752</v>
      </c>
      <c r="E830" s="14" t="s">
        <v>1753</v>
      </c>
      <c r="F830" s="17" t="s">
        <v>2994</v>
      </c>
      <c r="G830" s="14">
        <v>411840</v>
      </c>
      <c r="H830" s="14">
        <v>308880</v>
      </c>
      <c r="I830" s="31">
        <f>IF(COUNTIFS(Addendum!C:C,A830,Addendum!D:D,IF(ISNUMBER(B830),TEXT(B830,"0000"),B830),Addendum!E:E,"X")&gt;0,4%,0)</f>
        <v>0</v>
      </c>
      <c r="J830" s="31">
        <f>IF(COUNTIFS(Addendum!C:C,A830,Addendum!D:D,IF(ISNUMBER(B830),TEXT(B830,"0000"),B830),Addendum!F:F,"X")&gt;0,2.5%,0)</f>
        <v>0</v>
      </c>
      <c r="K830" s="31">
        <f>IF(COUNTIFS(Addendum!C:C,A830,Addendum!D:D,IF(ISNUMBER(B830),TEXT(B830,"0000"),B830),Addendum!G:G,"X")&gt;0,7%,0)</f>
        <v>0</v>
      </c>
      <c r="L830" s="31">
        <f>IF(COUNTIFS(Addendum!C:C,A830,Addendum!D:D,IF(ISNUMBER(B830),TEXT(B830,"0000"),B830),Addendum!I:I,"X")&gt;0,10%,0)</f>
        <v>0</v>
      </c>
      <c r="M830" s="34">
        <f t="shared" si="24"/>
        <v>0</v>
      </c>
      <c r="N830" s="17">
        <f t="shared" si="25"/>
        <v>308880</v>
      </c>
    </row>
    <row r="831" spans="1:14" ht="30" x14ac:dyDescent="0.25">
      <c r="A831" s="14" t="s">
        <v>2055</v>
      </c>
      <c r="B831" s="14">
        <v>18</v>
      </c>
      <c r="C831" s="15" t="s">
        <v>2061</v>
      </c>
      <c r="D831" s="14" t="s">
        <v>1752</v>
      </c>
      <c r="E831" s="14" t="s">
        <v>1753</v>
      </c>
      <c r="F831" s="17" t="s">
        <v>2994</v>
      </c>
      <c r="G831" s="14">
        <v>599040</v>
      </c>
      <c r="H831" s="14">
        <v>449280</v>
      </c>
      <c r="I831" s="31">
        <f>IF(COUNTIFS(Addendum!C:C,A831,Addendum!D:D,IF(ISNUMBER(B831),TEXT(B831,"0000"),B831),Addendum!E:E,"X")&gt;0,4%,0)</f>
        <v>0</v>
      </c>
      <c r="J831" s="31">
        <f>IF(COUNTIFS(Addendum!C:C,A831,Addendum!D:D,IF(ISNUMBER(B831),TEXT(B831,"0000"),B831),Addendum!F:F,"X")&gt;0,2.5%,0)</f>
        <v>0</v>
      </c>
      <c r="K831" s="31">
        <f>IF(COUNTIFS(Addendum!C:C,A831,Addendum!D:D,IF(ISNUMBER(B831),TEXT(B831,"0000"),B831),Addendum!G:G,"X")&gt;0,7%,0)</f>
        <v>0</v>
      </c>
      <c r="L831" s="31">
        <f>IF(COUNTIFS(Addendum!C:C,A831,Addendum!D:D,IF(ISNUMBER(B831),TEXT(B831,"0000"),B831),Addendum!I:I,"X")&gt;0,10%,0)</f>
        <v>0</v>
      </c>
      <c r="M831" s="34">
        <f t="shared" si="24"/>
        <v>0</v>
      </c>
      <c r="N831" s="17">
        <f t="shared" si="25"/>
        <v>449280</v>
      </c>
    </row>
    <row r="832" spans="1:14" ht="30" x14ac:dyDescent="0.25">
      <c r="A832" s="14" t="s">
        <v>2055</v>
      </c>
      <c r="B832" s="14" t="s">
        <v>28</v>
      </c>
      <c r="C832" s="15" t="s">
        <v>2062</v>
      </c>
      <c r="D832" s="14" t="s">
        <v>1749</v>
      </c>
      <c r="E832" s="14" t="s">
        <v>1746</v>
      </c>
      <c r="F832" s="17" t="s">
        <v>2994</v>
      </c>
      <c r="G832" s="14">
        <v>9984</v>
      </c>
      <c r="H832" s="14">
        <v>7488</v>
      </c>
      <c r="I832" s="31">
        <f>IF(COUNTIFS(Addendum!C:C,A832,Addendum!D:D,IF(ISNUMBER(B832),TEXT(B832,"0000"),B832),Addendum!E:E,"X")&gt;0,4%,0)</f>
        <v>0</v>
      </c>
      <c r="J832" s="31">
        <f>IF(COUNTIFS(Addendum!C:C,A832,Addendum!D:D,IF(ISNUMBER(B832),TEXT(B832,"0000"),B832),Addendum!F:F,"X")&gt;0,2.5%,0)</f>
        <v>0</v>
      </c>
      <c r="K832" s="31">
        <f>IF(COUNTIFS(Addendum!C:C,A832,Addendum!D:D,IF(ISNUMBER(B832),TEXT(B832,"0000"),B832),Addendum!G:G,"X")&gt;0,7%,0)</f>
        <v>0</v>
      </c>
      <c r="L832" s="31">
        <f>IF(COUNTIFS(Addendum!C:C,A832,Addendum!D:D,IF(ISNUMBER(B832),TEXT(B832,"0000"),B832),Addendum!I:I,"X")&gt;0,10%,0)</f>
        <v>0</v>
      </c>
      <c r="M832" s="34">
        <f t="shared" si="24"/>
        <v>0</v>
      </c>
      <c r="N832" s="17">
        <f t="shared" si="25"/>
        <v>7488</v>
      </c>
    </row>
    <row r="833" spans="1:14" x14ac:dyDescent="0.25">
      <c r="A833" s="14" t="s">
        <v>2055</v>
      </c>
      <c r="B833" s="14" t="s">
        <v>73</v>
      </c>
      <c r="C833" s="15" t="s">
        <v>2058</v>
      </c>
      <c r="D833" s="14" t="s">
        <v>1752</v>
      </c>
      <c r="E833" s="14" t="s">
        <v>1753</v>
      </c>
      <c r="F833" s="17" t="s">
        <v>2993</v>
      </c>
      <c r="G833" s="14">
        <v>2995020</v>
      </c>
      <c r="H833" s="14">
        <v>2246265</v>
      </c>
      <c r="I833" s="31">
        <f>IF(COUNTIFS(Addendum!C:C,A833,Addendum!D:D,IF(ISNUMBER(B833),TEXT(B833,"0000"),B833),Addendum!E:E,"X")&gt;0,4%,0)</f>
        <v>0</v>
      </c>
      <c r="J833" s="31">
        <f>IF(COUNTIFS(Addendum!C:C,A833,Addendum!D:D,IF(ISNUMBER(B833),TEXT(B833,"0000"),B833),Addendum!F:F,"X")&gt;0,2.5%,0)</f>
        <v>0</v>
      </c>
      <c r="K833" s="31">
        <f>IF(COUNTIFS(Addendum!C:C,A833,Addendum!D:D,IF(ISNUMBER(B833),TEXT(B833,"0000"),B833),Addendum!G:G,"X")&gt;0,7%,0)</f>
        <v>0</v>
      </c>
      <c r="L833" s="31">
        <f>IF(COUNTIFS(Addendum!C:C,A833,Addendum!D:D,IF(ISNUMBER(B833),TEXT(B833,"0000"),B833),Addendum!I:I,"X")&gt;0,10%,0)</f>
        <v>0</v>
      </c>
      <c r="M833" s="34">
        <f t="shared" si="24"/>
        <v>0</v>
      </c>
      <c r="N833" s="17">
        <f t="shared" si="25"/>
        <v>2246265</v>
      </c>
    </row>
    <row r="834" spans="1:14" x14ac:dyDescent="0.25">
      <c r="A834" s="14" t="s">
        <v>2055</v>
      </c>
      <c r="B834" s="14" t="s">
        <v>608</v>
      </c>
      <c r="C834" s="15" t="s">
        <v>2063</v>
      </c>
      <c r="D834" s="14" t="s">
        <v>1752</v>
      </c>
      <c r="E834" s="14" t="s">
        <v>1746</v>
      </c>
      <c r="F834" s="17" t="s">
        <v>2995</v>
      </c>
      <c r="G834" s="14">
        <v>0</v>
      </c>
      <c r="H834" s="14">
        <v>0</v>
      </c>
      <c r="I834" s="31">
        <f>IF(COUNTIFS(Addendum!C:C,A834,Addendum!D:D,IF(ISNUMBER(B834),TEXT(B834,"0000"),B834),Addendum!E:E,"X")&gt;0,4%,0)</f>
        <v>0</v>
      </c>
      <c r="J834" s="31">
        <f>IF(COUNTIFS(Addendum!C:C,A834,Addendum!D:D,IF(ISNUMBER(B834),TEXT(B834,"0000"),B834),Addendum!F:F,"X")&gt;0,2.5%,0)</f>
        <v>0</v>
      </c>
      <c r="K834" s="31">
        <f>IF(COUNTIFS(Addendum!C:C,A834,Addendum!D:D,IF(ISNUMBER(B834),TEXT(B834,"0000"),B834),Addendum!G:G,"X")&gt;0,7%,0)</f>
        <v>0</v>
      </c>
      <c r="L834" s="31">
        <f>IF(COUNTIFS(Addendum!C:C,A834,Addendum!D:D,IF(ISNUMBER(B834),TEXT(B834,"0000"),B834),Addendum!I:I,"X")&gt;0,10%,0)</f>
        <v>0</v>
      </c>
      <c r="M834" s="34">
        <f t="shared" si="24"/>
        <v>0</v>
      </c>
      <c r="N834" s="17">
        <f t="shared" si="25"/>
        <v>0</v>
      </c>
    </row>
    <row r="835" spans="1:14" ht="30" x14ac:dyDescent="0.25">
      <c r="A835" s="14" t="s">
        <v>2055</v>
      </c>
      <c r="B835" s="14" t="s">
        <v>118</v>
      </c>
      <c r="C835" s="15" t="s">
        <v>2060</v>
      </c>
      <c r="D835" s="14" t="s">
        <v>1752</v>
      </c>
      <c r="E835" s="14" t="s">
        <v>1747</v>
      </c>
      <c r="F835" s="17" t="s">
        <v>2994</v>
      </c>
      <c r="G835" s="14">
        <v>411840</v>
      </c>
      <c r="H835" s="14">
        <v>308880</v>
      </c>
      <c r="I835" s="31">
        <f>IF(COUNTIFS(Addendum!C:C,A835,Addendum!D:D,IF(ISNUMBER(B835),TEXT(B835,"0000"),B835),Addendum!E:E,"X")&gt;0,4%,0)</f>
        <v>0</v>
      </c>
      <c r="J835" s="31">
        <f>IF(COUNTIFS(Addendum!C:C,A835,Addendum!D:D,IF(ISNUMBER(B835),TEXT(B835,"0000"),B835),Addendum!F:F,"X")&gt;0,2.5%,0)</f>
        <v>0</v>
      </c>
      <c r="K835" s="31">
        <f>IF(COUNTIFS(Addendum!C:C,A835,Addendum!D:D,IF(ISNUMBER(B835),TEXT(B835,"0000"),B835),Addendum!G:G,"X")&gt;0,7%,0)</f>
        <v>0</v>
      </c>
      <c r="L835" s="31">
        <f>IF(COUNTIFS(Addendum!C:C,A835,Addendum!D:D,IF(ISNUMBER(B835),TEXT(B835,"0000"),B835),Addendum!I:I,"X")&gt;0,10%,0)</f>
        <v>0</v>
      </c>
      <c r="M835" s="34">
        <f t="shared" si="24"/>
        <v>0</v>
      </c>
      <c r="N835" s="17">
        <f t="shared" si="25"/>
        <v>308880</v>
      </c>
    </row>
    <row r="836" spans="1:14" ht="30" x14ac:dyDescent="0.25">
      <c r="A836" s="14" t="s">
        <v>2055</v>
      </c>
      <c r="B836" s="14" t="s">
        <v>470</v>
      </c>
      <c r="C836" s="15" t="s">
        <v>2064</v>
      </c>
      <c r="D836" s="14" t="s">
        <v>1752</v>
      </c>
      <c r="E836" s="14" t="s">
        <v>1753</v>
      </c>
      <c r="F836" s="17" t="s">
        <v>2994</v>
      </c>
      <c r="G836" s="14">
        <v>823680</v>
      </c>
      <c r="H836" s="14">
        <v>617760</v>
      </c>
      <c r="I836" s="31">
        <f>IF(COUNTIFS(Addendum!C:C,A836,Addendum!D:D,IF(ISNUMBER(B836),TEXT(B836,"0000"),B836),Addendum!E:E,"X")&gt;0,4%,0)</f>
        <v>0</v>
      </c>
      <c r="J836" s="31">
        <f>IF(COUNTIFS(Addendum!C:C,A836,Addendum!D:D,IF(ISNUMBER(B836),TEXT(B836,"0000"),B836),Addendum!F:F,"X")&gt;0,2.5%,0)</f>
        <v>0</v>
      </c>
      <c r="K836" s="31">
        <f>IF(COUNTIFS(Addendum!C:C,A836,Addendum!D:D,IF(ISNUMBER(B836),TEXT(B836,"0000"),B836),Addendum!G:G,"X")&gt;0,7%,0)</f>
        <v>0</v>
      </c>
      <c r="L836" s="31">
        <f>IF(COUNTIFS(Addendum!C:C,A836,Addendum!D:D,IF(ISNUMBER(B836),TEXT(B836,"0000"),B836),Addendum!I:I,"X")&gt;0,10%,0)</f>
        <v>0</v>
      </c>
      <c r="M836" s="34">
        <f t="shared" ref="M836:M899" si="26">IF(AND(I836=0%,J836=0%,K836=0%,L836=0%),0%,
IF(OR(TRIM(E836)="OneTime",TRIM(D836)=""),0%,
IF(
OR(
TRIM(D836)="P1M",
AND(TRIM(D836)="P1Y",TRIM(E836)="Monthly"),
AND(TRIM(D836)="P3Y",TRIM(E836)="Monthly")
),
IF(AND(I836=4%,J836=0%,K836=0%,L836=0%),1%,
IF(AND(I836=4%,J836=2.5%,K836=0%,L836=10%),2%,
IF(AND(I836=4%,J836=0%,K836=7%,L836=10%),3%,0%))),
IF(
OR(
AND(TRIM(D836)="P1Y",TRIM(E836)="Annual"),
AND(TRIM(D836)="P3Y",TRIM(E836)="Annual"),
AND(TRIM(D836)="P3Y",TRIM(E836)="Triennial")
),
IF(AND(I836=4%,J836=0%,K836=0%,L836=0%),3%,
IF(AND(I836=4%,J836=2.5%,K836=0%,L836=10%),10%,
IF(AND(I836=4%,J836=0%,K836=7%,L836=10%),14%,0%))),
0%
))))</f>
        <v>0</v>
      </c>
      <c r="N836" s="17">
        <f t="shared" ref="N836:N899" si="27">H836-(H836*M836)</f>
        <v>617760</v>
      </c>
    </row>
    <row r="837" spans="1:14" ht="30" x14ac:dyDescent="0.25">
      <c r="A837" s="14" t="s">
        <v>2055</v>
      </c>
      <c r="B837" s="14">
        <v>18</v>
      </c>
      <c r="C837" s="15" t="s">
        <v>2061</v>
      </c>
      <c r="D837" s="14" t="s">
        <v>1745</v>
      </c>
      <c r="E837" s="14" t="s">
        <v>1746</v>
      </c>
      <c r="F837" s="17" t="s">
        <v>2994</v>
      </c>
      <c r="G837" s="14">
        <v>209664</v>
      </c>
      <c r="H837" s="14">
        <v>157248</v>
      </c>
      <c r="I837" s="31">
        <f>IF(COUNTIFS(Addendum!C:C,A837,Addendum!D:D,IF(ISNUMBER(B837),TEXT(B837,"0000"),B837),Addendum!E:E,"X")&gt;0,4%,0)</f>
        <v>0</v>
      </c>
      <c r="J837" s="31">
        <f>IF(COUNTIFS(Addendum!C:C,A837,Addendum!D:D,IF(ISNUMBER(B837),TEXT(B837,"0000"),B837),Addendum!F:F,"X")&gt;0,2.5%,0)</f>
        <v>0</v>
      </c>
      <c r="K837" s="31">
        <f>IF(COUNTIFS(Addendum!C:C,A837,Addendum!D:D,IF(ISNUMBER(B837),TEXT(B837,"0000"),B837),Addendum!G:G,"X")&gt;0,7%,0)</f>
        <v>0</v>
      </c>
      <c r="L837" s="31">
        <f>IF(COUNTIFS(Addendum!C:C,A837,Addendum!D:D,IF(ISNUMBER(B837),TEXT(B837,"0000"),B837),Addendum!I:I,"X")&gt;0,10%,0)</f>
        <v>0</v>
      </c>
      <c r="M837" s="34">
        <f t="shared" si="26"/>
        <v>0</v>
      </c>
      <c r="N837" s="17">
        <f t="shared" si="27"/>
        <v>157248</v>
      </c>
    </row>
    <row r="838" spans="1:14" x14ac:dyDescent="0.25">
      <c r="A838" s="14" t="s">
        <v>2055</v>
      </c>
      <c r="B838" s="14">
        <v>16</v>
      </c>
      <c r="C838" s="15" t="s">
        <v>2065</v>
      </c>
      <c r="D838" s="14" t="s">
        <v>1745</v>
      </c>
      <c r="E838" s="14" t="s">
        <v>1746</v>
      </c>
      <c r="F838" s="17" t="s">
        <v>2995</v>
      </c>
      <c r="G838" s="14">
        <v>262080</v>
      </c>
      <c r="H838" s="14">
        <v>235872</v>
      </c>
      <c r="I838" s="31">
        <f>IF(COUNTIFS(Addendum!C:C,A838,Addendum!D:D,IF(ISNUMBER(B838),TEXT(B838,"0000"),B838),Addendum!E:E,"X")&gt;0,4%,0)</f>
        <v>0</v>
      </c>
      <c r="J838" s="31">
        <f>IF(COUNTIFS(Addendum!C:C,A838,Addendum!D:D,IF(ISNUMBER(B838),TEXT(B838,"0000"),B838),Addendum!F:F,"X")&gt;0,2.5%,0)</f>
        <v>0</v>
      </c>
      <c r="K838" s="31">
        <f>IF(COUNTIFS(Addendum!C:C,A838,Addendum!D:D,IF(ISNUMBER(B838),TEXT(B838,"0000"),B838),Addendum!G:G,"X")&gt;0,7%,0)</f>
        <v>0</v>
      </c>
      <c r="L838" s="31">
        <f>IF(COUNTIFS(Addendum!C:C,A838,Addendum!D:D,IF(ISNUMBER(B838),TEXT(B838,"0000"),B838),Addendum!I:I,"X")&gt;0,10%,0)</f>
        <v>0</v>
      </c>
      <c r="M838" s="34">
        <f t="shared" si="26"/>
        <v>0</v>
      </c>
      <c r="N838" s="17">
        <f t="shared" si="27"/>
        <v>235872</v>
      </c>
    </row>
    <row r="839" spans="1:14" ht="30" x14ac:dyDescent="0.25">
      <c r="A839" s="14" t="s">
        <v>2055</v>
      </c>
      <c r="B839" s="14" t="s">
        <v>195</v>
      </c>
      <c r="C839" s="15" t="s">
        <v>2066</v>
      </c>
      <c r="D839" s="14" t="s">
        <v>1749</v>
      </c>
      <c r="E839" s="14" t="s">
        <v>1746</v>
      </c>
      <c r="F839" s="17" t="s">
        <v>2994</v>
      </c>
      <c r="G839" s="14">
        <v>16470</v>
      </c>
      <c r="H839" s="14">
        <v>13176</v>
      </c>
      <c r="I839" s="31">
        <f>IF(COUNTIFS(Addendum!C:C,A839,Addendum!D:D,IF(ISNUMBER(B839),TEXT(B839,"0000"),B839),Addendum!E:E,"X")&gt;0,4%,0)</f>
        <v>0</v>
      </c>
      <c r="J839" s="31">
        <f>IF(COUNTIFS(Addendum!C:C,A839,Addendum!D:D,IF(ISNUMBER(B839),TEXT(B839,"0000"),B839),Addendum!F:F,"X")&gt;0,2.5%,0)</f>
        <v>0</v>
      </c>
      <c r="K839" s="31">
        <f>IF(COUNTIFS(Addendum!C:C,A839,Addendum!D:D,IF(ISNUMBER(B839),TEXT(B839,"0000"),B839),Addendum!G:G,"X")&gt;0,7%,0)</f>
        <v>0</v>
      </c>
      <c r="L839" s="31">
        <f>IF(COUNTIFS(Addendum!C:C,A839,Addendum!D:D,IF(ISNUMBER(B839),TEXT(B839,"0000"),B839),Addendum!I:I,"X")&gt;0,10%,0)</f>
        <v>0</v>
      </c>
      <c r="M839" s="34">
        <f t="shared" si="26"/>
        <v>0</v>
      </c>
      <c r="N839" s="17">
        <f t="shared" si="27"/>
        <v>13176</v>
      </c>
    </row>
    <row r="840" spans="1:14" x14ac:dyDescent="0.25">
      <c r="A840" s="14" t="s">
        <v>2055</v>
      </c>
      <c r="B840" s="14">
        <v>1</v>
      </c>
      <c r="C840" s="15" t="s">
        <v>2067</v>
      </c>
      <c r="D840" s="14" t="s">
        <v>1745</v>
      </c>
      <c r="E840" s="14" t="s">
        <v>1746</v>
      </c>
      <c r="F840" s="17" t="s">
        <v>2993</v>
      </c>
      <c r="G840" s="14">
        <v>0</v>
      </c>
      <c r="H840" s="14">
        <v>0</v>
      </c>
      <c r="I840" s="31">
        <f>IF(COUNTIFS(Addendum!C:C,A840,Addendum!D:D,IF(ISNUMBER(B840),TEXT(B840,"0000"),B840),Addendum!E:E,"X")&gt;0,4%,0)</f>
        <v>0</v>
      </c>
      <c r="J840" s="31">
        <f>IF(COUNTIFS(Addendum!C:C,A840,Addendum!D:D,IF(ISNUMBER(B840),TEXT(B840,"0000"),B840),Addendum!F:F,"X")&gt;0,2.5%,0)</f>
        <v>0</v>
      </c>
      <c r="K840" s="31">
        <f>IF(COUNTIFS(Addendum!C:C,A840,Addendum!D:D,IF(ISNUMBER(B840),TEXT(B840,"0000"),B840),Addendum!G:G,"X")&gt;0,7%,0)</f>
        <v>0</v>
      </c>
      <c r="L840" s="31">
        <f>IF(COUNTIFS(Addendum!C:C,A840,Addendum!D:D,IF(ISNUMBER(B840),TEXT(B840,"0000"),B840),Addendum!I:I,"X")&gt;0,10%,0)</f>
        <v>0</v>
      </c>
      <c r="M840" s="34">
        <f t="shared" si="26"/>
        <v>0</v>
      </c>
      <c r="N840" s="17">
        <f t="shared" si="27"/>
        <v>0</v>
      </c>
    </row>
    <row r="841" spans="1:14" x14ac:dyDescent="0.25">
      <c r="A841" s="14" t="s">
        <v>2055</v>
      </c>
      <c r="B841" s="14">
        <v>7</v>
      </c>
      <c r="C841" s="15" t="s">
        <v>2068</v>
      </c>
      <c r="D841" s="14" t="s">
        <v>1745</v>
      </c>
      <c r="E841" s="14" t="s">
        <v>1747</v>
      </c>
      <c r="F841" s="17" t="s">
        <v>2993</v>
      </c>
      <c r="G841" s="14">
        <v>1697160</v>
      </c>
      <c r="H841" s="14">
        <v>1272870</v>
      </c>
      <c r="I841" s="31">
        <f>IF(COUNTIFS(Addendum!C:C,A841,Addendum!D:D,IF(ISNUMBER(B841),TEXT(B841,"0000"),B841),Addendum!E:E,"X")&gt;0,4%,0)</f>
        <v>0</v>
      </c>
      <c r="J841" s="31">
        <f>IF(COUNTIFS(Addendum!C:C,A841,Addendum!D:D,IF(ISNUMBER(B841),TEXT(B841,"0000"),B841),Addendum!F:F,"X")&gt;0,2.5%,0)</f>
        <v>0</v>
      </c>
      <c r="K841" s="31">
        <f>IF(COUNTIFS(Addendum!C:C,A841,Addendum!D:D,IF(ISNUMBER(B841),TEXT(B841,"0000"),B841),Addendum!G:G,"X")&gt;0,7%,0)</f>
        <v>0</v>
      </c>
      <c r="L841" s="31">
        <f>IF(COUNTIFS(Addendum!C:C,A841,Addendum!D:D,IF(ISNUMBER(B841),TEXT(B841,"0000"),B841),Addendum!I:I,"X")&gt;0,10%,0)</f>
        <v>0</v>
      </c>
      <c r="M841" s="34">
        <f t="shared" si="26"/>
        <v>0</v>
      </c>
      <c r="N841" s="17">
        <f t="shared" si="27"/>
        <v>1272870</v>
      </c>
    </row>
    <row r="842" spans="1:14" x14ac:dyDescent="0.25">
      <c r="A842" s="14" t="s">
        <v>2055</v>
      </c>
      <c r="B842" s="14">
        <v>19</v>
      </c>
      <c r="C842" s="15" t="s">
        <v>2069</v>
      </c>
      <c r="D842" s="14" t="s">
        <v>1749</v>
      </c>
      <c r="E842" s="14" t="s">
        <v>1746</v>
      </c>
      <c r="F842" s="17" t="s">
        <v>2995</v>
      </c>
      <c r="G842" s="14">
        <v>12480</v>
      </c>
      <c r="H842" s="14">
        <v>11232</v>
      </c>
      <c r="I842" s="31">
        <f>IF(COUNTIFS(Addendum!C:C,A842,Addendum!D:D,IF(ISNUMBER(B842),TEXT(B842,"0000"),B842),Addendum!E:E,"X")&gt;0,4%,0)</f>
        <v>0</v>
      </c>
      <c r="J842" s="31">
        <f>IF(COUNTIFS(Addendum!C:C,A842,Addendum!D:D,IF(ISNUMBER(B842),TEXT(B842,"0000"),B842),Addendum!F:F,"X")&gt;0,2.5%,0)</f>
        <v>0</v>
      </c>
      <c r="K842" s="31">
        <f>IF(COUNTIFS(Addendum!C:C,A842,Addendum!D:D,IF(ISNUMBER(B842),TEXT(B842,"0000"),B842),Addendum!G:G,"X")&gt;0,7%,0)</f>
        <v>0</v>
      </c>
      <c r="L842" s="31">
        <f>IF(COUNTIFS(Addendum!C:C,A842,Addendum!D:D,IF(ISNUMBER(B842),TEXT(B842,"0000"),B842),Addendum!I:I,"X")&gt;0,10%,0)</f>
        <v>0</v>
      </c>
      <c r="M842" s="34">
        <f t="shared" si="26"/>
        <v>0</v>
      </c>
      <c r="N842" s="17">
        <f t="shared" si="27"/>
        <v>11232</v>
      </c>
    </row>
    <row r="843" spans="1:14" x14ac:dyDescent="0.25">
      <c r="A843" s="14" t="s">
        <v>2055</v>
      </c>
      <c r="B843" s="14" t="s">
        <v>325</v>
      </c>
      <c r="C843" s="15" t="s">
        <v>2070</v>
      </c>
      <c r="D843" s="14" t="s">
        <v>1745</v>
      </c>
      <c r="E843" s="14" t="s">
        <v>1746</v>
      </c>
      <c r="F843" s="17" t="s">
        <v>2994</v>
      </c>
      <c r="G843" s="14">
        <v>419328</v>
      </c>
      <c r="H843" s="14">
        <v>314496</v>
      </c>
      <c r="I843" s="31">
        <f>IF(COUNTIFS(Addendum!C:C,A843,Addendum!D:D,IF(ISNUMBER(B843),TEXT(B843,"0000"),B843),Addendum!E:E,"X")&gt;0,4%,0)</f>
        <v>0</v>
      </c>
      <c r="J843" s="31">
        <f>IF(COUNTIFS(Addendum!C:C,A843,Addendum!D:D,IF(ISNUMBER(B843),TEXT(B843,"0000"),B843),Addendum!F:F,"X")&gt;0,2.5%,0)</f>
        <v>0</v>
      </c>
      <c r="K843" s="31">
        <f>IF(COUNTIFS(Addendum!C:C,A843,Addendum!D:D,IF(ISNUMBER(B843),TEXT(B843,"0000"),B843),Addendum!G:G,"X")&gt;0,7%,0)</f>
        <v>0</v>
      </c>
      <c r="L843" s="31">
        <f>IF(COUNTIFS(Addendum!C:C,A843,Addendum!D:D,IF(ISNUMBER(B843),TEXT(B843,"0000"),B843),Addendum!I:I,"X")&gt;0,10%,0)</f>
        <v>0</v>
      </c>
      <c r="M843" s="34">
        <f t="shared" si="26"/>
        <v>0</v>
      </c>
      <c r="N843" s="17">
        <f t="shared" si="27"/>
        <v>314496</v>
      </c>
    </row>
    <row r="844" spans="1:14" ht="30" x14ac:dyDescent="0.25">
      <c r="A844" s="14" t="s">
        <v>2055</v>
      </c>
      <c r="B844" s="14" t="s">
        <v>28</v>
      </c>
      <c r="C844" s="15" t="s">
        <v>2062</v>
      </c>
      <c r="D844" s="14" t="s">
        <v>1745</v>
      </c>
      <c r="E844" s="14" t="s">
        <v>1746</v>
      </c>
      <c r="F844" s="17" t="s">
        <v>2994</v>
      </c>
      <c r="G844" s="14">
        <v>104832</v>
      </c>
      <c r="H844" s="14">
        <v>78624</v>
      </c>
      <c r="I844" s="31">
        <f>IF(COUNTIFS(Addendum!C:C,A844,Addendum!D:D,IF(ISNUMBER(B844),TEXT(B844,"0000"),B844),Addendum!E:E,"X")&gt;0,4%,0)</f>
        <v>0</v>
      </c>
      <c r="J844" s="31">
        <f>IF(COUNTIFS(Addendum!C:C,A844,Addendum!D:D,IF(ISNUMBER(B844),TEXT(B844,"0000"),B844),Addendum!F:F,"X")&gt;0,2.5%,0)</f>
        <v>0</v>
      </c>
      <c r="K844" s="31">
        <f>IF(COUNTIFS(Addendum!C:C,A844,Addendum!D:D,IF(ISNUMBER(B844),TEXT(B844,"0000"),B844),Addendum!G:G,"X")&gt;0,7%,0)</f>
        <v>0</v>
      </c>
      <c r="L844" s="31">
        <f>IF(COUNTIFS(Addendum!C:C,A844,Addendum!D:D,IF(ISNUMBER(B844),TEXT(B844,"0000"),B844),Addendum!I:I,"X")&gt;0,10%,0)</f>
        <v>0</v>
      </c>
      <c r="M844" s="34">
        <f t="shared" si="26"/>
        <v>0</v>
      </c>
      <c r="N844" s="17">
        <f t="shared" si="27"/>
        <v>78624</v>
      </c>
    </row>
    <row r="845" spans="1:14" x14ac:dyDescent="0.25">
      <c r="A845" s="14" t="s">
        <v>2055</v>
      </c>
      <c r="B845" s="14" t="s">
        <v>173</v>
      </c>
      <c r="C845" s="15" t="s">
        <v>2071</v>
      </c>
      <c r="D845" s="14" t="s">
        <v>1752</v>
      </c>
      <c r="E845" s="14" t="s">
        <v>1746</v>
      </c>
      <c r="F845" s="17" t="s">
        <v>2995</v>
      </c>
      <c r="G845" s="14">
        <v>786240</v>
      </c>
      <c r="H845" s="14">
        <v>707616</v>
      </c>
      <c r="I845" s="31">
        <f>IF(COUNTIFS(Addendum!C:C,A845,Addendum!D:D,IF(ISNUMBER(B845),TEXT(B845,"0000"),B845),Addendum!E:E,"X")&gt;0,4%,0)</f>
        <v>0</v>
      </c>
      <c r="J845" s="31">
        <f>IF(COUNTIFS(Addendum!C:C,A845,Addendum!D:D,IF(ISNUMBER(B845),TEXT(B845,"0000"),B845),Addendum!F:F,"X")&gt;0,2.5%,0)</f>
        <v>0</v>
      </c>
      <c r="K845" s="31">
        <f>IF(COUNTIFS(Addendum!C:C,A845,Addendum!D:D,IF(ISNUMBER(B845),TEXT(B845,"0000"),B845),Addendum!G:G,"X")&gt;0,7%,0)</f>
        <v>0</v>
      </c>
      <c r="L845" s="31">
        <f>IF(COUNTIFS(Addendum!C:C,A845,Addendum!D:D,IF(ISNUMBER(B845),TEXT(B845,"0000"),B845),Addendum!I:I,"X")&gt;0,10%,0)</f>
        <v>0</v>
      </c>
      <c r="M845" s="34">
        <f t="shared" si="26"/>
        <v>0</v>
      </c>
      <c r="N845" s="17">
        <f t="shared" si="27"/>
        <v>707616</v>
      </c>
    </row>
    <row r="846" spans="1:14" ht="30" x14ac:dyDescent="0.25">
      <c r="A846" s="14" t="s">
        <v>2055</v>
      </c>
      <c r="B846" s="14" t="s">
        <v>470</v>
      </c>
      <c r="C846" s="15" t="s">
        <v>2064</v>
      </c>
      <c r="D846" s="14" t="s">
        <v>1752</v>
      </c>
      <c r="E846" s="14" t="s">
        <v>1746</v>
      </c>
      <c r="F846" s="17" t="s">
        <v>2994</v>
      </c>
      <c r="G846" s="14">
        <v>864864</v>
      </c>
      <c r="H846" s="14">
        <v>648648</v>
      </c>
      <c r="I846" s="31">
        <f>IF(COUNTIFS(Addendum!C:C,A846,Addendum!D:D,IF(ISNUMBER(B846),TEXT(B846,"0000"),B846),Addendum!E:E,"X")&gt;0,4%,0)</f>
        <v>0</v>
      </c>
      <c r="J846" s="31">
        <f>IF(COUNTIFS(Addendum!C:C,A846,Addendum!D:D,IF(ISNUMBER(B846),TEXT(B846,"0000"),B846),Addendum!F:F,"X")&gt;0,2.5%,0)</f>
        <v>0</v>
      </c>
      <c r="K846" s="31">
        <f>IF(COUNTIFS(Addendum!C:C,A846,Addendum!D:D,IF(ISNUMBER(B846),TEXT(B846,"0000"),B846),Addendum!G:G,"X")&gt;0,7%,0)</f>
        <v>0</v>
      </c>
      <c r="L846" s="31">
        <f>IF(COUNTIFS(Addendum!C:C,A846,Addendum!D:D,IF(ISNUMBER(B846),TEXT(B846,"0000"),B846),Addendum!I:I,"X")&gt;0,10%,0)</f>
        <v>0</v>
      </c>
      <c r="M846" s="34">
        <f t="shared" si="26"/>
        <v>0</v>
      </c>
      <c r="N846" s="17">
        <f t="shared" si="27"/>
        <v>648648</v>
      </c>
    </row>
    <row r="847" spans="1:14" ht="30" x14ac:dyDescent="0.25">
      <c r="A847" s="14" t="s">
        <v>2055</v>
      </c>
      <c r="B847" s="14" t="s">
        <v>118</v>
      </c>
      <c r="C847" s="15" t="s">
        <v>2060</v>
      </c>
      <c r="D847" s="14" t="s">
        <v>1745</v>
      </c>
      <c r="E847" s="14" t="s">
        <v>1746</v>
      </c>
      <c r="F847" s="17" t="s">
        <v>2994</v>
      </c>
      <c r="G847" s="14">
        <v>144144</v>
      </c>
      <c r="H847" s="14">
        <v>108108</v>
      </c>
      <c r="I847" s="31">
        <f>IF(COUNTIFS(Addendum!C:C,A847,Addendum!D:D,IF(ISNUMBER(B847),TEXT(B847,"0000"),B847),Addendum!E:E,"X")&gt;0,4%,0)</f>
        <v>0</v>
      </c>
      <c r="J847" s="31">
        <f>IF(COUNTIFS(Addendum!C:C,A847,Addendum!D:D,IF(ISNUMBER(B847),TEXT(B847,"0000"),B847),Addendum!F:F,"X")&gt;0,2.5%,0)</f>
        <v>0</v>
      </c>
      <c r="K847" s="31">
        <f>IF(COUNTIFS(Addendum!C:C,A847,Addendum!D:D,IF(ISNUMBER(B847),TEXT(B847,"0000"),B847),Addendum!G:G,"X")&gt;0,7%,0)</f>
        <v>0</v>
      </c>
      <c r="L847" s="31">
        <f>IF(COUNTIFS(Addendum!C:C,A847,Addendum!D:D,IF(ISNUMBER(B847),TEXT(B847,"0000"),B847),Addendum!I:I,"X")&gt;0,10%,0)</f>
        <v>0</v>
      </c>
      <c r="M847" s="34">
        <f t="shared" si="26"/>
        <v>0</v>
      </c>
      <c r="N847" s="17">
        <f t="shared" si="27"/>
        <v>108108</v>
      </c>
    </row>
    <row r="848" spans="1:14" x14ac:dyDescent="0.25">
      <c r="A848" s="14" t="s">
        <v>2055</v>
      </c>
      <c r="B848" s="14">
        <v>15</v>
      </c>
      <c r="C848" s="15" t="s">
        <v>2072</v>
      </c>
      <c r="D848" s="14" t="s">
        <v>1752</v>
      </c>
      <c r="E848" s="14" t="s">
        <v>1747</v>
      </c>
      <c r="F848" s="17" t="s">
        <v>2994</v>
      </c>
      <c r="G848" s="14">
        <v>1198080</v>
      </c>
      <c r="H848" s="14">
        <v>898560</v>
      </c>
      <c r="I848" s="31">
        <f>IF(COUNTIFS(Addendum!C:C,A848,Addendum!D:D,IF(ISNUMBER(B848),TEXT(B848,"0000"),B848),Addendum!E:E,"X")&gt;0,4%,0)</f>
        <v>0</v>
      </c>
      <c r="J848" s="31">
        <f>IF(COUNTIFS(Addendum!C:C,A848,Addendum!D:D,IF(ISNUMBER(B848),TEXT(B848,"0000"),B848),Addendum!F:F,"X")&gt;0,2.5%,0)</f>
        <v>0</v>
      </c>
      <c r="K848" s="31">
        <f>IF(COUNTIFS(Addendum!C:C,A848,Addendum!D:D,IF(ISNUMBER(B848),TEXT(B848,"0000"),B848),Addendum!G:G,"X")&gt;0,7%,0)</f>
        <v>0</v>
      </c>
      <c r="L848" s="31">
        <f>IF(COUNTIFS(Addendum!C:C,A848,Addendum!D:D,IF(ISNUMBER(B848),TEXT(B848,"0000"),B848),Addendum!I:I,"X")&gt;0,10%,0)</f>
        <v>0</v>
      </c>
      <c r="M848" s="34">
        <f t="shared" si="26"/>
        <v>0</v>
      </c>
      <c r="N848" s="17">
        <f t="shared" si="27"/>
        <v>898560</v>
      </c>
    </row>
    <row r="849" spans="1:14" x14ac:dyDescent="0.25">
      <c r="A849" s="14" t="s">
        <v>2055</v>
      </c>
      <c r="B849" s="14" t="s">
        <v>173</v>
      </c>
      <c r="C849" s="15" t="s">
        <v>2071</v>
      </c>
      <c r="D849" s="14" t="s">
        <v>1745</v>
      </c>
      <c r="E849" s="14" t="s">
        <v>1747</v>
      </c>
      <c r="F849" s="17" t="s">
        <v>2995</v>
      </c>
      <c r="G849" s="14">
        <v>249600</v>
      </c>
      <c r="H849" s="14">
        <v>224640</v>
      </c>
      <c r="I849" s="31">
        <f>IF(COUNTIFS(Addendum!C:C,A849,Addendum!D:D,IF(ISNUMBER(B849),TEXT(B849,"0000"),B849),Addendum!E:E,"X")&gt;0,4%,0)</f>
        <v>0</v>
      </c>
      <c r="J849" s="31">
        <f>IF(COUNTIFS(Addendum!C:C,A849,Addendum!D:D,IF(ISNUMBER(B849),TEXT(B849,"0000"),B849),Addendum!F:F,"X")&gt;0,2.5%,0)</f>
        <v>0</v>
      </c>
      <c r="K849" s="31">
        <f>IF(COUNTIFS(Addendum!C:C,A849,Addendum!D:D,IF(ISNUMBER(B849),TEXT(B849,"0000"),B849),Addendum!G:G,"X")&gt;0,7%,0)</f>
        <v>0</v>
      </c>
      <c r="L849" s="31">
        <f>IF(COUNTIFS(Addendum!C:C,A849,Addendum!D:D,IF(ISNUMBER(B849),TEXT(B849,"0000"),B849),Addendum!I:I,"X")&gt;0,10%,0)</f>
        <v>0</v>
      </c>
      <c r="M849" s="34">
        <f t="shared" si="26"/>
        <v>0</v>
      </c>
      <c r="N849" s="17">
        <f t="shared" si="27"/>
        <v>224640</v>
      </c>
    </row>
    <row r="850" spans="1:14" x14ac:dyDescent="0.25">
      <c r="A850" s="14" t="s">
        <v>2055</v>
      </c>
      <c r="B850" s="14" t="s">
        <v>97</v>
      </c>
      <c r="C850" s="15" t="s">
        <v>2073</v>
      </c>
      <c r="D850" s="14" t="s">
        <v>1752</v>
      </c>
      <c r="E850" s="14" t="s">
        <v>1753</v>
      </c>
      <c r="F850" s="17" t="s">
        <v>2995</v>
      </c>
      <c r="G850" s="14">
        <v>1497420</v>
      </c>
      <c r="H850" s="14">
        <v>1347678</v>
      </c>
      <c r="I850" s="31">
        <f>IF(COUNTIFS(Addendum!C:C,A850,Addendum!D:D,IF(ISNUMBER(B850),TEXT(B850,"0000"),B850),Addendum!E:E,"X")&gt;0,4%,0)</f>
        <v>0</v>
      </c>
      <c r="J850" s="31">
        <f>IF(COUNTIFS(Addendum!C:C,A850,Addendum!D:D,IF(ISNUMBER(B850),TEXT(B850,"0000"),B850),Addendum!F:F,"X")&gt;0,2.5%,0)</f>
        <v>0</v>
      </c>
      <c r="K850" s="31">
        <f>IF(COUNTIFS(Addendum!C:C,A850,Addendum!D:D,IF(ISNUMBER(B850),TEXT(B850,"0000"),B850),Addendum!G:G,"X")&gt;0,7%,0)</f>
        <v>0</v>
      </c>
      <c r="L850" s="31">
        <f>IF(COUNTIFS(Addendum!C:C,A850,Addendum!D:D,IF(ISNUMBER(B850),TEXT(B850,"0000"),B850),Addendum!I:I,"X")&gt;0,10%,0)</f>
        <v>0</v>
      </c>
      <c r="M850" s="34">
        <f t="shared" si="26"/>
        <v>0</v>
      </c>
      <c r="N850" s="17">
        <f t="shared" si="27"/>
        <v>1347678</v>
      </c>
    </row>
    <row r="851" spans="1:14" x14ac:dyDescent="0.25">
      <c r="A851" s="14" t="s">
        <v>2055</v>
      </c>
      <c r="B851" s="14">
        <v>14</v>
      </c>
      <c r="C851" s="15" t="s">
        <v>2074</v>
      </c>
      <c r="D851" s="14" t="s">
        <v>1749</v>
      </c>
      <c r="E851" s="14" t="s">
        <v>1746</v>
      </c>
      <c r="F851" s="17" t="s">
        <v>2995</v>
      </c>
      <c r="G851" s="14">
        <v>37440</v>
      </c>
      <c r="H851" s="14">
        <v>33696</v>
      </c>
      <c r="I851" s="31">
        <f>IF(COUNTIFS(Addendum!C:C,A851,Addendum!D:D,IF(ISNUMBER(B851),TEXT(B851,"0000"),B851),Addendum!E:E,"X")&gt;0,4%,0)</f>
        <v>0</v>
      </c>
      <c r="J851" s="31">
        <f>IF(COUNTIFS(Addendum!C:C,A851,Addendum!D:D,IF(ISNUMBER(B851),TEXT(B851,"0000"),B851),Addendum!F:F,"X")&gt;0,2.5%,0)</f>
        <v>0</v>
      </c>
      <c r="K851" s="31">
        <f>IF(COUNTIFS(Addendum!C:C,A851,Addendum!D:D,IF(ISNUMBER(B851),TEXT(B851,"0000"),B851),Addendum!G:G,"X")&gt;0,7%,0)</f>
        <v>0</v>
      </c>
      <c r="L851" s="31">
        <f>IF(COUNTIFS(Addendum!C:C,A851,Addendum!D:D,IF(ISNUMBER(B851),TEXT(B851,"0000"),B851),Addendum!I:I,"X")&gt;0,10%,0)</f>
        <v>0</v>
      </c>
      <c r="M851" s="34">
        <f t="shared" si="26"/>
        <v>0</v>
      </c>
      <c r="N851" s="17">
        <f t="shared" si="27"/>
        <v>33696</v>
      </c>
    </row>
    <row r="852" spans="1:14" x14ac:dyDescent="0.25">
      <c r="A852" s="14" t="s">
        <v>2055</v>
      </c>
      <c r="B852" s="14">
        <v>3</v>
      </c>
      <c r="C852" s="15" t="s">
        <v>2075</v>
      </c>
      <c r="D852" s="14" t="s">
        <v>1745</v>
      </c>
      <c r="E852" s="14" t="s">
        <v>1747</v>
      </c>
      <c r="F852" s="17" t="s">
        <v>2993</v>
      </c>
      <c r="G852" s="14">
        <v>249600</v>
      </c>
      <c r="H852" s="14">
        <v>187200</v>
      </c>
      <c r="I852" s="31">
        <f>IF(COUNTIFS(Addendum!C:C,A852,Addendum!D:D,IF(ISNUMBER(B852),TEXT(B852,"0000"),B852),Addendum!E:E,"X")&gt;0,4%,0)</f>
        <v>0</v>
      </c>
      <c r="J852" s="31">
        <f>IF(COUNTIFS(Addendum!C:C,A852,Addendum!D:D,IF(ISNUMBER(B852),TEXT(B852,"0000"),B852),Addendum!F:F,"X")&gt;0,2.5%,0)</f>
        <v>0</v>
      </c>
      <c r="K852" s="31">
        <f>IF(COUNTIFS(Addendum!C:C,A852,Addendum!D:D,IF(ISNUMBER(B852),TEXT(B852,"0000"),B852),Addendum!G:G,"X")&gt;0,7%,0)</f>
        <v>0</v>
      </c>
      <c r="L852" s="31">
        <f>IF(COUNTIFS(Addendum!C:C,A852,Addendum!D:D,IF(ISNUMBER(B852),TEXT(B852,"0000"),B852),Addendum!I:I,"X")&gt;0,10%,0)</f>
        <v>0</v>
      </c>
      <c r="M852" s="34">
        <f t="shared" si="26"/>
        <v>0</v>
      </c>
      <c r="N852" s="17">
        <f t="shared" si="27"/>
        <v>187200</v>
      </c>
    </row>
    <row r="853" spans="1:14" x14ac:dyDescent="0.25">
      <c r="A853" s="14" t="s">
        <v>2055</v>
      </c>
      <c r="B853" s="14">
        <v>14</v>
      </c>
      <c r="C853" s="15" t="s">
        <v>2074</v>
      </c>
      <c r="D853" s="14" t="s">
        <v>1752</v>
      </c>
      <c r="E853" s="14" t="s">
        <v>1753</v>
      </c>
      <c r="F853" s="17" t="s">
        <v>2995</v>
      </c>
      <c r="G853" s="14">
        <v>1123200</v>
      </c>
      <c r="H853" s="14">
        <v>1010880</v>
      </c>
      <c r="I853" s="31">
        <f>IF(COUNTIFS(Addendum!C:C,A853,Addendum!D:D,IF(ISNUMBER(B853),TEXT(B853,"0000"),B853),Addendum!E:E,"X")&gt;0,4%,0)</f>
        <v>0</v>
      </c>
      <c r="J853" s="31">
        <f>IF(COUNTIFS(Addendum!C:C,A853,Addendum!D:D,IF(ISNUMBER(B853),TEXT(B853,"0000"),B853),Addendum!F:F,"X")&gt;0,2.5%,0)</f>
        <v>0</v>
      </c>
      <c r="K853" s="31">
        <f>IF(COUNTIFS(Addendum!C:C,A853,Addendum!D:D,IF(ISNUMBER(B853),TEXT(B853,"0000"),B853),Addendum!G:G,"X")&gt;0,7%,0)</f>
        <v>0</v>
      </c>
      <c r="L853" s="31">
        <f>IF(COUNTIFS(Addendum!C:C,A853,Addendum!D:D,IF(ISNUMBER(B853),TEXT(B853,"0000"),B853),Addendum!I:I,"X")&gt;0,10%,0)</f>
        <v>0</v>
      </c>
      <c r="M853" s="34">
        <f t="shared" si="26"/>
        <v>0</v>
      </c>
      <c r="N853" s="17">
        <f t="shared" si="27"/>
        <v>1010880</v>
      </c>
    </row>
    <row r="854" spans="1:14" x14ac:dyDescent="0.25">
      <c r="A854" s="14" t="s">
        <v>2055</v>
      </c>
      <c r="B854" s="14">
        <v>13</v>
      </c>
      <c r="C854" s="15" t="s">
        <v>2076</v>
      </c>
      <c r="D854" s="14" t="s">
        <v>1752</v>
      </c>
      <c r="E854" s="14" t="s">
        <v>1753</v>
      </c>
      <c r="F854" s="17" t="s">
        <v>2994</v>
      </c>
      <c r="G854" s="14">
        <v>2470860</v>
      </c>
      <c r="H854" s="14">
        <v>1853145</v>
      </c>
      <c r="I854" s="31">
        <f>IF(COUNTIFS(Addendum!C:C,A854,Addendum!D:D,IF(ISNUMBER(B854),TEXT(B854,"0000"),B854),Addendum!E:E,"X")&gt;0,4%,0)</f>
        <v>0</v>
      </c>
      <c r="J854" s="31">
        <f>IF(COUNTIFS(Addendum!C:C,A854,Addendum!D:D,IF(ISNUMBER(B854),TEXT(B854,"0000"),B854),Addendum!F:F,"X")&gt;0,2.5%,0)</f>
        <v>0</v>
      </c>
      <c r="K854" s="31">
        <f>IF(COUNTIFS(Addendum!C:C,A854,Addendum!D:D,IF(ISNUMBER(B854),TEXT(B854,"0000"),B854),Addendum!G:G,"X")&gt;0,7%,0)</f>
        <v>0</v>
      </c>
      <c r="L854" s="31">
        <f>IF(COUNTIFS(Addendum!C:C,A854,Addendum!D:D,IF(ISNUMBER(B854),TEXT(B854,"0000"),B854),Addendum!I:I,"X")&gt;0,10%,0)</f>
        <v>0</v>
      </c>
      <c r="M854" s="34">
        <f t="shared" si="26"/>
        <v>0</v>
      </c>
      <c r="N854" s="17">
        <f t="shared" si="27"/>
        <v>1853145</v>
      </c>
    </row>
    <row r="855" spans="1:14" x14ac:dyDescent="0.25">
      <c r="A855" s="14" t="s">
        <v>2055</v>
      </c>
      <c r="B855" s="14" t="s">
        <v>29</v>
      </c>
      <c r="C855" s="15" t="s">
        <v>2077</v>
      </c>
      <c r="D855" s="14" t="s">
        <v>1745</v>
      </c>
      <c r="E855" s="14" t="s">
        <v>1747</v>
      </c>
      <c r="F855" s="17" t="s">
        <v>2994</v>
      </c>
      <c r="G855" s="14">
        <v>933420</v>
      </c>
      <c r="H855" s="14">
        <v>700065</v>
      </c>
      <c r="I855" s="31">
        <f>IF(COUNTIFS(Addendum!C:C,A855,Addendum!D:D,IF(ISNUMBER(B855),TEXT(B855,"0000"),B855),Addendum!E:E,"X")&gt;0,4%,0)</f>
        <v>0</v>
      </c>
      <c r="J855" s="31">
        <f>IF(COUNTIFS(Addendum!C:C,A855,Addendum!D:D,IF(ISNUMBER(B855),TEXT(B855,"0000"),B855),Addendum!F:F,"X")&gt;0,2.5%,0)</f>
        <v>0</v>
      </c>
      <c r="K855" s="31">
        <f>IF(COUNTIFS(Addendum!C:C,A855,Addendum!D:D,IF(ISNUMBER(B855),TEXT(B855,"0000"),B855),Addendum!G:G,"X")&gt;0,7%,0)</f>
        <v>0</v>
      </c>
      <c r="L855" s="31">
        <f>IF(COUNTIFS(Addendum!C:C,A855,Addendum!D:D,IF(ISNUMBER(B855),TEXT(B855,"0000"),B855),Addendum!I:I,"X")&gt;0,10%,0)</f>
        <v>0</v>
      </c>
      <c r="M855" s="34">
        <f t="shared" si="26"/>
        <v>0</v>
      </c>
      <c r="N855" s="17">
        <f t="shared" si="27"/>
        <v>700065</v>
      </c>
    </row>
    <row r="856" spans="1:14" ht="30" x14ac:dyDescent="0.25">
      <c r="A856" s="14" t="s">
        <v>2055</v>
      </c>
      <c r="B856" s="14" t="s">
        <v>195</v>
      </c>
      <c r="C856" s="15" t="s">
        <v>2066</v>
      </c>
      <c r="D856" s="14" t="s">
        <v>1745</v>
      </c>
      <c r="E856" s="14" t="s">
        <v>1746</v>
      </c>
      <c r="F856" s="17" t="s">
        <v>2994</v>
      </c>
      <c r="G856" s="14">
        <v>172935</v>
      </c>
      <c r="H856" s="14">
        <v>138348</v>
      </c>
      <c r="I856" s="31">
        <f>IF(COUNTIFS(Addendum!C:C,A856,Addendum!D:D,IF(ISNUMBER(B856),TEXT(B856,"0000"),B856),Addendum!E:E,"X")&gt;0,4%,0)</f>
        <v>0</v>
      </c>
      <c r="J856" s="31">
        <f>IF(COUNTIFS(Addendum!C:C,A856,Addendum!D:D,IF(ISNUMBER(B856),TEXT(B856,"0000"),B856),Addendum!F:F,"X")&gt;0,2.5%,0)</f>
        <v>0</v>
      </c>
      <c r="K856" s="31">
        <f>IF(COUNTIFS(Addendum!C:C,A856,Addendum!D:D,IF(ISNUMBER(B856),TEXT(B856,"0000"),B856),Addendum!G:G,"X")&gt;0,7%,0)</f>
        <v>0</v>
      </c>
      <c r="L856" s="31">
        <f>IF(COUNTIFS(Addendum!C:C,A856,Addendum!D:D,IF(ISNUMBER(B856),TEXT(B856,"0000"),B856),Addendum!I:I,"X")&gt;0,10%,0)</f>
        <v>0</v>
      </c>
      <c r="M856" s="34">
        <f t="shared" si="26"/>
        <v>0</v>
      </c>
      <c r="N856" s="17">
        <f t="shared" si="27"/>
        <v>138348</v>
      </c>
    </row>
    <row r="857" spans="1:14" x14ac:dyDescent="0.25">
      <c r="A857" s="14" t="s">
        <v>2055</v>
      </c>
      <c r="B857" s="14" t="s">
        <v>583</v>
      </c>
      <c r="C857" s="15" t="s">
        <v>2057</v>
      </c>
      <c r="D857" s="14" t="s">
        <v>1752</v>
      </c>
      <c r="E857" s="14" t="s">
        <v>1753</v>
      </c>
      <c r="F857" s="17" t="s">
        <v>2994</v>
      </c>
      <c r="G857" s="14">
        <v>0</v>
      </c>
      <c r="H857" s="14">
        <v>0</v>
      </c>
      <c r="I857" s="31">
        <f>IF(COUNTIFS(Addendum!C:C,A857,Addendum!D:D,IF(ISNUMBER(B857),TEXT(B857,"0000"),B857),Addendum!E:E,"X")&gt;0,4%,0)</f>
        <v>0</v>
      </c>
      <c r="J857" s="31">
        <f>IF(COUNTIFS(Addendum!C:C,A857,Addendum!D:D,IF(ISNUMBER(B857),TEXT(B857,"0000"),B857),Addendum!F:F,"X")&gt;0,2.5%,0)</f>
        <v>0</v>
      </c>
      <c r="K857" s="31">
        <f>IF(COUNTIFS(Addendum!C:C,A857,Addendum!D:D,IF(ISNUMBER(B857),TEXT(B857,"0000"),B857),Addendum!G:G,"X")&gt;0,7%,0)</f>
        <v>0</v>
      </c>
      <c r="L857" s="31">
        <f>IF(COUNTIFS(Addendum!C:C,A857,Addendum!D:D,IF(ISNUMBER(B857),TEXT(B857,"0000"),B857),Addendum!I:I,"X")&gt;0,10%,0)</f>
        <v>0</v>
      </c>
      <c r="M857" s="34">
        <f t="shared" si="26"/>
        <v>0</v>
      </c>
      <c r="N857" s="17">
        <f t="shared" si="27"/>
        <v>0</v>
      </c>
    </row>
    <row r="858" spans="1:14" x14ac:dyDescent="0.25">
      <c r="A858" s="14" t="s">
        <v>2055</v>
      </c>
      <c r="B858" s="14" t="s">
        <v>608</v>
      </c>
      <c r="C858" s="15" t="s">
        <v>2063</v>
      </c>
      <c r="D858" s="14" t="s">
        <v>1749</v>
      </c>
      <c r="E858" s="14" t="s">
        <v>1746</v>
      </c>
      <c r="F858" s="17" t="s">
        <v>2995</v>
      </c>
      <c r="G858" s="14">
        <v>0</v>
      </c>
      <c r="H858" s="14">
        <v>0</v>
      </c>
      <c r="I858" s="31">
        <f>IF(COUNTIFS(Addendum!C:C,A858,Addendum!D:D,IF(ISNUMBER(B858),TEXT(B858,"0000"),B858),Addendum!E:E,"X")&gt;0,4%,0)</f>
        <v>0</v>
      </c>
      <c r="J858" s="31">
        <f>IF(COUNTIFS(Addendum!C:C,A858,Addendum!D:D,IF(ISNUMBER(B858),TEXT(B858,"0000"),B858),Addendum!F:F,"X")&gt;0,2.5%,0)</f>
        <v>0</v>
      </c>
      <c r="K858" s="31">
        <f>IF(COUNTIFS(Addendum!C:C,A858,Addendum!D:D,IF(ISNUMBER(B858),TEXT(B858,"0000"),B858),Addendum!G:G,"X")&gt;0,7%,0)</f>
        <v>0</v>
      </c>
      <c r="L858" s="31">
        <f>IF(COUNTIFS(Addendum!C:C,A858,Addendum!D:D,IF(ISNUMBER(B858),TEXT(B858,"0000"),B858),Addendum!I:I,"X")&gt;0,10%,0)</f>
        <v>0</v>
      </c>
      <c r="M858" s="34">
        <f t="shared" si="26"/>
        <v>0</v>
      </c>
      <c r="N858" s="17">
        <f t="shared" si="27"/>
        <v>0</v>
      </c>
    </row>
    <row r="859" spans="1:14" x14ac:dyDescent="0.25">
      <c r="A859" s="14" t="s">
        <v>2055</v>
      </c>
      <c r="B859" s="14">
        <v>15</v>
      </c>
      <c r="C859" s="15" t="s">
        <v>2072</v>
      </c>
      <c r="D859" s="14" t="s">
        <v>1752</v>
      </c>
      <c r="E859" s="14" t="s">
        <v>1753</v>
      </c>
      <c r="F859" s="17" t="s">
        <v>2994</v>
      </c>
      <c r="G859" s="14">
        <v>1198080</v>
      </c>
      <c r="H859" s="14">
        <v>898560</v>
      </c>
      <c r="I859" s="31">
        <f>IF(COUNTIFS(Addendum!C:C,A859,Addendum!D:D,IF(ISNUMBER(B859),TEXT(B859,"0000"),B859),Addendum!E:E,"X")&gt;0,4%,0)</f>
        <v>0</v>
      </c>
      <c r="J859" s="31">
        <f>IF(COUNTIFS(Addendum!C:C,A859,Addendum!D:D,IF(ISNUMBER(B859),TEXT(B859,"0000"),B859),Addendum!F:F,"X")&gt;0,2.5%,0)</f>
        <v>0</v>
      </c>
      <c r="K859" s="31">
        <f>IF(COUNTIFS(Addendum!C:C,A859,Addendum!D:D,IF(ISNUMBER(B859),TEXT(B859,"0000"),B859),Addendum!G:G,"X")&gt;0,7%,0)</f>
        <v>0</v>
      </c>
      <c r="L859" s="31">
        <f>IF(COUNTIFS(Addendum!C:C,A859,Addendum!D:D,IF(ISNUMBER(B859),TEXT(B859,"0000"),B859),Addendum!I:I,"X")&gt;0,10%,0)</f>
        <v>0</v>
      </c>
      <c r="M859" s="34">
        <f t="shared" si="26"/>
        <v>0</v>
      </c>
      <c r="N859" s="17">
        <f t="shared" si="27"/>
        <v>898560</v>
      </c>
    </row>
    <row r="860" spans="1:14" ht="30" x14ac:dyDescent="0.25">
      <c r="A860" s="14" t="s">
        <v>2055</v>
      </c>
      <c r="B860" s="14" t="s">
        <v>122</v>
      </c>
      <c r="C860" s="15" t="s">
        <v>2078</v>
      </c>
      <c r="D860" s="14" t="s">
        <v>1745</v>
      </c>
      <c r="E860" s="14" t="s">
        <v>1746</v>
      </c>
      <c r="F860" s="17" t="s">
        <v>2994</v>
      </c>
      <c r="G860" s="14">
        <v>125811</v>
      </c>
      <c r="H860" s="14">
        <v>100648.8</v>
      </c>
      <c r="I860" s="31">
        <f>IF(COUNTIFS(Addendum!C:C,A860,Addendum!D:D,IF(ISNUMBER(B860),TEXT(B860,"0000"),B860),Addendum!E:E,"X")&gt;0,4%,0)</f>
        <v>0</v>
      </c>
      <c r="J860" s="31">
        <f>IF(COUNTIFS(Addendum!C:C,A860,Addendum!D:D,IF(ISNUMBER(B860),TEXT(B860,"0000"),B860),Addendum!F:F,"X")&gt;0,2.5%,0)</f>
        <v>0</v>
      </c>
      <c r="K860" s="31">
        <f>IF(COUNTIFS(Addendum!C:C,A860,Addendum!D:D,IF(ISNUMBER(B860),TEXT(B860,"0000"),B860),Addendum!G:G,"X")&gt;0,7%,0)</f>
        <v>0</v>
      </c>
      <c r="L860" s="31">
        <f>IF(COUNTIFS(Addendum!C:C,A860,Addendum!D:D,IF(ISNUMBER(B860),TEXT(B860,"0000"),B860),Addendum!I:I,"X")&gt;0,10%,0)</f>
        <v>0</v>
      </c>
      <c r="M860" s="34">
        <f t="shared" si="26"/>
        <v>0</v>
      </c>
      <c r="N860" s="17">
        <f t="shared" si="27"/>
        <v>100648.8</v>
      </c>
    </row>
    <row r="861" spans="1:14" x14ac:dyDescent="0.25">
      <c r="A861" s="14" t="s">
        <v>2055</v>
      </c>
      <c r="B861" s="14">
        <v>16</v>
      </c>
      <c r="C861" s="15" t="s">
        <v>2065</v>
      </c>
      <c r="D861" s="14" t="s">
        <v>1752</v>
      </c>
      <c r="E861" s="14" t="s">
        <v>1753</v>
      </c>
      <c r="F861" s="17" t="s">
        <v>2995</v>
      </c>
      <c r="G861" s="14">
        <v>748800</v>
      </c>
      <c r="H861" s="14">
        <v>673920</v>
      </c>
      <c r="I861" s="31">
        <f>IF(COUNTIFS(Addendum!C:C,A861,Addendum!D:D,IF(ISNUMBER(B861),TEXT(B861,"0000"),B861),Addendum!E:E,"X")&gt;0,4%,0)</f>
        <v>0</v>
      </c>
      <c r="J861" s="31">
        <f>IF(COUNTIFS(Addendum!C:C,A861,Addendum!D:D,IF(ISNUMBER(B861),TEXT(B861,"0000"),B861),Addendum!F:F,"X")&gt;0,2.5%,0)</f>
        <v>0</v>
      </c>
      <c r="K861" s="31">
        <f>IF(COUNTIFS(Addendum!C:C,A861,Addendum!D:D,IF(ISNUMBER(B861),TEXT(B861,"0000"),B861),Addendum!G:G,"X")&gt;0,7%,0)</f>
        <v>0</v>
      </c>
      <c r="L861" s="31">
        <f>IF(COUNTIFS(Addendum!C:C,A861,Addendum!D:D,IF(ISNUMBER(B861),TEXT(B861,"0000"),B861),Addendum!I:I,"X")&gt;0,10%,0)</f>
        <v>0</v>
      </c>
      <c r="M861" s="34">
        <f t="shared" si="26"/>
        <v>0</v>
      </c>
      <c r="N861" s="17">
        <f t="shared" si="27"/>
        <v>673920</v>
      </c>
    </row>
    <row r="862" spans="1:14" x14ac:dyDescent="0.25">
      <c r="A862" s="14" t="s">
        <v>2055</v>
      </c>
      <c r="B862" s="14" t="s">
        <v>36</v>
      </c>
      <c r="C862" s="15" t="s">
        <v>2079</v>
      </c>
      <c r="D862" s="14" t="s">
        <v>1752</v>
      </c>
      <c r="E862" s="14" t="s">
        <v>1746</v>
      </c>
      <c r="F862" s="17" t="s">
        <v>2995</v>
      </c>
      <c r="G862" s="14">
        <v>1336608</v>
      </c>
      <c r="H862" s="14">
        <v>1202947</v>
      </c>
      <c r="I862" s="31">
        <f>IF(COUNTIFS(Addendum!C:C,A862,Addendum!D:D,IF(ISNUMBER(B862),TEXT(B862,"0000"),B862),Addendum!E:E,"X")&gt;0,4%,0)</f>
        <v>0</v>
      </c>
      <c r="J862" s="31">
        <f>IF(COUNTIFS(Addendum!C:C,A862,Addendum!D:D,IF(ISNUMBER(B862),TEXT(B862,"0000"),B862),Addendum!F:F,"X")&gt;0,2.5%,0)</f>
        <v>0</v>
      </c>
      <c r="K862" s="31">
        <f>IF(COUNTIFS(Addendum!C:C,A862,Addendum!D:D,IF(ISNUMBER(B862),TEXT(B862,"0000"),B862),Addendum!G:G,"X")&gt;0,7%,0)</f>
        <v>0</v>
      </c>
      <c r="L862" s="31">
        <f>IF(COUNTIFS(Addendum!C:C,A862,Addendum!D:D,IF(ISNUMBER(B862),TEXT(B862,"0000"),B862),Addendum!I:I,"X")&gt;0,10%,0)</f>
        <v>0</v>
      </c>
      <c r="M862" s="34">
        <f t="shared" si="26"/>
        <v>0</v>
      </c>
      <c r="N862" s="17">
        <f t="shared" si="27"/>
        <v>1202947</v>
      </c>
    </row>
    <row r="863" spans="1:14" x14ac:dyDescent="0.25">
      <c r="A863" s="14" t="s">
        <v>2055</v>
      </c>
      <c r="B863" s="14" t="s">
        <v>243</v>
      </c>
      <c r="C863" s="15" t="s">
        <v>2080</v>
      </c>
      <c r="D863" s="14" t="s">
        <v>1749</v>
      </c>
      <c r="E863" s="14" t="s">
        <v>1746</v>
      </c>
      <c r="F863" s="17" t="s">
        <v>2995</v>
      </c>
      <c r="G863" s="14">
        <v>6240</v>
      </c>
      <c r="H863" s="14">
        <v>5616</v>
      </c>
      <c r="I863" s="31">
        <f>IF(COUNTIFS(Addendum!C:C,A863,Addendum!D:D,IF(ISNUMBER(B863),TEXT(B863,"0000"),B863),Addendum!E:E,"X")&gt;0,4%,0)</f>
        <v>0</v>
      </c>
      <c r="J863" s="31">
        <f>IF(COUNTIFS(Addendum!C:C,A863,Addendum!D:D,IF(ISNUMBER(B863),TEXT(B863,"0000"),B863),Addendum!F:F,"X")&gt;0,2.5%,0)</f>
        <v>0</v>
      </c>
      <c r="K863" s="31">
        <f>IF(COUNTIFS(Addendum!C:C,A863,Addendum!D:D,IF(ISNUMBER(B863),TEXT(B863,"0000"),B863),Addendum!G:G,"X")&gt;0,7%,0)</f>
        <v>0</v>
      </c>
      <c r="L863" s="31">
        <f>IF(COUNTIFS(Addendum!C:C,A863,Addendum!D:D,IF(ISNUMBER(B863),TEXT(B863,"0000"),B863),Addendum!I:I,"X")&gt;0,10%,0)</f>
        <v>0</v>
      </c>
      <c r="M863" s="34">
        <f t="shared" si="26"/>
        <v>0</v>
      </c>
      <c r="N863" s="17">
        <f t="shared" si="27"/>
        <v>5616</v>
      </c>
    </row>
    <row r="864" spans="1:14" x14ac:dyDescent="0.25">
      <c r="A864" s="14" t="s">
        <v>2055</v>
      </c>
      <c r="B864" s="14" t="s">
        <v>46</v>
      </c>
      <c r="C864" s="15" t="s">
        <v>2081</v>
      </c>
      <c r="D864" s="14" t="s">
        <v>1745</v>
      </c>
      <c r="E864" s="14" t="s">
        <v>1747</v>
      </c>
      <c r="F864" s="17" t="s">
        <v>2994</v>
      </c>
      <c r="G864" s="14">
        <v>678840</v>
      </c>
      <c r="H864" s="14">
        <v>509130</v>
      </c>
      <c r="I864" s="31">
        <f>IF(COUNTIFS(Addendum!C:C,A864,Addendum!D:D,IF(ISNUMBER(B864),TEXT(B864,"0000"),B864),Addendum!E:E,"X")&gt;0,4%,0)</f>
        <v>0</v>
      </c>
      <c r="J864" s="31">
        <f>IF(COUNTIFS(Addendum!C:C,A864,Addendum!D:D,IF(ISNUMBER(B864),TEXT(B864,"0000"),B864),Addendum!F:F,"X")&gt;0,2.5%,0)</f>
        <v>0</v>
      </c>
      <c r="K864" s="31">
        <f>IF(COUNTIFS(Addendum!C:C,A864,Addendum!D:D,IF(ISNUMBER(B864),TEXT(B864,"0000"),B864),Addendum!G:G,"X")&gt;0,7%,0)</f>
        <v>0</v>
      </c>
      <c r="L864" s="31">
        <f>IF(COUNTIFS(Addendum!C:C,A864,Addendum!D:D,IF(ISNUMBER(B864),TEXT(B864,"0000"),B864),Addendum!I:I,"X")&gt;0,10%,0)</f>
        <v>0</v>
      </c>
      <c r="M864" s="34">
        <f t="shared" si="26"/>
        <v>0</v>
      </c>
      <c r="N864" s="17">
        <f t="shared" si="27"/>
        <v>509130</v>
      </c>
    </row>
    <row r="865" spans="1:14" x14ac:dyDescent="0.25">
      <c r="A865" s="14" t="s">
        <v>2055</v>
      </c>
      <c r="B865" s="14">
        <v>4</v>
      </c>
      <c r="C865" s="15" t="s">
        <v>2056</v>
      </c>
      <c r="D865" s="14" t="s">
        <v>1752</v>
      </c>
      <c r="E865" s="14" t="s">
        <v>1753</v>
      </c>
      <c r="F865" s="17" t="s">
        <v>2993</v>
      </c>
      <c r="G865" s="14">
        <v>898560</v>
      </c>
      <c r="H865" s="14">
        <v>718848</v>
      </c>
      <c r="I865" s="31">
        <f>IF(COUNTIFS(Addendum!C:C,A865,Addendum!D:D,IF(ISNUMBER(B865),TEXT(B865,"0000"),B865),Addendum!E:E,"X")&gt;0,4%,0)</f>
        <v>0</v>
      </c>
      <c r="J865" s="31">
        <f>IF(COUNTIFS(Addendum!C:C,A865,Addendum!D:D,IF(ISNUMBER(B865),TEXT(B865,"0000"),B865),Addendum!F:F,"X")&gt;0,2.5%,0)</f>
        <v>0</v>
      </c>
      <c r="K865" s="31">
        <f>IF(COUNTIFS(Addendum!C:C,A865,Addendum!D:D,IF(ISNUMBER(B865),TEXT(B865,"0000"),B865),Addendum!G:G,"X")&gt;0,7%,0)</f>
        <v>0</v>
      </c>
      <c r="L865" s="31">
        <f>IF(COUNTIFS(Addendum!C:C,A865,Addendum!D:D,IF(ISNUMBER(B865),TEXT(B865,"0000"),B865),Addendum!I:I,"X")&gt;0,10%,0)</f>
        <v>0</v>
      </c>
      <c r="M865" s="34">
        <f t="shared" si="26"/>
        <v>0</v>
      </c>
      <c r="N865" s="17">
        <f t="shared" si="27"/>
        <v>718848</v>
      </c>
    </row>
    <row r="866" spans="1:14" x14ac:dyDescent="0.25">
      <c r="A866" s="14" t="s">
        <v>2055</v>
      </c>
      <c r="B866" s="14" t="s">
        <v>263</v>
      </c>
      <c r="C866" s="15" t="s">
        <v>2082</v>
      </c>
      <c r="D866" s="14" t="s">
        <v>1752</v>
      </c>
      <c r="E866" s="14" t="s">
        <v>1753</v>
      </c>
      <c r="F866" s="17" t="s">
        <v>2994</v>
      </c>
      <c r="G866" s="14">
        <v>0</v>
      </c>
      <c r="H866" s="14">
        <v>0</v>
      </c>
      <c r="I866" s="31">
        <f>IF(COUNTIFS(Addendum!C:C,A866,Addendum!D:D,IF(ISNUMBER(B866),TEXT(B866,"0000"),B866),Addendum!E:E,"X")&gt;0,4%,0)</f>
        <v>0</v>
      </c>
      <c r="J866" s="31">
        <f>IF(COUNTIFS(Addendum!C:C,A866,Addendum!D:D,IF(ISNUMBER(B866),TEXT(B866,"0000"),B866),Addendum!F:F,"X")&gt;0,2.5%,0)</f>
        <v>0</v>
      </c>
      <c r="K866" s="31">
        <f>IF(COUNTIFS(Addendum!C:C,A866,Addendum!D:D,IF(ISNUMBER(B866),TEXT(B866,"0000"),B866),Addendum!G:G,"X")&gt;0,7%,0)</f>
        <v>0</v>
      </c>
      <c r="L866" s="31">
        <f>IF(COUNTIFS(Addendum!C:C,A866,Addendum!D:D,IF(ISNUMBER(B866),TEXT(B866,"0000"),B866),Addendum!I:I,"X")&gt;0,10%,0)</f>
        <v>0</v>
      </c>
      <c r="M866" s="34">
        <f t="shared" si="26"/>
        <v>0</v>
      </c>
      <c r="N866" s="17">
        <f t="shared" si="27"/>
        <v>0</v>
      </c>
    </row>
    <row r="867" spans="1:14" x14ac:dyDescent="0.25">
      <c r="A867" s="14" t="s">
        <v>2055</v>
      </c>
      <c r="B867" s="14">
        <v>15</v>
      </c>
      <c r="C867" s="15" t="s">
        <v>2072</v>
      </c>
      <c r="D867" s="14" t="s">
        <v>1749</v>
      </c>
      <c r="E867" s="14" t="s">
        <v>1746</v>
      </c>
      <c r="F867" s="17" t="s">
        <v>2994</v>
      </c>
      <c r="G867" s="14">
        <v>39936</v>
      </c>
      <c r="H867" s="14">
        <v>29952</v>
      </c>
      <c r="I867" s="31">
        <f>IF(COUNTIFS(Addendum!C:C,A867,Addendum!D:D,IF(ISNUMBER(B867),TEXT(B867,"0000"),B867),Addendum!E:E,"X")&gt;0,4%,0)</f>
        <v>0</v>
      </c>
      <c r="J867" s="31">
        <f>IF(COUNTIFS(Addendum!C:C,A867,Addendum!D:D,IF(ISNUMBER(B867),TEXT(B867,"0000"),B867),Addendum!F:F,"X")&gt;0,2.5%,0)</f>
        <v>0</v>
      </c>
      <c r="K867" s="31">
        <f>IF(COUNTIFS(Addendum!C:C,A867,Addendum!D:D,IF(ISNUMBER(B867),TEXT(B867,"0000"),B867),Addendum!G:G,"X")&gt;0,7%,0)</f>
        <v>0</v>
      </c>
      <c r="L867" s="31">
        <f>IF(COUNTIFS(Addendum!C:C,A867,Addendum!D:D,IF(ISNUMBER(B867),TEXT(B867,"0000"),B867),Addendum!I:I,"X")&gt;0,10%,0)</f>
        <v>0</v>
      </c>
      <c r="M867" s="34">
        <f t="shared" si="26"/>
        <v>0</v>
      </c>
      <c r="N867" s="17">
        <f t="shared" si="27"/>
        <v>29952</v>
      </c>
    </row>
    <row r="868" spans="1:14" x14ac:dyDescent="0.25">
      <c r="A868" s="14" t="s">
        <v>2055</v>
      </c>
      <c r="B868" s="14">
        <v>14</v>
      </c>
      <c r="C868" s="15" t="s">
        <v>2074</v>
      </c>
      <c r="D868" s="14" t="s">
        <v>1752</v>
      </c>
      <c r="E868" s="14" t="s">
        <v>1746</v>
      </c>
      <c r="F868" s="17" t="s">
        <v>2995</v>
      </c>
      <c r="G868" s="14">
        <v>1179360</v>
      </c>
      <c r="H868" s="14">
        <v>1061424</v>
      </c>
      <c r="I868" s="31">
        <f>IF(COUNTIFS(Addendum!C:C,A868,Addendum!D:D,IF(ISNUMBER(B868),TEXT(B868,"0000"),B868),Addendum!E:E,"X")&gt;0,4%,0)</f>
        <v>0</v>
      </c>
      <c r="J868" s="31">
        <f>IF(COUNTIFS(Addendum!C:C,A868,Addendum!D:D,IF(ISNUMBER(B868),TEXT(B868,"0000"),B868),Addendum!F:F,"X")&gt;0,2.5%,0)</f>
        <v>0</v>
      </c>
      <c r="K868" s="31">
        <f>IF(COUNTIFS(Addendum!C:C,A868,Addendum!D:D,IF(ISNUMBER(B868),TEXT(B868,"0000"),B868),Addendum!G:G,"X")&gt;0,7%,0)</f>
        <v>0</v>
      </c>
      <c r="L868" s="31">
        <f>IF(COUNTIFS(Addendum!C:C,A868,Addendum!D:D,IF(ISNUMBER(B868),TEXT(B868,"0000"),B868),Addendum!I:I,"X")&gt;0,10%,0)</f>
        <v>0</v>
      </c>
      <c r="M868" s="34">
        <f t="shared" si="26"/>
        <v>0</v>
      </c>
      <c r="N868" s="17">
        <f t="shared" si="27"/>
        <v>1061424</v>
      </c>
    </row>
    <row r="869" spans="1:14" x14ac:dyDescent="0.25">
      <c r="A869" s="14" t="s">
        <v>2055</v>
      </c>
      <c r="B869" s="14" t="s">
        <v>173</v>
      </c>
      <c r="C869" s="15" t="s">
        <v>2071</v>
      </c>
      <c r="D869" s="14" t="s">
        <v>1752</v>
      </c>
      <c r="E869" s="14" t="s">
        <v>1747</v>
      </c>
      <c r="F869" s="17" t="s">
        <v>2995</v>
      </c>
      <c r="G869" s="14">
        <v>748800</v>
      </c>
      <c r="H869" s="14">
        <v>673920</v>
      </c>
      <c r="I869" s="31">
        <f>IF(COUNTIFS(Addendum!C:C,A869,Addendum!D:D,IF(ISNUMBER(B869),TEXT(B869,"0000"),B869),Addendum!E:E,"X")&gt;0,4%,0)</f>
        <v>0</v>
      </c>
      <c r="J869" s="31">
        <f>IF(COUNTIFS(Addendum!C:C,A869,Addendum!D:D,IF(ISNUMBER(B869),TEXT(B869,"0000"),B869),Addendum!F:F,"X")&gt;0,2.5%,0)</f>
        <v>0</v>
      </c>
      <c r="K869" s="31">
        <f>IF(COUNTIFS(Addendum!C:C,A869,Addendum!D:D,IF(ISNUMBER(B869),TEXT(B869,"0000"),B869),Addendum!G:G,"X")&gt;0,7%,0)</f>
        <v>0</v>
      </c>
      <c r="L869" s="31">
        <f>IF(COUNTIFS(Addendum!C:C,A869,Addendum!D:D,IF(ISNUMBER(B869),TEXT(B869,"0000"),B869),Addendum!I:I,"X")&gt;0,10%,0)</f>
        <v>0</v>
      </c>
      <c r="M869" s="34">
        <f t="shared" si="26"/>
        <v>0</v>
      </c>
      <c r="N869" s="17">
        <f t="shared" si="27"/>
        <v>673920</v>
      </c>
    </row>
    <row r="870" spans="1:14" x14ac:dyDescent="0.25">
      <c r="A870" s="14" t="s">
        <v>2055</v>
      </c>
      <c r="B870" s="14" t="s">
        <v>73</v>
      </c>
      <c r="C870" s="15" t="s">
        <v>2058</v>
      </c>
      <c r="D870" s="14" t="s">
        <v>1745</v>
      </c>
      <c r="E870" s="14" t="s">
        <v>1746</v>
      </c>
      <c r="F870" s="17" t="s">
        <v>2993</v>
      </c>
      <c r="G870" s="14">
        <v>1048257</v>
      </c>
      <c r="H870" s="14">
        <v>786192.7</v>
      </c>
      <c r="I870" s="31">
        <f>IF(COUNTIFS(Addendum!C:C,A870,Addendum!D:D,IF(ISNUMBER(B870),TEXT(B870,"0000"),B870),Addendum!E:E,"X")&gt;0,4%,0)</f>
        <v>0</v>
      </c>
      <c r="J870" s="31">
        <f>IF(COUNTIFS(Addendum!C:C,A870,Addendum!D:D,IF(ISNUMBER(B870),TEXT(B870,"0000"),B870),Addendum!F:F,"X")&gt;0,2.5%,0)</f>
        <v>0</v>
      </c>
      <c r="K870" s="31">
        <f>IF(COUNTIFS(Addendum!C:C,A870,Addendum!D:D,IF(ISNUMBER(B870),TEXT(B870,"0000"),B870),Addendum!G:G,"X")&gt;0,7%,0)</f>
        <v>0</v>
      </c>
      <c r="L870" s="31">
        <f>IF(COUNTIFS(Addendum!C:C,A870,Addendum!D:D,IF(ISNUMBER(B870),TEXT(B870,"0000"),B870),Addendum!I:I,"X")&gt;0,10%,0)</f>
        <v>0</v>
      </c>
      <c r="M870" s="34">
        <f t="shared" si="26"/>
        <v>0</v>
      </c>
      <c r="N870" s="17">
        <f t="shared" si="27"/>
        <v>786192.7</v>
      </c>
    </row>
    <row r="871" spans="1:14" x14ac:dyDescent="0.25">
      <c r="A871" s="14" t="s">
        <v>2055</v>
      </c>
      <c r="B871" s="14" t="s">
        <v>583</v>
      </c>
      <c r="C871" s="15" t="s">
        <v>2057</v>
      </c>
      <c r="D871" s="14" t="s">
        <v>1745</v>
      </c>
      <c r="E871" s="14" t="s">
        <v>1747</v>
      </c>
      <c r="F871" s="17" t="s">
        <v>2994</v>
      </c>
      <c r="G871" s="14">
        <v>0</v>
      </c>
      <c r="H871" s="14">
        <v>0</v>
      </c>
      <c r="I871" s="31">
        <f>IF(COUNTIFS(Addendum!C:C,A871,Addendum!D:D,IF(ISNUMBER(B871),TEXT(B871,"0000"),B871),Addendum!E:E,"X")&gt;0,4%,0)</f>
        <v>0</v>
      </c>
      <c r="J871" s="31">
        <f>IF(COUNTIFS(Addendum!C:C,A871,Addendum!D:D,IF(ISNUMBER(B871),TEXT(B871,"0000"),B871),Addendum!F:F,"X")&gt;0,2.5%,0)</f>
        <v>0</v>
      </c>
      <c r="K871" s="31">
        <f>IF(COUNTIFS(Addendum!C:C,A871,Addendum!D:D,IF(ISNUMBER(B871),TEXT(B871,"0000"),B871),Addendum!G:G,"X")&gt;0,7%,0)</f>
        <v>0</v>
      </c>
      <c r="L871" s="31">
        <f>IF(COUNTIFS(Addendum!C:C,A871,Addendum!D:D,IF(ISNUMBER(B871),TEXT(B871,"0000"),B871),Addendum!I:I,"X")&gt;0,10%,0)</f>
        <v>0</v>
      </c>
      <c r="M871" s="34">
        <f t="shared" si="26"/>
        <v>0</v>
      </c>
      <c r="N871" s="17">
        <f t="shared" si="27"/>
        <v>0</v>
      </c>
    </row>
    <row r="872" spans="1:14" x14ac:dyDescent="0.25">
      <c r="A872" s="14" t="s">
        <v>2055</v>
      </c>
      <c r="B872" s="14">
        <v>4</v>
      </c>
      <c r="C872" s="15" t="s">
        <v>2056</v>
      </c>
      <c r="D872" s="14" t="s">
        <v>1752</v>
      </c>
      <c r="E872" s="14" t="s">
        <v>1746</v>
      </c>
      <c r="F872" s="17" t="s">
        <v>2993</v>
      </c>
      <c r="G872" s="14">
        <v>943488</v>
      </c>
      <c r="H872" s="14">
        <v>754790.40000000002</v>
      </c>
      <c r="I872" s="31">
        <f>IF(COUNTIFS(Addendum!C:C,A872,Addendum!D:D,IF(ISNUMBER(B872),TEXT(B872,"0000"),B872),Addendum!E:E,"X")&gt;0,4%,0)</f>
        <v>0</v>
      </c>
      <c r="J872" s="31">
        <f>IF(COUNTIFS(Addendum!C:C,A872,Addendum!D:D,IF(ISNUMBER(B872),TEXT(B872,"0000"),B872),Addendum!F:F,"X")&gt;0,2.5%,0)</f>
        <v>0</v>
      </c>
      <c r="K872" s="31">
        <f>IF(COUNTIFS(Addendum!C:C,A872,Addendum!D:D,IF(ISNUMBER(B872),TEXT(B872,"0000"),B872),Addendum!G:G,"X")&gt;0,7%,0)</f>
        <v>0</v>
      </c>
      <c r="L872" s="31">
        <f>IF(COUNTIFS(Addendum!C:C,A872,Addendum!D:D,IF(ISNUMBER(B872),TEXT(B872,"0000"),B872),Addendum!I:I,"X")&gt;0,10%,0)</f>
        <v>0</v>
      </c>
      <c r="M872" s="34">
        <f t="shared" si="26"/>
        <v>0</v>
      </c>
      <c r="N872" s="17">
        <f t="shared" si="27"/>
        <v>754790.40000000002</v>
      </c>
    </row>
    <row r="873" spans="1:14" x14ac:dyDescent="0.25">
      <c r="A873" s="14" t="s">
        <v>2055</v>
      </c>
      <c r="B873" s="14" t="s">
        <v>36</v>
      </c>
      <c r="C873" s="15" t="s">
        <v>2079</v>
      </c>
      <c r="D873" s="14" t="s">
        <v>1752</v>
      </c>
      <c r="E873" s="14" t="s">
        <v>1753</v>
      </c>
      <c r="F873" s="17" t="s">
        <v>2995</v>
      </c>
      <c r="G873" s="14">
        <v>1272960</v>
      </c>
      <c r="H873" s="14">
        <v>1145664</v>
      </c>
      <c r="I873" s="31">
        <f>IF(COUNTIFS(Addendum!C:C,A873,Addendum!D:D,IF(ISNUMBER(B873),TEXT(B873,"0000"),B873),Addendum!E:E,"X")&gt;0,4%,0)</f>
        <v>0</v>
      </c>
      <c r="J873" s="31">
        <f>IF(COUNTIFS(Addendum!C:C,A873,Addendum!D:D,IF(ISNUMBER(B873),TEXT(B873,"0000"),B873),Addendum!F:F,"X")&gt;0,2.5%,0)</f>
        <v>0</v>
      </c>
      <c r="K873" s="31">
        <f>IF(COUNTIFS(Addendum!C:C,A873,Addendum!D:D,IF(ISNUMBER(B873),TEXT(B873,"0000"),B873),Addendum!G:G,"X")&gt;0,7%,0)</f>
        <v>0</v>
      </c>
      <c r="L873" s="31">
        <f>IF(COUNTIFS(Addendum!C:C,A873,Addendum!D:D,IF(ISNUMBER(B873),TEXT(B873,"0000"),B873),Addendum!I:I,"X")&gt;0,10%,0)</f>
        <v>0</v>
      </c>
      <c r="M873" s="34">
        <f t="shared" si="26"/>
        <v>0</v>
      </c>
      <c r="N873" s="17">
        <f t="shared" si="27"/>
        <v>1145664</v>
      </c>
    </row>
    <row r="874" spans="1:14" x14ac:dyDescent="0.25">
      <c r="A874" s="14" t="s">
        <v>2055</v>
      </c>
      <c r="B874" s="14" t="s">
        <v>325</v>
      </c>
      <c r="C874" s="15" t="s">
        <v>2070</v>
      </c>
      <c r="D874" s="14" t="s">
        <v>1745</v>
      </c>
      <c r="E874" s="14" t="s">
        <v>1747</v>
      </c>
      <c r="F874" s="17" t="s">
        <v>2994</v>
      </c>
      <c r="G874" s="14">
        <v>399360</v>
      </c>
      <c r="H874" s="14">
        <v>299520</v>
      </c>
      <c r="I874" s="31">
        <f>IF(COUNTIFS(Addendum!C:C,A874,Addendum!D:D,IF(ISNUMBER(B874),TEXT(B874,"0000"),B874),Addendum!E:E,"X")&gt;0,4%,0)</f>
        <v>0</v>
      </c>
      <c r="J874" s="31">
        <f>IF(COUNTIFS(Addendum!C:C,A874,Addendum!D:D,IF(ISNUMBER(B874),TEXT(B874,"0000"),B874),Addendum!F:F,"X")&gt;0,2.5%,0)</f>
        <v>0</v>
      </c>
      <c r="K874" s="31">
        <f>IF(COUNTIFS(Addendum!C:C,A874,Addendum!D:D,IF(ISNUMBER(B874),TEXT(B874,"0000"),B874),Addendum!G:G,"X")&gt;0,7%,0)</f>
        <v>0</v>
      </c>
      <c r="L874" s="31">
        <f>IF(COUNTIFS(Addendum!C:C,A874,Addendum!D:D,IF(ISNUMBER(B874),TEXT(B874,"0000"),B874),Addendum!I:I,"X")&gt;0,10%,0)</f>
        <v>0</v>
      </c>
      <c r="M874" s="34">
        <f t="shared" si="26"/>
        <v>0</v>
      </c>
      <c r="N874" s="17">
        <f t="shared" si="27"/>
        <v>299520</v>
      </c>
    </row>
    <row r="875" spans="1:14" x14ac:dyDescent="0.25">
      <c r="A875" s="14" t="s">
        <v>2055</v>
      </c>
      <c r="B875" s="14">
        <v>1</v>
      </c>
      <c r="C875" s="15" t="s">
        <v>2067</v>
      </c>
      <c r="D875" s="14" t="s">
        <v>1752</v>
      </c>
      <c r="E875" s="14" t="s">
        <v>1747</v>
      </c>
      <c r="F875" s="17" t="s">
        <v>2993</v>
      </c>
      <c r="G875" s="14">
        <v>0</v>
      </c>
      <c r="H875" s="14">
        <v>0</v>
      </c>
      <c r="I875" s="31">
        <f>IF(COUNTIFS(Addendum!C:C,A875,Addendum!D:D,IF(ISNUMBER(B875),TEXT(B875,"0000"),B875),Addendum!E:E,"X")&gt;0,4%,0)</f>
        <v>0</v>
      </c>
      <c r="J875" s="31">
        <f>IF(COUNTIFS(Addendum!C:C,A875,Addendum!D:D,IF(ISNUMBER(B875),TEXT(B875,"0000"),B875),Addendum!F:F,"X")&gt;0,2.5%,0)</f>
        <v>0</v>
      </c>
      <c r="K875" s="31">
        <f>IF(COUNTIFS(Addendum!C:C,A875,Addendum!D:D,IF(ISNUMBER(B875),TEXT(B875,"0000"),B875),Addendum!G:G,"X")&gt;0,7%,0)</f>
        <v>0</v>
      </c>
      <c r="L875" s="31">
        <f>IF(COUNTIFS(Addendum!C:C,A875,Addendum!D:D,IF(ISNUMBER(B875),TEXT(B875,"0000"),B875),Addendum!I:I,"X")&gt;0,10%,0)</f>
        <v>0</v>
      </c>
      <c r="M875" s="34">
        <f t="shared" si="26"/>
        <v>0</v>
      </c>
      <c r="N875" s="17">
        <f t="shared" si="27"/>
        <v>0</v>
      </c>
    </row>
    <row r="876" spans="1:14" x14ac:dyDescent="0.25">
      <c r="A876" s="14" t="s">
        <v>2055</v>
      </c>
      <c r="B876" s="14" t="s">
        <v>97</v>
      </c>
      <c r="C876" s="15" t="s">
        <v>2073</v>
      </c>
      <c r="D876" s="14" t="s">
        <v>1745</v>
      </c>
      <c r="E876" s="14" t="s">
        <v>1746</v>
      </c>
      <c r="F876" s="17" t="s">
        <v>2995</v>
      </c>
      <c r="G876" s="14">
        <v>524097</v>
      </c>
      <c r="H876" s="14">
        <v>471687.4</v>
      </c>
      <c r="I876" s="31">
        <f>IF(COUNTIFS(Addendum!C:C,A876,Addendum!D:D,IF(ISNUMBER(B876),TEXT(B876,"0000"),B876),Addendum!E:E,"X")&gt;0,4%,0)</f>
        <v>0</v>
      </c>
      <c r="J876" s="31">
        <f>IF(COUNTIFS(Addendum!C:C,A876,Addendum!D:D,IF(ISNUMBER(B876),TEXT(B876,"0000"),B876),Addendum!F:F,"X")&gt;0,2.5%,0)</f>
        <v>0</v>
      </c>
      <c r="K876" s="31">
        <f>IF(COUNTIFS(Addendum!C:C,A876,Addendum!D:D,IF(ISNUMBER(B876),TEXT(B876,"0000"),B876),Addendum!G:G,"X")&gt;0,7%,0)</f>
        <v>0</v>
      </c>
      <c r="L876" s="31">
        <f>IF(COUNTIFS(Addendum!C:C,A876,Addendum!D:D,IF(ISNUMBER(B876),TEXT(B876,"0000"),B876),Addendum!I:I,"X")&gt;0,10%,0)</f>
        <v>0</v>
      </c>
      <c r="M876" s="34">
        <f t="shared" si="26"/>
        <v>0</v>
      </c>
      <c r="N876" s="17">
        <f t="shared" si="27"/>
        <v>471687.4</v>
      </c>
    </row>
    <row r="877" spans="1:14" x14ac:dyDescent="0.25">
      <c r="A877" s="14" t="s">
        <v>2055</v>
      </c>
      <c r="B877" s="14">
        <v>4</v>
      </c>
      <c r="C877" s="15" t="s">
        <v>2056</v>
      </c>
      <c r="D877" s="14" t="s">
        <v>1745</v>
      </c>
      <c r="E877" s="14" t="s">
        <v>1747</v>
      </c>
      <c r="F877" s="17" t="s">
        <v>2993</v>
      </c>
      <c r="G877" s="14">
        <v>299520</v>
      </c>
      <c r="H877" s="14">
        <v>239616</v>
      </c>
      <c r="I877" s="31">
        <f>IF(COUNTIFS(Addendum!C:C,A877,Addendum!D:D,IF(ISNUMBER(B877),TEXT(B877,"0000"),B877),Addendum!E:E,"X")&gt;0,4%,0)</f>
        <v>0</v>
      </c>
      <c r="J877" s="31">
        <f>IF(COUNTIFS(Addendum!C:C,A877,Addendum!D:D,IF(ISNUMBER(B877),TEXT(B877,"0000"),B877),Addendum!F:F,"X")&gt;0,2.5%,0)</f>
        <v>0</v>
      </c>
      <c r="K877" s="31">
        <f>IF(COUNTIFS(Addendum!C:C,A877,Addendum!D:D,IF(ISNUMBER(B877),TEXT(B877,"0000"),B877),Addendum!G:G,"X")&gt;0,7%,0)</f>
        <v>0</v>
      </c>
      <c r="L877" s="31">
        <f>IF(COUNTIFS(Addendum!C:C,A877,Addendum!D:D,IF(ISNUMBER(B877),TEXT(B877,"0000"),B877),Addendum!I:I,"X")&gt;0,10%,0)</f>
        <v>0</v>
      </c>
      <c r="M877" s="34">
        <f t="shared" si="26"/>
        <v>0</v>
      </c>
      <c r="N877" s="17">
        <f t="shared" si="27"/>
        <v>239616</v>
      </c>
    </row>
    <row r="878" spans="1:14" x14ac:dyDescent="0.25">
      <c r="A878" s="14" t="s">
        <v>2055</v>
      </c>
      <c r="B878" s="14" t="s">
        <v>297</v>
      </c>
      <c r="C878" s="15" t="s">
        <v>2083</v>
      </c>
      <c r="D878" s="14" t="s">
        <v>1745</v>
      </c>
      <c r="E878" s="14" t="s">
        <v>1746</v>
      </c>
      <c r="F878" s="17" t="s">
        <v>2994</v>
      </c>
      <c r="G878" s="14">
        <v>838593</v>
      </c>
      <c r="H878" s="14">
        <v>628944.69999999995</v>
      </c>
      <c r="I878" s="31">
        <f>IF(COUNTIFS(Addendum!C:C,A878,Addendum!D:D,IF(ISNUMBER(B878),TEXT(B878,"0000"),B878),Addendum!E:E,"X")&gt;0,4%,0)</f>
        <v>0</v>
      </c>
      <c r="J878" s="31">
        <f>IF(COUNTIFS(Addendum!C:C,A878,Addendum!D:D,IF(ISNUMBER(B878),TEXT(B878,"0000"),B878),Addendum!F:F,"X")&gt;0,2.5%,0)</f>
        <v>0</v>
      </c>
      <c r="K878" s="31">
        <f>IF(COUNTIFS(Addendum!C:C,A878,Addendum!D:D,IF(ISNUMBER(B878),TEXT(B878,"0000"),B878),Addendum!G:G,"X")&gt;0,7%,0)</f>
        <v>0</v>
      </c>
      <c r="L878" s="31">
        <f>IF(COUNTIFS(Addendum!C:C,A878,Addendum!D:D,IF(ISNUMBER(B878),TEXT(B878,"0000"),B878),Addendum!I:I,"X")&gt;0,10%,0)</f>
        <v>0</v>
      </c>
      <c r="M878" s="34">
        <f t="shared" si="26"/>
        <v>0</v>
      </c>
      <c r="N878" s="17">
        <f t="shared" si="27"/>
        <v>628944.69999999995</v>
      </c>
    </row>
    <row r="879" spans="1:14" x14ac:dyDescent="0.25">
      <c r="A879" s="14" t="s">
        <v>2055</v>
      </c>
      <c r="B879" s="14">
        <v>12</v>
      </c>
      <c r="C879" s="15" t="s">
        <v>2084</v>
      </c>
      <c r="D879" s="14" t="s">
        <v>1745</v>
      </c>
      <c r="E879" s="14" t="s">
        <v>1746</v>
      </c>
      <c r="F879" s="17" t="s">
        <v>2994</v>
      </c>
      <c r="G879" s="14">
        <v>628929</v>
      </c>
      <c r="H879" s="14">
        <v>471696.7</v>
      </c>
      <c r="I879" s="31">
        <f>IF(COUNTIFS(Addendum!C:C,A879,Addendum!D:D,IF(ISNUMBER(B879),TEXT(B879,"0000"),B879),Addendum!E:E,"X")&gt;0,4%,0)</f>
        <v>0</v>
      </c>
      <c r="J879" s="31">
        <f>IF(COUNTIFS(Addendum!C:C,A879,Addendum!D:D,IF(ISNUMBER(B879),TEXT(B879,"0000"),B879),Addendum!F:F,"X")&gt;0,2.5%,0)</f>
        <v>0</v>
      </c>
      <c r="K879" s="31">
        <f>IF(COUNTIFS(Addendum!C:C,A879,Addendum!D:D,IF(ISNUMBER(B879),TEXT(B879,"0000"),B879),Addendum!G:G,"X")&gt;0,7%,0)</f>
        <v>0</v>
      </c>
      <c r="L879" s="31">
        <f>IF(COUNTIFS(Addendum!C:C,A879,Addendum!D:D,IF(ISNUMBER(B879),TEXT(B879,"0000"),B879),Addendum!I:I,"X")&gt;0,10%,0)</f>
        <v>0</v>
      </c>
      <c r="M879" s="34">
        <f t="shared" si="26"/>
        <v>0</v>
      </c>
      <c r="N879" s="17">
        <f t="shared" si="27"/>
        <v>471696.7</v>
      </c>
    </row>
    <row r="880" spans="1:14" ht="30" x14ac:dyDescent="0.25">
      <c r="A880" s="14" t="s">
        <v>2055</v>
      </c>
      <c r="B880" s="14" t="s">
        <v>195</v>
      </c>
      <c r="C880" s="15" t="s">
        <v>2066</v>
      </c>
      <c r="D880" s="14" t="s">
        <v>1745</v>
      </c>
      <c r="E880" s="14" t="s">
        <v>1747</v>
      </c>
      <c r="F880" s="17" t="s">
        <v>2994</v>
      </c>
      <c r="G880" s="14">
        <v>164700</v>
      </c>
      <c r="H880" s="14">
        <v>131760</v>
      </c>
      <c r="I880" s="31">
        <f>IF(COUNTIFS(Addendum!C:C,A880,Addendum!D:D,IF(ISNUMBER(B880),TEXT(B880,"0000"),B880),Addendum!E:E,"X")&gt;0,4%,0)</f>
        <v>0</v>
      </c>
      <c r="J880" s="31">
        <f>IF(COUNTIFS(Addendum!C:C,A880,Addendum!D:D,IF(ISNUMBER(B880),TEXT(B880,"0000"),B880),Addendum!F:F,"X")&gt;0,2.5%,0)</f>
        <v>0</v>
      </c>
      <c r="K880" s="31">
        <f>IF(COUNTIFS(Addendum!C:C,A880,Addendum!D:D,IF(ISNUMBER(B880),TEXT(B880,"0000"),B880),Addendum!G:G,"X")&gt;0,7%,0)</f>
        <v>0</v>
      </c>
      <c r="L880" s="31">
        <f>IF(COUNTIFS(Addendum!C:C,A880,Addendum!D:D,IF(ISNUMBER(B880),TEXT(B880,"0000"),B880),Addendum!I:I,"X")&gt;0,10%,0)</f>
        <v>0</v>
      </c>
      <c r="M880" s="34">
        <f t="shared" si="26"/>
        <v>0</v>
      </c>
      <c r="N880" s="17">
        <f t="shared" si="27"/>
        <v>131760</v>
      </c>
    </row>
    <row r="881" spans="1:14" x14ac:dyDescent="0.25">
      <c r="A881" s="14" t="s">
        <v>2055</v>
      </c>
      <c r="B881" s="14" t="s">
        <v>89</v>
      </c>
      <c r="C881" s="15" t="s">
        <v>2085</v>
      </c>
      <c r="D881" s="14" t="s">
        <v>1752</v>
      </c>
      <c r="E881" s="14" t="s">
        <v>1746</v>
      </c>
      <c r="F881" s="17" t="s">
        <v>2993</v>
      </c>
      <c r="G881" s="14">
        <v>3144771</v>
      </c>
      <c r="H881" s="14">
        <v>2358578</v>
      </c>
      <c r="I881" s="31">
        <f>IF(COUNTIFS(Addendum!C:C,A881,Addendum!D:D,IF(ISNUMBER(B881),TEXT(B881,"0000"),B881),Addendum!E:E,"X")&gt;0,4%,0)</f>
        <v>0</v>
      </c>
      <c r="J881" s="31">
        <f>IF(COUNTIFS(Addendum!C:C,A881,Addendum!D:D,IF(ISNUMBER(B881),TEXT(B881,"0000"),B881),Addendum!F:F,"X")&gt;0,2.5%,0)</f>
        <v>0</v>
      </c>
      <c r="K881" s="31">
        <f>IF(COUNTIFS(Addendum!C:C,A881,Addendum!D:D,IF(ISNUMBER(B881),TEXT(B881,"0000"),B881),Addendum!G:G,"X")&gt;0,7%,0)</f>
        <v>0</v>
      </c>
      <c r="L881" s="31">
        <f>IF(COUNTIFS(Addendum!C:C,A881,Addendum!D:D,IF(ISNUMBER(B881),TEXT(B881,"0000"),B881),Addendum!I:I,"X")&gt;0,10%,0)</f>
        <v>0</v>
      </c>
      <c r="M881" s="34">
        <f t="shared" si="26"/>
        <v>0</v>
      </c>
      <c r="N881" s="17">
        <f t="shared" si="27"/>
        <v>2358578</v>
      </c>
    </row>
    <row r="882" spans="1:14" x14ac:dyDescent="0.25">
      <c r="A882" s="14" t="s">
        <v>2055</v>
      </c>
      <c r="B882" s="14">
        <v>1</v>
      </c>
      <c r="C882" s="15" t="s">
        <v>2067</v>
      </c>
      <c r="D882" s="14" t="s">
        <v>1752</v>
      </c>
      <c r="E882" s="14" t="s">
        <v>1746</v>
      </c>
      <c r="F882" s="17" t="s">
        <v>2993</v>
      </c>
      <c r="G882" s="14">
        <v>0</v>
      </c>
      <c r="H882" s="14">
        <v>0</v>
      </c>
      <c r="I882" s="31">
        <f>IF(COUNTIFS(Addendum!C:C,A882,Addendum!D:D,IF(ISNUMBER(B882),TEXT(B882,"0000"),B882),Addendum!E:E,"X")&gt;0,4%,0)</f>
        <v>0</v>
      </c>
      <c r="J882" s="31">
        <f>IF(COUNTIFS(Addendum!C:C,A882,Addendum!D:D,IF(ISNUMBER(B882),TEXT(B882,"0000"),B882),Addendum!F:F,"X")&gt;0,2.5%,0)</f>
        <v>0</v>
      </c>
      <c r="K882" s="31">
        <f>IF(COUNTIFS(Addendum!C:C,A882,Addendum!D:D,IF(ISNUMBER(B882),TEXT(B882,"0000"),B882),Addendum!G:G,"X")&gt;0,7%,0)</f>
        <v>0</v>
      </c>
      <c r="L882" s="31">
        <f>IF(COUNTIFS(Addendum!C:C,A882,Addendum!D:D,IF(ISNUMBER(B882),TEXT(B882,"0000"),B882),Addendum!I:I,"X")&gt;0,10%,0)</f>
        <v>0</v>
      </c>
      <c r="M882" s="34">
        <f t="shared" si="26"/>
        <v>0</v>
      </c>
      <c r="N882" s="17">
        <f t="shared" si="27"/>
        <v>0</v>
      </c>
    </row>
    <row r="883" spans="1:14" x14ac:dyDescent="0.25">
      <c r="A883" s="14" t="s">
        <v>2055</v>
      </c>
      <c r="B883" s="14" t="s">
        <v>173</v>
      </c>
      <c r="C883" s="15" t="s">
        <v>2071</v>
      </c>
      <c r="D883" s="14" t="s">
        <v>1749</v>
      </c>
      <c r="E883" s="14" t="s">
        <v>1746</v>
      </c>
      <c r="F883" s="17" t="s">
        <v>2995</v>
      </c>
      <c r="G883" s="14">
        <v>24960</v>
      </c>
      <c r="H883" s="14">
        <v>22464</v>
      </c>
      <c r="I883" s="31">
        <f>IF(COUNTIFS(Addendum!C:C,A883,Addendum!D:D,IF(ISNUMBER(B883),TEXT(B883,"0000"),B883),Addendum!E:E,"X")&gt;0,4%,0)</f>
        <v>0</v>
      </c>
      <c r="J883" s="31">
        <f>IF(COUNTIFS(Addendum!C:C,A883,Addendum!D:D,IF(ISNUMBER(B883),TEXT(B883,"0000"),B883),Addendum!F:F,"X")&gt;0,2.5%,0)</f>
        <v>0</v>
      </c>
      <c r="K883" s="31">
        <f>IF(COUNTIFS(Addendum!C:C,A883,Addendum!D:D,IF(ISNUMBER(B883),TEXT(B883,"0000"),B883),Addendum!G:G,"X")&gt;0,7%,0)</f>
        <v>0</v>
      </c>
      <c r="L883" s="31">
        <f>IF(COUNTIFS(Addendum!C:C,A883,Addendum!D:D,IF(ISNUMBER(B883),TEXT(B883,"0000"),B883),Addendum!I:I,"X")&gt;0,10%,0)</f>
        <v>0</v>
      </c>
      <c r="M883" s="34">
        <f t="shared" si="26"/>
        <v>0</v>
      </c>
      <c r="N883" s="17">
        <f t="shared" si="27"/>
        <v>22464</v>
      </c>
    </row>
    <row r="884" spans="1:14" x14ac:dyDescent="0.25">
      <c r="A884" s="14" t="s">
        <v>2055</v>
      </c>
      <c r="B884" s="14" t="s">
        <v>297</v>
      </c>
      <c r="C884" s="15" t="s">
        <v>2083</v>
      </c>
      <c r="D884" s="14" t="s">
        <v>1749</v>
      </c>
      <c r="E884" s="14" t="s">
        <v>1746</v>
      </c>
      <c r="F884" s="17" t="s">
        <v>2994</v>
      </c>
      <c r="G884" s="14">
        <v>79866</v>
      </c>
      <c r="H884" s="14">
        <v>59899.5</v>
      </c>
      <c r="I884" s="31">
        <f>IF(COUNTIFS(Addendum!C:C,A884,Addendum!D:D,IF(ISNUMBER(B884),TEXT(B884,"0000"),B884),Addendum!E:E,"X")&gt;0,4%,0)</f>
        <v>0</v>
      </c>
      <c r="J884" s="31">
        <f>IF(COUNTIFS(Addendum!C:C,A884,Addendum!D:D,IF(ISNUMBER(B884),TEXT(B884,"0000"),B884),Addendum!F:F,"X")&gt;0,2.5%,0)</f>
        <v>0</v>
      </c>
      <c r="K884" s="31">
        <f>IF(COUNTIFS(Addendum!C:C,A884,Addendum!D:D,IF(ISNUMBER(B884),TEXT(B884,"0000"),B884),Addendum!G:G,"X")&gt;0,7%,0)</f>
        <v>0</v>
      </c>
      <c r="L884" s="31">
        <f>IF(COUNTIFS(Addendum!C:C,A884,Addendum!D:D,IF(ISNUMBER(B884),TEXT(B884,"0000"),B884),Addendum!I:I,"X")&gt;0,10%,0)</f>
        <v>0</v>
      </c>
      <c r="M884" s="34">
        <f t="shared" si="26"/>
        <v>0</v>
      </c>
      <c r="N884" s="17">
        <f t="shared" si="27"/>
        <v>59899.5</v>
      </c>
    </row>
    <row r="885" spans="1:14" x14ac:dyDescent="0.25">
      <c r="A885" s="14" t="s">
        <v>2055</v>
      </c>
      <c r="B885" s="14">
        <v>5</v>
      </c>
      <c r="C885" s="15" t="s">
        <v>2086</v>
      </c>
      <c r="D885" s="14" t="s">
        <v>1745</v>
      </c>
      <c r="E885" s="14" t="s">
        <v>1747</v>
      </c>
      <c r="F885" s="17" t="s">
        <v>2993</v>
      </c>
      <c r="G885" s="14">
        <v>1497480</v>
      </c>
      <c r="H885" s="14">
        <v>1123110</v>
      </c>
      <c r="I885" s="31">
        <f>IF(COUNTIFS(Addendum!C:C,A885,Addendum!D:D,IF(ISNUMBER(B885),TEXT(B885,"0000"),B885),Addendum!E:E,"X")&gt;0,4%,0)</f>
        <v>0</v>
      </c>
      <c r="J885" s="31">
        <f>IF(COUNTIFS(Addendum!C:C,A885,Addendum!D:D,IF(ISNUMBER(B885),TEXT(B885,"0000"),B885),Addendum!F:F,"X")&gt;0,2.5%,0)</f>
        <v>0</v>
      </c>
      <c r="K885" s="31">
        <f>IF(COUNTIFS(Addendum!C:C,A885,Addendum!D:D,IF(ISNUMBER(B885),TEXT(B885,"0000"),B885),Addendum!G:G,"X")&gt;0,7%,0)</f>
        <v>0</v>
      </c>
      <c r="L885" s="31">
        <f>IF(COUNTIFS(Addendum!C:C,A885,Addendum!D:D,IF(ISNUMBER(B885),TEXT(B885,"0000"),B885),Addendum!I:I,"X")&gt;0,10%,0)</f>
        <v>0</v>
      </c>
      <c r="M885" s="34">
        <f t="shared" si="26"/>
        <v>0</v>
      </c>
      <c r="N885" s="17">
        <f t="shared" si="27"/>
        <v>1123110</v>
      </c>
    </row>
    <row r="886" spans="1:14" x14ac:dyDescent="0.25">
      <c r="A886" s="14" t="s">
        <v>2055</v>
      </c>
      <c r="B886" s="14" t="s">
        <v>36</v>
      </c>
      <c r="C886" s="15" t="s">
        <v>2079</v>
      </c>
      <c r="D886" s="14" t="s">
        <v>1745</v>
      </c>
      <c r="E886" s="14" t="s">
        <v>1746</v>
      </c>
      <c r="F886" s="17" t="s">
        <v>2995</v>
      </c>
      <c r="G886" s="14">
        <v>445536</v>
      </c>
      <c r="H886" s="14">
        <v>400982.4</v>
      </c>
      <c r="I886" s="31">
        <f>IF(COUNTIFS(Addendum!C:C,A886,Addendum!D:D,IF(ISNUMBER(B886),TEXT(B886,"0000"),B886),Addendum!E:E,"X")&gt;0,4%,0)</f>
        <v>0</v>
      </c>
      <c r="J886" s="31">
        <f>IF(COUNTIFS(Addendum!C:C,A886,Addendum!D:D,IF(ISNUMBER(B886),TEXT(B886,"0000"),B886),Addendum!F:F,"X")&gt;0,2.5%,0)</f>
        <v>0</v>
      </c>
      <c r="K886" s="31">
        <f>IF(COUNTIFS(Addendum!C:C,A886,Addendum!D:D,IF(ISNUMBER(B886),TEXT(B886,"0000"),B886),Addendum!G:G,"X")&gt;0,7%,0)</f>
        <v>0</v>
      </c>
      <c r="L886" s="31">
        <f>IF(COUNTIFS(Addendum!C:C,A886,Addendum!D:D,IF(ISNUMBER(B886),TEXT(B886,"0000"),B886),Addendum!I:I,"X")&gt;0,10%,0)</f>
        <v>0</v>
      </c>
      <c r="M886" s="34">
        <f t="shared" si="26"/>
        <v>0</v>
      </c>
      <c r="N886" s="17">
        <f t="shared" si="27"/>
        <v>400982.4</v>
      </c>
    </row>
    <row r="887" spans="1:14" x14ac:dyDescent="0.25">
      <c r="A887" s="14" t="s">
        <v>2055</v>
      </c>
      <c r="B887" s="14">
        <v>14</v>
      </c>
      <c r="C887" s="15" t="s">
        <v>2074</v>
      </c>
      <c r="D887" s="14" t="s">
        <v>1745</v>
      </c>
      <c r="E887" s="14" t="s">
        <v>1746</v>
      </c>
      <c r="F887" s="17" t="s">
        <v>2995</v>
      </c>
      <c r="G887" s="14">
        <v>393120</v>
      </c>
      <c r="H887" s="14">
        <v>353808</v>
      </c>
      <c r="I887" s="31">
        <f>IF(COUNTIFS(Addendum!C:C,A887,Addendum!D:D,IF(ISNUMBER(B887),TEXT(B887,"0000"),B887),Addendum!E:E,"X")&gt;0,4%,0)</f>
        <v>0</v>
      </c>
      <c r="J887" s="31">
        <f>IF(COUNTIFS(Addendum!C:C,A887,Addendum!D:D,IF(ISNUMBER(B887),TEXT(B887,"0000"),B887),Addendum!F:F,"X")&gt;0,2.5%,0)</f>
        <v>0</v>
      </c>
      <c r="K887" s="31">
        <f>IF(COUNTIFS(Addendum!C:C,A887,Addendum!D:D,IF(ISNUMBER(B887),TEXT(B887,"0000"),B887),Addendum!G:G,"X")&gt;0,7%,0)</f>
        <v>0</v>
      </c>
      <c r="L887" s="31">
        <f>IF(COUNTIFS(Addendum!C:C,A887,Addendum!D:D,IF(ISNUMBER(B887),TEXT(B887,"0000"),B887),Addendum!I:I,"X")&gt;0,10%,0)</f>
        <v>0</v>
      </c>
      <c r="M887" s="34">
        <f t="shared" si="26"/>
        <v>0</v>
      </c>
      <c r="N887" s="17">
        <f t="shared" si="27"/>
        <v>353808</v>
      </c>
    </row>
    <row r="888" spans="1:14" x14ac:dyDescent="0.25">
      <c r="A888" s="14" t="s">
        <v>2055</v>
      </c>
      <c r="B888" s="14">
        <v>3</v>
      </c>
      <c r="C888" s="15" t="s">
        <v>2075</v>
      </c>
      <c r="D888" s="14" t="s">
        <v>1745</v>
      </c>
      <c r="E888" s="14" t="s">
        <v>1746</v>
      </c>
      <c r="F888" s="17" t="s">
        <v>2993</v>
      </c>
      <c r="G888" s="14">
        <v>262080</v>
      </c>
      <c r="H888" s="14">
        <v>196560</v>
      </c>
      <c r="I888" s="31">
        <f>IF(COUNTIFS(Addendum!C:C,A888,Addendum!D:D,IF(ISNUMBER(B888),TEXT(B888,"0000"),B888),Addendum!E:E,"X")&gt;0,4%,0)</f>
        <v>0</v>
      </c>
      <c r="J888" s="31">
        <f>IF(COUNTIFS(Addendum!C:C,A888,Addendum!D:D,IF(ISNUMBER(B888),TEXT(B888,"0000"),B888),Addendum!F:F,"X")&gt;0,2.5%,0)</f>
        <v>0</v>
      </c>
      <c r="K888" s="31">
        <f>IF(COUNTIFS(Addendum!C:C,A888,Addendum!D:D,IF(ISNUMBER(B888),TEXT(B888,"0000"),B888),Addendum!G:G,"X")&gt;0,7%,0)</f>
        <v>0</v>
      </c>
      <c r="L888" s="31">
        <f>IF(COUNTIFS(Addendum!C:C,A888,Addendum!D:D,IF(ISNUMBER(B888),TEXT(B888,"0000"),B888),Addendum!I:I,"X")&gt;0,10%,0)</f>
        <v>0</v>
      </c>
      <c r="M888" s="34">
        <f t="shared" si="26"/>
        <v>0</v>
      </c>
      <c r="N888" s="17">
        <f t="shared" si="27"/>
        <v>196560</v>
      </c>
    </row>
    <row r="889" spans="1:14" x14ac:dyDescent="0.25">
      <c r="A889" s="14" t="s">
        <v>2055</v>
      </c>
      <c r="B889" s="14">
        <v>7</v>
      </c>
      <c r="C889" s="15" t="s">
        <v>2068</v>
      </c>
      <c r="D889" s="14" t="s">
        <v>1752</v>
      </c>
      <c r="E889" s="14" t="s">
        <v>1746</v>
      </c>
      <c r="F889" s="17" t="s">
        <v>2993</v>
      </c>
      <c r="G889" s="14">
        <v>5346054</v>
      </c>
      <c r="H889" s="14">
        <v>4009541</v>
      </c>
      <c r="I889" s="31">
        <f>IF(COUNTIFS(Addendum!C:C,A889,Addendum!D:D,IF(ISNUMBER(B889),TEXT(B889,"0000"),B889),Addendum!E:E,"X")&gt;0,4%,0)</f>
        <v>0</v>
      </c>
      <c r="J889" s="31">
        <f>IF(COUNTIFS(Addendum!C:C,A889,Addendum!D:D,IF(ISNUMBER(B889),TEXT(B889,"0000"),B889),Addendum!F:F,"X")&gt;0,2.5%,0)</f>
        <v>0</v>
      </c>
      <c r="K889" s="31">
        <f>IF(COUNTIFS(Addendum!C:C,A889,Addendum!D:D,IF(ISNUMBER(B889),TEXT(B889,"0000"),B889),Addendum!G:G,"X")&gt;0,7%,0)</f>
        <v>0</v>
      </c>
      <c r="L889" s="31">
        <f>IF(COUNTIFS(Addendum!C:C,A889,Addendum!D:D,IF(ISNUMBER(B889),TEXT(B889,"0000"),B889),Addendum!I:I,"X")&gt;0,10%,0)</f>
        <v>0</v>
      </c>
      <c r="M889" s="34">
        <f t="shared" si="26"/>
        <v>0</v>
      </c>
      <c r="N889" s="17">
        <f t="shared" si="27"/>
        <v>4009541</v>
      </c>
    </row>
    <row r="890" spans="1:14" x14ac:dyDescent="0.25">
      <c r="A890" s="14" t="s">
        <v>2055</v>
      </c>
      <c r="B890" s="14">
        <v>16</v>
      </c>
      <c r="C890" s="15" t="s">
        <v>2065</v>
      </c>
      <c r="D890" s="14" t="s">
        <v>1749</v>
      </c>
      <c r="E890" s="14" t="s">
        <v>1746</v>
      </c>
      <c r="F890" s="17" t="s">
        <v>2995</v>
      </c>
      <c r="G890" s="14">
        <v>24960</v>
      </c>
      <c r="H890" s="14">
        <v>22464</v>
      </c>
      <c r="I890" s="31">
        <f>IF(COUNTIFS(Addendum!C:C,A890,Addendum!D:D,IF(ISNUMBER(B890),TEXT(B890,"0000"),B890),Addendum!E:E,"X")&gt;0,4%,0)</f>
        <v>0</v>
      </c>
      <c r="J890" s="31">
        <f>IF(COUNTIFS(Addendum!C:C,A890,Addendum!D:D,IF(ISNUMBER(B890),TEXT(B890,"0000"),B890),Addendum!F:F,"X")&gt;0,2.5%,0)</f>
        <v>0</v>
      </c>
      <c r="K890" s="31">
        <f>IF(COUNTIFS(Addendum!C:C,A890,Addendum!D:D,IF(ISNUMBER(B890),TEXT(B890,"0000"),B890),Addendum!G:G,"X")&gt;0,7%,0)</f>
        <v>0</v>
      </c>
      <c r="L890" s="31">
        <f>IF(COUNTIFS(Addendum!C:C,A890,Addendum!D:D,IF(ISNUMBER(B890),TEXT(B890,"0000"),B890),Addendum!I:I,"X")&gt;0,10%,0)</f>
        <v>0</v>
      </c>
      <c r="M890" s="34">
        <f t="shared" si="26"/>
        <v>0</v>
      </c>
      <c r="N890" s="17">
        <f t="shared" si="27"/>
        <v>22464</v>
      </c>
    </row>
    <row r="891" spans="1:14" x14ac:dyDescent="0.25">
      <c r="A891" s="14" t="s">
        <v>2055</v>
      </c>
      <c r="B891" s="14" t="s">
        <v>243</v>
      </c>
      <c r="C891" s="15" t="s">
        <v>2080</v>
      </c>
      <c r="D891" s="14" t="s">
        <v>1745</v>
      </c>
      <c r="E891" s="14" t="s">
        <v>1746</v>
      </c>
      <c r="F891" s="17" t="s">
        <v>2995</v>
      </c>
      <c r="G891" s="14">
        <v>65520</v>
      </c>
      <c r="H891" s="14">
        <v>58968</v>
      </c>
      <c r="I891" s="31">
        <f>IF(COUNTIFS(Addendum!C:C,A891,Addendum!D:D,IF(ISNUMBER(B891),TEXT(B891,"0000"),B891),Addendum!E:E,"X")&gt;0,4%,0)</f>
        <v>0</v>
      </c>
      <c r="J891" s="31">
        <f>IF(COUNTIFS(Addendum!C:C,A891,Addendum!D:D,IF(ISNUMBER(B891),TEXT(B891,"0000"),B891),Addendum!F:F,"X")&gt;0,2.5%,0)</f>
        <v>0</v>
      </c>
      <c r="K891" s="31">
        <f>IF(COUNTIFS(Addendum!C:C,A891,Addendum!D:D,IF(ISNUMBER(B891),TEXT(B891,"0000"),B891),Addendum!G:G,"X")&gt;0,7%,0)</f>
        <v>0</v>
      </c>
      <c r="L891" s="31">
        <f>IF(COUNTIFS(Addendum!C:C,A891,Addendum!D:D,IF(ISNUMBER(B891),TEXT(B891,"0000"),B891),Addendum!I:I,"X")&gt;0,10%,0)</f>
        <v>0</v>
      </c>
      <c r="M891" s="34">
        <f t="shared" si="26"/>
        <v>0</v>
      </c>
      <c r="N891" s="17">
        <f t="shared" si="27"/>
        <v>58968</v>
      </c>
    </row>
    <row r="892" spans="1:14" x14ac:dyDescent="0.25">
      <c r="A892" s="14" t="s">
        <v>2055</v>
      </c>
      <c r="B892" s="14">
        <v>7</v>
      </c>
      <c r="C892" s="15" t="s">
        <v>2068</v>
      </c>
      <c r="D892" s="14" t="s">
        <v>1745</v>
      </c>
      <c r="E892" s="14" t="s">
        <v>1746</v>
      </c>
      <c r="F892" s="17" t="s">
        <v>2993</v>
      </c>
      <c r="G892" s="14">
        <v>1782018</v>
      </c>
      <c r="H892" s="14">
        <v>1336514</v>
      </c>
      <c r="I892" s="31">
        <f>IF(COUNTIFS(Addendum!C:C,A892,Addendum!D:D,IF(ISNUMBER(B892),TEXT(B892,"0000"),B892),Addendum!E:E,"X")&gt;0,4%,0)</f>
        <v>0</v>
      </c>
      <c r="J892" s="31">
        <f>IF(COUNTIFS(Addendum!C:C,A892,Addendum!D:D,IF(ISNUMBER(B892),TEXT(B892,"0000"),B892),Addendum!F:F,"X")&gt;0,2.5%,0)</f>
        <v>0</v>
      </c>
      <c r="K892" s="31">
        <f>IF(COUNTIFS(Addendum!C:C,A892,Addendum!D:D,IF(ISNUMBER(B892),TEXT(B892,"0000"),B892),Addendum!G:G,"X")&gt;0,7%,0)</f>
        <v>0</v>
      </c>
      <c r="L892" s="31">
        <f>IF(COUNTIFS(Addendum!C:C,A892,Addendum!D:D,IF(ISNUMBER(B892),TEXT(B892,"0000"),B892),Addendum!I:I,"X")&gt;0,10%,0)</f>
        <v>0</v>
      </c>
      <c r="M892" s="34">
        <f t="shared" si="26"/>
        <v>0</v>
      </c>
      <c r="N892" s="17">
        <f t="shared" si="27"/>
        <v>1336514</v>
      </c>
    </row>
    <row r="893" spans="1:14" x14ac:dyDescent="0.25">
      <c r="A893" s="14" t="s">
        <v>2055</v>
      </c>
      <c r="B893" s="14" t="s">
        <v>243</v>
      </c>
      <c r="C893" s="15" t="s">
        <v>2080</v>
      </c>
      <c r="D893" s="14" t="s">
        <v>1745</v>
      </c>
      <c r="E893" s="14" t="s">
        <v>1747</v>
      </c>
      <c r="F893" s="17" t="s">
        <v>2995</v>
      </c>
      <c r="G893" s="14">
        <v>62400</v>
      </c>
      <c r="H893" s="14">
        <v>56160</v>
      </c>
      <c r="I893" s="31">
        <f>IF(COUNTIFS(Addendum!C:C,A893,Addendum!D:D,IF(ISNUMBER(B893),TEXT(B893,"0000"),B893),Addendum!E:E,"X")&gt;0,4%,0)</f>
        <v>0</v>
      </c>
      <c r="J893" s="31">
        <f>IF(COUNTIFS(Addendum!C:C,A893,Addendum!D:D,IF(ISNUMBER(B893),TEXT(B893,"0000"),B893),Addendum!F:F,"X")&gt;0,2.5%,0)</f>
        <v>0</v>
      </c>
      <c r="K893" s="31">
        <f>IF(COUNTIFS(Addendum!C:C,A893,Addendum!D:D,IF(ISNUMBER(B893),TEXT(B893,"0000"),B893),Addendum!G:G,"X")&gt;0,7%,0)</f>
        <v>0</v>
      </c>
      <c r="L893" s="31">
        <f>IF(COUNTIFS(Addendum!C:C,A893,Addendum!D:D,IF(ISNUMBER(B893),TEXT(B893,"0000"),B893),Addendum!I:I,"X")&gt;0,10%,0)</f>
        <v>0</v>
      </c>
      <c r="M893" s="34">
        <f t="shared" si="26"/>
        <v>0</v>
      </c>
      <c r="N893" s="17">
        <f t="shared" si="27"/>
        <v>56160</v>
      </c>
    </row>
    <row r="894" spans="1:14" x14ac:dyDescent="0.25">
      <c r="A894" s="14" t="s">
        <v>2055</v>
      </c>
      <c r="B894" s="14" t="s">
        <v>263</v>
      </c>
      <c r="C894" s="15" t="s">
        <v>2082</v>
      </c>
      <c r="D894" s="14" t="s">
        <v>1745</v>
      </c>
      <c r="E894" s="14" t="s">
        <v>1746</v>
      </c>
      <c r="F894" s="17" t="s">
        <v>2994</v>
      </c>
      <c r="G894" s="14">
        <v>0</v>
      </c>
      <c r="H894" s="14">
        <v>0</v>
      </c>
      <c r="I894" s="31">
        <f>IF(COUNTIFS(Addendum!C:C,A894,Addendum!D:D,IF(ISNUMBER(B894),TEXT(B894,"0000"),B894),Addendum!E:E,"X")&gt;0,4%,0)</f>
        <v>0</v>
      </c>
      <c r="J894" s="31">
        <f>IF(COUNTIFS(Addendum!C:C,A894,Addendum!D:D,IF(ISNUMBER(B894),TEXT(B894,"0000"),B894),Addendum!F:F,"X")&gt;0,2.5%,0)</f>
        <v>0</v>
      </c>
      <c r="K894" s="31">
        <f>IF(COUNTIFS(Addendum!C:C,A894,Addendum!D:D,IF(ISNUMBER(B894),TEXT(B894,"0000"),B894),Addendum!G:G,"X")&gt;0,7%,0)</f>
        <v>0</v>
      </c>
      <c r="L894" s="31">
        <f>IF(COUNTIFS(Addendum!C:C,A894,Addendum!D:D,IF(ISNUMBER(B894),TEXT(B894,"0000"),B894),Addendum!I:I,"X")&gt;0,10%,0)</f>
        <v>0</v>
      </c>
      <c r="M894" s="34">
        <f t="shared" si="26"/>
        <v>0</v>
      </c>
      <c r="N894" s="17">
        <f t="shared" si="27"/>
        <v>0</v>
      </c>
    </row>
    <row r="895" spans="1:14" x14ac:dyDescent="0.25">
      <c r="A895" s="14" t="s">
        <v>2055</v>
      </c>
      <c r="B895" s="14">
        <v>5</v>
      </c>
      <c r="C895" s="15" t="s">
        <v>2086</v>
      </c>
      <c r="D895" s="14" t="s">
        <v>1752</v>
      </c>
      <c r="E895" s="14" t="s">
        <v>1746</v>
      </c>
      <c r="F895" s="17" t="s">
        <v>2993</v>
      </c>
      <c r="G895" s="14">
        <v>4717062</v>
      </c>
      <c r="H895" s="14">
        <v>3537797</v>
      </c>
      <c r="I895" s="31">
        <f>IF(COUNTIFS(Addendum!C:C,A895,Addendum!D:D,IF(ISNUMBER(B895),TEXT(B895,"0000"),B895),Addendum!E:E,"X")&gt;0,4%,0)</f>
        <v>0</v>
      </c>
      <c r="J895" s="31">
        <f>IF(COUNTIFS(Addendum!C:C,A895,Addendum!D:D,IF(ISNUMBER(B895),TEXT(B895,"0000"),B895),Addendum!F:F,"X")&gt;0,2.5%,0)</f>
        <v>0</v>
      </c>
      <c r="K895" s="31">
        <f>IF(COUNTIFS(Addendum!C:C,A895,Addendum!D:D,IF(ISNUMBER(B895),TEXT(B895,"0000"),B895),Addendum!G:G,"X")&gt;0,7%,0)</f>
        <v>0</v>
      </c>
      <c r="L895" s="31">
        <f>IF(COUNTIFS(Addendum!C:C,A895,Addendum!D:D,IF(ISNUMBER(B895),TEXT(B895,"0000"),B895),Addendum!I:I,"X")&gt;0,10%,0)</f>
        <v>0</v>
      </c>
      <c r="M895" s="34">
        <f t="shared" si="26"/>
        <v>0</v>
      </c>
      <c r="N895" s="17">
        <f t="shared" si="27"/>
        <v>3537797</v>
      </c>
    </row>
    <row r="896" spans="1:14" x14ac:dyDescent="0.25">
      <c r="A896" s="14" t="s">
        <v>2055</v>
      </c>
      <c r="B896" s="14" t="s">
        <v>608</v>
      </c>
      <c r="C896" s="15" t="s">
        <v>2063</v>
      </c>
      <c r="D896" s="14" t="s">
        <v>1752</v>
      </c>
      <c r="E896" s="14" t="s">
        <v>1747</v>
      </c>
      <c r="F896" s="17" t="s">
        <v>2995</v>
      </c>
      <c r="G896" s="14">
        <v>0</v>
      </c>
      <c r="H896" s="14">
        <v>0</v>
      </c>
      <c r="I896" s="31">
        <f>IF(COUNTIFS(Addendum!C:C,A896,Addendum!D:D,IF(ISNUMBER(B896),TEXT(B896,"0000"),B896),Addendum!E:E,"X")&gt;0,4%,0)</f>
        <v>0</v>
      </c>
      <c r="J896" s="31">
        <f>IF(COUNTIFS(Addendum!C:C,A896,Addendum!D:D,IF(ISNUMBER(B896),TEXT(B896,"0000"),B896),Addendum!F:F,"X")&gt;0,2.5%,0)</f>
        <v>0</v>
      </c>
      <c r="K896" s="31">
        <f>IF(COUNTIFS(Addendum!C:C,A896,Addendum!D:D,IF(ISNUMBER(B896),TEXT(B896,"0000"),B896),Addendum!G:G,"X")&gt;0,7%,0)</f>
        <v>0</v>
      </c>
      <c r="L896" s="31">
        <f>IF(COUNTIFS(Addendum!C:C,A896,Addendum!D:D,IF(ISNUMBER(B896),TEXT(B896,"0000"),B896),Addendum!I:I,"X")&gt;0,10%,0)</f>
        <v>0</v>
      </c>
      <c r="M896" s="34">
        <f t="shared" si="26"/>
        <v>0</v>
      </c>
      <c r="N896" s="17">
        <f t="shared" si="27"/>
        <v>0</v>
      </c>
    </row>
    <row r="897" spans="1:14" ht="30" x14ac:dyDescent="0.25">
      <c r="A897" s="14" t="s">
        <v>2055</v>
      </c>
      <c r="B897" s="14" t="s">
        <v>118</v>
      </c>
      <c r="C897" s="15" t="s">
        <v>2060</v>
      </c>
      <c r="D897" s="14" t="s">
        <v>1749</v>
      </c>
      <c r="E897" s="14" t="s">
        <v>1746</v>
      </c>
      <c r="F897" s="17" t="s">
        <v>2994</v>
      </c>
      <c r="G897" s="14">
        <v>13728</v>
      </c>
      <c r="H897" s="14">
        <v>10296</v>
      </c>
      <c r="I897" s="31">
        <f>IF(COUNTIFS(Addendum!C:C,A897,Addendum!D:D,IF(ISNUMBER(B897),TEXT(B897,"0000"),B897),Addendum!E:E,"X")&gt;0,4%,0)</f>
        <v>0</v>
      </c>
      <c r="J897" s="31">
        <f>IF(COUNTIFS(Addendum!C:C,A897,Addendum!D:D,IF(ISNUMBER(B897),TEXT(B897,"0000"),B897),Addendum!F:F,"X")&gt;0,2.5%,0)</f>
        <v>0</v>
      </c>
      <c r="K897" s="31">
        <f>IF(COUNTIFS(Addendum!C:C,A897,Addendum!D:D,IF(ISNUMBER(B897),TEXT(B897,"0000"),B897),Addendum!G:G,"X")&gt;0,7%,0)</f>
        <v>0</v>
      </c>
      <c r="L897" s="31">
        <f>IF(COUNTIFS(Addendum!C:C,A897,Addendum!D:D,IF(ISNUMBER(B897),TEXT(B897,"0000"),B897),Addendum!I:I,"X")&gt;0,10%,0)</f>
        <v>0</v>
      </c>
      <c r="M897" s="34">
        <f t="shared" si="26"/>
        <v>0</v>
      </c>
      <c r="N897" s="17">
        <f t="shared" si="27"/>
        <v>10296</v>
      </c>
    </row>
    <row r="898" spans="1:14" ht="30" x14ac:dyDescent="0.25">
      <c r="A898" s="14" t="s">
        <v>2055</v>
      </c>
      <c r="B898" s="14" t="s">
        <v>28</v>
      </c>
      <c r="C898" s="15" t="s">
        <v>2062</v>
      </c>
      <c r="D898" s="14" t="s">
        <v>1752</v>
      </c>
      <c r="E898" s="14" t="s">
        <v>1746</v>
      </c>
      <c r="F898" s="17" t="s">
        <v>2994</v>
      </c>
      <c r="G898" s="14">
        <v>314496</v>
      </c>
      <c r="H898" s="14">
        <v>235872</v>
      </c>
      <c r="I898" s="31">
        <f>IF(COUNTIFS(Addendum!C:C,A898,Addendum!D:D,IF(ISNUMBER(B898),TEXT(B898,"0000"),B898),Addendum!E:E,"X")&gt;0,4%,0)</f>
        <v>0</v>
      </c>
      <c r="J898" s="31">
        <f>IF(COUNTIFS(Addendum!C:C,A898,Addendum!D:D,IF(ISNUMBER(B898),TEXT(B898,"0000"),B898),Addendum!F:F,"X")&gt;0,2.5%,0)</f>
        <v>0</v>
      </c>
      <c r="K898" s="31">
        <f>IF(COUNTIFS(Addendum!C:C,A898,Addendum!D:D,IF(ISNUMBER(B898),TEXT(B898,"0000"),B898),Addendum!G:G,"X")&gt;0,7%,0)</f>
        <v>0</v>
      </c>
      <c r="L898" s="31">
        <f>IF(COUNTIFS(Addendum!C:C,A898,Addendum!D:D,IF(ISNUMBER(B898),TEXT(B898,"0000"),B898),Addendum!I:I,"X")&gt;0,10%,0)</f>
        <v>0</v>
      </c>
      <c r="M898" s="34">
        <f t="shared" si="26"/>
        <v>0</v>
      </c>
      <c r="N898" s="17">
        <f t="shared" si="27"/>
        <v>235872</v>
      </c>
    </row>
    <row r="899" spans="1:14" x14ac:dyDescent="0.25">
      <c r="A899" s="14" t="s">
        <v>2055</v>
      </c>
      <c r="B899" s="14" t="s">
        <v>46</v>
      </c>
      <c r="C899" s="15" t="s">
        <v>2081</v>
      </c>
      <c r="D899" s="14" t="s">
        <v>1752</v>
      </c>
      <c r="E899" s="14" t="s">
        <v>1753</v>
      </c>
      <c r="F899" s="17" t="s">
        <v>2994</v>
      </c>
      <c r="G899" s="14">
        <v>2036520</v>
      </c>
      <c r="H899" s="14">
        <v>1527390</v>
      </c>
      <c r="I899" s="31">
        <f>IF(COUNTIFS(Addendum!C:C,A899,Addendum!D:D,IF(ISNUMBER(B899),TEXT(B899,"0000"),B899),Addendum!E:E,"X")&gt;0,4%,0)</f>
        <v>0</v>
      </c>
      <c r="J899" s="31">
        <f>IF(COUNTIFS(Addendum!C:C,A899,Addendum!D:D,IF(ISNUMBER(B899),TEXT(B899,"0000"),B899),Addendum!F:F,"X")&gt;0,2.5%,0)</f>
        <v>0</v>
      </c>
      <c r="K899" s="31">
        <f>IF(COUNTIFS(Addendum!C:C,A899,Addendum!D:D,IF(ISNUMBER(B899),TEXT(B899,"0000"),B899),Addendum!G:G,"X")&gt;0,7%,0)</f>
        <v>0</v>
      </c>
      <c r="L899" s="31">
        <f>IF(COUNTIFS(Addendum!C:C,A899,Addendum!D:D,IF(ISNUMBER(B899),TEXT(B899,"0000"),B899),Addendum!I:I,"X")&gt;0,10%,0)</f>
        <v>0</v>
      </c>
      <c r="M899" s="34">
        <f t="shared" si="26"/>
        <v>0</v>
      </c>
      <c r="N899" s="17">
        <f t="shared" si="27"/>
        <v>1527390</v>
      </c>
    </row>
    <row r="900" spans="1:14" x14ac:dyDescent="0.25">
      <c r="A900" s="14" t="s">
        <v>2055</v>
      </c>
      <c r="B900" s="14">
        <v>17</v>
      </c>
      <c r="C900" s="15" t="s">
        <v>2059</v>
      </c>
      <c r="D900" s="14" t="s">
        <v>1749</v>
      </c>
      <c r="E900" s="14" t="s">
        <v>1746</v>
      </c>
      <c r="F900" s="17" t="s">
        <v>2994</v>
      </c>
      <c r="G900" s="14">
        <v>54906</v>
      </c>
      <c r="H900" s="14">
        <v>41179.5</v>
      </c>
      <c r="I900" s="31">
        <f>IF(COUNTIFS(Addendum!C:C,A900,Addendum!D:D,IF(ISNUMBER(B900),TEXT(B900,"0000"),B900),Addendum!E:E,"X")&gt;0,4%,0)</f>
        <v>0</v>
      </c>
      <c r="J900" s="31">
        <f>IF(COUNTIFS(Addendum!C:C,A900,Addendum!D:D,IF(ISNUMBER(B900),TEXT(B900,"0000"),B900),Addendum!F:F,"X")&gt;0,2.5%,0)</f>
        <v>0</v>
      </c>
      <c r="K900" s="31">
        <f>IF(COUNTIFS(Addendum!C:C,A900,Addendum!D:D,IF(ISNUMBER(B900),TEXT(B900,"0000"),B900),Addendum!G:G,"X")&gt;0,7%,0)</f>
        <v>0</v>
      </c>
      <c r="L900" s="31">
        <f>IF(COUNTIFS(Addendum!C:C,A900,Addendum!D:D,IF(ISNUMBER(B900),TEXT(B900,"0000"),B900),Addendum!I:I,"X")&gt;0,10%,0)</f>
        <v>0</v>
      </c>
      <c r="M900" s="34">
        <f t="shared" ref="M900:M963" si="28">IF(AND(I900=0%,J900=0%,K900=0%,L900=0%),0%,
IF(OR(TRIM(E900)="OneTime",TRIM(D900)=""),0%,
IF(
OR(
TRIM(D900)="P1M",
AND(TRIM(D900)="P1Y",TRIM(E900)="Monthly"),
AND(TRIM(D900)="P3Y",TRIM(E900)="Monthly")
),
IF(AND(I900=4%,J900=0%,K900=0%,L900=0%),1%,
IF(AND(I900=4%,J900=2.5%,K900=0%,L900=10%),2%,
IF(AND(I900=4%,J900=0%,K900=7%,L900=10%),3%,0%))),
IF(
OR(
AND(TRIM(D900)="P1Y",TRIM(E900)="Annual"),
AND(TRIM(D900)="P3Y",TRIM(E900)="Annual"),
AND(TRIM(D900)="P3Y",TRIM(E900)="Triennial")
),
IF(AND(I900=4%,J900=0%,K900=0%,L900=0%),3%,
IF(AND(I900=4%,J900=2.5%,K900=0%,L900=10%),10%,
IF(AND(I900=4%,J900=0%,K900=7%,L900=10%),14%,0%))),
0%
))))</f>
        <v>0</v>
      </c>
      <c r="N900" s="17">
        <f t="shared" ref="N900:N963" si="29">H900-(H900*M900)</f>
        <v>41179.5</v>
      </c>
    </row>
    <row r="901" spans="1:14" x14ac:dyDescent="0.25">
      <c r="A901" s="14" t="s">
        <v>2055</v>
      </c>
      <c r="B901" s="14" t="s">
        <v>29</v>
      </c>
      <c r="C901" s="15" t="s">
        <v>2077</v>
      </c>
      <c r="D901" s="14" t="s">
        <v>1749</v>
      </c>
      <c r="E901" s="14" t="s">
        <v>1746</v>
      </c>
      <c r="F901" s="17" t="s">
        <v>2994</v>
      </c>
      <c r="G901" s="14">
        <v>93342</v>
      </c>
      <c r="H901" s="14">
        <v>70006.5</v>
      </c>
      <c r="I901" s="31">
        <f>IF(COUNTIFS(Addendum!C:C,A901,Addendum!D:D,IF(ISNUMBER(B901),TEXT(B901,"0000"),B901),Addendum!E:E,"X")&gt;0,4%,0)</f>
        <v>0</v>
      </c>
      <c r="J901" s="31">
        <f>IF(COUNTIFS(Addendum!C:C,A901,Addendum!D:D,IF(ISNUMBER(B901),TEXT(B901,"0000"),B901),Addendum!F:F,"X")&gt;0,2.5%,0)</f>
        <v>0</v>
      </c>
      <c r="K901" s="31">
        <f>IF(COUNTIFS(Addendum!C:C,A901,Addendum!D:D,IF(ISNUMBER(B901),TEXT(B901,"0000"),B901),Addendum!G:G,"X")&gt;0,7%,0)</f>
        <v>0</v>
      </c>
      <c r="L901" s="31">
        <f>IF(COUNTIFS(Addendum!C:C,A901,Addendum!D:D,IF(ISNUMBER(B901),TEXT(B901,"0000"),B901),Addendum!I:I,"X")&gt;0,10%,0)</f>
        <v>0</v>
      </c>
      <c r="M901" s="34">
        <f t="shared" si="28"/>
        <v>0</v>
      </c>
      <c r="N901" s="17">
        <f t="shared" si="29"/>
        <v>70006.5</v>
      </c>
    </row>
    <row r="902" spans="1:14" x14ac:dyDescent="0.25">
      <c r="A902" s="14" t="s">
        <v>2055</v>
      </c>
      <c r="B902" s="14" t="s">
        <v>108</v>
      </c>
      <c r="C902" s="15" t="s">
        <v>2087</v>
      </c>
      <c r="D902" s="14" t="s">
        <v>1749</v>
      </c>
      <c r="E902" s="14" t="s">
        <v>1746</v>
      </c>
      <c r="F902" s="17" t="s">
        <v>2994</v>
      </c>
      <c r="G902" s="14">
        <v>109818</v>
      </c>
      <c r="H902" s="14">
        <v>82363.5</v>
      </c>
      <c r="I902" s="31">
        <f>IF(COUNTIFS(Addendum!C:C,A902,Addendum!D:D,IF(ISNUMBER(B902),TEXT(B902,"0000"),B902),Addendum!E:E,"X")&gt;0,4%,0)</f>
        <v>0</v>
      </c>
      <c r="J902" s="31">
        <f>IF(COUNTIFS(Addendum!C:C,A902,Addendum!D:D,IF(ISNUMBER(B902),TEXT(B902,"0000"),B902),Addendum!F:F,"X")&gt;0,2.5%,0)</f>
        <v>0</v>
      </c>
      <c r="K902" s="31">
        <f>IF(COUNTIFS(Addendum!C:C,A902,Addendum!D:D,IF(ISNUMBER(B902),TEXT(B902,"0000"),B902),Addendum!G:G,"X")&gt;0,7%,0)</f>
        <v>0</v>
      </c>
      <c r="L902" s="31">
        <f>IF(COUNTIFS(Addendum!C:C,A902,Addendum!D:D,IF(ISNUMBER(B902),TEXT(B902,"0000"),B902),Addendum!I:I,"X")&gt;0,10%,0)</f>
        <v>0</v>
      </c>
      <c r="M902" s="34">
        <f t="shared" si="28"/>
        <v>0</v>
      </c>
      <c r="N902" s="17">
        <f t="shared" si="29"/>
        <v>82363.5</v>
      </c>
    </row>
    <row r="903" spans="1:14" x14ac:dyDescent="0.25">
      <c r="A903" s="14" t="s">
        <v>2055</v>
      </c>
      <c r="B903" s="14" t="s">
        <v>97</v>
      </c>
      <c r="C903" s="15" t="s">
        <v>2073</v>
      </c>
      <c r="D903" s="14" t="s">
        <v>1752</v>
      </c>
      <c r="E903" s="14" t="s">
        <v>1746</v>
      </c>
      <c r="F903" s="17" t="s">
        <v>2995</v>
      </c>
      <c r="G903" s="14">
        <v>1572291</v>
      </c>
      <c r="H903" s="14">
        <v>1415062</v>
      </c>
      <c r="I903" s="31">
        <f>IF(COUNTIFS(Addendum!C:C,A903,Addendum!D:D,IF(ISNUMBER(B903),TEXT(B903,"0000"),B903),Addendum!E:E,"X")&gt;0,4%,0)</f>
        <v>0</v>
      </c>
      <c r="J903" s="31">
        <f>IF(COUNTIFS(Addendum!C:C,A903,Addendum!D:D,IF(ISNUMBER(B903),TEXT(B903,"0000"),B903),Addendum!F:F,"X")&gt;0,2.5%,0)</f>
        <v>0</v>
      </c>
      <c r="K903" s="31">
        <f>IF(COUNTIFS(Addendum!C:C,A903,Addendum!D:D,IF(ISNUMBER(B903),TEXT(B903,"0000"),B903),Addendum!G:G,"X")&gt;0,7%,0)</f>
        <v>0</v>
      </c>
      <c r="L903" s="31">
        <f>IF(COUNTIFS(Addendum!C:C,A903,Addendum!D:D,IF(ISNUMBER(B903),TEXT(B903,"0000"),B903),Addendum!I:I,"X")&gt;0,10%,0)</f>
        <v>0</v>
      </c>
      <c r="M903" s="34">
        <f t="shared" si="28"/>
        <v>0</v>
      </c>
      <c r="N903" s="17">
        <f t="shared" si="29"/>
        <v>1415062</v>
      </c>
    </row>
    <row r="904" spans="1:14" x14ac:dyDescent="0.25">
      <c r="A904" s="14" t="s">
        <v>2055</v>
      </c>
      <c r="B904" s="14" t="s">
        <v>333</v>
      </c>
      <c r="C904" s="15" t="s">
        <v>2088</v>
      </c>
      <c r="D904" s="14" t="s">
        <v>1752</v>
      </c>
      <c r="E904" s="14" t="s">
        <v>1747</v>
      </c>
      <c r="F904" s="17" t="s">
        <v>2994</v>
      </c>
      <c r="G904" s="14">
        <v>1647180</v>
      </c>
      <c r="H904" s="14">
        <v>1235385</v>
      </c>
      <c r="I904" s="31">
        <f>IF(COUNTIFS(Addendum!C:C,A904,Addendum!D:D,IF(ISNUMBER(B904),TEXT(B904,"0000"),B904),Addendum!E:E,"X")&gt;0,4%,0)</f>
        <v>0</v>
      </c>
      <c r="J904" s="31">
        <f>IF(COUNTIFS(Addendum!C:C,A904,Addendum!D:D,IF(ISNUMBER(B904),TEXT(B904,"0000"),B904),Addendum!F:F,"X")&gt;0,2.5%,0)</f>
        <v>0</v>
      </c>
      <c r="K904" s="31">
        <f>IF(COUNTIFS(Addendum!C:C,A904,Addendum!D:D,IF(ISNUMBER(B904),TEXT(B904,"0000"),B904),Addendum!G:G,"X")&gt;0,7%,0)</f>
        <v>0</v>
      </c>
      <c r="L904" s="31">
        <f>IF(COUNTIFS(Addendum!C:C,A904,Addendum!D:D,IF(ISNUMBER(B904),TEXT(B904,"0000"),B904),Addendum!I:I,"X")&gt;0,10%,0)</f>
        <v>0</v>
      </c>
      <c r="M904" s="34">
        <f t="shared" si="28"/>
        <v>0</v>
      </c>
      <c r="N904" s="17">
        <f t="shared" si="29"/>
        <v>1235385</v>
      </c>
    </row>
    <row r="905" spans="1:14" x14ac:dyDescent="0.25">
      <c r="A905" s="14" t="s">
        <v>2055</v>
      </c>
      <c r="B905" s="14" t="s">
        <v>89</v>
      </c>
      <c r="C905" s="15" t="s">
        <v>2085</v>
      </c>
      <c r="D905" s="14" t="s">
        <v>1749</v>
      </c>
      <c r="E905" s="14" t="s">
        <v>1746</v>
      </c>
      <c r="F905" s="17" t="s">
        <v>2993</v>
      </c>
      <c r="G905" s="14">
        <v>99834</v>
      </c>
      <c r="H905" s="14">
        <v>74875.5</v>
      </c>
      <c r="I905" s="31">
        <f>IF(COUNTIFS(Addendum!C:C,A905,Addendum!D:D,IF(ISNUMBER(B905),TEXT(B905,"0000"),B905),Addendum!E:E,"X")&gt;0,4%,0)</f>
        <v>0</v>
      </c>
      <c r="J905" s="31">
        <f>IF(COUNTIFS(Addendum!C:C,A905,Addendum!D:D,IF(ISNUMBER(B905),TEXT(B905,"0000"),B905),Addendum!F:F,"X")&gt;0,2.5%,0)</f>
        <v>0</v>
      </c>
      <c r="K905" s="31">
        <f>IF(COUNTIFS(Addendum!C:C,A905,Addendum!D:D,IF(ISNUMBER(B905),TEXT(B905,"0000"),B905),Addendum!G:G,"X")&gt;0,7%,0)</f>
        <v>0</v>
      </c>
      <c r="L905" s="31">
        <f>IF(COUNTIFS(Addendum!C:C,A905,Addendum!D:D,IF(ISNUMBER(B905),TEXT(B905,"0000"),B905),Addendum!I:I,"X")&gt;0,10%,0)</f>
        <v>0</v>
      </c>
      <c r="M905" s="34">
        <f t="shared" si="28"/>
        <v>0</v>
      </c>
      <c r="N905" s="17">
        <f t="shared" si="29"/>
        <v>74875.5</v>
      </c>
    </row>
    <row r="906" spans="1:14" x14ac:dyDescent="0.25">
      <c r="A906" s="14" t="s">
        <v>2055</v>
      </c>
      <c r="B906" s="14" t="s">
        <v>608</v>
      </c>
      <c r="C906" s="15" t="s">
        <v>2063</v>
      </c>
      <c r="D906" s="14" t="s">
        <v>1745</v>
      </c>
      <c r="E906" s="14" t="s">
        <v>1747</v>
      </c>
      <c r="F906" s="17" t="s">
        <v>2995</v>
      </c>
      <c r="G906" s="14">
        <v>0</v>
      </c>
      <c r="H906" s="14">
        <v>0</v>
      </c>
      <c r="I906" s="31">
        <f>IF(COUNTIFS(Addendum!C:C,A906,Addendum!D:D,IF(ISNUMBER(B906),TEXT(B906,"0000"),B906),Addendum!E:E,"X")&gt;0,4%,0)</f>
        <v>0</v>
      </c>
      <c r="J906" s="31">
        <f>IF(COUNTIFS(Addendum!C:C,A906,Addendum!D:D,IF(ISNUMBER(B906),TEXT(B906,"0000"),B906),Addendum!F:F,"X")&gt;0,2.5%,0)</f>
        <v>0</v>
      </c>
      <c r="K906" s="31">
        <f>IF(COUNTIFS(Addendum!C:C,A906,Addendum!D:D,IF(ISNUMBER(B906),TEXT(B906,"0000"),B906),Addendum!G:G,"X")&gt;0,7%,0)</f>
        <v>0</v>
      </c>
      <c r="L906" s="31">
        <f>IF(COUNTIFS(Addendum!C:C,A906,Addendum!D:D,IF(ISNUMBER(B906),TEXT(B906,"0000"),B906),Addendum!I:I,"X")&gt;0,10%,0)</f>
        <v>0</v>
      </c>
      <c r="M906" s="34">
        <f t="shared" si="28"/>
        <v>0</v>
      </c>
      <c r="N906" s="17">
        <f t="shared" si="29"/>
        <v>0</v>
      </c>
    </row>
    <row r="907" spans="1:14" x14ac:dyDescent="0.25">
      <c r="A907" s="14" t="s">
        <v>2055</v>
      </c>
      <c r="B907" s="14" t="s">
        <v>29</v>
      </c>
      <c r="C907" s="15" t="s">
        <v>2077</v>
      </c>
      <c r="D907" s="14" t="s">
        <v>1745</v>
      </c>
      <c r="E907" s="14" t="s">
        <v>1746</v>
      </c>
      <c r="F907" s="17" t="s">
        <v>2994</v>
      </c>
      <c r="G907" s="14">
        <v>980091</v>
      </c>
      <c r="H907" s="14">
        <v>735068.3</v>
      </c>
      <c r="I907" s="31">
        <f>IF(COUNTIFS(Addendum!C:C,A907,Addendum!D:D,IF(ISNUMBER(B907),TEXT(B907,"0000"),B907),Addendum!E:E,"X")&gt;0,4%,0)</f>
        <v>0</v>
      </c>
      <c r="J907" s="31">
        <f>IF(COUNTIFS(Addendum!C:C,A907,Addendum!D:D,IF(ISNUMBER(B907),TEXT(B907,"0000"),B907),Addendum!F:F,"X")&gt;0,2.5%,0)</f>
        <v>0</v>
      </c>
      <c r="K907" s="31">
        <f>IF(COUNTIFS(Addendum!C:C,A907,Addendum!D:D,IF(ISNUMBER(B907),TEXT(B907,"0000"),B907),Addendum!G:G,"X")&gt;0,7%,0)</f>
        <v>0</v>
      </c>
      <c r="L907" s="31">
        <f>IF(COUNTIFS(Addendum!C:C,A907,Addendum!D:D,IF(ISNUMBER(B907),TEXT(B907,"0000"),B907),Addendum!I:I,"X")&gt;0,10%,0)</f>
        <v>0</v>
      </c>
      <c r="M907" s="34">
        <f t="shared" si="28"/>
        <v>0</v>
      </c>
      <c r="N907" s="17">
        <f t="shared" si="29"/>
        <v>735068.3</v>
      </c>
    </row>
    <row r="908" spans="1:14" x14ac:dyDescent="0.25">
      <c r="A908" s="14" t="s">
        <v>2055</v>
      </c>
      <c r="B908" s="14">
        <v>6</v>
      </c>
      <c r="C908" s="15" t="s">
        <v>2089</v>
      </c>
      <c r="D908" s="14" t="s">
        <v>1752</v>
      </c>
      <c r="E908" s="14" t="s">
        <v>1753</v>
      </c>
      <c r="F908" s="17" t="s">
        <v>2993</v>
      </c>
      <c r="G908" s="14">
        <v>1497420</v>
      </c>
      <c r="H908" s="14">
        <v>1123065</v>
      </c>
      <c r="I908" s="31">
        <f>IF(COUNTIFS(Addendum!C:C,A908,Addendum!D:D,IF(ISNUMBER(B908),TEXT(B908,"0000"),B908),Addendum!E:E,"X")&gt;0,4%,0)</f>
        <v>0</v>
      </c>
      <c r="J908" s="31">
        <f>IF(COUNTIFS(Addendum!C:C,A908,Addendum!D:D,IF(ISNUMBER(B908),TEXT(B908,"0000"),B908),Addendum!F:F,"X")&gt;0,2.5%,0)</f>
        <v>0</v>
      </c>
      <c r="K908" s="31">
        <f>IF(COUNTIFS(Addendum!C:C,A908,Addendum!D:D,IF(ISNUMBER(B908),TEXT(B908,"0000"),B908),Addendum!G:G,"X")&gt;0,7%,0)</f>
        <v>0</v>
      </c>
      <c r="L908" s="31">
        <f>IF(COUNTIFS(Addendum!C:C,A908,Addendum!D:D,IF(ISNUMBER(B908),TEXT(B908,"0000"),B908),Addendum!I:I,"X")&gt;0,10%,0)</f>
        <v>0</v>
      </c>
      <c r="M908" s="34">
        <f t="shared" si="28"/>
        <v>0</v>
      </c>
      <c r="N908" s="17">
        <f t="shared" si="29"/>
        <v>1123065</v>
      </c>
    </row>
    <row r="909" spans="1:14" x14ac:dyDescent="0.25">
      <c r="A909" s="14" t="s">
        <v>2055</v>
      </c>
      <c r="B909" s="14" t="s">
        <v>29</v>
      </c>
      <c r="C909" s="15" t="s">
        <v>2077</v>
      </c>
      <c r="D909" s="14" t="s">
        <v>1752</v>
      </c>
      <c r="E909" s="14" t="s">
        <v>1746</v>
      </c>
      <c r="F909" s="17" t="s">
        <v>2994</v>
      </c>
      <c r="G909" s="14">
        <v>2940273</v>
      </c>
      <c r="H909" s="14">
        <v>2205205</v>
      </c>
      <c r="I909" s="31">
        <f>IF(COUNTIFS(Addendum!C:C,A909,Addendum!D:D,IF(ISNUMBER(B909),TEXT(B909,"0000"),B909),Addendum!E:E,"X")&gt;0,4%,0)</f>
        <v>0</v>
      </c>
      <c r="J909" s="31">
        <f>IF(COUNTIFS(Addendum!C:C,A909,Addendum!D:D,IF(ISNUMBER(B909),TEXT(B909,"0000"),B909),Addendum!F:F,"X")&gt;0,2.5%,0)</f>
        <v>0</v>
      </c>
      <c r="K909" s="31">
        <f>IF(COUNTIFS(Addendum!C:C,A909,Addendum!D:D,IF(ISNUMBER(B909),TEXT(B909,"0000"),B909),Addendum!G:G,"X")&gt;0,7%,0)</f>
        <v>0</v>
      </c>
      <c r="L909" s="31">
        <f>IF(COUNTIFS(Addendum!C:C,A909,Addendum!D:D,IF(ISNUMBER(B909),TEXT(B909,"0000"),B909),Addendum!I:I,"X")&gt;0,10%,0)</f>
        <v>0</v>
      </c>
      <c r="M909" s="34">
        <f t="shared" si="28"/>
        <v>0</v>
      </c>
      <c r="N909" s="17">
        <f t="shared" si="29"/>
        <v>2205205</v>
      </c>
    </row>
    <row r="910" spans="1:14" x14ac:dyDescent="0.25">
      <c r="A910" s="14" t="s">
        <v>2055</v>
      </c>
      <c r="B910" s="14">
        <v>7</v>
      </c>
      <c r="C910" s="15" t="s">
        <v>2068</v>
      </c>
      <c r="D910" s="14" t="s">
        <v>1749</v>
      </c>
      <c r="E910" s="14" t="s">
        <v>1746</v>
      </c>
      <c r="F910" s="17" t="s">
        <v>2993</v>
      </c>
      <c r="G910" s="14">
        <v>169716</v>
      </c>
      <c r="H910" s="14">
        <v>127287</v>
      </c>
      <c r="I910" s="31">
        <f>IF(COUNTIFS(Addendum!C:C,A910,Addendum!D:D,IF(ISNUMBER(B910),TEXT(B910,"0000"),B910),Addendum!E:E,"X")&gt;0,4%,0)</f>
        <v>0</v>
      </c>
      <c r="J910" s="31">
        <f>IF(COUNTIFS(Addendum!C:C,A910,Addendum!D:D,IF(ISNUMBER(B910),TEXT(B910,"0000"),B910),Addendum!F:F,"X")&gt;0,2.5%,0)</f>
        <v>0</v>
      </c>
      <c r="K910" s="31">
        <f>IF(COUNTIFS(Addendum!C:C,A910,Addendum!D:D,IF(ISNUMBER(B910),TEXT(B910,"0000"),B910),Addendum!G:G,"X")&gt;0,7%,0)</f>
        <v>0</v>
      </c>
      <c r="L910" s="31">
        <f>IF(COUNTIFS(Addendum!C:C,A910,Addendum!D:D,IF(ISNUMBER(B910),TEXT(B910,"0000"),B910),Addendum!I:I,"X")&gt;0,10%,0)</f>
        <v>0</v>
      </c>
      <c r="M910" s="34">
        <f t="shared" si="28"/>
        <v>0</v>
      </c>
      <c r="N910" s="17">
        <f t="shared" si="29"/>
        <v>127287</v>
      </c>
    </row>
    <row r="911" spans="1:14" x14ac:dyDescent="0.25">
      <c r="A911" s="14" t="s">
        <v>2055</v>
      </c>
      <c r="B911" s="14">
        <v>5</v>
      </c>
      <c r="C911" s="15" t="s">
        <v>2086</v>
      </c>
      <c r="D911" s="14" t="s">
        <v>1752</v>
      </c>
      <c r="E911" s="14" t="s">
        <v>1747</v>
      </c>
      <c r="F911" s="17" t="s">
        <v>2993</v>
      </c>
      <c r="G911" s="14">
        <v>4492440</v>
      </c>
      <c r="H911" s="14">
        <v>3369330</v>
      </c>
      <c r="I911" s="31">
        <f>IF(COUNTIFS(Addendum!C:C,A911,Addendum!D:D,IF(ISNUMBER(B911),TEXT(B911,"0000"),B911),Addendum!E:E,"X")&gt;0,4%,0)</f>
        <v>0</v>
      </c>
      <c r="J911" s="31">
        <f>IF(COUNTIFS(Addendum!C:C,A911,Addendum!D:D,IF(ISNUMBER(B911),TEXT(B911,"0000"),B911),Addendum!F:F,"X")&gt;0,2.5%,0)</f>
        <v>0</v>
      </c>
      <c r="K911" s="31">
        <f>IF(COUNTIFS(Addendum!C:C,A911,Addendum!D:D,IF(ISNUMBER(B911),TEXT(B911,"0000"),B911),Addendum!G:G,"X")&gt;0,7%,0)</f>
        <v>0</v>
      </c>
      <c r="L911" s="31">
        <f>IF(COUNTIFS(Addendum!C:C,A911,Addendum!D:D,IF(ISNUMBER(B911),TEXT(B911,"0000"),B911),Addendum!I:I,"X")&gt;0,10%,0)</f>
        <v>0</v>
      </c>
      <c r="M911" s="34">
        <f t="shared" si="28"/>
        <v>0</v>
      </c>
      <c r="N911" s="17">
        <f t="shared" si="29"/>
        <v>3369330</v>
      </c>
    </row>
    <row r="912" spans="1:14" x14ac:dyDescent="0.25">
      <c r="A912" s="14" t="s">
        <v>2055</v>
      </c>
      <c r="B912" s="14" t="s">
        <v>89</v>
      </c>
      <c r="C912" s="15" t="s">
        <v>2085</v>
      </c>
      <c r="D912" s="14" t="s">
        <v>1752</v>
      </c>
      <c r="E912" s="14" t="s">
        <v>1753</v>
      </c>
      <c r="F912" s="17" t="s">
        <v>2993</v>
      </c>
      <c r="G912" s="14">
        <v>2995020</v>
      </c>
      <c r="H912" s="14">
        <v>2246265</v>
      </c>
      <c r="I912" s="31">
        <f>IF(COUNTIFS(Addendum!C:C,A912,Addendum!D:D,IF(ISNUMBER(B912),TEXT(B912,"0000"),B912),Addendum!E:E,"X")&gt;0,4%,0)</f>
        <v>0</v>
      </c>
      <c r="J912" s="31">
        <f>IF(COUNTIFS(Addendum!C:C,A912,Addendum!D:D,IF(ISNUMBER(B912),TEXT(B912,"0000"),B912),Addendum!F:F,"X")&gt;0,2.5%,0)</f>
        <v>0</v>
      </c>
      <c r="K912" s="31">
        <f>IF(COUNTIFS(Addendum!C:C,A912,Addendum!D:D,IF(ISNUMBER(B912),TEXT(B912,"0000"),B912),Addendum!G:G,"X")&gt;0,7%,0)</f>
        <v>0</v>
      </c>
      <c r="L912" s="31">
        <f>IF(COUNTIFS(Addendum!C:C,A912,Addendum!D:D,IF(ISNUMBER(B912),TEXT(B912,"0000"),B912),Addendum!I:I,"X")&gt;0,10%,0)</f>
        <v>0</v>
      </c>
      <c r="M912" s="34">
        <f t="shared" si="28"/>
        <v>0</v>
      </c>
      <c r="N912" s="17">
        <f t="shared" si="29"/>
        <v>2246265</v>
      </c>
    </row>
    <row r="913" spans="1:14" x14ac:dyDescent="0.25">
      <c r="A913" s="14" t="s">
        <v>2055</v>
      </c>
      <c r="B913" s="14" t="s">
        <v>583</v>
      </c>
      <c r="C913" s="15" t="s">
        <v>2057</v>
      </c>
      <c r="D913" s="14" t="s">
        <v>1752</v>
      </c>
      <c r="E913" s="14" t="s">
        <v>1747</v>
      </c>
      <c r="F913" s="17" t="s">
        <v>2994</v>
      </c>
      <c r="G913" s="14">
        <v>0</v>
      </c>
      <c r="H913" s="14">
        <v>0</v>
      </c>
      <c r="I913" s="31">
        <f>IF(COUNTIFS(Addendum!C:C,A913,Addendum!D:D,IF(ISNUMBER(B913),TEXT(B913,"0000"),B913),Addendum!E:E,"X")&gt;0,4%,0)</f>
        <v>0</v>
      </c>
      <c r="J913" s="31">
        <f>IF(COUNTIFS(Addendum!C:C,A913,Addendum!D:D,IF(ISNUMBER(B913),TEXT(B913,"0000"),B913),Addendum!F:F,"X")&gt;0,2.5%,0)</f>
        <v>0</v>
      </c>
      <c r="K913" s="31">
        <f>IF(COUNTIFS(Addendum!C:C,A913,Addendum!D:D,IF(ISNUMBER(B913),TEXT(B913,"0000"),B913),Addendum!G:G,"X")&gt;0,7%,0)</f>
        <v>0</v>
      </c>
      <c r="L913" s="31">
        <f>IF(COUNTIFS(Addendum!C:C,A913,Addendum!D:D,IF(ISNUMBER(B913),TEXT(B913,"0000"),B913),Addendum!I:I,"X")&gt;0,10%,0)</f>
        <v>0</v>
      </c>
      <c r="M913" s="34">
        <f t="shared" si="28"/>
        <v>0</v>
      </c>
      <c r="N913" s="17">
        <f t="shared" si="29"/>
        <v>0</v>
      </c>
    </row>
    <row r="914" spans="1:14" x14ac:dyDescent="0.25">
      <c r="A914" s="14" t="s">
        <v>2055</v>
      </c>
      <c r="B914" s="14">
        <v>3</v>
      </c>
      <c r="C914" s="15" t="s">
        <v>2075</v>
      </c>
      <c r="D914" s="14" t="s">
        <v>1752</v>
      </c>
      <c r="E914" s="14" t="s">
        <v>1747</v>
      </c>
      <c r="F914" s="17" t="s">
        <v>2993</v>
      </c>
      <c r="G914" s="14">
        <v>748800</v>
      </c>
      <c r="H914" s="14">
        <v>561600</v>
      </c>
      <c r="I914" s="31">
        <f>IF(COUNTIFS(Addendum!C:C,A914,Addendum!D:D,IF(ISNUMBER(B914),TEXT(B914,"0000"),B914),Addendum!E:E,"X")&gt;0,4%,0)</f>
        <v>0</v>
      </c>
      <c r="J914" s="31">
        <f>IF(COUNTIFS(Addendum!C:C,A914,Addendum!D:D,IF(ISNUMBER(B914),TEXT(B914,"0000"),B914),Addendum!F:F,"X")&gt;0,2.5%,0)</f>
        <v>0</v>
      </c>
      <c r="K914" s="31">
        <f>IF(COUNTIFS(Addendum!C:C,A914,Addendum!D:D,IF(ISNUMBER(B914),TEXT(B914,"0000"),B914),Addendum!G:G,"X")&gt;0,7%,0)</f>
        <v>0</v>
      </c>
      <c r="L914" s="31">
        <f>IF(COUNTIFS(Addendum!C:C,A914,Addendum!D:D,IF(ISNUMBER(B914),TEXT(B914,"0000"),B914),Addendum!I:I,"X")&gt;0,10%,0)</f>
        <v>0</v>
      </c>
      <c r="M914" s="34">
        <f t="shared" si="28"/>
        <v>0</v>
      </c>
      <c r="N914" s="17">
        <f t="shared" si="29"/>
        <v>561600</v>
      </c>
    </row>
    <row r="915" spans="1:14" x14ac:dyDescent="0.25">
      <c r="A915" s="14" t="s">
        <v>2055</v>
      </c>
      <c r="B915" s="14">
        <v>1</v>
      </c>
      <c r="C915" s="15" t="s">
        <v>2067</v>
      </c>
      <c r="D915" s="14" t="s">
        <v>1745</v>
      </c>
      <c r="E915" s="14" t="s">
        <v>1747</v>
      </c>
      <c r="F915" s="17" t="s">
        <v>2993</v>
      </c>
      <c r="G915" s="14">
        <v>0</v>
      </c>
      <c r="H915" s="14">
        <v>0</v>
      </c>
      <c r="I915" s="31">
        <f>IF(COUNTIFS(Addendum!C:C,A915,Addendum!D:D,IF(ISNUMBER(B915),TEXT(B915,"0000"),B915),Addendum!E:E,"X")&gt;0,4%,0)</f>
        <v>0</v>
      </c>
      <c r="J915" s="31">
        <f>IF(COUNTIFS(Addendum!C:C,A915,Addendum!D:D,IF(ISNUMBER(B915),TEXT(B915,"0000"),B915),Addendum!F:F,"X")&gt;0,2.5%,0)</f>
        <v>0</v>
      </c>
      <c r="K915" s="31">
        <f>IF(COUNTIFS(Addendum!C:C,A915,Addendum!D:D,IF(ISNUMBER(B915),TEXT(B915,"0000"),B915),Addendum!G:G,"X")&gt;0,7%,0)</f>
        <v>0</v>
      </c>
      <c r="L915" s="31">
        <f>IF(COUNTIFS(Addendum!C:C,A915,Addendum!D:D,IF(ISNUMBER(B915),TEXT(B915,"0000"),B915),Addendum!I:I,"X")&gt;0,10%,0)</f>
        <v>0</v>
      </c>
      <c r="M915" s="34">
        <f t="shared" si="28"/>
        <v>0</v>
      </c>
      <c r="N915" s="17">
        <f t="shared" si="29"/>
        <v>0</v>
      </c>
    </row>
    <row r="916" spans="1:14" x14ac:dyDescent="0.25">
      <c r="A916" s="14" t="s">
        <v>2055</v>
      </c>
      <c r="B916" s="14">
        <v>12</v>
      </c>
      <c r="C916" s="15" t="s">
        <v>2084</v>
      </c>
      <c r="D916" s="14" t="s">
        <v>1745</v>
      </c>
      <c r="E916" s="14" t="s">
        <v>1747</v>
      </c>
      <c r="F916" s="17" t="s">
        <v>2994</v>
      </c>
      <c r="G916" s="14">
        <v>598980</v>
      </c>
      <c r="H916" s="14">
        <v>449235</v>
      </c>
      <c r="I916" s="31">
        <f>IF(COUNTIFS(Addendum!C:C,A916,Addendum!D:D,IF(ISNUMBER(B916),TEXT(B916,"0000"),B916),Addendum!E:E,"X")&gt;0,4%,0)</f>
        <v>0</v>
      </c>
      <c r="J916" s="31">
        <f>IF(COUNTIFS(Addendum!C:C,A916,Addendum!D:D,IF(ISNUMBER(B916),TEXT(B916,"0000"),B916),Addendum!F:F,"X")&gt;0,2.5%,0)</f>
        <v>0</v>
      </c>
      <c r="K916" s="31">
        <f>IF(COUNTIFS(Addendum!C:C,A916,Addendum!D:D,IF(ISNUMBER(B916),TEXT(B916,"0000"),B916),Addendum!G:G,"X")&gt;0,7%,0)</f>
        <v>0</v>
      </c>
      <c r="L916" s="31">
        <f>IF(COUNTIFS(Addendum!C:C,A916,Addendum!D:D,IF(ISNUMBER(B916),TEXT(B916,"0000"),B916),Addendum!I:I,"X")&gt;0,10%,0)</f>
        <v>0</v>
      </c>
      <c r="M916" s="34">
        <f t="shared" si="28"/>
        <v>0</v>
      </c>
      <c r="N916" s="17">
        <f t="shared" si="29"/>
        <v>449235</v>
      </c>
    </row>
    <row r="917" spans="1:14" ht="30" x14ac:dyDescent="0.25">
      <c r="A917" s="14" t="s">
        <v>2055</v>
      </c>
      <c r="B917" s="14" t="s">
        <v>470</v>
      </c>
      <c r="C917" s="15" t="s">
        <v>2064</v>
      </c>
      <c r="D917" s="14" t="s">
        <v>1749</v>
      </c>
      <c r="E917" s="14" t="s">
        <v>1746</v>
      </c>
      <c r="F917" s="17" t="s">
        <v>2994</v>
      </c>
      <c r="G917" s="14">
        <v>27456</v>
      </c>
      <c r="H917" s="14">
        <v>20592</v>
      </c>
      <c r="I917" s="31">
        <f>IF(COUNTIFS(Addendum!C:C,A917,Addendum!D:D,IF(ISNUMBER(B917),TEXT(B917,"0000"),B917),Addendum!E:E,"X")&gt;0,4%,0)</f>
        <v>0</v>
      </c>
      <c r="J917" s="31">
        <f>IF(COUNTIFS(Addendum!C:C,A917,Addendum!D:D,IF(ISNUMBER(B917),TEXT(B917,"0000"),B917),Addendum!F:F,"X")&gt;0,2.5%,0)</f>
        <v>0</v>
      </c>
      <c r="K917" s="31">
        <f>IF(COUNTIFS(Addendum!C:C,A917,Addendum!D:D,IF(ISNUMBER(B917),TEXT(B917,"0000"),B917),Addendum!G:G,"X")&gt;0,7%,0)</f>
        <v>0</v>
      </c>
      <c r="L917" s="31">
        <f>IF(COUNTIFS(Addendum!C:C,A917,Addendum!D:D,IF(ISNUMBER(B917),TEXT(B917,"0000"),B917),Addendum!I:I,"X")&gt;0,10%,0)</f>
        <v>0</v>
      </c>
      <c r="M917" s="34">
        <f t="shared" si="28"/>
        <v>0</v>
      </c>
      <c r="N917" s="17">
        <f t="shared" si="29"/>
        <v>20592</v>
      </c>
    </row>
    <row r="918" spans="1:14" x14ac:dyDescent="0.25">
      <c r="A918" s="14" t="s">
        <v>2055</v>
      </c>
      <c r="B918" s="14" t="s">
        <v>108</v>
      </c>
      <c r="C918" s="15" t="s">
        <v>2087</v>
      </c>
      <c r="D918" s="14" t="s">
        <v>1752</v>
      </c>
      <c r="E918" s="14" t="s">
        <v>1746</v>
      </c>
      <c r="F918" s="17" t="s">
        <v>2994</v>
      </c>
      <c r="G918" s="14">
        <v>3459267</v>
      </c>
      <c r="H918" s="14">
        <v>2594450</v>
      </c>
      <c r="I918" s="31">
        <f>IF(COUNTIFS(Addendum!C:C,A918,Addendum!D:D,IF(ISNUMBER(B918),TEXT(B918,"0000"),B918),Addendum!E:E,"X")&gt;0,4%,0)</f>
        <v>0</v>
      </c>
      <c r="J918" s="31">
        <f>IF(COUNTIFS(Addendum!C:C,A918,Addendum!D:D,IF(ISNUMBER(B918),TEXT(B918,"0000"),B918),Addendum!F:F,"X")&gt;0,2.5%,0)</f>
        <v>0</v>
      </c>
      <c r="K918" s="31">
        <f>IF(COUNTIFS(Addendum!C:C,A918,Addendum!D:D,IF(ISNUMBER(B918),TEXT(B918,"0000"),B918),Addendum!G:G,"X")&gt;0,7%,0)</f>
        <v>0</v>
      </c>
      <c r="L918" s="31">
        <f>IF(COUNTIFS(Addendum!C:C,A918,Addendum!D:D,IF(ISNUMBER(B918),TEXT(B918,"0000"),B918),Addendum!I:I,"X")&gt;0,10%,0)</f>
        <v>0</v>
      </c>
      <c r="M918" s="34">
        <f t="shared" si="28"/>
        <v>0</v>
      </c>
      <c r="N918" s="17">
        <f t="shared" si="29"/>
        <v>2594450</v>
      </c>
    </row>
    <row r="919" spans="1:14" x14ac:dyDescent="0.25">
      <c r="A919" s="14" t="s">
        <v>2055</v>
      </c>
      <c r="B919" s="14" t="s">
        <v>97</v>
      </c>
      <c r="C919" s="15" t="s">
        <v>2073</v>
      </c>
      <c r="D919" s="14" t="s">
        <v>1749</v>
      </c>
      <c r="E919" s="14" t="s">
        <v>1746</v>
      </c>
      <c r="F919" s="17" t="s">
        <v>2995</v>
      </c>
      <c r="G919" s="14">
        <v>49914</v>
      </c>
      <c r="H919" s="14">
        <v>44922.6</v>
      </c>
      <c r="I919" s="31">
        <f>IF(COUNTIFS(Addendum!C:C,A919,Addendum!D:D,IF(ISNUMBER(B919),TEXT(B919,"0000"),B919),Addendum!E:E,"X")&gt;0,4%,0)</f>
        <v>0</v>
      </c>
      <c r="J919" s="31">
        <f>IF(COUNTIFS(Addendum!C:C,A919,Addendum!D:D,IF(ISNUMBER(B919),TEXT(B919,"0000"),B919),Addendum!F:F,"X")&gt;0,2.5%,0)</f>
        <v>0</v>
      </c>
      <c r="K919" s="31">
        <f>IF(COUNTIFS(Addendum!C:C,A919,Addendum!D:D,IF(ISNUMBER(B919),TEXT(B919,"0000"),B919),Addendum!G:G,"X")&gt;0,7%,0)</f>
        <v>0</v>
      </c>
      <c r="L919" s="31">
        <f>IF(COUNTIFS(Addendum!C:C,A919,Addendum!D:D,IF(ISNUMBER(B919),TEXT(B919,"0000"),B919),Addendum!I:I,"X")&gt;0,10%,0)</f>
        <v>0</v>
      </c>
      <c r="M919" s="34">
        <f t="shared" si="28"/>
        <v>0</v>
      </c>
      <c r="N919" s="17">
        <f t="shared" si="29"/>
        <v>44922.6</v>
      </c>
    </row>
    <row r="920" spans="1:14" x14ac:dyDescent="0.25">
      <c r="A920" s="14" t="s">
        <v>2055</v>
      </c>
      <c r="B920" s="14">
        <v>7</v>
      </c>
      <c r="C920" s="15" t="s">
        <v>2068</v>
      </c>
      <c r="D920" s="14" t="s">
        <v>1752</v>
      </c>
      <c r="E920" s="14" t="s">
        <v>1753</v>
      </c>
      <c r="F920" s="17" t="s">
        <v>2993</v>
      </c>
      <c r="G920" s="14">
        <v>5091480</v>
      </c>
      <c r="H920" s="14">
        <v>3818610</v>
      </c>
      <c r="I920" s="31">
        <f>IF(COUNTIFS(Addendum!C:C,A920,Addendum!D:D,IF(ISNUMBER(B920),TEXT(B920,"0000"),B920),Addendum!E:E,"X")&gt;0,4%,0)</f>
        <v>0</v>
      </c>
      <c r="J920" s="31">
        <f>IF(COUNTIFS(Addendum!C:C,A920,Addendum!D:D,IF(ISNUMBER(B920),TEXT(B920,"0000"),B920),Addendum!F:F,"X")&gt;0,2.5%,0)</f>
        <v>0</v>
      </c>
      <c r="K920" s="31">
        <f>IF(COUNTIFS(Addendum!C:C,A920,Addendum!D:D,IF(ISNUMBER(B920),TEXT(B920,"0000"),B920),Addendum!G:G,"X")&gt;0,7%,0)</f>
        <v>0</v>
      </c>
      <c r="L920" s="31">
        <f>IF(COUNTIFS(Addendum!C:C,A920,Addendum!D:D,IF(ISNUMBER(B920),TEXT(B920,"0000"),B920),Addendum!I:I,"X")&gt;0,10%,0)</f>
        <v>0</v>
      </c>
      <c r="M920" s="34">
        <f t="shared" si="28"/>
        <v>0</v>
      </c>
      <c r="N920" s="17">
        <f t="shared" si="29"/>
        <v>3818610</v>
      </c>
    </row>
    <row r="921" spans="1:14" x14ac:dyDescent="0.25">
      <c r="A921" s="14" t="s">
        <v>2055</v>
      </c>
      <c r="B921" s="14" t="s">
        <v>333</v>
      </c>
      <c r="C921" s="15" t="s">
        <v>2088</v>
      </c>
      <c r="D921" s="14" t="s">
        <v>1749</v>
      </c>
      <c r="E921" s="14" t="s">
        <v>1746</v>
      </c>
      <c r="F921" s="17" t="s">
        <v>2994</v>
      </c>
      <c r="G921" s="14">
        <v>54906</v>
      </c>
      <c r="H921" s="14">
        <v>41179.5</v>
      </c>
      <c r="I921" s="31">
        <f>IF(COUNTIFS(Addendum!C:C,A921,Addendum!D:D,IF(ISNUMBER(B921),TEXT(B921,"0000"),B921),Addendum!E:E,"X")&gt;0,4%,0)</f>
        <v>0</v>
      </c>
      <c r="J921" s="31">
        <f>IF(COUNTIFS(Addendum!C:C,A921,Addendum!D:D,IF(ISNUMBER(B921),TEXT(B921,"0000"),B921),Addendum!F:F,"X")&gt;0,2.5%,0)</f>
        <v>0</v>
      </c>
      <c r="K921" s="31">
        <f>IF(COUNTIFS(Addendum!C:C,A921,Addendum!D:D,IF(ISNUMBER(B921),TEXT(B921,"0000"),B921),Addendum!G:G,"X")&gt;0,7%,0)</f>
        <v>0</v>
      </c>
      <c r="L921" s="31">
        <f>IF(COUNTIFS(Addendum!C:C,A921,Addendum!D:D,IF(ISNUMBER(B921),TEXT(B921,"0000"),B921),Addendum!I:I,"X")&gt;0,10%,0)</f>
        <v>0</v>
      </c>
      <c r="M921" s="34">
        <f t="shared" si="28"/>
        <v>0</v>
      </c>
      <c r="N921" s="17">
        <f t="shared" si="29"/>
        <v>41179.5</v>
      </c>
    </row>
    <row r="922" spans="1:14" x14ac:dyDescent="0.25">
      <c r="A922" s="14" t="s">
        <v>2055</v>
      </c>
      <c r="B922" s="14">
        <v>16</v>
      </c>
      <c r="C922" s="15" t="s">
        <v>2065</v>
      </c>
      <c r="D922" s="14" t="s">
        <v>1752</v>
      </c>
      <c r="E922" s="14" t="s">
        <v>1746</v>
      </c>
      <c r="F922" s="17" t="s">
        <v>2995</v>
      </c>
      <c r="G922" s="14">
        <v>786240</v>
      </c>
      <c r="H922" s="14">
        <v>707616</v>
      </c>
      <c r="I922" s="31">
        <f>IF(COUNTIFS(Addendum!C:C,A922,Addendum!D:D,IF(ISNUMBER(B922),TEXT(B922,"0000"),B922),Addendum!E:E,"X")&gt;0,4%,0)</f>
        <v>0</v>
      </c>
      <c r="J922" s="31">
        <f>IF(COUNTIFS(Addendum!C:C,A922,Addendum!D:D,IF(ISNUMBER(B922),TEXT(B922,"0000"),B922),Addendum!F:F,"X")&gt;0,2.5%,0)</f>
        <v>0</v>
      </c>
      <c r="K922" s="31">
        <f>IF(COUNTIFS(Addendum!C:C,A922,Addendum!D:D,IF(ISNUMBER(B922),TEXT(B922,"0000"),B922),Addendum!G:G,"X")&gt;0,7%,0)</f>
        <v>0</v>
      </c>
      <c r="L922" s="31">
        <f>IF(COUNTIFS(Addendum!C:C,A922,Addendum!D:D,IF(ISNUMBER(B922),TEXT(B922,"0000"),B922),Addendum!I:I,"X")&gt;0,10%,0)</f>
        <v>0</v>
      </c>
      <c r="M922" s="34">
        <f t="shared" si="28"/>
        <v>0</v>
      </c>
      <c r="N922" s="17">
        <f t="shared" si="29"/>
        <v>707616</v>
      </c>
    </row>
    <row r="923" spans="1:14" x14ac:dyDescent="0.25">
      <c r="A923" s="14" t="s">
        <v>2055</v>
      </c>
      <c r="B923" s="14" t="s">
        <v>108</v>
      </c>
      <c r="C923" s="15" t="s">
        <v>2087</v>
      </c>
      <c r="D923" s="14" t="s">
        <v>1752</v>
      </c>
      <c r="E923" s="14" t="s">
        <v>1747</v>
      </c>
      <c r="F923" s="17" t="s">
        <v>2994</v>
      </c>
      <c r="G923" s="14">
        <v>3294540</v>
      </c>
      <c r="H923" s="14">
        <v>2470905</v>
      </c>
      <c r="I923" s="31">
        <f>IF(COUNTIFS(Addendum!C:C,A923,Addendum!D:D,IF(ISNUMBER(B923),TEXT(B923,"0000"),B923),Addendum!E:E,"X")&gt;0,4%,0)</f>
        <v>0</v>
      </c>
      <c r="J923" s="31">
        <f>IF(COUNTIFS(Addendum!C:C,A923,Addendum!D:D,IF(ISNUMBER(B923),TEXT(B923,"0000"),B923),Addendum!F:F,"X")&gt;0,2.5%,0)</f>
        <v>0</v>
      </c>
      <c r="K923" s="31">
        <f>IF(COUNTIFS(Addendum!C:C,A923,Addendum!D:D,IF(ISNUMBER(B923),TEXT(B923,"0000"),B923),Addendum!G:G,"X")&gt;0,7%,0)</f>
        <v>0</v>
      </c>
      <c r="L923" s="31">
        <f>IF(COUNTIFS(Addendum!C:C,A923,Addendum!D:D,IF(ISNUMBER(B923),TEXT(B923,"0000"),B923),Addendum!I:I,"X")&gt;0,10%,0)</f>
        <v>0</v>
      </c>
      <c r="M923" s="34">
        <f t="shared" si="28"/>
        <v>0</v>
      </c>
      <c r="N923" s="17">
        <f t="shared" si="29"/>
        <v>2470905</v>
      </c>
    </row>
    <row r="924" spans="1:14" x14ac:dyDescent="0.25">
      <c r="A924" s="14" t="s">
        <v>2055</v>
      </c>
      <c r="B924" s="14">
        <v>17</v>
      </c>
      <c r="C924" s="15" t="s">
        <v>2059</v>
      </c>
      <c r="D924" s="14" t="s">
        <v>1745</v>
      </c>
      <c r="E924" s="14" t="s">
        <v>1746</v>
      </c>
      <c r="F924" s="17" t="s">
        <v>2994</v>
      </c>
      <c r="G924" s="14">
        <v>576513</v>
      </c>
      <c r="H924" s="14">
        <v>432384.7</v>
      </c>
      <c r="I924" s="31">
        <f>IF(COUNTIFS(Addendum!C:C,A924,Addendum!D:D,IF(ISNUMBER(B924),TEXT(B924,"0000"),B924),Addendum!E:E,"X")&gt;0,4%,0)</f>
        <v>0</v>
      </c>
      <c r="J924" s="31">
        <f>IF(COUNTIFS(Addendum!C:C,A924,Addendum!D:D,IF(ISNUMBER(B924),TEXT(B924,"0000"),B924),Addendum!F:F,"X")&gt;0,2.5%,0)</f>
        <v>0</v>
      </c>
      <c r="K924" s="31">
        <f>IF(COUNTIFS(Addendum!C:C,A924,Addendum!D:D,IF(ISNUMBER(B924),TEXT(B924,"0000"),B924),Addendum!G:G,"X")&gt;0,7%,0)</f>
        <v>0</v>
      </c>
      <c r="L924" s="31">
        <f>IF(COUNTIFS(Addendum!C:C,A924,Addendum!D:D,IF(ISNUMBER(B924),TEXT(B924,"0000"),B924),Addendum!I:I,"X")&gt;0,10%,0)</f>
        <v>0</v>
      </c>
      <c r="M924" s="34">
        <f t="shared" si="28"/>
        <v>0</v>
      </c>
      <c r="N924" s="17">
        <f t="shared" si="29"/>
        <v>432384.7</v>
      </c>
    </row>
    <row r="925" spans="1:14" x14ac:dyDescent="0.25">
      <c r="A925" s="14" t="s">
        <v>2055</v>
      </c>
      <c r="B925" s="14">
        <v>19</v>
      </c>
      <c r="C925" s="15" t="s">
        <v>2069</v>
      </c>
      <c r="D925" s="14" t="s">
        <v>1745</v>
      </c>
      <c r="E925" s="14" t="s">
        <v>1747</v>
      </c>
      <c r="F925" s="17" t="s">
        <v>2995</v>
      </c>
      <c r="G925" s="14">
        <v>124800</v>
      </c>
      <c r="H925" s="14">
        <v>112320</v>
      </c>
      <c r="I925" s="31">
        <f>IF(COUNTIFS(Addendum!C:C,A925,Addendum!D:D,IF(ISNUMBER(B925),TEXT(B925,"0000"),B925),Addendum!E:E,"X")&gt;0,4%,0)</f>
        <v>0</v>
      </c>
      <c r="J925" s="31">
        <f>IF(COUNTIFS(Addendum!C:C,A925,Addendum!D:D,IF(ISNUMBER(B925),TEXT(B925,"0000"),B925),Addendum!F:F,"X")&gt;0,2.5%,0)</f>
        <v>0</v>
      </c>
      <c r="K925" s="31">
        <f>IF(COUNTIFS(Addendum!C:C,A925,Addendum!D:D,IF(ISNUMBER(B925),TEXT(B925,"0000"),B925),Addendum!G:G,"X")&gt;0,7%,0)</f>
        <v>0</v>
      </c>
      <c r="L925" s="31">
        <f>IF(COUNTIFS(Addendum!C:C,A925,Addendum!D:D,IF(ISNUMBER(B925),TEXT(B925,"0000"),B925),Addendum!I:I,"X")&gt;0,10%,0)</f>
        <v>0</v>
      </c>
      <c r="M925" s="34">
        <f t="shared" si="28"/>
        <v>0</v>
      </c>
      <c r="N925" s="17">
        <f t="shared" si="29"/>
        <v>112320</v>
      </c>
    </row>
    <row r="926" spans="1:14" x14ac:dyDescent="0.25">
      <c r="A926" s="14" t="s">
        <v>2055</v>
      </c>
      <c r="B926" s="14" t="s">
        <v>297</v>
      </c>
      <c r="C926" s="15" t="s">
        <v>2083</v>
      </c>
      <c r="D926" s="14" t="s">
        <v>1752</v>
      </c>
      <c r="E926" s="14" t="s">
        <v>1753</v>
      </c>
      <c r="F926" s="17" t="s">
        <v>2994</v>
      </c>
      <c r="G926" s="14">
        <v>2395980</v>
      </c>
      <c r="H926" s="14">
        <v>1796985</v>
      </c>
      <c r="I926" s="31">
        <f>IF(COUNTIFS(Addendum!C:C,A926,Addendum!D:D,IF(ISNUMBER(B926),TEXT(B926,"0000"),B926),Addendum!E:E,"X")&gt;0,4%,0)</f>
        <v>0</v>
      </c>
      <c r="J926" s="31">
        <f>IF(COUNTIFS(Addendum!C:C,A926,Addendum!D:D,IF(ISNUMBER(B926),TEXT(B926,"0000"),B926),Addendum!F:F,"X")&gt;0,2.5%,0)</f>
        <v>0</v>
      </c>
      <c r="K926" s="31">
        <f>IF(COUNTIFS(Addendum!C:C,A926,Addendum!D:D,IF(ISNUMBER(B926),TEXT(B926,"0000"),B926),Addendum!G:G,"X")&gt;0,7%,0)</f>
        <v>0</v>
      </c>
      <c r="L926" s="31">
        <f>IF(COUNTIFS(Addendum!C:C,A926,Addendum!D:D,IF(ISNUMBER(B926),TEXT(B926,"0000"),B926),Addendum!I:I,"X")&gt;0,10%,0)</f>
        <v>0</v>
      </c>
      <c r="M926" s="34">
        <f t="shared" si="28"/>
        <v>0</v>
      </c>
      <c r="N926" s="17">
        <f t="shared" si="29"/>
        <v>1796985</v>
      </c>
    </row>
    <row r="927" spans="1:14" x14ac:dyDescent="0.25">
      <c r="A927" s="14" t="s">
        <v>2055</v>
      </c>
      <c r="B927" s="14" t="s">
        <v>325</v>
      </c>
      <c r="C927" s="15" t="s">
        <v>2070</v>
      </c>
      <c r="D927" s="14" t="s">
        <v>1752</v>
      </c>
      <c r="E927" s="14" t="s">
        <v>1747</v>
      </c>
      <c r="F927" s="17" t="s">
        <v>2994</v>
      </c>
      <c r="G927" s="14">
        <v>1198080</v>
      </c>
      <c r="H927" s="14">
        <v>898560</v>
      </c>
      <c r="I927" s="31">
        <f>IF(COUNTIFS(Addendum!C:C,A927,Addendum!D:D,IF(ISNUMBER(B927),TEXT(B927,"0000"),B927),Addendum!E:E,"X")&gt;0,4%,0)</f>
        <v>0</v>
      </c>
      <c r="J927" s="31">
        <f>IF(COUNTIFS(Addendum!C:C,A927,Addendum!D:D,IF(ISNUMBER(B927),TEXT(B927,"0000"),B927),Addendum!F:F,"X")&gt;0,2.5%,0)</f>
        <v>0</v>
      </c>
      <c r="K927" s="31">
        <f>IF(COUNTIFS(Addendum!C:C,A927,Addendum!D:D,IF(ISNUMBER(B927),TEXT(B927,"0000"),B927),Addendum!G:G,"X")&gt;0,7%,0)</f>
        <v>0</v>
      </c>
      <c r="L927" s="31">
        <f>IF(COUNTIFS(Addendum!C:C,A927,Addendum!D:D,IF(ISNUMBER(B927),TEXT(B927,"0000"),B927),Addendum!I:I,"X")&gt;0,10%,0)</f>
        <v>0</v>
      </c>
      <c r="M927" s="34">
        <f t="shared" si="28"/>
        <v>0</v>
      </c>
      <c r="N927" s="17">
        <f t="shared" si="29"/>
        <v>898560</v>
      </c>
    </row>
    <row r="928" spans="1:14" ht="30" x14ac:dyDescent="0.25">
      <c r="A928" s="14" t="s">
        <v>2055</v>
      </c>
      <c r="B928" s="14" t="s">
        <v>118</v>
      </c>
      <c r="C928" s="15" t="s">
        <v>2060</v>
      </c>
      <c r="D928" s="14" t="s">
        <v>1745</v>
      </c>
      <c r="E928" s="14" t="s">
        <v>1747</v>
      </c>
      <c r="F928" s="17" t="s">
        <v>2994</v>
      </c>
      <c r="G928" s="14">
        <v>137280</v>
      </c>
      <c r="H928" s="14">
        <v>102960</v>
      </c>
      <c r="I928" s="31">
        <f>IF(COUNTIFS(Addendum!C:C,A928,Addendum!D:D,IF(ISNUMBER(B928),TEXT(B928,"0000"),B928),Addendum!E:E,"X")&gt;0,4%,0)</f>
        <v>0</v>
      </c>
      <c r="J928" s="31">
        <f>IF(COUNTIFS(Addendum!C:C,A928,Addendum!D:D,IF(ISNUMBER(B928),TEXT(B928,"0000"),B928),Addendum!F:F,"X")&gt;0,2.5%,0)</f>
        <v>0</v>
      </c>
      <c r="K928" s="31">
        <f>IF(COUNTIFS(Addendum!C:C,A928,Addendum!D:D,IF(ISNUMBER(B928),TEXT(B928,"0000"),B928),Addendum!G:G,"X")&gt;0,7%,0)</f>
        <v>0</v>
      </c>
      <c r="L928" s="31">
        <f>IF(COUNTIFS(Addendum!C:C,A928,Addendum!D:D,IF(ISNUMBER(B928),TEXT(B928,"0000"),B928),Addendum!I:I,"X")&gt;0,10%,0)</f>
        <v>0</v>
      </c>
      <c r="M928" s="34">
        <f t="shared" si="28"/>
        <v>0</v>
      </c>
      <c r="N928" s="17">
        <f t="shared" si="29"/>
        <v>102960</v>
      </c>
    </row>
    <row r="929" spans="1:14" x14ac:dyDescent="0.25">
      <c r="A929" s="14" t="s">
        <v>2055</v>
      </c>
      <c r="B929" s="14">
        <v>12</v>
      </c>
      <c r="C929" s="15" t="s">
        <v>2084</v>
      </c>
      <c r="D929" s="14" t="s">
        <v>1752</v>
      </c>
      <c r="E929" s="14" t="s">
        <v>1753</v>
      </c>
      <c r="F929" s="17" t="s">
        <v>2994</v>
      </c>
      <c r="G929" s="14">
        <v>1796940</v>
      </c>
      <c r="H929" s="14">
        <v>1347705</v>
      </c>
      <c r="I929" s="31">
        <f>IF(COUNTIFS(Addendum!C:C,A929,Addendum!D:D,IF(ISNUMBER(B929),TEXT(B929,"0000"),B929),Addendum!E:E,"X")&gt;0,4%,0)</f>
        <v>0</v>
      </c>
      <c r="J929" s="31">
        <f>IF(COUNTIFS(Addendum!C:C,A929,Addendum!D:D,IF(ISNUMBER(B929),TEXT(B929,"0000"),B929),Addendum!F:F,"X")&gt;0,2.5%,0)</f>
        <v>0</v>
      </c>
      <c r="K929" s="31">
        <f>IF(COUNTIFS(Addendum!C:C,A929,Addendum!D:D,IF(ISNUMBER(B929),TEXT(B929,"0000"),B929),Addendum!G:G,"X")&gt;0,7%,0)</f>
        <v>0</v>
      </c>
      <c r="L929" s="31">
        <f>IF(COUNTIFS(Addendum!C:C,A929,Addendum!D:D,IF(ISNUMBER(B929),TEXT(B929,"0000"),B929),Addendum!I:I,"X")&gt;0,10%,0)</f>
        <v>0</v>
      </c>
      <c r="M929" s="34">
        <f t="shared" si="28"/>
        <v>0</v>
      </c>
      <c r="N929" s="17">
        <f t="shared" si="29"/>
        <v>1347705</v>
      </c>
    </row>
    <row r="930" spans="1:14" x14ac:dyDescent="0.25">
      <c r="A930" s="14" t="s">
        <v>2055</v>
      </c>
      <c r="B930" s="14">
        <v>14</v>
      </c>
      <c r="C930" s="15" t="s">
        <v>2074</v>
      </c>
      <c r="D930" s="14" t="s">
        <v>1745</v>
      </c>
      <c r="E930" s="14" t="s">
        <v>1747</v>
      </c>
      <c r="F930" s="17" t="s">
        <v>2995</v>
      </c>
      <c r="G930" s="14">
        <v>374400</v>
      </c>
      <c r="H930" s="14">
        <v>336960</v>
      </c>
      <c r="I930" s="31">
        <f>IF(COUNTIFS(Addendum!C:C,A930,Addendum!D:D,IF(ISNUMBER(B930),TEXT(B930,"0000"),B930),Addendum!E:E,"X")&gt;0,4%,0)</f>
        <v>0</v>
      </c>
      <c r="J930" s="31">
        <f>IF(COUNTIFS(Addendum!C:C,A930,Addendum!D:D,IF(ISNUMBER(B930),TEXT(B930,"0000"),B930),Addendum!F:F,"X")&gt;0,2.5%,0)</f>
        <v>0</v>
      </c>
      <c r="K930" s="31">
        <f>IF(COUNTIFS(Addendum!C:C,A930,Addendum!D:D,IF(ISNUMBER(B930),TEXT(B930,"0000"),B930),Addendum!G:G,"X")&gt;0,7%,0)</f>
        <v>0</v>
      </c>
      <c r="L930" s="31">
        <f>IF(COUNTIFS(Addendum!C:C,A930,Addendum!D:D,IF(ISNUMBER(B930),TEXT(B930,"0000"),B930),Addendum!I:I,"X")&gt;0,10%,0)</f>
        <v>0</v>
      </c>
      <c r="M930" s="34">
        <f t="shared" si="28"/>
        <v>0</v>
      </c>
      <c r="N930" s="17">
        <f t="shared" si="29"/>
        <v>336960</v>
      </c>
    </row>
    <row r="931" spans="1:14" x14ac:dyDescent="0.25">
      <c r="A931" s="14" t="s">
        <v>2055</v>
      </c>
      <c r="B931" s="14" t="s">
        <v>297</v>
      </c>
      <c r="C931" s="15" t="s">
        <v>2083</v>
      </c>
      <c r="D931" s="14" t="s">
        <v>1752</v>
      </c>
      <c r="E931" s="14" t="s">
        <v>1747</v>
      </c>
      <c r="F931" s="17" t="s">
        <v>2994</v>
      </c>
      <c r="G931" s="14">
        <v>2395980</v>
      </c>
      <c r="H931" s="14">
        <v>1796985</v>
      </c>
      <c r="I931" s="31">
        <f>IF(COUNTIFS(Addendum!C:C,A931,Addendum!D:D,IF(ISNUMBER(B931),TEXT(B931,"0000"),B931),Addendum!E:E,"X")&gt;0,4%,0)</f>
        <v>0</v>
      </c>
      <c r="J931" s="31">
        <f>IF(COUNTIFS(Addendum!C:C,A931,Addendum!D:D,IF(ISNUMBER(B931),TEXT(B931,"0000"),B931),Addendum!F:F,"X")&gt;0,2.5%,0)</f>
        <v>0</v>
      </c>
      <c r="K931" s="31">
        <f>IF(COUNTIFS(Addendum!C:C,A931,Addendum!D:D,IF(ISNUMBER(B931),TEXT(B931,"0000"),B931),Addendum!G:G,"X")&gt;0,7%,0)</f>
        <v>0</v>
      </c>
      <c r="L931" s="31">
        <f>IF(COUNTIFS(Addendum!C:C,A931,Addendum!D:D,IF(ISNUMBER(B931),TEXT(B931,"0000"),B931),Addendum!I:I,"X")&gt;0,10%,0)</f>
        <v>0</v>
      </c>
      <c r="M931" s="34">
        <f t="shared" si="28"/>
        <v>0</v>
      </c>
      <c r="N931" s="17">
        <f t="shared" si="29"/>
        <v>1796985</v>
      </c>
    </row>
    <row r="932" spans="1:14" x14ac:dyDescent="0.25">
      <c r="A932" s="14" t="s">
        <v>2055</v>
      </c>
      <c r="B932" s="14" t="s">
        <v>108</v>
      </c>
      <c r="C932" s="15" t="s">
        <v>2087</v>
      </c>
      <c r="D932" s="14" t="s">
        <v>1752</v>
      </c>
      <c r="E932" s="14" t="s">
        <v>1753</v>
      </c>
      <c r="F932" s="17" t="s">
        <v>2994</v>
      </c>
      <c r="G932" s="14">
        <v>3294540</v>
      </c>
      <c r="H932" s="14">
        <v>2470905</v>
      </c>
      <c r="I932" s="31">
        <f>IF(COUNTIFS(Addendum!C:C,A932,Addendum!D:D,IF(ISNUMBER(B932),TEXT(B932,"0000"),B932),Addendum!E:E,"X")&gt;0,4%,0)</f>
        <v>0</v>
      </c>
      <c r="J932" s="31">
        <f>IF(COUNTIFS(Addendum!C:C,A932,Addendum!D:D,IF(ISNUMBER(B932),TEXT(B932,"0000"),B932),Addendum!F:F,"X")&gt;0,2.5%,0)</f>
        <v>0</v>
      </c>
      <c r="K932" s="31">
        <f>IF(COUNTIFS(Addendum!C:C,A932,Addendum!D:D,IF(ISNUMBER(B932),TEXT(B932,"0000"),B932),Addendum!G:G,"X")&gt;0,7%,0)</f>
        <v>0</v>
      </c>
      <c r="L932" s="31">
        <f>IF(COUNTIFS(Addendum!C:C,A932,Addendum!D:D,IF(ISNUMBER(B932),TEXT(B932,"0000"),B932),Addendum!I:I,"X")&gt;0,10%,0)</f>
        <v>0</v>
      </c>
      <c r="M932" s="34">
        <f t="shared" si="28"/>
        <v>0</v>
      </c>
      <c r="N932" s="17">
        <f t="shared" si="29"/>
        <v>2470905</v>
      </c>
    </row>
    <row r="933" spans="1:14" x14ac:dyDescent="0.25">
      <c r="A933" s="14" t="s">
        <v>2055</v>
      </c>
      <c r="B933" s="14">
        <v>15</v>
      </c>
      <c r="C933" s="15" t="s">
        <v>2072</v>
      </c>
      <c r="D933" s="14" t="s">
        <v>1745</v>
      </c>
      <c r="E933" s="14" t="s">
        <v>1747</v>
      </c>
      <c r="F933" s="17" t="s">
        <v>2994</v>
      </c>
      <c r="G933" s="14">
        <v>399360</v>
      </c>
      <c r="H933" s="14">
        <v>299520</v>
      </c>
      <c r="I933" s="31">
        <f>IF(COUNTIFS(Addendum!C:C,A933,Addendum!D:D,IF(ISNUMBER(B933),TEXT(B933,"0000"),B933),Addendum!E:E,"X")&gt;0,4%,0)</f>
        <v>0</v>
      </c>
      <c r="J933" s="31">
        <f>IF(COUNTIFS(Addendum!C:C,A933,Addendum!D:D,IF(ISNUMBER(B933),TEXT(B933,"0000"),B933),Addendum!F:F,"X")&gt;0,2.5%,0)</f>
        <v>0</v>
      </c>
      <c r="K933" s="31">
        <f>IF(COUNTIFS(Addendum!C:C,A933,Addendum!D:D,IF(ISNUMBER(B933),TEXT(B933,"0000"),B933),Addendum!G:G,"X")&gt;0,7%,0)</f>
        <v>0</v>
      </c>
      <c r="L933" s="31">
        <f>IF(COUNTIFS(Addendum!C:C,A933,Addendum!D:D,IF(ISNUMBER(B933),TEXT(B933,"0000"),B933),Addendum!I:I,"X")&gt;0,10%,0)</f>
        <v>0</v>
      </c>
      <c r="M933" s="34">
        <f t="shared" si="28"/>
        <v>0</v>
      </c>
      <c r="N933" s="17">
        <f t="shared" si="29"/>
        <v>299520</v>
      </c>
    </row>
    <row r="934" spans="1:14" x14ac:dyDescent="0.25">
      <c r="A934" s="14" t="s">
        <v>2055</v>
      </c>
      <c r="B934" s="14" t="s">
        <v>608</v>
      </c>
      <c r="C934" s="15" t="s">
        <v>2063</v>
      </c>
      <c r="D934" s="14" t="s">
        <v>1752</v>
      </c>
      <c r="E934" s="14" t="s">
        <v>1753</v>
      </c>
      <c r="F934" s="17" t="s">
        <v>2995</v>
      </c>
      <c r="G934" s="14">
        <v>0</v>
      </c>
      <c r="H934" s="14">
        <v>0</v>
      </c>
      <c r="I934" s="31">
        <f>IF(COUNTIFS(Addendum!C:C,A934,Addendum!D:D,IF(ISNUMBER(B934),TEXT(B934,"0000"),B934),Addendum!E:E,"X")&gt;0,4%,0)</f>
        <v>0</v>
      </c>
      <c r="J934" s="31">
        <f>IF(COUNTIFS(Addendum!C:C,A934,Addendum!D:D,IF(ISNUMBER(B934),TEXT(B934,"0000"),B934),Addendum!F:F,"X")&gt;0,2.5%,0)</f>
        <v>0</v>
      </c>
      <c r="K934" s="31">
        <f>IF(COUNTIFS(Addendum!C:C,A934,Addendum!D:D,IF(ISNUMBER(B934),TEXT(B934,"0000"),B934),Addendum!G:G,"X")&gt;0,7%,0)</f>
        <v>0</v>
      </c>
      <c r="L934" s="31">
        <f>IF(COUNTIFS(Addendum!C:C,A934,Addendum!D:D,IF(ISNUMBER(B934),TEXT(B934,"0000"),B934),Addendum!I:I,"X")&gt;0,10%,0)</f>
        <v>0</v>
      </c>
      <c r="M934" s="34">
        <f t="shared" si="28"/>
        <v>0</v>
      </c>
      <c r="N934" s="17">
        <f t="shared" si="29"/>
        <v>0</v>
      </c>
    </row>
    <row r="935" spans="1:14" ht="30" x14ac:dyDescent="0.25">
      <c r="A935" s="14" t="s">
        <v>2055</v>
      </c>
      <c r="B935" s="14" t="s">
        <v>470</v>
      </c>
      <c r="C935" s="15" t="s">
        <v>2064</v>
      </c>
      <c r="D935" s="14" t="s">
        <v>1752</v>
      </c>
      <c r="E935" s="14" t="s">
        <v>1747</v>
      </c>
      <c r="F935" s="17" t="s">
        <v>2994</v>
      </c>
      <c r="G935" s="14">
        <v>823680</v>
      </c>
      <c r="H935" s="14">
        <v>617760</v>
      </c>
      <c r="I935" s="31">
        <f>IF(COUNTIFS(Addendum!C:C,A935,Addendum!D:D,IF(ISNUMBER(B935),TEXT(B935,"0000"),B935),Addendum!E:E,"X")&gt;0,4%,0)</f>
        <v>0</v>
      </c>
      <c r="J935" s="31">
        <f>IF(COUNTIFS(Addendum!C:C,A935,Addendum!D:D,IF(ISNUMBER(B935),TEXT(B935,"0000"),B935),Addendum!F:F,"X")&gt;0,2.5%,0)</f>
        <v>0</v>
      </c>
      <c r="K935" s="31">
        <f>IF(COUNTIFS(Addendum!C:C,A935,Addendum!D:D,IF(ISNUMBER(B935),TEXT(B935,"0000"),B935),Addendum!G:G,"X")&gt;0,7%,0)</f>
        <v>0</v>
      </c>
      <c r="L935" s="31">
        <f>IF(COUNTIFS(Addendum!C:C,A935,Addendum!D:D,IF(ISNUMBER(B935),TEXT(B935,"0000"),B935),Addendum!I:I,"X")&gt;0,10%,0)</f>
        <v>0</v>
      </c>
      <c r="M935" s="34">
        <f t="shared" si="28"/>
        <v>0</v>
      </c>
      <c r="N935" s="17">
        <f t="shared" si="29"/>
        <v>617760</v>
      </c>
    </row>
    <row r="936" spans="1:14" x14ac:dyDescent="0.25">
      <c r="A936" s="14" t="s">
        <v>2055</v>
      </c>
      <c r="B936" s="14" t="s">
        <v>297</v>
      </c>
      <c r="C936" s="15" t="s">
        <v>2083</v>
      </c>
      <c r="D936" s="14" t="s">
        <v>1745</v>
      </c>
      <c r="E936" s="14" t="s">
        <v>1747</v>
      </c>
      <c r="F936" s="17" t="s">
        <v>2994</v>
      </c>
      <c r="G936" s="14">
        <v>798660</v>
      </c>
      <c r="H936" s="14">
        <v>598995</v>
      </c>
      <c r="I936" s="31">
        <f>IF(COUNTIFS(Addendum!C:C,A936,Addendum!D:D,IF(ISNUMBER(B936),TEXT(B936,"0000"),B936),Addendum!E:E,"X")&gt;0,4%,0)</f>
        <v>0</v>
      </c>
      <c r="J936" s="31">
        <f>IF(COUNTIFS(Addendum!C:C,A936,Addendum!D:D,IF(ISNUMBER(B936),TEXT(B936,"0000"),B936),Addendum!F:F,"X")&gt;0,2.5%,0)</f>
        <v>0</v>
      </c>
      <c r="K936" s="31">
        <f>IF(COUNTIFS(Addendum!C:C,A936,Addendum!D:D,IF(ISNUMBER(B936),TEXT(B936,"0000"),B936),Addendum!G:G,"X")&gt;0,7%,0)</f>
        <v>0</v>
      </c>
      <c r="L936" s="31">
        <f>IF(COUNTIFS(Addendum!C:C,A936,Addendum!D:D,IF(ISNUMBER(B936),TEXT(B936,"0000"),B936),Addendum!I:I,"X")&gt;0,10%,0)</f>
        <v>0</v>
      </c>
      <c r="M936" s="34">
        <f t="shared" si="28"/>
        <v>0</v>
      </c>
      <c r="N936" s="17">
        <f t="shared" si="29"/>
        <v>598995</v>
      </c>
    </row>
    <row r="937" spans="1:14" x14ac:dyDescent="0.25">
      <c r="A937" s="14" t="s">
        <v>2055</v>
      </c>
      <c r="B937" s="14" t="s">
        <v>89</v>
      </c>
      <c r="C937" s="15" t="s">
        <v>2085</v>
      </c>
      <c r="D937" s="14" t="s">
        <v>1745</v>
      </c>
      <c r="E937" s="14" t="s">
        <v>1746</v>
      </c>
      <c r="F937" s="17" t="s">
        <v>2993</v>
      </c>
      <c r="G937" s="14">
        <v>1048257</v>
      </c>
      <c r="H937" s="14">
        <v>786192.7</v>
      </c>
      <c r="I937" s="31">
        <f>IF(COUNTIFS(Addendum!C:C,A937,Addendum!D:D,IF(ISNUMBER(B937),TEXT(B937,"0000"),B937),Addendum!E:E,"X")&gt;0,4%,0)</f>
        <v>0</v>
      </c>
      <c r="J937" s="31">
        <f>IF(COUNTIFS(Addendum!C:C,A937,Addendum!D:D,IF(ISNUMBER(B937),TEXT(B937,"0000"),B937),Addendum!F:F,"X")&gt;0,2.5%,0)</f>
        <v>0</v>
      </c>
      <c r="K937" s="31">
        <f>IF(COUNTIFS(Addendum!C:C,A937,Addendum!D:D,IF(ISNUMBER(B937),TEXT(B937,"0000"),B937),Addendum!G:G,"X")&gt;0,7%,0)</f>
        <v>0</v>
      </c>
      <c r="L937" s="31">
        <f>IF(COUNTIFS(Addendum!C:C,A937,Addendum!D:D,IF(ISNUMBER(B937),TEXT(B937,"0000"),B937),Addendum!I:I,"X")&gt;0,10%,0)</f>
        <v>0</v>
      </c>
      <c r="M937" s="34">
        <f t="shared" si="28"/>
        <v>0</v>
      </c>
      <c r="N937" s="17">
        <f t="shared" si="29"/>
        <v>786192.7</v>
      </c>
    </row>
    <row r="938" spans="1:14" x14ac:dyDescent="0.25">
      <c r="A938" s="14" t="s">
        <v>2055</v>
      </c>
      <c r="B938" s="14" t="s">
        <v>97</v>
      </c>
      <c r="C938" s="15" t="s">
        <v>2073</v>
      </c>
      <c r="D938" s="14" t="s">
        <v>1752</v>
      </c>
      <c r="E938" s="14" t="s">
        <v>1747</v>
      </c>
      <c r="F938" s="17" t="s">
        <v>2995</v>
      </c>
      <c r="G938" s="14">
        <v>1497420</v>
      </c>
      <c r="H938" s="14">
        <v>1347678</v>
      </c>
      <c r="I938" s="31">
        <f>IF(COUNTIFS(Addendum!C:C,A938,Addendum!D:D,IF(ISNUMBER(B938),TEXT(B938,"0000"),B938),Addendum!E:E,"X")&gt;0,4%,0)</f>
        <v>0</v>
      </c>
      <c r="J938" s="31">
        <f>IF(COUNTIFS(Addendum!C:C,A938,Addendum!D:D,IF(ISNUMBER(B938),TEXT(B938,"0000"),B938),Addendum!F:F,"X")&gt;0,2.5%,0)</f>
        <v>0</v>
      </c>
      <c r="K938" s="31">
        <f>IF(COUNTIFS(Addendum!C:C,A938,Addendum!D:D,IF(ISNUMBER(B938),TEXT(B938,"0000"),B938),Addendum!G:G,"X")&gt;0,7%,0)</f>
        <v>0</v>
      </c>
      <c r="L938" s="31">
        <f>IF(COUNTIFS(Addendum!C:C,A938,Addendum!D:D,IF(ISNUMBER(B938),TEXT(B938,"0000"),B938),Addendum!I:I,"X")&gt;0,10%,0)</f>
        <v>0</v>
      </c>
      <c r="M938" s="34">
        <f t="shared" si="28"/>
        <v>0</v>
      </c>
      <c r="N938" s="17">
        <f t="shared" si="29"/>
        <v>1347678</v>
      </c>
    </row>
    <row r="939" spans="1:14" x14ac:dyDescent="0.25">
      <c r="A939" s="14" t="s">
        <v>2055</v>
      </c>
      <c r="B939" s="14">
        <v>12</v>
      </c>
      <c r="C939" s="15" t="s">
        <v>2084</v>
      </c>
      <c r="D939" s="14" t="s">
        <v>1752</v>
      </c>
      <c r="E939" s="14" t="s">
        <v>1746</v>
      </c>
      <c r="F939" s="17" t="s">
        <v>2994</v>
      </c>
      <c r="G939" s="14">
        <v>1886787</v>
      </c>
      <c r="H939" s="14">
        <v>1415090</v>
      </c>
      <c r="I939" s="31">
        <f>IF(COUNTIFS(Addendum!C:C,A939,Addendum!D:D,IF(ISNUMBER(B939),TEXT(B939,"0000"),B939),Addendum!E:E,"X")&gt;0,4%,0)</f>
        <v>0</v>
      </c>
      <c r="J939" s="31">
        <f>IF(COUNTIFS(Addendum!C:C,A939,Addendum!D:D,IF(ISNUMBER(B939),TEXT(B939,"0000"),B939),Addendum!F:F,"X")&gt;0,2.5%,0)</f>
        <v>0</v>
      </c>
      <c r="K939" s="31">
        <f>IF(COUNTIFS(Addendum!C:C,A939,Addendum!D:D,IF(ISNUMBER(B939),TEXT(B939,"0000"),B939),Addendum!G:G,"X")&gt;0,7%,0)</f>
        <v>0</v>
      </c>
      <c r="L939" s="31">
        <f>IF(COUNTIFS(Addendum!C:C,A939,Addendum!D:D,IF(ISNUMBER(B939),TEXT(B939,"0000"),B939),Addendum!I:I,"X")&gt;0,10%,0)</f>
        <v>0</v>
      </c>
      <c r="M939" s="34">
        <f t="shared" si="28"/>
        <v>0</v>
      </c>
      <c r="N939" s="17">
        <f t="shared" si="29"/>
        <v>1415090</v>
      </c>
    </row>
    <row r="940" spans="1:14" x14ac:dyDescent="0.25">
      <c r="A940" s="14" t="s">
        <v>2055</v>
      </c>
      <c r="B940" s="14" t="s">
        <v>73</v>
      </c>
      <c r="C940" s="15" t="s">
        <v>2058</v>
      </c>
      <c r="D940" s="14" t="s">
        <v>1749</v>
      </c>
      <c r="E940" s="14" t="s">
        <v>1746</v>
      </c>
      <c r="F940" s="17" t="s">
        <v>2993</v>
      </c>
      <c r="G940" s="14">
        <v>99834</v>
      </c>
      <c r="H940" s="14">
        <v>74875.5</v>
      </c>
      <c r="I940" s="31">
        <f>IF(COUNTIFS(Addendum!C:C,A940,Addendum!D:D,IF(ISNUMBER(B940),TEXT(B940,"0000"),B940),Addendum!E:E,"X")&gt;0,4%,0)</f>
        <v>0</v>
      </c>
      <c r="J940" s="31">
        <f>IF(COUNTIFS(Addendum!C:C,A940,Addendum!D:D,IF(ISNUMBER(B940),TEXT(B940,"0000"),B940),Addendum!F:F,"X")&gt;0,2.5%,0)</f>
        <v>0</v>
      </c>
      <c r="K940" s="31">
        <f>IF(COUNTIFS(Addendum!C:C,A940,Addendum!D:D,IF(ISNUMBER(B940),TEXT(B940,"0000"),B940),Addendum!G:G,"X")&gt;0,7%,0)</f>
        <v>0</v>
      </c>
      <c r="L940" s="31">
        <f>IF(COUNTIFS(Addendum!C:C,A940,Addendum!D:D,IF(ISNUMBER(B940),TEXT(B940,"0000"),B940),Addendum!I:I,"X")&gt;0,10%,0)</f>
        <v>0</v>
      </c>
      <c r="M940" s="34">
        <f t="shared" si="28"/>
        <v>0</v>
      </c>
      <c r="N940" s="17">
        <f t="shared" si="29"/>
        <v>74875.5</v>
      </c>
    </row>
    <row r="941" spans="1:14" x14ac:dyDescent="0.25">
      <c r="A941" s="14" t="s">
        <v>2055</v>
      </c>
      <c r="B941" s="14" t="s">
        <v>46</v>
      </c>
      <c r="C941" s="15" t="s">
        <v>2081</v>
      </c>
      <c r="D941" s="14" t="s">
        <v>1752</v>
      </c>
      <c r="E941" s="14" t="s">
        <v>1747</v>
      </c>
      <c r="F941" s="17" t="s">
        <v>2994</v>
      </c>
      <c r="G941" s="14">
        <v>2036520</v>
      </c>
      <c r="H941" s="14">
        <v>1527390</v>
      </c>
      <c r="I941" s="31">
        <f>IF(COUNTIFS(Addendum!C:C,A941,Addendum!D:D,IF(ISNUMBER(B941),TEXT(B941,"0000"),B941),Addendum!E:E,"X")&gt;0,4%,0)</f>
        <v>0</v>
      </c>
      <c r="J941" s="31">
        <f>IF(COUNTIFS(Addendum!C:C,A941,Addendum!D:D,IF(ISNUMBER(B941),TEXT(B941,"0000"),B941),Addendum!F:F,"X")&gt;0,2.5%,0)</f>
        <v>0</v>
      </c>
      <c r="K941" s="31">
        <f>IF(COUNTIFS(Addendum!C:C,A941,Addendum!D:D,IF(ISNUMBER(B941),TEXT(B941,"0000"),B941),Addendum!G:G,"X")&gt;0,7%,0)</f>
        <v>0</v>
      </c>
      <c r="L941" s="31">
        <f>IF(COUNTIFS(Addendum!C:C,A941,Addendum!D:D,IF(ISNUMBER(B941),TEXT(B941,"0000"),B941),Addendum!I:I,"X")&gt;0,10%,0)</f>
        <v>0</v>
      </c>
      <c r="M941" s="34">
        <f t="shared" si="28"/>
        <v>0</v>
      </c>
      <c r="N941" s="17">
        <f t="shared" si="29"/>
        <v>1527390</v>
      </c>
    </row>
    <row r="942" spans="1:14" x14ac:dyDescent="0.25">
      <c r="A942" s="14" t="s">
        <v>2055</v>
      </c>
      <c r="B942" s="14">
        <v>9</v>
      </c>
      <c r="C942" s="15" t="s">
        <v>2090</v>
      </c>
      <c r="D942" s="14" t="s">
        <v>1749</v>
      </c>
      <c r="E942" s="14" t="s">
        <v>1746</v>
      </c>
      <c r="F942" s="17" t="s">
        <v>2993</v>
      </c>
      <c r="G942" s="14">
        <v>199668</v>
      </c>
      <c r="H942" s="14">
        <v>149751</v>
      </c>
      <c r="I942" s="31">
        <f>IF(COUNTIFS(Addendum!C:C,A942,Addendum!D:D,IF(ISNUMBER(B942),TEXT(B942,"0000"),B942),Addendum!E:E,"X")&gt;0,4%,0)</f>
        <v>0</v>
      </c>
      <c r="J942" s="31">
        <f>IF(COUNTIFS(Addendum!C:C,A942,Addendum!D:D,IF(ISNUMBER(B942),TEXT(B942,"0000"),B942),Addendum!F:F,"X")&gt;0,2.5%,0)</f>
        <v>0</v>
      </c>
      <c r="K942" s="31">
        <f>IF(COUNTIFS(Addendum!C:C,A942,Addendum!D:D,IF(ISNUMBER(B942),TEXT(B942,"0000"),B942),Addendum!G:G,"X")&gt;0,7%,0)</f>
        <v>0</v>
      </c>
      <c r="L942" s="31">
        <f>IF(COUNTIFS(Addendum!C:C,A942,Addendum!D:D,IF(ISNUMBER(B942),TEXT(B942,"0000"),B942),Addendum!I:I,"X")&gt;0,10%,0)</f>
        <v>0</v>
      </c>
      <c r="M942" s="34">
        <f t="shared" si="28"/>
        <v>0</v>
      </c>
      <c r="N942" s="17">
        <f t="shared" si="29"/>
        <v>149751</v>
      </c>
    </row>
    <row r="943" spans="1:14" x14ac:dyDescent="0.25">
      <c r="A943" s="14" t="s">
        <v>2055</v>
      </c>
      <c r="B943" s="14">
        <v>13</v>
      </c>
      <c r="C943" s="15" t="s">
        <v>2076</v>
      </c>
      <c r="D943" s="14" t="s">
        <v>1745</v>
      </c>
      <c r="E943" s="14" t="s">
        <v>1747</v>
      </c>
      <c r="F943" s="17" t="s">
        <v>2994</v>
      </c>
      <c r="G943" s="14">
        <v>823620</v>
      </c>
      <c r="H943" s="14">
        <v>617715</v>
      </c>
      <c r="I943" s="31">
        <f>IF(COUNTIFS(Addendum!C:C,A943,Addendum!D:D,IF(ISNUMBER(B943),TEXT(B943,"0000"),B943),Addendum!E:E,"X")&gt;0,4%,0)</f>
        <v>0</v>
      </c>
      <c r="J943" s="31">
        <f>IF(COUNTIFS(Addendum!C:C,A943,Addendum!D:D,IF(ISNUMBER(B943),TEXT(B943,"0000"),B943),Addendum!F:F,"X")&gt;0,2.5%,0)</f>
        <v>0</v>
      </c>
      <c r="K943" s="31">
        <f>IF(COUNTIFS(Addendum!C:C,A943,Addendum!D:D,IF(ISNUMBER(B943),TEXT(B943,"0000"),B943),Addendum!G:G,"X")&gt;0,7%,0)</f>
        <v>0</v>
      </c>
      <c r="L943" s="31">
        <f>IF(COUNTIFS(Addendum!C:C,A943,Addendum!D:D,IF(ISNUMBER(B943),TEXT(B943,"0000"),B943),Addendum!I:I,"X")&gt;0,10%,0)</f>
        <v>0</v>
      </c>
      <c r="M943" s="34">
        <f t="shared" si="28"/>
        <v>0</v>
      </c>
      <c r="N943" s="17">
        <f t="shared" si="29"/>
        <v>617715</v>
      </c>
    </row>
    <row r="944" spans="1:14" ht="30" x14ac:dyDescent="0.25">
      <c r="A944" s="14" t="s">
        <v>2055</v>
      </c>
      <c r="B944" s="14" t="s">
        <v>28</v>
      </c>
      <c r="C944" s="15" t="s">
        <v>2062</v>
      </c>
      <c r="D944" s="14" t="s">
        <v>1745</v>
      </c>
      <c r="E944" s="14" t="s">
        <v>1747</v>
      </c>
      <c r="F944" s="17" t="s">
        <v>2994</v>
      </c>
      <c r="G944" s="14">
        <v>99840</v>
      </c>
      <c r="H944" s="14">
        <v>74880</v>
      </c>
      <c r="I944" s="31">
        <f>IF(COUNTIFS(Addendum!C:C,A944,Addendum!D:D,IF(ISNUMBER(B944),TEXT(B944,"0000"),B944),Addendum!E:E,"X")&gt;0,4%,0)</f>
        <v>0</v>
      </c>
      <c r="J944" s="31">
        <f>IF(COUNTIFS(Addendum!C:C,A944,Addendum!D:D,IF(ISNUMBER(B944),TEXT(B944,"0000"),B944),Addendum!F:F,"X")&gt;0,2.5%,0)</f>
        <v>0</v>
      </c>
      <c r="K944" s="31">
        <f>IF(COUNTIFS(Addendum!C:C,A944,Addendum!D:D,IF(ISNUMBER(B944),TEXT(B944,"0000"),B944),Addendum!G:G,"X")&gt;0,7%,0)</f>
        <v>0</v>
      </c>
      <c r="L944" s="31">
        <f>IF(COUNTIFS(Addendum!C:C,A944,Addendum!D:D,IF(ISNUMBER(B944),TEXT(B944,"0000"),B944),Addendum!I:I,"X")&gt;0,10%,0)</f>
        <v>0</v>
      </c>
      <c r="M944" s="34">
        <f t="shared" si="28"/>
        <v>0</v>
      </c>
      <c r="N944" s="17">
        <f t="shared" si="29"/>
        <v>74880</v>
      </c>
    </row>
    <row r="945" spans="1:14" x14ac:dyDescent="0.25">
      <c r="A945" s="14" t="s">
        <v>2055</v>
      </c>
      <c r="B945" s="14">
        <v>19</v>
      </c>
      <c r="C945" s="15" t="s">
        <v>2069</v>
      </c>
      <c r="D945" s="14" t="s">
        <v>1752</v>
      </c>
      <c r="E945" s="14" t="s">
        <v>1747</v>
      </c>
      <c r="F945" s="17" t="s">
        <v>2995</v>
      </c>
      <c r="G945" s="14">
        <v>374400</v>
      </c>
      <c r="H945" s="14">
        <v>336960</v>
      </c>
      <c r="I945" s="31">
        <f>IF(COUNTIFS(Addendum!C:C,A945,Addendum!D:D,IF(ISNUMBER(B945),TEXT(B945,"0000"),B945),Addendum!E:E,"X")&gt;0,4%,0)</f>
        <v>0</v>
      </c>
      <c r="J945" s="31">
        <f>IF(COUNTIFS(Addendum!C:C,A945,Addendum!D:D,IF(ISNUMBER(B945),TEXT(B945,"0000"),B945),Addendum!F:F,"X")&gt;0,2.5%,0)</f>
        <v>0</v>
      </c>
      <c r="K945" s="31">
        <f>IF(COUNTIFS(Addendum!C:C,A945,Addendum!D:D,IF(ISNUMBER(B945),TEXT(B945,"0000"),B945),Addendum!G:G,"X")&gt;0,7%,0)</f>
        <v>0</v>
      </c>
      <c r="L945" s="31">
        <f>IF(COUNTIFS(Addendum!C:C,A945,Addendum!D:D,IF(ISNUMBER(B945),TEXT(B945,"0000"),B945),Addendum!I:I,"X")&gt;0,10%,0)</f>
        <v>0</v>
      </c>
      <c r="M945" s="34">
        <f t="shared" si="28"/>
        <v>0</v>
      </c>
      <c r="N945" s="17">
        <f t="shared" si="29"/>
        <v>336960</v>
      </c>
    </row>
    <row r="946" spans="1:14" x14ac:dyDescent="0.25">
      <c r="A946" s="14" t="s">
        <v>2055</v>
      </c>
      <c r="B946" s="14" t="s">
        <v>325</v>
      </c>
      <c r="C946" s="15" t="s">
        <v>2070</v>
      </c>
      <c r="D946" s="14" t="s">
        <v>1752</v>
      </c>
      <c r="E946" s="14" t="s">
        <v>1753</v>
      </c>
      <c r="F946" s="17" t="s">
        <v>2994</v>
      </c>
      <c r="G946" s="14">
        <v>1198080</v>
      </c>
      <c r="H946" s="14">
        <v>898560</v>
      </c>
      <c r="I946" s="31">
        <f>IF(COUNTIFS(Addendum!C:C,A946,Addendum!D:D,IF(ISNUMBER(B946),TEXT(B946,"0000"),B946),Addendum!E:E,"X")&gt;0,4%,0)</f>
        <v>0</v>
      </c>
      <c r="J946" s="31">
        <f>IF(COUNTIFS(Addendum!C:C,A946,Addendum!D:D,IF(ISNUMBER(B946),TEXT(B946,"0000"),B946),Addendum!F:F,"X")&gt;0,2.5%,0)</f>
        <v>0</v>
      </c>
      <c r="K946" s="31">
        <f>IF(COUNTIFS(Addendum!C:C,A946,Addendum!D:D,IF(ISNUMBER(B946),TEXT(B946,"0000"),B946),Addendum!G:G,"X")&gt;0,7%,0)</f>
        <v>0</v>
      </c>
      <c r="L946" s="31">
        <f>IF(COUNTIFS(Addendum!C:C,A946,Addendum!D:D,IF(ISNUMBER(B946),TEXT(B946,"0000"),B946),Addendum!I:I,"X")&gt;0,10%,0)</f>
        <v>0</v>
      </c>
      <c r="M946" s="34">
        <f t="shared" si="28"/>
        <v>0</v>
      </c>
      <c r="N946" s="17">
        <f t="shared" si="29"/>
        <v>898560</v>
      </c>
    </row>
    <row r="947" spans="1:14" x14ac:dyDescent="0.25">
      <c r="A947" s="14" t="s">
        <v>2055</v>
      </c>
      <c r="B947" s="14" t="s">
        <v>333</v>
      </c>
      <c r="C947" s="15" t="s">
        <v>2088</v>
      </c>
      <c r="D947" s="14" t="s">
        <v>1752</v>
      </c>
      <c r="E947" s="14" t="s">
        <v>1746</v>
      </c>
      <c r="F947" s="17" t="s">
        <v>2994</v>
      </c>
      <c r="G947" s="14">
        <v>1729539</v>
      </c>
      <c r="H947" s="14">
        <v>1297154</v>
      </c>
      <c r="I947" s="31">
        <f>IF(COUNTIFS(Addendum!C:C,A947,Addendum!D:D,IF(ISNUMBER(B947),TEXT(B947,"0000"),B947),Addendum!E:E,"X")&gt;0,4%,0)</f>
        <v>0</v>
      </c>
      <c r="J947" s="31">
        <f>IF(COUNTIFS(Addendum!C:C,A947,Addendum!D:D,IF(ISNUMBER(B947),TEXT(B947,"0000"),B947),Addendum!F:F,"X")&gt;0,2.5%,0)</f>
        <v>0</v>
      </c>
      <c r="K947" s="31">
        <f>IF(COUNTIFS(Addendum!C:C,A947,Addendum!D:D,IF(ISNUMBER(B947),TEXT(B947,"0000"),B947),Addendum!G:G,"X")&gt;0,7%,0)</f>
        <v>0</v>
      </c>
      <c r="L947" s="31">
        <f>IF(COUNTIFS(Addendum!C:C,A947,Addendum!D:D,IF(ISNUMBER(B947),TEXT(B947,"0000"),B947),Addendum!I:I,"X")&gt;0,10%,0)</f>
        <v>0</v>
      </c>
      <c r="M947" s="34">
        <f t="shared" si="28"/>
        <v>0</v>
      </c>
      <c r="N947" s="17">
        <f t="shared" si="29"/>
        <v>1297154</v>
      </c>
    </row>
    <row r="948" spans="1:14" x14ac:dyDescent="0.25">
      <c r="A948" s="14" t="s">
        <v>2055</v>
      </c>
      <c r="B948" s="14" t="s">
        <v>243</v>
      </c>
      <c r="C948" s="15" t="s">
        <v>2080</v>
      </c>
      <c r="D948" s="14" t="s">
        <v>1752</v>
      </c>
      <c r="E948" s="14" t="s">
        <v>1747</v>
      </c>
      <c r="F948" s="17" t="s">
        <v>2995</v>
      </c>
      <c r="G948" s="14">
        <v>187200</v>
      </c>
      <c r="H948" s="14">
        <v>168480</v>
      </c>
      <c r="I948" s="31">
        <f>IF(COUNTIFS(Addendum!C:C,A948,Addendum!D:D,IF(ISNUMBER(B948),TEXT(B948,"0000"),B948),Addendum!E:E,"X")&gt;0,4%,0)</f>
        <v>0</v>
      </c>
      <c r="J948" s="31">
        <f>IF(COUNTIFS(Addendum!C:C,A948,Addendum!D:D,IF(ISNUMBER(B948),TEXT(B948,"0000"),B948),Addendum!F:F,"X")&gt;0,2.5%,0)</f>
        <v>0</v>
      </c>
      <c r="K948" s="31">
        <f>IF(COUNTIFS(Addendum!C:C,A948,Addendum!D:D,IF(ISNUMBER(B948),TEXT(B948,"0000"),B948),Addendum!G:G,"X")&gt;0,7%,0)</f>
        <v>0</v>
      </c>
      <c r="L948" s="31">
        <f>IF(COUNTIFS(Addendum!C:C,A948,Addendum!D:D,IF(ISNUMBER(B948),TEXT(B948,"0000"),B948),Addendum!I:I,"X")&gt;0,10%,0)</f>
        <v>0</v>
      </c>
      <c r="M948" s="34">
        <f t="shared" si="28"/>
        <v>0</v>
      </c>
      <c r="N948" s="17">
        <f t="shared" si="29"/>
        <v>168480</v>
      </c>
    </row>
    <row r="949" spans="1:14" x14ac:dyDescent="0.25">
      <c r="A949" s="14" t="s">
        <v>2055</v>
      </c>
      <c r="B949" s="14">
        <v>9</v>
      </c>
      <c r="C949" s="15" t="s">
        <v>2090</v>
      </c>
      <c r="D949" s="14" t="s">
        <v>1752</v>
      </c>
      <c r="E949" s="14" t="s">
        <v>1753</v>
      </c>
      <c r="F949" s="17" t="s">
        <v>2993</v>
      </c>
      <c r="G949" s="14">
        <v>5990040</v>
      </c>
      <c r="H949" s="14">
        <v>4492530</v>
      </c>
      <c r="I949" s="31">
        <f>IF(COUNTIFS(Addendum!C:C,A949,Addendum!D:D,IF(ISNUMBER(B949),TEXT(B949,"0000"),B949),Addendum!E:E,"X")&gt;0,4%,0)</f>
        <v>0</v>
      </c>
      <c r="J949" s="31">
        <f>IF(COUNTIFS(Addendum!C:C,A949,Addendum!D:D,IF(ISNUMBER(B949),TEXT(B949,"0000"),B949),Addendum!F:F,"X")&gt;0,2.5%,0)</f>
        <v>0</v>
      </c>
      <c r="K949" s="31">
        <f>IF(COUNTIFS(Addendum!C:C,A949,Addendum!D:D,IF(ISNUMBER(B949),TEXT(B949,"0000"),B949),Addendum!G:G,"X")&gt;0,7%,0)</f>
        <v>0</v>
      </c>
      <c r="L949" s="31">
        <f>IF(COUNTIFS(Addendum!C:C,A949,Addendum!D:D,IF(ISNUMBER(B949),TEXT(B949,"0000"),B949),Addendum!I:I,"X")&gt;0,10%,0)</f>
        <v>0</v>
      </c>
      <c r="M949" s="34">
        <f t="shared" si="28"/>
        <v>0</v>
      </c>
      <c r="N949" s="17">
        <f t="shared" si="29"/>
        <v>4492530</v>
      </c>
    </row>
    <row r="950" spans="1:14" x14ac:dyDescent="0.25">
      <c r="A950" s="14" t="s">
        <v>2055</v>
      </c>
      <c r="B950" s="14" t="s">
        <v>29</v>
      </c>
      <c r="C950" s="15" t="s">
        <v>2077</v>
      </c>
      <c r="D950" s="14" t="s">
        <v>1752</v>
      </c>
      <c r="E950" s="14" t="s">
        <v>1747</v>
      </c>
      <c r="F950" s="17" t="s">
        <v>2994</v>
      </c>
      <c r="G950" s="14">
        <v>2800260</v>
      </c>
      <c r="H950" s="14">
        <v>2100195</v>
      </c>
      <c r="I950" s="31">
        <f>IF(COUNTIFS(Addendum!C:C,A950,Addendum!D:D,IF(ISNUMBER(B950),TEXT(B950,"0000"),B950),Addendum!E:E,"X")&gt;0,4%,0)</f>
        <v>0</v>
      </c>
      <c r="J950" s="31">
        <f>IF(COUNTIFS(Addendum!C:C,A950,Addendum!D:D,IF(ISNUMBER(B950),TEXT(B950,"0000"),B950),Addendum!F:F,"X")&gt;0,2.5%,0)</f>
        <v>0</v>
      </c>
      <c r="K950" s="31">
        <f>IF(COUNTIFS(Addendum!C:C,A950,Addendum!D:D,IF(ISNUMBER(B950),TEXT(B950,"0000"),B950),Addendum!G:G,"X")&gt;0,7%,0)</f>
        <v>0</v>
      </c>
      <c r="L950" s="31">
        <f>IF(COUNTIFS(Addendum!C:C,A950,Addendum!D:D,IF(ISNUMBER(B950),TEXT(B950,"0000"),B950),Addendum!I:I,"X")&gt;0,10%,0)</f>
        <v>0</v>
      </c>
      <c r="M950" s="34">
        <f t="shared" si="28"/>
        <v>0</v>
      </c>
      <c r="N950" s="17">
        <f t="shared" si="29"/>
        <v>2100195</v>
      </c>
    </row>
    <row r="951" spans="1:14" x14ac:dyDescent="0.25">
      <c r="A951" s="14" t="s">
        <v>2055</v>
      </c>
      <c r="B951" s="14" t="s">
        <v>333</v>
      </c>
      <c r="C951" s="15" t="s">
        <v>2088</v>
      </c>
      <c r="D951" s="14" t="s">
        <v>1745</v>
      </c>
      <c r="E951" s="14" t="s">
        <v>1746</v>
      </c>
      <c r="F951" s="17" t="s">
        <v>2994</v>
      </c>
      <c r="G951" s="14">
        <v>576513</v>
      </c>
      <c r="H951" s="14">
        <v>432384.7</v>
      </c>
      <c r="I951" s="31">
        <f>IF(COUNTIFS(Addendum!C:C,A951,Addendum!D:D,IF(ISNUMBER(B951),TEXT(B951,"0000"),B951),Addendum!E:E,"X")&gt;0,4%,0)</f>
        <v>0</v>
      </c>
      <c r="J951" s="31">
        <f>IF(COUNTIFS(Addendum!C:C,A951,Addendum!D:D,IF(ISNUMBER(B951),TEXT(B951,"0000"),B951),Addendum!F:F,"X")&gt;0,2.5%,0)</f>
        <v>0</v>
      </c>
      <c r="K951" s="31">
        <f>IF(COUNTIFS(Addendum!C:C,A951,Addendum!D:D,IF(ISNUMBER(B951),TEXT(B951,"0000"),B951),Addendum!G:G,"X")&gt;0,7%,0)</f>
        <v>0</v>
      </c>
      <c r="L951" s="31">
        <f>IF(COUNTIFS(Addendum!C:C,A951,Addendum!D:D,IF(ISNUMBER(B951),TEXT(B951,"0000"),B951),Addendum!I:I,"X")&gt;0,10%,0)</f>
        <v>0</v>
      </c>
      <c r="M951" s="34">
        <f t="shared" si="28"/>
        <v>0</v>
      </c>
      <c r="N951" s="17">
        <f t="shared" si="29"/>
        <v>432384.7</v>
      </c>
    </row>
    <row r="952" spans="1:14" ht="30" x14ac:dyDescent="0.25">
      <c r="A952" s="14" t="s">
        <v>2055</v>
      </c>
      <c r="B952" s="14">
        <v>18</v>
      </c>
      <c r="C952" s="15" t="s">
        <v>2061</v>
      </c>
      <c r="D952" s="14" t="s">
        <v>1752</v>
      </c>
      <c r="E952" s="14" t="s">
        <v>1746</v>
      </c>
      <c r="F952" s="17" t="s">
        <v>2994</v>
      </c>
      <c r="G952" s="14">
        <v>628992</v>
      </c>
      <c r="H952" s="14">
        <v>471744</v>
      </c>
      <c r="I952" s="31">
        <f>IF(COUNTIFS(Addendum!C:C,A952,Addendum!D:D,IF(ISNUMBER(B952),TEXT(B952,"0000"),B952),Addendum!E:E,"X")&gt;0,4%,0)</f>
        <v>0</v>
      </c>
      <c r="J952" s="31">
        <f>IF(COUNTIFS(Addendum!C:C,A952,Addendum!D:D,IF(ISNUMBER(B952),TEXT(B952,"0000"),B952),Addendum!F:F,"X")&gt;0,2.5%,0)</f>
        <v>0</v>
      </c>
      <c r="K952" s="31">
        <f>IF(COUNTIFS(Addendum!C:C,A952,Addendum!D:D,IF(ISNUMBER(B952),TEXT(B952,"0000"),B952),Addendum!G:G,"X")&gt;0,7%,0)</f>
        <v>0</v>
      </c>
      <c r="L952" s="31">
        <f>IF(COUNTIFS(Addendum!C:C,A952,Addendum!D:D,IF(ISNUMBER(B952),TEXT(B952,"0000"),B952),Addendum!I:I,"X")&gt;0,10%,0)</f>
        <v>0</v>
      </c>
      <c r="M952" s="34">
        <f t="shared" si="28"/>
        <v>0</v>
      </c>
      <c r="N952" s="17">
        <f t="shared" si="29"/>
        <v>471744</v>
      </c>
    </row>
    <row r="953" spans="1:14" x14ac:dyDescent="0.25">
      <c r="A953" s="14" t="s">
        <v>2055</v>
      </c>
      <c r="B953" s="14">
        <v>17</v>
      </c>
      <c r="C953" s="15" t="s">
        <v>2059</v>
      </c>
      <c r="D953" s="14" t="s">
        <v>1752</v>
      </c>
      <c r="E953" s="14" t="s">
        <v>1747</v>
      </c>
      <c r="F953" s="17" t="s">
        <v>2994</v>
      </c>
      <c r="G953" s="14">
        <v>1647180</v>
      </c>
      <c r="H953" s="14">
        <v>1235385</v>
      </c>
      <c r="I953" s="31">
        <f>IF(COUNTIFS(Addendum!C:C,A953,Addendum!D:D,IF(ISNUMBER(B953),TEXT(B953,"0000"),B953),Addendum!E:E,"X")&gt;0,4%,0)</f>
        <v>0</v>
      </c>
      <c r="J953" s="31">
        <f>IF(COUNTIFS(Addendum!C:C,A953,Addendum!D:D,IF(ISNUMBER(B953),TEXT(B953,"0000"),B953),Addendum!F:F,"X")&gt;0,2.5%,0)</f>
        <v>0</v>
      </c>
      <c r="K953" s="31">
        <f>IF(COUNTIFS(Addendum!C:C,A953,Addendum!D:D,IF(ISNUMBER(B953),TEXT(B953,"0000"),B953),Addendum!G:G,"X")&gt;0,7%,0)</f>
        <v>0</v>
      </c>
      <c r="L953" s="31">
        <f>IF(COUNTIFS(Addendum!C:C,A953,Addendum!D:D,IF(ISNUMBER(B953),TEXT(B953,"0000"),B953),Addendum!I:I,"X")&gt;0,10%,0)</f>
        <v>0</v>
      </c>
      <c r="M953" s="34">
        <f t="shared" si="28"/>
        <v>0</v>
      </c>
      <c r="N953" s="17">
        <f t="shared" si="29"/>
        <v>1235385</v>
      </c>
    </row>
    <row r="954" spans="1:14" x14ac:dyDescent="0.25">
      <c r="A954" s="14" t="s">
        <v>2055</v>
      </c>
      <c r="B954" s="14" t="s">
        <v>297</v>
      </c>
      <c r="C954" s="15" t="s">
        <v>2083</v>
      </c>
      <c r="D954" s="14" t="s">
        <v>1752</v>
      </c>
      <c r="E954" s="14" t="s">
        <v>1746</v>
      </c>
      <c r="F954" s="17" t="s">
        <v>2994</v>
      </c>
      <c r="G954" s="14">
        <v>2515779</v>
      </c>
      <c r="H954" s="14">
        <v>1886834</v>
      </c>
      <c r="I954" s="31">
        <f>IF(COUNTIFS(Addendum!C:C,A954,Addendum!D:D,IF(ISNUMBER(B954),TEXT(B954,"0000"),B954),Addendum!E:E,"X")&gt;0,4%,0)</f>
        <v>0</v>
      </c>
      <c r="J954" s="31">
        <f>IF(COUNTIFS(Addendum!C:C,A954,Addendum!D:D,IF(ISNUMBER(B954),TEXT(B954,"0000"),B954),Addendum!F:F,"X")&gt;0,2.5%,0)</f>
        <v>0</v>
      </c>
      <c r="K954" s="31">
        <f>IF(COUNTIFS(Addendum!C:C,A954,Addendum!D:D,IF(ISNUMBER(B954),TEXT(B954,"0000"),B954),Addendum!G:G,"X")&gt;0,7%,0)</f>
        <v>0</v>
      </c>
      <c r="L954" s="31">
        <f>IF(COUNTIFS(Addendum!C:C,A954,Addendum!D:D,IF(ISNUMBER(B954),TEXT(B954,"0000"),B954),Addendum!I:I,"X")&gt;0,10%,0)</f>
        <v>0</v>
      </c>
      <c r="M954" s="34">
        <f t="shared" si="28"/>
        <v>0</v>
      </c>
      <c r="N954" s="17">
        <f t="shared" si="29"/>
        <v>1886834</v>
      </c>
    </row>
    <row r="955" spans="1:14" x14ac:dyDescent="0.25">
      <c r="A955" s="14" t="s">
        <v>2055</v>
      </c>
      <c r="B955" s="14">
        <v>7</v>
      </c>
      <c r="C955" s="15" t="s">
        <v>2068</v>
      </c>
      <c r="D955" s="14" t="s">
        <v>1752</v>
      </c>
      <c r="E955" s="14" t="s">
        <v>1747</v>
      </c>
      <c r="F955" s="17" t="s">
        <v>2993</v>
      </c>
      <c r="G955" s="14">
        <v>5091480</v>
      </c>
      <c r="H955" s="14">
        <v>3818610</v>
      </c>
      <c r="I955" s="31">
        <f>IF(COUNTIFS(Addendum!C:C,A955,Addendum!D:D,IF(ISNUMBER(B955),TEXT(B955,"0000"),B955),Addendum!E:E,"X")&gt;0,4%,0)</f>
        <v>0</v>
      </c>
      <c r="J955" s="31">
        <f>IF(COUNTIFS(Addendum!C:C,A955,Addendum!D:D,IF(ISNUMBER(B955),TEXT(B955,"0000"),B955),Addendum!F:F,"X")&gt;0,2.5%,0)</f>
        <v>0</v>
      </c>
      <c r="K955" s="31">
        <f>IF(COUNTIFS(Addendum!C:C,A955,Addendum!D:D,IF(ISNUMBER(B955),TEXT(B955,"0000"),B955),Addendum!G:G,"X")&gt;0,7%,0)</f>
        <v>0</v>
      </c>
      <c r="L955" s="31">
        <f>IF(COUNTIFS(Addendum!C:C,A955,Addendum!D:D,IF(ISNUMBER(B955),TEXT(B955,"0000"),B955),Addendum!I:I,"X")&gt;0,10%,0)</f>
        <v>0</v>
      </c>
      <c r="M955" s="34">
        <f t="shared" si="28"/>
        <v>0</v>
      </c>
      <c r="N955" s="17">
        <f t="shared" si="29"/>
        <v>3818610</v>
      </c>
    </row>
    <row r="956" spans="1:14" x14ac:dyDescent="0.25">
      <c r="A956" s="14" t="s">
        <v>2055</v>
      </c>
      <c r="B956" s="14" t="s">
        <v>46</v>
      </c>
      <c r="C956" s="15" t="s">
        <v>2081</v>
      </c>
      <c r="D956" s="14" t="s">
        <v>1745</v>
      </c>
      <c r="E956" s="14" t="s">
        <v>1746</v>
      </c>
      <c r="F956" s="17" t="s">
        <v>2994</v>
      </c>
      <c r="G956" s="14">
        <v>712782</v>
      </c>
      <c r="H956" s="14">
        <v>534586.6</v>
      </c>
      <c r="I956" s="31">
        <f>IF(COUNTIFS(Addendum!C:C,A956,Addendum!D:D,IF(ISNUMBER(B956),TEXT(B956,"0000"),B956),Addendum!E:E,"X")&gt;0,4%,0)</f>
        <v>0</v>
      </c>
      <c r="J956" s="31">
        <f>IF(COUNTIFS(Addendum!C:C,A956,Addendum!D:D,IF(ISNUMBER(B956),TEXT(B956,"0000"),B956),Addendum!F:F,"X")&gt;0,2.5%,0)</f>
        <v>0</v>
      </c>
      <c r="K956" s="31">
        <f>IF(COUNTIFS(Addendum!C:C,A956,Addendum!D:D,IF(ISNUMBER(B956),TEXT(B956,"0000"),B956),Addendum!G:G,"X")&gt;0,7%,0)</f>
        <v>0</v>
      </c>
      <c r="L956" s="31">
        <f>IF(COUNTIFS(Addendum!C:C,A956,Addendum!D:D,IF(ISNUMBER(B956),TEXT(B956,"0000"),B956),Addendum!I:I,"X")&gt;0,10%,0)</f>
        <v>0</v>
      </c>
      <c r="M956" s="34">
        <f t="shared" si="28"/>
        <v>0</v>
      </c>
      <c r="N956" s="17">
        <f t="shared" si="29"/>
        <v>534586.6</v>
      </c>
    </row>
    <row r="957" spans="1:14" x14ac:dyDescent="0.25">
      <c r="A957" s="14" t="s">
        <v>2055</v>
      </c>
      <c r="B957" s="14">
        <v>6</v>
      </c>
      <c r="C957" s="15" t="s">
        <v>2089</v>
      </c>
      <c r="D957" s="14" t="s">
        <v>1752</v>
      </c>
      <c r="E957" s="14" t="s">
        <v>1747</v>
      </c>
      <c r="F957" s="17" t="s">
        <v>2993</v>
      </c>
      <c r="G957" s="14">
        <v>1497420</v>
      </c>
      <c r="H957" s="14">
        <v>1123065</v>
      </c>
      <c r="I957" s="31">
        <f>IF(COUNTIFS(Addendum!C:C,A957,Addendum!D:D,IF(ISNUMBER(B957),TEXT(B957,"0000"),B957),Addendum!E:E,"X")&gt;0,4%,0)</f>
        <v>0</v>
      </c>
      <c r="J957" s="31">
        <f>IF(COUNTIFS(Addendum!C:C,A957,Addendum!D:D,IF(ISNUMBER(B957),TEXT(B957,"0000"),B957),Addendum!F:F,"X")&gt;0,2.5%,0)</f>
        <v>0</v>
      </c>
      <c r="K957" s="31">
        <f>IF(COUNTIFS(Addendum!C:C,A957,Addendum!D:D,IF(ISNUMBER(B957),TEXT(B957,"0000"),B957),Addendum!G:G,"X")&gt;0,7%,0)</f>
        <v>0</v>
      </c>
      <c r="L957" s="31">
        <f>IF(COUNTIFS(Addendum!C:C,A957,Addendum!D:D,IF(ISNUMBER(B957),TEXT(B957,"0000"),B957),Addendum!I:I,"X")&gt;0,10%,0)</f>
        <v>0</v>
      </c>
      <c r="M957" s="34">
        <f t="shared" si="28"/>
        <v>0</v>
      </c>
      <c r="N957" s="17">
        <f t="shared" si="29"/>
        <v>1123065</v>
      </c>
    </row>
    <row r="958" spans="1:14" x14ac:dyDescent="0.25">
      <c r="A958" s="14" t="s">
        <v>2055</v>
      </c>
      <c r="B958" s="14">
        <v>9</v>
      </c>
      <c r="C958" s="15" t="s">
        <v>2090</v>
      </c>
      <c r="D958" s="14" t="s">
        <v>1745</v>
      </c>
      <c r="E958" s="14" t="s">
        <v>1747</v>
      </c>
      <c r="F958" s="17" t="s">
        <v>2993</v>
      </c>
      <c r="G958" s="14">
        <v>1996680</v>
      </c>
      <c r="H958" s="14">
        <v>1497510</v>
      </c>
      <c r="I958" s="31">
        <f>IF(COUNTIFS(Addendum!C:C,A958,Addendum!D:D,IF(ISNUMBER(B958),TEXT(B958,"0000"),B958),Addendum!E:E,"X")&gt;0,4%,0)</f>
        <v>0</v>
      </c>
      <c r="J958" s="31">
        <f>IF(COUNTIFS(Addendum!C:C,A958,Addendum!D:D,IF(ISNUMBER(B958),TEXT(B958,"0000"),B958),Addendum!F:F,"X")&gt;0,2.5%,0)</f>
        <v>0</v>
      </c>
      <c r="K958" s="31">
        <f>IF(COUNTIFS(Addendum!C:C,A958,Addendum!D:D,IF(ISNUMBER(B958),TEXT(B958,"0000"),B958),Addendum!G:G,"X")&gt;0,7%,0)</f>
        <v>0</v>
      </c>
      <c r="L958" s="31">
        <f>IF(COUNTIFS(Addendum!C:C,A958,Addendum!D:D,IF(ISNUMBER(B958),TEXT(B958,"0000"),B958),Addendum!I:I,"X")&gt;0,10%,0)</f>
        <v>0</v>
      </c>
      <c r="M958" s="34">
        <f t="shared" si="28"/>
        <v>0</v>
      </c>
      <c r="N958" s="17">
        <f t="shared" si="29"/>
        <v>1497510</v>
      </c>
    </row>
    <row r="959" spans="1:14" x14ac:dyDescent="0.25">
      <c r="A959" s="14" t="s">
        <v>2055</v>
      </c>
      <c r="B959" s="14" t="s">
        <v>46</v>
      </c>
      <c r="C959" s="15" t="s">
        <v>2081</v>
      </c>
      <c r="D959" s="14" t="s">
        <v>1749</v>
      </c>
      <c r="E959" s="14" t="s">
        <v>1746</v>
      </c>
      <c r="F959" s="17" t="s">
        <v>2994</v>
      </c>
      <c r="G959" s="14">
        <v>67884</v>
      </c>
      <c r="H959" s="14">
        <v>50913</v>
      </c>
      <c r="I959" s="31">
        <f>IF(COUNTIFS(Addendum!C:C,A959,Addendum!D:D,IF(ISNUMBER(B959),TEXT(B959,"0000"),B959),Addendum!E:E,"X")&gt;0,4%,0)</f>
        <v>0</v>
      </c>
      <c r="J959" s="31">
        <f>IF(COUNTIFS(Addendum!C:C,A959,Addendum!D:D,IF(ISNUMBER(B959),TEXT(B959,"0000"),B959),Addendum!F:F,"X")&gt;0,2.5%,0)</f>
        <v>0</v>
      </c>
      <c r="K959" s="31">
        <f>IF(COUNTIFS(Addendum!C:C,A959,Addendum!D:D,IF(ISNUMBER(B959),TEXT(B959,"0000"),B959),Addendum!G:G,"X")&gt;0,7%,0)</f>
        <v>0</v>
      </c>
      <c r="L959" s="31">
        <f>IF(COUNTIFS(Addendum!C:C,A959,Addendum!D:D,IF(ISNUMBER(B959),TEXT(B959,"0000"),B959),Addendum!I:I,"X")&gt;0,10%,0)</f>
        <v>0</v>
      </c>
      <c r="M959" s="34">
        <f t="shared" si="28"/>
        <v>0</v>
      </c>
      <c r="N959" s="17">
        <f t="shared" si="29"/>
        <v>50913</v>
      </c>
    </row>
    <row r="960" spans="1:14" x14ac:dyDescent="0.25">
      <c r="A960" s="14" t="s">
        <v>2055</v>
      </c>
      <c r="B960" s="14" t="s">
        <v>263</v>
      </c>
      <c r="C960" s="15" t="s">
        <v>2082</v>
      </c>
      <c r="D960" s="14" t="s">
        <v>1749</v>
      </c>
      <c r="E960" s="14" t="s">
        <v>1746</v>
      </c>
      <c r="F960" s="17" t="s">
        <v>2994</v>
      </c>
      <c r="G960" s="14">
        <v>0</v>
      </c>
      <c r="H960" s="14">
        <v>0</v>
      </c>
      <c r="I960" s="31">
        <f>IF(COUNTIFS(Addendum!C:C,A960,Addendum!D:D,IF(ISNUMBER(B960),TEXT(B960,"0000"),B960),Addendum!E:E,"X")&gt;0,4%,0)</f>
        <v>0</v>
      </c>
      <c r="J960" s="31">
        <f>IF(COUNTIFS(Addendum!C:C,A960,Addendum!D:D,IF(ISNUMBER(B960),TEXT(B960,"0000"),B960),Addendum!F:F,"X")&gt;0,2.5%,0)</f>
        <v>0</v>
      </c>
      <c r="K960" s="31">
        <f>IF(COUNTIFS(Addendum!C:C,A960,Addendum!D:D,IF(ISNUMBER(B960),TEXT(B960,"0000"),B960),Addendum!G:G,"X")&gt;0,7%,0)</f>
        <v>0</v>
      </c>
      <c r="L960" s="31">
        <f>IF(COUNTIFS(Addendum!C:C,A960,Addendum!D:D,IF(ISNUMBER(B960),TEXT(B960,"0000"),B960),Addendum!I:I,"X")&gt;0,10%,0)</f>
        <v>0</v>
      </c>
      <c r="M960" s="34">
        <f t="shared" si="28"/>
        <v>0</v>
      </c>
      <c r="N960" s="17">
        <f t="shared" si="29"/>
        <v>0</v>
      </c>
    </row>
    <row r="961" spans="1:14" ht="30" x14ac:dyDescent="0.25">
      <c r="A961" s="14" t="s">
        <v>2055</v>
      </c>
      <c r="B961" s="14" t="s">
        <v>470</v>
      </c>
      <c r="C961" s="15" t="s">
        <v>2064</v>
      </c>
      <c r="D961" s="14" t="s">
        <v>1745</v>
      </c>
      <c r="E961" s="14" t="s">
        <v>1746</v>
      </c>
      <c r="F961" s="17" t="s">
        <v>2994</v>
      </c>
      <c r="G961" s="14">
        <v>288288</v>
      </c>
      <c r="H961" s="14">
        <v>216216</v>
      </c>
      <c r="I961" s="31">
        <f>IF(COUNTIFS(Addendum!C:C,A961,Addendum!D:D,IF(ISNUMBER(B961),TEXT(B961,"0000"),B961),Addendum!E:E,"X")&gt;0,4%,0)</f>
        <v>0</v>
      </c>
      <c r="J961" s="31">
        <f>IF(COUNTIFS(Addendum!C:C,A961,Addendum!D:D,IF(ISNUMBER(B961),TEXT(B961,"0000"),B961),Addendum!F:F,"X")&gt;0,2.5%,0)</f>
        <v>0</v>
      </c>
      <c r="K961" s="31">
        <f>IF(COUNTIFS(Addendum!C:C,A961,Addendum!D:D,IF(ISNUMBER(B961),TEXT(B961,"0000"),B961),Addendum!G:G,"X")&gt;0,7%,0)</f>
        <v>0</v>
      </c>
      <c r="L961" s="31">
        <f>IF(COUNTIFS(Addendum!C:C,A961,Addendum!D:D,IF(ISNUMBER(B961),TEXT(B961,"0000"),B961),Addendum!I:I,"X")&gt;0,10%,0)</f>
        <v>0</v>
      </c>
      <c r="M961" s="34">
        <f t="shared" si="28"/>
        <v>0</v>
      </c>
      <c r="N961" s="17">
        <f t="shared" si="29"/>
        <v>216216</v>
      </c>
    </row>
    <row r="962" spans="1:14" x14ac:dyDescent="0.25">
      <c r="A962" s="14" t="s">
        <v>2055</v>
      </c>
      <c r="B962" s="14" t="s">
        <v>108</v>
      </c>
      <c r="C962" s="15" t="s">
        <v>2087</v>
      </c>
      <c r="D962" s="14" t="s">
        <v>1745</v>
      </c>
      <c r="E962" s="14" t="s">
        <v>1746</v>
      </c>
      <c r="F962" s="17" t="s">
        <v>2994</v>
      </c>
      <c r="G962" s="14">
        <v>1153089</v>
      </c>
      <c r="H962" s="14">
        <v>864816.7</v>
      </c>
      <c r="I962" s="31">
        <f>IF(COUNTIFS(Addendum!C:C,A962,Addendum!D:D,IF(ISNUMBER(B962),TEXT(B962,"0000"),B962),Addendum!E:E,"X")&gt;0,4%,0)</f>
        <v>0</v>
      </c>
      <c r="J962" s="31">
        <f>IF(COUNTIFS(Addendum!C:C,A962,Addendum!D:D,IF(ISNUMBER(B962),TEXT(B962,"0000"),B962),Addendum!F:F,"X")&gt;0,2.5%,0)</f>
        <v>0</v>
      </c>
      <c r="K962" s="31">
        <f>IF(COUNTIFS(Addendum!C:C,A962,Addendum!D:D,IF(ISNUMBER(B962),TEXT(B962,"0000"),B962),Addendum!G:G,"X")&gt;0,7%,0)</f>
        <v>0</v>
      </c>
      <c r="L962" s="31">
        <f>IF(COUNTIFS(Addendum!C:C,A962,Addendum!D:D,IF(ISNUMBER(B962),TEXT(B962,"0000"),B962),Addendum!I:I,"X")&gt;0,10%,0)</f>
        <v>0</v>
      </c>
      <c r="M962" s="34">
        <f t="shared" si="28"/>
        <v>0</v>
      </c>
      <c r="N962" s="17">
        <f t="shared" si="29"/>
        <v>864816.7</v>
      </c>
    </row>
    <row r="963" spans="1:14" x14ac:dyDescent="0.25">
      <c r="A963" s="14" t="s">
        <v>2055</v>
      </c>
      <c r="B963" s="14" t="s">
        <v>36</v>
      </c>
      <c r="C963" s="15" t="s">
        <v>2079</v>
      </c>
      <c r="D963" s="14" t="s">
        <v>1745</v>
      </c>
      <c r="E963" s="14" t="s">
        <v>1747</v>
      </c>
      <c r="F963" s="17" t="s">
        <v>2995</v>
      </c>
      <c r="G963" s="14">
        <v>424320</v>
      </c>
      <c r="H963" s="14">
        <v>381888</v>
      </c>
      <c r="I963" s="31">
        <f>IF(COUNTIFS(Addendum!C:C,A963,Addendum!D:D,IF(ISNUMBER(B963),TEXT(B963,"0000"),B963),Addendum!E:E,"X")&gt;0,4%,0)</f>
        <v>0</v>
      </c>
      <c r="J963" s="31">
        <f>IF(COUNTIFS(Addendum!C:C,A963,Addendum!D:D,IF(ISNUMBER(B963),TEXT(B963,"0000"),B963),Addendum!F:F,"X")&gt;0,2.5%,0)</f>
        <v>0</v>
      </c>
      <c r="K963" s="31">
        <f>IF(COUNTIFS(Addendum!C:C,A963,Addendum!D:D,IF(ISNUMBER(B963),TEXT(B963,"0000"),B963),Addendum!G:G,"X")&gt;0,7%,0)</f>
        <v>0</v>
      </c>
      <c r="L963" s="31">
        <f>IF(COUNTIFS(Addendum!C:C,A963,Addendum!D:D,IF(ISNUMBER(B963),TEXT(B963,"0000"),B963),Addendum!I:I,"X")&gt;0,10%,0)</f>
        <v>0</v>
      </c>
      <c r="M963" s="34">
        <f t="shared" si="28"/>
        <v>0</v>
      </c>
      <c r="N963" s="17">
        <f t="shared" si="29"/>
        <v>381888</v>
      </c>
    </row>
    <row r="964" spans="1:14" x14ac:dyDescent="0.25">
      <c r="A964" s="14" t="s">
        <v>2055</v>
      </c>
      <c r="B964" s="14" t="s">
        <v>307</v>
      </c>
      <c r="C964" s="15" t="s">
        <v>2091</v>
      </c>
      <c r="D964" s="14" t="s">
        <v>1745</v>
      </c>
      <c r="E964" s="14" t="s">
        <v>1747</v>
      </c>
      <c r="F964" s="17" t="s">
        <v>2995</v>
      </c>
      <c r="G964" s="14">
        <v>74880</v>
      </c>
      <c r="H964" s="14">
        <v>67392</v>
      </c>
      <c r="I964" s="31">
        <f>IF(COUNTIFS(Addendum!C:C,A964,Addendum!D:D,IF(ISNUMBER(B964),TEXT(B964,"0000"),B964),Addendum!E:E,"X")&gt;0,4%,0)</f>
        <v>0</v>
      </c>
      <c r="J964" s="31">
        <f>IF(COUNTIFS(Addendum!C:C,A964,Addendum!D:D,IF(ISNUMBER(B964),TEXT(B964,"0000"),B964),Addendum!F:F,"X")&gt;0,2.5%,0)</f>
        <v>0</v>
      </c>
      <c r="K964" s="31">
        <f>IF(COUNTIFS(Addendum!C:C,A964,Addendum!D:D,IF(ISNUMBER(B964),TEXT(B964,"0000"),B964),Addendum!G:G,"X")&gt;0,7%,0)</f>
        <v>0</v>
      </c>
      <c r="L964" s="31">
        <f>IF(COUNTIFS(Addendum!C:C,A964,Addendum!D:D,IF(ISNUMBER(B964),TEXT(B964,"0000"),B964),Addendum!I:I,"X")&gt;0,10%,0)</f>
        <v>0</v>
      </c>
      <c r="M964" s="34">
        <f t="shared" ref="M964:M1027" si="30">IF(AND(I964=0%,J964=0%,K964=0%,L964=0%),0%,
IF(OR(TRIM(E964)="OneTime",TRIM(D964)=""),0%,
IF(
OR(
TRIM(D964)="P1M",
AND(TRIM(D964)="P1Y",TRIM(E964)="Monthly"),
AND(TRIM(D964)="P3Y",TRIM(E964)="Monthly")
),
IF(AND(I964=4%,J964=0%,K964=0%,L964=0%),1%,
IF(AND(I964=4%,J964=2.5%,K964=0%,L964=10%),2%,
IF(AND(I964=4%,J964=0%,K964=7%,L964=10%),3%,0%))),
IF(
OR(
AND(TRIM(D964)="P1Y",TRIM(E964)="Annual"),
AND(TRIM(D964)="P3Y",TRIM(E964)="Annual"),
AND(TRIM(D964)="P3Y",TRIM(E964)="Triennial")
),
IF(AND(I964=4%,J964=0%,K964=0%,L964=0%),3%,
IF(AND(I964=4%,J964=2.5%,K964=0%,L964=10%),10%,
IF(AND(I964=4%,J964=0%,K964=7%,L964=10%),14%,0%))),
0%
))))</f>
        <v>0</v>
      </c>
      <c r="N964" s="17">
        <f t="shared" ref="N964:N1027" si="31">H964-(H964*M964)</f>
        <v>67392</v>
      </c>
    </row>
    <row r="965" spans="1:14" ht="30" x14ac:dyDescent="0.25">
      <c r="A965" s="14" t="s">
        <v>2055</v>
      </c>
      <c r="B965" s="14">
        <v>18</v>
      </c>
      <c r="C965" s="15" t="s">
        <v>2061</v>
      </c>
      <c r="D965" s="14" t="s">
        <v>1749</v>
      </c>
      <c r="E965" s="14" t="s">
        <v>1746</v>
      </c>
      <c r="F965" s="17" t="s">
        <v>2994</v>
      </c>
      <c r="G965" s="14">
        <v>19968</v>
      </c>
      <c r="H965" s="14">
        <v>14976</v>
      </c>
      <c r="I965" s="31">
        <f>IF(COUNTIFS(Addendum!C:C,A965,Addendum!D:D,IF(ISNUMBER(B965),TEXT(B965,"0000"),B965),Addendum!E:E,"X")&gt;0,4%,0)</f>
        <v>0</v>
      </c>
      <c r="J965" s="31">
        <f>IF(COUNTIFS(Addendum!C:C,A965,Addendum!D:D,IF(ISNUMBER(B965),TEXT(B965,"0000"),B965),Addendum!F:F,"X")&gt;0,2.5%,0)</f>
        <v>0</v>
      </c>
      <c r="K965" s="31">
        <f>IF(COUNTIFS(Addendum!C:C,A965,Addendum!D:D,IF(ISNUMBER(B965),TEXT(B965,"0000"),B965),Addendum!G:G,"X")&gt;0,7%,0)</f>
        <v>0</v>
      </c>
      <c r="L965" s="31">
        <f>IF(COUNTIFS(Addendum!C:C,A965,Addendum!D:D,IF(ISNUMBER(B965),TEXT(B965,"0000"),B965),Addendum!I:I,"X")&gt;0,10%,0)</f>
        <v>0</v>
      </c>
      <c r="M965" s="34">
        <f t="shared" si="30"/>
        <v>0</v>
      </c>
      <c r="N965" s="17">
        <f t="shared" si="31"/>
        <v>14976</v>
      </c>
    </row>
    <row r="966" spans="1:14" x14ac:dyDescent="0.25">
      <c r="A966" s="14" t="s">
        <v>2055</v>
      </c>
      <c r="B966" s="14" t="s">
        <v>333</v>
      </c>
      <c r="C966" s="15" t="s">
        <v>2088</v>
      </c>
      <c r="D966" s="14" t="s">
        <v>1752</v>
      </c>
      <c r="E966" s="14" t="s">
        <v>1753</v>
      </c>
      <c r="F966" s="17" t="s">
        <v>2994</v>
      </c>
      <c r="G966" s="14">
        <v>1647180</v>
      </c>
      <c r="H966" s="14">
        <v>1235385</v>
      </c>
      <c r="I966" s="31">
        <f>IF(COUNTIFS(Addendum!C:C,A966,Addendum!D:D,IF(ISNUMBER(B966),TEXT(B966,"0000"),B966),Addendum!E:E,"X")&gt;0,4%,0)</f>
        <v>0</v>
      </c>
      <c r="J966" s="31">
        <f>IF(COUNTIFS(Addendum!C:C,A966,Addendum!D:D,IF(ISNUMBER(B966),TEXT(B966,"0000"),B966),Addendum!F:F,"X")&gt;0,2.5%,0)</f>
        <v>0</v>
      </c>
      <c r="K966" s="31">
        <f>IF(COUNTIFS(Addendum!C:C,A966,Addendum!D:D,IF(ISNUMBER(B966),TEXT(B966,"0000"),B966),Addendum!G:G,"X")&gt;0,7%,0)</f>
        <v>0</v>
      </c>
      <c r="L966" s="31">
        <f>IF(COUNTIFS(Addendum!C:C,A966,Addendum!D:D,IF(ISNUMBER(B966),TEXT(B966,"0000"),B966),Addendum!I:I,"X")&gt;0,10%,0)</f>
        <v>0</v>
      </c>
      <c r="M966" s="34">
        <f t="shared" si="30"/>
        <v>0</v>
      </c>
      <c r="N966" s="17">
        <f t="shared" si="31"/>
        <v>1235385</v>
      </c>
    </row>
    <row r="967" spans="1:14" x14ac:dyDescent="0.25">
      <c r="A967" s="14" t="s">
        <v>2055</v>
      </c>
      <c r="B967" s="14" t="s">
        <v>608</v>
      </c>
      <c r="C967" s="15" t="s">
        <v>2063</v>
      </c>
      <c r="D967" s="14" t="s">
        <v>1745</v>
      </c>
      <c r="E967" s="14" t="s">
        <v>1746</v>
      </c>
      <c r="F967" s="17" t="s">
        <v>2995</v>
      </c>
      <c r="G967" s="14">
        <v>0</v>
      </c>
      <c r="H967" s="14">
        <v>0</v>
      </c>
      <c r="I967" s="31">
        <f>IF(COUNTIFS(Addendum!C:C,A967,Addendum!D:D,IF(ISNUMBER(B967),TEXT(B967,"0000"),B967),Addendum!E:E,"X")&gt;0,4%,0)</f>
        <v>0</v>
      </c>
      <c r="J967" s="31">
        <f>IF(COUNTIFS(Addendum!C:C,A967,Addendum!D:D,IF(ISNUMBER(B967),TEXT(B967,"0000"),B967),Addendum!F:F,"X")&gt;0,2.5%,0)</f>
        <v>0</v>
      </c>
      <c r="K967" s="31">
        <f>IF(COUNTIFS(Addendum!C:C,A967,Addendum!D:D,IF(ISNUMBER(B967),TEXT(B967,"0000"),B967),Addendum!G:G,"X")&gt;0,7%,0)</f>
        <v>0</v>
      </c>
      <c r="L967" s="31">
        <f>IF(COUNTIFS(Addendum!C:C,A967,Addendum!D:D,IF(ISNUMBER(B967),TEXT(B967,"0000"),B967),Addendum!I:I,"X")&gt;0,10%,0)</f>
        <v>0</v>
      </c>
      <c r="M967" s="34">
        <f t="shared" si="30"/>
        <v>0</v>
      </c>
      <c r="N967" s="17">
        <f t="shared" si="31"/>
        <v>0</v>
      </c>
    </row>
    <row r="968" spans="1:14" x14ac:dyDescent="0.25">
      <c r="A968" s="14" t="s">
        <v>2055</v>
      </c>
      <c r="B968" s="14">
        <v>19</v>
      </c>
      <c r="C968" s="15" t="s">
        <v>2069</v>
      </c>
      <c r="D968" s="14" t="s">
        <v>1752</v>
      </c>
      <c r="E968" s="14" t="s">
        <v>1746</v>
      </c>
      <c r="F968" s="17" t="s">
        <v>2995</v>
      </c>
      <c r="G968" s="14">
        <v>393120</v>
      </c>
      <c r="H968" s="14">
        <v>353808</v>
      </c>
      <c r="I968" s="31">
        <f>IF(COUNTIFS(Addendum!C:C,A968,Addendum!D:D,IF(ISNUMBER(B968),TEXT(B968,"0000"),B968),Addendum!E:E,"X")&gt;0,4%,0)</f>
        <v>0</v>
      </c>
      <c r="J968" s="31">
        <f>IF(COUNTIFS(Addendum!C:C,A968,Addendum!D:D,IF(ISNUMBER(B968),TEXT(B968,"0000"),B968),Addendum!F:F,"X")&gt;0,2.5%,0)</f>
        <v>0</v>
      </c>
      <c r="K968" s="31">
        <f>IF(COUNTIFS(Addendum!C:C,A968,Addendum!D:D,IF(ISNUMBER(B968),TEXT(B968,"0000"),B968),Addendum!G:G,"X")&gt;0,7%,0)</f>
        <v>0</v>
      </c>
      <c r="L968" s="31">
        <f>IF(COUNTIFS(Addendum!C:C,A968,Addendum!D:D,IF(ISNUMBER(B968),TEXT(B968,"0000"),B968),Addendum!I:I,"X")&gt;0,10%,0)</f>
        <v>0</v>
      </c>
      <c r="M968" s="34">
        <f t="shared" si="30"/>
        <v>0</v>
      </c>
      <c r="N968" s="17">
        <f t="shared" si="31"/>
        <v>353808</v>
      </c>
    </row>
    <row r="969" spans="1:14" ht="30" x14ac:dyDescent="0.25">
      <c r="A969" s="14" t="s">
        <v>2055</v>
      </c>
      <c r="B969" s="14">
        <v>18</v>
      </c>
      <c r="C969" s="15" t="s">
        <v>2061</v>
      </c>
      <c r="D969" s="14" t="s">
        <v>1752</v>
      </c>
      <c r="E969" s="14" t="s">
        <v>1747</v>
      </c>
      <c r="F969" s="17" t="s">
        <v>2994</v>
      </c>
      <c r="G969" s="14">
        <v>599040</v>
      </c>
      <c r="H969" s="14">
        <v>449280</v>
      </c>
      <c r="I969" s="31">
        <f>IF(COUNTIFS(Addendum!C:C,A969,Addendum!D:D,IF(ISNUMBER(B969),TEXT(B969,"0000"),B969),Addendum!E:E,"X")&gt;0,4%,0)</f>
        <v>0</v>
      </c>
      <c r="J969" s="31">
        <f>IF(COUNTIFS(Addendum!C:C,A969,Addendum!D:D,IF(ISNUMBER(B969),TEXT(B969,"0000"),B969),Addendum!F:F,"X")&gt;0,2.5%,0)</f>
        <v>0</v>
      </c>
      <c r="K969" s="31">
        <f>IF(COUNTIFS(Addendum!C:C,A969,Addendum!D:D,IF(ISNUMBER(B969),TEXT(B969,"0000"),B969),Addendum!G:G,"X")&gt;0,7%,0)</f>
        <v>0</v>
      </c>
      <c r="L969" s="31">
        <f>IF(COUNTIFS(Addendum!C:C,A969,Addendum!D:D,IF(ISNUMBER(B969),TEXT(B969,"0000"),B969),Addendum!I:I,"X")&gt;0,10%,0)</f>
        <v>0</v>
      </c>
      <c r="M969" s="34">
        <f t="shared" si="30"/>
        <v>0</v>
      </c>
      <c r="N969" s="17">
        <f t="shared" si="31"/>
        <v>449280</v>
      </c>
    </row>
    <row r="970" spans="1:14" x14ac:dyDescent="0.25">
      <c r="A970" s="14" t="s">
        <v>2055</v>
      </c>
      <c r="B970" s="14" t="s">
        <v>307</v>
      </c>
      <c r="C970" s="15" t="s">
        <v>2091</v>
      </c>
      <c r="D970" s="14" t="s">
        <v>1749</v>
      </c>
      <c r="E970" s="14" t="s">
        <v>1746</v>
      </c>
      <c r="F970" s="17" t="s">
        <v>2995</v>
      </c>
      <c r="G970" s="14">
        <v>7488</v>
      </c>
      <c r="H970" s="14">
        <v>6739.2</v>
      </c>
      <c r="I970" s="31">
        <f>IF(COUNTIFS(Addendum!C:C,A970,Addendum!D:D,IF(ISNUMBER(B970),TEXT(B970,"0000"),B970),Addendum!E:E,"X")&gt;0,4%,0)</f>
        <v>0</v>
      </c>
      <c r="J970" s="31">
        <f>IF(COUNTIFS(Addendum!C:C,A970,Addendum!D:D,IF(ISNUMBER(B970),TEXT(B970,"0000"),B970),Addendum!F:F,"X")&gt;0,2.5%,0)</f>
        <v>0</v>
      </c>
      <c r="K970" s="31">
        <f>IF(COUNTIFS(Addendum!C:C,A970,Addendum!D:D,IF(ISNUMBER(B970),TEXT(B970,"0000"),B970),Addendum!G:G,"X")&gt;0,7%,0)</f>
        <v>0</v>
      </c>
      <c r="L970" s="31">
        <f>IF(COUNTIFS(Addendum!C:C,A970,Addendum!D:D,IF(ISNUMBER(B970),TEXT(B970,"0000"),B970),Addendum!I:I,"X")&gt;0,10%,0)</f>
        <v>0</v>
      </c>
      <c r="M970" s="34">
        <f t="shared" si="30"/>
        <v>0</v>
      </c>
      <c r="N970" s="17">
        <f t="shared" si="31"/>
        <v>6739.2</v>
      </c>
    </row>
    <row r="971" spans="1:14" x14ac:dyDescent="0.25">
      <c r="A971" s="14" t="s">
        <v>2055</v>
      </c>
      <c r="B971" s="14">
        <v>6</v>
      </c>
      <c r="C971" s="15" t="s">
        <v>2089</v>
      </c>
      <c r="D971" s="14" t="s">
        <v>1745</v>
      </c>
      <c r="E971" s="14" t="s">
        <v>1747</v>
      </c>
      <c r="F971" s="17" t="s">
        <v>2993</v>
      </c>
      <c r="G971" s="14">
        <v>499140</v>
      </c>
      <c r="H971" s="14">
        <v>374355</v>
      </c>
      <c r="I971" s="31">
        <f>IF(COUNTIFS(Addendum!C:C,A971,Addendum!D:D,IF(ISNUMBER(B971),TEXT(B971,"0000"),B971),Addendum!E:E,"X")&gt;0,4%,0)</f>
        <v>0</v>
      </c>
      <c r="J971" s="31">
        <f>IF(COUNTIFS(Addendum!C:C,A971,Addendum!D:D,IF(ISNUMBER(B971),TEXT(B971,"0000"),B971),Addendum!F:F,"X")&gt;0,2.5%,0)</f>
        <v>0</v>
      </c>
      <c r="K971" s="31">
        <f>IF(COUNTIFS(Addendum!C:C,A971,Addendum!D:D,IF(ISNUMBER(B971),TEXT(B971,"0000"),B971),Addendum!G:G,"X")&gt;0,7%,0)</f>
        <v>0</v>
      </c>
      <c r="L971" s="31">
        <f>IF(COUNTIFS(Addendum!C:C,A971,Addendum!D:D,IF(ISNUMBER(B971),TEXT(B971,"0000"),B971),Addendum!I:I,"X")&gt;0,10%,0)</f>
        <v>0</v>
      </c>
      <c r="M971" s="34">
        <f t="shared" si="30"/>
        <v>0</v>
      </c>
      <c r="N971" s="17">
        <f t="shared" si="31"/>
        <v>374355</v>
      </c>
    </row>
    <row r="972" spans="1:14" x14ac:dyDescent="0.25">
      <c r="A972" s="14" t="s">
        <v>2055</v>
      </c>
      <c r="B972" s="14">
        <v>17</v>
      </c>
      <c r="C972" s="15" t="s">
        <v>2059</v>
      </c>
      <c r="D972" s="14" t="s">
        <v>1752</v>
      </c>
      <c r="E972" s="14" t="s">
        <v>1753</v>
      </c>
      <c r="F972" s="17" t="s">
        <v>2994</v>
      </c>
      <c r="G972" s="14">
        <v>1647180</v>
      </c>
      <c r="H972" s="14">
        <v>1235385</v>
      </c>
      <c r="I972" s="31">
        <f>IF(COUNTIFS(Addendum!C:C,A972,Addendum!D:D,IF(ISNUMBER(B972),TEXT(B972,"0000"),B972),Addendum!E:E,"X")&gt;0,4%,0)</f>
        <v>0</v>
      </c>
      <c r="J972" s="31">
        <f>IF(COUNTIFS(Addendum!C:C,A972,Addendum!D:D,IF(ISNUMBER(B972),TEXT(B972,"0000"),B972),Addendum!F:F,"X")&gt;0,2.5%,0)</f>
        <v>0</v>
      </c>
      <c r="K972" s="31">
        <f>IF(COUNTIFS(Addendum!C:C,A972,Addendum!D:D,IF(ISNUMBER(B972),TEXT(B972,"0000"),B972),Addendum!G:G,"X")&gt;0,7%,0)</f>
        <v>0</v>
      </c>
      <c r="L972" s="31">
        <f>IF(COUNTIFS(Addendum!C:C,A972,Addendum!D:D,IF(ISNUMBER(B972),TEXT(B972,"0000"),B972),Addendum!I:I,"X")&gt;0,10%,0)</f>
        <v>0</v>
      </c>
      <c r="M972" s="34">
        <f t="shared" si="30"/>
        <v>0</v>
      </c>
      <c r="N972" s="17">
        <f t="shared" si="31"/>
        <v>1235385</v>
      </c>
    </row>
    <row r="973" spans="1:14" x14ac:dyDescent="0.25">
      <c r="A973" s="14" t="s">
        <v>2055</v>
      </c>
      <c r="B973" s="14">
        <v>3</v>
      </c>
      <c r="C973" s="15" t="s">
        <v>2075</v>
      </c>
      <c r="D973" s="14" t="s">
        <v>1752</v>
      </c>
      <c r="E973" s="14" t="s">
        <v>1746</v>
      </c>
      <c r="F973" s="17" t="s">
        <v>2993</v>
      </c>
      <c r="G973" s="14">
        <v>786240</v>
      </c>
      <c r="H973" s="14">
        <v>589680</v>
      </c>
      <c r="I973" s="31">
        <f>IF(COUNTIFS(Addendum!C:C,A973,Addendum!D:D,IF(ISNUMBER(B973),TEXT(B973,"0000"),B973),Addendum!E:E,"X")&gt;0,4%,0)</f>
        <v>0</v>
      </c>
      <c r="J973" s="31">
        <f>IF(COUNTIFS(Addendum!C:C,A973,Addendum!D:D,IF(ISNUMBER(B973),TEXT(B973,"0000"),B973),Addendum!F:F,"X")&gt;0,2.5%,0)</f>
        <v>0</v>
      </c>
      <c r="K973" s="31">
        <f>IF(COUNTIFS(Addendum!C:C,A973,Addendum!D:D,IF(ISNUMBER(B973),TEXT(B973,"0000"),B973),Addendum!G:G,"X")&gt;0,7%,0)</f>
        <v>0</v>
      </c>
      <c r="L973" s="31">
        <f>IF(COUNTIFS(Addendum!C:C,A973,Addendum!D:D,IF(ISNUMBER(B973),TEXT(B973,"0000"),B973),Addendum!I:I,"X")&gt;0,10%,0)</f>
        <v>0</v>
      </c>
      <c r="M973" s="34">
        <f t="shared" si="30"/>
        <v>0</v>
      </c>
      <c r="N973" s="17">
        <f t="shared" si="31"/>
        <v>589680</v>
      </c>
    </row>
    <row r="974" spans="1:14" x14ac:dyDescent="0.25">
      <c r="A974" s="14" t="s">
        <v>2055</v>
      </c>
      <c r="B974" s="14" t="s">
        <v>325</v>
      </c>
      <c r="C974" s="15" t="s">
        <v>2070</v>
      </c>
      <c r="D974" s="14" t="s">
        <v>1749</v>
      </c>
      <c r="E974" s="14" t="s">
        <v>1746</v>
      </c>
      <c r="F974" s="17" t="s">
        <v>2994</v>
      </c>
      <c r="G974" s="14">
        <v>39936</v>
      </c>
      <c r="H974" s="14">
        <v>29952</v>
      </c>
      <c r="I974" s="31">
        <f>IF(COUNTIFS(Addendum!C:C,A974,Addendum!D:D,IF(ISNUMBER(B974),TEXT(B974,"0000"),B974),Addendum!E:E,"X")&gt;0,4%,0)</f>
        <v>0</v>
      </c>
      <c r="J974" s="31">
        <f>IF(COUNTIFS(Addendum!C:C,A974,Addendum!D:D,IF(ISNUMBER(B974),TEXT(B974,"0000"),B974),Addendum!F:F,"X")&gt;0,2.5%,0)</f>
        <v>0</v>
      </c>
      <c r="K974" s="31">
        <f>IF(COUNTIFS(Addendum!C:C,A974,Addendum!D:D,IF(ISNUMBER(B974),TEXT(B974,"0000"),B974),Addendum!G:G,"X")&gt;0,7%,0)</f>
        <v>0</v>
      </c>
      <c r="L974" s="31">
        <f>IF(COUNTIFS(Addendum!C:C,A974,Addendum!D:D,IF(ISNUMBER(B974),TEXT(B974,"0000"),B974),Addendum!I:I,"X")&gt;0,10%,0)</f>
        <v>0</v>
      </c>
      <c r="M974" s="34">
        <f t="shared" si="30"/>
        <v>0</v>
      </c>
      <c r="N974" s="17">
        <f t="shared" si="31"/>
        <v>29952</v>
      </c>
    </row>
    <row r="975" spans="1:14" x14ac:dyDescent="0.25">
      <c r="A975" s="14" t="s">
        <v>2055</v>
      </c>
      <c r="B975" s="14">
        <v>5</v>
      </c>
      <c r="C975" s="15" t="s">
        <v>2086</v>
      </c>
      <c r="D975" s="14" t="s">
        <v>1745</v>
      </c>
      <c r="E975" s="14" t="s">
        <v>1746</v>
      </c>
      <c r="F975" s="17" t="s">
        <v>2993</v>
      </c>
      <c r="G975" s="14">
        <v>1572354</v>
      </c>
      <c r="H975" s="14">
        <v>1179266</v>
      </c>
      <c r="I975" s="31">
        <f>IF(COUNTIFS(Addendum!C:C,A975,Addendum!D:D,IF(ISNUMBER(B975),TEXT(B975,"0000"),B975),Addendum!E:E,"X")&gt;0,4%,0)</f>
        <v>0</v>
      </c>
      <c r="J975" s="31">
        <f>IF(COUNTIFS(Addendum!C:C,A975,Addendum!D:D,IF(ISNUMBER(B975),TEXT(B975,"0000"),B975),Addendum!F:F,"X")&gt;0,2.5%,0)</f>
        <v>0</v>
      </c>
      <c r="K975" s="31">
        <f>IF(COUNTIFS(Addendum!C:C,A975,Addendum!D:D,IF(ISNUMBER(B975),TEXT(B975,"0000"),B975),Addendum!G:G,"X")&gt;0,7%,0)</f>
        <v>0</v>
      </c>
      <c r="L975" s="31">
        <f>IF(COUNTIFS(Addendum!C:C,A975,Addendum!D:D,IF(ISNUMBER(B975),TEXT(B975,"0000"),B975),Addendum!I:I,"X")&gt;0,10%,0)</f>
        <v>0</v>
      </c>
      <c r="M975" s="34">
        <f t="shared" si="30"/>
        <v>0</v>
      </c>
      <c r="N975" s="17">
        <f t="shared" si="31"/>
        <v>1179266</v>
      </c>
    </row>
    <row r="976" spans="1:14" x14ac:dyDescent="0.25">
      <c r="A976" s="14" t="s">
        <v>2055</v>
      </c>
      <c r="B976" s="14" t="s">
        <v>583</v>
      </c>
      <c r="C976" s="15" t="s">
        <v>2057</v>
      </c>
      <c r="D976" s="14" t="s">
        <v>1745</v>
      </c>
      <c r="E976" s="14" t="s">
        <v>1746</v>
      </c>
      <c r="F976" s="17" t="s">
        <v>2994</v>
      </c>
      <c r="G976" s="14">
        <v>0</v>
      </c>
      <c r="H976" s="14">
        <v>0</v>
      </c>
      <c r="I976" s="31">
        <f>IF(COUNTIFS(Addendum!C:C,A976,Addendum!D:D,IF(ISNUMBER(B976),TEXT(B976,"0000"),B976),Addendum!E:E,"X")&gt;0,4%,0)</f>
        <v>0</v>
      </c>
      <c r="J976" s="31">
        <f>IF(COUNTIFS(Addendum!C:C,A976,Addendum!D:D,IF(ISNUMBER(B976),TEXT(B976,"0000"),B976),Addendum!F:F,"X")&gt;0,2.5%,0)</f>
        <v>0</v>
      </c>
      <c r="K976" s="31">
        <f>IF(COUNTIFS(Addendum!C:C,A976,Addendum!D:D,IF(ISNUMBER(B976),TEXT(B976,"0000"),B976),Addendum!G:G,"X")&gt;0,7%,0)</f>
        <v>0</v>
      </c>
      <c r="L976" s="31">
        <f>IF(COUNTIFS(Addendum!C:C,A976,Addendum!D:D,IF(ISNUMBER(B976),TEXT(B976,"0000"),B976),Addendum!I:I,"X")&gt;0,10%,0)</f>
        <v>0</v>
      </c>
      <c r="M976" s="34">
        <f t="shared" si="30"/>
        <v>0</v>
      </c>
      <c r="N976" s="17">
        <f t="shared" si="31"/>
        <v>0</v>
      </c>
    </row>
    <row r="977" spans="1:14" x14ac:dyDescent="0.25">
      <c r="A977" s="14" t="s">
        <v>2055</v>
      </c>
      <c r="B977" s="14">
        <v>4</v>
      </c>
      <c r="C977" s="15" t="s">
        <v>2056</v>
      </c>
      <c r="D977" s="14" t="s">
        <v>1752</v>
      </c>
      <c r="E977" s="14" t="s">
        <v>1747</v>
      </c>
      <c r="F977" s="17" t="s">
        <v>2993</v>
      </c>
      <c r="G977" s="14">
        <v>898560</v>
      </c>
      <c r="H977" s="14">
        <v>718848</v>
      </c>
      <c r="I977" s="31">
        <f>IF(COUNTIFS(Addendum!C:C,A977,Addendum!D:D,IF(ISNUMBER(B977),TEXT(B977,"0000"),B977),Addendum!E:E,"X")&gt;0,4%,0)</f>
        <v>0</v>
      </c>
      <c r="J977" s="31">
        <f>IF(COUNTIFS(Addendum!C:C,A977,Addendum!D:D,IF(ISNUMBER(B977),TEXT(B977,"0000"),B977),Addendum!F:F,"X")&gt;0,2.5%,0)</f>
        <v>0</v>
      </c>
      <c r="K977" s="31">
        <f>IF(COUNTIFS(Addendum!C:C,A977,Addendum!D:D,IF(ISNUMBER(B977),TEXT(B977,"0000"),B977),Addendum!G:G,"X")&gt;0,7%,0)</f>
        <v>0</v>
      </c>
      <c r="L977" s="31">
        <f>IF(COUNTIFS(Addendum!C:C,A977,Addendum!D:D,IF(ISNUMBER(B977),TEXT(B977,"0000"),B977),Addendum!I:I,"X")&gt;0,10%,0)</f>
        <v>0</v>
      </c>
      <c r="M977" s="34">
        <f t="shared" si="30"/>
        <v>0</v>
      </c>
      <c r="N977" s="17">
        <f t="shared" si="31"/>
        <v>718848</v>
      </c>
    </row>
    <row r="978" spans="1:14" x14ac:dyDescent="0.25">
      <c r="A978" s="14" t="s">
        <v>2055</v>
      </c>
      <c r="B978" s="14" t="s">
        <v>263</v>
      </c>
      <c r="C978" s="15" t="s">
        <v>2082</v>
      </c>
      <c r="D978" s="14" t="s">
        <v>1752</v>
      </c>
      <c r="E978" s="14" t="s">
        <v>1747</v>
      </c>
      <c r="F978" s="17" t="s">
        <v>2994</v>
      </c>
      <c r="G978" s="14">
        <v>0</v>
      </c>
      <c r="H978" s="14">
        <v>0</v>
      </c>
      <c r="I978" s="31">
        <f>IF(COUNTIFS(Addendum!C:C,A978,Addendum!D:D,IF(ISNUMBER(B978),TEXT(B978,"0000"),B978),Addendum!E:E,"X")&gt;0,4%,0)</f>
        <v>0</v>
      </c>
      <c r="J978" s="31">
        <f>IF(COUNTIFS(Addendum!C:C,A978,Addendum!D:D,IF(ISNUMBER(B978),TEXT(B978,"0000"),B978),Addendum!F:F,"X")&gt;0,2.5%,0)</f>
        <v>0</v>
      </c>
      <c r="K978" s="31">
        <f>IF(COUNTIFS(Addendum!C:C,A978,Addendum!D:D,IF(ISNUMBER(B978),TEXT(B978,"0000"),B978),Addendum!G:G,"X")&gt;0,7%,0)</f>
        <v>0</v>
      </c>
      <c r="L978" s="31">
        <f>IF(COUNTIFS(Addendum!C:C,A978,Addendum!D:D,IF(ISNUMBER(B978),TEXT(B978,"0000"),B978),Addendum!I:I,"X")&gt;0,10%,0)</f>
        <v>0</v>
      </c>
      <c r="M978" s="34">
        <f t="shared" si="30"/>
        <v>0</v>
      </c>
      <c r="N978" s="17">
        <f t="shared" si="31"/>
        <v>0</v>
      </c>
    </row>
    <row r="979" spans="1:14" x14ac:dyDescent="0.25">
      <c r="A979" s="14" t="s">
        <v>2055</v>
      </c>
      <c r="B979" s="14" t="s">
        <v>97</v>
      </c>
      <c r="C979" s="15" t="s">
        <v>2073</v>
      </c>
      <c r="D979" s="14" t="s">
        <v>1745</v>
      </c>
      <c r="E979" s="14" t="s">
        <v>1747</v>
      </c>
      <c r="F979" s="17" t="s">
        <v>2995</v>
      </c>
      <c r="G979" s="14">
        <v>499140</v>
      </c>
      <c r="H979" s="14">
        <v>449226</v>
      </c>
      <c r="I979" s="31">
        <f>IF(COUNTIFS(Addendum!C:C,A979,Addendum!D:D,IF(ISNUMBER(B979),TEXT(B979,"0000"),B979),Addendum!E:E,"X")&gt;0,4%,0)</f>
        <v>0</v>
      </c>
      <c r="J979" s="31">
        <f>IF(COUNTIFS(Addendum!C:C,A979,Addendum!D:D,IF(ISNUMBER(B979),TEXT(B979,"0000"),B979),Addendum!F:F,"X")&gt;0,2.5%,0)</f>
        <v>0</v>
      </c>
      <c r="K979" s="31">
        <f>IF(COUNTIFS(Addendum!C:C,A979,Addendum!D:D,IF(ISNUMBER(B979),TEXT(B979,"0000"),B979),Addendum!G:G,"X")&gt;0,7%,0)</f>
        <v>0</v>
      </c>
      <c r="L979" s="31">
        <f>IF(COUNTIFS(Addendum!C:C,A979,Addendum!D:D,IF(ISNUMBER(B979),TEXT(B979,"0000"),B979),Addendum!I:I,"X")&gt;0,10%,0)</f>
        <v>0</v>
      </c>
      <c r="M979" s="34">
        <f t="shared" si="30"/>
        <v>0</v>
      </c>
      <c r="N979" s="17">
        <f t="shared" si="31"/>
        <v>449226</v>
      </c>
    </row>
    <row r="980" spans="1:14" x14ac:dyDescent="0.25">
      <c r="A980" s="14" t="s">
        <v>2055</v>
      </c>
      <c r="B980" s="14">
        <v>3</v>
      </c>
      <c r="C980" s="15" t="s">
        <v>2075</v>
      </c>
      <c r="D980" s="14" t="s">
        <v>1752</v>
      </c>
      <c r="E980" s="14" t="s">
        <v>1753</v>
      </c>
      <c r="F980" s="17" t="s">
        <v>2993</v>
      </c>
      <c r="G980" s="14">
        <v>748800</v>
      </c>
      <c r="H980" s="14">
        <v>561600</v>
      </c>
      <c r="I980" s="31">
        <f>IF(COUNTIFS(Addendum!C:C,A980,Addendum!D:D,IF(ISNUMBER(B980),TEXT(B980,"0000"),B980),Addendum!E:E,"X")&gt;0,4%,0)</f>
        <v>0</v>
      </c>
      <c r="J980" s="31">
        <f>IF(COUNTIFS(Addendum!C:C,A980,Addendum!D:D,IF(ISNUMBER(B980),TEXT(B980,"0000"),B980),Addendum!F:F,"X")&gt;0,2.5%,0)</f>
        <v>0</v>
      </c>
      <c r="K980" s="31">
        <f>IF(COUNTIFS(Addendum!C:C,A980,Addendum!D:D,IF(ISNUMBER(B980),TEXT(B980,"0000"),B980),Addendum!G:G,"X")&gt;0,7%,0)</f>
        <v>0</v>
      </c>
      <c r="L980" s="31">
        <f>IF(COUNTIFS(Addendum!C:C,A980,Addendum!D:D,IF(ISNUMBER(B980),TEXT(B980,"0000"),B980),Addendum!I:I,"X")&gt;0,10%,0)</f>
        <v>0</v>
      </c>
      <c r="M980" s="34">
        <f t="shared" si="30"/>
        <v>0</v>
      </c>
      <c r="N980" s="17">
        <f t="shared" si="31"/>
        <v>561600</v>
      </c>
    </row>
    <row r="981" spans="1:14" x14ac:dyDescent="0.25">
      <c r="A981" s="14" t="s">
        <v>2055</v>
      </c>
      <c r="B981" s="14">
        <v>13</v>
      </c>
      <c r="C981" s="15" t="s">
        <v>2076</v>
      </c>
      <c r="D981" s="14" t="s">
        <v>1745</v>
      </c>
      <c r="E981" s="14" t="s">
        <v>1746</v>
      </c>
      <c r="F981" s="17" t="s">
        <v>2994</v>
      </c>
      <c r="G981" s="14">
        <v>864801</v>
      </c>
      <c r="H981" s="14">
        <v>648600.69999999995</v>
      </c>
      <c r="I981" s="31">
        <f>IF(COUNTIFS(Addendum!C:C,A981,Addendum!D:D,IF(ISNUMBER(B981),TEXT(B981,"0000"),B981),Addendum!E:E,"X")&gt;0,4%,0)</f>
        <v>0</v>
      </c>
      <c r="J981" s="31">
        <f>IF(COUNTIFS(Addendum!C:C,A981,Addendum!D:D,IF(ISNUMBER(B981),TEXT(B981,"0000"),B981),Addendum!F:F,"X")&gt;0,2.5%,0)</f>
        <v>0</v>
      </c>
      <c r="K981" s="31">
        <f>IF(COUNTIFS(Addendum!C:C,A981,Addendum!D:D,IF(ISNUMBER(B981),TEXT(B981,"0000"),B981),Addendum!G:G,"X")&gt;0,7%,0)</f>
        <v>0</v>
      </c>
      <c r="L981" s="31">
        <f>IF(COUNTIFS(Addendum!C:C,A981,Addendum!D:D,IF(ISNUMBER(B981),TEXT(B981,"0000"),B981),Addendum!I:I,"X")&gt;0,10%,0)</f>
        <v>0</v>
      </c>
      <c r="M981" s="34">
        <f t="shared" si="30"/>
        <v>0</v>
      </c>
      <c r="N981" s="17">
        <f t="shared" si="31"/>
        <v>648600.69999999995</v>
      </c>
    </row>
    <row r="982" spans="1:14" x14ac:dyDescent="0.25">
      <c r="A982" s="14" t="s">
        <v>2055</v>
      </c>
      <c r="B982" s="14">
        <v>13</v>
      </c>
      <c r="C982" s="15" t="s">
        <v>2076</v>
      </c>
      <c r="D982" s="14" t="s">
        <v>1749</v>
      </c>
      <c r="E982" s="14" t="s">
        <v>1746</v>
      </c>
      <c r="F982" s="17" t="s">
        <v>2994</v>
      </c>
      <c r="G982" s="14">
        <v>82362</v>
      </c>
      <c r="H982" s="14">
        <v>61771.5</v>
      </c>
      <c r="I982" s="31">
        <f>IF(COUNTIFS(Addendum!C:C,A982,Addendum!D:D,IF(ISNUMBER(B982),TEXT(B982,"0000"),B982),Addendum!E:E,"X")&gt;0,4%,0)</f>
        <v>0</v>
      </c>
      <c r="J982" s="31">
        <f>IF(COUNTIFS(Addendum!C:C,A982,Addendum!D:D,IF(ISNUMBER(B982),TEXT(B982,"0000"),B982),Addendum!F:F,"X")&gt;0,2.5%,0)</f>
        <v>0</v>
      </c>
      <c r="K982" s="31">
        <f>IF(COUNTIFS(Addendum!C:C,A982,Addendum!D:D,IF(ISNUMBER(B982),TEXT(B982,"0000"),B982),Addendum!G:G,"X")&gt;0,7%,0)</f>
        <v>0</v>
      </c>
      <c r="L982" s="31">
        <f>IF(COUNTIFS(Addendum!C:C,A982,Addendum!D:D,IF(ISNUMBER(B982),TEXT(B982,"0000"),B982),Addendum!I:I,"X")&gt;0,10%,0)</f>
        <v>0</v>
      </c>
      <c r="M982" s="34">
        <f t="shared" si="30"/>
        <v>0</v>
      </c>
      <c r="N982" s="17">
        <f t="shared" si="31"/>
        <v>61771.5</v>
      </c>
    </row>
    <row r="983" spans="1:14" x14ac:dyDescent="0.25">
      <c r="A983" s="14" t="s">
        <v>2055</v>
      </c>
      <c r="B983" s="14">
        <v>12</v>
      </c>
      <c r="C983" s="15" t="s">
        <v>2084</v>
      </c>
      <c r="D983" s="14" t="s">
        <v>1749</v>
      </c>
      <c r="E983" s="14" t="s">
        <v>1746</v>
      </c>
      <c r="F983" s="17" t="s">
        <v>2994</v>
      </c>
      <c r="G983" s="14">
        <v>59898</v>
      </c>
      <c r="H983" s="14">
        <v>44923.5</v>
      </c>
      <c r="I983" s="31">
        <f>IF(COUNTIFS(Addendum!C:C,A983,Addendum!D:D,IF(ISNUMBER(B983),TEXT(B983,"0000"),B983),Addendum!E:E,"X")&gt;0,4%,0)</f>
        <v>0</v>
      </c>
      <c r="J983" s="31">
        <f>IF(COUNTIFS(Addendum!C:C,A983,Addendum!D:D,IF(ISNUMBER(B983),TEXT(B983,"0000"),B983),Addendum!F:F,"X")&gt;0,2.5%,0)</f>
        <v>0</v>
      </c>
      <c r="K983" s="31">
        <f>IF(COUNTIFS(Addendum!C:C,A983,Addendum!D:D,IF(ISNUMBER(B983),TEXT(B983,"0000"),B983),Addendum!G:G,"X")&gt;0,7%,0)</f>
        <v>0</v>
      </c>
      <c r="L983" s="31">
        <f>IF(COUNTIFS(Addendum!C:C,A983,Addendum!D:D,IF(ISNUMBER(B983),TEXT(B983,"0000"),B983),Addendum!I:I,"X")&gt;0,10%,0)</f>
        <v>0</v>
      </c>
      <c r="M983" s="34">
        <f t="shared" si="30"/>
        <v>0</v>
      </c>
      <c r="N983" s="17">
        <f t="shared" si="31"/>
        <v>44923.5</v>
      </c>
    </row>
    <row r="984" spans="1:14" x14ac:dyDescent="0.25">
      <c r="A984" s="14" t="s">
        <v>2055</v>
      </c>
      <c r="B984" s="14" t="s">
        <v>36</v>
      </c>
      <c r="C984" s="15" t="s">
        <v>2079</v>
      </c>
      <c r="D984" s="14" t="s">
        <v>1752</v>
      </c>
      <c r="E984" s="14" t="s">
        <v>1747</v>
      </c>
      <c r="F984" s="17" t="s">
        <v>2995</v>
      </c>
      <c r="G984" s="14">
        <v>1272960</v>
      </c>
      <c r="H984" s="14">
        <v>1145664</v>
      </c>
      <c r="I984" s="31">
        <f>IF(COUNTIFS(Addendum!C:C,A984,Addendum!D:D,IF(ISNUMBER(B984),TEXT(B984,"0000"),B984),Addendum!E:E,"X")&gt;0,4%,0)</f>
        <v>0</v>
      </c>
      <c r="J984" s="31">
        <f>IF(COUNTIFS(Addendum!C:C,A984,Addendum!D:D,IF(ISNUMBER(B984),TEXT(B984,"0000"),B984),Addendum!F:F,"X")&gt;0,2.5%,0)</f>
        <v>0</v>
      </c>
      <c r="K984" s="31">
        <f>IF(COUNTIFS(Addendum!C:C,A984,Addendum!D:D,IF(ISNUMBER(B984),TEXT(B984,"0000"),B984),Addendum!G:G,"X")&gt;0,7%,0)</f>
        <v>0</v>
      </c>
      <c r="L984" s="31">
        <f>IF(COUNTIFS(Addendum!C:C,A984,Addendum!D:D,IF(ISNUMBER(B984),TEXT(B984,"0000"),B984),Addendum!I:I,"X")&gt;0,10%,0)</f>
        <v>0</v>
      </c>
      <c r="M984" s="34">
        <f t="shared" si="30"/>
        <v>0</v>
      </c>
      <c r="N984" s="17">
        <f t="shared" si="31"/>
        <v>1145664</v>
      </c>
    </row>
    <row r="985" spans="1:14" x14ac:dyDescent="0.25">
      <c r="A985" s="14" t="s">
        <v>2055</v>
      </c>
      <c r="B985" s="14">
        <v>15</v>
      </c>
      <c r="C985" s="15" t="s">
        <v>2072</v>
      </c>
      <c r="D985" s="14" t="s">
        <v>1752</v>
      </c>
      <c r="E985" s="14" t="s">
        <v>1746</v>
      </c>
      <c r="F985" s="17" t="s">
        <v>2994</v>
      </c>
      <c r="G985" s="14">
        <v>1257984</v>
      </c>
      <c r="H985" s="14">
        <v>943488</v>
      </c>
      <c r="I985" s="31">
        <f>IF(COUNTIFS(Addendum!C:C,A985,Addendum!D:D,IF(ISNUMBER(B985),TEXT(B985,"0000"),B985),Addendum!E:E,"X")&gt;0,4%,0)</f>
        <v>0</v>
      </c>
      <c r="J985" s="31">
        <f>IF(COUNTIFS(Addendum!C:C,A985,Addendum!D:D,IF(ISNUMBER(B985),TEXT(B985,"0000"),B985),Addendum!F:F,"X")&gt;0,2.5%,0)</f>
        <v>0</v>
      </c>
      <c r="K985" s="31">
        <f>IF(COUNTIFS(Addendum!C:C,A985,Addendum!D:D,IF(ISNUMBER(B985),TEXT(B985,"0000"),B985),Addendum!G:G,"X")&gt;0,7%,0)</f>
        <v>0</v>
      </c>
      <c r="L985" s="31">
        <f>IF(COUNTIFS(Addendum!C:C,A985,Addendum!D:D,IF(ISNUMBER(B985),TEXT(B985,"0000"),B985),Addendum!I:I,"X")&gt;0,10%,0)</f>
        <v>0</v>
      </c>
      <c r="M985" s="34">
        <f t="shared" si="30"/>
        <v>0</v>
      </c>
      <c r="N985" s="17">
        <f t="shared" si="31"/>
        <v>943488</v>
      </c>
    </row>
    <row r="986" spans="1:14" x14ac:dyDescent="0.25">
      <c r="A986" s="14" t="s">
        <v>2055</v>
      </c>
      <c r="B986" s="14">
        <v>15</v>
      </c>
      <c r="C986" s="15" t="s">
        <v>2072</v>
      </c>
      <c r="D986" s="14" t="s">
        <v>1745</v>
      </c>
      <c r="E986" s="14" t="s">
        <v>1746</v>
      </c>
      <c r="F986" s="17" t="s">
        <v>2994</v>
      </c>
      <c r="G986" s="14">
        <v>419328</v>
      </c>
      <c r="H986" s="14">
        <v>314496</v>
      </c>
      <c r="I986" s="31">
        <f>IF(COUNTIFS(Addendum!C:C,A986,Addendum!D:D,IF(ISNUMBER(B986),TEXT(B986,"0000"),B986),Addendum!E:E,"X")&gt;0,4%,0)</f>
        <v>0</v>
      </c>
      <c r="J986" s="31">
        <f>IF(COUNTIFS(Addendum!C:C,A986,Addendum!D:D,IF(ISNUMBER(B986),TEXT(B986,"0000"),B986),Addendum!F:F,"X")&gt;0,2.5%,0)</f>
        <v>0</v>
      </c>
      <c r="K986" s="31">
        <f>IF(COUNTIFS(Addendum!C:C,A986,Addendum!D:D,IF(ISNUMBER(B986),TEXT(B986,"0000"),B986),Addendum!G:G,"X")&gt;0,7%,0)</f>
        <v>0</v>
      </c>
      <c r="L986" s="31">
        <f>IF(COUNTIFS(Addendum!C:C,A986,Addendum!D:D,IF(ISNUMBER(B986),TEXT(B986,"0000"),B986),Addendum!I:I,"X")&gt;0,10%,0)</f>
        <v>0</v>
      </c>
      <c r="M986" s="34">
        <f t="shared" si="30"/>
        <v>0</v>
      </c>
      <c r="N986" s="17">
        <f t="shared" si="31"/>
        <v>314496</v>
      </c>
    </row>
    <row r="987" spans="1:14" x14ac:dyDescent="0.25">
      <c r="A987" s="14" t="s">
        <v>2055</v>
      </c>
      <c r="B987" s="14">
        <v>19</v>
      </c>
      <c r="C987" s="15" t="s">
        <v>2069</v>
      </c>
      <c r="D987" s="14" t="s">
        <v>1745</v>
      </c>
      <c r="E987" s="14" t="s">
        <v>1746</v>
      </c>
      <c r="F987" s="17" t="s">
        <v>2995</v>
      </c>
      <c r="G987" s="14">
        <v>131040</v>
      </c>
      <c r="H987" s="14">
        <v>117936</v>
      </c>
      <c r="I987" s="31">
        <f>IF(COUNTIFS(Addendum!C:C,A987,Addendum!D:D,IF(ISNUMBER(B987),TEXT(B987,"0000"),B987),Addendum!E:E,"X")&gt;0,4%,0)</f>
        <v>0</v>
      </c>
      <c r="J987" s="31">
        <f>IF(COUNTIFS(Addendum!C:C,A987,Addendum!D:D,IF(ISNUMBER(B987),TEXT(B987,"0000"),B987),Addendum!F:F,"X")&gt;0,2.5%,0)</f>
        <v>0</v>
      </c>
      <c r="K987" s="31">
        <f>IF(COUNTIFS(Addendum!C:C,A987,Addendum!D:D,IF(ISNUMBER(B987),TEXT(B987,"0000"),B987),Addendum!G:G,"X")&gt;0,7%,0)</f>
        <v>0</v>
      </c>
      <c r="L987" s="31">
        <f>IF(COUNTIFS(Addendum!C:C,A987,Addendum!D:D,IF(ISNUMBER(B987),TEXT(B987,"0000"),B987),Addendum!I:I,"X")&gt;0,10%,0)</f>
        <v>0</v>
      </c>
      <c r="M987" s="34">
        <f t="shared" si="30"/>
        <v>0</v>
      </c>
      <c r="N987" s="17">
        <f t="shared" si="31"/>
        <v>117936</v>
      </c>
    </row>
    <row r="988" spans="1:14" ht="30" x14ac:dyDescent="0.25">
      <c r="A988" s="14" t="s">
        <v>2055</v>
      </c>
      <c r="B988" s="14" t="s">
        <v>122</v>
      </c>
      <c r="C988" s="15" t="s">
        <v>2078</v>
      </c>
      <c r="D988" s="14" t="s">
        <v>1745</v>
      </c>
      <c r="E988" s="14" t="s">
        <v>1747</v>
      </c>
      <c r="F988" s="17" t="s">
        <v>2994</v>
      </c>
      <c r="G988" s="14">
        <v>119820</v>
      </c>
      <c r="H988" s="14">
        <v>95856</v>
      </c>
      <c r="I988" s="31">
        <f>IF(COUNTIFS(Addendum!C:C,A988,Addendum!D:D,IF(ISNUMBER(B988),TEXT(B988,"0000"),B988),Addendum!E:E,"X")&gt;0,4%,0)</f>
        <v>0</v>
      </c>
      <c r="J988" s="31">
        <f>IF(COUNTIFS(Addendum!C:C,A988,Addendum!D:D,IF(ISNUMBER(B988),TEXT(B988,"0000"),B988),Addendum!F:F,"X")&gt;0,2.5%,0)</f>
        <v>0</v>
      </c>
      <c r="K988" s="31">
        <f>IF(COUNTIFS(Addendum!C:C,A988,Addendum!D:D,IF(ISNUMBER(B988),TEXT(B988,"0000"),B988),Addendum!G:G,"X")&gt;0,7%,0)</f>
        <v>0</v>
      </c>
      <c r="L988" s="31">
        <f>IF(COUNTIFS(Addendum!C:C,A988,Addendum!D:D,IF(ISNUMBER(B988),TEXT(B988,"0000"),B988),Addendum!I:I,"X")&gt;0,10%,0)</f>
        <v>0</v>
      </c>
      <c r="M988" s="34">
        <f t="shared" si="30"/>
        <v>0</v>
      </c>
      <c r="N988" s="17">
        <f t="shared" si="31"/>
        <v>95856</v>
      </c>
    </row>
    <row r="989" spans="1:14" ht="30" x14ac:dyDescent="0.25">
      <c r="A989" s="14" t="s">
        <v>2055</v>
      </c>
      <c r="B989" s="14" t="s">
        <v>28</v>
      </c>
      <c r="C989" s="15" t="s">
        <v>2062</v>
      </c>
      <c r="D989" s="14" t="s">
        <v>1752</v>
      </c>
      <c r="E989" s="14" t="s">
        <v>1753</v>
      </c>
      <c r="F989" s="17" t="s">
        <v>2994</v>
      </c>
      <c r="G989" s="14">
        <v>299520</v>
      </c>
      <c r="H989" s="14">
        <v>224640</v>
      </c>
      <c r="I989" s="31">
        <f>IF(COUNTIFS(Addendum!C:C,A989,Addendum!D:D,IF(ISNUMBER(B989),TEXT(B989,"0000"),B989),Addendum!E:E,"X")&gt;0,4%,0)</f>
        <v>0</v>
      </c>
      <c r="J989" s="31">
        <f>IF(COUNTIFS(Addendum!C:C,A989,Addendum!D:D,IF(ISNUMBER(B989),TEXT(B989,"0000"),B989),Addendum!F:F,"X")&gt;0,2.5%,0)</f>
        <v>0</v>
      </c>
      <c r="K989" s="31">
        <f>IF(COUNTIFS(Addendum!C:C,A989,Addendum!D:D,IF(ISNUMBER(B989),TEXT(B989,"0000"),B989),Addendum!G:G,"X")&gt;0,7%,0)</f>
        <v>0</v>
      </c>
      <c r="L989" s="31">
        <f>IF(COUNTIFS(Addendum!C:C,A989,Addendum!D:D,IF(ISNUMBER(B989),TEXT(B989,"0000"),B989),Addendum!I:I,"X")&gt;0,10%,0)</f>
        <v>0</v>
      </c>
      <c r="M989" s="34">
        <f t="shared" si="30"/>
        <v>0</v>
      </c>
      <c r="N989" s="17">
        <f t="shared" si="31"/>
        <v>224640</v>
      </c>
    </row>
    <row r="990" spans="1:14" x14ac:dyDescent="0.25">
      <c r="A990" s="14" t="s">
        <v>2055</v>
      </c>
      <c r="B990" s="14" t="s">
        <v>46</v>
      </c>
      <c r="C990" s="15" t="s">
        <v>2081</v>
      </c>
      <c r="D990" s="14" t="s">
        <v>1752</v>
      </c>
      <c r="E990" s="14" t="s">
        <v>1746</v>
      </c>
      <c r="F990" s="17" t="s">
        <v>2994</v>
      </c>
      <c r="G990" s="14">
        <v>2138346</v>
      </c>
      <c r="H990" s="14">
        <v>1603760</v>
      </c>
      <c r="I990" s="31">
        <f>IF(COUNTIFS(Addendum!C:C,A990,Addendum!D:D,IF(ISNUMBER(B990),TEXT(B990,"0000"),B990),Addendum!E:E,"X")&gt;0,4%,0)</f>
        <v>0</v>
      </c>
      <c r="J990" s="31">
        <f>IF(COUNTIFS(Addendum!C:C,A990,Addendum!D:D,IF(ISNUMBER(B990),TEXT(B990,"0000"),B990),Addendum!F:F,"X")&gt;0,2.5%,0)</f>
        <v>0</v>
      </c>
      <c r="K990" s="31">
        <f>IF(COUNTIFS(Addendum!C:C,A990,Addendum!D:D,IF(ISNUMBER(B990),TEXT(B990,"0000"),B990),Addendum!G:G,"X")&gt;0,7%,0)</f>
        <v>0</v>
      </c>
      <c r="L990" s="31">
        <f>IF(COUNTIFS(Addendum!C:C,A990,Addendum!D:D,IF(ISNUMBER(B990),TEXT(B990,"0000"),B990),Addendum!I:I,"X")&gt;0,10%,0)</f>
        <v>0</v>
      </c>
      <c r="M990" s="34">
        <f t="shared" si="30"/>
        <v>0</v>
      </c>
      <c r="N990" s="17">
        <f t="shared" si="31"/>
        <v>1603760</v>
      </c>
    </row>
    <row r="991" spans="1:14" x14ac:dyDescent="0.25">
      <c r="A991" s="14" t="s">
        <v>2055</v>
      </c>
      <c r="B991" s="14">
        <v>6</v>
      </c>
      <c r="C991" s="15" t="s">
        <v>2089</v>
      </c>
      <c r="D991" s="14" t="s">
        <v>1749</v>
      </c>
      <c r="E991" s="14" t="s">
        <v>1746</v>
      </c>
      <c r="F991" s="17" t="s">
        <v>2993</v>
      </c>
      <c r="G991" s="14">
        <v>49914</v>
      </c>
      <c r="H991" s="14">
        <v>37435.5</v>
      </c>
      <c r="I991" s="31">
        <f>IF(COUNTIFS(Addendum!C:C,A991,Addendum!D:D,IF(ISNUMBER(B991),TEXT(B991,"0000"),B991),Addendum!E:E,"X")&gt;0,4%,0)</f>
        <v>0</v>
      </c>
      <c r="J991" s="31">
        <f>IF(COUNTIFS(Addendum!C:C,A991,Addendum!D:D,IF(ISNUMBER(B991),TEXT(B991,"0000"),B991),Addendum!F:F,"X")&gt;0,2.5%,0)</f>
        <v>0</v>
      </c>
      <c r="K991" s="31">
        <f>IF(COUNTIFS(Addendum!C:C,A991,Addendum!D:D,IF(ISNUMBER(B991),TEXT(B991,"0000"),B991),Addendum!G:G,"X")&gt;0,7%,0)</f>
        <v>0</v>
      </c>
      <c r="L991" s="31">
        <f>IF(COUNTIFS(Addendum!C:C,A991,Addendum!D:D,IF(ISNUMBER(B991),TEXT(B991,"0000"),B991),Addendum!I:I,"X")&gt;0,10%,0)</f>
        <v>0</v>
      </c>
      <c r="M991" s="34">
        <f t="shared" si="30"/>
        <v>0</v>
      </c>
      <c r="N991" s="17">
        <f t="shared" si="31"/>
        <v>37435.5</v>
      </c>
    </row>
    <row r="992" spans="1:14" x14ac:dyDescent="0.25">
      <c r="A992" s="14" t="s">
        <v>2055</v>
      </c>
      <c r="B992" s="14">
        <v>16</v>
      </c>
      <c r="C992" s="15" t="s">
        <v>2065</v>
      </c>
      <c r="D992" s="14" t="s">
        <v>1745</v>
      </c>
      <c r="E992" s="14" t="s">
        <v>1747</v>
      </c>
      <c r="F992" s="17" t="s">
        <v>2995</v>
      </c>
      <c r="G992" s="14">
        <v>249600</v>
      </c>
      <c r="H992" s="14">
        <v>224640</v>
      </c>
      <c r="I992" s="31">
        <f>IF(COUNTIFS(Addendum!C:C,A992,Addendum!D:D,IF(ISNUMBER(B992),TEXT(B992,"0000"),B992),Addendum!E:E,"X")&gt;0,4%,0)</f>
        <v>0</v>
      </c>
      <c r="J992" s="31">
        <f>IF(COUNTIFS(Addendum!C:C,A992,Addendum!D:D,IF(ISNUMBER(B992),TEXT(B992,"0000"),B992),Addendum!F:F,"X")&gt;0,2.5%,0)</f>
        <v>0</v>
      </c>
      <c r="K992" s="31">
        <f>IF(COUNTIFS(Addendum!C:C,A992,Addendum!D:D,IF(ISNUMBER(B992),TEXT(B992,"0000"),B992),Addendum!G:G,"X")&gt;0,7%,0)</f>
        <v>0</v>
      </c>
      <c r="L992" s="31">
        <f>IF(COUNTIFS(Addendum!C:C,A992,Addendum!D:D,IF(ISNUMBER(B992),TEXT(B992,"0000"),B992),Addendum!I:I,"X")&gt;0,10%,0)</f>
        <v>0</v>
      </c>
      <c r="M992" s="34">
        <f t="shared" si="30"/>
        <v>0</v>
      </c>
      <c r="N992" s="17">
        <f t="shared" si="31"/>
        <v>224640</v>
      </c>
    </row>
    <row r="993" spans="1:14" x14ac:dyDescent="0.25">
      <c r="A993" s="14" t="s">
        <v>2055</v>
      </c>
      <c r="B993" s="14" t="s">
        <v>263</v>
      </c>
      <c r="C993" s="15" t="s">
        <v>2082</v>
      </c>
      <c r="D993" s="14" t="s">
        <v>1745</v>
      </c>
      <c r="E993" s="14" t="s">
        <v>1747</v>
      </c>
      <c r="F993" s="17" t="s">
        <v>2994</v>
      </c>
      <c r="G993" s="14">
        <v>0</v>
      </c>
      <c r="H993" s="14">
        <v>0</v>
      </c>
      <c r="I993" s="31">
        <f>IF(COUNTIFS(Addendum!C:C,A993,Addendum!D:D,IF(ISNUMBER(B993),TEXT(B993,"0000"),B993),Addendum!E:E,"X")&gt;0,4%,0)</f>
        <v>0</v>
      </c>
      <c r="J993" s="31">
        <f>IF(COUNTIFS(Addendum!C:C,A993,Addendum!D:D,IF(ISNUMBER(B993),TEXT(B993,"0000"),B993),Addendum!F:F,"X")&gt;0,2.5%,0)</f>
        <v>0</v>
      </c>
      <c r="K993" s="31">
        <f>IF(COUNTIFS(Addendum!C:C,A993,Addendum!D:D,IF(ISNUMBER(B993),TEXT(B993,"0000"),B993),Addendum!G:G,"X")&gt;0,7%,0)</f>
        <v>0</v>
      </c>
      <c r="L993" s="31">
        <f>IF(COUNTIFS(Addendum!C:C,A993,Addendum!D:D,IF(ISNUMBER(B993),TEXT(B993,"0000"),B993),Addendum!I:I,"X")&gt;0,10%,0)</f>
        <v>0</v>
      </c>
      <c r="M993" s="34">
        <f t="shared" si="30"/>
        <v>0</v>
      </c>
      <c r="N993" s="17">
        <f t="shared" si="31"/>
        <v>0</v>
      </c>
    </row>
    <row r="994" spans="1:14" x14ac:dyDescent="0.25">
      <c r="A994" s="14" t="s">
        <v>2055</v>
      </c>
      <c r="B994" s="14" t="s">
        <v>89</v>
      </c>
      <c r="C994" s="15" t="s">
        <v>2085</v>
      </c>
      <c r="D994" s="14" t="s">
        <v>1745</v>
      </c>
      <c r="E994" s="14" t="s">
        <v>1747</v>
      </c>
      <c r="F994" s="17" t="s">
        <v>2993</v>
      </c>
      <c r="G994" s="14">
        <v>998340</v>
      </c>
      <c r="H994" s="14">
        <v>748755</v>
      </c>
      <c r="I994" s="31">
        <f>IF(COUNTIFS(Addendum!C:C,A994,Addendum!D:D,IF(ISNUMBER(B994),TEXT(B994,"0000"),B994),Addendum!E:E,"X")&gt;0,4%,0)</f>
        <v>0</v>
      </c>
      <c r="J994" s="31">
        <f>IF(COUNTIFS(Addendum!C:C,A994,Addendum!D:D,IF(ISNUMBER(B994),TEXT(B994,"0000"),B994),Addendum!F:F,"X")&gt;0,2.5%,0)</f>
        <v>0</v>
      </c>
      <c r="K994" s="31">
        <f>IF(COUNTIFS(Addendum!C:C,A994,Addendum!D:D,IF(ISNUMBER(B994),TEXT(B994,"0000"),B994),Addendum!G:G,"X")&gt;0,7%,0)</f>
        <v>0</v>
      </c>
      <c r="L994" s="31">
        <f>IF(COUNTIFS(Addendum!C:C,A994,Addendum!D:D,IF(ISNUMBER(B994),TEXT(B994,"0000"),B994),Addendum!I:I,"X")&gt;0,10%,0)</f>
        <v>0</v>
      </c>
      <c r="M994" s="34">
        <f t="shared" si="30"/>
        <v>0</v>
      </c>
      <c r="N994" s="17">
        <f t="shared" si="31"/>
        <v>748755</v>
      </c>
    </row>
    <row r="995" spans="1:14" x14ac:dyDescent="0.25">
      <c r="A995" s="14" t="s">
        <v>2055</v>
      </c>
      <c r="B995" s="14">
        <v>6</v>
      </c>
      <c r="C995" s="15" t="s">
        <v>2089</v>
      </c>
      <c r="D995" s="14" t="s">
        <v>1745</v>
      </c>
      <c r="E995" s="14" t="s">
        <v>1746</v>
      </c>
      <c r="F995" s="17" t="s">
        <v>2993</v>
      </c>
      <c r="G995" s="14">
        <v>524097</v>
      </c>
      <c r="H995" s="14">
        <v>393072.7</v>
      </c>
      <c r="I995" s="31">
        <f>IF(COUNTIFS(Addendum!C:C,A995,Addendum!D:D,IF(ISNUMBER(B995),TEXT(B995,"0000"),B995),Addendum!E:E,"X")&gt;0,4%,0)</f>
        <v>0</v>
      </c>
      <c r="J995" s="31">
        <f>IF(COUNTIFS(Addendum!C:C,A995,Addendum!D:D,IF(ISNUMBER(B995),TEXT(B995,"0000"),B995),Addendum!F:F,"X")&gt;0,2.5%,0)</f>
        <v>0</v>
      </c>
      <c r="K995" s="31">
        <f>IF(COUNTIFS(Addendum!C:C,A995,Addendum!D:D,IF(ISNUMBER(B995),TEXT(B995,"0000"),B995),Addendum!G:G,"X")&gt;0,7%,0)</f>
        <v>0</v>
      </c>
      <c r="L995" s="31">
        <f>IF(COUNTIFS(Addendum!C:C,A995,Addendum!D:D,IF(ISNUMBER(B995),TEXT(B995,"0000"),B995),Addendum!I:I,"X")&gt;0,10%,0)</f>
        <v>0</v>
      </c>
      <c r="M995" s="34">
        <f t="shared" si="30"/>
        <v>0</v>
      </c>
      <c r="N995" s="17">
        <f t="shared" si="31"/>
        <v>393072.7</v>
      </c>
    </row>
    <row r="996" spans="1:14" x14ac:dyDescent="0.25">
      <c r="A996" s="14" t="s">
        <v>2055</v>
      </c>
      <c r="B996" s="14">
        <v>9</v>
      </c>
      <c r="C996" s="15" t="s">
        <v>2090</v>
      </c>
      <c r="D996" s="14" t="s">
        <v>1745</v>
      </c>
      <c r="E996" s="14" t="s">
        <v>1746</v>
      </c>
      <c r="F996" s="17" t="s">
        <v>2993</v>
      </c>
      <c r="G996" s="14">
        <v>2096514</v>
      </c>
      <c r="H996" s="14">
        <v>1572386</v>
      </c>
      <c r="I996" s="31">
        <f>IF(COUNTIFS(Addendum!C:C,A996,Addendum!D:D,IF(ISNUMBER(B996),TEXT(B996,"0000"),B996),Addendum!E:E,"X")&gt;0,4%,0)</f>
        <v>0</v>
      </c>
      <c r="J996" s="31">
        <f>IF(COUNTIFS(Addendum!C:C,A996,Addendum!D:D,IF(ISNUMBER(B996),TEXT(B996,"0000"),B996),Addendum!F:F,"X")&gt;0,2.5%,0)</f>
        <v>0</v>
      </c>
      <c r="K996" s="31">
        <f>IF(COUNTIFS(Addendum!C:C,A996,Addendum!D:D,IF(ISNUMBER(B996),TEXT(B996,"0000"),B996),Addendum!G:G,"X")&gt;0,7%,0)</f>
        <v>0</v>
      </c>
      <c r="L996" s="31">
        <f>IF(COUNTIFS(Addendum!C:C,A996,Addendum!D:D,IF(ISNUMBER(B996),TEXT(B996,"0000"),B996),Addendum!I:I,"X")&gt;0,10%,0)</f>
        <v>0</v>
      </c>
      <c r="M996" s="34">
        <f t="shared" si="30"/>
        <v>0</v>
      </c>
      <c r="N996" s="17">
        <f t="shared" si="31"/>
        <v>1572386</v>
      </c>
    </row>
    <row r="997" spans="1:14" ht="30" x14ac:dyDescent="0.25">
      <c r="A997" s="14" t="s">
        <v>2055</v>
      </c>
      <c r="B997" s="14" t="s">
        <v>122</v>
      </c>
      <c r="C997" s="15" t="s">
        <v>2078</v>
      </c>
      <c r="D997" s="14" t="s">
        <v>1749</v>
      </c>
      <c r="E997" s="14" t="s">
        <v>1746</v>
      </c>
      <c r="F997" s="17" t="s">
        <v>2994</v>
      </c>
      <c r="G997" s="14">
        <v>11982</v>
      </c>
      <c r="H997" s="14">
        <v>9585.6</v>
      </c>
      <c r="I997" s="31">
        <f>IF(COUNTIFS(Addendum!C:C,A997,Addendum!D:D,IF(ISNUMBER(B997),TEXT(B997,"0000"),B997),Addendum!E:E,"X")&gt;0,4%,0)</f>
        <v>0</v>
      </c>
      <c r="J997" s="31">
        <f>IF(COUNTIFS(Addendum!C:C,A997,Addendum!D:D,IF(ISNUMBER(B997),TEXT(B997,"0000"),B997),Addendum!F:F,"X")&gt;0,2.5%,0)</f>
        <v>0</v>
      </c>
      <c r="K997" s="31">
        <f>IF(COUNTIFS(Addendum!C:C,A997,Addendum!D:D,IF(ISNUMBER(B997),TEXT(B997,"0000"),B997),Addendum!G:G,"X")&gt;0,7%,0)</f>
        <v>0</v>
      </c>
      <c r="L997" s="31">
        <f>IF(COUNTIFS(Addendum!C:C,A997,Addendum!D:D,IF(ISNUMBER(B997),TEXT(B997,"0000"),B997),Addendum!I:I,"X")&gt;0,10%,0)</f>
        <v>0</v>
      </c>
      <c r="M997" s="34">
        <f t="shared" si="30"/>
        <v>0</v>
      </c>
      <c r="N997" s="17">
        <f t="shared" si="31"/>
        <v>9585.6</v>
      </c>
    </row>
    <row r="998" spans="1:14" x14ac:dyDescent="0.25">
      <c r="A998" s="14" t="s">
        <v>2055</v>
      </c>
      <c r="B998" s="14">
        <v>13</v>
      </c>
      <c r="C998" s="15" t="s">
        <v>2076</v>
      </c>
      <c r="D998" s="14" t="s">
        <v>1752</v>
      </c>
      <c r="E998" s="14" t="s">
        <v>1746</v>
      </c>
      <c r="F998" s="17" t="s">
        <v>2994</v>
      </c>
      <c r="G998" s="14">
        <v>2594403</v>
      </c>
      <c r="H998" s="14">
        <v>1945802</v>
      </c>
      <c r="I998" s="31">
        <f>IF(COUNTIFS(Addendum!C:C,A998,Addendum!D:D,IF(ISNUMBER(B998),TEXT(B998,"0000"),B998),Addendum!E:E,"X")&gt;0,4%,0)</f>
        <v>0</v>
      </c>
      <c r="J998" s="31">
        <f>IF(COUNTIFS(Addendum!C:C,A998,Addendum!D:D,IF(ISNUMBER(B998),TEXT(B998,"0000"),B998),Addendum!F:F,"X")&gt;0,2.5%,0)</f>
        <v>0</v>
      </c>
      <c r="K998" s="31">
        <f>IF(COUNTIFS(Addendum!C:C,A998,Addendum!D:D,IF(ISNUMBER(B998),TEXT(B998,"0000"),B998),Addendum!G:G,"X")&gt;0,7%,0)</f>
        <v>0</v>
      </c>
      <c r="L998" s="31">
        <f>IF(COUNTIFS(Addendum!C:C,A998,Addendum!D:D,IF(ISNUMBER(B998),TEXT(B998,"0000"),B998),Addendum!I:I,"X")&gt;0,10%,0)</f>
        <v>0</v>
      </c>
      <c r="M998" s="34">
        <f t="shared" si="30"/>
        <v>0</v>
      </c>
      <c r="N998" s="17">
        <f t="shared" si="31"/>
        <v>1945802</v>
      </c>
    </row>
    <row r="999" spans="1:14" x14ac:dyDescent="0.25">
      <c r="A999" s="14" t="s">
        <v>2055</v>
      </c>
      <c r="B999" s="14">
        <v>5</v>
      </c>
      <c r="C999" s="15" t="s">
        <v>2086</v>
      </c>
      <c r="D999" s="14" t="s">
        <v>1752</v>
      </c>
      <c r="E999" s="14" t="s">
        <v>1753</v>
      </c>
      <c r="F999" s="17" t="s">
        <v>2993</v>
      </c>
      <c r="G999" s="14">
        <v>4492440</v>
      </c>
      <c r="H999" s="14">
        <v>3369330</v>
      </c>
      <c r="I999" s="31">
        <f>IF(COUNTIFS(Addendum!C:C,A999,Addendum!D:D,IF(ISNUMBER(B999),TEXT(B999,"0000"),B999),Addendum!E:E,"X")&gt;0,4%,0)</f>
        <v>0</v>
      </c>
      <c r="J999" s="31">
        <f>IF(COUNTIFS(Addendum!C:C,A999,Addendum!D:D,IF(ISNUMBER(B999),TEXT(B999,"0000"),B999),Addendum!F:F,"X")&gt;0,2.5%,0)</f>
        <v>0</v>
      </c>
      <c r="K999" s="31">
        <f>IF(COUNTIFS(Addendum!C:C,A999,Addendum!D:D,IF(ISNUMBER(B999),TEXT(B999,"0000"),B999),Addendum!G:G,"X")&gt;0,7%,0)</f>
        <v>0</v>
      </c>
      <c r="L999" s="31">
        <f>IF(COUNTIFS(Addendum!C:C,A999,Addendum!D:D,IF(ISNUMBER(B999),TEXT(B999,"0000"),B999),Addendum!I:I,"X")&gt;0,10%,0)</f>
        <v>0</v>
      </c>
      <c r="M999" s="34">
        <f t="shared" si="30"/>
        <v>0</v>
      </c>
      <c r="N999" s="17">
        <f t="shared" si="31"/>
        <v>3369330</v>
      </c>
    </row>
    <row r="1000" spans="1:14" x14ac:dyDescent="0.25">
      <c r="A1000" s="14" t="s">
        <v>2055</v>
      </c>
      <c r="B1000" s="14" t="s">
        <v>89</v>
      </c>
      <c r="C1000" s="15" t="s">
        <v>2085</v>
      </c>
      <c r="D1000" s="14" t="s">
        <v>1752</v>
      </c>
      <c r="E1000" s="14" t="s">
        <v>1747</v>
      </c>
      <c r="F1000" s="17" t="s">
        <v>2993</v>
      </c>
      <c r="G1000" s="14">
        <v>2995020</v>
      </c>
      <c r="H1000" s="14">
        <v>2246265</v>
      </c>
      <c r="I1000" s="31">
        <f>IF(COUNTIFS(Addendum!C:C,A1000,Addendum!D:D,IF(ISNUMBER(B1000),TEXT(B1000,"0000"),B1000),Addendum!E:E,"X")&gt;0,4%,0)</f>
        <v>0</v>
      </c>
      <c r="J1000" s="31">
        <f>IF(COUNTIFS(Addendum!C:C,A1000,Addendum!D:D,IF(ISNUMBER(B1000),TEXT(B1000,"0000"),B1000),Addendum!F:F,"X")&gt;0,2.5%,0)</f>
        <v>0</v>
      </c>
      <c r="K1000" s="31">
        <f>IF(COUNTIFS(Addendum!C:C,A1000,Addendum!D:D,IF(ISNUMBER(B1000),TEXT(B1000,"0000"),B1000),Addendum!G:G,"X")&gt;0,7%,0)</f>
        <v>0</v>
      </c>
      <c r="L1000" s="31">
        <f>IF(COUNTIFS(Addendum!C:C,A1000,Addendum!D:D,IF(ISNUMBER(B1000),TEXT(B1000,"0000"),B1000),Addendum!I:I,"X")&gt;0,10%,0)</f>
        <v>0</v>
      </c>
      <c r="M1000" s="34">
        <f t="shared" si="30"/>
        <v>0</v>
      </c>
      <c r="N1000" s="17">
        <f t="shared" si="31"/>
        <v>2246265</v>
      </c>
    </row>
    <row r="1001" spans="1:14" x14ac:dyDescent="0.25">
      <c r="A1001" s="14" t="s">
        <v>2055</v>
      </c>
      <c r="B1001" s="14">
        <v>19</v>
      </c>
      <c r="C1001" s="15" t="s">
        <v>2069</v>
      </c>
      <c r="D1001" s="14" t="s">
        <v>1752</v>
      </c>
      <c r="E1001" s="14" t="s">
        <v>1753</v>
      </c>
      <c r="F1001" s="17" t="s">
        <v>2995</v>
      </c>
      <c r="G1001" s="14">
        <v>374400</v>
      </c>
      <c r="H1001" s="14">
        <v>336960</v>
      </c>
      <c r="I1001" s="31">
        <f>IF(COUNTIFS(Addendum!C:C,A1001,Addendum!D:D,IF(ISNUMBER(B1001),TEXT(B1001,"0000"),B1001),Addendum!E:E,"X")&gt;0,4%,0)</f>
        <v>0</v>
      </c>
      <c r="J1001" s="31">
        <f>IF(COUNTIFS(Addendum!C:C,A1001,Addendum!D:D,IF(ISNUMBER(B1001),TEXT(B1001,"0000"),B1001),Addendum!F:F,"X")&gt;0,2.5%,0)</f>
        <v>0</v>
      </c>
      <c r="K1001" s="31">
        <f>IF(COUNTIFS(Addendum!C:C,A1001,Addendum!D:D,IF(ISNUMBER(B1001),TEXT(B1001,"0000"),B1001),Addendum!G:G,"X")&gt;0,7%,0)</f>
        <v>0</v>
      </c>
      <c r="L1001" s="31">
        <f>IF(COUNTIFS(Addendum!C:C,A1001,Addendum!D:D,IF(ISNUMBER(B1001),TEXT(B1001,"0000"),B1001),Addendum!I:I,"X")&gt;0,10%,0)</f>
        <v>0</v>
      </c>
      <c r="M1001" s="34">
        <f t="shared" si="30"/>
        <v>0</v>
      </c>
      <c r="N1001" s="17">
        <f t="shared" si="31"/>
        <v>336960</v>
      </c>
    </row>
    <row r="1002" spans="1:14" x14ac:dyDescent="0.25">
      <c r="A1002" s="14" t="s">
        <v>2055</v>
      </c>
      <c r="B1002" s="14">
        <v>12</v>
      </c>
      <c r="C1002" s="15" t="s">
        <v>2084</v>
      </c>
      <c r="D1002" s="14" t="s">
        <v>1752</v>
      </c>
      <c r="E1002" s="14" t="s">
        <v>1747</v>
      </c>
      <c r="F1002" s="17" t="s">
        <v>2994</v>
      </c>
      <c r="G1002" s="14">
        <v>1796940</v>
      </c>
      <c r="H1002" s="14">
        <v>1347705</v>
      </c>
      <c r="I1002" s="31">
        <f>IF(COUNTIFS(Addendum!C:C,A1002,Addendum!D:D,IF(ISNUMBER(B1002),TEXT(B1002,"0000"),B1002),Addendum!E:E,"X")&gt;0,4%,0)</f>
        <v>0</v>
      </c>
      <c r="J1002" s="31">
        <f>IF(COUNTIFS(Addendum!C:C,A1002,Addendum!D:D,IF(ISNUMBER(B1002),TEXT(B1002,"0000"),B1002),Addendum!F:F,"X")&gt;0,2.5%,0)</f>
        <v>0</v>
      </c>
      <c r="K1002" s="31">
        <f>IF(COUNTIFS(Addendum!C:C,A1002,Addendum!D:D,IF(ISNUMBER(B1002),TEXT(B1002,"0000"),B1002),Addendum!G:G,"X")&gt;0,7%,0)</f>
        <v>0</v>
      </c>
      <c r="L1002" s="31">
        <f>IF(COUNTIFS(Addendum!C:C,A1002,Addendum!D:D,IF(ISNUMBER(B1002),TEXT(B1002,"0000"),B1002),Addendum!I:I,"X")&gt;0,10%,0)</f>
        <v>0</v>
      </c>
      <c r="M1002" s="34">
        <f t="shared" si="30"/>
        <v>0</v>
      </c>
      <c r="N1002" s="17">
        <f t="shared" si="31"/>
        <v>1347705</v>
      </c>
    </row>
    <row r="1003" spans="1:14" x14ac:dyDescent="0.25">
      <c r="A1003" s="14" t="s">
        <v>2055</v>
      </c>
      <c r="B1003" s="14" t="s">
        <v>263</v>
      </c>
      <c r="C1003" s="15" t="s">
        <v>2082</v>
      </c>
      <c r="D1003" s="14" t="s">
        <v>1752</v>
      </c>
      <c r="E1003" s="14" t="s">
        <v>1746</v>
      </c>
      <c r="F1003" s="17" t="s">
        <v>2994</v>
      </c>
      <c r="G1003" s="14">
        <v>0</v>
      </c>
      <c r="H1003" s="14">
        <v>0</v>
      </c>
      <c r="I1003" s="31">
        <f>IF(COUNTIFS(Addendum!C:C,A1003,Addendum!D:D,IF(ISNUMBER(B1003),TEXT(B1003,"0000"),B1003),Addendum!E:E,"X")&gt;0,4%,0)</f>
        <v>0</v>
      </c>
      <c r="J1003" s="31">
        <f>IF(COUNTIFS(Addendum!C:C,A1003,Addendum!D:D,IF(ISNUMBER(B1003),TEXT(B1003,"0000"),B1003),Addendum!F:F,"X")&gt;0,2.5%,0)</f>
        <v>0</v>
      </c>
      <c r="K1003" s="31">
        <f>IF(COUNTIFS(Addendum!C:C,A1003,Addendum!D:D,IF(ISNUMBER(B1003),TEXT(B1003,"0000"),B1003),Addendum!G:G,"X")&gt;0,7%,0)</f>
        <v>0</v>
      </c>
      <c r="L1003" s="31">
        <f>IF(COUNTIFS(Addendum!C:C,A1003,Addendum!D:D,IF(ISNUMBER(B1003),TEXT(B1003,"0000"),B1003),Addendum!I:I,"X")&gt;0,10%,0)</f>
        <v>0</v>
      </c>
      <c r="M1003" s="34">
        <f t="shared" si="30"/>
        <v>0</v>
      </c>
      <c r="N1003" s="17">
        <f t="shared" si="31"/>
        <v>0</v>
      </c>
    </row>
    <row r="1004" spans="1:14" x14ac:dyDescent="0.25">
      <c r="A1004" s="14" t="s">
        <v>2055</v>
      </c>
      <c r="B1004" s="14">
        <v>13</v>
      </c>
      <c r="C1004" s="15" t="s">
        <v>2076</v>
      </c>
      <c r="D1004" s="14" t="s">
        <v>1752</v>
      </c>
      <c r="E1004" s="14" t="s">
        <v>1747</v>
      </c>
      <c r="F1004" s="17" t="s">
        <v>2994</v>
      </c>
      <c r="G1004" s="14">
        <v>2470860</v>
      </c>
      <c r="H1004" s="14">
        <v>1853145</v>
      </c>
      <c r="I1004" s="31">
        <f>IF(COUNTIFS(Addendum!C:C,A1004,Addendum!D:D,IF(ISNUMBER(B1004),TEXT(B1004,"0000"),B1004),Addendum!E:E,"X")&gt;0,4%,0)</f>
        <v>0</v>
      </c>
      <c r="J1004" s="31">
        <f>IF(COUNTIFS(Addendum!C:C,A1004,Addendum!D:D,IF(ISNUMBER(B1004),TEXT(B1004,"0000"),B1004),Addendum!F:F,"X")&gt;0,2.5%,0)</f>
        <v>0</v>
      </c>
      <c r="K1004" s="31">
        <f>IF(COUNTIFS(Addendum!C:C,A1004,Addendum!D:D,IF(ISNUMBER(B1004),TEXT(B1004,"0000"),B1004),Addendum!G:G,"X")&gt;0,7%,0)</f>
        <v>0</v>
      </c>
      <c r="L1004" s="31">
        <f>IF(COUNTIFS(Addendum!C:C,A1004,Addendum!D:D,IF(ISNUMBER(B1004),TEXT(B1004,"0000"),B1004),Addendum!I:I,"X")&gt;0,10%,0)</f>
        <v>0</v>
      </c>
      <c r="M1004" s="34">
        <f t="shared" si="30"/>
        <v>0</v>
      </c>
      <c r="N1004" s="17">
        <f t="shared" si="31"/>
        <v>1853145</v>
      </c>
    </row>
    <row r="1005" spans="1:14" x14ac:dyDescent="0.25">
      <c r="A1005" s="14" t="s">
        <v>2055</v>
      </c>
      <c r="B1005" s="14">
        <v>9</v>
      </c>
      <c r="C1005" s="15" t="s">
        <v>2090</v>
      </c>
      <c r="D1005" s="14" t="s">
        <v>1752</v>
      </c>
      <c r="E1005" s="14" t="s">
        <v>1747</v>
      </c>
      <c r="F1005" s="17" t="s">
        <v>2993</v>
      </c>
      <c r="G1005" s="14">
        <v>5990040</v>
      </c>
      <c r="H1005" s="14">
        <v>4492530</v>
      </c>
      <c r="I1005" s="31">
        <f>IF(COUNTIFS(Addendum!C:C,A1005,Addendum!D:D,IF(ISNUMBER(B1005),TEXT(B1005,"0000"),B1005),Addendum!E:E,"X")&gt;0,4%,0)</f>
        <v>0</v>
      </c>
      <c r="J1005" s="31">
        <f>IF(COUNTIFS(Addendum!C:C,A1005,Addendum!D:D,IF(ISNUMBER(B1005),TEXT(B1005,"0000"),B1005),Addendum!F:F,"X")&gt;0,2.5%,0)</f>
        <v>0</v>
      </c>
      <c r="K1005" s="31">
        <f>IF(COUNTIFS(Addendum!C:C,A1005,Addendum!D:D,IF(ISNUMBER(B1005),TEXT(B1005,"0000"),B1005),Addendum!G:G,"X")&gt;0,7%,0)</f>
        <v>0</v>
      </c>
      <c r="L1005" s="31">
        <f>IF(COUNTIFS(Addendum!C:C,A1005,Addendum!D:D,IF(ISNUMBER(B1005),TEXT(B1005,"0000"),B1005),Addendum!I:I,"X")&gt;0,10%,0)</f>
        <v>0</v>
      </c>
      <c r="M1005" s="34">
        <f t="shared" si="30"/>
        <v>0</v>
      </c>
      <c r="N1005" s="17">
        <f t="shared" si="31"/>
        <v>4492530</v>
      </c>
    </row>
    <row r="1006" spans="1:14" x14ac:dyDescent="0.25">
      <c r="A1006" s="14" t="s">
        <v>2055</v>
      </c>
      <c r="B1006" s="14">
        <v>4</v>
      </c>
      <c r="C1006" s="15" t="s">
        <v>2056</v>
      </c>
      <c r="D1006" s="14" t="s">
        <v>1749</v>
      </c>
      <c r="E1006" s="14" t="s">
        <v>1746</v>
      </c>
      <c r="F1006" s="17" t="s">
        <v>2993</v>
      </c>
      <c r="G1006" s="14">
        <v>29952</v>
      </c>
      <c r="H1006" s="14">
        <v>23961.599999999999</v>
      </c>
      <c r="I1006" s="31">
        <f>IF(COUNTIFS(Addendum!C:C,A1006,Addendum!D:D,IF(ISNUMBER(B1006),TEXT(B1006,"0000"),B1006),Addendum!E:E,"X")&gt;0,4%,0)</f>
        <v>0</v>
      </c>
      <c r="J1006" s="31">
        <f>IF(COUNTIFS(Addendum!C:C,A1006,Addendum!D:D,IF(ISNUMBER(B1006),TEXT(B1006,"0000"),B1006),Addendum!F:F,"X")&gt;0,2.5%,0)</f>
        <v>0</v>
      </c>
      <c r="K1006" s="31">
        <f>IF(COUNTIFS(Addendum!C:C,A1006,Addendum!D:D,IF(ISNUMBER(B1006),TEXT(B1006,"0000"),B1006),Addendum!G:G,"X")&gt;0,7%,0)</f>
        <v>0</v>
      </c>
      <c r="L1006" s="31">
        <f>IF(COUNTIFS(Addendum!C:C,A1006,Addendum!D:D,IF(ISNUMBER(B1006),TEXT(B1006,"0000"),B1006),Addendum!I:I,"X")&gt;0,10%,0)</f>
        <v>0</v>
      </c>
      <c r="M1006" s="34">
        <f t="shared" si="30"/>
        <v>0</v>
      </c>
      <c r="N1006" s="17">
        <f t="shared" si="31"/>
        <v>23961.599999999999</v>
      </c>
    </row>
    <row r="1007" spans="1:14" x14ac:dyDescent="0.25">
      <c r="A1007" s="14" t="s">
        <v>2055</v>
      </c>
      <c r="B1007" s="14" t="s">
        <v>325</v>
      </c>
      <c r="C1007" s="15" t="s">
        <v>2070</v>
      </c>
      <c r="D1007" s="14" t="s">
        <v>1752</v>
      </c>
      <c r="E1007" s="14" t="s">
        <v>1746</v>
      </c>
      <c r="F1007" s="17" t="s">
        <v>2994</v>
      </c>
      <c r="G1007" s="14">
        <v>1257984</v>
      </c>
      <c r="H1007" s="14">
        <v>943488</v>
      </c>
      <c r="I1007" s="31">
        <f>IF(COUNTIFS(Addendum!C:C,A1007,Addendum!D:D,IF(ISNUMBER(B1007),TEXT(B1007,"0000"),B1007),Addendum!E:E,"X")&gt;0,4%,0)</f>
        <v>0</v>
      </c>
      <c r="J1007" s="31">
        <f>IF(COUNTIFS(Addendum!C:C,A1007,Addendum!D:D,IF(ISNUMBER(B1007),TEXT(B1007,"0000"),B1007),Addendum!F:F,"X")&gt;0,2.5%,0)</f>
        <v>0</v>
      </c>
      <c r="K1007" s="31">
        <f>IF(COUNTIFS(Addendum!C:C,A1007,Addendum!D:D,IF(ISNUMBER(B1007),TEXT(B1007,"0000"),B1007),Addendum!G:G,"X")&gt;0,7%,0)</f>
        <v>0</v>
      </c>
      <c r="L1007" s="31">
        <f>IF(COUNTIFS(Addendum!C:C,A1007,Addendum!D:D,IF(ISNUMBER(B1007),TEXT(B1007,"0000"),B1007),Addendum!I:I,"X")&gt;0,10%,0)</f>
        <v>0</v>
      </c>
      <c r="M1007" s="34">
        <f t="shared" si="30"/>
        <v>0</v>
      </c>
      <c r="N1007" s="17">
        <f t="shared" si="31"/>
        <v>943488</v>
      </c>
    </row>
    <row r="1008" spans="1:14" x14ac:dyDescent="0.25">
      <c r="A1008" s="14" t="s">
        <v>2055</v>
      </c>
      <c r="B1008" s="14" t="s">
        <v>173</v>
      </c>
      <c r="C1008" s="15" t="s">
        <v>2071</v>
      </c>
      <c r="D1008" s="14" t="s">
        <v>1752</v>
      </c>
      <c r="E1008" s="14" t="s">
        <v>1753</v>
      </c>
      <c r="F1008" s="17" t="s">
        <v>2995</v>
      </c>
      <c r="G1008" s="14">
        <v>748800</v>
      </c>
      <c r="H1008" s="14">
        <v>673920</v>
      </c>
      <c r="I1008" s="31">
        <f>IF(COUNTIFS(Addendum!C:C,A1008,Addendum!D:D,IF(ISNUMBER(B1008),TEXT(B1008,"0000"),B1008),Addendum!E:E,"X")&gt;0,4%,0)</f>
        <v>0</v>
      </c>
      <c r="J1008" s="31">
        <f>IF(COUNTIFS(Addendum!C:C,A1008,Addendum!D:D,IF(ISNUMBER(B1008),TEXT(B1008,"0000"),B1008),Addendum!F:F,"X")&gt;0,2.5%,0)</f>
        <v>0</v>
      </c>
      <c r="K1008" s="31">
        <f>IF(COUNTIFS(Addendum!C:C,A1008,Addendum!D:D,IF(ISNUMBER(B1008),TEXT(B1008,"0000"),B1008),Addendum!G:G,"X")&gt;0,7%,0)</f>
        <v>0</v>
      </c>
      <c r="L1008" s="31">
        <f>IF(COUNTIFS(Addendum!C:C,A1008,Addendum!D:D,IF(ISNUMBER(B1008),TEXT(B1008,"0000"),B1008),Addendum!I:I,"X")&gt;0,10%,0)</f>
        <v>0</v>
      </c>
      <c r="M1008" s="34">
        <f t="shared" si="30"/>
        <v>0</v>
      </c>
      <c r="N1008" s="17">
        <f t="shared" si="31"/>
        <v>673920</v>
      </c>
    </row>
    <row r="1009" spans="1:14" x14ac:dyDescent="0.25">
      <c r="A1009" s="14" t="s">
        <v>2055</v>
      </c>
      <c r="B1009" s="14" t="s">
        <v>333</v>
      </c>
      <c r="C1009" s="15" t="s">
        <v>2088</v>
      </c>
      <c r="D1009" s="14" t="s">
        <v>1745</v>
      </c>
      <c r="E1009" s="14" t="s">
        <v>1747</v>
      </c>
      <c r="F1009" s="17" t="s">
        <v>2994</v>
      </c>
      <c r="G1009" s="14">
        <v>549060</v>
      </c>
      <c r="H1009" s="14">
        <v>411795</v>
      </c>
      <c r="I1009" s="31">
        <f>IF(COUNTIFS(Addendum!C:C,A1009,Addendum!D:D,IF(ISNUMBER(B1009),TEXT(B1009,"0000"),B1009),Addendum!E:E,"X")&gt;0,4%,0)</f>
        <v>0</v>
      </c>
      <c r="J1009" s="31">
        <f>IF(COUNTIFS(Addendum!C:C,A1009,Addendum!D:D,IF(ISNUMBER(B1009),TEXT(B1009,"0000"),B1009),Addendum!F:F,"X")&gt;0,2.5%,0)</f>
        <v>0</v>
      </c>
      <c r="K1009" s="31">
        <f>IF(COUNTIFS(Addendum!C:C,A1009,Addendum!D:D,IF(ISNUMBER(B1009),TEXT(B1009,"0000"),B1009),Addendum!G:G,"X")&gt;0,7%,0)</f>
        <v>0</v>
      </c>
      <c r="L1009" s="31">
        <f>IF(COUNTIFS(Addendum!C:C,A1009,Addendum!D:D,IF(ISNUMBER(B1009),TEXT(B1009,"0000"),B1009),Addendum!I:I,"X")&gt;0,10%,0)</f>
        <v>0</v>
      </c>
      <c r="M1009" s="34">
        <f t="shared" si="30"/>
        <v>0</v>
      </c>
      <c r="N1009" s="17">
        <f t="shared" si="31"/>
        <v>411795</v>
      </c>
    </row>
    <row r="1010" spans="1:14" x14ac:dyDescent="0.25">
      <c r="A1010" s="14" t="s">
        <v>2055</v>
      </c>
      <c r="B1010" s="14">
        <v>1</v>
      </c>
      <c r="C1010" s="15" t="s">
        <v>2067</v>
      </c>
      <c r="D1010" s="14" t="s">
        <v>1752</v>
      </c>
      <c r="E1010" s="14" t="s">
        <v>1753</v>
      </c>
      <c r="F1010" s="17" t="s">
        <v>2993</v>
      </c>
      <c r="G1010" s="14">
        <v>0</v>
      </c>
      <c r="H1010" s="14">
        <v>0</v>
      </c>
      <c r="I1010" s="31">
        <f>IF(COUNTIFS(Addendum!C:C,A1010,Addendum!D:D,IF(ISNUMBER(B1010),TEXT(B1010,"0000"),B1010),Addendum!E:E,"X")&gt;0,4%,0)</f>
        <v>0</v>
      </c>
      <c r="J1010" s="31">
        <f>IF(COUNTIFS(Addendum!C:C,A1010,Addendum!D:D,IF(ISNUMBER(B1010),TEXT(B1010,"0000"),B1010),Addendum!F:F,"X")&gt;0,2.5%,0)</f>
        <v>0</v>
      </c>
      <c r="K1010" s="31">
        <f>IF(COUNTIFS(Addendum!C:C,A1010,Addendum!D:D,IF(ISNUMBER(B1010),TEXT(B1010,"0000"),B1010),Addendum!G:G,"X")&gt;0,7%,0)</f>
        <v>0</v>
      </c>
      <c r="L1010" s="31">
        <f>IF(COUNTIFS(Addendum!C:C,A1010,Addendum!D:D,IF(ISNUMBER(B1010),TEXT(B1010,"0000"),B1010),Addendum!I:I,"X")&gt;0,10%,0)</f>
        <v>0</v>
      </c>
      <c r="M1010" s="34">
        <f t="shared" si="30"/>
        <v>0</v>
      </c>
      <c r="N1010" s="17">
        <f t="shared" si="31"/>
        <v>0</v>
      </c>
    </row>
    <row r="1011" spans="1:14" x14ac:dyDescent="0.25">
      <c r="A1011" s="14" t="s">
        <v>2055</v>
      </c>
      <c r="B1011" s="14" t="s">
        <v>243</v>
      </c>
      <c r="C1011" s="15" t="s">
        <v>2080</v>
      </c>
      <c r="D1011" s="14" t="s">
        <v>1752</v>
      </c>
      <c r="E1011" s="14" t="s">
        <v>1753</v>
      </c>
      <c r="F1011" s="17" t="s">
        <v>2995</v>
      </c>
      <c r="G1011" s="14">
        <v>187200</v>
      </c>
      <c r="H1011" s="14">
        <v>168480</v>
      </c>
      <c r="I1011" s="31">
        <f>IF(COUNTIFS(Addendum!C:C,A1011,Addendum!D:D,IF(ISNUMBER(B1011),TEXT(B1011,"0000"),B1011),Addendum!E:E,"X")&gt;0,4%,0)</f>
        <v>0</v>
      </c>
      <c r="J1011" s="31">
        <f>IF(COUNTIFS(Addendum!C:C,A1011,Addendum!D:D,IF(ISNUMBER(B1011),TEXT(B1011,"0000"),B1011),Addendum!F:F,"X")&gt;0,2.5%,0)</f>
        <v>0</v>
      </c>
      <c r="K1011" s="31">
        <f>IF(COUNTIFS(Addendum!C:C,A1011,Addendum!D:D,IF(ISNUMBER(B1011),TEXT(B1011,"0000"),B1011),Addendum!G:G,"X")&gt;0,7%,0)</f>
        <v>0</v>
      </c>
      <c r="L1011" s="31">
        <f>IF(COUNTIFS(Addendum!C:C,A1011,Addendum!D:D,IF(ISNUMBER(B1011),TEXT(B1011,"0000"),B1011),Addendum!I:I,"X")&gt;0,10%,0)</f>
        <v>0</v>
      </c>
      <c r="M1011" s="34">
        <f t="shared" si="30"/>
        <v>0</v>
      </c>
      <c r="N1011" s="17">
        <f t="shared" si="31"/>
        <v>168480</v>
      </c>
    </row>
    <row r="1012" spans="1:14" x14ac:dyDescent="0.25">
      <c r="A1012" s="14" t="s">
        <v>2055</v>
      </c>
      <c r="B1012" s="14">
        <v>1</v>
      </c>
      <c r="C1012" s="15" t="s">
        <v>2067</v>
      </c>
      <c r="D1012" s="14" t="s">
        <v>1749</v>
      </c>
      <c r="E1012" s="14" t="s">
        <v>1746</v>
      </c>
      <c r="F1012" s="17" t="s">
        <v>2993</v>
      </c>
      <c r="G1012" s="14">
        <v>0</v>
      </c>
      <c r="H1012" s="14">
        <v>0</v>
      </c>
      <c r="I1012" s="31">
        <f>IF(COUNTIFS(Addendum!C:C,A1012,Addendum!D:D,IF(ISNUMBER(B1012),TEXT(B1012,"0000"),B1012),Addendum!E:E,"X")&gt;0,4%,0)</f>
        <v>0</v>
      </c>
      <c r="J1012" s="31">
        <f>IF(COUNTIFS(Addendum!C:C,A1012,Addendum!D:D,IF(ISNUMBER(B1012),TEXT(B1012,"0000"),B1012),Addendum!F:F,"X")&gt;0,2.5%,0)</f>
        <v>0</v>
      </c>
      <c r="K1012" s="31">
        <f>IF(COUNTIFS(Addendum!C:C,A1012,Addendum!D:D,IF(ISNUMBER(B1012),TEXT(B1012,"0000"),B1012),Addendum!G:G,"X")&gt;0,7%,0)</f>
        <v>0</v>
      </c>
      <c r="L1012" s="31">
        <f>IF(COUNTIFS(Addendum!C:C,A1012,Addendum!D:D,IF(ISNUMBER(B1012),TEXT(B1012,"0000"),B1012),Addendum!I:I,"X")&gt;0,10%,0)</f>
        <v>0</v>
      </c>
      <c r="M1012" s="34">
        <f t="shared" si="30"/>
        <v>0</v>
      </c>
      <c r="N1012" s="17">
        <f t="shared" si="31"/>
        <v>0</v>
      </c>
    </row>
    <row r="1013" spans="1:14" x14ac:dyDescent="0.25">
      <c r="A1013" s="14" t="s">
        <v>2055</v>
      </c>
      <c r="B1013" s="14" t="s">
        <v>583</v>
      </c>
      <c r="C1013" s="15" t="s">
        <v>2057</v>
      </c>
      <c r="D1013" s="14" t="s">
        <v>1749</v>
      </c>
      <c r="E1013" s="14" t="s">
        <v>1746</v>
      </c>
      <c r="F1013" s="17" t="s">
        <v>2994</v>
      </c>
      <c r="G1013" s="14">
        <v>0</v>
      </c>
      <c r="H1013" s="14">
        <v>0</v>
      </c>
      <c r="I1013" s="31">
        <f>IF(COUNTIFS(Addendum!C:C,A1013,Addendum!D:D,IF(ISNUMBER(B1013),TEXT(B1013,"0000"),B1013),Addendum!E:E,"X")&gt;0,4%,0)</f>
        <v>0</v>
      </c>
      <c r="J1013" s="31">
        <f>IF(COUNTIFS(Addendum!C:C,A1013,Addendum!D:D,IF(ISNUMBER(B1013),TEXT(B1013,"0000"),B1013),Addendum!F:F,"X")&gt;0,2.5%,0)</f>
        <v>0</v>
      </c>
      <c r="K1013" s="31">
        <f>IF(COUNTIFS(Addendum!C:C,A1013,Addendum!D:D,IF(ISNUMBER(B1013),TEXT(B1013,"0000"),B1013),Addendum!G:G,"X")&gt;0,7%,0)</f>
        <v>0</v>
      </c>
      <c r="L1013" s="31">
        <f>IF(COUNTIFS(Addendum!C:C,A1013,Addendum!D:D,IF(ISNUMBER(B1013),TEXT(B1013,"0000"),B1013),Addendum!I:I,"X")&gt;0,10%,0)</f>
        <v>0</v>
      </c>
      <c r="M1013" s="34">
        <f t="shared" si="30"/>
        <v>0</v>
      </c>
      <c r="N1013" s="17">
        <f t="shared" si="31"/>
        <v>0</v>
      </c>
    </row>
    <row r="1014" spans="1:14" x14ac:dyDescent="0.25">
      <c r="A1014" s="14" t="s">
        <v>2055</v>
      </c>
      <c r="B1014" s="14" t="s">
        <v>36</v>
      </c>
      <c r="C1014" s="15" t="s">
        <v>2079</v>
      </c>
      <c r="D1014" s="14" t="s">
        <v>1749</v>
      </c>
      <c r="E1014" s="14" t="s">
        <v>1746</v>
      </c>
      <c r="F1014" s="17" t="s">
        <v>2995</v>
      </c>
      <c r="G1014" s="14">
        <v>42432</v>
      </c>
      <c r="H1014" s="14">
        <v>38188.800000000003</v>
      </c>
      <c r="I1014" s="31">
        <f>IF(COUNTIFS(Addendum!C:C,A1014,Addendum!D:D,IF(ISNUMBER(B1014),TEXT(B1014,"0000"),B1014),Addendum!E:E,"X")&gt;0,4%,0)</f>
        <v>0</v>
      </c>
      <c r="J1014" s="31">
        <f>IF(COUNTIFS(Addendum!C:C,A1014,Addendum!D:D,IF(ISNUMBER(B1014),TEXT(B1014,"0000"),B1014),Addendum!F:F,"X")&gt;0,2.5%,0)</f>
        <v>0</v>
      </c>
      <c r="K1014" s="31">
        <f>IF(COUNTIFS(Addendum!C:C,A1014,Addendum!D:D,IF(ISNUMBER(B1014),TEXT(B1014,"0000"),B1014),Addendum!G:G,"X")&gt;0,7%,0)</f>
        <v>0</v>
      </c>
      <c r="L1014" s="31">
        <f>IF(COUNTIFS(Addendum!C:C,A1014,Addendum!D:D,IF(ISNUMBER(B1014),TEXT(B1014,"0000"),B1014),Addendum!I:I,"X")&gt;0,10%,0)</f>
        <v>0</v>
      </c>
      <c r="M1014" s="34">
        <f t="shared" si="30"/>
        <v>0</v>
      </c>
      <c r="N1014" s="17">
        <f t="shared" si="31"/>
        <v>38188.800000000003</v>
      </c>
    </row>
    <row r="1015" spans="1:14" x14ac:dyDescent="0.25">
      <c r="A1015" s="14" t="s">
        <v>2055</v>
      </c>
      <c r="B1015" s="14" t="s">
        <v>29</v>
      </c>
      <c r="C1015" s="15" t="s">
        <v>2077</v>
      </c>
      <c r="D1015" s="14" t="s">
        <v>1752</v>
      </c>
      <c r="E1015" s="14" t="s">
        <v>1753</v>
      </c>
      <c r="F1015" s="17" t="s">
        <v>2994</v>
      </c>
      <c r="G1015" s="14">
        <v>2800260</v>
      </c>
      <c r="H1015" s="14">
        <v>2100195</v>
      </c>
      <c r="I1015" s="31">
        <f>IF(COUNTIFS(Addendum!C:C,A1015,Addendum!D:D,IF(ISNUMBER(B1015),TEXT(B1015,"0000"),B1015),Addendum!E:E,"X")&gt;0,4%,0)</f>
        <v>0</v>
      </c>
      <c r="J1015" s="31">
        <f>IF(COUNTIFS(Addendum!C:C,A1015,Addendum!D:D,IF(ISNUMBER(B1015),TEXT(B1015,"0000"),B1015),Addendum!F:F,"X")&gt;0,2.5%,0)</f>
        <v>0</v>
      </c>
      <c r="K1015" s="31">
        <f>IF(COUNTIFS(Addendum!C:C,A1015,Addendum!D:D,IF(ISNUMBER(B1015),TEXT(B1015,"0000"),B1015),Addendum!G:G,"X")&gt;0,7%,0)</f>
        <v>0</v>
      </c>
      <c r="L1015" s="31">
        <f>IF(COUNTIFS(Addendum!C:C,A1015,Addendum!D:D,IF(ISNUMBER(B1015),TEXT(B1015,"0000"),B1015),Addendum!I:I,"X")&gt;0,10%,0)</f>
        <v>0</v>
      </c>
      <c r="M1015" s="34">
        <f t="shared" si="30"/>
        <v>0</v>
      </c>
      <c r="N1015" s="17">
        <f t="shared" si="31"/>
        <v>2100195</v>
      </c>
    </row>
    <row r="1016" spans="1:14" x14ac:dyDescent="0.25">
      <c r="A1016" s="14" t="s">
        <v>2055</v>
      </c>
      <c r="B1016" s="14">
        <v>5</v>
      </c>
      <c r="C1016" s="15" t="s">
        <v>2086</v>
      </c>
      <c r="D1016" s="14" t="s">
        <v>1749</v>
      </c>
      <c r="E1016" s="14" t="s">
        <v>1746</v>
      </c>
      <c r="F1016" s="17" t="s">
        <v>2993</v>
      </c>
      <c r="G1016" s="14">
        <v>149748</v>
      </c>
      <c r="H1016" s="14">
        <v>112311</v>
      </c>
      <c r="I1016" s="31">
        <f>IF(COUNTIFS(Addendum!C:C,A1016,Addendum!D:D,IF(ISNUMBER(B1016),TEXT(B1016,"0000"),B1016),Addendum!E:E,"X")&gt;0,4%,0)</f>
        <v>0</v>
      </c>
      <c r="J1016" s="31">
        <f>IF(COUNTIFS(Addendum!C:C,A1016,Addendum!D:D,IF(ISNUMBER(B1016),TEXT(B1016,"0000"),B1016),Addendum!F:F,"X")&gt;0,2.5%,0)</f>
        <v>0</v>
      </c>
      <c r="K1016" s="31">
        <f>IF(COUNTIFS(Addendum!C:C,A1016,Addendum!D:D,IF(ISNUMBER(B1016),TEXT(B1016,"0000"),B1016),Addendum!G:G,"X")&gt;0,7%,0)</f>
        <v>0</v>
      </c>
      <c r="L1016" s="31">
        <f>IF(COUNTIFS(Addendum!C:C,A1016,Addendum!D:D,IF(ISNUMBER(B1016),TEXT(B1016,"0000"),B1016),Addendum!I:I,"X")&gt;0,10%,0)</f>
        <v>0</v>
      </c>
      <c r="M1016" s="34">
        <f t="shared" si="30"/>
        <v>0</v>
      </c>
      <c r="N1016" s="17">
        <f t="shared" si="31"/>
        <v>112311</v>
      </c>
    </row>
    <row r="1017" spans="1:14" ht="30" x14ac:dyDescent="0.25">
      <c r="A1017" s="14" t="s">
        <v>2055</v>
      </c>
      <c r="B1017" s="14">
        <v>18</v>
      </c>
      <c r="C1017" s="15" t="s">
        <v>2061</v>
      </c>
      <c r="D1017" s="14" t="s">
        <v>1745</v>
      </c>
      <c r="E1017" s="14" t="s">
        <v>1747</v>
      </c>
      <c r="F1017" s="17" t="s">
        <v>2994</v>
      </c>
      <c r="G1017" s="14">
        <v>199680</v>
      </c>
      <c r="H1017" s="14">
        <v>149760</v>
      </c>
      <c r="I1017" s="31">
        <f>IF(COUNTIFS(Addendum!C:C,A1017,Addendum!D:D,IF(ISNUMBER(B1017),TEXT(B1017,"0000"),B1017),Addendum!E:E,"X")&gt;0,4%,0)</f>
        <v>0</v>
      </c>
      <c r="J1017" s="31">
        <f>IF(COUNTIFS(Addendum!C:C,A1017,Addendum!D:D,IF(ISNUMBER(B1017),TEXT(B1017,"0000"),B1017),Addendum!F:F,"X")&gt;0,2.5%,0)</f>
        <v>0</v>
      </c>
      <c r="K1017" s="31">
        <f>IF(COUNTIFS(Addendum!C:C,A1017,Addendum!D:D,IF(ISNUMBER(B1017),TEXT(B1017,"0000"),B1017),Addendum!G:G,"X")&gt;0,7%,0)</f>
        <v>0</v>
      </c>
      <c r="L1017" s="31">
        <f>IF(COUNTIFS(Addendum!C:C,A1017,Addendum!D:D,IF(ISNUMBER(B1017),TEXT(B1017,"0000"),B1017),Addendum!I:I,"X")&gt;0,10%,0)</f>
        <v>0</v>
      </c>
      <c r="M1017" s="34">
        <f t="shared" si="30"/>
        <v>0</v>
      </c>
      <c r="N1017" s="17">
        <f t="shared" si="31"/>
        <v>149760</v>
      </c>
    </row>
    <row r="1018" spans="1:14" x14ac:dyDescent="0.25">
      <c r="A1018" s="14" t="s">
        <v>2055</v>
      </c>
      <c r="B1018" s="14" t="s">
        <v>108</v>
      </c>
      <c r="C1018" s="15" t="s">
        <v>2087</v>
      </c>
      <c r="D1018" s="14" t="s">
        <v>1745</v>
      </c>
      <c r="E1018" s="14" t="s">
        <v>1747</v>
      </c>
      <c r="F1018" s="17" t="s">
        <v>2994</v>
      </c>
      <c r="G1018" s="14">
        <v>1098180</v>
      </c>
      <c r="H1018" s="14">
        <v>823635</v>
      </c>
      <c r="I1018" s="31">
        <f>IF(COUNTIFS(Addendum!C:C,A1018,Addendum!D:D,IF(ISNUMBER(B1018),TEXT(B1018,"0000"),B1018),Addendum!E:E,"X")&gt;0,4%,0)</f>
        <v>0</v>
      </c>
      <c r="J1018" s="31">
        <f>IF(COUNTIFS(Addendum!C:C,A1018,Addendum!D:D,IF(ISNUMBER(B1018),TEXT(B1018,"0000"),B1018),Addendum!F:F,"X")&gt;0,2.5%,0)</f>
        <v>0</v>
      </c>
      <c r="K1018" s="31">
        <f>IF(COUNTIFS(Addendum!C:C,A1018,Addendum!D:D,IF(ISNUMBER(B1018),TEXT(B1018,"0000"),B1018),Addendum!G:G,"X")&gt;0,7%,0)</f>
        <v>0</v>
      </c>
      <c r="L1018" s="31">
        <f>IF(COUNTIFS(Addendum!C:C,A1018,Addendum!D:D,IF(ISNUMBER(B1018),TEXT(B1018,"0000"),B1018),Addendum!I:I,"X")&gt;0,10%,0)</f>
        <v>0</v>
      </c>
      <c r="M1018" s="34">
        <f t="shared" si="30"/>
        <v>0</v>
      </c>
      <c r="N1018" s="17">
        <f t="shared" si="31"/>
        <v>823635</v>
      </c>
    </row>
    <row r="1019" spans="1:14" x14ac:dyDescent="0.25">
      <c r="A1019" s="14" t="s">
        <v>2055</v>
      </c>
      <c r="B1019" s="14" t="s">
        <v>173</v>
      </c>
      <c r="C1019" s="15" t="s">
        <v>2071</v>
      </c>
      <c r="D1019" s="14" t="s">
        <v>1745</v>
      </c>
      <c r="E1019" s="14" t="s">
        <v>1746</v>
      </c>
      <c r="F1019" s="17" t="s">
        <v>2995</v>
      </c>
      <c r="G1019" s="14">
        <v>262080</v>
      </c>
      <c r="H1019" s="14">
        <v>235872</v>
      </c>
      <c r="I1019" s="31">
        <f>IF(COUNTIFS(Addendum!C:C,A1019,Addendum!D:D,IF(ISNUMBER(B1019),TEXT(B1019,"0000"),B1019),Addendum!E:E,"X")&gt;0,4%,0)</f>
        <v>0</v>
      </c>
      <c r="J1019" s="31">
        <f>IF(COUNTIFS(Addendum!C:C,A1019,Addendum!D:D,IF(ISNUMBER(B1019),TEXT(B1019,"0000"),B1019),Addendum!F:F,"X")&gt;0,2.5%,0)</f>
        <v>0</v>
      </c>
      <c r="K1019" s="31">
        <f>IF(COUNTIFS(Addendum!C:C,A1019,Addendum!D:D,IF(ISNUMBER(B1019),TEXT(B1019,"0000"),B1019),Addendum!G:G,"X")&gt;0,7%,0)</f>
        <v>0</v>
      </c>
      <c r="L1019" s="31">
        <f>IF(COUNTIFS(Addendum!C:C,A1019,Addendum!D:D,IF(ISNUMBER(B1019),TEXT(B1019,"0000"),B1019),Addendum!I:I,"X")&gt;0,10%,0)</f>
        <v>0</v>
      </c>
      <c r="M1019" s="34">
        <f t="shared" si="30"/>
        <v>0</v>
      </c>
      <c r="N1019" s="17">
        <f t="shared" si="31"/>
        <v>235872</v>
      </c>
    </row>
    <row r="1020" spans="1:14" x14ac:dyDescent="0.25">
      <c r="A1020" s="14" t="s">
        <v>2055</v>
      </c>
      <c r="B1020" s="14" t="s">
        <v>243</v>
      </c>
      <c r="C1020" s="15" t="s">
        <v>2080</v>
      </c>
      <c r="D1020" s="14" t="s">
        <v>1752</v>
      </c>
      <c r="E1020" s="14" t="s">
        <v>1746</v>
      </c>
      <c r="F1020" s="17" t="s">
        <v>2995</v>
      </c>
      <c r="G1020" s="14">
        <v>196560</v>
      </c>
      <c r="H1020" s="14">
        <v>176904</v>
      </c>
      <c r="I1020" s="31">
        <f>IF(COUNTIFS(Addendum!C:C,A1020,Addendum!D:D,IF(ISNUMBER(B1020),TEXT(B1020,"0000"),B1020),Addendum!E:E,"X")&gt;0,4%,0)</f>
        <v>0</v>
      </c>
      <c r="J1020" s="31">
        <f>IF(COUNTIFS(Addendum!C:C,A1020,Addendum!D:D,IF(ISNUMBER(B1020),TEXT(B1020,"0000"),B1020),Addendum!F:F,"X")&gt;0,2.5%,0)</f>
        <v>0</v>
      </c>
      <c r="K1020" s="31">
        <f>IF(COUNTIFS(Addendum!C:C,A1020,Addendum!D:D,IF(ISNUMBER(B1020),TEXT(B1020,"0000"),B1020),Addendum!G:G,"X")&gt;0,7%,0)</f>
        <v>0</v>
      </c>
      <c r="L1020" s="31">
        <f>IF(COUNTIFS(Addendum!C:C,A1020,Addendum!D:D,IF(ISNUMBER(B1020),TEXT(B1020,"0000"),B1020),Addendum!I:I,"X")&gt;0,10%,0)</f>
        <v>0</v>
      </c>
      <c r="M1020" s="34">
        <f t="shared" si="30"/>
        <v>0</v>
      </c>
      <c r="N1020" s="17">
        <f t="shared" si="31"/>
        <v>176904</v>
      </c>
    </row>
    <row r="1021" spans="1:14" x14ac:dyDescent="0.25">
      <c r="A1021" s="14" t="s">
        <v>2055</v>
      </c>
      <c r="B1021" s="14" t="s">
        <v>307</v>
      </c>
      <c r="C1021" s="15" t="s">
        <v>2091</v>
      </c>
      <c r="D1021" s="14" t="s">
        <v>1745</v>
      </c>
      <c r="E1021" s="14" t="s">
        <v>1746</v>
      </c>
      <c r="F1021" s="17" t="s">
        <v>2995</v>
      </c>
      <c r="G1021" s="14">
        <v>78624</v>
      </c>
      <c r="H1021" s="14">
        <v>70761.600000000006</v>
      </c>
      <c r="I1021" s="31">
        <f>IF(COUNTIFS(Addendum!C:C,A1021,Addendum!D:D,IF(ISNUMBER(B1021),TEXT(B1021,"0000"),B1021),Addendum!E:E,"X")&gt;0,4%,0)</f>
        <v>0</v>
      </c>
      <c r="J1021" s="31">
        <f>IF(COUNTIFS(Addendum!C:C,A1021,Addendum!D:D,IF(ISNUMBER(B1021),TEXT(B1021,"0000"),B1021),Addendum!F:F,"X")&gt;0,2.5%,0)</f>
        <v>0</v>
      </c>
      <c r="K1021" s="31">
        <f>IF(COUNTIFS(Addendum!C:C,A1021,Addendum!D:D,IF(ISNUMBER(B1021),TEXT(B1021,"0000"),B1021),Addendum!G:G,"X")&gt;0,7%,0)</f>
        <v>0</v>
      </c>
      <c r="L1021" s="31">
        <f>IF(COUNTIFS(Addendum!C:C,A1021,Addendum!D:D,IF(ISNUMBER(B1021),TEXT(B1021,"0000"),B1021),Addendum!I:I,"X")&gt;0,10%,0)</f>
        <v>0</v>
      </c>
      <c r="M1021" s="34">
        <f t="shared" si="30"/>
        <v>0</v>
      </c>
      <c r="N1021" s="17">
        <f t="shared" si="31"/>
        <v>70761.600000000006</v>
      </c>
    </row>
    <row r="1022" spans="1:14" ht="30" x14ac:dyDescent="0.25">
      <c r="A1022" s="14" t="s">
        <v>2055</v>
      </c>
      <c r="B1022" s="14" t="s">
        <v>28</v>
      </c>
      <c r="C1022" s="15" t="s">
        <v>2062</v>
      </c>
      <c r="D1022" s="14" t="s">
        <v>1752</v>
      </c>
      <c r="E1022" s="14" t="s">
        <v>1747</v>
      </c>
      <c r="F1022" s="17" t="s">
        <v>2994</v>
      </c>
      <c r="G1022" s="14">
        <v>299520</v>
      </c>
      <c r="H1022" s="14">
        <v>224640</v>
      </c>
      <c r="I1022" s="31">
        <f>IF(COUNTIFS(Addendum!C:C,A1022,Addendum!D:D,IF(ISNUMBER(B1022),TEXT(B1022,"0000"),B1022),Addendum!E:E,"X")&gt;0,4%,0)</f>
        <v>0</v>
      </c>
      <c r="J1022" s="31">
        <f>IF(COUNTIFS(Addendum!C:C,A1022,Addendum!D:D,IF(ISNUMBER(B1022),TEXT(B1022,"0000"),B1022),Addendum!F:F,"X")&gt;0,2.5%,0)</f>
        <v>0</v>
      </c>
      <c r="K1022" s="31">
        <f>IF(COUNTIFS(Addendum!C:C,A1022,Addendum!D:D,IF(ISNUMBER(B1022),TEXT(B1022,"0000"),B1022),Addendum!G:G,"X")&gt;0,7%,0)</f>
        <v>0</v>
      </c>
      <c r="L1022" s="31">
        <f>IF(COUNTIFS(Addendum!C:C,A1022,Addendum!D:D,IF(ISNUMBER(B1022),TEXT(B1022,"0000"),B1022),Addendum!I:I,"X")&gt;0,10%,0)</f>
        <v>0</v>
      </c>
      <c r="M1022" s="34">
        <f t="shared" si="30"/>
        <v>0</v>
      </c>
      <c r="N1022" s="17">
        <f t="shared" si="31"/>
        <v>224640</v>
      </c>
    </row>
    <row r="1023" spans="1:14" x14ac:dyDescent="0.25">
      <c r="A1023" s="14" t="s">
        <v>2055</v>
      </c>
      <c r="B1023" s="14">
        <v>14</v>
      </c>
      <c r="C1023" s="15" t="s">
        <v>2074</v>
      </c>
      <c r="D1023" s="14" t="s">
        <v>1752</v>
      </c>
      <c r="E1023" s="14" t="s">
        <v>1747</v>
      </c>
      <c r="F1023" s="17" t="s">
        <v>2995</v>
      </c>
      <c r="G1023" s="14">
        <v>1123200</v>
      </c>
      <c r="H1023" s="14">
        <v>1010880</v>
      </c>
      <c r="I1023" s="31">
        <f>IF(COUNTIFS(Addendum!C:C,A1023,Addendum!D:D,IF(ISNUMBER(B1023),TEXT(B1023,"0000"),B1023),Addendum!E:E,"X")&gt;0,4%,0)</f>
        <v>0</v>
      </c>
      <c r="J1023" s="31">
        <f>IF(COUNTIFS(Addendum!C:C,A1023,Addendum!D:D,IF(ISNUMBER(B1023),TEXT(B1023,"0000"),B1023),Addendum!F:F,"X")&gt;0,2.5%,0)</f>
        <v>0</v>
      </c>
      <c r="K1023" s="31">
        <f>IF(COUNTIFS(Addendum!C:C,A1023,Addendum!D:D,IF(ISNUMBER(B1023),TEXT(B1023,"0000"),B1023),Addendum!G:G,"X")&gt;0,7%,0)</f>
        <v>0</v>
      </c>
      <c r="L1023" s="31">
        <f>IF(COUNTIFS(Addendum!C:C,A1023,Addendum!D:D,IF(ISNUMBER(B1023),TEXT(B1023,"0000"),B1023),Addendum!I:I,"X")&gt;0,10%,0)</f>
        <v>0</v>
      </c>
      <c r="M1023" s="34">
        <f t="shared" si="30"/>
        <v>0</v>
      </c>
      <c r="N1023" s="17">
        <f t="shared" si="31"/>
        <v>1010880</v>
      </c>
    </row>
    <row r="1024" spans="1:14" x14ac:dyDescent="0.25">
      <c r="A1024" s="14" t="s">
        <v>2055</v>
      </c>
      <c r="B1024" s="14">
        <v>9</v>
      </c>
      <c r="C1024" s="15" t="s">
        <v>2090</v>
      </c>
      <c r="D1024" s="14" t="s">
        <v>1752</v>
      </c>
      <c r="E1024" s="14" t="s">
        <v>1746</v>
      </c>
      <c r="F1024" s="17" t="s">
        <v>2993</v>
      </c>
      <c r="G1024" s="14">
        <v>6289542</v>
      </c>
      <c r="H1024" s="14">
        <v>4717157</v>
      </c>
      <c r="I1024" s="31">
        <f>IF(COUNTIFS(Addendum!C:C,A1024,Addendum!D:D,IF(ISNUMBER(B1024),TEXT(B1024,"0000"),B1024),Addendum!E:E,"X")&gt;0,4%,0)</f>
        <v>0</v>
      </c>
      <c r="J1024" s="31">
        <f>IF(COUNTIFS(Addendum!C:C,A1024,Addendum!D:D,IF(ISNUMBER(B1024),TEXT(B1024,"0000"),B1024),Addendum!F:F,"X")&gt;0,2.5%,0)</f>
        <v>0</v>
      </c>
      <c r="K1024" s="31">
        <f>IF(COUNTIFS(Addendum!C:C,A1024,Addendum!D:D,IF(ISNUMBER(B1024),TEXT(B1024,"0000"),B1024),Addendum!G:G,"X")&gt;0,7%,0)</f>
        <v>0</v>
      </c>
      <c r="L1024" s="31">
        <f>IF(COUNTIFS(Addendum!C:C,A1024,Addendum!D:D,IF(ISNUMBER(B1024),TEXT(B1024,"0000"),B1024),Addendum!I:I,"X")&gt;0,10%,0)</f>
        <v>0</v>
      </c>
      <c r="M1024" s="34">
        <f t="shared" si="30"/>
        <v>0</v>
      </c>
      <c r="N1024" s="17">
        <f t="shared" si="31"/>
        <v>4717157</v>
      </c>
    </row>
    <row r="1025" spans="1:14" x14ac:dyDescent="0.25">
      <c r="A1025" s="14" t="s">
        <v>2055</v>
      </c>
      <c r="B1025" s="14">
        <v>17</v>
      </c>
      <c r="C1025" s="15" t="s">
        <v>2059</v>
      </c>
      <c r="D1025" s="14" t="s">
        <v>1752</v>
      </c>
      <c r="E1025" s="14" t="s">
        <v>1746</v>
      </c>
      <c r="F1025" s="17" t="s">
        <v>2994</v>
      </c>
      <c r="G1025" s="14">
        <v>1729539</v>
      </c>
      <c r="H1025" s="14">
        <v>1297154</v>
      </c>
      <c r="I1025" s="31">
        <f>IF(COUNTIFS(Addendum!C:C,A1025,Addendum!D:D,IF(ISNUMBER(B1025),TEXT(B1025,"0000"),B1025),Addendum!E:E,"X")&gt;0,4%,0)</f>
        <v>0</v>
      </c>
      <c r="J1025" s="31">
        <f>IF(COUNTIFS(Addendum!C:C,A1025,Addendum!D:D,IF(ISNUMBER(B1025),TEXT(B1025,"0000"),B1025),Addendum!F:F,"X")&gt;0,2.5%,0)</f>
        <v>0</v>
      </c>
      <c r="K1025" s="31">
        <f>IF(COUNTIFS(Addendum!C:C,A1025,Addendum!D:D,IF(ISNUMBER(B1025),TEXT(B1025,"0000"),B1025),Addendum!G:G,"X")&gt;0,7%,0)</f>
        <v>0</v>
      </c>
      <c r="L1025" s="31">
        <f>IF(COUNTIFS(Addendum!C:C,A1025,Addendum!D:D,IF(ISNUMBER(B1025),TEXT(B1025,"0000"),B1025),Addendum!I:I,"X")&gt;0,10%,0)</f>
        <v>0</v>
      </c>
      <c r="M1025" s="34">
        <f t="shared" si="30"/>
        <v>0</v>
      </c>
      <c r="N1025" s="17">
        <f t="shared" si="31"/>
        <v>1297154</v>
      </c>
    </row>
    <row r="1026" spans="1:14" x14ac:dyDescent="0.25">
      <c r="A1026" s="14" t="s">
        <v>2055</v>
      </c>
      <c r="B1026" s="14">
        <v>3</v>
      </c>
      <c r="C1026" s="15" t="s">
        <v>2075</v>
      </c>
      <c r="D1026" s="14" t="s">
        <v>1749</v>
      </c>
      <c r="E1026" s="14" t="s">
        <v>1746</v>
      </c>
      <c r="F1026" s="17" t="s">
        <v>2993</v>
      </c>
      <c r="G1026" s="14">
        <v>24960</v>
      </c>
      <c r="H1026" s="14">
        <v>18720</v>
      </c>
      <c r="I1026" s="31">
        <f>IF(COUNTIFS(Addendum!C:C,A1026,Addendum!D:D,IF(ISNUMBER(B1026),TEXT(B1026,"0000"),B1026),Addendum!E:E,"X")&gt;0,4%,0)</f>
        <v>0</v>
      </c>
      <c r="J1026" s="31">
        <f>IF(COUNTIFS(Addendum!C:C,A1026,Addendum!D:D,IF(ISNUMBER(B1026),TEXT(B1026,"0000"),B1026),Addendum!F:F,"X")&gt;0,2.5%,0)</f>
        <v>0</v>
      </c>
      <c r="K1026" s="31">
        <f>IF(COUNTIFS(Addendum!C:C,A1026,Addendum!D:D,IF(ISNUMBER(B1026),TEXT(B1026,"0000"),B1026),Addendum!G:G,"X")&gt;0,7%,0)</f>
        <v>0</v>
      </c>
      <c r="L1026" s="31">
        <f>IF(COUNTIFS(Addendum!C:C,A1026,Addendum!D:D,IF(ISNUMBER(B1026),TEXT(B1026,"0000"),B1026),Addendum!I:I,"X")&gt;0,10%,0)</f>
        <v>0</v>
      </c>
      <c r="M1026" s="34">
        <f t="shared" si="30"/>
        <v>0</v>
      </c>
      <c r="N1026" s="17">
        <f t="shared" si="31"/>
        <v>18720</v>
      </c>
    </row>
    <row r="1027" spans="1:14" ht="30" x14ac:dyDescent="0.25">
      <c r="A1027" s="14" t="s">
        <v>2055</v>
      </c>
      <c r="B1027" s="14" t="s">
        <v>470</v>
      </c>
      <c r="C1027" s="15" t="s">
        <v>2064</v>
      </c>
      <c r="D1027" s="14" t="s">
        <v>1745</v>
      </c>
      <c r="E1027" s="14" t="s">
        <v>1747</v>
      </c>
      <c r="F1027" s="17" t="s">
        <v>2994</v>
      </c>
      <c r="G1027" s="14">
        <v>274560</v>
      </c>
      <c r="H1027" s="14">
        <v>205920</v>
      </c>
      <c r="I1027" s="31">
        <f>IF(COUNTIFS(Addendum!C:C,A1027,Addendum!D:D,IF(ISNUMBER(B1027),TEXT(B1027,"0000"),B1027),Addendum!E:E,"X")&gt;0,4%,0)</f>
        <v>0</v>
      </c>
      <c r="J1027" s="31">
        <f>IF(COUNTIFS(Addendum!C:C,A1027,Addendum!D:D,IF(ISNUMBER(B1027),TEXT(B1027,"0000"),B1027),Addendum!F:F,"X")&gt;0,2.5%,0)</f>
        <v>0</v>
      </c>
      <c r="K1027" s="31">
        <f>IF(COUNTIFS(Addendum!C:C,A1027,Addendum!D:D,IF(ISNUMBER(B1027),TEXT(B1027,"0000"),B1027),Addendum!G:G,"X")&gt;0,7%,0)</f>
        <v>0</v>
      </c>
      <c r="L1027" s="31">
        <f>IF(COUNTIFS(Addendum!C:C,A1027,Addendum!D:D,IF(ISNUMBER(B1027),TEXT(B1027,"0000"),B1027),Addendum!I:I,"X")&gt;0,10%,0)</f>
        <v>0</v>
      </c>
      <c r="M1027" s="34">
        <f t="shared" si="30"/>
        <v>0</v>
      </c>
      <c r="N1027" s="17">
        <f t="shared" si="31"/>
        <v>205920</v>
      </c>
    </row>
    <row r="1028" spans="1:14" x14ac:dyDescent="0.25">
      <c r="A1028" s="14" t="s">
        <v>2055</v>
      </c>
      <c r="B1028" s="14">
        <v>6</v>
      </c>
      <c r="C1028" s="15" t="s">
        <v>2089</v>
      </c>
      <c r="D1028" s="14" t="s">
        <v>1752</v>
      </c>
      <c r="E1028" s="14" t="s">
        <v>1746</v>
      </c>
      <c r="F1028" s="17" t="s">
        <v>2993</v>
      </c>
      <c r="G1028" s="14">
        <v>1572291</v>
      </c>
      <c r="H1028" s="14">
        <v>1179218</v>
      </c>
      <c r="I1028" s="31">
        <f>IF(COUNTIFS(Addendum!C:C,A1028,Addendum!D:D,IF(ISNUMBER(B1028),TEXT(B1028,"0000"),B1028),Addendum!E:E,"X")&gt;0,4%,0)</f>
        <v>0</v>
      </c>
      <c r="J1028" s="31">
        <f>IF(COUNTIFS(Addendum!C:C,A1028,Addendum!D:D,IF(ISNUMBER(B1028),TEXT(B1028,"0000"),B1028),Addendum!F:F,"X")&gt;0,2.5%,0)</f>
        <v>0</v>
      </c>
      <c r="K1028" s="31">
        <f>IF(COUNTIFS(Addendum!C:C,A1028,Addendum!D:D,IF(ISNUMBER(B1028),TEXT(B1028,"0000"),B1028),Addendum!G:G,"X")&gt;0,7%,0)</f>
        <v>0</v>
      </c>
      <c r="L1028" s="31">
        <f>IF(COUNTIFS(Addendum!C:C,A1028,Addendum!D:D,IF(ISNUMBER(B1028),TEXT(B1028,"0000"),B1028),Addendum!I:I,"X")&gt;0,10%,0)</f>
        <v>0</v>
      </c>
      <c r="M1028" s="34">
        <f t="shared" ref="M1028:M1091" si="32">IF(AND(I1028=0%,J1028=0%,K1028=0%,L1028=0%),0%,
IF(OR(TRIM(E1028)="OneTime",TRIM(D1028)=""),0%,
IF(
OR(
TRIM(D1028)="P1M",
AND(TRIM(D1028)="P1Y",TRIM(E1028)="Monthly"),
AND(TRIM(D1028)="P3Y",TRIM(E1028)="Monthly")
),
IF(AND(I1028=4%,J1028=0%,K1028=0%,L1028=0%),1%,
IF(AND(I1028=4%,J1028=2.5%,K1028=0%,L1028=10%),2%,
IF(AND(I1028=4%,J1028=0%,K1028=7%,L1028=10%),3%,0%))),
IF(
OR(
AND(TRIM(D1028)="P1Y",TRIM(E1028)="Annual"),
AND(TRIM(D1028)="P3Y",TRIM(E1028)="Annual"),
AND(TRIM(D1028)="P3Y",TRIM(E1028)="Triennial")
),
IF(AND(I1028=4%,J1028=0%,K1028=0%,L1028=0%),3%,
IF(AND(I1028=4%,J1028=2.5%,K1028=0%,L1028=10%),10%,
IF(AND(I1028=4%,J1028=0%,K1028=7%,L1028=10%),14%,0%))),
0%
))))</f>
        <v>0</v>
      </c>
      <c r="N1028" s="17">
        <f t="shared" ref="N1028:N1091" si="33">H1028-(H1028*M1028)</f>
        <v>1179218</v>
      </c>
    </row>
    <row r="1029" spans="1:14" ht="30" x14ac:dyDescent="0.25">
      <c r="A1029" s="14" t="s">
        <v>2055</v>
      </c>
      <c r="B1029" s="14" t="s">
        <v>118</v>
      </c>
      <c r="C1029" s="15" t="s">
        <v>2060</v>
      </c>
      <c r="D1029" s="14" t="s">
        <v>1752</v>
      </c>
      <c r="E1029" s="14" t="s">
        <v>1746</v>
      </c>
      <c r="F1029" s="17" t="s">
        <v>2994</v>
      </c>
      <c r="G1029" s="14">
        <v>432432</v>
      </c>
      <c r="H1029" s="14">
        <v>324324</v>
      </c>
      <c r="I1029" s="31">
        <f>IF(COUNTIFS(Addendum!C:C,A1029,Addendum!D:D,IF(ISNUMBER(B1029),TEXT(B1029,"0000"),B1029),Addendum!E:E,"X")&gt;0,4%,0)</f>
        <v>0</v>
      </c>
      <c r="J1029" s="31">
        <f>IF(COUNTIFS(Addendum!C:C,A1029,Addendum!D:D,IF(ISNUMBER(B1029),TEXT(B1029,"0000"),B1029),Addendum!F:F,"X")&gt;0,2.5%,0)</f>
        <v>0</v>
      </c>
      <c r="K1029" s="31">
        <f>IF(COUNTIFS(Addendum!C:C,A1029,Addendum!D:D,IF(ISNUMBER(B1029),TEXT(B1029,"0000"),B1029),Addendum!G:G,"X")&gt;0,7%,0)</f>
        <v>0</v>
      </c>
      <c r="L1029" s="31">
        <f>IF(COUNTIFS(Addendum!C:C,A1029,Addendum!D:D,IF(ISNUMBER(B1029),TEXT(B1029,"0000"),B1029),Addendum!I:I,"X")&gt;0,10%,0)</f>
        <v>0</v>
      </c>
      <c r="M1029" s="34">
        <f t="shared" si="32"/>
        <v>0</v>
      </c>
      <c r="N1029" s="17">
        <f t="shared" si="33"/>
        <v>324324</v>
      </c>
    </row>
    <row r="1030" spans="1:14" x14ac:dyDescent="0.25">
      <c r="A1030" s="14" t="s">
        <v>2055</v>
      </c>
      <c r="B1030" s="14" t="s">
        <v>73</v>
      </c>
      <c r="C1030" s="15" t="s">
        <v>2058</v>
      </c>
      <c r="D1030" s="14" t="s">
        <v>1752</v>
      </c>
      <c r="E1030" s="14" t="s">
        <v>1747</v>
      </c>
      <c r="F1030" s="17" t="s">
        <v>2993</v>
      </c>
      <c r="G1030" s="14">
        <v>2995020</v>
      </c>
      <c r="H1030" s="14">
        <v>2246265</v>
      </c>
      <c r="I1030" s="31">
        <f>IF(COUNTIFS(Addendum!C:C,A1030,Addendum!D:D,IF(ISNUMBER(B1030),TEXT(B1030,"0000"),B1030),Addendum!E:E,"X")&gt;0,4%,0)</f>
        <v>0</v>
      </c>
      <c r="J1030" s="31">
        <f>IF(COUNTIFS(Addendum!C:C,A1030,Addendum!D:D,IF(ISNUMBER(B1030),TEXT(B1030,"0000"),B1030),Addendum!F:F,"X")&gt;0,2.5%,0)</f>
        <v>0</v>
      </c>
      <c r="K1030" s="31">
        <f>IF(COUNTIFS(Addendum!C:C,A1030,Addendum!D:D,IF(ISNUMBER(B1030),TEXT(B1030,"0000"),B1030),Addendum!G:G,"X")&gt;0,7%,0)</f>
        <v>0</v>
      </c>
      <c r="L1030" s="31">
        <f>IF(COUNTIFS(Addendum!C:C,A1030,Addendum!D:D,IF(ISNUMBER(B1030),TEXT(B1030,"0000"),B1030),Addendum!I:I,"X")&gt;0,10%,0)</f>
        <v>0</v>
      </c>
      <c r="M1030" s="34">
        <f t="shared" si="32"/>
        <v>0</v>
      </c>
      <c r="N1030" s="17">
        <f t="shared" si="33"/>
        <v>2246265</v>
      </c>
    </row>
    <row r="1031" spans="1:14" x14ac:dyDescent="0.25">
      <c r="A1031" s="14" t="s">
        <v>2055</v>
      </c>
      <c r="B1031" s="14">
        <v>16</v>
      </c>
      <c r="C1031" s="15" t="s">
        <v>2065</v>
      </c>
      <c r="D1031" s="14" t="s">
        <v>1752</v>
      </c>
      <c r="E1031" s="14" t="s">
        <v>1747</v>
      </c>
      <c r="F1031" s="17" t="s">
        <v>2995</v>
      </c>
      <c r="G1031" s="14">
        <v>748800</v>
      </c>
      <c r="H1031" s="14">
        <v>673920</v>
      </c>
      <c r="I1031" s="31">
        <f>IF(COUNTIFS(Addendum!C:C,A1031,Addendum!D:D,IF(ISNUMBER(B1031),TEXT(B1031,"0000"),B1031),Addendum!E:E,"X")&gt;0,4%,0)</f>
        <v>0</v>
      </c>
      <c r="J1031" s="31">
        <f>IF(COUNTIFS(Addendum!C:C,A1031,Addendum!D:D,IF(ISNUMBER(B1031),TEXT(B1031,"0000"),B1031),Addendum!F:F,"X")&gt;0,2.5%,0)</f>
        <v>0</v>
      </c>
      <c r="K1031" s="31">
        <f>IF(COUNTIFS(Addendum!C:C,A1031,Addendum!D:D,IF(ISNUMBER(B1031),TEXT(B1031,"0000"),B1031),Addendum!G:G,"X")&gt;0,7%,0)</f>
        <v>0</v>
      </c>
      <c r="L1031" s="31">
        <f>IF(COUNTIFS(Addendum!C:C,A1031,Addendum!D:D,IF(ISNUMBER(B1031),TEXT(B1031,"0000"),B1031),Addendum!I:I,"X")&gt;0,10%,0)</f>
        <v>0</v>
      </c>
      <c r="M1031" s="34">
        <f t="shared" si="32"/>
        <v>0</v>
      </c>
      <c r="N1031" s="17">
        <f t="shared" si="33"/>
        <v>673920</v>
      </c>
    </row>
    <row r="1032" spans="1:14" ht="30" x14ac:dyDescent="0.25">
      <c r="A1032" s="14" t="s">
        <v>2092</v>
      </c>
      <c r="B1032" s="14" t="s">
        <v>97</v>
      </c>
      <c r="C1032" s="15" t="s">
        <v>2093</v>
      </c>
      <c r="D1032" s="14" t="s">
        <v>1745</v>
      </c>
      <c r="E1032" s="14" t="s">
        <v>1746</v>
      </c>
      <c r="F1032" s="17" t="s">
        <v>2994</v>
      </c>
      <c r="G1032" s="14">
        <v>8379</v>
      </c>
      <c r="H1032" s="14">
        <v>6284.28</v>
      </c>
      <c r="I1032" s="31">
        <f>IF(COUNTIFS(Addendum!C:C,A1032,Addendum!D:D,IF(ISNUMBER(B1032),TEXT(B1032,"0000"),B1032),Addendum!E:E,"X")&gt;0,4%,0)</f>
        <v>0</v>
      </c>
      <c r="J1032" s="31">
        <f>IF(COUNTIFS(Addendum!C:C,A1032,Addendum!D:D,IF(ISNUMBER(B1032),TEXT(B1032,"0000"),B1032),Addendum!F:F,"X")&gt;0,2.5%,0)</f>
        <v>0</v>
      </c>
      <c r="K1032" s="31">
        <f>IF(COUNTIFS(Addendum!C:C,A1032,Addendum!D:D,IF(ISNUMBER(B1032),TEXT(B1032,"0000"),B1032),Addendum!G:G,"X")&gt;0,7%,0)</f>
        <v>0</v>
      </c>
      <c r="L1032" s="31">
        <f>IF(COUNTIFS(Addendum!C:C,A1032,Addendum!D:D,IF(ISNUMBER(B1032),TEXT(B1032,"0000"),B1032),Addendum!I:I,"X")&gt;0,10%,0)</f>
        <v>0</v>
      </c>
      <c r="M1032" s="34">
        <f t="shared" si="32"/>
        <v>0</v>
      </c>
      <c r="N1032" s="17">
        <f t="shared" si="33"/>
        <v>6284.28</v>
      </c>
    </row>
    <row r="1033" spans="1:14" x14ac:dyDescent="0.25">
      <c r="A1033" s="14" t="s">
        <v>2092</v>
      </c>
      <c r="B1033" s="14">
        <v>23</v>
      </c>
      <c r="C1033" s="15" t="s">
        <v>2094</v>
      </c>
      <c r="D1033" s="14" t="s">
        <v>1745</v>
      </c>
      <c r="E1033" s="14" t="s">
        <v>1747</v>
      </c>
      <c r="F1033" s="17" t="s">
        <v>2994</v>
      </c>
      <c r="G1033" s="14">
        <v>159720</v>
      </c>
      <c r="H1033" s="14">
        <v>119790</v>
      </c>
      <c r="I1033" s="31">
        <f>IF(COUNTIFS(Addendum!C:C,A1033,Addendum!D:D,IF(ISNUMBER(B1033),TEXT(B1033,"0000"),B1033),Addendum!E:E,"X")&gt;0,4%,0)</f>
        <v>0</v>
      </c>
      <c r="J1033" s="31">
        <f>IF(COUNTIFS(Addendum!C:C,A1033,Addendum!D:D,IF(ISNUMBER(B1033),TEXT(B1033,"0000"),B1033),Addendum!F:F,"X")&gt;0,2.5%,0)</f>
        <v>0</v>
      </c>
      <c r="K1033" s="31">
        <f>IF(COUNTIFS(Addendum!C:C,A1033,Addendum!D:D,IF(ISNUMBER(B1033),TEXT(B1033,"0000"),B1033),Addendum!G:G,"X")&gt;0,7%,0)</f>
        <v>0</v>
      </c>
      <c r="L1033" s="31">
        <f>IF(COUNTIFS(Addendum!C:C,A1033,Addendum!D:D,IF(ISNUMBER(B1033),TEXT(B1033,"0000"),B1033),Addendum!I:I,"X")&gt;0,10%,0)</f>
        <v>0</v>
      </c>
      <c r="M1033" s="34">
        <f t="shared" si="32"/>
        <v>0</v>
      </c>
      <c r="N1033" s="17">
        <f t="shared" si="33"/>
        <v>119790</v>
      </c>
    </row>
    <row r="1034" spans="1:14" ht="30" x14ac:dyDescent="0.25">
      <c r="A1034" s="14" t="s">
        <v>2092</v>
      </c>
      <c r="B1034" s="14">
        <v>3</v>
      </c>
      <c r="C1034" s="15" t="s">
        <v>2095</v>
      </c>
      <c r="D1034" s="14" t="s">
        <v>1752</v>
      </c>
      <c r="E1034" s="14" t="s">
        <v>1746</v>
      </c>
      <c r="F1034" s="17" t="s">
        <v>2993</v>
      </c>
      <c r="G1034" s="14">
        <v>62937</v>
      </c>
      <c r="H1034" s="14">
        <v>47202.84</v>
      </c>
      <c r="I1034" s="31">
        <f>IF(COUNTIFS(Addendum!C:C,A1034,Addendum!D:D,IF(ISNUMBER(B1034),TEXT(B1034,"0000"),B1034),Addendum!E:E,"X")&gt;0,4%,0)</f>
        <v>0</v>
      </c>
      <c r="J1034" s="31">
        <f>IF(COUNTIFS(Addendum!C:C,A1034,Addendum!D:D,IF(ISNUMBER(B1034),TEXT(B1034,"0000"),B1034),Addendum!F:F,"X")&gt;0,2.5%,0)</f>
        <v>0</v>
      </c>
      <c r="K1034" s="31">
        <f>IF(COUNTIFS(Addendum!C:C,A1034,Addendum!D:D,IF(ISNUMBER(B1034),TEXT(B1034,"0000"),B1034),Addendum!G:G,"X")&gt;0,7%,0)</f>
        <v>0</v>
      </c>
      <c r="L1034" s="31">
        <f>IF(COUNTIFS(Addendum!C:C,A1034,Addendum!D:D,IF(ISNUMBER(B1034),TEXT(B1034,"0000"),B1034),Addendum!I:I,"X")&gt;0,10%,0)</f>
        <v>0</v>
      </c>
      <c r="M1034" s="34">
        <f t="shared" si="32"/>
        <v>0</v>
      </c>
      <c r="N1034" s="17">
        <f t="shared" si="33"/>
        <v>47202.84</v>
      </c>
    </row>
    <row r="1035" spans="1:14" ht="30" x14ac:dyDescent="0.25">
      <c r="A1035" s="14" t="s">
        <v>2092</v>
      </c>
      <c r="B1035" s="14" t="s">
        <v>108</v>
      </c>
      <c r="C1035" s="15" t="s">
        <v>2096</v>
      </c>
      <c r="D1035" s="14" t="s">
        <v>1745</v>
      </c>
      <c r="E1035" s="14" t="s">
        <v>1747</v>
      </c>
      <c r="F1035" s="17" t="s">
        <v>2994</v>
      </c>
      <c r="G1035" s="14">
        <v>10980</v>
      </c>
      <c r="H1035" s="14">
        <v>8235</v>
      </c>
      <c r="I1035" s="31">
        <f>IF(COUNTIFS(Addendum!C:C,A1035,Addendum!D:D,IF(ISNUMBER(B1035),TEXT(B1035,"0000"),B1035),Addendum!E:E,"X")&gt;0,4%,0)</f>
        <v>0</v>
      </c>
      <c r="J1035" s="31">
        <f>IF(COUNTIFS(Addendum!C:C,A1035,Addendum!D:D,IF(ISNUMBER(B1035),TEXT(B1035,"0000"),B1035),Addendum!F:F,"X")&gt;0,2.5%,0)</f>
        <v>0</v>
      </c>
      <c r="K1035" s="31">
        <f>IF(COUNTIFS(Addendum!C:C,A1035,Addendum!D:D,IF(ISNUMBER(B1035),TEXT(B1035,"0000"),B1035),Addendum!G:G,"X")&gt;0,7%,0)</f>
        <v>0</v>
      </c>
      <c r="L1035" s="31">
        <f>IF(COUNTIFS(Addendum!C:C,A1035,Addendum!D:D,IF(ISNUMBER(B1035),TEXT(B1035,"0000"),B1035),Addendum!I:I,"X")&gt;0,10%,0)</f>
        <v>0</v>
      </c>
      <c r="M1035" s="34">
        <f t="shared" si="32"/>
        <v>0</v>
      </c>
      <c r="N1035" s="17">
        <f t="shared" si="33"/>
        <v>8235</v>
      </c>
    </row>
    <row r="1036" spans="1:14" x14ac:dyDescent="0.25">
      <c r="A1036" s="14" t="s">
        <v>2092</v>
      </c>
      <c r="B1036" s="14">
        <v>21</v>
      </c>
      <c r="C1036" s="15" t="s">
        <v>2097</v>
      </c>
      <c r="D1036" s="14" t="s">
        <v>1745</v>
      </c>
      <c r="E1036" s="14" t="s">
        <v>1746</v>
      </c>
      <c r="F1036" s="17" t="s">
        <v>2994</v>
      </c>
      <c r="G1036" s="14">
        <v>125811</v>
      </c>
      <c r="H1036" s="14">
        <v>94358.28</v>
      </c>
      <c r="I1036" s="31">
        <f>IF(COUNTIFS(Addendum!C:C,A1036,Addendum!D:D,IF(ISNUMBER(B1036),TEXT(B1036,"0000"),B1036),Addendum!E:E,"X")&gt;0,4%,0)</f>
        <v>0</v>
      </c>
      <c r="J1036" s="31">
        <f>IF(COUNTIFS(Addendum!C:C,A1036,Addendum!D:D,IF(ISNUMBER(B1036),TEXT(B1036,"0000"),B1036),Addendum!F:F,"X")&gt;0,2.5%,0)</f>
        <v>0</v>
      </c>
      <c r="K1036" s="31">
        <f>IF(COUNTIFS(Addendum!C:C,A1036,Addendum!D:D,IF(ISNUMBER(B1036),TEXT(B1036,"0000"),B1036),Addendum!G:G,"X")&gt;0,7%,0)</f>
        <v>0</v>
      </c>
      <c r="L1036" s="31">
        <f>IF(COUNTIFS(Addendum!C:C,A1036,Addendum!D:D,IF(ISNUMBER(B1036),TEXT(B1036,"0000"),B1036),Addendum!I:I,"X")&gt;0,10%,0)</f>
        <v>0</v>
      </c>
      <c r="M1036" s="34">
        <f t="shared" si="32"/>
        <v>0</v>
      </c>
      <c r="N1036" s="17">
        <f t="shared" si="33"/>
        <v>94358.28</v>
      </c>
    </row>
    <row r="1037" spans="1:14" ht="30" x14ac:dyDescent="0.25">
      <c r="A1037" s="14" t="s">
        <v>2092</v>
      </c>
      <c r="B1037" s="14" t="s">
        <v>297</v>
      </c>
      <c r="C1037" s="15" t="s">
        <v>2098</v>
      </c>
      <c r="D1037" s="14" t="s">
        <v>1745</v>
      </c>
      <c r="E1037" s="14" t="s">
        <v>1746</v>
      </c>
      <c r="F1037" s="17" t="s">
        <v>2995</v>
      </c>
      <c r="G1037" s="14">
        <v>5229</v>
      </c>
      <c r="H1037" s="14">
        <v>4706.16</v>
      </c>
      <c r="I1037" s="31">
        <f>IF(COUNTIFS(Addendum!C:C,A1037,Addendum!D:D,IF(ISNUMBER(B1037),TEXT(B1037,"0000"),B1037),Addendum!E:E,"X")&gt;0,4%,0)</f>
        <v>0</v>
      </c>
      <c r="J1037" s="31">
        <f>IF(COUNTIFS(Addendum!C:C,A1037,Addendum!D:D,IF(ISNUMBER(B1037),TEXT(B1037,"0000"),B1037),Addendum!F:F,"X")&gt;0,2.5%,0)</f>
        <v>0</v>
      </c>
      <c r="K1037" s="31">
        <f>IF(COUNTIFS(Addendum!C:C,A1037,Addendum!D:D,IF(ISNUMBER(B1037),TEXT(B1037,"0000"),B1037),Addendum!G:G,"X")&gt;0,7%,0)</f>
        <v>0</v>
      </c>
      <c r="L1037" s="31">
        <f>IF(COUNTIFS(Addendum!C:C,A1037,Addendum!D:D,IF(ISNUMBER(B1037),TEXT(B1037,"0000"),B1037),Addendum!I:I,"X")&gt;0,10%,0)</f>
        <v>0</v>
      </c>
      <c r="M1037" s="34">
        <f t="shared" si="32"/>
        <v>0</v>
      </c>
      <c r="N1037" s="17">
        <f t="shared" si="33"/>
        <v>4706.16</v>
      </c>
    </row>
    <row r="1038" spans="1:14" x14ac:dyDescent="0.25">
      <c r="A1038" s="14" t="s">
        <v>2092</v>
      </c>
      <c r="B1038" s="14">
        <v>6</v>
      </c>
      <c r="C1038" s="15" t="s">
        <v>2099</v>
      </c>
      <c r="D1038" s="14" t="s">
        <v>1745</v>
      </c>
      <c r="E1038" s="14" t="s">
        <v>1747</v>
      </c>
      <c r="F1038" s="17" t="s">
        <v>2993</v>
      </c>
      <c r="G1038" s="14">
        <v>159720</v>
      </c>
      <c r="H1038" s="14">
        <v>119790</v>
      </c>
      <c r="I1038" s="31">
        <f>IF(COUNTIFS(Addendum!C:C,A1038,Addendum!D:D,IF(ISNUMBER(B1038),TEXT(B1038,"0000"),B1038),Addendum!E:E,"X")&gt;0,4%,0)</f>
        <v>0</v>
      </c>
      <c r="J1038" s="31">
        <f>IF(COUNTIFS(Addendum!C:C,A1038,Addendum!D:D,IF(ISNUMBER(B1038),TEXT(B1038,"0000"),B1038),Addendum!F:F,"X")&gt;0,2.5%,0)</f>
        <v>0</v>
      </c>
      <c r="K1038" s="31">
        <f>IF(COUNTIFS(Addendum!C:C,A1038,Addendum!D:D,IF(ISNUMBER(B1038),TEXT(B1038,"0000"),B1038),Addendum!G:G,"X")&gt;0,7%,0)</f>
        <v>0</v>
      </c>
      <c r="L1038" s="31">
        <f>IF(COUNTIFS(Addendum!C:C,A1038,Addendum!D:D,IF(ISNUMBER(B1038),TEXT(B1038,"0000"),B1038),Addendum!I:I,"X")&gt;0,10%,0)</f>
        <v>0</v>
      </c>
      <c r="M1038" s="34">
        <f t="shared" si="32"/>
        <v>0</v>
      </c>
      <c r="N1038" s="17">
        <f t="shared" si="33"/>
        <v>119790</v>
      </c>
    </row>
    <row r="1039" spans="1:14" ht="30" x14ac:dyDescent="0.25">
      <c r="A1039" s="14" t="s">
        <v>2092</v>
      </c>
      <c r="B1039" s="14" t="s">
        <v>97</v>
      </c>
      <c r="C1039" s="15" t="s">
        <v>2093</v>
      </c>
      <c r="D1039" s="14" t="s">
        <v>1745</v>
      </c>
      <c r="E1039" s="14" t="s">
        <v>1747</v>
      </c>
      <c r="F1039" s="17" t="s">
        <v>2994</v>
      </c>
      <c r="G1039" s="14">
        <v>7980</v>
      </c>
      <c r="H1039" s="14">
        <v>5985</v>
      </c>
      <c r="I1039" s="31">
        <f>IF(COUNTIFS(Addendum!C:C,A1039,Addendum!D:D,IF(ISNUMBER(B1039),TEXT(B1039,"0000"),B1039),Addendum!E:E,"X")&gt;0,4%,0)</f>
        <v>0</v>
      </c>
      <c r="J1039" s="31">
        <f>IF(COUNTIFS(Addendum!C:C,A1039,Addendum!D:D,IF(ISNUMBER(B1039),TEXT(B1039,"0000"),B1039),Addendum!F:F,"X")&gt;0,2.5%,0)</f>
        <v>0</v>
      </c>
      <c r="K1039" s="31">
        <f>IF(COUNTIFS(Addendum!C:C,A1039,Addendum!D:D,IF(ISNUMBER(B1039),TEXT(B1039,"0000"),B1039),Addendum!G:G,"X")&gt;0,7%,0)</f>
        <v>0</v>
      </c>
      <c r="L1039" s="31">
        <f>IF(COUNTIFS(Addendum!C:C,A1039,Addendum!D:D,IF(ISNUMBER(B1039),TEXT(B1039,"0000"),B1039),Addendum!I:I,"X")&gt;0,10%,0)</f>
        <v>0</v>
      </c>
      <c r="M1039" s="34">
        <f t="shared" si="32"/>
        <v>0</v>
      </c>
      <c r="N1039" s="17">
        <f t="shared" si="33"/>
        <v>5985</v>
      </c>
    </row>
    <row r="1040" spans="1:14" x14ac:dyDescent="0.25">
      <c r="A1040" s="14" t="s">
        <v>2092</v>
      </c>
      <c r="B1040" s="14">
        <v>6</v>
      </c>
      <c r="C1040" s="15" t="s">
        <v>2099</v>
      </c>
      <c r="D1040" s="14" t="s">
        <v>1752</v>
      </c>
      <c r="E1040" s="14" t="s">
        <v>1746</v>
      </c>
      <c r="F1040" s="17" t="s">
        <v>2993</v>
      </c>
      <c r="G1040" s="14">
        <v>503118</v>
      </c>
      <c r="H1040" s="14">
        <v>377338.7</v>
      </c>
      <c r="I1040" s="31">
        <f>IF(COUNTIFS(Addendum!C:C,A1040,Addendum!D:D,IF(ISNUMBER(B1040),TEXT(B1040,"0000"),B1040),Addendum!E:E,"X")&gt;0,4%,0)</f>
        <v>0</v>
      </c>
      <c r="J1040" s="31">
        <f>IF(COUNTIFS(Addendum!C:C,A1040,Addendum!D:D,IF(ISNUMBER(B1040),TEXT(B1040,"0000"),B1040),Addendum!F:F,"X")&gt;0,2.5%,0)</f>
        <v>0</v>
      </c>
      <c r="K1040" s="31">
        <f>IF(COUNTIFS(Addendum!C:C,A1040,Addendum!D:D,IF(ISNUMBER(B1040),TEXT(B1040,"0000"),B1040),Addendum!G:G,"X")&gt;0,7%,0)</f>
        <v>0</v>
      </c>
      <c r="L1040" s="31">
        <f>IF(COUNTIFS(Addendum!C:C,A1040,Addendum!D:D,IF(ISNUMBER(B1040),TEXT(B1040,"0000"),B1040),Addendum!I:I,"X")&gt;0,10%,0)</f>
        <v>0</v>
      </c>
      <c r="M1040" s="34">
        <f t="shared" si="32"/>
        <v>0</v>
      </c>
      <c r="N1040" s="17">
        <f t="shared" si="33"/>
        <v>377338.7</v>
      </c>
    </row>
    <row r="1041" spans="1:14" x14ac:dyDescent="0.25">
      <c r="A1041" s="14" t="s">
        <v>2092</v>
      </c>
      <c r="B1041" s="14" t="s">
        <v>875</v>
      </c>
      <c r="C1041" s="15" t="s">
        <v>2100</v>
      </c>
      <c r="D1041" s="14" t="s">
        <v>1745</v>
      </c>
      <c r="E1041" s="14" t="s">
        <v>1747</v>
      </c>
      <c r="F1041" s="17" t="s">
        <v>2995</v>
      </c>
      <c r="G1041" s="14">
        <v>39960</v>
      </c>
      <c r="H1041" s="14">
        <v>35964</v>
      </c>
      <c r="I1041" s="31">
        <f>IF(COUNTIFS(Addendum!C:C,A1041,Addendum!D:D,IF(ISNUMBER(B1041),TEXT(B1041,"0000"),B1041),Addendum!E:E,"X")&gt;0,4%,0)</f>
        <v>0</v>
      </c>
      <c r="J1041" s="31">
        <f>IF(COUNTIFS(Addendum!C:C,A1041,Addendum!D:D,IF(ISNUMBER(B1041),TEXT(B1041,"0000"),B1041),Addendum!F:F,"X")&gt;0,2.5%,0)</f>
        <v>0</v>
      </c>
      <c r="K1041" s="31">
        <f>IF(COUNTIFS(Addendum!C:C,A1041,Addendum!D:D,IF(ISNUMBER(B1041),TEXT(B1041,"0000"),B1041),Addendum!G:G,"X")&gt;0,7%,0)</f>
        <v>0</v>
      </c>
      <c r="L1041" s="31">
        <f>IF(COUNTIFS(Addendum!C:C,A1041,Addendum!D:D,IF(ISNUMBER(B1041),TEXT(B1041,"0000"),B1041),Addendum!I:I,"X")&gt;0,10%,0)</f>
        <v>0</v>
      </c>
      <c r="M1041" s="34">
        <f t="shared" si="32"/>
        <v>0</v>
      </c>
      <c r="N1041" s="17">
        <f t="shared" si="33"/>
        <v>35964</v>
      </c>
    </row>
    <row r="1042" spans="1:14" x14ac:dyDescent="0.25">
      <c r="A1042" s="14" t="s">
        <v>2092</v>
      </c>
      <c r="B1042" s="14">
        <v>22</v>
      </c>
      <c r="C1042" s="15" t="s">
        <v>2101</v>
      </c>
      <c r="D1042" s="14" t="s">
        <v>1745</v>
      </c>
      <c r="E1042" s="14" t="s">
        <v>1747</v>
      </c>
      <c r="F1042" s="17" t="s">
        <v>2995</v>
      </c>
      <c r="G1042" s="14">
        <v>319440</v>
      </c>
      <c r="H1042" s="14">
        <v>287496</v>
      </c>
      <c r="I1042" s="31">
        <f>IF(COUNTIFS(Addendum!C:C,A1042,Addendum!D:D,IF(ISNUMBER(B1042),TEXT(B1042,"0000"),B1042),Addendum!E:E,"X")&gt;0,4%,0)</f>
        <v>0</v>
      </c>
      <c r="J1042" s="31">
        <f>IF(COUNTIFS(Addendum!C:C,A1042,Addendum!D:D,IF(ISNUMBER(B1042),TEXT(B1042,"0000"),B1042),Addendum!F:F,"X")&gt;0,2.5%,0)</f>
        <v>0</v>
      </c>
      <c r="K1042" s="31">
        <f>IF(COUNTIFS(Addendum!C:C,A1042,Addendum!D:D,IF(ISNUMBER(B1042),TEXT(B1042,"0000"),B1042),Addendum!G:G,"X")&gt;0,7%,0)</f>
        <v>0</v>
      </c>
      <c r="L1042" s="31">
        <f>IF(COUNTIFS(Addendum!C:C,A1042,Addendum!D:D,IF(ISNUMBER(B1042),TEXT(B1042,"0000"),B1042),Addendum!I:I,"X")&gt;0,10%,0)</f>
        <v>0</v>
      </c>
      <c r="M1042" s="34">
        <f t="shared" si="32"/>
        <v>0</v>
      </c>
      <c r="N1042" s="17">
        <f t="shared" si="33"/>
        <v>287496</v>
      </c>
    </row>
    <row r="1043" spans="1:14" x14ac:dyDescent="0.25">
      <c r="A1043" s="14" t="s">
        <v>2092</v>
      </c>
      <c r="B1043" s="14">
        <v>1</v>
      </c>
      <c r="C1043" s="15" t="s">
        <v>2102</v>
      </c>
      <c r="D1043" s="14" t="s">
        <v>1745</v>
      </c>
      <c r="E1043" s="14" t="s">
        <v>1747</v>
      </c>
      <c r="F1043" s="17" t="s">
        <v>2993</v>
      </c>
      <c r="G1043" s="14">
        <v>104820</v>
      </c>
      <c r="H1043" s="14">
        <v>78615</v>
      </c>
      <c r="I1043" s="31">
        <f>IF(COUNTIFS(Addendum!C:C,A1043,Addendum!D:D,IF(ISNUMBER(B1043),TEXT(B1043,"0000"),B1043),Addendum!E:E,"X")&gt;0,4%,0)</f>
        <v>0</v>
      </c>
      <c r="J1043" s="31">
        <f>IF(COUNTIFS(Addendum!C:C,A1043,Addendum!D:D,IF(ISNUMBER(B1043),TEXT(B1043,"0000"),B1043),Addendum!F:F,"X")&gt;0,2.5%,0)</f>
        <v>0</v>
      </c>
      <c r="K1043" s="31">
        <f>IF(COUNTIFS(Addendum!C:C,A1043,Addendum!D:D,IF(ISNUMBER(B1043),TEXT(B1043,"0000"),B1043),Addendum!G:G,"X")&gt;0,7%,0)</f>
        <v>0</v>
      </c>
      <c r="L1043" s="31">
        <f>IF(COUNTIFS(Addendum!C:C,A1043,Addendum!D:D,IF(ISNUMBER(B1043),TEXT(B1043,"0000"),B1043),Addendum!I:I,"X")&gt;0,10%,0)</f>
        <v>0</v>
      </c>
      <c r="M1043" s="34">
        <f t="shared" si="32"/>
        <v>0</v>
      </c>
      <c r="N1043" s="17">
        <f t="shared" si="33"/>
        <v>78615</v>
      </c>
    </row>
    <row r="1044" spans="1:14" ht="30" x14ac:dyDescent="0.25">
      <c r="A1044" s="14" t="s">
        <v>2092</v>
      </c>
      <c r="B1044" s="14">
        <v>3</v>
      </c>
      <c r="C1044" s="15" t="s">
        <v>2095</v>
      </c>
      <c r="D1044" s="14" t="s">
        <v>1745</v>
      </c>
      <c r="E1044" s="14" t="s">
        <v>1747</v>
      </c>
      <c r="F1044" s="17" t="s">
        <v>2993</v>
      </c>
      <c r="G1044" s="14">
        <v>19980</v>
      </c>
      <c r="H1044" s="14">
        <v>14985</v>
      </c>
      <c r="I1044" s="31">
        <f>IF(COUNTIFS(Addendum!C:C,A1044,Addendum!D:D,IF(ISNUMBER(B1044),TEXT(B1044,"0000"),B1044),Addendum!E:E,"X")&gt;0,4%,0)</f>
        <v>0</v>
      </c>
      <c r="J1044" s="31">
        <f>IF(COUNTIFS(Addendum!C:C,A1044,Addendum!D:D,IF(ISNUMBER(B1044),TEXT(B1044,"0000"),B1044),Addendum!F:F,"X")&gt;0,2.5%,0)</f>
        <v>0</v>
      </c>
      <c r="K1044" s="31">
        <f>IF(COUNTIFS(Addendum!C:C,A1044,Addendum!D:D,IF(ISNUMBER(B1044),TEXT(B1044,"0000"),B1044),Addendum!G:G,"X")&gt;0,7%,0)</f>
        <v>0</v>
      </c>
      <c r="L1044" s="31">
        <f>IF(COUNTIFS(Addendum!C:C,A1044,Addendum!D:D,IF(ISNUMBER(B1044),TEXT(B1044,"0000"),B1044),Addendum!I:I,"X")&gt;0,10%,0)</f>
        <v>0</v>
      </c>
      <c r="M1044" s="34">
        <f t="shared" si="32"/>
        <v>0</v>
      </c>
      <c r="N1044" s="17">
        <f t="shared" si="33"/>
        <v>14985</v>
      </c>
    </row>
    <row r="1045" spans="1:14" x14ac:dyDescent="0.25">
      <c r="A1045" s="14" t="s">
        <v>2092</v>
      </c>
      <c r="B1045" s="14">
        <v>6</v>
      </c>
      <c r="C1045" s="15" t="s">
        <v>2099</v>
      </c>
      <c r="D1045" s="14" t="s">
        <v>1752</v>
      </c>
      <c r="E1045" s="14" t="s">
        <v>1747</v>
      </c>
      <c r="F1045" s="17" t="s">
        <v>2993</v>
      </c>
      <c r="G1045" s="14">
        <v>479160</v>
      </c>
      <c r="H1045" s="14">
        <v>359370</v>
      </c>
      <c r="I1045" s="31">
        <f>IF(COUNTIFS(Addendum!C:C,A1045,Addendum!D:D,IF(ISNUMBER(B1045),TEXT(B1045,"0000"),B1045),Addendum!E:E,"X")&gt;0,4%,0)</f>
        <v>0</v>
      </c>
      <c r="J1045" s="31">
        <f>IF(COUNTIFS(Addendum!C:C,A1045,Addendum!D:D,IF(ISNUMBER(B1045),TEXT(B1045,"0000"),B1045),Addendum!F:F,"X")&gt;0,2.5%,0)</f>
        <v>0</v>
      </c>
      <c r="K1045" s="31">
        <f>IF(COUNTIFS(Addendum!C:C,A1045,Addendum!D:D,IF(ISNUMBER(B1045),TEXT(B1045,"0000"),B1045),Addendum!G:G,"X")&gt;0,7%,0)</f>
        <v>0</v>
      </c>
      <c r="L1045" s="31">
        <f>IF(COUNTIFS(Addendum!C:C,A1045,Addendum!D:D,IF(ISNUMBER(B1045),TEXT(B1045,"0000"),B1045),Addendum!I:I,"X")&gt;0,10%,0)</f>
        <v>0</v>
      </c>
      <c r="M1045" s="34">
        <f t="shared" si="32"/>
        <v>0</v>
      </c>
      <c r="N1045" s="17">
        <f t="shared" si="33"/>
        <v>359370</v>
      </c>
    </row>
    <row r="1046" spans="1:14" ht="30" x14ac:dyDescent="0.25">
      <c r="A1046" s="14" t="s">
        <v>2092</v>
      </c>
      <c r="B1046" s="14" t="s">
        <v>297</v>
      </c>
      <c r="C1046" s="15" t="s">
        <v>2098</v>
      </c>
      <c r="D1046" s="14" t="s">
        <v>1749</v>
      </c>
      <c r="E1046" s="14" t="s">
        <v>1746</v>
      </c>
      <c r="F1046" s="17" t="s">
        <v>2995</v>
      </c>
      <c r="G1046" s="14">
        <v>498</v>
      </c>
      <c r="H1046" s="14">
        <v>448.2</v>
      </c>
      <c r="I1046" s="31">
        <f>IF(COUNTIFS(Addendum!C:C,A1046,Addendum!D:D,IF(ISNUMBER(B1046),TEXT(B1046,"0000"),B1046),Addendum!E:E,"X")&gt;0,4%,0)</f>
        <v>0</v>
      </c>
      <c r="J1046" s="31">
        <f>IF(COUNTIFS(Addendum!C:C,A1046,Addendum!D:D,IF(ISNUMBER(B1046),TEXT(B1046,"0000"),B1046),Addendum!F:F,"X")&gt;0,2.5%,0)</f>
        <v>0</v>
      </c>
      <c r="K1046" s="31">
        <f>IF(COUNTIFS(Addendum!C:C,A1046,Addendum!D:D,IF(ISNUMBER(B1046),TEXT(B1046,"0000"),B1046),Addendum!G:G,"X")&gt;0,7%,0)</f>
        <v>0</v>
      </c>
      <c r="L1046" s="31">
        <f>IF(COUNTIFS(Addendum!C:C,A1046,Addendum!D:D,IF(ISNUMBER(B1046),TEXT(B1046,"0000"),B1046),Addendum!I:I,"X")&gt;0,10%,0)</f>
        <v>0</v>
      </c>
      <c r="M1046" s="34">
        <f t="shared" si="32"/>
        <v>0</v>
      </c>
      <c r="N1046" s="17">
        <f t="shared" si="33"/>
        <v>448.2</v>
      </c>
    </row>
    <row r="1047" spans="1:14" x14ac:dyDescent="0.25">
      <c r="A1047" s="14" t="s">
        <v>2092</v>
      </c>
      <c r="B1047" s="14">
        <v>1</v>
      </c>
      <c r="C1047" s="15" t="s">
        <v>2102</v>
      </c>
      <c r="D1047" s="14" t="s">
        <v>1749</v>
      </c>
      <c r="E1047" s="14" t="s">
        <v>1746</v>
      </c>
      <c r="F1047" s="17" t="s">
        <v>2993</v>
      </c>
      <c r="G1047" s="14">
        <v>10482</v>
      </c>
      <c r="H1047" s="14">
        <v>7861.5</v>
      </c>
      <c r="I1047" s="31">
        <f>IF(COUNTIFS(Addendum!C:C,A1047,Addendum!D:D,IF(ISNUMBER(B1047),TEXT(B1047,"0000"),B1047),Addendum!E:E,"X")&gt;0,4%,0)</f>
        <v>0</v>
      </c>
      <c r="J1047" s="31">
        <f>IF(COUNTIFS(Addendum!C:C,A1047,Addendum!D:D,IF(ISNUMBER(B1047),TEXT(B1047,"0000"),B1047),Addendum!F:F,"X")&gt;0,2.5%,0)</f>
        <v>0</v>
      </c>
      <c r="K1047" s="31">
        <f>IF(COUNTIFS(Addendum!C:C,A1047,Addendum!D:D,IF(ISNUMBER(B1047),TEXT(B1047,"0000"),B1047),Addendum!G:G,"X")&gt;0,7%,0)</f>
        <v>0</v>
      </c>
      <c r="L1047" s="31">
        <f>IF(COUNTIFS(Addendum!C:C,A1047,Addendum!D:D,IF(ISNUMBER(B1047),TEXT(B1047,"0000"),B1047),Addendum!I:I,"X")&gt;0,10%,0)</f>
        <v>0</v>
      </c>
      <c r="M1047" s="34">
        <f t="shared" si="32"/>
        <v>0</v>
      </c>
      <c r="N1047" s="17">
        <f t="shared" si="33"/>
        <v>7861.5</v>
      </c>
    </row>
    <row r="1048" spans="1:14" x14ac:dyDescent="0.25">
      <c r="A1048" s="14" t="s">
        <v>2092</v>
      </c>
      <c r="B1048" s="14" t="s">
        <v>809</v>
      </c>
      <c r="C1048" s="15" t="s">
        <v>2103</v>
      </c>
      <c r="D1048" s="14" t="s">
        <v>1749</v>
      </c>
      <c r="E1048" s="14" t="s">
        <v>1746</v>
      </c>
      <c r="F1048" s="17" t="s">
        <v>2994</v>
      </c>
      <c r="G1048" s="14">
        <v>6390</v>
      </c>
      <c r="H1048" s="14">
        <v>4792.5</v>
      </c>
      <c r="I1048" s="31">
        <f>IF(COUNTIFS(Addendum!C:C,A1048,Addendum!D:D,IF(ISNUMBER(B1048),TEXT(B1048,"0000"),B1048),Addendum!E:E,"X")&gt;0,4%,0)</f>
        <v>0</v>
      </c>
      <c r="J1048" s="31">
        <f>IF(COUNTIFS(Addendum!C:C,A1048,Addendum!D:D,IF(ISNUMBER(B1048),TEXT(B1048,"0000"),B1048),Addendum!F:F,"X")&gt;0,2.5%,0)</f>
        <v>0</v>
      </c>
      <c r="K1048" s="31">
        <f>IF(COUNTIFS(Addendum!C:C,A1048,Addendum!D:D,IF(ISNUMBER(B1048),TEXT(B1048,"0000"),B1048),Addendum!G:G,"X")&gt;0,7%,0)</f>
        <v>0</v>
      </c>
      <c r="L1048" s="31">
        <f>IF(COUNTIFS(Addendum!C:C,A1048,Addendum!D:D,IF(ISNUMBER(B1048),TEXT(B1048,"0000"),B1048),Addendum!I:I,"X")&gt;0,10%,0)</f>
        <v>0</v>
      </c>
      <c r="M1048" s="34">
        <f t="shared" si="32"/>
        <v>0</v>
      </c>
      <c r="N1048" s="17">
        <f t="shared" si="33"/>
        <v>4792.5</v>
      </c>
    </row>
    <row r="1049" spans="1:14" ht="30" x14ac:dyDescent="0.25">
      <c r="A1049" s="14" t="s">
        <v>2092</v>
      </c>
      <c r="B1049" s="14">
        <v>3</v>
      </c>
      <c r="C1049" s="15" t="s">
        <v>2095</v>
      </c>
      <c r="D1049" s="14" t="s">
        <v>1749</v>
      </c>
      <c r="E1049" s="14" t="s">
        <v>1746</v>
      </c>
      <c r="F1049" s="17" t="s">
        <v>2993</v>
      </c>
      <c r="G1049" s="14">
        <v>1998</v>
      </c>
      <c r="H1049" s="14">
        <v>1498.5</v>
      </c>
      <c r="I1049" s="31">
        <f>IF(COUNTIFS(Addendum!C:C,A1049,Addendum!D:D,IF(ISNUMBER(B1049),TEXT(B1049,"0000"),B1049),Addendum!E:E,"X")&gt;0,4%,0)</f>
        <v>0</v>
      </c>
      <c r="J1049" s="31">
        <f>IF(COUNTIFS(Addendum!C:C,A1049,Addendum!D:D,IF(ISNUMBER(B1049),TEXT(B1049,"0000"),B1049),Addendum!F:F,"X")&gt;0,2.5%,0)</f>
        <v>0</v>
      </c>
      <c r="K1049" s="31">
        <f>IF(COUNTIFS(Addendum!C:C,A1049,Addendum!D:D,IF(ISNUMBER(B1049),TEXT(B1049,"0000"),B1049),Addendum!G:G,"X")&gt;0,7%,0)</f>
        <v>0</v>
      </c>
      <c r="L1049" s="31">
        <f>IF(COUNTIFS(Addendum!C:C,A1049,Addendum!D:D,IF(ISNUMBER(B1049),TEXT(B1049,"0000"),B1049),Addendum!I:I,"X")&gt;0,10%,0)</f>
        <v>0</v>
      </c>
      <c r="M1049" s="34">
        <f t="shared" si="32"/>
        <v>0</v>
      </c>
      <c r="N1049" s="17">
        <f t="shared" si="33"/>
        <v>1498.5</v>
      </c>
    </row>
    <row r="1050" spans="1:14" x14ac:dyDescent="0.25">
      <c r="A1050" s="14" t="s">
        <v>2092</v>
      </c>
      <c r="B1050" s="14" t="s">
        <v>307</v>
      </c>
      <c r="C1050" s="15" t="s">
        <v>2104</v>
      </c>
      <c r="D1050" s="14" t="s">
        <v>1749</v>
      </c>
      <c r="E1050" s="14" t="s">
        <v>1746</v>
      </c>
      <c r="F1050" s="17" t="s">
        <v>2994</v>
      </c>
      <c r="G1050" s="14">
        <v>5766</v>
      </c>
      <c r="H1050" s="14">
        <v>4324.5</v>
      </c>
      <c r="I1050" s="31">
        <f>IF(COUNTIFS(Addendum!C:C,A1050,Addendum!D:D,IF(ISNUMBER(B1050),TEXT(B1050,"0000"),B1050),Addendum!E:E,"X")&gt;0,4%,0)</f>
        <v>0</v>
      </c>
      <c r="J1050" s="31">
        <f>IF(COUNTIFS(Addendum!C:C,A1050,Addendum!D:D,IF(ISNUMBER(B1050),TEXT(B1050,"0000"),B1050),Addendum!F:F,"X")&gt;0,2.5%,0)</f>
        <v>0</v>
      </c>
      <c r="K1050" s="31">
        <f>IF(COUNTIFS(Addendum!C:C,A1050,Addendum!D:D,IF(ISNUMBER(B1050),TEXT(B1050,"0000"),B1050),Addendum!G:G,"X")&gt;0,7%,0)</f>
        <v>0</v>
      </c>
      <c r="L1050" s="31">
        <f>IF(COUNTIFS(Addendum!C:C,A1050,Addendum!D:D,IF(ISNUMBER(B1050),TEXT(B1050,"0000"),B1050),Addendum!I:I,"X")&gt;0,10%,0)</f>
        <v>0</v>
      </c>
      <c r="M1050" s="34">
        <f t="shared" si="32"/>
        <v>0</v>
      </c>
      <c r="N1050" s="17">
        <f t="shared" si="33"/>
        <v>4324.5</v>
      </c>
    </row>
    <row r="1051" spans="1:14" x14ac:dyDescent="0.25">
      <c r="A1051" s="14" t="s">
        <v>2092</v>
      </c>
      <c r="B1051" s="14" t="s">
        <v>809</v>
      </c>
      <c r="C1051" s="15" t="s">
        <v>2103</v>
      </c>
      <c r="D1051" s="14" t="s">
        <v>1745</v>
      </c>
      <c r="E1051" s="14" t="s">
        <v>1747</v>
      </c>
      <c r="F1051" s="17" t="s">
        <v>2994</v>
      </c>
      <c r="G1051" s="14">
        <v>63900</v>
      </c>
      <c r="H1051" s="14">
        <v>47925</v>
      </c>
      <c r="I1051" s="31">
        <f>IF(COUNTIFS(Addendum!C:C,A1051,Addendum!D:D,IF(ISNUMBER(B1051),TEXT(B1051,"0000"),B1051),Addendum!E:E,"X")&gt;0,4%,0)</f>
        <v>0</v>
      </c>
      <c r="J1051" s="31">
        <f>IF(COUNTIFS(Addendum!C:C,A1051,Addendum!D:D,IF(ISNUMBER(B1051),TEXT(B1051,"0000"),B1051),Addendum!F:F,"X")&gt;0,2.5%,0)</f>
        <v>0</v>
      </c>
      <c r="K1051" s="31">
        <f>IF(COUNTIFS(Addendum!C:C,A1051,Addendum!D:D,IF(ISNUMBER(B1051),TEXT(B1051,"0000"),B1051),Addendum!G:G,"X")&gt;0,7%,0)</f>
        <v>0</v>
      </c>
      <c r="L1051" s="31">
        <f>IF(COUNTIFS(Addendum!C:C,A1051,Addendum!D:D,IF(ISNUMBER(B1051),TEXT(B1051,"0000"),B1051),Addendum!I:I,"X")&gt;0,10%,0)</f>
        <v>0</v>
      </c>
      <c r="M1051" s="34">
        <f t="shared" si="32"/>
        <v>0</v>
      </c>
      <c r="N1051" s="17">
        <f t="shared" si="33"/>
        <v>47925</v>
      </c>
    </row>
    <row r="1052" spans="1:14" x14ac:dyDescent="0.25">
      <c r="A1052" s="14" t="s">
        <v>2092</v>
      </c>
      <c r="B1052" s="14" t="s">
        <v>875</v>
      </c>
      <c r="C1052" s="15" t="s">
        <v>2100</v>
      </c>
      <c r="D1052" s="14" t="s">
        <v>1745</v>
      </c>
      <c r="E1052" s="14" t="s">
        <v>1746</v>
      </c>
      <c r="F1052" s="17" t="s">
        <v>2995</v>
      </c>
      <c r="G1052" s="14">
        <v>41958</v>
      </c>
      <c r="H1052" s="14">
        <v>37762.199999999997</v>
      </c>
      <c r="I1052" s="31">
        <f>IF(COUNTIFS(Addendum!C:C,A1052,Addendum!D:D,IF(ISNUMBER(B1052),TEXT(B1052,"0000"),B1052),Addendum!E:E,"X")&gt;0,4%,0)</f>
        <v>0</v>
      </c>
      <c r="J1052" s="31">
        <f>IF(COUNTIFS(Addendum!C:C,A1052,Addendum!D:D,IF(ISNUMBER(B1052),TEXT(B1052,"0000"),B1052),Addendum!F:F,"X")&gt;0,2.5%,0)</f>
        <v>0</v>
      </c>
      <c r="K1052" s="31">
        <f>IF(COUNTIFS(Addendum!C:C,A1052,Addendum!D:D,IF(ISNUMBER(B1052),TEXT(B1052,"0000"),B1052),Addendum!G:G,"X")&gt;0,7%,0)</f>
        <v>0</v>
      </c>
      <c r="L1052" s="31">
        <f>IF(COUNTIFS(Addendum!C:C,A1052,Addendum!D:D,IF(ISNUMBER(B1052),TEXT(B1052,"0000"),B1052),Addendum!I:I,"X")&gt;0,10%,0)</f>
        <v>0</v>
      </c>
      <c r="M1052" s="34">
        <f t="shared" si="32"/>
        <v>0</v>
      </c>
      <c r="N1052" s="17">
        <f t="shared" si="33"/>
        <v>37762.199999999997</v>
      </c>
    </row>
    <row r="1053" spans="1:14" x14ac:dyDescent="0.25">
      <c r="A1053" s="14" t="s">
        <v>2092</v>
      </c>
      <c r="B1053" s="14">
        <v>21</v>
      </c>
      <c r="C1053" s="15" t="s">
        <v>2097</v>
      </c>
      <c r="D1053" s="14" t="s">
        <v>1745</v>
      </c>
      <c r="E1053" s="14" t="s">
        <v>1747</v>
      </c>
      <c r="F1053" s="17" t="s">
        <v>2994</v>
      </c>
      <c r="G1053" s="14">
        <v>119820</v>
      </c>
      <c r="H1053" s="14">
        <v>89865</v>
      </c>
      <c r="I1053" s="31">
        <f>IF(COUNTIFS(Addendum!C:C,A1053,Addendum!D:D,IF(ISNUMBER(B1053),TEXT(B1053,"0000"),B1053),Addendum!E:E,"X")&gt;0,4%,0)</f>
        <v>0</v>
      </c>
      <c r="J1053" s="31">
        <f>IF(COUNTIFS(Addendum!C:C,A1053,Addendum!D:D,IF(ISNUMBER(B1053),TEXT(B1053,"0000"),B1053),Addendum!F:F,"X")&gt;0,2.5%,0)</f>
        <v>0</v>
      </c>
      <c r="K1053" s="31">
        <f>IF(COUNTIFS(Addendum!C:C,A1053,Addendum!D:D,IF(ISNUMBER(B1053),TEXT(B1053,"0000"),B1053),Addendum!G:G,"X")&gt;0,7%,0)</f>
        <v>0</v>
      </c>
      <c r="L1053" s="31">
        <f>IF(COUNTIFS(Addendum!C:C,A1053,Addendum!D:D,IF(ISNUMBER(B1053),TEXT(B1053,"0000"),B1053),Addendum!I:I,"X")&gt;0,10%,0)</f>
        <v>0</v>
      </c>
      <c r="M1053" s="34">
        <f t="shared" si="32"/>
        <v>0</v>
      </c>
      <c r="N1053" s="17">
        <f t="shared" si="33"/>
        <v>89865</v>
      </c>
    </row>
    <row r="1054" spans="1:14" x14ac:dyDescent="0.25">
      <c r="A1054" s="14" t="s">
        <v>2092</v>
      </c>
      <c r="B1054" s="14">
        <v>6</v>
      </c>
      <c r="C1054" s="15" t="s">
        <v>2099</v>
      </c>
      <c r="D1054" s="14" t="s">
        <v>1752</v>
      </c>
      <c r="E1054" s="14" t="s">
        <v>1753</v>
      </c>
      <c r="F1054" s="17" t="s">
        <v>2993</v>
      </c>
      <c r="G1054" s="14">
        <v>479160</v>
      </c>
      <c r="H1054" s="14">
        <v>359370</v>
      </c>
      <c r="I1054" s="31">
        <f>IF(COUNTIFS(Addendum!C:C,A1054,Addendum!D:D,IF(ISNUMBER(B1054),TEXT(B1054,"0000"),B1054),Addendum!E:E,"X")&gt;0,4%,0)</f>
        <v>0</v>
      </c>
      <c r="J1054" s="31">
        <f>IF(COUNTIFS(Addendum!C:C,A1054,Addendum!D:D,IF(ISNUMBER(B1054),TEXT(B1054,"0000"),B1054),Addendum!F:F,"X")&gt;0,2.5%,0)</f>
        <v>0</v>
      </c>
      <c r="K1054" s="31">
        <f>IF(COUNTIFS(Addendum!C:C,A1054,Addendum!D:D,IF(ISNUMBER(B1054),TEXT(B1054,"0000"),B1054),Addendum!G:G,"X")&gt;0,7%,0)</f>
        <v>0</v>
      </c>
      <c r="L1054" s="31">
        <f>IF(COUNTIFS(Addendum!C:C,A1054,Addendum!D:D,IF(ISNUMBER(B1054),TEXT(B1054,"0000"),B1054),Addendum!I:I,"X")&gt;0,10%,0)</f>
        <v>0</v>
      </c>
      <c r="M1054" s="34">
        <f t="shared" si="32"/>
        <v>0</v>
      </c>
      <c r="N1054" s="17">
        <f t="shared" si="33"/>
        <v>359370</v>
      </c>
    </row>
    <row r="1055" spans="1:14" ht="30" x14ac:dyDescent="0.25">
      <c r="A1055" s="14" t="s">
        <v>2092</v>
      </c>
      <c r="B1055" s="14">
        <v>3</v>
      </c>
      <c r="C1055" s="15" t="s">
        <v>2095</v>
      </c>
      <c r="D1055" s="14" t="s">
        <v>1752</v>
      </c>
      <c r="E1055" s="14" t="s">
        <v>1747</v>
      </c>
      <c r="F1055" s="17" t="s">
        <v>2993</v>
      </c>
      <c r="G1055" s="14">
        <v>59940</v>
      </c>
      <c r="H1055" s="14">
        <v>44955</v>
      </c>
      <c r="I1055" s="31">
        <f>IF(COUNTIFS(Addendum!C:C,A1055,Addendum!D:D,IF(ISNUMBER(B1055),TEXT(B1055,"0000"),B1055),Addendum!E:E,"X")&gt;0,4%,0)</f>
        <v>0</v>
      </c>
      <c r="J1055" s="31">
        <f>IF(COUNTIFS(Addendum!C:C,A1055,Addendum!D:D,IF(ISNUMBER(B1055),TEXT(B1055,"0000"),B1055),Addendum!F:F,"X")&gt;0,2.5%,0)</f>
        <v>0</v>
      </c>
      <c r="K1055" s="31">
        <f>IF(COUNTIFS(Addendum!C:C,A1055,Addendum!D:D,IF(ISNUMBER(B1055),TEXT(B1055,"0000"),B1055),Addendum!G:G,"X")&gt;0,7%,0)</f>
        <v>0</v>
      </c>
      <c r="L1055" s="31">
        <f>IF(COUNTIFS(Addendum!C:C,A1055,Addendum!D:D,IF(ISNUMBER(B1055),TEXT(B1055,"0000"),B1055),Addendum!I:I,"X")&gt;0,10%,0)</f>
        <v>0</v>
      </c>
      <c r="M1055" s="34">
        <f t="shared" si="32"/>
        <v>0</v>
      </c>
      <c r="N1055" s="17">
        <f t="shared" si="33"/>
        <v>44955</v>
      </c>
    </row>
    <row r="1056" spans="1:14" x14ac:dyDescent="0.25">
      <c r="A1056" s="14" t="s">
        <v>2092</v>
      </c>
      <c r="B1056" s="14">
        <v>22</v>
      </c>
      <c r="C1056" s="15" t="s">
        <v>2101</v>
      </c>
      <c r="D1056" s="14" t="s">
        <v>1745</v>
      </c>
      <c r="E1056" s="14" t="s">
        <v>1746</v>
      </c>
      <c r="F1056" s="17" t="s">
        <v>2995</v>
      </c>
      <c r="G1056" s="14">
        <v>335412</v>
      </c>
      <c r="H1056" s="14">
        <v>301870.8</v>
      </c>
      <c r="I1056" s="31">
        <f>IF(COUNTIFS(Addendum!C:C,A1056,Addendum!D:D,IF(ISNUMBER(B1056),TEXT(B1056,"0000"),B1056),Addendum!E:E,"X")&gt;0,4%,0)</f>
        <v>0</v>
      </c>
      <c r="J1056" s="31">
        <f>IF(COUNTIFS(Addendum!C:C,A1056,Addendum!D:D,IF(ISNUMBER(B1056),TEXT(B1056,"0000"),B1056),Addendum!F:F,"X")&gt;0,2.5%,0)</f>
        <v>0</v>
      </c>
      <c r="K1056" s="31">
        <f>IF(COUNTIFS(Addendum!C:C,A1056,Addendum!D:D,IF(ISNUMBER(B1056),TEXT(B1056,"0000"),B1056),Addendum!G:G,"X")&gt;0,7%,0)</f>
        <v>0</v>
      </c>
      <c r="L1056" s="31">
        <f>IF(COUNTIFS(Addendum!C:C,A1056,Addendum!D:D,IF(ISNUMBER(B1056),TEXT(B1056,"0000"),B1056),Addendum!I:I,"X")&gt;0,10%,0)</f>
        <v>0</v>
      </c>
      <c r="M1056" s="34">
        <f t="shared" si="32"/>
        <v>0</v>
      </c>
      <c r="N1056" s="17">
        <f t="shared" si="33"/>
        <v>301870.8</v>
      </c>
    </row>
    <row r="1057" spans="1:14" x14ac:dyDescent="0.25">
      <c r="A1057" s="14" t="s">
        <v>2092</v>
      </c>
      <c r="B1057" s="14" t="s">
        <v>258</v>
      </c>
      <c r="C1057" s="15" t="s">
        <v>2105</v>
      </c>
      <c r="D1057" s="14" t="s">
        <v>1749</v>
      </c>
      <c r="E1057" s="14" t="s">
        <v>1746</v>
      </c>
      <c r="F1057" s="17" t="s">
        <v>2995</v>
      </c>
      <c r="G1057" s="14">
        <v>2622</v>
      </c>
      <c r="H1057" s="14">
        <v>2359.8000000000002</v>
      </c>
      <c r="I1057" s="31">
        <f>IF(COUNTIFS(Addendum!C:C,A1057,Addendum!D:D,IF(ISNUMBER(B1057),TEXT(B1057,"0000"),B1057),Addendum!E:E,"X")&gt;0,4%,0)</f>
        <v>0</v>
      </c>
      <c r="J1057" s="31">
        <f>IF(COUNTIFS(Addendum!C:C,A1057,Addendum!D:D,IF(ISNUMBER(B1057),TEXT(B1057,"0000"),B1057),Addendum!F:F,"X")&gt;0,2.5%,0)</f>
        <v>0</v>
      </c>
      <c r="K1057" s="31">
        <f>IF(COUNTIFS(Addendum!C:C,A1057,Addendum!D:D,IF(ISNUMBER(B1057),TEXT(B1057,"0000"),B1057),Addendum!G:G,"X")&gt;0,7%,0)</f>
        <v>0</v>
      </c>
      <c r="L1057" s="31">
        <f>IF(COUNTIFS(Addendum!C:C,A1057,Addendum!D:D,IF(ISNUMBER(B1057),TEXT(B1057,"0000"),B1057),Addendum!I:I,"X")&gt;0,10%,0)</f>
        <v>0</v>
      </c>
      <c r="M1057" s="34">
        <f t="shared" si="32"/>
        <v>0</v>
      </c>
      <c r="N1057" s="17">
        <f t="shared" si="33"/>
        <v>2359.8000000000002</v>
      </c>
    </row>
    <row r="1058" spans="1:14" x14ac:dyDescent="0.25">
      <c r="A1058" s="14" t="s">
        <v>2092</v>
      </c>
      <c r="B1058" s="14">
        <v>22</v>
      </c>
      <c r="C1058" s="15" t="s">
        <v>2101</v>
      </c>
      <c r="D1058" s="14" t="s">
        <v>1749</v>
      </c>
      <c r="E1058" s="14" t="s">
        <v>1746</v>
      </c>
      <c r="F1058" s="17" t="s">
        <v>2995</v>
      </c>
      <c r="G1058" s="14">
        <v>31944</v>
      </c>
      <c r="H1058" s="14">
        <v>28749.599999999999</v>
      </c>
      <c r="I1058" s="31">
        <f>IF(COUNTIFS(Addendum!C:C,A1058,Addendum!D:D,IF(ISNUMBER(B1058),TEXT(B1058,"0000"),B1058),Addendum!E:E,"X")&gt;0,4%,0)</f>
        <v>0</v>
      </c>
      <c r="J1058" s="31">
        <f>IF(COUNTIFS(Addendum!C:C,A1058,Addendum!D:D,IF(ISNUMBER(B1058),TEXT(B1058,"0000"),B1058),Addendum!F:F,"X")&gt;0,2.5%,0)</f>
        <v>0</v>
      </c>
      <c r="K1058" s="31">
        <f>IF(COUNTIFS(Addendum!C:C,A1058,Addendum!D:D,IF(ISNUMBER(B1058),TEXT(B1058,"0000"),B1058),Addendum!G:G,"X")&gt;0,7%,0)</f>
        <v>0</v>
      </c>
      <c r="L1058" s="31">
        <f>IF(COUNTIFS(Addendum!C:C,A1058,Addendum!D:D,IF(ISNUMBER(B1058),TEXT(B1058,"0000"),B1058),Addendum!I:I,"X")&gt;0,10%,0)</f>
        <v>0</v>
      </c>
      <c r="M1058" s="34">
        <f t="shared" si="32"/>
        <v>0</v>
      </c>
      <c r="N1058" s="17">
        <f t="shared" si="33"/>
        <v>28749.599999999999</v>
      </c>
    </row>
    <row r="1059" spans="1:14" x14ac:dyDescent="0.25">
      <c r="A1059" s="14" t="s">
        <v>2092</v>
      </c>
      <c r="B1059" s="14">
        <v>7</v>
      </c>
      <c r="C1059" s="15" t="s">
        <v>2106</v>
      </c>
      <c r="D1059" s="14" t="s">
        <v>1745</v>
      </c>
      <c r="E1059" s="14" t="s">
        <v>1747</v>
      </c>
      <c r="F1059" s="17" t="s">
        <v>2993</v>
      </c>
      <c r="G1059" s="14">
        <v>798660</v>
      </c>
      <c r="H1059" s="14">
        <v>598995</v>
      </c>
      <c r="I1059" s="31">
        <f>IF(COUNTIFS(Addendum!C:C,A1059,Addendum!D:D,IF(ISNUMBER(B1059),TEXT(B1059,"0000"),B1059),Addendum!E:E,"X")&gt;0,4%,0)</f>
        <v>0</v>
      </c>
      <c r="J1059" s="31">
        <f>IF(COUNTIFS(Addendum!C:C,A1059,Addendum!D:D,IF(ISNUMBER(B1059),TEXT(B1059,"0000"),B1059),Addendum!F:F,"X")&gt;0,2.5%,0)</f>
        <v>0</v>
      </c>
      <c r="K1059" s="31">
        <f>IF(COUNTIFS(Addendum!C:C,A1059,Addendum!D:D,IF(ISNUMBER(B1059),TEXT(B1059,"0000"),B1059),Addendum!G:G,"X")&gt;0,7%,0)</f>
        <v>0</v>
      </c>
      <c r="L1059" s="31">
        <f>IF(COUNTIFS(Addendum!C:C,A1059,Addendum!D:D,IF(ISNUMBER(B1059),TEXT(B1059,"0000"),B1059),Addendum!I:I,"X")&gt;0,10%,0)</f>
        <v>0</v>
      </c>
      <c r="M1059" s="34">
        <f t="shared" si="32"/>
        <v>0</v>
      </c>
      <c r="N1059" s="17">
        <f t="shared" si="33"/>
        <v>598995</v>
      </c>
    </row>
    <row r="1060" spans="1:14" x14ac:dyDescent="0.25">
      <c r="A1060" s="14" t="s">
        <v>2092</v>
      </c>
      <c r="B1060" s="14">
        <v>1</v>
      </c>
      <c r="C1060" s="15" t="s">
        <v>2102</v>
      </c>
      <c r="D1060" s="14" t="s">
        <v>1752</v>
      </c>
      <c r="E1060" s="14" t="s">
        <v>1753</v>
      </c>
      <c r="F1060" s="17" t="s">
        <v>2993</v>
      </c>
      <c r="G1060" s="14">
        <v>314460</v>
      </c>
      <c r="H1060" s="14">
        <v>235845</v>
      </c>
      <c r="I1060" s="31">
        <f>IF(COUNTIFS(Addendum!C:C,A1060,Addendum!D:D,IF(ISNUMBER(B1060),TEXT(B1060,"0000"),B1060),Addendum!E:E,"X")&gt;0,4%,0)</f>
        <v>0</v>
      </c>
      <c r="J1060" s="31">
        <f>IF(COUNTIFS(Addendum!C:C,A1060,Addendum!D:D,IF(ISNUMBER(B1060),TEXT(B1060,"0000"),B1060),Addendum!F:F,"X")&gt;0,2.5%,0)</f>
        <v>0</v>
      </c>
      <c r="K1060" s="31">
        <f>IF(COUNTIFS(Addendum!C:C,A1060,Addendum!D:D,IF(ISNUMBER(B1060),TEXT(B1060,"0000"),B1060),Addendum!G:G,"X")&gt;0,7%,0)</f>
        <v>0</v>
      </c>
      <c r="L1060" s="31">
        <f>IF(COUNTIFS(Addendum!C:C,A1060,Addendum!D:D,IF(ISNUMBER(B1060),TEXT(B1060,"0000"),B1060),Addendum!I:I,"X")&gt;0,10%,0)</f>
        <v>0</v>
      </c>
      <c r="M1060" s="34">
        <f t="shared" si="32"/>
        <v>0</v>
      </c>
      <c r="N1060" s="17">
        <f t="shared" si="33"/>
        <v>235845</v>
      </c>
    </row>
    <row r="1061" spans="1:14" ht="30" x14ac:dyDescent="0.25">
      <c r="A1061" s="14" t="s">
        <v>2092</v>
      </c>
      <c r="B1061" s="14">
        <v>3</v>
      </c>
      <c r="C1061" s="15" t="s">
        <v>2095</v>
      </c>
      <c r="D1061" s="14" t="s">
        <v>1745</v>
      </c>
      <c r="E1061" s="14" t="s">
        <v>1746</v>
      </c>
      <c r="F1061" s="17" t="s">
        <v>2993</v>
      </c>
      <c r="G1061" s="14">
        <v>20979</v>
      </c>
      <c r="H1061" s="14">
        <v>15734.28</v>
      </c>
      <c r="I1061" s="31">
        <f>IF(COUNTIFS(Addendum!C:C,A1061,Addendum!D:D,IF(ISNUMBER(B1061),TEXT(B1061,"0000"),B1061),Addendum!E:E,"X")&gt;0,4%,0)</f>
        <v>0</v>
      </c>
      <c r="J1061" s="31">
        <f>IF(COUNTIFS(Addendum!C:C,A1061,Addendum!D:D,IF(ISNUMBER(B1061),TEXT(B1061,"0000"),B1061),Addendum!F:F,"X")&gt;0,2.5%,0)</f>
        <v>0</v>
      </c>
      <c r="K1061" s="31">
        <f>IF(COUNTIFS(Addendum!C:C,A1061,Addendum!D:D,IF(ISNUMBER(B1061),TEXT(B1061,"0000"),B1061),Addendum!G:G,"X")&gt;0,7%,0)</f>
        <v>0</v>
      </c>
      <c r="L1061" s="31">
        <f>IF(COUNTIFS(Addendum!C:C,A1061,Addendum!D:D,IF(ISNUMBER(B1061),TEXT(B1061,"0000"),B1061),Addendum!I:I,"X")&gt;0,10%,0)</f>
        <v>0</v>
      </c>
      <c r="M1061" s="34">
        <f t="shared" si="32"/>
        <v>0</v>
      </c>
      <c r="N1061" s="17">
        <f t="shared" si="33"/>
        <v>15734.28</v>
      </c>
    </row>
    <row r="1062" spans="1:14" x14ac:dyDescent="0.25">
      <c r="A1062" s="14" t="s">
        <v>2092</v>
      </c>
      <c r="B1062" s="14">
        <v>6</v>
      </c>
      <c r="C1062" s="15" t="s">
        <v>2099</v>
      </c>
      <c r="D1062" s="14" t="s">
        <v>1749</v>
      </c>
      <c r="E1062" s="14" t="s">
        <v>1746</v>
      </c>
      <c r="F1062" s="17" t="s">
        <v>2993</v>
      </c>
      <c r="G1062" s="14">
        <v>15972</v>
      </c>
      <c r="H1062" s="14">
        <v>11979</v>
      </c>
      <c r="I1062" s="31">
        <f>IF(COUNTIFS(Addendum!C:C,A1062,Addendum!D:D,IF(ISNUMBER(B1062),TEXT(B1062,"0000"),B1062),Addendum!E:E,"X")&gt;0,4%,0)</f>
        <v>0</v>
      </c>
      <c r="J1062" s="31">
        <f>IF(COUNTIFS(Addendum!C:C,A1062,Addendum!D:D,IF(ISNUMBER(B1062),TEXT(B1062,"0000"),B1062),Addendum!F:F,"X")&gt;0,2.5%,0)</f>
        <v>0</v>
      </c>
      <c r="K1062" s="31">
        <f>IF(COUNTIFS(Addendum!C:C,A1062,Addendum!D:D,IF(ISNUMBER(B1062),TEXT(B1062,"0000"),B1062),Addendum!G:G,"X")&gt;0,7%,0)</f>
        <v>0</v>
      </c>
      <c r="L1062" s="31">
        <f>IF(COUNTIFS(Addendum!C:C,A1062,Addendum!D:D,IF(ISNUMBER(B1062),TEXT(B1062,"0000"),B1062),Addendum!I:I,"X")&gt;0,10%,0)</f>
        <v>0</v>
      </c>
      <c r="M1062" s="34">
        <f t="shared" si="32"/>
        <v>0</v>
      </c>
      <c r="N1062" s="17">
        <f t="shared" si="33"/>
        <v>11979</v>
      </c>
    </row>
    <row r="1063" spans="1:14" x14ac:dyDescent="0.25">
      <c r="A1063" s="14" t="s">
        <v>2092</v>
      </c>
      <c r="B1063" s="14" t="s">
        <v>1274</v>
      </c>
      <c r="C1063" s="15" t="s">
        <v>2107</v>
      </c>
      <c r="D1063" s="14" t="s">
        <v>1745</v>
      </c>
      <c r="E1063" s="14" t="s">
        <v>1747</v>
      </c>
      <c r="F1063" s="17" t="s">
        <v>2994</v>
      </c>
      <c r="G1063" s="14">
        <v>87840</v>
      </c>
      <c r="H1063" s="14">
        <v>65880</v>
      </c>
      <c r="I1063" s="31">
        <f>IF(COUNTIFS(Addendum!C:C,A1063,Addendum!D:D,IF(ISNUMBER(B1063),TEXT(B1063,"0000"),B1063),Addendum!E:E,"X")&gt;0,4%,0)</f>
        <v>0</v>
      </c>
      <c r="J1063" s="31">
        <f>IF(COUNTIFS(Addendum!C:C,A1063,Addendum!D:D,IF(ISNUMBER(B1063),TEXT(B1063,"0000"),B1063),Addendum!F:F,"X")&gt;0,2.5%,0)</f>
        <v>0</v>
      </c>
      <c r="K1063" s="31">
        <f>IF(COUNTIFS(Addendum!C:C,A1063,Addendum!D:D,IF(ISNUMBER(B1063),TEXT(B1063,"0000"),B1063),Addendum!G:G,"X")&gt;0,7%,0)</f>
        <v>0</v>
      </c>
      <c r="L1063" s="31">
        <f>IF(COUNTIFS(Addendum!C:C,A1063,Addendum!D:D,IF(ISNUMBER(B1063),TEXT(B1063,"0000"),B1063),Addendum!I:I,"X")&gt;0,10%,0)</f>
        <v>0</v>
      </c>
      <c r="M1063" s="34">
        <f t="shared" si="32"/>
        <v>0</v>
      </c>
      <c r="N1063" s="17">
        <f t="shared" si="33"/>
        <v>65880</v>
      </c>
    </row>
    <row r="1064" spans="1:14" x14ac:dyDescent="0.25">
      <c r="A1064" s="14" t="s">
        <v>2092</v>
      </c>
      <c r="B1064" s="14" t="s">
        <v>325</v>
      </c>
      <c r="C1064" s="15" t="s">
        <v>2108</v>
      </c>
      <c r="D1064" s="14" t="s">
        <v>1745</v>
      </c>
      <c r="E1064" s="14" t="s">
        <v>1747</v>
      </c>
      <c r="F1064" s="17" t="s">
        <v>2994</v>
      </c>
      <c r="G1064" s="14">
        <v>41940</v>
      </c>
      <c r="H1064" s="14">
        <v>31455</v>
      </c>
      <c r="I1064" s="31">
        <f>IF(COUNTIFS(Addendum!C:C,A1064,Addendum!D:D,IF(ISNUMBER(B1064),TEXT(B1064,"0000"),B1064),Addendum!E:E,"X")&gt;0,4%,0)</f>
        <v>0</v>
      </c>
      <c r="J1064" s="31">
        <f>IF(COUNTIFS(Addendum!C:C,A1064,Addendum!D:D,IF(ISNUMBER(B1064),TEXT(B1064,"0000"),B1064),Addendum!F:F,"X")&gt;0,2.5%,0)</f>
        <v>0</v>
      </c>
      <c r="K1064" s="31">
        <f>IF(COUNTIFS(Addendum!C:C,A1064,Addendum!D:D,IF(ISNUMBER(B1064),TEXT(B1064,"0000"),B1064),Addendum!G:G,"X")&gt;0,7%,0)</f>
        <v>0</v>
      </c>
      <c r="L1064" s="31">
        <f>IF(COUNTIFS(Addendum!C:C,A1064,Addendum!D:D,IF(ISNUMBER(B1064),TEXT(B1064,"0000"),B1064),Addendum!I:I,"X")&gt;0,10%,0)</f>
        <v>0</v>
      </c>
      <c r="M1064" s="34">
        <f t="shared" si="32"/>
        <v>0</v>
      </c>
      <c r="N1064" s="17">
        <f t="shared" si="33"/>
        <v>31455</v>
      </c>
    </row>
    <row r="1065" spans="1:14" x14ac:dyDescent="0.25">
      <c r="A1065" s="14" t="s">
        <v>2092</v>
      </c>
      <c r="B1065" s="14" t="s">
        <v>307</v>
      </c>
      <c r="C1065" s="15" t="s">
        <v>2104</v>
      </c>
      <c r="D1065" s="14" t="s">
        <v>1745</v>
      </c>
      <c r="E1065" s="14" t="s">
        <v>1747</v>
      </c>
      <c r="F1065" s="17" t="s">
        <v>2994</v>
      </c>
      <c r="G1065" s="14">
        <v>57660</v>
      </c>
      <c r="H1065" s="14">
        <v>43245</v>
      </c>
      <c r="I1065" s="31">
        <f>IF(COUNTIFS(Addendum!C:C,A1065,Addendum!D:D,IF(ISNUMBER(B1065),TEXT(B1065,"0000"),B1065),Addendum!E:E,"X")&gt;0,4%,0)</f>
        <v>0</v>
      </c>
      <c r="J1065" s="31">
        <f>IF(COUNTIFS(Addendum!C:C,A1065,Addendum!D:D,IF(ISNUMBER(B1065),TEXT(B1065,"0000"),B1065),Addendum!F:F,"X")&gt;0,2.5%,0)</f>
        <v>0</v>
      </c>
      <c r="K1065" s="31">
        <f>IF(COUNTIFS(Addendum!C:C,A1065,Addendum!D:D,IF(ISNUMBER(B1065),TEXT(B1065,"0000"),B1065),Addendum!G:G,"X")&gt;0,7%,0)</f>
        <v>0</v>
      </c>
      <c r="L1065" s="31">
        <f>IF(COUNTIFS(Addendum!C:C,A1065,Addendum!D:D,IF(ISNUMBER(B1065),TEXT(B1065,"0000"),B1065),Addendum!I:I,"X")&gt;0,10%,0)</f>
        <v>0</v>
      </c>
      <c r="M1065" s="34">
        <f t="shared" si="32"/>
        <v>0</v>
      </c>
      <c r="N1065" s="17">
        <f t="shared" si="33"/>
        <v>43245</v>
      </c>
    </row>
    <row r="1066" spans="1:14" x14ac:dyDescent="0.25">
      <c r="A1066" s="14" t="s">
        <v>2092</v>
      </c>
      <c r="B1066" s="14">
        <v>6</v>
      </c>
      <c r="C1066" s="15" t="s">
        <v>2099</v>
      </c>
      <c r="D1066" s="14" t="s">
        <v>1745</v>
      </c>
      <c r="E1066" s="14" t="s">
        <v>1746</v>
      </c>
      <c r="F1066" s="17" t="s">
        <v>2993</v>
      </c>
      <c r="G1066" s="14">
        <v>167706</v>
      </c>
      <c r="H1066" s="14">
        <v>125779.6</v>
      </c>
      <c r="I1066" s="31">
        <f>IF(COUNTIFS(Addendum!C:C,A1066,Addendum!D:D,IF(ISNUMBER(B1066),TEXT(B1066,"0000"),B1066),Addendum!E:E,"X")&gt;0,4%,0)</f>
        <v>0</v>
      </c>
      <c r="J1066" s="31">
        <f>IF(COUNTIFS(Addendum!C:C,A1066,Addendum!D:D,IF(ISNUMBER(B1066),TEXT(B1066,"0000"),B1066),Addendum!F:F,"X")&gt;0,2.5%,0)</f>
        <v>0</v>
      </c>
      <c r="K1066" s="31">
        <f>IF(COUNTIFS(Addendum!C:C,A1066,Addendum!D:D,IF(ISNUMBER(B1066),TEXT(B1066,"0000"),B1066),Addendum!G:G,"X")&gt;0,7%,0)</f>
        <v>0</v>
      </c>
      <c r="L1066" s="31">
        <f>IF(COUNTIFS(Addendum!C:C,A1066,Addendum!D:D,IF(ISNUMBER(B1066),TEXT(B1066,"0000"),B1066),Addendum!I:I,"X")&gt;0,10%,0)</f>
        <v>0</v>
      </c>
      <c r="M1066" s="34">
        <f t="shared" si="32"/>
        <v>0</v>
      </c>
      <c r="N1066" s="17">
        <f t="shared" si="33"/>
        <v>125779.6</v>
      </c>
    </row>
    <row r="1067" spans="1:14" ht="30" x14ac:dyDescent="0.25">
      <c r="A1067" s="14" t="s">
        <v>2092</v>
      </c>
      <c r="B1067" s="14">
        <v>3</v>
      </c>
      <c r="C1067" s="15" t="s">
        <v>2095</v>
      </c>
      <c r="D1067" s="14" t="s">
        <v>1752</v>
      </c>
      <c r="E1067" s="14" t="s">
        <v>1753</v>
      </c>
      <c r="F1067" s="17" t="s">
        <v>2993</v>
      </c>
      <c r="G1067" s="14">
        <v>59940</v>
      </c>
      <c r="H1067" s="14">
        <v>44955</v>
      </c>
      <c r="I1067" s="31">
        <f>IF(COUNTIFS(Addendum!C:C,A1067,Addendum!D:D,IF(ISNUMBER(B1067),TEXT(B1067,"0000"),B1067),Addendum!E:E,"X")&gt;0,4%,0)</f>
        <v>0</v>
      </c>
      <c r="J1067" s="31">
        <f>IF(COUNTIFS(Addendum!C:C,A1067,Addendum!D:D,IF(ISNUMBER(B1067),TEXT(B1067,"0000"),B1067),Addendum!F:F,"X")&gt;0,2.5%,0)</f>
        <v>0</v>
      </c>
      <c r="K1067" s="31">
        <f>IF(COUNTIFS(Addendum!C:C,A1067,Addendum!D:D,IF(ISNUMBER(B1067),TEXT(B1067,"0000"),B1067),Addendum!G:G,"X")&gt;0,7%,0)</f>
        <v>0</v>
      </c>
      <c r="L1067" s="31">
        <f>IF(COUNTIFS(Addendum!C:C,A1067,Addendum!D:D,IF(ISNUMBER(B1067),TEXT(B1067,"0000"),B1067),Addendum!I:I,"X")&gt;0,10%,0)</f>
        <v>0</v>
      </c>
      <c r="M1067" s="34">
        <f t="shared" si="32"/>
        <v>0</v>
      </c>
      <c r="N1067" s="17">
        <f t="shared" si="33"/>
        <v>44955</v>
      </c>
    </row>
    <row r="1068" spans="1:14" x14ac:dyDescent="0.25">
      <c r="A1068" s="14" t="s">
        <v>2092</v>
      </c>
      <c r="B1068" s="14">
        <v>7</v>
      </c>
      <c r="C1068" s="15" t="s">
        <v>2106</v>
      </c>
      <c r="D1068" s="14" t="s">
        <v>1745</v>
      </c>
      <c r="E1068" s="14" t="s">
        <v>1746</v>
      </c>
      <c r="F1068" s="17" t="s">
        <v>2993</v>
      </c>
      <c r="G1068" s="14">
        <v>838593</v>
      </c>
      <c r="H1068" s="14">
        <v>628944.69999999995</v>
      </c>
      <c r="I1068" s="31">
        <f>IF(COUNTIFS(Addendum!C:C,A1068,Addendum!D:D,IF(ISNUMBER(B1068),TEXT(B1068,"0000"),B1068),Addendum!E:E,"X")&gt;0,4%,0)</f>
        <v>0</v>
      </c>
      <c r="J1068" s="31">
        <f>IF(COUNTIFS(Addendum!C:C,A1068,Addendum!D:D,IF(ISNUMBER(B1068),TEXT(B1068,"0000"),B1068),Addendum!F:F,"X")&gt;0,2.5%,0)</f>
        <v>0</v>
      </c>
      <c r="K1068" s="31">
        <f>IF(COUNTIFS(Addendum!C:C,A1068,Addendum!D:D,IF(ISNUMBER(B1068),TEXT(B1068,"0000"),B1068),Addendum!G:G,"X")&gt;0,7%,0)</f>
        <v>0</v>
      </c>
      <c r="L1068" s="31">
        <f>IF(COUNTIFS(Addendum!C:C,A1068,Addendum!D:D,IF(ISNUMBER(B1068),TEXT(B1068,"0000"),B1068),Addendum!I:I,"X")&gt;0,10%,0)</f>
        <v>0</v>
      </c>
      <c r="M1068" s="34">
        <f t="shared" si="32"/>
        <v>0</v>
      </c>
      <c r="N1068" s="17">
        <f t="shared" si="33"/>
        <v>628944.69999999995</v>
      </c>
    </row>
    <row r="1069" spans="1:14" x14ac:dyDescent="0.25">
      <c r="A1069" s="14" t="s">
        <v>2092</v>
      </c>
      <c r="B1069" s="14" t="s">
        <v>307</v>
      </c>
      <c r="C1069" s="15" t="s">
        <v>2104</v>
      </c>
      <c r="D1069" s="14" t="s">
        <v>1745</v>
      </c>
      <c r="E1069" s="14" t="s">
        <v>1746</v>
      </c>
      <c r="F1069" s="17" t="s">
        <v>2994</v>
      </c>
      <c r="G1069" s="14">
        <v>60543</v>
      </c>
      <c r="H1069" s="14">
        <v>45407.28</v>
      </c>
      <c r="I1069" s="31">
        <f>IF(COUNTIFS(Addendum!C:C,A1069,Addendum!D:D,IF(ISNUMBER(B1069),TEXT(B1069,"0000"),B1069),Addendum!E:E,"X")&gt;0,4%,0)</f>
        <v>0</v>
      </c>
      <c r="J1069" s="31">
        <f>IF(COUNTIFS(Addendum!C:C,A1069,Addendum!D:D,IF(ISNUMBER(B1069),TEXT(B1069,"0000"),B1069),Addendum!F:F,"X")&gt;0,2.5%,0)</f>
        <v>0</v>
      </c>
      <c r="K1069" s="31">
        <f>IF(COUNTIFS(Addendum!C:C,A1069,Addendum!D:D,IF(ISNUMBER(B1069),TEXT(B1069,"0000"),B1069),Addendum!G:G,"X")&gt;0,7%,0)</f>
        <v>0</v>
      </c>
      <c r="L1069" s="31">
        <f>IF(COUNTIFS(Addendum!C:C,A1069,Addendum!D:D,IF(ISNUMBER(B1069),TEXT(B1069,"0000"),B1069),Addendum!I:I,"X")&gt;0,10%,0)</f>
        <v>0</v>
      </c>
      <c r="M1069" s="34">
        <f t="shared" si="32"/>
        <v>0</v>
      </c>
      <c r="N1069" s="17">
        <f t="shared" si="33"/>
        <v>45407.28</v>
      </c>
    </row>
    <row r="1070" spans="1:14" ht="30" x14ac:dyDescent="0.25">
      <c r="A1070" s="14" t="s">
        <v>2092</v>
      </c>
      <c r="B1070" s="14" t="s">
        <v>97</v>
      </c>
      <c r="C1070" s="15" t="s">
        <v>2093</v>
      </c>
      <c r="D1070" s="14" t="s">
        <v>1749</v>
      </c>
      <c r="E1070" s="14" t="s">
        <v>1746</v>
      </c>
      <c r="F1070" s="17" t="s">
        <v>2994</v>
      </c>
      <c r="G1070" s="14">
        <v>798</v>
      </c>
      <c r="H1070" s="14">
        <v>598.5</v>
      </c>
      <c r="I1070" s="31">
        <f>IF(COUNTIFS(Addendum!C:C,A1070,Addendum!D:D,IF(ISNUMBER(B1070),TEXT(B1070,"0000"),B1070),Addendum!E:E,"X")&gt;0,4%,0)</f>
        <v>0</v>
      </c>
      <c r="J1070" s="31">
        <f>IF(COUNTIFS(Addendum!C:C,A1070,Addendum!D:D,IF(ISNUMBER(B1070),TEXT(B1070,"0000"),B1070),Addendum!F:F,"X")&gt;0,2.5%,0)</f>
        <v>0</v>
      </c>
      <c r="K1070" s="31">
        <f>IF(COUNTIFS(Addendum!C:C,A1070,Addendum!D:D,IF(ISNUMBER(B1070),TEXT(B1070,"0000"),B1070),Addendum!G:G,"X")&gt;0,7%,0)</f>
        <v>0</v>
      </c>
      <c r="L1070" s="31">
        <f>IF(COUNTIFS(Addendum!C:C,A1070,Addendum!D:D,IF(ISNUMBER(B1070),TEXT(B1070,"0000"),B1070),Addendum!I:I,"X")&gt;0,10%,0)</f>
        <v>0</v>
      </c>
      <c r="M1070" s="34">
        <f t="shared" si="32"/>
        <v>0</v>
      </c>
      <c r="N1070" s="17">
        <f t="shared" si="33"/>
        <v>598.5</v>
      </c>
    </row>
    <row r="1071" spans="1:14" x14ac:dyDescent="0.25">
      <c r="A1071" s="14" t="s">
        <v>2092</v>
      </c>
      <c r="B1071" s="14" t="s">
        <v>1274</v>
      </c>
      <c r="C1071" s="15" t="s">
        <v>2107</v>
      </c>
      <c r="D1071" s="14" t="s">
        <v>1745</v>
      </c>
      <c r="E1071" s="14" t="s">
        <v>1746</v>
      </c>
      <c r="F1071" s="17" t="s">
        <v>2994</v>
      </c>
      <c r="G1071" s="14">
        <v>92232</v>
      </c>
      <c r="H1071" s="14">
        <v>69174</v>
      </c>
      <c r="I1071" s="31">
        <f>IF(COUNTIFS(Addendum!C:C,A1071,Addendum!D:D,IF(ISNUMBER(B1071),TEXT(B1071,"0000"),B1071),Addendum!E:E,"X")&gt;0,4%,0)</f>
        <v>0</v>
      </c>
      <c r="J1071" s="31">
        <f>IF(COUNTIFS(Addendum!C:C,A1071,Addendum!D:D,IF(ISNUMBER(B1071),TEXT(B1071,"0000"),B1071),Addendum!F:F,"X")&gt;0,2.5%,0)</f>
        <v>0</v>
      </c>
      <c r="K1071" s="31">
        <f>IF(COUNTIFS(Addendum!C:C,A1071,Addendum!D:D,IF(ISNUMBER(B1071),TEXT(B1071,"0000"),B1071),Addendum!G:G,"X")&gt;0,7%,0)</f>
        <v>0</v>
      </c>
      <c r="L1071" s="31">
        <f>IF(COUNTIFS(Addendum!C:C,A1071,Addendum!D:D,IF(ISNUMBER(B1071),TEXT(B1071,"0000"),B1071),Addendum!I:I,"X")&gt;0,10%,0)</f>
        <v>0</v>
      </c>
      <c r="M1071" s="34">
        <f t="shared" si="32"/>
        <v>0</v>
      </c>
      <c r="N1071" s="17">
        <f t="shared" si="33"/>
        <v>69174</v>
      </c>
    </row>
    <row r="1072" spans="1:14" x14ac:dyDescent="0.25">
      <c r="A1072" s="14" t="s">
        <v>2092</v>
      </c>
      <c r="B1072" s="14">
        <v>1</v>
      </c>
      <c r="C1072" s="15" t="s">
        <v>2102</v>
      </c>
      <c r="D1072" s="14" t="s">
        <v>1745</v>
      </c>
      <c r="E1072" s="14" t="s">
        <v>1746</v>
      </c>
      <c r="F1072" s="17" t="s">
        <v>2993</v>
      </c>
      <c r="G1072" s="14">
        <v>110061</v>
      </c>
      <c r="H1072" s="14">
        <v>82545.72</v>
      </c>
      <c r="I1072" s="31">
        <f>IF(COUNTIFS(Addendum!C:C,A1072,Addendum!D:D,IF(ISNUMBER(B1072),TEXT(B1072,"0000"),B1072),Addendum!E:E,"X")&gt;0,4%,0)</f>
        <v>0</v>
      </c>
      <c r="J1072" s="31">
        <f>IF(COUNTIFS(Addendum!C:C,A1072,Addendum!D:D,IF(ISNUMBER(B1072),TEXT(B1072,"0000"),B1072),Addendum!F:F,"X")&gt;0,2.5%,0)</f>
        <v>0</v>
      </c>
      <c r="K1072" s="31">
        <f>IF(COUNTIFS(Addendum!C:C,A1072,Addendum!D:D,IF(ISNUMBER(B1072),TEXT(B1072,"0000"),B1072),Addendum!G:G,"X")&gt;0,7%,0)</f>
        <v>0</v>
      </c>
      <c r="L1072" s="31">
        <f>IF(COUNTIFS(Addendum!C:C,A1072,Addendum!D:D,IF(ISNUMBER(B1072),TEXT(B1072,"0000"),B1072),Addendum!I:I,"X")&gt;0,10%,0)</f>
        <v>0</v>
      </c>
      <c r="M1072" s="34">
        <f t="shared" si="32"/>
        <v>0</v>
      </c>
      <c r="N1072" s="17">
        <f t="shared" si="33"/>
        <v>82545.72</v>
      </c>
    </row>
    <row r="1073" spans="1:14" x14ac:dyDescent="0.25">
      <c r="A1073" s="14" t="s">
        <v>2092</v>
      </c>
      <c r="B1073" s="14" t="s">
        <v>258</v>
      </c>
      <c r="C1073" s="15" t="s">
        <v>2105</v>
      </c>
      <c r="D1073" s="14" t="s">
        <v>1745</v>
      </c>
      <c r="E1073" s="14" t="s">
        <v>1746</v>
      </c>
      <c r="F1073" s="17" t="s">
        <v>2995</v>
      </c>
      <c r="G1073" s="14">
        <v>27531</v>
      </c>
      <c r="H1073" s="14">
        <v>24777.96</v>
      </c>
      <c r="I1073" s="31">
        <f>IF(COUNTIFS(Addendum!C:C,A1073,Addendum!D:D,IF(ISNUMBER(B1073),TEXT(B1073,"0000"),B1073),Addendum!E:E,"X")&gt;0,4%,0)</f>
        <v>0</v>
      </c>
      <c r="J1073" s="31">
        <f>IF(COUNTIFS(Addendum!C:C,A1073,Addendum!D:D,IF(ISNUMBER(B1073),TEXT(B1073,"0000"),B1073),Addendum!F:F,"X")&gt;0,2.5%,0)</f>
        <v>0</v>
      </c>
      <c r="K1073" s="31">
        <f>IF(COUNTIFS(Addendum!C:C,A1073,Addendum!D:D,IF(ISNUMBER(B1073),TEXT(B1073,"0000"),B1073),Addendum!G:G,"X")&gt;0,7%,0)</f>
        <v>0</v>
      </c>
      <c r="L1073" s="31">
        <f>IF(COUNTIFS(Addendum!C:C,A1073,Addendum!D:D,IF(ISNUMBER(B1073),TEXT(B1073,"0000"),B1073),Addendum!I:I,"X")&gt;0,10%,0)</f>
        <v>0</v>
      </c>
      <c r="M1073" s="34">
        <f t="shared" si="32"/>
        <v>0</v>
      </c>
      <c r="N1073" s="17">
        <f t="shared" si="33"/>
        <v>24777.96</v>
      </c>
    </row>
    <row r="1074" spans="1:14" x14ac:dyDescent="0.25">
      <c r="A1074" s="14" t="s">
        <v>2092</v>
      </c>
      <c r="B1074" s="14">
        <v>1</v>
      </c>
      <c r="C1074" s="15" t="s">
        <v>2102</v>
      </c>
      <c r="D1074" s="14" t="s">
        <v>1752</v>
      </c>
      <c r="E1074" s="14" t="s">
        <v>1746</v>
      </c>
      <c r="F1074" s="17" t="s">
        <v>2993</v>
      </c>
      <c r="G1074" s="14">
        <v>330183</v>
      </c>
      <c r="H1074" s="14">
        <v>247637.2</v>
      </c>
      <c r="I1074" s="31">
        <f>IF(COUNTIFS(Addendum!C:C,A1074,Addendum!D:D,IF(ISNUMBER(B1074),TEXT(B1074,"0000"),B1074),Addendum!E:E,"X")&gt;0,4%,0)</f>
        <v>0</v>
      </c>
      <c r="J1074" s="31">
        <f>IF(COUNTIFS(Addendum!C:C,A1074,Addendum!D:D,IF(ISNUMBER(B1074),TEXT(B1074,"0000"),B1074),Addendum!F:F,"X")&gt;0,2.5%,0)</f>
        <v>0</v>
      </c>
      <c r="K1074" s="31">
        <f>IF(COUNTIFS(Addendum!C:C,A1074,Addendum!D:D,IF(ISNUMBER(B1074),TEXT(B1074,"0000"),B1074),Addendum!G:G,"X")&gt;0,7%,0)</f>
        <v>0</v>
      </c>
      <c r="L1074" s="31">
        <f>IF(COUNTIFS(Addendum!C:C,A1074,Addendum!D:D,IF(ISNUMBER(B1074),TEXT(B1074,"0000"),B1074),Addendum!I:I,"X")&gt;0,10%,0)</f>
        <v>0</v>
      </c>
      <c r="M1074" s="34">
        <f t="shared" si="32"/>
        <v>0</v>
      </c>
      <c r="N1074" s="17">
        <f t="shared" si="33"/>
        <v>247637.2</v>
      </c>
    </row>
    <row r="1075" spans="1:14" ht="30" x14ac:dyDescent="0.25">
      <c r="A1075" s="14" t="s">
        <v>2092</v>
      </c>
      <c r="B1075" s="14" t="s">
        <v>297</v>
      </c>
      <c r="C1075" s="15" t="s">
        <v>2098</v>
      </c>
      <c r="D1075" s="14" t="s">
        <v>1745</v>
      </c>
      <c r="E1075" s="14" t="s">
        <v>1747</v>
      </c>
      <c r="F1075" s="17" t="s">
        <v>2995</v>
      </c>
      <c r="G1075" s="14">
        <v>4980</v>
      </c>
      <c r="H1075" s="14">
        <v>4482</v>
      </c>
      <c r="I1075" s="31">
        <f>IF(COUNTIFS(Addendum!C:C,A1075,Addendum!D:D,IF(ISNUMBER(B1075),TEXT(B1075,"0000"),B1075),Addendum!E:E,"X")&gt;0,4%,0)</f>
        <v>0</v>
      </c>
      <c r="J1075" s="31">
        <f>IF(COUNTIFS(Addendum!C:C,A1075,Addendum!D:D,IF(ISNUMBER(B1075),TEXT(B1075,"0000"),B1075),Addendum!F:F,"X")&gt;0,2.5%,0)</f>
        <v>0</v>
      </c>
      <c r="K1075" s="31">
        <f>IF(COUNTIFS(Addendum!C:C,A1075,Addendum!D:D,IF(ISNUMBER(B1075),TEXT(B1075,"0000"),B1075),Addendum!G:G,"X")&gt;0,7%,0)</f>
        <v>0</v>
      </c>
      <c r="L1075" s="31">
        <f>IF(COUNTIFS(Addendum!C:C,A1075,Addendum!D:D,IF(ISNUMBER(B1075),TEXT(B1075,"0000"),B1075),Addendum!I:I,"X")&gt;0,10%,0)</f>
        <v>0</v>
      </c>
      <c r="M1075" s="34">
        <f t="shared" si="32"/>
        <v>0</v>
      </c>
      <c r="N1075" s="17">
        <f t="shared" si="33"/>
        <v>4482</v>
      </c>
    </row>
    <row r="1076" spans="1:14" x14ac:dyDescent="0.25">
      <c r="A1076" s="14" t="s">
        <v>2092</v>
      </c>
      <c r="B1076" s="14">
        <v>7</v>
      </c>
      <c r="C1076" s="15" t="s">
        <v>2106</v>
      </c>
      <c r="D1076" s="14" t="s">
        <v>1749</v>
      </c>
      <c r="E1076" s="14" t="s">
        <v>1746</v>
      </c>
      <c r="F1076" s="17" t="s">
        <v>2993</v>
      </c>
      <c r="G1076" s="14">
        <v>79866</v>
      </c>
      <c r="H1076" s="14">
        <v>59899.5</v>
      </c>
      <c r="I1076" s="31">
        <f>IF(COUNTIFS(Addendum!C:C,A1076,Addendum!D:D,IF(ISNUMBER(B1076),TEXT(B1076,"0000"),B1076),Addendum!E:E,"X")&gt;0,4%,0)</f>
        <v>0</v>
      </c>
      <c r="J1076" s="31">
        <f>IF(COUNTIFS(Addendum!C:C,A1076,Addendum!D:D,IF(ISNUMBER(B1076),TEXT(B1076,"0000"),B1076),Addendum!F:F,"X")&gt;0,2.5%,0)</f>
        <v>0</v>
      </c>
      <c r="K1076" s="31">
        <f>IF(COUNTIFS(Addendum!C:C,A1076,Addendum!D:D,IF(ISNUMBER(B1076),TEXT(B1076,"0000"),B1076),Addendum!G:G,"X")&gt;0,7%,0)</f>
        <v>0</v>
      </c>
      <c r="L1076" s="31">
        <f>IF(COUNTIFS(Addendum!C:C,A1076,Addendum!D:D,IF(ISNUMBER(B1076),TEXT(B1076,"0000"),B1076),Addendum!I:I,"X")&gt;0,10%,0)</f>
        <v>0</v>
      </c>
      <c r="M1076" s="34">
        <f t="shared" si="32"/>
        <v>0</v>
      </c>
      <c r="N1076" s="17">
        <f t="shared" si="33"/>
        <v>59899.5</v>
      </c>
    </row>
    <row r="1077" spans="1:14" x14ac:dyDescent="0.25">
      <c r="A1077" s="14" t="s">
        <v>2092</v>
      </c>
      <c r="B1077" s="14" t="s">
        <v>325</v>
      </c>
      <c r="C1077" s="15" t="s">
        <v>2108</v>
      </c>
      <c r="D1077" s="14" t="s">
        <v>1745</v>
      </c>
      <c r="E1077" s="14" t="s">
        <v>1746</v>
      </c>
      <c r="F1077" s="17" t="s">
        <v>2994</v>
      </c>
      <c r="G1077" s="14">
        <v>44037</v>
      </c>
      <c r="H1077" s="14">
        <v>33027.72</v>
      </c>
      <c r="I1077" s="31">
        <f>IF(COUNTIFS(Addendum!C:C,A1077,Addendum!D:D,IF(ISNUMBER(B1077),TEXT(B1077,"0000"),B1077),Addendum!E:E,"X")&gt;0,4%,0)</f>
        <v>0</v>
      </c>
      <c r="J1077" s="31">
        <f>IF(COUNTIFS(Addendum!C:C,A1077,Addendum!D:D,IF(ISNUMBER(B1077),TEXT(B1077,"0000"),B1077),Addendum!F:F,"X")&gt;0,2.5%,0)</f>
        <v>0</v>
      </c>
      <c r="K1077" s="31">
        <f>IF(COUNTIFS(Addendum!C:C,A1077,Addendum!D:D,IF(ISNUMBER(B1077),TEXT(B1077,"0000"),B1077),Addendum!G:G,"X")&gt;0,7%,0)</f>
        <v>0</v>
      </c>
      <c r="L1077" s="31">
        <f>IF(COUNTIFS(Addendum!C:C,A1077,Addendum!D:D,IF(ISNUMBER(B1077),TEXT(B1077,"0000"),B1077),Addendum!I:I,"X")&gt;0,10%,0)</f>
        <v>0</v>
      </c>
      <c r="M1077" s="34">
        <f t="shared" si="32"/>
        <v>0</v>
      </c>
      <c r="N1077" s="17">
        <f t="shared" si="33"/>
        <v>33027.72</v>
      </c>
    </row>
    <row r="1078" spans="1:14" x14ac:dyDescent="0.25">
      <c r="A1078" s="14" t="s">
        <v>2092</v>
      </c>
      <c r="B1078" s="14" t="s">
        <v>809</v>
      </c>
      <c r="C1078" s="15" t="s">
        <v>2103</v>
      </c>
      <c r="D1078" s="14" t="s">
        <v>1745</v>
      </c>
      <c r="E1078" s="14" t="s">
        <v>1746</v>
      </c>
      <c r="F1078" s="17" t="s">
        <v>2994</v>
      </c>
      <c r="G1078" s="14">
        <v>67095</v>
      </c>
      <c r="H1078" s="14">
        <v>50321.279999999999</v>
      </c>
      <c r="I1078" s="31">
        <f>IF(COUNTIFS(Addendum!C:C,A1078,Addendum!D:D,IF(ISNUMBER(B1078),TEXT(B1078,"0000"),B1078),Addendum!E:E,"X")&gt;0,4%,0)</f>
        <v>0</v>
      </c>
      <c r="J1078" s="31">
        <f>IF(COUNTIFS(Addendum!C:C,A1078,Addendum!D:D,IF(ISNUMBER(B1078),TEXT(B1078,"0000"),B1078),Addendum!F:F,"X")&gt;0,2.5%,0)</f>
        <v>0</v>
      </c>
      <c r="K1078" s="31">
        <f>IF(COUNTIFS(Addendum!C:C,A1078,Addendum!D:D,IF(ISNUMBER(B1078),TEXT(B1078,"0000"),B1078),Addendum!G:G,"X")&gt;0,7%,0)</f>
        <v>0</v>
      </c>
      <c r="L1078" s="31">
        <f>IF(COUNTIFS(Addendum!C:C,A1078,Addendum!D:D,IF(ISNUMBER(B1078),TEXT(B1078,"0000"),B1078),Addendum!I:I,"X")&gt;0,10%,0)</f>
        <v>0</v>
      </c>
      <c r="M1078" s="34">
        <f t="shared" si="32"/>
        <v>0</v>
      </c>
      <c r="N1078" s="17">
        <f t="shared" si="33"/>
        <v>50321.279999999999</v>
      </c>
    </row>
    <row r="1079" spans="1:14" x14ac:dyDescent="0.25">
      <c r="A1079" s="14" t="s">
        <v>2092</v>
      </c>
      <c r="B1079" s="14">
        <v>23</v>
      </c>
      <c r="C1079" s="15" t="s">
        <v>2094</v>
      </c>
      <c r="D1079" s="14" t="s">
        <v>1745</v>
      </c>
      <c r="E1079" s="14" t="s">
        <v>1746</v>
      </c>
      <c r="F1079" s="17" t="s">
        <v>2994</v>
      </c>
      <c r="G1079" s="14">
        <v>167706</v>
      </c>
      <c r="H1079" s="14">
        <v>125779.6</v>
      </c>
      <c r="I1079" s="31">
        <f>IF(COUNTIFS(Addendum!C:C,A1079,Addendum!D:D,IF(ISNUMBER(B1079),TEXT(B1079,"0000"),B1079),Addendum!E:E,"X")&gt;0,4%,0)</f>
        <v>0</v>
      </c>
      <c r="J1079" s="31">
        <f>IF(COUNTIFS(Addendum!C:C,A1079,Addendum!D:D,IF(ISNUMBER(B1079),TEXT(B1079,"0000"),B1079),Addendum!F:F,"X")&gt;0,2.5%,0)</f>
        <v>0</v>
      </c>
      <c r="K1079" s="31">
        <f>IF(COUNTIFS(Addendum!C:C,A1079,Addendum!D:D,IF(ISNUMBER(B1079),TEXT(B1079,"0000"),B1079),Addendum!G:G,"X")&gt;0,7%,0)</f>
        <v>0</v>
      </c>
      <c r="L1079" s="31">
        <f>IF(COUNTIFS(Addendum!C:C,A1079,Addendum!D:D,IF(ISNUMBER(B1079),TEXT(B1079,"0000"),B1079),Addendum!I:I,"X")&gt;0,10%,0)</f>
        <v>0</v>
      </c>
      <c r="M1079" s="34">
        <f t="shared" si="32"/>
        <v>0</v>
      </c>
      <c r="N1079" s="17">
        <f t="shared" si="33"/>
        <v>125779.6</v>
      </c>
    </row>
    <row r="1080" spans="1:14" x14ac:dyDescent="0.25">
      <c r="A1080" s="14" t="s">
        <v>2092</v>
      </c>
      <c r="B1080" s="14">
        <v>23</v>
      </c>
      <c r="C1080" s="15" t="s">
        <v>2094</v>
      </c>
      <c r="D1080" s="14" t="s">
        <v>1749</v>
      </c>
      <c r="E1080" s="14" t="s">
        <v>1746</v>
      </c>
      <c r="F1080" s="17" t="s">
        <v>2994</v>
      </c>
      <c r="G1080" s="14">
        <v>15972</v>
      </c>
      <c r="H1080" s="14">
        <v>11979</v>
      </c>
      <c r="I1080" s="31">
        <f>IF(COUNTIFS(Addendum!C:C,A1080,Addendum!D:D,IF(ISNUMBER(B1080),TEXT(B1080,"0000"),B1080),Addendum!E:E,"X")&gt;0,4%,0)</f>
        <v>0</v>
      </c>
      <c r="J1080" s="31">
        <f>IF(COUNTIFS(Addendum!C:C,A1080,Addendum!D:D,IF(ISNUMBER(B1080),TEXT(B1080,"0000"),B1080),Addendum!F:F,"X")&gt;0,2.5%,0)</f>
        <v>0</v>
      </c>
      <c r="K1080" s="31">
        <f>IF(COUNTIFS(Addendum!C:C,A1080,Addendum!D:D,IF(ISNUMBER(B1080),TEXT(B1080,"0000"),B1080),Addendum!G:G,"X")&gt;0,7%,0)</f>
        <v>0</v>
      </c>
      <c r="L1080" s="31">
        <f>IF(COUNTIFS(Addendum!C:C,A1080,Addendum!D:D,IF(ISNUMBER(B1080),TEXT(B1080,"0000"),B1080),Addendum!I:I,"X")&gt;0,10%,0)</f>
        <v>0</v>
      </c>
      <c r="M1080" s="34">
        <f t="shared" si="32"/>
        <v>0</v>
      </c>
      <c r="N1080" s="17">
        <f t="shared" si="33"/>
        <v>11979</v>
      </c>
    </row>
    <row r="1081" spans="1:14" x14ac:dyDescent="0.25">
      <c r="A1081" s="14" t="s">
        <v>2092</v>
      </c>
      <c r="B1081" s="14" t="s">
        <v>325</v>
      </c>
      <c r="C1081" s="15" t="s">
        <v>2108</v>
      </c>
      <c r="D1081" s="14" t="s">
        <v>1749</v>
      </c>
      <c r="E1081" s="14" t="s">
        <v>1746</v>
      </c>
      <c r="F1081" s="17" t="s">
        <v>2994</v>
      </c>
      <c r="G1081" s="14">
        <v>4194</v>
      </c>
      <c r="H1081" s="14">
        <v>3145.5</v>
      </c>
      <c r="I1081" s="31">
        <f>IF(COUNTIFS(Addendum!C:C,A1081,Addendum!D:D,IF(ISNUMBER(B1081),TEXT(B1081,"0000"),B1081),Addendum!E:E,"X")&gt;0,4%,0)</f>
        <v>0</v>
      </c>
      <c r="J1081" s="31">
        <f>IF(COUNTIFS(Addendum!C:C,A1081,Addendum!D:D,IF(ISNUMBER(B1081),TEXT(B1081,"0000"),B1081),Addendum!F:F,"X")&gt;0,2.5%,0)</f>
        <v>0</v>
      </c>
      <c r="K1081" s="31">
        <f>IF(COUNTIFS(Addendum!C:C,A1081,Addendum!D:D,IF(ISNUMBER(B1081),TEXT(B1081,"0000"),B1081),Addendum!G:G,"X")&gt;0,7%,0)</f>
        <v>0</v>
      </c>
      <c r="L1081" s="31">
        <f>IF(COUNTIFS(Addendum!C:C,A1081,Addendum!D:D,IF(ISNUMBER(B1081),TEXT(B1081,"0000"),B1081),Addendum!I:I,"X")&gt;0,10%,0)</f>
        <v>0</v>
      </c>
      <c r="M1081" s="34">
        <f t="shared" si="32"/>
        <v>0</v>
      </c>
      <c r="N1081" s="17">
        <f t="shared" si="33"/>
        <v>3145.5</v>
      </c>
    </row>
    <row r="1082" spans="1:14" x14ac:dyDescent="0.25">
      <c r="A1082" s="14" t="s">
        <v>2092</v>
      </c>
      <c r="B1082" s="14" t="s">
        <v>258</v>
      </c>
      <c r="C1082" s="15" t="s">
        <v>2105</v>
      </c>
      <c r="D1082" s="14" t="s">
        <v>1745</v>
      </c>
      <c r="E1082" s="14" t="s">
        <v>1747</v>
      </c>
      <c r="F1082" s="17" t="s">
        <v>2995</v>
      </c>
      <c r="G1082" s="14">
        <v>26220</v>
      </c>
      <c r="H1082" s="14">
        <v>23598</v>
      </c>
      <c r="I1082" s="31">
        <f>IF(COUNTIFS(Addendum!C:C,A1082,Addendum!D:D,IF(ISNUMBER(B1082),TEXT(B1082,"0000"),B1082),Addendum!E:E,"X")&gt;0,4%,0)</f>
        <v>0</v>
      </c>
      <c r="J1082" s="31">
        <f>IF(COUNTIFS(Addendum!C:C,A1082,Addendum!D:D,IF(ISNUMBER(B1082),TEXT(B1082,"0000"),B1082),Addendum!F:F,"X")&gt;0,2.5%,0)</f>
        <v>0</v>
      </c>
      <c r="K1082" s="31">
        <f>IF(COUNTIFS(Addendum!C:C,A1082,Addendum!D:D,IF(ISNUMBER(B1082),TEXT(B1082,"0000"),B1082),Addendum!G:G,"X")&gt;0,7%,0)</f>
        <v>0</v>
      </c>
      <c r="L1082" s="31">
        <f>IF(COUNTIFS(Addendum!C:C,A1082,Addendum!D:D,IF(ISNUMBER(B1082),TEXT(B1082,"0000"),B1082),Addendum!I:I,"X")&gt;0,10%,0)</f>
        <v>0</v>
      </c>
      <c r="M1082" s="34">
        <f t="shared" si="32"/>
        <v>0</v>
      </c>
      <c r="N1082" s="17">
        <f t="shared" si="33"/>
        <v>23598</v>
      </c>
    </row>
    <row r="1083" spans="1:14" ht="30" x14ac:dyDescent="0.25">
      <c r="A1083" s="14" t="s">
        <v>2092</v>
      </c>
      <c r="B1083" s="14" t="s">
        <v>108</v>
      </c>
      <c r="C1083" s="15" t="s">
        <v>2096</v>
      </c>
      <c r="D1083" s="14" t="s">
        <v>1749</v>
      </c>
      <c r="E1083" s="14" t="s">
        <v>1746</v>
      </c>
      <c r="F1083" s="17" t="s">
        <v>2994</v>
      </c>
      <c r="G1083" s="14">
        <v>1098</v>
      </c>
      <c r="H1083" s="14">
        <v>823.5</v>
      </c>
      <c r="I1083" s="31">
        <f>IF(COUNTIFS(Addendum!C:C,A1083,Addendum!D:D,IF(ISNUMBER(B1083),TEXT(B1083,"0000"),B1083),Addendum!E:E,"X")&gt;0,4%,0)</f>
        <v>0</v>
      </c>
      <c r="J1083" s="31">
        <f>IF(COUNTIFS(Addendum!C:C,A1083,Addendum!D:D,IF(ISNUMBER(B1083),TEXT(B1083,"0000"),B1083),Addendum!F:F,"X")&gt;0,2.5%,0)</f>
        <v>0</v>
      </c>
      <c r="K1083" s="31">
        <f>IF(COUNTIFS(Addendum!C:C,A1083,Addendum!D:D,IF(ISNUMBER(B1083),TEXT(B1083,"0000"),B1083),Addendum!G:G,"X")&gt;0,7%,0)</f>
        <v>0</v>
      </c>
      <c r="L1083" s="31">
        <f>IF(COUNTIFS(Addendum!C:C,A1083,Addendum!D:D,IF(ISNUMBER(B1083),TEXT(B1083,"0000"),B1083),Addendum!I:I,"X")&gt;0,10%,0)</f>
        <v>0</v>
      </c>
      <c r="M1083" s="34">
        <f t="shared" si="32"/>
        <v>0</v>
      </c>
      <c r="N1083" s="17">
        <f t="shared" si="33"/>
        <v>823.5</v>
      </c>
    </row>
    <row r="1084" spans="1:14" x14ac:dyDescent="0.25">
      <c r="A1084" s="14" t="s">
        <v>2092</v>
      </c>
      <c r="B1084" s="14" t="s">
        <v>1274</v>
      </c>
      <c r="C1084" s="15" t="s">
        <v>2107</v>
      </c>
      <c r="D1084" s="14" t="s">
        <v>1749</v>
      </c>
      <c r="E1084" s="14" t="s">
        <v>1746</v>
      </c>
      <c r="F1084" s="17" t="s">
        <v>2994</v>
      </c>
      <c r="G1084" s="14">
        <v>8784</v>
      </c>
      <c r="H1084" s="14">
        <v>6588</v>
      </c>
      <c r="I1084" s="31">
        <f>IF(COUNTIFS(Addendum!C:C,A1084,Addendum!D:D,IF(ISNUMBER(B1084),TEXT(B1084,"0000"),B1084),Addendum!E:E,"X")&gt;0,4%,0)</f>
        <v>0</v>
      </c>
      <c r="J1084" s="31">
        <f>IF(COUNTIFS(Addendum!C:C,A1084,Addendum!D:D,IF(ISNUMBER(B1084),TEXT(B1084,"0000"),B1084),Addendum!F:F,"X")&gt;0,2.5%,0)</f>
        <v>0</v>
      </c>
      <c r="K1084" s="31">
        <f>IF(COUNTIFS(Addendum!C:C,A1084,Addendum!D:D,IF(ISNUMBER(B1084),TEXT(B1084,"0000"),B1084),Addendum!G:G,"X")&gt;0,7%,0)</f>
        <v>0</v>
      </c>
      <c r="L1084" s="31">
        <f>IF(COUNTIFS(Addendum!C:C,A1084,Addendum!D:D,IF(ISNUMBER(B1084),TEXT(B1084,"0000"),B1084),Addendum!I:I,"X")&gt;0,10%,0)</f>
        <v>0</v>
      </c>
      <c r="M1084" s="34">
        <f t="shared" si="32"/>
        <v>0</v>
      </c>
      <c r="N1084" s="17">
        <f t="shared" si="33"/>
        <v>6588</v>
      </c>
    </row>
    <row r="1085" spans="1:14" x14ac:dyDescent="0.25">
      <c r="A1085" s="14" t="s">
        <v>2092</v>
      </c>
      <c r="B1085" s="14" t="s">
        <v>875</v>
      </c>
      <c r="C1085" s="15" t="s">
        <v>2100</v>
      </c>
      <c r="D1085" s="14" t="s">
        <v>1749</v>
      </c>
      <c r="E1085" s="14" t="s">
        <v>1746</v>
      </c>
      <c r="F1085" s="17" t="s">
        <v>2995</v>
      </c>
      <c r="G1085" s="14">
        <v>3996</v>
      </c>
      <c r="H1085" s="14">
        <v>3596.4</v>
      </c>
      <c r="I1085" s="31">
        <f>IF(COUNTIFS(Addendum!C:C,A1085,Addendum!D:D,IF(ISNUMBER(B1085),TEXT(B1085,"0000"),B1085),Addendum!E:E,"X")&gt;0,4%,0)</f>
        <v>0</v>
      </c>
      <c r="J1085" s="31">
        <f>IF(COUNTIFS(Addendum!C:C,A1085,Addendum!D:D,IF(ISNUMBER(B1085),TEXT(B1085,"0000"),B1085),Addendum!F:F,"X")&gt;0,2.5%,0)</f>
        <v>0</v>
      </c>
      <c r="K1085" s="31">
        <f>IF(COUNTIFS(Addendum!C:C,A1085,Addendum!D:D,IF(ISNUMBER(B1085),TEXT(B1085,"0000"),B1085),Addendum!G:G,"X")&gt;0,7%,0)</f>
        <v>0</v>
      </c>
      <c r="L1085" s="31">
        <f>IF(COUNTIFS(Addendum!C:C,A1085,Addendum!D:D,IF(ISNUMBER(B1085),TEXT(B1085,"0000"),B1085),Addendum!I:I,"X")&gt;0,10%,0)</f>
        <v>0</v>
      </c>
      <c r="M1085" s="34">
        <f t="shared" si="32"/>
        <v>0</v>
      </c>
      <c r="N1085" s="17">
        <f t="shared" si="33"/>
        <v>3596.4</v>
      </c>
    </row>
    <row r="1086" spans="1:14" x14ac:dyDescent="0.25">
      <c r="A1086" s="14" t="s">
        <v>2092</v>
      </c>
      <c r="B1086" s="14">
        <v>21</v>
      </c>
      <c r="C1086" s="15" t="s">
        <v>2097</v>
      </c>
      <c r="D1086" s="14" t="s">
        <v>1749</v>
      </c>
      <c r="E1086" s="14" t="s">
        <v>1746</v>
      </c>
      <c r="F1086" s="17" t="s">
        <v>2994</v>
      </c>
      <c r="G1086" s="14">
        <v>11982</v>
      </c>
      <c r="H1086" s="14">
        <v>8986.5</v>
      </c>
      <c r="I1086" s="31">
        <f>IF(COUNTIFS(Addendum!C:C,A1086,Addendum!D:D,IF(ISNUMBER(B1086),TEXT(B1086,"0000"),B1086),Addendum!E:E,"X")&gt;0,4%,0)</f>
        <v>0</v>
      </c>
      <c r="J1086" s="31">
        <f>IF(COUNTIFS(Addendum!C:C,A1086,Addendum!D:D,IF(ISNUMBER(B1086),TEXT(B1086,"0000"),B1086),Addendum!F:F,"X")&gt;0,2.5%,0)</f>
        <v>0</v>
      </c>
      <c r="K1086" s="31">
        <f>IF(COUNTIFS(Addendum!C:C,A1086,Addendum!D:D,IF(ISNUMBER(B1086),TEXT(B1086,"0000"),B1086),Addendum!G:G,"X")&gt;0,7%,0)</f>
        <v>0</v>
      </c>
      <c r="L1086" s="31">
        <f>IF(COUNTIFS(Addendum!C:C,A1086,Addendum!D:D,IF(ISNUMBER(B1086),TEXT(B1086,"0000"),B1086),Addendum!I:I,"X")&gt;0,10%,0)</f>
        <v>0</v>
      </c>
      <c r="M1086" s="34">
        <f t="shared" si="32"/>
        <v>0</v>
      </c>
      <c r="N1086" s="17">
        <f t="shared" si="33"/>
        <v>8986.5</v>
      </c>
    </row>
    <row r="1087" spans="1:14" ht="30" x14ac:dyDescent="0.25">
      <c r="A1087" s="14" t="s">
        <v>2092</v>
      </c>
      <c r="B1087" s="14" t="s">
        <v>108</v>
      </c>
      <c r="C1087" s="15" t="s">
        <v>2096</v>
      </c>
      <c r="D1087" s="14" t="s">
        <v>1745</v>
      </c>
      <c r="E1087" s="14" t="s">
        <v>1746</v>
      </c>
      <c r="F1087" s="17" t="s">
        <v>2994</v>
      </c>
      <c r="G1087" s="14">
        <v>11529</v>
      </c>
      <c r="H1087" s="14">
        <v>8646.7199999999993</v>
      </c>
      <c r="I1087" s="31">
        <f>IF(COUNTIFS(Addendum!C:C,A1087,Addendum!D:D,IF(ISNUMBER(B1087),TEXT(B1087,"0000"),B1087),Addendum!E:E,"X")&gt;0,4%,0)</f>
        <v>0</v>
      </c>
      <c r="J1087" s="31">
        <f>IF(COUNTIFS(Addendum!C:C,A1087,Addendum!D:D,IF(ISNUMBER(B1087),TEXT(B1087,"0000"),B1087),Addendum!F:F,"X")&gt;0,2.5%,0)</f>
        <v>0</v>
      </c>
      <c r="K1087" s="31">
        <f>IF(COUNTIFS(Addendum!C:C,A1087,Addendum!D:D,IF(ISNUMBER(B1087),TEXT(B1087,"0000"),B1087),Addendum!G:G,"X")&gt;0,7%,0)</f>
        <v>0</v>
      </c>
      <c r="L1087" s="31">
        <f>IF(COUNTIFS(Addendum!C:C,A1087,Addendum!D:D,IF(ISNUMBER(B1087),TEXT(B1087,"0000"),B1087),Addendum!I:I,"X")&gt;0,10%,0)</f>
        <v>0</v>
      </c>
      <c r="M1087" s="34">
        <f t="shared" si="32"/>
        <v>0</v>
      </c>
      <c r="N1087" s="17">
        <f t="shared" si="33"/>
        <v>8646.7199999999993</v>
      </c>
    </row>
    <row r="1088" spans="1:14" x14ac:dyDescent="0.25">
      <c r="A1088" s="14" t="s">
        <v>2092</v>
      </c>
      <c r="B1088" s="14">
        <v>1</v>
      </c>
      <c r="C1088" s="15" t="s">
        <v>2102</v>
      </c>
      <c r="D1088" s="14" t="s">
        <v>1752</v>
      </c>
      <c r="E1088" s="14" t="s">
        <v>1747</v>
      </c>
      <c r="F1088" s="17" t="s">
        <v>2993</v>
      </c>
      <c r="G1088" s="14">
        <v>314460</v>
      </c>
      <c r="H1088" s="14">
        <v>235845</v>
      </c>
      <c r="I1088" s="31">
        <f>IF(COUNTIFS(Addendum!C:C,A1088,Addendum!D:D,IF(ISNUMBER(B1088),TEXT(B1088,"0000"),B1088),Addendum!E:E,"X")&gt;0,4%,0)</f>
        <v>0</v>
      </c>
      <c r="J1088" s="31">
        <f>IF(COUNTIFS(Addendum!C:C,A1088,Addendum!D:D,IF(ISNUMBER(B1088),TEXT(B1088,"0000"),B1088),Addendum!F:F,"X")&gt;0,2.5%,0)</f>
        <v>0</v>
      </c>
      <c r="K1088" s="31">
        <f>IF(COUNTIFS(Addendum!C:C,A1088,Addendum!D:D,IF(ISNUMBER(B1088),TEXT(B1088,"0000"),B1088),Addendum!G:G,"X")&gt;0,7%,0)</f>
        <v>0</v>
      </c>
      <c r="L1088" s="31">
        <f>IF(COUNTIFS(Addendum!C:C,A1088,Addendum!D:D,IF(ISNUMBER(B1088),TEXT(B1088,"0000"),B1088),Addendum!I:I,"X")&gt;0,10%,0)</f>
        <v>0</v>
      </c>
      <c r="M1088" s="34">
        <f t="shared" si="32"/>
        <v>0</v>
      </c>
      <c r="N1088" s="17">
        <f t="shared" si="33"/>
        <v>235845</v>
      </c>
    </row>
    <row r="1089" spans="1:14" x14ac:dyDescent="0.25">
      <c r="A1089" s="14" t="s">
        <v>2109</v>
      </c>
      <c r="B1089" s="14">
        <v>5</v>
      </c>
      <c r="C1089" s="15" t="s">
        <v>2110</v>
      </c>
      <c r="D1089" s="14" t="s">
        <v>1752</v>
      </c>
      <c r="E1089" s="14" t="s">
        <v>1746</v>
      </c>
      <c r="F1089" s="17" t="s">
        <v>2993</v>
      </c>
      <c r="G1089" s="14">
        <v>613305</v>
      </c>
      <c r="H1089" s="14">
        <v>459978.8</v>
      </c>
      <c r="I1089" s="31">
        <f>IF(COUNTIFS(Addendum!C:C,A1089,Addendum!D:D,IF(ISNUMBER(B1089),TEXT(B1089,"0000"),B1089),Addendum!E:E,"X")&gt;0,4%,0)</f>
        <v>0</v>
      </c>
      <c r="J1089" s="31">
        <f>IF(COUNTIFS(Addendum!C:C,A1089,Addendum!D:D,IF(ISNUMBER(B1089),TEXT(B1089,"0000"),B1089),Addendum!F:F,"X")&gt;0,2.5%,0)</f>
        <v>0</v>
      </c>
      <c r="K1089" s="31">
        <f>IF(COUNTIFS(Addendum!C:C,A1089,Addendum!D:D,IF(ISNUMBER(B1089),TEXT(B1089,"0000"),B1089),Addendum!G:G,"X")&gt;0,7%,0)</f>
        <v>0</v>
      </c>
      <c r="L1089" s="31">
        <f>IF(COUNTIFS(Addendum!C:C,A1089,Addendum!D:D,IF(ISNUMBER(B1089),TEXT(B1089,"0000"),B1089),Addendum!I:I,"X")&gt;0,10%,0)</f>
        <v>0</v>
      </c>
      <c r="M1089" s="34">
        <f t="shared" si="32"/>
        <v>0</v>
      </c>
      <c r="N1089" s="17">
        <f t="shared" si="33"/>
        <v>459978.8</v>
      </c>
    </row>
    <row r="1090" spans="1:14" x14ac:dyDescent="0.25">
      <c r="A1090" s="14" t="s">
        <v>2109</v>
      </c>
      <c r="B1090" s="14">
        <v>5</v>
      </c>
      <c r="C1090" s="15" t="s">
        <v>2110</v>
      </c>
      <c r="D1090" s="14" t="s">
        <v>1752</v>
      </c>
      <c r="E1090" s="14" t="s">
        <v>1753</v>
      </c>
      <c r="F1090" s="17" t="s">
        <v>2993</v>
      </c>
      <c r="G1090" s="14">
        <v>584100</v>
      </c>
      <c r="H1090" s="14">
        <v>438075</v>
      </c>
      <c r="I1090" s="31">
        <f>IF(COUNTIFS(Addendum!C:C,A1090,Addendum!D:D,IF(ISNUMBER(B1090),TEXT(B1090,"0000"),B1090),Addendum!E:E,"X")&gt;0,4%,0)</f>
        <v>0</v>
      </c>
      <c r="J1090" s="31">
        <f>IF(COUNTIFS(Addendum!C:C,A1090,Addendum!D:D,IF(ISNUMBER(B1090),TEXT(B1090,"0000"),B1090),Addendum!F:F,"X")&gt;0,2.5%,0)</f>
        <v>0</v>
      </c>
      <c r="K1090" s="31">
        <f>IF(COUNTIFS(Addendum!C:C,A1090,Addendum!D:D,IF(ISNUMBER(B1090),TEXT(B1090,"0000"),B1090),Addendum!G:G,"X")&gt;0,7%,0)</f>
        <v>0</v>
      </c>
      <c r="L1090" s="31">
        <f>IF(COUNTIFS(Addendum!C:C,A1090,Addendum!D:D,IF(ISNUMBER(B1090),TEXT(B1090,"0000"),B1090),Addendum!I:I,"X")&gt;0,10%,0)</f>
        <v>0</v>
      </c>
      <c r="M1090" s="34">
        <f t="shared" si="32"/>
        <v>0</v>
      </c>
      <c r="N1090" s="17">
        <f t="shared" si="33"/>
        <v>438075</v>
      </c>
    </row>
    <row r="1091" spans="1:14" x14ac:dyDescent="0.25">
      <c r="A1091" s="14" t="s">
        <v>2109</v>
      </c>
      <c r="B1091" s="14">
        <v>4</v>
      </c>
      <c r="C1091" s="15" t="s">
        <v>2111</v>
      </c>
      <c r="D1091" s="14" t="s">
        <v>1745</v>
      </c>
      <c r="E1091" s="14" t="s">
        <v>1746</v>
      </c>
      <c r="F1091" s="17" t="s">
        <v>2994</v>
      </c>
      <c r="G1091" s="14">
        <v>112455</v>
      </c>
      <c r="H1091" s="14">
        <v>84341.28</v>
      </c>
      <c r="I1091" s="31">
        <f>IF(COUNTIFS(Addendum!C:C,A1091,Addendum!D:D,IF(ISNUMBER(B1091),TEXT(B1091,"0000"),B1091),Addendum!E:E,"X")&gt;0,4%,0)</f>
        <v>0</v>
      </c>
      <c r="J1091" s="31">
        <f>IF(COUNTIFS(Addendum!C:C,A1091,Addendum!D:D,IF(ISNUMBER(B1091),TEXT(B1091,"0000"),B1091),Addendum!F:F,"X")&gt;0,2.5%,0)</f>
        <v>0</v>
      </c>
      <c r="K1091" s="31">
        <f>IF(COUNTIFS(Addendum!C:C,A1091,Addendum!D:D,IF(ISNUMBER(B1091),TEXT(B1091,"0000"),B1091),Addendum!G:G,"X")&gt;0,7%,0)</f>
        <v>0</v>
      </c>
      <c r="L1091" s="31">
        <f>IF(COUNTIFS(Addendum!C:C,A1091,Addendum!D:D,IF(ISNUMBER(B1091),TEXT(B1091,"0000"),B1091),Addendum!I:I,"X")&gt;0,10%,0)</f>
        <v>0</v>
      </c>
      <c r="M1091" s="34">
        <f t="shared" si="32"/>
        <v>0</v>
      </c>
      <c r="N1091" s="17">
        <f t="shared" si="33"/>
        <v>84341.28</v>
      </c>
    </row>
    <row r="1092" spans="1:14" x14ac:dyDescent="0.25">
      <c r="A1092" s="14" t="s">
        <v>2109</v>
      </c>
      <c r="B1092" s="14">
        <v>4</v>
      </c>
      <c r="C1092" s="15" t="s">
        <v>2111</v>
      </c>
      <c r="D1092" s="14" t="s">
        <v>1745</v>
      </c>
      <c r="E1092" s="14" t="s">
        <v>1747</v>
      </c>
      <c r="F1092" s="17" t="s">
        <v>2994</v>
      </c>
      <c r="G1092" s="14">
        <v>107100</v>
      </c>
      <c r="H1092" s="14">
        <v>80325</v>
      </c>
      <c r="I1092" s="31">
        <f>IF(COUNTIFS(Addendum!C:C,A1092,Addendum!D:D,IF(ISNUMBER(B1092),TEXT(B1092,"0000"),B1092),Addendum!E:E,"X")&gt;0,4%,0)</f>
        <v>0</v>
      </c>
      <c r="J1092" s="31">
        <f>IF(COUNTIFS(Addendum!C:C,A1092,Addendum!D:D,IF(ISNUMBER(B1092),TEXT(B1092,"0000"),B1092),Addendum!F:F,"X")&gt;0,2.5%,0)</f>
        <v>0</v>
      </c>
      <c r="K1092" s="31">
        <f>IF(COUNTIFS(Addendum!C:C,A1092,Addendum!D:D,IF(ISNUMBER(B1092),TEXT(B1092,"0000"),B1092),Addendum!G:G,"X")&gt;0,7%,0)</f>
        <v>0</v>
      </c>
      <c r="L1092" s="31">
        <f>IF(COUNTIFS(Addendum!C:C,A1092,Addendum!D:D,IF(ISNUMBER(B1092),TEXT(B1092,"0000"),B1092),Addendum!I:I,"X")&gt;0,10%,0)</f>
        <v>0</v>
      </c>
      <c r="M1092" s="34">
        <f t="shared" ref="M1092:M1155" si="34">IF(AND(I1092=0%,J1092=0%,K1092=0%,L1092=0%),0%,
IF(OR(TRIM(E1092)="OneTime",TRIM(D1092)=""),0%,
IF(
OR(
TRIM(D1092)="P1M",
AND(TRIM(D1092)="P1Y",TRIM(E1092)="Monthly"),
AND(TRIM(D1092)="P3Y",TRIM(E1092)="Monthly")
),
IF(AND(I1092=4%,J1092=0%,K1092=0%,L1092=0%),1%,
IF(AND(I1092=4%,J1092=2.5%,K1092=0%,L1092=10%),2%,
IF(AND(I1092=4%,J1092=0%,K1092=7%,L1092=10%),3%,0%))),
IF(
OR(
AND(TRIM(D1092)="P1Y",TRIM(E1092)="Annual"),
AND(TRIM(D1092)="P3Y",TRIM(E1092)="Annual"),
AND(TRIM(D1092)="P3Y",TRIM(E1092)="Triennial")
),
IF(AND(I1092=4%,J1092=0%,K1092=0%,L1092=0%),3%,
IF(AND(I1092=4%,J1092=2.5%,K1092=0%,L1092=10%),10%,
IF(AND(I1092=4%,J1092=0%,K1092=7%,L1092=10%),14%,0%))),
0%
))))</f>
        <v>0</v>
      </c>
      <c r="N1092" s="17">
        <f t="shared" ref="N1092:N1155" si="35">H1092-(H1092*M1092)</f>
        <v>80325</v>
      </c>
    </row>
    <row r="1093" spans="1:14" x14ac:dyDescent="0.25">
      <c r="A1093" s="14" t="s">
        <v>2109</v>
      </c>
      <c r="B1093" s="14">
        <v>3</v>
      </c>
      <c r="C1093" s="15" t="s">
        <v>2112</v>
      </c>
      <c r="D1093" s="14" t="s">
        <v>1749</v>
      </c>
      <c r="E1093" s="14" t="s">
        <v>1746</v>
      </c>
      <c r="F1093" s="17" t="s">
        <v>2995</v>
      </c>
      <c r="G1093" s="14">
        <v>4866</v>
      </c>
      <c r="H1093" s="14">
        <v>4379.3999999999996</v>
      </c>
      <c r="I1093" s="31">
        <f>IF(COUNTIFS(Addendum!C:C,A1093,Addendum!D:D,IF(ISNUMBER(B1093),TEXT(B1093,"0000"),B1093),Addendum!E:E,"X")&gt;0,4%,0)</f>
        <v>0</v>
      </c>
      <c r="J1093" s="31">
        <f>IF(COUNTIFS(Addendum!C:C,A1093,Addendum!D:D,IF(ISNUMBER(B1093),TEXT(B1093,"0000"),B1093),Addendum!F:F,"X")&gt;0,2.5%,0)</f>
        <v>0</v>
      </c>
      <c r="K1093" s="31">
        <f>IF(COUNTIFS(Addendum!C:C,A1093,Addendum!D:D,IF(ISNUMBER(B1093),TEXT(B1093,"0000"),B1093),Addendum!G:G,"X")&gt;0,7%,0)</f>
        <v>0</v>
      </c>
      <c r="L1093" s="31">
        <f>IF(COUNTIFS(Addendum!C:C,A1093,Addendum!D:D,IF(ISNUMBER(B1093),TEXT(B1093,"0000"),B1093),Addendum!I:I,"X")&gt;0,10%,0)</f>
        <v>0</v>
      </c>
      <c r="M1093" s="34">
        <f t="shared" si="34"/>
        <v>0</v>
      </c>
      <c r="N1093" s="17">
        <f t="shared" si="35"/>
        <v>4379.3999999999996</v>
      </c>
    </row>
    <row r="1094" spans="1:14" x14ac:dyDescent="0.25">
      <c r="A1094" s="14" t="s">
        <v>2109</v>
      </c>
      <c r="B1094" s="14">
        <v>4</v>
      </c>
      <c r="C1094" s="15" t="s">
        <v>2111</v>
      </c>
      <c r="D1094" s="14" t="s">
        <v>1749</v>
      </c>
      <c r="E1094" s="14" t="s">
        <v>1746</v>
      </c>
      <c r="F1094" s="17" t="s">
        <v>2994</v>
      </c>
      <c r="G1094" s="14">
        <v>10710</v>
      </c>
      <c r="H1094" s="14">
        <v>8032.5</v>
      </c>
      <c r="I1094" s="31">
        <f>IF(COUNTIFS(Addendum!C:C,A1094,Addendum!D:D,IF(ISNUMBER(B1094),TEXT(B1094,"0000"),B1094),Addendum!E:E,"X")&gt;0,4%,0)</f>
        <v>0</v>
      </c>
      <c r="J1094" s="31">
        <f>IF(COUNTIFS(Addendum!C:C,A1094,Addendum!D:D,IF(ISNUMBER(B1094),TEXT(B1094,"0000"),B1094),Addendum!F:F,"X")&gt;0,2.5%,0)</f>
        <v>0</v>
      </c>
      <c r="K1094" s="31">
        <f>IF(COUNTIFS(Addendum!C:C,A1094,Addendum!D:D,IF(ISNUMBER(B1094),TEXT(B1094,"0000"),B1094),Addendum!G:G,"X")&gt;0,7%,0)</f>
        <v>0</v>
      </c>
      <c r="L1094" s="31">
        <f>IF(COUNTIFS(Addendum!C:C,A1094,Addendum!D:D,IF(ISNUMBER(B1094),TEXT(B1094,"0000"),B1094),Addendum!I:I,"X")&gt;0,10%,0)</f>
        <v>0</v>
      </c>
      <c r="M1094" s="34">
        <f t="shared" si="34"/>
        <v>0</v>
      </c>
      <c r="N1094" s="17">
        <f t="shared" si="35"/>
        <v>8032.5</v>
      </c>
    </row>
    <row r="1095" spans="1:14" x14ac:dyDescent="0.25">
      <c r="A1095" s="14" t="s">
        <v>2109</v>
      </c>
      <c r="B1095" s="14">
        <v>2</v>
      </c>
      <c r="C1095" s="15" t="s">
        <v>2113</v>
      </c>
      <c r="D1095" s="14" t="s">
        <v>1745</v>
      </c>
      <c r="E1095" s="14" t="s">
        <v>1746</v>
      </c>
      <c r="F1095" s="17" t="s">
        <v>2994</v>
      </c>
      <c r="G1095" s="14">
        <v>81774</v>
      </c>
      <c r="H1095" s="14">
        <v>61330.559999999998</v>
      </c>
      <c r="I1095" s="31">
        <f>IF(COUNTIFS(Addendum!C:C,A1095,Addendum!D:D,IF(ISNUMBER(B1095),TEXT(B1095,"0000"),B1095),Addendum!E:E,"X")&gt;0,4%,0)</f>
        <v>0</v>
      </c>
      <c r="J1095" s="31">
        <f>IF(COUNTIFS(Addendum!C:C,A1095,Addendum!D:D,IF(ISNUMBER(B1095),TEXT(B1095,"0000"),B1095),Addendum!F:F,"X")&gt;0,2.5%,0)</f>
        <v>0</v>
      </c>
      <c r="K1095" s="31">
        <f>IF(COUNTIFS(Addendum!C:C,A1095,Addendum!D:D,IF(ISNUMBER(B1095),TEXT(B1095,"0000"),B1095),Addendum!G:G,"X")&gt;0,7%,0)</f>
        <v>0</v>
      </c>
      <c r="L1095" s="31">
        <f>IF(COUNTIFS(Addendum!C:C,A1095,Addendum!D:D,IF(ISNUMBER(B1095),TEXT(B1095,"0000"),B1095),Addendum!I:I,"X")&gt;0,10%,0)</f>
        <v>0</v>
      </c>
      <c r="M1095" s="34">
        <f t="shared" si="34"/>
        <v>0</v>
      </c>
      <c r="N1095" s="17">
        <f t="shared" si="35"/>
        <v>61330.559999999998</v>
      </c>
    </row>
    <row r="1096" spans="1:14" x14ac:dyDescent="0.25">
      <c r="A1096" s="14" t="s">
        <v>2109</v>
      </c>
      <c r="B1096" s="14">
        <v>5</v>
      </c>
      <c r="C1096" s="15" t="s">
        <v>2110</v>
      </c>
      <c r="D1096" s="14" t="s">
        <v>1752</v>
      </c>
      <c r="E1096" s="14" t="s">
        <v>1747</v>
      </c>
      <c r="F1096" s="17" t="s">
        <v>2993</v>
      </c>
      <c r="G1096" s="14">
        <v>584100</v>
      </c>
      <c r="H1096" s="14">
        <v>438075</v>
      </c>
      <c r="I1096" s="31">
        <f>IF(COUNTIFS(Addendum!C:C,A1096,Addendum!D:D,IF(ISNUMBER(B1096),TEXT(B1096,"0000"),B1096),Addendum!E:E,"X")&gt;0,4%,0)</f>
        <v>0</v>
      </c>
      <c r="J1096" s="31">
        <f>IF(COUNTIFS(Addendum!C:C,A1096,Addendum!D:D,IF(ISNUMBER(B1096),TEXT(B1096,"0000"),B1096),Addendum!F:F,"X")&gt;0,2.5%,0)</f>
        <v>0</v>
      </c>
      <c r="K1096" s="31">
        <f>IF(COUNTIFS(Addendum!C:C,A1096,Addendum!D:D,IF(ISNUMBER(B1096),TEXT(B1096,"0000"),B1096),Addendum!G:G,"X")&gt;0,7%,0)</f>
        <v>0</v>
      </c>
      <c r="L1096" s="31">
        <f>IF(COUNTIFS(Addendum!C:C,A1096,Addendum!D:D,IF(ISNUMBER(B1096),TEXT(B1096,"0000"),B1096),Addendum!I:I,"X")&gt;0,10%,0)</f>
        <v>0</v>
      </c>
      <c r="M1096" s="34">
        <f t="shared" si="34"/>
        <v>0</v>
      </c>
      <c r="N1096" s="17">
        <f t="shared" si="35"/>
        <v>438075</v>
      </c>
    </row>
    <row r="1097" spans="1:14" x14ac:dyDescent="0.25">
      <c r="A1097" s="14" t="s">
        <v>2109</v>
      </c>
      <c r="B1097" s="14">
        <v>5</v>
      </c>
      <c r="C1097" s="15" t="s">
        <v>2110</v>
      </c>
      <c r="D1097" s="14" t="s">
        <v>1745</v>
      </c>
      <c r="E1097" s="14" t="s">
        <v>1747</v>
      </c>
      <c r="F1097" s="17" t="s">
        <v>2993</v>
      </c>
      <c r="G1097" s="14">
        <v>194700</v>
      </c>
      <c r="H1097" s="14">
        <v>146025</v>
      </c>
      <c r="I1097" s="31">
        <f>IF(COUNTIFS(Addendum!C:C,A1097,Addendum!D:D,IF(ISNUMBER(B1097),TEXT(B1097,"0000"),B1097),Addendum!E:E,"X")&gt;0,4%,0)</f>
        <v>0</v>
      </c>
      <c r="J1097" s="31">
        <f>IF(COUNTIFS(Addendum!C:C,A1097,Addendum!D:D,IF(ISNUMBER(B1097),TEXT(B1097,"0000"),B1097),Addendum!F:F,"X")&gt;0,2.5%,0)</f>
        <v>0</v>
      </c>
      <c r="K1097" s="31">
        <f>IF(COUNTIFS(Addendum!C:C,A1097,Addendum!D:D,IF(ISNUMBER(B1097),TEXT(B1097,"0000"),B1097),Addendum!G:G,"X")&gt;0,7%,0)</f>
        <v>0</v>
      </c>
      <c r="L1097" s="31">
        <f>IF(COUNTIFS(Addendum!C:C,A1097,Addendum!D:D,IF(ISNUMBER(B1097),TEXT(B1097,"0000"),B1097),Addendum!I:I,"X")&gt;0,10%,0)</f>
        <v>0</v>
      </c>
      <c r="M1097" s="34">
        <f t="shared" si="34"/>
        <v>0</v>
      </c>
      <c r="N1097" s="17">
        <f t="shared" si="35"/>
        <v>146025</v>
      </c>
    </row>
    <row r="1098" spans="1:14" x14ac:dyDescent="0.25">
      <c r="A1098" s="14" t="s">
        <v>2109</v>
      </c>
      <c r="B1098" s="14">
        <v>5</v>
      </c>
      <c r="C1098" s="15" t="s">
        <v>2110</v>
      </c>
      <c r="D1098" s="14" t="s">
        <v>1749</v>
      </c>
      <c r="E1098" s="14" t="s">
        <v>1746</v>
      </c>
      <c r="F1098" s="17" t="s">
        <v>2993</v>
      </c>
      <c r="G1098" s="14">
        <v>19470</v>
      </c>
      <c r="H1098" s="14">
        <v>14602.5</v>
      </c>
      <c r="I1098" s="31">
        <f>IF(COUNTIFS(Addendum!C:C,A1098,Addendum!D:D,IF(ISNUMBER(B1098),TEXT(B1098,"0000"),B1098),Addendum!E:E,"X")&gt;0,4%,0)</f>
        <v>0</v>
      </c>
      <c r="J1098" s="31">
        <f>IF(COUNTIFS(Addendum!C:C,A1098,Addendum!D:D,IF(ISNUMBER(B1098),TEXT(B1098,"0000"),B1098),Addendum!F:F,"X")&gt;0,2.5%,0)</f>
        <v>0</v>
      </c>
      <c r="K1098" s="31">
        <f>IF(COUNTIFS(Addendum!C:C,A1098,Addendum!D:D,IF(ISNUMBER(B1098),TEXT(B1098,"0000"),B1098),Addendum!G:G,"X")&gt;0,7%,0)</f>
        <v>0</v>
      </c>
      <c r="L1098" s="31">
        <f>IF(COUNTIFS(Addendum!C:C,A1098,Addendum!D:D,IF(ISNUMBER(B1098),TEXT(B1098,"0000"),B1098),Addendum!I:I,"X")&gt;0,10%,0)</f>
        <v>0</v>
      </c>
      <c r="M1098" s="34">
        <f t="shared" si="34"/>
        <v>0</v>
      </c>
      <c r="N1098" s="17">
        <f t="shared" si="35"/>
        <v>14602.5</v>
      </c>
    </row>
    <row r="1099" spans="1:14" x14ac:dyDescent="0.25">
      <c r="A1099" s="14" t="s">
        <v>2109</v>
      </c>
      <c r="B1099" s="14">
        <v>5</v>
      </c>
      <c r="C1099" s="15" t="s">
        <v>2110</v>
      </c>
      <c r="D1099" s="14" t="s">
        <v>1745</v>
      </c>
      <c r="E1099" s="14" t="s">
        <v>1746</v>
      </c>
      <c r="F1099" s="17" t="s">
        <v>2993</v>
      </c>
      <c r="G1099" s="14">
        <v>204435</v>
      </c>
      <c r="H1099" s="14">
        <v>153326.29999999999</v>
      </c>
      <c r="I1099" s="31">
        <f>IF(COUNTIFS(Addendum!C:C,A1099,Addendum!D:D,IF(ISNUMBER(B1099),TEXT(B1099,"0000"),B1099),Addendum!E:E,"X")&gt;0,4%,0)</f>
        <v>0</v>
      </c>
      <c r="J1099" s="31">
        <f>IF(COUNTIFS(Addendum!C:C,A1099,Addendum!D:D,IF(ISNUMBER(B1099),TEXT(B1099,"0000"),B1099),Addendum!F:F,"X")&gt;0,2.5%,0)</f>
        <v>0</v>
      </c>
      <c r="K1099" s="31">
        <f>IF(COUNTIFS(Addendum!C:C,A1099,Addendum!D:D,IF(ISNUMBER(B1099),TEXT(B1099,"0000"),B1099),Addendum!G:G,"X")&gt;0,7%,0)</f>
        <v>0</v>
      </c>
      <c r="L1099" s="31">
        <f>IF(COUNTIFS(Addendum!C:C,A1099,Addendum!D:D,IF(ISNUMBER(B1099),TEXT(B1099,"0000"),B1099),Addendum!I:I,"X")&gt;0,10%,0)</f>
        <v>0</v>
      </c>
      <c r="M1099" s="34">
        <f t="shared" si="34"/>
        <v>0</v>
      </c>
      <c r="N1099" s="17">
        <f t="shared" si="35"/>
        <v>153326.29999999999</v>
      </c>
    </row>
    <row r="1100" spans="1:14" x14ac:dyDescent="0.25">
      <c r="A1100" s="14" t="s">
        <v>2109</v>
      </c>
      <c r="B1100" s="14">
        <v>3</v>
      </c>
      <c r="C1100" s="15" t="s">
        <v>2112</v>
      </c>
      <c r="D1100" s="14" t="s">
        <v>1745</v>
      </c>
      <c r="E1100" s="14" t="s">
        <v>1747</v>
      </c>
      <c r="F1100" s="17" t="s">
        <v>2995</v>
      </c>
      <c r="G1100" s="14">
        <v>48660</v>
      </c>
      <c r="H1100" s="14">
        <v>43794</v>
      </c>
      <c r="I1100" s="31">
        <f>IF(COUNTIFS(Addendum!C:C,A1100,Addendum!D:D,IF(ISNUMBER(B1100),TEXT(B1100,"0000"),B1100),Addendum!E:E,"X")&gt;0,4%,0)</f>
        <v>0</v>
      </c>
      <c r="J1100" s="31">
        <f>IF(COUNTIFS(Addendum!C:C,A1100,Addendum!D:D,IF(ISNUMBER(B1100),TEXT(B1100,"0000"),B1100),Addendum!F:F,"X")&gt;0,2.5%,0)</f>
        <v>0</v>
      </c>
      <c r="K1100" s="31">
        <f>IF(COUNTIFS(Addendum!C:C,A1100,Addendum!D:D,IF(ISNUMBER(B1100),TEXT(B1100,"0000"),B1100),Addendum!G:G,"X")&gt;0,7%,0)</f>
        <v>0</v>
      </c>
      <c r="L1100" s="31">
        <f>IF(COUNTIFS(Addendum!C:C,A1100,Addendum!D:D,IF(ISNUMBER(B1100),TEXT(B1100,"0000"),B1100),Addendum!I:I,"X")&gt;0,10%,0)</f>
        <v>0</v>
      </c>
      <c r="M1100" s="34">
        <f t="shared" si="34"/>
        <v>0</v>
      </c>
      <c r="N1100" s="17">
        <f t="shared" si="35"/>
        <v>43794</v>
      </c>
    </row>
    <row r="1101" spans="1:14" x14ac:dyDescent="0.25">
      <c r="A1101" s="14" t="s">
        <v>2109</v>
      </c>
      <c r="B1101" s="14">
        <v>2</v>
      </c>
      <c r="C1101" s="15" t="s">
        <v>2113</v>
      </c>
      <c r="D1101" s="14" t="s">
        <v>1749</v>
      </c>
      <c r="E1101" s="14" t="s">
        <v>1746</v>
      </c>
      <c r="F1101" s="17" t="s">
        <v>2994</v>
      </c>
      <c r="G1101" s="14">
        <v>7788</v>
      </c>
      <c r="H1101" s="14">
        <v>5841</v>
      </c>
      <c r="I1101" s="31">
        <f>IF(COUNTIFS(Addendum!C:C,A1101,Addendum!D:D,IF(ISNUMBER(B1101),TEXT(B1101,"0000"),B1101),Addendum!E:E,"X")&gt;0,4%,0)</f>
        <v>0</v>
      </c>
      <c r="J1101" s="31">
        <f>IF(COUNTIFS(Addendum!C:C,A1101,Addendum!D:D,IF(ISNUMBER(B1101),TEXT(B1101,"0000"),B1101),Addendum!F:F,"X")&gt;0,2.5%,0)</f>
        <v>0</v>
      </c>
      <c r="K1101" s="31">
        <f>IF(COUNTIFS(Addendum!C:C,A1101,Addendum!D:D,IF(ISNUMBER(B1101),TEXT(B1101,"0000"),B1101),Addendum!G:G,"X")&gt;0,7%,0)</f>
        <v>0</v>
      </c>
      <c r="L1101" s="31">
        <f>IF(COUNTIFS(Addendum!C:C,A1101,Addendum!D:D,IF(ISNUMBER(B1101),TEXT(B1101,"0000"),B1101),Addendum!I:I,"X")&gt;0,10%,0)</f>
        <v>0</v>
      </c>
      <c r="M1101" s="34">
        <f t="shared" si="34"/>
        <v>0</v>
      </c>
      <c r="N1101" s="17">
        <f t="shared" si="35"/>
        <v>5841</v>
      </c>
    </row>
    <row r="1102" spans="1:14" x14ac:dyDescent="0.25">
      <c r="A1102" s="14" t="s">
        <v>2109</v>
      </c>
      <c r="B1102" s="14">
        <v>3</v>
      </c>
      <c r="C1102" s="15" t="s">
        <v>2112</v>
      </c>
      <c r="D1102" s="14" t="s">
        <v>1745</v>
      </c>
      <c r="E1102" s="14" t="s">
        <v>1746</v>
      </c>
      <c r="F1102" s="17" t="s">
        <v>2995</v>
      </c>
      <c r="G1102" s="14">
        <v>51093</v>
      </c>
      <c r="H1102" s="14">
        <v>45983.76</v>
      </c>
      <c r="I1102" s="31">
        <f>IF(COUNTIFS(Addendum!C:C,A1102,Addendum!D:D,IF(ISNUMBER(B1102),TEXT(B1102,"0000"),B1102),Addendum!E:E,"X")&gt;0,4%,0)</f>
        <v>0</v>
      </c>
      <c r="J1102" s="31">
        <f>IF(COUNTIFS(Addendum!C:C,A1102,Addendum!D:D,IF(ISNUMBER(B1102),TEXT(B1102,"0000"),B1102),Addendum!F:F,"X")&gt;0,2.5%,0)</f>
        <v>0</v>
      </c>
      <c r="K1102" s="31">
        <f>IF(COUNTIFS(Addendum!C:C,A1102,Addendum!D:D,IF(ISNUMBER(B1102),TEXT(B1102,"0000"),B1102),Addendum!G:G,"X")&gt;0,7%,0)</f>
        <v>0</v>
      </c>
      <c r="L1102" s="31">
        <f>IF(COUNTIFS(Addendum!C:C,A1102,Addendum!D:D,IF(ISNUMBER(B1102),TEXT(B1102,"0000"),B1102),Addendum!I:I,"X")&gt;0,10%,0)</f>
        <v>0</v>
      </c>
      <c r="M1102" s="34">
        <f t="shared" si="34"/>
        <v>0</v>
      </c>
      <c r="N1102" s="17">
        <f t="shared" si="35"/>
        <v>45983.76</v>
      </c>
    </row>
    <row r="1103" spans="1:14" x14ac:dyDescent="0.25">
      <c r="A1103" s="14" t="s">
        <v>2109</v>
      </c>
      <c r="B1103" s="14">
        <v>2</v>
      </c>
      <c r="C1103" s="15" t="s">
        <v>2113</v>
      </c>
      <c r="D1103" s="14" t="s">
        <v>1745</v>
      </c>
      <c r="E1103" s="14" t="s">
        <v>1747</v>
      </c>
      <c r="F1103" s="17" t="s">
        <v>2994</v>
      </c>
      <c r="G1103" s="14">
        <v>77880</v>
      </c>
      <c r="H1103" s="14">
        <v>58410</v>
      </c>
      <c r="I1103" s="31">
        <f>IF(COUNTIFS(Addendum!C:C,A1103,Addendum!D:D,IF(ISNUMBER(B1103),TEXT(B1103,"0000"),B1103),Addendum!E:E,"X")&gt;0,4%,0)</f>
        <v>0</v>
      </c>
      <c r="J1103" s="31">
        <f>IF(COUNTIFS(Addendum!C:C,A1103,Addendum!D:D,IF(ISNUMBER(B1103),TEXT(B1103,"0000"),B1103),Addendum!F:F,"X")&gt;0,2.5%,0)</f>
        <v>0</v>
      </c>
      <c r="K1103" s="31">
        <f>IF(COUNTIFS(Addendum!C:C,A1103,Addendum!D:D,IF(ISNUMBER(B1103),TEXT(B1103,"0000"),B1103),Addendum!G:G,"X")&gt;0,7%,0)</f>
        <v>0</v>
      </c>
      <c r="L1103" s="31">
        <f>IF(COUNTIFS(Addendum!C:C,A1103,Addendum!D:D,IF(ISNUMBER(B1103),TEXT(B1103,"0000"),B1103),Addendum!I:I,"X")&gt;0,10%,0)</f>
        <v>0</v>
      </c>
      <c r="M1103" s="34">
        <f t="shared" si="34"/>
        <v>0</v>
      </c>
      <c r="N1103" s="17">
        <f t="shared" si="35"/>
        <v>58410</v>
      </c>
    </row>
    <row r="1104" spans="1:14" ht="30" x14ac:dyDescent="0.25">
      <c r="A1104" s="14" t="s">
        <v>2114</v>
      </c>
      <c r="B1104" s="14">
        <v>14</v>
      </c>
      <c r="C1104" s="15" t="s">
        <v>2115</v>
      </c>
      <c r="D1104" s="14" t="s">
        <v>1745</v>
      </c>
      <c r="E1104" s="14" t="s">
        <v>1746</v>
      </c>
      <c r="F1104" s="17" t="s">
        <v>2994</v>
      </c>
      <c r="G1104" s="14">
        <v>11529</v>
      </c>
      <c r="H1104" s="14">
        <v>8646.7199999999993</v>
      </c>
      <c r="I1104" s="31">
        <f>IF(COUNTIFS(Addendum!C:C,A1104,Addendum!D:D,IF(ISNUMBER(B1104),TEXT(B1104,"0000"),B1104),Addendum!E:E,"X")&gt;0,4%,0)</f>
        <v>0</v>
      </c>
      <c r="J1104" s="31">
        <f>IF(COUNTIFS(Addendum!C:C,A1104,Addendum!D:D,IF(ISNUMBER(B1104),TEXT(B1104,"0000"),B1104),Addendum!F:F,"X")&gt;0,2.5%,0)</f>
        <v>0</v>
      </c>
      <c r="K1104" s="31">
        <f>IF(COUNTIFS(Addendum!C:C,A1104,Addendum!D:D,IF(ISNUMBER(B1104),TEXT(B1104,"0000"),B1104),Addendum!G:G,"X")&gt;0,7%,0)</f>
        <v>0</v>
      </c>
      <c r="L1104" s="31">
        <f>IF(COUNTIFS(Addendum!C:C,A1104,Addendum!D:D,IF(ISNUMBER(B1104),TEXT(B1104,"0000"),B1104),Addendum!I:I,"X")&gt;0,10%,0)</f>
        <v>0</v>
      </c>
      <c r="M1104" s="34">
        <f t="shared" si="34"/>
        <v>0</v>
      </c>
      <c r="N1104" s="17">
        <f t="shared" si="35"/>
        <v>8646.7199999999993</v>
      </c>
    </row>
    <row r="1105" spans="1:14" ht="30" x14ac:dyDescent="0.25">
      <c r="A1105" s="14" t="s">
        <v>2114</v>
      </c>
      <c r="B1105" s="14">
        <v>3</v>
      </c>
      <c r="C1105" s="15" t="s">
        <v>2116</v>
      </c>
      <c r="D1105" s="14" t="s">
        <v>1752</v>
      </c>
      <c r="E1105" s="14" t="s">
        <v>1746</v>
      </c>
      <c r="F1105" s="17" t="s">
        <v>2993</v>
      </c>
      <c r="G1105" s="14">
        <v>62937</v>
      </c>
      <c r="H1105" s="14">
        <v>47202.84</v>
      </c>
      <c r="I1105" s="31">
        <f>IF(COUNTIFS(Addendum!C:C,A1105,Addendum!D:D,IF(ISNUMBER(B1105),TEXT(B1105,"0000"),B1105),Addendum!E:E,"X")&gt;0,4%,0)</f>
        <v>0</v>
      </c>
      <c r="J1105" s="31">
        <f>IF(COUNTIFS(Addendum!C:C,A1105,Addendum!D:D,IF(ISNUMBER(B1105),TEXT(B1105,"0000"),B1105),Addendum!F:F,"X")&gt;0,2.5%,0)</f>
        <v>0</v>
      </c>
      <c r="K1105" s="31">
        <f>IF(COUNTIFS(Addendum!C:C,A1105,Addendum!D:D,IF(ISNUMBER(B1105),TEXT(B1105,"0000"),B1105),Addendum!G:G,"X")&gt;0,7%,0)</f>
        <v>0</v>
      </c>
      <c r="L1105" s="31">
        <f>IF(COUNTIFS(Addendum!C:C,A1105,Addendum!D:D,IF(ISNUMBER(B1105),TEXT(B1105,"0000"),B1105),Addendum!I:I,"X")&gt;0,10%,0)</f>
        <v>0</v>
      </c>
      <c r="M1105" s="34">
        <f t="shared" si="34"/>
        <v>0</v>
      </c>
      <c r="N1105" s="17">
        <f t="shared" si="35"/>
        <v>47202.84</v>
      </c>
    </row>
    <row r="1106" spans="1:14" ht="30" x14ac:dyDescent="0.25">
      <c r="A1106" s="14" t="s">
        <v>2114</v>
      </c>
      <c r="B1106" s="14">
        <v>17</v>
      </c>
      <c r="C1106" s="15" t="s">
        <v>2117</v>
      </c>
      <c r="D1106" s="14" t="s">
        <v>1749</v>
      </c>
      <c r="E1106" s="14" t="s">
        <v>1746</v>
      </c>
      <c r="F1106" s="17" t="s">
        <v>2994</v>
      </c>
      <c r="G1106" s="14">
        <v>798</v>
      </c>
      <c r="H1106" s="14">
        <v>598.5</v>
      </c>
      <c r="I1106" s="31">
        <f>IF(COUNTIFS(Addendum!C:C,A1106,Addendum!D:D,IF(ISNUMBER(B1106),TEXT(B1106,"0000"),B1106),Addendum!E:E,"X")&gt;0,4%,0)</f>
        <v>0</v>
      </c>
      <c r="J1106" s="31">
        <f>IF(COUNTIFS(Addendum!C:C,A1106,Addendum!D:D,IF(ISNUMBER(B1106),TEXT(B1106,"0000"),B1106),Addendum!F:F,"X")&gt;0,2.5%,0)</f>
        <v>0</v>
      </c>
      <c r="K1106" s="31">
        <f>IF(COUNTIFS(Addendum!C:C,A1106,Addendum!D:D,IF(ISNUMBER(B1106),TEXT(B1106,"0000"),B1106),Addendum!G:G,"X")&gt;0,7%,0)</f>
        <v>0</v>
      </c>
      <c r="L1106" s="31">
        <f>IF(COUNTIFS(Addendum!C:C,A1106,Addendum!D:D,IF(ISNUMBER(B1106),TEXT(B1106,"0000"),B1106),Addendum!I:I,"X")&gt;0,10%,0)</f>
        <v>0</v>
      </c>
      <c r="M1106" s="34">
        <f t="shared" si="34"/>
        <v>0</v>
      </c>
      <c r="N1106" s="17">
        <f t="shared" si="35"/>
        <v>598.5</v>
      </c>
    </row>
    <row r="1107" spans="1:14" x14ac:dyDescent="0.25">
      <c r="A1107" s="14" t="s">
        <v>2114</v>
      </c>
      <c r="B1107" s="14" t="s">
        <v>243</v>
      </c>
      <c r="C1107" s="15" t="s">
        <v>2118</v>
      </c>
      <c r="D1107" s="14" t="s">
        <v>1745</v>
      </c>
      <c r="E1107" s="14" t="s">
        <v>1747</v>
      </c>
      <c r="F1107" s="17" t="s">
        <v>2995</v>
      </c>
      <c r="G1107" s="14">
        <v>12480</v>
      </c>
      <c r="H1107" s="14">
        <v>11232</v>
      </c>
      <c r="I1107" s="31">
        <f>IF(COUNTIFS(Addendum!C:C,A1107,Addendum!D:D,IF(ISNUMBER(B1107),TEXT(B1107,"0000"),B1107),Addendum!E:E,"X")&gt;0,4%,0)</f>
        <v>0</v>
      </c>
      <c r="J1107" s="31">
        <f>IF(COUNTIFS(Addendum!C:C,A1107,Addendum!D:D,IF(ISNUMBER(B1107),TEXT(B1107,"0000"),B1107),Addendum!F:F,"X")&gt;0,2.5%,0)</f>
        <v>0</v>
      </c>
      <c r="K1107" s="31">
        <f>IF(COUNTIFS(Addendum!C:C,A1107,Addendum!D:D,IF(ISNUMBER(B1107),TEXT(B1107,"0000"),B1107),Addendum!G:G,"X")&gt;0,7%,0)</f>
        <v>0</v>
      </c>
      <c r="L1107" s="31">
        <f>IF(COUNTIFS(Addendum!C:C,A1107,Addendum!D:D,IF(ISNUMBER(B1107),TEXT(B1107,"0000"),B1107),Addendum!I:I,"X")&gt;0,10%,0)</f>
        <v>0</v>
      </c>
      <c r="M1107" s="34">
        <f t="shared" si="34"/>
        <v>0</v>
      </c>
      <c r="N1107" s="17">
        <f t="shared" si="35"/>
        <v>11232</v>
      </c>
    </row>
    <row r="1108" spans="1:14" ht="30" x14ac:dyDescent="0.25">
      <c r="A1108" s="14" t="s">
        <v>2114</v>
      </c>
      <c r="B1108" s="14">
        <v>3</v>
      </c>
      <c r="C1108" s="15" t="s">
        <v>2116</v>
      </c>
      <c r="D1108" s="14" t="s">
        <v>1749</v>
      </c>
      <c r="E1108" s="14" t="s">
        <v>1746</v>
      </c>
      <c r="F1108" s="17" t="s">
        <v>2993</v>
      </c>
      <c r="G1108" s="14">
        <v>1998</v>
      </c>
      <c r="H1108" s="14">
        <v>1498.5</v>
      </c>
      <c r="I1108" s="31">
        <f>IF(COUNTIFS(Addendum!C:C,A1108,Addendum!D:D,IF(ISNUMBER(B1108),TEXT(B1108,"0000"),B1108),Addendum!E:E,"X")&gt;0,4%,0)</f>
        <v>0</v>
      </c>
      <c r="J1108" s="31">
        <f>IF(COUNTIFS(Addendum!C:C,A1108,Addendum!D:D,IF(ISNUMBER(B1108),TEXT(B1108,"0000"),B1108),Addendum!F:F,"X")&gt;0,2.5%,0)</f>
        <v>0</v>
      </c>
      <c r="K1108" s="31">
        <f>IF(COUNTIFS(Addendum!C:C,A1108,Addendum!D:D,IF(ISNUMBER(B1108),TEXT(B1108,"0000"),B1108),Addendum!G:G,"X")&gt;0,7%,0)</f>
        <v>0</v>
      </c>
      <c r="L1108" s="31">
        <f>IF(COUNTIFS(Addendum!C:C,A1108,Addendum!D:D,IF(ISNUMBER(B1108),TEXT(B1108,"0000"),B1108),Addendum!I:I,"X")&gt;0,10%,0)</f>
        <v>0</v>
      </c>
      <c r="M1108" s="34">
        <f t="shared" si="34"/>
        <v>0</v>
      </c>
      <c r="N1108" s="17">
        <f t="shared" si="35"/>
        <v>1498.5</v>
      </c>
    </row>
    <row r="1109" spans="1:14" x14ac:dyDescent="0.25">
      <c r="A1109" s="14" t="s">
        <v>2114</v>
      </c>
      <c r="B1109" s="14">
        <v>1</v>
      </c>
      <c r="C1109" s="15" t="s">
        <v>2119</v>
      </c>
      <c r="D1109" s="14" t="s">
        <v>1752</v>
      </c>
      <c r="E1109" s="14" t="s">
        <v>1746</v>
      </c>
      <c r="F1109" s="17" t="s">
        <v>2993</v>
      </c>
      <c r="G1109" s="14">
        <v>157248</v>
      </c>
      <c r="H1109" s="14">
        <v>117936</v>
      </c>
      <c r="I1109" s="31">
        <f>IF(COUNTIFS(Addendum!C:C,A1109,Addendum!D:D,IF(ISNUMBER(B1109),TEXT(B1109,"0000"),B1109),Addendum!E:E,"X")&gt;0,4%,0)</f>
        <v>0</v>
      </c>
      <c r="J1109" s="31">
        <f>IF(COUNTIFS(Addendum!C:C,A1109,Addendum!D:D,IF(ISNUMBER(B1109),TEXT(B1109,"0000"),B1109),Addendum!F:F,"X")&gt;0,2.5%,0)</f>
        <v>0</v>
      </c>
      <c r="K1109" s="31">
        <f>IF(COUNTIFS(Addendum!C:C,A1109,Addendum!D:D,IF(ISNUMBER(B1109),TEXT(B1109,"0000"),B1109),Addendum!G:G,"X")&gt;0,7%,0)</f>
        <v>0</v>
      </c>
      <c r="L1109" s="31">
        <f>IF(COUNTIFS(Addendum!C:C,A1109,Addendum!D:D,IF(ISNUMBER(B1109),TEXT(B1109,"0000"),B1109),Addendum!I:I,"X")&gt;0,10%,0)</f>
        <v>0</v>
      </c>
      <c r="M1109" s="34">
        <f t="shared" si="34"/>
        <v>0</v>
      </c>
      <c r="N1109" s="17">
        <f t="shared" si="35"/>
        <v>117936</v>
      </c>
    </row>
    <row r="1110" spans="1:14" ht="30" x14ac:dyDescent="0.25">
      <c r="A1110" s="14" t="s">
        <v>2114</v>
      </c>
      <c r="B1110" s="14">
        <v>15</v>
      </c>
      <c r="C1110" s="15" t="s">
        <v>2120</v>
      </c>
      <c r="D1110" s="14" t="s">
        <v>1745</v>
      </c>
      <c r="E1110" s="14" t="s">
        <v>1746</v>
      </c>
      <c r="F1110" s="17" t="s">
        <v>2995</v>
      </c>
      <c r="G1110" s="14">
        <v>5229</v>
      </c>
      <c r="H1110" s="14">
        <v>4706.16</v>
      </c>
      <c r="I1110" s="31">
        <f>IF(COUNTIFS(Addendum!C:C,A1110,Addendum!D:D,IF(ISNUMBER(B1110),TEXT(B1110,"0000"),B1110),Addendum!E:E,"X")&gt;0,4%,0)</f>
        <v>0</v>
      </c>
      <c r="J1110" s="31">
        <f>IF(COUNTIFS(Addendum!C:C,A1110,Addendum!D:D,IF(ISNUMBER(B1110),TEXT(B1110,"0000"),B1110),Addendum!F:F,"X")&gt;0,2.5%,0)</f>
        <v>0</v>
      </c>
      <c r="K1110" s="31">
        <f>IF(COUNTIFS(Addendum!C:C,A1110,Addendum!D:D,IF(ISNUMBER(B1110),TEXT(B1110,"0000"),B1110),Addendum!G:G,"X")&gt;0,7%,0)</f>
        <v>0</v>
      </c>
      <c r="L1110" s="31">
        <f>IF(COUNTIFS(Addendum!C:C,A1110,Addendum!D:D,IF(ISNUMBER(B1110),TEXT(B1110,"0000"),B1110),Addendum!I:I,"X")&gt;0,10%,0)</f>
        <v>0</v>
      </c>
      <c r="M1110" s="34">
        <f t="shared" si="34"/>
        <v>0</v>
      </c>
      <c r="N1110" s="17">
        <f t="shared" si="35"/>
        <v>4706.16</v>
      </c>
    </row>
    <row r="1111" spans="1:14" x14ac:dyDescent="0.25">
      <c r="A1111" s="14" t="s">
        <v>2114</v>
      </c>
      <c r="B1111" s="14">
        <v>1</v>
      </c>
      <c r="C1111" s="15" t="s">
        <v>2119</v>
      </c>
      <c r="D1111" s="14" t="s">
        <v>1745</v>
      </c>
      <c r="E1111" s="14" t="s">
        <v>1746</v>
      </c>
      <c r="F1111" s="17" t="s">
        <v>2993</v>
      </c>
      <c r="G1111" s="14">
        <v>52416</v>
      </c>
      <c r="H1111" s="14">
        <v>39312</v>
      </c>
      <c r="I1111" s="31">
        <f>IF(COUNTIFS(Addendum!C:C,A1111,Addendum!D:D,IF(ISNUMBER(B1111),TEXT(B1111,"0000"),B1111),Addendum!E:E,"X")&gt;0,4%,0)</f>
        <v>0</v>
      </c>
      <c r="J1111" s="31">
        <f>IF(COUNTIFS(Addendum!C:C,A1111,Addendum!D:D,IF(ISNUMBER(B1111),TEXT(B1111,"0000"),B1111),Addendum!F:F,"X")&gt;0,2.5%,0)</f>
        <v>0</v>
      </c>
      <c r="K1111" s="31">
        <f>IF(COUNTIFS(Addendum!C:C,A1111,Addendum!D:D,IF(ISNUMBER(B1111),TEXT(B1111,"0000"),B1111),Addendum!G:G,"X")&gt;0,7%,0)</f>
        <v>0</v>
      </c>
      <c r="L1111" s="31">
        <f>IF(COUNTIFS(Addendum!C:C,A1111,Addendum!D:D,IF(ISNUMBER(B1111),TEXT(B1111,"0000"),B1111),Addendum!I:I,"X")&gt;0,10%,0)</f>
        <v>0</v>
      </c>
      <c r="M1111" s="34">
        <f t="shared" si="34"/>
        <v>0</v>
      </c>
      <c r="N1111" s="17">
        <f t="shared" si="35"/>
        <v>39312</v>
      </c>
    </row>
    <row r="1112" spans="1:14" ht="30" x14ac:dyDescent="0.25">
      <c r="A1112" s="14" t="s">
        <v>2114</v>
      </c>
      <c r="B1112" s="14">
        <v>3</v>
      </c>
      <c r="C1112" s="15" t="s">
        <v>2116</v>
      </c>
      <c r="D1112" s="14" t="s">
        <v>1752</v>
      </c>
      <c r="E1112" s="14" t="s">
        <v>1747</v>
      </c>
      <c r="F1112" s="17" t="s">
        <v>2993</v>
      </c>
      <c r="G1112" s="14">
        <v>59940</v>
      </c>
      <c r="H1112" s="14">
        <v>44955</v>
      </c>
      <c r="I1112" s="31">
        <f>IF(COUNTIFS(Addendum!C:C,A1112,Addendum!D:D,IF(ISNUMBER(B1112),TEXT(B1112,"0000"),B1112),Addendum!E:E,"X")&gt;0,4%,0)</f>
        <v>0</v>
      </c>
      <c r="J1112" s="31">
        <f>IF(COUNTIFS(Addendum!C:C,A1112,Addendum!D:D,IF(ISNUMBER(B1112),TEXT(B1112,"0000"),B1112),Addendum!F:F,"X")&gt;0,2.5%,0)</f>
        <v>0</v>
      </c>
      <c r="K1112" s="31">
        <f>IF(COUNTIFS(Addendum!C:C,A1112,Addendum!D:D,IF(ISNUMBER(B1112),TEXT(B1112,"0000"),B1112),Addendum!G:G,"X")&gt;0,7%,0)</f>
        <v>0</v>
      </c>
      <c r="L1112" s="31">
        <f>IF(COUNTIFS(Addendum!C:C,A1112,Addendum!D:D,IF(ISNUMBER(B1112),TEXT(B1112,"0000"),B1112),Addendum!I:I,"X")&gt;0,10%,0)</f>
        <v>0</v>
      </c>
      <c r="M1112" s="34">
        <f t="shared" si="34"/>
        <v>0</v>
      </c>
      <c r="N1112" s="17">
        <f t="shared" si="35"/>
        <v>44955</v>
      </c>
    </row>
    <row r="1113" spans="1:14" x14ac:dyDescent="0.25">
      <c r="A1113" s="14" t="s">
        <v>2114</v>
      </c>
      <c r="B1113" s="14" t="s">
        <v>243</v>
      </c>
      <c r="C1113" s="15" t="s">
        <v>2118</v>
      </c>
      <c r="D1113" s="14" t="s">
        <v>1745</v>
      </c>
      <c r="E1113" s="14" t="s">
        <v>1746</v>
      </c>
      <c r="F1113" s="17" t="s">
        <v>2995</v>
      </c>
      <c r="G1113" s="14">
        <v>13104</v>
      </c>
      <c r="H1113" s="14">
        <v>11793.6</v>
      </c>
      <c r="I1113" s="31">
        <f>IF(COUNTIFS(Addendum!C:C,A1113,Addendum!D:D,IF(ISNUMBER(B1113),TEXT(B1113,"0000"),B1113),Addendum!E:E,"X")&gt;0,4%,0)</f>
        <v>0</v>
      </c>
      <c r="J1113" s="31">
        <f>IF(COUNTIFS(Addendum!C:C,A1113,Addendum!D:D,IF(ISNUMBER(B1113),TEXT(B1113,"0000"),B1113),Addendum!F:F,"X")&gt;0,2.5%,0)</f>
        <v>0</v>
      </c>
      <c r="K1113" s="31">
        <f>IF(COUNTIFS(Addendum!C:C,A1113,Addendum!D:D,IF(ISNUMBER(B1113),TEXT(B1113,"0000"),B1113),Addendum!G:G,"X")&gt;0,7%,0)</f>
        <v>0</v>
      </c>
      <c r="L1113" s="31">
        <f>IF(COUNTIFS(Addendum!C:C,A1113,Addendum!D:D,IF(ISNUMBER(B1113),TEXT(B1113,"0000"),B1113),Addendum!I:I,"X")&gt;0,10%,0)</f>
        <v>0</v>
      </c>
      <c r="M1113" s="34">
        <f t="shared" si="34"/>
        <v>0</v>
      </c>
      <c r="N1113" s="17">
        <f t="shared" si="35"/>
        <v>11793.6</v>
      </c>
    </row>
    <row r="1114" spans="1:14" x14ac:dyDescent="0.25">
      <c r="A1114" s="14" t="s">
        <v>2114</v>
      </c>
      <c r="B1114" s="14">
        <v>1</v>
      </c>
      <c r="C1114" s="15" t="s">
        <v>2119</v>
      </c>
      <c r="D1114" s="14" t="s">
        <v>1752</v>
      </c>
      <c r="E1114" s="14" t="s">
        <v>1747</v>
      </c>
      <c r="F1114" s="17" t="s">
        <v>2993</v>
      </c>
      <c r="G1114" s="14">
        <v>149760</v>
      </c>
      <c r="H1114" s="14">
        <v>112320</v>
      </c>
      <c r="I1114" s="31">
        <f>IF(COUNTIFS(Addendum!C:C,A1114,Addendum!D:D,IF(ISNUMBER(B1114),TEXT(B1114,"0000"),B1114),Addendum!E:E,"X")&gt;0,4%,0)</f>
        <v>0</v>
      </c>
      <c r="J1114" s="31">
        <f>IF(COUNTIFS(Addendum!C:C,A1114,Addendum!D:D,IF(ISNUMBER(B1114),TEXT(B1114,"0000"),B1114),Addendum!F:F,"X")&gt;0,2.5%,0)</f>
        <v>0</v>
      </c>
      <c r="K1114" s="31">
        <f>IF(COUNTIFS(Addendum!C:C,A1114,Addendum!D:D,IF(ISNUMBER(B1114),TEXT(B1114,"0000"),B1114),Addendum!G:G,"X")&gt;0,7%,0)</f>
        <v>0</v>
      </c>
      <c r="L1114" s="31">
        <f>IF(COUNTIFS(Addendum!C:C,A1114,Addendum!D:D,IF(ISNUMBER(B1114),TEXT(B1114,"0000"),B1114),Addendum!I:I,"X")&gt;0,10%,0)</f>
        <v>0</v>
      </c>
      <c r="M1114" s="34">
        <f t="shared" si="34"/>
        <v>0</v>
      </c>
      <c r="N1114" s="17">
        <f t="shared" si="35"/>
        <v>112320</v>
      </c>
    </row>
    <row r="1115" spans="1:14" ht="30" x14ac:dyDescent="0.25">
      <c r="A1115" s="14" t="s">
        <v>2114</v>
      </c>
      <c r="B1115" s="14">
        <v>15</v>
      </c>
      <c r="C1115" s="15" t="s">
        <v>2120</v>
      </c>
      <c r="D1115" s="14" t="s">
        <v>1749</v>
      </c>
      <c r="E1115" s="14" t="s">
        <v>1746</v>
      </c>
      <c r="F1115" s="17" t="s">
        <v>2995</v>
      </c>
      <c r="G1115" s="14">
        <v>498</v>
      </c>
      <c r="H1115" s="14">
        <v>448.2</v>
      </c>
      <c r="I1115" s="31">
        <f>IF(COUNTIFS(Addendum!C:C,A1115,Addendum!D:D,IF(ISNUMBER(B1115),TEXT(B1115,"0000"),B1115),Addendum!E:E,"X")&gt;0,4%,0)</f>
        <v>0</v>
      </c>
      <c r="J1115" s="31">
        <f>IF(COUNTIFS(Addendum!C:C,A1115,Addendum!D:D,IF(ISNUMBER(B1115),TEXT(B1115,"0000"),B1115),Addendum!F:F,"X")&gt;0,2.5%,0)</f>
        <v>0</v>
      </c>
      <c r="K1115" s="31">
        <f>IF(COUNTIFS(Addendum!C:C,A1115,Addendum!D:D,IF(ISNUMBER(B1115),TEXT(B1115,"0000"),B1115),Addendum!G:G,"X")&gt;0,7%,0)</f>
        <v>0</v>
      </c>
      <c r="L1115" s="31">
        <f>IF(COUNTIFS(Addendum!C:C,A1115,Addendum!D:D,IF(ISNUMBER(B1115),TEXT(B1115,"0000"),B1115),Addendum!I:I,"X")&gt;0,10%,0)</f>
        <v>0</v>
      </c>
      <c r="M1115" s="34">
        <f t="shared" si="34"/>
        <v>0</v>
      </c>
      <c r="N1115" s="17">
        <f t="shared" si="35"/>
        <v>448.2</v>
      </c>
    </row>
    <row r="1116" spans="1:14" x14ac:dyDescent="0.25">
      <c r="A1116" s="14" t="s">
        <v>2114</v>
      </c>
      <c r="B1116" s="14">
        <v>10</v>
      </c>
      <c r="C1116" s="15" t="s">
        <v>2121</v>
      </c>
      <c r="D1116" s="14" t="s">
        <v>1749</v>
      </c>
      <c r="E1116" s="14" t="s">
        <v>1746</v>
      </c>
      <c r="F1116" s="17" t="s">
        <v>2994</v>
      </c>
      <c r="G1116" s="14">
        <v>1998</v>
      </c>
      <c r="H1116" s="14">
        <v>1498.5</v>
      </c>
      <c r="I1116" s="31">
        <f>IF(COUNTIFS(Addendum!C:C,A1116,Addendum!D:D,IF(ISNUMBER(B1116),TEXT(B1116,"0000"),B1116),Addendum!E:E,"X")&gt;0,4%,0)</f>
        <v>0</v>
      </c>
      <c r="J1116" s="31">
        <f>IF(COUNTIFS(Addendum!C:C,A1116,Addendum!D:D,IF(ISNUMBER(B1116),TEXT(B1116,"0000"),B1116),Addendum!F:F,"X")&gt;0,2.5%,0)</f>
        <v>0</v>
      </c>
      <c r="K1116" s="31">
        <f>IF(COUNTIFS(Addendum!C:C,A1116,Addendum!D:D,IF(ISNUMBER(B1116),TEXT(B1116,"0000"),B1116),Addendum!G:G,"X")&gt;0,7%,0)</f>
        <v>0</v>
      </c>
      <c r="L1116" s="31">
        <f>IF(COUNTIFS(Addendum!C:C,A1116,Addendum!D:D,IF(ISNUMBER(B1116),TEXT(B1116,"0000"),B1116),Addendum!I:I,"X")&gt;0,10%,0)</f>
        <v>0</v>
      </c>
      <c r="M1116" s="34">
        <f t="shared" si="34"/>
        <v>0</v>
      </c>
      <c r="N1116" s="17">
        <f t="shared" si="35"/>
        <v>1498.5</v>
      </c>
    </row>
    <row r="1117" spans="1:14" x14ac:dyDescent="0.25">
      <c r="A1117" s="14" t="s">
        <v>2114</v>
      </c>
      <c r="B1117" s="14">
        <v>1</v>
      </c>
      <c r="C1117" s="15" t="s">
        <v>2119</v>
      </c>
      <c r="D1117" s="14" t="s">
        <v>1749</v>
      </c>
      <c r="E1117" s="14" t="s">
        <v>1746</v>
      </c>
      <c r="F1117" s="17" t="s">
        <v>2993</v>
      </c>
      <c r="G1117" s="14">
        <v>4992</v>
      </c>
      <c r="H1117" s="14">
        <v>3744</v>
      </c>
      <c r="I1117" s="31">
        <f>IF(COUNTIFS(Addendum!C:C,A1117,Addendum!D:D,IF(ISNUMBER(B1117),TEXT(B1117,"0000"),B1117),Addendum!E:E,"X")&gt;0,4%,0)</f>
        <v>0</v>
      </c>
      <c r="J1117" s="31">
        <f>IF(COUNTIFS(Addendum!C:C,A1117,Addendum!D:D,IF(ISNUMBER(B1117),TEXT(B1117,"0000"),B1117),Addendum!F:F,"X")&gt;0,2.5%,0)</f>
        <v>0</v>
      </c>
      <c r="K1117" s="31">
        <f>IF(COUNTIFS(Addendum!C:C,A1117,Addendum!D:D,IF(ISNUMBER(B1117),TEXT(B1117,"0000"),B1117),Addendum!G:G,"X")&gt;0,7%,0)</f>
        <v>0</v>
      </c>
      <c r="L1117" s="31">
        <f>IF(COUNTIFS(Addendum!C:C,A1117,Addendum!D:D,IF(ISNUMBER(B1117),TEXT(B1117,"0000"),B1117),Addendum!I:I,"X")&gt;0,10%,0)</f>
        <v>0</v>
      </c>
      <c r="M1117" s="34">
        <f t="shared" si="34"/>
        <v>0</v>
      </c>
      <c r="N1117" s="17">
        <f t="shared" si="35"/>
        <v>3744</v>
      </c>
    </row>
    <row r="1118" spans="1:14" x14ac:dyDescent="0.25">
      <c r="A1118" s="14" t="s">
        <v>2114</v>
      </c>
      <c r="B1118" s="14">
        <v>10</v>
      </c>
      <c r="C1118" s="15" t="s">
        <v>2121</v>
      </c>
      <c r="D1118" s="14" t="s">
        <v>1745</v>
      </c>
      <c r="E1118" s="14" t="s">
        <v>1747</v>
      </c>
      <c r="F1118" s="17" t="s">
        <v>2994</v>
      </c>
      <c r="G1118" s="14">
        <v>19980</v>
      </c>
      <c r="H1118" s="14">
        <v>14985</v>
      </c>
      <c r="I1118" s="31">
        <f>IF(COUNTIFS(Addendum!C:C,A1118,Addendum!D:D,IF(ISNUMBER(B1118),TEXT(B1118,"0000"),B1118),Addendum!E:E,"X")&gt;0,4%,0)</f>
        <v>0</v>
      </c>
      <c r="J1118" s="31">
        <f>IF(COUNTIFS(Addendum!C:C,A1118,Addendum!D:D,IF(ISNUMBER(B1118),TEXT(B1118,"0000"),B1118),Addendum!F:F,"X")&gt;0,2.5%,0)</f>
        <v>0</v>
      </c>
      <c r="K1118" s="31">
        <f>IF(COUNTIFS(Addendum!C:C,A1118,Addendum!D:D,IF(ISNUMBER(B1118),TEXT(B1118,"0000"),B1118),Addendum!G:G,"X")&gt;0,7%,0)</f>
        <v>0</v>
      </c>
      <c r="L1118" s="31">
        <f>IF(COUNTIFS(Addendum!C:C,A1118,Addendum!D:D,IF(ISNUMBER(B1118),TEXT(B1118,"0000"),B1118),Addendum!I:I,"X")&gt;0,10%,0)</f>
        <v>0</v>
      </c>
      <c r="M1118" s="34">
        <f t="shared" si="34"/>
        <v>0</v>
      </c>
      <c r="N1118" s="17">
        <f t="shared" si="35"/>
        <v>14985</v>
      </c>
    </row>
    <row r="1119" spans="1:14" x14ac:dyDescent="0.25">
      <c r="A1119" s="14" t="s">
        <v>2114</v>
      </c>
      <c r="B1119" s="14">
        <v>1</v>
      </c>
      <c r="C1119" s="15" t="s">
        <v>2119</v>
      </c>
      <c r="D1119" s="14" t="s">
        <v>1752</v>
      </c>
      <c r="E1119" s="14" t="s">
        <v>1753</v>
      </c>
      <c r="F1119" s="17" t="s">
        <v>2993</v>
      </c>
      <c r="G1119" s="14">
        <v>149760</v>
      </c>
      <c r="H1119" s="14">
        <v>112320</v>
      </c>
      <c r="I1119" s="31">
        <f>IF(COUNTIFS(Addendum!C:C,A1119,Addendum!D:D,IF(ISNUMBER(B1119),TEXT(B1119,"0000"),B1119),Addendum!E:E,"X")&gt;0,4%,0)</f>
        <v>0</v>
      </c>
      <c r="J1119" s="31">
        <f>IF(COUNTIFS(Addendum!C:C,A1119,Addendum!D:D,IF(ISNUMBER(B1119),TEXT(B1119,"0000"),B1119),Addendum!F:F,"X")&gt;0,2.5%,0)</f>
        <v>0</v>
      </c>
      <c r="K1119" s="31">
        <f>IF(COUNTIFS(Addendum!C:C,A1119,Addendum!D:D,IF(ISNUMBER(B1119),TEXT(B1119,"0000"),B1119),Addendum!G:G,"X")&gt;0,7%,0)</f>
        <v>0</v>
      </c>
      <c r="L1119" s="31">
        <f>IF(COUNTIFS(Addendum!C:C,A1119,Addendum!D:D,IF(ISNUMBER(B1119),TEXT(B1119,"0000"),B1119),Addendum!I:I,"X")&gt;0,10%,0)</f>
        <v>0</v>
      </c>
      <c r="M1119" s="34">
        <f t="shared" si="34"/>
        <v>0</v>
      </c>
      <c r="N1119" s="17">
        <f t="shared" si="35"/>
        <v>112320</v>
      </c>
    </row>
    <row r="1120" spans="1:14" x14ac:dyDescent="0.25">
      <c r="A1120" s="14" t="s">
        <v>2114</v>
      </c>
      <c r="B1120" s="14" t="s">
        <v>102</v>
      </c>
      <c r="C1120" s="15" t="s">
        <v>2122</v>
      </c>
      <c r="D1120" s="14" t="s">
        <v>1745</v>
      </c>
      <c r="E1120" s="14" t="s">
        <v>1746</v>
      </c>
      <c r="F1120" s="17" t="s">
        <v>2994</v>
      </c>
      <c r="G1120" s="14">
        <v>28854</v>
      </c>
      <c r="H1120" s="14">
        <v>21640.560000000001</v>
      </c>
      <c r="I1120" s="31">
        <f>IF(COUNTIFS(Addendum!C:C,A1120,Addendum!D:D,IF(ISNUMBER(B1120),TEXT(B1120,"0000"),B1120),Addendum!E:E,"X")&gt;0,4%,0)</f>
        <v>0</v>
      </c>
      <c r="J1120" s="31">
        <f>IF(COUNTIFS(Addendum!C:C,A1120,Addendum!D:D,IF(ISNUMBER(B1120),TEXT(B1120,"0000"),B1120),Addendum!F:F,"X")&gt;0,2.5%,0)</f>
        <v>0</v>
      </c>
      <c r="K1120" s="31">
        <f>IF(COUNTIFS(Addendum!C:C,A1120,Addendum!D:D,IF(ISNUMBER(B1120),TEXT(B1120,"0000"),B1120),Addendum!G:G,"X")&gt;0,7%,0)</f>
        <v>0</v>
      </c>
      <c r="L1120" s="31">
        <f>IF(COUNTIFS(Addendum!C:C,A1120,Addendum!D:D,IF(ISNUMBER(B1120),TEXT(B1120,"0000"),B1120),Addendum!I:I,"X")&gt;0,10%,0)</f>
        <v>0</v>
      </c>
      <c r="M1120" s="34">
        <f t="shared" si="34"/>
        <v>0</v>
      </c>
      <c r="N1120" s="17">
        <f t="shared" si="35"/>
        <v>21640.560000000001</v>
      </c>
    </row>
    <row r="1121" spans="1:14" ht="30" x14ac:dyDescent="0.25">
      <c r="A1121" s="14" t="s">
        <v>2114</v>
      </c>
      <c r="B1121" s="14">
        <v>15</v>
      </c>
      <c r="C1121" s="15" t="s">
        <v>2120</v>
      </c>
      <c r="D1121" s="14" t="s">
        <v>1745</v>
      </c>
      <c r="E1121" s="14" t="s">
        <v>1747</v>
      </c>
      <c r="F1121" s="17" t="s">
        <v>2995</v>
      </c>
      <c r="G1121" s="14">
        <v>4980</v>
      </c>
      <c r="H1121" s="14">
        <v>4482</v>
      </c>
      <c r="I1121" s="31">
        <f>IF(COUNTIFS(Addendum!C:C,A1121,Addendum!D:D,IF(ISNUMBER(B1121),TEXT(B1121,"0000"),B1121),Addendum!E:E,"X")&gt;0,4%,0)</f>
        <v>0</v>
      </c>
      <c r="J1121" s="31">
        <f>IF(COUNTIFS(Addendum!C:C,A1121,Addendum!D:D,IF(ISNUMBER(B1121),TEXT(B1121,"0000"),B1121),Addendum!F:F,"X")&gt;0,2.5%,0)</f>
        <v>0</v>
      </c>
      <c r="K1121" s="31">
        <f>IF(COUNTIFS(Addendum!C:C,A1121,Addendum!D:D,IF(ISNUMBER(B1121),TEXT(B1121,"0000"),B1121),Addendum!G:G,"X")&gt;0,7%,0)</f>
        <v>0</v>
      </c>
      <c r="L1121" s="31">
        <f>IF(COUNTIFS(Addendum!C:C,A1121,Addendum!D:D,IF(ISNUMBER(B1121),TEXT(B1121,"0000"),B1121),Addendum!I:I,"X")&gt;0,10%,0)</f>
        <v>0</v>
      </c>
      <c r="M1121" s="34">
        <f t="shared" si="34"/>
        <v>0</v>
      </c>
      <c r="N1121" s="17">
        <f t="shared" si="35"/>
        <v>4482</v>
      </c>
    </row>
    <row r="1122" spans="1:14" x14ac:dyDescent="0.25">
      <c r="A1122" s="14" t="s">
        <v>2114</v>
      </c>
      <c r="B1122" s="14">
        <v>1</v>
      </c>
      <c r="C1122" s="15" t="s">
        <v>2119</v>
      </c>
      <c r="D1122" s="14" t="s">
        <v>1745</v>
      </c>
      <c r="E1122" s="14" t="s">
        <v>1747</v>
      </c>
      <c r="F1122" s="17" t="s">
        <v>2993</v>
      </c>
      <c r="G1122" s="14">
        <v>49920</v>
      </c>
      <c r="H1122" s="14">
        <v>37440</v>
      </c>
      <c r="I1122" s="31">
        <f>IF(COUNTIFS(Addendum!C:C,A1122,Addendum!D:D,IF(ISNUMBER(B1122),TEXT(B1122,"0000"),B1122),Addendum!E:E,"X")&gt;0,4%,0)</f>
        <v>0</v>
      </c>
      <c r="J1122" s="31">
        <f>IF(COUNTIFS(Addendum!C:C,A1122,Addendum!D:D,IF(ISNUMBER(B1122),TEXT(B1122,"0000"),B1122),Addendum!F:F,"X")&gt;0,2.5%,0)</f>
        <v>0</v>
      </c>
      <c r="K1122" s="31">
        <f>IF(COUNTIFS(Addendum!C:C,A1122,Addendum!D:D,IF(ISNUMBER(B1122),TEXT(B1122,"0000"),B1122),Addendum!G:G,"X")&gt;0,7%,0)</f>
        <v>0</v>
      </c>
      <c r="L1122" s="31">
        <f>IF(COUNTIFS(Addendum!C:C,A1122,Addendum!D:D,IF(ISNUMBER(B1122),TEXT(B1122,"0000"),B1122),Addendum!I:I,"X")&gt;0,10%,0)</f>
        <v>0</v>
      </c>
      <c r="M1122" s="34">
        <f t="shared" si="34"/>
        <v>0</v>
      </c>
      <c r="N1122" s="17">
        <f t="shared" si="35"/>
        <v>37440</v>
      </c>
    </row>
    <row r="1123" spans="1:14" ht="30" x14ac:dyDescent="0.25">
      <c r="A1123" s="14" t="s">
        <v>2114</v>
      </c>
      <c r="B1123" s="14">
        <v>17</v>
      </c>
      <c r="C1123" s="15" t="s">
        <v>2117</v>
      </c>
      <c r="D1123" s="14" t="s">
        <v>1745</v>
      </c>
      <c r="E1123" s="14" t="s">
        <v>1747</v>
      </c>
      <c r="F1123" s="17" t="s">
        <v>2994</v>
      </c>
      <c r="G1123" s="14">
        <v>7980</v>
      </c>
      <c r="H1123" s="14">
        <v>5985</v>
      </c>
      <c r="I1123" s="31">
        <f>IF(COUNTIFS(Addendum!C:C,A1123,Addendum!D:D,IF(ISNUMBER(B1123),TEXT(B1123,"0000"),B1123),Addendum!E:E,"X")&gt;0,4%,0)</f>
        <v>0</v>
      </c>
      <c r="J1123" s="31">
        <f>IF(COUNTIFS(Addendum!C:C,A1123,Addendum!D:D,IF(ISNUMBER(B1123),TEXT(B1123,"0000"),B1123),Addendum!F:F,"X")&gt;0,2.5%,0)</f>
        <v>0</v>
      </c>
      <c r="K1123" s="31">
        <f>IF(COUNTIFS(Addendum!C:C,A1123,Addendum!D:D,IF(ISNUMBER(B1123),TEXT(B1123,"0000"),B1123),Addendum!G:G,"X")&gt;0,7%,0)</f>
        <v>0</v>
      </c>
      <c r="L1123" s="31">
        <f>IF(COUNTIFS(Addendum!C:C,A1123,Addendum!D:D,IF(ISNUMBER(B1123),TEXT(B1123,"0000"),B1123),Addendum!I:I,"X")&gt;0,10%,0)</f>
        <v>0</v>
      </c>
      <c r="M1123" s="34">
        <f t="shared" si="34"/>
        <v>0</v>
      </c>
      <c r="N1123" s="17">
        <f t="shared" si="35"/>
        <v>5985</v>
      </c>
    </row>
    <row r="1124" spans="1:14" x14ac:dyDescent="0.25">
      <c r="A1124" s="14" t="s">
        <v>2114</v>
      </c>
      <c r="B1124" s="14" t="s">
        <v>243</v>
      </c>
      <c r="C1124" s="15" t="s">
        <v>2118</v>
      </c>
      <c r="D1124" s="14" t="s">
        <v>1749</v>
      </c>
      <c r="E1124" s="14" t="s">
        <v>1746</v>
      </c>
      <c r="F1124" s="17" t="s">
        <v>2995</v>
      </c>
      <c r="G1124" s="14">
        <v>1248</v>
      </c>
      <c r="H1124" s="14">
        <v>1123.2</v>
      </c>
      <c r="I1124" s="31">
        <f>IF(COUNTIFS(Addendum!C:C,A1124,Addendum!D:D,IF(ISNUMBER(B1124),TEXT(B1124,"0000"),B1124),Addendum!E:E,"X")&gt;0,4%,0)</f>
        <v>0</v>
      </c>
      <c r="J1124" s="31">
        <f>IF(COUNTIFS(Addendum!C:C,A1124,Addendum!D:D,IF(ISNUMBER(B1124),TEXT(B1124,"0000"),B1124),Addendum!F:F,"X")&gt;0,2.5%,0)</f>
        <v>0</v>
      </c>
      <c r="K1124" s="31">
        <f>IF(COUNTIFS(Addendum!C:C,A1124,Addendum!D:D,IF(ISNUMBER(B1124),TEXT(B1124,"0000"),B1124),Addendum!G:G,"X")&gt;0,7%,0)</f>
        <v>0</v>
      </c>
      <c r="L1124" s="31">
        <f>IF(COUNTIFS(Addendum!C:C,A1124,Addendum!D:D,IF(ISNUMBER(B1124),TEXT(B1124,"0000"),B1124),Addendum!I:I,"X")&gt;0,10%,0)</f>
        <v>0</v>
      </c>
      <c r="M1124" s="34">
        <f t="shared" si="34"/>
        <v>0</v>
      </c>
      <c r="N1124" s="17">
        <f t="shared" si="35"/>
        <v>1123.2</v>
      </c>
    </row>
    <row r="1125" spans="1:14" x14ac:dyDescent="0.25">
      <c r="A1125" s="14" t="s">
        <v>2114</v>
      </c>
      <c r="B1125" s="14" t="s">
        <v>102</v>
      </c>
      <c r="C1125" s="15" t="s">
        <v>2122</v>
      </c>
      <c r="D1125" s="14" t="s">
        <v>1749</v>
      </c>
      <c r="E1125" s="14" t="s">
        <v>1746</v>
      </c>
      <c r="F1125" s="17" t="s">
        <v>2994</v>
      </c>
      <c r="G1125" s="14">
        <v>2748</v>
      </c>
      <c r="H1125" s="14">
        <v>2061</v>
      </c>
      <c r="I1125" s="31">
        <f>IF(COUNTIFS(Addendum!C:C,A1125,Addendum!D:D,IF(ISNUMBER(B1125),TEXT(B1125,"0000"),B1125),Addendum!E:E,"X")&gt;0,4%,0)</f>
        <v>0</v>
      </c>
      <c r="J1125" s="31">
        <f>IF(COUNTIFS(Addendum!C:C,A1125,Addendum!D:D,IF(ISNUMBER(B1125),TEXT(B1125,"0000"),B1125),Addendum!F:F,"X")&gt;0,2.5%,0)</f>
        <v>0</v>
      </c>
      <c r="K1125" s="31">
        <f>IF(COUNTIFS(Addendum!C:C,A1125,Addendum!D:D,IF(ISNUMBER(B1125),TEXT(B1125,"0000"),B1125),Addendum!G:G,"X")&gt;0,7%,0)</f>
        <v>0</v>
      </c>
      <c r="L1125" s="31">
        <f>IF(COUNTIFS(Addendum!C:C,A1125,Addendum!D:D,IF(ISNUMBER(B1125),TEXT(B1125,"0000"),B1125),Addendum!I:I,"X")&gt;0,10%,0)</f>
        <v>0</v>
      </c>
      <c r="M1125" s="34">
        <f t="shared" si="34"/>
        <v>0</v>
      </c>
      <c r="N1125" s="17">
        <f t="shared" si="35"/>
        <v>2061</v>
      </c>
    </row>
    <row r="1126" spans="1:14" ht="30" x14ac:dyDescent="0.25">
      <c r="A1126" s="14" t="s">
        <v>2114</v>
      </c>
      <c r="B1126" s="14">
        <v>3</v>
      </c>
      <c r="C1126" s="15" t="s">
        <v>2116</v>
      </c>
      <c r="D1126" s="14" t="s">
        <v>1745</v>
      </c>
      <c r="E1126" s="14" t="s">
        <v>1747</v>
      </c>
      <c r="F1126" s="17" t="s">
        <v>2993</v>
      </c>
      <c r="G1126" s="14">
        <v>19980</v>
      </c>
      <c r="H1126" s="14">
        <v>14985</v>
      </c>
      <c r="I1126" s="31">
        <f>IF(COUNTIFS(Addendum!C:C,A1126,Addendum!D:D,IF(ISNUMBER(B1126),TEXT(B1126,"0000"),B1126),Addendum!E:E,"X")&gt;0,4%,0)</f>
        <v>0</v>
      </c>
      <c r="J1126" s="31">
        <f>IF(COUNTIFS(Addendum!C:C,A1126,Addendum!D:D,IF(ISNUMBER(B1126),TEXT(B1126,"0000"),B1126),Addendum!F:F,"X")&gt;0,2.5%,0)</f>
        <v>0</v>
      </c>
      <c r="K1126" s="31">
        <f>IF(COUNTIFS(Addendum!C:C,A1126,Addendum!D:D,IF(ISNUMBER(B1126),TEXT(B1126,"0000"),B1126),Addendum!G:G,"X")&gt;0,7%,0)</f>
        <v>0</v>
      </c>
      <c r="L1126" s="31">
        <f>IF(COUNTIFS(Addendum!C:C,A1126,Addendum!D:D,IF(ISNUMBER(B1126),TEXT(B1126,"0000"),B1126),Addendum!I:I,"X")&gt;0,10%,0)</f>
        <v>0</v>
      </c>
      <c r="M1126" s="34">
        <f t="shared" si="34"/>
        <v>0</v>
      </c>
      <c r="N1126" s="17">
        <f t="shared" si="35"/>
        <v>14985</v>
      </c>
    </row>
    <row r="1127" spans="1:14" ht="30" x14ac:dyDescent="0.25">
      <c r="A1127" s="14" t="s">
        <v>2114</v>
      </c>
      <c r="B1127" s="14">
        <v>14</v>
      </c>
      <c r="C1127" s="15" t="s">
        <v>2115</v>
      </c>
      <c r="D1127" s="14" t="s">
        <v>1749</v>
      </c>
      <c r="E1127" s="14" t="s">
        <v>1746</v>
      </c>
      <c r="F1127" s="17" t="s">
        <v>2994</v>
      </c>
      <c r="G1127" s="14">
        <v>1098</v>
      </c>
      <c r="H1127" s="14">
        <v>823.5</v>
      </c>
      <c r="I1127" s="31">
        <f>IF(COUNTIFS(Addendum!C:C,A1127,Addendum!D:D,IF(ISNUMBER(B1127),TEXT(B1127,"0000"),B1127),Addendum!E:E,"X")&gt;0,4%,0)</f>
        <v>0</v>
      </c>
      <c r="J1127" s="31">
        <f>IF(COUNTIFS(Addendum!C:C,A1127,Addendum!D:D,IF(ISNUMBER(B1127),TEXT(B1127,"0000"),B1127),Addendum!F:F,"X")&gt;0,2.5%,0)</f>
        <v>0</v>
      </c>
      <c r="K1127" s="31">
        <f>IF(COUNTIFS(Addendum!C:C,A1127,Addendum!D:D,IF(ISNUMBER(B1127),TEXT(B1127,"0000"),B1127),Addendum!G:G,"X")&gt;0,7%,0)</f>
        <v>0</v>
      </c>
      <c r="L1127" s="31">
        <f>IF(COUNTIFS(Addendum!C:C,A1127,Addendum!D:D,IF(ISNUMBER(B1127),TEXT(B1127,"0000"),B1127),Addendum!I:I,"X")&gt;0,10%,0)</f>
        <v>0</v>
      </c>
      <c r="M1127" s="34">
        <f t="shared" si="34"/>
        <v>0</v>
      </c>
      <c r="N1127" s="17">
        <f t="shared" si="35"/>
        <v>823.5</v>
      </c>
    </row>
    <row r="1128" spans="1:14" ht="30" x14ac:dyDescent="0.25">
      <c r="A1128" s="14" t="s">
        <v>2114</v>
      </c>
      <c r="B1128" s="14">
        <v>17</v>
      </c>
      <c r="C1128" s="15" t="s">
        <v>2117</v>
      </c>
      <c r="D1128" s="14" t="s">
        <v>1745</v>
      </c>
      <c r="E1128" s="14" t="s">
        <v>1746</v>
      </c>
      <c r="F1128" s="17" t="s">
        <v>2994</v>
      </c>
      <c r="G1128" s="14">
        <v>8379</v>
      </c>
      <c r="H1128" s="14">
        <v>6284.28</v>
      </c>
      <c r="I1128" s="31">
        <f>IF(COUNTIFS(Addendum!C:C,A1128,Addendum!D:D,IF(ISNUMBER(B1128),TEXT(B1128,"0000"),B1128),Addendum!E:E,"X")&gt;0,4%,0)</f>
        <v>0</v>
      </c>
      <c r="J1128" s="31">
        <f>IF(COUNTIFS(Addendum!C:C,A1128,Addendum!D:D,IF(ISNUMBER(B1128),TEXT(B1128,"0000"),B1128),Addendum!F:F,"X")&gt;0,2.5%,0)</f>
        <v>0</v>
      </c>
      <c r="K1128" s="31">
        <f>IF(COUNTIFS(Addendum!C:C,A1128,Addendum!D:D,IF(ISNUMBER(B1128),TEXT(B1128,"0000"),B1128),Addendum!G:G,"X")&gt;0,7%,0)</f>
        <v>0</v>
      </c>
      <c r="L1128" s="31">
        <f>IF(COUNTIFS(Addendum!C:C,A1128,Addendum!D:D,IF(ISNUMBER(B1128),TEXT(B1128,"0000"),B1128),Addendum!I:I,"X")&gt;0,10%,0)</f>
        <v>0</v>
      </c>
      <c r="M1128" s="34">
        <f t="shared" si="34"/>
        <v>0</v>
      </c>
      <c r="N1128" s="17">
        <f t="shared" si="35"/>
        <v>6284.28</v>
      </c>
    </row>
    <row r="1129" spans="1:14" ht="30" x14ac:dyDescent="0.25">
      <c r="A1129" s="14" t="s">
        <v>2114</v>
      </c>
      <c r="B1129" s="14">
        <v>3</v>
      </c>
      <c r="C1129" s="15" t="s">
        <v>2116</v>
      </c>
      <c r="D1129" s="14" t="s">
        <v>1745</v>
      </c>
      <c r="E1129" s="14" t="s">
        <v>1746</v>
      </c>
      <c r="F1129" s="17" t="s">
        <v>2993</v>
      </c>
      <c r="G1129" s="14">
        <v>20979</v>
      </c>
      <c r="H1129" s="14">
        <v>15734.28</v>
      </c>
      <c r="I1129" s="31">
        <f>IF(COUNTIFS(Addendum!C:C,A1129,Addendum!D:D,IF(ISNUMBER(B1129),TEXT(B1129,"0000"),B1129),Addendum!E:E,"X")&gt;0,4%,0)</f>
        <v>0</v>
      </c>
      <c r="J1129" s="31">
        <f>IF(COUNTIFS(Addendum!C:C,A1129,Addendum!D:D,IF(ISNUMBER(B1129),TEXT(B1129,"0000"),B1129),Addendum!F:F,"X")&gt;0,2.5%,0)</f>
        <v>0</v>
      </c>
      <c r="K1129" s="31">
        <f>IF(COUNTIFS(Addendum!C:C,A1129,Addendum!D:D,IF(ISNUMBER(B1129),TEXT(B1129,"0000"),B1129),Addendum!G:G,"X")&gt;0,7%,0)</f>
        <v>0</v>
      </c>
      <c r="L1129" s="31">
        <f>IF(COUNTIFS(Addendum!C:C,A1129,Addendum!D:D,IF(ISNUMBER(B1129),TEXT(B1129,"0000"),B1129),Addendum!I:I,"X")&gt;0,10%,0)</f>
        <v>0</v>
      </c>
      <c r="M1129" s="34">
        <f t="shared" si="34"/>
        <v>0</v>
      </c>
      <c r="N1129" s="17">
        <f t="shared" si="35"/>
        <v>15734.28</v>
      </c>
    </row>
    <row r="1130" spans="1:14" x14ac:dyDescent="0.25">
      <c r="A1130" s="14" t="s">
        <v>2114</v>
      </c>
      <c r="B1130" s="14" t="s">
        <v>102</v>
      </c>
      <c r="C1130" s="15" t="s">
        <v>2122</v>
      </c>
      <c r="D1130" s="14" t="s">
        <v>1745</v>
      </c>
      <c r="E1130" s="14" t="s">
        <v>1747</v>
      </c>
      <c r="F1130" s="17" t="s">
        <v>2994</v>
      </c>
      <c r="G1130" s="14">
        <v>27480</v>
      </c>
      <c r="H1130" s="14">
        <v>20610</v>
      </c>
      <c r="I1130" s="31">
        <f>IF(COUNTIFS(Addendum!C:C,A1130,Addendum!D:D,IF(ISNUMBER(B1130),TEXT(B1130,"0000"),B1130),Addendum!E:E,"X")&gt;0,4%,0)</f>
        <v>0</v>
      </c>
      <c r="J1130" s="31">
        <f>IF(COUNTIFS(Addendum!C:C,A1130,Addendum!D:D,IF(ISNUMBER(B1130),TEXT(B1130,"0000"),B1130),Addendum!F:F,"X")&gt;0,2.5%,0)</f>
        <v>0</v>
      </c>
      <c r="K1130" s="31">
        <f>IF(COUNTIFS(Addendum!C:C,A1130,Addendum!D:D,IF(ISNUMBER(B1130),TEXT(B1130,"0000"),B1130),Addendum!G:G,"X")&gt;0,7%,0)</f>
        <v>0</v>
      </c>
      <c r="L1130" s="31">
        <f>IF(COUNTIFS(Addendum!C:C,A1130,Addendum!D:D,IF(ISNUMBER(B1130),TEXT(B1130,"0000"),B1130),Addendum!I:I,"X")&gt;0,10%,0)</f>
        <v>0</v>
      </c>
      <c r="M1130" s="34">
        <f t="shared" si="34"/>
        <v>0</v>
      </c>
      <c r="N1130" s="17">
        <f t="shared" si="35"/>
        <v>20610</v>
      </c>
    </row>
    <row r="1131" spans="1:14" x14ac:dyDescent="0.25">
      <c r="A1131" s="14" t="s">
        <v>2114</v>
      </c>
      <c r="B1131" s="14">
        <v>10</v>
      </c>
      <c r="C1131" s="15" t="s">
        <v>2121</v>
      </c>
      <c r="D1131" s="14" t="s">
        <v>1745</v>
      </c>
      <c r="E1131" s="14" t="s">
        <v>1746</v>
      </c>
      <c r="F1131" s="17" t="s">
        <v>2994</v>
      </c>
      <c r="G1131" s="14">
        <v>20979</v>
      </c>
      <c r="H1131" s="14">
        <v>15734.28</v>
      </c>
      <c r="I1131" s="31">
        <f>IF(COUNTIFS(Addendum!C:C,A1131,Addendum!D:D,IF(ISNUMBER(B1131),TEXT(B1131,"0000"),B1131),Addendum!E:E,"X")&gt;0,4%,0)</f>
        <v>0</v>
      </c>
      <c r="J1131" s="31">
        <f>IF(COUNTIFS(Addendum!C:C,A1131,Addendum!D:D,IF(ISNUMBER(B1131),TEXT(B1131,"0000"),B1131),Addendum!F:F,"X")&gt;0,2.5%,0)</f>
        <v>0</v>
      </c>
      <c r="K1131" s="31">
        <f>IF(COUNTIFS(Addendum!C:C,A1131,Addendum!D:D,IF(ISNUMBER(B1131),TEXT(B1131,"0000"),B1131),Addendum!G:G,"X")&gt;0,7%,0)</f>
        <v>0</v>
      </c>
      <c r="L1131" s="31">
        <f>IF(COUNTIFS(Addendum!C:C,A1131,Addendum!D:D,IF(ISNUMBER(B1131),TEXT(B1131,"0000"),B1131),Addendum!I:I,"X")&gt;0,10%,0)</f>
        <v>0</v>
      </c>
      <c r="M1131" s="34">
        <f t="shared" si="34"/>
        <v>0</v>
      </c>
      <c r="N1131" s="17">
        <f t="shared" si="35"/>
        <v>15734.28</v>
      </c>
    </row>
    <row r="1132" spans="1:14" ht="30" x14ac:dyDescent="0.25">
      <c r="A1132" s="14" t="s">
        <v>2114</v>
      </c>
      <c r="B1132" s="14">
        <v>3</v>
      </c>
      <c r="C1132" s="15" t="s">
        <v>2116</v>
      </c>
      <c r="D1132" s="14" t="s">
        <v>1752</v>
      </c>
      <c r="E1132" s="14" t="s">
        <v>1753</v>
      </c>
      <c r="F1132" s="17" t="s">
        <v>2993</v>
      </c>
      <c r="G1132" s="14">
        <v>59940</v>
      </c>
      <c r="H1132" s="14">
        <v>44955</v>
      </c>
      <c r="I1132" s="31">
        <f>IF(COUNTIFS(Addendum!C:C,A1132,Addendum!D:D,IF(ISNUMBER(B1132),TEXT(B1132,"0000"),B1132),Addendum!E:E,"X")&gt;0,4%,0)</f>
        <v>0</v>
      </c>
      <c r="J1132" s="31">
        <f>IF(COUNTIFS(Addendum!C:C,A1132,Addendum!D:D,IF(ISNUMBER(B1132),TEXT(B1132,"0000"),B1132),Addendum!F:F,"X")&gt;0,2.5%,0)</f>
        <v>0</v>
      </c>
      <c r="K1132" s="31">
        <f>IF(COUNTIFS(Addendum!C:C,A1132,Addendum!D:D,IF(ISNUMBER(B1132),TEXT(B1132,"0000"),B1132),Addendum!G:G,"X")&gt;0,7%,0)</f>
        <v>0</v>
      </c>
      <c r="L1132" s="31">
        <f>IF(COUNTIFS(Addendum!C:C,A1132,Addendum!D:D,IF(ISNUMBER(B1132),TEXT(B1132,"0000"),B1132),Addendum!I:I,"X")&gt;0,10%,0)</f>
        <v>0</v>
      </c>
      <c r="M1132" s="34">
        <f t="shared" si="34"/>
        <v>0</v>
      </c>
      <c r="N1132" s="17">
        <f t="shared" si="35"/>
        <v>44955</v>
      </c>
    </row>
    <row r="1133" spans="1:14" ht="30" x14ac:dyDescent="0.25">
      <c r="A1133" s="14" t="s">
        <v>2114</v>
      </c>
      <c r="B1133" s="14">
        <v>14</v>
      </c>
      <c r="C1133" s="15" t="s">
        <v>2115</v>
      </c>
      <c r="D1133" s="14" t="s">
        <v>1745</v>
      </c>
      <c r="E1133" s="14" t="s">
        <v>1747</v>
      </c>
      <c r="F1133" s="17" t="s">
        <v>2994</v>
      </c>
      <c r="G1133" s="14">
        <v>10980</v>
      </c>
      <c r="H1133" s="14">
        <v>8235</v>
      </c>
      <c r="I1133" s="31">
        <f>IF(COUNTIFS(Addendum!C:C,A1133,Addendum!D:D,IF(ISNUMBER(B1133),TEXT(B1133,"0000"),B1133),Addendum!E:E,"X")&gt;0,4%,0)</f>
        <v>0</v>
      </c>
      <c r="J1133" s="31">
        <f>IF(COUNTIFS(Addendum!C:C,A1133,Addendum!D:D,IF(ISNUMBER(B1133),TEXT(B1133,"0000"),B1133),Addendum!F:F,"X")&gt;0,2.5%,0)</f>
        <v>0</v>
      </c>
      <c r="K1133" s="31">
        <f>IF(COUNTIFS(Addendum!C:C,A1133,Addendum!D:D,IF(ISNUMBER(B1133),TEXT(B1133,"0000"),B1133),Addendum!G:G,"X")&gt;0,7%,0)</f>
        <v>0</v>
      </c>
      <c r="L1133" s="31">
        <f>IF(COUNTIFS(Addendum!C:C,A1133,Addendum!D:D,IF(ISNUMBER(B1133),TEXT(B1133,"0000"),B1133),Addendum!I:I,"X")&gt;0,10%,0)</f>
        <v>0</v>
      </c>
      <c r="M1133" s="34">
        <f t="shared" si="34"/>
        <v>0</v>
      </c>
      <c r="N1133" s="17">
        <f t="shared" si="35"/>
        <v>8235</v>
      </c>
    </row>
    <row r="1134" spans="1:14" x14ac:dyDescent="0.25">
      <c r="A1134" s="14" t="s">
        <v>2123</v>
      </c>
      <c r="B1134" s="14">
        <v>7</v>
      </c>
      <c r="C1134" s="15" t="s">
        <v>2124</v>
      </c>
      <c r="D1134" s="14" t="s">
        <v>1749</v>
      </c>
      <c r="E1134" s="14" t="s">
        <v>1746</v>
      </c>
      <c r="F1134" s="17" t="s">
        <v>2994</v>
      </c>
      <c r="G1134" s="14">
        <v>3996</v>
      </c>
      <c r="H1134" s="14">
        <v>2997</v>
      </c>
      <c r="I1134" s="31">
        <f>IF(COUNTIFS(Addendum!C:C,A1134,Addendum!D:D,IF(ISNUMBER(B1134),TEXT(B1134,"0000"),B1134),Addendum!E:E,"X")&gt;0,4%,0)</f>
        <v>0</v>
      </c>
      <c r="J1134" s="31">
        <f>IF(COUNTIFS(Addendum!C:C,A1134,Addendum!D:D,IF(ISNUMBER(B1134),TEXT(B1134,"0000"),B1134),Addendum!F:F,"X")&gt;0,2.5%,0)</f>
        <v>0</v>
      </c>
      <c r="K1134" s="31">
        <f>IF(COUNTIFS(Addendum!C:C,A1134,Addendum!D:D,IF(ISNUMBER(B1134),TEXT(B1134,"0000"),B1134),Addendum!G:G,"X")&gt;0,7%,0)</f>
        <v>0</v>
      </c>
      <c r="L1134" s="31">
        <f>IF(COUNTIFS(Addendum!C:C,A1134,Addendum!D:D,IF(ISNUMBER(B1134),TEXT(B1134,"0000"),B1134),Addendum!I:I,"X")&gt;0,10%,0)</f>
        <v>0</v>
      </c>
      <c r="M1134" s="34">
        <f t="shared" si="34"/>
        <v>0</v>
      </c>
      <c r="N1134" s="17">
        <f t="shared" si="35"/>
        <v>2997</v>
      </c>
    </row>
    <row r="1135" spans="1:14" x14ac:dyDescent="0.25">
      <c r="A1135" s="14" t="s">
        <v>2123</v>
      </c>
      <c r="B1135" s="14">
        <v>5</v>
      </c>
      <c r="C1135" s="15" t="s">
        <v>2125</v>
      </c>
      <c r="D1135" s="14" t="s">
        <v>1745</v>
      </c>
      <c r="E1135" s="14" t="s">
        <v>1747</v>
      </c>
      <c r="F1135" s="17" t="s">
        <v>2995</v>
      </c>
      <c r="G1135" s="14">
        <v>79860</v>
      </c>
      <c r="H1135" s="14">
        <v>71874</v>
      </c>
      <c r="I1135" s="31">
        <f>IF(COUNTIFS(Addendum!C:C,A1135,Addendum!D:D,IF(ISNUMBER(B1135),TEXT(B1135,"0000"),B1135),Addendum!E:E,"X")&gt;0,4%,0)</f>
        <v>0</v>
      </c>
      <c r="J1135" s="31">
        <f>IF(COUNTIFS(Addendum!C:C,A1135,Addendum!D:D,IF(ISNUMBER(B1135),TEXT(B1135,"0000"),B1135),Addendum!F:F,"X")&gt;0,2.5%,0)</f>
        <v>0</v>
      </c>
      <c r="K1135" s="31">
        <f>IF(COUNTIFS(Addendum!C:C,A1135,Addendum!D:D,IF(ISNUMBER(B1135),TEXT(B1135,"0000"),B1135),Addendum!G:G,"X")&gt;0,7%,0)</f>
        <v>0</v>
      </c>
      <c r="L1135" s="31">
        <f>IF(COUNTIFS(Addendum!C:C,A1135,Addendum!D:D,IF(ISNUMBER(B1135),TEXT(B1135,"0000"),B1135),Addendum!I:I,"X")&gt;0,10%,0)</f>
        <v>0</v>
      </c>
      <c r="M1135" s="34">
        <f t="shared" si="34"/>
        <v>0</v>
      </c>
      <c r="N1135" s="17">
        <f t="shared" si="35"/>
        <v>71874</v>
      </c>
    </row>
    <row r="1136" spans="1:14" x14ac:dyDescent="0.25">
      <c r="A1136" s="14" t="s">
        <v>2123</v>
      </c>
      <c r="B1136" s="14">
        <v>1</v>
      </c>
      <c r="C1136" s="15" t="s">
        <v>2126</v>
      </c>
      <c r="D1136" s="14" t="s">
        <v>1745</v>
      </c>
      <c r="E1136" s="14" t="s">
        <v>1746</v>
      </c>
      <c r="F1136" s="17" t="s">
        <v>2993</v>
      </c>
      <c r="G1136" s="14">
        <v>209664</v>
      </c>
      <c r="H1136" s="14">
        <v>157248</v>
      </c>
      <c r="I1136" s="31">
        <f>IF(COUNTIFS(Addendum!C:C,A1136,Addendum!D:D,IF(ISNUMBER(B1136),TEXT(B1136,"0000"),B1136),Addendum!E:E,"X")&gt;0,4%,0)</f>
        <v>0</v>
      </c>
      <c r="J1136" s="31">
        <f>IF(COUNTIFS(Addendum!C:C,A1136,Addendum!D:D,IF(ISNUMBER(B1136),TEXT(B1136,"0000"),B1136),Addendum!F:F,"X")&gt;0,2.5%,0)</f>
        <v>0</v>
      </c>
      <c r="K1136" s="31">
        <f>IF(COUNTIFS(Addendum!C:C,A1136,Addendum!D:D,IF(ISNUMBER(B1136),TEXT(B1136,"0000"),B1136),Addendum!G:G,"X")&gt;0,7%,0)</f>
        <v>0</v>
      </c>
      <c r="L1136" s="31">
        <f>IF(COUNTIFS(Addendum!C:C,A1136,Addendum!D:D,IF(ISNUMBER(B1136),TEXT(B1136,"0000"),B1136),Addendum!I:I,"X")&gt;0,10%,0)</f>
        <v>0</v>
      </c>
      <c r="M1136" s="34">
        <f t="shared" si="34"/>
        <v>0</v>
      </c>
      <c r="N1136" s="17">
        <f t="shared" si="35"/>
        <v>157248</v>
      </c>
    </row>
    <row r="1137" spans="1:14" x14ac:dyDescent="0.25">
      <c r="A1137" s="14" t="s">
        <v>2123</v>
      </c>
      <c r="B1137" s="14">
        <v>7</v>
      </c>
      <c r="C1137" s="15" t="s">
        <v>2124</v>
      </c>
      <c r="D1137" s="14" t="s">
        <v>1745</v>
      </c>
      <c r="E1137" s="14" t="s">
        <v>1746</v>
      </c>
      <c r="F1137" s="17" t="s">
        <v>2994</v>
      </c>
      <c r="G1137" s="14">
        <v>41958</v>
      </c>
      <c r="H1137" s="14">
        <v>31468.560000000001</v>
      </c>
      <c r="I1137" s="31">
        <f>IF(COUNTIFS(Addendum!C:C,A1137,Addendum!D:D,IF(ISNUMBER(B1137),TEXT(B1137,"0000"),B1137),Addendum!E:E,"X")&gt;0,4%,0)</f>
        <v>0</v>
      </c>
      <c r="J1137" s="31">
        <f>IF(COUNTIFS(Addendum!C:C,A1137,Addendum!D:D,IF(ISNUMBER(B1137),TEXT(B1137,"0000"),B1137),Addendum!F:F,"X")&gt;0,2.5%,0)</f>
        <v>0</v>
      </c>
      <c r="K1137" s="31">
        <f>IF(COUNTIFS(Addendum!C:C,A1137,Addendum!D:D,IF(ISNUMBER(B1137),TEXT(B1137,"0000"),B1137),Addendum!G:G,"X")&gt;0,7%,0)</f>
        <v>0</v>
      </c>
      <c r="L1137" s="31">
        <f>IF(COUNTIFS(Addendum!C:C,A1137,Addendum!D:D,IF(ISNUMBER(B1137),TEXT(B1137,"0000"),B1137),Addendum!I:I,"X")&gt;0,10%,0)</f>
        <v>0</v>
      </c>
      <c r="M1137" s="34">
        <f t="shared" si="34"/>
        <v>0</v>
      </c>
      <c r="N1137" s="17">
        <f t="shared" si="35"/>
        <v>31468.560000000001</v>
      </c>
    </row>
    <row r="1138" spans="1:14" x14ac:dyDescent="0.25">
      <c r="A1138" s="14" t="s">
        <v>2123</v>
      </c>
      <c r="B1138" s="14">
        <v>1</v>
      </c>
      <c r="C1138" s="15" t="s">
        <v>2126</v>
      </c>
      <c r="D1138" s="14" t="s">
        <v>1749</v>
      </c>
      <c r="E1138" s="14" t="s">
        <v>1746</v>
      </c>
      <c r="F1138" s="17" t="s">
        <v>2993</v>
      </c>
      <c r="G1138" s="14">
        <v>19968</v>
      </c>
      <c r="H1138" s="14">
        <v>14976</v>
      </c>
      <c r="I1138" s="31">
        <f>IF(COUNTIFS(Addendum!C:C,A1138,Addendum!D:D,IF(ISNUMBER(B1138),TEXT(B1138,"0000"),B1138),Addendum!E:E,"X")&gt;0,4%,0)</f>
        <v>0</v>
      </c>
      <c r="J1138" s="31">
        <f>IF(COUNTIFS(Addendum!C:C,A1138,Addendum!D:D,IF(ISNUMBER(B1138),TEXT(B1138,"0000"),B1138),Addendum!F:F,"X")&gt;0,2.5%,0)</f>
        <v>0</v>
      </c>
      <c r="K1138" s="31">
        <f>IF(COUNTIFS(Addendum!C:C,A1138,Addendum!D:D,IF(ISNUMBER(B1138),TEXT(B1138,"0000"),B1138),Addendum!G:G,"X")&gt;0,7%,0)</f>
        <v>0</v>
      </c>
      <c r="L1138" s="31">
        <f>IF(COUNTIFS(Addendum!C:C,A1138,Addendum!D:D,IF(ISNUMBER(B1138),TEXT(B1138,"0000"),B1138),Addendum!I:I,"X")&gt;0,10%,0)</f>
        <v>0</v>
      </c>
      <c r="M1138" s="34">
        <f t="shared" si="34"/>
        <v>0</v>
      </c>
      <c r="N1138" s="17">
        <f t="shared" si="35"/>
        <v>14976</v>
      </c>
    </row>
    <row r="1139" spans="1:14" x14ac:dyDescent="0.25">
      <c r="A1139" s="14" t="s">
        <v>2123</v>
      </c>
      <c r="B1139" s="14">
        <v>5</v>
      </c>
      <c r="C1139" s="15" t="s">
        <v>2125</v>
      </c>
      <c r="D1139" s="14" t="s">
        <v>1749</v>
      </c>
      <c r="E1139" s="14" t="s">
        <v>1746</v>
      </c>
      <c r="F1139" s="17" t="s">
        <v>2995</v>
      </c>
      <c r="G1139" s="14">
        <v>7986</v>
      </c>
      <c r="H1139" s="14">
        <v>7187.4</v>
      </c>
      <c r="I1139" s="31">
        <f>IF(COUNTIFS(Addendum!C:C,A1139,Addendum!D:D,IF(ISNUMBER(B1139),TEXT(B1139,"0000"),B1139),Addendum!E:E,"X")&gt;0,4%,0)</f>
        <v>0</v>
      </c>
      <c r="J1139" s="31">
        <f>IF(COUNTIFS(Addendum!C:C,A1139,Addendum!D:D,IF(ISNUMBER(B1139),TEXT(B1139,"0000"),B1139),Addendum!F:F,"X")&gt;0,2.5%,0)</f>
        <v>0</v>
      </c>
      <c r="K1139" s="31">
        <f>IF(COUNTIFS(Addendum!C:C,A1139,Addendum!D:D,IF(ISNUMBER(B1139),TEXT(B1139,"0000"),B1139),Addendum!G:G,"X")&gt;0,7%,0)</f>
        <v>0</v>
      </c>
      <c r="L1139" s="31">
        <f>IF(COUNTIFS(Addendum!C:C,A1139,Addendum!D:D,IF(ISNUMBER(B1139),TEXT(B1139,"0000"),B1139),Addendum!I:I,"X")&gt;0,10%,0)</f>
        <v>0</v>
      </c>
      <c r="M1139" s="34">
        <f t="shared" si="34"/>
        <v>0</v>
      </c>
      <c r="N1139" s="17">
        <f t="shared" si="35"/>
        <v>7187.4</v>
      </c>
    </row>
    <row r="1140" spans="1:14" x14ac:dyDescent="0.25">
      <c r="A1140" s="14" t="s">
        <v>2123</v>
      </c>
      <c r="B1140" s="14">
        <v>7</v>
      </c>
      <c r="C1140" s="15" t="s">
        <v>2124</v>
      </c>
      <c r="D1140" s="14" t="s">
        <v>1745</v>
      </c>
      <c r="E1140" s="14" t="s">
        <v>1747</v>
      </c>
      <c r="F1140" s="17" t="s">
        <v>2994</v>
      </c>
      <c r="G1140" s="14">
        <v>39960</v>
      </c>
      <c r="H1140" s="14">
        <v>29970</v>
      </c>
      <c r="I1140" s="31">
        <f>IF(COUNTIFS(Addendum!C:C,A1140,Addendum!D:D,IF(ISNUMBER(B1140),TEXT(B1140,"0000"),B1140),Addendum!E:E,"X")&gt;0,4%,0)</f>
        <v>0</v>
      </c>
      <c r="J1140" s="31">
        <f>IF(COUNTIFS(Addendum!C:C,A1140,Addendum!D:D,IF(ISNUMBER(B1140),TEXT(B1140,"0000"),B1140),Addendum!F:F,"X")&gt;0,2.5%,0)</f>
        <v>0</v>
      </c>
      <c r="K1140" s="31">
        <f>IF(COUNTIFS(Addendum!C:C,A1140,Addendum!D:D,IF(ISNUMBER(B1140),TEXT(B1140,"0000"),B1140),Addendum!G:G,"X")&gt;0,7%,0)</f>
        <v>0</v>
      </c>
      <c r="L1140" s="31">
        <f>IF(COUNTIFS(Addendum!C:C,A1140,Addendum!D:D,IF(ISNUMBER(B1140),TEXT(B1140,"0000"),B1140),Addendum!I:I,"X")&gt;0,10%,0)</f>
        <v>0</v>
      </c>
      <c r="M1140" s="34">
        <f t="shared" si="34"/>
        <v>0</v>
      </c>
      <c r="N1140" s="17">
        <f t="shared" si="35"/>
        <v>29970</v>
      </c>
    </row>
    <row r="1141" spans="1:14" x14ac:dyDescent="0.25">
      <c r="A1141" s="14" t="s">
        <v>2123</v>
      </c>
      <c r="B1141" s="14">
        <v>5</v>
      </c>
      <c r="C1141" s="15" t="s">
        <v>2125</v>
      </c>
      <c r="D1141" s="14" t="s">
        <v>1745</v>
      </c>
      <c r="E1141" s="14" t="s">
        <v>1746</v>
      </c>
      <c r="F1141" s="17" t="s">
        <v>2995</v>
      </c>
      <c r="G1141" s="14">
        <v>83853</v>
      </c>
      <c r="H1141" s="14">
        <v>75467.759999999995</v>
      </c>
      <c r="I1141" s="31">
        <f>IF(COUNTIFS(Addendum!C:C,A1141,Addendum!D:D,IF(ISNUMBER(B1141),TEXT(B1141,"0000"),B1141),Addendum!E:E,"X")&gt;0,4%,0)</f>
        <v>0</v>
      </c>
      <c r="J1141" s="31">
        <f>IF(COUNTIFS(Addendum!C:C,A1141,Addendum!D:D,IF(ISNUMBER(B1141),TEXT(B1141,"0000"),B1141),Addendum!F:F,"X")&gt;0,2.5%,0)</f>
        <v>0</v>
      </c>
      <c r="K1141" s="31">
        <f>IF(COUNTIFS(Addendum!C:C,A1141,Addendum!D:D,IF(ISNUMBER(B1141),TEXT(B1141,"0000"),B1141),Addendum!G:G,"X")&gt;0,7%,0)</f>
        <v>0</v>
      </c>
      <c r="L1141" s="31">
        <f>IF(COUNTIFS(Addendum!C:C,A1141,Addendum!D:D,IF(ISNUMBER(B1141),TEXT(B1141,"0000"),B1141),Addendum!I:I,"X")&gt;0,10%,0)</f>
        <v>0</v>
      </c>
      <c r="M1141" s="34">
        <f t="shared" si="34"/>
        <v>0</v>
      </c>
      <c r="N1141" s="17">
        <f t="shared" si="35"/>
        <v>75467.759999999995</v>
      </c>
    </row>
    <row r="1142" spans="1:14" x14ac:dyDescent="0.25">
      <c r="A1142" s="14" t="s">
        <v>2123</v>
      </c>
      <c r="B1142" s="14">
        <v>1</v>
      </c>
      <c r="C1142" s="15" t="s">
        <v>2126</v>
      </c>
      <c r="D1142" s="14" t="s">
        <v>1745</v>
      </c>
      <c r="E1142" s="14" t="s">
        <v>1747</v>
      </c>
      <c r="F1142" s="17" t="s">
        <v>2993</v>
      </c>
      <c r="G1142" s="14">
        <v>199680</v>
      </c>
      <c r="H1142" s="14">
        <v>149760</v>
      </c>
      <c r="I1142" s="31">
        <f>IF(COUNTIFS(Addendum!C:C,A1142,Addendum!D:D,IF(ISNUMBER(B1142),TEXT(B1142,"0000"),B1142),Addendum!E:E,"X")&gt;0,4%,0)</f>
        <v>0</v>
      </c>
      <c r="J1142" s="31">
        <f>IF(COUNTIFS(Addendum!C:C,A1142,Addendum!D:D,IF(ISNUMBER(B1142),TEXT(B1142,"0000"),B1142),Addendum!F:F,"X")&gt;0,2.5%,0)</f>
        <v>0</v>
      </c>
      <c r="K1142" s="31">
        <f>IF(COUNTIFS(Addendum!C:C,A1142,Addendum!D:D,IF(ISNUMBER(B1142),TEXT(B1142,"0000"),B1142),Addendum!G:G,"X")&gt;0,7%,0)</f>
        <v>0</v>
      </c>
      <c r="L1142" s="31">
        <f>IF(COUNTIFS(Addendum!C:C,A1142,Addendum!D:D,IF(ISNUMBER(B1142),TEXT(B1142,"0000"),B1142),Addendum!I:I,"X")&gt;0,10%,0)</f>
        <v>0</v>
      </c>
      <c r="M1142" s="34">
        <f t="shared" si="34"/>
        <v>0</v>
      </c>
      <c r="N1142" s="17">
        <f t="shared" si="35"/>
        <v>149760</v>
      </c>
    </row>
    <row r="1143" spans="1:14" x14ac:dyDescent="0.25">
      <c r="A1143" s="14" t="s">
        <v>2127</v>
      </c>
      <c r="B1143" s="14">
        <v>6</v>
      </c>
      <c r="C1143" s="15" t="s">
        <v>2128</v>
      </c>
      <c r="D1143" s="14" t="s">
        <v>1745</v>
      </c>
      <c r="E1143" s="14" t="s">
        <v>1747</v>
      </c>
      <c r="F1143" s="17" t="s">
        <v>2995</v>
      </c>
      <c r="G1143" s="14">
        <v>24960</v>
      </c>
      <c r="H1143" s="14">
        <v>22464</v>
      </c>
      <c r="I1143" s="31">
        <f>IF(COUNTIFS(Addendum!C:C,A1143,Addendum!D:D,IF(ISNUMBER(B1143),TEXT(B1143,"0000"),B1143),Addendum!E:E,"X")&gt;0,4%,0)</f>
        <v>0</v>
      </c>
      <c r="J1143" s="31">
        <f>IF(COUNTIFS(Addendum!C:C,A1143,Addendum!D:D,IF(ISNUMBER(B1143),TEXT(B1143,"0000"),B1143),Addendum!F:F,"X")&gt;0,2.5%,0)</f>
        <v>0</v>
      </c>
      <c r="K1143" s="31">
        <f>IF(COUNTIFS(Addendum!C:C,A1143,Addendum!D:D,IF(ISNUMBER(B1143),TEXT(B1143,"0000"),B1143),Addendum!G:G,"X")&gt;0,7%,0)</f>
        <v>0</v>
      </c>
      <c r="L1143" s="31">
        <f>IF(COUNTIFS(Addendum!C:C,A1143,Addendum!D:D,IF(ISNUMBER(B1143),TEXT(B1143,"0000"),B1143),Addendum!I:I,"X")&gt;0,10%,0)</f>
        <v>0</v>
      </c>
      <c r="M1143" s="34">
        <f t="shared" si="34"/>
        <v>0</v>
      </c>
      <c r="N1143" s="17">
        <f t="shared" si="35"/>
        <v>22464</v>
      </c>
    </row>
    <row r="1144" spans="1:14" x14ac:dyDescent="0.25">
      <c r="A1144" s="14" t="s">
        <v>2127</v>
      </c>
      <c r="B1144" s="14">
        <v>1</v>
      </c>
      <c r="C1144" s="15" t="s">
        <v>2129</v>
      </c>
      <c r="D1144" s="14" t="s">
        <v>1749</v>
      </c>
      <c r="E1144" s="14" t="s">
        <v>1746</v>
      </c>
      <c r="F1144" s="17" t="s">
        <v>2993</v>
      </c>
      <c r="G1144" s="14">
        <v>9984</v>
      </c>
      <c r="H1144" s="14">
        <v>7488</v>
      </c>
      <c r="I1144" s="31">
        <f>IF(COUNTIFS(Addendum!C:C,A1144,Addendum!D:D,IF(ISNUMBER(B1144),TEXT(B1144,"0000"),B1144),Addendum!E:E,"X")&gt;0,4%,0)</f>
        <v>0</v>
      </c>
      <c r="J1144" s="31">
        <f>IF(COUNTIFS(Addendum!C:C,A1144,Addendum!D:D,IF(ISNUMBER(B1144),TEXT(B1144,"0000"),B1144),Addendum!F:F,"X")&gt;0,2.5%,0)</f>
        <v>0</v>
      </c>
      <c r="K1144" s="31">
        <f>IF(COUNTIFS(Addendum!C:C,A1144,Addendum!D:D,IF(ISNUMBER(B1144),TEXT(B1144,"0000"),B1144),Addendum!G:G,"X")&gt;0,7%,0)</f>
        <v>0</v>
      </c>
      <c r="L1144" s="31">
        <f>IF(COUNTIFS(Addendum!C:C,A1144,Addendum!D:D,IF(ISNUMBER(B1144),TEXT(B1144,"0000"),B1144),Addendum!I:I,"X")&gt;0,10%,0)</f>
        <v>0</v>
      </c>
      <c r="M1144" s="34">
        <f t="shared" si="34"/>
        <v>0</v>
      </c>
      <c r="N1144" s="17">
        <f t="shared" si="35"/>
        <v>7488</v>
      </c>
    </row>
    <row r="1145" spans="1:14" x14ac:dyDescent="0.25">
      <c r="A1145" s="14" t="s">
        <v>2127</v>
      </c>
      <c r="B1145" s="14">
        <v>5</v>
      </c>
      <c r="C1145" s="15" t="s">
        <v>2130</v>
      </c>
      <c r="D1145" s="14" t="s">
        <v>1745</v>
      </c>
      <c r="E1145" s="14" t="s">
        <v>1747</v>
      </c>
      <c r="F1145" s="17" t="s">
        <v>2994</v>
      </c>
      <c r="G1145" s="14">
        <v>54900</v>
      </c>
      <c r="H1145" s="14">
        <v>41175</v>
      </c>
      <c r="I1145" s="31">
        <f>IF(COUNTIFS(Addendum!C:C,A1145,Addendum!D:D,IF(ISNUMBER(B1145),TEXT(B1145,"0000"),B1145),Addendum!E:E,"X")&gt;0,4%,0)</f>
        <v>0</v>
      </c>
      <c r="J1145" s="31">
        <f>IF(COUNTIFS(Addendum!C:C,A1145,Addendum!D:D,IF(ISNUMBER(B1145),TEXT(B1145,"0000"),B1145),Addendum!F:F,"X")&gt;0,2.5%,0)</f>
        <v>0</v>
      </c>
      <c r="K1145" s="31">
        <f>IF(COUNTIFS(Addendum!C:C,A1145,Addendum!D:D,IF(ISNUMBER(B1145),TEXT(B1145,"0000"),B1145),Addendum!G:G,"X")&gt;0,7%,0)</f>
        <v>0</v>
      </c>
      <c r="L1145" s="31">
        <f>IF(COUNTIFS(Addendum!C:C,A1145,Addendum!D:D,IF(ISNUMBER(B1145),TEXT(B1145,"0000"),B1145),Addendum!I:I,"X")&gt;0,10%,0)</f>
        <v>0</v>
      </c>
      <c r="M1145" s="34">
        <f t="shared" si="34"/>
        <v>0</v>
      </c>
      <c r="N1145" s="17">
        <f t="shared" si="35"/>
        <v>41175</v>
      </c>
    </row>
    <row r="1146" spans="1:14" x14ac:dyDescent="0.25">
      <c r="A1146" s="14" t="s">
        <v>2127</v>
      </c>
      <c r="B1146" s="14">
        <v>6</v>
      </c>
      <c r="C1146" s="15" t="s">
        <v>2128</v>
      </c>
      <c r="D1146" s="14" t="s">
        <v>1749</v>
      </c>
      <c r="E1146" s="14" t="s">
        <v>1746</v>
      </c>
      <c r="F1146" s="17" t="s">
        <v>2995</v>
      </c>
      <c r="G1146" s="14">
        <v>2496</v>
      </c>
      <c r="H1146" s="14">
        <v>2246.4</v>
      </c>
      <c r="I1146" s="31">
        <f>IF(COUNTIFS(Addendum!C:C,A1146,Addendum!D:D,IF(ISNUMBER(B1146),TEXT(B1146,"0000"),B1146),Addendum!E:E,"X")&gt;0,4%,0)</f>
        <v>0</v>
      </c>
      <c r="J1146" s="31">
        <f>IF(COUNTIFS(Addendum!C:C,A1146,Addendum!D:D,IF(ISNUMBER(B1146),TEXT(B1146,"0000"),B1146),Addendum!F:F,"X")&gt;0,2.5%,0)</f>
        <v>0</v>
      </c>
      <c r="K1146" s="31">
        <f>IF(COUNTIFS(Addendum!C:C,A1146,Addendum!D:D,IF(ISNUMBER(B1146),TEXT(B1146,"0000"),B1146),Addendum!G:G,"X")&gt;0,7%,0)</f>
        <v>0</v>
      </c>
      <c r="L1146" s="31">
        <f>IF(COUNTIFS(Addendum!C:C,A1146,Addendum!D:D,IF(ISNUMBER(B1146),TEXT(B1146,"0000"),B1146),Addendum!I:I,"X")&gt;0,10%,0)</f>
        <v>0</v>
      </c>
      <c r="M1146" s="34">
        <f t="shared" si="34"/>
        <v>0</v>
      </c>
      <c r="N1146" s="17">
        <f t="shared" si="35"/>
        <v>2246.4</v>
      </c>
    </row>
    <row r="1147" spans="1:14" x14ac:dyDescent="0.25">
      <c r="A1147" s="14" t="s">
        <v>2127</v>
      </c>
      <c r="B1147" s="14">
        <v>1</v>
      </c>
      <c r="C1147" s="15" t="s">
        <v>2129</v>
      </c>
      <c r="D1147" s="14" t="s">
        <v>1745</v>
      </c>
      <c r="E1147" s="14" t="s">
        <v>1747</v>
      </c>
      <c r="F1147" s="17" t="s">
        <v>2993</v>
      </c>
      <c r="G1147" s="14">
        <v>99840</v>
      </c>
      <c r="H1147" s="14">
        <v>74880</v>
      </c>
      <c r="I1147" s="31">
        <f>IF(COUNTIFS(Addendum!C:C,A1147,Addendum!D:D,IF(ISNUMBER(B1147),TEXT(B1147,"0000"),B1147),Addendum!E:E,"X")&gt;0,4%,0)</f>
        <v>0</v>
      </c>
      <c r="J1147" s="31">
        <f>IF(COUNTIFS(Addendum!C:C,A1147,Addendum!D:D,IF(ISNUMBER(B1147),TEXT(B1147,"0000"),B1147),Addendum!F:F,"X")&gt;0,2.5%,0)</f>
        <v>0</v>
      </c>
      <c r="K1147" s="31">
        <f>IF(COUNTIFS(Addendum!C:C,A1147,Addendum!D:D,IF(ISNUMBER(B1147),TEXT(B1147,"0000"),B1147),Addendum!G:G,"X")&gt;0,7%,0)</f>
        <v>0</v>
      </c>
      <c r="L1147" s="31">
        <f>IF(COUNTIFS(Addendum!C:C,A1147,Addendum!D:D,IF(ISNUMBER(B1147),TEXT(B1147,"0000"),B1147),Addendum!I:I,"X")&gt;0,10%,0)</f>
        <v>0</v>
      </c>
      <c r="M1147" s="34">
        <f t="shared" si="34"/>
        <v>0</v>
      </c>
      <c r="N1147" s="17">
        <f t="shared" si="35"/>
        <v>74880</v>
      </c>
    </row>
    <row r="1148" spans="1:14" x14ac:dyDescent="0.25">
      <c r="A1148" s="14" t="s">
        <v>2127</v>
      </c>
      <c r="B1148" s="14">
        <v>5</v>
      </c>
      <c r="C1148" s="15" t="s">
        <v>2130</v>
      </c>
      <c r="D1148" s="14" t="s">
        <v>1745</v>
      </c>
      <c r="E1148" s="14" t="s">
        <v>1746</v>
      </c>
      <c r="F1148" s="17" t="s">
        <v>2994</v>
      </c>
      <c r="G1148" s="14">
        <v>57645</v>
      </c>
      <c r="H1148" s="14">
        <v>43233.72</v>
      </c>
      <c r="I1148" s="31">
        <f>IF(COUNTIFS(Addendum!C:C,A1148,Addendum!D:D,IF(ISNUMBER(B1148),TEXT(B1148,"0000"),B1148),Addendum!E:E,"X")&gt;0,4%,0)</f>
        <v>0</v>
      </c>
      <c r="J1148" s="31">
        <f>IF(COUNTIFS(Addendum!C:C,A1148,Addendum!D:D,IF(ISNUMBER(B1148),TEXT(B1148,"0000"),B1148),Addendum!F:F,"X")&gt;0,2.5%,0)</f>
        <v>0</v>
      </c>
      <c r="K1148" s="31">
        <f>IF(COUNTIFS(Addendum!C:C,A1148,Addendum!D:D,IF(ISNUMBER(B1148),TEXT(B1148,"0000"),B1148),Addendum!G:G,"X")&gt;0,7%,0)</f>
        <v>0</v>
      </c>
      <c r="L1148" s="31">
        <f>IF(COUNTIFS(Addendum!C:C,A1148,Addendum!D:D,IF(ISNUMBER(B1148),TEXT(B1148,"0000"),B1148),Addendum!I:I,"X")&gt;0,10%,0)</f>
        <v>0</v>
      </c>
      <c r="M1148" s="34">
        <f t="shared" si="34"/>
        <v>0</v>
      </c>
      <c r="N1148" s="17">
        <f t="shared" si="35"/>
        <v>43233.72</v>
      </c>
    </row>
    <row r="1149" spans="1:14" x14ac:dyDescent="0.25">
      <c r="A1149" s="14" t="s">
        <v>2127</v>
      </c>
      <c r="B1149" s="14">
        <v>1</v>
      </c>
      <c r="C1149" s="15" t="s">
        <v>2129</v>
      </c>
      <c r="D1149" s="14" t="s">
        <v>1745</v>
      </c>
      <c r="E1149" s="14" t="s">
        <v>1746</v>
      </c>
      <c r="F1149" s="17" t="s">
        <v>2993</v>
      </c>
      <c r="G1149" s="14">
        <v>104832</v>
      </c>
      <c r="H1149" s="14">
        <v>78624</v>
      </c>
      <c r="I1149" s="31">
        <f>IF(COUNTIFS(Addendum!C:C,A1149,Addendum!D:D,IF(ISNUMBER(B1149),TEXT(B1149,"0000"),B1149),Addendum!E:E,"X")&gt;0,4%,0)</f>
        <v>0</v>
      </c>
      <c r="J1149" s="31">
        <f>IF(COUNTIFS(Addendum!C:C,A1149,Addendum!D:D,IF(ISNUMBER(B1149),TEXT(B1149,"0000"),B1149),Addendum!F:F,"X")&gt;0,2.5%,0)</f>
        <v>0</v>
      </c>
      <c r="K1149" s="31">
        <f>IF(COUNTIFS(Addendum!C:C,A1149,Addendum!D:D,IF(ISNUMBER(B1149),TEXT(B1149,"0000"),B1149),Addendum!G:G,"X")&gt;0,7%,0)</f>
        <v>0</v>
      </c>
      <c r="L1149" s="31">
        <f>IF(COUNTIFS(Addendum!C:C,A1149,Addendum!D:D,IF(ISNUMBER(B1149),TEXT(B1149,"0000"),B1149),Addendum!I:I,"X")&gt;0,10%,0)</f>
        <v>0</v>
      </c>
      <c r="M1149" s="34">
        <f t="shared" si="34"/>
        <v>0</v>
      </c>
      <c r="N1149" s="17">
        <f t="shared" si="35"/>
        <v>78624</v>
      </c>
    </row>
    <row r="1150" spans="1:14" x14ac:dyDescent="0.25">
      <c r="A1150" s="14" t="s">
        <v>2127</v>
      </c>
      <c r="B1150" s="14">
        <v>5</v>
      </c>
      <c r="C1150" s="15" t="s">
        <v>2130</v>
      </c>
      <c r="D1150" s="14" t="s">
        <v>1749</v>
      </c>
      <c r="E1150" s="14" t="s">
        <v>1746</v>
      </c>
      <c r="F1150" s="17" t="s">
        <v>2994</v>
      </c>
      <c r="G1150" s="14">
        <v>5490</v>
      </c>
      <c r="H1150" s="14">
        <v>4117.5</v>
      </c>
      <c r="I1150" s="31">
        <f>IF(COUNTIFS(Addendum!C:C,A1150,Addendum!D:D,IF(ISNUMBER(B1150),TEXT(B1150,"0000"),B1150),Addendum!E:E,"X")&gt;0,4%,0)</f>
        <v>0</v>
      </c>
      <c r="J1150" s="31">
        <f>IF(COUNTIFS(Addendum!C:C,A1150,Addendum!D:D,IF(ISNUMBER(B1150),TEXT(B1150,"0000"),B1150),Addendum!F:F,"X")&gt;0,2.5%,0)</f>
        <v>0</v>
      </c>
      <c r="K1150" s="31">
        <f>IF(COUNTIFS(Addendum!C:C,A1150,Addendum!D:D,IF(ISNUMBER(B1150),TEXT(B1150,"0000"),B1150),Addendum!G:G,"X")&gt;0,7%,0)</f>
        <v>0</v>
      </c>
      <c r="L1150" s="31">
        <f>IF(COUNTIFS(Addendum!C:C,A1150,Addendum!D:D,IF(ISNUMBER(B1150),TEXT(B1150,"0000"),B1150),Addendum!I:I,"X")&gt;0,10%,0)</f>
        <v>0</v>
      </c>
      <c r="M1150" s="34">
        <f t="shared" si="34"/>
        <v>0</v>
      </c>
      <c r="N1150" s="17">
        <f t="shared" si="35"/>
        <v>4117.5</v>
      </c>
    </row>
    <row r="1151" spans="1:14" x14ac:dyDescent="0.25">
      <c r="A1151" s="14" t="s">
        <v>2127</v>
      </c>
      <c r="B1151" s="14">
        <v>6</v>
      </c>
      <c r="C1151" s="15" t="s">
        <v>2128</v>
      </c>
      <c r="D1151" s="14" t="s">
        <v>1745</v>
      </c>
      <c r="E1151" s="14" t="s">
        <v>1746</v>
      </c>
      <c r="F1151" s="17" t="s">
        <v>2995</v>
      </c>
      <c r="G1151" s="14">
        <v>26208</v>
      </c>
      <c r="H1151" s="14">
        <v>23587.200000000001</v>
      </c>
      <c r="I1151" s="31">
        <f>IF(COUNTIFS(Addendum!C:C,A1151,Addendum!D:D,IF(ISNUMBER(B1151),TEXT(B1151,"0000"),B1151),Addendum!E:E,"X")&gt;0,4%,0)</f>
        <v>0</v>
      </c>
      <c r="J1151" s="31">
        <f>IF(COUNTIFS(Addendum!C:C,A1151,Addendum!D:D,IF(ISNUMBER(B1151),TEXT(B1151,"0000"),B1151),Addendum!F:F,"X")&gt;0,2.5%,0)</f>
        <v>0</v>
      </c>
      <c r="K1151" s="31">
        <f>IF(COUNTIFS(Addendum!C:C,A1151,Addendum!D:D,IF(ISNUMBER(B1151),TEXT(B1151,"0000"),B1151),Addendum!G:G,"X")&gt;0,7%,0)</f>
        <v>0</v>
      </c>
      <c r="L1151" s="31">
        <f>IF(COUNTIFS(Addendum!C:C,A1151,Addendum!D:D,IF(ISNUMBER(B1151),TEXT(B1151,"0000"),B1151),Addendum!I:I,"X")&gt;0,10%,0)</f>
        <v>0</v>
      </c>
      <c r="M1151" s="34">
        <f t="shared" si="34"/>
        <v>0</v>
      </c>
      <c r="N1151" s="17">
        <f t="shared" si="35"/>
        <v>23587.200000000001</v>
      </c>
    </row>
    <row r="1152" spans="1:14" x14ac:dyDescent="0.25">
      <c r="A1152" s="14" t="s">
        <v>2131</v>
      </c>
      <c r="B1152" s="14">
        <v>1</v>
      </c>
      <c r="C1152" s="15" t="s">
        <v>2132</v>
      </c>
      <c r="D1152" s="14" t="s">
        <v>1745</v>
      </c>
      <c r="E1152" s="14" t="s">
        <v>1747</v>
      </c>
      <c r="F1152" s="17" t="s">
        <v>2993</v>
      </c>
      <c r="G1152" s="14">
        <v>0</v>
      </c>
      <c r="H1152" s="14">
        <v>0</v>
      </c>
      <c r="I1152" s="31">
        <f>IF(COUNTIFS(Addendum!C:C,A1152,Addendum!D:D,IF(ISNUMBER(B1152),TEXT(B1152,"0000"),B1152),Addendum!E:E,"X")&gt;0,4%,0)</f>
        <v>0</v>
      </c>
      <c r="J1152" s="31">
        <f>IF(COUNTIFS(Addendum!C:C,A1152,Addendum!D:D,IF(ISNUMBER(B1152),TEXT(B1152,"0000"),B1152),Addendum!F:F,"X")&gt;0,2.5%,0)</f>
        <v>0</v>
      </c>
      <c r="K1152" s="31">
        <f>IF(COUNTIFS(Addendum!C:C,A1152,Addendum!D:D,IF(ISNUMBER(B1152),TEXT(B1152,"0000"),B1152),Addendum!G:G,"X")&gt;0,7%,0)</f>
        <v>0</v>
      </c>
      <c r="L1152" s="31">
        <f>IF(COUNTIFS(Addendum!C:C,A1152,Addendum!D:D,IF(ISNUMBER(B1152),TEXT(B1152,"0000"),B1152),Addendum!I:I,"X")&gt;0,10%,0)</f>
        <v>0</v>
      </c>
      <c r="M1152" s="34">
        <f t="shared" si="34"/>
        <v>0</v>
      </c>
      <c r="N1152" s="17">
        <f t="shared" si="35"/>
        <v>0</v>
      </c>
    </row>
    <row r="1153" spans="1:14" x14ac:dyDescent="0.25">
      <c r="A1153" s="14" t="s">
        <v>2131</v>
      </c>
      <c r="B1153" s="14">
        <v>4</v>
      </c>
      <c r="C1153" s="15" t="s">
        <v>2133</v>
      </c>
      <c r="D1153" s="14" t="s">
        <v>1745</v>
      </c>
      <c r="E1153" s="14" t="s">
        <v>1747</v>
      </c>
      <c r="F1153" s="17" t="s">
        <v>2995</v>
      </c>
      <c r="G1153" s="14">
        <v>0</v>
      </c>
      <c r="H1153" s="14">
        <v>0</v>
      </c>
      <c r="I1153" s="31">
        <f>IF(COUNTIFS(Addendum!C:C,A1153,Addendum!D:D,IF(ISNUMBER(B1153),TEXT(B1153,"0000"),B1153),Addendum!E:E,"X")&gt;0,4%,0)</f>
        <v>0</v>
      </c>
      <c r="J1153" s="31">
        <f>IF(COUNTIFS(Addendum!C:C,A1153,Addendum!D:D,IF(ISNUMBER(B1153),TEXT(B1153,"0000"),B1153),Addendum!F:F,"X")&gt;0,2.5%,0)</f>
        <v>0</v>
      </c>
      <c r="K1153" s="31">
        <f>IF(COUNTIFS(Addendum!C:C,A1153,Addendum!D:D,IF(ISNUMBER(B1153),TEXT(B1153,"0000"),B1153),Addendum!G:G,"X")&gt;0,7%,0)</f>
        <v>0</v>
      </c>
      <c r="L1153" s="31">
        <f>IF(COUNTIFS(Addendum!C:C,A1153,Addendum!D:D,IF(ISNUMBER(B1153),TEXT(B1153,"0000"),B1153),Addendum!I:I,"X")&gt;0,10%,0)</f>
        <v>0</v>
      </c>
      <c r="M1153" s="34">
        <f t="shared" si="34"/>
        <v>0</v>
      </c>
      <c r="N1153" s="17">
        <f t="shared" si="35"/>
        <v>0</v>
      </c>
    </row>
    <row r="1154" spans="1:14" x14ac:dyDescent="0.25">
      <c r="A1154" s="14" t="s">
        <v>2131</v>
      </c>
      <c r="B1154" s="14">
        <v>1</v>
      </c>
      <c r="C1154" s="15" t="s">
        <v>2132</v>
      </c>
      <c r="D1154" s="14" t="s">
        <v>1749</v>
      </c>
      <c r="E1154" s="14" t="s">
        <v>1746</v>
      </c>
      <c r="F1154" s="17" t="s">
        <v>2993</v>
      </c>
      <c r="G1154" s="14">
        <v>0</v>
      </c>
      <c r="H1154" s="14">
        <v>0</v>
      </c>
      <c r="I1154" s="31">
        <f>IF(COUNTIFS(Addendum!C:C,A1154,Addendum!D:D,IF(ISNUMBER(B1154),TEXT(B1154,"0000"),B1154),Addendum!E:E,"X")&gt;0,4%,0)</f>
        <v>0</v>
      </c>
      <c r="J1154" s="31">
        <f>IF(COUNTIFS(Addendum!C:C,A1154,Addendum!D:D,IF(ISNUMBER(B1154),TEXT(B1154,"0000"),B1154),Addendum!F:F,"X")&gt;0,2.5%,0)</f>
        <v>0</v>
      </c>
      <c r="K1154" s="31">
        <f>IF(COUNTIFS(Addendum!C:C,A1154,Addendum!D:D,IF(ISNUMBER(B1154),TEXT(B1154,"0000"),B1154),Addendum!G:G,"X")&gt;0,7%,0)</f>
        <v>0</v>
      </c>
      <c r="L1154" s="31">
        <f>IF(COUNTIFS(Addendum!C:C,A1154,Addendum!D:D,IF(ISNUMBER(B1154),TEXT(B1154,"0000"),B1154),Addendum!I:I,"X")&gt;0,10%,0)</f>
        <v>0</v>
      </c>
      <c r="M1154" s="34">
        <f t="shared" si="34"/>
        <v>0</v>
      </c>
      <c r="N1154" s="17">
        <f t="shared" si="35"/>
        <v>0</v>
      </c>
    </row>
    <row r="1155" spans="1:14" x14ac:dyDescent="0.25">
      <c r="A1155" s="14" t="s">
        <v>2131</v>
      </c>
      <c r="B1155" s="14">
        <v>4</v>
      </c>
      <c r="C1155" s="15" t="s">
        <v>2133</v>
      </c>
      <c r="D1155" s="14" t="s">
        <v>1749</v>
      </c>
      <c r="E1155" s="14" t="s">
        <v>1746</v>
      </c>
      <c r="F1155" s="17" t="s">
        <v>2995</v>
      </c>
      <c r="G1155" s="14">
        <v>0</v>
      </c>
      <c r="H1155" s="14">
        <v>0</v>
      </c>
      <c r="I1155" s="31">
        <f>IF(COUNTIFS(Addendum!C:C,A1155,Addendum!D:D,IF(ISNUMBER(B1155),TEXT(B1155,"0000"),B1155),Addendum!E:E,"X")&gt;0,4%,0)</f>
        <v>0</v>
      </c>
      <c r="J1155" s="31">
        <f>IF(COUNTIFS(Addendum!C:C,A1155,Addendum!D:D,IF(ISNUMBER(B1155),TEXT(B1155,"0000"),B1155),Addendum!F:F,"X")&gt;0,2.5%,0)</f>
        <v>0</v>
      </c>
      <c r="K1155" s="31">
        <f>IF(COUNTIFS(Addendum!C:C,A1155,Addendum!D:D,IF(ISNUMBER(B1155),TEXT(B1155,"0000"),B1155),Addendum!G:G,"X")&gt;0,7%,0)</f>
        <v>0</v>
      </c>
      <c r="L1155" s="31">
        <f>IF(COUNTIFS(Addendum!C:C,A1155,Addendum!D:D,IF(ISNUMBER(B1155),TEXT(B1155,"0000"),B1155),Addendum!I:I,"X")&gt;0,10%,0)</f>
        <v>0</v>
      </c>
      <c r="M1155" s="34">
        <f t="shared" si="34"/>
        <v>0</v>
      </c>
      <c r="N1155" s="17">
        <f t="shared" si="35"/>
        <v>0</v>
      </c>
    </row>
    <row r="1156" spans="1:14" x14ac:dyDescent="0.25">
      <c r="A1156" s="14" t="s">
        <v>2131</v>
      </c>
      <c r="B1156" s="14">
        <v>4</v>
      </c>
      <c r="C1156" s="15" t="s">
        <v>2133</v>
      </c>
      <c r="D1156" s="14" t="s">
        <v>1745</v>
      </c>
      <c r="E1156" s="14" t="s">
        <v>1746</v>
      </c>
      <c r="F1156" s="17" t="s">
        <v>2995</v>
      </c>
      <c r="G1156" s="14">
        <v>0</v>
      </c>
      <c r="H1156" s="14">
        <v>0</v>
      </c>
      <c r="I1156" s="31">
        <f>IF(COUNTIFS(Addendum!C:C,A1156,Addendum!D:D,IF(ISNUMBER(B1156),TEXT(B1156,"0000"),B1156),Addendum!E:E,"X")&gt;0,4%,0)</f>
        <v>0</v>
      </c>
      <c r="J1156" s="31">
        <f>IF(COUNTIFS(Addendum!C:C,A1156,Addendum!D:D,IF(ISNUMBER(B1156),TEXT(B1156,"0000"),B1156),Addendum!F:F,"X")&gt;0,2.5%,0)</f>
        <v>0</v>
      </c>
      <c r="K1156" s="31">
        <f>IF(COUNTIFS(Addendum!C:C,A1156,Addendum!D:D,IF(ISNUMBER(B1156),TEXT(B1156,"0000"),B1156),Addendum!G:G,"X")&gt;0,7%,0)</f>
        <v>0</v>
      </c>
      <c r="L1156" s="31">
        <f>IF(COUNTIFS(Addendum!C:C,A1156,Addendum!D:D,IF(ISNUMBER(B1156),TEXT(B1156,"0000"),B1156),Addendum!I:I,"X")&gt;0,10%,0)</f>
        <v>0</v>
      </c>
      <c r="M1156" s="34">
        <f t="shared" ref="M1156:M1219" si="36">IF(AND(I1156=0%,J1156=0%,K1156=0%,L1156=0%),0%,
IF(OR(TRIM(E1156)="OneTime",TRIM(D1156)=""),0%,
IF(
OR(
TRIM(D1156)="P1M",
AND(TRIM(D1156)="P1Y",TRIM(E1156)="Monthly"),
AND(TRIM(D1156)="P3Y",TRIM(E1156)="Monthly")
),
IF(AND(I1156=4%,J1156=0%,K1156=0%,L1156=0%),1%,
IF(AND(I1156=4%,J1156=2.5%,K1156=0%,L1156=10%),2%,
IF(AND(I1156=4%,J1156=0%,K1156=7%,L1156=10%),3%,0%))),
IF(
OR(
AND(TRIM(D1156)="P1Y",TRIM(E1156)="Annual"),
AND(TRIM(D1156)="P3Y",TRIM(E1156)="Annual"),
AND(TRIM(D1156)="P3Y",TRIM(E1156)="Triennial")
),
IF(AND(I1156=4%,J1156=0%,K1156=0%,L1156=0%),3%,
IF(AND(I1156=4%,J1156=2.5%,K1156=0%,L1156=10%),10%,
IF(AND(I1156=4%,J1156=0%,K1156=7%,L1156=10%),14%,0%))),
0%
))))</f>
        <v>0</v>
      </c>
      <c r="N1156" s="17">
        <f t="shared" ref="N1156:N1219" si="37">H1156-(H1156*M1156)</f>
        <v>0</v>
      </c>
    </row>
    <row r="1157" spans="1:14" x14ac:dyDescent="0.25">
      <c r="A1157" s="14" t="s">
        <v>2131</v>
      </c>
      <c r="B1157" s="14">
        <v>1</v>
      </c>
      <c r="C1157" s="15" t="s">
        <v>2132</v>
      </c>
      <c r="D1157" s="14" t="s">
        <v>1745</v>
      </c>
      <c r="E1157" s="14" t="s">
        <v>1746</v>
      </c>
      <c r="F1157" s="17" t="s">
        <v>2993</v>
      </c>
      <c r="G1157" s="14">
        <v>0</v>
      </c>
      <c r="H1157" s="14">
        <v>0</v>
      </c>
      <c r="I1157" s="31">
        <f>IF(COUNTIFS(Addendum!C:C,A1157,Addendum!D:D,IF(ISNUMBER(B1157),TEXT(B1157,"0000"),B1157),Addendum!E:E,"X")&gt;0,4%,0)</f>
        <v>0</v>
      </c>
      <c r="J1157" s="31">
        <f>IF(COUNTIFS(Addendum!C:C,A1157,Addendum!D:D,IF(ISNUMBER(B1157),TEXT(B1157,"0000"),B1157),Addendum!F:F,"X")&gt;0,2.5%,0)</f>
        <v>0</v>
      </c>
      <c r="K1157" s="31">
        <f>IF(COUNTIFS(Addendum!C:C,A1157,Addendum!D:D,IF(ISNUMBER(B1157),TEXT(B1157,"0000"),B1157),Addendum!G:G,"X")&gt;0,7%,0)</f>
        <v>0</v>
      </c>
      <c r="L1157" s="31">
        <f>IF(COUNTIFS(Addendum!C:C,A1157,Addendum!D:D,IF(ISNUMBER(B1157),TEXT(B1157,"0000"),B1157),Addendum!I:I,"X")&gt;0,10%,0)</f>
        <v>0</v>
      </c>
      <c r="M1157" s="34">
        <f t="shared" si="36"/>
        <v>0</v>
      </c>
      <c r="N1157" s="17">
        <f t="shared" si="37"/>
        <v>0</v>
      </c>
    </row>
    <row r="1158" spans="1:14" x14ac:dyDescent="0.25">
      <c r="A1158" s="14" t="s">
        <v>2131</v>
      </c>
      <c r="B1158" s="14">
        <v>3</v>
      </c>
      <c r="C1158" s="15" t="s">
        <v>2134</v>
      </c>
      <c r="D1158" s="14" t="s">
        <v>1749</v>
      </c>
      <c r="E1158" s="14" t="s">
        <v>1746</v>
      </c>
      <c r="F1158" s="17" t="s">
        <v>2994</v>
      </c>
      <c r="G1158" s="14">
        <v>0</v>
      </c>
      <c r="H1158" s="14">
        <v>0</v>
      </c>
      <c r="I1158" s="31">
        <f>IF(COUNTIFS(Addendum!C:C,A1158,Addendum!D:D,IF(ISNUMBER(B1158),TEXT(B1158,"0000"),B1158),Addendum!E:E,"X")&gt;0,4%,0)</f>
        <v>0</v>
      </c>
      <c r="J1158" s="31">
        <f>IF(COUNTIFS(Addendum!C:C,A1158,Addendum!D:D,IF(ISNUMBER(B1158),TEXT(B1158,"0000"),B1158),Addendum!F:F,"X")&gt;0,2.5%,0)</f>
        <v>0</v>
      </c>
      <c r="K1158" s="31">
        <f>IF(COUNTIFS(Addendum!C:C,A1158,Addendum!D:D,IF(ISNUMBER(B1158),TEXT(B1158,"0000"),B1158),Addendum!G:G,"X")&gt;0,7%,0)</f>
        <v>0</v>
      </c>
      <c r="L1158" s="31">
        <f>IF(COUNTIFS(Addendum!C:C,A1158,Addendum!D:D,IF(ISNUMBER(B1158),TEXT(B1158,"0000"),B1158),Addendum!I:I,"X")&gt;0,10%,0)</f>
        <v>0</v>
      </c>
      <c r="M1158" s="34">
        <f t="shared" si="36"/>
        <v>0</v>
      </c>
      <c r="N1158" s="17">
        <f t="shared" si="37"/>
        <v>0</v>
      </c>
    </row>
    <row r="1159" spans="1:14" x14ac:dyDescent="0.25">
      <c r="A1159" s="14" t="s">
        <v>2131</v>
      </c>
      <c r="B1159" s="14">
        <v>3</v>
      </c>
      <c r="C1159" s="15" t="s">
        <v>2134</v>
      </c>
      <c r="D1159" s="14" t="s">
        <v>1745</v>
      </c>
      <c r="E1159" s="14" t="s">
        <v>1747</v>
      </c>
      <c r="F1159" s="17" t="s">
        <v>2994</v>
      </c>
      <c r="G1159" s="14">
        <v>0</v>
      </c>
      <c r="H1159" s="14">
        <v>0</v>
      </c>
      <c r="I1159" s="31">
        <f>IF(COUNTIFS(Addendum!C:C,A1159,Addendum!D:D,IF(ISNUMBER(B1159),TEXT(B1159,"0000"),B1159),Addendum!E:E,"X")&gt;0,4%,0)</f>
        <v>0</v>
      </c>
      <c r="J1159" s="31">
        <f>IF(COUNTIFS(Addendum!C:C,A1159,Addendum!D:D,IF(ISNUMBER(B1159),TEXT(B1159,"0000"),B1159),Addendum!F:F,"X")&gt;0,2.5%,0)</f>
        <v>0</v>
      </c>
      <c r="K1159" s="31">
        <f>IF(COUNTIFS(Addendum!C:C,A1159,Addendum!D:D,IF(ISNUMBER(B1159),TEXT(B1159,"0000"),B1159),Addendum!G:G,"X")&gt;0,7%,0)</f>
        <v>0</v>
      </c>
      <c r="L1159" s="31">
        <f>IF(COUNTIFS(Addendum!C:C,A1159,Addendum!D:D,IF(ISNUMBER(B1159),TEXT(B1159,"0000"),B1159),Addendum!I:I,"X")&gt;0,10%,0)</f>
        <v>0</v>
      </c>
      <c r="M1159" s="34">
        <f t="shared" si="36"/>
        <v>0</v>
      </c>
      <c r="N1159" s="17">
        <f t="shared" si="37"/>
        <v>0</v>
      </c>
    </row>
    <row r="1160" spans="1:14" x14ac:dyDescent="0.25">
      <c r="A1160" s="14" t="s">
        <v>2131</v>
      </c>
      <c r="B1160" s="14">
        <v>3</v>
      </c>
      <c r="C1160" s="15" t="s">
        <v>2134</v>
      </c>
      <c r="D1160" s="14" t="s">
        <v>1745</v>
      </c>
      <c r="E1160" s="14" t="s">
        <v>1746</v>
      </c>
      <c r="F1160" s="17" t="s">
        <v>2994</v>
      </c>
      <c r="G1160" s="14">
        <v>0</v>
      </c>
      <c r="H1160" s="14">
        <v>0</v>
      </c>
      <c r="I1160" s="31">
        <f>IF(COUNTIFS(Addendum!C:C,A1160,Addendum!D:D,IF(ISNUMBER(B1160),TEXT(B1160,"0000"),B1160),Addendum!E:E,"X")&gt;0,4%,0)</f>
        <v>0</v>
      </c>
      <c r="J1160" s="31">
        <f>IF(COUNTIFS(Addendum!C:C,A1160,Addendum!D:D,IF(ISNUMBER(B1160),TEXT(B1160,"0000"),B1160),Addendum!F:F,"X")&gt;0,2.5%,0)</f>
        <v>0</v>
      </c>
      <c r="K1160" s="31">
        <f>IF(COUNTIFS(Addendum!C:C,A1160,Addendum!D:D,IF(ISNUMBER(B1160),TEXT(B1160,"0000"),B1160),Addendum!G:G,"X")&gt;0,7%,0)</f>
        <v>0</v>
      </c>
      <c r="L1160" s="31">
        <f>IF(COUNTIFS(Addendum!C:C,A1160,Addendum!D:D,IF(ISNUMBER(B1160),TEXT(B1160,"0000"),B1160),Addendum!I:I,"X")&gt;0,10%,0)</f>
        <v>0</v>
      </c>
      <c r="M1160" s="34">
        <f t="shared" si="36"/>
        <v>0</v>
      </c>
      <c r="N1160" s="17">
        <f t="shared" si="37"/>
        <v>0</v>
      </c>
    </row>
    <row r="1161" spans="1:14" x14ac:dyDescent="0.25">
      <c r="A1161" s="14" t="s">
        <v>2135</v>
      </c>
      <c r="B1161" s="14">
        <v>1</v>
      </c>
      <c r="C1161" s="15" t="s">
        <v>2136</v>
      </c>
      <c r="D1161" s="14" t="s">
        <v>1752</v>
      </c>
      <c r="E1161" s="14" t="s">
        <v>1747</v>
      </c>
      <c r="F1161" s="17" t="s">
        <v>2993</v>
      </c>
      <c r="G1161" s="14">
        <v>898560</v>
      </c>
      <c r="H1161" s="14">
        <v>628992</v>
      </c>
      <c r="I1161" s="31">
        <f>IF(COUNTIFS(Addendum!C:C,A1161,Addendum!D:D,IF(ISNUMBER(B1161),TEXT(B1161,"0000"),B1161),Addendum!E:E,"X")&gt;0,4%,0)</f>
        <v>0</v>
      </c>
      <c r="J1161" s="31">
        <f>IF(COUNTIFS(Addendum!C:C,A1161,Addendum!D:D,IF(ISNUMBER(B1161),TEXT(B1161,"0000"),B1161),Addendum!F:F,"X")&gt;0,2.5%,0)</f>
        <v>0</v>
      </c>
      <c r="K1161" s="31">
        <f>IF(COUNTIFS(Addendum!C:C,A1161,Addendum!D:D,IF(ISNUMBER(B1161),TEXT(B1161,"0000"),B1161),Addendum!G:G,"X")&gt;0,7%,0)</f>
        <v>0</v>
      </c>
      <c r="L1161" s="31">
        <f>IF(COUNTIFS(Addendum!C:C,A1161,Addendum!D:D,IF(ISNUMBER(B1161),TEXT(B1161,"0000"),B1161),Addendum!I:I,"X")&gt;0,10%,0)</f>
        <v>0</v>
      </c>
      <c r="M1161" s="34">
        <f t="shared" si="36"/>
        <v>0</v>
      </c>
      <c r="N1161" s="17">
        <f t="shared" si="37"/>
        <v>628992</v>
      </c>
    </row>
    <row r="1162" spans="1:14" x14ac:dyDescent="0.25">
      <c r="A1162" s="14" t="s">
        <v>2135</v>
      </c>
      <c r="B1162" s="14">
        <v>6</v>
      </c>
      <c r="C1162" s="15" t="s">
        <v>2137</v>
      </c>
      <c r="D1162" s="14" t="s">
        <v>1752</v>
      </c>
      <c r="E1162" s="14" t="s">
        <v>1746</v>
      </c>
      <c r="F1162" s="17" t="s">
        <v>2994</v>
      </c>
      <c r="G1162" s="14">
        <v>141561</v>
      </c>
      <c r="H1162" s="14">
        <v>99092.88</v>
      </c>
      <c r="I1162" s="31">
        <f>IF(COUNTIFS(Addendum!C:C,A1162,Addendum!D:D,IF(ISNUMBER(B1162),TEXT(B1162,"0000"),B1162),Addendum!E:E,"X")&gt;0,4%,0)</f>
        <v>0</v>
      </c>
      <c r="J1162" s="31">
        <f>IF(COUNTIFS(Addendum!C:C,A1162,Addendum!D:D,IF(ISNUMBER(B1162),TEXT(B1162,"0000"),B1162),Addendum!F:F,"X")&gt;0,2.5%,0)</f>
        <v>0</v>
      </c>
      <c r="K1162" s="31">
        <f>IF(COUNTIFS(Addendum!C:C,A1162,Addendum!D:D,IF(ISNUMBER(B1162),TEXT(B1162,"0000"),B1162),Addendum!G:G,"X")&gt;0,7%,0)</f>
        <v>0</v>
      </c>
      <c r="L1162" s="31">
        <f>IF(COUNTIFS(Addendum!C:C,A1162,Addendum!D:D,IF(ISNUMBER(B1162),TEXT(B1162,"0000"),B1162),Addendum!I:I,"X")&gt;0,10%,0)</f>
        <v>0</v>
      </c>
      <c r="M1162" s="34">
        <f t="shared" si="36"/>
        <v>0</v>
      </c>
      <c r="N1162" s="17">
        <f t="shared" si="37"/>
        <v>99092.88</v>
      </c>
    </row>
    <row r="1163" spans="1:14" x14ac:dyDescent="0.25">
      <c r="A1163" s="14" t="s">
        <v>2135</v>
      </c>
      <c r="B1163" s="14">
        <v>7</v>
      </c>
      <c r="C1163" s="15" t="s">
        <v>2138</v>
      </c>
      <c r="D1163" s="14" t="s">
        <v>1745</v>
      </c>
      <c r="E1163" s="14" t="s">
        <v>1747</v>
      </c>
      <c r="F1163" s="17" t="s">
        <v>2995</v>
      </c>
      <c r="G1163" s="14">
        <v>119820</v>
      </c>
      <c r="H1163" s="14">
        <v>107838</v>
      </c>
      <c r="I1163" s="31">
        <f>IF(COUNTIFS(Addendum!C:C,A1163,Addendum!D:D,IF(ISNUMBER(B1163),TEXT(B1163,"0000"),B1163),Addendum!E:E,"X")&gt;0,4%,0)</f>
        <v>0</v>
      </c>
      <c r="J1163" s="31">
        <f>IF(COUNTIFS(Addendum!C:C,A1163,Addendum!D:D,IF(ISNUMBER(B1163),TEXT(B1163,"0000"),B1163),Addendum!F:F,"X")&gt;0,2.5%,0)</f>
        <v>0</v>
      </c>
      <c r="K1163" s="31">
        <f>IF(COUNTIFS(Addendum!C:C,A1163,Addendum!D:D,IF(ISNUMBER(B1163),TEXT(B1163,"0000"),B1163),Addendum!G:G,"X")&gt;0,7%,0)</f>
        <v>0</v>
      </c>
      <c r="L1163" s="31">
        <f>IF(COUNTIFS(Addendum!C:C,A1163,Addendum!D:D,IF(ISNUMBER(B1163),TEXT(B1163,"0000"),B1163),Addendum!I:I,"X")&gt;0,10%,0)</f>
        <v>0</v>
      </c>
      <c r="M1163" s="34">
        <f t="shared" si="36"/>
        <v>0</v>
      </c>
      <c r="N1163" s="17">
        <f t="shared" si="37"/>
        <v>107838</v>
      </c>
    </row>
    <row r="1164" spans="1:14" x14ac:dyDescent="0.25">
      <c r="A1164" s="14" t="s">
        <v>2135</v>
      </c>
      <c r="B1164" s="14">
        <v>6</v>
      </c>
      <c r="C1164" s="15" t="s">
        <v>2137</v>
      </c>
      <c r="D1164" s="14" t="s">
        <v>1752</v>
      </c>
      <c r="E1164" s="14" t="s">
        <v>1747</v>
      </c>
      <c r="F1164" s="17" t="s">
        <v>2994</v>
      </c>
      <c r="G1164" s="14">
        <v>134820</v>
      </c>
      <c r="H1164" s="14">
        <v>94374</v>
      </c>
      <c r="I1164" s="31">
        <f>IF(COUNTIFS(Addendum!C:C,A1164,Addendum!D:D,IF(ISNUMBER(B1164),TEXT(B1164,"0000"),B1164),Addendum!E:E,"X")&gt;0,4%,0)</f>
        <v>0</v>
      </c>
      <c r="J1164" s="31">
        <f>IF(COUNTIFS(Addendum!C:C,A1164,Addendum!D:D,IF(ISNUMBER(B1164),TEXT(B1164,"0000"),B1164),Addendum!F:F,"X")&gt;0,2.5%,0)</f>
        <v>0</v>
      </c>
      <c r="K1164" s="31">
        <f>IF(COUNTIFS(Addendum!C:C,A1164,Addendum!D:D,IF(ISNUMBER(B1164),TEXT(B1164,"0000"),B1164),Addendum!G:G,"X")&gt;0,7%,0)</f>
        <v>0</v>
      </c>
      <c r="L1164" s="31">
        <f>IF(COUNTIFS(Addendum!C:C,A1164,Addendum!D:D,IF(ISNUMBER(B1164),TEXT(B1164,"0000"),B1164),Addendum!I:I,"X")&gt;0,10%,0)</f>
        <v>0</v>
      </c>
      <c r="M1164" s="34">
        <f t="shared" si="36"/>
        <v>0</v>
      </c>
      <c r="N1164" s="17">
        <f t="shared" si="37"/>
        <v>94374</v>
      </c>
    </row>
    <row r="1165" spans="1:14" x14ac:dyDescent="0.25">
      <c r="A1165" s="14" t="s">
        <v>2135</v>
      </c>
      <c r="B1165" s="14">
        <v>5</v>
      </c>
      <c r="C1165" s="15" t="s">
        <v>2139</v>
      </c>
      <c r="D1165" s="14" t="s">
        <v>1752</v>
      </c>
      <c r="E1165" s="14" t="s">
        <v>1746</v>
      </c>
      <c r="F1165" s="17" t="s">
        <v>2994</v>
      </c>
      <c r="G1165" s="14">
        <v>188622</v>
      </c>
      <c r="H1165" s="14">
        <v>132035.4</v>
      </c>
      <c r="I1165" s="31">
        <f>IF(COUNTIFS(Addendum!C:C,A1165,Addendum!D:D,IF(ISNUMBER(B1165),TEXT(B1165,"0000"),B1165),Addendum!E:E,"X")&gt;0,4%,0)</f>
        <v>0</v>
      </c>
      <c r="J1165" s="31">
        <f>IF(COUNTIFS(Addendum!C:C,A1165,Addendum!D:D,IF(ISNUMBER(B1165),TEXT(B1165,"0000"),B1165),Addendum!F:F,"X")&gt;0,2.5%,0)</f>
        <v>0</v>
      </c>
      <c r="K1165" s="31">
        <f>IF(COUNTIFS(Addendum!C:C,A1165,Addendum!D:D,IF(ISNUMBER(B1165),TEXT(B1165,"0000"),B1165),Addendum!G:G,"X")&gt;0,7%,0)</f>
        <v>0</v>
      </c>
      <c r="L1165" s="31">
        <f>IF(COUNTIFS(Addendum!C:C,A1165,Addendum!D:D,IF(ISNUMBER(B1165),TEXT(B1165,"0000"),B1165),Addendum!I:I,"X")&gt;0,10%,0)</f>
        <v>0</v>
      </c>
      <c r="M1165" s="34">
        <f t="shared" si="36"/>
        <v>0</v>
      </c>
      <c r="N1165" s="17">
        <f t="shared" si="37"/>
        <v>132035.4</v>
      </c>
    </row>
    <row r="1166" spans="1:14" x14ac:dyDescent="0.25">
      <c r="A1166" s="14" t="s">
        <v>2135</v>
      </c>
      <c r="B1166" s="14">
        <v>7</v>
      </c>
      <c r="C1166" s="15" t="s">
        <v>2138</v>
      </c>
      <c r="D1166" s="14" t="s">
        <v>1749</v>
      </c>
      <c r="E1166" s="14" t="s">
        <v>1746</v>
      </c>
      <c r="F1166" s="17" t="s">
        <v>2995</v>
      </c>
      <c r="G1166" s="14">
        <v>11982</v>
      </c>
      <c r="H1166" s="14">
        <v>10783.8</v>
      </c>
      <c r="I1166" s="31">
        <f>IF(COUNTIFS(Addendum!C:C,A1166,Addendum!D:D,IF(ISNUMBER(B1166),TEXT(B1166,"0000"),B1166),Addendum!E:E,"X")&gt;0,4%,0)</f>
        <v>0</v>
      </c>
      <c r="J1166" s="31">
        <f>IF(COUNTIFS(Addendum!C:C,A1166,Addendum!D:D,IF(ISNUMBER(B1166),TEXT(B1166,"0000"),B1166),Addendum!F:F,"X")&gt;0,2.5%,0)</f>
        <v>0</v>
      </c>
      <c r="K1166" s="31">
        <f>IF(COUNTIFS(Addendum!C:C,A1166,Addendum!D:D,IF(ISNUMBER(B1166),TEXT(B1166,"0000"),B1166),Addendum!G:G,"X")&gt;0,7%,0)</f>
        <v>0</v>
      </c>
      <c r="L1166" s="31">
        <f>IF(COUNTIFS(Addendum!C:C,A1166,Addendum!D:D,IF(ISNUMBER(B1166),TEXT(B1166,"0000"),B1166),Addendum!I:I,"X")&gt;0,10%,0)</f>
        <v>0</v>
      </c>
      <c r="M1166" s="34">
        <f t="shared" si="36"/>
        <v>0</v>
      </c>
      <c r="N1166" s="17">
        <f t="shared" si="37"/>
        <v>10783.8</v>
      </c>
    </row>
    <row r="1167" spans="1:14" x14ac:dyDescent="0.25">
      <c r="A1167" s="14" t="s">
        <v>2135</v>
      </c>
      <c r="B1167" s="14">
        <v>1</v>
      </c>
      <c r="C1167" s="15" t="s">
        <v>2136</v>
      </c>
      <c r="D1167" s="14" t="s">
        <v>1749</v>
      </c>
      <c r="E1167" s="14" t="s">
        <v>1746</v>
      </c>
      <c r="F1167" s="17" t="s">
        <v>2993</v>
      </c>
      <c r="G1167" s="14">
        <v>29952</v>
      </c>
      <c r="H1167" s="14">
        <v>20966.400000000001</v>
      </c>
      <c r="I1167" s="31">
        <f>IF(COUNTIFS(Addendum!C:C,A1167,Addendum!D:D,IF(ISNUMBER(B1167),TEXT(B1167,"0000"),B1167),Addendum!E:E,"X")&gt;0,4%,0)</f>
        <v>0</v>
      </c>
      <c r="J1167" s="31">
        <f>IF(COUNTIFS(Addendum!C:C,A1167,Addendum!D:D,IF(ISNUMBER(B1167),TEXT(B1167,"0000"),B1167),Addendum!F:F,"X")&gt;0,2.5%,0)</f>
        <v>0</v>
      </c>
      <c r="K1167" s="31">
        <f>IF(COUNTIFS(Addendum!C:C,A1167,Addendum!D:D,IF(ISNUMBER(B1167),TEXT(B1167,"0000"),B1167),Addendum!G:G,"X")&gt;0,7%,0)</f>
        <v>0</v>
      </c>
      <c r="L1167" s="31">
        <f>IF(COUNTIFS(Addendum!C:C,A1167,Addendum!D:D,IF(ISNUMBER(B1167),TEXT(B1167,"0000"),B1167),Addendum!I:I,"X")&gt;0,10%,0)</f>
        <v>0</v>
      </c>
      <c r="M1167" s="34">
        <f t="shared" si="36"/>
        <v>0</v>
      </c>
      <c r="N1167" s="17">
        <f t="shared" si="37"/>
        <v>20966.400000000001</v>
      </c>
    </row>
    <row r="1168" spans="1:14" x14ac:dyDescent="0.25">
      <c r="A1168" s="14" t="s">
        <v>2135</v>
      </c>
      <c r="B1168" s="14">
        <v>6</v>
      </c>
      <c r="C1168" s="15" t="s">
        <v>2137</v>
      </c>
      <c r="D1168" s="14" t="s">
        <v>1752</v>
      </c>
      <c r="E1168" s="14" t="s">
        <v>1753</v>
      </c>
      <c r="F1168" s="17" t="s">
        <v>2994</v>
      </c>
      <c r="G1168" s="14">
        <v>134820</v>
      </c>
      <c r="H1168" s="14">
        <v>94374</v>
      </c>
      <c r="I1168" s="31">
        <f>IF(COUNTIFS(Addendum!C:C,A1168,Addendum!D:D,IF(ISNUMBER(B1168),TEXT(B1168,"0000"),B1168),Addendum!E:E,"X")&gt;0,4%,0)</f>
        <v>0</v>
      </c>
      <c r="J1168" s="31">
        <f>IF(COUNTIFS(Addendum!C:C,A1168,Addendum!D:D,IF(ISNUMBER(B1168),TEXT(B1168,"0000"),B1168),Addendum!F:F,"X")&gt;0,2.5%,0)</f>
        <v>0</v>
      </c>
      <c r="K1168" s="31">
        <f>IF(COUNTIFS(Addendum!C:C,A1168,Addendum!D:D,IF(ISNUMBER(B1168),TEXT(B1168,"0000"),B1168),Addendum!G:G,"X")&gt;0,7%,0)</f>
        <v>0</v>
      </c>
      <c r="L1168" s="31">
        <f>IF(COUNTIFS(Addendum!C:C,A1168,Addendum!D:D,IF(ISNUMBER(B1168),TEXT(B1168,"0000"),B1168),Addendum!I:I,"X")&gt;0,10%,0)</f>
        <v>0</v>
      </c>
      <c r="M1168" s="34">
        <f t="shared" si="36"/>
        <v>0</v>
      </c>
      <c r="N1168" s="17">
        <f t="shared" si="37"/>
        <v>94374</v>
      </c>
    </row>
    <row r="1169" spans="1:14" x14ac:dyDescent="0.25">
      <c r="A1169" s="14" t="s">
        <v>2135</v>
      </c>
      <c r="B1169" s="14">
        <v>5</v>
      </c>
      <c r="C1169" s="15" t="s">
        <v>2139</v>
      </c>
      <c r="D1169" s="14" t="s">
        <v>1745</v>
      </c>
      <c r="E1169" s="14" t="s">
        <v>1747</v>
      </c>
      <c r="F1169" s="17" t="s">
        <v>2994</v>
      </c>
      <c r="G1169" s="14">
        <v>59880</v>
      </c>
      <c r="H1169" s="14">
        <v>41916</v>
      </c>
      <c r="I1169" s="31">
        <f>IF(COUNTIFS(Addendum!C:C,A1169,Addendum!D:D,IF(ISNUMBER(B1169),TEXT(B1169,"0000"),B1169),Addendum!E:E,"X")&gt;0,4%,0)</f>
        <v>0</v>
      </c>
      <c r="J1169" s="31">
        <f>IF(COUNTIFS(Addendum!C:C,A1169,Addendum!D:D,IF(ISNUMBER(B1169),TEXT(B1169,"0000"),B1169),Addendum!F:F,"X")&gt;0,2.5%,0)</f>
        <v>0</v>
      </c>
      <c r="K1169" s="31">
        <f>IF(COUNTIFS(Addendum!C:C,A1169,Addendum!D:D,IF(ISNUMBER(B1169),TEXT(B1169,"0000"),B1169),Addendum!G:G,"X")&gt;0,7%,0)</f>
        <v>0</v>
      </c>
      <c r="L1169" s="31">
        <f>IF(COUNTIFS(Addendum!C:C,A1169,Addendum!D:D,IF(ISNUMBER(B1169),TEXT(B1169,"0000"),B1169),Addendum!I:I,"X")&gt;0,10%,0)</f>
        <v>0</v>
      </c>
      <c r="M1169" s="34">
        <f t="shared" si="36"/>
        <v>0</v>
      </c>
      <c r="N1169" s="17">
        <f t="shared" si="37"/>
        <v>41916</v>
      </c>
    </row>
    <row r="1170" spans="1:14" x14ac:dyDescent="0.25">
      <c r="A1170" s="14" t="s">
        <v>2135</v>
      </c>
      <c r="B1170" s="14">
        <v>5</v>
      </c>
      <c r="C1170" s="15" t="s">
        <v>2139</v>
      </c>
      <c r="D1170" s="14" t="s">
        <v>1752</v>
      </c>
      <c r="E1170" s="14" t="s">
        <v>1747</v>
      </c>
      <c r="F1170" s="17" t="s">
        <v>2994</v>
      </c>
      <c r="G1170" s="14">
        <v>179640</v>
      </c>
      <c r="H1170" s="14">
        <v>125748</v>
      </c>
      <c r="I1170" s="31">
        <f>IF(COUNTIFS(Addendum!C:C,A1170,Addendum!D:D,IF(ISNUMBER(B1170),TEXT(B1170,"0000"),B1170),Addendum!E:E,"X")&gt;0,4%,0)</f>
        <v>0</v>
      </c>
      <c r="J1170" s="31">
        <f>IF(COUNTIFS(Addendum!C:C,A1170,Addendum!D:D,IF(ISNUMBER(B1170),TEXT(B1170,"0000"),B1170),Addendum!F:F,"X")&gt;0,2.5%,0)</f>
        <v>0</v>
      </c>
      <c r="K1170" s="31">
        <f>IF(COUNTIFS(Addendum!C:C,A1170,Addendum!D:D,IF(ISNUMBER(B1170),TEXT(B1170,"0000"),B1170),Addendum!G:G,"X")&gt;0,7%,0)</f>
        <v>0</v>
      </c>
      <c r="L1170" s="31">
        <f>IF(COUNTIFS(Addendum!C:C,A1170,Addendum!D:D,IF(ISNUMBER(B1170),TEXT(B1170,"0000"),B1170),Addendum!I:I,"X")&gt;0,10%,0)</f>
        <v>0</v>
      </c>
      <c r="M1170" s="34">
        <f t="shared" si="36"/>
        <v>0</v>
      </c>
      <c r="N1170" s="17">
        <f t="shared" si="37"/>
        <v>125748</v>
      </c>
    </row>
    <row r="1171" spans="1:14" x14ac:dyDescent="0.25">
      <c r="A1171" s="14" t="s">
        <v>2135</v>
      </c>
      <c r="B1171" s="14">
        <v>7</v>
      </c>
      <c r="C1171" s="15" t="s">
        <v>2138</v>
      </c>
      <c r="D1171" s="14" t="s">
        <v>1752</v>
      </c>
      <c r="E1171" s="14" t="s">
        <v>1753</v>
      </c>
      <c r="F1171" s="17" t="s">
        <v>2995</v>
      </c>
      <c r="G1171" s="14">
        <v>359460</v>
      </c>
      <c r="H1171" s="14">
        <v>323514</v>
      </c>
      <c r="I1171" s="31">
        <f>IF(COUNTIFS(Addendum!C:C,A1171,Addendum!D:D,IF(ISNUMBER(B1171),TEXT(B1171,"0000"),B1171),Addendum!E:E,"X")&gt;0,4%,0)</f>
        <v>0</v>
      </c>
      <c r="J1171" s="31">
        <f>IF(COUNTIFS(Addendum!C:C,A1171,Addendum!D:D,IF(ISNUMBER(B1171),TEXT(B1171,"0000"),B1171),Addendum!F:F,"X")&gt;0,2.5%,0)</f>
        <v>0</v>
      </c>
      <c r="K1171" s="31">
        <f>IF(COUNTIFS(Addendum!C:C,A1171,Addendum!D:D,IF(ISNUMBER(B1171),TEXT(B1171,"0000"),B1171),Addendum!G:G,"X")&gt;0,7%,0)</f>
        <v>0</v>
      </c>
      <c r="L1171" s="31">
        <f>IF(COUNTIFS(Addendum!C:C,A1171,Addendum!D:D,IF(ISNUMBER(B1171),TEXT(B1171,"0000"),B1171),Addendum!I:I,"X")&gt;0,10%,0)</f>
        <v>0</v>
      </c>
      <c r="M1171" s="34">
        <f t="shared" si="36"/>
        <v>0</v>
      </c>
      <c r="N1171" s="17">
        <f t="shared" si="37"/>
        <v>323514</v>
      </c>
    </row>
    <row r="1172" spans="1:14" x14ac:dyDescent="0.25">
      <c r="A1172" s="14" t="s">
        <v>2135</v>
      </c>
      <c r="B1172" s="14">
        <v>6</v>
      </c>
      <c r="C1172" s="15" t="s">
        <v>2137</v>
      </c>
      <c r="D1172" s="14" t="s">
        <v>1749</v>
      </c>
      <c r="E1172" s="14" t="s">
        <v>1746</v>
      </c>
      <c r="F1172" s="17" t="s">
        <v>2994</v>
      </c>
      <c r="G1172" s="14">
        <v>4494</v>
      </c>
      <c r="H1172" s="14">
        <v>3145.8</v>
      </c>
      <c r="I1172" s="31">
        <f>IF(COUNTIFS(Addendum!C:C,A1172,Addendum!D:D,IF(ISNUMBER(B1172),TEXT(B1172,"0000"),B1172),Addendum!E:E,"X")&gt;0,4%,0)</f>
        <v>0</v>
      </c>
      <c r="J1172" s="31">
        <f>IF(COUNTIFS(Addendum!C:C,A1172,Addendum!D:D,IF(ISNUMBER(B1172),TEXT(B1172,"0000"),B1172),Addendum!F:F,"X")&gt;0,2.5%,0)</f>
        <v>0</v>
      </c>
      <c r="K1172" s="31">
        <f>IF(COUNTIFS(Addendum!C:C,A1172,Addendum!D:D,IF(ISNUMBER(B1172),TEXT(B1172,"0000"),B1172),Addendum!G:G,"X")&gt;0,7%,0)</f>
        <v>0</v>
      </c>
      <c r="L1172" s="31">
        <f>IF(COUNTIFS(Addendum!C:C,A1172,Addendum!D:D,IF(ISNUMBER(B1172),TEXT(B1172,"0000"),B1172),Addendum!I:I,"X")&gt;0,10%,0)</f>
        <v>0</v>
      </c>
      <c r="M1172" s="34">
        <f t="shared" si="36"/>
        <v>0</v>
      </c>
      <c r="N1172" s="17">
        <f t="shared" si="37"/>
        <v>3145.8</v>
      </c>
    </row>
    <row r="1173" spans="1:14" x14ac:dyDescent="0.25">
      <c r="A1173" s="14" t="s">
        <v>2135</v>
      </c>
      <c r="B1173" s="14">
        <v>1</v>
      </c>
      <c r="C1173" s="15" t="s">
        <v>2136</v>
      </c>
      <c r="D1173" s="14" t="s">
        <v>1752</v>
      </c>
      <c r="E1173" s="14" t="s">
        <v>1753</v>
      </c>
      <c r="F1173" s="17" t="s">
        <v>2993</v>
      </c>
      <c r="G1173" s="14">
        <v>898560</v>
      </c>
      <c r="H1173" s="14">
        <v>628992</v>
      </c>
      <c r="I1173" s="31">
        <f>IF(COUNTIFS(Addendum!C:C,A1173,Addendum!D:D,IF(ISNUMBER(B1173),TEXT(B1173,"0000"),B1173),Addendum!E:E,"X")&gt;0,4%,0)</f>
        <v>0</v>
      </c>
      <c r="J1173" s="31">
        <f>IF(COUNTIFS(Addendum!C:C,A1173,Addendum!D:D,IF(ISNUMBER(B1173),TEXT(B1173,"0000"),B1173),Addendum!F:F,"X")&gt;0,2.5%,0)</f>
        <v>0</v>
      </c>
      <c r="K1173" s="31">
        <f>IF(COUNTIFS(Addendum!C:C,A1173,Addendum!D:D,IF(ISNUMBER(B1173),TEXT(B1173,"0000"),B1173),Addendum!G:G,"X")&gt;0,7%,0)</f>
        <v>0</v>
      </c>
      <c r="L1173" s="31">
        <f>IF(COUNTIFS(Addendum!C:C,A1173,Addendum!D:D,IF(ISNUMBER(B1173),TEXT(B1173,"0000"),B1173),Addendum!I:I,"X")&gt;0,10%,0)</f>
        <v>0</v>
      </c>
      <c r="M1173" s="34">
        <f t="shared" si="36"/>
        <v>0</v>
      </c>
      <c r="N1173" s="17">
        <f t="shared" si="37"/>
        <v>628992</v>
      </c>
    </row>
    <row r="1174" spans="1:14" x14ac:dyDescent="0.25">
      <c r="A1174" s="14" t="s">
        <v>2135</v>
      </c>
      <c r="B1174" s="14">
        <v>5</v>
      </c>
      <c r="C1174" s="15" t="s">
        <v>2139</v>
      </c>
      <c r="D1174" s="14" t="s">
        <v>1749</v>
      </c>
      <c r="E1174" s="14" t="s">
        <v>1746</v>
      </c>
      <c r="F1174" s="17" t="s">
        <v>2994</v>
      </c>
      <c r="G1174" s="14">
        <v>5988</v>
      </c>
      <c r="H1174" s="14">
        <v>4191.6000000000004</v>
      </c>
      <c r="I1174" s="31">
        <f>IF(COUNTIFS(Addendum!C:C,A1174,Addendum!D:D,IF(ISNUMBER(B1174),TEXT(B1174,"0000"),B1174),Addendum!E:E,"X")&gt;0,4%,0)</f>
        <v>0</v>
      </c>
      <c r="J1174" s="31">
        <f>IF(COUNTIFS(Addendum!C:C,A1174,Addendum!D:D,IF(ISNUMBER(B1174),TEXT(B1174,"0000"),B1174),Addendum!F:F,"X")&gt;0,2.5%,0)</f>
        <v>0</v>
      </c>
      <c r="K1174" s="31">
        <f>IF(COUNTIFS(Addendum!C:C,A1174,Addendum!D:D,IF(ISNUMBER(B1174),TEXT(B1174,"0000"),B1174),Addendum!G:G,"X")&gt;0,7%,0)</f>
        <v>0</v>
      </c>
      <c r="L1174" s="31">
        <f>IF(COUNTIFS(Addendum!C:C,A1174,Addendum!D:D,IF(ISNUMBER(B1174),TEXT(B1174,"0000"),B1174),Addendum!I:I,"X")&gt;0,10%,0)</f>
        <v>0</v>
      </c>
      <c r="M1174" s="34">
        <f t="shared" si="36"/>
        <v>0</v>
      </c>
      <c r="N1174" s="17">
        <f t="shared" si="37"/>
        <v>4191.6000000000004</v>
      </c>
    </row>
    <row r="1175" spans="1:14" x14ac:dyDescent="0.25">
      <c r="A1175" s="14" t="s">
        <v>2135</v>
      </c>
      <c r="B1175" s="14">
        <v>5</v>
      </c>
      <c r="C1175" s="15" t="s">
        <v>2139</v>
      </c>
      <c r="D1175" s="14" t="s">
        <v>1745</v>
      </c>
      <c r="E1175" s="14" t="s">
        <v>1746</v>
      </c>
      <c r="F1175" s="17" t="s">
        <v>2994</v>
      </c>
      <c r="G1175" s="14">
        <v>62874</v>
      </c>
      <c r="H1175" s="14">
        <v>44011.8</v>
      </c>
      <c r="I1175" s="31">
        <f>IF(COUNTIFS(Addendum!C:C,A1175,Addendum!D:D,IF(ISNUMBER(B1175),TEXT(B1175,"0000"),B1175),Addendum!E:E,"X")&gt;0,4%,0)</f>
        <v>0</v>
      </c>
      <c r="J1175" s="31">
        <f>IF(COUNTIFS(Addendum!C:C,A1175,Addendum!D:D,IF(ISNUMBER(B1175),TEXT(B1175,"0000"),B1175),Addendum!F:F,"X")&gt;0,2.5%,0)</f>
        <v>0</v>
      </c>
      <c r="K1175" s="31">
        <f>IF(COUNTIFS(Addendum!C:C,A1175,Addendum!D:D,IF(ISNUMBER(B1175),TEXT(B1175,"0000"),B1175),Addendum!G:G,"X")&gt;0,7%,0)</f>
        <v>0</v>
      </c>
      <c r="L1175" s="31">
        <f>IF(COUNTIFS(Addendum!C:C,A1175,Addendum!D:D,IF(ISNUMBER(B1175),TEXT(B1175,"0000"),B1175),Addendum!I:I,"X")&gt;0,10%,0)</f>
        <v>0</v>
      </c>
      <c r="M1175" s="34">
        <f t="shared" si="36"/>
        <v>0</v>
      </c>
      <c r="N1175" s="17">
        <f t="shared" si="37"/>
        <v>44011.8</v>
      </c>
    </row>
    <row r="1176" spans="1:14" x14ac:dyDescent="0.25">
      <c r="A1176" s="14" t="s">
        <v>2135</v>
      </c>
      <c r="B1176" s="14">
        <v>5</v>
      </c>
      <c r="C1176" s="15" t="s">
        <v>2139</v>
      </c>
      <c r="D1176" s="14" t="s">
        <v>1752</v>
      </c>
      <c r="E1176" s="14" t="s">
        <v>1753</v>
      </c>
      <c r="F1176" s="17" t="s">
        <v>2994</v>
      </c>
      <c r="G1176" s="14">
        <v>179640</v>
      </c>
      <c r="H1176" s="14">
        <v>125748</v>
      </c>
      <c r="I1176" s="31">
        <f>IF(COUNTIFS(Addendum!C:C,A1176,Addendum!D:D,IF(ISNUMBER(B1176),TEXT(B1176,"0000"),B1176),Addendum!E:E,"X")&gt;0,4%,0)</f>
        <v>0</v>
      </c>
      <c r="J1176" s="31">
        <f>IF(COUNTIFS(Addendum!C:C,A1176,Addendum!D:D,IF(ISNUMBER(B1176),TEXT(B1176,"0000"),B1176),Addendum!F:F,"X")&gt;0,2.5%,0)</f>
        <v>0</v>
      </c>
      <c r="K1176" s="31">
        <f>IF(COUNTIFS(Addendum!C:C,A1176,Addendum!D:D,IF(ISNUMBER(B1176),TEXT(B1176,"0000"),B1176),Addendum!G:G,"X")&gt;0,7%,0)</f>
        <v>0</v>
      </c>
      <c r="L1176" s="31">
        <f>IF(COUNTIFS(Addendum!C:C,A1176,Addendum!D:D,IF(ISNUMBER(B1176),TEXT(B1176,"0000"),B1176),Addendum!I:I,"X")&gt;0,10%,0)</f>
        <v>0</v>
      </c>
      <c r="M1176" s="34">
        <f t="shared" si="36"/>
        <v>0</v>
      </c>
      <c r="N1176" s="17">
        <f t="shared" si="37"/>
        <v>125748</v>
      </c>
    </row>
    <row r="1177" spans="1:14" x14ac:dyDescent="0.25">
      <c r="A1177" s="14" t="s">
        <v>2135</v>
      </c>
      <c r="B1177" s="14">
        <v>1</v>
      </c>
      <c r="C1177" s="15" t="s">
        <v>2136</v>
      </c>
      <c r="D1177" s="14" t="s">
        <v>1745</v>
      </c>
      <c r="E1177" s="14" t="s">
        <v>1747</v>
      </c>
      <c r="F1177" s="17" t="s">
        <v>2993</v>
      </c>
      <c r="G1177" s="14">
        <v>299520</v>
      </c>
      <c r="H1177" s="14">
        <v>209664</v>
      </c>
      <c r="I1177" s="31">
        <f>IF(COUNTIFS(Addendum!C:C,A1177,Addendum!D:D,IF(ISNUMBER(B1177),TEXT(B1177,"0000"),B1177),Addendum!E:E,"X")&gt;0,4%,0)</f>
        <v>0</v>
      </c>
      <c r="J1177" s="31">
        <f>IF(COUNTIFS(Addendum!C:C,A1177,Addendum!D:D,IF(ISNUMBER(B1177),TEXT(B1177,"0000"),B1177),Addendum!F:F,"X")&gt;0,2.5%,0)</f>
        <v>0</v>
      </c>
      <c r="K1177" s="31">
        <f>IF(COUNTIFS(Addendum!C:C,A1177,Addendum!D:D,IF(ISNUMBER(B1177),TEXT(B1177,"0000"),B1177),Addendum!G:G,"X")&gt;0,7%,0)</f>
        <v>0</v>
      </c>
      <c r="L1177" s="31">
        <f>IF(COUNTIFS(Addendum!C:C,A1177,Addendum!D:D,IF(ISNUMBER(B1177),TEXT(B1177,"0000"),B1177),Addendum!I:I,"X")&gt;0,10%,0)</f>
        <v>0</v>
      </c>
      <c r="M1177" s="34">
        <f t="shared" si="36"/>
        <v>0</v>
      </c>
      <c r="N1177" s="17">
        <f t="shared" si="37"/>
        <v>209664</v>
      </c>
    </row>
    <row r="1178" spans="1:14" x14ac:dyDescent="0.25">
      <c r="A1178" s="14" t="s">
        <v>2135</v>
      </c>
      <c r="B1178" s="14">
        <v>6</v>
      </c>
      <c r="C1178" s="15" t="s">
        <v>2137</v>
      </c>
      <c r="D1178" s="14" t="s">
        <v>1745</v>
      </c>
      <c r="E1178" s="14" t="s">
        <v>1747</v>
      </c>
      <c r="F1178" s="17" t="s">
        <v>2994</v>
      </c>
      <c r="G1178" s="14">
        <v>44940</v>
      </c>
      <c r="H1178" s="14">
        <v>31458</v>
      </c>
      <c r="I1178" s="31">
        <f>IF(COUNTIFS(Addendum!C:C,A1178,Addendum!D:D,IF(ISNUMBER(B1178),TEXT(B1178,"0000"),B1178),Addendum!E:E,"X")&gt;0,4%,0)</f>
        <v>0</v>
      </c>
      <c r="J1178" s="31">
        <f>IF(COUNTIFS(Addendum!C:C,A1178,Addendum!D:D,IF(ISNUMBER(B1178),TEXT(B1178,"0000"),B1178),Addendum!F:F,"X")&gt;0,2.5%,0)</f>
        <v>0</v>
      </c>
      <c r="K1178" s="31">
        <f>IF(COUNTIFS(Addendum!C:C,A1178,Addendum!D:D,IF(ISNUMBER(B1178),TEXT(B1178,"0000"),B1178),Addendum!G:G,"X")&gt;0,7%,0)</f>
        <v>0</v>
      </c>
      <c r="L1178" s="31">
        <f>IF(COUNTIFS(Addendum!C:C,A1178,Addendum!D:D,IF(ISNUMBER(B1178),TEXT(B1178,"0000"),B1178),Addendum!I:I,"X")&gt;0,10%,0)</f>
        <v>0</v>
      </c>
      <c r="M1178" s="34">
        <f t="shared" si="36"/>
        <v>0</v>
      </c>
      <c r="N1178" s="17">
        <f t="shared" si="37"/>
        <v>31458</v>
      </c>
    </row>
    <row r="1179" spans="1:14" x14ac:dyDescent="0.25">
      <c r="A1179" s="14" t="s">
        <v>2135</v>
      </c>
      <c r="B1179" s="14">
        <v>7</v>
      </c>
      <c r="C1179" s="15" t="s">
        <v>2138</v>
      </c>
      <c r="D1179" s="14" t="s">
        <v>1752</v>
      </c>
      <c r="E1179" s="14" t="s">
        <v>1747</v>
      </c>
      <c r="F1179" s="17" t="s">
        <v>2995</v>
      </c>
      <c r="G1179" s="14">
        <v>359460</v>
      </c>
      <c r="H1179" s="14">
        <v>323514</v>
      </c>
      <c r="I1179" s="31">
        <f>IF(COUNTIFS(Addendum!C:C,A1179,Addendum!D:D,IF(ISNUMBER(B1179),TEXT(B1179,"0000"),B1179),Addendum!E:E,"X")&gt;0,4%,0)</f>
        <v>0</v>
      </c>
      <c r="J1179" s="31">
        <f>IF(COUNTIFS(Addendum!C:C,A1179,Addendum!D:D,IF(ISNUMBER(B1179),TEXT(B1179,"0000"),B1179),Addendum!F:F,"X")&gt;0,2.5%,0)</f>
        <v>0</v>
      </c>
      <c r="K1179" s="31">
        <f>IF(COUNTIFS(Addendum!C:C,A1179,Addendum!D:D,IF(ISNUMBER(B1179),TEXT(B1179,"0000"),B1179),Addendum!G:G,"X")&gt;0,7%,0)</f>
        <v>0</v>
      </c>
      <c r="L1179" s="31">
        <f>IF(COUNTIFS(Addendum!C:C,A1179,Addendum!D:D,IF(ISNUMBER(B1179),TEXT(B1179,"0000"),B1179),Addendum!I:I,"X")&gt;0,10%,0)</f>
        <v>0</v>
      </c>
      <c r="M1179" s="34">
        <f t="shared" si="36"/>
        <v>0</v>
      </c>
      <c r="N1179" s="17">
        <f t="shared" si="37"/>
        <v>323514</v>
      </c>
    </row>
    <row r="1180" spans="1:14" x14ac:dyDescent="0.25">
      <c r="A1180" s="14" t="s">
        <v>2135</v>
      </c>
      <c r="B1180" s="14">
        <v>1</v>
      </c>
      <c r="C1180" s="15" t="s">
        <v>2136</v>
      </c>
      <c r="D1180" s="14" t="s">
        <v>1745</v>
      </c>
      <c r="E1180" s="14" t="s">
        <v>1746</v>
      </c>
      <c r="F1180" s="17" t="s">
        <v>2993</v>
      </c>
      <c r="G1180" s="14">
        <v>314496</v>
      </c>
      <c r="H1180" s="14">
        <v>220147.20000000001</v>
      </c>
      <c r="I1180" s="31">
        <f>IF(COUNTIFS(Addendum!C:C,A1180,Addendum!D:D,IF(ISNUMBER(B1180),TEXT(B1180,"0000"),B1180),Addendum!E:E,"X")&gt;0,4%,0)</f>
        <v>0</v>
      </c>
      <c r="J1180" s="31">
        <f>IF(COUNTIFS(Addendum!C:C,A1180,Addendum!D:D,IF(ISNUMBER(B1180),TEXT(B1180,"0000"),B1180),Addendum!F:F,"X")&gt;0,2.5%,0)</f>
        <v>0</v>
      </c>
      <c r="K1180" s="31">
        <f>IF(COUNTIFS(Addendum!C:C,A1180,Addendum!D:D,IF(ISNUMBER(B1180),TEXT(B1180,"0000"),B1180),Addendum!G:G,"X")&gt;0,7%,0)</f>
        <v>0</v>
      </c>
      <c r="L1180" s="31">
        <f>IF(COUNTIFS(Addendum!C:C,A1180,Addendum!D:D,IF(ISNUMBER(B1180),TEXT(B1180,"0000"),B1180),Addendum!I:I,"X")&gt;0,10%,0)</f>
        <v>0</v>
      </c>
      <c r="M1180" s="34">
        <f t="shared" si="36"/>
        <v>0</v>
      </c>
      <c r="N1180" s="17">
        <f t="shared" si="37"/>
        <v>220147.20000000001</v>
      </c>
    </row>
    <row r="1181" spans="1:14" x14ac:dyDescent="0.25">
      <c r="A1181" s="14" t="s">
        <v>2135</v>
      </c>
      <c r="B1181" s="14">
        <v>1</v>
      </c>
      <c r="C1181" s="15" t="s">
        <v>2136</v>
      </c>
      <c r="D1181" s="14" t="s">
        <v>1752</v>
      </c>
      <c r="E1181" s="14" t="s">
        <v>1746</v>
      </c>
      <c r="F1181" s="17" t="s">
        <v>2993</v>
      </c>
      <c r="G1181" s="14">
        <v>943488</v>
      </c>
      <c r="H1181" s="14">
        <v>660441.59999999998</v>
      </c>
      <c r="I1181" s="31">
        <f>IF(COUNTIFS(Addendum!C:C,A1181,Addendum!D:D,IF(ISNUMBER(B1181),TEXT(B1181,"0000"),B1181),Addendum!E:E,"X")&gt;0,4%,0)</f>
        <v>0</v>
      </c>
      <c r="J1181" s="31">
        <f>IF(COUNTIFS(Addendum!C:C,A1181,Addendum!D:D,IF(ISNUMBER(B1181),TEXT(B1181,"0000"),B1181),Addendum!F:F,"X")&gt;0,2.5%,0)</f>
        <v>0</v>
      </c>
      <c r="K1181" s="31">
        <f>IF(COUNTIFS(Addendum!C:C,A1181,Addendum!D:D,IF(ISNUMBER(B1181),TEXT(B1181,"0000"),B1181),Addendum!G:G,"X")&gt;0,7%,0)</f>
        <v>0</v>
      </c>
      <c r="L1181" s="31">
        <f>IF(COUNTIFS(Addendum!C:C,A1181,Addendum!D:D,IF(ISNUMBER(B1181),TEXT(B1181,"0000"),B1181),Addendum!I:I,"X")&gt;0,10%,0)</f>
        <v>0</v>
      </c>
      <c r="M1181" s="34">
        <f t="shared" si="36"/>
        <v>0</v>
      </c>
      <c r="N1181" s="17">
        <f t="shared" si="37"/>
        <v>660441.59999999998</v>
      </c>
    </row>
    <row r="1182" spans="1:14" x14ac:dyDescent="0.25">
      <c r="A1182" s="14" t="s">
        <v>2135</v>
      </c>
      <c r="B1182" s="14">
        <v>6</v>
      </c>
      <c r="C1182" s="15" t="s">
        <v>2137</v>
      </c>
      <c r="D1182" s="14" t="s">
        <v>1745</v>
      </c>
      <c r="E1182" s="14" t="s">
        <v>1746</v>
      </c>
      <c r="F1182" s="17" t="s">
        <v>2994</v>
      </c>
      <c r="G1182" s="14">
        <v>47187</v>
      </c>
      <c r="H1182" s="14">
        <v>33030.959999999999</v>
      </c>
      <c r="I1182" s="31">
        <f>IF(COUNTIFS(Addendum!C:C,A1182,Addendum!D:D,IF(ISNUMBER(B1182),TEXT(B1182,"0000"),B1182),Addendum!E:E,"X")&gt;0,4%,0)</f>
        <v>0</v>
      </c>
      <c r="J1182" s="31">
        <f>IF(COUNTIFS(Addendum!C:C,A1182,Addendum!D:D,IF(ISNUMBER(B1182),TEXT(B1182,"0000"),B1182),Addendum!F:F,"X")&gt;0,2.5%,0)</f>
        <v>0</v>
      </c>
      <c r="K1182" s="31">
        <f>IF(COUNTIFS(Addendum!C:C,A1182,Addendum!D:D,IF(ISNUMBER(B1182),TEXT(B1182,"0000"),B1182),Addendum!G:G,"X")&gt;0,7%,0)</f>
        <v>0</v>
      </c>
      <c r="L1182" s="31">
        <f>IF(COUNTIFS(Addendum!C:C,A1182,Addendum!D:D,IF(ISNUMBER(B1182),TEXT(B1182,"0000"),B1182),Addendum!I:I,"X")&gt;0,10%,0)</f>
        <v>0</v>
      </c>
      <c r="M1182" s="34">
        <f t="shared" si="36"/>
        <v>0</v>
      </c>
      <c r="N1182" s="17">
        <f t="shared" si="37"/>
        <v>33030.959999999999</v>
      </c>
    </row>
    <row r="1183" spans="1:14" x14ac:dyDescent="0.25">
      <c r="A1183" s="14" t="s">
        <v>2135</v>
      </c>
      <c r="B1183" s="14">
        <v>7</v>
      </c>
      <c r="C1183" s="15" t="s">
        <v>2138</v>
      </c>
      <c r="D1183" s="14" t="s">
        <v>1745</v>
      </c>
      <c r="E1183" s="14" t="s">
        <v>1746</v>
      </c>
      <c r="F1183" s="17" t="s">
        <v>2995</v>
      </c>
      <c r="G1183" s="14">
        <v>125811</v>
      </c>
      <c r="H1183" s="14">
        <v>113230</v>
      </c>
      <c r="I1183" s="31">
        <f>IF(COUNTIFS(Addendum!C:C,A1183,Addendum!D:D,IF(ISNUMBER(B1183),TEXT(B1183,"0000"),B1183),Addendum!E:E,"X")&gt;0,4%,0)</f>
        <v>0</v>
      </c>
      <c r="J1183" s="31">
        <f>IF(COUNTIFS(Addendum!C:C,A1183,Addendum!D:D,IF(ISNUMBER(B1183),TEXT(B1183,"0000"),B1183),Addendum!F:F,"X")&gt;0,2.5%,0)</f>
        <v>0</v>
      </c>
      <c r="K1183" s="31">
        <f>IF(COUNTIFS(Addendum!C:C,A1183,Addendum!D:D,IF(ISNUMBER(B1183),TEXT(B1183,"0000"),B1183),Addendum!G:G,"X")&gt;0,7%,0)</f>
        <v>0</v>
      </c>
      <c r="L1183" s="31">
        <f>IF(COUNTIFS(Addendum!C:C,A1183,Addendum!D:D,IF(ISNUMBER(B1183),TEXT(B1183,"0000"),B1183),Addendum!I:I,"X")&gt;0,10%,0)</f>
        <v>0</v>
      </c>
      <c r="M1183" s="34">
        <f t="shared" si="36"/>
        <v>0</v>
      </c>
      <c r="N1183" s="17">
        <f t="shared" si="37"/>
        <v>113230</v>
      </c>
    </row>
    <row r="1184" spans="1:14" x14ac:dyDescent="0.25">
      <c r="A1184" s="14" t="s">
        <v>2135</v>
      </c>
      <c r="B1184" s="14">
        <v>7</v>
      </c>
      <c r="C1184" s="15" t="s">
        <v>2138</v>
      </c>
      <c r="D1184" s="14" t="s">
        <v>1752</v>
      </c>
      <c r="E1184" s="14" t="s">
        <v>1746</v>
      </c>
      <c r="F1184" s="17" t="s">
        <v>2995</v>
      </c>
      <c r="G1184" s="14">
        <v>377433</v>
      </c>
      <c r="H1184" s="14">
        <v>339689.9</v>
      </c>
      <c r="I1184" s="31">
        <f>IF(COUNTIFS(Addendum!C:C,A1184,Addendum!D:D,IF(ISNUMBER(B1184),TEXT(B1184,"0000"),B1184),Addendum!E:E,"X")&gt;0,4%,0)</f>
        <v>0</v>
      </c>
      <c r="J1184" s="31">
        <f>IF(COUNTIFS(Addendum!C:C,A1184,Addendum!D:D,IF(ISNUMBER(B1184),TEXT(B1184,"0000"),B1184),Addendum!F:F,"X")&gt;0,2.5%,0)</f>
        <v>0</v>
      </c>
      <c r="K1184" s="31">
        <f>IF(COUNTIFS(Addendum!C:C,A1184,Addendum!D:D,IF(ISNUMBER(B1184),TEXT(B1184,"0000"),B1184),Addendum!G:G,"X")&gt;0,7%,0)</f>
        <v>0</v>
      </c>
      <c r="L1184" s="31">
        <f>IF(COUNTIFS(Addendum!C:C,A1184,Addendum!D:D,IF(ISNUMBER(B1184),TEXT(B1184,"0000"),B1184),Addendum!I:I,"X")&gt;0,10%,0)</f>
        <v>0</v>
      </c>
      <c r="M1184" s="34">
        <f t="shared" si="36"/>
        <v>0</v>
      </c>
      <c r="N1184" s="17">
        <f t="shared" si="37"/>
        <v>339689.9</v>
      </c>
    </row>
    <row r="1185" spans="1:14" x14ac:dyDescent="0.25">
      <c r="A1185" s="14" t="s">
        <v>2140</v>
      </c>
      <c r="B1185" s="14" t="s">
        <v>371</v>
      </c>
      <c r="C1185" s="15" t="s">
        <v>2141</v>
      </c>
      <c r="D1185" s="14" t="s">
        <v>1745</v>
      </c>
      <c r="E1185" s="14" t="s">
        <v>1747</v>
      </c>
      <c r="F1185" s="17" t="s">
        <v>2995</v>
      </c>
      <c r="G1185" s="14">
        <v>39960</v>
      </c>
      <c r="H1185" s="14">
        <v>35964</v>
      </c>
      <c r="I1185" s="31">
        <f>IF(COUNTIFS(Addendum!C:C,A1185,Addendum!D:D,IF(ISNUMBER(B1185),TEXT(B1185,"0000"),B1185),Addendum!E:E,"X")&gt;0,4%,0)</f>
        <v>0</v>
      </c>
      <c r="J1185" s="31">
        <f>IF(COUNTIFS(Addendum!C:C,A1185,Addendum!D:D,IF(ISNUMBER(B1185),TEXT(B1185,"0000"),B1185),Addendum!F:F,"X")&gt;0,2.5%,0)</f>
        <v>0</v>
      </c>
      <c r="K1185" s="31">
        <f>IF(COUNTIFS(Addendum!C:C,A1185,Addendum!D:D,IF(ISNUMBER(B1185),TEXT(B1185,"0000"),B1185),Addendum!G:G,"X")&gt;0,7%,0)</f>
        <v>0</v>
      </c>
      <c r="L1185" s="31">
        <f>IF(COUNTIFS(Addendum!C:C,A1185,Addendum!D:D,IF(ISNUMBER(B1185),TEXT(B1185,"0000"),B1185),Addendum!I:I,"X")&gt;0,10%,0)</f>
        <v>0</v>
      </c>
      <c r="M1185" s="34">
        <f t="shared" si="36"/>
        <v>0</v>
      </c>
      <c r="N1185" s="17">
        <f t="shared" si="37"/>
        <v>35964</v>
      </c>
    </row>
    <row r="1186" spans="1:14" x14ac:dyDescent="0.25">
      <c r="A1186" s="14" t="s">
        <v>2140</v>
      </c>
      <c r="B1186" s="14">
        <v>1</v>
      </c>
      <c r="C1186" s="15" t="s">
        <v>2142</v>
      </c>
      <c r="D1186" s="14" t="s">
        <v>1752</v>
      </c>
      <c r="E1186" s="14" t="s">
        <v>1753</v>
      </c>
      <c r="F1186" s="17" t="s">
        <v>2993</v>
      </c>
      <c r="G1186" s="14">
        <v>314460</v>
      </c>
      <c r="H1186" s="14">
        <v>235845</v>
      </c>
      <c r="I1186" s="31">
        <f>IF(COUNTIFS(Addendum!C:C,A1186,Addendum!D:D,IF(ISNUMBER(B1186),TEXT(B1186,"0000"),B1186),Addendum!E:E,"X")&gt;0,4%,0)</f>
        <v>0</v>
      </c>
      <c r="J1186" s="31">
        <f>IF(COUNTIFS(Addendum!C:C,A1186,Addendum!D:D,IF(ISNUMBER(B1186),TEXT(B1186,"0000"),B1186),Addendum!F:F,"X")&gt;0,2.5%,0)</f>
        <v>0</v>
      </c>
      <c r="K1186" s="31">
        <f>IF(COUNTIFS(Addendum!C:C,A1186,Addendum!D:D,IF(ISNUMBER(B1186),TEXT(B1186,"0000"),B1186),Addendum!G:G,"X")&gt;0,7%,0)</f>
        <v>0</v>
      </c>
      <c r="L1186" s="31">
        <f>IF(COUNTIFS(Addendum!C:C,A1186,Addendum!D:D,IF(ISNUMBER(B1186),TEXT(B1186,"0000"),B1186),Addendum!I:I,"X")&gt;0,10%,0)</f>
        <v>0</v>
      </c>
      <c r="M1186" s="34">
        <f t="shared" si="36"/>
        <v>0</v>
      </c>
      <c r="N1186" s="17">
        <f t="shared" si="37"/>
        <v>235845</v>
      </c>
    </row>
    <row r="1187" spans="1:14" x14ac:dyDescent="0.25">
      <c r="A1187" s="14" t="s">
        <v>2140</v>
      </c>
      <c r="B1187" s="14">
        <v>6</v>
      </c>
      <c r="C1187" s="15" t="s">
        <v>2143</v>
      </c>
      <c r="D1187" s="14" t="s">
        <v>1749</v>
      </c>
      <c r="E1187" s="14" t="s">
        <v>1746</v>
      </c>
      <c r="F1187" s="17" t="s">
        <v>2993</v>
      </c>
      <c r="G1187" s="14">
        <v>1998</v>
      </c>
      <c r="H1187" s="14">
        <v>1498.5</v>
      </c>
      <c r="I1187" s="31">
        <f>IF(COUNTIFS(Addendum!C:C,A1187,Addendum!D:D,IF(ISNUMBER(B1187),TEXT(B1187,"0000"),B1187),Addendum!E:E,"X")&gt;0,4%,0)</f>
        <v>0</v>
      </c>
      <c r="J1187" s="31">
        <f>IF(COUNTIFS(Addendum!C:C,A1187,Addendum!D:D,IF(ISNUMBER(B1187),TEXT(B1187,"0000"),B1187),Addendum!F:F,"X")&gt;0,2.5%,0)</f>
        <v>0</v>
      </c>
      <c r="K1187" s="31">
        <f>IF(COUNTIFS(Addendum!C:C,A1187,Addendum!D:D,IF(ISNUMBER(B1187),TEXT(B1187,"0000"),B1187),Addendum!G:G,"X")&gt;0,7%,0)</f>
        <v>0</v>
      </c>
      <c r="L1187" s="31">
        <f>IF(COUNTIFS(Addendum!C:C,A1187,Addendum!D:D,IF(ISNUMBER(B1187),TEXT(B1187,"0000"),B1187),Addendum!I:I,"X")&gt;0,10%,0)</f>
        <v>0</v>
      </c>
      <c r="M1187" s="34">
        <f t="shared" si="36"/>
        <v>0</v>
      </c>
      <c r="N1187" s="17">
        <f t="shared" si="37"/>
        <v>1498.5</v>
      </c>
    </row>
    <row r="1188" spans="1:14" x14ac:dyDescent="0.25">
      <c r="A1188" s="14" t="s">
        <v>2140</v>
      </c>
      <c r="B1188" s="14" t="s">
        <v>371</v>
      </c>
      <c r="C1188" s="15" t="s">
        <v>2141</v>
      </c>
      <c r="D1188" s="14" t="s">
        <v>1749</v>
      </c>
      <c r="E1188" s="14" t="s">
        <v>1746</v>
      </c>
      <c r="F1188" s="17" t="s">
        <v>2995</v>
      </c>
      <c r="G1188" s="14">
        <v>3996</v>
      </c>
      <c r="H1188" s="14">
        <v>3596.4</v>
      </c>
      <c r="I1188" s="31">
        <f>IF(COUNTIFS(Addendum!C:C,A1188,Addendum!D:D,IF(ISNUMBER(B1188),TEXT(B1188,"0000"),B1188),Addendum!E:E,"X")&gt;0,4%,0)</f>
        <v>0</v>
      </c>
      <c r="J1188" s="31">
        <f>IF(COUNTIFS(Addendum!C:C,A1188,Addendum!D:D,IF(ISNUMBER(B1188),TEXT(B1188,"0000"),B1188),Addendum!F:F,"X")&gt;0,2.5%,0)</f>
        <v>0</v>
      </c>
      <c r="K1188" s="31">
        <f>IF(COUNTIFS(Addendum!C:C,A1188,Addendum!D:D,IF(ISNUMBER(B1188),TEXT(B1188,"0000"),B1188),Addendum!G:G,"X")&gt;0,7%,0)</f>
        <v>0</v>
      </c>
      <c r="L1188" s="31">
        <f>IF(COUNTIFS(Addendum!C:C,A1188,Addendum!D:D,IF(ISNUMBER(B1188),TEXT(B1188,"0000"),B1188),Addendum!I:I,"X")&gt;0,10%,0)</f>
        <v>0</v>
      </c>
      <c r="M1188" s="34">
        <f t="shared" si="36"/>
        <v>0</v>
      </c>
      <c r="N1188" s="17">
        <f t="shared" si="37"/>
        <v>3596.4</v>
      </c>
    </row>
    <row r="1189" spans="1:14" ht="30" x14ac:dyDescent="0.25">
      <c r="A1189" s="14" t="s">
        <v>2140</v>
      </c>
      <c r="B1189" s="14">
        <v>18</v>
      </c>
      <c r="C1189" s="15" t="s">
        <v>2144</v>
      </c>
      <c r="D1189" s="14" t="s">
        <v>1749</v>
      </c>
      <c r="E1189" s="14" t="s">
        <v>1746</v>
      </c>
      <c r="F1189" s="17" t="s">
        <v>2994</v>
      </c>
      <c r="G1189" s="14">
        <v>1098</v>
      </c>
      <c r="H1189" s="14">
        <v>823.5</v>
      </c>
      <c r="I1189" s="31">
        <f>IF(COUNTIFS(Addendum!C:C,A1189,Addendum!D:D,IF(ISNUMBER(B1189),TEXT(B1189,"0000"),B1189),Addendum!E:E,"X")&gt;0,4%,0)</f>
        <v>0</v>
      </c>
      <c r="J1189" s="31">
        <f>IF(COUNTIFS(Addendum!C:C,A1189,Addendum!D:D,IF(ISNUMBER(B1189),TEXT(B1189,"0000"),B1189),Addendum!F:F,"X")&gt;0,2.5%,0)</f>
        <v>0</v>
      </c>
      <c r="K1189" s="31">
        <f>IF(COUNTIFS(Addendum!C:C,A1189,Addendum!D:D,IF(ISNUMBER(B1189),TEXT(B1189,"0000"),B1189),Addendum!G:G,"X")&gt;0,7%,0)</f>
        <v>0</v>
      </c>
      <c r="L1189" s="31">
        <f>IF(COUNTIFS(Addendum!C:C,A1189,Addendum!D:D,IF(ISNUMBER(B1189),TEXT(B1189,"0000"),B1189),Addendum!I:I,"X")&gt;0,10%,0)</f>
        <v>0</v>
      </c>
      <c r="M1189" s="34">
        <f t="shared" si="36"/>
        <v>0</v>
      </c>
      <c r="N1189" s="17">
        <f t="shared" si="37"/>
        <v>823.5</v>
      </c>
    </row>
    <row r="1190" spans="1:14" x14ac:dyDescent="0.25">
      <c r="A1190" s="14" t="s">
        <v>2140</v>
      </c>
      <c r="B1190" s="14" t="s">
        <v>177</v>
      </c>
      <c r="C1190" s="15" t="s">
        <v>2145</v>
      </c>
      <c r="D1190" s="14" t="s">
        <v>1745</v>
      </c>
      <c r="E1190" s="14" t="s">
        <v>1746</v>
      </c>
      <c r="F1190" s="17" t="s">
        <v>2994</v>
      </c>
      <c r="G1190" s="14">
        <v>67095</v>
      </c>
      <c r="H1190" s="14">
        <v>50321.279999999999</v>
      </c>
      <c r="I1190" s="31">
        <f>IF(COUNTIFS(Addendum!C:C,A1190,Addendum!D:D,IF(ISNUMBER(B1190),TEXT(B1190,"0000"),B1190),Addendum!E:E,"X")&gt;0,4%,0)</f>
        <v>0</v>
      </c>
      <c r="J1190" s="31">
        <f>IF(COUNTIFS(Addendum!C:C,A1190,Addendum!D:D,IF(ISNUMBER(B1190),TEXT(B1190,"0000"),B1190),Addendum!F:F,"X")&gt;0,2.5%,0)</f>
        <v>0</v>
      </c>
      <c r="K1190" s="31">
        <f>IF(COUNTIFS(Addendum!C:C,A1190,Addendum!D:D,IF(ISNUMBER(B1190),TEXT(B1190,"0000"),B1190),Addendum!G:G,"X")&gt;0,7%,0)</f>
        <v>0</v>
      </c>
      <c r="L1190" s="31">
        <f>IF(COUNTIFS(Addendum!C:C,A1190,Addendum!D:D,IF(ISNUMBER(B1190),TEXT(B1190,"0000"),B1190),Addendum!I:I,"X")&gt;0,10%,0)</f>
        <v>0</v>
      </c>
      <c r="M1190" s="34">
        <f t="shared" si="36"/>
        <v>0</v>
      </c>
      <c r="N1190" s="17">
        <f t="shared" si="37"/>
        <v>50321.279999999999</v>
      </c>
    </row>
    <row r="1191" spans="1:14" ht="30" x14ac:dyDescent="0.25">
      <c r="A1191" s="14" t="s">
        <v>2140</v>
      </c>
      <c r="B1191" s="14" t="s">
        <v>263</v>
      </c>
      <c r="C1191" s="15" t="s">
        <v>2146</v>
      </c>
      <c r="D1191" s="14" t="s">
        <v>1745</v>
      </c>
      <c r="E1191" s="14" t="s">
        <v>1747</v>
      </c>
      <c r="F1191" s="17" t="s">
        <v>2994</v>
      </c>
      <c r="G1191" s="14">
        <v>7980</v>
      </c>
      <c r="H1191" s="14">
        <v>5985</v>
      </c>
      <c r="I1191" s="31">
        <f>IF(COUNTIFS(Addendum!C:C,A1191,Addendum!D:D,IF(ISNUMBER(B1191),TEXT(B1191,"0000"),B1191),Addendum!E:E,"X")&gt;0,4%,0)</f>
        <v>0</v>
      </c>
      <c r="J1191" s="31">
        <f>IF(COUNTIFS(Addendum!C:C,A1191,Addendum!D:D,IF(ISNUMBER(B1191),TEXT(B1191,"0000"),B1191),Addendum!F:F,"X")&gt;0,2.5%,0)</f>
        <v>0</v>
      </c>
      <c r="K1191" s="31">
        <f>IF(COUNTIFS(Addendum!C:C,A1191,Addendum!D:D,IF(ISNUMBER(B1191),TEXT(B1191,"0000"),B1191),Addendum!G:G,"X")&gt;0,7%,0)</f>
        <v>0</v>
      </c>
      <c r="L1191" s="31">
        <f>IF(COUNTIFS(Addendum!C:C,A1191,Addendum!D:D,IF(ISNUMBER(B1191),TEXT(B1191,"0000"),B1191),Addendum!I:I,"X")&gt;0,10%,0)</f>
        <v>0</v>
      </c>
      <c r="M1191" s="34">
        <f t="shared" si="36"/>
        <v>0</v>
      </c>
      <c r="N1191" s="17">
        <f t="shared" si="37"/>
        <v>5985</v>
      </c>
    </row>
    <row r="1192" spans="1:14" x14ac:dyDescent="0.25">
      <c r="A1192" s="14" t="s">
        <v>2140</v>
      </c>
      <c r="B1192" s="14">
        <v>1</v>
      </c>
      <c r="C1192" s="15" t="s">
        <v>2142</v>
      </c>
      <c r="D1192" s="14" t="s">
        <v>1752</v>
      </c>
      <c r="E1192" s="14" t="s">
        <v>1746</v>
      </c>
      <c r="F1192" s="17" t="s">
        <v>2993</v>
      </c>
      <c r="G1192" s="14">
        <v>330183</v>
      </c>
      <c r="H1192" s="14">
        <v>247637.2</v>
      </c>
      <c r="I1192" s="31">
        <f>IF(COUNTIFS(Addendum!C:C,A1192,Addendum!D:D,IF(ISNUMBER(B1192),TEXT(B1192,"0000"),B1192),Addendum!E:E,"X")&gt;0,4%,0)</f>
        <v>0</v>
      </c>
      <c r="J1192" s="31">
        <f>IF(COUNTIFS(Addendum!C:C,A1192,Addendum!D:D,IF(ISNUMBER(B1192),TEXT(B1192,"0000"),B1192),Addendum!F:F,"X")&gt;0,2.5%,0)</f>
        <v>0</v>
      </c>
      <c r="K1192" s="31">
        <f>IF(COUNTIFS(Addendum!C:C,A1192,Addendum!D:D,IF(ISNUMBER(B1192),TEXT(B1192,"0000"),B1192),Addendum!G:G,"X")&gt;0,7%,0)</f>
        <v>0</v>
      </c>
      <c r="L1192" s="31">
        <f>IF(COUNTIFS(Addendum!C:C,A1192,Addendum!D:D,IF(ISNUMBER(B1192),TEXT(B1192,"0000"),B1192),Addendum!I:I,"X")&gt;0,10%,0)</f>
        <v>0</v>
      </c>
      <c r="M1192" s="34">
        <f t="shared" si="36"/>
        <v>0</v>
      </c>
      <c r="N1192" s="17">
        <f t="shared" si="37"/>
        <v>247637.2</v>
      </c>
    </row>
    <row r="1193" spans="1:14" x14ac:dyDescent="0.25">
      <c r="A1193" s="14" t="s">
        <v>2140</v>
      </c>
      <c r="B1193" s="14" t="s">
        <v>177</v>
      </c>
      <c r="C1193" s="15" t="s">
        <v>2145</v>
      </c>
      <c r="D1193" s="14" t="s">
        <v>1745</v>
      </c>
      <c r="E1193" s="14" t="s">
        <v>1747</v>
      </c>
      <c r="F1193" s="17" t="s">
        <v>2994</v>
      </c>
      <c r="G1193" s="14">
        <v>63900</v>
      </c>
      <c r="H1193" s="14">
        <v>47925</v>
      </c>
      <c r="I1193" s="31">
        <f>IF(COUNTIFS(Addendum!C:C,A1193,Addendum!D:D,IF(ISNUMBER(B1193),TEXT(B1193,"0000"),B1193),Addendum!E:E,"X")&gt;0,4%,0)</f>
        <v>0</v>
      </c>
      <c r="J1193" s="31">
        <f>IF(COUNTIFS(Addendum!C:C,A1193,Addendum!D:D,IF(ISNUMBER(B1193),TEXT(B1193,"0000"),B1193),Addendum!F:F,"X")&gt;0,2.5%,0)</f>
        <v>0</v>
      </c>
      <c r="K1193" s="31">
        <f>IF(COUNTIFS(Addendum!C:C,A1193,Addendum!D:D,IF(ISNUMBER(B1193),TEXT(B1193,"0000"),B1193),Addendum!G:G,"X")&gt;0,7%,0)</f>
        <v>0</v>
      </c>
      <c r="L1193" s="31">
        <f>IF(COUNTIFS(Addendum!C:C,A1193,Addendum!D:D,IF(ISNUMBER(B1193),TEXT(B1193,"0000"),B1193),Addendum!I:I,"X")&gt;0,10%,0)</f>
        <v>0</v>
      </c>
      <c r="M1193" s="34">
        <f t="shared" si="36"/>
        <v>0</v>
      </c>
      <c r="N1193" s="17">
        <f t="shared" si="37"/>
        <v>47925</v>
      </c>
    </row>
    <row r="1194" spans="1:14" x14ac:dyDescent="0.25">
      <c r="A1194" s="14" t="s">
        <v>2140</v>
      </c>
      <c r="B1194" s="14">
        <v>1</v>
      </c>
      <c r="C1194" s="15" t="s">
        <v>2142</v>
      </c>
      <c r="D1194" s="14" t="s">
        <v>1749</v>
      </c>
      <c r="E1194" s="14" t="s">
        <v>1746</v>
      </c>
      <c r="F1194" s="17" t="s">
        <v>2993</v>
      </c>
      <c r="G1194" s="14">
        <v>10482</v>
      </c>
      <c r="H1194" s="14">
        <v>7861.5</v>
      </c>
      <c r="I1194" s="31">
        <f>IF(COUNTIFS(Addendum!C:C,A1194,Addendum!D:D,IF(ISNUMBER(B1194),TEXT(B1194,"0000"),B1194),Addendum!E:E,"X")&gt;0,4%,0)</f>
        <v>0</v>
      </c>
      <c r="J1194" s="31">
        <f>IF(COUNTIFS(Addendum!C:C,A1194,Addendum!D:D,IF(ISNUMBER(B1194),TEXT(B1194,"0000"),B1194),Addendum!F:F,"X")&gt;0,2.5%,0)</f>
        <v>0</v>
      </c>
      <c r="K1194" s="31">
        <f>IF(COUNTIFS(Addendum!C:C,A1194,Addendum!D:D,IF(ISNUMBER(B1194),TEXT(B1194,"0000"),B1194),Addendum!G:G,"X")&gt;0,7%,0)</f>
        <v>0</v>
      </c>
      <c r="L1194" s="31">
        <f>IF(COUNTIFS(Addendum!C:C,A1194,Addendum!D:D,IF(ISNUMBER(B1194),TEXT(B1194,"0000"),B1194),Addendum!I:I,"X")&gt;0,10%,0)</f>
        <v>0</v>
      </c>
      <c r="M1194" s="34">
        <f t="shared" si="36"/>
        <v>0</v>
      </c>
      <c r="N1194" s="17">
        <f t="shared" si="37"/>
        <v>7861.5</v>
      </c>
    </row>
    <row r="1195" spans="1:14" x14ac:dyDescent="0.25">
      <c r="A1195" s="14" t="s">
        <v>2140</v>
      </c>
      <c r="B1195" s="14">
        <v>17</v>
      </c>
      <c r="C1195" s="15" t="s">
        <v>2147</v>
      </c>
      <c r="D1195" s="14" t="s">
        <v>1749</v>
      </c>
      <c r="E1195" s="14" t="s">
        <v>1746</v>
      </c>
      <c r="F1195" s="17" t="s">
        <v>2994</v>
      </c>
      <c r="G1195" s="14">
        <v>5766</v>
      </c>
      <c r="H1195" s="14">
        <v>4324.5</v>
      </c>
      <c r="I1195" s="31">
        <f>IF(COUNTIFS(Addendum!C:C,A1195,Addendum!D:D,IF(ISNUMBER(B1195),TEXT(B1195,"0000"),B1195),Addendum!E:E,"X")&gt;0,4%,0)</f>
        <v>0</v>
      </c>
      <c r="J1195" s="31">
        <f>IF(COUNTIFS(Addendum!C:C,A1195,Addendum!D:D,IF(ISNUMBER(B1195),TEXT(B1195,"0000"),B1195),Addendum!F:F,"X")&gt;0,2.5%,0)</f>
        <v>0</v>
      </c>
      <c r="K1195" s="31">
        <f>IF(COUNTIFS(Addendum!C:C,A1195,Addendum!D:D,IF(ISNUMBER(B1195),TEXT(B1195,"0000"),B1195),Addendum!G:G,"X")&gt;0,7%,0)</f>
        <v>0</v>
      </c>
      <c r="L1195" s="31">
        <f>IF(COUNTIFS(Addendum!C:C,A1195,Addendum!D:D,IF(ISNUMBER(B1195),TEXT(B1195,"0000"),B1195),Addendum!I:I,"X")&gt;0,10%,0)</f>
        <v>0</v>
      </c>
      <c r="M1195" s="34">
        <f t="shared" si="36"/>
        <v>0</v>
      </c>
      <c r="N1195" s="17">
        <f t="shared" si="37"/>
        <v>4324.5</v>
      </c>
    </row>
    <row r="1196" spans="1:14" ht="30" x14ac:dyDescent="0.25">
      <c r="A1196" s="14" t="s">
        <v>2140</v>
      </c>
      <c r="B1196" s="14">
        <v>16</v>
      </c>
      <c r="C1196" s="15" t="s">
        <v>2148</v>
      </c>
      <c r="D1196" s="14" t="s">
        <v>1749</v>
      </c>
      <c r="E1196" s="14" t="s">
        <v>1746</v>
      </c>
      <c r="F1196" s="17" t="s">
        <v>2995</v>
      </c>
      <c r="G1196" s="14">
        <v>498</v>
      </c>
      <c r="H1196" s="14">
        <v>448.2</v>
      </c>
      <c r="I1196" s="31">
        <f>IF(COUNTIFS(Addendum!C:C,A1196,Addendum!D:D,IF(ISNUMBER(B1196),TEXT(B1196,"0000"),B1196),Addendum!E:E,"X")&gt;0,4%,0)</f>
        <v>0</v>
      </c>
      <c r="J1196" s="31">
        <f>IF(COUNTIFS(Addendum!C:C,A1196,Addendum!D:D,IF(ISNUMBER(B1196),TEXT(B1196,"0000"),B1196),Addendum!F:F,"X")&gt;0,2.5%,0)</f>
        <v>0</v>
      </c>
      <c r="K1196" s="31">
        <f>IF(COUNTIFS(Addendum!C:C,A1196,Addendum!D:D,IF(ISNUMBER(B1196),TEXT(B1196,"0000"),B1196),Addendum!G:G,"X")&gt;0,7%,0)</f>
        <v>0</v>
      </c>
      <c r="L1196" s="31">
        <f>IF(COUNTIFS(Addendum!C:C,A1196,Addendum!D:D,IF(ISNUMBER(B1196),TEXT(B1196,"0000"),B1196),Addendum!I:I,"X")&gt;0,10%,0)</f>
        <v>0</v>
      </c>
      <c r="M1196" s="34">
        <f t="shared" si="36"/>
        <v>0</v>
      </c>
      <c r="N1196" s="17">
        <f t="shared" si="37"/>
        <v>448.2</v>
      </c>
    </row>
    <row r="1197" spans="1:14" x14ac:dyDescent="0.25">
      <c r="A1197" s="14" t="s">
        <v>2140</v>
      </c>
      <c r="B1197" s="14" t="s">
        <v>177</v>
      </c>
      <c r="C1197" s="15" t="s">
        <v>2145</v>
      </c>
      <c r="D1197" s="14" t="s">
        <v>1749</v>
      </c>
      <c r="E1197" s="14" t="s">
        <v>1746</v>
      </c>
      <c r="F1197" s="17" t="s">
        <v>2994</v>
      </c>
      <c r="G1197" s="14">
        <v>6390</v>
      </c>
      <c r="H1197" s="14">
        <v>4792.5</v>
      </c>
      <c r="I1197" s="31">
        <f>IF(COUNTIFS(Addendum!C:C,A1197,Addendum!D:D,IF(ISNUMBER(B1197),TEXT(B1197,"0000"),B1197),Addendum!E:E,"X")&gt;0,4%,0)</f>
        <v>0</v>
      </c>
      <c r="J1197" s="31">
        <f>IF(COUNTIFS(Addendum!C:C,A1197,Addendum!D:D,IF(ISNUMBER(B1197),TEXT(B1197,"0000"),B1197),Addendum!F:F,"X")&gt;0,2.5%,0)</f>
        <v>0</v>
      </c>
      <c r="K1197" s="31">
        <f>IF(COUNTIFS(Addendum!C:C,A1197,Addendum!D:D,IF(ISNUMBER(B1197),TEXT(B1197,"0000"),B1197),Addendum!G:G,"X")&gt;0,7%,0)</f>
        <v>0</v>
      </c>
      <c r="L1197" s="31">
        <f>IF(COUNTIFS(Addendum!C:C,A1197,Addendum!D:D,IF(ISNUMBER(B1197),TEXT(B1197,"0000"),B1197),Addendum!I:I,"X")&gt;0,10%,0)</f>
        <v>0</v>
      </c>
      <c r="M1197" s="34">
        <f t="shared" si="36"/>
        <v>0</v>
      </c>
      <c r="N1197" s="17">
        <f t="shared" si="37"/>
        <v>4792.5</v>
      </c>
    </row>
    <row r="1198" spans="1:14" x14ac:dyDescent="0.25">
      <c r="A1198" s="14" t="s">
        <v>2140</v>
      </c>
      <c r="B1198" s="14">
        <v>1</v>
      </c>
      <c r="C1198" s="15" t="s">
        <v>2142</v>
      </c>
      <c r="D1198" s="14" t="s">
        <v>1745</v>
      </c>
      <c r="E1198" s="14" t="s">
        <v>1746</v>
      </c>
      <c r="F1198" s="17" t="s">
        <v>2993</v>
      </c>
      <c r="G1198" s="14">
        <v>110061</v>
      </c>
      <c r="H1198" s="14">
        <v>82545.72</v>
      </c>
      <c r="I1198" s="31">
        <f>IF(COUNTIFS(Addendum!C:C,A1198,Addendum!D:D,IF(ISNUMBER(B1198),TEXT(B1198,"0000"),B1198),Addendum!E:E,"X")&gt;0,4%,0)</f>
        <v>0</v>
      </c>
      <c r="J1198" s="31">
        <f>IF(COUNTIFS(Addendum!C:C,A1198,Addendum!D:D,IF(ISNUMBER(B1198),TEXT(B1198,"0000"),B1198),Addendum!F:F,"X")&gt;0,2.5%,0)</f>
        <v>0</v>
      </c>
      <c r="K1198" s="31">
        <f>IF(COUNTIFS(Addendum!C:C,A1198,Addendum!D:D,IF(ISNUMBER(B1198),TEXT(B1198,"0000"),B1198),Addendum!G:G,"X")&gt;0,7%,0)</f>
        <v>0</v>
      </c>
      <c r="L1198" s="31">
        <f>IF(COUNTIFS(Addendum!C:C,A1198,Addendum!D:D,IF(ISNUMBER(B1198),TEXT(B1198,"0000"),B1198),Addendum!I:I,"X")&gt;0,10%,0)</f>
        <v>0</v>
      </c>
      <c r="M1198" s="34">
        <f t="shared" si="36"/>
        <v>0</v>
      </c>
      <c r="N1198" s="17">
        <f t="shared" si="37"/>
        <v>82545.72</v>
      </c>
    </row>
    <row r="1199" spans="1:14" x14ac:dyDescent="0.25">
      <c r="A1199" s="14" t="s">
        <v>2140</v>
      </c>
      <c r="B1199" s="14">
        <v>1</v>
      </c>
      <c r="C1199" s="15" t="s">
        <v>2142</v>
      </c>
      <c r="D1199" s="14" t="s">
        <v>1752</v>
      </c>
      <c r="E1199" s="14" t="s">
        <v>1747</v>
      </c>
      <c r="F1199" s="17" t="s">
        <v>2993</v>
      </c>
      <c r="G1199" s="14">
        <v>314460</v>
      </c>
      <c r="H1199" s="14">
        <v>235845</v>
      </c>
      <c r="I1199" s="31">
        <f>IF(COUNTIFS(Addendum!C:C,A1199,Addendum!D:D,IF(ISNUMBER(B1199),TEXT(B1199,"0000"),B1199),Addendum!E:E,"X")&gt;0,4%,0)</f>
        <v>0</v>
      </c>
      <c r="J1199" s="31">
        <f>IF(COUNTIFS(Addendum!C:C,A1199,Addendum!D:D,IF(ISNUMBER(B1199),TEXT(B1199,"0000"),B1199),Addendum!F:F,"X")&gt;0,2.5%,0)</f>
        <v>0</v>
      </c>
      <c r="K1199" s="31">
        <f>IF(COUNTIFS(Addendum!C:C,A1199,Addendum!D:D,IF(ISNUMBER(B1199),TEXT(B1199,"0000"),B1199),Addendum!G:G,"X")&gt;0,7%,0)</f>
        <v>0</v>
      </c>
      <c r="L1199" s="31">
        <f>IF(COUNTIFS(Addendum!C:C,A1199,Addendum!D:D,IF(ISNUMBER(B1199),TEXT(B1199,"0000"),B1199),Addendum!I:I,"X")&gt;0,10%,0)</f>
        <v>0</v>
      </c>
      <c r="M1199" s="34">
        <f t="shared" si="36"/>
        <v>0</v>
      </c>
      <c r="N1199" s="17">
        <f t="shared" si="37"/>
        <v>235845</v>
      </c>
    </row>
    <row r="1200" spans="1:14" x14ac:dyDescent="0.25">
      <c r="A1200" s="14" t="s">
        <v>2140</v>
      </c>
      <c r="B1200" s="14">
        <v>6</v>
      </c>
      <c r="C1200" s="15" t="s">
        <v>2143</v>
      </c>
      <c r="D1200" s="14" t="s">
        <v>1752</v>
      </c>
      <c r="E1200" s="14" t="s">
        <v>1746</v>
      </c>
      <c r="F1200" s="17" t="s">
        <v>2993</v>
      </c>
      <c r="G1200" s="14">
        <v>62937</v>
      </c>
      <c r="H1200" s="14">
        <v>47202.84</v>
      </c>
      <c r="I1200" s="31">
        <f>IF(COUNTIFS(Addendum!C:C,A1200,Addendum!D:D,IF(ISNUMBER(B1200),TEXT(B1200,"0000"),B1200),Addendum!E:E,"X")&gt;0,4%,0)</f>
        <v>0</v>
      </c>
      <c r="J1200" s="31">
        <f>IF(COUNTIFS(Addendum!C:C,A1200,Addendum!D:D,IF(ISNUMBER(B1200),TEXT(B1200,"0000"),B1200),Addendum!F:F,"X")&gt;0,2.5%,0)</f>
        <v>0</v>
      </c>
      <c r="K1200" s="31">
        <f>IF(COUNTIFS(Addendum!C:C,A1200,Addendum!D:D,IF(ISNUMBER(B1200),TEXT(B1200,"0000"),B1200),Addendum!G:G,"X")&gt;0,7%,0)</f>
        <v>0</v>
      </c>
      <c r="L1200" s="31">
        <f>IF(COUNTIFS(Addendum!C:C,A1200,Addendum!D:D,IF(ISNUMBER(B1200),TEXT(B1200,"0000"),B1200),Addendum!I:I,"X")&gt;0,10%,0)</f>
        <v>0</v>
      </c>
      <c r="M1200" s="34">
        <f t="shared" si="36"/>
        <v>0</v>
      </c>
      <c r="N1200" s="17">
        <f t="shared" si="37"/>
        <v>47202.84</v>
      </c>
    </row>
    <row r="1201" spans="1:14" ht="30" x14ac:dyDescent="0.25">
      <c r="A1201" s="14" t="s">
        <v>2140</v>
      </c>
      <c r="B1201" s="14">
        <v>18</v>
      </c>
      <c r="C1201" s="15" t="s">
        <v>2144</v>
      </c>
      <c r="D1201" s="14" t="s">
        <v>1745</v>
      </c>
      <c r="E1201" s="14" t="s">
        <v>1747</v>
      </c>
      <c r="F1201" s="17" t="s">
        <v>2994</v>
      </c>
      <c r="G1201" s="14">
        <v>10980</v>
      </c>
      <c r="H1201" s="14">
        <v>8235</v>
      </c>
      <c r="I1201" s="31">
        <f>IF(COUNTIFS(Addendum!C:C,A1201,Addendum!D:D,IF(ISNUMBER(B1201),TEXT(B1201,"0000"),B1201),Addendum!E:E,"X")&gt;0,4%,0)</f>
        <v>0</v>
      </c>
      <c r="J1201" s="31">
        <f>IF(COUNTIFS(Addendum!C:C,A1201,Addendum!D:D,IF(ISNUMBER(B1201),TEXT(B1201,"0000"),B1201),Addendum!F:F,"X")&gt;0,2.5%,0)</f>
        <v>0</v>
      </c>
      <c r="K1201" s="31">
        <f>IF(COUNTIFS(Addendum!C:C,A1201,Addendum!D:D,IF(ISNUMBER(B1201),TEXT(B1201,"0000"),B1201),Addendum!G:G,"X")&gt;0,7%,0)</f>
        <v>0</v>
      </c>
      <c r="L1201" s="31">
        <f>IF(COUNTIFS(Addendum!C:C,A1201,Addendum!D:D,IF(ISNUMBER(B1201),TEXT(B1201,"0000"),B1201),Addendum!I:I,"X")&gt;0,10%,0)</f>
        <v>0</v>
      </c>
      <c r="M1201" s="34">
        <f t="shared" si="36"/>
        <v>0</v>
      </c>
      <c r="N1201" s="17">
        <f t="shared" si="37"/>
        <v>8235</v>
      </c>
    </row>
    <row r="1202" spans="1:14" x14ac:dyDescent="0.25">
      <c r="A1202" s="14" t="s">
        <v>2140</v>
      </c>
      <c r="B1202" s="14" t="s">
        <v>241</v>
      </c>
      <c r="C1202" s="15" t="s">
        <v>2149</v>
      </c>
      <c r="D1202" s="14" t="s">
        <v>1745</v>
      </c>
      <c r="E1202" s="14" t="s">
        <v>1746</v>
      </c>
      <c r="F1202" s="17" t="s">
        <v>2994</v>
      </c>
      <c r="G1202" s="14">
        <v>92232</v>
      </c>
      <c r="H1202" s="14">
        <v>69174</v>
      </c>
      <c r="I1202" s="31">
        <f>IF(COUNTIFS(Addendum!C:C,A1202,Addendum!D:D,IF(ISNUMBER(B1202),TEXT(B1202,"0000"),B1202),Addendum!E:E,"X")&gt;0,4%,0)</f>
        <v>0</v>
      </c>
      <c r="J1202" s="31">
        <f>IF(COUNTIFS(Addendum!C:C,A1202,Addendum!D:D,IF(ISNUMBER(B1202),TEXT(B1202,"0000"),B1202),Addendum!F:F,"X")&gt;0,2.5%,0)</f>
        <v>0</v>
      </c>
      <c r="K1202" s="31">
        <f>IF(COUNTIFS(Addendum!C:C,A1202,Addendum!D:D,IF(ISNUMBER(B1202),TEXT(B1202,"0000"),B1202),Addendum!G:G,"X")&gt;0,7%,0)</f>
        <v>0</v>
      </c>
      <c r="L1202" s="31">
        <f>IF(COUNTIFS(Addendum!C:C,A1202,Addendum!D:D,IF(ISNUMBER(B1202),TEXT(B1202,"0000"),B1202),Addendum!I:I,"X")&gt;0,10%,0)</f>
        <v>0</v>
      </c>
      <c r="M1202" s="34">
        <f t="shared" si="36"/>
        <v>0</v>
      </c>
      <c r="N1202" s="17">
        <f t="shared" si="37"/>
        <v>69174</v>
      </c>
    </row>
    <row r="1203" spans="1:14" x14ac:dyDescent="0.25">
      <c r="A1203" s="14" t="s">
        <v>2140</v>
      </c>
      <c r="B1203" s="14">
        <v>19</v>
      </c>
      <c r="C1203" s="15" t="s">
        <v>2150</v>
      </c>
      <c r="D1203" s="14" t="s">
        <v>1745</v>
      </c>
      <c r="E1203" s="14" t="s">
        <v>1747</v>
      </c>
      <c r="F1203" s="17" t="s">
        <v>2994</v>
      </c>
      <c r="G1203" s="14">
        <v>41940</v>
      </c>
      <c r="H1203" s="14">
        <v>31455</v>
      </c>
      <c r="I1203" s="31">
        <f>IF(COUNTIFS(Addendum!C:C,A1203,Addendum!D:D,IF(ISNUMBER(B1203),TEXT(B1203,"0000"),B1203),Addendum!E:E,"X")&gt;0,4%,0)</f>
        <v>0</v>
      </c>
      <c r="J1203" s="31">
        <f>IF(COUNTIFS(Addendum!C:C,A1203,Addendum!D:D,IF(ISNUMBER(B1203),TEXT(B1203,"0000"),B1203),Addendum!F:F,"X")&gt;0,2.5%,0)</f>
        <v>0</v>
      </c>
      <c r="K1203" s="31">
        <f>IF(COUNTIFS(Addendum!C:C,A1203,Addendum!D:D,IF(ISNUMBER(B1203),TEXT(B1203,"0000"),B1203),Addendum!G:G,"X")&gt;0,7%,0)</f>
        <v>0</v>
      </c>
      <c r="L1203" s="31">
        <f>IF(COUNTIFS(Addendum!C:C,A1203,Addendum!D:D,IF(ISNUMBER(B1203),TEXT(B1203,"0000"),B1203),Addendum!I:I,"X")&gt;0,10%,0)</f>
        <v>0</v>
      </c>
      <c r="M1203" s="34">
        <f t="shared" si="36"/>
        <v>0</v>
      </c>
      <c r="N1203" s="17">
        <f t="shared" si="37"/>
        <v>31455</v>
      </c>
    </row>
    <row r="1204" spans="1:14" x14ac:dyDescent="0.25">
      <c r="A1204" s="14" t="s">
        <v>2140</v>
      </c>
      <c r="B1204" s="14">
        <v>19</v>
      </c>
      <c r="C1204" s="15" t="s">
        <v>2150</v>
      </c>
      <c r="D1204" s="14" t="s">
        <v>1745</v>
      </c>
      <c r="E1204" s="14" t="s">
        <v>1746</v>
      </c>
      <c r="F1204" s="17" t="s">
        <v>2994</v>
      </c>
      <c r="G1204" s="14">
        <v>44037</v>
      </c>
      <c r="H1204" s="14">
        <v>33027.72</v>
      </c>
      <c r="I1204" s="31">
        <f>IF(COUNTIFS(Addendum!C:C,A1204,Addendum!D:D,IF(ISNUMBER(B1204),TEXT(B1204,"0000"),B1204),Addendum!E:E,"X")&gt;0,4%,0)</f>
        <v>0</v>
      </c>
      <c r="J1204" s="31">
        <f>IF(COUNTIFS(Addendum!C:C,A1204,Addendum!D:D,IF(ISNUMBER(B1204),TEXT(B1204,"0000"),B1204),Addendum!F:F,"X")&gt;0,2.5%,0)</f>
        <v>0</v>
      </c>
      <c r="K1204" s="31">
        <f>IF(COUNTIFS(Addendum!C:C,A1204,Addendum!D:D,IF(ISNUMBER(B1204),TEXT(B1204,"0000"),B1204),Addendum!G:G,"X")&gt;0,7%,0)</f>
        <v>0</v>
      </c>
      <c r="L1204" s="31">
        <f>IF(COUNTIFS(Addendum!C:C,A1204,Addendum!D:D,IF(ISNUMBER(B1204),TEXT(B1204,"0000"),B1204),Addendum!I:I,"X")&gt;0,10%,0)</f>
        <v>0</v>
      </c>
      <c r="M1204" s="34">
        <f t="shared" si="36"/>
        <v>0</v>
      </c>
      <c r="N1204" s="17">
        <f t="shared" si="37"/>
        <v>33027.72</v>
      </c>
    </row>
    <row r="1205" spans="1:14" x14ac:dyDescent="0.25">
      <c r="A1205" s="14" t="s">
        <v>2140</v>
      </c>
      <c r="B1205" s="14">
        <v>7</v>
      </c>
      <c r="C1205" s="15" t="s">
        <v>2151</v>
      </c>
      <c r="D1205" s="14" t="s">
        <v>1745</v>
      </c>
      <c r="E1205" s="14" t="s">
        <v>1747</v>
      </c>
      <c r="F1205" s="17" t="s">
        <v>2993</v>
      </c>
      <c r="G1205" s="14">
        <v>159720</v>
      </c>
      <c r="H1205" s="14">
        <v>119790</v>
      </c>
      <c r="I1205" s="31">
        <f>IF(COUNTIFS(Addendum!C:C,A1205,Addendum!D:D,IF(ISNUMBER(B1205),TEXT(B1205,"0000"),B1205),Addendum!E:E,"X")&gt;0,4%,0)</f>
        <v>0</v>
      </c>
      <c r="J1205" s="31">
        <f>IF(COUNTIFS(Addendum!C:C,A1205,Addendum!D:D,IF(ISNUMBER(B1205),TEXT(B1205,"0000"),B1205),Addendum!F:F,"X")&gt;0,2.5%,0)</f>
        <v>0</v>
      </c>
      <c r="K1205" s="31">
        <f>IF(COUNTIFS(Addendum!C:C,A1205,Addendum!D:D,IF(ISNUMBER(B1205),TEXT(B1205,"0000"),B1205),Addendum!G:G,"X")&gt;0,7%,0)</f>
        <v>0</v>
      </c>
      <c r="L1205" s="31">
        <f>IF(COUNTIFS(Addendum!C:C,A1205,Addendum!D:D,IF(ISNUMBER(B1205),TEXT(B1205,"0000"),B1205),Addendum!I:I,"X")&gt;0,10%,0)</f>
        <v>0</v>
      </c>
      <c r="M1205" s="34">
        <f t="shared" si="36"/>
        <v>0</v>
      </c>
      <c r="N1205" s="17">
        <f t="shared" si="37"/>
        <v>119790</v>
      </c>
    </row>
    <row r="1206" spans="1:14" x14ac:dyDescent="0.25">
      <c r="A1206" s="14" t="s">
        <v>2140</v>
      </c>
      <c r="B1206" s="14">
        <v>6</v>
      </c>
      <c r="C1206" s="15" t="s">
        <v>2143</v>
      </c>
      <c r="D1206" s="14" t="s">
        <v>1745</v>
      </c>
      <c r="E1206" s="14" t="s">
        <v>1746</v>
      </c>
      <c r="F1206" s="17" t="s">
        <v>2993</v>
      </c>
      <c r="G1206" s="14">
        <v>20979</v>
      </c>
      <c r="H1206" s="14">
        <v>15734.28</v>
      </c>
      <c r="I1206" s="31">
        <f>IF(COUNTIFS(Addendum!C:C,A1206,Addendum!D:D,IF(ISNUMBER(B1206),TEXT(B1206,"0000"),B1206),Addendum!E:E,"X")&gt;0,4%,0)</f>
        <v>0</v>
      </c>
      <c r="J1206" s="31">
        <f>IF(COUNTIFS(Addendum!C:C,A1206,Addendum!D:D,IF(ISNUMBER(B1206),TEXT(B1206,"0000"),B1206),Addendum!F:F,"X")&gt;0,2.5%,0)</f>
        <v>0</v>
      </c>
      <c r="K1206" s="31">
        <f>IF(COUNTIFS(Addendum!C:C,A1206,Addendum!D:D,IF(ISNUMBER(B1206),TEXT(B1206,"0000"),B1206),Addendum!G:G,"X")&gt;0,7%,0)</f>
        <v>0</v>
      </c>
      <c r="L1206" s="31">
        <f>IF(COUNTIFS(Addendum!C:C,A1206,Addendum!D:D,IF(ISNUMBER(B1206),TEXT(B1206,"0000"),B1206),Addendum!I:I,"X")&gt;0,10%,0)</f>
        <v>0</v>
      </c>
      <c r="M1206" s="34">
        <f t="shared" si="36"/>
        <v>0</v>
      </c>
      <c r="N1206" s="17">
        <f t="shared" si="37"/>
        <v>15734.28</v>
      </c>
    </row>
    <row r="1207" spans="1:14" ht="30" x14ac:dyDescent="0.25">
      <c r="A1207" s="14" t="s">
        <v>2140</v>
      </c>
      <c r="B1207" s="14" t="s">
        <v>263</v>
      </c>
      <c r="C1207" s="15" t="s">
        <v>2146</v>
      </c>
      <c r="D1207" s="14" t="s">
        <v>1749</v>
      </c>
      <c r="E1207" s="14" t="s">
        <v>1746</v>
      </c>
      <c r="F1207" s="17" t="s">
        <v>2994</v>
      </c>
      <c r="G1207" s="14">
        <v>798</v>
      </c>
      <c r="H1207" s="14">
        <v>598.5</v>
      </c>
      <c r="I1207" s="31">
        <f>IF(COUNTIFS(Addendum!C:C,A1207,Addendum!D:D,IF(ISNUMBER(B1207),TEXT(B1207,"0000"),B1207),Addendum!E:E,"X")&gt;0,4%,0)</f>
        <v>0</v>
      </c>
      <c r="J1207" s="31">
        <f>IF(COUNTIFS(Addendum!C:C,A1207,Addendum!D:D,IF(ISNUMBER(B1207),TEXT(B1207,"0000"),B1207),Addendum!F:F,"X")&gt;0,2.5%,0)</f>
        <v>0</v>
      </c>
      <c r="K1207" s="31">
        <f>IF(COUNTIFS(Addendum!C:C,A1207,Addendum!D:D,IF(ISNUMBER(B1207),TEXT(B1207,"0000"),B1207),Addendum!G:G,"X")&gt;0,7%,0)</f>
        <v>0</v>
      </c>
      <c r="L1207" s="31">
        <f>IF(COUNTIFS(Addendum!C:C,A1207,Addendum!D:D,IF(ISNUMBER(B1207),TEXT(B1207,"0000"),B1207),Addendum!I:I,"X")&gt;0,10%,0)</f>
        <v>0</v>
      </c>
      <c r="M1207" s="34">
        <f t="shared" si="36"/>
        <v>0</v>
      </c>
      <c r="N1207" s="17">
        <f t="shared" si="37"/>
        <v>598.5</v>
      </c>
    </row>
    <row r="1208" spans="1:14" x14ac:dyDescent="0.25">
      <c r="A1208" s="14" t="s">
        <v>2140</v>
      </c>
      <c r="B1208" s="14" t="s">
        <v>371</v>
      </c>
      <c r="C1208" s="15" t="s">
        <v>2141</v>
      </c>
      <c r="D1208" s="14" t="s">
        <v>1745</v>
      </c>
      <c r="E1208" s="14" t="s">
        <v>1746</v>
      </c>
      <c r="F1208" s="17" t="s">
        <v>2995</v>
      </c>
      <c r="G1208" s="14">
        <v>41958</v>
      </c>
      <c r="H1208" s="14">
        <v>37762.199999999997</v>
      </c>
      <c r="I1208" s="31">
        <f>IF(COUNTIFS(Addendum!C:C,A1208,Addendum!D:D,IF(ISNUMBER(B1208),TEXT(B1208,"0000"),B1208),Addendum!E:E,"X")&gt;0,4%,0)</f>
        <v>0</v>
      </c>
      <c r="J1208" s="31">
        <f>IF(COUNTIFS(Addendum!C:C,A1208,Addendum!D:D,IF(ISNUMBER(B1208),TEXT(B1208,"0000"),B1208),Addendum!F:F,"X")&gt;0,2.5%,0)</f>
        <v>0</v>
      </c>
      <c r="K1208" s="31">
        <f>IF(COUNTIFS(Addendum!C:C,A1208,Addendum!D:D,IF(ISNUMBER(B1208),TEXT(B1208,"0000"),B1208),Addendum!G:G,"X")&gt;0,7%,0)</f>
        <v>0</v>
      </c>
      <c r="L1208" s="31">
        <f>IF(COUNTIFS(Addendum!C:C,A1208,Addendum!D:D,IF(ISNUMBER(B1208),TEXT(B1208,"0000"),B1208),Addendum!I:I,"X")&gt;0,10%,0)</f>
        <v>0</v>
      </c>
      <c r="M1208" s="34">
        <f t="shared" si="36"/>
        <v>0</v>
      </c>
      <c r="N1208" s="17">
        <f t="shared" si="37"/>
        <v>37762.199999999997</v>
      </c>
    </row>
    <row r="1209" spans="1:14" ht="30" x14ac:dyDescent="0.25">
      <c r="A1209" s="14" t="s">
        <v>2140</v>
      </c>
      <c r="B1209" s="14">
        <v>16</v>
      </c>
      <c r="C1209" s="15" t="s">
        <v>2148</v>
      </c>
      <c r="D1209" s="14" t="s">
        <v>1745</v>
      </c>
      <c r="E1209" s="14" t="s">
        <v>1746</v>
      </c>
      <c r="F1209" s="17" t="s">
        <v>2995</v>
      </c>
      <c r="G1209" s="14">
        <v>5229</v>
      </c>
      <c r="H1209" s="14">
        <v>4706.16</v>
      </c>
      <c r="I1209" s="31">
        <f>IF(COUNTIFS(Addendum!C:C,A1209,Addendum!D:D,IF(ISNUMBER(B1209),TEXT(B1209,"0000"),B1209),Addendum!E:E,"X")&gt;0,4%,0)</f>
        <v>0</v>
      </c>
      <c r="J1209" s="31">
        <f>IF(COUNTIFS(Addendum!C:C,A1209,Addendum!D:D,IF(ISNUMBER(B1209),TEXT(B1209,"0000"),B1209),Addendum!F:F,"X")&gt;0,2.5%,0)</f>
        <v>0</v>
      </c>
      <c r="K1209" s="31">
        <f>IF(COUNTIFS(Addendum!C:C,A1209,Addendum!D:D,IF(ISNUMBER(B1209),TEXT(B1209,"0000"),B1209),Addendum!G:G,"X")&gt;0,7%,0)</f>
        <v>0</v>
      </c>
      <c r="L1209" s="31">
        <f>IF(COUNTIFS(Addendum!C:C,A1209,Addendum!D:D,IF(ISNUMBER(B1209),TEXT(B1209,"0000"),B1209),Addendum!I:I,"X")&gt;0,10%,0)</f>
        <v>0</v>
      </c>
      <c r="M1209" s="34">
        <f t="shared" si="36"/>
        <v>0</v>
      </c>
      <c r="N1209" s="17">
        <f t="shared" si="37"/>
        <v>4706.16</v>
      </c>
    </row>
    <row r="1210" spans="1:14" ht="30" x14ac:dyDescent="0.25">
      <c r="A1210" s="14" t="s">
        <v>2140</v>
      </c>
      <c r="B1210" s="14" t="s">
        <v>263</v>
      </c>
      <c r="C1210" s="15" t="s">
        <v>2146</v>
      </c>
      <c r="D1210" s="14" t="s">
        <v>1745</v>
      </c>
      <c r="E1210" s="14" t="s">
        <v>1746</v>
      </c>
      <c r="F1210" s="17" t="s">
        <v>2994</v>
      </c>
      <c r="G1210" s="14">
        <v>8379</v>
      </c>
      <c r="H1210" s="14">
        <v>6284.28</v>
      </c>
      <c r="I1210" s="31">
        <f>IF(COUNTIFS(Addendum!C:C,A1210,Addendum!D:D,IF(ISNUMBER(B1210),TEXT(B1210,"0000"),B1210),Addendum!E:E,"X")&gt;0,4%,0)</f>
        <v>0</v>
      </c>
      <c r="J1210" s="31">
        <f>IF(COUNTIFS(Addendum!C:C,A1210,Addendum!D:D,IF(ISNUMBER(B1210),TEXT(B1210,"0000"),B1210),Addendum!F:F,"X")&gt;0,2.5%,0)</f>
        <v>0</v>
      </c>
      <c r="K1210" s="31">
        <f>IF(COUNTIFS(Addendum!C:C,A1210,Addendum!D:D,IF(ISNUMBER(B1210),TEXT(B1210,"0000"),B1210),Addendum!G:G,"X")&gt;0,7%,0)</f>
        <v>0</v>
      </c>
      <c r="L1210" s="31">
        <f>IF(COUNTIFS(Addendum!C:C,A1210,Addendum!D:D,IF(ISNUMBER(B1210),TEXT(B1210,"0000"),B1210),Addendum!I:I,"X")&gt;0,10%,0)</f>
        <v>0</v>
      </c>
      <c r="M1210" s="34">
        <f t="shared" si="36"/>
        <v>0</v>
      </c>
      <c r="N1210" s="17">
        <f t="shared" si="37"/>
        <v>6284.28</v>
      </c>
    </row>
    <row r="1211" spans="1:14" ht="30" x14ac:dyDescent="0.25">
      <c r="A1211" s="14" t="s">
        <v>2140</v>
      </c>
      <c r="B1211" s="14">
        <v>18</v>
      </c>
      <c r="C1211" s="15" t="s">
        <v>2144</v>
      </c>
      <c r="D1211" s="14" t="s">
        <v>1745</v>
      </c>
      <c r="E1211" s="14" t="s">
        <v>1746</v>
      </c>
      <c r="F1211" s="17" t="s">
        <v>2994</v>
      </c>
      <c r="G1211" s="14">
        <v>11529</v>
      </c>
      <c r="H1211" s="14">
        <v>8646.7199999999993</v>
      </c>
      <c r="I1211" s="31">
        <f>IF(COUNTIFS(Addendum!C:C,A1211,Addendum!D:D,IF(ISNUMBER(B1211),TEXT(B1211,"0000"),B1211),Addendum!E:E,"X")&gt;0,4%,0)</f>
        <v>0</v>
      </c>
      <c r="J1211" s="31">
        <f>IF(COUNTIFS(Addendum!C:C,A1211,Addendum!D:D,IF(ISNUMBER(B1211),TEXT(B1211,"0000"),B1211),Addendum!F:F,"X")&gt;0,2.5%,0)</f>
        <v>0</v>
      </c>
      <c r="K1211" s="31">
        <f>IF(COUNTIFS(Addendum!C:C,A1211,Addendum!D:D,IF(ISNUMBER(B1211),TEXT(B1211,"0000"),B1211),Addendum!G:G,"X")&gt;0,7%,0)</f>
        <v>0</v>
      </c>
      <c r="L1211" s="31">
        <f>IF(COUNTIFS(Addendum!C:C,A1211,Addendum!D:D,IF(ISNUMBER(B1211),TEXT(B1211,"0000"),B1211),Addendum!I:I,"X")&gt;0,10%,0)</f>
        <v>0</v>
      </c>
      <c r="M1211" s="34">
        <f t="shared" si="36"/>
        <v>0</v>
      </c>
      <c r="N1211" s="17">
        <f t="shared" si="37"/>
        <v>8646.7199999999993</v>
      </c>
    </row>
    <row r="1212" spans="1:14" x14ac:dyDescent="0.25">
      <c r="A1212" s="14" t="s">
        <v>2140</v>
      </c>
      <c r="B1212" s="14">
        <v>7</v>
      </c>
      <c r="C1212" s="15" t="s">
        <v>2151</v>
      </c>
      <c r="D1212" s="14" t="s">
        <v>1749</v>
      </c>
      <c r="E1212" s="14" t="s">
        <v>1746</v>
      </c>
      <c r="F1212" s="17" t="s">
        <v>2993</v>
      </c>
      <c r="G1212" s="14">
        <v>15972</v>
      </c>
      <c r="H1212" s="14">
        <v>11979</v>
      </c>
      <c r="I1212" s="31">
        <f>IF(COUNTIFS(Addendum!C:C,A1212,Addendum!D:D,IF(ISNUMBER(B1212),TEXT(B1212,"0000"),B1212),Addendum!E:E,"X")&gt;0,4%,0)</f>
        <v>0</v>
      </c>
      <c r="J1212" s="31">
        <f>IF(COUNTIFS(Addendum!C:C,A1212,Addendum!D:D,IF(ISNUMBER(B1212),TEXT(B1212,"0000"),B1212),Addendum!F:F,"X")&gt;0,2.5%,0)</f>
        <v>0</v>
      </c>
      <c r="K1212" s="31">
        <f>IF(COUNTIFS(Addendum!C:C,A1212,Addendum!D:D,IF(ISNUMBER(B1212),TEXT(B1212,"0000"),B1212),Addendum!G:G,"X")&gt;0,7%,0)</f>
        <v>0</v>
      </c>
      <c r="L1212" s="31">
        <f>IF(COUNTIFS(Addendum!C:C,A1212,Addendum!D:D,IF(ISNUMBER(B1212),TEXT(B1212,"0000"),B1212),Addendum!I:I,"X")&gt;0,10%,0)</f>
        <v>0</v>
      </c>
      <c r="M1212" s="34">
        <f t="shared" si="36"/>
        <v>0</v>
      </c>
      <c r="N1212" s="17">
        <f t="shared" si="37"/>
        <v>11979</v>
      </c>
    </row>
    <row r="1213" spans="1:14" x14ac:dyDescent="0.25">
      <c r="A1213" s="14" t="s">
        <v>2140</v>
      </c>
      <c r="B1213" s="14">
        <v>19</v>
      </c>
      <c r="C1213" s="15" t="s">
        <v>2150</v>
      </c>
      <c r="D1213" s="14" t="s">
        <v>1749</v>
      </c>
      <c r="E1213" s="14" t="s">
        <v>1746</v>
      </c>
      <c r="F1213" s="17" t="s">
        <v>2994</v>
      </c>
      <c r="G1213" s="14">
        <v>4194</v>
      </c>
      <c r="H1213" s="14">
        <v>3145.5</v>
      </c>
      <c r="I1213" s="31">
        <f>IF(COUNTIFS(Addendum!C:C,A1213,Addendum!D:D,IF(ISNUMBER(B1213),TEXT(B1213,"0000"),B1213),Addendum!E:E,"X")&gt;0,4%,0)</f>
        <v>0</v>
      </c>
      <c r="J1213" s="31">
        <f>IF(COUNTIFS(Addendum!C:C,A1213,Addendum!D:D,IF(ISNUMBER(B1213),TEXT(B1213,"0000"),B1213),Addendum!F:F,"X")&gt;0,2.5%,0)</f>
        <v>0</v>
      </c>
      <c r="K1213" s="31">
        <f>IF(COUNTIFS(Addendum!C:C,A1213,Addendum!D:D,IF(ISNUMBER(B1213),TEXT(B1213,"0000"),B1213),Addendum!G:G,"X")&gt;0,7%,0)</f>
        <v>0</v>
      </c>
      <c r="L1213" s="31">
        <f>IF(COUNTIFS(Addendum!C:C,A1213,Addendum!D:D,IF(ISNUMBER(B1213),TEXT(B1213,"0000"),B1213),Addendum!I:I,"X")&gt;0,10%,0)</f>
        <v>0</v>
      </c>
      <c r="M1213" s="34">
        <f t="shared" si="36"/>
        <v>0</v>
      </c>
      <c r="N1213" s="17">
        <f t="shared" si="37"/>
        <v>3145.5</v>
      </c>
    </row>
    <row r="1214" spans="1:14" x14ac:dyDescent="0.25">
      <c r="A1214" s="14" t="s">
        <v>2140</v>
      </c>
      <c r="B1214" s="14">
        <v>7</v>
      </c>
      <c r="C1214" s="15" t="s">
        <v>2151</v>
      </c>
      <c r="D1214" s="14" t="s">
        <v>1745</v>
      </c>
      <c r="E1214" s="14" t="s">
        <v>1746</v>
      </c>
      <c r="F1214" s="17" t="s">
        <v>2993</v>
      </c>
      <c r="G1214" s="14">
        <v>167706</v>
      </c>
      <c r="H1214" s="14">
        <v>125779.6</v>
      </c>
      <c r="I1214" s="31">
        <f>IF(COUNTIFS(Addendum!C:C,A1214,Addendum!D:D,IF(ISNUMBER(B1214),TEXT(B1214,"0000"),B1214),Addendum!E:E,"X")&gt;0,4%,0)</f>
        <v>0</v>
      </c>
      <c r="J1214" s="31">
        <f>IF(COUNTIFS(Addendum!C:C,A1214,Addendum!D:D,IF(ISNUMBER(B1214),TEXT(B1214,"0000"),B1214),Addendum!F:F,"X")&gt;0,2.5%,0)</f>
        <v>0</v>
      </c>
      <c r="K1214" s="31">
        <f>IF(COUNTIFS(Addendum!C:C,A1214,Addendum!D:D,IF(ISNUMBER(B1214),TEXT(B1214,"0000"),B1214),Addendum!G:G,"X")&gt;0,7%,0)</f>
        <v>0</v>
      </c>
      <c r="L1214" s="31">
        <f>IF(COUNTIFS(Addendum!C:C,A1214,Addendum!D:D,IF(ISNUMBER(B1214),TEXT(B1214,"0000"),B1214),Addendum!I:I,"X")&gt;0,10%,0)</f>
        <v>0</v>
      </c>
      <c r="M1214" s="34">
        <f t="shared" si="36"/>
        <v>0</v>
      </c>
      <c r="N1214" s="17">
        <f t="shared" si="37"/>
        <v>125779.6</v>
      </c>
    </row>
    <row r="1215" spans="1:14" x14ac:dyDescent="0.25">
      <c r="A1215" s="14" t="s">
        <v>2140</v>
      </c>
      <c r="B1215" s="14" t="s">
        <v>241</v>
      </c>
      <c r="C1215" s="15" t="s">
        <v>2149</v>
      </c>
      <c r="D1215" s="14" t="s">
        <v>1745</v>
      </c>
      <c r="E1215" s="14" t="s">
        <v>1747</v>
      </c>
      <c r="F1215" s="17" t="s">
        <v>2994</v>
      </c>
      <c r="G1215" s="14">
        <v>87840</v>
      </c>
      <c r="H1215" s="14">
        <v>65880</v>
      </c>
      <c r="I1215" s="31">
        <f>IF(COUNTIFS(Addendum!C:C,A1215,Addendum!D:D,IF(ISNUMBER(B1215),TEXT(B1215,"0000"),B1215),Addendum!E:E,"X")&gt;0,4%,0)</f>
        <v>0</v>
      </c>
      <c r="J1215" s="31">
        <f>IF(COUNTIFS(Addendum!C:C,A1215,Addendum!D:D,IF(ISNUMBER(B1215),TEXT(B1215,"0000"),B1215),Addendum!F:F,"X")&gt;0,2.5%,0)</f>
        <v>0</v>
      </c>
      <c r="K1215" s="31">
        <f>IF(COUNTIFS(Addendum!C:C,A1215,Addendum!D:D,IF(ISNUMBER(B1215),TEXT(B1215,"0000"),B1215),Addendum!G:G,"X")&gt;0,7%,0)</f>
        <v>0</v>
      </c>
      <c r="L1215" s="31">
        <f>IF(COUNTIFS(Addendum!C:C,A1215,Addendum!D:D,IF(ISNUMBER(B1215),TEXT(B1215,"0000"),B1215),Addendum!I:I,"X")&gt;0,10%,0)</f>
        <v>0</v>
      </c>
      <c r="M1215" s="34">
        <f t="shared" si="36"/>
        <v>0</v>
      </c>
      <c r="N1215" s="17">
        <f t="shared" si="37"/>
        <v>65880</v>
      </c>
    </row>
    <row r="1216" spans="1:14" x14ac:dyDescent="0.25">
      <c r="A1216" s="14" t="s">
        <v>2140</v>
      </c>
      <c r="B1216" s="14" t="s">
        <v>241</v>
      </c>
      <c r="C1216" s="15" t="s">
        <v>2149</v>
      </c>
      <c r="D1216" s="14" t="s">
        <v>1749</v>
      </c>
      <c r="E1216" s="14" t="s">
        <v>1746</v>
      </c>
      <c r="F1216" s="17" t="s">
        <v>2994</v>
      </c>
      <c r="G1216" s="14">
        <v>8784</v>
      </c>
      <c r="H1216" s="14">
        <v>6588</v>
      </c>
      <c r="I1216" s="31">
        <f>IF(COUNTIFS(Addendum!C:C,A1216,Addendum!D:D,IF(ISNUMBER(B1216),TEXT(B1216,"0000"),B1216),Addendum!E:E,"X")&gt;0,4%,0)</f>
        <v>0</v>
      </c>
      <c r="J1216" s="31">
        <f>IF(COUNTIFS(Addendum!C:C,A1216,Addendum!D:D,IF(ISNUMBER(B1216),TEXT(B1216,"0000"),B1216),Addendum!F:F,"X")&gt;0,2.5%,0)</f>
        <v>0</v>
      </c>
      <c r="K1216" s="31">
        <f>IF(COUNTIFS(Addendum!C:C,A1216,Addendum!D:D,IF(ISNUMBER(B1216),TEXT(B1216,"0000"),B1216),Addendum!G:G,"X")&gt;0,7%,0)</f>
        <v>0</v>
      </c>
      <c r="L1216" s="31">
        <f>IF(COUNTIFS(Addendum!C:C,A1216,Addendum!D:D,IF(ISNUMBER(B1216),TEXT(B1216,"0000"),B1216),Addendum!I:I,"X")&gt;0,10%,0)</f>
        <v>0</v>
      </c>
      <c r="M1216" s="34">
        <f t="shared" si="36"/>
        <v>0</v>
      </c>
      <c r="N1216" s="17">
        <f t="shared" si="37"/>
        <v>6588</v>
      </c>
    </row>
    <row r="1217" spans="1:14" x14ac:dyDescent="0.25">
      <c r="A1217" s="14" t="s">
        <v>2140</v>
      </c>
      <c r="B1217" s="14">
        <v>6</v>
      </c>
      <c r="C1217" s="15" t="s">
        <v>2143</v>
      </c>
      <c r="D1217" s="14" t="s">
        <v>1752</v>
      </c>
      <c r="E1217" s="14" t="s">
        <v>1747</v>
      </c>
      <c r="F1217" s="17" t="s">
        <v>2993</v>
      </c>
      <c r="G1217" s="14">
        <v>59940</v>
      </c>
      <c r="H1217" s="14">
        <v>44955</v>
      </c>
      <c r="I1217" s="31">
        <f>IF(COUNTIFS(Addendum!C:C,A1217,Addendum!D:D,IF(ISNUMBER(B1217),TEXT(B1217,"0000"),B1217),Addendum!E:E,"X")&gt;0,4%,0)</f>
        <v>0</v>
      </c>
      <c r="J1217" s="31">
        <f>IF(COUNTIFS(Addendum!C:C,A1217,Addendum!D:D,IF(ISNUMBER(B1217),TEXT(B1217,"0000"),B1217),Addendum!F:F,"X")&gt;0,2.5%,0)</f>
        <v>0</v>
      </c>
      <c r="K1217" s="31">
        <f>IF(COUNTIFS(Addendum!C:C,A1217,Addendum!D:D,IF(ISNUMBER(B1217),TEXT(B1217,"0000"),B1217),Addendum!G:G,"X")&gt;0,7%,0)</f>
        <v>0</v>
      </c>
      <c r="L1217" s="31">
        <f>IF(COUNTIFS(Addendum!C:C,A1217,Addendum!D:D,IF(ISNUMBER(B1217),TEXT(B1217,"0000"),B1217),Addendum!I:I,"X")&gt;0,10%,0)</f>
        <v>0</v>
      </c>
      <c r="M1217" s="34">
        <f t="shared" si="36"/>
        <v>0</v>
      </c>
      <c r="N1217" s="17">
        <f t="shared" si="37"/>
        <v>44955</v>
      </c>
    </row>
    <row r="1218" spans="1:14" x14ac:dyDescent="0.25">
      <c r="A1218" s="14" t="s">
        <v>2140</v>
      </c>
      <c r="B1218" s="14">
        <v>1</v>
      </c>
      <c r="C1218" s="15" t="s">
        <v>2142</v>
      </c>
      <c r="D1218" s="14" t="s">
        <v>1745</v>
      </c>
      <c r="E1218" s="14" t="s">
        <v>1747</v>
      </c>
      <c r="F1218" s="17" t="s">
        <v>2993</v>
      </c>
      <c r="G1218" s="14">
        <v>104820</v>
      </c>
      <c r="H1218" s="14">
        <v>78615</v>
      </c>
      <c r="I1218" s="31">
        <f>IF(COUNTIFS(Addendum!C:C,A1218,Addendum!D:D,IF(ISNUMBER(B1218),TEXT(B1218,"0000"),B1218),Addendum!E:E,"X")&gt;0,4%,0)</f>
        <v>0</v>
      </c>
      <c r="J1218" s="31">
        <f>IF(COUNTIFS(Addendum!C:C,A1218,Addendum!D:D,IF(ISNUMBER(B1218),TEXT(B1218,"0000"),B1218),Addendum!F:F,"X")&gt;0,2.5%,0)</f>
        <v>0</v>
      </c>
      <c r="K1218" s="31">
        <f>IF(COUNTIFS(Addendum!C:C,A1218,Addendum!D:D,IF(ISNUMBER(B1218),TEXT(B1218,"0000"),B1218),Addendum!G:G,"X")&gt;0,7%,0)</f>
        <v>0</v>
      </c>
      <c r="L1218" s="31">
        <f>IF(COUNTIFS(Addendum!C:C,A1218,Addendum!D:D,IF(ISNUMBER(B1218),TEXT(B1218,"0000"),B1218),Addendum!I:I,"X")&gt;0,10%,0)</f>
        <v>0</v>
      </c>
      <c r="M1218" s="34">
        <f t="shared" si="36"/>
        <v>0</v>
      </c>
      <c r="N1218" s="17">
        <f t="shared" si="37"/>
        <v>78615</v>
      </c>
    </row>
    <row r="1219" spans="1:14" x14ac:dyDescent="0.25">
      <c r="A1219" s="14" t="s">
        <v>2140</v>
      </c>
      <c r="B1219" s="14">
        <v>15</v>
      </c>
      <c r="C1219" s="15" t="s">
        <v>2152</v>
      </c>
      <c r="D1219" s="14" t="s">
        <v>1745</v>
      </c>
      <c r="E1219" s="14" t="s">
        <v>1747</v>
      </c>
      <c r="F1219" s="17" t="s">
        <v>2995</v>
      </c>
      <c r="G1219" s="14">
        <v>26220</v>
      </c>
      <c r="H1219" s="14">
        <v>23598</v>
      </c>
      <c r="I1219" s="31">
        <f>IF(COUNTIFS(Addendum!C:C,A1219,Addendum!D:D,IF(ISNUMBER(B1219),TEXT(B1219,"0000"),B1219),Addendum!E:E,"X")&gt;0,4%,0)</f>
        <v>0</v>
      </c>
      <c r="J1219" s="31">
        <f>IF(COUNTIFS(Addendum!C:C,A1219,Addendum!D:D,IF(ISNUMBER(B1219),TEXT(B1219,"0000"),B1219),Addendum!F:F,"X")&gt;0,2.5%,0)</f>
        <v>0</v>
      </c>
      <c r="K1219" s="31">
        <f>IF(COUNTIFS(Addendum!C:C,A1219,Addendum!D:D,IF(ISNUMBER(B1219),TEXT(B1219,"0000"),B1219),Addendum!G:G,"X")&gt;0,7%,0)</f>
        <v>0</v>
      </c>
      <c r="L1219" s="31">
        <f>IF(COUNTIFS(Addendum!C:C,A1219,Addendum!D:D,IF(ISNUMBER(B1219),TEXT(B1219,"0000"),B1219),Addendum!I:I,"X")&gt;0,10%,0)</f>
        <v>0</v>
      </c>
      <c r="M1219" s="34">
        <f t="shared" si="36"/>
        <v>0</v>
      </c>
      <c r="N1219" s="17">
        <f t="shared" si="37"/>
        <v>23598</v>
      </c>
    </row>
    <row r="1220" spans="1:14" x14ac:dyDescent="0.25">
      <c r="A1220" s="14" t="s">
        <v>2140</v>
      </c>
      <c r="B1220" s="14">
        <v>6</v>
      </c>
      <c r="C1220" s="15" t="s">
        <v>2143</v>
      </c>
      <c r="D1220" s="14" t="s">
        <v>1752</v>
      </c>
      <c r="E1220" s="14" t="s">
        <v>1753</v>
      </c>
      <c r="F1220" s="17" t="s">
        <v>2993</v>
      </c>
      <c r="G1220" s="14">
        <v>59940</v>
      </c>
      <c r="H1220" s="14">
        <v>44955</v>
      </c>
      <c r="I1220" s="31">
        <f>IF(COUNTIFS(Addendum!C:C,A1220,Addendum!D:D,IF(ISNUMBER(B1220),TEXT(B1220,"0000"),B1220),Addendum!E:E,"X")&gt;0,4%,0)</f>
        <v>0</v>
      </c>
      <c r="J1220" s="31">
        <f>IF(COUNTIFS(Addendum!C:C,A1220,Addendum!D:D,IF(ISNUMBER(B1220),TEXT(B1220,"0000"),B1220),Addendum!F:F,"X")&gt;0,2.5%,0)</f>
        <v>0</v>
      </c>
      <c r="K1220" s="31">
        <f>IF(COUNTIFS(Addendum!C:C,A1220,Addendum!D:D,IF(ISNUMBER(B1220),TEXT(B1220,"0000"),B1220),Addendum!G:G,"X")&gt;0,7%,0)</f>
        <v>0</v>
      </c>
      <c r="L1220" s="31">
        <f>IF(COUNTIFS(Addendum!C:C,A1220,Addendum!D:D,IF(ISNUMBER(B1220),TEXT(B1220,"0000"),B1220),Addendum!I:I,"X")&gt;0,10%,0)</f>
        <v>0</v>
      </c>
      <c r="M1220" s="34">
        <f t="shared" ref="M1220:M1283" si="38">IF(AND(I1220=0%,J1220=0%,K1220=0%,L1220=0%),0%,
IF(OR(TRIM(E1220)="OneTime",TRIM(D1220)=""),0%,
IF(
OR(
TRIM(D1220)="P1M",
AND(TRIM(D1220)="P1Y",TRIM(E1220)="Monthly"),
AND(TRIM(D1220)="P3Y",TRIM(E1220)="Monthly")
),
IF(AND(I1220=4%,J1220=0%,K1220=0%,L1220=0%),1%,
IF(AND(I1220=4%,J1220=2.5%,K1220=0%,L1220=10%),2%,
IF(AND(I1220=4%,J1220=0%,K1220=7%,L1220=10%),3%,0%))),
IF(
OR(
AND(TRIM(D1220)="P1Y",TRIM(E1220)="Annual"),
AND(TRIM(D1220)="P3Y",TRIM(E1220)="Annual"),
AND(TRIM(D1220)="P3Y",TRIM(E1220)="Triennial")
),
IF(AND(I1220=4%,J1220=0%,K1220=0%,L1220=0%),3%,
IF(AND(I1220=4%,J1220=2.5%,K1220=0%,L1220=10%),10%,
IF(AND(I1220=4%,J1220=0%,K1220=7%,L1220=10%),14%,0%))),
0%
))))</f>
        <v>0</v>
      </c>
      <c r="N1220" s="17">
        <f t="shared" ref="N1220:N1283" si="39">H1220-(H1220*M1220)</f>
        <v>44955</v>
      </c>
    </row>
    <row r="1221" spans="1:14" x14ac:dyDescent="0.25">
      <c r="A1221" s="14" t="s">
        <v>2140</v>
      </c>
      <c r="B1221" s="14">
        <v>6</v>
      </c>
      <c r="C1221" s="15" t="s">
        <v>2143</v>
      </c>
      <c r="D1221" s="14" t="s">
        <v>1745</v>
      </c>
      <c r="E1221" s="14" t="s">
        <v>1747</v>
      </c>
      <c r="F1221" s="17" t="s">
        <v>2993</v>
      </c>
      <c r="G1221" s="14">
        <v>19980</v>
      </c>
      <c r="H1221" s="14">
        <v>14985</v>
      </c>
      <c r="I1221" s="31">
        <f>IF(COUNTIFS(Addendum!C:C,A1221,Addendum!D:D,IF(ISNUMBER(B1221),TEXT(B1221,"0000"),B1221),Addendum!E:E,"X")&gt;0,4%,0)</f>
        <v>0</v>
      </c>
      <c r="J1221" s="31">
        <f>IF(COUNTIFS(Addendum!C:C,A1221,Addendum!D:D,IF(ISNUMBER(B1221),TEXT(B1221,"0000"),B1221),Addendum!F:F,"X")&gt;0,2.5%,0)</f>
        <v>0</v>
      </c>
      <c r="K1221" s="31">
        <f>IF(COUNTIFS(Addendum!C:C,A1221,Addendum!D:D,IF(ISNUMBER(B1221),TEXT(B1221,"0000"),B1221),Addendum!G:G,"X")&gt;0,7%,0)</f>
        <v>0</v>
      </c>
      <c r="L1221" s="31">
        <f>IF(COUNTIFS(Addendum!C:C,A1221,Addendum!D:D,IF(ISNUMBER(B1221),TEXT(B1221,"0000"),B1221),Addendum!I:I,"X")&gt;0,10%,0)</f>
        <v>0</v>
      </c>
      <c r="M1221" s="34">
        <f t="shared" si="38"/>
        <v>0</v>
      </c>
      <c r="N1221" s="17">
        <f t="shared" si="39"/>
        <v>14985</v>
      </c>
    </row>
    <row r="1222" spans="1:14" ht="30" x14ac:dyDescent="0.25">
      <c r="A1222" s="14" t="s">
        <v>2140</v>
      </c>
      <c r="B1222" s="14">
        <v>16</v>
      </c>
      <c r="C1222" s="15" t="s">
        <v>2148</v>
      </c>
      <c r="D1222" s="14" t="s">
        <v>1745</v>
      </c>
      <c r="E1222" s="14" t="s">
        <v>1747</v>
      </c>
      <c r="F1222" s="17" t="s">
        <v>2995</v>
      </c>
      <c r="G1222" s="14">
        <v>4980</v>
      </c>
      <c r="H1222" s="14">
        <v>4482</v>
      </c>
      <c r="I1222" s="31">
        <f>IF(COUNTIFS(Addendum!C:C,A1222,Addendum!D:D,IF(ISNUMBER(B1222),TEXT(B1222,"0000"),B1222),Addendum!E:E,"X")&gt;0,4%,0)</f>
        <v>0</v>
      </c>
      <c r="J1222" s="31">
        <f>IF(COUNTIFS(Addendum!C:C,A1222,Addendum!D:D,IF(ISNUMBER(B1222),TEXT(B1222,"0000"),B1222),Addendum!F:F,"X")&gt;0,2.5%,0)</f>
        <v>0</v>
      </c>
      <c r="K1222" s="31">
        <f>IF(COUNTIFS(Addendum!C:C,A1222,Addendum!D:D,IF(ISNUMBER(B1222),TEXT(B1222,"0000"),B1222),Addendum!G:G,"X")&gt;0,7%,0)</f>
        <v>0</v>
      </c>
      <c r="L1222" s="31">
        <f>IF(COUNTIFS(Addendum!C:C,A1222,Addendum!D:D,IF(ISNUMBER(B1222),TEXT(B1222,"0000"),B1222),Addendum!I:I,"X")&gt;0,10%,0)</f>
        <v>0</v>
      </c>
      <c r="M1222" s="34">
        <f t="shared" si="38"/>
        <v>0</v>
      </c>
      <c r="N1222" s="17">
        <f t="shared" si="39"/>
        <v>4482</v>
      </c>
    </row>
    <row r="1223" spans="1:14" x14ac:dyDescent="0.25">
      <c r="A1223" s="14" t="s">
        <v>2140</v>
      </c>
      <c r="B1223" s="14">
        <v>15</v>
      </c>
      <c r="C1223" s="15" t="s">
        <v>2152</v>
      </c>
      <c r="D1223" s="14" t="s">
        <v>1745</v>
      </c>
      <c r="E1223" s="14" t="s">
        <v>1746</v>
      </c>
      <c r="F1223" s="17" t="s">
        <v>2995</v>
      </c>
      <c r="G1223" s="14">
        <v>27531</v>
      </c>
      <c r="H1223" s="14">
        <v>24777.96</v>
      </c>
      <c r="I1223" s="31">
        <f>IF(COUNTIFS(Addendum!C:C,A1223,Addendum!D:D,IF(ISNUMBER(B1223),TEXT(B1223,"0000"),B1223),Addendum!E:E,"X")&gt;0,4%,0)</f>
        <v>0</v>
      </c>
      <c r="J1223" s="31">
        <f>IF(COUNTIFS(Addendum!C:C,A1223,Addendum!D:D,IF(ISNUMBER(B1223),TEXT(B1223,"0000"),B1223),Addendum!F:F,"X")&gt;0,2.5%,0)</f>
        <v>0</v>
      </c>
      <c r="K1223" s="31">
        <f>IF(COUNTIFS(Addendum!C:C,A1223,Addendum!D:D,IF(ISNUMBER(B1223),TEXT(B1223,"0000"),B1223),Addendum!G:G,"X")&gt;0,7%,0)</f>
        <v>0</v>
      </c>
      <c r="L1223" s="31">
        <f>IF(COUNTIFS(Addendum!C:C,A1223,Addendum!D:D,IF(ISNUMBER(B1223),TEXT(B1223,"0000"),B1223),Addendum!I:I,"X")&gt;0,10%,0)</f>
        <v>0</v>
      </c>
      <c r="M1223" s="34">
        <f t="shared" si="38"/>
        <v>0</v>
      </c>
      <c r="N1223" s="17">
        <f t="shared" si="39"/>
        <v>24777.96</v>
      </c>
    </row>
    <row r="1224" spans="1:14" x14ac:dyDescent="0.25">
      <c r="A1224" s="14" t="s">
        <v>2140</v>
      </c>
      <c r="B1224" s="14">
        <v>15</v>
      </c>
      <c r="C1224" s="15" t="s">
        <v>2152</v>
      </c>
      <c r="D1224" s="14" t="s">
        <v>1749</v>
      </c>
      <c r="E1224" s="14" t="s">
        <v>1746</v>
      </c>
      <c r="F1224" s="17" t="s">
        <v>2995</v>
      </c>
      <c r="G1224" s="14">
        <v>2622</v>
      </c>
      <c r="H1224" s="14">
        <v>2359.8000000000002</v>
      </c>
      <c r="I1224" s="31">
        <f>IF(COUNTIFS(Addendum!C:C,A1224,Addendum!D:D,IF(ISNUMBER(B1224),TEXT(B1224,"0000"),B1224),Addendum!E:E,"X")&gt;0,4%,0)</f>
        <v>0</v>
      </c>
      <c r="J1224" s="31">
        <f>IF(COUNTIFS(Addendum!C:C,A1224,Addendum!D:D,IF(ISNUMBER(B1224),TEXT(B1224,"0000"),B1224),Addendum!F:F,"X")&gt;0,2.5%,0)</f>
        <v>0</v>
      </c>
      <c r="K1224" s="31">
        <f>IF(COUNTIFS(Addendum!C:C,A1224,Addendum!D:D,IF(ISNUMBER(B1224),TEXT(B1224,"0000"),B1224),Addendum!G:G,"X")&gt;0,7%,0)</f>
        <v>0</v>
      </c>
      <c r="L1224" s="31">
        <f>IF(COUNTIFS(Addendum!C:C,A1224,Addendum!D:D,IF(ISNUMBER(B1224),TEXT(B1224,"0000"),B1224),Addendum!I:I,"X")&gt;0,10%,0)</f>
        <v>0</v>
      </c>
      <c r="M1224" s="34">
        <f t="shared" si="38"/>
        <v>0</v>
      </c>
      <c r="N1224" s="17">
        <f t="shared" si="39"/>
        <v>2359.8000000000002</v>
      </c>
    </row>
    <row r="1225" spans="1:14" x14ac:dyDescent="0.25">
      <c r="A1225" s="14" t="s">
        <v>2140</v>
      </c>
      <c r="B1225" s="14">
        <v>17</v>
      </c>
      <c r="C1225" s="15" t="s">
        <v>2147</v>
      </c>
      <c r="D1225" s="14" t="s">
        <v>1745</v>
      </c>
      <c r="E1225" s="14" t="s">
        <v>1746</v>
      </c>
      <c r="F1225" s="17" t="s">
        <v>2994</v>
      </c>
      <c r="G1225" s="14">
        <v>60543</v>
      </c>
      <c r="H1225" s="14">
        <v>45407.28</v>
      </c>
      <c r="I1225" s="31">
        <f>IF(COUNTIFS(Addendum!C:C,A1225,Addendum!D:D,IF(ISNUMBER(B1225),TEXT(B1225,"0000"),B1225),Addendum!E:E,"X")&gt;0,4%,0)</f>
        <v>0</v>
      </c>
      <c r="J1225" s="31">
        <f>IF(COUNTIFS(Addendum!C:C,A1225,Addendum!D:D,IF(ISNUMBER(B1225),TEXT(B1225,"0000"),B1225),Addendum!F:F,"X")&gt;0,2.5%,0)</f>
        <v>0</v>
      </c>
      <c r="K1225" s="31">
        <f>IF(COUNTIFS(Addendum!C:C,A1225,Addendum!D:D,IF(ISNUMBER(B1225),TEXT(B1225,"0000"),B1225),Addendum!G:G,"X")&gt;0,7%,0)</f>
        <v>0</v>
      </c>
      <c r="L1225" s="31">
        <f>IF(COUNTIFS(Addendum!C:C,A1225,Addendum!D:D,IF(ISNUMBER(B1225),TEXT(B1225,"0000"),B1225),Addendum!I:I,"X")&gt;0,10%,0)</f>
        <v>0</v>
      </c>
      <c r="M1225" s="34">
        <f t="shared" si="38"/>
        <v>0</v>
      </c>
      <c r="N1225" s="17">
        <f t="shared" si="39"/>
        <v>45407.28</v>
      </c>
    </row>
    <row r="1226" spans="1:14" x14ac:dyDescent="0.25">
      <c r="A1226" s="14" t="s">
        <v>2140</v>
      </c>
      <c r="B1226" s="14">
        <v>17</v>
      </c>
      <c r="C1226" s="15" t="s">
        <v>2147</v>
      </c>
      <c r="D1226" s="14" t="s">
        <v>1745</v>
      </c>
      <c r="E1226" s="14" t="s">
        <v>1747</v>
      </c>
      <c r="F1226" s="17" t="s">
        <v>2994</v>
      </c>
      <c r="G1226" s="14">
        <v>57660</v>
      </c>
      <c r="H1226" s="14">
        <v>43245</v>
      </c>
      <c r="I1226" s="31">
        <f>IF(COUNTIFS(Addendum!C:C,A1226,Addendum!D:D,IF(ISNUMBER(B1226),TEXT(B1226,"0000"),B1226),Addendum!E:E,"X")&gt;0,4%,0)</f>
        <v>0</v>
      </c>
      <c r="J1226" s="31">
        <f>IF(COUNTIFS(Addendum!C:C,A1226,Addendum!D:D,IF(ISNUMBER(B1226),TEXT(B1226,"0000"),B1226),Addendum!F:F,"X")&gt;0,2.5%,0)</f>
        <v>0</v>
      </c>
      <c r="K1226" s="31">
        <f>IF(COUNTIFS(Addendum!C:C,A1226,Addendum!D:D,IF(ISNUMBER(B1226),TEXT(B1226,"0000"),B1226),Addendum!G:G,"X")&gt;0,7%,0)</f>
        <v>0</v>
      </c>
      <c r="L1226" s="31">
        <f>IF(COUNTIFS(Addendum!C:C,A1226,Addendum!D:D,IF(ISNUMBER(B1226),TEXT(B1226,"0000"),B1226),Addendum!I:I,"X")&gt;0,10%,0)</f>
        <v>0</v>
      </c>
      <c r="M1226" s="34">
        <f t="shared" si="38"/>
        <v>0</v>
      </c>
      <c r="N1226" s="17">
        <f t="shared" si="39"/>
        <v>43245</v>
      </c>
    </row>
    <row r="1227" spans="1:14" x14ac:dyDescent="0.25">
      <c r="A1227" s="14" t="s">
        <v>2153</v>
      </c>
      <c r="B1227" s="14">
        <v>1</v>
      </c>
      <c r="C1227" s="15" t="s">
        <v>2154</v>
      </c>
      <c r="D1227" s="14" t="s">
        <v>1745</v>
      </c>
      <c r="E1227" s="14" t="s">
        <v>1747</v>
      </c>
      <c r="F1227" s="17" t="s">
        <v>2993</v>
      </c>
      <c r="G1227" s="14">
        <v>29940</v>
      </c>
      <c r="H1227" s="14">
        <v>22455</v>
      </c>
      <c r="I1227" s="31">
        <f>IF(COUNTIFS(Addendum!C:C,A1227,Addendum!D:D,IF(ISNUMBER(B1227),TEXT(B1227,"0000"),B1227),Addendum!E:E,"X")&gt;0,4%,0)</f>
        <v>0</v>
      </c>
      <c r="J1227" s="31">
        <f>IF(COUNTIFS(Addendum!C:C,A1227,Addendum!D:D,IF(ISNUMBER(B1227),TEXT(B1227,"0000"),B1227),Addendum!F:F,"X")&gt;0,2.5%,0)</f>
        <v>0</v>
      </c>
      <c r="K1227" s="31">
        <f>IF(COUNTIFS(Addendum!C:C,A1227,Addendum!D:D,IF(ISNUMBER(B1227),TEXT(B1227,"0000"),B1227),Addendum!G:G,"X")&gt;0,7%,0)</f>
        <v>0</v>
      </c>
      <c r="L1227" s="31">
        <f>IF(COUNTIFS(Addendum!C:C,A1227,Addendum!D:D,IF(ISNUMBER(B1227),TEXT(B1227,"0000"),B1227),Addendum!I:I,"X")&gt;0,10%,0)</f>
        <v>0</v>
      </c>
      <c r="M1227" s="34">
        <f t="shared" si="38"/>
        <v>0</v>
      </c>
      <c r="N1227" s="17">
        <f t="shared" si="39"/>
        <v>22455</v>
      </c>
    </row>
    <row r="1228" spans="1:14" x14ac:dyDescent="0.25">
      <c r="A1228" s="14" t="s">
        <v>2153</v>
      </c>
      <c r="B1228" s="14" t="s">
        <v>16</v>
      </c>
      <c r="C1228" s="15" t="s">
        <v>2155</v>
      </c>
      <c r="D1228" s="14" t="s">
        <v>1749</v>
      </c>
      <c r="E1228" s="14" t="s">
        <v>1746</v>
      </c>
      <c r="F1228" s="17" t="s">
        <v>2995</v>
      </c>
      <c r="G1228" s="14">
        <v>2094</v>
      </c>
      <c r="H1228" s="14">
        <v>1884.6</v>
      </c>
      <c r="I1228" s="31">
        <f>IF(COUNTIFS(Addendum!C:C,A1228,Addendum!D:D,IF(ISNUMBER(B1228),TEXT(B1228,"0000"),B1228),Addendum!E:E,"X")&gt;0,4%,0)</f>
        <v>0</v>
      </c>
      <c r="J1228" s="31">
        <f>IF(COUNTIFS(Addendum!C:C,A1228,Addendum!D:D,IF(ISNUMBER(B1228),TEXT(B1228,"0000"),B1228),Addendum!F:F,"X")&gt;0,2.5%,0)</f>
        <v>0</v>
      </c>
      <c r="K1228" s="31">
        <f>IF(COUNTIFS(Addendum!C:C,A1228,Addendum!D:D,IF(ISNUMBER(B1228),TEXT(B1228,"0000"),B1228),Addendum!G:G,"X")&gt;0,7%,0)</f>
        <v>0</v>
      </c>
      <c r="L1228" s="31">
        <f>IF(COUNTIFS(Addendum!C:C,A1228,Addendum!D:D,IF(ISNUMBER(B1228),TEXT(B1228,"0000"),B1228),Addendum!I:I,"X")&gt;0,10%,0)</f>
        <v>0</v>
      </c>
      <c r="M1228" s="34">
        <f t="shared" si="38"/>
        <v>0</v>
      </c>
      <c r="N1228" s="17">
        <f t="shared" si="39"/>
        <v>1884.6</v>
      </c>
    </row>
    <row r="1229" spans="1:14" x14ac:dyDescent="0.25">
      <c r="A1229" s="14" t="s">
        <v>2153</v>
      </c>
      <c r="B1229" s="14" t="s">
        <v>16</v>
      </c>
      <c r="C1229" s="15" t="s">
        <v>2155</v>
      </c>
      <c r="D1229" s="14" t="s">
        <v>1745</v>
      </c>
      <c r="E1229" s="14" t="s">
        <v>1747</v>
      </c>
      <c r="F1229" s="17" t="s">
        <v>2995</v>
      </c>
      <c r="G1229" s="14">
        <v>20940</v>
      </c>
      <c r="H1229" s="14">
        <v>18846</v>
      </c>
      <c r="I1229" s="31">
        <f>IF(COUNTIFS(Addendum!C:C,A1229,Addendum!D:D,IF(ISNUMBER(B1229),TEXT(B1229,"0000"),B1229),Addendum!E:E,"X")&gt;0,4%,0)</f>
        <v>0</v>
      </c>
      <c r="J1229" s="31">
        <f>IF(COUNTIFS(Addendum!C:C,A1229,Addendum!D:D,IF(ISNUMBER(B1229),TEXT(B1229,"0000"),B1229),Addendum!F:F,"X")&gt;0,2.5%,0)</f>
        <v>0</v>
      </c>
      <c r="K1229" s="31">
        <f>IF(COUNTIFS(Addendum!C:C,A1229,Addendum!D:D,IF(ISNUMBER(B1229),TEXT(B1229,"0000"),B1229),Addendum!G:G,"X")&gt;0,7%,0)</f>
        <v>0</v>
      </c>
      <c r="L1229" s="31">
        <f>IF(COUNTIFS(Addendum!C:C,A1229,Addendum!D:D,IF(ISNUMBER(B1229),TEXT(B1229,"0000"),B1229),Addendum!I:I,"X")&gt;0,10%,0)</f>
        <v>0</v>
      </c>
      <c r="M1229" s="34">
        <f t="shared" si="38"/>
        <v>0</v>
      </c>
      <c r="N1229" s="17">
        <f t="shared" si="39"/>
        <v>18846</v>
      </c>
    </row>
    <row r="1230" spans="1:14" x14ac:dyDescent="0.25">
      <c r="A1230" s="14" t="s">
        <v>2153</v>
      </c>
      <c r="B1230" s="14">
        <v>1</v>
      </c>
      <c r="C1230" s="15" t="s">
        <v>2154</v>
      </c>
      <c r="D1230" s="14" t="s">
        <v>1749</v>
      </c>
      <c r="E1230" s="14" t="s">
        <v>1746</v>
      </c>
      <c r="F1230" s="17" t="s">
        <v>2993</v>
      </c>
      <c r="G1230" s="14">
        <v>2994</v>
      </c>
      <c r="H1230" s="14">
        <v>2245.5</v>
      </c>
      <c r="I1230" s="31">
        <f>IF(COUNTIFS(Addendum!C:C,A1230,Addendum!D:D,IF(ISNUMBER(B1230),TEXT(B1230,"0000"),B1230),Addendum!E:E,"X")&gt;0,4%,0)</f>
        <v>0</v>
      </c>
      <c r="J1230" s="31">
        <f>IF(COUNTIFS(Addendum!C:C,A1230,Addendum!D:D,IF(ISNUMBER(B1230),TEXT(B1230,"0000"),B1230),Addendum!F:F,"X")&gt;0,2.5%,0)</f>
        <v>0</v>
      </c>
      <c r="K1230" s="31">
        <f>IF(COUNTIFS(Addendum!C:C,A1230,Addendum!D:D,IF(ISNUMBER(B1230),TEXT(B1230,"0000"),B1230),Addendum!G:G,"X")&gt;0,7%,0)</f>
        <v>0</v>
      </c>
      <c r="L1230" s="31">
        <f>IF(COUNTIFS(Addendum!C:C,A1230,Addendum!D:D,IF(ISNUMBER(B1230),TEXT(B1230,"0000"),B1230),Addendum!I:I,"X")&gt;0,10%,0)</f>
        <v>0</v>
      </c>
      <c r="M1230" s="34">
        <f t="shared" si="38"/>
        <v>0</v>
      </c>
      <c r="N1230" s="17">
        <f t="shared" si="39"/>
        <v>2245.5</v>
      </c>
    </row>
    <row r="1231" spans="1:14" x14ac:dyDescent="0.25">
      <c r="A1231" s="14" t="s">
        <v>2153</v>
      </c>
      <c r="B1231" s="14" t="s">
        <v>16</v>
      </c>
      <c r="C1231" s="15" t="s">
        <v>2155</v>
      </c>
      <c r="D1231" s="14" t="s">
        <v>1745</v>
      </c>
      <c r="E1231" s="14" t="s">
        <v>1746</v>
      </c>
      <c r="F1231" s="17" t="s">
        <v>2995</v>
      </c>
      <c r="G1231" s="14">
        <v>21987</v>
      </c>
      <c r="H1231" s="14">
        <v>19788.36</v>
      </c>
      <c r="I1231" s="31">
        <f>IF(COUNTIFS(Addendum!C:C,A1231,Addendum!D:D,IF(ISNUMBER(B1231),TEXT(B1231,"0000"),B1231),Addendum!E:E,"X")&gt;0,4%,0)</f>
        <v>0</v>
      </c>
      <c r="J1231" s="31">
        <f>IF(COUNTIFS(Addendum!C:C,A1231,Addendum!D:D,IF(ISNUMBER(B1231),TEXT(B1231,"0000"),B1231),Addendum!F:F,"X")&gt;0,2.5%,0)</f>
        <v>0</v>
      </c>
      <c r="K1231" s="31">
        <f>IF(COUNTIFS(Addendum!C:C,A1231,Addendum!D:D,IF(ISNUMBER(B1231),TEXT(B1231,"0000"),B1231),Addendum!G:G,"X")&gt;0,7%,0)</f>
        <v>0</v>
      </c>
      <c r="L1231" s="31">
        <f>IF(COUNTIFS(Addendum!C:C,A1231,Addendum!D:D,IF(ISNUMBER(B1231),TEXT(B1231,"0000"),B1231),Addendum!I:I,"X")&gt;0,10%,0)</f>
        <v>0</v>
      </c>
      <c r="M1231" s="34">
        <f t="shared" si="38"/>
        <v>0</v>
      </c>
      <c r="N1231" s="17">
        <f t="shared" si="39"/>
        <v>19788.36</v>
      </c>
    </row>
    <row r="1232" spans="1:14" x14ac:dyDescent="0.25">
      <c r="A1232" s="14" t="s">
        <v>2153</v>
      </c>
      <c r="B1232" s="14">
        <v>1</v>
      </c>
      <c r="C1232" s="15" t="s">
        <v>2154</v>
      </c>
      <c r="D1232" s="14" t="s">
        <v>1745</v>
      </c>
      <c r="E1232" s="14" t="s">
        <v>1746</v>
      </c>
      <c r="F1232" s="17" t="s">
        <v>2993</v>
      </c>
      <c r="G1232" s="14">
        <v>31437</v>
      </c>
      <c r="H1232" s="14">
        <v>23577.72</v>
      </c>
      <c r="I1232" s="31">
        <f>IF(COUNTIFS(Addendum!C:C,A1232,Addendum!D:D,IF(ISNUMBER(B1232),TEXT(B1232,"0000"),B1232),Addendum!E:E,"X")&gt;0,4%,0)</f>
        <v>0</v>
      </c>
      <c r="J1232" s="31">
        <f>IF(COUNTIFS(Addendum!C:C,A1232,Addendum!D:D,IF(ISNUMBER(B1232),TEXT(B1232,"0000"),B1232),Addendum!F:F,"X")&gt;0,2.5%,0)</f>
        <v>0</v>
      </c>
      <c r="K1232" s="31">
        <f>IF(COUNTIFS(Addendum!C:C,A1232,Addendum!D:D,IF(ISNUMBER(B1232),TEXT(B1232,"0000"),B1232),Addendum!G:G,"X")&gt;0,7%,0)</f>
        <v>0</v>
      </c>
      <c r="L1232" s="31">
        <f>IF(COUNTIFS(Addendum!C:C,A1232,Addendum!D:D,IF(ISNUMBER(B1232),TEXT(B1232,"0000"),B1232),Addendum!I:I,"X")&gt;0,10%,0)</f>
        <v>0</v>
      </c>
      <c r="M1232" s="34">
        <f t="shared" si="38"/>
        <v>0</v>
      </c>
      <c r="N1232" s="17">
        <f t="shared" si="39"/>
        <v>23577.72</v>
      </c>
    </row>
    <row r="1233" spans="1:14" x14ac:dyDescent="0.25">
      <c r="A1233" s="14" t="s">
        <v>2156</v>
      </c>
      <c r="B1233" s="14">
        <v>19</v>
      </c>
      <c r="C1233" s="15" t="s">
        <v>2157</v>
      </c>
      <c r="D1233" s="14" t="s">
        <v>1752</v>
      </c>
      <c r="E1233" s="14" t="s">
        <v>1746</v>
      </c>
      <c r="F1233" s="17" t="s">
        <v>2995</v>
      </c>
      <c r="G1233" s="14">
        <v>264222</v>
      </c>
      <c r="H1233" s="14">
        <v>237799.8</v>
      </c>
      <c r="I1233" s="31">
        <f>IF(COUNTIFS(Addendum!C:C,A1233,Addendum!D:D,IF(ISNUMBER(B1233),TEXT(B1233,"0000"),B1233),Addendum!E:E,"X")&gt;0,4%,0)</f>
        <v>0</v>
      </c>
      <c r="J1233" s="31">
        <f>IF(COUNTIFS(Addendum!C:C,A1233,Addendum!D:D,IF(ISNUMBER(B1233),TEXT(B1233,"0000"),B1233),Addendum!F:F,"X")&gt;0,2.5%,0)</f>
        <v>0</v>
      </c>
      <c r="K1233" s="31">
        <f>IF(COUNTIFS(Addendum!C:C,A1233,Addendum!D:D,IF(ISNUMBER(B1233),TEXT(B1233,"0000"),B1233),Addendum!G:G,"X")&gt;0,7%,0)</f>
        <v>0</v>
      </c>
      <c r="L1233" s="31">
        <f>IF(COUNTIFS(Addendum!C:C,A1233,Addendum!D:D,IF(ISNUMBER(B1233),TEXT(B1233,"0000"),B1233),Addendum!I:I,"X")&gt;0,10%,0)</f>
        <v>0</v>
      </c>
      <c r="M1233" s="34">
        <f t="shared" si="38"/>
        <v>0</v>
      </c>
      <c r="N1233" s="17">
        <f t="shared" si="39"/>
        <v>237799.8</v>
      </c>
    </row>
    <row r="1234" spans="1:14" x14ac:dyDescent="0.25">
      <c r="A1234" s="14" t="s">
        <v>2156</v>
      </c>
      <c r="B1234" s="14" t="s">
        <v>307</v>
      </c>
      <c r="C1234" s="15" t="s">
        <v>2158</v>
      </c>
      <c r="D1234" s="14" t="s">
        <v>1749</v>
      </c>
      <c r="E1234" s="14" t="s">
        <v>1746</v>
      </c>
      <c r="F1234" s="17" t="s">
        <v>2994</v>
      </c>
      <c r="G1234" s="14">
        <v>8388</v>
      </c>
      <c r="H1234" s="14">
        <v>5871.6</v>
      </c>
      <c r="I1234" s="31">
        <f>IF(COUNTIFS(Addendum!C:C,A1234,Addendum!D:D,IF(ISNUMBER(B1234),TEXT(B1234,"0000"),B1234),Addendum!E:E,"X")&gt;0,4%,0)</f>
        <v>0</v>
      </c>
      <c r="J1234" s="31">
        <f>IF(COUNTIFS(Addendum!C:C,A1234,Addendum!D:D,IF(ISNUMBER(B1234),TEXT(B1234,"0000"),B1234),Addendum!F:F,"X")&gt;0,2.5%,0)</f>
        <v>0</v>
      </c>
      <c r="K1234" s="31">
        <f>IF(COUNTIFS(Addendum!C:C,A1234,Addendum!D:D,IF(ISNUMBER(B1234),TEXT(B1234,"0000"),B1234),Addendum!G:G,"X")&gt;0,7%,0)</f>
        <v>0</v>
      </c>
      <c r="L1234" s="31">
        <f>IF(COUNTIFS(Addendum!C:C,A1234,Addendum!D:D,IF(ISNUMBER(B1234),TEXT(B1234,"0000"),B1234),Addendum!I:I,"X")&gt;0,10%,0)</f>
        <v>0</v>
      </c>
      <c r="M1234" s="34">
        <f t="shared" si="38"/>
        <v>0</v>
      </c>
      <c r="N1234" s="17">
        <f t="shared" si="39"/>
        <v>5871.6</v>
      </c>
    </row>
    <row r="1235" spans="1:14" ht="30" x14ac:dyDescent="0.25">
      <c r="A1235" s="14" t="s">
        <v>2156</v>
      </c>
      <c r="B1235" s="14" t="s">
        <v>325</v>
      </c>
      <c r="C1235" s="15" t="s">
        <v>2159</v>
      </c>
      <c r="D1235" s="14" t="s">
        <v>1749</v>
      </c>
      <c r="E1235" s="14" t="s">
        <v>1746</v>
      </c>
      <c r="F1235" s="17" t="s">
        <v>2994</v>
      </c>
      <c r="G1235" s="14">
        <v>1200</v>
      </c>
      <c r="H1235" s="14">
        <v>840</v>
      </c>
      <c r="I1235" s="31">
        <f>IF(COUNTIFS(Addendum!C:C,A1235,Addendum!D:D,IF(ISNUMBER(B1235),TEXT(B1235,"0000"),B1235),Addendum!E:E,"X")&gt;0,4%,0)</f>
        <v>0</v>
      </c>
      <c r="J1235" s="31">
        <f>IF(COUNTIFS(Addendum!C:C,A1235,Addendum!D:D,IF(ISNUMBER(B1235),TEXT(B1235,"0000"),B1235),Addendum!F:F,"X")&gt;0,2.5%,0)</f>
        <v>0</v>
      </c>
      <c r="K1235" s="31">
        <f>IF(COUNTIFS(Addendum!C:C,A1235,Addendum!D:D,IF(ISNUMBER(B1235),TEXT(B1235,"0000"),B1235),Addendum!G:G,"X")&gt;0,7%,0)</f>
        <v>0</v>
      </c>
      <c r="L1235" s="31">
        <f>IF(COUNTIFS(Addendum!C:C,A1235,Addendum!D:D,IF(ISNUMBER(B1235),TEXT(B1235,"0000"),B1235),Addendum!I:I,"X")&gt;0,10%,0)</f>
        <v>0</v>
      </c>
      <c r="M1235" s="34">
        <f t="shared" si="38"/>
        <v>0</v>
      </c>
      <c r="N1235" s="17">
        <f t="shared" si="39"/>
        <v>840</v>
      </c>
    </row>
    <row r="1236" spans="1:14" x14ac:dyDescent="0.25">
      <c r="A1236" s="14" t="s">
        <v>2156</v>
      </c>
      <c r="B1236" s="14">
        <v>19</v>
      </c>
      <c r="C1236" s="15" t="s">
        <v>2157</v>
      </c>
      <c r="D1236" s="14" t="s">
        <v>1745</v>
      </c>
      <c r="E1236" s="14" t="s">
        <v>1746</v>
      </c>
      <c r="F1236" s="17" t="s">
        <v>2995</v>
      </c>
      <c r="G1236" s="14">
        <v>88074</v>
      </c>
      <c r="H1236" s="14">
        <v>79266.600000000006</v>
      </c>
      <c r="I1236" s="31">
        <f>IF(COUNTIFS(Addendum!C:C,A1236,Addendum!D:D,IF(ISNUMBER(B1236),TEXT(B1236,"0000"),B1236),Addendum!E:E,"X")&gt;0,4%,0)</f>
        <v>0</v>
      </c>
      <c r="J1236" s="31">
        <f>IF(COUNTIFS(Addendum!C:C,A1236,Addendum!D:D,IF(ISNUMBER(B1236),TEXT(B1236,"0000"),B1236),Addendum!F:F,"X")&gt;0,2.5%,0)</f>
        <v>0</v>
      </c>
      <c r="K1236" s="31">
        <f>IF(COUNTIFS(Addendum!C:C,A1236,Addendum!D:D,IF(ISNUMBER(B1236),TEXT(B1236,"0000"),B1236),Addendum!G:G,"X")&gt;0,7%,0)</f>
        <v>0</v>
      </c>
      <c r="L1236" s="31">
        <f>IF(COUNTIFS(Addendum!C:C,A1236,Addendum!D:D,IF(ISNUMBER(B1236),TEXT(B1236,"0000"),B1236),Addendum!I:I,"X")&gt;0,10%,0)</f>
        <v>0</v>
      </c>
      <c r="M1236" s="34">
        <f t="shared" si="38"/>
        <v>0</v>
      </c>
      <c r="N1236" s="17">
        <f t="shared" si="39"/>
        <v>79266.600000000006</v>
      </c>
    </row>
    <row r="1237" spans="1:14" x14ac:dyDescent="0.25">
      <c r="A1237" s="14" t="s">
        <v>2156</v>
      </c>
      <c r="B1237" s="14">
        <v>1</v>
      </c>
      <c r="C1237" s="15" t="s">
        <v>2160</v>
      </c>
      <c r="D1237" s="14" t="s">
        <v>1752</v>
      </c>
      <c r="E1237" s="14" t="s">
        <v>1746</v>
      </c>
      <c r="F1237" s="17" t="s">
        <v>2993</v>
      </c>
      <c r="G1237" s="14">
        <v>660366</v>
      </c>
      <c r="H1237" s="14">
        <v>462256.2</v>
      </c>
      <c r="I1237" s="31">
        <f>IF(COUNTIFS(Addendum!C:C,A1237,Addendum!D:D,IF(ISNUMBER(B1237),TEXT(B1237,"0000"),B1237),Addendum!E:E,"X")&gt;0,4%,0)</f>
        <v>0</v>
      </c>
      <c r="J1237" s="31">
        <f>IF(COUNTIFS(Addendum!C:C,A1237,Addendum!D:D,IF(ISNUMBER(B1237),TEXT(B1237,"0000"),B1237),Addendum!F:F,"X")&gt;0,2.5%,0)</f>
        <v>0</v>
      </c>
      <c r="K1237" s="31">
        <f>IF(COUNTIFS(Addendum!C:C,A1237,Addendum!D:D,IF(ISNUMBER(B1237),TEXT(B1237,"0000"),B1237),Addendum!G:G,"X")&gt;0,7%,0)</f>
        <v>0</v>
      </c>
      <c r="L1237" s="31">
        <f>IF(COUNTIFS(Addendum!C:C,A1237,Addendum!D:D,IF(ISNUMBER(B1237),TEXT(B1237,"0000"),B1237),Addendum!I:I,"X")&gt;0,10%,0)</f>
        <v>0</v>
      </c>
      <c r="M1237" s="34">
        <f t="shared" si="38"/>
        <v>0</v>
      </c>
      <c r="N1237" s="17">
        <f t="shared" si="39"/>
        <v>462256.2</v>
      </c>
    </row>
    <row r="1238" spans="1:14" ht="30" x14ac:dyDescent="0.25">
      <c r="A1238" s="14" t="s">
        <v>2156</v>
      </c>
      <c r="B1238" s="14" t="s">
        <v>470</v>
      </c>
      <c r="C1238" s="15" t="s">
        <v>2161</v>
      </c>
      <c r="D1238" s="14" t="s">
        <v>1752</v>
      </c>
      <c r="E1238" s="14" t="s">
        <v>1746</v>
      </c>
      <c r="F1238" s="17" t="s">
        <v>2995</v>
      </c>
      <c r="G1238" s="14">
        <v>47250</v>
      </c>
      <c r="H1238" s="14">
        <v>42525</v>
      </c>
      <c r="I1238" s="31">
        <f>IF(COUNTIFS(Addendum!C:C,A1238,Addendum!D:D,IF(ISNUMBER(B1238),TEXT(B1238,"0000"),B1238),Addendum!E:E,"X")&gt;0,4%,0)</f>
        <v>0</v>
      </c>
      <c r="J1238" s="31">
        <f>IF(COUNTIFS(Addendum!C:C,A1238,Addendum!D:D,IF(ISNUMBER(B1238),TEXT(B1238,"0000"),B1238),Addendum!F:F,"X")&gt;0,2.5%,0)</f>
        <v>0</v>
      </c>
      <c r="K1238" s="31">
        <f>IF(COUNTIFS(Addendum!C:C,A1238,Addendum!D:D,IF(ISNUMBER(B1238),TEXT(B1238,"0000"),B1238),Addendum!G:G,"X")&gt;0,7%,0)</f>
        <v>0</v>
      </c>
      <c r="L1238" s="31">
        <f>IF(COUNTIFS(Addendum!C:C,A1238,Addendum!D:D,IF(ISNUMBER(B1238),TEXT(B1238,"0000"),B1238),Addendum!I:I,"X")&gt;0,10%,0)</f>
        <v>0</v>
      </c>
      <c r="M1238" s="34">
        <f t="shared" si="38"/>
        <v>0</v>
      </c>
      <c r="N1238" s="17">
        <f t="shared" si="39"/>
        <v>42525</v>
      </c>
    </row>
    <row r="1239" spans="1:14" x14ac:dyDescent="0.25">
      <c r="A1239" s="14" t="s">
        <v>2156</v>
      </c>
      <c r="B1239" s="14" t="s">
        <v>307</v>
      </c>
      <c r="C1239" s="15" t="s">
        <v>2158</v>
      </c>
      <c r="D1239" s="14" t="s">
        <v>1745</v>
      </c>
      <c r="E1239" s="14" t="s">
        <v>1747</v>
      </c>
      <c r="F1239" s="17" t="s">
        <v>2994</v>
      </c>
      <c r="G1239" s="14">
        <v>83880</v>
      </c>
      <c r="H1239" s="14">
        <v>58716</v>
      </c>
      <c r="I1239" s="31">
        <f>IF(COUNTIFS(Addendum!C:C,A1239,Addendum!D:D,IF(ISNUMBER(B1239),TEXT(B1239,"0000"),B1239),Addendum!E:E,"X")&gt;0,4%,0)</f>
        <v>0</v>
      </c>
      <c r="J1239" s="31">
        <f>IF(COUNTIFS(Addendum!C:C,A1239,Addendum!D:D,IF(ISNUMBER(B1239),TEXT(B1239,"0000"),B1239),Addendum!F:F,"X")&gt;0,2.5%,0)</f>
        <v>0</v>
      </c>
      <c r="K1239" s="31">
        <f>IF(COUNTIFS(Addendum!C:C,A1239,Addendum!D:D,IF(ISNUMBER(B1239),TEXT(B1239,"0000"),B1239),Addendum!G:G,"X")&gt;0,7%,0)</f>
        <v>0</v>
      </c>
      <c r="L1239" s="31">
        <f>IF(COUNTIFS(Addendum!C:C,A1239,Addendum!D:D,IF(ISNUMBER(B1239),TEXT(B1239,"0000"),B1239),Addendum!I:I,"X")&gt;0,10%,0)</f>
        <v>0</v>
      </c>
      <c r="M1239" s="34">
        <f t="shared" si="38"/>
        <v>0</v>
      </c>
      <c r="N1239" s="17">
        <f t="shared" si="39"/>
        <v>58716</v>
      </c>
    </row>
    <row r="1240" spans="1:14" x14ac:dyDescent="0.25">
      <c r="A1240" s="14" t="s">
        <v>2156</v>
      </c>
      <c r="B1240" s="14" t="s">
        <v>583</v>
      </c>
      <c r="C1240" s="15" t="s">
        <v>2162</v>
      </c>
      <c r="D1240" s="14" t="s">
        <v>1749</v>
      </c>
      <c r="E1240" s="14" t="s">
        <v>1746</v>
      </c>
      <c r="F1240" s="17" t="s">
        <v>2994</v>
      </c>
      <c r="G1240" s="14">
        <v>11532</v>
      </c>
      <c r="H1240" s="14">
        <v>8072.4</v>
      </c>
      <c r="I1240" s="31">
        <f>IF(COUNTIFS(Addendum!C:C,A1240,Addendum!D:D,IF(ISNUMBER(B1240),TEXT(B1240,"0000"),B1240),Addendum!E:E,"X")&gt;0,4%,0)</f>
        <v>0</v>
      </c>
      <c r="J1240" s="31">
        <f>IF(COUNTIFS(Addendum!C:C,A1240,Addendum!D:D,IF(ISNUMBER(B1240),TEXT(B1240,"0000"),B1240),Addendum!F:F,"X")&gt;0,2.5%,0)</f>
        <v>0</v>
      </c>
      <c r="K1240" s="31">
        <f>IF(COUNTIFS(Addendum!C:C,A1240,Addendum!D:D,IF(ISNUMBER(B1240),TEXT(B1240,"0000"),B1240),Addendum!G:G,"X")&gt;0,7%,0)</f>
        <v>0</v>
      </c>
      <c r="L1240" s="31">
        <f>IF(COUNTIFS(Addendum!C:C,A1240,Addendum!D:D,IF(ISNUMBER(B1240),TEXT(B1240,"0000"),B1240),Addendum!I:I,"X")&gt;0,10%,0)</f>
        <v>0</v>
      </c>
      <c r="M1240" s="34">
        <f t="shared" si="38"/>
        <v>0</v>
      </c>
      <c r="N1240" s="17">
        <f t="shared" si="39"/>
        <v>8072.4</v>
      </c>
    </row>
    <row r="1241" spans="1:14" ht="30" x14ac:dyDescent="0.25">
      <c r="A1241" s="14" t="s">
        <v>2156</v>
      </c>
      <c r="B1241" s="14" t="s">
        <v>470</v>
      </c>
      <c r="C1241" s="15" t="s">
        <v>2161</v>
      </c>
      <c r="D1241" s="14" t="s">
        <v>1745</v>
      </c>
      <c r="E1241" s="14" t="s">
        <v>1746</v>
      </c>
      <c r="F1241" s="17" t="s">
        <v>2995</v>
      </c>
      <c r="G1241" s="14">
        <v>15750</v>
      </c>
      <c r="H1241" s="14">
        <v>14175</v>
      </c>
      <c r="I1241" s="31">
        <f>IF(COUNTIFS(Addendum!C:C,A1241,Addendum!D:D,IF(ISNUMBER(B1241),TEXT(B1241,"0000"),B1241),Addendum!E:E,"X")&gt;0,4%,0)</f>
        <v>0</v>
      </c>
      <c r="J1241" s="31">
        <f>IF(COUNTIFS(Addendum!C:C,A1241,Addendum!D:D,IF(ISNUMBER(B1241),TEXT(B1241,"0000"),B1241),Addendum!F:F,"X")&gt;0,2.5%,0)</f>
        <v>0</v>
      </c>
      <c r="K1241" s="31">
        <f>IF(COUNTIFS(Addendum!C:C,A1241,Addendum!D:D,IF(ISNUMBER(B1241),TEXT(B1241,"0000"),B1241),Addendum!G:G,"X")&gt;0,7%,0)</f>
        <v>0</v>
      </c>
      <c r="L1241" s="31">
        <f>IF(COUNTIFS(Addendum!C:C,A1241,Addendum!D:D,IF(ISNUMBER(B1241),TEXT(B1241,"0000"),B1241),Addendum!I:I,"X")&gt;0,10%,0)</f>
        <v>0</v>
      </c>
      <c r="M1241" s="34">
        <f t="shared" si="38"/>
        <v>0</v>
      </c>
      <c r="N1241" s="17">
        <f t="shared" si="39"/>
        <v>14175</v>
      </c>
    </row>
    <row r="1242" spans="1:14" x14ac:dyDescent="0.25">
      <c r="A1242" s="14" t="s">
        <v>2156</v>
      </c>
      <c r="B1242" s="14">
        <v>19</v>
      </c>
      <c r="C1242" s="15" t="s">
        <v>2157</v>
      </c>
      <c r="D1242" s="14" t="s">
        <v>1749</v>
      </c>
      <c r="E1242" s="14" t="s">
        <v>1746</v>
      </c>
      <c r="F1242" s="17" t="s">
        <v>2995</v>
      </c>
      <c r="G1242" s="14">
        <v>8388</v>
      </c>
      <c r="H1242" s="14">
        <v>7549.2</v>
      </c>
      <c r="I1242" s="31">
        <f>IF(COUNTIFS(Addendum!C:C,A1242,Addendum!D:D,IF(ISNUMBER(B1242),TEXT(B1242,"0000"),B1242),Addendum!E:E,"X")&gt;0,4%,0)</f>
        <v>0</v>
      </c>
      <c r="J1242" s="31">
        <f>IF(COUNTIFS(Addendum!C:C,A1242,Addendum!D:D,IF(ISNUMBER(B1242),TEXT(B1242,"0000"),B1242),Addendum!F:F,"X")&gt;0,2.5%,0)</f>
        <v>0</v>
      </c>
      <c r="K1242" s="31">
        <f>IF(COUNTIFS(Addendum!C:C,A1242,Addendum!D:D,IF(ISNUMBER(B1242),TEXT(B1242,"0000"),B1242),Addendum!G:G,"X")&gt;0,7%,0)</f>
        <v>0</v>
      </c>
      <c r="L1242" s="31">
        <f>IF(COUNTIFS(Addendum!C:C,A1242,Addendum!D:D,IF(ISNUMBER(B1242),TEXT(B1242,"0000"),B1242),Addendum!I:I,"X")&gt;0,10%,0)</f>
        <v>0</v>
      </c>
      <c r="M1242" s="34">
        <f t="shared" si="38"/>
        <v>0</v>
      </c>
      <c r="N1242" s="17">
        <f t="shared" si="39"/>
        <v>7549.2</v>
      </c>
    </row>
    <row r="1243" spans="1:14" x14ac:dyDescent="0.25">
      <c r="A1243" s="14" t="s">
        <v>2156</v>
      </c>
      <c r="B1243" s="14">
        <v>2</v>
      </c>
      <c r="C1243" s="15" t="s">
        <v>2163</v>
      </c>
      <c r="D1243" s="14" t="s">
        <v>1752</v>
      </c>
      <c r="E1243" s="14" t="s">
        <v>1753</v>
      </c>
      <c r="F1243" s="17" t="s">
        <v>2993</v>
      </c>
      <c r="G1243" s="14">
        <v>89820</v>
      </c>
      <c r="H1243" s="14">
        <v>62874</v>
      </c>
      <c r="I1243" s="31">
        <f>IF(COUNTIFS(Addendum!C:C,A1243,Addendum!D:D,IF(ISNUMBER(B1243),TEXT(B1243,"0000"),B1243),Addendum!E:E,"X")&gt;0,4%,0)</f>
        <v>0</v>
      </c>
      <c r="J1243" s="31">
        <f>IF(COUNTIFS(Addendum!C:C,A1243,Addendum!D:D,IF(ISNUMBER(B1243),TEXT(B1243,"0000"),B1243),Addendum!F:F,"X")&gt;0,2.5%,0)</f>
        <v>0</v>
      </c>
      <c r="K1243" s="31">
        <f>IF(COUNTIFS(Addendum!C:C,A1243,Addendum!D:D,IF(ISNUMBER(B1243),TEXT(B1243,"0000"),B1243),Addendum!G:G,"X")&gt;0,7%,0)</f>
        <v>0</v>
      </c>
      <c r="L1243" s="31">
        <f>IF(COUNTIFS(Addendum!C:C,A1243,Addendum!D:D,IF(ISNUMBER(B1243),TEXT(B1243,"0000"),B1243),Addendum!I:I,"X")&gt;0,10%,0)</f>
        <v>0</v>
      </c>
      <c r="M1243" s="34">
        <f t="shared" si="38"/>
        <v>0</v>
      </c>
      <c r="N1243" s="17">
        <f t="shared" si="39"/>
        <v>62874</v>
      </c>
    </row>
    <row r="1244" spans="1:14" ht="30" x14ac:dyDescent="0.25">
      <c r="A1244" s="14" t="s">
        <v>2156</v>
      </c>
      <c r="B1244" s="14" t="s">
        <v>470</v>
      </c>
      <c r="C1244" s="15" t="s">
        <v>2161</v>
      </c>
      <c r="D1244" s="14" t="s">
        <v>1745</v>
      </c>
      <c r="E1244" s="14" t="s">
        <v>1747</v>
      </c>
      <c r="F1244" s="17" t="s">
        <v>2995</v>
      </c>
      <c r="G1244" s="14">
        <v>15000</v>
      </c>
      <c r="H1244" s="14">
        <v>13500</v>
      </c>
      <c r="I1244" s="31">
        <f>IF(COUNTIFS(Addendum!C:C,A1244,Addendum!D:D,IF(ISNUMBER(B1244),TEXT(B1244,"0000"),B1244),Addendum!E:E,"X")&gt;0,4%,0)</f>
        <v>0</v>
      </c>
      <c r="J1244" s="31">
        <f>IF(COUNTIFS(Addendum!C:C,A1244,Addendum!D:D,IF(ISNUMBER(B1244),TEXT(B1244,"0000"),B1244),Addendum!F:F,"X")&gt;0,2.5%,0)</f>
        <v>0</v>
      </c>
      <c r="K1244" s="31">
        <f>IF(COUNTIFS(Addendum!C:C,A1244,Addendum!D:D,IF(ISNUMBER(B1244),TEXT(B1244,"0000"),B1244),Addendum!G:G,"X")&gt;0,7%,0)</f>
        <v>0</v>
      </c>
      <c r="L1244" s="31">
        <f>IF(COUNTIFS(Addendum!C:C,A1244,Addendum!D:D,IF(ISNUMBER(B1244),TEXT(B1244,"0000"),B1244),Addendum!I:I,"X")&gt;0,10%,0)</f>
        <v>0</v>
      </c>
      <c r="M1244" s="34">
        <f t="shared" si="38"/>
        <v>0</v>
      </c>
      <c r="N1244" s="17">
        <f t="shared" si="39"/>
        <v>13500</v>
      </c>
    </row>
    <row r="1245" spans="1:14" ht="30" x14ac:dyDescent="0.25">
      <c r="A1245" s="14" t="s">
        <v>2156</v>
      </c>
      <c r="B1245" s="14" t="s">
        <v>263</v>
      </c>
      <c r="C1245" s="15" t="s">
        <v>2164</v>
      </c>
      <c r="D1245" s="14" t="s">
        <v>1745</v>
      </c>
      <c r="E1245" s="14" t="s">
        <v>1747</v>
      </c>
      <c r="F1245" s="17" t="s">
        <v>2994</v>
      </c>
      <c r="G1245" s="14">
        <v>16500</v>
      </c>
      <c r="H1245" s="14">
        <v>11550</v>
      </c>
      <c r="I1245" s="31">
        <f>IF(COUNTIFS(Addendum!C:C,A1245,Addendum!D:D,IF(ISNUMBER(B1245),TEXT(B1245,"0000"),B1245),Addendum!E:E,"X")&gt;0,4%,0)</f>
        <v>0</v>
      </c>
      <c r="J1245" s="31">
        <f>IF(COUNTIFS(Addendum!C:C,A1245,Addendum!D:D,IF(ISNUMBER(B1245),TEXT(B1245,"0000"),B1245),Addendum!F:F,"X")&gt;0,2.5%,0)</f>
        <v>0</v>
      </c>
      <c r="K1245" s="31">
        <f>IF(COUNTIFS(Addendum!C:C,A1245,Addendum!D:D,IF(ISNUMBER(B1245),TEXT(B1245,"0000"),B1245),Addendum!G:G,"X")&gt;0,7%,0)</f>
        <v>0</v>
      </c>
      <c r="L1245" s="31">
        <f>IF(COUNTIFS(Addendum!C:C,A1245,Addendum!D:D,IF(ISNUMBER(B1245),TEXT(B1245,"0000"),B1245),Addendum!I:I,"X")&gt;0,10%,0)</f>
        <v>0</v>
      </c>
      <c r="M1245" s="34">
        <f t="shared" si="38"/>
        <v>0</v>
      </c>
      <c r="N1245" s="17">
        <f t="shared" si="39"/>
        <v>11550</v>
      </c>
    </row>
    <row r="1246" spans="1:14" x14ac:dyDescent="0.25">
      <c r="A1246" s="14" t="s">
        <v>2156</v>
      </c>
      <c r="B1246" s="14">
        <v>19</v>
      </c>
      <c r="C1246" s="15" t="s">
        <v>2157</v>
      </c>
      <c r="D1246" s="14" t="s">
        <v>1752</v>
      </c>
      <c r="E1246" s="14" t="s">
        <v>1747</v>
      </c>
      <c r="F1246" s="17" t="s">
        <v>2995</v>
      </c>
      <c r="G1246" s="14">
        <v>251640</v>
      </c>
      <c r="H1246" s="14">
        <v>226476</v>
      </c>
      <c r="I1246" s="31">
        <f>IF(COUNTIFS(Addendum!C:C,A1246,Addendum!D:D,IF(ISNUMBER(B1246),TEXT(B1246,"0000"),B1246),Addendum!E:E,"X")&gt;0,4%,0)</f>
        <v>0</v>
      </c>
      <c r="J1246" s="31">
        <f>IF(COUNTIFS(Addendum!C:C,A1246,Addendum!D:D,IF(ISNUMBER(B1246),TEXT(B1246,"0000"),B1246),Addendum!F:F,"X")&gt;0,2.5%,0)</f>
        <v>0</v>
      </c>
      <c r="K1246" s="31">
        <f>IF(COUNTIFS(Addendum!C:C,A1246,Addendum!D:D,IF(ISNUMBER(B1246),TEXT(B1246,"0000"),B1246),Addendum!G:G,"X")&gt;0,7%,0)</f>
        <v>0</v>
      </c>
      <c r="L1246" s="31">
        <f>IF(COUNTIFS(Addendum!C:C,A1246,Addendum!D:D,IF(ISNUMBER(B1246),TEXT(B1246,"0000"),B1246),Addendum!I:I,"X")&gt;0,10%,0)</f>
        <v>0</v>
      </c>
      <c r="M1246" s="34">
        <f t="shared" si="38"/>
        <v>0</v>
      </c>
      <c r="N1246" s="17">
        <f t="shared" si="39"/>
        <v>226476</v>
      </c>
    </row>
    <row r="1247" spans="1:14" x14ac:dyDescent="0.25">
      <c r="A1247" s="14" t="s">
        <v>2156</v>
      </c>
      <c r="B1247" s="14">
        <v>1</v>
      </c>
      <c r="C1247" s="15" t="s">
        <v>2160</v>
      </c>
      <c r="D1247" s="14" t="s">
        <v>1745</v>
      </c>
      <c r="E1247" s="14" t="s">
        <v>1746</v>
      </c>
      <c r="F1247" s="17" t="s">
        <v>2993</v>
      </c>
      <c r="G1247" s="14">
        <v>220122</v>
      </c>
      <c r="H1247" s="14">
        <v>154085.4</v>
      </c>
      <c r="I1247" s="31">
        <f>IF(COUNTIFS(Addendum!C:C,A1247,Addendum!D:D,IF(ISNUMBER(B1247),TEXT(B1247,"0000"),B1247),Addendum!E:E,"X")&gt;0,4%,0)</f>
        <v>0</v>
      </c>
      <c r="J1247" s="31">
        <f>IF(COUNTIFS(Addendum!C:C,A1247,Addendum!D:D,IF(ISNUMBER(B1247),TEXT(B1247,"0000"),B1247),Addendum!F:F,"X")&gt;0,2.5%,0)</f>
        <v>0</v>
      </c>
      <c r="K1247" s="31">
        <f>IF(COUNTIFS(Addendum!C:C,A1247,Addendum!D:D,IF(ISNUMBER(B1247),TEXT(B1247,"0000"),B1247),Addendum!G:G,"X")&gt;0,7%,0)</f>
        <v>0</v>
      </c>
      <c r="L1247" s="31">
        <f>IF(COUNTIFS(Addendum!C:C,A1247,Addendum!D:D,IF(ISNUMBER(B1247),TEXT(B1247,"0000"),B1247),Addendum!I:I,"X")&gt;0,10%,0)</f>
        <v>0</v>
      </c>
      <c r="M1247" s="34">
        <f t="shared" si="38"/>
        <v>0</v>
      </c>
      <c r="N1247" s="17">
        <f t="shared" si="39"/>
        <v>154085.4</v>
      </c>
    </row>
    <row r="1248" spans="1:14" ht="30" x14ac:dyDescent="0.25">
      <c r="A1248" s="14" t="s">
        <v>2156</v>
      </c>
      <c r="B1248" s="14" t="s">
        <v>325</v>
      </c>
      <c r="C1248" s="15" t="s">
        <v>2159</v>
      </c>
      <c r="D1248" s="14" t="s">
        <v>1745</v>
      </c>
      <c r="E1248" s="14" t="s">
        <v>1746</v>
      </c>
      <c r="F1248" s="17" t="s">
        <v>2994</v>
      </c>
      <c r="G1248" s="14">
        <v>12600</v>
      </c>
      <c r="H1248" s="14">
        <v>8820</v>
      </c>
      <c r="I1248" s="31">
        <f>IF(COUNTIFS(Addendum!C:C,A1248,Addendum!D:D,IF(ISNUMBER(B1248),TEXT(B1248,"0000"),B1248),Addendum!E:E,"X")&gt;0,4%,0)</f>
        <v>0</v>
      </c>
      <c r="J1248" s="31">
        <f>IF(COUNTIFS(Addendum!C:C,A1248,Addendum!D:D,IF(ISNUMBER(B1248),TEXT(B1248,"0000"),B1248),Addendum!F:F,"X")&gt;0,2.5%,0)</f>
        <v>0</v>
      </c>
      <c r="K1248" s="31">
        <f>IF(COUNTIFS(Addendum!C:C,A1248,Addendum!D:D,IF(ISNUMBER(B1248),TEXT(B1248,"0000"),B1248),Addendum!G:G,"X")&gt;0,7%,0)</f>
        <v>0</v>
      </c>
      <c r="L1248" s="31">
        <f>IF(COUNTIFS(Addendum!C:C,A1248,Addendum!D:D,IF(ISNUMBER(B1248),TEXT(B1248,"0000"),B1248),Addendum!I:I,"X")&gt;0,10%,0)</f>
        <v>0</v>
      </c>
      <c r="M1248" s="34">
        <f t="shared" si="38"/>
        <v>0</v>
      </c>
      <c r="N1248" s="17">
        <f t="shared" si="39"/>
        <v>8820</v>
      </c>
    </row>
    <row r="1249" spans="1:14" x14ac:dyDescent="0.25">
      <c r="A1249" s="14" t="s">
        <v>2156</v>
      </c>
      <c r="B1249" s="14">
        <v>2</v>
      </c>
      <c r="C1249" s="15" t="s">
        <v>2163</v>
      </c>
      <c r="D1249" s="14" t="s">
        <v>1752</v>
      </c>
      <c r="E1249" s="14" t="s">
        <v>1746</v>
      </c>
      <c r="F1249" s="17" t="s">
        <v>2993</v>
      </c>
      <c r="G1249" s="14">
        <v>94311</v>
      </c>
      <c r="H1249" s="14">
        <v>66017.88</v>
      </c>
      <c r="I1249" s="31">
        <f>IF(COUNTIFS(Addendum!C:C,A1249,Addendum!D:D,IF(ISNUMBER(B1249),TEXT(B1249,"0000"),B1249),Addendum!E:E,"X")&gt;0,4%,0)</f>
        <v>0</v>
      </c>
      <c r="J1249" s="31">
        <f>IF(COUNTIFS(Addendum!C:C,A1249,Addendum!D:D,IF(ISNUMBER(B1249),TEXT(B1249,"0000"),B1249),Addendum!F:F,"X")&gt;0,2.5%,0)</f>
        <v>0</v>
      </c>
      <c r="K1249" s="31">
        <f>IF(COUNTIFS(Addendum!C:C,A1249,Addendum!D:D,IF(ISNUMBER(B1249),TEXT(B1249,"0000"),B1249),Addendum!G:G,"X")&gt;0,7%,0)</f>
        <v>0</v>
      </c>
      <c r="L1249" s="31">
        <f>IF(COUNTIFS(Addendum!C:C,A1249,Addendum!D:D,IF(ISNUMBER(B1249),TEXT(B1249,"0000"),B1249),Addendum!I:I,"X")&gt;0,10%,0)</f>
        <v>0</v>
      </c>
      <c r="M1249" s="34">
        <f t="shared" si="38"/>
        <v>0</v>
      </c>
      <c r="N1249" s="17">
        <f t="shared" si="39"/>
        <v>66017.88</v>
      </c>
    </row>
    <row r="1250" spans="1:14" ht="30" x14ac:dyDescent="0.25">
      <c r="A1250" s="14" t="s">
        <v>2156</v>
      </c>
      <c r="B1250" s="14" t="s">
        <v>263</v>
      </c>
      <c r="C1250" s="15" t="s">
        <v>2164</v>
      </c>
      <c r="D1250" s="14" t="s">
        <v>1749</v>
      </c>
      <c r="E1250" s="14" t="s">
        <v>1746</v>
      </c>
      <c r="F1250" s="17" t="s">
        <v>2994</v>
      </c>
      <c r="G1250" s="14">
        <v>1650</v>
      </c>
      <c r="H1250" s="14">
        <v>1155</v>
      </c>
      <c r="I1250" s="31">
        <f>IF(COUNTIFS(Addendum!C:C,A1250,Addendum!D:D,IF(ISNUMBER(B1250),TEXT(B1250,"0000"),B1250),Addendum!E:E,"X")&gt;0,4%,0)</f>
        <v>0</v>
      </c>
      <c r="J1250" s="31">
        <f>IF(COUNTIFS(Addendum!C:C,A1250,Addendum!D:D,IF(ISNUMBER(B1250),TEXT(B1250,"0000"),B1250),Addendum!F:F,"X")&gt;0,2.5%,0)</f>
        <v>0</v>
      </c>
      <c r="K1250" s="31">
        <f>IF(COUNTIFS(Addendum!C:C,A1250,Addendum!D:D,IF(ISNUMBER(B1250),TEXT(B1250,"0000"),B1250),Addendum!G:G,"X")&gt;0,7%,0)</f>
        <v>0</v>
      </c>
      <c r="L1250" s="31">
        <f>IF(COUNTIFS(Addendum!C:C,A1250,Addendum!D:D,IF(ISNUMBER(B1250),TEXT(B1250,"0000"),B1250),Addendum!I:I,"X")&gt;0,10%,0)</f>
        <v>0</v>
      </c>
      <c r="M1250" s="34">
        <f t="shared" si="38"/>
        <v>0</v>
      </c>
      <c r="N1250" s="17">
        <f t="shared" si="39"/>
        <v>1155</v>
      </c>
    </row>
    <row r="1251" spans="1:14" x14ac:dyDescent="0.25">
      <c r="A1251" s="14" t="s">
        <v>2156</v>
      </c>
      <c r="B1251" s="14">
        <v>1</v>
      </c>
      <c r="C1251" s="15" t="s">
        <v>2160</v>
      </c>
      <c r="D1251" s="14" t="s">
        <v>1749</v>
      </c>
      <c r="E1251" s="14" t="s">
        <v>1746</v>
      </c>
      <c r="F1251" s="17" t="s">
        <v>2993</v>
      </c>
      <c r="G1251" s="14">
        <v>20964</v>
      </c>
      <c r="H1251" s="14">
        <v>14674.8</v>
      </c>
      <c r="I1251" s="31">
        <f>IF(COUNTIFS(Addendum!C:C,A1251,Addendum!D:D,IF(ISNUMBER(B1251),TEXT(B1251,"0000"),B1251),Addendum!E:E,"X")&gt;0,4%,0)</f>
        <v>0</v>
      </c>
      <c r="J1251" s="31">
        <f>IF(COUNTIFS(Addendum!C:C,A1251,Addendum!D:D,IF(ISNUMBER(B1251),TEXT(B1251,"0000"),B1251),Addendum!F:F,"X")&gt;0,2.5%,0)</f>
        <v>0</v>
      </c>
      <c r="K1251" s="31">
        <f>IF(COUNTIFS(Addendum!C:C,A1251,Addendum!D:D,IF(ISNUMBER(B1251),TEXT(B1251,"0000"),B1251),Addendum!G:G,"X")&gt;0,7%,0)</f>
        <v>0</v>
      </c>
      <c r="L1251" s="31">
        <f>IF(COUNTIFS(Addendum!C:C,A1251,Addendum!D:D,IF(ISNUMBER(B1251),TEXT(B1251,"0000"),B1251),Addendum!I:I,"X")&gt;0,10%,0)</f>
        <v>0</v>
      </c>
      <c r="M1251" s="34">
        <f t="shared" si="38"/>
        <v>0</v>
      </c>
      <c r="N1251" s="17">
        <f t="shared" si="39"/>
        <v>14674.8</v>
      </c>
    </row>
    <row r="1252" spans="1:14" x14ac:dyDescent="0.25">
      <c r="A1252" s="14" t="s">
        <v>2156</v>
      </c>
      <c r="B1252" s="14">
        <v>2</v>
      </c>
      <c r="C1252" s="15" t="s">
        <v>2163</v>
      </c>
      <c r="D1252" s="14" t="s">
        <v>1752</v>
      </c>
      <c r="E1252" s="14" t="s">
        <v>1747</v>
      </c>
      <c r="F1252" s="17" t="s">
        <v>2993</v>
      </c>
      <c r="G1252" s="14">
        <v>89820</v>
      </c>
      <c r="H1252" s="14">
        <v>62874</v>
      </c>
      <c r="I1252" s="31">
        <f>IF(COUNTIFS(Addendum!C:C,A1252,Addendum!D:D,IF(ISNUMBER(B1252),TEXT(B1252,"0000"),B1252),Addendum!E:E,"X")&gt;0,4%,0)</f>
        <v>0</v>
      </c>
      <c r="J1252" s="31">
        <f>IF(COUNTIFS(Addendum!C:C,A1252,Addendum!D:D,IF(ISNUMBER(B1252),TEXT(B1252,"0000"),B1252),Addendum!F:F,"X")&gt;0,2.5%,0)</f>
        <v>0</v>
      </c>
      <c r="K1252" s="31">
        <f>IF(COUNTIFS(Addendum!C:C,A1252,Addendum!D:D,IF(ISNUMBER(B1252),TEXT(B1252,"0000"),B1252),Addendum!G:G,"X")&gt;0,7%,0)</f>
        <v>0</v>
      </c>
      <c r="L1252" s="31">
        <f>IF(COUNTIFS(Addendum!C:C,A1252,Addendum!D:D,IF(ISNUMBER(B1252),TEXT(B1252,"0000"),B1252),Addendum!I:I,"X")&gt;0,10%,0)</f>
        <v>0</v>
      </c>
      <c r="M1252" s="34">
        <f t="shared" si="38"/>
        <v>0</v>
      </c>
      <c r="N1252" s="17">
        <f t="shared" si="39"/>
        <v>62874</v>
      </c>
    </row>
    <row r="1253" spans="1:14" x14ac:dyDescent="0.25">
      <c r="A1253" s="14" t="s">
        <v>2156</v>
      </c>
      <c r="B1253" s="14" t="s">
        <v>583</v>
      </c>
      <c r="C1253" s="15" t="s">
        <v>2162</v>
      </c>
      <c r="D1253" s="14" t="s">
        <v>1745</v>
      </c>
      <c r="E1253" s="14" t="s">
        <v>1747</v>
      </c>
      <c r="F1253" s="17" t="s">
        <v>2994</v>
      </c>
      <c r="G1253" s="14">
        <v>115320</v>
      </c>
      <c r="H1253" s="14">
        <v>80724</v>
      </c>
      <c r="I1253" s="31">
        <f>IF(COUNTIFS(Addendum!C:C,A1253,Addendum!D:D,IF(ISNUMBER(B1253),TEXT(B1253,"0000"),B1253),Addendum!E:E,"X")&gt;0,4%,0)</f>
        <v>0</v>
      </c>
      <c r="J1253" s="31">
        <f>IF(COUNTIFS(Addendum!C:C,A1253,Addendum!D:D,IF(ISNUMBER(B1253),TEXT(B1253,"0000"),B1253),Addendum!F:F,"X")&gt;0,2.5%,0)</f>
        <v>0</v>
      </c>
      <c r="K1253" s="31">
        <f>IF(COUNTIFS(Addendum!C:C,A1253,Addendum!D:D,IF(ISNUMBER(B1253),TEXT(B1253,"0000"),B1253),Addendum!G:G,"X")&gt;0,7%,0)</f>
        <v>0</v>
      </c>
      <c r="L1253" s="31">
        <f>IF(COUNTIFS(Addendum!C:C,A1253,Addendum!D:D,IF(ISNUMBER(B1253),TEXT(B1253,"0000"),B1253),Addendum!I:I,"X")&gt;0,10%,0)</f>
        <v>0</v>
      </c>
      <c r="M1253" s="34">
        <f t="shared" si="38"/>
        <v>0</v>
      </c>
      <c r="N1253" s="17">
        <f t="shared" si="39"/>
        <v>80724</v>
      </c>
    </row>
    <row r="1254" spans="1:14" x14ac:dyDescent="0.25">
      <c r="A1254" s="14" t="s">
        <v>2156</v>
      </c>
      <c r="B1254" s="14">
        <v>1</v>
      </c>
      <c r="C1254" s="15" t="s">
        <v>2160</v>
      </c>
      <c r="D1254" s="14" t="s">
        <v>1745</v>
      </c>
      <c r="E1254" s="14" t="s">
        <v>1747</v>
      </c>
      <c r="F1254" s="17" t="s">
        <v>2993</v>
      </c>
      <c r="G1254" s="14">
        <v>209640</v>
      </c>
      <c r="H1254" s="14">
        <v>146748</v>
      </c>
      <c r="I1254" s="31">
        <f>IF(COUNTIFS(Addendum!C:C,A1254,Addendum!D:D,IF(ISNUMBER(B1254),TEXT(B1254,"0000"),B1254),Addendum!E:E,"X")&gt;0,4%,0)</f>
        <v>0</v>
      </c>
      <c r="J1254" s="31">
        <f>IF(COUNTIFS(Addendum!C:C,A1254,Addendum!D:D,IF(ISNUMBER(B1254),TEXT(B1254,"0000"),B1254),Addendum!F:F,"X")&gt;0,2.5%,0)</f>
        <v>0</v>
      </c>
      <c r="K1254" s="31">
        <f>IF(COUNTIFS(Addendum!C:C,A1254,Addendum!D:D,IF(ISNUMBER(B1254),TEXT(B1254,"0000"),B1254),Addendum!G:G,"X")&gt;0,7%,0)</f>
        <v>0</v>
      </c>
      <c r="L1254" s="31">
        <f>IF(COUNTIFS(Addendum!C:C,A1254,Addendum!D:D,IF(ISNUMBER(B1254),TEXT(B1254,"0000"),B1254),Addendum!I:I,"X")&gt;0,10%,0)</f>
        <v>0</v>
      </c>
      <c r="M1254" s="34">
        <f t="shared" si="38"/>
        <v>0</v>
      </c>
      <c r="N1254" s="17">
        <f t="shared" si="39"/>
        <v>146748</v>
      </c>
    </row>
    <row r="1255" spans="1:14" ht="30" x14ac:dyDescent="0.25">
      <c r="A1255" s="14" t="s">
        <v>2156</v>
      </c>
      <c r="B1255" s="14" t="s">
        <v>470</v>
      </c>
      <c r="C1255" s="15" t="s">
        <v>2161</v>
      </c>
      <c r="D1255" s="14" t="s">
        <v>1752</v>
      </c>
      <c r="E1255" s="14" t="s">
        <v>1747</v>
      </c>
      <c r="F1255" s="17" t="s">
        <v>2995</v>
      </c>
      <c r="G1255" s="14">
        <v>45000</v>
      </c>
      <c r="H1255" s="14">
        <v>40500</v>
      </c>
      <c r="I1255" s="31">
        <f>IF(COUNTIFS(Addendum!C:C,A1255,Addendum!D:D,IF(ISNUMBER(B1255),TEXT(B1255,"0000"),B1255),Addendum!E:E,"X")&gt;0,4%,0)</f>
        <v>0</v>
      </c>
      <c r="J1255" s="31">
        <f>IF(COUNTIFS(Addendum!C:C,A1255,Addendum!D:D,IF(ISNUMBER(B1255),TEXT(B1255,"0000"),B1255),Addendum!F:F,"X")&gt;0,2.5%,0)</f>
        <v>0</v>
      </c>
      <c r="K1255" s="31">
        <f>IF(COUNTIFS(Addendum!C:C,A1255,Addendum!D:D,IF(ISNUMBER(B1255),TEXT(B1255,"0000"),B1255),Addendum!G:G,"X")&gt;0,7%,0)</f>
        <v>0</v>
      </c>
      <c r="L1255" s="31">
        <f>IF(COUNTIFS(Addendum!C:C,A1255,Addendum!D:D,IF(ISNUMBER(B1255),TEXT(B1255,"0000"),B1255),Addendum!I:I,"X")&gt;0,10%,0)</f>
        <v>0</v>
      </c>
      <c r="M1255" s="34">
        <f t="shared" si="38"/>
        <v>0</v>
      </c>
      <c r="N1255" s="17">
        <f t="shared" si="39"/>
        <v>40500</v>
      </c>
    </row>
    <row r="1256" spans="1:14" x14ac:dyDescent="0.25">
      <c r="A1256" s="14" t="s">
        <v>2156</v>
      </c>
      <c r="B1256" s="14">
        <v>1</v>
      </c>
      <c r="C1256" s="15" t="s">
        <v>2160</v>
      </c>
      <c r="D1256" s="14" t="s">
        <v>1752</v>
      </c>
      <c r="E1256" s="14" t="s">
        <v>1753</v>
      </c>
      <c r="F1256" s="17" t="s">
        <v>2993</v>
      </c>
      <c r="G1256" s="14">
        <v>628920</v>
      </c>
      <c r="H1256" s="14">
        <v>440244</v>
      </c>
      <c r="I1256" s="31">
        <f>IF(COUNTIFS(Addendum!C:C,A1256,Addendum!D:D,IF(ISNUMBER(B1256),TEXT(B1256,"0000"),B1256),Addendum!E:E,"X")&gt;0,4%,0)</f>
        <v>0</v>
      </c>
      <c r="J1256" s="31">
        <f>IF(COUNTIFS(Addendum!C:C,A1256,Addendum!D:D,IF(ISNUMBER(B1256),TEXT(B1256,"0000"),B1256),Addendum!F:F,"X")&gt;0,2.5%,0)</f>
        <v>0</v>
      </c>
      <c r="K1256" s="31">
        <f>IF(COUNTIFS(Addendum!C:C,A1256,Addendum!D:D,IF(ISNUMBER(B1256),TEXT(B1256,"0000"),B1256),Addendum!G:G,"X")&gt;0,7%,0)</f>
        <v>0</v>
      </c>
      <c r="L1256" s="31">
        <f>IF(COUNTIFS(Addendum!C:C,A1256,Addendum!D:D,IF(ISNUMBER(B1256),TEXT(B1256,"0000"),B1256),Addendum!I:I,"X")&gt;0,10%,0)</f>
        <v>0</v>
      </c>
      <c r="M1256" s="34">
        <f t="shared" si="38"/>
        <v>0</v>
      </c>
      <c r="N1256" s="17">
        <f t="shared" si="39"/>
        <v>440244</v>
      </c>
    </row>
    <row r="1257" spans="1:14" x14ac:dyDescent="0.25">
      <c r="A1257" s="14" t="s">
        <v>2156</v>
      </c>
      <c r="B1257" s="14">
        <v>2</v>
      </c>
      <c r="C1257" s="15" t="s">
        <v>2163</v>
      </c>
      <c r="D1257" s="14" t="s">
        <v>1745</v>
      </c>
      <c r="E1257" s="14" t="s">
        <v>1746</v>
      </c>
      <c r="F1257" s="17" t="s">
        <v>2993</v>
      </c>
      <c r="G1257" s="14">
        <v>31437</v>
      </c>
      <c r="H1257" s="14">
        <v>22005.96</v>
      </c>
      <c r="I1257" s="31">
        <f>IF(COUNTIFS(Addendum!C:C,A1257,Addendum!D:D,IF(ISNUMBER(B1257),TEXT(B1257,"0000"),B1257),Addendum!E:E,"X")&gt;0,4%,0)</f>
        <v>0</v>
      </c>
      <c r="J1257" s="31">
        <f>IF(COUNTIFS(Addendum!C:C,A1257,Addendum!D:D,IF(ISNUMBER(B1257),TEXT(B1257,"0000"),B1257),Addendum!F:F,"X")&gt;0,2.5%,0)</f>
        <v>0</v>
      </c>
      <c r="K1257" s="31">
        <f>IF(COUNTIFS(Addendum!C:C,A1257,Addendum!D:D,IF(ISNUMBER(B1257),TEXT(B1257,"0000"),B1257),Addendum!G:G,"X")&gt;0,7%,0)</f>
        <v>0</v>
      </c>
      <c r="L1257" s="31">
        <f>IF(COUNTIFS(Addendum!C:C,A1257,Addendum!D:D,IF(ISNUMBER(B1257),TEXT(B1257,"0000"),B1257),Addendum!I:I,"X")&gt;0,10%,0)</f>
        <v>0</v>
      </c>
      <c r="M1257" s="34">
        <f t="shared" si="38"/>
        <v>0</v>
      </c>
      <c r="N1257" s="17">
        <f t="shared" si="39"/>
        <v>22005.96</v>
      </c>
    </row>
    <row r="1258" spans="1:14" x14ac:dyDescent="0.25">
      <c r="A1258" s="14" t="s">
        <v>2156</v>
      </c>
      <c r="B1258" s="14" t="s">
        <v>583</v>
      </c>
      <c r="C1258" s="15" t="s">
        <v>2162</v>
      </c>
      <c r="D1258" s="14" t="s">
        <v>1745</v>
      </c>
      <c r="E1258" s="14" t="s">
        <v>1746</v>
      </c>
      <c r="F1258" s="17" t="s">
        <v>2994</v>
      </c>
      <c r="G1258" s="14">
        <v>121086</v>
      </c>
      <c r="H1258" s="14">
        <v>84760.2</v>
      </c>
      <c r="I1258" s="31">
        <f>IF(COUNTIFS(Addendum!C:C,A1258,Addendum!D:D,IF(ISNUMBER(B1258),TEXT(B1258,"0000"),B1258),Addendum!E:E,"X")&gt;0,4%,0)</f>
        <v>0</v>
      </c>
      <c r="J1258" s="31">
        <f>IF(COUNTIFS(Addendum!C:C,A1258,Addendum!D:D,IF(ISNUMBER(B1258),TEXT(B1258,"0000"),B1258),Addendum!F:F,"X")&gt;0,2.5%,0)</f>
        <v>0</v>
      </c>
      <c r="K1258" s="31">
        <f>IF(COUNTIFS(Addendum!C:C,A1258,Addendum!D:D,IF(ISNUMBER(B1258),TEXT(B1258,"0000"),B1258),Addendum!G:G,"X")&gt;0,7%,0)</f>
        <v>0</v>
      </c>
      <c r="L1258" s="31">
        <f>IF(COUNTIFS(Addendum!C:C,A1258,Addendum!D:D,IF(ISNUMBER(B1258),TEXT(B1258,"0000"),B1258),Addendum!I:I,"X")&gt;0,10%,0)</f>
        <v>0</v>
      </c>
      <c r="M1258" s="34">
        <f t="shared" si="38"/>
        <v>0</v>
      </c>
      <c r="N1258" s="17">
        <f t="shared" si="39"/>
        <v>84760.2</v>
      </c>
    </row>
    <row r="1259" spans="1:14" x14ac:dyDescent="0.25">
      <c r="A1259" s="14" t="s">
        <v>2156</v>
      </c>
      <c r="B1259" s="14" t="s">
        <v>307</v>
      </c>
      <c r="C1259" s="15" t="s">
        <v>2158</v>
      </c>
      <c r="D1259" s="14" t="s">
        <v>1745</v>
      </c>
      <c r="E1259" s="14" t="s">
        <v>1746</v>
      </c>
      <c r="F1259" s="17" t="s">
        <v>2994</v>
      </c>
      <c r="G1259" s="14">
        <v>88074</v>
      </c>
      <c r="H1259" s="14">
        <v>61651.8</v>
      </c>
      <c r="I1259" s="31">
        <f>IF(COUNTIFS(Addendum!C:C,A1259,Addendum!D:D,IF(ISNUMBER(B1259),TEXT(B1259,"0000"),B1259),Addendum!E:E,"X")&gt;0,4%,0)</f>
        <v>0</v>
      </c>
      <c r="J1259" s="31">
        <f>IF(COUNTIFS(Addendum!C:C,A1259,Addendum!D:D,IF(ISNUMBER(B1259),TEXT(B1259,"0000"),B1259),Addendum!F:F,"X")&gt;0,2.5%,0)</f>
        <v>0</v>
      </c>
      <c r="K1259" s="31">
        <f>IF(COUNTIFS(Addendum!C:C,A1259,Addendum!D:D,IF(ISNUMBER(B1259),TEXT(B1259,"0000"),B1259),Addendum!G:G,"X")&gt;0,7%,0)</f>
        <v>0</v>
      </c>
      <c r="L1259" s="31">
        <f>IF(COUNTIFS(Addendum!C:C,A1259,Addendum!D:D,IF(ISNUMBER(B1259),TEXT(B1259,"0000"),B1259),Addendum!I:I,"X")&gt;0,10%,0)</f>
        <v>0</v>
      </c>
      <c r="M1259" s="34">
        <f t="shared" si="38"/>
        <v>0</v>
      </c>
      <c r="N1259" s="17">
        <f t="shared" si="39"/>
        <v>61651.8</v>
      </c>
    </row>
    <row r="1260" spans="1:14" ht="30" x14ac:dyDescent="0.25">
      <c r="A1260" s="14" t="s">
        <v>2156</v>
      </c>
      <c r="B1260" s="14" t="s">
        <v>470</v>
      </c>
      <c r="C1260" s="15" t="s">
        <v>2161</v>
      </c>
      <c r="D1260" s="14" t="s">
        <v>1749</v>
      </c>
      <c r="E1260" s="14" t="s">
        <v>1746</v>
      </c>
      <c r="F1260" s="17" t="s">
        <v>2995</v>
      </c>
      <c r="G1260" s="14">
        <v>1500</v>
      </c>
      <c r="H1260" s="14">
        <v>1350</v>
      </c>
      <c r="I1260" s="31">
        <f>IF(COUNTIFS(Addendum!C:C,A1260,Addendum!D:D,IF(ISNUMBER(B1260),TEXT(B1260,"0000"),B1260),Addendum!E:E,"X")&gt;0,4%,0)</f>
        <v>0</v>
      </c>
      <c r="J1260" s="31">
        <f>IF(COUNTIFS(Addendum!C:C,A1260,Addendum!D:D,IF(ISNUMBER(B1260),TEXT(B1260,"0000"),B1260),Addendum!F:F,"X")&gt;0,2.5%,0)</f>
        <v>0</v>
      </c>
      <c r="K1260" s="31">
        <f>IF(COUNTIFS(Addendum!C:C,A1260,Addendum!D:D,IF(ISNUMBER(B1260),TEXT(B1260,"0000"),B1260),Addendum!G:G,"X")&gt;0,7%,0)</f>
        <v>0</v>
      </c>
      <c r="L1260" s="31">
        <f>IF(COUNTIFS(Addendum!C:C,A1260,Addendum!D:D,IF(ISNUMBER(B1260),TEXT(B1260,"0000"),B1260),Addendum!I:I,"X")&gt;0,10%,0)</f>
        <v>0</v>
      </c>
      <c r="M1260" s="34">
        <f t="shared" si="38"/>
        <v>0</v>
      </c>
      <c r="N1260" s="17">
        <f t="shared" si="39"/>
        <v>1350</v>
      </c>
    </row>
    <row r="1261" spans="1:14" x14ac:dyDescent="0.25">
      <c r="A1261" s="14" t="s">
        <v>2156</v>
      </c>
      <c r="B1261" s="14">
        <v>1</v>
      </c>
      <c r="C1261" s="15" t="s">
        <v>2160</v>
      </c>
      <c r="D1261" s="14" t="s">
        <v>1752</v>
      </c>
      <c r="E1261" s="14" t="s">
        <v>1747</v>
      </c>
      <c r="F1261" s="17" t="s">
        <v>2993</v>
      </c>
      <c r="G1261" s="14">
        <v>628920</v>
      </c>
      <c r="H1261" s="14">
        <v>440244</v>
      </c>
      <c r="I1261" s="31">
        <f>IF(COUNTIFS(Addendum!C:C,A1261,Addendum!D:D,IF(ISNUMBER(B1261),TEXT(B1261,"0000"),B1261),Addendum!E:E,"X")&gt;0,4%,0)</f>
        <v>0</v>
      </c>
      <c r="J1261" s="31">
        <f>IF(COUNTIFS(Addendum!C:C,A1261,Addendum!D:D,IF(ISNUMBER(B1261),TEXT(B1261,"0000"),B1261),Addendum!F:F,"X")&gt;0,2.5%,0)</f>
        <v>0</v>
      </c>
      <c r="K1261" s="31">
        <f>IF(COUNTIFS(Addendum!C:C,A1261,Addendum!D:D,IF(ISNUMBER(B1261),TEXT(B1261,"0000"),B1261),Addendum!G:G,"X")&gt;0,7%,0)</f>
        <v>0</v>
      </c>
      <c r="L1261" s="31">
        <f>IF(COUNTIFS(Addendum!C:C,A1261,Addendum!D:D,IF(ISNUMBER(B1261),TEXT(B1261,"0000"),B1261),Addendum!I:I,"X")&gt;0,10%,0)</f>
        <v>0</v>
      </c>
      <c r="M1261" s="34">
        <f t="shared" si="38"/>
        <v>0</v>
      </c>
      <c r="N1261" s="17">
        <f t="shared" si="39"/>
        <v>440244</v>
      </c>
    </row>
    <row r="1262" spans="1:14" ht="30" x14ac:dyDescent="0.25">
      <c r="A1262" s="14" t="s">
        <v>2156</v>
      </c>
      <c r="B1262" s="14" t="s">
        <v>263</v>
      </c>
      <c r="C1262" s="15" t="s">
        <v>2164</v>
      </c>
      <c r="D1262" s="14" t="s">
        <v>1745</v>
      </c>
      <c r="E1262" s="14" t="s">
        <v>1746</v>
      </c>
      <c r="F1262" s="17" t="s">
        <v>2994</v>
      </c>
      <c r="G1262" s="14">
        <v>17325</v>
      </c>
      <c r="H1262" s="14">
        <v>12127.56</v>
      </c>
      <c r="I1262" s="31">
        <f>IF(COUNTIFS(Addendum!C:C,A1262,Addendum!D:D,IF(ISNUMBER(B1262),TEXT(B1262,"0000"),B1262),Addendum!E:E,"X")&gt;0,4%,0)</f>
        <v>0</v>
      </c>
      <c r="J1262" s="31">
        <f>IF(COUNTIFS(Addendum!C:C,A1262,Addendum!D:D,IF(ISNUMBER(B1262),TEXT(B1262,"0000"),B1262),Addendum!F:F,"X")&gt;0,2.5%,0)</f>
        <v>0</v>
      </c>
      <c r="K1262" s="31">
        <f>IF(COUNTIFS(Addendum!C:C,A1262,Addendum!D:D,IF(ISNUMBER(B1262),TEXT(B1262,"0000"),B1262),Addendum!G:G,"X")&gt;0,7%,0)</f>
        <v>0</v>
      </c>
      <c r="L1262" s="31">
        <f>IF(COUNTIFS(Addendum!C:C,A1262,Addendum!D:D,IF(ISNUMBER(B1262),TEXT(B1262,"0000"),B1262),Addendum!I:I,"X")&gt;0,10%,0)</f>
        <v>0</v>
      </c>
      <c r="M1262" s="34">
        <f t="shared" si="38"/>
        <v>0</v>
      </c>
      <c r="N1262" s="17">
        <f t="shared" si="39"/>
        <v>12127.56</v>
      </c>
    </row>
    <row r="1263" spans="1:14" x14ac:dyDescent="0.25">
      <c r="A1263" s="14" t="s">
        <v>2156</v>
      </c>
      <c r="B1263" s="14">
        <v>2</v>
      </c>
      <c r="C1263" s="15" t="s">
        <v>2163</v>
      </c>
      <c r="D1263" s="14" t="s">
        <v>1749</v>
      </c>
      <c r="E1263" s="14" t="s">
        <v>1746</v>
      </c>
      <c r="F1263" s="17" t="s">
        <v>2993</v>
      </c>
      <c r="G1263" s="14">
        <v>2994</v>
      </c>
      <c r="H1263" s="14">
        <v>2095.8000000000002</v>
      </c>
      <c r="I1263" s="31">
        <f>IF(COUNTIFS(Addendum!C:C,A1263,Addendum!D:D,IF(ISNUMBER(B1263),TEXT(B1263,"0000"),B1263),Addendum!E:E,"X")&gt;0,4%,0)</f>
        <v>0</v>
      </c>
      <c r="J1263" s="31">
        <f>IF(COUNTIFS(Addendum!C:C,A1263,Addendum!D:D,IF(ISNUMBER(B1263),TEXT(B1263,"0000"),B1263),Addendum!F:F,"X")&gt;0,2.5%,0)</f>
        <v>0</v>
      </c>
      <c r="K1263" s="31">
        <f>IF(COUNTIFS(Addendum!C:C,A1263,Addendum!D:D,IF(ISNUMBER(B1263),TEXT(B1263,"0000"),B1263),Addendum!G:G,"X")&gt;0,7%,0)</f>
        <v>0</v>
      </c>
      <c r="L1263" s="31">
        <f>IF(COUNTIFS(Addendum!C:C,A1263,Addendum!D:D,IF(ISNUMBER(B1263),TEXT(B1263,"0000"),B1263),Addendum!I:I,"X")&gt;0,10%,0)</f>
        <v>0</v>
      </c>
      <c r="M1263" s="34">
        <f t="shared" si="38"/>
        <v>0</v>
      </c>
      <c r="N1263" s="17">
        <f t="shared" si="39"/>
        <v>2095.8000000000002</v>
      </c>
    </row>
    <row r="1264" spans="1:14" x14ac:dyDescent="0.25">
      <c r="A1264" s="14" t="s">
        <v>2156</v>
      </c>
      <c r="B1264" s="14">
        <v>19</v>
      </c>
      <c r="C1264" s="15" t="s">
        <v>2157</v>
      </c>
      <c r="D1264" s="14" t="s">
        <v>1745</v>
      </c>
      <c r="E1264" s="14" t="s">
        <v>1747</v>
      </c>
      <c r="F1264" s="17" t="s">
        <v>2995</v>
      </c>
      <c r="G1264" s="14">
        <v>83880</v>
      </c>
      <c r="H1264" s="14">
        <v>75492</v>
      </c>
      <c r="I1264" s="31">
        <f>IF(COUNTIFS(Addendum!C:C,A1264,Addendum!D:D,IF(ISNUMBER(B1264),TEXT(B1264,"0000"),B1264),Addendum!E:E,"X")&gt;0,4%,0)</f>
        <v>0</v>
      </c>
      <c r="J1264" s="31">
        <f>IF(COUNTIFS(Addendum!C:C,A1264,Addendum!D:D,IF(ISNUMBER(B1264),TEXT(B1264,"0000"),B1264),Addendum!F:F,"X")&gt;0,2.5%,0)</f>
        <v>0</v>
      </c>
      <c r="K1264" s="31">
        <f>IF(COUNTIFS(Addendum!C:C,A1264,Addendum!D:D,IF(ISNUMBER(B1264),TEXT(B1264,"0000"),B1264),Addendum!G:G,"X")&gt;0,7%,0)</f>
        <v>0</v>
      </c>
      <c r="L1264" s="31">
        <f>IF(COUNTIFS(Addendum!C:C,A1264,Addendum!D:D,IF(ISNUMBER(B1264),TEXT(B1264,"0000"),B1264),Addendum!I:I,"X")&gt;0,10%,0)</f>
        <v>0</v>
      </c>
      <c r="M1264" s="34">
        <f t="shared" si="38"/>
        <v>0</v>
      </c>
      <c r="N1264" s="17">
        <f t="shared" si="39"/>
        <v>75492</v>
      </c>
    </row>
    <row r="1265" spans="1:14" ht="30" x14ac:dyDescent="0.25">
      <c r="A1265" s="14" t="s">
        <v>2156</v>
      </c>
      <c r="B1265" s="14" t="s">
        <v>325</v>
      </c>
      <c r="C1265" s="15" t="s">
        <v>2159</v>
      </c>
      <c r="D1265" s="14" t="s">
        <v>1745</v>
      </c>
      <c r="E1265" s="14" t="s">
        <v>1747</v>
      </c>
      <c r="F1265" s="17" t="s">
        <v>2994</v>
      </c>
      <c r="G1265" s="14">
        <v>12000</v>
      </c>
      <c r="H1265" s="14">
        <v>8400</v>
      </c>
      <c r="I1265" s="31">
        <f>IF(COUNTIFS(Addendum!C:C,A1265,Addendum!D:D,IF(ISNUMBER(B1265),TEXT(B1265,"0000"),B1265),Addendum!E:E,"X")&gt;0,4%,0)</f>
        <v>0</v>
      </c>
      <c r="J1265" s="31">
        <f>IF(COUNTIFS(Addendum!C:C,A1265,Addendum!D:D,IF(ISNUMBER(B1265),TEXT(B1265,"0000"),B1265),Addendum!F:F,"X")&gt;0,2.5%,0)</f>
        <v>0</v>
      </c>
      <c r="K1265" s="31">
        <f>IF(COUNTIFS(Addendum!C:C,A1265,Addendum!D:D,IF(ISNUMBER(B1265),TEXT(B1265,"0000"),B1265),Addendum!G:G,"X")&gt;0,7%,0)</f>
        <v>0</v>
      </c>
      <c r="L1265" s="31">
        <f>IF(COUNTIFS(Addendum!C:C,A1265,Addendum!D:D,IF(ISNUMBER(B1265),TEXT(B1265,"0000"),B1265),Addendum!I:I,"X")&gt;0,10%,0)</f>
        <v>0</v>
      </c>
      <c r="M1265" s="34">
        <f t="shared" si="38"/>
        <v>0</v>
      </c>
      <c r="N1265" s="17">
        <f t="shared" si="39"/>
        <v>8400</v>
      </c>
    </row>
    <row r="1266" spans="1:14" x14ac:dyDescent="0.25">
      <c r="A1266" s="14" t="s">
        <v>2156</v>
      </c>
      <c r="B1266" s="14">
        <v>2</v>
      </c>
      <c r="C1266" s="15" t="s">
        <v>2163</v>
      </c>
      <c r="D1266" s="14" t="s">
        <v>1745</v>
      </c>
      <c r="E1266" s="14" t="s">
        <v>1747</v>
      </c>
      <c r="F1266" s="17" t="s">
        <v>2993</v>
      </c>
      <c r="G1266" s="14">
        <v>29940</v>
      </c>
      <c r="H1266" s="14">
        <v>20958</v>
      </c>
      <c r="I1266" s="31">
        <f>IF(COUNTIFS(Addendum!C:C,A1266,Addendum!D:D,IF(ISNUMBER(B1266),TEXT(B1266,"0000"),B1266),Addendum!E:E,"X")&gt;0,4%,0)</f>
        <v>0</v>
      </c>
      <c r="J1266" s="31">
        <f>IF(COUNTIFS(Addendum!C:C,A1266,Addendum!D:D,IF(ISNUMBER(B1266),TEXT(B1266,"0000"),B1266),Addendum!F:F,"X")&gt;0,2.5%,0)</f>
        <v>0</v>
      </c>
      <c r="K1266" s="31">
        <f>IF(COUNTIFS(Addendum!C:C,A1266,Addendum!D:D,IF(ISNUMBER(B1266),TEXT(B1266,"0000"),B1266),Addendum!G:G,"X")&gt;0,7%,0)</f>
        <v>0</v>
      </c>
      <c r="L1266" s="31">
        <f>IF(COUNTIFS(Addendum!C:C,A1266,Addendum!D:D,IF(ISNUMBER(B1266),TEXT(B1266,"0000"),B1266),Addendum!I:I,"X")&gt;0,10%,0)</f>
        <v>0</v>
      </c>
      <c r="M1266" s="34">
        <f t="shared" si="38"/>
        <v>0</v>
      </c>
      <c r="N1266" s="17">
        <f t="shared" si="39"/>
        <v>20958</v>
      </c>
    </row>
    <row r="1267" spans="1:14" x14ac:dyDescent="0.25">
      <c r="A1267" s="14" t="s">
        <v>2165</v>
      </c>
      <c r="B1267" s="14">
        <v>2</v>
      </c>
      <c r="C1267" s="15" t="s">
        <v>2166</v>
      </c>
      <c r="D1267" s="14" t="s">
        <v>1745</v>
      </c>
      <c r="E1267" s="14" t="s">
        <v>1746</v>
      </c>
      <c r="F1267" s="17" t="s">
        <v>2993</v>
      </c>
      <c r="G1267" s="14">
        <v>314496</v>
      </c>
      <c r="H1267" s="14">
        <v>220147.20000000001</v>
      </c>
      <c r="I1267" s="31">
        <f>IF(COUNTIFS(Addendum!C:C,A1267,Addendum!D:D,IF(ISNUMBER(B1267),TEXT(B1267,"0000"),B1267),Addendum!E:E,"X")&gt;0,4%,0)</f>
        <v>0</v>
      </c>
      <c r="J1267" s="31">
        <f>IF(COUNTIFS(Addendum!C:C,A1267,Addendum!D:D,IF(ISNUMBER(B1267),TEXT(B1267,"0000"),B1267),Addendum!F:F,"X")&gt;0,2.5%,0)</f>
        <v>0</v>
      </c>
      <c r="K1267" s="31">
        <f>IF(COUNTIFS(Addendum!C:C,A1267,Addendum!D:D,IF(ISNUMBER(B1267),TEXT(B1267,"0000"),B1267),Addendum!G:G,"X")&gt;0,7%,0)</f>
        <v>0</v>
      </c>
      <c r="L1267" s="31">
        <f>IF(COUNTIFS(Addendum!C:C,A1267,Addendum!D:D,IF(ISNUMBER(B1267),TEXT(B1267,"0000"),B1267),Addendum!I:I,"X")&gt;0,10%,0)</f>
        <v>0</v>
      </c>
      <c r="M1267" s="34">
        <f t="shared" si="38"/>
        <v>0</v>
      </c>
      <c r="N1267" s="17">
        <f t="shared" si="39"/>
        <v>220147.20000000001</v>
      </c>
    </row>
    <row r="1268" spans="1:14" x14ac:dyDescent="0.25">
      <c r="A1268" s="14" t="s">
        <v>2165</v>
      </c>
      <c r="B1268" s="14">
        <v>2</v>
      </c>
      <c r="C1268" s="15" t="s">
        <v>2166</v>
      </c>
      <c r="D1268" s="14" t="s">
        <v>1745</v>
      </c>
      <c r="E1268" s="14" t="s">
        <v>1747</v>
      </c>
      <c r="F1268" s="17" t="s">
        <v>2993</v>
      </c>
      <c r="G1268" s="14">
        <v>299520</v>
      </c>
      <c r="H1268" s="14">
        <v>209664</v>
      </c>
      <c r="I1268" s="31">
        <f>IF(COUNTIFS(Addendum!C:C,A1268,Addendum!D:D,IF(ISNUMBER(B1268),TEXT(B1268,"0000"),B1268),Addendum!E:E,"X")&gt;0,4%,0)</f>
        <v>0</v>
      </c>
      <c r="J1268" s="31">
        <f>IF(COUNTIFS(Addendum!C:C,A1268,Addendum!D:D,IF(ISNUMBER(B1268),TEXT(B1268,"0000"),B1268),Addendum!F:F,"X")&gt;0,2.5%,0)</f>
        <v>0</v>
      </c>
      <c r="K1268" s="31">
        <f>IF(COUNTIFS(Addendum!C:C,A1268,Addendum!D:D,IF(ISNUMBER(B1268),TEXT(B1268,"0000"),B1268),Addendum!G:G,"X")&gt;0,7%,0)</f>
        <v>0</v>
      </c>
      <c r="L1268" s="31">
        <f>IF(COUNTIFS(Addendum!C:C,A1268,Addendum!D:D,IF(ISNUMBER(B1268),TEXT(B1268,"0000"),B1268),Addendum!I:I,"X")&gt;0,10%,0)</f>
        <v>0</v>
      </c>
      <c r="M1268" s="34">
        <f t="shared" si="38"/>
        <v>0</v>
      </c>
      <c r="N1268" s="17">
        <f t="shared" si="39"/>
        <v>209664</v>
      </c>
    </row>
    <row r="1269" spans="1:14" x14ac:dyDescent="0.25">
      <c r="A1269" s="14" t="s">
        <v>2165</v>
      </c>
      <c r="B1269" s="14">
        <v>8</v>
      </c>
      <c r="C1269" s="15" t="s">
        <v>2167</v>
      </c>
      <c r="D1269" s="14" t="s">
        <v>1749</v>
      </c>
      <c r="E1269" s="14" t="s">
        <v>1766</v>
      </c>
      <c r="F1269" s="17" t="s">
        <v>2995</v>
      </c>
      <c r="G1269" s="14">
        <v>0</v>
      </c>
      <c r="H1269" s="14">
        <v>0</v>
      </c>
      <c r="I1269" s="31">
        <f>IF(COUNTIFS(Addendum!C:C,A1269,Addendum!D:D,IF(ISNUMBER(B1269),TEXT(B1269,"0000"),B1269),Addendum!E:E,"X")&gt;0,4%,0)</f>
        <v>0</v>
      </c>
      <c r="J1269" s="31">
        <f>IF(COUNTIFS(Addendum!C:C,A1269,Addendum!D:D,IF(ISNUMBER(B1269),TEXT(B1269,"0000"),B1269),Addendum!F:F,"X")&gt;0,2.5%,0)</f>
        <v>0</v>
      </c>
      <c r="K1269" s="31">
        <f>IF(COUNTIFS(Addendum!C:C,A1269,Addendum!D:D,IF(ISNUMBER(B1269),TEXT(B1269,"0000"),B1269),Addendum!G:G,"X")&gt;0,7%,0)</f>
        <v>0</v>
      </c>
      <c r="L1269" s="31">
        <f>IF(COUNTIFS(Addendum!C:C,A1269,Addendum!D:D,IF(ISNUMBER(B1269),TEXT(B1269,"0000"),B1269),Addendum!I:I,"X")&gt;0,10%,0)</f>
        <v>0</v>
      </c>
      <c r="M1269" s="34">
        <f t="shared" si="38"/>
        <v>0</v>
      </c>
      <c r="N1269" s="17">
        <f t="shared" si="39"/>
        <v>0</v>
      </c>
    </row>
    <row r="1270" spans="1:14" x14ac:dyDescent="0.25">
      <c r="A1270" s="14" t="s">
        <v>2165</v>
      </c>
      <c r="B1270" s="14">
        <v>3</v>
      </c>
      <c r="C1270" s="15" t="s">
        <v>2167</v>
      </c>
      <c r="D1270" s="14" t="s">
        <v>1745</v>
      </c>
      <c r="E1270" s="14" t="s">
        <v>1746</v>
      </c>
      <c r="F1270" s="17" t="s">
        <v>2995</v>
      </c>
      <c r="G1270" s="14">
        <v>125811</v>
      </c>
      <c r="H1270" s="14">
        <v>113230</v>
      </c>
      <c r="I1270" s="31">
        <f>IF(COUNTIFS(Addendum!C:C,A1270,Addendum!D:D,IF(ISNUMBER(B1270),TEXT(B1270,"0000"),B1270),Addendum!E:E,"X")&gt;0,4%,0)</f>
        <v>0</v>
      </c>
      <c r="J1270" s="31">
        <f>IF(COUNTIFS(Addendum!C:C,A1270,Addendum!D:D,IF(ISNUMBER(B1270),TEXT(B1270,"0000"),B1270),Addendum!F:F,"X")&gt;0,2.5%,0)</f>
        <v>0</v>
      </c>
      <c r="K1270" s="31">
        <f>IF(COUNTIFS(Addendum!C:C,A1270,Addendum!D:D,IF(ISNUMBER(B1270),TEXT(B1270,"0000"),B1270),Addendum!G:G,"X")&gt;0,7%,0)</f>
        <v>0</v>
      </c>
      <c r="L1270" s="31">
        <f>IF(COUNTIFS(Addendum!C:C,A1270,Addendum!D:D,IF(ISNUMBER(B1270),TEXT(B1270,"0000"),B1270),Addendum!I:I,"X")&gt;0,10%,0)</f>
        <v>0</v>
      </c>
      <c r="M1270" s="34">
        <f t="shared" si="38"/>
        <v>0</v>
      </c>
      <c r="N1270" s="17">
        <f t="shared" si="39"/>
        <v>113230</v>
      </c>
    </row>
    <row r="1271" spans="1:14" x14ac:dyDescent="0.25">
      <c r="A1271" s="14" t="s">
        <v>2165</v>
      </c>
      <c r="B1271" s="14">
        <v>4</v>
      </c>
      <c r="C1271" s="15" t="s">
        <v>2168</v>
      </c>
      <c r="D1271" s="14" t="s">
        <v>1745</v>
      </c>
      <c r="E1271" s="14" t="s">
        <v>1747</v>
      </c>
      <c r="F1271" s="17" t="s">
        <v>2994</v>
      </c>
      <c r="G1271" s="14">
        <v>119820</v>
      </c>
      <c r="H1271" s="14">
        <v>83874</v>
      </c>
      <c r="I1271" s="31">
        <f>IF(COUNTIFS(Addendum!C:C,A1271,Addendum!D:D,IF(ISNUMBER(B1271),TEXT(B1271,"0000"),B1271),Addendum!E:E,"X")&gt;0,4%,0)</f>
        <v>0</v>
      </c>
      <c r="J1271" s="31">
        <f>IF(COUNTIFS(Addendum!C:C,A1271,Addendum!D:D,IF(ISNUMBER(B1271),TEXT(B1271,"0000"),B1271),Addendum!F:F,"X")&gt;0,2.5%,0)</f>
        <v>0</v>
      </c>
      <c r="K1271" s="31">
        <f>IF(COUNTIFS(Addendum!C:C,A1271,Addendum!D:D,IF(ISNUMBER(B1271),TEXT(B1271,"0000"),B1271),Addendum!G:G,"X")&gt;0,7%,0)</f>
        <v>0</v>
      </c>
      <c r="L1271" s="31">
        <f>IF(COUNTIFS(Addendum!C:C,A1271,Addendum!D:D,IF(ISNUMBER(B1271),TEXT(B1271,"0000"),B1271),Addendum!I:I,"X")&gt;0,10%,0)</f>
        <v>0</v>
      </c>
      <c r="M1271" s="34">
        <f t="shared" si="38"/>
        <v>0</v>
      </c>
      <c r="N1271" s="17">
        <f t="shared" si="39"/>
        <v>83874</v>
      </c>
    </row>
    <row r="1272" spans="1:14" x14ac:dyDescent="0.25">
      <c r="A1272" s="14" t="s">
        <v>2165</v>
      </c>
      <c r="B1272" s="14">
        <v>4</v>
      </c>
      <c r="C1272" s="15" t="s">
        <v>2168</v>
      </c>
      <c r="D1272" s="14" t="s">
        <v>1749</v>
      </c>
      <c r="E1272" s="14" t="s">
        <v>1746</v>
      </c>
      <c r="F1272" s="17" t="s">
        <v>2994</v>
      </c>
      <c r="G1272" s="14">
        <v>11982</v>
      </c>
      <c r="H1272" s="14">
        <v>8387.4</v>
      </c>
      <c r="I1272" s="31">
        <f>IF(COUNTIFS(Addendum!C:C,A1272,Addendum!D:D,IF(ISNUMBER(B1272),TEXT(B1272,"0000"),B1272),Addendum!E:E,"X")&gt;0,4%,0)</f>
        <v>0</v>
      </c>
      <c r="J1272" s="31">
        <f>IF(COUNTIFS(Addendum!C:C,A1272,Addendum!D:D,IF(ISNUMBER(B1272),TEXT(B1272,"0000"),B1272),Addendum!F:F,"X")&gt;0,2.5%,0)</f>
        <v>0</v>
      </c>
      <c r="K1272" s="31">
        <f>IF(COUNTIFS(Addendum!C:C,A1272,Addendum!D:D,IF(ISNUMBER(B1272),TEXT(B1272,"0000"),B1272),Addendum!G:G,"X")&gt;0,7%,0)</f>
        <v>0</v>
      </c>
      <c r="L1272" s="31">
        <f>IF(COUNTIFS(Addendum!C:C,A1272,Addendum!D:D,IF(ISNUMBER(B1272),TEXT(B1272,"0000"),B1272),Addendum!I:I,"X")&gt;0,10%,0)</f>
        <v>0</v>
      </c>
      <c r="M1272" s="34">
        <f t="shared" si="38"/>
        <v>0</v>
      </c>
      <c r="N1272" s="17">
        <f t="shared" si="39"/>
        <v>8387.4</v>
      </c>
    </row>
    <row r="1273" spans="1:14" x14ac:dyDescent="0.25">
      <c r="A1273" s="14" t="s">
        <v>2165</v>
      </c>
      <c r="B1273" s="14">
        <v>5</v>
      </c>
      <c r="C1273" s="15" t="s">
        <v>2169</v>
      </c>
      <c r="D1273" s="14" t="s">
        <v>1745</v>
      </c>
      <c r="E1273" s="14" t="s">
        <v>1746</v>
      </c>
      <c r="F1273" s="17" t="s">
        <v>2994</v>
      </c>
      <c r="G1273" s="14">
        <v>172935</v>
      </c>
      <c r="H1273" s="14">
        <v>121054.6</v>
      </c>
      <c r="I1273" s="31">
        <f>IF(COUNTIFS(Addendum!C:C,A1273,Addendum!D:D,IF(ISNUMBER(B1273),TEXT(B1273,"0000"),B1273),Addendum!E:E,"X")&gt;0,4%,0)</f>
        <v>0</v>
      </c>
      <c r="J1273" s="31">
        <f>IF(COUNTIFS(Addendum!C:C,A1273,Addendum!D:D,IF(ISNUMBER(B1273),TEXT(B1273,"0000"),B1273),Addendum!F:F,"X")&gt;0,2.5%,0)</f>
        <v>0</v>
      </c>
      <c r="K1273" s="31">
        <f>IF(COUNTIFS(Addendum!C:C,A1273,Addendum!D:D,IF(ISNUMBER(B1273),TEXT(B1273,"0000"),B1273),Addendum!G:G,"X")&gt;0,7%,0)</f>
        <v>0</v>
      </c>
      <c r="L1273" s="31">
        <f>IF(COUNTIFS(Addendum!C:C,A1273,Addendum!D:D,IF(ISNUMBER(B1273),TEXT(B1273,"0000"),B1273),Addendum!I:I,"X")&gt;0,10%,0)</f>
        <v>0</v>
      </c>
      <c r="M1273" s="34">
        <f t="shared" si="38"/>
        <v>0</v>
      </c>
      <c r="N1273" s="17">
        <f t="shared" si="39"/>
        <v>121054.6</v>
      </c>
    </row>
    <row r="1274" spans="1:14" x14ac:dyDescent="0.25">
      <c r="A1274" s="14" t="s">
        <v>2165</v>
      </c>
      <c r="B1274" s="14">
        <v>5</v>
      </c>
      <c r="C1274" s="15" t="s">
        <v>2169</v>
      </c>
      <c r="D1274" s="14" t="s">
        <v>1749</v>
      </c>
      <c r="E1274" s="14" t="s">
        <v>1746</v>
      </c>
      <c r="F1274" s="17" t="s">
        <v>2994</v>
      </c>
      <c r="G1274" s="14">
        <v>16470</v>
      </c>
      <c r="H1274" s="14">
        <v>11529</v>
      </c>
      <c r="I1274" s="31">
        <f>IF(COUNTIFS(Addendum!C:C,A1274,Addendum!D:D,IF(ISNUMBER(B1274),TEXT(B1274,"0000"),B1274),Addendum!E:E,"X")&gt;0,4%,0)</f>
        <v>0</v>
      </c>
      <c r="J1274" s="31">
        <f>IF(COUNTIFS(Addendum!C:C,A1274,Addendum!D:D,IF(ISNUMBER(B1274),TEXT(B1274,"0000"),B1274),Addendum!F:F,"X")&gt;0,2.5%,0)</f>
        <v>0</v>
      </c>
      <c r="K1274" s="31">
        <f>IF(COUNTIFS(Addendum!C:C,A1274,Addendum!D:D,IF(ISNUMBER(B1274),TEXT(B1274,"0000"),B1274),Addendum!G:G,"X")&gt;0,7%,0)</f>
        <v>0</v>
      </c>
      <c r="L1274" s="31">
        <f>IF(COUNTIFS(Addendum!C:C,A1274,Addendum!D:D,IF(ISNUMBER(B1274),TEXT(B1274,"0000"),B1274),Addendum!I:I,"X")&gt;0,10%,0)</f>
        <v>0</v>
      </c>
      <c r="M1274" s="34">
        <f t="shared" si="38"/>
        <v>0</v>
      </c>
      <c r="N1274" s="17">
        <f t="shared" si="39"/>
        <v>11529</v>
      </c>
    </row>
    <row r="1275" spans="1:14" x14ac:dyDescent="0.25">
      <c r="A1275" s="14" t="s">
        <v>2165</v>
      </c>
      <c r="B1275" s="14">
        <v>2</v>
      </c>
      <c r="C1275" s="15" t="s">
        <v>2166</v>
      </c>
      <c r="D1275" s="14" t="s">
        <v>1749</v>
      </c>
      <c r="E1275" s="14" t="s">
        <v>1746</v>
      </c>
      <c r="F1275" s="17" t="s">
        <v>2993</v>
      </c>
      <c r="G1275" s="14">
        <v>29952</v>
      </c>
      <c r="H1275" s="14">
        <v>20966.400000000001</v>
      </c>
      <c r="I1275" s="31">
        <f>IF(COUNTIFS(Addendum!C:C,A1275,Addendum!D:D,IF(ISNUMBER(B1275),TEXT(B1275,"0000"),B1275),Addendum!E:E,"X")&gt;0,4%,0)</f>
        <v>0</v>
      </c>
      <c r="J1275" s="31">
        <f>IF(COUNTIFS(Addendum!C:C,A1275,Addendum!D:D,IF(ISNUMBER(B1275),TEXT(B1275,"0000"),B1275),Addendum!F:F,"X")&gt;0,2.5%,0)</f>
        <v>0</v>
      </c>
      <c r="K1275" s="31">
        <f>IF(COUNTIFS(Addendum!C:C,A1275,Addendum!D:D,IF(ISNUMBER(B1275),TEXT(B1275,"0000"),B1275),Addendum!G:G,"X")&gt;0,7%,0)</f>
        <v>0</v>
      </c>
      <c r="L1275" s="31">
        <f>IF(COUNTIFS(Addendum!C:C,A1275,Addendum!D:D,IF(ISNUMBER(B1275),TEXT(B1275,"0000"),B1275),Addendum!I:I,"X")&gt;0,10%,0)</f>
        <v>0</v>
      </c>
      <c r="M1275" s="34">
        <f t="shared" si="38"/>
        <v>0</v>
      </c>
      <c r="N1275" s="17">
        <f t="shared" si="39"/>
        <v>20966.400000000001</v>
      </c>
    </row>
    <row r="1276" spans="1:14" x14ac:dyDescent="0.25">
      <c r="A1276" s="14" t="s">
        <v>2165</v>
      </c>
      <c r="B1276" s="14">
        <v>2</v>
      </c>
      <c r="C1276" s="15" t="s">
        <v>2166</v>
      </c>
      <c r="D1276" s="14" t="s">
        <v>1752</v>
      </c>
      <c r="E1276" s="14" t="s">
        <v>1746</v>
      </c>
      <c r="F1276" s="17" t="s">
        <v>2993</v>
      </c>
      <c r="G1276" s="14">
        <v>943488</v>
      </c>
      <c r="H1276" s="14">
        <v>660441.59999999998</v>
      </c>
      <c r="I1276" s="31">
        <f>IF(COUNTIFS(Addendum!C:C,A1276,Addendum!D:D,IF(ISNUMBER(B1276),TEXT(B1276,"0000"),B1276),Addendum!E:E,"X")&gt;0,4%,0)</f>
        <v>0</v>
      </c>
      <c r="J1276" s="31">
        <f>IF(COUNTIFS(Addendum!C:C,A1276,Addendum!D:D,IF(ISNUMBER(B1276),TEXT(B1276,"0000"),B1276),Addendum!F:F,"X")&gt;0,2.5%,0)</f>
        <v>0</v>
      </c>
      <c r="K1276" s="31">
        <f>IF(COUNTIFS(Addendum!C:C,A1276,Addendum!D:D,IF(ISNUMBER(B1276),TEXT(B1276,"0000"),B1276),Addendum!G:G,"X")&gt;0,7%,0)</f>
        <v>0</v>
      </c>
      <c r="L1276" s="31">
        <f>IF(COUNTIFS(Addendum!C:C,A1276,Addendum!D:D,IF(ISNUMBER(B1276),TEXT(B1276,"0000"),B1276),Addendum!I:I,"X")&gt;0,10%,0)</f>
        <v>0</v>
      </c>
      <c r="M1276" s="34">
        <f t="shared" si="38"/>
        <v>0</v>
      </c>
      <c r="N1276" s="17">
        <f t="shared" si="39"/>
        <v>660441.59999999998</v>
      </c>
    </row>
    <row r="1277" spans="1:14" x14ac:dyDescent="0.25">
      <c r="A1277" s="14" t="s">
        <v>2165</v>
      </c>
      <c r="B1277" s="14">
        <v>7</v>
      </c>
      <c r="C1277" s="15" t="s">
        <v>2168</v>
      </c>
      <c r="D1277" s="14" t="s">
        <v>1749</v>
      </c>
      <c r="E1277" s="14" t="s">
        <v>1766</v>
      </c>
      <c r="F1277" s="17" t="s">
        <v>2994</v>
      </c>
      <c r="G1277" s="14">
        <v>0</v>
      </c>
      <c r="H1277" s="14">
        <v>0</v>
      </c>
      <c r="I1277" s="31">
        <f>IF(COUNTIFS(Addendum!C:C,A1277,Addendum!D:D,IF(ISNUMBER(B1277),TEXT(B1277,"0000"),B1277),Addendum!E:E,"X")&gt;0,4%,0)</f>
        <v>0</v>
      </c>
      <c r="J1277" s="31">
        <f>IF(COUNTIFS(Addendum!C:C,A1277,Addendum!D:D,IF(ISNUMBER(B1277),TEXT(B1277,"0000"),B1277),Addendum!F:F,"X")&gt;0,2.5%,0)</f>
        <v>0</v>
      </c>
      <c r="K1277" s="31">
        <f>IF(COUNTIFS(Addendum!C:C,A1277,Addendum!D:D,IF(ISNUMBER(B1277),TEXT(B1277,"0000"),B1277),Addendum!G:G,"X")&gt;0,7%,0)</f>
        <v>0</v>
      </c>
      <c r="L1277" s="31">
        <f>IF(COUNTIFS(Addendum!C:C,A1277,Addendum!D:D,IF(ISNUMBER(B1277),TEXT(B1277,"0000"),B1277),Addendum!I:I,"X")&gt;0,10%,0)</f>
        <v>0</v>
      </c>
      <c r="M1277" s="34">
        <f t="shared" si="38"/>
        <v>0</v>
      </c>
      <c r="N1277" s="17">
        <f t="shared" si="39"/>
        <v>0</v>
      </c>
    </row>
    <row r="1278" spans="1:14" x14ac:dyDescent="0.25">
      <c r="A1278" s="14" t="s">
        <v>2165</v>
      </c>
      <c r="B1278" s="14">
        <v>3</v>
      </c>
      <c r="C1278" s="15" t="s">
        <v>2167</v>
      </c>
      <c r="D1278" s="14" t="s">
        <v>1749</v>
      </c>
      <c r="E1278" s="14" t="s">
        <v>1746</v>
      </c>
      <c r="F1278" s="17" t="s">
        <v>2995</v>
      </c>
      <c r="G1278" s="14">
        <v>11982</v>
      </c>
      <c r="H1278" s="14">
        <v>10783.8</v>
      </c>
      <c r="I1278" s="31">
        <f>IF(COUNTIFS(Addendum!C:C,A1278,Addendum!D:D,IF(ISNUMBER(B1278),TEXT(B1278,"0000"),B1278),Addendum!E:E,"X")&gt;0,4%,0)</f>
        <v>0</v>
      </c>
      <c r="J1278" s="31">
        <f>IF(COUNTIFS(Addendum!C:C,A1278,Addendum!D:D,IF(ISNUMBER(B1278),TEXT(B1278,"0000"),B1278),Addendum!F:F,"X")&gt;0,2.5%,0)</f>
        <v>0</v>
      </c>
      <c r="K1278" s="31">
        <f>IF(COUNTIFS(Addendum!C:C,A1278,Addendum!D:D,IF(ISNUMBER(B1278),TEXT(B1278,"0000"),B1278),Addendum!G:G,"X")&gt;0,7%,0)</f>
        <v>0</v>
      </c>
      <c r="L1278" s="31">
        <f>IF(COUNTIFS(Addendum!C:C,A1278,Addendum!D:D,IF(ISNUMBER(B1278),TEXT(B1278,"0000"),B1278),Addendum!I:I,"X")&gt;0,10%,0)</f>
        <v>0</v>
      </c>
      <c r="M1278" s="34">
        <f t="shared" si="38"/>
        <v>0</v>
      </c>
      <c r="N1278" s="17">
        <f t="shared" si="39"/>
        <v>10783.8</v>
      </c>
    </row>
    <row r="1279" spans="1:14" x14ac:dyDescent="0.25">
      <c r="A1279" s="14" t="s">
        <v>2165</v>
      </c>
      <c r="B1279" s="14">
        <v>3</v>
      </c>
      <c r="C1279" s="15" t="s">
        <v>2167</v>
      </c>
      <c r="D1279" s="14" t="s">
        <v>1745</v>
      </c>
      <c r="E1279" s="14" t="s">
        <v>1747</v>
      </c>
      <c r="F1279" s="17" t="s">
        <v>2995</v>
      </c>
      <c r="G1279" s="14">
        <v>119820</v>
      </c>
      <c r="H1279" s="14">
        <v>107838</v>
      </c>
      <c r="I1279" s="31">
        <f>IF(COUNTIFS(Addendum!C:C,A1279,Addendum!D:D,IF(ISNUMBER(B1279),TEXT(B1279,"0000"),B1279),Addendum!E:E,"X")&gt;0,4%,0)</f>
        <v>0</v>
      </c>
      <c r="J1279" s="31">
        <f>IF(COUNTIFS(Addendum!C:C,A1279,Addendum!D:D,IF(ISNUMBER(B1279),TEXT(B1279,"0000"),B1279),Addendum!F:F,"X")&gt;0,2.5%,0)</f>
        <v>0</v>
      </c>
      <c r="K1279" s="31">
        <f>IF(COUNTIFS(Addendum!C:C,A1279,Addendum!D:D,IF(ISNUMBER(B1279),TEXT(B1279,"0000"),B1279),Addendum!G:G,"X")&gt;0,7%,0)</f>
        <v>0</v>
      </c>
      <c r="L1279" s="31">
        <f>IF(COUNTIFS(Addendum!C:C,A1279,Addendum!D:D,IF(ISNUMBER(B1279),TEXT(B1279,"0000"),B1279),Addendum!I:I,"X")&gt;0,10%,0)</f>
        <v>0</v>
      </c>
      <c r="M1279" s="34">
        <f t="shared" si="38"/>
        <v>0</v>
      </c>
      <c r="N1279" s="17">
        <f t="shared" si="39"/>
        <v>107838</v>
      </c>
    </row>
    <row r="1280" spans="1:14" x14ac:dyDescent="0.25">
      <c r="A1280" s="14" t="s">
        <v>2165</v>
      </c>
      <c r="B1280" s="14">
        <v>2</v>
      </c>
      <c r="C1280" s="15" t="s">
        <v>2166</v>
      </c>
      <c r="D1280" s="14" t="s">
        <v>1752</v>
      </c>
      <c r="E1280" s="14" t="s">
        <v>1753</v>
      </c>
      <c r="F1280" s="17" t="s">
        <v>2993</v>
      </c>
      <c r="G1280" s="14">
        <v>898560</v>
      </c>
      <c r="H1280" s="14">
        <v>628992</v>
      </c>
      <c r="I1280" s="31">
        <f>IF(COUNTIFS(Addendum!C:C,A1280,Addendum!D:D,IF(ISNUMBER(B1280),TEXT(B1280,"0000"),B1280),Addendum!E:E,"X")&gt;0,4%,0)</f>
        <v>0</v>
      </c>
      <c r="J1280" s="31">
        <f>IF(COUNTIFS(Addendum!C:C,A1280,Addendum!D:D,IF(ISNUMBER(B1280),TEXT(B1280,"0000"),B1280),Addendum!F:F,"X")&gt;0,2.5%,0)</f>
        <v>0</v>
      </c>
      <c r="K1280" s="31">
        <f>IF(COUNTIFS(Addendum!C:C,A1280,Addendum!D:D,IF(ISNUMBER(B1280),TEXT(B1280,"0000"),B1280),Addendum!G:G,"X")&gt;0,7%,0)</f>
        <v>0</v>
      </c>
      <c r="L1280" s="31">
        <f>IF(COUNTIFS(Addendum!C:C,A1280,Addendum!D:D,IF(ISNUMBER(B1280),TEXT(B1280,"0000"),B1280),Addendum!I:I,"X")&gt;0,10%,0)</f>
        <v>0</v>
      </c>
      <c r="M1280" s="34">
        <f t="shared" si="38"/>
        <v>0</v>
      </c>
      <c r="N1280" s="17">
        <f t="shared" si="39"/>
        <v>628992</v>
      </c>
    </row>
    <row r="1281" spans="1:14" x14ac:dyDescent="0.25">
      <c r="A1281" s="14" t="s">
        <v>2165</v>
      </c>
      <c r="B1281" s="14">
        <v>2</v>
      </c>
      <c r="C1281" s="15" t="s">
        <v>2166</v>
      </c>
      <c r="D1281" s="14" t="s">
        <v>1752</v>
      </c>
      <c r="E1281" s="14" t="s">
        <v>1747</v>
      </c>
      <c r="F1281" s="17" t="s">
        <v>2993</v>
      </c>
      <c r="G1281" s="14">
        <v>898560</v>
      </c>
      <c r="H1281" s="14">
        <v>628992</v>
      </c>
      <c r="I1281" s="31">
        <f>IF(COUNTIFS(Addendum!C:C,A1281,Addendum!D:D,IF(ISNUMBER(B1281),TEXT(B1281,"0000"),B1281),Addendum!E:E,"X")&gt;0,4%,0)</f>
        <v>0</v>
      </c>
      <c r="J1281" s="31">
        <f>IF(COUNTIFS(Addendum!C:C,A1281,Addendum!D:D,IF(ISNUMBER(B1281),TEXT(B1281,"0000"),B1281),Addendum!F:F,"X")&gt;0,2.5%,0)</f>
        <v>0</v>
      </c>
      <c r="K1281" s="31">
        <f>IF(COUNTIFS(Addendum!C:C,A1281,Addendum!D:D,IF(ISNUMBER(B1281),TEXT(B1281,"0000"),B1281),Addendum!G:G,"X")&gt;0,7%,0)</f>
        <v>0</v>
      </c>
      <c r="L1281" s="31">
        <f>IF(COUNTIFS(Addendum!C:C,A1281,Addendum!D:D,IF(ISNUMBER(B1281),TEXT(B1281,"0000"),B1281),Addendum!I:I,"X")&gt;0,10%,0)</f>
        <v>0</v>
      </c>
      <c r="M1281" s="34">
        <f t="shared" si="38"/>
        <v>0</v>
      </c>
      <c r="N1281" s="17">
        <f t="shared" si="39"/>
        <v>628992</v>
      </c>
    </row>
    <row r="1282" spans="1:14" x14ac:dyDescent="0.25">
      <c r="A1282" s="14" t="s">
        <v>2165</v>
      </c>
      <c r="B1282" s="14">
        <v>4</v>
      </c>
      <c r="C1282" s="15" t="s">
        <v>2168</v>
      </c>
      <c r="D1282" s="14" t="s">
        <v>1745</v>
      </c>
      <c r="E1282" s="14" t="s">
        <v>1746</v>
      </c>
      <c r="F1282" s="17" t="s">
        <v>2994</v>
      </c>
      <c r="G1282" s="14">
        <v>125811</v>
      </c>
      <c r="H1282" s="14">
        <v>88067.76</v>
      </c>
      <c r="I1282" s="31">
        <f>IF(COUNTIFS(Addendum!C:C,A1282,Addendum!D:D,IF(ISNUMBER(B1282),TEXT(B1282,"0000"),B1282),Addendum!E:E,"X")&gt;0,4%,0)</f>
        <v>0</v>
      </c>
      <c r="J1282" s="31">
        <f>IF(COUNTIFS(Addendum!C:C,A1282,Addendum!D:D,IF(ISNUMBER(B1282),TEXT(B1282,"0000"),B1282),Addendum!F:F,"X")&gt;0,2.5%,0)</f>
        <v>0</v>
      </c>
      <c r="K1282" s="31">
        <f>IF(COUNTIFS(Addendum!C:C,A1282,Addendum!D:D,IF(ISNUMBER(B1282),TEXT(B1282,"0000"),B1282),Addendum!G:G,"X")&gt;0,7%,0)</f>
        <v>0</v>
      </c>
      <c r="L1282" s="31">
        <f>IF(COUNTIFS(Addendum!C:C,A1282,Addendum!D:D,IF(ISNUMBER(B1282),TEXT(B1282,"0000"),B1282),Addendum!I:I,"X")&gt;0,10%,0)</f>
        <v>0</v>
      </c>
      <c r="M1282" s="34">
        <f t="shared" si="38"/>
        <v>0</v>
      </c>
      <c r="N1282" s="17">
        <f t="shared" si="39"/>
        <v>88067.76</v>
      </c>
    </row>
    <row r="1283" spans="1:14" x14ac:dyDescent="0.25">
      <c r="A1283" s="14" t="s">
        <v>2165</v>
      </c>
      <c r="B1283" s="14">
        <v>6</v>
      </c>
      <c r="C1283" s="15" t="s">
        <v>2169</v>
      </c>
      <c r="D1283" s="14" t="s">
        <v>1749</v>
      </c>
      <c r="E1283" s="14" t="s">
        <v>1766</v>
      </c>
      <c r="F1283" s="17" t="s">
        <v>2994</v>
      </c>
      <c r="G1283" s="14">
        <v>0</v>
      </c>
      <c r="H1283" s="14">
        <v>0</v>
      </c>
      <c r="I1283" s="31">
        <f>IF(COUNTIFS(Addendum!C:C,A1283,Addendum!D:D,IF(ISNUMBER(B1283),TEXT(B1283,"0000"),B1283),Addendum!E:E,"X")&gt;0,4%,0)</f>
        <v>0</v>
      </c>
      <c r="J1283" s="31">
        <f>IF(COUNTIFS(Addendum!C:C,A1283,Addendum!D:D,IF(ISNUMBER(B1283),TEXT(B1283,"0000"),B1283),Addendum!F:F,"X")&gt;0,2.5%,0)</f>
        <v>0</v>
      </c>
      <c r="K1283" s="31">
        <f>IF(COUNTIFS(Addendum!C:C,A1283,Addendum!D:D,IF(ISNUMBER(B1283),TEXT(B1283,"0000"),B1283),Addendum!G:G,"X")&gt;0,7%,0)</f>
        <v>0</v>
      </c>
      <c r="L1283" s="31">
        <f>IF(COUNTIFS(Addendum!C:C,A1283,Addendum!D:D,IF(ISNUMBER(B1283),TEXT(B1283,"0000"),B1283),Addendum!I:I,"X")&gt;0,10%,0)</f>
        <v>0</v>
      </c>
      <c r="M1283" s="34">
        <f t="shared" si="38"/>
        <v>0</v>
      </c>
      <c r="N1283" s="17">
        <f t="shared" si="39"/>
        <v>0</v>
      </c>
    </row>
    <row r="1284" spans="1:14" x14ac:dyDescent="0.25">
      <c r="A1284" s="14" t="s">
        <v>2165</v>
      </c>
      <c r="B1284" s="14">
        <v>1</v>
      </c>
      <c r="C1284" s="15" t="s">
        <v>2166</v>
      </c>
      <c r="D1284" s="14" t="s">
        <v>1749</v>
      </c>
      <c r="E1284" s="14" t="s">
        <v>1766</v>
      </c>
      <c r="F1284" s="17" t="s">
        <v>2993</v>
      </c>
      <c r="G1284" s="14">
        <v>0</v>
      </c>
      <c r="H1284" s="14">
        <v>0</v>
      </c>
      <c r="I1284" s="31">
        <f>IF(COUNTIFS(Addendum!C:C,A1284,Addendum!D:D,IF(ISNUMBER(B1284),TEXT(B1284,"0000"),B1284),Addendum!E:E,"X")&gt;0,4%,0)</f>
        <v>0</v>
      </c>
      <c r="J1284" s="31">
        <f>IF(COUNTIFS(Addendum!C:C,A1284,Addendum!D:D,IF(ISNUMBER(B1284),TEXT(B1284,"0000"),B1284),Addendum!F:F,"X")&gt;0,2.5%,0)</f>
        <v>0</v>
      </c>
      <c r="K1284" s="31">
        <f>IF(COUNTIFS(Addendum!C:C,A1284,Addendum!D:D,IF(ISNUMBER(B1284),TEXT(B1284,"0000"),B1284),Addendum!G:G,"X")&gt;0,7%,0)</f>
        <v>0</v>
      </c>
      <c r="L1284" s="31">
        <f>IF(COUNTIFS(Addendum!C:C,A1284,Addendum!D:D,IF(ISNUMBER(B1284),TEXT(B1284,"0000"),B1284),Addendum!I:I,"X")&gt;0,10%,0)</f>
        <v>0</v>
      </c>
      <c r="M1284" s="34">
        <f t="shared" ref="M1284:M1347" si="40">IF(AND(I1284=0%,J1284=0%,K1284=0%,L1284=0%),0%,
IF(OR(TRIM(E1284)="OneTime",TRIM(D1284)=""),0%,
IF(
OR(
TRIM(D1284)="P1M",
AND(TRIM(D1284)="P1Y",TRIM(E1284)="Monthly"),
AND(TRIM(D1284)="P3Y",TRIM(E1284)="Monthly")
),
IF(AND(I1284=4%,J1284=0%,K1284=0%,L1284=0%),1%,
IF(AND(I1284=4%,J1284=2.5%,K1284=0%,L1284=10%),2%,
IF(AND(I1284=4%,J1284=0%,K1284=7%,L1284=10%),3%,0%))),
IF(
OR(
AND(TRIM(D1284)="P1Y",TRIM(E1284)="Annual"),
AND(TRIM(D1284)="P3Y",TRIM(E1284)="Annual"),
AND(TRIM(D1284)="P3Y",TRIM(E1284)="Triennial")
),
IF(AND(I1284=4%,J1284=0%,K1284=0%,L1284=0%),3%,
IF(AND(I1284=4%,J1284=2.5%,K1284=0%,L1284=10%),10%,
IF(AND(I1284=4%,J1284=0%,K1284=7%,L1284=10%),14%,0%))),
0%
))))</f>
        <v>0</v>
      </c>
      <c r="N1284" s="17">
        <f t="shared" ref="N1284:N1347" si="41">H1284-(H1284*M1284)</f>
        <v>0</v>
      </c>
    </row>
    <row r="1285" spans="1:14" x14ac:dyDescent="0.25">
      <c r="A1285" s="14" t="s">
        <v>2165</v>
      </c>
      <c r="B1285" s="14">
        <v>5</v>
      </c>
      <c r="C1285" s="15" t="s">
        <v>2169</v>
      </c>
      <c r="D1285" s="14" t="s">
        <v>1745</v>
      </c>
      <c r="E1285" s="14" t="s">
        <v>1747</v>
      </c>
      <c r="F1285" s="17" t="s">
        <v>2994</v>
      </c>
      <c r="G1285" s="14">
        <v>164700</v>
      </c>
      <c r="H1285" s="14">
        <v>115290</v>
      </c>
      <c r="I1285" s="31">
        <f>IF(COUNTIFS(Addendum!C:C,A1285,Addendum!D:D,IF(ISNUMBER(B1285),TEXT(B1285,"0000"),B1285),Addendum!E:E,"X")&gt;0,4%,0)</f>
        <v>0</v>
      </c>
      <c r="J1285" s="31">
        <f>IF(COUNTIFS(Addendum!C:C,A1285,Addendum!D:D,IF(ISNUMBER(B1285),TEXT(B1285,"0000"),B1285),Addendum!F:F,"X")&gt;0,2.5%,0)</f>
        <v>0</v>
      </c>
      <c r="K1285" s="31">
        <f>IF(COUNTIFS(Addendum!C:C,A1285,Addendum!D:D,IF(ISNUMBER(B1285),TEXT(B1285,"0000"),B1285),Addendum!G:G,"X")&gt;0,7%,0)</f>
        <v>0</v>
      </c>
      <c r="L1285" s="31">
        <f>IF(COUNTIFS(Addendum!C:C,A1285,Addendum!D:D,IF(ISNUMBER(B1285),TEXT(B1285,"0000"),B1285),Addendum!I:I,"X")&gt;0,10%,0)</f>
        <v>0</v>
      </c>
      <c r="M1285" s="34">
        <f t="shared" si="40"/>
        <v>0</v>
      </c>
      <c r="N1285" s="17">
        <f t="shared" si="41"/>
        <v>115290</v>
      </c>
    </row>
    <row r="1286" spans="1:14" x14ac:dyDescent="0.25">
      <c r="A1286" s="14" t="s">
        <v>2170</v>
      </c>
      <c r="B1286" s="14">
        <v>2</v>
      </c>
      <c r="C1286" s="15" t="s">
        <v>2171</v>
      </c>
      <c r="D1286" s="14" t="s">
        <v>1749</v>
      </c>
      <c r="E1286" s="14" t="s">
        <v>1746</v>
      </c>
      <c r="F1286" s="17" t="s">
        <v>2993</v>
      </c>
      <c r="G1286" s="14">
        <v>402</v>
      </c>
      <c r="H1286" s="14">
        <v>281.39999999999998</v>
      </c>
      <c r="I1286" s="31">
        <f>IF(COUNTIFS(Addendum!C:C,A1286,Addendum!D:D,IF(ISNUMBER(B1286),TEXT(B1286,"0000"),B1286),Addendum!E:E,"X")&gt;0,4%,0)</f>
        <v>0</v>
      </c>
      <c r="J1286" s="31">
        <f>IF(COUNTIFS(Addendum!C:C,A1286,Addendum!D:D,IF(ISNUMBER(B1286),TEXT(B1286,"0000"),B1286),Addendum!F:F,"X")&gt;0,2.5%,0)</f>
        <v>0</v>
      </c>
      <c r="K1286" s="31">
        <f>IF(COUNTIFS(Addendum!C:C,A1286,Addendum!D:D,IF(ISNUMBER(B1286),TEXT(B1286,"0000"),B1286),Addendum!G:G,"X")&gt;0,7%,0)</f>
        <v>0</v>
      </c>
      <c r="L1286" s="31">
        <f>IF(COUNTIFS(Addendum!C:C,A1286,Addendum!D:D,IF(ISNUMBER(B1286),TEXT(B1286,"0000"),B1286),Addendum!I:I,"X")&gt;0,10%,0)</f>
        <v>0</v>
      </c>
      <c r="M1286" s="34">
        <f t="shared" si="40"/>
        <v>0</v>
      </c>
      <c r="N1286" s="17">
        <f t="shared" si="41"/>
        <v>281.39999999999998</v>
      </c>
    </row>
    <row r="1287" spans="1:14" x14ac:dyDescent="0.25">
      <c r="A1287" s="14" t="s">
        <v>2170</v>
      </c>
      <c r="B1287" s="14">
        <v>4</v>
      </c>
      <c r="C1287" s="15" t="s">
        <v>2172</v>
      </c>
      <c r="D1287" s="14" t="s">
        <v>1752</v>
      </c>
      <c r="E1287" s="14" t="s">
        <v>1747</v>
      </c>
      <c r="F1287" s="17" t="s">
        <v>2993</v>
      </c>
      <c r="G1287" s="14">
        <v>4193100</v>
      </c>
      <c r="H1287" s="14">
        <v>2935170</v>
      </c>
      <c r="I1287" s="31">
        <f>IF(COUNTIFS(Addendum!C:C,A1287,Addendum!D:D,IF(ISNUMBER(B1287),TEXT(B1287,"0000"),B1287),Addendum!E:E,"X")&gt;0,4%,0)</f>
        <v>0</v>
      </c>
      <c r="J1287" s="31">
        <f>IF(COUNTIFS(Addendum!C:C,A1287,Addendum!D:D,IF(ISNUMBER(B1287),TEXT(B1287,"0000"),B1287),Addendum!F:F,"X")&gt;0,2.5%,0)</f>
        <v>0</v>
      </c>
      <c r="K1287" s="31">
        <f>IF(COUNTIFS(Addendum!C:C,A1287,Addendum!D:D,IF(ISNUMBER(B1287),TEXT(B1287,"0000"),B1287),Addendum!G:G,"X")&gt;0,7%,0)</f>
        <v>0</v>
      </c>
      <c r="L1287" s="31">
        <f>IF(COUNTIFS(Addendum!C:C,A1287,Addendum!D:D,IF(ISNUMBER(B1287),TEXT(B1287,"0000"),B1287),Addendum!I:I,"X")&gt;0,10%,0)</f>
        <v>0</v>
      </c>
      <c r="M1287" s="34">
        <f t="shared" si="40"/>
        <v>0</v>
      </c>
      <c r="N1287" s="17">
        <f t="shared" si="41"/>
        <v>2935170</v>
      </c>
    </row>
    <row r="1288" spans="1:14" ht="30" x14ac:dyDescent="0.25">
      <c r="A1288" s="14" t="s">
        <v>2170</v>
      </c>
      <c r="B1288" s="14">
        <v>15</v>
      </c>
      <c r="C1288" s="15" t="s">
        <v>2173</v>
      </c>
      <c r="D1288" s="14" t="s">
        <v>1749</v>
      </c>
      <c r="E1288" s="14" t="s">
        <v>1746</v>
      </c>
      <c r="F1288" s="17" t="s">
        <v>2994</v>
      </c>
      <c r="G1288" s="14">
        <v>1650</v>
      </c>
      <c r="H1288" s="14">
        <v>1155</v>
      </c>
      <c r="I1288" s="31">
        <f>IF(COUNTIFS(Addendum!C:C,A1288,Addendum!D:D,IF(ISNUMBER(B1288),TEXT(B1288,"0000"),B1288),Addendum!E:E,"X")&gt;0,4%,0)</f>
        <v>0</v>
      </c>
      <c r="J1288" s="31">
        <f>IF(COUNTIFS(Addendum!C:C,A1288,Addendum!D:D,IF(ISNUMBER(B1288),TEXT(B1288,"0000"),B1288),Addendum!F:F,"X")&gt;0,2.5%,0)</f>
        <v>0</v>
      </c>
      <c r="K1288" s="31">
        <f>IF(COUNTIFS(Addendum!C:C,A1288,Addendum!D:D,IF(ISNUMBER(B1288),TEXT(B1288,"0000"),B1288),Addendum!G:G,"X")&gt;0,7%,0)</f>
        <v>0</v>
      </c>
      <c r="L1288" s="31">
        <f>IF(COUNTIFS(Addendum!C:C,A1288,Addendum!D:D,IF(ISNUMBER(B1288),TEXT(B1288,"0000"),B1288),Addendum!I:I,"X")&gt;0,10%,0)</f>
        <v>0</v>
      </c>
      <c r="M1288" s="34">
        <f t="shared" si="40"/>
        <v>0</v>
      </c>
      <c r="N1288" s="17">
        <f t="shared" si="41"/>
        <v>1155</v>
      </c>
    </row>
    <row r="1289" spans="1:14" x14ac:dyDescent="0.25">
      <c r="A1289" s="14" t="s">
        <v>2170</v>
      </c>
      <c r="B1289" s="14">
        <v>3</v>
      </c>
      <c r="C1289" s="15" t="s">
        <v>2174</v>
      </c>
      <c r="D1289" s="14" t="s">
        <v>1752</v>
      </c>
      <c r="E1289" s="14" t="s">
        <v>1747</v>
      </c>
      <c r="F1289" s="17" t="s">
        <v>2993</v>
      </c>
      <c r="G1289" s="14">
        <v>89820</v>
      </c>
      <c r="H1289" s="14">
        <v>62874</v>
      </c>
      <c r="I1289" s="31">
        <f>IF(COUNTIFS(Addendum!C:C,A1289,Addendum!D:D,IF(ISNUMBER(B1289),TEXT(B1289,"0000"),B1289),Addendum!E:E,"X")&gt;0,4%,0)</f>
        <v>0</v>
      </c>
      <c r="J1289" s="31">
        <f>IF(COUNTIFS(Addendum!C:C,A1289,Addendum!D:D,IF(ISNUMBER(B1289),TEXT(B1289,"0000"),B1289),Addendum!F:F,"X")&gt;0,2.5%,0)</f>
        <v>0</v>
      </c>
      <c r="K1289" s="31">
        <f>IF(COUNTIFS(Addendum!C:C,A1289,Addendum!D:D,IF(ISNUMBER(B1289),TEXT(B1289,"0000"),B1289),Addendum!G:G,"X")&gt;0,7%,0)</f>
        <v>0</v>
      </c>
      <c r="L1289" s="31">
        <f>IF(COUNTIFS(Addendum!C:C,A1289,Addendum!D:D,IF(ISNUMBER(B1289),TEXT(B1289,"0000"),B1289),Addendum!I:I,"X")&gt;0,10%,0)</f>
        <v>0</v>
      </c>
      <c r="M1289" s="34">
        <f t="shared" si="40"/>
        <v>0</v>
      </c>
      <c r="N1289" s="17">
        <f t="shared" si="41"/>
        <v>62874</v>
      </c>
    </row>
    <row r="1290" spans="1:14" x14ac:dyDescent="0.25">
      <c r="A1290" s="14" t="s">
        <v>2170</v>
      </c>
      <c r="B1290" s="14">
        <v>3</v>
      </c>
      <c r="C1290" s="15" t="s">
        <v>2174</v>
      </c>
      <c r="D1290" s="14" t="s">
        <v>1752</v>
      </c>
      <c r="E1290" s="14" t="s">
        <v>1746</v>
      </c>
      <c r="F1290" s="17" t="s">
        <v>2993</v>
      </c>
      <c r="G1290" s="14">
        <v>94311</v>
      </c>
      <c r="H1290" s="14">
        <v>66017.88</v>
      </c>
      <c r="I1290" s="31">
        <f>IF(COUNTIFS(Addendum!C:C,A1290,Addendum!D:D,IF(ISNUMBER(B1290),TEXT(B1290,"0000"),B1290),Addendum!E:E,"X")&gt;0,4%,0)</f>
        <v>0</v>
      </c>
      <c r="J1290" s="31">
        <f>IF(COUNTIFS(Addendum!C:C,A1290,Addendum!D:D,IF(ISNUMBER(B1290),TEXT(B1290,"0000"),B1290),Addendum!F:F,"X")&gt;0,2.5%,0)</f>
        <v>0</v>
      </c>
      <c r="K1290" s="31">
        <f>IF(COUNTIFS(Addendum!C:C,A1290,Addendum!D:D,IF(ISNUMBER(B1290),TEXT(B1290,"0000"),B1290),Addendum!G:G,"X")&gt;0,7%,0)</f>
        <v>0</v>
      </c>
      <c r="L1290" s="31">
        <f>IF(COUNTIFS(Addendum!C:C,A1290,Addendum!D:D,IF(ISNUMBER(B1290),TEXT(B1290,"0000"),B1290),Addendum!I:I,"X")&gt;0,10%,0)</f>
        <v>0</v>
      </c>
      <c r="M1290" s="34">
        <f t="shared" si="40"/>
        <v>0</v>
      </c>
      <c r="N1290" s="17">
        <f t="shared" si="41"/>
        <v>66017.88</v>
      </c>
    </row>
    <row r="1291" spans="1:14" x14ac:dyDescent="0.25">
      <c r="A1291" s="14" t="s">
        <v>2170</v>
      </c>
      <c r="B1291" s="14">
        <v>4</v>
      </c>
      <c r="C1291" s="15" t="s">
        <v>2172</v>
      </c>
      <c r="D1291" s="14" t="s">
        <v>1749</v>
      </c>
      <c r="E1291" s="14" t="s">
        <v>1746</v>
      </c>
      <c r="F1291" s="17" t="s">
        <v>2993</v>
      </c>
      <c r="G1291" s="14">
        <v>139770</v>
      </c>
      <c r="H1291" s="14">
        <v>97839</v>
      </c>
      <c r="I1291" s="31">
        <f>IF(COUNTIFS(Addendum!C:C,A1291,Addendum!D:D,IF(ISNUMBER(B1291),TEXT(B1291,"0000"),B1291),Addendum!E:E,"X")&gt;0,4%,0)</f>
        <v>0</v>
      </c>
      <c r="J1291" s="31">
        <f>IF(COUNTIFS(Addendum!C:C,A1291,Addendum!D:D,IF(ISNUMBER(B1291),TEXT(B1291,"0000"),B1291),Addendum!F:F,"X")&gt;0,2.5%,0)</f>
        <v>0</v>
      </c>
      <c r="K1291" s="31">
        <f>IF(COUNTIFS(Addendum!C:C,A1291,Addendum!D:D,IF(ISNUMBER(B1291),TEXT(B1291,"0000"),B1291),Addendum!G:G,"X")&gt;0,7%,0)</f>
        <v>0</v>
      </c>
      <c r="L1291" s="31">
        <f>IF(COUNTIFS(Addendum!C:C,A1291,Addendum!D:D,IF(ISNUMBER(B1291),TEXT(B1291,"0000"),B1291),Addendum!I:I,"X")&gt;0,10%,0)</f>
        <v>0</v>
      </c>
      <c r="M1291" s="34">
        <f t="shared" si="40"/>
        <v>0</v>
      </c>
      <c r="N1291" s="17">
        <f t="shared" si="41"/>
        <v>97839</v>
      </c>
    </row>
    <row r="1292" spans="1:14" x14ac:dyDescent="0.25">
      <c r="A1292" s="14" t="s">
        <v>2170</v>
      </c>
      <c r="B1292" s="14">
        <v>2</v>
      </c>
      <c r="C1292" s="15" t="s">
        <v>2171</v>
      </c>
      <c r="D1292" s="14" t="s">
        <v>1745</v>
      </c>
      <c r="E1292" s="14" t="s">
        <v>1747</v>
      </c>
      <c r="F1292" s="17" t="s">
        <v>2993</v>
      </c>
      <c r="G1292" s="14">
        <v>4020</v>
      </c>
      <c r="H1292" s="14">
        <v>2814</v>
      </c>
      <c r="I1292" s="31">
        <f>IF(COUNTIFS(Addendum!C:C,A1292,Addendum!D:D,IF(ISNUMBER(B1292),TEXT(B1292,"0000"),B1292),Addendum!E:E,"X")&gt;0,4%,0)</f>
        <v>0</v>
      </c>
      <c r="J1292" s="31">
        <f>IF(COUNTIFS(Addendum!C:C,A1292,Addendum!D:D,IF(ISNUMBER(B1292),TEXT(B1292,"0000"),B1292),Addendum!F:F,"X")&gt;0,2.5%,0)</f>
        <v>0</v>
      </c>
      <c r="K1292" s="31">
        <f>IF(COUNTIFS(Addendum!C:C,A1292,Addendum!D:D,IF(ISNUMBER(B1292),TEXT(B1292,"0000"),B1292),Addendum!G:G,"X")&gt;0,7%,0)</f>
        <v>0</v>
      </c>
      <c r="L1292" s="31">
        <f>IF(COUNTIFS(Addendum!C:C,A1292,Addendum!D:D,IF(ISNUMBER(B1292),TEXT(B1292,"0000"),B1292),Addendum!I:I,"X")&gt;0,10%,0)</f>
        <v>0</v>
      </c>
      <c r="M1292" s="34">
        <f t="shared" si="40"/>
        <v>0</v>
      </c>
      <c r="N1292" s="17">
        <f t="shared" si="41"/>
        <v>2814</v>
      </c>
    </row>
    <row r="1293" spans="1:14" x14ac:dyDescent="0.25">
      <c r="A1293" s="14" t="s">
        <v>2170</v>
      </c>
      <c r="B1293" s="14">
        <v>2</v>
      </c>
      <c r="C1293" s="15" t="s">
        <v>2171</v>
      </c>
      <c r="D1293" s="14" t="s">
        <v>1752</v>
      </c>
      <c r="E1293" s="14" t="s">
        <v>1746</v>
      </c>
      <c r="F1293" s="17" t="s">
        <v>2993</v>
      </c>
      <c r="G1293" s="14">
        <v>12663</v>
      </c>
      <c r="H1293" s="14">
        <v>8864.2800000000007</v>
      </c>
      <c r="I1293" s="31">
        <f>IF(COUNTIFS(Addendum!C:C,A1293,Addendum!D:D,IF(ISNUMBER(B1293),TEXT(B1293,"0000"),B1293),Addendum!E:E,"X")&gt;0,4%,0)</f>
        <v>0</v>
      </c>
      <c r="J1293" s="31">
        <f>IF(COUNTIFS(Addendum!C:C,A1293,Addendum!D:D,IF(ISNUMBER(B1293),TEXT(B1293,"0000"),B1293),Addendum!F:F,"X")&gt;0,2.5%,0)</f>
        <v>0</v>
      </c>
      <c r="K1293" s="31">
        <f>IF(COUNTIFS(Addendum!C:C,A1293,Addendum!D:D,IF(ISNUMBER(B1293),TEXT(B1293,"0000"),B1293),Addendum!G:G,"X")&gt;0,7%,0)</f>
        <v>0</v>
      </c>
      <c r="L1293" s="31">
        <f>IF(COUNTIFS(Addendum!C:C,A1293,Addendum!D:D,IF(ISNUMBER(B1293),TEXT(B1293,"0000"),B1293),Addendum!I:I,"X")&gt;0,10%,0)</f>
        <v>0</v>
      </c>
      <c r="M1293" s="34">
        <f t="shared" si="40"/>
        <v>0</v>
      </c>
      <c r="N1293" s="17">
        <f t="shared" si="41"/>
        <v>8864.2800000000007</v>
      </c>
    </row>
    <row r="1294" spans="1:14" x14ac:dyDescent="0.25">
      <c r="A1294" s="14" t="s">
        <v>2170</v>
      </c>
      <c r="B1294" s="14" t="s">
        <v>583</v>
      </c>
      <c r="C1294" s="15" t="s">
        <v>2175</v>
      </c>
      <c r="D1294" s="14" t="s">
        <v>1745</v>
      </c>
      <c r="E1294" s="14" t="s">
        <v>1746</v>
      </c>
      <c r="F1294" s="17" t="s">
        <v>2995</v>
      </c>
      <c r="G1294" s="14">
        <v>587034</v>
      </c>
      <c r="H1294" s="14">
        <v>528330.6</v>
      </c>
      <c r="I1294" s="31">
        <f>IF(COUNTIFS(Addendum!C:C,A1294,Addendum!D:D,IF(ISNUMBER(B1294),TEXT(B1294,"0000"),B1294),Addendum!E:E,"X")&gt;0,4%,0)</f>
        <v>0</v>
      </c>
      <c r="J1294" s="31">
        <f>IF(COUNTIFS(Addendum!C:C,A1294,Addendum!D:D,IF(ISNUMBER(B1294),TEXT(B1294,"0000"),B1294),Addendum!F:F,"X")&gt;0,2.5%,0)</f>
        <v>0</v>
      </c>
      <c r="K1294" s="31">
        <f>IF(COUNTIFS(Addendum!C:C,A1294,Addendum!D:D,IF(ISNUMBER(B1294),TEXT(B1294,"0000"),B1294),Addendum!G:G,"X")&gt;0,7%,0)</f>
        <v>0</v>
      </c>
      <c r="L1294" s="31">
        <f>IF(COUNTIFS(Addendum!C:C,A1294,Addendum!D:D,IF(ISNUMBER(B1294),TEXT(B1294,"0000"),B1294),Addendum!I:I,"X")&gt;0,10%,0)</f>
        <v>0</v>
      </c>
      <c r="M1294" s="34">
        <f t="shared" si="40"/>
        <v>0</v>
      </c>
      <c r="N1294" s="17">
        <f t="shared" si="41"/>
        <v>528330.6</v>
      </c>
    </row>
    <row r="1295" spans="1:14" ht="30" x14ac:dyDescent="0.25">
      <c r="A1295" s="14" t="s">
        <v>2170</v>
      </c>
      <c r="B1295" s="14" t="s">
        <v>470</v>
      </c>
      <c r="C1295" s="15" t="s">
        <v>2176</v>
      </c>
      <c r="D1295" s="14" t="s">
        <v>1745</v>
      </c>
      <c r="E1295" s="14" t="s">
        <v>1747</v>
      </c>
      <c r="F1295" s="17" t="s">
        <v>2994</v>
      </c>
      <c r="G1295" s="14">
        <v>12000</v>
      </c>
      <c r="H1295" s="14">
        <v>8400</v>
      </c>
      <c r="I1295" s="31">
        <f>IF(COUNTIFS(Addendum!C:C,A1295,Addendum!D:D,IF(ISNUMBER(B1295),TEXT(B1295,"0000"),B1295),Addendum!E:E,"X")&gt;0,4%,0)</f>
        <v>0</v>
      </c>
      <c r="J1295" s="31">
        <f>IF(COUNTIFS(Addendum!C:C,A1295,Addendum!D:D,IF(ISNUMBER(B1295),TEXT(B1295,"0000"),B1295),Addendum!F:F,"X")&gt;0,2.5%,0)</f>
        <v>0</v>
      </c>
      <c r="K1295" s="31">
        <f>IF(COUNTIFS(Addendum!C:C,A1295,Addendum!D:D,IF(ISNUMBER(B1295),TEXT(B1295,"0000"),B1295),Addendum!G:G,"X")&gt;0,7%,0)</f>
        <v>0</v>
      </c>
      <c r="L1295" s="31">
        <f>IF(COUNTIFS(Addendum!C:C,A1295,Addendum!D:D,IF(ISNUMBER(B1295),TEXT(B1295,"0000"),B1295),Addendum!I:I,"X")&gt;0,10%,0)</f>
        <v>0</v>
      </c>
      <c r="M1295" s="34">
        <f t="shared" si="40"/>
        <v>0</v>
      </c>
      <c r="N1295" s="17">
        <f t="shared" si="41"/>
        <v>8400</v>
      </c>
    </row>
    <row r="1296" spans="1:14" ht="30" x14ac:dyDescent="0.25">
      <c r="A1296" s="14" t="s">
        <v>2170</v>
      </c>
      <c r="B1296" s="14">
        <v>15</v>
      </c>
      <c r="C1296" s="15" t="s">
        <v>2173</v>
      </c>
      <c r="D1296" s="14" t="s">
        <v>1745</v>
      </c>
      <c r="E1296" s="14" t="s">
        <v>1746</v>
      </c>
      <c r="F1296" s="17" t="s">
        <v>2994</v>
      </c>
      <c r="G1296" s="14">
        <v>17325</v>
      </c>
      <c r="H1296" s="14">
        <v>12127.56</v>
      </c>
      <c r="I1296" s="31">
        <f>IF(COUNTIFS(Addendum!C:C,A1296,Addendum!D:D,IF(ISNUMBER(B1296),TEXT(B1296,"0000"),B1296),Addendum!E:E,"X")&gt;0,4%,0)</f>
        <v>0</v>
      </c>
      <c r="J1296" s="31">
        <f>IF(COUNTIFS(Addendum!C:C,A1296,Addendum!D:D,IF(ISNUMBER(B1296),TEXT(B1296,"0000"),B1296),Addendum!F:F,"X")&gt;0,2.5%,0)</f>
        <v>0</v>
      </c>
      <c r="K1296" s="31">
        <f>IF(COUNTIFS(Addendum!C:C,A1296,Addendum!D:D,IF(ISNUMBER(B1296),TEXT(B1296,"0000"),B1296),Addendum!G:G,"X")&gt;0,7%,0)</f>
        <v>0</v>
      </c>
      <c r="L1296" s="31">
        <f>IF(COUNTIFS(Addendum!C:C,A1296,Addendum!D:D,IF(ISNUMBER(B1296),TEXT(B1296,"0000"),B1296),Addendum!I:I,"X")&gt;0,10%,0)</f>
        <v>0</v>
      </c>
      <c r="M1296" s="34">
        <f t="shared" si="40"/>
        <v>0</v>
      </c>
      <c r="N1296" s="17">
        <f t="shared" si="41"/>
        <v>12127.56</v>
      </c>
    </row>
    <row r="1297" spans="1:14" x14ac:dyDescent="0.25">
      <c r="A1297" s="14" t="s">
        <v>2170</v>
      </c>
      <c r="B1297" s="14">
        <v>11</v>
      </c>
      <c r="C1297" s="15" t="s">
        <v>2177</v>
      </c>
      <c r="D1297" s="14" t="s">
        <v>1749</v>
      </c>
      <c r="E1297" s="14" t="s">
        <v>1746</v>
      </c>
      <c r="F1297" s="17" t="s">
        <v>2995</v>
      </c>
      <c r="G1297" s="14">
        <v>5394</v>
      </c>
      <c r="H1297" s="14">
        <v>4854.6000000000004</v>
      </c>
      <c r="I1297" s="31">
        <f>IF(COUNTIFS(Addendum!C:C,A1297,Addendum!D:D,IF(ISNUMBER(B1297),TEXT(B1297,"0000"),B1297),Addendum!E:E,"X")&gt;0,4%,0)</f>
        <v>0</v>
      </c>
      <c r="J1297" s="31">
        <f>IF(COUNTIFS(Addendum!C:C,A1297,Addendum!D:D,IF(ISNUMBER(B1297),TEXT(B1297,"0000"),B1297),Addendum!F:F,"X")&gt;0,2.5%,0)</f>
        <v>0</v>
      </c>
      <c r="K1297" s="31">
        <f>IF(COUNTIFS(Addendum!C:C,A1297,Addendum!D:D,IF(ISNUMBER(B1297),TEXT(B1297,"0000"),B1297),Addendum!G:G,"X")&gt;0,7%,0)</f>
        <v>0</v>
      </c>
      <c r="L1297" s="31">
        <f>IF(COUNTIFS(Addendum!C:C,A1297,Addendum!D:D,IF(ISNUMBER(B1297),TEXT(B1297,"0000"),B1297),Addendum!I:I,"X")&gt;0,10%,0)</f>
        <v>0</v>
      </c>
      <c r="M1297" s="34">
        <f t="shared" si="40"/>
        <v>0</v>
      </c>
      <c r="N1297" s="17">
        <f t="shared" si="41"/>
        <v>4854.6000000000004</v>
      </c>
    </row>
    <row r="1298" spans="1:14" x14ac:dyDescent="0.25">
      <c r="A1298" s="14" t="s">
        <v>2170</v>
      </c>
      <c r="B1298" s="14">
        <v>1</v>
      </c>
      <c r="C1298" s="15" t="s">
        <v>2178</v>
      </c>
      <c r="D1298" s="14" t="s">
        <v>1752</v>
      </c>
      <c r="E1298" s="14" t="s">
        <v>1747</v>
      </c>
      <c r="F1298" s="17" t="s">
        <v>2993</v>
      </c>
      <c r="G1298" s="14">
        <v>404280</v>
      </c>
      <c r="H1298" s="14">
        <v>282996</v>
      </c>
      <c r="I1298" s="31">
        <f>IF(COUNTIFS(Addendum!C:C,A1298,Addendum!D:D,IF(ISNUMBER(B1298),TEXT(B1298,"0000"),B1298),Addendum!E:E,"X")&gt;0,4%,0)</f>
        <v>0</v>
      </c>
      <c r="J1298" s="31">
        <f>IF(COUNTIFS(Addendum!C:C,A1298,Addendum!D:D,IF(ISNUMBER(B1298),TEXT(B1298,"0000"),B1298),Addendum!F:F,"X")&gt;0,2.5%,0)</f>
        <v>0</v>
      </c>
      <c r="K1298" s="31">
        <f>IF(COUNTIFS(Addendum!C:C,A1298,Addendum!D:D,IF(ISNUMBER(B1298),TEXT(B1298,"0000"),B1298),Addendum!G:G,"X")&gt;0,7%,0)</f>
        <v>0</v>
      </c>
      <c r="L1298" s="31">
        <f>IF(COUNTIFS(Addendum!C:C,A1298,Addendum!D:D,IF(ISNUMBER(B1298),TEXT(B1298,"0000"),B1298),Addendum!I:I,"X")&gt;0,10%,0)</f>
        <v>0</v>
      </c>
      <c r="M1298" s="34">
        <f t="shared" si="40"/>
        <v>0</v>
      </c>
      <c r="N1298" s="17">
        <f t="shared" si="41"/>
        <v>282996</v>
      </c>
    </row>
    <row r="1299" spans="1:14" x14ac:dyDescent="0.25">
      <c r="A1299" s="14" t="s">
        <v>2170</v>
      </c>
      <c r="B1299" s="14">
        <v>3</v>
      </c>
      <c r="C1299" s="15" t="s">
        <v>2174</v>
      </c>
      <c r="D1299" s="14" t="s">
        <v>1745</v>
      </c>
      <c r="E1299" s="14" t="s">
        <v>1746</v>
      </c>
      <c r="F1299" s="17" t="s">
        <v>2993</v>
      </c>
      <c r="G1299" s="14">
        <v>31437</v>
      </c>
      <c r="H1299" s="14">
        <v>22005.96</v>
      </c>
      <c r="I1299" s="31">
        <f>IF(COUNTIFS(Addendum!C:C,A1299,Addendum!D:D,IF(ISNUMBER(B1299),TEXT(B1299,"0000"),B1299),Addendum!E:E,"X")&gt;0,4%,0)</f>
        <v>0</v>
      </c>
      <c r="J1299" s="31">
        <f>IF(COUNTIFS(Addendum!C:C,A1299,Addendum!D:D,IF(ISNUMBER(B1299),TEXT(B1299,"0000"),B1299),Addendum!F:F,"X")&gt;0,2.5%,0)</f>
        <v>0</v>
      </c>
      <c r="K1299" s="31">
        <f>IF(COUNTIFS(Addendum!C:C,A1299,Addendum!D:D,IF(ISNUMBER(B1299),TEXT(B1299,"0000"),B1299),Addendum!G:G,"X")&gt;0,7%,0)</f>
        <v>0</v>
      </c>
      <c r="L1299" s="31">
        <f>IF(COUNTIFS(Addendum!C:C,A1299,Addendum!D:D,IF(ISNUMBER(B1299),TEXT(B1299,"0000"),B1299),Addendum!I:I,"X")&gt;0,10%,0)</f>
        <v>0</v>
      </c>
      <c r="M1299" s="34">
        <f t="shared" si="40"/>
        <v>0</v>
      </c>
      <c r="N1299" s="17">
        <f t="shared" si="41"/>
        <v>22005.96</v>
      </c>
    </row>
    <row r="1300" spans="1:14" x14ac:dyDescent="0.25">
      <c r="A1300" s="14" t="s">
        <v>2170</v>
      </c>
      <c r="B1300" s="14">
        <v>19</v>
      </c>
      <c r="C1300" s="15" t="s">
        <v>2179</v>
      </c>
      <c r="D1300" s="14" t="s">
        <v>1745</v>
      </c>
      <c r="E1300" s="14" t="s">
        <v>1746</v>
      </c>
      <c r="F1300" s="17" t="s">
        <v>2994</v>
      </c>
      <c r="G1300" s="14">
        <v>1701</v>
      </c>
      <c r="H1300" s="14">
        <v>1190.76</v>
      </c>
      <c r="I1300" s="31">
        <f>IF(COUNTIFS(Addendum!C:C,A1300,Addendum!D:D,IF(ISNUMBER(B1300),TEXT(B1300,"0000"),B1300),Addendum!E:E,"X")&gt;0,4%,0)</f>
        <v>0</v>
      </c>
      <c r="J1300" s="31">
        <f>IF(COUNTIFS(Addendum!C:C,A1300,Addendum!D:D,IF(ISNUMBER(B1300),TEXT(B1300,"0000"),B1300),Addendum!F:F,"X")&gt;0,2.5%,0)</f>
        <v>0</v>
      </c>
      <c r="K1300" s="31">
        <f>IF(COUNTIFS(Addendum!C:C,A1300,Addendum!D:D,IF(ISNUMBER(B1300),TEXT(B1300,"0000"),B1300),Addendum!G:G,"X")&gt;0,7%,0)</f>
        <v>0</v>
      </c>
      <c r="L1300" s="31">
        <f>IF(COUNTIFS(Addendum!C:C,A1300,Addendum!D:D,IF(ISNUMBER(B1300),TEXT(B1300,"0000"),B1300),Addendum!I:I,"X")&gt;0,10%,0)</f>
        <v>0</v>
      </c>
      <c r="M1300" s="34">
        <f t="shared" si="40"/>
        <v>0</v>
      </c>
      <c r="N1300" s="17">
        <f t="shared" si="41"/>
        <v>1190.76</v>
      </c>
    </row>
    <row r="1301" spans="1:14" x14ac:dyDescent="0.25">
      <c r="A1301" s="14" t="s">
        <v>2170</v>
      </c>
      <c r="B1301" s="14">
        <v>17</v>
      </c>
      <c r="C1301" s="15" t="s">
        <v>2180</v>
      </c>
      <c r="D1301" s="14" t="s">
        <v>1749</v>
      </c>
      <c r="E1301" s="14" t="s">
        <v>1746</v>
      </c>
      <c r="F1301" s="17" t="s">
        <v>2995</v>
      </c>
      <c r="G1301" s="14">
        <v>162</v>
      </c>
      <c r="H1301" s="14">
        <v>145.80000000000001</v>
      </c>
      <c r="I1301" s="31">
        <f>IF(COUNTIFS(Addendum!C:C,A1301,Addendum!D:D,IF(ISNUMBER(B1301),TEXT(B1301,"0000"),B1301),Addendum!E:E,"X")&gt;0,4%,0)</f>
        <v>0</v>
      </c>
      <c r="J1301" s="31">
        <f>IF(COUNTIFS(Addendum!C:C,A1301,Addendum!D:D,IF(ISNUMBER(B1301),TEXT(B1301,"0000"),B1301),Addendum!F:F,"X")&gt;0,2.5%,0)</f>
        <v>0</v>
      </c>
      <c r="K1301" s="31">
        <f>IF(COUNTIFS(Addendum!C:C,A1301,Addendum!D:D,IF(ISNUMBER(B1301),TEXT(B1301,"0000"),B1301),Addendum!G:G,"X")&gt;0,7%,0)</f>
        <v>0</v>
      </c>
      <c r="L1301" s="31">
        <f>IF(COUNTIFS(Addendum!C:C,A1301,Addendum!D:D,IF(ISNUMBER(B1301),TEXT(B1301,"0000"),B1301),Addendum!I:I,"X")&gt;0,10%,0)</f>
        <v>0</v>
      </c>
      <c r="M1301" s="34">
        <f t="shared" si="40"/>
        <v>0</v>
      </c>
      <c r="N1301" s="17">
        <f t="shared" si="41"/>
        <v>145.80000000000001</v>
      </c>
    </row>
    <row r="1302" spans="1:14" x14ac:dyDescent="0.25">
      <c r="A1302" s="14" t="s">
        <v>2170</v>
      </c>
      <c r="B1302" s="14">
        <v>2</v>
      </c>
      <c r="C1302" s="15" t="s">
        <v>2171</v>
      </c>
      <c r="D1302" s="14" t="s">
        <v>1752</v>
      </c>
      <c r="E1302" s="14" t="s">
        <v>1747</v>
      </c>
      <c r="F1302" s="17" t="s">
        <v>2993</v>
      </c>
      <c r="G1302" s="14">
        <v>12060</v>
      </c>
      <c r="H1302" s="14">
        <v>8442</v>
      </c>
      <c r="I1302" s="31">
        <f>IF(COUNTIFS(Addendum!C:C,A1302,Addendum!D:D,IF(ISNUMBER(B1302),TEXT(B1302,"0000"),B1302),Addendum!E:E,"X")&gt;0,4%,0)</f>
        <v>0</v>
      </c>
      <c r="J1302" s="31">
        <f>IF(COUNTIFS(Addendum!C:C,A1302,Addendum!D:D,IF(ISNUMBER(B1302),TEXT(B1302,"0000"),B1302),Addendum!F:F,"X")&gt;0,2.5%,0)</f>
        <v>0</v>
      </c>
      <c r="K1302" s="31">
        <f>IF(COUNTIFS(Addendum!C:C,A1302,Addendum!D:D,IF(ISNUMBER(B1302),TEXT(B1302,"0000"),B1302),Addendum!G:G,"X")&gt;0,7%,0)</f>
        <v>0</v>
      </c>
      <c r="L1302" s="31">
        <f>IF(COUNTIFS(Addendum!C:C,A1302,Addendum!D:D,IF(ISNUMBER(B1302),TEXT(B1302,"0000"),B1302),Addendum!I:I,"X")&gt;0,10%,0)</f>
        <v>0</v>
      </c>
      <c r="M1302" s="34">
        <f t="shared" si="40"/>
        <v>0</v>
      </c>
      <c r="N1302" s="17">
        <f t="shared" si="41"/>
        <v>8442</v>
      </c>
    </row>
    <row r="1303" spans="1:14" x14ac:dyDescent="0.25">
      <c r="A1303" s="14" t="s">
        <v>2170</v>
      </c>
      <c r="B1303" s="14">
        <v>4</v>
      </c>
      <c r="C1303" s="15" t="s">
        <v>2172</v>
      </c>
      <c r="D1303" s="14" t="s">
        <v>1745</v>
      </c>
      <c r="E1303" s="14" t="s">
        <v>1747</v>
      </c>
      <c r="F1303" s="17" t="s">
        <v>2993</v>
      </c>
      <c r="G1303" s="14">
        <v>1397700</v>
      </c>
      <c r="H1303" s="14">
        <v>978390</v>
      </c>
      <c r="I1303" s="31">
        <f>IF(COUNTIFS(Addendum!C:C,A1303,Addendum!D:D,IF(ISNUMBER(B1303),TEXT(B1303,"0000"),B1303),Addendum!E:E,"X")&gt;0,4%,0)</f>
        <v>0</v>
      </c>
      <c r="J1303" s="31">
        <f>IF(COUNTIFS(Addendum!C:C,A1303,Addendum!D:D,IF(ISNUMBER(B1303),TEXT(B1303,"0000"),B1303),Addendum!F:F,"X")&gt;0,2.5%,0)</f>
        <v>0</v>
      </c>
      <c r="K1303" s="31">
        <f>IF(COUNTIFS(Addendum!C:C,A1303,Addendum!D:D,IF(ISNUMBER(B1303),TEXT(B1303,"0000"),B1303),Addendum!G:G,"X")&gt;0,7%,0)</f>
        <v>0</v>
      </c>
      <c r="L1303" s="31">
        <f>IF(COUNTIFS(Addendum!C:C,A1303,Addendum!D:D,IF(ISNUMBER(B1303),TEXT(B1303,"0000"),B1303),Addendum!I:I,"X")&gt;0,10%,0)</f>
        <v>0</v>
      </c>
      <c r="M1303" s="34">
        <f t="shared" si="40"/>
        <v>0</v>
      </c>
      <c r="N1303" s="17">
        <f t="shared" si="41"/>
        <v>978390</v>
      </c>
    </row>
    <row r="1304" spans="1:14" ht="30" x14ac:dyDescent="0.25">
      <c r="A1304" s="14" t="s">
        <v>2170</v>
      </c>
      <c r="B1304" s="14" t="s">
        <v>470</v>
      </c>
      <c r="C1304" s="15" t="s">
        <v>2176</v>
      </c>
      <c r="D1304" s="14" t="s">
        <v>1745</v>
      </c>
      <c r="E1304" s="14" t="s">
        <v>1746</v>
      </c>
      <c r="F1304" s="17" t="s">
        <v>2994</v>
      </c>
      <c r="G1304" s="14">
        <v>12600</v>
      </c>
      <c r="H1304" s="14">
        <v>8820</v>
      </c>
      <c r="I1304" s="31">
        <f>IF(COUNTIFS(Addendum!C:C,A1304,Addendum!D:D,IF(ISNUMBER(B1304),TEXT(B1304,"0000"),B1304),Addendum!E:E,"X")&gt;0,4%,0)</f>
        <v>0</v>
      </c>
      <c r="J1304" s="31">
        <f>IF(COUNTIFS(Addendum!C:C,A1304,Addendum!D:D,IF(ISNUMBER(B1304),TEXT(B1304,"0000"),B1304),Addendum!F:F,"X")&gt;0,2.5%,0)</f>
        <v>0</v>
      </c>
      <c r="K1304" s="31">
        <f>IF(COUNTIFS(Addendum!C:C,A1304,Addendum!D:D,IF(ISNUMBER(B1304),TEXT(B1304,"0000"),B1304),Addendum!G:G,"X")&gt;0,7%,0)</f>
        <v>0</v>
      </c>
      <c r="L1304" s="31">
        <f>IF(COUNTIFS(Addendum!C:C,A1304,Addendum!D:D,IF(ISNUMBER(B1304),TEXT(B1304,"0000"),B1304),Addendum!I:I,"X")&gt;0,10%,0)</f>
        <v>0</v>
      </c>
      <c r="M1304" s="34">
        <f t="shared" si="40"/>
        <v>0</v>
      </c>
      <c r="N1304" s="17">
        <f t="shared" si="41"/>
        <v>8820</v>
      </c>
    </row>
    <row r="1305" spans="1:14" x14ac:dyDescent="0.25">
      <c r="A1305" s="14" t="s">
        <v>2170</v>
      </c>
      <c r="B1305" s="14">
        <v>11</v>
      </c>
      <c r="C1305" s="15" t="s">
        <v>2177</v>
      </c>
      <c r="D1305" s="14" t="s">
        <v>1745</v>
      </c>
      <c r="E1305" s="14" t="s">
        <v>1746</v>
      </c>
      <c r="F1305" s="17" t="s">
        <v>2995</v>
      </c>
      <c r="G1305" s="14">
        <v>56637</v>
      </c>
      <c r="H1305" s="14">
        <v>50973.36</v>
      </c>
      <c r="I1305" s="31">
        <f>IF(COUNTIFS(Addendum!C:C,A1305,Addendum!D:D,IF(ISNUMBER(B1305),TEXT(B1305,"0000"),B1305),Addendum!E:E,"X")&gt;0,4%,0)</f>
        <v>0</v>
      </c>
      <c r="J1305" s="31">
        <f>IF(COUNTIFS(Addendum!C:C,A1305,Addendum!D:D,IF(ISNUMBER(B1305),TEXT(B1305,"0000"),B1305),Addendum!F:F,"X")&gt;0,2.5%,0)</f>
        <v>0</v>
      </c>
      <c r="K1305" s="31">
        <f>IF(COUNTIFS(Addendum!C:C,A1305,Addendum!D:D,IF(ISNUMBER(B1305),TEXT(B1305,"0000"),B1305),Addendum!G:G,"X")&gt;0,7%,0)</f>
        <v>0</v>
      </c>
      <c r="L1305" s="31">
        <f>IF(COUNTIFS(Addendum!C:C,A1305,Addendum!D:D,IF(ISNUMBER(B1305),TEXT(B1305,"0000"),B1305),Addendum!I:I,"X")&gt;0,10%,0)</f>
        <v>0</v>
      </c>
      <c r="M1305" s="34">
        <f t="shared" si="40"/>
        <v>0</v>
      </c>
      <c r="N1305" s="17">
        <f t="shared" si="41"/>
        <v>50973.36</v>
      </c>
    </row>
    <row r="1306" spans="1:14" x14ac:dyDescent="0.25">
      <c r="A1306" s="14" t="s">
        <v>2170</v>
      </c>
      <c r="B1306" s="14">
        <v>16</v>
      </c>
      <c r="C1306" s="15" t="s">
        <v>2181</v>
      </c>
      <c r="D1306" s="14" t="s">
        <v>1745</v>
      </c>
      <c r="E1306" s="14" t="s">
        <v>1746</v>
      </c>
      <c r="F1306" s="17" t="s">
        <v>2994</v>
      </c>
      <c r="G1306" s="14">
        <v>2331</v>
      </c>
      <c r="H1306" s="14">
        <v>1631.76</v>
      </c>
      <c r="I1306" s="31">
        <f>IF(COUNTIFS(Addendum!C:C,A1306,Addendum!D:D,IF(ISNUMBER(B1306),TEXT(B1306,"0000"),B1306),Addendum!E:E,"X")&gt;0,4%,0)</f>
        <v>0</v>
      </c>
      <c r="J1306" s="31">
        <f>IF(COUNTIFS(Addendum!C:C,A1306,Addendum!D:D,IF(ISNUMBER(B1306),TEXT(B1306,"0000"),B1306),Addendum!F:F,"X")&gt;0,2.5%,0)</f>
        <v>0</v>
      </c>
      <c r="K1306" s="31">
        <f>IF(COUNTIFS(Addendum!C:C,A1306,Addendum!D:D,IF(ISNUMBER(B1306),TEXT(B1306,"0000"),B1306),Addendum!G:G,"X")&gt;0,7%,0)</f>
        <v>0</v>
      </c>
      <c r="L1306" s="31">
        <f>IF(COUNTIFS(Addendum!C:C,A1306,Addendum!D:D,IF(ISNUMBER(B1306),TEXT(B1306,"0000"),B1306),Addendum!I:I,"X")&gt;0,10%,0)</f>
        <v>0</v>
      </c>
      <c r="M1306" s="34">
        <f t="shared" si="40"/>
        <v>0</v>
      </c>
      <c r="N1306" s="17">
        <f t="shared" si="41"/>
        <v>1631.76</v>
      </c>
    </row>
    <row r="1307" spans="1:14" x14ac:dyDescent="0.25">
      <c r="A1307" s="14" t="s">
        <v>2170</v>
      </c>
      <c r="B1307" s="14">
        <v>2</v>
      </c>
      <c r="C1307" s="15" t="s">
        <v>2171</v>
      </c>
      <c r="D1307" s="14" t="s">
        <v>1745</v>
      </c>
      <c r="E1307" s="14" t="s">
        <v>1746</v>
      </c>
      <c r="F1307" s="17" t="s">
        <v>2993</v>
      </c>
      <c r="G1307" s="14">
        <v>4221</v>
      </c>
      <c r="H1307" s="14">
        <v>2954.76</v>
      </c>
      <c r="I1307" s="31">
        <f>IF(COUNTIFS(Addendum!C:C,A1307,Addendum!D:D,IF(ISNUMBER(B1307),TEXT(B1307,"0000"),B1307),Addendum!E:E,"X")&gt;0,4%,0)</f>
        <v>0</v>
      </c>
      <c r="J1307" s="31">
        <f>IF(COUNTIFS(Addendum!C:C,A1307,Addendum!D:D,IF(ISNUMBER(B1307),TEXT(B1307,"0000"),B1307),Addendum!F:F,"X")&gt;0,2.5%,0)</f>
        <v>0</v>
      </c>
      <c r="K1307" s="31">
        <f>IF(COUNTIFS(Addendum!C:C,A1307,Addendum!D:D,IF(ISNUMBER(B1307),TEXT(B1307,"0000"),B1307),Addendum!G:G,"X")&gt;0,7%,0)</f>
        <v>0</v>
      </c>
      <c r="L1307" s="31">
        <f>IF(COUNTIFS(Addendum!C:C,A1307,Addendum!D:D,IF(ISNUMBER(B1307),TEXT(B1307,"0000"),B1307),Addendum!I:I,"X")&gt;0,10%,0)</f>
        <v>0</v>
      </c>
      <c r="M1307" s="34">
        <f t="shared" si="40"/>
        <v>0</v>
      </c>
      <c r="N1307" s="17">
        <f t="shared" si="41"/>
        <v>2954.76</v>
      </c>
    </row>
    <row r="1308" spans="1:14" ht="30" x14ac:dyDescent="0.25">
      <c r="A1308" s="14" t="s">
        <v>2170</v>
      </c>
      <c r="B1308" s="14" t="s">
        <v>470</v>
      </c>
      <c r="C1308" s="15" t="s">
        <v>2176</v>
      </c>
      <c r="D1308" s="14" t="s">
        <v>1749</v>
      </c>
      <c r="E1308" s="14" t="s">
        <v>1746</v>
      </c>
      <c r="F1308" s="17" t="s">
        <v>2994</v>
      </c>
      <c r="G1308" s="14">
        <v>1200</v>
      </c>
      <c r="H1308" s="14">
        <v>840</v>
      </c>
      <c r="I1308" s="31">
        <f>IF(COUNTIFS(Addendum!C:C,A1308,Addendum!D:D,IF(ISNUMBER(B1308),TEXT(B1308,"0000"),B1308),Addendum!E:E,"X")&gt;0,4%,0)</f>
        <v>0</v>
      </c>
      <c r="J1308" s="31">
        <f>IF(COUNTIFS(Addendum!C:C,A1308,Addendum!D:D,IF(ISNUMBER(B1308),TEXT(B1308,"0000"),B1308),Addendum!F:F,"X")&gt;0,2.5%,0)</f>
        <v>0</v>
      </c>
      <c r="K1308" s="31">
        <f>IF(COUNTIFS(Addendum!C:C,A1308,Addendum!D:D,IF(ISNUMBER(B1308),TEXT(B1308,"0000"),B1308),Addendum!G:G,"X")&gt;0,7%,0)</f>
        <v>0</v>
      </c>
      <c r="L1308" s="31">
        <f>IF(COUNTIFS(Addendum!C:C,A1308,Addendum!D:D,IF(ISNUMBER(B1308),TEXT(B1308,"0000"),B1308),Addendum!I:I,"X")&gt;0,10%,0)</f>
        <v>0</v>
      </c>
      <c r="M1308" s="34">
        <f t="shared" si="40"/>
        <v>0</v>
      </c>
      <c r="N1308" s="17">
        <f t="shared" si="41"/>
        <v>840</v>
      </c>
    </row>
    <row r="1309" spans="1:14" ht="30" x14ac:dyDescent="0.25">
      <c r="A1309" s="14" t="s">
        <v>2170</v>
      </c>
      <c r="B1309" s="14">
        <v>14</v>
      </c>
      <c r="C1309" s="15" t="s">
        <v>2182</v>
      </c>
      <c r="D1309" s="14" t="s">
        <v>1752</v>
      </c>
      <c r="E1309" s="14" t="s">
        <v>1747</v>
      </c>
      <c r="F1309" s="17" t="s">
        <v>2995</v>
      </c>
      <c r="G1309" s="14">
        <v>36000</v>
      </c>
      <c r="H1309" s="14">
        <v>32400</v>
      </c>
      <c r="I1309" s="31">
        <f>IF(COUNTIFS(Addendum!C:C,A1309,Addendum!D:D,IF(ISNUMBER(B1309),TEXT(B1309,"0000"),B1309),Addendum!E:E,"X")&gt;0,4%,0)</f>
        <v>0</v>
      </c>
      <c r="J1309" s="31">
        <f>IF(COUNTIFS(Addendum!C:C,A1309,Addendum!D:D,IF(ISNUMBER(B1309),TEXT(B1309,"0000"),B1309),Addendum!F:F,"X")&gt;0,2.5%,0)</f>
        <v>0</v>
      </c>
      <c r="K1309" s="31">
        <f>IF(COUNTIFS(Addendum!C:C,A1309,Addendum!D:D,IF(ISNUMBER(B1309),TEXT(B1309,"0000"),B1309),Addendum!G:G,"X")&gt;0,7%,0)</f>
        <v>0</v>
      </c>
      <c r="L1309" s="31">
        <f>IF(COUNTIFS(Addendum!C:C,A1309,Addendum!D:D,IF(ISNUMBER(B1309),TEXT(B1309,"0000"),B1309),Addendum!I:I,"X")&gt;0,10%,0)</f>
        <v>0</v>
      </c>
      <c r="M1309" s="34">
        <f t="shared" si="40"/>
        <v>0</v>
      </c>
      <c r="N1309" s="17">
        <f t="shared" si="41"/>
        <v>32400</v>
      </c>
    </row>
    <row r="1310" spans="1:14" x14ac:dyDescent="0.25">
      <c r="A1310" s="14" t="s">
        <v>2170</v>
      </c>
      <c r="B1310" s="14">
        <v>11</v>
      </c>
      <c r="C1310" s="15" t="s">
        <v>2177</v>
      </c>
      <c r="D1310" s="14" t="s">
        <v>1752</v>
      </c>
      <c r="E1310" s="14" t="s">
        <v>1747</v>
      </c>
      <c r="F1310" s="17" t="s">
        <v>2995</v>
      </c>
      <c r="G1310" s="14">
        <v>161820</v>
      </c>
      <c r="H1310" s="14">
        <v>145638</v>
      </c>
      <c r="I1310" s="31">
        <f>IF(COUNTIFS(Addendum!C:C,A1310,Addendum!D:D,IF(ISNUMBER(B1310),TEXT(B1310,"0000"),B1310),Addendum!E:E,"X")&gt;0,4%,0)</f>
        <v>0</v>
      </c>
      <c r="J1310" s="31">
        <f>IF(COUNTIFS(Addendum!C:C,A1310,Addendum!D:D,IF(ISNUMBER(B1310),TEXT(B1310,"0000"),B1310),Addendum!F:F,"X")&gt;0,2.5%,0)</f>
        <v>0</v>
      </c>
      <c r="K1310" s="31">
        <f>IF(COUNTIFS(Addendum!C:C,A1310,Addendum!D:D,IF(ISNUMBER(B1310),TEXT(B1310,"0000"),B1310),Addendum!G:G,"X")&gt;0,7%,0)</f>
        <v>0</v>
      </c>
      <c r="L1310" s="31">
        <f>IF(COUNTIFS(Addendum!C:C,A1310,Addendum!D:D,IF(ISNUMBER(B1310),TEXT(B1310,"0000"),B1310),Addendum!I:I,"X")&gt;0,10%,0)</f>
        <v>0</v>
      </c>
      <c r="M1310" s="34">
        <f t="shared" si="40"/>
        <v>0</v>
      </c>
      <c r="N1310" s="17">
        <f t="shared" si="41"/>
        <v>145638</v>
      </c>
    </row>
    <row r="1311" spans="1:14" x14ac:dyDescent="0.25">
      <c r="A1311" s="14" t="s">
        <v>2170</v>
      </c>
      <c r="B1311" s="14">
        <v>17</v>
      </c>
      <c r="C1311" s="15" t="s">
        <v>2180</v>
      </c>
      <c r="D1311" s="14" t="s">
        <v>1745</v>
      </c>
      <c r="E1311" s="14" t="s">
        <v>1747</v>
      </c>
      <c r="F1311" s="17" t="s">
        <v>2995</v>
      </c>
      <c r="G1311" s="14">
        <v>1620</v>
      </c>
      <c r="H1311" s="14">
        <v>1458</v>
      </c>
      <c r="I1311" s="31">
        <f>IF(COUNTIFS(Addendum!C:C,A1311,Addendum!D:D,IF(ISNUMBER(B1311),TEXT(B1311,"0000"),B1311),Addendum!E:E,"X")&gt;0,4%,0)</f>
        <v>0</v>
      </c>
      <c r="J1311" s="31">
        <f>IF(COUNTIFS(Addendum!C:C,A1311,Addendum!D:D,IF(ISNUMBER(B1311),TEXT(B1311,"0000"),B1311),Addendum!F:F,"X")&gt;0,2.5%,0)</f>
        <v>0</v>
      </c>
      <c r="K1311" s="31">
        <f>IF(COUNTIFS(Addendum!C:C,A1311,Addendum!D:D,IF(ISNUMBER(B1311),TEXT(B1311,"0000"),B1311),Addendum!G:G,"X")&gt;0,7%,0)</f>
        <v>0</v>
      </c>
      <c r="L1311" s="31">
        <f>IF(COUNTIFS(Addendum!C:C,A1311,Addendum!D:D,IF(ISNUMBER(B1311),TEXT(B1311,"0000"),B1311),Addendum!I:I,"X")&gt;0,10%,0)</f>
        <v>0</v>
      </c>
      <c r="M1311" s="34">
        <f t="shared" si="40"/>
        <v>0</v>
      </c>
      <c r="N1311" s="17">
        <f t="shared" si="41"/>
        <v>1458</v>
      </c>
    </row>
    <row r="1312" spans="1:14" x14ac:dyDescent="0.25">
      <c r="A1312" s="14" t="s">
        <v>2170</v>
      </c>
      <c r="B1312" s="14" t="s">
        <v>263</v>
      </c>
      <c r="C1312" s="15" t="s">
        <v>2183</v>
      </c>
      <c r="D1312" s="14" t="s">
        <v>1745</v>
      </c>
      <c r="E1312" s="14" t="s">
        <v>1746</v>
      </c>
      <c r="F1312" s="17" t="s">
        <v>2994</v>
      </c>
      <c r="G1312" s="14">
        <v>587034</v>
      </c>
      <c r="H1312" s="14">
        <v>410923.8</v>
      </c>
      <c r="I1312" s="31">
        <f>IF(COUNTIFS(Addendum!C:C,A1312,Addendum!D:D,IF(ISNUMBER(B1312),TEXT(B1312,"0000"),B1312),Addendum!E:E,"X")&gt;0,4%,0)</f>
        <v>0</v>
      </c>
      <c r="J1312" s="31">
        <f>IF(COUNTIFS(Addendum!C:C,A1312,Addendum!D:D,IF(ISNUMBER(B1312),TEXT(B1312,"0000"),B1312),Addendum!F:F,"X")&gt;0,2.5%,0)</f>
        <v>0</v>
      </c>
      <c r="K1312" s="31">
        <f>IF(COUNTIFS(Addendum!C:C,A1312,Addendum!D:D,IF(ISNUMBER(B1312),TEXT(B1312,"0000"),B1312),Addendum!G:G,"X")&gt;0,7%,0)</f>
        <v>0</v>
      </c>
      <c r="L1312" s="31">
        <f>IF(COUNTIFS(Addendum!C:C,A1312,Addendum!D:D,IF(ISNUMBER(B1312),TEXT(B1312,"0000"),B1312),Addendum!I:I,"X")&gt;0,10%,0)</f>
        <v>0</v>
      </c>
      <c r="M1312" s="34">
        <f t="shared" si="40"/>
        <v>0</v>
      </c>
      <c r="N1312" s="17">
        <f t="shared" si="41"/>
        <v>410923.8</v>
      </c>
    </row>
    <row r="1313" spans="1:14" x14ac:dyDescent="0.25">
      <c r="A1313" s="14" t="s">
        <v>2170</v>
      </c>
      <c r="B1313" s="14" t="s">
        <v>583</v>
      </c>
      <c r="C1313" s="15" t="s">
        <v>2175</v>
      </c>
      <c r="D1313" s="14" t="s">
        <v>1752</v>
      </c>
      <c r="E1313" s="14" t="s">
        <v>1747</v>
      </c>
      <c r="F1313" s="17" t="s">
        <v>2995</v>
      </c>
      <c r="G1313" s="14">
        <v>1677240</v>
      </c>
      <c r="H1313" s="14">
        <v>1509516</v>
      </c>
      <c r="I1313" s="31">
        <f>IF(COUNTIFS(Addendum!C:C,A1313,Addendum!D:D,IF(ISNUMBER(B1313),TEXT(B1313,"0000"),B1313),Addendum!E:E,"X")&gt;0,4%,0)</f>
        <v>0</v>
      </c>
      <c r="J1313" s="31">
        <f>IF(COUNTIFS(Addendum!C:C,A1313,Addendum!D:D,IF(ISNUMBER(B1313),TEXT(B1313,"0000"),B1313),Addendum!F:F,"X")&gt;0,2.5%,0)</f>
        <v>0</v>
      </c>
      <c r="K1313" s="31">
        <f>IF(COUNTIFS(Addendum!C:C,A1313,Addendum!D:D,IF(ISNUMBER(B1313),TEXT(B1313,"0000"),B1313),Addendum!G:G,"X")&gt;0,7%,0)</f>
        <v>0</v>
      </c>
      <c r="L1313" s="31">
        <f>IF(COUNTIFS(Addendum!C:C,A1313,Addendum!D:D,IF(ISNUMBER(B1313),TEXT(B1313,"0000"),B1313),Addendum!I:I,"X")&gt;0,10%,0)</f>
        <v>0</v>
      </c>
      <c r="M1313" s="34">
        <f t="shared" si="40"/>
        <v>0</v>
      </c>
      <c r="N1313" s="17">
        <f t="shared" si="41"/>
        <v>1509516</v>
      </c>
    </row>
    <row r="1314" spans="1:14" x14ac:dyDescent="0.25">
      <c r="A1314" s="14" t="s">
        <v>2170</v>
      </c>
      <c r="B1314" s="14">
        <v>18</v>
      </c>
      <c r="C1314" s="15" t="s">
        <v>2184</v>
      </c>
      <c r="D1314" s="14" t="s">
        <v>1745</v>
      </c>
      <c r="E1314" s="14" t="s">
        <v>1746</v>
      </c>
      <c r="F1314" s="17" t="s">
        <v>2994</v>
      </c>
      <c r="G1314" s="14">
        <v>56637</v>
      </c>
      <c r="H1314" s="14">
        <v>39645.96</v>
      </c>
      <c r="I1314" s="31">
        <f>IF(COUNTIFS(Addendum!C:C,A1314,Addendum!D:D,IF(ISNUMBER(B1314),TEXT(B1314,"0000"),B1314),Addendum!E:E,"X")&gt;0,4%,0)</f>
        <v>0</v>
      </c>
      <c r="J1314" s="31">
        <f>IF(COUNTIFS(Addendum!C:C,A1314,Addendum!D:D,IF(ISNUMBER(B1314),TEXT(B1314,"0000"),B1314),Addendum!F:F,"X")&gt;0,2.5%,0)</f>
        <v>0</v>
      </c>
      <c r="K1314" s="31">
        <f>IF(COUNTIFS(Addendum!C:C,A1314,Addendum!D:D,IF(ISNUMBER(B1314),TEXT(B1314,"0000"),B1314),Addendum!G:G,"X")&gt;0,7%,0)</f>
        <v>0</v>
      </c>
      <c r="L1314" s="31">
        <f>IF(COUNTIFS(Addendum!C:C,A1314,Addendum!D:D,IF(ISNUMBER(B1314),TEXT(B1314,"0000"),B1314),Addendum!I:I,"X")&gt;0,10%,0)</f>
        <v>0</v>
      </c>
      <c r="M1314" s="34">
        <f t="shared" si="40"/>
        <v>0</v>
      </c>
      <c r="N1314" s="17">
        <f t="shared" si="41"/>
        <v>39645.96</v>
      </c>
    </row>
    <row r="1315" spans="1:14" ht="30" x14ac:dyDescent="0.25">
      <c r="A1315" s="14" t="s">
        <v>2170</v>
      </c>
      <c r="B1315" s="14">
        <v>14</v>
      </c>
      <c r="C1315" s="15" t="s">
        <v>2182</v>
      </c>
      <c r="D1315" s="14" t="s">
        <v>1749</v>
      </c>
      <c r="E1315" s="14" t="s">
        <v>1746</v>
      </c>
      <c r="F1315" s="17" t="s">
        <v>2995</v>
      </c>
      <c r="G1315" s="14">
        <v>1200</v>
      </c>
      <c r="H1315" s="14">
        <v>1080</v>
      </c>
      <c r="I1315" s="31">
        <f>IF(COUNTIFS(Addendum!C:C,A1315,Addendum!D:D,IF(ISNUMBER(B1315),TEXT(B1315,"0000"),B1315),Addendum!E:E,"X")&gt;0,4%,0)</f>
        <v>0</v>
      </c>
      <c r="J1315" s="31">
        <f>IF(COUNTIFS(Addendum!C:C,A1315,Addendum!D:D,IF(ISNUMBER(B1315),TEXT(B1315,"0000"),B1315),Addendum!F:F,"X")&gt;0,2.5%,0)</f>
        <v>0</v>
      </c>
      <c r="K1315" s="31">
        <f>IF(COUNTIFS(Addendum!C:C,A1315,Addendum!D:D,IF(ISNUMBER(B1315),TEXT(B1315,"0000"),B1315),Addendum!G:G,"X")&gt;0,7%,0)</f>
        <v>0</v>
      </c>
      <c r="L1315" s="31">
        <f>IF(COUNTIFS(Addendum!C:C,A1315,Addendum!D:D,IF(ISNUMBER(B1315),TEXT(B1315,"0000"),B1315),Addendum!I:I,"X")&gt;0,10%,0)</f>
        <v>0</v>
      </c>
      <c r="M1315" s="34">
        <f t="shared" si="40"/>
        <v>0</v>
      </c>
      <c r="N1315" s="17">
        <f t="shared" si="41"/>
        <v>1080</v>
      </c>
    </row>
    <row r="1316" spans="1:14" x14ac:dyDescent="0.25">
      <c r="A1316" s="14" t="s">
        <v>2170</v>
      </c>
      <c r="B1316" s="14" t="s">
        <v>583</v>
      </c>
      <c r="C1316" s="15" t="s">
        <v>2175</v>
      </c>
      <c r="D1316" s="14" t="s">
        <v>1745</v>
      </c>
      <c r="E1316" s="14" t="s">
        <v>1747</v>
      </c>
      <c r="F1316" s="17" t="s">
        <v>2995</v>
      </c>
      <c r="G1316" s="14">
        <v>559080</v>
      </c>
      <c r="H1316" s="14">
        <v>503172</v>
      </c>
      <c r="I1316" s="31">
        <f>IF(COUNTIFS(Addendum!C:C,A1316,Addendum!D:D,IF(ISNUMBER(B1316),TEXT(B1316,"0000"),B1316),Addendum!E:E,"X")&gt;0,4%,0)</f>
        <v>0</v>
      </c>
      <c r="J1316" s="31">
        <f>IF(COUNTIFS(Addendum!C:C,A1316,Addendum!D:D,IF(ISNUMBER(B1316),TEXT(B1316,"0000"),B1316),Addendum!F:F,"X")&gt;0,2.5%,0)</f>
        <v>0</v>
      </c>
      <c r="K1316" s="31">
        <f>IF(COUNTIFS(Addendum!C:C,A1316,Addendum!D:D,IF(ISNUMBER(B1316),TEXT(B1316,"0000"),B1316),Addendum!G:G,"X")&gt;0,7%,0)</f>
        <v>0</v>
      </c>
      <c r="L1316" s="31">
        <f>IF(COUNTIFS(Addendum!C:C,A1316,Addendum!D:D,IF(ISNUMBER(B1316),TEXT(B1316,"0000"),B1316),Addendum!I:I,"X")&gt;0,10%,0)</f>
        <v>0</v>
      </c>
      <c r="M1316" s="34">
        <f t="shared" si="40"/>
        <v>0</v>
      </c>
      <c r="N1316" s="17">
        <f t="shared" si="41"/>
        <v>503172</v>
      </c>
    </row>
    <row r="1317" spans="1:14" x14ac:dyDescent="0.25">
      <c r="A1317" s="14" t="s">
        <v>2170</v>
      </c>
      <c r="B1317" s="14" t="s">
        <v>583</v>
      </c>
      <c r="C1317" s="15" t="s">
        <v>2175</v>
      </c>
      <c r="D1317" s="14" t="s">
        <v>1749</v>
      </c>
      <c r="E1317" s="14" t="s">
        <v>1746</v>
      </c>
      <c r="F1317" s="17" t="s">
        <v>2995</v>
      </c>
      <c r="G1317" s="14">
        <v>55908</v>
      </c>
      <c r="H1317" s="14">
        <v>50317.2</v>
      </c>
      <c r="I1317" s="31">
        <f>IF(COUNTIFS(Addendum!C:C,A1317,Addendum!D:D,IF(ISNUMBER(B1317),TEXT(B1317,"0000"),B1317),Addendum!E:E,"X")&gt;0,4%,0)</f>
        <v>0</v>
      </c>
      <c r="J1317" s="31">
        <f>IF(COUNTIFS(Addendum!C:C,A1317,Addendum!D:D,IF(ISNUMBER(B1317),TEXT(B1317,"0000"),B1317),Addendum!F:F,"X")&gt;0,2.5%,0)</f>
        <v>0</v>
      </c>
      <c r="K1317" s="31">
        <f>IF(COUNTIFS(Addendum!C:C,A1317,Addendum!D:D,IF(ISNUMBER(B1317),TEXT(B1317,"0000"),B1317),Addendum!G:G,"X")&gt;0,7%,0)</f>
        <v>0</v>
      </c>
      <c r="L1317" s="31">
        <f>IF(COUNTIFS(Addendum!C:C,A1317,Addendum!D:D,IF(ISNUMBER(B1317),TEXT(B1317,"0000"),B1317),Addendum!I:I,"X")&gt;0,10%,0)</f>
        <v>0</v>
      </c>
      <c r="M1317" s="34">
        <f t="shared" si="40"/>
        <v>0</v>
      </c>
      <c r="N1317" s="17">
        <f t="shared" si="41"/>
        <v>50317.2</v>
      </c>
    </row>
    <row r="1318" spans="1:14" x14ac:dyDescent="0.25">
      <c r="A1318" s="14" t="s">
        <v>2170</v>
      </c>
      <c r="B1318" s="14">
        <v>3</v>
      </c>
      <c r="C1318" s="15" t="s">
        <v>2174</v>
      </c>
      <c r="D1318" s="14" t="s">
        <v>1745</v>
      </c>
      <c r="E1318" s="14" t="s">
        <v>1747</v>
      </c>
      <c r="F1318" s="17" t="s">
        <v>2993</v>
      </c>
      <c r="G1318" s="14">
        <v>29940</v>
      </c>
      <c r="H1318" s="14">
        <v>20958</v>
      </c>
      <c r="I1318" s="31">
        <f>IF(COUNTIFS(Addendum!C:C,A1318,Addendum!D:D,IF(ISNUMBER(B1318),TEXT(B1318,"0000"),B1318),Addendum!E:E,"X")&gt;0,4%,0)</f>
        <v>0</v>
      </c>
      <c r="J1318" s="31">
        <f>IF(COUNTIFS(Addendum!C:C,A1318,Addendum!D:D,IF(ISNUMBER(B1318),TEXT(B1318,"0000"),B1318),Addendum!F:F,"X")&gt;0,2.5%,0)</f>
        <v>0</v>
      </c>
      <c r="K1318" s="31">
        <f>IF(COUNTIFS(Addendum!C:C,A1318,Addendum!D:D,IF(ISNUMBER(B1318),TEXT(B1318,"0000"),B1318),Addendum!G:G,"X")&gt;0,7%,0)</f>
        <v>0</v>
      </c>
      <c r="L1318" s="31">
        <f>IF(COUNTIFS(Addendum!C:C,A1318,Addendum!D:D,IF(ISNUMBER(B1318),TEXT(B1318,"0000"),B1318),Addendum!I:I,"X")&gt;0,10%,0)</f>
        <v>0</v>
      </c>
      <c r="M1318" s="34">
        <f t="shared" si="40"/>
        <v>0</v>
      </c>
      <c r="N1318" s="17">
        <f t="shared" si="41"/>
        <v>20958</v>
      </c>
    </row>
    <row r="1319" spans="1:14" x14ac:dyDescent="0.25">
      <c r="A1319" s="14" t="s">
        <v>2170</v>
      </c>
      <c r="B1319" s="14" t="s">
        <v>263</v>
      </c>
      <c r="C1319" s="15" t="s">
        <v>2183</v>
      </c>
      <c r="D1319" s="14" t="s">
        <v>1745</v>
      </c>
      <c r="E1319" s="14" t="s">
        <v>1747</v>
      </c>
      <c r="F1319" s="17" t="s">
        <v>2994</v>
      </c>
      <c r="G1319" s="14">
        <v>559080</v>
      </c>
      <c r="H1319" s="14">
        <v>391356</v>
      </c>
      <c r="I1319" s="31">
        <f>IF(COUNTIFS(Addendum!C:C,A1319,Addendum!D:D,IF(ISNUMBER(B1319),TEXT(B1319,"0000"),B1319),Addendum!E:E,"X")&gt;0,4%,0)</f>
        <v>0</v>
      </c>
      <c r="J1319" s="31">
        <f>IF(COUNTIFS(Addendum!C:C,A1319,Addendum!D:D,IF(ISNUMBER(B1319),TEXT(B1319,"0000"),B1319),Addendum!F:F,"X")&gt;0,2.5%,0)</f>
        <v>0</v>
      </c>
      <c r="K1319" s="31">
        <f>IF(COUNTIFS(Addendum!C:C,A1319,Addendum!D:D,IF(ISNUMBER(B1319),TEXT(B1319,"0000"),B1319),Addendum!G:G,"X")&gt;0,7%,0)</f>
        <v>0</v>
      </c>
      <c r="L1319" s="31">
        <f>IF(COUNTIFS(Addendum!C:C,A1319,Addendum!D:D,IF(ISNUMBER(B1319),TEXT(B1319,"0000"),B1319),Addendum!I:I,"X")&gt;0,10%,0)</f>
        <v>0</v>
      </c>
      <c r="M1319" s="34">
        <f t="shared" si="40"/>
        <v>0</v>
      </c>
      <c r="N1319" s="17">
        <f t="shared" si="41"/>
        <v>391356</v>
      </c>
    </row>
    <row r="1320" spans="1:14" x14ac:dyDescent="0.25">
      <c r="A1320" s="14" t="s">
        <v>2170</v>
      </c>
      <c r="B1320" s="14" t="s">
        <v>263</v>
      </c>
      <c r="C1320" s="15" t="s">
        <v>2183</v>
      </c>
      <c r="D1320" s="14" t="s">
        <v>1749</v>
      </c>
      <c r="E1320" s="14" t="s">
        <v>1746</v>
      </c>
      <c r="F1320" s="17" t="s">
        <v>2994</v>
      </c>
      <c r="G1320" s="14">
        <v>55908</v>
      </c>
      <c r="H1320" s="14">
        <v>39135.599999999999</v>
      </c>
      <c r="I1320" s="31">
        <f>IF(COUNTIFS(Addendum!C:C,A1320,Addendum!D:D,IF(ISNUMBER(B1320),TEXT(B1320,"0000"),B1320),Addendum!E:E,"X")&gt;0,4%,0)</f>
        <v>0</v>
      </c>
      <c r="J1320" s="31">
        <f>IF(COUNTIFS(Addendum!C:C,A1320,Addendum!D:D,IF(ISNUMBER(B1320),TEXT(B1320,"0000"),B1320),Addendum!F:F,"X")&gt;0,2.5%,0)</f>
        <v>0</v>
      </c>
      <c r="K1320" s="31">
        <f>IF(COUNTIFS(Addendum!C:C,A1320,Addendum!D:D,IF(ISNUMBER(B1320),TEXT(B1320,"0000"),B1320),Addendum!G:G,"X")&gt;0,7%,0)</f>
        <v>0</v>
      </c>
      <c r="L1320" s="31">
        <f>IF(COUNTIFS(Addendum!C:C,A1320,Addendum!D:D,IF(ISNUMBER(B1320),TEXT(B1320,"0000"),B1320),Addendum!I:I,"X")&gt;0,10%,0)</f>
        <v>0</v>
      </c>
      <c r="M1320" s="34">
        <f t="shared" si="40"/>
        <v>0</v>
      </c>
      <c r="N1320" s="17">
        <f t="shared" si="41"/>
        <v>39135.599999999999</v>
      </c>
    </row>
    <row r="1321" spans="1:14" x14ac:dyDescent="0.25">
      <c r="A1321" s="14" t="s">
        <v>2170</v>
      </c>
      <c r="B1321" s="14">
        <v>16</v>
      </c>
      <c r="C1321" s="15" t="s">
        <v>2181</v>
      </c>
      <c r="D1321" s="14" t="s">
        <v>1745</v>
      </c>
      <c r="E1321" s="14" t="s">
        <v>1747</v>
      </c>
      <c r="F1321" s="17" t="s">
        <v>2994</v>
      </c>
      <c r="G1321" s="14">
        <v>2220</v>
      </c>
      <c r="H1321" s="14">
        <v>1554</v>
      </c>
      <c r="I1321" s="31">
        <f>IF(COUNTIFS(Addendum!C:C,A1321,Addendum!D:D,IF(ISNUMBER(B1321),TEXT(B1321,"0000"),B1321),Addendum!E:E,"X")&gt;0,4%,0)</f>
        <v>0</v>
      </c>
      <c r="J1321" s="31">
        <f>IF(COUNTIFS(Addendum!C:C,A1321,Addendum!D:D,IF(ISNUMBER(B1321),TEXT(B1321,"0000"),B1321),Addendum!F:F,"X")&gt;0,2.5%,0)</f>
        <v>0</v>
      </c>
      <c r="K1321" s="31">
        <f>IF(COUNTIFS(Addendum!C:C,A1321,Addendum!D:D,IF(ISNUMBER(B1321),TEXT(B1321,"0000"),B1321),Addendum!G:G,"X")&gt;0,7%,0)</f>
        <v>0</v>
      </c>
      <c r="L1321" s="31">
        <f>IF(COUNTIFS(Addendum!C:C,A1321,Addendum!D:D,IF(ISNUMBER(B1321),TEXT(B1321,"0000"),B1321),Addendum!I:I,"X")&gt;0,10%,0)</f>
        <v>0</v>
      </c>
      <c r="M1321" s="34">
        <f t="shared" si="40"/>
        <v>0</v>
      </c>
      <c r="N1321" s="17">
        <f t="shared" si="41"/>
        <v>1554</v>
      </c>
    </row>
    <row r="1322" spans="1:14" x14ac:dyDescent="0.25">
      <c r="A1322" s="14" t="s">
        <v>2170</v>
      </c>
      <c r="B1322" s="14">
        <v>1</v>
      </c>
      <c r="C1322" s="15" t="s">
        <v>2178</v>
      </c>
      <c r="D1322" s="14" t="s">
        <v>1745</v>
      </c>
      <c r="E1322" s="14" t="s">
        <v>1746</v>
      </c>
      <c r="F1322" s="17" t="s">
        <v>2993</v>
      </c>
      <c r="G1322" s="14">
        <v>141498</v>
      </c>
      <c r="H1322" s="14">
        <v>99048.6</v>
      </c>
      <c r="I1322" s="31">
        <f>IF(COUNTIFS(Addendum!C:C,A1322,Addendum!D:D,IF(ISNUMBER(B1322),TEXT(B1322,"0000"),B1322),Addendum!E:E,"X")&gt;0,4%,0)</f>
        <v>0</v>
      </c>
      <c r="J1322" s="31">
        <f>IF(COUNTIFS(Addendum!C:C,A1322,Addendum!D:D,IF(ISNUMBER(B1322),TEXT(B1322,"0000"),B1322),Addendum!F:F,"X")&gt;0,2.5%,0)</f>
        <v>0</v>
      </c>
      <c r="K1322" s="31">
        <f>IF(COUNTIFS(Addendum!C:C,A1322,Addendum!D:D,IF(ISNUMBER(B1322),TEXT(B1322,"0000"),B1322),Addendum!G:G,"X")&gt;0,7%,0)</f>
        <v>0</v>
      </c>
      <c r="L1322" s="31">
        <f>IF(COUNTIFS(Addendum!C:C,A1322,Addendum!D:D,IF(ISNUMBER(B1322),TEXT(B1322,"0000"),B1322),Addendum!I:I,"X")&gt;0,10%,0)</f>
        <v>0</v>
      </c>
      <c r="M1322" s="34">
        <f t="shared" si="40"/>
        <v>0</v>
      </c>
      <c r="N1322" s="17">
        <f t="shared" si="41"/>
        <v>99048.6</v>
      </c>
    </row>
    <row r="1323" spans="1:14" x14ac:dyDescent="0.25">
      <c r="A1323" s="14" t="s">
        <v>2170</v>
      </c>
      <c r="B1323" s="14">
        <v>3</v>
      </c>
      <c r="C1323" s="15" t="s">
        <v>2174</v>
      </c>
      <c r="D1323" s="14" t="s">
        <v>1752</v>
      </c>
      <c r="E1323" s="14" t="s">
        <v>1753</v>
      </c>
      <c r="F1323" s="17" t="s">
        <v>2993</v>
      </c>
      <c r="G1323" s="14">
        <v>89820</v>
      </c>
      <c r="H1323" s="14">
        <v>62874</v>
      </c>
      <c r="I1323" s="31">
        <f>IF(COUNTIFS(Addendum!C:C,A1323,Addendum!D:D,IF(ISNUMBER(B1323),TEXT(B1323,"0000"),B1323),Addendum!E:E,"X")&gt;0,4%,0)</f>
        <v>0</v>
      </c>
      <c r="J1323" s="31">
        <f>IF(COUNTIFS(Addendum!C:C,A1323,Addendum!D:D,IF(ISNUMBER(B1323),TEXT(B1323,"0000"),B1323),Addendum!F:F,"X")&gt;0,2.5%,0)</f>
        <v>0</v>
      </c>
      <c r="K1323" s="31">
        <f>IF(COUNTIFS(Addendum!C:C,A1323,Addendum!D:D,IF(ISNUMBER(B1323),TEXT(B1323,"0000"),B1323),Addendum!G:G,"X")&gt;0,7%,0)</f>
        <v>0</v>
      </c>
      <c r="L1323" s="31">
        <f>IF(COUNTIFS(Addendum!C:C,A1323,Addendum!D:D,IF(ISNUMBER(B1323),TEXT(B1323,"0000"),B1323),Addendum!I:I,"X")&gt;0,10%,0)</f>
        <v>0</v>
      </c>
      <c r="M1323" s="34">
        <f t="shared" si="40"/>
        <v>0</v>
      </c>
      <c r="N1323" s="17">
        <f t="shared" si="41"/>
        <v>62874</v>
      </c>
    </row>
    <row r="1324" spans="1:14" x14ac:dyDescent="0.25">
      <c r="A1324" s="14" t="s">
        <v>2170</v>
      </c>
      <c r="B1324" s="14">
        <v>4</v>
      </c>
      <c r="C1324" s="15" t="s">
        <v>2172</v>
      </c>
      <c r="D1324" s="14" t="s">
        <v>1745</v>
      </c>
      <c r="E1324" s="14" t="s">
        <v>1746</v>
      </c>
      <c r="F1324" s="17" t="s">
        <v>2993</v>
      </c>
      <c r="G1324" s="14">
        <v>1467585</v>
      </c>
      <c r="H1324" s="14">
        <v>1027310</v>
      </c>
      <c r="I1324" s="31">
        <f>IF(COUNTIFS(Addendum!C:C,A1324,Addendum!D:D,IF(ISNUMBER(B1324),TEXT(B1324,"0000"),B1324),Addendum!E:E,"X")&gt;0,4%,0)</f>
        <v>0</v>
      </c>
      <c r="J1324" s="31">
        <f>IF(COUNTIFS(Addendum!C:C,A1324,Addendum!D:D,IF(ISNUMBER(B1324),TEXT(B1324,"0000"),B1324),Addendum!F:F,"X")&gt;0,2.5%,0)</f>
        <v>0</v>
      </c>
      <c r="K1324" s="31">
        <f>IF(COUNTIFS(Addendum!C:C,A1324,Addendum!D:D,IF(ISNUMBER(B1324),TEXT(B1324,"0000"),B1324),Addendum!G:G,"X")&gt;0,7%,0)</f>
        <v>0</v>
      </c>
      <c r="L1324" s="31">
        <f>IF(COUNTIFS(Addendum!C:C,A1324,Addendum!D:D,IF(ISNUMBER(B1324),TEXT(B1324,"0000"),B1324),Addendum!I:I,"X")&gt;0,10%,0)</f>
        <v>0</v>
      </c>
      <c r="M1324" s="34">
        <f t="shared" si="40"/>
        <v>0</v>
      </c>
      <c r="N1324" s="17">
        <f t="shared" si="41"/>
        <v>1027310</v>
      </c>
    </row>
    <row r="1325" spans="1:14" x14ac:dyDescent="0.25">
      <c r="A1325" s="14" t="s">
        <v>2170</v>
      </c>
      <c r="B1325" s="14">
        <v>16</v>
      </c>
      <c r="C1325" s="15" t="s">
        <v>2181</v>
      </c>
      <c r="D1325" s="14" t="s">
        <v>1749</v>
      </c>
      <c r="E1325" s="14" t="s">
        <v>1746</v>
      </c>
      <c r="F1325" s="17" t="s">
        <v>2994</v>
      </c>
      <c r="G1325" s="14">
        <v>222</v>
      </c>
      <c r="H1325" s="14">
        <v>155.4</v>
      </c>
      <c r="I1325" s="31">
        <f>IF(COUNTIFS(Addendum!C:C,A1325,Addendum!D:D,IF(ISNUMBER(B1325),TEXT(B1325,"0000"),B1325),Addendum!E:E,"X")&gt;0,4%,0)</f>
        <v>0</v>
      </c>
      <c r="J1325" s="31">
        <f>IF(COUNTIFS(Addendum!C:C,A1325,Addendum!D:D,IF(ISNUMBER(B1325),TEXT(B1325,"0000"),B1325),Addendum!F:F,"X")&gt;0,2.5%,0)</f>
        <v>0</v>
      </c>
      <c r="K1325" s="31">
        <f>IF(COUNTIFS(Addendum!C:C,A1325,Addendum!D:D,IF(ISNUMBER(B1325),TEXT(B1325,"0000"),B1325),Addendum!G:G,"X")&gt;0,7%,0)</f>
        <v>0</v>
      </c>
      <c r="L1325" s="31">
        <f>IF(COUNTIFS(Addendum!C:C,A1325,Addendum!D:D,IF(ISNUMBER(B1325),TEXT(B1325,"0000"),B1325),Addendum!I:I,"X")&gt;0,10%,0)</f>
        <v>0</v>
      </c>
      <c r="M1325" s="34">
        <f t="shared" si="40"/>
        <v>0</v>
      </c>
      <c r="N1325" s="17">
        <f t="shared" si="41"/>
        <v>155.4</v>
      </c>
    </row>
    <row r="1326" spans="1:14" x14ac:dyDescent="0.25">
      <c r="A1326" s="14" t="s">
        <v>2170</v>
      </c>
      <c r="B1326" s="14">
        <v>19</v>
      </c>
      <c r="C1326" s="15" t="s">
        <v>2179</v>
      </c>
      <c r="D1326" s="14" t="s">
        <v>1745</v>
      </c>
      <c r="E1326" s="14" t="s">
        <v>1747</v>
      </c>
      <c r="F1326" s="17" t="s">
        <v>2994</v>
      </c>
      <c r="G1326" s="14">
        <v>1620</v>
      </c>
      <c r="H1326" s="14">
        <v>1134</v>
      </c>
      <c r="I1326" s="31">
        <f>IF(COUNTIFS(Addendum!C:C,A1326,Addendum!D:D,IF(ISNUMBER(B1326),TEXT(B1326,"0000"),B1326),Addendum!E:E,"X")&gt;0,4%,0)</f>
        <v>0</v>
      </c>
      <c r="J1326" s="31">
        <f>IF(COUNTIFS(Addendum!C:C,A1326,Addendum!D:D,IF(ISNUMBER(B1326),TEXT(B1326,"0000"),B1326),Addendum!F:F,"X")&gt;0,2.5%,0)</f>
        <v>0</v>
      </c>
      <c r="K1326" s="31">
        <f>IF(COUNTIFS(Addendum!C:C,A1326,Addendum!D:D,IF(ISNUMBER(B1326),TEXT(B1326,"0000"),B1326),Addendum!G:G,"X")&gt;0,7%,0)</f>
        <v>0</v>
      </c>
      <c r="L1326" s="31">
        <f>IF(COUNTIFS(Addendum!C:C,A1326,Addendum!D:D,IF(ISNUMBER(B1326),TEXT(B1326,"0000"),B1326),Addendum!I:I,"X")&gt;0,10%,0)</f>
        <v>0</v>
      </c>
      <c r="M1326" s="34">
        <f t="shared" si="40"/>
        <v>0</v>
      </c>
      <c r="N1326" s="17">
        <f t="shared" si="41"/>
        <v>1134</v>
      </c>
    </row>
    <row r="1327" spans="1:14" x14ac:dyDescent="0.25">
      <c r="A1327" s="14" t="s">
        <v>2170</v>
      </c>
      <c r="B1327" s="14">
        <v>19</v>
      </c>
      <c r="C1327" s="15" t="s">
        <v>2179</v>
      </c>
      <c r="D1327" s="14" t="s">
        <v>1749</v>
      </c>
      <c r="E1327" s="14" t="s">
        <v>1746</v>
      </c>
      <c r="F1327" s="17" t="s">
        <v>2994</v>
      </c>
      <c r="G1327" s="14">
        <v>162</v>
      </c>
      <c r="H1327" s="14">
        <v>113.4</v>
      </c>
      <c r="I1327" s="31">
        <f>IF(COUNTIFS(Addendum!C:C,A1327,Addendum!D:D,IF(ISNUMBER(B1327),TEXT(B1327,"0000"),B1327),Addendum!E:E,"X")&gt;0,4%,0)</f>
        <v>0</v>
      </c>
      <c r="J1327" s="31">
        <f>IF(COUNTIFS(Addendum!C:C,A1327,Addendum!D:D,IF(ISNUMBER(B1327),TEXT(B1327,"0000"),B1327),Addendum!F:F,"X")&gt;0,2.5%,0)</f>
        <v>0</v>
      </c>
      <c r="K1327" s="31">
        <f>IF(COUNTIFS(Addendum!C:C,A1327,Addendum!D:D,IF(ISNUMBER(B1327),TEXT(B1327,"0000"),B1327),Addendum!G:G,"X")&gt;0,7%,0)</f>
        <v>0</v>
      </c>
      <c r="L1327" s="31">
        <f>IF(COUNTIFS(Addendum!C:C,A1327,Addendum!D:D,IF(ISNUMBER(B1327),TEXT(B1327,"0000"),B1327),Addendum!I:I,"X")&gt;0,10%,0)</f>
        <v>0</v>
      </c>
      <c r="M1327" s="34">
        <f t="shared" si="40"/>
        <v>0</v>
      </c>
      <c r="N1327" s="17">
        <f t="shared" si="41"/>
        <v>113.4</v>
      </c>
    </row>
    <row r="1328" spans="1:14" x14ac:dyDescent="0.25">
      <c r="A1328" s="14" t="s">
        <v>2170</v>
      </c>
      <c r="B1328" s="14">
        <v>13</v>
      </c>
      <c r="C1328" s="15" t="s">
        <v>2185</v>
      </c>
      <c r="D1328" s="14" t="s">
        <v>1749</v>
      </c>
      <c r="E1328" s="14" t="s">
        <v>1746</v>
      </c>
      <c r="F1328" s="17" t="s">
        <v>2994</v>
      </c>
      <c r="G1328" s="14">
        <v>76872</v>
      </c>
      <c r="H1328" s="14">
        <v>53810.400000000001</v>
      </c>
      <c r="I1328" s="31">
        <f>IF(COUNTIFS(Addendum!C:C,A1328,Addendum!D:D,IF(ISNUMBER(B1328),TEXT(B1328,"0000"),B1328),Addendum!E:E,"X")&gt;0,4%,0)</f>
        <v>0</v>
      </c>
      <c r="J1328" s="31">
        <f>IF(COUNTIFS(Addendum!C:C,A1328,Addendum!D:D,IF(ISNUMBER(B1328),TEXT(B1328,"0000"),B1328),Addendum!F:F,"X")&gt;0,2.5%,0)</f>
        <v>0</v>
      </c>
      <c r="K1328" s="31">
        <f>IF(COUNTIFS(Addendum!C:C,A1328,Addendum!D:D,IF(ISNUMBER(B1328),TEXT(B1328,"0000"),B1328),Addendum!G:G,"X")&gt;0,7%,0)</f>
        <v>0</v>
      </c>
      <c r="L1328" s="31">
        <f>IF(COUNTIFS(Addendum!C:C,A1328,Addendum!D:D,IF(ISNUMBER(B1328),TEXT(B1328,"0000"),B1328),Addendum!I:I,"X")&gt;0,10%,0)</f>
        <v>0</v>
      </c>
      <c r="M1328" s="34">
        <f t="shared" si="40"/>
        <v>0</v>
      </c>
      <c r="N1328" s="17">
        <f t="shared" si="41"/>
        <v>53810.400000000001</v>
      </c>
    </row>
    <row r="1329" spans="1:14" x14ac:dyDescent="0.25">
      <c r="A1329" s="14" t="s">
        <v>2170</v>
      </c>
      <c r="B1329" s="14">
        <v>3</v>
      </c>
      <c r="C1329" s="15" t="s">
        <v>2174</v>
      </c>
      <c r="D1329" s="14" t="s">
        <v>1749</v>
      </c>
      <c r="E1329" s="14" t="s">
        <v>1746</v>
      </c>
      <c r="F1329" s="17" t="s">
        <v>2993</v>
      </c>
      <c r="G1329" s="14">
        <v>2994</v>
      </c>
      <c r="H1329" s="14">
        <v>2095.8000000000002</v>
      </c>
      <c r="I1329" s="31">
        <f>IF(COUNTIFS(Addendum!C:C,A1329,Addendum!D:D,IF(ISNUMBER(B1329),TEXT(B1329,"0000"),B1329),Addendum!E:E,"X")&gt;0,4%,0)</f>
        <v>0</v>
      </c>
      <c r="J1329" s="31">
        <f>IF(COUNTIFS(Addendum!C:C,A1329,Addendum!D:D,IF(ISNUMBER(B1329),TEXT(B1329,"0000"),B1329),Addendum!F:F,"X")&gt;0,2.5%,0)</f>
        <v>0</v>
      </c>
      <c r="K1329" s="31">
        <f>IF(COUNTIFS(Addendum!C:C,A1329,Addendum!D:D,IF(ISNUMBER(B1329),TEXT(B1329,"0000"),B1329),Addendum!G:G,"X")&gt;0,7%,0)</f>
        <v>0</v>
      </c>
      <c r="L1329" s="31">
        <f>IF(COUNTIFS(Addendum!C:C,A1329,Addendum!D:D,IF(ISNUMBER(B1329),TEXT(B1329,"0000"),B1329),Addendum!I:I,"X")&gt;0,10%,0)</f>
        <v>0</v>
      </c>
      <c r="M1329" s="34">
        <f t="shared" si="40"/>
        <v>0</v>
      </c>
      <c r="N1329" s="17">
        <f t="shared" si="41"/>
        <v>2095.8000000000002</v>
      </c>
    </row>
    <row r="1330" spans="1:14" ht="30" x14ac:dyDescent="0.25">
      <c r="A1330" s="14" t="s">
        <v>2170</v>
      </c>
      <c r="B1330" s="14">
        <v>14</v>
      </c>
      <c r="C1330" s="15" t="s">
        <v>2182</v>
      </c>
      <c r="D1330" s="14" t="s">
        <v>1752</v>
      </c>
      <c r="E1330" s="14" t="s">
        <v>1746</v>
      </c>
      <c r="F1330" s="17" t="s">
        <v>2995</v>
      </c>
      <c r="G1330" s="14">
        <v>37800</v>
      </c>
      <c r="H1330" s="14">
        <v>34020</v>
      </c>
      <c r="I1330" s="31">
        <f>IF(COUNTIFS(Addendum!C:C,A1330,Addendum!D:D,IF(ISNUMBER(B1330),TEXT(B1330,"0000"),B1330),Addendum!E:E,"X")&gt;0,4%,0)</f>
        <v>0</v>
      </c>
      <c r="J1330" s="31">
        <f>IF(COUNTIFS(Addendum!C:C,A1330,Addendum!D:D,IF(ISNUMBER(B1330),TEXT(B1330,"0000"),B1330),Addendum!F:F,"X")&gt;0,2.5%,0)</f>
        <v>0</v>
      </c>
      <c r="K1330" s="31">
        <f>IF(COUNTIFS(Addendum!C:C,A1330,Addendum!D:D,IF(ISNUMBER(B1330),TEXT(B1330,"0000"),B1330),Addendum!G:G,"X")&gt;0,7%,0)</f>
        <v>0</v>
      </c>
      <c r="L1330" s="31">
        <f>IF(COUNTIFS(Addendum!C:C,A1330,Addendum!D:D,IF(ISNUMBER(B1330),TEXT(B1330,"0000"),B1330),Addendum!I:I,"X")&gt;0,10%,0)</f>
        <v>0</v>
      </c>
      <c r="M1330" s="34">
        <f t="shared" si="40"/>
        <v>0</v>
      </c>
      <c r="N1330" s="17">
        <f t="shared" si="41"/>
        <v>34020</v>
      </c>
    </row>
    <row r="1331" spans="1:14" x14ac:dyDescent="0.25">
      <c r="A1331" s="14" t="s">
        <v>2170</v>
      </c>
      <c r="B1331" s="14">
        <v>4</v>
      </c>
      <c r="C1331" s="15" t="s">
        <v>2172</v>
      </c>
      <c r="D1331" s="14" t="s">
        <v>1752</v>
      </c>
      <c r="E1331" s="14" t="s">
        <v>1753</v>
      </c>
      <c r="F1331" s="17" t="s">
        <v>2993</v>
      </c>
      <c r="G1331" s="14">
        <v>4193100</v>
      </c>
      <c r="H1331" s="14">
        <v>2935170</v>
      </c>
      <c r="I1331" s="31">
        <f>IF(COUNTIFS(Addendum!C:C,A1331,Addendum!D:D,IF(ISNUMBER(B1331),TEXT(B1331,"0000"),B1331),Addendum!E:E,"X")&gt;0,4%,0)</f>
        <v>0</v>
      </c>
      <c r="J1331" s="31">
        <f>IF(COUNTIFS(Addendum!C:C,A1331,Addendum!D:D,IF(ISNUMBER(B1331),TEXT(B1331,"0000"),B1331),Addendum!F:F,"X")&gt;0,2.5%,0)</f>
        <v>0</v>
      </c>
      <c r="K1331" s="31">
        <f>IF(COUNTIFS(Addendum!C:C,A1331,Addendum!D:D,IF(ISNUMBER(B1331),TEXT(B1331,"0000"),B1331),Addendum!G:G,"X")&gt;0,7%,0)</f>
        <v>0</v>
      </c>
      <c r="L1331" s="31">
        <f>IF(COUNTIFS(Addendum!C:C,A1331,Addendum!D:D,IF(ISNUMBER(B1331),TEXT(B1331,"0000"),B1331),Addendum!I:I,"X")&gt;0,10%,0)</f>
        <v>0</v>
      </c>
      <c r="M1331" s="34">
        <f t="shared" si="40"/>
        <v>0</v>
      </c>
      <c r="N1331" s="17">
        <f t="shared" si="41"/>
        <v>2935170</v>
      </c>
    </row>
    <row r="1332" spans="1:14" x14ac:dyDescent="0.25">
      <c r="A1332" s="14" t="s">
        <v>2170</v>
      </c>
      <c r="B1332" s="14">
        <v>12</v>
      </c>
      <c r="C1332" s="15" t="s">
        <v>2186</v>
      </c>
      <c r="D1332" s="14" t="s">
        <v>1745</v>
      </c>
      <c r="E1332" s="14" t="s">
        <v>1746</v>
      </c>
      <c r="F1332" s="17" t="s">
        <v>2994</v>
      </c>
      <c r="G1332" s="14">
        <v>77805</v>
      </c>
      <c r="H1332" s="14">
        <v>54463.56</v>
      </c>
      <c r="I1332" s="31">
        <f>IF(COUNTIFS(Addendum!C:C,A1332,Addendum!D:D,IF(ISNUMBER(B1332),TEXT(B1332,"0000"),B1332),Addendum!E:E,"X")&gt;0,4%,0)</f>
        <v>0</v>
      </c>
      <c r="J1332" s="31">
        <f>IF(COUNTIFS(Addendum!C:C,A1332,Addendum!D:D,IF(ISNUMBER(B1332),TEXT(B1332,"0000"),B1332),Addendum!F:F,"X")&gt;0,2.5%,0)</f>
        <v>0</v>
      </c>
      <c r="K1332" s="31">
        <f>IF(COUNTIFS(Addendum!C:C,A1332,Addendum!D:D,IF(ISNUMBER(B1332),TEXT(B1332,"0000"),B1332),Addendum!G:G,"X")&gt;0,7%,0)</f>
        <v>0</v>
      </c>
      <c r="L1332" s="31">
        <f>IF(COUNTIFS(Addendum!C:C,A1332,Addendum!D:D,IF(ISNUMBER(B1332),TEXT(B1332,"0000"),B1332),Addendum!I:I,"X")&gt;0,10%,0)</f>
        <v>0</v>
      </c>
      <c r="M1332" s="34">
        <f t="shared" si="40"/>
        <v>0</v>
      </c>
      <c r="N1332" s="17">
        <f t="shared" si="41"/>
        <v>54463.56</v>
      </c>
    </row>
    <row r="1333" spans="1:14" x14ac:dyDescent="0.25">
      <c r="A1333" s="14" t="s">
        <v>2170</v>
      </c>
      <c r="B1333" s="14">
        <v>1</v>
      </c>
      <c r="C1333" s="15" t="s">
        <v>2178</v>
      </c>
      <c r="D1333" s="14" t="s">
        <v>1752</v>
      </c>
      <c r="E1333" s="14" t="s">
        <v>1746</v>
      </c>
      <c r="F1333" s="17" t="s">
        <v>2993</v>
      </c>
      <c r="G1333" s="14">
        <v>424494</v>
      </c>
      <c r="H1333" s="14">
        <v>297145.8</v>
      </c>
      <c r="I1333" s="31">
        <f>IF(COUNTIFS(Addendum!C:C,A1333,Addendum!D:D,IF(ISNUMBER(B1333),TEXT(B1333,"0000"),B1333),Addendum!E:E,"X")&gt;0,4%,0)</f>
        <v>0</v>
      </c>
      <c r="J1333" s="31">
        <f>IF(COUNTIFS(Addendum!C:C,A1333,Addendum!D:D,IF(ISNUMBER(B1333),TEXT(B1333,"0000"),B1333),Addendum!F:F,"X")&gt;0,2.5%,0)</f>
        <v>0</v>
      </c>
      <c r="K1333" s="31">
        <f>IF(COUNTIFS(Addendum!C:C,A1333,Addendum!D:D,IF(ISNUMBER(B1333),TEXT(B1333,"0000"),B1333),Addendum!G:G,"X")&gt;0,7%,0)</f>
        <v>0</v>
      </c>
      <c r="L1333" s="31">
        <f>IF(COUNTIFS(Addendum!C:C,A1333,Addendum!D:D,IF(ISNUMBER(B1333),TEXT(B1333,"0000"),B1333),Addendum!I:I,"X")&gt;0,10%,0)</f>
        <v>0</v>
      </c>
      <c r="M1333" s="34">
        <f t="shared" si="40"/>
        <v>0</v>
      </c>
      <c r="N1333" s="17">
        <f t="shared" si="41"/>
        <v>297145.8</v>
      </c>
    </row>
    <row r="1334" spans="1:14" x14ac:dyDescent="0.25">
      <c r="A1334" s="14" t="s">
        <v>2170</v>
      </c>
      <c r="B1334" s="14">
        <v>13</v>
      </c>
      <c r="C1334" s="15" t="s">
        <v>2185</v>
      </c>
      <c r="D1334" s="14" t="s">
        <v>1745</v>
      </c>
      <c r="E1334" s="14" t="s">
        <v>1747</v>
      </c>
      <c r="F1334" s="17" t="s">
        <v>2994</v>
      </c>
      <c r="G1334" s="14">
        <v>768720</v>
      </c>
      <c r="H1334" s="14">
        <v>538104</v>
      </c>
      <c r="I1334" s="31">
        <f>IF(COUNTIFS(Addendum!C:C,A1334,Addendum!D:D,IF(ISNUMBER(B1334),TEXT(B1334,"0000"),B1334),Addendum!E:E,"X")&gt;0,4%,0)</f>
        <v>0</v>
      </c>
      <c r="J1334" s="31">
        <f>IF(COUNTIFS(Addendum!C:C,A1334,Addendum!D:D,IF(ISNUMBER(B1334),TEXT(B1334,"0000"),B1334),Addendum!F:F,"X")&gt;0,2.5%,0)</f>
        <v>0</v>
      </c>
      <c r="K1334" s="31">
        <f>IF(COUNTIFS(Addendum!C:C,A1334,Addendum!D:D,IF(ISNUMBER(B1334),TEXT(B1334,"0000"),B1334),Addendum!G:G,"X")&gt;0,7%,0)</f>
        <v>0</v>
      </c>
      <c r="L1334" s="31">
        <f>IF(COUNTIFS(Addendum!C:C,A1334,Addendum!D:D,IF(ISNUMBER(B1334),TEXT(B1334,"0000"),B1334),Addendum!I:I,"X")&gt;0,10%,0)</f>
        <v>0</v>
      </c>
      <c r="M1334" s="34">
        <f t="shared" si="40"/>
        <v>0</v>
      </c>
      <c r="N1334" s="17">
        <f t="shared" si="41"/>
        <v>538104</v>
      </c>
    </row>
    <row r="1335" spans="1:14" x14ac:dyDescent="0.25">
      <c r="A1335" s="14" t="s">
        <v>2170</v>
      </c>
      <c r="B1335" s="14">
        <v>13</v>
      </c>
      <c r="C1335" s="15" t="s">
        <v>2185</v>
      </c>
      <c r="D1335" s="14" t="s">
        <v>1745</v>
      </c>
      <c r="E1335" s="14" t="s">
        <v>1746</v>
      </c>
      <c r="F1335" s="17" t="s">
        <v>2994</v>
      </c>
      <c r="G1335" s="14">
        <v>807156</v>
      </c>
      <c r="H1335" s="14">
        <v>565009.19999999995</v>
      </c>
      <c r="I1335" s="31">
        <f>IF(COUNTIFS(Addendum!C:C,A1335,Addendum!D:D,IF(ISNUMBER(B1335),TEXT(B1335,"0000"),B1335),Addendum!E:E,"X")&gt;0,4%,0)</f>
        <v>0</v>
      </c>
      <c r="J1335" s="31">
        <f>IF(COUNTIFS(Addendum!C:C,A1335,Addendum!D:D,IF(ISNUMBER(B1335),TEXT(B1335,"0000"),B1335),Addendum!F:F,"X")&gt;0,2.5%,0)</f>
        <v>0</v>
      </c>
      <c r="K1335" s="31">
        <f>IF(COUNTIFS(Addendum!C:C,A1335,Addendum!D:D,IF(ISNUMBER(B1335),TEXT(B1335,"0000"),B1335),Addendum!G:G,"X")&gt;0,7%,0)</f>
        <v>0</v>
      </c>
      <c r="L1335" s="31">
        <f>IF(COUNTIFS(Addendum!C:C,A1335,Addendum!D:D,IF(ISNUMBER(B1335),TEXT(B1335,"0000"),B1335),Addendum!I:I,"X")&gt;0,10%,0)</f>
        <v>0</v>
      </c>
      <c r="M1335" s="34">
        <f t="shared" si="40"/>
        <v>0</v>
      </c>
      <c r="N1335" s="17">
        <f t="shared" si="41"/>
        <v>565009.19999999995</v>
      </c>
    </row>
    <row r="1336" spans="1:14" x14ac:dyDescent="0.25">
      <c r="A1336" s="14" t="s">
        <v>2170</v>
      </c>
      <c r="B1336" s="14">
        <v>17</v>
      </c>
      <c r="C1336" s="15" t="s">
        <v>2180</v>
      </c>
      <c r="D1336" s="14" t="s">
        <v>1745</v>
      </c>
      <c r="E1336" s="14" t="s">
        <v>1746</v>
      </c>
      <c r="F1336" s="17" t="s">
        <v>2995</v>
      </c>
      <c r="G1336" s="14">
        <v>1701</v>
      </c>
      <c r="H1336" s="14">
        <v>1530.96</v>
      </c>
      <c r="I1336" s="31">
        <f>IF(COUNTIFS(Addendum!C:C,A1336,Addendum!D:D,IF(ISNUMBER(B1336),TEXT(B1336,"0000"),B1336),Addendum!E:E,"X")&gt;0,4%,0)</f>
        <v>0</v>
      </c>
      <c r="J1336" s="31">
        <f>IF(COUNTIFS(Addendum!C:C,A1336,Addendum!D:D,IF(ISNUMBER(B1336),TEXT(B1336,"0000"),B1336),Addendum!F:F,"X")&gt;0,2.5%,0)</f>
        <v>0</v>
      </c>
      <c r="K1336" s="31">
        <f>IF(COUNTIFS(Addendum!C:C,A1336,Addendum!D:D,IF(ISNUMBER(B1336),TEXT(B1336,"0000"),B1336),Addendum!G:G,"X")&gt;0,7%,0)</f>
        <v>0</v>
      </c>
      <c r="L1336" s="31">
        <f>IF(COUNTIFS(Addendum!C:C,A1336,Addendum!D:D,IF(ISNUMBER(B1336),TEXT(B1336,"0000"),B1336),Addendum!I:I,"X")&gt;0,10%,0)</f>
        <v>0</v>
      </c>
      <c r="M1336" s="34">
        <f t="shared" si="40"/>
        <v>0</v>
      </c>
      <c r="N1336" s="17">
        <f t="shared" si="41"/>
        <v>1530.96</v>
      </c>
    </row>
    <row r="1337" spans="1:14" x14ac:dyDescent="0.25">
      <c r="A1337" s="14" t="s">
        <v>2170</v>
      </c>
      <c r="B1337" s="14">
        <v>12</v>
      </c>
      <c r="C1337" s="15" t="s">
        <v>2186</v>
      </c>
      <c r="D1337" s="14" t="s">
        <v>1749</v>
      </c>
      <c r="E1337" s="14" t="s">
        <v>1746</v>
      </c>
      <c r="F1337" s="17" t="s">
        <v>2994</v>
      </c>
      <c r="G1337" s="14">
        <v>7410</v>
      </c>
      <c r="H1337" s="14">
        <v>5187</v>
      </c>
      <c r="I1337" s="31">
        <f>IF(COUNTIFS(Addendum!C:C,A1337,Addendum!D:D,IF(ISNUMBER(B1337),TEXT(B1337,"0000"),B1337),Addendum!E:E,"X")&gt;0,4%,0)</f>
        <v>0</v>
      </c>
      <c r="J1337" s="31">
        <f>IF(COUNTIFS(Addendum!C:C,A1337,Addendum!D:D,IF(ISNUMBER(B1337),TEXT(B1337,"0000"),B1337),Addendum!F:F,"X")&gt;0,2.5%,0)</f>
        <v>0</v>
      </c>
      <c r="K1337" s="31">
        <f>IF(COUNTIFS(Addendum!C:C,A1337,Addendum!D:D,IF(ISNUMBER(B1337),TEXT(B1337,"0000"),B1337),Addendum!G:G,"X")&gt;0,7%,0)</f>
        <v>0</v>
      </c>
      <c r="L1337" s="31">
        <f>IF(COUNTIFS(Addendum!C:C,A1337,Addendum!D:D,IF(ISNUMBER(B1337),TEXT(B1337,"0000"),B1337),Addendum!I:I,"X")&gt;0,10%,0)</f>
        <v>0</v>
      </c>
      <c r="M1337" s="34">
        <f t="shared" si="40"/>
        <v>0</v>
      </c>
      <c r="N1337" s="17">
        <f t="shared" si="41"/>
        <v>5187</v>
      </c>
    </row>
    <row r="1338" spans="1:14" x14ac:dyDescent="0.25">
      <c r="A1338" s="14" t="s">
        <v>2170</v>
      </c>
      <c r="B1338" s="14" t="s">
        <v>583</v>
      </c>
      <c r="C1338" s="15" t="s">
        <v>2175</v>
      </c>
      <c r="D1338" s="14" t="s">
        <v>1752</v>
      </c>
      <c r="E1338" s="14" t="s">
        <v>1746</v>
      </c>
      <c r="F1338" s="17" t="s">
        <v>2995</v>
      </c>
      <c r="G1338" s="14">
        <v>1761102</v>
      </c>
      <c r="H1338" s="14">
        <v>1584992</v>
      </c>
      <c r="I1338" s="31">
        <f>IF(COUNTIFS(Addendum!C:C,A1338,Addendum!D:D,IF(ISNUMBER(B1338),TEXT(B1338,"0000"),B1338),Addendum!E:E,"X")&gt;0,4%,0)</f>
        <v>0</v>
      </c>
      <c r="J1338" s="31">
        <f>IF(COUNTIFS(Addendum!C:C,A1338,Addendum!D:D,IF(ISNUMBER(B1338),TEXT(B1338,"0000"),B1338),Addendum!F:F,"X")&gt;0,2.5%,0)</f>
        <v>0</v>
      </c>
      <c r="K1338" s="31">
        <f>IF(COUNTIFS(Addendum!C:C,A1338,Addendum!D:D,IF(ISNUMBER(B1338),TEXT(B1338,"0000"),B1338),Addendum!G:G,"X")&gt;0,7%,0)</f>
        <v>0</v>
      </c>
      <c r="L1338" s="31">
        <f>IF(COUNTIFS(Addendum!C:C,A1338,Addendum!D:D,IF(ISNUMBER(B1338),TEXT(B1338,"0000"),B1338),Addendum!I:I,"X")&gt;0,10%,0)</f>
        <v>0</v>
      </c>
      <c r="M1338" s="34">
        <f t="shared" si="40"/>
        <v>0</v>
      </c>
      <c r="N1338" s="17">
        <f t="shared" si="41"/>
        <v>1584992</v>
      </c>
    </row>
    <row r="1339" spans="1:14" x14ac:dyDescent="0.25">
      <c r="A1339" s="14" t="s">
        <v>2170</v>
      </c>
      <c r="B1339" s="14">
        <v>17</v>
      </c>
      <c r="C1339" s="15" t="s">
        <v>2180</v>
      </c>
      <c r="D1339" s="14" t="s">
        <v>1752</v>
      </c>
      <c r="E1339" s="14" t="s">
        <v>1747</v>
      </c>
      <c r="F1339" s="17" t="s">
        <v>2995</v>
      </c>
      <c r="G1339" s="14">
        <v>4860</v>
      </c>
      <c r="H1339" s="14">
        <v>4374</v>
      </c>
      <c r="I1339" s="31">
        <f>IF(COUNTIFS(Addendum!C:C,A1339,Addendum!D:D,IF(ISNUMBER(B1339),TEXT(B1339,"0000"),B1339),Addendum!E:E,"X")&gt;0,4%,0)</f>
        <v>0</v>
      </c>
      <c r="J1339" s="31">
        <f>IF(COUNTIFS(Addendum!C:C,A1339,Addendum!D:D,IF(ISNUMBER(B1339),TEXT(B1339,"0000"),B1339),Addendum!F:F,"X")&gt;0,2.5%,0)</f>
        <v>0</v>
      </c>
      <c r="K1339" s="31">
        <f>IF(COUNTIFS(Addendum!C:C,A1339,Addendum!D:D,IF(ISNUMBER(B1339),TEXT(B1339,"0000"),B1339),Addendum!G:G,"X")&gt;0,7%,0)</f>
        <v>0</v>
      </c>
      <c r="L1339" s="31">
        <f>IF(COUNTIFS(Addendum!C:C,A1339,Addendum!D:D,IF(ISNUMBER(B1339),TEXT(B1339,"0000"),B1339),Addendum!I:I,"X")&gt;0,10%,0)</f>
        <v>0</v>
      </c>
      <c r="M1339" s="34">
        <f t="shared" si="40"/>
        <v>0</v>
      </c>
      <c r="N1339" s="17">
        <f t="shared" si="41"/>
        <v>4374</v>
      </c>
    </row>
    <row r="1340" spans="1:14" x14ac:dyDescent="0.25">
      <c r="A1340" s="14" t="s">
        <v>2170</v>
      </c>
      <c r="B1340" s="14">
        <v>18</v>
      </c>
      <c r="C1340" s="15" t="s">
        <v>2184</v>
      </c>
      <c r="D1340" s="14" t="s">
        <v>1749</v>
      </c>
      <c r="E1340" s="14" t="s">
        <v>1746</v>
      </c>
      <c r="F1340" s="17" t="s">
        <v>2994</v>
      </c>
      <c r="G1340" s="14">
        <v>5394</v>
      </c>
      <c r="H1340" s="14">
        <v>3775.8</v>
      </c>
      <c r="I1340" s="31">
        <f>IF(COUNTIFS(Addendum!C:C,A1340,Addendum!D:D,IF(ISNUMBER(B1340),TEXT(B1340,"0000"),B1340),Addendum!E:E,"X")&gt;0,4%,0)</f>
        <v>0</v>
      </c>
      <c r="J1340" s="31">
        <f>IF(COUNTIFS(Addendum!C:C,A1340,Addendum!D:D,IF(ISNUMBER(B1340),TEXT(B1340,"0000"),B1340),Addendum!F:F,"X")&gt;0,2.5%,0)</f>
        <v>0</v>
      </c>
      <c r="K1340" s="31">
        <f>IF(COUNTIFS(Addendum!C:C,A1340,Addendum!D:D,IF(ISNUMBER(B1340),TEXT(B1340,"0000"),B1340),Addendum!G:G,"X")&gt;0,7%,0)</f>
        <v>0</v>
      </c>
      <c r="L1340" s="31">
        <f>IF(COUNTIFS(Addendum!C:C,A1340,Addendum!D:D,IF(ISNUMBER(B1340),TEXT(B1340,"0000"),B1340),Addendum!I:I,"X")&gt;0,10%,0)</f>
        <v>0</v>
      </c>
      <c r="M1340" s="34">
        <f t="shared" si="40"/>
        <v>0</v>
      </c>
      <c r="N1340" s="17">
        <f t="shared" si="41"/>
        <v>3775.8</v>
      </c>
    </row>
    <row r="1341" spans="1:14" x14ac:dyDescent="0.25">
      <c r="A1341" s="14" t="s">
        <v>2170</v>
      </c>
      <c r="B1341" s="14">
        <v>11</v>
      </c>
      <c r="C1341" s="15" t="s">
        <v>2177</v>
      </c>
      <c r="D1341" s="14" t="s">
        <v>1745</v>
      </c>
      <c r="E1341" s="14" t="s">
        <v>1747</v>
      </c>
      <c r="F1341" s="17" t="s">
        <v>2995</v>
      </c>
      <c r="G1341" s="14">
        <v>53940</v>
      </c>
      <c r="H1341" s="14">
        <v>48546</v>
      </c>
      <c r="I1341" s="31">
        <f>IF(COUNTIFS(Addendum!C:C,A1341,Addendum!D:D,IF(ISNUMBER(B1341),TEXT(B1341,"0000"),B1341),Addendum!E:E,"X")&gt;0,4%,0)</f>
        <v>0</v>
      </c>
      <c r="J1341" s="31">
        <f>IF(COUNTIFS(Addendum!C:C,A1341,Addendum!D:D,IF(ISNUMBER(B1341),TEXT(B1341,"0000"),B1341),Addendum!F:F,"X")&gt;0,2.5%,0)</f>
        <v>0</v>
      </c>
      <c r="K1341" s="31">
        <f>IF(COUNTIFS(Addendum!C:C,A1341,Addendum!D:D,IF(ISNUMBER(B1341),TEXT(B1341,"0000"),B1341),Addendum!G:G,"X")&gt;0,7%,0)</f>
        <v>0</v>
      </c>
      <c r="L1341" s="31">
        <f>IF(COUNTIFS(Addendum!C:C,A1341,Addendum!D:D,IF(ISNUMBER(B1341),TEXT(B1341,"0000"),B1341),Addendum!I:I,"X")&gt;0,10%,0)</f>
        <v>0</v>
      </c>
      <c r="M1341" s="34">
        <f t="shared" si="40"/>
        <v>0</v>
      </c>
      <c r="N1341" s="17">
        <f t="shared" si="41"/>
        <v>48546</v>
      </c>
    </row>
    <row r="1342" spans="1:14" x14ac:dyDescent="0.25">
      <c r="A1342" s="14" t="s">
        <v>2170</v>
      </c>
      <c r="B1342" s="14">
        <v>18</v>
      </c>
      <c r="C1342" s="15" t="s">
        <v>2184</v>
      </c>
      <c r="D1342" s="14" t="s">
        <v>1745</v>
      </c>
      <c r="E1342" s="14" t="s">
        <v>1747</v>
      </c>
      <c r="F1342" s="17" t="s">
        <v>2994</v>
      </c>
      <c r="G1342" s="14">
        <v>53940</v>
      </c>
      <c r="H1342" s="14">
        <v>37758</v>
      </c>
      <c r="I1342" s="31">
        <f>IF(COUNTIFS(Addendum!C:C,A1342,Addendum!D:D,IF(ISNUMBER(B1342),TEXT(B1342,"0000"),B1342),Addendum!E:E,"X")&gt;0,4%,0)</f>
        <v>0</v>
      </c>
      <c r="J1342" s="31">
        <f>IF(COUNTIFS(Addendum!C:C,A1342,Addendum!D:D,IF(ISNUMBER(B1342),TEXT(B1342,"0000"),B1342),Addendum!F:F,"X")&gt;0,2.5%,0)</f>
        <v>0</v>
      </c>
      <c r="K1342" s="31">
        <f>IF(COUNTIFS(Addendum!C:C,A1342,Addendum!D:D,IF(ISNUMBER(B1342),TEXT(B1342,"0000"),B1342),Addendum!G:G,"X")&gt;0,7%,0)</f>
        <v>0</v>
      </c>
      <c r="L1342" s="31">
        <f>IF(COUNTIFS(Addendum!C:C,A1342,Addendum!D:D,IF(ISNUMBER(B1342),TEXT(B1342,"0000"),B1342),Addendum!I:I,"X")&gt;0,10%,0)</f>
        <v>0</v>
      </c>
      <c r="M1342" s="34">
        <f t="shared" si="40"/>
        <v>0</v>
      </c>
      <c r="N1342" s="17">
        <f t="shared" si="41"/>
        <v>37758</v>
      </c>
    </row>
    <row r="1343" spans="1:14" ht="30" x14ac:dyDescent="0.25">
      <c r="A1343" s="14" t="s">
        <v>2170</v>
      </c>
      <c r="B1343" s="14">
        <v>14</v>
      </c>
      <c r="C1343" s="15" t="s">
        <v>2182</v>
      </c>
      <c r="D1343" s="14" t="s">
        <v>1745</v>
      </c>
      <c r="E1343" s="14" t="s">
        <v>1746</v>
      </c>
      <c r="F1343" s="17" t="s">
        <v>2995</v>
      </c>
      <c r="G1343" s="14">
        <v>12600</v>
      </c>
      <c r="H1343" s="14">
        <v>11340</v>
      </c>
      <c r="I1343" s="31">
        <f>IF(COUNTIFS(Addendum!C:C,A1343,Addendum!D:D,IF(ISNUMBER(B1343),TEXT(B1343,"0000"),B1343),Addendum!E:E,"X")&gt;0,4%,0)</f>
        <v>0</v>
      </c>
      <c r="J1343" s="31">
        <f>IF(COUNTIFS(Addendum!C:C,A1343,Addendum!D:D,IF(ISNUMBER(B1343),TEXT(B1343,"0000"),B1343),Addendum!F:F,"X")&gt;0,2.5%,0)</f>
        <v>0</v>
      </c>
      <c r="K1343" s="31">
        <f>IF(COUNTIFS(Addendum!C:C,A1343,Addendum!D:D,IF(ISNUMBER(B1343),TEXT(B1343,"0000"),B1343),Addendum!G:G,"X")&gt;0,7%,0)</f>
        <v>0</v>
      </c>
      <c r="L1343" s="31">
        <f>IF(COUNTIFS(Addendum!C:C,A1343,Addendum!D:D,IF(ISNUMBER(B1343),TEXT(B1343,"0000"),B1343),Addendum!I:I,"X")&gt;0,10%,0)</f>
        <v>0</v>
      </c>
      <c r="M1343" s="34">
        <f t="shared" si="40"/>
        <v>0</v>
      </c>
      <c r="N1343" s="17">
        <f t="shared" si="41"/>
        <v>11340</v>
      </c>
    </row>
    <row r="1344" spans="1:14" ht="30" x14ac:dyDescent="0.25">
      <c r="A1344" s="14" t="s">
        <v>2170</v>
      </c>
      <c r="B1344" s="14">
        <v>15</v>
      </c>
      <c r="C1344" s="15" t="s">
        <v>2173</v>
      </c>
      <c r="D1344" s="14" t="s">
        <v>1745</v>
      </c>
      <c r="E1344" s="14" t="s">
        <v>1747</v>
      </c>
      <c r="F1344" s="17" t="s">
        <v>2994</v>
      </c>
      <c r="G1344" s="14">
        <v>16500</v>
      </c>
      <c r="H1344" s="14">
        <v>11550</v>
      </c>
      <c r="I1344" s="31">
        <f>IF(COUNTIFS(Addendum!C:C,A1344,Addendum!D:D,IF(ISNUMBER(B1344),TEXT(B1344,"0000"),B1344),Addendum!E:E,"X")&gt;0,4%,0)</f>
        <v>0</v>
      </c>
      <c r="J1344" s="31">
        <f>IF(COUNTIFS(Addendum!C:C,A1344,Addendum!D:D,IF(ISNUMBER(B1344),TEXT(B1344,"0000"),B1344),Addendum!F:F,"X")&gt;0,2.5%,0)</f>
        <v>0</v>
      </c>
      <c r="K1344" s="31">
        <f>IF(COUNTIFS(Addendum!C:C,A1344,Addendum!D:D,IF(ISNUMBER(B1344),TEXT(B1344,"0000"),B1344),Addendum!G:G,"X")&gt;0,7%,0)</f>
        <v>0</v>
      </c>
      <c r="L1344" s="31">
        <f>IF(COUNTIFS(Addendum!C:C,A1344,Addendum!D:D,IF(ISNUMBER(B1344),TEXT(B1344,"0000"),B1344),Addendum!I:I,"X")&gt;0,10%,0)</f>
        <v>0</v>
      </c>
      <c r="M1344" s="34">
        <f t="shared" si="40"/>
        <v>0</v>
      </c>
      <c r="N1344" s="17">
        <f t="shared" si="41"/>
        <v>11550</v>
      </c>
    </row>
    <row r="1345" spans="1:14" x14ac:dyDescent="0.25">
      <c r="A1345" s="14" t="s">
        <v>2170</v>
      </c>
      <c r="B1345" s="14">
        <v>12</v>
      </c>
      <c r="C1345" s="15" t="s">
        <v>2186</v>
      </c>
      <c r="D1345" s="14" t="s">
        <v>1745</v>
      </c>
      <c r="E1345" s="14" t="s">
        <v>1747</v>
      </c>
      <c r="F1345" s="17" t="s">
        <v>2994</v>
      </c>
      <c r="G1345" s="14">
        <v>74100</v>
      </c>
      <c r="H1345" s="14">
        <v>51870</v>
      </c>
      <c r="I1345" s="31">
        <f>IF(COUNTIFS(Addendum!C:C,A1345,Addendum!D:D,IF(ISNUMBER(B1345),TEXT(B1345,"0000"),B1345),Addendum!E:E,"X")&gt;0,4%,0)</f>
        <v>0</v>
      </c>
      <c r="J1345" s="31">
        <f>IF(COUNTIFS(Addendum!C:C,A1345,Addendum!D:D,IF(ISNUMBER(B1345),TEXT(B1345,"0000"),B1345),Addendum!F:F,"X")&gt;0,2.5%,0)</f>
        <v>0</v>
      </c>
      <c r="K1345" s="31">
        <f>IF(COUNTIFS(Addendum!C:C,A1345,Addendum!D:D,IF(ISNUMBER(B1345),TEXT(B1345,"0000"),B1345),Addendum!G:G,"X")&gt;0,7%,0)</f>
        <v>0</v>
      </c>
      <c r="L1345" s="31">
        <f>IF(COUNTIFS(Addendum!C:C,A1345,Addendum!D:D,IF(ISNUMBER(B1345),TEXT(B1345,"0000"),B1345),Addendum!I:I,"X")&gt;0,10%,0)</f>
        <v>0</v>
      </c>
      <c r="M1345" s="34">
        <f t="shared" si="40"/>
        <v>0</v>
      </c>
      <c r="N1345" s="17">
        <f t="shared" si="41"/>
        <v>51870</v>
      </c>
    </row>
    <row r="1346" spans="1:14" x14ac:dyDescent="0.25">
      <c r="A1346" s="14" t="s">
        <v>2170</v>
      </c>
      <c r="B1346" s="14">
        <v>1</v>
      </c>
      <c r="C1346" s="15" t="s">
        <v>2178</v>
      </c>
      <c r="D1346" s="14" t="s">
        <v>1752</v>
      </c>
      <c r="E1346" s="14" t="s">
        <v>1753</v>
      </c>
      <c r="F1346" s="17" t="s">
        <v>2993</v>
      </c>
      <c r="G1346" s="14">
        <v>404280</v>
      </c>
      <c r="H1346" s="14">
        <v>282996</v>
      </c>
      <c r="I1346" s="31">
        <f>IF(COUNTIFS(Addendum!C:C,A1346,Addendum!D:D,IF(ISNUMBER(B1346),TEXT(B1346,"0000"),B1346),Addendum!E:E,"X")&gt;0,4%,0)</f>
        <v>0</v>
      </c>
      <c r="J1346" s="31">
        <f>IF(COUNTIFS(Addendum!C:C,A1346,Addendum!D:D,IF(ISNUMBER(B1346),TEXT(B1346,"0000"),B1346),Addendum!F:F,"X")&gt;0,2.5%,0)</f>
        <v>0</v>
      </c>
      <c r="K1346" s="31">
        <f>IF(COUNTIFS(Addendum!C:C,A1346,Addendum!D:D,IF(ISNUMBER(B1346),TEXT(B1346,"0000"),B1346),Addendum!G:G,"X")&gt;0,7%,0)</f>
        <v>0</v>
      </c>
      <c r="L1346" s="31">
        <f>IF(COUNTIFS(Addendum!C:C,A1346,Addendum!D:D,IF(ISNUMBER(B1346),TEXT(B1346,"0000"),B1346),Addendum!I:I,"X")&gt;0,10%,0)</f>
        <v>0</v>
      </c>
      <c r="M1346" s="34">
        <f t="shared" si="40"/>
        <v>0</v>
      </c>
      <c r="N1346" s="17">
        <f t="shared" si="41"/>
        <v>282996</v>
      </c>
    </row>
    <row r="1347" spans="1:14" x14ac:dyDescent="0.25">
      <c r="A1347" s="14" t="s">
        <v>2170</v>
      </c>
      <c r="B1347" s="14">
        <v>1</v>
      </c>
      <c r="C1347" s="15" t="s">
        <v>2178</v>
      </c>
      <c r="D1347" s="14" t="s">
        <v>1745</v>
      </c>
      <c r="E1347" s="14" t="s">
        <v>1747</v>
      </c>
      <c r="F1347" s="17" t="s">
        <v>2993</v>
      </c>
      <c r="G1347" s="14">
        <v>134760</v>
      </c>
      <c r="H1347" s="14">
        <v>94332</v>
      </c>
      <c r="I1347" s="31">
        <f>IF(COUNTIFS(Addendum!C:C,A1347,Addendum!D:D,IF(ISNUMBER(B1347),TEXT(B1347,"0000"),B1347),Addendum!E:E,"X")&gt;0,4%,0)</f>
        <v>0</v>
      </c>
      <c r="J1347" s="31">
        <f>IF(COUNTIFS(Addendum!C:C,A1347,Addendum!D:D,IF(ISNUMBER(B1347),TEXT(B1347,"0000"),B1347),Addendum!F:F,"X")&gt;0,2.5%,0)</f>
        <v>0</v>
      </c>
      <c r="K1347" s="31">
        <f>IF(COUNTIFS(Addendum!C:C,A1347,Addendum!D:D,IF(ISNUMBER(B1347),TEXT(B1347,"0000"),B1347),Addendum!G:G,"X")&gt;0,7%,0)</f>
        <v>0</v>
      </c>
      <c r="L1347" s="31">
        <f>IF(COUNTIFS(Addendum!C:C,A1347,Addendum!D:D,IF(ISNUMBER(B1347),TEXT(B1347,"0000"),B1347),Addendum!I:I,"X")&gt;0,10%,0)</f>
        <v>0</v>
      </c>
      <c r="M1347" s="34">
        <f t="shared" si="40"/>
        <v>0</v>
      </c>
      <c r="N1347" s="17">
        <f t="shared" si="41"/>
        <v>94332</v>
      </c>
    </row>
    <row r="1348" spans="1:14" ht="30" x14ac:dyDescent="0.25">
      <c r="A1348" s="14" t="s">
        <v>2170</v>
      </c>
      <c r="B1348" s="14">
        <v>14</v>
      </c>
      <c r="C1348" s="15" t="s">
        <v>2182</v>
      </c>
      <c r="D1348" s="14" t="s">
        <v>1745</v>
      </c>
      <c r="E1348" s="14" t="s">
        <v>1747</v>
      </c>
      <c r="F1348" s="17" t="s">
        <v>2995</v>
      </c>
      <c r="G1348" s="14">
        <v>12000</v>
      </c>
      <c r="H1348" s="14">
        <v>10800</v>
      </c>
      <c r="I1348" s="31">
        <f>IF(COUNTIFS(Addendum!C:C,A1348,Addendum!D:D,IF(ISNUMBER(B1348),TEXT(B1348,"0000"),B1348),Addendum!E:E,"X")&gt;0,4%,0)</f>
        <v>0</v>
      </c>
      <c r="J1348" s="31">
        <f>IF(COUNTIFS(Addendum!C:C,A1348,Addendum!D:D,IF(ISNUMBER(B1348),TEXT(B1348,"0000"),B1348),Addendum!F:F,"X")&gt;0,2.5%,0)</f>
        <v>0</v>
      </c>
      <c r="K1348" s="31">
        <f>IF(COUNTIFS(Addendum!C:C,A1348,Addendum!D:D,IF(ISNUMBER(B1348),TEXT(B1348,"0000"),B1348),Addendum!G:G,"X")&gt;0,7%,0)</f>
        <v>0</v>
      </c>
      <c r="L1348" s="31">
        <f>IF(COUNTIFS(Addendum!C:C,A1348,Addendum!D:D,IF(ISNUMBER(B1348),TEXT(B1348,"0000"),B1348),Addendum!I:I,"X")&gt;0,10%,0)</f>
        <v>0</v>
      </c>
      <c r="M1348" s="34">
        <f t="shared" ref="M1348:M1411" si="42">IF(AND(I1348=0%,J1348=0%,K1348=0%,L1348=0%),0%,
IF(OR(TRIM(E1348)="OneTime",TRIM(D1348)=""),0%,
IF(
OR(
TRIM(D1348)="P1M",
AND(TRIM(D1348)="P1Y",TRIM(E1348)="Monthly"),
AND(TRIM(D1348)="P3Y",TRIM(E1348)="Monthly")
),
IF(AND(I1348=4%,J1348=0%,K1348=0%,L1348=0%),1%,
IF(AND(I1348=4%,J1348=2.5%,K1348=0%,L1348=10%),2%,
IF(AND(I1348=4%,J1348=0%,K1348=7%,L1348=10%),3%,0%))),
IF(
OR(
AND(TRIM(D1348)="P1Y",TRIM(E1348)="Annual"),
AND(TRIM(D1348)="P3Y",TRIM(E1348)="Annual"),
AND(TRIM(D1348)="P3Y",TRIM(E1348)="Triennial")
),
IF(AND(I1348=4%,J1348=0%,K1348=0%,L1348=0%),3%,
IF(AND(I1348=4%,J1348=2.5%,K1348=0%,L1348=10%),10%,
IF(AND(I1348=4%,J1348=0%,K1348=7%,L1348=10%),14%,0%))),
0%
))))</f>
        <v>0</v>
      </c>
      <c r="N1348" s="17">
        <f t="shared" ref="N1348:N1411" si="43">H1348-(H1348*M1348)</f>
        <v>10800</v>
      </c>
    </row>
    <row r="1349" spans="1:14" x14ac:dyDescent="0.25">
      <c r="A1349" s="14" t="s">
        <v>2170</v>
      </c>
      <c r="B1349" s="14">
        <v>2</v>
      </c>
      <c r="C1349" s="15" t="s">
        <v>2171</v>
      </c>
      <c r="D1349" s="14" t="s">
        <v>1752</v>
      </c>
      <c r="E1349" s="14" t="s">
        <v>1753</v>
      </c>
      <c r="F1349" s="17" t="s">
        <v>2993</v>
      </c>
      <c r="G1349" s="14">
        <v>12060</v>
      </c>
      <c r="H1349" s="14">
        <v>8442</v>
      </c>
      <c r="I1349" s="31">
        <f>IF(COUNTIFS(Addendum!C:C,A1349,Addendum!D:D,IF(ISNUMBER(B1349),TEXT(B1349,"0000"),B1349),Addendum!E:E,"X")&gt;0,4%,0)</f>
        <v>0</v>
      </c>
      <c r="J1349" s="31">
        <f>IF(COUNTIFS(Addendum!C:C,A1349,Addendum!D:D,IF(ISNUMBER(B1349),TEXT(B1349,"0000"),B1349),Addendum!F:F,"X")&gt;0,2.5%,0)</f>
        <v>0</v>
      </c>
      <c r="K1349" s="31">
        <f>IF(COUNTIFS(Addendum!C:C,A1349,Addendum!D:D,IF(ISNUMBER(B1349),TEXT(B1349,"0000"),B1349),Addendum!G:G,"X")&gt;0,7%,0)</f>
        <v>0</v>
      </c>
      <c r="L1349" s="31">
        <f>IF(COUNTIFS(Addendum!C:C,A1349,Addendum!D:D,IF(ISNUMBER(B1349),TEXT(B1349,"0000"),B1349),Addendum!I:I,"X")&gt;0,10%,0)</f>
        <v>0</v>
      </c>
      <c r="M1349" s="34">
        <f t="shared" si="42"/>
        <v>0</v>
      </c>
      <c r="N1349" s="17">
        <f t="shared" si="43"/>
        <v>8442</v>
      </c>
    </row>
    <row r="1350" spans="1:14" x14ac:dyDescent="0.25">
      <c r="A1350" s="14" t="s">
        <v>2170</v>
      </c>
      <c r="B1350" s="14">
        <v>4</v>
      </c>
      <c r="C1350" s="15" t="s">
        <v>2172</v>
      </c>
      <c r="D1350" s="14" t="s">
        <v>1752</v>
      </c>
      <c r="E1350" s="14" t="s">
        <v>1746</v>
      </c>
      <c r="F1350" s="17" t="s">
        <v>2993</v>
      </c>
      <c r="G1350" s="14">
        <v>4402755</v>
      </c>
      <c r="H1350" s="14">
        <v>3081929</v>
      </c>
      <c r="I1350" s="31">
        <f>IF(COUNTIFS(Addendum!C:C,A1350,Addendum!D:D,IF(ISNUMBER(B1350),TEXT(B1350,"0000"),B1350),Addendum!E:E,"X")&gt;0,4%,0)</f>
        <v>0</v>
      </c>
      <c r="J1350" s="31">
        <f>IF(COUNTIFS(Addendum!C:C,A1350,Addendum!D:D,IF(ISNUMBER(B1350),TEXT(B1350,"0000"),B1350),Addendum!F:F,"X")&gt;0,2.5%,0)</f>
        <v>0</v>
      </c>
      <c r="K1350" s="31">
        <f>IF(COUNTIFS(Addendum!C:C,A1350,Addendum!D:D,IF(ISNUMBER(B1350),TEXT(B1350,"0000"),B1350),Addendum!G:G,"X")&gt;0,7%,0)</f>
        <v>0</v>
      </c>
      <c r="L1350" s="31">
        <f>IF(COUNTIFS(Addendum!C:C,A1350,Addendum!D:D,IF(ISNUMBER(B1350),TEXT(B1350,"0000"),B1350),Addendum!I:I,"X")&gt;0,10%,0)</f>
        <v>0</v>
      </c>
      <c r="M1350" s="34">
        <f t="shared" si="42"/>
        <v>0</v>
      </c>
      <c r="N1350" s="17">
        <f t="shared" si="43"/>
        <v>3081929</v>
      </c>
    </row>
    <row r="1351" spans="1:14" x14ac:dyDescent="0.25">
      <c r="A1351" s="14" t="s">
        <v>2170</v>
      </c>
      <c r="B1351" s="14">
        <v>11</v>
      </c>
      <c r="C1351" s="15" t="s">
        <v>2177</v>
      </c>
      <c r="D1351" s="14" t="s">
        <v>1752</v>
      </c>
      <c r="E1351" s="14" t="s">
        <v>1746</v>
      </c>
      <c r="F1351" s="17" t="s">
        <v>2995</v>
      </c>
      <c r="G1351" s="14">
        <v>169911</v>
      </c>
      <c r="H1351" s="14">
        <v>152920.1</v>
      </c>
      <c r="I1351" s="31">
        <f>IF(COUNTIFS(Addendum!C:C,A1351,Addendum!D:D,IF(ISNUMBER(B1351),TEXT(B1351,"0000"),B1351),Addendum!E:E,"X")&gt;0,4%,0)</f>
        <v>0</v>
      </c>
      <c r="J1351" s="31">
        <f>IF(COUNTIFS(Addendum!C:C,A1351,Addendum!D:D,IF(ISNUMBER(B1351),TEXT(B1351,"0000"),B1351),Addendum!F:F,"X")&gt;0,2.5%,0)</f>
        <v>0</v>
      </c>
      <c r="K1351" s="31">
        <f>IF(COUNTIFS(Addendum!C:C,A1351,Addendum!D:D,IF(ISNUMBER(B1351),TEXT(B1351,"0000"),B1351),Addendum!G:G,"X")&gt;0,7%,0)</f>
        <v>0</v>
      </c>
      <c r="L1351" s="31">
        <f>IF(COUNTIFS(Addendum!C:C,A1351,Addendum!D:D,IF(ISNUMBER(B1351),TEXT(B1351,"0000"),B1351),Addendum!I:I,"X")&gt;0,10%,0)</f>
        <v>0</v>
      </c>
      <c r="M1351" s="34">
        <f t="shared" si="42"/>
        <v>0</v>
      </c>
      <c r="N1351" s="17">
        <f t="shared" si="43"/>
        <v>152920.1</v>
      </c>
    </row>
    <row r="1352" spans="1:14" x14ac:dyDescent="0.25">
      <c r="A1352" s="14" t="s">
        <v>2170</v>
      </c>
      <c r="B1352" s="14">
        <v>1</v>
      </c>
      <c r="C1352" s="15" t="s">
        <v>2178</v>
      </c>
      <c r="D1352" s="14" t="s">
        <v>1749</v>
      </c>
      <c r="E1352" s="14" t="s">
        <v>1746</v>
      </c>
      <c r="F1352" s="17" t="s">
        <v>2993</v>
      </c>
      <c r="G1352" s="14">
        <v>13476</v>
      </c>
      <c r="H1352" s="14">
        <v>9433.2000000000007</v>
      </c>
      <c r="I1352" s="31">
        <f>IF(COUNTIFS(Addendum!C:C,A1352,Addendum!D:D,IF(ISNUMBER(B1352),TEXT(B1352,"0000"),B1352),Addendum!E:E,"X")&gt;0,4%,0)</f>
        <v>0</v>
      </c>
      <c r="J1352" s="31">
        <f>IF(COUNTIFS(Addendum!C:C,A1352,Addendum!D:D,IF(ISNUMBER(B1352),TEXT(B1352,"0000"),B1352),Addendum!F:F,"X")&gt;0,2.5%,0)</f>
        <v>0</v>
      </c>
      <c r="K1352" s="31">
        <f>IF(COUNTIFS(Addendum!C:C,A1352,Addendum!D:D,IF(ISNUMBER(B1352),TEXT(B1352,"0000"),B1352),Addendum!G:G,"X")&gt;0,7%,0)</f>
        <v>0</v>
      </c>
      <c r="L1352" s="31">
        <f>IF(COUNTIFS(Addendum!C:C,A1352,Addendum!D:D,IF(ISNUMBER(B1352),TEXT(B1352,"0000"),B1352),Addendum!I:I,"X")&gt;0,10%,0)</f>
        <v>0</v>
      </c>
      <c r="M1352" s="34">
        <f t="shared" si="42"/>
        <v>0</v>
      </c>
      <c r="N1352" s="17">
        <f t="shared" si="43"/>
        <v>9433.2000000000007</v>
      </c>
    </row>
    <row r="1353" spans="1:14" x14ac:dyDescent="0.25">
      <c r="A1353" s="14" t="s">
        <v>2170</v>
      </c>
      <c r="B1353" s="14">
        <v>17</v>
      </c>
      <c r="C1353" s="15" t="s">
        <v>2180</v>
      </c>
      <c r="D1353" s="14" t="s">
        <v>1752</v>
      </c>
      <c r="E1353" s="14" t="s">
        <v>1746</v>
      </c>
      <c r="F1353" s="17" t="s">
        <v>2995</v>
      </c>
      <c r="G1353" s="14">
        <v>5103</v>
      </c>
      <c r="H1353" s="14">
        <v>4592.88</v>
      </c>
      <c r="I1353" s="31">
        <f>IF(COUNTIFS(Addendum!C:C,A1353,Addendum!D:D,IF(ISNUMBER(B1353),TEXT(B1353,"0000"),B1353),Addendum!E:E,"X")&gt;0,4%,0)</f>
        <v>0</v>
      </c>
      <c r="J1353" s="31">
        <f>IF(COUNTIFS(Addendum!C:C,A1353,Addendum!D:D,IF(ISNUMBER(B1353),TEXT(B1353,"0000"),B1353),Addendum!F:F,"X")&gt;0,2.5%,0)</f>
        <v>0</v>
      </c>
      <c r="K1353" s="31">
        <f>IF(COUNTIFS(Addendum!C:C,A1353,Addendum!D:D,IF(ISNUMBER(B1353),TEXT(B1353,"0000"),B1353),Addendum!G:G,"X")&gt;0,7%,0)</f>
        <v>0</v>
      </c>
      <c r="L1353" s="31">
        <f>IF(COUNTIFS(Addendum!C:C,A1353,Addendum!D:D,IF(ISNUMBER(B1353),TEXT(B1353,"0000"),B1353),Addendum!I:I,"X")&gt;0,10%,0)</f>
        <v>0</v>
      </c>
      <c r="M1353" s="34">
        <f t="shared" si="42"/>
        <v>0</v>
      </c>
      <c r="N1353" s="17">
        <f t="shared" si="43"/>
        <v>4592.88</v>
      </c>
    </row>
    <row r="1354" spans="1:14" x14ac:dyDescent="0.25">
      <c r="A1354" s="14" t="s">
        <v>2187</v>
      </c>
      <c r="B1354" s="14" t="s">
        <v>73</v>
      </c>
      <c r="C1354" s="15" t="s">
        <v>2188</v>
      </c>
      <c r="D1354" s="14" t="s">
        <v>1749</v>
      </c>
      <c r="E1354" s="14" t="s">
        <v>1746</v>
      </c>
      <c r="F1354" s="17" t="s">
        <v>2995</v>
      </c>
      <c r="G1354" s="14">
        <v>11982</v>
      </c>
      <c r="H1354" s="14">
        <v>10783.8</v>
      </c>
      <c r="I1354" s="31">
        <f>IF(COUNTIFS(Addendum!C:C,A1354,Addendum!D:D,IF(ISNUMBER(B1354),TEXT(B1354,"0000"),B1354),Addendum!E:E,"X")&gt;0,4%,0)</f>
        <v>0</v>
      </c>
      <c r="J1354" s="31">
        <f>IF(COUNTIFS(Addendum!C:C,A1354,Addendum!D:D,IF(ISNUMBER(B1354),TEXT(B1354,"0000"),B1354),Addendum!F:F,"X")&gt;0,2.5%,0)</f>
        <v>0</v>
      </c>
      <c r="K1354" s="31">
        <f>IF(COUNTIFS(Addendum!C:C,A1354,Addendum!D:D,IF(ISNUMBER(B1354),TEXT(B1354,"0000"),B1354),Addendum!G:G,"X")&gt;0,7%,0)</f>
        <v>0</v>
      </c>
      <c r="L1354" s="31">
        <f>IF(COUNTIFS(Addendum!C:C,A1354,Addendum!D:D,IF(ISNUMBER(B1354),TEXT(B1354,"0000"),B1354),Addendum!I:I,"X")&gt;0,10%,0)</f>
        <v>0</v>
      </c>
      <c r="M1354" s="34">
        <f t="shared" si="42"/>
        <v>0</v>
      </c>
      <c r="N1354" s="17">
        <f t="shared" si="43"/>
        <v>10783.8</v>
      </c>
    </row>
    <row r="1355" spans="1:14" x14ac:dyDescent="0.25">
      <c r="A1355" s="14" t="s">
        <v>2187</v>
      </c>
      <c r="B1355" s="14" t="s">
        <v>24</v>
      </c>
      <c r="C1355" s="15" t="s">
        <v>2189</v>
      </c>
      <c r="D1355" s="14" t="s">
        <v>1749</v>
      </c>
      <c r="E1355" s="14" t="s">
        <v>1746</v>
      </c>
      <c r="F1355" s="17" t="s">
        <v>2995</v>
      </c>
      <c r="G1355" s="14">
        <v>0</v>
      </c>
      <c r="H1355" s="14">
        <v>0</v>
      </c>
      <c r="I1355" s="31">
        <f>IF(COUNTIFS(Addendum!C:C,A1355,Addendum!D:D,IF(ISNUMBER(B1355),TEXT(B1355,"0000"),B1355),Addendum!E:E,"X")&gt;0,4%,0)</f>
        <v>0</v>
      </c>
      <c r="J1355" s="31">
        <f>IF(COUNTIFS(Addendum!C:C,A1355,Addendum!D:D,IF(ISNUMBER(B1355),TEXT(B1355,"0000"),B1355),Addendum!F:F,"X")&gt;0,2.5%,0)</f>
        <v>0</v>
      </c>
      <c r="K1355" s="31">
        <f>IF(COUNTIFS(Addendum!C:C,A1355,Addendum!D:D,IF(ISNUMBER(B1355),TEXT(B1355,"0000"),B1355),Addendum!G:G,"X")&gt;0,7%,0)</f>
        <v>0</v>
      </c>
      <c r="L1355" s="31">
        <f>IF(COUNTIFS(Addendum!C:C,A1355,Addendum!D:D,IF(ISNUMBER(B1355),TEXT(B1355,"0000"),B1355),Addendum!I:I,"X")&gt;0,10%,0)</f>
        <v>0</v>
      </c>
      <c r="M1355" s="34">
        <f t="shared" si="42"/>
        <v>0</v>
      </c>
      <c r="N1355" s="17">
        <f t="shared" si="43"/>
        <v>0</v>
      </c>
    </row>
    <row r="1356" spans="1:14" x14ac:dyDescent="0.25">
      <c r="A1356" s="14" t="s">
        <v>2187</v>
      </c>
      <c r="B1356" s="14" t="s">
        <v>20</v>
      </c>
      <c r="C1356" s="15" t="s">
        <v>2190</v>
      </c>
      <c r="D1356" s="14" t="s">
        <v>1745</v>
      </c>
      <c r="E1356" s="14" t="s">
        <v>1747</v>
      </c>
      <c r="F1356" s="17" t="s">
        <v>2994</v>
      </c>
      <c r="G1356" s="14">
        <v>0</v>
      </c>
      <c r="H1356" s="14">
        <v>0</v>
      </c>
      <c r="I1356" s="31">
        <f>IF(COUNTIFS(Addendum!C:C,A1356,Addendum!D:D,IF(ISNUMBER(B1356),TEXT(B1356,"0000"),B1356),Addendum!E:E,"X")&gt;0,4%,0)</f>
        <v>0</v>
      </c>
      <c r="J1356" s="31">
        <f>IF(COUNTIFS(Addendum!C:C,A1356,Addendum!D:D,IF(ISNUMBER(B1356),TEXT(B1356,"0000"),B1356),Addendum!F:F,"X")&gt;0,2.5%,0)</f>
        <v>0</v>
      </c>
      <c r="K1356" s="31">
        <f>IF(COUNTIFS(Addendum!C:C,A1356,Addendum!D:D,IF(ISNUMBER(B1356),TEXT(B1356,"0000"),B1356),Addendum!G:G,"X")&gt;0,7%,0)</f>
        <v>0</v>
      </c>
      <c r="L1356" s="31">
        <f>IF(COUNTIFS(Addendum!C:C,A1356,Addendum!D:D,IF(ISNUMBER(B1356),TEXT(B1356,"0000"),B1356),Addendum!I:I,"X")&gt;0,10%,0)</f>
        <v>0</v>
      </c>
      <c r="M1356" s="34">
        <f t="shared" si="42"/>
        <v>0</v>
      </c>
      <c r="N1356" s="17">
        <f t="shared" si="43"/>
        <v>0</v>
      </c>
    </row>
    <row r="1357" spans="1:14" x14ac:dyDescent="0.25">
      <c r="A1357" s="14" t="s">
        <v>2187</v>
      </c>
      <c r="B1357" s="14" t="s">
        <v>55</v>
      </c>
      <c r="C1357" s="15" t="s">
        <v>2191</v>
      </c>
      <c r="D1357" s="14" t="s">
        <v>1745</v>
      </c>
      <c r="E1357" s="14" t="s">
        <v>1746</v>
      </c>
      <c r="F1357" s="17" t="s">
        <v>2994</v>
      </c>
      <c r="G1357" s="14">
        <v>125811</v>
      </c>
      <c r="H1357" s="14">
        <v>88067.76</v>
      </c>
      <c r="I1357" s="31">
        <f>IF(COUNTIFS(Addendum!C:C,A1357,Addendum!D:D,IF(ISNUMBER(B1357),TEXT(B1357,"0000"),B1357),Addendum!E:E,"X")&gt;0,4%,0)</f>
        <v>0</v>
      </c>
      <c r="J1357" s="31">
        <f>IF(COUNTIFS(Addendum!C:C,A1357,Addendum!D:D,IF(ISNUMBER(B1357),TEXT(B1357,"0000"),B1357),Addendum!F:F,"X")&gt;0,2.5%,0)</f>
        <v>0</v>
      </c>
      <c r="K1357" s="31">
        <f>IF(COUNTIFS(Addendum!C:C,A1357,Addendum!D:D,IF(ISNUMBER(B1357),TEXT(B1357,"0000"),B1357),Addendum!G:G,"X")&gt;0,7%,0)</f>
        <v>0</v>
      </c>
      <c r="L1357" s="31">
        <f>IF(COUNTIFS(Addendum!C:C,A1357,Addendum!D:D,IF(ISNUMBER(B1357),TEXT(B1357,"0000"),B1357),Addendum!I:I,"X")&gt;0,10%,0)</f>
        <v>0</v>
      </c>
      <c r="M1357" s="34">
        <f t="shared" si="42"/>
        <v>0</v>
      </c>
      <c r="N1357" s="17">
        <f t="shared" si="43"/>
        <v>88067.76</v>
      </c>
    </row>
    <row r="1358" spans="1:14" x14ac:dyDescent="0.25">
      <c r="A1358" s="14" t="s">
        <v>2187</v>
      </c>
      <c r="B1358" s="14">
        <v>4</v>
      </c>
      <c r="C1358" s="15" t="s">
        <v>2192</v>
      </c>
      <c r="D1358" s="14" t="s">
        <v>1745</v>
      </c>
      <c r="E1358" s="14" t="s">
        <v>1747</v>
      </c>
      <c r="F1358" s="17" t="s">
        <v>2993</v>
      </c>
      <c r="G1358" s="14">
        <v>0</v>
      </c>
      <c r="H1358" s="14">
        <v>0</v>
      </c>
      <c r="I1358" s="31">
        <f>IF(COUNTIFS(Addendum!C:C,A1358,Addendum!D:D,IF(ISNUMBER(B1358),TEXT(B1358,"0000"),B1358),Addendum!E:E,"X")&gt;0,4%,0)</f>
        <v>0</v>
      </c>
      <c r="J1358" s="31">
        <f>IF(COUNTIFS(Addendum!C:C,A1358,Addendum!D:D,IF(ISNUMBER(B1358),TEXT(B1358,"0000"),B1358),Addendum!F:F,"X")&gt;0,2.5%,0)</f>
        <v>0</v>
      </c>
      <c r="K1358" s="31">
        <f>IF(COUNTIFS(Addendum!C:C,A1358,Addendum!D:D,IF(ISNUMBER(B1358),TEXT(B1358,"0000"),B1358),Addendum!G:G,"X")&gt;0,7%,0)</f>
        <v>0</v>
      </c>
      <c r="L1358" s="31">
        <f>IF(COUNTIFS(Addendum!C:C,A1358,Addendum!D:D,IF(ISNUMBER(B1358),TEXT(B1358,"0000"),B1358),Addendum!I:I,"X")&gt;0,10%,0)</f>
        <v>0</v>
      </c>
      <c r="M1358" s="34">
        <f t="shared" si="42"/>
        <v>0</v>
      </c>
      <c r="N1358" s="17">
        <f t="shared" si="43"/>
        <v>0</v>
      </c>
    </row>
    <row r="1359" spans="1:14" x14ac:dyDescent="0.25">
      <c r="A1359" s="14" t="s">
        <v>2187</v>
      </c>
      <c r="B1359" s="14" t="s">
        <v>34</v>
      </c>
      <c r="C1359" s="15" t="s">
        <v>2193</v>
      </c>
      <c r="D1359" s="14" t="s">
        <v>1745</v>
      </c>
      <c r="E1359" s="14" t="s">
        <v>1746</v>
      </c>
      <c r="F1359" s="17" t="s">
        <v>2994</v>
      </c>
      <c r="G1359" s="14">
        <v>0</v>
      </c>
      <c r="H1359" s="14">
        <v>0</v>
      </c>
      <c r="I1359" s="31">
        <f>IF(COUNTIFS(Addendum!C:C,A1359,Addendum!D:D,IF(ISNUMBER(B1359),TEXT(B1359,"0000"),B1359),Addendum!E:E,"X")&gt;0,4%,0)</f>
        <v>0</v>
      </c>
      <c r="J1359" s="31">
        <f>IF(COUNTIFS(Addendum!C:C,A1359,Addendum!D:D,IF(ISNUMBER(B1359),TEXT(B1359,"0000"),B1359),Addendum!F:F,"X")&gt;0,2.5%,0)</f>
        <v>0</v>
      </c>
      <c r="K1359" s="31">
        <f>IF(COUNTIFS(Addendum!C:C,A1359,Addendum!D:D,IF(ISNUMBER(B1359),TEXT(B1359,"0000"),B1359),Addendum!G:G,"X")&gt;0,7%,0)</f>
        <v>0</v>
      </c>
      <c r="L1359" s="31">
        <f>IF(COUNTIFS(Addendum!C:C,A1359,Addendum!D:D,IF(ISNUMBER(B1359),TEXT(B1359,"0000"),B1359),Addendum!I:I,"X")&gt;0,10%,0)</f>
        <v>0</v>
      </c>
      <c r="M1359" s="34">
        <f t="shared" si="42"/>
        <v>0</v>
      </c>
      <c r="N1359" s="17">
        <f t="shared" si="43"/>
        <v>0</v>
      </c>
    </row>
    <row r="1360" spans="1:14" x14ac:dyDescent="0.25">
      <c r="A1360" s="14" t="s">
        <v>2187</v>
      </c>
      <c r="B1360" s="14" t="s">
        <v>89</v>
      </c>
      <c r="C1360" s="15" t="s">
        <v>2194</v>
      </c>
      <c r="D1360" s="14" t="s">
        <v>1749</v>
      </c>
      <c r="E1360" s="14" t="s">
        <v>1746</v>
      </c>
      <c r="F1360" s="17" t="s">
        <v>2994</v>
      </c>
      <c r="G1360" s="14">
        <v>16470</v>
      </c>
      <c r="H1360" s="14">
        <v>11529</v>
      </c>
      <c r="I1360" s="31">
        <f>IF(COUNTIFS(Addendum!C:C,A1360,Addendum!D:D,IF(ISNUMBER(B1360),TEXT(B1360,"0000"),B1360),Addendum!E:E,"X")&gt;0,4%,0)</f>
        <v>0</v>
      </c>
      <c r="J1360" s="31">
        <f>IF(COUNTIFS(Addendum!C:C,A1360,Addendum!D:D,IF(ISNUMBER(B1360),TEXT(B1360,"0000"),B1360),Addendum!F:F,"X")&gt;0,2.5%,0)</f>
        <v>0</v>
      </c>
      <c r="K1360" s="31">
        <f>IF(COUNTIFS(Addendum!C:C,A1360,Addendum!D:D,IF(ISNUMBER(B1360),TEXT(B1360,"0000"),B1360),Addendum!G:G,"X")&gt;0,7%,0)</f>
        <v>0</v>
      </c>
      <c r="L1360" s="31">
        <f>IF(COUNTIFS(Addendum!C:C,A1360,Addendum!D:D,IF(ISNUMBER(B1360),TEXT(B1360,"0000"),B1360),Addendum!I:I,"X")&gt;0,10%,0)</f>
        <v>0</v>
      </c>
      <c r="M1360" s="34">
        <f t="shared" si="42"/>
        <v>0</v>
      </c>
      <c r="N1360" s="17">
        <f t="shared" si="43"/>
        <v>11529</v>
      </c>
    </row>
    <row r="1361" spans="1:14" x14ac:dyDescent="0.25">
      <c r="A1361" s="14" t="s">
        <v>2187</v>
      </c>
      <c r="B1361" s="14" t="s">
        <v>34</v>
      </c>
      <c r="C1361" s="15" t="s">
        <v>2193</v>
      </c>
      <c r="D1361" s="14" t="s">
        <v>1749</v>
      </c>
      <c r="E1361" s="14" t="s">
        <v>1746</v>
      </c>
      <c r="F1361" s="17" t="s">
        <v>2994</v>
      </c>
      <c r="G1361" s="14">
        <v>0</v>
      </c>
      <c r="H1361" s="14">
        <v>0</v>
      </c>
      <c r="I1361" s="31">
        <f>IF(COUNTIFS(Addendum!C:C,A1361,Addendum!D:D,IF(ISNUMBER(B1361),TEXT(B1361,"0000"),B1361),Addendum!E:E,"X")&gt;0,4%,0)</f>
        <v>0</v>
      </c>
      <c r="J1361" s="31">
        <f>IF(COUNTIFS(Addendum!C:C,A1361,Addendum!D:D,IF(ISNUMBER(B1361),TEXT(B1361,"0000"),B1361),Addendum!F:F,"X")&gt;0,2.5%,0)</f>
        <v>0</v>
      </c>
      <c r="K1361" s="31">
        <f>IF(COUNTIFS(Addendum!C:C,A1361,Addendum!D:D,IF(ISNUMBER(B1361),TEXT(B1361,"0000"),B1361),Addendum!G:G,"X")&gt;0,7%,0)</f>
        <v>0</v>
      </c>
      <c r="L1361" s="31">
        <f>IF(COUNTIFS(Addendum!C:C,A1361,Addendum!D:D,IF(ISNUMBER(B1361),TEXT(B1361,"0000"),B1361),Addendum!I:I,"X")&gt;0,10%,0)</f>
        <v>0</v>
      </c>
      <c r="M1361" s="34">
        <f t="shared" si="42"/>
        <v>0</v>
      </c>
      <c r="N1361" s="17">
        <f t="shared" si="43"/>
        <v>0</v>
      </c>
    </row>
    <row r="1362" spans="1:14" x14ac:dyDescent="0.25">
      <c r="A1362" s="14" t="s">
        <v>2187</v>
      </c>
      <c r="B1362" s="14" t="s">
        <v>55</v>
      </c>
      <c r="C1362" s="15" t="s">
        <v>2191</v>
      </c>
      <c r="D1362" s="14" t="s">
        <v>1749</v>
      </c>
      <c r="E1362" s="14" t="s">
        <v>1746</v>
      </c>
      <c r="F1362" s="17" t="s">
        <v>2994</v>
      </c>
      <c r="G1362" s="14">
        <v>11982</v>
      </c>
      <c r="H1362" s="14">
        <v>8387.4</v>
      </c>
      <c r="I1362" s="31">
        <f>IF(COUNTIFS(Addendum!C:C,A1362,Addendum!D:D,IF(ISNUMBER(B1362),TEXT(B1362,"0000"),B1362),Addendum!E:E,"X")&gt;0,4%,0)</f>
        <v>0</v>
      </c>
      <c r="J1362" s="31">
        <f>IF(COUNTIFS(Addendum!C:C,A1362,Addendum!D:D,IF(ISNUMBER(B1362),TEXT(B1362,"0000"),B1362),Addendum!F:F,"X")&gt;0,2.5%,0)</f>
        <v>0</v>
      </c>
      <c r="K1362" s="31">
        <f>IF(COUNTIFS(Addendum!C:C,A1362,Addendum!D:D,IF(ISNUMBER(B1362),TEXT(B1362,"0000"),B1362),Addendum!G:G,"X")&gt;0,7%,0)</f>
        <v>0</v>
      </c>
      <c r="L1362" s="31">
        <f>IF(COUNTIFS(Addendum!C:C,A1362,Addendum!D:D,IF(ISNUMBER(B1362),TEXT(B1362,"0000"),B1362),Addendum!I:I,"X")&gt;0,10%,0)</f>
        <v>0</v>
      </c>
      <c r="M1362" s="34">
        <f t="shared" si="42"/>
        <v>0</v>
      </c>
      <c r="N1362" s="17">
        <f t="shared" si="43"/>
        <v>8387.4</v>
      </c>
    </row>
    <row r="1363" spans="1:14" x14ac:dyDescent="0.25">
      <c r="A1363" s="14" t="s">
        <v>2187</v>
      </c>
      <c r="B1363" s="14" t="s">
        <v>73</v>
      </c>
      <c r="C1363" s="15" t="s">
        <v>2188</v>
      </c>
      <c r="D1363" s="14" t="s">
        <v>1745</v>
      </c>
      <c r="E1363" s="14" t="s">
        <v>1746</v>
      </c>
      <c r="F1363" s="17" t="s">
        <v>2995</v>
      </c>
      <c r="G1363" s="14">
        <v>125811</v>
      </c>
      <c r="H1363" s="14">
        <v>113230</v>
      </c>
      <c r="I1363" s="31">
        <f>IF(COUNTIFS(Addendum!C:C,A1363,Addendum!D:D,IF(ISNUMBER(B1363),TEXT(B1363,"0000"),B1363),Addendum!E:E,"X")&gt;0,4%,0)</f>
        <v>0</v>
      </c>
      <c r="J1363" s="31">
        <f>IF(COUNTIFS(Addendum!C:C,A1363,Addendum!D:D,IF(ISNUMBER(B1363),TEXT(B1363,"0000"),B1363),Addendum!F:F,"X")&gt;0,2.5%,0)</f>
        <v>0</v>
      </c>
      <c r="K1363" s="31">
        <f>IF(COUNTIFS(Addendum!C:C,A1363,Addendum!D:D,IF(ISNUMBER(B1363),TEXT(B1363,"0000"),B1363),Addendum!G:G,"X")&gt;0,7%,0)</f>
        <v>0</v>
      </c>
      <c r="L1363" s="31">
        <f>IF(COUNTIFS(Addendum!C:C,A1363,Addendum!D:D,IF(ISNUMBER(B1363),TEXT(B1363,"0000"),B1363),Addendum!I:I,"X")&gt;0,10%,0)</f>
        <v>0</v>
      </c>
      <c r="M1363" s="34">
        <f t="shared" si="42"/>
        <v>0</v>
      </c>
      <c r="N1363" s="17">
        <f t="shared" si="43"/>
        <v>113230</v>
      </c>
    </row>
    <row r="1364" spans="1:14" x14ac:dyDescent="0.25">
      <c r="A1364" s="14" t="s">
        <v>2187</v>
      </c>
      <c r="B1364" s="14" t="s">
        <v>34</v>
      </c>
      <c r="C1364" s="15" t="s">
        <v>2193</v>
      </c>
      <c r="D1364" s="14" t="s">
        <v>1745</v>
      </c>
      <c r="E1364" s="14" t="s">
        <v>1747</v>
      </c>
      <c r="F1364" s="17" t="s">
        <v>2994</v>
      </c>
      <c r="G1364" s="14">
        <v>0</v>
      </c>
      <c r="H1364" s="14">
        <v>0</v>
      </c>
      <c r="I1364" s="31">
        <f>IF(COUNTIFS(Addendum!C:C,A1364,Addendum!D:D,IF(ISNUMBER(B1364),TEXT(B1364,"0000"),B1364),Addendum!E:E,"X")&gt;0,4%,0)</f>
        <v>0</v>
      </c>
      <c r="J1364" s="31">
        <f>IF(COUNTIFS(Addendum!C:C,A1364,Addendum!D:D,IF(ISNUMBER(B1364),TEXT(B1364,"0000"),B1364),Addendum!F:F,"X")&gt;0,2.5%,0)</f>
        <v>0</v>
      </c>
      <c r="K1364" s="31">
        <f>IF(COUNTIFS(Addendum!C:C,A1364,Addendum!D:D,IF(ISNUMBER(B1364),TEXT(B1364,"0000"),B1364),Addendum!G:G,"X")&gt;0,7%,0)</f>
        <v>0</v>
      </c>
      <c r="L1364" s="31">
        <f>IF(COUNTIFS(Addendum!C:C,A1364,Addendum!D:D,IF(ISNUMBER(B1364),TEXT(B1364,"0000"),B1364),Addendum!I:I,"X")&gt;0,10%,0)</f>
        <v>0</v>
      </c>
      <c r="M1364" s="34">
        <f t="shared" si="42"/>
        <v>0</v>
      </c>
      <c r="N1364" s="17">
        <f t="shared" si="43"/>
        <v>0</v>
      </c>
    </row>
    <row r="1365" spans="1:14" x14ac:dyDescent="0.25">
      <c r="A1365" s="14" t="s">
        <v>2187</v>
      </c>
      <c r="B1365" s="14">
        <v>4</v>
      </c>
      <c r="C1365" s="15" t="s">
        <v>2192</v>
      </c>
      <c r="D1365" s="14" t="s">
        <v>1745</v>
      </c>
      <c r="E1365" s="14" t="s">
        <v>1746</v>
      </c>
      <c r="F1365" s="17" t="s">
        <v>2993</v>
      </c>
      <c r="G1365" s="14">
        <v>0</v>
      </c>
      <c r="H1365" s="14">
        <v>0</v>
      </c>
      <c r="I1365" s="31">
        <f>IF(COUNTIFS(Addendum!C:C,A1365,Addendum!D:D,IF(ISNUMBER(B1365),TEXT(B1365,"0000"),B1365),Addendum!E:E,"X")&gt;0,4%,0)</f>
        <v>0</v>
      </c>
      <c r="J1365" s="31">
        <f>IF(COUNTIFS(Addendum!C:C,A1365,Addendum!D:D,IF(ISNUMBER(B1365),TEXT(B1365,"0000"),B1365),Addendum!F:F,"X")&gt;0,2.5%,0)</f>
        <v>0</v>
      </c>
      <c r="K1365" s="31">
        <f>IF(COUNTIFS(Addendum!C:C,A1365,Addendum!D:D,IF(ISNUMBER(B1365),TEXT(B1365,"0000"),B1365),Addendum!G:G,"X")&gt;0,7%,0)</f>
        <v>0</v>
      </c>
      <c r="L1365" s="31">
        <f>IF(COUNTIFS(Addendum!C:C,A1365,Addendum!D:D,IF(ISNUMBER(B1365),TEXT(B1365,"0000"),B1365),Addendum!I:I,"X")&gt;0,10%,0)</f>
        <v>0</v>
      </c>
      <c r="M1365" s="34">
        <f t="shared" si="42"/>
        <v>0</v>
      </c>
      <c r="N1365" s="17">
        <f t="shared" si="43"/>
        <v>0</v>
      </c>
    </row>
    <row r="1366" spans="1:14" x14ac:dyDescent="0.25">
      <c r="A1366" s="14" t="s">
        <v>2187</v>
      </c>
      <c r="B1366" s="14" t="s">
        <v>20</v>
      </c>
      <c r="C1366" s="15" t="s">
        <v>2190</v>
      </c>
      <c r="D1366" s="14" t="s">
        <v>1745</v>
      </c>
      <c r="E1366" s="14" t="s">
        <v>1746</v>
      </c>
      <c r="F1366" s="17" t="s">
        <v>2994</v>
      </c>
      <c r="G1366" s="14">
        <v>0</v>
      </c>
      <c r="H1366" s="14">
        <v>0</v>
      </c>
      <c r="I1366" s="31">
        <f>IF(COUNTIFS(Addendum!C:C,A1366,Addendum!D:D,IF(ISNUMBER(B1366),TEXT(B1366,"0000"),B1366),Addendum!E:E,"X")&gt;0,4%,0)</f>
        <v>0</v>
      </c>
      <c r="J1366" s="31">
        <f>IF(COUNTIFS(Addendum!C:C,A1366,Addendum!D:D,IF(ISNUMBER(B1366),TEXT(B1366,"0000"),B1366),Addendum!F:F,"X")&gt;0,2.5%,0)</f>
        <v>0</v>
      </c>
      <c r="K1366" s="31">
        <f>IF(COUNTIFS(Addendum!C:C,A1366,Addendum!D:D,IF(ISNUMBER(B1366),TEXT(B1366,"0000"),B1366),Addendum!G:G,"X")&gt;0,7%,0)</f>
        <v>0</v>
      </c>
      <c r="L1366" s="31">
        <f>IF(COUNTIFS(Addendum!C:C,A1366,Addendum!D:D,IF(ISNUMBER(B1366),TEXT(B1366,"0000"),B1366),Addendum!I:I,"X")&gt;0,10%,0)</f>
        <v>0</v>
      </c>
      <c r="M1366" s="34">
        <f t="shared" si="42"/>
        <v>0</v>
      </c>
      <c r="N1366" s="17">
        <f t="shared" si="43"/>
        <v>0</v>
      </c>
    </row>
    <row r="1367" spans="1:14" x14ac:dyDescent="0.25">
      <c r="A1367" s="14" t="s">
        <v>2187</v>
      </c>
      <c r="B1367" s="14">
        <v>3</v>
      </c>
      <c r="C1367" s="15" t="s">
        <v>2195</v>
      </c>
      <c r="D1367" s="14" t="s">
        <v>1745</v>
      </c>
      <c r="E1367" s="14" t="s">
        <v>1747</v>
      </c>
      <c r="F1367" s="17" t="s">
        <v>2993</v>
      </c>
      <c r="G1367" s="14">
        <v>299520</v>
      </c>
      <c r="H1367" s="14">
        <v>209664</v>
      </c>
      <c r="I1367" s="31">
        <f>IF(COUNTIFS(Addendum!C:C,A1367,Addendum!D:D,IF(ISNUMBER(B1367),TEXT(B1367,"0000"),B1367),Addendum!E:E,"X")&gt;0,4%,0)</f>
        <v>0</v>
      </c>
      <c r="J1367" s="31">
        <f>IF(COUNTIFS(Addendum!C:C,A1367,Addendum!D:D,IF(ISNUMBER(B1367),TEXT(B1367,"0000"),B1367),Addendum!F:F,"X")&gt;0,2.5%,0)</f>
        <v>0</v>
      </c>
      <c r="K1367" s="31">
        <f>IF(COUNTIFS(Addendum!C:C,A1367,Addendum!D:D,IF(ISNUMBER(B1367),TEXT(B1367,"0000"),B1367),Addendum!G:G,"X")&gt;0,7%,0)</f>
        <v>0</v>
      </c>
      <c r="L1367" s="31">
        <f>IF(COUNTIFS(Addendum!C:C,A1367,Addendum!D:D,IF(ISNUMBER(B1367),TEXT(B1367,"0000"),B1367),Addendum!I:I,"X")&gt;0,10%,0)</f>
        <v>0</v>
      </c>
      <c r="M1367" s="34">
        <f t="shared" si="42"/>
        <v>0</v>
      </c>
      <c r="N1367" s="17">
        <f t="shared" si="43"/>
        <v>209664</v>
      </c>
    </row>
    <row r="1368" spans="1:14" x14ac:dyDescent="0.25">
      <c r="A1368" s="14" t="s">
        <v>2187</v>
      </c>
      <c r="B1368" s="14" t="s">
        <v>24</v>
      </c>
      <c r="C1368" s="15" t="s">
        <v>2189</v>
      </c>
      <c r="D1368" s="14" t="s">
        <v>1745</v>
      </c>
      <c r="E1368" s="14" t="s">
        <v>1747</v>
      </c>
      <c r="F1368" s="17" t="s">
        <v>2995</v>
      </c>
      <c r="G1368" s="14">
        <v>0</v>
      </c>
      <c r="H1368" s="14">
        <v>0</v>
      </c>
      <c r="I1368" s="31">
        <f>IF(COUNTIFS(Addendum!C:C,A1368,Addendum!D:D,IF(ISNUMBER(B1368),TEXT(B1368,"0000"),B1368),Addendum!E:E,"X")&gt;0,4%,0)</f>
        <v>0</v>
      </c>
      <c r="J1368" s="31">
        <f>IF(COUNTIFS(Addendum!C:C,A1368,Addendum!D:D,IF(ISNUMBER(B1368),TEXT(B1368,"0000"),B1368),Addendum!F:F,"X")&gt;0,2.5%,0)</f>
        <v>0</v>
      </c>
      <c r="K1368" s="31">
        <f>IF(COUNTIFS(Addendum!C:C,A1368,Addendum!D:D,IF(ISNUMBER(B1368),TEXT(B1368,"0000"),B1368),Addendum!G:G,"X")&gt;0,7%,0)</f>
        <v>0</v>
      </c>
      <c r="L1368" s="31">
        <f>IF(COUNTIFS(Addendum!C:C,A1368,Addendum!D:D,IF(ISNUMBER(B1368),TEXT(B1368,"0000"),B1368),Addendum!I:I,"X")&gt;0,10%,0)</f>
        <v>0</v>
      </c>
      <c r="M1368" s="34">
        <f t="shared" si="42"/>
        <v>0</v>
      </c>
      <c r="N1368" s="17">
        <f t="shared" si="43"/>
        <v>0</v>
      </c>
    </row>
    <row r="1369" spans="1:14" x14ac:dyDescent="0.25">
      <c r="A1369" s="14" t="s">
        <v>2187</v>
      </c>
      <c r="B1369" s="14" t="s">
        <v>24</v>
      </c>
      <c r="C1369" s="15" t="s">
        <v>2189</v>
      </c>
      <c r="D1369" s="14" t="s">
        <v>1745</v>
      </c>
      <c r="E1369" s="14" t="s">
        <v>1746</v>
      </c>
      <c r="F1369" s="17" t="s">
        <v>2995</v>
      </c>
      <c r="G1369" s="14">
        <v>0</v>
      </c>
      <c r="H1369" s="14">
        <v>0</v>
      </c>
      <c r="I1369" s="31">
        <f>IF(COUNTIFS(Addendum!C:C,A1369,Addendum!D:D,IF(ISNUMBER(B1369),TEXT(B1369,"0000"),B1369),Addendum!E:E,"X")&gt;0,4%,0)</f>
        <v>0</v>
      </c>
      <c r="J1369" s="31">
        <f>IF(COUNTIFS(Addendum!C:C,A1369,Addendum!D:D,IF(ISNUMBER(B1369),TEXT(B1369,"0000"),B1369),Addendum!F:F,"X")&gt;0,2.5%,0)</f>
        <v>0</v>
      </c>
      <c r="K1369" s="31">
        <f>IF(COUNTIFS(Addendum!C:C,A1369,Addendum!D:D,IF(ISNUMBER(B1369),TEXT(B1369,"0000"),B1369),Addendum!G:G,"X")&gt;0,7%,0)</f>
        <v>0</v>
      </c>
      <c r="L1369" s="31">
        <f>IF(COUNTIFS(Addendum!C:C,A1369,Addendum!D:D,IF(ISNUMBER(B1369),TEXT(B1369,"0000"),B1369),Addendum!I:I,"X")&gt;0,10%,0)</f>
        <v>0</v>
      </c>
      <c r="M1369" s="34">
        <f t="shared" si="42"/>
        <v>0</v>
      </c>
      <c r="N1369" s="17">
        <f t="shared" si="43"/>
        <v>0</v>
      </c>
    </row>
    <row r="1370" spans="1:14" x14ac:dyDescent="0.25">
      <c r="A1370" s="14" t="s">
        <v>2187</v>
      </c>
      <c r="B1370" s="14" t="s">
        <v>89</v>
      </c>
      <c r="C1370" s="15" t="s">
        <v>2194</v>
      </c>
      <c r="D1370" s="14" t="s">
        <v>1745</v>
      </c>
      <c r="E1370" s="14" t="s">
        <v>1747</v>
      </c>
      <c r="F1370" s="17" t="s">
        <v>2994</v>
      </c>
      <c r="G1370" s="14">
        <v>164700</v>
      </c>
      <c r="H1370" s="14">
        <v>115290</v>
      </c>
      <c r="I1370" s="31">
        <f>IF(COUNTIFS(Addendum!C:C,A1370,Addendum!D:D,IF(ISNUMBER(B1370),TEXT(B1370,"0000"),B1370),Addendum!E:E,"X")&gt;0,4%,0)</f>
        <v>0</v>
      </c>
      <c r="J1370" s="31">
        <f>IF(COUNTIFS(Addendum!C:C,A1370,Addendum!D:D,IF(ISNUMBER(B1370),TEXT(B1370,"0000"),B1370),Addendum!F:F,"X")&gt;0,2.5%,0)</f>
        <v>0</v>
      </c>
      <c r="K1370" s="31">
        <f>IF(COUNTIFS(Addendum!C:C,A1370,Addendum!D:D,IF(ISNUMBER(B1370),TEXT(B1370,"0000"),B1370),Addendum!G:G,"X")&gt;0,7%,0)</f>
        <v>0</v>
      </c>
      <c r="L1370" s="31">
        <f>IF(COUNTIFS(Addendum!C:C,A1370,Addendum!D:D,IF(ISNUMBER(B1370),TEXT(B1370,"0000"),B1370),Addendum!I:I,"X")&gt;0,10%,0)</f>
        <v>0</v>
      </c>
      <c r="M1370" s="34">
        <f t="shared" si="42"/>
        <v>0</v>
      </c>
      <c r="N1370" s="17">
        <f t="shared" si="43"/>
        <v>115290</v>
      </c>
    </row>
    <row r="1371" spans="1:14" x14ac:dyDescent="0.25">
      <c r="A1371" s="14" t="s">
        <v>2187</v>
      </c>
      <c r="B1371" s="14">
        <v>4</v>
      </c>
      <c r="C1371" s="15" t="s">
        <v>2192</v>
      </c>
      <c r="D1371" s="14" t="s">
        <v>1749</v>
      </c>
      <c r="E1371" s="14" t="s">
        <v>1746</v>
      </c>
      <c r="F1371" s="17" t="s">
        <v>2993</v>
      </c>
      <c r="G1371" s="14">
        <v>0</v>
      </c>
      <c r="H1371" s="14">
        <v>0</v>
      </c>
      <c r="I1371" s="31">
        <f>IF(COUNTIFS(Addendum!C:C,A1371,Addendum!D:D,IF(ISNUMBER(B1371),TEXT(B1371,"0000"),B1371),Addendum!E:E,"X")&gt;0,4%,0)</f>
        <v>0</v>
      </c>
      <c r="J1371" s="31">
        <f>IF(COUNTIFS(Addendum!C:C,A1371,Addendum!D:D,IF(ISNUMBER(B1371),TEXT(B1371,"0000"),B1371),Addendum!F:F,"X")&gt;0,2.5%,0)</f>
        <v>0</v>
      </c>
      <c r="K1371" s="31">
        <f>IF(COUNTIFS(Addendum!C:C,A1371,Addendum!D:D,IF(ISNUMBER(B1371),TEXT(B1371,"0000"),B1371),Addendum!G:G,"X")&gt;0,7%,0)</f>
        <v>0</v>
      </c>
      <c r="L1371" s="31">
        <f>IF(COUNTIFS(Addendum!C:C,A1371,Addendum!D:D,IF(ISNUMBER(B1371),TEXT(B1371,"0000"),B1371),Addendum!I:I,"X")&gt;0,10%,0)</f>
        <v>0</v>
      </c>
      <c r="M1371" s="34">
        <f t="shared" si="42"/>
        <v>0</v>
      </c>
      <c r="N1371" s="17">
        <f t="shared" si="43"/>
        <v>0</v>
      </c>
    </row>
    <row r="1372" spans="1:14" x14ac:dyDescent="0.25">
      <c r="A1372" s="14" t="s">
        <v>2187</v>
      </c>
      <c r="B1372" s="14">
        <v>3</v>
      </c>
      <c r="C1372" s="15" t="s">
        <v>2195</v>
      </c>
      <c r="D1372" s="14" t="s">
        <v>1745</v>
      </c>
      <c r="E1372" s="14" t="s">
        <v>1746</v>
      </c>
      <c r="F1372" s="17" t="s">
        <v>2993</v>
      </c>
      <c r="G1372" s="14">
        <v>314496</v>
      </c>
      <c r="H1372" s="14">
        <v>220147.20000000001</v>
      </c>
      <c r="I1372" s="31">
        <f>IF(COUNTIFS(Addendum!C:C,A1372,Addendum!D:D,IF(ISNUMBER(B1372),TEXT(B1372,"0000"),B1372),Addendum!E:E,"X")&gt;0,4%,0)</f>
        <v>0</v>
      </c>
      <c r="J1372" s="31">
        <f>IF(COUNTIFS(Addendum!C:C,A1372,Addendum!D:D,IF(ISNUMBER(B1372),TEXT(B1372,"0000"),B1372),Addendum!F:F,"X")&gt;0,2.5%,0)</f>
        <v>0</v>
      </c>
      <c r="K1372" s="31">
        <f>IF(COUNTIFS(Addendum!C:C,A1372,Addendum!D:D,IF(ISNUMBER(B1372),TEXT(B1372,"0000"),B1372),Addendum!G:G,"X")&gt;0,7%,0)</f>
        <v>0</v>
      </c>
      <c r="L1372" s="31">
        <f>IF(COUNTIFS(Addendum!C:C,A1372,Addendum!D:D,IF(ISNUMBER(B1372),TEXT(B1372,"0000"),B1372),Addendum!I:I,"X")&gt;0,10%,0)</f>
        <v>0</v>
      </c>
      <c r="M1372" s="34">
        <f t="shared" si="42"/>
        <v>0</v>
      </c>
      <c r="N1372" s="17">
        <f t="shared" si="43"/>
        <v>220147.20000000001</v>
      </c>
    </row>
    <row r="1373" spans="1:14" x14ac:dyDescent="0.25">
      <c r="A1373" s="14" t="s">
        <v>2187</v>
      </c>
      <c r="B1373" s="14" t="s">
        <v>20</v>
      </c>
      <c r="C1373" s="15" t="s">
        <v>2190</v>
      </c>
      <c r="D1373" s="14" t="s">
        <v>1749</v>
      </c>
      <c r="E1373" s="14" t="s">
        <v>1746</v>
      </c>
      <c r="F1373" s="17" t="s">
        <v>2994</v>
      </c>
      <c r="G1373" s="14">
        <v>0</v>
      </c>
      <c r="H1373" s="14">
        <v>0</v>
      </c>
      <c r="I1373" s="31">
        <f>IF(COUNTIFS(Addendum!C:C,A1373,Addendum!D:D,IF(ISNUMBER(B1373),TEXT(B1373,"0000"),B1373),Addendum!E:E,"X")&gt;0,4%,0)</f>
        <v>0</v>
      </c>
      <c r="J1373" s="31">
        <f>IF(COUNTIFS(Addendum!C:C,A1373,Addendum!D:D,IF(ISNUMBER(B1373),TEXT(B1373,"0000"),B1373),Addendum!F:F,"X")&gt;0,2.5%,0)</f>
        <v>0</v>
      </c>
      <c r="K1373" s="31">
        <f>IF(COUNTIFS(Addendum!C:C,A1373,Addendum!D:D,IF(ISNUMBER(B1373),TEXT(B1373,"0000"),B1373),Addendum!G:G,"X")&gt;0,7%,0)</f>
        <v>0</v>
      </c>
      <c r="L1373" s="31">
        <f>IF(COUNTIFS(Addendum!C:C,A1373,Addendum!D:D,IF(ISNUMBER(B1373),TEXT(B1373,"0000"),B1373),Addendum!I:I,"X")&gt;0,10%,0)</f>
        <v>0</v>
      </c>
      <c r="M1373" s="34">
        <f t="shared" si="42"/>
        <v>0</v>
      </c>
      <c r="N1373" s="17">
        <f t="shared" si="43"/>
        <v>0</v>
      </c>
    </row>
    <row r="1374" spans="1:14" x14ac:dyDescent="0.25">
      <c r="A1374" s="14" t="s">
        <v>2187</v>
      </c>
      <c r="B1374" s="14" t="s">
        <v>55</v>
      </c>
      <c r="C1374" s="15" t="s">
        <v>2191</v>
      </c>
      <c r="D1374" s="14" t="s">
        <v>1745</v>
      </c>
      <c r="E1374" s="14" t="s">
        <v>1747</v>
      </c>
      <c r="F1374" s="17" t="s">
        <v>2994</v>
      </c>
      <c r="G1374" s="14">
        <v>119820</v>
      </c>
      <c r="H1374" s="14">
        <v>83874</v>
      </c>
      <c r="I1374" s="31">
        <f>IF(COUNTIFS(Addendum!C:C,A1374,Addendum!D:D,IF(ISNUMBER(B1374),TEXT(B1374,"0000"),B1374),Addendum!E:E,"X")&gt;0,4%,0)</f>
        <v>0</v>
      </c>
      <c r="J1374" s="31">
        <f>IF(COUNTIFS(Addendum!C:C,A1374,Addendum!D:D,IF(ISNUMBER(B1374),TEXT(B1374,"0000"),B1374),Addendum!F:F,"X")&gt;0,2.5%,0)</f>
        <v>0</v>
      </c>
      <c r="K1374" s="31">
        <f>IF(COUNTIFS(Addendum!C:C,A1374,Addendum!D:D,IF(ISNUMBER(B1374),TEXT(B1374,"0000"),B1374),Addendum!G:G,"X")&gt;0,7%,0)</f>
        <v>0</v>
      </c>
      <c r="L1374" s="31">
        <f>IF(COUNTIFS(Addendum!C:C,A1374,Addendum!D:D,IF(ISNUMBER(B1374),TEXT(B1374,"0000"),B1374),Addendum!I:I,"X")&gt;0,10%,0)</f>
        <v>0</v>
      </c>
      <c r="M1374" s="34">
        <f t="shared" si="42"/>
        <v>0</v>
      </c>
      <c r="N1374" s="17">
        <f t="shared" si="43"/>
        <v>83874</v>
      </c>
    </row>
    <row r="1375" spans="1:14" x14ac:dyDescent="0.25">
      <c r="A1375" s="14" t="s">
        <v>2187</v>
      </c>
      <c r="B1375" s="14" t="s">
        <v>89</v>
      </c>
      <c r="C1375" s="15" t="s">
        <v>2194</v>
      </c>
      <c r="D1375" s="14" t="s">
        <v>1745</v>
      </c>
      <c r="E1375" s="14" t="s">
        <v>1746</v>
      </c>
      <c r="F1375" s="17" t="s">
        <v>2994</v>
      </c>
      <c r="G1375" s="14">
        <v>172935</v>
      </c>
      <c r="H1375" s="14">
        <v>121054.6</v>
      </c>
      <c r="I1375" s="31">
        <f>IF(COUNTIFS(Addendum!C:C,A1375,Addendum!D:D,IF(ISNUMBER(B1375),TEXT(B1375,"0000"),B1375),Addendum!E:E,"X")&gt;0,4%,0)</f>
        <v>0</v>
      </c>
      <c r="J1375" s="31">
        <f>IF(COUNTIFS(Addendum!C:C,A1375,Addendum!D:D,IF(ISNUMBER(B1375),TEXT(B1375,"0000"),B1375),Addendum!F:F,"X")&gt;0,2.5%,0)</f>
        <v>0</v>
      </c>
      <c r="K1375" s="31">
        <f>IF(COUNTIFS(Addendum!C:C,A1375,Addendum!D:D,IF(ISNUMBER(B1375),TEXT(B1375,"0000"),B1375),Addendum!G:G,"X")&gt;0,7%,0)</f>
        <v>0</v>
      </c>
      <c r="L1375" s="31">
        <f>IF(COUNTIFS(Addendum!C:C,A1375,Addendum!D:D,IF(ISNUMBER(B1375),TEXT(B1375,"0000"),B1375),Addendum!I:I,"X")&gt;0,10%,0)</f>
        <v>0</v>
      </c>
      <c r="M1375" s="34">
        <f t="shared" si="42"/>
        <v>0</v>
      </c>
      <c r="N1375" s="17">
        <f t="shared" si="43"/>
        <v>121054.6</v>
      </c>
    </row>
    <row r="1376" spans="1:14" x14ac:dyDescent="0.25">
      <c r="A1376" s="14" t="s">
        <v>2187</v>
      </c>
      <c r="B1376" s="14" t="s">
        <v>73</v>
      </c>
      <c r="C1376" s="15" t="s">
        <v>2188</v>
      </c>
      <c r="D1376" s="14" t="s">
        <v>1745</v>
      </c>
      <c r="E1376" s="14" t="s">
        <v>1747</v>
      </c>
      <c r="F1376" s="17" t="s">
        <v>2995</v>
      </c>
      <c r="G1376" s="14">
        <v>119820</v>
      </c>
      <c r="H1376" s="14">
        <v>107838</v>
      </c>
      <c r="I1376" s="31">
        <f>IF(COUNTIFS(Addendum!C:C,A1376,Addendum!D:D,IF(ISNUMBER(B1376),TEXT(B1376,"0000"),B1376),Addendum!E:E,"X")&gt;0,4%,0)</f>
        <v>0</v>
      </c>
      <c r="J1376" s="31">
        <f>IF(COUNTIFS(Addendum!C:C,A1376,Addendum!D:D,IF(ISNUMBER(B1376),TEXT(B1376,"0000"),B1376),Addendum!F:F,"X")&gt;0,2.5%,0)</f>
        <v>0</v>
      </c>
      <c r="K1376" s="31">
        <f>IF(COUNTIFS(Addendum!C:C,A1376,Addendum!D:D,IF(ISNUMBER(B1376),TEXT(B1376,"0000"),B1376),Addendum!G:G,"X")&gt;0,7%,0)</f>
        <v>0</v>
      </c>
      <c r="L1376" s="31">
        <f>IF(COUNTIFS(Addendum!C:C,A1376,Addendum!D:D,IF(ISNUMBER(B1376),TEXT(B1376,"0000"),B1376),Addendum!I:I,"X")&gt;0,10%,0)</f>
        <v>0</v>
      </c>
      <c r="M1376" s="34">
        <f t="shared" si="42"/>
        <v>0</v>
      </c>
      <c r="N1376" s="17">
        <f t="shared" si="43"/>
        <v>107838</v>
      </c>
    </row>
    <row r="1377" spans="1:14" x14ac:dyDescent="0.25">
      <c r="A1377" s="14" t="s">
        <v>2187</v>
      </c>
      <c r="B1377" s="14">
        <v>3</v>
      </c>
      <c r="C1377" s="15" t="s">
        <v>2195</v>
      </c>
      <c r="D1377" s="14" t="s">
        <v>1749</v>
      </c>
      <c r="E1377" s="14" t="s">
        <v>1746</v>
      </c>
      <c r="F1377" s="17" t="s">
        <v>2993</v>
      </c>
      <c r="G1377" s="14">
        <v>29952</v>
      </c>
      <c r="H1377" s="14">
        <v>20966.400000000001</v>
      </c>
      <c r="I1377" s="31">
        <f>IF(COUNTIFS(Addendum!C:C,A1377,Addendum!D:D,IF(ISNUMBER(B1377),TEXT(B1377,"0000"),B1377),Addendum!E:E,"X")&gt;0,4%,0)</f>
        <v>0</v>
      </c>
      <c r="J1377" s="31">
        <f>IF(COUNTIFS(Addendum!C:C,A1377,Addendum!D:D,IF(ISNUMBER(B1377),TEXT(B1377,"0000"),B1377),Addendum!F:F,"X")&gt;0,2.5%,0)</f>
        <v>0</v>
      </c>
      <c r="K1377" s="31">
        <f>IF(COUNTIFS(Addendum!C:C,A1377,Addendum!D:D,IF(ISNUMBER(B1377),TEXT(B1377,"0000"),B1377),Addendum!G:G,"X")&gt;0,7%,0)</f>
        <v>0</v>
      </c>
      <c r="L1377" s="31">
        <f>IF(COUNTIFS(Addendum!C:C,A1377,Addendum!D:D,IF(ISNUMBER(B1377),TEXT(B1377,"0000"),B1377),Addendum!I:I,"X")&gt;0,10%,0)</f>
        <v>0</v>
      </c>
      <c r="M1377" s="34">
        <f t="shared" si="42"/>
        <v>0</v>
      </c>
      <c r="N1377" s="17">
        <f t="shared" si="43"/>
        <v>20966.400000000001</v>
      </c>
    </row>
    <row r="1378" spans="1:14" x14ac:dyDescent="0.25">
      <c r="A1378" s="14" t="s">
        <v>2196</v>
      </c>
      <c r="B1378" s="14">
        <v>4</v>
      </c>
      <c r="C1378" s="15" t="s">
        <v>2197</v>
      </c>
      <c r="D1378" s="14" t="s">
        <v>1749</v>
      </c>
      <c r="E1378" s="14" t="s">
        <v>1746</v>
      </c>
      <c r="F1378" s="17" t="s">
        <v>2994</v>
      </c>
      <c r="G1378" s="14">
        <v>4992</v>
      </c>
      <c r="H1378" s="14">
        <v>3744</v>
      </c>
      <c r="I1378" s="31">
        <f>IF(COUNTIFS(Addendum!C:C,A1378,Addendum!D:D,IF(ISNUMBER(B1378),TEXT(B1378,"0000"),B1378),Addendum!E:E,"X")&gt;0,4%,0)</f>
        <v>0</v>
      </c>
      <c r="J1378" s="31">
        <f>IF(COUNTIFS(Addendum!C:C,A1378,Addendum!D:D,IF(ISNUMBER(B1378),TEXT(B1378,"0000"),B1378),Addendum!F:F,"X")&gt;0,2.5%,0)</f>
        <v>0</v>
      </c>
      <c r="K1378" s="31">
        <f>IF(COUNTIFS(Addendum!C:C,A1378,Addendum!D:D,IF(ISNUMBER(B1378),TEXT(B1378,"0000"),B1378),Addendum!G:G,"X")&gt;0,7%,0)</f>
        <v>0</v>
      </c>
      <c r="L1378" s="31">
        <f>IF(COUNTIFS(Addendum!C:C,A1378,Addendum!D:D,IF(ISNUMBER(B1378),TEXT(B1378,"0000"),B1378),Addendum!I:I,"X")&gt;0,10%,0)</f>
        <v>0</v>
      </c>
      <c r="M1378" s="34">
        <f t="shared" si="42"/>
        <v>0</v>
      </c>
      <c r="N1378" s="17">
        <f t="shared" si="43"/>
        <v>3744</v>
      </c>
    </row>
    <row r="1379" spans="1:14" x14ac:dyDescent="0.25">
      <c r="A1379" s="14" t="s">
        <v>2196</v>
      </c>
      <c r="B1379" s="14">
        <v>1</v>
      </c>
      <c r="C1379" s="15" t="s">
        <v>2198</v>
      </c>
      <c r="D1379" s="14" t="s">
        <v>1749</v>
      </c>
      <c r="E1379" s="14" t="s">
        <v>1746</v>
      </c>
      <c r="F1379" s="17" t="s">
        <v>2993</v>
      </c>
      <c r="G1379" s="14">
        <v>12480</v>
      </c>
      <c r="H1379" s="14">
        <v>9360</v>
      </c>
      <c r="I1379" s="31">
        <f>IF(COUNTIFS(Addendum!C:C,A1379,Addendum!D:D,IF(ISNUMBER(B1379),TEXT(B1379,"0000"),B1379),Addendum!E:E,"X")&gt;0,4%,0)</f>
        <v>0</v>
      </c>
      <c r="J1379" s="31">
        <f>IF(COUNTIFS(Addendum!C:C,A1379,Addendum!D:D,IF(ISNUMBER(B1379),TEXT(B1379,"0000"),B1379),Addendum!F:F,"X")&gt;0,2.5%,0)</f>
        <v>0</v>
      </c>
      <c r="K1379" s="31">
        <f>IF(COUNTIFS(Addendum!C:C,A1379,Addendum!D:D,IF(ISNUMBER(B1379),TEXT(B1379,"0000"),B1379),Addendum!G:G,"X")&gt;0,7%,0)</f>
        <v>0</v>
      </c>
      <c r="L1379" s="31">
        <f>IF(COUNTIFS(Addendum!C:C,A1379,Addendum!D:D,IF(ISNUMBER(B1379),TEXT(B1379,"0000"),B1379),Addendum!I:I,"X")&gt;0,10%,0)</f>
        <v>0</v>
      </c>
      <c r="M1379" s="34">
        <f t="shared" si="42"/>
        <v>0</v>
      </c>
      <c r="N1379" s="17">
        <f t="shared" si="43"/>
        <v>9360</v>
      </c>
    </row>
    <row r="1380" spans="1:14" x14ac:dyDescent="0.25">
      <c r="A1380" s="14" t="s">
        <v>2196</v>
      </c>
      <c r="B1380" s="14">
        <v>4</v>
      </c>
      <c r="C1380" s="15" t="s">
        <v>2197</v>
      </c>
      <c r="D1380" s="14" t="s">
        <v>1745</v>
      </c>
      <c r="E1380" s="14" t="s">
        <v>1747</v>
      </c>
      <c r="F1380" s="17" t="s">
        <v>2994</v>
      </c>
      <c r="G1380" s="14">
        <v>49920</v>
      </c>
      <c r="H1380" s="14">
        <v>37440</v>
      </c>
      <c r="I1380" s="31">
        <f>IF(COUNTIFS(Addendum!C:C,A1380,Addendum!D:D,IF(ISNUMBER(B1380),TEXT(B1380,"0000"),B1380),Addendum!E:E,"X")&gt;0,4%,0)</f>
        <v>0</v>
      </c>
      <c r="J1380" s="31">
        <f>IF(COUNTIFS(Addendum!C:C,A1380,Addendum!D:D,IF(ISNUMBER(B1380),TEXT(B1380,"0000"),B1380),Addendum!F:F,"X")&gt;0,2.5%,0)</f>
        <v>0</v>
      </c>
      <c r="K1380" s="31">
        <f>IF(COUNTIFS(Addendum!C:C,A1380,Addendum!D:D,IF(ISNUMBER(B1380),TEXT(B1380,"0000"),B1380),Addendum!G:G,"X")&gt;0,7%,0)</f>
        <v>0</v>
      </c>
      <c r="L1380" s="31">
        <f>IF(COUNTIFS(Addendum!C:C,A1380,Addendum!D:D,IF(ISNUMBER(B1380),TEXT(B1380,"0000"),B1380),Addendum!I:I,"X")&gt;0,10%,0)</f>
        <v>0</v>
      </c>
      <c r="M1380" s="34">
        <f t="shared" si="42"/>
        <v>0</v>
      </c>
      <c r="N1380" s="17">
        <f t="shared" si="43"/>
        <v>37440</v>
      </c>
    </row>
    <row r="1381" spans="1:14" x14ac:dyDescent="0.25">
      <c r="A1381" s="14" t="s">
        <v>2196</v>
      </c>
      <c r="B1381" s="14">
        <v>2</v>
      </c>
      <c r="C1381" s="15" t="s">
        <v>2199</v>
      </c>
      <c r="D1381" s="14" t="s">
        <v>1745</v>
      </c>
      <c r="E1381" s="14" t="s">
        <v>1746</v>
      </c>
      <c r="F1381" s="17" t="s">
        <v>2994</v>
      </c>
      <c r="G1381" s="14">
        <v>72072</v>
      </c>
      <c r="H1381" s="14">
        <v>54054</v>
      </c>
      <c r="I1381" s="31">
        <f>IF(COUNTIFS(Addendum!C:C,A1381,Addendum!D:D,IF(ISNUMBER(B1381),TEXT(B1381,"0000"),B1381),Addendum!E:E,"X")&gt;0,4%,0)</f>
        <v>0</v>
      </c>
      <c r="J1381" s="31">
        <f>IF(COUNTIFS(Addendum!C:C,A1381,Addendum!D:D,IF(ISNUMBER(B1381),TEXT(B1381,"0000"),B1381),Addendum!F:F,"X")&gt;0,2.5%,0)</f>
        <v>0</v>
      </c>
      <c r="K1381" s="31">
        <f>IF(COUNTIFS(Addendum!C:C,A1381,Addendum!D:D,IF(ISNUMBER(B1381),TEXT(B1381,"0000"),B1381),Addendum!G:G,"X")&gt;0,7%,0)</f>
        <v>0</v>
      </c>
      <c r="L1381" s="31">
        <f>IF(COUNTIFS(Addendum!C:C,A1381,Addendum!D:D,IF(ISNUMBER(B1381),TEXT(B1381,"0000"),B1381),Addendum!I:I,"X")&gt;0,10%,0)</f>
        <v>0</v>
      </c>
      <c r="M1381" s="34">
        <f t="shared" si="42"/>
        <v>0</v>
      </c>
      <c r="N1381" s="17">
        <f t="shared" si="43"/>
        <v>54054</v>
      </c>
    </row>
    <row r="1382" spans="1:14" x14ac:dyDescent="0.25">
      <c r="A1382" s="14" t="s">
        <v>2196</v>
      </c>
      <c r="B1382" s="14">
        <v>3</v>
      </c>
      <c r="C1382" s="15" t="s">
        <v>2200</v>
      </c>
      <c r="D1382" s="14" t="s">
        <v>1745</v>
      </c>
      <c r="E1382" s="14" t="s">
        <v>1746</v>
      </c>
      <c r="F1382" s="17" t="s">
        <v>2995</v>
      </c>
      <c r="G1382" s="14">
        <v>32760</v>
      </c>
      <c r="H1382" s="14">
        <v>29484</v>
      </c>
      <c r="I1382" s="31">
        <f>IF(COUNTIFS(Addendum!C:C,A1382,Addendum!D:D,IF(ISNUMBER(B1382),TEXT(B1382,"0000"),B1382),Addendum!E:E,"X")&gt;0,4%,0)</f>
        <v>0</v>
      </c>
      <c r="J1382" s="31">
        <f>IF(COUNTIFS(Addendum!C:C,A1382,Addendum!D:D,IF(ISNUMBER(B1382),TEXT(B1382,"0000"),B1382),Addendum!F:F,"X")&gt;0,2.5%,0)</f>
        <v>0</v>
      </c>
      <c r="K1382" s="31">
        <f>IF(COUNTIFS(Addendum!C:C,A1382,Addendum!D:D,IF(ISNUMBER(B1382),TEXT(B1382,"0000"),B1382),Addendum!G:G,"X")&gt;0,7%,0)</f>
        <v>0</v>
      </c>
      <c r="L1382" s="31">
        <f>IF(COUNTIFS(Addendum!C:C,A1382,Addendum!D:D,IF(ISNUMBER(B1382),TEXT(B1382,"0000"),B1382),Addendum!I:I,"X")&gt;0,10%,0)</f>
        <v>0</v>
      </c>
      <c r="M1382" s="34">
        <f t="shared" si="42"/>
        <v>0</v>
      </c>
      <c r="N1382" s="17">
        <f t="shared" si="43"/>
        <v>29484</v>
      </c>
    </row>
    <row r="1383" spans="1:14" x14ac:dyDescent="0.25">
      <c r="A1383" s="14" t="s">
        <v>2196</v>
      </c>
      <c r="B1383" s="14">
        <v>1</v>
      </c>
      <c r="C1383" s="15" t="s">
        <v>2198</v>
      </c>
      <c r="D1383" s="14" t="s">
        <v>1745</v>
      </c>
      <c r="E1383" s="14" t="s">
        <v>1747</v>
      </c>
      <c r="F1383" s="17" t="s">
        <v>2993</v>
      </c>
      <c r="G1383" s="14">
        <v>124800</v>
      </c>
      <c r="H1383" s="14">
        <v>93600</v>
      </c>
      <c r="I1383" s="31">
        <f>IF(COUNTIFS(Addendum!C:C,A1383,Addendum!D:D,IF(ISNUMBER(B1383),TEXT(B1383,"0000"),B1383),Addendum!E:E,"X")&gt;0,4%,0)</f>
        <v>0</v>
      </c>
      <c r="J1383" s="31">
        <f>IF(COUNTIFS(Addendum!C:C,A1383,Addendum!D:D,IF(ISNUMBER(B1383),TEXT(B1383,"0000"),B1383),Addendum!F:F,"X")&gt;0,2.5%,0)</f>
        <v>0</v>
      </c>
      <c r="K1383" s="31">
        <f>IF(COUNTIFS(Addendum!C:C,A1383,Addendum!D:D,IF(ISNUMBER(B1383),TEXT(B1383,"0000"),B1383),Addendum!G:G,"X")&gt;0,7%,0)</f>
        <v>0</v>
      </c>
      <c r="L1383" s="31">
        <f>IF(COUNTIFS(Addendum!C:C,A1383,Addendum!D:D,IF(ISNUMBER(B1383),TEXT(B1383,"0000"),B1383),Addendum!I:I,"X")&gt;0,10%,0)</f>
        <v>0</v>
      </c>
      <c r="M1383" s="34">
        <f t="shared" si="42"/>
        <v>0</v>
      </c>
      <c r="N1383" s="17">
        <f t="shared" si="43"/>
        <v>93600</v>
      </c>
    </row>
    <row r="1384" spans="1:14" x14ac:dyDescent="0.25">
      <c r="A1384" s="14" t="s">
        <v>2196</v>
      </c>
      <c r="B1384" s="14">
        <v>2</v>
      </c>
      <c r="C1384" s="15" t="s">
        <v>2199</v>
      </c>
      <c r="D1384" s="14" t="s">
        <v>1749</v>
      </c>
      <c r="E1384" s="14" t="s">
        <v>1746</v>
      </c>
      <c r="F1384" s="17" t="s">
        <v>2994</v>
      </c>
      <c r="G1384" s="14">
        <v>6864</v>
      </c>
      <c r="H1384" s="14">
        <v>5148</v>
      </c>
      <c r="I1384" s="31">
        <f>IF(COUNTIFS(Addendum!C:C,A1384,Addendum!D:D,IF(ISNUMBER(B1384),TEXT(B1384,"0000"),B1384),Addendum!E:E,"X")&gt;0,4%,0)</f>
        <v>0</v>
      </c>
      <c r="J1384" s="31">
        <f>IF(COUNTIFS(Addendum!C:C,A1384,Addendum!D:D,IF(ISNUMBER(B1384),TEXT(B1384,"0000"),B1384),Addendum!F:F,"X")&gt;0,2.5%,0)</f>
        <v>0</v>
      </c>
      <c r="K1384" s="31">
        <f>IF(COUNTIFS(Addendum!C:C,A1384,Addendum!D:D,IF(ISNUMBER(B1384),TEXT(B1384,"0000"),B1384),Addendum!G:G,"X")&gt;0,7%,0)</f>
        <v>0</v>
      </c>
      <c r="L1384" s="31">
        <f>IF(COUNTIFS(Addendum!C:C,A1384,Addendum!D:D,IF(ISNUMBER(B1384),TEXT(B1384,"0000"),B1384),Addendum!I:I,"X")&gt;0,10%,0)</f>
        <v>0</v>
      </c>
      <c r="M1384" s="34">
        <f t="shared" si="42"/>
        <v>0</v>
      </c>
      <c r="N1384" s="17">
        <f t="shared" si="43"/>
        <v>5148</v>
      </c>
    </row>
    <row r="1385" spans="1:14" x14ac:dyDescent="0.25">
      <c r="A1385" s="14" t="s">
        <v>2196</v>
      </c>
      <c r="B1385" s="14">
        <v>3</v>
      </c>
      <c r="C1385" s="15" t="s">
        <v>2200</v>
      </c>
      <c r="D1385" s="14" t="s">
        <v>1749</v>
      </c>
      <c r="E1385" s="14" t="s">
        <v>1746</v>
      </c>
      <c r="F1385" s="17" t="s">
        <v>2995</v>
      </c>
      <c r="G1385" s="14">
        <v>3120</v>
      </c>
      <c r="H1385" s="14">
        <v>2808</v>
      </c>
      <c r="I1385" s="31">
        <f>IF(COUNTIFS(Addendum!C:C,A1385,Addendum!D:D,IF(ISNUMBER(B1385),TEXT(B1385,"0000"),B1385),Addendum!E:E,"X")&gt;0,4%,0)</f>
        <v>0</v>
      </c>
      <c r="J1385" s="31">
        <f>IF(COUNTIFS(Addendum!C:C,A1385,Addendum!D:D,IF(ISNUMBER(B1385),TEXT(B1385,"0000"),B1385),Addendum!F:F,"X")&gt;0,2.5%,0)</f>
        <v>0</v>
      </c>
      <c r="K1385" s="31">
        <f>IF(COUNTIFS(Addendum!C:C,A1385,Addendum!D:D,IF(ISNUMBER(B1385),TEXT(B1385,"0000"),B1385),Addendum!G:G,"X")&gt;0,7%,0)</f>
        <v>0</v>
      </c>
      <c r="L1385" s="31">
        <f>IF(COUNTIFS(Addendum!C:C,A1385,Addendum!D:D,IF(ISNUMBER(B1385),TEXT(B1385,"0000"),B1385),Addendum!I:I,"X")&gt;0,10%,0)</f>
        <v>0</v>
      </c>
      <c r="M1385" s="34">
        <f t="shared" si="42"/>
        <v>0</v>
      </c>
      <c r="N1385" s="17">
        <f t="shared" si="43"/>
        <v>2808</v>
      </c>
    </row>
    <row r="1386" spans="1:14" x14ac:dyDescent="0.25">
      <c r="A1386" s="14" t="s">
        <v>2196</v>
      </c>
      <c r="B1386" s="14">
        <v>4</v>
      </c>
      <c r="C1386" s="15" t="s">
        <v>2197</v>
      </c>
      <c r="D1386" s="14" t="s">
        <v>1745</v>
      </c>
      <c r="E1386" s="14" t="s">
        <v>1746</v>
      </c>
      <c r="F1386" s="17" t="s">
        <v>2994</v>
      </c>
      <c r="G1386" s="14">
        <v>52416</v>
      </c>
      <c r="H1386" s="14">
        <v>39312</v>
      </c>
      <c r="I1386" s="31">
        <f>IF(COUNTIFS(Addendum!C:C,A1386,Addendum!D:D,IF(ISNUMBER(B1386),TEXT(B1386,"0000"),B1386),Addendum!E:E,"X")&gt;0,4%,0)</f>
        <v>0</v>
      </c>
      <c r="J1386" s="31">
        <f>IF(COUNTIFS(Addendum!C:C,A1386,Addendum!D:D,IF(ISNUMBER(B1386),TEXT(B1386,"0000"),B1386),Addendum!F:F,"X")&gt;0,2.5%,0)</f>
        <v>0</v>
      </c>
      <c r="K1386" s="31">
        <f>IF(COUNTIFS(Addendum!C:C,A1386,Addendum!D:D,IF(ISNUMBER(B1386),TEXT(B1386,"0000"),B1386),Addendum!G:G,"X")&gt;0,7%,0)</f>
        <v>0</v>
      </c>
      <c r="L1386" s="31">
        <f>IF(COUNTIFS(Addendum!C:C,A1386,Addendum!D:D,IF(ISNUMBER(B1386),TEXT(B1386,"0000"),B1386),Addendum!I:I,"X")&gt;0,10%,0)</f>
        <v>0</v>
      </c>
      <c r="M1386" s="34">
        <f t="shared" si="42"/>
        <v>0</v>
      </c>
      <c r="N1386" s="17">
        <f t="shared" si="43"/>
        <v>39312</v>
      </c>
    </row>
    <row r="1387" spans="1:14" x14ac:dyDescent="0.25">
      <c r="A1387" s="14" t="s">
        <v>2196</v>
      </c>
      <c r="B1387" s="14">
        <v>3</v>
      </c>
      <c r="C1387" s="15" t="s">
        <v>2200</v>
      </c>
      <c r="D1387" s="14" t="s">
        <v>1745</v>
      </c>
      <c r="E1387" s="14" t="s">
        <v>1747</v>
      </c>
      <c r="F1387" s="17" t="s">
        <v>2995</v>
      </c>
      <c r="G1387" s="14">
        <v>31200</v>
      </c>
      <c r="H1387" s="14">
        <v>28080</v>
      </c>
      <c r="I1387" s="31">
        <f>IF(COUNTIFS(Addendum!C:C,A1387,Addendum!D:D,IF(ISNUMBER(B1387),TEXT(B1387,"0000"),B1387),Addendum!E:E,"X")&gt;0,4%,0)</f>
        <v>0</v>
      </c>
      <c r="J1387" s="31">
        <f>IF(COUNTIFS(Addendum!C:C,A1387,Addendum!D:D,IF(ISNUMBER(B1387),TEXT(B1387,"0000"),B1387),Addendum!F:F,"X")&gt;0,2.5%,0)</f>
        <v>0</v>
      </c>
      <c r="K1387" s="31">
        <f>IF(COUNTIFS(Addendum!C:C,A1387,Addendum!D:D,IF(ISNUMBER(B1387),TEXT(B1387,"0000"),B1387),Addendum!G:G,"X")&gt;0,7%,0)</f>
        <v>0</v>
      </c>
      <c r="L1387" s="31">
        <f>IF(COUNTIFS(Addendum!C:C,A1387,Addendum!D:D,IF(ISNUMBER(B1387),TEXT(B1387,"0000"),B1387),Addendum!I:I,"X")&gt;0,10%,0)</f>
        <v>0</v>
      </c>
      <c r="M1387" s="34">
        <f t="shared" si="42"/>
        <v>0</v>
      </c>
      <c r="N1387" s="17">
        <f t="shared" si="43"/>
        <v>28080</v>
      </c>
    </row>
    <row r="1388" spans="1:14" x14ac:dyDescent="0.25">
      <c r="A1388" s="14" t="s">
        <v>2196</v>
      </c>
      <c r="B1388" s="14">
        <v>1</v>
      </c>
      <c r="C1388" s="15" t="s">
        <v>2198</v>
      </c>
      <c r="D1388" s="14" t="s">
        <v>1745</v>
      </c>
      <c r="E1388" s="14" t="s">
        <v>1746</v>
      </c>
      <c r="F1388" s="17" t="s">
        <v>2993</v>
      </c>
      <c r="G1388" s="14">
        <v>131040</v>
      </c>
      <c r="H1388" s="14">
        <v>98280</v>
      </c>
      <c r="I1388" s="31">
        <f>IF(COUNTIFS(Addendum!C:C,A1388,Addendum!D:D,IF(ISNUMBER(B1388),TEXT(B1388,"0000"),B1388),Addendum!E:E,"X")&gt;0,4%,0)</f>
        <v>0</v>
      </c>
      <c r="J1388" s="31">
        <f>IF(COUNTIFS(Addendum!C:C,A1388,Addendum!D:D,IF(ISNUMBER(B1388),TEXT(B1388,"0000"),B1388),Addendum!F:F,"X")&gt;0,2.5%,0)</f>
        <v>0</v>
      </c>
      <c r="K1388" s="31">
        <f>IF(COUNTIFS(Addendum!C:C,A1388,Addendum!D:D,IF(ISNUMBER(B1388),TEXT(B1388,"0000"),B1388),Addendum!G:G,"X")&gt;0,7%,0)</f>
        <v>0</v>
      </c>
      <c r="L1388" s="31">
        <f>IF(COUNTIFS(Addendum!C:C,A1388,Addendum!D:D,IF(ISNUMBER(B1388),TEXT(B1388,"0000"),B1388),Addendum!I:I,"X")&gt;0,10%,0)</f>
        <v>0</v>
      </c>
      <c r="M1388" s="34">
        <f t="shared" si="42"/>
        <v>0</v>
      </c>
      <c r="N1388" s="17">
        <f t="shared" si="43"/>
        <v>98280</v>
      </c>
    </row>
    <row r="1389" spans="1:14" x14ac:dyDescent="0.25">
      <c r="A1389" s="14" t="s">
        <v>2196</v>
      </c>
      <c r="B1389" s="14">
        <v>2</v>
      </c>
      <c r="C1389" s="15" t="s">
        <v>2199</v>
      </c>
      <c r="D1389" s="14" t="s">
        <v>1745</v>
      </c>
      <c r="E1389" s="14" t="s">
        <v>1747</v>
      </c>
      <c r="F1389" s="17" t="s">
        <v>2994</v>
      </c>
      <c r="G1389" s="14">
        <v>68640</v>
      </c>
      <c r="H1389" s="14">
        <v>51480</v>
      </c>
      <c r="I1389" s="31">
        <f>IF(COUNTIFS(Addendum!C:C,A1389,Addendum!D:D,IF(ISNUMBER(B1389),TEXT(B1389,"0000"),B1389),Addendum!E:E,"X")&gt;0,4%,0)</f>
        <v>0</v>
      </c>
      <c r="J1389" s="31">
        <f>IF(COUNTIFS(Addendum!C:C,A1389,Addendum!D:D,IF(ISNUMBER(B1389),TEXT(B1389,"0000"),B1389),Addendum!F:F,"X")&gt;0,2.5%,0)</f>
        <v>0</v>
      </c>
      <c r="K1389" s="31">
        <f>IF(COUNTIFS(Addendum!C:C,A1389,Addendum!D:D,IF(ISNUMBER(B1389),TEXT(B1389,"0000"),B1389),Addendum!G:G,"X")&gt;0,7%,0)</f>
        <v>0</v>
      </c>
      <c r="L1389" s="31">
        <f>IF(COUNTIFS(Addendum!C:C,A1389,Addendum!D:D,IF(ISNUMBER(B1389),TEXT(B1389,"0000"),B1389),Addendum!I:I,"X")&gt;0,10%,0)</f>
        <v>0</v>
      </c>
      <c r="M1389" s="34">
        <f t="shared" si="42"/>
        <v>0</v>
      </c>
      <c r="N1389" s="17">
        <f t="shared" si="43"/>
        <v>51480</v>
      </c>
    </row>
    <row r="1390" spans="1:14" x14ac:dyDescent="0.25">
      <c r="A1390" s="14" t="s">
        <v>2201</v>
      </c>
      <c r="B1390" s="14">
        <v>1</v>
      </c>
      <c r="C1390" s="15" t="s">
        <v>2202</v>
      </c>
      <c r="D1390" s="14" t="s">
        <v>1749</v>
      </c>
      <c r="E1390" s="14" t="s">
        <v>1746</v>
      </c>
      <c r="F1390" s="17" t="s">
        <v>2993</v>
      </c>
      <c r="G1390" s="14">
        <v>3996</v>
      </c>
      <c r="H1390" s="14">
        <v>2797.2</v>
      </c>
      <c r="I1390" s="31">
        <f>IF(COUNTIFS(Addendum!C:C,A1390,Addendum!D:D,IF(ISNUMBER(B1390),TEXT(B1390,"0000"),B1390),Addendum!E:E,"X")&gt;0,4%,0)</f>
        <v>0</v>
      </c>
      <c r="J1390" s="31">
        <f>IF(COUNTIFS(Addendum!C:C,A1390,Addendum!D:D,IF(ISNUMBER(B1390),TEXT(B1390,"0000"),B1390),Addendum!F:F,"X")&gt;0,2.5%,0)</f>
        <v>0</v>
      </c>
      <c r="K1390" s="31">
        <f>IF(COUNTIFS(Addendum!C:C,A1390,Addendum!D:D,IF(ISNUMBER(B1390),TEXT(B1390,"0000"),B1390),Addendum!G:G,"X")&gt;0,7%,0)</f>
        <v>0</v>
      </c>
      <c r="L1390" s="31">
        <f>IF(COUNTIFS(Addendum!C:C,A1390,Addendum!D:D,IF(ISNUMBER(B1390),TEXT(B1390,"0000"),B1390),Addendum!I:I,"X")&gt;0,10%,0)</f>
        <v>0</v>
      </c>
      <c r="M1390" s="34">
        <f t="shared" si="42"/>
        <v>0</v>
      </c>
      <c r="N1390" s="17">
        <f t="shared" si="43"/>
        <v>2797.2</v>
      </c>
    </row>
    <row r="1391" spans="1:14" x14ac:dyDescent="0.25">
      <c r="A1391" s="14" t="s">
        <v>2201</v>
      </c>
      <c r="B1391" s="14">
        <v>1</v>
      </c>
      <c r="C1391" s="15" t="s">
        <v>2202</v>
      </c>
      <c r="D1391" s="14" t="s">
        <v>1745</v>
      </c>
      <c r="E1391" s="14" t="s">
        <v>1746</v>
      </c>
      <c r="F1391" s="17" t="s">
        <v>2993</v>
      </c>
      <c r="G1391" s="14">
        <v>41958</v>
      </c>
      <c r="H1391" s="14">
        <v>29370.6</v>
      </c>
      <c r="I1391" s="31">
        <f>IF(COUNTIFS(Addendum!C:C,A1391,Addendum!D:D,IF(ISNUMBER(B1391),TEXT(B1391,"0000"),B1391),Addendum!E:E,"X")&gt;0,4%,0)</f>
        <v>0</v>
      </c>
      <c r="J1391" s="31">
        <f>IF(COUNTIFS(Addendum!C:C,A1391,Addendum!D:D,IF(ISNUMBER(B1391),TEXT(B1391,"0000"),B1391),Addendum!F:F,"X")&gt;0,2.5%,0)</f>
        <v>0</v>
      </c>
      <c r="K1391" s="31">
        <f>IF(COUNTIFS(Addendum!C:C,A1391,Addendum!D:D,IF(ISNUMBER(B1391),TEXT(B1391,"0000"),B1391),Addendum!G:G,"X")&gt;0,7%,0)</f>
        <v>0</v>
      </c>
      <c r="L1391" s="31">
        <f>IF(COUNTIFS(Addendum!C:C,A1391,Addendum!D:D,IF(ISNUMBER(B1391),TEXT(B1391,"0000"),B1391),Addendum!I:I,"X")&gt;0,10%,0)</f>
        <v>0</v>
      </c>
      <c r="M1391" s="34">
        <f t="shared" si="42"/>
        <v>0</v>
      </c>
      <c r="N1391" s="17">
        <f t="shared" si="43"/>
        <v>29370.6</v>
      </c>
    </row>
    <row r="1392" spans="1:14" x14ac:dyDescent="0.25">
      <c r="A1392" s="14" t="s">
        <v>2201</v>
      </c>
      <c r="B1392" s="14" t="s">
        <v>28</v>
      </c>
      <c r="C1392" s="15" t="s">
        <v>2203</v>
      </c>
      <c r="D1392" s="14" t="s">
        <v>1745</v>
      </c>
      <c r="E1392" s="14" t="s">
        <v>1747</v>
      </c>
      <c r="F1392" s="17" t="s">
        <v>2994</v>
      </c>
      <c r="G1392" s="14">
        <v>27960</v>
      </c>
      <c r="H1392" s="14">
        <v>19572</v>
      </c>
      <c r="I1392" s="31">
        <f>IF(COUNTIFS(Addendum!C:C,A1392,Addendum!D:D,IF(ISNUMBER(B1392),TEXT(B1392,"0000"),B1392),Addendum!E:E,"X")&gt;0,4%,0)</f>
        <v>0</v>
      </c>
      <c r="J1392" s="31">
        <f>IF(COUNTIFS(Addendum!C:C,A1392,Addendum!D:D,IF(ISNUMBER(B1392),TEXT(B1392,"0000"),B1392),Addendum!F:F,"X")&gt;0,2.5%,0)</f>
        <v>0</v>
      </c>
      <c r="K1392" s="31">
        <f>IF(COUNTIFS(Addendum!C:C,A1392,Addendum!D:D,IF(ISNUMBER(B1392),TEXT(B1392,"0000"),B1392),Addendum!G:G,"X")&gt;0,7%,0)</f>
        <v>0</v>
      </c>
      <c r="L1392" s="31">
        <f>IF(COUNTIFS(Addendum!C:C,A1392,Addendum!D:D,IF(ISNUMBER(B1392),TEXT(B1392,"0000"),B1392),Addendum!I:I,"X")&gt;0,10%,0)</f>
        <v>0</v>
      </c>
      <c r="M1392" s="34">
        <f t="shared" si="42"/>
        <v>0</v>
      </c>
      <c r="N1392" s="17">
        <f t="shared" si="43"/>
        <v>19572</v>
      </c>
    </row>
    <row r="1393" spans="1:14" x14ac:dyDescent="0.25">
      <c r="A1393" s="14" t="s">
        <v>2201</v>
      </c>
      <c r="B1393" s="14" t="s">
        <v>28</v>
      </c>
      <c r="C1393" s="15" t="s">
        <v>2203</v>
      </c>
      <c r="D1393" s="14" t="s">
        <v>1745</v>
      </c>
      <c r="E1393" s="14" t="s">
        <v>1746</v>
      </c>
      <c r="F1393" s="17" t="s">
        <v>2994</v>
      </c>
      <c r="G1393" s="14">
        <v>29358</v>
      </c>
      <c r="H1393" s="14">
        <v>20550.599999999999</v>
      </c>
      <c r="I1393" s="31">
        <f>IF(COUNTIFS(Addendum!C:C,A1393,Addendum!D:D,IF(ISNUMBER(B1393),TEXT(B1393,"0000"),B1393),Addendum!E:E,"X")&gt;0,4%,0)</f>
        <v>0</v>
      </c>
      <c r="J1393" s="31">
        <f>IF(COUNTIFS(Addendum!C:C,A1393,Addendum!D:D,IF(ISNUMBER(B1393),TEXT(B1393,"0000"),B1393),Addendum!F:F,"X")&gt;0,2.5%,0)</f>
        <v>0</v>
      </c>
      <c r="K1393" s="31">
        <f>IF(COUNTIFS(Addendum!C:C,A1393,Addendum!D:D,IF(ISNUMBER(B1393),TEXT(B1393,"0000"),B1393),Addendum!G:G,"X")&gt;0,7%,0)</f>
        <v>0</v>
      </c>
      <c r="L1393" s="31">
        <f>IF(COUNTIFS(Addendum!C:C,A1393,Addendum!D:D,IF(ISNUMBER(B1393),TEXT(B1393,"0000"),B1393),Addendum!I:I,"X")&gt;0,10%,0)</f>
        <v>0</v>
      </c>
      <c r="M1393" s="34">
        <f t="shared" si="42"/>
        <v>0</v>
      </c>
      <c r="N1393" s="17">
        <f t="shared" si="43"/>
        <v>20550.599999999999</v>
      </c>
    </row>
    <row r="1394" spans="1:14" x14ac:dyDescent="0.25">
      <c r="A1394" s="14" t="s">
        <v>2201</v>
      </c>
      <c r="B1394" s="14" t="s">
        <v>39</v>
      </c>
      <c r="C1394" s="15" t="s">
        <v>2204</v>
      </c>
      <c r="D1394" s="14" t="s">
        <v>1745</v>
      </c>
      <c r="E1394" s="14" t="s">
        <v>1746</v>
      </c>
      <c r="F1394" s="17" t="s">
        <v>2994</v>
      </c>
      <c r="G1394" s="14">
        <v>29358</v>
      </c>
      <c r="H1394" s="14">
        <v>20550.599999999999</v>
      </c>
      <c r="I1394" s="31">
        <f>IF(COUNTIFS(Addendum!C:C,A1394,Addendum!D:D,IF(ISNUMBER(B1394),TEXT(B1394,"0000"),B1394),Addendum!E:E,"X")&gt;0,4%,0)</f>
        <v>0</v>
      </c>
      <c r="J1394" s="31">
        <f>IF(COUNTIFS(Addendum!C:C,A1394,Addendum!D:D,IF(ISNUMBER(B1394),TEXT(B1394,"0000"),B1394),Addendum!F:F,"X")&gt;0,2.5%,0)</f>
        <v>0</v>
      </c>
      <c r="K1394" s="31">
        <f>IF(COUNTIFS(Addendum!C:C,A1394,Addendum!D:D,IF(ISNUMBER(B1394),TEXT(B1394,"0000"),B1394),Addendum!G:G,"X")&gt;0,7%,0)</f>
        <v>0</v>
      </c>
      <c r="L1394" s="31">
        <f>IF(COUNTIFS(Addendum!C:C,A1394,Addendum!D:D,IF(ISNUMBER(B1394),TEXT(B1394,"0000"),B1394),Addendum!I:I,"X")&gt;0,10%,0)</f>
        <v>0</v>
      </c>
      <c r="M1394" s="34">
        <f t="shared" si="42"/>
        <v>0</v>
      </c>
      <c r="N1394" s="17">
        <f t="shared" si="43"/>
        <v>20550.599999999999</v>
      </c>
    </row>
    <row r="1395" spans="1:14" x14ac:dyDescent="0.25">
      <c r="A1395" s="14" t="s">
        <v>2201</v>
      </c>
      <c r="B1395" s="14">
        <v>8</v>
      </c>
      <c r="C1395" s="15" t="s">
        <v>2205</v>
      </c>
      <c r="D1395" s="14" t="s">
        <v>1745</v>
      </c>
      <c r="E1395" s="14" t="s">
        <v>1747</v>
      </c>
      <c r="F1395" s="17" t="s">
        <v>2994</v>
      </c>
      <c r="G1395" s="14">
        <v>27960</v>
      </c>
      <c r="H1395" s="14">
        <v>19572</v>
      </c>
      <c r="I1395" s="31">
        <f>IF(COUNTIFS(Addendum!C:C,A1395,Addendum!D:D,IF(ISNUMBER(B1395),TEXT(B1395,"0000"),B1395),Addendum!E:E,"X")&gt;0,4%,0)</f>
        <v>0</v>
      </c>
      <c r="J1395" s="31">
        <f>IF(COUNTIFS(Addendum!C:C,A1395,Addendum!D:D,IF(ISNUMBER(B1395),TEXT(B1395,"0000"),B1395),Addendum!F:F,"X")&gt;0,2.5%,0)</f>
        <v>0</v>
      </c>
      <c r="K1395" s="31">
        <f>IF(COUNTIFS(Addendum!C:C,A1395,Addendum!D:D,IF(ISNUMBER(B1395),TEXT(B1395,"0000"),B1395),Addendum!G:G,"X")&gt;0,7%,0)</f>
        <v>0</v>
      </c>
      <c r="L1395" s="31">
        <f>IF(COUNTIFS(Addendum!C:C,A1395,Addendum!D:D,IF(ISNUMBER(B1395),TEXT(B1395,"0000"),B1395),Addendum!I:I,"X")&gt;0,10%,0)</f>
        <v>0</v>
      </c>
      <c r="M1395" s="34">
        <f t="shared" si="42"/>
        <v>0</v>
      </c>
      <c r="N1395" s="17">
        <f t="shared" si="43"/>
        <v>19572</v>
      </c>
    </row>
    <row r="1396" spans="1:14" x14ac:dyDescent="0.25">
      <c r="A1396" s="14" t="s">
        <v>2201</v>
      </c>
      <c r="B1396" s="14" t="s">
        <v>39</v>
      </c>
      <c r="C1396" s="15" t="s">
        <v>2204</v>
      </c>
      <c r="D1396" s="14" t="s">
        <v>1749</v>
      </c>
      <c r="E1396" s="14" t="s">
        <v>1746</v>
      </c>
      <c r="F1396" s="17" t="s">
        <v>2994</v>
      </c>
      <c r="G1396" s="14">
        <v>2796</v>
      </c>
      <c r="H1396" s="14">
        <v>1957.2</v>
      </c>
      <c r="I1396" s="31">
        <f>IF(COUNTIFS(Addendum!C:C,A1396,Addendum!D:D,IF(ISNUMBER(B1396),TEXT(B1396,"0000"),B1396),Addendum!E:E,"X")&gt;0,4%,0)</f>
        <v>0</v>
      </c>
      <c r="J1396" s="31">
        <f>IF(COUNTIFS(Addendum!C:C,A1396,Addendum!D:D,IF(ISNUMBER(B1396),TEXT(B1396,"0000"),B1396),Addendum!F:F,"X")&gt;0,2.5%,0)</f>
        <v>0</v>
      </c>
      <c r="K1396" s="31">
        <f>IF(COUNTIFS(Addendum!C:C,A1396,Addendum!D:D,IF(ISNUMBER(B1396),TEXT(B1396,"0000"),B1396),Addendum!G:G,"X")&gt;0,7%,0)</f>
        <v>0</v>
      </c>
      <c r="L1396" s="31">
        <f>IF(COUNTIFS(Addendum!C:C,A1396,Addendum!D:D,IF(ISNUMBER(B1396),TEXT(B1396,"0000"),B1396),Addendum!I:I,"X")&gt;0,10%,0)</f>
        <v>0</v>
      </c>
      <c r="M1396" s="34">
        <f t="shared" si="42"/>
        <v>0</v>
      </c>
      <c r="N1396" s="17">
        <f t="shared" si="43"/>
        <v>1957.2</v>
      </c>
    </row>
    <row r="1397" spans="1:14" x14ac:dyDescent="0.25">
      <c r="A1397" s="14" t="s">
        <v>2201</v>
      </c>
      <c r="B1397" s="14">
        <v>9</v>
      </c>
      <c r="C1397" s="15" t="s">
        <v>2206</v>
      </c>
      <c r="D1397" s="14" t="s">
        <v>1745</v>
      </c>
      <c r="E1397" s="14" t="s">
        <v>1747</v>
      </c>
      <c r="F1397" s="17" t="s">
        <v>2995</v>
      </c>
      <c r="G1397" s="14">
        <v>27960</v>
      </c>
      <c r="H1397" s="14">
        <v>25164</v>
      </c>
      <c r="I1397" s="31">
        <f>IF(COUNTIFS(Addendum!C:C,A1397,Addendum!D:D,IF(ISNUMBER(B1397),TEXT(B1397,"0000"),B1397),Addendum!E:E,"X")&gt;0,4%,0)</f>
        <v>0</v>
      </c>
      <c r="J1397" s="31">
        <f>IF(COUNTIFS(Addendum!C:C,A1397,Addendum!D:D,IF(ISNUMBER(B1397),TEXT(B1397,"0000"),B1397),Addendum!F:F,"X")&gt;0,2.5%,0)</f>
        <v>0</v>
      </c>
      <c r="K1397" s="31">
        <f>IF(COUNTIFS(Addendum!C:C,A1397,Addendum!D:D,IF(ISNUMBER(B1397),TEXT(B1397,"0000"),B1397),Addendum!G:G,"X")&gt;0,7%,0)</f>
        <v>0</v>
      </c>
      <c r="L1397" s="31">
        <f>IF(COUNTIFS(Addendum!C:C,A1397,Addendum!D:D,IF(ISNUMBER(B1397),TEXT(B1397,"0000"),B1397),Addendum!I:I,"X")&gt;0,10%,0)</f>
        <v>0</v>
      </c>
      <c r="M1397" s="34">
        <f t="shared" si="42"/>
        <v>0</v>
      </c>
      <c r="N1397" s="17">
        <f t="shared" si="43"/>
        <v>25164</v>
      </c>
    </row>
    <row r="1398" spans="1:14" x14ac:dyDescent="0.25">
      <c r="A1398" s="14" t="s">
        <v>2201</v>
      </c>
      <c r="B1398" s="14">
        <v>9</v>
      </c>
      <c r="C1398" s="15" t="s">
        <v>2206</v>
      </c>
      <c r="D1398" s="14" t="s">
        <v>1749</v>
      </c>
      <c r="E1398" s="14" t="s">
        <v>1746</v>
      </c>
      <c r="F1398" s="17" t="s">
        <v>2995</v>
      </c>
      <c r="G1398" s="14">
        <v>2796</v>
      </c>
      <c r="H1398" s="14">
        <v>2516.4</v>
      </c>
      <c r="I1398" s="31">
        <f>IF(COUNTIFS(Addendum!C:C,A1398,Addendum!D:D,IF(ISNUMBER(B1398),TEXT(B1398,"0000"),B1398),Addendum!E:E,"X")&gt;0,4%,0)</f>
        <v>0</v>
      </c>
      <c r="J1398" s="31">
        <f>IF(COUNTIFS(Addendum!C:C,A1398,Addendum!D:D,IF(ISNUMBER(B1398),TEXT(B1398,"0000"),B1398),Addendum!F:F,"X")&gt;0,2.5%,0)</f>
        <v>0</v>
      </c>
      <c r="K1398" s="31">
        <f>IF(COUNTIFS(Addendum!C:C,A1398,Addendum!D:D,IF(ISNUMBER(B1398),TEXT(B1398,"0000"),B1398),Addendum!G:G,"X")&gt;0,7%,0)</f>
        <v>0</v>
      </c>
      <c r="L1398" s="31">
        <f>IF(COUNTIFS(Addendum!C:C,A1398,Addendum!D:D,IF(ISNUMBER(B1398),TEXT(B1398,"0000"),B1398),Addendum!I:I,"X")&gt;0,10%,0)</f>
        <v>0</v>
      </c>
      <c r="M1398" s="34">
        <f t="shared" si="42"/>
        <v>0</v>
      </c>
      <c r="N1398" s="17">
        <f t="shared" si="43"/>
        <v>2516.4</v>
      </c>
    </row>
    <row r="1399" spans="1:14" x14ac:dyDescent="0.25">
      <c r="A1399" s="14" t="s">
        <v>2201</v>
      </c>
      <c r="B1399" s="14">
        <v>8</v>
      </c>
      <c r="C1399" s="15" t="s">
        <v>2205</v>
      </c>
      <c r="D1399" s="14" t="s">
        <v>1749</v>
      </c>
      <c r="E1399" s="14" t="s">
        <v>1746</v>
      </c>
      <c r="F1399" s="17" t="s">
        <v>2994</v>
      </c>
      <c r="G1399" s="14">
        <v>2796</v>
      </c>
      <c r="H1399" s="14">
        <v>1957.2</v>
      </c>
      <c r="I1399" s="31">
        <f>IF(COUNTIFS(Addendum!C:C,A1399,Addendum!D:D,IF(ISNUMBER(B1399),TEXT(B1399,"0000"),B1399),Addendum!E:E,"X")&gt;0,4%,0)</f>
        <v>0</v>
      </c>
      <c r="J1399" s="31">
        <f>IF(COUNTIFS(Addendum!C:C,A1399,Addendum!D:D,IF(ISNUMBER(B1399),TEXT(B1399,"0000"),B1399),Addendum!F:F,"X")&gt;0,2.5%,0)</f>
        <v>0</v>
      </c>
      <c r="K1399" s="31">
        <f>IF(COUNTIFS(Addendum!C:C,A1399,Addendum!D:D,IF(ISNUMBER(B1399),TEXT(B1399,"0000"),B1399),Addendum!G:G,"X")&gt;0,7%,0)</f>
        <v>0</v>
      </c>
      <c r="L1399" s="31">
        <f>IF(COUNTIFS(Addendum!C:C,A1399,Addendum!D:D,IF(ISNUMBER(B1399),TEXT(B1399,"0000"),B1399),Addendum!I:I,"X")&gt;0,10%,0)</f>
        <v>0</v>
      </c>
      <c r="M1399" s="34">
        <f t="shared" si="42"/>
        <v>0</v>
      </c>
      <c r="N1399" s="17">
        <f t="shared" si="43"/>
        <v>1957.2</v>
      </c>
    </row>
    <row r="1400" spans="1:14" x14ac:dyDescent="0.25">
      <c r="A1400" s="14" t="s">
        <v>2201</v>
      </c>
      <c r="B1400" s="14" t="s">
        <v>28</v>
      </c>
      <c r="C1400" s="15" t="s">
        <v>2203</v>
      </c>
      <c r="D1400" s="14" t="s">
        <v>1749</v>
      </c>
      <c r="E1400" s="14" t="s">
        <v>1746</v>
      </c>
      <c r="F1400" s="17" t="s">
        <v>2994</v>
      </c>
      <c r="G1400" s="14">
        <v>2796</v>
      </c>
      <c r="H1400" s="14">
        <v>1957.2</v>
      </c>
      <c r="I1400" s="31">
        <f>IF(COUNTIFS(Addendum!C:C,A1400,Addendum!D:D,IF(ISNUMBER(B1400),TEXT(B1400,"0000"),B1400),Addendum!E:E,"X")&gt;0,4%,0)</f>
        <v>0</v>
      </c>
      <c r="J1400" s="31">
        <f>IF(COUNTIFS(Addendum!C:C,A1400,Addendum!D:D,IF(ISNUMBER(B1400),TEXT(B1400,"0000"),B1400),Addendum!F:F,"X")&gt;0,2.5%,0)</f>
        <v>0</v>
      </c>
      <c r="K1400" s="31">
        <f>IF(COUNTIFS(Addendum!C:C,A1400,Addendum!D:D,IF(ISNUMBER(B1400),TEXT(B1400,"0000"),B1400),Addendum!G:G,"X")&gt;0,7%,0)</f>
        <v>0</v>
      </c>
      <c r="L1400" s="31">
        <f>IF(COUNTIFS(Addendum!C:C,A1400,Addendum!D:D,IF(ISNUMBER(B1400),TEXT(B1400,"0000"),B1400),Addendum!I:I,"X")&gt;0,10%,0)</f>
        <v>0</v>
      </c>
      <c r="M1400" s="34">
        <f t="shared" si="42"/>
        <v>0</v>
      </c>
      <c r="N1400" s="17">
        <f t="shared" si="43"/>
        <v>1957.2</v>
      </c>
    </row>
    <row r="1401" spans="1:14" x14ac:dyDescent="0.25">
      <c r="A1401" s="14" t="s">
        <v>2201</v>
      </c>
      <c r="B1401" s="14">
        <v>1</v>
      </c>
      <c r="C1401" s="15" t="s">
        <v>2202</v>
      </c>
      <c r="D1401" s="14" t="s">
        <v>1745</v>
      </c>
      <c r="E1401" s="14" t="s">
        <v>1747</v>
      </c>
      <c r="F1401" s="17" t="s">
        <v>2993</v>
      </c>
      <c r="G1401" s="14">
        <v>39960</v>
      </c>
      <c r="H1401" s="14">
        <v>27972</v>
      </c>
      <c r="I1401" s="31">
        <f>IF(COUNTIFS(Addendum!C:C,A1401,Addendum!D:D,IF(ISNUMBER(B1401),TEXT(B1401,"0000"),B1401),Addendum!E:E,"X")&gt;0,4%,0)</f>
        <v>0</v>
      </c>
      <c r="J1401" s="31">
        <f>IF(COUNTIFS(Addendum!C:C,A1401,Addendum!D:D,IF(ISNUMBER(B1401),TEXT(B1401,"0000"),B1401),Addendum!F:F,"X")&gt;0,2.5%,0)</f>
        <v>0</v>
      </c>
      <c r="K1401" s="31">
        <f>IF(COUNTIFS(Addendum!C:C,A1401,Addendum!D:D,IF(ISNUMBER(B1401),TEXT(B1401,"0000"),B1401),Addendum!G:G,"X")&gt;0,7%,0)</f>
        <v>0</v>
      </c>
      <c r="L1401" s="31">
        <f>IF(COUNTIFS(Addendum!C:C,A1401,Addendum!D:D,IF(ISNUMBER(B1401),TEXT(B1401,"0000"),B1401),Addendum!I:I,"X")&gt;0,10%,0)</f>
        <v>0</v>
      </c>
      <c r="M1401" s="34">
        <f t="shared" si="42"/>
        <v>0</v>
      </c>
      <c r="N1401" s="17">
        <f t="shared" si="43"/>
        <v>27972</v>
      </c>
    </row>
    <row r="1402" spans="1:14" x14ac:dyDescent="0.25">
      <c r="A1402" s="14" t="s">
        <v>2201</v>
      </c>
      <c r="B1402" s="14">
        <v>8</v>
      </c>
      <c r="C1402" s="15" t="s">
        <v>2205</v>
      </c>
      <c r="D1402" s="14" t="s">
        <v>1745</v>
      </c>
      <c r="E1402" s="14" t="s">
        <v>1746</v>
      </c>
      <c r="F1402" s="17" t="s">
        <v>2994</v>
      </c>
      <c r="G1402" s="14">
        <v>29358</v>
      </c>
      <c r="H1402" s="14">
        <v>20550.599999999999</v>
      </c>
      <c r="I1402" s="31">
        <f>IF(COUNTIFS(Addendum!C:C,A1402,Addendum!D:D,IF(ISNUMBER(B1402),TEXT(B1402,"0000"),B1402),Addendum!E:E,"X")&gt;0,4%,0)</f>
        <v>0</v>
      </c>
      <c r="J1402" s="31">
        <f>IF(COUNTIFS(Addendum!C:C,A1402,Addendum!D:D,IF(ISNUMBER(B1402),TEXT(B1402,"0000"),B1402),Addendum!F:F,"X")&gt;0,2.5%,0)</f>
        <v>0</v>
      </c>
      <c r="K1402" s="31">
        <f>IF(COUNTIFS(Addendum!C:C,A1402,Addendum!D:D,IF(ISNUMBER(B1402),TEXT(B1402,"0000"),B1402),Addendum!G:G,"X")&gt;0,7%,0)</f>
        <v>0</v>
      </c>
      <c r="L1402" s="31">
        <f>IF(COUNTIFS(Addendum!C:C,A1402,Addendum!D:D,IF(ISNUMBER(B1402),TEXT(B1402,"0000"),B1402),Addendum!I:I,"X")&gt;0,10%,0)</f>
        <v>0</v>
      </c>
      <c r="M1402" s="34">
        <f t="shared" si="42"/>
        <v>0</v>
      </c>
      <c r="N1402" s="17">
        <f t="shared" si="43"/>
        <v>20550.599999999999</v>
      </c>
    </row>
    <row r="1403" spans="1:14" x14ac:dyDescent="0.25">
      <c r="A1403" s="14" t="s">
        <v>2201</v>
      </c>
      <c r="B1403" s="14" t="s">
        <v>39</v>
      </c>
      <c r="C1403" s="15" t="s">
        <v>2204</v>
      </c>
      <c r="D1403" s="14" t="s">
        <v>1745</v>
      </c>
      <c r="E1403" s="14" t="s">
        <v>1747</v>
      </c>
      <c r="F1403" s="17" t="s">
        <v>2994</v>
      </c>
      <c r="G1403" s="14">
        <v>27960</v>
      </c>
      <c r="H1403" s="14">
        <v>19572</v>
      </c>
      <c r="I1403" s="31">
        <f>IF(COUNTIFS(Addendum!C:C,A1403,Addendum!D:D,IF(ISNUMBER(B1403),TEXT(B1403,"0000"),B1403),Addendum!E:E,"X")&gt;0,4%,0)</f>
        <v>0</v>
      </c>
      <c r="J1403" s="31">
        <f>IF(COUNTIFS(Addendum!C:C,A1403,Addendum!D:D,IF(ISNUMBER(B1403),TEXT(B1403,"0000"),B1403),Addendum!F:F,"X")&gt;0,2.5%,0)</f>
        <v>0</v>
      </c>
      <c r="K1403" s="31">
        <f>IF(COUNTIFS(Addendum!C:C,A1403,Addendum!D:D,IF(ISNUMBER(B1403),TEXT(B1403,"0000"),B1403),Addendum!G:G,"X")&gt;0,7%,0)</f>
        <v>0</v>
      </c>
      <c r="L1403" s="31">
        <f>IF(COUNTIFS(Addendum!C:C,A1403,Addendum!D:D,IF(ISNUMBER(B1403),TEXT(B1403,"0000"),B1403),Addendum!I:I,"X")&gt;0,10%,0)</f>
        <v>0</v>
      </c>
      <c r="M1403" s="34">
        <f t="shared" si="42"/>
        <v>0</v>
      </c>
      <c r="N1403" s="17">
        <f t="shared" si="43"/>
        <v>19572</v>
      </c>
    </row>
    <row r="1404" spans="1:14" x14ac:dyDescent="0.25">
      <c r="A1404" s="14" t="s">
        <v>2201</v>
      </c>
      <c r="B1404" s="14">
        <v>9</v>
      </c>
      <c r="C1404" s="15" t="s">
        <v>2206</v>
      </c>
      <c r="D1404" s="14" t="s">
        <v>1745</v>
      </c>
      <c r="E1404" s="14" t="s">
        <v>1746</v>
      </c>
      <c r="F1404" s="17" t="s">
        <v>2995</v>
      </c>
      <c r="G1404" s="14">
        <v>29358</v>
      </c>
      <c r="H1404" s="14">
        <v>26422.2</v>
      </c>
      <c r="I1404" s="31">
        <f>IF(COUNTIFS(Addendum!C:C,A1404,Addendum!D:D,IF(ISNUMBER(B1404),TEXT(B1404,"0000"),B1404),Addendum!E:E,"X")&gt;0,4%,0)</f>
        <v>0</v>
      </c>
      <c r="J1404" s="31">
        <f>IF(COUNTIFS(Addendum!C:C,A1404,Addendum!D:D,IF(ISNUMBER(B1404),TEXT(B1404,"0000"),B1404),Addendum!F:F,"X")&gt;0,2.5%,0)</f>
        <v>0</v>
      </c>
      <c r="K1404" s="31">
        <f>IF(COUNTIFS(Addendum!C:C,A1404,Addendum!D:D,IF(ISNUMBER(B1404),TEXT(B1404,"0000"),B1404),Addendum!G:G,"X")&gt;0,7%,0)</f>
        <v>0</v>
      </c>
      <c r="L1404" s="31">
        <f>IF(COUNTIFS(Addendum!C:C,A1404,Addendum!D:D,IF(ISNUMBER(B1404),TEXT(B1404,"0000"),B1404),Addendum!I:I,"X")&gt;0,10%,0)</f>
        <v>0</v>
      </c>
      <c r="M1404" s="34">
        <f t="shared" si="42"/>
        <v>0</v>
      </c>
      <c r="N1404" s="17">
        <f t="shared" si="43"/>
        <v>26422.2</v>
      </c>
    </row>
    <row r="1405" spans="1:14" x14ac:dyDescent="0.25">
      <c r="A1405" s="14" t="s">
        <v>2207</v>
      </c>
      <c r="B1405" s="14">
        <v>3</v>
      </c>
      <c r="C1405" s="15" t="s">
        <v>2208</v>
      </c>
      <c r="D1405" s="14" t="s">
        <v>1745</v>
      </c>
      <c r="E1405" s="14" t="s">
        <v>1747</v>
      </c>
      <c r="F1405" s="17" t="s">
        <v>2993</v>
      </c>
      <c r="G1405" s="14">
        <v>29940</v>
      </c>
      <c r="H1405" s="14">
        <v>20958</v>
      </c>
      <c r="I1405" s="31">
        <f>IF(COUNTIFS(Addendum!C:C,A1405,Addendum!D:D,IF(ISNUMBER(B1405),TEXT(B1405,"0000"),B1405),Addendum!E:E,"X")&gt;0,4%,0)</f>
        <v>0</v>
      </c>
      <c r="J1405" s="31">
        <f>IF(COUNTIFS(Addendum!C:C,A1405,Addendum!D:D,IF(ISNUMBER(B1405),TEXT(B1405,"0000"),B1405),Addendum!F:F,"X")&gt;0,2.5%,0)</f>
        <v>0</v>
      </c>
      <c r="K1405" s="31">
        <f>IF(COUNTIFS(Addendum!C:C,A1405,Addendum!D:D,IF(ISNUMBER(B1405),TEXT(B1405,"0000"),B1405),Addendum!G:G,"X")&gt;0,7%,0)</f>
        <v>0</v>
      </c>
      <c r="L1405" s="31">
        <f>IF(COUNTIFS(Addendum!C:C,A1405,Addendum!D:D,IF(ISNUMBER(B1405),TEXT(B1405,"0000"),B1405),Addendum!I:I,"X")&gt;0,10%,0)</f>
        <v>0</v>
      </c>
      <c r="M1405" s="34">
        <f t="shared" si="42"/>
        <v>0</v>
      </c>
      <c r="N1405" s="17">
        <f t="shared" si="43"/>
        <v>20958</v>
      </c>
    </row>
    <row r="1406" spans="1:14" x14ac:dyDescent="0.25">
      <c r="A1406" s="14" t="s">
        <v>2207</v>
      </c>
      <c r="B1406" s="14">
        <v>3</v>
      </c>
      <c r="C1406" s="15" t="s">
        <v>2208</v>
      </c>
      <c r="D1406" s="14" t="s">
        <v>1745</v>
      </c>
      <c r="E1406" s="14" t="s">
        <v>1746</v>
      </c>
      <c r="F1406" s="17" t="s">
        <v>2993</v>
      </c>
      <c r="G1406" s="14">
        <v>31437</v>
      </c>
      <c r="H1406" s="14">
        <v>22005.96</v>
      </c>
      <c r="I1406" s="31">
        <f>IF(COUNTIFS(Addendum!C:C,A1406,Addendum!D:D,IF(ISNUMBER(B1406),TEXT(B1406,"0000"),B1406),Addendum!E:E,"X")&gt;0,4%,0)</f>
        <v>0</v>
      </c>
      <c r="J1406" s="31">
        <f>IF(COUNTIFS(Addendum!C:C,A1406,Addendum!D:D,IF(ISNUMBER(B1406),TEXT(B1406,"0000"),B1406),Addendum!F:F,"X")&gt;0,2.5%,0)</f>
        <v>0</v>
      </c>
      <c r="K1406" s="31">
        <f>IF(COUNTIFS(Addendum!C:C,A1406,Addendum!D:D,IF(ISNUMBER(B1406),TEXT(B1406,"0000"),B1406),Addendum!G:G,"X")&gt;0,7%,0)</f>
        <v>0</v>
      </c>
      <c r="L1406" s="31">
        <f>IF(COUNTIFS(Addendum!C:C,A1406,Addendum!D:D,IF(ISNUMBER(B1406),TEXT(B1406,"0000"),B1406),Addendum!I:I,"X")&gt;0,10%,0)</f>
        <v>0</v>
      </c>
      <c r="M1406" s="34">
        <f t="shared" si="42"/>
        <v>0</v>
      </c>
      <c r="N1406" s="17">
        <f t="shared" si="43"/>
        <v>22005.96</v>
      </c>
    </row>
    <row r="1407" spans="1:14" x14ac:dyDescent="0.25">
      <c r="A1407" s="14" t="s">
        <v>2207</v>
      </c>
      <c r="B1407" s="14">
        <v>3</v>
      </c>
      <c r="C1407" s="15" t="s">
        <v>2208</v>
      </c>
      <c r="D1407" s="14" t="s">
        <v>1749</v>
      </c>
      <c r="E1407" s="14" t="s">
        <v>1746</v>
      </c>
      <c r="F1407" s="17" t="s">
        <v>2993</v>
      </c>
      <c r="G1407" s="14">
        <v>2994</v>
      </c>
      <c r="H1407" s="14">
        <v>2095.8000000000002</v>
      </c>
      <c r="I1407" s="31">
        <f>IF(COUNTIFS(Addendum!C:C,A1407,Addendum!D:D,IF(ISNUMBER(B1407),TEXT(B1407,"0000"),B1407),Addendum!E:E,"X")&gt;0,4%,0)</f>
        <v>0</v>
      </c>
      <c r="J1407" s="31">
        <f>IF(COUNTIFS(Addendum!C:C,A1407,Addendum!D:D,IF(ISNUMBER(B1407),TEXT(B1407,"0000"),B1407),Addendum!F:F,"X")&gt;0,2.5%,0)</f>
        <v>0</v>
      </c>
      <c r="K1407" s="31">
        <f>IF(COUNTIFS(Addendum!C:C,A1407,Addendum!D:D,IF(ISNUMBER(B1407),TEXT(B1407,"0000"),B1407),Addendum!G:G,"X")&gt;0,7%,0)</f>
        <v>0</v>
      </c>
      <c r="L1407" s="31">
        <f>IF(COUNTIFS(Addendum!C:C,A1407,Addendum!D:D,IF(ISNUMBER(B1407),TEXT(B1407,"0000"),B1407),Addendum!I:I,"X")&gt;0,10%,0)</f>
        <v>0</v>
      </c>
      <c r="M1407" s="34">
        <f t="shared" si="42"/>
        <v>0</v>
      </c>
      <c r="N1407" s="17">
        <f t="shared" si="43"/>
        <v>2095.8000000000002</v>
      </c>
    </row>
    <row r="1408" spans="1:14" x14ac:dyDescent="0.25">
      <c r="A1408" s="14" t="s">
        <v>2209</v>
      </c>
      <c r="B1408" s="14">
        <v>8</v>
      </c>
      <c r="C1408" s="15" t="s">
        <v>2210</v>
      </c>
      <c r="D1408" s="14" t="s">
        <v>1745</v>
      </c>
      <c r="E1408" s="14" t="s">
        <v>1747</v>
      </c>
      <c r="F1408" s="17" t="s">
        <v>2994</v>
      </c>
      <c r="G1408" s="14">
        <v>1380</v>
      </c>
      <c r="H1408" s="14">
        <v>966</v>
      </c>
      <c r="I1408" s="31">
        <f>IF(COUNTIFS(Addendum!C:C,A1408,Addendum!D:D,IF(ISNUMBER(B1408),TEXT(B1408,"0000"),B1408),Addendum!E:E,"X")&gt;0,4%,0)</f>
        <v>0</v>
      </c>
      <c r="J1408" s="31">
        <f>IF(COUNTIFS(Addendum!C:C,A1408,Addendum!D:D,IF(ISNUMBER(B1408),TEXT(B1408,"0000"),B1408),Addendum!F:F,"X")&gt;0,2.5%,0)</f>
        <v>0</v>
      </c>
      <c r="K1408" s="31">
        <f>IF(COUNTIFS(Addendum!C:C,A1408,Addendum!D:D,IF(ISNUMBER(B1408),TEXT(B1408,"0000"),B1408),Addendum!G:G,"X")&gt;0,7%,0)</f>
        <v>0</v>
      </c>
      <c r="L1408" s="31">
        <f>IF(COUNTIFS(Addendum!C:C,A1408,Addendum!D:D,IF(ISNUMBER(B1408),TEXT(B1408,"0000"),B1408),Addendum!I:I,"X")&gt;0,10%,0)</f>
        <v>0</v>
      </c>
      <c r="M1408" s="34">
        <f t="shared" si="42"/>
        <v>0</v>
      </c>
      <c r="N1408" s="17">
        <f t="shared" si="43"/>
        <v>966</v>
      </c>
    </row>
    <row r="1409" spans="1:14" x14ac:dyDescent="0.25">
      <c r="A1409" s="14" t="s">
        <v>2209</v>
      </c>
      <c r="B1409" s="14">
        <v>9</v>
      </c>
      <c r="C1409" s="15" t="s">
        <v>2211</v>
      </c>
      <c r="D1409" s="14" t="s">
        <v>1749</v>
      </c>
      <c r="E1409" s="14" t="s">
        <v>1746</v>
      </c>
      <c r="F1409" s="17" t="s">
        <v>2995</v>
      </c>
      <c r="G1409" s="14">
        <v>138</v>
      </c>
      <c r="H1409" s="14">
        <v>124.2</v>
      </c>
      <c r="I1409" s="31">
        <f>IF(COUNTIFS(Addendum!C:C,A1409,Addendum!D:D,IF(ISNUMBER(B1409),TEXT(B1409,"0000"),B1409),Addendum!E:E,"X")&gt;0,4%,0)</f>
        <v>0</v>
      </c>
      <c r="J1409" s="31">
        <f>IF(COUNTIFS(Addendum!C:C,A1409,Addendum!D:D,IF(ISNUMBER(B1409),TEXT(B1409,"0000"),B1409),Addendum!F:F,"X")&gt;0,2.5%,0)</f>
        <v>0</v>
      </c>
      <c r="K1409" s="31">
        <f>IF(COUNTIFS(Addendum!C:C,A1409,Addendum!D:D,IF(ISNUMBER(B1409),TEXT(B1409,"0000"),B1409),Addendum!G:G,"X")&gt;0,7%,0)</f>
        <v>0</v>
      </c>
      <c r="L1409" s="31">
        <f>IF(COUNTIFS(Addendum!C:C,A1409,Addendum!D:D,IF(ISNUMBER(B1409),TEXT(B1409,"0000"),B1409),Addendum!I:I,"X")&gt;0,10%,0)</f>
        <v>0</v>
      </c>
      <c r="M1409" s="34">
        <f t="shared" si="42"/>
        <v>0</v>
      </c>
      <c r="N1409" s="17">
        <f t="shared" si="43"/>
        <v>124.2</v>
      </c>
    </row>
    <row r="1410" spans="1:14" x14ac:dyDescent="0.25">
      <c r="A1410" s="14" t="s">
        <v>2209</v>
      </c>
      <c r="B1410" s="14">
        <v>8</v>
      </c>
      <c r="C1410" s="15" t="s">
        <v>2210</v>
      </c>
      <c r="D1410" s="14" t="s">
        <v>1745</v>
      </c>
      <c r="E1410" s="14" t="s">
        <v>1746</v>
      </c>
      <c r="F1410" s="17" t="s">
        <v>2994</v>
      </c>
      <c r="G1410" s="14">
        <v>1449</v>
      </c>
      <c r="H1410" s="14">
        <v>1014.36</v>
      </c>
      <c r="I1410" s="31">
        <f>IF(COUNTIFS(Addendum!C:C,A1410,Addendum!D:D,IF(ISNUMBER(B1410),TEXT(B1410,"0000"),B1410),Addendum!E:E,"X")&gt;0,4%,0)</f>
        <v>0</v>
      </c>
      <c r="J1410" s="31">
        <f>IF(COUNTIFS(Addendum!C:C,A1410,Addendum!D:D,IF(ISNUMBER(B1410),TEXT(B1410,"0000"),B1410),Addendum!F:F,"X")&gt;0,2.5%,0)</f>
        <v>0</v>
      </c>
      <c r="K1410" s="31">
        <f>IF(COUNTIFS(Addendum!C:C,A1410,Addendum!D:D,IF(ISNUMBER(B1410),TEXT(B1410,"0000"),B1410),Addendum!G:G,"X")&gt;0,7%,0)</f>
        <v>0</v>
      </c>
      <c r="L1410" s="31">
        <f>IF(COUNTIFS(Addendum!C:C,A1410,Addendum!D:D,IF(ISNUMBER(B1410),TEXT(B1410,"0000"),B1410),Addendum!I:I,"X")&gt;0,10%,0)</f>
        <v>0</v>
      </c>
      <c r="M1410" s="34">
        <f t="shared" si="42"/>
        <v>0</v>
      </c>
      <c r="N1410" s="17">
        <f t="shared" si="43"/>
        <v>1014.36</v>
      </c>
    </row>
    <row r="1411" spans="1:14" x14ac:dyDescent="0.25">
      <c r="A1411" s="14" t="s">
        <v>2209</v>
      </c>
      <c r="B1411" s="14">
        <v>9</v>
      </c>
      <c r="C1411" s="15" t="s">
        <v>2211</v>
      </c>
      <c r="D1411" s="14" t="s">
        <v>1745</v>
      </c>
      <c r="E1411" s="14" t="s">
        <v>1747</v>
      </c>
      <c r="F1411" s="17" t="s">
        <v>2995</v>
      </c>
      <c r="G1411" s="14">
        <v>1380</v>
      </c>
      <c r="H1411" s="14">
        <v>1242</v>
      </c>
      <c r="I1411" s="31">
        <f>IF(COUNTIFS(Addendum!C:C,A1411,Addendum!D:D,IF(ISNUMBER(B1411),TEXT(B1411,"0000"),B1411),Addendum!E:E,"X")&gt;0,4%,0)</f>
        <v>0</v>
      </c>
      <c r="J1411" s="31">
        <f>IF(COUNTIFS(Addendum!C:C,A1411,Addendum!D:D,IF(ISNUMBER(B1411),TEXT(B1411,"0000"),B1411),Addendum!F:F,"X")&gt;0,2.5%,0)</f>
        <v>0</v>
      </c>
      <c r="K1411" s="31">
        <f>IF(COUNTIFS(Addendum!C:C,A1411,Addendum!D:D,IF(ISNUMBER(B1411),TEXT(B1411,"0000"),B1411),Addendum!G:G,"X")&gt;0,7%,0)</f>
        <v>0</v>
      </c>
      <c r="L1411" s="31">
        <f>IF(COUNTIFS(Addendum!C:C,A1411,Addendum!D:D,IF(ISNUMBER(B1411),TEXT(B1411,"0000"),B1411),Addendum!I:I,"X")&gt;0,10%,0)</f>
        <v>0</v>
      </c>
      <c r="M1411" s="34">
        <f t="shared" si="42"/>
        <v>0</v>
      </c>
      <c r="N1411" s="17">
        <f t="shared" si="43"/>
        <v>1242</v>
      </c>
    </row>
    <row r="1412" spans="1:14" x14ac:dyDescent="0.25">
      <c r="A1412" s="14" t="s">
        <v>2209</v>
      </c>
      <c r="B1412" s="14">
        <v>1</v>
      </c>
      <c r="C1412" s="15" t="s">
        <v>2212</v>
      </c>
      <c r="D1412" s="14" t="s">
        <v>1749</v>
      </c>
      <c r="E1412" s="14" t="s">
        <v>1746</v>
      </c>
      <c r="F1412" s="17" t="s">
        <v>2993</v>
      </c>
      <c r="G1412" s="14">
        <v>198</v>
      </c>
      <c r="H1412" s="14">
        <v>138.6</v>
      </c>
      <c r="I1412" s="31">
        <f>IF(COUNTIFS(Addendum!C:C,A1412,Addendum!D:D,IF(ISNUMBER(B1412),TEXT(B1412,"0000"),B1412),Addendum!E:E,"X")&gt;0,4%,0)</f>
        <v>0</v>
      </c>
      <c r="J1412" s="31">
        <f>IF(COUNTIFS(Addendum!C:C,A1412,Addendum!D:D,IF(ISNUMBER(B1412),TEXT(B1412,"0000"),B1412),Addendum!F:F,"X")&gt;0,2.5%,0)</f>
        <v>0</v>
      </c>
      <c r="K1412" s="31">
        <f>IF(COUNTIFS(Addendum!C:C,A1412,Addendum!D:D,IF(ISNUMBER(B1412),TEXT(B1412,"0000"),B1412),Addendum!G:G,"X")&gt;0,7%,0)</f>
        <v>0</v>
      </c>
      <c r="L1412" s="31">
        <f>IF(COUNTIFS(Addendum!C:C,A1412,Addendum!D:D,IF(ISNUMBER(B1412),TEXT(B1412,"0000"),B1412),Addendum!I:I,"X")&gt;0,10%,0)</f>
        <v>0</v>
      </c>
      <c r="M1412" s="34">
        <f t="shared" ref="M1412:M1475" si="44">IF(AND(I1412=0%,J1412=0%,K1412=0%,L1412=0%),0%,
IF(OR(TRIM(E1412)="OneTime",TRIM(D1412)=""),0%,
IF(
OR(
TRIM(D1412)="P1M",
AND(TRIM(D1412)="P1Y",TRIM(E1412)="Monthly"),
AND(TRIM(D1412)="P3Y",TRIM(E1412)="Monthly")
),
IF(AND(I1412=4%,J1412=0%,K1412=0%,L1412=0%),1%,
IF(AND(I1412=4%,J1412=2.5%,K1412=0%,L1412=10%),2%,
IF(AND(I1412=4%,J1412=0%,K1412=7%,L1412=10%),3%,0%))),
IF(
OR(
AND(TRIM(D1412)="P1Y",TRIM(E1412)="Annual"),
AND(TRIM(D1412)="P3Y",TRIM(E1412)="Annual"),
AND(TRIM(D1412)="P3Y",TRIM(E1412)="Triennial")
),
IF(AND(I1412=4%,J1412=0%,K1412=0%,L1412=0%),3%,
IF(AND(I1412=4%,J1412=2.5%,K1412=0%,L1412=10%),10%,
IF(AND(I1412=4%,J1412=0%,K1412=7%,L1412=10%),14%,0%))),
0%
))))</f>
        <v>0</v>
      </c>
      <c r="N1412" s="17">
        <f t="shared" ref="N1412:N1475" si="45">H1412-(H1412*M1412)</f>
        <v>138.6</v>
      </c>
    </row>
    <row r="1413" spans="1:14" x14ac:dyDescent="0.25">
      <c r="A1413" s="14" t="s">
        <v>2209</v>
      </c>
      <c r="B1413" s="14">
        <v>1</v>
      </c>
      <c r="C1413" s="15" t="s">
        <v>2212</v>
      </c>
      <c r="D1413" s="14" t="s">
        <v>1745</v>
      </c>
      <c r="E1413" s="14" t="s">
        <v>1746</v>
      </c>
      <c r="F1413" s="17" t="s">
        <v>2993</v>
      </c>
      <c r="G1413" s="14">
        <v>2079</v>
      </c>
      <c r="H1413" s="14">
        <v>1455.36</v>
      </c>
      <c r="I1413" s="31">
        <f>IF(COUNTIFS(Addendum!C:C,A1413,Addendum!D:D,IF(ISNUMBER(B1413),TEXT(B1413,"0000"),B1413),Addendum!E:E,"X")&gt;0,4%,0)</f>
        <v>0</v>
      </c>
      <c r="J1413" s="31">
        <f>IF(COUNTIFS(Addendum!C:C,A1413,Addendum!D:D,IF(ISNUMBER(B1413),TEXT(B1413,"0000"),B1413),Addendum!F:F,"X")&gt;0,2.5%,0)</f>
        <v>0</v>
      </c>
      <c r="K1413" s="31">
        <f>IF(COUNTIFS(Addendum!C:C,A1413,Addendum!D:D,IF(ISNUMBER(B1413),TEXT(B1413,"0000"),B1413),Addendum!G:G,"X")&gt;0,7%,0)</f>
        <v>0</v>
      </c>
      <c r="L1413" s="31">
        <f>IF(COUNTIFS(Addendum!C:C,A1413,Addendum!D:D,IF(ISNUMBER(B1413),TEXT(B1413,"0000"),B1413),Addendum!I:I,"X")&gt;0,10%,0)</f>
        <v>0</v>
      </c>
      <c r="M1413" s="34">
        <f t="shared" si="44"/>
        <v>0</v>
      </c>
      <c r="N1413" s="17">
        <f t="shared" si="45"/>
        <v>1455.36</v>
      </c>
    </row>
    <row r="1414" spans="1:14" x14ac:dyDescent="0.25">
      <c r="A1414" s="14" t="s">
        <v>2209</v>
      </c>
      <c r="B1414" s="14">
        <v>8</v>
      </c>
      <c r="C1414" s="15" t="s">
        <v>2210</v>
      </c>
      <c r="D1414" s="14" t="s">
        <v>1749</v>
      </c>
      <c r="E1414" s="14" t="s">
        <v>1746</v>
      </c>
      <c r="F1414" s="17" t="s">
        <v>2994</v>
      </c>
      <c r="G1414" s="14">
        <v>138</v>
      </c>
      <c r="H1414" s="14">
        <v>96.6</v>
      </c>
      <c r="I1414" s="31">
        <f>IF(COUNTIFS(Addendum!C:C,A1414,Addendum!D:D,IF(ISNUMBER(B1414),TEXT(B1414,"0000"),B1414),Addendum!E:E,"X")&gt;0,4%,0)</f>
        <v>0</v>
      </c>
      <c r="J1414" s="31">
        <f>IF(COUNTIFS(Addendum!C:C,A1414,Addendum!D:D,IF(ISNUMBER(B1414),TEXT(B1414,"0000"),B1414),Addendum!F:F,"X")&gt;0,2.5%,0)</f>
        <v>0</v>
      </c>
      <c r="K1414" s="31">
        <f>IF(COUNTIFS(Addendum!C:C,A1414,Addendum!D:D,IF(ISNUMBER(B1414),TEXT(B1414,"0000"),B1414),Addendum!G:G,"X")&gt;0,7%,0)</f>
        <v>0</v>
      </c>
      <c r="L1414" s="31">
        <f>IF(COUNTIFS(Addendum!C:C,A1414,Addendum!D:D,IF(ISNUMBER(B1414),TEXT(B1414,"0000"),B1414),Addendum!I:I,"X")&gt;0,10%,0)</f>
        <v>0</v>
      </c>
      <c r="M1414" s="34">
        <f t="shared" si="44"/>
        <v>0</v>
      </c>
      <c r="N1414" s="17">
        <f t="shared" si="45"/>
        <v>96.6</v>
      </c>
    </row>
    <row r="1415" spans="1:14" x14ac:dyDescent="0.25">
      <c r="A1415" s="14" t="s">
        <v>2209</v>
      </c>
      <c r="B1415" s="14">
        <v>1</v>
      </c>
      <c r="C1415" s="15" t="s">
        <v>2212</v>
      </c>
      <c r="D1415" s="14" t="s">
        <v>1745</v>
      </c>
      <c r="E1415" s="14" t="s">
        <v>1747</v>
      </c>
      <c r="F1415" s="17" t="s">
        <v>2993</v>
      </c>
      <c r="G1415" s="14">
        <v>1980</v>
      </c>
      <c r="H1415" s="14">
        <v>1386</v>
      </c>
      <c r="I1415" s="31">
        <f>IF(COUNTIFS(Addendum!C:C,A1415,Addendum!D:D,IF(ISNUMBER(B1415),TEXT(B1415,"0000"),B1415),Addendum!E:E,"X")&gt;0,4%,0)</f>
        <v>0</v>
      </c>
      <c r="J1415" s="31">
        <f>IF(COUNTIFS(Addendum!C:C,A1415,Addendum!D:D,IF(ISNUMBER(B1415),TEXT(B1415,"0000"),B1415),Addendum!F:F,"X")&gt;0,2.5%,0)</f>
        <v>0</v>
      </c>
      <c r="K1415" s="31">
        <f>IF(COUNTIFS(Addendum!C:C,A1415,Addendum!D:D,IF(ISNUMBER(B1415),TEXT(B1415,"0000"),B1415),Addendum!G:G,"X")&gt;0,7%,0)</f>
        <v>0</v>
      </c>
      <c r="L1415" s="31">
        <f>IF(COUNTIFS(Addendum!C:C,A1415,Addendum!D:D,IF(ISNUMBER(B1415),TEXT(B1415,"0000"),B1415),Addendum!I:I,"X")&gt;0,10%,0)</f>
        <v>0</v>
      </c>
      <c r="M1415" s="34">
        <f t="shared" si="44"/>
        <v>0</v>
      </c>
      <c r="N1415" s="17">
        <f t="shared" si="45"/>
        <v>1386</v>
      </c>
    </row>
    <row r="1416" spans="1:14" x14ac:dyDescent="0.25">
      <c r="A1416" s="14" t="s">
        <v>2209</v>
      </c>
      <c r="B1416" s="14">
        <v>9</v>
      </c>
      <c r="C1416" s="15" t="s">
        <v>2211</v>
      </c>
      <c r="D1416" s="14" t="s">
        <v>1745</v>
      </c>
      <c r="E1416" s="14" t="s">
        <v>1746</v>
      </c>
      <c r="F1416" s="17" t="s">
        <v>2995</v>
      </c>
      <c r="G1416" s="14">
        <v>1449</v>
      </c>
      <c r="H1416" s="14">
        <v>1304.1600000000001</v>
      </c>
      <c r="I1416" s="31">
        <f>IF(COUNTIFS(Addendum!C:C,A1416,Addendum!D:D,IF(ISNUMBER(B1416),TEXT(B1416,"0000"),B1416),Addendum!E:E,"X")&gt;0,4%,0)</f>
        <v>0</v>
      </c>
      <c r="J1416" s="31">
        <f>IF(COUNTIFS(Addendum!C:C,A1416,Addendum!D:D,IF(ISNUMBER(B1416),TEXT(B1416,"0000"),B1416),Addendum!F:F,"X")&gt;0,2.5%,0)</f>
        <v>0</v>
      </c>
      <c r="K1416" s="31">
        <f>IF(COUNTIFS(Addendum!C:C,A1416,Addendum!D:D,IF(ISNUMBER(B1416),TEXT(B1416,"0000"),B1416),Addendum!G:G,"X")&gt;0,7%,0)</f>
        <v>0</v>
      </c>
      <c r="L1416" s="31">
        <f>IF(COUNTIFS(Addendum!C:C,A1416,Addendum!D:D,IF(ISNUMBER(B1416),TEXT(B1416,"0000"),B1416),Addendum!I:I,"X")&gt;0,10%,0)</f>
        <v>0</v>
      </c>
      <c r="M1416" s="34">
        <f t="shared" si="44"/>
        <v>0</v>
      </c>
      <c r="N1416" s="17">
        <f t="shared" si="45"/>
        <v>1304.1600000000001</v>
      </c>
    </row>
    <row r="1417" spans="1:14" ht="30" x14ac:dyDescent="0.25">
      <c r="A1417" s="14" t="s">
        <v>2213</v>
      </c>
      <c r="B1417" s="14">
        <v>9</v>
      </c>
      <c r="C1417" s="15" t="s">
        <v>2214</v>
      </c>
      <c r="D1417" s="14" t="s">
        <v>1752</v>
      </c>
      <c r="E1417" s="14" t="s">
        <v>1746</v>
      </c>
      <c r="F1417" s="17" t="s">
        <v>2995</v>
      </c>
      <c r="G1417" s="14">
        <v>2122659</v>
      </c>
      <c r="H1417" s="14">
        <v>1910393</v>
      </c>
      <c r="I1417" s="31">
        <f>IF(COUNTIFS(Addendum!C:C,A1417,Addendum!D:D,IF(ISNUMBER(B1417),TEXT(B1417,"0000"),B1417),Addendum!E:E,"X")&gt;0,4%,0)</f>
        <v>0</v>
      </c>
      <c r="J1417" s="31">
        <f>IF(COUNTIFS(Addendum!C:C,A1417,Addendum!D:D,IF(ISNUMBER(B1417),TEXT(B1417,"0000"),B1417),Addendum!F:F,"X")&gt;0,2.5%,0)</f>
        <v>0</v>
      </c>
      <c r="K1417" s="31">
        <f>IF(COUNTIFS(Addendum!C:C,A1417,Addendum!D:D,IF(ISNUMBER(B1417),TEXT(B1417,"0000"),B1417),Addendum!G:G,"X")&gt;0,7%,0)</f>
        <v>0</v>
      </c>
      <c r="L1417" s="31">
        <f>IF(COUNTIFS(Addendum!C:C,A1417,Addendum!D:D,IF(ISNUMBER(B1417),TEXT(B1417,"0000"),B1417),Addendum!I:I,"X")&gt;0,10%,0)</f>
        <v>0</v>
      </c>
      <c r="M1417" s="34">
        <f t="shared" si="44"/>
        <v>0</v>
      </c>
      <c r="N1417" s="17">
        <f t="shared" si="45"/>
        <v>1910393</v>
      </c>
    </row>
    <row r="1418" spans="1:14" ht="30" x14ac:dyDescent="0.25">
      <c r="A1418" s="14" t="s">
        <v>2213</v>
      </c>
      <c r="B1418" s="14">
        <v>8</v>
      </c>
      <c r="C1418" s="15" t="s">
        <v>2215</v>
      </c>
      <c r="D1418" s="14" t="s">
        <v>1749</v>
      </c>
      <c r="E1418" s="14" t="s">
        <v>1746</v>
      </c>
      <c r="F1418" s="17" t="s">
        <v>2994</v>
      </c>
      <c r="G1418" s="14">
        <v>74124</v>
      </c>
      <c r="H1418" s="14">
        <v>51886.8</v>
      </c>
      <c r="I1418" s="31">
        <f>IF(COUNTIFS(Addendum!C:C,A1418,Addendum!D:D,IF(ISNUMBER(B1418),TEXT(B1418,"0000"),B1418),Addendum!E:E,"X")&gt;0,4%,0)</f>
        <v>0</v>
      </c>
      <c r="J1418" s="31">
        <f>IF(COUNTIFS(Addendum!C:C,A1418,Addendum!D:D,IF(ISNUMBER(B1418),TEXT(B1418,"0000"),B1418),Addendum!F:F,"X")&gt;0,2.5%,0)</f>
        <v>0</v>
      </c>
      <c r="K1418" s="31">
        <f>IF(COUNTIFS(Addendum!C:C,A1418,Addendum!D:D,IF(ISNUMBER(B1418),TEXT(B1418,"0000"),B1418),Addendum!G:G,"X")&gt;0,7%,0)</f>
        <v>0</v>
      </c>
      <c r="L1418" s="31">
        <f>IF(COUNTIFS(Addendum!C:C,A1418,Addendum!D:D,IF(ISNUMBER(B1418),TEXT(B1418,"0000"),B1418),Addendum!I:I,"X")&gt;0,10%,0)</f>
        <v>0</v>
      </c>
      <c r="M1418" s="34">
        <f t="shared" si="44"/>
        <v>0</v>
      </c>
      <c r="N1418" s="17">
        <f t="shared" si="45"/>
        <v>51886.8</v>
      </c>
    </row>
    <row r="1419" spans="1:14" ht="30" x14ac:dyDescent="0.25">
      <c r="A1419" s="14" t="s">
        <v>2213</v>
      </c>
      <c r="B1419" s="14">
        <v>8</v>
      </c>
      <c r="C1419" s="15" t="s">
        <v>2215</v>
      </c>
      <c r="D1419" s="14" t="s">
        <v>1745</v>
      </c>
      <c r="E1419" s="14" t="s">
        <v>1747</v>
      </c>
      <c r="F1419" s="17" t="s">
        <v>2994</v>
      </c>
      <c r="G1419" s="14">
        <v>741240</v>
      </c>
      <c r="H1419" s="14">
        <v>518868</v>
      </c>
      <c r="I1419" s="31">
        <f>IF(COUNTIFS(Addendum!C:C,A1419,Addendum!D:D,IF(ISNUMBER(B1419),TEXT(B1419,"0000"),B1419),Addendum!E:E,"X")&gt;0,4%,0)</f>
        <v>0</v>
      </c>
      <c r="J1419" s="31">
        <f>IF(COUNTIFS(Addendum!C:C,A1419,Addendum!D:D,IF(ISNUMBER(B1419),TEXT(B1419,"0000"),B1419),Addendum!F:F,"X")&gt;0,2.5%,0)</f>
        <v>0</v>
      </c>
      <c r="K1419" s="31">
        <f>IF(COUNTIFS(Addendum!C:C,A1419,Addendum!D:D,IF(ISNUMBER(B1419),TEXT(B1419,"0000"),B1419),Addendum!G:G,"X")&gt;0,7%,0)</f>
        <v>0</v>
      </c>
      <c r="L1419" s="31">
        <f>IF(COUNTIFS(Addendum!C:C,A1419,Addendum!D:D,IF(ISNUMBER(B1419),TEXT(B1419,"0000"),B1419),Addendum!I:I,"X")&gt;0,10%,0)</f>
        <v>0</v>
      </c>
      <c r="M1419" s="34">
        <f t="shared" si="44"/>
        <v>0</v>
      </c>
      <c r="N1419" s="17">
        <f t="shared" si="45"/>
        <v>518868</v>
      </c>
    </row>
    <row r="1420" spans="1:14" ht="30" x14ac:dyDescent="0.25">
      <c r="A1420" s="14" t="s">
        <v>2213</v>
      </c>
      <c r="B1420" s="14">
        <v>9</v>
      </c>
      <c r="C1420" s="15" t="s">
        <v>2214</v>
      </c>
      <c r="D1420" s="14" t="s">
        <v>1745</v>
      </c>
      <c r="E1420" s="14" t="s">
        <v>1746</v>
      </c>
      <c r="F1420" s="17" t="s">
        <v>2995</v>
      </c>
      <c r="G1420" s="14">
        <v>707553</v>
      </c>
      <c r="H1420" s="14">
        <v>636797.80000000005</v>
      </c>
      <c r="I1420" s="31">
        <f>IF(COUNTIFS(Addendum!C:C,A1420,Addendum!D:D,IF(ISNUMBER(B1420),TEXT(B1420,"0000"),B1420),Addendum!E:E,"X")&gt;0,4%,0)</f>
        <v>0</v>
      </c>
      <c r="J1420" s="31">
        <f>IF(COUNTIFS(Addendum!C:C,A1420,Addendum!D:D,IF(ISNUMBER(B1420),TEXT(B1420,"0000"),B1420),Addendum!F:F,"X")&gt;0,2.5%,0)</f>
        <v>0</v>
      </c>
      <c r="K1420" s="31">
        <f>IF(COUNTIFS(Addendum!C:C,A1420,Addendum!D:D,IF(ISNUMBER(B1420),TEXT(B1420,"0000"),B1420),Addendum!G:G,"X")&gt;0,7%,0)</f>
        <v>0</v>
      </c>
      <c r="L1420" s="31">
        <f>IF(COUNTIFS(Addendum!C:C,A1420,Addendum!D:D,IF(ISNUMBER(B1420),TEXT(B1420,"0000"),B1420),Addendum!I:I,"X")&gt;0,10%,0)</f>
        <v>0</v>
      </c>
      <c r="M1420" s="34">
        <f t="shared" si="44"/>
        <v>0</v>
      </c>
      <c r="N1420" s="17">
        <f t="shared" si="45"/>
        <v>636797.80000000005</v>
      </c>
    </row>
    <row r="1421" spans="1:14" x14ac:dyDescent="0.25">
      <c r="A1421" s="14" t="s">
        <v>2213</v>
      </c>
      <c r="B1421" s="14">
        <v>1</v>
      </c>
      <c r="C1421" s="15" t="s">
        <v>2216</v>
      </c>
      <c r="D1421" s="14" t="s">
        <v>1749</v>
      </c>
      <c r="E1421" s="14" t="s">
        <v>1746</v>
      </c>
      <c r="F1421" s="17" t="s">
        <v>2993</v>
      </c>
      <c r="G1421" s="14">
        <v>134778</v>
      </c>
      <c r="H1421" s="14">
        <v>94344.6</v>
      </c>
      <c r="I1421" s="31">
        <f>IF(COUNTIFS(Addendum!C:C,A1421,Addendum!D:D,IF(ISNUMBER(B1421),TEXT(B1421,"0000"),B1421),Addendum!E:E,"X")&gt;0,4%,0)</f>
        <v>0</v>
      </c>
      <c r="J1421" s="31">
        <f>IF(COUNTIFS(Addendum!C:C,A1421,Addendum!D:D,IF(ISNUMBER(B1421),TEXT(B1421,"0000"),B1421),Addendum!F:F,"X")&gt;0,2.5%,0)</f>
        <v>0</v>
      </c>
      <c r="K1421" s="31">
        <f>IF(COUNTIFS(Addendum!C:C,A1421,Addendum!D:D,IF(ISNUMBER(B1421),TEXT(B1421,"0000"),B1421),Addendum!G:G,"X")&gt;0,7%,0)</f>
        <v>0</v>
      </c>
      <c r="L1421" s="31">
        <f>IF(COUNTIFS(Addendum!C:C,A1421,Addendum!D:D,IF(ISNUMBER(B1421),TEXT(B1421,"0000"),B1421),Addendum!I:I,"X")&gt;0,10%,0)</f>
        <v>0</v>
      </c>
      <c r="M1421" s="34">
        <f t="shared" si="44"/>
        <v>0</v>
      </c>
      <c r="N1421" s="17">
        <f t="shared" si="45"/>
        <v>94344.6</v>
      </c>
    </row>
    <row r="1422" spans="1:14" ht="30" x14ac:dyDescent="0.25">
      <c r="A1422" s="14" t="s">
        <v>2213</v>
      </c>
      <c r="B1422" s="14">
        <v>8</v>
      </c>
      <c r="C1422" s="15" t="s">
        <v>2215</v>
      </c>
      <c r="D1422" s="14" t="s">
        <v>1745</v>
      </c>
      <c r="E1422" s="14" t="s">
        <v>1746</v>
      </c>
      <c r="F1422" s="17" t="s">
        <v>2994</v>
      </c>
      <c r="G1422" s="14">
        <v>778302</v>
      </c>
      <c r="H1422" s="14">
        <v>544811.4</v>
      </c>
      <c r="I1422" s="31">
        <f>IF(COUNTIFS(Addendum!C:C,A1422,Addendum!D:D,IF(ISNUMBER(B1422),TEXT(B1422,"0000"),B1422),Addendum!E:E,"X")&gt;0,4%,0)</f>
        <v>0</v>
      </c>
      <c r="J1422" s="31">
        <f>IF(COUNTIFS(Addendum!C:C,A1422,Addendum!D:D,IF(ISNUMBER(B1422),TEXT(B1422,"0000"),B1422),Addendum!F:F,"X")&gt;0,2.5%,0)</f>
        <v>0</v>
      </c>
      <c r="K1422" s="31">
        <f>IF(COUNTIFS(Addendum!C:C,A1422,Addendum!D:D,IF(ISNUMBER(B1422),TEXT(B1422,"0000"),B1422),Addendum!G:G,"X")&gt;0,7%,0)</f>
        <v>0</v>
      </c>
      <c r="L1422" s="31">
        <f>IF(COUNTIFS(Addendum!C:C,A1422,Addendum!D:D,IF(ISNUMBER(B1422),TEXT(B1422,"0000"),B1422),Addendum!I:I,"X")&gt;0,10%,0)</f>
        <v>0</v>
      </c>
      <c r="M1422" s="34">
        <f t="shared" si="44"/>
        <v>0</v>
      </c>
      <c r="N1422" s="17">
        <f t="shared" si="45"/>
        <v>544811.4</v>
      </c>
    </row>
    <row r="1423" spans="1:14" x14ac:dyDescent="0.25">
      <c r="A1423" s="14" t="s">
        <v>2213</v>
      </c>
      <c r="B1423" s="14">
        <v>1</v>
      </c>
      <c r="C1423" s="15" t="s">
        <v>2216</v>
      </c>
      <c r="D1423" s="14" t="s">
        <v>1745</v>
      </c>
      <c r="E1423" s="14" t="s">
        <v>1746</v>
      </c>
      <c r="F1423" s="17" t="s">
        <v>2993</v>
      </c>
      <c r="G1423" s="14">
        <v>1415169</v>
      </c>
      <c r="H1423" s="14">
        <v>990618.4</v>
      </c>
      <c r="I1423" s="31">
        <f>IF(COUNTIFS(Addendum!C:C,A1423,Addendum!D:D,IF(ISNUMBER(B1423),TEXT(B1423,"0000"),B1423),Addendum!E:E,"X")&gt;0,4%,0)</f>
        <v>0</v>
      </c>
      <c r="J1423" s="31">
        <f>IF(COUNTIFS(Addendum!C:C,A1423,Addendum!D:D,IF(ISNUMBER(B1423),TEXT(B1423,"0000"),B1423),Addendum!F:F,"X")&gt;0,2.5%,0)</f>
        <v>0</v>
      </c>
      <c r="K1423" s="31">
        <f>IF(COUNTIFS(Addendum!C:C,A1423,Addendum!D:D,IF(ISNUMBER(B1423),TEXT(B1423,"0000"),B1423),Addendum!G:G,"X")&gt;0,7%,0)</f>
        <v>0</v>
      </c>
      <c r="L1423" s="31">
        <f>IF(COUNTIFS(Addendum!C:C,A1423,Addendum!D:D,IF(ISNUMBER(B1423),TEXT(B1423,"0000"),B1423),Addendum!I:I,"X")&gt;0,10%,0)</f>
        <v>0</v>
      </c>
      <c r="M1423" s="34">
        <f t="shared" si="44"/>
        <v>0</v>
      </c>
      <c r="N1423" s="17">
        <f t="shared" si="45"/>
        <v>990618.4</v>
      </c>
    </row>
    <row r="1424" spans="1:14" ht="30" x14ac:dyDescent="0.25">
      <c r="A1424" s="14" t="s">
        <v>2213</v>
      </c>
      <c r="B1424" s="14">
        <v>9</v>
      </c>
      <c r="C1424" s="15" t="s">
        <v>2214</v>
      </c>
      <c r="D1424" s="14" t="s">
        <v>1749</v>
      </c>
      <c r="E1424" s="14" t="s">
        <v>1746</v>
      </c>
      <c r="F1424" s="17" t="s">
        <v>2995</v>
      </c>
      <c r="G1424" s="14">
        <v>67386</v>
      </c>
      <c r="H1424" s="14">
        <v>60647.4</v>
      </c>
      <c r="I1424" s="31">
        <f>IF(COUNTIFS(Addendum!C:C,A1424,Addendum!D:D,IF(ISNUMBER(B1424),TEXT(B1424,"0000"),B1424),Addendum!E:E,"X")&gt;0,4%,0)</f>
        <v>0</v>
      </c>
      <c r="J1424" s="31">
        <f>IF(COUNTIFS(Addendum!C:C,A1424,Addendum!D:D,IF(ISNUMBER(B1424),TEXT(B1424,"0000"),B1424),Addendum!F:F,"X")&gt;0,2.5%,0)</f>
        <v>0</v>
      </c>
      <c r="K1424" s="31">
        <f>IF(COUNTIFS(Addendum!C:C,A1424,Addendum!D:D,IF(ISNUMBER(B1424),TEXT(B1424,"0000"),B1424),Addendum!G:G,"X")&gt;0,7%,0)</f>
        <v>0</v>
      </c>
      <c r="L1424" s="31">
        <f>IF(COUNTIFS(Addendum!C:C,A1424,Addendum!D:D,IF(ISNUMBER(B1424),TEXT(B1424,"0000"),B1424),Addendum!I:I,"X")&gt;0,10%,0)</f>
        <v>0</v>
      </c>
      <c r="M1424" s="34">
        <f t="shared" si="44"/>
        <v>0</v>
      </c>
      <c r="N1424" s="17">
        <f t="shared" si="45"/>
        <v>60647.4</v>
      </c>
    </row>
    <row r="1425" spans="1:14" x14ac:dyDescent="0.25">
      <c r="A1425" s="14" t="s">
        <v>2213</v>
      </c>
      <c r="B1425" s="14">
        <v>1</v>
      </c>
      <c r="C1425" s="15" t="s">
        <v>2216</v>
      </c>
      <c r="D1425" s="14" t="s">
        <v>1745</v>
      </c>
      <c r="E1425" s="14" t="s">
        <v>1747</v>
      </c>
      <c r="F1425" s="17" t="s">
        <v>2993</v>
      </c>
      <c r="G1425" s="14">
        <v>1347780</v>
      </c>
      <c r="H1425" s="14">
        <v>943446</v>
      </c>
      <c r="I1425" s="31">
        <f>IF(COUNTIFS(Addendum!C:C,A1425,Addendum!D:D,IF(ISNUMBER(B1425),TEXT(B1425,"0000"),B1425),Addendum!E:E,"X")&gt;0,4%,0)</f>
        <v>0</v>
      </c>
      <c r="J1425" s="31">
        <f>IF(COUNTIFS(Addendum!C:C,A1425,Addendum!D:D,IF(ISNUMBER(B1425),TEXT(B1425,"0000"),B1425),Addendum!F:F,"X")&gt;0,2.5%,0)</f>
        <v>0</v>
      </c>
      <c r="K1425" s="31">
        <f>IF(COUNTIFS(Addendum!C:C,A1425,Addendum!D:D,IF(ISNUMBER(B1425),TEXT(B1425,"0000"),B1425),Addendum!G:G,"X")&gt;0,7%,0)</f>
        <v>0</v>
      </c>
      <c r="L1425" s="31">
        <f>IF(COUNTIFS(Addendum!C:C,A1425,Addendum!D:D,IF(ISNUMBER(B1425),TEXT(B1425,"0000"),B1425),Addendum!I:I,"X")&gt;0,10%,0)</f>
        <v>0</v>
      </c>
      <c r="M1425" s="34">
        <f t="shared" si="44"/>
        <v>0</v>
      </c>
      <c r="N1425" s="17">
        <f t="shared" si="45"/>
        <v>943446</v>
      </c>
    </row>
    <row r="1426" spans="1:14" x14ac:dyDescent="0.25">
      <c r="A1426" s="14" t="s">
        <v>2213</v>
      </c>
      <c r="B1426" s="14">
        <v>1</v>
      </c>
      <c r="C1426" s="15" t="s">
        <v>2216</v>
      </c>
      <c r="D1426" s="14" t="s">
        <v>1752</v>
      </c>
      <c r="E1426" s="14" t="s">
        <v>1747</v>
      </c>
      <c r="F1426" s="17" t="s">
        <v>2993</v>
      </c>
      <c r="G1426" s="14">
        <v>4043340</v>
      </c>
      <c r="H1426" s="14">
        <v>2830338</v>
      </c>
      <c r="I1426" s="31">
        <f>IF(COUNTIFS(Addendum!C:C,A1426,Addendum!D:D,IF(ISNUMBER(B1426),TEXT(B1426,"0000"),B1426),Addendum!E:E,"X")&gt;0,4%,0)</f>
        <v>0</v>
      </c>
      <c r="J1426" s="31">
        <f>IF(COUNTIFS(Addendum!C:C,A1426,Addendum!D:D,IF(ISNUMBER(B1426),TEXT(B1426,"0000"),B1426),Addendum!F:F,"X")&gt;0,2.5%,0)</f>
        <v>0</v>
      </c>
      <c r="K1426" s="31">
        <f>IF(COUNTIFS(Addendum!C:C,A1426,Addendum!D:D,IF(ISNUMBER(B1426),TEXT(B1426,"0000"),B1426),Addendum!G:G,"X")&gt;0,7%,0)</f>
        <v>0</v>
      </c>
      <c r="L1426" s="31">
        <f>IF(COUNTIFS(Addendum!C:C,A1426,Addendum!D:D,IF(ISNUMBER(B1426),TEXT(B1426,"0000"),B1426),Addendum!I:I,"X")&gt;0,10%,0)</f>
        <v>0</v>
      </c>
      <c r="M1426" s="34">
        <f t="shared" si="44"/>
        <v>0</v>
      </c>
      <c r="N1426" s="17">
        <f t="shared" si="45"/>
        <v>2830338</v>
      </c>
    </row>
    <row r="1427" spans="1:14" ht="30" x14ac:dyDescent="0.25">
      <c r="A1427" s="14" t="s">
        <v>2213</v>
      </c>
      <c r="B1427" s="14">
        <v>9</v>
      </c>
      <c r="C1427" s="15" t="s">
        <v>2214</v>
      </c>
      <c r="D1427" s="14" t="s">
        <v>1745</v>
      </c>
      <c r="E1427" s="14" t="s">
        <v>1747</v>
      </c>
      <c r="F1427" s="17" t="s">
        <v>2995</v>
      </c>
      <c r="G1427" s="14">
        <v>673860</v>
      </c>
      <c r="H1427" s="14">
        <v>606474</v>
      </c>
      <c r="I1427" s="31">
        <f>IF(COUNTIFS(Addendum!C:C,A1427,Addendum!D:D,IF(ISNUMBER(B1427),TEXT(B1427,"0000"),B1427),Addendum!E:E,"X")&gt;0,4%,0)</f>
        <v>0</v>
      </c>
      <c r="J1427" s="31">
        <f>IF(COUNTIFS(Addendum!C:C,A1427,Addendum!D:D,IF(ISNUMBER(B1427),TEXT(B1427,"0000"),B1427),Addendum!F:F,"X")&gt;0,2.5%,0)</f>
        <v>0</v>
      </c>
      <c r="K1427" s="31">
        <f>IF(COUNTIFS(Addendum!C:C,A1427,Addendum!D:D,IF(ISNUMBER(B1427),TEXT(B1427,"0000"),B1427),Addendum!G:G,"X")&gt;0,7%,0)</f>
        <v>0</v>
      </c>
      <c r="L1427" s="31">
        <f>IF(COUNTIFS(Addendum!C:C,A1427,Addendum!D:D,IF(ISNUMBER(B1427),TEXT(B1427,"0000"),B1427),Addendum!I:I,"X")&gt;0,10%,0)</f>
        <v>0</v>
      </c>
      <c r="M1427" s="34">
        <f t="shared" si="44"/>
        <v>0</v>
      </c>
      <c r="N1427" s="17">
        <f t="shared" si="45"/>
        <v>606474</v>
      </c>
    </row>
    <row r="1428" spans="1:14" ht="30" x14ac:dyDescent="0.25">
      <c r="A1428" s="14" t="s">
        <v>2213</v>
      </c>
      <c r="B1428" s="14">
        <v>9</v>
      </c>
      <c r="C1428" s="15" t="s">
        <v>2214</v>
      </c>
      <c r="D1428" s="14" t="s">
        <v>1752</v>
      </c>
      <c r="E1428" s="14" t="s">
        <v>1747</v>
      </c>
      <c r="F1428" s="17" t="s">
        <v>2995</v>
      </c>
      <c r="G1428" s="14">
        <v>2021580</v>
      </c>
      <c r="H1428" s="14">
        <v>1819422</v>
      </c>
      <c r="I1428" s="31">
        <f>IF(COUNTIFS(Addendum!C:C,A1428,Addendum!D:D,IF(ISNUMBER(B1428),TEXT(B1428,"0000"),B1428),Addendum!E:E,"X")&gt;0,4%,0)</f>
        <v>0</v>
      </c>
      <c r="J1428" s="31">
        <f>IF(COUNTIFS(Addendum!C:C,A1428,Addendum!D:D,IF(ISNUMBER(B1428),TEXT(B1428,"0000"),B1428),Addendum!F:F,"X")&gt;0,2.5%,0)</f>
        <v>0</v>
      </c>
      <c r="K1428" s="31">
        <f>IF(COUNTIFS(Addendum!C:C,A1428,Addendum!D:D,IF(ISNUMBER(B1428),TEXT(B1428,"0000"),B1428),Addendum!G:G,"X")&gt;0,7%,0)</f>
        <v>0</v>
      </c>
      <c r="L1428" s="31">
        <f>IF(COUNTIFS(Addendum!C:C,A1428,Addendum!D:D,IF(ISNUMBER(B1428),TEXT(B1428,"0000"),B1428),Addendum!I:I,"X")&gt;0,10%,0)</f>
        <v>0</v>
      </c>
      <c r="M1428" s="34">
        <f t="shared" si="44"/>
        <v>0</v>
      </c>
      <c r="N1428" s="17">
        <f t="shared" si="45"/>
        <v>1819422</v>
      </c>
    </row>
    <row r="1429" spans="1:14" x14ac:dyDescent="0.25">
      <c r="A1429" s="14" t="s">
        <v>2213</v>
      </c>
      <c r="B1429" s="14">
        <v>1</v>
      </c>
      <c r="C1429" s="15" t="s">
        <v>2216</v>
      </c>
      <c r="D1429" s="14" t="s">
        <v>1752</v>
      </c>
      <c r="E1429" s="14" t="s">
        <v>1753</v>
      </c>
      <c r="F1429" s="17" t="s">
        <v>2993</v>
      </c>
      <c r="G1429" s="14">
        <v>4043340</v>
      </c>
      <c r="H1429" s="14">
        <v>2830338</v>
      </c>
      <c r="I1429" s="31">
        <f>IF(COUNTIFS(Addendum!C:C,A1429,Addendum!D:D,IF(ISNUMBER(B1429),TEXT(B1429,"0000"),B1429),Addendum!E:E,"X")&gt;0,4%,0)</f>
        <v>0</v>
      </c>
      <c r="J1429" s="31">
        <f>IF(COUNTIFS(Addendum!C:C,A1429,Addendum!D:D,IF(ISNUMBER(B1429),TEXT(B1429,"0000"),B1429),Addendum!F:F,"X")&gt;0,2.5%,0)</f>
        <v>0</v>
      </c>
      <c r="K1429" s="31">
        <f>IF(COUNTIFS(Addendum!C:C,A1429,Addendum!D:D,IF(ISNUMBER(B1429),TEXT(B1429,"0000"),B1429),Addendum!G:G,"X")&gt;0,7%,0)</f>
        <v>0</v>
      </c>
      <c r="L1429" s="31">
        <f>IF(COUNTIFS(Addendum!C:C,A1429,Addendum!D:D,IF(ISNUMBER(B1429),TEXT(B1429,"0000"),B1429),Addendum!I:I,"X")&gt;0,10%,0)</f>
        <v>0</v>
      </c>
      <c r="M1429" s="34">
        <f t="shared" si="44"/>
        <v>0</v>
      </c>
      <c r="N1429" s="17">
        <f t="shared" si="45"/>
        <v>2830338</v>
      </c>
    </row>
    <row r="1430" spans="1:14" x14ac:dyDescent="0.25">
      <c r="A1430" s="14" t="s">
        <v>2213</v>
      </c>
      <c r="B1430" s="14">
        <v>1</v>
      </c>
      <c r="C1430" s="15" t="s">
        <v>2216</v>
      </c>
      <c r="D1430" s="14" t="s">
        <v>1752</v>
      </c>
      <c r="E1430" s="14" t="s">
        <v>1746</v>
      </c>
      <c r="F1430" s="17" t="s">
        <v>2993</v>
      </c>
      <c r="G1430" s="14">
        <v>4245507</v>
      </c>
      <c r="H1430" s="14">
        <v>2971855</v>
      </c>
      <c r="I1430" s="31">
        <f>IF(COUNTIFS(Addendum!C:C,A1430,Addendum!D:D,IF(ISNUMBER(B1430),TEXT(B1430,"0000"),B1430),Addendum!E:E,"X")&gt;0,4%,0)</f>
        <v>0</v>
      </c>
      <c r="J1430" s="31">
        <f>IF(COUNTIFS(Addendum!C:C,A1430,Addendum!D:D,IF(ISNUMBER(B1430),TEXT(B1430,"0000"),B1430),Addendum!F:F,"X")&gt;0,2.5%,0)</f>
        <v>0</v>
      </c>
      <c r="K1430" s="31">
        <f>IF(COUNTIFS(Addendum!C:C,A1430,Addendum!D:D,IF(ISNUMBER(B1430),TEXT(B1430,"0000"),B1430),Addendum!G:G,"X")&gt;0,7%,0)</f>
        <v>0</v>
      </c>
      <c r="L1430" s="31">
        <f>IF(COUNTIFS(Addendum!C:C,A1430,Addendum!D:D,IF(ISNUMBER(B1430),TEXT(B1430,"0000"),B1430),Addendum!I:I,"X")&gt;0,10%,0)</f>
        <v>0</v>
      </c>
      <c r="M1430" s="34">
        <f t="shared" si="44"/>
        <v>0</v>
      </c>
      <c r="N1430" s="17">
        <f t="shared" si="45"/>
        <v>2971855</v>
      </c>
    </row>
    <row r="1431" spans="1:14" ht="30" x14ac:dyDescent="0.25">
      <c r="A1431" s="14" t="s">
        <v>2217</v>
      </c>
      <c r="B1431" s="14">
        <v>9</v>
      </c>
      <c r="C1431" s="15" t="s">
        <v>2218</v>
      </c>
      <c r="D1431" s="14" t="s">
        <v>1749</v>
      </c>
      <c r="E1431" s="14" t="s">
        <v>1746</v>
      </c>
      <c r="F1431" s="17" t="s">
        <v>2995</v>
      </c>
      <c r="G1431" s="14">
        <v>202164</v>
      </c>
      <c r="H1431" s="14">
        <v>181947.6</v>
      </c>
      <c r="I1431" s="31">
        <f>IF(COUNTIFS(Addendum!C:C,A1431,Addendum!D:D,IF(ISNUMBER(B1431),TEXT(B1431,"0000"),B1431),Addendum!E:E,"X")&gt;0,4%,0)</f>
        <v>0</v>
      </c>
      <c r="J1431" s="31">
        <f>IF(COUNTIFS(Addendum!C:C,A1431,Addendum!D:D,IF(ISNUMBER(B1431),TEXT(B1431,"0000"),B1431),Addendum!F:F,"X")&gt;0,2.5%,0)</f>
        <v>0</v>
      </c>
      <c r="K1431" s="31">
        <f>IF(COUNTIFS(Addendum!C:C,A1431,Addendum!D:D,IF(ISNUMBER(B1431),TEXT(B1431,"0000"),B1431),Addendum!G:G,"X")&gt;0,7%,0)</f>
        <v>0</v>
      </c>
      <c r="L1431" s="31">
        <f>IF(COUNTIFS(Addendum!C:C,A1431,Addendum!D:D,IF(ISNUMBER(B1431),TEXT(B1431,"0000"),B1431),Addendum!I:I,"X")&gt;0,10%,0)</f>
        <v>0</v>
      </c>
      <c r="M1431" s="34">
        <f t="shared" si="44"/>
        <v>0</v>
      </c>
      <c r="N1431" s="17">
        <f t="shared" si="45"/>
        <v>181947.6</v>
      </c>
    </row>
    <row r="1432" spans="1:14" ht="30" x14ac:dyDescent="0.25">
      <c r="A1432" s="14" t="s">
        <v>2217</v>
      </c>
      <c r="B1432" s="14">
        <v>9</v>
      </c>
      <c r="C1432" s="15" t="s">
        <v>2218</v>
      </c>
      <c r="D1432" s="14" t="s">
        <v>1745</v>
      </c>
      <c r="E1432" s="14" t="s">
        <v>1747</v>
      </c>
      <c r="F1432" s="17" t="s">
        <v>2995</v>
      </c>
      <c r="G1432" s="14">
        <v>2021640</v>
      </c>
      <c r="H1432" s="14">
        <v>1819476</v>
      </c>
      <c r="I1432" s="31">
        <f>IF(COUNTIFS(Addendum!C:C,A1432,Addendum!D:D,IF(ISNUMBER(B1432),TEXT(B1432,"0000"),B1432),Addendum!E:E,"X")&gt;0,4%,0)</f>
        <v>0</v>
      </c>
      <c r="J1432" s="31">
        <f>IF(COUNTIFS(Addendum!C:C,A1432,Addendum!D:D,IF(ISNUMBER(B1432),TEXT(B1432,"0000"),B1432),Addendum!F:F,"X")&gt;0,2.5%,0)</f>
        <v>0</v>
      </c>
      <c r="K1432" s="31">
        <f>IF(COUNTIFS(Addendum!C:C,A1432,Addendum!D:D,IF(ISNUMBER(B1432),TEXT(B1432,"0000"),B1432),Addendum!G:G,"X")&gt;0,7%,0)</f>
        <v>0</v>
      </c>
      <c r="L1432" s="31">
        <f>IF(COUNTIFS(Addendum!C:C,A1432,Addendum!D:D,IF(ISNUMBER(B1432),TEXT(B1432,"0000"),B1432),Addendum!I:I,"X")&gt;0,10%,0)</f>
        <v>0</v>
      </c>
      <c r="M1432" s="34">
        <f t="shared" si="44"/>
        <v>0</v>
      </c>
      <c r="N1432" s="17">
        <f t="shared" si="45"/>
        <v>1819476</v>
      </c>
    </row>
    <row r="1433" spans="1:14" x14ac:dyDescent="0.25">
      <c r="A1433" s="14" t="s">
        <v>2217</v>
      </c>
      <c r="B1433" s="14">
        <v>1</v>
      </c>
      <c r="C1433" s="15" t="s">
        <v>2219</v>
      </c>
      <c r="D1433" s="14" t="s">
        <v>1752</v>
      </c>
      <c r="E1433" s="14" t="s">
        <v>1753</v>
      </c>
      <c r="F1433" s="17" t="s">
        <v>2993</v>
      </c>
      <c r="G1433" s="14">
        <v>12129840</v>
      </c>
      <c r="H1433" s="14">
        <v>8490888</v>
      </c>
      <c r="I1433" s="31">
        <f>IF(COUNTIFS(Addendum!C:C,A1433,Addendum!D:D,IF(ISNUMBER(B1433),TEXT(B1433,"0000"),B1433),Addendum!E:E,"X")&gt;0,4%,0)</f>
        <v>0</v>
      </c>
      <c r="J1433" s="31">
        <f>IF(COUNTIFS(Addendum!C:C,A1433,Addendum!D:D,IF(ISNUMBER(B1433),TEXT(B1433,"0000"),B1433),Addendum!F:F,"X")&gt;0,2.5%,0)</f>
        <v>0</v>
      </c>
      <c r="K1433" s="31">
        <f>IF(COUNTIFS(Addendum!C:C,A1433,Addendum!D:D,IF(ISNUMBER(B1433),TEXT(B1433,"0000"),B1433),Addendum!G:G,"X")&gt;0,7%,0)</f>
        <v>0</v>
      </c>
      <c r="L1433" s="31">
        <f>IF(COUNTIFS(Addendum!C:C,A1433,Addendum!D:D,IF(ISNUMBER(B1433),TEXT(B1433,"0000"),B1433),Addendum!I:I,"X")&gt;0,10%,0)</f>
        <v>0</v>
      </c>
      <c r="M1433" s="34">
        <f t="shared" si="44"/>
        <v>0</v>
      </c>
      <c r="N1433" s="17">
        <f t="shared" si="45"/>
        <v>8490888</v>
      </c>
    </row>
    <row r="1434" spans="1:14" x14ac:dyDescent="0.25">
      <c r="A1434" s="14" t="s">
        <v>2217</v>
      </c>
      <c r="B1434" s="14">
        <v>1</v>
      </c>
      <c r="C1434" s="15" t="s">
        <v>2219</v>
      </c>
      <c r="D1434" s="14" t="s">
        <v>1752</v>
      </c>
      <c r="E1434" s="14" t="s">
        <v>1747</v>
      </c>
      <c r="F1434" s="17" t="s">
        <v>2993</v>
      </c>
      <c r="G1434" s="14">
        <v>12129840</v>
      </c>
      <c r="H1434" s="14">
        <v>8490888</v>
      </c>
      <c r="I1434" s="31">
        <f>IF(COUNTIFS(Addendum!C:C,A1434,Addendum!D:D,IF(ISNUMBER(B1434),TEXT(B1434,"0000"),B1434),Addendum!E:E,"X")&gt;0,4%,0)</f>
        <v>0</v>
      </c>
      <c r="J1434" s="31">
        <f>IF(COUNTIFS(Addendum!C:C,A1434,Addendum!D:D,IF(ISNUMBER(B1434),TEXT(B1434,"0000"),B1434),Addendum!F:F,"X")&gt;0,2.5%,0)</f>
        <v>0</v>
      </c>
      <c r="K1434" s="31">
        <f>IF(COUNTIFS(Addendum!C:C,A1434,Addendum!D:D,IF(ISNUMBER(B1434),TEXT(B1434,"0000"),B1434),Addendum!G:G,"X")&gt;0,7%,0)</f>
        <v>0</v>
      </c>
      <c r="L1434" s="31">
        <f>IF(COUNTIFS(Addendum!C:C,A1434,Addendum!D:D,IF(ISNUMBER(B1434),TEXT(B1434,"0000"),B1434),Addendum!I:I,"X")&gt;0,10%,0)</f>
        <v>0</v>
      </c>
      <c r="M1434" s="34">
        <f t="shared" si="44"/>
        <v>0</v>
      </c>
      <c r="N1434" s="17">
        <f t="shared" si="45"/>
        <v>8490888</v>
      </c>
    </row>
    <row r="1435" spans="1:14" x14ac:dyDescent="0.25">
      <c r="A1435" s="14" t="s">
        <v>2217</v>
      </c>
      <c r="B1435" s="14">
        <v>1</v>
      </c>
      <c r="C1435" s="15" t="s">
        <v>2219</v>
      </c>
      <c r="D1435" s="14" t="s">
        <v>1745</v>
      </c>
      <c r="E1435" s="14" t="s">
        <v>1746</v>
      </c>
      <c r="F1435" s="17" t="s">
        <v>2993</v>
      </c>
      <c r="G1435" s="14">
        <v>4245444</v>
      </c>
      <c r="H1435" s="14">
        <v>2971811</v>
      </c>
      <c r="I1435" s="31">
        <f>IF(COUNTIFS(Addendum!C:C,A1435,Addendum!D:D,IF(ISNUMBER(B1435),TEXT(B1435,"0000"),B1435),Addendum!E:E,"X")&gt;0,4%,0)</f>
        <v>0</v>
      </c>
      <c r="J1435" s="31">
        <f>IF(COUNTIFS(Addendum!C:C,A1435,Addendum!D:D,IF(ISNUMBER(B1435),TEXT(B1435,"0000"),B1435),Addendum!F:F,"X")&gt;0,2.5%,0)</f>
        <v>0</v>
      </c>
      <c r="K1435" s="31">
        <f>IF(COUNTIFS(Addendum!C:C,A1435,Addendum!D:D,IF(ISNUMBER(B1435),TEXT(B1435,"0000"),B1435),Addendum!G:G,"X")&gt;0,7%,0)</f>
        <v>0</v>
      </c>
      <c r="L1435" s="31">
        <f>IF(COUNTIFS(Addendum!C:C,A1435,Addendum!D:D,IF(ISNUMBER(B1435),TEXT(B1435,"0000"),B1435),Addendum!I:I,"X")&gt;0,10%,0)</f>
        <v>0</v>
      </c>
      <c r="M1435" s="34">
        <f t="shared" si="44"/>
        <v>0</v>
      </c>
      <c r="N1435" s="17">
        <f t="shared" si="45"/>
        <v>2971811</v>
      </c>
    </row>
    <row r="1436" spans="1:14" ht="30" x14ac:dyDescent="0.25">
      <c r="A1436" s="14" t="s">
        <v>2217</v>
      </c>
      <c r="B1436" s="14">
        <v>9</v>
      </c>
      <c r="C1436" s="15" t="s">
        <v>2218</v>
      </c>
      <c r="D1436" s="14" t="s">
        <v>1745</v>
      </c>
      <c r="E1436" s="14" t="s">
        <v>1746</v>
      </c>
      <c r="F1436" s="17" t="s">
        <v>2995</v>
      </c>
      <c r="G1436" s="14">
        <v>2122722</v>
      </c>
      <c r="H1436" s="14">
        <v>1910450</v>
      </c>
      <c r="I1436" s="31">
        <f>IF(COUNTIFS(Addendum!C:C,A1436,Addendum!D:D,IF(ISNUMBER(B1436),TEXT(B1436,"0000"),B1436),Addendum!E:E,"X")&gt;0,4%,0)</f>
        <v>0</v>
      </c>
      <c r="J1436" s="31">
        <f>IF(COUNTIFS(Addendum!C:C,A1436,Addendum!D:D,IF(ISNUMBER(B1436),TEXT(B1436,"0000"),B1436),Addendum!F:F,"X")&gt;0,2.5%,0)</f>
        <v>0</v>
      </c>
      <c r="K1436" s="31">
        <f>IF(COUNTIFS(Addendum!C:C,A1436,Addendum!D:D,IF(ISNUMBER(B1436),TEXT(B1436,"0000"),B1436),Addendum!G:G,"X")&gt;0,7%,0)</f>
        <v>0</v>
      </c>
      <c r="L1436" s="31">
        <f>IF(COUNTIFS(Addendum!C:C,A1436,Addendum!D:D,IF(ISNUMBER(B1436),TEXT(B1436,"0000"),B1436),Addendum!I:I,"X")&gt;0,10%,0)</f>
        <v>0</v>
      </c>
      <c r="M1436" s="34">
        <f t="shared" si="44"/>
        <v>0</v>
      </c>
      <c r="N1436" s="17">
        <f t="shared" si="45"/>
        <v>1910450</v>
      </c>
    </row>
    <row r="1437" spans="1:14" ht="30" x14ac:dyDescent="0.25">
      <c r="A1437" s="14" t="s">
        <v>2217</v>
      </c>
      <c r="B1437" s="14">
        <v>8</v>
      </c>
      <c r="C1437" s="15" t="s">
        <v>2220</v>
      </c>
      <c r="D1437" s="14" t="s">
        <v>1745</v>
      </c>
      <c r="E1437" s="14" t="s">
        <v>1747</v>
      </c>
      <c r="F1437" s="17" t="s">
        <v>2994</v>
      </c>
      <c r="G1437" s="14">
        <v>2223780</v>
      </c>
      <c r="H1437" s="14">
        <v>1556646</v>
      </c>
      <c r="I1437" s="31">
        <f>IF(COUNTIFS(Addendum!C:C,A1437,Addendum!D:D,IF(ISNUMBER(B1437),TEXT(B1437,"0000"),B1437),Addendum!E:E,"X")&gt;0,4%,0)</f>
        <v>0</v>
      </c>
      <c r="J1437" s="31">
        <f>IF(COUNTIFS(Addendum!C:C,A1437,Addendum!D:D,IF(ISNUMBER(B1437),TEXT(B1437,"0000"),B1437),Addendum!F:F,"X")&gt;0,2.5%,0)</f>
        <v>0</v>
      </c>
      <c r="K1437" s="31">
        <f>IF(COUNTIFS(Addendum!C:C,A1437,Addendum!D:D,IF(ISNUMBER(B1437),TEXT(B1437,"0000"),B1437),Addendum!G:G,"X")&gt;0,7%,0)</f>
        <v>0</v>
      </c>
      <c r="L1437" s="31">
        <f>IF(COUNTIFS(Addendum!C:C,A1437,Addendum!D:D,IF(ISNUMBER(B1437),TEXT(B1437,"0000"),B1437),Addendum!I:I,"X")&gt;0,10%,0)</f>
        <v>0</v>
      </c>
      <c r="M1437" s="34">
        <f t="shared" si="44"/>
        <v>0</v>
      </c>
      <c r="N1437" s="17">
        <f t="shared" si="45"/>
        <v>1556646</v>
      </c>
    </row>
    <row r="1438" spans="1:14" x14ac:dyDescent="0.25">
      <c r="A1438" s="14" t="s">
        <v>2217</v>
      </c>
      <c r="B1438" s="14">
        <v>1</v>
      </c>
      <c r="C1438" s="15" t="s">
        <v>2219</v>
      </c>
      <c r="D1438" s="14" t="s">
        <v>1749</v>
      </c>
      <c r="E1438" s="14" t="s">
        <v>1746</v>
      </c>
      <c r="F1438" s="17" t="s">
        <v>2993</v>
      </c>
      <c r="G1438" s="14">
        <v>404328</v>
      </c>
      <c r="H1438" s="14">
        <v>283029.59999999998</v>
      </c>
      <c r="I1438" s="31">
        <f>IF(COUNTIFS(Addendum!C:C,A1438,Addendum!D:D,IF(ISNUMBER(B1438),TEXT(B1438,"0000"),B1438),Addendum!E:E,"X")&gt;0,4%,0)</f>
        <v>0</v>
      </c>
      <c r="J1438" s="31">
        <f>IF(COUNTIFS(Addendum!C:C,A1438,Addendum!D:D,IF(ISNUMBER(B1438),TEXT(B1438,"0000"),B1438),Addendum!F:F,"X")&gt;0,2.5%,0)</f>
        <v>0</v>
      </c>
      <c r="K1438" s="31">
        <f>IF(COUNTIFS(Addendum!C:C,A1438,Addendum!D:D,IF(ISNUMBER(B1438),TEXT(B1438,"0000"),B1438),Addendum!G:G,"X")&gt;0,7%,0)</f>
        <v>0</v>
      </c>
      <c r="L1438" s="31">
        <f>IF(COUNTIFS(Addendum!C:C,A1438,Addendum!D:D,IF(ISNUMBER(B1438),TEXT(B1438,"0000"),B1438),Addendum!I:I,"X")&gt;0,10%,0)</f>
        <v>0</v>
      </c>
      <c r="M1438" s="34">
        <f t="shared" si="44"/>
        <v>0</v>
      </c>
      <c r="N1438" s="17">
        <f t="shared" si="45"/>
        <v>283029.59999999998</v>
      </c>
    </row>
    <row r="1439" spans="1:14" x14ac:dyDescent="0.25">
      <c r="A1439" s="14" t="s">
        <v>2217</v>
      </c>
      <c r="B1439" s="14">
        <v>1</v>
      </c>
      <c r="C1439" s="15" t="s">
        <v>2219</v>
      </c>
      <c r="D1439" s="14" t="s">
        <v>1745</v>
      </c>
      <c r="E1439" s="14" t="s">
        <v>1747</v>
      </c>
      <c r="F1439" s="17" t="s">
        <v>2993</v>
      </c>
      <c r="G1439" s="14">
        <v>4043280</v>
      </c>
      <c r="H1439" s="14">
        <v>2830296</v>
      </c>
      <c r="I1439" s="31">
        <f>IF(COUNTIFS(Addendum!C:C,A1439,Addendum!D:D,IF(ISNUMBER(B1439),TEXT(B1439,"0000"),B1439),Addendum!E:E,"X")&gt;0,4%,0)</f>
        <v>0</v>
      </c>
      <c r="J1439" s="31">
        <f>IF(COUNTIFS(Addendum!C:C,A1439,Addendum!D:D,IF(ISNUMBER(B1439),TEXT(B1439,"0000"),B1439),Addendum!F:F,"X")&gt;0,2.5%,0)</f>
        <v>0</v>
      </c>
      <c r="K1439" s="31">
        <f>IF(COUNTIFS(Addendum!C:C,A1439,Addendum!D:D,IF(ISNUMBER(B1439),TEXT(B1439,"0000"),B1439),Addendum!G:G,"X")&gt;0,7%,0)</f>
        <v>0</v>
      </c>
      <c r="L1439" s="31">
        <f>IF(COUNTIFS(Addendum!C:C,A1439,Addendum!D:D,IF(ISNUMBER(B1439),TEXT(B1439,"0000"),B1439),Addendum!I:I,"X")&gt;0,10%,0)</f>
        <v>0</v>
      </c>
      <c r="M1439" s="34">
        <f t="shared" si="44"/>
        <v>0</v>
      </c>
      <c r="N1439" s="17">
        <f t="shared" si="45"/>
        <v>2830296</v>
      </c>
    </row>
    <row r="1440" spans="1:14" x14ac:dyDescent="0.25">
      <c r="A1440" s="14" t="s">
        <v>2217</v>
      </c>
      <c r="B1440" s="14">
        <v>1</v>
      </c>
      <c r="C1440" s="15" t="s">
        <v>2219</v>
      </c>
      <c r="D1440" s="14" t="s">
        <v>1752</v>
      </c>
      <c r="E1440" s="14" t="s">
        <v>1746</v>
      </c>
      <c r="F1440" s="17" t="s">
        <v>2993</v>
      </c>
      <c r="G1440" s="14">
        <v>12736332</v>
      </c>
      <c r="H1440" s="14">
        <v>8915432</v>
      </c>
      <c r="I1440" s="31">
        <f>IF(COUNTIFS(Addendum!C:C,A1440,Addendum!D:D,IF(ISNUMBER(B1440),TEXT(B1440,"0000"),B1440),Addendum!E:E,"X")&gt;0,4%,0)</f>
        <v>0</v>
      </c>
      <c r="J1440" s="31">
        <f>IF(COUNTIFS(Addendum!C:C,A1440,Addendum!D:D,IF(ISNUMBER(B1440),TEXT(B1440,"0000"),B1440),Addendum!F:F,"X")&gt;0,2.5%,0)</f>
        <v>0</v>
      </c>
      <c r="K1440" s="31">
        <f>IF(COUNTIFS(Addendum!C:C,A1440,Addendum!D:D,IF(ISNUMBER(B1440),TEXT(B1440,"0000"),B1440),Addendum!G:G,"X")&gt;0,7%,0)</f>
        <v>0</v>
      </c>
      <c r="L1440" s="31">
        <f>IF(COUNTIFS(Addendum!C:C,A1440,Addendum!D:D,IF(ISNUMBER(B1440),TEXT(B1440,"0000"),B1440),Addendum!I:I,"X")&gt;0,10%,0)</f>
        <v>0</v>
      </c>
      <c r="M1440" s="34">
        <f t="shared" si="44"/>
        <v>0</v>
      </c>
      <c r="N1440" s="17">
        <f t="shared" si="45"/>
        <v>8915432</v>
      </c>
    </row>
    <row r="1441" spans="1:14" ht="30" x14ac:dyDescent="0.25">
      <c r="A1441" s="14" t="s">
        <v>2217</v>
      </c>
      <c r="B1441" s="14">
        <v>8</v>
      </c>
      <c r="C1441" s="15" t="s">
        <v>2220</v>
      </c>
      <c r="D1441" s="14" t="s">
        <v>1745</v>
      </c>
      <c r="E1441" s="14" t="s">
        <v>1746</v>
      </c>
      <c r="F1441" s="17" t="s">
        <v>2994</v>
      </c>
      <c r="G1441" s="14">
        <v>2334969</v>
      </c>
      <c r="H1441" s="14">
        <v>1634478</v>
      </c>
      <c r="I1441" s="31">
        <f>IF(COUNTIFS(Addendum!C:C,A1441,Addendum!D:D,IF(ISNUMBER(B1441),TEXT(B1441,"0000"),B1441),Addendum!E:E,"X")&gt;0,4%,0)</f>
        <v>0</v>
      </c>
      <c r="J1441" s="31">
        <f>IF(COUNTIFS(Addendum!C:C,A1441,Addendum!D:D,IF(ISNUMBER(B1441),TEXT(B1441,"0000"),B1441),Addendum!F:F,"X")&gt;0,2.5%,0)</f>
        <v>0</v>
      </c>
      <c r="K1441" s="31">
        <f>IF(COUNTIFS(Addendum!C:C,A1441,Addendum!D:D,IF(ISNUMBER(B1441),TEXT(B1441,"0000"),B1441),Addendum!G:G,"X")&gt;0,7%,0)</f>
        <v>0</v>
      </c>
      <c r="L1441" s="31">
        <f>IF(COUNTIFS(Addendum!C:C,A1441,Addendum!D:D,IF(ISNUMBER(B1441),TEXT(B1441,"0000"),B1441),Addendum!I:I,"X")&gt;0,10%,0)</f>
        <v>0</v>
      </c>
      <c r="M1441" s="34">
        <f t="shared" si="44"/>
        <v>0</v>
      </c>
      <c r="N1441" s="17">
        <f t="shared" si="45"/>
        <v>1634478</v>
      </c>
    </row>
    <row r="1442" spans="1:14" ht="30" x14ac:dyDescent="0.25">
      <c r="A1442" s="14" t="s">
        <v>2217</v>
      </c>
      <c r="B1442" s="14">
        <v>8</v>
      </c>
      <c r="C1442" s="15" t="s">
        <v>2220</v>
      </c>
      <c r="D1442" s="14" t="s">
        <v>1749</v>
      </c>
      <c r="E1442" s="14" t="s">
        <v>1746</v>
      </c>
      <c r="F1442" s="17" t="s">
        <v>2994</v>
      </c>
      <c r="G1442" s="14">
        <v>222378</v>
      </c>
      <c r="H1442" s="14">
        <v>155664.6</v>
      </c>
      <c r="I1442" s="31">
        <f>IF(COUNTIFS(Addendum!C:C,A1442,Addendum!D:D,IF(ISNUMBER(B1442),TEXT(B1442,"0000"),B1442),Addendum!E:E,"X")&gt;0,4%,0)</f>
        <v>0</v>
      </c>
      <c r="J1442" s="31">
        <f>IF(COUNTIFS(Addendum!C:C,A1442,Addendum!D:D,IF(ISNUMBER(B1442),TEXT(B1442,"0000"),B1442),Addendum!F:F,"X")&gt;0,2.5%,0)</f>
        <v>0</v>
      </c>
      <c r="K1442" s="31">
        <f>IF(COUNTIFS(Addendum!C:C,A1442,Addendum!D:D,IF(ISNUMBER(B1442),TEXT(B1442,"0000"),B1442),Addendum!G:G,"X")&gt;0,7%,0)</f>
        <v>0</v>
      </c>
      <c r="L1442" s="31">
        <f>IF(COUNTIFS(Addendum!C:C,A1442,Addendum!D:D,IF(ISNUMBER(B1442),TEXT(B1442,"0000"),B1442),Addendum!I:I,"X")&gt;0,10%,0)</f>
        <v>0</v>
      </c>
      <c r="M1442" s="34">
        <f t="shared" si="44"/>
        <v>0</v>
      </c>
      <c r="N1442" s="17">
        <f t="shared" si="45"/>
        <v>155664.6</v>
      </c>
    </row>
    <row r="1443" spans="1:14" ht="30" x14ac:dyDescent="0.25">
      <c r="A1443" s="14" t="s">
        <v>2217</v>
      </c>
      <c r="B1443" s="14">
        <v>9</v>
      </c>
      <c r="C1443" s="15" t="s">
        <v>2218</v>
      </c>
      <c r="D1443" s="14" t="s">
        <v>1752</v>
      </c>
      <c r="E1443" s="14" t="s">
        <v>1747</v>
      </c>
      <c r="F1443" s="17" t="s">
        <v>2995</v>
      </c>
      <c r="G1443" s="14">
        <v>6064920</v>
      </c>
      <c r="H1443" s="14">
        <v>5458428</v>
      </c>
      <c r="I1443" s="31">
        <f>IF(COUNTIFS(Addendum!C:C,A1443,Addendum!D:D,IF(ISNUMBER(B1443),TEXT(B1443,"0000"),B1443),Addendum!E:E,"X")&gt;0,4%,0)</f>
        <v>0</v>
      </c>
      <c r="J1443" s="31">
        <f>IF(COUNTIFS(Addendum!C:C,A1443,Addendum!D:D,IF(ISNUMBER(B1443),TEXT(B1443,"0000"),B1443),Addendum!F:F,"X")&gt;0,2.5%,0)</f>
        <v>0</v>
      </c>
      <c r="K1443" s="31">
        <f>IF(COUNTIFS(Addendum!C:C,A1443,Addendum!D:D,IF(ISNUMBER(B1443),TEXT(B1443,"0000"),B1443),Addendum!G:G,"X")&gt;0,7%,0)</f>
        <v>0</v>
      </c>
      <c r="L1443" s="31">
        <f>IF(COUNTIFS(Addendum!C:C,A1443,Addendum!D:D,IF(ISNUMBER(B1443),TEXT(B1443,"0000"),B1443),Addendum!I:I,"X")&gt;0,10%,0)</f>
        <v>0</v>
      </c>
      <c r="M1443" s="34">
        <f t="shared" si="44"/>
        <v>0</v>
      </c>
      <c r="N1443" s="17">
        <f t="shared" si="45"/>
        <v>5458428</v>
      </c>
    </row>
    <row r="1444" spans="1:14" ht="30" x14ac:dyDescent="0.25">
      <c r="A1444" s="14" t="s">
        <v>2217</v>
      </c>
      <c r="B1444" s="14">
        <v>9</v>
      </c>
      <c r="C1444" s="15" t="s">
        <v>2218</v>
      </c>
      <c r="D1444" s="14" t="s">
        <v>1752</v>
      </c>
      <c r="E1444" s="14" t="s">
        <v>1746</v>
      </c>
      <c r="F1444" s="17" t="s">
        <v>2995</v>
      </c>
      <c r="G1444" s="14">
        <v>6368166</v>
      </c>
      <c r="H1444" s="14">
        <v>5731349</v>
      </c>
      <c r="I1444" s="31">
        <f>IF(COUNTIFS(Addendum!C:C,A1444,Addendum!D:D,IF(ISNUMBER(B1444),TEXT(B1444,"0000"),B1444),Addendum!E:E,"X")&gt;0,4%,0)</f>
        <v>0</v>
      </c>
      <c r="J1444" s="31">
        <f>IF(COUNTIFS(Addendum!C:C,A1444,Addendum!D:D,IF(ISNUMBER(B1444),TEXT(B1444,"0000"),B1444),Addendum!F:F,"X")&gt;0,2.5%,0)</f>
        <v>0</v>
      </c>
      <c r="K1444" s="31">
        <f>IF(COUNTIFS(Addendum!C:C,A1444,Addendum!D:D,IF(ISNUMBER(B1444),TEXT(B1444,"0000"),B1444),Addendum!G:G,"X")&gt;0,7%,0)</f>
        <v>0</v>
      </c>
      <c r="L1444" s="31">
        <f>IF(COUNTIFS(Addendum!C:C,A1444,Addendum!D:D,IF(ISNUMBER(B1444),TEXT(B1444,"0000"),B1444),Addendum!I:I,"X")&gt;0,10%,0)</f>
        <v>0</v>
      </c>
      <c r="M1444" s="34">
        <f t="shared" si="44"/>
        <v>0</v>
      </c>
      <c r="N1444" s="17">
        <f t="shared" si="45"/>
        <v>5731349</v>
      </c>
    </row>
    <row r="1445" spans="1:14" ht="30" x14ac:dyDescent="0.25">
      <c r="A1445" s="14" t="s">
        <v>2221</v>
      </c>
      <c r="B1445" s="14">
        <v>9</v>
      </c>
      <c r="C1445" s="15" t="s">
        <v>2222</v>
      </c>
      <c r="D1445" s="14" t="s">
        <v>1749</v>
      </c>
      <c r="E1445" s="14" t="s">
        <v>1746</v>
      </c>
      <c r="F1445" s="17" t="s">
        <v>2994</v>
      </c>
      <c r="G1445" s="14">
        <v>433776</v>
      </c>
      <c r="H1445" s="14">
        <v>303643.2</v>
      </c>
      <c r="I1445" s="31">
        <f>IF(COUNTIFS(Addendum!C:C,A1445,Addendum!D:D,IF(ISNUMBER(B1445),TEXT(B1445,"0000"),B1445),Addendum!E:E,"X")&gt;0,4%,0)</f>
        <v>0</v>
      </c>
      <c r="J1445" s="31">
        <f>IF(COUNTIFS(Addendum!C:C,A1445,Addendum!D:D,IF(ISNUMBER(B1445),TEXT(B1445,"0000"),B1445),Addendum!F:F,"X")&gt;0,2.5%,0)</f>
        <v>0</v>
      </c>
      <c r="K1445" s="31">
        <f>IF(COUNTIFS(Addendum!C:C,A1445,Addendum!D:D,IF(ISNUMBER(B1445),TEXT(B1445,"0000"),B1445),Addendum!G:G,"X")&gt;0,7%,0)</f>
        <v>0</v>
      </c>
      <c r="L1445" s="31">
        <f>IF(COUNTIFS(Addendum!C:C,A1445,Addendum!D:D,IF(ISNUMBER(B1445),TEXT(B1445,"0000"),B1445),Addendum!I:I,"X")&gt;0,10%,0)</f>
        <v>0</v>
      </c>
      <c r="M1445" s="34">
        <f t="shared" si="44"/>
        <v>0</v>
      </c>
      <c r="N1445" s="17">
        <f t="shared" si="45"/>
        <v>303643.2</v>
      </c>
    </row>
    <row r="1446" spans="1:14" x14ac:dyDescent="0.25">
      <c r="A1446" s="14" t="s">
        <v>2221</v>
      </c>
      <c r="B1446" s="14">
        <v>1</v>
      </c>
      <c r="C1446" s="15" t="s">
        <v>2223</v>
      </c>
      <c r="D1446" s="14" t="s">
        <v>1745</v>
      </c>
      <c r="E1446" s="14" t="s">
        <v>1746</v>
      </c>
      <c r="F1446" s="17" t="s">
        <v>2993</v>
      </c>
      <c r="G1446" s="14">
        <v>8281224</v>
      </c>
      <c r="H1446" s="14">
        <v>5796857</v>
      </c>
      <c r="I1446" s="31">
        <f>IF(COUNTIFS(Addendum!C:C,A1446,Addendum!D:D,IF(ISNUMBER(B1446),TEXT(B1446,"0000"),B1446),Addendum!E:E,"X")&gt;0,4%,0)</f>
        <v>0</v>
      </c>
      <c r="J1446" s="31">
        <f>IF(COUNTIFS(Addendum!C:C,A1446,Addendum!D:D,IF(ISNUMBER(B1446),TEXT(B1446,"0000"),B1446),Addendum!F:F,"X")&gt;0,2.5%,0)</f>
        <v>0</v>
      </c>
      <c r="K1446" s="31">
        <f>IF(COUNTIFS(Addendum!C:C,A1446,Addendum!D:D,IF(ISNUMBER(B1446),TEXT(B1446,"0000"),B1446),Addendum!G:G,"X")&gt;0,7%,0)</f>
        <v>0</v>
      </c>
      <c r="L1446" s="31">
        <f>IF(COUNTIFS(Addendum!C:C,A1446,Addendum!D:D,IF(ISNUMBER(B1446),TEXT(B1446,"0000"),B1446),Addendum!I:I,"X")&gt;0,10%,0)</f>
        <v>0</v>
      </c>
      <c r="M1446" s="34">
        <f t="shared" si="44"/>
        <v>0</v>
      </c>
      <c r="N1446" s="17">
        <f t="shared" si="45"/>
        <v>5796857</v>
      </c>
    </row>
    <row r="1447" spans="1:14" x14ac:dyDescent="0.25">
      <c r="A1447" s="14" t="s">
        <v>2221</v>
      </c>
      <c r="B1447" s="14">
        <v>1</v>
      </c>
      <c r="C1447" s="15" t="s">
        <v>2223</v>
      </c>
      <c r="D1447" s="14" t="s">
        <v>1752</v>
      </c>
      <c r="E1447" s="14" t="s">
        <v>1753</v>
      </c>
      <c r="F1447" s="17" t="s">
        <v>2993</v>
      </c>
      <c r="G1447" s="14">
        <v>23660640</v>
      </c>
      <c r="H1447" s="14">
        <v>16562448</v>
      </c>
      <c r="I1447" s="31">
        <f>IF(COUNTIFS(Addendum!C:C,A1447,Addendum!D:D,IF(ISNUMBER(B1447),TEXT(B1447,"0000"),B1447),Addendum!E:E,"X")&gt;0,4%,0)</f>
        <v>0</v>
      </c>
      <c r="J1447" s="31">
        <f>IF(COUNTIFS(Addendum!C:C,A1447,Addendum!D:D,IF(ISNUMBER(B1447),TEXT(B1447,"0000"),B1447),Addendum!F:F,"X")&gt;0,2.5%,0)</f>
        <v>0</v>
      </c>
      <c r="K1447" s="31">
        <f>IF(COUNTIFS(Addendum!C:C,A1447,Addendum!D:D,IF(ISNUMBER(B1447),TEXT(B1447,"0000"),B1447),Addendum!G:G,"X")&gt;0,7%,0)</f>
        <v>0</v>
      </c>
      <c r="L1447" s="31">
        <f>IF(COUNTIFS(Addendum!C:C,A1447,Addendum!D:D,IF(ISNUMBER(B1447),TEXT(B1447,"0000"),B1447),Addendum!I:I,"X")&gt;0,10%,0)</f>
        <v>0</v>
      </c>
      <c r="M1447" s="34">
        <f t="shared" si="44"/>
        <v>0</v>
      </c>
      <c r="N1447" s="17">
        <f t="shared" si="45"/>
        <v>16562448</v>
      </c>
    </row>
    <row r="1448" spans="1:14" ht="30" x14ac:dyDescent="0.25">
      <c r="A1448" s="14" t="s">
        <v>2221</v>
      </c>
      <c r="B1448" s="14">
        <v>9</v>
      </c>
      <c r="C1448" s="15" t="s">
        <v>2222</v>
      </c>
      <c r="D1448" s="14" t="s">
        <v>1745</v>
      </c>
      <c r="E1448" s="14" t="s">
        <v>1747</v>
      </c>
      <c r="F1448" s="17" t="s">
        <v>2994</v>
      </c>
      <c r="G1448" s="14">
        <v>4337760</v>
      </c>
      <c r="H1448" s="14">
        <v>3036432</v>
      </c>
      <c r="I1448" s="31">
        <f>IF(COUNTIFS(Addendum!C:C,A1448,Addendum!D:D,IF(ISNUMBER(B1448),TEXT(B1448,"0000"),B1448),Addendum!E:E,"X")&gt;0,4%,0)</f>
        <v>0</v>
      </c>
      <c r="J1448" s="31">
        <f>IF(COUNTIFS(Addendum!C:C,A1448,Addendum!D:D,IF(ISNUMBER(B1448),TEXT(B1448,"0000"),B1448),Addendum!F:F,"X")&gt;0,2.5%,0)</f>
        <v>0</v>
      </c>
      <c r="K1448" s="31">
        <f>IF(COUNTIFS(Addendum!C:C,A1448,Addendum!D:D,IF(ISNUMBER(B1448),TEXT(B1448,"0000"),B1448),Addendum!G:G,"X")&gt;0,7%,0)</f>
        <v>0</v>
      </c>
      <c r="L1448" s="31">
        <f>IF(COUNTIFS(Addendum!C:C,A1448,Addendum!D:D,IF(ISNUMBER(B1448),TEXT(B1448,"0000"),B1448),Addendum!I:I,"X")&gt;0,10%,0)</f>
        <v>0</v>
      </c>
      <c r="M1448" s="34">
        <f t="shared" si="44"/>
        <v>0</v>
      </c>
      <c r="N1448" s="17">
        <f t="shared" si="45"/>
        <v>3036432</v>
      </c>
    </row>
    <row r="1449" spans="1:14" x14ac:dyDescent="0.25">
      <c r="A1449" s="14" t="s">
        <v>2221</v>
      </c>
      <c r="B1449" s="14">
        <v>1</v>
      </c>
      <c r="C1449" s="15" t="s">
        <v>2223</v>
      </c>
      <c r="D1449" s="14" t="s">
        <v>1745</v>
      </c>
      <c r="E1449" s="14" t="s">
        <v>1747</v>
      </c>
      <c r="F1449" s="17" t="s">
        <v>2993</v>
      </c>
      <c r="G1449" s="14">
        <v>7886880</v>
      </c>
      <c r="H1449" s="14">
        <v>5520816</v>
      </c>
      <c r="I1449" s="31">
        <f>IF(COUNTIFS(Addendum!C:C,A1449,Addendum!D:D,IF(ISNUMBER(B1449),TEXT(B1449,"0000"),B1449),Addendum!E:E,"X")&gt;0,4%,0)</f>
        <v>0</v>
      </c>
      <c r="J1449" s="31">
        <f>IF(COUNTIFS(Addendum!C:C,A1449,Addendum!D:D,IF(ISNUMBER(B1449),TEXT(B1449,"0000"),B1449),Addendum!F:F,"X")&gt;0,2.5%,0)</f>
        <v>0</v>
      </c>
      <c r="K1449" s="31">
        <f>IF(COUNTIFS(Addendum!C:C,A1449,Addendum!D:D,IF(ISNUMBER(B1449),TEXT(B1449,"0000"),B1449),Addendum!G:G,"X")&gt;0,7%,0)</f>
        <v>0</v>
      </c>
      <c r="L1449" s="31">
        <f>IF(COUNTIFS(Addendum!C:C,A1449,Addendum!D:D,IF(ISNUMBER(B1449),TEXT(B1449,"0000"),B1449),Addendum!I:I,"X")&gt;0,10%,0)</f>
        <v>0</v>
      </c>
      <c r="M1449" s="34">
        <f t="shared" si="44"/>
        <v>0</v>
      </c>
      <c r="N1449" s="17">
        <f t="shared" si="45"/>
        <v>5520816</v>
      </c>
    </row>
    <row r="1450" spans="1:14" ht="30" x14ac:dyDescent="0.25">
      <c r="A1450" s="14" t="s">
        <v>2221</v>
      </c>
      <c r="B1450" s="14">
        <v>8</v>
      </c>
      <c r="C1450" s="15" t="s">
        <v>2224</v>
      </c>
      <c r="D1450" s="14" t="s">
        <v>1749</v>
      </c>
      <c r="E1450" s="14" t="s">
        <v>1746</v>
      </c>
      <c r="F1450" s="17" t="s">
        <v>2995</v>
      </c>
      <c r="G1450" s="14">
        <v>394344</v>
      </c>
      <c r="H1450" s="14">
        <v>354909.6</v>
      </c>
      <c r="I1450" s="31">
        <f>IF(COUNTIFS(Addendum!C:C,A1450,Addendum!D:D,IF(ISNUMBER(B1450),TEXT(B1450,"0000"),B1450),Addendum!E:E,"X")&gt;0,4%,0)</f>
        <v>0</v>
      </c>
      <c r="J1450" s="31">
        <f>IF(COUNTIFS(Addendum!C:C,A1450,Addendum!D:D,IF(ISNUMBER(B1450),TEXT(B1450,"0000"),B1450),Addendum!F:F,"X")&gt;0,2.5%,0)</f>
        <v>0</v>
      </c>
      <c r="K1450" s="31">
        <f>IF(COUNTIFS(Addendum!C:C,A1450,Addendum!D:D,IF(ISNUMBER(B1450),TEXT(B1450,"0000"),B1450),Addendum!G:G,"X")&gt;0,7%,0)</f>
        <v>0</v>
      </c>
      <c r="L1450" s="31">
        <f>IF(COUNTIFS(Addendum!C:C,A1450,Addendum!D:D,IF(ISNUMBER(B1450),TEXT(B1450,"0000"),B1450),Addendum!I:I,"X")&gt;0,10%,0)</f>
        <v>0</v>
      </c>
      <c r="M1450" s="34">
        <f t="shared" si="44"/>
        <v>0</v>
      </c>
      <c r="N1450" s="17">
        <f t="shared" si="45"/>
        <v>354909.6</v>
      </c>
    </row>
    <row r="1451" spans="1:14" x14ac:dyDescent="0.25">
      <c r="A1451" s="14" t="s">
        <v>2221</v>
      </c>
      <c r="B1451" s="14">
        <v>1</v>
      </c>
      <c r="C1451" s="15" t="s">
        <v>2223</v>
      </c>
      <c r="D1451" s="14" t="s">
        <v>1752</v>
      </c>
      <c r="E1451" s="14" t="s">
        <v>1747</v>
      </c>
      <c r="F1451" s="17" t="s">
        <v>2993</v>
      </c>
      <c r="G1451" s="14">
        <v>23660640</v>
      </c>
      <c r="H1451" s="14">
        <v>16562448</v>
      </c>
      <c r="I1451" s="31">
        <f>IF(COUNTIFS(Addendum!C:C,A1451,Addendum!D:D,IF(ISNUMBER(B1451),TEXT(B1451,"0000"),B1451),Addendum!E:E,"X")&gt;0,4%,0)</f>
        <v>0</v>
      </c>
      <c r="J1451" s="31">
        <f>IF(COUNTIFS(Addendum!C:C,A1451,Addendum!D:D,IF(ISNUMBER(B1451),TEXT(B1451,"0000"),B1451),Addendum!F:F,"X")&gt;0,2.5%,0)</f>
        <v>0</v>
      </c>
      <c r="K1451" s="31">
        <f>IF(COUNTIFS(Addendum!C:C,A1451,Addendum!D:D,IF(ISNUMBER(B1451),TEXT(B1451,"0000"),B1451),Addendum!G:G,"X")&gt;0,7%,0)</f>
        <v>0</v>
      </c>
      <c r="L1451" s="31">
        <f>IF(COUNTIFS(Addendum!C:C,A1451,Addendum!D:D,IF(ISNUMBER(B1451),TEXT(B1451,"0000"),B1451),Addendum!I:I,"X")&gt;0,10%,0)</f>
        <v>0</v>
      </c>
      <c r="M1451" s="34">
        <f t="shared" si="44"/>
        <v>0</v>
      </c>
      <c r="N1451" s="17">
        <f t="shared" si="45"/>
        <v>16562448</v>
      </c>
    </row>
    <row r="1452" spans="1:14" ht="30" x14ac:dyDescent="0.25">
      <c r="A1452" s="14" t="s">
        <v>2221</v>
      </c>
      <c r="B1452" s="14">
        <v>8</v>
      </c>
      <c r="C1452" s="15" t="s">
        <v>2224</v>
      </c>
      <c r="D1452" s="14" t="s">
        <v>1752</v>
      </c>
      <c r="E1452" s="14" t="s">
        <v>1746</v>
      </c>
      <c r="F1452" s="17" t="s">
        <v>2995</v>
      </c>
      <c r="G1452" s="14">
        <v>12421836</v>
      </c>
      <c r="H1452" s="14">
        <v>11179652</v>
      </c>
      <c r="I1452" s="31">
        <f>IF(COUNTIFS(Addendum!C:C,A1452,Addendum!D:D,IF(ISNUMBER(B1452),TEXT(B1452,"0000"),B1452),Addendum!E:E,"X")&gt;0,4%,0)</f>
        <v>0</v>
      </c>
      <c r="J1452" s="31">
        <f>IF(COUNTIFS(Addendum!C:C,A1452,Addendum!D:D,IF(ISNUMBER(B1452),TEXT(B1452,"0000"),B1452),Addendum!F:F,"X")&gt;0,2.5%,0)</f>
        <v>0</v>
      </c>
      <c r="K1452" s="31">
        <f>IF(COUNTIFS(Addendum!C:C,A1452,Addendum!D:D,IF(ISNUMBER(B1452),TEXT(B1452,"0000"),B1452),Addendum!G:G,"X")&gt;0,7%,0)</f>
        <v>0</v>
      </c>
      <c r="L1452" s="31">
        <f>IF(COUNTIFS(Addendum!C:C,A1452,Addendum!D:D,IF(ISNUMBER(B1452),TEXT(B1452,"0000"),B1452),Addendum!I:I,"X")&gt;0,10%,0)</f>
        <v>0</v>
      </c>
      <c r="M1452" s="34">
        <f t="shared" si="44"/>
        <v>0</v>
      </c>
      <c r="N1452" s="17">
        <f t="shared" si="45"/>
        <v>11179652</v>
      </c>
    </row>
    <row r="1453" spans="1:14" ht="30" x14ac:dyDescent="0.25">
      <c r="A1453" s="14" t="s">
        <v>2221</v>
      </c>
      <c r="B1453" s="14">
        <v>8</v>
      </c>
      <c r="C1453" s="15" t="s">
        <v>2224</v>
      </c>
      <c r="D1453" s="14" t="s">
        <v>1752</v>
      </c>
      <c r="E1453" s="14" t="s">
        <v>1747</v>
      </c>
      <c r="F1453" s="17" t="s">
        <v>2995</v>
      </c>
      <c r="G1453" s="14">
        <v>11830320</v>
      </c>
      <c r="H1453" s="14">
        <v>10647288</v>
      </c>
      <c r="I1453" s="31">
        <f>IF(COUNTIFS(Addendum!C:C,A1453,Addendum!D:D,IF(ISNUMBER(B1453),TEXT(B1453,"0000"),B1453),Addendum!E:E,"X")&gt;0,4%,0)</f>
        <v>0</v>
      </c>
      <c r="J1453" s="31">
        <f>IF(COUNTIFS(Addendum!C:C,A1453,Addendum!D:D,IF(ISNUMBER(B1453),TEXT(B1453,"0000"),B1453),Addendum!F:F,"X")&gt;0,2.5%,0)</f>
        <v>0</v>
      </c>
      <c r="K1453" s="31">
        <f>IF(COUNTIFS(Addendum!C:C,A1453,Addendum!D:D,IF(ISNUMBER(B1453),TEXT(B1453,"0000"),B1453),Addendum!G:G,"X")&gt;0,7%,0)</f>
        <v>0</v>
      </c>
      <c r="L1453" s="31">
        <f>IF(COUNTIFS(Addendum!C:C,A1453,Addendum!D:D,IF(ISNUMBER(B1453),TEXT(B1453,"0000"),B1453),Addendum!I:I,"X")&gt;0,10%,0)</f>
        <v>0</v>
      </c>
      <c r="M1453" s="34">
        <f t="shared" si="44"/>
        <v>0</v>
      </c>
      <c r="N1453" s="17">
        <f t="shared" si="45"/>
        <v>10647288</v>
      </c>
    </row>
    <row r="1454" spans="1:14" ht="30" x14ac:dyDescent="0.25">
      <c r="A1454" s="14" t="s">
        <v>2221</v>
      </c>
      <c r="B1454" s="14">
        <v>8</v>
      </c>
      <c r="C1454" s="15" t="s">
        <v>2224</v>
      </c>
      <c r="D1454" s="14" t="s">
        <v>1745</v>
      </c>
      <c r="E1454" s="14" t="s">
        <v>1746</v>
      </c>
      <c r="F1454" s="17" t="s">
        <v>2995</v>
      </c>
      <c r="G1454" s="14">
        <v>4140612</v>
      </c>
      <c r="H1454" s="14">
        <v>3726551</v>
      </c>
      <c r="I1454" s="31">
        <f>IF(COUNTIFS(Addendum!C:C,A1454,Addendum!D:D,IF(ISNUMBER(B1454),TEXT(B1454,"0000"),B1454),Addendum!E:E,"X")&gt;0,4%,0)</f>
        <v>0</v>
      </c>
      <c r="J1454" s="31">
        <f>IF(COUNTIFS(Addendum!C:C,A1454,Addendum!D:D,IF(ISNUMBER(B1454),TEXT(B1454,"0000"),B1454),Addendum!F:F,"X")&gt;0,2.5%,0)</f>
        <v>0</v>
      </c>
      <c r="K1454" s="31">
        <f>IF(COUNTIFS(Addendum!C:C,A1454,Addendum!D:D,IF(ISNUMBER(B1454),TEXT(B1454,"0000"),B1454),Addendum!G:G,"X")&gt;0,7%,0)</f>
        <v>0</v>
      </c>
      <c r="L1454" s="31">
        <f>IF(COUNTIFS(Addendum!C:C,A1454,Addendum!D:D,IF(ISNUMBER(B1454),TEXT(B1454,"0000"),B1454),Addendum!I:I,"X")&gt;0,10%,0)</f>
        <v>0</v>
      </c>
      <c r="M1454" s="34">
        <f t="shared" si="44"/>
        <v>0</v>
      </c>
      <c r="N1454" s="17">
        <f t="shared" si="45"/>
        <v>3726551</v>
      </c>
    </row>
    <row r="1455" spans="1:14" ht="30" x14ac:dyDescent="0.25">
      <c r="A1455" s="14" t="s">
        <v>2221</v>
      </c>
      <c r="B1455" s="14">
        <v>9</v>
      </c>
      <c r="C1455" s="15" t="s">
        <v>2222</v>
      </c>
      <c r="D1455" s="14" t="s">
        <v>1745</v>
      </c>
      <c r="E1455" s="14" t="s">
        <v>1746</v>
      </c>
      <c r="F1455" s="17" t="s">
        <v>2994</v>
      </c>
      <c r="G1455" s="14">
        <v>4554648</v>
      </c>
      <c r="H1455" s="14">
        <v>3188254</v>
      </c>
      <c r="I1455" s="31">
        <f>IF(COUNTIFS(Addendum!C:C,A1455,Addendum!D:D,IF(ISNUMBER(B1455),TEXT(B1455,"0000"),B1455),Addendum!E:E,"X")&gt;0,4%,0)</f>
        <v>0</v>
      </c>
      <c r="J1455" s="31">
        <f>IF(COUNTIFS(Addendum!C:C,A1455,Addendum!D:D,IF(ISNUMBER(B1455),TEXT(B1455,"0000"),B1455),Addendum!F:F,"X")&gt;0,2.5%,0)</f>
        <v>0</v>
      </c>
      <c r="K1455" s="31">
        <f>IF(COUNTIFS(Addendum!C:C,A1455,Addendum!D:D,IF(ISNUMBER(B1455),TEXT(B1455,"0000"),B1455),Addendum!G:G,"X")&gt;0,7%,0)</f>
        <v>0</v>
      </c>
      <c r="L1455" s="31">
        <f>IF(COUNTIFS(Addendum!C:C,A1455,Addendum!D:D,IF(ISNUMBER(B1455),TEXT(B1455,"0000"),B1455),Addendum!I:I,"X")&gt;0,10%,0)</f>
        <v>0</v>
      </c>
      <c r="M1455" s="34">
        <f t="shared" si="44"/>
        <v>0</v>
      </c>
      <c r="N1455" s="17">
        <f t="shared" si="45"/>
        <v>3188254</v>
      </c>
    </row>
    <row r="1456" spans="1:14" x14ac:dyDescent="0.25">
      <c r="A1456" s="14" t="s">
        <v>2221</v>
      </c>
      <c r="B1456" s="14">
        <v>1</v>
      </c>
      <c r="C1456" s="15" t="s">
        <v>2223</v>
      </c>
      <c r="D1456" s="14" t="s">
        <v>1749</v>
      </c>
      <c r="E1456" s="14" t="s">
        <v>1746</v>
      </c>
      <c r="F1456" s="17" t="s">
        <v>2993</v>
      </c>
      <c r="G1456" s="14">
        <v>788688</v>
      </c>
      <c r="H1456" s="14">
        <v>552081.6</v>
      </c>
      <c r="I1456" s="31">
        <f>IF(COUNTIFS(Addendum!C:C,A1456,Addendum!D:D,IF(ISNUMBER(B1456),TEXT(B1456,"0000"),B1456),Addendum!E:E,"X")&gt;0,4%,0)</f>
        <v>0</v>
      </c>
      <c r="J1456" s="31">
        <f>IF(COUNTIFS(Addendum!C:C,A1456,Addendum!D:D,IF(ISNUMBER(B1456),TEXT(B1456,"0000"),B1456),Addendum!F:F,"X")&gt;0,2.5%,0)</f>
        <v>0</v>
      </c>
      <c r="K1456" s="31">
        <f>IF(COUNTIFS(Addendum!C:C,A1456,Addendum!D:D,IF(ISNUMBER(B1456),TEXT(B1456,"0000"),B1456),Addendum!G:G,"X")&gt;0,7%,0)</f>
        <v>0</v>
      </c>
      <c r="L1456" s="31">
        <f>IF(COUNTIFS(Addendum!C:C,A1456,Addendum!D:D,IF(ISNUMBER(B1456),TEXT(B1456,"0000"),B1456),Addendum!I:I,"X")&gt;0,10%,0)</f>
        <v>0</v>
      </c>
      <c r="M1456" s="34">
        <f t="shared" si="44"/>
        <v>0</v>
      </c>
      <c r="N1456" s="17">
        <f t="shared" si="45"/>
        <v>552081.6</v>
      </c>
    </row>
    <row r="1457" spans="1:14" ht="30" x14ac:dyDescent="0.25">
      <c r="A1457" s="14" t="s">
        <v>2221</v>
      </c>
      <c r="B1457" s="14">
        <v>8</v>
      </c>
      <c r="C1457" s="15" t="s">
        <v>2224</v>
      </c>
      <c r="D1457" s="14" t="s">
        <v>1745</v>
      </c>
      <c r="E1457" s="14" t="s">
        <v>1747</v>
      </c>
      <c r="F1457" s="17" t="s">
        <v>2995</v>
      </c>
      <c r="G1457" s="14">
        <v>3943440</v>
      </c>
      <c r="H1457" s="14">
        <v>3549096</v>
      </c>
      <c r="I1457" s="31">
        <f>IF(COUNTIFS(Addendum!C:C,A1457,Addendum!D:D,IF(ISNUMBER(B1457),TEXT(B1457,"0000"),B1457),Addendum!E:E,"X")&gt;0,4%,0)</f>
        <v>0</v>
      </c>
      <c r="J1457" s="31">
        <f>IF(COUNTIFS(Addendum!C:C,A1457,Addendum!D:D,IF(ISNUMBER(B1457),TEXT(B1457,"0000"),B1457),Addendum!F:F,"X")&gt;0,2.5%,0)</f>
        <v>0</v>
      </c>
      <c r="K1457" s="31">
        <f>IF(COUNTIFS(Addendum!C:C,A1457,Addendum!D:D,IF(ISNUMBER(B1457),TEXT(B1457,"0000"),B1457),Addendum!G:G,"X")&gt;0,7%,0)</f>
        <v>0</v>
      </c>
      <c r="L1457" s="31">
        <f>IF(COUNTIFS(Addendum!C:C,A1457,Addendum!D:D,IF(ISNUMBER(B1457),TEXT(B1457,"0000"),B1457),Addendum!I:I,"X")&gt;0,10%,0)</f>
        <v>0</v>
      </c>
      <c r="M1457" s="34">
        <f t="shared" si="44"/>
        <v>0</v>
      </c>
      <c r="N1457" s="17">
        <f t="shared" si="45"/>
        <v>3549096</v>
      </c>
    </row>
    <row r="1458" spans="1:14" x14ac:dyDescent="0.25">
      <c r="A1458" s="14" t="s">
        <v>2221</v>
      </c>
      <c r="B1458" s="14">
        <v>1</v>
      </c>
      <c r="C1458" s="15" t="s">
        <v>2223</v>
      </c>
      <c r="D1458" s="14" t="s">
        <v>1752</v>
      </c>
      <c r="E1458" s="14" t="s">
        <v>1746</v>
      </c>
      <c r="F1458" s="17" t="s">
        <v>2993</v>
      </c>
      <c r="G1458" s="14">
        <v>24843672</v>
      </c>
      <c r="H1458" s="14">
        <v>17390570</v>
      </c>
      <c r="I1458" s="31">
        <f>IF(COUNTIFS(Addendum!C:C,A1458,Addendum!D:D,IF(ISNUMBER(B1458),TEXT(B1458,"0000"),B1458),Addendum!E:E,"X")&gt;0,4%,0)</f>
        <v>0</v>
      </c>
      <c r="J1458" s="31">
        <f>IF(COUNTIFS(Addendum!C:C,A1458,Addendum!D:D,IF(ISNUMBER(B1458),TEXT(B1458,"0000"),B1458),Addendum!F:F,"X")&gt;0,2.5%,0)</f>
        <v>0</v>
      </c>
      <c r="K1458" s="31">
        <f>IF(COUNTIFS(Addendum!C:C,A1458,Addendum!D:D,IF(ISNUMBER(B1458),TEXT(B1458,"0000"),B1458),Addendum!G:G,"X")&gt;0,7%,0)</f>
        <v>0</v>
      </c>
      <c r="L1458" s="31">
        <f>IF(COUNTIFS(Addendum!C:C,A1458,Addendum!D:D,IF(ISNUMBER(B1458),TEXT(B1458,"0000"),B1458),Addendum!I:I,"X")&gt;0,10%,0)</f>
        <v>0</v>
      </c>
      <c r="M1458" s="34">
        <f t="shared" si="44"/>
        <v>0</v>
      </c>
      <c r="N1458" s="17">
        <f t="shared" si="45"/>
        <v>17390570</v>
      </c>
    </row>
    <row r="1459" spans="1:14" ht="30" x14ac:dyDescent="0.25">
      <c r="A1459" s="14" t="s">
        <v>2225</v>
      </c>
      <c r="B1459" s="14">
        <v>9</v>
      </c>
      <c r="C1459" s="15" t="s">
        <v>2226</v>
      </c>
      <c r="D1459" s="14" t="s">
        <v>1745</v>
      </c>
      <c r="E1459" s="14" t="s">
        <v>1747</v>
      </c>
      <c r="F1459" s="17" t="s">
        <v>2995</v>
      </c>
      <c r="G1459" s="14">
        <v>5990040</v>
      </c>
      <c r="H1459" s="14">
        <v>5391036</v>
      </c>
      <c r="I1459" s="31">
        <f>IF(COUNTIFS(Addendum!C:C,A1459,Addendum!D:D,IF(ISNUMBER(B1459),TEXT(B1459,"0000"),B1459),Addendum!E:E,"X")&gt;0,4%,0)</f>
        <v>0</v>
      </c>
      <c r="J1459" s="31">
        <f>IF(COUNTIFS(Addendum!C:C,A1459,Addendum!D:D,IF(ISNUMBER(B1459),TEXT(B1459,"0000"),B1459),Addendum!F:F,"X")&gt;0,2.5%,0)</f>
        <v>0</v>
      </c>
      <c r="K1459" s="31">
        <f>IF(COUNTIFS(Addendum!C:C,A1459,Addendum!D:D,IF(ISNUMBER(B1459),TEXT(B1459,"0000"),B1459),Addendum!G:G,"X")&gt;0,7%,0)</f>
        <v>0</v>
      </c>
      <c r="L1459" s="31">
        <f>IF(COUNTIFS(Addendum!C:C,A1459,Addendum!D:D,IF(ISNUMBER(B1459),TEXT(B1459,"0000"),B1459),Addendum!I:I,"X")&gt;0,10%,0)</f>
        <v>0</v>
      </c>
      <c r="M1459" s="34">
        <f t="shared" si="44"/>
        <v>0</v>
      </c>
      <c r="N1459" s="17">
        <f t="shared" si="45"/>
        <v>5391036</v>
      </c>
    </row>
    <row r="1460" spans="1:14" x14ac:dyDescent="0.25">
      <c r="A1460" s="14" t="s">
        <v>2225</v>
      </c>
      <c r="B1460" s="14">
        <v>1</v>
      </c>
      <c r="C1460" s="15" t="s">
        <v>2227</v>
      </c>
      <c r="D1460" s="14" t="s">
        <v>1749</v>
      </c>
      <c r="E1460" s="14" t="s">
        <v>1746</v>
      </c>
      <c r="F1460" s="17" t="s">
        <v>2993</v>
      </c>
      <c r="G1460" s="14">
        <v>1198002</v>
      </c>
      <c r="H1460" s="14">
        <v>838601.4</v>
      </c>
      <c r="I1460" s="31">
        <f>IF(COUNTIFS(Addendum!C:C,A1460,Addendum!D:D,IF(ISNUMBER(B1460),TEXT(B1460,"0000"),B1460),Addendum!E:E,"X")&gt;0,4%,0)</f>
        <v>0</v>
      </c>
      <c r="J1460" s="31">
        <f>IF(COUNTIFS(Addendum!C:C,A1460,Addendum!D:D,IF(ISNUMBER(B1460),TEXT(B1460,"0000"),B1460),Addendum!F:F,"X")&gt;0,2.5%,0)</f>
        <v>0</v>
      </c>
      <c r="K1460" s="31">
        <f>IF(COUNTIFS(Addendum!C:C,A1460,Addendum!D:D,IF(ISNUMBER(B1460),TEXT(B1460,"0000"),B1460),Addendum!G:G,"X")&gt;0,7%,0)</f>
        <v>0</v>
      </c>
      <c r="L1460" s="31">
        <f>IF(COUNTIFS(Addendum!C:C,A1460,Addendum!D:D,IF(ISNUMBER(B1460),TEXT(B1460,"0000"),B1460),Addendum!I:I,"X")&gt;0,10%,0)</f>
        <v>0</v>
      </c>
      <c r="M1460" s="34">
        <f t="shared" si="44"/>
        <v>0</v>
      </c>
      <c r="N1460" s="17">
        <f t="shared" si="45"/>
        <v>838601.4</v>
      </c>
    </row>
    <row r="1461" spans="1:14" ht="30" x14ac:dyDescent="0.25">
      <c r="A1461" s="14" t="s">
        <v>2225</v>
      </c>
      <c r="B1461" s="14">
        <v>9</v>
      </c>
      <c r="C1461" s="15" t="s">
        <v>2226</v>
      </c>
      <c r="D1461" s="14" t="s">
        <v>1752</v>
      </c>
      <c r="E1461" s="14" t="s">
        <v>1747</v>
      </c>
      <c r="F1461" s="17" t="s">
        <v>2995</v>
      </c>
      <c r="G1461" s="14">
        <v>17970120</v>
      </c>
      <c r="H1461" s="14">
        <v>16173108</v>
      </c>
      <c r="I1461" s="31">
        <f>IF(COUNTIFS(Addendum!C:C,A1461,Addendum!D:D,IF(ISNUMBER(B1461),TEXT(B1461,"0000"),B1461),Addendum!E:E,"X")&gt;0,4%,0)</f>
        <v>0</v>
      </c>
      <c r="J1461" s="31">
        <f>IF(COUNTIFS(Addendum!C:C,A1461,Addendum!D:D,IF(ISNUMBER(B1461),TEXT(B1461,"0000"),B1461),Addendum!F:F,"X")&gt;0,2.5%,0)</f>
        <v>0</v>
      </c>
      <c r="K1461" s="31">
        <f>IF(COUNTIFS(Addendum!C:C,A1461,Addendum!D:D,IF(ISNUMBER(B1461),TEXT(B1461,"0000"),B1461),Addendum!G:G,"X")&gt;0,7%,0)</f>
        <v>0</v>
      </c>
      <c r="L1461" s="31">
        <f>IF(COUNTIFS(Addendum!C:C,A1461,Addendum!D:D,IF(ISNUMBER(B1461),TEXT(B1461,"0000"),B1461),Addendum!I:I,"X")&gt;0,10%,0)</f>
        <v>0</v>
      </c>
      <c r="M1461" s="34">
        <f t="shared" si="44"/>
        <v>0</v>
      </c>
      <c r="N1461" s="17">
        <f t="shared" si="45"/>
        <v>16173108</v>
      </c>
    </row>
    <row r="1462" spans="1:14" x14ac:dyDescent="0.25">
      <c r="A1462" s="14" t="s">
        <v>2225</v>
      </c>
      <c r="B1462" s="14">
        <v>1</v>
      </c>
      <c r="C1462" s="15" t="s">
        <v>2227</v>
      </c>
      <c r="D1462" s="14" t="s">
        <v>1745</v>
      </c>
      <c r="E1462" s="14" t="s">
        <v>1747</v>
      </c>
      <c r="F1462" s="17" t="s">
        <v>2993</v>
      </c>
      <c r="G1462" s="14">
        <v>11980020</v>
      </c>
      <c r="H1462" s="14">
        <v>8386014</v>
      </c>
      <c r="I1462" s="31">
        <f>IF(COUNTIFS(Addendum!C:C,A1462,Addendum!D:D,IF(ISNUMBER(B1462),TEXT(B1462,"0000"),B1462),Addendum!E:E,"X")&gt;0,4%,0)</f>
        <v>0</v>
      </c>
      <c r="J1462" s="31">
        <f>IF(COUNTIFS(Addendum!C:C,A1462,Addendum!D:D,IF(ISNUMBER(B1462),TEXT(B1462,"0000"),B1462),Addendum!F:F,"X")&gt;0,2.5%,0)</f>
        <v>0</v>
      </c>
      <c r="K1462" s="31">
        <f>IF(COUNTIFS(Addendum!C:C,A1462,Addendum!D:D,IF(ISNUMBER(B1462),TEXT(B1462,"0000"),B1462),Addendum!G:G,"X")&gt;0,7%,0)</f>
        <v>0</v>
      </c>
      <c r="L1462" s="31">
        <f>IF(COUNTIFS(Addendum!C:C,A1462,Addendum!D:D,IF(ISNUMBER(B1462),TEXT(B1462,"0000"),B1462),Addendum!I:I,"X")&gt;0,10%,0)</f>
        <v>0</v>
      </c>
      <c r="M1462" s="34">
        <f t="shared" si="44"/>
        <v>0</v>
      </c>
      <c r="N1462" s="17">
        <f t="shared" si="45"/>
        <v>8386014</v>
      </c>
    </row>
    <row r="1463" spans="1:14" x14ac:dyDescent="0.25">
      <c r="A1463" s="14" t="s">
        <v>2225</v>
      </c>
      <c r="B1463" s="14">
        <v>1</v>
      </c>
      <c r="C1463" s="15" t="s">
        <v>2227</v>
      </c>
      <c r="D1463" s="14" t="s">
        <v>1752</v>
      </c>
      <c r="E1463" s="14" t="s">
        <v>1746</v>
      </c>
      <c r="F1463" s="17" t="s">
        <v>2993</v>
      </c>
      <c r="G1463" s="14">
        <v>37737063</v>
      </c>
      <c r="H1463" s="14">
        <v>26415944</v>
      </c>
      <c r="I1463" s="31">
        <f>IF(COUNTIFS(Addendum!C:C,A1463,Addendum!D:D,IF(ISNUMBER(B1463),TEXT(B1463,"0000"),B1463),Addendum!E:E,"X")&gt;0,4%,0)</f>
        <v>0</v>
      </c>
      <c r="J1463" s="31">
        <f>IF(COUNTIFS(Addendum!C:C,A1463,Addendum!D:D,IF(ISNUMBER(B1463),TEXT(B1463,"0000"),B1463),Addendum!F:F,"X")&gt;0,2.5%,0)</f>
        <v>0</v>
      </c>
      <c r="K1463" s="31">
        <f>IF(COUNTIFS(Addendum!C:C,A1463,Addendum!D:D,IF(ISNUMBER(B1463),TEXT(B1463,"0000"),B1463),Addendum!G:G,"X")&gt;0,7%,0)</f>
        <v>0</v>
      </c>
      <c r="L1463" s="31">
        <f>IF(COUNTIFS(Addendum!C:C,A1463,Addendum!D:D,IF(ISNUMBER(B1463),TEXT(B1463,"0000"),B1463),Addendum!I:I,"X")&gt;0,10%,0)</f>
        <v>0</v>
      </c>
      <c r="M1463" s="34">
        <f t="shared" si="44"/>
        <v>0</v>
      </c>
      <c r="N1463" s="17">
        <f t="shared" si="45"/>
        <v>26415944</v>
      </c>
    </row>
    <row r="1464" spans="1:14" ht="30" x14ac:dyDescent="0.25">
      <c r="A1464" s="14" t="s">
        <v>2225</v>
      </c>
      <c r="B1464" s="14">
        <v>9</v>
      </c>
      <c r="C1464" s="15" t="s">
        <v>2226</v>
      </c>
      <c r="D1464" s="14" t="s">
        <v>1752</v>
      </c>
      <c r="E1464" s="14" t="s">
        <v>1746</v>
      </c>
      <c r="F1464" s="17" t="s">
        <v>2995</v>
      </c>
      <c r="G1464" s="14">
        <v>18868626</v>
      </c>
      <c r="H1464" s="14">
        <v>16981763</v>
      </c>
      <c r="I1464" s="31">
        <f>IF(COUNTIFS(Addendum!C:C,A1464,Addendum!D:D,IF(ISNUMBER(B1464),TEXT(B1464,"0000"),B1464),Addendum!E:E,"X")&gt;0,4%,0)</f>
        <v>0</v>
      </c>
      <c r="J1464" s="31">
        <f>IF(COUNTIFS(Addendum!C:C,A1464,Addendum!D:D,IF(ISNUMBER(B1464),TEXT(B1464,"0000"),B1464),Addendum!F:F,"X")&gt;0,2.5%,0)</f>
        <v>0</v>
      </c>
      <c r="K1464" s="31">
        <f>IF(COUNTIFS(Addendum!C:C,A1464,Addendum!D:D,IF(ISNUMBER(B1464),TEXT(B1464,"0000"),B1464),Addendum!G:G,"X")&gt;0,7%,0)</f>
        <v>0</v>
      </c>
      <c r="L1464" s="31">
        <f>IF(COUNTIFS(Addendum!C:C,A1464,Addendum!D:D,IF(ISNUMBER(B1464),TEXT(B1464,"0000"),B1464),Addendum!I:I,"X")&gt;0,10%,0)</f>
        <v>0</v>
      </c>
      <c r="M1464" s="34">
        <f t="shared" si="44"/>
        <v>0</v>
      </c>
      <c r="N1464" s="17">
        <f t="shared" si="45"/>
        <v>16981763</v>
      </c>
    </row>
    <row r="1465" spans="1:14" ht="30" x14ac:dyDescent="0.25">
      <c r="A1465" s="14" t="s">
        <v>2225</v>
      </c>
      <c r="B1465" s="14">
        <v>8</v>
      </c>
      <c r="C1465" s="15" t="s">
        <v>2228</v>
      </c>
      <c r="D1465" s="14" t="s">
        <v>1745</v>
      </c>
      <c r="E1465" s="14" t="s">
        <v>1746</v>
      </c>
      <c r="F1465" s="17" t="s">
        <v>2994</v>
      </c>
      <c r="G1465" s="14">
        <v>6918471</v>
      </c>
      <c r="H1465" s="14">
        <v>4842930</v>
      </c>
      <c r="I1465" s="31">
        <f>IF(COUNTIFS(Addendum!C:C,A1465,Addendum!D:D,IF(ISNUMBER(B1465),TEXT(B1465,"0000"),B1465),Addendum!E:E,"X")&gt;0,4%,0)</f>
        <v>0</v>
      </c>
      <c r="J1465" s="31">
        <f>IF(COUNTIFS(Addendum!C:C,A1465,Addendum!D:D,IF(ISNUMBER(B1465),TEXT(B1465,"0000"),B1465),Addendum!F:F,"X")&gt;0,2.5%,0)</f>
        <v>0</v>
      </c>
      <c r="K1465" s="31">
        <f>IF(COUNTIFS(Addendum!C:C,A1465,Addendum!D:D,IF(ISNUMBER(B1465),TEXT(B1465,"0000"),B1465),Addendum!G:G,"X")&gt;0,7%,0)</f>
        <v>0</v>
      </c>
      <c r="L1465" s="31">
        <f>IF(COUNTIFS(Addendum!C:C,A1465,Addendum!D:D,IF(ISNUMBER(B1465),TEXT(B1465,"0000"),B1465),Addendum!I:I,"X")&gt;0,10%,0)</f>
        <v>0</v>
      </c>
      <c r="M1465" s="34">
        <f t="shared" si="44"/>
        <v>0</v>
      </c>
      <c r="N1465" s="17">
        <f t="shared" si="45"/>
        <v>4842930</v>
      </c>
    </row>
    <row r="1466" spans="1:14" x14ac:dyDescent="0.25">
      <c r="A1466" s="14" t="s">
        <v>2225</v>
      </c>
      <c r="B1466" s="14">
        <v>1</v>
      </c>
      <c r="C1466" s="15" t="s">
        <v>2227</v>
      </c>
      <c r="D1466" s="14" t="s">
        <v>1752</v>
      </c>
      <c r="E1466" s="14" t="s">
        <v>1753</v>
      </c>
      <c r="F1466" s="17" t="s">
        <v>2993</v>
      </c>
      <c r="G1466" s="14">
        <v>35940060</v>
      </c>
      <c r="H1466" s="14">
        <v>25158042</v>
      </c>
      <c r="I1466" s="31">
        <f>IF(COUNTIFS(Addendum!C:C,A1466,Addendum!D:D,IF(ISNUMBER(B1466),TEXT(B1466,"0000"),B1466),Addendum!E:E,"X")&gt;0,4%,0)</f>
        <v>0</v>
      </c>
      <c r="J1466" s="31">
        <f>IF(COUNTIFS(Addendum!C:C,A1466,Addendum!D:D,IF(ISNUMBER(B1466),TEXT(B1466,"0000"),B1466),Addendum!F:F,"X")&gt;0,2.5%,0)</f>
        <v>0</v>
      </c>
      <c r="K1466" s="31">
        <f>IF(COUNTIFS(Addendum!C:C,A1466,Addendum!D:D,IF(ISNUMBER(B1466),TEXT(B1466,"0000"),B1466),Addendum!G:G,"X")&gt;0,7%,0)</f>
        <v>0</v>
      </c>
      <c r="L1466" s="31">
        <f>IF(COUNTIFS(Addendum!C:C,A1466,Addendum!D:D,IF(ISNUMBER(B1466),TEXT(B1466,"0000"),B1466),Addendum!I:I,"X")&gt;0,10%,0)</f>
        <v>0</v>
      </c>
      <c r="M1466" s="34">
        <f t="shared" si="44"/>
        <v>0</v>
      </c>
      <c r="N1466" s="17">
        <f t="shared" si="45"/>
        <v>25158042</v>
      </c>
    </row>
    <row r="1467" spans="1:14" x14ac:dyDescent="0.25">
      <c r="A1467" s="14" t="s">
        <v>2225</v>
      </c>
      <c r="B1467" s="14">
        <v>1</v>
      </c>
      <c r="C1467" s="15" t="s">
        <v>2227</v>
      </c>
      <c r="D1467" s="14" t="s">
        <v>1752</v>
      </c>
      <c r="E1467" s="14" t="s">
        <v>1747</v>
      </c>
      <c r="F1467" s="17" t="s">
        <v>2993</v>
      </c>
      <c r="G1467" s="14">
        <v>35940060</v>
      </c>
      <c r="H1467" s="14">
        <v>25158042</v>
      </c>
      <c r="I1467" s="31">
        <f>IF(COUNTIFS(Addendum!C:C,A1467,Addendum!D:D,IF(ISNUMBER(B1467),TEXT(B1467,"0000"),B1467),Addendum!E:E,"X")&gt;0,4%,0)</f>
        <v>0</v>
      </c>
      <c r="J1467" s="31">
        <f>IF(COUNTIFS(Addendum!C:C,A1467,Addendum!D:D,IF(ISNUMBER(B1467),TEXT(B1467,"0000"),B1467),Addendum!F:F,"X")&gt;0,2.5%,0)</f>
        <v>0</v>
      </c>
      <c r="K1467" s="31">
        <f>IF(COUNTIFS(Addendum!C:C,A1467,Addendum!D:D,IF(ISNUMBER(B1467),TEXT(B1467,"0000"),B1467),Addendum!G:G,"X")&gt;0,7%,0)</f>
        <v>0</v>
      </c>
      <c r="L1467" s="31">
        <f>IF(COUNTIFS(Addendum!C:C,A1467,Addendum!D:D,IF(ISNUMBER(B1467),TEXT(B1467,"0000"),B1467),Addendum!I:I,"X")&gt;0,10%,0)</f>
        <v>0</v>
      </c>
      <c r="M1467" s="34">
        <f t="shared" si="44"/>
        <v>0</v>
      </c>
      <c r="N1467" s="17">
        <f t="shared" si="45"/>
        <v>25158042</v>
      </c>
    </row>
    <row r="1468" spans="1:14" ht="30" x14ac:dyDescent="0.25">
      <c r="A1468" s="14" t="s">
        <v>2225</v>
      </c>
      <c r="B1468" s="14">
        <v>9</v>
      </c>
      <c r="C1468" s="15" t="s">
        <v>2226</v>
      </c>
      <c r="D1468" s="14" t="s">
        <v>1749</v>
      </c>
      <c r="E1468" s="14" t="s">
        <v>1746</v>
      </c>
      <c r="F1468" s="17" t="s">
        <v>2995</v>
      </c>
      <c r="G1468" s="14">
        <v>599004</v>
      </c>
      <c r="H1468" s="14">
        <v>539103.6</v>
      </c>
      <c r="I1468" s="31">
        <f>IF(COUNTIFS(Addendum!C:C,A1468,Addendum!D:D,IF(ISNUMBER(B1468),TEXT(B1468,"0000"),B1468),Addendum!E:E,"X")&gt;0,4%,0)</f>
        <v>0</v>
      </c>
      <c r="J1468" s="31">
        <f>IF(COUNTIFS(Addendum!C:C,A1468,Addendum!D:D,IF(ISNUMBER(B1468),TEXT(B1468,"0000"),B1468),Addendum!F:F,"X")&gt;0,2.5%,0)</f>
        <v>0</v>
      </c>
      <c r="K1468" s="31">
        <f>IF(COUNTIFS(Addendum!C:C,A1468,Addendum!D:D,IF(ISNUMBER(B1468),TEXT(B1468,"0000"),B1468),Addendum!G:G,"X")&gt;0,7%,0)</f>
        <v>0</v>
      </c>
      <c r="L1468" s="31">
        <f>IF(COUNTIFS(Addendum!C:C,A1468,Addendum!D:D,IF(ISNUMBER(B1468),TEXT(B1468,"0000"),B1468),Addendum!I:I,"X")&gt;0,10%,0)</f>
        <v>0</v>
      </c>
      <c r="M1468" s="34">
        <f t="shared" si="44"/>
        <v>0</v>
      </c>
      <c r="N1468" s="17">
        <f t="shared" si="45"/>
        <v>539103.6</v>
      </c>
    </row>
    <row r="1469" spans="1:14" x14ac:dyDescent="0.25">
      <c r="A1469" s="14" t="s">
        <v>2225</v>
      </c>
      <c r="B1469" s="14">
        <v>1</v>
      </c>
      <c r="C1469" s="15" t="s">
        <v>2227</v>
      </c>
      <c r="D1469" s="14" t="s">
        <v>1745</v>
      </c>
      <c r="E1469" s="14" t="s">
        <v>1746</v>
      </c>
      <c r="F1469" s="17" t="s">
        <v>2993</v>
      </c>
      <c r="G1469" s="14">
        <v>12579021</v>
      </c>
      <c r="H1469" s="14">
        <v>8805315</v>
      </c>
      <c r="I1469" s="31">
        <f>IF(COUNTIFS(Addendum!C:C,A1469,Addendum!D:D,IF(ISNUMBER(B1469),TEXT(B1469,"0000"),B1469),Addendum!E:E,"X")&gt;0,4%,0)</f>
        <v>0</v>
      </c>
      <c r="J1469" s="31">
        <f>IF(COUNTIFS(Addendum!C:C,A1469,Addendum!D:D,IF(ISNUMBER(B1469),TEXT(B1469,"0000"),B1469),Addendum!F:F,"X")&gt;0,2.5%,0)</f>
        <v>0</v>
      </c>
      <c r="K1469" s="31">
        <f>IF(COUNTIFS(Addendum!C:C,A1469,Addendum!D:D,IF(ISNUMBER(B1469),TEXT(B1469,"0000"),B1469),Addendum!G:G,"X")&gt;0,7%,0)</f>
        <v>0</v>
      </c>
      <c r="L1469" s="31">
        <f>IF(COUNTIFS(Addendum!C:C,A1469,Addendum!D:D,IF(ISNUMBER(B1469),TEXT(B1469,"0000"),B1469),Addendum!I:I,"X")&gt;0,10%,0)</f>
        <v>0</v>
      </c>
      <c r="M1469" s="34">
        <f t="shared" si="44"/>
        <v>0</v>
      </c>
      <c r="N1469" s="17">
        <f t="shared" si="45"/>
        <v>8805315</v>
      </c>
    </row>
    <row r="1470" spans="1:14" ht="30" x14ac:dyDescent="0.25">
      <c r="A1470" s="14" t="s">
        <v>2225</v>
      </c>
      <c r="B1470" s="14">
        <v>8</v>
      </c>
      <c r="C1470" s="15" t="s">
        <v>2228</v>
      </c>
      <c r="D1470" s="14" t="s">
        <v>1745</v>
      </c>
      <c r="E1470" s="14" t="s">
        <v>1747</v>
      </c>
      <c r="F1470" s="17" t="s">
        <v>2994</v>
      </c>
      <c r="G1470" s="14">
        <v>6589020</v>
      </c>
      <c r="H1470" s="14">
        <v>4612314</v>
      </c>
      <c r="I1470" s="31">
        <f>IF(COUNTIFS(Addendum!C:C,A1470,Addendum!D:D,IF(ISNUMBER(B1470),TEXT(B1470,"0000"),B1470),Addendum!E:E,"X")&gt;0,4%,0)</f>
        <v>0</v>
      </c>
      <c r="J1470" s="31">
        <f>IF(COUNTIFS(Addendum!C:C,A1470,Addendum!D:D,IF(ISNUMBER(B1470),TEXT(B1470,"0000"),B1470),Addendum!F:F,"X")&gt;0,2.5%,0)</f>
        <v>0</v>
      </c>
      <c r="K1470" s="31">
        <f>IF(COUNTIFS(Addendum!C:C,A1470,Addendum!D:D,IF(ISNUMBER(B1470),TEXT(B1470,"0000"),B1470),Addendum!G:G,"X")&gt;0,7%,0)</f>
        <v>0</v>
      </c>
      <c r="L1470" s="31">
        <f>IF(COUNTIFS(Addendum!C:C,A1470,Addendum!D:D,IF(ISNUMBER(B1470),TEXT(B1470,"0000"),B1470),Addendum!I:I,"X")&gt;0,10%,0)</f>
        <v>0</v>
      </c>
      <c r="M1470" s="34">
        <f t="shared" si="44"/>
        <v>0</v>
      </c>
      <c r="N1470" s="17">
        <f t="shared" si="45"/>
        <v>4612314</v>
      </c>
    </row>
    <row r="1471" spans="1:14" ht="30" x14ac:dyDescent="0.25">
      <c r="A1471" s="14" t="s">
        <v>2225</v>
      </c>
      <c r="B1471" s="14">
        <v>9</v>
      </c>
      <c r="C1471" s="15" t="s">
        <v>2226</v>
      </c>
      <c r="D1471" s="14" t="s">
        <v>1745</v>
      </c>
      <c r="E1471" s="14" t="s">
        <v>1746</v>
      </c>
      <c r="F1471" s="17" t="s">
        <v>2995</v>
      </c>
      <c r="G1471" s="14">
        <v>6289542</v>
      </c>
      <c r="H1471" s="14">
        <v>5660588</v>
      </c>
      <c r="I1471" s="31">
        <f>IF(COUNTIFS(Addendum!C:C,A1471,Addendum!D:D,IF(ISNUMBER(B1471),TEXT(B1471,"0000"),B1471),Addendum!E:E,"X")&gt;0,4%,0)</f>
        <v>0</v>
      </c>
      <c r="J1471" s="31">
        <f>IF(COUNTIFS(Addendum!C:C,A1471,Addendum!D:D,IF(ISNUMBER(B1471),TEXT(B1471,"0000"),B1471),Addendum!F:F,"X")&gt;0,2.5%,0)</f>
        <v>0</v>
      </c>
      <c r="K1471" s="31">
        <f>IF(COUNTIFS(Addendum!C:C,A1471,Addendum!D:D,IF(ISNUMBER(B1471),TEXT(B1471,"0000"),B1471),Addendum!G:G,"X")&gt;0,7%,0)</f>
        <v>0</v>
      </c>
      <c r="L1471" s="31">
        <f>IF(COUNTIFS(Addendum!C:C,A1471,Addendum!D:D,IF(ISNUMBER(B1471),TEXT(B1471,"0000"),B1471),Addendum!I:I,"X")&gt;0,10%,0)</f>
        <v>0</v>
      </c>
      <c r="M1471" s="34">
        <f t="shared" si="44"/>
        <v>0</v>
      </c>
      <c r="N1471" s="17">
        <f t="shared" si="45"/>
        <v>5660588</v>
      </c>
    </row>
    <row r="1472" spans="1:14" ht="30" x14ac:dyDescent="0.25">
      <c r="A1472" s="14" t="s">
        <v>2225</v>
      </c>
      <c r="B1472" s="14">
        <v>8</v>
      </c>
      <c r="C1472" s="15" t="s">
        <v>2228</v>
      </c>
      <c r="D1472" s="14" t="s">
        <v>1749</v>
      </c>
      <c r="E1472" s="14" t="s">
        <v>1746</v>
      </c>
      <c r="F1472" s="17" t="s">
        <v>2994</v>
      </c>
      <c r="G1472" s="14">
        <v>658902</v>
      </c>
      <c r="H1472" s="14">
        <v>461231.4</v>
      </c>
      <c r="I1472" s="31">
        <f>IF(COUNTIFS(Addendum!C:C,A1472,Addendum!D:D,IF(ISNUMBER(B1472),TEXT(B1472,"0000"),B1472),Addendum!E:E,"X")&gt;0,4%,0)</f>
        <v>0</v>
      </c>
      <c r="J1472" s="31">
        <f>IF(COUNTIFS(Addendum!C:C,A1472,Addendum!D:D,IF(ISNUMBER(B1472),TEXT(B1472,"0000"),B1472),Addendum!F:F,"X")&gt;0,2.5%,0)</f>
        <v>0</v>
      </c>
      <c r="K1472" s="31">
        <f>IF(COUNTIFS(Addendum!C:C,A1472,Addendum!D:D,IF(ISNUMBER(B1472),TEXT(B1472,"0000"),B1472),Addendum!G:G,"X")&gt;0,7%,0)</f>
        <v>0</v>
      </c>
      <c r="L1472" s="31">
        <f>IF(COUNTIFS(Addendum!C:C,A1472,Addendum!D:D,IF(ISNUMBER(B1472),TEXT(B1472,"0000"),B1472),Addendum!I:I,"X")&gt;0,10%,0)</f>
        <v>0</v>
      </c>
      <c r="M1472" s="34">
        <f t="shared" si="44"/>
        <v>0</v>
      </c>
      <c r="N1472" s="17">
        <f t="shared" si="45"/>
        <v>461231.4</v>
      </c>
    </row>
    <row r="1473" spans="1:14" x14ac:dyDescent="0.25">
      <c r="A1473" s="14" t="s">
        <v>2229</v>
      </c>
      <c r="B1473" s="14" t="s">
        <v>55</v>
      </c>
      <c r="C1473" s="15" t="s">
        <v>2230</v>
      </c>
      <c r="D1473" s="14" t="s">
        <v>1749</v>
      </c>
      <c r="E1473" s="14" t="s">
        <v>1746</v>
      </c>
      <c r="F1473" s="17" t="s">
        <v>2994</v>
      </c>
      <c r="G1473" s="14">
        <v>2748</v>
      </c>
      <c r="H1473" s="14">
        <v>1923.6</v>
      </c>
      <c r="I1473" s="31">
        <f>IF(COUNTIFS(Addendum!C:C,A1473,Addendum!D:D,IF(ISNUMBER(B1473),TEXT(B1473,"0000"),B1473),Addendum!E:E,"X")&gt;0,4%,0)</f>
        <v>0</v>
      </c>
      <c r="J1473" s="31">
        <f>IF(COUNTIFS(Addendum!C:C,A1473,Addendum!D:D,IF(ISNUMBER(B1473),TEXT(B1473,"0000"),B1473),Addendum!F:F,"X")&gt;0,2.5%,0)</f>
        <v>0</v>
      </c>
      <c r="K1473" s="31">
        <f>IF(COUNTIFS(Addendum!C:C,A1473,Addendum!D:D,IF(ISNUMBER(B1473),TEXT(B1473,"0000"),B1473),Addendum!G:G,"X")&gt;0,7%,0)</f>
        <v>0</v>
      </c>
      <c r="L1473" s="31">
        <f>IF(COUNTIFS(Addendum!C:C,A1473,Addendum!D:D,IF(ISNUMBER(B1473),TEXT(B1473,"0000"),B1473),Addendum!I:I,"X")&gt;0,10%,0)</f>
        <v>0</v>
      </c>
      <c r="M1473" s="34">
        <f t="shared" si="44"/>
        <v>0</v>
      </c>
      <c r="N1473" s="17">
        <f t="shared" si="45"/>
        <v>1923.6</v>
      </c>
    </row>
    <row r="1474" spans="1:14" x14ac:dyDescent="0.25">
      <c r="A1474" s="14" t="s">
        <v>2229</v>
      </c>
      <c r="B1474" s="14" t="s">
        <v>89</v>
      </c>
      <c r="C1474" s="15" t="s">
        <v>2231</v>
      </c>
      <c r="D1474" s="14" t="s">
        <v>1745</v>
      </c>
      <c r="E1474" s="14" t="s">
        <v>1746</v>
      </c>
      <c r="F1474" s="17" t="s">
        <v>2995</v>
      </c>
      <c r="G1474" s="14">
        <v>13104</v>
      </c>
      <c r="H1474" s="14">
        <v>11793.6</v>
      </c>
      <c r="I1474" s="31">
        <f>IF(COUNTIFS(Addendum!C:C,A1474,Addendum!D:D,IF(ISNUMBER(B1474),TEXT(B1474,"0000"),B1474),Addendum!E:E,"X")&gt;0,4%,0)</f>
        <v>0</v>
      </c>
      <c r="J1474" s="31">
        <f>IF(COUNTIFS(Addendum!C:C,A1474,Addendum!D:D,IF(ISNUMBER(B1474),TEXT(B1474,"0000"),B1474),Addendum!F:F,"X")&gt;0,2.5%,0)</f>
        <v>0</v>
      </c>
      <c r="K1474" s="31">
        <f>IF(COUNTIFS(Addendum!C:C,A1474,Addendum!D:D,IF(ISNUMBER(B1474),TEXT(B1474,"0000"),B1474),Addendum!G:G,"X")&gt;0,7%,0)</f>
        <v>0</v>
      </c>
      <c r="L1474" s="31">
        <f>IF(COUNTIFS(Addendum!C:C,A1474,Addendum!D:D,IF(ISNUMBER(B1474),TEXT(B1474,"0000"),B1474),Addendum!I:I,"X")&gt;0,10%,0)</f>
        <v>0</v>
      </c>
      <c r="M1474" s="34">
        <f t="shared" si="44"/>
        <v>0</v>
      </c>
      <c r="N1474" s="17">
        <f t="shared" si="45"/>
        <v>11793.6</v>
      </c>
    </row>
    <row r="1475" spans="1:14" x14ac:dyDescent="0.25">
      <c r="A1475" s="14" t="s">
        <v>2229</v>
      </c>
      <c r="B1475" s="14">
        <v>1</v>
      </c>
      <c r="C1475" s="15" t="s">
        <v>2232</v>
      </c>
      <c r="D1475" s="14" t="s">
        <v>1745</v>
      </c>
      <c r="E1475" s="14" t="s">
        <v>1747</v>
      </c>
      <c r="F1475" s="17" t="s">
        <v>2993</v>
      </c>
      <c r="G1475" s="14">
        <v>49920</v>
      </c>
      <c r="H1475" s="14">
        <v>34944</v>
      </c>
      <c r="I1475" s="31">
        <f>IF(COUNTIFS(Addendum!C:C,A1475,Addendum!D:D,IF(ISNUMBER(B1475),TEXT(B1475,"0000"),B1475),Addendum!E:E,"X")&gt;0,4%,0)</f>
        <v>0</v>
      </c>
      <c r="J1475" s="31">
        <f>IF(COUNTIFS(Addendum!C:C,A1475,Addendum!D:D,IF(ISNUMBER(B1475),TEXT(B1475,"0000"),B1475),Addendum!F:F,"X")&gt;0,2.5%,0)</f>
        <v>0</v>
      </c>
      <c r="K1475" s="31">
        <f>IF(COUNTIFS(Addendum!C:C,A1475,Addendum!D:D,IF(ISNUMBER(B1475),TEXT(B1475,"0000"),B1475),Addendum!G:G,"X")&gt;0,7%,0)</f>
        <v>0</v>
      </c>
      <c r="L1475" s="31">
        <f>IF(COUNTIFS(Addendum!C:C,A1475,Addendum!D:D,IF(ISNUMBER(B1475),TEXT(B1475,"0000"),B1475),Addendum!I:I,"X")&gt;0,10%,0)</f>
        <v>0</v>
      </c>
      <c r="M1475" s="34">
        <f t="shared" si="44"/>
        <v>0</v>
      </c>
      <c r="N1475" s="17">
        <f t="shared" si="45"/>
        <v>34944</v>
      </c>
    </row>
    <row r="1476" spans="1:14" x14ac:dyDescent="0.25">
      <c r="A1476" s="14" t="s">
        <v>2229</v>
      </c>
      <c r="B1476" s="14" t="s">
        <v>73</v>
      </c>
      <c r="C1476" s="15" t="s">
        <v>2233</v>
      </c>
      <c r="D1476" s="14" t="s">
        <v>1749</v>
      </c>
      <c r="E1476" s="14" t="s">
        <v>1746</v>
      </c>
      <c r="F1476" s="17" t="s">
        <v>2994</v>
      </c>
      <c r="G1476" s="14">
        <v>1998</v>
      </c>
      <c r="H1476" s="14">
        <v>1398.6</v>
      </c>
      <c r="I1476" s="31">
        <f>IF(COUNTIFS(Addendum!C:C,A1476,Addendum!D:D,IF(ISNUMBER(B1476),TEXT(B1476,"0000"),B1476),Addendum!E:E,"X")&gt;0,4%,0)</f>
        <v>0</v>
      </c>
      <c r="J1476" s="31">
        <f>IF(COUNTIFS(Addendum!C:C,A1476,Addendum!D:D,IF(ISNUMBER(B1476),TEXT(B1476,"0000"),B1476),Addendum!F:F,"X")&gt;0,2.5%,0)</f>
        <v>0</v>
      </c>
      <c r="K1476" s="31">
        <f>IF(COUNTIFS(Addendum!C:C,A1476,Addendum!D:D,IF(ISNUMBER(B1476),TEXT(B1476,"0000"),B1476),Addendum!G:G,"X")&gt;0,7%,0)</f>
        <v>0</v>
      </c>
      <c r="L1476" s="31">
        <f>IF(COUNTIFS(Addendum!C:C,A1476,Addendum!D:D,IF(ISNUMBER(B1476),TEXT(B1476,"0000"),B1476),Addendum!I:I,"X")&gt;0,10%,0)</f>
        <v>0</v>
      </c>
      <c r="M1476" s="34">
        <f t="shared" ref="M1476:M1539" si="46">IF(AND(I1476=0%,J1476=0%,K1476=0%,L1476=0%),0%,
IF(OR(TRIM(E1476)="OneTime",TRIM(D1476)=""),0%,
IF(
OR(
TRIM(D1476)="P1M",
AND(TRIM(D1476)="P1Y",TRIM(E1476)="Monthly"),
AND(TRIM(D1476)="P3Y",TRIM(E1476)="Monthly")
),
IF(AND(I1476=4%,J1476=0%,K1476=0%,L1476=0%),1%,
IF(AND(I1476=4%,J1476=2.5%,K1476=0%,L1476=10%),2%,
IF(AND(I1476=4%,J1476=0%,K1476=7%,L1476=10%),3%,0%))),
IF(
OR(
AND(TRIM(D1476)="P1Y",TRIM(E1476)="Annual"),
AND(TRIM(D1476)="P3Y",TRIM(E1476)="Annual"),
AND(TRIM(D1476)="P3Y",TRIM(E1476)="Triennial")
),
IF(AND(I1476=4%,J1476=0%,K1476=0%,L1476=0%),3%,
IF(AND(I1476=4%,J1476=2.5%,K1476=0%,L1476=10%),10%,
IF(AND(I1476=4%,J1476=0%,K1476=7%,L1476=10%),14%,0%))),
0%
))))</f>
        <v>0</v>
      </c>
      <c r="N1476" s="17">
        <f t="shared" ref="N1476:N1539" si="47">H1476-(H1476*M1476)</f>
        <v>1398.6</v>
      </c>
    </row>
    <row r="1477" spans="1:14" x14ac:dyDescent="0.25">
      <c r="A1477" s="14" t="s">
        <v>2229</v>
      </c>
      <c r="B1477" s="14" t="s">
        <v>73</v>
      </c>
      <c r="C1477" s="15" t="s">
        <v>2233</v>
      </c>
      <c r="D1477" s="14" t="s">
        <v>1745</v>
      </c>
      <c r="E1477" s="14" t="s">
        <v>1747</v>
      </c>
      <c r="F1477" s="17" t="s">
        <v>2994</v>
      </c>
      <c r="G1477" s="14">
        <v>19980</v>
      </c>
      <c r="H1477" s="14">
        <v>13986</v>
      </c>
      <c r="I1477" s="31">
        <f>IF(COUNTIFS(Addendum!C:C,A1477,Addendum!D:D,IF(ISNUMBER(B1477),TEXT(B1477,"0000"),B1477),Addendum!E:E,"X")&gt;0,4%,0)</f>
        <v>0</v>
      </c>
      <c r="J1477" s="31">
        <f>IF(COUNTIFS(Addendum!C:C,A1477,Addendum!D:D,IF(ISNUMBER(B1477),TEXT(B1477,"0000"),B1477),Addendum!F:F,"X")&gt;0,2.5%,0)</f>
        <v>0</v>
      </c>
      <c r="K1477" s="31">
        <f>IF(COUNTIFS(Addendum!C:C,A1477,Addendum!D:D,IF(ISNUMBER(B1477),TEXT(B1477,"0000"),B1477),Addendum!G:G,"X")&gt;0,7%,0)</f>
        <v>0</v>
      </c>
      <c r="L1477" s="31">
        <f>IF(COUNTIFS(Addendum!C:C,A1477,Addendum!D:D,IF(ISNUMBER(B1477),TEXT(B1477,"0000"),B1477),Addendum!I:I,"X")&gt;0,10%,0)</f>
        <v>0</v>
      </c>
      <c r="M1477" s="34">
        <f t="shared" si="46"/>
        <v>0</v>
      </c>
      <c r="N1477" s="17">
        <f t="shared" si="47"/>
        <v>13986</v>
      </c>
    </row>
    <row r="1478" spans="1:14" x14ac:dyDescent="0.25">
      <c r="A1478" s="14" t="s">
        <v>2229</v>
      </c>
      <c r="B1478" s="14">
        <v>1</v>
      </c>
      <c r="C1478" s="15" t="s">
        <v>2232</v>
      </c>
      <c r="D1478" s="14" t="s">
        <v>1752</v>
      </c>
      <c r="E1478" s="14" t="s">
        <v>1747</v>
      </c>
      <c r="F1478" s="17" t="s">
        <v>2993</v>
      </c>
      <c r="G1478" s="14">
        <v>149760</v>
      </c>
      <c r="H1478" s="14">
        <v>104832</v>
      </c>
      <c r="I1478" s="31">
        <f>IF(COUNTIFS(Addendum!C:C,A1478,Addendum!D:D,IF(ISNUMBER(B1478),TEXT(B1478,"0000"),B1478),Addendum!E:E,"X")&gt;0,4%,0)</f>
        <v>0</v>
      </c>
      <c r="J1478" s="31">
        <f>IF(COUNTIFS(Addendum!C:C,A1478,Addendum!D:D,IF(ISNUMBER(B1478),TEXT(B1478,"0000"),B1478),Addendum!F:F,"X")&gt;0,2.5%,0)</f>
        <v>0</v>
      </c>
      <c r="K1478" s="31">
        <f>IF(COUNTIFS(Addendum!C:C,A1478,Addendum!D:D,IF(ISNUMBER(B1478),TEXT(B1478,"0000"),B1478),Addendum!G:G,"X")&gt;0,7%,0)</f>
        <v>0</v>
      </c>
      <c r="L1478" s="31">
        <f>IF(COUNTIFS(Addendum!C:C,A1478,Addendum!D:D,IF(ISNUMBER(B1478),TEXT(B1478,"0000"),B1478),Addendum!I:I,"X")&gt;0,10%,0)</f>
        <v>0</v>
      </c>
      <c r="M1478" s="34">
        <f t="shared" si="46"/>
        <v>0</v>
      </c>
      <c r="N1478" s="17">
        <f t="shared" si="47"/>
        <v>104832</v>
      </c>
    </row>
    <row r="1479" spans="1:14" x14ac:dyDescent="0.25">
      <c r="A1479" s="14" t="s">
        <v>2229</v>
      </c>
      <c r="B1479" s="14">
        <v>1</v>
      </c>
      <c r="C1479" s="15" t="s">
        <v>2232</v>
      </c>
      <c r="D1479" s="14" t="s">
        <v>1752</v>
      </c>
      <c r="E1479" s="14" t="s">
        <v>1753</v>
      </c>
      <c r="F1479" s="17" t="s">
        <v>2993</v>
      </c>
      <c r="G1479" s="14">
        <v>149760</v>
      </c>
      <c r="H1479" s="14">
        <v>104832</v>
      </c>
      <c r="I1479" s="31">
        <f>IF(COUNTIFS(Addendum!C:C,A1479,Addendum!D:D,IF(ISNUMBER(B1479),TEXT(B1479,"0000"),B1479),Addendum!E:E,"X")&gt;0,4%,0)</f>
        <v>0</v>
      </c>
      <c r="J1479" s="31">
        <f>IF(COUNTIFS(Addendum!C:C,A1479,Addendum!D:D,IF(ISNUMBER(B1479),TEXT(B1479,"0000"),B1479),Addendum!F:F,"X")&gt;0,2.5%,0)</f>
        <v>0</v>
      </c>
      <c r="K1479" s="31">
        <f>IF(COUNTIFS(Addendum!C:C,A1479,Addendum!D:D,IF(ISNUMBER(B1479),TEXT(B1479,"0000"),B1479),Addendum!G:G,"X")&gt;0,7%,0)</f>
        <v>0</v>
      </c>
      <c r="L1479" s="31">
        <f>IF(COUNTIFS(Addendum!C:C,A1479,Addendum!D:D,IF(ISNUMBER(B1479),TEXT(B1479,"0000"),B1479),Addendum!I:I,"X")&gt;0,10%,0)</f>
        <v>0</v>
      </c>
      <c r="M1479" s="34">
        <f t="shared" si="46"/>
        <v>0</v>
      </c>
      <c r="N1479" s="17">
        <f t="shared" si="47"/>
        <v>104832</v>
      </c>
    </row>
    <row r="1480" spans="1:14" x14ac:dyDescent="0.25">
      <c r="A1480" s="14" t="s">
        <v>2229</v>
      </c>
      <c r="B1480" s="14">
        <v>1</v>
      </c>
      <c r="C1480" s="15" t="s">
        <v>2232</v>
      </c>
      <c r="D1480" s="14" t="s">
        <v>1745</v>
      </c>
      <c r="E1480" s="14" t="s">
        <v>1746</v>
      </c>
      <c r="F1480" s="17" t="s">
        <v>2993</v>
      </c>
      <c r="G1480" s="14">
        <v>52416</v>
      </c>
      <c r="H1480" s="14">
        <v>36691.199999999997</v>
      </c>
      <c r="I1480" s="31">
        <f>IF(COUNTIFS(Addendum!C:C,A1480,Addendum!D:D,IF(ISNUMBER(B1480),TEXT(B1480,"0000"),B1480),Addendum!E:E,"X")&gt;0,4%,0)</f>
        <v>0</v>
      </c>
      <c r="J1480" s="31">
        <f>IF(COUNTIFS(Addendum!C:C,A1480,Addendum!D:D,IF(ISNUMBER(B1480),TEXT(B1480,"0000"),B1480),Addendum!F:F,"X")&gt;0,2.5%,0)</f>
        <v>0</v>
      </c>
      <c r="K1480" s="31">
        <f>IF(COUNTIFS(Addendum!C:C,A1480,Addendum!D:D,IF(ISNUMBER(B1480),TEXT(B1480,"0000"),B1480),Addendum!G:G,"X")&gt;0,7%,0)</f>
        <v>0</v>
      </c>
      <c r="L1480" s="31">
        <f>IF(COUNTIFS(Addendum!C:C,A1480,Addendum!D:D,IF(ISNUMBER(B1480),TEXT(B1480,"0000"),B1480),Addendum!I:I,"X")&gt;0,10%,0)</f>
        <v>0</v>
      </c>
      <c r="M1480" s="34">
        <f t="shared" si="46"/>
        <v>0</v>
      </c>
      <c r="N1480" s="17">
        <f t="shared" si="47"/>
        <v>36691.199999999997</v>
      </c>
    </row>
    <row r="1481" spans="1:14" x14ac:dyDescent="0.25">
      <c r="A1481" s="14" t="s">
        <v>2229</v>
      </c>
      <c r="B1481" s="14" t="s">
        <v>89</v>
      </c>
      <c r="C1481" s="15" t="s">
        <v>2231</v>
      </c>
      <c r="D1481" s="14" t="s">
        <v>1749</v>
      </c>
      <c r="E1481" s="14" t="s">
        <v>1746</v>
      </c>
      <c r="F1481" s="17" t="s">
        <v>2995</v>
      </c>
      <c r="G1481" s="14">
        <v>1248</v>
      </c>
      <c r="H1481" s="14">
        <v>1123.2</v>
      </c>
      <c r="I1481" s="31">
        <f>IF(COUNTIFS(Addendum!C:C,A1481,Addendum!D:D,IF(ISNUMBER(B1481),TEXT(B1481,"0000"),B1481),Addendum!E:E,"X")&gt;0,4%,0)</f>
        <v>0</v>
      </c>
      <c r="J1481" s="31">
        <f>IF(COUNTIFS(Addendum!C:C,A1481,Addendum!D:D,IF(ISNUMBER(B1481),TEXT(B1481,"0000"),B1481),Addendum!F:F,"X")&gt;0,2.5%,0)</f>
        <v>0</v>
      </c>
      <c r="K1481" s="31">
        <f>IF(COUNTIFS(Addendum!C:C,A1481,Addendum!D:D,IF(ISNUMBER(B1481),TEXT(B1481,"0000"),B1481),Addendum!G:G,"X")&gt;0,7%,0)</f>
        <v>0</v>
      </c>
      <c r="L1481" s="31">
        <f>IF(COUNTIFS(Addendum!C:C,A1481,Addendum!D:D,IF(ISNUMBER(B1481),TEXT(B1481,"0000"),B1481),Addendum!I:I,"X")&gt;0,10%,0)</f>
        <v>0</v>
      </c>
      <c r="M1481" s="34">
        <f t="shared" si="46"/>
        <v>0</v>
      </c>
      <c r="N1481" s="17">
        <f t="shared" si="47"/>
        <v>1123.2</v>
      </c>
    </row>
    <row r="1482" spans="1:14" x14ac:dyDescent="0.25">
      <c r="A1482" s="14" t="s">
        <v>2229</v>
      </c>
      <c r="B1482" s="14" t="s">
        <v>89</v>
      </c>
      <c r="C1482" s="15" t="s">
        <v>2231</v>
      </c>
      <c r="D1482" s="14" t="s">
        <v>1752</v>
      </c>
      <c r="E1482" s="14" t="s">
        <v>1747</v>
      </c>
      <c r="F1482" s="17" t="s">
        <v>2995</v>
      </c>
      <c r="G1482" s="14">
        <v>37440</v>
      </c>
      <c r="H1482" s="14">
        <v>33696</v>
      </c>
      <c r="I1482" s="31">
        <f>IF(COUNTIFS(Addendum!C:C,A1482,Addendum!D:D,IF(ISNUMBER(B1482),TEXT(B1482,"0000"),B1482),Addendum!E:E,"X")&gt;0,4%,0)</f>
        <v>0</v>
      </c>
      <c r="J1482" s="31">
        <f>IF(COUNTIFS(Addendum!C:C,A1482,Addendum!D:D,IF(ISNUMBER(B1482),TEXT(B1482,"0000"),B1482),Addendum!F:F,"X")&gt;0,2.5%,0)</f>
        <v>0</v>
      </c>
      <c r="K1482" s="31">
        <f>IF(COUNTIFS(Addendum!C:C,A1482,Addendum!D:D,IF(ISNUMBER(B1482),TEXT(B1482,"0000"),B1482),Addendum!G:G,"X")&gt;0,7%,0)</f>
        <v>0</v>
      </c>
      <c r="L1482" s="31">
        <f>IF(COUNTIFS(Addendum!C:C,A1482,Addendum!D:D,IF(ISNUMBER(B1482),TEXT(B1482,"0000"),B1482),Addendum!I:I,"X")&gt;0,10%,0)</f>
        <v>0</v>
      </c>
      <c r="M1482" s="34">
        <f t="shared" si="46"/>
        <v>0</v>
      </c>
      <c r="N1482" s="17">
        <f t="shared" si="47"/>
        <v>33696</v>
      </c>
    </row>
    <row r="1483" spans="1:14" x14ac:dyDescent="0.25">
      <c r="A1483" s="14" t="s">
        <v>2229</v>
      </c>
      <c r="B1483" s="14">
        <v>1</v>
      </c>
      <c r="C1483" s="15" t="s">
        <v>2232</v>
      </c>
      <c r="D1483" s="14" t="s">
        <v>1749</v>
      </c>
      <c r="E1483" s="14" t="s">
        <v>1746</v>
      </c>
      <c r="F1483" s="17" t="s">
        <v>2993</v>
      </c>
      <c r="G1483" s="14">
        <v>4992</v>
      </c>
      <c r="H1483" s="14">
        <v>3494.4</v>
      </c>
      <c r="I1483" s="31">
        <f>IF(COUNTIFS(Addendum!C:C,A1483,Addendum!D:D,IF(ISNUMBER(B1483),TEXT(B1483,"0000"),B1483),Addendum!E:E,"X")&gt;0,4%,0)</f>
        <v>0</v>
      </c>
      <c r="J1483" s="31">
        <f>IF(COUNTIFS(Addendum!C:C,A1483,Addendum!D:D,IF(ISNUMBER(B1483),TEXT(B1483,"0000"),B1483),Addendum!F:F,"X")&gt;0,2.5%,0)</f>
        <v>0</v>
      </c>
      <c r="K1483" s="31">
        <f>IF(COUNTIFS(Addendum!C:C,A1483,Addendum!D:D,IF(ISNUMBER(B1483),TEXT(B1483,"0000"),B1483),Addendum!G:G,"X")&gt;0,7%,0)</f>
        <v>0</v>
      </c>
      <c r="L1483" s="31">
        <f>IF(COUNTIFS(Addendum!C:C,A1483,Addendum!D:D,IF(ISNUMBER(B1483),TEXT(B1483,"0000"),B1483),Addendum!I:I,"X")&gt;0,10%,0)</f>
        <v>0</v>
      </c>
      <c r="M1483" s="34">
        <f t="shared" si="46"/>
        <v>0</v>
      </c>
      <c r="N1483" s="17">
        <f t="shared" si="47"/>
        <v>3494.4</v>
      </c>
    </row>
    <row r="1484" spans="1:14" x14ac:dyDescent="0.25">
      <c r="A1484" s="14" t="s">
        <v>2229</v>
      </c>
      <c r="B1484" s="14" t="s">
        <v>73</v>
      </c>
      <c r="C1484" s="15" t="s">
        <v>2233</v>
      </c>
      <c r="D1484" s="14" t="s">
        <v>1745</v>
      </c>
      <c r="E1484" s="14" t="s">
        <v>1746</v>
      </c>
      <c r="F1484" s="17" t="s">
        <v>2994</v>
      </c>
      <c r="G1484" s="14">
        <v>20979</v>
      </c>
      <c r="H1484" s="14">
        <v>14685.36</v>
      </c>
      <c r="I1484" s="31">
        <f>IF(COUNTIFS(Addendum!C:C,A1484,Addendum!D:D,IF(ISNUMBER(B1484),TEXT(B1484,"0000"),B1484),Addendum!E:E,"X")&gt;0,4%,0)</f>
        <v>0</v>
      </c>
      <c r="J1484" s="31">
        <f>IF(COUNTIFS(Addendum!C:C,A1484,Addendum!D:D,IF(ISNUMBER(B1484),TEXT(B1484,"0000"),B1484),Addendum!F:F,"X")&gt;0,2.5%,0)</f>
        <v>0</v>
      </c>
      <c r="K1484" s="31">
        <f>IF(COUNTIFS(Addendum!C:C,A1484,Addendum!D:D,IF(ISNUMBER(B1484),TEXT(B1484,"0000"),B1484),Addendum!G:G,"X")&gt;0,7%,0)</f>
        <v>0</v>
      </c>
      <c r="L1484" s="31">
        <f>IF(COUNTIFS(Addendum!C:C,A1484,Addendum!D:D,IF(ISNUMBER(B1484),TEXT(B1484,"0000"),B1484),Addendum!I:I,"X")&gt;0,10%,0)</f>
        <v>0</v>
      </c>
      <c r="M1484" s="34">
        <f t="shared" si="46"/>
        <v>0</v>
      </c>
      <c r="N1484" s="17">
        <f t="shared" si="47"/>
        <v>14685.36</v>
      </c>
    </row>
    <row r="1485" spans="1:14" x14ac:dyDescent="0.25">
      <c r="A1485" s="14" t="s">
        <v>2229</v>
      </c>
      <c r="B1485" s="14" t="s">
        <v>89</v>
      </c>
      <c r="C1485" s="15" t="s">
        <v>2231</v>
      </c>
      <c r="D1485" s="14" t="s">
        <v>1745</v>
      </c>
      <c r="E1485" s="14" t="s">
        <v>1747</v>
      </c>
      <c r="F1485" s="17" t="s">
        <v>2995</v>
      </c>
      <c r="G1485" s="14">
        <v>12480</v>
      </c>
      <c r="H1485" s="14">
        <v>11232</v>
      </c>
      <c r="I1485" s="31">
        <f>IF(COUNTIFS(Addendum!C:C,A1485,Addendum!D:D,IF(ISNUMBER(B1485),TEXT(B1485,"0000"),B1485),Addendum!E:E,"X")&gt;0,4%,0)</f>
        <v>0</v>
      </c>
      <c r="J1485" s="31">
        <f>IF(COUNTIFS(Addendum!C:C,A1485,Addendum!D:D,IF(ISNUMBER(B1485),TEXT(B1485,"0000"),B1485),Addendum!F:F,"X")&gt;0,2.5%,0)</f>
        <v>0</v>
      </c>
      <c r="K1485" s="31">
        <f>IF(COUNTIFS(Addendum!C:C,A1485,Addendum!D:D,IF(ISNUMBER(B1485),TEXT(B1485,"0000"),B1485),Addendum!G:G,"X")&gt;0,7%,0)</f>
        <v>0</v>
      </c>
      <c r="L1485" s="31">
        <f>IF(COUNTIFS(Addendum!C:C,A1485,Addendum!D:D,IF(ISNUMBER(B1485),TEXT(B1485,"0000"),B1485),Addendum!I:I,"X")&gt;0,10%,0)</f>
        <v>0</v>
      </c>
      <c r="M1485" s="34">
        <f t="shared" si="46"/>
        <v>0</v>
      </c>
      <c r="N1485" s="17">
        <f t="shared" si="47"/>
        <v>11232</v>
      </c>
    </row>
    <row r="1486" spans="1:14" x14ac:dyDescent="0.25">
      <c r="A1486" s="14" t="s">
        <v>2229</v>
      </c>
      <c r="B1486" s="14" t="s">
        <v>89</v>
      </c>
      <c r="C1486" s="15" t="s">
        <v>2231</v>
      </c>
      <c r="D1486" s="14" t="s">
        <v>1752</v>
      </c>
      <c r="E1486" s="14" t="s">
        <v>1746</v>
      </c>
      <c r="F1486" s="17" t="s">
        <v>2995</v>
      </c>
      <c r="G1486" s="14">
        <v>39312</v>
      </c>
      <c r="H1486" s="14">
        <v>35380.800000000003</v>
      </c>
      <c r="I1486" s="31">
        <f>IF(COUNTIFS(Addendum!C:C,A1486,Addendum!D:D,IF(ISNUMBER(B1486),TEXT(B1486,"0000"),B1486),Addendum!E:E,"X")&gt;0,4%,0)</f>
        <v>0</v>
      </c>
      <c r="J1486" s="31">
        <f>IF(COUNTIFS(Addendum!C:C,A1486,Addendum!D:D,IF(ISNUMBER(B1486),TEXT(B1486,"0000"),B1486),Addendum!F:F,"X")&gt;0,2.5%,0)</f>
        <v>0</v>
      </c>
      <c r="K1486" s="31">
        <f>IF(COUNTIFS(Addendum!C:C,A1486,Addendum!D:D,IF(ISNUMBER(B1486),TEXT(B1486,"0000"),B1486),Addendum!G:G,"X")&gt;0,7%,0)</f>
        <v>0</v>
      </c>
      <c r="L1486" s="31">
        <f>IF(COUNTIFS(Addendum!C:C,A1486,Addendum!D:D,IF(ISNUMBER(B1486),TEXT(B1486,"0000"),B1486),Addendum!I:I,"X")&gt;0,10%,0)</f>
        <v>0</v>
      </c>
      <c r="M1486" s="34">
        <f t="shared" si="46"/>
        <v>0</v>
      </c>
      <c r="N1486" s="17">
        <f t="shared" si="47"/>
        <v>35380.800000000003</v>
      </c>
    </row>
    <row r="1487" spans="1:14" x14ac:dyDescent="0.25">
      <c r="A1487" s="14" t="s">
        <v>2229</v>
      </c>
      <c r="B1487" s="14">
        <v>1</v>
      </c>
      <c r="C1487" s="15" t="s">
        <v>2232</v>
      </c>
      <c r="D1487" s="14" t="s">
        <v>1752</v>
      </c>
      <c r="E1487" s="14" t="s">
        <v>1746</v>
      </c>
      <c r="F1487" s="17" t="s">
        <v>2993</v>
      </c>
      <c r="G1487" s="14">
        <v>157248</v>
      </c>
      <c r="H1487" s="14">
        <v>110073.60000000001</v>
      </c>
      <c r="I1487" s="31">
        <f>IF(COUNTIFS(Addendum!C:C,A1487,Addendum!D:D,IF(ISNUMBER(B1487),TEXT(B1487,"0000"),B1487),Addendum!E:E,"X")&gt;0,4%,0)</f>
        <v>0</v>
      </c>
      <c r="J1487" s="31">
        <f>IF(COUNTIFS(Addendum!C:C,A1487,Addendum!D:D,IF(ISNUMBER(B1487),TEXT(B1487,"0000"),B1487),Addendum!F:F,"X")&gt;0,2.5%,0)</f>
        <v>0</v>
      </c>
      <c r="K1487" s="31">
        <f>IF(COUNTIFS(Addendum!C:C,A1487,Addendum!D:D,IF(ISNUMBER(B1487),TEXT(B1487,"0000"),B1487),Addendum!G:G,"X")&gt;0,7%,0)</f>
        <v>0</v>
      </c>
      <c r="L1487" s="31">
        <f>IF(COUNTIFS(Addendum!C:C,A1487,Addendum!D:D,IF(ISNUMBER(B1487),TEXT(B1487,"0000"),B1487),Addendum!I:I,"X")&gt;0,10%,0)</f>
        <v>0</v>
      </c>
      <c r="M1487" s="34">
        <f t="shared" si="46"/>
        <v>0</v>
      </c>
      <c r="N1487" s="17">
        <f t="shared" si="47"/>
        <v>110073.60000000001</v>
      </c>
    </row>
    <row r="1488" spans="1:14" x14ac:dyDescent="0.25">
      <c r="A1488" s="14" t="s">
        <v>2229</v>
      </c>
      <c r="B1488" s="14" t="s">
        <v>55</v>
      </c>
      <c r="C1488" s="15" t="s">
        <v>2230</v>
      </c>
      <c r="D1488" s="14" t="s">
        <v>1745</v>
      </c>
      <c r="E1488" s="14" t="s">
        <v>1747</v>
      </c>
      <c r="F1488" s="17" t="s">
        <v>2994</v>
      </c>
      <c r="G1488" s="14">
        <v>27480</v>
      </c>
      <c r="H1488" s="14">
        <v>19236</v>
      </c>
      <c r="I1488" s="31">
        <f>IF(COUNTIFS(Addendum!C:C,A1488,Addendum!D:D,IF(ISNUMBER(B1488),TEXT(B1488,"0000"),B1488),Addendum!E:E,"X")&gt;0,4%,0)</f>
        <v>0</v>
      </c>
      <c r="J1488" s="31">
        <f>IF(COUNTIFS(Addendum!C:C,A1488,Addendum!D:D,IF(ISNUMBER(B1488),TEXT(B1488,"0000"),B1488),Addendum!F:F,"X")&gt;0,2.5%,0)</f>
        <v>0</v>
      </c>
      <c r="K1488" s="31">
        <f>IF(COUNTIFS(Addendum!C:C,A1488,Addendum!D:D,IF(ISNUMBER(B1488),TEXT(B1488,"0000"),B1488),Addendum!G:G,"X")&gt;0,7%,0)</f>
        <v>0</v>
      </c>
      <c r="L1488" s="31">
        <f>IF(COUNTIFS(Addendum!C:C,A1488,Addendum!D:D,IF(ISNUMBER(B1488),TEXT(B1488,"0000"),B1488),Addendum!I:I,"X")&gt;0,10%,0)</f>
        <v>0</v>
      </c>
      <c r="M1488" s="34">
        <f t="shared" si="46"/>
        <v>0</v>
      </c>
      <c r="N1488" s="17">
        <f t="shared" si="47"/>
        <v>19236</v>
      </c>
    </row>
    <row r="1489" spans="1:14" x14ac:dyDescent="0.25">
      <c r="A1489" s="14" t="s">
        <v>2229</v>
      </c>
      <c r="B1489" s="14" t="s">
        <v>55</v>
      </c>
      <c r="C1489" s="15" t="s">
        <v>2230</v>
      </c>
      <c r="D1489" s="14" t="s">
        <v>1745</v>
      </c>
      <c r="E1489" s="14" t="s">
        <v>1746</v>
      </c>
      <c r="F1489" s="17" t="s">
        <v>2994</v>
      </c>
      <c r="G1489" s="14">
        <v>28854</v>
      </c>
      <c r="H1489" s="14">
        <v>20197.8</v>
      </c>
      <c r="I1489" s="31">
        <f>IF(COUNTIFS(Addendum!C:C,A1489,Addendum!D:D,IF(ISNUMBER(B1489),TEXT(B1489,"0000"),B1489),Addendum!E:E,"X")&gt;0,4%,0)</f>
        <v>0</v>
      </c>
      <c r="J1489" s="31">
        <f>IF(COUNTIFS(Addendum!C:C,A1489,Addendum!D:D,IF(ISNUMBER(B1489),TEXT(B1489,"0000"),B1489),Addendum!F:F,"X")&gt;0,2.5%,0)</f>
        <v>0</v>
      </c>
      <c r="K1489" s="31">
        <f>IF(COUNTIFS(Addendum!C:C,A1489,Addendum!D:D,IF(ISNUMBER(B1489),TEXT(B1489,"0000"),B1489),Addendum!G:G,"X")&gt;0,7%,0)</f>
        <v>0</v>
      </c>
      <c r="L1489" s="31">
        <f>IF(COUNTIFS(Addendum!C:C,A1489,Addendum!D:D,IF(ISNUMBER(B1489),TEXT(B1489,"0000"),B1489),Addendum!I:I,"X")&gt;0,10%,0)</f>
        <v>0</v>
      </c>
      <c r="M1489" s="34">
        <f t="shared" si="46"/>
        <v>0</v>
      </c>
      <c r="N1489" s="17">
        <f t="shared" si="47"/>
        <v>20197.8</v>
      </c>
    </row>
    <row r="1490" spans="1:14" x14ac:dyDescent="0.25">
      <c r="A1490" s="14" t="s">
        <v>2234</v>
      </c>
      <c r="B1490" s="14" t="s">
        <v>20</v>
      </c>
      <c r="C1490" s="15" t="s">
        <v>2235</v>
      </c>
      <c r="D1490" s="14" t="s">
        <v>1749</v>
      </c>
      <c r="E1490" s="14" t="s">
        <v>1746</v>
      </c>
      <c r="F1490" s="17" t="s">
        <v>2994</v>
      </c>
      <c r="G1490" s="14">
        <v>4668</v>
      </c>
      <c r="H1490" s="14">
        <v>3267.6</v>
      </c>
      <c r="I1490" s="31">
        <f>IF(COUNTIFS(Addendum!C:C,A1490,Addendum!D:D,IF(ISNUMBER(B1490),TEXT(B1490,"0000"),B1490),Addendum!E:E,"X")&gt;0,4%,0)</f>
        <v>0</v>
      </c>
      <c r="J1490" s="31">
        <f>IF(COUNTIFS(Addendum!C:C,A1490,Addendum!D:D,IF(ISNUMBER(B1490),TEXT(B1490,"0000"),B1490),Addendum!F:F,"X")&gt;0,2.5%,0)</f>
        <v>0</v>
      </c>
      <c r="K1490" s="31">
        <f>IF(COUNTIFS(Addendum!C:C,A1490,Addendum!D:D,IF(ISNUMBER(B1490),TEXT(B1490,"0000"),B1490),Addendum!G:G,"X")&gt;0,7%,0)</f>
        <v>0</v>
      </c>
      <c r="L1490" s="31">
        <f>IF(COUNTIFS(Addendum!C:C,A1490,Addendum!D:D,IF(ISNUMBER(B1490),TEXT(B1490,"0000"),B1490),Addendum!I:I,"X")&gt;0,10%,0)</f>
        <v>0</v>
      </c>
      <c r="M1490" s="34">
        <f t="shared" si="46"/>
        <v>0</v>
      </c>
      <c r="N1490" s="17">
        <f t="shared" si="47"/>
        <v>3267.6</v>
      </c>
    </row>
    <row r="1491" spans="1:14" x14ac:dyDescent="0.25">
      <c r="A1491" s="14" t="s">
        <v>2234</v>
      </c>
      <c r="B1491" s="14">
        <v>1</v>
      </c>
      <c r="C1491" s="15" t="s">
        <v>2236</v>
      </c>
      <c r="D1491" s="14" t="s">
        <v>1749</v>
      </c>
      <c r="E1491" s="14" t="s">
        <v>1746</v>
      </c>
      <c r="F1491" s="17" t="s">
        <v>2993</v>
      </c>
      <c r="G1491" s="14">
        <v>8484</v>
      </c>
      <c r="H1491" s="14">
        <v>5938.8</v>
      </c>
      <c r="I1491" s="31">
        <f>IF(COUNTIFS(Addendum!C:C,A1491,Addendum!D:D,IF(ISNUMBER(B1491),TEXT(B1491,"0000"),B1491),Addendum!E:E,"X")&gt;0,4%,0)</f>
        <v>0</v>
      </c>
      <c r="J1491" s="31">
        <f>IF(COUNTIFS(Addendum!C:C,A1491,Addendum!D:D,IF(ISNUMBER(B1491),TEXT(B1491,"0000"),B1491),Addendum!F:F,"X")&gt;0,2.5%,0)</f>
        <v>0</v>
      </c>
      <c r="K1491" s="31">
        <f>IF(COUNTIFS(Addendum!C:C,A1491,Addendum!D:D,IF(ISNUMBER(B1491),TEXT(B1491,"0000"),B1491),Addendum!G:G,"X")&gt;0,7%,0)</f>
        <v>0</v>
      </c>
      <c r="L1491" s="31">
        <f>IF(COUNTIFS(Addendum!C:C,A1491,Addendum!D:D,IF(ISNUMBER(B1491),TEXT(B1491,"0000"),B1491),Addendum!I:I,"X")&gt;0,10%,0)</f>
        <v>0</v>
      </c>
      <c r="M1491" s="34">
        <f t="shared" si="46"/>
        <v>0</v>
      </c>
      <c r="N1491" s="17">
        <f t="shared" si="47"/>
        <v>5938.8</v>
      </c>
    </row>
    <row r="1492" spans="1:14" x14ac:dyDescent="0.25">
      <c r="A1492" s="14" t="s">
        <v>2234</v>
      </c>
      <c r="B1492" s="14">
        <v>1</v>
      </c>
      <c r="C1492" s="15" t="s">
        <v>2236</v>
      </c>
      <c r="D1492" s="14" t="s">
        <v>1745</v>
      </c>
      <c r="E1492" s="14" t="s">
        <v>1747</v>
      </c>
      <c r="F1492" s="17" t="s">
        <v>2993</v>
      </c>
      <c r="G1492" s="14">
        <v>84840</v>
      </c>
      <c r="H1492" s="14">
        <v>59388</v>
      </c>
      <c r="I1492" s="31">
        <f>IF(COUNTIFS(Addendum!C:C,A1492,Addendum!D:D,IF(ISNUMBER(B1492),TEXT(B1492,"0000"),B1492),Addendum!E:E,"X")&gt;0,4%,0)</f>
        <v>0</v>
      </c>
      <c r="J1492" s="31">
        <f>IF(COUNTIFS(Addendum!C:C,A1492,Addendum!D:D,IF(ISNUMBER(B1492),TEXT(B1492,"0000"),B1492),Addendum!F:F,"X")&gt;0,2.5%,0)</f>
        <v>0</v>
      </c>
      <c r="K1492" s="31">
        <f>IF(COUNTIFS(Addendum!C:C,A1492,Addendum!D:D,IF(ISNUMBER(B1492),TEXT(B1492,"0000"),B1492),Addendum!G:G,"X")&gt;0,7%,0)</f>
        <v>0</v>
      </c>
      <c r="L1492" s="31">
        <f>IF(COUNTIFS(Addendum!C:C,A1492,Addendum!D:D,IF(ISNUMBER(B1492),TEXT(B1492,"0000"),B1492),Addendum!I:I,"X")&gt;0,10%,0)</f>
        <v>0</v>
      </c>
      <c r="M1492" s="34">
        <f t="shared" si="46"/>
        <v>0</v>
      </c>
      <c r="N1492" s="17">
        <f t="shared" si="47"/>
        <v>59388</v>
      </c>
    </row>
    <row r="1493" spans="1:14" x14ac:dyDescent="0.25">
      <c r="A1493" s="14" t="s">
        <v>2234</v>
      </c>
      <c r="B1493" s="14" t="s">
        <v>20</v>
      </c>
      <c r="C1493" s="15" t="s">
        <v>2235</v>
      </c>
      <c r="D1493" s="14" t="s">
        <v>1745</v>
      </c>
      <c r="E1493" s="14" t="s">
        <v>1746</v>
      </c>
      <c r="F1493" s="17" t="s">
        <v>2994</v>
      </c>
      <c r="G1493" s="14">
        <v>49014</v>
      </c>
      <c r="H1493" s="14">
        <v>34309.800000000003</v>
      </c>
      <c r="I1493" s="31">
        <f>IF(COUNTIFS(Addendum!C:C,A1493,Addendum!D:D,IF(ISNUMBER(B1493),TEXT(B1493,"0000"),B1493),Addendum!E:E,"X")&gt;0,4%,0)</f>
        <v>0</v>
      </c>
      <c r="J1493" s="31">
        <f>IF(COUNTIFS(Addendum!C:C,A1493,Addendum!D:D,IF(ISNUMBER(B1493),TEXT(B1493,"0000"),B1493),Addendum!F:F,"X")&gt;0,2.5%,0)</f>
        <v>0</v>
      </c>
      <c r="K1493" s="31">
        <f>IF(COUNTIFS(Addendum!C:C,A1493,Addendum!D:D,IF(ISNUMBER(B1493),TEXT(B1493,"0000"),B1493),Addendum!G:G,"X")&gt;0,7%,0)</f>
        <v>0</v>
      </c>
      <c r="L1493" s="31">
        <f>IF(COUNTIFS(Addendum!C:C,A1493,Addendum!D:D,IF(ISNUMBER(B1493),TEXT(B1493,"0000"),B1493),Addendum!I:I,"X")&gt;0,10%,0)</f>
        <v>0</v>
      </c>
      <c r="M1493" s="34">
        <f t="shared" si="46"/>
        <v>0</v>
      </c>
      <c r="N1493" s="17">
        <f t="shared" si="47"/>
        <v>34309.800000000003</v>
      </c>
    </row>
    <row r="1494" spans="1:14" x14ac:dyDescent="0.25">
      <c r="A1494" s="14" t="s">
        <v>2234</v>
      </c>
      <c r="B1494" s="14">
        <v>9</v>
      </c>
      <c r="C1494" s="15" t="s">
        <v>2237</v>
      </c>
      <c r="D1494" s="14" t="s">
        <v>1752</v>
      </c>
      <c r="E1494" s="14" t="s">
        <v>1746</v>
      </c>
      <c r="F1494" s="17" t="s">
        <v>2995</v>
      </c>
      <c r="G1494" s="14">
        <v>66906</v>
      </c>
      <c r="H1494" s="14">
        <v>60215.4</v>
      </c>
      <c r="I1494" s="31">
        <f>IF(COUNTIFS(Addendum!C:C,A1494,Addendum!D:D,IF(ISNUMBER(B1494),TEXT(B1494,"0000"),B1494),Addendum!E:E,"X")&gt;0,4%,0)</f>
        <v>0</v>
      </c>
      <c r="J1494" s="31">
        <f>IF(COUNTIFS(Addendum!C:C,A1494,Addendum!D:D,IF(ISNUMBER(B1494),TEXT(B1494,"0000"),B1494),Addendum!F:F,"X")&gt;0,2.5%,0)</f>
        <v>0</v>
      </c>
      <c r="K1494" s="31">
        <f>IF(COUNTIFS(Addendum!C:C,A1494,Addendum!D:D,IF(ISNUMBER(B1494),TEXT(B1494,"0000"),B1494),Addendum!G:G,"X")&gt;0,7%,0)</f>
        <v>0</v>
      </c>
      <c r="L1494" s="31">
        <f>IF(COUNTIFS(Addendum!C:C,A1494,Addendum!D:D,IF(ISNUMBER(B1494),TEXT(B1494,"0000"),B1494),Addendum!I:I,"X")&gt;0,10%,0)</f>
        <v>0</v>
      </c>
      <c r="M1494" s="34">
        <f t="shared" si="46"/>
        <v>0</v>
      </c>
      <c r="N1494" s="17">
        <f t="shared" si="47"/>
        <v>60215.4</v>
      </c>
    </row>
    <row r="1495" spans="1:14" x14ac:dyDescent="0.25">
      <c r="A1495" s="14" t="s">
        <v>2234</v>
      </c>
      <c r="B1495" s="14" t="s">
        <v>16</v>
      </c>
      <c r="C1495" s="15" t="s">
        <v>2238</v>
      </c>
      <c r="D1495" s="14" t="s">
        <v>1745</v>
      </c>
      <c r="E1495" s="14" t="s">
        <v>1747</v>
      </c>
      <c r="F1495" s="17" t="s">
        <v>2994</v>
      </c>
      <c r="G1495" s="14">
        <v>33960</v>
      </c>
      <c r="H1495" s="14">
        <v>23772</v>
      </c>
      <c r="I1495" s="31">
        <f>IF(COUNTIFS(Addendum!C:C,A1495,Addendum!D:D,IF(ISNUMBER(B1495),TEXT(B1495,"0000"),B1495),Addendum!E:E,"X")&gt;0,4%,0)</f>
        <v>0</v>
      </c>
      <c r="J1495" s="31">
        <f>IF(COUNTIFS(Addendum!C:C,A1495,Addendum!D:D,IF(ISNUMBER(B1495),TEXT(B1495,"0000"),B1495),Addendum!F:F,"X")&gt;0,2.5%,0)</f>
        <v>0</v>
      </c>
      <c r="K1495" s="31">
        <f>IF(COUNTIFS(Addendum!C:C,A1495,Addendum!D:D,IF(ISNUMBER(B1495),TEXT(B1495,"0000"),B1495),Addendum!G:G,"X")&gt;0,7%,0)</f>
        <v>0</v>
      </c>
      <c r="L1495" s="31">
        <f>IF(COUNTIFS(Addendum!C:C,A1495,Addendum!D:D,IF(ISNUMBER(B1495),TEXT(B1495,"0000"),B1495),Addendum!I:I,"X")&gt;0,10%,0)</f>
        <v>0</v>
      </c>
      <c r="M1495" s="34">
        <f t="shared" si="46"/>
        <v>0</v>
      </c>
      <c r="N1495" s="17">
        <f t="shared" si="47"/>
        <v>23772</v>
      </c>
    </row>
    <row r="1496" spans="1:14" x14ac:dyDescent="0.25">
      <c r="A1496" s="14" t="s">
        <v>2234</v>
      </c>
      <c r="B1496" s="14">
        <v>9</v>
      </c>
      <c r="C1496" s="15" t="s">
        <v>2237</v>
      </c>
      <c r="D1496" s="14" t="s">
        <v>1752</v>
      </c>
      <c r="E1496" s="14" t="s">
        <v>1747</v>
      </c>
      <c r="F1496" s="17" t="s">
        <v>2995</v>
      </c>
      <c r="G1496" s="14">
        <v>63720</v>
      </c>
      <c r="H1496" s="14">
        <v>57348</v>
      </c>
      <c r="I1496" s="31">
        <f>IF(COUNTIFS(Addendum!C:C,A1496,Addendum!D:D,IF(ISNUMBER(B1496),TEXT(B1496,"0000"),B1496),Addendum!E:E,"X")&gt;0,4%,0)</f>
        <v>0</v>
      </c>
      <c r="J1496" s="31">
        <f>IF(COUNTIFS(Addendum!C:C,A1496,Addendum!D:D,IF(ISNUMBER(B1496),TEXT(B1496,"0000"),B1496),Addendum!F:F,"X")&gt;0,2.5%,0)</f>
        <v>0</v>
      </c>
      <c r="K1496" s="31">
        <f>IF(COUNTIFS(Addendum!C:C,A1496,Addendum!D:D,IF(ISNUMBER(B1496),TEXT(B1496,"0000"),B1496),Addendum!G:G,"X")&gt;0,7%,0)</f>
        <v>0</v>
      </c>
      <c r="L1496" s="31">
        <f>IF(COUNTIFS(Addendum!C:C,A1496,Addendum!D:D,IF(ISNUMBER(B1496),TEXT(B1496,"0000"),B1496),Addendum!I:I,"X")&gt;0,10%,0)</f>
        <v>0</v>
      </c>
      <c r="M1496" s="34">
        <f t="shared" si="46"/>
        <v>0</v>
      </c>
      <c r="N1496" s="17">
        <f t="shared" si="47"/>
        <v>57348</v>
      </c>
    </row>
    <row r="1497" spans="1:14" x14ac:dyDescent="0.25">
      <c r="A1497" s="14" t="s">
        <v>2234</v>
      </c>
      <c r="B1497" s="14">
        <v>1</v>
      </c>
      <c r="C1497" s="15" t="s">
        <v>2236</v>
      </c>
      <c r="D1497" s="14" t="s">
        <v>1745</v>
      </c>
      <c r="E1497" s="14" t="s">
        <v>1746</v>
      </c>
      <c r="F1497" s="17" t="s">
        <v>2993</v>
      </c>
      <c r="G1497" s="14">
        <v>89082</v>
      </c>
      <c r="H1497" s="14">
        <v>62357.4</v>
      </c>
      <c r="I1497" s="31">
        <f>IF(COUNTIFS(Addendum!C:C,A1497,Addendum!D:D,IF(ISNUMBER(B1497),TEXT(B1497,"0000"),B1497),Addendum!E:E,"X")&gt;0,4%,0)</f>
        <v>0</v>
      </c>
      <c r="J1497" s="31">
        <f>IF(COUNTIFS(Addendum!C:C,A1497,Addendum!D:D,IF(ISNUMBER(B1497),TEXT(B1497,"0000"),B1497),Addendum!F:F,"X")&gt;0,2.5%,0)</f>
        <v>0</v>
      </c>
      <c r="K1497" s="31">
        <f>IF(COUNTIFS(Addendum!C:C,A1497,Addendum!D:D,IF(ISNUMBER(B1497),TEXT(B1497,"0000"),B1497),Addendum!G:G,"X")&gt;0,7%,0)</f>
        <v>0</v>
      </c>
      <c r="L1497" s="31">
        <f>IF(COUNTIFS(Addendum!C:C,A1497,Addendum!D:D,IF(ISNUMBER(B1497),TEXT(B1497,"0000"),B1497),Addendum!I:I,"X")&gt;0,10%,0)</f>
        <v>0</v>
      </c>
      <c r="M1497" s="34">
        <f t="shared" si="46"/>
        <v>0</v>
      </c>
      <c r="N1497" s="17">
        <f t="shared" si="47"/>
        <v>62357.4</v>
      </c>
    </row>
    <row r="1498" spans="1:14" x14ac:dyDescent="0.25">
      <c r="A1498" s="14" t="s">
        <v>2234</v>
      </c>
      <c r="B1498" s="14">
        <v>9</v>
      </c>
      <c r="C1498" s="15" t="s">
        <v>2237</v>
      </c>
      <c r="D1498" s="14" t="s">
        <v>1745</v>
      </c>
      <c r="E1498" s="14" t="s">
        <v>1746</v>
      </c>
      <c r="F1498" s="17" t="s">
        <v>2995</v>
      </c>
      <c r="G1498" s="14">
        <v>22302</v>
      </c>
      <c r="H1498" s="14">
        <v>20071.8</v>
      </c>
      <c r="I1498" s="31">
        <f>IF(COUNTIFS(Addendum!C:C,A1498,Addendum!D:D,IF(ISNUMBER(B1498),TEXT(B1498,"0000"),B1498),Addendum!E:E,"X")&gt;0,4%,0)</f>
        <v>0</v>
      </c>
      <c r="J1498" s="31">
        <f>IF(COUNTIFS(Addendum!C:C,A1498,Addendum!D:D,IF(ISNUMBER(B1498),TEXT(B1498,"0000"),B1498),Addendum!F:F,"X")&gt;0,2.5%,0)</f>
        <v>0</v>
      </c>
      <c r="K1498" s="31">
        <f>IF(COUNTIFS(Addendum!C:C,A1498,Addendum!D:D,IF(ISNUMBER(B1498),TEXT(B1498,"0000"),B1498),Addendum!G:G,"X")&gt;0,7%,0)</f>
        <v>0</v>
      </c>
      <c r="L1498" s="31">
        <f>IF(COUNTIFS(Addendum!C:C,A1498,Addendum!D:D,IF(ISNUMBER(B1498),TEXT(B1498,"0000"),B1498),Addendum!I:I,"X")&gt;0,10%,0)</f>
        <v>0</v>
      </c>
      <c r="M1498" s="34">
        <f t="shared" si="46"/>
        <v>0</v>
      </c>
      <c r="N1498" s="17">
        <f t="shared" si="47"/>
        <v>20071.8</v>
      </c>
    </row>
    <row r="1499" spans="1:14" x14ac:dyDescent="0.25">
      <c r="A1499" s="14" t="s">
        <v>2234</v>
      </c>
      <c r="B1499" s="14">
        <v>9</v>
      </c>
      <c r="C1499" s="15" t="s">
        <v>2237</v>
      </c>
      <c r="D1499" s="14" t="s">
        <v>1745</v>
      </c>
      <c r="E1499" s="14" t="s">
        <v>1747</v>
      </c>
      <c r="F1499" s="17" t="s">
        <v>2995</v>
      </c>
      <c r="G1499" s="14">
        <v>21240</v>
      </c>
      <c r="H1499" s="14">
        <v>19116</v>
      </c>
      <c r="I1499" s="31">
        <f>IF(COUNTIFS(Addendum!C:C,A1499,Addendum!D:D,IF(ISNUMBER(B1499),TEXT(B1499,"0000"),B1499),Addendum!E:E,"X")&gt;0,4%,0)</f>
        <v>0</v>
      </c>
      <c r="J1499" s="31">
        <f>IF(COUNTIFS(Addendum!C:C,A1499,Addendum!D:D,IF(ISNUMBER(B1499),TEXT(B1499,"0000"),B1499),Addendum!F:F,"X")&gt;0,2.5%,0)</f>
        <v>0</v>
      </c>
      <c r="K1499" s="31">
        <f>IF(COUNTIFS(Addendum!C:C,A1499,Addendum!D:D,IF(ISNUMBER(B1499),TEXT(B1499,"0000"),B1499),Addendum!G:G,"X")&gt;0,7%,0)</f>
        <v>0</v>
      </c>
      <c r="L1499" s="31">
        <f>IF(COUNTIFS(Addendum!C:C,A1499,Addendum!D:D,IF(ISNUMBER(B1499),TEXT(B1499,"0000"),B1499),Addendum!I:I,"X")&gt;0,10%,0)</f>
        <v>0</v>
      </c>
      <c r="M1499" s="34">
        <f t="shared" si="46"/>
        <v>0</v>
      </c>
      <c r="N1499" s="17">
        <f t="shared" si="47"/>
        <v>19116</v>
      </c>
    </row>
    <row r="1500" spans="1:14" x14ac:dyDescent="0.25">
      <c r="A1500" s="14" t="s">
        <v>2234</v>
      </c>
      <c r="B1500" s="14" t="s">
        <v>16</v>
      </c>
      <c r="C1500" s="15" t="s">
        <v>2238</v>
      </c>
      <c r="D1500" s="14" t="s">
        <v>1749</v>
      </c>
      <c r="E1500" s="14" t="s">
        <v>1746</v>
      </c>
      <c r="F1500" s="17" t="s">
        <v>2994</v>
      </c>
      <c r="G1500" s="14">
        <v>3396</v>
      </c>
      <c r="H1500" s="14">
        <v>2377.1999999999998</v>
      </c>
      <c r="I1500" s="31">
        <f>IF(COUNTIFS(Addendum!C:C,A1500,Addendum!D:D,IF(ISNUMBER(B1500),TEXT(B1500,"0000"),B1500),Addendum!E:E,"X")&gt;0,4%,0)</f>
        <v>0</v>
      </c>
      <c r="J1500" s="31">
        <f>IF(COUNTIFS(Addendum!C:C,A1500,Addendum!D:D,IF(ISNUMBER(B1500),TEXT(B1500,"0000"),B1500),Addendum!F:F,"X")&gt;0,2.5%,0)</f>
        <v>0</v>
      </c>
      <c r="K1500" s="31">
        <f>IF(COUNTIFS(Addendum!C:C,A1500,Addendum!D:D,IF(ISNUMBER(B1500),TEXT(B1500,"0000"),B1500),Addendum!G:G,"X")&gt;0,7%,0)</f>
        <v>0</v>
      </c>
      <c r="L1500" s="31">
        <f>IF(COUNTIFS(Addendum!C:C,A1500,Addendum!D:D,IF(ISNUMBER(B1500),TEXT(B1500,"0000"),B1500),Addendum!I:I,"X")&gt;0,10%,0)</f>
        <v>0</v>
      </c>
      <c r="M1500" s="34">
        <f t="shared" si="46"/>
        <v>0</v>
      </c>
      <c r="N1500" s="17">
        <f t="shared" si="47"/>
        <v>2377.1999999999998</v>
      </c>
    </row>
    <row r="1501" spans="1:14" x14ac:dyDescent="0.25">
      <c r="A1501" s="14" t="s">
        <v>2234</v>
      </c>
      <c r="B1501" s="14" t="s">
        <v>16</v>
      </c>
      <c r="C1501" s="15" t="s">
        <v>2238</v>
      </c>
      <c r="D1501" s="14" t="s">
        <v>1745</v>
      </c>
      <c r="E1501" s="14" t="s">
        <v>1746</v>
      </c>
      <c r="F1501" s="17" t="s">
        <v>2994</v>
      </c>
      <c r="G1501" s="14">
        <v>35658</v>
      </c>
      <c r="H1501" s="14">
        <v>24960.6</v>
      </c>
      <c r="I1501" s="31">
        <f>IF(COUNTIFS(Addendum!C:C,A1501,Addendum!D:D,IF(ISNUMBER(B1501),TEXT(B1501,"0000"),B1501),Addendum!E:E,"X")&gt;0,4%,0)</f>
        <v>0</v>
      </c>
      <c r="J1501" s="31">
        <f>IF(COUNTIFS(Addendum!C:C,A1501,Addendum!D:D,IF(ISNUMBER(B1501),TEXT(B1501,"0000"),B1501),Addendum!F:F,"X")&gt;0,2.5%,0)</f>
        <v>0</v>
      </c>
      <c r="K1501" s="31">
        <f>IF(COUNTIFS(Addendum!C:C,A1501,Addendum!D:D,IF(ISNUMBER(B1501),TEXT(B1501,"0000"),B1501),Addendum!G:G,"X")&gt;0,7%,0)</f>
        <v>0</v>
      </c>
      <c r="L1501" s="31">
        <f>IF(COUNTIFS(Addendum!C:C,A1501,Addendum!D:D,IF(ISNUMBER(B1501),TEXT(B1501,"0000"),B1501),Addendum!I:I,"X")&gt;0,10%,0)</f>
        <v>0</v>
      </c>
      <c r="M1501" s="34">
        <f t="shared" si="46"/>
        <v>0</v>
      </c>
      <c r="N1501" s="17">
        <f t="shared" si="47"/>
        <v>24960.6</v>
      </c>
    </row>
    <row r="1502" spans="1:14" x14ac:dyDescent="0.25">
      <c r="A1502" s="14" t="s">
        <v>2234</v>
      </c>
      <c r="B1502" s="14">
        <v>1</v>
      </c>
      <c r="C1502" s="15" t="s">
        <v>2236</v>
      </c>
      <c r="D1502" s="14" t="s">
        <v>1752</v>
      </c>
      <c r="E1502" s="14" t="s">
        <v>1753</v>
      </c>
      <c r="F1502" s="17" t="s">
        <v>2993</v>
      </c>
      <c r="G1502" s="14">
        <v>254520</v>
      </c>
      <c r="H1502" s="14">
        <v>178164</v>
      </c>
      <c r="I1502" s="31">
        <f>IF(COUNTIFS(Addendum!C:C,A1502,Addendum!D:D,IF(ISNUMBER(B1502),TEXT(B1502,"0000"),B1502),Addendum!E:E,"X")&gt;0,4%,0)</f>
        <v>0</v>
      </c>
      <c r="J1502" s="31">
        <f>IF(COUNTIFS(Addendum!C:C,A1502,Addendum!D:D,IF(ISNUMBER(B1502),TEXT(B1502,"0000"),B1502),Addendum!F:F,"X")&gt;0,2.5%,0)</f>
        <v>0</v>
      </c>
      <c r="K1502" s="31">
        <f>IF(COUNTIFS(Addendum!C:C,A1502,Addendum!D:D,IF(ISNUMBER(B1502),TEXT(B1502,"0000"),B1502),Addendum!G:G,"X")&gt;0,7%,0)</f>
        <v>0</v>
      </c>
      <c r="L1502" s="31">
        <f>IF(COUNTIFS(Addendum!C:C,A1502,Addendum!D:D,IF(ISNUMBER(B1502),TEXT(B1502,"0000"),B1502),Addendum!I:I,"X")&gt;0,10%,0)</f>
        <v>0</v>
      </c>
      <c r="M1502" s="34">
        <f t="shared" si="46"/>
        <v>0</v>
      </c>
      <c r="N1502" s="17">
        <f t="shared" si="47"/>
        <v>178164</v>
      </c>
    </row>
    <row r="1503" spans="1:14" x14ac:dyDescent="0.25">
      <c r="A1503" s="14" t="s">
        <v>2234</v>
      </c>
      <c r="B1503" s="14">
        <v>9</v>
      </c>
      <c r="C1503" s="15" t="s">
        <v>2237</v>
      </c>
      <c r="D1503" s="14" t="s">
        <v>1749</v>
      </c>
      <c r="E1503" s="14" t="s">
        <v>1746</v>
      </c>
      <c r="F1503" s="17" t="s">
        <v>2995</v>
      </c>
      <c r="G1503" s="14">
        <v>2124</v>
      </c>
      <c r="H1503" s="14">
        <v>1911.6</v>
      </c>
      <c r="I1503" s="31">
        <f>IF(COUNTIFS(Addendum!C:C,A1503,Addendum!D:D,IF(ISNUMBER(B1503),TEXT(B1503,"0000"),B1503),Addendum!E:E,"X")&gt;0,4%,0)</f>
        <v>0</v>
      </c>
      <c r="J1503" s="31">
        <f>IF(COUNTIFS(Addendum!C:C,A1503,Addendum!D:D,IF(ISNUMBER(B1503),TEXT(B1503,"0000"),B1503),Addendum!F:F,"X")&gt;0,2.5%,0)</f>
        <v>0</v>
      </c>
      <c r="K1503" s="31">
        <f>IF(COUNTIFS(Addendum!C:C,A1503,Addendum!D:D,IF(ISNUMBER(B1503),TEXT(B1503,"0000"),B1503),Addendum!G:G,"X")&gt;0,7%,0)</f>
        <v>0</v>
      </c>
      <c r="L1503" s="31">
        <f>IF(COUNTIFS(Addendum!C:C,A1503,Addendum!D:D,IF(ISNUMBER(B1503),TEXT(B1503,"0000"),B1503),Addendum!I:I,"X")&gt;0,10%,0)</f>
        <v>0</v>
      </c>
      <c r="M1503" s="34">
        <f t="shared" si="46"/>
        <v>0</v>
      </c>
      <c r="N1503" s="17">
        <f t="shared" si="47"/>
        <v>1911.6</v>
      </c>
    </row>
    <row r="1504" spans="1:14" x14ac:dyDescent="0.25">
      <c r="A1504" s="14" t="s">
        <v>2234</v>
      </c>
      <c r="B1504" s="14">
        <v>1</v>
      </c>
      <c r="C1504" s="15" t="s">
        <v>2236</v>
      </c>
      <c r="D1504" s="14" t="s">
        <v>1752</v>
      </c>
      <c r="E1504" s="14" t="s">
        <v>1746</v>
      </c>
      <c r="F1504" s="17" t="s">
        <v>2993</v>
      </c>
      <c r="G1504" s="14">
        <v>267246</v>
      </c>
      <c r="H1504" s="14">
        <v>187072.2</v>
      </c>
      <c r="I1504" s="31">
        <f>IF(COUNTIFS(Addendum!C:C,A1504,Addendum!D:D,IF(ISNUMBER(B1504),TEXT(B1504,"0000"),B1504),Addendum!E:E,"X")&gt;0,4%,0)</f>
        <v>0</v>
      </c>
      <c r="J1504" s="31">
        <f>IF(COUNTIFS(Addendum!C:C,A1504,Addendum!D:D,IF(ISNUMBER(B1504),TEXT(B1504,"0000"),B1504),Addendum!F:F,"X")&gt;0,2.5%,0)</f>
        <v>0</v>
      </c>
      <c r="K1504" s="31">
        <f>IF(COUNTIFS(Addendum!C:C,A1504,Addendum!D:D,IF(ISNUMBER(B1504),TEXT(B1504,"0000"),B1504),Addendum!G:G,"X")&gt;0,7%,0)</f>
        <v>0</v>
      </c>
      <c r="L1504" s="31">
        <f>IF(COUNTIFS(Addendum!C:C,A1504,Addendum!D:D,IF(ISNUMBER(B1504),TEXT(B1504,"0000"),B1504),Addendum!I:I,"X")&gt;0,10%,0)</f>
        <v>0</v>
      </c>
      <c r="M1504" s="34">
        <f t="shared" si="46"/>
        <v>0</v>
      </c>
      <c r="N1504" s="17">
        <f t="shared" si="47"/>
        <v>187072.2</v>
      </c>
    </row>
    <row r="1505" spans="1:14" x14ac:dyDescent="0.25">
      <c r="A1505" s="14" t="s">
        <v>2234</v>
      </c>
      <c r="B1505" s="14">
        <v>1</v>
      </c>
      <c r="C1505" s="15" t="s">
        <v>2236</v>
      </c>
      <c r="D1505" s="14" t="s">
        <v>1752</v>
      </c>
      <c r="E1505" s="14" t="s">
        <v>1747</v>
      </c>
      <c r="F1505" s="17" t="s">
        <v>2993</v>
      </c>
      <c r="G1505" s="14">
        <v>254520</v>
      </c>
      <c r="H1505" s="14">
        <v>178164</v>
      </c>
      <c r="I1505" s="31">
        <f>IF(COUNTIFS(Addendum!C:C,A1505,Addendum!D:D,IF(ISNUMBER(B1505),TEXT(B1505,"0000"),B1505),Addendum!E:E,"X")&gt;0,4%,0)</f>
        <v>0</v>
      </c>
      <c r="J1505" s="31">
        <f>IF(COUNTIFS(Addendum!C:C,A1505,Addendum!D:D,IF(ISNUMBER(B1505),TEXT(B1505,"0000"),B1505),Addendum!F:F,"X")&gt;0,2.5%,0)</f>
        <v>0</v>
      </c>
      <c r="K1505" s="31">
        <f>IF(COUNTIFS(Addendum!C:C,A1505,Addendum!D:D,IF(ISNUMBER(B1505),TEXT(B1505,"0000"),B1505),Addendum!G:G,"X")&gt;0,7%,0)</f>
        <v>0</v>
      </c>
      <c r="L1505" s="31">
        <f>IF(COUNTIFS(Addendum!C:C,A1505,Addendum!D:D,IF(ISNUMBER(B1505),TEXT(B1505,"0000"),B1505),Addendum!I:I,"X")&gt;0,10%,0)</f>
        <v>0</v>
      </c>
      <c r="M1505" s="34">
        <f t="shared" si="46"/>
        <v>0</v>
      </c>
      <c r="N1505" s="17">
        <f t="shared" si="47"/>
        <v>178164</v>
      </c>
    </row>
    <row r="1506" spans="1:14" x14ac:dyDescent="0.25">
      <c r="A1506" s="14" t="s">
        <v>2234</v>
      </c>
      <c r="B1506" s="14" t="s">
        <v>20</v>
      </c>
      <c r="C1506" s="15" t="s">
        <v>2235</v>
      </c>
      <c r="D1506" s="14" t="s">
        <v>1745</v>
      </c>
      <c r="E1506" s="14" t="s">
        <v>1747</v>
      </c>
      <c r="F1506" s="17" t="s">
        <v>2994</v>
      </c>
      <c r="G1506" s="14">
        <v>46680</v>
      </c>
      <c r="H1506" s="14">
        <v>32676</v>
      </c>
      <c r="I1506" s="31">
        <f>IF(COUNTIFS(Addendum!C:C,A1506,Addendum!D:D,IF(ISNUMBER(B1506),TEXT(B1506,"0000"),B1506),Addendum!E:E,"X")&gt;0,4%,0)</f>
        <v>0</v>
      </c>
      <c r="J1506" s="31">
        <f>IF(COUNTIFS(Addendum!C:C,A1506,Addendum!D:D,IF(ISNUMBER(B1506),TEXT(B1506,"0000"),B1506),Addendum!F:F,"X")&gt;0,2.5%,0)</f>
        <v>0</v>
      </c>
      <c r="K1506" s="31">
        <f>IF(COUNTIFS(Addendum!C:C,A1506,Addendum!D:D,IF(ISNUMBER(B1506),TEXT(B1506,"0000"),B1506),Addendum!G:G,"X")&gt;0,7%,0)</f>
        <v>0</v>
      </c>
      <c r="L1506" s="31">
        <f>IF(COUNTIFS(Addendum!C:C,A1506,Addendum!D:D,IF(ISNUMBER(B1506),TEXT(B1506,"0000"),B1506),Addendum!I:I,"X")&gt;0,10%,0)</f>
        <v>0</v>
      </c>
      <c r="M1506" s="34">
        <f t="shared" si="46"/>
        <v>0</v>
      </c>
      <c r="N1506" s="17">
        <f t="shared" si="47"/>
        <v>32676</v>
      </c>
    </row>
    <row r="1507" spans="1:14" x14ac:dyDescent="0.25">
      <c r="A1507" s="14" t="s">
        <v>2239</v>
      </c>
      <c r="B1507" s="14">
        <v>1</v>
      </c>
      <c r="C1507" s="15" t="s">
        <v>2240</v>
      </c>
      <c r="D1507" s="14" t="s">
        <v>1749</v>
      </c>
      <c r="E1507" s="14" t="s">
        <v>1746</v>
      </c>
      <c r="F1507" s="17" t="s">
        <v>2993</v>
      </c>
      <c r="G1507" s="14">
        <v>13476</v>
      </c>
      <c r="H1507" s="14">
        <v>9433.2000000000007</v>
      </c>
      <c r="I1507" s="31">
        <f>IF(COUNTIFS(Addendum!C:C,A1507,Addendum!D:D,IF(ISNUMBER(B1507),TEXT(B1507,"0000"),B1507),Addendum!E:E,"X")&gt;0,4%,0)</f>
        <v>0</v>
      </c>
      <c r="J1507" s="31">
        <f>IF(COUNTIFS(Addendum!C:C,A1507,Addendum!D:D,IF(ISNUMBER(B1507),TEXT(B1507,"0000"),B1507),Addendum!F:F,"X")&gt;0,2.5%,0)</f>
        <v>0</v>
      </c>
      <c r="K1507" s="31">
        <f>IF(COUNTIFS(Addendum!C:C,A1507,Addendum!D:D,IF(ISNUMBER(B1507),TEXT(B1507,"0000"),B1507),Addendum!G:G,"X")&gt;0,7%,0)</f>
        <v>0</v>
      </c>
      <c r="L1507" s="31">
        <f>IF(COUNTIFS(Addendum!C:C,A1507,Addendum!D:D,IF(ISNUMBER(B1507),TEXT(B1507,"0000"),B1507),Addendum!I:I,"X")&gt;0,10%,0)</f>
        <v>0</v>
      </c>
      <c r="M1507" s="34">
        <f t="shared" si="46"/>
        <v>0</v>
      </c>
      <c r="N1507" s="17">
        <f t="shared" si="47"/>
        <v>9433.2000000000007</v>
      </c>
    </row>
    <row r="1508" spans="1:14" x14ac:dyDescent="0.25">
      <c r="A1508" s="14" t="s">
        <v>2239</v>
      </c>
      <c r="B1508" s="14" t="s">
        <v>195</v>
      </c>
      <c r="C1508" s="15" t="s">
        <v>2241</v>
      </c>
      <c r="D1508" s="14" t="s">
        <v>1745</v>
      </c>
      <c r="E1508" s="14" t="s">
        <v>1746</v>
      </c>
      <c r="F1508" s="17" t="s">
        <v>2994</v>
      </c>
      <c r="G1508" s="14">
        <v>12600</v>
      </c>
      <c r="H1508" s="14">
        <v>8820</v>
      </c>
      <c r="I1508" s="31">
        <f>IF(COUNTIFS(Addendum!C:C,A1508,Addendum!D:D,IF(ISNUMBER(B1508),TEXT(B1508,"0000"),B1508),Addendum!E:E,"X")&gt;0,4%,0)</f>
        <v>0</v>
      </c>
      <c r="J1508" s="31">
        <f>IF(COUNTIFS(Addendum!C:C,A1508,Addendum!D:D,IF(ISNUMBER(B1508),TEXT(B1508,"0000"),B1508),Addendum!F:F,"X")&gt;0,2.5%,0)</f>
        <v>0</v>
      </c>
      <c r="K1508" s="31">
        <f>IF(COUNTIFS(Addendum!C:C,A1508,Addendum!D:D,IF(ISNUMBER(B1508),TEXT(B1508,"0000"),B1508),Addendum!G:G,"X")&gt;0,7%,0)</f>
        <v>0</v>
      </c>
      <c r="L1508" s="31">
        <f>IF(COUNTIFS(Addendum!C:C,A1508,Addendum!D:D,IF(ISNUMBER(B1508),TEXT(B1508,"0000"),B1508),Addendum!I:I,"X")&gt;0,10%,0)</f>
        <v>0</v>
      </c>
      <c r="M1508" s="34">
        <f t="shared" si="46"/>
        <v>0</v>
      </c>
      <c r="N1508" s="17">
        <f t="shared" si="47"/>
        <v>8820</v>
      </c>
    </row>
    <row r="1509" spans="1:14" x14ac:dyDescent="0.25">
      <c r="A1509" s="14" t="s">
        <v>2239</v>
      </c>
      <c r="B1509" s="14" t="s">
        <v>32</v>
      </c>
      <c r="C1509" s="15" t="s">
        <v>2242</v>
      </c>
      <c r="D1509" s="14" t="s">
        <v>1749</v>
      </c>
      <c r="E1509" s="14" t="s">
        <v>1746</v>
      </c>
      <c r="F1509" s="17" t="s">
        <v>2995</v>
      </c>
      <c r="G1509" s="14">
        <v>1500</v>
      </c>
      <c r="H1509" s="14">
        <v>1350</v>
      </c>
      <c r="I1509" s="31">
        <f>IF(COUNTIFS(Addendum!C:C,A1509,Addendum!D:D,IF(ISNUMBER(B1509),TEXT(B1509,"0000"),B1509),Addendum!E:E,"X")&gt;0,4%,0)</f>
        <v>0</v>
      </c>
      <c r="J1509" s="31">
        <f>IF(COUNTIFS(Addendum!C:C,A1509,Addendum!D:D,IF(ISNUMBER(B1509),TEXT(B1509,"0000"),B1509),Addendum!F:F,"X")&gt;0,2.5%,0)</f>
        <v>0</v>
      </c>
      <c r="K1509" s="31">
        <f>IF(COUNTIFS(Addendum!C:C,A1509,Addendum!D:D,IF(ISNUMBER(B1509),TEXT(B1509,"0000"),B1509),Addendum!G:G,"X")&gt;0,7%,0)</f>
        <v>0</v>
      </c>
      <c r="L1509" s="31">
        <f>IF(COUNTIFS(Addendum!C:C,A1509,Addendum!D:D,IF(ISNUMBER(B1509),TEXT(B1509,"0000"),B1509),Addendum!I:I,"X")&gt;0,10%,0)</f>
        <v>0</v>
      </c>
      <c r="M1509" s="34">
        <f t="shared" si="46"/>
        <v>0</v>
      </c>
      <c r="N1509" s="17">
        <f t="shared" si="47"/>
        <v>1350</v>
      </c>
    </row>
    <row r="1510" spans="1:14" x14ac:dyDescent="0.25">
      <c r="A1510" s="14" t="s">
        <v>2239</v>
      </c>
      <c r="B1510" s="14" t="s">
        <v>32</v>
      </c>
      <c r="C1510" s="15" t="s">
        <v>2242</v>
      </c>
      <c r="D1510" s="14" t="s">
        <v>1745</v>
      </c>
      <c r="E1510" s="14" t="s">
        <v>1747</v>
      </c>
      <c r="F1510" s="17" t="s">
        <v>2995</v>
      </c>
      <c r="G1510" s="14">
        <v>15000</v>
      </c>
      <c r="H1510" s="14">
        <v>13500</v>
      </c>
      <c r="I1510" s="31">
        <f>IF(COUNTIFS(Addendum!C:C,A1510,Addendum!D:D,IF(ISNUMBER(B1510),TEXT(B1510,"0000"),B1510),Addendum!E:E,"X")&gt;0,4%,0)</f>
        <v>0</v>
      </c>
      <c r="J1510" s="31">
        <f>IF(COUNTIFS(Addendum!C:C,A1510,Addendum!D:D,IF(ISNUMBER(B1510),TEXT(B1510,"0000"),B1510),Addendum!F:F,"X")&gt;0,2.5%,0)</f>
        <v>0</v>
      </c>
      <c r="K1510" s="31">
        <f>IF(COUNTIFS(Addendum!C:C,A1510,Addendum!D:D,IF(ISNUMBER(B1510),TEXT(B1510,"0000"),B1510),Addendum!G:G,"X")&gt;0,7%,0)</f>
        <v>0</v>
      </c>
      <c r="L1510" s="31">
        <f>IF(COUNTIFS(Addendum!C:C,A1510,Addendum!D:D,IF(ISNUMBER(B1510),TEXT(B1510,"0000"),B1510),Addendum!I:I,"X")&gt;0,10%,0)</f>
        <v>0</v>
      </c>
      <c r="M1510" s="34">
        <f t="shared" si="46"/>
        <v>0</v>
      </c>
      <c r="N1510" s="17">
        <f t="shared" si="47"/>
        <v>13500</v>
      </c>
    </row>
    <row r="1511" spans="1:14" x14ac:dyDescent="0.25">
      <c r="A1511" s="14" t="s">
        <v>2239</v>
      </c>
      <c r="B1511" s="14" t="s">
        <v>195</v>
      </c>
      <c r="C1511" s="15" t="s">
        <v>2241</v>
      </c>
      <c r="D1511" s="14" t="s">
        <v>1749</v>
      </c>
      <c r="E1511" s="14" t="s">
        <v>1746</v>
      </c>
      <c r="F1511" s="17" t="s">
        <v>2994</v>
      </c>
      <c r="G1511" s="14">
        <v>1200</v>
      </c>
      <c r="H1511" s="14">
        <v>840</v>
      </c>
      <c r="I1511" s="31">
        <f>IF(COUNTIFS(Addendum!C:C,A1511,Addendum!D:D,IF(ISNUMBER(B1511),TEXT(B1511,"0000"),B1511),Addendum!E:E,"X")&gt;0,4%,0)</f>
        <v>0</v>
      </c>
      <c r="J1511" s="31">
        <f>IF(COUNTIFS(Addendum!C:C,A1511,Addendum!D:D,IF(ISNUMBER(B1511),TEXT(B1511,"0000"),B1511),Addendum!F:F,"X")&gt;0,2.5%,0)</f>
        <v>0</v>
      </c>
      <c r="K1511" s="31">
        <f>IF(COUNTIFS(Addendum!C:C,A1511,Addendum!D:D,IF(ISNUMBER(B1511),TEXT(B1511,"0000"),B1511),Addendum!G:G,"X")&gt;0,7%,0)</f>
        <v>0</v>
      </c>
      <c r="L1511" s="31">
        <f>IF(COUNTIFS(Addendum!C:C,A1511,Addendum!D:D,IF(ISNUMBER(B1511),TEXT(B1511,"0000"),B1511),Addendum!I:I,"X")&gt;0,10%,0)</f>
        <v>0</v>
      </c>
      <c r="M1511" s="34">
        <f t="shared" si="46"/>
        <v>0</v>
      </c>
      <c r="N1511" s="17">
        <f t="shared" si="47"/>
        <v>840</v>
      </c>
    </row>
    <row r="1512" spans="1:14" x14ac:dyDescent="0.25">
      <c r="A1512" s="14" t="s">
        <v>2239</v>
      </c>
      <c r="B1512" s="14" t="s">
        <v>39</v>
      </c>
      <c r="C1512" s="15" t="s">
        <v>2243</v>
      </c>
      <c r="D1512" s="14" t="s">
        <v>1745</v>
      </c>
      <c r="E1512" s="14" t="s">
        <v>1747</v>
      </c>
      <c r="F1512" s="17" t="s">
        <v>2995</v>
      </c>
      <c r="G1512" s="14">
        <v>53940</v>
      </c>
      <c r="H1512" s="14">
        <v>48546</v>
      </c>
      <c r="I1512" s="31">
        <f>IF(COUNTIFS(Addendum!C:C,A1512,Addendum!D:D,IF(ISNUMBER(B1512),TEXT(B1512,"0000"),B1512),Addendum!E:E,"X")&gt;0,4%,0)</f>
        <v>0</v>
      </c>
      <c r="J1512" s="31">
        <f>IF(COUNTIFS(Addendum!C:C,A1512,Addendum!D:D,IF(ISNUMBER(B1512),TEXT(B1512,"0000"),B1512),Addendum!F:F,"X")&gt;0,2.5%,0)</f>
        <v>0</v>
      </c>
      <c r="K1512" s="31">
        <f>IF(COUNTIFS(Addendum!C:C,A1512,Addendum!D:D,IF(ISNUMBER(B1512),TEXT(B1512,"0000"),B1512),Addendum!G:G,"X")&gt;0,7%,0)</f>
        <v>0</v>
      </c>
      <c r="L1512" s="31">
        <f>IF(COUNTIFS(Addendum!C:C,A1512,Addendum!D:D,IF(ISNUMBER(B1512),TEXT(B1512,"0000"),B1512),Addendum!I:I,"X")&gt;0,10%,0)</f>
        <v>0</v>
      </c>
      <c r="M1512" s="34">
        <f t="shared" si="46"/>
        <v>0</v>
      </c>
      <c r="N1512" s="17">
        <f t="shared" si="47"/>
        <v>48546</v>
      </c>
    </row>
    <row r="1513" spans="1:14" x14ac:dyDescent="0.25">
      <c r="A1513" s="14" t="s">
        <v>2239</v>
      </c>
      <c r="B1513" s="14" t="s">
        <v>32</v>
      </c>
      <c r="C1513" s="15" t="s">
        <v>2242</v>
      </c>
      <c r="D1513" s="14" t="s">
        <v>1752</v>
      </c>
      <c r="E1513" s="14" t="s">
        <v>1746</v>
      </c>
      <c r="F1513" s="17" t="s">
        <v>2995</v>
      </c>
      <c r="G1513" s="14">
        <v>47250</v>
      </c>
      <c r="H1513" s="14">
        <v>42525</v>
      </c>
      <c r="I1513" s="31">
        <f>IF(COUNTIFS(Addendum!C:C,A1513,Addendum!D:D,IF(ISNUMBER(B1513),TEXT(B1513,"0000"),B1513),Addendum!E:E,"X")&gt;0,4%,0)</f>
        <v>0</v>
      </c>
      <c r="J1513" s="31">
        <f>IF(COUNTIFS(Addendum!C:C,A1513,Addendum!D:D,IF(ISNUMBER(B1513),TEXT(B1513,"0000"),B1513),Addendum!F:F,"X")&gt;0,2.5%,0)</f>
        <v>0</v>
      </c>
      <c r="K1513" s="31">
        <f>IF(COUNTIFS(Addendum!C:C,A1513,Addendum!D:D,IF(ISNUMBER(B1513),TEXT(B1513,"0000"),B1513),Addendum!G:G,"X")&gt;0,7%,0)</f>
        <v>0</v>
      </c>
      <c r="L1513" s="31">
        <f>IF(COUNTIFS(Addendum!C:C,A1513,Addendum!D:D,IF(ISNUMBER(B1513),TEXT(B1513,"0000"),B1513),Addendum!I:I,"X")&gt;0,10%,0)</f>
        <v>0</v>
      </c>
      <c r="M1513" s="34">
        <f t="shared" si="46"/>
        <v>0</v>
      </c>
      <c r="N1513" s="17">
        <f t="shared" si="47"/>
        <v>42525</v>
      </c>
    </row>
    <row r="1514" spans="1:14" x14ac:dyDescent="0.25">
      <c r="A1514" s="14" t="s">
        <v>2239</v>
      </c>
      <c r="B1514" s="14" t="s">
        <v>39</v>
      </c>
      <c r="C1514" s="15" t="s">
        <v>2243</v>
      </c>
      <c r="D1514" s="14" t="s">
        <v>1752</v>
      </c>
      <c r="E1514" s="14" t="s">
        <v>1746</v>
      </c>
      <c r="F1514" s="17" t="s">
        <v>2995</v>
      </c>
      <c r="G1514" s="14">
        <v>169911</v>
      </c>
      <c r="H1514" s="14">
        <v>152920.1</v>
      </c>
      <c r="I1514" s="31">
        <f>IF(COUNTIFS(Addendum!C:C,A1514,Addendum!D:D,IF(ISNUMBER(B1514),TEXT(B1514,"0000"),B1514),Addendum!E:E,"X")&gt;0,4%,0)</f>
        <v>0</v>
      </c>
      <c r="J1514" s="31">
        <f>IF(COUNTIFS(Addendum!C:C,A1514,Addendum!D:D,IF(ISNUMBER(B1514),TEXT(B1514,"0000"),B1514),Addendum!F:F,"X")&gt;0,2.5%,0)</f>
        <v>0</v>
      </c>
      <c r="K1514" s="31">
        <f>IF(COUNTIFS(Addendum!C:C,A1514,Addendum!D:D,IF(ISNUMBER(B1514),TEXT(B1514,"0000"),B1514),Addendum!G:G,"X")&gt;0,7%,0)</f>
        <v>0</v>
      </c>
      <c r="L1514" s="31">
        <f>IF(COUNTIFS(Addendum!C:C,A1514,Addendum!D:D,IF(ISNUMBER(B1514),TEXT(B1514,"0000"),B1514),Addendum!I:I,"X")&gt;0,10%,0)</f>
        <v>0</v>
      </c>
      <c r="M1514" s="34">
        <f t="shared" si="46"/>
        <v>0</v>
      </c>
      <c r="N1514" s="17">
        <f t="shared" si="47"/>
        <v>152920.1</v>
      </c>
    </row>
    <row r="1515" spans="1:14" x14ac:dyDescent="0.25">
      <c r="A1515" s="14" t="s">
        <v>2239</v>
      </c>
      <c r="B1515" s="14">
        <v>1</v>
      </c>
      <c r="C1515" s="15" t="s">
        <v>2240</v>
      </c>
      <c r="D1515" s="14" t="s">
        <v>1745</v>
      </c>
      <c r="E1515" s="14" t="s">
        <v>1747</v>
      </c>
      <c r="F1515" s="17" t="s">
        <v>2993</v>
      </c>
      <c r="G1515" s="14">
        <v>134760</v>
      </c>
      <c r="H1515" s="14">
        <v>94332</v>
      </c>
      <c r="I1515" s="31">
        <f>IF(COUNTIFS(Addendum!C:C,A1515,Addendum!D:D,IF(ISNUMBER(B1515),TEXT(B1515,"0000"),B1515),Addendum!E:E,"X")&gt;0,4%,0)</f>
        <v>0</v>
      </c>
      <c r="J1515" s="31">
        <f>IF(COUNTIFS(Addendum!C:C,A1515,Addendum!D:D,IF(ISNUMBER(B1515),TEXT(B1515,"0000"),B1515),Addendum!F:F,"X")&gt;0,2.5%,0)</f>
        <v>0</v>
      </c>
      <c r="K1515" s="31">
        <f>IF(COUNTIFS(Addendum!C:C,A1515,Addendum!D:D,IF(ISNUMBER(B1515),TEXT(B1515,"0000"),B1515),Addendum!G:G,"X")&gt;0,7%,0)</f>
        <v>0</v>
      </c>
      <c r="L1515" s="31">
        <f>IF(COUNTIFS(Addendum!C:C,A1515,Addendum!D:D,IF(ISNUMBER(B1515),TEXT(B1515,"0000"),B1515),Addendum!I:I,"X")&gt;0,10%,0)</f>
        <v>0</v>
      </c>
      <c r="M1515" s="34">
        <f t="shared" si="46"/>
        <v>0</v>
      </c>
      <c r="N1515" s="17">
        <f t="shared" si="47"/>
        <v>94332</v>
      </c>
    </row>
    <row r="1516" spans="1:14" x14ac:dyDescent="0.25">
      <c r="A1516" s="14" t="s">
        <v>2239</v>
      </c>
      <c r="B1516" s="14" t="s">
        <v>122</v>
      </c>
      <c r="C1516" s="15" t="s">
        <v>2244</v>
      </c>
      <c r="D1516" s="14" t="s">
        <v>1745</v>
      </c>
      <c r="E1516" s="14" t="s">
        <v>1746</v>
      </c>
      <c r="F1516" s="17" t="s">
        <v>2994</v>
      </c>
      <c r="G1516" s="14">
        <v>56637</v>
      </c>
      <c r="H1516" s="14">
        <v>39645.96</v>
      </c>
      <c r="I1516" s="31">
        <f>IF(COUNTIFS(Addendum!C:C,A1516,Addendum!D:D,IF(ISNUMBER(B1516),TEXT(B1516,"0000"),B1516),Addendum!E:E,"X")&gt;0,4%,0)</f>
        <v>0</v>
      </c>
      <c r="J1516" s="31">
        <f>IF(COUNTIFS(Addendum!C:C,A1516,Addendum!D:D,IF(ISNUMBER(B1516),TEXT(B1516,"0000"),B1516),Addendum!F:F,"X")&gt;0,2.5%,0)</f>
        <v>0</v>
      </c>
      <c r="K1516" s="31">
        <f>IF(COUNTIFS(Addendum!C:C,A1516,Addendum!D:D,IF(ISNUMBER(B1516),TEXT(B1516,"0000"),B1516),Addendum!G:G,"X")&gt;0,7%,0)</f>
        <v>0</v>
      </c>
      <c r="L1516" s="31">
        <f>IF(COUNTIFS(Addendum!C:C,A1516,Addendum!D:D,IF(ISNUMBER(B1516),TEXT(B1516,"0000"),B1516),Addendum!I:I,"X")&gt;0,10%,0)</f>
        <v>0</v>
      </c>
      <c r="M1516" s="34">
        <f t="shared" si="46"/>
        <v>0</v>
      </c>
      <c r="N1516" s="17">
        <f t="shared" si="47"/>
        <v>39645.96</v>
      </c>
    </row>
    <row r="1517" spans="1:14" x14ac:dyDescent="0.25">
      <c r="A1517" s="14" t="s">
        <v>2239</v>
      </c>
      <c r="B1517" s="14">
        <v>1</v>
      </c>
      <c r="C1517" s="15" t="s">
        <v>2240</v>
      </c>
      <c r="D1517" s="14" t="s">
        <v>1745</v>
      </c>
      <c r="E1517" s="14" t="s">
        <v>1746</v>
      </c>
      <c r="F1517" s="17" t="s">
        <v>2993</v>
      </c>
      <c r="G1517" s="14">
        <v>141498</v>
      </c>
      <c r="H1517" s="14">
        <v>99048.6</v>
      </c>
      <c r="I1517" s="31">
        <f>IF(COUNTIFS(Addendum!C:C,A1517,Addendum!D:D,IF(ISNUMBER(B1517),TEXT(B1517,"0000"),B1517),Addendum!E:E,"X")&gt;0,4%,0)</f>
        <v>0</v>
      </c>
      <c r="J1517" s="31">
        <f>IF(COUNTIFS(Addendum!C:C,A1517,Addendum!D:D,IF(ISNUMBER(B1517),TEXT(B1517,"0000"),B1517),Addendum!F:F,"X")&gt;0,2.5%,0)</f>
        <v>0</v>
      </c>
      <c r="K1517" s="31">
        <f>IF(COUNTIFS(Addendum!C:C,A1517,Addendum!D:D,IF(ISNUMBER(B1517),TEXT(B1517,"0000"),B1517),Addendum!G:G,"X")&gt;0,7%,0)</f>
        <v>0</v>
      </c>
      <c r="L1517" s="31">
        <f>IF(COUNTIFS(Addendum!C:C,A1517,Addendum!D:D,IF(ISNUMBER(B1517),TEXT(B1517,"0000"),B1517),Addendum!I:I,"X")&gt;0,10%,0)</f>
        <v>0</v>
      </c>
      <c r="M1517" s="34">
        <f t="shared" si="46"/>
        <v>0</v>
      </c>
      <c r="N1517" s="17">
        <f t="shared" si="47"/>
        <v>99048.6</v>
      </c>
    </row>
    <row r="1518" spans="1:14" x14ac:dyDescent="0.25">
      <c r="A1518" s="14" t="s">
        <v>2239</v>
      </c>
      <c r="B1518" s="14" t="s">
        <v>28</v>
      </c>
      <c r="C1518" s="15" t="s">
        <v>2245</v>
      </c>
      <c r="D1518" s="14" t="s">
        <v>1745</v>
      </c>
      <c r="E1518" s="14" t="s">
        <v>1746</v>
      </c>
      <c r="F1518" s="17" t="s">
        <v>2994</v>
      </c>
      <c r="G1518" s="14">
        <v>17325</v>
      </c>
      <c r="H1518" s="14">
        <v>12127.56</v>
      </c>
      <c r="I1518" s="31">
        <f>IF(COUNTIFS(Addendum!C:C,A1518,Addendum!D:D,IF(ISNUMBER(B1518),TEXT(B1518,"0000"),B1518),Addendum!E:E,"X")&gt;0,4%,0)</f>
        <v>0</v>
      </c>
      <c r="J1518" s="31">
        <f>IF(COUNTIFS(Addendum!C:C,A1518,Addendum!D:D,IF(ISNUMBER(B1518),TEXT(B1518,"0000"),B1518),Addendum!F:F,"X")&gt;0,2.5%,0)</f>
        <v>0</v>
      </c>
      <c r="K1518" s="31">
        <f>IF(COUNTIFS(Addendum!C:C,A1518,Addendum!D:D,IF(ISNUMBER(B1518),TEXT(B1518,"0000"),B1518),Addendum!G:G,"X")&gt;0,7%,0)</f>
        <v>0</v>
      </c>
      <c r="L1518" s="31">
        <f>IF(COUNTIFS(Addendum!C:C,A1518,Addendum!D:D,IF(ISNUMBER(B1518),TEXT(B1518,"0000"),B1518),Addendum!I:I,"X")&gt;0,10%,0)</f>
        <v>0</v>
      </c>
      <c r="M1518" s="34">
        <f t="shared" si="46"/>
        <v>0</v>
      </c>
      <c r="N1518" s="17">
        <f t="shared" si="47"/>
        <v>12127.56</v>
      </c>
    </row>
    <row r="1519" spans="1:14" x14ac:dyDescent="0.25">
      <c r="A1519" s="14" t="s">
        <v>2239</v>
      </c>
      <c r="B1519" s="14">
        <v>1</v>
      </c>
      <c r="C1519" s="15" t="s">
        <v>2240</v>
      </c>
      <c r="D1519" s="14" t="s">
        <v>1752</v>
      </c>
      <c r="E1519" s="14" t="s">
        <v>1753</v>
      </c>
      <c r="F1519" s="17" t="s">
        <v>2993</v>
      </c>
      <c r="G1519" s="14">
        <v>404280</v>
      </c>
      <c r="H1519" s="14">
        <v>282996</v>
      </c>
      <c r="I1519" s="31">
        <f>IF(COUNTIFS(Addendum!C:C,A1519,Addendum!D:D,IF(ISNUMBER(B1519),TEXT(B1519,"0000"),B1519),Addendum!E:E,"X")&gt;0,4%,0)</f>
        <v>0</v>
      </c>
      <c r="J1519" s="31">
        <f>IF(COUNTIFS(Addendum!C:C,A1519,Addendum!D:D,IF(ISNUMBER(B1519),TEXT(B1519,"0000"),B1519),Addendum!F:F,"X")&gt;0,2.5%,0)</f>
        <v>0</v>
      </c>
      <c r="K1519" s="31">
        <f>IF(COUNTIFS(Addendum!C:C,A1519,Addendum!D:D,IF(ISNUMBER(B1519),TEXT(B1519,"0000"),B1519),Addendum!G:G,"X")&gt;0,7%,0)</f>
        <v>0</v>
      </c>
      <c r="L1519" s="31">
        <f>IF(COUNTIFS(Addendum!C:C,A1519,Addendum!D:D,IF(ISNUMBER(B1519),TEXT(B1519,"0000"),B1519),Addendum!I:I,"X")&gt;0,10%,0)</f>
        <v>0</v>
      </c>
      <c r="M1519" s="34">
        <f t="shared" si="46"/>
        <v>0</v>
      </c>
      <c r="N1519" s="17">
        <f t="shared" si="47"/>
        <v>282996</v>
      </c>
    </row>
    <row r="1520" spans="1:14" x14ac:dyDescent="0.25">
      <c r="A1520" s="14" t="s">
        <v>2239</v>
      </c>
      <c r="B1520" s="14" t="s">
        <v>28</v>
      </c>
      <c r="C1520" s="15" t="s">
        <v>2245</v>
      </c>
      <c r="D1520" s="14" t="s">
        <v>1749</v>
      </c>
      <c r="E1520" s="14" t="s">
        <v>1746</v>
      </c>
      <c r="F1520" s="17" t="s">
        <v>2994</v>
      </c>
      <c r="G1520" s="14">
        <v>1650</v>
      </c>
      <c r="H1520" s="14">
        <v>1155</v>
      </c>
      <c r="I1520" s="31">
        <f>IF(COUNTIFS(Addendum!C:C,A1520,Addendum!D:D,IF(ISNUMBER(B1520),TEXT(B1520,"0000"),B1520),Addendum!E:E,"X")&gt;0,4%,0)</f>
        <v>0</v>
      </c>
      <c r="J1520" s="31">
        <f>IF(COUNTIFS(Addendum!C:C,A1520,Addendum!D:D,IF(ISNUMBER(B1520),TEXT(B1520,"0000"),B1520),Addendum!F:F,"X")&gt;0,2.5%,0)</f>
        <v>0</v>
      </c>
      <c r="K1520" s="31">
        <f>IF(COUNTIFS(Addendum!C:C,A1520,Addendum!D:D,IF(ISNUMBER(B1520),TEXT(B1520,"0000"),B1520),Addendum!G:G,"X")&gt;0,7%,0)</f>
        <v>0</v>
      </c>
      <c r="L1520" s="31">
        <f>IF(COUNTIFS(Addendum!C:C,A1520,Addendum!D:D,IF(ISNUMBER(B1520),TEXT(B1520,"0000"),B1520),Addendum!I:I,"X")&gt;0,10%,0)</f>
        <v>0</v>
      </c>
      <c r="M1520" s="34">
        <f t="shared" si="46"/>
        <v>0</v>
      </c>
      <c r="N1520" s="17">
        <f t="shared" si="47"/>
        <v>1155</v>
      </c>
    </row>
    <row r="1521" spans="1:14" x14ac:dyDescent="0.25">
      <c r="A1521" s="14" t="s">
        <v>2239</v>
      </c>
      <c r="B1521" s="14">
        <v>1</v>
      </c>
      <c r="C1521" s="15" t="s">
        <v>2240</v>
      </c>
      <c r="D1521" s="14" t="s">
        <v>1752</v>
      </c>
      <c r="E1521" s="14" t="s">
        <v>1747</v>
      </c>
      <c r="F1521" s="17" t="s">
        <v>2993</v>
      </c>
      <c r="G1521" s="14">
        <v>404280</v>
      </c>
      <c r="H1521" s="14">
        <v>282996</v>
      </c>
      <c r="I1521" s="31">
        <f>IF(COUNTIFS(Addendum!C:C,A1521,Addendum!D:D,IF(ISNUMBER(B1521),TEXT(B1521,"0000"),B1521),Addendum!E:E,"X")&gt;0,4%,0)</f>
        <v>0</v>
      </c>
      <c r="J1521" s="31">
        <f>IF(COUNTIFS(Addendum!C:C,A1521,Addendum!D:D,IF(ISNUMBER(B1521),TEXT(B1521,"0000"),B1521),Addendum!F:F,"X")&gt;0,2.5%,0)</f>
        <v>0</v>
      </c>
      <c r="K1521" s="31">
        <f>IF(COUNTIFS(Addendum!C:C,A1521,Addendum!D:D,IF(ISNUMBER(B1521),TEXT(B1521,"0000"),B1521),Addendum!G:G,"X")&gt;0,7%,0)</f>
        <v>0</v>
      </c>
      <c r="L1521" s="31">
        <f>IF(COUNTIFS(Addendum!C:C,A1521,Addendum!D:D,IF(ISNUMBER(B1521),TEXT(B1521,"0000"),B1521),Addendum!I:I,"X")&gt;0,10%,0)</f>
        <v>0</v>
      </c>
      <c r="M1521" s="34">
        <f t="shared" si="46"/>
        <v>0</v>
      </c>
      <c r="N1521" s="17">
        <f t="shared" si="47"/>
        <v>282996</v>
      </c>
    </row>
    <row r="1522" spans="1:14" x14ac:dyDescent="0.25">
      <c r="A1522" s="14" t="s">
        <v>2239</v>
      </c>
      <c r="B1522" s="14">
        <v>2</v>
      </c>
      <c r="C1522" s="15" t="s">
        <v>2246</v>
      </c>
      <c r="D1522" s="14" t="s">
        <v>1745</v>
      </c>
      <c r="E1522" s="14" t="s">
        <v>1746</v>
      </c>
      <c r="F1522" s="17" t="s">
        <v>2993</v>
      </c>
      <c r="G1522" s="14">
        <v>31437</v>
      </c>
      <c r="H1522" s="14">
        <v>22005.96</v>
      </c>
      <c r="I1522" s="31">
        <f>IF(COUNTIFS(Addendum!C:C,A1522,Addendum!D:D,IF(ISNUMBER(B1522),TEXT(B1522,"0000"),B1522),Addendum!E:E,"X")&gt;0,4%,0)</f>
        <v>0</v>
      </c>
      <c r="J1522" s="31">
        <f>IF(COUNTIFS(Addendum!C:C,A1522,Addendum!D:D,IF(ISNUMBER(B1522),TEXT(B1522,"0000"),B1522),Addendum!F:F,"X")&gt;0,2.5%,0)</f>
        <v>0</v>
      </c>
      <c r="K1522" s="31">
        <f>IF(COUNTIFS(Addendum!C:C,A1522,Addendum!D:D,IF(ISNUMBER(B1522),TEXT(B1522,"0000"),B1522),Addendum!G:G,"X")&gt;0,7%,0)</f>
        <v>0</v>
      </c>
      <c r="L1522" s="31">
        <f>IF(COUNTIFS(Addendum!C:C,A1522,Addendum!D:D,IF(ISNUMBER(B1522),TEXT(B1522,"0000"),B1522),Addendum!I:I,"X")&gt;0,10%,0)</f>
        <v>0</v>
      </c>
      <c r="M1522" s="34">
        <f t="shared" si="46"/>
        <v>0</v>
      </c>
      <c r="N1522" s="17">
        <f t="shared" si="47"/>
        <v>22005.96</v>
      </c>
    </row>
    <row r="1523" spans="1:14" x14ac:dyDescent="0.25">
      <c r="A1523" s="14" t="s">
        <v>2239</v>
      </c>
      <c r="B1523" s="14" t="s">
        <v>46</v>
      </c>
      <c r="C1523" s="15" t="s">
        <v>2247</v>
      </c>
      <c r="D1523" s="14" t="s">
        <v>1745</v>
      </c>
      <c r="E1523" s="14" t="s">
        <v>1746</v>
      </c>
      <c r="F1523" s="17" t="s">
        <v>2994</v>
      </c>
      <c r="G1523" s="14">
        <v>77805</v>
      </c>
      <c r="H1523" s="14">
        <v>54463.56</v>
      </c>
      <c r="I1523" s="31">
        <f>IF(COUNTIFS(Addendum!C:C,A1523,Addendum!D:D,IF(ISNUMBER(B1523),TEXT(B1523,"0000"),B1523),Addendum!E:E,"X")&gt;0,4%,0)</f>
        <v>0</v>
      </c>
      <c r="J1523" s="31">
        <f>IF(COUNTIFS(Addendum!C:C,A1523,Addendum!D:D,IF(ISNUMBER(B1523),TEXT(B1523,"0000"),B1523),Addendum!F:F,"X")&gt;0,2.5%,0)</f>
        <v>0</v>
      </c>
      <c r="K1523" s="31">
        <f>IF(COUNTIFS(Addendum!C:C,A1523,Addendum!D:D,IF(ISNUMBER(B1523),TEXT(B1523,"0000"),B1523),Addendum!G:G,"X")&gt;0,7%,0)</f>
        <v>0</v>
      </c>
      <c r="L1523" s="31">
        <f>IF(COUNTIFS(Addendum!C:C,A1523,Addendum!D:D,IF(ISNUMBER(B1523),TEXT(B1523,"0000"),B1523),Addendum!I:I,"X")&gt;0,10%,0)</f>
        <v>0</v>
      </c>
      <c r="M1523" s="34">
        <f t="shared" si="46"/>
        <v>0</v>
      </c>
      <c r="N1523" s="17">
        <f t="shared" si="47"/>
        <v>54463.56</v>
      </c>
    </row>
    <row r="1524" spans="1:14" x14ac:dyDescent="0.25">
      <c r="A1524" s="14" t="s">
        <v>2239</v>
      </c>
      <c r="B1524" s="14" t="s">
        <v>195</v>
      </c>
      <c r="C1524" s="15" t="s">
        <v>2241</v>
      </c>
      <c r="D1524" s="14" t="s">
        <v>1745</v>
      </c>
      <c r="E1524" s="14" t="s">
        <v>1747</v>
      </c>
      <c r="F1524" s="17" t="s">
        <v>2994</v>
      </c>
      <c r="G1524" s="14">
        <v>12000</v>
      </c>
      <c r="H1524" s="14">
        <v>8400</v>
      </c>
      <c r="I1524" s="31">
        <f>IF(COUNTIFS(Addendum!C:C,A1524,Addendum!D:D,IF(ISNUMBER(B1524),TEXT(B1524,"0000"),B1524),Addendum!E:E,"X")&gt;0,4%,0)</f>
        <v>0</v>
      </c>
      <c r="J1524" s="31">
        <f>IF(COUNTIFS(Addendum!C:C,A1524,Addendum!D:D,IF(ISNUMBER(B1524),TEXT(B1524,"0000"),B1524),Addendum!F:F,"X")&gt;0,2.5%,0)</f>
        <v>0</v>
      </c>
      <c r="K1524" s="31">
        <f>IF(COUNTIFS(Addendum!C:C,A1524,Addendum!D:D,IF(ISNUMBER(B1524),TEXT(B1524,"0000"),B1524),Addendum!G:G,"X")&gt;0,7%,0)</f>
        <v>0</v>
      </c>
      <c r="L1524" s="31">
        <f>IF(COUNTIFS(Addendum!C:C,A1524,Addendum!D:D,IF(ISNUMBER(B1524),TEXT(B1524,"0000"),B1524),Addendum!I:I,"X")&gt;0,10%,0)</f>
        <v>0</v>
      </c>
      <c r="M1524" s="34">
        <f t="shared" si="46"/>
        <v>0</v>
      </c>
      <c r="N1524" s="17">
        <f t="shared" si="47"/>
        <v>8400</v>
      </c>
    </row>
    <row r="1525" spans="1:14" x14ac:dyDescent="0.25">
      <c r="A1525" s="14" t="s">
        <v>2239</v>
      </c>
      <c r="B1525" s="14" t="s">
        <v>28</v>
      </c>
      <c r="C1525" s="15" t="s">
        <v>2245</v>
      </c>
      <c r="D1525" s="14" t="s">
        <v>1745</v>
      </c>
      <c r="E1525" s="14" t="s">
        <v>1747</v>
      </c>
      <c r="F1525" s="17" t="s">
        <v>2994</v>
      </c>
      <c r="G1525" s="14">
        <v>16500</v>
      </c>
      <c r="H1525" s="14">
        <v>11550</v>
      </c>
      <c r="I1525" s="31">
        <f>IF(COUNTIFS(Addendum!C:C,A1525,Addendum!D:D,IF(ISNUMBER(B1525),TEXT(B1525,"0000"),B1525),Addendum!E:E,"X")&gt;0,4%,0)</f>
        <v>0</v>
      </c>
      <c r="J1525" s="31">
        <f>IF(COUNTIFS(Addendum!C:C,A1525,Addendum!D:D,IF(ISNUMBER(B1525),TEXT(B1525,"0000"),B1525),Addendum!F:F,"X")&gt;0,2.5%,0)</f>
        <v>0</v>
      </c>
      <c r="K1525" s="31">
        <f>IF(COUNTIFS(Addendum!C:C,A1525,Addendum!D:D,IF(ISNUMBER(B1525),TEXT(B1525,"0000"),B1525),Addendum!G:G,"X")&gt;0,7%,0)</f>
        <v>0</v>
      </c>
      <c r="L1525" s="31">
        <f>IF(COUNTIFS(Addendum!C:C,A1525,Addendum!D:D,IF(ISNUMBER(B1525),TEXT(B1525,"0000"),B1525),Addendum!I:I,"X")&gt;0,10%,0)</f>
        <v>0</v>
      </c>
      <c r="M1525" s="34">
        <f t="shared" si="46"/>
        <v>0</v>
      </c>
      <c r="N1525" s="17">
        <f t="shared" si="47"/>
        <v>11550</v>
      </c>
    </row>
    <row r="1526" spans="1:14" x14ac:dyDescent="0.25">
      <c r="A1526" s="14" t="s">
        <v>2239</v>
      </c>
      <c r="B1526" s="14" t="s">
        <v>46</v>
      </c>
      <c r="C1526" s="15" t="s">
        <v>2247</v>
      </c>
      <c r="D1526" s="14" t="s">
        <v>1745</v>
      </c>
      <c r="E1526" s="14" t="s">
        <v>1747</v>
      </c>
      <c r="F1526" s="17" t="s">
        <v>2994</v>
      </c>
      <c r="G1526" s="14">
        <v>74100</v>
      </c>
      <c r="H1526" s="14">
        <v>51870</v>
      </c>
      <c r="I1526" s="31">
        <f>IF(COUNTIFS(Addendum!C:C,A1526,Addendum!D:D,IF(ISNUMBER(B1526),TEXT(B1526,"0000"),B1526),Addendum!E:E,"X")&gt;0,4%,0)</f>
        <v>0</v>
      </c>
      <c r="J1526" s="31">
        <f>IF(COUNTIFS(Addendum!C:C,A1526,Addendum!D:D,IF(ISNUMBER(B1526),TEXT(B1526,"0000"),B1526),Addendum!F:F,"X")&gt;0,2.5%,0)</f>
        <v>0</v>
      </c>
      <c r="K1526" s="31">
        <f>IF(COUNTIFS(Addendum!C:C,A1526,Addendum!D:D,IF(ISNUMBER(B1526),TEXT(B1526,"0000"),B1526),Addendum!G:G,"X")&gt;0,7%,0)</f>
        <v>0</v>
      </c>
      <c r="L1526" s="31">
        <f>IF(COUNTIFS(Addendum!C:C,A1526,Addendum!D:D,IF(ISNUMBER(B1526),TEXT(B1526,"0000"),B1526),Addendum!I:I,"X")&gt;0,10%,0)</f>
        <v>0</v>
      </c>
      <c r="M1526" s="34">
        <f t="shared" si="46"/>
        <v>0</v>
      </c>
      <c r="N1526" s="17">
        <f t="shared" si="47"/>
        <v>51870</v>
      </c>
    </row>
    <row r="1527" spans="1:14" x14ac:dyDescent="0.25">
      <c r="A1527" s="14" t="s">
        <v>2239</v>
      </c>
      <c r="B1527" s="14">
        <v>2</v>
      </c>
      <c r="C1527" s="15" t="s">
        <v>2246</v>
      </c>
      <c r="D1527" s="14" t="s">
        <v>1752</v>
      </c>
      <c r="E1527" s="14" t="s">
        <v>1747</v>
      </c>
      <c r="F1527" s="17" t="s">
        <v>2993</v>
      </c>
      <c r="G1527" s="14">
        <v>89820</v>
      </c>
      <c r="H1527" s="14">
        <v>62874</v>
      </c>
      <c r="I1527" s="31">
        <f>IF(COUNTIFS(Addendum!C:C,A1527,Addendum!D:D,IF(ISNUMBER(B1527),TEXT(B1527,"0000"),B1527),Addendum!E:E,"X")&gt;0,4%,0)</f>
        <v>0</v>
      </c>
      <c r="J1527" s="31">
        <f>IF(COUNTIFS(Addendum!C:C,A1527,Addendum!D:D,IF(ISNUMBER(B1527),TEXT(B1527,"0000"),B1527),Addendum!F:F,"X")&gt;0,2.5%,0)</f>
        <v>0</v>
      </c>
      <c r="K1527" s="31">
        <f>IF(COUNTIFS(Addendum!C:C,A1527,Addendum!D:D,IF(ISNUMBER(B1527),TEXT(B1527,"0000"),B1527),Addendum!G:G,"X")&gt;0,7%,0)</f>
        <v>0</v>
      </c>
      <c r="L1527" s="31">
        <f>IF(COUNTIFS(Addendum!C:C,A1527,Addendum!D:D,IF(ISNUMBER(B1527),TEXT(B1527,"0000"),B1527),Addendum!I:I,"X")&gt;0,10%,0)</f>
        <v>0</v>
      </c>
      <c r="M1527" s="34">
        <f t="shared" si="46"/>
        <v>0</v>
      </c>
      <c r="N1527" s="17">
        <f t="shared" si="47"/>
        <v>62874</v>
      </c>
    </row>
    <row r="1528" spans="1:14" x14ac:dyDescent="0.25">
      <c r="A1528" s="14" t="s">
        <v>2239</v>
      </c>
      <c r="B1528" s="14" t="s">
        <v>46</v>
      </c>
      <c r="C1528" s="15" t="s">
        <v>2247</v>
      </c>
      <c r="D1528" s="14" t="s">
        <v>1749</v>
      </c>
      <c r="E1528" s="14" t="s">
        <v>1746</v>
      </c>
      <c r="F1528" s="17" t="s">
        <v>2994</v>
      </c>
      <c r="G1528" s="14">
        <v>7410</v>
      </c>
      <c r="H1528" s="14">
        <v>5187</v>
      </c>
      <c r="I1528" s="31">
        <f>IF(COUNTIFS(Addendum!C:C,A1528,Addendum!D:D,IF(ISNUMBER(B1528),TEXT(B1528,"0000"),B1528),Addendum!E:E,"X")&gt;0,4%,0)</f>
        <v>0</v>
      </c>
      <c r="J1528" s="31">
        <f>IF(COUNTIFS(Addendum!C:C,A1528,Addendum!D:D,IF(ISNUMBER(B1528),TEXT(B1528,"0000"),B1528),Addendum!F:F,"X")&gt;0,2.5%,0)</f>
        <v>0</v>
      </c>
      <c r="K1528" s="31">
        <f>IF(COUNTIFS(Addendum!C:C,A1528,Addendum!D:D,IF(ISNUMBER(B1528),TEXT(B1528,"0000"),B1528),Addendum!G:G,"X")&gt;0,7%,0)</f>
        <v>0</v>
      </c>
      <c r="L1528" s="31">
        <f>IF(COUNTIFS(Addendum!C:C,A1528,Addendum!D:D,IF(ISNUMBER(B1528),TEXT(B1528,"0000"),B1528),Addendum!I:I,"X")&gt;0,10%,0)</f>
        <v>0</v>
      </c>
      <c r="M1528" s="34">
        <f t="shared" si="46"/>
        <v>0</v>
      </c>
      <c r="N1528" s="17">
        <f t="shared" si="47"/>
        <v>5187</v>
      </c>
    </row>
    <row r="1529" spans="1:14" x14ac:dyDescent="0.25">
      <c r="A1529" s="14" t="s">
        <v>2239</v>
      </c>
      <c r="B1529" s="14" t="s">
        <v>32</v>
      </c>
      <c r="C1529" s="15" t="s">
        <v>2242</v>
      </c>
      <c r="D1529" s="14" t="s">
        <v>1745</v>
      </c>
      <c r="E1529" s="14" t="s">
        <v>1746</v>
      </c>
      <c r="F1529" s="17" t="s">
        <v>2995</v>
      </c>
      <c r="G1529" s="14">
        <v>15750</v>
      </c>
      <c r="H1529" s="14">
        <v>14175</v>
      </c>
      <c r="I1529" s="31">
        <f>IF(COUNTIFS(Addendum!C:C,A1529,Addendum!D:D,IF(ISNUMBER(B1529),TEXT(B1529,"0000"),B1529),Addendum!E:E,"X")&gt;0,4%,0)</f>
        <v>0</v>
      </c>
      <c r="J1529" s="31">
        <f>IF(COUNTIFS(Addendum!C:C,A1529,Addendum!D:D,IF(ISNUMBER(B1529),TEXT(B1529,"0000"),B1529),Addendum!F:F,"X")&gt;0,2.5%,0)</f>
        <v>0</v>
      </c>
      <c r="K1529" s="31">
        <f>IF(COUNTIFS(Addendum!C:C,A1529,Addendum!D:D,IF(ISNUMBER(B1529),TEXT(B1529,"0000"),B1529),Addendum!G:G,"X")&gt;0,7%,0)</f>
        <v>0</v>
      </c>
      <c r="L1529" s="31">
        <f>IF(COUNTIFS(Addendum!C:C,A1529,Addendum!D:D,IF(ISNUMBER(B1529),TEXT(B1529,"0000"),B1529),Addendum!I:I,"X")&gt;0,10%,0)</f>
        <v>0</v>
      </c>
      <c r="M1529" s="34">
        <f t="shared" si="46"/>
        <v>0</v>
      </c>
      <c r="N1529" s="17">
        <f t="shared" si="47"/>
        <v>14175</v>
      </c>
    </row>
    <row r="1530" spans="1:14" x14ac:dyDescent="0.25">
      <c r="A1530" s="14" t="s">
        <v>2239</v>
      </c>
      <c r="B1530" s="14" t="s">
        <v>122</v>
      </c>
      <c r="C1530" s="15" t="s">
        <v>2244</v>
      </c>
      <c r="D1530" s="14" t="s">
        <v>1745</v>
      </c>
      <c r="E1530" s="14" t="s">
        <v>1747</v>
      </c>
      <c r="F1530" s="17" t="s">
        <v>2994</v>
      </c>
      <c r="G1530" s="14">
        <v>53940</v>
      </c>
      <c r="H1530" s="14">
        <v>37758</v>
      </c>
      <c r="I1530" s="31">
        <f>IF(COUNTIFS(Addendum!C:C,A1530,Addendum!D:D,IF(ISNUMBER(B1530),TEXT(B1530,"0000"),B1530),Addendum!E:E,"X")&gt;0,4%,0)</f>
        <v>0</v>
      </c>
      <c r="J1530" s="31">
        <f>IF(COUNTIFS(Addendum!C:C,A1530,Addendum!D:D,IF(ISNUMBER(B1530),TEXT(B1530,"0000"),B1530),Addendum!F:F,"X")&gt;0,2.5%,0)</f>
        <v>0</v>
      </c>
      <c r="K1530" s="31">
        <f>IF(COUNTIFS(Addendum!C:C,A1530,Addendum!D:D,IF(ISNUMBER(B1530),TEXT(B1530,"0000"),B1530),Addendum!G:G,"X")&gt;0,7%,0)</f>
        <v>0</v>
      </c>
      <c r="L1530" s="31">
        <f>IF(COUNTIFS(Addendum!C:C,A1530,Addendum!D:D,IF(ISNUMBER(B1530),TEXT(B1530,"0000"),B1530),Addendum!I:I,"X")&gt;0,10%,0)</f>
        <v>0</v>
      </c>
      <c r="M1530" s="34">
        <f t="shared" si="46"/>
        <v>0</v>
      </c>
      <c r="N1530" s="17">
        <f t="shared" si="47"/>
        <v>37758</v>
      </c>
    </row>
    <row r="1531" spans="1:14" x14ac:dyDescent="0.25">
      <c r="A1531" s="14" t="s">
        <v>2239</v>
      </c>
      <c r="B1531" s="14" t="s">
        <v>39</v>
      </c>
      <c r="C1531" s="15" t="s">
        <v>2243</v>
      </c>
      <c r="D1531" s="14" t="s">
        <v>1749</v>
      </c>
      <c r="E1531" s="14" t="s">
        <v>1746</v>
      </c>
      <c r="F1531" s="17" t="s">
        <v>2995</v>
      </c>
      <c r="G1531" s="14">
        <v>5394</v>
      </c>
      <c r="H1531" s="14">
        <v>4854.6000000000004</v>
      </c>
      <c r="I1531" s="31">
        <f>IF(COUNTIFS(Addendum!C:C,A1531,Addendum!D:D,IF(ISNUMBER(B1531),TEXT(B1531,"0000"),B1531),Addendum!E:E,"X")&gt;0,4%,0)</f>
        <v>0</v>
      </c>
      <c r="J1531" s="31">
        <f>IF(COUNTIFS(Addendum!C:C,A1531,Addendum!D:D,IF(ISNUMBER(B1531),TEXT(B1531,"0000"),B1531),Addendum!F:F,"X")&gt;0,2.5%,0)</f>
        <v>0</v>
      </c>
      <c r="K1531" s="31">
        <f>IF(COUNTIFS(Addendum!C:C,A1531,Addendum!D:D,IF(ISNUMBER(B1531),TEXT(B1531,"0000"),B1531),Addendum!G:G,"X")&gt;0,7%,0)</f>
        <v>0</v>
      </c>
      <c r="L1531" s="31">
        <f>IF(COUNTIFS(Addendum!C:C,A1531,Addendum!D:D,IF(ISNUMBER(B1531),TEXT(B1531,"0000"),B1531),Addendum!I:I,"X")&gt;0,10%,0)</f>
        <v>0</v>
      </c>
      <c r="M1531" s="34">
        <f t="shared" si="46"/>
        <v>0</v>
      </c>
      <c r="N1531" s="17">
        <f t="shared" si="47"/>
        <v>4854.6000000000004</v>
      </c>
    </row>
    <row r="1532" spans="1:14" x14ac:dyDescent="0.25">
      <c r="A1532" s="14" t="s">
        <v>2239</v>
      </c>
      <c r="B1532" s="14" t="s">
        <v>39</v>
      </c>
      <c r="C1532" s="15" t="s">
        <v>2243</v>
      </c>
      <c r="D1532" s="14" t="s">
        <v>1752</v>
      </c>
      <c r="E1532" s="14" t="s">
        <v>1747</v>
      </c>
      <c r="F1532" s="17" t="s">
        <v>2995</v>
      </c>
      <c r="G1532" s="14">
        <v>161820</v>
      </c>
      <c r="H1532" s="14">
        <v>145638</v>
      </c>
      <c r="I1532" s="31">
        <f>IF(COUNTIFS(Addendum!C:C,A1532,Addendum!D:D,IF(ISNUMBER(B1532),TEXT(B1532,"0000"),B1532),Addendum!E:E,"X")&gt;0,4%,0)</f>
        <v>0</v>
      </c>
      <c r="J1532" s="31">
        <f>IF(COUNTIFS(Addendum!C:C,A1532,Addendum!D:D,IF(ISNUMBER(B1532),TEXT(B1532,"0000"),B1532),Addendum!F:F,"X")&gt;0,2.5%,0)</f>
        <v>0</v>
      </c>
      <c r="K1532" s="31">
        <f>IF(COUNTIFS(Addendum!C:C,A1532,Addendum!D:D,IF(ISNUMBER(B1532),TEXT(B1532,"0000"),B1532),Addendum!G:G,"X")&gt;0,7%,0)</f>
        <v>0</v>
      </c>
      <c r="L1532" s="31">
        <f>IF(COUNTIFS(Addendum!C:C,A1532,Addendum!D:D,IF(ISNUMBER(B1532),TEXT(B1532,"0000"),B1532),Addendum!I:I,"X")&gt;0,10%,0)</f>
        <v>0</v>
      </c>
      <c r="M1532" s="34">
        <f t="shared" si="46"/>
        <v>0</v>
      </c>
      <c r="N1532" s="17">
        <f t="shared" si="47"/>
        <v>145638</v>
      </c>
    </row>
    <row r="1533" spans="1:14" x14ac:dyDescent="0.25">
      <c r="A1533" s="14" t="s">
        <v>2239</v>
      </c>
      <c r="B1533" s="14">
        <v>1</v>
      </c>
      <c r="C1533" s="15" t="s">
        <v>2240</v>
      </c>
      <c r="D1533" s="14" t="s">
        <v>1752</v>
      </c>
      <c r="E1533" s="14" t="s">
        <v>1746</v>
      </c>
      <c r="F1533" s="17" t="s">
        <v>2993</v>
      </c>
      <c r="G1533" s="14">
        <v>424494</v>
      </c>
      <c r="H1533" s="14">
        <v>297145.8</v>
      </c>
      <c r="I1533" s="31">
        <f>IF(COUNTIFS(Addendum!C:C,A1533,Addendum!D:D,IF(ISNUMBER(B1533),TEXT(B1533,"0000"),B1533),Addendum!E:E,"X")&gt;0,4%,0)</f>
        <v>0</v>
      </c>
      <c r="J1533" s="31">
        <f>IF(COUNTIFS(Addendum!C:C,A1533,Addendum!D:D,IF(ISNUMBER(B1533),TEXT(B1533,"0000"),B1533),Addendum!F:F,"X")&gt;0,2.5%,0)</f>
        <v>0</v>
      </c>
      <c r="K1533" s="31">
        <f>IF(COUNTIFS(Addendum!C:C,A1533,Addendum!D:D,IF(ISNUMBER(B1533),TEXT(B1533,"0000"),B1533),Addendum!G:G,"X")&gt;0,7%,0)</f>
        <v>0</v>
      </c>
      <c r="L1533" s="31">
        <f>IF(COUNTIFS(Addendum!C:C,A1533,Addendum!D:D,IF(ISNUMBER(B1533),TEXT(B1533,"0000"),B1533),Addendum!I:I,"X")&gt;0,10%,0)</f>
        <v>0</v>
      </c>
      <c r="M1533" s="34">
        <f t="shared" si="46"/>
        <v>0</v>
      </c>
      <c r="N1533" s="17">
        <f t="shared" si="47"/>
        <v>297145.8</v>
      </c>
    </row>
    <row r="1534" spans="1:14" x14ac:dyDescent="0.25">
      <c r="A1534" s="14" t="s">
        <v>2239</v>
      </c>
      <c r="B1534" s="14" t="s">
        <v>32</v>
      </c>
      <c r="C1534" s="15" t="s">
        <v>2242</v>
      </c>
      <c r="D1534" s="14" t="s">
        <v>1752</v>
      </c>
      <c r="E1534" s="14" t="s">
        <v>1747</v>
      </c>
      <c r="F1534" s="17" t="s">
        <v>2995</v>
      </c>
      <c r="G1534" s="14">
        <v>45000</v>
      </c>
      <c r="H1534" s="14">
        <v>40500</v>
      </c>
      <c r="I1534" s="31">
        <f>IF(COUNTIFS(Addendum!C:C,A1534,Addendum!D:D,IF(ISNUMBER(B1534),TEXT(B1534,"0000"),B1534),Addendum!E:E,"X")&gt;0,4%,0)</f>
        <v>0</v>
      </c>
      <c r="J1534" s="31">
        <f>IF(COUNTIFS(Addendum!C:C,A1534,Addendum!D:D,IF(ISNUMBER(B1534),TEXT(B1534,"0000"),B1534),Addendum!F:F,"X")&gt;0,2.5%,0)</f>
        <v>0</v>
      </c>
      <c r="K1534" s="31">
        <f>IF(COUNTIFS(Addendum!C:C,A1534,Addendum!D:D,IF(ISNUMBER(B1534),TEXT(B1534,"0000"),B1534),Addendum!G:G,"X")&gt;0,7%,0)</f>
        <v>0</v>
      </c>
      <c r="L1534" s="31">
        <f>IF(COUNTIFS(Addendum!C:C,A1534,Addendum!D:D,IF(ISNUMBER(B1534),TEXT(B1534,"0000"),B1534),Addendum!I:I,"X")&gt;0,10%,0)</f>
        <v>0</v>
      </c>
      <c r="M1534" s="34">
        <f t="shared" si="46"/>
        <v>0</v>
      </c>
      <c r="N1534" s="17">
        <f t="shared" si="47"/>
        <v>40500</v>
      </c>
    </row>
    <row r="1535" spans="1:14" x14ac:dyDescent="0.25">
      <c r="A1535" s="14" t="s">
        <v>2239</v>
      </c>
      <c r="B1535" s="14">
        <v>2</v>
      </c>
      <c r="C1535" s="15" t="s">
        <v>2246</v>
      </c>
      <c r="D1535" s="14" t="s">
        <v>1752</v>
      </c>
      <c r="E1535" s="14" t="s">
        <v>1753</v>
      </c>
      <c r="F1535" s="17" t="s">
        <v>2993</v>
      </c>
      <c r="G1535" s="14">
        <v>89820</v>
      </c>
      <c r="H1535" s="14">
        <v>62874</v>
      </c>
      <c r="I1535" s="31">
        <f>IF(COUNTIFS(Addendum!C:C,A1535,Addendum!D:D,IF(ISNUMBER(B1535),TEXT(B1535,"0000"),B1535),Addendum!E:E,"X")&gt;0,4%,0)</f>
        <v>0</v>
      </c>
      <c r="J1535" s="31">
        <f>IF(COUNTIFS(Addendum!C:C,A1535,Addendum!D:D,IF(ISNUMBER(B1535),TEXT(B1535,"0000"),B1535),Addendum!F:F,"X")&gt;0,2.5%,0)</f>
        <v>0</v>
      </c>
      <c r="K1535" s="31">
        <f>IF(COUNTIFS(Addendum!C:C,A1535,Addendum!D:D,IF(ISNUMBER(B1535),TEXT(B1535,"0000"),B1535),Addendum!G:G,"X")&gt;0,7%,0)</f>
        <v>0</v>
      </c>
      <c r="L1535" s="31">
        <f>IF(COUNTIFS(Addendum!C:C,A1535,Addendum!D:D,IF(ISNUMBER(B1535),TEXT(B1535,"0000"),B1535),Addendum!I:I,"X")&gt;0,10%,0)</f>
        <v>0</v>
      </c>
      <c r="M1535" s="34">
        <f t="shared" si="46"/>
        <v>0</v>
      </c>
      <c r="N1535" s="17">
        <f t="shared" si="47"/>
        <v>62874</v>
      </c>
    </row>
    <row r="1536" spans="1:14" x14ac:dyDescent="0.25">
      <c r="A1536" s="14" t="s">
        <v>2239</v>
      </c>
      <c r="B1536" s="14">
        <v>2</v>
      </c>
      <c r="C1536" s="15" t="s">
        <v>2246</v>
      </c>
      <c r="D1536" s="14" t="s">
        <v>1749</v>
      </c>
      <c r="E1536" s="14" t="s">
        <v>1746</v>
      </c>
      <c r="F1536" s="17" t="s">
        <v>2993</v>
      </c>
      <c r="G1536" s="14">
        <v>2994</v>
      </c>
      <c r="H1536" s="14">
        <v>2095.8000000000002</v>
      </c>
      <c r="I1536" s="31">
        <f>IF(COUNTIFS(Addendum!C:C,A1536,Addendum!D:D,IF(ISNUMBER(B1536),TEXT(B1536,"0000"),B1536),Addendum!E:E,"X")&gt;0,4%,0)</f>
        <v>0</v>
      </c>
      <c r="J1536" s="31">
        <f>IF(COUNTIFS(Addendum!C:C,A1536,Addendum!D:D,IF(ISNUMBER(B1536),TEXT(B1536,"0000"),B1536),Addendum!F:F,"X")&gt;0,2.5%,0)</f>
        <v>0</v>
      </c>
      <c r="K1536" s="31">
        <f>IF(COUNTIFS(Addendum!C:C,A1536,Addendum!D:D,IF(ISNUMBER(B1536),TEXT(B1536,"0000"),B1536),Addendum!G:G,"X")&gt;0,7%,0)</f>
        <v>0</v>
      </c>
      <c r="L1536" s="31">
        <f>IF(COUNTIFS(Addendum!C:C,A1536,Addendum!D:D,IF(ISNUMBER(B1536),TEXT(B1536,"0000"),B1536),Addendum!I:I,"X")&gt;0,10%,0)</f>
        <v>0</v>
      </c>
      <c r="M1536" s="34">
        <f t="shared" si="46"/>
        <v>0</v>
      </c>
      <c r="N1536" s="17">
        <f t="shared" si="47"/>
        <v>2095.8000000000002</v>
      </c>
    </row>
    <row r="1537" spans="1:14" x14ac:dyDescent="0.25">
      <c r="A1537" s="14" t="s">
        <v>2239</v>
      </c>
      <c r="B1537" s="14">
        <v>2</v>
      </c>
      <c r="C1537" s="15" t="s">
        <v>2246</v>
      </c>
      <c r="D1537" s="14" t="s">
        <v>1752</v>
      </c>
      <c r="E1537" s="14" t="s">
        <v>1746</v>
      </c>
      <c r="F1537" s="17" t="s">
        <v>2993</v>
      </c>
      <c r="G1537" s="14">
        <v>94311</v>
      </c>
      <c r="H1537" s="14">
        <v>66017.88</v>
      </c>
      <c r="I1537" s="31">
        <f>IF(COUNTIFS(Addendum!C:C,A1537,Addendum!D:D,IF(ISNUMBER(B1537),TEXT(B1537,"0000"),B1537),Addendum!E:E,"X")&gt;0,4%,0)</f>
        <v>0</v>
      </c>
      <c r="J1537" s="31">
        <f>IF(COUNTIFS(Addendum!C:C,A1537,Addendum!D:D,IF(ISNUMBER(B1537),TEXT(B1537,"0000"),B1537),Addendum!F:F,"X")&gt;0,2.5%,0)</f>
        <v>0</v>
      </c>
      <c r="K1537" s="31">
        <f>IF(COUNTIFS(Addendum!C:C,A1537,Addendum!D:D,IF(ISNUMBER(B1537),TEXT(B1537,"0000"),B1537),Addendum!G:G,"X")&gt;0,7%,0)</f>
        <v>0</v>
      </c>
      <c r="L1537" s="31">
        <f>IF(COUNTIFS(Addendum!C:C,A1537,Addendum!D:D,IF(ISNUMBER(B1537),TEXT(B1537,"0000"),B1537),Addendum!I:I,"X")&gt;0,10%,0)</f>
        <v>0</v>
      </c>
      <c r="M1537" s="34">
        <f t="shared" si="46"/>
        <v>0</v>
      </c>
      <c r="N1537" s="17">
        <f t="shared" si="47"/>
        <v>66017.88</v>
      </c>
    </row>
    <row r="1538" spans="1:14" x14ac:dyDescent="0.25">
      <c r="A1538" s="14" t="s">
        <v>2239</v>
      </c>
      <c r="B1538" s="14">
        <v>2</v>
      </c>
      <c r="C1538" s="15" t="s">
        <v>2246</v>
      </c>
      <c r="D1538" s="14" t="s">
        <v>1745</v>
      </c>
      <c r="E1538" s="14" t="s">
        <v>1747</v>
      </c>
      <c r="F1538" s="17" t="s">
        <v>2993</v>
      </c>
      <c r="G1538" s="14">
        <v>29940</v>
      </c>
      <c r="H1538" s="14">
        <v>20958</v>
      </c>
      <c r="I1538" s="31">
        <f>IF(COUNTIFS(Addendum!C:C,A1538,Addendum!D:D,IF(ISNUMBER(B1538),TEXT(B1538,"0000"),B1538),Addendum!E:E,"X")&gt;0,4%,0)</f>
        <v>0</v>
      </c>
      <c r="J1538" s="31">
        <f>IF(COUNTIFS(Addendum!C:C,A1538,Addendum!D:D,IF(ISNUMBER(B1538),TEXT(B1538,"0000"),B1538),Addendum!F:F,"X")&gt;0,2.5%,0)</f>
        <v>0</v>
      </c>
      <c r="K1538" s="31">
        <f>IF(COUNTIFS(Addendum!C:C,A1538,Addendum!D:D,IF(ISNUMBER(B1538),TEXT(B1538,"0000"),B1538),Addendum!G:G,"X")&gt;0,7%,0)</f>
        <v>0</v>
      </c>
      <c r="L1538" s="31">
        <f>IF(COUNTIFS(Addendum!C:C,A1538,Addendum!D:D,IF(ISNUMBER(B1538),TEXT(B1538,"0000"),B1538),Addendum!I:I,"X")&gt;0,10%,0)</f>
        <v>0</v>
      </c>
      <c r="M1538" s="34">
        <f t="shared" si="46"/>
        <v>0</v>
      </c>
      <c r="N1538" s="17">
        <f t="shared" si="47"/>
        <v>20958</v>
      </c>
    </row>
    <row r="1539" spans="1:14" x14ac:dyDescent="0.25">
      <c r="A1539" s="14" t="s">
        <v>2239</v>
      </c>
      <c r="B1539" s="14" t="s">
        <v>39</v>
      </c>
      <c r="C1539" s="15" t="s">
        <v>2243</v>
      </c>
      <c r="D1539" s="14" t="s">
        <v>1745</v>
      </c>
      <c r="E1539" s="14" t="s">
        <v>1746</v>
      </c>
      <c r="F1539" s="17" t="s">
        <v>2995</v>
      </c>
      <c r="G1539" s="14">
        <v>56637</v>
      </c>
      <c r="H1539" s="14">
        <v>50973.36</v>
      </c>
      <c r="I1539" s="31">
        <f>IF(COUNTIFS(Addendum!C:C,A1539,Addendum!D:D,IF(ISNUMBER(B1539),TEXT(B1539,"0000"),B1539),Addendum!E:E,"X")&gt;0,4%,0)</f>
        <v>0</v>
      </c>
      <c r="J1539" s="31">
        <f>IF(COUNTIFS(Addendum!C:C,A1539,Addendum!D:D,IF(ISNUMBER(B1539),TEXT(B1539,"0000"),B1539),Addendum!F:F,"X")&gt;0,2.5%,0)</f>
        <v>0</v>
      </c>
      <c r="K1539" s="31">
        <f>IF(COUNTIFS(Addendum!C:C,A1539,Addendum!D:D,IF(ISNUMBER(B1539),TEXT(B1539,"0000"),B1539),Addendum!G:G,"X")&gt;0,7%,0)</f>
        <v>0</v>
      </c>
      <c r="L1539" s="31">
        <f>IF(COUNTIFS(Addendum!C:C,A1539,Addendum!D:D,IF(ISNUMBER(B1539),TEXT(B1539,"0000"),B1539),Addendum!I:I,"X")&gt;0,10%,0)</f>
        <v>0</v>
      </c>
      <c r="M1539" s="34">
        <f t="shared" si="46"/>
        <v>0</v>
      </c>
      <c r="N1539" s="17">
        <f t="shared" si="47"/>
        <v>50973.36</v>
      </c>
    </row>
    <row r="1540" spans="1:14" x14ac:dyDescent="0.25">
      <c r="A1540" s="14" t="s">
        <v>2239</v>
      </c>
      <c r="B1540" s="14" t="s">
        <v>122</v>
      </c>
      <c r="C1540" s="15" t="s">
        <v>2244</v>
      </c>
      <c r="D1540" s="14" t="s">
        <v>1749</v>
      </c>
      <c r="E1540" s="14" t="s">
        <v>1746</v>
      </c>
      <c r="F1540" s="17" t="s">
        <v>2994</v>
      </c>
      <c r="G1540" s="14">
        <v>5394</v>
      </c>
      <c r="H1540" s="14">
        <v>3775.8</v>
      </c>
      <c r="I1540" s="31">
        <f>IF(COUNTIFS(Addendum!C:C,A1540,Addendum!D:D,IF(ISNUMBER(B1540),TEXT(B1540,"0000"),B1540),Addendum!E:E,"X")&gt;0,4%,0)</f>
        <v>0</v>
      </c>
      <c r="J1540" s="31">
        <f>IF(COUNTIFS(Addendum!C:C,A1540,Addendum!D:D,IF(ISNUMBER(B1540),TEXT(B1540,"0000"),B1540),Addendum!F:F,"X")&gt;0,2.5%,0)</f>
        <v>0</v>
      </c>
      <c r="K1540" s="31">
        <f>IF(COUNTIFS(Addendum!C:C,A1540,Addendum!D:D,IF(ISNUMBER(B1540),TEXT(B1540,"0000"),B1540),Addendum!G:G,"X")&gt;0,7%,0)</f>
        <v>0</v>
      </c>
      <c r="L1540" s="31">
        <f>IF(COUNTIFS(Addendum!C:C,A1540,Addendum!D:D,IF(ISNUMBER(B1540),TEXT(B1540,"0000"),B1540),Addendum!I:I,"X")&gt;0,10%,0)</f>
        <v>0</v>
      </c>
      <c r="M1540" s="34">
        <f t="shared" ref="M1540:M1603" si="48">IF(AND(I1540=0%,J1540=0%,K1540=0%,L1540=0%),0%,
IF(OR(TRIM(E1540)="OneTime",TRIM(D1540)=""),0%,
IF(
OR(
TRIM(D1540)="P1M",
AND(TRIM(D1540)="P1Y",TRIM(E1540)="Monthly"),
AND(TRIM(D1540)="P3Y",TRIM(E1540)="Monthly")
),
IF(AND(I1540=4%,J1540=0%,K1540=0%,L1540=0%),1%,
IF(AND(I1540=4%,J1540=2.5%,K1540=0%,L1540=10%),2%,
IF(AND(I1540=4%,J1540=0%,K1540=7%,L1540=10%),3%,0%))),
IF(
OR(
AND(TRIM(D1540)="P1Y",TRIM(E1540)="Annual"),
AND(TRIM(D1540)="P3Y",TRIM(E1540)="Annual"),
AND(TRIM(D1540)="P3Y",TRIM(E1540)="Triennial")
),
IF(AND(I1540=4%,J1540=0%,K1540=0%,L1540=0%),3%,
IF(AND(I1540=4%,J1540=2.5%,K1540=0%,L1540=10%),10%,
IF(AND(I1540=4%,J1540=0%,K1540=7%,L1540=10%),14%,0%))),
0%
))))</f>
        <v>0</v>
      </c>
      <c r="N1540" s="17">
        <f t="shared" ref="N1540:N1603" si="49">H1540-(H1540*M1540)</f>
        <v>3775.8</v>
      </c>
    </row>
    <row r="1541" spans="1:14" x14ac:dyDescent="0.25">
      <c r="A1541" s="14" t="s">
        <v>2248</v>
      </c>
      <c r="B1541" s="14">
        <v>6</v>
      </c>
      <c r="C1541" s="15" t="s">
        <v>2249</v>
      </c>
      <c r="D1541" s="14" t="s">
        <v>1745</v>
      </c>
      <c r="E1541" s="14" t="s">
        <v>1746</v>
      </c>
      <c r="F1541" s="17" t="s">
        <v>2993</v>
      </c>
      <c r="G1541" s="14">
        <v>167706</v>
      </c>
      <c r="H1541" s="14">
        <v>125779.6</v>
      </c>
      <c r="I1541" s="31">
        <f>IF(COUNTIFS(Addendum!C:C,A1541,Addendum!D:D,IF(ISNUMBER(B1541),TEXT(B1541,"0000"),B1541),Addendum!E:E,"X")&gt;0,4%,0)</f>
        <v>0</v>
      </c>
      <c r="J1541" s="31">
        <f>IF(COUNTIFS(Addendum!C:C,A1541,Addendum!D:D,IF(ISNUMBER(B1541),TEXT(B1541,"0000"),B1541),Addendum!F:F,"X")&gt;0,2.5%,0)</f>
        <v>0</v>
      </c>
      <c r="K1541" s="31">
        <f>IF(COUNTIFS(Addendum!C:C,A1541,Addendum!D:D,IF(ISNUMBER(B1541),TEXT(B1541,"0000"),B1541),Addendum!G:G,"X")&gt;0,7%,0)</f>
        <v>0</v>
      </c>
      <c r="L1541" s="31">
        <f>IF(COUNTIFS(Addendum!C:C,A1541,Addendum!D:D,IF(ISNUMBER(B1541),TEXT(B1541,"0000"),B1541),Addendum!I:I,"X")&gt;0,10%,0)</f>
        <v>0</v>
      </c>
      <c r="M1541" s="34">
        <f t="shared" si="48"/>
        <v>0</v>
      </c>
      <c r="N1541" s="17">
        <f t="shared" si="49"/>
        <v>125779.6</v>
      </c>
    </row>
    <row r="1542" spans="1:14" x14ac:dyDescent="0.25">
      <c r="A1542" s="14" t="s">
        <v>2248</v>
      </c>
      <c r="B1542" s="14">
        <v>6</v>
      </c>
      <c r="C1542" s="15" t="s">
        <v>2249</v>
      </c>
      <c r="D1542" s="14" t="s">
        <v>1752</v>
      </c>
      <c r="E1542" s="14" t="s">
        <v>1747</v>
      </c>
      <c r="F1542" s="17" t="s">
        <v>2993</v>
      </c>
      <c r="G1542" s="14">
        <v>479160</v>
      </c>
      <c r="H1542" s="14">
        <v>359370</v>
      </c>
      <c r="I1542" s="31">
        <f>IF(COUNTIFS(Addendum!C:C,A1542,Addendum!D:D,IF(ISNUMBER(B1542),TEXT(B1542,"0000"),B1542),Addendum!E:E,"X")&gt;0,4%,0)</f>
        <v>0</v>
      </c>
      <c r="J1542" s="31">
        <f>IF(COUNTIFS(Addendum!C:C,A1542,Addendum!D:D,IF(ISNUMBER(B1542),TEXT(B1542,"0000"),B1542),Addendum!F:F,"X")&gt;0,2.5%,0)</f>
        <v>0</v>
      </c>
      <c r="K1542" s="31">
        <f>IF(COUNTIFS(Addendum!C:C,A1542,Addendum!D:D,IF(ISNUMBER(B1542),TEXT(B1542,"0000"),B1542),Addendum!G:G,"X")&gt;0,7%,0)</f>
        <v>0</v>
      </c>
      <c r="L1542" s="31">
        <f>IF(COUNTIFS(Addendum!C:C,A1542,Addendum!D:D,IF(ISNUMBER(B1542),TEXT(B1542,"0000"),B1542),Addendum!I:I,"X")&gt;0,10%,0)</f>
        <v>0</v>
      </c>
      <c r="M1542" s="34">
        <f t="shared" si="48"/>
        <v>0</v>
      </c>
      <c r="N1542" s="17">
        <f t="shared" si="49"/>
        <v>359370</v>
      </c>
    </row>
    <row r="1543" spans="1:14" x14ac:dyDescent="0.25">
      <c r="A1543" s="14" t="s">
        <v>2248</v>
      </c>
      <c r="B1543" s="14">
        <v>1</v>
      </c>
      <c r="C1543" s="15" t="s">
        <v>2250</v>
      </c>
      <c r="D1543" s="14" t="s">
        <v>1745</v>
      </c>
      <c r="E1543" s="14" t="s">
        <v>1746</v>
      </c>
      <c r="F1543" s="17" t="s">
        <v>2993</v>
      </c>
      <c r="G1543" s="14">
        <v>110061</v>
      </c>
      <c r="H1543" s="14">
        <v>82545.72</v>
      </c>
      <c r="I1543" s="31">
        <f>IF(COUNTIFS(Addendum!C:C,A1543,Addendum!D:D,IF(ISNUMBER(B1543),TEXT(B1543,"0000"),B1543),Addendum!E:E,"X")&gt;0,4%,0)</f>
        <v>0</v>
      </c>
      <c r="J1543" s="31">
        <f>IF(COUNTIFS(Addendum!C:C,A1543,Addendum!D:D,IF(ISNUMBER(B1543),TEXT(B1543,"0000"),B1543),Addendum!F:F,"X")&gt;0,2.5%,0)</f>
        <v>0</v>
      </c>
      <c r="K1543" s="31">
        <f>IF(COUNTIFS(Addendum!C:C,A1543,Addendum!D:D,IF(ISNUMBER(B1543),TEXT(B1543,"0000"),B1543),Addendum!G:G,"X")&gt;0,7%,0)</f>
        <v>0</v>
      </c>
      <c r="L1543" s="31">
        <f>IF(COUNTIFS(Addendum!C:C,A1543,Addendum!D:D,IF(ISNUMBER(B1543),TEXT(B1543,"0000"),B1543),Addendum!I:I,"X")&gt;0,10%,0)</f>
        <v>0</v>
      </c>
      <c r="M1543" s="34">
        <f t="shared" si="48"/>
        <v>0</v>
      </c>
      <c r="N1543" s="17">
        <f t="shared" si="49"/>
        <v>82545.72</v>
      </c>
    </row>
    <row r="1544" spans="1:14" x14ac:dyDescent="0.25">
      <c r="A1544" s="14" t="s">
        <v>2248</v>
      </c>
      <c r="B1544" s="14">
        <v>6</v>
      </c>
      <c r="C1544" s="15" t="s">
        <v>2249</v>
      </c>
      <c r="D1544" s="14" t="s">
        <v>1752</v>
      </c>
      <c r="E1544" s="14" t="s">
        <v>1753</v>
      </c>
      <c r="F1544" s="17" t="s">
        <v>2993</v>
      </c>
      <c r="G1544" s="14">
        <v>479160</v>
      </c>
      <c r="H1544" s="14">
        <v>359370</v>
      </c>
      <c r="I1544" s="31">
        <f>IF(COUNTIFS(Addendum!C:C,A1544,Addendum!D:D,IF(ISNUMBER(B1544),TEXT(B1544,"0000"),B1544),Addendum!E:E,"X")&gt;0,4%,0)</f>
        <v>0</v>
      </c>
      <c r="J1544" s="31">
        <f>IF(COUNTIFS(Addendum!C:C,A1544,Addendum!D:D,IF(ISNUMBER(B1544),TEXT(B1544,"0000"),B1544),Addendum!F:F,"X")&gt;0,2.5%,0)</f>
        <v>0</v>
      </c>
      <c r="K1544" s="31">
        <f>IF(COUNTIFS(Addendum!C:C,A1544,Addendum!D:D,IF(ISNUMBER(B1544),TEXT(B1544,"0000"),B1544),Addendum!G:G,"X")&gt;0,7%,0)</f>
        <v>0</v>
      </c>
      <c r="L1544" s="31">
        <f>IF(COUNTIFS(Addendum!C:C,A1544,Addendum!D:D,IF(ISNUMBER(B1544),TEXT(B1544,"0000"),B1544),Addendum!I:I,"X")&gt;0,10%,0)</f>
        <v>0</v>
      </c>
      <c r="M1544" s="34">
        <f t="shared" si="48"/>
        <v>0</v>
      </c>
      <c r="N1544" s="17">
        <f t="shared" si="49"/>
        <v>359370</v>
      </c>
    </row>
    <row r="1545" spans="1:14" ht="30" x14ac:dyDescent="0.25">
      <c r="A1545" s="14" t="s">
        <v>2248</v>
      </c>
      <c r="B1545" s="14" t="s">
        <v>583</v>
      </c>
      <c r="C1545" s="15" t="s">
        <v>2251</v>
      </c>
      <c r="D1545" s="14" t="s">
        <v>1745</v>
      </c>
      <c r="E1545" s="14" t="s">
        <v>1747</v>
      </c>
      <c r="F1545" s="17" t="s">
        <v>2994</v>
      </c>
      <c r="G1545" s="14">
        <v>7980</v>
      </c>
      <c r="H1545" s="14">
        <v>5985</v>
      </c>
      <c r="I1545" s="31">
        <f>IF(COUNTIFS(Addendum!C:C,A1545,Addendum!D:D,IF(ISNUMBER(B1545),TEXT(B1545,"0000"),B1545),Addendum!E:E,"X")&gt;0,4%,0)</f>
        <v>0</v>
      </c>
      <c r="J1545" s="31">
        <f>IF(COUNTIFS(Addendum!C:C,A1545,Addendum!D:D,IF(ISNUMBER(B1545),TEXT(B1545,"0000"),B1545),Addendum!F:F,"X")&gt;0,2.5%,0)</f>
        <v>0</v>
      </c>
      <c r="K1545" s="31">
        <f>IF(COUNTIFS(Addendum!C:C,A1545,Addendum!D:D,IF(ISNUMBER(B1545),TEXT(B1545,"0000"),B1545),Addendum!G:G,"X")&gt;0,7%,0)</f>
        <v>0</v>
      </c>
      <c r="L1545" s="31">
        <f>IF(COUNTIFS(Addendum!C:C,A1545,Addendum!D:D,IF(ISNUMBER(B1545),TEXT(B1545,"0000"),B1545),Addendum!I:I,"X")&gt;0,10%,0)</f>
        <v>0</v>
      </c>
      <c r="M1545" s="34">
        <f t="shared" si="48"/>
        <v>0</v>
      </c>
      <c r="N1545" s="17">
        <f t="shared" si="49"/>
        <v>5985</v>
      </c>
    </row>
    <row r="1546" spans="1:14" x14ac:dyDescent="0.25">
      <c r="A1546" s="14" t="s">
        <v>2248</v>
      </c>
      <c r="B1546" s="14">
        <v>3</v>
      </c>
      <c r="C1546" s="15" t="s">
        <v>2252</v>
      </c>
      <c r="D1546" s="14" t="s">
        <v>1752</v>
      </c>
      <c r="E1546" s="14" t="s">
        <v>1753</v>
      </c>
      <c r="F1546" s="17" t="s">
        <v>2993</v>
      </c>
      <c r="G1546" s="14">
        <v>59940</v>
      </c>
      <c r="H1546" s="14">
        <v>44955</v>
      </c>
      <c r="I1546" s="31">
        <f>IF(COUNTIFS(Addendum!C:C,A1546,Addendum!D:D,IF(ISNUMBER(B1546),TEXT(B1546,"0000"),B1546),Addendum!E:E,"X")&gt;0,4%,0)</f>
        <v>0</v>
      </c>
      <c r="J1546" s="31">
        <f>IF(COUNTIFS(Addendum!C:C,A1546,Addendum!D:D,IF(ISNUMBER(B1546),TEXT(B1546,"0000"),B1546),Addendum!F:F,"X")&gt;0,2.5%,0)</f>
        <v>0</v>
      </c>
      <c r="K1546" s="31">
        <f>IF(COUNTIFS(Addendum!C:C,A1546,Addendum!D:D,IF(ISNUMBER(B1546),TEXT(B1546,"0000"),B1546),Addendum!G:G,"X")&gt;0,7%,0)</f>
        <v>0</v>
      </c>
      <c r="L1546" s="31">
        <f>IF(COUNTIFS(Addendum!C:C,A1546,Addendum!D:D,IF(ISNUMBER(B1546),TEXT(B1546,"0000"),B1546),Addendum!I:I,"X")&gt;0,10%,0)</f>
        <v>0</v>
      </c>
      <c r="M1546" s="34">
        <f t="shared" si="48"/>
        <v>0</v>
      </c>
      <c r="N1546" s="17">
        <f t="shared" si="49"/>
        <v>44955</v>
      </c>
    </row>
    <row r="1547" spans="1:14" ht="30" x14ac:dyDescent="0.25">
      <c r="A1547" s="14" t="s">
        <v>2248</v>
      </c>
      <c r="B1547" s="14" t="s">
        <v>583</v>
      </c>
      <c r="C1547" s="15" t="s">
        <v>2251</v>
      </c>
      <c r="D1547" s="14" t="s">
        <v>1745</v>
      </c>
      <c r="E1547" s="14" t="s">
        <v>1746</v>
      </c>
      <c r="F1547" s="17" t="s">
        <v>2994</v>
      </c>
      <c r="G1547" s="14">
        <v>8379</v>
      </c>
      <c r="H1547" s="14">
        <v>6284.28</v>
      </c>
      <c r="I1547" s="31">
        <f>IF(COUNTIFS(Addendum!C:C,A1547,Addendum!D:D,IF(ISNUMBER(B1547),TEXT(B1547,"0000"),B1547),Addendum!E:E,"X")&gt;0,4%,0)</f>
        <v>0</v>
      </c>
      <c r="J1547" s="31">
        <f>IF(COUNTIFS(Addendum!C:C,A1547,Addendum!D:D,IF(ISNUMBER(B1547),TEXT(B1547,"0000"),B1547),Addendum!F:F,"X")&gt;0,2.5%,0)</f>
        <v>0</v>
      </c>
      <c r="K1547" s="31">
        <f>IF(COUNTIFS(Addendum!C:C,A1547,Addendum!D:D,IF(ISNUMBER(B1547),TEXT(B1547,"0000"),B1547),Addendum!G:G,"X")&gt;0,7%,0)</f>
        <v>0</v>
      </c>
      <c r="L1547" s="31">
        <f>IF(COUNTIFS(Addendum!C:C,A1547,Addendum!D:D,IF(ISNUMBER(B1547),TEXT(B1547,"0000"),B1547),Addendum!I:I,"X")&gt;0,10%,0)</f>
        <v>0</v>
      </c>
      <c r="M1547" s="34">
        <f t="shared" si="48"/>
        <v>0</v>
      </c>
      <c r="N1547" s="17">
        <f t="shared" si="49"/>
        <v>6284.28</v>
      </c>
    </row>
    <row r="1548" spans="1:14" ht="30" x14ac:dyDescent="0.25">
      <c r="A1548" s="14" t="s">
        <v>2248</v>
      </c>
      <c r="B1548" s="14" t="s">
        <v>263</v>
      </c>
      <c r="C1548" s="15" t="s">
        <v>2253</v>
      </c>
      <c r="D1548" s="14" t="s">
        <v>1745</v>
      </c>
      <c r="E1548" s="14" t="s">
        <v>1746</v>
      </c>
      <c r="F1548" s="17" t="s">
        <v>2995</v>
      </c>
      <c r="G1548" s="14">
        <v>5229</v>
      </c>
      <c r="H1548" s="14">
        <v>4706.16</v>
      </c>
      <c r="I1548" s="31">
        <f>IF(COUNTIFS(Addendum!C:C,A1548,Addendum!D:D,IF(ISNUMBER(B1548),TEXT(B1548,"0000"),B1548),Addendum!E:E,"X")&gt;0,4%,0)</f>
        <v>0</v>
      </c>
      <c r="J1548" s="31">
        <f>IF(COUNTIFS(Addendum!C:C,A1548,Addendum!D:D,IF(ISNUMBER(B1548),TEXT(B1548,"0000"),B1548),Addendum!F:F,"X")&gt;0,2.5%,0)</f>
        <v>0</v>
      </c>
      <c r="K1548" s="31">
        <f>IF(COUNTIFS(Addendum!C:C,A1548,Addendum!D:D,IF(ISNUMBER(B1548),TEXT(B1548,"0000"),B1548),Addendum!G:G,"X")&gt;0,7%,0)</f>
        <v>0</v>
      </c>
      <c r="L1548" s="31">
        <f>IF(COUNTIFS(Addendum!C:C,A1548,Addendum!D:D,IF(ISNUMBER(B1548),TEXT(B1548,"0000"),B1548),Addendum!I:I,"X")&gt;0,10%,0)</f>
        <v>0</v>
      </c>
      <c r="M1548" s="34">
        <f t="shared" si="48"/>
        <v>0</v>
      </c>
      <c r="N1548" s="17">
        <f t="shared" si="49"/>
        <v>4706.16</v>
      </c>
    </row>
    <row r="1549" spans="1:14" x14ac:dyDescent="0.25">
      <c r="A1549" s="14" t="s">
        <v>2248</v>
      </c>
      <c r="B1549" s="14" t="s">
        <v>371</v>
      </c>
      <c r="C1549" s="15" t="s">
        <v>2254</v>
      </c>
      <c r="D1549" s="14" t="s">
        <v>1745</v>
      </c>
      <c r="E1549" s="14" t="s">
        <v>1747</v>
      </c>
      <c r="F1549" s="17" t="s">
        <v>2995</v>
      </c>
      <c r="G1549" s="14">
        <v>39960</v>
      </c>
      <c r="H1549" s="14">
        <v>35964</v>
      </c>
      <c r="I1549" s="31">
        <f>IF(COUNTIFS(Addendum!C:C,A1549,Addendum!D:D,IF(ISNUMBER(B1549),TEXT(B1549,"0000"),B1549),Addendum!E:E,"X")&gt;0,4%,0)</f>
        <v>0</v>
      </c>
      <c r="J1549" s="31">
        <f>IF(COUNTIFS(Addendum!C:C,A1549,Addendum!D:D,IF(ISNUMBER(B1549),TEXT(B1549,"0000"),B1549),Addendum!F:F,"X")&gt;0,2.5%,0)</f>
        <v>0</v>
      </c>
      <c r="K1549" s="31">
        <f>IF(COUNTIFS(Addendum!C:C,A1549,Addendum!D:D,IF(ISNUMBER(B1549),TEXT(B1549,"0000"),B1549),Addendum!G:G,"X")&gt;0,7%,0)</f>
        <v>0</v>
      </c>
      <c r="L1549" s="31">
        <f>IF(COUNTIFS(Addendum!C:C,A1549,Addendum!D:D,IF(ISNUMBER(B1549),TEXT(B1549,"0000"),B1549),Addendum!I:I,"X")&gt;0,10%,0)</f>
        <v>0</v>
      </c>
      <c r="M1549" s="34">
        <f t="shared" si="48"/>
        <v>0</v>
      </c>
      <c r="N1549" s="17">
        <f t="shared" si="49"/>
        <v>35964</v>
      </c>
    </row>
    <row r="1550" spans="1:14" x14ac:dyDescent="0.25">
      <c r="A1550" s="14" t="s">
        <v>2248</v>
      </c>
      <c r="B1550" s="14" t="s">
        <v>177</v>
      </c>
      <c r="C1550" s="15" t="s">
        <v>2255</v>
      </c>
      <c r="D1550" s="14" t="s">
        <v>1749</v>
      </c>
      <c r="E1550" s="14" t="s">
        <v>1746</v>
      </c>
      <c r="F1550" s="17" t="s">
        <v>2994</v>
      </c>
      <c r="G1550" s="14">
        <v>6390</v>
      </c>
      <c r="H1550" s="14">
        <v>4792.5</v>
      </c>
      <c r="I1550" s="31">
        <f>IF(COUNTIFS(Addendum!C:C,A1550,Addendum!D:D,IF(ISNUMBER(B1550),TEXT(B1550,"0000"),B1550),Addendum!E:E,"X")&gt;0,4%,0)</f>
        <v>0</v>
      </c>
      <c r="J1550" s="31">
        <f>IF(COUNTIFS(Addendum!C:C,A1550,Addendum!D:D,IF(ISNUMBER(B1550),TEXT(B1550,"0000"),B1550),Addendum!F:F,"X")&gt;0,2.5%,0)</f>
        <v>0</v>
      </c>
      <c r="K1550" s="31">
        <f>IF(COUNTIFS(Addendum!C:C,A1550,Addendum!D:D,IF(ISNUMBER(B1550),TEXT(B1550,"0000"),B1550),Addendum!G:G,"X")&gt;0,7%,0)</f>
        <v>0</v>
      </c>
      <c r="L1550" s="31">
        <f>IF(COUNTIFS(Addendum!C:C,A1550,Addendum!D:D,IF(ISNUMBER(B1550),TEXT(B1550,"0000"),B1550),Addendum!I:I,"X")&gt;0,10%,0)</f>
        <v>0</v>
      </c>
      <c r="M1550" s="34">
        <f t="shared" si="48"/>
        <v>0</v>
      </c>
      <c r="N1550" s="17">
        <f t="shared" si="49"/>
        <v>4792.5</v>
      </c>
    </row>
    <row r="1551" spans="1:14" x14ac:dyDescent="0.25">
      <c r="A1551" s="14" t="s">
        <v>2248</v>
      </c>
      <c r="B1551" s="14">
        <v>18</v>
      </c>
      <c r="C1551" s="15" t="s">
        <v>2256</v>
      </c>
      <c r="D1551" s="14" t="s">
        <v>1749</v>
      </c>
      <c r="E1551" s="14" t="s">
        <v>1746</v>
      </c>
      <c r="F1551" s="17" t="s">
        <v>2995</v>
      </c>
      <c r="G1551" s="14">
        <v>2622</v>
      </c>
      <c r="H1551" s="14">
        <v>2359.8000000000002</v>
      </c>
      <c r="I1551" s="31">
        <f>IF(COUNTIFS(Addendum!C:C,A1551,Addendum!D:D,IF(ISNUMBER(B1551),TEXT(B1551,"0000"),B1551),Addendum!E:E,"X")&gt;0,4%,0)</f>
        <v>0</v>
      </c>
      <c r="J1551" s="31">
        <f>IF(COUNTIFS(Addendum!C:C,A1551,Addendum!D:D,IF(ISNUMBER(B1551),TEXT(B1551,"0000"),B1551),Addendum!F:F,"X")&gt;0,2.5%,0)</f>
        <v>0</v>
      </c>
      <c r="K1551" s="31">
        <f>IF(COUNTIFS(Addendum!C:C,A1551,Addendum!D:D,IF(ISNUMBER(B1551),TEXT(B1551,"0000"),B1551),Addendum!G:G,"X")&gt;0,7%,0)</f>
        <v>0</v>
      </c>
      <c r="L1551" s="31">
        <f>IF(COUNTIFS(Addendum!C:C,A1551,Addendum!D:D,IF(ISNUMBER(B1551),TEXT(B1551,"0000"),B1551),Addendum!I:I,"X")&gt;0,10%,0)</f>
        <v>0</v>
      </c>
      <c r="M1551" s="34">
        <f t="shared" si="48"/>
        <v>0</v>
      </c>
      <c r="N1551" s="17">
        <f t="shared" si="49"/>
        <v>2359.8000000000002</v>
      </c>
    </row>
    <row r="1552" spans="1:14" ht="30" x14ac:dyDescent="0.25">
      <c r="A1552" s="14" t="s">
        <v>2248</v>
      </c>
      <c r="B1552" s="14" t="s">
        <v>608</v>
      </c>
      <c r="C1552" s="15" t="s">
        <v>2257</v>
      </c>
      <c r="D1552" s="14" t="s">
        <v>1749</v>
      </c>
      <c r="E1552" s="14" t="s">
        <v>1746</v>
      </c>
      <c r="F1552" s="17" t="s">
        <v>2994</v>
      </c>
      <c r="G1552" s="14">
        <v>1098</v>
      </c>
      <c r="H1552" s="14">
        <v>823.5</v>
      </c>
      <c r="I1552" s="31">
        <f>IF(COUNTIFS(Addendum!C:C,A1552,Addendum!D:D,IF(ISNUMBER(B1552),TEXT(B1552,"0000"),B1552),Addendum!E:E,"X")&gt;0,4%,0)</f>
        <v>0</v>
      </c>
      <c r="J1552" s="31">
        <f>IF(COUNTIFS(Addendum!C:C,A1552,Addendum!D:D,IF(ISNUMBER(B1552),TEXT(B1552,"0000"),B1552),Addendum!F:F,"X")&gt;0,2.5%,0)</f>
        <v>0</v>
      </c>
      <c r="K1552" s="31">
        <f>IF(COUNTIFS(Addendum!C:C,A1552,Addendum!D:D,IF(ISNUMBER(B1552),TEXT(B1552,"0000"),B1552),Addendum!G:G,"X")&gt;0,7%,0)</f>
        <v>0</v>
      </c>
      <c r="L1552" s="31">
        <f>IF(COUNTIFS(Addendum!C:C,A1552,Addendum!D:D,IF(ISNUMBER(B1552),TEXT(B1552,"0000"),B1552),Addendum!I:I,"X")&gt;0,10%,0)</f>
        <v>0</v>
      </c>
      <c r="M1552" s="34">
        <f t="shared" si="48"/>
        <v>0</v>
      </c>
      <c r="N1552" s="17">
        <f t="shared" si="49"/>
        <v>823.5</v>
      </c>
    </row>
    <row r="1553" spans="1:14" x14ac:dyDescent="0.25">
      <c r="A1553" s="14" t="s">
        <v>2248</v>
      </c>
      <c r="B1553" s="14">
        <v>1</v>
      </c>
      <c r="C1553" s="15" t="s">
        <v>2250</v>
      </c>
      <c r="D1553" s="14" t="s">
        <v>1752</v>
      </c>
      <c r="E1553" s="14" t="s">
        <v>1747</v>
      </c>
      <c r="F1553" s="17" t="s">
        <v>2993</v>
      </c>
      <c r="G1553" s="14">
        <v>314460</v>
      </c>
      <c r="H1553" s="14">
        <v>235845</v>
      </c>
      <c r="I1553" s="31">
        <f>IF(COUNTIFS(Addendum!C:C,A1553,Addendum!D:D,IF(ISNUMBER(B1553),TEXT(B1553,"0000"),B1553),Addendum!E:E,"X")&gt;0,4%,0)</f>
        <v>0</v>
      </c>
      <c r="J1553" s="31">
        <f>IF(COUNTIFS(Addendum!C:C,A1553,Addendum!D:D,IF(ISNUMBER(B1553),TEXT(B1553,"0000"),B1553),Addendum!F:F,"X")&gt;0,2.5%,0)</f>
        <v>0</v>
      </c>
      <c r="K1553" s="31">
        <f>IF(COUNTIFS(Addendum!C:C,A1553,Addendum!D:D,IF(ISNUMBER(B1553),TEXT(B1553,"0000"),B1553),Addendum!G:G,"X")&gt;0,7%,0)</f>
        <v>0</v>
      </c>
      <c r="L1553" s="31">
        <f>IF(COUNTIFS(Addendum!C:C,A1553,Addendum!D:D,IF(ISNUMBER(B1553),TEXT(B1553,"0000"),B1553),Addendum!I:I,"X")&gt;0,10%,0)</f>
        <v>0</v>
      </c>
      <c r="M1553" s="34">
        <f t="shared" si="48"/>
        <v>0</v>
      </c>
      <c r="N1553" s="17">
        <f t="shared" si="49"/>
        <v>235845</v>
      </c>
    </row>
    <row r="1554" spans="1:14" ht="30" x14ac:dyDescent="0.25">
      <c r="A1554" s="14" t="s">
        <v>2248</v>
      </c>
      <c r="B1554" s="14" t="s">
        <v>608</v>
      </c>
      <c r="C1554" s="15" t="s">
        <v>2257</v>
      </c>
      <c r="D1554" s="14" t="s">
        <v>1745</v>
      </c>
      <c r="E1554" s="14" t="s">
        <v>1747</v>
      </c>
      <c r="F1554" s="17" t="s">
        <v>2994</v>
      </c>
      <c r="G1554" s="14">
        <v>10980</v>
      </c>
      <c r="H1554" s="14">
        <v>8235</v>
      </c>
      <c r="I1554" s="31">
        <f>IF(COUNTIFS(Addendum!C:C,A1554,Addendum!D:D,IF(ISNUMBER(B1554),TEXT(B1554,"0000"),B1554),Addendum!E:E,"X")&gt;0,4%,0)</f>
        <v>0</v>
      </c>
      <c r="J1554" s="31">
        <f>IF(COUNTIFS(Addendum!C:C,A1554,Addendum!D:D,IF(ISNUMBER(B1554),TEXT(B1554,"0000"),B1554),Addendum!F:F,"X")&gt;0,2.5%,0)</f>
        <v>0</v>
      </c>
      <c r="K1554" s="31">
        <f>IF(COUNTIFS(Addendum!C:C,A1554,Addendum!D:D,IF(ISNUMBER(B1554),TEXT(B1554,"0000"),B1554),Addendum!G:G,"X")&gt;0,7%,0)</f>
        <v>0</v>
      </c>
      <c r="L1554" s="31">
        <f>IF(COUNTIFS(Addendum!C:C,A1554,Addendum!D:D,IF(ISNUMBER(B1554),TEXT(B1554,"0000"),B1554),Addendum!I:I,"X")&gt;0,10%,0)</f>
        <v>0</v>
      </c>
      <c r="M1554" s="34">
        <f t="shared" si="48"/>
        <v>0</v>
      </c>
      <c r="N1554" s="17">
        <f t="shared" si="49"/>
        <v>8235</v>
      </c>
    </row>
    <row r="1555" spans="1:14" x14ac:dyDescent="0.25">
      <c r="A1555" s="14" t="s">
        <v>2248</v>
      </c>
      <c r="B1555" s="14" t="s">
        <v>241</v>
      </c>
      <c r="C1555" s="15" t="s">
        <v>2258</v>
      </c>
      <c r="D1555" s="14" t="s">
        <v>1745</v>
      </c>
      <c r="E1555" s="14" t="s">
        <v>1746</v>
      </c>
      <c r="F1555" s="17" t="s">
        <v>2994</v>
      </c>
      <c r="G1555" s="14">
        <v>92232</v>
      </c>
      <c r="H1555" s="14">
        <v>69174</v>
      </c>
      <c r="I1555" s="31">
        <f>IF(COUNTIFS(Addendum!C:C,A1555,Addendum!D:D,IF(ISNUMBER(B1555),TEXT(B1555,"0000"),B1555),Addendum!E:E,"X")&gt;0,4%,0)</f>
        <v>0</v>
      </c>
      <c r="J1555" s="31">
        <f>IF(COUNTIFS(Addendum!C:C,A1555,Addendum!D:D,IF(ISNUMBER(B1555),TEXT(B1555,"0000"),B1555),Addendum!F:F,"X")&gt;0,2.5%,0)</f>
        <v>0</v>
      </c>
      <c r="K1555" s="31">
        <f>IF(COUNTIFS(Addendum!C:C,A1555,Addendum!D:D,IF(ISNUMBER(B1555),TEXT(B1555,"0000"),B1555),Addendum!G:G,"X")&gt;0,7%,0)</f>
        <v>0</v>
      </c>
      <c r="L1555" s="31">
        <f>IF(COUNTIFS(Addendum!C:C,A1555,Addendum!D:D,IF(ISNUMBER(B1555),TEXT(B1555,"0000"),B1555),Addendum!I:I,"X")&gt;0,10%,0)</f>
        <v>0</v>
      </c>
      <c r="M1555" s="34">
        <f t="shared" si="48"/>
        <v>0</v>
      </c>
      <c r="N1555" s="17">
        <f t="shared" si="49"/>
        <v>69174</v>
      </c>
    </row>
    <row r="1556" spans="1:14" x14ac:dyDescent="0.25">
      <c r="A1556" s="14" t="s">
        <v>2248</v>
      </c>
      <c r="B1556" s="14" t="s">
        <v>470</v>
      </c>
      <c r="C1556" s="15" t="s">
        <v>2259</v>
      </c>
      <c r="D1556" s="14" t="s">
        <v>1745</v>
      </c>
      <c r="E1556" s="14" t="s">
        <v>1746</v>
      </c>
      <c r="F1556" s="17" t="s">
        <v>2994</v>
      </c>
      <c r="G1556" s="14">
        <v>44037</v>
      </c>
      <c r="H1556" s="14">
        <v>33027.72</v>
      </c>
      <c r="I1556" s="31">
        <f>IF(COUNTIFS(Addendum!C:C,A1556,Addendum!D:D,IF(ISNUMBER(B1556),TEXT(B1556,"0000"),B1556),Addendum!E:E,"X")&gt;0,4%,0)</f>
        <v>0</v>
      </c>
      <c r="J1556" s="31">
        <f>IF(COUNTIFS(Addendum!C:C,A1556,Addendum!D:D,IF(ISNUMBER(B1556),TEXT(B1556,"0000"),B1556),Addendum!F:F,"X")&gt;0,2.5%,0)</f>
        <v>0</v>
      </c>
      <c r="K1556" s="31">
        <f>IF(COUNTIFS(Addendum!C:C,A1556,Addendum!D:D,IF(ISNUMBER(B1556),TEXT(B1556,"0000"),B1556),Addendum!G:G,"X")&gt;0,7%,0)</f>
        <v>0</v>
      </c>
      <c r="L1556" s="31">
        <f>IF(COUNTIFS(Addendum!C:C,A1556,Addendum!D:D,IF(ISNUMBER(B1556),TEXT(B1556,"0000"),B1556),Addendum!I:I,"X")&gt;0,10%,0)</f>
        <v>0</v>
      </c>
      <c r="M1556" s="34">
        <f t="shared" si="48"/>
        <v>0</v>
      </c>
      <c r="N1556" s="17">
        <f t="shared" si="49"/>
        <v>33027.72</v>
      </c>
    </row>
    <row r="1557" spans="1:14" x14ac:dyDescent="0.25">
      <c r="A1557" s="14" t="s">
        <v>2248</v>
      </c>
      <c r="B1557" s="14" t="s">
        <v>371</v>
      </c>
      <c r="C1557" s="15" t="s">
        <v>2254</v>
      </c>
      <c r="D1557" s="14" t="s">
        <v>1749</v>
      </c>
      <c r="E1557" s="14" t="s">
        <v>1746</v>
      </c>
      <c r="F1557" s="17" t="s">
        <v>2995</v>
      </c>
      <c r="G1557" s="14">
        <v>3996</v>
      </c>
      <c r="H1557" s="14">
        <v>3596.4</v>
      </c>
      <c r="I1557" s="31">
        <f>IF(COUNTIFS(Addendum!C:C,A1557,Addendum!D:D,IF(ISNUMBER(B1557),TEXT(B1557,"0000"),B1557),Addendum!E:E,"X")&gt;0,4%,0)</f>
        <v>0</v>
      </c>
      <c r="J1557" s="31">
        <f>IF(COUNTIFS(Addendum!C:C,A1557,Addendum!D:D,IF(ISNUMBER(B1557),TEXT(B1557,"0000"),B1557),Addendum!F:F,"X")&gt;0,2.5%,0)</f>
        <v>0</v>
      </c>
      <c r="K1557" s="31">
        <f>IF(COUNTIFS(Addendum!C:C,A1557,Addendum!D:D,IF(ISNUMBER(B1557),TEXT(B1557,"0000"),B1557),Addendum!G:G,"X")&gt;0,7%,0)</f>
        <v>0</v>
      </c>
      <c r="L1557" s="31">
        <f>IF(COUNTIFS(Addendum!C:C,A1557,Addendum!D:D,IF(ISNUMBER(B1557),TEXT(B1557,"0000"),B1557),Addendum!I:I,"X")&gt;0,10%,0)</f>
        <v>0</v>
      </c>
      <c r="M1557" s="34">
        <f t="shared" si="48"/>
        <v>0</v>
      </c>
      <c r="N1557" s="17">
        <f t="shared" si="49"/>
        <v>3596.4</v>
      </c>
    </row>
    <row r="1558" spans="1:14" x14ac:dyDescent="0.25">
      <c r="A1558" s="14" t="s">
        <v>2248</v>
      </c>
      <c r="B1558" s="14">
        <v>3</v>
      </c>
      <c r="C1558" s="15" t="s">
        <v>2252</v>
      </c>
      <c r="D1558" s="14" t="s">
        <v>1745</v>
      </c>
      <c r="E1558" s="14" t="s">
        <v>1747</v>
      </c>
      <c r="F1558" s="17" t="s">
        <v>2993</v>
      </c>
      <c r="G1558" s="14">
        <v>19980</v>
      </c>
      <c r="H1558" s="14">
        <v>14985</v>
      </c>
      <c r="I1558" s="31">
        <f>IF(COUNTIFS(Addendum!C:C,A1558,Addendum!D:D,IF(ISNUMBER(B1558),TEXT(B1558,"0000"),B1558),Addendum!E:E,"X")&gt;0,4%,0)</f>
        <v>0</v>
      </c>
      <c r="J1558" s="31">
        <f>IF(COUNTIFS(Addendum!C:C,A1558,Addendum!D:D,IF(ISNUMBER(B1558),TEXT(B1558,"0000"),B1558),Addendum!F:F,"X")&gt;0,2.5%,0)</f>
        <v>0</v>
      </c>
      <c r="K1558" s="31">
        <f>IF(COUNTIFS(Addendum!C:C,A1558,Addendum!D:D,IF(ISNUMBER(B1558),TEXT(B1558,"0000"),B1558),Addendum!G:G,"X")&gt;0,7%,0)</f>
        <v>0</v>
      </c>
      <c r="L1558" s="31">
        <f>IF(COUNTIFS(Addendum!C:C,A1558,Addendum!D:D,IF(ISNUMBER(B1558),TEXT(B1558,"0000"),B1558),Addendum!I:I,"X")&gt;0,10%,0)</f>
        <v>0</v>
      </c>
      <c r="M1558" s="34">
        <f t="shared" si="48"/>
        <v>0</v>
      </c>
      <c r="N1558" s="17">
        <f t="shared" si="49"/>
        <v>14985</v>
      </c>
    </row>
    <row r="1559" spans="1:14" x14ac:dyDescent="0.25">
      <c r="A1559" s="14" t="s">
        <v>2248</v>
      </c>
      <c r="B1559" s="14" t="s">
        <v>371</v>
      </c>
      <c r="C1559" s="15" t="s">
        <v>2254</v>
      </c>
      <c r="D1559" s="14" t="s">
        <v>1745</v>
      </c>
      <c r="E1559" s="14" t="s">
        <v>1746</v>
      </c>
      <c r="F1559" s="17" t="s">
        <v>2995</v>
      </c>
      <c r="G1559" s="14">
        <v>41958</v>
      </c>
      <c r="H1559" s="14">
        <v>37762.199999999997</v>
      </c>
      <c r="I1559" s="31">
        <f>IF(COUNTIFS(Addendum!C:C,A1559,Addendum!D:D,IF(ISNUMBER(B1559),TEXT(B1559,"0000"),B1559),Addendum!E:E,"X")&gt;0,4%,0)</f>
        <v>0</v>
      </c>
      <c r="J1559" s="31">
        <f>IF(COUNTIFS(Addendum!C:C,A1559,Addendum!D:D,IF(ISNUMBER(B1559),TEXT(B1559,"0000"),B1559),Addendum!F:F,"X")&gt;0,2.5%,0)</f>
        <v>0</v>
      </c>
      <c r="K1559" s="31">
        <f>IF(COUNTIFS(Addendum!C:C,A1559,Addendum!D:D,IF(ISNUMBER(B1559),TEXT(B1559,"0000"),B1559),Addendum!G:G,"X")&gt;0,7%,0)</f>
        <v>0</v>
      </c>
      <c r="L1559" s="31">
        <f>IF(COUNTIFS(Addendum!C:C,A1559,Addendum!D:D,IF(ISNUMBER(B1559),TEXT(B1559,"0000"),B1559),Addendum!I:I,"X")&gt;0,10%,0)</f>
        <v>0</v>
      </c>
      <c r="M1559" s="34">
        <f t="shared" si="48"/>
        <v>0</v>
      </c>
      <c r="N1559" s="17">
        <f t="shared" si="49"/>
        <v>37762.199999999997</v>
      </c>
    </row>
    <row r="1560" spans="1:14" x14ac:dyDescent="0.25">
      <c r="A1560" s="14" t="s">
        <v>2248</v>
      </c>
      <c r="B1560" s="14">
        <v>3</v>
      </c>
      <c r="C1560" s="15" t="s">
        <v>2252</v>
      </c>
      <c r="D1560" s="14" t="s">
        <v>1752</v>
      </c>
      <c r="E1560" s="14" t="s">
        <v>1746</v>
      </c>
      <c r="F1560" s="17" t="s">
        <v>2993</v>
      </c>
      <c r="G1560" s="14">
        <v>62937</v>
      </c>
      <c r="H1560" s="14">
        <v>47202.84</v>
      </c>
      <c r="I1560" s="31">
        <f>IF(COUNTIFS(Addendum!C:C,A1560,Addendum!D:D,IF(ISNUMBER(B1560),TEXT(B1560,"0000"),B1560),Addendum!E:E,"X")&gt;0,4%,0)</f>
        <v>0</v>
      </c>
      <c r="J1560" s="31">
        <f>IF(COUNTIFS(Addendum!C:C,A1560,Addendum!D:D,IF(ISNUMBER(B1560),TEXT(B1560,"0000"),B1560),Addendum!F:F,"X")&gt;0,2.5%,0)</f>
        <v>0</v>
      </c>
      <c r="K1560" s="31">
        <f>IF(COUNTIFS(Addendum!C:C,A1560,Addendum!D:D,IF(ISNUMBER(B1560),TEXT(B1560,"0000"),B1560),Addendum!G:G,"X")&gt;0,7%,0)</f>
        <v>0</v>
      </c>
      <c r="L1560" s="31">
        <f>IF(COUNTIFS(Addendum!C:C,A1560,Addendum!D:D,IF(ISNUMBER(B1560),TEXT(B1560,"0000"),B1560),Addendum!I:I,"X")&gt;0,10%,0)</f>
        <v>0</v>
      </c>
      <c r="M1560" s="34">
        <f t="shared" si="48"/>
        <v>0</v>
      </c>
      <c r="N1560" s="17">
        <f t="shared" si="49"/>
        <v>47202.84</v>
      </c>
    </row>
    <row r="1561" spans="1:14" ht="30" x14ac:dyDescent="0.25">
      <c r="A1561" s="14" t="s">
        <v>2248</v>
      </c>
      <c r="B1561" s="14" t="s">
        <v>608</v>
      </c>
      <c r="C1561" s="15" t="s">
        <v>2257</v>
      </c>
      <c r="D1561" s="14" t="s">
        <v>1745</v>
      </c>
      <c r="E1561" s="14" t="s">
        <v>1746</v>
      </c>
      <c r="F1561" s="17" t="s">
        <v>2994</v>
      </c>
      <c r="G1561" s="14">
        <v>11529</v>
      </c>
      <c r="H1561" s="14">
        <v>8646.7199999999993</v>
      </c>
      <c r="I1561" s="31">
        <f>IF(COUNTIFS(Addendum!C:C,A1561,Addendum!D:D,IF(ISNUMBER(B1561),TEXT(B1561,"0000"),B1561),Addendum!E:E,"X")&gt;0,4%,0)</f>
        <v>0</v>
      </c>
      <c r="J1561" s="31">
        <f>IF(COUNTIFS(Addendum!C:C,A1561,Addendum!D:D,IF(ISNUMBER(B1561),TEXT(B1561,"0000"),B1561),Addendum!F:F,"X")&gt;0,2.5%,0)</f>
        <v>0</v>
      </c>
      <c r="K1561" s="31">
        <f>IF(COUNTIFS(Addendum!C:C,A1561,Addendum!D:D,IF(ISNUMBER(B1561),TEXT(B1561,"0000"),B1561),Addendum!G:G,"X")&gt;0,7%,0)</f>
        <v>0</v>
      </c>
      <c r="L1561" s="31">
        <f>IF(COUNTIFS(Addendum!C:C,A1561,Addendum!D:D,IF(ISNUMBER(B1561),TEXT(B1561,"0000"),B1561),Addendum!I:I,"X")&gt;0,10%,0)</f>
        <v>0</v>
      </c>
      <c r="M1561" s="34">
        <f t="shared" si="48"/>
        <v>0</v>
      </c>
      <c r="N1561" s="17">
        <f t="shared" si="49"/>
        <v>8646.7199999999993</v>
      </c>
    </row>
    <row r="1562" spans="1:14" ht="30" x14ac:dyDescent="0.25">
      <c r="A1562" s="14" t="s">
        <v>2248</v>
      </c>
      <c r="B1562" s="14" t="s">
        <v>583</v>
      </c>
      <c r="C1562" s="15" t="s">
        <v>2251</v>
      </c>
      <c r="D1562" s="14" t="s">
        <v>1749</v>
      </c>
      <c r="E1562" s="14" t="s">
        <v>1746</v>
      </c>
      <c r="F1562" s="17" t="s">
        <v>2994</v>
      </c>
      <c r="G1562" s="14">
        <v>798</v>
      </c>
      <c r="H1562" s="14">
        <v>598.5</v>
      </c>
      <c r="I1562" s="31">
        <f>IF(COUNTIFS(Addendum!C:C,A1562,Addendum!D:D,IF(ISNUMBER(B1562),TEXT(B1562,"0000"),B1562),Addendum!E:E,"X")&gt;0,4%,0)</f>
        <v>0</v>
      </c>
      <c r="J1562" s="31">
        <f>IF(COUNTIFS(Addendum!C:C,A1562,Addendum!D:D,IF(ISNUMBER(B1562),TEXT(B1562,"0000"),B1562),Addendum!F:F,"X")&gt;0,2.5%,0)</f>
        <v>0</v>
      </c>
      <c r="K1562" s="31">
        <f>IF(COUNTIFS(Addendum!C:C,A1562,Addendum!D:D,IF(ISNUMBER(B1562),TEXT(B1562,"0000"),B1562),Addendum!G:G,"X")&gt;0,7%,0)</f>
        <v>0</v>
      </c>
      <c r="L1562" s="31">
        <f>IF(COUNTIFS(Addendum!C:C,A1562,Addendum!D:D,IF(ISNUMBER(B1562),TEXT(B1562,"0000"),B1562),Addendum!I:I,"X")&gt;0,10%,0)</f>
        <v>0</v>
      </c>
      <c r="M1562" s="34">
        <f t="shared" si="48"/>
        <v>0</v>
      </c>
      <c r="N1562" s="17">
        <f t="shared" si="49"/>
        <v>598.5</v>
      </c>
    </row>
    <row r="1563" spans="1:14" x14ac:dyDescent="0.25">
      <c r="A1563" s="14" t="s">
        <v>2248</v>
      </c>
      <c r="B1563" s="14">
        <v>3</v>
      </c>
      <c r="C1563" s="15" t="s">
        <v>2252</v>
      </c>
      <c r="D1563" s="14" t="s">
        <v>1745</v>
      </c>
      <c r="E1563" s="14" t="s">
        <v>1746</v>
      </c>
      <c r="F1563" s="17" t="s">
        <v>2993</v>
      </c>
      <c r="G1563" s="14">
        <v>20979</v>
      </c>
      <c r="H1563" s="14">
        <v>15734.28</v>
      </c>
      <c r="I1563" s="31">
        <f>IF(COUNTIFS(Addendum!C:C,A1563,Addendum!D:D,IF(ISNUMBER(B1563),TEXT(B1563,"0000"),B1563),Addendum!E:E,"X")&gt;0,4%,0)</f>
        <v>0</v>
      </c>
      <c r="J1563" s="31">
        <f>IF(COUNTIFS(Addendum!C:C,A1563,Addendum!D:D,IF(ISNUMBER(B1563),TEXT(B1563,"0000"),B1563),Addendum!F:F,"X")&gt;0,2.5%,0)</f>
        <v>0</v>
      </c>
      <c r="K1563" s="31">
        <f>IF(COUNTIFS(Addendum!C:C,A1563,Addendum!D:D,IF(ISNUMBER(B1563),TEXT(B1563,"0000"),B1563),Addendum!G:G,"X")&gt;0,7%,0)</f>
        <v>0</v>
      </c>
      <c r="L1563" s="31">
        <f>IF(COUNTIFS(Addendum!C:C,A1563,Addendum!D:D,IF(ISNUMBER(B1563),TEXT(B1563,"0000"),B1563),Addendum!I:I,"X")&gt;0,10%,0)</f>
        <v>0</v>
      </c>
      <c r="M1563" s="34">
        <f t="shared" si="48"/>
        <v>0</v>
      </c>
      <c r="N1563" s="17">
        <f t="shared" si="49"/>
        <v>15734.28</v>
      </c>
    </row>
    <row r="1564" spans="1:14" x14ac:dyDescent="0.25">
      <c r="A1564" s="14" t="s">
        <v>2248</v>
      </c>
      <c r="B1564" s="14">
        <v>18</v>
      </c>
      <c r="C1564" s="15" t="s">
        <v>2256</v>
      </c>
      <c r="D1564" s="14" t="s">
        <v>1745</v>
      </c>
      <c r="E1564" s="14" t="s">
        <v>1746</v>
      </c>
      <c r="F1564" s="17" t="s">
        <v>2995</v>
      </c>
      <c r="G1564" s="14">
        <v>27531</v>
      </c>
      <c r="H1564" s="14">
        <v>24777.96</v>
      </c>
      <c r="I1564" s="31">
        <f>IF(COUNTIFS(Addendum!C:C,A1564,Addendum!D:D,IF(ISNUMBER(B1564),TEXT(B1564,"0000"),B1564),Addendum!E:E,"X")&gt;0,4%,0)</f>
        <v>0</v>
      </c>
      <c r="J1564" s="31">
        <f>IF(COUNTIFS(Addendum!C:C,A1564,Addendum!D:D,IF(ISNUMBER(B1564),TEXT(B1564,"0000"),B1564),Addendum!F:F,"X")&gt;0,2.5%,0)</f>
        <v>0</v>
      </c>
      <c r="K1564" s="31">
        <f>IF(COUNTIFS(Addendum!C:C,A1564,Addendum!D:D,IF(ISNUMBER(B1564),TEXT(B1564,"0000"),B1564),Addendum!G:G,"X")&gt;0,7%,0)</f>
        <v>0</v>
      </c>
      <c r="L1564" s="31">
        <f>IF(COUNTIFS(Addendum!C:C,A1564,Addendum!D:D,IF(ISNUMBER(B1564),TEXT(B1564,"0000"),B1564),Addendum!I:I,"X")&gt;0,10%,0)</f>
        <v>0</v>
      </c>
      <c r="M1564" s="34">
        <f t="shared" si="48"/>
        <v>0</v>
      </c>
      <c r="N1564" s="17">
        <f t="shared" si="49"/>
        <v>24777.96</v>
      </c>
    </row>
    <row r="1565" spans="1:14" x14ac:dyDescent="0.25">
      <c r="A1565" s="14" t="s">
        <v>2248</v>
      </c>
      <c r="B1565" s="14">
        <v>18</v>
      </c>
      <c r="C1565" s="15" t="s">
        <v>2256</v>
      </c>
      <c r="D1565" s="14" t="s">
        <v>1745</v>
      </c>
      <c r="E1565" s="14" t="s">
        <v>1747</v>
      </c>
      <c r="F1565" s="17" t="s">
        <v>2995</v>
      </c>
      <c r="G1565" s="14">
        <v>26220</v>
      </c>
      <c r="H1565" s="14">
        <v>23598</v>
      </c>
      <c r="I1565" s="31">
        <f>IF(COUNTIFS(Addendum!C:C,A1565,Addendum!D:D,IF(ISNUMBER(B1565),TEXT(B1565,"0000"),B1565),Addendum!E:E,"X")&gt;0,4%,0)</f>
        <v>0</v>
      </c>
      <c r="J1565" s="31">
        <f>IF(COUNTIFS(Addendum!C:C,A1565,Addendum!D:D,IF(ISNUMBER(B1565),TEXT(B1565,"0000"),B1565),Addendum!F:F,"X")&gt;0,2.5%,0)</f>
        <v>0</v>
      </c>
      <c r="K1565" s="31">
        <f>IF(COUNTIFS(Addendum!C:C,A1565,Addendum!D:D,IF(ISNUMBER(B1565),TEXT(B1565,"0000"),B1565),Addendum!G:G,"X")&gt;0,7%,0)</f>
        <v>0</v>
      </c>
      <c r="L1565" s="31">
        <f>IF(COUNTIFS(Addendum!C:C,A1565,Addendum!D:D,IF(ISNUMBER(B1565),TEXT(B1565,"0000"),B1565),Addendum!I:I,"X")&gt;0,10%,0)</f>
        <v>0</v>
      </c>
      <c r="M1565" s="34">
        <f t="shared" si="48"/>
        <v>0</v>
      </c>
      <c r="N1565" s="17">
        <f t="shared" si="49"/>
        <v>23598</v>
      </c>
    </row>
    <row r="1566" spans="1:14" x14ac:dyDescent="0.25">
      <c r="A1566" s="14" t="s">
        <v>2248</v>
      </c>
      <c r="B1566" s="14" t="s">
        <v>241</v>
      </c>
      <c r="C1566" s="15" t="s">
        <v>2258</v>
      </c>
      <c r="D1566" s="14" t="s">
        <v>1745</v>
      </c>
      <c r="E1566" s="14" t="s">
        <v>1747</v>
      </c>
      <c r="F1566" s="17" t="s">
        <v>2994</v>
      </c>
      <c r="G1566" s="14">
        <v>87840</v>
      </c>
      <c r="H1566" s="14">
        <v>65880</v>
      </c>
      <c r="I1566" s="31">
        <f>IF(COUNTIFS(Addendum!C:C,A1566,Addendum!D:D,IF(ISNUMBER(B1566),TEXT(B1566,"0000"),B1566),Addendum!E:E,"X")&gt;0,4%,0)</f>
        <v>0</v>
      </c>
      <c r="J1566" s="31">
        <f>IF(COUNTIFS(Addendum!C:C,A1566,Addendum!D:D,IF(ISNUMBER(B1566),TEXT(B1566,"0000"),B1566),Addendum!F:F,"X")&gt;0,2.5%,0)</f>
        <v>0</v>
      </c>
      <c r="K1566" s="31">
        <f>IF(COUNTIFS(Addendum!C:C,A1566,Addendum!D:D,IF(ISNUMBER(B1566),TEXT(B1566,"0000"),B1566),Addendum!G:G,"X")&gt;0,7%,0)</f>
        <v>0</v>
      </c>
      <c r="L1566" s="31">
        <f>IF(COUNTIFS(Addendum!C:C,A1566,Addendum!D:D,IF(ISNUMBER(B1566),TEXT(B1566,"0000"),B1566),Addendum!I:I,"X")&gt;0,10%,0)</f>
        <v>0</v>
      </c>
      <c r="M1566" s="34">
        <f t="shared" si="48"/>
        <v>0</v>
      </c>
      <c r="N1566" s="17">
        <f t="shared" si="49"/>
        <v>65880</v>
      </c>
    </row>
    <row r="1567" spans="1:14" x14ac:dyDescent="0.25">
      <c r="A1567" s="14" t="s">
        <v>2248</v>
      </c>
      <c r="B1567" s="14">
        <v>6</v>
      </c>
      <c r="C1567" s="15" t="s">
        <v>2249</v>
      </c>
      <c r="D1567" s="14" t="s">
        <v>1749</v>
      </c>
      <c r="E1567" s="14" t="s">
        <v>1746</v>
      </c>
      <c r="F1567" s="17" t="s">
        <v>2993</v>
      </c>
      <c r="G1567" s="14">
        <v>15972</v>
      </c>
      <c r="H1567" s="14">
        <v>11979</v>
      </c>
      <c r="I1567" s="31">
        <f>IF(COUNTIFS(Addendum!C:C,A1567,Addendum!D:D,IF(ISNUMBER(B1567),TEXT(B1567,"0000"),B1567),Addendum!E:E,"X")&gt;0,4%,0)</f>
        <v>0</v>
      </c>
      <c r="J1567" s="31">
        <f>IF(COUNTIFS(Addendum!C:C,A1567,Addendum!D:D,IF(ISNUMBER(B1567),TEXT(B1567,"0000"),B1567),Addendum!F:F,"X")&gt;0,2.5%,0)</f>
        <v>0</v>
      </c>
      <c r="K1567" s="31">
        <f>IF(COUNTIFS(Addendum!C:C,A1567,Addendum!D:D,IF(ISNUMBER(B1567),TEXT(B1567,"0000"),B1567),Addendum!G:G,"X")&gt;0,7%,0)</f>
        <v>0</v>
      </c>
      <c r="L1567" s="31">
        <f>IF(COUNTIFS(Addendum!C:C,A1567,Addendum!D:D,IF(ISNUMBER(B1567),TEXT(B1567,"0000"),B1567),Addendum!I:I,"X")&gt;0,10%,0)</f>
        <v>0</v>
      </c>
      <c r="M1567" s="34">
        <f t="shared" si="48"/>
        <v>0</v>
      </c>
      <c r="N1567" s="17">
        <f t="shared" si="49"/>
        <v>11979</v>
      </c>
    </row>
    <row r="1568" spans="1:14" x14ac:dyDescent="0.25">
      <c r="A1568" s="14" t="s">
        <v>2248</v>
      </c>
      <c r="B1568" s="14" t="s">
        <v>470</v>
      </c>
      <c r="C1568" s="15" t="s">
        <v>2259</v>
      </c>
      <c r="D1568" s="14" t="s">
        <v>1749</v>
      </c>
      <c r="E1568" s="14" t="s">
        <v>1746</v>
      </c>
      <c r="F1568" s="17" t="s">
        <v>2994</v>
      </c>
      <c r="G1568" s="14">
        <v>4194</v>
      </c>
      <c r="H1568" s="14">
        <v>3145.5</v>
      </c>
      <c r="I1568" s="31">
        <f>IF(COUNTIFS(Addendum!C:C,A1568,Addendum!D:D,IF(ISNUMBER(B1568),TEXT(B1568,"0000"),B1568),Addendum!E:E,"X")&gt;0,4%,0)</f>
        <v>0</v>
      </c>
      <c r="J1568" s="31">
        <f>IF(COUNTIFS(Addendum!C:C,A1568,Addendum!D:D,IF(ISNUMBER(B1568),TEXT(B1568,"0000"),B1568),Addendum!F:F,"X")&gt;0,2.5%,0)</f>
        <v>0</v>
      </c>
      <c r="K1568" s="31">
        <f>IF(COUNTIFS(Addendum!C:C,A1568,Addendum!D:D,IF(ISNUMBER(B1568),TEXT(B1568,"0000"),B1568),Addendum!G:G,"X")&gt;0,7%,0)</f>
        <v>0</v>
      </c>
      <c r="L1568" s="31">
        <f>IF(COUNTIFS(Addendum!C:C,A1568,Addendum!D:D,IF(ISNUMBER(B1568),TEXT(B1568,"0000"),B1568),Addendum!I:I,"X")&gt;0,10%,0)</f>
        <v>0</v>
      </c>
      <c r="M1568" s="34">
        <f t="shared" si="48"/>
        <v>0</v>
      </c>
      <c r="N1568" s="17">
        <f t="shared" si="49"/>
        <v>3145.5</v>
      </c>
    </row>
    <row r="1569" spans="1:14" x14ac:dyDescent="0.25">
      <c r="A1569" s="14" t="s">
        <v>2248</v>
      </c>
      <c r="B1569" s="14" t="s">
        <v>470</v>
      </c>
      <c r="C1569" s="15" t="s">
        <v>2259</v>
      </c>
      <c r="D1569" s="14" t="s">
        <v>1745</v>
      </c>
      <c r="E1569" s="14" t="s">
        <v>1747</v>
      </c>
      <c r="F1569" s="17" t="s">
        <v>2994</v>
      </c>
      <c r="G1569" s="14">
        <v>41940</v>
      </c>
      <c r="H1569" s="14">
        <v>31455</v>
      </c>
      <c r="I1569" s="31">
        <f>IF(COUNTIFS(Addendum!C:C,A1569,Addendum!D:D,IF(ISNUMBER(B1569),TEXT(B1569,"0000"),B1569),Addendum!E:E,"X")&gt;0,4%,0)</f>
        <v>0</v>
      </c>
      <c r="J1569" s="31">
        <f>IF(COUNTIFS(Addendum!C:C,A1569,Addendum!D:D,IF(ISNUMBER(B1569),TEXT(B1569,"0000"),B1569),Addendum!F:F,"X")&gt;0,2.5%,0)</f>
        <v>0</v>
      </c>
      <c r="K1569" s="31">
        <f>IF(COUNTIFS(Addendum!C:C,A1569,Addendum!D:D,IF(ISNUMBER(B1569),TEXT(B1569,"0000"),B1569),Addendum!G:G,"X")&gt;0,7%,0)</f>
        <v>0</v>
      </c>
      <c r="L1569" s="31">
        <f>IF(COUNTIFS(Addendum!C:C,A1569,Addendum!D:D,IF(ISNUMBER(B1569),TEXT(B1569,"0000"),B1569),Addendum!I:I,"X")&gt;0,10%,0)</f>
        <v>0</v>
      </c>
      <c r="M1569" s="34">
        <f t="shared" si="48"/>
        <v>0</v>
      </c>
      <c r="N1569" s="17">
        <f t="shared" si="49"/>
        <v>31455</v>
      </c>
    </row>
    <row r="1570" spans="1:14" x14ac:dyDescent="0.25">
      <c r="A1570" s="14" t="s">
        <v>2248</v>
      </c>
      <c r="B1570" s="14">
        <v>1</v>
      </c>
      <c r="C1570" s="15" t="s">
        <v>2250</v>
      </c>
      <c r="D1570" s="14" t="s">
        <v>1745</v>
      </c>
      <c r="E1570" s="14" t="s">
        <v>1747</v>
      </c>
      <c r="F1570" s="17" t="s">
        <v>2993</v>
      </c>
      <c r="G1570" s="14">
        <v>104820</v>
      </c>
      <c r="H1570" s="14">
        <v>78615</v>
      </c>
      <c r="I1570" s="31">
        <f>IF(COUNTIFS(Addendum!C:C,A1570,Addendum!D:D,IF(ISNUMBER(B1570),TEXT(B1570,"0000"),B1570),Addendum!E:E,"X")&gt;0,4%,0)</f>
        <v>0</v>
      </c>
      <c r="J1570" s="31">
        <f>IF(COUNTIFS(Addendum!C:C,A1570,Addendum!D:D,IF(ISNUMBER(B1570),TEXT(B1570,"0000"),B1570),Addendum!F:F,"X")&gt;0,2.5%,0)</f>
        <v>0</v>
      </c>
      <c r="K1570" s="31">
        <f>IF(COUNTIFS(Addendum!C:C,A1570,Addendum!D:D,IF(ISNUMBER(B1570),TEXT(B1570,"0000"),B1570),Addendum!G:G,"X")&gt;0,7%,0)</f>
        <v>0</v>
      </c>
      <c r="L1570" s="31">
        <f>IF(COUNTIFS(Addendum!C:C,A1570,Addendum!D:D,IF(ISNUMBER(B1570),TEXT(B1570,"0000"),B1570),Addendum!I:I,"X")&gt;0,10%,0)</f>
        <v>0</v>
      </c>
      <c r="M1570" s="34">
        <f t="shared" si="48"/>
        <v>0</v>
      </c>
      <c r="N1570" s="17">
        <f t="shared" si="49"/>
        <v>78615</v>
      </c>
    </row>
    <row r="1571" spans="1:14" x14ac:dyDescent="0.25">
      <c r="A1571" s="14" t="s">
        <v>2248</v>
      </c>
      <c r="B1571" s="14">
        <v>19</v>
      </c>
      <c r="C1571" s="15" t="s">
        <v>2260</v>
      </c>
      <c r="D1571" s="14" t="s">
        <v>1749</v>
      </c>
      <c r="E1571" s="14" t="s">
        <v>1746</v>
      </c>
      <c r="F1571" s="17" t="s">
        <v>2994</v>
      </c>
      <c r="G1571" s="14">
        <v>5766</v>
      </c>
      <c r="H1571" s="14">
        <v>4324.5</v>
      </c>
      <c r="I1571" s="31">
        <f>IF(COUNTIFS(Addendum!C:C,A1571,Addendum!D:D,IF(ISNUMBER(B1571),TEXT(B1571,"0000"),B1571),Addendum!E:E,"X")&gt;0,4%,0)</f>
        <v>0</v>
      </c>
      <c r="J1571" s="31">
        <f>IF(COUNTIFS(Addendum!C:C,A1571,Addendum!D:D,IF(ISNUMBER(B1571),TEXT(B1571,"0000"),B1571),Addendum!F:F,"X")&gt;0,2.5%,0)</f>
        <v>0</v>
      </c>
      <c r="K1571" s="31">
        <f>IF(COUNTIFS(Addendum!C:C,A1571,Addendum!D:D,IF(ISNUMBER(B1571),TEXT(B1571,"0000"),B1571),Addendum!G:G,"X")&gt;0,7%,0)</f>
        <v>0</v>
      </c>
      <c r="L1571" s="31">
        <f>IF(COUNTIFS(Addendum!C:C,A1571,Addendum!D:D,IF(ISNUMBER(B1571),TEXT(B1571,"0000"),B1571),Addendum!I:I,"X")&gt;0,10%,0)</f>
        <v>0</v>
      </c>
      <c r="M1571" s="34">
        <f t="shared" si="48"/>
        <v>0</v>
      </c>
      <c r="N1571" s="17">
        <f t="shared" si="49"/>
        <v>4324.5</v>
      </c>
    </row>
    <row r="1572" spans="1:14" ht="30" x14ac:dyDescent="0.25">
      <c r="A1572" s="14" t="s">
        <v>2248</v>
      </c>
      <c r="B1572" s="14" t="s">
        <v>263</v>
      </c>
      <c r="C1572" s="15" t="s">
        <v>2253</v>
      </c>
      <c r="D1572" s="14" t="s">
        <v>1745</v>
      </c>
      <c r="E1572" s="14" t="s">
        <v>1747</v>
      </c>
      <c r="F1572" s="17" t="s">
        <v>2995</v>
      </c>
      <c r="G1572" s="14">
        <v>4980</v>
      </c>
      <c r="H1572" s="14">
        <v>4482</v>
      </c>
      <c r="I1572" s="31">
        <f>IF(COUNTIFS(Addendum!C:C,A1572,Addendum!D:D,IF(ISNUMBER(B1572),TEXT(B1572,"0000"),B1572),Addendum!E:E,"X")&gt;0,4%,0)</f>
        <v>0</v>
      </c>
      <c r="J1572" s="31">
        <f>IF(COUNTIFS(Addendum!C:C,A1572,Addendum!D:D,IF(ISNUMBER(B1572),TEXT(B1572,"0000"),B1572),Addendum!F:F,"X")&gt;0,2.5%,0)</f>
        <v>0</v>
      </c>
      <c r="K1572" s="31">
        <f>IF(COUNTIFS(Addendum!C:C,A1572,Addendum!D:D,IF(ISNUMBER(B1572),TEXT(B1572,"0000"),B1572),Addendum!G:G,"X")&gt;0,7%,0)</f>
        <v>0</v>
      </c>
      <c r="L1572" s="31">
        <f>IF(COUNTIFS(Addendum!C:C,A1572,Addendum!D:D,IF(ISNUMBER(B1572),TEXT(B1572,"0000"),B1572),Addendum!I:I,"X")&gt;0,10%,0)</f>
        <v>0</v>
      </c>
      <c r="M1572" s="34">
        <f t="shared" si="48"/>
        <v>0</v>
      </c>
      <c r="N1572" s="17">
        <f t="shared" si="49"/>
        <v>4482</v>
      </c>
    </row>
    <row r="1573" spans="1:14" x14ac:dyDescent="0.25">
      <c r="A1573" s="14" t="s">
        <v>2248</v>
      </c>
      <c r="B1573" s="14">
        <v>19</v>
      </c>
      <c r="C1573" s="15" t="s">
        <v>2260</v>
      </c>
      <c r="D1573" s="14" t="s">
        <v>1745</v>
      </c>
      <c r="E1573" s="14" t="s">
        <v>1746</v>
      </c>
      <c r="F1573" s="17" t="s">
        <v>2994</v>
      </c>
      <c r="G1573" s="14">
        <v>60543</v>
      </c>
      <c r="H1573" s="14">
        <v>45407.28</v>
      </c>
      <c r="I1573" s="31">
        <f>IF(COUNTIFS(Addendum!C:C,A1573,Addendum!D:D,IF(ISNUMBER(B1573),TEXT(B1573,"0000"),B1573),Addendum!E:E,"X")&gt;0,4%,0)</f>
        <v>0</v>
      </c>
      <c r="J1573" s="31">
        <f>IF(COUNTIFS(Addendum!C:C,A1573,Addendum!D:D,IF(ISNUMBER(B1573),TEXT(B1573,"0000"),B1573),Addendum!F:F,"X")&gt;0,2.5%,0)</f>
        <v>0</v>
      </c>
      <c r="K1573" s="31">
        <f>IF(COUNTIFS(Addendum!C:C,A1573,Addendum!D:D,IF(ISNUMBER(B1573),TEXT(B1573,"0000"),B1573),Addendum!G:G,"X")&gt;0,7%,0)</f>
        <v>0</v>
      </c>
      <c r="L1573" s="31">
        <f>IF(COUNTIFS(Addendum!C:C,A1573,Addendum!D:D,IF(ISNUMBER(B1573),TEXT(B1573,"0000"),B1573),Addendum!I:I,"X")&gt;0,10%,0)</f>
        <v>0</v>
      </c>
      <c r="M1573" s="34">
        <f t="shared" si="48"/>
        <v>0</v>
      </c>
      <c r="N1573" s="17">
        <f t="shared" si="49"/>
        <v>45407.28</v>
      </c>
    </row>
    <row r="1574" spans="1:14" x14ac:dyDescent="0.25">
      <c r="A1574" s="14" t="s">
        <v>2248</v>
      </c>
      <c r="B1574" s="14">
        <v>6</v>
      </c>
      <c r="C1574" s="15" t="s">
        <v>2249</v>
      </c>
      <c r="D1574" s="14" t="s">
        <v>1745</v>
      </c>
      <c r="E1574" s="14" t="s">
        <v>1747</v>
      </c>
      <c r="F1574" s="17" t="s">
        <v>2993</v>
      </c>
      <c r="G1574" s="14">
        <v>159720</v>
      </c>
      <c r="H1574" s="14">
        <v>119790</v>
      </c>
      <c r="I1574" s="31">
        <f>IF(COUNTIFS(Addendum!C:C,A1574,Addendum!D:D,IF(ISNUMBER(B1574),TEXT(B1574,"0000"),B1574),Addendum!E:E,"X")&gt;0,4%,0)</f>
        <v>0</v>
      </c>
      <c r="J1574" s="31">
        <f>IF(COUNTIFS(Addendum!C:C,A1574,Addendum!D:D,IF(ISNUMBER(B1574),TEXT(B1574,"0000"),B1574),Addendum!F:F,"X")&gt;0,2.5%,0)</f>
        <v>0</v>
      </c>
      <c r="K1574" s="31">
        <f>IF(COUNTIFS(Addendum!C:C,A1574,Addendum!D:D,IF(ISNUMBER(B1574),TEXT(B1574,"0000"),B1574),Addendum!G:G,"X")&gt;0,7%,0)</f>
        <v>0</v>
      </c>
      <c r="L1574" s="31">
        <f>IF(COUNTIFS(Addendum!C:C,A1574,Addendum!D:D,IF(ISNUMBER(B1574),TEXT(B1574,"0000"),B1574),Addendum!I:I,"X")&gt;0,10%,0)</f>
        <v>0</v>
      </c>
      <c r="M1574" s="34">
        <f t="shared" si="48"/>
        <v>0</v>
      </c>
      <c r="N1574" s="17">
        <f t="shared" si="49"/>
        <v>119790</v>
      </c>
    </row>
    <row r="1575" spans="1:14" x14ac:dyDescent="0.25">
      <c r="A1575" s="14" t="s">
        <v>2248</v>
      </c>
      <c r="B1575" s="14">
        <v>3</v>
      </c>
      <c r="C1575" s="15" t="s">
        <v>2252</v>
      </c>
      <c r="D1575" s="14" t="s">
        <v>1749</v>
      </c>
      <c r="E1575" s="14" t="s">
        <v>1746</v>
      </c>
      <c r="F1575" s="17" t="s">
        <v>2993</v>
      </c>
      <c r="G1575" s="14">
        <v>1998</v>
      </c>
      <c r="H1575" s="14">
        <v>1498.5</v>
      </c>
      <c r="I1575" s="31">
        <f>IF(COUNTIFS(Addendum!C:C,A1575,Addendum!D:D,IF(ISNUMBER(B1575),TEXT(B1575,"0000"),B1575),Addendum!E:E,"X")&gt;0,4%,0)</f>
        <v>0</v>
      </c>
      <c r="J1575" s="31">
        <f>IF(COUNTIFS(Addendum!C:C,A1575,Addendum!D:D,IF(ISNUMBER(B1575),TEXT(B1575,"0000"),B1575),Addendum!F:F,"X")&gt;0,2.5%,0)</f>
        <v>0</v>
      </c>
      <c r="K1575" s="31">
        <f>IF(COUNTIFS(Addendum!C:C,A1575,Addendum!D:D,IF(ISNUMBER(B1575),TEXT(B1575,"0000"),B1575),Addendum!G:G,"X")&gt;0,7%,0)</f>
        <v>0</v>
      </c>
      <c r="L1575" s="31">
        <f>IF(COUNTIFS(Addendum!C:C,A1575,Addendum!D:D,IF(ISNUMBER(B1575),TEXT(B1575,"0000"),B1575),Addendum!I:I,"X")&gt;0,10%,0)</f>
        <v>0</v>
      </c>
      <c r="M1575" s="34">
        <f t="shared" si="48"/>
        <v>0</v>
      </c>
      <c r="N1575" s="17">
        <f t="shared" si="49"/>
        <v>1498.5</v>
      </c>
    </row>
    <row r="1576" spans="1:14" x14ac:dyDescent="0.25">
      <c r="A1576" s="14" t="s">
        <v>2248</v>
      </c>
      <c r="B1576" s="14">
        <v>6</v>
      </c>
      <c r="C1576" s="15" t="s">
        <v>2249</v>
      </c>
      <c r="D1576" s="14" t="s">
        <v>1752</v>
      </c>
      <c r="E1576" s="14" t="s">
        <v>1746</v>
      </c>
      <c r="F1576" s="17" t="s">
        <v>2993</v>
      </c>
      <c r="G1576" s="14">
        <v>503118</v>
      </c>
      <c r="H1576" s="14">
        <v>377338.7</v>
      </c>
      <c r="I1576" s="31">
        <f>IF(COUNTIFS(Addendum!C:C,A1576,Addendum!D:D,IF(ISNUMBER(B1576),TEXT(B1576,"0000"),B1576),Addendum!E:E,"X")&gt;0,4%,0)</f>
        <v>0</v>
      </c>
      <c r="J1576" s="31">
        <f>IF(COUNTIFS(Addendum!C:C,A1576,Addendum!D:D,IF(ISNUMBER(B1576),TEXT(B1576,"0000"),B1576),Addendum!F:F,"X")&gt;0,2.5%,0)</f>
        <v>0</v>
      </c>
      <c r="K1576" s="31">
        <f>IF(COUNTIFS(Addendum!C:C,A1576,Addendum!D:D,IF(ISNUMBER(B1576),TEXT(B1576,"0000"),B1576),Addendum!G:G,"X")&gt;0,7%,0)</f>
        <v>0</v>
      </c>
      <c r="L1576" s="31">
        <f>IF(COUNTIFS(Addendum!C:C,A1576,Addendum!D:D,IF(ISNUMBER(B1576),TEXT(B1576,"0000"),B1576),Addendum!I:I,"X")&gt;0,10%,0)</f>
        <v>0</v>
      </c>
      <c r="M1576" s="34">
        <f t="shared" si="48"/>
        <v>0</v>
      </c>
      <c r="N1576" s="17">
        <f t="shared" si="49"/>
        <v>377338.7</v>
      </c>
    </row>
    <row r="1577" spans="1:14" x14ac:dyDescent="0.25">
      <c r="A1577" s="14" t="s">
        <v>2248</v>
      </c>
      <c r="B1577" s="14">
        <v>1</v>
      </c>
      <c r="C1577" s="15" t="s">
        <v>2250</v>
      </c>
      <c r="D1577" s="14" t="s">
        <v>1752</v>
      </c>
      <c r="E1577" s="14" t="s">
        <v>1746</v>
      </c>
      <c r="F1577" s="17" t="s">
        <v>2993</v>
      </c>
      <c r="G1577" s="14">
        <v>330183</v>
      </c>
      <c r="H1577" s="14">
        <v>247637.2</v>
      </c>
      <c r="I1577" s="31">
        <f>IF(COUNTIFS(Addendum!C:C,A1577,Addendum!D:D,IF(ISNUMBER(B1577),TEXT(B1577,"0000"),B1577),Addendum!E:E,"X")&gt;0,4%,0)</f>
        <v>0</v>
      </c>
      <c r="J1577" s="31">
        <f>IF(COUNTIFS(Addendum!C:C,A1577,Addendum!D:D,IF(ISNUMBER(B1577),TEXT(B1577,"0000"),B1577),Addendum!F:F,"X")&gt;0,2.5%,0)</f>
        <v>0</v>
      </c>
      <c r="K1577" s="31">
        <f>IF(COUNTIFS(Addendum!C:C,A1577,Addendum!D:D,IF(ISNUMBER(B1577),TEXT(B1577,"0000"),B1577),Addendum!G:G,"X")&gt;0,7%,0)</f>
        <v>0</v>
      </c>
      <c r="L1577" s="31">
        <f>IF(COUNTIFS(Addendum!C:C,A1577,Addendum!D:D,IF(ISNUMBER(B1577),TEXT(B1577,"0000"),B1577),Addendum!I:I,"X")&gt;0,10%,0)</f>
        <v>0</v>
      </c>
      <c r="M1577" s="34">
        <f t="shared" si="48"/>
        <v>0</v>
      </c>
      <c r="N1577" s="17">
        <f t="shared" si="49"/>
        <v>247637.2</v>
      </c>
    </row>
    <row r="1578" spans="1:14" x14ac:dyDescent="0.25">
      <c r="A1578" s="14" t="s">
        <v>2248</v>
      </c>
      <c r="B1578" s="14" t="s">
        <v>177</v>
      </c>
      <c r="C1578" s="15" t="s">
        <v>2255</v>
      </c>
      <c r="D1578" s="14" t="s">
        <v>1745</v>
      </c>
      <c r="E1578" s="14" t="s">
        <v>1747</v>
      </c>
      <c r="F1578" s="17" t="s">
        <v>2994</v>
      </c>
      <c r="G1578" s="14">
        <v>63900</v>
      </c>
      <c r="H1578" s="14">
        <v>47925</v>
      </c>
      <c r="I1578" s="31">
        <f>IF(COUNTIFS(Addendum!C:C,A1578,Addendum!D:D,IF(ISNUMBER(B1578),TEXT(B1578,"0000"),B1578),Addendum!E:E,"X")&gt;0,4%,0)</f>
        <v>0</v>
      </c>
      <c r="J1578" s="31">
        <f>IF(COUNTIFS(Addendum!C:C,A1578,Addendum!D:D,IF(ISNUMBER(B1578),TEXT(B1578,"0000"),B1578),Addendum!F:F,"X")&gt;0,2.5%,0)</f>
        <v>0</v>
      </c>
      <c r="K1578" s="31">
        <f>IF(COUNTIFS(Addendum!C:C,A1578,Addendum!D:D,IF(ISNUMBER(B1578),TEXT(B1578,"0000"),B1578),Addendum!G:G,"X")&gt;0,7%,0)</f>
        <v>0</v>
      </c>
      <c r="L1578" s="31">
        <f>IF(COUNTIFS(Addendum!C:C,A1578,Addendum!D:D,IF(ISNUMBER(B1578),TEXT(B1578,"0000"),B1578),Addendum!I:I,"X")&gt;0,10%,0)</f>
        <v>0</v>
      </c>
      <c r="M1578" s="34">
        <f t="shared" si="48"/>
        <v>0</v>
      </c>
      <c r="N1578" s="17">
        <f t="shared" si="49"/>
        <v>47925</v>
      </c>
    </row>
    <row r="1579" spans="1:14" x14ac:dyDescent="0.25">
      <c r="A1579" s="14" t="s">
        <v>2248</v>
      </c>
      <c r="B1579" s="14">
        <v>3</v>
      </c>
      <c r="C1579" s="15" t="s">
        <v>2252</v>
      </c>
      <c r="D1579" s="14" t="s">
        <v>1752</v>
      </c>
      <c r="E1579" s="14" t="s">
        <v>1747</v>
      </c>
      <c r="F1579" s="17" t="s">
        <v>2993</v>
      </c>
      <c r="G1579" s="14">
        <v>59940</v>
      </c>
      <c r="H1579" s="14">
        <v>44955</v>
      </c>
      <c r="I1579" s="31">
        <f>IF(COUNTIFS(Addendum!C:C,A1579,Addendum!D:D,IF(ISNUMBER(B1579),TEXT(B1579,"0000"),B1579),Addendum!E:E,"X")&gt;0,4%,0)</f>
        <v>0</v>
      </c>
      <c r="J1579" s="31">
        <f>IF(COUNTIFS(Addendum!C:C,A1579,Addendum!D:D,IF(ISNUMBER(B1579),TEXT(B1579,"0000"),B1579),Addendum!F:F,"X")&gt;0,2.5%,0)</f>
        <v>0</v>
      </c>
      <c r="K1579" s="31">
        <f>IF(COUNTIFS(Addendum!C:C,A1579,Addendum!D:D,IF(ISNUMBER(B1579),TEXT(B1579,"0000"),B1579),Addendum!G:G,"X")&gt;0,7%,0)</f>
        <v>0</v>
      </c>
      <c r="L1579" s="31">
        <f>IF(COUNTIFS(Addendum!C:C,A1579,Addendum!D:D,IF(ISNUMBER(B1579),TEXT(B1579,"0000"),B1579),Addendum!I:I,"X")&gt;0,10%,0)</f>
        <v>0</v>
      </c>
      <c r="M1579" s="34">
        <f t="shared" si="48"/>
        <v>0</v>
      </c>
      <c r="N1579" s="17">
        <f t="shared" si="49"/>
        <v>44955</v>
      </c>
    </row>
    <row r="1580" spans="1:14" x14ac:dyDescent="0.25">
      <c r="A1580" s="14" t="s">
        <v>2248</v>
      </c>
      <c r="B1580" s="14">
        <v>1</v>
      </c>
      <c r="C1580" s="15" t="s">
        <v>2250</v>
      </c>
      <c r="D1580" s="14" t="s">
        <v>1752</v>
      </c>
      <c r="E1580" s="14" t="s">
        <v>1753</v>
      </c>
      <c r="F1580" s="17" t="s">
        <v>2993</v>
      </c>
      <c r="G1580" s="14">
        <v>314460</v>
      </c>
      <c r="H1580" s="14">
        <v>235845</v>
      </c>
      <c r="I1580" s="31">
        <f>IF(COUNTIFS(Addendum!C:C,A1580,Addendum!D:D,IF(ISNUMBER(B1580),TEXT(B1580,"0000"),B1580),Addendum!E:E,"X")&gt;0,4%,0)</f>
        <v>0</v>
      </c>
      <c r="J1580" s="31">
        <f>IF(COUNTIFS(Addendum!C:C,A1580,Addendum!D:D,IF(ISNUMBER(B1580),TEXT(B1580,"0000"),B1580),Addendum!F:F,"X")&gt;0,2.5%,0)</f>
        <v>0</v>
      </c>
      <c r="K1580" s="31">
        <f>IF(COUNTIFS(Addendum!C:C,A1580,Addendum!D:D,IF(ISNUMBER(B1580),TEXT(B1580,"0000"),B1580),Addendum!G:G,"X")&gt;0,7%,0)</f>
        <v>0</v>
      </c>
      <c r="L1580" s="31">
        <f>IF(COUNTIFS(Addendum!C:C,A1580,Addendum!D:D,IF(ISNUMBER(B1580),TEXT(B1580,"0000"),B1580),Addendum!I:I,"X")&gt;0,10%,0)</f>
        <v>0</v>
      </c>
      <c r="M1580" s="34">
        <f t="shared" si="48"/>
        <v>0</v>
      </c>
      <c r="N1580" s="17">
        <f t="shared" si="49"/>
        <v>235845</v>
      </c>
    </row>
    <row r="1581" spans="1:14" x14ac:dyDescent="0.25">
      <c r="A1581" s="14" t="s">
        <v>2248</v>
      </c>
      <c r="B1581" s="14">
        <v>1</v>
      </c>
      <c r="C1581" s="15" t="s">
        <v>2250</v>
      </c>
      <c r="D1581" s="14" t="s">
        <v>1749</v>
      </c>
      <c r="E1581" s="14" t="s">
        <v>1746</v>
      </c>
      <c r="F1581" s="17" t="s">
        <v>2993</v>
      </c>
      <c r="G1581" s="14">
        <v>10482</v>
      </c>
      <c r="H1581" s="14">
        <v>7861.5</v>
      </c>
      <c r="I1581" s="31">
        <f>IF(COUNTIFS(Addendum!C:C,A1581,Addendum!D:D,IF(ISNUMBER(B1581),TEXT(B1581,"0000"),B1581),Addendum!E:E,"X")&gt;0,4%,0)</f>
        <v>0</v>
      </c>
      <c r="J1581" s="31">
        <f>IF(COUNTIFS(Addendum!C:C,A1581,Addendum!D:D,IF(ISNUMBER(B1581),TEXT(B1581,"0000"),B1581),Addendum!F:F,"X")&gt;0,2.5%,0)</f>
        <v>0</v>
      </c>
      <c r="K1581" s="31">
        <f>IF(COUNTIFS(Addendum!C:C,A1581,Addendum!D:D,IF(ISNUMBER(B1581),TEXT(B1581,"0000"),B1581),Addendum!G:G,"X")&gt;0,7%,0)</f>
        <v>0</v>
      </c>
      <c r="L1581" s="31">
        <f>IF(COUNTIFS(Addendum!C:C,A1581,Addendum!D:D,IF(ISNUMBER(B1581),TEXT(B1581,"0000"),B1581),Addendum!I:I,"X")&gt;0,10%,0)</f>
        <v>0</v>
      </c>
      <c r="M1581" s="34">
        <f t="shared" si="48"/>
        <v>0</v>
      </c>
      <c r="N1581" s="17">
        <f t="shared" si="49"/>
        <v>7861.5</v>
      </c>
    </row>
    <row r="1582" spans="1:14" x14ac:dyDescent="0.25">
      <c r="A1582" s="14" t="s">
        <v>2248</v>
      </c>
      <c r="B1582" s="14" t="s">
        <v>177</v>
      </c>
      <c r="C1582" s="15" t="s">
        <v>2255</v>
      </c>
      <c r="D1582" s="14" t="s">
        <v>1745</v>
      </c>
      <c r="E1582" s="14" t="s">
        <v>1746</v>
      </c>
      <c r="F1582" s="17" t="s">
        <v>2994</v>
      </c>
      <c r="G1582" s="14">
        <v>67095</v>
      </c>
      <c r="H1582" s="14">
        <v>50321.279999999999</v>
      </c>
      <c r="I1582" s="31">
        <f>IF(COUNTIFS(Addendum!C:C,A1582,Addendum!D:D,IF(ISNUMBER(B1582),TEXT(B1582,"0000"),B1582),Addendum!E:E,"X")&gt;0,4%,0)</f>
        <v>0</v>
      </c>
      <c r="J1582" s="31">
        <f>IF(COUNTIFS(Addendum!C:C,A1582,Addendum!D:D,IF(ISNUMBER(B1582),TEXT(B1582,"0000"),B1582),Addendum!F:F,"X")&gt;0,2.5%,0)</f>
        <v>0</v>
      </c>
      <c r="K1582" s="31">
        <f>IF(COUNTIFS(Addendum!C:C,A1582,Addendum!D:D,IF(ISNUMBER(B1582),TEXT(B1582,"0000"),B1582),Addendum!G:G,"X")&gt;0,7%,0)</f>
        <v>0</v>
      </c>
      <c r="L1582" s="31">
        <f>IF(COUNTIFS(Addendum!C:C,A1582,Addendum!D:D,IF(ISNUMBER(B1582),TEXT(B1582,"0000"),B1582),Addendum!I:I,"X")&gt;0,10%,0)</f>
        <v>0</v>
      </c>
      <c r="M1582" s="34">
        <f t="shared" si="48"/>
        <v>0</v>
      </c>
      <c r="N1582" s="17">
        <f t="shared" si="49"/>
        <v>50321.279999999999</v>
      </c>
    </row>
    <row r="1583" spans="1:14" x14ac:dyDescent="0.25">
      <c r="A1583" s="14" t="s">
        <v>2248</v>
      </c>
      <c r="B1583" s="14" t="s">
        <v>241</v>
      </c>
      <c r="C1583" s="15" t="s">
        <v>2258</v>
      </c>
      <c r="D1583" s="14" t="s">
        <v>1749</v>
      </c>
      <c r="E1583" s="14" t="s">
        <v>1746</v>
      </c>
      <c r="F1583" s="17" t="s">
        <v>2994</v>
      </c>
      <c r="G1583" s="14">
        <v>8784</v>
      </c>
      <c r="H1583" s="14">
        <v>6588</v>
      </c>
      <c r="I1583" s="31">
        <f>IF(COUNTIFS(Addendum!C:C,A1583,Addendum!D:D,IF(ISNUMBER(B1583),TEXT(B1583,"0000"),B1583),Addendum!E:E,"X")&gt;0,4%,0)</f>
        <v>0</v>
      </c>
      <c r="J1583" s="31">
        <f>IF(COUNTIFS(Addendum!C:C,A1583,Addendum!D:D,IF(ISNUMBER(B1583),TEXT(B1583,"0000"),B1583),Addendum!F:F,"X")&gt;0,2.5%,0)</f>
        <v>0</v>
      </c>
      <c r="K1583" s="31">
        <f>IF(COUNTIFS(Addendum!C:C,A1583,Addendum!D:D,IF(ISNUMBER(B1583),TEXT(B1583,"0000"),B1583),Addendum!G:G,"X")&gt;0,7%,0)</f>
        <v>0</v>
      </c>
      <c r="L1583" s="31">
        <f>IF(COUNTIFS(Addendum!C:C,A1583,Addendum!D:D,IF(ISNUMBER(B1583),TEXT(B1583,"0000"),B1583),Addendum!I:I,"X")&gt;0,10%,0)</f>
        <v>0</v>
      </c>
      <c r="M1583" s="34">
        <f t="shared" si="48"/>
        <v>0</v>
      </c>
      <c r="N1583" s="17">
        <f t="shared" si="49"/>
        <v>6588</v>
      </c>
    </row>
    <row r="1584" spans="1:14" ht="30" x14ac:dyDescent="0.25">
      <c r="A1584" s="14" t="s">
        <v>2248</v>
      </c>
      <c r="B1584" s="14" t="s">
        <v>263</v>
      </c>
      <c r="C1584" s="15" t="s">
        <v>2253</v>
      </c>
      <c r="D1584" s="14" t="s">
        <v>1749</v>
      </c>
      <c r="E1584" s="14" t="s">
        <v>1746</v>
      </c>
      <c r="F1584" s="17" t="s">
        <v>2995</v>
      </c>
      <c r="G1584" s="14">
        <v>498</v>
      </c>
      <c r="H1584" s="14">
        <v>448.2</v>
      </c>
      <c r="I1584" s="31">
        <f>IF(COUNTIFS(Addendum!C:C,A1584,Addendum!D:D,IF(ISNUMBER(B1584),TEXT(B1584,"0000"),B1584),Addendum!E:E,"X")&gt;0,4%,0)</f>
        <v>0</v>
      </c>
      <c r="J1584" s="31">
        <f>IF(COUNTIFS(Addendum!C:C,A1584,Addendum!D:D,IF(ISNUMBER(B1584),TEXT(B1584,"0000"),B1584),Addendum!F:F,"X")&gt;0,2.5%,0)</f>
        <v>0</v>
      </c>
      <c r="K1584" s="31">
        <f>IF(COUNTIFS(Addendum!C:C,A1584,Addendum!D:D,IF(ISNUMBER(B1584),TEXT(B1584,"0000"),B1584),Addendum!G:G,"X")&gt;0,7%,0)</f>
        <v>0</v>
      </c>
      <c r="L1584" s="31">
        <f>IF(COUNTIFS(Addendum!C:C,A1584,Addendum!D:D,IF(ISNUMBER(B1584),TEXT(B1584,"0000"),B1584),Addendum!I:I,"X")&gt;0,10%,0)</f>
        <v>0</v>
      </c>
      <c r="M1584" s="34">
        <f t="shared" si="48"/>
        <v>0</v>
      </c>
      <c r="N1584" s="17">
        <f t="shared" si="49"/>
        <v>448.2</v>
      </c>
    </row>
    <row r="1585" spans="1:14" x14ac:dyDescent="0.25">
      <c r="A1585" s="14" t="s">
        <v>2248</v>
      </c>
      <c r="B1585" s="14">
        <v>19</v>
      </c>
      <c r="C1585" s="15" t="s">
        <v>2260</v>
      </c>
      <c r="D1585" s="14" t="s">
        <v>1745</v>
      </c>
      <c r="E1585" s="14" t="s">
        <v>1747</v>
      </c>
      <c r="F1585" s="17" t="s">
        <v>2994</v>
      </c>
      <c r="G1585" s="14">
        <v>57660</v>
      </c>
      <c r="H1585" s="14">
        <v>43245</v>
      </c>
      <c r="I1585" s="31">
        <f>IF(COUNTIFS(Addendum!C:C,A1585,Addendum!D:D,IF(ISNUMBER(B1585),TEXT(B1585,"0000"),B1585),Addendum!E:E,"X")&gt;0,4%,0)</f>
        <v>0</v>
      </c>
      <c r="J1585" s="31">
        <f>IF(COUNTIFS(Addendum!C:C,A1585,Addendum!D:D,IF(ISNUMBER(B1585),TEXT(B1585,"0000"),B1585),Addendum!F:F,"X")&gt;0,2.5%,0)</f>
        <v>0</v>
      </c>
      <c r="K1585" s="31">
        <f>IF(COUNTIFS(Addendum!C:C,A1585,Addendum!D:D,IF(ISNUMBER(B1585),TEXT(B1585,"0000"),B1585),Addendum!G:G,"X")&gt;0,7%,0)</f>
        <v>0</v>
      </c>
      <c r="L1585" s="31">
        <f>IF(COUNTIFS(Addendum!C:C,A1585,Addendum!D:D,IF(ISNUMBER(B1585),TEXT(B1585,"0000"),B1585),Addendum!I:I,"X")&gt;0,10%,0)</f>
        <v>0</v>
      </c>
      <c r="M1585" s="34">
        <f t="shared" si="48"/>
        <v>0</v>
      </c>
      <c r="N1585" s="17">
        <f t="shared" si="49"/>
        <v>43245</v>
      </c>
    </row>
    <row r="1586" spans="1:14" x14ac:dyDescent="0.25">
      <c r="A1586" s="14" t="s">
        <v>2261</v>
      </c>
      <c r="B1586" s="14">
        <v>4</v>
      </c>
      <c r="C1586" s="15" t="s">
        <v>2262</v>
      </c>
      <c r="D1586" s="14" t="s">
        <v>1745</v>
      </c>
      <c r="E1586" s="14" t="s">
        <v>1746</v>
      </c>
      <c r="F1586" s="17" t="s">
        <v>2994</v>
      </c>
      <c r="G1586" s="14">
        <v>28854</v>
      </c>
      <c r="H1586" s="14">
        <v>21640.560000000001</v>
      </c>
      <c r="I1586" s="31">
        <f>IF(COUNTIFS(Addendum!C:C,A1586,Addendum!D:D,IF(ISNUMBER(B1586),TEXT(B1586,"0000"),B1586),Addendum!E:E,"X")&gt;0,4%,0)</f>
        <v>0</v>
      </c>
      <c r="J1586" s="31">
        <f>IF(COUNTIFS(Addendum!C:C,A1586,Addendum!D:D,IF(ISNUMBER(B1586),TEXT(B1586,"0000"),B1586),Addendum!F:F,"X")&gt;0,2.5%,0)</f>
        <v>0</v>
      </c>
      <c r="K1586" s="31">
        <f>IF(COUNTIFS(Addendum!C:C,A1586,Addendum!D:D,IF(ISNUMBER(B1586),TEXT(B1586,"0000"),B1586),Addendum!G:G,"X")&gt;0,7%,0)</f>
        <v>0</v>
      </c>
      <c r="L1586" s="31">
        <f>IF(COUNTIFS(Addendum!C:C,A1586,Addendum!D:D,IF(ISNUMBER(B1586),TEXT(B1586,"0000"),B1586),Addendum!I:I,"X")&gt;0,10%,0)</f>
        <v>0</v>
      </c>
      <c r="M1586" s="34">
        <f t="shared" si="48"/>
        <v>0</v>
      </c>
      <c r="N1586" s="17">
        <f t="shared" si="49"/>
        <v>21640.560000000001</v>
      </c>
    </row>
    <row r="1587" spans="1:14" x14ac:dyDescent="0.25">
      <c r="A1587" s="14" t="s">
        <v>2261</v>
      </c>
      <c r="B1587" s="14">
        <v>6</v>
      </c>
      <c r="C1587" s="15" t="s">
        <v>2263</v>
      </c>
      <c r="D1587" s="14" t="s">
        <v>1749</v>
      </c>
      <c r="E1587" s="14" t="s">
        <v>1746</v>
      </c>
      <c r="F1587" s="17" t="s">
        <v>2994</v>
      </c>
      <c r="G1587" s="14">
        <v>1998</v>
      </c>
      <c r="H1587" s="14">
        <v>1498.5</v>
      </c>
      <c r="I1587" s="31">
        <f>IF(COUNTIFS(Addendum!C:C,A1587,Addendum!D:D,IF(ISNUMBER(B1587),TEXT(B1587,"0000"),B1587),Addendum!E:E,"X")&gt;0,4%,0)</f>
        <v>0</v>
      </c>
      <c r="J1587" s="31">
        <f>IF(COUNTIFS(Addendum!C:C,A1587,Addendum!D:D,IF(ISNUMBER(B1587),TEXT(B1587,"0000"),B1587),Addendum!F:F,"X")&gt;0,2.5%,0)</f>
        <v>0</v>
      </c>
      <c r="K1587" s="31">
        <f>IF(COUNTIFS(Addendum!C:C,A1587,Addendum!D:D,IF(ISNUMBER(B1587),TEXT(B1587,"0000"),B1587),Addendum!G:G,"X")&gt;0,7%,0)</f>
        <v>0</v>
      </c>
      <c r="L1587" s="31">
        <f>IF(COUNTIFS(Addendum!C:C,A1587,Addendum!D:D,IF(ISNUMBER(B1587),TEXT(B1587,"0000"),B1587),Addendum!I:I,"X")&gt;0,10%,0)</f>
        <v>0</v>
      </c>
      <c r="M1587" s="34">
        <f t="shared" si="48"/>
        <v>0</v>
      </c>
      <c r="N1587" s="17">
        <f t="shared" si="49"/>
        <v>1498.5</v>
      </c>
    </row>
    <row r="1588" spans="1:14" x14ac:dyDescent="0.25">
      <c r="A1588" s="14" t="s">
        <v>2261</v>
      </c>
      <c r="B1588" s="14">
        <v>5</v>
      </c>
      <c r="C1588" s="15" t="s">
        <v>2264</v>
      </c>
      <c r="D1588" s="14" t="s">
        <v>1749</v>
      </c>
      <c r="E1588" s="14" t="s">
        <v>1746</v>
      </c>
      <c r="F1588" s="17" t="s">
        <v>2995</v>
      </c>
      <c r="G1588" s="14">
        <v>1248</v>
      </c>
      <c r="H1588" s="14">
        <v>1123.2</v>
      </c>
      <c r="I1588" s="31">
        <f>IF(COUNTIFS(Addendum!C:C,A1588,Addendum!D:D,IF(ISNUMBER(B1588),TEXT(B1588,"0000"),B1588),Addendum!E:E,"X")&gt;0,4%,0)</f>
        <v>0</v>
      </c>
      <c r="J1588" s="31">
        <f>IF(COUNTIFS(Addendum!C:C,A1588,Addendum!D:D,IF(ISNUMBER(B1588),TEXT(B1588,"0000"),B1588),Addendum!F:F,"X")&gt;0,2.5%,0)</f>
        <v>0</v>
      </c>
      <c r="K1588" s="31">
        <f>IF(COUNTIFS(Addendum!C:C,A1588,Addendum!D:D,IF(ISNUMBER(B1588),TEXT(B1588,"0000"),B1588),Addendum!G:G,"X")&gt;0,7%,0)</f>
        <v>0</v>
      </c>
      <c r="L1588" s="31">
        <f>IF(COUNTIFS(Addendum!C:C,A1588,Addendum!D:D,IF(ISNUMBER(B1588),TEXT(B1588,"0000"),B1588),Addendum!I:I,"X")&gt;0,10%,0)</f>
        <v>0</v>
      </c>
      <c r="M1588" s="34">
        <f t="shared" si="48"/>
        <v>0</v>
      </c>
      <c r="N1588" s="17">
        <f t="shared" si="49"/>
        <v>1123.2</v>
      </c>
    </row>
    <row r="1589" spans="1:14" x14ac:dyDescent="0.25">
      <c r="A1589" s="14" t="s">
        <v>2261</v>
      </c>
      <c r="B1589" s="14">
        <v>6</v>
      </c>
      <c r="C1589" s="15" t="s">
        <v>2263</v>
      </c>
      <c r="D1589" s="14" t="s">
        <v>1745</v>
      </c>
      <c r="E1589" s="14" t="s">
        <v>1747</v>
      </c>
      <c r="F1589" s="17" t="s">
        <v>2994</v>
      </c>
      <c r="G1589" s="14">
        <v>19980</v>
      </c>
      <c r="H1589" s="14">
        <v>14985</v>
      </c>
      <c r="I1589" s="31">
        <f>IF(COUNTIFS(Addendum!C:C,A1589,Addendum!D:D,IF(ISNUMBER(B1589),TEXT(B1589,"0000"),B1589),Addendum!E:E,"X")&gt;0,4%,0)</f>
        <v>0</v>
      </c>
      <c r="J1589" s="31">
        <f>IF(COUNTIFS(Addendum!C:C,A1589,Addendum!D:D,IF(ISNUMBER(B1589),TEXT(B1589,"0000"),B1589),Addendum!F:F,"X")&gt;0,2.5%,0)</f>
        <v>0</v>
      </c>
      <c r="K1589" s="31">
        <f>IF(COUNTIFS(Addendum!C:C,A1589,Addendum!D:D,IF(ISNUMBER(B1589),TEXT(B1589,"0000"),B1589),Addendum!G:G,"X")&gt;0,7%,0)</f>
        <v>0</v>
      </c>
      <c r="L1589" s="31">
        <f>IF(COUNTIFS(Addendum!C:C,A1589,Addendum!D:D,IF(ISNUMBER(B1589),TEXT(B1589,"0000"),B1589),Addendum!I:I,"X")&gt;0,10%,0)</f>
        <v>0</v>
      </c>
      <c r="M1589" s="34">
        <f t="shared" si="48"/>
        <v>0</v>
      </c>
      <c r="N1589" s="17">
        <f t="shared" si="49"/>
        <v>14985</v>
      </c>
    </row>
    <row r="1590" spans="1:14" x14ac:dyDescent="0.25">
      <c r="A1590" s="14" t="s">
        <v>2261</v>
      </c>
      <c r="B1590" s="14">
        <v>1</v>
      </c>
      <c r="C1590" s="15" t="s">
        <v>2265</v>
      </c>
      <c r="D1590" s="14" t="s">
        <v>1752</v>
      </c>
      <c r="E1590" s="14" t="s">
        <v>1746</v>
      </c>
      <c r="F1590" s="17" t="s">
        <v>2993</v>
      </c>
      <c r="G1590" s="14">
        <v>157248</v>
      </c>
      <c r="H1590" s="14">
        <v>117936</v>
      </c>
      <c r="I1590" s="31">
        <f>IF(COUNTIFS(Addendum!C:C,A1590,Addendum!D:D,IF(ISNUMBER(B1590),TEXT(B1590,"0000"),B1590),Addendum!E:E,"X")&gt;0,4%,0)</f>
        <v>0</v>
      </c>
      <c r="J1590" s="31">
        <f>IF(COUNTIFS(Addendum!C:C,A1590,Addendum!D:D,IF(ISNUMBER(B1590),TEXT(B1590,"0000"),B1590),Addendum!F:F,"X")&gt;0,2.5%,0)</f>
        <v>0</v>
      </c>
      <c r="K1590" s="31">
        <f>IF(COUNTIFS(Addendum!C:C,A1590,Addendum!D:D,IF(ISNUMBER(B1590),TEXT(B1590,"0000"),B1590),Addendum!G:G,"X")&gt;0,7%,0)</f>
        <v>0</v>
      </c>
      <c r="L1590" s="31">
        <f>IF(COUNTIFS(Addendum!C:C,A1590,Addendum!D:D,IF(ISNUMBER(B1590),TEXT(B1590,"0000"),B1590),Addendum!I:I,"X")&gt;0,10%,0)</f>
        <v>0</v>
      </c>
      <c r="M1590" s="34">
        <f t="shared" si="48"/>
        <v>0</v>
      </c>
      <c r="N1590" s="17">
        <f t="shared" si="49"/>
        <v>117936</v>
      </c>
    </row>
    <row r="1591" spans="1:14" x14ac:dyDescent="0.25">
      <c r="A1591" s="14" t="s">
        <v>2261</v>
      </c>
      <c r="B1591" s="14">
        <v>4</v>
      </c>
      <c r="C1591" s="15" t="s">
        <v>2262</v>
      </c>
      <c r="D1591" s="14" t="s">
        <v>1749</v>
      </c>
      <c r="E1591" s="14" t="s">
        <v>1746</v>
      </c>
      <c r="F1591" s="17" t="s">
        <v>2994</v>
      </c>
      <c r="G1591" s="14">
        <v>2748</v>
      </c>
      <c r="H1591" s="14">
        <v>2061</v>
      </c>
      <c r="I1591" s="31">
        <f>IF(COUNTIFS(Addendum!C:C,A1591,Addendum!D:D,IF(ISNUMBER(B1591),TEXT(B1591,"0000"),B1591),Addendum!E:E,"X")&gt;0,4%,0)</f>
        <v>0</v>
      </c>
      <c r="J1591" s="31">
        <f>IF(COUNTIFS(Addendum!C:C,A1591,Addendum!D:D,IF(ISNUMBER(B1591),TEXT(B1591,"0000"),B1591),Addendum!F:F,"X")&gt;0,2.5%,0)</f>
        <v>0</v>
      </c>
      <c r="K1591" s="31">
        <f>IF(COUNTIFS(Addendum!C:C,A1591,Addendum!D:D,IF(ISNUMBER(B1591),TEXT(B1591,"0000"),B1591),Addendum!G:G,"X")&gt;0,7%,0)</f>
        <v>0</v>
      </c>
      <c r="L1591" s="31">
        <f>IF(COUNTIFS(Addendum!C:C,A1591,Addendum!D:D,IF(ISNUMBER(B1591),TEXT(B1591,"0000"),B1591),Addendum!I:I,"X")&gt;0,10%,0)</f>
        <v>0</v>
      </c>
      <c r="M1591" s="34">
        <f t="shared" si="48"/>
        <v>0</v>
      </c>
      <c r="N1591" s="17">
        <f t="shared" si="49"/>
        <v>2061</v>
      </c>
    </row>
    <row r="1592" spans="1:14" x14ac:dyDescent="0.25">
      <c r="A1592" s="14" t="s">
        <v>2261</v>
      </c>
      <c r="B1592" s="14">
        <v>5</v>
      </c>
      <c r="C1592" s="15" t="s">
        <v>2264</v>
      </c>
      <c r="D1592" s="14" t="s">
        <v>1745</v>
      </c>
      <c r="E1592" s="14" t="s">
        <v>1746</v>
      </c>
      <c r="F1592" s="17" t="s">
        <v>2995</v>
      </c>
      <c r="G1592" s="14">
        <v>13104</v>
      </c>
      <c r="H1592" s="14">
        <v>11793.6</v>
      </c>
      <c r="I1592" s="31">
        <f>IF(COUNTIFS(Addendum!C:C,A1592,Addendum!D:D,IF(ISNUMBER(B1592),TEXT(B1592,"0000"),B1592),Addendum!E:E,"X")&gt;0,4%,0)</f>
        <v>0</v>
      </c>
      <c r="J1592" s="31">
        <f>IF(COUNTIFS(Addendum!C:C,A1592,Addendum!D:D,IF(ISNUMBER(B1592),TEXT(B1592,"0000"),B1592),Addendum!F:F,"X")&gt;0,2.5%,0)</f>
        <v>0</v>
      </c>
      <c r="K1592" s="31">
        <f>IF(COUNTIFS(Addendum!C:C,A1592,Addendum!D:D,IF(ISNUMBER(B1592),TEXT(B1592,"0000"),B1592),Addendum!G:G,"X")&gt;0,7%,0)</f>
        <v>0</v>
      </c>
      <c r="L1592" s="31">
        <f>IF(COUNTIFS(Addendum!C:C,A1592,Addendum!D:D,IF(ISNUMBER(B1592),TEXT(B1592,"0000"),B1592),Addendum!I:I,"X")&gt;0,10%,0)</f>
        <v>0</v>
      </c>
      <c r="M1592" s="34">
        <f t="shared" si="48"/>
        <v>0</v>
      </c>
      <c r="N1592" s="17">
        <f t="shared" si="49"/>
        <v>11793.6</v>
      </c>
    </row>
    <row r="1593" spans="1:14" x14ac:dyDescent="0.25">
      <c r="A1593" s="14" t="s">
        <v>2261</v>
      </c>
      <c r="B1593" s="14">
        <v>4</v>
      </c>
      <c r="C1593" s="15" t="s">
        <v>2262</v>
      </c>
      <c r="D1593" s="14" t="s">
        <v>1745</v>
      </c>
      <c r="E1593" s="14" t="s">
        <v>1747</v>
      </c>
      <c r="F1593" s="17" t="s">
        <v>2994</v>
      </c>
      <c r="G1593" s="14">
        <v>27480</v>
      </c>
      <c r="H1593" s="14">
        <v>20610</v>
      </c>
      <c r="I1593" s="31">
        <f>IF(COUNTIFS(Addendum!C:C,A1593,Addendum!D:D,IF(ISNUMBER(B1593),TEXT(B1593,"0000"),B1593),Addendum!E:E,"X")&gt;0,4%,0)</f>
        <v>0</v>
      </c>
      <c r="J1593" s="31">
        <f>IF(COUNTIFS(Addendum!C:C,A1593,Addendum!D:D,IF(ISNUMBER(B1593),TEXT(B1593,"0000"),B1593),Addendum!F:F,"X")&gt;0,2.5%,0)</f>
        <v>0</v>
      </c>
      <c r="K1593" s="31">
        <f>IF(COUNTIFS(Addendum!C:C,A1593,Addendum!D:D,IF(ISNUMBER(B1593),TEXT(B1593,"0000"),B1593),Addendum!G:G,"X")&gt;0,7%,0)</f>
        <v>0</v>
      </c>
      <c r="L1593" s="31">
        <f>IF(COUNTIFS(Addendum!C:C,A1593,Addendum!D:D,IF(ISNUMBER(B1593),TEXT(B1593,"0000"),B1593),Addendum!I:I,"X")&gt;0,10%,0)</f>
        <v>0</v>
      </c>
      <c r="M1593" s="34">
        <f t="shared" si="48"/>
        <v>0</v>
      </c>
      <c r="N1593" s="17">
        <f t="shared" si="49"/>
        <v>20610</v>
      </c>
    </row>
    <row r="1594" spans="1:14" x14ac:dyDescent="0.25">
      <c r="A1594" s="14" t="s">
        <v>2261</v>
      </c>
      <c r="B1594" s="14">
        <v>1</v>
      </c>
      <c r="C1594" s="15" t="s">
        <v>2265</v>
      </c>
      <c r="D1594" s="14" t="s">
        <v>1752</v>
      </c>
      <c r="E1594" s="14" t="s">
        <v>1747</v>
      </c>
      <c r="F1594" s="17" t="s">
        <v>2993</v>
      </c>
      <c r="G1594" s="14">
        <v>149760</v>
      </c>
      <c r="H1594" s="14">
        <v>112320</v>
      </c>
      <c r="I1594" s="31">
        <f>IF(COUNTIFS(Addendum!C:C,A1594,Addendum!D:D,IF(ISNUMBER(B1594),TEXT(B1594,"0000"),B1594),Addendum!E:E,"X")&gt;0,4%,0)</f>
        <v>0</v>
      </c>
      <c r="J1594" s="31">
        <f>IF(COUNTIFS(Addendum!C:C,A1594,Addendum!D:D,IF(ISNUMBER(B1594),TEXT(B1594,"0000"),B1594),Addendum!F:F,"X")&gt;0,2.5%,0)</f>
        <v>0</v>
      </c>
      <c r="K1594" s="31">
        <f>IF(COUNTIFS(Addendum!C:C,A1594,Addendum!D:D,IF(ISNUMBER(B1594),TEXT(B1594,"0000"),B1594),Addendum!G:G,"X")&gt;0,7%,0)</f>
        <v>0</v>
      </c>
      <c r="L1594" s="31">
        <f>IF(COUNTIFS(Addendum!C:C,A1594,Addendum!D:D,IF(ISNUMBER(B1594),TEXT(B1594,"0000"),B1594),Addendum!I:I,"X")&gt;0,10%,0)</f>
        <v>0</v>
      </c>
      <c r="M1594" s="34">
        <f t="shared" si="48"/>
        <v>0</v>
      </c>
      <c r="N1594" s="17">
        <f t="shared" si="49"/>
        <v>112320</v>
      </c>
    </row>
    <row r="1595" spans="1:14" x14ac:dyDescent="0.25">
      <c r="A1595" s="14" t="s">
        <v>2261</v>
      </c>
      <c r="B1595" s="14">
        <v>6</v>
      </c>
      <c r="C1595" s="15" t="s">
        <v>2263</v>
      </c>
      <c r="D1595" s="14" t="s">
        <v>1745</v>
      </c>
      <c r="E1595" s="14" t="s">
        <v>1746</v>
      </c>
      <c r="F1595" s="17" t="s">
        <v>2994</v>
      </c>
      <c r="G1595" s="14">
        <v>20979</v>
      </c>
      <c r="H1595" s="14">
        <v>15734.28</v>
      </c>
      <c r="I1595" s="31">
        <f>IF(COUNTIFS(Addendum!C:C,A1595,Addendum!D:D,IF(ISNUMBER(B1595),TEXT(B1595,"0000"),B1595),Addendum!E:E,"X")&gt;0,4%,0)</f>
        <v>0</v>
      </c>
      <c r="J1595" s="31">
        <f>IF(COUNTIFS(Addendum!C:C,A1595,Addendum!D:D,IF(ISNUMBER(B1595),TEXT(B1595,"0000"),B1595),Addendum!F:F,"X")&gt;0,2.5%,0)</f>
        <v>0</v>
      </c>
      <c r="K1595" s="31">
        <f>IF(COUNTIFS(Addendum!C:C,A1595,Addendum!D:D,IF(ISNUMBER(B1595),TEXT(B1595,"0000"),B1595),Addendum!G:G,"X")&gt;0,7%,0)</f>
        <v>0</v>
      </c>
      <c r="L1595" s="31">
        <f>IF(COUNTIFS(Addendum!C:C,A1595,Addendum!D:D,IF(ISNUMBER(B1595),TEXT(B1595,"0000"),B1595),Addendum!I:I,"X")&gt;0,10%,0)</f>
        <v>0</v>
      </c>
      <c r="M1595" s="34">
        <f t="shared" si="48"/>
        <v>0</v>
      </c>
      <c r="N1595" s="17">
        <f t="shared" si="49"/>
        <v>15734.28</v>
      </c>
    </row>
    <row r="1596" spans="1:14" x14ac:dyDescent="0.25">
      <c r="A1596" s="14" t="s">
        <v>2261</v>
      </c>
      <c r="B1596" s="14">
        <v>1</v>
      </c>
      <c r="C1596" s="15" t="s">
        <v>2265</v>
      </c>
      <c r="D1596" s="14" t="s">
        <v>1745</v>
      </c>
      <c r="E1596" s="14" t="s">
        <v>1747</v>
      </c>
      <c r="F1596" s="17" t="s">
        <v>2993</v>
      </c>
      <c r="G1596" s="14">
        <v>49920</v>
      </c>
      <c r="H1596" s="14">
        <v>37440</v>
      </c>
      <c r="I1596" s="31">
        <f>IF(COUNTIFS(Addendum!C:C,A1596,Addendum!D:D,IF(ISNUMBER(B1596),TEXT(B1596,"0000"),B1596),Addendum!E:E,"X")&gt;0,4%,0)</f>
        <v>0</v>
      </c>
      <c r="J1596" s="31">
        <f>IF(COUNTIFS(Addendum!C:C,A1596,Addendum!D:D,IF(ISNUMBER(B1596),TEXT(B1596,"0000"),B1596),Addendum!F:F,"X")&gt;0,2.5%,0)</f>
        <v>0</v>
      </c>
      <c r="K1596" s="31">
        <f>IF(COUNTIFS(Addendum!C:C,A1596,Addendum!D:D,IF(ISNUMBER(B1596),TEXT(B1596,"0000"),B1596),Addendum!G:G,"X")&gt;0,7%,0)</f>
        <v>0</v>
      </c>
      <c r="L1596" s="31">
        <f>IF(COUNTIFS(Addendum!C:C,A1596,Addendum!D:D,IF(ISNUMBER(B1596),TEXT(B1596,"0000"),B1596),Addendum!I:I,"X")&gt;0,10%,0)</f>
        <v>0</v>
      </c>
      <c r="M1596" s="34">
        <f t="shared" si="48"/>
        <v>0</v>
      </c>
      <c r="N1596" s="17">
        <f t="shared" si="49"/>
        <v>37440</v>
      </c>
    </row>
    <row r="1597" spans="1:14" x14ac:dyDescent="0.25">
      <c r="A1597" s="14" t="s">
        <v>2261</v>
      </c>
      <c r="B1597" s="14">
        <v>5</v>
      </c>
      <c r="C1597" s="15" t="s">
        <v>2264</v>
      </c>
      <c r="D1597" s="14" t="s">
        <v>1745</v>
      </c>
      <c r="E1597" s="14" t="s">
        <v>1747</v>
      </c>
      <c r="F1597" s="17" t="s">
        <v>2995</v>
      </c>
      <c r="G1597" s="14">
        <v>12480</v>
      </c>
      <c r="H1597" s="14">
        <v>11232</v>
      </c>
      <c r="I1597" s="31">
        <f>IF(COUNTIFS(Addendum!C:C,A1597,Addendum!D:D,IF(ISNUMBER(B1597),TEXT(B1597,"0000"),B1597),Addendum!E:E,"X")&gt;0,4%,0)</f>
        <v>0</v>
      </c>
      <c r="J1597" s="31">
        <f>IF(COUNTIFS(Addendum!C:C,A1597,Addendum!D:D,IF(ISNUMBER(B1597),TEXT(B1597,"0000"),B1597),Addendum!F:F,"X")&gt;0,2.5%,0)</f>
        <v>0</v>
      </c>
      <c r="K1597" s="31">
        <f>IF(COUNTIFS(Addendum!C:C,A1597,Addendum!D:D,IF(ISNUMBER(B1597),TEXT(B1597,"0000"),B1597),Addendum!G:G,"X")&gt;0,7%,0)</f>
        <v>0</v>
      </c>
      <c r="L1597" s="31">
        <f>IF(COUNTIFS(Addendum!C:C,A1597,Addendum!D:D,IF(ISNUMBER(B1597),TEXT(B1597,"0000"),B1597),Addendum!I:I,"X")&gt;0,10%,0)</f>
        <v>0</v>
      </c>
      <c r="M1597" s="34">
        <f t="shared" si="48"/>
        <v>0</v>
      </c>
      <c r="N1597" s="17">
        <f t="shared" si="49"/>
        <v>11232</v>
      </c>
    </row>
    <row r="1598" spans="1:14" x14ac:dyDescent="0.25">
      <c r="A1598" s="14" t="s">
        <v>2261</v>
      </c>
      <c r="B1598" s="14">
        <v>1</v>
      </c>
      <c r="C1598" s="15" t="s">
        <v>2265</v>
      </c>
      <c r="D1598" s="14" t="s">
        <v>1749</v>
      </c>
      <c r="E1598" s="14" t="s">
        <v>1746</v>
      </c>
      <c r="F1598" s="17" t="s">
        <v>2993</v>
      </c>
      <c r="G1598" s="14">
        <v>4992</v>
      </c>
      <c r="H1598" s="14">
        <v>3744</v>
      </c>
      <c r="I1598" s="31">
        <f>IF(COUNTIFS(Addendum!C:C,A1598,Addendum!D:D,IF(ISNUMBER(B1598),TEXT(B1598,"0000"),B1598),Addendum!E:E,"X")&gt;0,4%,0)</f>
        <v>0</v>
      </c>
      <c r="J1598" s="31">
        <f>IF(COUNTIFS(Addendum!C:C,A1598,Addendum!D:D,IF(ISNUMBER(B1598),TEXT(B1598,"0000"),B1598),Addendum!F:F,"X")&gt;0,2.5%,0)</f>
        <v>0</v>
      </c>
      <c r="K1598" s="31">
        <f>IF(COUNTIFS(Addendum!C:C,A1598,Addendum!D:D,IF(ISNUMBER(B1598),TEXT(B1598,"0000"),B1598),Addendum!G:G,"X")&gt;0,7%,0)</f>
        <v>0</v>
      </c>
      <c r="L1598" s="31">
        <f>IF(COUNTIFS(Addendum!C:C,A1598,Addendum!D:D,IF(ISNUMBER(B1598),TEXT(B1598,"0000"),B1598),Addendum!I:I,"X")&gt;0,10%,0)</f>
        <v>0</v>
      </c>
      <c r="M1598" s="34">
        <f t="shared" si="48"/>
        <v>0</v>
      </c>
      <c r="N1598" s="17">
        <f t="shared" si="49"/>
        <v>3744</v>
      </c>
    </row>
    <row r="1599" spans="1:14" x14ac:dyDescent="0.25">
      <c r="A1599" s="14" t="s">
        <v>2261</v>
      </c>
      <c r="B1599" s="14">
        <v>1</v>
      </c>
      <c r="C1599" s="15" t="s">
        <v>2265</v>
      </c>
      <c r="D1599" s="14" t="s">
        <v>1745</v>
      </c>
      <c r="E1599" s="14" t="s">
        <v>1746</v>
      </c>
      <c r="F1599" s="17" t="s">
        <v>2993</v>
      </c>
      <c r="G1599" s="14">
        <v>52416</v>
      </c>
      <c r="H1599" s="14">
        <v>39312</v>
      </c>
      <c r="I1599" s="31">
        <f>IF(COUNTIFS(Addendum!C:C,A1599,Addendum!D:D,IF(ISNUMBER(B1599),TEXT(B1599,"0000"),B1599),Addendum!E:E,"X")&gt;0,4%,0)</f>
        <v>0</v>
      </c>
      <c r="J1599" s="31">
        <f>IF(COUNTIFS(Addendum!C:C,A1599,Addendum!D:D,IF(ISNUMBER(B1599),TEXT(B1599,"0000"),B1599),Addendum!F:F,"X")&gt;0,2.5%,0)</f>
        <v>0</v>
      </c>
      <c r="K1599" s="31">
        <f>IF(COUNTIFS(Addendum!C:C,A1599,Addendum!D:D,IF(ISNUMBER(B1599),TEXT(B1599,"0000"),B1599),Addendum!G:G,"X")&gt;0,7%,0)</f>
        <v>0</v>
      </c>
      <c r="L1599" s="31">
        <f>IF(COUNTIFS(Addendum!C:C,A1599,Addendum!D:D,IF(ISNUMBER(B1599),TEXT(B1599,"0000"),B1599),Addendum!I:I,"X")&gt;0,10%,0)</f>
        <v>0</v>
      </c>
      <c r="M1599" s="34">
        <f t="shared" si="48"/>
        <v>0</v>
      </c>
      <c r="N1599" s="17">
        <f t="shared" si="49"/>
        <v>39312</v>
      </c>
    </row>
    <row r="1600" spans="1:14" x14ac:dyDescent="0.25">
      <c r="A1600" s="14" t="s">
        <v>2261</v>
      </c>
      <c r="B1600" s="14">
        <v>1</v>
      </c>
      <c r="C1600" s="15" t="s">
        <v>2265</v>
      </c>
      <c r="D1600" s="14" t="s">
        <v>1752</v>
      </c>
      <c r="E1600" s="14" t="s">
        <v>1753</v>
      </c>
      <c r="F1600" s="17" t="s">
        <v>2993</v>
      </c>
      <c r="G1600" s="14">
        <v>149760</v>
      </c>
      <c r="H1600" s="14">
        <v>112320</v>
      </c>
      <c r="I1600" s="31">
        <f>IF(COUNTIFS(Addendum!C:C,A1600,Addendum!D:D,IF(ISNUMBER(B1600),TEXT(B1600,"0000"),B1600),Addendum!E:E,"X")&gt;0,4%,0)</f>
        <v>0</v>
      </c>
      <c r="J1600" s="31">
        <f>IF(COUNTIFS(Addendum!C:C,A1600,Addendum!D:D,IF(ISNUMBER(B1600),TEXT(B1600,"0000"),B1600),Addendum!F:F,"X")&gt;0,2.5%,0)</f>
        <v>0</v>
      </c>
      <c r="K1600" s="31">
        <f>IF(COUNTIFS(Addendum!C:C,A1600,Addendum!D:D,IF(ISNUMBER(B1600),TEXT(B1600,"0000"),B1600),Addendum!G:G,"X")&gt;0,7%,0)</f>
        <v>0</v>
      </c>
      <c r="L1600" s="31">
        <f>IF(COUNTIFS(Addendum!C:C,A1600,Addendum!D:D,IF(ISNUMBER(B1600),TEXT(B1600,"0000"),B1600),Addendum!I:I,"X")&gt;0,10%,0)</f>
        <v>0</v>
      </c>
      <c r="M1600" s="34">
        <f t="shared" si="48"/>
        <v>0</v>
      </c>
      <c r="N1600" s="17">
        <f t="shared" si="49"/>
        <v>112320</v>
      </c>
    </row>
    <row r="1601" spans="1:14" x14ac:dyDescent="0.25">
      <c r="A1601" s="14" t="s">
        <v>2266</v>
      </c>
      <c r="B1601" s="14">
        <v>8</v>
      </c>
      <c r="C1601" s="15" t="s">
        <v>2267</v>
      </c>
      <c r="D1601" s="14" t="s">
        <v>1745</v>
      </c>
      <c r="E1601" s="14" t="s">
        <v>1746</v>
      </c>
      <c r="F1601" s="17" t="s">
        <v>2994</v>
      </c>
      <c r="G1601" s="14">
        <v>86499</v>
      </c>
      <c r="H1601" s="14">
        <v>64874.28</v>
      </c>
      <c r="I1601" s="31">
        <f>IF(COUNTIFS(Addendum!C:C,A1601,Addendum!D:D,IF(ISNUMBER(B1601),TEXT(B1601,"0000"),B1601),Addendum!E:E,"X")&gt;0,4%,0)</f>
        <v>0</v>
      </c>
      <c r="J1601" s="31">
        <f>IF(COUNTIFS(Addendum!C:C,A1601,Addendum!D:D,IF(ISNUMBER(B1601),TEXT(B1601,"0000"),B1601),Addendum!F:F,"X")&gt;0,2.5%,0)</f>
        <v>0</v>
      </c>
      <c r="K1601" s="31">
        <f>IF(COUNTIFS(Addendum!C:C,A1601,Addendum!D:D,IF(ISNUMBER(B1601),TEXT(B1601,"0000"),B1601),Addendum!G:G,"X")&gt;0,7%,0)</f>
        <v>0</v>
      </c>
      <c r="L1601" s="31">
        <f>IF(COUNTIFS(Addendum!C:C,A1601,Addendum!D:D,IF(ISNUMBER(B1601),TEXT(B1601,"0000"),B1601),Addendum!I:I,"X")&gt;0,10%,0)</f>
        <v>0</v>
      </c>
      <c r="M1601" s="34">
        <f t="shared" si="48"/>
        <v>0</v>
      </c>
      <c r="N1601" s="17">
        <f t="shared" si="49"/>
        <v>64874.28</v>
      </c>
    </row>
    <row r="1602" spans="1:14" x14ac:dyDescent="0.25">
      <c r="A1602" s="14" t="s">
        <v>2266</v>
      </c>
      <c r="B1602" s="14">
        <v>7</v>
      </c>
      <c r="C1602" s="15" t="s">
        <v>2268</v>
      </c>
      <c r="D1602" s="14" t="s">
        <v>1745</v>
      </c>
      <c r="E1602" s="14" t="s">
        <v>1746</v>
      </c>
      <c r="F1602" s="17" t="s">
        <v>2994</v>
      </c>
      <c r="G1602" s="14">
        <v>62874</v>
      </c>
      <c r="H1602" s="14">
        <v>47155.56</v>
      </c>
      <c r="I1602" s="31">
        <f>IF(COUNTIFS(Addendum!C:C,A1602,Addendum!D:D,IF(ISNUMBER(B1602),TEXT(B1602,"0000"),B1602),Addendum!E:E,"X")&gt;0,4%,0)</f>
        <v>0</v>
      </c>
      <c r="J1602" s="31">
        <f>IF(COUNTIFS(Addendum!C:C,A1602,Addendum!D:D,IF(ISNUMBER(B1602),TEXT(B1602,"0000"),B1602),Addendum!F:F,"X")&gt;0,2.5%,0)</f>
        <v>0</v>
      </c>
      <c r="K1602" s="31">
        <f>IF(COUNTIFS(Addendum!C:C,A1602,Addendum!D:D,IF(ISNUMBER(B1602),TEXT(B1602,"0000"),B1602),Addendum!G:G,"X")&gt;0,7%,0)</f>
        <v>0</v>
      </c>
      <c r="L1602" s="31">
        <f>IF(COUNTIFS(Addendum!C:C,A1602,Addendum!D:D,IF(ISNUMBER(B1602),TEXT(B1602,"0000"),B1602),Addendum!I:I,"X")&gt;0,10%,0)</f>
        <v>0</v>
      </c>
      <c r="M1602" s="34">
        <f t="shared" si="48"/>
        <v>0</v>
      </c>
      <c r="N1602" s="17">
        <f t="shared" si="49"/>
        <v>47155.56</v>
      </c>
    </row>
    <row r="1603" spans="1:14" x14ac:dyDescent="0.25">
      <c r="A1603" s="14" t="s">
        <v>2266</v>
      </c>
      <c r="B1603" s="14">
        <v>8</v>
      </c>
      <c r="C1603" s="15" t="s">
        <v>2267</v>
      </c>
      <c r="D1603" s="14" t="s">
        <v>1749</v>
      </c>
      <c r="E1603" s="14" t="s">
        <v>1746</v>
      </c>
      <c r="F1603" s="17" t="s">
        <v>2994</v>
      </c>
      <c r="G1603" s="14">
        <v>8238</v>
      </c>
      <c r="H1603" s="14">
        <v>6178.5</v>
      </c>
      <c r="I1603" s="31">
        <f>IF(COUNTIFS(Addendum!C:C,A1603,Addendum!D:D,IF(ISNUMBER(B1603),TEXT(B1603,"0000"),B1603),Addendum!E:E,"X")&gt;0,4%,0)</f>
        <v>0</v>
      </c>
      <c r="J1603" s="31">
        <f>IF(COUNTIFS(Addendum!C:C,A1603,Addendum!D:D,IF(ISNUMBER(B1603),TEXT(B1603,"0000"),B1603),Addendum!F:F,"X")&gt;0,2.5%,0)</f>
        <v>0</v>
      </c>
      <c r="K1603" s="31">
        <f>IF(COUNTIFS(Addendum!C:C,A1603,Addendum!D:D,IF(ISNUMBER(B1603),TEXT(B1603,"0000"),B1603),Addendum!G:G,"X")&gt;0,7%,0)</f>
        <v>0</v>
      </c>
      <c r="L1603" s="31">
        <f>IF(COUNTIFS(Addendum!C:C,A1603,Addendum!D:D,IF(ISNUMBER(B1603),TEXT(B1603,"0000"),B1603),Addendum!I:I,"X")&gt;0,10%,0)</f>
        <v>0</v>
      </c>
      <c r="M1603" s="34">
        <f t="shared" si="48"/>
        <v>0</v>
      </c>
      <c r="N1603" s="17">
        <f t="shared" si="49"/>
        <v>6178.5</v>
      </c>
    </row>
    <row r="1604" spans="1:14" x14ac:dyDescent="0.25">
      <c r="A1604" s="14" t="s">
        <v>2266</v>
      </c>
      <c r="B1604" s="14">
        <v>7</v>
      </c>
      <c r="C1604" s="15" t="s">
        <v>2268</v>
      </c>
      <c r="D1604" s="14" t="s">
        <v>1745</v>
      </c>
      <c r="E1604" s="14" t="s">
        <v>1747</v>
      </c>
      <c r="F1604" s="17" t="s">
        <v>2994</v>
      </c>
      <c r="G1604" s="14">
        <v>59880</v>
      </c>
      <c r="H1604" s="14">
        <v>44910</v>
      </c>
      <c r="I1604" s="31">
        <f>IF(COUNTIFS(Addendum!C:C,A1604,Addendum!D:D,IF(ISNUMBER(B1604),TEXT(B1604,"0000"),B1604),Addendum!E:E,"X")&gt;0,4%,0)</f>
        <v>0</v>
      </c>
      <c r="J1604" s="31">
        <f>IF(COUNTIFS(Addendum!C:C,A1604,Addendum!D:D,IF(ISNUMBER(B1604),TEXT(B1604,"0000"),B1604),Addendum!F:F,"X")&gt;0,2.5%,0)</f>
        <v>0</v>
      </c>
      <c r="K1604" s="31">
        <f>IF(COUNTIFS(Addendum!C:C,A1604,Addendum!D:D,IF(ISNUMBER(B1604),TEXT(B1604,"0000"),B1604),Addendum!G:G,"X")&gt;0,7%,0)</f>
        <v>0</v>
      </c>
      <c r="L1604" s="31">
        <f>IF(COUNTIFS(Addendum!C:C,A1604,Addendum!D:D,IF(ISNUMBER(B1604),TEXT(B1604,"0000"),B1604),Addendum!I:I,"X")&gt;0,10%,0)</f>
        <v>0</v>
      </c>
      <c r="M1604" s="34">
        <f t="shared" ref="M1604:M1667" si="50">IF(AND(I1604=0%,J1604=0%,K1604=0%,L1604=0%),0%,
IF(OR(TRIM(E1604)="OneTime",TRIM(D1604)=""),0%,
IF(
OR(
TRIM(D1604)="P1M",
AND(TRIM(D1604)="P1Y",TRIM(E1604)="Monthly"),
AND(TRIM(D1604)="P3Y",TRIM(E1604)="Monthly")
),
IF(AND(I1604=4%,J1604=0%,K1604=0%,L1604=0%),1%,
IF(AND(I1604=4%,J1604=2.5%,K1604=0%,L1604=10%),2%,
IF(AND(I1604=4%,J1604=0%,K1604=7%,L1604=10%),3%,0%))),
IF(
OR(
AND(TRIM(D1604)="P1Y",TRIM(E1604)="Annual"),
AND(TRIM(D1604)="P3Y",TRIM(E1604)="Annual"),
AND(TRIM(D1604)="P3Y",TRIM(E1604)="Triennial")
),
IF(AND(I1604=4%,J1604=0%,K1604=0%,L1604=0%),3%,
IF(AND(I1604=4%,J1604=2.5%,K1604=0%,L1604=10%),10%,
IF(AND(I1604=4%,J1604=0%,K1604=7%,L1604=10%),14%,0%))),
0%
))))</f>
        <v>0</v>
      </c>
      <c r="N1604" s="17">
        <f t="shared" ref="N1604:N1667" si="51">H1604-(H1604*M1604)</f>
        <v>44910</v>
      </c>
    </row>
    <row r="1605" spans="1:14" x14ac:dyDescent="0.25">
      <c r="A1605" s="14" t="s">
        <v>2266</v>
      </c>
      <c r="B1605" s="14">
        <v>8</v>
      </c>
      <c r="C1605" s="15" t="s">
        <v>2267</v>
      </c>
      <c r="D1605" s="14" t="s">
        <v>1745</v>
      </c>
      <c r="E1605" s="14" t="s">
        <v>1747</v>
      </c>
      <c r="F1605" s="17" t="s">
        <v>2994</v>
      </c>
      <c r="G1605" s="14">
        <v>82380</v>
      </c>
      <c r="H1605" s="14">
        <v>61785</v>
      </c>
      <c r="I1605" s="31">
        <f>IF(COUNTIFS(Addendum!C:C,A1605,Addendum!D:D,IF(ISNUMBER(B1605),TEXT(B1605,"0000"),B1605),Addendum!E:E,"X")&gt;0,4%,0)</f>
        <v>0</v>
      </c>
      <c r="J1605" s="31">
        <f>IF(COUNTIFS(Addendum!C:C,A1605,Addendum!D:D,IF(ISNUMBER(B1605),TEXT(B1605,"0000"),B1605),Addendum!F:F,"X")&gt;0,2.5%,0)</f>
        <v>0</v>
      </c>
      <c r="K1605" s="31">
        <f>IF(COUNTIFS(Addendum!C:C,A1605,Addendum!D:D,IF(ISNUMBER(B1605),TEXT(B1605,"0000"),B1605),Addendum!G:G,"X")&gt;0,7%,0)</f>
        <v>0</v>
      </c>
      <c r="L1605" s="31">
        <f>IF(COUNTIFS(Addendum!C:C,A1605,Addendum!D:D,IF(ISNUMBER(B1605),TEXT(B1605,"0000"),B1605),Addendum!I:I,"X")&gt;0,10%,0)</f>
        <v>0</v>
      </c>
      <c r="M1605" s="34">
        <f t="shared" si="50"/>
        <v>0</v>
      </c>
      <c r="N1605" s="17">
        <f t="shared" si="51"/>
        <v>61785</v>
      </c>
    </row>
    <row r="1606" spans="1:14" x14ac:dyDescent="0.25">
      <c r="A1606" s="14" t="s">
        <v>2266</v>
      </c>
      <c r="B1606" s="14">
        <v>1</v>
      </c>
      <c r="C1606" s="15" t="s">
        <v>2269</v>
      </c>
      <c r="D1606" s="14" t="s">
        <v>1745</v>
      </c>
      <c r="E1606" s="14" t="s">
        <v>1747</v>
      </c>
      <c r="F1606" s="17" t="s">
        <v>2993</v>
      </c>
      <c r="G1606" s="14">
        <v>149760</v>
      </c>
      <c r="H1606" s="14">
        <v>112320</v>
      </c>
      <c r="I1606" s="31">
        <f>IF(COUNTIFS(Addendum!C:C,A1606,Addendum!D:D,IF(ISNUMBER(B1606),TEXT(B1606,"0000"),B1606),Addendum!E:E,"X")&gt;0,4%,0)</f>
        <v>0</v>
      </c>
      <c r="J1606" s="31">
        <f>IF(COUNTIFS(Addendum!C:C,A1606,Addendum!D:D,IF(ISNUMBER(B1606),TEXT(B1606,"0000"),B1606),Addendum!F:F,"X")&gt;0,2.5%,0)</f>
        <v>0</v>
      </c>
      <c r="K1606" s="31">
        <f>IF(COUNTIFS(Addendum!C:C,A1606,Addendum!D:D,IF(ISNUMBER(B1606),TEXT(B1606,"0000"),B1606),Addendum!G:G,"X")&gt;0,7%,0)</f>
        <v>0</v>
      </c>
      <c r="L1606" s="31">
        <f>IF(COUNTIFS(Addendum!C:C,A1606,Addendum!D:D,IF(ISNUMBER(B1606),TEXT(B1606,"0000"),B1606),Addendum!I:I,"X")&gt;0,10%,0)</f>
        <v>0</v>
      </c>
      <c r="M1606" s="34">
        <f t="shared" si="50"/>
        <v>0</v>
      </c>
      <c r="N1606" s="17">
        <f t="shared" si="51"/>
        <v>112320</v>
      </c>
    </row>
    <row r="1607" spans="1:14" x14ac:dyDescent="0.25">
      <c r="A1607" s="14" t="s">
        <v>2266</v>
      </c>
      <c r="B1607" s="14">
        <v>6</v>
      </c>
      <c r="C1607" s="15" t="s">
        <v>2270</v>
      </c>
      <c r="D1607" s="14" t="s">
        <v>1745</v>
      </c>
      <c r="E1607" s="14" t="s">
        <v>1747</v>
      </c>
      <c r="F1607" s="17" t="s">
        <v>2995</v>
      </c>
      <c r="G1607" s="14">
        <v>37440</v>
      </c>
      <c r="H1607" s="14">
        <v>33696</v>
      </c>
      <c r="I1607" s="31">
        <f>IF(COUNTIFS(Addendum!C:C,A1607,Addendum!D:D,IF(ISNUMBER(B1607),TEXT(B1607,"0000"),B1607),Addendum!E:E,"X")&gt;0,4%,0)</f>
        <v>0</v>
      </c>
      <c r="J1607" s="31">
        <f>IF(COUNTIFS(Addendum!C:C,A1607,Addendum!D:D,IF(ISNUMBER(B1607),TEXT(B1607,"0000"),B1607),Addendum!F:F,"X")&gt;0,2.5%,0)</f>
        <v>0</v>
      </c>
      <c r="K1607" s="31">
        <f>IF(COUNTIFS(Addendum!C:C,A1607,Addendum!D:D,IF(ISNUMBER(B1607),TEXT(B1607,"0000"),B1607),Addendum!G:G,"X")&gt;0,7%,0)</f>
        <v>0</v>
      </c>
      <c r="L1607" s="31">
        <f>IF(COUNTIFS(Addendum!C:C,A1607,Addendum!D:D,IF(ISNUMBER(B1607),TEXT(B1607,"0000"),B1607),Addendum!I:I,"X")&gt;0,10%,0)</f>
        <v>0</v>
      </c>
      <c r="M1607" s="34">
        <f t="shared" si="50"/>
        <v>0</v>
      </c>
      <c r="N1607" s="17">
        <f t="shared" si="51"/>
        <v>33696</v>
      </c>
    </row>
    <row r="1608" spans="1:14" x14ac:dyDescent="0.25">
      <c r="A1608" s="14" t="s">
        <v>2266</v>
      </c>
      <c r="B1608" s="14">
        <v>6</v>
      </c>
      <c r="C1608" s="15" t="s">
        <v>2270</v>
      </c>
      <c r="D1608" s="14" t="s">
        <v>1745</v>
      </c>
      <c r="E1608" s="14" t="s">
        <v>1746</v>
      </c>
      <c r="F1608" s="17" t="s">
        <v>2995</v>
      </c>
      <c r="G1608" s="14">
        <v>39312</v>
      </c>
      <c r="H1608" s="14">
        <v>35380.800000000003</v>
      </c>
      <c r="I1608" s="31">
        <f>IF(COUNTIFS(Addendum!C:C,A1608,Addendum!D:D,IF(ISNUMBER(B1608),TEXT(B1608,"0000"),B1608),Addendum!E:E,"X")&gt;0,4%,0)</f>
        <v>0</v>
      </c>
      <c r="J1608" s="31">
        <f>IF(COUNTIFS(Addendum!C:C,A1608,Addendum!D:D,IF(ISNUMBER(B1608),TEXT(B1608,"0000"),B1608),Addendum!F:F,"X")&gt;0,2.5%,0)</f>
        <v>0</v>
      </c>
      <c r="K1608" s="31">
        <f>IF(COUNTIFS(Addendum!C:C,A1608,Addendum!D:D,IF(ISNUMBER(B1608),TEXT(B1608,"0000"),B1608),Addendum!G:G,"X")&gt;0,7%,0)</f>
        <v>0</v>
      </c>
      <c r="L1608" s="31">
        <f>IF(COUNTIFS(Addendum!C:C,A1608,Addendum!D:D,IF(ISNUMBER(B1608),TEXT(B1608,"0000"),B1608),Addendum!I:I,"X")&gt;0,10%,0)</f>
        <v>0</v>
      </c>
      <c r="M1608" s="34">
        <f t="shared" si="50"/>
        <v>0</v>
      </c>
      <c r="N1608" s="17">
        <f t="shared" si="51"/>
        <v>35380.800000000003</v>
      </c>
    </row>
    <row r="1609" spans="1:14" x14ac:dyDescent="0.25">
      <c r="A1609" s="14" t="s">
        <v>2266</v>
      </c>
      <c r="B1609" s="14">
        <v>1</v>
      </c>
      <c r="C1609" s="15" t="s">
        <v>2269</v>
      </c>
      <c r="D1609" s="14" t="s">
        <v>1749</v>
      </c>
      <c r="E1609" s="14" t="s">
        <v>1746</v>
      </c>
      <c r="F1609" s="17" t="s">
        <v>2993</v>
      </c>
      <c r="G1609" s="14">
        <v>14976</v>
      </c>
      <c r="H1609" s="14">
        <v>11232</v>
      </c>
      <c r="I1609" s="31">
        <f>IF(COUNTIFS(Addendum!C:C,A1609,Addendum!D:D,IF(ISNUMBER(B1609),TEXT(B1609,"0000"),B1609),Addendum!E:E,"X")&gt;0,4%,0)</f>
        <v>0</v>
      </c>
      <c r="J1609" s="31">
        <f>IF(COUNTIFS(Addendum!C:C,A1609,Addendum!D:D,IF(ISNUMBER(B1609),TEXT(B1609,"0000"),B1609),Addendum!F:F,"X")&gt;0,2.5%,0)</f>
        <v>0</v>
      </c>
      <c r="K1609" s="31">
        <f>IF(COUNTIFS(Addendum!C:C,A1609,Addendum!D:D,IF(ISNUMBER(B1609),TEXT(B1609,"0000"),B1609),Addendum!G:G,"X")&gt;0,7%,0)</f>
        <v>0</v>
      </c>
      <c r="L1609" s="31">
        <f>IF(COUNTIFS(Addendum!C:C,A1609,Addendum!D:D,IF(ISNUMBER(B1609),TEXT(B1609,"0000"),B1609),Addendum!I:I,"X")&gt;0,10%,0)</f>
        <v>0</v>
      </c>
      <c r="M1609" s="34">
        <f t="shared" si="50"/>
        <v>0</v>
      </c>
      <c r="N1609" s="17">
        <f t="shared" si="51"/>
        <v>11232</v>
      </c>
    </row>
    <row r="1610" spans="1:14" x14ac:dyDescent="0.25">
      <c r="A1610" s="14" t="s">
        <v>2266</v>
      </c>
      <c r="B1610" s="14">
        <v>1</v>
      </c>
      <c r="C1610" s="15" t="s">
        <v>2269</v>
      </c>
      <c r="D1610" s="14" t="s">
        <v>1745</v>
      </c>
      <c r="E1610" s="14" t="s">
        <v>1746</v>
      </c>
      <c r="F1610" s="17" t="s">
        <v>2993</v>
      </c>
      <c r="G1610" s="14">
        <v>157248</v>
      </c>
      <c r="H1610" s="14">
        <v>117936</v>
      </c>
      <c r="I1610" s="31">
        <f>IF(COUNTIFS(Addendum!C:C,A1610,Addendum!D:D,IF(ISNUMBER(B1610),TEXT(B1610,"0000"),B1610),Addendum!E:E,"X")&gt;0,4%,0)</f>
        <v>0</v>
      </c>
      <c r="J1610" s="31">
        <f>IF(COUNTIFS(Addendum!C:C,A1610,Addendum!D:D,IF(ISNUMBER(B1610),TEXT(B1610,"0000"),B1610),Addendum!F:F,"X")&gt;0,2.5%,0)</f>
        <v>0</v>
      </c>
      <c r="K1610" s="31">
        <f>IF(COUNTIFS(Addendum!C:C,A1610,Addendum!D:D,IF(ISNUMBER(B1610),TEXT(B1610,"0000"),B1610),Addendum!G:G,"X")&gt;0,7%,0)</f>
        <v>0</v>
      </c>
      <c r="L1610" s="31">
        <f>IF(COUNTIFS(Addendum!C:C,A1610,Addendum!D:D,IF(ISNUMBER(B1610),TEXT(B1610,"0000"),B1610),Addendum!I:I,"X")&gt;0,10%,0)</f>
        <v>0</v>
      </c>
      <c r="M1610" s="34">
        <f t="shared" si="50"/>
        <v>0</v>
      </c>
      <c r="N1610" s="17">
        <f t="shared" si="51"/>
        <v>117936</v>
      </c>
    </row>
    <row r="1611" spans="1:14" x14ac:dyDescent="0.25">
      <c r="A1611" s="14" t="s">
        <v>2266</v>
      </c>
      <c r="B1611" s="14">
        <v>7</v>
      </c>
      <c r="C1611" s="15" t="s">
        <v>2268</v>
      </c>
      <c r="D1611" s="14" t="s">
        <v>1749</v>
      </c>
      <c r="E1611" s="14" t="s">
        <v>1746</v>
      </c>
      <c r="F1611" s="17" t="s">
        <v>2994</v>
      </c>
      <c r="G1611" s="14">
        <v>5988</v>
      </c>
      <c r="H1611" s="14">
        <v>4491</v>
      </c>
      <c r="I1611" s="31">
        <f>IF(COUNTIFS(Addendum!C:C,A1611,Addendum!D:D,IF(ISNUMBER(B1611),TEXT(B1611,"0000"),B1611),Addendum!E:E,"X")&gt;0,4%,0)</f>
        <v>0</v>
      </c>
      <c r="J1611" s="31">
        <f>IF(COUNTIFS(Addendum!C:C,A1611,Addendum!D:D,IF(ISNUMBER(B1611),TEXT(B1611,"0000"),B1611),Addendum!F:F,"X")&gt;0,2.5%,0)</f>
        <v>0</v>
      </c>
      <c r="K1611" s="31">
        <f>IF(COUNTIFS(Addendum!C:C,A1611,Addendum!D:D,IF(ISNUMBER(B1611),TEXT(B1611,"0000"),B1611),Addendum!G:G,"X")&gt;0,7%,0)</f>
        <v>0</v>
      </c>
      <c r="L1611" s="31">
        <f>IF(COUNTIFS(Addendum!C:C,A1611,Addendum!D:D,IF(ISNUMBER(B1611),TEXT(B1611,"0000"),B1611),Addendum!I:I,"X")&gt;0,10%,0)</f>
        <v>0</v>
      </c>
      <c r="M1611" s="34">
        <f t="shared" si="50"/>
        <v>0</v>
      </c>
      <c r="N1611" s="17">
        <f t="shared" si="51"/>
        <v>4491</v>
      </c>
    </row>
    <row r="1612" spans="1:14" x14ac:dyDescent="0.25">
      <c r="A1612" s="14" t="s">
        <v>2266</v>
      </c>
      <c r="B1612" s="14">
        <v>6</v>
      </c>
      <c r="C1612" s="15" t="s">
        <v>2270</v>
      </c>
      <c r="D1612" s="14" t="s">
        <v>1749</v>
      </c>
      <c r="E1612" s="14" t="s">
        <v>1746</v>
      </c>
      <c r="F1612" s="17" t="s">
        <v>2995</v>
      </c>
      <c r="G1612" s="14">
        <v>3744</v>
      </c>
      <c r="H1612" s="14">
        <v>3369.6</v>
      </c>
      <c r="I1612" s="31">
        <f>IF(COUNTIFS(Addendum!C:C,A1612,Addendum!D:D,IF(ISNUMBER(B1612),TEXT(B1612,"0000"),B1612),Addendum!E:E,"X")&gt;0,4%,0)</f>
        <v>0</v>
      </c>
      <c r="J1612" s="31">
        <f>IF(COUNTIFS(Addendum!C:C,A1612,Addendum!D:D,IF(ISNUMBER(B1612),TEXT(B1612,"0000"),B1612),Addendum!F:F,"X")&gt;0,2.5%,0)</f>
        <v>0</v>
      </c>
      <c r="K1612" s="31">
        <f>IF(COUNTIFS(Addendum!C:C,A1612,Addendum!D:D,IF(ISNUMBER(B1612),TEXT(B1612,"0000"),B1612),Addendum!G:G,"X")&gt;0,7%,0)</f>
        <v>0</v>
      </c>
      <c r="L1612" s="31">
        <f>IF(COUNTIFS(Addendum!C:C,A1612,Addendum!D:D,IF(ISNUMBER(B1612),TEXT(B1612,"0000"),B1612),Addendum!I:I,"X")&gt;0,10%,0)</f>
        <v>0</v>
      </c>
      <c r="M1612" s="34">
        <f t="shared" si="50"/>
        <v>0</v>
      </c>
      <c r="N1612" s="17">
        <f t="shared" si="51"/>
        <v>3369.6</v>
      </c>
    </row>
    <row r="1613" spans="1:14" x14ac:dyDescent="0.25">
      <c r="A1613" s="14" t="s">
        <v>2271</v>
      </c>
      <c r="B1613" s="14">
        <v>4</v>
      </c>
      <c r="C1613" s="15" t="s">
        <v>2272</v>
      </c>
      <c r="D1613" s="14" t="s">
        <v>1752</v>
      </c>
      <c r="E1613" s="14" t="s">
        <v>1753</v>
      </c>
      <c r="F1613" s="17" t="s">
        <v>2993</v>
      </c>
      <c r="G1613" s="14">
        <v>59940</v>
      </c>
      <c r="H1613" s="14">
        <v>44955</v>
      </c>
      <c r="I1613" s="31">
        <f>IF(COUNTIFS(Addendum!C:C,A1613,Addendum!D:D,IF(ISNUMBER(B1613),TEXT(B1613,"0000"),B1613),Addendum!E:E,"X")&gt;0,4%,0)</f>
        <v>0</v>
      </c>
      <c r="J1613" s="31">
        <f>IF(COUNTIFS(Addendum!C:C,A1613,Addendum!D:D,IF(ISNUMBER(B1613),TEXT(B1613,"0000"),B1613),Addendum!F:F,"X")&gt;0,2.5%,0)</f>
        <v>0</v>
      </c>
      <c r="K1613" s="31">
        <f>IF(COUNTIFS(Addendum!C:C,A1613,Addendum!D:D,IF(ISNUMBER(B1613),TEXT(B1613,"0000"),B1613),Addendum!G:G,"X")&gt;0,7%,0)</f>
        <v>0</v>
      </c>
      <c r="L1613" s="31">
        <f>IF(COUNTIFS(Addendum!C:C,A1613,Addendum!D:D,IF(ISNUMBER(B1613),TEXT(B1613,"0000"),B1613),Addendum!I:I,"X")&gt;0,10%,0)</f>
        <v>0</v>
      </c>
      <c r="M1613" s="34">
        <f t="shared" si="50"/>
        <v>0</v>
      </c>
      <c r="N1613" s="17">
        <f t="shared" si="51"/>
        <v>44955</v>
      </c>
    </row>
    <row r="1614" spans="1:14" x14ac:dyDescent="0.25">
      <c r="A1614" s="14" t="s">
        <v>2271</v>
      </c>
      <c r="B1614" s="14">
        <v>2</v>
      </c>
      <c r="C1614" s="15" t="s">
        <v>2273</v>
      </c>
      <c r="D1614" s="14" t="s">
        <v>1745</v>
      </c>
      <c r="E1614" s="14" t="s">
        <v>1747</v>
      </c>
      <c r="F1614" s="17" t="s">
        <v>2993</v>
      </c>
      <c r="G1614" s="14">
        <v>64920</v>
      </c>
      <c r="H1614" s="14">
        <v>48690</v>
      </c>
      <c r="I1614" s="31">
        <f>IF(COUNTIFS(Addendum!C:C,A1614,Addendum!D:D,IF(ISNUMBER(B1614),TEXT(B1614,"0000"),B1614),Addendum!E:E,"X")&gt;0,4%,0)</f>
        <v>0</v>
      </c>
      <c r="J1614" s="31">
        <f>IF(COUNTIFS(Addendum!C:C,A1614,Addendum!D:D,IF(ISNUMBER(B1614),TEXT(B1614,"0000"),B1614),Addendum!F:F,"X")&gt;0,2.5%,0)</f>
        <v>0</v>
      </c>
      <c r="K1614" s="31">
        <f>IF(COUNTIFS(Addendum!C:C,A1614,Addendum!D:D,IF(ISNUMBER(B1614),TEXT(B1614,"0000"),B1614),Addendum!G:G,"X")&gt;0,7%,0)</f>
        <v>0</v>
      </c>
      <c r="L1614" s="31">
        <f>IF(COUNTIFS(Addendum!C:C,A1614,Addendum!D:D,IF(ISNUMBER(B1614),TEXT(B1614,"0000"),B1614),Addendum!I:I,"X")&gt;0,10%,0)</f>
        <v>0</v>
      </c>
      <c r="M1614" s="34">
        <f t="shared" si="50"/>
        <v>0</v>
      </c>
      <c r="N1614" s="17">
        <f t="shared" si="51"/>
        <v>48690</v>
      </c>
    </row>
    <row r="1615" spans="1:14" x14ac:dyDescent="0.25">
      <c r="A1615" s="14" t="s">
        <v>2271</v>
      </c>
      <c r="B1615" s="14">
        <v>14</v>
      </c>
      <c r="C1615" s="15" t="s">
        <v>2274</v>
      </c>
      <c r="D1615" s="14" t="s">
        <v>1745</v>
      </c>
      <c r="E1615" s="14" t="s">
        <v>1747</v>
      </c>
      <c r="F1615" s="17" t="s">
        <v>2994</v>
      </c>
      <c r="G1615" s="14">
        <v>35700</v>
      </c>
      <c r="H1615" s="14">
        <v>26775</v>
      </c>
      <c r="I1615" s="31">
        <f>IF(COUNTIFS(Addendum!C:C,A1615,Addendum!D:D,IF(ISNUMBER(B1615),TEXT(B1615,"0000"),B1615),Addendum!E:E,"X")&gt;0,4%,0)</f>
        <v>0</v>
      </c>
      <c r="J1615" s="31">
        <f>IF(COUNTIFS(Addendum!C:C,A1615,Addendum!D:D,IF(ISNUMBER(B1615),TEXT(B1615,"0000"),B1615),Addendum!F:F,"X")&gt;0,2.5%,0)</f>
        <v>0</v>
      </c>
      <c r="K1615" s="31">
        <f>IF(COUNTIFS(Addendum!C:C,A1615,Addendum!D:D,IF(ISNUMBER(B1615),TEXT(B1615,"0000"),B1615),Addendum!G:G,"X")&gt;0,7%,0)</f>
        <v>0</v>
      </c>
      <c r="L1615" s="31">
        <f>IF(COUNTIFS(Addendum!C:C,A1615,Addendum!D:D,IF(ISNUMBER(B1615),TEXT(B1615,"0000"),B1615),Addendum!I:I,"X")&gt;0,10%,0)</f>
        <v>0</v>
      </c>
      <c r="M1615" s="34">
        <f t="shared" si="50"/>
        <v>0</v>
      </c>
      <c r="N1615" s="17">
        <f t="shared" si="51"/>
        <v>26775</v>
      </c>
    </row>
    <row r="1616" spans="1:14" ht="30" x14ac:dyDescent="0.25">
      <c r="A1616" s="14" t="s">
        <v>2271</v>
      </c>
      <c r="B1616" s="14">
        <v>19</v>
      </c>
      <c r="C1616" s="15" t="s">
        <v>2275</v>
      </c>
      <c r="D1616" s="14" t="s">
        <v>1749</v>
      </c>
      <c r="E1616" s="14" t="s">
        <v>1746</v>
      </c>
      <c r="F1616" s="17" t="s">
        <v>2994</v>
      </c>
      <c r="G1616" s="14">
        <v>1098</v>
      </c>
      <c r="H1616" s="14">
        <v>823.5</v>
      </c>
      <c r="I1616" s="31">
        <f>IF(COUNTIFS(Addendum!C:C,A1616,Addendum!D:D,IF(ISNUMBER(B1616),TEXT(B1616,"0000"),B1616),Addendum!E:E,"X")&gt;0,4%,0)</f>
        <v>0</v>
      </c>
      <c r="J1616" s="31">
        <f>IF(COUNTIFS(Addendum!C:C,A1616,Addendum!D:D,IF(ISNUMBER(B1616),TEXT(B1616,"0000"),B1616),Addendum!F:F,"X")&gt;0,2.5%,0)</f>
        <v>0</v>
      </c>
      <c r="K1616" s="31">
        <f>IF(COUNTIFS(Addendum!C:C,A1616,Addendum!D:D,IF(ISNUMBER(B1616),TEXT(B1616,"0000"),B1616),Addendum!G:G,"X")&gt;0,7%,0)</f>
        <v>0</v>
      </c>
      <c r="L1616" s="31">
        <f>IF(COUNTIFS(Addendum!C:C,A1616,Addendum!D:D,IF(ISNUMBER(B1616),TEXT(B1616,"0000"),B1616),Addendum!I:I,"X")&gt;0,10%,0)</f>
        <v>0</v>
      </c>
      <c r="M1616" s="34">
        <f t="shared" si="50"/>
        <v>0</v>
      </c>
      <c r="N1616" s="17">
        <f t="shared" si="51"/>
        <v>823.5</v>
      </c>
    </row>
    <row r="1617" spans="1:14" x14ac:dyDescent="0.25">
      <c r="A1617" s="14" t="s">
        <v>2271</v>
      </c>
      <c r="B1617" s="14">
        <v>14</v>
      </c>
      <c r="C1617" s="15" t="s">
        <v>2274</v>
      </c>
      <c r="D1617" s="14" t="s">
        <v>1745</v>
      </c>
      <c r="E1617" s="14" t="s">
        <v>1746</v>
      </c>
      <c r="F1617" s="17" t="s">
        <v>2994</v>
      </c>
      <c r="G1617" s="14">
        <v>37485</v>
      </c>
      <c r="H1617" s="14">
        <v>28113.72</v>
      </c>
      <c r="I1617" s="31">
        <f>IF(COUNTIFS(Addendum!C:C,A1617,Addendum!D:D,IF(ISNUMBER(B1617),TEXT(B1617,"0000"),B1617),Addendum!E:E,"X")&gt;0,4%,0)</f>
        <v>0</v>
      </c>
      <c r="J1617" s="31">
        <f>IF(COUNTIFS(Addendum!C:C,A1617,Addendum!D:D,IF(ISNUMBER(B1617),TEXT(B1617,"0000"),B1617),Addendum!F:F,"X")&gt;0,2.5%,0)</f>
        <v>0</v>
      </c>
      <c r="K1617" s="31">
        <f>IF(COUNTIFS(Addendum!C:C,A1617,Addendum!D:D,IF(ISNUMBER(B1617),TEXT(B1617,"0000"),B1617),Addendum!G:G,"X")&gt;0,7%,0)</f>
        <v>0</v>
      </c>
      <c r="L1617" s="31">
        <f>IF(COUNTIFS(Addendum!C:C,A1617,Addendum!D:D,IF(ISNUMBER(B1617),TEXT(B1617,"0000"),B1617),Addendum!I:I,"X")&gt;0,10%,0)</f>
        <v>0</v>
      </c>
      <c r="M1617" s="34">
        <f t="shared" si="50"/>
        <v>0</v>
      </c>
      <c r="N1617" s="17">
        <f t="shared" si="51"/>
        <v>28113.72</v>
      </c>
    </row>
    <row r="1618" spans="1:14" ht="30" x14ac:dyDescent="0.25">
      <c r="A1618" s="14" t="s">
        <v>2271</v>
      </c>
      <c r="B1618" s="14" t="s">
        <v>470</v>
      </c>
      <c r="C1618" s="15" t="s">
        <v>2276</v>
      </c>
      <c r="D1618" s="14" t="s">
        <v>1745</v>
      </c>
      <c r="E1618" s="14" t="s">
        <v>1747</v>
      </c>
      <c r="F1618" s="17" t="s">
        <v>2995</v>
      </c>
      <c r="G1618" s="14">
        <v>4980</v>
      </c>
      <c r="H1618" s="14">
        <v>4482</v>
      </c>
      <c r="I1618" s="31">
        <f>IF(COUNTIFS(Addendum!C:C,A1618,Addendum!D:D,IF(ISNUMBER(B1618),TEXT(B1618,"0000"),B1618),Addendum!E:E,"X")&gt;0,4%,0)</f>
        <v>0</v>
      </c>
      <c r="J1618" s="31">
        <f>IF(COUNTIFS(Addendum!C:C,A1618,Addendum!D:D,IF(ISNUMBER(B1618),TEXT(B1618,"0000"),B1618),Addendum!F:F,"X")&gt;0,2.5%,0)</f>
        <v>0</v>
      </c>
      <c r="K1618" s="31">
        <f>IF(COUNTIFS(Addendum!C:C,A1618,Addendum!D:D,IF(ISNUMBER(B1618),TEXT(B1618,"0000"),B1618),Addendum!G:G,"X")&gt;0,7%,0)</f>
        <v>0</v>
      </c>
      <c r="L1618" s="31">
        <f>IF(COUNTIFS(Addendum!C:C,A1618,Addendum!D:D,IF(ISNUMBER(B1618),TEXT(B1618,"0000"),B1618),Addendum!I:I,"X")&gt;0,10%,0)</f>
        <v>0</v>
      </c>
      <c r="M1618" s="34">
        <f t="shared" si="50"/>
        <v>0</v>
      </c>
      <c r="N1618" s="17">
        <f t="shared" si="51"/>
        <v>4482</v>
      </c>
    </row>
    <row r="1619" spans="1:14" x14ac:dyDescent="0.25">
      <c r="A1619" s="14" t="s">
        <v>2271</v>
      </c>
      <c r="B1619" s="14">
        <v>4</v>
      </c>
      <c r="C1619" s="15" t="s">
        <v>2272</v>
      </c>
      <c r="D1619" s="14" t="s">
        <v>1745</v>
      </c>
      <c r="E1619" s="14" t="s">
        <v>1747</v>
      </c>
      <c r="F1619" s="17" t="s">
        <v>2993</v>
      </c>
      <c r="G1619" s="14">
        <v>19980</v>
      </c>
      <c r="H1619" s="14">
        <v>14985</v>
      </c>
      <c r="I1619" s="31">
        <f>IF(COUNTIFS(Addendum!C:C,A1619,Addendum!D:D,IF(ISNUMBER(B1619),TEXT(B1619,"0000"),B1619),Addendum!E:E,"X")&gt;0,4%,0)</f>
        <v>0</v>
      </c>
      <c r="J1619" s="31">
        <f>IF(COUNTIFS(Addendum!C:C,A1619,Addendum!D:D,IF(ISNUMBER(B1619),TEXT(B1619,"0000"),B1619),Addendum!F:F,"X")&gt;0,2.5%,0)</f>
        <v>0</v>
      </c>
      <c r="K1619" s="31">
        <f>IF(COUNTIFS(Addendum!C:C,A1619,Addendum!D:D,IF(ISNUMBER(B1619),TEXT(B1619,"0000"),B1619),Addendum!G:G,"X")&gt;0,7%,0)</f>
        <v>0</v>
      </c>
      <c r="L1619" s="31">
        <f>IF(COUNTIFS(Addendum!C:C,A1619,Addendum!D:D,IF(ISNUMBER(B1619),TEXT(B1619,"0000"),B1619),Addendum!I:I,"X")&gt;0,10%,0)</f>
        <v>0</v>
      </c>
      <c r="M1619" s="34">
        <f t="shared" si="50"/>
        <v>0</v>
      </c>
      <c r="N1619" s="17">
        <f t="shared" si="51"/>
        <v>14985</v>
      </c>
    </row>
    <row r="1620" spans="1:14" x14ac:dyDescent="0.25">
      <c r="A1620" s="14" t="s">
        <v>2271</v>
      </c>
      <c r="B1620" s="14">
        <v>16</v>
      </c>
      <c r="C1620" s="15" t="s">
        <v>2277</v>
      </c>
      <c r="D1620" s="14" t="s">
        <v>1745</v>
      </c>
      <c r="E1620" s="14" t="s">
        <v>1747</v>
      </c>
      <c r="F1620" s="17" t="s">
        <v>2994</v>
      </c>
      <c r="G1620" s="14">
        <v>25980</v>
      </c>
      <c r="H1620" s="14">
        <v>19485</v>
      </c>
      <c r="I1620" s="31">
        <f>IF(COUNTIFS(Addendum!C:C,A1620,Addendum!D:D,IF(ISNUMBER(B1620),TEXT(B1620,"0000"),B1620),Addendum!E:E,"X")&gt;0,4%,0)</f>
        <v>0</v>
      </c>
      <c r="J1620" s="31">
        <f>IF(COUNTIFS(Addendum!C:C,A1620,Addendum!D:D,IF(ISNUMBER(B1620),TEXT(B1620,"0000"),B1620),Addendum!F:F,"X")&gt;0,2.5%,0)</f>
        <v>0</v>
      </c>
      <c r="K1620" s="31">
        <f>IF(COUNTIFS(Addendum!C:C,A1620,Addendum!D:D,IF(ISNUMBER(B1620),TEXT(B1620,"0000"),B1620),Addendum!G:G,"X")&gt;0,7%,0)</f>
        <v>0</v>
      </c>
      <c r="L1620" s="31">
        <f>IF(COUNTIFS(Addendum!C:C,A1620,Addendum!D:D,IF(ISNUMBER(B1620),TEXT(B1620,"0000"),B1620),Addendum!I:I,"X")&gt;0,10%,0)</f>
        <v>0</v>
      </c>
      <c r="M1620" s="34">
        <f t="shared" si="50"/>
        <v>0</v>
      </c>
      <c r="N1620" s="17">
        <f t="shared" si="51"/>
        <v>19485</v>
      </c>
    </row>
    <row r="1621" spans="1:14" x14ac:dyDescent="0.25">
      <c r="A1621" s="14" t="s">
        <v>2271</v>
      </c>
      <c r="B1621" s="14">
        <v>2</v>
      </c>
      <c r="C1621" s="15" t="s">
        <v>2273</v>
      </c>
      <c r="D1621" s="14" t="s">
        <v>1745</v>
      </c>
      <c r="E1621" s="14" t="s">
        <v>1746</v>
      </c>
      <c r="F1621" s="17" t="s">
        <v>2993</v>
      </c>
      <c r="G1621" s="14">
        <v>68166</v>
      </c>
      <c r="H1621" s="14">
        <v>51124.56</v>
      </c>
      <c r="I1621" s="31">
        <f>IF(COUNTIFS(Addendum!C:C,A1621,Addendum!D:D,IF(ISNUMBER(B1621),TEXT(B1621,"0000"),B1621),Addendum!E:E,"X")&gt;0,4%,0)</f>
        <v>0</v>
      </c>
      <c r="J1621" s="31">
        <f>IF(COUNTIFS(Addendum!C:C,A1621,Addendum!D:D,IF(ISNUMBER(B1621),TEXT(B1621,"0000"),B1621),Addendum!F:F,"X")&gt;0,2.5%,0)</f>
        <v>0</v>
      </c>
      <c r="K1621" s="31">
        <f>IF(COUNTIFS(Addendum!C:C,A1621,Addendum!D:D,IF(ISNUMBER(B1621),TEXT(B1621,"0000"),B1621),Addendum!G:G,"X")&gt;0,7%,0)</f>
        <v>0</v>
      </c>
      <c r="L1621" s="31">
        <f>IF(COUNTIFS(Addendum!C:C,A1621,Addendum!D:D,IF(ISNUMBER(B1621),TEXT(B1621,"0000"),B1621),Addendum!I:I,"X")&gt;0,10%,0)</f>
        <v>0</v>
      </c>
      <c r="M1621" s="34">
        <f t="shared" si="50"/>
        <v>0</v>
      </c>
      <c r="N1621" s="17">
        <f t="shared" si="51"/>
        <v>51124.56</v>
      </c>
    </row>
    <row r="1622" spans="1:14" x14ac:dyDescent="0.25">
      <c r="A1622" s="14" t="s">
        <v>2271</v>
      </c>
      <c r="B1622" s="14">
        <v>14</v>
      </c>
      <c r="C1622" s="15" t="s">
        <v>2274</v>
      </c>
      <c r="D1622" s="14" t="s">
        <v>1749</v>
      </c>
      <c r="E1622" s="14" t="s">
        <v>1746</v>
      </c>
      <c r="F1622" s="17" t="s">
        <v>2994</v>
      </c>
      <c r="G1622" s="14">
        <v>3570</v>
      </c>
      <c r="H1622" s="14">
        <v>2677.5</v>
      </c>
      <c r="I1622" s="31">
        <f>IF(COUNTIFS(Addendum!C:C,A1622,Addendum!D:D,IF(ISNUMBER(B1622),TEXT(B1622,"0000"),B1622),Addendum!E:E,"X")&gt;0,4%,0)</f>
        <v>0</v>
      </c>
      <c r="J1622" s="31">
        <f>IF(COUNTIFS(Addendum!C:C,A1622,Addendum!D:D,IF(ISNUMBER(B1622),TEXT(B1622,"0000"),B1622),Addendum!F:F,"X")&gt;0,2.5%,0)</f>
        <v>0</v>
      </c>
      <c r="K1622" s="31">
        <f>IF(COUNTIFS(Addendum!C:C,A1622,Addendum!D:D,IF(ISNUMBER(B1622),TEXT(B1622,"0000"),B1622),Addendum!G:G,"X")&gt;0,7%,0)</f>
        <v>0</v>
      </c>
      <c r="L1622" s="31">
        <f>IF(COUNTIFS(Addendum!C:C,A1622,Addendum!D:D,IF(ISNUMBER(B1622),TEXT(B1622,"0000"),B1622),Addendum!I:I,"X")&gt;0,10%,0)</f>
        <v>0</v>
      </c>
      <c r="M1622" s="34">
        <f t="shared" si="50"/>
        <v>0</v>
      </c>
      <c r="N1622" s="17">
        <f t="shared" si="51"/>
        <v>2677.5</v>
      </c>
    </row>
    <row r="1623" spans="1:14" x14ac:dyDescent="0.25">
      <c r="A1623" s="14" t="s">
        <v>2271</v>
      </c>
      <c r="B1623" s="14">
        <v>2</v>
      </c>
      <c r="C1623" s="15" t="s">
        <v>2273</v>
      </c>
      <c r="D1623" s="14" t="s">
        <v>1752</v>
      </c>
      <c r="E1623" s="14" t="s">
        <v>1746</v>
      </c>
      <c r="F1623" s="17" t="s">
        <v>2993</v>
      </c>
      <c r="G1623" s="14">
        <v>204498</v>
      </c>
      <c r="H1623" s="14">
        <v>153373.70000000001</v>
      </c>
      <c r="I1623" s="31">
        <f>IF(COUNTIFS(Addendum!C:C,A1623,Addendum!D:D,IF(ISNUMBER(B1623),TEXT(B1623,"0000"),B1623),Addendum!E:E,"X")&gt;0,4%,0)</f>
        <v>0</v>
      </c>
      <c r="J1623" s="31">
        <f>IF(COUNTIFS(Addendum!C:C,A1623,Addendum!D:D,IF(ISNUMBER(B1623),TEXT(B1623,"0000"),B1623),Addendum!F:F,"X")&gt;0,2.5%,0)</f>
        <v>0</v>
      </c>
      <c r="K1623" s="31">
        <f>IF(COUNTIFS(Addendum!C:C,A1623,Addendum!D:D,IF(ISNUMBER(B1623),TEXT(B1623,"0000"),B1623),Addendum!G:G,"X")&gt;0,7%,0)</f>
        <v>0</v>
      </c>
      <c r="L1623" s="31">
        <f>IF(COUNTIFS(Addendum!C:C,A1623,Addendum!D:D,IF(ISNUMBER(B1623),TEXT(B1623,"0000"),B1623),Addendum!I:I,"X")&gt;0,10%,0)</f>
        <v>0</v>
      </c>
      <c r="M1623" s="34">
        <f t="shared" si="50"/>
        <v>0</v>
      </c>
      <c r="N1623" s="17">
        <f t="shared" si="51"/>
        <v>153373.70000000001</v>
      </c>
    </row>
    <row r="1624" spans="1:14" ht="30" x14ac:dyDescent="0.25">
      <c r="A1624" s="14" t="s">
        <v>2271</v>
      </c>
      <c r="B1624" s="14" t="s">
        <v>583</v>
      </c>
      <c r="C1624" s="15" t="s">
        <v>2278</v>
      </c>
      <c r="D1624" s="14" t="s">
        <v>1745</v>
      </c>
      <c r="E1624" s="14" t="s">
        <v>1746</v>
      </c>
      <c r="F1624" s="17" t="s">
        <v>2994</v>
      </c>
      <c r="G1624" s="14">
        <v>8379</v>
      </c>
      <c r="H1624" s="14">
        <v>6284.28</v>
      </c>
      <c r="I1624" s="31">
        <f>IF(COUNTIFS(Addendum!C:C,A1624,Addendum!D:D,IF(ISNUMBER(B1624),TEXT(B1624,"0000"),B1624),Addendum!E:E,"X")&gt;0,4%,0)</f>
        <v>0</v>
      </c>
      <c r="J1624" s="31">
        <f>IF(COUNTIFS(Addendum!C:C,A1624,Addendum!D:D,IF(ISNUMBER(B1624),TEXT(B1624,"0000"),B1624),Addendum!F:F,"X")&gt;0,2.5%,0)</f>
        <v>0</v>
      </c>
      <c r="K1624" s="31">
        <f>IF(COUNTIFS(Addendum!C:C,A1624,Addendum!D:D,IF(ISNUMBER(B1624),TEXT(B1624,"0000"),B1624),Addendum!G:G,"X")&gt;0,7%,0)</f>
        <v>0</v>
      </c>
      <c r="L1624" s="31">
        <f>IF(COUNTIFS(Addendum!C:C,A1624,Addendum!D:D,IF(ISNUMBER(B1624),TEXT(B1624,"0000"),B1624),Addendum!I:I,"X")&gt;0,10%,0)</f>
        <v>0</v>
      </c>
      <c r="M1624" s="34">
        <f t="shared" si="50"/>
        <v>0</v>
      </c>
      <c r="N1624" s="17">
        <f t="shared" si="51"/>
        <v>6284.28</v>
      </c>
    </row>
    <row r="1625" spans="1:14" x14ac:dyDescent="0.25">
      <c r="A1625" s="14" t="s">
        <v>2271</v>
      </c>
      <c r="B1625" s="14">
        <v>15</v>
      </c>
      <c r="C1625" s="15" t="s">
        <v>2279</v>
      </c>
      <c r="D1625" s="14" t="s">
        <v>1749</v>
      </c>
      <c r="E1625" s="14" t="s">
        <v>1746</v>
      </c>
      <c r="F1625" s="17" t="s">
        <v>2995</v>
      </c>
      <c r="G1625" s="14">
        <v>1620</v>
      </c>
      <c r="H1625" s="14">
        <v>1458</v>
      </c>
      <c r="I1625" s="31">
        <f>IF(COUNTIFS(Addendum!C:C,A1625,Addendum!D:D,IF(ISNUMBER(B1625),TEXT(B1625,"0000"),B1625),Addendum!E:E,"X")&gt;0,4%,0)</f>
        <v>0</v>
      </c>
      <c r="J1625" s="31">
        <f>IF(COUNTIFS(Addendum!C:C,A1625,Addendum!D:D,IF(ISNUMBER(B1625),TEXT(B1625,"0000"),B1625),Addendum!F:F,"X")&gt;0,2.5%,0)</f>
        <v>0</v>
      </c>
      <c r="K1625" s="31">
        <f>IF(COUNTIFS(Addendum!C:C,A1625,Addendum!D:D,IF(ISNUMBER(B1625),TEXT(B1625,"0000"),B1625),Addendum!G:G,"X")&gt;0,7%,0)</f>
        <v>0</v>
      </c>
      <c r="L1625" s="31">
        <f>IF(COUNTIFS(Addendum!C:C,A1625,Addendum!D:D,IF(ISNUMBER(B1625),TEXT(B1625,"0000"),B1625),Addendum!I:I,"X")&gt;0,10%,0)</f>
        <v>0</v>
      </c>
      <c r="M1625" s="34">
        <f t="shared" si="50"/>
        <v>0</v>
      </c>
      <c r="N1625" s="17">
        <f t="shared" si="51"/>
        <v>1458</v>
      </c>
    </row>
    <row r="1626" spans="1:14" ht="30" x14ac:dyDescent="0.25">
      <c r="A1626" s="14" t="s">
        <v>2271</v>
      </c>
      <c r="B1626" s="14" t="s">
        <v>470</v>
      </c>
      <c r="C1626" s="15" t="s">
        <v>2276</v>
      </c>
      <c r="D1626" s="14" t="s">
        <v>1749</v>
      </c>
      <c r="E1626" s="14" t="s">
        <v>1746</v>
      </c>
      <c r="F1626" s="17" t="s">
        <v>2995</v>
      </c>
      <c r="G1626" s="14">
        <v>498</v>
      </c>
      <c r="H1626" s="14">
        <v>448.2</v>
      </c>
      <c r="I1626" s="31">
        <f>IF(COUNTIFS(Addendum!C:C,A1626,Addendum!D:D,IF(ISNUMBER(B1626),TEXT(B1626,"0000"),B1626),Addendum!E:E,"X")&gt;0,4%,0)</f>
        <v>0</v>
      </c>
      <c r="J1626" s="31">
        <f>IF(COUNTIFS(Addendum!C:C,A1626,Addendum!D:D,IF(ISNUMBER(B1626),TEXT(B1626,"0000"),B1626),Addendum!F:F,"X")&gt;0,2.5%,0)</f>
        <v>0</v>
      </c>
      <c r="K1626" s="31">
        <f>IF(COUNTIFS(Addendum!C:C,A1626,Addendum!D:D,IF(ISNUMBER(B1626),TEXT(B1626,"0000"),B1626),Addendum!G:G,"X")&gt;0,7%,0)</f>
        <v>0</v>
      </c>
      <c r="L1626" s="31">
        <f>IF(COUNTIFS(Addendum!C:C,A1626,Addendum!D:D,IF(ISNUMBER(B1626),TEXT(B1626,"0000"),B1626),Addendum!I:I,"X")&gt;0,10%,0)</f>
        <v>0</v>
      </c>
      <c r="M1626" s="34">
        <f t="shared" si="50"/>
        <v>0</v>
      </c>
      <c r="N1626" s="17">
        <f t="shared" si="51"/>
        <v>448.2</v>
      </c>
    </row>
    <row r="1627" spans="1:14" ht="30" x14ac:dyDescent="0.25">
      <c r="A1627" s="14" t="s">
        <v>2271</v>
      </c>
      <c r="B1627" s="14" t="s">
        <v>470</v>
      </c>
      <c r="C1627" s="15" t="s">
        <v>2276</v>
      </c>
      <c r="D1627" s="14" t="s">
        <v>1745</v>
      </c>
      <c r="E1627" s="14" t="s">
        <v>1746</v>
      </c>
      <c r="F1627" s="17" t="s">
        <v>2995</v>
      </c>
      <c r="G1627" s="14">
        <v>5229</v>
      </c>
      <c r="H1627" s="14">
        <v>4706.16</v>
      </c>
      <c r="I1627" s="31">
        <f>IF(COUNTIFS(Addendum!C:C,A1627,Addendum!D:D,IF(ISNUMBER(B1627),TEXT(B1627,"0000"),B1627),Addendum!E:E,"X")&gt;0,4%,0)</f>
        <v>0</v>
      </c>
      <c r="J1627" s="31">
        <f>IF(COUNTIFS(Addendum!C:C,A1627,Addendum!D:D,IF(ISNUMBER(B1627),TEXT(B1627,"0000"),B1627),Addendum!F:F,"X")&gt;0,2.5%,0)</f>
        <v>0</v>
      </c>
      <c r="K1627" s="31">
        <f>IF(COUNTIFS(Addendum!C:C,A1627,Addendum!D:D,IF(ISNUMBER(B1627),TEXT(B1627,"0000"),B1627),Addendum!G:G,"X")&gt;0,7%,0)</f>
        <v>0</v>
      </c>
      <c r="L1627" s="31">
        <f>IF(COUNTIFS(Addendum!C:C,A1627,Addendum!D:D,IF(ISNUMBER(B1627),TEXT(B1627,"0000"),B1627),Addendum!I:I,"X")&gt;0,10%,0)</f>
        <v>0</v>
      </c>
      <c r="M1627" s="34">
        <f t="shared" si="50"/>
        <v>0</v>
      </c>
      <c r="N1627" s="17">
        <f t="shared" si="51"/>
        <v>4706.16</v>
      </c>
    </row>
    <row r="1628" spans="1:14" x14ac:dyDescent="0.25">
      <c r="A1628" s="14" t="s">
        <v>2271</v>
      </c>
      <c r="B1628" s="14">
        <v>4</v>
      </c>
      <c r="C1628" s="15" t="s">
        <v>2272</v>
      </c>
      <c r="D1628" s="14" t="s">
        <v>1752</v>
      </c>
      <c r="E1628" s="14" t="s">
        <v>1746</v>
      </c>
      <c r="F1628" s="17" t="s">
        <v>2993</v>
      </c>
      <c r="G1628" s="14">
        <v>62937</v>
      </c>
      <c r="H1628" s="14">
        <v>47202.84</v>
      </c>
      <c r="I1628" s="31">
        <f>IF(COUNTIFS(Addendum!C:C,A1628,Addendum!D:D,IF(ISNUMBER(B1628),TEXT(B1628,"0000"),B1628),Addendum!E:E,"X")&gt;0,4%,0)</f>
        <v>0</v>
      </c>
      <c r="J1628" s="31">
        <f>IF(COUNTIFS(Addendum!C:C,A1628,Addendum!D:D,IF(ISNUMBER(B1628),TEXT(B1628,"0000"),B1628),Addendum!F:F,"X")&gt;0,2.5%,0)</f>
        <v>0</v>
      </c>
      <c r="K1628" s="31">
        <f>IF(COUNTIFS(Addendum!C:C,A1628,Addendum!D:D,IF(ISNUMBER(B1628),TEXT(B1628,"0000"),B1628),Addendum!G:G,"X")&gt;0,7%,0)</f>
        <v>0</v>
      </c>
      <c r="L1628" s="31">
        <f>IF(COUNTIFS(Addendum!C:C,A1628,Addendum!D:D,IF(ISNUMBER(B1628),TEXT(B1628,"0000"),B1628),Addendum!I:I,"X")&gt;0,10%,0)</f>
        <v>0</v>
      </c>
      <c r="M1628" s="34">
        <f t="shared" si="50"/>
        <v>0</v>
      </c>
      <c r="N1628" s="17">
        <f t="shared" si="51"/>
        <v>47202.84</v>
      </c>
    </row>
    <row r="1629" spans="1:14" x14ac:dyDescent="0.25">
      <c r="A1629" s="14" t="s">
        <v>2271</v>
      </c>
      <c r="B1629" s="14">
        <v>2</v>
      </c>
      <c r="C1629" s="15" t="s">
        <v>2273</v>
      </c>
      <c r="D1629" s="14" t="s">
        <v>1752</v>
      </c>
      <c r="E1629" s="14" t="s">
        <v>1753</v>
      </c>
      <c r="F1629" s="17" t="s">
        <v>2993</v>
      </c>
      <c r="G1629" s="14">
        <v>194760</v>
      </c>
      <c r="H1629" s="14">
        <v>146070</v>
      </c>
      <c r="I1629" s="31">
        <f>IF(COUNTIFS(Addendum!C:C,A1629,Addendum!D:D,IF(ISNUMBER(B1629),TEXT(B1629,"0000"),B1629),Addendum!E:E,"X")&gt;0,4%,0)</f>
        <v>0</v>
      </c>
      <c r="J1629" s="31">
        <f>IF(COUNTIFS(Addendum!C:C,A1629,Addendum!D:D,IF(ISNUMBER(B1629),TEXT(B1629,"0000"),B1629),Addendum!F:F,"X")&gt;0,2.5%,0)</f>
        <v>0</v>
      </c>
      <c r="K1629" s="31">
        <f>IF(COUNTIFS(Addendum!C:C,A1629,Addendum!D:D,IF(ISNUMBER(B1629),TEXT(B1629,"0000"),B1629),Addendum!G:G,"X")&gt;0,7%,0)</f>
        <v>0</v>
      </c>
      <c r="L1629" s="31">
        <f>IF(COUNTIFS(Addendum!C:C,A1629,Addendum!D:D,IF(ISNUMBER(B1629),TEXT(B1629,"0000"),B1629),Addendum!I:I,"X")&gt;0,10%,0)</f>
        <v>0</v>
      </c>
      <c r="M1629" s="34">
        <f t="shared" si="50"/>
        <v>0</v>
      </c>
      <c r="N1629" s="17">
        <f t="shared" si="51"/>
        <v>146070</v>
      </c>
    </row>
    <row r="1630" spans="1:14" x14ac:dyDescent="0.25">
      <c r="A1630" s="14" t="s">
        <v>2271</v>
      </c>
      <c r="B1630" s="14">
        <v>15</v>
      </c>
      <c r="C1630" s="15" t="s">
        <v>2279</v>
      </c>
      <c r="D1630" s="14" t="s">
        <v>1745</v>
      </c>
      <c r="E1630" s="14" t="s">
        <v>1747</v>
      </c>
      <c r="F1630" s="17" t="s">
        <v>2995</v>
      </c>
      <c r="G1630" s="14">
        <v>16200</v>
      </c>
      <c r="H1630" s="14">
        <v>14580</v>
      </c>
      <c r="I1630" s="31">
        <f>IF(COUNTIFS(Addendum!C:C,A1630,Addendum!D:D,IF(ISNUMBER(B1630),TEXT(B1630,"0000"),B1630),Addendum!E:E,"X")&gt;0,4%,0)</f>
        <v>0</v>
      </c>
      <c r="J1630" s="31">
        <f>IF(COUNTIFS(Addendum!C:C,A1630,Addendum!D:D,IF(ISNUMBER(B1630),TEXT(B1630,"0000"),B1630),Addendum!F:F,"X")&gt;0,2.5%,0)</f>
        <v>0</v>
      </c>
      <c r="K1630" s="31">
        <f>IF(COUNTIFS(Addendum!C:C,A1630,Addendum!D:D,IF(ISNUMBER(B1630),TEXT(B1630,"0000"),B1630),Addendum!G:G,"X")&gt;0,7%,0)</f>
        <v>0</v>
      </c>
      <c r="L1630" s="31">
        <f>IF(COUNTIFS(Addendum!C:C,A1630,Addendum!D:D,IF(ISNUMBER(B1630),TEXT(B1630,"0000"),B1630),Addendum!I:I,"X")&gt;0,10%,0)</f>
        <v>0</v>
      </c>
      <c r="M1630" s="34">
        <f t="shared" si="50"/>
        <v>0</v>
      </c>
      <c r="N1630" s="17">
        <f t="shared" si="51"/>
        <v>14580</v>
      </c>
    </row>
    <row r="1631" spans="1:14" x14ac:dyDescent="0.25">
      <c r="A1631" s="14" t="s">
        <v>2271</v>
      </c>
      <c r="B1631" s="14">
        <v>4</v>
      </c>
      <c r="C1631" s="15" t="s">
        <v>2272</v>
      </c>
      <c r="D1631" s="14" t="s">
        <v>1745</v>
      </c>
      <c r="E1631" s="14" t="s">
        <v>1746</v>
      </c>
      <c r="F1631" s="17" t="s">
        <v>2993</v>
      </c>
      <c r="G1631" s="14">
        <v>20979</v>
      </c>
      <c r="H1631" s="14">
        <v>15734.28</v>
      </c>
      <c r="I1631" s="31">
        <f>IF(COUNTIFS(Addendum!C:C,A1631,Addendum!D:D,IF(ISNUMBER(B1631),TEXT(B1631,"0000"),B1631),Addendum!E:E,"X")&gt;0,4%,0)</f>
        <v>0</v>
      </c>
      <c r="J1631" s="31">
        <f>IF(COUNTIFS(Addendum!C:C,A1631,Addendum!D:D,IF(ISNUMBER(B1631),TEXT(B1631,"0000"),B1631),Addendum!F:F,"X")&gt;0,2.5%,0)</f>
        <v>0</v>
      </c>
      <c r="K1631" s="31">
        <f>IF(COUNTIFS(Addendum!C:C,A1631,Addendum!D:D,IF(ISNUMBER(B1631),TEXT(B1631,"0000"),B1631),Addendum!G:G,"X")&gt;0,7%,0)</f>
        <v>0</v>
      </c>
      <c r="L1631" s="31">
        <f>IF(COUNTIFS(Addendum!C:C,A1631,Addendum!D:D,IF(ISNUMBER(B1631),TEXT(B1631,"0000"),B1631),Addendum!I:I,"X")&gt;0,10%,0)</f>
        <v>0</v>
      </c>
      <c r="M1631" s="34">
        <f t="shared" si="50"/>
        <v>0</v>
      </c>
      <c r="N1631" s="17">
        <f t="shared" si="51"/>
        <v>15734.28</v>
      </c>
    </row>
    <row r="1632" spans="1:14" x14ac:dyDescent="0.25">
      <c r="A1632" s="14" t="s">
        <v>2271</v>
      </c>
      <c r="B1632" s="14">
        <v>16</v>
      </c>
      <c r="C1632" s="15" t="s">
        <v>2277</v>
      </c>
      <c r="D1632" s="14" t="s">
        <v>1749</v>
      </c>
      <c r="E1632" s="14" t="s">
        <v>1746</v>
      </c>
      <c r="F1632" s="17" t="s">
        <v>2994</v>
      </c>
      <c r="G1632" s="14">
        <v>2598</v>
      </c>
      <c r="H1632" s="14">
        <v>1948.5</v>
      </c>
      <c r="I1632" s="31">
        <f>IF(COUNTIFS(Addendum!C:C,A1632,Addendum!D:D,IF(ISNUMBER(B1632),TEXT(B1632,"0000"),B1632),Addendum!E:E,"X")&gt;0,4%,0)</f>
        <v>0</v>
      </c>
      <c r="J1632" s="31">
        <f>IF(COUNTIFS(Addendum!C:C,A1632,Addendum!D:D,IF(ISNUMBER(B1632),TEXT(B1632,"0000"),B1632),Addendum!F:F,"X")&gt;0,2.5%,0)</f>
        <v>0</v>
      </c>
      <c r="K1632" s="31">
        <f>IF(COUNTIFS(Addendum!C:C,A1632,Addendum!D:D,IF(ISNUMBER(B1632),TEXT(B1632,"0000"),B1632),Addendum!G:G,"X")&gt;0,7%,0)</f>
        <v>0</v>
      </c>
      <c r="L1632" s="31">
        <f>IF(COUNTIFS(Addendum!C:C,A1632,Addendum!D:D,IF(ISNUMBER(B1632),TEXT(B1632,"0000"),B1632),Addendum!I:I,"X")&gt;0,10%,0)</f>
        <v>0</v>
      </c>
      <c r="M1632" s="34">
        <f t="shared" si="50"/>
        <v>0</v>
      </c>
      <c r="N1632" s="17">
        <f t="shared" si="51"/>
        <v>1948.5</v>
      </c>
    </row>
    <row r="1633" spans="1:14" ht="30" x14ac:dyDescent="0.25">
      <c r="A1633" s="14" t="s">
        <v>2271</v>
      </c>
      <c r="B1633" s="14" t="s">
        <v>583</v>
      </c>
      <c r="C1633" s="15" t="s">
        <v>2278</v>
      </c>
      <c r="D1633" s="14" t="s">
        <v>1749</v>
      </c>
      <c r="E1633" s="14" t="s">
        <v>1746</v>
      </c>
      <c r="F1633" s="17" t="s">
        <v>2994</v>
      </c>
      <c r="G1633" s="14">
        <v>798</v>
      </c>
      <c r="H1633" s="14">
        <v>598.5</v>
      </c>
      <c r="I1633" s="31">
        <f>IF(COUNTIFS(Addendum!C:C,A1633,Addendum!D:D,IF(ISNUMBER(B1633),TEXT(B1633,"0000"),B1633),Addendum!E:E,"X")&gt;0,4%,0)</f>
        <v>0</v>
      </c>
      <c r="J1633" s="31">
        <f>IF(COUNTIFS(Addendum!C:C,A1633,Addendum!D:D,IF(ISNUMBER(B1633),TEXT(B1633,"0000"),B1633),Addendum!F:F,"X")&gt;0,2.5%,0)</f>
        <v>0</v>
      </c>
      <c r="K1633" s="31">
        <f>IF(COUNTIFS(Addendum!C:C,A1633,Addendum!D:D,IF(ISNUMBER(B1633),TEXT(B1633,"0000"),B1633),Addendum!G:G,"X")&gt;0,7%,0)</f>
        <v>0</v>
      </c>
      <c r="L1633" s="31">
        <f>IF(COUNTIFS(Addendum!C:C,A1633,Addendum!D:D,IF(ISNUMBER(B1633),TEXT(B1633,"0000"),B1633),Addendum!I:I,"X")&gt;0,10%,0)</f>
        <v>0</v>
      </c>
      <c r="M1633" s="34">
        <f t="shared" si="50"/>
        <v>0</v>
      </c>
      <c r="N1633" s="17">
        <f t="shared" si="51"/>
        <v>598.5</v>
      </c>
    </row>
    <row r="1634" spans="1:14" ht="30" x14ac:dyDescent="0.25">
      <c r="A1634" s="14" t="s">
        <v>2271</v>
      </c>
      <c r="B1634" s="14" t="s">
        <v>583</v>
      </c>
      <c r="C1634" s="15" t="s">
        <v>2278</v>
      </c>
      <c r="D1634" s="14" t="s">
        <v>1745</v>
      </c>
      <c r="E1634" s="14" t="s">
        <v>1747</v>
      </c>
      <c r="F1634" s="17" t="s">
        <v>2994</v>
      </c>
      <c r="G1634" s="14">
        <v>7980</v>
      </c>
      <c r="H1634" s="14">
        <v>5985</v>
      </c>
      <c r="I1634" s="31">
        <f>IF(COUNTIFS(Addendum!C:C,A1634,Addendum!D:D,IF(ISNUMBER(B1634),TEXT(B1634,"0000"),B1634),Addendum!E:E,"X")&gt;0,4%,0)</f>
        <v>0</v>
      </c>
      <c r="J1634" s="31">
        <f>IF(COUNTIFS(Addendum!C:C,A1634,Addendum!D:D,IF(ISNUMBER(B1634),TEXT(B1634,"0000"),B1634),Addendum!F:F,"X")&gt;0,2.5%,0)</f>
        <v>0</v>
      </c>
      <c r="K1634" s="31">
        <f>IF(COUNTIFS(Addendum!C:C,A1634,Addendum!D:D,IF(ISNUMBER(B1634),TEXT(B1634,"0000"),B1634),Addendum!G:G,"X")&gt;0,7%,0)</f>
        <v>0</v>
      </c>
      <c r="L1634" s="31">
        <f>IF(COUNTIFS(Addendum!C:C,A1634,Addendum!D:D,IF(ISNUMBER(B1634),TEXT(B1634,"0000"),B1634),Addendum!I:I,"X")&gt;0,10%,0)</f>
        <v>0</v>
      </c>
      <c r="M1634" s="34">
        <f t="shared" si="50"/>
        <v>0</v>
      </c>
      <c r="N1634" s="17">
        <f t="shared" si="51"/>
        <v>5985</v>
      </c>
    </row>
    <row r="1635" spans="1:14" x14ac:dyDescent="0.25">
      <c r="A1635" s="14" t="s">
        <v>2271</v>
      </c>
      <c r="B1635" s="14">
        <v>4</v>
      </c>
      <c r="C1635" s="15" t="s">
        <v>2272</v>
      </c>
      <c r="D1635" s="14" t="s">
        <v>1752</v>
      </c>
      <c r="E1635" s="14" t="s">
        <v>1747</v>
      </c>
      <c r="F1635" s="17" t="s">
        <v>2993</v>
      </c>
      <c r="G1635" s="14">
        <v>59940</v>
      </c>
      <c r="H1635" s="14">
        <v>44955</v>
      </c>
      <c r="I1635" s="31">
        <f>IF(COUNTIFS(Addendum!C:C,A1635,Addendum!D:D,IF(ISNUMBER(B1635),TEXT(B1635,"0000"),B1635),Addendum!E:E,"X")&gt;0,4%,0)</f>
        <v>0</v>
      </c>
      <c r="J1635" s="31">
        <f>IF(COUNTIFS(Addendum!C:C,A1635,Addendum!D:D,IF(ISNUMBER(B1635),TEXT(B1635,"0000"),B1635),Addendum!F:F,"X")&gt;0,2.5%,0)</f>
        <v>0</v>
      </c>
      <c r="K1635" s="31">
        <f>IF(COUNTIFS(Addendum!C:C,A1635,Addendum!D:D,IF(ISNUMBER(B1635),TEXT(B1635,"0000"),B1635),Addendum!G:G,"X")&gt;0,7%,0)</f>
        <v>0</v>
      </c>
      <c r="L1635" s="31">
        <f>IF(COUNTIFS(Addendum!C:C,A1635,Addendum!D:D,IF(ISNUMBER(B1635),TEXT(B1635,"0000"),B1635),Addendum!I:I,"X")&gt;0,10%,0)</f>
        <v>0</v>
      </c>
      <c r="M1635" s="34">
        <f t="shared" si="50"/>
        <v>0</v>
      </c>
      <c r="N1635" s="17">
        <f t="shared" si="51"/>
        <v>44955</v>
      </c>
    </row>
    <row r="1636" spans="1:14" x14ac:dyDescent="0.25">
      <c r="A1636" s="14" t="s">
        <v>2271</v>
      </c>
      <c r="B1636" s="14">
        <v>2</v>
      </c>
      <c r="C1636" s="15" t="s">
        <v>2273</v>
      </c>
      <c r="D1636" s="14" t="s">
        <v>1749</v>
      </c>
      <c r="E1636" s="14" t="s">
        <v>1746</v>
      </c>
      <c r="F1636" s="17" t="s">
        <v>2993</v>
      </c>
      <c r="G1636" s="14">
        <v>6492</v>
      </c>
      <c r="H1636" s="14">
        <v>4869</v>
      </c>
      <c r="I1636" s="31">
        <f>IF(COUNTIFS(Addendum!C:C,A1636,Addendum!D:D,IF(ISNUMBER(B1636),TEXT(B1636,"0000"),B1636),Addendum!E:E,"X")&gt;0,4%,0)</f>
        <v>0</v>
      </c>
      <c r="J1636" s="31">
        <f>IF(COUNTIFS(Addendum!C:C,A1636,Addendum!D:D,IF(ISNUMBER(B1636),TEXT(B1636,"0000"),B1636),Addendum!F:F,"X")&gt;0,2.5%,0)</f>
        <v>0</v>
      </c>
      <c r="K1636" s="31">
        <f>IF(COUNTIFS(Addendum!C:C,A1636,Addendum!D:D,IF(ISNUMBER(B1636),TEXT(B1636,"0000"),B1636),Addendum!G:G,"X")&gt;0,7%,0)</f>
        <v>0</v>
      </c>
      <c r="L1636" s="31">
        <f>IF(COUNTIFS(Addendum!C:C,A1636,Addendum!D:D,IF(ISNUMBER(B1636),TEXT(B1636,"0000"),B1636),Addendum!I:I,"X")&gt;0,10%,0)</f>
        <v>0</v>
      </c>
      <c r="M1636" s="34">
        <f t="shared" si="50"/>
        <v>0</v>
      </c>
      <c r="N1636" s="17">
        <f t="shared" si="51"/>
        <v>4869</v>
      </c>
    </row>
    <row r="1637" spans="1:14" x14ac:dyDescent="0.25">
      <c r="A1637" s="14" t="s">
        <v>2271</v>
      </c>
      <c r="B1637" s="14">
        <v>4</v>
      </c>
      <c r="C1637" s="15" t="s">
        <v>2272</v>
      </c>
      <c r="D1637" s="14" t="s">
        <v>1749</v>
      </c>
      <c r="E1637" s="14" t="s">
        <v>1746</v>
      </c>
      <c r="F1637" s="17" t="s">
        <v>2993</v>
      </c>
      <c r="G1637" s="14">
        <v>1998</v>
      </c>
      <c r="H1637" s="14">
        <v>1498.5</v>
      </c>
      <c r="I1637" s="31">
        <f>IF(COUNTIFS(Addendum!C:C,A1637,Addendum!D:D,IF(ISNUMBER(B1637),TEXT(B1637,"0000"),B1637),Addendum!E:E,"X")&gt;0,4%,0)</f>
        <v>0</v>
      </c>
      <c r="J1637" s="31">
        <f>IF(COUNTIFS(Addendum!C:C,A1637,Addendum!D:D,IF(ISNUMBER(B1637),TEXT(B1637,"0000"),B1637),Addendum!F:F,"X")&gt;0,2.5%,0)</f>
        <v>0</v>
      </c>
      <c r="K1637" s="31">
        <f>IF(COUNTIFS(Addendum!C:C,A1637,Addendum!D:D,IF(ISNUMBER(B1637),TEXT(B1637,"0000"),B1637),Addendum!G:G,"X")&gt;0,7%,0)</f>
        <v>0</v>
      </c>
      <c r="L1637" s="31">
        <f>IF(COUNTIFS(Addendum!C:C,A1637,Addendum!D:D,IF(ISNUMBER(B1637),TEXT(B1637,"0000"),B1637),Addendum!I:I,"X")&gt;0,10%,0)</f>
        <v>0</v>
      </c>
      <c r="M1637" s="34">
        <f t="shared" si="50"/>
        <v>0</v>
      </c>
      <c r="N1637" s="17">
        <f t="shared" si="51"/>
        <v>1498.5</v>
      </c>
    </row>
    <row r="1638" spans="1:14" x14ac:dyDescent="0.25">
      <c r="A1638" s="14" t="s">
        <v>2271</v>
      </c>
      <c r="B1638" s="14">
        <v>2</v>
      </c>
      <c r="C1638" s="15" t="s">
        <v>2273</v>
      </c>
      <c r="D1638" s="14" t="s">
        <v>1752</v>
      </c>
      <c r="E1638" s="14" t="s">
        <v>1747</v>
      </c>
      <c r="F1638" s="17" t="s">
        <v>2993</v>
      </c>
      <c r="G1638" s="14">
        <v>194760</v>
      </c>
      <c r="H1638" s="14">
        <v>146070</v>
      </c>
      <c r="I1638" s="31">
        <f>IF(COUNTIFS(Addendum!C:C,A1638,Addendum!D:D,IF(ISNUMBER(B1638),TEXT(B1638,"0000"),B1638),Addendum!E:E,"X")&gt;0,4%,0)</f>
        <v>0</v>
      </c>
      <c r="J1638" s="31">
        <f>IF(COUNTIFS(Addendum!C:C,A1638,Addendum!D:D,IF(ISNUMBER(B1638),TEXT(B1638,"0000"),B1638),Addendum!F:F,"X")&gt;0,2.5%,0)</f>
        <v>0</v>
      </c>
      <c r="K1638" s="31">
        <f>IF(COUNTIFS(Addendum!C:C,A1638,Addendum!D:D,IF(ISNUMBER(B1638),TEXT(B1638,"0000"),B1638),Addendum!G:G,"X")&gt;0,7%,0)</f>
        <v>0</v>
      </c>
      <c r="L1638" s="31">
        <f>IF(COUNTIFS(Addendum!C:C,A1638,Addendum!D:D,IF(ISNUMBER(B1638),TEXT(B1638,"0000"),B1638),Addendum!I:I,"X")&gt;0,10%,0)</f>
        <v>0</v>
      </c>
      <c r="M1638" s="34">
        <f t="shared" si="50"/>
        <v>0</v>
      </c>
      <c r="N1638" s="17">
        <f t="shared" si="51"/>
        <v>146070</v>
      </c>
    </row>
    <row r="1639" spans="1:14" x14ac:dyDescent="0.25">
      <c r="A1639" s="14" t="s">
        <v>2271</v>
      </c>
      <c r="B1639" s="14">
        <v>16</v>
      </c>
      <c r="C1639" s="15" t="s">
        <v>2277</v>
      </c>
      <c r="D1639" s="14" t="s">
        <v>1745</v>
      </c>
      <c r="E1639" s="14" t="s">
        <v>1746</v>
      </c>
      <c r="F1639" s="17" t="s">
        <v>2994</v>
      </c>
      <c r="G1639" s="14">
        <v>27279</v>
      </c>
      <c r="H1639" s="14">
        <v>20459.28</v>
      </c>
      <c r="I1639" s="31">
        <f>IF(COUNTIFS(Addendum!C:C,A1639,Addendum!D:D,IF(ISNUMBER(B1639),TEXT(B1639,"0000"),B1639),Addendum!E:E,"X")&gt;0,4%,0)</f>
        <v>0</v>
      </c>
      <c r="J1639" s="31">
        <f>IF(COUNTIFS(Addendum!C:C,A1639,Addendum!D:D,IF(ISNUMBER(B1639),TEXT(B1639,"0000"),B1639),Addendum!F:F,"X")&gt;0,2.5%,0)</f>
        <v>0</v>
      </c>
      <c r="K1639" s="31">
        <f>IF(COUNTIFS(Addendum!C:C,A1639,Addendum!D:D,IF(ISNUMBER(B1639),TEXT(B1639,"0000"),B1639),Addendum!G:G,"X")&gt;0,7%,0)</f>
        <v>0</v>
      </c>
      <c r="L1639" s="31">
        <f>IF(COUNTIFS(Addendum!C:C,A1639,Addendum!D:D,IF(ISNUMBER(B1639),TEXT(B1639,"0000"),B1639),Addendum!I:I,"X")&gt;0,10%,0)</f>
        <v>0</v>
      </c>
      <c r="M1639" s="34">
        <f t="shared" si="50"/>
        <v>0</v>
      </c>
      <c r="N1639" s="17">
        <f t="shared" si="51"/>
        <v>20459.28</v>
      </c>
    </row>
    <row r="1640" spans="1:14" ht="30" x14ac:dyDescent="0.25">
      <c r="A1640" s="14" t="s">
        <v>2271</v>
      </c>
      <c r="B1640" s="14">
        <v>19</v>
      </c>
      <c r="C1640" s="15" t="s">
        <v>2275</v>
      </c>
      <c r="D1640" s="14" t="s">
        <v>1745</v>
      </c>
      <c r="E1640" s="14" t="s">
        <v>1746</v>
      </c>
      <c r="F1640" s="17" t="s">
        <v>2994</v>
      </c>
      <c r="G1640" s="14">
        <v>11529</v>
      </c>
      <c r="H1640" s="14">
        <v>8646.7199999999993</v>
      </c>
      <c r="I1640" s="31">
        <f>IF(COUNTIFS(Addendum!C:C,A1640,Addendum!D:D,IF(ISNUMBER(B1640),TEXT(B1640,"0000"),B1640),Addendum!E:E,"X")&gt;0,4%,0)</f>
        <v>0</v>
      </c>
      <c r="J1640" s="31">
        <f>IF(COUNTIFS(Addendum!C:C,A1640,Addendum!D:D,IF(ISNUMBER(B1640),TEXT(B1640,"0000"),B1640),Addendum!F:F,"X")&gt;0,2.5%,0)</f>
        <v>0</v>
      </c>
      <c r="K1640" s="31">
        <f>IF(COUNTIFS(Addendum!C:C,A1640,Addendum!D:D,IF(ISNUMBER(B1640),TEXT(B1640,"0000"),B1640),Addendum!G:G,"X")&gt;0,7%,0)</f>
        <v>0</v>
      </c>
      <c r="L1640" s="31">
        <f>IF(COUNTIFS(Addendum!C:C,A1640,Addendum!D:D,IF(ISNUMBER(B1640),TEXT(B1640,"0000"),B1640),Addendum!I:I,"X")&gt;0,10%,0)</f>
        <v>0</v>
      </c>
      <c r="M1640" s="34">
        <f t="shared" si="50"/>
        <v>0</v>
      </c>
      <c r="N1640" s="17">
        <f t="shared" si="51"/>
        <v>8646.7199999999993</v>
      </c>
    </row>
    <row r="1641" spans="1:14" x14ac:dyDescent="0.25">
      <c r="A1641" s="14" t="s">
        <v>2271</v>
      </c>
      <c r="B1641" s="14">
        <v>15</v>
      </c>
      <c r="C1641" s="15" t="s">
        <v>2279</v>
      </c>
      <c r="D1641" s="14" t="s">
        <v>1745</v>
      </c>
      <c r="E1641" s="14" t="s">
        <v>1746</v>
      </c>
      <c r="F1641" s="17" t="s">
        <v>2995</v>
      </c>
      <c r="G1641" s="14">
        <v>17010</v>
      </c>
      <c r="H1641" s="14">
        <v>15309</v>
      </c>
      <c r="I1641" s="31">
        <f>IF(COUNTIFS(Addendum!C:C,A1641,Addendum!D:D,IF(ISNUMBER(B1641),TEXT(B1641,"0000"),B1641),Addendum!E:E,"X")&gt;0,4%,0)</f>
        <v>0</v>
      </c>
      <c r="J1641" s="31">
        <f>IF(COUNTIFS(Addendum!C:C,A1641,Addendum!D:D,IF(ISNUMBER(B1641),TEXT(B1641,"0000"),B1641),Addendum!F:F,"X")&gt;0,2.5%,0)</f>
        <v>0</v>
      </c>
      <c r="K1641" s="31">
        <f>IF(COUNTIFS(Addendum!C:C,A1641,Addendum!D:D,IF(ISNUMBER(B1641),TEXT(B1641,"0000"),B1641),Addendum!G:G,"X")&gt;0,7%,0)</f>
        <v>0</v>
      </c>
      <c r="L1641" s="31">
        <f>IF(COUNTIFS(Addendum!C:C,A1641,Addendum!D:D,IF(ISNUMBER(B1641),TEXT(B1641,"0000"),B1641),Addendum!I:I,"X")&gt;0,10%,0)</f>
        <v>0</v>
      </c>
      <c r="M1641" s="34">
        <f t="shared" si="50"/>
        <v>0</v>
      </c>
      <c r="N1641" s="17">
        <f t="shared" si="51"/>
        <v>15309</v>
      </c>
    </row>
    <row r="1642" spans="1:14" ht="30" x14ac:dyDescent="0.25">
      <c r="A1642" s="14" t="s">
        <v>2271</v>
      </c>
      <c r="B1642" s="14">
        <v>19</v>
      </c>
      <c r="C1642" s="15" t="s">
        <v>2275</v>
      </c>
      <c r="D1642" s="14" t="s">
        <v>1745</v>
      </c>
      <c r="E1642" s="14" t="s">
        <v>1747</v>
      </c>
      <c r="F1642" s="17" t="s">
        <v>2994</v>
      </c>
      <c r="G1642" s="14">
        <v>10980</v>
      </c>
      <c r="H1642" s="14">
        <v>8235</v>
      </c>
      <c r="I1642" s="31">
        <f>IF(COUNTIFS(Addendum!C:C,A1642,Addendum!D:D,IF(ISNUMBER(B1642),TEXT(B1642,"0000"),B1642),Addendum!E:E,"X")&gt;0,4%,0)</f>
        <v>0</v>
      </c>
      <c r="J1642" s="31">
        <f>IF(COUNTIFS(Addendum!C:C,A1642,Addendum!D:D,IF(ISNUMBER(B1642),TEXT(B1642,"0000"),B1642),Addendum!F:F,"X")&gt;0,2.5%,0)</f>
        <v>0</v>
      </c>
      <c r="K1642" s="31">
        <f>IF(COUNTIFS(Addendum!C:C,A1642,Addendum!D:D,IF(ISNUMBER(B1642),TEXT(B1642,"0000"),B1642),Addendum!G:G,"X")&gt;0,7%,0)</f>
        <v>0</v>
      </c>
      <c r="L1642" s="31">
        <f>IF(COUNTIFS(Addendum!C:C,A1642,Addendum!D:D,IF(ISNUMBER(B1642),TEXT(B1642,"0000"),B1642),Addendum!I:I,"X")&gt;0,10%,0)</f>
        <v>0</v>
      </c>
      <c r="M1642" s="34">
        <f t="shared" si="50"/>
        <v>0</v>
      </c>
      <c r="N1642" s="17">
        <f t="shared" si="51"/>
        <v>8235</v>
      </c>
    </row>
    <row r="1643" spans="1:14" ht="30" x14ac:dyDescent="0.25">
      <c r="A1643" s="14" t="s">
        <v>2280</v>
      </c>
      <c r="B1643" s="14" t="s">
        <v>307</v>
      </c>
      <c r="C1643" s="15" t="s">
        <v>2281</v>
      </c>
      <c r="D1643" s="14" t="s">
        <v>1752</v>
      </c>
      <c r="E1643" s="14" t="s">
        <v>1747</v>
      </c>
      <c r="F1643" s="17" t="s">
        <v>2995</v>
      </c>
      <c r="G1643" s="14">
        <v>45000</v>
      </c>
      <c r="H1643" s="14">
        <v>40500</v>
      </c>
      <c r="I1643" s="31">
        <f>IF(COUNTIFS(Addendum!C:C,A1643,Addendum!D:D,IF(ISNUMBER(B1643),TEXT(B1643,"0000"),B1643),Addendum!E:E,"X")&gt;0,4%,0)</f>
        <v>0</v>
      </c>
      <c r="J1643" s="31">
        <f>IF(COUNTIFS(Addendum!C:C,A1643,Addendum!D:D,IF(ISNUMBER(B1643),TEXT(B1643,"0000"),B1643),Addendum!F:F,"X")&gt;0,2.5%,0)</f>
        <v>0</v>
      </c>
      <c r="K1643" s="31">
        <f>IF(COUNTIFS(Addendum!C:C,A1643,Addendum!D:D,IF(ISNUMBER(B1643),TEXT(B1643,"0000"),B1643),Addendum!G:G,"X")&gt;0,7%,0)</f>
        <v>0</v>
      </c>
      <c r="L1643" s="31">
        <f>IF(COUNTIFS(Addendum!C:C,A1643,Addendum!D:D,IF(ISNUMBER(B1643),TEXT(B1643,"0000"),B1643),Addendum!I:I,"X")&gt;0,10%,0)</f>
        <v>0</v>
      </c>
      <c r="M1643" s="34">
        <f t="shared" si="50"/>
        <v>0</v>
      </c>
      <c r="N1643" s="17">
        <f t="shared" si="51"/>
        <v>40500</v>
      </c>
    </row>
    <row r="1644" spans="1:14" x14ac:dyDescent="0.25">
      <c r="A1644" s="14" t="s">
        <v>2280</v>
      </c>
      <c r="B1644" s="14" t="s">
        <v>97</v>
      </c>
      <c r="C1644" s="15" t="s">
        <v>2282</v>
      </c>
      <c r="D1644" s="14" t="s">
        <v>1745</v>
      </c>
      <c r="E1644" s="14" t="s">
        <v>1747</v>
      </c>
      <c r="F1644" s="17" t="s">
        <v>2994</v>
      </c>
      <c r="G1644" s="14">
        <v>83880</v>
      </c>
      <c r="H1644" s="14">
        <v>58716</v>
      </c>
      <c r="I1644" s="31">
        <f>IF(COUNTIFS(Addendum!C:C,A1644,Addendum!D:D,IF(ISNUMBER(B1644),TEXT(B1644,"0000"),B1644),Addendum!E:E,"X")&gt;0,4%,0)</f>
        <v>0</v>
      </c>
      <c r="J1644" s="31">
        <f>IF(COUNTIFS(Addendum!C:C,A1644,Addendum!D:D,IF(ISNUMBER(B1644),TEXT(B1644,"0000"),B1644),Addendum!F:F,"X")&gt;0,2.5%,0)</f>
        <v>0</v>
      </c>
      <c r="K1644" s="31">
        <f>IF(COUNTIFS(Addendum!C:C,A1644,Addendum!D:D,IF(ISNUMBER(B1644),TEXT(B1644,"0000"),B1644),Addendum!G:G,"X")&gt;0,7%,0)</f>
        <v>0</v>
      </c>
      <c r="L1644" s="31">
        <f>IF(COUNTIFS(Addendum!C:C,A1644,Addendum!D:D,IF(ISNUMBER(B1644),TEXT(B1644,"0000"),B1644),Addendum!I:I,"X")&gt;0,10%,0)</f>
        <v>0</v>
      </c>
      <c r="M1644" s="34">
        <f t="shared" si="50"/>
        <v>0</v>
      </c>
      <c r="N1644" s="17">
        <f t="shared" si="51"/>
        <v>58716</v>
      </c>
    </row>
    <row r="1645" spans="1:14" ht="30" x14ac:dyDescent="0.25">
      <c r="A1645" s="14" t="s">
        <v>2280</v>
      </c>
      <c r="B1645" s="14" t="s">
        <v>307</v>
      </c>
      <c r="C1645" s="15" t="s">
        <v>2281</v>
      </c>
      <c r="D1645" s="14" t="s">
        <v>1745</v>
      </c>
      <c r="E1645" s="14" t="s">
        <v>1746</v>
      </c>
      <c r="F1645" s="17" t="s">
        <v>2995</v>
      </c>
      <c r="G1645" s="14">
        <v>15750</v>
      </c>
      <c r="H1645" s="14">
        <v>14175</v>
      </c>
      <c r="I1645" s="31">
        <f>IF(COUNTIFS(Addendum!C:C,A1645,Addendum!D:D,IF(ISNUMBER(B1645),TEXT(B1645,"0000"),B1645),Addendum!E:E,"X")&gt;0,4%,0)</f>
        <v>0</v>
      </c>
      <c r="J1645" s="31">
        <f>IF(COUNTIFS(Addendum!C:C,A1645,Addendum!D:D,IF(ISNUMBER(B1645),TEXT(B1645,"0000"),B1645),Addendum!F:F,"X")&gt;0,2.5%,0)</f>
        <v>0</v>
      </c>
      <c r="K1645" s="31">
        <f>IF(COUNTIFS(Addendum!C:C,A1645,Addendum!D:D,IF(ISNUMBER(B1645),TEXT(B1645,"0000"),B1645),Addendum!G:G,"X")&gt;0,7%,0)</f>
        <v>0</v>
      </c>
      <c r="L1645" s="31">
        <f>IF(COUNTIFS(Addendum!C:C,A1645,Addendum!D:D,IF(ISNUMBER(B1645),TEXT(B1645,"0000"),B1645),Addendum!I:I,"X")&gt;0,10%,0)</f>
        <v>0</v>
      </c>
      <c r="M1645" s="34">
        <f t="shared" si="50"/>
        <v>0</v>
      </c>
      <c r="N1645" s="17">
        <f t="shared" si="51"/>
        <v>14175</v>
      </c>
    </row>
    <row r="1646" spans="1:14" x14ac:dyDescent="0.25">
      <c r="A1646" s="14" t="s">
        <v>2280</v>
      </c>
      <c r="B1646" s="14">
        <v>1</v>
      </c>
      <c r="C1646" s="15" t="s">
        <v>2283</v>
      </c>
      <c r="D1646" s="14" t="s">
        <v>1752</v>
      </c>
      <c r="E1646" s="14" t="s">
        <v>1753</v>
      </c>
      <c r="F1646" s="17" t="s">
        <v>2993</v>
      </c>
      <c r="G1646" s="14">
        <v>628920</v>
      </c>
      <c r="H1646" s="14">
        <v>440244</v>
      </c>
      <c r="I1646" s="31">
        <f>IF(COUNTIFS(Addendum!C:C,A1646,Addendum!D:D,IF(ISNUMBER(B1646),TEXT(B1646,"0000"),B1646),Addendum!E:E,"X")&gt;0,4%,0)</f>
        <v>0</v>
      </c>
      <c r="J1646" s="31">
        <f>IF(COUNTIFS(Addendum!C:C,A1646,Addendum!D:D,IF(ISNUMBER(B1646),TEXT(B1646,"0000"),B1646),Addendum!F:F,"X")&gt;0,2.5%,0)</f>
        <v>0</v>
      </c>
      <c r="K1646" s="31">
        <f>IF(COUNTIFS(Addendum!C:C,A1646,Addendum!D:D,IF(ISNUMBER(B1646),TEXT(B1646,"0000"),B1646),Addendum!G:G,"X")&gt;0,7%,0)</f>
        <v>0</v>
      </c>
      <c r="L1646" s="31">
        <f>IF(COUNTIFS(Addendum!C:C,A1646,Addendum!D:D,IF(ISNUMBER(B1646),TEXT(B1646,"0000"),B1646),Addendum!I:I,"X")&gt;0,10%,0)</f>
        <v>0</v>
      </c>
      <c r="M1646" s="34">
        <f t="shared" si="50"/>
        <v>0</v>
      </c>
      <c r="N1646" s="17">
        <f t="shared" si="51"/>
        <v>440244</v>
      </c>
    </row>
    <row r="1647" spans="1:14" x14ac:dyDescent="0.25">
      <c r="A1647" s="14" t="s">
        <v>2280</v>
      </c>
      <c r="B1647" s="14" t="s">
        <v>97</v>
      </c>
      <c r="C1647" s="15" t="s">
        <v>2282</v>
      </c>
      <c r="D1647" s="14" t="s">
        <v>1745</v>
      </c>
      <c r="E1647" s="14" t="s">
        <v>1746</v>
      </c>
      <c r="F1647" s="17" t="s">
        <v>2994</v>
      </c>
      <c r="G1647" s="14">
        <v>88074</v>
      </c>
      <c r="H1647" s="14">
        <v>61651.8</v>
      </c>
      <c r="I1647" s="31">
        <f>IF(COUNTIFS(Addendum!C:C,A1647,Addendum!D:D,IF(ISNUMBER(B1647),TEXT(B1647,"0000"),B1647),Addendum!E:E,"X")&gt;0,4%,0)</f>
        <v>0</v>
      </c>
      <c r="J1647" s="31">
        <f>IF(COUNTIFS(Addendum!C:C,A1647,Addendum!D:D,IF(ISNUMBER(B1647),TEXT(B1647,"0000"),B1647),Addendum!F:F,"X")&gt;0,2.5%,0)</f>
        <v>0</v>
      </c>
      <c r="K1647" s="31">
        <f>IF(COUNTIFS(Addendum!C:C,A1647,Addendum!D:D,IF(ISNUMBER(B1647),TEXT(B1647,"0000"),B1647),Addendum!G:G,"X")&gt;0,7%,0)</f>
        <v>0</v>
      </c>
      <c r="L1647" s="31">
        <f>IF(COUNTIFS(Addendum!C:C,A1647,Addendum!D:D,IF(ISNUMBER(B1647),TEXT(B1647,"0000"),B1647),Addendum!I:I,"X")&gt;0,10%,0)</f>
        <v>0</v>
      </c>
      <c r="M1647" s="34">
        <f t="shared" si="50"/>
        <v>0</v>
      </c>
      <c r="N1647" s="17">
        <f t="shared" si="51"/>
        <v>61651.8</v>
      </c>
    </row>
    <row r="1648" spans="1:14" ht="30" x14ac:dyDescent="0.25">
      <c r="A1648" s="14" t="s">
        <v>2280</v>
      </c>
      <c r="B1648" s="14" t="s">
        <v>307</v>
      </c>
      <c r="C1648" s="15" t="s">
        <v>2281</v>
      </c>
      <c r="D1648" s="14" t="s">
        <v>1749</v>
      </c>
      <c r="E1648" s="14" t="s">
        <v>1746</v>
      </c>
      <c r="F1648" s="17" t="s">
        <v>2995</v>
      </c>
      <c r="G1648" s="14">
        <v>1500</v>
      </c>
      <c r="H1648" s="14">
        <v>1350</v>
      </c>
      <c r="I1648" s="31">
        <f>IF(COUNTIFS(Addendum!C:C,A1648,Addendum!D:D,IF(ISNUMBER(B1648),TEXT(B1648,"0000"),B1648),Addendum!E:E,"X")&gt;0,4%,0)</f>
        <v>0</v>
      </c>
      <c r="J1648" s="31">
        <f>IF(COUNTIFS(Addendum!C:C,A1648,Addendum!D:D,IF(ISNUMBER(B1648),TEXT(B1648,"0000"),B1648),Addendum!F:F,"X")&gt;0,2.5%,0)</f>
        <v>0</v>
      </c>
      <c r="K1648" s="31">
        <f>IF(COUNTIFS(Addendum!C:C,A1648,Addendum!D:D,IF(ISNUMBER(B1648),TEXT(B1648,"0000"),B1648),Addendum!G:G,"X")&gt;0,7%,0)</f>
        <v>0</v>
      </c>
      <c r="L1648" s="31">
        <f>IF(COUNTIFS(Addendum!C:C,A1648,Addendum!D:D,IF(ISNUMBER(B1648),TEXT(B1648,"0000"),B1648),Addendum!I:I,"X")&gt;0,10%,0)</f>
        <v>0</v>
      </c>
      <c r="M1648" s="34">
        <f t="shared" si="50"/>
        <v>0</v>
      </c>
      <c r="N1648" s="17">
        <f t="shared" si="51"/>
        <v>1350</v>
      </c>
    </row>
    <row r="1649" spans="1:14" x14ac:dyDescent="0.25">
      <c r="A1649" s="14" t="s">
        <v>2280</v>
      </c>
      <c r="B1649" s="14" t="s">
        <v>97</v>
      </c>
      <c r="C1649" s="15" t="s">
        <v>2282</v>
      </c>
      <c r="D1649" s="14" t="s">
        <v>1749</v>
      </c>
      <c r="E1649" s="14" t="s">
        <v>1746</v>
      </c>
      <c r="F1649" s="17" t="s">
        <v>2994</v>
      </c>
      <c r="G1649" s="14">
        <v>8388</v>
      </c>
      <c r="H1649" s="14">
        <v>5871.6</v>
      </c>
      <c r="I1649" s="31">
        <f>IF(COUNTIFS(Addendum!C:C,A1649,Addendum!D:D,IF(ISNUMBER(B1649),TEXT(B1649,"0000"),B1649),Addendum!E:E,"X")&gt;0,4%,0)</f>
        <v>0</v>
      </c>
      <c r="J1649" s="31">
        <f>IF(COUNTIFS(Addendum!C:C,A1649,Addendum!D:D,IF(ISNUMBER(B1649),TEXT(B1649,"0000"),B1649),Addendum!F:F,"X")&gt;0,2.5%,0)</f>
        <v>0</v>
      </c>
      <c r="K1649" s="31">
        <f>IF(COUNTIFS(Addendum!C:C,A1649,Addendum!D:D,IF(ISNUMBER(B1649),TEXT(B1649,"0000"),B1649),Addendum!G:G,"X")&gt;0,7%,0)</f>
        <v>0</v>
      </c>
      <c r="L1649" s="31">
        <f>IF(COUNTIFS(Addendum!C:C,A1649,Addendum!D:D,IF(ISNUMBER(B1649),TEXT(B1649,"0000"),B1649),Addendum!I:I,"X")&gt;0,10%,0)</f>
        <v>0</v>
      </c>
      <c r="M1649" s="34">
        <f t="shared" si="50"/>
        <v>0</v>
      </c>
      <c r="N1649" s="17">
        <f t="shared" si="51"/>
        <v>5871.6</v>
      </c>
    </row>
    <row r="1650" spans="1:14" ht="30" x14ac:dyDescent="0.25">
      <c r="A1650" s="14" t="s">
        <v>2280</v>
      </c>
      <c r="B1650" s="14" t="s">
        <v>333</v>
      </c>
      <c r="C1650" s="15" t="s">
        <v>2284</v>
      </c>
      <c r="D1650" s="14" t="s">
        <v>1749</v>
      </c>
      <c r="E1650" s="14" t="s">
        <v>1746</v>
      </c>
      <c r="F1650" s="17" t="s">
        <v>2994</v>
      </c>
      <c r="G1650" s="14">
        <v>1650</v>
      </c>
      <c r="H1650" s="14">
        <v>1155</v>
      </c>
      <c r="I1650" s="31">
        <f>IF(COUNTIFS(Addendum!C:C,A1650,Addendum!D:D,IF(ISNUMBER(B1650),TEXT(B1650,"0000"),B1650),Addendum!E:E,"X")&gt;0,4%,0)</f>
        <v>0</v>
      </c>
      <c r="J1650" s="31">
        <f>IF(COUNTIFS(Addendum!C:C,A1650,Addendum!D:D,IF(ISNUMBER(B1650),TEXT(B1650,"0000"),B1650),Addendum!F:F,"X")&gt;0,2.5%,0)</f>
        <v>0</v>
      </c>
      <c r="K1650" s="31">
        <f>IF(COUNTIFS(Addendum!C:C,A1650,Addendum!D:D,IF(ISNUMBER(B1650),TEXT(B1650,"0000"),B1650),Addendum!G:G,"X")&gt;0,7%,0)</f>
        <v>0</v>
      </c>
      <c r="L1650" s="31">
        <f>IF(COUNTIFS(Addendum!C:C,A1650,Addendum!D:D,IF(ISNUMBER(B1650),TEXT(B1650,"0000"),B1650),Addendum!I:I,"X")&gt;0,10%,0)</f>
        <v>0</v>
      </c>
      <c r="M1650" s="34">
        <f t="shared" si="50"/>
        <v>0</v>
      </c>
      <c r="N1650" s="17">
        <f t="shared" si="51"/>
        <v>1155</v>
      </c>
    </row>
    <row r="1651" spans="1:14" ht="30" x14ac:dyDescent="0.25">
      <c r="A1651" s="14" t="s">
        <v>2280</v>
      </c>
      <c r="B1651" s="14" t="s">
        <v>333</v>
      </c>
      <c r="C1651" s="15" t="s">
        <v>2284</v>
      </c>
      <c r="D1651" s="14" t="s">
        <v>1745</v>
      </c>
      <c r="E1651" s="14" t="s">
        <v>1747</v>
      </c>
      <c r="F1651" s="17" t="s">
        <v>2994</v>
      </c>
      <c r="G1651" s="14">
        <v>16500</v>
      </c>
      <c r="H1651" s="14">
        <v>11550</v>
      </c>
      <c r="I1651" s="31">
        <f>IF(COUNTIFS(Addendum!C:C,A1651,Addendum!D:D,IF(ISNUMBER(B1651),TEXT(B1651,"0000"),B1651),Addendum!E:E,"X")&gt;0,4%,0)</f>
        <v>0</v>
      </c>
      <c r="J1651" s="31">
        <f>IF(COUNTIFS(Addendum!C:C,A1651,Addendum!D:D,IF(ISNUMBER(B1651),TEXT(B1651,"0000"),B1651),Addendum!F:F,"X")&gt;0,2.5%,0)</f>
        <v>0</v>
      </c>
      <c r="K1651" s="31">
        <f>IF(COUNTIFS(Addendum!C:C,A1651,Addendum!D:D,IF(ISNUMBER(B1651),TEXT(B1651,"0000"),B1651),Addendum!G:G,"X")&gt;0,7%,0)</f>
        <v>0</v>
      </c>
      <c r="L1651" s="31">
        <f>IF(COUNTIFS(Addendum!C:C,A1651,Addendum!D:D,IF(ISNUMBER(B1651),TEXT(B1651,"0000"),B1651),Addendum!I:I,"X")&gt;0,10%,0)</f>
        <v>0</v>
      </c>
      <c r="M1651" s="34">
        <f t="shared" si="50"/>
        <v>0</v>
      </c>
      <c r="N1651" s="17">
        <f t="shared" si="51"/>
        <v>11550</v>
      </c>
    </row>
    <row r="1652" spans="1:14" x14ac:dyDescent="0.25">
      <c r="A1652" s="14" t="s">
        <v>2280</v>
      </c>
      <c r="B1652" s="14">
        <v>2</v>
      </c>
      <c r="C1652" s="15" t="s">
        <v>2285</v>
      </c>
      <c r="D1652" s="14" t="s">
        <v>1745</v>
      </c>
      <c r="E1652" s="14" t="s">
        <v>1747</v>
      </c>
      <c r="F1652" s="17" t="s">
        <v>2993</v>
      </c>
      <c r="G1652" s="14">
        <v>29940</v>
      </c>
      <c r="H1652" s="14">
        <v>20958</v>
      </c>
      <c r="I1652" s="31">
        <f>IF(COUNTIFS(Addendum!C:C,A1652,Addendum!D:D,IF(ISNUMBER(B1652),TEXT(B1652,"0000"),B1652),Addendum!E:E,"X")&gt;0,4%,0)</f>
        <v>0</v>
      </c>
      <c r="J1652" s="31">
        <f>IF(COUNTIFS(Addendum!C:C,A1652,Addendum!D:D,IF(ISNUMBER(B1652),TEXT(B1652,"0000"),B1652),Addendum!F:F,"X")&gt;0,2.5%,0)</f>
        <v>0</v>
      </c>
      <c r="K1652" s="31">
        <f>IF(COUNTIFS(Addendum!C:C,A1652,Addendum!D:D,IF(ISNUMBER(B1652),TEXT(B1652,"0000"),B1652),Addendum!G:G,"X")&gt;0,7%,0)</f>
        <v>0</v>
      </c>
      <c r="L1652" s="31">
        <f>IF(COUNTIFS(Addendum!C:C,A1652,Addendum!D:D,IF(ISNUMBER(B1652),TEXT(B1652,"0000"),B1652),Addendum!I:I,"X")&gt;0,10%,0)</f>
        <v>0</v>
      </c>
      <c r="M1652" s="34">
        <f t="shared" si="50"/>
        <v>0</v>
      </c>
      <c r="N1652" s="17">
        <f t="shared" si="51"/>
        <v>20958</v>
      </c>
    </row>
    <row r="1653" spans="1:14" x14ac:dyDescent="0.25">
      <c r="A1653" s="14" t="s">
        <v>2280</v>
      </c>
      <c r="B1653" s="14" t="s">
        <v>258</v>
      </c>
      <c r="C1653" s="15" t="s">
        <v>2286</v>
      </c>
      <c r="D1653" s="14" t="s">
        <v>1745</v>
      </c>
      <c r="E1653" s="14" t="s">
        <v>1747</v>
      </c>
      <c r="F1653" s="17" t="s">
        <v>2995</v>
      </c>
      <c r="G1653" s="14">
        <v>83880</v>
      </c>
      <c r="H1653" s="14">
        <v>75492</v>
      </c>
      <c r="I1653" s="31">
        <f>IF(COUNTIFS(Addendum!C:C,A1653,Addendum!D:D,IF(ISNUMBER(B1653),TEXT(B1653,"0000"),B1653),Addendum!E:E,"X")&gt;0,4%,0)</f>
        <v>0</v>
      </c>
      <c r="J1653" s="31">
        <f>IF(COUNTIFS(Addendum!C:C,A1653,Addendum!D:D,IF(ISNUMBER(B1653),TEXT(B1653,"0000"),B1653),Addendum!F:F,"X")&gt;0,2.5%,0)</f>
        <v>0</v>
      </c>
      <c r="K1653" s="31">
        <f>IF(COUNTIFS(Addendum!C:C,A1653,Addendum!D:D,IF(ISNUMBER(B1653),TEXT(B1653,"0000"),B1653),Addendum!G:G,"X")&gt;0,7%,0)</f>
        <v>0</v>
      </c>
      <c r="L1653" s="31">
        <f>IF(COUNTIFS(Addendum!C:C,A1653,Addendum!D:D,IF(ISNUMBER(B1653),TEXT(B1653,"0000"),B1653),Addendum!I:I,"X")&gt;0,10%,0)</f>
        <v>0</v>
      </c>
      <c r="M1653" s="34">
        <f t="shared" si="50"/>
        <v>0</v>
      </c>
      <c r="N1653" s="17">
        <f t="shared" si="51"/>
        <v>75492</v>
      </c>
    </row>
    <row r="1654" spans="1:14" x14ac:dyDescent="0.25">
      <c r="A1654" s="14" t="s">
        <v>2280</v>
      </c>
      <c r="B1654" s="14" t="s">
        <v>258</v>
      </c>
      <c r="C1654" s="15" t="s">
        <v>2286</v>
      </c>
      <c r="D1654" s="14" t="s">
        <v>1752</v>
      </c>
      <c r="E1654" s="14" t="s">
        <v>1746</v>
      </c>
      <c r="F1654" s="17" t="s">
        <v>2995</v>
      </c>
      <c r="G1654" s="14">
        <v>264222</v>
      </c>
      <c r="H1654" s="14">
        <v>237799.8</v>
      </c>
      <c r="I1654" s="31">
        <f>IF(COUNTIFS(Addendum!C:C,A1654,Addendum!D:D,IF(ISNUMBER(B1654),TEXT(B1654,"0000"),B1654),Addendum!E:E,"X")&gt;0,4%,0)</f>
        <v>0</v>
      </c>
      <c r="J1654" s="31">
        <f>IF(COUNTIFS(Addendum!C:C,A1654,Addendum!D:D,IF(ISNUMBER(B1654),TEXT(B1654,"0000"),B1654),Addendum!F:F,"X")&gt;0,2.5%,0)</f>
        <v>0</v>
      </c>
      <c r="K1654" s="31">
        <f>IF(COUNTIFS(Addendum!C:C,A1654,Addendum!D:D,IF(ISNUMBER(B1654),TEXT(B1654,"0000"),B1654),Addendum!G:G,"X")&gt;0,7%,0)</f>
        <v>0</v>
      </c>
      <c r="L1654" s="31">
        <f>IF(COUNTIFS(Addendum!C:C,A1654,Addendum!D:D,IF(ISNUMBER(B1654),TEXT(B1654,"0000"),B1654),Addendum!I:I,"X")&gt;0,10%,0)</f>
        <v>0</v>
      </c>
      <c r="M1654" s="34">
        <f t="shared" si="50"/>
        <v>0</v>
      </c>
      <c r="N1654" s="17">
        <f t="shared" si="51"/>
        <v>237799.8</v>
      </c>
    </row>
    <row r="1655" spans="1:14" x14ac:dyDescent="0.25">
      <c r="A1655" s="14" t="s">
        <v>2280</v>
      </c>
      <c r="B1655" s="14" t="s">
        <v>325</v>
      </c>
      <c r="C1655" s="15" t="s">
        <v>2287</v>
      </c>
      <c r="D1655" s="14" t="s">
        <v>1745</v>
      </c>
      <c r="E1655" s="14" t="s">
        <v>1746</v>
      </c>
      <c r="F1655" s="17" t="s">
        <v>2994</v>
      </c>
      <c r="G1655" s="14">
        <v>121086</v>
      </c>
      <c r="H1655" s="14">
        <v>84760.2</v>
      </c>
      <c r="I1655" s="31">
        <f>IF(COUNTIFS(Addendum!C:C,A1655,Addendum!D:D,IF(ISNUMBER(B1655),TEXT(B1655,"0000"),B1655),Addendum!E:E,"X")&gt;0,4%,0)</f>
        <v>0</v>
      </c>
      <c r="J1655" s="31">
        <f>IF(COUNTIFS(Addendum!C:C,A1655,Addendum!D:D,IF(ISNUMBER(B1655),TEXT(B1655,"0000"),B1655),Addendum!F:F,"X")&gt;0,2.5%,0)</f>
        <v>0</v>
      </c>
      <c r="K1655" s="31">
        <f>IF(COUNTIFS(Addendum!C:C,A1655,Addendum!D:D,IF(ISNUMBER(B1655),TEXT(B1655,"0000"),B1655),Addendum!G:G,"X")&gt;0,7%,0)</f>
        <v>0</v>
      </c>
      <c r="L1655" s="31">
        <f>IF(COUNTIFS(Addendum!C:C,A1655,Addendum!D:D,IF(ISNUMBER(B1655),TEXT(B1655,"0000"),B1655),Addendum!I:I,"X")&gt;0,10%,0)</f>
        <v>0</v>
      </c>
      <c r="M1655" s="34">
        <f t="shared" si="50"/>
        <v>0</v>
      </c>
      <c r="N1655" s="17">
        <f t="shared" si="51"/>
        <v>84760.2</v>
      </c>
    </row>
    <row r="1656" spans="1:14" x14ac:dyDescent="0.25">
      <c r="A1656" s="14" t="s">
        <v>2280</v>
      </c>
      <c r="B1656" s="14" t="s">
        <v>325</v>
      </c>
      <c r="C1656" s="15" t="s">
        <v>2287</v>
      </c>
      <c r="D1656" s="14" t="s">
        <v>1749</v>
      </c>
      <c r="E1656" s="14" t="s">
        <v>1746</v>
      </c>
      <c r="F1656" s="17" t="s">
        <v>2994</v>
      </c>
      <c r="G1656" s="14">
        <v>11532</v>
      </c>
      <c r="H1656" s="14">
        <v>8072.4</v>
      </c>
      <c r="I1656" s="31">
        <f>IF(COUNTIFS(Addendum!C:C,A1656,Addendum!D:D,IF(ISNUMBER(B1656),TEXT(B1656,"0000"),B1656),Addendum!E:E,"X")&gt;0,4%,0)</f>
        <v>0</v>
      </c>
      <c r="J1656" s="31">
        <f>IF(COUNTIFS(Addendum!C:C,A1656,Addendum!D:D,IF(ISNUMBER(B1656),TEXT(B1656,"0000"),B1656),Addendum!F:F,"X")&gt;0,2.5%,0)</f>
        <v>0</v>
      </c>
      <c r="K1656" s="31">
        <f>IF(COUNTIFS(Addendum!C:C,A1656,Addendum!D:D,IF(ISNUMBER(B1656),TEXT(B1656,"0000"),B1656),Addendum!G:G,"X")&gt;0,7%,0)</f>
        <v>0</v>
      </c>
      <c r="L1656" s="31">
        <f>IF(COUNTIFS(Addendum!C:C,A1656,Addendum!D:D,IF(ISNUMBER(B1656),TEXT(B1656,"0000"),B1656),Addendum!I:I,"X")&gt;0,10%,0)</f>
        <v>0</v>
      </c>
      <c r="M1656" s="34">
        <f t="shared" si="50"/>
        <v>0</v>
      </c>
      <c r="N1656" s="17">
        <f t="shared" si="51"/>
        <v>8072.4</v>
      </c>
    </row>
    <row r="1657" spans="1:14" ht="30" x14ac:dyDescent="0.25">
      <c r="A1657" s="14" t="s">
        <v>2280</v>
      </c>
      <c r="B1657" s="14" t="s">
        <v>307</v>
      </c>
      <c r="C1657" s="15" t="s">
        <v>2281</v>
      </c>
      <c r="D1657" s="14" t="s">
        <v>1752</v>
      </c>
      <c r="E1657" s="14" t="s">
        <v>1746</v>
      </c>
      <c r="F1657" s="17" t="s">
        <v>2995</v>
      </c>
      <c r="G1657" s="14">
        <v>47250</v>
      </c>
      <c r="H1657" s="14">
        <v>42525</v>
      </c>
      <c r="I1657" s="31">
        <f>IF(COUNTIFS(Addendum!C:C,A1657,Addendum!D:D,IF(ISNUMBER(B1657),TEXT(B1657,"0000"),B1657),Addendum!E:E,"X")&gt;0,4%,0)</f>
        <v>0</v>
      </c>
      <c r="J1657" s="31">
        <f>IF(COUNTIFS(Addendum!C:C,A1657,Addendum!D:D,IF(ISNUMBER(B1657),TEXT(B1657,"0000"),B1657),Addendum!F:F,"X")&gt;0,2.5%,0)</f>
        <v>0</v>
      </c>
      <c r="K1657" s="31">
        <f>IF(COUNTIFS(Addendum!C:C,A1657,Addendum!D:D,IF(ISNUMBER(B1657),TEXT(B1657,"0000"),B1657),Addendum!G:G,"X")&gt;0,7%,0)</f>
        <v>0</v>
      </c>
      <c r="L1657" s="31">
        <f>IF(COUNTIFS(Addendum!C:C,A1657,Addendum!D:D,IF(ISNUMBER(B1657),TEXT(B1657,"0000"),B1657),Addendum!I:I,"X")&gt;0,10%,0)</f>
        <v>0</v>
      </c>
      <c r="M1657" s="34">
        <f t="shared" si="50"/>
        <v>0</v>
      </c>
      <c r="N1657" s="17">
        <f t="shared" si="51"/>
        <v>42525</v>
      </c>
    </row>
    <row r="1658" spans="1:14" ht="30" x14ac:dyDescent="0.25">
      <c r="A1658" s="14" t="s">
        <v>2280</v>
      </c>
      <c r="B1658" s="14" t="s">
        <v>333</v>
      </c>
      <c r="C1658" s="15" t="s">
        <v>2284</v>
      </c>
      <c r="D1658" s="14" t="s">
        <v>1745</v>
      </c>
      <c r="E1658" s="14" t="s">
        <v>1746</v>
      </c>
      <c r="F1658" s="17" t="s">
        <v>2994</v>
      </c>
      <c r="G1658" s="14">
        <v>17325</v>
      </c>
      <c r="H1658" s="14">
        <v>12127.56</v>
      </c>
      <c r="I1658" s="31">
        <f>IF(COUNTIFS(Addendum!C:C,A1658,Addendum!D:D,IF(ISNUMBER(B1658),TEXT(B1658,"0000"),B1658),Addendum!E:E,"X")&gt;0,4%,0)</f>
        <v>0</v>
      </c>
      <c r="J1658" s="31">
        <f>IF(COUNTIFS(Addendum!C:C,A1658,Addendum!D:D,IF(ISNUMBER(B1658),TEXT(B1658,"0000"),B1658),Addendum!F:F,"X")&gt;0,2.5%,0)</f>
        <v>0</v>
      </c>
      <c r="K1658" s="31">
        <f>IF(COUNTIFS(Addendum!C:C,A1658,Addendum!D:D,IF(ISNUMBER(B1658),TEXT(B1658,"0000"),B1658),Addendum!G:G,"X")&gt;0,7%,0)</f>
        <v>0</v>
      </c>
      <c r="L1658" s="31">
        <f>IF(COUNTIFS(Addendum!C:C,A1658,Addendum!D:D,IF(ISNUMBER(B1658),TEXT(B1658,"0000"),B1658),Addendum!I:I,"X")&gt;0,10%,0)</f>
        <v>0</v>
      </c>
      <c r="M1658" s="34">
        <f t="shared" si="50"/>
        <v>0</v>
      </c>
      <c r="N1658" s="17">
        <f t="shared" si="51"/>
        <v>12127.56</v>
      </c>
    </row>
    <row r="1659" spans="1:14" ht="30" x14ac:dyDescent="0.25">
      <c r="A1659" s="14" t="s">
        <v>2280</v>
      </c>
      <c r="B1659" s="14" t="s">
        <v>307</v>
      </c>
      <c r="C1659" s="15" t="s">
        <v>2281</v>
      </c>
      <c r="D1659" s="14" t="s">
        <v>1745</v>
      </c>
      <c r="E1659" s="14" t="s">
        <v>1747</v>
      </c>
      <c r="F1659" s="17" t="s">
        <v>2995</v>
      </c>
      <c r="G1659" s="14">
        <v>15000</v>
      </c>
      <c r="H1659" s="14">
        <v>13500</v>
      </c>
      <c r="I1659" s="31">
        <f>IF(COUNTIFS(Addendum!C:C,A1659,Addendum!D:D,IF(ISNUMBER(B1659),TEXT(B1659,"0000"),B1659),Addendum!E:E,"X")&gt;0,4%,0)</f>
        <v>0</v>
      </c>
      <c r="J1659" s="31">
        <f>IF(COUNTIFS(Addendum!C:C,A1659,Addendum!D:D,IF(ISNUMBER(B1659),TEXT(B1659,"0000"),B1659),Addendum!F:F,"X")&gt;0,2.5%,0)</f>
        <v>0</v>
      </c>
      <c r="K1659" s="31">
        <f>IF(COUNTIFS(Addendum!C:C,A1659,Addendum!D:D,IF(ISNUMBER(B1659),TEXT(B1659,"0000"),B1659),Addendum!G:G,"X")&gt;0,7%,0)</f>
        <v>0</v>
      </c>
      <c r="L1659" s="31">
        <f>IF(COUNTIFS(Addendum!C:C,A1659,Addendum!D:D,IF(ISNUMBER(B1659),TEXT(B1659,"0000"),B1659),Addendum!I:I,"X")&gt;0,10%,0)</f>
        <v>0</v>
      </c>
      <c r="M1659" s="34">
        <f t="shared" si="50"/>
        <v>0</v>
      </c>
      <c r="N1659" s="17">
        <f t="shared" si="51"/>
        <v>13500</v>
      </c>
    </row>
    <row r="1660" spans="1:14" x14ac:dyDescent="0.25">
      <c r="A1660" s="14" t="s">
        <v>2280</v>
      </c>
      <c r="B1660" s="14" t="s">
        <v>258</v>
      </c>
      <c r="C1660" s="15" t="s">
        <v>2286</v>
      </c>
      <c r="D1660" s="14" t="s">
        <v>1752</v>
      </c>
      <c r="E1660" s="14" t="s">
        <v>1747</v>
      </c>
      <c r="F1660" s="17" t="s">
        <v>2995</v>
      </c>
      <c r="G1660" s="14">
        <v>251640</v>
      </c>
      <c r="H1660" s="14">
        <v>226476</v>
      </c>
      <c r="I1660" s="31">
        <f>IF(COUNTIFS(Addendum!C:C,A1660,Addendum!D:D,IF(ISNUMBER(B1660),TEXT(B1660,"0000"),B1660),Addendum!E:E,"X")&gt;0,4%,0)</f>
        <v>0</v>
      </c>
      <c r="J1660" s="31">
        <f>IF(COUNTIFS(Addendum!C:C,A1660,Addendum!D:D,IF(ISNUMBER(B1660),TEXT(B1660,"0000"),B1660),Addendum!F:F,"X")&gt;0,2.5%,0)</f>
        <v>0</v>
      </c>
      <c r="K1660" s="31">
        <f>IF(COUNTIFS(Addendum!C:C,A1660,Addendum!D:D,IF(ISNUMBER(B1660),TEXT(B1660,"0000"),B1660),Addendum!G:G,"X")&gt;0,7%,0)</f>
        <v>0</v>
      </c>
      <c r="L1660" s="31">
        <f>IF(COUNTIFS(Addendum!C:C,A1660,Addendum!D:D,IF(ISNUMBER(B1660),TEXT(B1660,"0000"),B1660),Addendum!I:I,"X")&gt;0,10%,0)</f>
        <v>0</v>
      </c>
      <c r="M1660" s="34">
        <f t="shared" si="50"/>
        <v>0</v>
      </c>
      <c r="N1660" s="17">
        <f t="shared" si="51"/>
        <v>226476</v>
      </c>
    </row>
    <row r="1661" spans="1:14" ht="30" x14ac:dyDescent="0.25">
      <c r="A1661" s="14" t="s">
        <v>2280</v>
      </c>
      <c r="B1661" s="14" t="s">
        <v>98</v>
      </c>
      <c r="C1661" s="15" t="s">
        <v>2288</v>
      </c>
      <c r="D1661" s="14" t="s">
        <v>1745</v>
      </c>
      <c r="E1661" s="14" t="s">
        <v>1747</v>
      </c>
      <c r="F1661" s="17" t="s">
        <v>2994</v>
      </c>
      <c r="G1661" s="14">
        <v>12000</v>
      </c>
      <c r="H1661" s="14">
        <v>8400</v>
      </c>
      <c r="I1661" s="31">
        <f>IF(COUNTIFS(Addendum!C:C,A1661,Addendum!D:D,IF(ISNUMBER(B1661),TEXT(B1661,"0000"),B1661),Addendum!E:E,"X")&gt;0,4%,0)</f>
        <v>0</v>
      </c>
      <c r="J1661" s="31">
        <f>IF(COUNTIFS(Addendum!C:C,A1661,Addendum!D:D,IF(ISNUMBER(B1661),TEXT(B1661,"0000"),B1661),Addendum!F:F,"X")&gt;0,2.5%,0)</f>
        <v>0</v>
      </c>
      <c r="K1661" s="31">
        <f>IF(COUNTIFS(Addendum!C:C,A1661,Addendum!D:D,IF(ISNUMBER(B1661),TEXT(B1661,"0000"),B1661),Addendum!G:G,"X")&gt;0,7%,0)</f>
        <v>0</v>
      </c>
      <c r="L1661" s="31">
        <f>IF(COUNTIFS(Addendum!C:C,A1661,Addendum!D:D,IF(ISNUMBER(B1661),TEXT(B1661,"0000"),B1661),Addendum!I:I,"X")&gt;0,10%,0)</f>
        <v>0</v>
      </c>
      <c r="M1661" s="34">
        <f t="shared" si="50"/>
        <v>0</v>
      </c>
      <c r="N1661" s="17">
        <f t="shared" si="51"/>
        <v>8400</v>
      </c>
    </row>
    <row r="1662" spans="1:14" x14ac:dyDescent="0.25">
      <c r="A1662" s="14" t="s">
        <v>2280</v>
      </c>
      <c r="B1662" s="14">
        <v>1</v>
      </c>
      <c r="C1662" s="15" t="s">
        <v>2283</v>
      </c>
      <c r="D1662" s="14" t="s">
        <v>1752</v>
      </c>
      <c r="E1662" s="14" t="s">
        <v>1746</v>
      </c>
      <c r="F1662" s="17" t="s">
        <v>2993</v>
      </c>
      <c r="G1662" s="14">
        <v>660366</v>
      </c>
      <c r="H1662" s="14">
        <v>462256.2</v>
      </c>
      <c r="I1662" s="31">
        <f>IF(COUNTIFS(Addendum!C:C,A1662,Addendum!D:D,IF(ISNUMBER(B1662),TEXT(B1662,"0000"),B1662),Addendum!E:E,"X")&gt;0,4%,0)</f>
        <v>0</v>
      </c>
      <c r="J1662" s="31">
        <f>IF(COUNTIFS(Addendum!C:C,A1662,Addendum!D:D,IF(ISNUMBER(B1662),TEXT(B1662,"0000"),B1662),Addendum!F:F,"X")&gt;0,2.5%,0)</f>
        <v>0</v>
      </c>
      <c r="K1662" s="31">
        <f>IF(COUNTIFS(Addendum!C:C,A1662,Addendum!D:D,IF(ISNUMBER(B1662),TEXT(B1662,"0000"),B1662),Addendum!G:G,"X")&gt;0,7%,0)</f>
        <v>0</v>
      </c>
      <c r="L1662" s="31">
        <f>IF(COUNTIFS(Addendum!C:C,A1662,Addendum!D:D,IF(ISNUMBER(B1662),TEXT(B1662,"0000"),B1662),Addendum!I:I,"X")&gt;0,10%,0)</f>
        <v>0</v>
      </c>
      <c r="M1662" s="34">
        <f t="shared" si="50"/>
        <v>0</v>
      </c>
      <c r="N1662" s="17">
        <f t="shared" si="51"/>
        <v>462256.2</v>
      </c>
    </row>
    <row r="1663" spans="1:14" x14ac:dyDescent="0.25">
      <c r="A1663" s="14" t="s">
        <v>2280</v>
      </c>
      <c r="B1663" s="14">
        <v>2</v>
      </c>
      <c r="C1663" s="15" t="s">
        <v>2285</v>
      </c>
      <c r="D1663" s="14" t="s">
        <v>1749</v>
      </c>
      <c r="E1663" s="14" t="s">
        <v>1746</v>
      </c>
      <c r="F1663" s="17" t="s">
        <v>2993</v>
      </c>
      <c r="G1663" s="14">
        <v>2994</v>
      </c>
      <c r="H1663" s="14">
        <v>2095.8000000000002</v>
      </c>
      <c r="I1663" s="31">
        <f>IF(COUNTIFS(Addendum!C:C,A1663,Addendum!D:D,IF(ISNUMBER(B1663),TEXT(B1663,"0000"),B1663),Addendum!E:E,"X")&gt;0,4%,0)</f>
        <v>0</v>
      </c>
      <c r="J1663" s="31">
        <f>IF(COUNTIFS(Addendum!C:C,A1663,Addendum!D:D,IF(ISNUMBER(B1663),TEXT(B1663,"0000"),B1663),Addendum!F:F,"X")&gt;0,2.5%,0)</f>
        <v>0</v>
      </c>
      <c r="K1663" s="31">
        <f>IF(COUNTIFS(Addendum!C:C,A1663,Addendum!D:D,IF(ISNUMBER(B1663),TEXT(B1663,"0000"),B1663),Addendum!G:G,"X")&gt;0,7%,0)</f>
        <v>0</v>
      </c>
      <c r="L1663" s="31">
        <f>IF(COUNTIFS(Addendum!C:C,A1663,Addendum!D:D,IF(ISNUMBER(B1663),TEXT(B1663,"0000"),B1663),Addendum!I:I,"X")&gt;0,10%,0)</f>
        <v>0</v>
      </c>
      <c r="M1663" s="34">
        <f t="shared" si="50"/>
        <v>0</v>
      </c>
      <c r="N1663" s="17">
        <f t="shared" si="51"/>
        <v>2095.8000000000002</v>
      </c>
    </row>
    <row r="1664" spans="1:14" ht="30" x14ac:dyDescent="0.25">
      <c r="A1664" s="14" t="s">
        <v>2280</v>
      </c>
      <c r="B1664" s="14" t="s">
        <v>98</v>
      </c>
      <c r="C1664" s="15" t="s">
        <v>2288</v>
      </c>
      <c r="D1664" s="14" t="s">
        <v>1749</v>
      </c>
      <c r="E1664" s="14" t="s">
        <v>1746</v>
      </c>
      <c r="F1664" s="17" t="s">
        <v>2994</v>
      </c>
      <c r="G1664" s="14">
        <v>1200</v>
      </c>
      <c r="H1664" s="14">
        <v>840</v>
      </c>
      <c r="I1664" s="31">
        <f>IF(COUNTIFS(Addendum!C:C,A1664,Addendum!D:D,IF(ISNUMBER(B1664),TEXT(B1664,"0000"),B1664),Addendum!E:E,"X")&gt;0,4%,0)</f>
        <v>0</v>
      </c>
      <c r="J1664" s="31">
        <f>IF(COUNTIFS(Addendum!C:C,A1664,Addendum!D:D,IF(ISNUMBER(B1664),TEXT(B1664,"0000"),B1664),Addendum!F:F,"X")&gt;0,2.5%,0)</f>
        <v>0</v>
      </c>
      <c r="K1664" s="31">
        <f>IF(COUNTIFS(Addendum!C:C,A1664,Addendum!D:D,IF(ISNUMBER(B1664),TEXT(B1664,"0000"),B1664),Addendum!G:G,"X")&gt;0,7%,0)</f>
        <v>0</v>
      </c>
      <c r="L1664" s="31">
        <f>IF(COUNTIFS(Addendum!C:C,A1664,Addendum!D:D,IF(ISNUMBER(B1664),TEXT(B1664,"0000"),B1664),Addendum!I:I,"X")&gt;0,10%,0)</f>
        <v>0</v>
      </c>
      <c r="M1664" s="34">
        <f t="shared" si="50"/>
        <v>0</v>
      </c>
      <c r="N1664" s="17">
        <f t="shared" si="51"/>
        <v>840</v>
      </c>
    </row>
    <row r="1665" spans="1:14" x14ac:dyDescent="0.25">
      <c r="A1665" s="14" t="s">
        <v>2280</v>
      </c>
      <c r="B1665" s="14" t="s">
        <v>258</v>
      </c>
      <c r="C1665" s="15" t="s">
        <v>2286</v>
      </c>
      <c r="D1665" s="14" t="s">
        <v>1749</v>
      </c>
      <c r="E1665" s="14" t="s">
        <v>1746</v>
      </c>
      <c r="F1665" s="17" t="s">
        <v>2995</v>
      </c>
      <c r="G1665" s="14">
        <v>8388</v>
      </c>
      <c r="H1665" s="14">
        <v>7549.2</v>
      </c>
      <c r="I1665" s="31">
        <f>IF(COUNTIFS(Addendum!C:C,A1665,Addendum!D:D,IF(ISNUMBER(B1665),TEXT(B1665,"0000"),B1665),Addendum!E:E,"X")&gt;0,4%,0)</f>
        <v>0</v>
      </c>
      <c r="J1665" s="31">
        <f>IF(COUNTIFS(Addendum!C:C,A1665,Addendum!D:D,IF(ISNUMBER(B1665),TEXT(B1665,"0000"),B1665),Addendum!F:F,"X")&gt;0,2.5%,0)</f>
        <v>0</v>
      </c>
      <c r="K1665" s="31">
        <f>IF(COUNTIFS(Addendum!C:C,A1665,Addendum!D:D,IF(ISNUMBER(B1665),TEXT(B1665,"0000"),B1665),Addendum!G:G,"X")&gt;0,7%,0)</f>
        <v>0</v>
      </c>
      <c r="L1665" s="31">
        <f>IF(COUNTIFS(Addendum!C:C,A1665,Addendum!D:D,IF(ISNUMBER(B1665),TEXT(B1665,"0000"),B1665),Addendum!I:I,"X")&gt;0,10%,0)</f>
        <v>0</v>
      </c>
      <c r="M1665" s="34">
        <f t="shared" si="50"/>
        <v>0</v>
      </c>
      <c r="N1665" s="17">
        <f t="shared" si="51"/>
        <v>7549.2</v>
      </c>
    </row>
    <row r="1666" spans="1:14" x14ac:dyDescent="0.25">
      <c r="A1666" s="14" t="s">
        <v>2280</v>
      </c>
      <c r="B1666" s="14">
        <v>1</v>
      </c>
      <c r="C1666" s="15" t="s">
        <v>2283</v>
      </c>
      <c r="D1666" s="14" t="s">
        <v>1752</v>
      </c>
      <c r="E1666" s="14" t="s">
        <v>1747</v>
      </c>
      <c r="F1666" s="17" t="s">
        <v>2993</v>
      </c>
      <c r="G1666" s="14">
        <v>628920</v>
      </c>
      <c r="H1666" s="14">
        <v>440244</v>
      </c>
      <c r="I1666" s="31">
        <f>IF(COUNTIFS(Addendum!C:C,A1666,Addendum!D:D,IF(ISNUMBER(B1666),TEXT(B1666,"0000"),B1666),Addendum!E:E,"X")&gt;0,4%,0)</f>
        <v>0</v>
      </c>
      <c r="J1666" s="31">
        <f>IF(COUNTIFS(Addendum!C:C,A1666,Addendum!D:D,IF(ISNUMBER(B1666),TEXT(B1666,"0000"),B1666),Addendum!F:F,"X")&gt;0,2.5%,0)</f>
        <v>0</v>
      </c>
      <c r="K1666" s="31">
        <f>IF(COUNTIFS(Addendum!C:C,A1666,Addendum!D:D,IF(ISNUMBER(B1666),TEXT(B1666,"0000"),B1666),Addendum!G:G,"X")&gt;0,7%,0)</f>
        <v>0</v>
      </c>
      <c r="L1666" s="31">
        <f>IF(COUNTIFS(Addendum!C:C,A1666,Addendum!D:D,IF(ISNUMBER(B1666),TEXT(B1666,"0000"),B1666),Addendum!I:I,"X")&gt;0,10%,0)</f>
        <v>0</v>
      </c>
      <c r="M1666" s="34">
        <f t="shared" si="50"/>
        <v>0</v>
      </c>
      <c r="N1666" s="17">
        <f t="shared" si="51"/>
        <v>440244</v>
      </c>
    </row>
    <row r="1667" spans="1:14" x14ac:dyDescent="0.25">
      <c r="A1667" s="14" t="s">
        <v>2280</v>
      </c>
      <c r="B1667" s="14" t="s">
        <v>325</v>
      </c>
      <c r="C1667" s="15" t="s">
        <v>2287</v>
      </c>
      <c r="D1667" s="14" t="s">
        <v>1745</v>
      </c>
      <c r="E1667" s="14" t="s">
        <v>1747</v>
      </c>
      <c r="F1667" s="17" t="s">
        <v>2994</v>
      </c>
      <c r="G1667" s="14">
        <v>115320</v>
      </c>
      <c r="H1667" s="14">
        <v>80724</v>
      </c>
      <c r="I1667" s="31">
        <f>IF(COUNTIFS(Addendum!C:C,A1667,Addendum!D:D,IF(ISNUMBER(B1667),TEXT(B1667,"0000"),B1667),Addendum!E:E,"X")&gt;0,4%,0)</f>
        <v>0</v>
      </c>
      <c r="J1667" s="31">
        <f>IF(COUNTIFS(Addendum!C:C,A1667,Addendum!D:D,IF(ISNUMBER(B1667),TEXT(B1667,"0000"),B1667),Addendum!F:F,"X")&gt;0,2.5%,0)</f>
        <v>0</v>
      </c>
      <c r="K1667" s="31">
        <f>IF(COUNTIFS(Addendum!C:C,A1667,Addendum!D:D,IF(ISNUMBER(B1667),TEXT(B1667,"0000"),B1667),Addendum!G:G,"X")&gt;0,7%,0)</f>
        <v>0</v>
      </c>
      <c r="L1667" s="31">
        <f>IF(COUNTIFS(Addendum!C:C,A1667,Addendum!D:D,IF(ISNUMBER(B1667),TEXT(B1667,"0000"),B1667),Addendum!I:I,"X")&gt;0,10%,0)</f>
        <v>0</v>
      </c>
      <c r="M1667" s="34">
        <f t="shared" si="50"/>
        <v>0</v>
      </c>
      <c r="N1667" s="17">
        <f t="shared" si="51"/>
        <v>80724</v>
      </c>
    </row>
    <row r="1668" spans="1:14" ht="30" x14ac:dyDescent="0.25">
      <c r="A1668" s="14" t="s">
        <v>2280</v>
      </c>
      <c r="B1668" s="14" t="s">
        <v>98</v>
      </c>
      <c r="C1668" s="15" t="s">
        <v>2288</v>
      </c>
      <c r="D1668" s="14" t="s">
        <v>1745</v>
      </c>
      <c r="E1668" s="14" t="s">
        <v>1746</v>
      </c>
      <c r="F1668" s="17" t="s">
        <v>2994</v>
      </c>
      <c r="G1668" s="14">
        <v>12600</v>
      </c>
      <c r="H1668" s="14">
        <v>8820</v>
      </c>
      <c r="I1668" s="31">
        <f>IF(COUNTIFS(Addendum!C:C,A1668,Addendum!D:D,IF(ISNUMBER(B1668),TEXT(B1668,"0000"),B1668),Addendum!E:E,"X")&gt;0,4%,0)</f>
        <v>0</v>
      </c>
      <c r="J1668" s="31">
        <f>IF(COUNTIFS(Addendum!C:C,A1668,Addendum!D:D,IF(ISNUMBER(B1668),TEXT(B1668,"0000"),B1668),Addendum!F:F,"X")&gt;0,2.5%,0)</f>
        <v>0</v>
      </c>
      <c r="K1668" s="31">
        <f>IF(COUNTIFS(Addendum!C:C,A1668,Addendum!D:D,IF(ISNUMBER(B1668),TEXT(B1668,"0000"),B1668),Addendum!G:G,"X")&gt;0,7%,0)</f>
        <v>0</v>
      </c>
      <c r="L1668" s="31">
        <f>IF(COUNTIFS(Addendum!C:C,A1668,Addendum!D:D,IF(ISNUMBER(B1668),TEXT(B1668,"0000"),B1668),Addendum!I:I,"X")&gt;0,10%,0)</f>
        <v>0</v>
      </c>
      <c r="M1668" s="34">
        <f t="shared" ref="M1668:M1731" si="52">IF(AND(I1668=0%,J1668=0%,K1668=0%,L1668=0%),0%,
IF(OR(TRIM(E1668)="OneTime",TRIM(D1668)=""),0%,
IF(
OR(
TRIM(D1668)="P1M",
AND(TRIM(D1668)="P1Y",TRIM(E1668)="Monthly"),
AND(TRIM(D1668)="P3Y",TRIM(E1668)="Monthly")
),
IF(AND(I1668=4%,J1668=0%,K1668=0%,L1668=0%),1%,
IF(AND(I1668=4%,J1668=2.5%,K1668=0%,L1668=10%),2%,
IF(AND(I1668=4%,J1668=0%,K1668=7%,L1668=10%),3%,0%))),
IF(
OR(
AND(TRIM(D1668)="P1Y",TRIM(E1668)="Annual"),
AND(TRIM(D1668)="P3Y",TRIM(E1668)="Annual"),
AND(TRIM(D1668)="P3Y",TRIM(E1668)="Triennial")
),
IF(AND(I1668=4%,J1668=0%,K1668=0%,L1668=0%),3%,
IF(AND(I1668=4%,J1668=2.5%,K1668=0%,L1668=10%),10%,
IF(AND(I1668=4%,J1668=0%,K1668=7%,L1668=10%),14%,0%))),
0%
))))</f>
        <v>0</v>
      </c>
      <c r="N1668" s="17">
        <f t="shared" ref="N1668:N1731" si="53">H1668-(H1668*M1668)</f>
        <v>8820</v>
      </c>
    </row>
    <row r="1669" spans="1:14" x14ac:dyDescent="0.25">
      <c r="A1669" s="14" t="s">
        <v>2280</v>
      </c>
      <c r="B1669" s="14">
        <v>2</v>
      </c>
      <c r="C1669" s="15" t="s">
        <v>2285</v>
      </c>
      <c r="D1669" s="14" t="s">
        <v>1752</v>
      </c>
      <c r="E1669" s="14" t="s">
        <v>1746</v>
      </c>
      <c r="F1669" s="17" t="s">
        <v>2993</v>
      </c>
      <c r="G1669" s="14">
        <v>94311</v>
      </c>
      <c r="H1669" s="14">
        <v>66017.88</v>
      </c>
      <c r="I1669" s="31">
        <f>IF(COUNTIFS(Addendum!C:C,A1669,Addendum!D:D,IF(ISNUMBER(B1669),TEXT(B1669,"0000"),B1669),Addendum!E:E,"X")&gt;0,4%,0)</f>
        <v>0</v>
      </c>
      <c r="J1669" s="31">
        <f>IF(COUNTIFS(Addendum!C:C,A1669,Addendum!D:D,IF(ISNUMBER(B1669),TEXT(B1669,"0000"),B1669),Addendum!F:F,"X")&gt;0,2.5%,0)</f>
        <v>0</v>
      </c>
      <c r="K1669" s="31">
        <f>IF(COUNTIFS(Addendum!C:C,A1669,Addendum!D:D,IF(ISNUMBER(B1669),TEXT(B1669,"0000"),B1669),Addendum!G:G,"X")&gt;0,7%,0)</f>
        <v>0</v>
      </c>
      <c r="L1669" s="31">
        <f>IF(COUNTIFS(Addendum!C:C,A1669,Addendum!D:D,IF(ISNUMBER(B1669),TEXT(B1669,"0000"),B1669),Addendum!I:I,"X")&gt;0,10%,0)</f>
        <v>0</v>
      </c>
      <c r="M1669" s="34">
        <f t="shared" si="52"/>
        <v>0</v>
      </c>
      <c r="N1669" s="17">
        <f t="shared" si="53"/>
        <v>66017.88</v>
      </c>
    </row>
    <row r="1670" spans="1:14" x14ac:dyDescent="0.25">
      <c r="A1670" s="14" t="s">
        <v>2280</v>
      </c>
      <c r="B1670" s="14">
        <v>2</v>
      </c>
      <c r="C1670" s="15" t="s">
        <v>2285</v>
      </c>
      <c r="D1670" s="14" t="s">
        <v>1745</v>
      </c>
      <c r="E1670" s="14" t="s">
        <v>1746</v>
      </c>
      <c r="F1670" s="17" t="s">
        <v>2993</v>
      </c>
      <c r="G1670" s="14">
        <v>31437</v>
      </c>
      <c r="H1670" s="14">
        <v>22005.96</v>
      </c>
      <c r="I1670" s="31">
        <f>IF(COUNTIFS(Addendum!C:C,A1670,Addendum!D:D,IF(ISNUMBER(B1670),TEXT(B1670,"0000"),B1670),Addendum!E:E,"X")&gt;0,4%,0)</f>
        <v>0</v>
      </c>
      <c r="J1670" s="31">
        <f>IF(COUNTIFS(Addendum!C:C,A1670,Addendum!D:D,IF(ISNUMBER(B1670),TEXT(B1670,"0000"),B1670),Addendum!F:F,"X")&gt;0,2.5%,0)</f>
        <v>0</v>
      </c>
      <c r="K1670" s="31">
        <f>IF(COUNTIFS(Addendum!C:C,A1670,Addendum!D:D,IF(ISNUMBER(B1670),TEXT(B1670,"0000"),B1670),Addendum!G:G,"X")&gt;0,7%,0)</f>
        <v>0</v>
      </c>
      <c r="L1670" s="31">
        <f>IF(COUNTIFS(Addendum!C:C,A1670,Addendum!D:D,IF(ISNUMBER(B1670),TEXT(B1670,"0000"),B1670),Addendum!I:I,"X")&gt;0,10%,0)</f>
        <v>0</v>
      </c>
      <c r="M1670" s="34">
        <f t="shared" si="52"/>
        <v>0</v>
      </c>
      <c r="N1670" s="17">
        <f t="shared" si="53"/>
        <v>22005.96</v>
      </c>
    </row>
    <row r="1671" spans="1:14" x14ac:dyDescent="0.25">
      <c r="A1671" s="14" t="s">
        <v>2280</v>
      </c>
      <c r="B1671" s="14">
        <v>2</v>
      </c>
      <c r="C1671" s="15" t="s">
        <v>2285</v>
      </c>
      <c r="D1671" s="14" t="s">
        <v>1752</v>
      </c>
      <c r="E1671" s="14" t="s">
        <v>1753</v>
      </c>
      <c r="F1671" s="17" t="s">
        <v>2993</v>
      </c>
      <c r="G1671" s="14">
        <v>89820</v>
      </c>
      <c r="H1671" s="14">
        <v>62874</v>
      </c>
      <c r="I1671" s="31">
        <f>IF(COUNTIFS(Addendum!C:C,A1671,Addendum!D:D,IF(ISNUMBER(B1671),TEXT(B1671,"0000"),B1671),Addendum!E:E,"X")&gt;0,4%,0)</f>
        <v>0</v>
      </c>
      <c r="J1671" s="31">
        <f>IF(COUNTIFS(Addendum!C:C,A1671,Addendum!D:D,IF(ISNUMBER(B1671),TEXT(B1671,"0000"),B1671),Addendum!F:F,"X")&gt;0,2.5%,0)</f>
        <v>0</v>
      </c>
      <c r="K1671" s="31">
        <f>IF(COUNTIFS(Addendum!C:C,A1671,Addendum!D:D,IF(ISNUMBER(B1671),TEXT(B1671,"0000"),B1671),Addendum!G:G,"X")&gt;0,7%,0)</f>
        <v>0</v>
      </c>
      <c r="L1671" s="31">
        <f>IF(COUNTIFS(Addendum!C:C,A1671,Addendum!D:D,IF(ISNUMBER(B1671),TEXT(B1671,"0000"),B1671),Addendum!I:I,"X")&gt;0,10%,0)</f>
        <v>0</v>
      </c>
      <c r="M1671" s="34">
        <f t="shared" si="52"/>
        <v>0</v>
      </c>
      <c r="N1671" s="17">
        <f t="shared" si="53"/>
        <v>62874</v>
      </c>
    </row>
    <row r="1672" spans="1:14" x14ac:dyDescent="0.25">
      <c r="A1672" s="14" t="s">
        <v>2280</v>
      </c>
      <c r="B1672" s="14">
        <v>1</v>
      </c>
      <c r="C1672" s="15" t="s">
        <v>2283</v>
      </c>
      <c r="D1672" s="14" t="s">
        <v>1745</v>
      </c>
      <c r="E1672" s="14" t="s">
        <v>1747</v>
      </c>
      <c r="F1672" s="17" t="s">
        <v>2993</v>
      </c>
      <c r="G1672" s="14">
        <v>209640</v>
      </c>
      <c r="H1672" s="14">
        <v>146748</v>
      </c>
      <c r="I1672" s="31">
        <f>IF(COUNTIFS(Addendum!C:C,A1672,Addendum!D:D,IF(ISNUMBER(B1672),TEXT(B1672,"0000"),B1672),Addendum!E:E,"X")&gt;0,4%,0)</f>
        <v>0</v>
      </c>
      <c r="J1672" s="31">
        <f>IF(COUNTIFS(Addendum!C:C,A1672,Addendum!D:D,IF(ISNUMBER(B1672),TEXT(B1672,"0000"),B1672),Addendum!F:F,"X")&gt;0,2.5%,0)</f>
        <v>0</v>
      </c>
      <c r="K1672" s="31">
        <f>IF(COUNTIFS(Addendum!C:C,A1672,Addendum!D:D,IF(ISNUMBER(B1672),TEXT(B1672,"0000"),B1672),Addendum!G:G,"X")&gt;0,7%,0)</f>
        <v>0</v>
      </c>
      <c r="L1672" s="31">
        <f>IF(COUNTIFS(Addendum!C:C,A1672,Addendum!D:D,IF(ISNUMBER(B1672),TEXT(B1672,"0000"),B1672),Addendum!I:I,"X")&gt;0,10%,0)</f>
        <v>0</v>
      </c>
      <c r="M1672" s="34">
        <f t="shared" si="52"/>
        <v>0</v>
      </c>
      <c r="N1672" s="17">
        <f t="shared" si="53"/>
        <v>146748</v>
      </c>
    </row>
    <row r="1673" spans="1:14" x14ac:dyDescent="0.25">
      <c r="A1673" s="14" t="s">
        <v>2280</v>
      </c>
      <c r="B1673" s="14">
        <v>1</v>
      </c>
      <c r="C1673" s="15" t="s">
        <v>2283</v>
      </c>
      <c r="D1673" s="14" t="s">
        <v>1749</v>
      </c>
      <c r="E1673" s="14" t="s">
        <v>1746</v>
      </c>
      <c r="F1673" s="17" t="s">
        <v>2993</v>
      </c>
      <c r="G1673" s="14">
        <v>20964</v>
      </c>
      <c r="H1673" s="14">
        <v>14674.8</v>
      </c>
      <c r="I1673" s="31">
        <f>IF(COUNTIFS(Addendum!C:C,A1673,Addendum!D:D,IF(ISNUMBER(B1673),TEXT(B1673,"0000"),B1673),Addendum!E:E,"X")&gt;0,4%,0)</f>
        <v>0</v>
      </c>
      <c r="J1673" s="31">
        <f>IF(COUNTIFS(Addendum!C:C,A1673,Addendum!D:D,IF(ISNUMBER(B1673),TEXT(B1673,"0000"),B1673),Addendum!F:F,"X")&gt;0,2.5%,0)</f>
        <v>0</v>
      </c>
      <c r="K1673" s="31">
        <f>IF(COUNTIFS(Addendum!C:C,A1673,Addendum!D:D,IF(ISNUMBER(B1673),TEXT(B1673,"0000"),B1673),Addendum!G:G,"X")&gt;0,7%,0)</f>
        <v>0</v>
      </c>
      <c r="L1673" s="31">
        <f>IF(COUNTIFS(Addendum!C:C,A1673,Addendum!D:D,IF(ISNUMBER(B1673),TEXT(B1673,"0000"),B1673),Addendum!I:I,"X")&gt;0,10%,0)</f>
        <v>0</v>
      </c>
      <c r="M1673" s="34">
        <f t="shared" si="52"/>
        <v>0</v>
      </c>
      <c r="N1673" s="17">
        <f t="shared" si="53"/>
        <v>14674.8</v>
      </c>
    </row>
    <row r="1674" spans="1:14" x14ac:dyDescent="0.25">
      <c r="A1674" s="14" t="s">
        <v>2280</v>
      </c>
      <c r="B1674" s="14">
        <v>1</v>
      </c>
      <c r="C1674" s="15" t="s">
        <v>2283</v>
      </c>
      <c r="D1674" s="14" t="s">
        <v>1745</v>
      </c>
      <c r="E1674" s="14" t="s">
        <v>1746</v>
      </c>
      <c r="F1674" s="17" t="s">
        <v>2993</v>
      </c>
      <c r="G1674" s="14">
        <v>220122</v>
      </c>
      <c r="H1674" s="14">
        <v>154085.4</v>
      </c>
      <c r="I1674" s="31">
        <f>IF(COUNTIFS(Addendum!C:C,A1674,Addendum!D:D,IF(ISNUMBER(B1674),TEXT(B1674,"0000"),B1674),Addendum!E:E,"X")&gt;0,4%,0)</f>
        <v>0</v>
      </c>
      <c r="J1674" s="31">
        <f>IF(COUNTIFS(Addendum!C:C,A1674,Addendum!D:D,IF(ISNUMBER(B1674),TEXT(B1674,"0000"),B1674),Addendum!F:F,"X")&gt;0,2.5%,0)</f>
        <v>0</v>
      </c>
      <c r="K1674" s="31">
        <f>IF(COUNTIFS(Addendum!C:C,A1674,Addendum!D:D,IF(ISNUMBER(B1674),TEXT(B1674,"0000"),B1674),Addendum!G:G,"X")&gt;0,7%,0)</f>
        <v>0</v>
      </c>
      <c r="L1674" s="31">
        <f>IF(COUNTIFS(Addendum!C:C,A1674,Addendum!D:D,IF(ISNUMBER(B1674),TEXT(B1674,"0000"),B1674),Addendum!I:I,"X")&gt;0,10%,0)</f>
        <v>0</v>
      </c>
      <c r="M1674" s="34">
        <f t="shared" si="52"/>
        <v>0</v>
      </c>
      <c r="N1674" s="17">
        <f t="shared" si="53"/>
        <v>154085.4</v>
      </c>
    </row>
    <row r="1675" spans="1:14" x14ac:dyDescent="0.25">
      <c r="A1675" s="14" t="s">
        <v>2280</v>
      </c>
      <c r="B1675" s="14" t="s">
        <v>258</v>
      </c>
      <c r="C1675" s="15" t="s">
        <v>2286</v>
      </c>
      <c r="D1675" s="14" t="s">
        <v>1745</v>
      </c>
      <c r="E1675" s="14" t="s">
        <v>1746</v>
      </c>
      <c r="F1675" s="17" t="s">
        <v>2995</v>
      </c>
      <c r="G1675" s="14">
        <v>88074</v>
      </c>
      <c r="H1675" s="14">
        <v>79266.600000000006</v>
      </c>
      <c r="I1675" s="31">
        <f>IF(COUNTIFS(Addendum!C:C,A1675,Addendum!D:D,IF(ISNUMBER(B1675),TEXT(B1675,"0000"),B1675),Addendum!E:E,"X")&gt;0,4%,0)</f>
        <v>0</v>
      </c>
      <c r="J1675" s="31">
        <f>IF(COUNTIFS(Addendum!C:C,A1675,Addendum!D:D,IF(ISNUMBER(B1675),TEXT(B1675,"0000"),B1675),Addendum!F:F,"X")&gt;0,2.5%,0)</f>
        <v>0</v>
      </c>
      <c r="K1675" s="31">
        <f>IF(COUNTIFS(Addendum!C:C,A1675,Addendum!D:D,IF(ISNUMBER(B1675),TEXT(B1675,"0000"),B1675),Addendum!G:G,"X")&gt;0,7%,0)</f>
        <v>0</v>
      </c>
      <c r="L1675" s="31">
        <f>IF(COUNTIFS(Addendum!C:C,A1675,Addendum!D:D,IF(ISNUMBER(B1675),TEXT(B1675,"0000"),B1675),Addendum!I:I,"X")&gt;0,10%,0)</f>
        <v>0</v>
      </c>
      <c r="M1675" s="34">
        <f t="shared" si="52"/>
        <v>0</v>
      </c>
      <c r="N1675" s="17">
        <f t="shared" si="53"/>
        <v>79266.600000000006</v>
      </c>
    </row>
    <row r="1676" spans="1:14" x14ac:dyDescent="0.25">
      <c r="A1676" s="14" t="s">
        <v>2280</v>
      </c>
      <c r="B1676" s="14">
        <v>2</v>
      </c>
      <c r="C1676" s="15" t="s">
        <v>2285</v>
      </c>
      <c r="D1676" s="14" t="s">
        <v>1752</v>
      </c>
      <c r="E1676" s="14" t="s">
        <v>1747</v>
      </c>
      <c r="F1676" s="17" t="s">
        <v>2993</v>
      </c>
      <c r="G1676" s="14">
        <v>89820</v>
      </c>
      <c r="H1676" s="14">
        <v>62874</v>
      </c>
      <c r="I1676" s="31">
        <f>IF(COUNTIFS(Addendum!C:C,A1676,Addendum!D:D,IF(ISNUMBER(B1676),TEXT(B1676,"0000"),B1676),Addendum!E:E,"X")&gt;0,4%,0)</f>
        <v>0</v>
      </c>
      <c r="J1676" s="31">
        <f>IF(COUNTIFS(Addendum!C:C,A1676,Addendum!D:D,IF(ISNUMBER(B1676),TEXT(B1676,"0000"),B1676),Addendum!F:F,"X")&gt;0,2.5%,0)</f>
        <v>0</v>
      </c>
      <c r="K1676" s="31">
        <f>IF(COUNTIFS(Addendum!C:C,A1676,Addendum!D:D,IF(ISNUMBER(B1676),TEXT(B1676,"0000"),B1676),Addendum!G:G,"X")&gt;0,7%,0)</f>
        <v>0</v>
      </c>
      <c r="L1676" s="31">
        <f>IF(COUNTIFS(Addendum!C:C,A1676,Addendum!D:D,IF(ISNUMBER(B1676),TEXT(B1676,"0000"),B1676),Addendum!I:I,"X")&gt;0,10%,0)</f>
        <v>0</v>
      </c>
      <c r="M1676" s="34">
        <f t="shared" si="52"/>
        <v>0</v>
      </c>
      <c r="N1676" s="17">
        <f t="shared" si="53"/>
        <v>62874</v>
      </c>
    </row>
    <row r="1677" spans="1:14" x14ac:dyDescent="0.25">
      <c r="A1677" s="14" t="s">
        <v>2289</v>
      </c>
      <c r="B1677" s="14">
        <v>4</v>
      </c>
      <c r="C1677" s="15" t="s">
        <v>2290</v>
      </c>
      <c r="D1677" s="14" t="s">
        <v>1749</v>
      </c>
      <c r="E1677" s="14" t="s">
        <v>1746</v>
      </c>
      <c r="F1677" s="17" t="s">
        <v>2995</v>
      </c>
      <c r="G1677" s="14">
        <v>11982</v>
      </c>
      <c r="H1677" s="14">
        <v>10783.8</v>
      </c>
      <c r="I1677" s="31">
        <f>IF(COUNTIFS(Addendum!C:C,A1677,Addendum!D:D,IF(ISNUMBER(B1677),TEXT(B1677,"0000"),B1677),Addendum!E:E,"X")&gt;0,4%,0)</f>
        <v>0</v>
      </c>
      <c r="J1677" s="31">
        <f>IF(COUNTIFS(Addendum!C:C,A1677,Addendum!D:D,IF(ISNUMBER(B1677),TEXT(B1677,"0000"),B1677),Addendum!F:F,"X")&gt;0,2.5%,0)</f>
        <v>0</v>
      </c>
      <c r="K1677" s="31">
        <f>IF(COUNTIFS(Addendum!C:C,A1677,Addendum!D:D,IF(ISNUMBER(B1677),TEXT(B1677,"0000"),B1677),Addendum!G:G,"X")&gt;0,7%,0)</f>
        <v>0</v>
      </c>
      <c r="L1677" s="31">
        <f>IF(COUNTIFS(Addendum!C:C,A1677,Addendum!D:D,IF(ISNUMBER(B1677),TEXT(B1677,"0000"),B1677),Addendum!I:I,"X")&gt;0,10%,0)</f>
        <v>0</v>
      </c>
      <c r="M1677" s="34">
        <f t="shared" si="52"/>
        <v>0</v>
      </c>
      <c r="N1677" s="17">
        <f t="shared" si="53"/>
        <v>10783.8</v>
      </c>
    </row>
    <row r="1678" spans="1:14" x14ac:dyDescent="0.25">
      <c r="A1678" s="14" t="s">
        <v>2289</v>
      </c>
      <c r="B1678" s="14">
        <v>1</v>
      </c>
      <c r="C1678" s="15" t="s">
        <v>2291</v>
      </c>
      <c r="D1678" s="14" t="s">
        <v>1752</v>
      </c>
      <c r="E1678" s="14" t="s">
        <v>1753</v>
      </c>
      <c r="F1678" s="17" t="s">
        <v>2993</v>
      </c>
      <c r="G1678" s="14">
        <v>898560</v>
      </c>
      <c r="H1678" s="14">
        <v>628992</v>
      </c>
      <c r="I1678" s="31">
        <f>IF(COUNTIFS(Addendum!C:C,A1678,Addendum!D:D,IF(ISNUMBER(B1678),TEXT(B1678,"0000"),B1678),Addendum!E:E,"X")&gt;0,4%,0)</f>
        <v>0</v>
      </c>
      <c r="J1678" s="31">
        <f>IF(COUNTIFS(Addendum!C:C,A1678,Addendum!D:D,IF(ISNUMBER(B1678),TEXT(B1678,"0000"),B1678),Addendum!F:F,"X")&gt;0,2.5%,0)</f>
        <v>0</v>
      </c>
      <c r="K1678" s="31">
        <f>IF(COUNTIFS(Addendum!C:C,A1678,Addendum!D:D,IF(ISNUMBER(B1678),TEXT(B1678,"0000"),B1678),Addendum!G:G,"X")&gt;0,7%,0)</f>
        <v>0</v>
      </c>
      <c r="L1678" s="31">
        <f>IF(COUNTIFS(Addendum!C:C,A1678,Addendum!D:D,IF(ISNUMBER(B1678),TEXT(B1678,"0000"),B1678),Addendum!I:I,"X")&gt;0,10%,0)</f>
        <v>0</v>
      </c>
      <c r="M1678" s="34">
        <f t="shared" si="52"/>
        <v>0</v>
      </c>
      <c r="N1678" s="17">
        <f t="shared" si="53"/>
        <v>628992</v>
      </c>
    </row>
    <row r="1679" spans="1:14" x14ac:dyDescent="0.25">
      <c r="A1679" s="14" t="s">
        <v>2289</v>
      </c>
      <c r="B1679" s="14">
        <v>3</v>
      </c>
      <c r="C1679" s="15" t="s">
        <v>2292</v>
      </c>
      <c r="D1679" s="14" t="s">
        <v>1749</v>
      </c>
      <c r="E1679" s="14" t="s">
        <v>1746</v>
      </c>
      <c r="F1679" s="17" t="s">
        <v>2994</v>
      </c>
      <c r="G1679" s="14">
        <v>16470</v>
      </c>
      <c r="H1679" s="14">
        <v>11529</v>
      </c>
      <c r="I1679" s="31">
        <f>IF(COUNTIFS(Addendum!C:C,A1679,Addendum!D:D,IF(ISNUMBER(B1679),TEXT(B1679,"0000"),B1679),Addendum!E:E,"X")&gt;0,4%,0)</f>
        <v>0</v>
      </c>
      <c r="J1679" s="31">
        <f>IF(COUNTIFS(Addendum!C:C,A1679,Addendum!D:D,IF(ISNUMBER(B1679),TEXT(B1679,"0000"),B1679),Addendum!F:F,"X")&gt;0,2.5%,0)</f>
        <v>0</v>
      </c>
      <c r="K1679" s="31">
        <f>IF(COUNTIFS(Addendum!C:C,A1679,Addendum!D:D,IF(ISNUMBER(B1679),TEXT(B1679,"0000"),B1679),Addendum!G:G,"X")&gt;0,7%,0)</f>
        <v>0</v>
      </c>
      <c r="L1679" s="31">
        <f>IF(COUNTIFS(Addendum!C:C,A1679,Addendum!D:D,IF(ISNUMBER(B1679),TEXT(B1679,"0000"),B1679),Addendum!I:I,"X")&gt;0,10%,0)</f>
        <v>0</v>
      </c>
      <c r="M1679" s="34">
        <f t="shared" si="52"/>
        <v>0</v>
      </c>
      <c r="N1679" s="17">
        <f t="shared" si="53"/>
        <v>11529</v>
      </c>
    </row>
    <row r="1680" spans="1:14" x14ac:dyDescent="0.25">
      <c r="A1680" s="14" t="s">
        <v>2289</v>
      </c>
      <c r="B1680" s="14">
        <v>1</v>
      </c>
      <c r="C1680" s="15" t="s">
        <v>2291</v>
      </c>
      <c r="D1680" s="14" t="s">
        <v>1745</v>
      </c>
      <c r="E1680" s="14" t="s">
        <v>1746</v>
      </c>
      <c r="F1680" s="17" t="s">
        <v>2993</v>
      </c>
      <c r="G1680" s="14">
        <v>314496</v>
      </c>
      <c r="H1680" s="14">
        <v>220147.20000000001</v>
      </c>
      <c r="I1680" s="31">
        <f>IF(COUNTIFS(Addendum!C:C,A1680,Addendum!D:D,IF(ISNUMBER(B1680),TEXT(B1680,"0000"),B1680),Addendum!E:E,"X")&gt;0,4%,0)</f>
        <v>0</v>
      </c>
      <c r="J1680" s="31">
        <f>IF(COUNTIFS(Addendum!C:C,A1680,Addendum!D:D,IF(ISNUMBER(B1680),TEXT(B1680,"0000"),B1680),Addendum!F:F,"X")&gt;0,2.5%,0)</f>
        <v>0</v>
      </c>
      <c r="K1680" s="31">
        <f>IF(COUNTIFS(Addendum!C:C,A1680,Addendum!D:D,IF(ISNUMBER(B1680),TEXT(B1680,"0000"),B1680),Addendum!G:G,"X")&gt;0,7%,0)</f>
        <v>0</v>
      </c>
      <c r="L1680" s="31">
        <f>IF(COUNTIFS(Addendum!C:C,A1680,Addendum!D:D,IF(ISNUMBER(B1680),TEXT(B1680,"0000"),B1680),Addendum!I:I,"X")&gt;0,10%,0)</f>
        <v>0</v>
      </c>
      <c r="M1680" s="34">
        <f t="shared" si="52"/>
        <v>0</v>
      </c>
      <c r="N1680" s="17">
        <f t="shared" si="53"/>
        <v>220147.20000000001</v>
      </c>
    </row>
    <row r="1681" spans="1:14" x14ac:dyDescent="0.25">
      <c r="A1681" s="14" t="s">
        <v>2289</v>
      </c>
      <c r="B1681" s="14">
        <v>2</v>
      </c>
      <c r="C1681" s="15" t="s">
        <v>2293</v>
      </c>
      <c r="D1681" s="14" t="s">
        <v>1745</v>
      </c>
      <c r="E1681" s="14" t="s">
        <v>1747</v>
      </c>
      <c r="F1681" s="17" t="s">
        <v>2994</v>
      </c>
      <c r="G1681" s="14">
        <v>119820</v>
      </c>
      <c r="H1681" s="14">
        <v>83874</v>
      </c>
      <c r="I1681" s="31">
        <f>IF(COUNTIFS(Addendum!C:C,A1681,Addendum!D:D,IF(ISNUMBER(B1681),TEXT(B1681,"0000"),B1681),Addendum!E:E,"X")&gt;0,4%,0)</f>
        <v>0</v>
      </c>
      <c r="J1681" s="31">
        <f>IF(COUNTIFS(Addendum!C:C,A1681,Addendum!D:D,IF(ISNUMBER(B1681),TEXT(B1681,"0000"),B1681),Addendum!F:F,"X")&gt;0,2.5%,0)</f>
        <v>0</v>
      </c>
      <c r="K1681" s="31">
        <f>IF(COUNTIFS(Addendum!C:C,A1681,Addendum!D:D,IF(ISNUMBER(B1681),TEXT(B1681,"0000"),B1681),Addendum!G:G,"X")&gt;0,7%,0)</f>
        <v>0</v>
      </c>
      <c r="L1681" s="31">
        <f>IF(COUNTIFS(Addendum!C:C,A1681,Addendum!D:D,IF(ISNUMBER(B1681),TEXT(B1681,"0000"),B1681),Addendum!I:I,"X")&gt;0,10%,0)</f>
        <v>0</v>
      </c>
      <c r="M1681" s="34">
        <f t="shared" si="52"/>
        <v>0</v>
      </c>
      <c r="N1681" s="17">
        <f t="shared" si="53"/>
        <v>83874</v>
      </c>
    </row>
    <row r="1682" spans="1:14" x14ac:dyDescent="0.25">
      <c r="A1682" s="14" t="s">
        <v>2289</v>
      </c>
      <c r="B1682" s="14">
        <v>1</v>
      </c>
      <c r="C1682" s="15" t="s">
        <v>2291</v>
      </c>
      <c r="D1682" s="14" t="s">
        <v>1745</v>
      </c>
      <c r="E1682" s="14" t="s">
        <v>1747</v>
      </c>
      <c r="F1682" s="17" t="s">
        <v>2993</v>
      </c>
      <c r="G1682" s="14">
        <v>299520</v>
      </c>
      <c r="H1682" s="14">
        <v>209664</v>
      </c>
      <c r="I1682" s="31">
        <f>IF(COUNTIFS(Addendum!C:C,A1682,Addendum!D:D,IF(ISNUMBER(B1682),TEXT(B1682,"0000"),B1682),Addendum!E:E,"X")&gt;0,4%,0)</f>
        <v>0</v>
      </c>
      <c r="J1682" s="31">
        <f>IF(COUNTIFS(Addendum!C:C,A1682,Addendum!D:D,IF(ISNUMBER(B1682),TEXT(B1682,"0000"),B1682),Addendum!F:F,"X")&gt;0,2.5%,0)</f>
        <v>0</v>
      </c>
      <c r="K1682" s="31">
        <f>IF(COUNTIFS(Addendum!C:C,A1682,Addendum!D:D,IF(ISNUMBER(B1682),TEXT(B1682,"0000"),B1682),Addendum!G:G,"X")&gt;0,7%,0)</f>
        <v>0</v>
      </c>
      <c r="L1682" s="31">
        <f>IF(COUNTIFS(Addendum!C:C,A1682,Addendum!D:D,IF(ISNUMBER(B1682),TEXT(B1682,"0000"),B1682),Addendum!I:I,"X")&gt;0,10%,0)</f>
        <v>0</v>
      </c>
      <c r="M1682" s="34">
        <f t="shared" si="52"/>
        <v>0</v>
      </c>
      <c r="N1682" s="17">
        <f t="shared" si="53"/>
        <v>209664</v>
      </c>
    </row>
    <row r="1683" spans="1:14" x14ac:dyDescent="0.25">
      <c r="A1683" s="14" t="s">
        <v>2289</v>
      </c>
      <c r="B1683" s="14">
        <v>4</v>
      </c>
      <c r="C1683" s="15" t="s">
        <v>2290</v>
      </c>
      <c r="D1683" s="14" t="s">
        <v>1745</v>
      </c>
      <c r="E1683" s="14" t="s">
        <v>1746</v>
      </c>
      <c r="F1683" s="17" t="s">
        <v>2995</v>
      </c>
      <c r="G1683" s="14">
        <v>125811</v>
      </c>
      <c r="H1683" s="14">
        <v>113230</v>
      </c>
      <c r="I1683" s="31">
        <f>IF(COUNTIFS(Addendum!C:C,A1683,Addendum!D:D,IF(ISNUMBER(B1683),TEXT(B1683,"0000"),B1683),Addendum!E:E,"X")&gt;0,4%,0)</f>
        <v>0</v>
      </c>
      <c r="J1683" s="31">
        <f>IF(COUNTIFS(Addendum!C:C,A1683,Addendum!D:D,IF(ISNUMBER(B1683),TEXT(B1683,"0000"),B1683),Addendum!F:F,"X")&gt;0,2.5%,0)</f>
        <v>0</v>
      </c>
      <c r="K1683" s="31">
        <f>IF(COUNTIFS(Addendum!C:C,A1683,Addendum!D:D,IF(ISNUMBER(B1683),TEXT(B1683,"0000"),B1683),Addendum!G:G,"X")&gt;0,7%,0)</f>
        <v>0</v>
      </c>
      <c r="L1683" s="31">
        <f>IF(COUNTIFS(Addendum!C:C,A1683,Addendum!D:D,IF(ISNUMBER(B1683),TEXT(B1683,"0000"),B1683),Addendum!I:I,"X")&gt;0,10%,0)</f>
        <v>0</v>
      </c>
      <c r="M1683" s="34">
        <f t="shared" si="52"/>
        <v>0</v>
      </c>
      <c r="N1683" s="17">
        <f t="shared" si="53"/>
        <v>113230</v>
      </c>
    </row>
    <row r="1684" spans="1:14" x14ac:dyDescent="0.25">
      <c r="A1684" s="14" t="s">
        <v>2289</v>
      </c>
      <c r="B1684" s="14">
        <v>1</v>
      </c>
      <c r="C1684" s="15" t="s">
        <v>2291</v>
      </c>
      <c r="D1684" s="14" t="s">
        <v>1752</v>
      </c>
      <c r="E1684" s="14" t="s">
        <v>1746</v>
      </c>
      <c r="F1684" s="17" t="s">
        <v>2993</v>
      </c>
      <c r="G1684" s="14">
        <v>943488</v>
      </c>
      <c r="H1684" s="14">
        <v>660441.59999999998</v>
      </c>
      <c r="I1684" s="31">
        <f>IF(COUNTIFS(Addendum!C:C,A1684,Addendum!D:D,IF(ISNUMBER(B1684),TEXT(B1684,"0000"),B1684),Addendum!E:E,"X")&gt;0,4%,0)</f>
        <v>0</v>
      </c>
      <c r="J1684" s="31">
        <f>IF(COUNTIFS(Addendum!C:C,A1684,Addendum!D:D,IF(ISNUMBER(B1684),TEXT(B1684,"0000"),B1684),Addendum!F:F,"X")&gt;0,2.5%,0)</f>
        <v>0</v>
      </c>
      <c r="K1684" s="31">
        <f>IF(COUNTIFS(Addendum!C:C,A1684,Addendum!D:D,IF(ISNUMBER(B1684),TEXT(B1684,"0000"),B1684),Addendum!G:G,"X")&gt;0,7%,0)</f>
        <v>0</v>
      </c>
      <c r="L1684" s="31">
        <f>IF(COUNTIFS(Addendum!C:C,A1684,Addendum!D:D,IF(ISNUMBER(B1684),TEXT(B1684,"0000"),B1684),Addendum!I:I,"X")&gt;0,10%,0)</f>
        <v>0</v>
      </c>
      <c r="M1684" s="34">
        <f t="shared" si="52"/>
        <v>0</v>
      </c>
      <c r="N1684" s="17">
        <f t="shared" si="53"/>
        <v>660441.59999999998</v>
      </c>
    </row>
    <row r="1685" spans="1:14" x14ac:dyDescent="0.25">
      <c r="A1685" s="14" t="s">
        <v>2289</v>
      </c>
      <c r="B1685" s="14">
        <v>2</v>
      </c>
      <c r="C1685" s="15" t="s">
        <v>2293</v>
      </c>
      <c r="D1685" s="14" t="s">
        <v>1745</v>
      </c>
      <c r="E1685" s="14" t="s">
        <v>1746</v>
      </c>
      <c r="F1685" s="17" t="s">
        <v>2994</v>
      </c>
      <c r="G1685" s="14">
        <v>125811</v>
      </c>
      <c r="H1685" s="14">
        <v>88067.76</v>
      </c>
      <c r="I1685" s="31">
        <f>IF(COUNTIFS(Addendum!C:C,A1685,Addendum!D:D,IF(ISNUMBER(B1685),TEXT(B1685,"0000"),B1685),Addendum!E:E,"X")&gt;0,4%,0)</f>
        <v>0</v>
      </c>
      <c r="J1685" s="31">
        <f>IF(COUNTIFS(Addendum!C:C,A1685,Addendum!D:D,IF(ISNUMBER(B1685),TEXT(B1685,"0000"),B1685),Addendum!F:F,"X")&gt;0,2.5%,0)</f>
        <v>0</v>
      </c>
      <c r="K1685" s="31">
        <f>IF(COUNTIFS(Addendum!C:C,A1685,Addendum!D:D,IF(ISNUMBER(B1685),TEXT(B1685,"0000"),B1685),Addendum!G:G,"X")&gt;0,7%,0)</f>
        <v>0</v>
      </c>
      <c r="L1685" s="31">
        <f>IF(COUNTIFS(Addendum!C:C,A1685,Addendum!D:D,IF(ISNUMBER(B1685),TEXT(B1685,"0000"),B1685),Addendum!I:I,"X")&gt;0,10%,0)</f>
        <v>0</v>
      </c>
      <c r="M1685" s="34">
        <f t="shared" si="52"/>
        <v>0</v>
      </c>
      <c r="N1685" s="17">
        <f t="shared" si="53"/>
        <v>88067.76</v>
      </c>
    </row>
    <row r="1686" spans="1:14" x14ac:dyDescent="0.25">
      <c r="A1686" s="14" t="s">
        <v>2289</v>
      </c>
      <c r="B1686" s="14">
        <v>1</v>
      </c>
      <c r="C1686" s="15" t="s">
        <v>2291</v>
      </c>
      <c r="D1686" s="14" t="s">
        <v>1749</v>
      </c>
      <c r="E1686" s="14" t="s">
        <v>1746</v>
      </c>
      <c r="F1686" s="17" t="s">
        <v>2993</v>
      </c>
      <c r="G1686" s="14">
        <v>29952</v>
      </c>
      <c r="H1686" s="14">
        <v>20966.400000000001</v>
      </c>
      <c r="I1686" s="31">
        <f>IF(COUNTIFS(Addendum!C:C,A1686,Addendum!D:D,IF(ISNUMBER(B1686),TEXT(B1686,"0000"),B1686),Addendum!E:E,"X")&gt;0,4%,0)</f>
        <v>0</v>
      </c>
      <c r="J1686" s="31">
        <f>IF(COUNTIFS(Addendum!C:C,A1686,Addendum!D:D,IF(ISNUMBER(B1686),TEXT(B1686,"0000"),B1686),Addendum!F:F,"X")&gt;0,2.5%,0)</f>
        <v>0</v>
      </c>
      <c r="K1686" s="31">
        <f>IF(COUNTIFS(Addendum!C:C,A1686,Addendum!D:D,IF(ISNUMBER(B1686),TEXT(B1686,"0000"),B1686),Addendum!G:G,"X")&gt;0,7%,0)</f>
        <v>0</v>
      </c>
      <c r="L1686" s="31">
        <f>IF(COUNTIFS(Addendum!C:C,A1686,Addendum!D:D,IF(ISNUMBER(B1686),TEXT(B1686,"0000"),B1686),Addendum!I:I,"X")&gt;0,10%,0)</f>
        <v>0</v>
      </c>
      <c r="M1686" s="34">
        <f t="shared" si="52"/>
        <v>0</v>
      </c>
      <c r="N1686" s="17">
        <f t="shared" si="53"/>
        <v>20966.400000000001</v>
      </c>
    </row>
    <row r="1687" spans="1:14" x14ac:dyDescent="0.25">
      <c r="A1687" s="14" t="s">
        <v>2289</v>
      </c>
      <c r="B1687" s="14">
        <v>4</v>
      </c>
      <c r="C1687" s="15" t="s">
        <v>2290</v>
      </c>
      <c r="D1687" s="14" t="s">
        <v>1745</v>
      </c>
      <c r="E1687" s="14" t="s">
        <v>1747</v>
      </c>
      <c r="F1687" s="17" t="s">
        <v>2995</v>
      </c>
      <c r="G1687" s="14">
        <v>119820</v>
      </c>
      <c r="H1687" s="14">
        <v>107838</v>
      </c>
      <c r="I1687" s="31">
        <f>IF(COUNTIFS(Addendum!C:C,A1687,Addendum!D:D,IF(ISNUMBER(B1687),TEXT(B1687,"0000"),B1687),Addendum!E:E,"X")&gt;0,4%,0)</f>
        <v>0</v>
      </c>
      <c r="J1687" s="31">
        <f>IF(COUNTIFS(Addendum!C:C,A1687,Addendum!D:D,IF(ISNUMBER(B1687),TEXT(B1687,"0000"),B1687),Addendum!F:F,"X")&gt;0,2.5%,0)</f>
        <v>0</v>
      </c>
      <c r="K1687" s="31">
        <f>IF(COUNTIFS(Addendum!C:C,A1687,Addendum!D:D,IF(ISNUMBER(B1687),TEXT(B1687,"0000"),B1687),Addendum!G:G,"X")&gt;0,7%,0)</f>
        <v>0</v>
      </c>
      <c r="L1687" s="31">
        <f>IF(COUNTIFS(Addendum!C:C,A1687,Addendum!D:D,IF(ISNUMBER(B1687),TEXT(B1687,"0000"),B1687),Addendum!I:I,"X")&gt;0,10%,0)</f>
        <v>0</v>
      </c>
      <c r="M1687" s="34">
        <f t="shared" si="52"/>
        <v>0</v>
      </c>
      <c r="N1687" s="17">
        <f t="shared" si="53"/>
        <v>107838</v>
      </c>
    </row>
    <row r="1688" spans="1:14" x14ac:dyDescent="0.25">
      <c r="A1688" s="14" t="s">
        <v>2289</v>
      </c>
      <c r="B1688" s="14">
        <v>3</v>
      </c>
      <c r="C1688" s="15" t="s">
        <v>2292</v>
      </c>
      <c r="D1688" s="14" t="s">
        <v>1745</v>
      </c>
      <c r="E1688" s="14" t="s">
        <v>1746</v>
      </c>
      <c r="F1688" s="17" t="s">
        <v>2994</v>
      </c>
      <c r="G1688" s="14">
        <v>172935</v>
      </c>
      <c r="H1688" s="14">
        <v>121054.6</v>
      </c>
      <c r="I1688" s="31">
        <f>IF(COUNTIFS(Addendum!C:C,A1688,Addendum!D:D,IF(ISNUMBER(B1688),TEXT(B1688,"0000"),B1688),Addendum!E:E,"X")&gt;0,4%,0)</f>
        <v>0</v>
      </c>
      <c r="J1688" s="31">
        <f>IF(COUNTIFS(Addendum!C:C,A1688,Addendum!D:D,IF(ISNUMBER(B1688),TEXT(B1688,"0000"),B1688),Addendum!F:F,"X")&gt;0,2.5%,0)</f>
        <v>0</v>
      </c>
      <c r="K1688" s="31">
        <f>IF(COUNTIFS(Addendum!C:C,A1688,Addendum!D:D,IF(ISNUMBER(B1688),TEXT(B1688,"0000"),B1688),Addendum!G:G,"X")&gt;0,7%,0)</f>
        <v>0</v>
      </c>
      <c r="L1688" s="31">
        <f>IF(COUNTIFS(Addendum!C:C,A1688,Addendum!D:D,IF(ISNUMBER(B1688),TEXT(B1688,"0000"),B1688),Addendum!I:I,"X")&gt;0,10%,0)</f>
        <v>0</v>
      </c>
      <c r="M1688" s="34">
        <f t="shared" si="52"/>
        <v>0</v>
      </c>
      <c r="N1688" s="17">
        <f t="shared" si="53"/>
        <v>121054.6</v>
      </c>
    </row>
    <row r="1689" spans="1:14" x14ac:dyDescent="0.25">
      <c r="A1689" s="14" t="s">
        <v>2289</v>
      </c>
      <c r="B1689" s="14">
        <v>2</v>
      </c>
      <c r="C1689" s="15" t="s">
        <v>2293</v>
      </c>
      <c r="D1689" s="14" t="s">
        <v>1749</v>
      </c>
      <c r="E1689" s="14" t="s">
        <v>1746</v>
      </c>
      <c r="F1689" s="17" t="s">
        <v>2994</v>
      </c>
      <c r="G1689" s="14">
        <v>11982</v>
      </c>
      <c r="H1689" s="14">
        <v>8387.4</v>
      </c>
      <c r="I1689" s="31">
        <f>IF(COUNTIFS(Addendum!C:C,A1689,Addendum!D:D,IF(ISNUMBER(B1689),TEXT(B1689,"0000"),B1689),Addendum!E:E,"X")&gt;0,4%,0)</f>
        <v>0</v>
      </c>
      <c r="J1689" s="31">
        <f>IF(COUNTIFS(Addendum!C:C,A1689,Addendum!D:D,IF(ISNUMBER(B1689),TEXT(B1689,"0000"),B1689),Addendum!F:F,"X")&gt;0,2.5%,0)</f>
        <v>0</v>
      </c>
      <c r="K1689" s="31">
        <f>IF(COUNTIFS(Addendum!C:C,A1689,Addendum!D:D,IF(ISNUMBER(B1689),TEXT(B1689,"0000"),B1689),Addendum!G:G,"X")&gt;0,7%,0)</f>
        <v>0</v>
      </c>
      <c r="L1689" s="31">
        <f>IF(COUNTIFS(Addendum!C:C,A1689,Addendum!D:D,IF(ISNUMBER(B1689),TEXT(B1689,"0000"),B1689),Addendum!I:I,"X")&gt;0,10%,0)</f>
        <v>0</v>
      </c>
      <c r="M1689" s="34">
        <f t="shared" si="52"/>
        <v>0</v>
      </c>
      <c r="N1689" s="17">
        <f t="shared" si="53"/>
        <v>8387.4</v>
      </c>
    </row>
    <row r="1690" spans="1:14" x14ac:dyDescent="0.25">
      <c r="A1690" s="14" t="s">
        <v>2289</v>
      </c>
      <c r="B1690" s="14">
        <v>3</v>
      </c>
      <c r="C1690" s="15" t="s">
        <v>2292</v>
      </c>
      <c r="D1690" s="14" t="s">
        <v>1745</v>
      </c>
      <c r="E1690" s="14" t="s">
        <v>1747</v>
      </c>
      <c r="F1690" s="17" t="s">
        <v>2994</v>
      </c>
      <c r="G1690" s="14">
        <v>164700</v>
      </c>
      <c r="H1690" s="14">
        <v>115290</v>
      </c>
      <c r="I1690" s="31">
        <f>IF(COUNTIFS(Addendum!C:C,A1690,Addendum!D:D,IF(ISNUMBER(B1690),TEXT(B1690,"0000"),B1690),Addendum!E:E,"X")&gt;0,4%,0)</f>
        <v>0</v>
      </c>
      <c r="J1690" s="31">
        <f>IF(COUNTIFS(Addendum!C:C,A1690,Addendum!D:D,IF(ISNUMBER(B1690),TEXT(B1690,"0000"),B1690),Addendum!F:F,"X")&gt;0,2.5%,0)</f>
        <v>0</v>
      </c>
      <c r="K1690" s="31">
        <f>IF(COUNTIFS(Addendum!C:C,A1690,Addendum!D:D,IF(ISNUMBER(B1690),TEXT(B1690,"0000"),B1690),Addendum!G:G,"X")&gt;0,7%,0)</f>
        <v>0</v>
      </c>
      <c r="L1690" s="31">
        <f>IF(COUNTIFS(Addendum!C:C,A1690,Addendum!D:D,IF(ISNUMBER(B1690),TEXT(B1690,"0000"),B1690),Addendum!I:I,"X")&gt;0,10%,0)</f>
        <v>0</v>
      </c>
      <c r="M1690" s="34">
        <f t="shared" si="52"/>
        <v>0</v>
      </c>
      <c r="N1690" s="17">
        <f t="shared" si="53"/>
        <v>115290</v>
      </c>
    </row>
    <row r="1691" spans="1:14" x14ac:dyDescent="0.25">
      <c r="A1691" s="14" t="s">
        <v>2289</v>
      </c>
      <c r="B1691" s="14">
        <v>1</v>
      </c>
      <c r="C1691" s="15" t="s">
        <v>2291</v>
      </c>
      <c r="D1691" s="14" t="s">
        <v>1752</v>
      </c>
      <c r="E1691" s="14" t="s">
        <v>1747</v>
      </c>
      <c r="F1691" s="17" t="s">
        <v>2993</v>
      </c>
      <c r="G1691" s="14">
        <v>898560</v>
      </c>
      <c r="H1691" s="14">
        <v>628992</v>
      </c>
      <c r="I1691" s="31">
        <f>IF(COUNTIFS(Addendum!C:C,A1691,Addendum!D:D,IF(ISNUMBER(B1691),TEXT(B1691,"0000"),B1691),Addendum!E:E,"X")&gt;0,4%,0)</f>
        <v>0</v>
      </c>
      <c r="J1691" s="31">
        <f>IF(COUNTIFS(Addendum!C:C,A1691,Addendum!D:D,IF(ISNUMBER(B1691),TEXT(B1691,"0000"),B1691),Addendum!F:F,"X")&gt;0,2.5%,0)</f>
        <v>0</v>
      </c>
      <c r="K1691" s="31">
        <f>IF(COUNTIFS(Addendum!C:C,A1691,Addendum!D:D,IF(ISNUMBER(B1691),TEXT(B1691,"0000"),B1691),Addendum!G:G,"X")&gt;0,7%,0)</f>
        <v>0</v>
      </c>
      <c r="L1691" s="31">
        <f>IF(COUNTIFS(Addendum!C:C,A1691,Addendum!D:D,IF(ISNUMBER(B1691),TEXT(B1691,"0000"),B1691),Addendum!I:I,"X")&gt;0,10%,0)</f>
        <v>0</v>
      </c>
      <c r="M1691" s="34">
        <f t="shared" si="52"/>
        <v>0</v>
      </c>
      <c r="N1691" s="17">
        <f t="shared" si="53"/>
        <v>628992</v>
      </c>
    </row>
    <row r="1692" spans="1:14" x14ac:dyDescent="0.25">
      <c r="A1692" s="14" t="s">
        <v>2294</v>
      </c>
      <c r="B1692" s="14" t="s">
        <v>36</v>
      </c>
      <c r="C1692" s="15" t="s">
        <v>2295</v>
      </c>
      <c r="D1692" s="14" t="s">
        <v>1745</v>
      </c>
      <c r="E1692" s="14" t="s">
        <v>1747</v>
      </c>
      <c r="F1692" s="17" t="s">
        <v>2994</v>
      </c>
      <c r="G1692" s="14">
        <v>3180</v>
      </c>
      <c r="H1692" s="14">
        <v>2385</v>
      </c>
      <c r="I1692" s="31">
        <f>IF(COUNTIFS(Addendum!C:C,A1692,Addendum!D:D,IF(ISNUMBER(B1692),TEXT(B1692,"0000"),B1692),Addendum!E:E,"X")&gt;0,4%,0)</f>
        <v>0</v>
      </c>
      <c r="J1692" s="31">
        <f>IF(COUNTIFS(Addendum!C:C,A1692,Addendum!D:D,IF(ISNUMBER(B1692),TEXT(B1692,"0000"),B1692),Addendum!F:F,"X")&gt;0,2.5%,0)</f>
        <v>0</v>
      </c>
      <c r="K1692" s="31">
        <f>IF(COUNTIFS(Addendum!C:C,A1692,Addendum!D:D,IF(ISNUMBER(B1692),TEXT(B1692,"0000"),B1692),Addendum!G:G,"X")&gt;0,7%,0)</f>
        <v>0</v>
      </c>
      <c r="L1692" s="31">
        <f>IF(COUNTIFS(Addendum!C:C,A1692,Addendum!D:D,IF(ISNUMBER(B1692),TEXT(B1692,"0000"),B1692),Addendum!I:I,"X")&gt;0,10%,0)</f>
        <v>0</v>
      </c>
      <c r="M1692" s="34">
        <f t="shared" si="52"/>
        <v>0</v>
      </c>
      <c r="N1692" s="17">
        <f t="shared" si="53"/>
        <v>2385</v>
      </c>
    </row>
    <row r="1693" spans="1:14" x14ac:dyDescent="0.25">
      <c r="A1693" s="14" t="s">
        <v>2294</v>
      </c>
      <c r="B1693" s="14" t="s">
        <v>36</v>
      </c>
      <c r="C1693" s="15" t="s">
        <v>2295</v>
      </c>
      <c r="D1693" s="14" t="s">
        <v>1745</v>
      </c>
      <c r="E1693" s="14" t="s">
        <v>1746</v>
      </c>
      <c r="F1693" s="17" t="s">
        <v>2994</v>
      </c>
      <c r="G1693" s="14">
        <v>3339</v>
      </c>
      <c r="H1693" s="14">
        <v>2504.2800000000002</v>
      </c>
      <c r="I1693" s="31">
        <f>IF(COUNTIFS(Addendum!C:C,A1693,Addendum!D:D,IF(ISNUMBER(B1693),TEXT(B1693,"0000"),B1693),Addendum!E:E,"X")&gt;0,4%,0)</f>
        <v>0</v>
      </c>
      <c r="J1693" s="31">
        <f>IF(COUNTIFS(Addendum!C:C,A1693,Addendum!D:D,IF(ISNUMBER(B1693),TEXT(B1693,"0000"),B1693),Addendum!F:F,"X")&gt;0,2.5%,0)</f>
        <v>0</v>
      </c>
      <c r="K1693" s="31">
        <f>IF(COUNTIFS(Addendum!C:C,A1693,Addendum!D:D,IF(ISNUMBER(B1693),TEXT(B1693,"0000"),B1693),Addendum!G:G,"X")&gt;0,7%,0)</f>
        <v>0</v>
      </c>
      <c r="L1693" s="31">
        <f>IF(COUNTIFS(Addendum!C:C,A1693,Addendum!D:D,IF(ISNUMBER(B1693),TEXT(B1693,"0000"),B1693),Addendum!I:I,"X")&gt;0,10%,0)</f>
        <v>0</v>
      </c>
      <c r="M1693" s="34">
        <f t="shared" si="52"/>
        <v>0</v>
      </c>
      <c r="N1693" s="17">
        <f t="shared" si="53"/>
        <v>2504.2800000000002</v>
      </c>
    </row>
    <row r="1694" spans="1:14" x14ac:dyDescent="0.25">
      <c r="A1694" s="14" t="s">
        <v>2294</v>
      </c>
      <c r="B1694" s="14">
        <v>1</v>
      </c>
      <c r="C1694" s="15" t="s">
        <v>2296</v>
      </c>
      <c r="D1694" s="14" t="s">
        <v>1752</v>
      </c>
      <c r="E1694" s="14" t="s">
        <v>1753</v>
      </c>
      <c r="F1694" s="17" t="s">
        <v>2993</v>
      </c>
      <c r="G1694" s="14">
        <v>23940</v>
      </c>
      <c r="H1694" s="14">
        <v>17955</v>
      </c>
      <c r="I1694" s="31">
        <f>IF(COUNTIFS(Addendum!C:C,A1694,Addendum!D:D,IF(ISNUMBER(B1694),TEXT(B1694,"0000"),B1694),Addendum!E:E,"X")&gt;0,4%,0)</f>
        <v>0</v>
      </c>
      <c r="J1694" s="31">
        <f>IF(COUNTIFS(Addendum!C:C,A1694,Addendum!D:D,IF(ISNUMBER(B1694),TEXT(B1694,"0000"),B1694),Addendum!F:F,"X")&gt;0,2.5%,0)</f>
        <v>0</v>
      </c>
      <c r="K1694" s="31">
        <f>IF(COUNTIFS(Addendum!C:C,A1694,Addendum!D:D,IF(ISNUMBER(B1694),TEXT(B1694,"0000"),B1694),Addendum!G:G,"X")&gt;0,7%,0)</f>
        <v>0</v>
      </c>
      <c r="L1694" s="31">
        <f>IF(COUNTIFS(Addendum!C:C,A1694,Addendum!D:D,IF(ISNUMBER(B1694),TEXT(B1694,"0000"),B1694),Addendum!I:I,"X")&gt;0,10%,0)</f>
        <v>0</v>
      </c>
      <c r="M1694" s="34">
        <f t="shared" si="52"/>
        <v>0</v>
      </c>
      <c r="N1694" s="17">
        <f t="shared" si="53"/>
        <v>17955</v>
      </c>
    </row>
    <row r="1695" spans="1:14" x14ac:dyDescent="0.25">
      <c r="A1695" s="14" t="s">
        <v>2294</v>
      </c>
      <c r="B1695" s="14">
        <v>1</v>
      </c>
      <c r="C1695" s="15" t="s">
        <v>2296</v>
      </c>
      <c r="D1695" s="14" t="s">
        <v>1745</v>
      </c>
      <c r="E1695" s="14" t="s">
        <v>1746</v>
      </c>
      <c r="F1695" s="17" t="s">
        <v>2993</v>
      </c>
      <c r="G1695" s="14">
        <v>8379</v>
      </c>
      <c r="H1695" s="14">
        <v>6284.28</v>
      </c>
      <c r="I1695" s="31">
        <f>IF(COUNTIFS(Addendum!C:C,A1695,Addendum!D:D,IF(ISNUMBER(B1695),TEXT(B1695,"0000"),B1695),Addendum!E:E,"X")&gt;0,4%,0)</f>
        <v>0</v>
      </c>
      <c r="J1695" s="31">
        <f>IF(COUNTIFS(Addendum!C:C,A1695,Addendum!D:D,IF(ISNUMBER(B1695),TEXT(B1695,"0000"),B1695),Addendum!F:F,"X")&gt;0,2.5%,0)</f>
        <v>0</v>
      </c>
      <c r="K1695" s="31">
        <f>IF(COUNTIFS(Addendum!C:C,A1695,Addendum!D:D,IF(ISNUMBER(B1695),TEXT(B1695,"0000"),B1695),Addendum!G:G,"X")&gt;0,7%,0)</f>
        <v>0</v>
      </c>
      <c r="L1695" s="31">
        <f>IF(COUNTIFS(Addendum!C:C,A1695,Addendum!D:D,IF(ISNUMBER(B1695),TEXT(B1695,"0000"),B1695),Addendum!I:I,"X")&gt;0,10%,0)</f>
        <v>0</v>
      </c>
      <c r="M1695" s="34">
        <f t="shared" si="52"/>
        <v>0</v>
      </c>
      <c r="N1695" s="17">
        <f t="shared" si="53"/>
        <v>6284.28</v>
      </c>
    </row>
    <row r="1696" spans="1:14" x14ac:dyDescent="0.25">
      <c r="A1696" s="14" t="s">
        <v>2294</v>
      </c>
      <c r="B1696" s="14" t="s">
        <v>36</v>
      </c>
      <c r="C1696" s="15" t="s">
        <v>2295</v>
      </c>
      <c r="D1696" s="14" t="s">
        <v>1749</v>
      </c>
      <c r="E1696" s="14" t="s">
        <v>1746</v>
      </c>
      <c r="F1696" s="17" t="s">
        <v>2994</v>
      </c>
      <c r="G1696" s="14">
        <v>318</v>
      </c>
      <c r="H1696" s="14">
        <v>238.5</v>
      </c>
      <c r="I1696" s="31">
        <f>IF(COUNTIFS(Addendum!C:C,A1696,Addendum!D:D,IF(ISNUMBER(B1696),TEXT(B1696,"0000"),B1696),Addendum!E:E,"X")&gt;0,4%,0)</f>
        <v>0</v>
      </c>
      <c r="J1696" s="31">
        <f>IF(COUNTIFS(Addendum!C:C,A1696,Addendum!D:D,IF(ISNUMBER(B1696),TEXT(B1696,"0000"),B1696),Addendum!F:F,"X")&gt;0,2.5%,0)</f>
        <v>0</v>
      </c>
      <c r="K1696" s="31">
        <f>IF(COUNTIFS(Addendum!C:C,A1696,Addendum!D:D,IF(ISNUMBER(B1696),TEXT(B1696,"0000"),B1696),Addendum!G:G,"X")&gt;0,7%,0)</f>
        <v>0</v>
      </c>
      <c r="L1696" s="31">
        <f>IF(COUNTIFS(Addendum!C:C,A1696,Addendum!D:D,IF(ISNUMBER(B1696),TEXT(B1696,"0000"),B1696),Addendum!I:I,"X")&gt;0,10%,0)</f>
        <v>0</v>
      </c>
      <c r="M1696" s="34">
        <f t="shared" si="52"/>
        <v>0</v>
      </c>
      <c r="N1696" s="17">
        <f t="shared" si="53"/>
        <v>238.5</v>
      </c>
    </row>
    <row r="1697" spans="1:14" x14ac:dyDescent="0.25">
      <c r="A1697" s="14" t="s">
        <v>2294</v>
      </c>
      <c r="B1697" s="14">
        <v>4</v>
      </c>
      <c r="C1697" s="15" t="s">
        <v>2297</v>
      </c>
      <c r="D1697" s="14" t="s">
        <v>1752</v>
      </c>
      <c r="E1697" s="14" t="s">
        <v>1746</v>
      </c>
      <c r="F1697" s="17" t="s">
        <v>2993</v>
      </c>
      <c r="G1697" s="14">
        <v>15120</v>
      </c>
      <c r="H1697" s="14">
        <v>10584</v>
      </c>
      <c r="I1697" s="31">
        <f>IF(COUNTIFS(Addendum!C:C,A1697,Addendum!D:D,IF(ISNUMBER(B1697),TEXT(B1697,"0000"),B1697),Addendum!E:E,"X")&gt;0,4%,0)</f>
        <v>0</v>
      </c>
      <c r="J1697" s="31">
        <f>IF(COUNTIFS(Addendum!C:C,A1697,Addendum!D:D,IF(ISNUMBER(B1697),TEXT(B1697,"0000"),B1697),Addendum!F:F,"X")&gt;0,2.5%,0)</f>
        <v>0</v>
      </c>
      <c r="K1697" s="31">
        <f>IF(COUNTIFS(Addendum!C:C,A1697,Addendum!D:D,IF(ISNUMBER(B1697),TEXT(B1697,"0000"),B1697),Addendum!G:G,"X")&gt;0,7%,0)</f>
        <v>0</v>
      </c>
      <c r="L1697" s="31">
        <f>IF(COUNTIFS(Addendum!C:C,A1697,Addendum!D:D,IF(ISNUMBER(B1697),TEXT(B1697,"0000"),B1697),Addendum!I:I,"X")&gt;0,10%,0)</f>
        <v>0</v>
      </c>
      <c r="M1697" s="34">
        <f t="shared" si="52"/>
        <v>0</v>
      </c>
      <c r="N1697" s="17">
        <f t="shared" si="53"/>
        <v>10584</v>
      </c>
    </row>
    <row r="1698" spans="1:14" x14ac:dyDescent="0.25">
      <c r="A1698" s="14" t="s">
        <v>2294</v>
      </c>
      <c r="B1698" s="14">
        <v>1</v>
      </c>
      <c r="C1698" s="15" t="s">
        <v>2296</v>
      </c>
      <c r="D1698" s="14" t="s">
        <v>1752</v>
      </c>
      <c r="E1698" s="14" t="s">
        <v>1746</v>
      </c>
      <c r="F1698" s="17" t="s">
        <v>2993</v>
      </c>
      <c r="G1698" s="14">
        <v>25137</v>
      </c>
      <c r="H1698" s="14">
        <v>18852.84</v>
      </c>
      <c r="I1698" s="31">
        <f>IF(COUNTIFS(Addendum!C:C,A1698,Addendum!D:D,IF(ISNUMBER(B1698),TEXT(B1698,"0000"),B1698),Addendum!E:E,"X")&gt;0,4%,0)</f>
        <v>0</v>
      </c>
      <c r="J1698" s="31">
        <f>IF(COUNTIFS(Addendum!C:C,A1698,Addendum!D:D,IF(ISNUMBER(B1698),TEXT(B1698,"0000"),B1698),Addendum!F:F,"X")&gt;0,2.5%,0)</f>
        <v>0</v>
      </c>
      <c r="K1698" s="31">
        <f>IF(COUNTIFS(Addendum!C:C,A1698,Addendum!D:D,IF(ISNUMBER(B1698),TEXT(B1698,"0000"),B1698),Addendum!G:G,"X")&gt;0,7%,0)</f>
        <v>0</v>
      </c>
      <c r="L1698" s="31">
        <f>IF(COUNTIFS(Addendum!C:C,A1698,Addendum!D:D,IF(ISNUMBER(B1698),TEXT(B1698,"0000"),B1698),Addendum!I:I,"X")&gt;0,10%,0)</f>
        <v>0</v>
      </c>
      <c r="M1698" s="34">
        <f t="shared" si="52"/>
        <v>0</v>
      </c>
      <c r="N1698" s="17">
        <f t="shared" si="53"/>
        <v>18852.84</v>
      </c>
    </row>
    <row r="1699" spans="1:14" x14ac:dyDescent="0.25">
      <c r="A1699" s="14" t="s">
        <v>2294</v>
      </c>
      <c r="B1699" s="14">
        <v>1</v>
      </c>
      <c r="C1699" s="15" t="s">
        <v>2296</v>
      </c>
      <c r="D1699" s="14" t="s">
        <v>1749</v>
      </c>
      <c r="E1699" s="14" t="s">
        <v>1746</v>
      </c>
      <c r="F1699" s="17" t="s">
        <v>2993</v>
      </c>
      <c r="G1699" s="14">
        <v>798</v>
      </c>
      <c r="H1699" s="14">
        <v>598.5</v>
      </c>
      <c r="I1699" s="31">
        <f>IF(COUNTIFS(Addendum!C:C,A1699,Addendum!D:D,IF(ISNUMBER(B1699),TEXT(B1699,"0000"),B1699),Addendum!E:E,"X")&gt;0,4%,0)</f>
        <v>0</v>
      </c>
      <c r="J1699" s="31">
        <f>IF(COUNTIFS(Addendum!C:C,A1699,Addendum!D:D,IF(ISNUMBER(B1699),TEXT(B1699,"0000"),B1699),Addendum!F:F,"X")&gt;0,2.5%,0)</f>
        <v>0</v>
      </c>
      <c r="K1699" s="31">
        <f>IF(COUNTIFS(Addendum!C:C,A1699,Addendum!D:D,IF(ISNUMBER(B1699),TEXT(B1699,"0000"),B1699),Addendum!G:G,"X")&gt;0,7%,0)</f>
        <v>0</v>
      </c>
      <c r="L1699" s="31">
        <f>IF(COUNTIFS(Addendum!C:C,A1699,Addendum!D:D,IF(ISNUMBER(B1699),TEXT(B1699,"0000"),B1699),Addendum!I:I,"X")&gt;0,10%,0)</f>
        <v>0</v>
      </c>
      <c r="M1699" s="34">
        <f t="shared" si="52"/>
        <v>0</v>
      </c>
      <c r="N1699" s="17">
        <f t="shared" si="53"/>
        <v>598.5</v>
      </c>
    </row>
    <row r="1700" spans="1:14" x14ac:dyDescent="0.25">
      <c r="A1700" s="14" t="s">
        <v>2294</v>
      </c>
      <c r="B1700" s="14" t="s">
        <v>122</v>
      </c>
      <c r="C1700" s="15" t="s">
        <v>2298</v>
      </c>
      <c r="D1700" s="14" t="s">
        <v>1745</v>
      </c>
      <c r="E1700" s="14" t="s">
        <v>1746</v>
      </c>
      <c r="F1700" s="17" t="s">
        <v>2995</v>
      </c>
      <c r="G1700" s="14">
        <v>2079</v>
      </c>
      <c r="H1700" s="14">
        <v>1871.16</v>
      </c>
      <c r="I1700" s="31">
        <f>IF(COUNTIFS(Addendum!C:C,A1700,Addendum!D:D,IF(ISNUMBER(B1700),TEXT(B1700,"0000"),B1700),Addendum!E:E,"X")&gt;0,4%,0)</f>
        <v>0</v>
      </c>
      <c r="J1700" s="31">
        <f>IF(COUNTIFS(Addendum!C:C,A1700,Addendum!D:D,IF(ISNUMBER(B1700),TEXT(B1700,"0000"),B1700),Addendum!F:F,"X")&gt;0,2.5%,0)</f>
        <v>0</v>
      </c>
      <c r="K1700" s="31">
        <f>IF(COUNTIFS(Addendum!C:C,A1700,Addendum!D:D,IF(ISNUMBER(B1700),TEXT(B1700,"0000"),B1700),Addendum!G:G,"X")&gt;0,7%,0)</f>
        <v>0</v>
      </c>
      <c r="L1700" s="31">
        <f>IF(COUNTIFS(Addendum!C:C,A1700,Addendum!D:D,IF(ISNUMBER(B1700),TEXT(B1700,"0000"),B1700),Addendum!I:I,"X")&gt;0,10%,0)</f>
        <v>0</v>
      </c>
      <c r="M1700" s="34">
        <f t="shared" si="52"/>
        <v>0</v>
      </c>
      <c r="N1700" s="17">
        <f t="shared" si="53"/>
        <v>1871.16</v>
      </c>
    </row>
    <row r="1701" spans="1:14" x14ac:dyDescent="0.25">
      <c r="A1701" s="14" t="s">
        <v>2294</v>
      </c>
      <c r="B1701" s="14">
        <v>1</v>
      </c>
      <c r="C1701" s="15" t="s">
        <v>2296</v>
      </c>
      <c r="D1701" s="14" t="s">
        <v>1752</v>
      </c>
      <c r="E1701" s="14" t="s">
        <v>1747</v>
      </c>
      <c r="F1701" s="17" t="s">
        <v>2993</v>
      </c>
      <c r="G1701" s="14">
        <v>23940</v>
      </c>
      <c r="H1701" s="14">
        <v>17955</v>
      </c>
      <c r="I1701" s="31">
        <f>IF(COUNTIFS(Addendum!C:C,A1701,Addendum!D:D,IF(ISNUMBER(B1701),TEXT(B1701,"0000"),B1701),Addendum!E:E,"X")&gt;0,4%,0)</f>
        <v>0</v>
      </c>
      <c r="J1701" s="31">
        <f>IF(COUNTIFS(Addendum!C:C,A1701,Addendum!D:D,IF(ISNUMBER(B1701),TEXT(B1701,"0000"),B1701),Addendum!F:F,"X")&gt;0,2.5%,0)</f>
        <v>0</v>
      </c>
      <c r="K1701" s="31">
        <f>IF(COUNTIFS(Addendum!C:C,A1701,Addendum!D:D,IF(ISNUMBER(B1701),TEXT(B1701,"0000"),B1701),Addendum!G:G,"X")&gt;0,7%,0)</f>
        <v>0</v>
      </c>
      <c r="L1701" s="31">
        <f>IF(COUNTIFS(Addendum!C:C,A1701,Addendum!D:D,IF(ISNUMBER(B1701),TEXT(B1701,"0000"),B1701),Addendum!I:I,"X")&gt;0,10%,0)</f>
        <v>0</v>
      </c>
      <c r="M1701" s="34">
        <f t="shared" si="52"/>
        <v>0</v>
      </c>
      <c r="N1701" s="17">
        <f t="shared" si="53"/>
        <v>17955</v>
      </c>
    </row>
    <row r="1702" spans="1:14" x14ac:dyDescent="0.25">
      <c r="A1702" s="14" t="s">
        <v>2294</v>
      </c>
      <c r="B1702" s="14">
        <v>1</v>
      </c>
      <c r="C1702" s="15" t="s">
        <v>2296</v>
      </c>
      <c r="D1702" s="14" t="s">
        <v>1745</v>
      </c>
      <c r="E1702" s="14" t="s">
        <v>1747</v>
      </c>
      <c r="F1702" s="17" t="s">
        <v>2993</v>
      </c>
      <c r="G1702" s="14">
        <v>7980</v>
      </c>
      <c r="H1702" s="14">
        <v>5985</v>
      </c>
      <c r="I1702" s="31">
        <f>IF(COUNTIFS(Addendum!C:C,A1702,Addendum!D:D,IF(ISNUMBER(B1702),TEXT(B1702,"0000"),B1702),Addendum!E:E,"X")&gt;0,4%,0)</f>
        <v>0</v>
      </c>
      <c r="J1702" s="31">
        <f>IF(COUNTIFS(Addendum!C:C,A1702,Addendum!D:D,IF(ISNUMBER(B1702),TEXT(B1702,"0000"),B1702),Addendum!F:F,"X")&gt;0,2.5%,0)</f>
        <v>0</v>
      </c>
      <c r="K1702" s="31">
        <f>IF(COUNTIFS(Addendum!C:C,A1702,Addendum!D:D,IF(ISNUMBER(B1702),TEXT(B1702,"0000"),B1702),Addendum!G:G,"X")&gt;0,7%,0)</f>
        <v>0</v>
      </c>
      <c r="L1702" s="31">
        <f>IF(COUNTIFS(Addendum!C:C,A1702,Addendum!D:D,IF(ISNUMBER(B1702),TEXT(B1702,"0000"),B1702),Addendum!I:I,"X")&gt;0,10%,0)</f>
        <v>0</v>
      </c>
      <c r="M1702" s="34">
        <f t="shared" si="52"/>
        <v>0</v>
      </c>
      <c r="N1702" s="17">
        <f t="shared" si="53"/>
        <v>5985</v>
      </c>
    </row>
    <row r="1703" spans="1:14" x14ac:dyDescent="0.25">
      <c r="A1703" s="14" t="s">
        <v>2294</v>
      </c>
      <c r="B1703" s="14" t="s">
        <v>29</v>
      </c>
      <c r="C1703" s="15" t="s">
        <v>2299</v>
      </c>
      <c r="D1703" s="14" t="s">
        <v>1745</v>
      </c>
      <c r="E1703" s="14" t="s">
        <v>1746</v>
      </c>
      <c r="F1703" s="17" t="s">
        <v>2994</v>
      </c>
      <c r="G1703" s="14">
        <v>4599</v>
      </c>
      <c r="H1703" s="14">
        <v>3449.28</v>
      </c>
      <c r="I1703" s="31">
        <f>IF(COUNTIFS(Addendum!C:C,A1703,Addendum!D:D,IF(ISNUMBER(B1703),TEXT(B1703,"0000"),B1703),Addendum!E:E,"X")&gt;0,4%,0)</f>
        <v>0</v>
      </c>
      <c r="J1703" s="31">
        <f>IF(COUNTIFS(Addendum!C:C,A1703,Addendum!D:D,IF(ISNUMBER(B1703),TEXT(B1703,"0000"),B1703),Addendum!F:F,"X")&gt;0,2.5%,0)</f>
        <v>0</v>
      </c>
      <c r="K1703" s="31">
        <f>IF(COUNTIFS(Addendum!C:C,A1703,Addendum!D:D,IF(ISNUMBER(B1703),TEXT(B1703,"0000"),B1703),Addendum!G:G,"X")&gt;0,7%,0)</f>
        <v>0</v>
      </c>
      <c r="L1703" s="31">
        <f>IF(COUNTIFS(Addendum!C:C,A1703,Addendum!D:D,IF(ISNUMBER(B1703),TEXT(B1703,"0000"),B1703),Addendum!I:I,"X")&gt;0,10%,0)</f>
        <v>0</v>
      </c>
      <c r="M1703" s="34">
        <f t="shared" si="52"/>
        <v>0</v>
      </c>
      <c r="N1703" s="17">
        <f t="shared" si="53"/>
        <v>3449.28</v>
      </c>
    </row>
    <row r="1704" spans="1:14" x14ac:dyDescent="0.25">
      <c r="A1704" s="14" t="s">
        <v>2294</v>
      </c>
      <c r="B1704" s="14" t="s">
        <v>122</v>
      </c>
      <c r="C1704" s="15" t="s">
        <v>2298</v>
      </c>
      <c r="D1704" s="14" t="s">
        <v>1749</v>
      </c>
      <c r="E1704" s="14" t="s">
        <v>1746</v>
      </c>
      <c r="F1704" s="17" t="s">
        <v>2995</v>
      </c>
      <c r="G1704" s="14">
        <v>198</v>
      </c>
      <c r="H1704" s="14">
        <v>178.2</v>
      </c>
      <c r="I1704" s="31">
        <f>IF(COUNTIFS(Addendum!C:C,A1704,Addendum!D:D,IF(ISNUMBER(B1704),TEXT(B1704,"0000"),B1704),Addendum!E:E,"X")&gt;0,4%,0)</f>
        <v>0</v>
      </c>
      <c r="J1704" s="31">
        <f>IF(COUNTIFS(Addendum!C:C,A1704,Addendum!D:D,IF(ISNUMBER(B1704),TEXT(B1704,"0000"),B1704),Addendum!F:F,"X")&gt;0,2.5%,0)</f>
        <v>0</v>
      </c>
      <c r="K1704" s="31">
        <f>IF(COUNTIFS(Addendum!C:C,A1704,Addendum!D:D,IF(ISNUMBER(B1704),TEXT(B1704,"0000"),B1704),Addendum!G:G,"X")&gt;0,7%,0)</f>
        <v>0</v>
      </c>
      <c r="L1704" s="31">
        <f>IF(COUNTIFS(Addendum!C:C,A1704,Addendum!D:D,IF(ISNUMBER(B1704),TEXT(B1704,"0000"),B1704),Addendum!I:I,"X")&gt;0,10%,0)</f>
        <v>0</v>
      </c>
      <c r="M1704" s="34">
        <f t="shared" si="52"/>
        <v>0</v>
      </c>
      <c r="N1704" s="17">
        <f t="shared" si="53"/>
        <v>178.2</v>
      </c>
    </row>
    <row r="1705" spans="1:14" x14ac:dyDescent="0.25">
      <c r="A1705" s="14" t="s">
        <v>2294</v>
      </c>
      <c r="B1705" s="14">
        <v>4</v>
      </c>
      <c r="C1705" s="15" t="s">
        <v>2297</v>
      </c>
      <c r="D1705" s="14" t="s">
        <v>1752</v>
      </c>
      <c r="E1705" s="14" t="s">
        <v>1747</v>
      </c>
      <c r="F1705" s="17" t="s">
        <v>2993</v>
      </c>
      <c r="G1705" s="14">
        <v>14400</v>
      </c>
      <c r="H1705" s="14">
        <v>10080</v>
      </c>
      <c r="I1705" s="31">
        <f>IF(COUNTIFS(Addendum!C:C,A1705,Addendum!D:D,IF(ISNUMBER(B1705),TEXT(B1705,"0000"),B1705),Addendum!E:E,"X")&gt;0,4%,0)</f>
        <v>0</v>
      </c>
      <c r="J1705" s="31">
        <f>IF(COUNTIFS(Addendum!C:C,A1705,Addendum!D:D,IF(ISNUMBER(B1705),TEXT(B1705,"0000"),B1705),Addendum!F:F,"X")&gt;0,2.5%,0)</f>
        <v>0</v>
      </c>
      <c r="K1705" s="31">
        <f>IF(COUNTIFS(Addendum!C:C,A1705,Addendum!D:D,IF(ISNUMBER(B1705),TEXT(B1705,"0000"),B1705),Addendum!G:G,"X")&gt;0,7%,0)</f>
        <v>0</v>
      </c>
      <c r="L1705" s="31">
        <f>IF(COUNTIFS(Addendum!C:C,A1705,Addendum!D:D,IF(ISNUMBER(B1705),TEXT(B1705,"0000"),B1705),Addendum!I:I,"X")&gt;0,10%,0)</f>
        <v>0</v>
      </c>
      <c r="M1705" s="34">
        <f t="shared" si="52"/>
        <v>0</v>
      </c>
      <c r="N1705" s="17">
        <f t="shared" si="53"/>
        <v>10080</v>
      </c>
    </row>
    <row r="1706" spans="1:14" x14ac:dyDescent="0.25">
      <c r="A1706" s="14" t="s">
        <v>2294</v>
      </c>
      <c r="B1706" s="14" t="s">
        <v>29</v>
      </c>
      <c r="C1706" s="15" t="s">
        <v>2299</v>
      </c>
      <c r="D1706" s="14" t="s">
        <v>1745</v>
      </c>
      <c r="E1706" s="14" t="s">
        <v>1747</v>
      </c>
      <c r="F1706" s="17" t="s">
        <v>2994</v>
      </c>
      <c r="G1706" s="14">
        <v>4380</v>
      </c>
      <c r="H1706" s="14">
        <v>3285</v>
      </c>
      <c r="I1706" s="31">
        <f>IF(COUNTIFS(Addendum!C:C,A1706,Addendum!D:D,IF(ISNUMBER(B1706),TEXT(B1706,"0000"),B1706),Addendum!E:E,"X")&gt;0,4%,0)</f>
        <v>0</v>
      </c>
      <c r="J1706" s="31">
        <f>IF(COUNTIFS(Addendum!C:C,A1706,Addendum!D:D,IF(ISNUMBER(B1706),TEXT(B1706,"0000"),B1706),Addendum!F:F,"X")&gt;0,2.5%,0)</f>
        <v>0</v>
      </c>
      <c r="K1706" s="31">
        <f>IF(COUNTIFS(Addendum!C:C,A1706,Addendum!D:D,IF(ISNUMBER(B1706),TEXT(B1706,"0000"),B1706),Addendum!G:G,"X")&gt;0,7%,0)</f>
        <v>0</v>
      </c>
      <c r="L1706" s="31">
        <f>IF(COUNTIFS(Addendum!C:C,A1706,Addendum!D:D,IF(ISNUMBER(B1706),TEXT(B1706,"0000"),B1706),Addendum!I:I,"X")&gt;0,10%,0)</f>
        <v>0</v>
      </c>
      <c r="M1706" s="34">
        <f t="shared" si="52"/>
        <v>0</v>
      </c>
      <c r="N1706" s="17">
        <f t="shared" si="53"/>
        <v>3285</v>
      </c>
    </row>
    <row r="1707" spans="1:14" x14ac:dyDescent="0.25">
      <c r="A1707" s="14" t="s">
        <v>2294</v>
      </c>
      <c r="B1707" s="14">
        <v>4</v>
      </c>
      <c r="C1707" s="15" t="s">
        <v>2297</v>
      </c>
      <c r="D1707" s="14" t="s">
        <v>1749</v>
      </c>
      <c r="E1707" s="14" t="s">
        <v>1746</v>
      </c>
      <c r="F1707" s="17" t="s">
        <v>2993</v>
      </c>
      <c r="G1707" s="14">
        <v>480</v>
      </c>
      <c r="H1707" s="14">
        <v>336</v>
      </c>
      <c r="I1707" s="31">
        <f>IF(COUNTIFS(Addendum!C:C,A1707,Addendum!D:D,IF(ISNUMBER(B1707),TEXT(B1707,"0000"),B1707),Addendum!E:E,"X")&gt;0,4%,0)</f>
        <v>0</v>
      </c>
      <c r="J1707" s="31">
        <f>IF(COUNTIFS(Addendum!C:C,A1707,Addendum!D:D,IF(ISNUMBER(B1707),TEXT(B1707,"0000"),B1707),Addendum!F:F,"X")&gt;0,2.5%,0)</f>
        <v>0</v>
      </c>
      <c r="K1707" s="31">
        <f>IF(COUNTIFS(Addendum!C:C,A1707,Addendum!D:D,IF(ISNUMBER(B1707),TEXT(B1707,"0000"),B1707),Addendum!G:G,"X")&gt;0,7%,0)</f>
        <v>0</v>
      </c>
      <c r="L1707" s="31">
        <f>IF(COUNTIFS(Addendum!C:C,A1707,Addendum!D:D,IF(ISNUMBER(B1707),TEXT(B1707,"0000"),B1707),Addendum!I:I,"X")&gt;0,10%,0)</f>
        <v>0</v>
      </c>
      <c r="M1707" s="34">
        <f t="shared" si="52"/>
        <v>0</v>
      </c>
      <c r="N1707" s="17">
        <f t="shared" si="53"/>
        <v>336</v>
      </c>
    </row>
    <row r="1708" spans="1:14" x14ac:dyDescent="0.25">
      <c r="A1708" s="14" t="s">
        <v>2294</v>
      </c>
      <c r="B1708" s="14" t="s">
        <v>29</v>
      </c>
      <c r="C1708" s="15" t="s">
        <v>2299</v>
      </c>
      <c r="D1708" s="14" t="s">
        <v>1749</v>
      </c>
      <c r="E1708" s="14" t="s">
        <v>1746</v>
      </c>
      <c r="F1708" s="17" t="s">
        <v>2994</v>
      </c>
      <c r="G1708" s="14">
        <v>438</v>
      </c>
      <c r="H1708" s="14">
        <v>328.5</v>
      </c>
      <c r="I1708" s="31">
        <f>IF(COUNTIFS(Addendum!C:C,A1708,Addendum!D:D,IF(ISNUMBER(B1708),TEXT(B1708,"0000"),B1708),Addendum!E:E,"X")&gt;0,4%,0)</f>
        <v>0</v>
      </c>
      <c r="J1708" s="31">
        <f>IF(COUNTIFS(Addendum!C:C,A1708,Addendum!D:D,IF(ISNUMBER(B1708),TEXT(B1708,"0000"),B1708),Addendum!F:F,"X")&gt;0,2.5%,0)</f>
        <v>0</v>
      </c>
      <c r="K1708" s="31">
        <f>IF(COUNTIFS(Addendum!C:C,A1708,Addendum!D:D,IF(ISNUMBER(B1708),TEXT(B1708,"0000"),B1708),Addendum!G:G,"X")&gt;0,7%,0)</f>
        <v>0</v>
      </c>
      <c r="L1708" s="31">
        <f>IF(COUNTIFS(Addendum!C:C,A1708,Addendum!D:D,IF(ISNUMBER(B1708),TEXT(B1708,"0000"),B1708),Addendum!I:I,"X")&gt;0,10%,0)</f>
        <v>0</v>
      </c>
      <c r="M1708" s="34">
        <f t="shared" si="52"/>
        <v>0</v>
      </c>
      <c r="N1708" s="17">
        <f t="shared" si="53"/>
        <v>328.5</v>
      </c>
    </row>
    <row r="1709" spans="1:14" x14ac:dyDescent="0.25">
      <c r="A1709" s="14" t="s">
        <v>2294</v>
      </c>
      <c r="B1709" s="14" t="s">
        <v>122</v>
      </c>
      <c r="C1709" s="15" t="s">
        <v>2298</v>
      </c>
      <c r="D1709" s="14" t="s">
        <v>1745</v>
      </c>
      <c r="E1709" s="14" t="s">
        <v>1747</v>
      </c>
      <c r="F1709" s="17" t="s">
        <v>2995</v>
      </c>
      <c r="G1709" s="14">
        <v>1980</v>
      </c>
      <c r="H1709" s="14">
        <v>1782</v>
      </c>
      <c r="I1709" s="31">
        <f>IF(COUNTIFS(Addendum!C:C,A1709,Addendum!D:D,IF(ISNUMBER(B1709),TEXT(B1709,"0000"),B1709),Addendum!E:E,"X")&gt;0,4%,0)</f>
        <v>0</v>
      </c>
      <c r="J1709" s="31">
        <f>IF(COUNTIFS(Addendum!C:C,A1709,Addendum!D:D,IF(ISNUMBER(B1709),TEXT(B1709,"0000"),B1709),Addendum!F:F,"X")&gt;0,2.5%,0)</f>
        <v>0</v>
      </c>
      <c r="K1709" s="31">
        <f>IF(COUNTIFS(Addendum!C:C,A1709,Addendum!D:D,IF(ISNUMBER(B1709),TEXT(B1709,"0000"),B1709),Addendum!G:G,"X")&gt;0,7%,0)</f>
        <v>0</v>
      </c>
      <c r="L1709" s="31">
        <f>IF(COUNTIFS(Addendum!C:C,A1709,Addendum!D:D,IF(ISNUMBER(B1709),TEXT(B1709,"0000"),B1709),Addendum!I:I,"X")&gt;0,10%,0)</f>
        <v>0</v>
      </c>
      <c r="M1709" s="34">
        <f t="shared" si="52"/>
        <v>0</v>
      </c>
      <c r="N1709" s="17">
        <f t="shared" si="53"/>
        <v>1782</v>
      </c>
    </row>
    <row r="1710" spans="1:14" x14ac:dyDescent="0.25">
      <c r="A1710" s="14" t="s">
        <v>142</v>
      </c>
      <c r="B1710" s="14">
        <v>2</v>
      </c>
      <c r="C1710" s="15" t="s">
        <v>141</v>
      </c>
      <c r="D1710" s="14" t="s">
        <v>1752</v>
      </c>
      <c r="E1710" s="14" t="s">
        <v>1747</v>
      </c>
      <c r="F1710" s="17" t="s">
        <v>2993</v>
      </c>
      <c r="G1710" s="14">
        <v>1497.6</v>
      </c>
      <c r="H1710" s="14">
        <v>1198.08</v>
      </c>
      <c r="I1710" s="31">
        <f>IF(COUNTIFS(Addendum!C:C,A1710,Addendum!D:D,IF(ISNUMBER(B1710),TEXT(B1710,"0000"),B1710),Addendum!E:E,"X")&gt;0,4%,0)</f>
        <v>0.04</v>
      </c>
      <c r="J1710" s="31">
        <f>IF(COUNTIFS(Addendum!C:C,A1710,Addendum!D:D,IF(ISNUMBER(B1710),TEXT(B1710,"0000"),B1710),Addendum!F:F,"X")&gt;0,2.5%,0)</f>
        <v>0</v>
      </c>
      <c r="K1710" s="31">
        <f>IF(COUNTIFS(Addendum!C:C,A1710,Addendum!D:D,IF(ISNUMBER(B1710),TEXT(B1710,"0000"),B1710),Addendum!G:G,"X")&gt;0,7%,0)</f>
        <v>0</v>
      </c>
      <c r="L1710" s="31">
        <f>IF(COUNTIFS(Addendum!C:C,A1710,Addendum!D:D,IF(ISNUMBER(B1710),TEXT(B1710,"0000"),B1710),Addendum!I:I,"X")&gt;0,10%,0)</f>
        <v>0</v>
      </c>
      <c r="M1710" s="34">
        <f t="shared" si="52"/>
        <v>0.03</v>
      </c>
      <c r="N1710" s="17">
        <f t="shared" si="53"/>
        <v>1162.1376</v>
      </c>
    </row>
    <row r="1711" spans="1:14" x14ac:dyDescent="0.25">
      <c r="A1711" s="14" t="s">
        <v>142</v>
      </c>
      <c r="B1711" s="14">
        <v>2</v>
      </c>
      <c r="C1711" s="15" t="s">
        <v>141</v>
      </c>
      <c r="D1711" s="14" t="s">
        <v>1745</v>
      </c>
      <c r="E1711" s="14" t="s">
        <v>1747</v>
      </c>
      <c r="F1711" s="17" t="s">
        <v>2993</v>
      </c>
      <c r="G1711" s="14">
        <v>499.2</v>
      </c>
      <c r="H1711" s="14">
        <v>399.36</v>
      </c>
      <c r="I1711" s="31">
        <f>IF(COUNTIFS(Addendum!C:C,A1711,Addendum!D:D,IF(ISNUMBER(B1711),TEXT(B1711,"0000"),B1711),Addendum!E:E,"X")&gt;0,4%,0)</f>
        <v>0.04</v>
      </c>
      <c r="J1711" s="31">
        <f>IF(COUNTIFS(Addendum!C:C,A1711,Addendum!D:D,IF(ISNUMBER(B1711),TEXT(B1711,"0000"),B1711),Addendum!F:F,"X")&gt;0,2.5%,0)</f>
        <v>0</v>
      </c>
      <c r="K1711" s="31">
        <f>IF(COUNTIFS(Addendum!C:C,A1711,Addendum!D:D,IF(ISNUMBER(B1711),TEXT(B1711,"0000"),B1711),Addendum!G:G,"X")&gt;0,7%,0)</f>
        <v>0</v>
      </c>
      <c r="L1711" s="31">
        <f>IF(COUNTIFS(Addendum!C:C,A1711,Addendum!D:D,IF(ISNUMBER(B1711),TEXT(B1711,"0000"),B1711),Addendum!I:I,"X")&gt;0,10%,0)</f>
        <v>0</v>
      </c>
      <c r="M1711" s="34">
        <f t="shared" si="52"/>
        <v>0.03</v>
      </c>
      <c r="N1711" s="17">
        <f t="shared" si="53"/>
        <v>387.37920000000003</v>
      </c>
    </row>
    <row r="1712" spans="1:14" x14ac:dyDescent="0.25">
      <c r="A1712" s="14" t="s">
        <v>142</v>
      </c>
      <c r="B1712" s="14">
        <v>2</v>
      </c>
      <c r="C1712" s="15" t="s">
        <v>141</v>
      </c>
      <c r="D1712" s="14" t="s">
        <v>1752</v>
      </c>
      <c r="E1712" s="14" t="s">
        <v>1753</v>
      </c>
      <c r="F1712" s="17" t="s">
        <v>2993</v>
      </c>
      <c r="G1712" s="14">
        <v>1497.6</v>
      </c>
      <c r="H1712" s="14">
        <v>1198.08</v>
      </c>
      <c r="I1712" s="31">
        <f>IF(COUNTIFS(Addendum!C:C,A1712,Addendum!D:D,IF(ISNUMBER(B1712),TEXT(B1712,"0000"),B1712),Addendum!E:E,"X")&gt;0,4%,0)</f>
        <v>0.04</v>
      </c>
      <c r="J1712" s="31">
        <f>IF(COUNTIFS(Addendum!C:C,A1712,Addendum!D:D,IF(ISNUMBER(B1712),TEXT(B1712,"0000"),B1712),Addendum!F:F,"X")&gt;0,2.5%,0)</f>
        <v>0</v>
      </c>
      <c r="K1712" s="31">
        <f>IF(COUNTIFS(Addendum!C:C,A1712,Addendum!D:D,IF(ISNUMBER(B1712),TEXT(B1712,"0000"),B1712),Addendum!G:G,"X")&gt;0,7%,0)</f>
        <v>0</v>
      </c>
      <c r="L1712" s="31">
        <f>IF(COUNTIFS(Addendum!C:C,A1712,Addendum!D:D,IF(ISNUMBER(B1712),TEXT(B1712,"0000"),B1712),Addendum!I:I,"X")&gt;0,10%,0)</f>
        <v>0</v>
      </c>
      <c r="M1712" s="34">
        <f t="shared" si="52"/>
        <v>0.03</v>
      </c>
      <c r="N1712" s="17">
        <f t="shared" si="53"/>
        <v>1162.1376</v>
      </c>
    </row>
    <row r="1713" spans="1:14" x14ac:dyDescent="0.25">
      <c r="A1713" s="14" t="s">
        <v>142</v>
      </c>
      <c r="B1713" s="14">
        <v>2</v>
      </c>
      <c r="C1713" s="15" t="s">
        <v>141</v>
      </c>
      <c r="D1713" s="14" t="s">
        <v>1749</v>
      </c>
      <c r="E1713" s="14" t="s">
        <v>1746</v>
      </c>
      <c r="F1713" s="17" t="s">
        <v>2993</v>
      </c>
      <c r="G1713" s="14">
        <v>49.92</v>
      </c>
      <c r="H1713" s="14">
        <v>39.94</v>
      </c>
      <c r="I1713" s="31">
        <f>IF(COUNTIFS(Addendum!C:C,A1713,Addendum!D:D,IF(ISNUMBER(B1713),TEXT(B1713,"0000"),B1713),Addendum!E:E,"X")&gt;0,4%,0)</f>
        <v>0.04</v>
      </c>
      <c r="J1713" s="31">
        <f>IF(COUNTIFS(Addendum!C:C,A1713,Addendum!D:D,IF(ISNUMBER(B1713),TEXT(B1713,"0000"),B1713),Addendum!F:F,"X")&gt;0,2.5%,0)</f>
        <v>0</v>
      </c>
      <c r="K1713" s="31">
        <f>IF(COUNTIFS(Addendum!C:C,A1713,Addendum!D:D,IF(ISNUMBER(B1713),TEXT(B1713,"0000"),B1713),Addendum!G:G,"X")&gt;0,7%,0)</f>
        <v>0</v>
      </c>
      <c r="L1713" s="31">
        <f>IF(COUNTIFS(Addendum!C:C,A1713,Addendum!D:D,IF(ISNUMBER(B1713),TEXT(B1713,"0000"),B1713),Addendum!I:I,"X")&gt;0,10%,0)</f>
        <v>0</v>
      </c>
      <c r="M1713" s="34">
        <f t="shared" si="52"/>
        <v>0.01</v>
      </c>
      <c r="N1713" s="17">
        <f t="shared" si="53"/>
        <v>39.540599999999998</v>
      </c>
    </row>
    <row r="1714" spans="1:14" x14ac:dyDescent="0.25">
      <c r="A1714" s="14" t="s">
        <v>142</v>
      </c>
      <c r="B1714" s="14">
        <v>2</v>
      </c>
      <c r="C1714" s="15" t="s">
        <v>141</v>
      </c>
      <c r="D1714" s="14" t="s">
        <v>1745</v>
      </c>
      <c r="E1714" s="14" t="s">
        <v>1746</v>
      </c>
      <c r="F1714" s="17" t="s">
        <v>2993</v>
      </c>
      <c r="G1714" s="14">
        <v>524.16</v>
      </c>
      <c r="H1714" s="14">
        <v>419.28</v>
      </c>
      <c r="I1714" s="31">
        <f>IF(COUNTIFS(Addendum!C:C,A1714,Addendum!D:D,IF(ISNUMBER(B1714),TEXT(B1714,"0000"),B1714),Addendum!E:E,"X")&gt;0,4%,0)</f>
        <v>0.04</v>
      </c>
      <c r="J1714" s="31">
        <f>IF(COUNTIFS(Addendum!C:C,A1714,Addendum!D:D,IF(ISNUMBER(B1714),TEXT(B1714,"0000"),B1714),Addendum!F:F,"X")&gt;0,2.5%,0)</f>
        <v>0</v>
      </c>
      <c r="K1714" s="31">
        <f>IF(COUNTIFS(Addendum!C:C,A1714,Addendum!D:D,IF(ISNUMBER(B1714),TEXT(B1714,"0000"),B1714),Addendum!G:G,"X")&gt;0,7%,0)</f>
        <v>0</v>
      </c>
      <c r="L1714" s="31">
        <f>IF(COUNTIFS(Addendum!C:C,A1714,Addendum!D:D,IF(ISNUMBER(B1714),TEXT(B1714,"0000"),B1714),Addendum!I:I,"X")&gt;0,10%,0)</f>
        <v>0</v>
      </c>
      <c r="M1714" s="34">
        <f t="shared" si="52"/>
        <v>0.01</v>
      </c>
      <c r="N1714" s="17">
        <f t="shared" si="53"/>
        <v>415.0872</v>
      </c>
    </row>
    <row r="1715" spans="1:14" x14ac:dyDescent="0.25">
      <c r="A1715" s="14" t="s">
        <v>2300</v>
      </c>
      <c r="B1715" s="14" t="s">
        <v>256</v>
      </c>
      <c r="C1715" s="15" t="s">
        <v>2301</v>
      </c>
      <c r="D1715" s="14" t="s">
        <v>1749</v>
      </c>
      <c r="E1715" s="14" t="s">
        <v>1746</v>
      </c>
      <c r="F1715" s="17" t="s">
        <v>2994</v>
      </c>
      <c r="G1715" s="14">
        <v>239598</v>
      </c>
      <c r="H1715" s="14">
        <v>167718.6</v>
      </c>
      <c r="I1715" s="31">
        <f>IF(COUNTIFS(Addendum!C:C,A1715,Addendum!D:D,IF(ISNUMBER(B1715),TEXT(B1715,"0000"),B1715),Addendum!E:E,"X")&gt;0,4%,0)</f>
        <v>0</v>
      </c>
      <c r="J1715" s="31">
        <f>IF(COUNTIFS(Addendum!C:C,A1715,Addendum!D:D,IF(ISNUMBER(B1715),TEXT(B1715,"0000"),B1715),Addendum!F:F,"X")&gt;0,2.5%,0)</f>
        <v>0</v>
      </c>
      <c r="K1715" s="31">
        <f>IF(COUNTIFS(Addendum!C:C,A1715,Addendum!D:D,IF(ISNUMBER(B1715),TEXT(B1715,"0000"),B1715),Addendum!G:G,"X")&gt;0,7%,0)</f>
        <v>0</v>
      </c>
      <c r="L1715" s="31">
        <f>IF(COUNTIFS(Addendum!C:C,A1715,Addendum!D:D,IF(ISNUMBER(B1715),TEXT(B1715,"0000"),B1715),Addendum!I:I,"X")&gt;0,10%,0)</f>
        <v>0</v>
      </c>
      <c r="M1715" s="34">
        <f t="shared" si="52"/>
        <v>0</v>
      </c>
      <c r="N1715" s="17">
        <f t="shared" si="53"/>
        <v>167718.6</v>
      </c>
    </row>
    <row r="1716" spans="1:14" x14ac:dyDescent="0.25">
      <c r="A1716" s="14" t="s">
        <v>2300</v>
      </c>
      <c r="B1716" s="14" t="s">
        <v>570</v>
      </c>
      <c r="C1716" s="15" t="s">
        <v>2302</v>
      </c>
      <c r="D1716" s="14" t="s">
        <v>1752</v>
      </c>
      <c r="E1716" s="14" t="s">
        <v>1747</v>
      </c>
      <c r="F1716" s="17" t="s">
        <v>2995</v>
      </c>
      <c r="G1716" s="14">
        <v>12728700</v>
      </c>
      <c r="H1716" s="14">
        <v>11455830</v>
      </c>
      <c r="I1716" s="31">
        <f>IF(COUNTIFS(Addendum!C:C,A1716,Addendum!D:D,IF(ISNUMBER(B1716),TEXT(B1716,"0000"),B1716),Addendum!E:E,"X")&gt;0,4%,0)</f>
        <v>0</v>
      </c>
      <c r="J1716" s="31">
        <f>IF(COUNTIFS(Addendum!C:C,A1716,Addendum!D:D,IF(ISNUMBER(B1716),TEXT(B1716,"0000"),B1716),Addendum!F:F,"X")&gt;0,2.5%,0)</f>
        <v>0</v>
      </c>
      <c r="K1716" s="31">
        <f>IF(COUNTIFS(Addendum!C:C,A1716,Addendum!D:D,IF(ISNUMBER(B1716),TEXT(B1716,"0000"),B1716),Addendum!G:G,"X")&gt;0,7%,0)</f>
        <v>0</v>
      </c>
      <c r="L1716" s="31">
        <f>IF(COUNTIFS(Addendum!C:C,A1716,Addendum!D:D,IF(ISNUMBER(B1716),TEXT(B1716,"0000"),B1716),Addendum!I:I,"X")&gt;0,10%,0)</f>
        <v>0</v>
      </c>
      <c r="M1716" s="34">
        <f t="shared" si="52"/>
        <v>0</v>
      </c>
      <c r="N1716" s="17">
        <f t="shared" si="53"/>
        <v>11455830</v>
      </c>
    </row>
    <row r="1717" spans="1:14" x14ac:dyDescent="0.25">
      <c r="A1717" s="14" t="s">
        <v>2300</v>
      </c>
      <c r="B1717" s="14" t="s">
        <v>253</v>
      </c>
      <c r="C1717" s="15" t="s">
        <v>2303</v>
      </c>
      <c r="D1717" s="14" t="s">
        <v>1752</v>
      </c>
      <c r="E1717" s="14" t="s">
        <v>1746</v>
      </c>
      <c r="F1717" s="17" t="s">
        <v>2995</v>
      </c>
      <c r="G1717" s="14">
        <v>4717062</v>
      </c>
      <c r="H1717" s="14">
        <v>4245356</v>
      </c>
      <c r="I1717" s="31">
        <f>IF(COUNTIFS(Addendum!C:C,A1717,Addendum!D:D,IF(ISNUMBER(B1717),TEXT(B1717,"0000"),B1717),Addendum!E:E,"X")&gt;0,4%,0)</f>
        <v>0</v>
      </c>
      <c r="J1717" s="31">
        <f>IF(COUNTIFS(Addendum!C:C,A1717,Addendum!D:D,IF(ISNUMBER(B1717),TEXT(B1717,"0000"),B1717),Addendum!F:F,"X")&gt;0,2.5%,0)</f>
        <v>0</v>
      </c>
      <c r="K1717" s="31">
        <f>IF(COUNTIFS(Addendum!C:C,A1717,Addendum!D:D,IF(ISNUMBER(B1717),TEXT(B1717,"0000"),B1717),Addendum!G:G,"X")&gt;0,7%,0)</f>
        <v>0</v>
      </c>
      <c r="L1717" s="31">
        <f>IF(COUNTIFS(Addendum!C:C,A1717,Addendum!D:D,IF(ISNUMBER(B1717),TEXT(B1717,"0000"),B1717),Addendum!I:I,"X")&gt;0,10%,0)</f>
        <v>0</v>
      </c>
      <c r="M1717" s="34">
        <f t="shared" si="52"/>
        <v>0</v>
      </c>
      <c r="N1717" s="17">
        <f t="shared" si="53"/>
        <v>4245356</v>
      </c>
    </row>
    <row r="1718" spans="1:14" x14ac:dyDescent="0.25">
      <c r="A1718" s="14" t="s">
        <v>2300</v>
      </c>
      <c r="B1718" s="14" t="s">
        <v>253</v>
      </c>
      <c r="C1718" s="15" t="s">
        <v>2303</v>
      </c>
      <c r="D1718" s="14" t="s">
        <v>1745</v>
      </c>
      <c r="E1718" s="14" t="s">
        <v>1747</v>
      </c>
      <c r="F1718" s="17" t="s">
        <v>2995</v>
      </c>
      <c r="G1718" s="14">
        <v>1497480</v>
      </c>
      <c r="H1718" s="14">
        <v>1347732</v>
      </c>
      <c r="I1718" s="31">
        <f>IF(COUNTIFS(Addendum!C:C,A1718,Addendum!D:D,IF(ISNUMBER(B1718),TEXT(B1718,"0000"),B1718),Addendum!E:E,"X")&gt;0,4%,0)</f>
        <v>0</v>
      </c>
      <c r="J1718" s="31">
        <f>IF(COUNTIFS(Addendum!C:C,A1718,Addendum!D:D,IF(ISNUMBER(B1718),TEXT(B1718,"0000"),B1718),Addendum!F:F,"X")&gt;0,2.5%,0)</f>
        <v>0</v>
      </c>
      <c r="K1718" s="31">
        <f>IF(COUNTIFS(Addendum!C:C,A1718,Addendum!D:D,IF(ISNUMBER(B1718),TEXT(B1718,"0000"),B1718),Addendum!G:G,"X")&gt;0,7%,0)</f>
        <v>0</v>
      </c>
      <c r="L1718" s="31">
        <f>IF(COUNTIFS(Addendum!C:C,A1718,Addendum!D:D,IF(ISNUMBER(B1718),TEXT(B1718,"0000"),B1718),Addendum!I:I,"X")&gt;0,10%,0)</f>
        <v>0</v>
      </c>
      <c r="M1718" s="34">
        <f t="shared" si="52"/>
        <v>0</v>
      </c>
      <c r="N1718" s="17">
        <f t="shared" si="53"/>
        <v>1347732</v>
      </c>
    </row>
    <row r="1719" spans="1:14" x14ac:dyDescent="0.25">
      <c r="A1719" s="14" t="s">
        <v>2300</v>
      </c>
      <c r="B1719" s="14" t="s">
        <v>260</v>
      </c>
      <c r="C1719" s="15" t="s">
        <v>2304</v>
      </c>
      <c r="D1719" s="14" t="s">
        <v>1749</v>
      </c>
      <c r="E1719" s="14" t="s">
        <v>1746</v>
      </c>
      <c r="F1719" s="17" t="s">
        <v>2994</v>
      </c>
      <c r="G1719" s="14">
        <v>933444</v>
      </c>
      <c r="H1719" s="14">
        <v>653410.80000000005</v>
      </c>
      <c r="I1719" s="31">
        <f>IF(COUNTIFS(Addendum!C:C,A1719,Addendum!D:D,IF(ISNUMBER(B1719),TEXT(B1719,"0000"),B1719),Addendum!E:E,"X")&gt;0,4%,0)</f>
        <v>0</v>
      </c>
      <c r="J1719" s="31">
        <f>IF(COUNTIFS(Addendum!C:C,A1719,Addendum!D:D,IF(ISNUMBER(B1719),TEXT(B1719,"0000"),B1719),Addendum!F:F,"X")&gt;0,2.5%,0)</f>
        <v>0</v>
      </c>
      <c r="K1719" s="31">
        <f>IF(COUNTIFS(Addendum!C:C,A1719,Addendum!D:D,IF(ISNUMBER(B1719),TEXT(B1719,"0000"),B1719),Addendum!G:G,"X")&gt;0,7%,0)</f>
        <v>0</v>
      </c>
      <c r="L1719" s="31">
        <f>IF(COUNTIFS(Addendum!C:C,A1719,Addendum!D:D,IF(ISNUMBER(B1719),TEXT(B1719,"0000"),B1719),Addendum!I:I,"X")&gt;0,10%,0)</f>
        <v>0</v>
      </c>
      <c r="M1719" s="34">
        <f t="shared" si="52"/>
        <v>0</v>
      </c>
      <c r="N1719" s="17">
        <f t="shared" si="53"/>
        <v>653410.80000000005</v>
      </c>
    </row>
    <row r="1720" spans="1:14" x14ac:dyDescent="0.25">
      <c r="A1720" s="14" t="s">
        <v>2300</v>
      </c>
      <c r="B1720" s="14">
        <v>8</v>
      </c>
      <c r="C1720" s="15" t="s">
        <v>2305</v>
      </c>
      <c r="D1720" s="14" t="s">
        <v>1749</v>
      </c>
      <c r="E1720" s="14" t="s">
        <v>1746</v>
      </c>
      <c r="F1720" s="17" t="s">
        <v>2993</v>
      </c>
      <c r="G1720" s="14">
        <v>3693846</v>
      </c>
      <c r="H1720" s="14">
        <v>2585692</v>
      </c>
      <c r="I1720" s="31">
        <f>IF(COUNTIFS(Addendum!C:C,A1720,Addendum!D:D,IF(ISNUMBER(B1720),TEXT(B1720,"0000"),B1720),Addendum!E:E,"X")&gt;0,4%,0)</f>
        <v>0</v>
      </c>
      <c r="J1720" s="31">
        <f>IF(COUNTIFS(Addendum!C:C,A1720,Addendum!D:D,IF(ISNUMBER(B1720),TEXT(B1720,"0000"),B1720),Addendum!F:F,"X")&gt;0,2.5%,0)</f>
        <v>0</v>
      </c>
      <c r="K1720" s="31">
        <f>IF(COUNTIFS(Addendum!C:C,A1720,Addendum!D:D,IF(ISNUMBER(B1720),TEXT(B1720,"0000"),B1720),Addendum!G:G,"X")&gt;0,7%,0)</f>
        <v>0</v>
      </c>
      <c r="L1720" s="31">
        <f>IF(COUNTIFS(Addendum!C:C,A1720,Addendum!D:D,IF(ISNUMBER(B1720),TEXT(B1720,"0000"),B1720),Addendum!I:I,"X")&gt;0,10%,0)</f>
        <v>0</v>
      </c>
      <c r="M1720" s="34">
        <f t="shared" si="52"/>
        <v>0</v>
      </c>
      <c r="N1720" s="17">
        <f t="shared" si="53"/>
        <v>2585692</v>
      </c>
    </row>
    <row r="1721" spans="1:14" x14ac:dyDescent="0.25">
      <c r="A1721" s="14" t="s">
        <v>2300</v>
      </c>
      <c r="B1721" s="14">
        <v>9</v>
      </c>
      <c r="C1721" s="15" t="s">
        <v>2306</v>
      </c>
      <c r="D1721" s="14" t="s">
        <v>1749</v>
      </c>
      <c r="E1721" s="14" t="s">
        <v>1746</v>
      </c>
      <c r="F1721" s="17" t="s">
        <v>2993</v>
      </c>
      <c r="G1721" s="14">
        <v>1697172</v>
      </c>
      <c r="H1721" s="14">
        <v>1188020</v>
      </c>
      <c r="I1721" s="31">
        <f>IF(COUNTIFS(Addendum!C:C,A1721,Addendum!D:D,IF(ISNUMBER(B1721),TEXT(B1721,"0000"),B1721),Addendum!E:E,"X")&gt;0,4%,0)</f>
        <v>0</v>
      </c>
      <c r="J1721" s="31">
        <f>IF(COUNTIFS(Addendum!C:C,A1721,Addendum!D:D,IF(ISNUMBER(B1721),TEXT(B1721,"0000"),B1721),Addendum!F:F,"X")&gt;0,2.5%,0)</f>
        <v>0</v>
      </c>
      <c r="K1721" s="31">
        <f>IF(COUNTIFS(Addendum!C:C,A1721,Addendum!D:D,IF(ISNUMBER(B1721),TEXT(B1721,"0000"),B1721),Addendum!G:G,"X")&gt;0,7%,0)</f>
        <v>0</v>
      </c>
      <c r="L1721" s="31">
        <f>IF(COUNTIFS(Addendum!C:C,A1721,Addendum!D:D,IF(ISNUMBER(B1721),TEXT(B1721,"0000"),B1721),Addendum!I:I,"X")&gt;0,10%,0)</f>
        <v>0</v>
      </c>
      <c r="M1721" s="34">
        <f t="shared" si="52"/>
        <v>0</v>
      </c>
      <c r="N1721" s="17">
        <f t="shared" si="53"/>
        <v>1188020</v>
      </c>
    </row>
    <row r="1722" spans="1:14" x14ac:dyDescent="0.25">
      <c r="A1722" s="14" t="s">
        <v>2300</v>
      </c>
      <c r="B1722" s="14">
        <v>9</v>
      </c>
      <c r="C1722" s="15" t="s">
        <v>2306</v>
      </c>
      <c r="D1722" s="14" t="s">
        <v>1745</v>
      </c>
      <c r="E1722" s="14" t="s">
        <v>1747</v>
      </c>
      <c r="F1722" s="17" t="s">
        <v>2993</v>
      </c>
      <c r="G1722" s="14">
        <v>16971720</v>
      </c>
      <c r="H1722" s="14">
        <v>11880204</v>
      </c>
      <c r="I1722" s="31">
        <f>IF(COUNTIFS(Addendum!C:C,A1722,Addendum!D:D,IF(ISNUMBER(B1722),TEXT(B1722,"0000"),B1722),Addendum!E:E,"X")&gt;0,4%,0)</f>
        <v>0</v>
      </c>
      <c r="J1722" s="31">
        <f>IF(COUNTIFS(Addendum!C:C,A1722,Addendum!D:D,IF(ISNUMBER(B1722),TEXT(B1722,"0000"),B1722),Addendum!F:F,"X")&gt;0,2.5%,0)</f>
        <v>0</v>
      </c>
      <c r="K1722" s="31">
        <f>IF(COUNTIFS(Addendum!C:C,A1722,Addendum!D:D,IF(ISNUMBER(B1722),TEXT(B1722,"0000"),B1722),Addendum!G:G,"X")&gt;0,7%,0)</f>
        <v>0</v>
      </c>
      <c r="L1722" s="31">
        <f>IF(COUNTIFS(Addendum!C:C,A1722,Addendum!D:D,IF(ISNUMBER(B1722),TEXT(B1722,"0000"),B1722),Addendum!I:I,"X")&gt;0,10%,0)</f>
        <v>0</v>
      </c>
      <c r="M1722" s="34">
        <f t="shared" si="52"/>
        <v>0</v>
      </c>
      <c r="N1722" s="17">
        <f t="shared" si="53"/>
        <v>11880204</v>
      </c>
    </row>
    <row r="1723" spans="1:14" x14ac:dyDescent="0.25">
      <c r="A1723" s="14" t="s">
        <v>2300</v>
      </c>
      <c r="B1723" s="14" t="s">
        <v>260</v>
      </c>
      <c r="C1723" s="15" t="s">
        <v>2304</v>
      </c>
      <c r="D1723" s="14" t="s">
        <v>1745</v>
      </c>
      <c r="E1723" s="14" t="s">
        <v>1747</v>
      </c>
      <c r="F1723" s="17" t="s">
        <v>2994</v>
      </c>
      <c r="G1723" s="14">
        <v>9334440</v>
      </c>
      <c r="H1723" s="14">
        <v>6534108</v>
      </c>
      <c r="I1723" s="31">
        <f>IF(COUNTIFS(Addendum!C:C,A1723,Addendum!D:D,IF(ISNUMBER(B1723),TEXT(B1723,"0000"),B1723),Addendum!E:E,"X")&gt;0,4%,0)</f>
        <v>0</v>
      </c>
      <c r="J1723" s="31">
        <f>IF(COUNTIFS(Addendum!C:C,A1723,Addendum!D:D,IF(ISNUMBER(B1723),TEXT(B1723,"0000"),B1723),Addendum!F:F,"X")&gt;0,2.5%,0)</f>
        <v>0</v>
      </c>
      <c r="K1723" s="31">
        <f>IF(COUNTIFS(Addendum!C:C,A1723,Addendum!D:D,IF(ISNUMBER(B1723),TEXT(B1723,"0000"),B1723),Addendum!G:G,"X")&gt;0,7%,0)</f>
        <v>0</v>
      </c>
      <c r="L1723" s="31">
        <f>IF(COUNTIFS(Addendum!C:C,A1723,Addendum!D:D,IF(ISNUMBER(B1723),TEXT(B1723,"0000"),B1723),Addendum!I:I,"X")&gt;0,10%,0)</f>
        <v>0</v>
      </c>
      <c r="M1723" s="34">
        <f t="shared" si="52"/>
        <v>0</v>
      </c>
      <c r="N1723" s="17">
        <f t="shared" si="53"/>
        <v>6534108</v>
      </c>
    </row>
    <row r="1724" spans="1:14" x14ac:dyDescent="0.25">
      <c r="A1724" s="14" t="s">
        <v>2300</v>
      </c>
      <c r="B1724" s="14">
        <v>9</v>
      </c>
      <c r="C1724" s="15" t="s">
        <v>2306</v>
      </c>
      <c r="D1724" s="14" t="s">
        <v>1752</v>
      </c>
      <c r="E1724" s="14" t="s">
        <v>1747</v>
      </c>
      <c r="F1724" s="17" t="s">
        <v>2993</v>
      </c>
      <c r="G1724" s="14">
        <v>50915160</v>
      </c>
      <c r="H1724" s="14">
        <v>35640612</v>
      </c>
      <c r="I1724" s="31">
        <f>IF(COUNTIFS(Addendum!C:C,A1724,Addendum!D:D,IF(ISNUMBER(B1724),TEXT(B1724,"0000"),B1724),Addendum!E:E,"X")&gt;0,4%,0)</f>
        <v>0</v>
      </c>
      <c r="J1724" s="31">
        <f>IF(COUNTIFS(Addendum!C:C,A1724,Addendum!D:D,IF(ISNUMBER(B1724),TEXT(B1724,"0000"),B1724),Addendum!F:F,"X")&gt;0,2.5%,0)</f>
        <v>0</v>
      </c>
      <c r="K1724" s="31">
        <f>IF(COUNTIFS(Addendum!C:C,A1724,Addendum!D:D,IF(ISNUMBER(B1724),TEXT(B1724,"0000"),B1724),Addendum!G:G,"X")&gt;0,7%,0)</f>
        <v>0</v>
      </c>
      <c r="L1724" s="31">
        <f>IF(COUNTIFS(Addendum!C:C,A1724,Addendum!D:D,IF(ISNUMBER(B1724),TEXT(B1724,"0000"),B1724),Addendum!I:I,"X")&gt;0,10%,0)</f>
        <v>0</v>
      </c>
      <c r="M1724" s="34">
        <f t="shared" si="52"/>
        <v>0</v>
      </c>
      <c r="N1724" s="17">
        <f t="shared" si="53"/>
        <v>35640612</v>
      </c>
    </row>
    <row r="1725" spans="1:14" x14ac:dyDescent="0.25">
      <c r="A1725" s="14" t="s">
        <v>2300</v>
      </c>
      <c r="B1725" s="14" t="s">
        <v>269</v>
      </c>
      <c r="C1725" s="15" t="s">
        <v>2307</v>
      </c>
      <c r="D1725" s="14" t="s">
        <v>1752</v>
      </c>
      <c r="E1725" s="14" t="s">
        <v>1746</v>
      </c>
      <c r="F1725" s="17" t="s">
        <v>2995</v>
      </c>
      <c r="G1725" s="14">
        <v>29088990</v>
      </c>
      <c r="H1725" s="14">
        <v>26180091</v>
      </c>
      <c r="I1725" s="31">
        <f>IF(COUNTIFS(Addendum!C:C,A1725,Addendum!D:D,IF(ISNUMBER(B1725),TEXT(B1725,"0000"),B1725),Addendum!E:E,"X")&gt;0,4%,0)</f>
        <v>0</v>
      </c>
      <c r="J1725" s="31">
        <f>IF(COUNTIFS(Addendum!C:C,A1725,Addendum!D:D,IF(ISNUMBER(B1725),TEXT(B1725,"0000"),B1725),Addendum!F:F,"X")&gt;0,2.5%,0)</f>
        <v>0</v>
      </c>
      <c r="K1725" s="31">
        <f>IF(COUNTIFS(Addendum!C:C,A1725,Addendum!D:D,IF(ISNUMBER(B1725),TEXT(B1725,"0000"),B1725),Addendum!G:G,"X")&gt;0,7%,0)</f>
        <v>0</v>
      </c>
      <c r="L1725" s="31">
        <f>IF(COUNTIFS(Addendum!C:C,A1725,Addendum!D:D,IF(ISNUMBER(B1725),TEXT(B1725,"0000"),B1725),Addendum!I:I,"X")&gt;0,10%,0)</f>
        <v>0</v>
      </c>
      <c r="M1725" s="34">
        <f t="shared" si="52"/>
        <v>0</v>
      </c>
      <c r="N1725" s="17">
        <f t="shared" si="53"/>
        <v>26180091</v>
      </c>
    </row>
    <row r="1726" spans="1:14" x14ac:dyDescent="0.25">
      <c r="A1726" s="14" t="s">
        <v>2300</v>
      </c>
      <c r="B1726" s="14" t="s">
        <v>16</v>
      </c>
      <c r="C1726" s="15" t="s">
        <v>2308</v>
      </c>
      <c r="D1726" s="14" t="s">
        <v>1752</v>
      </c>
      <c r="E1726" s="14" t="s">
        <v>1747</v>
      </c>
      <c r="F1726" s="17" t="s">
        <v>2993</v>
      </c>
      <c r="G1726" s="14">
        <v>17970120</v>
      </c>
      <c r="H1726" s="14">
        <v>12579084</v>
      </c>
      <c r="I1726" s="31">
        <f>IF(COUNTIFS(Addendum!C:C,A1726,Addendum!D:D,IF(ISNUMBER(B1726),TEXT(B1726,"0000"),B1726),Addendum!E:E,"X")&gt;0,4%,0)</f>
        <v>0</v>
      </c>
      <c r="J1726" s="31">
        <f>IF(COUNTIFS(Addendum!C:C,A1726,Addendum!D:D,IF(ISNUMBER(B1726),TEXT(B1726,"0000"),B1726),Addendum!F:F,"X")&gt;0,2.5%,0)</f>
        <v>0</v>
      </c>
      <c r="K1726" s="31">
        <f>IF(COUNTIFS(Addendum!C:C,A1726,Addendum!D:D,IF(ISNUMBER(B1726),TEXT(B1726,"0000"),B1726),Addendum!G:G,"X")&gt;0,7%,0)</f>
        <v>0</v>
      </c>
      <c r="L1726" s="31">
        <f>IF(COUNTIFS(Addendum!C:C,A1726,Addendum!D:D,IF(ISNUMBER(B1726),TEXT(B1726,"0000"),B1726),Addendum!I:I,"X")&gt;0,10%,0)</f>
        <v>0</v>
      </c>
      <c r="M1726" s="34">
        <f t="shared" si="52"/>
        <v>0</v>
      </c>
      <c r="N1726" s="17">
        <f t="shared" si="53"/>
        <v>12579084</v>
      </c>
    </row>
    <row r="1727" spans="1:14" x14ac:dyDescent="0.25">
      <c r="A1727" s="14" t="s">
        <v>2300</v>
      </c>
      <c r="B1727" s="14" t="s">
        <v>260</v>
      </c>
      <c r="C1727" s="15" t="s">
        <v>2304</v>
      </c>
      <c r="D1727" s="14" t="s">
        <v>1745</v>
      </c>
      <c r="E1727" s="14" t="s">
        <v>1746</v>
      </c>
      <c r="F1727" s="17" t="s">
        <v>2994</v>
      </c>
      <c r="G1727" s="14">
        <v>9801162</v>
      </c>
      <c r="H1727" s="14">
        <v>6860813</v>
      </c>
      <c r="I1727" s="31">
        <f>IF(COUNTIFS(Addendum!C:C,A1727,Addendum!D:D,IF(ISNUMBER(B1727),TEXT(B1727,"0000"),B1727),Addendum!E:E,"X")&gt;0,4%,0)</f>
        <v>0</v>
      </c>
      <c r="J1727" s="31">
        <f>IF(COUNTIFS(Addendum!C:C,A1727,Addendum!D:D,IF(ISNUMBER(B1727),TEXT(B1727,"0000"),B1727),Addendum!F:F,"X")&gt;0,2.5%,0)</f>
        <v>0</v>
      </c>
      <c r="K1727" s="31">
        <f>IF(COUNTIFS(Addendum!C:C,A1727,Addendum!D:D,IF(ISNUMBER(B1727),TEXT(B1727,"0000"),B1727),Addendum!G:G,"X")&gt;0,7%,0)</f>
        <v>0</v>
      </c>
      <c r="L1727" s="31">
        <f>IF(COUNTIFS(Addendum!C:C,A1727,Addendum!D:D,IF(ISNUMBER(B1727),TEXT(B1727,"0000"),B1727),Addendum!I:I,"X")&gt;0,10%,0)</f>
        <v>0</v>
      </c>
      <c r="M1727" s="34">
        <f t="shared" si="52"/>
        <v>0</v>
      </c>
      <c r="N1727" s="17">
        <f t="shared" si="53"/>
        <v>6860813</v>
      </c>
    </row>
    <row r="1728" spans="1:14" x14ac:dyDescent="0.25">
      <c r="A1728" s="14" t="s">
        <v>2300</v>
      </c>
      <c r="B1728" s="14" t="s">
        <v>256</v>
      </c>
      <c r="C1728" s="15" t="s">
        <v>2301</v>
      </c>
      <c r="D1728" s="14" t="s">
        <v>1745</v>
      </c>
      <c r="E1728" s="14" t="s">
        <v>1746</v>
      </c>
      <c r="F1728" s="17" t="s">
        <v>2994</v>
      </c>
      <c r="G1728" s="14">
        <v>2515779</v>
      </c>
      <c r="H1728" s="14">
        <v>1761045</v>
      </c>
      <c r="I1728" s="31">
        <f>IF(COUNTIFS(Addendum!C:C,A1728,Addendum!D:D,IF(ISNUMBER(B1728),TEXT(B1728,"0000"),B1728),Addendum!E:E,"X")&gt;0,4%,0)</f>
        <v>0</v>
      </c>
      <c r="J1728" s="31">
        <f>IF(COUNTIFS(Addendum!C:C,A1728,Addendum!D:D,IF(ISNUMBER(B1728),TEXT(B1728,"0000"),B1728),Addendum!F:F,"X")&gt;0,2.5%,0)</f>
        <v>0</v>
      </c>
      <c r="K1728" s="31">
        <f>IF(COUNTIFS(Addendum!C:C,A1728,Addendum!D:D,IF(ISNUMBER(B1728),TEXT(B1728,"0000"),B1728),Addendum!G:G,"X")&gt;0,7%,0)</f>
        <v>0</v>
      </c>
      <c r="L1728" s="31">
        <f>IF(COUNTIFS(Addendum!C:C,A1728,Addendum!D:D,IF(ISNUMBER(B1728),TEXT(B1728,"0000"),B1728),Addendum!I:I,"X")&gt;0,10%,0)</f>
        <v>0</v>
      </c>
      <c r="M1728" s="34">
        <f t="shared" si="52"/>
        <v>0</v>
      </c>
      <c r="N1728" s="17">
        <f t="shared" si="53"/>
        <v>1761045</v>
      </c>
    </row>
    <row r="1729" spans="1:14" x14ac:dyDescent="0.25">
      <c r="A1729" s="14" t="s">
        <v>2300</v>
      </c>
      <c r="B1729" s="14">
        <v>8</v>
      </c>
      <c r="C1729" s="15" t="s">
        <v>2305</v>
      </c>
      <c r="D1729" s="14" t="s">
        <v>1752</v>
      </c>
      <c r="E1729" s="14" t="s">
        <v>1747</v>
      </c>
      <c r="F1729" s="17" t="s">
        <v>2993</v>
      </c>
      <c r="G1729" s="16">
        <v>111000000</v>
      </c>
      <c r="H1729" s="14">
        <v>77570766</v>
      </c>
      <c r="I1729" s="31">
        <f>IF(COUNTIFS(Addendum!C:C,A1729,Addendum!D:D,IF(ISNUMBER(B1729),TEXT(B1729,"0000"),B1729),Addendum!E:E,"X")&gt;0,4%,0)</f>
        <v>0</v>
      </c>
      <c r="J1729" s="31">
        <f>IF(COUNTIFS(Addendum!C:C,A1729,Addendum!D:D,IF(ISNUMBER(B1729),TEXT(B1729,"0000"),B1729),Addendum!F:F,"X")&gt;0,2.5%,0)</f>
        <v>0</v>
      </c>
      <c r="K1729" s="31">
        <f>IF(COUNTIFS(Addendum!C:C,A1729,Addendum!D:D,IF(ISNUMBER(B1729),TEXT(B1729,"0000"),B1729),Addendum!G:G,"X")&gt;0,7%,0)</f>
        <v>0</v>
      </c>
      <c r="L1729" s="31">
        <f>IF(COUNTIFS(Addendum!C:C,A1729,Addendum!D:D,IF(ISNUMBER(B1729),TEXT(B1729,"0000"),B1729),Addendum!I:I,"X")&gt;0,10%,0)</f>
        <v>0</v>
      </c>
      <c r="M1729" s="34">
        <f t="shared" si="52"/>
        <v>0</v>
      </c>
      <c r="N1729" s="17">
        <f t="shared" si="53"/>
        <v>77570766</v>
      </c>
    </row>
    <row r="1730" spans="1:14" x14ac:dyDescent="0.25">
      <c r="A1730" s="14" t="s">
        <v>2300</v>
      </c>
      <c r="B1730" s="14" t="s">
        <v>805</v>
      </c>
      <c r="C1730" s="15" t="s">
        <v>2309</v>
      </c>
      <c r="D1730" s="14" t="s">
        <v>1745</v>
      </c>
      <c r="E1730" s="14" t="s">
        <v>1746</v>
      </c>
      <c r="F1730" s="17" t="s">
        <v>2994</v>
      </c>
      <c r="G1730" s="14">
        <v>3459204</v>
      </c>
      <c r="H1730" s="14">
        <v>2421443</v>
      </c>
      <c r="I1730" s="31">
        <f>IF(COUNTIFS(Addendum!C:C,A1730,Addendum!D:D,IF(ISNUMBER(B1730),TEXT(B1730,"0000"),B1730),Addendum!E:E,"X")&gt;0,4%,0)</f>
        <v>0</v>
      </c>
      <c r="J1730" s="31">
        <f>IF(COUNTIFS(Addendum!C:C,A1730,Addendum!D:D,IF(ISNUMBER(B1730),TEXT(B1730,"0000"),B1730),Addendum!F:F,"X")&gt;0,2.5%,0)</f>
        <v>0</v>
      </c>
      <c r="K1730" s="31">
        <f>IF(COUNTIFS(Addendum!C:C,A1730,Addendum!D:D,IF(ISNUMBER(B1730),TEXT(B1730,"0000"),B1730),Addendum!G:G,"X")&gt;0,7%,0)</f>
        <v>0</v>
      </c>
      <c r="L1730" s="31">
        <f>IF(COUNTIFS(Addendum!C:C,A1730,Addendum!D:D,IF(ISNUMBER(B1730),TEXT(B1730,"0000"),B1730),Addendum!I:I,"X")&gt;0,10%,0)</f>
        <v>0</v>
      </c>
      <c r="M1730" s="34">
        <f t="shared" si="52"/>
        <v>0</v>
      </c>
      <c r="N1730" s="17">
        <f t="shared" si="53"/>
        <v>2421443</v>
      </c>
    </row>
    <row r="1731" spans="1:14" x14ac:dyDescent="0.25">
      <c r="A1731" s="14" t="s">
        <v>2300</v>
      </c>
      <c r="B1731" s="14">
        <v>8</v>
      </c>
      <c r="C1731" s="15" t="s">
        <v>2305</v>
      </c>
      <c r="D1731" s="14" t="s">
        <v>1745</v>
      </c>
      <c r="E1731" s="14" t="s">
        <v>1746</v>
      </c>
      <c r="F1731" s="17" t="s">
        <v>2993</v>
      </c>
      <c r="G1731" s="14">
        <v>38785383</v>
      </c>
      <c r="H1731" s="14">
        <v>27149768</v>
      </c>
      <c r="I1731" s="31">
        <f>IF(COUNTIFS(Addendum!C:C,A1731,Addendum!D:D,IF(ISNUMBER(B1731),TEXT(B1731,"0000"),B1731),Addendum!E:E,"X")&gt;0,4%,0)</f>
        <v>0</v>
      </c>
      <c r="J1731" s="31">
        <f>IF(COUNTIFS(Addendum!C:C,A1731,Addendum!D:D,IF(ISNUMBER(B1731),TEXT(B1731,"0000"),B1731),Addendum!F:F,"X")&gt;0,2.5%,0)</f>
        <v>0</v>
      </c>
      <c r="K1731" s="31">
        <f>IF(COUNTIFS(Addendum!C:C,A1731,Addendum!D:D,IF(ISNUMBER(B1731),TEXT(B1731,"0000"),B1731),Addendum!G:G,"X")&gt;0,7%,0)</f>
        <v>0</v>
      </c>
      <c r="L1731" s="31">
        <f>IF(COUNTIFS(Addendum!C:C,A1731,Addendum!D:D,IF(ISNUMBER(B1731),TEXT(B1731,"0000"),B1731),Addendum!I:I,"X")&gt;0,10%,0)</f>
        <v>0</v>
      </c>
      <c r="M1731" s="34">
        <f t="shared" si="52"/>
        <v>0</v>
      </c>
      <c r="N1731" s="17">
        <f t="shared" si="53"/>
        <v>27149768</v>
      </c>
    </row>
    <row r="1732" spans="1:14" x14ac:dyDescent="0.25">
      <c r="A1732" s="14" t="s">
        <v>2300</v>
      </c>
      <c r="B1732" s="14" t="s">
        <v>570</v>
      </c>
      <c r="C1732" s="15" t="s">
        <v>2302</v>
      </c>
      <c r="D1732" s="14" t="s">
        <v>1752</v>
      </c>
      <c r="E1732" s="14" t="s">
        <v>1746</v>
      </c>
      <c r="F1732" s="17" t="s">
        <v>2995</v>
      </c>
      <c r="G1732" s="14">
        <v>13365135</v>
      </c>
      <c r="H1732" s="14">
        <v>12028622</v>
      </c>
      <c r="I1732" s="31">
        <f>IF(COUNTIFS(Addendum!C:C,A1732,Addendum!D:D,IF(ISNUMBER(B1732),TEXT(B1732,"0000"),B1732),Addendum!E:E,"X")&gt;0,4%,0)</f>
        <v>0</v>
      </c>
      <c r="J1732" s="31">
        <f>IF(COUNTIFS(Addendum!C:C,A1732,Addendum!D:D,IF(ISNUMBER(B1732),TEXT(B1732,"0000"),B1732),Addendum!F:F,"X")&gt;0,2.5%,0)</f>
        <v>0</v>
      </c>
      <c r="K1732" s="31">
        <f>IF(COUNTIFS(Addendum!C:C,A1732,Addendum!D:D,IF(ISNUMBER(B1732),TEXT(B1732,"0000"),B1732),Addendum!G:G,"X")&gt;0,7%,0)</f>
        <v>0</v>
      </c>
      <c r="L1732" s="31">
        <f>IF(COUNTIFS(Addendum!C:C,A1732,Addendum!D:D,IF(ISNUMBER(B1732),TEXT(B1732,"0000"),B1732),Addendum!I:I,"X")&gt;0,10%,0)</f>
        <v>0</v>
      </c>
      <c r="M1732" s="34">
        <f t="shared" ref="M1732:M1795" si="54">IF(AND(I1732=0%,J1732=0%,K1732=0%,L1732=0%),0%,
IF(OR(TRIM(E1732)="OneTime",TRIM(D1732)=""),0%,
IF(
OR(
TRIM(D1732)="P1M",
AND(TRIM(D1732)="P1Y",TRIM(E1732)="Monthly"),
AND(TRIM(D1732)="P3Y",TRIM(E1732)="Monthly")
),
IF(AND(I1732=4%,J1732=0%,K1732=0%,L1732=0%),1%,
IF(AND(I1732=4%,J1732=2.5%,K1732=0%,L1732=10%),2%,
IF(AND(I1732=4%,J1732=0%,K1732=7%,L1732=10%),3%,0%))),
IF(
OR(
AND(TRIM(D1732)="P1Y",TRIM(E1732)="Annual"),
AND(TRIM(D1732)="P3Y",TRIM(E1732)="Annual"),
AND(TRIM(D1732)="P3Y",TRIM(E1732)="Triennial")
),
IF(AND(I1732=4%,J1732=0%,K1732=0%,L1732=0%),3%,
IF(AND(I1732=4%,J1732=2.5%,K1732=0%,L1732=10%),10%,
IF(AND(I1732=4%,J1732=0%,K1732=7%,L1732=10%),14%,0%))),
0%
))))</f>
        <v>0</v>
      </c>
      <c r="N1732" s="17">
        <f t="shared" ref="N1732:N1795" si="55">H1732-(H1732*M1732)</f>
        <v>12028622</v>
      </c>
    </row>
    <row r="1733" spans="1:14" x14ac:dyDescent="0.25">
      <c r="A1733" s="14" t="s">
        <v>2300</v>
      </c>
      <c r="B1733" s="14" t="s">
        <v>570</v>
      </c>
      <c r="C1733" s="15" t="s">
        <v>2302</v>
      </c>
      <c r="D1733" s="14" t="s">
        <v>1745</v>
      </c>
      <c r="E1733" s="14" t="s">
        <v>1747</v>
      </c>
      <c r="F1733" s="17" t="s">
        <v>2995</v>
      </c>
      <c r="G1733" s="14">
        <v>4242900</v>
      </c>
      <c r="H1733" s="14">
        <v>3818610</v>
      </c>
      <c r="I1733" s="31">
        <f>IF(COUNTIFS(Addendum!C:C,A1733,Addendum!D:D,IF(ISNUMBER(B1733),TEXT(B1733,"0000"),B1733),Addendum!E:E,"X")&gt;0,4%,0)</f>
        <v>0</v>
      </c>
      <c r="J1733" s="31">
        <f>IF(COUNTIFS(Addendum!C:C,A1733,Addendum!D:D,IF(ISNUMBER(B1733),TEXT(B1733,"0000"),B1733),Addendum!F:F,"X")&gt;0,2.5%,0)</f>
        <v>0</v>
      </c>
      <c r="K1733" s="31">
        <f>IF(COUNTIFS(Addendum!C:C,A1733,Addendum!D:D,IF(ISNUMBER(B1733),TEXT(B1733,"0000"),B1733),Addendum!G:G,"X")&gt;0,7%,0)</f>
        <v>0</v>
      </c>
      <c r="L1733" s="31">
        <f>IF(COUNTIFS(Addendum!C:C,A1733,Addendum!D:D,IF(ISNUMBER(B1733),TEXT(B1733,"0000"),B1733),Addendum!I:I,"X")&gt;0,10%,0)</f>
        <v>0</v>
      </c>
      <c r="M1733" s="34">
        <f t="shared" si="54"/>
        <v>0</v>
      </c>
      <c r="N1733" s="17">
        <f t="shared" si="55"/>
        <v>3818610</v>
      </c>
    </row>
    <row r="1734" spans="1:14" x14ac:dyDescent="0.25">
      <c r="A1734" s="14" t="s">
        <v>2300</v>
      </c>
      <c r="B1734" s="14" t="s">
        <v>570</v>
      </c>
      <c r="C1734" s="15" t="s">
        <v>2302</v>
      </c>
      <c r="D1734" s="14" t="s">
        <v>1749</v>
      </c>
      <c r="E1734" s="14" t="s">
        <v>1746</v>
      </c>
      <c r="F1734" s="17" t="s">
        <v>2995</v>
      </c>
      <c r="G1734" s="14">
        <v>424290</v>
      </c>
      <c r="H1734" s="14">
        <v>381861</v>
      </c>
      <c r="I1734" s="31">
        <f>IF(COUNTIFS(Addendum!C:C,A1734,Addendum!D:D,IF(ISNUMBER(B1734),TEXT(B1734,"0000"),B1734),Addendum!E:E,"X")&gt;0,4%,0)</f>
        <v>0</v>
      </c>
      <c r="J1734" s="31">
        <f>IF(COUNTIFS(Addendum!C:C,A1734,Addendum!D:D,IF(ISNUMBER(B1734),TEXT(B1734,"0000"),B1734),Addendum!F:F,"X")&gt;0,2.5%,0)</f>
        <v>0</v>
      </c>
      <c r="K1734" s="31">
        <f>IF(COUNTIFS(Addendum!C:C,A1734,Addendum!D:D,IF(ISNUMBER(B1734),TEXT(B1734,"0000"),B1734),Addendum!G:G,"X")&gt;0,7%,0)</f>
        <v>0</v>
      </c>
      <c r="L1734" s="31">
        <f>IF(COUNTIFS(Addendum!C:C,A1734,Addendum!D:D,IF(ISNUMBER(B1734),TEXT(B1734,"0000"),B1734),Addendum!I:I,"X")&gt;0,10%,0)</f>
        <v>0</v>
      </c>
      <c r="M1734" s="34">
        <f t="shared" si="54"/>
        <v>0</v>
      </c>
      <c r="N1734" s="17">
        <f t="shared" si="55"/>
        <v>381861</v>
      </c>
    </row>
    <row r="1735" spans="1:14" x14ac:dyDescent="0.25">
      <c r="A1735" s="14" t="s">
        <v>2300</v>
      </c>
      <c r="B1735" s="14" t="s">
        <v>269</v>
      </c>
      <c r="C1735" s="15" t="s">
        <v>2307</v>
      </c>
      <c r="D1735" s="14" t="s">
        <v>1749</v>
      </c>
      <c r="E1735" s="14" t="s">
        <v>1746</v>
      </c>
      <c r="F1735" s="17" t="s">
        <v>2995</v>
      </c>
      <c r="G1735" s="14">
        <v>923460</v>
      </c>
      <c r="H1735" s="14">
        <v>831114</v>
      </c>
      <c r="I1735" s="31">
        <f>IF(COUNTIFS(Addendum!C:C,A1735,Addendum!D:D,IF(ISNUMBER(B1735),TEXT(B1735,"0000"),B1735),Addendum!E:E,"X")&gt;0,4%,0)</f>
        <v>0</v>
      </c>
      <c r="J1735" s="31">
        <f>IF(COUNTIFS(Addendum!C:C,A1735,Addendum!D:D,IF(ISNUMBER(B1735),TEXT(B1735,"0000"),B1735),Addendum!F:F,"X")&gt;0,2.5%,0)</f>
        <v>0</v>
      </c>
      <c r="K1735" s="31">
        <f>IF(COUNTIFS(Addendum!C:C,A1735,Addendum!D:D,IF(ISNUMBER(B1735),TEXT(B1735,"0000"),B1735),Addendum!G:G,"X")&gt;0,7%,0)</f>
        <v>0</v>
      </c>
      <c r="L1735" s="31">
        <f>IF(COUNTIFS(Addendum!C:C,A1735,Addendum!D:D,IF(ISNUMBER(B1735),TEXT(B1735,"0000"),B1735),Addendum!I:I,"X")&gt;0,10%,0)</f>
        <v>0</v>
      </c>
      <c r="M1735" s="34">
        <f t="shared" si="54"/>
        <v>0</v>
      </c>
      <c r="N1735" s="17">
        <f t="shared" si="55"/>
        <v>831114</v>
      </c>
    </row>
    <row r="1736" spans="1:14" x14ac:dyDescent="0.25">
      <c r="A1736" s="14" t="s">
        <v>2300</v>
      </c>
      <c r="B1736" s="14" t="s">
        <v>253</v>
      </c>
      <c r="C1736" s="15" t="s">
        <v>2303</v>
      </c>
      <c r="D1736" s="14" t="s">
        <v>1749</v>
      </c>
      <c r="E1736" s="14" t="s">
        <v>1746</v>
      </c>
      <c r="F1736" s="17" t="s">
        <v>2995</v>
      </c>
      <c r="G1736" s="14">
        <v>149748</v>
      </c>
      <c r="H1736" s="14">
        <v>134773.20000000001</v>
      </c>
      <c r="I1736" s="31">
        <f>IF(COUNTIFS(Addendum!C:C,A1736,Addendum!D:D,IF(ISNUMBER(B1736),TEXT(B1736,"0000"),B1736),Addendum!E:E,"X")&gt;0,4%,0)</f>
        <v>0</v>
      </c>
      <c r="J1736" s="31">
        <f>IF(COUNTIFS(Addendum!C:C,A1736,Addendum!D:D,IF(ISNUMBER(B1736),TEXT(B1736,"0000"),B1736),Addendum!F:F,"X")&gt;0,2.5%,0)</f>
        <v>0</v>
      </c>
      <c r="K1736" s="31">
        <f>IF(COUNTIFS(Addendum!C:C,A1736,Addendum!D:D,IF(ISNUMBER(B1736),TEXT(B1736,"0000"),B1736),Addendum!G:G,"X")&gt;0,7%,0)</f>
        <v>0</v>
      </c>
      <c r="L1736" s="31">
        <f>IF(COUNTIFS(Addendum!C:C,A1736,Addendum!D:D,IF(ISNUMBER(B1736),TEXT(B1736,"0000"),B1736),Addendum!I:I,"X")&gt;0,10%,0)</f>
        <v>0</v>
      </c>
      <c r="M1736" s="34">
        <f t="shared" si="54"/>
        <v>0</v>
      </c>
      <c r="N1736" s="17">
        <f t="shared" si="55"/>
        <v>134773.20000000001</v>
      </c>
    </row>
    <row r="1737" spans="1:14" x14ac:dyDescent="0.25">
      <c r="A1737" s="14" t="s">
        <v>2300</v>
      </c>
      <c r="B1737" s="14" t="s">
        <v>16</v>
      </c>
      <c r="C1737" s="15" t="s">
        <v>2308</v>
      </c>
      <c r="D1737" s="14" t="s">
        <v>1745</v>
      </c>
      <c r="E1737" s="14" t="s">
        <v>1747</v>
      </c>
      <c r="F1737" s="17" t="s">
        <v>2993</v>
      </c>
      <c r="G1737" s="14">
        <v>5990040</v>
      </c>
      <c r="H1737" s="14">
        <v>4193028</v>
      </c>
      <c r="I1737" s="31">
        <f>IF(COUNTIFS(Addendum!C:C,A1737,Addendum!D:D,IF(ISNUMBER(B1737),TEXT(B1737,"0000"),B1737),Addendum!E:E,"X")&gt;0,4%,0)</f>
        <v>0</v>
      </c>
      <c r="J1737" s="31">
        <f>IF(COUNTIFS(Addendum!C:C,A1737,Addendum!D:D,IF(ISNUMBER(B1737),TEXT(B1737,"0000"),B1737),Addendum!F:F,"X")&gt;0,2.5%,0)</f>
        <v>0</v>
      </c>
      <c r="K1737" s="31">
        <f>IF(COUNTIFS(Addendum!C:C,A1737,Addendum!D:D,IF(ISNUMBER(B1737),TEXT(B1737,"0000"),B1737),Addendum!G:G,"X")&gt;0,7%,0)</f>
        <v>0</v>
      </c>
      <c r="L1737" s="31">
        <f>IF(COUNTIFS(Addendum!C:C,A1737,Addendum!D:D,IF(ISNUMBER(B1737),TEXT(B1737,"0000"),B1737),Addendum!I:I,"X")&gt;0,10%,0)</f>
        <v>0</v>
      </c>
      <c r="M1737" s="34">
        <f t="shared" si="54"/>
        <v>0</v>
      </c>
      <c r="N1737" s="17">
        <f t="shared" si="55"/>
        <v>4193028</v>
      </c>
    </row>
    <row r="1738" spans="1:14" x14ac:dyDescent="0.25">
      <c r="A1738" s="14" t="s">
        <v>2300</v>
      </c>
      <c r="B1738" s="14" t="s">
        <v>577</v>
      </c>
      <c r="C1738" s="15" t="s">
        <v>2310</v>
      </c>
      <c r="D1738" s="14" t="s">
        <v>1749</v>
      </c>
      <c r="E1738" s="14" t="s">
        <v>1746</v>
      </c>
      <c r="F1738" s="17" t="s">
        <v>2994</v>
      </c>
      <c r="G1738" s="14">
        <v>1477536</v>
      </c>
      <c r="H1738" s="14">
        <v>1034275</v>
      </c>
      <c r="I1738" s="31">
        <f>IF(COUNTIFS(Addendum!C:C,A1738,Addendum!D:D,IF(ISNUMBER(B1738),TEXT(B1738,"0000"),B1738),Addendum!E:E,"X")&gt;0,4%,0)</f>
        <v>0</v>
      </c>
      <c r="J1738" s="31">
        <f>IF(COUNTIFS(Addendum!C:C,A1738,Addendum!D:D,IF(ISNUMBER(B1738),TEXT(B1738,"0000"),B1738),Addendum!F:F,"X")&gt;0,2.5%,0)</f>
        <v>0</v>
      </c>
      <c r="K1738" s="31">
        <f>IF(COUNTIFS(Addendum!C:C,A1738,Addendum!D:D,IF(ISNUMBER(B1738),TEXT(B1738,"0000"),B1738),Addendum!G:G,"X")&gt;0,7%,0)</f>
        <v>0</v>
      </c>
      <c r="L1738" s="31">
        <f>IF(COUNTIFS(Addendum!C:C,A1738,Addendum!D:D,IF(ISNUMBER(B1738),TEXT(B1738,"0000"),B1738),Addendum!I:I,"X")&gt;0,10%,0)</f>
        <v>0</v>
      </c>
      <c r="M1738" s="34">
        <f t="shared" si="54"/>
        <v>0</v>
      </c>
      <c r="N1738" s="17">
        <f t="shared" si="55"/>
        <v>1034275</v>
      </c>
    </row>
    <row r="1739" spans="1:14" x14ac:dyDescent="0.25">
      <c r="A1739" s="14" t="s">
        <v>2300</v>
      </c>
      <c r="B1739" s="14" t="s">
        <v>805</v>
      </c>
      <c r="C1739" s="15" t="s">
        <v>2309</v>
      </c>
      <c r="D1739" s="14" t="s">
        <v>1749</v>
      </c>
      <c r="E1739" s="14" t="s">
        <v>1746</v>
      </c>
      <c r="F1739" s="17" t="s">
        <v>2994</v>
      </c>
      <c r="G1739" s="14">
        <v>329448</v>
      </c>
      <c r="H1739" s="14">
        <v>230613.6</v>
      </c>
      <c r="I1739" s="31">
        <f>IF(COUNTIFS(Addendum!C:C,A1739,Addendum!D:D,IF(ISNUMBER(B1739),TEXT(B1739,"0000"),B1739),Addendum!E:E,"X")&gt;0,4%,0)</f>
        <v>0</v>
      </c>
      <c r="J1739" s="31">
        <f>IF(COUNTIFS(Addendum!C:C,A1739,Addendum!D:D,IF(ISNUMBER(B1739),TEXT(B1739,"0000"),B1739),Addendum!F:F,"X")&gt;0,2.5%,0)</f>
        <v>0</v>
      </c>
      <c r="K1739" s="31">
        <f>IF(COUNTIFS(Addendum!C:C,A1739,Addendum!D:D,IF(ISNUMBER(B1739),TEXT(B1739,"0000"),B1739),Addendum!G:G,"X")&gt;0,7%,0)</f>
        <v>0</v>
      </c>
      <c r="L1739" s="31">
        <f>IF(COUNTIFS(Addendum!C:C,A1739,Addendum!D:D,IF(ISNUMBER(B1739),TEXT(B1739,"0000"),B1739),Addendum!I:I,"X")&gt;0,10%,0)</f>
        <v>0</v>
      </c>
      <c r="M1739" s="34">
        <f t="shared" si="54"/>
        <v>0</v>
      </c>
      <c r="N1739" s="17">
        <f t="shared" si="55"/>
        <v>230613.6</v>
      </c>
    </row>
    <row r="1740" spans="1:14" x14ac:dyDescent="0.25">
      <c r="A1740" s="14" t="s">
        <v>2300</v>
      </c>
      <c r="B1740" s="14" t="s">
        <v>16</v>
      </c>
      <c r="C1740" s="15" t="s">
        <v>2308</v>
      </c>
      <c r="D1740" s="14" t="s">
        <v>1749</v>
      </c>
      <c r="E1740" s="14" t="s">
        <v>1746</v>
      </c>
      <c r="F1740" s="17" t="s">
        <v>2993</v>
      </c>
      <c r="G1740" s="14">
        <v>599004</v>
      </c>
      <c r="H1740" s="14">
        <v>419302.8</v>
      </c>
      <c r="I1740" s="31">
        <f>IF(COUNTIFS(Addendum!C:C,A1740,Addendum!D:D,IF(ISNUMBER(B1740),TEXT(B1740,"0000"),B1740),Addendum!E:E,"X")&gt;0,4%,0)</f>
        <v>0</v>
      </c>
      <c r="J1740" s="31">
        <f>IF(COUNTIFS(Addendum!C:C,A1740,Addendum!D:D,IF(ISNUMBER(B1740),TEXT(B1740,"0000"),B1740),Addendum!F:F,"X")&gt;0,2.5%,0)</f>
        <v>0</v>
      </c>
      <c r="K1740" s="31">
        <f>IF(COUNTIFS(Addendum!C:C,A1740,Addendum!D:D,IF(ISNUMBER(B1740),TEXT(B1740,"0000"),B1740),Addendum!G:G,"X")&gt;0,7%,0)</f>
        <v>0</v>
      </c>
      <c r="L1740" s="31">
        <f>IF(COUNTIFS(Addendum!C:C,A1740,Addendum!D:D,IF(ISNUMBER(B1740),TEXT(B1740,"0000"),B1740),Addendum!I:I,"X")&gt;0,10%,0)</f>
        <v>0</v>
      </c>
      <c r="M1740" s="34">
        <f t="shared" si="54"/>
        <v>0</v>
      </c>
      <c r="N1740" s="17">
        <f t="shared" si="55"/>
        <v>419302.8</v>
      </c>
    </row>
    <row r="1741" spans="1:14" x14ac:dyDescent="0.25">
      <c r="A1741" s="14" t="s">
        <v>2300</v>
      </c>
      <c r="B1741" s="14" t="s">
        <v>269</v>
      </c>
      <c r="C1741" s="15" t="s">
        <v>2307</v>
      </c>
      <c r="D1741" s="14" t="s">
        <v>1752</v>
      </c>
      <c r="E1741" s="14" t="s">
        <v>1753</v>
      </c>
      <c r="F1741" s="17" t="s">
        <v>2995</v>
      </c>
      <c r="G1741" s="14">
        <v>27703800</v>
      </c>
      <c r="H1741" s="14">
        <v>24933420</v>
      </c>
      <c r="I1741" s="31">
        <f>IF(COUNTIFS(Addendum!C:C,A1741,Addendum!D:D,IF(ISNUMBER(B1741),TEXT(B1741,"0000"),B1741),Addendum!E:E,"X")&gt;0,4%,0)</f>
        <v>0</v>
      </c>
      <c r="J1741" s="31">
        <f>IF(COUNTIFS(Addendum!C:C,A1741,Addendum!D:D,IF(ISNUMBER(B1741),TEXT(B1741,"0000"),B1741),Addendum!F:F,"X")&gt;0,2.5%,0)</f>
        <v>0</v>
      </c>
      <c r="K1741" s="31">
        <f>IF(COUNTIFS(Addendum!C:C,A1741,Addendum!D:D,IF(ISNUMBER(B1741),TEXT(B1741,"0000"),B1741),Addendum!G:G,"X")&gt;0,7%,0)</f>
        <v>0</v>
      </c>
      <c r="L1741" s="31">
        <f>IF(COUNTIFS(Addendum!C:C,A1741,Addendum!D:D,IF(ISNUMBER(B1741),TEXT(B1741,"0000"),B1741),Addendum!I:I,"X")&gt;0,10%,0)</f>
        <v>0</v>
      </c>
      <c r="M1741" s="34">
        <f t="shared" si="54"/>
        <v>0</v>
      </c>
      <c r="N1741" s="17">
        <f t="shared" si="55"/>
        <v>24933420</v>
      </c>
    </row>
    <row r="1742" spans="1:14" x14ac:dyDescent="0.25">
      <c r="A1742" s="14" t="s">
        <v>2300</v>
      </c>
      <c r="B1742" s="14" t="s">
        <v>570</v>
      </c>
      <c r="C1742" s="15" t="s">
        <v>2302</v>
      </c>
      <c r="D1742" s="14" t="s">
        <v>1752</v>
      </c>
      <c r="E1742" s="14" t="s">
        <v>1753</v>
      </c>
      <c r="F1742" s="17" t="s">
        <v>2995</v>
      </c>
      <c r="G1742" s="14">
        <v>12728700</v>
      </c>
      <c r="H1742" s="14">
        <v>11455830</v>
      </c>
      <c r="I1742" s="31">
        <f>IF(COUNTIFS(Addendum!C:C,A1742,Addendum!D:D,IF(ISNUMBER(B1742),TEXT(B1742,"0000"),B1742),Addendum!E:E,"X")&gt;0,4%,0)</f>
        <v>0</v>
      </c>
      <c r="J1742" s="31">
        <f>IF(COUNTIFS(Addendum!C:C,A1742,Addendum!D:D,IF(ISNUMBER(B1742),TEXT(B1742,"0000"),B1742),Addendum!F:F,"X")&gt;0,2.5%,0)</f>
        <v>0</v>
      </c>
      <c r="K1742" s="31">
        <f>IF(COUNTIFS(Addendum!C:C,A1742,Addendum!D:D,IF(ISNUMBER(B1742),TEXT(B1742,"0000"),B1742),Addendum!G:G,"X")&gt;0,7%,0)</f>
        <v>0</v>
      </c>
      <c r="L1742" s="31">
        <f>IF(COUNTIFS(Addendum!C:C,A1742,Addendum!D:D,IF(ISNUMBER(B1742),TEXT(B1742,"0000"),B1742),Addendum!I:I,"X")&gt;0,10%,0)</f>
        <v>0</v>
      </c>
      <c r="M1742" s="34">
        <f t="shared" si="54"/>
        <v>0</v>
      </c>
      <c r="N1742" s="17">
        <f t="shared" si="55"/>
        <v>11455830</v>
      </c>
    </row>
    <row r="1743" spans="1:14" x14ac:dyDescent="0.25">
      <c r="A1743" s="14" t="s">
        <v>2300</v>
      </c>
      <c r="B1743" s="14" t="s">
        <v>577</v>
      </c>
      <c r="C1743" s="15" t="s">
        <v>2310</v>
      </c>
      <c r="D1743" s="14" t="s">
        <v>1745</v>
      </c>
      <c r="E1743" s="14" t="s">
        <v>1746</v>
      </c>
      <c r="F1743" s="17" t="s">
        <v>2994</v>
      </c>
      <c r="G1743" s="14">
        <v>15514128</v>
      </c>
      <c r="H1743" s="14">
        <v>10859890</v>
      </c>
      <c r="I1743" s="31">
        <f>IF(COUNTIFS(Addendum!C:C,A1743,Addendum!D:D,IF(ISNUMBER(B1743),TEXT(B1743,"0000"),B1743),Addendum!E:E,"X")&gt;0,4%,0)</f>
        <v>0</v>
      </c>
      <c r="J1743" s="31">
        <f>IF(COUNTIFS(Addendum!C:C,A1743,Addendum!D:D,IF(ISNUMBER(B1743),TEXT(B1743,"0000"),B1743),Addendum!F:F,"X")&gt;0,2.5%,0)</f>
        <v>0</v>
      </c>
      <c r="K1743" s="31">
        <f>IF(COUNTIFS(Addendum!C:C,A1743,Addendum!D:D,IF(ISNUMBER(B1743),TEXT(B1743,"0000"),B1743),Addendum!G:G,"X")&gt;0,7%,0)</f>
        <v>0</v>
      </c>
      <c r="L1743" s="31">
        <f>IF(COUNTIFS(Addendum!C:C,A1743,Addendum!D:D,IF(ISNUMBER(B1743),TEXT(B1743,"0000"),B1743),Addendum!I:I,"X")&gt;0,10%,0)</f>
        <v>0</v>
      </c>
      <c r="M1743" s="34">
        <f t="shared" si="54"/>
        <v>0</v>
      </c>
      <c r="N1743" s="17">
        <f t="shared" si="55"/>
        <v>10859890</v>
      </c>
    </row>
    <row r="1744" spans="1:14" x14ac:dyDescent="0.25">
      <c r="A1744" s="14" t="s">
        <v>2300</v>
      </c>
      <c r="B1744" s="14" t="s">
        <v>269</v>
      </c>
      <c r="C1744" s="15" t="s">
        <v>2307</v>
      </c>
      <c r="D1744" s="14" t="s">
        <v>1752</v>
      </c>
      <c r="E1744" s="14" t="s">
        <v>1747</v>
      </c>
      <c r="F1744" s="17" t="s">
        <v>2995</v>
      </c>
      <c r="G1744" s="14">
        <v>27703800</v>
      </c>
      <c r="H1744" s="14">
        <v>24933420</v>
      </c>
      <c r="I1744" s="31">
        <f>IF(COUNTIFS(Addendum!C:C,A1744,Addendum!D:D,IF(ISNUMBER(B1744),TEXT(B1744,"0000"),B1744),Addendum!E:E,"X")&gt;0,4%,0)</f>
        <v>0</v>
      </c>
      <c r="J1744" s="31">
        <f>IF(COUNTIFS(Addendum!C:C,A1744,Addendum!D:D,IF(ISNUMBER(B1744),TEXT(B1744,"0000"),B1744),Addendum!F:F,"X")&gt;0,2.5%,0)</f>
        <v>0</v>
      </c>
      <c r="K1744" s="31">
        <f>IF(COUNTIFS(Addendum!C:C,A1744,Addendum!D:D,IF(ISNUMBER(B1744),TEXT(B1744,"0000"),B1744),Addendum!G:G,"X")&gt;0,7%,0)</f>
        <v>0</v>
      </c>
      <c r="L1744" s="31">
        <f>IF(COUNTIFS(Addendum!C:C,A1744,Addendum!D:D,IF(ISNUMBER(B1744),TEXT(B1744,"0000"),B1744),Addendum!I:I,"X")&gt;0,10%,0)</f>
        <v>0</v>
      </c>
      <c r="M1744" s="34">
        <f t="shared" si="54"/>
        <v>0</v>
      </c>
      <c r="N1744" s="17">
        <f t="shared" si="55"/>
        <v>24933420</v>
      </c>
    </row>
    <row r="1745" spans="1:14" x14ac:dyDescent="0.25">
      <c r="A1745" s="14" t="s">
        <v>2300</v>
      </c>
      <c r="B1745" s="14" t="s">
        <v>20</v>
      </c>
      <c r="C1745" s="15" t="s">
        <v>2311</v>
      </c>
      <c r="D1745" s="14" t="s">
        <v>1749</v>
      </c>
      <c r="E1745" s="14" t="s">
        <v>1746</v>
      </c>
      <c r="F1745" s="17" t="s">
        <v>2993</v>
      </c>
      <c r="G1745" s="14">
        <v>74874</v>
      </c>
      <c r="H1745" s="14">
        <v>52411.8</v>
      </c>
      <c r="I1745" s="31">
        <f>IF(COUNTIFS(Addendum!C:C,A1745,Addendum!D:D,IF(ISNUMBER(B1745),TEXT(B1745,"0000"),B1745),Addendum!E:E,"X")&gt;0,4%,0)</f>
        <v>0</v>
      </c>
      <c r="J1745" s="31">
        <f>IF(COUNTIFS(Addendum!C:C,A1745,Addendum!D:D,IF(ISNUMBER(B1745),TEXT(B1745,"0000"),B1745),Addendum!F:F,"X")&gt;0,2.5%,0)</f>
        <v>0</v>
      </c>
      <c r="K1745" s="31">
        <f>IF(COUNTIFS(Addendum!C:C,A1745,Addendum!D:D,IF(ISNUMBER(B1745),TEXT(B1745,"0000"),B1745),Addendum!G:G,"X")&gt;0,7%,0)</f>
        <v>0</v>
      </c>
      <c r="L1745" s="31">
        <f>IF(COUNTIFS(Addendum!C:C,A1745,Addendum!D:D,IF(ISNUMBER(B1745),TEXT(B1745,"0000"),B1745),Addendum!I:I,"X")&gt;0,10%,0)</f>
        <v>0</v>
      </c>
      <c r="M1745" s="34">
        <f t="shared" si="54"/>
        <v>0</v>
      </c>
      <c r="N1745" s="17">
        <f t="shared" si="55"/>
        <v>52411.8</v>
      </c>
    </row>
    <row r="1746" spans="1:14" x14ac:dyDescent="0.25">
      <c r="A1746" s="14" t="s">
        <v>2300</v>
      </c>
      <c r="B1746" s="14">
        <v>9</v>
      </c>
      <c r="C1746" s="15" t="s">
        <v>2306</v>
      </c>
      <c r="D1746" s="14" t="s">
        <v>1752</v>
      </c>
      <c r="E1746" s="14" t="s">
        <v>1746</v>
      </c>
      <c r="F1746" s="17" t="s">
        <v>2993</v>
      </c>
      <c r="G1746" s="14">
        <v>53460918</v>
      </c>
      <c r="H1746" s="14">
        <v>37422643</v>
      </c>
      <c r="I1746" s="31">
        <f>IF(COUNTIFS(Addendum!C:C,A1746,Addendum!D:D,IF(ISNUMBER(B1746),TEXT(B1746,"0000"),B1746),Addendum!E:E,"X")&gt;0,4%,0)</f>
        <v>0</v>
      </c>
      <c r="J1746" s="31">
        <f>IF(COUNTIFS(Addendum!C:C,A1746,Addendum!D:D,IF(ISNUMBER(B1746),TEXT(B1746,"0000"),B1746),Addendum!F:F,"X")&gt;0,2.5%,0)</f>
        <v>0</v>
      </c>
      <c r="K1746" s="31">
        <f>IF(COUNTIFS(Addendum!C:C,A1746,Addendum!D:D,IF(ISNUMBER(B1746),TEXT(B1746,"0000"),B1746),Addendum!G:G,"X")&gt;0,7%,0)</f>
        <v>0</v>
      </c>
      <c r="L1746" s="31">
        <f>IF(COUNTIFS(Addendum!C:C,A1746,Addendum!D:D,IF(ISNUMBER(B1746),TEXT(B1746,"0000"),B1746),Addendum!I:I,"X")&gt;0,10%,0)</f>
        <v>0</v>
      </c>
      <c r="M1746" s="34">
        <f t="shared" si="54"/>
        <v>0</v>
      </c>
      <c r="N1746" s="17">
        <f t="shared" si="55"/>
        <v>37422643</v>
      </c>
    </row>
    <row r="1747" spans="1:14" x14ac:dyDescent="0.25">
      <c r="A1747" s="14" t="s">
        <v>2300</v>
      </c>
      <c r="B1747" s="14" t="s">
        <v>253</v>
      </c>
      <c r="C1747" s="15" t="s">
        <v>2303</v>
      </c>
      <c r="D1747" s="14" t="s">
        <v>1745</v>
      </c>
      <c r="E1747" s="14" t="s">
        <v>1746</v>
      </c>
      <c r="F1747" s="17" t="s">
        <v>2995</v>
      </c>
      <c r="G1747" s="14">
        <v>1572354</v>
      </c>
      <c r="H1747" s="14">
        <v>1415119</v>
      </c>
      <c r="I1747" s="31">
        <f>IF(COUNTIFS(Addendum!C:C,A1747,Addendum!D:D,IF(ISNUMBER(B1747),TEXT(B1747,"0000"),B1747),Addendum!E:E,"X")&gt;0,4%,0)</f>
        <v>0</v>
      </c>
      <c r="J1747" s="31">
        <f>IF(COUNTIFS(Addendum!C:C,A1747,Addendum!D:D,IF(ISNUMBER(B1747),TEXT(B1747,"0000"),B1747),Addendum!F:F,"X")&gt;0,2.5%,0)</f>
        <v>0</v>
      </c>
      <c r="K1747" s="31">
        <f>IF(COUNTIFS(Addendum!C:C,A1747,Addendum!D:D,IF(ISNUMBER(B1747),TEXT(B1747,"0000"),B1747),Addendum!G:G,"X")&gt;0,7%,0)</f>
        <v>0</v>
      </c>
      <c r="L1747" s="31">
        <f>IF(COUNTIFS(Addendum!C:C,A1747,Addendum!D:D,IF(ISNUMBER(B1747),TEXT(B1747,"0000"),B1747),Addendum!I:I,"X")&gt;0,10%,0)</f>
        <v>0</v>
      </c>
      <c r="M1747" s="34">
        <f t="shared" si="54"/>
        <v>0</v>
      </c>
      <c r="N1747" s="17">
        <f t="shared" si="55"/>
        <v>1415119</v>
      </c>
    </row>
    <row r="1748" spans="1:14" x14ac:dyDescent="0.25">
      <c r="A1748" s="14" t="s">
        <v>2300</v>
      </c>
      <c r="B1748" s="14" t="s">
        <v>253</v>
      </c>
      <c r="C1748" s="15" t="s">
        <v>2303</v>
      </c>
      <c r="D1748" s="14" t="s">
        <v>1752</v>
      </c>
      <c r="E1748" s="14" t="s">
        <v>1747</v>
      </c>
      <c r="F1748" s="17" t="s">
        <v>2995</v>
      </c>
      <c r="G1748" s="14">
        <v>4492440</v>
      </c>
      <c r="H1748" s="14">
        <v>4043196</v>
      </c>
      <c r="I1748" s="31">
        <f>IF(COUNTIFS(Addendum!C:C,A1748,Addendum!D:D,IF(ISNUMBER(B1748),TEXT(B1748,"0000"),B1748),Addendum!E:E,"X")&gt;0,4%,0)</f>
        <v>0</v>
      </c>
      <c r="J1748" s="31">
        <f>IF(COUNTIFS(Addendum!C:C,A1748,Addendum!D:D,IF(ISNUMBER(B1748),TEXT(B1748,"0000"),B1748),Addendum!F:F,"X")&gt;0,2.5%,0)</f>
        <v>0</v>
      </c>
      <c r="K1748" s="31">
        <f>IF(COUNTIFS(Addendum!C:C,A1748,Addendum!D:D,IF(ISNUMBER(B1748),TEXT(B1748,"0000"),B1748),Addendum!G:G,"X")&gt;0,7%,0)</f>
        <v>0</v>
      </c>
      <c r="L1748" s="31">
        <f>IF(COUNTIFS(Addendum!C:C,A1748,Addendum!D:D,IF(ISNUMBER(B1748),TEXT(B1748,"0000"),B1748),Addendum!I:I,"X")&gt;0,10%,0)</f>
        <v>0</v>
      </c>
      <c r="M1748" s="34">
        <f t="shared" si="54"/>
        <v>0</v>
      </c>
      <c r="N1748" s="17">
        <f t="shared" si="55"/>
        <v>4043196</v>
      </c>
    </row>
    <row r="1749" spans="1:14" x14ac:dyDescent="0.25">
      <c r="A1749" s="14" t="s">
        <v>2300</v>
      </c>
      <c r="B1749" s="14" t="s">
        <v>269</v>
      </c>
      <c r="C1749" s="15" t="s">
        <v>2307</v>
      </c>
      <c r="D1749" s="14" t="s">
        <v>1745</v>
      </c>
      <c r="E1749" s="14" t="s">
        <v>1746</v>
      </c>
      <c r="F1749" s="17" t="s">
        <v>2995</v>
      </c>
      <c r="G1749" s="14">
        <v>9696330</v>
      </c>
      <c r="H1749" s="14">
        <v>8726697</v>
      </c>
      <c r="I1749" s="31">
        <f>IF(COUNTIFS(Addendum!C:C,A1749,Addendum!D:D,IF(ISNUMBER(B1749),TEXT(B1749,"0000"),B1749),Addendum!E:E,"X")&gt;0,4%,0)</f>
        <v>0</v>
      </c>
      <c r="J1749" s="31">
        <f>IF(COUNTIFS(Addendum!C:C,A1749,Addendum!D:D,IF(ISNUMBER(B1749),TEXT(B1749,"0000"),B1749),Addendum!F:F,"X")&gt;0,2.5%,0)</f>
        <v>0</v>
      </c>
      <c r="K1749" s="31">
        <f>IF(COUNTIFS(Addendum!C:C,A1749,Addendum!D:D,IF(ISNUMBER(B1749),TEXT(B1749,"0000"),B1749),Addendum!G:G,"X")&gt;0,7%,0)</f>
        <v>0</v>
      </c>
      <c r="L1749" s="31">
        <f>IF(COUNTIFS(Addendum!C:C,A1749,Addendum!D:D,IF(ISNUMBER(B1749),TEXT(B1749,"0000"),B1749),Addendum!I:I,"X")&gt;0,10%,0)</f>
        <v>0</v>
      </c>
      <c r="M1749" s="34">
        <f t="shared" si="54"/>
        <v>0</v>
      </c>
      <c r="N1749" s="17">
        <f t="shared" si="55"/>
        <v>8726697</v>
      </c>
    </row>
    <row r="1750" spans="1:14" x14ac:dyDescent="0.25">
      <c r="A1750" s="14" t="s">
        <v>2300</v>
      </c>
      <c r="B1750" s="14" t="s">
        <v>16</v>
      </c>
      <c r="C1750" s="15" t="s">
        <v>2308</v>
      </c>
      <c r="D1750" s="14" t="s">
        <v>1752</v>
      </c>
      <c r="E1750" s="14" t="s">
        <v>1746</v>
      </c>
      <c r="F1750" s="17" t="s">
        <v>2993</v>
      </c>
      <c r="G1750" s="14">
        <v>18868626</v>
      </c>
      <c r="H1750" s="14">
        <v>13208038</v>
      </c>
      <c r="I1750" s="31">
        <f>IF(COUNTIFS(Addendum!C:C,A1750,Addendum!D:D,IF(ISNUMBER(B1750),TEXT(B1750,"0000"),B1750),Addendum!E:E,"X")&gt;0,4%,0)</f>
        <v>0</v>
      </c>
      <c r="J1750" s="31">
        <f>IF(COUNTIFS(Addendum!C:C,A1750,Addendum!D:D,IF(ISNUMBER(B1750),TEXT(B1750,"0000"),B1750),Addendum!F:F,"X")&gt;0,2.5%,0)</f>
        <v>0</v>
      </c>
      <c r="K1750" s="31">
        <f>IF(COUNTIFS(Addendum!C:C,A1750,Addendum!D:D,IF(ISNUMBER(B1750),TEXT(B1750,"0000"),B1750),Addendum!G:G,"X")&gt;0,7%,0)</f>
        <v>0</v>
      </c>
      <c r="L1750" s="31">
        <f>IF(COUNTIFS(Addendum!C:C,A1750,Addendum!D:D,IF(ISNUMBER(B1750),TEXT(B1750,"0000"),B1750),Addendum!I:I,"X")&gt;0,10%,0)</f>
        <v>0</v>
      </c>
      <c r="M1750" s="34">
        <f t="shared" si="54"/>
        <v>0</v>
      </c>
      <c r="N1750" s="17">
        <f t="shared" si="55"/>
        <v>13208038</v>
      </c>
    </row>
    <row r="1751" spans="1:14" x14ac:dyDescent="0.25">
      <c r="A1751" s="14" t="s">
        <v>2300</v>
      </c>
      <c r="B1751" s="14" t="s">
        <v>265</v>
      </c>
      <c r="C1751" s="15" t="s">
        <v>2312</v>
      </c>
      <c r="D1751" s="14" t="s">
        <v>1745</v>
      </c>
      <c r="E1751" s="14" t="s">
        <v>1746</v>
      </c>
      <c r="F1751" s="17" t="s">
        <v>2994</v>
      </c>
      <c r="G1751" s="14">
        <v>21331926</v>
      </c>
      <c r="H1751" s="14">
        <v>14932348</v>
      </c>
      <c r="I1751" s="31">
        <f>IF(COUNTIFS(Addendum!C:C,A1751,Addendum!D:D,IF(ISNUMBER(B1751),TEXT(B1751,"0000"),B1751),Addendum!E:E,"X")&gt;0,4%,0)</f>
        <v>0</v>
      </c>
      <c r="J1751" s="31">
        <f>IF(COUNTIFS(Addendum!C:C,A1751,Addendum!D:D,IF(ISNUMBER(B1751),TEXT(B1751,"0000"),B1751),Addendum!F:F,"X")&gt;0,2.5%,0)</f>
        <v>0</v>
      </c>
      <c r="K1751" s="31">
        <f>IF(COUNTIFS(Addendum!C:C,A1751,Addendum!D:D,IF(ISNUMBER(B1751),TEXT(B1751,"0000"),B1751),Addendum!G:G,"X")&gt;0,7%,0)</f>
        <v>0</v>
      </c>
      <c r="L1751" s="31">
        <f>IF(COUNTIFS(Addendum!C:C,A1751,Addendum!D:D,IF(ISNUMBER(B1751),TEXT(B1751,"0000"),B1751),Addendum!I:I,"X")&gt;0,10%,0)</f>
        <v>0</v>
      </c>
      <c r="M1751" s="34">
        <f t="shared" si="54"/>
        <v>0</v>
      </c>
      <c r="N1751" s="17">
        <f t="shared" si="55"/>
        <v>14932348</v>
      </c>
    </row>
    <row r="1752" spans="1:14" x14ac:dyDescent="0.25">
      <c r="A1752" s="14" t="s">
        <v>2300</v>
      </c>
      <c r="B1752" s="14" t="s">
        <v>356</v>
      </c>
      <c r="C1752" s="15" t="s">
        <v>2313</v>
      </c>
      <c r="D1752" s="14" t="s">
        <v>1745</v>
      </c>
      <c r="E1752" s="14" t="s">
        <v>1747</v>
      </c>
      <c r="F1752" s="17" t="s">
        <v>2994</v>
      </c>
      <c r="G1752" s="14">
        <v>6788700</v>
      </c>
      <c r="H1752" s="14">
        <v>4752090</v>
      </c>
      <c r="I1752" s="31">
        <f>IF(COUNTIFS(Addendum!C:C,A1752,Addendum!D:D,IF(ISNUMBER(B1752),TEXT(B1752,"0000"),B1752),Addendum!E:E,"X")&gt;0,4%,0)</f>
        <v>0</v>
      </c>
      <c r="J1752" s="31">
        <f>IF(COUNTIFS(Addendum!C:C,A1752,Addendum!D:D,IF(ISNUMBER(B1752),TEXT(B1752,"0000"),B1752),Addendum!F:F,"X")&gt;0,2.5%,0)</f>
        <v>0</v>
      </c>
      <c r="K1752" s="31">
        <f>IF(COUNTIFS(Addendum!C:C,A1752,Addendum!D:D,IF(ISNUMBER(B1752),TEXT(B1752,"0000"),B1752),Addendum!G:G,"X")&gt;0,7%,0)</f>
        <v>0</v>
      </c>
      <c r="L1752" s="31">
        <f>IF(COUNTIFS(Addendum!C:C,A1752,Addendum!D:D,IF(ISNUMBER(B1752),TEXT(B1752,"0000"),B1752),Addendum!I:I,"X")&gt;0,10%,0)</f>
        <v>0</v>
      </c>
      <c r="M1752" s="34">
        <f t="shared" si="54"/>
        <v>0</v>
      </c>
      <c r="N1752" s="17">
        <f t="shared" si="55"/>
        <v>4752090</v>
      </c>
    </row>
    <row r="1753" spans="1:14" x14ac:dyDescent="0.25">
      <c r="A1753" s="14" t="s">
        <v>2300</v>
      </c>
      <c r="B1753" s="14">
        <v>8</v>
      </c>
      <c r="C1753" s="15" t="s">
        <v>2305</v>
      </c>
      <c r="D1753" s="14" t="s">
        <v>1745</v>
      </c>
      <c r="E1753" s="14" t="s">
        <v>1747</v>
      </c>
      <c r="F1753" s="17" t="s">
        <v>2993</v>
      </c>
      <c r="G1753" s="14">
        <v>36938460</v>
      </c>
      <c r="H1753" s="14">
        <v>25856922</v>
      </c>
      <c r="I1753" s="31">
        <f>IF(COUNTIFS(Addendum!C:C,A1753,Addendum!D:D,IF(ISNUMBER(B1753),TEXT(B1753,"0000"),B1753),Addendum!E:E,"X")&gt;0,4%,0)</f>
        <v>0</v>
      </c>
      <c r="J1753" s="31">
        <f>IF(COUNTIFS(Addendum!C:C,A1753,Addendum!D:D,IF(ISNUMBER(B1753),TEXT(B1753,"0000"),B1753),Addendum!F:F,"X")&gt;0,2.5%,0)</f>
        <v>0</v>
      </c>
      <c r="K1753" s="31">
        <f>IF(COUNTIFS(Addendum!C:C,A1753,Addendum!D:D,IF(ISNUMBER(B1753),TEXT(B1753,"0000"),B1753),Addendum!G:G,"X")&gt;0,7%,0)</f>
        <v>0</v>
      </c>
      <c r="L1753" s="31">
        <f>IF(COUNTIFS(Addendum!C:C,A1753,Addendum!D:D,IF(ISNUMBER(B1753),TEXT(B1753,"0000"),B1753),Addendum!I:I,"X")&gt;0,10%,0)</f>
        <v>0</v>
      </c>
      <c r="M1753" s="34">
        <f t="shared" si="54"/>
        <v>0</v>
      </c>
      <c r="N1753" s="17">
        <f t="shared" si="55"/>
        <v>25856922</v>
      </c>
    </row>
    <row r="1754" spans="1:14" x14ac:dyDescent="0.25">
      <c r="A1754" s="14" t="s">
        <v>2300</v>
      </c>
      <c r="B1754" s="14" t="s">
        <v>356</v>
      </c>
      <c r="C1754" s="15" t="s">
        <v>2313</v>
      </c>
      <c r="D1754" s="14" t="s">
        <v>1745</v>
      </c>
      <c r="E1754" s="14" t="s">
        <v>1746</v>
      </c>
      <c r="F1754" s="17" t="s">
        <v>2994</v>
      </c>
      <c r="G1754" s="14">
        <v>7128135</v>
      </c>
      <c r="H1754" s="14">
        <v>4989695</v>
      </c>
      <c r="I1754" s="31">
        <f>IF(COUNTIFS(Addendum!C:C,A1754,Addendum!D:D,IF(ISNUMBER(B1754),TEXT(B1754,"0000"),B1754),Addendum!E:E,"X")&gt;0,4%,0)</f>
        <v>0</v>
      </c>
      <c r="J1754" s="31">
        <f>IF(COUNTIFS(Addendum!C:C,A1754,Addendum!D:D,IF(ISNUMBER(B1754),TEXT(B1754,"0000"),B1754),Addendum!F:F,"X")&gt;0,2.5%,0)</f>
        <v>0</v>
      </c>
      <c r="K1754" s="31">
        <f>IF(COUNTIFS(Addendum!C:C,A1754,Addendum!D:D,IF(ISNUMBER(B1754),TEXT(B1754,"0000"),B1754),Addendum!G:G,"X")&gt;0,7%,0)</f>
        <v>0</v>
      </c>
      <c r="L1754" s="31">
        <f>IF(COUNTIFS(Addendum!C:C,A1754,Addendum!D:D,IF(ISNUMBER(B1754),TEXT(B1754,"0000"),B1754),Addendum!I:I,"X")&gt;0,10%,0)</f>
        <v>0</v>
      </c>
      <c r="M1754" s="34">
        <f t="shared" si="54"/>
        <v>0</v>
      </c>
      <c r="N1754" s="17">
        <f t="shared" si="55"/>
        <v>4989695</v>
      </c>
    </row>
    <row r="1755" spans="1:14" x14ac:dyDescent="0.25">
      <c r="A1755" s="14" t="s">
        <v>2300</v>
      </c>
      <c r="B1755" s="14" t="s">
        <v>577</v>
      </c>
      <c r="C1755" s="15" t="s">
        <v>2310</v>
      </c>
      <c r="D1755" s="14" t="s">
        <v>1745</v>
      </c>
      <c r="E1755" s="14" t="s">
        <v>1747</v>
      </c>
      <c r="F1755" s="17" t="s">
        <v>2994</v>
      </c>
      <c r="G1755" s="14">
        <v>14775360</v>
      </c>
      <c r="H1755" s="14">
        <v>10342752</v>
      </c>
      <c r="I1755" s="31">
        <f>IF(COUNTIFS(Addendum!C:C,A1755,Addendum!D:D,IF(ISNUMBER(B1755),TEXT(B1755,"0000"),B1755),Addendum!E:E,"X")&gt;0,4%,0)</f>
        <v>0</v>
      </c>
      <c r="J1755" s="31">
        <f>IF(COUNTIFS(Addendum!C:C,A1755,Addendum!D:D,IF(ISNUMBER(B1755),TEXT(B1755,"0000"),B1755),Addendum!F:F,"X")&gt;0,2.5%,0)</f>
        <v>0</v>
      </c>
      <c r="K1755" s="31">
        <f>IF(COUNTIFS(Addendum!C:C,A1755,Addendum!D:D,IF(ISNUMBER(B1755),TEXT(B1755,"0000"),B1755),Addendum!G:G,"X")&gt;0,7%,0)</f>
        <v>0</v>
      </c>
      <c r="L1755" s="31">
        <f>IF(COUNTIFS(Addendum!C:C,A1755,Addendum!D:D,IF(ISNUMBER(B1755),TEXT(B1755,"0000"),B1755),Addendum!I:I,"X")&gt;0,10%,0)</f>
        <v>0</v>
      </c>
      <c r="M1755" s="34">
        <f t="shared" si="54"/>
        <v>0</v>
      </c>
      <c r="N1755" s="17">
        <f t="shared" si="55"/>
        <v>10342752</v>
      </c>
    </row>
    <row r="1756" spans="1:14" x14ac:dyDescent="0.25">
      <c r="A1756" s="14" t="s">
        <v>2300</v>
      </c>
      <c r="B1756" s="14" t="s">
        <v>805</v>
      </c>
      <c r="C1756" s="15" t="s">
        <v>2309</v>
      </c>
      <c r="D1756" s="14" t="s">
        <v>1745</v>
      </c>
      <c r="E1756" s="14" t="s">
        <v>1747</v>
      </c>
      <c r="F1756" s="17" t="s">
        <v>2994</v>
      </c>
      <c r="G1756" s="14">
        <v>3294480</v>
      </c>
      <c r="H1756" s="14">
        <v>2306136</v>
      </c>
      <c r="I1756" s="31">
        <f>IF(COUNTIFS(Addendum!C:C,A1756,Addendum!D:D,IF(ISNUMBER(B1756),TEXT(B1756,"0000"),B1756),Addendum!E:E,"X")&gt;0,4%,0)</f>
        <v>0</v>
      </c>
      <c r="J1756" s="31">
        <f>IF(COUNTIFS(Addendum!C:C,A1756,Addendum!D:D,IF(ISNUMBER(B1756),TEXT(B1756,"0000"),B1756),Addendum!F:F,"X")&gt;0,2.5%,0)</f>
        <v>0</v>
      </c>
      <c r="K1756" s="31">
        <f>IF(COUNTIFS(Addendum!C:C,A1756,Addendum!D:D,IF(ISNUMBER(B1756),TEXT(B1756,"0000"),B1756),Addendum!G:G,"X")&gt;0,7%,0)</f>
        <v>0</v>
      </c>
      <c r="L1756" s="31">
        <f>IF(COUNTIFS(Addendum!C:C,A1756,Addendum!D:D,IF(ISNUMBER(B1756),TEXT(B1756,"0000"),B1756),Addendum!I:I,"X")&gt;0,10%,0)</f>
        <v>0</v>
      </c>
      <c r="M1756" s="34">
        <f t="shared" si="54"/>
        <v>0</v>
      </c>
      <c r="N1756" s="17">
        <f t="shared" si="55"/>
        <v>2306136</v>
      </c>
    </row>
    <row r="1757" spans="1:14" x14ac:dyDescent="0.25">
      <c r="A1757" s="14" t="s">
        <v>2300</v>
      </c>
      <c r="B1757" s="14" t="s">
        <v>16</v>
      </c>
      <c r="C1757" s="15" t="s">
        <v>2308</v>
      </c>
      <c r="D1757" s="14" t="s">
        <v>1752</v>
      </c>
      <c r="E1757" s="14" t="s">
        <v>1753</v>
      </c>
      <c r="F1757" s="17" t="s">
        <v>2993</v>
      </c>
      <c r="G1757" s="14">
        <v>17970120</v>
      </c>
      <c r="H1757" s="14">
        <v>12579084</v>
      </c>
      <c r="I1757" s="31">
        <f>IF(COUNTIFS(Addendum!C:C,A1757,Addendum!D:D,IF(ISNUMBER(B1757),TEXT(B1757,"0000"),B1757),Addendum!E:E,"X")&gt;0,4%,0)</f>
        <v>0</v>
      </c>
      <c r="J1757" s="31">
        <f>IF(COUNTIFS(Addendum!C:C,A1757,Addendum!D:D,IF(ISNUMBER(B1757),TEXT(B1757,"0000"),B1757),Addendum!F:F,"X")&gt;0,2.5%,0)</f>
        <v>0</v>
      </c>
      <c r="K1757" s="31">
        <f>IF(COUNTIFS(Addendum!C:C,A1757,Addendum!D:D,IF(ISNUMBER(B1757),TEXT(B1757,"0000"),B1757),Addendum!G:G,"X")&gt;0,7%,0)</f>
        <v>0</v>
      </c>
      <c r="L1757" s="31">
        <f>IF(COUNTIFS(Addendum!C:C,A1757,Addendum!D:D,IF(ISNUMBER(B1757),TEXT(B1757,"0000"),B1757),Addendum!I:I,"X")&gt;0,10%,0)</f>
        <v>0</v>
      </c>
      <c r="M1757" s="34">
        <f t="shared" si="54"/>
        <v>0</v>
      </c>
      <c r="N1757" s="17">
        <f t="shared" si="55"/>
        <v>12579084</v>
      </c>
    </row>
    <row r="1758" spans="1:14" x14ac:dyDescent="0.25">
      <c r="A1758" s="14" t="s">
        <v>2300</v>
      </c>
      <c r="B1758" s="14" t="s">
        <v>269</v>
      </c>
      <c r="C1758" s="15" t="s">
        <v>2307</v>
      </c>
      <c r="D1758" s="14" t="s">
        <v>1745</v>
      </c>
      <c r="E1758" s="14" t="s">
        <v>1747</v>
      </c>
      <c r="F1758" s="17" t="s">
        <v>2995</v>
      </c>
      <c r="G1758" s="14">
        <v>9234600</v>
      </c>
      <c r="H1758" s="14">
        <v>8311140</v>
      </c>
      <c r="I1758" s="31">
        <f>IF(COUNTIFS(Addendum!C:C,A1758,Addendum!D:D,IF(ISNUMBER(B1758),TEXT(B1758,"0000"),B1758),Addendum!E:E,"X")&gt;0,4%,0)</f>
        <v>0</v>
      </c>
      <c r="J1758" s="31">
        <f>IF(COUNTIFS(Addendum!C:C,A1758,Addendum!D:D,IF(ISNUMBER(B1758),TEXT(B1758,"0000"),B1758),Addendum!F:F,"X")&gt;0,2.5%,0)</f>
        <v>0</v>
      </c>
      <c r="K1758" s="31">
        <f>IF(COUNTIFS(Addendum!C:C,A1758,Addendum!D:D,IF(ISNUMBER(B1758),TEXT(B1758,"0000"),B1758),Addendum!G:G,"X")&gt;0,7%,0)</f>
        <v>0</v>
      </c>
      <c r="L1758" s="31">
        <f>IF(COUNTIFS(Addendum!C:C,A1758,Addendum!D:D,IF(ISNUMBER(B1758),TEXT(B1758,"0000"),B1758),Addendum!I:I,"X")&gt;0,10%,0)</f>
        <v>0</v>
      </c>
      <c r="M1758" s="34">
        <f t="shared" si="54"/>
        <v>0</v>
      </c>
      <c r="N1758" s="17">
        <f t="shared" si="55"/>
        <v>8311140</v>
      </c>
    </row>
    <row r="1759" spans="1:14" x14ac:dyDescent="0.25">
      <c r="A1759" s="14" t="s">
        <v>2300</v>
      </c>
      <c r="B1759" s="14" t="s">
        <v>253</v>
      </c>
      <c r="C1759" s="15" t="s">
        <v>2303</v>
      </c>
      <c r="D1759" s="14" t="s">
        <v>1752</v>
      </c>
      <c r="E1759" s="14" t="s">
        <v>1753</v>
      </c>
      <c r="F1759" s="17" t="s">
        <v>2995</v>
      </c>
      <c r="G1759" s="14">
        <v>4492440</v>
      </c>
      <c r="H1759" s="14">
        <v>4043196</v>
      </c>
      <c r="I1759" s="31">
        <f>IF(COUNTIFS(Addendum!C:C,A1759,Addendum!D:D,IF(ISNUMBER(B1759),TEXT(B1759,"0000"),B1759),Addendum!E:E,"X")&gt;0,4%,0)</f>
        <v>0</v>
      </c>
      <c r="J1759" s="31">
        <f>IF(COUNTIFS(Addendum!C:C,A1759,Addendum!D:D,IF(ISNUMBER(B1759),TEXT(B1759,"0000"),B1759),Addendum!F:F,"X")&gt;0,2.5%,0)</f>
        <v>0</v>
      </c>
      <c r="K1759" s="31">
        <f>IF(COUNTIFS(Addendum!C:C,A1759,Addendum!D:D,IF(ISNUMBER(B1759),TEXT(B1759,"0000"),B1759),Addendum!G:G,"X")&gt;0,7%,0)</f>
        <v>0</v>
      </c>
      <c r="L1759" s="31">
        <f>IF(COUNTIFS(Addendum!C:C,A1759,Addendum!D:D,IF(ISNUMBER(B1759),TEXT(B1759,"0000"),B1759),Addendum!I:I,"X")&gt;0,10%,0)</f>
        <v>0</v>
      </c>
      <c r="M1759" s="34">
        <f t="shared" si="54"/>
        <v>0</v>
      </c>
      <c r="N1759" s="17">
        <f t="shared" si="55"/>
        <v>4043196</v>
      </c>
    </row>
    <row r="1760" spans="1:14" x14ac:dyDescent="0.25">
      <c r="A1760" s="14" t="s">
        <v>2300</v>
      </c>
      <c r="B1760" s="14">
        <v>8</v>
      </c>
      <c r="C1760" s="15" t="s">
        <v>2305</v>
      </c>
      <c r="D1760" s="14" t="s">
        <v>1752</v>
      </c>
      <c r="E1760" s="14" t="s">
        <v>1746</v>
      </c>
      <c r="F1760" s="17" t="s">
        <v>2993</v>
      </c>
      <c r="G1760" s="16">
        <v>116000000</v>
      </c>
      <c r="H1760" s="14">
        <v>81449304</v>
      </c>
      <c r="I1760" s="31">
        <f>IF(COUNTIFS(Addendum!C:C,A1760,Addendum!D:D,IF(ISNUMBER(B1760),TEXT(B1760,"0000"),B1760),Addendum!E:E,"X")&gt;0,4%,0)</f>
        <v>0</v>
      </c>
      <c r="J1760" s="31">
        <f>IF(COUNTIFS(Addendum!C:C,A1760,Addendum!D:D,IF(ISNUMBER(B1760),TEXT(B1760,"0000"),B1760),Addendum!F:F,"X")&gt;0,2.5%,0)</f>
        <v>0</v>
      </c>
      <c r="K1760" s="31">
        <f>IF(COUNTIFS(Addendum!C:C,A1760,Addendum!D:D,IF(ISNUMBER(B1760),TEXT(B1760,"0000"),B1760),Addendum!G:G,"X")&gt;0,7%,0)</f>
        <v>0</v>
      </c>
      <c r="L1760" s="31">
        <f>IF(COUNTIFS(Addendum!C:C,A1760,Addendum!D:D,IF(ISNUMBER(B1760),TEXT(B1760,"0000"),B1760),Addendum!I:I,"X")&gt;0,10%,0)</f>
        <v>0</v>
      </c>
      <c r="M1760" s="34">
        <f t="shared" si="54"/>
        <v>0</v>
      </c>
      <c r="N1760" s="17">
        <f t="shared" si="55"/>
        <v>81449304</v>
      </c>
    </row>
    <row r="1761" spans="1:14" x14ac:dyDescent="0.25">
      <c r="A1761" s="14" t="s">
        <v>2300</v>
      </c>
      <c r="B1761" s="14" t="s">
        <v>16</v>
      </c>
      <c r="C1761" s="15" t="s">
        <v>2308</v>
      </c>
      <c r="D1761" s="14" t="s">
        <v>1745</v>
      </c>
      <c r="E1761" s="14" t="s">
        <v>1746</v>
      </c>
      <c r="F1761" s="17" t="s">
        <v>2993</v>
      </c>
      <c r="G1761" s="14">
        <v>6289542</v>
      </c>
      <c r="H1761" s="14">
        <v>4402679</v>
      </c>
      <c r="I1761" s="31">
        <f>IF(COUNTIFS(Addendum!C:C,A1761,Addendum!D:D,IF(ISNUMBER(B1761),TEXT(B1761,"0000"),B1761),Addendum!E:E,"X")&gt;0,4%,0)</f>
        <v>0</v>
      </c>
      <c r="J1761" s="31">
        <f>IF(COUNTIFS(Addendum!C:C,A1761,Addendum!D:D,IF(ISNUMBER(B1761),TEXT(B1761,"0000"),B1761),Addendum!F:F,"X")&gt;0,2.5%,0)</f>
        <v>0</v>
      </c>
      <c r="K1761" s="31">
        <f>IF(COUNTIFS(Addendum!C:C,A1761,Addendum!D:D,IF(ISNUMBER(B1761),TEXT(B1761,"0000"),B1761),Addendum!G:G,"X")&gt;0,7%,0)</f>
        <v>0</v>
      </c>
      <c r="L1761" s="31">
        <f>IF(COUNTIFS(Addendum!C:C,A1761,Addendum!D:D,IF(ISNUMBER(B1761),TEXT(B1761,"0000"),B1761),Addendum!I:I,"X")&gt;0,10%,0)</f>
        <v>0</v>
      </c>
      <c r="M1761" s="34">
        <f t="shared" si="54"/>
        <v>0</v>
      </c>
      <c r="N1761" s="17">
        <f t="shared" si="55"/>
        <v>4402679</v>
      </c>
    </row>
    <row r="1762" spans="1:14" x14ac:dyDescent="0.25">
      <c r="A1762" s="14" t="s">
        <v>2300</v>
      </c>
      <c r="B1762" s="14" t="s">
        <v>256</v>
      </c>
      <c r="C1762" s="15" t="s">
        <v>2301</v>
      </c>
      <c r="D1762" s="14" t="s">
        <v>1745</v>
      </c>
      <c r="E1762" s="14" t="s">
        <v>1747</v>
      </c>
      <c r="F1762" s="17" t="s">
        <v>2994</v>
      </c>
      <c r="G1762" s="14">
        <v>2395980</v>
      </c>
      <c r="H1762" s="14">
        <v>1677186</v>
      </c>
      <c r="I1762" s="31">
        <f>IF(COUNTIFS(Addendum!C:C,A1762,Addendum!D:D,IF(ISNUMBER(B1762),TEXT(B1762,"0000"),B1762),Addendum!E:E,"X")&gt;0,4%,0)</f>
        <v>0</v>
      </c>
      <c r="J1762" s="31">
        <f>IF(COUNTIFS(Addendum!C:C,A1762,Addendum!D:D,IF(ISNUMBER(B1762),TEXT(B1762,"0000"),B1762),Addendum!F:F,"X")&gt;0,2.5%,0)</f>
        <v>0</v>
      </c>
      <c r="K1762" s="31">
        <f>IF(COUNTIFS(Addendum!C:C,A1762,Addendum!D:D,IF(ISNUMBER(B1762),TEXT(B1762,"0000"),B1762),Addendum!G:G,"X")&gt;0,7%,0)</f>
        <v>0</v>
      </c>
      <c r="L1762" s="31">
        <f>IF(COUNTIFS(Addendum!C:C,A1762,Addendum!D:D,IF(ISNUMBER(B1762),TEXT(B1762,"0000"),B1762),Addendum!I:I,"X")&gt;0,10%,0)</f>
        <v>0</v>
      </c>
      <c r="M1762" s="34">
        <f t="shared" si="54"/>
        <v>0</v>
      </c>
      <c r="N1762" s="17">
        <f t="shared" si="55"/>
        <v>1677186</v>
      </c>
    </row>
    <row r="1763" spans="1:14" x14ac:dyDescent="0.25">
      <c r="A1763" s="14" t="s">
        <v>2300</v>
      </c>
      <c r="B1763" s="14">
        <v>8</v>
      </c>
      <c r="C1763" s="15" t="s">
        <v>2305</v>
      </c>
      <c r="D1763" s="14" t="s">
        <v>1752</v>
      </c>
      <c r="E1763" s="14" t="s">
        <v>1753</v>
      </c>
      <c r="F1763" s="17" t="s">
        <v>2993</v>
      </c>
      <c r="G1763" s="16">
        <v>111000000</v>
      </c>
      <c r="H1763" s="14">
        <v>77570766</v>
      </c>
      <c r="I1763" s="31">
        <f>IF(COUNTIFS(Addendum!C:C,A1763,Addendum!D:D,IF(ISNUMBER(B1763),TEXT(B1763,"0000"),B1763),Addendum!E:E,"X")&gt;0,4%,0)</f>
        <v>0</v>
      </c>
      <c r="J1763" s="31">
        <f>IF(COUNTIFS(Addendum!C:C,A1763,Addendum!D:D,IF(ISNUMBER(B1763),TEXT(B1763,"0000"),B1763),Addendum!F:F,"X")&gt;0,2.5%,0)</f>
        <v>0</v>
      </c>
      <c r="K1763" s="31">
        <f>IF(COUNTIFS(Addendum!C:C,A1763,Addendum!D:D,IF(ISNUMBER(B1763),TEXT(B1763,"0000"),B1763),Addendum!G:G,"X")&gt;0,7%,0)</f>
        <v>0</v>
      </c>
      <c r="L1763" s="31">
        <f>IF(COUNTIFS(Addendum!C:C,A1763,Addendum!D:D,IF(ISNUMBER(B1763),TEXT(B1763,"0000"),B1763),Addendum!I:I,"X")&gt;0,10%,0)</f>
        <v>0</v>
      </c>
      <c r="M1763" s="34">
        <f t="shared" si="54"/>
        <v>0</v>
      </c>
      <c r="N1763" s="17">
        <f t="shared" si="55"/>
        <v>77570766</v>
      </c>
    </row>
    <row r="1764" spans="1:14" x14ac:dyDescent="0.25">
      <c r="A1764" s="14" t="s">
        <v>2300</v>
      </c>
      <c r="B1764" s="14">
        <v>9</v>
      </c>
      <c r="C1764" s="15" t="s">
        <v>2306</v>
      </c>
      <c r="D1764" s="14" t="s">
        <v>1745</v>
      </c>
      <c r="E1764" s="14" t="s">
        <v>1746</v>
      </c>
      <c r="F1764" s="17" t="s">
        <v>2993</v>
      </c>
      <c r="G1764" s="14">
        <v>17820306</v>
      </c>
      <c r="H1764" s="14">
        <v>12474214</v>
      </c>
      <c r="I1764" s="31">
        <f>IF(COUNTIFS(Addendum!C:C,A1764,Addendum!D:D,IF(ISNUMBER(B1764),TEXT(B1764,"0000"),B1764),Addendum!E:E,"X")&gt;0,4%,0)</f>
        <v>0</v>
      </c>
      <c r="J1764" s="31">
        <f>IF(COUNTIFS(Addendum!C:C,A1764,Addendum!D:D,IF(ISNUMBER(B1764),TEXT(B1764,"0000"),B1764),Addendum!F:F,"X")&gt;0,2.5%,0)</f>
        <v>0</v>
      </c>
      <c r="K1764" s="31">
        <f>IF(COUNTIFS(Addendum!C:C,A1764,Addendum!D:D,IF(ISNUMBER(B1764),TEXT(B1764,"0000"),B1764),Addendum!G:G,"X")&gt;0,7%,0)</f>
        <v>0</v>
      </c>
      <c r="L1764" s="31">
        <f>IF(COUNTIFS(Addendum!C:C,A1764,Addendum!D:D,IF(ISNUMBER(B1764),TEXT(B1764,"0000"),B1764),Addendum!I:I,"X")&gt;0,10%,0)</f>
        <v>0</v>
      </c>
      <c r="M1764" s="34">
        <f t="shared" si="54"/>
        <v>0</v>
      </c>
      <c r="N1764" s="17">
        <f t="shared" si="55"/>
        <v>12474214</v>
      </c>
    </row>
    <row r="1765" spans="1:14" x14ac:dyDescent="0.25">
      <c r="A1765" s="14" t="s">
        <v>2300</v>
      </c>
      <c r="B1765" s="14" t="s">
        <v>265</v>
      </c>
      <c r="C1765" s="15" t="s">
        <v>2312</v>
      </c>
      <c r="D1765" s="14" t="s">
        <v>1749</v>
      </c>
      <c r="E1765" s="14" t="s">
        <v>1746</v>
      </c>
      <c r="F1765" s="17" t="s">
        <v>2994</v>
      </c>
      <c r="G1765" s="14">
        <v>2031612</v>
      </c>
      <c r="H1765" s="14">
        <v>1422128</v>
      </c>
      <c r="I1765" s="31">
        <f>IF(COUNTIFS(Addendum!C:C,A1765,Addendum!D:D,IF(ISNUMBER(B1765),TEXT(B1765,"0000"),B1765),Addendum!E:E,"X")&gt;0,4%,0)</f>
        <v>0</v>
      </c>
      <c r="J1765" s="31">
        <f>IF(COUNTIFS(Addendum!C:C,A1765,Addendum!D:D,IF(ISNUMBER(B1765),TEXT(B1765,"0000"),B1765),Addendum!F:F,"X")&gt;0,2.5%,0)</f>
        <v>0</v>
      </c>
      <c r="K1765" s="31">
        <f>IF(COUNTIFS(Addendum!C:C,A1765,Addendum!D:D,IF(ISNUMBER(B1765),TEXT(B1765,"0000"),B1765),Addendum!G:G,"X")&gt;0,7%,0)</f>
        <v>0</v>
      </c>
      <c r="L1765" s="31">
        <f>IF(COUNTIFS(Addendum!C:C,A1765,Addendum!D:D,IF(ISNUMBER(B1765),TEXT(B1765,"0000"),B1765),Addendum!I:I,"X")&gt;0,10%,0)</f>
        <v>0</v>
      </c>
      <c r="M1765" s="34">
        <f t="shared" si="54"/>
        <v>0</v>
      </c>
      <c r="N1765" s="17">
        <f t="shared" si="55"/>
        <v>1422128</v>
      </c>
    </row>
    <row r="1766" spans="1:14" x14ac:dyDescent="0.25">
      <c r="A1766" s="14" t="s">
        <v>2300</v>
      </c>
      <c r="B1766" s="14" t="s">
        <v>356</v>
      </c>
      <c r="C1766" s="15" t="s">
        <v>2313</v>
      </c>
      <c r="D1766" s="14" t="s">
        <v>1749</v>
      </c>
      <c r="E1766" s="14" t="s">
        <v>1746</v>
      </c>
      <c r="F1766" s="17" t="s">
        <v>2994</v>
      </c>
      <c r="G1766" s="14">
        <v>678870</v>
      </c>
      <c r="H1766" s="14">
        <v>475209</v>
      </c>
      <c r="I1766" s="31">
        <f>IF(COUNTIFS(Addendum!C:C,A1766,Addendum!D:D,IF(ISNUMBER(B1766),TEXT(B1766,"0000"),B1766),Addendum!E:E,"X")&gt;0,4%,0)</f>
        <v>0</v>
      </c>
      <c r="J1766" s="31">
        <f>IF(COUNTIFS(Addendum!C:C,A1766,Addendum!D:D,IF(ISNUMBER(B1766),TEXT(B1766,"0000"),B1766),Addendum!F:F,"X")&gt;0,2.5%,0)</f>
        <v>0</v>
      </c>
      <c r="K1766" s="31">
        <f>IF(COUNTIFS(Addendum!C:C,A1766,Addendum!D:D,IF(ISNUMBER(B1766),TEXT(B1766,"0000"),B1766),Addendum!G:G,"X")&gt;0,7%,0)</f>
        <v>0</v>
      </c>
      <c r="L1766" s="31">
        <f>IF(COUNTIFS(Addendum!C:C,A1766,Addendum!D:D,IF(ISNUMBER(B1766),TEXT(B1766,"0000"),B1766),Addendum!I:I,"X")&gt;0,10%,0)</f>
        <v>0</v>
      </c>
      <c r="M1766" s="34">
        <f t="shared" si="54"/>
        <v>0</v>
      </c>
      <c r="N1766" s="17">
        <f t="shared" si="55"/>
        <v>475209</v>
      </c>
    </row>
    <row r="1767" spans="1:14" x14ac:dyDescent="0.25">
      <c r="A1767" s="14" t="s">
        <v>2300</v>
      </c>
      <c r="B1767" s="14">
        <v>9</v>
      </c>
      <c r="C1767" s="15" t="s">
        <v>2306</v>
      </c>
      <c r="D1767" s="14" t="s">
        <v>1752</v>
      </c>
      <c r="E1767" s="14" t="s">
        <v>1753</v>
      </c>
      <c r="F1767" s="17" t="s">
        <v>2993</v>
      </c>
      <c r="G1767" s="14">
        <v>50915160</v>
      </c>
      <c r="H1767" s="14">
        <v>35640612</v>
      </c>
      <c r="I1767" s="31">
        <f>IF(COUNTIFS(Addendum!C:C,A1767,Addendum!D:D,IF(ISNUMBER(B1767),TEXT(B1767,"0000"),B1767),Addendum!E:E,"X")&gt;0,4%,0)</f>
        <v>0</v>
      </c>
      <c r="J1767" s="31">
        <f>IF(COUNTIFS(Addendum!C:C,A1767,Addendum!D:D,IF(ISNUMBER(B1767),TEXT(B1767,"0000"),B1767),Addendum!F:F,"X")&gt;0,2.5%,0)</f>
        <v>0</v>
      </c>
      <c r="K1767" s="31">
        <f>IF(COUNTIFS(Addendum!C:C,A1767,Addendum!D:D,IF(ISNUMBER(B1767),TEXT(B1767,"0000"),B1767),Addendum!G:G,"X")&gt;0,7%,0)</f>
        <v>0</v>
      </c>
      <c r="L1767" s="31">
        <f>IF(COUNTIFS(Addendum!C:C,A1767,Addendum!D:D,IF(ISNUMBER(B1767),TEXT(B1767,"0000"),B1767),Addendum!I:I,"X")&gt;0,10%,0)</f>
        <v>0</v>
      </c>
      <c r="M1767" s="34">
        <f t="shared" si="54"/>
        <v>0</v>
      </c>
      <c r="N1767" s="17">
        <f t="shared" si="55"/>
        <v>35640612</v>
      </c>
    </row>
    <row r="1768" spans="1:14" x14ac:dyDescent="0.25">
      <c r="A1768" s="14" t="s">
        <v>2300</v>
      </c>
      <c r="B1768" s="14" t="s">
        <v>570</v>
      </c>
      <c r="C1768" s="15" t="s">
        <v>2302</v>
      </c>
      <c r="D1768" s="14" t="s">
        <v>1745</v>
      </c>
      <c r="E1768" s="14" t="s">
        <v>1746</v>
      </c>
      <c r="F1768" s="17" t="s">
        <v>2995</v>
      </c>
      <c r="G1768" s="14">
        <v>4455045</v>
      </c>
      <c r="H1768" s="14">
        <v>4009541</v>
      </c>
      <c r="I1768" s="31">
        <f>IF(COUNTIFS(Addendum!C:C,A1768,Addendum!D:D,IF(ISNUMBER(B1768),TEXT(B1768,"0000"),B1768),Addendum!E:E,"X")&gt;0,4%,0)</f>
        <v>0</v>
      </c>
      <c r="J1768" s="31">
        <f>IF(COUNTIFS(Addendum!C:C,A1768,Addendum!D:D,IF(ISNUMBER(B1768),TEXT(B1768,"0000"),B1768),Addendum!F:F,"X")&gt;0,2.5%,0)</f>
        <v>0</v>
      </c>
      <c r="K1768" s="31">
        <f>IF(COUNTIFS(Addendum!C:C,A1768,Addendum!D:D,IF(ISNUMBER(B1768),TEXT(B1768,"0000"),B1768),Addendum!G:G,"X")&gt;0,7%,0)</f>
        <v>0</v>
      </c>
      <c r="L1768" s="31">
        <f>IF(COUNTIFS(Addendum!C:C,A1768,Addendum!D:D,IF(ISNUMBER(B1768),TEXT(B1768,"0000"),B1768),Addendum!I:I,"X")&gt;0,10%,0)</f>
        <v>0</v>
      </c>
      <c r="M1768" s="34">
        <f t="shared" si="54"/>
        <v>0</v>
      </c>
      <c r="N1768" s="17">
        <f t="shared" si="55"/>
        <v>4009541</v>
      </c>
    </row>
    <row r="1769" spans="1:14" x14ac:dyDescent="0.25">
      <c r="A1769" s="14" t="s">
        <v>2300</v>
      </c>
      <c r="B1769" s="14" t="s">
        <v>265</v>
      </c>
      <c r="C1769" s="15" t="s">
        <v>2312</v>
      </c>
      <c r="D1769" s="14" t="s">
        <v>1745</v>
      </c>
      <c r="E1769" s="14" t="s">
        <v>1747</v>
      </c>
      <c r="F1769" s="17" t="s">
        <v>2994</v>
      </c>
      <c r="G1769" s="14">
        <v>20316120</v>
      </c>
      <c r="H1769" s="14">
        <v>14221284</v>
      </c>
      <c r="I1769" s="31">
        <f>IF(COUNTIFS(Addendum!C:C,A1769,Addendum!D:D,IF(ISNUMBER(B1769),TEXT(B1769,"0000"),B1769),Addendum!E:E,"X")&gt;0,4%,0)</f>
        <v>0</v>
      </c>
      <c r="J1769" s="31">
        <f>IF(COUNTIFS(Addendum!C:C,A1769,Addendum!D:D,IF(ISNUMBER(B1769),TEXT(B1769,"0000"),B1769),Addendum!F:F,"X")&gt;0,2.5%,0)</f>
        <v>0</v>
      </c>
      <c r="K1769" s="31">
        <f>IF(COUNTIFS(Addendum!C:C,A1769,Addendum!D:D,IF(ISNUMBER(B1769),TEXT(B1769,"0000"),B1769),Addendum!G:G,"X")&gt;0,7%,0)</f>
        <v>0</v>
      </c>
      <c r="L1769" s="31">
        <f>IF(COUNTIFS(Addendum!C:C,A1769,Addendum!D:D,IF(ISNUMBER(B1769),TEXT(B1769,"0000"),B1769),Addendum!I:I,"X")&gt;0,10%,0)</f>
        <v>0</v>
      </c>
      <c r="M1769" s="34">
        <f t="shared" si="54"/>
        <v>0</v>
      </c>
      <c r="N1769" s="17">
        <f t="shared" si="55"/>
        <v>14221284</v>
      </c>
    </row>
    <row r="1770" spans="1:14" x14ac:dyDescent="0.25">
      <c r="A1770" s="14" t="s">
        <v>148</v>
      </c>
      <c r="B1770" s="14">
        <v>7</v>
      </c>
      <c r="C1770" s="15" t="s">
        <v>2314</v>
      </c>
      <c r="D1770" s="14" t="s">
        <v>1745</v>
      </c>
      <c r="E1770" s="14" t="s">
        <v>1746</v>
      </c>
      <c r="F1770" s="17" t="s">
        <v>2994</v>
      </c>
      <c r="G1770" s="14">
        <v>2016</v>
      </c>
      <c r="H1770" s="14">
        <v>1612.8</v>
      </c>
      <c r="I1770" s="31">
        <f>IF(COUNTIFS(Addendum!C:C,A1770,Addendum!D:D,IF(ISNUMBER(B1770),TEXT(B1770,"0000"),B1770),Addendum!E:E,"X")&gt;0,4%,0)</f>
        <v>0.04</v>
      </c>
      <c r="J1770" s="31">
        <f>IF(COUNTIFS(Addendum!C:C,A1770,Addendum!D:D,IF(ISNUMBER(B1770),TEXT(B1770,"0000"),B1770),Addendum!F:F,"X")&gt;0,2.5%,0)</f>
        <v>0</v>
      </c>
      <c r="K1770" s="31">
        <f>IF(COUNTIFS(Addendum!C:C,A1770,Addendum!D:D,IF(ISNUMBER(B1770),TEXT(B1770,"0000"),B1770),Addendum!G:G,"X")&gt;0,7%,0)</f>
        <v>0</v>
      </c>
      <c r="L1770" s="31">
        <f>IF(COUNTIFS(Addendum!C:C,A1770,Addendum!D:D,IF(ISNUMBER(B1770),TEXT(B1770,"0000"),B1770),Addendum!I:I,"X")&gt;0,10%,0)</f>
        <v>0</v>
      </c>
      <c r="M1770" s="34">
        <f t="shared" si="54"/>
        <v>0.01</v>
      </c>
      <c r="N1770" s="17">
        <f t="shared" si="55"/>
        <v>1596.672</v>
      </c>
    </row>
    <row r="1771" spans="1:14" x14ac:dyDescent="0.25">
      <c r="A1771" s="14" t="s">
        <v>148</v>
      </c>
      <c r="B1771" s="14">
        <v>6</v>
      </c>
      <c r="C1771" s="15" t="s">
        <v>2315</v>
      </c>
      <c r="D1771" s="14" t="s">
        <v>1749</v>
      </c>
      <c r="E1771" s="14" t="s">
        <v>1746</v>
      </c>
      <c r="F1771" s="17" t="s">
        <v>2994</v>
      </c>
      <c r="G1771" s="14">
        <v>192</v>
      </c>
      <c r="H1771" s="14">
        <v>153.6</v>
      </c>
      <c r="I1771" s="31">
        <f>IF(COUNTIFS(Addendum!C:C,A1771,Addendum!D:D,IF(ISNUMBER(B1771),TEXT(B1771,"0000"),B1771),Addendum!E:E,"X")&gt;0,4%,0)</f>
        <v>0.04</v>
      </c>
      <c r="J1771" s="31">
        <f>IF(COUNTIFS(Addendum!C:C,A1771,Addendum!D:D,IF(ISNUMBER(B1771),TEXT(B1771,"0000"),B1771),Addendum!F:F,"X")&gt;0,2.5%,0)</f>
        <v>0</v>
      </c>
      <c r="K1771" s="31">
        <f>IF(COUNTIFS(Addendum!C:C,A1771,Addendum!D:D,IF(ISNUMBER(B1771),TEXT(B1771,"0000"),B1771),Addendum!G:G,"X")&gt;0,7%,0)</f>
        <v>0</v>
      </c>
      <c r="L1771" s="31">
        <f>IF(COUNTIFS(Addendum!C:C,A1771,Addendum!D:D,IF(ISNUMBER(B1771),TEXT(B1771,"0000"),B1771),Addendum!I:I,"X")&gt;0,10%,0)</f>
        <v>0</v>
      </c>
      <c r="M1771" s="34">
        <f t="shared" si="54"/>
        <v>0.01</v>
      </c>
      <c r="N1771" s="17">
        <f t="shared" si="55"/>
        <v>152.06399999999999</v>
      </c>
    </row>
    <row r="1772" spans="1:14" x14ac:dyDescent="0.25">
      <c r="A1772" s="14" t="s">
        <v>148</v>
      </c>
      <c r="B1772" s="14">
        <v>8</v>
      </c>
      <c r="C1772" s="15" t="s">
        <v>2316</v>
      </c>
      <c r="D1772" s="14" t="s">
        <v>1749</v>
      </c>
      <c r="E1772" s="14" t="s">
        <v>1746</v>
      </c>
      <c r="F1772" s="17" t="s">
        <v>2994</v>
      </c>
      <c r="G1772" s="14">
        <v>0</v>
      </c>
      <c r="H1772" s="14">
        <v>0</v>
      </c>
      <c r="I1772" s="31">
        <f>IF(COUNTIFS(Addendum!C:C,A1772,Addendum!D:D,IF(ISNUMBER(B1772),TEXT(B1772,"0000"),B1772),Addendum!E:E,"X")&gt;0,4%,0)</f>
        <v>0.04</v>
      </c>
      <c r="J1772" s="31">
        <f>IF(COUNTIFS(Addendum!C:C,A1772,Addendum!D:D,IF(ISNUMBER(B1772),TEXT(B1772,"0000"),B1772),Addendum!F:F,"X")&gt;0,2.5%,0)</f>
        <v>0</v>
      </c>
      <c r="K1772" s="31">
        <f>IF(COUNTIFS(Addendum!C:C,A1772,Addendum!D:D,IF(ISNUMBER(B1772),TEXT(B1772,"0000"),B1772),Addendum!G:G,"X")&gt;0,7%,0)</f>
        <v>0</v>
      </c>
      <c r="L1772" s="31">
        <f>IF(COUNTIFS(Addendum!C:C,A1772,Addendum!D:D,IF(ISNUMBER(B1772),TEXT(B1772,"0000"),B1772),Addendum!I:I,"X")&gt;0,10%,0)</f>
        <v>0</v>
      </c>
      <c r="M1772" s="34">
        <f t="shared" si="54"/>
        <v>0.01</v>
      </c>
      <c r="N1772" s="17">
        <f t="shared" si="55"/>
        <v>0</v>
      </c>
    </row>
    <row r="1773" spans="1:14" x14ac:dyDescent="0.25">
      <c r="A1773" s="14" t="s">
        <v>148</v>
      </c>
      <c r="B1773" s="14">
        <v>6</v>
      </c>
      <c r="C1773" s="15" t="s">
        <v>2315</v>
      </c>
      <c r="D1773" s="14" t="s">
        <v>1745</v>
      </c>
      <c r="E1773" s="14" t="s">
        <v>1747</v>
      </c>
      <c r="F1773" s="17" t="s">
        <v>2994</v>
      </c>
      <c r="G1773" s="14">
        <v>1920</v>
      </c>
      <c r="H1773" s="14">
        <v>1536</v>
      </c>
      <c r="I1773" s="31">
        <f>IF(COUNTIFS(Addendum!C:C,A1773,Addendum!D:D,IF(ISNUMBER(B1773),TEXT(B1773,"0000"),B1773),Addendum!E:E,"X")&gt;0,4%,0)</f>
        <v>0.04</v>
      </c>
      <c r="J1773" s="31">
        <f>IF(COUNTIFS(Addendum!C:C,A1773,Addendum!D:D,IF(ISNUMBER(B1773),TEXT(B1773,"0000"),B1773),Addendum!F:F,"X")&gt;0,2.5%,0)</f>
        <v>0</v>
      </c>
      <c r="K1773" s="31">
        <f>IF(COUNTIFS(Addendum!C:C,A1773,Addendum!D:D,IF(ISNUMBER(B1773),TEXT(B1773,"0000"),B1773),Addendum!G:G,"X")&gt;0,7%,0)</f>
        <v>0</v>
      </c>
      <c r="L1773" s="31">
        <f>IF(COUNTIFS(Addendum!C:C,A1773,Addendum!D:D,IF(ISNUMBER(B1773),TEXT(B1773,"0000"),B1773),Addendum!I:I,"X")&gt;0,10%,0)</f>
        <v>0</v>
      </c>
      <c r="M1773" s="34">
        <f t="shared" si="54"/>
        <v>0.03</v>
      </c>
      <c r="N1773" s="17">
        <f t="shared" si="55"/>
        <v>1489.92</v>
      </c>
    </row>
    <row r="1774" spans="1:14" x14ac:dyDescent="0.25">
      <c r="A1774" s="14" t="s">
        <v>148</v>
      </c>
      <c r="B1774" s="14">
        <v>7</v>
      </c>
      <c r="C1774" s="15" t="s">
        <v>2314</v>
      </c>
      <c r="D1774" s="14" t="s">
        <v>1749</v>
      </c>
      <c r="E1774" s="14" t="s">
        <v>1746</v>
      </c>
      <c r="F1774" s="17" t="s">
        <v>2994</v>
      </c>
      <c r="G1774" s="14">
        <v>192</v>
      </c>
      <c r="H1774" s="14">
        <v>153.6</v>
      </c>
      <c r="I1774" s="31">
        <f>IF(COUNTIFS(Addendum!C:C,A1774,Addendum!D:D,IF(ISNUMBER(B1774),TEXT(B1774,"0000"),B1774),Addendum!E:E,"X")&gt;0,4%,0)</f>
        <v>0.04</v>
      </c>
      <c r="J1774" s="31">
        <f>IF(COUNTIFS(Addendum!C:C,A1774,Addendum!D:D,IF(ISNUMBER(B1774),TEXT(B1774,"0000"),B1774),Addendum!F:F,"X")&gt;0,2.5%,0)</f>
        <v>0</v>
      </c>
      <c r="K1774" s="31">
        <f>IF(COUNTIFS(Addendum!C:C,A1774,Addendum!D:D,IF(ISNUMBER(B1774),TEXT(B1774,"0000"),B1774),Addendum!G:G,"X")&gt;0,7%,0)</f>
        <v>0</v>
      </c>
      <c r="L1774" s="31">
        <f>IF(COUNTIFS(Addendum!C:C,A1774,Addendum!D:D,IF(ISNUMBER(B1774),TEXT(B1774,"0000"),B1774),Addendum!I:I,"X")&gt;0,10%,0)</f>
        <v>0</v>
      </c>
      <c r="M1774" s="34">
        <f t="shared" si="54"/>
        <v>0.01</v>
      </c>
      <c r="N1774" s="17">
        <f t="shared" si="55"/>
        <v>152.06399999999999</v>
      </c>
    </row>
    <row r="1775" spans="1:14" x14ac:dyDescent="0.25">
      <c r="A1775" s="14" t="s">
        <v>148</v>
      </c>
      <c r="B1775" s="14">
        <v>6</v>
      </c>
      <c r="C1775" s="15" t="s">
        <v>2315</v>
      </c>
      <c r="D1775" s="14" t="s">
        <v>1745</v>
      </c>
      <c r="E1775" s="14" t="s">
        <v>1746</v>
      </c>
      <c r="F1775" s="17" t="s">
        <v>2994</v>
      </c>
      <c r="G1775" s="14">
        <v>2016</v>
      </c>
      <c r="H1775" s="14">
        <v>1612.8</v>
      </c>
      <c r="I1775" s="31">
        <f>IF(COUNTIFS(Addendum!C:C,A1775,Addendum!D:D,IF(ISNUMBER(B1775),TEXT(B1775,"0000"),B1775),Addendum!E:E,"X")&gt;0,4%,0)</f>
        <v>0.04</v>
      </c>
      <c r="J1775" s="31">
        <f>IF(COUNTIFS(Addendum!C:C,A1775,Addendum!D:D,IF(ISNUMBER(B1775),TEXT(B1775,"0000"),B1775),Addendum!F:F,"X")&gt;0,2.5%,0)</f>
        <v>0</v>
      </c>
      <c r="K1775" s="31">
        <f>IF(COUNTIFS(Addendum!C:C,A1775,Addendum!D:D,IF(ISNUMBER(B1775),TEXT(B1775,"0000"),B1775),Addendum!G:G,"X")&gt;0,7%,0)</f>
        <v>0</v>
      </c>
      <c r="L1775" s="31">
        <f>IF(COUNTIFS(Addendum!C:C,A1775,Addendum!D:D,IF(ISNUMBER(B1775),TEXT(B1775,"0000"),B1775),Addendum!I:I,"X")&gt;0,10%,0)</f>
        <v>0</v>
      </c>
      <c r="M1775" s="34">
        <f t="shared" si="54"/>
        <v>0.01</v>
      </c>
      <c r="N1775" s="17">
        <f t="shared" si="55"/>
        <v>1596.672</v>
      </c>
    </row>
    <row r="1776" spans="1:14" x14ac:dyDescent="0.25">
      <c r="A1776" s="14" t="s">
        <v>148</v>
      </c>
      <c r="B1776" s="14">
        <v>8</v>
      </c>
      <c r="C1776" s="15" t="s">
        <v>2316</v>
      </c>
      <c r="D1776" s="14" t="s">
        <v>1745</v>
      </c>
      <c r="E1776" s="14" t="s">
        <v>1746</v>
      </c>
      <c r="F1776" s="17" t="s">
        <v>2994</v>
      </c>
      <c r="G1776" s="14">
        <v>0</v>
      </c>
      <c r="H1776" s="14">
        <v>0</v>
      </c>
      <c r="I1776" s="31">
        <f>IF(COUNTIFS(Addendum!C:C,A1776,Addendum!D:D,IF(ISNUMBER(B1776),TEXT(B1776,"0000"),B1776),Addendum!E:E,"X")&gt;0,4%,0)</f>
        <v>0.04</v>
      </c>
      <c r="J1776" s="31">
        <f>IF(COUNTIFS(Addendum!C:C,A1776,Addendum!D:D,IF(ISNUMBER(B1776),TEXT(B1776,"0000"),B1776),Addendum!F:F,"X")&gt;0,2.5%,0)</f>
        <v>0</v>
      </c>
      <c r="K1776" s="31">
        <f>IF(COUNTIFS(Addendum!C:C,A1776,Addendum!D:D,IF(ISNUMBER(B1776),TEXT(B1776,"0000"),B1776),Addendum!G:G,"X")&gt;0,7%,0)</f>
        <v>0</v>
      </c>
      <c r="L1776" s="31">
        <f>IF(COUNTIFS(Addendum!C:C,A1776,Addendum!D:D,IF(ISNUMBER(B1776),TEXT(B1776,"0000"),B1776),Addendum!I:I,"X")&gt;0,10%,0)</f>
        <v>0</v>
      </c>
      <c r="M1776" s="34">
        <f t="shared" si="54"/>
        <v>0.01</v>
      </c>
      <c r="N1776" s="17">
        <f t="shared" si="55"/>
        <v>0</v>
      </c>
    </row>
    <row r="1777" spans="1:14" x14ac:dyDescent="0.25">
      <c r="A1777" s="14" t="s">
        <v>148</v>
      </c>
      <c r="B1777" s="14">
        <v>8</v>
      </c>
      <c r="C1777" s="15" t="s">
        <v>2316</v>
      </c>
      <c r="D1777" s="14" t="s">
        <v>1745</v>
      </c>
      <c r="E1777" s="14" t="s">
        <v>1747</v>
      </c>
      <c r="F1777" s="17" t="s">
        <v>2994</v>
      </c>
      <c r="G1777" s="14">
        <v>0</v>
      </c>
      <c r="H1777" s="14">
        <v>0</v>
      </c>
      <c r="I1777" s="31">
        <f>IF(COUNTIFS(Addendum!C:C,A1777,Addendum!D:D,IF(ISNUMBER(B1777),TEXT(B1777,"0000"),B1777),Addendum!E:E,"X")&gt;0,4%,0)</f>
        <v>0.04</v>
      </c>
      <c r="J1777" s="31">
        <f>IF(COUNTIFS(Addendum!C:C,A1777,Addendum!D:D,IF(ISNUMBER(B1777),TEXT(B1777,"0000"),B1777),Addendum!F:F,"X")&gt;0,2.5%,0)</f>
        <v>0</v>
      </c>
      <c r="K1777" s="31">
        <f>IF(COUNTIFS(Addendum!C:C,A1777,Addendum!D:D,IF(ISNUMBER(B1777),TEXT(B1777,"0000"),B1777),Addendum!G:G,"X")&gt;0,7%,0)</f>
        <v>0</v>
      </c>
      <c r="L1777" s="31">
        <f>IF(COUNTIFS(Addendum!C:C,A1777,Addendum!D:D,IF(ISNUMBER(B1777),TEXT(B1777,"0000"),B1777),Addendum!I:I,"X")&gt;0,10%,0)</f>
        <v>0</v>
      </c>
      <c r="M1777" s="34">
        <f t="shared" si="54"/>
        <v>0.03</v>
      </c>
      <c r="N1777" s="17">
        <f t="shared" si="55"/>
        <v>0</v>
      </c>
    </row>
    <row r="1778" spans="1:14" x14ac:dyDescent="0.25">
      <c r="A1778" s="14" t="s">
        <v>148</v>
      </c>
      <c r="B1778" s="14">
        <v>7</v>
      </c>
      <c r="C1778" s="15" t="s">
        <v>2314</v>
      </c>
      <c r="D1778" s="14" t="s">
        <v>1745</v>
      </c>
      <c r="E1778" s="14" t="s">
        <v>1747</v>
      </c>
      <c r="F1778" s="17" t="s">
        <v>2994</v>
      </c>
      <c r="G1778" s="14">
        <v>1920</v>
      </c>
      <c r="H1778" s="14">
        <v>1536</v>
      </c>
      <c r="I1778" s="31">
        <f>IF(COUNTIFS(Addendum!C:C,A1778,Addendum!D:D,IF(ISNUMBER(B1778),TEXT(B1778,"0000"),B1778),Addendum!E:E,"X")&gt;0,4%,0)</f>
        <v>0.04</v>
      </c>
      <c r="J1778" s="31">
        <f>IF(COUNTIFS(Addendum!C:C,A1778,Addendum!D:D,IF(ISNUMBER(B1778),TEXT(B1778,"0000"),B1778),Addendum!F:F,"X")&gt;0,2.5%,0)</f>
        <v>0</v>
      </c>
      <c r="K1778" s="31">
        <f>IF(COUNTIFS(Addendum!C:C,A1778,Addendum!D:D,IF(ISNUMBER(B1778),TEXT(B1778,"0000"),B1778),Addendum!G:G,"X")&gt;0,7%,0)</f>
        <v>0</v>
      </c>
      <c r="L1778" s="31">
        <f>IF(COUNTIFS(Addendum!C:C,A1778,Addendum!D:D,IF(ISNUMBER(B1778),TEXT(B1778,"0000"),B1778),Addendum!I:I,"X")&gt;0,10%,0)</f>
        <v>0</v>
      </c>
      <c r="M1778" s="34">
        <f t="shared" si="54"/>
        <v>0.03</v>
      </c>
      <c r="N1778" s="17">
        <f t="shared" si="55"/>
        <v>1489.92</v>
      </c>
    </row>
    <row r="1779" spans="1:14" x14ac:dyDescent="0.25">
      <c r="A1779" s="14" t="s">
        <v>156</v>
      </c>
      <c r="B1779" s="14">
        <v>4</v>
      </c>
      <c r="C1779" s="15" t="s">
        <v>2317</v>
      </c>
      <c r="D1779" s="14" t="s">
        <v>1745</v>
      </c>
      <c r="E1779" s="14" t="s">
        <v>1746</v>
      </c>
      <c r="F1779" s="17" t="s">
        <v>2994</v>
      </c>
      <c r="G1779" s="14">
        <v>3402</v>
      </c>
      <c r="H1779" s="14">
        <v>2721.6</v>
      </c>
      <c r="I1779" s="31">
        <f>IF(COUNTIFS(Addendum!C:C,A1779,Addendum!D:D,IF(ISNUMBER(B1779),TEXT(B1779,"0000"),B1779),Addendum!E:E,"X")&gt;0,4%,0)</f>
        <v>0.04</v>
      </c>
      <c r="J1779" s="31">
        <f>IF(COUNTIFS(Addendum!C:C,A1779,Addendum!D:D,IF(ISNUMBER(B1779),TEXT(B1779,"0000"),B1779),Addendum!F:F,"X")&gt;0,2.5%,0)</f>
        <v>0</v>
      </c>
      <c r="K1779" s="31">
        <f>IF(COUNTIFS(Addendum!C:C,A1779,Addendum!D:D,IF(ISNUMBER(B1779),TEXT(B1779,"0000"),B1779),Addendum!G:G,"X")&gt;0,7%,0)</f>
        <v>0</v>
      </c>
      <c r="L1779" s="31">
        <f>IF(COUNTIFS(Addendum!C:C,A1779,Addendum!D:D,IF(ISNUMBER(B1779),TEXT(B1779,"0000"),B1779),Addendum!I:I,"X")&gt;0,10%,0)</f>
        <v>0</v>
      </c>
      <c r="M1779" s="34">
        <f t="shared" si="54"/>
        <v>0.01</v>
      </c>
      <c r="N1779" s="17">
        <f t="shared" si="55"/>
        <v>2694.384</v>
      </c>
    </row>
    <row r="1780" spans="1:14" x14ac:dyDescent="0.25">
      <c r="A1780" s="14" t="s">
        <v>156</v>
      </c>
      <c r="B1780" s="14">
        <v>5</v>
      </c>
      <c r="C1780" s="15" t="s">
        <v>2318</v>
      </c>
      <c r="D1780" s="14" t="s">
        <v>1745</v>
      </c>
      <c r="E1780" s="14" t="s">
        <v>1746</v>
      </c>
      <c r="F1780" s="17" t="s">
        <v>2994</v>
      </c>
      <c r="G1780" s="14">
        <v>3402</v>
      </c>
      <c r="H1780" s="14">
        <v>2721.6</v>
      </c>
      <c r="I1780" s="31">
        <f>IF(COUNTIFS(Addendum!C:C,A1780,Addendum!D:D,IF(ISNUMBER(B1780),TEXT(B1780,"0000"),B1780),Addendum!E:E,"X")&gt;0,4%,0)</f>
        <v>0.04</v>
      </c>
      <c r="J1780" s="31">
        <f>IF(COUNTIFS(Addendum!C:C,A1780,Addendum!D:D,IF(ISNUMBER(B1780),TEXT(B1780,"0000"),B1780),Addendum!F:F,"X")&gt;0,2.5%,0)</f>
        <v>0</v>
      </c>
      <c r="K1780" s="31">
        <f>IF(COUNTIFS(Addendum!C:C,A1780,Addendum!D:D,IF(ISNUMBER(B1780),TEXT(B1780,"0000"),B1780),Addendum!G:G,"X")&gt;0,7%,0)</f>
        <v>0</v>
      </c>
      <c r="L1780" s="31">
        <f>IF(COUNTIFS(Addendum!C:C,A1780,Addendum!D:D,IF(ISNUMBER(B1780),TEXT(B1780,"0000"),B1780),Addendum!I:I,"X")&gt;0,10%,0)</f>
        <v>0</v>
      </c>
      <c r="M1780" s="34">
        <f t="shared" si="54"/>
        <v>0.01</v>
      </c>
      <c r="N1780" s="17">
        <f t="shared" si="55"/>
        <v>2694.384</v>
      </c>
    </row>
    <row r="1781" spans="1:14" x14ac:dyDescent="0.25">
      <c r="A1781" s="14" t="s">
        <v>156</v>
      </c>
      <c r="B1781" s="14">
        <v>4</v>
      </c>
      <c r="C1781" s="15" t="s">
        <v>2317</v>
      </c>
      <c r="D1781" s="14" t="s">
        <v>1745</v>
      </c>
      <c r="E1781" s="14" t="s">
        <v>1747</v>
      </c>
      <c r="F1781" s="17" t="s">
        <v>2994</v>
      </c>
      <c r="G1781" s="14">
        <v>3240</v>
      </c>
      <c r="H1781" s="14">
        <v>2592</v>
      </c>
      <c r="I1781" s="31">
        <f>IF(COUNTIFS(Addendum!C:C,A1781,Addendum!D:D,IF(ISNUMBER(B1781),TEXT(B1781,"0000"),B1781),Addendum!E:E,"X")&gt;0,4%,0)</f>
        <v>0.04</v>
      </c>
      <c r="J1781" s="31">
        <f>IF(COUNTIFS(Addendum!C:C,A1781,Addendum!D:D,IF(ISNUMBER(B1781),TEXT(B1781,"0000"),B1781),Addendum!F:F,"X")&gt;0,2.5%,0)</f>
        <v>0</v>
      </c>
      <c r="K1781" s="31">
        <f>IF(COUNTIFS(Addendum!C:C,A1781,Addendum!D:D,IF(ISNUMBER(B1781),TEXT(B1781,"0000"),B1781),Addendum!G:G,"X")&gt;0,7%,0)</f>
        <v>0</v>
      </c>
      <c r="L1781" s="31">
        <f>IF(COUNTIFS(Addendum!C:C,A1781,Addendum!D:D,IF(ISNUMBER(B1781),TEXT(B1781,"0000"),B1781),Addendum!I:I,"X")&gt;0,10%,0)</f>
        <v>0</v>
      </c>
      <c r="M1781" s="34">
        <f t="shared" si="54"/>
        <v>0.03</v>
      </c>
      <c r="N1781" s="17">
        <f t="shared" si="55"/>
        <v>2514.2399999999998</v>
      </c>
    </row>
    <row r="1782" spans="1:14" x14ac:dyDescent="0.25">
      <c r="A1782" s="14" t="s">
        <v>156</v>
      </c>
      <c r="B1782" s="14">
        <v>5</v>
      </c>
      <c r="C1782" s="15" t="s">
        <v>2318</v>
      </c>
      <c r="D1782" s="14" t="s">
        <v>1745</v>
      </c>
      <c r="E1782" s="14" t="s">
        <v>1747</v>
      </c>
      <c r="F1782" s="17" t="s">
        <v>2994</v>
      </c>
      <c r="G1782" s="14">
        <v>3240</v>
      </c>
      <c r="H1782" s="14">
        <v>2592</v>
      </c>
      <c r="I1782" s="31">
        <f>IF(COUNTIFS(Addendum!C:C,A1782,Addendum!D:D,IF(ISNUMBER(B1782),TEXT(B1782,"0000"),B1782),Addendum!E:E,"X")&gt;0,4%,0)</f>
        <v>0.04</v>
      </c>
      <c r="J1782" s="31">
        <f>IF(COUNTIFS(Addendum!C:C,A1782,Addendum!D:D,IF(ISNUMBER(B1782),TEXT(B1782,"0000"),B1782),Addendum!F:F,"X")&gt;0,2.5%,0)</f>
        <v>0</v>
      </c>
      <c r="K1782" s="31">
        <f>IF(COUNTIFS(Addendum!C:C,A1782,Addendum!D:D,IF(ISNUMBER(B1782),TEXT(B1782,"0000"),B1782),Addendum!G:G,"X")&gt;0,7%,0)</f>
        <v>0</v>
      </c>
      <c r="L1782" s="31">
        <f>IF(COUNTIFS(Addendum!C:C,A1782,Addendum!D:D,IF(ISNUMBER(B1782),TEXT(B1782,"0000"),B1782),Addendum!I:I,"X")&gt;0,10%,0)</f>
        <v>0</v>
      </c>
      <c r="M1782" s="34">
        <f t="shared" si="54"/>
        <v>0.03</v>
      </c>
      <c r="N1782" s="17">
        <f t="shared" si="55"/>
        <v>2514.2399999999998</v>
      </c>
    </row>
    <row r="1783" spans="1:14" x14ac:dyDescent="0.25">
      <c r="A1783" s="14" t="s">
        <v>156</v>
      </c>
      <c r="B1783" s="14">
        <v>5</v>
      </c>
      <c r="C1783" s="15" t="s">
        <v>2318</v>
      </c>
      <c r="D1783" s="14" t="s">
        <v>1749</v>
      </c>
      <c r="E1783" s="14" t="s">
        <v>1746</v>
      </c>
      <c r="F1783" s="17" t="s">
        <v>2994</v>
      </c>
      <c r="G1783" s="14">
        <v>324</v>
      </c>
      <c r="H1783" s="14">
        <v>259.2</v>
      </c>
      <c r="I1783" s="31">
        <f>IF(COUNTIFS(Addendum!C:C,A1783,Addendum!D:D,IF(ISNUMBER(B1783),TEXT(B1783,"0000"),B1783),Addendum!E:E,"X")&gt;0,4%,0)</f>
        <v>0.04</v>
      </c>
      <c r="J1783" s="31">
        <f>IF(COUNTIFS(Addendum!C:C,A1783,Addendum!D:D,IF(ISNUMBER(B1783),TEXT(B1783,"0000"),B1783),Addendum!F:F,"X")&gt;0,2.5%,0)</f>
        <v>0</v>
      </c>
      <c r="K1783" s="31">
        <f>IF(COUNTIFS(Addendum!C:C,A1783,Addendum!D:D,IF(ISNUMBER(B1783),TEXT(B1783,"0000"),B1783),Addendum!G:G,"X")&gt;0,7%,0)</f>
        <v>0</v>
      </c>
      <c r="L1783" s="31">
        <f>IF(COUNTIFS(Addendum!C:C,A1783,Addendum!D:D,IF(ISNUMBER(B1783),TEXT(B1783,"0000"),B1783),Addendum!I:I,"X")&gt;0,10%,0)</f>
        <v>0</v>
      </c>
      <c r="M1783" s="34">
        <f t="shared" si="54"/>
        <v>0.01</v>
      </c>
      <c r="N1783" s="17">
        <f t="shared" si="55"/>
        <v>256.608</v>
      </c>
    </row>
    <row r="1784" spans="1:14" x14ac:dyDescent="0.25">
      <c r="A1784" s="14" t="s">
        <v>156</v>
      </c>
      <c r="B1784" s="14">
        <v>6</v>
      </c>
      <c r="C1784" s="15" t="s">
        <v>2319</v>
      </c>
      <c r="D1784" s="14" t="s">
        <v>1745</v>
      </c>
      <c r="E1784" s="14" t="s">
        <v>1747</v>
      </c>
      <c r="F1784" s="17" t="s">
        <v>2994</v>
      </c>
      <c r="G1784" s="14">
        <v>0</v>
      </c>
      <c r="H1784" s="14">
        <v>0</v>
      </c>
      <c r="I1784" s="31">
        <f>IF(COUNTIFS(Addendum!C:C,A1784,Addendum!D:D,IF(ISNUMBER(B1784),TEXT(B1784,"0000"),B1784),Addendum!E:E,"X")&gt;0,4%,0)</f>
        <v>0.04</v>
      </c>
      <c r="J1784" s="31">
        <f>IF(COUNTIFS(Addendum!C:C,A1784,Addendum!D:D,IF(ISNUMBER(B1784),TEXT(B1784,"0000"),B1784),Addendum!F:F,"X")&gt;0,2.5%,0)</f>
        <v>0</v>
      </c>
      <c r="K1784" s="31">
        <f>IF(COUNTIFS(Addendum!C:C,A1784,Addendum!D:D,IF(ISNUMBER(B1784),TEXT(B1784,"0000"),B1784),Addendum!G:G,"X")&gt;0,7%,0)</f>
        <v>0</v>
      </c>
      <c r="L1784" s="31">
        <f>IF(COUNTIFS(Addendum!C:C,A1784,Addendum!D:D,IF(ISNUMBER(B1784),TEXT(B1784,"0000"),B1784),Addendum!I:I,"X")&gt;0,10%,0)</f>
        <v>0</v>
      </c>
      <c r="M1784" s="34">
        <f t="shared" si="54"/>
        <v>0.03</v>
      </c>
      <c r="N1784" s="17">
        <f t="shared" si="55"/>
        <v>0</v>
      </c>
    </row>
    <row r="1785" spans="1:14" x14ac:dyDescent="0.25">
      <c r="A1785" s="14" t="s">
        <v>156</v>
      </c>
      <c r="B1785" s="14">
        <v>4</v>
      </c>
      <c r="C1785" s="15" t="s">
        <v>2317</v>
      </c>
      <c r="D1785" s="14" t="s">
        <v>1749</v>
      </c>
      <c r="E1785" s="14" t="s">
        <v>1746</v>
      </c>
      <c r="F1785" s="17" t="s">
        <v>2994</v>
      </c>
      <c r="G1785" s="14">
        <v>324</v>
      </c>
      <c r="H1785" s="14">
        <v>259.2</v>
      </c>
      <c r="I1785" s="31">
        <f>IF(COUNTIFS(Addendum!C:C,A1785,Addendum!D:D,IF(ISNUMBER(B1785),TEXT(B1785,"0000"),B1785),Addendum!E:E,"X")&gt;0,4%,0)</f>
        <v>0.04</v>
      </c>
      <c r="J1785" s="31">
        <f>IF(COUNTIFS(Addendum!C:C,A1785,Addendum!D:D,IF(ISNUMBER(B1785),TEXT(B1785,"0000"),B1785),Addendum!F:F,"X")&gt;0,2.5%,0)</f>
        <v>0</v>
      </c>
      <c r="K1785" s="31">
        <f>IF(COUNTIFS(Addendum!C:C,A1785,Addendum!D:D,IF(ISNUMBER(B1785),TEXT(B1785,"0000"),B1785),Addendum!G:G,"X")&gt;0,7%,0)</f>
        <v>0</v>
      </c>
      <c r="L1785" s="31">
        <f>IF(COUNTIFS(Addendum!C:C,A1785,Addendum!D:D,IF(ISNUMBER(B1785),TEXT(B1785,"0000"),B1785),Addendum!I:I,"X")&gt;0,10%,0)</f>
        <v>0</v>
      </c>
      <c r="M1785" s="34">
        <f t="shared" si="54"/>
        <v>0.01</v>
      </c>
      <c r="N1785" s="17">
        <f t="shared" si="55"/>
        <v>256.608</v>
      </c>
    </row>
    <row r="1786" spans="1:14" x14ac:dyDescent="0.25">
      <c r="A1786" s="14" t="s">
        <v>156</v>
      </c>
      <c r="B1786" s="14">
        <v>6</v>
      </c>
      <c r="C1786" s="15" t="s">
        <v>2319</v>
      </c>
      <c r="D1786" s="14" t="s">
        <v>1745</v>
      </c>
      <c r="E1786" s="14" t="s">
        <v>1746</v>
      </c>
      <c r="F1786" s="17" t="s">
        <v>2994</v>
      </c>
      <c r="G1786" s="14">
        <v>0</v>
      </c>
      <c r="H1786" s="14">
        <v>0</v>
      </c>
      <c r="I1786" s="31">
        <f>IF(COUNTIFS(Addendum!C:C,A1786,Addendum!D:D,IF(ISNUMBER(B1786),TEXT(B1786,"0000"),B1786),Addendum!E:E,"X")&gt;0,4%,0)</f>
        <v>0.04</v>
      </c>
      <c r="J1786" s="31">
        <f>IF(COUNTIFS(Addendum!C:C,A1786,Addendum!D:D,IF(ISNUMBER(B1786),TEXT(B1786,"0000"),B1786),Addendum!F:F,"X")&gt;0,2.5%,0)</f>
        <v>0</v>
      </c>
      <c r="K1786" s="31">
        <f>IF(COUNTIFS(Addendum!C:C,A1786,Addendum!D:D,IF(ISNUMBER(B1786),TEXT(B1786,"0000"),B1786),Addendum!G:G,"X")&gt;0,7%,0)</f>
        <v>0</v>
      </c>
      <c r="L1786" s="31">
        <f>IF(COUNTIFS(Addendum!C:C,A1786,Addendum!D:D,IF(ISNUMBER(B1786),TEXT(B1786,"0000"),B1786),Addendum!I:I,"X")&gt;0,10%,0)</f>
        <v>0</v>
      </c>
      <c r="M1786" s="34">
        <f t="shared" si="54"/>
        <v>0.01</v>
      </c>
      <c r="N1786" s="17">
        <f t="shared" si="55"/>
        <v>0</v>
      </c>
    </row>
    <row r="1787" spans="1:14" x14ac:dyDescent="0.25">
      <c r="A1787" s="14" t="s">
        <v>156</v>
      </c>
      <c r="B1787" s="14">
        <v>6</v>
      </c>
      <c r="C1787" s="15" t="s">
        <v>2319</v>
      </c>
      <c r="D1787" s="14" t="s">
        <v>1749</v>
      </c>
      <c r="E1787" s="14" t="s">
        <v>1746</v>
      </c>
      <c r="F1787" s="17" t="s">
        <v>2994</v>
      </c>
      <c r="G1787" s="14">
        <v>0</v>
      </c>
      <c r="H1787" s="14">
        <v>0</v>
      </c>
      <c r="I1787" s="31">
        <f>IF(COUNTIFS(Addendum!C:C,A1787,Addendum!D:D,IF(ISNUMBER(B1787),TEXT(B1787,"0000"),B1787),Addendum!E:E,"X")&gt;0,4%,0)</f>
        <v>0.04</v>
      </c>
      <c r="J1787" s="31">
        <f>IF(COUNTIFS(Addendum!C:C,A1787,Addendum!D:D,IF(ISNUMBER(B1787),TEXT(B1787,"0000"),B1787),Addendum!F:F,"X")&gt;0,2.5%,0)</f>
        <v>0</v>
      </c>
      <c r="K1787" s="31">
        <f>IF(COUNTIFS(Addendum!C:C,A1787,Addendum!D:D,IF(ISNUMBER(B1787),TEXT(B1787,"0000"),B1787),Addendum!G:G,"X")&gt;0,7%,0)</f>
        <v>0</v>
      </c>
      <c r="L1787" s="31">
        <f>IF(COUNTIFS(Addendum!C:C,A1787,Addendum!D:D,IF(ISNUMBER(B1787),TEXT(B1787,"0000"),B1787),Addendum!I:I,"X")&gt;0,10%,0)</f>
        <v>0</v>
      </c>
      <c r="M1787" s="34">
        <f t="shared" si="54"/>
        <v>0.01</v>
      </c>
      <c r="N1787" s="17">
        <f t="shared" si="55"/>
        <v>0</v>
      </c>
    </row>
    <row r="1788" spans="1:14" x14ac:dyDescent="0.25">
      <c r="A1788" s="14" t="s">
        <v>164</v>
      </c>
      <c r="B1788" s="14">
        <v>1</v>
      </c>
      <c r="C1788" s="15" t="s">
        <v>162</v>
      </c>
      <c r="D1788" s="14" t="s">
        <v>1745</v>
      </c>
      <c r="E1788" s="14" t="s">
        <v>1747</v>
      </c>
      <c r="F1788" s="17" t="s">
        <v>2993</v>
      </c>
      <c r="G1788" s="14">
        <v>11940</v>
      </c>
      <c r="H1788" s="14">
        <v>9552</v>
      </c>
      <c r="I1788" s="31">
        <f>IF(COUNTIFS(Addendum!C:C,A1788,Addendum!D:D,IF(ISNUMBER(B1788),TEXT(B1788,"0000"),B1788),Addendum!E:E,"X")&gt;0,4%,0)</f>
        <v>0.04</v>
      </c>
      <c r="J1788" s="31">
        <f>IF(COUNTIFS(Addendum!C:C,A1788,Addendum!D:D,IF(ISNUMBER(B1788),TEXT(B1788,"0000"),B1788),Addendum!F:F,"X")&gt;0,2.5%,0)</f>
        <v>0</v>
      </c>
      <c r="K1788" s="31">
        <f>IF(COUNTIFS(Addendum!C:C,A1788,Addendum!D:D,IF(ISNUMBER(B1788),TEXT(B1788,"0000"),B1788),Addendum!G:G,"X")&gt;0,7%,0)</f>
        <v>0</v>
      </c>
      <c r="L1788" s="31">
        <f>IF(COUNTIFS(Addendum!C:C,A1788,Addendum!D:D,IF(ISNUMBER(B1788),TEXT(B1788,"0000"),B1788),Addendum!I:I,"X")&gt;0,10%,0)</f>
        <v>0</v>
      </c>
      <c r="M1788" s="34">
        <f t="shared" si="54"/>
        <v>0.03</v>
      </c>
      <c r="N1788" s="17">
        <f t="shared" si="55"/>
        <v>9265.44</v>
      </c>
    </row>
    <row r="1789" spans="1:14" x14ac:dyDescent="0.25">
      <c r="A1789" s="14" t="s">
        <v>164</v>
      </c>
      <c r="B1789" s="14">
        <v>1</v>
      </c>
      <c r="C1789" s="15" t="s">
        <v>162</v>
      </c>
      <c r="D1789" s="14" t="s">
        <v>1745</v>
      </c>
      <c r="E1789" s="14" t="s">
        <v>1746</v>
      </c>
      <c r="F1789" s="17" t="s">
        <v>2993</v>
      </c>
      <c r="G1789" s="14">
        <v>12537</v>
      </c>
      <c r="H1789" s="14">
        <v>10029.6</v>
      </c>
      <c r="I1789" s="31">
        <f>IF(COUNTIFS(Addendum!C:C,A1789,Addendum!D:D,IF(ISNUMBER(B1789),TEXT(B1789,"0000"),B1789),Addendum!E:E,"X")&gt;0,4%,0)</f>
        <v>0.04</v>
      </c>
      <c r="J1789" s="31">
        <f>IF(COUNTIFS(Addendum!C:C,A1789,Addendum!D:D,IF(ISNUMBER(B1789),TEXT(B1789,"0000"),B1789),Addendum!F:F,"X")&gt;0,2.5%,0)</f>
        <v>0</v>
      </c>
      <c r="K1789" s="31">
        <f>IF(COUNTIFS(Addendum!C:C,A1789,Addendum!D:D,IF(ISNUMBER(B1789),TEXT(B1789,"0000"),B1789),Addendum!G:G,"X")&gt;0,7%,0)</f>
        <v>0</v>
      </c>
      <c r="L1789" s="31">
        <f>IF(COUNTIFS(Addendum!C:C,A1789,Addendum!D:D,IF(ISNUMBER(B1789),TEXT(B1789,"0000"),B1789),Addendum!I:I,"X")&gt;0,10%,0)</f>
        <v>0</v>
      </c>
      <c r="M1789" s="34">
        <f t="shared" si="54"/>
        <v>0.01</v>
      </c>
      <c r="N1789" s="17">
        <f t="shared" si="55"/>
        <v>9929.3040000000001</v>
      </c>
    </row>
    <row r="1790" spans="1:14" x14ac:dyDescent="0.25">
      <c r="A1790" s="14" t="s">
        <v>163</v>
      </c>
      <c r="B1790" s="14" t="s">
        <v>28</v>
      </c>
      <c r="C1790" s="15" t="s">
        <v>2320</v>
      </c>
      <c r="D1790" s="14" t="s">
        <v>1745</v>
      </c>
      <c r="E1790" s="14" t="s">
        <v>1747</v>
      </c>
      <c r="F1790" s="17" t="s">
        <v>2995</v>
      </c>
      <c r="G1790" s="14">
        <v>3000</v>
      </c>
      <c r="H1790" s="14">
        <v>2700</v>
      </c>
      <c r="I1790" s="31">
        <f>IF(COUNTIFS(Addendum!C:C,A1790,Addendum!D:D,IF(ISNUMBER(B1790),TEXT(B1790,"0000"),B1790),Addendum!E:E,"X")&gt;0,4%,0)</f>
        <v>0.04</v>
      </c>
      <c r="J1790" s="31">
        <f>IF(COUNTIFS(Addendum!C:C,A1790,Addendum!D:D,IF(ISNUMBER(B1790),TEXT(B1790,"0000"),B1790),Addendum!F:F,"X")&gt;0,2.5%,0)</f>
        <v>0</v>
      </c>
      <c r="K1790" s="31">
        <f>IF(COUNTIFS(Addendum!C:C,A1790,Addendum!D:D,IF(ISNUMBER(B1790),TEXT(B1790,"0000"),B1790),Addendum!G:G,"X")&gt;0,7%,0)</f>
        <v>0</v>
      </c>
      <c r="L1790" s="31">
        <f>IF(COUNTIFS(Addendum!C:C,A1790,Addendum!D:D,IF(ISNUMBER(B1790),TEXT(B1790,"0000"),B1790),Addendum!I:I,"X")&gt;0,10%,0)</f>
        <v>0</v>
      </c>
      <c r="M1790" s="34">
        <f t="shared" si="54"/>
        <v>0.03</v>
      </c>
      <c r="N1790" s="17">
        <f t="shared" si="55"/>
        <v>2619</v>
      </c>
    </row>
    <row r="1791" spans="1:14" x14ac:dyDescent="0.25">
      <c r="A1791" s="14" t="s">
        <v>163</v>
      </c>
      <c r="B1791" s="14" t="s">
        <v>28</v>
      </c>
      <c r="C1791" s="15" t="s">
        <v>2320</v>
      </c>
      <c r="D1791" s="14" t="s">
        <v>1745</v>
      </c>
      <c r="E1791" s="14" t="s">
        <v>1746</v>
      </c>
      <c r="F1791" s="17" t="s">
        <v>2995</v>
      </c>
      <c r="G1791" s="14">
        <v>3150</v>
      </c>
      <c r="H1791" s="14">
        <v>2835</v>
      </c>
      <c r="I1791" s="31">
        <f>IF(COUNTIFS(Addendum!C:C,A1791,Addendum!D:D,IF(ISNUMBER(B1791),TEXT(B1791,"0000"),B1791),Addendum!E:E,"X")&gt;0,4%,0)</f>
        <v>0.04</v>
      </c>
      <c r="J1791" s="31">
        <f>IF(COUNTIFS(Addendum!C:C,A1791,Addendum!D:D,IF(ISNUMBER(B1791),TEXT(B1791,"0000"),B1791),Addendum!F:F,"X")&gt;0,2.5%,0)</f>
        <v>0</v>
      </c>
      <c r="K1791" s="31">
        <f>IF(COUNTIFS(Addendum!C:C,A1791,Addendum!D:D,IF(ISNUMBER(B1791),TEXT(B1791,"0000"),B1791),Addendum!G:G,"X")&gt;0,7%,0)</f>
        <v>0</v>
      </c>
      <c r="L1791" s="31">
        <f>IF(COUNTIFS(Addendum!C:C,A1791,Addendum!D:D,IF(ISNUMBER(B1791),TEXT(B1791,"0000"),B1791),Addendum!I:I,"X")&gt;0,10%,0)</f>
        <v>0</v>
      </c>
      <c r="M1791" s="34">
        <f t="shared" si="54"/>
        <v>0.01</v>
      </c>
      <c r="N1791" s="17">
        <f t="shared" si="55"/>
        <v>2806.65</v>
      </c>
    </row>
    <row r="1792" spans="1:14" x14ac:dyDescent="0.25">
      <c r="A1792" s="14" t="s">
        <v>163</v>
      </c>
      <c r="B1792" s="14" t="s">
        <v>28</v>
      </c>
      <c r="C1792" s="15" t="s">
        <v>2320</v>
      </c>
      <c r="D1792" s="14" t="s">
        <v>1749</v>
      </c>
      <c r="E1792" s="14" t="s">
        <v>1746</v>
      </c>
      <c r="F1792" s="17" t="s">
        <v>2995</v>
      </c>
      <c r="G1792" s="14">
        <v>300</v>
      </c>
      <c r="H1792" s="14">
        <v>270</v>
      </c>
      <c r="I1792" s="31">
        <f>IF(COUNTIFS(Addendum!C:C,A1792,Addendum!D:D,IF(ISNUMBER(B1792),TEXT(B1792,"0000"),B1792),Addendum!E:E,"X")&gt;0,4%,0)</f>
        <v>0.04</v>
      </c>
      <c r="J1792" s="31">
        <f>IF(COUNTIFS(Addendum!C:C,A1792,Addendum!D:D,IF(ISNUMBER(B1792),TEXT(B1792,"0000"),B1792),Addendum!F:F,"X")&gt;0,2.5%,0)</f>
        <v>0</v>
      </c>
      <c r="K1792" s="31">
        <f>IF(COUNTIFS(Addendum!C:C,A1792,Addendum!D:D,IF(ISNUMBER(B1792),TEXT(B1792,"0000"),B1792),Addendum!G:G,"X")&gt;0,7%,0)</f>
        <v>0</v>
      </c>
      <c r="L1792" s="31">
        <f>IF(COUNTIFS(Addendum!C:C,A1792,Addendum!D:D,IF(ISNUMBER(B1792),TEXT(B1792,"0000"),B1792),Addendum!I:I,"X")&gt;0,10%,0)</f>
        <v>0</v>
      </c>
      <c r="M1792" s="34">
        <f t="shared" si="54"/>
        <v>0.01</v>
      </c>
      <c r="N1792" s="17">
        <f t="shared" si="55"/>
        <v>267.3</v>
      </c>
    </row>
    <row r="1793" spans="1:14" x14ac:dyDescent="0.25">
      <c r="A1793" s="14" t="s">
        <v>164</v>
      </c>
      <c r="B1793" s="14">
        <v>1</v>
      </c>
      <c r="C1793" s="15" t="s">
        <v>162</v>
      </c>
      <c r="D1793" s="14" t="s">
        <v>1749</v>
      </c>
      <c r="E1793" s="14" t="s">
        <v>1746</v>
      </c>
      <c r="F1793" s="17" t="s">
        <v>2993</v>
      </c>
      <c r="G1793" s="14">
        <v>1194</v>
      </c>
      <c r="H1793" s="14">
        <v>955.2</v>
      </c>
      <c r="I1793" s="31">
        <f>IF(COUNTIFS(Addendum!C:C,A1793,Addendum!D:D,IF(ISNUMBER(B1793),TEXT(B1793,"0000"),B1793),Addendum!E:E,"X")&gt;0,4%,0)</f>
        <v>0.04</v>
      </c>
      <c r="J1793" s="31">
        <f>IF(COUNTIFS(Addendum!C:C,A1793,Addendum!D:D,IF(ISNUMBER(B1793),TEXT(B1793,"0000"),B1793),Addendum!F:F,"X")&gt;0,2.5%,0)</f>
        <v>0</v>
      </c>
      <c r="K1793" s="31">
        <f>IF(COUNTIFS(Addendum!C:C,A1793,Addendum!D:D,IF(ISNUMBER(B1793),TEXT(B1793,"0000"),B1793),Addendum!G:G,"X")&gt;0,7%,0)</f>
        <v>0</v>
      </c>
      <c r="L1793" s="31">
        <f>IF(COUNTIFS(Addendum!C:C,A1793,Addendum!D:D,IF(ISNUMBER(B1793),TEXT(B1793,"0000"),B1793),Addendum!I:I,"X")&gt;0,10%,0)</f>
        <v>0</v>
      </c>
      <c r="M1793" s="34">
        <f t="shared" si="54"/>
        <v>0.01</v>
      </c>
      <c r="N1793" s="17">
        <f t="shared" si="55"/>
        <v>945.64800000000002</v>
      </c>
    </row>
    <row r="1794" spans="1:14" x14ac:dyDescent="0.25">
      <c r="A1794" s="14" t="s">
        <v>175</v>
      </c>
      <c r="B1794" s="14">
        <v>9</v>
      </c>
      <c r="C1794" s="15" t="s">
        <v>174</v>
      </c>
      <c r="D1794" s="14" t="s">
        <v>1749</v>
      </c>
      <c r="E1794" s="14" t="s">
        <v>1766</v>
      </c>
      <c r="F1794" s="17" t="s">
        <v>2993</v>
      </c>
      <c r="G1794" s="14">
        <v>0</v>
      </c>
      <c r="H1794" s="14">
        <v>0</v>
      </c>
      <c r="I1794" s="31">
        <f>IF(COUNTIFS(Addendum!C:C,A1794,Addendum!D:D,IF(ISNUMBER(B1794),TEXT(B1794,"0000"),B1794),Addendum!E:E,"X")&gt;0,4%,0)</f>
        <v>0.04</v>
      </c>
      <c r="J1794" s="31">
        <f>IF(COUNTIFS(Addendum!C:C,A1794,Addendum!D:D,IF(ISNUMBER(B1794),TEXT(B1794,"0000"),B1794),Addendum!F:F,"X")&gt;0,2.5%,0)</f>
        <v>0</v>
      </c>
      <c r="K1794" s="31">
        <f>IF(COUNTIFS(Addendum!C:C,A1794,Addendum!D:D,IF(ISNUMBER(B1794),TEXT(B1794,"0000"),B1794),Addendum!G:G,"X")&gt;0,7%,0)</f>
        <v>0</v>
      </c>
      <c r="L1794" s="31">
        <f>IF(COUNTIFS(Addendum!C:C,A1794,Addendum!D:D,IF(ISNUMBER(B1794),TEXT(B1794,"0000"),B1794),Addendum!I:I,"X")&gt;0,10%,0)</f>
        <v>0</v>
      </c>
      <c r="M1794" s="34">
        <f t="shared" si="54"/>
        <v>0.01</v>
      </c>
      <c r="N1794" s="17">
        <f t="shared" si="55"/>
        <v>0</v>
      </c>
    </row>
    <row r="1795" spans="1:14" x14ac:dyDescent="0.25">
      <c r="A1795" s="14" t="s">
        <v>175</v>
      </c>
      <c r="B1795" s="14">
        <v>1</v>
      </c>
      <c r="C1795" s="15" t="s">
        <v>174</v>
      </c>
      <c r="D1795" s="14" t="s">
        <v>1745</v>
      </c>
      <c r="E1795" s="14" t="s">
        <v>1747</v>
      </c>
      <c r="F1795" s="17" t="s">
        <v>2993</v>
      </c>
      <c r="G1795" s="14">
        <v>18000</v>
      </c>
      <c r="H1795" s="14">
        <v>14400</v>
      </c>
      <c r="I1795" s="31">
        <f>IF(COUNTIFS(Addendum!C:C,A1795,Addendum!D:D,IF(ISNUMBER(B1795),TEXT(B1795,"0000"),B1795),Addendum!E:E,"X")&gt;0,4%,0)</f>
        <v>0.04</v>
      </c>
      <c r="J1795" s="31">
        <f>IF(COUNTIFS(Addendum!C:C,A1795,Addendum!D:D,IF(ISNUMBER(B1795),TEXT(B1795,"0000"),B1795),Addendum!F:F,"X")&gt;0,2.5%,0)</f>
        <v>0</v>
      </c>
      <c r="K1795" s="31">
        <f>IF(COUNTIFS(Addendum!C:C,A1795,Addendum!D:D,IF(ISNUMBER(B1795),TEXT(B1795,"0000"),B1795),Addendum!G:G,"X")&gt;0,7%,0)</f>
        <v>0</v>
      </c>
      <c r="L1795" s="31">
        <f>IF(COUNTIFS(Addendum!C:C,A1795,Addendum!D:D,IF(ISNUMBER(B1795),TEXT(B1795,"0000"),B1795),Addendum!I:I,"X")&gt;0,10%,0)</f>
        <v>0</v>
      </c>
      <c r="M1795" s="34">
        <f t="shared" si="54"/>
        <v>0.03</v>
      </c>
      <c r="N1795" s="17">
        <f t="shared" si="55"/>
        <v>13968</v>
      </c>
    </row>
    <row r="1796" spans="1:14" x14ac:dyDescent="0.25">
      <c r="A1796" s="14" t="s">
        <v>175</v>
      </c>
      <c r="B1796" s="14" t="s">
        <v>32</v>
      </c>
      <c r="C1796" s="15" t="s">
        <v>2321</v>
      </c>
      <c r="D1796" s="14" t="s">
        <v>1745</v>
      </c>
      <c r="E1796" s="14" t="s">
        <v>1746</v>
      </c>
      <c r="F1796" s="17" t="s">
        <v>2995</v>
      </c>
      <c r="G1796" s="14">
        <v>7560</v>
      </c>
      <c r="H1796" s="14">
        <v>6804</v>
      </c>
      <c r="I1796" s="31">
        <f>IF(COUNTIFS(Addendum!C:C,A1796,Addendum!D:D,IF(ISNUMBER(B1796),TEXT(B1796,"0000"),B1796),Addendum!E:E,"X")&gt;0,4%,0)</f>
        <v>0.04</v>
      </c>
      <c r="J1796" s="31">
        <f>IF(COUNTIFS(Addendum!C:C,A1796,Addendum!D:D,IF(ISNUMBER(B1796),TEXT(B1796,"0000"),B1796),Addendum!F:F,"X")&gt;0,2.5%,0)</f>
        <v>0</v>
      </c>
      <c r="K1796" s="31">
        <f>IF(COUNTIFS(Addendum!C:C,A1796,Addendum!D:D,IF(ISNUMBER(B1796),TEXT(B1796,"0000"),B1796),Addendum!G:G,"X")&gt;0,7%,0)</f>
        <v>0</v>
      </c>
      <c r="L1796" s="31">
        <f>IF(COUNTIFS(Addendum!C:C,A1796,Addendum!D:D,IF(ISNUMBER(B1796),TEXT(B1796,"0000"),B1796),Addendum!I:I,"X")&gt;0,10%,0)</f>
        <v>0</v>
      </c>
      <c r="M1796" s="34">
        <f t="shared" ref="M1796:M1859" si="56">IF(AND(I1796=0%,J1796=0%,K1796=0%,L1796=0%),0%,
IF(OR(TRIM(E1796)="OneTime",TRIM(D1796)=""),0%,
IF(
OR(
TRIM(D1796)="P1M",
AND(TRIM(D1796)="P1Y",TRIM(E1796)="Monthly"),
AND(TRIM(D1796)="P3Y",TRIM(E1796)="Monthly")
),
IF(AND(I1796=4%,J1796=0%,K1796=0%,L1796=0%),1%,
IF(AND(I1796=4%,J1796=2.5%,K1796=0%,L1796=10%),2%,
IF(AND(I1796=4%,J1796=0%,K1796=7%,L1796=10%),3%,0%))),
IF(
OR(
AND(TRIM(D1796)="P1Y",TRIM(E1796)="Annual"),
AND(TRIM(D1796)="P3Y",TRIM(E1796)="Annual"),
AND(TRIM(D1796)="P3Y",TRIM(E1796)="Triennial")
),
IF(AND(I1796=4%,J1796=0%,K1796=0%,L1796=0%),3%,
IF(AND(I1796=4%,J1796=2.5%,K1796=0%,L1796=10%),10%,
IF(AND(I1796=4%,J1796=0%,K1796=7%,L1796=10%),14%,0%))),
0%
))))</f>
        <v>0.01</v>
      </c>
      <c r="N1796" s="17">
        <f t="shared" ref="N1796:N1859" si="57">H1796-(H1796*M1796)</f>
        <v>6735.96</v>
      </c>
    </row>
    <row r="1797" spans="1:14" x14ac:dyDescent="0.25">
      <c r="A1797" s="14" t="s">
        <v>175</v>
      </c>
      <c r="B1797" s="14">
        <v>1</v>
      </c>
      <c r="C1797" s="15" t="s">
        <v>174</v>
      </c>
      <c r="D1797" s="14" t="s">
        <v>1745</v>
      </c>
      <c r="E1797" s="14" t="s">
        <v>1746</v>
      </c>
      <c r="F1797" s="17" t="s">
        <v>2993</v>
      </c>
      <c r="G1797" s="14">
        <v>18900</v>
      </c>
      <c r="H1797" s="14">
        <v>15120</v>
      </c>
      <c r="I1797" s="31">
        <f>IF(COUNTIFS(Addendum!C:C,A1797,Addendum!D:D,IF(ISNUMBER(B1797),TEXT(B1797,"0000"),B1797),Addendum!E:E,"X")&gt;0,4%,0)</f>
        <v>0.04</v>
      </c>
      <c r="J1797" s="31">
        <f>IF(COUNTIFS(Addendum!C:C,A1797,Addendum!D:D,IF(ISNUMBER(B1797),TEXT(B1797,"0000"),B1797),Addendum!F:F,"X")&gt;0,2.5%,0)</f>
        <v>0</v>
      </c>
      <c r="K1797" s="31">
        <f>IF(COUNTIFS(Addendum!C:C,A1797,Addendum!D:D,IF(ISNUMBER(B1797),TEXT(B1797,"0000"),B1797),Addendum!G:G,"X")&gt;0,7%,0)</f>
        <v>0</v>
      </c>
      <c r="L1797" s="31">
        <f>IF(COUNTIFS(Addendum!C:C,A1797,Addendum!D:D,IF(ISNUMBER(B1797),TEXT(B1797,"0000"),B1797),Addendum!I:I,"X")&gt;0,10%,0)</f>
        <v>0</v>
      </c>
      <c r="M1797" s="34">
        <f t="shared" si="56"/>
        <v>0.01</v>
      </c>
      <c r="N1797" s="17">
        <f t="shared" si="57"/>
        <v>14968.8</v>
      </c>
    </row>
    <row r="1798" spans="1:14" x14ac:dyDescent="0.25">
      <c r="A1798" s="14" t="s">
        <v>175</v>
      </c>
      <c r="B1798" s="14" t="s">
        <v>32</v>
      </c>
      <c r="C1798" s="15" t="s">
        <v>2321</v>
      </c>
      <c r="D1798" s="14" t="s">
        <v>1745</v>
      </c>
      <c r="E1798" s="14" t="s">
        <v>1747</v>
      </c>
      <c r="F1798" s="17" t="s">
        <v>2995</v>
      </c>
      <c r="G1798" s="14">
        <v>7200</v>
      </c>
      <c r="H1798" s="14">
        <v>6480</v>
      </c>
      <c r="I1798" s="31">
        <f>IF(COUNTIFS(Addendum!C:C,A1798,Addendum!D:D,IF(ISNUMBER(B1798),TEXT(B1798,"0000"),B1798),Addendum!E:E,"X")&gt;0,4%,0)</f>
        <v>0.04</v>
      </c>
      <c r="J1798" s="31">
        <f>IF(COUNTIFS(Addendum!C:C,A1798,Addendum!D:D,IF(ISNUMBER(B1798),TEXT(B1798,"0000"),B1798),Addendum!F:F,"X")&gt;0,2.5%,0)</f>
        <v>0</v>
      </c>
      <c r="K1798" s="31">
        <f>IF(COUNTIFS(Addendum!C:C,A1798,Addendum!D:D,IF(ISNUMBER(B1798),TEXT(B1798,"0000"),B1798),Addendum!G:G,"X")&gt;0,7%,0)</f>
        <v>0</v>
      </c>
      <c r="L1798" s="31">
        <f>IF(COUNTIFS(Addendum!C:C,A1798,Addendum!D:D,IF(ISNUMBER(B1798),TEXT(B1798,"0000"),B1798),Addendum!I:I,"X")&gt;0,10%,0)</f>
        <v>0</v>
      </c>
      <c r="M1798" s="34">
        <f t="shared" si="56"/>
        <v>0.03</v>
      </c>
      <c r="N1798" s="17">
        <f t="shared" si="57"/>
        <v>6285.6</v>
      </c>
    </row>
    <row r="1799" spans="1:14" x14ac:dyDescent="0.25">
      <c r="A1799" s="14" t="s">
        <v>175</v>
      </c>
      <c r="B1799" s="14">
        <v>1</v>
      </c>
      <c r="C1799" s="15" t="s">
        <v>174</v>
      </c>
      <c r="D1799" s="14" t="s">
        <v>1749</v>
      </c>
      <c r="E1799" s="14" t="s">
        <v>1746</v>
      </c>
      <c r="F1799" s="17" t="s">
        <v>2993</v>
      </c>
      <c r="G1799" s="14">
        <v>1800</v>
      </c>
      <c r="H1799" s="14">
        <v>1440</v>
      </c>
      <c r="I1799" s="31">
        <f>IF(COUNTIFS(Addendum!C:C,A1799,Addendum!D:D,IF(ISNUMBER(B1799),TEXT(B1799,"0000"),B1799),Addendum!E:E,"X")&gt;0,4%,0)</f>
        <v>0.04</v>
      </c>
      <c r="J1799" s="31">
        <f>IF(COUNTIFS(Addendum!C:C,A1799,Addendum!D:D,IF(ISNUMBER(B1799),TEXT(B1799,"0000"),B1799),Addendum!F:F,"X")&gt;0,2.5%,0)</f>
        <v>0</v>
      </c>
      <c r="K1799" s="31">
        <f>IF(COUNTIFS(Addendum!C:C,A1799,Addendum!D:D,IF(ISNUMBER(B1799),TEXT(B1799,"0000"),B1799),Addendum!G:G,"X")&gt;0,7%,0)</f>
        <v>0</v>
      </c>
      <c r="L1799" s="31">
        <f>IF(COUNTIFS(Addendum!C:C,A1799,Addendum!D:D,IF(ISNUMBER(B1799),TEXT(B1799,"0000"),B1799),Addendum!I:I,"X")&gt;0,10%,0)</f>
        <v>0</v>
      </c>
      <c r="M1799" s="34">
        <f t="shared" si="56"/>
        <v>0.01</v>
      </c>
      <c r="N1799" s="17">
        <f t="shared" si="57"/>
        <v>1425.6</v>
      </c>
    </row>
    <row r="1800" spans="1:14" x14ac:dyDescent="0.25">
      <c r="A1800" s="14" t="s">
        <v>175</v>
      </c>
      <c r="B1800" s="14" t="s">
        <v>32</v>
      </c>
      <c r="C1800" s="15" t="s">
        <v>2321</v>
      </c>
      <c r="D1800" s="14" t="s">
        <v>1749</v>
      </c>
      <c r="E1800" s="14" t="s">
        <v>1746</v>
      </c>
      <c r="F1800" s="17" t="s">
        <v>2995</v>
      </c>
      <c r="G1800" s="14">
        <v>720</v>
      </c>
      <c r="H1800" s="14">
        <v>648</v>
      </c>
      <c r="I1800" s="31">
        <f>IF(COUNTIFS(Addendum!C:C,A1800,Addendum!D:D,IF(ISNUMBER(B1800),TEXT(B1800,"0000"),B1800),Addendum!E:E,"X")&gt;0,4%,0)</f>
        <v>0.04</v>
      </c>
      <c r="J1800" s="31">
        <f>IF(COUNTIFS(Addendum!C:C,A1800,Addendum!D:D,IF(ISNUMBER(B1800),TEXT(B1800,"0000"),B1800),Addendum!F:F,"X")&gt;0,2.5%,0)</f>
        <v>0</v>
      </c>
      <c r="K1800" s="31">
        <f>IF(COUNTIFS(Addendum!C:C,A1800,Addendum!D:D,IF(ISNUMBER(B1800),TEXT(B1800,"0000"),B1800),Addendum!G:G,"X")&gt;0,7%,0)</f>
        <v>0</v>
      </c>
      <c r="L1800" s="31">
        <f>IF(COUNTIFS(Addendum!C:C,A1800,Addendum!D:D,IF(ISNUMBER(B1800),TEXT(B1800,"0000"),B1800),Addendum!I:I,"X")&gt;0,10%,0)</f>
        <v>0</v>
      </c>
      <c r="M1800" s="34">
        <f t="shared" si="56"/>
        <v>0.01</v>
      </c>
      <c r="N1800" s="17">
        <f t="shared" si="57"/>
        <v>641.52</v>
      </c>
    </row>
    <row r="1801" spans="1:14" x14ac:dyDescent="0.25">
      <c r="A1801" s="14" t="s">
        <v>2322</v>
      </c>
      <c r="B1801" s="14">
        <v>1</v>
      </c>
      <c r="C1801" s="15" t="s">
        <v>2323</v>
      </c>
      <c r="D1801" s="14" t="s">
        <v>1745</v>
      </c>
      <c r="E1801" s="14" t="s">
        <v>1747</v>
      </c>
      <c r="F1801" s="17" t="s">
        <v>2993</v>
      </c>
      <c r="G1801" s="14">
        <v>4020</v>
      </c>
      <c r="H1801" s="14">
        <v>3216</v>
      </c>
      <c r="I1801" s="31">
        <f>IF(COUNTIFS(Addendum!C:C,A1801,Addendum!D:D,IF(ISNUMBER(B1801),TEXT(B1801,"0000"),B1801),Addendum!E:E,"X")&gt;0,4%,0)</f>
        <v>0</v>
      </c>
      <c r="J1801" s="31">
        <f>IF(COUNTIFS(Addendum!C:C,A1801,Addendum!D:D,IF(ISNUMBER(B1801),TEXT(B1801,"0000"),B1801),Addendum!F:F,"X")&gt;0,2.5%,0)</f>
        <v>0</v>
      </c>
      <c r="K1801" s="31">
        <f>IF(COUNTIFS(Addendum!C:C,A1801,Addendum!D:D,IF(ISNUMBER(B1801),TEXT(B1801,"0000"),B1801),Addendum!G:G,"X")&gt;0,7%,0)</f>
        <v>0</v>
      </c>
      <c r="L1801" s="31">
        <f>IF(COUNTIFS(Addendum!C:C,A1801,Addendum!D:D,IF(ISNUMBER(B1801),TEXT(B1801,"0000"),B1801),Addendum!I:I,"X")&gt;0,10%,0)</f>
        <v>0</v>
      </c>
      <c r="M1801" s="34">
        <f t="shared" si="56"/>
        <v>0</v>
      </c>
      <c r="N1801" s="17">
        <f t="shared" si="57"/>
        <v>3216</v>
      </c>
    </row>
    <row r="1802" spans="1:14" x14ac:dyDescent="0.25">
      <c r="A1802" s="14" t="s">
        <v>2322</v>
      </c>
      <c r="B1802" s="14">
        <v>1</v>
      </c>
      <c r="C1802" s="15" t="s">
        <v>2323</v>
      </c>
      <c r="D1802" s="14" t="s">
        <v>1749</v>
      </c>
      <c r="E1802" s="14" t="s">
        <v>1746</v>
      </c>
      <c r="F1802" s="17" t="s">
        <v>2993</v>
      </c>
      <c r="G1802" s="14">
        <v>402</v>
      </c>
      <c r="H1802" s="14">
        <v>321.60000000000002</v>
      </c>
      <c r="I1802" s="31">
        <f>IF(COUNTIFS(Addendum!C:C,A1802,Addendum!D:D,IF(ISNUMBER(B1802),TEXT(B1802,"0000"),B1802),Addendum!E:E,"X")&gt;0,4%,0)</f>
        <v>0</v>
      </c>
      <c r="J1802" s="31">
        <f>IF(COUNTIFS(Addendum!C:C,A1802,Addendum!D:D,IF(ISNUMBER(B1802),TEXT(B1802,"0000"),B1802),Addendum!F:F,"X")&gt;0,2.5%,0)</f>
        <v>0</v>
      </c>
      <c r="K1802" s="31">
        <f>IF(COUNTIFS(Addendum!C:C,A1802,Addendum!D:D,IF(ISNUMBER(B1802),TEXT(B1802,"0000"),B1802),Addendum!G:G,"X")&gt;0,7%,0)</f>
        <v>0</v>
      </c>
      <c r="L1802" s="31">
        <f>IF(COUNTIFS(Addendum!C:C,A1802,Addendum!D:D,IF(ISNUMBER(B1802),TEXT(B1802,"0000"),B1802),Addendum!I:I,"X")&gt;0,10%,0)</f>
        <v>0</v>
      </c>
      <c r="M1802" s="34">
        <f t="shared" si="56"/>
        <v>0</v>
      </c>
      <c r="N1802" s="17">
        <f t="shared" si="57"/>
        <v>321.60000000000002</v>
      </c>
    </row>
    <row r="1803" spans="1:14" x14ac:dyDescent="0.25">
      <c r="A1803" s="14" t="s">
        <v>2322</v>
      </c>
      <c r="B1803" s="14">
        <v>1</v>
      </c>
      <c r="C1803" s="15" t="s">
        <v>2323</v>
      </c>
      <c r="D1803" s="14" t="s">
        <v>1745</v>
      </c>
      <c r="E1803" s="14" t="s">
        <v>1746</v>
      </c>
      <c r="F1803" s="17" t="s">
        <v>2993</v>
      </c>
      <c r="G1803" s="14">
        <v>4221</v>
      </c>
      <c r="H1803" s="14">
        <v>3376.8</v>
      </c>
      <c r="I1803" s="31">
        <f>IF(COUNTIFS(Addendum!C:C,A1803,Addendum!D:D,IF(ISNUMBER(B1803),TEXT(B1803,"0000"),B1803),Addendum!E:E,"X")&gt;0,4%,0)</f>
        <v>0</v>
      </c>
      <c r="J1803" s="31">
        <f>IF(COUNTIFS(Addendum!C:C,A1803,Addendum!D:D,IF(ISNUMBER(B1803),TEXT(B1803,"0000"),B1803),Addendum!F:F,"X")&gt;0,2.5%,0)</f>
        <v>0</v>
      </c>
      <c r="K1803" s="31">
        <f>IF(COUNTIFS(Addendum!C:C,A1803,Addendum!D:D,IF(ISNUMBER(B1803),TEXT(B1803,"0000"),B1803),Addendum!G:G,"X")&gt;0,7%,0)</f>
        <v>0</v>
      </c>
      <c r="L1803" s="31">
        <f>IF(COUNTIFS(Addendum!C:C,A1803,Addendum!D:D,IF(ISNUMBER(B1803),TEXT(B1803,"0000"),B1803),Addendum!I:I,"X")&gt;0,10%,0)</f>
        <v>0</v>
      </c>
      <c r="M1803" s="34">
        <f t="shared" si="56"/>
        <v>0</v>
      </c>
      <c r="N1803" s="17">
        <f t="shared" si="57"/>
        <v>3376.8</v>
      </c>
    </row>
    <row r="1804" spans="1:14" x14ac:dyDescent="0.25">
      <c r="A1804" s="14" t="s">
        <v>2324</v>
      </c>
      <c r="B1804" s="14">
        <v>1</v>
      </c>
      <c r="C1804" s="15" t="s">
        <v>2325</v>
      </c>
      <c r="D1804" s="14" t="s">
        <v>1749</v>
      </c>
      <c r="E1804" s="14" t="s">
        <v>1746</v>
      </c>
      <c r="F1804" s="17" t="s">
        <v>2993</v>
      </c>
      <c r="G1804" s="14">
        <v>798</v>
      </c>
      <c r="H1804" s="14">
        <v>638.4</v>
      </c>
      <c r="I1804" s="31">
        <f>IF(COUNTIFS(Addendum!C:C,A1804,Addendum!D:D,IF(ISNUMBER(B1804),TEXT(B1804,"0000"),B1804),Addendum!E:E,"X")&gt;0,4%,0)</f>
        <v>0</v>
      </c>
      <c r="J1804" s="31">
        <f>IF(COUNTIFS(Addendum!C:C,A1804,Addendum!D:D,IF(ISNUMBER(B1804),TEXT(B1804,"0000"),B1804),Addendum!F:F,"X")&gt;0,2.5%,0)</f>
        <v>0</v>
      </c>
      <c r="K1804" s="31">
        <f>IF(COUNTIFS(Addendum!C:C,A1804,Addendum!D:D,IF(ISNUMBER(B1804),TEXT(B1804,"0000"),B1804),Addendum!G:G,"X")&gt;0,7%,0)</f>
        <v>0</v>
      </c>
      <c r="L1804" s="31">
        <f>IF(COUNTIFS(Addendum!C:C,A1804,Addendum!D:D,IF(ISNUMBER(B1804),TEXT(B1804,"0000"),B1804),Addendum!I:I,"X")&gt;0,10%,0)</f>
        <v>0</v>
      </c>
      <c r="M1804" s="34">
        <f t="shared" si="56"/>
        <v>0</v>
      </c>
      <c r="N1804" s="17">
        <f t="shared" si="57"/>
        <v>638.4</v>
      </c>
    </row>
    <row r="1805" spans="1:14" x14ac:dyDescent="0.25">
      <c r="A1805" s="14" t="s">
        <v>2324</v>
      </c>
      <c r="B1805" s="14">
        <v>1</v>
      </c>
      <c r="C1805" s="15" t="s">
        <v>2325</v>
      </c>
      <c r="D1805" s="14" t="s">
        <v>1745</v>
      </c>
      <c r="E1805" s="14" t="s">
        <v>1746</v>
      </c>
      <c r="F1805" s="17" t="s">
        <v>2993</v>
      </c>
      <c r="G1805" s="14">
        <v>8379</v>
      </c>
      <c r="H1805" s="14">
        <v>6703.2</v>
      </c>
      <c r="I1805" s="31">
        <f>IF(COUNTIFS(Addendum!C:C,A1805,Addendum!D:D,IF(ISNUMBER(B1805),TEXT(B1805,"0000"),B1805),Addendum!E:E,"X")&gt;0,4%,0)</f>
        <v>0</v>
      </c>
      <c r="J1805" s="31">
        <f>IF(COUNTIFS(Addendum!C:C,A1805,Addendum!D:D,IF(ISNUMBER(B1805),TEXT(B1805,"0000"),B1805),Addendum!F:F,"X")&gt;0,2.5%,0)</f>
        <v>0</v>
      </c>
      <c r="K1805" s="31">
        <f>IF(COUNTIFS(Addendum!C:C,A1805,Addendum!D:D,IF(ISNUMBER(B1805),TEXT(B1805,"0000"),B1805),Addendum!G:G,"X")&gt;0,7%,0)</f>
        <v>0</v>
      </c>
      <c r="L1805" s="31">
        <f>IF(COUNTIFS(Addendum!C:C,A1805,Addendum!D:D,IF(ISNUMBER(B1805),TEXT(B1805,"0000"),B1805),Addendum!I:I,"X")&gt;0,10%,0)</f>
        <v>0</v>
      </c>
      <c r="M1805" s="34">
        <f t="shared" si="56"/>
        <v>0</v>
      </c>
      <c r="N1805" s="17">
        <f t="shared" si="57"/>
        <v>6703.2</v>
      </c>
    </row>
    <row r="1806" spans="1:14" x14ac:dyDescent="0.25">
      <c r="A1806" s="14" t="s">
        <v>2324</v>
      </c>
      <c r="B1806" s="14">
        <v>1</v>
      </c>
      <c r="C1806" s="15" t="s">
        <v>2325</v>
      </c>
      <c r="D1806" s="14" t="s">
        <v>1745</v>
      </c>
      <c r="E1806" s="14" t="s">
        <v>1747</v>
      </c>
      <c r="F1806" s="17" t="s">
        <v>2993</v>
      </c>
      <c r="G1806" s="14">
        <v>7980</v>
      </c>
      <c r="H1806" s="14">
        <v>6384</v>
      </c>
      <c r="I1806" s="31">
        <f>IF(COUNTIFS(Addendum!C:C,A1806,Addendum!D:D,IF(ISNUMBER(B1806),TEXT(B1806,"0000"),B1806),Addendum!E:E,"X")&gt;0,4%,0)</f>
        <v>0</v>
      </c>
      <c r="J1806" s="31">
        <f>IF(COUNTIFS(Addendum!C:C,A1806,Addendum!D:D,IF(ISNUMBER(B1806),TEXT(B1806,"0000"),B1806),Addendum!F:F,"X")&gt;0,2.5%,0)</f>
        <v>0</v>
      </c>
      <c r="K1806" s="31">
        <f>IF(COUNTIFS(Addendum!C:C,A1806,Addendum!D:D,IF(ISNUMBER(B1806),TEXT(B1806,"0000"),B1806),Addendum!G:G,"X")&gt;0,7%,0)</f>
        <v>0</v>
      </c>
      <c r="L1806" s="31">
        <f>IF(COUNTIFS(Addendum!C:C,A1806,Addendum!D:D,IF(ISNUMBER(B1806),TEXT(B1806,"0000"),B1806),Addendum!I:I,"X")&gt;0,10%,0)</f>
        <v>0</v>
      </c>
      <c r="M1806" s="34">
        <f t="shared" si="56"/>
        <v>0</v>
      </c>
      <c r="N1806" s="17">
        <f t="shared" si="57"/>
        <v>6384</v>
      </c>
    </row>
    <row r="1807" spans="1:14" x14ac:dyDescent="0.25">
      <c r="A1807" s="14" t="s">
        <v>2326</v>
      </c>
      <c r="B1807" s="14" t="s">
        <v>39</v>
      </c>
      <c r="C1807" s="15" t="s">
        <v>2327</v>
      </c>
      <c r="D1807" s="14" t="s">
        <v>1749</v>
      </c>
      <c r="E1807" s="14" t="s">
        <v>1746</v>
      </c>
      <c r="F1807" s="17" t="s">
        <v>2995</v>
      </c>
      <c r="G1807" s="14">
        <v>74.88</v>
      </c>
      <c r="H1807" s="14">
        <v>67.39</v>
      </c>
      <c r="I1807" s="31">
        <f>IF(COUNTIFS(Addendum!C:C,A1807,Addendum!D:D,IF(ISNUMBER(B1807),TEXT(B1807,"0000"),B1807),Addendum!E:E,"X")&gt;0,4%,0)</f>
        <v>0</v>
      </c>
      <c r="J1807" s="31">
        <f>IF(COUNTIFS(Addendum!C:C,A1807,Addendum!D:D,IF(ISNUMBER(B1807),TEXT(B1807,"0000"),B1807),Addendum!F:F,"X")&gt;0,2.5%,0)</f>
        <v>0</v>
      </c>
      <c r="K1807" s="31">
        <f>IF(COUNTIFS(Addendum!C:C,A1807,Addendum!D:D,IF(ISNUMBER(B1807),TEXT(B1807,"0000"),B1807),Addendum!G:G,"X")&gt;0,7%,0)</f>
        <v>0</v>
      </c>
      <c r="L1807" s="31">
        <f>IF(COUNTIFS(Addendum!C:C,A1807,Addendum!D:D,IF(ISNUMBER(B1807),TEXT(B1807,"0000"),B1807),Addendum!I:I,"X")&gt;0,10%,0)</f>
        <v>0</v>
      </c>
      <c r="M1807" s="34">
        <f t="shared" si="56"/>
        <v>0</v>
      </c>
      <c r="N1807" s="17">
        <f t="shared" si="57"/>
        <v>67.39</v>
      </c>
    </row>
    <row r="1808" spans="1:14" x14ac:dyDescent="0.25">
      <c r="A1808" s="14" t="s">
        <v>2326</v>
      </c>
      <c r="B1808" s="14">
        <v>1</v>
      </c>
      <c r="C1808" s="15" t="s">
        <v>2328</v>
      </c>
      <c r="D1808" s="14" t="s">
        <v>1745</v>
      </c>
      <c r="E1808" s="14" t="s">
        <v>1747</v>
      </c>
      <c r="F1808" s="17" t="s">
        <v>2993</v>
      </c>
      <c r="G1808" s="14">
        <v>3000</v>
      </c>
      <c r="H1808" s="14">
        <v>2400</v>
      </c>
      <c r="I1808" s="31">
        <f>IF(COUNTIFS(Addendum!C:C,A1808,Addendum!D:D,IF(ISNUMBER(B1808),TEXT(B1808,"0000"),B1808),Addendum!E:E,"X")&gt;0,4%,0)</f>
        <v>0</v>
      </c>
      <c r="J1808" s="31">
        <f>IF(COUNTIFS(Addendum!C:C,A1808,Addendum!D:D,IF(ISNUMBER(B1808),TEXT(B1808,"0000"),B1808),Addendum!F:F,"X")&gt;0,2.5%,0)</f>
        <v>0</v>
      </c>
      <c r="K1808" s="31">
        <f>IF(COUNTIFS(Addendum!C:C,A1808,Addendum!D:D,IF(ISNUMBER(B1808),TEXT(B1808,"0000"),B1808),Addendum!G:G,"X")&gt;0,7%,0)</f>
        <v>0</v>
      </c>
      <c r="L1808" s="31">
        <f>IF(COUNTIFS(Addendum!C:C,A1808,Addendum!D:D,IF(ISNUMBER(B1808),TEXT(B1808,"0000"),B1808),Addendum!I:I,"X")&gt;0,10%,0)</f>
        <v>0</v>
      </c>
      <c r="M1808" s="34">
        <f t="shared" si="56"/>
        <v>0</v>
      </c>
      <c r="N1808" s="17">
        <f t="shared" si="57"/>
        <v>2400</v>
      </c>
    </row>
    <row r="1809" spans="1:14" x14ac:dyDescent="0.25">
      <c r="A1809" s="14" t="s">
        <v>2326</v>
      </c>
      <c r="B1809" s="14" t="s">
        <v>39</v>
      </c>
      <c r="C1809" s="15" t="s">
        <v>2327</v>
      </c>
      <c r="D1809" s="14" t="s">
        <v>1745</v>
      </c>
      <c r="E1809" s="14" t="s">
        <v>1746</v>
      </c>
      <c r="F1809" s="17" t="s">
        <v>2995</v>
      </c>
      <c r="G1809" s="14">
        <v>786.24</v>
      </c>
      <c r="H1809" s="14">
        <v>707.64</v>
      </c>
      <c r="I1809" s="31">
        <f>IF(COUNTIFS(Addendum!C:C,A1809,Addendum!D:D,IF(ISNUMBER(B1809),TEXT(B1809,"0000"),B1809),Addendum!E:E,"X")&gt;0,4%,0)</f>
        <v>0</v>
      </c>
      <c r="J1809" s="31">
        <f>IF(COUNTIFS(Addendum!C:C,A1809,Addendum!D:D,IF(ISNUMBER(B1809),TEXT(B1809,"0000"),B1809),Addendum!F:F,"X")&gt;0,2.5%,0)</f>
        <v>0</v>
      </c>
      <c r="K1809" s="31">
        <f>IF(COUNTIFS(Addendum!C:C,A1809,Addendum!D:D,IF(ISNUMBER(B1809),TEXT(B1809,"0000"),B1809),Addendum!G:G,"X")&gt;0,7%,0)</f>
        <v>0</v>
      </c>
      <c r="L1809" s="31">
        <f>IF(COUNTIFS(Addendum!C:C,A1809,Addendum!D:D,IF(ISNUMBER(B1809),TEXT(B1809,"0000"),B1809),Addendum!I:I,"X")&gt;0,10%,0)</f>
        <v>0</v>
      </c>
      <c r="M1809" s="34">
        <f t="shared" si="56"/>
        <v>0</v>
      </c>
      <c r="N1809" s="17">
        <f t="shared" si="57"/>
        <v>707.64</v>
      </c>
    </row>
    <row r="1810" spans="1:14" x14ac:dyDescent="0.25">
      <c r="A1810" s="14" t="s">
        <v>2326</v>
      </c>
      <c r="B1810" s="14">
        <v>1</v>
      </c>
      <c r="C1810" s="15" t="s">
        <v>2328</v>
      </c>
      <c r="D1810" s="14" t="s">
        <v>1745</v>
      </c>
      <c r="E1810" s="14" t="s">
        <v>1746</v>
      </c>
      <c r="F1810" s="17" t="s">
        <v>2993</v>
      </c>
      <c r="G1810" s="14">
        <v>3150</v>
      </c>
      <c r="H1810" s="14">
        <v>2520</v>
      </c>
      <c r="I1810" s="31">
        <f>IF(COUNTIFS(Addendum!C:C,A1810,Addendum!D:D,IF(ISNUMBER(B1810),TEXT(B1810,"0000"),B1810),Addendum!E:E,"X")&gt;0,4%,0)</f>
        <v>0</v>
      </c>
      <c r="J1810" s="31">
        <f>IF(COUNTIFS(Addendum!C:C,A1810,Addendum!D:D,IF(ISNUMBER(B1810),TEXT(B1810,"0000"),B1810),Addendum!F:F,"X")&gt;0,2.5%,0)</f>
        <v>0</v>
      </c>
      <c r="K1810" s="31">
        <f>IF(COUNTIFS(Addendum!C:C,A1810,Addendum!D:D,IF(ISNUMBER(B1810),TEXT(B1810,"0000"),B1810),Addendum!G:G,"X")&gt;0,7%,0)</f>
        <v>0</v>
      </c>
      <c r="L1810" s="31">
        <f>IF(COUNTIFS(Addendum!C:C,A1810,Addendum!D:D,IF(ISNUMBER(B1810),TEXT(B1810,"0000"),B1810),Addendum!I:I,"X")&gt;0,10%,0)</f>
        <v>0</v>
      </c>
      <c r="M1810" s="34">
        <f t="shared" si="56"/>
        <v>0</v>
      </c>
      <c r="N1810" s="17">
        <f t="shared" si="57"/>
        <v>2520</v>
      </c>
    </row>
    <row r="1811" spans="1:14" x14ac:dyDescent="0.25">
      <c r="A1811" s="14" t="s">
        <v>2326</v>
      </c>
      <c r="B1811" s="14" t="s">
        <v>39</v>
      </c>
      <c r="C1811" s="15" t="s">
        <v>2327</v>
      </c>
      <c r="D1811" s="14" t="s">
        <v>1745</v>
      </c>
      <c r="E1811" s="14" t="s">
        <v>1747</v>
      </c>
      <c r="F1811" s="17" t="s">
        <v>2995</v>
      </c>
      <c r="G1811" s="14">
        <v>748.8</v>
      </c>
      <c r="H1811" s="14">
        <v>673.92</v>
      </c>
      <c r="I1811" s="31">
        <f>IF(COUNTIFS(Addendum!C:C,A1811,Addendum!D:D,IF(ISNUMBER(B1811),TEXT(B1811,"0000"),B1811),Addendum!E:E,"X")&gt;0,4%,0)</f>
        <v>0</v>
      </c>
      <c r="J1811" s="31">
        <f>IF(COUNTIFS(Addendum!C:C,A1811,Addendum!D:D,IF(ISNUMBER(B1811),TEXT(B1811,"0000"),B1811),Addendum!F:F,"X")&gt;0,2.5%,0)</f>
        <v>0</v>
      </c>
      <c r="K1811" s="31">
        <f>IF(COUNTIFS(Addendum!C:C,A1811,Addendum!D:D,IF(ISNUMBER(B1811),TEXT(B1811,"0000"),B1811),Addendum!G:G,"X")&gt;0,7%,0)</f>
        <v>0</v>
      </c>
      <c r="L1811" s="31">
        <f>IF(COUNTIFS(Addendum!C:C,A1811,Addendum!D:D,IF(ISNUMBER(B1811),TEXT(B1811,"0000"),B1811),Addendum!I:I,"X")&gt;0,10%,0)</f>
        <v>0</v>
      </c>
      <c r="M1811" s="34">
        <f t="shared" si="56"/>
        <v>0</v>
      </c>
      <c r="N1811" s="17">
        <f t="shared" si="57"/>
        <v>673.92</v>
      </c>
    </row>
    <row r="1812" spans="1:14" x14ac:dyDescent="0.25">
      <c r="A1812" s="14" t="s">
        <v>2326</v>
      </c>
      <c r="B1812" s="14">
        <v>1</v>
      </c>
      <c r="C1812" s="15" t="s">
        <v>2328</v>
      </c>
      <c r="D1812" s="14" t="s">
        <v>1749</v>
      </c>
      <c r="E1812" s="14" t="s">
        <v>1746</v>
      </c>
      <c r="F1812" s="17" t="s">
        <v>2993</v>
      </c>
      <c r="G1812" s="14">
        <v>300</v>
      </c>
      <c r="H1812" s="14">
        <v>240</v>
      </c>
      <c r="I1812" s="31">
        <f>IF(COUNTIFS(Addendum!C:C,A1812,Addendum!D:D,IF(ISNUMBER(B1812),TEXT(B1812,"0000"),B1812),Addendum!E:E,"X")&gt;0,4%,0)</f>
        <v>0</v>
      </c>
      <c r="J1812" s="31">
        <f>IF(COUNTIFS(Addendum!C:C,A1812,Addendum!D:D,IF(ISNUMBER(B1812),TEXT(B1812,"0000"),B1812),Addendum!F:F,"X")&gt;0,2.5%,0)</f>
        <v>0</v>
      </c>
      <c r="K1812" s="31">
        <f>IF(COUNTIFS(Addendum!C:C,A1812,Addendum!D:D,IF(ISNUMBER(B1812),TEXT(B1812,"0000"),B1812),Addendum!G:G,"X")&gt;0,7%,0)</f>
        <v>0</v>
      </c>
      <c r="L1812" s="31">
        <f>IF(COUNTIFS(Addendum!C:C,A1812,Addendum!D:D,IF(ISNUMBER(B1812),TEXT(B1812,"0000"),B1812),Addendum!I:I,"X")&gt;0,10%,0)</f>
        <v>0</v>
      </c>
      <c r="M1812" s="34">
        <f t="shared" si="56"/>
        <v>0</v>
      </c>
      <c r="N1812" s="17">
        <f t="shared" si="57"/>
        <v>240</v>
      </c>
    </row>
    <row r="1813" spans="1:14" x14ac:dyDescent="0.25">
      <c r="A1813" s="14" t="s">
        <v>2329</v>
      </c>
      <c r="B1813" s="14">
        <v>1</v>
      </c>
      <c r="C1813" s="15" t="s">
        <v>2330</v>
      </c>
      <c r="D1813" s="14" t="s">
        <v>1745</v>
      </c>
      <c r="E1813" s="14" t="s">
        <v>1746</v>
      </c>
      <c r="F1813" s="17" t="s">
        <v>2993</v>
      </c>
      <c r="G1813" s="14">
        <v>3150</v>
      </c>
      <c r="H1813" s="14">
        <v>2520</v>
      </c>
      <c r="I1813" s="31">
        <f>IF(COUNTIFS(Addendum!C:C,A1813,Addendum!D:D,IF(ISNUMBER(B1813),TEXT(B1813,"0000"),B1813),Addendum!E:E,"X")&gt;0,4%,0)</f>
        <v>0</v>
      </c>
      <c r="J1813" s="31">
        <f>IF(COUNTIFS(Addendum!C:C,A1813,Addendum!D:D,IF(ISNUMBER(B1813),TEXT(B1813,"0000"),B1813),Addendum!F:F,"X")&gt;0,2.5%,0)</f>
        <v>0</v>
      </c>
      <c r="K1813" s="31">
        <f>IF(COUNTIFS(Addendum!C:C,A1813,Addendum!D:D,IF(ISNUMBER(B1813),TEXT(B1813,"0000"),B1813),Addendum!G:G,"X")&gt;0,7%,0)</f>
        <v>0</v>
      </c>
      <c r="L1813" s="31">
        <f>IF(COUNTIFS(Addendum!C:C,A1813,Addendum!D:D,IF(ISNUMBER(B1813),TEXT(B1813,"0000"),B1813),Addendum!I:I,"X")&gt;0,10%,0)</f>
        <v>0</v>
      </c>
      <c r="M1813" s="34">
        <f t="shared" si="56"/>
        <v>0</v>
      </c>
      <c r="N1813" s="17">
        <f t="shared" si="57"/>
        <v>2520</v>
      </c>
    </row>
    <row r="1814" spans="1:14" x14ac:dyDescent="0.25">
      <c r="A1814" s="14" t="s">
        <v>2329</v>
      </c>
      <c r="B1814" s="14">
        <v>1</v>
      </c>
      <c r="C1814" s="15" t="s">
        <v>2330</v>
      </c>
      <c r="D1814" s="14" t="s">
        <v>1749</v>
      </c>
      <c r="E1814" s="14" t="s">
        <v>1746</v>
      </c>
      <c r="F1814" s="17" t="s">
        <v>2993</v>
      </c>
      <c r="G1814" s="14">
        <v>300</v>
      </c>
      <c r="H1814" s="14">
        <v>240</v>
      </c>
      <c r="I1814" s="31">
        <f>IF(COUNTIFS(Addendum!C:C,A1814,Addendum!D:D,IF(ISNUMBER(B1814),TEXT(B1814,"0000"),B1814),Addendum!E:E,"X")&gt;0,4%,0)</f>
        <v>0</v>
      </c>
      <c r="J1814" s="31">
        <f>IF(COUNTIFS(Addendum!C:C,A1814,Addendum!D:D,IF(ISNUMBER(B1814),TEXT(B1814,"0000"),B1814),Addendum!F:F,"X")&gt;0,2.5%,0)</f>
        <v>0</v>
      </c>
      <c r="K1814" s="31">
        <f>IF(COUNTIFS(Addendum!C:C,A1814,Addendum!D:D,IF(ISNUMBER(B1814),TEXT(B1814,"0000"),B1814),Addendum!G:G,"X")&gt;0,7%,0)</f>
        <v>0</v>
      </c>
      <c r="L1814" s="31">
        <f>IF(COUNTIFS(Addendum!C:C,A1814,Addendum!D:D,IF(ISNUMBER(B1814),TEXT(B1814,"0000"),B1814),Addendum!I:I,"X")&gt;0,10%,0)</f>
        <v>0</v>
      </c>
      <c r="M1814" s="34">
        <f t="shared" si="56"/>
        <v>0</v>
      </c>
      <c r="N1814" s="17">
        <f t="shared" si="57"/>
        <v>240</v>
      </c>
    </row>
    <row r="1815" spans="1:14" x14ac:dyDescent="0.25">
      <c r="A1815" s="14" t="s">
        <v>2329</v>
      </c>
      <c r="B1815" s="14">
        <v>1</v>
      </c>
      <c r="C1815" s="15" t="s">
        <v>2330</v>
      </c>
      <c r="D1815" s="14" t="s">
        <v>1745</v>
      </c>
      <c r="E1815" s="14" t="s">
        <v>1747</v>
      </c>
      <c r="F1815" s="17" t="s">
        <v>2993</v>
      </c>
      <c r="G1815" s="14">
        <v>3000</v>
      </c>
      <c r="H1815" s="14">
        <v>2400</v>
      </c>
      <c r="I1815" s="31">
        <f>IF(COUNTIFS(Addendum!C:C,A1815,Addendum!D:D,IF(ISNUMBER(B1815),TEXT(B1815,"0000"),B1815),Addendum!E:E,"X")&gt;0,4%,0)</f>
        <v>0</v>
      </c>
      <c r="J1815" s="31">
        <f>IF(COUNTIFS(Addendum!C:C,A1815,Addendum!D:D,IF(ISNUMBER(B1815),TEXT(B1815,"0000"),B1815),Addendum!F:F,"X")&gt;0,2.5%,0)</f>
        <v>0</v>
      </c>
      <c r="K1815" s="31">
        <f>IF(COUNTIFS(Addendum!C:C,A1815,Addendum!D:D,IF(ISNUMBER(B1815),TEXT(B1815,"0000"),B1815),Addendum!G:G,"X")&gt;0,7%,0)</f>
        <v>0</v>
      </c>
      <c r="L1815" s="31">
        <f>IF(COUNTIFS(Addendum!C:C,A1815,Addendum!D:D,IF(ISNUMBER(B1815),TEXT(B1815,"0000"),B1815),Addendum!I:I,"X")&gt;0,10%,0)</f>
        <v>0</v>
      </c>
      <c r="M1815" s="34">
        <f t="shared" si="56"/>
        <v>0</v>
      </c>
      <c r="N1815" s="17">
        <f t="shared" si="57"/>
        <v>2400</v>
      </c>
    </row>
    <row r="1816" spans="1:14" x14ac:dyDescent="0.25">
      <c r="A1816" s="14" t="s">
        <v>2331</v>
      </c>
      <c r="B1816" s="14">
        <v>1</v>
      </c>
      <c r="C1816" s="15" t="s">
        <v>2332</v>
      </c>
      <c r="D1816" s="14" t="s">
        <v>1749</v>
      </c>
      <c r="E1816" s="14" t="s">
        <v>1746</v>
      </c>
      <c r="F1816" s="17" t="s">
        <v>2993</v>
      </c>
      <c r="G1816" s="14">
        <v>198</v>
      </c>
      <c r="H1816" s="14">
        <v>158.4</v>
      </c>
      <c r="I1816" s="31">
        <f>IF(COUNTIFS(Addendum!C:C,A1816,Addendum!D:D,IF(ISNUMBER(B1816),TEXT(B1816,"0000"),B1816),Addendum!E:E,"X")&gt;0,4%,0)</f>
        <v>0</v>
      </c>
      <c r="J1816" s="31">
        <f>IF(COUNTIFS(Addendum!C:C,A1816,Addendum!D:D,IF(ISNUMBER(B1816),TEXT(B1816,"0000"),B1816),Addendum!F:F,"X")&gt;0,2.5%,0)</f>
        <v>0</v>
      </c>
      <c r="K1816" s="31">
        <f>IF(COUNTIFS(Addendum!C:C,A1816,Addendum!D:D,IF(ISNUMBER(B1816),TEXT(B1816,"0000"),B1816),Addendum!G:G,"X")&gt;0,7%,0)</f>
        <v>0</v>
      </c>
      <c r="L1816" s="31">
        <f>IF(COUNTIFS(Addendum!C:C,A1816,Addendum!D:D,IF(ISNUMBER(B1816),TEXT(B1816,"0000"),B1816),Addendum!I:I,"X")&gt;0,10%,0)</f>
        <v>0</v>
      </c>
      <c r="M1816" s="34">
        <f t="shared" si="56"/>
        <v>0</v>
      </c>
      <c r="N1816" s="17">
        <f t="shared" si="57"/>
        <v>158.4</v>
      </c>
    </row>
    <row r="1817" spans="1:14" x14ac:dyDescent="0.25">
      <c r="A1817" s="14" t="s">
        <v>2331</v>
      </c>
      <c r="B1817" s="14">
        <v>1</v>
      </c>
      <c r="C1817" s="15" t="s">
        <v>2332</v>
      </c>
      <c r="D1817" s="14" t="s">
        <v>1745</v>
      </c>
      <c r="E1817" s="14" t="s">
        <v>1746</v>
      </c>
      <c r="F1817" s="17" t="s">
        <v>2993</v>
      </c>
      <c r="G1817" s="14">
        <v>2079</v>
      </c>
      <c r="H1817" s="14">
        <v>1663.2</v>
      </c>
      <c r="I1817" s="31">
        <f>IF(COUNTIFS(Addendum!C:C,A1817,Addendum!D:D,IF(ISNUMBER(B1817),TEXT(B1817,"0000"),B1817),Addendum!E:E,"X")&gt;0,4%,0)</f>
        <v>0</v>
      </c>
      <c r="J1817" s="31">
        <f>IF(COUNTIFS(Addendum!C:C,A1817,Addendum!D:D,IF(ISNUMBER(B1817),TEXT(B1817,"0000"),B1817),Addendum!F:F,"X")&gt;0,2.5%,0)</f>
        <v>0</v>
      </c>
      <c r="K1817" s="31">
        <f>IF(COUNTIFS(Addendum!C:C,A1817,Addendum!D:D,IF(ISNUMBER(B1817),TEXT(B1817,"0000"),B1817),Addendum!G:G,"X")&gt;0,7%,0)</f>
        <v>0</v>
      </c>
      <c r="L1817" s="31">
        <f>IF(COUNTIFS(Addendum!C:C,A1817,Addendum!D:D,IF(ISNUMBER(B1817),TEXT(B1817,"0000"),B1817),Addendum!I:I,"X")&gt;0,10%,0)</f>
        <v>0</v>
      </c>
      <c r="M1817" s="34">
        <f t="shared" si="56"/>
        <v>0</v>
      </c>
      <c r="N1817" s="17">
        <f t="shared" si="57"/>
        <v>1663.2</v>
      </c>
    </row>
    <row r="1818" spans="1:14" x14ac:dyDescent="0.25">
      <c r="A1818" s="14" t="s">
        <v>2331</v>
      </c>
      <c r="B1818" s="14">
        <v>1</v>
      </c>
      <c r="C1818" s="15" t="s">
        <v>2332</v>
      </c>
      <c r="D1818" s="14" t="s">
        <v>1745</v>
      </c>
      <c r="E1818" s="14" t="s">
        <v>1747</v>
      </c>
      <c r="F1818" s="17" t="s">
        <v>2993</v>
      </c>
      <c r="G1818" s="14">
        <v>1980</v>
      </c>
      <c r="H1818" s="14">
        <v>1584</v>
      </c>
      <c r="I1818" s="31">
        <f>IF(COUNTIFS(Addendum!C:C,A1818,Addendum!D:D,IF(ISNUMBER(B1818),TEXT(B1818,"0000"),B1818),Addendum!E:E,"X")&gt;0,4%,0)</f>
        <v>0</v>
      </c>
      <c r="J1818" s="31">
        <f>IF(COUNTIFS(Addendum!C:C,A1818,Addendum!D:D,IF(ISNUMBER(B1818),TEXT(B1818,"0000"),B1818),Addendum!F:F,"X")&gt;0,2.5%,0)</f>
        <v>0</v>
      </c>
      <c r="K1818" s="31">
        <f>IF(COUNTIFS(Addendum!C:C,A1818,Addendum!D:D,IF(ISNUMBER(B1818),TEXT(B1818,"0000"),B1818),Addendum!G:G,"X")&gt;0,7%,0)</f>
        <v>0</v>
      </c>
      <c r="L1818" s="31">
        <f>IF(COUNTIFS(Addendum!C:C,A1818,Addendum!D:D,IF(ISNUMBER(B1818),TEXT(B1818,"0000"),B1818),Addendum!I:I,"X")&gt;0,10%,0)</f>
        <v>0</v>
      </c>
      <c r="M1818" s="34">
        <f t="shared" si="56"/>
        <v>0</v>
      </c>
      <c r="N1818" s="17">
        <f t="shared" si="57"/>
        <v>1584</v>
      </c>
    </row>
    <row r="1819" spans="1:14" x14ac:dyDescent="0.25">
      <c r="A1819" s="14" t="s">
        <v>204</v>
      </c>
      <c r="B1819" s="14">
        <v>1</v>
      </c>
      <c r="C1819" s="15" t="s">
        <v>203</v>
      </c>
      <c r="D1819" s="14" t="s">
        <v>1749</v>
      </c>
      <c r="E1819" s="14" t="s">
        <v>1746</v>
      </c>
      <c r="F1819" s="17" t="s">
        <v>2993</v>
      </c>
      <c r="G1819" s="14">
        <v>7488</v>
      </c>
      <c r="H1819" s="14">
        <v>5990.4</v>
      </c>
      <c r="I1819" s="31">
        <f>IF(COUNTIFS(Addendum!C:C,A1819,Addendum!D:D,IF(ISNUMBER(B1819),TEXT(B1819,"0000"),B1819),Addendum!E:E,"X")&gt;0,4%,0)</f>
        <v>0.04</v>
      </c>
      <c r="J1819" s="31">
        <f>IF(COUNTIFS(Addendum!C:C,A1819,Addendum!D:D,IF(ISNUMBER(B1819),TEXT(B1819,"0000"),B1819),Addendum!F:F,"X")&gt;0,2.5%,0)</f>
        <v>0</v>
      </c>
      <c r="K1819" s="31">
        <f>IF(COUNTIFS(Addendum!C:C,A1819,Addendum!D:D,IF(ISNUMBER(B1819),TEXT(B1819,"0000"),B1819),Addendum!G:G,"X")&gt;0,7%,0)</f>
        <v>0</v>
      </c>
      <c r="L1819" s="31">
        <f>IF(COUNTIFS(Addendum!C:C,A1819,Addendum!D:D,IF(ISNUMBER(B1819),TEXT(B1819,"0000"),B1819),Addendum!I:I,"X")&gt;0,10%,0)</f>
        <v>0</v>
      </c>
      <c r="M1819" s="34">
        <f t="shared" si="56"/>
        <v>0.01</v>
      </c>
      <c r="N1819" s="17">
        <f t="shared" si="57"/>
        <v>5930.4959999999992</v>
      </c>
    </row>
    <row r="1820" spans="1:14" x14ac:dyDescent="0.25">
      <c r="A1820" s="14" t="s">
        <v>204</v>
      </c>
      <c r="B1820" s="14">
        <v>1</v>
      </c>
      <c r="C1820" s="15" t="s">
        <v>203</v>
      </c>
      <c r="D1820" s="14" t="s">
        <v>1752</v>
      </c>
      <c r="E1820" s="14" t="s">
        <v>1747</v>
      </c>
      <c r="F1820" s="17" t="s">
        <v>2993</v>
      </c>
      <c r="G1820" s="14">
        <v>224640</v>
      </c>
      <c r="H1820" s="14">
        <v>179712</v>
      </c>
      <c r="I1820" s="31">
        <f>IF(COUNTIFS(Addendum!C:C,A1820,Addendum!D:D,IF(ISNUMBER(B1820),TEXT(B1820,"0000"),B1820),Addendum!E:E,"X")&gt;0,4%,0)</f>
        <v>0.04</v>
      </c>
      <c r="J1820" s="31">
        <f>IF(COUNTIFS(Addendum!C:C,A1820,Addendum!D:D,IF(ISNUMBER(B1820),TEXT(B1820,"0000"),B1820),Addendum!F:F,"X")&gt;0,2.5%,0)</f>
        <v>0</v>
      </c>
      <c r="K1820" s="31">
        <f>IF(COUNTIFS(Addendum!C:C,A1820,Addendum!D:D,IF(ISNUMBER(B1820),TEXT(B1820,"0000"),B1820),Addendum!G:G,"X")&gt;0,7%,0)</f>
        <v>0</v>
      </c>
      <c r="L1820" s="31">
        <f>IF(COUNTIFS(Addendum!C:C,A1820,Addendum!D:D,IF(ISNUMBER(B1820),TEXT(B1820,"0000"),B1820),Addendum!I:I,"X")&gt;0,10%,0)</f>
        <v>0</v>
      </c>
      <c r="M1820" s="34">
        <f t="shared" si="56"/>
        <v>0.03</v>
      </c>
      <c r="N1820" s="17">
        <f t="shared" si="57"/>
        <v>174320.64000000001</v>
      </c>
    </row>
    <row r="1821" spans="1:14" x14ac:dyDescent="0.25">
      <c r="A1821" s="14" t="s">
        <v>204</v>
      </c>
      <c r="B1821" s="14">
        <v>1</v>
      </c>
      <c r="C1821" s="15" t="s">
        <v>203</v>
      </c>
      <c r="D1821" s="14" t="s">
        <v>1745</v>
      </c>
      <c r="E1821" s="14" t="s">
        <v>1747</v>
      </c>
      <c r="F1821" s="17" t="s">
        <v>2993</v>
      </c>
      <c r="G1821" s="14">
        <v>74880</v>
      </c>
      <c r="H1821" s="14">
        <v>59904</v>
      </c>
      <c r="I1821" s="31">
        <f>IF(COUNTIFS(Addendum!C:C,A1821,Addendum!D:D,IF(ISNUMBER(B1821),TEXT(B1821,"0000"),B1821),Addendum!E:E,"X")&gt;0,4%,0)</f>
        <v>0.04</v>
      </c>
      <c r="J1821" s="31">
        <f>IF(COUNTIFS(Addendum!C:C,A1821,Addendum!D:D,IF(ISNUMBER(B1821),TEXT(B1821,"0000"),B1821),Addendum!F:F,"X")&gt;0,2.5%,0)</f>
        <v>0</v>
      </c>
      <c r="K1821" s="31">
        <f>IF(COUNTIFS(Addendum!C:C,A1821,Addendum!D:D,IF(ISNUMBER(B1821),TEXT(B1821,"0000"),B1821),Addendum!G:G,"X")&gt;0,7%,0)</f>
        <v>0</v>
      </c>
      <c r="L1821" s="31">
        <f>IF(COUNTIFS(Addendum!C:C,A1821,Addendum!D:D,IF(ISNUMBER(B1821),TEXT(B1821,"0000"),B1821),Addendum!I:I,"X")&gt;0,10%,0)</f>
        <v>0</v>
      </c>
      <c r="M1821" s="34">
        <f t="shared" si="56"/>
        <v>0.03</v>
      </c>
      <c r="N1821" s="17">
        <f t="shared" si="57"/>
        <v>58106.879999999997</v>
      </c>
    </row>
    <row r="1822" spans="1:14" x14ac:dyDescent="0.25">
      <c r="A1822" s="14" t="s">
        <v>204</v>
      </c>
      <c r="B1822" s="14">
        <v>1</v>
      </c>
      <c r="C1822" s="15" t="s">
        <v>203</v>
      </c>
      <c r="D1822" s="14" t="s">
        <v>1745</v>
      </c>
      <c r="E1822" s="14" t="s">
        <v>1746</v>
      </c>
      <c r="F1822" s="17" t="s">
        <v>2993</v>
      </c>
      <c r="G1822" s="14">
        <v>78624</v>
      </c>
      <c r="H1822" s="14">
        <v>62899.199999999997</v>
      </c>
      <c r="I1822" s="31">
        <f>IF(COUNTIFS(Addendum!C:C,A1822,Addendum!D:D,IF(ISNUMBER(B1822),TEXT(B1822,"0000"),B1822),Addendum!E:E,"X")&gt;0,4%,0)</f>
        <v>0.04</v>
      </c>
      <c r="J1822" s="31">
        <f>IF(COUNTIFS(Addendum!C:C,A1822,Addendum!D:D,IF(ISNUMBER(B1822),TEXT(B1822,"0000"),B1822),Addendum!F:F,"X")&gt;0,2.5%,0)</f>
        <v>0</v>
      </c>
      <c r="K1822" s="31">
        <f>IF(COUNTIFS(Addendum!C:C,A1822,Addendum!D:D,IF(ISNUMBER(B1822),TEXT(B1822,"0000"),B1822),Addendum!G:G,"X")&gt;0,7%,0)</f>
        <v>0</v>
      </c>
      <c r="L1822" s="31">
        <f>IF(COUNTIFS(Addendum!C:C,A1822,Addendum!D:D,IF(ISNUMBER(B1822),TEXT(B1822,"0000"),B1822),Addendum!I:I,"X")&gt;0,10%,0)</f>
        <v>0</v>
      </c>
      <c r="M1822" s="34">
        <f t="shared" si="56"/>
        <v>0.01</v>
      </c>
      <c r="N1822" s="17">
        <f t="shared" si="57"/>
        <v>62270.207999999999</v>
      </c>
    </row>
    <row r="1823" spans="1:14" x14ac:dyDescent="0.25">
      <c r="A1823" s="14" t="s">
        <v>204</v>
      </c>
      <c r="B1823" s="14">
        <v>1</v>
      </c>
      <c r="C1823" s="15" t="s">
        <v>203</v>
      </c>
      <c r="D1823" s="14" t="s">
        <v>1752</v>
      </c>
      <c r="E1823" s="14" t="s">
        <v>1753</v>
      </c>
      <c r="F1823" s="17" t="s">
        <v>2993</v>
      </c>
      <c r="G1823" s="14">
        <v>224640</v>
      </c>
      <c r="H1823" s="14">
        <v>179712</v>
      </c>
      <c r="I1823" s="31">
        <f>IF(COUNTIFS(Addendum!C:C,A1823,Addendum!D:D,IF(ISNUMBER(B1823),TEXT(B1823,"0000"),B1823),Addendum!E:E,"X")&gt;0,4%,0)</f>
        <v>0.04</v>
      </c>
      <c r="J1823" s="31">
        <f>IF(COUNTIFS(Addendum!C:C,A1823,Addendum!D:D,IF(ISNUMBER(B1823),TEXT(B1823,"0000"),B1823),Addendum!F:F,"X")&gt;0,2.5%,0)</f>
        <v>0</v>
      </c>
      <c r="K1823" s="31">
        <f>IF(COUNTIFS(Addendum!C:C,A1823,Addendum!D:D,IF(ISNUMBER(B1823),TEXT(B1823,"0000"),B1823),Addendum!G:G,"X")&gt;0,7%,0)</f>
        <v>0</v>
      </c>
      <c r="L1823" s="31">
        <f>IF(COUNTIFS(Addendum!C:C,A1823,Addendum!D:D,IF(ISNUMBER(B1823),TEXT(B1823,"0000"),B1823),Addendum!I:I,"X")&gt;0,10%,0)</f>
        <v>0</v>
      </c>
      <c r="M1823" s="34">
        <f t="shared" si="56"/>
        <v>0.03</v>
      </c>
      <c r="N1823" s="17">
        <f t="shared" si="57"/>
        <v>174320.64000000001</v>
      </c>
    </row>
    <row r="1824" spans="1:14" x14ac:dyDescent="0.25">
      <c r="A1824" s="14" t="s">
        <v>2333</v>
      </c>
      <c r="B1824" s="14">
        <v>1</v>
      </c>
      <c r="C1824" s="15" t="s">
        <v>2334</v>
      </c>
      <c r="D1824" s="14" t="s">
        <v>1745</v>
      </c>
      <c r="E1824" s="14" t="s">
        <v>1746</v>
      </c>
      <c r="F1824" s="17" t="s">
        <v>2993</v>
      </c>
      <c r="G1824" s="14">
        <v>1572354</v>
      </c>
      <c r="H1824" s="14">
        <v>1100648</v>
      </c>
      <c r="I1824" s="31">
        <f>IF(COUNTIFS(Addendum!C:C,A1824,Addendum!D:D,IF(ISNUMBER(B1824),TEXT(B1824,"0000"),B1824),Addendum!E:E,"X")&gt;0,4%,0)</f>
        <v>0</v>
      </c>
      <c r="J1824" s="31">
        <f>IF(COUNTIFS(Addendum!C:C,A1824,Addendum!D:D,IF(ISNUMBER(B1824),TEXT(B1824,"0000"),B1824),Addendum!F:F,"X")&gt;0,2.5%,0)</f>
        <v>0</v>
      </c>
      <c r="K1824" s="31">
        <f>IF(COUNTIFS(Addendum!C:C,A1824,Addendum!D:D,IF(ISNUMBER(B1824),TEXT(B1824,"0000"),B1824),Addendum!G:G,"X")&gt;0,7%,0)</f>
        <v>0</v>
      </c>
      <c r="L1824" s="31">
        <f>IF(COUNTIFS(Addendum!C:C,A1824,Addendum!D:D,IF(ISNUMBER(B1824),TEXT(B1824,"0000"),B1824),Addendum!I:I,"X")&gt;0,10%,0)</f>
        <v>0</v>
      </c>
      <c r="M1824" s="34">
        <f t="shared" si="56"/>
        <v>0</v>
      </c>
      <c r="N1824" s="17">
        <f t="shared" si="57"/>
        <v>1100648</v>
      </c>
    </row>
    <row r="1825" spans="1:14" x14ac:dyDescent="0.25">
      <c r="A1825" s="14" t="s">
        <v>2333</v>
      </c>
      <c r="B1825" s="14">
        <v>1</v>
      </c>
      <c r="C1825" s="15" t="s">
        <v>2334</v>
      </c>
      <c r="D1825" s="14" t="s">
        <v>1752</v>
      </c>
      <c r="E1825" s="14" t="s">
        <v>1746</v>
      </c>
      <c r="F1825" s="17" t="s">
        <v>2993</v>
      </c>
      <c r="G1825" s="14">
        <v>4717062</v>
      </c>
      <c r="H1825" s="14">
        <v>3301943</v>
      </c>
      <c r="I1825" s="31">
        <f>IF(COUNTIFS(Addendum!C:C,A1825,Addendum!D:D,IF(ISNUMBER(B1825),TEXT(B1825,"0000"),B1825),Addendum!E:E,"X")&gt;0,4%,0)</f>
        <v>0</v>
      </c>
      <c r="J1825" s="31">
        <f>IF(COUNTIFS(Addendum!C:C,A1825,Addendum!D:D,IF(ISNUMBER(B1825),TEXT(B1825,"0000"),B1825),Addendum!F:F,"X")&gt;0,2.5%,0)</f>
        <v>0</v>
      </c>
      <c r="K1825" s="31">
        <f>IF(COUNTIFS(Addendum!C:C,A1825,Addendum!D:D,IF(ISNUMBER(B1825),TEXT(B1825,"0000"),B1825),Addendum!G:G,"X")&gt;0,7%,0)</f>
        <v>0</v>
      </c>
      <c r="L1825" s="31">
        <f>IF(COUNTIFS(Addendum!C:C,A1825,Addendum!D:D,IF(ISNUMBER(B1825),TEXT(B1825,"0000"),B1825),Addendum!I:I,"X")&gt;0,10%,0)</f>
        <v>0</v>
      </c>
      <c r="M1825" s="34">
        <f t="shared" si="56"/>
        <v>0</v>
      </c>
      <c r="N1825" s="17">
        <f t="shared" si="57"/>
        <v>3301943</v>
      </c>
    </row>
    <row r="1826" spans="1:14" x14ac:dyDescent="0.25">
      <c r="A1826" s="14" t="s">
        <v>2333</v>
      </c>
      <c r="B1826" s="14">
        <v>1</v>
      </c>
      <c r="C1826" s="15" t="s">
        <v>2334</v>
      </c>
      <c r="D1826" s="14" t="s">
        <v>1752</v>
      </c>
      <c r="E1826" s="14" t="s">
        <v>1747</v>
      </c>
      <c r="F1826" s="17" t="s">
        <v>2993</v>
      </c>
      <c r="G1826" s="14">
        <v>4492440</v>
      </c>
      <c r="H1826" s="14">
        <v>3144708</v>
      </c>
      <c r="I1826" s="31">
        <f>IF(COUNTIFS(Addendum!C:C,A1826,Addendum!D:D,IF(ISNUMBER(B1826),TEXT(B1826,"0000"),B1826),Addendum!E:E,"X")&gt;0,4%,0)</f>
        <v>0</v>
      </c>
      <c r="J1826" s="31">
        <f>IF(COUNTIFS(Addendum!C:C,A1826,Addendum!D:D,IF(ISNUMBER(B1826),TEXT(B1826,"0000"),B1826),Addendum!F:F,"X")&gt;0,2.5%,0)</f>
        <v>0</v>
      </c>
      <c r="K1826" s="31">
        <f>IF(COUNTIFS(Addendum!C:C,A1826,Addendum!D:D,IF(ISNUMBER(B1826),TEXT(B1826,"0000"),B1826),Addendum!G:G,"X")&gt;0,7%,0)</f>
        <v>0</v>
      </c>
      <c r="L1826" s="31">
        <f>IF(COUNTIFS(Addendum!C:C,A1826,Addendum!D:D,IF(ISNUMBER(B1826),TEXT(B1826,"0000"),B1826),Addendum!I:I,"X")&gt;0,10%,0)</f>
        <v>0</v>
      </c>
      <c r="M1826" s="34">
        <f t="shared" si="56"/>
        <v>0</v>
      </c>
      <c r="N1826" s="17">
        <f t="shared" si="57"/>
        <v>3144708</v>
      </c>
    </row>
    <row r="1827" spans="1:14" ht="30" x14ac:dyDescent="0.25">
      <c r="A1827" s="14" t="s">
        <v>2333</v>
      </c>
      <c r="B1827" s="14">
        <v>2</v>
      </c>
      <c r="C1827" s="15" t="s">
        <v>2335</v>
      </c>
      <c r="D1827" s="14" t="s">
        <v>1745</v>
      </c>
      <c r="E1827" s="14" t="s">
        <v>1746</v>
      </c>
      <c r="F1827" s="17" t="s">
        <v>2993</v>
      </c>
      <c r="G1827" s="14">
        <v>262080</v>
      </c>
      <c r="H1827" s="14">
        <v>183456</v>
      </c>
      <c r="I1827" s="31">
        <f>IF(COUNTIFS(Addendum!C:C,A1827,Addendum!D:D,IF(ISNUMBER(B1827),TEXT(B1827,"0000"),B1827),Addendum!E:E,"X")&gt;0,4%,0)</f>
        <v>0</v>
      </c>
      <c r="J1827" s="31">
        <f>IF(COUNTIFS(Addendum!C:C,A1827,Addendum!D:D,IF(ISNUMBER(B1827),TEXT(B1827,"0000"),B1827),Addendum!F:F,"X")&gt;0,2.5%,0)</f>
        <v>0</v>
      </c>
      <c r="K1827" s="31">
        <f>IF(COUNTIFS(Addendum!C:C,A1827,Addendum!D:D,IF(ISNUMBER(B1827),TEXT(B1827,"0000"),B1827),Addendum!G:G,"X")&gt;0,7%,0)</f>
        <v>0</v>
      </c>
      <c r="L1827" s="31">
        <f>IF(COUNTIFS(Addendum!C:C,A1827,Addendum!D:D,IF(ISNUMBER(B1827),TEXT(B1827,"0000"),B1827),Addendum!I:I,"X")&gt;0,10%,0)</f>
        <v>0</v>
      </c>
      <c r="M1827" s="34">
        <f t="shared" si="56"/>
        <v>0</v>
      </c>
      <c r="N1827" s="17">
        <f t="shared" si="57"/>
        <v>183456</v>
      </c>
    </row>
    <row r="1828" spans="1:14" x14ac:dyDescent="0.25">
      <c r="A1828" s="14" t="s">
        <v>2333</v>
      </c>
      <c r="B1828" s="14">
        <v>1</v>
      </c>
      <c r="C1828" s="15" t="s">
        <v>2334</v>
      </c>
      <c r="D1828" s="14" t="s">
        <v>1745</v>
      </c>
      <c r="E1828" s="14" t="s">
        <v>1747</v>
      </c>
      <c r="F1828" s="17" t="s">
        <v>2993</v>
      </c>
      <c r="G1828" s="14">
        <v>1497480</v>
      </c>
      <c r="H1828" s="14">
        <v>1048236</v>
      </c>
      <c r="I1828" s="31">
        <f>IF(COUNTIFS(Addendum!C:C,A1828,Addendum!D:D,IF(ISNUMBER(B1828),TEXT(B1828,"0000"),B1828),Addendum!E:E,"X")&gt;0,4%,0)</f>
        <v>0</v>
      </c>
      <c r="J1828" s="31">
        <f>IF(COUNTIFS(Addendum!C:C,A1828,Addendum!D:D,IF(ISNUMBER(B1828),TEXT(B1828,"0000"),B1828),Addendum!F:F,"X")&gt;0,2.5%,0)</f>
        <v>0</v>
      </c>
      <c r="K1828" s="31">
        <f>IF(COUNTIFS(Addendum!C:C,A1828,Addendum!D:D,IF(ISNUMBER(B1828),TEXT(B1828,"0000"),B1828),Addendum!G:G,"X")&gt;0,7%,0)</f>
        <v>0</v>
      </c>
      <c r="L1828" s="31">
        <f>IF(COUNTIFS(Addendum!C:C,A1828,Addendum!D:D,IF(ISNUMBER(B1828),TEXT(B1828,"0000"),B1828),Addendum!I:I,"X")&gt;0,10%,0)</f>
        <v>0</v>
      </c>
      <c r="M1828" s="34">
        <f t="shared" si="56"/>
        <v>0</v>
      </c>
      <c r="N1828" s="17">
        <f t="shared" si="57"/>
        <v>1048236</v>
      </c>
    </row>
    <row r="1829" spans="1:14" ht="30" x14ac:dyDescent="0.25">
      <c r="A1829" s="14" t="s">
        <v>2333</v>
      </c>
      <c r="B1829" s="14">
        <v>2</v>
      </c>
      <c r="C1829" s="15" t="s">
        <v>2335</v>
      </c>
      <c r="D1829" s="14" t="s">
        <v>1749</v>
      </c>
      <c r="E1829" s="14" t="s">
        <v>1746</v>
      </c>
      <c r="F1829" s="17" t="s">
        <v>2993</v>
      </c>
      <c r="G1829" s="14">
        <v>24960</v>
      </c>
      <c r="H1829" s="14">
        <v>17472</v>
      </c>
      <c r="I1829" s="31">
        <f>IF(COUNTIFS(Addendum!C:C,A1829,Addendum!D:D,IF(ISNUMBER(B1829),TEXT(B1829,"0000"),B1829),Addendum!E:E,"X")&gt;0,4%,0)</f>
        <v>0</v>
      </c>
      <c r="J1829" s="31">
        <f>IF(COUNTIFS(Addendum!C:C,A1829,Addendum!D:D,IF(ISNUMBER(B1829),TEXT(B1829,"0000"),B1829),Addendum!F:F,"X")&gt;0,2.5%,0)</f>
        <v>0</v>
      </c>
      <c r="K1829" s="31">
        <f>IF(COUNTIFS(Addendum!C:C,A1829,Addendum!D:D,IF(ISNUMBER(B1829),TEXT(B1829,"0000"),B1829),Addendum!G:G,"X")&gt;0,7%,0)</f>
        <v>0</v>
      </c>
      <c r="L1829" s="31">
        <f>IF(COUNTIFS(Addendum!C:C,A1829,Addendum!D:D,IF(ISNUMBER(B1829),TEXT(B1829,"0000"),B1829),Addendum!I:I,"X")&gt;0,10%,0)</f>
        <v>0</v>
      </c>
      <c r="M1829" s="34">
        <f t="shared" si="56"/>
        <v>0</v>
      </c>
      <c r="N1829" s="17">
        <f t="shared" si="57"/>
        <v>17472</v>
      </c>
    </row>
    <row r="1830" spans="1:14" ht="30" x14ac:dyDescent="0.25">
      <c r="A1830" s="14" t="s">
        <v>2333</v>
      </c>
      <c r="B1830" s="14">
        <v>2</v>
      </c>
      <c r="C1830" s="15" t="s">
        <v>2335</v>
      </c>
      <c r="D1830" s="14" t="s">
        <v>1752</v>
      </c>
      <c r="E1830" s="14" t="s">
        <v>1753</v>
      </c>
      <c r="F1830" s="17" t="s">
        <v>2993</v>
      </c>
      <c r="G1830" s="14">
        <v>748800</v>
      </c>
      <c r="H1830" s="14">
        <v>524160</v>
      </c>
      <c r="I1830" s="31">
        <f>IF(COUNTIFS(Addendum!C:C,A1830,Addendum!D:D,IF(ISNUMBER(B1830),TEXT(B1830,"0000"),B1830),Addendum!E:E,"X")&gt;0,4%,0)</f>
        <v>0</v>
      </c>
      <c r="J1830" s="31">
        <f>IF(COUNTIFS(Addendum!C:C,A1830,Addendum!D:D,IF(ISNUMBER(B1830),TEXT(B1830,"0000"),B1830),Addendum!F:F,"X")&gt;0,2.5%,0)</f>
        <v>0</v>
      </c>
      <c r="K1830" s="31">
        <f>IF(COUNTIFS(Addendum!C:C,A1830,Addendum!D:D,IF(ISNUMBER(B1830),TEXT(B1830,"0000"),B1830),Addendum!G:G,"X")&gt;0,7%,0)</f>
        <v>0</v>
      </c>
      <c r="L1830" s="31">
        <f>IF(COUNTIFS(Addendum!C:C,A1830,Addendum!D:D,IF(ISNUMBER(B1830),TEXT(B1830,"0000"),B1830),Addendum!I:I,"X")&gt;0,10%,0)</f>
        <v>0</v>
      </c>
      <c r="M1830" s="34">
        <f t="shared" si="56"/>
        <v>0</v>
      </c>
      <c r="N1830" s="17">
        <f t="shared" si="57"/>
        <v>524160</v>
      </c>
    </row>
    <row r="1831" spans="1:14" ht="30" x14ac:dyDescent="0.25">
      <c r="A1831" s="14" t="s">
        <v>2333</v>
      </c>
      <c r="B1831" s="14">
        <v>2</v>
      </c>
      <c r="C1831" s="15" t="s">
        <v>2335</v>
      </c>
      <c r="D1831" s="14" t="s">
        <v>1752</v>
      </c>
      <c r="E1831" s="14" t="s">
        <v>1746</v>
      </c>
      <c r="F1831" s="17" t="s">
        <v>2993</v>
      </c>
      <c r="G1831" s="14">
        <v>786240</v>
      </c>
      <c r="H1831" s="14">
        <v>550368</v>
      </c>
      <c r="I1831" s="31">
        <f>IF(COUNTIFS(Addendum!C:C,A1831,Addendum!D:D,IF(ISNUMBER(B1831),TEXT(B1831,"0000"),B1831),Addendum!E:E,"X")&gt;0,4%,0)</f>
        <v>0</v>
      </c>
      <c r="J1831" s="31">
        <f>IF(COUNTIFS(Addendum!C:C,A1831,Addendum!D:D,IF(ISNUMBER(B1831),TEXT(B1831,"0000"),B1831),Addendum!F:F,"X")&gt;0,2.5%,0)</f>
        <v>0</v>
      </c>
      <c r="K1831" s="31">
        <f>IF(COUNTIFS(Addendum!C:C,A1831,Addendum!D:D,IF(ISNUMBER(B1831),TEXT(B1831,"0000"),B1831),Addendum!G:G,"X")&gt;0,7%,0)</f>
        <v>0</v>
      </c>
      <c r="L1831" s="31">
        <f>IF(COUNTIFS(Addendum!C:C,A1831,Addendum!D:D,IF(ISNUMBER(B1831),TEXT(B1831,"0000"),B1831),Addendum!I:I,"X")&gt;0,10%,0)</f>
        <v>0</v>
      </c>
      <c r="M1831" s="34">
        <f t="shared" si="56"/>
        <v>0</v>
      </c>
      <c r="N1831" s="17">
        <f t="shared" si="57"/>
        <v>550368</v>
      </c>
    </row>
    <row r="1832" spans="1:14" x14ac:dyDescent="0.25">
      <c r="A1832" s="14" t="s">
        <v>2333</v>
      </c>
      <c r="B1832" s="14">
        <v>1</v>
      </c>
      <c r="C1832" s="15" t="s">
        <v>2334</v>
      </c>
      <c r="D1832" s="14" t="s">
        <v>1752</v>
      </c>
      <c r="E1832" s="14" t="s">
        <v>1753</v>
      </c>
      <c r="F1832" s="17" t="s">
        <v>2993</v>
      </c>
      <c r="G1832" s="14">
        <v>4492440</v>
      </c>
      <c r="H1832" s="14">
        <v>3144708</v>
      </c>
      <c r="I1832" s="31">
        <f>IF(COUNTIFS(Addendum!C:C,A1832,Addendum!D:D,IF(ISNUMBER(B1832),TEXT(B1832,"0000"),B1832),Addendum!E:E,"X")&gt;0,4%,0)</f>
        <v>0</v>
      </c>
      <c r="J1832" s="31">
        <f>IF(COUNTIFS(Addendum!C:C,A1832,Addendum!D:D,IF(ISNUMBER(B1832),TEXT(B1832,"0000"),B1832),Addendum!F:F,"X")&gt;0,2.5%,0)</f>
        <v>0</v>
      </c>
      <c r="K1832" s="31">
        <f>IF(COUNTIFS(Addendum!C:C,A1832,Addendum!D:D,IF(ISNUMBER(B1832),TEXT(B1832,"0000"),B1832),Addendum!G:G,"X")&gt;0,7%,0)</f>
        <v>0</v>
      </c>
      <c r="L1832" s="31">
        <f>IF(COUNTIFS(Addendum!C:C,A1832,Addendum!D:D,IF(ISNUMBER(B1832),TEXT(B1832,"0000"),B1832),Addendum!I:I,"X")&gt;0,10%,0)</f>
        <v>0</v>
      </c>
      <c r="M1832" s="34">
        <f t="shared" si="56"/>
        <v>0</v>
      </c>
      <c r="N1832" s="17">
        <f t="shared" si="57"/>
        <v>3144708</v>
      </c>
    </row>
    <row r="1833" spans="1:14" x14ac:dyDescent="0.25">
      <c r="A1833" s="14" t="s">
        <v>2333</v>
      </c>
      <c r="B1833" s="14">
        <v>1</v>
      </c>
      <c r="C1833" s="15" t="s">
        <v>2334</v>
      </c>
      <c r="D1833" s="14" t="s">
        <v>1749</v>
      </c>
      <c r="E1833" s="14" t="s">
        <v>1746</v>
      </c>
      <c r="F1833" s="17" t="s">
        <v>2993</v>
      </c>
      <c r="G1833" s="14">
        <v>149748</v>
      </c>
      <c r="H1833" s="14">
        <v>104823.6</v>
      </c>
      <c r="I1833" s="31">
        <f>IF(COUNTIFS(Addendum!C:C,A1833,Addendum!D:D,IF(ISNUMBER(B1833),TEXT(B1833,"0000"),B1833),Addendum!E:E,"X")&gt;0,4%,0)</f>
        <v>0</v>
      </c>
      <c r="J1833" s="31">
        <f>IF(COUNTIFS(Addendum!C:C,A1833,Addendum!D:D,IF(ISNUMBER(B1833),TEXT(B1833,"0000"),B1833),Addendum!F:F,"X")&gt;0,2.5%,0)</f>
        <v>0</v>
      </c>
      <c r="K1833" s="31">
        <f>IF(COUNTIFS(Addendum!C:C,A1833,Addendum!D:D,IF(ISNUMBER(B1833),TEXT(B1833,"0000"),B1833),Addendum!G:G,"X")&gt;0,7%,0)</f>
        <v>0</v>
      </c>
      <c r="L1833" s="31">
        <f>IF(COUNTIFS(Addendum!C:C,A1833,Addendum!D:D,IF(ISNUMBER(B1833),TEXT(B1833,"0000"),B1833),Addendum!I:I,"X")&gt;0,10%,0)</f>
        <v>0</v>
      </c>
      <c r="M1833" s="34">
        <f t="shared" si="56"/>
        <v>0</v>
      </c>
      <c r="N1833" s="17">
        <f t="shared" si="57"/>
        <v>104823.6</v>
      </c>
    </row>
    <row r="1834" spans="1:14" ht="30" x14ac:dyDescent="0.25">
      <c r="A1834" s="14" t="s">
        <v>2333</v>
      </c>
      <c r="B1834" s="14">
        <v>2</v>
      </c>
      <c r="C1834" s="15" t="s">
        <v>2335</v>
      </c>
      <c r="D1834" s="14" t="s">
        <v>1752</v>
      </c>
      <c r="E1834" s="14" t="s">
        <v>1747</v>
      </c>
      <c r="F1834" s="17" t="s">
        <v>2993</v>
      </c>
      <c r="G1834" s="14">
        <v>748800</v>
      </c>
      <c r="H1834" s="14">
        <v>524160</v>
      </c>
      <c r="I1834" s="31">
        <f>IF(COUNTIFS(Addendum!C:C,A1834,Addendum!D:D,IF(ISNUMBER(B1834),TEXT(B1834,"0000"),B1834),Addendum!E:E,"X")&gt;0,4%,0)</f>
        <v>0</v>
      </c>
      <c r="J1834" s="31">
        <f>IF(COUNTIFS(Addendum!C:C,A1834,Addendum!D:D,IF(ISNUMBER(B1834),TEXT(B1834,"0000"),B1834),Addendum!F:F,"X")&gt;0,2.5%,0)</f>
        <v>0</v>
      </c>
      <c r="K1834" s="31">
        <f>IF(COUNTIFS(Addendum!C:C,A1834,Addendum!D:D,IF(ISNUMBER(B1834),TEXT(B1834,"0000"),B1834),Addendum!G:G,"X")&gt;0,7%,0)</f>
        <v>0</v>
      </c>
      <c r="L1834" s="31">
        <f>IF(COUNTIFS(Addendum!C:C,A1834,Addendum!D:D,IF(ISNUMBER(B1834),TEXT(B1834,"0000"),B1834),Addendum!I:I,"X")&gt;0,10%,0)</f>
        <v>0</v>
      </c>
      <c r="M1834" s="34">
        <f t="shared" si="56"/>
        <v>0</v>
      </c>
      <c r="N1834" s="17">
        <f t="shared" si="57"/>
        <v>524160</v>
      </c>
    </row>
    <row r="1835" spans="1:14" ht="30" x14ac:dyDescent="0.25">
      <c r="A1835" s="14" t="s">
        <v>2333</v>
      </c>
      <c r="B1835" s="14">
        <v>2</v>
      </c>
      <c r="C1835" s="15" t="s">
        <v>2335</v>
      </c>
      <c r="D1835" s="14" t="s">
        <v>1745</v>
      </c>
      <c r="E1835" s="14" t="s">
        <v>1747</v>
      </c>
      <c r="F1835" s="17" t="s">
        <v>2993</v>
      </c>
      <c r="G1835" s="14">
        <v>249600</v>
      </c>
      <c r="H1835" s="14">
        <v>174720</v>
      </c>
      <c r="I1835" s="31">
        <f>IF(COUNTIFS(Addendum!C:C,A1835,Addendum!D:D,IF(ISNUMBER(B1835),TEXT(B1835,"0000"),B1835),Addendum!E:E,"X")&gt;0,4%,0)</f>
        <v>0</v>
      </c>
      <c r="J1835" s="31">
        <f>IF(COUNTIFS(Addendum!C:C,A1835,Addendum!D:D,IF(ISNUMBER(B1835),TEXT(B1835,"0000"),B1835),Addendum!F:F,"X")&gt;0,2.5%,0)</f>
        <v>0</v>
      </c>
      <c r="K1835" s="31">
        <f>IF(COUNTIFS(Addendum!C:C,A1835,Addendum!D:D,IF(ISNUMBER(B1835),TEXT(B1835,"0000"),B1835),Addendum!G:G,"X")&gt;0,7%,0)</f>
        <v>0</v>
      </c>
      <c r="L1835" s="31">
        <f>IF(COUNTIFS(Addendum!C:C,A1835,Addendum!D:D,IF(ISNUMBER(B1835),TEXT(B1835,"0000"),B1835),Addendum!I:I,"X")&gt;0,10%,0)</f>
        <v>0</v>
      </c>
      <c r="M1835" s="34">
        <f t="shared" si="56"/>
        <v>0</v>
      </c>
      <c r="N1835" s="17">
        <f t="shared" si="57"/>
        <v>174720</v>
      </c>
    </row>
    <row r="1836" spans="1:14" x14ac:dyDescent="0.25">
      <c r="A1836" s="14" t="s">
        <v>219</v>
      </c>
      <c r="B1836" s="14">
        <v>1</v>
      </c>
      <c r="C1836" s="15" t="s">
        <v>218</v>
      </c>
      <c r="D1836" s="14" t="s">
        <v>1745</v>
      </c>
      <c r="E1836" s="14" t="s">
        <v>1747</v>
      </c>
      <c r="F1836" s="17" t="s">
        <v>2993</v>
      </c>
      <c r="G1836" s="14">
        <v>4020</v>
      </c>
      <c r="H1836" s="14">
        <v>3216</v>
      </c>
      <c r="I1836" s="31">
        <f>IF(COUNTIFS(Addendum!C:C,A1836,Addendum!D:D,IF(ISNUMBER(B1836),TEXT(B1836,"0000"),B1836),Addendum!E:E,"X")&gt;0,4%,0)</f>
        <v>0.04</v>
      </c>
      <c r="J1836" s="31">
        <f>IF(COUNTIFS(Addendum!C:C,A1836,Addendum!D:D,IF(ISNUMBER(B1836),TEXT(B1836,"0000"),B1836),Addendum!F:F,"X")&gt;0,2.5%,0)</f>
        <v>0</v>
      </c>
      <c r="K1836" s="31">
        <f>IF(COUNTIFS(Addendum!C:C,A1836,Addendum!D:D,IF(ISNUMBER(B1836),TEXT(B1836,"0000"),B1836),Addendum!G:G,"X")&gt;0,7%,0)</f>
        <v>0</v>
      </c>
      <c r="L1836" s="31">
        <f>IF(COUNTIFS(Addendum!C:C,A1836,Addendum!D:D,IF(ISNUMBER(B1836),TEXT(B1836,"0000"),B1836),Addendum!I:I,"X")&gt;0,10%,0)</f>
        <v>0</v>
      </c>
      <c r="M1836" s="34">
        <f t="shared" si="56"/>
        <v>0.03</v>
      </c>
      <c r="N1836" s="17">
        <f t="shared" si="57"/>
        <v>3119.52</v>
      </c>
    </row>
    <row r="1837" spans="1:14" x14ac:dyDescent="0.25">
      <c r="A1837" s="14" t="s">
        <v>219</v>
      </c>
      <c r="B1837" s="14">
        <v>1</v>
      </c>
      <c r="C1837" s="15" t="s">
        <v>218</v>
      </c>
      <c r="D1837" s="14" t="s">
        <v>1749</v>
      </c>
      <c r="E1837" s="14" t="s">
        <v>1746</v>
      </c>
      <c r="F1837" s="17" t="s">
        <v>2993</v>
      </c>
      <c r="G1837" s="14">
        <v>402</v>
      </c>
      <c r="H1837" s="14">
        <v>321.60000000000002</v>
      </c>
      <c r="I1837" s="31">
        <f>IF(COUNTIFS(Addendum!C:C,A1837,Addendum!D:D,IF(ISNUMBER(B1837),TEXT(B1837,"0000"),B1837),Addendum!E:E,"X")&gt;0,4%,0)</f>
        <v>0.04</v>
      </c>
      <c r="J1837" s="31">
        <f>IF(COUNTIFS(Addendum!C:C,A1837,Addendum!D:D,IF(ISNUMBER(B1837),TEXT(B1837,"0000"),B1837),Addendum!F:F,"X")&gt;0,2.5%,0)</f>
        <v>0</v>
      </c>
      <c r="K1837" s="31">
        <f>IF(COUNTIFS(Addendum!C:C,A1837,Addendum!D:D,IF(ISNUMBER(B1837),TEXT(B1837,"0000"),B1837),Addendum!G:G,"X")&gt;0,7%,0)</f>
        <v>0</v>
      </c>
      <c r="L1837" s="31">
        <f>IF(COUNTIFS(Addendum!C:C,A1837,Addendum!D:D,IF(ISNUMBER(B1837),TEXT(B1837,"0000"),B1837),Addendum!I:I,"X")&gt;0,10%,0)</f>
        <v>0</v>
      </c>
      <c r="M1837" s="34">
        <f t="shared" si="56"/>
        <v>0.01</v>
      </c>
      <c r="N1837" s="17">
        <f t="shared" si="57"/>
        <v>318.38400000000001</v>
      </c>
    </row>
    <row r="1838" spans="1:14" x14ac:dyDescent="0.25">
      <c r="A1838" s="14" t="s">
        <v>219</v>
      </c>
      <c r="B1838" s="14">
        <v>1</v>
      </c>
      <c r="C1838" s="15" t="s">
        <v>218</v>
      </c>
      <c r="D1838" s="14" t="s">
        <v>1745</v>
      </c>
      <c r="E1838" s="14" t="s">
        <v>1746</v>
      </c>
      <c r="F1838" s="17" t="s">
        <v>2993</v>
      </c>
      <c r="G1838" s="14">
        <v>4221</v>
      </c>
      <c r="H1838" s="14">
        <v>3376.8</v>
      </c>
      <c r="I1838" s="31">
        <f>IF(COUNTIFS(Addendum!C:C,A1838,Addendum!D:D,IF(ISNUMBER(B1838),TEXT(B1838,"0000"),B1838),Addendum!E:E,"X")&gt;0,4%,0)</f>
        <v>0.04</v>
      </c>
      <c r="J1838" s="31">
        <f>IF(COUNTIFS(Addendum!C:C,A1838,Addendum!D:D,IF(ISNUMBER(B1838),TEXT(B1838,"0000"),B1838),Addendum!F:F,"X")&gt;0,2.5%,0)</f>
        <v>0</v>
      </c>
      <c r="K1838" s="31">
        <f>IF(COUNTIFS(Addendum!C:C,A1838,Addendum!D:D,IF(ISNUMBER(B1838),TEXT(B1838,"0000"),B1838),Addendum!G:G,"X")&gt;0,7%,0)</f>
        <v>0</v>
      </c>
      <c r="L1838" s="31">
        <f>IF(COUNTIFS(Addendum!C:C,A1838,Addendum!D:D,IF(ISNUMBER(B1838),TEXT(B1838,"0000"),B1838),Addendum!I:I,"X")&gt;0,10%,0)</f>
        <v>0</v>
      </c>
      <c r="M1838" s="34">
        <f t="shared" si="56"/>
        <v>0.01</v>
      </c>
      <c r="N1838" s="17">
        <f t="shared" si="57"/>
        <v>3343.0320000000002</v>
      </c>
    </row>
    <row r="1839" spans="1:14" x14ac:dyDescent="0.25">
      <c r="A1839" s="14" t="s">
        <v>222</v>
      </c>
      <c r="B1839" s="14">
        <v>1</v>
      </c>
      <c r="C1839" s="15" t="s">
        <v>221</v>
      </c>
      <c r="D1839" s="14" t="s">
        <v>1749</v>
      </c>
      <c r="E1839" s="14" t="s">
        <v>1746</v>
      </c>
      <c r="F1839" s="17" t="s">
        <v>2993</v>
      </c>
      <c r="G1839" s="14">
        <v>498</v>
      </c>
      <c r="H1839" s="14">
        <v>398.4</v>
      </c>
      <c r="I1839" s="31">
        <f>IF(COUNTIFS(Addendum!C:C,A1839,Addendum!D:D,IF(ISNUMBER(B1839),TEXT(B1839,"0000"),B1839),Addendum!E:E,"X")&gt;0,4%,0)</f>
        <v>0.04</v>
      </c>
      <c r="J1839" s="31">
        <f>IF(COUNTIFS(Addendum!C:C,A1839,Addendum!D:D,IF(ISNUMBER(B1839),TEXT(B1839,"0000"),B1839),Addendum!F:F,"X")&gt;0,2.5%,0)</f>
        <v>0</v>
      </c>
      <c r="K1839" s="31">
        <f>IF(COUNTIFS(Addendum!C:C,A1839,Addendum!D:D,IF(ISNUMBER(B1839),TEXT(B1839,"0000"),B1839),Addendum!G:G,"X")&gt;0,7%,0)</f>
        <v>0</v>
      </c>
      <c r="L1839" s="31">
        <f>IF(COUNTIFS(Addendum!C:C,A1839,Addendum!D:D,IF(ISNUMBER(B1839),TEXT(B1839,"0000"),B1839),Addendum!I:I,"X")&gt;0,10%,0)</f>
        <v>0</v>
      </c>
      <c r="M1839" s="34">
        <f t="shared" si="56"/>
        <v>0.01</v>
      </c>
      <c r="N1839" s="17">
        <f t="shared" si="57"/>
        <v>394.416</v>
      </c>
    </row>
    <row r="1840" spans="1:14" x14ac:dyDescent="0.25">
      <c r="A1840" s="14" t="s">
        <v>222</v>
      </c>
      <c r="B1840" s="14">
        <v>1</v>
      </c>
      <c r="C1840" s="15" t="s">
        <v>221</v>
      </c>
      <c r="D1840" s="14" t="s">
        <v>1745</v>
      </c>
      <c r="E1840" s="14" t="s">
        <v>1746</v>
      </c>
      <c r="F1840" s="17" t="s">
        <v>2993</v>
      </c>
      <c r="G1840" s="14">
        <v>5229</v>
      </c>
      <c r="H1840" s="14">
        <v>4183.2</v>
      </c>
      <c r="I1840" s="31">
        <f>IF(COUNTIFS(Addendum!C:C,A1840,Addendum!D:D,IF(ISNUMBER(B1840),TEXT(B1840,"0000"),B1840),Addendum!E:E,"X")&gt;0,4%,0)</f>
        <v>0.04</v>
      </c>
      <c r="J1840" s="31">
        <f>IF(COUNTIFS(Addendum!C:C,A1840,Addendum!D:D,IF(ISNUMBER(B1840),TEXT(B1840,"0000"),B1840),Addendum!F:F,"X")&gt;0,2.5%,0)</f>
        <v>0</v>
      </c>
      <c r="K1840" s="31">
        <f>IF(COUNTIFS(Addendum!C:C,A1840,Addendum!D:D,IF(ISNUMBER(B1840),TEXT(B1840,"0000"),B1840),Addendum!G:G,"X")&gt;0,7%,0)</f>
        <v>0</v>
      </c>
      <c r="L1840" s="31">
        <f>IF(COUNTIFS(Addendum!C:C,A1840,Addendum!D:D,IF(ISNUMBER(B1840),TEXT(B1840,"0000"),B1840),Addendum!I:I,"X")&gt;0,10%,0)</f>
        <v>0</v>
      </c>
      <c r="M1840" s="34">
        <f t="shared" si="56"/>
        <v>0.01</v>
      </c>
      <c r="N1840" s="17">
        <f t="shared" si="57"/>
        <v>4141.3679999999995</v>
      </c>
    </row>
    <row r="1841" spans="1:14" x14ac:dyDescent="0.25">
      <c r="A1841" s="14" t="s">
        <v>222</v>
      </c>
      <c r="B1841" s="14">
        <v>1</v>
      </c>
      <c r="C1841" s="15" t="s">
        <v>221</v>
      </c>
      <c r="D1841" s="14" t="s">
        <v>1745</v>
      </c>
      <c r="E1841" s="14" t="s">
        <v>1747</v>
      </c>
      <c r="F1841" s="17" t="s">
        <v>2993</v>
      </c>
      <c r="G1841" s="14">
        <v>4980</v>
      </c>
      <c r="H1841" s="14">
        <v>3984</v>
      </c>
      <c r="I1841" s="31">
        <f>IF(COUNTIFS(Addendum!C:C,A1841,Addendum!D:D,IF(ISNUMBER(B1841),TEXT(B1841,"0000"),B1841),Addendum!E:E,"X")&gt;0,4%,0)</f>
        <v>0.04</v>
      </c>
      <c r="J1841" s="31">
        <f>IF(COUNTIFS(Addendum!C:C,A1841,Addendum!D:D,IF(ISNUMBER(B1841),TEXT(B1841,"0000"),B1841),Addendum!F:F,"X")&gt;0,2.5%,0)</f>
        <v>0</v>
      </c>
      <c r="K1841" s="31">
        <f>IF(COUNTIFS(Addendum!C:C,A1841,Addendum!D:D,IF(ISNUMBER(B1841),TEXT(B1841,"0000"),B1841),Addendum!G:G,"X")&gt;0,7%,0)</f>
        <v>0</v>
      </c>
      <c r="L1841" s="31">
        <f>IF(COUNTIFS(Addendum!C:C,A1841,Addendum!D:D,IF(ISNUMBER(B1841),TEXT(B1841,"0000"),B1841),Addendum!I:I,"X")&gt;0,10%,0)</f>
        <v>0</v>
      </c>
      <c r="M1841" s="34">
        <f t="shared" si="56"/>
        <v>0.03</v>
      </c>
      <c r="N1841" s="17">
        <f t="shared" si="57"/>
        <v>3864.48</v>
      </c>
    </row>
    <row r="1842" spans="1:14" x14ac:dyDescent="0.25">
      <c r="A1842" s="14" t="s">
        <v>225</v>
      </c>
      <c r="B1842" s="14">
        <v>1</v>
      </c>
      <c r="C1842" s="15" t="s">
        <v>224</v>
      </c>
      <c r="D1842" s="14" t="s">
        <v>1745</v>
      </c>
      <c r="E1842" s="14" t="s">
        <v>1747</v>
      </c>
      <c r="F1842" s="17" t="s">
        <v>2993</v>
      </c>
      <c r="G1842" s="14">
        <v>4020</v>
      </c>
      <c r="H1842" s="14">
        <v>3216</v>
      </c>
      <c r="I1842" s="31">
        <f>IF(COUNTIFS(Addendum!C:C,A1842,Addendum!D:D,IF(ISNUMBER(B1842),TEXT(B1842,"0000"),B1842),Addendum!E:E,"X")&gt;0,4%,0)</f>
        <v>0.04</v>
      </c>
      <c r="J1842" s="31">
        <f>IF(COUNTIFS(Addendum!C:C,A1842,Addendum!D:D,IF(ISNUMBER(B1842),TEXT(B1842,"0000"),B1842),Addendum!F:F,"X")&gt;0,2.5%,0)</f>
        <v>0</v>
      </c>
      <c r="K1842" s="31">
        <f>IF(COUNTIFS(Addendum!C:C,A1842,Addendum!D:D,IF(ISNUMBER(B1842),TEXT(B1842,"0000"),B1842),Addendum!G:G,"X")&gt;0,7%,0)</f>
        <v>0</v>
      </c>
      <c r="L1842" s="31">
        <f>IF(COUNTIFS(Addendum!C:C,A1842,Addendum!D:D,IF(ISNUMBER(B1842),TEXT(B1842,"0000"),B1842),Addendum!I:I,"X")&gt;0,10%,0)</f>
        <v>0</v>
      </c>
      <c r="M1842" s="34">
        <f t="shared" si="56"/>
        <v>0.03</v>
      </c>
      <c r="N1842" s="17">
        <f t="shared" si="57"/>
        <v>3119.52</v>
      </c>
    </row>
    <row r="1843" spans="1:14" x14ac:dyDescent="0.25">
      <c r="A1843" s="14" t="s">
        <v>225</v>
      </c>
      <c r="B1843" s="14">
        <v>1</v>
      </c>
      <c r="C1843" s="15" t="s">
        <v>224</v>
      </c>
      <c r="D1843" s="14" t="s">
        <v>1745</v>
      </c>
      <c r="E1843" s="14" t="s">
        <v>1746</v>
      </c>
      <c r="F1843" s="17" t="s">
        <v>2993</v>
      </c>
      <c r="G1843" s="14">
        <v>4221</v>
      </c>
      <c r="H1843" s="14">
        <v>3376.8</v>
      </c>
      <c r="I1843" s="31">
        <f>IF(COUNTIFS(Addendum!C:C,A1843,Addendum!D:D,IF(ISNUMBER(B1843),TEXT(B1843,"0000"),B1843),Addendum!E:E,"X")&gt;0,4%,0)</f>
        <v>0.04</v>
      </c>
      <c r="J1843" s="31">
        <f>IF(COUNTIFS(Addendum!C:C,A1843,Addendum!D:D,IF(ISNUMBER(B1843),TEXT(B1843,"0000"),B1843),Addendum!F:F,"X")&gt;0,2.5%,0)</f>
        <v>0</v>
      </c>
      <c r="K1843" s="31">
        <f>IF(COUNTIFS(Addendum!C:C,A1843,Addendum!D:D,IF(ISNUMBER(B1843),TEXT(B1843,"0000"),B1843),Addendum!G:G,"X")&gt;0,7%,0)</f>
        <v>0</v>
      </c>
      <c r="L1843" s="31">
        <f>IF(COUNTIFS(Addendum!C:C,A1843,Addendum!D:D,IF(ISNUMBER(B1843),TEXT(B1843,"0000"),B1843),Addendum!I:I,"X")&gt;0,10%,0)</f>
        <v>0</v>
      </c>
      <c r="M1843" s="34">
        <f t="shared" si="56"/>
        <v>0.01</v>
      </c>
      <c r="N1843" s="17">
        <f t="shared" si="57"/>
        <v>3343.0320000000002</v>
      </c>
    </row>
    <row r="1844" spans="1:14" x14ac:dyDescent="0.25">
      <c r="A1844" s="14" t="s">
        <v>225</v>
      </c>
      <c r="B1844" s="14">
        <v>1</v>
      </c>
      <c r="C1844" s="15" t="s">
        <v>224</v>
      </c>
      <c r="D1844" s="14" t="s">
        <v>1749</v>
      </c>
      <c r="E1844" s="14" t="s">
        <v>1746</v>
      </c>
      <c r="F1844" s="17" t="s">
        <v>2993</v>
      </c>
      <c r="G1844" s="14">
        <v>402</v>
      </c>
      <c r="H1844" s="14">
        <v>321.60000000000002</v>
      </c>
      <c r="I1844" s="31">
        <f>IF(COUNTIFS(Addendum!C:C,A1844,Addendum!D:D,IF(ISNUMBER(B1844),TEXT(B1844,"0000"),B1844),Addendum!E:E,"X")&gt;0,4%,0)</f>
        <v>0.04</v>
      </c>
      <c r="J1844" s="31">
        <f>IF(COUNTIFS(Addendum!C:C,A1844,Addendum!D:D,IF(ISNUMBER(B1844),TEXT(B1844,"0000"),B1844),Addendum!F:F,"X")&gt;0,2.5%,0)</f>
        <v>0</v>
      </c>
      <c r="K1844" s="31">
        <f>IF(COUNTIFS(Addendum!C:C,A1844,Addendum!D:D,IF(ISNUMBER(B1844),TEXT(B1844,"0000"),B1844),Addendum!G:G,"X")&gt;0,7%,0)</f>
        <v>0</v>
      </c>
      <c r="L1844" s="31">
        <f>IF(COUNTIFS(Addendum!C:C,A1844,Addendum!D:D,IF(ISNUMBER(B1844),TEXT(B1844,"0000"),B1844),Addendum!I:I,"X")&gt;0,10%,0)</f>
        <v>0</v>
      </c>
      <c r="M1844" s="34">
        <f t="shared" si="56"/>
        <v>0.01</v>
      </c>
      <c r="N1844" s="17">
        <f t="shared" si="57"/>
        <v>318.38400000000001</v>
      </c>
    </row>
    <row r="1845" spans="1:14" x14ac:dyDescent="0.25">
      <c r="A1845" s="14" t="s">
        <v>233</v>
      </c>
      <c r="B1845" s="14" t="s">
        <v>243</v>
      </c>
      <c r="C1845" s="15" t="s">
        <v>2336</v>
      </c>
      <c r="D1845" s="14" t="s">
        <v>1745</v>
      </c>
      <c r="E1845" s="14" t="s">
        <v>1746</v>
      </c>
      <c r="F1845" s="17" t="s">
        <v>2994</v>
      </c>
      <c r="G1845" s="14">
        <v>4473</v>
      </c>
      <c r="H1845" s="14">
        <v>3578.4</v>
      </c>
      <c r="I1845" s="31">
        <f>IF(COUNTIFS(Addendum!C:C,A1845,Addendum!D:D,IF(ISNUMBER(B1845),TEXT(B1845,"0000"),B1845),Addendum!E:E,"X")&gt;0,4%,0)</f>
        <v>0.04</v>
      </c>
      <c r="J1845" s="31">
        <f>IF(COUNTIFS(Addendum!C:C,A1845,Addendum!D:D,IF(ISNUMBER(B1845),TEXT(B1845,"0000"),B1845),Addendum!F:F,"X")&gt;0,2.5%,0)</f>
        <v>2.5000000000000001E-2</v>
      </c>
      <c r="K1845" s="31">
        <f>IF(COUNTIFS(Addendum!C:C,A1845,Addendum!D:D,IF(ISNUMBER(B1845),TEXT(B1845,"0000"),B1845),Addendum!G:G,"X")&gt;0,7%,0)</f>
        <v>0</v>
      </c>
      <c r="L1845" s="31">
        <f>IF(COUNTIFS(Addendum!C:C,A1845,Addendum!D:D,IF(ISNUMBER(B1845),TEXT(B1845,"0000"),B1845),Addendum!I:I,"X")&gt;0,10%,0)</f>
        <v>0.1</v>
      </c>
      <c r="M1845" s="34">
        <f t="shared" si="56"/>
        <v>0.02</v>
      </c>
      <c r="N1845" s="17">
        <f t="shared" si="57"/>
        <v>3506.8319999999999</v>
      </c>
    </row>
    <row r="1846" spans="1:14" x14ac:dyDescent="0.25">
      <c r="A1846" s="14" t="s">
        <v>233</v>
      </c>
      <c r="B1846" s="14">
        <v>12</v>
      </c>
      <c r="C1846" s="15" t="s">
        <v>2337</v>
      </c>
      <c r="D1846" s="14" t="s">
        <v>1745</v>
      </c>
      <c r="E1846" s="14" t="s">
        <v>1747</v>
      </c>
      <c r="F1846" s="17" t="s">
        <v>2994</v>
      </c>
      <c r="G1846" s="14">
        <v>5760</v>
      </c>
      <c r="H1846" s="14">
        <v>4608</v>
      </c>
      <c r="I1846" s="31">
        <f>IF(COUNTIFS(Addendum!C:C,A1846,Addendum!D:D,IF(ISNUMBER(B1846),TEXT(B1846,"0000"),B1846),Addendum!E:E,"X")&gt;0,4%,0)</f>
        <v>0.04</v>
      </c>
      <c r="J1846" s="31">
        <f>IF(COUNTIFS(Addendum!C:C,A1846,Addendum!D:D,IF(ISNUMBER(B1846),TEXT(B1846,"0000"),B1846),Addendum!F:F,"X")&gt;0,2.5%,0)</f>
        <v>2.5000000000000001E-2</v>
      </c>
      <c r="K1846" s="31">
        <f>IF(COUNTIFS(Addendum!C:C,A1846,Addendum!D:D,IF(ISNUMBER(B1846),TEXT(B1846,"0000"),B1846),Addendum!G:G,"X")&gt;0,7%,0)</f>
        <v>0</v>
      </c>
      <c r="L1846" s="31">
        <f>IF(COUNTIFS(Addendum!C:C,A1846,Addendum!D:D,IF(ISNUMBER(B1846),TEXT(B1846,"0000"),B1846),Addendum!I:I,"X")&gt;0,10%,0)</f>
        <v>0.1</v>
      </c>
      <c r="M1846" s="34">
        <f t="shared" si="56"/>
        <v>0.1</v>
      </c>
      <c r="N1846" s="17">
        <f t="shared" si="57"/>
        <v>4147.2</v>
      </c>
    </row>
    <row r="1847" spans="1:14" x14ac:dyDescent="0.25">
      <c r="A1847" s="14" t="s">
        <v>233</v>
      </c>
      <c r="B1847" s="14" t="s">
        <v>118</v>
      </c>
      <c r="C1847" s="15" t="s">
        <v>2338</v>
      </c>
      <c r="D1847" s="14" t="s">
        <v>1749</v>
      </c>
      <c r="E1847" s="14" t="s">
        <v>1746</v>
      </c>
      <c r="F1847" s="17" t="s">
        <v>2994</v>
      </c>
      <c r="G1847" s="14">
        <v>576</v>
      </c>
      <c r="H1847" s="14">
        <v>460.8</v>
      </c>
      <c r="I1847" s="31">
        <f>IF(COUNTIFS(Addendum!C:C,A1847,Addendum!D:D,IF(ISNUMBER(B1847),TEXT(B1847,"0000"),B1847),Addendum!E:E,"X")&gt;0,4%,0)</f>
        <v>0.04</v>
      </c>
      <c r="J1847" s="31">
        <f>IF(COUNTIFS(Addendum!C:C,A1847,Addendum!D:D,IF(ISNUMBER(B1847),TEXT(B1847,"0000"),B1847),Addendum!F:F,"X")&gt;0,2.5%,0)</f>
        <v>2.5000000000000001E-2</v>
      </c>
      <c r="K1847" s="31">
        <f>IF(COUNTIFS(Addendum!C:C,A1847,Addendum!D:D,IF(ISNUMBER(B1847),TEXT(B1847,"0000"),B1847),Addendum!G:G,"X")&gt;0,7%,0)</f>
        <v>0</v>
      </c>
      <c r="L1847" s="31">
        <f>IF(COUNTIFS(Addendum!C:C,A1847,Addendum!D:D,IF(ISNUMBER(B1847),TEXT(B1847,"0000"),B1847),Addendum!I:I,"X")&gt;0,10%,0)</f>
        <v>0.1</v>
      </c>
      <c r="M1847" s="34">
        <f t="shared" si="56"/>
        <v>0.02</v>
      </c>
      <c r="N1847" s="17">
        <f t="shared" si="57"/>
        <v>451.584</v>
      </c>
    </row>
    <row r="1848" spans="1:14" x14ac:dyDescent="0.25">
      <c r="A1848" s="14" t="s">
        <v>233</v>
      </c>
      <c r="B1848" s="14">
        <v>13</v>
      </c>
      <c r="C1848" s="15" t="s">
        <v>2339</v>
      </c>
      <c r="D1848" s="14" t="s">
        <v>1745</v>
      </c>
      <c r="E1848" s="14" t="s">
        <v>1747</v>
      </c>
      <c r="F1848" s="17" t="s">
        <v>2994</v>
      </c>
      <c r="G1848" s="14">
        <v>4260</v>
      </c>
      <c r="H1848" s="14">
        <v>3408</v>
      </c>
      <c r="I1848" s="31">
        <f>IF(COUNTIFS(Addendum!C:C,A1848,Addendum!D:D,IF(ISNUMBER(B1848),TEXT(B1848,"0000"),B1848),Addendum!E:E,"X")&gt;0,4%,0)</f>
        <v>0.04</v>
      </c>
      <c r="J1848" s="31">
        <f>IF(COUNTIFS(Addendum!C:C,A1848,Addendum!D:D,IF(ISNUMBER(B1848),TEXT(B1848,"0000"),B1848),Addendum!F:F,"X")&gt;0,2.5%,0)</f>
        <v>2.5000000000000001E-2</v>
      </c>
      <c r="K1848" s="31">
        <f>IF(COUNTIFS(Addendum!C:C,A1848,Addendum!D:D,IF(ISNUMBER(B1848),TEXT(B1848,"0000"),B1848),Addendum!G:G,"X")&gt;0,7%,0)</f>
        <v>0</v>
      </c>
      <c r="L1848" s="31">
        <f>IF(COUNTIFS(Addendum!C:C,A1848,Addendum!D:D,IF(ISNUMBER(B1848),TEXT(B1848,"0000"),B1848),Addendum!I:I,"X")&gt;0,10%,0)</f>
        <v>0.1</v>
      </c>
      <c r="M1848" s="34">
        <f t="shared" si="56"/>
        <v>0.1</v>
      </c>
      <c r="N1848" s="17">
        <f t="shared" si="57"/>
        <v>3067.2</v>
      </c>
    </row>
    <row r="1849" spans="1:14" x14ac:dyDescent="0.25">
      <c r="A1849" s="14" t="s">
        <v>233</v>
      </c>
      <c r="B1849" s="14" t="s">
        <v>243</v>
      </c>
      <c r="C1849" s="15" t="s">
        <v>2336</v>
      </c>
      <c r="D1849" s="14" t="s">
        <v>1749</v>
      </c>
      <c r="E1849" s="14" t="s">
        <v>1746</v>
      </c>
      <c r="F1849" s="17" t="s">
        <v>2994</v>
      </c>
      <c r="G1849" s="14">
        <v>426</v>
      </c>
      <c r="H1849" s="14">
        <v>340.8</v>
      </c>
      <c r="I1849" s="31">
        <f>IF(COUNTIFS(Addendum!C:C,A1849,Addendum!D:D,IF(ISNUMBER(B1849),TEXT(B1849,"0000"),B1849),Addendum!E:E,"X")&gt;0,4%,0)</f>
        <v>0.04</v>
      </c>
      <c r="J1849" s="31">
        <f>IF(COUNTIFS(Addendum!C:C,A1849,Addendum!D:D,IF(ISNUMBER(B1849),TEXT(B1849,"0000"),B1849),Addendum!F:F,"X")&gt;0,2.5%,0)</f>
        <v>2.5000000000000001E-2</v>
      </c>
      <c r="K1849" s="31">
        <f>IF(COUNTIFS(Addendum!C:C,A1849,Addendum!D:D,IF(ISNUMBER(B1849),TEXT(B1849,"0000"),B1849),Addendum!G:G,"X")&gt;0,7%,0)</f>
        <v>0</v>
      </c>
      <c r="L1849" s="31">
        <f>IF(COUNTIFS(Addendum!C:C,A1849,Addendum!D:D,IF(ISNUMBER(B1849),TEXT(B1849,"0000"),B1849),Addendum!I:I,"X")&gt;0,10%,0)</f>
        <v>0.1</v>
      </c>
      <c r="M1849" s="34">
        <f t="shared" si="56"/>
        <v>0.02</v>
      </c>
      <c r="N1849" s="17">
        <f t="shared" si="57"/>
        <v>333.98400000000004</v>
      </c>
    </row>
    <row r="1850" spans="1:14" x14ac:dyDescent="0.25">
      <c r="A1850" s="14" t="s">
        <v>233</v>
      </c>
      <c r="B1850" s="14">
        <v>13</v>
      </c>
      <c r="C1850" s="15" t="s">
        <v>2339</v>
      </c>
      <c r="D1850" s="14" t="s">
        <v>1749</v>
      </c>
      <c r="E1850" s="14" t="s">
        <v>1746</v>
      </c>
      <c r="F1850" s="17" t="s">
        <v>2994</v>
      </c>
      <c r="G1850" s="14">
        <v>426</v>
      </c>
      <c r="H1850" s="14">
        <v>340.8</v>
      </c>
      <c r="I1850" s="31">
        <f>IF(COUNTIFS(Addendum!C:C,A1850,Addendum!D:D,IF(ISNUMBER(B1850),TEXT(B1850,"0000"),B1850),Addendum!E:E,"X")&gt;0,4%,0)</f>
        <v>0.04</v>
      </c>
      <c r="J1850" s="31">
        <f>IF(COUNTIFS(Addendum!C:C,A1850,Addendum!D:D,IF(ISNUMBER(B1850),TEXT(B1850,"0000"),B1850),Addendum!F:F,"X")&gt;0,2.5%,0)</f>
        <v>2.5000000000000001E-2</v>
      </c>
      <c r="K1850" s="31">
        <f>IF(COUNTIFS(Addendum!C:C,A1850,Addendum!D:D,IF(ISNUMBER(B1850),TEXT(B1850,"0000"),B1850),Addendum!G:G,"X")&gt;0,7%,0)</f>
        <v>0</v>
      </c>
      <c r="L1850" s="31">
        <f>IF(COUNTIFS(Addendum!C:C,A1850,Addendum!D:D,IF(ISNUMBER(B1850),TEXT(B1850,"0000"),B1850),Addendum!I:I,"X")&gt;0,10%,0)</f>
        <v>0.1</v>
      </c>
      <c r="M1850" s="34">
        <f t="shared" si="56"/>
        <v>0.02</v>
      </c>
      <c r="N1850" s="17">
        <f t="shared" si="57"/>
        <v>333.98400000000004</v>
      </c>
    </row>
    <row r="1851" spans="1:14" x14ac:dyDescent="0.25">
      <c r="A1851" s="14" t="s">
        <v>233</v>
      </c>
      <c r="B1851" s="14">
        <v>13</v>
      </c>
      <c r="C1851" s="15" t="s">
        <v>2339</v>
      </c>
      <c r="D1851" s="14" t="s">
        <v>1745</v>
      </c>
      <c r="E1851" s="14" t="s">
        <v>1746</v>
      </c>
      <c r="F1851" s="17" t="s">
        <v>2994</v>
      </c>
      <c r="G1851" s="14">
        <v>4473</v>
      </c>
      <c r="H1851" s="14">
        <v>3578.4</v>
      </c>
      <c r="I1851" s="31">
        <f>IF(COUNTIFS(Addendum!C:C,A1851,Addendum!D:D,IF(ISNUMBER(B1851),TEXT(B1851,"0000"),B1851),Addendum!E:E,"X")&gt;0,4%,0)</f>
        <v>0.04</v>
      </c>
      <c r="J1851" s="31">
        <f>IF(COUNTIFS(Addendum!C:C,A1851,Addendum!D:D,IF(ISNUMBER(B1851),TEXT(B1851,"0000"),B1851),Addendum!F:F,"X")&gt;0,2.5%,0)</f>
        <v>2.5000000000000001E-2</v>
      </c>
      <c r="K1851" s="31">
        <f>IF(COUNTIFS(Addendum!C:C,A1851,Addendum!D:D,IF(ISNUMBER(B1851),TEXT(B1851,"0000"),B1851),Addendum!G:G,"X")&gt;0,7%,0)</f>
        <v>0</v>
      </c>
      <c r="L1851" s="31">
        <f>IF(COUNTIFS(Addendum!C:C,A1851,Addendum!D:D,IF(ISNUMBER(B1851),TEXT(B1851,"0000"),B1851),Addendum!I:I,"X")&gt;0,10%,0)</f>
        <v>0.1</v>
      </c>
      <c r="M1851" s="34">
        <f t="shared" si="56"/>
        <v>0.02</v>
      </c>
      <c r="N1851" s="17">
        <f t="shared" si="57"/>
        <v>3506.8319999999999</v>
      </c>
    </row>
    <row r="1852" spans="1:14" x14ac:dyDescent="0.25">
      <c r="A1852" s="14" t="s">
        <v>233</v>
      </c>
      <c r="B1852" s="14">
        <v>12</v>
      </c>
      <c r="C1852" s="15" t="s">
        <v>2337</v>
      </c>
      <c r="D1852" s="14" t="s">
        <v>1749</v>
      </c>
      <c r="E1852" s="14" t="s">
        <v>1746</v>
      </c>
      <c r="F1852" s="17" t="s">
        <v>2994</v>
      </c>
      <c r="G1852" s="14">
        <v>576</v>
      </c>
      <c r="H1852" s="14">
        <v>460.8</v>
      </c>
      <c r="I1852" s="31">
        <f>IF(COUNTIFS(Addendum!C:C,A1852,Addendum!D:D,IF(ISNUMBER(B1852),TEXT(B1852,"0000"),B1852),Addendum!E:E,"X")&gt;0,4%,0)</f>
        <v>0.04</v>
      </c>
      <c r="J1852" s="31">
        <f>IF(COUNTIFS(Addendum!C:C,A1852,Addendum!D:D,IF(ISNUMBER(B1852),TEXT(B1852,"0000"),B1852),Addendum!F:F,"X")&gt;0,2.5%,0)</f>
        <v>2.5000000000000001E-2</v>
      </c>
      <c r="K1852" s="31">
        <f>IF(COUNTIFS(Addendum!C:C,A1852,Addendum!D:D,IF(ISNUMBER(B1852),TEXT(B1852,"0000"),B1852),Addendum!G:G,"X")&gt;0,7%,0)</f>
        <v>0</v>
      </c>
      <c r="L1852" s="31">
        <f>IF(COUNTIFS(Addendum!C:C,A1852,Addendum!D:D,IF(ISNUMBER(B1852),TEXT(B1852,"0000"),B1852),Addendum!I:I,"X")&gt;0,10%,0)</f>
        <v>0.1</v>
      </c>
      <c r="M1852" s="34">
        <f t="shared" si="56"/>
        <v>0.02</v>
      </c>
      <c r="N1852" s="17">
        <f t="shared" si="57"/>
        <v>451.584</v>
      </c>
    </row>
    <row r="1853" spans="1:14" x14ac:dyDescent="0.25">
      <c r="A1853" s="14" t="s">
        <v>233</v>
      </c>
      <c r="B1853" s="14" t="s">
        <v>118</v>
      </c>
      <c r="C1853" s="15" t="s">
        <v>2338</v>
      </c>
      <c r="D1853" s="14" t="s">
        <v>1745</v>
      </c>
      <c r="E1853" s="14" t="s">
        <v>1746</v>
      </c>
      <c r="F1853" s="17" t="s">
        <v>2994</v>
      </c>
      <c r="G1853" s="14">
        <v>6048</v>
      </c>
      <c r="H1853" s="14">
        <v>4838.3999999999996</v>
      </c>
      <c r="I1853" s="31">
        <f>IF(COUNTIFS(Addendum!C:C,A1853,Addendum!D:D,IF(ISNUMBER(B1853),TEXT(B1853,"0000"),B1853),Addendum!E:E,"X")&gt;0,4%,0)</f>
        <v>0.04</v>
      </c>
      <c r="J1853" s="31">
        <f>IF(COUNTIFS(Addendum!C:C,A1853,Addendum!D:D,IF(ISNUMBER(B1853),TEXT(B1853,"0000"),B1853),Addendum!F:F,"X")&gt;0,2.5%,0)</f>
        <v>2.5000000000000001E-2</v>
      </c>
      <c r="K1853" s="31">
        <f>IF(COUNTIFS(Addendum!C:C,A1853,Addendum!D:D,IF(ISNUMBER(B1853),TEXT(B1853,"0000"),B1853),Addendum!G:G,"X")&gt;0,7%,0)</f>
        <v>0</v>
      </c>
      <c r="L1853" s="31">
        <f>IF(COUNTIFS(Addendum!C:C,A1853,Addendum!D:D,IF(ISNUMBER(B1853),TEXT(B1853,"0000"),B1853),Addendum!I:I,"X")&gt;0,10%,0)</f>
        <v>0.1</v>
      </c>
      <c r="M1853" s="34">
        <f t="shared" si="56"/>
        <v>0.02</v>
      </c>
      <c r="N1853" s="17">
        <f t="shared" si="57"/>
        <v>4741.6319999999996</v>
      </c>
    </row>
    <row r="1854" spans="1:14" x14ac:dyDescent="0.25">
      <c r="A1854" s="14" t="s">
        <v>233</v>
      </c>
      <c r="B1854" s="14" t="s">
        <v>102</v>
      </c>
      <c r="C1854" s="15" t="s">
        <v>2340</v>
      </c>
      <c r="D1854" s="14" t="s">
        <v>1749</v>
      </c>
      <c r="E1854" s="14" t="s">
        <v>1746</v>
      </c>
      <c r="F1854" s="17" t="s">
        <v>2994</v>
      </c>
      <c r="G1854" s="14">
        <v>0</v>
      </c>
      <c r="H1854" s="14">
        <v>0</v>
      </c>
      <c r="I1854" s="31">
        <f>IF(COUNTIFS(Addendum!C:C,A1854,Addendum!D:D,IF(ISNUMBER(B1854),TEXT(B1854,"0000"),B1854),Addendum!E:E,"X")&gt;0,4%,0)</f>
        <v>0.04</v>
      </c>
      <c r="J1854" s="31">
        <f>IF(COUNTIFS(Addendum!C:C,A1854,Addendum!D:D,IF(ISNUMBER(B1854),TEXT(B1854,"0000"),B1854),Addendum!F:F,"X")&gt;0,2.5%,0)</f>
        <v>2.5000000000000001E-2</v>
      </c>
      <c r="K1854" s="31">
        <f>IF(COUNTIFS(Addendum!C:C,A1854,Addendum!D:D,IF(ISNUMBER(B1854),TEXT(B1854,"0000"),B1854),Addendum!G:G,"X")&gt;0,7%,0)</f>
        <v>0</v>
      </c>
      <c r="L1854" s="31">
        <f>IF(COUNTIFS(Addendum!C:C,A1854,Addendum!D:D,IF(ISNUMBER(B1854),TEXT(B1854,"0000"),B1854),Addendum!I:I,"X")&gt;0,10%,0)</f>
        <v>0.1</v>
      </c>
      <c r="M1854" s="34">
        <f t="shared" si="56"/>
        <v>0.02</v>
      </c>
      <c r="N1854" s="17">
        <f t="shared" si="57"/>
        <v>0</v>
      </c>
    </row>
    <row r="1855" spans="1:14" x14ac:dyDescent="0.25">
      <c r="A1855" s="14" t="s">
        <v>233</v>
      </c>
      <c r="B1855" s="14" t="s">
        <v>243</v>
      </c>
      <c r="C1855" s="15" t="s">
        <v>2336</v>
      </c>
      <c r="D1855" s="14" t="s">
        <v>1745</v>
      </c>
      <c r="E1855" s="14" t="s">
        <v>1747</v>
      </c>
      <c r="F1855" s="17" t="s">
        <v>2994</v>
      </c>
      <c r="G1855" s="14">
        <v>4260</v>
      </c>
      <c r="H1855" s="14">
        <v>3408</v>
      </c>
      <c r="I1855" s="31">
        <f>IF(COUNTIFS(Addendum!C:C,A1855,Addendum!D:D,IF(ISNUMBER(B1855),TEXT(B1855,"0000"),B1855),Addendum!E:E,"X")&gt;0,4%,0)</f>
        <v>0.04</v>
      </c>
      <c r="J1855" s="31">
        <f>IF(COUNTIFS(Addendum!C:C,A1855,Addendum!D:D,IF(ISNUMBER(B1855),TEXT(B1855,"0000"),B1855),Addendum!F:F,"X")&gt;0,2.5%,0)</f>
        <v>2.5000000000000001E-2</v>
      </c>
      <c r="K1855" s="31">
        <f>IF(COUNTIFS(Addendum!C:C,A1855,Addendum!D:D,IF(ISNUMBER(B1855),TEXT(B1855,"0000"),B1855),Addendum!G:G,"X")&gt;0,7%,0)</f>
        <v>0</v>
      </c>
      <c r="L1855" s="31">
        <f>IF(COUNTIFS(Addendum!C:C,A1855,Addendum!D:D,IF(ISNUMBER(B1855),TEXT(B1855,"0000"),B1855),Addendum!I:I,"X")&gt;0,10%,0)</f>
        <v>0.1</v>
      </c>
      <c r="M1855" s="34">
        <f t="shared" si="56"/>
        <v>0.1</v>
      </c>
      <c r="N1855" s="17">
        <f t="shared" si="57"/>
        <v>3067.2</v>
      </c>
    </row>
    <row r="1856" spans="1:14" x14ac:dyDescent="0.25">
      <c r="A1856" s="14" t="s">
        <v>233</v>
      </c>
      <c r="B1856" s="14">
        <v>12</v>
      </c>
      <c r="C1856" s="15" t="s">
        <v>2337</v>
      </c>
      <c r="D1856" s="14" t="s">
        <v>1745</v>
      </c>
      <c r="E1856" s="14" t="s">
        <v>1746</v>
      </c>
      <c r="F1856" s="17" t="s">
        <v>2994</v>
      </c>
      <c r="G1856" s="14">
        <v>6048</v>
      </c>
      <c r="H1856" s="14">
        <v>4838.3999999999996</v>
      </c>
      <c r="I1856" s="31">
        <f>IF(COUNTIFS(Addendum!C:C,A1856,Addendum!D:D,IF(ISNUMBER(B1856),TEXT(B1856,"0000"),B1856),Addendum!E:E,"X")&gt;0,4%,0)</f>
        <v>0.04</v>
      </c>
      <c r="J1856" s="31">
        <f>IF(COUNTIFS(Addendum!C:C,A1856,Addendum!D:D,IF(ISNUMBER(B1856),TEXT(B1856,"0000"),B1856),Addendum!F:F,"X")&gt;0,2.5%,0)</f>
        <v>2.5000000000000001E-2</v>
      </c>
      <c r="K1856" s="31">
        <f>IF(COUNTIFS(Addendum!C:C,A1856,Addendum!D:D,IF(ISNUMBER(B1856),TEXT(B1856,"0000"),B1856),Addendum!G:G,"X")&gt;0,7%,0)</f>
        <v>0</v>
      </c>
      <c r="L1856" s="31">
        <f>IF(COUNTIFS(Addendum!C:C,A1856,Addendum!D:D,IF(ISNUMBER(B1856),TEXT(B1856,"0000"),B1856),Addendum!I:I,"X")&gt;0,10%,0)</f>
        <v>0.1</v>
      </c>
      <c r="M1856" s="34">
        <f t="shared" si="56"/>
        <v>0.02</v>
      </c>
      <c r="N1856" s="17">
        <f t="shared" si="57"/>
        <v>4741.6319999999996</v>
      </c>
    </row>
    <row r="1857" spans="1:14" x14ac:dyDescent="0.25">
      <c r="A1857" s="14" t="s">
        <v>233</v>
      </c>
      <c r="B1857" s="14" t="s">
        <v>102</v>
      </c>
      <c r="C1857" s="15" t="s">
        <v>2340</v>
      </c>
      <c r="D1857" s="14" t="s">
        <v>1745</v>
      </c>
      <c r="E1857" s="14" t="s">
        <v>1747</v>
      </c>
      <c r="F1857" s="17" t="s">
        <v>2994</v>
      </c>
      <c r="G1857" s="14">
        <v>0</v>
      </c>
      <c r="H1857" s="14">
        <v>0</v>
      </c>
      <c r="I1857" s="31">
        <f>IF(COUNTIFS(Addendum!C:C,A1857,Addendum!D:D,IF(ISNUMBER(B1857),TEXT(B1857,"0000"),B1857),Addendum!E:E,"X")&gt;0,4%,0)</f>
        <v>0.04</v>
      </c>
      <c r="J1857" s="31">
        <f>IF(COUNTIFS(Addendum!C:C,A1857,Addendum!D:D,IF(ISNUMBER(B1857),TEXT(B1857,"0000"),B1857),Addendum!F:F,"X")&gt;0,2.5%,0)</f>
        <v>2.5000000000000001E-2</v>
      </c>
      <c r="K1857" s="31">
        <f>IF(COUNTIFS(Addendum!C:C,A1857,Addendum!D:D,IF(ISNUMBER(B1857),TEXT(B1857,"0000"),B1857),Addendum!G:G,"X")&gt;0,7%,0)</f>
        <v>0</v>
      </c>
      <c r="L1857" s="31">
        <f>IF(COUNTIFS(Addendum!C:C,A1857,Addendum!D:D,IF(ISNUMBER(B1857),TEXT(B1857,"0000"),B1857),Addendum!I:I,"X")&gt;0,10%,0)</f>
        <v>0.1</v>
      </c>
      <c r="M1857" s="34">
        <f t="shared" si="56"/>
        <v>0.1</v>
      </c>
      <c r="N1857" s="17">
        <f t="shared" si="57"/>
        <v>0</v>
      </c>
    </row>
    <row r="1858" spans="1:14" x14ac:dyDescent="0.25">
      <c r="A1858" s="14" t="s">
        <v>233</v>
      </c>
      <c r="B1858" s="14" t="s">
        <v>118</v>
      </c>
      <c r="C1858" s="15" t="s">
        <v>2338</v>
      </c>
      <c r="D1858" s="14" t="s">
        <v>1745</v>
      </c>
      <c r="E1858" s="14" t="s">
        <v>1747</v>
      </c>
      <c r="F1858" s="17" t="s">
        <v>2994</v>
      </c>
      <c r="G1858" s="14">
        <v>5760</v>
      </c>
      <c r="H1858" s="14">
        <v>4608</v>
      </c>
      <c r="I1858" s="31">
        <f>IF(COUNTIFS(Addendum!C:C,A1858,Addendum!D:D,IF(ISNUMBER(B1858),TEXT(B1858,"0000"),B1858),Addendum!E:E,"X")&gt;0,4%,0)</f>
        <v>0.04</v>
      </c>
      <c r="J1858" s="31">
        <f>IF(COUNTIFS(Addendum!C:C,A1858,Addendum!D:D,IF(ISNUMBER(B1858),TEXT(B1858,"0000"),B1858),Addendum!F:F,"X")&gt;0,2.5%,0)</f>
        <v>2.5000000000000001E-2</v>
      </c>
      <c r="K1858" s="31">
        <f>IF(COUNTIFS(Addendum!C:C,A1858,Addendum!D:D,IF(ISNUMBER(B1858),TEXT(B1858,"0000"),B1858),Addendum!G:G,"X")&gt;0,7%,0)</f>
        <v>0</v>
      </c>
      <c r="L1858" s="31">
        <f>IF(COUNTIFS(Addendum!C:C,A1858,Addendum!D:D,IF(ISNUMBER(B1858),TEXT(B1858,"0000"),B1858),Addendum!I:I,"X")&gt;0,10%,0)</f>
        <v>0.1</v>
      </c>
      <c r="M1858" s="34">
        <f t="shared" si="56"/>
        <v>0.1</v>
      </c>
      <c r="N1858" s="17">
        <f t="shared" si="57"/>
        <v>4147.2</v>
      </c>
    </row>
    <row r="1859" spans="1:14" x14ac:dyDescent="0.25">
      <c r="A1859" s="14" t="s">
        <v>233</v>
      </c>
      <c r="B1859" s="14" t="s">
        <v>102</v>
      </c>
      <c r="C1859" s="15" t="s">
        <v>2340</v>
      </c>
      <c r="D1859" s="14" t="s">
        <v>1745</v>
      </c>
      <c r="E1859" s="14" t="s">
        <v>1746</v>
      </c>
      <c r="F1859" s="17" t="s">
        <v>2994</v>
      </c>
      <c r="G1859" s="14">
        <v>0</v>
      </c>
      <c r="H1859" s="14">
        <v>0</v>
      </c>
      <c r="I1859" s="31">
        <f>IF(COUNTIFS(Addendum!C:C,A1859,Addendum!D:D,IF(ISNUMBER(B1859),TEXT(B1859,"0000"),B1859),Addendum!E:E,"X")&gt;0,4%,0)</f>
        <v>0.04</v>
      </c>
      <c r="J1859" s="31">
        <f>IF(COUNTIFS(Addendum!C:C,A1859,Addendum!D:D,IF(ISNUMBER(B1859),TEXT(B1859,"0000"),B1859),Addendum!F:F,"X")&gt;0,2.5%,0)</f>
        <v>2.5000000000000001E-2</v>
      </c>
      <c r="K1859" s="31">
        <f>IF(COUNTIFS(Addendum!C:C,A1859,Addendum!D:D,IF(ISNUMBER(B1859),TEXT(B1859,"0000"),B1859),Addendum!G:G,"X")&gt;0,7%,0)</f>
        <v>0</v>
      </c>
      <c r="L1859" s="31">
        <f>IF(COUNTIFS(Addendum!C:C,A1859,Addendum!D:D,IF(ISNUMBER(B1859),TEXT(B1859,"0000"),B1859),Addendum!I:I,"X")&gt;0,10%,0)</f>
        <v>0.1</v>
      </c>
      <c r="M1859" s="34">
        <f t="shared" si="56"/>
        <v>0.02</v>
      </c>
      <c r="N1859" s="17">
        <f t="shared" si="57"/>
        <v>0</v>
      </c>
    </row>
    <row r="1860" spans="1:14" x14ac:dyDescent="0.25">
      <c r="A1860" s="14" t="s">
        <v>250</v>
      </c>
      <c r="B1860" s="14">
        <v>19</v>
      </c>
      <c r="C1860" s="15" t="s">
        <v>2341</v>
      </c>
      <c r="D1860" s="14" t="s">
        <v>1745</v>
      </c>
      <c r="E1860" s="14" t="s">
        <v>1747</v>
      </c>
      <c r="F1860" s="17" t="s">
        <v>2994</v>
      </c>
      <c r="G1860" s="14">
        <v>10740</v>
      </c>
      <c r="H1860" s="14">
        <v>8592</v>
      </c>
      <c r="I1860" s="31">
        <f>IF(COUNTIFS(Addendum!C:C,A1860,Addendum!D:D,IF(ISNUMBER(B1860),TEXT(B1860,"0000"),B1860),Addendum!E:E,"X")&gt;0,4%,0)</f>
        <v>0.04</v>
      </c>
      <c r="J1860" s="31">
        <f>IF(COUNTIFS(Addendum!C:C,A1860,Addendum!D:D,IF(ISNUMBER(B1860),TEXT(B1860,"0000"),B1860),Addendum!F:F,"X")&gt;0,2.5%,0)</f>
        <v>0</v>
      </c>
      <c r="K1860" s="31">
        <f>IF(COUNTIFS(Addendum!C:C,A1860,Addendum!D:D,IF(ISNUMBER(B1860),TEXT(B1860,"0000"),B1860),Addendum!G:G,"X")&gt;0,7%,0)</f>
        <v>7.0000000000000007E-2</v>
      </c>
      <c r="L1860" s="31">
        <f>IF(COUNTIFS(Addendum!C:C,A1860,Addendum!D:D,IF(ISNUMBER(B1860),TEXT(B1860,"0000"),B1860),Addendum!I:I,"X")&gt;0,10%,0)</f>
        <v>0.1</v>
      </c>
      <c r="M1860" s="34">
        <f t="shared" ref="M1860:M1923" si="58">IF(AND(I1860=0%,J1860=0%,K1860=0%,L1860=0%),0%,
IF(OR(TRIM(E1860)="OneTime",TRIM(D1860)=""),0%,
IF(
OR(
TRIM(D1860)="P1M",
AND(TRIM(D1860)="P1Y",TRIM(E1860)="Monthly"),
AND(TRIM(D1860)="P3Y",TRIM(E1860)="Monthly")
),
IF(AND(I1860=4%,J1860=0%,K1860=0%,L1860=0%),1%,
IF(AND(I1860=4%,J1860=2.5%,K1860=0%,L1860=10%),2%,
IF(AND(I1860=4%,J1860=0%,K1860=7%,L1860=10%),3%,0%))),
IF(
OR(
AND(TRIM(D1860)="P1Y",TRIM(E1860)="Annual"),
AND(TRIM(D1860)="P3Y",TRIM(E1860)="Annual"),
AND(TRIM(D1860)="P3Y",TRIM(E1860)="Triennial")
),
IF(AND(I1860=4%,J1860=0%,K1860=0%,L1860=0%),3%,
IF(AND(I1860=4%,J1860=2.5%,K1860=0%,L1860=10%),10%,
IF(AND(I1860=4%,J1860=0%,K1860=7%,L1860=10%),14%,0%))),
0%
))))</f>
        <v>0.14000000000000001</v>
      </c>
      <c r="N1860" s="17">
        <f t="shared" ref="N1860:N1923" si="59">H1860-(H1860*M1860)</f>
        <v>7389.12</v>
      </c>
    </row>
    <row r="1861" spans="1:14" ht="30" x14ac:dyDescent="0.25">
      <c r="A1861" s="14" t="s">
        <v>250</v>
      </c>
      <c r="B1861" s="14">
        <v>14</v>
      </c>
      <c r="C1861" s="15" t="s">
        <v>2342</v>
      </c>
      <c r="D1861" s="14" t="s">
        <v>1745</v>
      </c>
      <c r="E1861" s="14" t="s">
        <v>1747</v>
      </c>
      <c r="F1861" s="17" t="s">
        <v>2994</v>
      </c>
      <c r="G1861" s="14">
        <v>0</v>
      </c>
      <c r="H1861" s="14">
        <v>0</v>
      </c>
      <c r="I1861" s="31">
        <f>IF(COUNTIFS(Addendum!C:C,A1861,Addendum!D:D,IF(ISNUMBER(B1861),TEXT(B1861,"0000"),B1861),Addendum!E:E,"X")&gt;0,4%,0)</f>
        <v>0.04</v>
      </c>
      <c r="J1861" s="31">
        <f>IF(COUNTIFS(Addendum!C:C,A1861,Addendum!D:D,IF(ISNUMBER(B1861),TEXT(B1861,"0000"),B1861),Addendum!F:F,"X")&gt;0,2.5%,0)</f>
        <v>0</v>
      </c>
      <c r="K1861" s="31">
        <f>IF(COUNTIFS(Addendum!C:C,A1861,Addendum!D:D,IF(ISNUMBER(B1861),TEXT(B1861,"0000"),B1861),Addendum!G:G,"X")&gt;0,7%,0)</f>
        <v>7.0000000000000007E-2</v>
      </c>
      <c r="L1861" s="31">
        <f>IF(COUNTIFS(Addendum!C:C,A1861,Addendum!D:D,IF(ISNUMBER(B1861),TEXT(B1861,"0000"),B1861),Addendum!I:I,"X")&gt;0,10%,0)</f>
        <v>0.1</v>
      </c>
      <c r="M1861" s="34">
        <f t="shared" si="58"/>
        <v>0.14000000000000001</v>
      </c>
      <c r="N1861" s="17">
        <f t="shared" si="59"/>
        <v>0</v>
      </c>
    </row>
    <row r="1862" spans="1:14" x14ac:dyDescent="0.25">
      <c r="A1862" s="14" t="s">
        <v>250</v>
      </c>
      <c r="B1862" s="14">
        <v>19</v>
      </c>
      <c r="C1862" s="15" t="s">
        <v>2341</v>
      </c>
      <c r="D1862" s="14" t="s">
        <v>1745</v>
      </c>
      <c r="E1862" s="14" t="s">
        <v>1746</v>
      </c>
      <c r="F1862" s="17" t="s">
        <v>2994</v>
      </c>
      <c r="G1862" s="14">
        <v>11277</v>
      </c>
      <c r="H1862" s="14">
        <v>9021.6</v>
      </c>
      <c r="I1862" s="31">
        <f>IF(COUNTIFS(Addendum!C:C,A1862,Addendum!D:D,IF(ISNUMBER(B1862),TEXT(B1862,"0000"),B1862),Addendum!E:E,"X")&gt;0,4%,0)</f>
        <v>0.04</v>
      </c>
      <c r="J1862" s="31">
        <f>IF(COUNTIFS(Addendum!C:C,A1862,Addendum!D:D,IF(ISNUMBER(B1862),TEXT(B1862,"0000"),B1862),Addendum!F:F,"X")&gt;0,2.5%,0)</f>
        <v>0</v>
      </c>
      <c r="K1862" s="31">
        <f>IF(COUNTIFS(Addendum!C:C,A1862,Addendum!D:D,IF(ISNUMBER(B1862),TEXT(B1862,"0000"),B1862),Addendum!G:G,"X")&gt;0,7%,0)</f>
        <v>7.0000000000000007E-2</v>
      </c>
      <c r="L1862" s="31">
        <f>IF(COUNTIFS(Addendum!C:C,A1862,Addendum!D:D,IF(ISNUMBER(B1862),TEXT(B1862,"0000"),B1862),Addendum!I:I,"X")&gt;0,10%,0)</f>
        <v>0.1</v>
      </c>
      <c r="M1862" s="34">
        <f t="shared" si="58"/>
        <v>0.03</v>
      </c>
      <c r="N1862" s="17">
        <f t="shared" si="59"/>
        <v>8750.9520000000011</v>
      </c>
    </row>
    <row r="1863" spans="1:14" x14ac:dyDescent="0.25">
      <c r="A1863" s="14" t="s">
        <v>250</v>
      </c>
      <c r="B1863" s="14">
        <v>18</v>
      </c>
      <c r="C1863" s="15" t="s">
        <v>2343</v>
      </c>
      <c r="D1863" s="14" t="s">
        <v>1745</v>
      </c>
      <c r="E1863" s="14" t="s">
        <v>1747</v>
      </c>
      <c r="F1863" s="17" t="s">
        <v>2994</v>
      </c>
      <c r="G1863" s="14">
        <v>7980</v>
      </c>
      <c r="H1863" s="14">
        <v>6384</v>
      </c>
      <c r="I1863" s="31">
        <f>IF(COUNTIFS(Addendum!C:C,A1863,Addendum!D:D,IF(ISNUMBER(B1863),TEXT(B1863,"0000"),B1863),Addendum!E:E,"X")&gt;0,4%,0)</f>
        <v>0.04</v>
      </c>
      <c r="J1863" s="31">
        <f>IF(COUNTIFS(Addendum!C:C,A1863,Addendum!D:D,IF(ISNUMBER(B1863),TEXT(B1863,"0000"),B1863),Addendum!F:F,"X")&gt;0,2.5%,0)</f>
        <v>0</v>
      </c>
      <c r="K1863" s="31">
        <f>IF(COUNTIFS(Addendum!C:C,A1863,Addendum!D:D,IF(ISNUMBER(B1863),TEXT(B1863,"0000"),B1863),Addendum!G:G,"X")&gt;0,7%,0)</f>
        <v>7.0000000000000007E-2</v>
      </c>
      <c r="L1863" s="31">
        <f>IF(COUNTIFS(Addendum!C:C,A1863,Addendum!D:D,IF(ISNUMBER(B1863),TEXT(B1863,"0000"),B1863),Addendum!I:I,"X")&gt;0,10%,0)</f>
        <v>0.1</v>
      </c>
      <c r="M1863" s="34">
        <f t="shared" si="58"/>
        <v>0.14000000000000001</v>
      </c>
      <c r="N1863" s="17">
        <f t="shared" si="59"/>
        <v>5490.24</v>
      </c>
    </row>
    <row r="1864" spans="1:14" x14ac:dyDescent="0.25">
      <c r="A1864" s="14" t="s">
        <v>250</v>
      </c>
      <c r="B1864" s="14">
        <v>16</v>
      </c>
      <c r="C1864" s="15" t="s">
        <v>2344</v>
      </c>
      <c r="D1864" s="14" t="s">
        <v>1745</v>
      </c>
      <c r="E1864" s="14" t="s">
        <v>1747</v>
      </c>
      <c r="F1864" s="17" t="s">
        <v>2994</v>
      </c>
      <c r="G1864" s="14">
        <v>7980</v>
      </c>
      <c r="H1864" s="14">
        <v>6384</v>
      </c>
      <c r="I1864" s="31">
        <f>IF(COUNTIFS(Addendum!C:C,A1864,Addendum!D:D,IF(ISNUMBER(B1864),TEXT(B1864,"0000"),B1864),Addendum!E:E,"X")&gt;0,4%,0)</f>
        <v>0.04</v>
      </c>
      <c r="J1864" s="31">
        <f>IF(COUNTIFS(Addendum!C:C,A1864,Addendum!D:D,IF(ISNUMBER(B1864),TEXT(B1864,"0000"),B1864),Addendum!F:F,"X")&gt;0,2.5%,0)</f>
        <v>0</v>
      </c>
      <c r="K1864" s="31">
        <f>IF(COUNTIFS(Addendum!C:C,A1864,Addendum!D:D,IF(ISNUMBER(B1864),TEXT(B1864,"0000"),B1864),Addendum!G:G,"X")&gt;0,7%,0)</f>
        <v>7.0000000000000007E-2</v>
      </c>
      <c r="L1864" s="31">
        <f>IF(COUNTIFS(Addendum!C:C,A1864,Addendum!D:D,IF(ISNUMBER(B1864),TEXT(B1864,"0000"),B1864),Addendum!I:I,"X")&gt;0,10%,0)</f>
        <v>0.1</v>
      </c>
      <c r="M1864" s="34">
        <f t="shared" si="58"/>
        <v>0.14000000000000001</v>
      </c>
      <c r="N1864" s="17">
        <f t="shared" si="59"/>
        <v>5490.24</v>
      </c>
    </row>
    <row r="1865" spans="1:14" x14ac:dyDescent="0.25">
      <c r="A1865" s="14" t="s">
        <v>250</v>
      </c>
      <c r="B1865" s="14">
        <v>18</v>
      </c>
      <c r="C1865" s="15" t="s">
        <v>2343</v>
      </c>
      <c r="D1865" s="14" t="s">
        <v>1745</v>
      </c>
      <c r="E1865" s="14" t="s">
        <v>1746</v>
      </c>
      <c r="F1865" s="17" t="s">
        <v>2994</v>
      </c>
      <c r="G1865" s="14">
        <v>8379</v>
      </c>
      <c r="H1865" s="14">
        <v>6703.2</v>
      </c>
      <c r="I1865" s="31">
        <f>IF(COUNTIFS(Addendum!C:C,A1865,Addendum!D:D,IF(ISNUMBER(B1865),TEXT(B1865,"0000"),B1865),Addendum!E:E,"X")&gt;0,4%,0)</f>
        <v>0.04</v>
      </c>
      <c r="J1865" s="31">
        <f>IF(COUNTIFS(Addendum!C:C,A1865,Addendum!D:D,IF(ISNUMBER(B1865),TEXT(B1865,"0000"),B1865),Addendum!F:F,"X")&gt;0,2.5%,0)</f>
        <v>0</v>
      </c>
      <c r="K1865" s="31">
        <f>IF(COUNTIFS(Addendum!C:C,A1865,Addendum!D:D,IF(ISNUMBER(B1865),TEXT(B1865,"0000"),B1865),Addendum!G:G,"X")&gt;0,7%,0)</f>
        <v>7.0000000000000007E-2</v>
      </c>
      <c r="L1865" s="31">
        <f>IF(COUNTIFS(Addendum!C:C,A1865,Addendum!D:D,IF(ISNUMBER(B1865),TEXT(B1865,"0000"),B1865),Addendum!I:I,"X")&gt;0,10%,0)</f>
        <v>0.1</v>
      </c>
      <c r="M1865" s="34">
        <f t="shared" si="58"/>
        <v>0.03</v>
      </c>
      <c r="N1865" s="17">
        <f t="shared" si="59"/>
        <v>6502.1040000000003</v>
      </c>
    </row>
    <row r="1866" spans="1:14" x14ac:dyDescent="0.25">
      <c r="A1866" s="14" t="s">
        <v>250</v>
      </c>
      <c r="B1866" s="14" t="s">
        <v>258</v>
      </c>
      <c r="C1866" s="15" t="s">
        <v>2345</v>
      </c>
      <c r="D1866" s="14" t="s">
        <v>1749</v>
      </c>
      <c r="E1866" s="14" t="s">
        <v>1766</v>
      </c>
      <c r="F1866" s="17" t="s">
        <v>2994</v>
      </c>
      <c r="G1866" s="14">
        <v>0</v>
      </c>
      <c r="H1866" s="14">
        <v>0</v>
      </c>
      <c r="I1866" s="31">
        <f>IF(COUNTIFS(Addendum!C:C,A1866,Addendum!D:D,IF(ISNUMBER(B1866),TEXT(B1866,"0000"),B1866),Addendum!E:E,"X")&gt;0,4%,0)</f>
        <v>0.04</v>
      </c>
      <c r="J1866" s="31">
        <f>IF(COUNTIFS(Addendum!C:C,A1866,Addendum!D:D,IF(ISNUMBER(B1866),TEXT(B1866,"0000"),B1866),Addendum!F:F,"X")&gt;0,2.5%,0)</f>
        <v>0</v>
      </c>
      <c r="K1866" s="31">
        <f>IF(COUNTIFS(Addendum!C:C,A1866,Addendum!D:D,IF(ISNUMBER(B1866),TEXT(B1866,"0000"),B1866),Addendum!G:G,"X")&gt;0,7%,0)</f>
        <v>7.0000000000000007E-2</v>
      </c>
      <c r="L1866" s="31">
        <f>IF(COUNTIFS(Addendum!C:C,A1866,Addendum!D:D,IF(ISNUMBER(B1866),TEXT(B1866,"0000"),B1866),Addendum!I:I,"X")&gt;0,10%,0)</f>
        <v>0.1</v>
      </c>
      <c r="M1866" s="34">
        <f t="shared" si="58"/>
        <v>0.03</v>
      </c>
      <c r="N1866" s="17">
        <f t="shared" si="59"/>
        <v>0</v>
      </c>
    </row>
    <row r="1867" spans="1:14" x14ac:dyDescent="0.25">
      <c r="A1867" s="14" t="s">
        <v>250</v>
      </c>
      <c r="B1867" s="14">
        <v>12</v>
      </c>
      <c r="C1867" s="15" t="s">
        <v>2345</v>
      </c>
      <c r="D1867" s="14" t="s">
        <v>1745</v>
      </c>
      <c r="E1867" s="14" t="s">
        <v>1747</v>
      </c>
      <c r="F1867" s="17" t="s">
        <v>2994</v>
      </c>
      <c r="G1867" s="14">
        <v>10740</v>
      </c>
      <c r="H1867" s="14">
        <v>8592</v>
      </c>
      <c r="I1867" s="31">
        <f>IF(COUNTIFS(Addendum!C:C,A1867,Addendum!D:D,IF(ISNUMBER(B1867),TEXT(B1867,"0000"),B1867),Addendum!E:E,"X")&gt;0,4%,0)</f>
        <v>0.04</v>
      </c>
      <c r="J1867" s="31">
        <f>IF(COUNTIFS(Addendum!C:C,A1867,Addendum!D:D,IF(ISNUMBER(B1867),TEXT(B1867,"0000"),B1867),Addendum!F:F,"X")&gt;0,2.5%,0)</f>
        <v>0</v>
      </c>
      <c r="K1867" s="31">
        <f>IF(COUNTIFS(Addendum!C:C,A1867,Addendum!D:D,IF(ISNUMBER(B1867),TEXT(B1867,"0000"),B1867),Addendum!G:G,"X")&gt;0,7%,0)</f>
        <v>7.0000000000000007E-2</v>
      </c>
      <c r="L1867" s="31">
        <f>IF(COUNTIFS(Addendum!C:C,A1867,Addendum!D:D,IF(ISNUMBER(B1867),TEXT(B1867,"0000"),B1867),Addendum!I:I,"X")&gt;0,10%,0)</f>
        <v>0.1</v>
      </c>
      <c r="M1867" s="34">
        <f t="shared" si="58"/>
        <v>0.14000000000000001</v>
      </c>
      <c r="N1867" s="17">
        <f t="shared" si="59"/>
        <v>7389.12</v>
      </c>
    </row>
    <row r="1868" spans="1:14" x14ac:dyDescent="0.25">
      <c r="A1868" s="14" t="s">
        <v>250</v>
      </c>
      <c r="B1868" s="14">
        <v>12</v>
      </c>
      <c r="C1868" s="15" t="s">
        <v>2345</v>
      </c>
      <c r="D1868" s="14" t="s">
        <v>1749</v>
      </c>
      <c r="E1868" s="14" t="s">
        <v>1746</v>
      </c>
      <c r="F1868" s="17" t="s">
        <v>2994</v>
      </c>
      <c r="G1868" s="14">
        <v>1074</v>
      </c>
      <c r="H1868" s="14">
        <v>859.2</v>
      </c>
      <c r="I1868" s="31">
        <f>IF(COUNTIFS(Addendum!C:C,A1868,Addendum!D:D,IF(ISNUMBER(B1868),TEXT(B1868,"0000"),B1868),Addendum!E:E,"X")&gt;0,4%,0)</f>
        <v>0.04</v>
      </c>
      <c r="J1868" s="31">
        <f>IF(COUNTIFS(Addendum!C:C,A1868,Addendum!D:D,IF(ISNUMBER(B1868),TEXT(B1868,"0000"),B1868),Addendum!F:F,"X")&gt;0,2.5%,0)</f>
        <v>0</v>
      </c>
      <c r="K1868" s="31">
        <f>IF(COUNTIFS(Addendum!C:C,A1868,Addendum!D:D,IF(ISNUMBER(B1868),TEXT(B1868,"0000"),B1868),Addendum!G:G,"X")&gt;0,7%,0)</f>
        <v>7.0000000000000007E-2</v>
      </c>
      <c r="L1868" s="31">
        <f>IF(COUNTIFS(Addendum!C:C,A1868,Addendum!D:D,IF(ISNUMBER(B1868),TEXT(B1868,"0000"),B1868),Addendum!I:I,"X")&gt;0,10%,0)</f>
        <v>0.1</v>
      </c>
      <c r="M1868" s="34">
        <f t="shared" si="58"/>
        <v>0.03</v>
      </c>
      <c r="N1868" s="17">
        <f t="shared" si="59"/>
        <v>833.42400000000009</v>
      </c>
    </row>
    <row r="1869" spans="1:14" x14ac:dyDescent="0.25">
      <c r="A1869" s="14" t="s">
        <v>250</v>
      </c>
      <c r="B1869" s="14">
        <v>16</v>
      </c>
      <c r="C1869" s="15" t="s">
        <v>2344</v>
      </c>
      <c r="D1869" s="14" t="s">
        <v>1745</v>
      </c>
      <c r="E1869" s="14" t="s">
        <v>1746</v>
      </c>
      <c r="F1869" s="17" t="s">
        <v>2994</v>
      </c>
      <c r="G1869" s="14">
        <v>8379</v>
      </c>
      <c r="H1869" s="14">
        <v>6703.2</v>
      </c>
      <c r="I1869" s="31">
        <f>IF(COUNTIFS(Addendum!C:C,A1869,Addendum!D:D,IF(ISNUMBER(B1869),TEXT(B1869,"0000"),B1869),Addendum!E:E,"X")&gt;0,4%,0)</f>
        <v>0.04</v>
      </c>
      <c r="J1869" s="31">
        <f>IF(COUNTIFS(Addendum!C:C,A1869,Addendum!D:D,IF(ISNUMBER(B1869),TEXT(B1869,"0000"),B1869),Addendum!F:F,"X")&gt;0,2.5%,0)</f>
        <v>0</v>
      </c>
      <c r="K1869" s="31">
        <f>IF(COUNTIFS(Addendum!C:C,A1869,Addendum!D:D,IF(ISNUMBER(B1869),TEXT(B1869,"0000"),B1869),Addendum!G:G,"X")&gt;0,7%,0)</f>
        <v>7.0000000000000007E-2</v>
      </c>
      <c r="L1869" s="31">
        <f>IF(COUNTIFS(Addendum!C:C,A1869,Addendum!D:D,IF(ISNUMBER(B1869),TEXT(B1869,"0000"),B1869),Addendum!I:I,"X")&gt;0,10%,0)</f>
        <v>0.1</v>
      </c>
      <c r="M1869" s="34">
        <f t="shared" si="58"/>
        <v>0.03</v>
      </c>
      <c r="N1869" s="17">
        <f t="shared" si="59"/>
        <v>6502.1040000000003</v>
      </c>
    </row>
    <row r="1870" spans="1:14" ht="30" x14ac:dyDescent="0.25">
      <c r="A1870" s="14" t="s">
        <v>250</v>
      </c>
      <c r="B1870" s="14">
        <v>14</v>
      </c>
      <c r="C1870" s="15" t="s">
        <v>2342</v>
      </c>
      <c r="D1870" s="14" t="s">
        <v>1745</v>
      </c>
      <c r="E1870" s="14" t="s">
        <v>1746</v>
      </c>
      <c r="F1870" s="17" t="s">
        <v>2994</v>
      </c>
      <c r="G1870" s="14">
        <v>0</v>
      </c>
      <c r="H1870" s="14">
        <v>0</v>
      </c>
      <c r="I1870" s="31">
        <f>IF(COUNTIFS(Addendum!C:C,A1870,Addendum!D:D,IF(ISNUMBER(B1870),TEXT(B1870,"0000"),B1870),Addendum!E:E,"X")&gt;0,4%,0)</f>
        <v>0.04</v>
      </c>
      <c r="J1870" s="31">
        <f>IF(COUNTIFS(Addendum!C:C,A1870,Addendum!D:D,IF(ISNUMBER(B1870),TEXT(B1870,"0000"),B1870),Addendum!F:F,"X")&gt;0,2.5%,0)</f>
        <v>0</v>
      </c>
      <c r="K1870" s="31">
        <f>IF(COUNTIFS(Addendum!C:C,A1870,Addendum!D:D,IF(ISNUMBER(B1870),TEXT(B1870,"0000"),B1870),Addendum!G:G,"X")&gt;0,7%,0)</f>
        <v>7.0000000000000007E-2</v>
      </c>
      <c r="L1870" s="31">
        <f>IF(COUNTIFS(Addendum!C:C,A1870,Addendum!D:D,IF(ISNUMBER(B1870),TEXT(B1870,"0000"),B1870),Addendum!I:I,"X")&gt;0,10%,0)</f>
        <v>0.1</v>
      </c>
      <c r="M1870" s="34">
        <f t="shared" si="58"/>
        <v>0.03</v>
      </c>
      <c r="N1870" s="17">
        <f t="shared" si="59"/>
        <v>0</v>
      </c>
    </row>
    <row r="1871" spans="1:14" x14ac:dyDescent="0.25">
      <c r="A1871" s="14" t="s">
        <v>250</v>
      </c>
      <c r="B1871" s="14">
        <v>19</v>
      </c>
      <c r="C1871" s="15" t="s">
        <v>2341</v>
      </c>
      <c r="D1871" s="14" t="s">
        <v>1749</v>
      </c>
      <c r="E1871" s="14" t="s">
        <v>1746</v>
      </c>
      <c r="F1871" s="17" t="s">
        <v>2994</v>
      </c>
      <c r="G1871" s="14">
        <v>1074</v>
      </c>
      <c r="H1871" s="14">
        <v>859.2</v>
      </c>
      <c r="I1871" s="31">
        <f>IF(COUNTIFS(Addendum!C:C,A1871,Addendum!D:D,IF(ISNUMBER(B1871),TEXT(B1871,"0000"),B1871),Addendum!E:E,"X")&gt;0,4%,0)</f>
        <v>0.04</v>
      </c>
      <c r="J1871" s="31">
        <f>IF(COUNTIFS(Addendum!C:C,A1871,Addendum!D:D,IF(ISNUMBER(B1871),TEXT(B1871,"0000"),B1871),Addendum!F:F,"X")&gt;0,2.5%,0)</f>
        <v>0</v>
      </c>
      <c r="K1871" s="31">
        <f>IF(COUNTIFS(Addendum!C:C,A1871,Addendum!D:D,IF(ISNUMBER(B1871),TEXT(B1871,"0000"),B1871),Addendum!G:G,"X")&gt;0,7%,0)</f>
        <v>7.0000000000000007E-2</v>
      </c>
      <c r="L1871" s="31">
        <f>IF(COUNTIFS(Addendum!C:C,A1871,Addendum!D:D,IF(ISNUMBER(B1871),TEXT(B1871,"0000"),B1871),Addendum!I:I,"X")&gt;0,10%,0)</f>
        <v>0.1</v>
      </c>
      <c r="M1871" s="34">
        <f t="shared" si="58"/>
        <v>0.03</v>
      </c>
      <c r="N1871" s="17">
        <f t="shared" si="59"/>
        <v>833.42400000000009</v>
      </c>
    </row>
    <row r="1872" spans="1:14" x14ac:dyDescent="0.25">
      <c r="A1872" s="14" t="s">
        <v>250</v>
      </c>
      <c r="B1872" s="14">
        <v>12</v>
      </c>
      <c r="C1872" s="15" t="s">
        <v>2345</v>
      </c>
      <c r="D1872" s="14" t="s">
        <v>1745</v>
      </c>
      <c r="E1872" s="14" t="s">
        <v>1746</v>
      </c>
      <c r="F1872" s="17" t="s">
        <v>2994</v>
      </c>
      <c r="G1872" s="14">
        <v>11277</v>
      </c>
      <c r="H1872" s="14">
        <v>9021.6</v>
      </c>
      <c r="I1872" s="31">
        <f>IF(COUNTIFS(Addendum!C:C,A1872,Addendum!D:D,IF(ISNUMBER(B1872),TEXT(B1872,"0000"),B1872),Addendum!E:E,"X")&gt;0,4%,0)</f>
        <v>0.04</v>
      </c>
      <c r="J1872" s="31">
        <f>IF(COUNTIFS(Addendum!C:C,A1872,Addendum!D:D,IF(ISNUMBER(B1872),TEXT(B1872,"0000"),B1872),Addendum!F:F,"X")&gt;0,2.5%,0)</f>
        <v>0</v>
      </c>
      <c r="K1872" s="31">
        <f>IF(COUNTIFS(Addendum!C:C,A1872,Addendum!D:D,IF(ISNUMBER(B1872),TEXT(B1872,"0000"),B1872),Addendum!G:G,"X")&gt;0,7%,0)</f>
        <v>7.0000000000000007E-2</v>
      </c>
      <c r="L1872" s="31">
        <f>IF(COUNTIFS(Addendum!C:C,A1872,Addendum!D:D,IF(ISNUMBER(B1872),TEXT(B1872,"0000"),B1872),Addendum!I:I,"X")&gt;0,10%,0)</f>
        <v>0.1</v>
      </c>
      <c r="M1872" s="34">
        <f t="shared" si="58"/>
        <v>0.03</v>
      </c>
      <c r="N1872" s="17">
        <f t="shared" si="59"/>
        <v>8750.9520000000011</v>
      </c>
    </row>
    <row r="1873" spans="1:14" x14ac:dyDescent="0.25">
      <c r="A1873" s="14" t="s">
        <v>250</v>
      </c>
      <c r="B1873" s="14">
        <v>18</v>
      </c>
      <c r="C1873" s="15" t="s">
        <v>2343</v>
      </c>
      <c r="D1873" s="14" t="s">
        <v>1749</v>
      </c>
      <c r="E1873" s="14" t="s">
        <v>1746</v>
      </c>
      <c r="F1873" s="17" t="s">
        <v>2994</v>
      </c>
      <c r="G1873" s="14">
        <v>798</v>
      </c>
      <c r="H1873" s="14">
        <v>638.4</v>
      </c>
      <c r="I1873" s="31">
        <f>IF(COUNTIFS(Addendum!C:C,A1873,Addendum!D:D,IF(ISNUMBER(B1873),TEXT(B1873,"0000"),B1873),Addendum!E:E,"X")&gt;0,4%,0)</f>
        <v>0.04</v>
      </c>
      <c r="J1873" s="31">
        <f>IF(COUNTIFS(Addendum!C:C,A1873,Addendum!D:D,IF(ISNUMBER(B1873),TEXT(B1873,"0000"),B1873),Addendum!F:F,"X")&gt;0,2.5%,0)</f>
        <v>0</v>
      </c>
      <c r="K1873" s="31">
        <f>IF(COUNTIFS(Addendum!C:C,A1873,Addendum!D:D,IF(ISNUMBER(B1873),TEXT(B1873,"0000"),B1873),Addendum!G:G,"X")&gt;0,7%,0)</f>
        <v>7.0000000000000007E-2</v>
      </c>
      <c r="L1873" s="31">
        <f>IF(COUNTIFS(Addendum!C:C,A1873,Addendum!D:D,IF(ISNUMBER(B1873),TEXT(B1873,"0000"),B1873),Addendum!I:I,"X")&gt;0,10%,0)</f>
        <v>0.1</v>
      </c>
      <c r="M1873" s="34">
        <f t="shared" si="58"/>
        <v>0.03</v>
      </c>
      <c r="N1873" s="17">
        <f t="shared" si="59"/>
        <v>619.24799999999993</v>
      </c>
    </row>
    <row r="1874" spans="1:14" x14ac:dyDescent="0.25">
      <c r="A1874" s="14" t="s">
        <v>250</v>
      </c>
      <c r="B1874" s="14">
        <v>16</v>
      </c>
      <c r="C1874" s="15" t="s">
        <v>2344</v>
      </c>
      <c r="D1874" s="14" t="s">
        <v>1749</v>
      </c>
      <c r="E1874" s="14" t="s">
        <v>1746</v>
      </c>
      <c r="F1874" s="17" t="s">
        <v>2994</v>
      </c>
      <c r="G1874" s="14">
        <v>798</v>
      </c>
      <c r="H1874" s="14">
        <v>638.4</v>
      </c>
      <c r="I1874" s="31">
        <f>IF(COUNTIFS(Addendum!C:C,A1874,Addendum!D:D,IF(ISNUMBER(B1874),TEXT(B1874,"0000"),B1874),Addendum!E:E,"X")&gt;0,4%,0)</f>
        <v>0.04</v>
      </c>
      <c r="J1874" s="31">
        <f>IF(COUNTIFS(Addendum!C:C,A1874,Addendum!D:D,IF(ISNUMBER(B1874),TEXT(B1874,"0000"),B1874),Addendum!F:F,"X")&gt;0,2.5%,0)</f>
        <v>0</v>
      </c>
      <c r="K1874" s="31">
        <f>IF(COUNTIFS(Addendum!C:C,A1874,Addendum!D:D,IF(ISNUMBER(B1874),TEXT(B1874,"0000"),B1874),Addendum!G:G,"X")&gt;0,7%,0)</f>
        <v>7.0000000000000007E-2</v>
      </c>
      <c r="L1874" s="31">
        <f>IF(COUNTIFS(Addendum!C:C,A1874,Addendum!D:D,IF(ISNUMBER(B1874),TEXT(B1874,"0000"),B1874),Addendum!I:I,"X")&gt;0,10%,0)</f>
        <v>0.1</v>
      </c>
      <c r="M1874" s="34">
        <f t="shared" si="58"/>
        <v>0.03</v>
      </c>
      <c r="N1874" s="17">
        <f t="shared" si="59"/>
        <v>619.24799999999993</v>
      </c>
    </row>
    <row r="1875" spans="1:14" x14ac:dyDescent="0.25">
      <c r="A1875" s="14" t="s">
        <v>250</v>
      </c>
      <c r="B1875" s="14" t="s">
        <v>263</v>
      </c>
      <c r="C1875" s="15" t="s">
        <v>2344</v>
      </c>
      <c r="D1875" s="14" t="s">
        <v>1749</v>
      </c>
      <c r="E1875" s="14" t="s">
        <v>1766</v>
      </c>
      <c r="F1875" s="17" t="s">
        <v>2994</v>
      </c>
      <c r="G1875" s="14">
        <v>0</v>
      </c>
      <c r="H1875" s="14">
        <v>0</v>
      </c>
      <c r="I1875" s="31">
        <f>IF(COUNTIFS(Addendum!C:C,A1875,Addendum!D:D,IF(ISNUMBER(B1875),TEXT(B1875,"0000"),B1875),Addendum!E:E,"X")&gt;0,4%,0)</f>
        <v>0.04</v>
      </c>
      <c r="J1875" s="31">
        <f>IF(COUNTIFS(Addendum!C:C,A1875,Addendum!D:D,IF(ISNUMBER(B1875),TEXT(B1875,"0000"),B1875),Addendum!F:F,"X")&gt;0,2.5%,0)</f>
        <v>0</v>
      </c>
      <c r="K1875" s="31">
        <f>IF(COUNTIFS(Addendum!C:C,A1875,Addendum!D:D,IF(ISNUMBER(B1875),TEXT(B1875,"0000"),B1875),Addendum!G:G,"X")&gt;0,7%,0)</f>
        <v>7.0000000000000007E-2</v>
      </c>
      <c r="L1875" s="31">
        <f>IF(COUNTIFS(Addendum!C:C,A1875,Addendum!D:D,IF(ISNUMBER(B1875),TEXT(B1875,"0000"),B1875),Addendum!I:I,"X")&gt;0,10%,0)</f>
        <v>0.1</v>
      </c>
      <c r="M1875" s="34">
        <f t="shared" si="58"/>
        <v>0.03</v>
      </c>
      <c r="N1875" s="17">
        <f t="shared" si="59"/>
        <v>0</v>
      </c>
    </row>
    <row r="1876" spans="1:14" ht="30" x14ac:dyDescent="0.25">
      <c r="A1876" s="14" t="s">
        <v>250</v>
      </c>
      <c r="B1876" s="14">
        <v>14</v>
      </c>
      <c r="C1876" s="15" t="s">
        <v>2342</v>
      </c>
      <c r="D1876" s="14" t="s">
        <v>1749</v>
      </c>
      <c r="E1876" s="14" t="s">
        <v>1746</v>
      </c>
      <c r="F1876" s="17" t="s">
        <v>2994</v>
      </c>
      <c r="G1876" s="14">
        <v>0</v>
      </c>
      <c r="H1876" s="14">
        <v>0</v>
      </c>
      <c r="I1876" s="31">
        <f>IF(COUNTIFS(Addendum!C:C,A1876,Addendum!D:D,IF(ISNUMBER(B1876),TEXT(B1876,"0000"),B1876),Addendum!E:E,"X")&gt;0,4%,0)</f>
        <v>0.04</v>
      </c>
      <c r="J1876" s="31">
        <f>IF(COUNTIFS(Addendum!C:C,A1876,Addendum!D:D,IF(ISNUMBER(B1876),TEXT(B1876,"0000"),B1876),Addendum!F:F,"X")&gt;0,2.5%,0)</f>
        <v>0</v>
      </c>
      <c r="K1876" s="31">
        <f>IF(COUNTIFS(Addendum!C:C,A1876,Addendum!D:D,IF(ISNUMBER(B1876),TEXT(B1876,"0000"),B1876),Addendum!G:G,"X")&gt;0,7%,0)</f>
        <v>7.0000000000000007E-2</v>
      </c>
      <c r="L1876" s="31">
        <f>IF(COUNTIFS(Addendum!C:C,A1876,Addendum!D:D,IF(ISNUMBER(B1876),TEXT(B1876,"0000"),B1876),Addendum!I:I,"X")&gt;0,10%,0)</f>
        <v>0.1</v>
      </c>
      <c r="M1876" s="34">
        <f t="shared" si="58"/>
        <v>0.03</v>
      </c>
      <c r="N1876" s="17">
        <f t="shared" si="59"/>
        <v>0</v>
      </c>
    </row>
    <row r="1877" spans="1:14" x14ac:dyDescent="0.25">
      <c r="A1877" s="14" t="s">
        <v>287</v>
      </c>
      <c r="B1877" s="14">
        <v>5</v>
      </c>
      <c r="C1877" s="15" t="s">
        <v>2346</v>
      </c>
      <c r="D1877" s="14" t="s">
        <v>1745</v>
      </c>
      <c r="E1877" s="14" t="s">
        <v>1747</v>
      </c>
      <c r="F1877" s="17" t="s">
        <v>2994</v>
      </c>
      <c r="G1877" s="14">
        <v>0</v>
      </c>
      <c r="H1877" s="14">
        <v>0</v>
      </c>
      <c r="I1877" s="31">
        <f>IF(COUNTIFS(Addendum!C:C,A1877,Addendum!D:D,IF(ISNUMBER(B1877),TEXT(B1877,"0000"),B1877),Addendum!E:E,"X")&gt;0,4%,0)</f>
        <v>0.04</v>
      </c>
      <c r="J1877" s="31">
        <f>IF(COUNTIFS(Addendum!C:C,A1877,Addendum!D:D,IF(ISNUMBER(B1877),TEXT(B1877,"0000"),B1877),Addendum!F:F,"X")&gt;0,2.5%,0)</f>
        <v>0</v>
      </c>
      <c r="K1877" s="31">
        <f>IF(COUNTIFS(Addendum!C:C,A1877,Addendum!D:D,IF(ISNUMBER(B1877),TEXT(B1877,"0000"),B1877),Addendum!G:G,"X")&gt;0,7%,0)</f>
        <v>7.0000000000000007E-2</v>
      </c>
      <c r="L1877" s="31">
        <f>IF(COUNTIFS(Addendum!C:C,A1877,Addendum!D:D,IF(ISNUMBER(B1877),TEXT(B1877,"0000"),B1877),Addendum!I:I,"X")&gt;0,10%,0)</f>
        <v>0.1</v>
      </c>
      <c r="M1877" s="34">
        <f t="shared" si="58"/>
        <v>0.14000000000000001</v>
      </c>
      <c r="N1877" s="17">
        <f t="shared" si="59"/>
        <v>0</v>
      </c>
    </row>
    <row r="1878" spans="1:14" x14ac:dyDescent="0.25">
      <c r="A1878" s="14" t="s">
        <v>287</v>
      </c>
      <c r="B1878" s="14">
        <v>5</v>
      </c>
      <c r="C1878" s="15" t="s">
        <v>2346</v>
      </c>
      <c r="D1878" s="14" t="s">
        <v>1745</v>
      </c>
      <c r="E1878" s="14" t="s">
        <v>1746</v>
      </c>
      <c r="F1878" s="17" t="s">
        <v>2994</v>
      </c>
      <c r="G1878" s="14">
        <v>0</v>
      </c>
      <c r="H1878" s="14">
        <v>0</v>
      </c>
      <c r="I1878" s="31">
        <f>IF(COUNTIFS(Addendum!C:C,A1878,Addendum!D:D,IF(ISNUMBER(B1878),TEXT(B1878,"0000"),B1878),Addendum!E:E,"X")&gt;0,4%,0)</f>
        <v>0.04</v>
      </c>
      <c r="J1878" s="31">
        <f>IF(COUNTIFS(Addendum!C:C,A1878,Addendum!D:D,IF(ISNUMBER(B1878),TEXT(B1878,"0000"),B1878),Addendum!F:F,"X")&gt;0,2.5%,0)</f>
        <v>0</v>
      </c>
      <c r="K1878" s="31">
        <f>IF(COUNTIFS(Addendum!C:C,A1878,Addendum!D:D,IF(ISNUMBER(B1878),TEXT(B1878,"0000"),B1878),Addendum!G:G,"X")&gt;0,7%,0)</f>
        <v>7.0000000000000007E-2</v>
      </c>
      <c r="L1878" s="31">
        <f>IF(COUNTIFS(Addendum!C:C,A1878,Addendum!D:D,IF(ISNUMBER(B1878),TEXT(B1878,"0000"),B1878),Addendum!I:I,"X")&gt;0,10%,0)</f>
        <v>0.1</v>
      </c>
      <c r="M1878" s="34">
        <f t="shared" si="58"/>
        <v>0.03</v>
      </c>
      <c r="N1878" s="17">
        <f t="shared" si="59"/>
        <v>0</v>
      </c>
    </row>
    <row r="1879" spans="1:14" x14ac:dyDescent="0.25">
      <c r="A1879" s="14" t="s">
        <v>287</v>
      </c>
      <c r="B1879" s="14">
        <v>5</v>
      </c>
      <c r="C1879" s="15" t="s">
        <v>2346</v>
      </c>
      <c r="D1879" s="14" t="s">
        <v>1749</v>
      </c>
      <c r="E1879" s="14" t="s">
        <v>1746</v>
      </c>
      <c r="F1879" s="17" t="s">
        <v>2994</v>
      </c>
      <c r="G1879" s="14">
        <v>0</v>
      </c>
      <c r="H1879" s="14">
        <v>0</v>
      </c>
      <c r="I1879" s="31">
        <f>IF(COUNTIFS(Addendum!C:C,A1879,Addendum!D:D,IF(ISNUMBER(B1879),TEXT(B1879,"0000"),B1879),Addendum!E:E,"X")&gt;0,4%,0)</f>
        <v>0.04</v>
      </c>
      <c r="J1879" s="31">
        <f>IF(COUNTIFS(Addendum!C:C,A1879,Addendum!D:D,IF(ISNUMBER(B1879),TEXT(B1879,"0000"),B1879),Addendum!F:F,"X")&gt;0,2.5%,0)</f>
        <v>0</v>
      </c>
      <c r="K1879" s="31">
        <f>IF(COUNTIFS(Addendum!C:C,A1879,Addendum!D:D,IF(ISNUMBER(B1879),TEXT(B1879,"0000"),B1879),Addendum!G:G,"X")&gt;0,7%,0)</f>
        <v>7.0000000000000007E-2</v>
      </c>
      <c r="L1879" s="31">
        <f>IF(COUNTIFS(Addendum!C:C,A1879,Addendum!D:D,IF(ISNUMBER(B1879),TEXT(B1879,"0000"),B1879),Addendum!I:I,"X")&gt;0,10%,0)</f>
        <v>0.1</v>
      </c>
      <c r="M1879" s="34">
        <f t="shared" si="58"/>
        <v>0.03</v>
      </c>
      <c r="N1879" s="17">
        <f t="shared" si="59"/>
        <v>0</v>
      </c>
    </row>
    <row r="1880" spans="1:14" x14ac:dyDescent="0.25">
      <c r="A1880" s="14" t="s">
        <v>2347</v>
      </c>
      <c r="B1880" s="14">
        <v>1</v>
      </c>
      <c r="C1880" s="15" t="s">
        <v>2348</v>
      </c>
      <c r="D1880" s="14" t="s">
        <v>1749</v>
      </c>
      <c r="E1880" s="14" t="s">
        <v>1746</v>
      </c>
      <c r="F1880" s="17" t="s">
        <v>2993</v>
      </c>
      <c r="G1880" s="14">
        <v>906</v>
      </c>
      <c r="H1880" s="14">
        <v>724.8</v>
      </c>
      <c r="I1880" s="31">
        <f>IF(COUNTIFS(Addendum!C:C,A1880,Addendum!D:D,IF(ISNUMBER(B1880),TEXT(B1880,"0000"),B1880),Addendum!E:E,"X")&gt;0,4%,0)</f>
        <v>0</v>
      </c>
      <c r="J1880" s="31">
        <f>IF(COUNTIFS(Addendum!C:C,A1880,Addendum!D:D,IF(ISNUMBER(B1880),TEXT(B1880,"0000"),B1880),Addendum!F:F,"X")&gt;0,2.5%,0)</f>
        <v>0</v>
      </c>
      <c r="K1880" s="31">
        <f>IF(COUNTIFS(Addendum!C:C,A1880,Addendum!D:D,IF(ISNUMBER(B1880),TEXT(B1880,"0000"),B1880),Addendum!G:G,"X")&gt;0,7%,0)</f>
        <v>0</v>
      </c>
      <c r="L1880" s="31">
        <f>IF(COUNTIFS(Addendum!C:C,A1880,Addendum!D:D,IF(ISNUMBER(B1880),TEXT(B1880,"0000"),B1880),Addendum!I:I,"X")&gt;0,10%,0)</f>
        <v>0</v>
      </c>
      <c r="M1880" s="34">
        <f t="shared" si="58"/>
        <v>0</v>
      </c>
      <c r="N1880" s="17">
        <f t="shared" si="59"/>
        <v>724.8</v>
      </c>
    </row>
    <row r="1881" spans="1:14" x14ac:dyDescent="0.25">
      <c r="A1881" s="14" t="s">
        <v>2347</v>
      </c>
      <c r="B1881" s="14">
        <v>1</v>
      </c>
      <c r="C1881" s="15" t="s">
        <v>2348</v>
      </c>
      <c r="D1881" s="14" t="s">
        <v>1745</v>
      </c>
      <c r="E1881" s="14" t="s">
        <v>1746</v>
      </c>
      <c r="F1881" s="17" t="s">
        <v>2993</v>
      </c>
      <c r="G1881" s="14">
        <v>9513</v>
      </c>
      <c r="H1881" s="14">
        <v>7610.4</v>
      </c>
      <c r="I1881" s="31">
        <f>IF(COUNTIFS(Addendum!C:C,A1881,Addendum!D:D,IF(ISNUMBER(B1881),TEXT(B1881,"0000"),B1881),Addendum!E:E,"X")&gt;0,4%,0)</f>
        <v>0</v>
      </c>
      <c r="J1881" s="31">
        <f>IF(COUNTIFS(Addendum!C:C,A1881,Addendum!D:D,IF(ISNUMBER(B1881),TEXT(B1881,"0000"),B1881),Addendum!F:F,"X")&gt;0,2.5%,0)</f>
        <v>0</v>
      </c>
      <c r="K1881" s="31">
        <f>IF(COUNTIFS(Addendum!C:C,A1881,Addendum!D:D,IF(ISNUMBER(B1881),TEXT(B1881,"0000"),B1881),Addendum!G:G,"X")&gt;0,7%,0)</f>
        <v>0</v>
      </c>
      <c r="L1881" s="31">
        <f>IF(COUNTIFS(Addendum!C:C,A1881,Addendum!D:D,IF(ISNUMBER(B1881),TEXT(B1881,"0000"),B1881),Addendum!I:I,"X")&gt;0,10%,0)</f>
        <v>0</v>
      </c>
      <c r="M1881" s="34">
        <f t="shared" si="58"/>
        <v>0</v>
      </c>
      <c r="N1881" s="17">
        <f t="shared" si="59"/>
        <v>7610.4</v>
      </c>
    </row>
    <row r="1882" spans="1:14" x14ac:dyDescent="0.25">
      <c r="A1882" s="14" t="s">
        <v>2347</v>
      </c>
      <c r="B1882" s="14">
        <v>1</v>
      </c>
      <c r="C1882" s="15" t="s">
        <v>2348</v>
      </c>
      <c r="D1882" s="14" t="s">
        <v>1745</v>
      </c>
      <c r="E1882" s="14" t="s">
        <v>1747</v>
      </c>
      <c r="F1882" s="17" t="s">
        <v>2993</v>
      </c>
      <c r="G1882" s="14">
        <v>9060</v>
      </c>
      <c r="H1882" s="14">
        <v>7248</v>
      </c>
      <c r="I1882" s="31">
        <f>IF(COUNTIFS(Addendum!C:C,A1882,Addendum!D:D,IF(ISNUMBER(B1882),TEXT(B1882,"0000"),B1882),Addendum!E:E,"X")&gt;0,4%,0)</f>
        <v>0</v>
      </c>
      <c r="J1882" s="31">
        <f>IF(COUNTIFS(Addendum!C:C,A1882,Addendum!D:D,IF(ISNUMBER(B1882),TEXT(B1882,"0000"),B1882),Addendum!F:F,"X")&gt;0,2.5%,0)</f>
        <v>0</v>
      </c>
      <c r="K1882" s="31">
        <f>IF(COUNTIFS(Addendum!C:C,A1882,Addendum!D:D,IF(ISNUMBER(B1882),TEXT(B1882,"0000"),B1882),Addendum!G:G,"X")&gt;0,7%,0)</f>
        <v>0</v>
      </c>
      <c r="L1882" s="31">
        <f>IF(COUNTIFS(Addendum!C:C,A1882,Addendum!D:D,IF(ISNUMBER(B1882),TEXT(B1882,"0000"),B1882),Addendum!I:I,"X")&gt;0,10%,0)</f>
        <v>0</v>
      </c>
      <c r="M1882" s="34">
        <f t="shared" si="58"/>
        <v>0</v>
      </c>
      <c r="N1882" s="17">
        <f t="shared" si="59"/>
        <v>7248</v>
      </c>
    </row>
    <row r="1883" spans="1:14" x14ac:dyDescent="0.25">
      <c r="A1883" s="14" t="s">
        <v>2349</v>
      </c>
      <c r="B1883" s="14" t="s">
        <v>235</v>
      </c>
      <c r="C1883" s="15" t="s">
        <v>2350</v>
      </c>
      <c r="D1883" s="14" t="s">
        <v>1745</v>
      </c>
      <c r="E1883" s="14" t="s">
        <v>1747</v>
      </c>
      <c r="F1883" s="17" t="s">
        <v>2994</v>
      </c>
      <c r="G1883" s="14">
        <v>0</v>
      </c>
      <c r="H1883" s="14">
        <v>0</v>
      </c>
      <c r="I1883" s="31">
        <f>IF(COUNTIFS(Addendum!C:C,A1883,Addendum!D:D,IF(ISNUMBER(B1883),TEXT(B1883,"0000"),B1883),Addendum!E:E,"X")&gt;0,4%,0)</f>
        <v>0</v>
      </c>
      <c r="J1883" s="31">
        <f>IF(COUNTIFS(Addendum!C:C,A1883,Addendum!D:D,IF(ISNUMBER(B1883),TEXT(B1883,"0000"),B1883),Addendum!F:F,"X")&gt;0,2.5%,0)</f>
        <v>0</v>
      </c>
      <c r="K1883" s="31">
        <f>IF(COUNTIFS(Addendum!C:C,A1883,Addendum!D:D,IF(ISNUMBER(B1883),TEXT(B1883,"0000"),B1883),Addendum!G:G,"X")&gt;0,7%,0)</f>
        <v>0</v>
      </c>
      <c r="L1883" s="31">
        <f>IF(COUNTIFS(Addendum!C:C,A1883,Addendum!D:D,IF(ISNUMBER(B1883),TEXT(B1883,"0000"),B1883),Addendum!I:I,"X")&gt;0,10%,0)</f>
        <v>0</v>
      </c>
      <c r="M1883" s="34">
        <f t="shared" si="58"/>
        <v>0</v>
      </c>
      <c r="N1883" s="17">
        <f t="shared" si="59"/>
        <v>0</v>
      </c>
    </row>
    <row r="1884" spans="1:14" x14ac:dyDescent="0.25">
      <c r="A1884" s="14" t="s">
        <v>2349</v>
      </c>
      <c r="B1884" s="14" t="s">
        <v>608</v>
      </c>
      <c r="C1884" s="15" t="s">
        <v>2351</v>
      </c>
      <c r="D1884" s="14" t="s">
        <v>1749</v>
      </c>
      <c r="E1884" s="14" t="s">
        <v>1746</v>
      </c>
      <c r="F1884" s="17" t="s">
        <v>2994</v>
      </c>
      <c r="G1884" s="14">
        <v>174</v>
      </c>
      <c r="H1884" s="14">
        <v>139.19999999999999</v>
      </c>
      <c r="I1884" s="31">
        <f>IF(COUNTIFS(Addendum!C:C,A1884,Addendum!D:D,IF(ISNUMBER(B1884),TEXT(B1884,"0000"),B1884),Addendum!E:E,"X")&gt;0,4%,0)</f>
        <v>0</v>
      </c>
      <c r="J1884" s="31">
        <f>IF(COUNTIFS(Addendum!C:C,A1884,Addendum!D:D,IF(ISNUMBER(B1884),TEXT(B1884,"0000"),B1884),Addendum!F:F,"X")&gt;0,2.5%,0)</f>
        <v>0</v>
      </c>
      <c r="K1884" s="31">
        <f>IF(COUNTIFS(Addendum!C:C,A1884,Addendum!D:D,IF(ISNUMBER(B1884),TEXT(B1884,"0000"),B1884),Addendum!G:G,"X")&gt;0,7%,0)</f>
        <v>0</v>
      </c>
      <c r="L1884" s="31">
        <f>IF(COUNTIFS(Addendum!C:C,A1884,Addendum!D:D,IF(ISNUMBER(B1884),TEXT(B1884,"0000"),B1884),Addendum!I:I,"X")&gt;0,10%,0)</f>
        <v>0</v>
      </c>
      <c r="M1884" s="34">
        <f t="shared" si="58"/>
        <v>0</v>
      </c>
      <c r="N1884" s="17">
        <f t="shared" si="59"/>
        <v>139.19999999999999</v>
      </c>
    </row>
    <row r="1885" spans="1:14" x14ac:dyDescent="0.25">
      <c r="A1885" s="14" t="s">
        <v>2349</v>
      </c>
      <c r="B1885" s="14" t="s">
        <v>608</v>
      </c>
      <c r="C1885" s="15" t="s">
        <v>2351</v>
      </c>
      <c r="D1885" s="14" t="s">
        <v>1745</v>
      </c>
      <c r="E1885" s="14" t="s">
        <v>1747</v>
      </c>
      <c r="F1885" s="17" t="s">
        <v>2994</v>
      </c>
      <c r="G1885" s="14">
        <v>1740</v>
      </c>
      <c r="H1885" s="14">
        <v>1392</v>
      </c>
      <c r="I1885" s="31">
        <f>IF(COUNTIFS(Addendum!C:C,A1885,Addendum!D:D,IF(ISNUMBER(B1885),TEXT(B1885,"0000"),B1885),Addendum!E:E,"X")&gt;0,4%,0)</f>
        <v>0</v>
      </c>
      <c r="J1885" s="31">
        <f>IF(COUNTIFS(Addendum!C:C,A1885,Addendum!D:D,IF(ISNUMBER(B1885),TEXT(B1885,"0000"),B1885),Addendum!F:F,"X")&gt;0,2.5%,0)</f>
        <v>0</v>
      </c>
      <c r="K1885" s="31">
        <f>IF(COUNTIFS(Addendum!C:C,A1885,Addendum!D:D,IF(ISNUMBER(B1885),TEXT(B1885,"0000"),B1885),Addendum!G:G,"X")&gt;0,7%,0)</f>
        <v>0</v>
      </c>
      <c r="L1885" s="31">
        <f>IF(COUNTIFS(Addendum!C:C,A1885,Addendum!D:D,IF(ISNUMBER(B1885),TEXT(B1885,"0000"),B1885),Addendum!I:I,"X")&gt;0,10%,0)</f>
        <v>0</v>
      </c>
      <c r="M1885" s="34">
        <f t="shared" si="58"/>
        <v>0</v>
      </c>
      <c r="N1885" s="17">
        <f t="shared" si="59"/>
        <v>1392</v>
      </c>
    </row>
    <row r="1886" spans="1:14" x14ac:dyDescent="0.25">
      <c r="A1886" s="14" t="s">
        <v>2349</v>
      </c>
      <c r="B1886" s="14">
        <v>1</v>
      </c>
      <c r="C1886" s="15" t="s">
        <v>2352</v>
      </c>
      <c r="D1886" s="14" t="s">
        <v>1745</v>
      </c>
      <c r="E1886" s="14" t="s">
        <v>1746</v>
      </c>
      <c r="F1886" s="17" t="s">
        <v>2993</v>
      </c>
      <c r="G1886" s="14">
        <v>14679</v>
      </c>
      <c r="H1886" s="14">
        <v>11743.2</v>
      </c>
      <c r="I1886" s="31">
        <f>IF(COUNTIFS(Addendum!C:C,A1886,Addendum!D:D,IF(ISNUMBER(B1886),TEXT(B1886,"0000"),B1886),Addendum!E:E,"X")&gt;0,4%,0)</f>
        <v>0</v>
      </c>
      <c r="J1886" s="31">
        <f>IF(COUNTIFS(Addendum!C:C,A1886,Addendum!D:D,IF(ISNUMBER(B1886),TEXT(B1886,"0000"),B1886),Addendum!F:F,"X")&gt;0,2.5%,0)</f>
        <v>0</v>
      </c>
      <c r="K1886" s="31">
        <f>IF(COUNTIFS(Addendum!C:C,A1886,Addendum!D:D,IF(ISNUMBER(B1886),TEXT(B1886,"0000"),B1886),Addendum!G:G,"X")&gt;0,7%,0)</f>
        <v>0</v>
      </c>
      <c r="L1886" s="31">
        <f>IF(COUNTIFS(Addendum!C:C,A1886,Addendum!D:D,IF(ISNUMBER(B1886),TEXT(B1886,"0000"),B1886),Addendum!I:I,"X")&gt;0,10%,0)</f>
        <v>0</v>
      </c>
      <c r="M1886" s="34">
        <f t="shared" si="58"/>
        <v>0</v>
      </c>
      <c r="N1886" s="17">
        <f t="shared" si="59"/>
        <v>11743.2</v>
      </c>
    </row>
    <row r="1887" spans="1:14" x14ac:dyDescent="0.25">
      <c r="A1887" s="14" t="s">
        <v>2349</v>
      </c>
      <c r="B1887" s="14" t="s">
        <v>263</v>
      </c>
      <c r="C1887" s="15" t="s">
        <v>2353</v>
      </c>
      <c r="D1887" s="14" t="s">
        <v>1745</v>
      </c>
      <c r="E1887" s="14" t="s">
        <v>1747</v>
      </c>
      <c r="F1887" s="17" t="s">
        <v>2994</v>
      </c>
      <c r="G1887" s="14">
        <v>2220</v>
      </c>
      <c r="H1887" s="14">
        <v>1776</v>
      </c>
      <c r="I1887" s="31">
        <f>IF(COUNTIFS(Addendum!C:C,A1887,Addendum!D:D,IF(ISNUMBER(B1887),TEXT(B1887,"0000"),B1887),Addendum!E:E,"X")&gt;0,4%,0)</f>
        <v>0</v>
      </c>
      <c r="J1887" s="31">
        <f>IF(COUNTIFS(Addendum!C:C,A1887,Addendum!D:D,IF(ISNUMBER(B1887),TEXT(B1887,"0000"),B1887),Addendum!F:F,"X")&gt;0,2.5%,0)</f>
        <v>0</v>
      </c>
      <c r="K1887" s="31">
        <f>IF(COUNTIFS(Addendum!C:C,A1887,Addendum!D:D,IF(ISNUMBER(B1887),TEXT(B1887,"0000"),B1887),Addendum!G:G,"X")&gt;0,7%,0)</f>
        <v>0</v>
      </c>
      <c r="L1887" s="31">
        <f>IF(COUNTIFS(Addendum!C:C,A1887,Addendum!D:D,IF(ISNUMBER(B1887),TEXT(B1887,"0000"),B1887),Addendum!I:I,"X")&gt;0,10%,0)</f>
        <v>0</v>
      </c>
      <c r="M1887" s="34">
        <f t="shared" si="58"/>
        <v>0</v>
      </c>
      <c r="N1887" s="17">
        <f t="shared" si="59"/>
        <v>1776</v>
      </c>
    </row>
    <row r="1888" spans="1:14" x14ac:dyDescent="0.25">
      <c r="A1888" s="14" t="s">
        <v>2349</v>
      </c>
      <c r="B1888" s="14" t="s">
        <v>470</v>
      </c>
      <c r="C1888" s="15" t="s">
        <v>2354</v>
      </c>
      <c r="D1888" s="14" t="s">
        <v>1745</v>
      </c>
      <c r="E1888" s="14" t="s">
        <v>1746</v>
      </c>
      <c r="F1888" s="17" t="s">
        <v>2995</v>
      </c>
      <c r="G1888" s="14">
        <v>3654</v>
      </c>
      <c r="H1888" s="14">
        <v>3288.6</v>
      </c>
      <c r="I1888" s="31">
        <f>IF(COUNTIFS(Addendum!C:C,A1888,Addendum!D:D,IF(ISNUMBER(B1888),TEXT(B1888,"0000"),B1888),Addendum!E:E,"X")&gt;0,4%,0)</f>
        <v>0</v>
      </c>
      <c r="J1888" s="31">
        <f>IF(COUNTIFS(Addendum!C:C,A1888,Addendum!D:D,IF(ISNUMBER(B1888),TEXT(B1888,"0000"),B1888),Addendum!F:F,"X")&gt;0,2.5%,0)</f>
        <v>0</v>
      </c>
      <c r="K1888" s="31">
        <f>IF(COUNTIFS(Addendum!C:C,A1888,Addendum!D:D,IF(ISNUMBER(B1888),TEXT(B1888,"0000"),B1888),Addendum!G:G,"X")&gt;0,7%,0)</f>
        <v>0</v>
      </c>
      <c r="L1888" s="31">
        <f>IF(COUNTIFS(Addendum!C:C,A1888,Addendum!D:D,IF(ISNUMBER(B1888),TEXT(B1888,"0000"),B1888),Addendum!I:I,"X")&gt;0,10%,0)</f>
        <v>0</v>
      </c>
      <c r="M1888" s="34">
        <f t="shared" si="58"/>
        <v>0</v>
      </c>
      <c r="N1888" s="17">
        <f t="shared" si="59"/>
        <v>3288.6</v>
      </c>
    </row>
    <row r="1889" spans="1:14" x14ac:dyDescent="0.25">
      <c r="A1889" s="14" t="s">
        <v>2349</v>
      </c>
      <c r="B1889" s="14" t="s">
        <v>235</v>
      </c>
      <c r="C1889" s="15" t="s">
        <v>2350</v>
      </c>
      <c r="D1889" s="14" t="s">
        <v>1745</v>
      </c>
      <c r="E1889" s="14" t="s">
        <v>1746</v>
      </c>
      <c r="F1889" s="17" t="s">
        <v>2994</v>
      </c>
      <c r="G1889" s="14">
        <v>0</v>
      </c>
      <c r="H1889" s="14">
        <v>0</v>
      </c>
      <c r="I1889" s="31">
        <f>IF(COUNTIFS(Addendum!C:C,A1889,Addendum!D:D,IF(ISNUMBER(B1889),TEXT(B1889,"0000"),B1889),Addendum!E:E,"X")&gt;0,4%,0)</f>
        <v>0</v>
      </c>
      <c r="J1889" s="31">
        <f>IF(COUNTIFS(Addendum!C:C,A1889,Addendum!D:D,IF(ISNUMBER(B1889),TEXT(B1889,"0000"),B1889),Addendum!F:F,"X")&gt;0,2.5%,0)</f>
        <v>0</v>
      </c>
      <c r="K1889" s="31">
        <f>IF(COUNTIFS(Addendum!C:C,A1889,Addendum!D:D,IF(ISNUMBER(B1889),TEXT(B1889,"0000"),B1889),Addendum!G:G,"X")&gt;0,7%,0)</f>
        <v>0</v>
      </c>
      <c r="L1889" s="31">
        <f>IF(COUNTIFS(Addendum!C:C,A1889,Addendum!D:D,IF(ISNUMBER(B1889),TEXT(B1889,"0000"),B1889),Addendum!I:I,"X")&gt;0,10%,0)</f>
        <v>0</v>
      </c>
      <c r="M1889" s="34">
        <f t="shared" si="58"/>
        <v>0</v>
      </c>
      <c r="N1889" s="17">
        <f t="shared" si="59"/>
        <v>0</v>
      </c>
    </row>
    <row r="1890" spans="1:14" x14ac:dyDescent="0.25">
      <c r="A1890" s="14" t="s">
        <v>2349</v>
      </c>
      <c r="B1890" s="14" t="s">
        <v>608</v>
      </c>
      <c r="C1890" s="15" t="s">
        <v>2351</v>
      </c>
      <c r="D1890" s="14" t="s">
        <v>1745</v>
      </c>
      <c r="E1890" s="14" t="s">
        <v>1746</v>
      </c>
      <c r="F1890" s="17" t="s">
        <v>2994</v>
      </c>
      <c r="G1890" s="14">
        <v>1827</v>
      </c>
      <c r="H1890" s="14">
        <v>1461.6</v>
      </c>
      <c r="I1890" s="31">
        <f>IF(COUNTIFS(Addendum!C:C,A1890,Addendum!D:D,IF(ISNUMBER(B1890),TEXT(B1890,"0000"),B1890),Addendum!E:E,"X")&gt;0,4%,0)</f>
        <v>0</v>
      </c>
      <c r="J1890" s="31">
        <f>IF(COUNTIFS(Addendum!C:C,A1890,Addendum!D:D,IF(ISNUMBER(B1890),TEXT(B1890,"0000"),B1890),Addendum!F:F,"X")&gt;0,2.5%,0)</f>
        <v>0</v>
      </c>
      <c r="K1890" s="31">
        <f>IF(COUNTIFS(Addendum!C:C,A1890,Addendum!D:D,IF(ISNUMBER(B1890),TEXT(B1890,"0000"),B1890),Addendum!G:G,"X")&gt;0,7%,0)</f>
        <v>0</v>
      </c>
      <c r="L1890" s="31">
        <f>IF(COUNTIFS(Addendum!C:C,A1890,Addendum!D:D,IF(ISNUMBER(B1890),TEXT(B1890,"0000"),B1890),Addendum!I:I,"X")&gt;0,10%,0)</f>
        <v>0</v>
      </c>
      <c r="M1890" s="34">
        <f t="shared" si="58"/>
        <v>0</v>
      </c>
      <c r="N1890" s="17">
        <f t="shared" si="59"/>
        <v>1461.6</v>
      </c>
    </row>
    <row r="1891" spans="1:14" x14ac:dyDescent="0.25">
      <c r="A1891" s="14" t="s">
        <v>2349</v>
      </c>
      <c r="B1891" s="14">
        <v>24</v>
      </c>
      <c r="C1891" s="15" t="s">
        <v>2354</v>
      </c>
      <c r="D1891" s="14" t="s">
        <v>1749</v>
      </c>
      <c r="E1891" s="14" t="s">
        <v>1766</v>
      </c>
      <c r="F1891" s="17" t="s">
        <v>2995</v>
      </c>
      <c r="G1891" s="14">
        <v>0</v>
      </c>
      <c r="H1891" s="14">
        <v>0</v>
      </c>
      <c r="I1891" s="31">
        <f>IF(COUNTIFS(Addendum!C:C,A1891,Addendum!D:D,IF(ISNUMBER(B1891),TEXT(B1891,"0000"),B1891),Addendum!E:E,"X")&gt;0,4%,0)</f>
        <v>0</v>
      </c>
      <c r="J1891" s="31">
        <f>IF(COUNTIFS(Addendum!C:C,A1891,Addendum!D:D,IF(ISNUMBER(B1891),TEXT(B1891,"0000"),B1891),Addendum!F:F,"X")&gt;0,2.5%,0)</f>
        <v>0</v>
      </c>
      <c r="K1891" s="31">
        <f>IF(COUNTIFS(Addendum!C:C,A1891,Addendum!D:D,IF(ISNUMBER(B1891),TEXT(B1891,"0000"),B1891),Addendum!G:G,"X")&gt;0,7%,0)</f>
        <v>0</v>
      </c>
      <c r="L1891" s="31">
        <f>IF(COUNTIFS(Addendum!C:C,A1891,Addendum!D:D,IF(ISNUMBER(B1891),TEXT(B1891,"0000"),B1891),Addendum!I:I,"X")&gt;0,10%,0)</f>
        <v>0</v>
      </c>
      <c r="M1891" s="34">
        <f t="shared" si="58"/>
        <v>0</v>
      </c>
      <c r="N1891" s="17">
        <f t="shared" si="59"/>
        <v>0</v>
      </c>
    </row>
    <row r="1892" spans="1:14" x14ac:dyDescent="0.25">
      <c r="A1892" s="14" t="s">
        <v>2349</v>
      </c>
      <c r="B1892" s="14">
        <v>1</v>
      </c>
      <c r="C1892" s="15" t="s">
        <v>2352</v>
      </c>
      <c r="D1892" s="14" t="s">
        <v>1749</v>
      </c>
      <c r="E1892" s="14" t="s">
        <v>1746</v>
      </c>
      <c r="F1892" s="17" t="s">
        <v>2993</v>
      </c>
      <c r="G1892" s="14">
        <v>1398</v>
      </c>
      <c r="H1892" s="14">
        <v>1118.4000000000001</v>
      </c>
      <c r="I1892" s="31">
        <f>IF(COUNTIFS(Addendum!C:C,A1892,Addendum!D:D,IF(ISNUMBER(B1892),TEXT(B1892,"0000"),B1892),Addendum!E:E,"X")&gt;0,4%,0)</f>
        <v>0</v>
      </c>
      <c r="J1892" s="31">
        <f>IF(COUNTIFS(Addendum!C:C,A1892,Addendum!D:D,IF(ISNUMBER(B1892),TEXT(B1892,"0000"),B1892),Addendum!F:F,"X")&gt;0,2.5%,0)</f>
        <v>0</v>
      </c>
      <c r="K1892" s="31">
        <f>IF(COUNTIFS(Addendum!C:C,A1892,Addendum!D:D,IF(ISNUMBER(B1892),TEXT(B1892,"0000"),B1892),Addendum!G:G,"X")&gt;0,7%,0)</f>
        <v>0</v>
      </c>
      <c r="L1892" s="31">
        <f>IF(COUNTIFS(Addendum!C:C,A1892,Addendum!D:D,IF(ISNUMBER(B1892),TEXT(B1892,"0000"),B1892),Addendum!I:I,"X")&gt;0,10%,0)</f>
        <v>0</v>
      </c>
      <c r="M1892" s="34">
        <f t="shared" si="58"/>
        <v>0</v>
      </c>
      <c r="N1892" s="17">
        <f t="shared" si="59"/>
        <v>1118.4000000000001</v>
      </c>
    </row>
    <row r="1893" spans="1:14" x14ac:dyDescent="0.25">
      <c r="A1893" s="14" t="s">
        <v>2349</v>
      </c>
      <c r="B1893" s="14" t="s">
        <v>263</v>
      </c>
      <c r="C1893" s="15" t="s">
        <v>2353</v>
      </c>
      <c r="D1893" s="14" t="s">
        <v>1745</v>
      </c>
      <c r="E1893" s="14" t="s">
        <v>1746</v>
      </c>
      <c r="F1893" s="17" t="s">
        <v>2994</v>
      </c>
      <c r="G1893" s="14">
        <v>2331</v>
      </c>
      <c r="H1893" s="14">
        <v>1864.8</v>
      </c>
      <c r="I1893" s="31">
        <f>IF(COUNTIFS(Addendum!C:C,A1893,Addendum!D:D,IF(ISNUMBER(B1893),TEXT(B1893,"0000"),B1893),Addendum!E:E,"X")&gt;0,4%,0)</f>
        <v>0</v>
      </c>
      <c r="J1893" s="31">
        <f>IF(COUNTIFS(Addendum!C:C,A1893,Addendum!D:D,IF(ISNUMBER(B1893),TEXT(B1893,"0000"),B1893),Addendum!F:F,"X")&gt;0,2.5%,0)</f>
        <v>0</v>
      </c>
      <c r="K1893" s="31">
        <f>IF(COUNTIFS(Addendum!C:C,A1893,Addendum!D:D,IF(ISNUMBER(B1893),TEXT(B1893,"0000"),B1893),Addendum!G:G,"X")&gt;0,7%,0)</f>
        <v>0</v>
      </c>
      <c r="L1893" s="31">
        <f>IF(COUNTIFS(Addendum!C:C,A1893,Addendum!D:D,IF(ISNUMBER(B1893),TEXT(B1893,"0000"),B1893),Addendum!I:I,"X")&gt;0,10%,0)</f>
        <v>0</v>
      </c>
      <c r="M1893" s="34">
        <f t="shared" si="58"/>
        <v>0</v>
      </c>
      <c r="N1893" s="17">
        <f t="shared" si="59"/>
        <v>1864.8</v>
      </c>
    </row>
    <row r="1894" spans="1:14" x14ac:dyDescent="0.25">
      <c r="A1894" s="14" t="s">
        <v>2349</v>
      </c>
      <c r="B1894" s="14" t="s">
        <v>263</v>
      </c>
      <c r="C1894" s="15" t="s">
        <v>2353</v>
      </c>
      <c r="D1894" s="14" t="s">
        <v>1749</v>
      </c>
      <c r="E1894" s="14" t="s">
        <v>1746</v>
      </c>
      <c r="F1894" s="17" t="s">
        <v>2994</v>
      </c>
      <c r="G1894" s="14">
        <v>222</v>
      </c>
      <c r="H1894" s="14">
        <v>177.6</v>
      </c>
      <c r="I1894" s="31">
        <f>IF(COUNTIFS(Addendum!C:C,A1894,Addendum!D:D,IF(ISNUMBER(B1894),TEXT(B1894,"0000"),B1894),Addendum!E:E,"X")&gt;0,4%,0)</f>
        <v>0</v>
      </c>
      <c r="J1894" s="31">
        <f>IF(COUNTIFS(Addendum!C:C,A1894,Addendum!D:D,IF(ISNUMBER(B1894),TEXT(B1894,"0000"),B1894),Addendum!F:F,"X")&gt;0,2.5%,0)</f>
        <v>0</v>
      </c>
      <c r="K1894" s="31">
        <f>IF(COUNTIFS(Addendum!C:C,A1894,Addendum!D:D,IF(ISNUMBER(B1894),TEXT(B1894,"0000"),B1894),Addendum!G:G,"X")&gt;0,7%,0)</f>
        <v>0</v>
      </c>
      <c r="L1894" s="31">
        <f>IF(COUNTIFS(Addendum!C:C,A1894,Addendum!D:D,IF(ISNUMBER(B1894),TEXT(B1894,"0000"),B1894),Addendum!I:I,"X")&gt;0,10%,0)</f>
        <v>0</v>
      </c>
      <c r="M1894" s="34">
        <f t="shared" si="58"/>
        <v>0</v>
      </c>
      <c r="N1894" s="17">
        <f t="shared" si="59"/>
        <v>177.6</v>
      </c>
    </row>
    <row r="1895" spans="1:14" x14ac:dyDescent="0.25">
      <c r="A1895" s="14" t="s">
        <v>2349</v>
      </c>
      <c r="B1895" s="14">
        <v>1</v>
      </c>
      <c r="C1895" s="15" t="s">
        <v>2352</v>
      </c>
      <c r="D1895" s="14" t="s">
        <v>1745</v>
      </c>
      <c r="E1895" s="14" t="s">
        <v>1747</v>
      </c>
      <c r="F1895" s="17" t="s">
        <v>2993</v>
      </c>
      <c r="G1895" s="14">
        <v>13980</v>
      </c>
      <c r="H1895" s="14">
        <v>11184</v>
      </c>
      <c r="I1895" s="31">
        <f>IF(COUNTIFS(Addendum!C:C,A1895,Addendum!D:D,IF(ISNUMBER(B1895),TEXT(B1895,"0000"),B1895),Addendum!E:E,"X")&gt;0,4%,0)</f>
        <v>0</v>
      </c>
      <c r="J1895" s="31">
        <f>IF(COUNTIFS(Addendum!C:C,A1895,Addendum!D:D,IF(ISNUMBER(B1895),TEXT(B1895,"0000"),B1895),Addendum!F:F,"X")&gt;0,2.5%,0)</f>
        <v>0</v>
      </c>
      <c r="K1895" s="31">
        <f>IF(COUNTIFS(Addendum!C:C,A1895,Addendum!D:D,IF(ISNUMBER(B1895),TEXT(B1895,"0000"),B1895),Addendum!G:G,"X")&gt;0,7%,0)</f>
        <v>0</v>
      </c>
      <c r="L1895" s="31">
        <f>IF(COUNTIFS(Addendum!C:C,A1895,Addendum!D:D,IF(ISNUMBER(B1895),TEXT(B1895,"0000"),B1895),Addendum!I:I,"X")&gt;0,10%,0)</f>
        <v>0</v>
      </c>
      <c r="M1895" s="34">
        <f t="shared" si="58"/>
        <v>0</v>
      </c>
      <c r="N1895" s="17">
        <f t="shared" si="59"/>
        <v>11184</v>
      </c>
    </row>
    <row r="1896" spans="1:14" x14ac:dyDescent="0.25">
      <c r="A1896" s="14" t="s">
        <v>2349</v>
      </c>
      <c r="B1896" s="14" t="s">
        <v>470</v>
      </c>
      <c r="C1896" s="15" t="s">
        <v>2354</v>
      </c>
      <c r="D1896" s="14" t="s">
        <v>1745</v>
      </c>
      <c r="E1896" s="14" t="s">
        <v>1747</v>
      </c>
      <c r="F1896" s="17" t="s">
        <v>2995</v>
      </c>
      <c r="G1896" s="14">
        <v>3480</v>
      </c>
      <c r="H1896" s="14">
        <v>3132</v>
      </c>
      <c r="I1896" s="31">
        <f>IF(COUNTIFS(Addendum!C:C,A1896,Addendum!D:D,IF(ISNUMBER(B1896),TEXT(B1896,"0000"),B1896),Addendum!E:E,"X")&gt;0,4%,0)</f>
        <v>0</v>
      </c>
      <c r="J1896" s="31">
        <f>IF(COUNTIFS(Addendum!C:C,A1896,Addendum!D:D,IF(ISNUMBER(B1896),TEXT(B1896,"0000"),B1896),Addendum!F:F,"X")&gt;0,2.5%,0)</f>
        <v>0</v>
      </c>
      <c r="K1896" s="31">
        <f>IF(COUNTIFS(Addendum!C:C,A1896,Addendum!D:D,IF(ISNUMBER(B1896),TEXT(B1896,"0000"),B1896),Addendum!G:G,"X")&gt;0,7%,0)</f>
        <v>0</v>
      </c>
      <c r="L1896" s="31">
        <f>IF(COUNTIFS(Addendum!C:C,A1896,Addendum!D:D,IF(ISNUMBER(B1896),TEXT(B1896,"0000"),B1896),Addendum!I:I,"X")&gt;0,10%,0)</f>
        <v>0</v>
      </c>
      <c r="M1896" s="34">
        <f t="shared" si="58"/>
        <v>0</v>
      </c>
      <c r="N1896" s="17">
        <f t="shared" si="59"/>
        <v>3132</v>
      </c>
    </row>
    <row r="1897" spans="1:14" x14ac:dyDescent="0.25">
      <c r="A1897" s="14" t="s">
        <v>2349</v>
      </c>
      <c r="B1897" s="14" t="s">
        <v>470</v>
      </c>
      <c r="C1897" s="15" t="s">
        <v>2354</v>
      </c>
      <c r="D1897" s="14" t="s">
        <v>1749</v>
      </c>
      <c r="E1897" s="14" t="s">
        <v>1746</v>
      </c>
      <c r="F1897" s="17" t="s">
        <v>2995</v>
      </c>
      <c r="G1897" s="14">
        <v>348</v>
      </c>
      <c r="H1897" s="14">
        <v>313.2</v>
      </c>
      <c r="I1897" s="31">
        <f>IF(COUNTIFS(Addendum!C:C,A1897,Addendum!D:D,IF(ISNUMBER(B1897),TEXT(B1897,"0000"),B1897),Addendum!E:E,"X")&gt;0,4%,0)</f>
        <v>0</v>
      </c>
      <c r="J1897" s="31">
        <f>IF(COUNTIFS(Addendum!C:C,A1897,Addendum!D:D,IF(ISNUMBER(B1897),TEXT(B1897,"0000"),B1897),Addendum!F:F,"X")&gt;0,2.5%,0)</f>
        <v>0</v>
      </c>
      <c r="K1897" s="31">
        <f>IF(COUNTIFS(Addendum!C:C,A1897,Addendum!D:D,IF(ISNUMBER(B1897),TEXT(B1897,"0000"),B1897),Addendum!G:G,"X")&gt;0,7%,0)</f>
        <v>0</v>
      </c>
      <c r="L1897" s="31">
        <f>IF(COUNTIFS(Addendum!C:C,A1897,Addendum!D:D,IF(ISNUMBER(B1897),TEXT(B1897,"0000"),B1897),Addendum!I:I,"X")&gt;0,10%,0)</f>
        <v>0</v>
      </c>
      <c r="M1897" s="34">
        <f t="shared" si="58"/>
        <v>0</v>
      </c>
      <c r="N1897" s="17">
        <f t="shared" si="59"/>
        <v>313.2</v>
      </c>
    </row>
    <row r="1898" spans="1:14" x14ac:dyDescent="0.25">
      <c r="A1898" s="14" t="s">
        <v>2349</v>
      </c>
      <c r="B1898" s="14" t="s">
        <v>235</v>
      </c>
      <c r="C1898" s="15" t="s">
        <v>2350</v>
      </c>
      <c r="D1898" s="14" t="s">
        <v>1749</v>
      </c>
      <c r="E1898" s="14" t="s">
        <v>1746</v>
      </c>
      <c r="F1898" s="17" t="s">
        <v>2994</v>
      </c>
      <c r="G1898" s="14">
        <v>0</v>
      </c>
      <c r="H1898" s="14">
        <v>0</v>
      </c>
      <c r="I1898" s="31">
        <f>IF(COUNTIFS(Addendum!C:C,A1898,Addendum!D:D,IF(ISNUMBER(B1898),TEXT(B1898,"0000"),B1898),Addendum!E:E,"X")&gt;0,4%,0)</f>
        <v>0</v>
      </c>
      <c r="J1898" s="31">
        <f>IF(COUNTIFS(Addendum!C:C,A1898,Addendum!D:D,IF(ISNUMBER(B1898),TEXT(B1898,"0000"),B1898),Addendum!F:F,"X")&gt;0,2.5%,0)</f>
        <v>0</v>
      </c>
      <c r="K1898" s="31">
        <f>IF(COUNTIFS(Addendum!C:C,A1898,Addendum!D:D,IF(ISNUMBER(B1898),TEXT(B1898,"0000"),B1898),Addendum!G:G,"X")&gt;0,7%,0)</f>
        <v>0</v>
      </c>
      <c r="L1898" s="31">
        <f>IF(COUNTIFS(Addendum!C:C,A1898,Addendum!D:D,IF(ISNUMBER(B1898),TEXT(B1898,"0000"),B1898),Addendum!I:I,"X")&gt;0,10%,0)</f>
        <v>0</v>
      </c>
      <c r="M1898" s="34">
        <f t="shared" si="58"/>
        <v>0</v>
      </c>
      <c r="N1898" s="17">
        <f t="shared" si="59"/>
        <v>0</v>
      </c>
    </row>
    <row r="1899" spans="1:14" x14ac:dyDescent="0.25">
      <c r="A1899" s="14" t="s">
        <v>291</v>
      </c>
      <c r="B1899" s="14" t="s">
        <v>333</v>
      </c>
      <c r="C1899" s="15" t="s">
        <v>2355</v>
      </c>
      <c r="D1899" s="14" t="s">
        <v>1745</v>
      </c>
      <c r="E1899" s="14" t="s">
        <v>1747</v>
      </c>
      <c r="F1899" s="17" t="s">
        <v>2994</v>
      </c>
      <c r="G1899" s="14">
        <v>0</v>
      </c>
      <c r="H1899" s="14">
        <v>0</v>
      </c>
      <c r="I1899" s="31">
        <f>IF(COUNTIFS(Addendum!C:C,A1899,Addendum!D:D,IF(ISNUMBER(B1899),TEXT(B1899,"0000"),B1899),Addendum!E:E,"X")&gt;0,4%,0)</f>
        <v>0.04</v>
      </c>
      <c r="J1899" s="31">
        <f>IF(COUNTIFS(Addendum!C:C,A1899,Addendum!D:D,IF(ISNUMBER(B1899),TEXT(B1899,"0000"),B1899),Addendum!F:F,"X")&gt;0,2.5%,0)</f>
        <v>0</v>
      </c>
      <c r="K1899" s="31">
        <f>IF(COUNTIFS(Addendum!C:C,A1899,Addendum!D:D,IF(ISNUMBER(B1899),TEXT(B1899,"0000"),B1899),Addendum!G:G,"X")&gt;0,7%,0)</f>
        <v>0</v>
      </c>
      <c r="L1899" s="31">
        <f>IF(COUNTIFS(Addendum!C:C,A1899,Addendum!D:D,IF(ISNUMBER(B1899),TEXT(B1899,"0000"),B1899),Addendum!I:I,"X")&gt;0,10%,0)</f>
        <v>0</v>
      </c>
      <c r="M1899" s="34">
        <f t="shared" si="58"/>
        <v>0.03</v>
      </c>
      <c r="N1899" s="17">
        <f t="shared" si="59"/>
        <v>0</v>
      </c>
    </row>
    <row r="1900" spans="1:14" x14ac:dyDescent="0.25">
      <c r="A1900" s="14" t="s">
        <v>291</v>
      </c>
      <c r="B1900" s="14" t="s">
        <v>325</v>
      </c>
      <c r="C1900" s="15" t="s">
        <v>2356</v>
      </c>
      <c r="D1900" s="14" t="s">
        <v>1749</v>
      </c>
      <c r="E1900" s="14" t="s">
        <v>1746</v>
      </c>
      <c r="F1900" s="17" t="s">
        <v>2994</v>
      </c>
      <c r="G1900" s="14">
        <v>0</v>
      </c>
      <c r="H1900" s="14">
        <v>0</v>
      </c>
      <c r="I1900" s="31">
        <f>IF(COUNTIFS(Addendum!C:C,A1900,Addendum!D:D,IF(ISNUMBER(B1900),TEXT(B1900,"0000"),B1900),Addendum!E:E,"X")&gt;0,4%,0)</f>
        <v>0.04</v>
      </c>
      <c r="J1900" s="31">
        <f>IF(COUNTIFS(Addendum!C:C,A1900,Addendum!D:D,IF(ISNUMBER(B1900),TEXT(B1900,"0000"),B1900),Addendum!F:F,"X")&gt;0,2.5%,0)</f>
        <v>0</v>
      </c>
      <c r="K1900" s="31">
        <f>IF(COUNTIFS(Addendum!C:C,A1900,Addendum!D:D,IF(ISNUMBER(B1900),TEXT(B1900,"0000"),B1900),Addendum!G:G,"X")&gt;0,7%,0)</f>
        <v>0</v>
      </c>
      <c r="L1900" s="31">
        <f>IF(COUNTIFS(Addendum!C:C,A1900,Addendum!D:D,IF(ISNUMBER(B1900),TEXT(B1900,"0000"),B1900),Addendum!I:I,"X")&gt;0,10%,0)</f>
        <v>0</v>
      </c>
      <c r="M1900" s="34">
        <f t="shared" si="58"/>
        <v>0.01</v>
      </c>
      <c r="N1900" s="17">
        <f t="shared" si="59"/>
        <v>0</v>
      </c>
    </row>
    <row r="1901" spans="1:14" x14ac:dyDescent="0.25">
      <c r="A1901" s="14" t="s">
        <v>291</v>
      </c>
      <c r="B1901" s="14" t="s">
        <v>333</v>
      </c>
      <c r="C1901" s="15" t="s">
        <v>2355</v>
      </c>
      <c r="D1901" s="14" t="s">
        <v>1745</v>
      </c>
      <c r="E1901" s="14" t="s">
        <v>1746</v>
      </c>
      <c r="F1901" s="17" t="s">
        <v>2994</v>
      </c>
      <c r="G1901" s="14">
        <v>0</v>
      </c>
      <c r="H1901" s="14">
        <v>0</v>
      </c>
      <c r="I1901" s="31">
        <f>IF(COUNTIFS(Addendum!C:C,A1901,Addendum!D:D,IF(ISNUMBER(B1901),TEXT(B1901,"0000"),B1901),Addendum!E:E,"X")&gt;0,4%,0)</f>
        <v>0.04</v>
      </c>
      <c r="J1901" s="31">
        <f>IF(COUNTIFS(Addendum!C:C,A1901,Addendum!D:D,IF(ISNUMBER(B1901),TEXT(B1901,"0000"),B1901),Addendum!F:F,"X")&gt;0,2.5%,0)</f>
        <v>0</v>
      </c>
      <c r="K1901" s="31">
        <f>IF(COUNTIFS(Addendum!C:C,A1901,Addendum!D:D,IF(ISNUMBER(B1901),TEXT(B1901,"0000"),B1901),Addendum!G:G,"X")&gt;0,7%,0)</f>
        <v>0</v>
      </c>
      <c r="L1901" s="31">
        <f>IF(COUNTIFS(Addendum!C:C,A1901,Addendum!D:D,IF(ISNUMBER(B1901),TEXT(B1901,"0000"),B1901),Addendum!I:I,"X")&gt;0,10%,0)</f>
        <v>0</v>
      </c>
      <c r="M1901" s="34">
        <f t="shared" si="58"/>
        <v>0.01</v>
      </c>
      <c r="N1901" s="17">
        <f t="shared" si="59"/>
        <v>0</v>
      </c>
    </row>
    <row r="1902" spans="1:14" x14ac:dyDescent="0.25">
      <c r="A1902" s="14" t="s">
        <v>291</v>
      </c>
      <c r="B1902" s="14" t="s">
        <v>333</v>
      </c>
      <c r="C1902" s="15" t="s">
        <v>2355</v>
      </c>
      <c r="D1902" s="14" t="s">
        <v>1749</v>
      </c>
      <c r="E1902" s="14" t="s">
        <v>1746</v>
      </c>
      <c r="F1902" s="17" t="s">
        <v>2994</v>
      </c>
      <c r="G1902" s="14">
        <v>0</v>
      </c>
      <c r="H1902" s="14">
        <v>0</v>
      </c>
      <c r="I1902" s="31">
        <f>IF(COUNTIFS(Addendum!C:C,A1902,Addendum!D:D,IF(ISNUMBER(B1902),TEXT(B1902,"0000"),B1902),Addendum!E:E,"X")&gt;0,4%,0)</f>
        <v>0.04</v>
      </c>
      <c r="J1902" s="31">
        <f>IF(COUNTIFS(Addendum!C:C,A1902,Addendum!D:D,IF(ISNUMBER(B1902),TEXT(B1902,"0000"),B1902),Addendum!F:F,"X")&gt;0,2.5%,0)</f>
        <v>0</v>
      </c>
      <c r="K1902" s="31">
        <f>IF(COUNTIFS(Addendum!C:C,A1902,Addendum!D:D,IF(ISNUMBER(B1902),TEXT(B1902,"0000"),B1902),Addendum!G:G,"X")&gt;0,7%,0)</f>
        <v>0</v>
      </c>
      <c r="L1902" s="31">
        <f>IF(COUNTIFS(Addendum!C:C,A1902,Addendum!D:D,IF(ISNUMBER(B1902),TEXT(B1902,"0000"),B1902),Addendum!I:I,"X")&gt;0,10%,0)</f>
        <v>0</v>
      </c>
      <c r="M1902" s="34">
        <f t="shared" si="58"/>
        <v>0.01</v>
      </c>
      <c r="N1902" s="17">
        <f t="shared" si="59"/>
        <v>0</v>
      </c>
    </row>
    <row r="1903" spans="1:14" x14ac:dyDescent="0.25">
      <c r="A1903" s="14" t="s">
        <v>291</v>
      </c>
      <c r="B1903" s="14" t="s">
        <v>297</v>
      </c>
      <c r="C1903" s="15" t="s">
        <v>2357</v>
      </c>
      <c r="D1903" s="14" t="s">
        <v>1745</v>
      </c>
      <c r="E1903" s="14" t="s">
        <v>1746</v>
      </c>
      <c r="F1903" s="17" t="s">
        <v>2994</v>
      </c>
      <c r="G1903" s="14">
        <v>1575</v>
      </c>
      <c r="H1903" s="14">
        <v>1260</v>
      </c>
      <c r="I1903" s="31">
        <f>IF(COUNTIFS(Addendum!C:C,A1903,Addendum!D:D,IF(ISNUMBER(B1903),TEXT(B1903,"0000"),B1903),Addendum!E:E,"X")&gt;0,4%,0)</f>
        <v>0.04</v>
      </c>
      <c r="J1903" s="31">
        <f>IF(COUNTIFS(Addendum!C:C,A1903,Addendum!D:D,IF(ISNUMBER(B1903),TEXT(B1903,"0000"),B1903),Addendum!F:F,"X")&gt;0,2.5%,0)</f>
        <v>0</v>
      </c>
      <c r="K1903" s="31">
        <f>IF(COUNTIFS(Addendum!C:C,A1903,Addendum!D:D,IF(ISNUMBER(B1903),TEXT(B1903,"0000"),B1903),Addendum!G:G,"X")&gt;0,7%,0)</f>
        <v>0</v>
      </c>
      <c r="L1903" s="31">
        <f>IF(COUNTIFS(Addendum!C:C,A1903,Addendum!D:D,IF(ISNUMBER(B1903),TEXT(B1903,"0000"),B1903),Addendum!I:I,"X")&gt;0,10%,0)</f>
        <v>0</v>
      </c>
      <c r="M1903" s="34">
        <f t="shared" si="58"/>
        <v>0.01</v>
      </c>
      <c r="N1903" s="17">
        <f t="shared" si="59"/>
        <v>1247.4000000000001</v>
      </c>
    </row>
    <row r="1904" spans="1:14" x14ac:dyDescent="0.25">
      <c r="A1904" s="14" t="s">
        <v>291</v>
      </c>
      <c r="B1904" s="14" t="s">
        <v>297</v>
      </c>
      <c r="C1904" s="15" t="s">
        <v>2357</v>
      </c>
      <c r="D1904" s="14" t="s">
        <v>1745</v>
      </c>
      <c r="E1904" s="14" t="s">
        <v>1747</v>
      </c>
      <c r="F1904" s="17" t="s">
        <v>2994</v>
      </c>
      <c r="G1904" s="14">
        <v>1500</v>
      </c>
      <c r="H1904" s="14">
        <v>1200</v>
      </c>
      <c r="I1904" s="31">
        <f>IF(COUNTIFS(Addendum!C:C,A1904,Addendum!D:D,IF(ISNUMBER(B1904),TEXT(B1904,"0000"),B1904),Addendum!E:E,"X")&gt;0,4%,0)</f>
        <v>0.04</v>
      </c>
      <c r="J1904" s="31">
        <f>IF(COUNTIFS(Addendum!C:C,A1904,Addendum!D:D,IF(ISNUMBER(B1904),TEXT(B1904,"0000"),B1904),Addendum!F:F,"X")&gt;0,2.5%,0)</f>
        <v>0</v>
      </c>
      <c r="K1904" s="31">
        <f>IF(COUNTIFS(Addendum!C:C,A1904,Addendum!D:D,IF(ISNUMBER(B1904),TEXT(B1904,"0000"),B1904),Addendum!G:G,"X")&gt;0,7%,0)</f>
        <v>0</v>
      </c>
      <c r="L1904" s="31">
        <f>IF(COUNTIFS(Addendum!C:C,A1904,Addendum!D:D,IF(ISNUMBER(B1904),TEXT(B1904,"0000"),B1904),Addendum!I:I,"X")&gt;0,10%,0)</f>
        <v>0</v>
      </c>
      <c r="M1904" s="34">
        <f t="shared" si="58"/>
        <v>0.03</v>
      </c>
      <c r="N1904" s="17">
        <f t="shared" si="59"/>
        <v>1164</v>
      </c>
    </row>
    <row r="1905" spans="1:14" x14ac:dyDescent="0.25">
      <c r="A1905" s="14" t="s">
        <v>291</v>
      </c>
      <c r="B1905" s="14">
        <v>8</v>
      </c>
      <c r="C1905" s="15" t="s">
        <v>321</v>
      </c>
      <c r="D1905" s="14" t="s">
        <v>1745</v>
      </c>
      <c r="E1905" s="14" t="s">
        <v>1747</v>
      </c>
      <c r="F1905" s="17" t="s">
        <v>2993</v>
      </c>
      <c r="G1905" s="14">
        <v>0</v>
      </c>
      <c r="H1905" s="14">
        <v>0</v>
      </c>
      <c r="I1905" s="31">
        <f>IF(COUNTIFS(Addendum!C:C,A1905,Addendum!D:D,IF(ISNUMBER(B1905),TEXT(B1905,"0000"),B1905),Addendum!E:E,"X")&gt;0,4%,0)</f>
        <v>0.04</v>
      </c>
      <c r="J1905" s="31">
        <f>IF(COUNTIFS(Addendum!C:C,A1905,Addendum!D:D,IF(ISNUMBER(B1905),TEXT(B1905,"0000"),B1905),Addendum!F:F,"X")&gt;0,2.5%,0)</f>
        <v>0</v>
      </c>
      <c r="K1905" s="31">
        <f>IF(COUNTIFS(Addendum!C:C,A1905,Addendum!D:D,IF(ISNUMBER(B1905),TEXT(B1905,"0000"),B1905),Addendum!G:G,"X")&gt;0,7%,0)</f>
        <v>0</v>
      </c>
      <c r="L1905" s="31">
        <f>IF(COUNTIFS(Addendum!C:C,A1905,Addendum!D:D,IF(ISNUMBER(B1905),TEXT(B1905,"0000"),B1905),Addendum!I:I,"X")&gt;0,10%,0)</f>
        <v>0</v>
      </c>
      <c r="M1905" s="34">
        <f t="shared" si="58"/>
        <v>0.03</v>
      </c>
      <c r="N1905" s="17">
        <f t="shared" si="59"/>
        <v>0</v>
      </c>
    </row>
    <row r="1906" spans="1:14" x14ac:dyDescent="0.25">
      <c r="A1906" s="14" t="s">
        <v>291</v>
      </c>
      <c r="B1906" s="14">
        <v>8</v>
      </c>
      <c r="C1906" s="15" t="s">
        <v>321</v>
      </c>
      <c r="D1906" s="14" t="s">
        <v>1745</v>
      </c>
      <c r="E1906" s="14" t="s">
        <v>1746</v>
      </c>
      <c r="F1906" s="17" t="s">
        <v>2993</v>
      </c>
      <c r="G1906" s="14">
        <v>0</v>
      </c>
      <c r="H1906" s="14">
        <v>0</v>
      </c>
      <c r="I1906" s="31">
        <f>IF(COUNTIFS(Addendum!C:C,A1906,Addendum!D:D,IF(ISNUMBER(B1906),TEXT(B1906,"0000"),B1906),Addendum!E:E,"X")&gt;0,4%,0)</f>
        <v>0.04</v>
      </c>
      <c r="J1906" s="31">
        <f>IF(COUNTIFS(Addendum!C:C,A1906,Addendum!D:D,IF(ISNUMBER(B1906),TEXT(B1906,"0000"),B1906),Addendum!F:F,"X")&gt;0,2.5%,0)</f>
        <v>0</v>
      </c>
      <c r="K1906" s="31">
        <f>IF(COUNTIFS(Addendum!C:C,A1906,Addendum!D:D,IF(ISNUMBER(B1906),TEXT(B1906,"0000"),B1906),Addendum!G:G,"X")&gt;0,7%,0)</f>
        <v>0</v>
      </c>
      <c r="L1906" s="31">
        <f>IF(COUNTIFS(Addendum!C:C,A1906,Addendum!D:D,IF(ISNUMBER(B1906),TEXT(B1906,"0000"),B1906),Addendum!I:I,"X")&gt;0,10%,0)</f>
        <v>0</v>
      </c>
      <c r="M1906" s="34">
        <f t="shared" si="58"/>
        <v>0.01</v>
      </c>
      <c r="N1906" s="17">
        <f t="shared" si="59"/>
        <v>0</v>
      </c>
    </row>
    <row r="1907" spans="1:14" x14ac:dyDescent="0.25">
      <c r="A1907" s="14" t="s">
        <v>291</v>
      </c>
      <c r="B1907" s="14" t="s">
        <v>173</v>
      </c>
      <c r="C1907" s="15" t="s">
        <v>2358</v>
      </c>
      <c r="D1907" s="14" t="s">
        <v>1749</v>
      </c>
      <c r="E1907" s="14" t="s">
        <v>1746</v>
      </c>
      <c r="F1907" s="17" t="s">
        <v>2994</v>
      </c>
      <c r="G1907" s="14">
        <v>112.8</v>
      </c>
      <c r="H1907" s="14">
        <v>90.24</v>
      </c>
      <c r="I1907" s="31">
        <f>IF(COUNTIFS(Addendum!C:C,A1907,Addendum!D:D,IF(ISNUMBER(B1907),TEXT(B1907,"0000"),B1907),Addendum!E:E,"X")&gt;0,4%,0)</f>
        <v>0.04</v>
      </c>
      <c r="J1907" s="31">
        <f>IF(COUNTIFS(Addendum!C:C,A1907,Addendum!D:D,IF(ISNUMBER(B1907),TEXT(B1907,"0000"),B1907),Addendum!F:F,"X")&gt;0,2.5%,0)</f>
        <v>0</v>
      </c>
      <c r="K1907" s="31">
        <f>IF(COUNTIFS(Addendum!C:C,A1907,Addendum!D:D,IF(ISNUMBER(B1907),TEXT(B1907,"0000"),B1907),Addendum!G:G,"X")&gt;0,7%,0)</f>
        <v>0</v>
      </c>
      <c r="L1907" s="31">
        <f>IF(COUNTIFS(Addendum!C:C,A1907,Addendum!D:D,IF(ISNUMBER(B1907),TEXT(B1907,"0000"),B1907),Addendum!I:I,"X")&gt;0,10%,0)</f>
        <v>0</v>
      </c>
      <c r="M1907" s="34">
        <f t="shared" si="58"/>
        <v>0.01</v>
      </c>
      <c r="N1907" s="17">
        <f t="shared" si="59"/>
        <v>89.337599999999995</v>
      </c>
    </row>
    <row r="1908" spans="1:14" x14ac:dyDescent="0.25">
      <c r="A1908" s="14" t="s">
        <v>291</v>
      </c>
      <c r="B1908" s="14" t="s">
        <v>297</v>
      </c>
      <c r="C1908" s="15" t="s">
        <v>2357</v>
      </c>
      <c r="D1908" s="14" t="s">
        <v>1749</v>
      </c>
      <c r="E1908" s="14" t="s">
        <v>1746</v>
      </c>
      <c r="F1908" s="17" t="s">
        <v>2994</v>
      </c>
      <c r="G1908" s="14">
        <v>150</v>
      </c>
      <c r="H1908" s="14">
        <v>120</v>
      </c>
      <c r="I1908" s="31">
        <f>IF(COUNTIFS(Addendum!C:C,A1908,Addendum!D:D,IF(ISNUMBER(B1908),TEXT(B1908,"0000"),B1908),Addendum!E:E,"X")&gt;0,4%,0)</f>
        <v>0.04</v>
      </c>
      <c r="J1908" s="31">
        <f>IF(COUNTIFS(Addendum!C:C,A1908,Addendum!D:D,IF(ISNUMBER(B1908),TEXT(B1908,"0000"),B1908),Addendum!F:F,"X")&gt;0,2.5%,0)</f>
        <v>0</v>
      </c>
      <c r="K1908" s="31">
        <f>IF(COUNTIFS(Addendum!C:C,A1908,Addendum!D:D,IF(ISNUMBER(B1908),TEXT(B1908,"0000"),B1908),Addendum!G:G,"X")&gt;0,7%,0)</f>
        <v>0</v>
      </c>
      <c r="L1908" s="31">
        <f>IF(COUNTIFS(Addendum!C:C,A1908,Addendum!D:D,IF(ISNUMBER(B1908),TEXT(B1908,"0000"),B1908),Addendum!I:I,"X")&gt;0,10%,0)</f>
        <v>0</v>
      </c>
      <c r="M1908" s="34">
        <f t="shared" si="58"/>
        <v>0.01</v>
      </c>
      <c r="N1908" s="17">
        <f t="shared" si="59"/>
        <v>118.8</v>
      </c>
    </row>
    <row r="1909" spans="1:14" x14ac:dyDescent="0.25">
      <c r="A1909" s="14" t="s">
        <v>291</v>
      </c>
      <c r="B1909" s="14" t="s">
        <v>173</v>
      </c>
      <c r="C1909" s="15" t="s">
        <v>2358</v>
      </c>
      <c r="D1909" s="14" t="s">
        <v>1745</v>
      </c>
      <c r="E1909" s="14" t="s">
        <v>1746</v>
      </c>
      <c r="F1909" s="17" t="s">
        <v>2994</v>
      </c>
      <c r="G1909" s="14">
        <v>1184.4000000000001</v>
      </c>
      <c r="H1909" s="14">
        <v>947.52</v>
      </c>
      <c r="I1909" s="31">
        <f>IF(COUNTIFS(Addendum!C:C,A1909,Addendum!D:D,IF(ISNUMBER(B1909),TEXT(B1909,"0000"),B1909),Addendum!E:E,"X")&gt;0,4%,0)</f>
        <v>0.04</v>
      </c>
      <c r="J1909" s="31">
        <f>IF(COUNTIFS(Addendum!C:C,A1909,Addendum!D:D,IF(ISNUMBER(B1909),TEXT(B1909,"0000"),B1909),Addendum!F:F,"X")&gt;0,2.5%,0)</f>
        <v>0</v>
      </c>
      <c r="K1909" s="31">
        <f>IF(COUNTIFS(Addendum!C:C,A1909,Addendum!D:D,IF(ISNUMBER(B1909),TEXT(B1909,"0000"),B1909),Addendum!G:G,"X")&gt;0,7%,0)</f>
        <v>0</v>
      </c>
      <c r="L1909" s="31">
        <f>IF(COUNTIFS(Addendum!C:C,A1909,Addendum!D:D,IF(ISNUMBER(B1909),TEXT(B1909,"0000"),B1909),Addendum!I:I,"X")&gt;0,10%,0)</f>
        <v>0</v>
      </c>
      <c r="M1909" s="34">
        <f t="shared" si="58"/>
        <v>0.01</v>
      </c>
      <c r="N1909" s="17">
        <f t="shared" si="59"/>
        <v>938.04480000000001</v>
      </c>
    </row>
    <row r="1910" spans="1:14" x14ac:dyDescent="0.25">
      <c r="A1910" s="14" t="s">
        <v>291</v>
      </c>
      <c r="B1910" s="14" t="s">
        <v>325</v>
      </c>
      <c r="C1910" s="15" t="s">
        <v>2356</v>
      </c>
      <c r="D1910" s="14" t="s">
        <v>1745</v>
      </c>
      <c r="E1910" s="14" t="s">
        <v>1747</v>
      </c>
      <c r="F1910" s="17" t="s">
        <v>2994</v>
      </c>
      <c r="G1910" s="14">
        <v>0</v>
      </c>
      <c r="H1910" s="14">
        <v>0</v>
      </c>
      <c r="I1910" s="31">
        <f>IF(COUNTIFS(Addendum!C:C,A1910,Addendum!D:D,IF(ISNUMBER(B1910),TEXT(B1910,"0000"),B1910),Addendum!E:E,"X")&gt;0,4%,0)</f>
        <v>0.04</v>
      </c>
      <c r="J1910" s="31">
        <f>IF(COUNTIFS(Addendum!C:C,A1910,Addendum!D:D,IF(ISNUMBER(B1910),TEXT(B1910,"0000"),B1910),Addendum!F:F,"X")&gt;0,2.5%,0)</f>
        <v>0</v>
      </c>
      <c r="K1910" s="31">
        <f>IF(COUNTIFS(Addendum!C:C,A1910,Addendum!D:D,IF(ISNUMBER(B1910),TEXT(B1910,"0000"),B1910),Addendum!G:G,"X")&gt;0,7%,0)</f>
        <v>0</v>
      </c>
      <c r="L1910" s="31">
        <f>IF(COUNTIFS(Addendum!C:C,A1910,Addendum!D:D,IF(ISNUMBER(B1910),TEXT(B1910,"0000"),B1910),Addendum!I:I,"X")&gt;0,10%,0)</f>
        <v>0</v>
      </c>
      <c r="M1910" s="34">
        <f t="shared" si="58"/>
        <v>0.03</v>
      </c>
      <c r="N1910" s="17">
        <f t="shared" si="59"/>
        <v>0</v>
      </c>
    </row>
    <row r="1911" spans="1:14" x14ac:dyDescent="0.25">
      <c r="A1911" s="14" t="s">
        <v>291</v>
      </c>
      <c r="B1911" s="14" t="s">
        <v>173</v>
      </c>
      <c r="C1911" s="15" t="s">
        <v>2358</v>
      </c>
      <c r="D1911" s="14" t="s">
        <v>1745</v>
      </c>
      <c r="E1911" s="14" t="s">
        <v>1747</v>
      </c>
      <c r="F1911" s="17" t="s">
        <v>2994</v>
      </c>
      <c r="G1911" s="14">
        <v>1128</v>
      </c>
      <c r="H1911" s="14">
        <v>902.4</v>
      </c>
      <c r="I1911" s="31">
        <f>IF(COUNTIFS(Addendum!C:C,A1911,Addendum!D:D,IF(ISNUMBER(B1911),TEXT(B1911,"0000"),B1911),Addendum!E:E,"X")&gt;0,4%,0)</f>
        <v>0.04</v>
      </c>
      <c r="J1911" s="31">
        <f>IF(COUNTIFS(Addendum!C:C,A1911,Addendum!D:D,IF(ISNUMBER(B1911),TEXT(B1911,"0000"),B1911),Addendum!F:F,"X")&gt;0,2.5%,0)</f>
        <v>0</v>
      </c>
      <c r="K1911" s="31">
        <f>IF(COUNTIFS(Addendum!C:C,A1911,Addendum!D:D,IF(ISNUMBER(B1911),TEXT(B1911,"0000"),B1911),Addendum!G:G,"X")&gt;0,7%,0)</f>
        <v>0</v>
      </c>
      <c r="L1911" s="31">
        <f>IF(COUNTIFS(Addendum!C:C,A1911,Addendum!D:D,IF(ISNUMBER(B1911),TEXT(B1911,"0000"),B1911),Addendum!I:I,"X")&gt;0,10%,0)</f>
        <v>0</v>
      </c>
      <c r="M1911" s="34">
        <f t="shared" si="58"/>
        <v>0.03</v>
      </c>
      <c r="N1911" s="17">
        <f t="shared" si="59"/>
        <v>875.32799999999997</v>
      </c>
    </row>
    <row r="1912" spans="1:14" x14ac:dyDescent="0.25">
      <c r="A1912" s="14" t="s">
        <v>291</v>
      </c>
      <c r="B1912" s="14" t="s">
        <v>325</v>
      </c>
      <c r="C1912" s="15" t="s">
        <v>2356</v>
      </c>
      <c r="D1912" s="14" t="s">
        <v>1745</v>
      </c>
      <c r="E1912" s="14" t="s">
        <v>1746</v>
      </c>
      <c r="F1912" s="17" t="s">
        <v>2994</v>
      </c>
      <c r="G1912" s="14">
        <v>0</v>
      </c>
      <c r="H1912" s="14">
        <v>0</v>
      </c>
      <c r="I1912" s="31">
        <f>IF(COUNTIFS(Addendum!C:C,A1912,Addendum!D:D,IF(ISNUMBER(B1912),TEXT(B1912,"0000"),B1912),Addendum!E:E,"X")&gt;0,4%,0)</f>
        <v>0.04</v>
      </c>
      <c r="J1912" s="31">
        <f>IF(COUNTIFS(Addendum!C:C,A1912,Addendum!D:D,IF(ISNUMBER(B1912),TEXT(B1912,"0000"),B1912),Addendum!F:F,"X")&gt;0,2.5%,0)</f>
        <v>0</v>
      </c>
      <c r="K1912" s="31">
        <f>IF(COUNTIFS(Addendum!C:C,A1912,Addendum!D:D,IF(ISNUMBER(B1912),TEXT(B1912,"0000"),B1912),Addendum!G:G,"X")&gt;0,7%,0)</f>
        <v>0</v>
      </c>
      <c r="L1912" s="31">
        <f>IF(COUNTIFS(Addendum!C:C,A1912,Addendum!D:D,IF(ISNUMBER(B1912),TEXT(B1912,"0000"),B1912),Addendum!I:I,"X")&gt;0,10%,0)</f>
        <v>0</v>
      </c>
      <c r="M1912" s="34">
        <f t="shared" si="58"/>
        <v>0.01</v>
      </c>
      <c r="N1912" s="17">
        <f t="shared" si="59"/>
        <v>0</v>
      </c>
    </row>
    <row r="1913" spans="1:14" x14ac:dyDescent="0.25">
      <c r="A1913" s="14" t="s">
        <v>291</v>
      </c>
      <c r="B1913" s="14">
        <v>8</v>
      </c>
      <c r="C1913" s="15" t="s">
        <v>321</v>
      </c>
      <c r="D1913" s="14" t="s">
        <v>1749</v>
      </c>
      <c r="E1913" s="14" t="s">
        <v>1746</v>
      </c>
      <c r="F1913" s="17" t="s">
        <v>2993</v>
      </c>
      <c r="G1913" s="14">
        <v>0</v>
      </c>
      <c r="H1913" s="14">
        <v>0</v>
      </c>
      <c r="I1913" s="31">
        <f>IF(COUNTIFS(Addendum!C:C,A1913,Addendum!D:D,IF(ISNUMBER(B1913),TEXT(B1913,"0000"),B1913),Addendum!E:E,"X")&gt;0,4%,0)</f>
        <v>0.04</v>
      </c>
      <c r="J1913" s="31">
        <f>IF(COUNTIFS(Addendum!C:C,A1913,Addendum!D:D,IF(ISNUMBER(B1913),TEXT(B1913,"0000"),B1913),Addendum!F:F,"X")&gt;0,2.5%,0)</f>
        <v>0</v>
      </c>
      <c r="K1913" s="31">
        <f>IF(COUNTIFS(Addendum!C:C,A1913,Addendum!D:D,IF(ISNUMBER(B1913),TEXT(B1913,"0000"),B1913),Addendum!G:G,"X")&gt;0,7%,0)</f>
        <v>0</v>
      </c>
      <c r="L1913" s="31">
        <f>IF(COUNTIFS(Addendum!C:C,A1913,Addendum!D:D,IF(ISNUMBER(B1913),TEXT(B1913,"0000"),B1913),Addendum!I:I,"X")&gt;0,10%,0)</f>
        <v>0</v>
      </c>
      <c r="M1913" s="34">
        <f t="shared" si="58"/>
        <v>0.01</v>
      </c>
      <c r="N1913" s="17">
        <f t="shared" si="59"/>
        <v>0</v>
      </c>
    </row>
    <row r="1914" spans="1:14" x14ac:dyDescent="0.25">
      <c r="A1914" s="14" t="s">
        <v>337</v>
      </c>
      <c r="B1914" s="14">
        <v>1</v>
      </c>
      <c r="C1914" s="15" t="s">
        <v>336</v>
      </c>
      <c r="D1914" s="14" t="s">
        <v>1745</v>
      </c>
      <c r="E1914" s="14" t="s">
        <v>1746</v>
      </c>
      <c r="F1914" s="17" t="s">
        <v>2993</v>
      </c>
      <c r="G1914" s="14">
        <v>2142</v>
      </c>
      <c r="H1914" s="14">
        <v>1713.6</v>
      </c>
      <c r="I1914" s="31">
        <f>IF(COUNTIFS(Addendum!C:C,A1914,Addendum!D:D,IF(ISNUMBER(B1914),TEXT(B1914,"0000"),B1914),Addendum!E:E,"X")&gt;0,4%,0)</f>
        <v>0.04</v>
      </c>
      <c r="J1914" s="31">
        <f>IF(COUNTIFS(Addendum!C:C,A1914,Addendum!D:D,IF(ISNUMBER(B1914),TEXT(B1914,"0000"),B1914),Addendum!F:F,"X")&gt;0,2.5%,0)</f>
        <v>0</v>
      </c>
      <c r="K1914" s="31">
        <f>IF(COUNTIFS(Addendum!C:C,A1914,Addendum!D:D,IF(ISNUMBER(B1914),TEXT(B1914,"0000"),B1914),Addendum!G:G,"X")&gt;0,7%,0)</f>
        <v>0</v>
      </c>
      <c r="L1914" s="31">
        <f>IF(COUNTIFS(Addendum!C:C,A1914,Addendum!D:D,IF(ISNUMBER(B1914),TEXT(B1914,"0000"),B1914),Addendum!I:I,"X")&gt;0,10%,0)</f>
        <v>0</v>
      </c>
      <c r="M1914" s="34">
        <f t="shared" si="58"/>
        <v>0.01</v>
      </c>
      <c r="N1914" s="17">
        <f t="shared" si="59"/>
        <v>1696.4639999999999</v>
      </c>
    </row>
    <row r="1915" spans="1:14" x14ac:dyDescent="0.25">
      <c r="A1915" s="14" t="s">
        <v>337</v>
      </c>
      <c r="B1915" s="14" t="s">
        <v>325</v>
      </c>
      <c r="C1915" s="15" t="s">
        <v>345</v>
      </c>
      <c r="D1915" s="14" t="s">
        <v>1749</v>
      </c>
      <c r="E1915" s="14" t="s">
        <v>1746</v>
      </c>
      <c r="F1915" s="17" t="s">
        <v>2993</v>
      </c>
      <c r="G1915" s="14">
        <v>2796</v>
      </c>
      <c r="H1915" s="14">
        <v>2236.8000000000002</v>
      </c>
      <c r="I1915" s="31">
        <f>IF(COUNTIFS(Addendum!C:C,A1915,Addendum!D:D,IF(ISNUMBER(B1915),TEXT(B1915,"0000"),B1915),Addendum!E:E,"X")&gt;0,4%,0)</f>
        <v>0.04</v>
      </c>
      <c r="J1915" s="31">
        <f>IF(COUNTIFS(Addendum!C:C,A1915,Addendum!D:D,IF(ISNUMBER(B1915),TEXT(B1915,"0000"),B1915),Addendum!F:F,"X")&gt;0,2.5%,0)</f>
        <v>2.5000000000000001E-2</v>
      </c>
      <c r="K1915" s="31">
        <f>IF(COUNTIFS(Addendum!C:C,A1915,Addendum!D:D,IF(ISNUMBER(B1915),TEXT(B1915,"0000"),B1915),Addendum!G:G,"X")&gt;0,7%,0)</f>
        <v>0</v>
      </c>
      <c r="L1915" s="31">
        <f>IF(COUNTIFS(Addendum!C:C,A1915,Addendum!D:D,IF(ISNUMBER(B1915),TEXT(B1915,"0000"),B1915),Addendum!I:I,"X")&gt;0,10%,0)</f>
        <v>0.1</v>
      </c>
      <c r="M1915" s="34">
        <f t="shared" si="58"/>
        <v>0.02</v>
      </c>
      <c r="N1915" s="17">
        <f t="shared" si="59"/>
        <v>2192.0640000000003</v>
      </c>
    </row>
    <row r="1916" spans="1:14" x14ac:dyDescent="0.25">
      <c r="A1916" s="14" t="s">
        <v>337</v>
      </c>
      <c r="B1916" s="14" t="s">
        <v>333</v>
      </c>
      <c r="C1916" s="15" t="s">
        <v>342</v>
      </c>
      <c r="D1916" s="14" t="s">
        <v>1745</v>
      </c>
      <c r="E1916" s="14" t="s">
        <v>1746</v>
      </c>
      <c r="F1916" s="17" t="s">
        <v>2993</v>
      </c>
      <c r="G1916" s="14">
        <v>27657</v>
      </c>
      <c r="H1916" s="14">
        <v>22125.599999999999</v>
      </c>
      <c r="I1916" s="31">
        <f>IF(COUNTIFS(Addendum!C:C,A1916,Addendum!D:D,IF(ISNUMBER(B1916),TEXT(B1916,"0000"),B1916),Addendum!E:E,"X")&gt;0,4%,0)</f>
        <v>0.04</v>
      </c>
      <c r="J1916" s="31">
        <f>IF(COUNTIFS(Addendum!C:C,A1916,Addendum!D:D,IF(ISNUMBER(B1916),TEXT(B1916,"0000"),B1916),Addendum!F:F,"X")&gt;0,2.5%,0)</f>
        <v>2.5000000000000001E-2</v>
      </c>
      <c r="K1916" s="31">
        <f>IF(COUNTIFS(Addendum!C:C,A1916,Addendum!D:D,IF(ISNUMBER(B1916),TEXT(B1916,"0000"),B1916),Addendum!G:G,"X")&gt;0,7%,0)</f>
        <v>0</v>
      </c>
      <c r="L1916" s="31">
        <f>IF(COUNTIFS(Addendum!C:C,A1916,Addendum!D:D,IF(ISNUMBER(B1916),TEXT(B1916,"0000"),B1916),Addendum!I:I,"X")&gt;0,10%,0)</f>
        <v>0.1</v>
      </c>
      <c r="M1916" s="34">
        <f t="shared" si="58"/>
        <v>0.02</v>
      </c>
      <c r="N1916" s="17">
        <f t="shared" si="59"/>
        <v>21683.088</v>
      </c>
    </row>
    <row r="1917" spans="1:14" x14ac:dyDescent="0.25">
      <c r="A1917" s="14" t="s">
        <v>337</v>
      </c>
      <c r="B1917" s="14" t="s">
        <v>325</v>
      </c>
      <c r="C1917" s="15" t="s">
        <v>345</v>
      </c>
      <c r="D1917" s="14" t="s">
        <v>1745</v>
      </c>
      <c r="E1917" s="14" t="s">
        <v>1746</v>
      </c>
      <c r="F1917" s="17" t="s">
        <v>2993</v>
      </c>
      <c r="G1917" s="14">
        <v>29358</v>
      </c>
      <c r="H1917" s="14">
        <v>23486.400000000001</v>
      </c>
      <c r="I1917" s="31">
        <f>IF(COUNTIFS(Addendum!C:C,A1917,Addendum!D:D,IF(ISNUMBER(B1917),TEXT(B1917,"0000"),B1917),Addendum!E:E,"X")&gt;0,4%,0)</f>
        <v>0.04</v>
      </c>
      <c r="J1917" s="31">
        <f>IF(COUNTIFS(Addendum!C:C,A1917,Addendum!D:D,IF(ISNUMBER(B1917),TEXT(B1917,"0000"),B1917),Addendum!F:F,"X")&gt;0,2.5%,0)</f>
        <v>2.5000000000000001E-2</v>
      </c>
      <c r="K1917" s="31">
        <f>IF(COUNTIFS(Addendum!C:C,A1917,Addendum!D:D,IF(ISNUMBER(B1917),TEXT(B1917,"0000"),B1917),Addendum!G:G,"X")&gt;0,7%,0)</f>
        <v>0</v>
      </c>
      <c r="L1917" s="31">
        <f>IF(COUNTIFS(Addendum!C:C,A1917,Addendum!D:D,IF(ISNUMBER(B1917),TEXT(B1917,"0000"),B1917),Addendum!I:I,"X")&gt;0,10%,0)</f>
        <v>0.1</v>
      </c>
      <c r="M1917" s="34">
        <f t="shared" si="58"/>
        <v>0.02</v>
      </c>
      <c r="N1917" s="17">
        <f t="shared" si="59"/>
        <v>23016.672000000002</v>
      </c>
    </row>
    <row r="1918" spans="1:14" x14ac:dyDescent="0.25">
      <c r="A1918" s="14" t="s">
        <v>337</v>
      </c>
      <c r="B1918" s="14">
        <v>1</v>
      </c>
      <c r="C1918" s="15" t="s">
        <v>336</v>
      </c>
      <c r="D1918" s="14" t="s">
        <v>1749</v>
      </c>
      <c r="E1918" s="14" t="s">
        <v>1746</v>
      </c>
      <c r="F1918" s="17" t="s">
        <v>2993</v>
      </c>
      <c r="G1918" s="14">
        <v>204</v>
      </c>
      <c r="H1918" s="14">
        <v>163.19999999999999</v>
      </c>
      <c r="I1918" s="31">
        <f>IF(COUNTIFS(Addendum!C:C,A1918,Addendum!D:D,IF(ISNUMBER(B1918),TEXT(B1918,"0000"),B1918),Addendum!E:E,"X")&gt;0,4%,0)</f>
        <v>0.04</v>
      </c>
      <c r="J1918" s="31">
        <f>IF(COUNTIFS(Addendum!C:C,A1918,Addendum!D:D,IF(ISNUMBER(B1918),TEXT(B1918,"0000"),B1918),Addendum!F:F,"X")&gt;0,2.5%,0)</f>
        <v>0</v>
      </c>
      <c r="K1918" s="31">
        <f>IF(COUNTIFS(Addendum!C:C,A1918,Addendum!D:D,IF(ISNUMBER(B1918),TEXT(B1918,"0000"),B1918),Addendum!G:G,"X")&gt;0,7%,0)</f>
        <v>0</v>
      </c>
      <c r="L1918" s="31">
        <f>IF(COUNTIFS(Addendum!C:C,A1918,Addendum!D:D,IF(ISNUMBER(B1918),TEXT(B1918,"0000"),B1918),Addendum!I:I,"X")&gt;0,10%,0)</f>
        <v>0</v>
      </c>
      <c r="M1918" s="34">
        <f t="shared" si="58"/>
        <v>0.01</v>
      </c>
      <c r="N1918" s="17">
        <f t="shared" si="59"/>
        <v>161.56799999999998</v>
      </c>
    </row>
    <row r="1919" spans="1:14" x14ac:dyDescent="0.25">
      <c r="A1919" s="14" t="s">
        <v>337</v>
      </c>
      <c r="B1919" s="14" t="s">
        <v>46</v>
      </c>
      <c r="C1919" s="15" t="s">
        <v>340</v>
      </c>
      <c r="D1919" s="14" t="s">
        <v>1745</v>
      </c>
      <c r="E1919" s="14" t="s">
        <v>1747</v>
      </c>
      <c r="F1919" s="17" t="s">
        <v>2993</v>
      </c>
      <c r="G1919" s="14">
        <v>1560</v>
      </c>
      <c r="H1919" s="14">
        <v>1248</v>
      </c>
      <c r="I1919" s="31">
        <f>IF(COUNTIFS(Addendum!C:C,A1919,Addendum!D:D,IF(ISNUMBER(B1919),TEXT(B1919,"0000"),B1919),Addendum!E:E,"X")&gt;0,4%,0)</f>
        <v>0.04</v>
      </c>
      <c r="J1919" s="31">
        <f>IF(COUNTIFS(Addendum!C:C,A1919,Addendum!D:D,IF(ISNUMBER(B1919),TEXT(B1919,"0000"),B1919),Addendum!F:F,"X")&gt;0,2.5%,0)</f>
        <v>0</v>
      </c>
      <c r="K1919" s="31">
        <f>IF(COUNTIFS(Addendum!C:C,A1919,Addendum!D:D,IF(ISNUMBER(B1919),TEXT(B1919,"0000"),B1919),Addendum!G:G,"X")&gt;0,7%,0)</f>
        <v>0</v>
      </c>
      <c r="L1919" s="31">
        <f>IF(COUNTIFS(Addendum!C:C,A1919,Addendum!D:D,IF(ISNUMBER(B1919),TEXT(B1919,"0000"),B1919),Addendum!I:I,"X")&gt;0,10%,0)</f>
        <v>0</v>
      </c>
      <c r="M1919" s="34">
        <f t="shared" si="58"/>
        <v>0.03</v>
      </c>
      <c r="N1919" s="17">
        <f t="shared" si="59"/>
        <v>1210.56</v>
      </c>
    </row>
    <row r="1920" spans="1:14" x14ac:dyDescent="0.25">
      <c r="A1920" s="14" t="s">
        <v>337</v>
      </c>
      <c r="B1920" s="14" t="s">
        <v>333</v>
      </c>
      <c r="C1920" s="15" t="s">
        <v>342</v>
      </c>
      <c r="D1920" s="14" t="s">
        <v>1749</v>
      </c>
      <c r="E1920" s="14" t="s">
        <v>1746</v>
      </c>
      <c r="F1920" s="17" t="s">
        <v>2993</v>
      </c>
      <c r="G1920" s="14">
        <v>2634</v>
      </c>
      <c r="H1920" s="14">
        <v>2107.1999999999998</v>
      </c>
      <c r="I1920" s="31">
        <f>IF(COUNTIFS(Addendum!C:C,A1920,Addendum!D:D,IF(ISNUMBER(B1920),TEXT(B1920,"0000"),B1920),Addendum!E:E,"X")&gt;0,4%,0)</f>
        <v>0.04</v>
      </c>
      <c r="J1920" s="31">
        <f>IF(COUNTIFS(Addendum!C:C,A1920,Addendum!D:D,IF(ISNUMBER(B1920),TEXT(B1920,"0000"),B1920),Addendum!F:F,"X")&gt;0,2.5%,0)</f>
        <v>2.5000000000000001E-2</v>
      </c>
      <c r="K1920" s="31">
        <f>IF(COUNTIFS(Addendum!C:C,A1920,Addendum!D:D,IF(ISNUMBER(B1920),TEXT(B1920,"0000"),B1920),Addendum!G:G,"X")&gt;0,7%,0)</f>
        <v>0</v>
      </c>
      <c r="L1920" s="31">
        <f>IF(COUNTIFS(Addendum!C:C,A1920,Addendum!D:D,IF(ISNUMBER(B1920),TEXT(B1920,"0000"),B1920),Addendum!I:I,"X")&gt;0,10%,0)</f>
        <v>0.1</v>
      </c>
      <c r="M1920" s="34">
        <f t="shared" si="58"/>
        <v>0.02</v>
      </c>
      <c r="N1920" s="17">
        <f t="shared" si="59"/>
        <v>2065.056</v>
      </c>
    </row>
    <row r="1921" spans="1:14" x14ac:dyDescent="0.25">
      <c r="A1921" s="14" t="s">
        <v>337</v>
      </c>
      <c r="B1921" s="14" t="s">
        <v>32</v>
      </c>
      <c r="C1921" s="15" t="s">
        <v>2359</v>
      </c>
      <c r="D1921" s="14" t="s">
        <v>1745</v>
      </c>
      <c r="E1921" s="14" t="s">
        <v>1747</v>
      </c>
      <c r="F1921" s="17" t="s">
        <v>2995</v>
      </c>
      <c r="G1921" s="14">
        <v>0</v>
      </c>
      <c r="H1921" s="14">
        <v>0</v>
      </c>
      <c r="I1921" s="31">
        <f>IF(COUNTIFS(Addendum!C:C,A1921,Addendum!D:D,IF(ISNUMBER(B1921),TEXT(B1921,"0000"),B1921),Addendum!E:E,"X")&gt;0,4%,0)</f>
        <v>0.04</v>
      </c>
      <c r="J1921" s="31">
        <f>IF(COUNTIFS(Addendum!C:C,A1921,Addendum!D:D,IF(ISNUMBER(B1921),TEXT(B1921,"0000"),B1921),Addendum!F:F,"X")&gt;0,2.5%,0)</f>
        <v>0</v>
      </c>
      <c r="K1921" s="31">
        <f>IF(COUNTIFS(Addendum!C:C,A1921,Addendum!D:D,IF(ISNUMBER(B1921),TEXT(B1921,"0000"),B1921),Addendum!G:G,"X")&gt;0,7%,0)</f>
        <v>0</v>
      </c>
      <c r="L1921" s="31">
        <f>IF(COUNTIFS(Addendum!C:C,A1921,Addendum!D:D,IF(ISNUMBER(B1921),TEXT(B1921,"0000"),B1921),Addendum!I:I,"X")&gt;0,10%,0)</f>
        <v>0</v>
      </c>
      <c r="M1921" s="34">
        <f t="shared" si="58"/>
        <v>0.03</v>
      </c>
      <c r="N1921" s="17">
        <f t="shared" si="59"/>
        <v>0</v>
      </c>
    </row>
    <row r="1922" spans="1:14" x14ac:dyDescent="0.25">
      <c r="A1922" s="14" t="s">
        <v>337</v>
      </c>
      <c r="B1922" s="14" t="s">
        <v>32</v>
      </c>
      <c r="C1922" s="15" t="s">
        <v>2359</v>
      </c>
      <c r="D1922" s="14" t="s">
        <v>1749</v>
      </c>
      <c r="E1922" s="14" t="s">
        <v>1746</v>
      </c>
      <c r="F1922" s="17" t="s">
        <v>2995</v>
      </c>
      <c r="G1922" s="14">
        <v>0</v>
      </c>
      <c r="H1922" s="14">
        <v>0</v>
      </c>
      <c r="I1922" s="31">
        <f>IF(COUNTIFS(Addendum!C:C,A1922,Addendum!D:D,IF(ISNUMBER(B1922),TEXT(B1922,"0000"),B1922),Addendum!E:E,"X")&gt;0,4%,0)</f>
        <v>0.04</v>
      </c>
      <c r="J1922" s="31">
        <f>IF(COUNTIFS(Addendum!C:C,A1922,Addendum!D:D,IF(ISNUMBER(B1922),TEXT(B1922,"0000"),B1922),Addendum!F:F,"X")&gt;0,2.5%,0)</f>
        <v>0</v>
      </c>
      <c r="K1922" s="31">
        <f>IF(COUNTIFS(Addendum!C:C,A1922,Addendum!D:D,IF(ISNUMBER(B1922),TEXT(B1922,"0000"),B1922),Addendum!G:G,"X")&gt;0,7%,0)</f>
        <v>0</v>
      </c>
      <c r="L1922" s="31">
        <f>IF(COUNTIFS(Addendum!C:C,A1922,Addendum!D:D,IF(ISNUMBER(B1922),TEXT(B1922,"0000"),B1922),Addendum!I:I,"X")&gt;0,10%,0)</f>
        <v>0</v>
      </c>
      <c r="M1922" s="34">
        <f t="shared" si="58"/>
        <v>0.01</v>
      </c>
      <c r="N1922" s="17">
        <f t="shared" si="59"/>
        <v>0</v>
      </c>
    </row>
    <row r="1923" spans="1:14" x14ac:dyDescent="0.25">
      <c r="A1923" s="14" t="s">
        <v>337</v>
      </c>
      <c r="B1923" s="14" t="s">
        <v>46</v>
      </c>
      <c r="C1923" s="15" t="s">
        <v>340</v>
      </c>
      <c r="D1923" s="14" t="s">
        <v>1749</v>
      </c>
      <c r="E1923" s="14" t="s">
        <v>1746</v>
      </c>
      <c r="F1923" s="17" t="s">
        <v>2993</v>
      </c>
      <c r="G1923" s="14">
        <v>156</v>
      </c>
      <c r="H1923" s="14">
        <v>124.8</v>
      </c>
      <c r="I1923" s="31">
        <f>IF(COUNTIFS(Addendum!C:C,A1923,Addendum!D:D,IF(ISNUMBER(B1923),TEXT(B1923,"0000"),B1923),Addendum!E:E,"X")&gt;0,4%,0)</f>
        <v>0.04</v>
      </c>
      <c r="J1923" s="31">
        <f>IF(COUNTIFS(Addendum!C:C,A1923,Addendum!D:D,IF(ISNUMBER(B1923),TEXT(B1923,"0000"),B1923),Addendum!F:F,"X")&gt;0,2.5%,0)</f>
        <v>0</v>
      </c>
      <c r="K1923" s="31">
        <f>IF(COUNTIFS(Addendum!C:C,A1923,Addendum!D:D,IF(ISNUMBER(B1923),TEXT(B1923,"0000"),B1923),Addendum!G:G,"X")&gt;0,7%,0)</f>
        <v>0</v>
      </c>
      <c r="L1923" s="31">
        <f>IF(COUNTIFS(Addendum!C:C,A1923,Addendum!D:D,IF(ISNUMBER(B1923),TEXT(B1923,"0000"),B1923),Addendum!I:I,"X")&gt;0,10%,0)</f>
        <v>0</v>
      </c>
      <c r="M1923" s="34">
        <f t="shared" si="58"/>
        <v>0.01</v>
      </c>
      <c r="N1923" s="17">
        <f t="shared" si="59"/>
        <v>123.55199999999999</v>
      </c>
    </row>
    <row r="1924" spans="1:14" x14ac:dyDescent="0.25">
      <c r="A1924" s="14" t="s">
        <v>337</v>
      </c>
      <c r="B1924" s="14" t="s">
        <v>333</v>
      </c>
      <c r="C1924" s="15" t="s">
        <v>342</v>
      </c>
      <c r="D1924" s="14" t="s">
        <v>1745</v>
      </c>
      <c r="E1924" s="14" t="s">
        <v>1747</v>
      </c>
      <c r="F1924" s="17" t="s">
        <v>2993</v>
      </c>
      <c r="G1924" s="14">
        <v>26340</v>
      </c>
      <c r="H1924" s="14">
        <v>21072</v>
      </c>
      <c r="I1924" s="31">
        <f>IF(COUNTIFS(Addendum!C:C,A1924,Addendum!D:D,IF(ISNUMBER(B1924),TEXT(B1924,"0000"),B1924),Addendum!E:E,"X")&gt;0,4%,0)</f>
        <v>0.04</v>
      </c>
      <c r="J1924" s="31">
        <f>IF(COUNTIFS(Addendum!C:C,A1924,Addendum!D:D,IF(ISNUMBER(B1924),TEXT(B1924,"0000"),B1924),Addendum!F:F,"X")&gt;0,2.5%,0)</f>
        <v>2.5000000000000001E-2</v>
      </c>
      <c r="K1924" s="31">
        <f>IF(COUNTIFS(Addendum!C:C,A1924,Addendum!D:D,IF(ISNUMBER(B1924),TEXT(B1924,"0000"),B1924),Addendum!G:G,"X")&gt;0,7%,0)</f>
        <v>0</v>
      </c>
      <c r="L1924" s="31">
        <f>IF(COUNTIFS(Addendum!C:C,A1924,Addendum!D:D,IF(ISNUMBER(B1924),TEXT(B1924,"0000"),B1924),Addendum!I:I,"X")&gt;0,10%,0)</f>
        <v>0.1</v>
      </c>
      <c r="M1924" s="34">
        <f t="shared" ref="M1924:M1987" si="60">IF(AND(I1924=0%,J1924=0%,K1924=0%,L1924=0%),0%,
IF(OR(TRIM(E1924)="OneTime",TRIM(D1924)=""),0%,
IF(
OR(
TRIM(D1924)="P1M",
AND(TRIM(D1924)="P1Y",TRIM(E1924)="Monthly"),
AND(TRIM(D1924)="P3Y",TRIM(E1924)="Monthly")
),
IF(AND(I1924=4%,J1924=0%,K1924=0%,L1924=0%),1%,
IF(AND(I1924=4%,J1924=2.5%,K1924=0%,L1924=10%),2%,
IF(AND(I1924=4%,J1924=0%,K1924=7%,L1924=10%),3%,0%))),
IF(
OR(
AND(TRIM(D1924)="P1Y",TRIM(E1924)="Annual"),
AND(TRIM(D1924)="P3Y",TRIM(E1924)="Annual"),
AND(TRIM(D1924)="P3Y",TRIM(E1924)="Triennial")
),
IF(AND(I1924=4%,J1924=0%,K1924=0%,L1924=0%),3%,
IF(AND(I1924=4%,J1924=2.5%,K1924=0%,L1924=10%),10%,
IF(AND(I1924=4%,J1924=0%,K1924=7%,L1924=10%),14%,0%))),
0%
))))</f>
        <v>0.1</v>
      </c>
      <c r="N1924" s="17">
        <f t="shared" ref="N1924:N1987" si="61">H1924-(H1924*M1924)</f>
        <v>18964.8</v>
      </c>
    </row>
    <row r="1925" spans="1:14" x14ac:dyDescent="0.25">
      <c r="A1925" s="14" t="s">
        <v>337</v>
      </c>
      <c r="B1925" s="14">
        <v>1</v>
      </c>
      <c r="C1925" s="15" t="s">
        <v>336</v>
      </c>
      <c r="D1925" s="14" t="s">
        <v>1745</v>
      </c>
      <c r="E1925" s="14" t="s">
        <v>1747</v>
      </c>
      <c r="F1925" s="17" t="s">
        <v>2993</v>
      </c>
      <c r="G1925" s="14">
        <v>2040</v>
      </c>
      <c r="H1925" s="14">
        <v>1632</v>
      </c>
      <c r="I1925" s="31">
        <f>IF(COUNTIFS(Addendum!C:C,A1925,Addendum!D:D,IF(ISNUMBER(B1925),TEXT(B1925,"0000"),B1925),Addendum!E:E,"X")&gt;0,4%,0)</f>
        <v>0.04</v>
      </c>
      <c r="J1925" s="31">
        <f>IF(COUNTIFS(Addendum!C:C,A1925,Addendum!D:D,IF(ISNUMBER(B1925),TEXT(B1925,"0000"),B1925),Addendum!F:F,"X")&gt;0,2.5%,0)</f>
        <v>0</v>
      </c>
      <c r="K1925" s="31">
        <f>IF(COUNTIFS(Addendum!C:C,A1925,Addendum!D:D,IF(ISNUMBER(B1925),TEXT(B1925,"0000"),B1925),Addendum!G:G,"X")&gt;0,7%,0)</f>
        <v>0</v>
      </c>
      <c r="L1925" s="31">
        <f>IF(COUNTIFS(Addendum!C:C,A1925,Addendum!D:D,IF(ISNUMBER(B1925),TEXT(B1925,"0000"),B1925),Addendum!I:I,"X")&gt;0,10%,0)</f>
        <v>0</v>
      </c>
      <c r="M1925" s="34">
        <f t="shared" si="60"/>
        <v>0.03</v>
      </c>
      <c r="N1925" s="17">
        <f t="shared" si="61"/>
        <v>1583.04</v>
      </c>
    </row>
    <row r="1926" spans="1:14" x14ac:dyDescent="0.25">
      <c r="A1926" s="14" t="s">
        <v>337</v>
      </c>
      <c r="B1926" s="14" t="s">
        <v>32</v>
      </c>
      <c r="C1926" s="15" t="s">
        <v>2359</v>
      </c>
      <c r="D1926" s="14" t="s">
        <v>1745</v>
      </c>
      <c r="E1926" s="14" t="s">
        <v>1746</v>
      </c>
      <c r="F1926" s="17" t="s">
        <v>2995</v>
      </c>
      <c r="G1926" s="14">
        <v>0</v>
      </c>
      <c r="H1926" s="14">
        <v>0</v>
      </c>
      <c r="I1926" s="31">
        <f>IF(COUNTIFS(Addendum!C:C,A1926,Addendum!D:D,IF(ISNUMBER(B1926),TEXT(B1926,"0000"),B1926),Addendum!E:E,"X")&gt;0,4%,0)</f>
        <v>0.04</v>
      </c>
      <c r="J1926" s="31">
        <f>IF(COUNTIFS(Addendum!C:C,A1926,Addendum!D:D,IF(ISNUMBER(B1926),TEXT(B1926,"0000"),B1926),Addendum!F:F,"X")&gt;0,2.5%,0)</f>
        <v>0</v>
      </c>
      <c r="K1926" s="31">
        <f>IF(COUNTIFS(Addendum!C:C,A1926,Addendum!D:D,IF(ISNUMBER(B1926),TEXT(B1926,"0000"),B1926),Addendum!G:G,"X")&gt;0,7%,0)</f>
        <v>0</v>
      </c>
      <c r="L1926" s="31">
        <f>IF(COUNTIFS(Addendum!C:C,A1926,Addendum!D:D,IF(ISNUMBER(B1926),TEXT(B1926,"0000"),B1926),Addendum!I:I,"X")&gt;0,10%,0)</f>
        <v>0</v>
      </c>
      <c r="M1926" s="34">
        <f t="shared" si="60"/>
        <v>0.01</v>
      </c>
      <c r="N1926" s="17">
        <f t="shared" si="61"/>
        <v>0</v>
      </c>
    </row>
    <row r="1927" spans="1:14" x14ac:dyDescent="0.25">
      <c r="A1927" s="14" t="s">
        <v>337</v>
      </c>
      <c r="B1927" s="14" t="s">
        <v>325</v>
      </c>
      <c r="C1927" s="15" t="s">
        <v>345</v>
      </c>
      <c r="D1927" s="14" t="s">
        <v>1745</v>
      </c>
      <c r="E1927" s="14" t="s">
        <v>1747</v>
      </c>
      <c r="F1927" s="17" t="s">
        <v>2993</v>
      </c>
      <c r="G1927" s="14">
        <v>27960</v>
      </c>
      <c r="H1927" s="14">
        <v>22368</v>
      </c>
      <c r="I1927" s="31">
        <f>IF(COUNTIFS(Addendum!C:C,A1927,Addendum!D:D,IF(ISNUMBER(B1927),TEXT(B1927,"0000"),B1927),Addendum!E:E,"X")&gt;0,4%,0)</f>
        <v>0.04</v>
      </c>
      <c r="J1927" s="31">
        <f>IF(COUNTIFS(Addendum!C:C,A1927,Addendum!D:D,IF(ISNUMBER(B1927),TEXT(B1927,"0000"),B1927),Addendum!F:F,"X")&gt;0,2.5%,0)</f>
        <v>2.5000000000000001E-2</v>
      </c>
      <c r="K1927" s="31">
        <f>IF(COUNTIFS(Addendum!C:C,A1927,Addendum!D:D,IF(ISNUMBER(B1927),TEXT(B1927,"0000"),B1927),Addendum!G:G,"X")&gt;0,7%,0)</f>
        <v>0</v>
      </c>
      <c r="L1927" s="31">
        <f>IF(COUNTIFS(Addendum!C:C,A1927,Addendum!D:D,IF(ISNUMBER(B1927),TEXT(B1927,"0000"),B1927),Addendum!I:I,"X")&gt;0,10%,0)</f>
        <v>0.1</v>
      </c>
      <c r="M1927" s="34">
        <f t="shared" si="60"/>
        <v>0.1</v>
      </c>
      <c r="N1927" s="17">
        <f t="shared" si="61"/>
        <v>20131.2</v>
      </c>
    </row>
    <row r="1928" spans="1:14" x14ac:dyDescent="0.25">
      <c r="A1928" s="14" t="s">
        <v>337</v>
      </c>
      <c r="B1928" s="14" t="s">
        <v>46</v>
      </c>
      <c r="C1928" s="15" t="s">
        <v>340</v>
      </c>
      <c r="D1928" s="14" t="s">
        <v>1745</v>
      </c>
      <c r="E1928" s="14" t="s">
        <v>1746</v>
      </c>
      <c r="F1928" s="17" t="s">
        <v>2993</v>
      </c>
      <c r="G1928" s="14">
        <v>1638</v>
      </c>
      <c r="H1928" s="14">
        <v>1310.4000000000001</v>
      </c>
      <c r="I1928" s="31">
        <f>IF(COUNTIFS(Addendum!C:C,A1928,Addendum!D:D,IF(ISNUMBER(B1928),TEXT(B1928,"0000"),B1928),Addendum!E:E,"X")&gt;0,4%,0)</f>
        <v>0.04</v>
      </c>
      <c r="J1928" s="31">
        <f>IF(COUNTIFS(Addendum!C:C,A1928,Addendum!D:D,IF(ISNUMBER(B1928),TEXT(B1928,"0000"),B1928),Addendum!F:F,"X")&gt;0,2.5%,0)</f>
        <v>0</v>
      </c>
      <c r="K1928" s="31">
        <f>IF(COUNTIFS(Addendum!C:C,A1928,Addendum!D:D,IF(ISNUMBER(B1928),TEXT(B1928,"0000"),B1928),Addendum!G:G,"X")&gt;0,7%,0)</f>
        <v>0</v>
      </c>
      <c r="L1928" s="31">
        <f>IF(COUNTIFS(Addendum!C:C,A1928,Addendum!D:D,IF(ISNUMBER(B1928),TEXT(B1928,"0000"),B1928),Addendum!I:I,"X")&gt;0,10%,0)</f>
        <v>0</v>
      </c>
      <c r="M1928" s="34">
        <f t="shared" si="60"/>
        <v>0.01</v>
      </c>
      <c r="N1928" s="17">
        <f t="shared" si="61"/>
        <v>1297.296</v>
      </c>
    </row>
    <row r="1929" spans="1:14" x14ac:dyDescent="0.25">
      <c r="A1929" s="14" t="s">
        <v>354</v>
      </c>
      <c r="B1929" s="14" t="s">
        <v>28</v>
      </c>
      <c r="C1929" s="15" t="s">
        <v>357</v>
      </c>
      <c r="D1929" s="14" t="s">
        <v>1745</v>
      </c>
      <c r="E1929" s="14" t="s">
        <v>1747</v>
      </c>
      <c r="F1929" s="17" t="s">
        <v>2993</v>
      </c>
      <c r="G1929" s="14">
        <v>18780</v>
      </c>
      <c r="H1929" s="14">
        <v>15024</v>
      </c>
      <c r="I1929" s="31">
        <f>IF(COUNTIFS(Addendum!C:C,A1929,Addendum!D:D,IF(ISNUMBER(B1929),TEXT(B1929,"0000"),B1929),Addendum!E:E,"X")&gt;0,4%,0)</f>
        <v>0.04</v>
      </c>
      <c r="J1929" s="31">
        <f>IF(COUNTIFS(Addendum!C:C,A1929,Addendum!D:D,IF(ISNUMBER(B1929),TEXT(B1929,"0000"),B1929),Addendum!F:F,"X")&gt;0,2.5%,0)</f>
        <v>2.5000000000000001E-2</v>
      </c>
      <c r="K1929" s="31">
        <f>IF(COUNTIFS(Addendum!C:C,A1929,Addendum!D:D,IF(ISNUMBER(B1929),TEXT(B1929,"0000"),B1929),Addendum!G:G,"X")&gt;0,7%,0)</f>
        <v>0</v>
      </c>
      <c r="L1929" s="31">
        <f>IF(COUNTIFS(Addendum!C:C,A1929,Addendum!D:D,IF(ISNUMBER(B1929),TEXT(B1929,"0000"),B1929),Addendum!I:I,"X")&gt;0,10%,0)</f>
        <v>0.1</v>
      </c>
      <c r="M1929" s="34">
        <f t="shared" si="60"/>
        <v>0.1</v>
      </c>
      <c r="N1929" s="17">
        <f t="shared" si="61"/>
        <v>13521.6</v>
      </c>
    </row>
    <row r="1930" spans="1:14" x14ac:dyDescent="0.25">
      <c r="A1930" s="14" t="s">
        <v>354</v>
      </c>
      <c r="B1930" s="14">
        <v>2</v>
      </c>
      <c r="C1930" s="15" t="s">
        <v>353</v>
      </c>
      <c r="D1930" s="14" t="s">
        <v>1745</v>
      </c>
      <c r="E1930" s="14" t="s">
        <v>1746</v>
      </c>
      <c r="F1930" s="17" t="s">
        <v>2993</v>
      </c>
      <c r="G1930" s="14">
        <v>23058</v>
      </c>
      <c r="H1930" s="14">
        <v>18446.400000000001</v>
      </c>
      <c r="I1930" s="31">
        <f>IF(COUNTIFS(Addendum!C:C,A1930,Addendum!D:D,IF(ISNUMBER(B1930),TEXT(B1930,"0000"),B1930),Addendum!E:E,"X")&gt;0,4%,0)</f>
        <v>0.04</v>
      </c>
      <c r="J1930" s="31">
        <f>IF(COUNTIFS(Addendum!C:C,A1930,Addendum!D:D,IF(ISNUMBER(B1930),TEXT(B1930,"0000"),B1930),Addendum!F:F,"X")&gt;0,2.5%,0)</f>
        <v>2.5000000000000001E-2</v>
      </c>
      <c r="K1930" s="31">
        <f>IF(COUNTIFS(Addendum!C:C,A1930,Addendum!D:D,IF(ISNUMBER(B1930),TEXT(B1930,"0000"),B1930),Addendum!G:G,"X")&gt;0,7%,0)</f>
        <v>0</v>
      </c>
      <c r="L1930" s="31">
        <f>IF(COUNTIFS(Addendum!C:C,A1930,Addendum!D:D,IF(ISNUMBER(B1930),TEXT(B1930,"0000"),B1930),Addendum!I:I,"X")&gt;0,10%,0)</f>
        <v>0.1</v>
      </c>
      <c r="M1930" s="34">
        <f t="shared" si="60"/>
        <v>0.02</v>
      </c>
      <c r="N1930" s="17">
        <f t="shared" si="61"/>
        <v>18077.472000000002</v>
      </c>
    </row>
    <row r="1931" spans="1:14" x14ac:dyDescent="0.25">
      <c r="A1931" s="14" t="s">
        <v>354</v>
      </c>
      <c r="B1931" s="14" t="s">
        <v>98</v>
      </c>
      <c r="C1931" s="15" t="s">
        <v>2360</v>
      </c>
      <c r="D1931" s="14" t="s">
        <v>1749</v>
      </c>
      <c r="E1931" s="14" t="s">
        <v>1746</v>
      </c>
      <c r="F1931" s="17" t="s">
        <v>2993</v>
      </c>
      <c r="G1931" s="14">
        <v>2874</v>
      </c>
      <c r="H1931" s="14">
        <v>2299.1999999999998</v>
      </c>
      <c r="I1931" s="31">
        <f>IF(COUNTIFS(Addendum!C:C,A1931,Addendum!D:D,IF(ISNUMBER(B1931),TEXT(B1931,"0000"),B1931),Addendum!E:E,"X")&gt;0,4%,0)</f>
        <v>0.04</v>
      </c>
      <c r="J1931" s="31">
        <f>IF(COUNTIFS(Addendum!C:C,A1931,Addendum!D:D,IF(ISNUMBER(B1931),TEXT(B1931,"0000"),B1931),Addendum!F:F,"X")&gt;0,2.5%,0)</f>
        <v>2.5000000000000001E-2</v>
      </c>
      <c r="K1931" s="31">
        <f>IF(COUNTIFS(Addendum!C:C,A1931,Addendum!D:D,IF(ISNUMBER(B1931),TEXT(B1931,"0000"),B1931),Addendum!G:G,"X")&gt;0,7%,0)</f>
        <v>0</v>
      </c>
      <c r="L1931" s="31">
        <f>IF(COUNTIFS(Addendum!C:C,A1931,Addendum!D:D,IF(ISNUMBER(B1931),TEXT(B1931,"0000"),B1931),Addendum!I:I,"X")&gt;0,10%,0)</f>
        <v>0.1</v>
      </c>
      <c r="M1931" s="34">
        <f t="shared" si="60"/>
        <v>0.02</v>
      </c>
      <c r="N1931" s="17">
        <f t="shared" si="61"/>
        <v>2253.2159999999999</v>
      </c>
    </row>
    <row r="1932" spans="1:14" x14ac:dyDescent="0.25">
      <c r="A1932" s="14" t="s">
        <v>354</v>
      </c>
      <c r="B1932" s="14" t="s">
        <v>55</v>
      </c>
      <c r="C1932" s="15" t="s">
        <v>2361</v>
      </c>
      <c r="D1932" s="14" t="s">
        <v>1745</v>
      </c>
      <c r="E1932" s="14" t="s">
        <v>1747</v>
      </c>
      <c r="F1932" s="17" t="s">
        <v>2995</v>
      </c>
      <c r="G1932" s="14">
        <v>5520</v>
      </c>
      <c r="H1932" s="14">
        <v>4968</v>
      </c>
      <c r="I1932" s="31">
        <f>IF(COUNTIFS(Addendum!C:C,A1932,Addendum!D:D,IF(ISNUMBER(B1932),TEXT(B1932,"0000"),B1932),Addendum!E:E,"X")&gt;0,4%,0)</f>
        <v>0.04</v>
      </c>
      <c r="J1932" s="31">
        <f>IF(COUNTIFS(Addendum!C:C,A1932,Addendum!D:D,IF(ISNUMBER(B1932),TEXT(B1932,"0000"),B1932),Addendum!F:F,"X")&gt;0,2.5%,0)</f>
        <v>2.5000000000000001E-2</v>
      </c>
      <c r="K1932" s="31">
        <f>IF(COUNTIFS(Addendum!C:C,A1932,Addendum!D:D,IF(ISNUMBER(B1932),TEXT(B1932,"0000"),B1932),Addendum!G:G,"X")&gt;0,7%,0)</f>
        <v>0</v>
      </c>
      <c r="L1932" s="31">
        <f>IF(COUNTIFS(Addendum!C:C,A1932,Addendum!D:D,IF(ISNUMBER(B1932),TEXT(B1932,"0000"),B1932),Addendum!I:I,"X")&gt;0,10%,0)</f>
        <v>0.1</v>
      </c>
      <c r="M1932" s="34">
        <f t="shared" si="60"/>
        <v>0.1</v>
      </c>
      <c r="N1932" s="17">
        <f t="shared" si="61"/>
        <v>4471.2</v>
      </c>
    </row>
    <row r="1933" spans="1:14" x14ac:dyDescent="0.25">
      <c r="A1933" s="14" t="s">
        <v>354</v>
      </c>
      <c r="B1933" s="14" t="s">
        <v>98</v>
      </c>
      <c r="C1933" s="15" t="s">
        <v>2360</v>
      </c>
      <c r="D1933" s="14" t="s">
        <v>1745</v>
      </c>
      <c r="E1933" s="14" t="s">
        <v>1747</v>
      </c>
      <c r="F1933" s="17" t="s">
        <v>2993</v>
      </c>
      <c r="G1933" s="14">
        <v>28740</v>
      </c>
      <c r="H1933" s="14">
        <v>22992</v>
      </c>
      <c r="I1933" s="31">
        <f>IF(COUNTIFS(Addendum!C:C,A1933,Addendum!D:D,IF(ISNUMBER(B1933),TEXT(B1933,"0000"),B1933),Addendum!E:E,"X")&gt;0,4%,0)</f>
        <v>0.04</v>
      </c>
      <c r="J1933" s="31">
        <f>IF(COUNTIFS(Addendum!C:C,A1933,Addendum!D:D,IF(ISNUMBER(B1933),TEXT(B1933,"0000"),B1933),Addendum!F:F,"X")&gt;0,2.5%,0)</f>
        <v>2.5000000000000001E-2</v>
      </c>
      <c r="K1933" s="31">
        <f>IF(COUNTIFS(Addendum!C:C,A1933,Addendum!D:D,IF(ISNUMBER(B1933),TEXT(B1933,"0000"),B1933),Addendum!G:G,"X")&gt;0,7%,0)</f>
        <v>0</v>
      </c>
      <c r="L1933" s="31">
        <f>IF(COUNTIFS(Addendum!C:C,A1933,Addendum!D:D,IF(ISNUMBER(B1933),TEXT(B1933,"0000"),B1933),Addendum!I:I,"X")&gt;0,10%,0)</f>
        <v>0.1</v>
      </c>
      <c r="M1933" s="34">
        <f t="shared" si="60"/>
        <v>0.1</v>
      </c>
      <c r="N1933" s="17">
        <f t="shared" si="61"/>
        <v>20692.8</v>
      </c>
    </row>
    <row r="1934" spans="1:14" x14ac:dyDescent="0.25">
      <c r="A1934" s="14" t="s">
        <v>354</v>
      </c>
      <c r="B1934" s="14" t="s">
        <v>55</v>
      </c>
      <c r="C1934" s="15" t="s">
        <v>2361</v>
      </c>
      <c r="D1934" s="14" t="s">
        <v>1745</v>
      </c>
      <c r="E1934" s="14" t="s">
        <v>1746</v>
      </c>
      <c r="F1934" s="17" t="s">
        <v>2995</v>
      </c>
      <c r="G1934" s="14">
        <v>5796</v>
      </c>
      <c r="H1934" s="14">
        <v>5216.3999999999996</v>
      </c>
      <c r="I1934" s="31">
        <f>IF(COUNTIFS(Addendum!C:C,A1934,Addendum!D:D,IF(ISNUMBER(B1934),TEXT(B1934,"0000"),B1934),Addendum!E:E,"X")&gt;0,4%,0)</f>
        <v>0.04</v>
      </c>
      <c r="J1934" s="31">
        <f>IF(COUNTIFS(Addendum!C:C,A1934,Addendum!D:D,IF(ISNUMBER(B1934),TEXT(B1934,"0000"),B1934),Addendum!F:F,"X")&gt;0,2.5%,0)</f>
        <v>2.5000000000000001E-2</v>
      </c>
      <c r="K1934" s="31">
        <f>IF(COUNTIFS(Addendum!C:C,A1934,Addendum!D:D,IF(ISNUMBER(B1934),TEXT(B1934,"0000"),B1934),Addendum!G:G,"X")&gt;0,7%,0)</f>
        <v>0</v>
      </c>
      <c r="L1934" s="31">
        <f>IF(COUNTIFS(Addendum!C:C,A1934,Addendum!D:D,IF(ISNUMBER(B1934),TEXT(B1934,"0000"),B1934),Addendum!I:I,"X")&gt;0,10%,0)</f>
        <v>0.1</v>
      </c>
      <c r="M1934" s="34">
        <f t="shared" si="60"/>
        <v>0.02</v>
      </c>
      <c r="N1934" s="17">
        <f t="shared" si="61"/>
        <v>5112.0719999999992</v>
      </c>
    </row>
    <row r="1935" spans="1:14" x14ac:dyDescent="0.25">
      <c r="A1935" s="14" t="s">
        <v>354</v>
      </c>
      <c r="B1935" s="14">
        <v>2</v>
      </c>
      <c r="C1935" s="15" t="s">
        <v>353</v>
      </c>
      <c r="D1935" s="14" t="s">
        <v>1745</v>
      </c>
      <c r="E1935" s="14" t="s">
        <v>1747</v>
      </c>
      <c r="F1935" s="17" t="s">
        <v>2993</v>
      </c>
      <c r="G1935" s="14">
        <v>21960</v>
      </c>
      <c r="H1935" s="14">
        <v>17568</v>
      </c>
      <c r="I1935" s="31">
        <f>IF(COUNTIFS(Addendum!C:C,A1935,Addendum!D:D,IF(ISNUMBER(B1935),TEXT(B1935,"0000"),B1935),Addendum!E:E,"X")&gt;0,4%,0)</f>
        <v>0.04</v>
      </c>
      <c r="J1935" s="31">
        <f>IF(COUNTIFS(Addendum!C:C,A1935,Addendum!D:D,IF(ISNUMBER(B1935),TEXT(B1935,"0000"),B1935),Addendum!F:F,"X")&gt;0,2.5%,0)</f>
        <v>2.5000000000000001E-2</v>
      </c>
      <c r="K1935" s="31">
        <f>IF(COUNTIFS(Addendum!C:C,A1935,Addendum!D:D,IF(ISNUMBER(B1935),TEXT(B1935,"0000"),B1935),Addendum!G:G,"X")&gt;0,7%,0)</f>
        <v>0</v>
      </c>
      <c r="L1935" s="31">
        <f>IF(COUNTIFS(Addendum!C:C,A1935,Addendum!D:D,IF(ISNUMBER(B1935),TEXT(B1935,"0000"),B1935),Addendum!I:I,"X")&gt;0,10%,0)</f>
        <v>0.1</v>
      </c>
      <c r="M1935" s="34">
        <f t="shared" si="60"/>
        <v>0.1</v>
      </c>
      <c r="N1935" s="17">
        <f t="shared" si="61"/>
        <v>15811.2</v>
      </c>
    </row>
    <row r="1936" spans="1:14" x14ac:dyDescent="0.25">
      <c r="A1936" s="14" t="s">
        <v>354</v>
      </c>
      <c r="B1936" s="14" t="s">
        <v>97</v>
      </c>
      <c r="C1936" s="15" t="s">
        <v>2362</v>
      </c>
      <c r="D1936" s="14" t="s">
        <v>1745</v>
      </c>
      <c r="E1936" s="14" t="s">
        <v>1746</v>
      </c>
      <c r="F1936" s="17" t="s">
        <v>2993</v>
      </c>
      <c r="G1936" s="14">
        <v>33516</v>
      </c>
      <c r="H1936" s="14">
        <v>26812.799999999999</v>
      </c>
      <c r="I1936" s="31">
        <f>IF(COUNTIFS(Addendum!C:C,A1936,Addendum!D:D,IF(ISNUMBER(B1936),TEXT(B1936,"0000"),B1936),Addendum!E:E,"X")&gt;0,4%,0)</f>
        <v>0.04</v>
      </c>
      <c r="J1936" s="31">
        <f>IF(COUNTIFS(Addendum!C:C,A1936,Addendum!D:D,IF(ISNUMBER(B1936),TEXT(B1936,"0000"),B1936),Addendum!F:F,"X")&gt;0,2.5%,0)</f>
        <v>2.5000000000000001E-2</v>
      </c>
      <c r="K1936" s="31">
        <f>IF(COUNTIFS(Addendum!C:C,A1936,Addendum!D:D,IF(ISNUMBER(B1936),TEXT(B1936,"0000"),B1936),Addendum!G:G,"X")&gt;0,7%,0)</f>
        <v>0</v>
      </c>
      <c r="L1936" s="31">
        <f>IF(COUNTIFS(Addendum!C:C,A1936,Addendum!D:D,IF(ISNUMBER(B1936),TEXT(B1936,"0000"),B1936),Addendum!I:I,"X")&gt;0,10%,0)</f>
        <v>0.1</v>
      </c>
      <c r="M1936" s="34">
        <f t="shared" si="60"/>
        <v>0.02</v>
      </c>
      <c r="N1936" s="17">
        <f t="shared" si="61"/>
        <v>26276.543999999998</v>
      </c>
    </row>
    <row r="1937" spans="1:14" x14ac:dyDescent="0.25">
      <c r="A1937" s="14" t="s">
        <v>354</v>
      </c>
      <c r="B1937" s="14">
        <v>2</v>
      </c>
      <c r="C1937" s="15" t="s">
        <v>353</v>
      </c>
      <c r="D1937" s="14" t="s">
        <v>1749</v>
      </c>
      <c r="E1937" s="14" t="s">
        <v>1746</v>
      </c>
      <c r="F1937" s="17" t="s">
        <v>2993</v>
      </c>
      <c r="G1937" s="14">
        <v>2196</v>
      </c>
      <c r="H1937" s="14">
        <v>1756.8</v>
      </c>
      <c r="I1937" s="31">
        <f>IF(COUNTIFS(Addendum!C:C,A1937,Addendum!D:D,IF(ISNUMBER(B1937),TEXT(B1937,"0000"),B1937),Addendum!E:E,"X")&gt;0,4%,0)</f>
        <v>0.04</v>
      </c>
      <c r="J1937" s="31">
        <f>IF(COUNTIFS(Addendum!C:C,A1937,Addendum!D:D,IF(ISNUMBER(B1937),TEXT(B1937,"0000"),B1937),Addendum!F:F,"X")&gt;0,2.5%,0)</f>
        <v>2.5000000000000001E-2</v>
      </c>
      <c r="K1937" s="31">
        <f>IF(COUNTIFS(Addendum!C:C,A1937,Addendum!D:D,IF(ISNUMBER(B1937),TEXT(B1937,"0000"),B1937),Addendum!G:G,"X")&gt;0,7%,0)</f>
        <v>0</v>
      </c>
      <c r="L1937" s="31">
        <f>IF(COUNTIFS(Addendum!C:C,A1937,Addendum!D:D,IF(ISNUMBER(B1937),TEXT(B1937,"0000"),B1937),Addendum!I:I,"X")&gt;0,10%,0)</f>
        <v>0.1</v>
      </c>
      <c r="M1937" s="34">
        <f t="shared" si="60"/>
        <v>0.02</v>
      </c>
      <c r="N1937" s="17">
        <f t="shared" si="61"/>
        <v>1721.664</v>
      </c>
    </row>
    <row r="1938" spans="1:14" x14ac:dyDescent="0.25">
      <c r="A1938" s="14" t="s">
        <v>354</v>
      </c>
      <c r="B1938" s="14" t="s">
        <v>55</v>
      </c>
      <c r="C1938" s="15" t="s">
        <v>2361</v>
      </c>
      <c r="D1938" s="14" t="s">
        <v>1749</v>
      </c>
      <c r="E1938" s="14" t="s">
        <v>1746</v>
      </c>
      <c r="F1938" s="17" t="s">
        <v>2995</v>
      </c>
      <c r="G1938" s="14">
        <v>552</v>
      </c>
      <c r="H1938" s="14">
        <v>496.8</v>
      </c>
      <c r="I1938" s="31">
        <f>IF(COUNTIFS(Addendum!C:C,A1938,Addendum!D:D,IF(ISNUMBER(B1938),TEXT(B1938,"0000"),B1938),Addendum!E:E,"X")&gt;0,4%,0)</f>
        <v>0.04</v>
      </c>
      <c r="J1938" s="31">
        <f>IF(COUNTIFS(Addendum!C:C,A1938,Addendum!D:D,IF(ISNUMBER(B1938),TEXT(B1938,"0000"),B1938),Addendum!F:F,"X")&gt;0,2.5%,0)</f>
        <v>2.5000000000000001E-2</v>
      </c>
      <c r="K1938" s="31">
        <f>IF(COUNTIFS(Addendum!C:C,A1938,Addendum!D:D,IF(ISNUMBER(B1938),TEXT(B1938,"0000"),B1938),Addendum!G:G,"X")&gt;0,7%,0)</f>
        <v>0</v>
      </c>
      <c r="L1938" s="31">
        <f>IF(COUNTIFS(Addendum!C:C,A1938,Addendum!D:D,IF(ISNUMBER(B1938),TEXT(B1938,"0000"),B1938),Addendum!I:I,"X")&gt;0,10%,0)</f>
        <v>0.1</v>
      </c>
      <c r="M1938" s="34">
        <f t="shared" si="60"/>
        <v>0.02</v>
      </c>
      <c r="N1938" s="17">
        <f t="shared" si="61"/>
        <v>486.86400000000003</v>
      </c>
    </row>
    <row r="1939" spans="1:14" x14ac:dyDescent="0.25">
      <c r="A1939" s="14" t="s">
        <v>354</v>
      </c>
      <c r="B1939" s="14">
        <v>3</v>
      </c>
      <c r="C1939" s="15" t="s">
        <v>353</v>
      </c>
      <c r="D1939" s="14" t="s">
        <v>1749</v>
      </c>
      <c r="E1939" s="14" t="s">
        <v>1766</v>
      </c>
      <c r="F1939" s="17" t="s">
        <v>2993</v>
      </c>
      <c r="G1939" s="14">
        <v>0</v>
      </c>
      <c r="H1939" s="14">
        <v>0</v>
      </c>
      <c r="I1939" s="31">
        <f>IF(COUNTIFS(Addendum!C:C,A1939,Addendum!D:D,IF(ISNUMBER(B1939),TEXT(B1939,"0000"),B1939),Addendum!E:E,"X")&gt;0,4%,0)</f>
        <v>0.04</v>
      </c>
      <c r="J1939" s="31">
        <f>IF(COUNTIFS(Addendum!C:C,A1939,Addendum!D:D,IF(ISNUMBER(B1939),TEXT(B1939,"0000"),B1939),Addendum!F:F,"X")&gt;0,2.5%,0)</f>
        <v>2.5000000000000001E-2</v>
      </c>
      <c r="K1939" s="31">
        <f>IF(COUNTIFS(Addendum!C:C,A1939,Addendum!D:D,IF(ISNUMBER(B1939),TEXT(B1939,"0000"),B1939),Addendum!G:G,"X")&gt;0,7%,0)</f>
        <v>0</v>
      </c>
      <c r="L1939" s="31">
        <f>IF(COUNTIFS(Addendum!C:C,A1939,Addendum!D:D,IF(ISNUMBER(B1939),TEXT(B1939,"0000"),B1939),Addendum!I:I,"X")&gt;0,10%,0)</f>
        <v>0.1</v>
      </c>
      <c r="M1939" s="34">
        <f t="shared" si="60"/>
        <v>0.02</v>
      </c>
      <c r="N1939" s="17">
        <f t="shared" si="61"/>
        <v>0</v>
      </c>
    </row>
    <row r="1940" spans="1:14" x14ac:dyDescent="0.25">
      <c r="A1940" s="14" t="s">
        <v>354</v>
      </c>
      <c r="B1940" s="14" t="s">
        <v>98</v>
      </c>
      <c r="C1940" s="15" t="s">
        <v>2360</v>
      </c>
      <c r="D1940" s="14" t="s">
        <v>1745</v>
      </c>
      <c r="E1940" s="14" t="s">
        <v>1746</v>
      </c>
      <c r="F1940" s="17" t="s">
        <v>2993</v>
      </c>
      <c r="G1940" s="14">
        <v>30177</v>
      </c>
      <c r="H1940" s="14">
        <v>24141.599999999999</v>
      </c>
      <c r="I1940" s="31">
        <f>IF(COUNTIFS(Addendum!C:C,A1940,Addendum!D:D,IF(ISNUMBER(B1940),TEXT(B1940,"0000"),B1940),Addendum!E:E,"X")&gt;0,4%,0)</f>
        <v>0.04</v>
      </c>
      <c r="J1940" s="31">
        <f>IF(COUNTIFS(Addendum!C:C,A1940,Addendum!D:D,IF(ISNUMBER(B1940),TEXT(B1940,"0000"),B1940),Addendum!F:F,"X")&gt;0,2.5%,0)</f>
        <v>2.5000000000000001E-2</v>
      </c>
      <c r="K1940" s="31">
        <f>IF(COUNTIFS(Addendum!C:C,A1940,Addendum!D:D,IF(ISNUMBER(B1940),TEXT(B1940,"0000"),B1940),Addendum!G:G,"X")&gt;0,7%,0)</f>
        <v>0</v>
      </c>
      <c r="L1940" s="31">
        <f>IF(COUNTIFS(Addendum!C:C,A1940,Addendum!D:D,IF(ISNUMBER(B1940),TEXT(B1940,"0000"),B1940),Addendum!I:I,"X")&gt;0,10%,0)</f>
        <v>0.1</v>
      </c>
      <c r="M1940" s="34">
        <f t="shared" si="60"/>
        <v>0.02</v>
      </c>
      <c r="N1940" s="17">
        <f t="shared" si="61"/>
        <v>23658.768</v>
      </c>
    </row>
    <row r="1941" spans="1:14" x14ac:dyDescent="0.25">
      <c r="A1941" s="14" t="s">
        <v>354</v>
      </c>
      <c r="B1941" s="14" t="s">
        <v>39</v>
      </c>
      <c r="C1941" s="15" t="s">
        <v>2361</v>
      </c>
      <c r="D1941" s="14" t="s">
        <v>1749</v>
      </c>
      <c r="E1941" s="14" t="s">
        <v>1766</v>
      </c>
      <c r="F1941" s="17" t="s">
        <v>2995</v>
      </c>
      <c r="G1941" s="14">
        <v>0</v>
      </c>
      <c r="H1941" s="14">
        <v>0</v>
      </c>
      <c r="I1941" s="31">
        <f>IF(COUNTIFS(Addendum!C:C,A1941,Addendum!D:D,IF(ISNUMBER(B1941),TEXT(B1941,"0000"),B1941),Addendum!E:E,"X")&gt;0,4%,0)</f>
        <v>0.04</v>
      </c>
      <c r="J1941" s="31">
        <f>IF(COUNTIFS(Addendum!C:C,A1941,Addendum!D:D,IF(ISNUMBER(B1941),TEXT(B1941,"0000"),B1941),Addendum!F:F,"X")&gt;0,2.5%,0)</f>
        <v>2.5000000000000001E-2</v>
      </c>
      <c r="K1941" s="31">
        <f>IF(COUNTIFS(Addendum!C:C,A1941,Addendum!D:D,IF(ISNUMBER(B1941),TEXT(B1941,"0000"),B1941),Addendum!G:G,"X")&gt;0,7%,0)</f>
        <v>0</v>
      </c>
      <c r="L1941" s="31">
        <f>IF(COUNTIFS(Addendum!C:C,A1941,Addendum!D:D,IF(ISNUMBER(B1941),TEXT(B1941,"0000"),B1941),Addendum!I:I,"X")&gt;0,10%,0)</f>
        <v>0.1</v>
      </c>
      <c r="M1941" s="34">
        <f t="shared" si="60"/>
        <v>0.02</v>
      </c>
      <c r="N1941" s="17">
        <f t="shared" si="61"/>
        <v>0</v>
      </c>
    </row>
    <row r="1942" spans="1:14" x14ac:dyDescent="0.25">
      <c r="A1942" s="14" t="s">
        <v>354</v>
      </c>
      <c r="B1942" s="14" t="s">
        <v>97</v>
      </c>
      <c r="C1942" s="15" t="s">
        <v>2362</v>
      </c>
      <c r="D1942" s="14" t="s">
        <v>1745</v>
      </c>
      <c r="E1942" s="14" t="s">
        <v>1747</v>
      </c>
      <c r="F1942" s="17" t="s">
        <v>2993</v>
      </c>
      <c r="G1942" s="14">
        <v>31920</v>
      </c>
      <c r="H1942" s="14">
        <v>25536</v>
      </c>
      <c r="I1942" s="31">
        <f>IF(COUNTIFS(Addendum!C:C,A1942,Addendum!D:D,IF(ISNUMBER(B1942),TEXT(B1942,"0000"),B1942),Addendum!E:E,"X")&gt;0,4%,0)</f>
        <v>0.04</v>
      </c>
      <c r="J1942" s="31">
        <f>IF(COUNTIFS(Addendum!C:C,A1942,Addendum!D:D,IF(ISNUMBER(B1942),TEXT(B1942,"0000"),B1942),Addendum!F:F,"X")&gt;0,2.5%,0)</f>
        <v>2.5000000000000001E-2</v>
      </c>
      <c r="K1942" s="31">
        <f>IF(COUNTIFS(Addendum!C:C,A1942,Addendum!D:D,IF(ISNUMBER(B1942),TEXT(B1942,"0000"),B1942),Addendum!G:G,"X")&gt;0,7%,0)</f>
        <v>0</v>
      </c>
      <c r="L1942" s="31">
        <f>IF(COUNTIFS(Addendum!C:C,A1942,Addendum!D:D,IF(ISNUMBER(B1942),TEXT(B1942,"0000"),B1942),Addendum!I:I,"X")&gt;0,10%,0)</f>
        <v>0.1</v>
      </c>
      <c r="M1942" s="34">
        <f t="shared" si="60"/>
        <v>0.1</v>
      </c>
      <c r="N1942" s="17">
        <f t="shared" si="61"/>
        <v>22982.400000000001</v>
      </c>
    </row>
    <row r="1943" spans="1:14" x14ac:dyDescent="0.25">
      <c r="A1943" s="14" t="s">
        <v>354</v>
      </c>
      <c r="B1943" s="14" t="s">
        <v>97</v>
      </c>
      <c r="C1943" s="15" t="s">
        <v>2362</v>
      </c>
      <c r="D1943" s="14" t="s">
        <v>1749</v>
      </c>
      <c r="E1943" s="14" t="s">
        <v>1746</v>
      </c>
      <c r="F1943" s="17" t="s">
        <v>2993</v>
      </c>
      <c r="G1943" s="14">
        <v>3192</v>
      </c>
      <c r="H1943" s="14">
        <v>2553.6</v>
      </c>
      <c r="I1943" s="31">
        <f>IF(COUNTIFS(Addendum!C:C,A1943,Addendum!D:D,IF(ISNUMBER(B1943),TEXT(B1943,"0000"),B1943),Addendum!E:E,"X")&gt;0,4%,0)</f>
        <v>0.04</v>
      </c>
      <c r="J1943" s="31">
        <f>IF(COUNTIFS(Addendum!C:C,A1943,Addendum!D:D,IF(ISNUMBER(B1943),TEXT(B1943,"0000"),B1943),Addendum!F:F,"X")&gt;0,2.5%,0)</f>
        <v>2.5000000000000001E-2</v>
      </c>
      <c r="K1943" s="31">
        <f>IF(COUNTIFS(Addendum!C:C,A1943,Addendum!D:D,IF(ISNUMBER(B1943),TEXT(B1943,"0000"),B1943),Addendum!G:G,"X")&gt;0,7%,0)</f>
        <v>0</v>
      </c>
      <c r="L1943" s="31">
        <f>IF(COUNTIFS(Addendum!C:C,A1943,Addendum!D:D,IF(ISNUMBER(B1943),TEXT(B1943,"0000"),B1943),Addendum!I:I,"X")&gt;0,10%,0)</f>
        <v>0.1</v>
      </c>
      <c r="M1943" s="34">
        <f t="shared" si="60"/>
        <v>0.02</v>
      </c>
      <c r="N1943" s="17">
        <f t="shared" si="61"/>
        <v>2502.5279999999998</v>
      </c>
    </row>
    <row r="1944" spans="1:14" x14ac:dyDescent="0.25">
      <c r="A1944" s="14" t="s">
        <v>354</v>
      </c>
      <c r="B1944" s="14" t="s">
        <v>46</v>
      </c>
      <c r="C1944" s="15" t="s">
        <v>357</v>
      </c>
      <c r="D1944" s="14" t="s">
        <v>1749</v>
      </c>
      <c r="E1944" s="14" t="s">
        <v>1766</v>
      </c>
      <c r="F1944" s="17" t="s">
        <v>2993</v>
      </c>
      <c r="G1944" s="14">
        <v>0</v>
      </c>
      <c r="H1944" s="14">
        <v>0</v>
      </c>
      <c r="I1944" s="31">
        <f>IF(COUNTIFS(Addendum!C:C,A1944,Addendum!D:D,IF(ISNUMBER(B1944),TEXT(B1944,"0000"),B1944),Addendum!E:E,"X")&gt;0,4%,0)</f>
        <v>0.04</v>
      </c>
      <c r="J1944" s="31">
        <f>IF(COUNTIFS(Addendum!C:C,A1944,Addendum!D:D,IF(ISNUMBER(B1944),TEXT(B1944,"0000"),B1944),Addendum!F:F,"X")&gt;0,2.5%,0)</f>
        <v>2.5000000000000001E-2</v>
      </c>
      <c r="K1944" s="31">
        <f>IF(COUNTIFS(Addendum!C:C,A1944,Addendum!D:D,IF(ISNUMBER(B1944),TEXT(B1944,"0000"),B1944),Addendum!G:G,"X")&gt;0,7%,0)</f>
        <v>0</v>
      </c>
      <c r="L1944" s="31">
        <f>IF(COUNTIFS(Addendum!C:C,A1944,Addendum!D:D,IF(ISNUMBER(B1944),TEXT(B1944,"0000"),B1944),Addendum!I:I,"X")&gt;0,10%,0)</f>
        <v>0.1</v>
      </c>
      <c r="M1944" s="34">
        <f t="shared" si="60"/>
        <v>0.02</v>
      </c>
      <c r="N1944" s="17">
        <f t="shared" si="61"/>
        <v>0</v>
      </c>
    </row>
    <row r="1945" spans="1:14" x14ac:dyDescent="0.25">
      <c r="A1945" s="14" t="s">
        <v>354</v>
      </c>
      <c r="B1945" s="14" t="s">
        <v>28</v>
      </c>
      <c r="C1945" s="15" t="s">
        <v>357</v>
      </c>
      <c r="D1945" s="14" t="s">
        <v>1745</v>
      </c>
      <c r="E1945" s="14" t="s">
        <v>1746</v>
      </c>
      <c r="F1945" s="17" t="s">
        <v>2993</v>
      </c>
      <c r="G1945" s="14">
        <v>19719</v>
      </c>
      <c r="H1945" s="14">
        <v>15775.2</v>
      </c>
      <c r="I1945" s="31">
        <f>IF(COUNTIFS(Addendum!C:C,A1945,Addendum!D:D,IF(ISNUMBER(B1945),TEXT(B1945,"0000"),B1945),Addendum!E:E,"X")&gt;0,4%,0)</f>
        <v>0.04</v>
      </c>
      <c r="J1945" s="31">
        <f>IF(COUNTIFS(Addendum!C:C,A1945,Addendum!D:D,IF(ISNUMBER(B1945),TEXT(B1945,"0000"),B1945),Addendum!F:F,"X")&gt;0,2.5%,0)</f>
        <v>2.5000000000000001E-2</v>
      </c>
      <c r="K1945" s="31">
        <f>IF(COUNTIFS(Addendum!C:C,A1945,Addendum!D:D,IF(ISNUMBER(B1945),TEXT(B1945,"0000"),B1945),Addendum!G:G,"X")&gt;0,7%,0)</f>
        <v>0</v>
      </c>
      <c r="L1945" s="31">
        <f>IF(COUNTIFS(Addendum!C:C,A1945,Addendum!D:D,IF(ISNUMBER(B1945),TEXT(B1945,"0000"),B1945),Addendum!I:I,"X")&gt;0,10%,0)</f>
        <v>0.1</v>
      </c>
      <c r="M1945" s="34">
        <f t="shared" si="60"/>
        <v>0.02</v>
      </c>
      <c r="N1945" s="17">
        <f t="shared" si="61"/>
        <v>15459.696</v>
      </c>
    </row>
    <row r="1946" spans="1:14" x14ac:dyDescent="0.25">
      <c r="A1946" s="14" t="s">
        <v>354</v>
      </c>
      <c r="B1946" s="14" t="s">
        <v>28</v>
      </c>
      <c r="C1946" s="15" t="s">
        <v>357</v>
      </c>
      <c r="D1946" s="14" t="s">
        <v>1749</v>
      </c>
      <c r="E1946" s="14" t="s">
        <v>1746</v>
      </c>
      <c r="F1946" s="17" t="s">
        <v>2993</v>
      </c>
      <c r="G1946" s="14">
        <v>1878</v>
      </c>
      <c r="H1946" s="14">
        <v>1502.4</v>
      </c>
      <c r="I1946" s="31">
        <f>IF(COUNTIFS(Addendum!C:C,A1946,Addendum!D:D,IF(ISNUMBER(B1946),TEXT(B1946,"0000"),B1946),Addendum!E:E,"X")&gt;0,4%,0)</f>
        <v>0.04</v>
      </c>
      <c r="J1946" s="31">
        <f>IF(COUNTIFS(Addendum!C:C,A1946,Addendum!D:D,IF(ISNUMBER(B1946),TEXT(B1946,"0000"),B1946),Addendum!F:F,"X")&gt;0,2.5%,0)</f>
        <v>2.5000000000000001E-2</v>
      </c>
      <c r="K1946" s="31">
        <f>IF(COUNTIFS(Addendum!C:C,A1946,Addendum!D:D,IF(ISNUMBER(B1946),TEXT(B1946,"0000"),B1946),Addendum!G:G,"X")&gt;0,7%,0)</f>
        <v>0</v>
      </c>
      <c r="L1946" s="31">
        <f>IF(COUNTIFS(Addendum!C:C,A1946,Addendum!D:D,IF(ISNUMBER(B1946),TEXT(B1946,"0000"),B1946),Addendum!I:I,"X")&gt;0,10%,0)</f>
        <v>0.1</v>
      </c>
      <c r="M1946" s="34">
        <f t="shared" si="60"/>
        <v>0.02</v>
      </c>
      <c r="N1946" s="17">
        <f t="shared" si="61"/>
        <v>1472.3520000000001</v>
      </c>
    </row>
    <row r="1947" spans="1:14" x14ac:dyDescent="0.25">
      <c r="A1947" s="14" t="s">
        <v>376</v>
      </c>
      <c r="B1947" s="14">
        <v>1</v>
      </c>
      <c r="C1947" s="15" t="s">
        <v>375</v>
      </c>
      <c r="D1947" s="14" t="s">
        <v>1745</v>
      </c>
      <c r="E1947" s="14" t="s">
        <v>1747</v>
      </c>
      <c r="F1947" s="17" t="s">
        <v>2993</v>
      </c>
      <c r="G1947" s="14">
        <v>10320</v>
      </c>
      <c r="H1947" s="14">
        <v>8256</v>
      </c>
      <c r="I1947" s="31">
        <f>IF(COUNTIFS(Addendum!C:C,A1947,Addendum!D:D,IF(ISNUMBER(B1947),TEXT(B1947,"0000"),B1947),Addendum!E:E,"X")&gt;0,4%,0)</f>
        <v>0.04</v>
      </c>
      <c r="J1947" s="31">
        <f>IF(COUNTIFS(Addendum!C:C,A1947,Addendum!D:D,IF(ISNUMBER(B1947),TEXT(B1947,"0000"),B1947),Addendum!F:F,"X")&gt;0,2.5%,0)</f>
        <v>0</v>
      </c>
      <c r="K1947" s="31">
        <f>IF(COUNTIFS(Addendum!C:C,A1947,Addendum!D:D,IF(ISNUMBER(B1947),TEXT(B1947,"0000"),B1947),Addendum!G:G,"X")&gt;0,7%,0)</f>
        <v>0</v>
      </c>
      <c r="L1947" s="31">
        <f>IF(COUNTIFS(Addendum!C:C,A1947,Addendum!D:D,IF(ISNUMBER(B1947),TEXT(B1947,"0000"),B1947),Addendum!I:I,"X")&gt;0,10%,0)</f>
        <v>0</v>
      </c>
      <c r="M1947" s="34">
        <f t="shared" si="60"/>
        <v>0.03</v>
      </c>
      <c r="N1947" s="17">
        <f t="shared" si="61"/>
        <v>8008.32</v>
      </c>
    </row>
    <row r="1948" spans="1:14" x14ac:dyDescent="0.25">
      <c r="A1948" s="14" t="s">
        <v>376</v>
      </c>
      <c r="B1948" s="14">
        <v>1</v>
      </c>
      <c r="C1948" s="15" t="s">
        <v>375</v>
      </c>
      <c r="D1948" s="14" t="s">
        <v>1749</v>
      </c>
      <c r="E1948" s="14" t="s">
        <v>1746</v>
      </c>
      <c r="F1948" s="17" t="s">
        <v>2993</v>
      </c>
      <c r="G1948" s="14">
        <v>1032</v>
      </c>
      <c r="H1948" s="14">
        <v>825.6</v>
      </c>
      <c r="I1948" s="31">
        <f>IF(COUNTIFS(Addendum!C:C,A1948,Addendum!D:D,IF(ISNUMBER(B1948),TEXT(B1948,"0000"),B1948),Addendum!E:E,"X")&gt;0,4%,0)</f>
        <v>0.04</v>
      </c>
      <c r="J1948" s="31">
        <f>IF(COUNTIFS(Addendum!C:C,A1948,Addendum!D:D,IF(ISNUMBER(B1948),TEXT(B1948,"0000"),B1948),Addendum!F:F,"X")&gt;0,2.5%,0)</f>
        <v>0</v>
      </c>
      <c r="K1948" s="31">
        <f>IF(COUNTIFS(Addendum!C:C,A1948,Addendum!D:D,IF(ISNUMBER(B1948),TEXT(B1948,"0000"),B1948),Addendum!G:G,"X")&gt;0,7%,0)</f>
        <v>0</v>
      </c>
      <c r="L1948" s="31">
        <f>IF(COUNTIFS(Addendum!C:C,A1948,Addendum!D:D,IF(ISNUMBER(B1948),TEXT(B1948,"0000"),B1948),Addendum!I:I,"X")&gt;0,10%,0)</f>
        <v>0</v>
      </c>
      <c r="M1948" s="34">
        <f t="shared" si="60"/>
        <v>0.01</v>
      </c>
      <c r="N1948" s="17">
        <f t="shared" si="61"/>
        <v>817.34400000000005</v>
      </c>
    </row>
    <row r="1949" spans="1:14" x14ac:dyDescent="0.25">
      <c r="A1949" s="14" t="s">
        <v>376</v>
      </c>
      <c r="B1949" s="14">
        <v>12</v>
      </c>
      <c r="C1949" s="15" t="s">
        <v>378</v>
      </c>
      <c r="D1949" s="14" t="s">
        <v>1749</v>
      </c>
      <c r="E1949" s="14" t="s">
        <v>1766</v>
      </c>
      <c r="F1949" s="17" t="s">
        <v>2993</v>
      </c>
      <c r="G1949" s="14">
        <v>0</v>
      </c>
      <c r="H1949" s="14">
        <v>0</v>
      </c>
      <c r="I1949" s="31">
        <f>IF(COUNTIFS(Addendum!C:C,A1949,Addendum!D:D,IF(ISNUMBER(B1949),TEXT(B1949,"0000"),B1949),Addendum!E:E,"X")&gt;0,4%,0)</f>
        <v>0.04</v>
      </c>
      <c r="J1949" s="31">
        <f>IF(COUNTIFS(Addendum!C:C,A1949,Addendum!D:D,IF(ISNUMBER(B1949),TEXT(B1949,"0000"),B1949),Addendum!F:F,"X")&gt;0,2.5%,0)</f>
        <v>0</v>
      </c>
      <c r="K1949" s="31">
        <f>IF(COUNTIFS(Addendum!C:C,A1949,Addendum!D:D,IF(ISNUMBER(B1949),TEXT(B1949,"0000"),B1949),Addendum!G:G,"X")&gt;0,7%,0)</f>
        <v>0</v>
      </c>
      <c r="L1949" s="31">
        <f>IF(COUNTIFS(Addendum!C:C,A1949,Addendum!D:D,IF(ISNUMBER(B1949),TEXT(B1949,"0000"),B1949),Addendum!I:I,"X")&gt;0,10%,0)</f>
        <v>0</v>
      </c>
      <c r="M1949" s="34">
        <f t="shared" si="60"/>
        <v>0.01</v>
      </c>
      <c r="N1949" s="17">
        <f t="shared" si="61"/>
        <v>0</v>
      </c>
    </row>
    <row r="1950" spans="1:14" x14ac:dyDescent="0.25">
      <c r="A1950" s="14" t="s">
        <v>376</v>
      </c>
      <c r="B1950" s="14" t="s">
        <v>112</v>
      </c>
      <c r="C1950" s="15" t="s">
        <v>2363</v>
      </c>
      <c r="D1950" s="14" t="s">
        <v>1745</v>
      </c>
      <c r="E1950" s="14" t="s">
        <v>1747</v>
      </c>
      <c r="F1950" s="17" t="s">
        <v>2993</v>
      </c>
      <c r="G1950" s="14">
        <v>20280</v>
      </c>
      <c r="H1950" s="14">
        <v>16224</v>
      </c>
      <c r="I1950" s="31">
        <f>IF(COUNTIFS(Addendum!C:C,A1950,Addendum!D:D,IF(ISNUMBER(B1950),TEXT(B1950,"0000"),B1950),Addendum!E:E,"X")&gt;0,4%,0)</f>
        <v>0.04</v>
      </c>
      <c r="J1950" s="31">
        <f>IF(COUNTIFS(Addendum!C:C,A1950,Addendum!D:D,IF(ISNUMBER(B1950),TEXT(B1950,"0000"),B1950),Addendum!F:F,"X")&gt;0,2.5%,0)</f>
        <v>2.5000000000000001E-2</v>
      </c>
      <c r="K1950" s="31">
        <f>IF(COUNTIFS(Addendum!C:C,A1950,Addendum!D:D,IF(ISNUMBER(B1950),TEXT(B1950,"0000"),B1950),Addendum!G:G,"X")&gt;0,7%,0)</f>
        <v>0</v>
      </c>
      <c r="L1950" s="31">
        <f>IF(COUNTIFS(Addendum!C:C,A1950,Addendum!D:D,IF(ISNUMBER(B1950),TEXT(B1950,"0000"),B1950),Addendum!I:I,"X")&gt;0,10%,0)</f>
        <v>0.1</v>
      </c>
      <c r="M1950" s="34">
        <f t="shared" si="60"/>
        <v>0.1</v>
      </c>
      <c r="N1950" s="17">
        <f t="shared" si="61"/>
        <v>14601.6</v>
      </c>
    </row>
    <row r="1951" spans="1:14" x14ac:dyDescent="0.25">
      <c r="A1951" s="14" t="s">
        <v>376</v>
      </c>
      <c r="B1951" s="14" t="s">
        <v>39</v>
      </c>
      <c r="C1951" s="15" t="s">
        <v>2364</v>
      </c>
      <c r="D1951" s="14" t="s">
        <v>1745</v>
      </c>
      <c r="E1951" s="14" t="s">
        <v>1747</v>
      </c>
      <c r="F1951" s="17" t="s">
        <v>2995</v>
      </c>
      <c r="G1951" s="14">
        <v>2460</v>
      </c>
      <c r="H1951" s="14">
        <v>2214</v>
      </c>
      <c r="I1951" s="31">
        <f>IF(COUNTIFS(Addendum!C:C,A1951,Addendum!D:D,IF(ISNUMBER(B1951),TEXT(B1951,"0000"),B1951),Addendum!E:E,"X")&gt;0,4%,0)</f>
        <v>0.04</v>
      </c>
      <c r="J1951" s="31">
        <f>IF(COUNTIFS(Addendum!C:C,A1951,Addendum!D:D,IF(ISNUMBER(B1951),TEXT(B1951,"0000"),B1951),Addendum!F:F,"X")&gt;0,2.5%,0)</f>
        <v>0</v>
      </c>
      <c r="K1951" s="31">
        <f>IF(COUNTIFS(Addendum!C:C,A1951,Addendum!D:D,IF(ISNUMBER(B1951),TEXT(B1951,"0000"),B1951),Addendum!G:G,"X")&gt;0,7%,0)</f>
        <v>0</v>
      </c>
      <c r="L1951" s="31">
        <f>IF(COUNTIFS(Addendum!C:C,A1951,Addendum!D:D,IF(ISNUMBER(B1951),TEXT(B1951,"0000"),B1951),Addendum!I:I,"X")&gt;0,10%,0)</f>
        <v>0</v>
      </c>
      <c r="M1951" s="34">
        <f t="shared" si="60"/>
        <v>0.03</v>
      </c>
      <c r="N1951" s="17">
        <f t="shared" si="61"/>
        <v>2147.58</v>
      </c>
    </row>
    <row r="1952" spans="1:14" x14ac:dyDescent="0.25">
      <c r="A1952" s="14" t="s">
        <v>376</v>
      </c>
      <c r="B1952" s="14">
        <v>5</v>
      </c>
      <c r="C1952" s="15" t="s">
        <v>375</v>
      </c>
      <c r="D1952" s="14" t="s">
        <v>1749</v>
      </c>
      <c r="E1952" s="14" t="s">
        <v>1766</v>
      </c>
      <c r="F1952" s="17" t="s">
        <v>2993</v>
      </c>
      <c r="G1952" s="14">
        <v>0</v>
      </c>
      <c r="H1952" s="14">
        <v>0</v>
      </c>
      <c r="I1952" s="31">
        <f>IF(COUNTIFS(Addendum!C:C,A1952,Addendum!D:D,IF(ISNUMBER(B1952),TEXT(B1952,"0000"),B1952),Addendum!E:E,"X")&gt;0,4%,0)</f>
        <v>0.04</v>
      </c>
      <c r="J1952" s="31">
        <f>IF(COUNTIFS(Addendum!C:C,A1952,Addendum!D:D,IF(ISNUMBER(B1952),TEXT(B1952,"0000"),B1952),Addendum!F:F,"X")&gt;0,2.5%,0)</f>
        <v>0</v>
      </c>
      <c r="K1952" s="31">
        <f>IF(COUNTIFS(Addendum!C:C,A1952,Addendum!D:D,IF(ISNUMBER(B1952),TEXT(B1952,"0000"),B1952),Addendum!G:G,"X")&gt;0,7%,0)</f>
        <v>0</v>
      </c>
      <c r="L1952" s="31">
        <f>IF(COUNTIFS(Addendum!C:C,A1952,Addendum!D:D,IF(ISNUMBER(B1952),TEXT(B1952,"0000"),B1952),Addendum!I:I,"X")&gt;0,10%,0)</f>
        <v>0</v>
      </c>
      <c r="M1952" s="34">
        <f t="shared" si="60"/>
        <v>0.01</v>
      </c>
      <c r="N1952" s="17">
        <f t="shared" si="61"/>
        <v>0</v>
      </c>
    </row>
    <row r="1953" spans="1:14" x14ac:dyDescent="0.25">
      <c r="A1953" s="14" t="s">
        <v>376</v>
      </c>
      <c r="B1953" s="14" t="s">
        <v>112</v>
      </c>
      <c r="C1953" s="15" t="s">
        <v>2363</v>
      </c>
      <c r="D1953" s="14" t="s">
        <v>1745</v>
      </c>
      <c r="E1953" s="14" t="s">
        <v>1746</v>
      </c>
      <c r="F1953" s="17" t="s">
        <v>2993</v>
      </c>
      <c r="G1953" s="14">
        <v>21294</v>
      </c>
      <c r="H1953" s="14">
        <v>17035.2</v>
      </c>
      <c r="I1953" s="31">
        <f>IF(COUNTIFS(Addendum!C:C,A1953,Addendum!D:D,IF(ISNUMBER(B1953),TEXT(B1953,"0000"),B1953),Addendum!E:E,"X")&gt;0,4%,0)</f>
        <v>0.04</v>
      </c>
      <c r="J1953" s="31">
        <f>IF(COUNTIFS(Addendum!C:C,A1953,Addendum!D:D,IF(ISNUMBER(B1953),TEXT(B1953,"0000"),B1953),Addendum!F:F,"X")&gt;0,2.5%,0)</f>
        <v>2.5000000000000001E-2</v>
      </c>
      <c r="K1953" s="31">
        <f>IF(COUNTIFS(Addendum!C:C,A1953,Addendum!D:D,IF(ISNUMBER(B1953),TEXT(B1953,"0000"),B1953),Addendum!G:G,"X")&gt;0,7%,0)</f>
        <v>0</v>
      </c>
      <c r="L1953" s="31">
        <f>IF(COUNTIFS(Addendum!C:C,A1953,Addendum!D:D,IF(ISNUMBER(B1953),TEXT(B1953,"0000"),B1953),Addendum!I:I,"X")&gt;0,10%,0)</f>
        <v>0.1</v>
      </c>
      <c r="M1953" s="34">
        <f t="shared" si="60"/>
        <v>0.02</v>
      </c>
      <c r="N1953" s="17">
        <f t="shared" si="61"/>
        <v>16694.495999999999</v>
      </c>
    </row>
    <row r="1954" spans="1:14" x14ac:dyDescent="0.25">
      <c r="A1954" s="14" t="s">
        <v>376</v>
      </c>
      <c r="B1954" s="14" t="s">
        <v>112</v>
      </c>
      <c r="C1954" s="15" t="s">
        <v>2363</v>
      </c>
      <c r="D1954" s="14" t="s">
        <v>1749</v>
      </c>
      <c r="E1954" s="14" t="s">
        <v>1746</v>
      </c>
      <c r="F1954" s="17" t="s">
        <v>2993</v>
      </c>
      <c r="G1954" s="14">
        <v>2028</v>
      </c>
      <c r="H1954" s="14">
        <v>1622.4</v>
      </c>
      <c r="I1954" s="31">
        <f>IF(COUNTIFS(Addendum!C:C,A1954,Addendum!D:D,IF(ISNUMBER(B1954),TEXT(B1954,"0000"),B1954),Addendum!E:E,"X")&gt;0,4%,0)</f>
        <v>0.04</v>
      </c>
      <c r="J1954" s="31">
        <f>IF(COUNTIFS(Addendum!C:C,A1954,Addendum!D:D,IF(ISNUMBER(B1954),TEXT(B1954,"0000"),B1954),Addendum!F:F,"X")&gt;0,2.5%,0)</f>
        <v>2.5000000000000001E-2</v>
      </c>
      <c r="K1954" s="31">
        <f>IF(COUNTIFS(Addendum!C:C,A1954,Addendum!D:D,IF(ISNUMBER(B1954),TEXT(B1954,"0000"),B1954),Addendum!G:G,"X")&gt;0,7%,0)</f>
        <v>0</v>
      </c>
      <c r="L1954" s="31">
        <f>IF(COUNTIFS(Addendum!C:C,A1954,Addendum!D:D,IF(ISNUMBER(B1954),TEXT(B1954,"0000"),B1954),Addendum!I:I,"X")&gt;0,10%,0)</f>
        <v>0.1</v>
      </c>
      <c r="M1954" s="34">
        <f t="shared" si="60"/>
        <v>0.02</v>
      </c>
      <c r="N1954" s="17">
        <f t="shared" si="61"/>
        <v>1589.952</v>
      </c>
    </row>
    <row r="1955" spans="1:14" x14ac:dyDescent="0.25">
      <c r="A1955" s="14" t="s">
        <v>376</v>
      </c>
      <c r="B1955" s="14" t="s">
        <v>122</v>
      </c>
      <c r="C1955" s="15" t="s">
        <v>2364</v>
      </c>
      <c r="D1955" s="14" t="s">
        <v>1749</v>
      </c>
      <c r="E1955" s="14" t="s">
        <v>1766</v>
      </c>
      <c r="F1955" s="17" t="s">
        <v>2995</v>
      </c>
      <c r="G1955" s="14">
        <v>0</v>
      </c>
      <c r="H1955" s="14">
        <v>0</v>
      </c>
      <c r="I1955" s="31">
        <f>IF(COUNTIFS(Addendum!C:C,A1955,Addendum!D:D,IF(ISNUMBER(B1955),TEXT(B1955,"0000"),B1955),Addendum!E:E,"X")&gt;0,4%,0)</f>
        <v>0.04</v>
      </c>
      <c r="J1955" s="31">
        <f>IF(COUNTIFS(Addendum!C:C,A1955,Addendum!D:D,IF(ISNUMBER(B1955),TEXT(B1955,"0000"),B1955),Addendum!F:F,"X")&gt;0,2.5%,0)</f>
        <v>0</v>
      </c>
      <c r="K1955" s="31">
        <f>IF(COUNTIFS(Addendum!C:C,A1955,Addendum!D:D,IF(ISNUMBER(B1955),TEXT(B1955,"0000"),B1955),Addendum!G:G,"X")&gt;0,7%,0)</f>
        <v>0</v>
      </c>
      <c r="L1955" s="31">
        <f>IF(COUNTIFS(Addendum!C:C,A1955,Addendum!D:D,IF(ISNUMBER(B1955),TEXT(B1955,"0000"),B1955),Addendum!I:I,"X")&gt;0,10%,0)</f>
        <v>0</v>
      </c>
      <c r="M1955" s="34">
        <f t="shared" si="60"/>
        <v>0.01</v>
      </c>
      <c r="N1955" s="17">
        <f t="shared" si="61"/>
        <v>0</v>
      </c>
    </row>
    <row r="1956" spans="1:14" x14ac:dyDescent="0.25">
      <c r="A1956" s="14" t="s">
        <v>376</v>
      </c>
      <c r="B1956" s="14">
        <v>1</v>
      </c>
      <c r="C1956" s="15" t="s">
        <v>375</v>
      </c>
      <c r="D1956" s="14" t="s">
        <v>1745</v>
      </c>
      <c r="E1956" s="14" t="s">
        <v>1746</v>
      </c>
      <c r="F1956" s="17" t="s">
        <v>2993</v>
      </c>
      <c r="G1956" s="14">
        <v>10836</v>
      </c>
      <c r="H1956" s="14">
        <v>8668.7999999999993</v>
      </c>
      <c r="I1956" s="31">
        <f>IF(COUNTIFS(Addendum!C:C,A1956,Addendum!D:D,IF(ISNUMBER(B1956),TEXT(B1956,"0000"),B1956),Addendum!E:E,"X")&gt;0,4%,0)</f>
        <v>0.04</v>
      </c>
      <c r="J1956" s="31">
        <f>IF(COUNTIFS(Addendum!C:C,A1956,Addendum!D:D,IF(ISNUMBER(B1956),TEXT(B1956,"0000"),B1956),Addendum!F:F,"X")&gt;0,2.5%,0)</f>
        <v>0</v>
      </c>
      <c r="K1956" s="31">
        <f>IF(COUNTIFS(Addendum!C:C,A1956,Addendum!D:D,IF(ISNUMBER(B1956),TEXT(B1956,"0000"),B1956),Addendum!G:G,"X")&gt;0,7%,0)</f>
        <v>0</v>
      </c>
      <c r="L1956" s="31">
        <f>IF(COUNTIFS(Addendum!C:C,A1956,Addendum!D:D,IF(ISNUMBER(B1956),TEXT(B1956,"0000"),B1956),Addendum!I:I,"X")&gt;0,10%,0)</f>
        <v>0</v>
      </c>
      <c r="M1956" s="34">
        <f t="shared" si="60"/>
        <v>0.01</v>
      </c>
      <c r="N1956" s="17">
        <f t="shared" si="61"/>
        <v>8582.1119999999992</v>
      </c>
    </row>
    <row r="1957" spans="1:14" x14ac:dyDescent="0.25">
      <c r="A1957" s="14" t="s">
        <v>376</v>
      </c>
      <c r="B1957" s="14">
        <v>11</v>
      </c>
      <c r="C1957" s="15" t="s">
        <v>378</v>
      </c>
      <c r="D1957" s="14" t="s">
        <v>1749</v>
      </c>
      <c r="E1957" s="14" t="s">
        <v>1746</v>
      </c>
      <c r="F1957" s="17" t="s">
        <v>2993</v>
      </c>
      <c r="G1957" s="14">
        <v>798</v>
      </c>
      <c r="H1957" s="14">
        <v>638.4</v>
      </c>
      <c r="I1957" s="31">
        <f>IF(COUNTIFS(Addendum!C:C,A1957,Addendum!D:D,IF(ISNUMBER(B1957),TEXT(B1957,"0000"),B1957),Addendum!E:E,"X")&gt;0,4%,0)</f>
        <v>0.04</v>
      </c>
      <c r="J1957" s="31">
        <f>IF(COUNTIFS(Addendum!C:C,A1957,Addendum!D:D,IF(ISNUMBER(B1957),TEXT(B1957,"0000"),B1957),Addendum!F:F,"X")&gt;0,2.5%,0)</f>
        <v>0</v>
      </c>
      <c r="K1957" s="31">
        <f>IF(COUNTIFS(Addendum!C:C,A1957,Addendum!D:D,IF(ISNUMBER(B1957),TEXT(B1957,"0000"),B1957),Addendum!G:G,"X")&gt;0,7%,0)</f>
        <v>0</v>
      </c>
      <c r="L1957" s="31">
        <f>IF(COUNTIFS(Addendum!C:C,A1957,Addendum!D:D,IF(ISNUMBER(B1957),TEXT(B1957,"0000"),B1957),Addendum!I:I,"X")&gt;0,10%,0)</f>
        <v>0</v>
      </c>
      <c r="M1957" s="34">
        <f t="shared" si="60"/>
        <v>0.01</v>
      </c>
      <c r="N1957" s="17">
        <f t="shared" si="61"/>
        <v>632.01599999999996</v>
      </c>
    </row>
    <row r="1958" spans="1:14" x14ac:dyDescent="0.25">
      <c r="A1958" s="14" t="s">
        <v>376</v>
      </c>
      <c r="B1958" s="14" t="s">
        <v>329</v>
      </c>
      <c r="C1958" s="15" t="s">
        <v>2365</v>
      </c>
      <c r="D1958" s="14" t="s">
        <v>1745</v>
      </c>
      <c r="E1958" s="14" t="s">
        <v>1747</v>
      </c>
      <c r="F1958" s="17" t="s">
        <v>2993</v>
      </c>
      <c r="G1958" s="14">
        <v>23460</v>
      </c>
      <c r="H1958" s="14">
        <v>18768</v>
      </c>
      <c r="I1958" s="31">
        <f>IF(COUNTIFS(Addendum!C:C,A1958,Addendum!D:D,IF(ISNUMBER(B1958),TEXT(B1958,"0000"),B1958),Addendum!E:E,"X")&gt;0,4%,0)</f>
        <v>0.04</v>
      </c>
      <c r="J1958" s="31">
        <f>IF(COUNTIFS(Addendum!C:C,A1958,Addendum!D:D,IF(ISNUMBER(B1958),TEXT(B1958,"0000"),B1958),Addendum!F:F,"X")&gt;0,2.5%,0)</f>
        <v>2.5000000000000001E-2</v>
      </c>
      <c r="K1958" s="31">
        <f>IF(COUNTIFS(Addendum!C:C,A1958,Addendum!D:D,IF(ISNUMBER(B1958),TEXT(B1958,"0000"),B1958),Addendum!G:G,"X")&gt;0,7%,0)</f>
        <v>0</v>
      </c>
      <c r="L1958" s="31">
        <f>IF(COUNTIFS(Addendum!C:C,A1958,Addendum!D:D,IF(ISNUMBER(B1958),TEXT(B1958,"0000"),B1958),Addendum!I:I,"X")&gt;0,10%,0)</f>
        <v>0.1</v>
      </c>
      <c r="M1958" s="34">
        <f t="shared" si="60"/>
        <v>0.1</v>
      </c>
      <c r="N1958" s="17">
        <f t="shared" si="61"/>
        <v>16891.2</v>
      </c>
    </row>
    <row r="1959" spans="1:14" x14ac:dyDescent="0.25">
      <c r="A1959" s="14" t="s">
        <v>376</v>
      </c>
      <c r="B1959" s="14" t="s">
        <v>329</v>
      </c>
      <c r="C1959" s="15" t="s">
        <v>2365</v>
      </c>
      <c r="D1959" s="14" t="s">
        <v>1749</v>
      </c>
      <c r="E1959" s="14" t="s">
        <v>1746</v>
      </c>
      <c r="F1959" s="17" t="s">
        <v>2993</v>
      </c>
      <c r="G1959" s="14">
        <v>2346</v>
      </c>
      <c r="H1959" s="14">
        <v>1876.8</v>
      </c>
      <c r="I1959" s="31">
        <f>IF(COUNTIFS(Addendum!C:C,A1959,Addendum!D:D,IF(ISNUMBER(B1959),TEXT(B1959,"0000"),B1959),Addendum!E:E,"X")&gt;0,4%,0)</f>
        <v>0.04</v>
      </c>
      <c r="J1959" s="31">
        <f>IF(COUNTIFS(Addendum!C:C,A1959,Addendum!D:D,IF(ISNUMBER(B1959),TEXT(B1959,"0000"),B1959),Addendum!F:F,"X")&gt;0,2.5%,0)</f>
        <v>2.5000000000000001E-2</v>
      </c>
      <c r="K1959" s="31">
        <f>IF(COUNTIFS(Addendum!C:C,A1959,Addendum!D:D,IF(ISNUMBER(B1959),TEXT(B1959,"0000"),B1959),Addendum!G:G,"X")&gt;0,7%,0)</f>
        <v>0</v>
      </c>
      <c r="L1959" s="31">
        <f>IF(COUNTIFS(Addendum!C:C,A1959,Addendum!D:D,IF(ISNUMBER(B1959),TEXT(B1959,"0000"),B1959),Addendum!I:I,"X")&gt;0,10%,0)</f>
        <v>0.1</v>
      </c>
      <c r="M1959" s="34">
        <f t="shared" si="60"/>
        <v>0.02</v>
      </c>
      <c r="N1959" s="17">
        <f t="shared" si="61"/>
        <v>1839.2639999999999</v>
      </c>
    </row>
    <row r="1960" spans="1:14" x14ac:dyDescent="0.25">
      <c r="A1960" s="14" t="s">
        <v>376</v>
      </c>
      <c r="B1960" s="14">
        <v>11</v>
      </c>
      <c r="C1960" s="15" t="s">
        <v>378</v>
      </c>
      <c r="D1960" s="14" t="s">
        <v>1745</v>
      </c>
      <c r="E1960" s="14" t="s">
        <v>1746</v>
      </c>
      <c r="F1960" s="17" t="s">
        <v>2993</v>
      </c>
      <c r="G1960" s="14">
        <v>8379</v>
      </c>
      <c r="H1960" s="14">
        <v>6703.2</v>
      </c>
      <c r="I1960" s="31">
        <f>IF(COUNTIFS(Addendum!C:C,A1960,Addendum!D:D,IF(ISNUMBER(B1960),TEXT(B1960,"0000"),B1960),Addendum!E:E,"X")&gt;0,4%,0)</f>
        <v>0.04</v>
      </c>
      <c r="J1960" s="31">
        <f>IF(COUNTIFS(Addendum!C:C,A1960,Addendum!D:D,IF(ISNUMBER(B1960),TEXT(B1960,"0000"),B1960),Addendum!F:F,"X")&gt;0,2.5%,0)</f>
        <v>0</v>
      </c>
      <c r="K1960" s="31">
        <f>IF(COUNTIFS(Addendum!C:C,A1960,Addendum!D:D,IF(ISNUMBER(B1960),TEXT(B1960,"0000"),B1960),Addendum!G:G,"X")&gt;0,7%,0)</f>
        <v>0</v>
      </c>
      <c r="L1960" s="31">
        <f>IF(COUNTIFS(Addendum!C:C,A1960,Addendum!D:D,IF(ISNUMBER(B1960),TEXT(B1960,"0000"),B1960),Addendum!I:I,"X")&gt;0,10%,0)</f>
        <v>0</v>
      </c>
      <c r="M1960" s="34">
        <f t="shared" si="60"/>
        <v>0.01</v>
      </c>
      <c r="N1960" s="17">
        <f t="shared" si="61"/>
        <v>6636.1679999999997</v>
      </c>
    </row>
    <row r="1961" spans="1:14" x14ac:dyDescent="0.25">
      <c r="A1961" s="14" t="s">
        <v>376</v>
      </c>
      <c r="B1961" s="14" t="s">
        <v>39</v>
      </c>
      <c r="C1961" s="15" t="s">
        <v>2364</v>
      </c>
      <c r="D1961" s="14" t="s">
        <v>1749</v>
      </c>
      <c r="E1961" s="14" t="s">
        <v>1746</v>
      </c>
      <c r="F1961" s="17" t="s">
        <v>2995</v>
      </c>
      <c r="G1961" s="14">
        <v>246</v>
      </c>
      <c r="H1961" s="14">
        <v>221.4</v>
      </c>
      <c r="I1961" s="31">
        <f>IF(COUNTIFS(Addendum!C:C,A1961,Addendum!D:D,IF(ISNUMBER(B1961),TEXT(B1961,"0000"),B1961),Addendum!E:E,"X")&gt;0,4%,0)</f>
        <v>0.04</v>
      </c>
      <c r="J1961" s="31">
        <f>IF(COUNTIFS(Addendum!C:C,A1961,Addendum!D:D,IF(ISNUMBER(B1961),TEXT(B1961,"0000"),B1961),Addendum!F:F,"X")&gt;0,2.5%,0)</f>
        <v>0</v>
      </c>
      <c r="K1961" s="31">
        <f>IF(COUNTIFS(Addendum!C:C,A1961,Addendum!D:D,IF(ISNUMBER(B1961),TEXT(B1961,"0000"),B1961),Addendum!G:G,"X")&gt;0,7%,0)</f>
        <v>0</v>
      </c>
      <c r="L1961" s="31">
        <f>IF(COUNTIFS(Addendum!C:C,A1961,Addendum!D:D,IF(ISNUMBER(B1961),TEXT(B1961,"0000"),B1961),Addendum!I:I,"X")&gt;0,10%,0)</f>
        <v>0</v>
      </c>
      <c r="M1961" s="34">
        <f t="shared" si="60"/>
        <v>0.01</v>
      </c>
      <c r="N1961" s="17">
        <f t="shared" si="61"/>
        <v>219.18600000000001</v>
      </c>
    </row>
    <row r="1962" spans="1:14" x14ac:dyDescent="0.25">
      <c r="A1962" s="14" t="s">
        <v>376</v>
      </c>
      <c r="B1962" s="14" t="s">
        <v>329</v>
      </c>
      <c r="C1962" s="15" t="s">
        <v>2365</v>
      </c>
      <c r="D1962" s="14" t="s">
        <v>1745</v>
      </c>
      <c r="E1962" s="14" t="s">
        <v>1746</v>
      </c>
      <c r="F1962" s="17" t="s">
        <v>2993</v>
      </c>
      <c r="G1962" s="14">
        <v>24633</v>
      </c>
      <c r="H1962" s="14">
        <v>19706.400000000001</v>
      </c>
      <c r="I1962" s="31">
        <f>IF(COUNTIFS(Addendum!C:C,A1962,Addendum!D:D,IF(ISNUMBER(B1962),TEXT(B1962,"0000"),B1962),Addendum!E:E,"X")&gt;0,4%,0)</f>
        <v>0.04</v>
      </c>
      <c r="J1962" s="31">
        <f>IF(COUNTIFS(Addendum!C:C,A1962,Addendum!D:D,IF(ISNUMBER(B1962),TEXT(B1962,"0000"),B1962),Addendum!F:F,"X")&gt;0,2.5%,0)</f>
        <v>2.5000000000000001E-2</v>
      </c>
      <c r="K1962" s="31">
        <f>IF(COUNTIFS(Addendum!C:C,A1962,Addendum!D:D,IF(ISNUMBER(B1962),TEXT(B1962,"0000"),B1962),Addendum!G:G,"X")&gt;0,7%,0)</f>
        <v>0</v>
      </c>
      <c r="L1962" s="31">
        <f>IF(COUNTIFS(Addendum!C:C,A1962,Addendum!D:D,IF(ISNUMBER(B1962),TEXT(B1962,"0000"),B1962),Addendum!I:I,"X")&gt;0,10%,0)</f>
        <v>0.1</v>
      </c>
      <c r="M1962" s="34">
        <f t="shared" si="60"/>
        <v>0.02</v>
      </c>
      <c r="N1962" s="17">
        <f t="shared" si="61"/>
        <v>19312.272000000001</v>
      </c>
    </row>
    <row r="1963" spans="1:14" x14ac:dyDescent="0.25">
      <c r="A1963" s="14" t="s">
        <v>376</v>
      </c>
      <c r="B1963" s="14" t="s">
        <v>39</v>
      </c>
      <c r="C1963" s="15" t="s">
        <v>2364</v>
      </c>
      <c r="D1963" s="14" t="s">
        <v>1745</v>
      </c>
      <c r="E1963" s="14" t="s">
        <v>1746</v>
      </c>
      <c r="F1963" s="17" t="s">
        <v>2995</v>
      </c>
      <c r="G1963" s="14">
        <v>2583</v>
      </c>
      <c r="H1963" s="14">
        <v>2324.7600000000002</v>
      </c>
      <c r="I1963" s="31">
        <f>IF(COUNTIFS(Addendum!C:C,A1963,Addendum!D:D,IF(ISNUMBER(B1963),TEXT(B1963,"0000"),B1963),Addendum!E:E,"X")&gt;0,4%,0)</f>
        <v>0.04</v>
      </c>
      <c r="J1963" s="31">
        <f>IF(COUNTIFS(Addendum!C:C,A1963,Addendum!D:D,IF(ISNUMBER(B1963),TEXT(B1963,"0000"),B1963),Addendum!F:F,"X")&gt;0,2.5%,0)</f>
        <v>0</v>
      </c>
      <c r="K1963" s="31">
        <f>IF(COUNTIFS(Addendum!C:C,A1963,Addendum!D:D,IF(ISNUMBER(B1963),TEXT(B1963,"0000"),B1963),Addendum!G:G,"X")&gt;0,7%,0)</f>
        <v>0</v>
      </c>
      <c r="L1963" s="31">
        <f>IF(COUNTIFS(Addendum!C:C,A1963,Addendum!D:D,IF(ISNUMBER(B1963),TEXT(B1963,"0000"),B1963),Addendum!I:I,"X")&gt;0,10%,0)</f>
        <v>0</v>
      </c>
      <c r="M1963" s="34">
        <f t="shared" si="60"/>
        <v>0.01</v>
      </c>
      <c r="N1963" s="17">
        <f t="shared" si="61"/>
        <v>2301.5124000000001</v>
      </c>
    </row>
    <row r="1964" spans="1:14" x14ac:dyDescent="0.25">
      <c r="A1964" s="14" t="s">
        <v>376</v>
      </c>
      <c r="B1964" s="14">
        <v>11</v>
      </c>
      <c r="C1964" s="15" t="s">
        <v>378</v>
      </c>
      <c r="D1964" s="14" t="s">
        <v>1745</v>
      </c>
      <c r="E1964" s="14" t="s">
        <v>1747</v>
      </c>
      <c r="F1964" s="17" t="s">
        <v>2993</v>
      </c>
      <c r="G1964" s="14">
        <v>7980</v>
      </c>
      <c r="H1964" s="14">
        <v>6384</v>
      </c>
      <c r="I1964" s="31">
        <f>IF(COUNTIFS(Addendum!C:C,A1964,Addendum!D:D,IF(ISNUMBER(B1964),TEXT(B1964,"0000"),B1964),Addendum!E:E,"X")&gt;0,4%,0)</f>
        <v>0.04</v>
      </c>
      <c r="J1964" s="31">
        <f>IF(COUNTIFS(Addendum!C:C,A1964,Addendum!D:D,IF(ISNUMBER(B1964),TEXT(B1964,"0000"),B1964),Addendum!F:F,"X")&gt;0,2.5%,0)</f>
        <v>0</v>
      </c>
      <c r="K1964" s="31">
        <f>IF(COUNTIFS(Addendum!C:C,A1964,Addendum!D:D,IF(ISNUMBER(B1964),TEXT(B1964,"0000"),B1964),Addendum!G:G,"X")&gt;0,7%,0)</f>
        <v>0</v>
      </c>
      <c r="L1964" s="31">
        <f>IF(COUNTIFS(Addendum!C:C,A1964,Addendum!D:D,IF(ISNUMBER(B1964),TEXT(B1964,"0000"),B1964),Addendum!I:I,"X")&gt;0,10%,0)</f>
        <v>0</v>
      </c>
      <c r="M1964" s="34">
        <f t="shared" si="60"/>
        <v>0.03</v>
      </c>
      <c r="N1964" s="17">
        <f t="shared" si="61"/>
        <v>6192.48</v>
      </c>
    </row>
    <row r="1965" spans="1:14" x14ac:dyDescent="0.25">
      <c r="A1965" s="14" t="s">
        <v>395</v>
      </c>
      <c r="B1965" s="14">
        <v>2</v>
      </c>
      <c r="C1965" s="15" t="s">
        <v>394</v>
      </c>
      <c r="D1965" s="14" t="s">
        <v>1745</v>
      </c>
      <c r="E1965" s="14" t="s">
        <v>1747</v>
      </c>
      <c r="F1965" s="17" t="s">
        <v>2993</v>
      </c>
      <c r="G1965" s="14">
        <v>29940</v>
      </c>
      <c r="H1965" s="14">
        <v>23952</v>
      </c>
      <c r="I1965" s="31">
        <f>IF(COUNTIFS(Addendum!C:C,A1965,Addendum!D:D,IF(ISNUMBER(B1965),TEXT(B1965,"0000"),B1965),Addendum!E:E,"X")&gt;0,4%,0)</f>
        <v>0.04</v>
      </c>
      <c r="J1965" s="31">
        <f>IF(COUNTIFS(Addendum!C:C,A1965,Addendum!D:D,IF(ISNUMBER(B1965),TEXT(B1965,"0000"),B1965),Addendum!F:F,"X")&gt;0,2.5%,0)</f>
        <v>0</v>
      </c>
      <c r="K1965" s="31">
        <f>IF(COUNTIFS(Addendum!C:C,A1965,Addendum!D:D,IF(ISNUMBER(B1965),TEXT(B1965,"0000"),B1965),Addendum!G:G,"X")&gt;0,7%,0)</f>
        <v>7.0000000000000007E-2</v>
      </c>
      <c r="L1965" s="31">
        <f>IF(COUNTIFS(Addendum!C:C,A1965,Addendum!D:D,IF(ISNUMBER(B1965),TEXT(B1965,"0000"),B1965),Addendum!I:I,"X")&gt;0,10%,0)</f>
        <v>0.1</v>
      </c>
      <c r="M1965" s="34">
        <f t="shared" si="60"/>
        <v>0.14000000000000001</v>
      </c>
      <c r="N1965" s="17">
        <f t="shared" si="61"/>
        <v>20598.72</v>
      </c>
    </row>
    <row r="1966" spans="1:14" x14ac:dyDescent="0.25">
      <c r="A1966" s="14" t="s">
        <v>395</v>
      </c>
      <c r="B1966" s="14" t="s">
        <v>195</v>
      </c>
      <c r="C1966" s="15" t="s">
        <v>2366</v>
      </c>
      <c r="D1966" s="14" t="s">
        <v>1745</v>
      </c>
      <c r="E1966" s="14" t="s">
        <v>1746</v>
      </c>
      <c r="F1966" s="17" t="s">
        <v>2995</v>
      </c>
      <c r="G1966" s="14">
        <v>26712</v>
      </c>
      <c r="H1966" s="14">
        <v>26712</v>
      </c>
      <c r="I1966" s="31">
        <f>IF(COUNTIFS(Addendum!C:C,A1966,Addendum!D:D,IF(ISNUMBER(B1966),TEXT(B1966,"0000"),B1966),Addendum!E:E,"X")&gt;0,4%,0)</f>
        <v>0.04</v>
      </c>
      <c r="J1966" s="31">
        <f>IF(COUNTIFS(Addendum!C:C,A1966,Addendum!D:D,IF(ISNUMBER(B1966),TEXT(B1966,"0000"),B1966),Addendum!F:F,"X")&gt;0,2.5%,0)</f>
        <v>0</v>
      </c>
      <c r="K1966" s="31">
        <f>IF(COUNTIFS(Addendum!C:C,A1966,Addendum!D:D,IF(ISNUMBER(B1966),TEXT(B1966,"0000"),B1966),Addendum!G:G,"X")&gt;0,7%,0)</f>
        <v>7.0000000000000007E-2</v>
      </c>
      <c r="L1966" s="31">
        <f>IF(COUNTIFS(Addendum!C:C,A1966,Addendum!D:D,IF(ISNUMBER(B1966),TEXT(B1966,"0000"),B1966),Addendum!I:I,"X")&gt;0,10%,0)</f>
        <v>0.1</v>
      </c>
      <c r="M1966" s="34">
        <f t="shared" si="60"/>
        <v>0.03</v>
      </c>
      <c r="N1966" s="17">
        <f t="shared" si="61"/>
        <v>25910.639999999999</v>
      </c>
    </row>
    <row r="1967" spans="1:14" x14ac:dyDescent="0.25">
      <c r="A1967" s="14" t="s">
        <v>395</v>
      </c>
      <c r="B1967" s="14" t="s">
        <v>108</v>
      </c>
      <c r="C1967" s="15" t="s">
        <v>2367</v>
      </c>
      <c r="D1967" s="14" t="s">
        <v>1749</v>
      </c>
      <c r="E1967" s="14" t="s">
        <v>1746</v>
      </c>
      <c r="F1967" s="17" t="s">
        <v>2993</v>
      </c>
      <c r="G1967" s="14">
        <v>2094</v>
      </c>
      <c r="H1967" s="14">
        <v>1675.2</v>
      </c>
      <c r="I1967" s="31">
        <f>IF(COUNTIFS(Addendum!C:C,A1967,Addendum!D:D,IF(ISNUMBER(B1967),TEXT(B1967,"0000"),B1967),Addendum!E:E,"X")&gt;0,4%,0)</f>
        <v>0.04</v>
      </c>
      <c r="J1967" s="31">
        <f>IF(COUNTIFS(Addendum!C:C,A1967,Addendum!D:D,IF(ISNUMBER(B1967),TEXT(B1967,"0000"),B1967),Addendum!F:F,"X")&gt;0,2.5%,0)</f>
        <v>2.5000000000000001E-2</v>
      </c>
      <c r="K1967" s="31">
        <f>IF(COUNTIFS(Addendum!C:C,A1967,Addendum!D:D,IF(ISNUMBER(B1967),TEXT(B1967,"0000"),B1967),Addendum!G:G,"X")&gt;0,7%,0)</f>
        <v>0</v>
      </c>
      <c r="L1967" s="31">
        <f>IF(COUNTIFS(Addendum!C:C,A1967,Addendum!D:D,IF(ISNUMBER(B1967),TEXT(B1967,"0000"),B1967),Addendum!I:I,"X")&gt;0,10%,0)</f>
        <v>0.1</v>
      </c>
      <c r="M1967" s="34">
        <f t="shared" si="60"/>
        <v>0.02</v>
      </c>
      <c r="N1967" s="17">
        <f t="shared" si="61"/>
        <v>1641.6960000000001</v>
      </c>
    </row>
    <row r="1968" spans="1:14" x14ac:dyDescent="0.25">
      <c r="A1968" s="14" t="s">
        <v>395</v>
      </c>
      <c r="B1968" s="14" t="s">
        <v>397</v>
      </c>
      <c r="C1968" s="15" t="s">
        <v>396</v>
      </c>
      <c r="D1968" s="14" t="s">
        <v>1752</v>
      </c>
      <c r="E1968" s="14" t="s">
        <v>1753</v>
      </c>
      <c r="F1968" s="17" t="s">
        <v>2993</v>
      </c>
      <c r="G1968" s="14">
        <v>89820</v>
      </c>
      <c r="H1968" s="14">
        <v>71856</v>
      </c>
      <c r="I1968" s="31">
        <f>IF(COUNTIFS(Addendum!C:C,A1968,Addendum!D:D,IF(ISNUMBER(B1968),TEXT(B1968,"0000"),B1968),Addendum!E:E,"X")&gt;0,4%,0)</f>
        <v>0.04</v>
      </c>
      <c r="J1968" s="31">
        <f>IF(COUNTIFS(Addendum!C:C,A1968,Addendum!D:D,IF(ISNUMBER(B1968),TEXT(B1968,"0000"),B1968),Addendum!F:F,"X")&gt;0,2.5%,0)</f>
        <v>0</v>
      </c>
      <c r="K1968" s="31">
        <f>IF(COUNTIFS(Addendum!C:C,A1968,Addendum!D:D,IF(ISNUMBER(B1968),TEXT(B1968,"0000"),B1968),Addendum!G:G,"X")&gt;0,7%,0)</f>
        <v>7.0000000000000007E-2</v>
      </c>
      <c r="L1968" s="31">
        <f>IF(COUNTIFS(Addendum!C:C,A1968,Addendum!D:D,IF(ISNUMBER(B1968),TEXT(B1968,"0000"),B1968),Addendum!I:I,"X")&gt;0,10%,0)</f>
        <v>0.1</v>
      </c>
      <c r="M1968" s="34">
        <f t="shared" si="60"/>
        <v>0.14000000000000001</v>
      </c>
      <c r="N1968" s="17">
        <f t="shared" si="61"/>
        <v>61796.160000000003</v>
      </c>
    </row>
    <row r="1969" spans="1:14" x14ac:dyDescent="0.25">
      <c r="A1969" s="14" t="s">
        <v>395</v>
      </c>
      <c r="B1969" s="14" t="s">
        <v>39</v>
      </c>
      <c r="C1969" s="15" t="s">
        <v>2368</v>
      </c>
      <c r="D1969" s="14" t="s">
        <v>1745</v>
      </c>
      <c r="E1969" s="14" t="s">
        <v>1746</v>
      </c>
      <c r="F1969" s="17" t="s">
        <v>2994</v>
      </c>
      <c r="G1969" s="14">
        <v>18900</v>
      </c>
      <c r="H1969" s="14">
        <v>17388</v>
      </c>
      <c r="I1969" s="31">
        <f>IF(COUNTIFS(Addendum!C:C,A1969,Addendum!D:D,IF(ISNUMBER(B1969),TEXT(B1969,"0000"),B1969),Addendum!E:E,"X")&gt;0,4%,0)</f>
        <v>0.04</v>
      </c>
      <c r="J1969" s="31">
        <f>IF(COUNTIFS(Addendum!C:C,A1969,Addendum!D:D,IF(ISNUMBER(B1969),TEXT(B1969,"0000"),B1969),Addendum!F:F,"X")&gt;0,2.5%,0)</f>
        <v>0</v>
      </c>
      <c r="K1969" s="31">
        <f>IF(COUNTIFS(Addendum!C:C,A1969,Addendum!D:D,IF(ISNUMBER(B1969),TEXT(B1969,"0000"),B1969),Addendum!G:G,"X")&gt;0,7%,0)</f>
        <v>7.0000000000000007E-2</v>
      </c>
      <c r="L1969" s="31">
        <f>IF(COUNTIFS(Addendum!C:C,A1969,Addendum!D:D,IF(ISNUMBER(B1969),TEXT(B1969,"0000"),B1969),Addendum!I:I,"X")&gt;0,10%,0)</f>
        <v>0.1</v>
      </c>
      <c r="M1969" s="34">
        <f t="shared" si="60"/>
        <v>0.03</v>
      </c>
      <c r="N1969" s="17">
        <f t="shared" si="61"/>
        <v>16866.36</v>
      </c>
    </row>
    <row r="1970" spans="1:14" x14ac:dyDescent="0.25">
      <c r="A1970" s="14" t="s">
        <v>395</v>
      </c>
      <c r="B1970" s="14" t="s">
        <v>397</v>
      </c>
      <c r="C1970" s="15" t="s">
        <v>396</v>
      </c>
      <c r="D1970" s="14" t="s">
        <v>1752</v>
      </c>
      <c r="E1970" s="14" t="s">
        <v>1747</v>
      </c>
      <c r="F1970" s="17" t="s">
        <v>2993</v>
      </c>
      <c r="G1970" s="14">
        <v>89820</v>
      </c>
      <c r="H1970" s="14">
        <v>71856</v>
      </c>
      <c r="I1970" s="31">
        <f>IF(COUNTIFS(Addendum!C:C,A1970,Addendum!D:D,IF(ISNUMBER(B1970),TEXT(B1970,"0000"),B1970),Addendum!E:E,"X")&gt;0,4%,0)</f>
        <v>0.04</v>
      </c>
      <c r="J1970" s="31">
        <f>IF(COUNTIFS(Addendum!C:C,A1970,Addendum!D:D,IF(ISNUMBER(B1970),TEXT(B1970,"0000"),B1970),Addendum!F:F,"X")&gt;0,2.5%,0)</f>
        <v>0</v>
      </c>
      <c r="K1970" s="31">
        <f>IF(COUNTIFS(Addendum!C:C,A1970,Addendum!D:D,IF(ISNUMBER(B1970),TEXT(B1970,"0000"),B1970),Addendum!G:G,"X")&gt;0,7%,0)</f>
        <v>7.0000000000000007E-2</v>
      </c>
      <c r="L1970" s="31">
        <f>IF(COUNTIFS(Addendum!C:C,A1970,Addendum!D:D,IF(ISNUMBER(B1970),TEXT(B1970,"0000"),B1970),Addendum!I:I,"X")&gt;0,10%,0)</f>
        <v>0.1</v>
      </c>
      <c r="M1970" s="34">
        <f t="shared" si="60"/>
        <v>0.14000000000000001</v>
      </c>
      <c r="N1970" s="17">
        <f t="shared" si="61"/>
        <v>61796.160000000003</v>
      </c>
    </row>
    <row r="1971" spans="1:14" x14ac:dyDescent="0.25">
      <c r="A1971" s="14" t="s">
        <v>395</v>
      </c>
      <c r="B1971" s="14" t="s">
        <v>50</v>
      </c>
      <c r="C1971" s="15" t="s">
        <v>2369</v>
      </c>
      <c r="D1971" s="14" t="s">
        <v>1745</v>
      </c>
      <c r="E1971" s="14" t="s">
        <v>1747</v>
      </c>
      <c r="F1971" s="17" t="s">
        <v>2994</v>
      </c>
      <c r="G1971" s="14">
        <v>18000</v>
      </c>
      <c r="H1971" s="14">
        <v>16560</v>
      </c>
      <c r="I1971" s="31">
        <f>IF(COUNTIFS(Addendum!C:C,A1971,Addendum!D:D,IF(ISNUMBER(B1971),TEXT(B1971,"0000"),B1971),Addendum!E:E,"X")&gt;0,4%,0)</f>
        <v>0.04</v>
      </c>
      <c r="J1971" s="31">
        <f>IF(COUNTIFS(Addendum!C:C,A1971,Addendum!D:D,IF(ISNUMBER(B1971),TEXT(B1971,"0000"),B1971),Addendum!F:F,"X")&gt;0,2.5%,0)</f>
        <v>0</v>
      </c>
      <c r="K1971" s="31">
        <f>IF(COUNTIFS(Addendum!C:C,A1971,Addendum!D:D,IF(ISNUMBER(B1971),TEXT(B1971,"0000"),B1971),Addendum!G:G,"X")&gt;0,7%,0)</f>
        <v>7.0000000000000007E-2</v>
      </c>
      <c r="L1971" s="31">
        <f>IF(COUNTIFS(Addendum!C:C,A1971,Addendum!D:D,IF(ISNUMBER(B1971),TEXT(B1971,"0000"),B1971),Addendum!I:I,"X")&gt;0,10%,0)</f>
        <v>0.1</v>
      </c>
      <c r="M1971" s="34">
        <f t="shared" si="60"/>
        <v>0.14000000000000001</v>
      </c>
      <c r="N1971" s="17">
        <f t="shared" si="61"/>
        <v>14241.6</v>
      </c>
    </row>
    <row r="1972" spans="1:14" x14ac:dyDescent="0.25">
      <c r="A1972" s="14" t="s">
        <v>395</v>
      </c>
      <c r="B1972" s="14" t="s">
        <v>108</v>
      </c>
      <c r="C1972" s="15" t="s">
        <v>2367</v>
      </c>
      <c r="D1972" s="14" t="s">
        <v>1745</v>
      </c>
      <c r="E1972" s="14" t="s">
        <v>1747</v>
      </c>
      <c r="F1972" s="17" t="s">
        <v>2993</v>
      </c>
      <c r="G1972" s="14">
        <v>20940</v>
      </c>
      <c r="H1972" s="14">
        <v>16752</v>
      </c>
      <c r="I1972" s="31">
        <f>IF(COUNTIFS(Addendum!C:C,A1972,Addendum!D:D,IF(ISNUMBER(B1972),TEXT(B1972,"0000"),B1972),Addendum!E:E,"X")&gt;0,4%,0)</f>
        <v>0.04</v>
      </c>
      <c r="J1972" s="31">
        <f>IF(COUNTIFS(Addendum!C:C,A1972,Addendum!D:D,IF(ISNUMBER(B1972),TEXT(B1972,"0000"),B1972),Addendum!F:F,"X")&gt;0,2.5%,0)</f>
        <v>2.5000000000000001E-2</v>
      </c>
      <c r="K1972" s="31">
        <f>IF(COUNTIFS(Addendum!C:C,A1972,Addendum!D:D,IF(ISNUMBER(B1972),TEXT(B1972,"0000"),B1972),Addendum!G:G,"X")&gt;0,7%,0)</f>
        <v>0</v>
      </c>
      <c r="L1972" s="31">
        <f>IF(COUNTIFS(Addendum!C:C,A1972,Addendum!D:D,IF(ISNUMBER(B1972),TEXT(B1972,"0000"),B1972),Addendum!I:I,"X")&gt;0,10%,0)</f>
        <v>0.1</v>
      </c>
      <c r="M1972" s="34">
        <f t="shared" si="60"/>
        <v>0.1</v>
      </c>
      <c r="N1972" s="17">
        <f t="shared" si="61"/>
        <v>15076.8</v>
      </c>
    </row>
    <row r="1973" spans="1:14" x14ac:dyDescent="0.25">
      <c r="A1973" s="14" t="s">
        <v>395</v>
      </c>
      <c r="B1973" s="14" t="s">
        <v>39</v>
      </c>
      <c r="C1973" s="15" t="s">
        <v>2368</v>
      </c>
      <c r="D1973" s="14" t="s">
        <v>1745</v>
      </c>
      <c r="E1973" s="14" t="s">
        <v>1747</v>
      </c>
      <c r="F1973" s="17" t="s">
        <v>2994</v>
      </c>
      <c r="G1973" s="14">
        <v>18000</v>
      </c>
      <c r="H1973" s="14">
        <v>16560</v>
      </c>
      <c r="I1973" s="31">
        <f>IF(COUNTIFS(Addendum!C:C,A1973,Addendum!D:D,IF(ISNUMBER(B1973),TEXT(B1973,"0000"),B1973),Addendum!E:E,"X")&gt;0,4%,0)</f>
        <v>0.04</v>
      </c>
      <c r="J1973" s="31">
        <f>IF(COUNTIFS(Addendum!C:C,A1973,Addendum!D:D,IF(ISNUMBER(B1973),TEXT(B1973,"0000"),B1973),Addendum!F:F,"X")&gt;0,2.5%,0)</f>
        <v>0</v>
      </c>
      <c r="K1973" s="31">
        <f>IF(COUNTIFS(Addendum!C:C,A1973,Addendum!D:D,IF(ISNUMBER(B1973),TEXT(B1973,"0000"),B1973),Addendum!G:G,"X")&gt;0,7%,0)</f>
        <v>7.0000000000000007E-2</v>
      </c>
      <c r="L1973" s="31">
        <f>IF(COUNTIFS(Addendum!C:C,A1973,Addendum!D:D,IF(ISNUMBER(B1973),TEXT(B1973,"0000"),B1973),Addendum!I:I,"X")&gt;0,10%,0)</f>
        <v>0.1</v>
      </c>
      <c r="M1973" s="34">
        <f t="shared" si="60"/>
        <v>0.14000000000000001</v>
      </c>
      <c r="N1973" s="17">
        <f t="shared" si="61"/>
        <v>14241.6</v>
      </c>
    </row>
    <row r="1974" spans="1:14" x14ac:dyDescent="0.25">
      <c r="A1974" s="14" t="s">
        <v>395</v>
      </c>
      <c r="B1974" s="14">
        <v>2</v>
      </c>
      <c r="C1974" s="15" t="s">
        <v>394</v>
      </c>
      <c r="D1974" s="14" t="s">
        <v>1745</v>
      </c>
      <c r="E1974" s="14" t="s">
        <v>1746</v>
      </c>
      <c r="F1974" s="17" t="s">
        <v>2993</v>
      </c>
      <c r="G1974" s="14">
        <v>31437</v>
      </c>
      <c r="H1974" s="14">
        <v>25149.599999999999</v>
      </c>
      <c r="I1974" s="31">
        <f>IF(COUNTIFS(Addendum!C:C,A1974,Addendum!D:D,IF(ISNUMBER(B1974),TEXT(B1974,"0000"),B1974),Addendum!E:E,"X")&gt;0,4%,0)</f>
        <v>0.04</v>
      </c>
      <c r="J1974" s="31">
        <f>IF(COUNTIFS(Addendum!C:C,A1974,Addendum!D:D,IF(ISNUMBER(B1974),TEXT(B1974,"0000"),B1974),Addendum!F:F,"X")&gt;0,2.5%,0)</f>
        <v>0</v>
      </c>
      <c r="K1974" s="31">
        <f>IF(COUNTIFS(Addendum!C:C,A1974,Addendum!D:D,IF(ISNUMBER(B1974),TEXT(B1974,"0000"),B1974),Addendum!G:G,"X")&gt;0,7%,0)</f>
        <v>7.0000000000000007E-2</v>
      </c>
      <c r="L1974" s="31">
        <f>IF(COUNTIFS(Addendum!C:C,A1974,Addendum!D:D,IF(ISNUMBER(B1974),TEXT(B1974,"0000"),B1974),Addendum!I:I,"X")&gt;0,10%,0)</f>
        <v>0.1</v>
      </c>
      <c r="M1974" s="34">
        <f t="shared" si="60"/>
        <v>0.03</v>
      </c>
      <c r="N1974" s="17">
        <f t="shared" si="61"/>
        <v>24395.111999999997</v>
      </c>
    </row>
    <row r="1975" spans="1:14" x14ac:dyDescent="0.25">
      <c r="A1975" s="14" t="s">
        <v>395</v>
      </c>
      <c r="B1975" s="14" t="s">
        <v>108</v>
      </c>
      <c r="C1975" s="15" t="s">
        <v>2367</v>
      </c>
      <c r="D1975" s="14" t="s">
        <v>1745</v>
      </c>
      <c r="E1975" s="14" t="s">
        <v>1746</v>
      </c>
      <c r="F1975" s="17" t="s">
        <v>2993</v>
      </c>
      <c r="G1975" s="14">
        <v>21987</v>
      </c>
      <c r="H1975" s="14">
        <v>17589.599999999999</v>
      </c>
      <c r="I1975" s="31">
        <f>IF(COUNTIFS(Addendum!C:C,A1975,Addendum!D:D,IF(ISNUMBER(B1975),TEXT(B1975,"0000"),B1975),Addendum!E:E,"X")&gt;0,4%,0)</f>
        <v>0.04</v>
      </c>
      <c r="J1975" s="31">
        <f>IF(COUNTIFS(Addendum!C:C,A1975,Addendum!D:D,IF(ISNUMBER(B1975),TEXT(B1975,"0000"),B1975),Addendum!F:F,"X")&gt;0,2.5%,0)</f>
        <v>2.5000000000000001E-2</v>
      </c>
      <c r="K1975" s="31">
        <f>IF(COUNTIFS(Addendum!C:C,A1975,Addendum!D:D,IF(ISNUMBER(B1975),TEXT(B1975,"0000"),B1975),Addendum!G:G,"X")&gt;0,7%,0)</f>
        <v>0</v>
      </c>
      <c r="L1975" s="31">
        <f>IF(COUNTIFS(Addendum!C:C,A1975,Addendum!D:D,IF(ISNUMBER(B1975),TEXT(B1975,"0000"),B1975),Addendum!I:I,"X")&gt;0,10%,0)</f>
        <v>0.1</v>
      </c>
      <c r="M1975" s="34">
        <f t="shared" si="60"/>
        <v>0.02</v>
      </c>
      <c r="N1975" s="17">
        <f t="shared" si="61"/>
        <v>17237.807999999997</v>
      </c>
    </row>
    <row r="1976" spans="1:14" x14ac:dyDescent="0.25">
      <c r="A1976" s="14" t="s">
        <v>395</v>
      </c>
      <c r="B1976" s="14" t="s">
        <v>50</v>
      </c>
      <c r="C1976" s="15" t="s">
        <v>2369</v>
      </c>
      <c r="D1976" s="14" t="s">
        <v>1745</v>
      </c>
      <c r="E1976" s="14" t="s">
        <v>1746</v>
      </c>
      <c r="F1976" s="17" t="s">
        <v>2994</v>
      </c>
      <c r="G1976" s="14">
        <v>18900</v>
      </c>
      <c r="H1976" s="14">
        <v>17388</v>
      </c>
      <c r="I1976" s="31">
        <f>IF(COUNTIFS(Addendum!C:C,A1976,Addendum!D:D,IF(ISNUMBER(B1976),TEXT(B1976,"0000"),B1976),Addendum!E:E,"X")&gt;0,4%,0)</f>
        <v>0.04</v>
      </c>
      <c r="J1976" s="31">
        <f>IF(COUNTIFS(Addendum!C:C,A1976,Addendum!D:D,IF(ISNUMBER(B1976),TEXT(B1976,"0000"),B1976),Addendum!F:F,"X")&gt;0,2.5%,0)</f>
        <v>0</v>
      </c>
      <c r="K1976" s="31">
        <f>IF(COUNTIFS(Addendum!C:C,A1976,Addendum!D:D,IF(ISNUMBER(B1976),TEXT(B1976,"0000"),B1976),Addendum!G:G,"X")&gt;0,7%,0)</f>
        <v>7.0000000000000007E-2</v>
      </c>
      <c r="L1976" s="31">
        <f>IF(COUNTIFS(Addendum!C:C,A1976,Addendum!D:D,IF(ISNUMBER(B1976),TEXT(B1976,"0000"),B1976),Addendum!I:I,"X")&gt;0,10%,0)</f>
        <v>0.1</v>
      </c>
      <c r="M1976" s="34">
        <f t="shared" si="60"/>
        <v>0.03</v>
      </c>
      <c r="N1976" s="17">
        <f t="shared" si="61"/>
        <v>16866.36</v>
      </c>
    </row>
    <row r="1977" spans="1:14" x14ac:dyDescent="0.25">
      <c r="A1977" s="14" t="s">
        <v>395</v>
      </c>
      <c r="B1977" s="14" t="s">
        <v>195</v>
      </c>
      <c r="C1977" s="15" t="s">
        <v>2366</v>
      </c>
      <c r="D1977" s="14" t="s">
        <v>1745</v>
      </c>
      <c r="E1977" s="14" t="s">
        <v>1747</v>
      </c>
      <c r="F1977" s="17" t="s">
        <v>2995</v>
      </c>
      <c r="G1977" s="14">
        <v>25440</v>
      </c>
      <c r="H1977" s="14">
        <v>25440</v>
      </c>
      <c r="I1977" s="31">
        <f>IF(COUNTIFS(Addendum!C:C,A1977,Addendum!D:D,IF(ISNUMBER(B1977),TEXT(B1977,"0000"),B1977),Addendum!E:E,"X")&gt;0,4%,0)</f>
        <v>0.04</v>
      </c>
      <c r="J1977" s="31">
        <f>IF(COUNTIFS(Addendum!C:C,A1977,Addendum!D:D,IF(ISNUMBER(B1977),TEXT(B1977,"0000"),B1977),Addendum!F:F,"X")&gt;0,2.5%,0)</f>
        <v>0</v>
      </c>
      <c r="K1977" s="31">
        <f>IF(COUNTIFS(Addendum!C:C,A1977,Addendum!D:D,IF(ISNUMBER(B1977),TEXT(B1977,"0000"),B1977),Addendum!G:G,"X")&gt;0,7%,0)</f>
        <v>7.0000000000000007E-2</v>
      </c>
      <c r="L1977" s="31">
        <f>IF(COUNTIFS(Addendum!C:C,A1977,Addendum!D:D,IF(ISNUMBER(B1977),TEXT(B1977,"0000"),B1977),Addendum!I:I,"X")&gt;0,10%,0)</f>
        <v>0.1</v>
      </c>
      <c r="M1977" s="34">
        <f t="shared" si="60"/>
        <v>0.14000000000000001</v>
      </c>
      <c r="N1977" s="17">
        <f t="shared" si="61"/>
        <v>21878.400000000001</v>
      </c>
    </row>
    <row r="1978" spans="1:14" x14ac:dyDescent="0.25">
      <c r="A1978" s="14" t="s">
        <v>493</v>
      </c>
      <c r="B1978" s="14">
        <v>3</v>
      </c>
      <c r="C1978" s="15" t="s">
        <v>508</v>
      </c>
      <c r="D1978" s="14" t="s">
        <v>1745</v>
      </c>
      <c r="E1978" s="14" t="s">
        <v>1746</v>
      </c>
      <c r="F1978" s="17" t="s">
        <v>2993</v>
      </c>
      <c r="G1978" s="14">
        <v>40887</v>
      </c>
      <c r="H1978" s="14">
        <v>32709.599999999999</v>
      </c>
      <c r="I1978" s="31">
        <f>IF(COUNTIFS(Addendum!C:C,A1978,Addendum!D:D,IF(ISNUMBER(B1978),TEXT(B1978,"0000"),B1978),Addendum!E:E,"X")&gt;0,4%,0)</f>
        <v>0.04</v>
      </c>
      <c r="J1978" s="31">
        <f>IF(COUNTIFS(Addendum!C:C,A1978,Addendum!D:D,IF(ISNUMBER(B1978),TEXT(B1978,"0000"),B1978),Addendum!F:F,"X")&gt;0,2.5%,0)</f>
        <v>2.5000000000000001E-2</v>
      </c>
      <c r="K1978" s="31">
        <f>IF(COUNTIFS(Addendum!C:C,A1978,Addendum!D:D,IF(ISNUMBER(B1978),TEXT(B1978,"0000"),B1978),Addendum!G:G,"X")&gt;0,7%,0)</f>
        <v>0</v>
      </c>
      <c r="L1978" s="31">
        <f>IF(COUNTIFS(Addendum!C:C,A1978,Addendum!D:D,IF(ISNUMBER(B1978),TEXT(B1978,"0000"),B1978),Addendum!I:I,"X")&gt;0,10%,0)</f>
        <v>0.1</v>
      </c>
      <c r="M1978" s="34">
        <f t="shared" si="60"/>
        <v>0.02</v>
      </c>
      <c r="N1978" s="17">
        <f t="shared" si="61"/>
        <v>32055.407999999999</v>
      </c>
    </row>
    <row r="1979" spans="1:14" x14ac:dyDescent="0.25">
      <c r="A1979" s="14" t="s">
        <v>493</v>
      </c>
      <c r="B1979" s="14">
        <v>1</v>
      </c>
      <c r="C1979" s="15" t="s">
        <v>491</v>
      </c>
      <c r="D1979" s="14" t="s">
        <v>1745</v>
      </c>
      <c r="E1979" s="14" t="s">
        <v>1747</v>
      </c>
      <c r="F1979" s="17" t="s">
        <v>2993</v>
      </c>
      <c r="G1979" s="14">
        <v>38940</v>
      </c>
      <c r="H1979" s="14">
        <v>31152</v>
      </c>
      <c r="I1979" s="31">
        <f>IF(COUNTIFS(Addendum!C:C,A1979,Addendum!D:D,IF(ISNUMBER(B1979),TEXT(B1979,"0000"),B1979),Addendum!E:E,"X")&gt;0,4%,0)</f>
        <v>0.04</v>
      </c>
      <c r="J1979" s="31">
        <f>IF(COUNTIFS(Addendum!C:C,A1979,Addendum!D:D,IF(ISNUMBER(B1979),TEXT(B1979,"0000"),B1979),Addendum!F:F,"X")&gt;0,2.5%,0)</f>
        <v>2.5000000000000001E-2</v>
      </c>
      <c r="K1979" s="31">
        <f>IF(COUNTIFS(Addendum!C:C,A1979,Addendum!D:D,IF(ISNUMBER(B1979),TEXT(B1979,"0000"),B1979),Addendum!G:G,"X")&gt;0,7%,0)</f>
        <v>0</v>
      </c>
      <c r="L1979" s="31">
        <f>IF(COUNTIFS(Addendum!C:C,A1979,Addendum!D:D,IF(ISNUMBER(B1979),TEXT(B1979,"0000"),B1979),Addendum!I:I,"X")&gt;0,10%,0)</f>
        <v>0.1</v>
      </c>
      <c r="M1979" s="34">
        <f t="shared" si="60"/>
        <v>0.1</v>
      </c>
      <c r="N1979" s="17">
        <f t="shared" si="61"/>
        <v>28036.799999999999</v>
      </c>
    </row>
    <row r="1980" spans="1:14" x14ac:dyDescent="0.25">
      <c r="A1980" s="14" t="s">
        <v>493</v>
      </c>
      <c r="B1980" s="14">
        <v>114</v>
      </c>
      <c r="C1980" s="15" t="s">
        <v>2370</v>
      </c>
      <c r="D1980" s="14" t="s">
        <v>1752</v>
      </c>
      <c r="E1980" s="14" t="s">
        <v>1747</v>
      </c>
      <c r="F1980" s="17" t="s">
        <v>2995</v>
      </c>
      <c r="G1980" s="14">
        <v>29160</v>
      </c>
      <c r="H1980" s="14">
        <v>26244</v>
      </c>
      <c r="I1980" s="31">
        <f>IF(COUNTIFS(Addendum!C:C,A1980,Addendum!D:D,IF(ISNUMBER(B1980),TEXT(B1980,"0000"),B1980),Addendum!E:E,"X")&gt;0,4%,0)</f>
        <v>0.04</v>
      </c>
      <c r="J1980" s="31">
        <f>IF(COUNTIFS(Addendum!C:C,A1980,Addendum!D:D,IF(ISNUMBER(B1980),TEXT(B1980,"0000"),B1980),Addendum!F:F,"X")&gt;0,2.5%,0)</f>
        <v>2.5000000000000001E-2</v>
      </c>
      <c r="K1980" s="31">
        <f>IF(COUNTIFS(Addendum!C:C,A1980,Addendum!D:D,IF(ISNUMBER(B1980),TEXT(B1980,"0000"),B1980),Addendum!G:G,"X")&gt;0,7%,0)</f>
        <v>0</v>
      </c>
      <c r="L1980" s="31">
        <f>IF(COUNTIFS(Addendum!C:C,A1980,Addendum!D:D,IF(ISNUMBER(B1980),TEXT(B1980,"0000"),B1980),Addendum!I:I,"X")&gt;0,10%,0)</f>
        <v>0.1</v>
      </c>
      <c r="M1980" s="34">
        <f t="shared" si="60"/>
        <v>0.1</v>
      </c>
      <c r="N1980" s="17">
        <f t="shared" si="61"/>
        <v>23619.599999999999</v>
      </c>
    </row>
    <row r="1981" spans="1:14" x14ac:dyDescent="0.25">
      <c r="A1981" s="14" t="s">
        <v>493</v>
      </c>
      <c r="B1981" s="14" t="s">
        <v>269</v>
      </c>
      <c r="C1981" s="15" t="s">
        <v>499</v>
      </c>
      <c r="D1981" s="14" t="s">
        <v>1752</v>
      </c>
      <c r="E1981" s="14" t="s">
        <v>1747</v>
      </c>
      <c r="F1981" s="17" t="s">
        <v>2993</v>
      </c>
      <c r="G1981" s="14">
        <v>116820</v>
      </c>
      <c r="H1981" s="14">
        <v>93456</v>
      </c>
      <c r="I1981" s="31">
        <f>IF(COUNTIFS(Addendum!C:C,A1981,Addendum!D:D,IF(ISNUMBER(B1981),TEXT(B1981,"0000"),B1981),Addendum!E:E,"X")&gt;0,4%,0)</f>
        <v>0.04</v>
      </c>
      <c r="J1981" s="31">
        <f>IF(COUNTIFS(Addendum!C:C,A1981,Addendum!D:D,IF(ISNUMBER(B1981),TEXT(B1981,"0000"),B1981),Addendum!F:F,"X")&gt;0,2.5%,0)</f>
        <v>2.5000000000000001E-2</v>
      </c>
      <c r="K1981" s="31">
        <f>IF(COUNTIFS(Addendum!C:C,A1981,Addendum!D:D,IF(ISNUMBER(B1981),TEXT(B1981,"0000"),B1981),Addendum!G:G,"X")&gt;0,7%,0)</f>
        <v>0</v>
      </c>
      <c r="L1981" s="31">
        <f>IF(COUNTIFS(Addendum!C:C,A1981,Addendum!D:D,IF(ISNUMBER(B1981),TEXT(B1981,"0000"),B1981),Addendum!I:I,"X")&gt;0,10%,0)</f>
        <v>0.1</v>
      </c>
      <c r="M1981" s="34">
        <f t="shared" si="60"/>
        <v>0.1</v>
      </c>
      <c r="N1981" s="17">
        <f t="shared" si="61"/>
        <v>84110.399999999994</v>
      </c>
    </row>
    <row r="1982" spans="1:14" x14ac:dyDescent="0.25">
      <c r="A1982" s="14" t="s">
        <v>493</v>
      </c>
      <c r="B1982" s="14" t="s">
        <v>317</v>
      </c>
      <c r="C1982" s="15" t="s">
        <v>2371</v>
      </c>
      <c r="D1982" s="14" t="s">
        <v>1749</v>
      </c>
      <c r="E1982" s="14" t="s">
        <v>1746</v>
      </c>
      <c r="F1982" s="17" t="s">
        <v>2995</v>
      </c>
      <c r="G1982" s="14">
        <v>972</v>
      </c>
      <c r="H1982" s="14">
        <v>874.8</v>
      </c>
      <c r="I1982" s="31">
        <f>IF(COUNTIFS(Addendum!C:C,A1982,Addendum!D:D,IF(ISNUMBER(B1982),TEXT(B1982,"0000"),B1982),Addendum!E:E,"X")&gt;0,4%,0)</f>
        <v>0.04</v>
      </c>
      <c r="J1982" s="31">
        <f>IF(COUNTIFS(Addendum!C:C,A1982,Addendum!D:D,IF(ISNUMBER(B1982),TEXT(B1982,"0000"),B1982),Addendum!F:F,"X")&gt;0,2.5%,0)</f>
        <v>2.5000000000000001E-2</v>
      </c>
      <c r="K1982" s="31">
        <f>IF(COUNTIFS(Addendum!C:C,A1982,Addendum!D:D,IF(ISNUMBER(B1982),TEXT(B1982,"0000"),B1982),Addendum!G:G,"X")&gt;0,7%,0)</f>
        <v>0</v>
      </c>
      <c r="L1982" s="31">
        <f>IF(COUNTIFS(Addendum!C:C,A1982,Addendum!D:D,IF(ISNUMBER(B1982),TEXT(B1982,"0000"),B1982),Addendum!I:I,"X")&gt;0,10%,0)</f>
        <v>0.1</v>
      </c>
      <c r="M1982" s="34">
        <f t="shared" si="60"/>
        <v>0.02</v>
      </c>
      <c r="N1982" s="17">
        <f t="shared" si="61"/>
        <v>857.30399999999997</v>
      </c>
    </row>
    <row r="1983" spans="1:14" x14ac:dyDescent="0.25">
      <c r="A1983" s="14" t="s">
        <v>493</v>
      </c>
      <c r="B1983" s="14">
        <v>20</v>
      </c>
      <c r="C1983" s="15" t="s">
        <v>520</v>
      </c>
      <c r="D1983" s="14" t="s">
        <v>1745</v>
      </c>
      <c r="E1983" s="14" t="s">
        <v>1746</v>
      </c>
      <c r="F1983" s="17" t="s">
        <v>2993</v>
      </c>
      <c r="G1983" s="14">
        <v>31941</v>
      </c>
      <c r="H1983" s="14">
        <v>25552.799999999999</v>
      </c>
      <c r="I1983" s="31">
        <f>IF(COUNTIFS(Addendum!C:C,A1983,Addendum!D:D,IF(ISNUMBER(B1983),TEXT(B1983,"0000"),B1983),Addendum!E:E,"X")&gt;0,4%,0)</f>
        <v>0.04</v>
      </c>
      <c r="J1983" s="31">
        <f>IF(COUNTIFS(Addendum!C:C,A1983,Addendum!D:D,IF(ISNUMBER(B1983),TEXT(B1983,"0000"),B1983),Addendum!F:F,"X")&gt;0,2.5%,0)</f>
        <v>2.5000000000000001E-2</v>
      </c>
      <c r="K1983" s="31">
        <f>IF(COUNTIFS(Addendum!C:C,A1983,Addendum!D:D,IF(ISNUMBER(B1983),TEXT(B1983,"0000"),B1983),Addendum!G:G,"X")&gt;0,7%,0)</f>
        <v>0</v>
      </c>
      <c r="L1983" s="31">
        <f>IF(COUNTIFS(Addendum!C:C,A1983,Addendum!D:D,IF(ISNUMBER(B1983),TEXT(B1983,"0000"),B1983),Addendum!I:I,"X")&gt;0,10%,0)</f>
        <v>0.1</v>
      </c>
      <c r="M1983" s="34">
        <f t="shared" si="60"/>
        <v>0.02</v>
      </c>
      <c r="N1983" s="17">
        <f t="shared" si="61"/>
        <v>25041.743999999999</v>
      </c>
    </row>
    <row r="1984" spans="1:14" x14ac:dyDescent="0.25">
      <c r="A1984" s="14" t="s">
        <v>493</v>
      </c>
      <c r="B1984" s="14" t="s">
        <v>498</v>
      </c>
      <c r="C1984" s="15" t="s">
        <v>2372</v>
      </c>
      <c r="D1984" s="14" t="s">
        <v>1749</v>
      </c>
      <c r="E1984" s="14" t="s">
        <v>1746</v>
      </c>
      <c r="F1984" s="17" t="s">
        <v>2993</v>
      </c>
      <c r="G1984" s="14">
        <v>300</v>
      </c>
      <c r="H1984" s="14">
        <v>240</v>
      </c>
      <c r="I1984" s="31">
        <f>IF(COUNTIFS(Addendum!C:C,A1984,Addendum!D:D,IF(ISNUMBER(B1984),TEXT(B1984,"0000"),B1984),Addendum!E:E,"X")&gt;0,4%,0)</f>
        <v>0.04</v>
      </c>
      <c r="J1984" s="31">
        <f>IF(COUNTIFS(Addendum!C:C,A1984,Addendum!D:D,IF(ISNUMBER(B1984),TEXT(B1984,"0000"),B1984),Addendum!F:F,"X")&gt;0,2.5%,0)</f>
        <v>2.5000000000000001E-2</v>
      </c>
      <c r="K1984" s="31">
        <f>IF(COUNTIFS(Addendum!C:C,A1984,Addendum!D:D,IF(ISNUMBER(B1984),TEXT(B1984,"0000"),B1984),Addendum!G:G,"X")&gt;0,7%,0)</f>
        <v>0</v>
      </c>
      <c r="L1984" s="31">
        <f>IF(COUNTIFS(Addendum!C:C,A1984,Addendum!D:D,IF(ISNUMBER(B1984),TEXT(B1984,"0000"),B1984),Addendum!I:I,"X")&gt;0,10%,0)</f>
        <v>0.1</v>
      </c>
      <c r="M1984" s="34">
        <f t="shared" si="60"/>
        <v>0.02</v>
      </c>
      <c r="N1984" s="17">
        <f t="shared" si="61"/>
        <v>235.2</v>
      </c>
    </row>
    <row r="1985" spans="1:14" x14ac:dyDescent="0.25">
      <c r="A1985" s="14" t="s">
        <v>493</v>
      </c>
      <c r="B1985" s="14" t="s">
        <v>494</v>
      </c>
      <c r="C1985" s="15" t="s">
        <v>492</v>
      </c>
      <c r="D1985" s="14" t="s">
        <v>1749</v>
      </c>
      <c r="E1985" s="14" t="s">
        <v>1746</v>
      </c>
      <c r="F1985" s="17" t="s">
        <v>2993</v>
      </c>
      <c r="G1985" s="14">
        <v>300</v>
      </c>
      <c r="H1985" s="14">
        <v>240</v>
      </c>
      <c r="I1985" s="31">
        <f>IF(COUNTIFS(Addendum!C:C,A1985,Addendum!D:D,IF(ISNUMBER(B1985),TEXT(B1985,"0000"),B1985),Addendum!E:E,"X")&gt;0,4%,0)</f>
        <v>0.04</v>
      </c>
      <c r="J1985" s="31">
        <f>IF(COUNTIFS(Addendum!C:C,A1985,Addendum!D:D,IF(ISNUMBER(B1985),TEXT(B1985,"0000"),B1985),Addendum!F:F,"X")&gt;0,2.5%,0)</f>
        <v>2.5000000000000001E-2</v>
      </c>
      <c r="K1985" s="31">
        <f>IF(COUNTIFS(Addendum!C:C,A1985,Addendum!D:D,IF(ISNUMBER(B1985),TEXT(B1985,"0000"),B1985),Addendum!G:G,"X")&gt;0,7%,0)</f>
        <v>0</v>
      </c>
      <c r="L1985" s="31">
        <f>IF(COUNTIFS(Addendum!C:C,A1985,Addendum!D:D,IF(ISNUMBER(B1985),TEXT(B1985,"0000"),B1985),Addendum!I:I,"X")&gt;0,10%,0)</f>
        <v>0.1</v>
      </c>
      <c r="M1985" s="34">
        <f t="shared" si="60"/>
        <v>0.02</v>
      </c>
      <c r="N1985" s="17">
        <f t="shared" si="61"/>
        <v>235.2</v>
      </c>
    </row>
    <row r="1986" spans="1:14" x14ac:dyDescent="0.25">
      <c r="A1986" s="14" t="s">
        <v>493</v>
      </c>
      <c r="B1986" s="14">
        <v>1</v>
      </c>
      <c r="C1986" s="15" t="s">
        <v>491</v>
      </c>
      <c r="D1986" s="14" t="s">
        <v>1745</v>
      </c>
      <c r="E1986" s="14" t="s">
        <v>1746</v>
      </c>
      <c r="F1986" s="17" t="s">
        <v>2993</v>
      </c>
      <c r="G1986" s="14">
        <v>40887</v>
      </c>
      <c r="H1986" s="14">
        <v>32709.599999999999</v>
      </c>
      <c r="I1986" s="31">
        <f>IF(COUNTIFS(Addendum!C:C,A1986,Addendum!D:D,IF(ISNUMBER(B1986),TEXT(B1986,"0000"),B1986),Addendum!E:E,"X")&gt;0,4%,0)</f>
        <v>0.04</v>
      </c>
      <c r="J1986" s="31">
        <f>IF(COUNTIFS(Addendum!C:C,A1986,Addendum!D:D,IF(ISNUMBER(B1986),TEXT(B1986,"0000"),B1986),Addendum!F:F,"X")&gt;0,2.5%,0)</f>
        <v>2.5000000000000001E-2</v>
      </c>
      <c r="K1986" s="31">
        <f>IF(COUNTIFS(Addendum!C:C,A1986,Addendum!D:D,IF(ISNUMBER(B1986),TEXT(B1986,"0000"),B1986),Addendum!G:G,"X")&gt;0,7%,0)</f>
        <v>0</v>
      </c>
      <c r="L1986" s="31">
        <f>IF(COUNTIFS(Addendum!C:C,A1986,Addendum!D:D,IF(ISNUMBER(B1986),TEXT(B1986,"0000"),B1986),Addendum!I:I,"X")&gt;0,10%,0)</f>
        <v>0.1</v>
      </c>
      <c r="M1986" s="34">
        <f t="shared" si="60"/>
        <v>0.02</v>
      </c>
      <c r="N1986" s="17">
        <f t="shared" si="61"/>
        <v>32055.407999999999</v>
      </c>
    </row>
    <row r="1987" spans="1:14" x14ac:dyDescent="0.25">
      <c r="A1987" s="14" t="s">
        <v>493</v>
      </c>
      <c r="B1987" s="14" t="s">
        <v>356</v>
      </c>
      <c r="C1987" s="15" t="s">
        <v>2373</v>
      </c>
      <c r="D1987" s="14" t="s">
        <v>1752</v>
      </c>
      <c r="E1987" s="14" t="s">
        <v>1747</v>
      </c>
      <c r="F1987" s="17" t="s">
        <v>2993</v>
      </c>
      <c r="G1987" s="14">
        <v>116820</v>
      </c>
      <c r="H1987" s="14">
        <v>93456</v>
      </c>
      <c r="I1987" s="31">
        <f>IF(COUNTIFS(Addendum!C:C,A1987,Addendum!D:D,IF(ISNUMBER(B1987),TEXT(B1987,"0000"),B1987),Addendum!E:E,"X")&gt;0,4%,0)</f>
        <v>0.04</v>
      </c>
      <c r="J1987" s="31">
        <f>IF(COUNTIFS(Addendum!C:C,A1987,Addendum!D:D,IF(ISNUMBER(B1987),TEXT(B1987,"0000"),B1987),Addendum!F:F,"X")&gt;0,2.5%,0)</f>
        <v>2.5000000000000001E-2</v>
      </c>
      <c r="K1987" s="31">
        <f>IF(COUNTIFS(Addendum!C:C,A1987,Addendum!D:D,IF(ISNUMBER(B1987),TEXT(B1987,"0000"),B1987),Addendum!G:G,"X")&gt;0,7%,0)</f>
        <v>0</v>
      </c>
      <c r="L1987" s="31">
        <f>IF(COUNTIFS(Addendum!C:C,A1987,Addendum!D:D,IF(ISNUMBER(B1987),TEXT(B1987,"0000"),B1987),Addendum!I:I,"X")&gt;0,10%,0)</f>
        <v>0.1</v>
      </c>
      <c r="M1987" s="34">
        <f t="shared" si="60"/>
        <v>0.1</v>
      </c>
      <c r="N1987" s="17">
        <f t="shared" si="61"/>
        <v>84110.399999999994</v>
      </c>
    </row>
    <row r="1988" spans="1:14" x14ac:dyDescent="0.25">
      <c r="A1988" s="14" t="s">
        <v>493</v>
      </c>
      <c r="B1988" s="14" t="s">
        <v>498</v>
      </c>
      <c r="C1988" s="15" t="s">
        <v>2372</v>
      </c>
      <c r="D1988" s="14" t="s">
        <v>1745</v>
      </c>
      <c r="E1988" s="14" t="s">
        <v>1746</v>
      </c>
      <c r="F1988" s="17" t="s">
        <v>2993</v>
      </c>
      <c r="G1988" s="14">
        <v>3150</v>
      </c>
      <c r="H1988" s="14">
        <v>2520</v>
      </c>
      <c r="I1988" s="31">
        <f>IF(COUNTIFS(Addendum!C:C,A1988,Addendum!D:D,IF(ISNUMBER(B1988),TEXT(B1988,"0000"),B1988),Addendum!E:E,"X")&gt;0,4%,0)</f>
        <v>0.04</v>
      </c>
      <c r="J1988" s="31">
        <f>IF(COUNTIFS(Addendum!C:C,A1988,Addendum!D:D,IF(ISNUMBER(B1988),TEXT(B1988,"0000"),B1988),Addendum!F:F,"X")&gt;0,2.5%,0)</f>
        <v>2.5000000000000001E-2</v>
      </c>
      <c r="K1988" s="31">
        <f>IF(COUNTIFS(Addendum!C:C,A1988,Addendum!D:D,IF(ISNUMBER(B1988),TEXT(B1988,"0000"),B1988),Addendum!G:G,"X")&gt;0,7%,0)</f>
        <v>0</v>
      </c>
      <c r="L1988" s="31">
        <f>IF(COUNTIFS(Addendum!C:C,A1988,Addendum!D:D,IF(ISNUMBER(B1988),TEXT(B1988,"0000"),B1988),Addendum!I:I,"X")&gt;0,10%,0)</f>
        <v>0.1</v>
      </c>
      <c r="M1988" s="34">
        <f t="shared" ref="M1988:M2051" si="62">IF(AND(I1988=0%,J1988=0%,K1988=0%,L1988=0%),0%,
IF(OR(TRIM(E1988)="OneTime",TRIM(D1988)=""),0%,
IF(
OR(
TRIM(D1988)="P1M",
AND(TRIM(D1988)="P1Y",TRIM(E1988)="Monthly"),
AND(TRIM(D1988)="P3Y",TRIM(E1988)="Monthly")
),
IF(AND(I1988=4%,J1988=0%,K1988=0%,L1988=0%),1%,
IF(AND(I1988=4%,J1988=2.5%,K1988=0%,L1988=10%),2%,
IF(AND(I1988=4%,J1988=0%,K1988=7%,L1988=10%),3%,0%))),
IF(
OR(
AND(TRIM(D1988)="P1Y",TRIM(E1988)="Annual"),
AND(TRIM(D1988)="P3Y",TRIM(E1988)="Annual"),
AND(TRIM(D1988)="P3Y",TRIM(E1988)="Triennial")
),
IF(AND(I1988=4%,J1988=0%,K1988=0%,L1988=0%),3%,
IF(AND(I1988=4%,J1988=2.5%,K1988=0%,L1988=10%),10%,
IF(AND(I1988=4%,J1988=0%,K1988=7%,L1988=10%),14%,0%))),
0%
))))</f>
        <v>0.02</v>
      </c>
      <c r="N1988" s="17">
        <f t="shared" ref="N1988:N2051" si="63">H1988-(H1988*M1988)</f>
        <v>2469.6</v>
      </c>
    </row>
    <row r="1989" spans="1:14" x14ac:dyDescent="0.25">
      <c r="A1989" s="14" t="s">
        <v>493</v>
      </c>
      <c r="B1989" s="14" t="s">
        <v>317</v>
      </c>
      <c r="C1989" s="15" t="s">
        <v>2371</v>
      </c>
      <c r="D1989" s="14" t="s">
        <v>1745</v>
      </c>
      <c r="E1989" s="14" t="s">
        <v>1746</v>
      </c>
      <c r="F1989" s="17" t="s">
        <v>2995</v>
      </c>
      <c r="G1989" s="14">
        <v>10206</v>
      </c>
      <c r="H1989" s="14">
        <v>9185.4</v>
      </c>
      <c r="I1989" s="31">
        <f>IF(COUNTIFS(Addendum!C:C,A1989,Addendum!D:D,IF(ISNUMBER(B1989),TEXT(B1989,"0000"),B1989),Addendum!E:E,"X")&gt;0,4%,0)</f>
        <v>0.04</v>
      </c>
      <c r="J1989" s="31">
        <f>IF(COUNTIFS(Addendum!C:C,A1989,Addendum!D:D,IF(ISNUMBER(B1989),TEXT(B1989,"0000"),B1989),Addendum!F:F,"X")&gt;0,2.5%,0)</f>
        <v>2.5000000000000001E-2</v>
      </c>
      <c r="K1989" s="31">
        <f>IF(COUNTIFS(Addendum!C:C,A1989,Addendum!D:D,IF(ISNUMBER(B1989),TEXT(B1989,"0000"),B1989),Addendum!G:G,"X")&gt;0,7%,0)</f>
        <v>0</v>
      </c>
      <c r="L1989" s="31">
        <f>IF(COUNTIFS(Addendum!C:C,A1989,Addendum!D:D,IF(ISNUMBER(B1989),TEXT(B1989,"0000"),B1989),Addendum!I:I,"X")&gt;0,10%,0)</f>
        <v>0.1</v>
      </c>
      <c r="M1989" s="34">
        <f t="shared" si="62"/>
        <v>0.02</v>
      </c>
      <c r="N1989" s="17">
        <f t="shared" si="63"/>
        <v>9001.6919999999991</v>
      </c>
    </row>
    <row r="1990" spans="1:14" x14ac:dyDescent="0.25">
      <c r="A1990" s="14" t="s">
        <v>493</v>
      </c>
      <c r="B1990" s="14" t="s">
        <v>238</v>
      </c>
      <c r="C1990" s="15" t="s">
        <v>2374</v>
      </c>
      <c r="D1990" s="14" t="s">
        <v>1752</v>
      </c>
      <c r="E1990" s="14" t="s">
        <v>1747</v>
      </c>
      <c r="F1990" s="17" t="s">
        <v>2993</v>
      </c>
      <c r="G1990" s="14">
        <v>91260</v>
      </c>
      <c r="H1990" s="14">
        <v>73008</v>
      </c>
      <c r="I1990" s="31">
        <f>IF(COUNTIFS(Addendum!C:C,A1990,Addendum!D:D,IF(ISNUMBER(B1990),TEXT(B1990,"0000"),B1990),Addendum!E:E,"X")&gt;0,4%,0)</f>
        <v>0.04</v>
      </c>
      <c r="J1990" s="31">
        <f>IF(COUNTIFS(Addendum!C:C,A1990,Addendum!D:D,IF(ISNUMBER(B1990),TEXT(B1990,"0000"),B1990),Addendum!F:F,"X")&gt;0,2.5%,0)</f>
        <v>2.5000000000000001E-2</v>
      </c>
      <c r="K1990" s="31">
        <f>IF(COUNTIFS(Addendum!C:C,A1990,Addendum!D:D,IF(ISNUMBER(B1990),TEXT(B1990,"0000"),B1990),Addendum!G:G,"X")&gt;0,7%,0)</f>
        <v>0</v>
      </c>
      <c r="L1990" s="31">
        <f>IF(COUNTIFS(Addendum!C:C,A1990,Addendum!D:D,IF(ISNUMBER(B1990),TEXT(B1990,"0000"),B1990),Addendum!I:I,"X")&gt;0,10%,0)</f>
        <v>0.1</v>
      </c>
      <c r="M1990" s="34">
        <f t="shared" si="62"/>
        <v>0.1</v>
      </c>
      <c r="N1990" s="17">
        <f t="shared" si="63"/>
        <v>65707.199999999997</v>
      </c>
    </row>
    <row r="1991" spans="1:14" x14ac:dyDescent="0.25">
      <c r="A1991" s="14" t="s">
        <v>493</v>
      </c>
      <c r="B1991" s="14">
        <v>21</v>
      </c>
      <c r="C1991" s="15" t="s">
        <v>514</v>
      </c>
      <c r="D1991" s="14" t="s">
        <v>1745</v>
      </c>
      <c r="E1991" s="14" t="s">
        <v>1746</v>
      </c>
      <c r="F1991" s="17" t="s">
        <v>2993</v>
      </c>
      <c r="G1991" s="14">
        <v>31941</v>
      </c>
      <c r="H1991" s="14">
        <v>25552.799999999999</v>
      </c>
      <c r="I1991" s="31">
        <f>IF(COUNTIFS(Addendum!C:C,A1991,Addendum!D:D,IF(ISNUMBER(B1991),TEXT(B1991,"0000"),B1991),Addendum!E:E,"X")&gt;0,4%,0)</f>
        <v>0.04</v>
      </c>
      <c r="J1991" s="31">
        <f>IF(COUNTIFS(Addendum!C:C,A1991,Addendum!D:D,IF(ISNUMBER(B1991),TEXT(B1991,"0000"),B1991),Addendum!F:F,"X")&gt;0,2.5%,0)</f>
        <v>2.5000000000000001E-2</v>
      </c>
      <c r="K1991" s="31">
        <f>IF(COUNTIFS(Addendum!C:C,A1991,Addendum!D:D,IF(ISNUMBER(B1991),TEXT(B1991,"0000"),B1991),Addendum!G:G,"X")&gt;0,7%,0)</f>
        <v>0</v>
      </c>
      <c r="L1991" s="31">
        <f>IF(COUNTIFS(Addendum!C:C,A1991,Addendum!D:D,IF(ISNUMBER(B1991),TEXT(B1991,"0000"),B1991),Addendum!I:I,"X")&gt;0,10%,0)</f>
        <v>0.1</v>
      </c>
      <c r="M1991" s="34">
        <f t="shared" si="62"/>
        <v>0.02</v>
      </c>
      <c r="N1991" s="17">
        <f t="shared" si="63"/>
        <v>25041.743999999999</v>
      </c>
    </row>
    <row r="1992" spans="1:14" x14ac:dyDescent="0.25">
      <c r="A1992" s="14" t="s">
        <v>493</v>
      </c>
      <c r="B1992" s="14">
        <v>3</v>
      </c>
      <c r="C1992" s="15" t="s">
        <v>508</v>
      </c>
      <c r="D1992" s="14" t="s">
        <v>1749</v>
      </c>
      <c r="E1992" s="14" t="s">
        <v>1746</v>
      </c>
      <c r="F1992" s="17" t="s">
        <v>2993</v>
      </c>
      <c r="G1992" s="14">
        <v>3894</v>
      </c>
      <c r="H1992" s="14">
        <v>3115.2</v>
      </c>
      <c r="I1992" s="31">
        <f>IF(COUNTIFS(Addendum!C:C,A1992,Addendum!D:D,IF(ISNUMBER(B1992),TEXT(B1992,"0000"),B1992),Addendum!E:E,"X")&gt;0,4%,0)</f>
        <v>0.04</v>
      </c>
      <c r="J1992" s="31">
        <f>IF(COUNTIFS(Addendum!C:C,A1992,Addendum!D:D,IF(ISNUMBER(B1992),TEXT(B1992,"0000"),B1992),Addendum!F:F,"X")&gt;0,2.5%,0)</f>
        <v>2.5000000000000001E-2</v>
      </c>
      <c r="K1992" s="31">
        <f>IF(COUNTIFS(Addendum!C:C,A1992,Addendum!D:D,IF(ISNUMBER(B1992),TEXT(B1992,"0000"),B1992),Addendum!G:G,"X")&gt;0,7%,0)</f>
        <v>0</v>
      </c>
      <c r="L1992" s="31">
        <f>IF(COUNTIFS(Addendum!C:C,A1992,Addendum!D:D,IF(ISNUMBER(B1992),TEXT(B1992,"0000"),B1992),Addendum!I:I,"X")&gt;0,10%,0)</f>
        <v>0.1</v>
      </c>
      <c r="M1992" s="34">
        <f t="shared" si="62"/>
        <v>0.02</v>
      </c>
      <c r="N1992" s="17">
        <f t="shared" si="63"/>
        <v>3052.8959999999997</v>
      </c>
    </row>
    <row r="1993" spans="1:14" x14ac:dyDescent="0.25">
      <c r="A1993" s="14" t="s">
        <v>493</v>
      </c>
      <c r="B1993" s="14">
        <v>20</v>
      </c>
      <c r="C1993" s="15" t="s">
        <v>520</v>
      </c>
      <c r="D1993" s="14" t="s">
        <v>1749</v>
      </c>
      <c r="E1993" s="14" t="s">
        <v>1746</v>
      </c>
      <c r="F1993" s="17" t="s">
        <v>2993</v>
      </c>
      <c r="G1993" s="14">
        <v>3042</v>
      </c>
      <c r="H1993" s="14">
        <v>2433.6</v>
      </c>
      <c r="I1993" s="31">
        <f>IF(COUNTIFS(Addendum!C:C,A1993,Addendum!D:D,IF(ISNUMBER(B1993),TEXT(B1993,"0000"),B1993),Addendum!E:E,"X")&gt;0,4%,0)</f>
        <v>0.04</v>
      </c>
      <c r="J1993" s="31">
        <f>IF(COUNTIFS(Addendum!C:C,A1993,Addendum!D:D,IF(ISNUMBER(B1993),TEXT(B1993,"0000"),B1993),Addendum!F:F,"X")&gt;0,2.5%,0)</f>
        <v>2.5000000000000001E-2</v>
      </c>
      <c r="K1993" s="31">
        <f>IF(COUNTIFS(Addendum!C:C,A1993,Addendum!D:D,IF(ISNUMBER(B1993),TEXT(B1993,"0000"),B1993),Addendum!G:G,"X")&gt;0,7%,0)</f>
        <v>0</v>
      </c>
      <c r="L1993" s="31">
        <f>IF(COUNTIFS(Addendum!C:C,A1993,Addendum!D:D,IF(ISNUMBER(B1993),TEXT(B1993,"0000"),B1993),Addendum!I:I,"X")&gt;0,10%,0)</f>
        <v>0.1</v>
      </c>
      <c r="M1993" s="34">
        <f t="shared" si="62"/>
        <v>0.02</v>
      </c>
      <c r="N1993" s="17">
        <f t="shared" si="63"/>
        <v>2384.9279999999999</v>
      </c>
    </row>
    <row r="1994" spans="1:14" x14ac:dyDescent="0.25">
      <c r="A1994" s="14" t="s">
        <v>493</v>
      </c>
      <c r="B1994" s="14" t="s">
        <v>238</v>
      </c>
      <c r="C1994" s="15" t="s">
        <v>2374</v>
      </c>
      <c r="D1994" s="14" t="s">
        <v>1752</v>
      </c>
      <c r="E1994" s="14" t="s">
        <v>1753</v>
      </c>
      <c r="F1994" s="17" t="s">
        <v>2993</v>
      </c>
      <c r="G1994" s="14">
        <v>91260</v>
      </c>
      <c r="H1994" s="14">
        <v>73008</v>
      </c>
      <c r="I1994" s="31">
        <f>IF(COUNTIFS(Addendum!C:C,A1994,Addendum!D:D,IF(ISNUMBER(B1994),TEXT(B1994,"0000"),B1994),Addendum!E:E,"X")&gt;0,4%,0)</f>
        <v>0.04</v>
      </c>
      <c r="J1994" s="31">
        <f>IF(COUNTIFS(Addendum!C:C,A1994,Addendum!D:D,IF(ISNUMBER(B1994),TEXT(B1994,"0000"),B1994),Addendum!F:F,"X")&gt;0,2.5%,0)</f>
        <v>2.5000000000000001E-2</v>
      </c>
      <c r="K1994" s="31">
        <f>IF(COUNTIFS(Addendum!C:C,A1994,Addendum!D:D,IF(ISNUMBER(B1994),TEXT(B1994,"0000"),B1994),Addendum!G:G,"X")&gt;0,7%,0)</f>
        <v>0</v>
      </c>
      <c r="L1994" s="31">
        <f>IF(COUNTIFS(Addendum!C:C,A1994,Addendum!D:D,IF(ISNUMBER(B1994),TEXT(B1994,"0000"),B1994),Addendum!I:I,"X")&gt;0,10%,0)</f>
        <v>0.1</v>
      </c>
      <c r="M1994" s="34">
        <f t="shared" si="62"/>
        <v>0.1</v>
      </c>
      <c r="N1994" s="17">
        <f t="shared" si="63"/>
        <v>65707.199999999997</v>
      </c>
    </row>
    <row r="1995" spans="1:14" x14ac:dyDescent="0.25">
      <c r="A1995" s="14" t="s">
        <v>493</v>
      </c>
      <c r="B1995" s="14" t="s">
        <v>494</v>
      </c>
      <c r="C1995" s="15" t="s">
        <v>492</v>
      </c>
      <c r="D1995" s="14" t="s">
        <v>1745</v>
      </c>
      <c r="E1995" s="14" t="s">
        <v>1747</v>
      </c>
      <c r="F1995" s="17" t="s">
        <v>2993</v>
      </c>
      <c r="G1995" s="14">
        <v>3000</v>
      </c>
      <c r="H1995" s="14">
        <v>2400</v>
      </c>
      <c r="I1995" s="31">
        <f>IF(COUNTIFS(Addendum!C:C,A1995,Addendum!D:D,IF(ISNUMBER(B1995),TEXT(B1995,"0000"),B1995),Addendum!E:E,"X")&gt;0,4%,0)</f>
        <v>0.04</v>
      </c>
      <c r="J1995" s="31">
        <f>IF(COUNTIFS(Addendum!C:C,A1995,Addendum!D:D,IF(ISNUMBER(B1995),TEXT(B1995,"0000"),B1995),Addendum!F:F,"X")&gt;0,2.5%,0)</f>
        <v>2.5000000000000001E-2</v>
      </c>
      <c r="K1995" s="31">
        <f>IF(COUNTIFS(Addendum!C:C,A1995,Addendum!D:D,IF(ISNUMBER(B1995),TEXT(B1995,"0000"),B1995),Addendum!G:G,"X")&gt;0,7%,0)</f>
        <v>0</v>
      </c>
      <c r="L1995" s="31">
        <f>IF(COUNTIFS(Addendum!C:C,A1995,Addendum!D:D,IF(ISNUMBER(B1995),TEXT(B1995,"0000"),B1995),Addendum!I:I,"X")&gt;0,10%,0)</f>
        <v>0.1</v>
      </c>
      <c r="M1995" s="34">
        <f t="shared" si="62"/>
        <v>0.1</v>
      </c>
      <c r="N1995" s="17">
        <f t="shared" si="63"/>
        <v>2160</v>
      </c>
    </row>
    <row r="1996" spans="1:14" x14ac:dyDescent="0.25">
      <c r="A1996" s="14" t="s">
        <v>493</v>
      </c>
      <c r="B1996" s="14" t="s">
        <v>356</v>
      </c>
      <c r="C1996" s="15" t="s">
        <v>2373</v>
      </c>
      <c r="D1996" s="14" t="s">
        <v>1752</v>
      </c>
      <c r="E1996" s="14" t="s">
        <v>1753</v>
      </c>
      <c r="F1996" s="17" t="s">
        <v>2993</v>
      </c>
      <c r="G1996" s="14">
        <v>116820</v>
      </c>
      <c r="H1996" s="14">
        <v>93456</v>
      </c>
      <c r="I1996" s="31">
        <f>IF(COUNTIFS(Addendum!C:C,A1996,Addendum!D:D,IF(ISNUMBER(B1996),TEXT(B1996,"0000"),B1996),Addendum!E:E,"X")&gt;0,4%,0)</f>
        <v>0.04</v>
      </c>
      <c r="J1996" s="31">
        <f>IF(COUNTIFS(Addendum!C:C,A1996,Addendum!D:D,IF(ISNUMBER(B1996),TEXT(B1996,"0000"),B1996),Addendum!F:F,"X")&gt;0,2.5%,0)</f>
        <v>2.5000000000000001E-2</v>
      </c>
      <c r="K1996" s="31">
        <f>IF(COUNTIFS(Addendum!C:C,A1996,Addendum!D:D,IF(ISNUMBER(B1996),TEXT(B1996,"0000"),B1996),Addendum!G:G,"X")&gt;0,7%,0)</f>
        <v>0</v>
      </c>
      <c r="L1996" s="31">
        <f>IF(COUNTIFS(Addendum!C:C,A1996,Addendum!D:D,IF(ISNUMBER(B1996),TEXT(B1996,"0000"),B1996),Addendum!I:I,"X")&gt;0,10%,0)</f>
        <v>0.1</v>
      </c>
      <c r="M1996" s="34">
        <f t="shared" si="62"/>
        <v>0.1</v>
      </c>
      <c r="N1996" s="17">
        <f t="shared" si="63"/>
        <v>84110.399999999994</v>
      </c>
    </row>
    <row r="1997" spans="1:14" x14ac:dyDescent="0.25">
      <c r="A1997" s="14" t="s">
        <v>493</v>
      </c>
      <c r="B1997" s="14" t="s">
        <v>497</v>
      </c>
      <c r="C1997" s="15" t="s">
        <v>2372</v>
      </c>
      <c r="D1997" s="14" t="s">
        <v>1749</v>
      </c>
      <c r="E1997" s="14" t="s">
        <v>1766</v>
      </c>
      <c r="F1997" s="17" t="s">
        <v>2993</v>
      </c>
      <c r="G1997" s="14">
        <v>0</v>
      </c>
      <c r="H1997" s="14">
        <v>0</v>
      </c>
      <c r="I1997" s="31">
        <f>IF(COUNTIFS(Addendum!C:C,A1997,Addendum!D:D,IF(ISNUMBER(B1997),TEXT(B1997,"0000"),B1997),Addendum!E:E,"X")&gt;0,4%,0)</f>
        <v>0.04</v>
      </c>
      <c r="J1997" s="31">
        <f>IF(COUNTIFS(Addendum!C:C,A1997,Addendum!D:D,IF(ISNUMBER(B1997),TEXT(B1997,"0000"),B1997),Addendum!F:F,"X")&gt;0,2.5%,0)</f>
        <v>2.5000000000000001E-2</v>
      </c>
      <c r="K1997" s="31">
        <f>IF(COUNTIFS(Addendum!C:C,A1997,Addendum!D:D,IF(ISNUMBER(B1997),TEXT(B1997,"0000"),B1997),Addendum!G:G,"X")&gt;0,7%,0)</f>
        <v>0</v>
      </c>
      <c r="L1997" s="31">
        <f>IF(COUNTIFS(Addendum!C:C,A1997,Addendum!D:D,IF(ISNUMBER(B1997),TEXT(B1997,"0000"),B1997),Addendum!I:I,"X")&gt;0,10%,0)</f>
        <v>0.1</v>
      </c>
      <c r="M1997" s="34">
        <f t="shared" si="62"/>
        <v>0.02</v>
      </c>
      <c r="N1997" s="17">
        <f t="shared" si="63"/>
        <v>0</v>
      </c>
    </row>
    <row r="1998" spans="1:14" x14ac:dyDescent="0.25">
      <c r="A1998" s="14" t="s">
        <v>493</v>
      </c>
      <c r="B1998" s="14" t="s">
        <v>498</v>
      </c>
      <c r="C1998" s="15" t="s">
        <v>2372</v>
      </c>
      <c r="D1998" s="14" t="s">
        <v>1752</v>
      </c>
      <c r="E1998" s="14" t="s">
        <v>1753</v>
      </c>
      <c r="F1998" s="17" t="s">
        <v>2993</v>
      </c>
      <c r="G1998" s="14">
        <v>9000</v>
      </c>
      <c r="H1998" s="14">
        <v>7200</v>
      </c>
      <c r="I1998" s="31">
        <f>IF(COUNTIFS(Addendum!C:C,A1998,Addendum!D:D,IF(ISNUMBER(B1998),TEXT(B1998,"0000"),B1998),Addendum!E:E,"X")&gt;0,4%,0)</f>
        <v>0.04</v>
      </c>
      <c r="J1998" s="31">
        <f>IF(COUNTIFS(Addendum!C:C,A1998,Addendum!D:D,IF(ISNUMBER(B1998),TEXT(B1998,"0000"),B1998),Addendum!F:F,"X")&gt;0,2.5%,0)</f>
        <v>2.5000000000000001E-2</v>
      </c>
      <c r="K1998" s="31">
        <f>IF(COUNTIFS(Addendum!C:C,A1998,Addendum!D:D,IF(ISNUMBER(B1998),TEXT(B1998,"0000"),B1998),Addendum!G:G,"X")&gt;0,7%,0)</f>
        <v>0</v>
      </c>
      <c r="L1998" s="31">
        <f>IF(COUNTIFS(Addendum!C:C,A1998,Addendum!D:D,IF(ISNUMBER(B1998),TEXT(B1998,"0000"),B1998),Addendum!I:I,"X")&gt;0,10%,0)</f>
        <v>0.1</v>
      </c>
      <c r="M1998" s="34">
        <f t="shared" si="62"/>
        <v>0.1</v>
      </c>
      <c r="N1998" s="17">
        <f t="shared" si="63"/>
        <v>6480</v>
      </c>
    </row>
    <row r="1999" spans="1:14" x14ac:dyDescent="0.25">
      <c r="A1999" s="14" t="s">
        <v>493</v>
      </c>
      <c r="B1999" s="14">
        <v>21</v>
      </c>
      <c r="C1999" s="15" t="s">
        <v>514</v>
      </c>
      <c r="D1999" s="14" t="s">
        <v>1745</v>
      </c>
      <c r="E1999" s="14" t="s">
        <v>1747</v>
      </c>
      <c r="F1999" s="17" t="s">
        <v>2993</v>
      </c>
      <c r="G1999" s="14">
        <v>30420</v>
      </c>
      <c r="H1999" s="14">
        <v>24336</v>
      </c>
      <c r="I1999" s="31">
        <f>IF(COUNTIFS(Addendum!C:C,A1999,Addendum!D:D,IF(ISNUMBER(B1999),TEXT(B1999,"0000"),B1999),Addendum!E:E,"X")&gt;0,4%,0)</f>
        <v>0.04</v>
      </c>
      <c r="J1999" s="31">
        <f>IF(COUNTIFS(Addendum!C:C,A1999,Addendum!D:D,IF(ISNUMBER(B1999),TEXT(B1999,"0000"),B1999),Addendum!F:F,"X")&gt;0,2.5%,0)</f>
        <v>2.5000000000000001E-2</v>
      </c>
      <c r="K1999" s="31">
        <f>IF(COUNTIFS(Addendum!C:C,A1999,Addendum!D:D,IF(ISNUMBER(B1999),TEXT(B1999,"0000"),B1999),Addendum!G:G,"X")&gt;0,7%,0)</f>
        <v>0</v>
      </c>
      <c r="L1999" s="31">
        <f>IF(COUNTIFS(Addendum!C:C,A1999,Addendum!D:D,IF(ISNUMBER(B1999),TEXT(B1999,"0000"),B1999),Addendum!I:I,"X")&gt;0,10%,0)</f>
        <v>0.1</v>
      </c>
      <c r="M1999" s="34">
        <f t="shared" si="62"/>
        <v>0.1</v>
      </c>
      <c r="N1999" s="17">
        <f t="shared" si="63"/>
        <v>21902.400000000001</v>
      </c>
    </row>
    <row r="2000" spans="1:14" x14ac:dyDescent="0.25">
      <c r="A2000" s="14" t="s">
        <v>493</v>
      </c>
      <c r="B2000" s="14">
        <v>1</v>
      </c>
      <c r="C2000" s="15" t="s">
        <v>491</v>
      </c>
      <c r="D2000" s="14" t="s">
        <v>1749</v>
      </c>
      <c r="E2000" s="14" t="s">
        <v>1746</v>
      </c>
      <c r="F2000" s="17" t="s">
        <v>2993</v>
      </c>
      <c r="G2000" s="14">
        <v>3894</v>
      </c>
      <c r="H2000" s="14">
        <v>3115.2</v>
      </c>
      <c r="I2000" s="31">
        <f>IF(COUNTIFS(Addendum!C:C,A2000,Addendum!D:D,IF(ISNUMBER(B2000),TEXT(B2000,"0000"),B2000),Addendum!E:E,"X")&gt;0,4%,0)</f>
        <v>0.04</v>
      </c>
      <c r="J2000" s="31">
        <f>IF(COUNTIFS(Addendum!C:C,A2000,Addendum!D:D,IF(ISNUMBER(B2000),TEXT(B2000,"0000"),B2000),Addendum!F:F,"X")&gt;0,2.5%,0)</f>
        <v>2.5000000000000001E-2</v>
      </c>
      <c r="K2000" s="31">
        <f>IF(COUNTIFS(Addendum!C:C,A2000,Addendum!D:D,IF(ISNUMBER(B2000),TEXT(B2000,"0000"),B2000),Addendum!G:G,"X")&gt;0,7%,0)</f>
        <v>0</v>
      </c>
      <c r="L2000" s="31">
        <f>IF(COUNTIFS(Addendum!C:C,A2000,Addendum!D:D,IF(ISNUMBER(B2000),TEXT(B2000,"0000"),B2000),Addendum!I:I,"X")&gt;0,10%,0)</f>
        <v>0.1</v>
      </c>
      <c r="M2000" s="34">
        <f t="shared" si="62"/>
        <v>0.02</v>
      </c>
      <c r="N2000" s="17">
        <f t="shared" si="63"/>
        <v>3052.8959999999997</v>
      </c>
    </row>
    <row r="2001" spans="1:14" x14ac:dyDescent="0.25">
      <c r="A2001" s="14" t="s">
        <v>493</v>
      </c>
      <c r="B2001" s="14" t="s">
        <v>494</v>
      </c>
      <c r="C2001" s="15" t="s">
        <v>492</v>
      </c>
      <c r="D2001" s="14" t="s">
        <v>1752</v>
      </c>
      <c r="E2001" s="14" t="s">
        <v>1753</v>
      </c>
      <c r="F2001" s="17" t="s">
        <v>2993</v>
      </c>
      <c r="G2001" s="14">
        <v>9000</v>
      </c>
      <c r="H2001" s="14">
        <v>7200</v>
      </c>
      <c r="I2001" s="31">
        <f>IF(COUNTIFS(Addendum!C:C,A2001,Addendum!D:D,IF(ISNUMBER(B2001),TEXT(B2001,"0000"),B2001),Addendum!E:E,"X")&gt;0,4%,0)</f>
        <v>0.04</v>
      </c>
      <c r="J2001" s="31">
        <f>IF(COUNTIFS(Addendum!C:C,A2001,Addendum!D:D,IF(ISNUMBER(B2001),TEXT(B2001,"0000"),B2001),Addendum!F:F,"X")&gt;0,2.5%,0)</f>
        <v>2.5000000000000001E-2</v>
      </c>
      <c r="K2001" s="31">
        <f>IF(COUNTIFS(Addendum!C:C,A2001,Addendum!D:D,IF(ISNUMBER(B2001),TEXT(B2001,"0000"),B2001),Addendum!G:G,"X")&gt;0,7%,0)</f>
        <v>0</v>
      </c>
      <c r="L2001" s="31">
        <f>IF(COUNTIFS(Addendum!C:C,A2001,Addendum!D:D,IF(ISNUMBER(B2001),TEXT(B2001,"0000"),B2001),Addendum!I:I,"X")&gt;0,10%,0)</f>
        <v>0.1</v>
      </c>
      <c r="M2001" s="34">
        <f t="shared" si="62"/>
        <v>0.1</v>
      </c>
      <c r="N2001" s="17">
        <f t="shared" si="63"/>
        <v>6480</v>
      </c>
    </row>
    <row r="2002" spans="1:14" x14ac:dyDescent="0.25">
      <c r="A2002" s="14" t="s">
        <v>493</v>
      </c>
      <c r="B2002" s="14" t="s">
        <v>275</v>
      </c>
      <c r="C2002" s="15" t="s">
        <v>2375</v>
      </c>
      <c r="D2002" s="14" t="s">
        <v>1752</v>
      </c>
      <c r="E2002" s="14" t="s">
        <v>1747</v>
      </c>
      <c r="F2002" s="17" t="s">
        <v>2993</v>
      </c>
      <c r="G2002" s="14">
        <v>91260</v>
      </c>
      <c r="H2002" s="14">
        <v>73008</v>
      </c>
      <c r="I2002" s="31">
        <f>IF(COUNTIFS(Addendum!C:C,A2002,Addendum!D:D,IF(ISNUMBER(B2002),TEXT(B2002,"0000"),B2002),Addendum!E:E,"X")&gt;0,4%,0)</f>
        <v>0.04</v>
      </c>
      <c r="J2002" s="31">
        <f>IF(COUNTIFS(Addendum!C:C,A2002,Addendum!D:D,IF(ISNUMBER(B2002),TEXT(B2002,"0000"),B2002),Addendum!F:F,"X")&gt;0,2.5%,0)</f>
        <v>2.5000000000000001E-2</v>
      </c>
      <c r="K2002" s="31">
        <f>IF(COUNTIFS(Addendum!C:C,A2002,Addendum!D:D,IF(ISNUMBER(B2002),TEXT(B2002,"0000"),B2002),Addendum!G:G,"X")&gt;0,7%,0)</f>
        <v>0</v>
      </c>
      <c r="L2002" s="31">
        <f>IF(COUNTIFS(Addendum!C:C,A2002,Addendum!D:D,IF(ISNUMBER(B2002),TEXT(B2002,"0000"),B2002),Addendum!I:I,"X")&gt;0,10%,0)</f>
        <v>0.1</v>
      </c>
      <c r="M2002" s="34">
        <f t="shared" si="62"/>
        <v>0.1</v>
      </c>
      <c r="N2002" s="17">
        <f t="shared" si="63"/>
        <v>65707.199999999997</v>
      </c>
    </row>
    <row r="2003" spans="1:14" x14ac:dyDescent="0.25">
      <c r="A2003" s="14" t="s">
        <v>493</v>
      </c>
      <c r="B2003" s="14">
        <v>114</v>
      </c>
      <c r="C2003" s="15" t="s">
        <v>2370</v>
      </c>
      <c r="D2003" s="14" t="s">
        <v>1752</v>
      </c>
      <c r="E2003" s="14" t="s">
        <v>1753</v>
      </c>
      <c r="F2003" s="17" t="s">
        <v>2995</v>
      </c>
      <c r="G2003" s="14">
        <v>29160</v>
      </c>
      <c r="H2003" s="14">
        <v>26244</v>
      </c>
      <c r="I2003" s="31">
        <f>IF(COUNTIFS(Addendum!C:C,A2003,Addendum!D:D,IF(ISNUMBER(B2003),TEXT(B2003,"0000"),B2003),Addendum!E:E,"X")&gt;0,4%,0)</f>
        <v>0.04</v>
      </c>
      <c r="J2003" s="31">
        <f>IF(COUNTIFS(Addendum!C:C,A2003,Addendum!D:D,IF(ISNUMBER(B2003),TEXT(B2003,"0000"),B2003),Addendum!F:F,"X")&gt;0,2.5%,0)</f>
        <v>2.5000000000000001E-2</v>
      </c>
      <c r="K2003" s="31">
        <f>IF(COUNTIFS(Addendum!C:C,A2003,Addendum!D:D,IF(ISNUMBER(B2003),TEXT(B2003,"0000"),B2003),Addendum!G:G,"X")&gt;0,7%,0)</f>
        <v>0</v>
      </c>
      <c r="L2003" s="31">
        <f>IF(COUNTIFS(Addendum!C:C,A2003,Addendum!D:D,IF(ISNUMBER(B2003),TEXT(B2003,"0000"),B2003),Addendum!I:I,"X")&gt;0,10%,0)</f>
        <v>0.1</v>
      </c>
      <c r="M2003" s="34">
        <f t="shared" si="62"/>
        <v>0.1</v>
      </c>
      <c r="N2003" s="17">
        <f t="shared" si="63"/>
        <v>23619.599999999999</v>
      </c>
    </row>
    <row r="2004" spans="1:14" x14ac:dyDescent="0.25">
      <c r="A2004" s="14" t="s">
        <v>493</v>
      </c>
      <c r="B2004" s="14" t="s">
        <v>275</v>
      </c>
      <c r="C2004" s="15" t="s">
        <v>2375</v>
      </c>
      <c r="D2004" s="14" t="s">
        <v>1752</v>
      </c>
      <c r="E2004" s="14" t="s">
        <v>1753</v>
      </c>
      <c r="F2004" s="17" t="s">
        <v>2993</v>
      </c>
      <c r="G2004" s="14">
        <v>91260</v>
      </c>
      <c r="H2004" s="14">
        <v>73008</v>
      </c>
      <c r="I2004" s="31">
        <f>IF(COUNTIFS(Addendum!C:C,A2004,Addendum!D:D,IF(ISNUMBER(B2004),TEXT(B2004,"0000"),B2004),Addendum!E:E,"X")&gt;0,4%,0)</f>
        <v>0.04</v>
      </c>
      <c r="J2004" s="31">
        <f>IF(COUNTIFS(Addendum!C:C,A2004,Addendum!D:D,IF(ISNUMBER(B2004),TEXT(B2004,"0000"),B2004),Addendum!F:F,"X")&gt;0,2.5%,0)</f>
        <v>2.5000000000000001E-2</v>
      </c>
      <c r="K2004" s="31">
        <f>IF(COUNTIFS(Addendum!C:C,A2004,Addendum!D:D,IF(ISNUMBER(B2004),TEXT(B2004,"0000"),B2004),Addendum!G:G,"X")&gt;0,7%,0)</f>
        <v>0</v>
      </c>
      <c r="L2004" s="31">
        <f>IF(COUNTIFS(Addendum!C:C,A2004,Addendum!D:D,IF(ISNUMBER(B2004),TEXT(B2004,"0000"),B2004),Addendum!I:I,"X")&gt;0,10%,0)</f>
        <v>0.1</v>
      </c>
      <c r="M2004" s="34">
        <f t="shared" si="62"/>
        <v>0.1</v>
      </c>
      <c r="N2004" s="17">
        <f t="shared" si="63"/>
        <v>65707.199999999997</v>
      </c>
    </row>
    <row r="2005" spans="1:14" x14ac:dyDescent="0.25">
      <c r="A2005" s="14" t="s">
        <v>493</v>
      </c>
      <c r="B2005" s="14" t="s">
        <v>269</v>
      </c>
      <c r="C2005" s="15" t="s">
        <v>499</v>
      </c>
      <c r="D2005" s="14" t="s">
        <v>1752</v>
      </c>
      <c r="E2005" s="14" t="s">
        <v>1753</v>
      </c>
      <c r="F2005" s="17" t="s">
        <v>2993</v>
      </c>
      <c r="G2005" s="14">
        <v>116820</v>
      </c>
      <c r="H2005" s="14">
        <v>93456</v>
      </c>
      <c r="I2005" s="31">
        <f>IF(COUNTIFS(Addendum!C:C,A2005,Addendum!D:D,IF(ISNUMBER(B2005),TEXT(B2005,"0000"),B2005),Addendum!E:E,"X")&gt;0,4%,0)</f>
        <v>0.04</v>
      </c>
      <c r="J2005" s="31">
        <f>IF(COUNTIFS(Addendum!C:C,A2005,Addendum!D:D,IF(ISNUMBER(B2005),TEXT(B2005,"0000"),B2005),Addendum!F:F,"X")&gt;0,2.5%,0)</f>
        <v>2.5000000000000001E-2</v>
      </c>
      <c r="K2005" s="31">
        <f>IF(COUNTIFS(Addendum!C:C,A2005,Addendum!D:D,IF(ISNUMBER(B2005),TEXT(B2005,"0000"),B2005),Addendum!G:G,"X")&gt;0,7%,0)</f>
        <v>0</v>
      </c>
      <c r="L2005" s="31">
        <f>IF(COUNTIFS(Addendum!C:C,A2005,Addendum!D:D,IF(ISNUMBER(B2005),TEXT(B2005,"0000"),B2005),Addendum!I:I,"X")&gt;0,10%,0)</f>
        <v>0.1</v>
      </c>
      <c r="M2005" s="34">
        <f t="shared" si="62"/>
        <v>0.1</v>
      </c>
      <c r="N2005" s="17">
        <f t="shared" si="63"/>
        <v>84110.399999999994</v>
      </c>
    </row>
    <row r="2006" spans="1:14" x14ac:dyDescent="0.25">
      <c r="A2006" s="14" t="s">
        <v>493</v>
      </c>
      <c r="B2006" s="14" t="s">
        <v>317</v>
      </c>
      <c r="C2006" s="15" t="s">
        <v>2371</v>
      </c>
      <c r="D2006" s="14" t="s">
        <v>1745</v>
      </c>
      <c r="E2006" s="14" t="s">
        <v>1747</v>
      </c>
      <c r="F2006" s="17" t="s">
        <v>2995</v>
      </c>
      <c r="G2006" s="14">
        <v>9720</v>
      </c>
      <c r="H2006" s="14">
        <v>8748</v>
      </c>
      <c r="I2006" s="31">
        <f>IF(COUNTIFS(Addendum!C:C,A2006,Addendum!D:D,IF(ISNUMBER(B2006),TEXT(B2006,"0000"),B2006),Addendum!E:E,"X")&gt;0,4%,0)</f>
        <v>0.04</v>
      </c>
      <c r="J2006" s="31">
        <f>IF(COUNTIFS(Addendum!C:C,A2006,Addendum!D:D,IF(ISNUMBER(B2006),TEXT(B2006,"0000"),B2006),Addendum!F:F,"X")&gt;0,2.5%,0)</f>
        <v>2.5000000000000001E-2</v>
      </c>
      <c r="K2006" s="31">
        <f>IF(COUNTIFS(Addendum!C:C,A2006,Addendum!D:D,IF(ISNUMBER(B2006),TEXT(B2006,"0000"),B2006),Addendum!G:G,"X")&gt;0,7%,0)</f>
        <v>0</v>
      </c>
      <c r="L2006" s="31">
        <f>IF(COUNTIFS(Addendum!C:C,A2006,Addendum!D:D,IF(ISNUMBER(B2006),TEXT(B2006,"0000"),B2006),Addendum!I:I,"X")&gt;0,10%,0)</f>
        <v>0.1</v>
      </c>
      <c r="M2006" s="34">
        <f t="shared" si="62"/>
        <v>0.1</v>
      </c>
      <c r="N2006" s="17">
        <f t="shared" si="63"/>
        <v>7873.2</v>
      </c>
    </row>
    <row r="2007" spans="1:14" x14ac:dyDescent="0.25">
      <c r="A2007" s="14" t="s">
        <v>493</v>
      </c>
      <c r="B2007" s="14" t="s">
        <v>495</v>
      </c>
      <c r="C2007" s="15" t="s">
        <v>492</v>
      </c>
      <c r="D2007" s="14" t="s">
        <v>1749</v>
      </c>
      <c r="E2007" s="14" t="s">
        <v>1766</v>
      </c>
      <c r="F2007" s="17" t="s">
        <v>2993</v>
      </c>
      <c r="G2007" s="14">
        <v>0</v>
      </c>
      <c r="H2007" s="14">
        <v>0</v>
      </c>
      <c r="I2007" s="31">
        <f>IF(COUNTIFS(Addendum!C:C,A2007,Addendum!D:D,IF(ISNUMBER(B2007),TEXT(B2007,"0000"),B2007),Addendum!E:E,"X")&gt;0,4%,0)</f>
        <v>0.04</v>
      </c>
      <c r="J2007" s="31">
        <f>IF(COUNTIFS(Addendum!C:C,A2007,Addendum!D:D,IF(ISNUMBER(B2007),TEXT(B2007,"0000"),B2007),Addendum!F:F,"X")&gt;0,2.5%,0)</f>
        <v>2.5000000000000001E-2</v>
      </c>
      <c r="K2007" s="31">
        <f>IF(COUNTIFS(Addendum!C:C,A2007,Addendum!D:D,IF(ISNUMBER(B2007),TEXT(B2007,"0000"),B2007),Addendum!G:G,"X")&gt;0,7%,0)</f>
        <v>0</v>
      </c>
      <c r="L2007" s="31">
        <f>IF(COUNTIFS(Addendum!C:C,A2007,Addendum!D:D,IF(ISNUMBER(B2007),TEXT(B2007,"0000"),B2007),Addendum!I:I,"X")&gt;0,10%,0)</f>
        <v>0.1</v>
      </c>
      <c r="M2007" s="34">
        <f t="shared" si="62"/>
        <v>0.02</v>
      </c>
      <c r="N2007" s="17">
        <f t="shared" si="63"/>
        <v>0</v>
      </c>
    </row>
    <row r="2008" spans="1:14" x14ac:dyDescent="0.25">
      <c r="A2008" s="14" t="s">
        <v>493</v>
      </c>
      <c r="B2008" s="14">
        <v>3</v>
      </c>
      <c r="C2008" s="15" t="s">
        <v>508</v>
      </c>
      <c r="D2008" s="14" t="s">
        <v>1745</v>
      </c>
      <c r="E2008" s="14" t="s">
        <v>1747</v>
      </c>
      <c r="F2008" s="17" t="s">
        <v>2993</v>
      </c>
      <c r="G2008" s="14">
        <v>38940</v>
      </c>
      <c r="H2008" s="14">
        <v>31152</v>
      </c>
      <c r="I2008" s="31">
        <f>IF(COUNTIFS(Addendum!C:C,A2008,Addendum!D:D,IF(ISNUMBER(B2008),TEXT(B2008,"0000"),B2008),Addendum!E:E,"X")&gt;0,4%,0)</f>
        <v>0.04</v>
      </c>
      <c r="J2008" s="31">
        <f>IF(COUNTIFS(Addendum!C:C,A2008,Addendum!D:D,IF(ISNUMBER(B2008),TEXT(B2008,"0000"),B2008),Addendum!F:F,"X")&gt;0,2.5%,0)</f>
        <v>2.5000000000000001E-2</v>
      </c>
      <c r="K2008" s="31">
        <f>IF(COUNTIFS(Addendum!C:C,A2008,Addendum!D:D,IF(ISNUMBER(B2008),TEXT(B2008,"0000"),B2008),Addendum!G:G,"X")&gt;0,7%,0)</f>
        <v>0</v>
      </c>
      <c r="L2008" s="31">
        <f>IF(COUNTIFS(Addendum!C:C,A2008,Addendum!D:D,IF(ISNUMBER(B2008),TEXT(B2008,"0000"),B2008),Addendum!I:I,"X")&gt;0,10%,0)</f>
        <v>0.1</v>
      </c>
      <c r="M2008" s="34">
        <f t="shared" si="62"/>
        <v>0.1</v>
      </c>
      <c r="N2008" s="17">
        <f t="shared" si="63"/>
        <v>28036.799999999999</v>
      </c>
    </row>
    <row r="2009" spans="1:14" x14ac:dyDescent="0.25">
      <c r="A2009" s="14" t="s">
        <v>493</v>
      </c>
      <c r="B2009" s="14">
        <v>20</v>
      </c>
      <c r="C2009" s="15" t="s">
        <v>520</v>
      </c>
      <c r="D2009" s="14" t="s">
        <v>1745</v>
      </c>
      <c r="E2009" s="14" t="s">
        <v>1747</v>
      </c>
      <c r="F2009" s="17" t="s">
        <v>2993</v>
      </c>
      <c r="G2009" s="14">
        <v>30420</v>
      </c>
      <c r="H2009" s="14">
        <v>24336</v>
      </c>
      <c r="I2009" s="31">
        <f>IF(COUNTIFS(Addendum!C:C,A2009,Addendum!D:D,IF(ISNUMBER(B2009),TEXT(B2009,"0000"),B2009),Addendum!E:E,"X")&gt;0,4%,0)</f>
        <v>0.04</v>
      </c>
      <c r="J2009" s="31">
        <f>IF(COUNTIFS(Addendum!C:C,A2009,Addendum!D:D,IF(ISNUMBER(B2009),TEXT(B2009,"0000"),B2009),Addendum!F:F,"X")&gt;0,2.5%,0)</f>
        <v>2.5000000000000001E-2</v>
      </c>
      <c r="K2009" s="31">
        <f>IF(COUNTIFS(Addendum!C:C,A2009,Addendum!D:D,IF(ISNUMBER(B2009),TEXT(B2009,"0000"),B2009),Addendum!G:G,"X")&gt;0,7%,0)</f>
        <v>0</v>
      </c>
      <c r="L2009" s="31">
        <f>IF(COUNTIFS(Addendum!C:C,A2009,Addendum!D:D,IF(ISNUMBER(B2009),TEXT(B2009,"0000"),B2009),Addendum!I:I,"X")&gt;0,10%,0)</f>
        <v>0.1</v>
      </c>
      <c r="M2009" s="34">
        <f t="shared" si="62"/>
        <v>0.1</v>
      </c>
      <c r="N2009" s="17">
        <f t="shared" si="63"/>
        <v>21902.400000000001</v>
      </c>
    </row>
    <row r="2010" spans="1:14" x14ac:dyDescent="0.25">
      <c r="A2010" s="14" t="s">
        <v>493</v>
      </c>
      <c r="B2010" s="14" t="s">
        <v>498</v>
      </c>
      <c r="C2010" s="15" t="s">
        <v>2372</v>
      </c>
      <c r="D2010" s="14" t="s">
        <v>1745</v>
      </c>
      <c r="E2010" s="14" t="s">
        <v>1747</v>
      </c>
      <c r="F2010" s="17" t="s">
        <v>2993</v>
      </c>
      <c r="G2010" s="14">
        <v>3000</v>
      </c>
      <c r="H2010" s="14">
        <v>2400</v>
      </c>
      <c r="I2010" s="31">
        <f>IF(COUNTIFS(Addendum!C:C,A2010,Addendum!D:D,IF(ISNUMBER(B2010),TEXT(B2010,"0000"),B2010),Addendum!E:E,"X")&gt;0,4%,0)</f>
        <v>0.04</v>
      </c>
      <c r="J2010" s="31">
        <f>IF(COUNTIFS(Addendum!C:C,A2010,Addendum!D:D,IF(ISNUMBER(B2010),TEXT(B2010,"0000"),B2010),Addendum!F:F,"X")&gt;0,2.5%,0)</f>
        <v>2.5000000000000001E-2</v>
      </c>
      <c r="K2010" s="31">
        <f>IF(COUNTIFS(Addendum!C:C,A2010,Addendum!D:D,IF(ISNUMBER(B2010),TEXT(B2010,"0000"),B2010),Addendum!G:G,"X")&gt;0,7%,0)</f>
        <v>0</v>
      </c>
      <c r="L2010" s="31">
        <f>IF(COUNTIFS(Addendum!C:C,A2010,Addendum!D:D,IF(ISNUMBER(B2010),TEXT(B2010,"0000"),B2010),Addendum!I:I,"X")&gt;0,10%,0)</f>
        <v>0.1</v>
      </c>
      <c r="M2010" s="34">
        <f t="shared" si="62"/>
        <v>0.1</v>
      </c>
      <c r="N2010" s="17">
        <f t="shared" si="63"/>
        <v>2160</v>
      </c>
    </row>
    <row r="2011" spans="1:14" x14ac:dyDescent="0.25">
      <c r="A2011" s="14" t="s">
        <v>493</v>
      </c>
      <c r="B2011" s="14" t="s">
        <v>494</v>
      </c>
      <c r="C2011" s="15" t="s">
        <v>492</v>
      </c>
      <c r="D2011" s="14" t="s">
        <v>1745</v>
      </c>
      <c r="E2011" s="14" t="s">
        <v>1746</v>
      </c>
      <c r="F2011" s="17" t="s">
        <v>2993</v>
      </c>
      <c r="G2011" s="14">
        <v>3150</v>
      </c>
      <c r="H2011" s="14">
        <v>2520</v>
      </c>
      <c r="I2011" s="31">
        <f>IF(COUNTIFS(Addendum!C:C,A2011,Addendum!D:D,IF(ISNUMBER(B2011),TEXT(B2011,"0000"),B2011),Addendum!E:E,"X")&gt;0,4%,0)</f>
        <v>0.04</v>
      </c>
      <c r="J2011" s="31">
        <f>IF(COUNTIFS(Addendum!C:C,A2011,Addendum!D:D,IF(ISNUMBER(B2011),TEXT(B2011,"0000"),B2011),Addendum!F:F,"X")&gt;0,2.5%,0)</f>
        <v>2.5000000000000001E-2</v>
      </c>
      <c r="K2011" s="31">
        <f>IF(COUNTIFS(Addendum!C:C,A2011,Addendum!D:D,IF(ISNUMBER(B2011),TEXT(B2011,"0000"),B2011),Addendum!G:G,"X")&gt;0,7%,0)</f>
        <v>0</v>
      </c>
      <c r="L2011" s="31">
        <f>IF(COUNTIFS(Addendum!C:C,A2011,Addendum!D:D,IF(ISNUMBER(B2011),TEXT(B2011,"0000"),B2011),Addendum!I:I,"X")&gt;0,10%,0)</f>
        <v>0.1</v>
      </c>
      <c r="M2011" s="34">
        <f t="shared" si="62"/>
        <v>0.02</v>
      </c>
      <c r="N2011" s="17">
        <f t="shared" si="63"/>
        <v>2469.6</v>
      </c>
    </row>
    <row r="2012" spans="1:14" x14ac:dyDescent="0.25">
      <c r="A2012" s="14" t="s">
        <v>493</v>
      </c>
      <c r="B2012" s="14">
        <v>21</v>
      </c>
      <c r="C2012" s="15" t="s">
        <v>514</v>
      </c>
      <c r="D2012" s="14" t="s">
        <v>1749</v>
      </c>
      <c r="E2012" s="14" t="s">
        <v>1746</v>
      </c>
      <c r="F2012" s="17" t="s">
        <v>2993</v>
      </c>
      <c r="G2012" s="14">
        <v>3042</v>
      </c>
      <c r="H2012" s="14">
        <v>2433.6</v>
      </c>
      <c r="I2012" s="31">
        <f>IF(COUNTIFS(Addendum!C:C,A2012,Addendum!D:D,IF(ISNUMBER(B2012),TEXT(B2012,"0000"),B2012),Addendum!E:E,"X")&gt;0,4%,0)</f>
        <v>0.04</v>
      </c>
      <c r="J2012" s="31">
        <f>IF(COUNTIFS(Addendum!C:C,A2012,Addendum!D:D,IF(ISNUMBER(B2012),TEXT(B2012,"0000"),B2012),Addendum!F:F,"X")&gt;0,2.5%,0)</f>
        <v>2.5000000000000001E-2</v>
      </c>
      <c r="K2012" s="31">
        <f>IF(COUNTIFS(Addendum!C:C,A2012,Addendum!D:D,IF(ISNUMBER(B2012),TEXT(B2012,"0000"),B2012),Addendum!G:G,"X")&gt;0,7%,0)</f>
        <v>0</v>
      </c>
      <c r="L2012" s="31">
        <f>IF(COUNTIFS(Addendum!C:C,A2012,Addendum!D:D,IF(ISNUMBER(B2012),TEXT(B2012,"0000"),B2012),Addendum!I:I,"X")&gt;0,10%,0)</f>
        <v>0.1</v>
      </c>
      <c r="M2012" s="34">
        <f t="shared" si="62"/>
        <v>0.02</v>
      </c>
      <c r="N2012" s="17">
        <f t="shared" si="63"/>
        <v>2384.9279999999999</v>
      </c>
    </row>
    <row r="2013" spans="1:14" x14ac:dyDescent="0.25">
      <c r="A2013" s="14" t="s">
        <v>543</v>
      </c>
      <c r="B2013" s="14" t="s">
        <v>260</v>
      </c>
      <c r="C2013" s="15" t="s">
        <v>2376</v>
      </c>
      <c r="D2013" s="14" t="s">
        <v>1752</v>
      </c>
      <c r="E2013" s="14" t="s">
        <v>1747</v>
      </c>
      <c r="F2013" s="17" t="s">
        <v>2993</v>
      </c>
      <c r="G2013" s="14">
        <v>179640</v>
      </c>
      <c r="H2013" s="14">
        <v>143712</v>
      </c>
      <c r="I2013" s="31">
        <f>IF(COUNTIFS(Addendum!C:C,A2013,Addendum!D:D,IF(ISNUMBER(B2013),TEXT(B2013,"0000"),B2013),Addendum!E:E,"X")&gt;0,4%,0)</f>
        <v>0.04</v>
      </c>
      <c r="J2013" s="31">
        <f>IF(COUNTIFS(Addendum!C:C,A2013,Addendum!D:D,IF(ISNUMBER(B2013),TEXT(B2013,"0000"),B2013),Addendum!F:F,"X")&gt;0,2.5%,0)</f>
        <v>0</v>
      </c>
      <c r="K2013" s="31">
        <f>IF(COUNTIFS(Addendum!C:C,A2013,Addendum!D:D,IF(ISNUMBER(B2013),TEXT(B2013,"0000"),B2013),Addendum!G:G,"X")&gt;0,7%,0)</f>
        <v>7.0000000000000007E-2</v>
      </c>
      <c r="L2013" s="31">
        <f>IF(COUNTIFS(Addendum!C:C,A2013,Addendum!D:D,IF(ISNUMBER(B2013),TEXT(B2013,"0000"),B2013),Addendum!I:I,"X")&gt;0,10%,0)</f>
        <v>0.1</v>
      </c>
      <c r="M2013" s="34">
        <f t="shared" si="62"/>
        <v>0.14000000000000001</v>
      </c>
      <c r="N2013" s="17">
        <f t="shared" si="63"/>
        <v>123592.32000000001</v>
      </c>
    </row>
    <row r="2014" spans="1:14" x14ac:dyDescent="0.25">
      <c r="A2014" s="14" t="s">
        <v>543</v>
      </c>
      <c r="B2014" s="14" t="s">
        <v>583</v>
      </c>
      <c r="C2014" s="15" t="s">
        <v>2377</v>
      </c>
      <c r="D2014" s="14" t="s">
        <v>1749</v>
      </c>
      <c r="E2014" s="14" t="s">
        <v>1746</v>
      </c>
      <c r="F2014" s="17" t="s">
        <v>2995</v>
      </c>
      <c r="G2014" s="14">
        <v>2394</v>
      </c>
      <c r="H2014" s="14">
        <v>2154.6</v>
      </c>
      <c r="I2014" s="31">
        <f>IF(COUNTIFS(Addendum!C:C,A2014,Addendum!D:D,IF(ISNUMBER(B2014),TEXT(B2014,"0000"),B2014),Addendum!E:E,"X")&gt;0,4%,0)</f>
        <v>0.04</v>
      </c>
      <c r="J2014" s="31">
        <f>IF(COUNTIFS(Addendum!C:C,A2014,Addendum!D:D,IF(ISNUMBER(B2014),TEXT(B2014,"0000"),B2014),Addendum!F:F,"X")&gt;0,2.5%,0)</f>
        <v>0</v>
      </c>
      <c r="K2014" s="31">
        <f>IF(COUNTIFS(Addendum!C:C,A2014,Addendum!D:D,IF(ISNUMBER(B2014),TEXT(B2014,"0000"),B2014),Addendum!G:G,"X")&gt;0,7%,0)</f>
        <v>7.0000000000000007E-2</v>
      </c>
      <c r="L2014" s="31">
        <f>IF(COUNTIFS(Addendum!C:C,A2014,Addendum!D:D,IF(ISNUMBER(B2014),TEXT(B2014,"0000"),B2014),Addendum!I:I,"X")&gt;0,10%,0)</f>
        <v>0.1</v>
      </c>
      <c r="M2014" s="34">
        <f t="shared" si="62"/>
        <v>0.03</v>
      </c>
      <c r="N2014" s="17">
        <f t="shared" si="63"/>
        <v>2089.962</v>
      </c>
    </row>
    <row r="2015" spans="1:14" x14ac:dyDescent="0.25">
      <c r="A2015" s="14" t="s">
        <v>543</v>
      </c>
      <c r="B2015" s="14" t="s">
        <v>269</v>
      </c>
      <c r="C2015" s="15" t="s">
        <v>2378</v>
      </c>
      <c r="D2015" s="14" t="s">
        <v>1752</v>
      </c>
      <c r="E2015" s="14" t="s">
        <v>1753</v>
      </c>
      <c r="F2015" s="17" t="s">
        <v>2993</v>
      </c>
      <c r="G2015" s="14">
        <v>154080</v>
      </c>
      <c r="H2015" s="14">
        <v>123264</v>
      </c>
      <c r="I2015" s="31">
        <f>IF(COUNTIFS(Addendum!C:C,A2015,Addendum!D:D,IF(ISNUMBER(B2015),TEXT(B2015,"0000"),B2015),Addendum!E:E,"X")&gt;0,4%,0)</f>
        <v>0.04</v>
      </c>
      <c r="J2015" s="31">
        <f>IF(COUNTIFS(Addendum!C:C,A2015,Addendum!D:D,IF(ISNUMBER(B2015),TEXT(B2015,"0000"),B2015),Addendum!F:F,"X")&gt;0,2.5%,0)</f>
        <v>0</v>
      </c>
      <c r="K2015" s="31">
        <f>IF(COUNTIFS(Addendum!C:C,A2015,Addendum!D:D,IF(ISNUMBER(B2015),TEXT(B2015,"0000"),B2015),Addendum!G:G,"X")&gt;0,7%,0)</f>
        <v>7.0000000000000007E-2</v>
      </c>
      <c r="L2015" s="31">
        <f>IF(COUNTIFS(Addendum!C:C,A2015,Addendum!D:D,IF(ISNUMBER(B2015),TEXT(B2015,"0000"),B2015),Addendum!I:I,"X")&gt;0,10%,0)</f>
        <v>0.1</v>
      </c>
      <c r="M2015" s="34">
        <f t="shared" si="62"/>
        <v>0.14000000000000001</v>
      </c>
      <c r="N2015" s="17">
        <f t="shared" si="63"/>
        <v>106007.03999999999</v>
      </c>
    </row>
    <row r="2016" spans="1:14" x14ac:dyDescent="0.25">
      <c r="A2016" s="14" t="s">
        <v>543</v>
      </c>
      <c r="B2016" s="14">
        <v>3</v>
      </c>
      <c r="C2016" s="15" t="s">
        <v>582</v>
      </c>
      <c r="D2016" s="14" t="s">
        <v>1745</v>
      </c>
      <c r="E2016" s="14" t="s">
        <v>1746</v>
      </c>
      <c r="F2016" s="17" t="s">
        <v>2993</v>
      </c>
      <c r="G2016" s="14">
        <v>62874</v>
      </c>
      <c r="H2016" s="14">
        <v>50299.199999999997</v>
      </c>
      <c r="I2016" s="31">
        <f>IF(COUNTIFS(Addendum!C:C,A2016,Addendum!D:D,IF(ISNUMBER(B2016),TEXT(B2016,"0000"),B2016),Addendum!E:E,"X")&gt;0,4%,0)</f>
        <v>0.04</v>
      </c>
      <c r="J2016" s="31">
        <f>IF(COUNTIFS(Addendum!C:C,A2016,Addendum!D:D,IF(ISNUMBER(B2016),TEXT(B2016,"0000"),B2016),Addendum!F:F,"X")&gt;0,2.5%,0)</f>
        <v>0</v>
      </c>
      <c r="K2016" s="31">
        <f>IF(COUNTIFS(Addendum!C:C,A2016,Addendum!D:D,IF(ISNUMBER(B2016),TEXT(B2016,"0000"),B2016),Addendum!G:G,"X")&gt;0,7%,0)</f>
        <v>7.0000000000000007E-2</v>
      </c>
      <c r="L2016" s="31">
        <f>IF(COUNTIFS(Addendum!C:C,A2016,Addendum!D:D,IF(ISNUMBER(B2016),TEXT(B2016,"0000"),B2016),Addendum!I:I,"X")&gt;0,10%,0)</f>
        <v>0.1</v>
      </c>
      <c r="M2016" s="34">
        <f t="shared" si="62"/>
        <v>0.03</v>
      </c>
      <c r="N2016" s="17">
        <f t="shared" si="63"/>
        <v>48790.223999999995</v>
      </c>
    </row>
    <row r="2017" spans="1:14" x14ac:dyDescent="0.25">
      <c r="A2017" s="14" t="s">
        <v>543</v>
      </c>
      <c r="B2017" s="14" t="s">
        <v>269</v>
      </c>
      <c r="C2017" s="15" t="s">
        <v>2378</v>
      </c>
      <c r="D2017" s="14" t="s">
        <v>1752</v>
      </c>
      <c r="E2017" s="14" t="s">
        <v>1747</v>
      </c>
      <c r="F2017" s="17" t="s">
        <v>2993</v>
      </c>
      <c r="G2017" s="14">
        <v>154080</v>
      </c>
      <c r="H2017" s="14">
        <v>123264</v>
      </c>
      <c r="I2017" s="31">
        <f>IF(COUNTIFS(Addendum!C:C,A2017,Addendum!D:D,IF(ISNUMBER(B2017),TEXT(B2017,"0000"),B2017),Addendum!E:E,"X")&gt;0,4%,0)</f>
        <v>0.04</v>
      </c>
      <c r="J2017" s="31">
        <f>IF(COUNTIFS(Addendum!C:C,A2017,Addendum!D:D,IF(ISNUMBER(B2017),TEXT(B2017,"0000"),B2017),Addendum!F:F,"X")&gt;0,2.5%,0)</f>
        <v>0</v>
      </c>
      <c r="K2017" s="31">
        <f>IF(COUNTIFS(Addendum!C:C,A2017,Addendum!D:D,IF(ISNUMBER(B2017),TEXT(B2017,"0000"),B2017),Addendum!G:G,"X")&gt;0,7%,0)</f>
        <v>7.0000000000000007E-2</v>
      </c>
      <c r="L2017" s="31">
        <f>IF(COUNTIFS(Addendum!C:C,A2017,Addendum!D:D,IF(ISNUMBER(B2017),TEXT(B2017,"0000"),B2017),Addendum!I:I,"X")&gt;0,10%,0)</f>
        <v>0.1</v>
      </c>
      <c r="M2017" s="34">
        <f t="shared" si="62"/>
        <v>0.14000000000000001</v>
      </c>
      <c r="N2017" s="17">
        <f t="shared" si="63"/>
        <v>106007.03999999999</v>
      </c>
    </row>
    <row r="2018" spans="1:14" x14ac:dyDescent="0.25">
      <c r="A2018" s="14" t="s">
        <v>543</v>
      </c>
      <c r="B2018" s="14" t="s">
        <v>260</v>
      </c>
      <c r="C2018" s="15" t="s">
        <v>2376</v>
      </c>
      <c r="D2018" s="14" t="s">
        <v>1752</v>
      </c>
      <c r="E2018" s="14" t="s">
        <v>1753</v>
      </c>
      <c r="F2018" s="17" t="s">
        <v>2993</v>
      </c>
      <c r="G2018" s="14">
        <v>179640</v>
      </c>
      <c r="H2018" s="14">
        <v>143712</v>
      </c>
      <c r="I2018" s="31">
        <f>IF(COUNTIFS(Addendum!C:C,A2018,Addendum!D:D,IF(ISNUMBER(B2018),TEXT(B2018,"0000"),B2018),Addendum!E:E,"X")&gt;0,4%,0)</f>
        <v>0.04</v>
      </c>
      <c r="J2018" s="31">
        <f>IF(COUNTIFS(Addendum!C:C,A2018,Addendum!D:D,IF(ISNUMBER(B2018),TEXT(B2018,"0000"),B2018),Addendum!F:F,"X")&gt;0,2.5%,0)</f>
        <v>0</v>
      </c>
      <c r="K2018" s="31">
        <f>IF(COUNTIFS(Addendum!C:C,A2018,Addendum!D:D,IF(ISNUMBER(B2018),TEXT(B2018,"0000"),B2018),Addendum!G:G,"X")&gt;0,7%,0)</f>
        <v>7.0000000000000007E-2</v>
      </c>
      <c r="L2018" s="31">
        <f>IF(COUNTIFS(Addendum!C:C,A2018,Addendum!D:D,IF(ISNUMBER(B2018),TEXT(B2018,"0000"),B2018),Addendum!I:I,"X")&gt;0,10%,0)</f>
        <v>0.1</v>
      </c>
      <c r="M2018" s="34">
        <f t="shared" si="62"/>
        <v>0.14000000000000001</v>
      </c>
      <c r="N2018" s="17">
        <f t="shared" si="63"/>
        <v>123592.32000000001</v>
      </c>
    </row>
    <row r="2019" spans="1:14" x14ac:dyDescent="0.25">
      <c r="A2019" s="14" t="s">
        <v>543</v>
      </c>
      <c r="B2019" s="14" t="s">
        <v>583</v>
      </c>
      <c r="C2019" s="15" t="s">
        <v>2377</v>
      </c>
      <c r="D2019" s="14" t="s">
        <v>1745</v>
      </c>
      <c r="E2019" s="14" t="s">
        <v>1747</v>
      </c>
      <c r="F2019" s="17" t="s">
        <v>2995</v>
      </c>
      <c r="G2019" s="14">
        <v>23940</v>
      </c>
      <c r="H2019" s="14">
        <v>21546</v>
      </c>
      <c r="I2019" s="31">
        <f>IF(COUNTIFS(Addendum!C:C,A2019,Addendum!D:D,IF(ISNUMBER(B2019),TEXT(B2019,"0000"),B2019),Addendum!E:E,"X")&gt;0,4%,0)</f>
        <v>0.04</v>
      </c>
      <c r="J2019" s="31">
        <f>IF(COUNTIFS(Addendum!C:C,A2019,Addendum!D:D,IF(ISNUMBER(B2019),TEXT(B2019,"0000"),B2019),Addendum!F:F,"X")&gt;0,2.5%,0)</f>
        <v>0</v>
      </c>
      <c r="K2019" s="31">
        <f>IF(COUNTIFS(Addendum!C:C,A2019,Addendum!D:D,IF(ISNUMBER(B2019),TEXT(B2019,"0000"),B2019),Addendum!G:G,"X")&gt;0,7%,0)</f>
        <v>7.0000000000000007E-2</v>
      </c>
      <c r="L2019" s="31">
        <f>IF(COUNTIFS(Addendum!C:C,A2019,Addendum!D:D,IF(ISNUMBER(B2019),TEXT(B2019,"0000"),B2019),Addendum!I:I,"X")&gt;0,10%,0)</f>
        <v>0.1</v>
      </c>
      <c r="M2019" s="34">
        <f t="shared" si="62"/>
        <v>0.14000000000000001</v>
      </c>
      <c r="N2019" s="17">
        <f t="shared" si="63"/>
        <v>18529.559999999998</v>
      </c>
    </row>
    <row r="2020" spans="1:14" x14ac:dyDescent="0.25">
      <c r="A2020" s="14" t="s">
        <v>543</v>
      </c>
      <c r="B2020" s="14">
        <v>3</v>
      </c>
      <c r="C2020" s="15" t="s">
        <v>582</v>
      </c>
      <c r="D2020" s="14" t="s">
        <v>1749</v>
      </c>
      <c r="E2020" s="14" t="s">
        <v>1746</v>
      </c>
      <c r="F2020" s="17" t="s">
        <v>2993</v>
      </c>
      <c r="G2020" s="14">
        <v>5988</v>
      </c>
      <c r="H2020" s="14">
        <v>4790.3999999999996</v>
      </c>
      <c r="I2020" s="31">
        <f>IF(COUNTIFS(Addendum!C:C,A2020,Addendum!D:D,IF(ISNUMBER(B2020),TEXT(B2020,"0000"),B2020),Addendum!E:E,"X")&gt;0,4%,0)</f>
        <v>0.04</v>
      </c>
      <c r="J2020" s="31">
        <f>IF(COUNTIFS(Addendum!C:C,A2020,Addendum!D:D,IF(ISNUMBER(B2020),TEXT(B2020,"0000"),B2020),Addendum!F:F,"X")&gt;0,2.5%,0)</f>
        <v>0</v>
      </c>
      <c r="K2020" s="31">
        <f>IF(COUNTIFS(Addendum!C:C,A2020,Addendum!D:D,IF(ISNUMBER(B2020),TEXT(B2020,"0000"),B2020),Addendum!G:G,"X")&gt;0,7%,0)</f>
        <v>7.0000000000000007E-2</v>
      </c>
      <c r="L2020" s="31">
        <f>IF(COUNTIFS(Addendum!C:C,A2020,Addendum!D:D,IF(ISNUMBER(B2020),TEXT(B2020,"0000"),B2020),Addendum!I:I,"X")&gt;0,10%,0)</f>
        <v>0.1</v>
      </c>
      <c r="M2020" s="34">
        <f t="shared" si="62"/>
        <v>0.03</v>
      </c>
      <c r="N2020" s="17">
        <f t="shared" si="63"/>
        <v>4646.6880000000001</v>
      </c>
    </row>
    <row r="2021" spans="1:14" x14ac:dyDescent="0.25">
      <c r="A2021" s="14" t="s">
        <v>543</v>
      </c>
      <c r="B2021" s="14" t="s">
        <v>108</v>
      </c>
      <c r="C2021" s="15" t="s">
        <v>560</v>
      </c>
      <c r="D2021" s="14" t="s">
        <v>1745</v>
      </c>
      <c r="E2021" s="14" t="s">
        <v>1747</v>
      </c>
      <c r="F2021" s="17" t="s">
        <v>2993</v>
      </c>
      <c r="G2021" s="14">
        <v>51360</v>
      </c>
      <c r="H2021" s="14">
        <v>41088</v>
      </c>
      <c r="I2021" s="31">
        <f>IF(COUNTIFS(Addendum!C:C,A2021,Addendum!D:D,IF(ISNUMBER(B2021),TEXT(B2021,"0000"),B2021),Addendum!E:E,"X")&gt;0,4%,0)</f>
        <v>0.04</v>
      </c>
      <c r="J2021" s="31">
        <f>IF(COUNTIFS(Addendum!C:C,A2021,Addendum!D:D,IF(ISNUMBER(B2021),TEXT(B2021,"0000"),B2021),Addendum!F:F,"X")&gt;0,2.5%,0)</f>
        <v>0</v>
      </c>
      <c r="K2021" s="31">
        <f>IF(COUNTIFS(Addendum!C:C,A2021,Addendum!D:D,IF(ISNUMBER(B2021),TEXT(B2021,"0000"),B2021),Addendum!G:G,"X")&gt;0,7%,0)</f>
        <v>7.0000000000000007E-2</v>
      </c>
      <c r="L2021" s="31">
        <f>IF(COUNTIFS(Addendum!C:C,A2021,Addendum!D:D,IF(ISNUMBER(B2021),TEXT(B2021,"0000"),B2021),Addendum!I:I,"X")&gt;0,10%,0)</f>
        <v>0.1</v>
      </c>
      <c r="M2021" s="34">
        <f t="shared" si="62"/>
        <v>0.14000000000000001</v>
      </c>
      <c r="N2021" s="17">
        <f t="shared" si="63"/>
        <v>35335.68</v>
      </c>
    </row>
    <row r="2022" spans="1:14" x14ac:dyDescent="0.25">
      <c r="A2022" s="14" t="s">
        <v>543</v>
      </c>
      <c r="B2022" s="14">
        <v>3</v>
      </c>
      <c r="C2022" s="15" t="s">
        <v>582</v>
      </c>
      <c r="D2022" s="14" t="s">
        <v>1745</v>
      </c>
      <c r="E2022" s="14" t="s">
        <v>1747</v>
      </c>
      <c r="F2022" s="17" t="s">
        <v>2993</v>
      </c>
      <c r="G2022" s="14">
        <v>59880</v>
      </c>
      <c r="H2022" s="14">
        <v>47904</v>
      </c>
      <c r="I2022" s="31">
        <f>IF(COUNTIFS(Addendum!C:C,A2022,Addendum!D:D,IF(ISNUMBER(B2022),TEXT(B2022,"0000"),B2022),Addendum!E:E,"X")&gt;0,4%,0)</f>
        <v>0.04</v>
      </c>
      <c r="J2022" s="31">
        <f>IF(COUNTIFS(Addendum!C:C,A2022,Addendum!D:D,IF(ISNUMBER(B2022),TEXT(B2022,"0000"),B2022),Addendum!F:F,"X")&gt;0,2.5%,0)</f>
        <v>0</v>
      </c>
      <c r="K2022" s="31">
        <f>IF(COUNTIFS(Addendum!C:C,A2022,Addendum!D:D,IF(ISNUMBER(B2022),TEXT(B2022,"0000"),B2022),Addendum!G:G,"X")&gt;0,7%,0)</f>
        <v>7.0000000000000007E-2</v>
      </c>
      <c r="L2022" s="31">
        <f>IF(COUNTIFS(Addendum!C:C,A2022,Addendum!D:D,IF(ISNUMBER(B2022),TEXT(B2022,"0000"),B2022),Addendum!I:I,"X")&gt;0,10%,0)</f>
        <v>0.1</v>
      </c>
      <c r="M2022" s="34">
        <f t="shared" si="62"/>
        <v>0.14000000000000001</v>
      </c>
      <c r="N2022" s="17">
        <f t="shared" si="63"/>
        <v>41197.440000000002</v>
      </c>
    </row>
    <row r="2023" spans="1:14" x14ac:dyDescent="0.25">
      <c r="A2023" s="14" t="s">
        <v>543</v>
      </c>
      <c r="B2023" s="14" t="s">
        <v>108</v>
      </c>
      <c r="C2023" s="15" t="s">
        <v>560</v>
      </c>
      <c r="D2023" s="14" t="s">
        <v>1749</v>
      </c>
      <c r="E2023" s="14" t="s">
        <v>1746</v>
      </c>
      <c r="F2023" s="17" t="s">
        <v>2993</v>
      </c>
      <c r="G2023" s="14">
        <v>5136</v>
      </c>
      <c r="H2023" s="14">
        <v>4108.8</v>
      </c>
      <c r="I2023" s="31">
        <f>IF(COUNTIFS(Addendum!C:C,A2023,Addendum!D:D,IF(ISNUMBER(B2023),TEXT(B2023,"0000"),B2023),Addendum!E:E,"X")&gt;0,4%,0)</f>
        <v>0.04</v>
      </c>
      <c r="J2023" s="31">
        <f>IF(COUNTIFS(Addendum!C:C,A2023,Addendum!D:D,IF(ISNUMBER(B2023),TEXT(B2023,"0000"),B2023),Addendum!F:F,"X")&gt;0,2.5%,0)</f>
        <v>0</v>
      </c>
      <c r="K2023" s="31">
        <f>IF(COUNTIFS(Addendum!C:C,A2023,Addendum!D:D,IF(ISNUMBER(B2023),TEXT(B2023,"0000"),B2023),Addendum!G:G,"X")&gt;0,7%,0)</f>
        <v>7.0000000000000007E-2</v>
      </c>
      <c r="L2023" s="31">
        <f>IF(COUNTIFS(Addendum!C:C,A2023,Addendum!D:D,IF(ISNUMBER(B2023),TEXT(B2023,"0000"),B2023),Addendum!I:I,"X")&gt;0,10%,0)</f>
        <v>0.1</v>
      </c>
      <c r="M2023" s="34">
        <f t="shared" si="62"/>
        <v>0.03</v>
      </c>
      <c r="N2023" s="17">
        <f t="shared" si="63"/>
        <v>3985.5360000000001</v>
      </c>
    </row>
    <row r="2024" spans="1:14" x14ac:dyDescent="0.25">
      <c r="A2024" s="14" t="s">
        <v>543</v>
      </c>
      <c r="B2024" s="14" t="s">
        <v>583</v>
      </c>
      <c r="C2024" s="15" t="s">
        <v>2377</v>
      </c>
      <c r="D2024" s="14" t="s">
        <v>1745</v>
      </c>
      <c r="E2024" s="14" t="s">
        <v>1746</v>
      </c>
      <c r="F2024" s="17" t="s">
        <v>2995</v>
      </c>
      <c r="G2024" s="14">
        <v>25137</v>
      </c>
      <c r="H2024" s="14">
        <v>22623.360000000001</v>
      </c>
      <c r="I2024" s="31">
        <f>IF(COUNTIFS(Addendum!C:C,A2024,Addendum!D:D,IF(ISNUMBER(B2024),TEXT(B2024,"0000"),B2024),Addendum!E:E,"X")&gt;0,4%,0)</f>
        <v>0.04</v>
      </c>
      <c r="J2024" s="31">
        <f>IF(COUNTIFS(Addendum!C:C,A2024,Addendum!D:D,IF(ISNUMBER(B2024),TEXT(B2024,"0000"),B2024),Addendum!F:F,"X")&gt;0,2.5%,0)</f>
        <v>0</v>
      </c>
      <c r="K2024" s="31">
        <f>IF(COUNTIFS(Addendum!C:C,A2024,Addendum!D:D,IF(ISNUMBER(B2024),TEXT(B2024,"0000"),B2024),Addendum!G:G,"X")&gt;0,7%,0)</f>
        <v>7.0000000000000007E-2</v>
      </c>
      <c r="L2024" s="31">
        <f>IF(COUNTIFS(Addendum!C:C,A2024,Addendum!D:D,IF(ISNUMBER(B2024),TEXT(B2024,"0000"),B2024),Addendum!I:I,"X")&gt;0,10%,0)</f>
        <v>0.1</v>
      </c>
      <c r="M2024" s="34">
        <f t="shared" si="62"/>
        <v>0.03</v>
      </c>
      <c r="N2024" s="17">
        <f t="shared" si="63"/>
        <v>21944.659200000002</v>
      </c>
    </row>
    <row r="2025" spans="1:14" x14ac:dyDescent="0.25">
      <c r="A2025" s="14" t="s">
        <v>543</v>
      </c>
      <c r="B2025" s="14" t="s">
        <v>108</v>
      </c>
      <c r="C2025" s="15" t="s">
        <v>560</v>
      </c>
      <c r="D2025" s="14" t="s">
        <v>1745</v>
      </c>
      <c r="E2025" s="14" t="s">
        <v>1746</v>
      </c>
      <c r="F2025" s="17" t="s">
        <v>2993</v>
      </c>
      <c r="G2025" s="14">
        <v>53928</v>
      </c>
      <c r="H2025" s="14">
        <v>43142.400000000001</v>
      </c>
      <c r="I2025" s="31">
        <f>IF(COUNTIFS(Addendum!C:C,A2025,Addendum!D:D,IF(ISNUMBER(B2025),TEXT(B2025,"0000"),B2025),Addendum!E:E,"X")&gt;0,4%,0)</f>
        <v>0.04</v>
      </c>
      <c r="J2025" s="31">
        <f>IF(COUNTIFS(Addendum!C:C,A2025,Addendum!D:D,IF(ISNUMBER(B2025),TEXT(B2025,"0000"),B2025),Addendum!F:F,"X")&gt;0,2.5%,0)</f>
        <v>0</v>
      </c>
      <c r="K2025" s="31">
        <f>IF(COUNTIFS(Addendum!C:C,A2025,Addendum!D:D,IF(ISNUMBER(B2025),TEXT(B2025,"0000"),B2025),Addendum!G:G,"X")&gt;0,7%,0)</f>
        <v>7.0000000000000007E-2</v>
      </c>
      <c r="L2025" s="31">
        <f>IF(COUNTIFS(Addendum!C:C,A2025,Addendum!D:D,IF(ISNUMBER(B2025),TEXT(B2025,"0000"),B2025),Addendum!I:I,"X")&gt;0,10%,0)</f>
        <v>0.1</v>
      </c>
      <c r="M2025" s="34">
        <f t="shared" si="62"/>
        <v>0.03</v>
      </c>
      <c r="N2025" s="17">
        <f t="shared" si="63"/>
        <v>41848.128000000004</v>
      </c>
    </row>
    <row r="2026" spans="1:14" x14ac:dyDescent="0.25">
      <c r="A2026" s="14" t="s">
        <v>601</v>
      </c>
      <c r="B2026" s="14" t="s">
        <v>55</v>
      </c>
      <c r="C2026" s="15" t="s">
        <v>2379</v>
      </c>
      <c r="D2026" s="14" t="s">
        <v>1749</v>
      </c>
      <c r="E2026" s="14" t="s">
        <v>1746</v>
      </c>
      <c r="F2026" s="17" t="s">
        <v>2994</v>
      </c>
      <c r="G2026" s="14">
        <v>168</v>
      </c>
      <c r="H2026" s="14">
        <v>134.4</v>
      </c>
      <c r="I2026" s="31">
        <f>IF(COUNTIFS(Addendum!C:C,A2026,Addendum!D:D,IF(ISNUMBER(B2026),TEXT(B2026,"0000"),B2026),Addendum!E:E,"X")&gt;0,4%,0)</f>
        <v>0.04</v>
      </c>
      <c r="J2026" s="31">
        <f>IF(COUNTIFS(Addendum!C:C,A2026,Addendum!D:D,IF(ISNUMBER(B2026),TEXT(B2026,"0000"),B2026),Addendum!F:F,"X")&gt;0,2.5%,0)</f>
        <v>0</v>
      </c>
      <c r="K2026" s="31">
        <f>IF(COUNTIFS(Addendum!C:C,A2026,Addendum!D:D,IF(ISNUMBER(B2026),TEXT(B2026,"0000"),B2026),Addendum!G:G,"X")&gt;0,7%,0)</f>
        <v>0</v>
      </c>
      <c r="L2026" s="31">
        <f>IF(COUNTIFS(Addendum!C:C,A2026,Addendum!D:D,IF(ISNUMBER(B2026),TEXT(B2026,"0000"),B2026),Addendum!I:I,"X")&gt;0,10%,0)</f>
        <v>0</v>
      </c>
      <c r="M2026" s="34">
        <f t="shared" si="62"/>
        <v>0.01</v>
      </c>
      <c r="N2026" s="17">
        <f t="shared" si="63"/>
        <v>133.05600000000001</v>
      </c>
    </row>
    <row r="2027" spans="1:14" x14ac:dyDescent="0.25">
      <c r="A2027" s="14" t="s">
        <v>601</v>
      </c>
      <c r="B2027" s="14" t="s">
        <v>118</v>
      </c>
      <c r="C2027" s="15" t="s">
        <v>2380</v>
      </c>
      <c r="D2027" s="14" t="s">
        <v>1745</v>
      </c>
      <c r="E2027" s="14" t="s">
        <v>1747</v>
      </c>
      <c r="F2027" s="17" t="s">
        <v>2994</v>
      </c>
      <c r="G2027" s="14">
        <v>788.4</v>
      </c>
      <c r="H2027" s="14">
        <v>630.72</v>
      </c>
      <c r="I2027" s="31">
        <f>IF(COUNTIFS(Addendum!C:C,A2027,Addendum!D:D,IF(ISNUMBER(B2027),TEXT(B2027,"0000"),B2027),Addendum!E:E,"X")&gt;0,4%,0)</f>
        <v>0.04</v>
      </c>
      <c r="J2027" s="31">
        <f>IF(COUNTIFS(Addendum!C:C,A2027,Addendum!D:D,IF(ISNUMBER(B2027),TEXT(B2027,"0000"),B2027),Addendum!F:F,"X")&gt;0,2.5%,0)</f>
        <v>0</v>
      </c>
      <c r="K2027" s="31">
        <f>IF(COUNTIFS(Addendum!C:C,A2027,Addendum!D:D,IF(ISNUMBER(B2027),TEXT(B2027,"0000"),B2027),Addendum!G:G,"X")&gt;0,7%,0)</f>
        <v>0</v>
      </c>
      <c r="L2027" s="31">
        <f>IF(COUNTIFS(Addendum!C:C,A2027,Addendum!D:D,IF(ISNUMBER(B2027),TEXT(B2027,"0000"),B2027),Addendum!I:I,"X")&gt;0,10%,0)</f>
        <v>0</v>
      </c>
      <c r="M2027" s="34">
        <f t="shared" si="62"/>
        <v>0.03</v>
      </c>
      <c r="N2027" s="17">
        <f t="shared" si="63"/>
        <v>611.79840000000002</v>
      </c>
    </row>
    <row r="2028" spans="1:14" x14ac:dyDescent="0.25">
      <c r="A2028" s="14" t="s">
        <v>601</v>
      </c>
      <c r="B2028" s="14" t="s">
        <v>55</v>
      </c>
      <c r="C2028" s="15" t="s">
        <v>2379</v>
      </c>
      <c r="D2028" s="14" t="s">
        <v>1745</v>
      </c>
      <c r="E2028" s="14" t="s">
        <v>1746</v>
      </c>
      <c r="F2028" s="17" t="s">
        <v>2994</v>
      </c>
      <c r="G2028" s="14">
        <v>1764</v>
      </c>
      <c r="H2028" s="14">
        <v>1411.2</v>
      </c>
      <c r="I2028" s="31">
        <f>IF(COUNTIFS(Addendum!C:C,A2028,Addendum!D:D,IF(ISNUMBER(B2028),TEXT(B2028,"0000"),B2028),Addendum!E:E,"X")&gt;0,4%,0)</f>
        <v>0.04</v>
      </c>
      <c r="J2028" s="31">
        <f>IF(COUNTIFS(Addendum!C:C,A2028,Addendum!D:D,IF(ISNUMBER(B2028),TEXT(B2028,"0000"),B2028),Addendum!F:F,"X")&gt;0,2.5%,0)</f>
        <v>0</v>
      </c>
      <c r="K2028" s="31">
        <f>IF(COUNTIFS(Addendum!C:C,A2028,Addendum!D:D,IF(ISNUMBER(B2028),TEXT(B2028,"0000"),B2028),Addendum!G:G,"X")&gt;0,7%,0)</f>
        <v>0</v>
      </c>
      <c r="L2028" s="31">
        <f>IF(COUNTIFS(Addendum!C:C,A2028,Addendum!D:D,IF(ISNUMBER(B2028),TEXT(B2028,"0000"),B2028),Addendum!I:I,"X")&gt;0,10%,0)</f>
        <v>0</v>
      </c>
      <c r="M2028" s="34">
        <f t="shared" si="62"/>
        <v>0.01</v>
      </c>
      <c r="N2028" s="17">
        <f t="shared" si="63"/>
        <v>1397.088</v>
      </c>
    </row>
    <row r="2029" spans="1:14" x14ac:dyDescent="0.25">
      <c r="A2029" s="14" t="s">
        <v>601</v>
      </c>
      <c r="B2029" s="14" t="s">
        <v>118</v>
      </c>
      <c r="C2029" s="15" t="s">
        <v>2380</v>
      </c>
      <c r="D2029" s="14" t="s">
        <v>1745</v>
      </c>
      <c r="E2029" s="14" t="s">
        <v>1746</v>
      </c>
      <c r="F2029" s="17" t="s">
        <v>2994</v>
      </c>
      <c r="G2029" s="14">
        <v>827.88</v>
      </c>
      <c r="H2029" s="14">
        <v>662.28</v>
      </c>
      <c r="I2029" s="31">
        <f>IF(COUNTIFS(Addendum!C:C,A2029,Addendum!D:D,IF(ISNUMBER(B2029),TEXT(B2029,"0000"),B2029),Addendum!E:E,"X")&gt;0,4%,0)</f>
        <v>0.04</v>
      </c>
      <c r="J2029" s="31">
        <f>IF(COUNTIFS(Addendum!C:C,A2029,Addendum!D:D,IF(ISNUMBER(B2029),TEXT(B2029,"0000"),B2029),Addendum!F:F,"X")&gt;0,2.5%,0)</f>
        <v>0</v>
      </c>
      <c r="K2029" s="31">
        <f>IF(COUNTIFS(Addendum!C:C,A2029,Addendum!D:D,IF(ISNUMBER(B2029),TEXT(B2029,"0000"),B2029),Addendum!G:G,"X")&gt;0,7%,0)</f>
        <v>0</v>
      </c>
      <c r="L2029" s="31">
        <f>IF(COUNTIFS(Addendum!C:C,A2029,Addendum!D:D,IF(ISNUMBER(B2029),TEXT(B2029,"0000"),B2029),Addendum!I:I,"X")&gt;0,10%,0)</f>
        <v>0</v>
      </c>
      <c r="M2029" s="34">
        <f t="shared" si="62"/>
        <v>0.01</v>
      </c>
      <c r="N2029" s="17">
        <f t="shared" si="63"/>
        <v>655.65719999999999</v>
      </c>
    </row>
    <row r="2030" spans="1:14" x14ac:dyDescent="0.25">
      <c r="A2030" s="14" t="s">
        <v>601</v>
      </c>
      <c r="B2030" s="14" t="s">
        <v>50</v>
      </c>
      <c r="C2030" s="15" t="s">
        <v>2381</v>
      </c>
      <c r="D2030" s="14" t="s">
        <v>1745</v>
      </c>
      <c r="E2030" s="14" t="s">
        <v>1746</v>
      </c>
      <c r="F2030" s="17" t="s">
        <v>2994</v>
      </c>
      <c r="G2030" s="14">
        <v>1449</v>
      </c>
      <c r="H2030" s="14">
        <v>1159.2</v>
      </c>
      <c r="I2030" s="31">
        <f>IF(COUNTIFS(Addendum!C:C,A2030,Addendum!D:D,IF(ISNUMBER(B2030),TEXT(B2030,"0000"),B2030),Addendum!E:E,"X")&gt;0,4%,0)</f>
        <v>0.04</v>
      </c>
      <c r="J2030" s="31">
        <f>IF(COUNTIFS(Addendum!C:C,A2030,Addendum!D:D,IF(ISNUMBER(B2030),TEXT(B2030,"0000"),B2030),Addendum!F:F,"X")&gt;0,2.5%,0)</f>
        <v>0</v>
      </c>
      <c r="K2030" s="31">
        <f>IF(COUNTIFS(Addendum!C:C,A2030,Addendum!D:D,IF(ISNUMBER(B2030),TEXT(B2030,"0000"),B2030),Addendum!G:G,"X")&gt;0,7%,0)</f>
        <v>0</v>
      </c>
      <c r="L2030" s="31">
        <f>IF(COUNTIFS(Addendum!C:C,A2030,Addendum!D:D,IF(ISNUMBER(B2030),TEXT(B2030,"0000"),B2030),Addendum!I:I,"X")&gt;0,10%,0)</f>
        <v>0</v>
      </c>
      <c r="M2030" s="34">
        <f t="shared" si="62"/>
        <v>0.01</v>
      </c>
      <c r="N2030" s="17">
        <f t="shared" si="63"/>
        <v>1147.6079999999999</v>
      </c>
    </row>
    <row r="2031" spans="1:14" x14ac:dyDescent="0.25">
      <c r="A2031" s="14" t="s">
        <v>601</v>
      </c>
      <c r="B2031" s="14" t="s">
        <v>55</v>
      </c>
      <c r="C2031" s="15" t="s">
        <v>2379</v>
      </c>
      <c r="D2031" s="14" t="s">
        <v>1745</v>
      </c>
      <c r="E2031" s="14" t="s">
        <v>1747</v>
      </c>
      <c r="F2031" s="17" t="s">
        <v>2994</v>
      </c>
      <c r="G2031" s="14">
        <v>1680</v>
      </c>
      <c r="H2031" s="14">
        <v>1344</v>
      </c>
      <c r="I2031" s="31">
        <f>IF(COUNTIFS(Addendum!C:C,A2031,Addendum!D:D,IF(ISNUMBER(B2031),TEXT(B2031,"0000"),B2031),Addendum!E:E,"X")&gt;0,4%,0)</f>
        <v>0.04</v>
      </c>
      <c r="J2031" s="31">
        <f>IF(COUNTIFS(Addendum!C:C,A2031,Addendum!D:D,IF(ISNUMBER(B2031),TEXT(B2031,"0000"),B2031),Addendum!F:F,"X")&gt;0,2.5%,0)</f>
        <v>0</v>
      </c>
      <c r="K2031" s="31">
        <f>IF(COUNTIFS(Addendum!C:C,A2031,Addendum!D:D,IF(ISNUMBER(B2031),TEXT(B2031,"0000"),B2031),Addendum!G:G,"X")&gt;0,7%,0)</f>
        <v>0</v>
      </c>
      <c r="L2031" s="31">
        <f>IF(COUNTIFS(Addendum!C:C,A2031,Addendum!D:D,IF(ISNUMBER(B2031),TEXT(B2031,"0000"),B2031),Addendum!I:I,"X")&gt;0,10%,0)</f>
        <v>0</v>
      </c>
      <c r="M2031" s="34">
        <f t="shared" si="62"/>
        <v>0.03</v>
      </c>
      <c r="N2031" s="17">
        <f t="shared" si="63"/>
        <v>1303.68</v>
      </c>
    </row>
    <row r="2032" spans="1:14" x14ac:dyDescent="0.25">
      <c r="A2032" s="14" t="s">
        <v>601</v>
      </c>
      <c r="B2032" s="14" t="s">
        <v>32</v>
      </c>
      <c r="C2032" s="15" t="s">
        <v>2382</v>
      </c>
      <c r="D2032" s="14" t="s">
        <v>1749</v>
      </c>
      <c r="E2032" s="14" t="s">
        <v>1746</v>
      </c>
      <c r="F2032" s="17" t="s">
        <v>2995</v>
      </c>
      <c r="G2032" s="14">
        <v>240</v>
      </c>
      <c r="H2032" s="14">
        <v>216</v>
      </c>
      <c r="I2032" s="31">
        <f>IF(COUNTIFS(Addendum!C:C,A2032,Addendum!D:D,IF(ISNUMBER(B2032),TEXT(B2032,"0000"),B2032),Addendum!E:E,"X")&gt;0,4%,0)</f>
        <v>0.04</v>
      </c>
      <c r="J2032" s="31">
        <f>IF(COUNTIFS(Addendum!C:C,A2032,Addendum!D:D,IF(ISNUMBER(B2032),TEXT(B2032,"0000"),B2032),Addendum!F:F,"X")&gt;0,2.5%,0)</f>
        <v>0</v>
      </c>
      <c r="K2032" s="31">
        <f>IF(COUNTIFS(Addendum!C:C,A2032,Addendum!D:D,IF(ISNUMBER(B2032),TEXT(B2032,"0000"),B2032),Addendum!G:G,"X")&gt;0,7%,0)</f>
        <v>0</v>
      </c>
      <c r="L2032" s="31">
        <f>IF(COUNTIFS(Addendum!C:C,A2032,Addendum!D:D,IF(ISNUMBER(B2032),TEXT(B2032,"0000"),B2032),Addendum!I:I,"X")&gt;0,10%,0)</f>
        <v>0</v>
      </c>
      <c r="M2032" s="34">
        <f t="shared" si="62"/>
        <v>0.01</v>
      </c>
      <c r="N2032" s="17">
        <f t="shared" si="63"/>
        <v>213.84</v>
      </c>
    </row>
    <row r="2033" spans="1:14" x14ac:dyDescent="0.25">
      <c r="A2033" s="14" t="s">
        <v>601</v>
      </c>
      <c r="B2033" s="14">
        <v>1</v>
      </c>
      <c r="C2033" s="15" t="s">
        <v>599</v>
      </c>
      <c r="D2033" s="14" t="s">
        <v>1745</v>
      </c>
      <c r="E2033" s="14" t="s">
        <v>1746</v>
      </c>
      <c r="F2033" s="17" t="s">
        <v>2993</v>
      </c>
      <c r="G2033" s="14">
        <v>6300</v>
      </c>
      <c r="H2033" s="14">
        <v>5040</v>
      </c>
      <c r="I2033" s="31">
        <f>IF(COUNTIFS(Addendum!C:C,A2033,Addendum!D:D,IF(ISNUMBER(B2033),TEXT(B2033,"0000"),B2033),Addendum!E:E,"X")&gt;0,4%,0)</f>
        <v>0.04</v>
      </c>
      <c r="J2033" s="31">
        <f>IF(COUNTIFS(Addendum!C:C,A2033,Addendum!D:D,IF(ISNUMBER(B2033),TEXT(B2033,"0000"),B2033),Addendum!F:F,"X")&gt;0,2.5%,0)</f>
        <v>0</v>
      </c>
      <c r="K2033" s="31">
        <f>IF(COUNTIFS(Addendum!C:C,A2033,Addendum!D:D,IF(ISNUMBER(B2033),TEXT(B2033,"0000"),B2033),Addendum!G:G,"X")&gt;0,7%,0)</f>
        <v>0</v>
      </c>
      <c r="L2033" s="31">
        <f>IF(COUNTIFS(Addendum!C:C,A2033,Addendum!D:D,IF(ISNUMBER(B2033),TEXT(B2033,"0000"),B2033),Addendum!I:I,"X")&gt;0,10%,0)</f>
        <v>0</v>
      </c>
      <c r="M2033" s="34">
        <f t="shared" si="62"/>
        <v>0.01</v>
      </c>
      <c r="N2033" s="17">
        <f t="shared" si="63"/>
        <v>4989.6000000000004</v>
      </c>
    </row>
    <row r="2034" spans="1:14" x14ac:dyDescent="0.25">
      <c r="A2034" s="14" t="s">
        <v>601</v>
      </c>
      <c r="B2034" s="14" t="s">
        <v>50</v>
      </c>
      <c r="C2034" s="15" t="s">
        <v>2381</v>
      </c>
      <c r="D2034" s="14" t="s">
        <v>1745</v>
      </c>
      <c r="E2034" s="14" t="s">
        <v>1747</v>
      </c>
      <c r="F2034" s="17" t="s">
        <v>2994</v>
      </c>
      <c r="G2034" s="14">
        <v>1380</v>
      </c>
      <c r="H2034" s="14">
        <v>1104</v>
      </c>
      <c r="I2034" s="31">
        <f>IF(COUNTIFS(Addendum!C:C,A2034,Addendum!D:D,IF(ISNUMBER(B2034),TEXT(B2034,"0000"),B2034),Addendum!E:E,"X")&gt;0,4%,0)</f>
        <v>0.04</v>
      </c>
      <c r="J2034" s="31">
        <f>IF(COUNTIFS(Addendum!C:C,A2034,Addendum!D:D,IF(ISNUMBER(B2034),TEXT(B2034,"0000"),B2034),Addendum!F:F,"X")&gt;0,2.5%,0)</f>
        <v>0</v>
      </c>
      <c r="K2034" s="31">
        <f>IF(COUNTIFS(Addendum!C:C,A2034,Addendum!D:D,IF(ISNUMBER(B2034),TEXT(B2034,"0000"),B2034),Addendum!G:G,"X")&gt;0,7%,0)</f>
        <v>0</v>
      </c>
      <c r="L2034" s="31">
        <f>IF(COUNTIFS(Addendum!C:C,A2034,Addendum!D:D,IF(ISNUMBER(B2034),TEXT(B2034,"0000"),B2034),Addendum!I:I,"X")&gt;0,10%,0)</f>
        <v>0</v>
      </c>
      <c r="M2034" s="34">
        <f t="shared" si="62"/>
        <v>0.03</v>
      </c>
      <c r="N2034" s="17">
        <f t="shared" si="63"/>
        <v>1070.8800000000001</v>
      </c>
    </row>
    <row r="2035" spans="1:14" x14ac:dyDescent="0.25">
      <c r="A2035" s="14" t="s">
        <v>601</v>
      </c>
      <c r="B2035" s="14" t="s">
        <v>32</v>
      </c>
      <c r="C2035" s="15" t="s">
        <v>2382</v>
      </c>
      <c r="D2035" s="14" t="s">
        <v>1745</v>
      </c>
      <c r="E2035" s="14" t="s">
        <v>1747</v>
      </c>
      <c r="F2035" s="17" t="s">
        <v>2995</v>
      </c>
      <c r="G2035" s="14">
        <v>2400</v>
      </c>
      <c r="H2035" s="14">
        <v>2160</v>
      </c>
      <c r="I2035" s="31">
        <f>IF(COUNTIFS(Addendum!C:C,A2035,Addendum!D:D,IF(ISNUMBER(B2035),TEXT(B2035,"0000"),B2035),Addendum!E:E,"X")&gt;0,4%,0)</f>
        <v>0.04</v>
      </c>
      <c r="J2035" s="31">
        <f>IF(COUNTIFS(Addendum!C:C,A2035,Addendum!D:D,IF(ISNUMBER(B2035),TEXT(B2035,"0000"),B2035),Addendum!F:F,"X")&gt;0,2.5%,0)</f>
        <v>0</v>
      </c>
      <c r="K2035" s="31">
        <f>IF(COUNTIFS(Addendum!C:C,A2035,Addendum!D:D,IF(ISNUMBER(B2035),TEXT(B2035,"0000"),B2035),Addendum!G:G,"X")&gt;0,7%,0)</f>
        <v>0</v>
      </c>
      <c r="L2035" s="31">
        <f>IF(COUNTIFS(Addendum!C:C,A2035,Addendum!D:D,IF(ISNUMBER(B2035),TEXT(B2035,"0000"),B2035),Addendum!I:I,"X")&gt;0,10%,0)</f>
        <v>0</v>
      </c>
      <c r="M2035" s="34">
        <f t="shared" si="62"/>
        <v>0.03</v>
      </c>
      <c r="N2035" s="17">
        <f t="shared" si="63"/>
        <v>2095.1999999999998</v>
      </c>
    </row>
    <row r="2036" spans="1:14" x14ac:dyDescent="0.25">
      <c r="A2036" s="14" t="s">
        <v>601</v>
      </c>
      <c r="B2036" s="14" t="s">
        <v>118</v>
      </c>
      <c r="C2036" s="15" t="s">
        <v>2380</v>
      </c>
      <c r="D2036" s="14" t="s">
        <v>1749</v>
      </c>
      <c r="E2036" s="14" t="s">
        <v>1746</v>
      </c>
      <c r="F2036" s="17" t="s">
        <v>2994</v>
      </c>
      <c r="G2036" s="14">
        <v>78.84</v>
      </c>
      <c r="H2036" s="14">
        <v>63.07</v>
      </c>
      <c r="I2036" s="31">
        <f>IF(COUNTIFS(Addendum!C:C,A2036,Addendum!D:D,IF(ISNUMBER(B2036),TEXT(B2036,"0000"),B2036),Addendum!E:E,"X")&gt;0,4%,0)</f>
        <v>0.04</v>
      </c>
      <c r="J2036" s="31">
        <f>IF(COUNTIFS(Addendum!C:C,A2036,Addendum!D:D,IF(ISNUMBER(B2036),TEXT(B2036,"0000"),B2036),Addendum!F:F,"X")&gt;0,2.5%,0)</f>
        <v>0</v>
      </c>
      <c r="K2036" s="31">
        <f>IF(COUNTIFS(Addendum!C:C,A2036,Addendum!D:D,IF(ISNUMBER(B2036),TEXT(B2036,"0000"),B2036),Addendum!G:G,"X")&gt;0,7%,0)</f>
        <v>0</v>
      </c>
      <c r="L2036" s="31">
        <f>IF(COUNTIFS(Addendum!C:C,A2036,Addendum!D:D,IF(ISNUMBER(B2036),TEXT(B2036,"0000"),B2036),Addendum!I:I,"X")&gt;0,10%,0)</f>
        <v>0</v>
      </c>
      <c r="M2036" s="34">
        <f t="shared" si="62"/>
        <v>0.01</v>
      </c>
      <c r="N2036" s="17">
        <f t="shared" si="63"/>
        <v>62.439300000000003</v>
      </c>
    </row>
    <row r="2037" spans="1:14" x14ac:dyDescent="0.25">
      <c r="A2037" s="14" t="s">
        <v>601</v>
      </c>
      <c r="B2037" s="14" t="s">
        <v>50</v>
      </c>
      <c r="C2037" s="15" t="s">
        <v>2381</v>
      </c>
      <c r="D2037" s="14" t="s">
        <v>1749</v>
      </c>
      <c r="E2037" s="14" t="s">
        <v>1746</v>
      </c>
      <c r="F2037" s="17" t="s">
        <v>2994</v>
      </c>
      <c r="G2037" s="14">
        <v>138</v>
      </c>
      <c r="H2037" s="14">
        <v>110.4</v>
      </c>
      <c r="I2037" s="31">
        <f>IF(COUNTIFS(Addendum!C:C,A2037,Addendum!D:D,IF(ISNUMBER(B2037),TEXT(B2037,"0000"),B2037),Addendum!E:E,"X")&gt;0,4%,0)</f>
        <v>0.04</v>
      </c>
      <c r="J2037" s="31">
        <f>IF(COUNTIFS(Addendum!C:C,A2037,Addendum!D:D,IF(ISNUMBER(B2037),TEXT(B2037,"0000"),B2037),Addendum!F:F,"X")&gt;0,2.5%,0)</f>
        <v>0</v>
      </c>
      <c r="K2037" s="31">
        <f>IF(COUNTIFS(Addendum!C:C,A2037,Addendum!D:D,IF(ISNUMBER(B2037),TEXT(B2037,"0000"),B2037),Addendum!G:G,"X")&gt;0,7%,0)</f>
        <v>0</v>
      </c>
      <c r="L2037" s="31">
        <f>IF(COUNTIFS(Addendum!C:C,A2037,Addendum!D:D,IF(ISNUMBER(B2037),TEXT(B2037,"0000"),B2037),Addendum!I:I,"X")&gt;0,10%,0)</f>
        <v>0</v>
      </c>
      <c r="M2037" s="34">
        <f t="shared" si="62"/>
        <v>0.01</v>
      </c>
      <c r="N2037" s="17">
        <f t="shared" si="63"/>
        <v>109.29600000000001</v>
      </c>
    </row>
    <row r="2038" spans="1:14" x14ac:dyDescent="0.25">
      <c r="A2038" s="14" t="s">
        <v>601</v>
      </c>
      <c r="B2038" s="14" t="s">
        <v>32</v>
      </c>
      <c r="C2038" s="15" t="s">
        <v>2382</v>
      </c>
      <c r="D2038" s="14" t="s">
        <v>1745</v>
      </c>
      <c r="E2038" s="14" t="s">
        <v>1746</v>
      </c>
      <c r="F2038" s="17" t="s">
        <v>2995</v>
      </c>
      <c r="G2038" s="14">
        <v>2520</v>
      </c>
      <c r="H2038" s="14">
        <v>2268</v>
      </c>
      <c r="I2038" s="31">
        <f>IF(COUNTIFS(Addendum!C:C,A2038,Addendum!D:D,IF(ISNUMBER(B2038),TEXT(B2038,"0000"),B2038),Addendum!E:E,"X")&gt;0,4%,0)</f>
        <v>0.04</v>
      </c>
      <c r="J2038" s="31">
        <f>IF(COUNTIFS(Addendum!C:C,A2038,Addendum!D:D,IF(ISNUMBER(B2038),TEXT(B2038,"0000"),B2038),Addendum!F:F,"X")&gt;0,2.5%,0)</f>
        <v>0</v>
      </c>
      <c r="K2038" s="31">
        <f>IF(COUNTIFS(Addendum!C:C,A2038,Addendum!D:D,IF(ISNUMBER(B2038),TEXT(B2038,"0000"),B2038),Addendum!G:G,"X")&gt;0,7%,0)</f>
        <v>0</v>
      </c>
      <c r="L2038" s="31">
        <f>IF(COUNTIFS(Addendum!C:C,A2038,Addendum!D:D,IF(ISNUMBER(B2038),TEXT(B2038,"0000"),B2038),Addendum!I:I,"X")&gt;0,10%,0)</f>
        <v>0</v>
      </c>
      <c r="M2038" s="34">
        <f t="shared" si="62"/>
        <v>0.01</v>
      </c>
      <c r="N2038" s="17">
        <f t="shared" si="63"/>
        <v>2245.3200000000002</v>
      </c>
    </row>
    <row r="2039" spans="1:14" x14ac:dyDescent="0.25">
      <c r="A2039" s="14" t="s">
        <v>601</v>
      </c>
      <c r="B2039" s="14">
        <v>1</v>
      </c>
      <c r="C2039" s="15" t="s">
        <v>599</v>
      </c>
      <c r="D2039" s="14" t="s">
        <v>1749</v>
      </c>
      <c r="E2039" s="14" t="s">
        <v>1746</v>
      </c>
      <c r="F2039" s="17" t="s">
        <v>2993</v>
      </c>
      <c r="G2039" s="14">
        <v>600</v>
      </c>
      <c r="H2039" s="14">
        <v>480</v>
      </c>
      <c r="I2039" s="31">
        <f>IF(COUNTIFS(Addendum!C:C,A2039,Addendum!D:D,IF(ISNUMBER(B2039),TEXT(B2039,"0000"),B2039),Addendum!E:E,"X")&gt;0,4%,0)</f>
        <v>0.04</v>
      </c>
      <c r="J2039" s="31">
        <f>IF(COUNTIFS(Addendum!C:C,A2039,Addendum!D:D,IF(ISNUMBER(B2039),TEXT(B2039,"0000"),B2039),Addendum!F:F,"X")&gt;0,2.5%,0)</f>
        <v>0</v>
      </c>
      <c r="K2039" s="31">
        <f>IF(COUNTIFS(Addendum!C:C,A2039,Addendum!D:D,IF(ISNUMBER(B2039),TEXT(B2039,"0000"),B2039),Addendum!G:G,"X")&gt;0,7%,0)</f>
        <v>0</v>
      </c>
      <c r="L2039" s="31">
        <f>IF(COUNTIFS(Addendum!C:C,A2039,Addendum!D:D,IF(ISNUMBER(B2039),TEXT(B2039,"0000"),B2039),Addendum!I:I,"X")&gt;0,10%,0)</f>
        <v>0</v>
      </c>
      <c r="M2039" s="34">
        <f t="shared" si="62"/>
        <v>0.01</v>
      </c>
      <c r="N2039" s="17">
        <f t="shared" si="63"/>
        <v>475.2</v>
      </c>
    </row>
    <row r="2040" spans="1:14" x14ac:dyDescent="0.25">
      <c r="A2040" s="14" t="s">
        <v>601</v>
      </c>
      <c r="B2040" s="14">
        <v>1</v>
      </c>
      <c r="C2040" s="15" t="s">
        <v>599</v>
      </c>
      <c r="D2040" s="14" t="s">
        <v>1745</v>
      </c>
      <c r="E2040" s="14" t="s">
        <v>1747</v>
      </c>
      <c r="F2040" s="17" t="s">
        <v>2993</v>
      </c>
      <c r="G2040" s="14">
        <v>6000</v>
      </c>
      <c r="H2040" s="14">
        <v>4800</v>
      </c>
      <c r="I2040" s="31">
        <f>IF(COUNTIFS(Addendum!C:C,A2040,Addendum!D:D,IF(ISNUMBER(B2040),TEXT(B2040,"0000"),B2040),Addendum!E:E,"X")&gt;0,4%,0)</f>
        <v>0.04</v>
      </c>
      <c r="J2040" s="31">
        <f>IF(COUNTIFS(Addendum!C:C,A2040,Addendum!D:D,IF(ISNUMBER(B2040),TEXT(B2040,"0000"),B2040),Addendum!F:F,"X")&gt;0,2.5%,0)</f>
        <v>0</v>
      </c>
      <c r="K2040" s="31">
        <f>IF(COUNTIFS(Addendum!C:C,A2040,Addendum!D:D,IF(ISNUMBER(B2040),TEXT(B2040,"0000"),B2040),Addendum!G:G,"X")&gt;0,7%,0)</f>
        <v>0</v>
      </c>
      <c r="L2040" s="31">
        <f>IF(COUNTIFS(Addendum!C:C,A2040,Addendum!D:D,IF(ISNUMBER(B2040),TEXT(B2040,"0000"),B2040),Addendum!I:I,"X")&gt;0,10%,0)</f>
        <v>0</v>
      </c>
      <c r="M2040" s="34">
        <f t="shared" si="62"/>
        <v>0.03</v>
      </c>
      <c r="N2040" s="17">
        <f t="shared" si="63"/>
        <v>4656</v>
      </c>
    </row>
    <row r="2041" spans="1:14" x14ac:dyDescent="0.25">
      <c r="A2041" s="14" t="s">
        <v>622</v>
      </c>
      <c r="B2041" s="14" t="s">
        <v>32</v>
      </c>
      <c r="C2041" s="15" t="s">
        <v>2383</v>
      </c>
      <c r="D2041" s="14" t="s">
        <v>1745</v>
      </c>
      <c r="E2041" s="14" t="s">
        <v>1747</v>
      </c>
      <c r="F2041" s="17" t="s">
        <v>2995</v>
      </c>
      <c r="G2041" s="14">
        <v>2820</v>
      </c>
      <c r="H2041" s="14">
        <v>2538</v>
      </c>
      <c r="I2041" s="31">
        <f>IF(COUNTIFS(Addendum!C:C,A2041,Addendum!D:D,IF(ISNUMBER(B2041),TEXT(B2041,"0000"),B2041),Addendum!E:E,"X")&gt;0,4%,0)</f>
        <v>0.04</v>
      </c>
      <c r="J2041" s="31">
        <f>IF(COUNTIFS(Addendum!C:C,A2041,Addendum!D:D,IF(ISNUMBER(B2041),TEXT(B2041,"0000"),B2041),Addendum!F:F,"X")&gt;0,2.5%,0)</f>
        <v>0</v>
      </c>
      <c r="K2041" s="31">
        <f>IF(COUNTIFS(Addendum!C:C,A2041,Addendum!D:D,IF(ISNUMBER(B2041),TEXT(B2041,"0000"),B2041),Addendum!G:G,"X")&gt;0,7%,0)</f>
        <v>0</v>
      </c>
      <c r="L2041" s="31">
        <f>IF(COUNTIFS(Addendum!C:C,A2041,Addendum!D:D,IF(ISNUMBER(B2041),TEXT(B2041,"0000"),B2041),Addendum!I:I,"X")&gt;0,10%,0)</f>
        <v>0</v>
      </c>
      <c r="M2041" s="34">
        <f t="shared" si="62"/>
        <v>0.03</v>
      </c>
      <c r="N2041" s="17">
        <f t="shared" si="63"/>
        <v>2461.86</v>
      </c>
    </row>
    <row r="2042" spans="1:14" x14ac:dyDescent="0.25">
      <c r="A2042" s="14" t="s">
        <v>622</v>
      </c>
      <c r="B2042" s="14" t="s">
        <v>39</v>
      </c>
      <c r="C2042" s="15" t="s">
        <v>2384</v>
      </c>
      <c r="D2042" s="14" t="s">
        <v>1745</v>
      </c>
      <c r="E2042" s="14" t="s">
        <v>1746</v>
      </c>
      <c r="F2042" s="17" t="s">
        <v>2994</v>
      </c>
      <c r="G2042" s="14">
        <v>1701</v>
      </c>
      <c r="H2042" s="14">
        <v>1360.8</v>
      </c>
      <c r="I2042" s="31">
        <f>IF(COUNTIFS(Addendum!C:C,A2042,Addendum!D:D,IF(ISNUMBER(B2042),TEXT(B2042,"0000"),B2042),Addendum!E:E,"X")&gt;0,4%,0)</f>
        <v>0.04</v>
      </c>
      <c r="J2042" s="31">
        <f>IF(COUNTIFS(Addendum!C:C,A2042,Addendum!D:D,IF(ISNUMBER(B2042),TEXT(B2042,"0000"),B2042),Addendum!F:F,"X")&gt;0,2.5%,0)</f>
        <v>0</v>
      </c>
      <c r="K2042" s="31">
        <f>IF(COUNTIFS(Addendum!C:C,A2042,Addendum!D:D,IF(ISNUMBER(B2042),TEXT(B2042,"0000"),B2042),Addendum!G:G,"X")&gt;0,7%,0)</f>
        <v>0</v>
      </c>
      <c r="L2042" s="31">
        <f>IF(COUNTIFS(Addendum!C:C,A2042,Addendum!D:D,IF(ISNUMBER(B2042),TEXT(B2042,"0000"),B2042),Addendum!I:I,"X")&gt;0,10%,0)</f>
        <v>0</v>
      </c>
      <c r="M2042" s="34">
        <f t="shared" si="62"/>
        <v>0.01</v>
      </c>
      <c r="N2042" s="17">
        <f t="shared" si="63"/>
        <v>1347.192</v>
      </c>
    </row>
    <row r="2043" spans="1:14" x14ac:dyDescent="0.25">
      <c r="A2043" s="14" t="s">
        <v>622</v>
      </c>
      <c r="B2043" s="14">
        <v>1</v>
      </c>
      <c r="C2043" s="15" t="s">
        <v>620</v>
      </c>
      <c r="D2043" s="14" t="s">
        <v>1745</v>
      </c>
      <c r="E2043" s="14" t="s">
        <v>1747</v>
      </c>
      <c r="F2043" s="17" t="s">
        <v>2993</v>
      </c>
      <c r="G2043" s="14">
        <v>6960</v>
      </c>
      <c r="H2043" s="14">
        <v>5568</v>
      </c>
      <c r="I2043" s="31">
        <f>IF(COUNTIFS(Addendum!C:C,A2043,Addendum!D:D,IF(ISNUMBER(B2043),TEXT(B2043,"0000"),B2043),Addendum!E:E,"X")&gt;0,4%,0)</f>
        <v>0.04</v>
      </c>
      <c r="J2043" s="31">
        <f>IF(COUNTIFS(Addendum!C:C,A2043,Addendum!D:D,IF(ISNUMBER(B2043),TEXT(B2043,"0000"),B2043),Addendum!F:F,"X")&gt;0,2.5%,0)</f>
        <v>0</v>
      </c>
      <c r="K2043" s="31">
        <f>IF(COUNTIFS(Addendum!C:C,A2043,Addendum!D:D,IF(ISNUMBER(B2043),TEXT(B2043,"0000"),B2043),Addendum!G:G,"X")&gt;0,7%,0)</f>
        <v>0</v>
      </c>
      <c r="L2043" s="31">
        <f>IF(COUNTIFS(Addendum!C:C,A2043,Addendum!D:D,IF(ISNUMBER(B2043),TEXT(B2043,"0000"),B2043),Addendum!I:I,"X")&gt;0,10%,0)</f>
        <v>0</v>
      </c>
      <c r="M2043" s="34">
        <f t="shared" si="62"/>
        <v>0.03</v>
      </c>
      <c r="N2043" s="17">
        <f t="shared" si="63"/>
        <v>5400.96</v>
      </c>
    </row>
    <row r="2044" spans="1:14" x14ac:dyDescent="0.25">
      <c r="A2044" s="14" t="s">
        <v>622</v>
      </c>
      <c r="B2044" s="14" t="s">
        <v>118</v>
      </c>
      <c r="C2044" s="15" t="s">
        <v>2385</v>
      </c>
      <c r="D2044" s="14" t="s">
        <v>1745</v>
      </c>
      <c r="E2044" s="14" t="s">
        <v>1746</v>
      </c>
      <c r="F2044" s="17" t="s">
        <v>2994</v>
      </c>
      <c r="G2044" s="14">
        <v>975.24</v>
      </c>
      <c r="H2044" s="14">
        <v>780.24</v>
      </c>
      <c r="I2044" s="31">
        <f>IF(COUNTIFS(Addendum!C:C,A2044,Addendum!D:D,IF(ISNUMBER(B2044),TEXT(B2044,"0000"),B2044),Addendum!E:E,"X")&gt;0,4%,0)</f>
        <v>0.04</v>
      </c>
      <c r="J2044" s="31">
        <f>IF(COUNTIFS(Addendum!C:C,A2044,Addendum!D:D,IF(ISNUMBER(B2044),TEXT(B2044,"0000"),B2044),Addendum!F:F,"X")&gt;0,2.5%,0)</f>
        <v>0</v>
      </c>
      <c r="K2044" s="31">
        <f>IF(COUNTIFS(Addendum!C:C,A2044,Addendum!D:D,IF(ISNUMBER(B2044),TEXT(B2044,"0000"),B2044),Addendum!G:G,"X")&gt;0,7%,0)</f>
        <v>0</v>
      </c>
      <c r="L2044" s="31">
        <f>IF(COUNTIFS(Addendum!C:C,A2044,Addendum!D:D,IF(ISNUMBER(B2044),TEXT(B2044,"0000"),B2044),Addendum!I:I,"X")&gt;0,10%,0)</f>
        <v>0</v>
      </c>
      <c r="M2044" s="34">
        <f t="shared" si="62"/>
        <v>0.01</v>
      </c>
      <c r="N2044" s="17">
        <f t="shared" si="63"/>
        <v>772.43759999999997</v>
      </c>
    </row>
    <row r="2045" spans="1:14" x14ac:dyDescent="0.25">
      <c r="A2045" s="14" t="s">
        <v>622</v>
      </c>
      <c r="B2045" s="14" t="s">
        <v>55</v>
      </c>
      <c r="C2045" s="15" t="s">
        <v>624</v>
      </c>
      <c r="D2045" s="14" t="s">
        <v>1749</v>
      </c>
      <c r="E2045" s="14" t="s">
        <v>1746</v>
      </c>
      <c r="F2045" s="17" t="s">
        <v>2994</v>
      </c>
      <c r="G2045" s="14">
        <v>198</v>
      </c>
      <c r="H2045" s="14">
        <v>158.4</v>
      </c>
      <c r="I2045" s="31">
        <f>IF(COUNTIFS(Addendum!C:C,A2045,Addendum!D:D,IF(ISNUMBER(B2045),TEXT(B2045,"0000"),B2045),Addendum!E:E,"X")&gt;0,4%,0)</f>
        <v>0.04</v>
      </c>
      <c r="J2045" s="31">
        <f>IF(COUNTIFS(Addendum!C:C,A2045,Addendum!D:D,IF(ISNUMBER(B2045),TEXT(B2045,"0000"),B2045),Addendum!F:F,"X")&gt;0,2.5%,0)</f>
        <v>0</v>
      </c>
      <c r="K2045" s="31">
        <f>IF(COUNTIFS(Addendum!C:C,A2045,Addendum!D:D,IF(ISNUMBER(B2045),TEXT(B2045,"0000"),B2045),Addendum!G:G,"X")&gt;0,7%,0)</f>
        <v>0</v>
      </c>
      <c r="L2045" s="31">
        <f>IF(COUNTIFS(Addendum!C:C,A2045,Addendum!D:D,IF(ISNUMBER(B2045),TEXT(B2045,"0000"),B2045),Addendum!I:I,"X")&gt;0,10%,0)</f>
        <v>0</v>
      </c>
      <c r="M2045" s="34">
        <f t="shared" si="62"/>
        <v>0.01</v>
      </c>
      <c r="N2045" s="17">
        <f t="shared" si="63"/>
        <v>156.816</v>
      </c>
    </row>
    <row r="2046" spans="1:14" x14ac:dyDescent="0.25">
      <c r="A2046" s="14" t="s">
        <v>622</v>
      </c>
      <c r="B2046" s="14" t="s">
        <v>55</v>
      </c>
      <c r="C2046" s="15" t="s">
        <v>624</v>
      </c>
      <c r="D2046" s="14" t="s">
        <v>1745</v>
      </c>
      <c r="E2046" s="14" t="s">
        <v>1746</v>
      </c>
      <c r="F2046" s="17" t="s">
        <v>2994</v>
      </c>
      <c r="G2046" s="14">
        <v>2079</v>
      </c>
      <c r="H2046" s="14">
        <v>1663.2</v>
      </c>
      <c r="I2046" s="31">
        <f>IF(COUNTIFS(Addendum!C:C,A2046,Addendum!D:D,IF(ISNUMBER(B2046),TEXT(B2046,"0000"),B2046),Addendum!E:E,"X")&gt;0,4%,0)</f>
        <v>0.04</v>
      </c>
      <c r="J2046" s="31">
        <f>IF(COUNTIFS(Addendum!C:C,A2046,Addendum!D:D,IF(ISNUMBER(B2046),TEXT(B2046,"0000"),B2046),Addendum!F:F,"X")&gt;0,2.5%,0)</f>
        <v>0</v>
      </c>
      <c r="K2046" s="31">
        <f>IF(COUNTIFS(Addendum!C:C,A2046,Addendum!D:D,IF(ISNUMBER(B2046),TEXT(B2046,"0000"),B2046),Addendum!G:G,"X")&gt;0,7%,0)</f>
        <v>0</v>
      </c>
      <c r="L2046" s="31">
        <f>IF(COUNTIFS(Addendum!C:C,A2046,Addendum!D:D,IF(ISNUMBER(B2046),TEXT(B2046,"0000"),B2046),Addendum!I:I,"X")&gt;0,10%,0)</f>
        <v>0</v>
      </c>
      <c r="M2046" s="34">
        <f t="shared" si="62"/>
        <v>0.01</v>
      </c>
      <c r="N2046" s="17">
        <f t="shared" si="63"/>
        <v>1646.568</v>
      </c>
    </row>
    <row r="2047" spans="1:14" x14ac:dyDescent="0.25">
      <c r="A2047" s="14" t="s">
        <v>622</v>
      </c>
      <c r="B2047" s="14" t="s">
        <v>32</v>
      </c>
      <c r="C2047" s="15" t="s">
        <v>2383</v>
      </c>
      <c r="D2047" s="14" t="s">
        <v>1749</v>
      </c>
      <c r="E2047" s="14" t="s">
        <v>1746</v>
      </c>
      <c r="F2047" s="17" t="s">
        <v>2995</v>
      </c>
      <c r="G2047" s="14">
        <v>282</v>
      </c>
      <c r="H2047" s="14">
        <v>253.8</v>
      </c>
      <c r="I2047" s="31">
        <f>IF(COUNTIFS(Addendum!C:C,A2047,Addendum!D:D,IF(ISNUMBER(B2047),TEXT(B2047,"0000"),B2047),Addendum!E:E,"X")&gt;0,4%,0)</f>
        <v>0.04</v>
      </c>
      <c r="J2047" s="31">
        <f>IF(COUNTIFS(Addendum!C:C,A2047,Addendum!D:D,IF(ISNUMBER(B2047),TEXT(B2047,"0000"),B2047),Addendum!F:F,"X")&gt;0,2.5%,0)</f>
        <v>0</v>
      </c>
      <c r="K2047" s="31">
        <f>IF(COUNTIFS(Addendum!C:C,A2047,Addendum!D:D,IF(ISNUMBER(B2047),TEXT(B2047,"0000"),B2047),Addendum!G:G,"X")&gt;0,7%,0)</f>
        <v>0</v>
      </c>
      <c r="L2047" s="31">
        <f>IF(COUNTIFS(Addendum!C:C,A2047,Addendum!D:D,IF(ISNUMBER(B2047),TEXT(B2047,"0000"),B2047),Addendum!I:I,"X")&gt;0,10%,0)</f>
        <v>0</v>
      </c>
      <c r="M2047" s="34">
        <f t="shared" si="62"/>
        <v>0.01</v>
      </c>
      <c r="N2047" s="17">
        <f t="shared" si="63"/>
        <v>251.262</v>
      </c>
    </row>
    <row r="2048" spans="1:14" x14ac:dyDescent="0.25">
      <c r="A2048" s="14" t="s">
        <v>622</v>
      </c>
      <c r="B2048" s="14">
        <v>1</v>
      </c>
      <c r="C2048" s="15" t="s">
        <v>620</v>
      </c>
      <c r="D2048" s="14" t="s">
        <v>1749</v>
      </c>
      <c r="E2048" s="14" t="s">
        <v>1746</v>
      </c>
      <c r="F2048" s="17" t="s">
        <v>2993</v>
      </c>
      <c r="G2048" s="14">
        <v>696</v>
      </c>
      <c r="H2048" s="14">
        <v>556.79999999999995</v>
      </c>
      <c r="I2048" s="31">
        <f>IF(COUNTIFS(Addendum!C:C,A2048,Addendum!D:D,IF(ISNUMBER(B2048),TEXT(B2048,"0000"),B2048),Addendum!E:E,"X")&gt;0,4%,0)</f>
        <v>0.04</v>
      </c>
      <c r="J2048" s="31">
        <f>IF(COUNTIFS(Addendum!C:C,A2048,Addendum!D:D,IF(ISNUMBER(B2048),TEXT(B2048,"0000"),B2048),Addendum!F:F,"X")&gt;0,2.5%,0)</f>
        <v>0</v>
      </c>
      <c r="K2048" s="31">
        <f>IF(COUNTIFS(Addendum!C:C,A2048,Addendum!D:D,IF(ISNUMBER(B2048),TEXT(B2048,"0000"),B2048),Addendum!G:G,"X")&gt;0,7%,0)</f>
        <v>0</v>
      </c>
      <c r="L2048" s="31">
        <f>IF(COUNTIFS(Addendum!C:C,A2048,Addendum!D:D,IF(ISNUMBER(B2048),TEXT(B2048,"0000"),B2048),Addendum!I:I,"X")&gt;0,10%,0)</f>
        <v>0</v>
      </c>
      <c r="M2048" s="34">
        <f t="shared" si="62"/>
        <v>0.01</v>
      </c>
      <c r="N2048" s="17">
        <f t="shared" si="63"/>
        <v>551.23199999999997</v>
      </c>
    </row>
    <row r="2049" spans="1:14" x14ac:dyDescent="0.25">
      <c r="A2049" s="14" t="s">
        <v>622</v>
      </c>
      <c r="B2049" s="14" t="s">
        <v>118</v>
      </c>
      <c r="C2049" s="15" t="s">
        <v>2385</v>
      </c>
      <c r="D2049" s="14" t="s">
        <v>1745</v>
      </c>
      <c r="E2049" s="14" t="s">
        <v>1747</v>
      </c>
      <c r="F2049" s="17" t="s">
        <v>2994</v>
      </c>
      <c r="G2049" s="14">
        <v>928.8</v>
      </c>
      <c r="H2049" s="14">
        <v>743.04</v>
      </c>
      <c r="I2049" s="31">
        <f>IF(COUNTIFS(Addendum!C:C,A2049,Addendum!D:D,IF(ISNUMBER(B2049),TEXT(B2049,"0000"),B2049),Addendum!E:E,"X")&gt;0,4%,0)</f>
        <v>0.04</v>
      </c>
      <c r="J2049" s="31">
        <f>IF(COUNTIFS(Addendum!C:C,A2049,Addendum!D:D,IF(ISNUMBER(B2049),TEXT(B2049,"0000"),B2049),Addendum!F:F,"X")&gt;0,2.5%,0)</f>
        <v>0</v>
      </c>
      <c r="K2049" s="31">
        <f>IF(COUNTIFS(Addendum!C:C,A2049,Addendum!D:D,IF(ISNUMBER(B2049),TEXT(B2049,"0000"),B2049),Addendum!G:G,"X")&gt;0,7%,0)</f>
        <v>0</v>
      </c>
      <c r="L2049" s="31">
        <f>IF(COUNTIFS(Addendum!C:C,A2049,Addendum!D:D,IF(ISNUMBER(B2049),TEXT(B2049,"0000"),B2049),Addendum!I:I,"X")&gt;0,10%,0)</f>
        <v>0</v>
      </c>
      <c r="M2049" s="34">
        <f t="shared" si="62"/>
        <v>0.03</v>
      </c>
      <c r="N2049" s="17">
        <f t="shared" si="63"/>
        <v>720.74879999999996</v>
      </c>
    </row>
    <row r="2050" spans="1:14" x14ac:dyDescent="0.25">
      <c r="A2050" s="14" t="s">
        <v>622</v>
      </c>
      <c r="B2050" s="14" t="s">
        <v>32</v>
      </c>
      <c r="C2050" s="15" t="s">
        <v>2383</v>
      </c>
      <c r="D2050" s="14" t="s">
        <v>1745</v>
      </c>
      <c r="E2050" s="14" t="s">
        <v>1746</v>
      </c>
      <c r="F2050" s="17" t="s">
        <v>2995</v>
      </c>
      <c r="G2050" s="14">
        <v>2961</v>
      </c>
      <c r="H2050" s="14">
        <v>2664.96</v>
      </c>
      <c r="I2050" s="31">
        <f>IF(COUNTIFS(Addendum!C:C,A2050,Addendum!D:D,IF(ISNUMBER(B2050),TEXT(B2050,"0000"),B2050),Addendum!E:E,"X")&gt;0,4%,0)</f>
        <v>0.04</v>
      </c>
      <c r="J2050" s="31">
        <f>IF(COUNTIFS(Addendum!C:C,A2050,Addendum!D:D,IF(ISNUMBER(B2050),TEXT(B2050,"0000"),B2050),Addendum!F:F,"X")&gt;0,2.5%,0)</f>
        <v>0</v>
      </c>
      <c r="K2050" s="31">
        <f>IF(COUNTIFS(Addendum!C:C,A2050,Addendum!D:D,IF(ISNUMBER(B2050),TEXT(B2050,"0000"),B2050),Addendum!G:G,"X")&gt;0,7%,0)</f>
        <v>0</v>
      </c>
      <c r="L2050" s="31">
        <f>IF(COUNTIFS(Addendum!C:C,A2050,Addendum!D:D,IF(ISNUMBER(B2050),TEXT(B2050,"0000"),B2050),Addendum!I:I,"X")&gt;0,10%,0)</f>
        <v>0</v>
      </c>
      <c r="M2050" s="34">
        <f t="shared" si="62"/>
        <v>0.01</v>
      </c>
      <c r="N2050" s="17">
        <f t="shared" si="63"/>
        <v>2638.3103999999998</v>
      </c>
    </row>
    <row r="2051" spans="1:14" x14ac:dyDescent="0.25">
      <c r="A2051" s="14" t="s">
        <v>622</v>
      </c>
      <c r="B2051" s="14">
        <v>1</v>
      </c>
      <c r="C2051" s="15" t="s">
        <v>620</v>
      </c>
      <c r="D2051" s="14" t="s">
        <v>1745</v>
      </c>
      <c r="E2051" s="14" t="s">
        <v>1746</v>
      </c>
      <c r="F2051" s="17" t="s">
        <v>2993</v>
      </c>
      <c r="G2051" s="14">
        <v>7308</v>
      </c>
      <c r="H2051" s="14">
        <v>5846.4</v>
      </c>
      <c r="I2051" s="31">
        <f>IF(COUNTIFS(Addendum!C:C,A2051,Addendum!D:D,IF(ISNUMBER(B2051),TEXT(B2051,"0000"),B2051),Addendum!E:E,"X")&gt;0,4%,0)</f>
        <v>0.04</v>
      </c>
      <c r="J2051" s="31">
        <f>IF(COUNTIFS(Addendum!C:C,A2051,Addendum!D:D,IF(ISNUMBER(B2051),TEXT(B2051,"0000"),B2051),Addendum!F:F,"X")&gt;0,2.5%,0)</f>
        <v>0</v>
      </c>
      <c r="K2051" s="31">
        <f>IF(COUNTIFS(Addendum!C:C,A2051,Addendum!D:D,IF(ISNUMBER(B2051),TEXT(B2051,"0000"),B2051),Addendum!G:G,"X")&gt;0,7%,0)</f>
        <v>0</v>
      </c>
      <c r="L2051" s="31">
        <f>IF(COUNTIFS(Addendum!C:C,A2051,Addendum!D:D,IF(ISNUMBER(B2051),TEXT(B2051,"0000"),B2051),Addendum!I:I,"X")&gt;0,10%,0)</f>
        <v>0</v>
      </c>
      <c r="M2051" s="34">
        <f t="shared" si="62"/>
        <v>0.01</v>
      </c>
      <c r="N2051" s="17">
        <f t="shared" si="63"/>
        <v>5787.9359999999997</v>
      </c>
    </row>
    <row r="2052" spans="1:14" x14ac:dyDescent="0.25">
      <c r="A2052" s="14" t="s">
        <v>622</v>
      </c>
      <c r="B2052" s="14" t="s">
        <v>55</v>
      </c>
      <c r="C2052" s="15" t="s">
        <v>624</v>
      </c>
      <c r="D2052" s="14" t="s">
        <v>1745</v>
      </c>
      <c r="E2052" s="14" t="s">
        <v>1747</v>
      </c>
      <c r="F2052" s="17" t="s">
        <v>2994</v>
      </c>
      <c r="G2052" s="14">
        <v>1980</v>
      </c>
      <c r="H2052" s="14">
        <v>1584</v>
      </c>
      <c r="I2052" s="31">
        <f>IF(COUNTIFS(Addendum!C:C,A2052,Addendum!D:D,IF(ISNUMBER(B2052),TEXT(B2052,"0000"),B2052),Addendum!E:E,"X")&gt;0,4%,0)</f>
        <v>0.04</v>
      </c>
      <c r="J2052" s="31">
        <f>IF(COUNTIFS(Addendum!C:C,A2052,Addendum!D:D,IF(ISNUMBER(B2052),TEXT(B2052,"0000"),B2052),Addendum!F:F,"X")&gt;0,2.5%,0)</f>
        <v>0</v>
      </c>
      <c r="K2052" s="31">
        <f>IF(COUNTIFS(Addendum!C:C,A2052,Addendum!D:D,IF(ISNUMBER(B2052),TEXT(B2052,"0000"),B2052),Addendum!G:G,"X")&gt;0,7%,0)</f>
        <v>0</v>
      </c>
      <c r="L2052" s="31">
        <f>IF(COUNTIFS(Addendum!C:C,A2052,Addendum!D:D,IF(ISNUMBER(B2052),TEXT(B2052,"0000"),B2052),Addendum!I:I,"X")&gt;0,10%,0)</f>
        <v>0</v>
      </c>
      <c r="M2052" s="34">
        <f t="shared" ref="M2052:M2115" si="64">IF(AND(I2052=0%,J2052=0%,K2052=0%,L2052=0%),0%,
IF(OR(TRIM(E2052)="OneTime",TRIM(D2052)=""),0%,
IF(
OR(
TRIM(D2052)="P1M",
AND(TRIM(D2052)="P1Y",TRIM(E2052)="Monthly"),
AND(TRIM(D2052)="P3Y",TRIM(E2052)="Monthly")
),
IF(AND(I2052=4%,J2052=0%,K2052=0%,L2052=0%),1%,
IF(AND(I2052=4%,J2052=2.5%,K2052=0%,L2052=10%),2%,
IF(AND(I2052=4%,J2052=0%,K2052=7%,L2052=10%),3%,0%))),
IF(
OR(
AND(TRIM(D2052)="P1Y",TRIM(E2052)="Annual"),
AND(TRIM(D2052)="P3Y",TRIM(E2052)="Annual"),
AND(TRIM(D2052)="P3Y",TRIM(E2052)="Triennial")
),
IF(AND(I2052=4%,J2052=0%,K2052=0%,L2052=0%),3%,
IF(AND(I2052=4%,J2052=2.5%,K2052=0%,L2052=10%),10%,
IF(AND(I2052=4%,J2052=0%,K2052=7%,L2052=10%),14%,0%))),
0%
))))</f>
        <v>0.03</v>
      </c>
      <c r="N2052" s="17">
        <f t="shared" ref="N2052:N2115" si="65">H2052-(H2052*M2052)</f>
        <v>1536.48</v>
      </c>
    </row>
    <row r="2053" spans="1:14" x14ac:dyDescent="0.25">
      <c r="A2053" s="14" t="s">
        <v>622</v>
      </c>
      <c r="B2053" s="14" t="s">
        <v>39</v>
      </c>
      <c r="C2053" s="15" t="s">
        <v>2384</v>
      </c>
      <c r="D2053" s="14" t="s">
        <v>1745</v>
      </c>
      <c r="E2053" s="14" t="s">
        <v>1747</v>
      </c>
      <c r="F2053" s="17" t="s">
        <v>2994</v>
      </c>
      <c r="G2053" s="14">
        <v>1620</v>
      </c>
      <c r="H2053" s="14">
        <v>1296</v>
      </c>
      <c r="I2053" s="31">
        <f>IF(COUNTIFS(Addendum!C:C,A2053,Addendum!D:D,IF(ISNUMBER(B2053),TEXT(B2053,"0000"),B2053),Addendum!E:E,"X")&gt;0,4%,0)</f>
        <v>0.04</v>
      </c>
      <c r="J2053" s="31">
        <f>IF(COUNTIFS(Addendum!C:C,A2053,Addendum!D:D,IF(ISNUMBER(B2053),TEXT(B2053,"0000"),B2053),Addendum!F:F,"X")&gt;0,2.5%,0)</f>
        <v>0</v>
      </c>
      <c r="K2053" s="31">
        <f>IF(COUNTIFS(Addendum!C:C,A2053,Addendum!D:D,IF(ISNUMBER(B2053),TEXT(B2053,"0000"),B2053),Addendum!G:G,"X")&gt;0,7%,0)</f>
        <v>0</v>
      </c>
      <c r="L2053" s="31">
        <f>IF(COUNTIFS(Addendum!C:C,A2053,Addendum!D:D,IF(ISNUMBER(B2053),TEXT(B2053,"0000"),B2053),Addendum!I:I,"X")&gt;0,10%,0)</f>
        <v>0</v>
      </c>
      <c r="M2053" s="34">
        <f t="shared" si="64"/>
        <v>0.03</v>
      </c>
      <c r="N2053" s="17">
        <f t="shared" si="65"/>
        <v>1257.1199999999999</v>
      </c>
    </row>
    <row r="2054" spans="1:14" x14ac:dyDescent="0.25">
      <c r="A2054" s="14" t="s">
        <v>622</v>
      </c>
      <c r="B2054" s="14" t="s">
        <v>118</v>
      </c>
      <c r="C2054" s="15" t="s">
        <v>2385</v>
      </c>
      <c r="D2054" s="14" t="s">
        <v>1749</v>
      </c>
      <c r="E2054" s="14" t="s">
        <v>1746</v>
      </c>
      <c r="F2054" s="17" t="s">
        <v>2994</v>
      </c>
      <c r="G2054" s="14">
        <v>92.88</v>
      </c>
      <c r="H2054" s="14">
        <v>74.3</v>
      </c>
      <c r="I2054" s="31">
        <f>IF(COUNTIFS(Addendum!C:C,A2054,Addendum!D:D,IF(ISNUMBER(B2054),TEXT(B2054,"0000"),B2054),Addendum!E:E,"X")&gt;0,4%,0)</f>
        <v>0.04</v>
      </c>
      <c r="J2054" s="31">
        <f>IF(COUNTIFS(Addendum!C:C,A2054,Addendum!D:D,IF(ISNUMBER(B2054),TEXT(B2054,"0000"),B2054),Addendum!F:F,"X")&gt;0,2.5%,0)</f>
        <v>0</v>
      </c>
      <c r="K2054" s="31">
        <f>IF(COUNTIFS(Addendum!C:C,A2054,Addendum!D:D,IF(ISNUMBER(B2054),TEXT(B2054,"0000"),B2054),Addendum!G:G,"X")&gt;0,7%,0)</f>
        <v>0</v>
      </c>
      <c r="L2054" s="31">
        <f>IF(COUNTIFS(Addendum!C:C,A2054,Addendum!D:D,IF(ISNUMBER(B2054),TEXT(B2054,"0000"),B2054),Addendum!I:I,"X")&gt;0,10%,0)</f>
        <v>0</v>
      </c>
      <c r="M2054" s="34">
        <f t="shared" si="64"/>
        <v>0.01</v>
      </c>
      <c r="N2054" s="17">
        <f t="shared" si="65"/>
        <v>73.557000000000002</v>
      </c>
    </row>
    <row r="2055" spans="1:14" x14ac:dyDescent="0.25">
      <c r="A2055" s="14" t="s">
        <v>622</v>
      </c>
      <c r="B2055" s="14" t="s">
        <v>39</v>
      </c>
      <c r="C2055" s="15" t="s">
        <v>2384</v>
      </c>
      <c r="D2055" s="14" t="s">
        <v>1749</v>
      </c>
      <c r="E2055" s="14" t="s">
        <v>1746</v>
      </c>
      <c r="F2055" s="17" t="s">
        <v>2994</v>
      </c>
      <c r="G2055" s="14">
        <v>162</v>
      </c>
      <c r="H2055" s="14">
        <v>129.6</v>
      </c>
      <c r="I2055" s="31">
        <f>IF(COUNTIFS(Addendum!C:C,A2055,Addendum!D:D,IF(ISNUMBER(B2055),TEXT(B2055,"0000"),B2055),Addendum!E:E,"X")&gt;0,4%,0)</f>
        <v>0.04</v>
      </c>
      <c r="J2055" s="31">
        <f>IF(COUNTIFS(Addendum!C:C,A2055,Addendum!D:D,IF(ISNUMBER(B2055),TEXT(B2055,"0000"),B2055),Addendum!F:F,"X")&gt;0,2.5%,0)</f>
        <v>0</v>
      </c>
      <c r="K2055" s="31">
        <f>IF(COUNTIFS(Addendum!C:C,A2055,Addendum!D:D,IF(ISNUMBER(B2055),TEXT(B2055,"0000"),B2055),Addendum!G:G,"X")&gt;0,7%,0)</f>
        <v>0</v>
      </c>
      <c r="L2055" s="31">
        <f>IF(COUNTIFS(Addendum!C:C,A2055,Addendum!D:D,IF(ISNUMBER(B2055),TEXT(B2055,"0000"),B2055),Addendum!I:I,"X")&gt;0,10%,0)</f>
        <v>0</v>
      </c>
      <c r="M2055" s="34">
        <f t="shared" si="64"/>
        <v>0.01</v>
      </c>
      <c r="N2055" s="17">
        <f t="shared" si="65"/>
        <v>128.304</v>
      </c>
    </row>
    <row r="2056" spans="1:14" x14ac:dyDescent="0.25">
      <c r="A2056" s="14" t="s">
        <v>633</v>
      </c>
      <c r="B2056" s="14" t="s">
        <v>55</v>
      </c>
      <c r="C2056" s="15" t="s">
        <v>2386</v>
      </c>
      <c r="D2056" s="14" t="s">
        <v>1745</v>
      </c>
      <c r="E2056" s="14" t="s">
        <v>1747</v>
      </c>
      <c r="F2056" s="17" t="s">
        <v>2994</v>
      </c>
      <c r="G2056" s="14">
        <v>1380</v>
      </c>
      <c r="H2056" s="14">
        <v>1104</v>
      </c>
      <c r="I2056" s="31">
        <f>IF(COUNTIFS(Addendum!C:C,A2056,Addendum!D:D,IF(ISNUMBER(B2056),TEXT(B2056,"0000"),B2056),Addendum!E:E,"X")&gt;0,4%,0)</f>
        <v>0.04</v>
      </c>
      <c r="J2056" s="31">
        <f>IF(COUNTIFS(Addendum!C:C,A2056,Addendum!D:D,IF(ISNUMBER(B2056),TEXT(B2056,"0000"),B2056),Addendum!F:F,"X")&gt;0,2.5%,0)</f>
        <v>0</v>
      </c>
      <c r="K2056" s="31">
        <f>IF(COUNTIFS(Addendum!C:C,A2056,Addendum!D:D,IF(ISNUMBER(B2056),TEXT(B2056,"0000"),B2056),Addendum!G:G,"X")&gt;0,7%,0)</f>
        <v>0</v>
      </c>
      <c r="L2056" s="31">
        <f>IF(COUNTIFS(Addendum!C:C,A2056,Addendum!D:D,IF(ISNUMBER(B2056),TEXT(B2056,"0000"),B2056),Addendum!I:I,"X")&gt;0,10%,0)</f>
        <v>0</v>
      </c>
      <c r="M2056" s="34">
        <f t="shared" si="64"/>
        <v>0.03</v>
      </c>
      <c r="N2056" s="17">
        <f t="shared" si="65"/>
        <v>1070.8800000000001</v>
      </c>
    </row>
    <row r="2057" spans="1:14" x14ac:dyDescent="0.25">
      <c r="A2057" s="14" t="s">
        <v>633</v>
      </c>
      <c r="B2057" s="14">
        <v>1</v>
      </c>
      <c r="C2057" s="15" t="s">
        <v>631</v>
      </c>
      <c r="D2057" s="14" t="s">
        <v>1749</v>
      </c>
      <c r="E2057" s="14" t="s">
        <v>1746</v>
      </c>
      <c r="F2057" s="17" t="s">
        <v>2993</v>
      </c>
      <c r="G2057" s="14">
        <v>600</v>
      </c>
      <c r="H2057" s="14">
        <v>480</v>
      </c>
      <c r="I2057" s="31">
        <f>IF(COUNTIFS(Addendum!C:C,A2057,Addendum!D:D,IF(ISNUMBER(B2057),TEXT(B2057,"0000"),B2057),Addendum!E:E,"X")&gt;0,4%,0)</f>
        <v>0.04</v>
      </c>
      <c r="J2057" s="31">
        <f>IF(COUNTIFS(Addendum!C:C,A2057,Addendum!D:D,IF(ISNUMBER(B2057),TEXT(B2057,"0000"),B2057),Addendum!F:F,"X")&gt;0,2.5%,0)</f>
        <v>0</v>
      </c>
      <c r="K2057" s="31">
        <f>IF(COUNTIFS(Addendum!C:C,A2057,Addendum!D:D,IF(ISNUMBER(B2057),TEXT(B2057,"0000"),B2057),Addendum!G:G,"X")&gt;0,7%,0)</f>
        <v>0</v>
      </c>
      <c r="L2057" s="31">
        <f>IF(COUNTIFS(Addendum!C:C,A2057,Addendum!D:D,IF(ISNUMBER(B2057),TEXT(B2057,"0000"),B2057),Addendum!I:I,"X")&gt;0,10%,0)</f>
        <v>0</v>
      </c>
      <c r="M2057" s="34">
        <f t="shared" si="64"/>
        <v>0.01</v>
      </c>
      <c r="N2057" s="17">
        <f t="shared" si="65"/>
        <v>475.2</v>
      </c>
    </row>
    <row r="2058" spans="1:14" x14ac:dyDescent="0.25">
      <c r="A2058" s="14" t="s">
        <v>633</v>
      </c>
      <c r="B2058" s="14" t="s">
        <v>55</v>
      </c>
      <c r="C2058" s="15" t="s">
        <v>2386</v>
      </c>
      <c r="D2058" s="14" t="s">
        <v>1745</v>
      </c>
      <c r="E2058" s="14" t="s">
        <v>1746</v>
      </c>
      <c r="F2058" s="17" t="s">
        <v>2994</v>
      </c>
      <c r="G2058" s="14">
        <v>1449</v>
      </c>
      <c r="H2058" s="14">
        <v>1159.2</v>
      </c>
      <c r="I2058" s="31">
        <f>IF(COUNTIFS(Addendum!C:C,A2058,Addendum!D:D,IF(ISNUMBER(B2058),TEXT(B2058,"0000"),B2058),Addendum!E:E,"X")&gt;0,4%,0)</f>
        <v>0.04</v>
      </c>
      <c r="J2058" s="31">
        <f>IF(COUNTIFS(Addendum!C:C,A2058,Addendum!D:D,IF(ISNUMBER(B2058),TEXT(B2058,"0000"),B2058),Addendum!F:F,"X")&gt;0,2.5%,0)</f>
        <v>0</v>
      </c>
      <c r="K2058" s="31">
        <f>IF(COUNTIFS(Addendum!C:C,A2058,Addendum!D:D,IF(ISNUMBER(B2058),TEXT(B2058,"0000"),B2058),Addendum!G:G,"X")&gt;0,7%,0)</f>
        <v>0</v>
      </c>
      <c r="L2058" s="31">
        <f>IF(COUNTIFS(Addendum!C:C,A2058,Addendum!D:D,IF(ISNUMBER(B2058),TEXT(B2058,"0000"),B2058),Addendum!I:I,"X")&gt;0,10%,0)</f>
        <v>0</v>
      </c>
      <c r="M2058" s="34">
        <f t="shared" si="64"/>
        <v>0.01</v>
      </c>
      <c r="N2058" s="17">
        <f t="shared" si="65"/>
        <v>1147.6079999999999</v>
      </c>
    </row>
    <row r="2059" spans="1:14" x14ac:dyDescent="0.25">
      <c r="A2059" s="14" t="s">
        <v>633</v>
      </c>
      <c r="B2059" s="14" t="s">
        <v>118</v>
      </c>
      <c r="C2059" s="15" t="s">
        <v>2387</v>
      </c>
      <c r="D2059" s="14" t="s">
        <v>1745</v>
      </c>
      <c r="E2059" s="14" t="s">
        <v>1747</v>
      </c>
      <c r="F2059" s="17" t="s">
        <v>2994</v>
      </c>
      <c r="G2059" s="14">
        <v>788.4</v>
      </c>
      <c r="H2059" s="14">
        <v>630.72</v>
      </c>
      <c r="I2059" s="31">
        <f>IF(COUNTIFS(Addendum!C:C,A2059,Addendum!D:D,IF(ISNUMBER(B2059),TEXT(B2059,"0000"),B2059),Addendum!E:E,"X")&gt;0,4%,0)</f>
        <v>0.04</v>
      </c>
      <c r="J2059" s="31">
        <f>IF(COUNTIFS(Addendum!C:C,A2059,Addendum!D:D,IF(ISNUMBER(B2059),TEXT(B2059,"0000"),B2059),Addendum!F:F,"X")&gt;0,2.5%,0)</f>
        <v>0</v>
      </c>
      <c r="K2059" s="31">
        <f>IF(COUNTIFS(Addendum!C:C,A2059,Addendum!D:D,IF(ISNUMBER(B2059),TEXT(B2059,"0000"),B2059),Addendum!G:G,"X")&gt;0,7%,0)</f>
        <v>0</v>
      </c>
      <c r="L2059" s="31">
        <f>IF(COUNTIFS(Addendum!C:C,A2059,Addendum!D:D,IF(ISNUMBER(B2059),TEXT(B2059,"0000"),B2059),Addendum!I:I,"X")&gt;0,10%,0)</f>
        <v>0</v>
      </c>
      <c r="M2059" s="34">
        <f t="shared" si="64"/>
        <v>0.03</v>
      </c>
      <c r="N2059" s="17">
        <f t="shared" si="65"/>
        <v>611.79840000000002</v>
      </c>
    </row>
    <row r="2060" spans="1:14" x14ac:dyDescent="0.25">
      <c r="A2060" s="14" t="s">
        <v>633</v>
      </c>
      <c r="B2060" s="14" t="s">
        <v>50</v>
      </c>
      <c r="C2060" s="15" t="s">
        <v>2388</v>
      </c>
      <c r="D2060" s="14" t="s">
        <v>1745</v>
      </c>
      <c r="E2060" s="14" t="s">
        <v>1746</v>
      </c>
      <c r="F2060" s="17" t="s">
        <v>2994</v>
      </c>
      <c r="G2060" s="14">
        <v>1764</v>
      </c>
      <c r="H2060" s="14">
        <v>1411.2</v>
      </c>
      <c r="I2060" s="31">
        <f>IF(COUNTIFS(Addendum!C:C,A2060,Addendum!D:D,IF(ISNUMBER(B2060),TEXT(B2060,"0000"),B2060),Addendum!E:E,"X")&gt;0,4%,0)</f>
        <v>0.04</v>
      </c>
      <c r="J2060" s="31">
        <f>IF(COUNTIFS(Addendum!C:C,A2060,Addendum!D:D,IF(ISNUMBER(B2060),TEXT(B2060,"0000"),B2060),Addendum!F:F,"X")&gt;0,2.5%,0)</f>
        <v>0</v>
      </c>
      <c r="K2060" s="31">
        <f>IF(COUNTIFS(Addendum!C:C,A2060,Addendum!D:D,IF(ISNUMBER(B2060),TEXT(B2060,"0000"),B2060),Addendum!G:G,"X")&gt;0,7%,0)</f>
        <v>0</v>
      </c>
      <c r="L2060" s="31">
        <f>IF(COUNTIFS(Addendum!C:C,A2060,Addendum!D:D,IF(ISNUMBER(B2060),TEXT(B2060,"0000"),B2060),Addendum!I:I,"X")&gt;0,10%,0)</f>
        <v>0</v>
      </c>
      <c r="M2060" s="34">
        <f t="shared" si="64"/>
        <v>0.01</v>
      </c>
      <c r="N2060" s="17">
        <f t="shared" si="65"/>
        <v>1397.088</v>
      </c>
    </row>
    <row r="2061" spans="1:14" x14ac:dyDescent="0.25">
      <c r="A2061" s="14" t="s">
        <v>633</v>
      </c>
      <c r="B2061" s="14" t="s">
        <v>50</v>
      </c>
      <c r="C2061" s="15" t="s">
        <v>2388</v>
      </c>
      <c r="D2061" s="14" t="s">
        <v>1745</v>
      </c>
      <c r="E2061" s="14" t="s">
        <v>1747</v>
      </c>
      <c r="F2061" s="17" t="s">
        <v>2994</v>
      </c>
      <c r="G2061" s="14">
        <v>1680</v>
      </c>
      <c r="H2061" s="14">
        <v>1344</v>
      </c>
      <c r="I2061" s="31">
        <f>IF(COUNTIFS(Addendum!C:C,A2061,Addendum!D:D,IF(ISNUMBER(B2061),TEXT(B2061,"0000"),B2061),Addendum!E:E,"X")&gt;0,4%,0)</f>
        <v>0.04</v>
      </c>
      <c r="J2061" s="31">
        <f>IF(COUNTIFS(Addendum!C:C,A2061,Addendum!D:D,IF(ISNUMBER(B2061),TEXT(B2061,"0000"),B2061),Addendum!F:F,"X")&gt;0,2.5%,0)</f>
        <v>0</v>
      </c>
      <c r="K2061" s="31">
        <f>IF(COUNTIFS(Addendum!C:C,A2061,Addendum!D:D,IF(ISNUMBER(B2061),TEXT(B2061,"0000"),B2061),Addendum!G:G,"X")&gt;0,7%,0)</f>
        <v>0</v>
      </c>
      <c r="L2061" s="31">
        <f>IF(COUNTIFS(Addendum!C:C,A2061,Addendum!D:D,IF(ISNUMBER(B2061),TEXT(B2061,"0000"),B2061),Addendum!I:I,"X")&gt;0,10%,0)</f>
        <v>0</v>
      </c>
      <c r="M2061" s="34">
        <f t="shared" si="64"/>
        <v>0.03</v>
      </c>
      <c r="N2061" s="17">
        <f t="shared" si="65"/>
        <v>1303.68</v>
      </c>
    </row>
    <row r="2062" spans="1:14" x14ac:dyDescent="0.25">
      <c r="A2062" s="14" t="s">
        <v>633</v>
      </c>
      <c r="B2062" s="14">
        <v>1</v>
      </c>
      <c r="C2062" s="15" t="s">
        <v>631</v>
      </c>
      <c r="D2062" s="14" t="s">
        <v>1745</v>
      </c>
      <c r="E2062" s="14" t="s">
        <v>1747</v>
      </c>
      <c r="F2062" s="17" t="s">
        <v>2993</v>
      </c>
      <c r="G2062" s="14">
        <v>6000</v>
      </c>
      <c r="H2062" s="14">
        <v>4800</v>
      </c>
      <c r="I2062" s="31">
        <f>IF(COUNTIFS(Addendum!C:C,A2062,Addendum!D:D,IF(ISNUMBER(B2062),TEXT(B2062,"0000"),B2062),Addendum!E:E,"X")&gt;0,4%,0)</f>
        <v>0.04</v>
      </c>
      <c r="J2062" s="31">
        <f>IF(COUNTIFS(Addendum!C:C,A2062,Addendum!D:D,IF(ISNUMBER(B2062),TEXT(B2062,"0000"),B2062),Addendum!F:F,"X")&gt;0,2.5%,0)</f>
        <v>0</v>
      </c>
      <c r="K2062" s="31">
        <f>IF(COUNTIFS(Addendum!C:C,A2062,Addendum!D:D,IF(ISNUMBER(B2062),TEXT(B2062,"0000"),B2062),Addendum!G:G,"X")&gt;0,7%,0)</f>
        <v>0</v>
      </c>
      <c r="L2062" s="31">
        <f>IF(COUNTIFS(Addendum!C:C,A2062,Addendum!D:D,IF(ISNUMBER(B2062),TEXT(B2062,"0000"),B2062),Addendum!I:I,"X")&gt;0,10%,0)</f>
        <v>0</v>
      </c>
      <c r="M2062" s="34">
        <f t="shared" si="64"/>
        <v>0.03</v>
      </c>
      <c r="N2062" s="17">
        <f t="shared" si="65"/>
        <v>4656</v>
      </c>
    </row>
    <row r="2063" spans="1:14" x14ac:dyDescent="0.25">
      <c r="A2063" s="14" t="s">
        <v>633</v>
      </c>
      <c r="B2063" s="14" t="s">
        <v>118</v>
      </c>
      <c r="C2063" s="15" t="s">
        <v>2387</v>
      </c>
      <c r="D2063" s="14" t="s">
        <v>1749</v>
      </c>
      <c r="E2063" s="14" t="s">
        <v>1746</v>
      </c>
      <c r="F2063" s="17" t="s">
        <v>2994</v>
      </c>
      <c r="G2063" s="14">
        <v>78.84</v>
      </c>
      <c r="H2063" s="14">
        <v>63.07</v>
      </c>
      <c r="I2063" s="31">
        <f>IF(COUNTIFS(Addendum!C:C,A2063,Addendum!D:D,IF(ISNUMBER(B2063),TEXT(B2063,"0000"),B2063),Addendum!E:E,"X")&gt;0,4%,0)</f>
        <v>0.04</v>
      </c>
      <c r="J2063" s="31">
        <f>IF(COUNTIFS(Addendum!C:C,A2063,Addendum!D:D,IF(ISNUMBER(B2063),TEXT(B2063,"0000"),B2063),Addendum!F:F,"X")&gt;0,2.5%,0)</f>
        <v>0</v>
      </c>
      <c r="K2063" s="31">
        <f>IF(COUNTIFS(Addendum!C:C,A2063,Addendum!D:D,IF(ISNUMBER(B2063),TEXT(B2063,"0000"),B2063),Addendum!G:G,"X")&gt;0,7%,0)</f>
        <v>0</v>
      </c>
      <c r="L2063" s="31">
        <f>IF(COUNTIFS(Addendum!C:C,A2063,Addendum!D:D,IF(ISNUMBER(B2063),TEXT(B2063,"0000"),B2063),Addendum!I:I,"X")&gt;0,10%,0)</f>
        <v>0</v>
      </c>
      <c r="M2063" s="34">
        <f t="shared" si="64"/>
        <v>0.01</v>
      </c>
      <c r="N2063" s="17">
        <f t="shared" si="65"/>
        <v>62.439300000000003</v>
      </c>
    </row>
    <row r="2064" spans="1:14" x14ac:dyDescent="0.25">
      <c r="A2064" s="14" t="s">
        <v>633</v>
      </c>
      <c r="B2064" s="14" t="s">
        <v>32</v>
      </c>
      <c r="C2064" s="15" t="s">
        <v>2389</v>
      </c>
      <c r="D2064" s="14" t="s">
        <v>1745</v>
      </c>
      <c r="E2064" s="14" t="s">
        <v>1746</v>
      </c>
      <c r="F2064" s="17" t="s">
        <v>2995</v>
      </c>
      <c r="G2064" s="14">
        <v>2520</v>
      </c>
      <c r="H2064" s="14">
        <v>2268</v>
      </c>
      <c r="I2064" s="31">
        <f>IF(COUNTIFS(Addendum!C:C,A2064,Addendum!D:D,IF(ISNUMBER(B2064),TEXT(B2064,"0000"),B2064),Addendum!E:E,"X")&gt;0,4%,0)</f>
        <v>0.04</v>
      </c>
      <c r="J2064" s="31">
        <f>IF(COUNTIFS(Addendum!C:C,A2064,Addendum!D:D,IF(ISNUMBER(B2064),TEXT(B2064,"0000"),B2064),Addendum!F:F,"X")&gt;0,2.5%,0)</f>
        <v>0</v>
      </c>
      <c r="K2064" s="31">
        <f>IF(COUNTIFS(Addendum!C:C,A2064,Addendum!D:D,IF(ISNUMBER(B2064),TEXT(B2064,"0000"),B2064),Addendum!G:G,"X")&gt;0,7%,0)</f>
        <v>0</v>
      </c>
      <c r="L2064" s="31">
        <f>IF(COUNTIFS(Addendum!C:C,A2064,Addendum!D:D,IF(ISNUMBER(B2064),TEXT(B2064,"0000"),B2064),Addendum!I:I,"X")&gt;0,10%,0)</f>
        <v>0</v>
      </c>
      <c r="M2064" s="34">
        <f t="shared" si="64"/>
        <v>0.01</v>
      </c>
      <c r="N2064" s="17">
        <f t="shared" si="65"/>
        <v>2245.3200000000002</v>
      </c>
    </row>
    <row r="2065" spans="1:14" x14ac:dyDescent="0.25">
      <c r="A2065" s="14" t="s">
        <v>633</v>
      </c>
      <c r="B2065" s="14" t="s">
        <v>55</v>
      </c>
      <c r="C2065" s="15" t="s">
        <v>2386</v>
      </c>
      <c r="D2065" s="14" t="s">
        <v>1749</v>
      </c>
      <c r="E2065" s="14" t="s">
        <v>1746</v>
      </c>
      <c r="F2065" s="17" t="s">
        <v>2994</v>
      </c>
      <c r="G2065" s="14">
        <v>138</v>
      </c>
      <c r="H2065" s="14">
        <v>110.4</v>
      </c>
      <c r="I2065" s="31">
        <f>IF(COUNTIFS(Addendum!C:C,A2065,Addendum!D:D,IF(ISNUMBER(B2065),TEXT(B2065,"0000"),B2065),Addendum!E:E,"X")&gt;0,4%,0)</f>
        <v>0.04</v>
      </c>
      <c r="J2065" s="31">
        <f>IF(COUNTIFS(Addendum!C:C,A2065,Addendum!D:D,IF(ISNUMBER(B2065),TEXT(B2065,"0000"),B2065),Addendum!F:F,"X")&gt;0,2.5%,0)</f>
        <v>0</v>
      </c>
      <c r="K2065" s="31">
        <f>IF(COUNTIFS(Addendum!C:C,A2065,Addendum!D:D,IF(ISNUMBER(B2065),TEXT(B2065,"0000"),B2065),Addendum!G:G,"X")&gt;0,7%,0)</f>
        <v>0</v>
      </c>
      <c r="L2065" s="31">
        <f>IF(COUNTIFS(Addendum!C:C,A2065,Addendum!D:D,IF(ISNUMBER(B2065),TEXT(B2065,"0000"),B2065),Addendum!I:I,"X")&gt;0,10%,0)</f>
        <v>0</v>
      </c>
      <c r="M2065" s="34">
        <f t="shared" si="64"/>
        <v>0.01</v>
      </c>
      <c r="N2065" s="17">
        <f t="shared" si="65"/>
        <v>109.29600000000001</v>
      </c>
    </row>
    <row r="2066" spans="1:14" x14ac:dyDescent="0.25">
      <c r="A2066" s="14" t="s">
        <v>633</v>
      </c>
      <c r="B2066" s="14" t="s">
        <v>50</v>
      </c>
      <c r="C2066" s="15" t="s">
        <v>2388</v>
      </c>
      <c r="D2066" s="14" t="s">
        <v>1749</v>
      </c>
      <c r="E2066" s="14" t="s">
        <v>1746</v>
      </c>
      <c r="F2066" s="17" t="s">
        <v>2994</v>
      </c>
      <c r="G2066" s="14">
        <v>168</v>
      </c>
      <c r="H2066" s="14">
        <v>134.4</v>
      </c>
      <c r="I2066" s="31">
        <f>IF(COUNTIFS(Addendum!C:C,A2066,Addendum!D:D,IF(ISNUMBER(B2066),TEXT(B2066,"0000"),B2066),Addendum!E:E,"X")&gt;0,4%,0)</f>
        <v>0.04</v>
      </c>
      <c r="J2066" s="31">
        <f>IF(COUNTIFS(Addendum!C:C,A2066,Addendum!D:D,IF(ISNUMBER(B2066),TEXT(B2066,"0000"),B2066),Addendum!F:F,"X")&gt;0,2.5%,0)</f>
        <v>0</v>
      </c>
      <c r="K2066" s="31">
        <f>IF(COUNTIFS(Addendum!C:C,A2066,Addendum!D:D,IF(ISNUMBER(B2066),TEXT(B2066,"0000"),B2066),Addendum!G:G,"X")&gt;0,7%,0)</f>
        <v>0</v>
      </c>
      <c r="L2066" s="31">
        <f>IF(COUNTIFS(Addendum!C:C,A2066,Addendum!D:D,IF(ISNUMBER(B2066),TEXT(B2066,"0000"),B2066),Addendum!I:I,"X")&gt;0,10%,0)</f>
        <v>0</v>
      </c>
      <c r="M2066" s="34">
        <f t="shared" si="64"/>
        <v>0.01</v>
      </c>
      <c r="N2066" s="17">
        <f t="shared" si="65"/>
        <v>133.05600000000001</v>
      </c>
    </row>
    <row r="2067" spans="1:14" x14ac:dyDescent="0.25">
      <c r="A2067" s="14" t="s">
        <v>633</v>
      </c>
      <c r="B2067" s="14" t="s">
        <v>32</v>
      </c>
      <c r="C2067" s="15" t="s">
        <v>2389</v>
      </c>
      <c r="D2067" s="14" t="s">
        <v>1749</v>
      </c>
      <c r="E2067" s="14" t="s">
        <v>1746</v>
      </c>
      <c r="F2067" s="17" t="s">
        <v>2995</v>
      </c>
      <c r="G2067" s="14">
        <v>240</v>
      </c>
      <c r="H2067" s="14">
        <v>216</v>
      </c>
      <c r="I2067" s="31">
        <f>IF(COUNTIFS(Addendum!C:C,A2067,Addendum!D:D,IF(ISNUMBER(B2067),TEXT(B2067,"0000"),B2067),Addendum!E:E,"X")&gt;0,4%,0)</f>
        <v>0.04</v>
      </c>
      <c r="J2067" s="31">
        <f>IF(COUNTIFS(Addendum!C:C,A2067,Addendum!D:D,IF(ISNUMBER(B2067),TEXT(B2067,"0000"),B2067),Addendum!F:F,"X")&gt;0,2.5%,0)</f>
        <v>0</v>
      </c>
      <c r="K2067" s="31">
        <f>IF(COUNTIFS(Addendum!C:C,A2067,Addendum!D:D,IF(ISNUMBER(B2067),TEXT(B2067,"0000"),B2067),Addendum!G:G,"X")&gt;0,7%,0)</f>
        <v>0</v>
      </c>
      <c r="L2067" s="31">
        <f>IF(COUNTIFS(Addendum!C:C,A2067,Addendum!D:D,IF(ISNUMBER(B2067),TEXT(B2067,"0000"),B2067),Addendum!I:I,"X")&gt;0,10%,0)</f>
        <v>0</v>
      </c>
      <c r="M2067" s="34">
        <f t="shared" si="64"/>
        <v>0.01</v>
      </c>
      <c r="N2067" s="17">
        <f t="shared" si="65"/>
        <v>213.84</v>
      </c>
    </row>
    <row r="2068" spans="1:14" x14ac:dyDescent="0.25">
      <c r="A2068" s="14" t="s">
        <v>633</v>
      </c>
      <c r="B2068" s="14">
        <v>1</v>
      </c>
      <c r="C2068" s="15" t="s">
        <v>631</v>
      </c>
      <c r="D2068" s="14" t="s">
        <v>1745</v>
      </c>
      <c r="E2068" s="14" t="s">
        <v>1746</v>
      </c>
      <c r="F2068" s="17" t="s">
        <v>2993</v>
      </c>
      <c r="G2068" s="14">
        <v>6300</v>
      </c>
      <c r="H2068" s="14">
        <v>5040</v>
      </c>
      <c r="I2068" s="31">
        <f>IF(COUNTIFS(Addendum!C:C,A2068,Addendum!D:D,IF(ISNUMBER(B2068),TEXT(B2068,"0000"),B2068),Addendum!E:E,"X")&gt;0,4%,0)</f>
        <v>0.04</v>
      </c>
      <c r="J2068" s="31">
        <f>IF(COUNTIFS(Addendum!C:C,A2068,Addendum!D:D,IF(ISNUMBER(B2068),TEXT(B2068,"0000"),B2068),Addendum!F:F,"X")&gt;0,2.5%,0)</f>
        <v>0</v>
      </c>
      <c r="K2068" s="31">
        <f>IF(COUNTIFS(Addendum!C:C,A2068,Addendum!D:D,IF(ISNUMBER(B2068),TEXT(B2068,"0000"),B2068),Addendum!G:G,"X")&gt;0,7%,0)</f>
        <v>0</v>
      </c>
      <c r="L2068" s="31">
        <f>IF(COUNTIFS(Addendum!C:C,A2068,Addendum!D:D,IF(ISNUMBER(B2068),TEXT(B2068,"0000"),B2068),Addendum!I:I,"X")&gt;0,10%,0)</f>
        <v>0</v>
      </c>
      <c r="M2068" s="34">
        <f t="shared" si="64"/>
        <v>0.01</v>
      </c>
      <c r="N2068" s="17">
        <f t="shared" si="65"/>
        <v>4989.6000000000004</v>
      </c>
    </row>
    <row r="2069" spans="1:14" x14ac:dyDescent="0.25">
      <c r="A2069" s="14" t="s">
        <v>633</v>
      </c>
      <c r="B2069" s="14" t="s">
        <v>32</v>
      </c>
      <c r="C2069" s="15" t="s">
        <v>2389</v>
      </c>
      <c r="D2069" s="14" t="s">
        <v>1745</v>
      </c>
      <c r="E2069" s="14" t="s">
        <v>1747</v>
      </c>
      <c r="F2069" s="17" t="s">
        <v>2995</v>
      </c>
      <c r="G2069" s="14">
        <v>2400</v>
      </c>
      <c r="H2069" s="14">
        <v>2160</v>
      </c>
      <c r="I2069" s="31">
        <f>IF(COUNTIFS(Addendum!C:C,A2069,Addendum!D:D,IF(ISNUMBER(B2069),TEXT(B2069,"0000"),B2069),Addendum!E:E,"X")&gt;0,4%,0)</f>
        <v>0.04</v>
      </c>
      <c r="J2069" s="31">
        <f>IF(COUNTIFS(Addendum!C:C,A2069,Addendum!D:D,IF(ISNUMBER(B2069),TEXT(B2069,"0000"),B2069),Addendum!F:F,"X")&gt;0,2.5%,0)</f>
        <v>0</v>
      </c>
      <c r="K2069" s="31">
        <f>IF(COUNTIFS(Addendum!C:C,A2069,Addendum!D:D,IF(ISNUMBER(B2069),TEXT(B2069,"0000"),B2069),Addendum!G:G,"X")&gt;0,7%,0)</f>
        <v>0</v>
      </c>
      <c r="L2069" s="31">
        <f>IF(COUNTIFS(Addendum!C:C,A2069,Addendum!D:D,IF(ISNUMBER(B2069),TEXT(B2069,"0000"),B2069),Addendum!I:I,"X")&gt;0,10%,0)</f>
        <v>0</v>
      </c>
      <c r="M2069" s="34">
        <f t="shared" si="64"/>
        <v>0.03</v>
      </c>
      <c r="N2069" s="17">
        <f t="shared" si="65"/>
        <v>2095.1999999999998</v>
      </c>
    </row>
    <row r="2070" spans="1:14" x14ac:dyDescent="0.25">
      <c r="A2070" s="14" t="s">
        <v>633</v>
      </c>
      <c r="B2070" s="14" t="s">
        <v>118</v>
      </c>
      <c r="C2070" s="15" t="s">
        <v>2387</v>
      </c>
      <c r="D2070" s="14" t="s">
        <v>1745</v>
      </c>
      <c r="E2070" s="14" t="s">
        <v>1746</v>
      </c>
      <c r="F2070" s="17" t="s">
        <v>2994</v>
      </c>
      <c r="G2070" s="14">
        <v>827.88</v>
      </c>
      <c r="H2070" s="14">
        <v>662.28</v>
      </c>
      <c r="I2070" s="31">
        <f>IF(COUNTIFS(Addendum!C:C,A2070,Addendum!D:D,IF(ISNUMBER(B2070),TEXT(B2070,"0000"),B2070),Addendum!E:E,"X")&gt;0,4%,0)</f>
        <v>0.04</v>
      </c>
      <c r="J2070" s="31">
        <f>IF(COUNTIFS(Addendum!C:C,A2070,Addendum!D:D,IF(ISNUMBER(B2070),TEXT(B2070,"0000"),B2070),Addendum!F:F,"X")&gt;0,2.5%,0)</f>
        <v>0</v>
      </c>
      <c r="K2070" s="31">
        <f>IF(COUNTIFS(Addendum!C:C,A2070,Addendum!D:D,IF(ISNUMBER(B2070),TEXT(B2070,"0000"),B2070),Addendum!G:G,"X")&gt;0,7%,0)</f>
        <v>0</v>
      </c>
      <c r="L2070" s="31">
        <f>IF(COUNTIFS(Addendum!C:C,A2070,Addendum!D:D,IF(ISNUMBER(B2070),TEXT(B2070,"0000"),B2070),Addendum!I:I,"X")&gt;0,10%,0)</f>
        <v>0</v>
      </c>
      <c r="M2070" s="34">
        <f t="shared" si="64"/>
        <v>0.01</v>
      </c>
      <c r="N2070" s="17">
        <f t="shared" si="65"/>
        <v>655.65719999999999</v>
      </c>
    </row>
    <row r="2071" spans="1:14" x14ac:dyDescent="0.25">
      <c r="A2071" s="14" t="s">
        <v>646</v>
      </c>
      <c r="B2071" s="14">
        <v>17</v>
      </c>
      <c r="C2071" s="15" t="s">
        <v>657</v>
      </c>
      <c r="D2071" s="14" t="s">
        <v>1752</v>
      </c>
      <c r="E2071" s="14" t="s">
        <v>1753</v>
      </c>
      <c r="F2071" s="17" t="s">
        <v>2993</v>
      </c>
      <c r="G2071" s="14">
        <v>270900</v>
      </c>
      <c r="H2071" s="14">
        <v>216720</v>
      </c>
      <c r="I2071" s="31">
        <f>IF(COUNTIFS(Addendum!C:C,A2071,Addendum!D:D,IF(ISNUMBER(B2071),TEXT(B2071,"0000"),B2071),Addendum!E:E,"X")&gt;0,4%,0)</f>
        <v>0.04</v>
      </c>
      <c r="J2071" s="31">
        <f>IF(COUNTIFS(Addendum!C:C,A2071,Addendum!D:D,IF(ISNUMBER(B2071),TEXT(B2071,"0000"),B2071),Addendum!F:F,"X")&gt;0,2.5%,0)</f>
        <v>0</v>
      </c>
      <c r="K2071" s="31">
        <f>IF(COUNTIFS(Addendum!C:C,A2071,Addendum!D:D,IF(ISNUMBER(B2071),TEXT(B2071,"0000"),B2071),Addendum!G:G,"X")&gt;0,7%,0)</f>
        <v>7.0000000000000007E-2</v>
      </c>
      <c r="L2071" s="31">
        <f>IF(COUNTIFS(Addendum!C:C,A2071,Addendum!D:D,IF(ISNUMBER(B2071),TEXT(B2071,"0000"),B2071),Addendum!I:I,"X")&gt;0,10%,0)</f>
        <v>0.1</v>
      </c>
      <c r="M2071" s="34">
        <f t="shared" si="64"/>
        <v>0.14000000000000001</v>
      </c>
      <c r="N2071" s="17">
        <f t="shared" si="65"/>
        <v>186379.2</v>
      </c>
    </row>
    <row r="2072" spans="1:14" x14ac:dyDescent="0.25">
      <c r="A2072" s="14" t="s">
        <v>646</v>
      </c>
      <c r="B2072" s="14" t="s">
        <v>36</v>
      </c>
      <c r="C2072" s="15" t="s">
        <v>2390</v>
      </c>
      <c r="D2072" s="14" t="s">
        <v>1745</v>
      </c>
      <c r="E2072" s="14" t="s">
        <v>1746</v>
      </c>
      <c r="F2072" s="17" t="s">
        <v>2993</v>
      </c>
      <c r="G2072" s="14">
        <v>94815</v>
      </c>
      <c r="H2072" s="14">
        <v>75852</v>
      </c>
      <c r="I2072" s="31">
        <f>IF(COUNTIFS(Addendum!C:C,A2072,Addendum!D:D,IF(ISNUMBER(B2072),TEXT(B2072,"0000"),B2072),Addendum!E:E,"X")&gt;0,4%,0)</f>
        <v>0.04</v>
      </c>
      <c r="J2072" s="31">
        <f>IF(COUNTIFS(Addendum!C:C,A2072,Addendum!D:D,IF(ISNUMBER(B2072),TEXT(B2072,"0000"),B2072),Addendum!F:F,"X")&gt;0,2.5%,0)</f>
        <v>0</v>
      </c>
      <c r="K2072" s="31">
        <f>IF(COUNTIFS(Addendum!C:C,A2072,Addendum!D:D,IF(ISNUMBER(B2072),TEXT(B2072,"0000"),B2072),Addendum!G:G,"X")&gt;0,7%,0)</f>
        <v>7.0000000000000007E-2</v>
      </c>
      <c r="L2072" s="31">
        <f>IF(COUNTIFS(Addendum!C:C,A2072,Addendum!D:D,IF(ISNUMBER(B2072),TEXT(B2072,"0000"),B2072),Addendum!I:I,"X")&gt;0,10%,0)</f>
        <v>0.1</v>
      </c>
      <c r="M2072" s="34">
        <f t="shared" si="64"/>
        <v>0.03</v>
      </c>
      <c r="N2072" s="17">
        <f t="shared" si="65"/>
        <v>73576.44</v>
      </c>
    </row>
    <row r="2073" spans="1:14" x14ac:dyDescent="0.25">
      <c r="A2073" s="14" t="s">
        <v>646</v>
      </c>
      <c r="B2073" s="14" t="s">
        <v>102</v>
      </c>
      <c r="C2073" s="15" t="s">
        <v>2391</v>
      </c>
      <c r="D2073" s="14" t="s">
        <v>1749</v>
      </c>
      <c r="E2073" s="14" t="s">
        <v>1746</v>
      </c>
      <c r="F2073" s="17" t="s">
        <v>2993</v>
      </c>
      <c r="G2073" s="14">
        <v>9882</v>
      </c>
      <c r="H2073" s="14">
        <v>7905.6</v>
      </c>
      <c r="I2073" s="31">
        <f>IF(COUNTIFS(Addendum!C:C,A2073,Addendum!D:D,IF(ISNUMBER(B2073),TEXT(B2073,"0000"),B2073),Addendum!E:E,"X")&gt;0,4%,0)</f>
        <v>0.04</v>
      </c>
      <c r="J2073" s="31">
        <f>IF(COUNTIFS(Addendum!C:C,A2073,Addendum!D:D,IF(ISNUMBER(B2073),TEXT(B2073,"0000"),B2073),Addendum!F:F,"X")&gt;0,2.5%,0)</f>
        <v>0</v>
      </c>
      <c r="K2073" s="31">
        <f>IF(COUNTIFS(Addendum!C:C,A2073,Addendum!D:D,IF(ISNUMBER(B2073),TEXT(B2073,"0000"),B2073),Addendum!G:G,"X")&gt;0,7%,0)</f>
        <v>7.0000000000000007E-2</v>
      </c>
      <c r="L2073" s="31">
        <f>IF(COUNTIFS(Addendum!C:C,A2073,Addendum!D:D,IF(ISNUMBER(B2073),TEXT(B2073,"0000"),B2073),Addendum!I:I,"X")&gt;0,10%,0)</f>
        <v>0.1</v>
      </c>
      <c r="M2073" s="34">
        <f t="shared" si="64"/>
        <v>0.03</v>
      </c>
      <c r="N2073" s="17">
        <f t="shared" si="65"/>
        <v>7668.4320000000007</v>
      </c>
    </row>
    <row r="2074" spans="1:14" x14ac:dyDescent="0.25">
      <c r="A2074" s="14" t="s">
        <v>646</v>
      </c>
      <c r="B2074" s="14">
        <v>17</v>
      </c>
      <c r="C2074" s="15" t="s">
        <v>657</v>
      </c>
      <c r="D2074" s="14" t="s">
        <v>1752</v>
      </c>
      <c r="E2074" s="14" t="s">
        <v>1747</v>
      </c>
      <c r="F2074" s="17" t="s">
        <v>2993</v>
      </c>
      <c r="G2074" s="14">
        <v>270900</v>
      </c>
      <c r="H2074" s="14">
        <v>216720</v>
      </c>
      <c r="I2074" s="31">
        <f>IF(COUNTIFS(Addendum!C:C,A2074,Addendum!D:D,IF(ISNUMBER(B2074),TEXT(B2074,"0000"),B2074),Addendum!E:E,"X")&gt;0,4%,0)</f>
        <v>0.04</v>
      </c>
      <c r="J2074" s="31">
        <f>IF(COUNTIFS(Addendum!C:C,A2074,Addendum!D:D,IF(ISNUMBER(B2074),TEXT(B2074,"0000"),B2074),Addendum!F:F,"X")&gt;0,2.5%,0)</f>
        <v>0</v>
      </c>
      <c r="K2074" s="31">
        <f>IF(COUNTIFS(Addendum!C:C,A2074,Addendum!D:D,IF(ISNUMBER(B2074),TEXT(B2074,"0000"),B2074),Addendum!G:G,"X")&gt;0,7%,0)</f>
        <v>7.0000000000000007E-2</v>
      </c>
      <c r="L2074" s="31">
        <f>IF(COUNTIFS(Addendum!C:C,A2074,Addendum!D:D,IF(ISNUMBER(B2074),TEXT(B2074,"0000"),B2074),Addendum!I:I,"X")&gt;0,10%,0)</f>
        <v>0.1</v>
      </c>
      <c r="M2074" s="34">
        <f t="shared" si="64"/>
        <v>0.14000000000000001</v>
      </c>
      <c r="N2074" s="17">
        <f t="shared" si="65"/>
        <v>186379.2</v>
      </c>
    </row>
    <row r="2075" spans="1:14" x14ac:dyDescent="0.25">
      <c r="A2075" s="14" t="s">
        <v>646</v>
      </c>
      <c r="B2075" s="14" t="s">
        <v>325</v>
      </c>
      <c r="C2075" s="15" t="s">
        <v>669</v>
      </c>
      <c r="D2075" s="14" t="s">
        <v>1752</v>
      </c>
      <c r="E2075" s="14" t="s">
        <v>1753</v>
      </c>
      <c r="F2075" s="17" t="s">
        <v>2993</v>
      </c>
      <c r="G2075" s="14">
        <v>296460</v>
      </c>
      <c r="H2075" s="14">
        <v>237168</v>
      </c>
      <c r="I2075" s="31">
        <f>IF(COUNTIFS(Addendum!C:C,A2075,Addendum!D:D,IF(ISNUMBER(B2075),TEXT(B2075,"0000"),B2075),Addendum!E:E,"X")&gt;0,4%,0)</f>
        <v>0.04</v>
      </c>
      <c r="J2075" s="31">
        <f>IF(COUNTIFS(Addendum!C:C,A2075,Addendum!D:D,IF(ISNUMBER(B2075),TEXT(B2075,"0000"),B2075),Addendum!F:F,"X")&gt;0,2.5%,0)</f>
        <v>0</v>
      </c>
      <c r="K2075" s="31">
        <f>IF(COUNTIFS(Addendum!C:C,A2075,Addendum!D:D,IF(ISNUMBER(B2075),TEXT(B2075,"0000"),B2075),Addendum!G:G,"X")&gt;0,7%,0)</f>
        <v>7.0000000000000007E-2</v>
      </c>
      <c r="L2075" s="31">
        <f>IF(COUNTIFS(Addendum!C:C,A2075,Addendum!D:D,IF(ISNUMBER(B2075),TEXT(B2075,"0000"),B2075),Addendum!I:I,"X")&gt;0,10%,0)</f>
        <v>0.1</v>
      </c>
      <c r="M2075" s="34">
        <f t="shared" si="64"/>
        <v>0.14000000000000001</v>
      </c>
      <c r="N2075" s="17">
        <f t="shared" si="65"/>
        <v>203964.47999999998</v>
      </c>
    </row>
    <row r="2076" spans="1:14" x14ac:dyDescent="0.25">
      <c r="A2076" s="14" t="s">
        <v>646</v>
      </c>
      <c r="B2076" s="14" t="s">
        <v>325</v>
      </c>
      <c r="C2076" s="15" t="s">
        <v>669</v>
      </c>
      <c r="D2076" s="14" t="s">
        <v>1752</v>
      </c>
      <c r="E2076" s="14" t="s">
        <v>1747</v>
      </c>
      <c r="F2076" s="17" t="s">
        <v>2993</v>
      </c>
      <c r="G2076" s="14">
        <v>296460</v>
      </c>
      <c r="H2076" s="14">
        <v>237168</v>
      </c>
      <c r="I2076" s="31">
        <f>IF(COUNTIFS(Addendum!C:C,A2076,Addendum!D:D,IF(ISNUMBER(B2076),TEXT(B2076,"0000"),B2076),Addendum!E:E,"X")&gt;0,4%,0)</f>
        <v>0.04</v>
      </c>
      <c r="J2076" s="31">
        <f>IF(COUNTIFS(Addendum!C:C,A2076,Addendum!D:D,IF(ISNUMBER(B2076),TEXT(B2076,"0000"),B2076),Addendum!F:F,"X")&gt;0,2.5%,0)</f>
        <v>0</v>
      </c>
      <c r="K2076" s="31">
        <f>IF(COUNTIFS(Addendum!C:C,A2076,Addendum!D:D,IF(ISNUMBER(B2076),TEXT(B2076,"0000"),B2076),Addendum!G:G,"X")&gt;0,7%,0)</f>
        <v>7.0000000000000007E-2</v>
      </c>
      <c r="L2076" s="31">
        <f>IF(COUNTIFS(Addendum!C:C,A2076,Addendum!D:D,IF(ISNUMBER(B2076),TEXT(B2076,"0000"),B2076),Addendum!I:I,"X")&gt;0,10%,0)</f>
        <v>0.1</v>
      </c>
      <c r="M2076" s="34">
        <f t="shared" si="64"/>
        <v>0.14000000000000001</v>
      </c>
      <c r="N2076" s="17">
        <f t="shared" si="65"/>
        <v>203964.47999999998</v>
      </c>
    </row>
    <row r="2077" spans="1:14" x14ac:dyDescent="0.25">
      <c r="A2077" s="14" t="s">
        <v>646</v>
      </c>
      <c r="B2077" s="14" t="s">
        <v>102</v>
      </c>
      <c r="C2077" s="15" t="s">
        <v>2391</v>
      </c>
      <c r="D2077" s="14" t="s">
        <v>1745</v>
      </c>
      <c r="E2077" s="14" t="s">
        <v>1747</v>
      </c>
      <c r="F2077" s="17" t="s">
        <v>2993</v>
      </c>
      <c r="G2077" s="14">
        <v>98820</v>
      </c>
      <c r="H2077" s="14">
        <v>79056</v>
      </c>
      <c r="I2077" s="31">
        <f>IF(COUNTIFS(Addendum!C:C,A2077,Addendum!D:D,IF(ISNUMBER(B2077),TEXT(B2077,"0000"),B2077),Addendum!E:E,"X")&gt;0,4%,0)</f>
        <v>0.04</v>
      </c>
      <c r="J2077" s="31">
        <f>IF(COUNTIFS(Addendum!C:C,A2077,Addendum!D:D,IF(ISNUMBER(B2077),TEXT(B2077,"0000"),B2077),Addendum!F:F,"X")&gt;0,2.5%,0)</f>
        <v>0</v>
      </c>
      <c r="K2077" s="31">
        <f>IF(COUNTIFS(Addendum!C:C,A2077,Addendum!D:D,IF(ISNUMBER(B2077),TEXT(B2077,"0000"),B2077),Addendum!G:G,"X")&gt;0,7%,0)</f>
        <v>7.0000000000000007E-2</v>
      </c>
      <c r="L2077" s="31">
        <f>IF(COUNTIFS(Addendum!C:C,A2077,Addendum!D:D,IF(ISNUMBER(B2077),TEXT(B2077,"0000"),B2077),Addendum!I:I,"X")&gt;0,10%,0)</f>
        <v>0.1</v>
      </c>
      <c r="M2077" s="34">
        <f t="shared" si="64"/>
        <v>0.14000000000000001</v>
      </c>
      <c r="N2077" s="17">
        <f t="shared" si="65"/>
        <v>67988.160000000003</v>
      </c>
    </row>
    <row r="2078" spans="1:14" x14ac:dyDescent="0.25">
      <c r="A2078" s="14" t="s">
        <v>646</v>
      </c>
      <c r="B2078" s="14" t="s">
        <v>102</v>
      </c>
      <c r="C2078" s="15" t="s">
        <v>2391</v>
      </c>
      <c r="D2078" s="14" t="s">
        <v>1745</v>
      </c>
      <c r="E2078" s="14" t="s">
        <v>1746</v>
      </c>
      <c r="F2078" s="17" t="s">
        <v>2993</v>
      </c>
      <c r="G2078" s="14">
        <v>103761</v>
      </c>
      <c r="H2078" s="14">
        <v>83008.800000000003</v>
      </c>
      <c r="I2078" s="31">
        <f>IF(COUNTIFS(Addendum!C:C,A2078,Addendum!D:D,IF(ISNUMBER(B2078),TEXT(B2078,"0000"),B2078),Addendum!E:E,"X")&gt;0,4%,0)</f>
        <v>0.04</v>
      </c>
      <c r="J2078" s="31">
        <f>IF(COUNTIFS(Addendum!C:C,A2078,Addendum!D:D,IF(ISNUMBER(B2078),TEXT(B2078,"0000"),B2078),Addendum!F:F,"X")&gt;0,2.5%,0)</f>
        <v>0</v>
      </c>
      <c r="K2078" s="31">
        <f>IF(COUNTIFS(Addendum!C:C,A2078,Addendum!D:D,IF(ISNUMBER(B2078),TEXT(B2078,"0000"),B2078),Addendum!G:G,"X")&gt;0,7%,0)</f>
        <v>7.0000000000000007E-2</v>
      </c>
      <c r="L2078" s="31">
        <f>IF(COUNTIFS(Addendum!C:C,A2078,Addendum!D:D,IF(ISNUMBER(B2078),TEXT(B2078,"0000"),B2078),Addendum!I:I,"X")&gt;0,10%,0)</f>
        <v>0.1</v>
      </c>
      <c r="M2078" s="34">
        <f t="shared" si="64"/>
        <v>0.03</v>
      </c>
      <c r="N2078" s="17">
        <f t="shared" si="65"/>
        <v>80518.536000000007</v>
      </c>
    </row>
    <row r="2079" spans="1:14" x14ac:dyDescent="0.25">
      <c r="A2079" s="14" t="s">
        <v>646</v>
      </c>
      <c r="B2079" s="14" t="s">
        <v>36</v>
      </c>
      <c r="C2079" s="15" t="s">
        <v>2390</v>
      </c>
      <c r="D2079" s="14" t="s">
        <v>1745</v>
      </c>
      <c r="E2079" s="14" t="s">
        <v>1747</v>
      </c>
      <c r="F2079" s="17" t="s">
        <v>2993</v>
      </c>
      <c r="G2079" s="14">
        <v>90300</v>
      </c>
      <c r="H2079" s="14">
        <v>72240</v>
      </c>
      <c r="I2079" s="31">
        <f>IF(COUNTIFS(Addendum!C:C,A2079,Addendum!D:D,IF(ISNUMBER(B2079),TEXT(B2079,"0000"),B2079),Addendum!E:E,"X")&gt;0,4%,0)</f>
        <v>0.04</v>
      </c>
      <c r="J2079" s="31">
        <f>IF(COUNTIFS(Addendum!C:C,A2079,Addendum!D:D,IF(ISNUMBER(B2079),TEXT(B2079,"0000"),B2079),Addendum!F:F,"X")&gt;0,2.5%,0)</f>
        <v>0</v>
      </c>
      <c r="K2079" s="31">
        <f>IF(COUNTIFS(Addendum!C:C,A2079,Addendum!D:D,IF(ISNUMBER(B2079),TEXT(B2079,"0000"),B2079),Addendum!G:G,"X")&gt;0,7%,0)</f>
        <v>7.0000000000000007E-2</v>
      </c>
      <c r="L2079" s="31">
        <f>IF(COUNTIFS(Addendum!C:C,A2079,Addendum!D:D,IF(ISNUMBER(B2079),TEXT(B2079,"0000"),B2079),Addendum!I:I,"X")&gt;0,10%,0)</f>
        <v>0.1</v>
      </c>
      <c r="M2079" s="34">
        <f t="shared" si="64"/>
        <v>0.14000000000000001</v>
      </c>
      <c r="N2079" s="17">
        <f t="shared" si="65"/>
        <v>62126.400000000001</v>
      </c>
    </row>
    <row r="2080" spans="1:14" x14ac:dyDescent="0.25">
      <c r="A2080" s="14" t="s">
        <v>646</v>
      </c>
      <c r="B2080" s="14" t="s">
        <v>36</v>
      </c>
      <c r="C2080" s="15" t="s">
        <v>2390</v>
      </c>
      <c r="D2080" s="14" t="s">
        <v>1749</v>
      </c>
      <c r="E2080" s="14" t="s">
        <v>1746</v>
      </c>
      <c r="F2080" s="17" t="s">
        <v>2993</v>
      </c>
      <c r="G2080" s="14">
        <v>9030</v>
      </c>
      <c r="H2080" s="14">
        <v>7224</v>
      </c>
      <c r="I2080" s="31">
        <f>IF(COUNTIFS(Addendum!C:C,A2080,Addendum!D:D,IF(ISNUMBER(B2080),TEXT(B2080,"0000"),B2080),Addendum!E:E,"X")&gt;0,4%,0)</f>
        <v>0.04</v>
      </c>
      <c r="J2080" s="31">
        <f>IF(COUNTIFS(Addendum!C:C,A2080,Addendum!D:D,IF(ISNUMBER(B2080),TEXT(B2080,"0000"),B2080),Addendum!F:F,"X")&gt;0,2.5%,0)</f>
        <v>0</v>
      </c>
      <c r="K2080" s="31">
        <f>IF(COUNTIFS(Addendum!C:C,A2080,Addendum!D:D,IF(ISNUMBER(B2080),TEXT(B2080,"0000"),B2080),Addendum!G:G,"X")&gt;0,7%,0)</f>
        <v>7.0000000000000007E-2</v>
      </c>
      <c r="L2080" s="31">
        <f>IF(COUNTIFS(Addendum!C:C,A2080,Addendum!D:D,IF(ISNUMBER(B2080),TEXT(B2080,"0000"),B2080),Addendum!I:I,"X")&gt;0,10%,0)</f>
        <v>0.1</v>
      </c>
      <c r="M2080" s="34">
        <f t="shared" si="64"/>
        <v>0.03</v>
      </c>
      <c r="N2080" s="17">
        <f t="shared" si="65"/>
        <v>7007.28</v>
      </c>
    </row>
    <row r="2081" spans="1:14" x14ac:dyDescent="0.25">
      <c r="A2081" s="14" t="s">
        <v>2392</v>
      </c>
      <c r="B2081" s="14">
        <v>6</v>
      </c>
      <c r="C2081" s="15" t="s">
        <v>2393</v>
      </c>
      <c r="D2081" s="14" t="s">
        <v>1749</v>
      </c>
      <c r="E2081" s="14" t="s">
        <v>1746</v>
      </c>
      <c r="F2081" s="17" t="s">
        <v>2994</v>
      </c>
      <c r="G2081" s="14">
        <v>29952</v>
      </c>
      <c r="H2081" s="14">
        <v>23961.599999999999</v>
      </c>
      <c r="I2081" s="31">
        <f>IF(COUNTIFS(Addendum!C:C,A2081,Addendum!D:D,IF(ISNUMBER(B2081),TEXT(B2081,"0000"),B2081),Addendum!E:E,"X")&gt;0,4%,0)</f>
        <v>0</v>
      </c>
      <c r="J2081" s="31">
        <f>IF(COUNTIFS(Addendum!C:C,A2081,Addendum!D:D,IF(ISNUMBER(B2081),TEXT(B2081,"0000"),B2081),Addendum!F:F,"X")&gt;0,2.5%,0)</f>
        <v>0</v>
      </c>
      <c r="K2081" s="31">
        <f>IF(COUNTIFS(Addendum!C:C,A2081,Addendum!D:D,IF(ISNUMBER(B2081),TEXT(B2081,"0000"),B2081),Addendum!G:G,"X")&gt;0,7%,0)</f>
        <v>0</v>
      </c>
      <c r="L2081" s="31">
        <f>IF(COUNTIFS(Addendum!C:C,A2081,Addendum!D:D,IF(ISNUMBER(B2081),TEXT(B2081,"0000"),B2081),Addendum!I:I,"X")&gt;0,10%,0)</f>
        <v>0</v>
      </c>
      <c r="M2081" s="34">
        <f t="shared" si="64"/>
        <v>0</v>
      </c>
      <c r="N2081" s="17">
        <f t="shared" si="65"/>
        <v>23961.599999999999</v>
      </c>
    </row>
    <row r="2082" spans="1:14" x14ac:dyDescent="0.25">
      <c r="A2082" s="14" t="s">
        <v>2392</v>
      </c>
      <c r="B2082" s="14">
        <v>6</v>
      </c>
      <c r="C2082" s="15" t="s">
        <v>2393</v>
      </c>
      <c r="D2082" s="14" t="s">
        <v>1745</v>
      </c>
      <c r="E2082" s="14" t="s">
        <v>1746</v>
      </c>
      <c r="F2082" s="17" t="s">
        <v>2994</v>
      </c>
      <c r="G2082" s="14">
        <v>314496</v>
      </c>
      <c r="H2082" s="14">
        <v>251596.79999999999</v>
      </c>
      <c r="I2082" s="31">
        <f>IF(COUNTIFS(Addendum!C:C,A2082,Addendum!D:D,IF(ISNUMBER(B2082),TEXT(B2082,"0000"),B2082),Addendum!E:E,"X")&gt;0,4%,0)</f>
        <v>0</v>
      </c>
      <c r="J2082" s="31">
        <f>IF(COUNTIFS(Addendum!C:C,A2082,Addendum!D:D,IF(ISNUMBER(B2082),TEXT(B2082,"0000"),B2082),Addendum!F:F,"X")&gt;0,2.5%,0)</f>
        <v>0</v>
      </c>
      <c r="K2082" s="31">
        <f>IF(COUNTIFS(Addendum!C:C,A2082,Addendum!D:D,IF(ISNUMBER(B2082),TEXT(B2082,"0000"),B2082),Addendum!G:G,"X")&gt;0,7%,0)</f>
        <v>0</v>
      </c>
      <c r="L2082" s="31">
        <f>IF(COUNTIFS(Addendum!C:C,A2082,Addendum!D:D,IF(ISNUMBER(B2082),TEXT(B2082,"0000"),B2082),Addendum!I:I,"X")&gt;0,10%,0)</f>
        <v>0</v>
      </c>
      <c r="M2082" s="34">
        <f t="shared" si="64"/>
        <v>0</v>
      </c>
      <c r="N2082" s="17">
        <f t="shared" si="65"/>
        <v>251596.79999999999</v>
      </c>
    </row>
    <row r="2083" spans="1:14" x14ac:dyDescent="0.25">
      <c r="A2083" s="14" t="s">
        <v>2392</v>
      </c>
      <c r="B2083" s="14">
        <v>6</v>
      </c>
      <c r="C2083" s="15" t="s">
        <v>2393</v>
      </c>
      <c r="D2083" s="14" t="s">
        <v>1745</v>
      </c>
      <c r="E2083" s="14" t="s">
        <v>1747</v>
      </c>
      <c r="F2083" s="17" t="s">
        <v>2994</v>
      </c>
      <c r="G2083" s="14">
        <v>299520</v>
      </c>
      <c r="H2083" s="14">
        <v>239616</v>
      </c>
      <c r="I2083" s="31">
        <f>IF(COUNTIFS(Addendum!C:C,A2083,Addendum!D:D,IF(ISNUMBER(B2083),TEXT(B2083,"0000"),B2083),Addendum!E:E,"X")&gt;0,4%,0)</f>
        <v>0</v>
      </c>
      <c r="J2083" s="31">
        <f>IF(COUNTIFS(Addendum!C:C,A2083,Addendum!D:D,IF(ISNUMBER(B2083),TEXT(B2083,"0000"),B2083),Addendum!F:F,"X")&gt;0,2.5%,0)</f>
        <v>0</v>
      </c>
      <c r="K2083" s="31">
        <f>IF(COUNTIFS(Addendum!C:C,A2083,Addendum!D:D,IF(ISNUMBER(B2083),TEXT(B2083,"0000"),B2083),Addendum!G:G,"X")&gt;0,7%,0)</f>
        <v>0</v>
      </c>
      <c r="L2083" s="31">
        <f>IF(COUNTIFS(Addendum!C:C,A2083,Addendum!D:D,IF(ISNUMBER(B2083),TEXT(B2083,"0000"),B2083),Addendum!I:I,"X")&gt;0,10%,0)</f>
        <v>0</v>
      </c>
      <c r="M2083" s="34">
        <f t="shared" si="64"/>
        <v>0</v>
      </c>
      <c r="N2083" s="17">
        <f t="shared" si="65"/>
        <v>239616</v>
      </c>
    </row>
    <row r="2084" spans="1:14" x14ac:dyDescent="0.25">
      <c r="A2084" s="14" t="s">
        <v>676</v>
      </c>
      <c r="B2084" s="14" t="s">
        <v>39</v>
      </c>
      <c r="C2084" s="15" t="s">
        <v>2394</v>
      </c>
      <c r="D2084" s="14" t="s">
        <v>1745</v>
      </c>
      <c r="E2084" s="14" t="s">
        <v>1746</v>
      </c>
      <c r="F2084" s="17" t="s">
        <v>2994</v>
      </c>
      <c r="G2084" s="14">
        <v>0</v>
      </c>
      <c r="H2084" s="14">
        <v>0</v>
      </c>
      <c r="I2084" s="31">
        <f>IF(COUNTIFS(Addendum!C:C,A2084,Addendum!D:D,IF(ISNUMBER(B2084),TEXT(B2084,"0000"),B2084),Addendum!E:E,"X")&gt;0,4%,0)</f>
        <v>0.04</v>
      </c>
      <c r="J2084" s="31">
        <f>IF(COUNTIFS(Addendum!C:C,A2084,Addendum!D:D,IF(ISNUMBER(B2084),TEXT(B2084,"0000"),B2084),Addendum!F:F,"X")&gt;0,2.5%,0)</f>
        <v>0</v>
      </c>
      <c r="K2084" s="31">
        <f>IF(COUNTIFS(Addendum!C:C,A2084,Addendum!D:D,IF(ISNUMBER(B2084),TEXT(B2084,"0000"),B2084),Addendum!G:G,"X")&gt;0,7%,0)</f>
        <v>0</v>
      </c>
      <c r="L2084" s="31">
        <f>IF(COUNTIFS(Addendum!C:C,A2084,Addendum!D:D,IF(ISNUMBER(B2084),TEXT(B2084,"0000"),B2084),Addendum!I:I,"X")&gt;0,10%,0)</f>
        <v>0</v>
      </c>
      <c r="M2084" s="34">
        <f t="shared" si="64"/>
        <v>0.01</v>
      </c>
      <c r="N2084" s="17">
        <f t="shared" si="65"/>
        <v>0</v>
      </c>
    </row>
    <row r="2085" spans="1:14" x14ac:dyDescent="0.25">
      <c r="A2085" s="14" t="s">
        <v>676</v>
      </c>
      <c r="B2085" s="14" t="s">
        <v>28</v>
      </c>
      <c r="C2085" s="15" t="s">
        <v>2395</v>
      </c>
      <c r="D2085" s="14" t="s">
        <v>1749</v>
      </c>
      <c r="E2085" s="14" t="s">
        <v>1746</v>
      </c>
      <c r="F2085" s="17" t="s">
        <v>2994</v>
      </c>
      <c r="G2085" s="14">
        <v>0</v>
      </c>
      <c r="H2085" s="14">
        <v>0</v>
      </c>
      <c r="I2085" s="31">
        <f>IF(COUNTIFS(Addendum!C:C,A2085,Addendum!D:D,IF(ISNUMBER(B2085),TEXT(B2085,"0000"),B2085),Addendum!E:E,"X")&gt;0,4%,0)</f>
        <v>0.04</v>
      </c>
      <c r="J2085" s="31">
        <f>IF(COUNTIFS(Addendum!C:C,A2085,Addendum!D:D,IF(ISNUMBER(B2085),TEXT(B2085,"0000"),B2085),Addendum!F:F,"X")&gt;0,2.5%,0)</f>
        <v>0</v>
      </c>
      <c r="K2085" s="31">
        <f>IF(COUNTIFS(Addendum!C:C,A2085,Addendum!D:D,IF(ISNUMBER(B2085),TEXT(B2085,"0000"),B2085),Addendum!G:G,"X")&gt;0,7%,0)</f>
        <v>0</v>
      </c>
      <c r="L2085" s="31">
        <f>IF(COUNTIFS(Addendum!C:C,A2085,Addendum!D:D,IF(ISNUMBER(B2085),TEXT(B2085,"0000"),B2085),Addendum!I:I,"X")&gt;0,10%,0)</f>
        <v>0</v>
      </c>
      <c r="M2085" s="34">
        <f t="shared" si="64"/>
        <v>0.01</v>
      </c>
      <c r="N2085" s="17">
        <f t="shared" si="65"/>
        <v>0</v>
      </c>
    </row>
    <row r="2086" spans="1:14" x14ac:dyDescent="0.25">
      <c r="A2086" s="14" t="s">
        <v>676</v>
      </c>
      <c r="B2086" s="14" t="s">
        <v>39</v>
      </c>
      <c r="C2086" s="15" t="s">
        <v>2394</v>
      </c>
      <c r="D2086" s="14" t="s">
        <v>1745</v>
      </c>
      <c r="E2086" s="14" t="s">
        <v>1747</v>
      </c>
      <c r="F2086" s="17" t="s">
        <v>2994</v>
      </c>
      <c r="G2086" s="14">
        <v>0</v>
      </c>
      <c r="H2086" s="14">
        <v>0</v>
      </c>
      <c r="I2086" s="31">
        <f>IF(COUNTIFS(Addendum!C:C,A2086,Addendum!D:D,IF(ISNUMBER(B2086),TEXT(B2086,"0000"),B2086),Addendum!E:E,"X")&gt;0,4%,0)</f>
        <v>0.04</v>
      </c>
      <c r="J2086" s="31">
        <f>IF(COUNTIFS(Addendum!C:C,A2086,Addendum!D:D,IF(ISNUMBER(B2086),TEXT(B2086,"0000"),B2086),Addendum!F:F,"X")&gt;0,2.5%,0)</f>
        <v>0</v>
      </c>
      <c r="K2086" s="31">
        <f>IF(COUNTIFS(Addendum!C:C,A2086,Addendum!D:D,IF(ISNUMBER(B2086),TEXT(B2086,"0000"),B2086),Addendum!G:G,"X")&gt;0,7%,0)</f>
        <v>0</v>
      </c>
      <c r="L2086" s="31">
        <f>IF(COUNTIFS(Addendum!C:C,A2086,Addendum!D:D,IF(ISNUMBER(B2086),TEXT(B2086,"0000"),B2086),Addendum!I:I,"X")&gt;0,10%,0)</f>
        <v>0</v>
      </c>
      <c r="M2086" s="34">
        <f t="shared" si="64"/>
        <v>0.03</v>
      </c>
      <c r="N2086" s="17">
        <f t="shared" si="65"/>
        <v>0</v>
      </c>
    </row>
    <row r="2087" spans="1:14" x14ac:dyDescent="0.25">
      <c r="A2087" s="14" t="s">
        <v>676</v>
      </c>
      <c r="B2087" s="14" t="s">
        <v>28</v>
      </c>
      <c r="C2087" s="15" t="s">
        <v>2395</v>
      </c>
      <c r="D2087" s="14" t="s">
        <v>1745</v>
      </c>
      <c r="E2087" s="14" t="s">
        <v>1747</v>
      </c>
      <c r="F2087" s="17" t="s">
        <v>2994</v>
      </c>
      <c r="G2087" s="14">
        <v>0</v>
      </c>
      <c r="H2087" s="14">
        <v>0</v>
      </c>
      <c r="I2087" s="31">
        <f>IF(COUNTIFS(Addendum!C:C,A2087,Addendum!D:D,IF(ISNUMBER(B2087),TEXT(B2087,"0000"),B2087),Addendum!E:E,"X")&gt;0,4%,0)</f>
        <v>0.04</v>
      </c>
      <c r="J2087" s="31">
        <f>IF(COUNTIFS(Addendum!C:C,A2087,Addendum!D:D,IF(ISNUMBER(B2087),TEXT(B2087,"0000"),B2087),Addendum!F:F,"X")&gt;0,2.5%,0)</f>
        <v>0</v>
      </c>
      <c r="K2087" s="31">
        <f>IF(COUNTIFS(Addendum!C:C,A2087,Addendum!D:D,IF(ISNUMBER(B2087),TEXT(B2087,"0000"),B2087),Addendum!G:G,"X")&gt;0,7%,0)</f>
        <v>0</v>
      </c>
      <c r="L2087" s="31">
        <f>IF(COUNTIFS(Addendum!C:C,A2087,Addendum!D:D,IF(ISNUMBER(B2087),TEXT(B2087,"0000"),B2087),Addendum!I:I,"X")&gt;0,10%,0)</f>
        <v>0</v>
      </c>
      <c r="M2087" s="34">
        <f t="shared" si="64"/>
        <v>0.03</v>
      </c>
      <c r="N2087" s="17">
        <f t="shared" si="65"/>
        <v>0</v>
      </c>
    </row>
    <row r="2088" spans="1:14" x14ac:dyDescent="0.25">
      <c r="A2088" s="14" t="s">
        <v>676</v>
      </c>
      <c r="B2088" s="14" t="s">
        <v>28</v>
      </c>
      <c r="C2088" s="15" t="s">
        <v>2395</v>
      </c>
      <c r="D2088" s="14" t="s">
        <v>1745</v>
      </c>
      <c r="E2088" s="14" t="s">
        <v>1746</v>
      </c>
      <c r="F2088" s="17" t="s">
        <v>2994</v>
      </c>
      <c r="G2088" s="14">
        <v>0</v>
      </c>
      <c r="H2088" s="14">
        <v>0</v>
      </c>
      <c r="I2088" s="31">
        <f>IF(COUNTIFS(Addendum!C:C,A2088,Addendum!D:D,IF(ISNUMBER(B2088),TEXT(B2088,"0000"),B2088),Addendum!E:E,"X")&gt;0,4%,0)</f>
        <v>0.04</v>
      </c>
      <c r="J2088" s="31">
        <f>IF(COUNTIFS(Addendum!C:C,A2088,Addendum!D:D,IF(ISNUMBER(B2088),TEXT(B2088,"0000"),B2088),Addendum!F:F,"X")&gt;0,2.5%,0)</f>
        <v>0</v>
      </c>
      <c r="K2088" s="31">
        <f>IF(COUNTIFS(Addendum!C:C,A2088,Addendum!D:D,IF(ISNUMBER(B2088),TEXT(B2088,"0000"),B2088),Addendum!G:G,"X")&gt;0,7%,0)</f>
        <v>0</v>
      </c>
      <c r="L2088" s="31">
        <f>IF(COUNTIFS(Addendum!C:C,A2088,Addendum!D:D,IF(ISNUMBER(B2088),TEXT(B2088,"0000"),B2088),Addendum!I:I,"X")&gt;0,10%,0)</f>
        <v>0</v>
      </c>
      <c r="M2088" s="34">
        <f t="shared" si="64"/>
        <v>0.01</v>
      </c>
      <c r="N2088" s="17">
        <f t="shared" si="65"/>
        <v>0</v>
      </c>
    </row>
    <row r="2089" spans="1:14" x14ac:dyDescent="0.25">
      <c r="A2089" s="14" t="s">
        <v>676</v>
      </c>
      <c r="B2089" s="14" t="s">
        <v>39</v>
      </c>
      <c r="C2089" s="15" t="s">
        <v>2394</v>
      </c>
      <c r="D2089" s="14" t="s">
        <v>1749</v>
      </c>
      <c r="E2089" s="14" t="s">
        <v>1746</v>
      </c>
      <c r="F2089" s="17" t="s">
        <v>2994</v>
      </c>
      <c r="G2089" s="14">
        <v>0</v>
      </c>
      <c r="H2089" s="14">
        <v>0</v>
      </c>
      <c r="I2089" s="31">
        <f>IF(COUNTIFS(Addendum!C:C,A2089,Addendum!D:D,IF(ISNUMBER(B2089),TEXT(B2089,"0000"),B2089),Addendum!E:E,"X")&gt;0,4%,0)</f>
        <v>0.04</v>
      </c>
      <c r="J2089" s="31">
        <f>IF(COUNTIFS(Addendum!C:C,A2089,Addendum!D:D,IF(ISNUMBER(B2089),TEXT(B2089,"0000"),B2089),Addendum!F:F,"X")&gt;0,2.5%,0)</f>
        <v>0</v>
      </c>
      <c r="K2089" s="31">
        <f>IF(COUNTIFS(Addendum!C:C,A2089,Addendum!D:D,IF(ISNUMBER(B2089),TEXT(B2089,"0000"),B2089),Addendum!G:G,"X")&gt;0,7%,0)</f>
        <v>0</v>
      </c>
      <c r="L2089" s="31">
        <f>IF(COUNTIFS(Addendum!C:C,A2089,Addendum!D:D,IF(ISNUMBER(B2089),TEXT(B2089,"0000"),B2089),Addendum!I:I,"X")&gt;0,10%,0)</f>
        <v>0</v>
      </c>
      <c r="M2089" s="34">
        <f t="shared" si="64"/>
        <v>0.01</v>
      </c>
      <c r="N2089" s="17">
        <f t="shared" si="65"/>
        <v>0</v>
      </c>
    </row>
    <row r="2090" spans="1:14" x14ac:dyDescent="0.25">
      <c r="A2090" s="14" t="s">
        <v>682</v>
      </c>
      <c r="B2090" s="14">
        <v>25</v>
      </c>
      <c r="C2090" s="15" t="s">
        <v>2396</v>
      </c>
      <c r="D2090" s="14" t="s">
        <v>1745</v>
      </c>
      <c r="E2090" s="14" t="s">
        <v>1746</v>
      </c>
      <c r="F2090" s="17" t="s">
        <v>2995</v>
      </c>
      <c r="G2090" s="14">
        <v>3339</v>
      </c>
      <c r="H2090" s="14">
        <v>3005.16</v>
      </c>
      <c r="I2090" s="31">
        <f>IF(COUNTIFS(Addendum!C:C,A2090,Addendum!D:D,IF(ISNUMBER(B2090),TEXT(B2090,"0000"),B2090),Addendum!E:E,"X")&gt;0,4%,0)</f>
        <v>0.04</v>
      </c>
      <c r="J2090" s="31">
        <f>IF(COUNTIFS(Addendum!C:C,A2090,Addendum!D:D,IF(ISNUMBER(B2090),TEXT(B2090,"0000"),B2090),Addendum!F:F,"X")&gt;0,2.5%,0)</f>
        <v>0</v>
      </c>
      <c r="K2090" s="31">
        <f>IF(COUNTIFS(Addendum!C:C,A2090,Addendum!D:D,IF(ISNUMBER(B2090),TEXT(B2090,"0000"),B2090),Addendum!G:G,"X")&gt;0,7%,0)</f>
        <v>0</v>
      </c>
      <c r="L2090" s="31">
        <f>IF(COUNTIFS(Addendum!C:C,A2090,Addendum!D:D,IF(ISNUMBER(B2090),TEXT(B2090,"0000"),B2090),Addendum!I:I,"X")&gt;0,10%,0)</f>
        <v>0</v>
      </c>
      <c r="M2090" s="34">
        <f t="shared" si="64"/>
        <v>0.01</v>
      </c>
      <c r="N2090" s="17">
        <f t="shared" si="65"/>
        <v>2975.1084000000001</v>
      </c>
    </row>
    <row r="2091" spans="1:14" x14ac:dyDescent="0.25">
      <c r="A2091" s="14" t="s">
        <v>682</v>
      </c>
      <c r="B2091" s="14">
        <v>5</v>
      </c>
      <c r="C2091" s="15" t="s">
        <v>2397</v>
      </c>
      <c r="D2091" s="14" t="s">
        <v>1749</v>
      </c>
      <c r="E2091" s="14" t="s">
        <v>1746</v>
      </c>
      <c r="F2091" s="17" t="s">
        <v>2993</v>
      </c>
      <c r="G2091" s="14">
        <v>798</v>
      </c>
      <c r="H2091" s="14">
        <v>638.4</v>
      </c>
      <c r="I2091" s="31">
        <f>IF(COUNTIFS(Addendum!C:C,A2091,Addendum!D:D,IF(ISNUMBER(B2091),TEXT(B2091,"0000"),B2091),Addendum!E:E,"X")&gt;0,4%,0)</f>
        <v>0.04</v>
      </c>
      <c r="J2091" s="31">
        <f>IF(COUNTIFS(Addendum!C:C,A2091,Addendum!D:D,IF(ISNUMBER(B2091),TEXT(B2091,"0000"),B2091),Addendum!F:F,"X")&gt;0,2.5%,0)</f>
        <v>0</v>
      </c>
      <c r="K2091" s="31">
        <f>IF(COUNTIFS(Addendum!C:C,A2091,Addendum!D:D,IF(ISNUMBER(B2091),TEXT(B2091,"0000"),B2091),Addendum!G:G,"X")&gt;0,7%,0)</f>
        <v>0</v>
      </c>
      <c r="L2091" s="31">
        <f>IF(COUNTIFS(Addendum!C:C,A2091,Addendum!D:D,IF(ISNUMBER(B2091),TEXT(B2091,"0000"),B2091),Addendum!I:I,"X")&gt;0,10%,0)</f>
        <v>0</v>
      </c>
      <c r="M2091" s="34">
        <f t="shared" si="64"/>
        <v>0.01</v>
      </c>
      <c r="N2091" s="17">
        <f t="shared" si="65"/>
        <v>632.01599999999996</v>
      </c>
    </row>
    <row r="2092" spans="1:14" x14ac:dyDescent="0.25">
      <c r="A2092" s="14" t="s">
        <v>682</v>
      </c>
      <c r="B2092" s="14">
        <v>5</v>
      </c>
      <c r="C2092" s="15" t="s">
        <v>2397</v>
      </c>
      <c r="D2092" s="14" t="s">
        <v>1745</v>
      </c>
      <c r="E2092" s="14" t="s">
        <v>1746</v>
      </c>
      <c r="F2092" s="17" t="s">
        <v>2993</v>
      </c>
      <c r="G2092" s="14">
        <v>8379</v>
      </c>
      <c r="H2092" s="14">
        <v>6703.2</v>
      </c>
      <c r="I2092" s="31">
        <f>IF(COUNTIFS(Addendum!C:C,A2092,Addendum!D:D,IF(ISNUMBER(B2092),TEXT(B2092,"0000"),B2092),Addendum!E:E,"X")&gt;0,4%,0)</f>
        <v>0.04</v>
      </c>
      <c r="J2092" s="31">
        <f>IF(COUNTIFS(Addendum!C:C,A2092,Addendum!D:D,IF(ISNUMBER(B2092),TEXT(B2092,"0000"),B2092),Addendum!F:F,"X")&gt;0,2.5%,0)</f>
        <v>0</v>
      </c>
      <c r="K2092" s="31">
        <f>IF(COUNTIFS(Addendum!C:C,A2092,Addendum!D:D,IF(ISNUMBER(B2092),TEXT(B2092,"0000"),B2092),Addendum!G:G,"X")&gt;0,7%,0)</f>
        <v>0</v>
      </c>
      <c r="L2092" s="31">
        <f>IF(COUNTIFS(Addendum!C:C,A2092,Addendum!D:D,IF(ISNUMBER(B2092),TEXT(B2092,"0000"),B2092),Addendum!I:I,"X")&gt;0,10%,0)</f>
        <v>0</v>
      </c>
      <c r="M2092" s="34">
        <f t="shared" si="64"/>
        <v>0.01</v>
      </c>
      <c r="N2092" s="17">
        <f t="shared" si="65"/>
        <v>6636.1679999999997</v>
      </c>
    </row>
    <row r="2093" spans="1:14" x14ac:dyDescent="0.25">
      <c r="A2093" s="14" t="s">
        <v>682</v>
      </c>
      <c r="B2093" s="14">
        <v>3</v>
      </c>
      <c r="C2093" s="15" t="s">
        <v>680</v>
      </c>
      <c r="D2093" s="14" t="s">
        <v>1749</v>
      </c>
      <c r="E2093" s="14" t="s">
        <v>1766</v>
      </c>
      <c r="F2093" s="17" t="s">
        <v>2993</v>
      </c>
      <c r="G2093" s="14">
        <v>0</v>
      </c>
      <c r="H2093" s="14">
        <v>0</v>
      </c>
      <c r="I2093" s="31">
        <f>IF(COUNTIFS(Addendum!C:C,A2093,Addendum!D:D,IF(ISNUMBER(B2093),TEXT(B2093,"0000"),B2093),Addendum!E:E,"X")&gt;0,4%,0)</f>
        <v>0</v>
      </c>
      <c r="J2093" s="31">
        <f>IF(COUNTIFS(Addendum!C:C,A2093,Addendum!D:D,IF(ISNUMBER(B2093),TEXT(B2093,"0000"),B2093),Addendum!F:F,"X")&gt;0,2.5%,0)</f>
        <v>0</v>
      </c>
      <c r="K2093" s="31">
        <f>IF(COUNTIFS(Addendum!C:C,A2093,Addendum!D:D,IF(ISNUMBER(B2093),TEXT(B2093,"0000"),B2093),Addendum!G:G,"X")&gt;0,7%,0)</f>
        <v>0</v>
      </c>
      <c r="L2093" s="31">
        <f>IF(COUNTIFS(Addendum!C:C,A2093,Addendum!D:D,IF(ISNUMBER(B2093),TEXT(B2093,"0000"),B2093),Addendum!I:I,"X")&gt;0,10%,0)</f>
        <v>0</v>
      </c>
      <c r="M2093" s="34">
        <f t="shared" si="64"/>
        <v>0</v>
      </c>
      <c r="N2093" s="17">
        <f t="shared" si="65"/>
        <v>0</v>
      </c>
    </row>
    <row r="2094" spans="1:14" x14ac:dyDescent="0.25">
      <c r="A2094" s="14" t="s">
        <v>682</v>
      </c>
      <c r="B2094" s="14">
        <v>5</v>
      </c>
      <c r="C2094" s="15" t="s">
        <v>2397</v>
      </c>
      <c r="D2094" s="14" t="s">
        <v>1745</v>
      </c>
      <c r="E2094" s="14" t="s">
        <v>1747</v>
      </c>
      <c r="F2094" s="17" t="s">
        <v>2993</v>
      </c>
      <c r="G2094" s="14">
        <v>7980</v>
      </c>
      <c r="H2094" s="14">
        <v>6384</v>
      </c>
      <c r="I2094" s="31">
        <f>IF(COUNTIFS(Addendum!C:C,A2094,Addendum!D:D,IF(ISNUMBER(B2094),TEXT(B2094,"0000"),B2094),Addendum!E:E,"X")&gt;0,4%,0)</f>
        <v>0.04</v>
      </c>
      <c r="J2094" s="31">
        <f>IF(COUNTIFS(Addendum!C:C,A2094,Addendum!D:D,IF(ISNUMBER(B2094),TEXT(B2094,"0000"),B2094),Addendum!F:F,"X")&gt;0,2.5%,0)</f>
        <v>0</v>
      </c>
      <c r="K2094" s="31">
        <f>IF(COUNTIFS(Addendum!C:C,A2094,Addendum!D:D,IF(ISNUMBER(B2094),TEXT(B2094,"0000"),B2094),Addendum!G:G,"X")&gt;0,7%,0)</f>
        <v>0</v>
      </c>
      <c r="L2094" s="31">
        <f>IF(COUNTIFS(Addendum!C:C,A2094,Addendum!D:D,IF(ISNUMBER(B2094),TEXT(B2094,"0000"),B2094),Addendum!I:I,"X")&gt;0,10%,0)</f>
        <v>0</v>
      </c>
      <c r="M2094" s="34">
        <f t="shared" si="64"/>
        <v>0.03</v>
      </c>
      <c r="N2094" s="17">
        <f t="shared" si="65"/>
        <v>6192.48</v>
      </c>
    </row>
    <row r="2095" spans="1:14" x14ac:dyDescent="0.25">
      <c r="A2095" s="14" t="s">
        <v>682</v>
      </c>
      <c r="B2095" s="14" t="s">
        <v>260</v>
      </c>
      <c r="C2095" s="15" t="s">
        <v>2398</v>
      </c>
      <c r="D2095" s="14" t="s">
        <v>1749</v>
      </c>
      <c r="E2095" s="14" t="s">
        <v>1766</v>
      </c>
      <c r="F2095" s="17" t="s">
        <v>2993</v>
      </c>
      <c r="G2095" s="14">
        <v>0</v>
      </c>
      <c r="H2095" s="14">
        <v>0</v>
      </c>
      <c r="I2095" s="31">
        <f>IF(COUNTIFS(Addendum!C:C,A2095,Addendum!D:D,IF(ISNUMBER(B2095),TEXT(B2095,"0000"),B2095),Addendum!E:E,"X")&gt;0,4%,0)</f>
        <v>0</v>
      </c>
      <c r="J2095" s="31">
        <f>IF(COUNTIFS(Addendum!C:C,A2095,Addendum!D:D,IF(ISNUMBER(B2095),TEXT(B2095,"0000"),B2095),Addendum!F:F,"X")&gt;0,2.5%,0)</f>
        <v>0</v>
      </c>
      <c r="K2095" s="31">
        <f>IF(COUNTIFS(Addendum!C:C,A2095,Addendum!D:D,IF(ISNUMBER(B2095),TEXT(B2095,"0000"),B2095),Addendum!G:G,"X")&gt;0,7%,0)</f>
        <v>0</v>
      </c>
      <c r="L2095" s="31">
        <f>IF(COUNTIFS(Addendum!C:C,A2095,Addendum!D:D,IF(ISNUMBER(B2095),TEXT(B2095,"0000"),B2095),Addendum!I:I,"X")&gt;0,10%,0)</f>
        <v>0</v>
      </c>
      <c r="M2095" s="34">
        <f t="shared" si="64"/>
        <v>0</v>
      </c>
      <c r="N2095" s="17">
        <f t="shared" si="65"/>
        <v>0</v>
      </c>
    </row>
    <row r="2096" spans="1:14" x14ac:dyDescent="0.25">
      <c r="A2096" s="14" t="s">
        <v>682</v>
      </c>
      <c r="B2096" s="14">
        <v>6</v>
      </c>
      <c r="C2096" s="15" t="s">
        <v>2399</v>
      </c>
      <c r="D2096" s="14" t="s">
        <v>1749</v>
      </c>
      <c r="E2096" s="14" t="s">
        <v>1746</v>
      </c>
      <c r="F2096" s="17" t="s">
        <v>2993</v>
      </c>
      <c r="G2096" s="14">
        <v>798</v>
      </c>
      <c r="H2096" s="14">
        <v>638.4</v>
      </c>
      <c r="I2096" s="31">
        <f>IF(COUNTIFS(Addendum!C:C,A2096,Addendum!D:D,IF(ISNUMBER(B2096),TEXT(B2096,"0000"),B2096),Addendum!E:E,"X")&gt;0,4%,0)</f>
        <v>0.04</v>
      </c>
      <c r="J2096" s="31">
        <f>IF(COUNTIFS(Addendum!C:C,A2096,Addendum!D:D,IF(ISNUMBER(B2096),TEXT(B2096,"0000"),B2096),Addendum!F:F,"X")&gt;0,2.5%,0)</f>
        <v>0</v>
      </c>
      <c r="K2096" s="31">
        <f>IF(COUNTIFS(Addendum!C:C,A2096,Addendum!D:D,IF(ISNUMBER(B2096),TEXT(B2096,"0000"),B2096),Addendum!G:G,"X")&gt;0,7%,0)</f>
        <v>0</v>
      </c>
      <c r="L2096" s="31">
        <f>IF(COUNTIFS(Addendum!C:C,A2096,Addendum!D:D,IF(ISNUMBER(B2096),TEXT(B2096,"0000"),B2096),Addendum!I:I,"X")&gt;0,10%,0)</f>
        <v>0</v>
      </c>
      <c r="M2096" s="34">
        <f t="shared" si="64"/>
        <v>0.01</v>
      </c>
      <c r="N2096" s="17">
        <f t="shared" si="65"/>
        <v>632.01599999999996</v>
      </c>
    </row>
    <row r="2097" spans="1:14" x14ac:dyDescent="0.25">
      <c r="A2097" s="14" t="s">
        <v>682</v>
      </c>
      <c r="B2097" s="14">
        <v>6</v>
      </c>
      <c r="C2097" s="15" t="s">
        <v>2399</v>
      </c>
      <c r="D2097" s="14" t="s">
        <v>1745</v>
      </c>
      <c r="E2097" s="14" t="s">
        <v>1747</v>
      </c>
      <c r="F2097" s="17" t="s">
        <v>2993</v>
      </c>
      <c r="G2097" s="14">
        <v>7980</v>
      </c>
      <c r="H2097" s="14">
        <v>6384</v>
      </c>
      <c r="I2097" s="31">
        <f>IF(COUNTIFS(Addendum!C:C,A2097,Addendum!D:D,IF(ISNUMBER(B2097),TEXT(B2097,"0000"),B2097),Addendum!E:E,"X")&gt;0,4%,0)</f>
        <v>0.04</v>
      </c>
      <c r="J2097" s="31">
        <f>IF(COUNTIFS(Addendum!C:C,A2097,Addendum!D:D,IF(ISNUMBER(B2097),TEXT(B2097,"0000"),B2097),Addendum!F:F,"X")&gt;0,2.5%,0)</f>
        <v>0</v>
      </c>
      <c r="K2097" s="31">
        <f>IF(COUNTIFS(Addendum!C:C,A2097,Addendum!D:D,IF(ISNUMBER(B2097),TEXT(B2097,"0000"),B2097),Addendum!G:G,"X")&gt;0,7%,0)</f>
        <v>0</v>
      </c>
      <c r="L2097" s="31">
        <f>IF(COUNTIFS(Addendum!C:C,A2097,Addendum!D:D,IF(ISNUMBER(B2097),TEXT(B2097,"0000"),B2097),Addendum!I:I,"X")&gt;0,10%,0)</f>
        <v>0</v>
      </c>
      <c r="M2097" s="34">
        <f t="shared" si="64"/>
        <v>0.03</v>
      </c>
      <c r="N2097" s="17">
        <f t="shared" si="65"/>
        <v>6192.48</v>
      </c>
    </row>
    <row r="2098" spans="1:14" x14ac:dyDescent="0.25">
      <c r="A2098" s="14" t="s">
        <v>682</v>
      </c>
      <c r="B2098" s="14">
        <v>7</v>
      </c>
      <c r="C2098" s="15" t="s">
        <v>2400</v>
      </c>
      <c r="D2098" s="14" t="s">
        <v>1745</v>
      </c>
      <c r="E2098" s="14" t="s">
        <v>1747</v>
      </c>
      <c r="F2098" s="17" t="s">
        <v>2993</v>
      </c>
      <c r="G2098" s="14">
        <v>12960</v>
      </c>
      <c r="H2098" s="14">
        <v>10368</v>
      </c>
      <c r="I2098" s="31">
        <f>IF(COUNTIFS(Addendum!C:C,A2098,Addendum!D:D,IF(ISNUMBER(B2098),TEXT(B2098,"0000"),B2098),Addendum!E:E,"X")&gt;0,4%,0)</f>
        <v>0.04</v>
      </c>
      <c r="J2098" s="31">
        <f>IF(COUNTIFS(Addendum!C:C,A2098,Addendum!D:D,IF(ISNUMBER(B2098),TEXT(B2098,"0000"),B2098),Addendum!F:F,"X")&gt;0,2.5%,0)</f>
        <v>0</v>
      </c>
      <c r="K2098" s="31">
        <f>IF(COUNTIFS(Addendum!C:C,A2098,Addendum!D:D,IF(ISNUMBER(B2098),TEXT(B2098,"0000"),B2098),Addendum!G:G,"X")&gt;0,7%,0)</f>
        <v>0</v>
      </c>
      <c r="L2098" s="31">
        <f>IF(COUNTIFS(Addendum!C:C,A2098,Addendum!D:D,IF(ISNUMBER(B2098),TEXT(B2098,"0000"),B2098),Addendum!I:I,"X")&gt;0,10%,0)</f>
        <v>0</v>
      </c>
      <c r="M2098" s="34">
        <f t="shared" si="64"/>
        <v>0.03</v>
      </c>
      <c r="N2098" s="17">
        <f t="shared" si="65"/>
        <v>10056.959999999999</v>
      </c>
    </row>
    <row r="2099" spans="1:14" x14ac:dyDescent="0.25">
      <c r="A2099" s="14" t="s">
        <v>682</v>
      </c>
      <c r="B2099" s="14">
        <v>7</v>
      </c>
      <c r="C2099" s="15" t="s">
        <v>2400</v>
      </c>
      <c r="D2099" s="14" t="s">
        <v>1749</v>
      </c>
      <c r="E2099" s="14" t="s">
        <v>1746</v>
      </c>
      <c r="F2099" s="17" t="s">
        <v>2993</v>
      </c>
      <c r="G2099" s="14">
        <v>1296</v>
      </c>
      <c r="H2099" s="14">
        <v>1036.8</v>
      </c>
      <c r="I2099" s="31">
        <f>IF(COUNTIFS(Addendum!C:C,A2099,Addendum!D:D,IF(ISNUMBER(B2099),TEXT(B2099,"0000"),B2099),Addendum!E:E,"X")&gt;0,4%,0)</f>
        <v>0.04</v>
      </c>
      <c r="J2099" s="31">
        <f>IF(COUNTIFS(Addendum!C:C,A2099,Addendum!D:D,IF(ISNUMBER(B2099),TEXT(B2099,"0000"),B2099),Addendum!F:F,"X")&gt;0,2.5%,0)</f>
        <v>0</v>
      </c>
      <c r="K2099" s="31">
        <f>IF(COUNTIFS(Addendum!C:C,A2099,Addendum!D:D,IF(ISNUMBER(B2099),TEXT(B2099,"0000"),B2099),Addendum!G:G,"X")&gt;0,7%,0)</f>
        <v>0</v>
      </c>
      <c r="L2099" s="31">
        <f>IF(COUNTIFS(Addendum!C:C,A2099,Addendum!D:D,IF(ISNUMBER(B2099),TEXT(B2099,"0000"),B2099),Addendum!I:I,"X")&gt;0,10%,0)</f>
        <v>0</v>
      </c>
      <c r="M2099" s="34">
        <f t="shared" si="64"/>
        <v>0.01</v>
      </c>
      <c r="N2099" s="17">
        <f t="shared" si="65"/>
        <v>1026.432</v>
      </c>
    </row>
    <row r="2100" spans="1:14" x14ac:dyDescent="0.25">
      <c r="A2100" s="14" t="s">
        <v>682</v>
      </c>
      <c r="B2100" s="14">
        <v>2</v>
      </c>
      <c r="C2100" s="15" t="s">
        <v>680</v>
      </c>
      <c r="D2100" s="14" t="s">
        <v>1749</v>
      </c>
      <c r="E2100" s="14" t="s">
        <v>1746</v>
      </c>
      <c r="F2100" s="17" t="s">
        <v>2993</v>
      </c>
      <c r="G2100" s="14">
        <v>300</v>
      </c>
      <c r="H2100" s="14">
        <v>240</v>
      </c>
      <c r="I2100" s="31">
        <f>IF(COUNTIFS(Addendum!C:C,A2100,Addendum!D:D,IF(ISNUMBER(B2100),TEXT(B2100,"0000"),B2100),Addendum!E:E,"X")&gt;0,4%,0)</f>
        <v>0</v>
      </c>
      <c r="J2100" s="31">
        <f>IF(COUNTIFS(Addendum!C:C,A2100,Addendum!D:D,IF(ISNUMBER(B2100),TEXT(B2100,"0000"),B2100),Addendum!F:F,"X")&gt;0,2.5%,0)</f>
        <v>0</v>
      </c>
      <c r="K2100" s="31">
        <f>IF(COUNTIFS(Addendum!C:C,A2100,Addendum!D:D,IF(ISNUMBER(B2100),TEXT(B2100,"0000"),B2100),Addendum!G:G,"X")&gt;0,7%,0)</f>
        <v>0</v>
      </c>
      <c r="L2100" s="31">
        <f>IF(COUNTIFS(Addendum!C:C,A2100,Addendum!D:D,IF(ISNUMBER(B2100),TEXT(B2100,"0000"),B2100),Addendum!I:I,"X")&gt;0,10%,0)</f>
        <v>0</v>
      </c>
      <c r="M2100" s="34">
        <f t="shared" si="64"/>
        <v>0</v>
      </c>
      <c r="N2100" s="17">
        <f t="shared" si="65"/>
        <v>240</v>
      </c>
    </row>
    <row r="2101" spans="1:14" x14ac:dyDescent="0.25">
      <c r="A2101" s="14" t="s">
        <v>682</v>
      </c>
      <c r="B2101" s="14" t="s">
        <v>113</v>
      </c>
      <c r="C2101" s="15" t="s">
        <v>2401</v>
      </c>
      <c r="D2101" s="14" t="s">
        <v>1745</v>
      </c>
      <c r="E2101" s="14" t="s">
        <v>1746</v>
      </c>
      <c r="F2101" s="17" t="s">
        <v>2995</v>
      </c>
      <c r="G2101" s="14">
        <v>1257.48</v>
      </c>
      <c r="H2101" s="14">
        <v>1131.72</v>
      </c>
      <c r="I2101" s="31">
        <f>IF(COUNTIFS(Addendum!C:C,A2101,Addendum!D:D,IF(ISNUMBER(B2101),TEXT(B2101,"0000"),B2101),Addendum!E:E,"X")&gt;0,4%,0)</f>
        <v>0</v>
      </c>
      <c r="J2101" s="31">
        <f>IF(COUNTIFS(Addendum!C:C,A2101,Addendum!D:D,IF(ISNUMBER(B2101),TEXT(B2101,"0000"),B2101),Addendum!F:F,"X")&gt;0,2.5%,0)</f>
        <v>0</v>
      </c>
      <c r="K2101" s="31">
        <f>IF(COUNTIFS(Addendum!C:C,A2101,Addendum!D:D,IF(ISNUMBER(B2101),TEXT(B2101,"0000"),B2101),Addendum!G:G,"X")&gt;0,7%,0)</f>
        <v>0</v>
      </c>
      <c r="L2101" s="31">
        <f>IF(COUNTIFS(Addendum!C:C,A2101,Addendum!D:D,IF(ISNUMBER(B2101),TEXT(B2101,"0000"),B2101),Addendum!I:I,"X")&gt;0,10%,0)</f>
        <v>0</v>
      </c>
      <c r="M2101" s="34">
        <f t="shared" si="64"/>
        <v>0</v>
      </c>
      <c r="N2101" s="17">
        <f t="shared" si="65"/>
        <v>1131.72</v>
      </c>
    </row>
    <row r="2102" spans="1:14" x14ac:dyDescent="0.25">
      <c r="A2102" s="14" t="s">
        <v>682</v>
      </c>
      <c r="B2102" s="14" t="s">
        <v>265</v>
      </c>
      <c r="C2102" s="15" t="s">
        <v>2402</v>
      </c>
      <c r="D2102" s="14" t="s">
        <v>1745</v>
      </c>
      <c r="E2102" s="14" t="s">
        <v>1747</v>
      </c>
      <c r="F2102" s="17" t="s">
        <v>2995</v>
      </c>
      <c r="G2102" s="14">
        <v>3180</v>
      </c>
      <c r="H2102" s="14">
        <v>2862</v>
      </c>
      <c r="I2102" s="31">
        <f>IF(COUNTIFS(Addendum!C:C,A2102,Addendum!D:D,IF(ISNUMBER(B2102),TEXT(B2102,"0000"),B2102),Addendum!E:E,"X")&gt;0,4%,0)</f>
        <v>0.04</v>
      </c>
      <c r="J2102" s="31">
        <f>IF(COUNTIFS(Addendum!C:C,A2102,Addendum!D:D,IF(ISNUMBER(B2102),TEXT(B2102,"0000"),B2102),Addendum!F:F,"X")&gt;0,2.5%,0)</f>
        <v>0</v>
      </c>
      <c r="K2102" s="31">
        <f>IF(COUNTIFS(Addendum!C:C,A2102,Addendum!D:D,IF(ISNUMBER(B2102),TEXT(B2102,"0000"),B2102),Addendum!G:G,"X")&gt;0,7%,0)</f>
        <v>0</v>
      </c>
      <c r="L2102" s="31">
        <f>IF(COUNTIFS(Addendum!C:C,A2102,Addendum!D:D,IF(ISNUMBER(B2102),TEXT(B2102,"0000"),B2102),Addendum!I:I,"X")&gt;0,10%,0)</f>
        <v>0</v>
      </c>
      <c r="M2102" s="34">
        <f t="shared" si="64"/>
        <v>0.03</v>
      </c>
      <c r="N2102" s="17">
        <f t="shared" si="65"/>
        <v>2776.14</v>
      </c>
    </row>
    <row r="2103" spans="1:14" x14ac:dyDescent="0.25">
      <c r="A2103" s="14" t="s">
        <v>682</v>
      </c>
      <c r="B2103" s="14">
        <v>24</v>
      </c>
      <c r="C2103" s="15" t="s">
        <v>2403</v>
      </c>
      <c r="D2103" s="14" t="s">
        <v>1745</v>
      </c>
      <c r="E2103" s="14" t="s">
        <v>1746</v>
      </c>
      <c r="F2103" s="17" t="s">
        <v>2995</v>
      </c>
      <c r="G2103" s="14">
        <v>5481</v>
      </c>
      <c r="H2103" s="14">
        <v>4932.96</v>
      </c>
      <c r="I2103" s="31">
        <f>IF(COUNTIFS(Addendum!C:C,A2103,Addendum!D:D,IF(ISNUMBER(B2103),TEXT(B2103,"0000"),B2103),Addendum!E:E,"X")&gt;0,4%,0)</f>
        <v>0.04</v>
      </c>
      <c r="J2103" s="31">
        <f>IF(COUNTIFS(Addendum!C:C,A2103,Addendum!D:D,IF(ISNUMBER(B2103),TEXT(B2103,"0000"),B2103),Addendum!F:F,"X")&gt;0,2.5%,0)</f>
        <v>0</v>
      </c>
      <c r="K2103" s="31">
        <f>IF(COUNTIFS(Addendum!C:C,A2103,Addendum!D:D,IF(ISNUMBER(B2103),TEXT(B2103,"0000"),B2103),Addendum!G:G,"X")&gt;0,7%,0)</f>
        <v>0</v>
      </c>
      <c r="L2103" s="31">
        <f>IF(COUNTIFS(Addendum!C:C,A2103,Addendum!D:D,IF(ISNUMBER(B2103),TEXT(B2103,"0000"),B2103),Addendum!I:I,"X")&gt;0,10%,0)</f>
        <v>0</v>
      </c>
      <c r="M2103" s="34">
        <f t="shared" si="64"/>
        <v>0.01</v>
      </c>
      <c r="N2103" s="17">
        <f t="shared" si="65"/>
        <v>4883.6304</v>
      </c>
    </row>
    <row r="2104" spans="1:14" x14ac:dyDescent="0.25">
      <c r="A2104" s="14" t="s">
        <v>682</v>
      </c>
      <c r="B2104" s="14" t="s">
        <v>265</v>
      </c>
      <c r="C2104" s="15" t="s">
        <v>2402</v>
      </c>
      <c r="D2104" s="14" t="s">
        <v>1749</v>
      </c>
      <c r="E2104" s="14" t="s">
        <v>1746</v>
      </c>
      <c r="F2104" s="17" t="s">
        <v>2995</v>
      </c>
      <c r="G2104" s="14">
        <v>318</v>
      </c>
      <c r="H2104" s="14">
        <v>286.2</v>
      </c>
      <c r="I2104" s="31">
        <f>IF(COUNTIFS(Addendum!C:C,A2104,Addendum!D:D,IF(ISNUMBER(B2104),TEXT(B2104,"0000"),B2104),Addendum!E:E,"X")&gt;0,4%,0)</f>
        <v>0.04</v>
      </c>
      <c r="J2104" s="31">
        <f>IF(COUNTIFS(Addendum!C:C,A2104,Addendum!D:D,IF(ISNUMBER(B2104),TEXT(B2104,"0000"),B2104),Addendum!F:F,"X")&gt;0,2.5%,0)</f>
        <v>0</v>
      </c>
      <c r="K2104" s="31">
        <f>IF(COUNTIFS(Addendum!C:C,A2104,Addendum!D:D,IF(ISNUMBER(B2104),TEXT(B2104,"0000"),B2104),Addendum!G:G,"X")&gt;0,7%,0)</f>
        <v>0</v>
      </c>
      <c r="L2104" s="31">
        <f>IF(COUNTIFS(Addendum!C:C,A2104,Addendum!D:D,IF(ISNUMBER(B2104),TEXT(B2104,"0000"),B2104),Addendum!I:I,"X")&gt;0,10%,0)</f>
        <v>0</v>
      </c>
      <c r="M2104" s="34">
        <f t="shared" si="64"/>
        <v>0.01</v>
      </c>
      <c r="N2104" s="17">
        <f t="shared" si="65"/>
        <v>283.33799999999997</v>
      </c>
    </row>
    <row r="2105" spans="1:14" x14ac:dyDescent="0.25">
      <c r="A2105" s="14" t="s">
        <v>682</v>
      </c>
      <c r="B2105" s="14">
        <v>6</v>
      </c>
      <c r="C2105" s="15" t="s">
        <v>2399</v>
      </c>
      <c r="D2105" s="14" t="s">
        <v>1745</v>
      </c>
      <c r="E2105" s="14" t="s">
        <v>1746</v>
      </c>
      <c r="F2105" s="17" t="s">
        <v>2993</v>
      </c>
      <c r="G2105" s="14">
        <v>8379</v>
      </c>
      <c r="H2105" s="14">
        <v>6703.2</v>
      </c>
      <c r="I2105" s="31">
        <f>IF(COUNTIFS(Addendum!C:C,A2105,Addendum!D:D,IF(ISNUMBER(B2105),TEXT(B2105,"0000"),B2105),Addendum!E:E,"X")&gt;0,4%,0)</f>
        <v>0.04</v>
      </c>
      <c r="J2105" s="31">
        <f>IF(COUNTIFS(Addendum!C:C,A2105,Addendum!D:D,IF(ISNUMBER(B2105),TEXT(B2105,"0000"),B2105),Addendum!F:F,"X")&gt;0,2.5%,0)</f>
        <v>0</v>
      </c>
      <c r="K2105" s="31">
        <f>IF(COUNTIFS(Addendum!C:C,A2105,Addendum!D:D,IF(ISNUMBER(B2105),TEXT(B2105,"0000"),B2105),Addendum!G:G,"X")&gt;0,7%,0)</f>
        <v>0</v>
      </c>
      <c r="L2105" s="31">
        <f>IF(COUNTIFS(Addendum!C:C,A2105,Addendum!D:D,IF(ISNUMBER(B2105),TEXT(B2105,"0000"),B2105),Addendum!I:I,"X")&gt;0,10%,0)</f>
        <v>0</v>
      </c>
      <c r="M2105" s="34">
        <f t="shared" si="64"/>
        <v>0.01</v>
      </c>
      <c r="N2105" s="17">
        <f t="shared" si="65"/>
        <v>6636.1679999999997</v>
      </c>
    </row>
    <row r="2106" spans="1:14" x14ac:dyDescent="0.25">
      <c r="A2106" s="14" t="s">
        <v>682</v>
      </c>
      <c r="B2106" s="14">
        <v>25</v>
      </c>
      <c r="C2106" s="15" t="s">
        <v>2396</v>
      </c>
      <c r="D2106" s="14" t="s">
        <v>1745</v>
      </c>
      <c r="E2106" s="14" t="s">
        <v>1747</v>
      </c>
      <c r="F2106" s="17" t="s">
        <v>2995</v>
      </c>
      <c r="G2106" s="14">
        <v>3180</v>
      </c>
      <c r="H2106" s="14">
        <v>2862</v>
      </c>
      <c r="I2106" s="31">
        <f>IF(COUNTIFS(Addendum!C:C,A2106,Addendum!D:D,IF(ISNUMBER(B2106),TEXT(B2106,"0000"),B2106),Addendum!E:E,"X")&gt;0,4%,0)</f>
        <v>0.04</v>
      </c>
      <c r="J2106" s="31">
        <f>IF(COUNTIFS(Addendum!C:C,A2106,Addendum!D:D,IF(ISNUMBER(B2106),TEXT(B2106,"0000"),B2106),Addendum!F:F,"X")&gt;0,2.5%,0)</f>
        <v>0</v>
      </c>
      <c r="K2106" s="31">
        <f>IF(COUNTIFS(Addendum!C:C,A2106,Addendum!D:D,IF(ISNUMBER(B2106),TEXT(B2106,"0000"),B2106),Addendum!G:G,"X")&gt;0,7%,0)</f>
        <v>0</v>
      </c>
      <c r="L2106" s="31">
        <f>IF(COUNTIFS(Addendum!C:C,A2106,Addendum!D:D,IF(ISNUMBER(B2106),TEXT(B2106,"0000"),B2106),Addendum!I:I,"X")&gt;0,10%,0)</f>
        <v>0</v>
      </c>
      <c r="M2106" s="34">
        <f t="shared" si="64"/>
        <v>0.03</v>
      </c>
      <c r="N2106" s="17">
        <f t="shared" si="65"/>
        <v>2776.14</v>
      </c>
    </row>
    <row r="2107" spans="1:14" x14ac:dyDescent="0.25">
      <c r="A2107" s="14" t="s">
        <v>682</v>
      </c>
      <c r="B2107" s="14">
        <v>2</v>
      </c>
      <c r="C2107" s="15" t="s">
        <v>680</v>
      </c>
      <c r="D2107" s="14" t="s">
        <v>1745</v>
      </c>
      <c r="E2107" s="14" t="s">
        <v>1746</v>
      </c>
      <c r="F2107" s="17" t="s">
        <v>2993</v>
      </c>
      <c r="G2107" s="14">
        <v>3150</v>
      </c>
      <c r="H2107" s="14">
        <v>2520</v>
      </c>
      <c r="I2107" s="31">
        <f>IF(COUNTIFS(Addendum!C:C,A2107,Addendum!D:D,IF(ISNUMBER(B2107),TEXT(B2107,"0000"),B2107),Addendum!E:E,"X")&gt;0,4%,0)</f>
        <v>0</v>
      </c>
      <c r="J2107" s="31">
        <f>IF(COUNTIFS(Addendum!C:C,A2107,Addendum!D:D,IF(ISNUMBER(B2107),TEXT(B2107,"0000"),B2107),Addendum!F:F,"X")&gt;0,2.5%,0)</f>
        <v>0</v>
      </c>
      <c r="K2107" s="31">
        <f>IF(COUNTIFS(Addendum!C:C,A2107,Addendum!D:D,IF(ISNUMBER(B2107),TEXT(B2107,"0000"),B2107),Addendum!G:G,"X")&gt;0,7%,0)</f>
        <v>0</v>
      </c>
      <c r="L2107" s="31">
        <f>IF(COUNTIFS(Addendum!C:C,A2107,Addendum!D:D,IF(ISNUMBER(B2107),TEXT(B2107,"0000"),B2107),Addendum!I:I,"X")&gt;0,10%,0)</f>
        <v>0</v>
      </c>
      <c r="M2107" s="34">
        <f t="shared" si="64"/>
        <v>0</v>
      </c>
      <c r="N2107" s="17">
        <f t="shared" si="65"/>
        <v>2520</v>
      </c>
    </row>
    <row r="2108" spans="1:14" x14ac:dyDescent="0.25">
      <c r="A2108" s="14" t="s">
        <v>682</v>
      </c>
      <c r="B2108" s="14">
        <v>24</v>
      </c>
      <c r="C2108" s="15" t="s">
        <v>2403</v>
      </c>
      <c r="D2108" s="14" t="s">
        <v>1745</v>
      </c>
      <c r="E2108" s="14" t="s">
        <v>1747</v>
      </c>
      <c r="F2108" s="17" t="s">
        <v>2995</v>
      </c>
      <c r="G2108" s="14">
        <v>5220</v>
      </c>
      <c r="H2108" s="14">
        <v>4698</v>
      </c>
      <c r="I2108" s="31">
        <f>IF(COUNTIFS(Addendum!C:C,A2108,Addendum!D:D,IF(ISNUMBER(B2108),TEXT(B2108,"0000"),B2108),Addendum!E:E,"X")&gt;0,4%,0)</f>
        <v>0.04</v>
      </c>
      <c r="J2108" s="31">
        <f>IF(COUNTIFS(Addendum!C:C,A2108,Addendum!D:D,IF(ISNUMBER(B2108),TEXT(B2108,"0000"),B2108),Addendum!F:F,"X")&gt;0,2.5%,0)</f>
        <v>0</v>
      </c>
      <c r="K2108" s="31">
        <f>IF(COUNTIFS(Addendum!C:C,A2108,Addendum!D:D,IF(ISNUMBER(B2108),TEXT(B2108,"0000"),B2108),Addendum!G:G,"X")&gt;0,7%,0)</f>
        <v>0</v>
      </c>
      <c r="L2108" s="31">
        <f>IF(COUNTIFS(Addendum!C:C,A2108,Addendum!D:D,IF(ISNUMBER(B2108),TEXT(B2108,"0000"),B2108),Addendum!I:I,"X")&gt;0,10%,0)</f>
        <v>0</v>
      </c>
      <c r="M2108" s="34">
        <f t="shared" si="64"/>
        <v>0.03</v>
      </c>
      <c r="N2108" s="17">
        <f t="shared" si="65"/>
        <v>4557.0600000000004</v>
      </c>
    </row>
    <row r="2109" spans="1:14" x14ac:dyDescent="0.25">
      <c r="A2109" s="14" t="s">
        <v>682</v>
      </c>
      <c r="B2109" s="14">
        <v>25</v>
      </c>
      <c r="C2109" s="15" t="s">
        <v>2396</v>
      </c>
      <c r="D2109" s="14" t="s">
        <v>1749</v>
      </c>
      <c r="E2109" s="14" t="s">
        <v>1746</v>
      </c>
      <c r="F2109" s="17" t="s">
        <v>2995</v>
      </c>
      <c r="G2109" s="14">
        <v>318</v>
      </c>
      <c r="H2109" s="14">
        <v>286.2</v>
      </c>
      <c r="I2109" s="31">
        <f>IF(COUNTIFS(Addendum!C:C,A2109,Addendum!D:D,IF(ISNUMBER(B2109),TEXT(B2109,"0000"),B2109),Addendum!E:E,"X")&gt;0,4%,0)</f>
        <v>0.04</v>
      </c>
      <c r="J2109" s="31">
        <f>IF(COUNTIFS(Addendum!C:C,A2109,Addendum!D:D,IF(ISNUMBER(B2109),TEXT(B2109,"0000"),B2109),Addendum!F:F,"X")&gt;0,2.5%,0)</f>
        <v>0</v>
      </c>
      <c r="K2109" s="31">
        <f>IF(COUNTIFS(Addendum!C:C,A2109,Addendum!D:D,IF(ISNUMBER(B2109),TEXT(B2109,"0000"),B2109),Addendum!G:G,"X")&gt;0,7%,0)</f>
        <v>0</v>
      </c>
      <c r="L2109" s="31">
        <f>IF(COUNTIFS(Addendum!C:C,A2109,Addendum!D:D,IF(ISNUMBER(B2109),TEXT(B2109,"0000"),B2109),Addendum!I:I,"X")&gt;0,10%,0)</f>
        <v>0</v>
      </c>
      <c r="M2109" s="34">
        <f t="shared" si="64"/>
        <v>0.01</v>
      </c>
      <c r="N2109" s="17">
        <f t="shared" si="65"/>
        <v>283.33799999999997</v>
      </c>
    </row>
    <row r="2110" spans="1:14" x14ac:dyDescent="0.25">
      <c r="A2110" s="14" t="s">
        <v>682</v>
      </c>
      <c r="B2110" s="14" t="s">
        <v>265</v>
      </c>
      <c r="C2110" s="15" t="s">
        <v>2402</v>
      </c>
      <c r="D2110" s="14" t="s">
        <v>1745</v>
      </c>
      <c r="E2110" s="14" t="s">
        <v>1746</v>
      </c>
      <c r="F2110" s="17" t="s">
        <v>2995</v>
      </c>
      <c r="G2110" s="14">
        <v>3339</v>
      </c>
      <c r="H2110" s="14">
        <v>3005.16</v>
      </c>
      <c r="I2110" s="31">
        <f>IF(COUNTIFS(Addendum!C:C,A2110,Addendum!D:D,IF(ISNUMBER(B2110),TEXT(B2110,"0000"),B2110),Addendum!E:E,"X")&gt;0,4%,0)</f>
        <v>0.04</v>
      </c>
      <c r="J2110" s="31">
        <f>IF(COUNTIFS(Addendum!C:C,A2110,Addendum!D:D,IF(ISNUMBER(B2110),TEXT(B2110,"0000"),B2110),Addendum!F:F,"X")&gt;0,2.5%,0)</f>
        <v>0</v>
      </c>
      <c r="K2110" s="31">
        <f>IF(COUNTIFS(Addendum!C:C,A2110,Addendum!D:D,IF(ISNUMBER(B2110),TEXT(B2110,"0000"),B2110),Addendum!G:G,"X")&gt;0,7%,0)</f>
        <v>0</v>
      </c>
      <c r="L2110" s="31">
        <f>IF(COUNTIFS(Addendum!C:C,A2110,Addendum!D:D,IF(ISNUMBER(B2110),TEXT(B2110,"0000"),B2110),Addendum!I:I,"X")&gt;0,10%,0)</f>
        <v>0</v>
      </c>
      <c r="M2110" s="34">
        <f t="shared" si="64"/>
        <v>0.01</v>
      </c>
      <c r="N2110" s="17">
        <f t="shared" si="65"/>
        <v>2975.1084000000001</v>
      </c>
    </row>
    <row r="2111" spans="1:14" x14ac:dyDescent="0.25">
      <c r="A2111" s="14" t="s">
        <v>682</v>
      </c>
      <c r="B2111" s="14">
        <v>7</v>
      </c>
      <c r="C2111" s="15" t="s">
        <v>2400</v>
      </c>
      <c r="D2111" s="14" t="s">
        <v>1745</v>
      </c>
      <c r="E2111" s="14" t="s">
        <v>1746</v>
      </c>
      <c r="F2111" s="17" t="s">
        <v>2993</v>
      </c>
      <c r="G2111" s="14">
        <v>13608</v>
      </c>
      <c r="H2111" s="14">
        <v>10886.4</v>
      </c>
      <c r="I2111" s="31">
        <f>IF(COUNTIFS(Addendum!C:C,A2111,Addendum!D:D,IF(ISNUMBER(B2111),TEXT(B2111,"0000"),B2111),Addendum!E:E,"X")&gt;0,4%,0)</f>
        <v>0.04</v>
      </c>
      <c r="J2111" s="31">
        <f>IF(COUNTIFS(Addendum!C:C,A2111,Addendum!D:D,IF(ISNUMBER(B2111),TEXT(B2111,"0000"),B2111),Addendum!F:F,"X")&gt;0,2.5%,0)</f>
        <v>0</v>
      </c>
      <c r="K2111" s="31">
        <f>IF(COUNTIFS(Addendum!C:C,A2111,Addendum!D:D,IF(ISNUMBER(B2111),TEXT(B2111,"0000"),B2111),Addendum!G:G,"X")&gt;0,7%,0)</f>
        <v>0</v>
      </c>
      <c r="L2111" s="31">
        <f>IF(COUNTIFS(Addendum!C:C,A2111,Addendum!D:D,IF(ISNUMBER(B2111),TEXT(B2111,"0000"),B2111),Addendum!I:I,"X")&gt;0,10%,0)</f>
        <v>0</v>
      </c>
      <c r="M2111" s="34">
        <f t="shared" si="64"/>
        <v>0.01</v>
      </c>
      <c r="N2111" s="17">
        <f t="shared" si="65"/>
        <v>10777.536</v>
      </c>
    </row>
    <row r="2112" spans="1:14" x14ac:dyDescent="0.25">
      <c r="A2112" s="14" t="s">
        <v>682</v>
      </c>
      <c r="B2112" s="14" t="s">
        <v>570</v>
      </c>
      <c r="C2112" s="15" t="s">
        <v>2398</v>
      </c>
      <c r="D2112" s="14" t="s">
        <v>1745</v>
      </c>
      <c r="E2112" s="14" t="s">
        <v>1746</v>
      </c>
      <c r="F2112" s="17" t="s">
        <v>2993</v>
      </c>
      <c r="G2112" s="14">
        <v>2646</v>
      </c>
      <c r="H2112" s="14">
        <v>2116.8000000000002</v>
      </c>
      <c r="I2112" s="31">
        <f>IF(COUNTIFS(Addendum!C:C,A2112,Addendum!D:D,IF(ISNUMBER(B2112),TEXT(B2112,"0000"),B2112),Addendum!E:E,"X")&gt;0,4%,0)</f>
        <v>0</v>
      </c>
      <c r="J2112" s="31">
        <f>IF(COUNTIFS(Addendum!C:C,A2112,Addendum!D:D,IF(ISNUMBER(B2112),TEXT(B2112,"0000"),B2112),Addendum!F:F,"X")&gt;0,2.5%,0)</f>
        <v>0</v>
      </c>
      <c r="K2112" s="31">
        <f>IF(COUNTIFS(Addendum!C:C,A2112,Addendum!D:D,IF(ISNUMBER(B2112),TEXT(B2112,"0000"),B2112),Addendum!G:G,"X")&gt;0,7%,0)</f>
        <v>0</v>
      </c>
      <c r="L2112" s="31">
        <f>IF(COUNTIFS(Addendum!C:C,A2112,Addendum!D:D,IF(ISNUMBER(B2112),TEXT(B2112,"0000"),B2112),Addendum!I:I,"X")&gt;0,10%,0)</f>
        <v>0</v>
      </c>
      <c r="M2112" s="34">
        <f t="shared" si="64"/>
        <v>0</v>
      </c>
      <c r="N2112" s="17">
        <f t="shared" si="65"/>
        <v>2116.8000000000002</v>
      </c>
    </row>
    <row r="2113" spans="1:14" x14ac:dyDescent="0.25">
      <c r="A2113" s="14" t="s">
        <v>682</v>
      </c>
      <c r="B2113" s="14" t="s">
        <v>570</v>
      </c>
      <c r="C2113" s="15" t="s">
        <v>2398</v>
      </c>
      <c r="D2113" s="14" t="s">
        <v>1745</v>
      </c>
      <c r="E2113" s="14" t="s">
        <v>1747</v>
      </c>
      <c r="F2113" s="17" t="s">
        <v>2993</v>
      </c>
      <c r="G2113" s="14">
        <v>2520</v>
      </c>
      <c r="H2113" s="14">
        <v>2016</v>
      </c>
      <c r="I2113" s="31">
        <f>IF(COUNTIFS(Addendum!C:C,A2113,Addendum!D:D,IF(ISNUMBER(B2113),TEXT(B2113,"0000"),B2113),Addendum!E:E,"X")&gt;0,4%,0)</f>
        <v>0</v>
      </c>
      <c r="J2113" s="31">
        <f>IF(COUNTIFS(Addendum!C:C,A2113,Addendum!D:D,IF(ISNUMBER(B2113),TEXT(B2113,"0000"),B2113),Addendum!F:F,"X")&gt;0,2.5%,0)</f>
        <v>0</v>
      </c>
      <c r="K2113" s="31">
        <f>IF(COUNTIFS(Addendum!C:C,A2113,Addendum!D:D,IF(ISNUMBER(B2113),TEXT(B2113,"0000"),B2113),Addendum!G:G,"X")&gt;0,7%,0)</f>
        <v>0</v>
      </c>
      <c r="L2113" s="31">
        <f>IF(COUNTIFS(Addendum!C:C,A2113,Addendum!D:D,IF(ISNUMBER(B2113),TEXT(B2113,"0000"),B2113),Addendum!I:I,"X")&gt;0,10%,0)</f>
        <v>0</v>
      </c>
      <c r="M2113" s="34">
        <f t="shared" si="64"/>
        <v>0</v>
      </c>
      <c r="N2113" s="17">
        <f t="shared" si="65"/>
        <v>2016</v>
      </c>
    </row>
    <row r="2114" spans="1:14" x14ac:dyDescent="0.25">
      <c r="A2114" s="14" t="s">
        <v>682</v>
      </c>
      <c r="B2114" s="14" t="s">
        <v>113</v>
      </c>
      <c r="C2114" s="15" t="s">
        <v>2401</v>
      </c>
      <c r="D2114" s="14" t="s">
        <v>1745</v>
      </c>
      <c r="E2114" s="14" t="s">
        <v>1747</v>
      </c>
      <c r="F2114" s="17" t="s">
        <v>2995</v>
      </c>
      <c r="G2114" s="14">
        <v>1197.5999999999999</v>
      </c>
      <c r="H2114" s="14">
        <v>1077.8399999999999</v>
      </c>
      <c r="I2114" s="31">
        <f>IF(COUNTIFS(Addendum!C:C,A2114,Addendum!D:D,IF(ISNUMBER(B2114),TEXT(B2114,"0000"),B2114),Addendum!E:E,"X")&gt;0,4%,0)</f>
        <v>0</v>
      </c>
      <c r="J2114" s="31">
        <f>IF(COUNTIFS(Addendum!C:C,A2114,Addendum!D:D,IF(ISNUMBER(B2114),TEXT(B2114,"0000"),B2114),Addendum!F:F,"X")&gt;0,2.5%,0)</f>
        <v>0</v>
      </c>
      <c r="K2114" s="31">
        <f>IF(COUNTIFS(Addendum!C:C,A2114,Addendum!D:D,IF(ISNUMBER(B2114),TEXT(B2114,"0000"),B2114),Addendum!G:G,"X")&gt;0,7%,0)</f>
        <v>0</v>
      </c>
      <c r="L2114" s="31">
        <f>IF(COUNTIFS(Addendum!C:C,A2114,Addendum!D:D,IF(ISNUMBER(B2114),TEXT(B2114,"0000"),B2114),Addendum!I:I,"X")&gt;0,10%,0)</f>
        <v>0</v>
      </c>
      <c r="M2114" s="34">
        <f t="shared" si="64"/>
        <v>0</v>
      </c>
      <c r="N2114" s="17">
        <f t="shared" si="65"/>
        <v>1077.8399999999999</v>
      </c>
    </row>
    <row r="2115" spans="1:14" x14ac:dyDescent="0.25">
      <c r="A2115" s="14" t="s">
        <v>682</v>
      </c>
      <c r="B2115" s="14" t="s">
        <v>570</v>
      </c>
      <c r="C2115" s="15" t="s">
        <v>2398</v>
      </c>
      <c r="D2115" s="14" t="s">
        <v>1749</v>
      </c>
      <c r="E2115" s="14" t="s">
        <v>1746</v>
      </c>
      <c r="F2115" s="17" t="s">
        <v>2993</v>
      </c>
      <c r="G2115" s="14">
        <v>252</v>
      </c>
      <c r="H2115" s="14">
        <v>201.6</v>
      </c>
      <c r="I2115" s="31">
        <f>IF(COUNTIFS(Addendum!C:C,A2115,Addendum!D:D,IF(ISNUMBER(B2115),TEXT(B2115,"0000"),B2115),Addendum!E:E,"X")&gt;0,4%,0)</f>
        <v>0</v>
      </c>
      <c r="J2115" s="31">
        <f>IF(COUNTIFS(Addendum!C:C,A2115,Addendum!D:D,IF(ISNUMBER(B2115),TEXT(B2115,"0000"),B2115),Addendum!F:F,"X")&gt;0,2.5%,0)</f>
        <v>0</v>
      </c>
      <c r="K2115" s="31">
        <f>IF(COUNTIFS(Addendum!C:C,A2115,Addendum!D:D,IF(ISNUMBER(B2115),TEXT(B2115,"0000"),B2115),Addendum!G:G,"X")&gt;0,7%,0)</f>
        <v>0</v>
      </c>
      <c r="L2115" s="31">
        <f>IF(COUNTIFS(Addendum!C:C,A2115,Addendum!D:D,IF(ISNUMBER(B2115),TEXT(B2115,"0000"),B2115),Addendum!I:I,"X")&gt;0,10%,0)</f>
        <v>0</v>
      </c>
      <c r="M2115" s="34">
        <f t="shared" si="64"/>
        <v>0</v>
      </c>
      <c r="N2115" s="17">
        <f t="shared" si="65"/>
        <v>201.6</v>
      </c>
    </row>
    <row r="2116" spans="1:14" x14ac:dyDescent="0.25">
      <c r="A2116" s="14" t="s">
        <v>682</v>
      </c>
      <c r="B2116" s="14">
        <v>2</v>
      </c>
      <c r="C2116" s="15" t="s">
        <v>680</v>
      </c>
      <c r="D2116" s="14" t="s">
        <v>1745</v>
      </c>
      <c r="E2116" s="14" t="s">
        <v>1747</v>
      </c>
      <c r="F2116" s="17" t="s">
        <v>2993</v>
      </c>
      <c r="G2116" s="14">
        <v>3000</v>
      </c>
      <c r="H2116" s="14">
        <v>2400</v>
      </c>
      <c r="I2116" s="31">
        <f>IF(COUNTIFS(Addendum!C:C,A2116,Addendum!D:D,IF(ISNUMBER(B2116),TEXT(B2116,"0000"),B2116),Addendum!E:E,"X")&gt;0,4%,0)</f>
        <v>0</v>
      </c>
      <c r="J2116" s="31">
        <f>IF(COUNTIFS(Addendum!C:C,A2116,Addendum!D:D,IF(ISNUMBER(B2116),TEXT(B2116,"0000"),B2116),Addendum!F:F,"X")&gt;0,2.5%,0)</f>
        <v>0</v>
      </c>
      <c r="K2116" s="31">
        <f>IF(COUNTIFS(Addendum!C:C,A2116,Addendum!D:D,IF(ISNUMBER(B2116),TEXT(B2116,"0000"),B2116),Addendum!G:G,"X")&gt;0,7%,0)</f>
        <v>0</v>
      </c>
      <c r="L2116" s="31">
        <f>IF(COUNTIFS(Addendum!C:C,A2116,Addendum!D:D,IF(ISNUMBER(B2116),TEXT(B2116,"0000"),B2116),Addendum!I:I,"X")&gt;0,10%,0)</f>
        <v>0</v>
      </c>
      <c r="M2116" s="34">
        <f t="shared" ref="M2116:M2179" si="66">IF(AND(I2116=0%,J2116=0%,K2116=0%,L2116=0%),0%,
IF(OR(TRIM(E2116)="OneTime",TRIM(D2116)=""),0%,
IF(
OR(
TRIM(D2116)="P1M",
AND(TRIM(D2116)="P1Y",TRIM(E2116)="Monthly"),
AND(TRIM(D2116)="P3Y",TRIM(E2116)="Monthly")
),
IF(AND(I2116=4%,J2116=0%,K2116=0%,L2116=0%),1%,
IF(AND(I2116=4%,J2116=2.5%,K2116=0%,L2116=10%),2%,
IF(AND(I2116=4%,J2116=0%,K2116=7%,L2116=10%),3%,0%))),
IF(
OR(
AND(TRIM(D2116)="P1Y",TRIM(E2116)="Annual"),
AND(TRIM(D2116)="P3Y",TRIM(E2116)="Annual"),
AND(TRIM(D2116)="P3Y",TRIM(E2116)="Triennial")
),
IF(AND(I2116=4%,J2116=0%,K2116=0%,L2116=0%),3%,
IF(AND(I2116=4%,J2116=2.5%,K2116=0%,L2116=10%),10%,
IF(AND(I2116=4%,J2116=0%,K2116=7%,L2116=10%),14%,0%))),
0%
))))</f>
        <v>0</v>
      </c>
      <c r="N2116" s="17">
        <f t="shared" ref="N2116:N2179" si="67">H2116-(H2116*M2116)</f>
        <v>2400</v>
      </c>
    </row>
    <row r="2117" spans="1:14" x14ac:dyDescent="0.25">
      <c r="A2117" s="14" t="s">
        <v>682</v>
      </c>
      <c r="B2117" s="14">
        <v>24</v>
      </c>
      <c r="C2117" s="15" t="s">
        <v>2403</v>
      </c>
      <c r="D2117" s="14" t="s">
        <v>1749</v>
      </c>
      <c r="E2117" s="14" t="s">
        <v>1746</v>
      </c>
      <c r="F2117" s="17" t="s">
        <v>2995</v>
      </c>
      <c r="G2117" s="14">
        <v>522</v>
      </c>
      <c r="H2117" s="14">
        <v>469.8</v>
      </c>
      <c r="I2117" s="31">
        <f>IF(COUNTIFS(Addendum!C:C,A2117,Addendum!D:D,IF(ISNUMBER(B2117),TEXT(B2117,"0000"),B2117),Addendum!E:E,"X")&gt;0,4%,0)</f>
        <v>0.04</v>
      </c>
      <c r="J2117" s="31">
        <f>IF(COUNTIFS(Addendum!C:C,A2117,Addendum!D:D,IF(ISNUMBER(B2117),TEXT(B2117,"0000"),B2117),Addendum!F:F,"X")&gt;0,2.5%,0)</f>
        <v>0</v>
      </c>
      <c r="K2117" s="31">
        <f>IF(COUNTIFS(Addendum!C:C,A2117,Addendum!D:D,IF(ISNUMBER(B2117),TEXT(B2117,"0000"),B2117),Addendum!G:G,"X")&gt;0,7%,0)</f>
        <v>0</v>
      </c>
      <c r="L2117" s="31">
        <f>IF(COUNTIFS(Addendum!C:C,A2117,Addendum!D:D,IF(ISNUMBER(B2117),TEXT(B2117,"0000"),B2117),Addendum!I:I,"X")&gt;0,10%,0)</f>
        <v>0</v>
      </c>
      <c r="M2117" s="34">
        <f t="shared" si="66"/>
        <v>0.01</v>
      </c>
      <c r="N2117" s="17">
        <f t="shared" si="67"/>
        <v>465.10200000000003</v>
      </c>
    </row>
    <row r="2118" spans="1:14" x14ac:dyDescent="0.25">
      <c r="A2118" s="14" t="s">
        <v>682</v>
      </c>
      <c r="B2118" s="14" t="s">
        <v>113</v>
      </c>
      <c r="C2118" s="15" t="s">
        <v>2401</v>
      </c>
      <c r="D2118" s="14" t="s">
        <v>1749</v>
      </c>
      <c r="E2118" s="14" t="s">
        <v>1746</v>
      </c>
      <c r="F2118" s="17" t="s">
        <v>2995</v>
      </c>
      <c r="G2118" s="14">
        <v>119.76</v>
      </c>
      <c r="H2118" s="14">
        <v>107.78</v>
      </c>
      <c r="I2118" s="31">
        <f>IF(COUNTIFS(Addendum!C:C,A2118,Addendum!D:D,IF(ISNUMBER(B2118),TEXT(B2118,"0000"),B2118),Addendum!E:E,"X")&gt;0,4%,0)</f>
        <v>0</v>
      </c>
      <c r="J2118" s="31">
        <f>IF(COUNTIFS(Addendum!C:C,A2118,Addendum!D:D,IF(ISNUMBER(B2118),TEXT(B2118,"0000"),B2118),Addendum!F:F,"X")&gt;0,2.5%,0)</f>
        <v>0</v>
      </c>
      <c r="K2118" s="31">
        <f>IF(COUNTIFS(Addendum!C:C,A2118,Addendum!D:D,IF(ISNUMBER(B2118),TEXT(B2118,"0000"),B2118),Addendum!G:G,"X")&gt;0,7%,0)</f>
        <v>0</v>
      </c>
      <c r="L2118" s="31">
        <f>IF(COUNTIFS(Addendum!C:C,A2118,Addendum!D:D,IF(ISNUMBER(B2118),TEXT(B2118,"0000"),B2118),Addendum!I:I,"X")&gt;0,10%,0)</f>
        <v>0</v>
      </c>
      <c r="M2118" s="34">
        <f t="shared" si="66"/>
        <v>0</v>
      </c>
      <c r="N2118" s="17">
        <f t="shared" si="67"/>
        <v>107.78</v>
      </c>
    </row>
    <row r="2119" spans="1:14" x14ac:dyDescent="0.25">
      <c r="A2119" s="14" t="s">
        <v>2404</v>
      </c>
      <c r="B2119" s="14">
        <v>13</v>
      </c>
      <c r="C2119" s="15" t="s">
        <v>2405</v>
      </c>
      <c r="D2119" s="14" t="s">
        <v>1745</v>
      </c>
      <c r="E2119" s="14" t="s">
        <v>1747</v>
      </c>
      <c r="F2119" s="17" t="s">
        <v>2993</v>
      </c>
      <c r="G2119" s="14">
        <v>8940</v>
      </c>
      <c r="H2119" s="14">
        <v>7152</v>
      </c>
      <c r="I2119" s="31">
        <f>IF(COUNTIFS(Addendum!C:C,A2119,Addendum!D:D,IF(ISNUMBER(B2119),TEXT(B2119,"0000"),B2119),Addendum!E:E,"X")&gt;0,4%,0)</f>
        <v>0</v>
      </c>
      <c r="J2119" s="31">
        <f>IF(COUNTIFS(Addendum!C:C,A2119,Addendum!D:D,IF(ISNUMBER(B2119),TEXT(B2119,"0000"),B2119),Addendum!F:F,"X")&gt;0,2.5%,0)</f>
        <v>0</v>
      </c>
      <c r="K2119" s="31">
        <f>IF(COUNTIFS(Addendum!C:C,A2119,Addendum!D:D,IF(ISNUMBER(B2119),TEXT(B2119,"0000"),B2119),Addendum!G:G,"X")&gt;0,7%,0)</f>
        <v>0</v>
      </c>
      <c r="L2119" s="31">
        <f>IF(COUNTIFS(Addendum!C:C,A2119,Addendum!D:D,IF(ISNUMBER(B2119),TEXT(B2119,"0000"),B2119),Addendum!I:I,"X")&gt;0,10%,0)</f>
        <v>0</v>
      </c>
      <c r="M2119" s="34">
        <f t="shared" si="66"/>
        <v>0</v>
      </c>
      <c r="N2119" s="17">
        <f t="shared" si="67"/>
        <v>7152</v>
      </c>
    </row>
    <row r="2120" spans="1:14" x14ac:dyDescent="0.25">
      <c r="A2120" s="14" t="s">
        <v>2404</v>
      </c>
      <c r="B2120" s="14">
        <v>1</v>
      </c>
      <c r="C2120" s="15" t="s">
        <v>2406</v>
      </c>
      <c r="D2120" s="14" t="s">
        <v>1749</v>
      </c>
      <c r="E2120" s="14" t="s">
        <v>1746</v>
      </c>
      <c r="F2120" s="17" t="s">
        <v>2993</v>
      </c>
      <c r="G2120" s="14">
        <v>996</v>
      </c>
      <c r="H2120" s="14">
        <v>796.8</v>
      </c>
      <c r="I2120" s="31">
        <f>IF(COUNTIFS(Addendum!C:C,A2120,Addendum!D:D,IF(ISNUMBER(B2120),TEXT(B2120,"0000"),B2120),Addendum!E:E,"X")&gt;0,4%,0)</f>
        <v>0</v>
      </c>
      <c r="J2120" s="31">
        <f>IF(COUNTIFS(Addendum!C:C,A2120,Addendum!D:D,IF(ISNUMBER(B2120),TEXT(B2120,"0000"),B2120),Addendum!F:F,"X")&gt;0,2.5%,0)</f>
        <v>0</v>
      </c>
      <c r="K2120" s="31">
        <f>IF(COUNTIFS(Addendum!C:C,A2120,Addendum!D:D,IF(ISNUMBER(B2120),TEXT(B2120,"0000"),B2120),Addendum!G:G,"X")&gt;0,7%,0)</f>
        <v>0</v>
      </c>
      <c r="L2120" s="31">
        <f>IF(COUNTIFS(Addendum!C:C,A2120,Addendum!D:D,IF(ISNUMBER(B2120),TEXT(B2120,"0000"),B2120),Addendum!I:I,"X")&gt;0,10%,0)</f>
        <v>0</v>
      </c>
      <c r="M2120" s="34">
        <f t="shared" si="66"/>
        <v>0</v>
      </c>
      <c r="N2120" s="17">
        <f t="shared" si="67"/>
        <v>796.8</v>
      </c>
    </row>
    <row r="2121" spans="1:14" x14ac:dyDescent="0.25">
      <c r="A2121" s="14" t="s">
        <v>2404</v>
      </c>
      <c r="B2121" s="14" t="s">
        <v>118</v>
      </c>
      <c r="C2121" s="15" t="s">
        <v>2407</v>
      </c>
      <c r="D2121" s="14" t="s">
        <v>1745</v>
      </c>
      <c r="E2121" s="14" t="s">
        <v>1747</v>
      </c>
      <c r="F2121" s="17" t="s">
        <v>2995</v>
      </c>
      <c r="G2121" s="14">
        <v>2520</v>
      </c>
      <c r="H2121" s="14">
        <v>2268</v>
      </c>
      <c r="I2121" s="31">
        <f>IF(COUNTIFS(Addendum!C:C,A2121,Addendum!D:D,IF(ISNUMBER(B2121),TEXT(B2121,"0000"),B2121),Addendum!E:E,"X")&gt;0,4%,0)</f>
        <v>0</v>
      </c>
      <c r="J2121" s="31">
        <f>IF(COUNTIFS(Addendum!C:C,A2121,Addendum!D:D,IF(ISNUMBER(B2121),TEXT(B2121,"0000"),B2121),Addendum!F:F,"X")&gt;0,2.5%,0)</f>
        <v>0</v>
      </c>
      <c r="K2121" s="31">
        <f>IF(COUNTIFS(Addendum!C:C,A2121,Addendum!D:D,IF(ISNUMBER(B2121),TEXT(B2121,"0000"),B2121),Addendum!G:G,"X")&gt;0,7%,0)</f>
        <v>0</v>
      </c>
      <c r="L2121" s="31">
        <f>IF(COUNTIFS(Addendum!C:C,A2121,Addendum!D:D,IF(ISNUMBER(B2121),TEXT(B2121,"0000"),B2121),Addendum!I:I,"X")&gt;0,10%,0)</f>
        <v>0</v>
      </c>
      <c r="M2121" s="34">
        <f t="shared" si="66"/>
        <v>0</v>
      </c>
      <c r="N2121" s="17">
        <f t="shared" si="67"/>
        <v>2268</v>
      </c>
    </row>
    <row r="2122" spans="1:14" x14ac:dyDescent="0.25">
      <c r="A2122" s="14" t="s">
        <v>2404</v>
      </c>
      <c r="B2122" s="14">
        <v>13</v>
      </c>
      <c r="C2122" s="15" t="s">
        <v>2405</v>
      </c>
      <c r="D2122" s="14" t="s">
        <v>1745</v>
      </c>
      <c r="E2122" s="14" t="s">
        <v>1746</v>
      </c>
      <c r="F2122" s="17" t="s">
        <v>2993</v>
      </c>
      <c r="G2122" s="14">
        <v>9387</v>
      </c>
      <c r="H2122" s="14">
        <v>7509.6</v>
      </c>
      <c r="I2122" s="31">
        <f>IF(COUNTIFS(Addendum!C:C,A2122,Addendum!D:D,IF(ISNUMBER(B2122),TEXT(B2122,"0000"),B2122),Addendum!E:E,"X")&gt;0,4%,0)</f>
        <v>0</v>
      </c>
      <c r="J2122" s="31">
        <f>IF(COUNTIFS(Addendum!C:C,A2122,Addendum!D:D,IF(ISNUMBER(B2122),TEXT(B2122,"0000"),B2122),Addendum!F:F,"X")&gt;0,2.5%,0)</f>
        <v>0</v>
      </c>
      <c r="K2122" s="31">
        <f>IF(COUNTIFS(Addendum!C:C,A2122,Addendum!D:D,IF(ISNUMBER(B2122),TEXT(B2122,"0000"),B2122),Addendum!G:G,"X")&gt;0,7%,0)</f>
        <v>0</v>
      </c>
      <c r="L2122" s="31">
        <f>IF(COUNTIFS(Addendum!C:C,A2122,Addendum!D:D,IF(ISNUMBER(B2122),TEXT(B2122,"0000"),B2122),Addendum!I:I,"X")&gt;0,10%,0)</f>
        <v>0</v>
      </c>
      <c r="M2122" s="34">
        <f t="shared" si="66"/>
        <v>0</v>
      </c>
      <c r="N2122" s="17">
        <f t="shared" si="67"/>
        <v>7509.6</v>
      </c>
    </row>
    <row r="2123" spans="1:14" x14ac:dyDescent="0.25">
      <c r="A2123" s="14" t="s">
        <v>2404</v>
      </c>
      <c r="B2123" s="14">
        <v>1</v>
      </c>
      <c r="C2123" s="15" t="s">
        <v>2406</v>
      </c>
      <c r="D2123" s="14" t="s">
        <v>1745</v>
      </c>
      <c r="E2123" s="14" t="s">
        <v>1746</v>
      </c>
      <c r="F2123" s="17" t="s">
        <v>2993</v>
      </c>
      <c r="G2123" s="14">
        <v>10458</v>
      </c>
      <c r="H2123" s="14">
        <v>8366.4</v>
      </c>
      <c r="I2123" s="31">
        <f>IF(COUNTIFS(Addendum!C:C,A2123,Addendum!D:D,IF(ISNUMBER(B2123),TEXT(B2123,"0000"),B2123),Addendum!E:E,"X")&gt;0,4%,0)</f>
        <v>0</v>
      </c>
      <c r="J2123" s="31">
        <f>IF(COUNTIFS(Addendum!C:C,A2123,Addendum!D:D,IF(ISNUMBER(B2123),TEXT(B2123,"0000"),B2123),Addendum!F:F,"X")&gt;0,2.5%,0)</f>
        <v>0</v>
      </c>
      <c r="K2123" s="31">
        <f>IF(COUNTIFS(Addendum!C:C,A2123,Addendum!D:D,IF(ISNUMBER(B2123),TEXT(B2123,"0000"),B2123),Addendum!G:G,"X")&gt;0,7%,0)</f>
        <v>0</v>
      </c>
      <c r="L2123" s="31">
        <f>IF(COUNTIFS(Addendum!C:C,A2123,Addendum!D:D,IF(ISNUMBER(B2123),TEXT(B2123,"0000"),B2123),Addendum!I:I,"X")&gt;0,10%,0)</f>
        <v>0</v>
      </c>
      <c r="M2123" s="34">
        <f t="shared" si="66"/>
        <v>0</v>
      </c>
      <c r="N2123" s="17">
        <f t="shared" si="67"/>
        <v>8366.4</v>
      </c>
    </row>
    <row r="2124" spans="1:14" x14ac:dyDescent="0.25">
      <c r="A2124" s="14" t="s">
        <v>2404</v>
      </c>
      <c r="B2124" s="14">
        <v>13</v>
      </c>
      <c r="C2124" s="15" t="s">
        <v>2405</v>
      </c>
      <c r="D2124" s="14" t="s">
        <v>1749</v>
      </c>
      <c r="E2124" s="14" t="s">
        <v>1746</v>
      </c>
      <c r="F2124" s="17" t="s">
        <v>2993</v>
      </c>
      <c r="G2124" s="14">
        <v>894</v>
      </c>
      <c r="H2124" s="14">
        <v>715.2</v>
      </c>
      <c r="I2124" s="31">
        <f>IF(COUNTIFS(Addendum!C:C,A2124,Addendum!D:D,IF(ISNUMBER(B2124),TEXT(B2124,"0000"),B2124),Addendum!E:E,"X")&gt;0,4%,0)</f>
        <v>0</v>
      </c>
      <c r="J2124" s="31">
        <f>IF(COUNTIFS(Addendum!C:C,A2124,Addendum!D:D,IF(ISNUMBER(B2124),TEXT(B2124,"0000"),B2124),Addendum!F:F,"X")&gt;0,2.5%,0)</f>
        <v>0</v>
      </c>
      <c r="K2124" s="31">
        <f>IF(COUNTIFS(Addendum!C:C,A2124,Addendum!D:D,IF(ISNUMBER(B2124),TEXT(B2124,"0000"),B2124),Addendum!G:G,"X")&gt;0,7%,0)</f>
        <v>0</v>
      </c>
      <c r="L2124" s="31">
        <f>IF(COUNTIFS(Addendum!C:C,A2124,Addendum!D:D,IF(ISNUMBER(B2124),TEXT(B2124,"0000"),B2124),Addendum!I:I,"X")&gt;0,10%,0)</f>
        <v>0</v>
      </c>
      <c r="M2124" s="34">
        <f t="shared" si="66"/>
        <v>0</v>
      </c>
      <c r="N2124" s="17">
        <f t="shared" si="67"/>
        <v>715.2</v>
      </c>
    </row>
    <row r="2125" spans="1:14" x14ac:dyDescent="0.25">
      <c r="A2125" s="14" t="s">
        <v>2404</v>
      </c>
      <c r="B2125" s="14" t="s">
        <v>118</v>
      </c>
      <c r="C2125" s="15" t="s">
        <v>2407</v>
      </c>
      <c r="D2125" s="14" t="s">
        <v>1749</v>
      </c>
      <c r="E2125" s="14" t="s">
        <v>1746</v>
      </c>
      <c r="F2125" s="17" t="s">
        <v>2995</v>
      </c>
      <c r="G2125" s="14">
        <v>252</v>
      </c>
      <c r="H2125" s="14">
        <v>226.8</v>
      </c>
      <c r="I2125" s="31">
        <f>IF(COUNTIFS(Addendum!C:C,A2125,Addendum!D:D,IF(ISNUMBER(B2125),TEXT(B2125,"0000"),B2125),Addendum!E:E,"X")&gt;0,4%,0)</f>
        <v>0</v>
      </c>
      <c r="J2125" s="31">
        <f>IF(COUNTIFS(Addendum!C:C,A2125,Addendum!D:D,IF(ISNUMBER(B2125),TEXT(B2125,"0000"),B2125),Addendum!F:F,"X")&gt;0,2.5%,0)</f>
        <v>0</v>
      </c>
      <c r="K2125" s="31">
        <f>IF(COUNTIFS(Addendum!C:C,A2125,Addendum!D:D,IF(ISNUMBER(B2125),TEXT(B2125,"0000"),B2125),Addendum!G:G,"X")&gt;0,7%,0)</f>
        <v>0</v>
      </c>
      <c r="L2125" s="31">
        <f>IF(COUNTIFS(Addendum!C:C,A2125,Addendum!D:D,IF(ISNUMBER(B2125),TEXT(B2125,"0000"),B2125),Addendum!I:I,"X")&gt;0,10%,0)</f>
        <v>0</v>
      </c>
      <c r="M2125" s="34">
        <f t="shared" si="66"/>
        <v>0</v>
      </c>
      <c r="N2125" s="17">
        <f t="shared" si="67"/>
        <v>226.8</v>
      </c>
    </row>
    <row r="2126" spans="1:14" x14ac:dyDescent="0.25">
      <c r="A2126" s="14" t="s">
        <v>2404</v>
      </c>
      <c r="B2126" s="14" t="s">
        <v>118</v>
      </c>
      <c r="C2126" s="15" t="s">
        <v>2407</v>
      </c>
      <c r="D2126" s="14" t="s">
        <v>1745</v>
      </c>
      <c r="E2126" s="14" t="s">
        <v>1746</v>
      </c>
      <c r="F2126" s="17" t="s">
        <v>2995</v>
      </c>
      <c r="G2126" s="14">
        <v>2646</v>
      </c>
      <c r="H2126" s="14">
        <v>2381.4</v>
      </c>
      <c r="I2126" s="31">
        <f>IF(COUNTIFS(Addendum!C:C,A2126,Addendum!D:D,IF(ISNUMBER(B2126),TEXT(B2126,"0000"),B2126),Addendum!E:E,"X")&gt;0,4%,0)</f>
        <v>0</v>
      </c>
      <c r="J2126" s="31">
        <f>IF(COUNTIFS(Addendum!C:C,A2126,Addendum!D:D,IF(ISNUMBER(B2126),TEXT(B2126,"0000"),B2126),Addendum!F:F,"X")&gt;0,2.5%,0)</f>
        <v>0</v>
      </c>
      <c r="K2126" s="31">
        <f>IF(COUNTIFS(Addendum!C:C,A2126,Addendum!D:D,IF(ISNUMBER(B2126),TEXT(B2126,"0000"),B2126),Addendum!G:G,"X")&gt;0,7%,0)</f>
        <v>0</v>
      </c>
      <c r="L2126" s="31">
        <f>IF(COUNTIFS(Addendum!C:C,A2126,Addendum!D:D,IF(ISNUMBER(B2126),TEXT(B2126,"0000"),B2126),Addendum!I:I,"X")&gt;0,10%,0)</f>
        <v>0</v>
      </c>
      <c r="M2126" s="34">
        <f t="shared" si="66"/>
        <v>0</v>
      </c>
      <c r="N2126" s="17">
        <f t="shared" si="67"/>
        <v>2381.4</v>
      </c>
    </row>
    <row r="2127" spans="1:14" x14ac:dyDescent="0.25">
      <c r="A2127" s="14" t="s">
        <v>2404</v>
      </c>
      <c r="B2127" s="14">
        <v>1</v>
      </c>
      <c r="C2127" s="15" t="s">
        <v>2406</v>
      </c>
      <c r="D2127" s="14" t="s">
        <v>1745</v>
      </c>
      <c r="E2127" s="14" t="s">
        <v>1747</v>
      </c>
      <c r="F2127" s="17" t="s">
        <v>2993</v>
      </c>
      <c r="G2127" s="14">
        <v>9960</v>
      </c>
      <c r="H2127" s="14">
        <v>7968</v>
      </c>
      <c r="I2127" s="31">
        <f>IF(COUNTIFS(Addendum!C:C,A2127,Addendum!D:D,IF(ISNUMBER(B2127),TEXT(B2127,"0000"),B2127),Addendum!E:E,"X")&gt;0,4%,0)</f>
        <v>0</v>
      </c>
      <c r="J2127" s="31">
        <f>IF(COUNTIFS(Addendum!C:C,A2127,Addendum!D:D,IF(ISNUMBER(B2127),TEXT(B2127,"0000"),B2127),Addendum!F:F,"X")&gt;0,2.5%,0)</f>
        <v>0</v>
      </c>
      <c r="K2127" s="31">
        <f>IF(COUNTIFS(Addendum!C:C,A2127,Addendum!D:D,IF(ISNUMBER(B2127),TEXT(B2127,"0000"),B2127),Addendum!G:G,"X")&gt;0,7%,0)</f>
        <v>0</v>
      </c>
      <c r="L2127" s="31">
        <f>IF(COUNTIFS(Addendum!C:C,A2127,Addendum!D:D,IF(ISNUMBER(B2127),TEXT(B2127,"0000"),B2127),Addendum!I:I,"X")&gt;0,10%,0)</f>
        <v>0</v>
      </c>
      <c r="M2127" s="34">
        <f t="shared" si="66"/>
        <v>0</v>
      </c>
      <c r="N2127" s="17">
        <f t="shared" si="67"/>
        <v>7968</v>
      </c>
    </row>
    <row r="2128" spans="1:14" x14ac:dyDescent="0.25">
      <c r="A2128" s="14" t="s">
        <v>749</v>
      </c>
      <c r="B2128" s="14" t="s">
        <v>16</v>
      </c>
      <c r="C2128" s="15" t="s">
        <v>2408</v>
      </c>
      <c r="D2128" s="14" t="s">
        <v>1745</v>
      </c>
      <c r="E2128" s="14" t="s">
        <v>1746</v>
      </c>
      <c r="F2128" s="17" t="s">
        <v>2995</v>
      </c>
      <c r="G2128" s="14">
        <v>1257.48</v>
      </c>
      <c r="H2128" s="14">
        <v>1131.72</v>
      </c>
      <c r="I2128" s="31">
        <f>IF(COUNTIFS(Addendum!C:C,A2128,Addendum!D:D,IF(ISNUMBER(B2128),TEXT(B2128,"0000"),B2128),Addendum!E:E,"X")&gt;0,4%,0)</f>
        <v>0.04</v>
      </c>
      <c r="J2128" s="31">
        <f>IF(COUNTIFS(Addendum!C:C,A2128,Addendum!D:D,IF(ISNUMBER(B2128),TEXT(B2128,"0000"),B2128),Addendum!F:F,"X")&gt;0,2.5%,0)</f>
        <v>0</v>
      </c>
      <c r="K2128" s="31">
        <f>IF(COUNTIFS(Addendum!C:C,A2128,Addendum!D:D,IF(ISNUMBER(B2128),TEXT(B2128,"0000"),B2128),Addendum!G:G,"X")&gt;0,7%,0)</f>
        <v>0</v>
      </c>
      <c r="L2128" s="31">
        <f>IF(COUNTIFS(Addendum!C:C,A2128,Addendum!D:D,IF(ISNUMBER(B2128),TEXT(B2128,"0000"),B2128),Addendum!I:I,"X")&gt;0,10%,0)</f>
        <v>0</v>
      </c>
      <c r="M2128" s="34">
        <f t="shared" si="66"/>
        <v>0.01</v>
      </c>
      <c r="N2128" s="17">
        <f t="shared" si="67"/>
        <v>1120.4028000000001</v>
      </c>
    </row>
    <row r="2129" spans="1:14" x14ac:dyDescent="0.25">
      <c r="A2129" s="14" t="s">
        <v>749</v>
      </c>
      <c r="B2129" s="14">
        <v>9</v>
      </c>
      <c r="C2129" s="15" t="s">
        <v>751</v>
      </c>
      <c r="D2129" s="14" t="s">
        <v>1745</v>
      </c>
      <c r="E2129" s="14" t="s">
        <v>1746</v>
      </c>
      <c r="F2129" s="17" t="s">
        <v>2993</v>
      </c>
      <c r="G2129" s="14">
        <v>5229</v>
      </c>
      <c r="H2129" s="14">
        <v>4183.2</v>
      </c>
      <c r="I2129" s="31">
        <f>IF(COUNTIFS(Addendum!C:C,A2129,Addendum!D:D,IF(ISNUMBER(B2129),TEXT(B2129,"0000"),B2129),Addendum!E:E,"X")&gt;0,4%,0)</f>
        <v>0.04</v>
      </c>
      <c r="J2129" s="31">
        <f>IF(COUNTIFS(Addendum!C:C,A2129,Addendum!D:D,IF(ISNUMBER(B2129),TEXT(B2129,"0000"),B2129),Addendum!F:F,"X")&gt;0,2.5%,0)</f>
        <v>0</v>
      </c>
      <c r="K2129" s="31">
        <f>IF(COUNTIFS(Addendum!C:C,A2129,Addendum!D:D,IF(ISNUMBER(B2129),TEXT(B2129,"0000"),B2129),Addendum!G:G,"X")&gt;0,7%,0)</f>
        <v>0</v>
      </c>
      <c r="L2129" s="31">
        <f>IF(COUNTIFS(Addendum!C:C,A2129,Addendum!D:D,IF(ISNUMBER(B2129),TEXT(B2129,"0000"),B2129),Addendum!I:I,"X")&gt;0,10%,0)</f>
        <v>0</v>
      </c>
      <c r="M2129" s="34">
        <f t="shared" si="66"/>
        <v>0.01</v>
      </c>
      <c r="N2129" s="17">
        <f t="shared" si="67"/>
        <v>4141.3679999999995</v>
      </c>
    </row>
    <row r="2130" spans="1:14" x14ac:dyDescent="0.25">
      <c r="A2130" s="14" t="s">
        <v>749</v>
      </c>
      <c r="B2130" s="14">
        <v>7</v>
      </c>
      <c r="C2130" s="15" t="s">
        <v>753</v>
      </c>
      <c r="D2130" s="14" t="s">
        <v>1745</v>
      </c>
      <c r="E2130" s="14" t="s">
        <v>1747</v>
      </c>
      <c r="F2130" s="17" t="s">
        <v>2993</v>
      </c>
      <c r="G2130" s="14">
        <v>3000</v>
      </c>
      <c r="H2130" s="14">
        <v>2400</v>
      </c>
      <c r="I2130" s="31">
        <f>IF(COUNTIFS(Addendum!C:C,A2130,Addendum!D:D,IF(ISNUMBER(B2130),TEXT(B2130,"0000"),B2130),Addendum!E:E,"X")&gt;0,4%,0)</f>
        <v>0.04</v>
      </c>
      <c r="J2130" s="31">
        <f>IF(COUNTIFS(Addendum!C:C,A2130,Addendum!D:D,IF(ISNUMBER(B2130),TEXT(B2130,"0000"),B2130),Addendum!F:F,"X")&gt;0,2.5%,0)</f>
        <v>0</v>
      </c>
      <c r="K2130" s="31">
        <f>IF(COUNTIFS(Addendum!C:C,A2130,Addendum!D:D,IF(ISNUMBER(B2130),TEXT(B2130,"0000"),B2130),Addendum!G:G,"X")&gt;0,7%,0)</f>
        <v>0</v>
      </c>
      <c r="L2130" s="31">
        <f>IF(COUNTIFS(Addendum!C:C,A2130,Addendum!D:D,IF(ISNUMBER(B2130),TEXT(B2130,"0000"),B2130),Addendum!I:I,"X")&gt;0,10%,0)</f>
        <v>0</v>
      </c>
      <c r="M2130" s="34">
        <f t="shared" si="66"/>
        <v>0.03</v>
      </c>
      <c r="N2130" s="17">
        <f t="shared" si="67"/>
        <v>2328</v>
      </c>
    </row>
    <row r="2131" spans="1:14" x14ac:dyDescent="0.25">
      <c r="A2131" s="14" t="s">
        <v>749</v>
      </c>
      <c r="B2131" s="14">
        <v>7</v>
      </c>
      <c r="C2131" s="15" t="s">
        <v>753</v>
      </c>
      <c r="D2131" s="14" t="s">
        <v>1745</v>
      </c>
      <c r="E2131" s="14" t="s">
        <v>1746</v>
      </c>
      <c r="F2131" s="17" t="s">
        <v>2993</v>
      </c>
      <c r="G2131" s="14">
        <v>3150</v>
      </c>
      <c r="H2131" s="14">
        <v>2520</v>
      </c>
      <c r="I2131" s="31">
        <f>IF(COUNTIFS(Addendum!C:C,A2131,Addendum!D:D,IF(ISNUMBER(B2131),TEXT(B2131,"0000"),B2131),Addendum!E:E,"X")&gt;0,4%,0)</f>
        <v>0.04</v>
      </c>
      <c r="J2131" s="31">
        <f>IF(COUNTIFS(Addendum!C:C,A2131,Addendum!D:D,IF(ISNUMBER(B2131),TEXT(B2131,"0000"),B2131),Addendum!F:F,"X")&gt;0,2.5%,0)</f>
        <v>0</v>
      </c>
      <c r="K2131" s="31">
        <f>IF(COUNTIFS(Addendum!C:C,A2131,Addendum!D:D,IF(ISNUMBER(B2131),TEXT(B2131,"0000"),B2131),Addendum!G:G,"X")&gt;0,7%,0)</f>
        <v>0</v>
      </c>
      <c r="L2131" s="31">
        <f>IF(COUNTIFS(Addendum!C:C,A2131,Addendum!D:D,IF(ISNUMBER(B2131),TEXT(B2131,"0000"),B2131),Addendum!I:I,"X")&gt;0,10%,0)</f>
        <v>0</v>
      </c>
      <c r="M2131" s="34">
        <f t="shared" si="66"/>
        <v>0.01</v>
      </c>
      <c r="N2131" s="17">
        <f t="shared" si="67"/>
        <v>2494.8000000000002</v>
      </c>
    </row>
    <row r="2132" spans="1:14" x14ac:dyDescent="0.25">
      <c r="A2132" s="14" t="s">
        <v>749</v>
      </c>
      <c r="B2132" s="14" t="s">
        <v>16</v>
      </c>
      <c r="C2132" s="15" t="s">
        <v>2408</v>
      </c>
      <c r="D2132" s="14" t="s">
        <v>1745</v>
      </c>
      <c r="E2132" s="14" t="s">
        <v>1747</v>
      </c>
      <c r="F2132" s="17" t="s">
        <v>2995</v>
      </c>
      <c r="G2132" s="14">
        <v>1197.5999999999999</v>
      </c>
      <c r="H2132" s="14">
        <v>1077.8399999999999</v>
      </c>
      <c r="I2132" s="31">
        <f>IF(COUNTIFS(Addendum!C:C,A2132,Addendum!D:D,IF(ISNUMBER(B2132),TEXT(B2132,"0000"),B2132),Addendum!E:E,"X")&gt;0,4%,0)</f>
        <v>0.04</v>
      </c>
      <c r="J2132" s="31">
        <f>IF(COUNTIFS(Addendum!C:C,A2132,Addendum!D:D,IF(ISNUMBER(B2132),TEXT(B2132,"0000"),B2132),Addendum!F:F,"X")&gt;0,2.5%,0)</f>
        <v>0</v>
      </c>
      <c r="K2132" s="31">
        <f>IF(COUNTIFS(Addendum!C:C,A2132,Addendum!D:D,IF(ISNUMBER(B2132),TEXT(B2132,"0000"),B2132),Addendum!G:G,"X")&gt;0,7%,0)</f>
        <v>0</v>
      </c>
      <c r="L2132" s="31">
        <f>IF(COUNTIFS(Addendum!C:C,A2132,Addendum!D:D,IF(ISNUMBER(B2132),TEXT(B2132,"0000"),B2132),Addendum!I:I,"X")&gt;0,10%,0)</f>
        <v>0</v>
      </c>
      <c r="M2132" s="34">
        <f t="shared" si="66"/>
        <v>0.03</v>
      </c>
      <c r="N2132" s="17">
        <f t="shared" si="67"/>
        <v>1045.5047999999999</v>
      </c>
    </row>
    <row r="2133" spans="1:14" x14ac:dyDescent="0.25">
      <c r="A2133" s="14" t="s">
        <v>749</v>
      </c>
      <c r="B2133" s="14">
        <v>5</v>
      </c>
      <c r="C2133" s="15" t="s">
        <v>748</v>
      </c>
      <c r="D2133" s="14" t="s">
        <v>1749</v>
      </c>
      <c r="E2133" s="14" t="s">
        <v>1766</v>
      </c>
      <c r="F2133" s="17" t="s">
        <v>2993</v>
      </c>
      <c r="G2133" s="14">
        <v>0</v>
      </c>
      <c r="H2133" s="14">
        <v>0</v>
      </c>
      <c r="I2133" s="31">
        <f>IF(COUNTIFS(Addendum!C:C,A2133,Addendum!D:D,IF(ISNUMBER(B2133),TEXT(B2133,"0000"),B2133),Addendum!E:E,"X")&gt;0,4%,0)</f>
        <v>0.04</v>
      </c>
      <c r="J2133" s="31">
        <f>IF(COUNTIFS(Addendum!C:C,A2133,Addendum!D:D,IF(ISNUMBER(B2133),TEXT(B2133,"0000"),B2133),Addendum!F:F,"X")&gt;0,2.5%,0)</f>
        <v>0</v>
      </c>
      <c r="K2133" s="31">
        <f>IF(COUNTIFS(Addendum!C:C,A2133,Addendum!D:D,IF(ISNUMBER(B2133),TEXT(B2133,"0000"),B2133),Addendum!G:G,"X")&gt;0,7%,0)</f>
        <v>0</v>
      </c>
      <c r="L2133" s="31">
        <f>IF(COUNTIFS(Addendum!C:C,A2133,Addendum!D:D,IF(ISNUMBER(B2133),TEXT(B2133,"0000"),B2133),Addendum!I:I,"X")&gt;0,10%,0)</f>
        <v>0</v>
      </c>
      <c r="M2133" s="34">
        <f t="shared" si="66"/>
        <v>0.01</v>
      </c>
      <c r="N2133" s="17">
        <f t="shared" si="67"/>
        <v>0</v>
      </c>
    </row>
    <row r="2134" spans="1:14" x14ac:dyDescent="0.25">
      <c r="A2134" s="14" t="s">
        <v>749</v>
      </c>
      <c r="B2134" s="14">
        <v>8</v>
      </c>
      <c r="C2134" s="15" t="s">
        <v>748</v>
      </c>
      <c r="D2134" s="14" t="s">
        <v>1749</v>
      </c>
      <c r="E2134" s="14" t="s">
        <v>1746</v>
      </c>
      <c r="F2134" s="17" t="s">
        <v>2993</v>
      </c>
      <c r="G2134" s="14">
        <v>696</v>
      </c>
      <c r="H2134" s="14">
        <v>556.79999999999995</v>
      </c>
      <c r="I2134" s="31">
        <f>IF(COUNTIFS(Addendum!C:C,A2134,Addendum!D:D,IF(ISNUMBER(B2134),TEXT(B2134,"0000"),B2134),Addendum!E:E,"X")&gt;0,4%,0)</f>
        <v>0.04</v>
      </c>
      <c r="J2134" s="31">
        <f>IF(COUNTIFS(Addendum!C:C,A2134,Addendum!D:D,IF(ISNUMBER(B2134),TEXT(B2134,"0000"),B2134),Addendum!F:F,"X")&gt;0,2.5%,0)</f>
        <v>0</v>
      </c>
      <c r="K2134" s="31">
        <f>IF(COUNTIFS(Addendum!C:C,A2134,Addendum!D:D,IF(ISNUMBER(B2134),TEXT(B2134,"0000"),B2134),Addendum!G:G,"X")&gt;0,7%,0)</f>
        <v>0</v>
      </c>
      <c r="L2134" s="31">
        <f>IF(COUNTIFS(Addendum!C:C,A2134,Addendum!D:D,IF(ISNUMBER(B2134),TEXT(B2134,"0000"),B2134),Addendum!I:I,"X")&gt;0,10%,0)</f>
        <v>0</v>
      </c>
      <c r="M2134" s="34">
        <f t="shared" si="66"/>
        <v>0.01</v>
      </c>
      <c r="N2134" s="17">
        <f t="shared" si="67"/>
        <v>551.23199999999997</v>
      </c>
    </row>
    <row r="2135" spans="1:14" x14ac:dyDescent="0.25">
      <c r="A2135" s="14" t="s">
        <v>749</v>
      </c>
      <c r="B2135" s="14">
        <v>8</v>
      </c>
      <c r="C2135" s="15" t="s">
        <v>748</v>
      </c>
      <c r="D2135" s="14" t="s">
        <v>1745</v>
      </c>
      <c r="E2135" s="14" t="s">
        <v>1746</v>
      </c>
      <c r="F2135" s="17" t="s">
        <v>2993</v>
      </c>
      <c r="G2135" s="14">
        <v>7308</v>
      </c>
      <c r="H2135" s="14">
        <v>5846.4</v>
      </c>
      <c r="I2135" s="31">
        <f>IF(COUNTIFS(Addendum!C:C,A2135,Addendum!D:D,IF(ISNUMBER(B2135),TEXT(B2135,"0000"),B2135),Addendum!E:E,"X")&gt;0,4%,0)</f>
        <v>0.04</v>
      </c>
      <c r="J2135" s="31">
        <f>IF(COUNTIFS(Addendum!C:C,A2135,Addendum!D:D,IF(ISNUMBER(B2135),TEXT(B2135,"0000"),B2135),Addendum!F:F,"X")&gt;0,2.5%,0)</f>
        <v>0</v>
      </c>
      <c r="K2135" s="31">
        <f>IF(COUNTIFS(Addendum!C:C,A2135,Addendum!D:D,IF(ISNUMBER(B2135),TEXT(B2135,"0000"),B2135),Addendum!G:G,"X")&gt;0,7%,0)</f>
        <v>0</v>
      </c>
      <c r="L2135" s="31">
        <f>IF(COUNTIFS(Addendum!C:C,A2135,Addendum!D:D,IF(ISNUMBER(B2135),TEXT(B2135,"0000"),B2135),Addendum!I:I,"X")&gt;0,10%,0)</f>
        <v>0</v>
      </c>
      <c r="M2135" s="34">
        <f t="shared" si="66"/>
        <v>0.01</v>
      </c>
      <c r="N2135" s="17">
        <f t="shared" si="67"/>
        <v>5787.9359999999997</v>
      </c>
    </row>
    <row r="2136" spans="1:14" x14ac:dyDescent="0.25">
      <c r="A2136" s="14" t="s">
        <v>749</v>
      </c>
      <c r="B2136" s="14" t="s">
        <v>24</v>
      </c>
      <c r="C2136" s="15" t="s">
        <v>2409</v>
      </c>
      <c r="D2136" s="14" t="s">
        <v>1749</v>
      </c>
      <c r="E2136" s="14" t="s">
        <v>1746</v>
      </c>
      <c r="F2136" s="17" t="s">
        <v>2995</v>
      </c>
      <c r="G2136" s="14">
        <v>282</v>
      </c>
      <c r="H2136" s="14">
        <v>253.8</v>
      </c>
      <c r="I2136" s="31">
        <f>IF(COUNTIFS(Addendum!C:C,A2136,Addendum!D:D,IF(ISNUMBER(B2136),TEXT(B2136,"0000"),B2136),Addendum!E:E,"X")&gt;0,4%,0)</f>
        <v>0.04</v>
      </c>
      <c r="J2136" s="31">
        <f>IF(COUNTIFS(Addendum!C:C,A2136,Addendum!D:D,IF(ISNUMBER(B2136),TEXT(B2136,"0000"),B2136),Addendum!F:F,"X")&gt;0,2.5%,0)</f>
        <v>0</v>
      </c>
      <c r="K2136" s="31">
        <f>IF(COUNTIFS(Addendum!C:C,A2136,Addendum!D:D,IF(ISNUMBER(B2136),TEXT(B2136,"0000"),B2136),Addendum!G:G,"X")&gt;0,7%,0)</f>
        <v>0</v>
      </c>
      <c r="L2136" s="31">
        <f>IF(COUNTIFS(Addendum!C:C,A2136,Addendum!D:D,IF(ISNUMBER(B2136),TEXT(B2136,"0000"),B2136),Addendum!I:I,"X")&gt;0,10%,0)</f>
        <v>0</v>
      </c>
      <c r="M2136" s="34">
        <f t="shared" si="66"/>
        <v>0.01</v>
      </c>
      <c r="N2136" s="17">
        <f t="shared" si="67"/>
        <v>251.262</v>
      </c>
    </row>
    <row r="2137" spans="1:14" x14ac:dyDescent="0.25">
      <c r="A2137" s="14" t="s">
        <v>749</v>
      </c>
      <c r="B2137" s="14" t="s">
        <v>16</v>
      </c>
      <c r="C2137" s="15" t="s">
        <v>2408</v>
      </c>
      <c r="D2137" s="14" t="s">
        <v>1749</v>
      </c>
      <c r="E2137" s="14" t="s">
        <v>1746</v>
      </c>
      <c r="F2137" s="17" t="s">
        <v>2995</v>
      </c>
      <c r="G2137" s="14">
        <v>119.76</v>
      </c>
      <c r="H2137" s="14">
        <v>107.78</v>
      </c>
      <c r="I2137" s="31">
        <f>IF(COUNTIFS(Addendum!C:C,A2137,Addendum!D:D,IF(ISNUMBER(B2137),TEXT(B2137,"0000"),B2137),Addendum!E:E,"X")&gt;0,4%,0)</f>
        <v>0.04</v>
      </c>
      <c r="J2137" s="31">
        <f>IF(COUNTIFS(Addendum!C:C,A2137,Addendum!D:D,IF(ISNUMBER(B2137),TEXT(B2137,"0000"),B2137),Addendum!F:F,"X")&gt;0,2.5%,0)</f>
        <v>0</v>
      </c>
      <c r="K2137" s="31">
        <f>IF(COUNTIFS(Addendum!C:C,A2137,Addendum!D:D,IF(ISNUMBER(B2137),TEXT(B2137,"0000"),B2137),Addendum!G:G,"X")&gt;0,7%,0)</f>
        <v>0</v>
      </c>
      <c r="L2137" s="31">
        <f>IF(COUNTIFS(Addendum!C:C,A2137,Addendum!D:D,IF(ISNUMBER(B2137),TEXT(B2137,"0000"),B2137),Addendum!I:I,"X")&gt;0,10%,0)</f>
        <v>0</v>
      </c>
      <c r="M2137" s="34">
        <f t="shared" si="66"/>
        <v>0.01</v>
      </c>
      <c r="N2137" s="17">
        <f t="shared" si="67"/>
        <v>106.7022</v>
      </c>
    </row>
    <row r="2138" spans="1:14" x14ac:dyDescent="0.25">
      <c r="A2138" s="14" t="s">
        <v>749</v>
      </c>
      <c r="B2138" s="14" t="s">
        <v>20</v>
      </c>
      <c r="C2138" s="15" t="s">
        <v>2410</v>
      </c>
      <c r="D2138" s="14" t="s">
        <v>1745</v>
      </c>
      <c r="E2138" s="14" t="s">
        <v>1746</v>
      </c>
      <c r="F2138" s="17" t="s">
        <v>2995</v>
      </c>
      <c r="G2138" s="14">
        <v>2079</v>
      </c>
      <c r="H2138" s="14">
        <v>1871.16</v>
      </c>
      <c r="I2138" s="31">
        <f>IF(COUNTIFS(Addendum!C:C,A2138,Addendum!D:D,IF(ISNUMBER(B2138),TEXT(B2138,"0000"),B2138),Addendum!E:E,"X")&gt;0,4%,0)</f>
        <v>0.04</v>
      </c>
      <c r="J2138" s="31">
        <f>IF(COUNTIFS(Addendum!C:C,A2138,Addendum!D:D,IF(ISNUMBER(B2138),TEXT(B2138,"0000"),B2138),Addendum!F:F,"X")&gt;0,2.5%,0)</f>
        <v>0</v>
      </c>
      <c r="K2138" s="31">
        <f>IF(COUNTIFS(Addendum!C:C,A2138,Addendum!D:D,IF(ISNUMBER(B2138),TEXT(B2138,"0000"),B2138),Addendum!G:G,"X")&gt;0,7%,0)</f>
        <v>0</v>
      </c>
      <c r="L2138" s="31">
        <f>IF(COUNTIFS(Addendum!C:C,A2138,Addendum!D:D,IF(ISNUMBER(B2138),TEXT(B2138,"0000"),B2138),Addendum!I:I,"X")&gt;0,10%,0)</f>
        <v>0</v>
      </c>
      <c r="M2138" s="34">
        <f t="shared" si="66"/>
        <v>0.01</v>
      </c>
      <c r="N2138" s="17">
        <f t="shared" si="67"/>
        <v>1852.4484</v>
      </c>
    </row>
    <row r="2139" spans="1:14" x14ac:dyDescent="0.25">
      <c r="A2139" s="14" t="s">
        <v>749</v>
      </c>
      <c r="B2139" s="14" t="s">
        <v>20</v>
      </c>
      <c r="C2139" s="15" t="s">
        <v>2410</v>
      </c>
      <c r="D2139" s="14" t="s">
        <v>1749</v>
      </c>
      <c r="E2139" s="14" t="s">
        <v>1746</v>
      </c>
      <c r="F2139" s="17" t="s">
        <v>2995</v>
      </c>
      <c r="G2139" s="14">
        <v>198</v>
      </c>
      <c r="H2139" s="14">
        <v>178.2</v>
      </c>
      <c r="I2139" s="31">
        <f>IF(COUNTIFS(Addendum!C:C,A2139,Addendum!D:D,IF(ISNUMBER(B2139),TEXT(B2139,"0000"),B2139),Addendum!E:E,"X")&gt;0,4%,0)</f>
        <v>0.04</v>
      </c>
      <c r="J2139" s="31">
        <f>IF(COUNTIFS(Addendum!C:C,A2139,Addendum!D:D,IF(ISNUMBER(B2139),TEXT(B2139,"0000"),B2139),Addendum!F:F,"X")&gt;0,2.5%,0)</f>
        <v>0</v>
      </c>
      <c r="K2139" s="31">
        <f>IF(COUNTIFS(Addendum!C:C,A2139,Addendum!D:D,IF(ISNUMBER(B2139),TEXT(B2139,"0000"),B2139),Addendum!G:G,"X")&gt;0,7%,0)</f>
        <v>0</v>
      </c>
      <c r="L2139" s="31">
        <f>IF(COUNTIFS(Addendum!C:C,A2139,Addendum!D:D,IF(ISNUMBER(B2139),TEXT(B2139,"0000"),B2139),Addendum!I:I,"X")&gt;0,10%,0)</f>
        <v>0</v>
      </c>
      <c r="M2139" s="34">
        <f t="shared" si="66"/>
        <v>0.01</v>
      </c>
      <c r="N2139" s="17">
        <f t="shared" si="67"/>
        <v>176.41799999999998</v>
      </c>
    </row>
    <row r="2140" spans="1:14" x14ac:dyDescent="0.25">
      <c r="A2140" s="14" t="s">
        <v>749</v>
      </c>
      <c r="B2140" s="14" t="s">
        <v>24</v>
      </c>
      <c r="C2140" s="15" t="s">
        <v>2409</v>
      </c>
      <c r="D2140" s="14" t="s">
        <v>1745</v>
      </c>
      <c r="E2140" s="14" t="s">
        <v>1746</v>
      </c>
      <c r="F2140" s="17" t="s">
        <v>2995</v>
      </c>
      <c r="G2140" s="14">
        <v>2961</v>
      </c>
      <c r="H2140" s="14">
        <v>2664.96</v>
      </c>
      <c r="I2140" s="31">
        <f>IF(COUNTIFS(Addendum!C:C,A2140,Addendum!D:D,IF(ISNUMBER(B2140),TEXT(B2140,"0000"),B2140),Addendum!E:E,"X")&gt;0,4%,0)</f>
        <v>0.04</v>
      </c>
      <c r="J2140" s="31">
        <f>IF(COUNTIFS(Addendum!C:C,A2140,Addendum!D:D,IF(ISNUMBER(B2140),TEXT(B2140,"0000"),B2140),Addendum!F:F,"X")&gt;0,2.5%,0)</f>
        <v>0</v>
      </c>
      <c r="K2140" s="31">
        <f>IF(COUNTIFS(Addendum!C:C,A2140,Addendum!D:D,IF(ISNUMBER(B2140),TEXT(B2140,"0000"),B2140),Addendum!G:G,"X")&gt;0,7%,0)</f>
        <v>0</v>
      </c>
      <c r="L2140" s="31">
        <f>IF(COUNTIFS(Addendum!C:C,A2140,Addendum!D:D,IF(ISNUMBER(B2140),TEXT(B2140,"0000"),B2140),Addendum!I:I,"X")&gt;0,10%,0)</f>
        <v>0</v>
      </c>
      <c r="M2140" s="34">
        <f t="shared" si="66"/>
        <v>0.01</v>
      </c>
      <c r="N2140" s="17">
        <f t="shared" si="67"/>
        <v>2638.3103999999998</v>
      </c>
    </row>
    <row r="2141" spans="1:14" x14ac:dyDescent="0.25">
      <c r="A2141" s="14" t="s">
        <v>749</v>
      </c>
      <c r="B2141" s="14">
        <v>7</v>
      </c>
      <c r="C2141" s="15" t="s">
        <v>753</v>
      </c>
      <c r="D2141" s="14" t="s">
        <v>1749</v>
      </c>
      <c r="E2141" s="14" t="s">
        <v>1746</v>
      </c>
      <c r="F2141" s="17" t="s">
        <v>2993</v>
      </c>
      <c r="G2141" s="14">
        <v>300</v>
      </c>
      <c r="H2141" s="14">
        <v>240</v>
      </c>
      <c r="I2141" s="31">
        <f>IF(COUNTIFS(Addendum!C:C,A2141,Addendum!D:D,IF(ISNUMBER(B2141),TEXT(B2141,"0000"),B2141),Addendum!E:E,"X")&gt;0,4%,0)</f>
        <v>0.04</v>
      </c>
      <c r="J2141" s="31">
        <f>IF(COUNTIFS(Addendum!C:C,A2141,Addendum!D:D,IF(ISNUMBER(B2141),TEXT(B2141,"0000"),B2141),Addendum!F:F,"X")&gt;0,2.5%,0)</f>
        <v>0</v>
      </c>
      <c r="K2141" s="31">
        <f>IF(COUNTIFS(Addendum!C:C,A2141,Addendum!D:D,IF(ISNUMBER(B2141),TEXT(B2141,"0000"),B2141),Addendum!G:G,"X")&gt;0,7%,0)</f>
        <v>0</v>
      </c>
      <c r="L2141" s="31">
        <f>IF(COUNTIFS(Addendum!C:C,A2141,Addendum!D:D,IF(ISNUMBER(B2141),TEXT(B2141,"0000"),B2141),Addendum!I:I,"X")&gt;0,10%,0)</f>
        <v>0</v>
      </c>
      <c r="M2141" s="34">
        <f t="shared" si="66"/>
        <v>0.01</v>
      </c>
      <c r="N2141" s="17">
        <f t="shared" si="67"/>
        <v>237.6</v>
      </c>
    </row>
    <row r="2142" spans="1:14" x14ac:dyDescent="0.25">
      <c r="A2142" s="14" t="s">
        <v>749</v>
      </c>
      <c r="B2142" s="14" t="s">
        <v>24</v>
      </c>
      <c r="C2142" s="15" t="s">
        <v>2409</v>
      </c>
      <c r="D2142" s="14" t="s">
        <v>1745</v>
      </c>
      <c r="E2142" s="14" t="s">
        <v>1747</v>
      </c>
      <c r="F2142" s="17" t="s">
        <v>2995</v>
      </c>
      <c r="G2142" s="14">
        <v>2820</v>
      </c>
      <c r="H2142" s="14">
        <v>2538</v>
      </c>
      <c r="I2142" s="31">
        <f>IF(COUNTIFS(Addendum!C:C,A2142,Addendum!D:D,IF(ISNUMBER(B2142),TEXT(B2142,"0000"),B2142),Addendum!E:E,"X")&gt;0,4%,0)</f>
        <v>0.04</v>
      </c>
      <c r="J2142" s="31">
        <f>IF(COUNTIFS(Addendum!C:C,A2142,Addendum!D:D,IF(ISNUMBER(B2142),TEXT(B2142,"0000"),B2142),Addendum!F:F,"X")&gt;0,2.5%,0)</f>
        <v>0</v>
      </c>
      <c r="K2142" s="31">
        <f>IF(COUNTIFS(Addendum!C:C,A2142,Addendum!D:D,IF(ISNUMBER(B2142),TEXT(B2142,"0000"),B2142),Addendum!G:G,"X")&gt;0,7%,0)</f>
        <v>0</v>
      </c>
      <c r="L2142" s="31">
        <f>IF(COUNTIFS(Addendum!C:C,A2142,Addendum!D:D,IF(ISNUMBER(B2142),TEXT(B2142,"0000"),B2142),Addendum!I:I,"X")&gt;0,10%,0)</f>
        <v>0</v>
      </c>
      <c r="M2142" s="34">
        <f t="shared" si="66"/>
        <v>0.03</v>
      </c>
      <c r="N2142" s="17">
        <f t="shared" si="67"/>
        <v>2461.86</v>
      </c>
    </row>
    <row r="2143" spans="1:14" x14ac:dyDescent="0.25">
      <c r="A2143" s="14" t="s">
        <v>749</v>
      </c>
      <c r="B2143" s="14" t="s">
        <v>20</v>
      </c>
      <c r="C2143" s="15" t="s">
        <v>2410</v>
      </c>
      <c r="D2143" s="14" t="s">
        <v>1745</v>
      </c>
      <c r="E2143" s="14" t="s">
        <v>1747</v>
      </c>
      <c r="F2143" s="17" t="s">
        <v>2995</v>
      </c>
      <c r="G2143" s="14">
        <v>1980</v>
      </c>
      <c r="H2143" s="14">
        <v>1782</v>
      </c>
      <c r="I2143" s="31">
        <f>IF(COUNTIFS(Addendum!C:C,A2143,Addendum!D:D,IF(ISNUMBER(B2143),TEXT(B2143,"0000"),B2143),Addendum!E:E,"X")&gt;0,4%,0)</f>
        <v>0.04</v>
      </c>
      <c r="J2143" s="31">
        <f>IF(COUNTIFS(Addendum!C:C,A2143,Addendum!D:D,IF(ISNUMBER(B2143),TEXT(B2143,"0000"),B2143),Addendum!F:F,"X")&gt;0,2.5%,0)</f>
        <v>0</v>
      </c>
      <c r="K2143" s="31">
        <f>IF(COUNTIFS(Addendum!C:C,A2143,Addendum!D:D,IF(ISNUMBER(B2143),TEXT(B2143,"0000"),B2143),Addendum!G:G,"X")&gt;0,7%,0)</f>
        <v>0</v>
      </c>
      <c r="L2143" s="31">
        <f>IF(COUNTIFS(Addendum!C:C,A2143,Addendum!D:D,IF(ISNUMBER(B2143),TEXT(B2143,"0000"),B2143),Addendum!I:I,"X")&gt;0,10%,0)</f>
        <v>0</v>
      </c>
      <c r="M2143" s="34">
        <f t="shared" si="66"/>
        <v>0.03</v>
      </c>
      <c r="N2143" s="17">
        <f t="shared" si="67"/>
        <v>1728.54</v>
      </c>
    </row>
    <row r="2144" spans="1:14" x14ac:dyDescent="0.25">
      <c r="A2144" s="14" t="s">
        <v>749</v>
      </c>
      <c r="B2144" s="14">
        <v>9</v>
      </c>
      <c r="C2144" s="15" t="s">
        <v>751</v>
      </c>
      <c r="D2144" s="14" t="s">
        <v>1745</v>
      </c>
      <c r="E2144" s="14" t="s">
        <v>1747</v>
      </c>
      <c r="F2144" s="17" t="s">
        <v>2993</v>
      </c>
      <c r="G2144" s="14">
        <v>4980</v>
      </c>
      <c r="H2144" s="14">
        <v>3984</v>
      </c>
      <c r="I2144" s="31">
        <f>IF(COUNTIFS(Addendum!C:C,A2144,Addendum!D:D,IF(ISNUMBER(B2144),TEXT(B2144,"0000"),B2144),Addendum!E:E,"X")&gt;0,4%,0)</f>
        <v>0.04</v>
      </c>
      <c r="J2144" s="31">
        <f>IF(COUNTIFS(Addendum!C:C,A2144,Addendum!D:D,IF(ISNUMBER(B2144),TEXT(B2144,"0000"),B2144),Addendum!F:F,"X")&gt;0,2.5%,0)</f>
        <v>0</v>
      </c>
      <c r="K2144" s="31">
        <f>IF(COUNTIFS(Addendum!C:C,A2144,Addendum!D:D,IF(ISNUMBER(B2144),TEXT(B2144,"0000"),B2144),Addendum!G:G,"X")&gt;0,7%,0)</f>
        <v>0</v>
      </c>
      <c r="L2144" s="31">
        <f>IF(COUNTIFS(Addendum!C:C,A2144,Addendum!D:D,IF(ISNUMBER(B2144),TEXT(B2144,"0000"),B2144),Addendum!I:I,"X")&gt;0,10%,0)</f>
        <v>0</v>
      </c>
      <c r="M2144" s="34">
        <f t="shared" si="66"/>
        <v>0.03</v>
      </c>
      <c r="N2144" s="17">
        <f t="shared" si="67"/>
        <v>3864.48</v>
      </c>
    </row>
    <row r="2145" spans="1:14" x14ac:dyDescent="0.25">
      <c r="A2145" s="14" t="s">
        <v>749</v>
      </c>
      <c r="B2145" s="14">
        <v>8</v>
      </c>
      <c r="C2145" s="15" t="s">
        <v>748</v>
      </c>
      <c r="D2145" s="14" t="s">
        <v>1745</v>
      </c>
      <c r="E2145" s="14" t="s">
        <v>1747</v>
      </c>
      <c r="F2145" s="17" t="s">
        <v>2993</v>
      </c>
      <c r="G2145" s="14">
        <v>6960</v>
      </c>
      <c r="H2145" s="14">
        <v>5568</v>
      </c>
      <c r="I2145" s="31">
        <f>IF(COUNTIFS(Addendum!C:C,A2145,Addendum!D:D,IF(ISNUMBER(B2145),TEXT(B2145,"0000"),B2145),Addendum!E:E,"X")&gt;0,4%,0)</f>
        <v>0.04</v>
      </c>
      <c r="J2145" s="31">
        <f>IF(COUNTIFS(Addendum!C:C,A2145,Addendum!D:D,IF(ISNUMBER(B2145),TEXT(B2145,"0000"),B2145),Addendum!F:F,"X")&gt;0,2.5%,0)</f>
        <v>0</v>
      </c>
      <c r="K2145" s="31">
        <f>IF(COUNTIFS(Addendum!C:C,A2145,Addendum!D:D,IF(ISNUMBER(B2145),TEXT(B2145,"0000"),B2145),Addendum!G:G,"X")&gt;0,7%,0)</f>
        <v>0</v>
      </c>
      <c r="L2145" s="31">
        <f>IF(COUNTIFS(Addendum!C:C,A2145,Addendum!D:D,IF(ISNUMBER(B2145),TEXT(B2145,"0000"),B2145),Addendum!I:I,"X")&gt;0,10%,0)</f>
        <v>0</v>
      </c>
      <c r="M2145" s="34">
        <f t="shared" si="66"/>
        <v>0.03</v>
      </c>
      <c r="N2145" s="17">
        <f t="shared" si="67"/>
        <v>5400.96</v>
      </c>
    </row>
    <row r="2146" spans="1:14" x14ac:dyDescent="0.25">
      <c r="A2146" s="14" t="s">
        <v>749</v>
      </c>
      <c r="B2146" s="14">
        <v>9</v>
      </c>
      <c r="C2146" s="15" t="s">
        <v>751</v>
      </c>
      <c r="D2146" s="14" t="s">
        <v>1749</v>
      </c>
      <c r="E2146" s="14" t="s">
        <v>1746</v>
      </c>
      <c r="F2146" s="17" t="s">
        <v>2993</v>
      </c>
      <c r="G2146" s="14">
        <v>498</v>
      </c>
      <c r="H2146" s="14">
        <v>398.4</v>
      </c>
      <c r="I2146" s="31">
        <f>IF(COUNTIFS(Addendum!C:C,A2146,Addendum!D:D,IF(ISNUMBER(B2146),TEXT(B2146,"0000"),B2146),Addendum!E:E,"X")&gt;0,4%,0)</f>
        <v>0.04</v>
      </c>
      <c r="J2146" s="31">
        <f>IF(COUNTIFS(Addendum!C:C,A2146,Addendum!D:D,IF(ISNUMBER(B2146),TEXT(B2146,"0000"),B2146),Addendum!F:F,"X")&gt;0,2.5%,0)</f>
        <v>0</v>
      </c>
      <c r="K2146" s="31">
        <f>IF(COUNTIFS(Addendum!C:C,A2146,Addendum!D:D,IF(ISNUMBER(B2146),TEXT(B2146,"0000"),B2146),Addendum!G:G,"X")&gt;0,7%,0)</f>
        <v>0</v>
      </c>
      <c r="L2146" s="31">
        <f>IF(COUNTIFS(Addendum!C:C,A2146,Addendum!D:D,IF(ISNUMBER(B2146),TEXT(B2146,"0000"),B2146),Addendum!I:I,"X")&gt;0,10%,0)</f>
        <v>0</v>
      </c>
      <c r="M2146" s="34">
        <f t="shared" si="66"/>
        <v>0.01</v>
      </c>
      <c r="N2146" s="17">
        <f t="shared" si="67"/>
        <v>394.416</v>
      </c>
    </row>
    <row r="2147" spans="1:14" x14ac:dyDescent="0.25">
      <c r="A2147" s="14" t="s">
        <v>2411</v>
      </c>
      <c r="B2147" s="14">
        <v>1</v>
      </c>
      <c r="C2147" s="15" t="s">
        <v>2412</v>
      </c>
      <c r="D2147" s="14" t="s">
        <v>1745</v>
      </c>
      <c r="E2147" s="14" t="s">
        <v>1747</v>
      </c>
      <c r="F2147" s="17" t="s">
        <v>2993</v>
      </c>
      <c r="G2147" s="14">
        <v>1320</v>
      </c>
      <c r="H2147" s="14">
        <v>1056</v>
      </c>
      <c r="I2147" s="31">
        <f>IF(COUNTIFS(Addendum!C:C,A2147,Addendum!D:D,IF(ISNUMBER(B2147),TEXT(B2147,"0000"),B2147),Addendum!E:E,"X")&gt;0,4%,0)</f>
        <v>0</v>
      </c>
      <c r="J2147" s="31">
        <f>IF(COUNTIFS(Addendum!C:C,A2147,Addendum!D:D,IF(ISNUMBER(B2147),TEXT(B2147,"0000"),B2147),Addendum!F:F,"X")&gt;0,2.5%,0)</f>
        <v>0</v>
      </c>
      <c r="K2147" s="31">
        <f>IF(COUNTIFS(Addendum!C:C,A2147,Addendum!D:D,IF(ISNUMBER(B2147),TEXT(B2147,"0000"),B2147),Addendum!G:G,"X")&gt;0,7%,0)</f>
        <v>0</v>
      </c>
      <c r="L2147" s="31">
        <f>IF(COUNTIFS(Addendum!C:C,A2147,Addendum!D:D,IF(ISNUMBER(B2147),TEXT(B2147,"0000"),B2147),Addendum!I:I,"X")&gt;0,10%,0)</f>
        <v>0</v>
      </c>
      <c r="M2147" s="34">
        <f t="shared" si="66"/>
        <v>0</v>
      </c>
      <c r="N2147" s="17">
        <f t="shared" si="67"/>
        <v>1056</v>
      </c>
    </row>
    <row r="2148" spans="1:14" x14ac:dyDescent="0.25">
      <c r="A2148" s="14" t="s">
        <v>2411</v>
      </c>
      <c r="B2148" s="14">
        <v>5</v>
      </c>
      <c r="C2148" s="15" t="s">
        <v>2413</v>
      </c>
      <c r="D2148" s="14" t="s">
        <v>1749</v>
      </c>
      <c r="E2148" s="14" t="s">
        <v>1746</v>
      </c>
      <c r="F2148" s="17" t="s">
        <v>2993</v>
      </c>
      <c r="G2148" s="14">
        <v>198</v>
      </c>
      <c r="H2148" s="14">
        <v>158.4</v>
      </c>
      <c r="I2148" s="31">
        <f>IF(COUNTIFS(Addendum!C:C,A2148,Addendum!D:D,IF(ISNUMBER(B2148),TEXT(B2148,"0000"),B2148),Addendum!E:E,"X")&gt;0,4%,0)</f>
        <v>0</v>
      </c>
      <c r="J2148" s="31">
        <f>IF(COUNTIFS(Addendum!C:C,A2148,Addendum!D:D,IF(ISNUMBER(B2148),TEXT(B2148,"0000"),B2148),Addendum!F:F,"X")&gt;0,2.5%,0)</f>
        <v>0</v>
      </c>
      <c r="K2148" s="31">
        <f>IF(COUNTIFS(Addendum!C:C,A2148,Addendum!D:D,IF(ISNUMBER(B2148),TEXT(B2148,"0000"),B2148),Addendum!G:G,"X")&gt;0,7%,0)</f>
        <v>0</v>
      </c>
      <c r="L2148" s="31">
        <f>IF(COUNTIFS(Addendum!C:C,A2148,Addendum!D:D,IF(ISNUMBER(B2148),TEXT(B2148,"0000"),B2148),Addendum!I:I,"X")&gt;0,10%,0)</f>
        <v>0</v>
      </c>
      <c r="M2148" s="34">
        <f t="shared" si="66"/>
        <v>0</v>
      </c>
      <c r="N2148" s="17">
        <f t="shared" si="67"/>
        <v>158.4</v>
      </c>
    </row>
    <row r="2149" spans="1:14" x14ac:dyDescent="0.25">
      <c r="A2149" s="14" t="s">
        <v>2411</v>
      </c>
      <c r="B2149" s="14" t="s">
        <v>20</v>
      </c>
      <c r="C2149" s="15" t="s">
        <v>2414</v>
      </c>
      <c r="D2149" s="14" t="s">
        <v>1745</v>
      </c>
      <c r="E2149" s="14" t="s">
        <v>1746</v>
      </c>
      <c r="F2149" s="17" t="s">
        <v>2995</v>
      </c>
      <c r="G2149" s="14">
        <v>838.68</v>
      </c>
      <c r="H2149" s="14">
        <v>754.8</v>
      </c>
      <c r="I2149" s="31">
        <f>IF(COUNTIFS(Addendum!C:C,A2149,Addendum!D:D,IF(ISNUMBER(B2149),TEXT(B2149,"0000"),B2149),Addendum!E:E,"X")&gt;0,4%,0)</f>
        <v>0</v>
      </c>
      <c r="J2149" s="31">
        <f>IF(COUNTIFS(Addendum!C:C,A2149,Addendum!D:D,IF(ISNUMBER(B2149),TEXT(B2149,"0000"),B2149),Addendum!F:F,"X")&gt;0,2.5%,0)</f>
        <v>0</v>
      </c>
      <c r="K2149" s="31">
        <f>IF(COUNTIFS(Addendum!C:C,A2149,Addendum!D:D,IF(ISNUMBER(B2149),TEXT(B2149,"0000"),B2149),Addendum!G:G,"X")&gt;0,7%,0)</f>
        <v>0</v>
      </c>
      <c r="L2149" s="31">
        <f>IF(COUNTIFS(Addendum!C:C,A2149,Addendum!D:D,IF(ISNUMBER(B2149),TEXT(B2149,"0000"),B2149),Addendum!I:I,"X")&gt;0,10%,0)</f>
        <v>0</v>
      </c>
      <c r="M2149" s="34">
        <f t="shared" si="66"/>
        <v>0</v>
      </c>
      <c r="N2149" s="17">
        <f t="shared" si="67"/>
        <v>754.8</v>
      </c>
    </row>
    <row r="2150" spans="1:14" x14ac:dyDescent="0.25">
      <c r="A2150" s="14" t="s">
        <v>2411</v>
      </c>
      <c r="B2150" s="14">
        <v>1</v>
      </c>
      <c r="C2150" s="15" t="s">
        <v>2412</v>
      </c>
      <c r="D2150" s="14" t="s">
        <v>1749</v>
      </c>
      <c r="E2150" s="14" t="s">
        <v>1746</v>
      </c>
      <c r="F2150" s="17" t="s">
        <v>2993</v>
      </c>
      <c r="G2150" s="14">
        <v>132</v>
      </c>
      <c r="H2150" s="14">
        <v>105.6</v>
      </c>
      <c r="I2150" s="31">
        <f>IF(COUNTIFS(Addendum!C:C,A2150,Addendum!D:D,IF(ISNUMBER(B2150),TEXT(B2150,"0000"),B2150),Addendum!E:E,"X")&gt;0,4%,0)</f>
        <v>0</v>
      </c>
      <c r="J2150" s="31">
        <f>IF(COUNTIFS(Addendum!C:C,A2150,Addendum!D:D,IF(ISNUMBER(B2150),TEXT(B2150,"0000"),B2150),Addendum!F:F,"X")&gt;0,2.5%,0)</f>
        <v>0</v>
      </c>
      <c r="K2150" s="31">
        <f>IF(COUNTIFS(Addendum!C:C,A2150,Addendum!D:D,IF(ISNUMBER(B2150),TEXT(B2150,"0000"),B2150),Addendum!G:G,"X")&gt;0,7%,0)</f>
        <v>0</v>
      </c>
      <c r="L2150" s="31">
        <f>IF(COUNTIFS(Addendum!C:C,A2150,Addendum!D:D,IF(ISNUMBER(B2150),TEXT(B2150,"0000"),B2150),Addendum!I:I,"X")&gt;0,10%,0)</f>
        <v>0</v>
      </c>
      <c r="M2150" s="34">
        <f t="shared" si="66"/>
        <v>0</v>
      </c>
      <c r="N2150" s="17">
        <f t="shared" si="67"/>
        <v>105.6</v>
      </c>
    </row>
    <row r="2151" spans="1:14" x14ac:dyDescent="0.25">
      <c r="A2151" s="14" t="s">
        <v>2411</v>
      </c>
      <c r="B2151" s="14" t="s">
        <v>20</v>
      </c>
      <c r="C2151" s="15" t="s">
        <v>2414</v>
      </c>
      <c r="D2151" s="14" t="s">
        <v>1745</v>
      </c>
      <c r="E2151" s="14" t="s">
        <v>1747</v>
      </c>
      <c r="F2151" s="17" t="s">
        <v>2995</v>
      </c>
      <c r="G2151" s="14">
        <v>798.72</v>
      </c>
      <c r="H2151" s="14">
        <v>718.85</v>
      </c>
      <c r="I2151" s="31">
        <f>IF(COUNTIFS(Addendum!C:C,A2151,Addendum!D:D,IF(ISNUMBER(B2151),TEXT(B2151,"0000"),B2151),Addendum!E:E,"X")&gt;0,4%,0)</f>
        <v>0</v>
      </c>
      <c r="J2151" s="31">
        <f>IF(COUNTIFS(Addendum!C:C,A2151,Addendum!D:D,IF(ISNUMBER(B2151),TEXT(B2151,"0000"),B2151),Addendum!F:F,"X")&gt;0,2.5%,0)</f>
        <v>0</v>
      </c>
      <c r="K2151" s="31">
        <f>IF(COUNTIFS(Addendum!C:C,A2151,Addendum!D:D,IF(ISNUMBER(B2151),TEXT(B2151,"0000"),B2151),Addendum!G:G,"X")&gt;0,7%,0)</f>
        <v>0</v>
      </c>
      <c r="L2151" s="31">
        <f>IF(COUNTIFS(Addendum!C:C,A2151,Addendum!D:D,IF(ISNUMBER(B2151),TEXT(B2151,"0000"),B2151),Addendum!I:I,"X")&gt;0,10%,0)</f>
        <v>0</v>
      </c>
      <c r="M2151" s="34">
        <f t="shared" si="66"/>
        <v>0</v>
      </c>
      <c r="N2151" s="17">
        <f t="shared" si="67"/>
        <v>718.85</v>
      </c>
    </row>
    <row r="2152" spans="1:14" x14ac:dyDescent="0.25">
      <c r="A2152" s="14" t="s">
        <v>2411</v>
      </c>
      <c r="B2152" s="14">
        <v>5</v>
      </c>
      <c r="C2152" s="15" t="s">
        <v>2413</v>
      </c>
      <c r="D2152" s="14" t="s">
        <v>1745</v>
      </c>
      <c r="E2152" s="14" t="s">
        <v>1746</v>
      </c>
      <c r="F2152" s="17" t="s">
        <v>2993</v>
      </c>
      <c r="G2152" s="14">
        <v>2079</v>
      </c>
      <c r="H2152" s="14">
        <v>1663.2</v>
      </c>
      <c r="I2152" s="31">
        <f>IF(COUNTIFS(Addendum!C:C,A2152,Addendum!D:D,IF(ISNUMBER(B2152),TEXT(B2152,"0000"),B2152),Addendum!E:E,"X")&gt;0,4%,0)</f>
        <v>0</v>
      </c>
      <c r="J2152" s="31">
        <f>IF(COUNTIFS(Addendum!C:C,A2152,Addendum!D:D,IF(ISNUMBER(B2152),TEXT(B2152,"0000"),B2152),Addendum!F:F,"X")&gt;0,2.5%,0)</f>
        <v>0</v>
      </c>
      <c r="K2152" s="31">
        <f>IF(COUNTIFS(Addendum!C:C,A2152,Addendum!D:D,IF(ISNUMBER(B2152),TEXT(B2152,"0000"),B2152),Addendum!G:G,"X")&gt;0,7%,0)</f>
        <v>0</v>
      </c>
      <c r="L2152" s="31">
        <f>IF(COUNTIFS(Addendum!C:C,A2152,Addendum!D:D,IF(ISNUMBER(B2152),TEXT(B2152,"0000"),B2152),Addendum!I:I,"X")&gt;0,10%,0)</f>
        <v>0</v>
      </c>
      <c r="M2152" s="34">
        <f t="shared" si="66"/>
        <v>0</v>
      </c>
      <c r="N2152" s="17">
        <f t="shared" si="67"/>
        <v>1663.2</v>
      </c>
    </row>
    <row r="2153" spans="1:14" x14ac:dyDescent="0.25">
      <c r="A2153" s="14" t="s">
        <v>2411</v>
      </c>
      <c r="B2153" s="14">
        <v>1</v>
      </c>
      <c r="C2153" s="15" t="s">
        <v>2412</v>
      </c>
      <c r="D2153" s="14" t="s">
        <v>1745</v>
      </c>
      <c r="E2153" s="14" t="s">
        <v>1746</v>
      </c>
      <c r="F2153" s="17" t="s">
        <v>2993</v>
      </c>
      <c r="G2153" s="14">
        <v>1386</v>
      </c>
      <c r="H2153" s="14">
        <v>1108.8</v>
      </c>
      <c r="I2153" s="31">
        <f>IF(COUNTIFS(Addendum!C:C,A2153,Addendum!D:D,IF(ISNUMBER(B2153),TEXT(B2153,"0000"),B2153),Addendum!E:E,"X")&gt;0,4%,0)</f>
        <v>0</v>
      </c>
      <c r="J2153" s="31">
        <f>IF(COUNTIFS(Addendum!C:C,A2153,Addendum!D:D,IF(ISNUMBER(B2153),TEXT(B2153,"0000"),B2153),Addendum!F:F,"X")&gt;0,2.5%,0)</f>
        <v>0</v>
      </c>
      <c r="K2153" s="31">
        <f>IF(COUNTIFS(Addendum!C:C,A2153,Addendum!D:D,IF(ISNUMBER(B2153),TEXT(B2153,"0000"),B2153),Addendum!G:G,"X")&gt;0,7%,0)</f>
        <v>0</v>
      </c>
      <c r="L2153" s="31">
        <f>IF(COUNTIFS(Addendum!C:C,A2153,Addendum!D:D,IF(ISNUMBER(B2153),TEXT(B2153,"0000"),B2153),Addendum!I:I,"X")&gt;0,10%,0)</f>
        <v>0</v>
      </c>
      <c r="M2153" s="34">
        <f t="shared" si="66"/>
        <v>0</v>
      </c>
      <c r="N2153" s="17">
        <f t="shared" si="67"/>
        <v>1108.8</v>
      </c>
    </row>
    <row r="2154" spans="1:14" x14ac:dyDescent="0.25">
      <c r="A2154" s="14" t="s">
        <v>2411</v>
      </c>
      <c r="B2154" s="14">
        <v>9</v>
      </c>
      <c r="C2154" s="15" t="s">
        <v>2415</v>
      </c>
      <c r="D2154" s="14" t="s">
        <v>1745</v>
      </c>
      <c r="E2154" s="14" t="s">
        <v>1747</v>
      </c>
      <c r="F2154" s="17" t="s">
        <v>2994</v>
      </c>
      <c r="G2154" s="14">
        <v>299.52</v>
      </c>
      <c r="H2154" s="14">
        <v>239.62</v>
      </c>
      <c r="I2154" s="31">
        <f>IF(COUNTIFS(Addendum!C:C,A2154,Addendum!D:D,IF(ISNUMBER(B2154),TEXT(B2154,"0000"),B2154),Addendum!E:E,"X")&gt;0,4%,0)</f>
        <v>0</v>
      </c>
      <c r="J2154" s="31">
        <f>IF(COUNTIFS(Addendum!C:C,A2154,Addendum!D:D,IF(ISNUMBER(B2154),TEXT(B2154,"0000"),B2154),Addendum!F:F,"X")&gt;0,2.5%,0)</f>
        <v>0</v>
      </c>
      <c r="K2154" s="31">
        <f>IF(COUNTIFS(Addendum!C:C,A2154,Addendum!D:D,IF(ISNUMBER(B2154),TEXT(B2154,"0000"),B2154),Addendum!G:G,"X")&gt;0,7%,0)</f>
        <v>0</v>
      </c>
      <c r="L2154" s="31">
        <f>IF(COUNTIFS(Addendum!C:C,A2154,Addendum!D:D,IF(ISNUMBER(B2154),TEXT(B2154,"0000"),B2154),Addendum!I:I,"X")&gt;0,10%,0)</f>
        <v>0</v>
      </c>
      <c r="M2154" s="34">
        <f t="shared" si="66"/>
        <v>0</v>
      </c>
      <c r="N2154" s="17">
        <f t="shared" si="67"/>
        <v>239.62</v>
      </c>
    </row>
    <row r="2155" spans="1:14" x14ac:dyDescent="0.25">
      <c r="A2155" s="14" t="s">
        <v>2411</v>
      </c>
      <c r="B2155" s="14" t="s">
        <v>20</v>
      </c>
      <c r="C2155" s="15" t="s">
        <v>2414</v>
      </c>
      <c r="D2155" s="14" t="s">
        <v>1749</v>
      </c>
      <c r="E2155" s="14" t="s">
        <v>1746</v>
      </c>
      <c r="F2155" s="17" t="s">
        <v>2995</v>
      </c>
      <c r="G2155" s="14">
        <v>79.87</v>
      </c>
      <c r="H2155" s="14">
        <v>71.88</v>
      </c>
      <c r="I2155" s="31">
        <f>IF(COUNTIFS(Addendum!C:C,A2155,Addendum!D:D,IF(ISNUMBER(B2155),TEXT(B2155,"0000"),B2155),Addendum!E:E,"X")&gt;0,4%,0)</f>
        <v>0</v>
      </c>
      <c r="J2155" s="31">
        <f>IF(COUNTIFS(Addendum!C:C,A2155,Addendum!D:D,IF(ISNUMBER(B2155),TEXT(B2155,"0000"),B2155),Addendum!F:F,"X")&gt;0,2.5%,0)</f>
        <v>0</v>
      </c>
      <c r="K2155" s="31">
        <f>IF(COUNTIFS(Addendum!C:C,A2155,Addendum!D:D,IF(ISNUMBER(B2155),TEXT(B2155,"0000"),B2155),Addendum!G:G,"X")&gt;0,7%,0)</f>
        <v>0</v>
      </c>
      <c r="L2155" s="31">
        <f>IF(COUNTIFS(Addendum!C:C,A2155,Addendum!D:D,IF(ISNUMBER(B2155),TEXT(B2155,"0000"),B2155),Addendum!I:I,"X")&gt;0,10%,0)</f>
        <v>0</v>
      </c>
      <c r="M2155" s="34">
        <f t="shared" si="66"/>
        <v>0</v>
      </c>
      <c r="N2155" s="17">
        <f t="shared" si="67"/>
        <v>71.88</v>
      </c>
    </row>
    <row r="2156" spans="1:14" x14ac:dyDescent="0.25">
      <c r="A2156" s="14" t="s">
        <v>2411</v>
      </c>
      <c r="B2156" s="14">
        <v>5</v>
      </c>
      <c r="C2156" s="15" t="s">
        <v>2413</v>
      </c>
      <c r="D2156" s="14" t="s">
        <v>1745</v>
      </c>
      <c r="E2156" s="14" t="s">
        <v>1747</v>
      </c>
      <c r="F2156" s="17" t="s">
        <v>2993</v>
      </c>
      <c r="G2156" s="14">
        <v>1980</v>
      </c>
      <c r="H2156" s="14">
        <v>1584</v>
      </c>
      <c r="I2156" s="31">
        <f>IF(COUNTIFS(Addendum!C:C,A2156,Addendum!D:D,IF(ISNUMBER(B2156),TEXT(B2156,"0000"),B2156),Addendum!E:E,"X")&gt;0,4%,0)</f>
        <v>0</v>
      </c>
      <c r="J2156" s="31">
        <f>IF(COUNTIFS(Addendum!C:C,A2156,Addendum!D:D,IF(ISNUMBER(B2156),TEXT(B2156,"0000"),B2156),Addendum!F:F,"X")&gt;0,2.5%,0)</f>
        <v>0</v>
      </c>
      <c r="K2156" s="31">
        <f>IF(COUNTIFS(Addendum!C:C,A2156,Addendum!D:D,IF(ISNUMBER(B2156),TEXT(B2156,"0000"),B2156),Addendum!G:G,"X")&gt;0,7%,0)</f>
        <v>0</v>
      </c>
      <c r="L2156" s="31">
        <f>IF(COUNTIFS(Addendum!C:C,A2156,Addendum!D:D,IF(ISNUMBER(B2156),TEXT(B2156,"0000"),B2156),Addendum!I:I,"X")&gt;0,10%,0)</f>
        <v>0</v>
      </c>
      <c r="M2156" s="34">
        <f t="shared" si="66"/>
        <v>0</v>
      </c>
      <c r="N2156" s="17">
        <f t="shared" si="67"/>
        <v>1584</v>
      </c>
    </row>
    <row r="2157" spans="1:14" x14ac:dyDescent="0.25">
      <c r="A2157" s="14" t="s">
        <v>2411</v>
      </c>
      <c r="B2157" s="14">
        <v>9</v>
      </c>
      <c r="C2157" s="15" t="s">
        <v>2415</v>
      </c>
      <c r="D2157" s="14" t="s">
        <v>1745</v>
      </c>
      <c r="E2157" s="14" t="s">
        <v>1746</v>
      </c>
      <c r="F2157" s="17" t="s">
        <v>2994</v>
      </c>
      <c r="G2157" s="14">
        <v>314.52</v>
      </c>
      <c r="H2157" s="14">
        <v>251.64</v>
      </c>
      <c r="I2157" s="31">
        <f>IF(COUNTIFS(Addendum!C:C,A2157,Addendum!D:D,IF(ISNUMBER(B2157),TEXT(B2157,"0000"),B2157),Addendum!E:E,"X")&gt;0,4%,0)</f>
        <v>0</v>
      </c>
      <c r="J2157" s="31">
        <f>IF(COUNTIFS(Addendum!C:C,A2157,Addendum!D:D,IF(ISNUMBER(B2157),TEXT(B2157,"0000"),B2157),Addendum!F:F,"X")&gt;0,2.5%,0)</f>
        <v>0</v>
      </c>
      <c r="K2157" s="31">
        <f>IF(COUNTIFS(Addendum!C:C,A2157,Addendum!D:D,IF(ISNUMBER(B2157),TEXT(B2157,"0000"),B2157),Addendum!G:G,"X")&gt;0,7%,0)</f>
        <v>0</v>
      </c>
      <c r="L2157" s="31">
        <f>IF(COUNTIFS(Addendum!C:C,A2157,Addendum!D:D,IF(ISNUMBER(B2157),TEXT(B2157,"0000"),B2157),Addendum!I:I,"X")&gt;0,10%,0)</f>
        <v>0</v>
      </c>
      <c r="M2157" s="34">
        <f t="shared" si="66"/>
        <v>0</v>
      </c>
      <c r="N2157" s="17">
        <f t="shared" si="67"/>
        <v>251.64</v>
      </c>
    </row>
    <row r="2158" spans="1:14" x14ac:dyDescent="0.25">
      <c r="A2158" s="14" t="s">
        <v>2411</v>
      </c>
      <c r="B2158" s="14" t="s">
        <v>16</v>
      </c>
      <c r="C2158" s="15" t="s">
        <v>2416</v>
      </c>
      <c r="D2158" s="14" t="s">
        <v>1745</v>
      </c>
      <c r="E2158" s="14" t="s">
        <v>1746</v>
      </c>
      <c r="F2158" s="17" t="s">
        <v>2994</v>
      </c>
      <c r="G2158" s="14">
        <v>419.28</v>
      </c>
      <c r="H2158" s="14">
        <v>335.52</v>
      </c>
      <c r="I2158" s="31">
        <f>IF(COUNTIFS(Addendum!C:C,A2158,Addendum!D:D,IF(ISNUMBER(B2158),TEXT(B2158,"0000"),B2158),Addendum!E:E,"X")&gt;0,4%,0)</f>
        <v>0</v>
      </c>
      <c r="J2158" s="31">
        <f>IF(COUNTIFS(Addendum!C:C,A2158,Addendum!D:D,IF(ISNUMBER(B2158),TEXT(B2158,"0000"),B2158),Addendum!F:F,"X")&gt;0,2.5%,0)</f>
        <v>0</v>
      </c>
      <c r="K2158" s="31">
        <f>IF(COUNTIFS(Addendum!C:C,A2158,Addendum!D:D,IF(ISNUMBER(B2158),TEXT(B2158,"0000"),B2158),Addendum!G:G,"X")&gt;0,7%,0)</f>
        <v>0</v>
      </c>
      <c r="L2158" s="31">
        <f>IF(COUNTIFS(Addendum!C:C,A2158,Addendum!D:D,IF(ISNUMBER(B2158),TEXT(B2158,"0000"),B2158),Addendum!I:I,"X")&gt;0,10%,0)</f>
        <v>0</v>
      </c>
      <c r="M2158" s="34">
        <f t="shared" si="66"/>
        <v>0</v>
      </c>
      <c r="N2158" s="17">
        <f t="shared" si="67"/>
        <v>335.52</v>
      </c>
    </row>
    <row r="2159" spans="1:14" x14ac:dyDescent="0.25">
      <c r="A2159" s="14" t="s">
        <v>2411</v>
      </c>
      <c r="B2159" s="14">
        <v>9</v>
      </c>
      <c r="C2159" s="15" t="s">
        <v>2415</v>
      </c>
      <c r="D2159" s="14" t="s">
        <v>1749</v>
      </c>
      <c r="E2159" s="14" t="s">
        <v>1746</v>
      </c>
      <c r="F2159" s="17" t="s">
        <v>2994</v>
      </c>
      <c r="G2159" s="14">
        <v>29.95</v>
      </c>
      <c r="H2159" s="14">
        <v>23.96</v>
      </c>
      <c r="I2159" s="31">
        <f>IF(COUNTIFS(Addendum!C:C,A2159,Addendum!D:D,IF(ISNUMBER(B2159),TEXT(B2159,"0000"),B2159),Addendum!E:E,"X")&gt;0,4%,0)</f>
        <v>0</v>
      </c>
      <c r="J2159" s="31">
        <f>IF(COUNTIFS(Addendum!C:C,A2159,Addendum!D:D,IF(ISNUMBER(B2159),TEXT(B2159,"0000"),B2159),Addendum!F:F,"X")&gt;0,2.5%,0)</f>
        <v>0</v>
      </c>
      <c r="K2159" s="31">
        <f>IF(COUNTIFS(Addendum!C:C,A2159,Addendum!D:D,IF(ISNUMBER(B2159),TEXT(B2159,"0000"),B2159),Addendum!G:G,"X")&gt;0,7%,0)</f>
        <v>0</v>
      </c>
      <c r="L2159" s="31">
        <f>IF(COUNTIFS(Addendum!C:C,A2159,Addendum!D:D,IF(ISNUMBER(B2159),TEXT(B2159,"0000"),B2159),Addendum!I:I,"X")&gt;0,10%,0)</f>
        <v>0</v>
      </c>
      <c r="M2159" s="34">
        <f t="shared" si="66"/>
        <v>0</v>
      </c>
      <c r="N2159" s="17">
        <f t="shared" si="67"/>
        <v>23.96</v>
      </c>
    </row>
    <row r="2160" spans="1:14" x14ac:dyDescent="0.25">
      <c r="A2160" s="14" t="s">
        <v>2411</v>
      </c>
      <c r="B2160" s="14" t="s">
        <v>16</v>
      </c>
      <c r="C2160" s="15" t="s">
        <v>2416</v>
      </c>
      <c r="D2160" s="14" t="s">
        <v>1749</v>
      </c>
      <c r="E2160" s="14" t="s">
        <v>1746</v>
      </c>
      <c r="F2160" s="17" t="s">
        <v>2994</v>
      </c>
      <c r="G2160" s="14">
        <v>39.94</v>
      </c>
      <c r="H2160" s="14">
        <v>31.95</v>
      </c>
      <c r="I2160" s="31">
        <f>IF(COUNTIFS(Addendum!C:C,A2160,Addendum!D:D,IF(ISNUMBER(B2160),TEXT(B2160,"0000"),B2160),Addendum!E:E,"X")&gt;0,4%,0)</f>
        <v>0</v>
      </c>
      <c r="J2160" s="31">
        <f>IF(COUNTIFS(Addendum!C:C,A2160,Addendum!D:D,IF(ISNUMBER(B2160),TEXT(B2160,"0000"),B2160),Addendum!F:F,"X")&gt;0,2.5%,0)</f>
        <v>0</v>
      </c>
      <c r="K2160" s="31">
        <f>IF(COUNTIFS(Addendum!C:C,A2160,Addendum!D:D,IF(ISNUMBER(B2160),TEXT(B2160,"0000"),B2160),Addendum!G:G,"X")&gt;0,7%,0)</f>
        <v>0</v>
      </c>
      <c r="L2160" s="31">
        <f>IF(COUNTIFS(Addendum!C:C,A2160,Addendum!D:D,IF(ISNUMBER(B2160),TEXT(B2160,"0000"),B2160),Addendum!I:I,"X")&gt;0,10%,0)</f>
        <v>0</v>
      </c>
      <c r="M2160" s="34">
        <f t="shared" si="66"/>
        <v>0</v>
      </c>
      <c r="N2160" s="17">
        <f t="shared" si="67"/>
        <v>31.95</v>
      </c>
    </row>
    <row r="2161" spans="1:14" x14ac:dyDescent="0.25">
      <c r="A2161" s="14" t="s">
        <v>2411</v>
      </c>
      <c r="B2161" s="14" t="s">
        <v>16</v>
      </c>
      <c r="C2161" s="15" t="s">
        <v>2416</v>
      </c>
      <c r="D2161" s="14" t="s">
        <v>1745</v>
      </c>
      <c r="E2161" s="14" t="s">
        <v>1747</v>
      </c>
      <c r="F2161" s="17" t="s">
        <v>2994</v>
      </c>
      <c r="G2161" s="14">
        <v>399.36</v>
      </c>
      <c r="H2161" s="14">
        <v>319.49</v>
      </c>
      <c r="I2161" s="31">
        <f>IF(COUNTIFS(Addendum!C:C,A2161,Addendum!D:D,IF(ISNUMBER(B2161),TEXT(B2161,"0000"),B2161),Addendum!E:E,"X")&gt;0,4%,0)</f>
        <v>0</v>
      </c>
      <c r="J2161" s="31">
        <f>IF(COUNTIFS(Addendum!C:C,A2161,Addendum!D:D,IF(ISNUMBER(B2161),TEXT(B2161,"0000"),B2161),Addendum!F:F,"X")&gt;0,2.5%,0)</f>
        <v>0</v>
      </c>
      <c r="K2161" s="31">
        <f>IF(COUNTIFS(Addendum!C:C,A2161,Addendum!D:D,IF(ISNUMBER(B2161),TEXT(B2161,"0000"),B2161),Addendum!G:G,"X")&gt;0,7%,0)</f>
        <v>0</v>
      </c>
      <c r="L2161" s="31">
        <f>IF(COUNTIFS(Addendum!C:C,A2161,Addendum!D:D,IF(ISNUMBER(B2161),TEXT(B2161,"0000"),B2161),Addendum!I:I,"X")&gt;0,10%,0)</f>
        <v>0</v>
      </c>
      <c r="M2161" s="34">
        <f t="shared" si="66"/>
        <v>0</v>
      </c>
      <c r="N2161" s="17">
        <f t="shared" si="67"/>
        <v>319.49</v>
      </c>
    </row>
    <row r="2162" spans="1:14" x14ac:dyDescent="0.25">
      <c r="A2162" s="14" t="s">
        <v>756</v>
      </c>
      <c r="B2162" s="14">
        <v>1</v>
      </c>
      <c r="C2162" s="15" t="s">
        <v>760</v>
      </c>
      <c r="D2162" s="14" t="s">
        <v>1745</v>
      </c>
      <c r="E2162" s="14" t="s">
        <v>1746</v>
      </c>
      <c r="F2162" s="17" t="s">
        <v>2993</v>
      </c>
      <c r="G2162" s="14">
        <v>0</v>
      </c>
      <c r="H2162" s="14">
        <v>0</v>
      </c>
      <c r="I2162" s="31">
        <f>IF(COUNTIFS(Addendum!C:C,A2162,Addendum!D:D,IF(ISNUMBER(B2162),TEXT(B2162,"0000"),B2162),Addendum!E:E,"X")&gt;0,4%,0)</f>
        <v>0.04</v>
      </c>
      <c r="J2162" s="31">
        <f>IF(COUNTIFS(Addendum!C:C,A2162,Addendum!D:D,IF(ISNUMBER(B2162),TEXT(B2162,"0000"),B2162),Addendum!F:F,"X")&gt;0,2.5%,0)</f>
        <v>0</v>
      </c>
      <c r="K2162" s="31">
        <f>IF(COUNTIFS(Addendum!C:C,A2162,Addendum!D:D,IF(ISNUMBER(B2162),TEXT(B2162,"0000"),B2162),Addendum!G:G,"X")&gt;0,7%,0)</f>
        <v>7.0000000000000007E-2</v>
      </c>
      <c r="L2162" s="31">
        <f>IF(COUNTIFS(Addendum!C:C,A2162,Addendum!D:D,IF(ISNUMBER(B2162),TEXT(B2162,"0000"),B2162),Addendum!I:I,"X")&gt;0,10%,0)</f>
        <v>0.1</v>
      </c>
      <c r="M2162" s="34">
        <f t="shared" si="66"/>
        <v>0.03</v>
      </c>
      <c r="N2162" s="17">
        <f t="shared" si="67"/>
        <v>0</v>
      </c>
    </row>
    <row r="2163" spans="1:14" x14ac:dyDescent="0.25">
      <c r="A2163" s="14" t="s">
        <v>756</v>
      </c>
      <c r="B2163" s="14" t="s">
        <v>195</v>
      </c>
      <c r="C2163" s="15" t="s">
        <v>2417</v>
      </c>
      <c r="D2163" s="14" t="s">
        <v>1749</v>
      </c>
      <c r="E2163" s="14" t="s">
        <v>1746</v>
      </c>
      <c r="F2163" s="17" t="s">
        <v>2995</v>
      </c>
      <c r="G2163" s="14">
        <v>0</v>
      </c>
      <c r="H2163" s="14">
        <v>0</v>
      </c>
      <c r="I2163" s="31">
        <f>IF(COUNTIFS(Addendum!C:C,A2163,Addendum!D:D,IF(ISNUMBER(B2163),TEXT(B2163,"0000"),B2163),Addendum!E:E,"X")&gt;0,4%,0)</f>
        <v>0.04</v>
      </c>
      <c r="J2163" s="31">
        <f>IF(COUNTIFS(Addendum!C:C,A2163,Addendum!D:D,IF(ISNUMBER(B2163),TEXT(B2163,"0000"),B2163),Addendum!F:F,"X")&gt;0,2.5%,0)</f>
        <v>0</v>
      </c>
      <c r="K2163" s="31">
        <f>IF(COUNTIFS(Addendum!C:C,A2163,Addendum!D:D,IF(ISNUMBER(B2163),TEXT(B2163,"0000"),B2163),Addendum!G:G,"X")&gt;0,7%,0)</f>
        <v>7.0000000000000007E-2</v>
      </c>
      <c r="L2163" s="31">
        <f>IF(COUNTIFS(Addendum!C:C,A2163,Addendum!D:D,IF(ISNUMBER(B2163),TEXT(B2163,"0000"),B2163),Addendum!I:I,"X")&gt;0,10%,0)</f>
        <v>0.1</v>
      </c>
      <c r="M2163" s="34">
        <f t="shared" si="66"/>
        <v>0.03</v>
      </c>
      <c r="N2163" s="17">
        <f t="shared" si="67"/>
        <v>0</v>
      </c>
    </row>
    <row r="2164" spans="1:14" x14ac:dyDescent="0.25">
      <c r="A2164" s="14" t="s">
        <v>756</v>
      </c>
      <c r="B2164" s="14" t="s">
        <v>195</v>
      </c>
      <c r="C2164" s="15" t="s">
        <v>2417</v>
      </c>
      <c r="D2164" s="14" t="s">
        <v>1745</v>
      </c>
      <c r="E2164" s="14" t="s">
        <v>1747</v>
      </c>
      <c r="F2164" s="17" t="s">
        <v>2995</v>
      </c>
      <c r="G2164" s="14">
        <v>0</v>
      </c>
      <c r="H2164" s="14">
        <v>0</v>
      </c>
      <c r="I2164" s="31">
        <f>IF(COUNTIFS(Addendum!C:C,A2164,Addendum!D:D,IF(ISNUMBER(B2164),TEXT(B2164,"0000"),B2164),Addendum!E:E,"X")&gt;0,4%,0)</f>
        <v>0.04</v>
      </c>
      <c r="J2164" s="31">
        <f>IF(COUNTIFS(Addendum!C:C,A2164,Addendum!D:D,IF(ISNUMBER(B2164),TEXT(B2164,"0000"),B2164),Addendum!F:F,"X")&gt;0,2.5%,0)</f>
        <v>0</v>
      </c>
      <c r="K2164" s="31">
        <f>IF(COUNTIFS(Addendum!C:C,A2164,Addendum!D:D,IF(ISNUMBER(B2164),TEXT(B2164,"0000"),B2164),Addendum!G:G,"X")&gt;0,7%,0)</f>
        <v>7.0000000000000007E-2</v>
      </c>
      <c r="L2164" s="31">
        <f>IF(COUNTIFS(Addendum!C:C,A2164,Addendum!D:D,IF(ISNUMBER(B2164),TEXT(B2164,"0000"),B2164),Addendum!I:I,"X")&gt;0,10%,0)</f>
        <v>0.1</v>
      </c>
      <c r="M2164" s="34">
        <f t="shared" si="66"/>
        <v>0.14000000000000001</v>
      </c>
      <c r="N2164" s="17">
        <f t="shared" si="67"/>
        <v>0</v>
      </c>
    </row>
    <row r="2165" spans="1:14" x14ac:dyDescent="0.25">
      <c r="A2165" s="14" t="s">
        <v>756</v>
      </c>
      <c r="B2165" s="14" t="s">
        <v>46</v>
      </c>
      <c r="C2165" s="15" t="s">
        <v>755</v>
      </c>
      <c r="D2165" s="14" t="s">
        <v>1749</v>
      </c>
      <c r="E2165" s="14" t="s">
        <v>1746</v>
      </c>
      <c r="F2165" s="17" t="s">
        <v>2993</v>
      </c>
      <c r="G2165" s="14">
        <v>19968</v>
      </c>
      <c r="H2165" s="14">
        <v>17971.2</v>
      </c>
      <c r="I2165" s="31">
        <f>IF(COUNTIFS(Addendum!C:C,A2165,Addendum!D:D,IF(ISNUMBER(B2165),TEXT(B2165,"0000"),B2165),Addendum!E:E,"X")&gt;0,4%,0)</f>
        <v>0.04</v>
      </c>
      <c r="J2165" s="31">
        <f>IF(COUNTIFS(Addendum!C:C,A2165,Addendum!D:D,IF(ISNUMBER(B2165),TEXT(B2165,"0000"),B2165),Addendum!F:F,"X")&gt;0,2.5%,0)</f>
        <v>0</v>
      </c>
      <c r="K2165" s="31">
        <f>IF(COUNTIFS(Addendum!C:C,A2165,Addendum!D:D,IF(ISNUMBER(B2165),TEXT(B2165,"0000"),B2165),Addendum!G:G,"X")&gt;0,7%,0)</f>
        <v>7.0000000000000007E-2</v>
      </c>
      <c r="L2165" s="31">
        <f>IF(COUNTIFS(Addendum!C:C,A2165,Addendum!D:D,IF(ISNUMBER(B2165),TEXT(B2165,"0000"),B2165),Addendum!I:I,"X")&gt;0,10%,0)</f>
        <v>0.1</v>
      </c>
      <c r="M2165" s="34">
        <f t="shared" si="66"/>
        <v>0.03</v>
      </c>
      <c r="N2165" s="17">
        <f t="shared" si="67"/>
        <v>17432.064000000002</v>
      </c>
    </row>
    <row r="2166" spans="1:14" x14ac:dyDescent="0.25">
      <c r="A2166" s="14" t="s">
        <v>756</v>
      </c>
      <c r="B2166" s="14">
        <v>11</v>
      </c>
      <c r="C2166" s="15" t="s">
        <v>2418</v>
      </c>
      <c r="D2166" s="14" t="s">
        <v>1745</v>
      </c>
      <c r="E2166" s="14" t="s">
        <v>1747</v>
      </c>
      <c r="F2166" s="17" t="s">
        <v>2994</v>
      </c>
      <c r="G2166" s="14">
        <v>109800</v>
      </c>
      <c r="H2166" s="14">
        <v>98820</v>
      </c>
      <c r="I2166" s="31">
        <f>IF(COUNTIFS(Addendum!C:C,A2166,Addendum!D:D,IF(ISNUMBER(B2166),TEXT(B2166,"0000"),B2166),Addendum!E:E,"X")&gt;0,4%,0)</f>
        <v>0.04</v>
      </c>
      <c r="J2166" s="31">
        <f>IF(COUNTIFS(Addendum!C:C,A2166,Addendum!D:D,IF(ISNUMBER(B2166),TEXT(B2166,"0000"),B2166),Addendum!F:F,"X")&gt;0,2.5%,0)</f>
        <v>0</v>
      </c>
      <c r="K2166" s="31">
        <f>IF(COUNTIFS(Addendum!C:C,A2166,Addendum!D:D,IF(ISNUMBER(B2166),TEXT(B2166,"0000"),B2166),Addendum!G:G,"X")&gt;0,7%,0)</f>
        <v>7.0000000000000007E-2</v>
      </c>
      <c r="L2166" s="31">
        <f>IF(COUNTIFS(Addendum!C:C,A2166,Addendum!D:D,IF(ISNUMBER(B2166),TEXT(B2166,"0000"),B2166),Addendum!I:I,"X")&gt;0,10%,0)</f>
        <v>0.1</v>
      </c>
      <c r="M2166" s="34">
        <f t="shared" si="66"/>
        <v>0.14000000000000001</v>
      </c>
      <c r="N2166" s="17">
        <f t="shared" si="67"/>
        <v>84985.2</v>
      </c>
    </row>
    <row r="2167" spans="1:14" x14ac:dyDescent="0.25">
      <c r="A2167" s="14" t="s">
        <v>756</v>
      </c>
      <c r="B2167" s="14" t="s">
        <v>102</v>
      </c>
      <c r="C2167" s="15" t="s">
        <v>2419</v>
      </c>
      <c r="D2167" s="14" t="s">
        <v>1745</v>
      </c>
      <c r="E2167" s="14" t="s">
        <v>1747</v>
      </c>
      <c r="F2167" s="17" t="s">
        <v>2994</v>
      </c>
      <c r="G2167" s="14">
        <v>0</v>
      </c>
      <c r="H2167" s="14">
        <v>0</v>
      </c>
      <c r="I2167" s="31">
        <f>IF(COUNTIFS(Addendum!C:C,A2167,Addendum!D:D,IF(ISNUMBER(B2167),TEXT(B2167,"0000"),B2167),Addendum!E:E,"X")&gt;0,4%,0)</f>
        <v>0.04</v>
      </c>
      <c r="J2167" s="31">
        <f>IF(COUNTIFS(Addendum!C:C,A2167,Addendum!D:D,IF(ISNUMBER(B2167),TEXT(B2167,"0000"),B2167),Addendum!F:F,"X")&gt;0,2.5%,0)</f>
        <v>0</v>
      </c>
      <c r="K2167" s="31">
        <f>IF(COUNTIFS(Addendum!C:C,A2167,Addendum!D:D,IF(ISNUMBER(B2167),TEXT(B2167,"0000"),B2167),Addendum!G:G,"X")&gt;0,7%,0)</f>
        <v>7.0000000000000007E-2</v>
      </c>
      <c r="L2167" s="31">
        <f>IF(COUNTIFS(Addendum!C:C,A2167,Addendum!D:D,IF(ISNUMBER(B2167),TEXT(B2167,"0000"),B2167),Addendum!I:I,"X")&gt;0,10%,0)</f>
        <v>0.1</v>
      </c>
      <c r="M2167" s="34">
        <f t="shared" si="66"/>
        <v>0.14000000000000001</v>
      </c>
      <c r="N2167" s="17">
        <f t="shared" si="67"/>
        <v>0</v>
      </c>
    </row>
    <row r="2168" spans="1:14" x14ac:dyDescent="0.25">
      <c r="A2168" s="14" t="s">
        <v>756</v>
      </c>
      <c r="B2168" s="14">
        <v>1</v>
      </c>
      <c r="C2168" s="15" t="s">
        <v>760</v>
      </c>
      <c r="D2168" s="14" t="s">
        <v>1745</v>
      </c>
      <c r="E2168" s="14" t="s">
        <v>1747</v>
      </c>
      <c r="F2168" s="17" t="s">
        <v>2993</v>
      </c>
      <c r="G2168" s="14">
        <v>0</v>
      </c>
      <c r="H2168" s="14">
        <v>0</v>
      </c>
      <c r="I2168" s="31">
        <f>IF(COUNTIFS(Addendum!C:C,A2168,Addendum!D:D,IF(ISNUMBER(B2168),TEXT(B2168,"0000"),B2168),Addendum!E:E,"X")&gt;0,4%,0)</f>
        <v>0.04</v>
      </c>
      <c r="J2168" s="31">
        <f>IF(COUNTIFS(Addendum!C:C,A2168,Addendum!D:D,IF(ISNUMBER(B2168),TEXT(B2168,"0000"),B2168),Addendum!F:F,"X")&gt;0,2.5%,0)</f>
        <v>0</v>
      </c>
      <c r="K2168" s="31">
        <f>IF(COUNTIFS(Addendum!C:C,A2168,Addendum!D:D,IF(ISNUMBER(B2168),TEXT(B2168,"0000"),B2168),Addendum!G:G,"X")&gt;0,7%,0)</f>
        <v>7.0000000000000007E-2</v>
      </c>
      <c r="L2168" s="31">
        <f>IF(COUNTIFS(Addendum!C:C,A2168,Addendum!D:D,IF(ISNUMBER(B2168),TEXT(B2168,"0000"),B2168),Addendum!I:I,"X")&gt;0,10%,0)</f>
        <v>0.1</v>
      </c>
      <c r="M2168" s="34">
        <f t="shared" si="66"/>
        <v>0.14000000000000001</v>
      </c>
      <c r="N2168" s="17">
        <f t="shared" si="67"/>
        <v>0</v>
      </c>
    </row>
    <row r="2169" spans="1:14" x14ac:dyDescent="0.25">
      <c r="A2169" s="14" t="s">
        <v>756</v>
      </c>
      <c r="B2169" s="14">
        <v>1</v>
      </c>
      <c r="C2169" s="15" t="s">
        <v>760</v>
      </c>
      <c r="D2169" s="14" t="s">
        <v>1749</v>
      </c>
      <c r="E2169" s="14" t="s">
        <v>1746</v>
      </c>
      <c r="F2169" s="17" t="s">
        <v>2993</v>
      </c>
      <c r="G2169" s="14">
        <v>0</v>
      </c>
      <c r="H2169" s="14">
        <v>0</v>
      </c>
      <c r="I2169" s="31">
        <f>IF(COUNTIFS(Addendum!C:C,A2169,Addendum!D:D,IF(ISNUMBER(B2169),TEXT(B2169,"0000"),B2169),Addendum!E:E,"X")&gt;0,4%,0)</f>
        <v>0.04</v>
      </c>
      <c r="J2169" s="31">
        <f>IF(COUNTIFS(Addendum!C:C,A2169,Addendum!D:D,IF(ISNUMBER(B2169),TEXT(B2169,"0000"),B2169),Addendum!F:F,"X")&gt;0,2.5%,0)</f>
        <v>0</v>
      </c>
      <c r="K2169" s="31">
        <f>IF(COUNTIFS(Addendum!C:C,A2169,Addendum!D:D,IF(ISNUMBER(B2169),TEXT(B2169,"0000"),B2169),Addendum!G:G,"X")&gt;0,7%,0)</f>
        <v>7.0000000000000007E-2</v>
      </c>
      <c r="L2169" s="31">
        <f>IF(COUNTIFS(Addendum!C:C,A2169,Addendum!D:D,IF(ISNUMBER(B2169),TEXT(B2169,"0000"),B2169),Addendum!I:I,"X")&gt;0,10%,0)</f>
        <v>0.1</v>
      </c>
      <c r="M2169" s="34">
        <f t="shared" si="66"/>
        <v>0.03</v>
      </c>
      <c r="N2169" s="17">
        <f t="shared" si="67"/>
        <v>0</v>
      </c>
    </row>
    <row r="2170" spans="1:14" x14ac:dyDescent="0.25">
      <c r="A2170" s="14" t="s">
        <v>756</v>
      </c>
      <c r="B2170" s="14" t="s">
        <v>46</v>
      </c>
      <c r="C2170" s="15" t="s">
        <v>755</v>
      </c>
      <c r="D2170" s="14" t="s">
        <v>1745</v>
      </c>
      <c r="E2170" s="14" t="s">
        <v>1746</v>
      </c>
      <c r="F2170" s="17" t="s">
        <v>2993</v>
      </c>
      <c r="G2170" s="14">
        <v>209664</v>
      </c>
      <c r="H2170" s="14">
        <v>188697.60000000001</v>
      </c>
      <c r="I2170" s="31">
        <f>IF(COUNTIFS(Addendum!C:C,A2170,Addendum!D:D,IF(ISNUMBER(B2170),TEXT(B2170,"0000"),B2170),Addendum!E:E,"X")&gt;0,4%,0)</f>
        <v>0.04</v>
      </c>
      <c r="J2170" s="31">
        <f>IF(COUNTIFS(Addendum!C:C,A2170,Addendum!D:D,IF(ISNUMBER(B2170),TEXT(B2170,"0000"),B2170),Addendum!F:F,"X")&gt;0,2.5%,0)</f>
        <v>0</v>
      </c>
      <c r="K2170" s="31">
        <f>IF(COUNTIFS(Addendum!C:C,A2170,Addendum!D:D,IF(ISNUMBER(B2170),TEXT(B2170,"0000"),B2170),Addendum!G:G,"X")&gt;0,7%,0)</f>
        <v>7.0000000000000007E-2</v>
      </c>
      <c r="L2170" s="31">
        <f>IF(COUNTIFS(Addendum!C:C,A2170,Addendum!D:D,IF(ISNUMBER(B2170),TEXT(B2170,"0000"),B2170),Addendum!I:I,"X")&gt;0,10%,0)</f>
        <v>0.1</v>
      </c>
      <c r="M2170" s="34">
        <f t="shared" si="66"/>
        <v>0.03</v>
      </c>
      <c r="N2170" s="17">
        <f t="shared" si="67"/>
        <v>183036.67200000002</v>
      </c>
    </row>
    <row r="2171" spans="1:14" x14ac:dyDescent="0.25">
      <c r="A2171" s="14" t="s">
        <v>756</v>
      </c>
      <c r="B2171" s="14" t="s">
        <v>102</v>
      </c>
      <c r="C2171" s="15" t="s">
        <v>2419</v>
      </c>
      <c r="D2171" s="14" t="s">
        <v>1749</v>
      </c>
      <c r="E2171" s="14" t="s">
        <v>1746</v>
      </c>
      <c r="F2171" s="17" t="s">
        <v>2994</v>
      </c>
      <c r="G2171" s="14">
        <v>0</v>
      </c>
      <c r="H2171" s="14">
        <v>0</v>
      </c>
      <c r="I2171" s="31">
        <f>IF(COUNTIFS(Addendum!C:C,A2171,Addendum!D:D,IF(ISNUMBER(B2171),TEXT(B2171,"0000"),B2171),Addendum!E:E,"X")&gt;0,4%,0)</f>
        <v>0.04</v>
      </c>
      <c r="J2171" s="31">
        <f>IF(COUNTIFS(Addendum!C:C,A2171,Addendum!D:D,IF(ISNUMBER(B2171),TEXT(B2171,"0000"),B2171),Addendum!F:F,"X")&gt;0,2.5%,0)</f>
        <v>0</v>
      </c>
      <c r="K2171" s="31">
        <f>IF(COUNTIFS(Addendum!C:C,A2171,Addendum!D:D,IF(ISNUMBER(B2171),TEXT(B2171,"0000"),B2171),Addendum!G:G,"X")&gt;0,7%,0)</f>
        <v>7.0000000000000007E-2</v>
      </c>
      <c r="L2171" s="31">
        <f>IF(COUNTIFS(Addendum!C:C,A2171,Addendum!D:D,IF(ISNUMBER(B2171),TEXT(B2171,"0000"),B2171),Addendum!I:I,"X")&gt;0,10%,0)</f>
        <v>0.1</v>
      </c>
      <c r="M2171" s="34">
        <f t="shared" si="66"/>
        <v>0.03</v>
      </c>
      <c r="N2171" s="17">
        <f t="shared" si="67"/>
        <v>0</v>
      </c>
    </row>
    <row r="2172" spans="1:14" x14ac:dyDescent="0.25">
      <c r="A2172" s="14" t="s">
        <v>756</v>
      </c>
      <c r="B2172" s="14" t="s">
        <v>46</v>
      </c>
      <c r="C2172" s="15" t="s">
        <v>755</v>
      </c>
      <c r="D2172" s="14" t="s">
        <v>1745</v>
      </c>
      <c r="E2172" s="14" t="s">
        <v>1747</v>
      </c>
      <c r="F2172" s="17" t="s">
        <v>2993</v>
      </c>
      <c r="G2172" s="14">
        <v>199680</v>
      </c>
      <c r="H2172" s="14">
        <v>179712</v>
      </c>
      <c r="I2172" s="31">
        <f>IF(COUNTIFS(Addendum!C:C,A2172,Addendum!D:D,IF(ISNUMBER(B2172),TEXT(B2172,"0000"),B2172),Addendum!E:E,"X")&gt;0,4%,0)</f>
        <v>0.04</v>
      </c>
      <c r="J2172" s="31">
        <f>IF(COUNTIFS(Addendum!C:C,A2172,Addendum!D:D,IF(ISNUMBER(B2172),TEXT(B2172,"0000"),B2172),Addendum!F:F,"X")&gt;0,2.5%,0)</f>
        <v>0</v>
      </c>
      <c r="K2172" s="31">
        <f>IF(COUNTIFS(Addendum!C:C,A2172,Addendum!D:D,IF(ISNUMBER(B2172),TEXT(B2172,"0000"),B2172),Addendum!G:G,"X")&gt;0,7%,0)</f>
        <v>7.0000000000000007E-2</v>
      </c>
      <c r="L2172" s="31">
        <f>IF(COUNTIFS(Addendum!C:C,A2172,Addendum!D:D,IF(ISNUMBER(B2172),TEXT(B2172,"0000"),B2172),Addendum!I:I,"X")&gt;0,10%,0)</f>
        <v>0.1</v>
      </c>
      <c r="M2172" s="34">
        <f t="shared" si="66"/>
        <v>0.14000000000000001</v>
      </c>
      <c r="N2172" s="17">
        <f t="shared" si="67"/>
        <v>154552.32000000001</v>
      </c>
    </row>
    <row r="2173" spans="1:14" x14ac:dyDescent="0.25">
      <c r="A2173" s="14" t="s">
        <v>756</v>
      </c>
      <c r="B2173" s="14" t="s">
        <v>195</v>
      </c>
      <c r="C2173" s="15" t="s">
        <v>2417</v>
      </c>
      <c r="D2173" s="14" t="s">
        <v>1745</v>
      </c>
      <c r="E2173" s="14" t="s">
        <v>1746</v>
      </c>
      <c r="F2173" s="17" t="s">
        <v>2995</v>
      </c>
      <c r="G2173" s="14">
        <v>0</v>
      </c>
      <c r="H2173" s="14">
        <v>0</v>
      </c>
      <c r="I2173" s="31">
        <f>IF(COUNTIFS(Addendum!C:C,A2173,Addendum!D:D,IF(ISNUMBER(B2173),TEXT(B2173,"0000"),B2173),Addendum!E:E,"X")&gt;0,4%,0)</f>
        <v>0.04</v>
      </c>
      <c r="J2173" s="31">
        <f>IF(COUNTIFS(Addendum!C:C,A2173,Addendum!D:D,IF(ISNUMBER(B2173),TEXT(B2173,"0000"),B2173),Addendum!F:F,"X")&gt;0,2.5%,0)</f>
        <v>0</v>
      </c>
      <c r="K2173" s="31">
        <f>IF(COUNTIFS(Addendum!C:C,A2173,Addendum!D:D,IF(ISNUMBER(B2173),TEXT(B2173,"0000"),B2173),Addendum!G:G,"X")&gt;0,7%,0)</f>
        <v>7.0000000000000007E-2</v>
      </c>
      <c r="L2173" s="31">
        <f>IF(COUNTIFS(Addendum!C:C,A2173,Addendum!D:D,IF(ISNUMBER(B2173),TEXT(B2173,"0000"),B2173),Addendum!I:I,"X")&gt;0,10%,0)</f>
        <v>0.1</v>
      </c>
      <c r="M2173" s="34">
        <f t="shared" si="66"/>
        <v>0.03</v>
      </c>
      <c r="N2173" s="17">
        <f t="shared" si="67"/>
        <v>0</v>
      </c>
    </row>
    <row r="2174" spans="1:14" x14ac:dyDescent="0.25">
      <c r="A2174" s="14" t="s">
        <v>756</v>
      </c>
      <c r="B2174" s="14" t="s">
        <v>102</v>
      </c>
      <c r="C2174" s="15" t="s">
        <v>2419</v>
      </c>
      <c r="D2174" s="14" t="s">
        <v>1745</v>
      </c>
      <c r="E2174" s="14" t="s">
        <v>1746</v>
      </c>
      <c r="F2174" s="17" t="s">
        <v>2994</v>
      </c>
      <c r="G2174" s="14">
        <v>0</v>
      </c>
      <c r="H2174" s="14">
        <v>0</v>
      </c>
      <c r="I2174" s="31">
        <f>IF(COUNTIFS(Addendum!C:C,A2174,Addendum!D:D,IF(ISNUMBER(B2174),TEXT(B2174,"0000"),B2174),Addendum!E:E,"X")&gt;0,4%,0)</f>
        <v>0.04</v>
      </c>
      <c r="J2174" s="31">
        <f>IF(COUNTIFS(Addendum!C:C,A2174,Addendum!D:D,IF(ISNUMBER(B2174),TEXT(B2174,"0000"),B2174),Addendum!F:F,"X")&gt;0,2.5%,0)</f>
        <v>0</v>
      </c>
      <c r="K2174" s="31">
        <f>IF(COUNTIFS(Addendum!C:C,A2174,Addendum!D:D,IF(ISNUMBER(B2174),TEXT(B2174,"0000"),B2174),Addendum!G:G,"X")&gt;0,7%,0)</f>
        <v>7.0000000000000007E-2</v>
      </c>
      <c r="L2174" s="31">
        <f>IF(COUNTIFS(Addendum!C:C,A2174,Addendum!D:D,IF(ISNUMBER(B2174),TEXT(B2174,"0000"),B2174),Addendum!I:I,"X")&gt;0,10%,0)</f>
        <v>0.1</v>
      </c>
      <c r="M2174" s="34">
        <f t="shared" si="66"/>
        <v>0.03</v>
      </c>
      <c r="N2174" s="17">
        <f t="shared" si="67"/>
        <v>0</v>
      </c>
    </row>
    <row r="2175" spans="1:14" x14ac:dyDescent="0.25">
      <c r="A2175" s="14" t="s">
        <v>756</v>
      </c>
      <c r="B2175" s="14">
        <v>11</v>
      </c>
      <c r="C2175" s="15" t="s">
        <v>2418</v>
      </c>
      <c r="D2175" s="14" t="s">
        <v>1745</v>
      </c>
      <c r="E2175" s="14" t="s">
        <v>1746</v>
      </c>
      <c r="F2175" s="17" t="s">
        <v>2994</v>
      </c>
      <c r="G2175" s="14">
        <v>115290</v>
      </c>
      <c r="H2175" s="14">
        <v>103761</v>
      </c>
      <c r="I2175" s="31">
        <f>IF(COUNTIFS(Addendum!C:C,A2175,Addendum!D:D,IF(ISNUMBER(B2175),TEXT(B2175,"0000"),B2175),Addendum!E:E,"X")&gt;0,4%,0)</f>
        <v>0.04</v>
      </c>
      <c r="J2175" s="31">
        <f>IF(COUNTIFS(Addendum!C:C,A2175,Addendum!D:D,IF(ISNUMBER(B2175),TEXT(B2175,"0000"),B2175),Addendum!F:F,"X")&gt;0,2.5%,0)</f>
        <v>0</v>
      </c>
      <c r="K2175" s="31">
        <f>IF(COUNTIFS(Addendum!C:C,A2175,Addendum!D:D,IF(ISNUMBER(B2175),TEXT(B2175,"0000"),B2175),Addendum!G:G,"X")&gt;0,7%,0)</f>
        <v>7.0000000000000007E-2</v>
      </c>
      <c r="L2175" s="31">
        <f>IF(COUNTIFS(Addendum!C:C,A2175,Addendum!D:D,IF(ISNUMBER(B2175),TEXT(B2175,"0000"),B2175),Addendum!I:I,"X")&gt;0,10%,0)</f>
        <v>0.1</v>
      </c>
      <c r="M2175" s="34">
        <f t="shared" si="66"/>
        <v>0.03</v>
      </c>
      <c r="N2175" s="17">
        <f t="shared" si="67"/>
        <v>100648.17</v>
      </c>
    </row>
    <row r="2176" spans="1:14" x14ac:dyDescent="0.25">
      <c r="A2176" s="14" t="s">
        <v>773</v>
      </c>
      <c r="B2176" s="14">
        <v>3</v>
      </c>
      <c r="C2176" s="15" t="s">
        <v>2420</v>
      </c>
      <c r="D2176" s="14" t="s">
        <v>1745</v>
      </c>
      <c r="E2176" s="14" t="s">
        <v>1747</v>
      </c>
      <c r="F2176" s="17" t="s">
        <v>2995</v>
      </c>
      <c r="G2176" s="14">
        <v>1197.5999999999999</v>
      </c>
      <c r="H2176" s="14">
        <v>1077.8399999999999</v>
      </c>
      <c r="I2176" s="31">
        <f>IF(COUNTIFS(Addendum!C:C,A2176,Addendum!D:D,IF(ISNUMBER(B2176),TEXT(B2176,"0000"),B2176),Addendum!E:E,"X")&gt;0,4%,0)</f>
        <v>0.04</v>
      </c>
      <c r="J2176" s="31">
        <f>IF(COUNTIFS(Addendum!C:C,A2176,Addendum!D:D,IF(ISNUMBER(B2176),TEXT(B2176,"0000"),B2176),Addendum!F:F,"X")&gt;0,2.5%,0)</f>
        <v>2.5000000000000001E-2</v>
      </c>
      <c r="K2176" s="31">
        <f>IF(COUNTIFS(Addendum!C:C,A2176,Addendum!D:D,IF(ISNUMBER(B2176),TEXT(B2176,"0000"),B2176),Addendum!G:G,"X")&gt;0,7%,0)</f>
        <v>0</v>
      </c>
      <c r="L2176" s="31">
        <f>IF(COUNTIFS(Addendum!C:C,A2176,Addendum!D:D,IF(ISNUMBER(B2176),TEXT(B2176,"0000"),B2176),Addendum!I:I,"X")&gt;0,10%,0)</f>
        <v>0.1</v>
      </c>
      <c r="M2176" s="34">
        <f t="shared" si="66"/>
        <v>0.1</v>
      </c>
      <c r="N2176" s="17">
        <f t="shared" si="67"/>
        <v>970.05599999999993</v>
      </c>
    </row>
    <row r="2177" spans="1:14" x14ac:dyDescent="0.25">
      <c r="A2177" s="14" t="s">
        <v>773</v>
      </c>
      <c r="B2177" s="14">
        <v>3</v>
      </c>
      <c r="C2177" s="15" t="s">
        <v>2420</v>
      </c>
      <c r="D2177" s="14" t="s">
        <v>1745</v>
      </c>
      <c r="E2177" s="14" t="s">
        <v>1746</v>
      </c>
      <c r="F2177" s="17" t="s">
        <v>2995</v>
      </c>
      <c r="G2177" s="14">
        <v>1257.48</v>
      </c>
      <c r="H2177" s="14">
        <v>1131.72</v>
      </c>
      <c r="I2177" s="31">
        <f>IF(COUNTIFS(Addendum!C:C,A2177,Addendum!D:D,IF(ISNUMBER(B2177),TEXT(B2177,"0000"),B2177),Addendum!E:E,"X")&gt;0,4%,0)</f>
        <v>0.04</v>
      </c>
      <c r="J2177" s="31">
        <f>IF(COUNTIFS(Addendum!C:C,A2177,Addendum!D:D,IF(ISNUMBER(B2177),TEXT(B2177,"0000"),B2177),Addendum!F:F,"X")&gt;0,2.5%,0)</f>
        <v>2.5000000000000001E-2</v>
      </c>
      <c r="K2177" s="31">
        <f>IF(COUNTIFS(Addendum!C:C,A2177,Addendum!D:D,IF(ISNUMBER(B2177),TEXT(B2177,"0000"),B2177),Addendum!G:G,"X")&gt;0,7%,0)</f>
        <v>0</v>
      </c>
      <c r="L2177" s="31">
        <f>IF(COUNTIFS(Addendum!C:C,A2177,Addendum!D:D,IF(ISNUMBER(B2177),TEXT(B2177,"0000"),B2177),Addendum!I:I,"X")&gt;0,10%,0)</f>
        <v>0.1</v>
      </c>
      <c r="M2177" s="34">
        <f t="shared" si="66"/>
        <v>0.02</v>
      </c>
      <c r="N2177" s="17">
        <f t="shared" si="67"/>
        <v>1109.0856000000001</v>
      </c>
    </row>
    <row r="2178" spans="1:14" x14ac:dyDescent="0.25">
      <c r="A2178" s="14" t="s">
        <v>773</v>
      </c>
      <c r="B2178" s="14">
        <v>3</v>
      </c>
      <c r="C2178" s="15" t="s">
        <v>2420</v>
      </c>
      <c r="D2178" s="14" t="s">
        <v>1749</v>
      </c>
      <c r="E2178" s="14" t="s">
        <v>1746</v>
      </c>
      <c r="F2178" s="17" t="s">
        <v>2995</v>
      </c>
      <c r="G2178" s="14">
        <v>119.76</v>
      </c>
      <c r="H2178" s="14">
        <v>107.78</v>
      </c>
      <c r="I2178" s="31">
        <f>IF(COUNTIFS(Addendum!C:C,A2178,Addendum!D:D,IF(ISNUMBER(B2178),TEXT(B2178,"0000"),B2178),Addendum!E:E,"X")&gt;0,4%,0)</f>
        <v>0.04</v>
      </c>
      <c r="J2178" s="31">
        <f>IF(COUNTIFS(Addendum!C:C,A2178,Addendum!D:D,IF(ISNUMBER(B2178),TEXT(B2178,"0000"),B2178),Addendum!F:F,"X")&gt;0,2.5%,0)</f>
        <v>2.5000000000000001E-2</v>
      </c>
      <c r="K2178" s="31">
        <f>IF(COUNTIFS(Addendum!C:C,A2178,Addendum!D:D,IF(ISNUMBER(B2178),TEXT(B2178,"0000"),B2178),Addendum!G:G,"X")&gt;0,7%,0)</f>
        <v>0</v>
      </c>
      <c r="L2178" s="31">
        <f>IF(COUNTIFS(Addendum!C:C,A2178,Addendum!D:D,IF(ISNUMBER(B2178),TEXT(B2178,"0000"),B2178),Addendum!I:I,"X")&gt;0,10%,0)</f>
        <v>0.1</v>
      </c>
      <c r="M2178" s="34">
        <f t="shared" si="66"/>
        <v>0.02</v>
      </c>
      <c r="N2178" s="17">
        <f t="shared" si="67"/>
        <v>105.62439999999999</v>
      </c>
    </row>
    <row r="2179" spans="1:14" x14ac:dyDescent="0.25">
      <c r="A2179" s="14" t="s">
        <v>773</v>
      </c>
      <c r="B2179" s="14">
        <v>2</v>
      </c>
      <c r="C2179" s="15" t="s">
        <v>772</v>
      </c>
      <c r="D2179" s="14" t="s">
        <v>1745</v>
      </c>
      <c r="E2179" s="14" t="s">
        <v>1746</v>
      </c>
      <c r="F2179" s="17" t="s">
        <v>2993</v>
      </c>
      <c r="G2179" s="14">
        <v>3150</v>
      </c>
      <c r="H2179" s="14">
        <v>2520</v>
      </c>
      <c r="I2179" s="31">
        <f>IF(COUNTIFS(Addendum!C:C,A2179,Addendum!D:D,IF(ISNUMBER(B2179),TEXT(B2179,"0000"),B2179),Addendum!E:E,"X")&gt;0,4%,0)</f>
        <v>0.04</v>
      </c>
      <c r="J2179" s="31">
        <f>IF(COUNTIFS(Addendum!C:C,A2179,Addendum!D:D,IF(ISNUMBER(B2179),TEXT(B2179,"0000"),B2179),Addendum!F:F,"X")&gt;0,2.5%,0)</f>
        <v>2.5000000000000001E-2</v>
      </c>
      <c r="K2179" s="31">
        <f>IF(COUNTIFS(Addendum!C:C,A2179,Addendum!D:D,IF(ISNUMBER(B2179),TEXT(B2179,"0000"),B2179),Addendum!G:G,"X")&gt;0,7%,0)</f>
        <v>0</v>
      </c>
      <c r="L2179" s="31">
        <f>IF(COUNTIFS(Addendum!C:C,A2179,Addendum!D:D,IF(ISNUMBER(B2179),TEXT(B2179,"0000"),B2179),Addendum!I:I,"X")&gt;0,10%,0)</f>
        <v>0.1</v>
      </c>
      <c r="M2179" s="34">
        <f t="shared" si="66"/>
        <v>0.02</v>
      </c>
      <c r="N2179" s="17">
        <f t="shared" si="67"/>
        <v>2469.6</v>
      </c>
    </row>
    <row r="2180" spans="1:14" x14ac:dyDescent="0.25">
      <c r="A2180" s="14" t="s">
        <v>773</v>
      </c>
      <c r="B2180" s="14">
        <v>2</v>
      </c>
      <c r="C2180" s="15" t="s">
        <v>772</v>
      </c>
      <c r="D2180" s="14" t="s">
        <v>1745</v>
      </c>
      <c r="E2180" s="14" t="s">
        <v>1747</v>
      </c>
      <c r="F2180" s="17" t="s">
        <v>2993</v>
      </c>
      <c r="G2180" s="14">
        <v>3000</v>
      </c>
      <c r="H2180" s="14">
        <v>2400</v>
      </c>
      <c r="I2180" s="31">
        <f>IF(COUNTIFS(Addendum!C:C,A2180,Addendum!D:D,IF(ISNUMBER(B2180),TEXT(B2180,"0000"),B2180),Addendum!E:E,"X")&gt;0,4%,0)</f>
        <v>0.04</v>
      </c>
      <c r="J2180" s="31">
        <f>IF(COUNTIFS(Addendum!C:C,A2180,Addendum!D:D,IF(ISNUMBER(B2180),TEXT(B2180,"0000"),B2180),Addendum!F:F,"X")&gt;0,2.5%,0)</f>
        <v>2.5000000000000001E-2</v>
      </c>
      <c r="K2180" s="31">
        <f>IF(COUNTIFS(Addendum!C:C,A2180,Addendum!D:D,IF(ISNUMBER(B2180),TEXT(B2180,"0000"),B2180),Addendum!G:G,"X")&gt;0,7%,0)</f>
        <v>0</v>
      </c>
      <c r="L2180" s="31">
        <f>IF(COUNTIFS(Addendum!C:C,A2180,Addendum!D:D,IF(ISNUMBER(B2180),TEXT(B2180,"0000"),B2180),Addendum!I:I,"X")&gt;0,10%,0)</f>
        <v>0.1</v>
      </c>
      <c r="M2180" s="34">
        <f t="shared" ref="M2180:M2243" si="68">IF(AND(I2180=0%,J2180=0%,K2180=0%,L2180=0%),0%,
IF(OR(TRIM(E2180)="OneTime",TRIM(D2180)=""),0%,
IF(
OR(
TRIM(D2180)="P1M",
AND(TRIM(D2180)="P1Y",TRIM(E2180)="Monthly"),
AND(TRIM(D2180)="P3Y",TRIM(E2180)="Monthly")
),
IF(AND(I2180=4%,J2180=0%,K2180=0%,L2180=0%),1%,
IF(AND(I2180=4%,J2180=2.5%,K2180=0%,L2180=10%),2%,
IF(AND(I2180=4%,J2180=0%,K2180=7%,L2180=10%),3%,0%))),
IF(
OR(
AND(TRIM(D2180)="P1Y",TRIM(E2180)="Annual"),
AND(TRIM(D2180)="P3Y",TRIM(E2180)="Annual"),
AND(TRIM(D2180)="P3Y",TRIM(E2180)="Triennial")
),
IF(AND(I2180=4%,J2180=0%,K2180=0%,L2180=0%),3%,
IF(AND(I2180=4%,J2180=2.5%,K2180=0%,L2180=10%),10%,
IF(AND(I2180=4%,J2180=0%,K2180=7%,L2180=10%),14%,0%))),
0%
))))</f>
        <v>0.1</v>
      </c>
      <c r="N2180" s="17">
        <f t="shared" ref="N2180:N2243" si="69">H2180-(H2180*M2180)</f>
        <v>2160</v>
      </c>
    </row>
    <row r="2181" spans="1:14" x14ac:dyDescent="0.25">
      <c r="A2181" s="14" t="s">
        <v>773</v>
      </c>
      <c r="B2181" s="14">
        <v>2</v>
      </c>
      <c r="C2181" s="15" t="s">
        <v>772</v>
      </c>
      <c r="D2181" s="14" t="s">
        <v>1749</v>
      </c>
      <c r="E2181" s="14" t="s">
        <v>1746</v>
      </c>
      <c r="F2181" s="17" t="s">
        <v>2993</v>
      </c>
      <c r="G2181" s="14">
        <v>300</v>
      </c>
      <c r="H2181" s="14">
        <v>240</v>
      </c>
      <c r="I2181" s="31">
        <f>IF(COUNTIFS(Addendum!C:C,A2181,Addendum!D:D,IF(ISNUMBER(B2181),TEXT(B2181,"0000"),B2181),Addendum!E:E,"X")&gt;0,4%,0)</f>
        <v>0.04</v>
      </c>
      <c r="J2181" s="31">
        <f>IF(COUNTIFS(Addendum!C:C,A2181,Addendum!D:D,IF(ISNUMBER(B2181),TEXT(B2181,"0000"),B2181),Addendum!F:F,"X")&gt;0,2.5%,0)</f>
        <v>2.5000000000000001E-2</v>
      </c>
      <c r="K2181" s="31">
        <f>IF(COUNTIFS(Addendum!C:C,A2181,Addendum!D:D,IF(ISNUMBER(B2181),TEXT(B2181,"0000"),B2181),Addendum!G:G,"X")&gt;0,7%,0)</f>
        <v>0</v>
      </c>
      <c r="L2181" s="31">
        <f>IF(COUNTIFS(Addendum!C:C,A2181,Addendum!D:D,IF(ISNUMBER(B2181),TEXT(B2181,"0000"),B2181),Addendum!I:I,"X")&gt;0,10%,0)</f>
        <v>0.1</v>
      </c>
      <c r="M2181" s="34">
        <f t="shared" si="68"/>
        <v>0.02</v>
      </c>
      <c r="N2181" s="17">
        <f t="shared" si="69"/>
        <v>235.2</v>
      </c>
    </row>
    <row r="2182" spans="1:14" x14ac:dyDescent="0.25">
      <c r="A2182" s="14" t="s">
        <v>776</v>
      </c>
      <c r="B2182" s="14">
        <v>5</v>
      </c>
      <c r="C2182" s="15" t="s">
        <v>775</v>
      </c>
      <c r="D2182" s="14" t="s">
        <v>1752</v>
      </c>
      <c r="E2182" s="14" t="s">
        <v>1747</v>
      </c>
      <c r="F2182" s="17" t="s">
        <v>2993</v>
      </c>
      <c r="G2182" s="14">
        <v>9000</v>
      </c>
      <c r="H2182" s="14">
        <v>7200</v>
      </c>
      <c r="I2182" s="31">
        <f>IF(COUNTIFS(Addendum!C:C,A2182,Addendum!D:D,IF(ISNUMBER(B2182),TEXT(B2182,"0000"),B2182),Addendum!E:E,"X")&gt;0,4%,0)</f>
        <v>0.04</v>
      </c>
      <c r="J2182" s="31">
        <f>IF(COUNTIFS(Addendum!C:C,A2182,Addendum!D:D,IF(ISNUMBER(B2182),TEXT(B2182,"0000"),B2182),Addendum!F:F,"X")&gt;0,2.5%,0)</f>
        <v>2.5000000000000001E-2</v>
      </c>
      <c r="K2182" s="31">
        <f>IF(COUNTIFS(Addendum!C:C,A2182,Addendum!D:D,IF(ISNUMBER(B2182),TEXT(B2182,"0000"),B2182),Addendum!G:G,"X")&gt;0,7%,0)</f>
        <v>0</v>
      </c>
      <c r="L2182" s="31">
        <f>IF(COUNTIFS(Addendum!C:C,A2182,Addendum!D:D,IF(ISNUMBER(B2182),TEXT(B2182,"0000"),B2182),Addendum!I:I,"X")&gt;0,10%,0)</f>
        <v>0.1</v>
      </c>
      <c r="M2182" s="34">
        <f t="shared" si="68"/>
        <v>0.1</v>
      </c>
      <c r="N2182" s="17">
        <f t="shared" si="69"/>
        <v>6480</v>
      </c>
    </row>
    <row r="2183" spans="1:14" x14ac:dyDescent="0.25">
      <c r="A2183" s="14" t="s">
        <v>776</v>
      </c>
      <c r="B2183" s="14">
        <v>7</v>
      </c>
      <c r="C2183" s="15" t="s">
        <v>2421</v>
      </c>
      <c r="D2183" s="14" t="s">
        <v>1745</v>
      </c>
      <c r="E2183" s="14" t="s">
        <v>1747</v>
      </c>
      <c r="F2183" s="17" t="s">
        <v>2995</v>
      </c>
      <c r="G2183" s="14">
        <v>1197.5999999999999</v>
      </c>
      <c r="H2183" s="14">
        <v>1077.8399999999999</v>
      </c>
      <c r="I2183" s="31">
        <f>IF(COUNTIFS(Addendum!C:C,A2183,Addendum!D:D,IF(ISNUMBER(B2183),TEXT(B2183,"0000"),B2183),Addendum!E:E,"X")&gt;0,4%,0)</f>
        <v>0.04</v>
      </c>
      <c r="J2183" s="31">
        <f>IF(COUNTIFS(Addendum!C:C,A2183,Addendum!D:D,IF(ISNUMBER(B2183),TEXT(B2183,"0000"),B2183),Addendum!F:F,"X")&gt;0,2.5%,0)</f>
        <v>2.5000000000000001E-2</v>
      </c>
      <c r="K2183" s="31">
        <f>IF(COUNTIFS(Addendum!C:C,A2183,Addendum!D:D,IF(ISNUMBER(B2183),TEXT(B2183,"0000"),B2183),Addendum!G:G,"X")&gt;0,7%,0)</f>
        <v>0</v>
      </c>
      <c r="L2183" s="31">
        <f>IF(COUNTIFS(Addendum!C:C,A2183,Addendum!D:D,IF(ISNUMBER(B2183),TEXT(B2183,"0000"),B2183),Addendum!I:I,"X")&gt;0,10%,0)</f>
        <v>0.1</v>
      </c>
      <c r="M2183" s="34">
        <f t="shared" si="68"/>
        <v>0.1</v>
      </c>
      <c r="N2183" s="17">
        <f t="shared" si="69"/>
        <v>970.05599999999993</v>
      </c>
    </row>
    <row r="2184" spans="1:14" x14ac:dyDescent="0.25">
      <c r="A2184" s="14" t="s">
        <v>776</v>
      </c>
      <c r="B2184" s="14">
        <v>6</v>
      </c>
      <c r="C2184" s="15" t="s">
        <v>775</v>
      </c>
      <c r="D2184" s="14" t="s">
        <v>1749</v>
      </c>
      <c r="E2184" s="14" t="s">
        <v>1766</v>
      </c>
      <c r="F2184" s="17" t="s">
        <v>2993</v>
      </c>
      <c r="G2184" s="14">
        <v>0</v>
      </c>
      <c r="H2184" s="14">
        <v>0</v>
      </c>
      <c r="I2184" s="31">
        <f>IF(COUNTIFS(Addendum!C:C,A2184,Addendum!D:D,IF(ISNUMBER(B2184),TEXT(B2184,"0000"),B2184),Addendum!E:E,"X")&gt;0,4%,0)</f>
        <v>0.04</v>
      </c>
      <c r="J2184" s="31">
        <f>IF(COUNTIFS(Addendum!C:C,A2184,Addendum!D:D,IF(ISNUMBER(B2184),TEXT(B2184,"0000"),B2184),Addendum!F:F,"X")&gt;0,2.5%,0)</f>
        <v>2.5000000000000001E-2</v>
      </c>
      <c r="K2184" s="31">
        <f>IF(COUNTIFS(Addendum!C:C,A2184,Addendum!D:D,IF(ISNUMBER(B2184),TEXT(B2184,"0000"),B2184),Addendum!G:G,"X")&gt;0,7%,0)</f>
        <v>0</v>
      </c>
      <c r="L2184" s="31">
        <f>IF(COUNTIFS(Addendum!C:C,A2184,Addendum!D:D,IF(ISNUMBER(B2184),TEXT(B2184,"0000"),B2184),Addendum!I:I,"X")&gt;0,10%,0)</f>
        <v>0.1</v>
      </c>
      <c r="M2184" s="34">
        <f t="shared" si="68"/>
        <v>0.02</v>
      </c>
      <c r="N2184" s="17">
        <f t="shared" si="69"/>
        <v>0</v>
      </c>
    </row>
    <row r="2185" spans="1:14" x14ac:dyDescent="0.25">
      <c r="A2185" s="14" t="s">
        <v>776</v>
      </c>
      <c r="B2185" s="14">
        <v>5</v>
      </c>
      <c r="C2185" s="15" t="s">
        <v>775</v>
      </c>
      <c r="D2185" s="14" t="s">
        <v>1745</v>
      </c>
      <c r="E2185" s="14" t="s">
        <v>1746</v>
      </c>
      <c r="F2185" s="17" t="s">
        <v>2993</v>
      </c>
      <c r="G2185" s="14">
        <v>3150</v>
      </c>
      <c r="H2185" s="14">
        <v>2520</v>
      </c>
      <c r="I2185" s="31">
        <f>IF(COUNTIFS(Addendum!C:C,A2185,Addendum!D:D,IF(ISNUMBER(B2185),TEXT(B2185,"0000"),B2185),Addendum!E:E,"X")&gt;0,4%,0)</f>
        <v>0.04</v>
      </c>
      <c r="J2185" s="31">
        <f>IF(COUNTIFS(Addendum!C:C,A2185,Addendum!D:D,IF(ISNUMBER(B2185),TEXT(B2185,"0000"),B2185),Addendum!F:F,"X")&gt;0,2.5%,0)</f>
        <v>2.5000000000000001E-2</v>
      </c>
      <c r="K2185" s="31">
        <f>IF(COUNTIFS(Addendum!C:C,A2185,Addendum!D:D,IF(ISNUMBER(B2185),TEXT(B2185,"0000"),B2185),Addendum!G:G,"X")&gt;0,7%,0)</f>
        <v>0</v>
      </c>
      <c r="L2185" s="31">
        <f>IF(COUNTIFS(Addendum!C:C,A2185,Addendum!D:D,IF(ISNUMBER(B2185),TEXT(B2185,"0000"),B2185),Addendum!I:I,"X")&gt;0,10%,0)</f>
        <v>0.1</v>
      </c>
      <c r="M2185" s="34">
        <f t="shared" si="68"/>
        <v>0.02</v>
      </c>
      <c r="N2185" s="17">
        <f t="shared" si="69"/>
        <v>2469.6</v>
      </c>
    </row>
    <row r="2186" spans="1:14" x14ac:dyDescent="0.25">
      <c r="A2186" s="14" t="s">
        <v>776</v>
      </c>
      <c r="B2186" s="14">
        <v>7</v>
      </c>
      <c r="C2186" s="15" t="s">
        <v>2421</v>
      </c>
      <c r="D2186" s="14" t="s">
        <v>1749</v>
      </c>
      <c r="E2186" s="14" t="s">
        <v>1746</v>
      </c>
      <c r="F2186" s="17" t="s">
        <v>2995</v>
      </c>
      <c r="G2186" s="14">
        <v>119.76</v>
      </c>
      <c r="H2186" s="14">
        <v>107.78</v>
      </c>
      <c r="I2186" s="31">
        <f>IF(COUNTIFS(Addendum!C:C,A2186,Addendum!D:D,IF(ISNUMBER(B2186),TEXT(B2186,"0000"),B2186),Addendum!E:E,"X")&gt;0,4%,0)</f>
        <v>0.04</v>
      </c>
      <c r="J2186" s="31">
        <f>IF(COUNTIFS(Addendum!C:C,A2186,Addendum!D:D,IF(ISNUMBER(B2186),TEXT(B2186,"0000"),B2186),Addendum!F:F,"X")&gt;0,2.5%,0)</f>
        <v>2.5000000000000001E-2</v>
      </c>
      <c r="K2186" s="31">
        <f>IF(COUNTIFS(Addendum!C:C,A2186,Addendum!D:D,IF(ISNUMBER(B2186),TEXT(B2186,"0000"),B2186),Addendum!G:G,"X")&gt;0,7%,0)</f>
        <v>0</v>
      </c>
      <c r="L2186" s="31">
        <f>IF(COUNTIFS(Addendum!C:C,A2186,Addendum!D:D,IF(ISNUMBER(B2186),TEXT(B2186,"0000"),B2186),Addendum!I:I,"X")&gt;0,10%,0)</f>
        <v>0.1</v>
      </c>
      <c r="M2186" s="34">
        <f t="shared" si="68"/>
        <v>0.02</v>
      </c>
      <c r="N2186" s="17">
        <f t="shared" si="69"/>
        <v>105.62439999999999</v>
      </c>
    </row>
    <row r="2187" spans="1:14" x14ac:dyDescent="0.25">
      <c r="A2187" s="14" t="s">
        <v>776</v>
      </c>
      <c r="B2187" s="14">
        <v>5</v>
      </c>
      <c r="C2187" s="15" t="s">
        <v>775</v>
      </c>
      <c r="D2187" s="14" t="s">
        <v>1752</v>
      </c>
      <c r="E2187" s="14" t="s">
        <v>1753</v>
      </c>
      <c r="F2187" s="17" t="s">
        <v>2993</v>
      </c>
      <c r="G2187" s="14">
        <v>9000</v>
      </c>
      <c r="H2187" s="14">
        <v>7200</v>
      </c>
      <c r="I2187" s="31">
        <f>IF(COUNTIFS(Addendum!C:C,A2187,Addendum!D:D,IF(ISNUMBER(B2187),TEXT(B2187,"0000"),B2187),Addendum!E:E,"X")&gt;0,4%,0)</f>
        <v>0.04</v>
      </c>
      <c r="J2187" s="31">
        <f>IF(COUNTIFS(Addendum!C:C,A2187,Addendum!D:D,IF(ISNUMBER(B2187),TEXT(B2187,"0000"),B2187),Addendum!F:F,"X")&gt;0,2.5%,0)</f>
        <v>2.5000000000000001E-2</v>
      </c>
      <c r="K2187" s="31">
        <f>IF(COUNTIFS(Addendum!C:C,A2187,Addendum!D:D,IF(ISNUMBER(B2187),TEXT(B2187,"0000"),B2187),Addendum!G:G,"X")&gt;0,7%,0)</f>
        <v>0</v>
      </c>
      <c r="L2187" s="31">
        <f>IF(COUNTIFS(Addendum!C:C,A2187,Addendum!D:D,IF(ISNUMBER(B2187),TEXT(B2187,"0000"),B2187),Addendum!I:I,"X")&gt;0,10%,0)</f>
        <v>0.1</v>
      </c>
      <c r="M2187" s="34">
        <f t="shared" si="68"/>
        <v>0.1</v>
      </c>
      <c r="N2187" s="17">
        <f t="shared" si="69"/>
        <v>6480</v>
      </c>
    </row>
    <row r="2188" spans="1:14" x14ac:dyDescent="0.25">
      <c r="A2188" s="14" t="s">
        <v>776</v>
      </c>
      <c r="B2188" s="14">
        <v>7</v>
      </c>
      <c r="C2188" s="15" t="s">
        <v>2421</v>
      </c>
      <c r="D2188" s="14" t="s">
        <v>1745</v>
      </c>
      <c r="E2188" s="14" t="s">
        <v>1746</v>
      </c>
      <c r="F2188" s="17" t="s">
        <v>2995</v>
      </c>
      <c r="G2188" s="14">
        <v>1257.48</v>
      </c>
      <c r="H2188" s="14">
        <v>1131.72</v>
      </c>
      <c r="I2188" s="31">
        <f>IF(COUNTIFS(Addendum!C:C,A2188,Addendum!D:D,IF(ISNUMBER(B2188),TEXT(B2188,"0000"),B2188),Addendum!E:E,"X")&gt;0,4%,0)</f>
        <v>0.04</v>
      </c>
      <c r="J2188" s="31">
        <f>IF(COUNTIFS(Addendum!C:C,A2188,Addendum!D:D,IF(ISNUMBER(B2188),TEXT(B2188,"0000"),B2188),Addendum!F:F,"X")&gt;0,2.5%,0)</f>
        <v>2.5000000000000001E-2</v>
      </c>
      <c r="K2188" s="31">
        <f>IF(COUNTIFS(Addendum!C:C,A2188,Addendum!D:D,IF(ISNUMBER(B2188),TEXT(B2188,"0000"),B2188),Addendum!G:G,"X")&gt;0,7%,0)</f>
        <v>0</v>
      </c>
      <c r="L2188" s="31">
        <f>IF(COUNTIFS(Addendum!C:C,A2188,Addendum!D:D,IF(ISNUMBER(B2188),TEXT(B2188,"0000"),B2188),Addendum!I:I,"X")&gt;0,10%,0)</f>
        <v>0.1</v>
      </c>
      <c r="M2188" s="34">
        <f t="shared" si="68"/>
        <v>0.02</v>
      </c>
      <c r="N2188" s="17">
        <f t="shared" si="69"/>
        <v>1109.0856000000001</v>
      </c>
    </row>
    <row r="2189" spans="1:14" x14ac:dyDescent="0.25">
      <c r="A2189" s="14" t="s">
        <v>776</v>
      </c>
      <c r="B2189" s="14">
        <v>5</v>
      </c>
      <c r="C2189" s="15" t="s">
        <v>775</v>
      </c>
      <c r="D2189" s="14" t="s">
        <v>1749</v>
      </c>
      <c r="E2189" s="14" t="s">
        <v>1746</v>
      </c>
      <c r="F2189" s="17" t="s">
        <v>2993</v>
      </c>
      <c r="G2189" s="14">
        <v>300</v>
      </c>
      <c r="H2189" s="14">
        <v>240</v>
      </c>
      <c r="I2189" s="31">
        <f>IF(COUNTIFS(Addendum!C:C,A2189,Addendum!D:D,IF(ISNUMBER(B2189),TEXT(B2189,"0000"),B2189),Addendum!E:E,"X")&gt;0,4%,0)</f>
        <v>0.04</v>
      </c>
      <c r="J2189" s="31">
        <f>IF(COUNTIFS(Addendum!C:C,A2189,Addendum!D:D,IF(ISNUMBER(B2189),TEXT(B2189,"0000"),B2189),Addendum!F:F,"X")&gt;0,2.5%,0)</f>
        <v>2.5000000000000001E-2</v>
      </c>
      <c r="K2189" s="31">
        <f>IF(COUNTIFS(Addendum!C:C,A2189,Addendum!D:D,IF(ISNUMBER(B2189),TEXT(B2189,"0000"),B2189),Addendum!G:G,"X")&gt;0,7%,0)</f>
        <v>0</v>
      </c>
      <c r="L2189" s="31">
        <f>IF(COUNTIFS(Addendum!C:C,A2189,Addendum!D:D,IF(ISNUMBER(B2189),TEXT(B2189,"0000"),B2189),Addendum!I:I,"X")&gt;0,10%,0)</f>
        <v>0.1</v>
      </c>
      <c r="M2189" s="34">
        <f t="shared" si="68"/>
        <v>0.02</v>
      </c>
      <c r="N2189" s="17">
        <f t="shared" si="69"/>
        <v>235.2</v>
      </c>
    </row>
    <row r="2190" spans="1:14" x14ac:dyDescent="0.25">
      <c r="A2190" s="14" t="s">
        <v>776</v>
      </c>
      <c r="B2190" s="14">
        <v>5</v>
      </c>
      <c r="C2190" s="15" t="s">
        <v>775</v>
      </c>
      <c r="D2190" s="14" t="s">
        <v>1745</v>
      </c>
      <c r="E2190" s="14" t="s">
        <v>1747</v>
      </c>
      <c r="F2190" s="17" t="s">
        <v>2993</v>
      </c>
      <c r="G2190" s="14">
        <v>3000</v>
      </c>
      <c r="H2190" s="14">
        <v>2400</v>
      </c>
      <c r="I2190" s="31">
        <f>IF(COUNTIFS(Addendum!C:C,A2190,Addendum!D:D,IF(ISNUMBER(B2190),TEXT(B2190,"0000"),B2190),Addendum!E:E,"X")&gt;0,4%,0)</f>
        <v>0.04</v>
      </c>
      <c r="J2190" s="31">
        <f>IF(COUNTIFS(Addendum!C:C,A2190,Addendum!D:D,IF(ISNUMBER(B2190),TEXT(B2190,"0000"),B2190),Addendum!F:F,"X")&gt;0,2.5%,0)</f>
        <v>2.5000000000000001E-2</v>
      </c>
      <c r="K2190" s="31">
        <f>IF(COUNTIFS(Addendum!C:C,A2190,Addendum!D:D,IF(ISNUMBER(B2190),TEXT(B2190,"0000"),B2190),Addendum!G:G,"X")&gt;0,7%,0)</f>
        <v>0</v>
      </c>
      <c r="L2190" s="31">
        <f>IF(COUNTIFS(Addendum!C:C,A2190,Addendum!D:D,IF(ISNUMBER(B2190),TEXT(B2190,"0000"),B2190),Addendum!I:I,"X")&gt;0,10%,0)</f>
        <v>0.1</v>
      </c>
      <c r="M2190" s="34">
        <f t="shared" si="68"/>
        <v>0.1</v>
      </c>
      <c r="N2190" s="17">
        <f t="shared" si="69"/>
        <v>2160</v>
      </c>
    </row>
    <row r="2191" spans="1:14" x14ac:dyDescent="0.25">
      <c r="A2191" s="14" t="s">
        <v>782</v>
      </c>
      <c r="B2191" s="14" t="s">
        <v>29</v>
      </c>
      <c r="C2191" s="15" t="s">
        <v>2422</v>
      </c>
      <c r="D2191" s="14" t="s">
        <v>1745</v>
      </c>
      <c r="E2191" s="14" t="s">
        <v>1746</v>
      </c>
      <c r="F2191" s="17" t="s">
        <v>2995</v>
      </c>
      <c r="G2191" s="14">
        <v>917.28</v>
      </c>
      <c r="H2191" s="14">
        <v>825.6</v>
      </c>
      <c r="I2191" s="31">
        <f>IF(COUNTIFS(Addendum!C:C,A2191,Addendum!D:D,IF(ISNUMBER(B2191),TEXT(B2191,"0000"),B2191),Addendum!E:E,"X")&gt;0,4%,0)</f>
        <v>0.04</v>
      </c>
      <c r="J2191" s="31">
        <f>IF(COUNTIFS(Addendum!C:C,A2191,Addendum!D:D,IF(ISNUMBER(B2191),TEXT(B2191,"0000"),B2191),Addendum!F:F,"X")&gt;0,2.5%,0)</f>
        <v>0</v>
      </c>
      <c r="K2191" s="31">
        <f>IF(COUNTIFS(Addendum!C:C,A2191,Addendum!D:D,IF(ISNUMBER(B2191),TEXT(B2191,"0000"),B2191),Addendum!G:G,"X")&gt;0,7%,0)</f>
        <v>0</v>
      </c>
      <c r="L2191" s="31">
        <f>IF(COUNTIFS(Addendum!C:C,A2191,Addendum!D:D,IF(ISNUMBER(B2191),TEXT(B2191,"0000"),B2191),Addendum!I:I,"X")&gt;0,10%,0)</f>
        <v>0</v>
      </c>
      <c r="M2191" s="34">
        <f t="shared" si="68"/>
        <v>0.01</v>
      </c>
      <c r="N2191" s="17">
        <f t="shared" si="69"/>
        <v>817.34400000000005</v>
      </c>
    </row>
    <row r="2192" spans="1:14" x14ac:dyDescent="0.25">
      <c r="A2192" s="14" t="s">
        <v>782</v>
      </c>
      <c r="B2192" s="14" t="s">
        <v>36</v>
      </c>
      <c r="C2192" s="15" t="s">
        <v>2423</v>
      </c>
      <c r="D2192" s="14" t="s">
        <v>1745</v>
      </c>
      <c r="E2192" s="14" t="s">
        <v>1746</v>
      </c>
      <c r="F2192" s="17" t="s">
        <v>2994</v>
      </c>
      <c r="G2192" s="14">
        <v>733.8</v>
      </c>
      <c r="H2192" s="14">
        <v>587.04</v>
      </c>
      <c r="I2192" s="31">
        <f>IF(COUNTIFS(Addendum!C:C,A2192,Addendum!D:D,IF(ISNUMBER(B2192),TEXT(B2192,"0000"),B2192),Addendum!E:E,"X")&gt;0,4%,0)</f>
        <v>0.04</v>
      </c>
      <c r="J2192" s="31">
        <f>IF(COUNTIFS(Addendum!C:C,A2192,Addendum!D:D,IF(ISNUMBER(B2192),TEXT(B2192,"0000"),B2192),Addendum!F:F,"X")&gt;0,2.5%,0)</f>
        <v>0</v>
      </c>
      <c r="K2192" s="31">
        <f>IF(COUNTIFS(Addendum!C:C,A2192,Addendum!D:D,IF(ISNUMBER(B2192),TEXT(B2192,"0000"),B2192),Addendum!G:G,"X")&gt;0,7%,0)</f>
        <v>0</v>
      </c>
      <c r="L2192" s="31">
        <f>IF(COUNTIFS(Addendum!C:C,A2192,Addendum!D:D,IF(ISNUMBER(B2192),TEXT(B2192,"0000"),B2192),Addendum!I:I,"X")&gt;0,10%,0)</f>
        <v>0</v>
      </c>
      <c r="M2192" s="34">
        <f t="shared" si="68"/>
        <v>0.01</v>
      </c>
      <c r="N2192" s="17">
        <f t="shared" si="69"/>
        <v>581.16959999999995</v>
      </c>
    </row>
    <row r="2193" spans="1:14" x14ac:dyDescent="0.25">
      <c r="A2193" s="14" t="s">
        <v>782</v>
      </c>
      <c r="B2193" s="14" t="s">
        <v>122</v>
      </c>
      <c r="C2193" s="15" t="s">
        <v>2424</v>
      </c>
      <c r="D2193" s="14" t="s">
        <v>1749</v>
      </c>
      <c r="E2193" s="14" t="s">
        <v>1746</v>
      </c>
      <c r="F2193" s="17" t="s">
        <v>2994</v>
      </c>
      <c r="G2193" s="14">
        <v>69.89</v>
      </c>
      <c r="H2193" s="14">
        <v>55.91</v>
      </c>
      <c r="I2193" s="31">
        <f>IF(COUNTIFS(Addendum!C:C,A2193,Addendum!D:D,IF(ISNUMBER(B2193),TEXT(B2193,"0000"),B2193),Addendum!E:E,"X")&gt;0,4%,0)</f>
        <v>0.04</v>
      </c>
      <c r="J2193" s="31">
        <f>IF(COUNTIFS(Addendum!C:C,A2193,Addendum!D:D,IF(ISNUMBER(B2193),TEXT(B2193,"0000"),B2193),Addendum!F:F,"X")&gt;0,2.5%,0)</f>
        <v>0</v>
      </c>
      <c r="K2193" s="31">
        <f>IF(COUNTIFS(Addendum!C:C,A2193,Addendum!D:D,IF(ISNUMBER(B2193),TEXT(B2193,"0000"),B2193),Addendum!G:G,"X")&gt;0,7%,0)</f>
        <v>0</v>
      </c>
      <c r="L2193" s="31">
        <f>IF(COUNTIFS(Addendum!C:C,A2193,Addendum!D:D,IF(ISNUMBER(B2193),TEXT(B2193,"0000"),B2193),Addendum!I:I,"X")&gt;0,10%,0)</f>
        <v>0</v>
      </c>
      <c r="M2193" s="34">
        <f t="shared" si="68"/>
        <v>0.01</v>
      </c>
      <c r="N2193" s="17">
        <f t="shared" si="69"/>
        <v>55.350899999999996</v>
      </c>
    </row>
    <row r="2194" spans="1:14" x14ac:dyDescent="0.25">
      <c r="A2194" s="14" t="s">
        <v>782</v>
      </c>
      <c r="B2194" s="14" t="s">
        <v>46</v>
      </c>
      <c r="C2194" s="15" t="s">
        <v>783</v>
      </c>
      <c r="D2194" s="14" t="s">
        <v>1745</v>
      </c>
      <c r="E2194" s="14" t="s">
        <v>1746</v>
      </c>
      <c r="F2194" s="17" t="s">
        <v>2993</v>
      </c>
      <c r="G2194" s="14">
        <v>2520</v>
      </c>
      <c r="H2194" s="14">
        <v>2016</v>
      </c>
      <c r="I2194" s="31">
        <f>IF(COUNTIFS(Addendum!C:C,A2194,Addendum!D:D,IF(ISNUMBER(B2194),TEXT(B2194,"0000"),B2194),Addendum!E:E,"X")&gt;0,4%,0)</f>
        <v>0.04</v>
      </c>
      <c r="J2194" s="31">
        <f>IF(COUNTIFS(Addendum!C:C,A2194,Addendum!D:D,IF(ISNUMBER(B2194),TEXT(B2194,"0000"),B2194),Addendum!F:F,"X")&gt;0,2.5%,0)</f>
        <v>0</v>
      </c>
      <c r="K2194" s="31">
        <f>IF(COUNTIFS(Addendum!C:C,A2194,Addendum!D:D,IF(ISNUMBER(B2194),TEXT(B2194,"0000"),B2194),Addendum!G:G,"X")&gt;0,7%,0)</f>
        <v>0</v>
      </c>
      <c r="L2194" s="31">
        <f>IF(COUNTIFS(Addendum!C:C,A2194,Addendum!D:D,IF(ISNUMBER(B2194),TEXT(B2194,"0000"),B2194),Addendum!I:I,"X")&gt;0,10%,0)</f>
        <v>0</v>
      </c>
      <c r="M2194" s="34">
        <f t="shared" si="68"/>
        <v>0.01</v>
      </c>
      <c r="N2194" s="17">
        <f t="shared" si="69"/>
        <v>1995.84</v>
      </c>
    </row>
    <row r="2195" spans="1:14" x14ac:dyDescent="0.25">
      <c r="A2195" s="14" t="s">
        <v>782</v>
      </c>
      <c r="B2195" s="14">
        <v>1</v>
      </c>
      <c r="C2195" s="15" t="s">
        <v>786</v>
      </c>
      <c r="D2195" s="14" t="s">
        <v>1749</v>
      </c>
      <c r="E2195" s="14" t="s">
        <v>1746</v>
      </c>
      <c r="F2195" s="17" t="s">
        <v>2993</v>
      </c>
      <c r="G2195" s="14">
        <v>348</v>
      </c>
      <c r="H2195" s="14">
        <v>278.39999999999998</v>
      </c>
      <c r="I2195" s="31">
        <f>IF(COUNTIFS(Addendum!C:C,A2195,Addendum!D:D,IF(ISNUMBER(B2195),TEXT(B2195,"0000"),B2195),Addendum!E:E,"X")&gt;0,4%,0)</f>
        <v>0.04</v>
      </c>
      <c r="J2195" s="31">
        <f>IF(COUNTIFS(Addendum!C:C,A2195,Addendum!D:D,IF(ISNUMBER(B2195),TEXT(B2195,"0000"),B2195),Addendum!F:F,"X")&gt;0,2.5%,0)</f>
        <v>0</v>
      </c>
      <c r="K2195" s="31">
        <f>IF(COUNTIFS(Addendum!C:C,A2195,Addendum!D:D,IF(ISNUMBER(B2195),TEXT(B2195,"0000"),B2195),Addendum!G:G,"X")&gt;0,7%,0)</f>
        <v>0</v>
      </c>
      <c r="L2195" s="31">
        <f>IF(COUNTIFS(Addendum!C:C,A2195,Addendum!D:D,IF(ISNUMBER(B2195),TEXT(B2195,"0000"),B2195),Addendum!I:I,"X")&gt;0,10%,0)</f>
        <v>0</v>
      </c>
      <c r="M2195" s="34">
        <f t="shared" si="68"/>
        <v>0.01</v>
      </c>
      <c r="N2195" s="17">
        <f t="shared" si="69"/>
        <v>275.61599999999999</v>
      </c>
    </row>
    <row r="2196" spans="1:14" x14ac:dyDescent="0.25">
      <c r="A2196" s="14" t="s">
        <v>782</v>
      </c>
      <c r="B2196" s="14" t="s">
        <v>46</v>
      </c>
      <c r="C2196" s="15" t="s">
        <v>783</v>
      </c>
      <c r="D2196" s="14" t="s">
        <v>1745</v>
      </c>
      <c r="E2196" s="14" t="s">
        <v>1747</v>
      </c>
      <c r="F2196" s="17" t="s">
        <v>2993</v>
      </c>
      <c r="G2196" s="14">
        <v>2400</v>
      </c>
      <c r="H2196" s="14">
        <v>1920</v>
      </c>
      <c r="I2196" s="31">
        <f>IF(COUNTIFS(Addendum!C:C,A2196,Addendum!D:D,IF(ISNUMBER(B2196),TEXT(B2196,"0000"),B2196),Addendum!E:E,"X")&gt;0,4%,0)</f>
        <v>0.04</v>
      </c>
      <c r="J2196" s="31">
        <f>IF(COUNTIFS(Addendum!C:C,A2196,Addendum!D:D,IF(ISNUMBER(B2196),TEXT(B2196,"0000"),B2196),Addendum!F:F,"X")&gt;0,2.5%,0)</f>
        <v>0</v>
      </c>
      <c r="K2196" s="31">
        <f>IF(COUNTIFS(Addendum!C:C,A2196,Addendum!D:D,IF(ISNUMBER(B2196),TEXT(B2196,"0000"),B2196),Addendum!G:G,"X")&gt;0,7%,0)</f>
        <v>0</v>
      </c>
      <c r="L2196" s="31">
        <f>IF(COUNTIFS(Addendum!C:C,A2196,Addendum!D:D,IF(ISNUMBER(B2196),TEXT(B2196,"0000"),B2196),Addendum!I:I,"X")&gt;0,10%,0)</f>
        <v>0</v>
      </c>
      <c r="M2196" s="34">
        <f t="shared" si="68"/>
        <v>0.03</v>
      </c>
      <c r="N2196" s="17">
        <f t="shared" si="69"/>
        <v>1862.4</v>
      </c>
    </row>
    <row r="2197" spans="1:14" x14ac:dyDescent="0.25">
      <c r="A2197" s="14" t="s">
        <v>782</v>
      </c>
      <c r="B2197" s="14" t="s">
        <v>122</v>
      </c>
      <c r="C2197" s="15" t="s">
        <v>2424</v>
      </c>
      <c r="D2197" s="14" t="s">
        <v>1745</v>
      </c>
      <c r="E2197" s="14" t="s">
        <v>1747</v>
      </c>
      <c r="F2197" s="17" t="s">
        <v>2994</v>
      </c>
      <c r="G2197" s="14">
        <v>698.88</v>
      </c>
      <c r="H2197" s="14">
        <v>559.1</v>
      </c>
      <c r="I2197" s="31">
        <f>IF(COUNTIFS(Addendum!C:C,A2197,Addendum!D:D,IF(ISNUMBER(B2197),TEXT(B2197,"0000"),B2197),Addendum!E:E,"X")&gt;0,4%,0)</f>
        <v>0.04</v>
      </c>
      <c r="J2197" s="31">
        <f>IF(COUNTIFS(Addendum!C:C,A2197,Addendum!D:D,IF(ISNUMBER(B2197),TEXT(B2197,"0000"),B2197),Addendum!F:F,"X")&gt;0,2.5%,0)</f>
        <v>0</v>
      </c>
      <c r="K2197" s="31">
        <f>IF(COUNTIFS(Addendum!C:C,A2197,Addendum!D:D,IF(ISNUMBER(B2197),TEXT(B2197,"0000"),B2197),Addendum!G:G,"X")&gt;0,7%,0)</f>
        <v>0</v>
      </c>
      <c r="L2197" s="31">
        <f>IF(COUNTIFS(Addendum!C:C,A2197,Addendum!D:D,IF(ISNUMBER(B2197),TEXT(B2197,"0000"),B2197),Addendum!I:I,"X")&gt;0,10%,0)</f>
        <v>0</v>
      </c>
      <c r="M2197" s="34">
        <f t="shared" si="68"/>
        <v>0.03</v>
      </c>
      <c r="N2197" s="17">
        <f t="shared" si="69"/>
        <v>542.327</v>
      </c>
    </row>
    <row r="2198" spans="1:14" x14ac:dyDescent="0.25">
      <c r="A2198" s="14" t="s">
        <v>782</v>
      </c>
      <c r="B2198" s="14" t="s">
        <v>36</v>
      </c>
      <c r="C2198" s="15" t="s">
        <v>2423</v>
      </c>
      <c r="D2198" s="14" t="s">
        <v>1745</v>
      </c>
      <c r="E2198" s="14" t="s">
        <v>1747</v>
      </c>
      <c r="F2198" s="17" t="s">
        <v>2994</v>
      </c>
      <c r="G2198" s="14">
        <v>698.88</v>
      </c>
      <c r="H2198" s="14">
        <v>559.1</v>
      </c>
      <c r="I2198" s="31">
        <f>IF(COUNTIFS(Addendum!C:C,A2198,Addendum!D:D,IF(ISNUMBER(B2198),TEXT(B2198,"0000"),B2198),Addendum!E:E,"X")&gt;0,4%,0)</f>
        <v>0.04</v>
      </c>
      <c r="J2198" s="31">
        <f>IF(COUNTIFS(Addendum!C:C,A2198,Addendum!D:D,IF(ISNUMBER(B2198),TEXT(B2198,"0000"),B2198),Addendum!F:F,"X")&gt;0,2.5%,0)</f>
        <v>0</v>
      </c>
      <c r="K2198" s="31">
        <f>IF(COUNTIFS(Addendum!C:C,A2198,Addendum!D:D,IF(ISNUMBER(B2198),TEXT(B2198,"0000"),B2198),Addendum!G:G,"X")&gt;0,7%,0)</f>
        <v>0</v>
      </c>
      <c r="L2198" s="31">
        <f>IF(COUNTIFS(Addendum!C:C,A2198,Addendum!D:D,IF(ISNUMBER(B2198),TEXT(B2198,"0000"),B2198),Addendum!I:I,"X")&gt;0,10%,0)</f>
        <v>0</v>
      </c>
      <c r="M2198" s="34">
        <f t="shared" si="68"/>
        <v>0.03</v>
      </c>
      <c r="N2198" s="17">
        <f t="shared" si="69"/>
        <v>542.327</v>
      </c>
    </row>
    <row r="2199" spans="1:14" x14ac:dyDescent="0.25">
      <c r="A2199" s="14" t="s">
        <v>782</v>
      </c>
      <c r="B2199" s="14">
        <v>1</v>
      </c>
      <c r="C2199" s="15" t="s">
        <v>786</v>
      </c>
      <c r="D2199" s="14" t="s">
        <v>1745</v>
      </c>
      <c r="E2199" s="14" t="s">
        <v>1746</v>
      </c>
      <c r="F2199" s="17" t="s">
        <v>2993</v>
      </c>
      <c r="G2199" s="14">
        <v>3654</v>
      </c>
      <c r="H2199" s="14">
        <v>2923.2</v>
      </c>
      <c r="I2199" s="31">
        <f>IF(COUNTIFS(Addendum!C:C,A2199,Addendum!D:D,IF(ISNUMBER(B2199),TEXT(B2199,"0000"),B2199),Addendum!E:E,"X")&gt;0,4%,0)</f>
        <v>0.04</v>
      </c>
      <c r="J2199" s="31">
        <f>IF(COUNTIFS(Addendum!C:C,A2199,Addendum!D:D,IF(ISNUMBER(B2199),TEXT(B2199,"0000"),B2199),Addendum!F:F,"X")&gt;0,2.5%,0)</f>
        <v>0</v>
      </c>
      <c r="K2199" s="31">
        <f>IF(COUNTIFS(Addendum!C:C,A2199,Addendum!D:D,IF(ISNUMBER(B2199),TEXT(B2199,"0000"),B2199),Addendum!G:G,"X")&gt;0,7%,0)</f>
        <v>0</v>
      </c>
      <c r="L2199" s="31">
        <f>IF(COUNTIFS(Addendum!C:C,A2199,Addendum!D:D,IF(ISNUMBER(B2199),TEXT(B2199,"0000"),B2199),Addendum!I:I,"X")&gt;0,10%,0)</f>
        <v>0</v>
      </c>
      <c r="M2199" s="34">
        <f t="shared" si="68"/>
        <v>0.01</v>
      </c>
      <c r="N2199" s="17">
        <f t="shared" si="69"/>
        <v>2893.9679999999998</v>
      </c>
    </row>
    <row r="2200" spans="1:14" x14ac:dyDescent="0.25">
      <c r="A2200" s="14" t="s">
        <v>782</v>
      </c>
      <c r="B2200" s="14" t="s">
        <v>29</v>
      </c>
      <c r="C2200" s="15" t="s">
        <v>2422</v>
      </c>
      <c r="D2200" s="14" t="s">
        <v>1745</v>
      </c>
      <c r="E2200" s="14" t="s">
        <v>1747</v>
      </c>
      <c r="F2200" s="17" t="s">
        <v>2995</v>
      </c>
      <c r="G2200" s="14">
        <v>873.6</v>
      </c>
      <c r="H2200" s="14">
        <v>786.24</v>
      </c>
      <c r="I2200" s="31">
        <f>IF(COUNTIFS(Addendum!C:C,A2200,Addendum!D:D,IF(ISNUMBER(B2200),TEXT(B2200,"0000"),B2200),Addendum!E:E,"X")&gt;0,4%,0)</f>
        <v>0.04</v>
      </c>
      <c r="J2200" s="31">
        <f>IF(COUNTIFS(Addendum!C:C,A2200,Addendum!D:D,IF(ISNUMBER(B2200),TEXT(B2200,"0000"),B2200),Addendum!F:F,"X")&gt;0,2.5%,0)</f>
        <v>0</v>
      </c>
      <c r="K2200" s="31">
        <f>IF(COUNTIFS(Addendum!C:C,A2200,Addendum!D:D,IF(ISNUMBER(B2200),TEXT(B2200,"0000"),B2200),Addendum!G:G,"X")&gt;0,7%,0)</f>
        <v>0</v>
      </c>
      <c r="L2200" s="31">
        <f>IF(COUNTIFS(Addendum!C:C,A2200,Addendum!D:D,IF(ISNUMBER(B2200),TEXT(B2200,"0000"),B2200),Addendum!I:I,"X")&gt;0,10%,0)</f>
        <v>0</v>
      </c>
      <c r="M2200" s="34">
        <f t="shared" si="68"/>
        <v>0.03</v>
      </c>
      <c r="N2200" s="17">
        <f t="shared" si="69"/>
        <v>762.65279999999996</v>
      </c>
    </row>
    <row r="2201" spans="1:14" x14ac:dyDescent="0.25">
      <c r="A2201" s="14" t="s">
        <v>782</v>
      </c>
      <c r="B2201" s="14" t="s">
        <v>46</v>
      </c>
      <c r="C2201" s="15" t="s">
        <v>783</v>
      </c>
      <c r="D2201" s="14" t="s">
        <v>1749</v>
      </c>
      <c r="E2201" s="14" t="s">
        <v>1746</v>
      </c>
      <c r="F2201" s="17" t="s">
        <v>2993</v>
      </c>
      <c r="G2201" s="14">
        <v>240</v>
      </c>
      <c r="H2201" s="14">
        <v>192</v>
      </c>
      <c r="I2201" s="31">
        <f>IF(COUNTIFS(Addendum!C:C,A2201,Addendum!D:D,IF(ISNUMBER(B2201),TEXT(B2201,"0000"),B2201),Addendum!E:E,"X")&gt;0,4%,0)</f>
        <v>0.04</v>
      </c>
      <c r="J2201" s="31">
        <f>IF(COUNTIFS(Addendum!C:C,A2201,Addendum!D:D,IF(ISNUMBER(B2201),TEXT(B2201,"0000"),B2201),Addendum!F:F,"X")&gt;0,2.5%,0)</f>
        <v>0</v>
      </c>
      <c r="K2201" s="31">
        <f>IF(COUNTIFS(Addendum!C:C,A2201,Addendum!D:D,IF(ISNUMBER(B2201),TEXT(B2201,"0000"),B2201),Addendum!G:G,"X")&gt;0,7%,0)</f>
        <v>0</v>
      </c>
      <c r="L2201" s="31">
        <f>IF(COUNTIFS(Addendum!C:C,A2201,Addendum!D:D,IF(ISNUMBER(B2201),TEXT(B2201,"0000"),B2201),Addendum!I:I,"X")&gt;0,10%,0)</f>
        <v>0</v>
      </c>
      <c r="M2201" s="34">
        <f t="shared" si="68"/>
        <v>0.01</v>
      </c>
      <c r="N2201" s="17">
        <f t="shared" si="69"/>
        <v>190.08</v>
      </c>
    </row>
    <row r="2202" spans="1:14" x14ac:dyDescent="0.25">
      <c r="A2202" s="14" t="s">
        <v>782</v>
      </c>
      <c r="B2202" s="14">
        <v>1</v>
      </c>
      <c r="C2202" s="15" t="s">
        <v>786</v>
      </c>
      <c r="D2202" s="14" t="s">
        <v>1745</v>
      </c>
      <c r="E2202" s="14" t="s">
        <v>1747</v>
      </c>
      <c r="F2202" s="17" t="s">
        <v>2993</v>
      </c>
      <c r="G2202" s="14">
        <v>3480</v>
      </c>
      <c r="H2202" s="14">
        <v>2784</v>
      </c>
      <c r="I2202" s="31">
        <f>IF(COUNTIFS(Addendum!C:C,A2202,Addendum!D:D,IF(ISNUMBER(B2202),TEXT(B2202,"0000"),B2202),Addendum!E:E,"X")&gt;0,4%,0)</f>
        <v>0.04</v>
      </c>
      <c r="J2202" s="31">
        <f>IF(COUNTIFS(Addendum!C:C,A2202,Addendum!D:D,IF(ISNUMBER(B2202),TEXT(B2202,"0000"),B2202),Addendum!F:F,"X")&gt;0,2.5%,0)</f>
        <v>0</v>
      </c>
      <c r="K2202" s="31">
        <f>IF(COUNTIFS(Addendum!C:C,A2202,Addendum!D:D,IF(ISNUMBER(B2202),TEXT(B2202,"0000"),B2202),Addendum!G:G,"X")&gt;0,7%,0)</f>
        <v>0</v>
      </c>
      <c r="L2202" s="31">
        <f>IF(COUNTIFS(Addendum!C:C,A2202,Addendum!D:D,IF(ISNUMBER(B2202),TEXT(B2202,"0000"),B2202),Addendum!I:I,"X")&gt;0,10%,0)</f>
        <v>0</v>
      </c>
      <c r="M2202" s="34">
        <f t="shared" si="68"/>
        <v>0.03</v>
      </c>
      <c r="N2202" s="17">
        <f t="shared" si="69"/>
        <v>2700.48</v>
      </c>
    </row>
    <row r="2203" spans="1:14" x14ac:dyDescent="0.25">
      <c r="A2203" s="14" t="s">
        <v>782</v>
      </c>
      <c r="B2203" s="14" t="s">
        <v>29</v>
      </c>
      <c r="C2203" s="15" t="s">
        <v>2422</v>
      </c>
      <c r="D2203" s="14" t="s">
        <v>1749</v>
      </c>
      <c r="E2203" s="14" t="s">
        <v>1746</v>
      </c>
      <c r="F2203" s="17" t="s">
        <v>2995</v>
      </c>
      <c r="G2203" s="14">
        <v>87.36</v>
      </c>
      <c r="H2203" s="14">
        <v>78.62</v>
      </c>
      <c r="I2203" s="31">
        <f>IF(COUNTIFS(Addendum!C:C,A2203,Addendum!D:D,IF(ISNUMBER(B2203),TEXT(B2203,"0000"),B2203),Addendum!E:E,"X")&gt;0,4%,0)</f>
        <v>0.04</v>
      </c>
      <c r="J2203" s="31">
        <f>IF(COUNTIFS(Addendum!C:C,A2203,Addendum!D:D,IF(ISNUMBER(B2203),TEXT(B2203,"0000"),B2203),Addendum!F:F,"X")&gt;0,2.5%,0)</f>
        <v>0</v>
      </c>
      <c r="K2203" s="31">
        <f>IF(COUNTIFS(Addendum!C:C,A2203,Addendum!D:D,IF(ISNUMBER(B2203),TEXT(B2203,"0000"),B2203),Addendum!G:G,"X")&gt;0,7%,0)</f>
        <v>0</v>
      </c>
      <c r="L2203" s="31">
        <f>IF(COUNTIFS(Addendum!C:C,A2203,Addendum!D:D,IF(ISNUMBER(B2203),TEXT(B2203,"0000"),B2203),Addendum!I:I,"X")&gt;0,10%,0)</f>
        <v>0</v>
      </c>
      <c r="M2203" s="34">
        <f t="shared" si="68"/>
        <v>0.01</v>
      </c>
      <c r="N2203" s="17">
        <f t="shared" si="69"/>
        <v>77.833800000000011</v>
      </c>
    </row>
    <row r="2204" spans="1:14" x14ac:dyDescent="0.25">
      <c r="A2204" s="14" t="s">
        <v>782</v>
      </c>
      <c r="B2204" s="14" t="s">
        <v>122</v>
      </c>
      <c r="C2204" s="15" t="s">
        <v>2424</v>
      </c>
      <c r="D2204" s="14" t="s">
        <v>1745</v>
      </c>
      <c r="E2204" s="14" t="s">
        <v>1746</v>
      </c>
      <c r="F2204" s="17" t="s">
        <v>2994</v>
      </c>
      <c r="G2204" s="14">
        <v>733.8</v>
      </c>
      <c r="H2204" s="14">
        <v>587.04</v>
      </c>
      <c r="I2204" s="31">
        <f>IF(COUNTIFS(Addendum!C:C,A2204,Addendum!D:D,IF(ISNUMBER(B2204),TEXT(B2204,"0000"),B2204),Addendum!E:E,"X")&gt;0,4%,0)</f>
        <v>0.04</v>
      </c>
      <c r="J2204" s="31">
        <f>IF(COUNTIFS(Addendum!C:C,A2204,Addendum!D:D,IF(ISNUMBER(B2204),TEXT(B2204,"0000"),B2204),Addendum!F:F,"X")&gt;0,2.5%,0)</f>
        <v>0</v>
      </c>
      <c r="K2204" s="31">
        <f>IF(COUNTIFS(Addendum!C:C,A2204,Addendum!D:D,IF(ISNUMBER(B2204),TEXT(B2204,"0000"),B2204),Addendum!G:G,"X")&gt;0,7%,0)</f>
        <v>0</v>
      </c>
      <c r="L2204" s="31">
        <f>IF(COUNTIFS(Addendum!C:C,A2204,Addendum!D:D,IF(ISNUMBER(B2204),TEXT(B2204,"0000"),B2204),Addendum!I:I,"X")&gt;0,10%,0)</f>
        <v>0</v>
      </c>
      <c r="M2204" s="34">
        <f t="shared" si="68"/>
        <v>0.01</v>
      </c>
      <c r="N2204" s="17">
        <f t="shared" si="69"/>
        <v>581.16959999999995</v>
      </c>
    </row>
    <row r="2205" spans="1:14" x14ac:dyDescent="0.25">
      <c r="A2205" s="14" t="s">
        <v>782</v>
      </c>
      <c r="B2205" s="14" t="s">
        <v>36</v>
      </c>
      <c r="C2205" s="15" t="s">
        <v>2423</v>
      </c>
      <c r="D2205" s="14" t="s">
        <v>1749</v>
      </c>
      <c r="E2205" s="14" t="s">
        <v>1746</v>
      </c>
      <c r="F2205" s="17" t="s">
        <v>2994</v>
      </c>
      <c r="G2205" s="14">
        <v>69.89</v>
      </c>
      <c r="H2205" s="14">
        <v>55.91</v>
      </c>
      <c r="I2205" s="31">
        <f>IF(COUNTIFS(Addendum!C:C,A2205,Addendum!D:D,IF(ISNUMBER(B2205),TEXT(B2205,"0000"),B2205),Addendum!E:E,"X")&gt;0,4%,0)</f>
        <v>0.04</v>
      </c>
      <c r="J2205" s="31">
        <f>IF(COUNTIFS(Addendum!C:C,A2205,Addendum!D:D,IF(ISNUMBER(B2205),TEXT(B2205,"0000"),B2205),Addendum!F:F,"X")&gt;0,2.5%,0)</f>
        <v>0</v>
      </c>
      <c r="K2205" s="31">
        <f>IF(COUNTIFS(Addendum!C:C,A2205,Addendum!D:D,IF(ISNUMBER(B2205),TEXT(B2205,"0000"),B2205),Addendum!G:G,"X")&gt;0,7%,0)</f>
        <v>0</v>
      </c>
      <c r="L2205" s="31">
        <f>IF(COUNTIFS(Addendum!C:C,A2205,Addendum!D:D,IF(ISNUMBER(B2205),TEXT(B2205,"0000"),B2205),Addendum!I:I,"X")&gt;0,10%,0)</f>
        <v>0</v>
      </c>
      <c r="M2205" s="34">
        <f t="shared" si="68"/>
        <v>0.01</v>
      </c>
      <c r="N2205" s="17">
        <f t="shared" si="69"/>
        <v>55.350899999999996</v>
      </c>
    </row>
    <row r="2206" spans="1:14" x14ac:dyDescent="0.25">
      <c r="A2206" s="14" t="s">
        <v>789</v>
      </c>
      <c r="B2206" s="14">
        <v>7</v>
      </c>
      <c r="C2206" s="15" t="s">
        <v>2425</v>
      </c>
      <c r="D2206" s="14" t="s">
        <v>1745</v>
      </c>
      <c r="E2206" s="14" t="s">
        <v>1746</v>
      </c>
      <c r="F2206" s="17" t="s">
        <v>2994</v>
      </c>
      <c r="G2206" s="14">
        <v>628.79999999999995</v>
      </c>
      <c r="H2206" s="14">
        <v>503.04</v>
      </c>
      <c r="I2206" s="31">
        <f>IF(COUNTIFS(Addendum!C:C,A2206,Addendum!D:D,IF(ISNUMBER(B2206),TEXT(B2206,"0000"),B2206),Addendum!E:E,"X")&gt;0,4%,0)</f>
        <v>0.04</v>
      </c>
      <c r="J2206" s="31">
        <f>IF(COUNTIFS(Addendum!C:C,A2206,Addendum!D:D,IF(ISNUMBER(B2206),TEXT(B2206,"0000"),B2206),Addendum!F:F,"X")&gt;0,2.5%,0)</f>
        <v>0</v>
      </c>
      <c r="K2206" s="31">
        <f>IF(COUNTIFS(Addendum!C:C,A2206,Addendum!D:D,IF(ISNUMBER(B2206),TEXT(B2206,"0000"),B2206),Addendum!G:G,"X")&gt;0,7%,0)</f>
        <v>0</v>
      </c>
      <c r="L2206" s="31">
        <f>IF(COUNTIFS(Addendum!C:C,A2206,Addendum!D:D,IF(ISNUMBER(B2206),TEXT(B2206,"0000"),B2206),Addendum!I:I,"X")&gt;0,10%,0)</f>
        <v>0</v>
      </c>
      <c r="M2206" s="34">
        <f t="shared" si="68"/>
        <v>0.01</v>
      </c>
      <c r="N2206" s="17">
        <f t="shared" si="69"/>
        <v>498.00960000000003</v>
      </c>
    </row>
    <row r="2207" spans="1:14" x14ac:dyDescent="0.25">
      <c r="A2207" s="14" t="s">
        <v>789</v>
      </c>
      <c r="B2207" s="14">
        <v>3</v>
      </c>
      <c r="C2207" s="15" t="s">
        <v>788</v>
      </c>
      <c r="D2207" s="14" t="s">
        <v>1745</v>
      </c>
      <c r="E2207" s="14" t="s">
        <v>1746</v>
      </c>
      <c r="F2207" s="17" t="s">
        <v>2993</v>
      </c>
      <c r="G2207" s="14">
        <v>3150</v>
      </c>
      <c r="H2207" s="14">
        <v>2520</v>
      </c>
      <c r="I2207" s="31">
        <f>IF(COUNTIFS(Addendum!C:C,A2207,Addendum!D:D,IF(ISNUMBER(B2207),TEXT(B2207,"0000"),B2207),Addendum!E:E,"X")&gt;0,4%,0)</f>
        <v>0.04</v>
      </c>
      <c r="J2207" s="31">
        <f>IF(COUNTIFS(Addendum!C:C,A2207,Addendum!D:D,IF(ISNUMBER(B2207),TEXT(B2207,"0000"),B2207),Addendum!F:F,"X")&gt;0,2.5%,0)</f>
        <v>0</v>
      </c>
      <c r="K2207" s="31">
        <f>IF(COUNTIFS(Addendum!C:C,A2207,Addendum!D:D,IF(ISNUMBER(B2207),TEXT(B2207,"0000"),B2207),Addendum!G:G,"X")&gt;0,7%,0)</f>
        <v>0</v>
      </c>
      <c r="L2207" s="31">
        <f>IF(COUNTIFS(Addendum!C:C,A2207,Addendum!D:D,IF(ISNUMBER(B2207),TEXT(B2207,"0000"),B2207),Addendum!I:I,"X")&gt;0,10%,0)</f>
        <v>0</v>
      </c>
      <c r="M2207" s="34">
        <f t="shared" si="68"/>
        <v>0.01</v>
      </c>
      <c r="N2207" s="17">
        <f t="shared" si="69"/>
        <v>2494.8000000000002</v>
      </c>
    </row>
    <row r="2208" spans="1:14" x14ac:dyDescent="0.25">
      <c r="A2208" s="14" t="s">
        <v>789</v>
      </c>
      <c r="B2208" s="14" t="s">
        <v>20</v>
      </c>
      <c r="C2208" s="15" t="s">
        <v>2426</v>
      </c>
      <c r="D2208" s="14" t="s">
        <v>1749</v>
      </c>
      <c r="E2208" s="14" t="s">
        <v>1746</v>
      </c>
      <c r="F2208" s="17" t="s">
        <v>2994</v>
      </c>
      <c r="G2208" s="14">
        <v>59.88</v>
      </c>
      <c r="H2208" s="14">
        <v>47.9</v>
      </c>
      <c r="I2208" s="31">
        <f>IF(COUNTIFS(Addendum!C:C,A2208,Addendum!D:D,IF(ISNUMBER(B2208),TEXT(B2208,"0000"),B2208),Addendum!E:E,"X")&gt;0,4%,0)</f>
        <v>0.04</v>
      </c>
      <c r="J2208" s="31">
        <f>IF(COUNTIFS(Addendum!C:C,A2208,Addendum!D:D,IF(ISNUMBER(B2208),TEXT(B2208,"0000"),B2208),Addendum!F:F,"X")&gt;0,2.5%,0)</f>
        <v>0</v>
      </c>
      <c r="K2208" s="31">
        <f>IF(COUNTIFS(Addendum!C:C,A2208,Addendum!D:D,IF(ISNUMBER(B2208),TEXT(B2208,"0000"),B2208),Addendum!G:G,"X")&gt;0,7%,0)</f>
        <v>0</v>
      </c>
      <c r="L2208" s="31">
        <f>IF(COUNTIFS(Addendum!C:C,A2208,Addendum!D:D,IF(ISNUMBER(B2208),TEXT(B2208,"0000"),B2208),Addendum!I:I,"X")&gt;0,10%,0)</f>
        <v>0</v>
      </c>
      <c r="M2208" s="34">
        <f t="shared" si="68"/>
        <v>0.01</v>
      </c>
      <c r="N2208" s="17">
        <f t="shared" si="69"/>
        <v>47.420999999999999</v>
      </c>
    </row>
    <row r="2209" spans="1:14" x14ac:dyDescent="0.25">
      <c r="A2209" s="14" t="s">
        <v>789</v>
      </c>
      <c r="B2209" s="14">
        <v>7</v>
      </c>
      <c r="C2209" s="15" t="s">
        <v>2425</v>
      </c>
      <c r="D2209" s="14" t="s">
        <v>1745</v>
      </c>
      <c r="E2209" s="14" t="s">
        <v>1747</v>
      </c>
      <c r="F2209" s="17" t="s">
        <v>2994</v>
      </c>
      <c r="G2209" s="14">
        <v>598.79999999999995</v>
      </c>
      <c r="H2209" s="14">
        <v>479.04</v>
      </c>
      <c r="I2209" s="31">
        <f>IF(COUNTIFS(Addendum!C:C,A2209,Addendum!D:D,IF(ISNUMBER(B2209),TEXT(B2209,"0000"),B2209),Addendum!E:E,"X")&gt;0,4%,0)</f>
        <v>0.04</v>
      </c>
      <c r="J2209" s="31">
        <f>IF(COUNTIFS(Addendum!C:C,A2209,Addendum!D:D,IF(ISNUMBER(B2209),TEXT(B2209,"0000"),B2209),Addendum!F:F,"X")&gt;0,2.5%,0)</f>
        <v>0</v>
      </c>
      <c r="K2209" s="31">
        <f>IF(COUNTIFS(Addendum!C:C,A2209,Addendum!D:D,IF(ISNUMBER(B2209),TEXT(B2209,"0000"),B2209),Addendum!G:G,"X")&gt;0,7%,0)</f>
        <v>0</v>
      </c>
      <c r="L2209" s="31">
        <f>IF(COUNTIFS(Addendum!C:C,A2209,Addendum!D:D,IF(ISNUMBER(B2209),TEXT(B2209,"0000"),B2209),Addendum!I:I,"X")&gt;0,10%,0)</f>
        <v>0</v>
      </c>
      <c r="M2209" s="34">
        <f t="shared" si="68"/>
        <v>0.03</v>
      </c>
      <c r="N2209" s="17">
        <f t="shared" si="69"/>
        <v>464.66880000000003</v>
      </c>
    </row>
    <row r="2210" spans="1:14" x14ac:dyDescent="0.25">
      <c r="A2210" s="14" t="s">
        <v>789</v>
      </c>
      <c r="B2210" s="14">
        <v>5</v>
      </c>
      <c r="C2210" s="15" t="s">
        <v>2427</v>
      </c>
      <c r="D2210" s="14" t="s">
        <v>1745</v>
      </c>
      <c r="E2210" s="14" t="s">
        <v>1747</v>
      </c>
      <c r="F2210" s="17" t="s">
        <v>2993</v>
      </c>
      <c r="G2210" s="14">
        <v>1980</v>
      </c>
      <c r="H2210" s="14">
        <v>1584</v>
      </c>
      <c r="I2210" s="31">
        <f>IF(COUNTIFS(Addendum!C:C,A2210,Addendum!D:D,IF(ISNUMBER(B2210),TEXT(B2210,"0000"),B2210),Addendum!E:E,"X")&gt;0,4%,0)</f>
        <v>0</v>
      </c>
      <c r="J2210" s="31">
        <f>IF(COUNTIFS(Addendum!C:C,A2210,Addendum!D:D,IF(ISNUMBER(B2210),TEXT(B2210,"0000"),B2210),Addendum!F:F,"X")&gt;0,2.5%,0)</f>
        <v>0</v>
      </c>
      <c r="K2210" s="31">
        <f>IF(COUNTIFS(Addendum!C:C,A2210,Addendum!D:D,IF(ISNUMBER(B2210),TEXT(B2210,"0000"),B2210),Addendum!G:G,"X")&gt;0,7%,0)</f>
        <v>0</v>
      </c>
      <c r="L2210" s="31">
        <f>IF(COUNTIFS(Addendum!C:C,A2210,Addendum!D:D,IF(ISNUMBER(B2210),TEXT(B2210,"0000"),B2210),Addendum!I:I,"X")&gt;0,10%,0)</f>
        <v>0</v>
      </c>
      <c r="M2210" s="34">
        <f t="shared" si="68"/>
        <v>0</v>
      </c>
      <c r="N2210" s="17">
        <f t="shared" si="69"/>
        <v>1584</v>
      </c>
    </row>
    <row r="2211" spans="1:14" x14ac:dyDescent="0.25">
      <c r="A2211" s="14" t="s">
        <v>789</v>
      </c>
      <c r="B2211" s="14" t="s">
        <v>20</v>
      </c>
      <c r="C2211" s="15" t="s">
        <v>2426</v>
      </c>
      <c r="D2211" s="14" t="s">
        <v>1745</v>
      </c>
      <c r="E2211" s="14" t="s">
        <v>1746</v>
      </c>
      <c r="F2211" s="17" t="s">
        <v>2994</v>
      </c>
      <c r="G2211" s="14">
        <v>628.79999999999995</v>
      </c>
      <c r="H2211" s="14">
        <v>503.04</v>
      </c>
      <c r="I2211" s="31">
        <f>IF(COUNTIFS(Addendum!C:C,A2211,Addendum!D:D,IF(ISNUMBER(B2211),TEXT(B2211,"0000"),B2211),Addendum!E:E,"X")&gt;0,4%,0)</f>
        <v>0.04</v>
      </c>
      <c r="J2211" s="31">
        <f>IF(COUNTIFS(Addendum!C:C,A2211,Addendum!D:D,IF(ISNUMBER(B2211),TEXT(B2211,"0000"),B2211),Addendum!F:F,"X")&gt;0,2.5%,0)</f>
        <v>0</v>
      </c>
      <c r="K2211" s="31">
        <f>IF(COUNTIFS(Addendum!C:C,A2211,Addendum!D:D,IF(ISNUMBER(B2211),TEXT(B2211,"0000"),B2211),Addendum!G:G,"X")&gt;0,7%,0)</f>
        <v>0</v>
      </c>
      <c r="L2211" s="31">
        <f>IF(COUNTIFS(Addendum!C:C,A2211,Addendum!D:D,IF(ISNUMBER(B2211),TEXT(B2211,"0000"),B2211),Addendum!I:I,"X")&gt;0,10%,0)</f>
        <v>0</v>
      </c>
      <c r="M2211" s="34">
        <f t="shared" si="68"/>
        <v>0.01</v>
      </c>
      <c r="N2211" s="17">
        <f t="shared" si="69"/>
        <v>498.00960000000003</v>
      </c>
    </row>
    <row r="2212" spans="1:14" x14ac:dyDescent="0.25">
      <c r="A2212" s="14" t="s">
        <v>789</v>
      </c>
      <c r="B2212" s="14">
        <v>3</v>
      </c>
      <c r="C2212" s="15" t="s">
        <v>788</v>
      </c>
      <c r="D2212" s="14" t="s">
        <v>1749</v>
      </c>
      <c r="E2212" s="14" t="s">
        <v>1746</v>
      </c>
      <c r="F2212" s="17" t="s">
        <v>2993</v>
      </c>
      <c r="G2212" s="14">
        <v>300</v>
      </c>
      <c r="H2212" s="14">
        <v>240</v>
      </c>
      <c r="I2212" s="31">
        <f>IF(COUNTIFS(Addendum!C:C,A2212,Addendum!D:D,IF(ISNUMBER(B2212),TEXT(B2212,"0000"),B2212),Addendum!E:E,"X")&gt;0,4%,0)</f>
        <v>0.04</v>
      </c>
      <c r="J2212" s="31">
        <f>IF(COUNTIFS(Addendum!C:C,A2212,Addendum!D:D,IF(ISNUMBER(B2212),TEXT(B2212,"0000"),B2212),Addendum!F:F,"X")&gt;0,2.5%,0)</f>
        <v>0</v>
      </c>
      <c r="K2212" s="31">
        <f>IF(COUNTIFS(Addendum!C:C,A2212,Addendum!D:D,IF(ISNUMBER(B2212),TEXT(B2212,"0000"),B2212),Addendum!G:G,"X")&gt;0,7%,0)</f>
        <v>0</v>
      </c>
      <c r="L2212" s="31">
        <f>IF(COUNTIFS(Addendum!C:C,A2212,Addendum!D:D,IF(ISNUMBER(B2212),TEXT(B2212,"0000"),B2212),Addendum!I:I,"X")&gt;0,10%,0)</f>
        <v>0</v>
      </c>
      <c r="M2212" s="34">
        <f t="shared" si="68"/>
        <v>0.01</v>
      </c>
      <c r="N2212" s="17">
        <f t="shared" si="69"/>
        <v>237.6</v>
      </c>
    </row>
    <row r="2213" spans="1:14" x14ac:dyDescent="0.25">
      <c r="A2213" s="14" t="s">
        <v>789</v>
      </c>
      <c r="B2213" s="14">
        <v>5</v>
      </c>
      <c r="C2213" s="15" t="s">
        <v>2427</v>
      </c>
      <c r="D2213" s="14" t="s">
        <v>1745</v>
      </c>
      <c r="E2213" s="14" t="s">
        <v>1746</v>
      </c>
      <c r="F2213" s="17" t="s">
        <v>2993</v>
      </c>
      <c r="G2213" s="14">
        <v>2079</v>
      </c>
      <c r="H2213" s="14">
        <v>1663.2</v>
      </c>
      <c r="I2213" s="31">
        <f>IF(COUNTIFS(Addendum!C:C,A2213,Addendum!D:D,IF(ISNUMBER(B2213),TEXT(B2213,"0000"),B2213),Addendum!E:E,"X")&gt;0,4%,0)</f>
        <v>0</v>
      </c>
      <c r="J2213" s="31">
        <f>IF(COUNTIFS(Addendum!C:C,A2213,Addendum!D:D,IF(ISNUMBER(B2213),TEXT(B2213,"0000"),B2213),Addendum!F:F,"X")&gt;0,2.5%,0)</f>
        <v>0</v>
      </c>
      <c r="K2213" s="31">
        <f>IF(COUNTIFS(Addendum!C:C,A2213,Addendum!D:D,IF(ISNUMBER(B2213),TEXT(B2213,"0000"),B2213),Addendum!G:G,"X")&gt;0,7%,0)</f>
        <v>0</v>
      </c>
      <c r="L2213" s="31">
        <f>IF(COUNTIFS(Addendum!C:C,A2213,Addendum!D:D,IF(ISNUMBER(B2213),TEXT(B2213,"0000"),B2213),Addendum!I:I,"X")&gt;0,10%,0)</f>
        <v>0</v>
      </c>
      <c r="M2213" s="34">
        <f t="shared" si="68"/>
        <v>0</v>
      </c>
      <c r="N2213" s="17">
        <f t="shared" si="69"/>
        <v>1663.2</v>
      </c>
    </row>
    <row r="2214" spans="1:14" x14ac:dyDescent="0.25">
      <c r="A2214" s="14" t="s">
        <v>789</v>
      </c>
      <c r="B2214" s="14">
        <v>3</v>
      </c>
      <c r="C2214" s="15" t="s">
        <v>788</v>
      </c>
      <c r="D2214" s="14" t="s">
        <v>1745</v>
      </c>
      <c r="E2214" s="14" t="s">
        <v>1747</v>
      </c>
      <c r="F2214" s="17" t="s">
        <v>2993</v>
      </c>
      <c r="G2214" s="14">
        <v>3000</v>
      </c>
      <c r="H2214" s="14">
        <v>2400</v>
      </c>
      <c r="I2214" s="31">
        <f>IF(COUNTIFS(Addendum!C:C,A2214,Addendum!D:D,IF(ISNUMBER(B2214),TEXT(B2214,"0000"),B2214),Addendum!E:E,"X")&gt;0,4%,0)</f>
        <v>0.04</v>
      </c>
      <c r="J2214" s="31">
        <f>IF(COUNTIFS(Addendum!C:C,A2214,Addendum!D:D,IF(ISNUMBER(B2214),TEXT(B2214,"0000"),B2214),Addendum!F:F,"X")&gt;0,2.5%,0)</f>
        <v>0</v>
      </c>
      <c r="K2214" s="31">
        <f>IF(COUNTIFS(Addendum!C:C,A2214,Addendum!D:D,IF(ISNUMBER(B2214),TEXT(B2214,"0000"),B2214),Addendum!G:G,"X")&gt;0,7%,0)</f>
        <v>0</v>
      </c>
      <c r="L2214" s="31">
        <f>IF(COUNTIFS(Addendum!C:C,A2214,Addendum!D:D,IF(ISNUMBER(B2214),TEXT(B2214,"0000"),B2214),Addendum!I:I,"X")&gt;0,10%,0)</f>
        <v>0</v>
      </c>
      <c r="M2214" s="34">
        <f t="shared" si="68"/>
        <v>0.03</v>
      </c>
      <c r="N2214" s="17">
        <f t="shared" si="69"/>
        <v>2328</v>
      </c>
    </row>
    <row r="2215" spans="1:14" x14ac:dyDescent="0.25">
      <c r="A2215" s="14" t="s">
        <v>789</v>
      </c>
      <c r="B2215" s="14">
        <v>5</v>
      </c>
      <c r="C2215" s="15" t="s">
        <v>2427</v>
      </c>
      <c r="D2215" s="14" t="s">
        <v>1749</v>
      </c>
      <c r="E2215" s="14" t="s">
        <v>1746</v>
      </c>
      <c r="F2215" s="17" t="s">
        <v>2993</v>
      </c>
      <c r="G2215" s="14">
        <v>198</v>
      </c>
      <c r="H2215" s="14">
        <v>158.4</v>
      </c>
      <c r="I2215" s="31">
        <f>IF(COUNTIFS(Addendum!C:C,A2215,Addendum!D:D,IF(ISNUMBER(B2215),TEXT(B2215,"0000"),B2215),Addendum!E:E,"X")&gt;0,4%,0)</f>
        <v>0</v>
      </c>
      <c r="J2215" s="31">
        <f>IF(COUNTIFS(Addendum!C:C,A2215,Addendum!D:D,IF(ISNUMBER(B2215),TEXT(B2215,"0000"),B2215),Addendum!F:F,"X")&gt;0,2.5%,0)</f>
        <v>0</v>
      </c>
      <c r="K2215" s="31">
        <f>IF(COUNTIFS(Addendum!C:C,A2215,Addendum!D:D,IF(ISNUMBER(B2215),TEXT(B2215,"0000"),B2215),Addendum!G:G,"X")&gt;0,7%,0)</f>
        <v>0</v>
      </c>
      <c r="L2215" s="31">
        <f>IF(COUNTIFS(Addendum!C:C,A2215,Addendum!D:D,IF(ISNUMBER(B2215),TEXT(B2215,"0000"),B2215),Addendum!I:I,"X")&gt;0,10%,0)</f>
        <v>0</v>
      </c>
      <c r="M2215" s="34">
        <f t="shared" si="68"/>
        <v>0</v>
      </c>
      <c r="N2215" s="17">
        <f t="shared" si="69"/>
        <v>158.4</v>
      </c>
    </row>
    <row r="2216" spans="1:14" x14ac:dyDescent="0.25">
      <c r="A2216" s="14" t="s">
        <v>789</v>
      </c>
      <c r="B2216" s="14">
        <v>9</v>
      </c>
      <c r="C2216" s="15" t="s">
        <v>2428</v>
      </c>
      <c r="D2216" s="14" t="s">
        <v>1749</v>
      </c>
      <c r="E2216" s="14" t="s">
        <v>1746</v>
      </c>
      <c r="F2216" s="17" t="s">
        <v>2995</v>
      </c>
      <c r="G2216" s="14">
        <v>74.88</v>
      </c>
      <c r="H2216" s="14">
        <v>67.39</v>
      </c>
      <c r="I2216" s="31">
        <f>IF(COUNTIFS(Addendum!C:C,A2216,Addendum!D:D,IF(ISNUMBER(B2216),TEXT(B2216,"0000"),B2216),Addendum!E:E,"X")&gt;0,4%,0)</f>
        <v>0.04</v>
      </c>
      <c r="J2216" s="31">
        <f>IF(COUNTIFS(Addendum!C:C,A2216,Addendum!D:D,IF(ISNUMBER(B2216),TEXT(B2216,"0000"),B2216),Addendum!F:F,"X")&gt;0,2.5%,0)</f>
        <v>0</v>
      </c>
      <c r="K2216" s="31">
        <f>IF(COUNTIFS(Addendum!C:C,A2216,Addendum!D:D,IF(ISNUMBER(B2216),TEXT(B2216,"0000"),B2216),Addendum!G:G,"X")&gt;0,7%,0)</f>
        <v>0</v>
      </c>
      <c r="L2216" s="31">
        <f>IF(COUNTIFS(Addendum!C:C,A2216,Addendum!D:D,IF(ISNUMBER(B2216),TEXT(B2216,"0000"),B2216),Addendum!I:I,"X")&gt;0,10%,0)</f>
        <v>0</v>
      </c>
      <c r="M2216" s="34">
        <f t="shared" si="68"/>
        <v>0.01</v>
      </c>
      <c r="N2216" s="17">
        <f t="shared" si="69"/>
        <v>66.716099999999997</v>
      </c>
    </row>
    <row r="2217" spans="1:14" x14ac:dyDescent="0.25">
      <c r="A2217" s="14" t="s">
        <v>789</v>
      </c>
      <c r="B2217" s="14">
        <v>9</v>
      </c>
      <c r="C2217" s="15" t="s">
        <v>2428</v>
      </c>
      <c r="D2217" s="14" t="s">
        <v>1745</v>
      </c>
      <c r="E2217" s="14" t="s">
        <v>1746</v>
      </c>
      <c r="F2217" s="17" t="s">
        <v>2995</v>
      </c>
      <c r="G2217" s="14">
        <v>786.24</v>
      </c>
      <c r="H2217" s="14">
        <v>707.64</v>
      </c>
      <c r="I2217" s="31">
        <f>IF(COUNTIFS(Addendum!C:C,A2217,Addendum!D:D,IF(ISNUMBER(B2217),TEXT(B2217,"0000"),B2217),Addendum!E:E,"X")&gt;0,4%,0)</f>
        <v>0.04</v>
      </c>
      <c r="J2217" s="31">
        <f>IF(COUNTIFS(Addendum!C:C,A2217,Addendum!D:D,IF(ISNUMBER(B2217),TEXT(B2217,"0000"),B2217),Addendum!F:F,"X")&gt;0,2.5%,0)</f>
        <v>0</v>
      </c>
      <c r="K2217" s="31">
        <f>IF(COUNTIFS(Addendum!C:C,A2217,Addendum!D:D,IF(ISNUMBER(B2217),TEXT(B2217,"0000"),B2217),Addendum!G:G,"X")&gt;0,7%,0)</f>
        <v>0</v>
      </c>
      <c r="L2217" s="31">
        <f>IF(COUNTIFS(Addendum!C:C,A2217,Addendum!D:D,IF(ISNUMBER(B2217),TEXT(B2217,"0000"),B2217),Addendum!I:I,"X")&gt;0,10%,0)</f>
        <v>0</v>
      </c>
      <c r="M2217" s="34">
        <f t="shared" si="68"/>
        <v>0.01</v>
      </c>
      <c r="N2217" s="17">
        <f t="shared" si="69"/>
        <v>700.56359999999995</v>
      </c>
    </row>
    <row r="2218" spans="1:14" x14ac:dyDescent="0.25">
      <c r="A2218" s="14" t="s">
        <v>789</v>
      </c>
      <c r="B2218" s="14">
        <v>7</v>
      </c>
      <c r="C2218" s="15" t="s">
        <v>2425</v>
      </c>
      <c r="D2218" s="14" t="s">
        <v>1749</v>
      </c>
      <c r="E2218" s="14" t="s">
        <v>1746</v>
      </c>
      <c r="F2218" s="17" t="s">
        <v>2994</v>
      </c>
      <c r="G2218" s="14">
        <v>59.88</v>
      </c>
      <c r="H2218" s="14">
        <v>47.9</v>
      </c>
      <c r="I2218" s="31">
        <f>IF(COUNTIFS(Addendum!C:C,A2218,Addendum!D:D,IF(ISNUMBER(B2218),TEXT(B2218,"0000"),B2218),Addendum!E:E,"X")&gt;0,4%,0)</f>
        <v>0.04</v>
      </c>
      <c r="J2218" s="31">
        <f>IF(COUNTIFS(Addendum!C:C,A2218,Addendum!D:D,IF(ISNUMBER(B2218),TEXT(B2218,"0000"),B2218),Addendum!F:F,"X")&gt;0,2.5%,0)</f>
        <v>0</v>
      </c>
      <c r="K2218" s="31">
        <f>IF(COUNTIFS(Addendum!C:C,A2218,Addendum!D:D,IF(ISNUMBER(B2218),TEXT(B2218,"0000"),B2218),Addendum!G:G,"X")&gt;0,7%,0)</f>
        <v>0</v>
      </c>
      <c r="L2218" s="31">
        <f>IF(COUNTIFS(Addendum!C:C,A2218,Addendum!D:D,IF(ISNUMBER(B2218),TEXT(B2218,"0000"),B2218),Addendum!I:I,"X")&gt;0,10%,0)</f>
        <v>0</v>
      </c>
      <c r="M2218" s="34">
        <f t="shared" si="68"/>
        <v>0.01</v>
      </c>
      <c r="N2218" s="17">
        <f t="shared" si="69"/>
        <v>47.420999999999999</v>
      </c>
    </row>
    <row r="2219" spans="1:14" x14ac:dyDescent="0.25">
      <c r="A2219" s="14" t="s">
        <v>789</v>
      </c>
      <c r="B2219" s="14" t="s">
        <v>20</v>
      </c>
      <c r="C2219" s="15" t="s">
        <v>2426</v>
      </c>
      <c r="D2219" s="14" t="s">
        <v>1745</v>
      </c>
      <c r="E2219" s="14" t="s">
        <v>1747</v>
      </c>
      <c r="F2219" s="17" t="s">
        <v>2994</v>
      </c>
      <c r="G2219" s="14">
        <v>598.79999999999995</v>
      </c>
      <c r="H2219" s="14">
        <v>479.04</v>
      </c>
      <c r="I2219" s="31">
        <f>IF(COUNTIFS(Addendum!C:C,A2219,Addendum!D:D,IF(ISNUMBER(B2219),TEXT(B2219,"0000"),B2219),Addendum!E:E,"X")&gt;0,4%,0)</f>
        <v>0.04</v>
      </c>
      <c r="J2219" s="31">
        <f>IF(COUNTIFS(Addendum!C:C,A2219,Addendum!D:D,IF(ISNUMBER(B2219),TEXT(B2219,"0000"),B2219),Addendum!F:F,"X")&gt;0,2.5%,0)</f>
        <v>0</v>
      </c>
      <c r="K2219" s="31">
        <f>IF(COUNTIFS(Addendum!C:C,A2219,Addendum!D:D,IF(ISNUMBER(B2219),TEXT(B2219,"0000"),B2219),Addendum!G:G,"X")&gt;0,7%,0)</f>
        <v>0</v>
      </c>
      <c r="L2219" s="31">
        <f>IF(COUNTIFS(Addendum!C:C,A2219,Addendum!D:D,IF(ISNUMBER(B2219),TEXT(B2219,"0000"),B2219),Addendum!I:I,"X")&gt;0,10%,0)</f>
        <v>0</v>
      </c>
      <c r="M2219" s="34">
        <f t="shared" si="68"/>
        <v>0.03</v>
      </c>
      <c r="N2219" s="17">
        <f t="shared" si="69"/>
        <v>464.66880000000003</v>
      </c>
    </row>
    <row r="2220" spans="1:14" x14ac:dyDescent="0.25">
      <c r="A2220" s="14" t="s">
        <v>789</v>
      </c>
      <c r="B2220" s="14">
        <v>9</v>
      </c>
      <c r="C2220" s="15" t="s">
        <v>2428</v>
      </c>
      <c r="D2220" s="14" t="s">
        <v>1745</v>
      </c>
      <c r="E2220" s="14" t="s">
        <v>1747</v>
      </c>
      <c r="F2220" s="17" t="s">
        <v>2995</v>
      </c>
      <c r="G2220" s="14">
        <v>748.8</v>
      </c>
      <c r="H2220" s="14">
        <v>673.92</v>
      </c>
      <c r="I2220" s="31">
        <f>IF(COUNTIFS(Addendum!C:C,A2220,Addendum!D:D,IF(ISNUMBER(B2220),TEXT(B2220,"0000"),B2220),Addendum!E:E,"X")&gt;0,4%,0)</f>
        <v>0.04</v>
      </c>
      <c r="J2220" s="31">
        <f>IF(COUNTIFS(Addendum!C:C,A2220,Addendum!D:D,IF(ISNUMBER(B2220),TEXT(B2220,"0000"),B2220),Addendum!F:F,"X")&gt;0,2.5%,0)</f>
        <v>0</v>
      </c>
      <c r="K2220" s="31">
        <f>IF(COUNTIFS(Addendum!C:C,A2220,Addendum!D:D,IF(ISNUMBER(B2220),TEXT(B2220,"0000"),B2220),Addendum!G:G,"X")&gt;0,7%,0)</f>
        <v>0</v>
      </c>
      <c r="L2220" s="31">
        <f>IF(COUNTIFS(Addendum!C:C,A2220,Addendum!D:D,IF(ISNUMBER(B2220),TEXT(B2220,"0000"),B2220),Addendum!I:I,"X")&gt;0,10%,0)</f>
        <v>0</v>
      </c>
      <c r="M2220" s="34">
        <f t="shared" si="68"/>
        <v>0.03</v>
      </c>
      <c r="N2220" s="17">
        <f t="shared" si="69"/>
        <v>653.70240000000001</v>
      </c>
    </row>
    <row r="2221" spans="1:14" x14ac:dyDescent="0.25">
      <c r="A2221" s="14" t="s">
        <v>798</v>
      </c>
      <c r="B2221" s="14" t="s">
        <v>650</v>
      </c>
      <c r="C2221" s="15" t="s">
        <v>2429</v>
      </c>
      <c r="D2221" s="14" t="s">
        <v>1745</v>
      </c>
      <c r="E2221" s="14" t="s">
        <v>1747</v>
      </c>
      <c r="F2221" s="17" t="s">
        <v>2993</v>
      </c>
      <c r="G2221" s="14">
        <v>3480</v>
      </c>
      <c r="H2221" s="14">
        <v>2784</v>
      </c>
      <c r="I2221" s="31">
        <f>IF(COUNTIFS(Addendum!C:C,A2221,Addendum!D:D,IF(ISNUMBER(B2221),TEXT(B2221,"0000"),B2221),Addendum!E:E,"X")&gt;0,4%,0)</f>
        <v>0</v>
      </c>
      <c r="J2221" s="31">
        <f>IF(COUNTIFS(Addendum!C:C,A2221,Addendum!D:D,IF(ISNUMBER(B2221),TEXT(B2221,"0000"),B2221),Addendum!F:F,"X")&gt;0,2.5%,0)</f>
        <v>0</v>
      </c>
      <c r="K2221" s="31">
        <f>IF(COUNTIFS(Addendum!C:C,A2221,Addendum!D:D,IF(ISNUMBER(B2221),TEXT(B2221,"0000"),B2221),Addendum!G:G,"X")&gt;0,7%,0)</f>
        <v>0</v>
      </c>
      <c r="L2221" s="31">
        <f>IF(COUNTIFS(Addendum!C:C,A2221,Addendum!D:D,IF(ISNUMBER(B2221),TEXT(B2221,"0000"),B2221),Addendum!I:I,"X")&gt;0,10%,0)</f>
        <v>0</v>
      </c>
      <c r="M2221" s="34">
        <f t="shared" si="68"/>
        <v>0</v>
      </c>
      <c r="N2221" s="17">
        <f t="shared" si="69"/>
        <v>2784</v>
      </c>
    </row>
    <row r="2222" spans="1:14" x14ac:dyDescent="0.25">
      <c r="A2222" s="14" t="s">
        <v>798</v>
      </c>
      <c r="B2222" s="14" t="s">
        <v>243</v>
      </c>
      <c r="C2222" s="15" t="s">
        <v>2430</v>
      </c>
      <c r="D2222" s="14" t="s">
        <v>1749</v>
      </c>
      <c r="E2222" s="14" t="s">
        <v>1746</v>
      </c>
      <c r="F2222" s="17" t="s">
        <v>2994</v>
      </c>
      <c r="G2222" s="14">
        <v>252</v>
      </c>
      <c r="H2222" s="14">
        <v>201.6</v>
      </c>
      <c r="I2222" s="31">
        <f>IF(COUNTIFS(Addendum!C:C,A2222,Addendum!D:D,IF(ISNUMBER(B2222),TEXT(B2222,"0000"),B2222),Addendum!E:E,"X")&gt;0,4%,0)</f>
        <v>0.04</v>
      </c>
      <c r="J2222" s="31">
        <f>IF(COUNTIFS(Addendum!C:C,A2222,Addendum!D:D,IF(ISNUMBER(B2222),TEXT(B2222,"0000"),B2222),Addendum!F:F,"X")&gt;0,2.5%,0)</f>
        <v>0</v>
      </c>
      <c r="K2222" s="31">
        <f>IF(COUNTIFS(Addendum!C:C,A2222,Addendum!D:D,IF(ISNUMBER(B2222),TEXT(B2222,"0000"),B2222),Addendum!G:G,"X")&gt;0,7%,0)</f>
        <v>0</v>
      </c>
      <c r="L2222" s="31">
        <f>IF(COUNTIFS(Addendum!C:C,A2222,Addendum!D:D,IF(ISNUMBER(B2222),TEXT(B2222,"0000"),B2222),Addendum!I:I,"X")&gt;0,10%,0)</f>
        <v>0</v>
      </c>
      <c r="M2222" s="34">
        <f t="shared" si="68"/>
        <v>0.01</v>
      </c>
      <c r="N2222" s="17">
        <f t="shared" si="69"/>
        <v>199.584</v>
      </c>
    </row>
    <row r="2223" spans="1:14" x14ac:dyDescent="0.25">
      <c r="A2223" s="14" t="s">
        <v>798</v>
      </c>
      <c r="B2223" s="14" t="s">
        <v>650</v>
      </c>
      <c r="C2223" s="15" t="s">
        <v>2429</v>
      </c>
      <c r="D2223" s="14" t="s">
        <v>1745</v>
      </c>
      <c r="E2223" s="14" t="s">
        <v>1746</v>
      </c>
      <c r="F2223" s="17" t="s">
        <v>2993</v>
      </c>
      <c r="G2223" s="14">
        <v>3654</v>
      </c>
      <c r="H2223" s="14">
        <v>2923.2</v>
      </c>
      <c r="I2223" s="31">
        <f>IF(COUNTIFS(Addendum!C:C,A2223,Addendum!D:D,IF(ISNUMBER(B2223),TEXT(B2223,"0000"),B2223),Addendum!E:E,"X")&gt;0,4%,0)</f>
        <v>0</v>
      </c>
      <c r="J2223" s="31">
        <f>IF(COUNTIFS(Addendum!C:C,A2223,Addendum!D:D,IF(ISNUMBER(B2223),TEXT(B2223,"0000"),B2223),Addendum!F:F,"X")&gt;0,2.5%,0)</f>
        <v>0</v>
      </c>
      <c r="K2223" s="31">
        <f>IF(COUNTIFS(Addendum!C:C,A2223,Addendum!D:D,IF(ISNUMBER(B2223),TEXT(B2223,"0000"),B2223),Addendum!G:G,"X")&gt;0,7%,0)</f>
        <v>0</v>
      </c>
      <c r="L2223" s="31">
        <f>IF(COUNTIFS(Addendum!C:C,A2223,Addendum!D:D,IF(ISNUMBER(B2223),TEXT(B2223,"0000"),B2223),Addendum!I:I,"X")&gt;0,10%,0)</f>
        <v>0</v>
      </c>
      <c r="M2223" s="34">
        <f t="shared" si="68"/>
        <v>0</v>
      </c>
      <c r="N2223" s="17">
        <f t="shared" si="69"/>
        <v>2923.2</v>
      </c>
    </row>
    <row r="2224" spans="1:14" x14ac:dyDescent="0.25">
      <c r="A2224" s="14" t="s">
        <v>798</v>
      </c>
      <c r="B2224" s="14" t="s">
        <v>118</v>
      </c>
      <c r="C2224" s="15" t="s">
        <v>2431</v>
      </c>
      <c r="D2224" s="14" t="s">
        <v>1749</v>
      </c>
      <c r="E2224" s="14" t="s">
        <v>1746</v>
      </c>
      <c r="F2224" s="17" t="s">
        <v>2995</v>
      </c>
      <c r="G2224" s="14">
        <v>210</v>
      </c>
      <c r="H2224" s="14">
        <v>189</v>
      </c>
      <c r="I2224" s="31">
        <f>IF(COUNTIFS(Addendum!C:C,A2224,Addendum!D:D,IF(ISNUMBER(B2224),TEXT(B2224,"0000"),B2224),Addendum!E:E,"X")&gt;0,4%,0)</f>
        <v>0.04</v>
      </c>
      <c r="J2224" s="31">
        <f>IF(COUNTIFS(Addendum!C:C,A2224,Addendum!D:D,IF(ISNUMBER(B2224),TEXT(B2224,"0000"),B2224),Addendum!F:F,"X")&gt;0,2.5%,0)</f>
        <v>0</v>
      </c>
      <c r="K2224" s="31">
        <f>IF(COUNTIFS(Addendum!C:C,A2224,Addendum!D:D,IF(ISNUMBER(B2224),TEXT(B2224,"0000"),B2224),Addendum!G:G,"X")&gt;0,7%,0)</f>
        <v>0</v>
      </c>
      <c r="L2224" s="31">
        <f>IF(COUNTIFS(Addendum!C:C,A2224,Addendum!D:D,IF(ISNUMBER(B2224),TEXT(B2224,"0000"),B2224),Addendum!I:I,"X")&gt;0,10%,0)</f>
        <v>0</v>
      </c>
      <c r="M2224" s="34">
        <f t="shared" si="68"/>
        <v>0.01</v>
      </c>
      <c r="N2224" s="17">
        <f t="shared" si="69"/>
        <v>187.11</v>
      </c>
    </row>
    <row r="2225" spans="1:14" x14ac:dyDescent="0.25">
      <c r="A2225" s="14" t="s">
        <v>798</v>
      </c>
      <c r="B2225" s="14" t="s">
        <v>120</v>
      </c>
      <c r="C2225" s="15" t="s">
        <v>2432</v>
      </c>
      <c r="D2225" s="14" t="s">
        <v>1749</v>
      </c>
      <c r="E2225" s="14" t="s">
        <v>1766</v>
      </c>
      <c r="F2225" s="17" t="s">
        <v>2994</v>
      </c>
      <c r="G2225" s="14">
        <v>0</v>
      </c>
      <c r="H2225" s="14">
        <v>0</v>
      </c>
      <c r="I2225" s="31">
        <f>IF(COUNTIFS(Addendum!C:C,A2225,Addendum!D:D,IF(ISNUMBER(B2225),TEXT(B2225,"0000"),B2225),Addendum!E:E,"X")&gt;0,4%,0)</f>
        <v>0.04</v>
      </c>
      <c r="J2225" s="31">
        <f>IF(COUNTIFS(Addendum!C:C,A2225,Addendum!D:D,IF(ISNUMBER(B2225),TEXT(B2225,"0000"),B2225),Addendum!F:F,"X")&gt;0,2.5%,0)</f>
        <v>0</v>
      </c>
      <c r="K2225" s="31">
        <f>IF(COUNTIFS(Addendum!C:C,A2225,Addendum!D:D,IF(ISNUMBER(B2225),TEXT(B2225,"0000"),B2225),Addendum!G:G,"X")&gt;0,7%,0)</f>
        <v>0</v>
      </c>
      <c r="L2225" s="31">
        <f>IF(COUNTIFS(Addendum!C:C,A2225,Addendum!D:D,IF(ISNUMBER(B2225),TEXT(B2225,"0000"),B2225),Addendum!I:I,"X")&gt;0,10%,0)</f>
        <v>0</v>
      </c>
      <c r="M2225" s="34">
        <f t="shared" si="68"/>
        <v>0.01</v>
      </c>
      <c r="N2225" s="17">
        <f t="shared" si="69"/>
        <v>0</v>
      </c>
    </row>
    <row r="2226" spans="1:14" x14ac:dyDescent="0.25">
      <c r="A2226" s="14" t="s">
        <v>798</v>
      </c>
      <c r="B2226" s="14">
        <v>3</v>
      </c>
      <c r="C2226" s="15" t="s">
        <v>813</v>
      </c>
      <c r="D2226" s="14" t="s">
        <v>1745</v>
      </c>
      <c r="E2226" s="14" t="s">
        <v>1746</v>
      </c>
      <c r="F2226" s="17" t="s">
        <v>2993</v>
      </c>
      <c r="G2226" s="14">
        <v>5481</v>
      </c>
      <c r="H2226" s="14">
        <v>4384.8</v>
      </c>
      <c r="I2226" s="31">
        <f>IF(COUNTIFS(Addendum!C:C,A2226,Addendum!D:D,IF(ISNUMBER(B2226),TEXT(B2226,"0000"),B2226),Addendum!E:E,"X")&gt;0,4%,0)</f>
        <v>0.04</v>
      </c>
      <c r="J2226" s="31">
        <f>IF(COUNTIFS(Addendum!C:C,A2226,Addendum!D:D,IF(ISNUMBER(B2226),TEXT(B2226,"0000"),B2226),Addendum!F:F,"X")&gt;0,2.5%,0)</f>
        <v>0</v>
      </c>
      <c r="K2226" s="31">
        <f>IF(COUNTIFS(Addendum!C:C,A2226,Addendum!D:D,IF(ISNUMBER(B2226),TEXT(B2226,"0000"),B2226),Addendum!G:G,"X")&gt;0,7%,0)</f>
        <v>0</v>
      </c>
      <c r="L2226" s="31">
        <f>IF(COUNTIFS(Addendum!C:C,A2226,Addendum!D:D,IF(ISNUMBER(B2226),TEXT(B2226,"0000"),B2226),Addendum!I:I,"X")&gt;0,10%,0)</f>
        <v>0</v>
      </c>
      <c r="M2226" s="34">
        <f t="shared" si="68"/>
        <v>0.01</v>
      </c>
      <c r="N2226" s="17">
        <f t="shared" si="69"/>
        <v>4340.9520000000002</v>
      </c>
    </row>
    <row r="2227" spans="1:14" x14ac:dyDescent="0.25">
      <c r="A2227" s="14" t="s">
        <v>798</v>
      </c>
      <c r="B2227" s="14" t="s">
        <v>173</v>
      </c>
      <c r="C2227" s="15" t="s">
        <v>2433</v>
      </c>
      <c r="D2227" s="14" t="s">
        <v>1749</v>
      </c>
      <c r="E2227" s="14" t="s">
        <v>1746</v>
      </c>
      <c r="F2227" s="17" t="s">
        <v>2994</v>
      </c>
      <c r="G2227" s="14">
        <v>522</v>
      </c>
      <c r="H2227" s="14">
        <v>417.6</v>
      </c>
      <c r="I2227" s="31">
        <f>IF(COUNTIFS(Addendum!C:C,A2227,Addendum!D:D,IF(ISNUMBER(B2227),TEXT(B2227,"0000"),B2227),Addendum!E:E,"X")&gt;0,4%,0)</f>
        <v>0.04</v>
      </c>
      <c r="J2227" s="31">
        <f>IF(COUNTIFS(Addendum!C:C,A2227,Addendum!D:D,IF(ISNUMBER(B2227),TEXT(B2227,"0000"),B2227),Addendum!F:F,"X")&gt;0,2.5%,0)</f>
        <v>0</v>
      </c>
      <c r="K2227" s="31">
        <f>IF(COUNTIFS(Addendum!C:C,A2227,Addendum!D:D,IF(ISNUMBER(B2227),TEXT(B2227,"0000"),B2227),Addendum!G:G,"X")&gt;0,7%,0)</f>
        <v>0</v>
      </c>
      <c r="L2227" s="31">
        <f>IF(COUNTIFS(Addendum!C:C,A2227,Addendum!D:D,IF(ISNUMBER(B2227),TEXT(B2227,"0000"),B2227),Addendum!I:I,"X")&gt;0,10%,0)</f>
        <v>0</v>
      </c>
      <c r="M2227" s="34">
        <f t="shared" si="68"/>
        <v>0.01</v>
      </c>
      <c r="N2227" s="17">
        <f t="shared" si="69"/>
        <v>413.42400000000004</v>
      </c>
    </row>
    <row r="2228" spans="1:14" x14ac:dyDescent="0.25">
      <c r="A2228" s="14" t="s">
        <v>798</v>
      </c>
      <c r="B2228" s="14" t="s">
        <v>102</v>
      </c>
      <c r="C2228" s="15" t="s">
        <v>2434</v>
      </c>
      <c r="D2228" s="14" t="s">
        <v>1745</v>
      </c>
      <c r="E2228" s="14" t="s">
        <v>1747</v>
      </c>
      <c r="F2228" s="17" t="s">
        <v>2995</v>
      </c>
      <c r="G2228" s="14">
        <v>2100</v>
      </c>
      <c r="H2228" s="14">
        <v>1890</v>
      </c>
      <c r="I2228" s="31">
        <f>IF(COUNTIFS(Addendum!C:C,A2228,Addendum!D:D,IF(ISNUMBER(B2228),TEXT(B2228,"0000"),B2228),Addendum!E:E,"X")&gt;0,4%,0)</f>
        <v>0.04</v>
      </c>
      <c r="J2228" s="31">
        <f>IF(COUNTIFS(Addendum!C:C,A2228,Addendum!D:D,IF(ISNUMBER(B2228),TEXT(B2228,"0000"),B2228),Addendum!F:F,"X")&gt;0,2.5%,0)</f>
        <v>0</v>
      </c>
      <c r="K2228" s="31">
        <f>IF(COUNTIFS(Addendum!C:C,A2228,Addendum!D:D,IF(ISNUMBER(B2228),TEXT(B2228,"0000"),B2228),Addendum!G:G,"X")&gt;0,7%,0)</f>
        <v>0</v>
      </c>
      <c r="L2228" s="31">
        <f>IF(COUNTIFS(Addendum!C:C,A2228,Addendum!D:D,IF(ISNUMBER(B2228),TEXT(B2228,"0000"),B2228),Addendum!I:I,"X")&gt;0,10%,0)</f>
        <v>0</v>
      </c>
      <c r="M2228" s="34">
        <f t="shared" si="68"/>
        <v>0.03</v>
      </c>
      <c r="N2228" s="17">
        <f t="shared" si="69"/>
        <v>1833.3</v>
      </c>
    </row>
    <row r="2229" spans="1:14" x14ac:dyDescent="0.25">
      <c r="A2229" s="14" t="s">
        <v>798</v>
      </c>
      <c r="B2229" s="14" t="s">
        <v>98</v>
      </c>
      <c r="C2229" s="15" t="s">
        <v>2432</v>
      </c>
      <c r="D2229" s="14" t="s">
        <v>1749</v>
      </c>
      <c r="E2229" s="14" t="s">
        <v>1746</v>
      </c>
      <c r="F2229" s="17" t="s">
        <v>2994</v>
      </c>
      <c r="G2229" s="14">
        <v>107.82</v>
      </c>
      <c r="H2229" s="14">
        <v>86.26</v>
      </c>
      <c r="I2229" s="31">
        <f>IF(COUNTIFS(Addendum!C:C,A2229,Addendum!D:D,IF(ISNUMBER(B2229),TEXT(B2229,"0000"),B2229),Addendum!E:E,"X")&gt;0,4%,0)</f>
        <v>0.04</v>
      </c>
      <c r="J2229" s="31">
        <f>IF(COUNTIFS(Addendum!C:C,A2229,Addendum!D:D,IF(ISNUMBER(B2229),TEXT(B2229,"0000"),B2229),Addendum!F:F,"X")&gt;0,2.5%,0)</f>
        <v>0</v>
      </c>
      <c r="K2229" s="31">
        <f>IF(COUNTIFS(Addendum!C:C,A2229,Addendum!D:D,IF(ISNUMBER(B2229),TEXT(B2229,"0000"),B2229),Addendum!G:G,"X")&gt;0,7%,0)</f>
        <v>0</v>
      </c>
      <c r="L2229" s="31">
        <f>IF(COUNTIFS(Addendum!C:C,A2229,Addendum!D:D,IF(ISNUMBER(B2229),TEXT(B2229,"0000"),B2229),Addendum!I:I,"X")&gt;0,10%,0)</f>
        <v>0</v>
      </c>
      <c r="M2229" s="34">
        <f t="shared" si="68"/>
        <v>0.01</v>
      </c>
      <c r="N2229" s="17">
        <f t="shared" si="69"/>
        <v>85.397400000000005</v>
      </c>
    </row>
    <row r="2230" spans="1:14" x14ac:dyDescent="0.25">
      <c r="A2230" s="14" t="s">
        <v>798</v>
      </c>
      <c r="B2230" s="14">
        <v>1</v>
      </c>
      <c r="C2230" s="15" t="s">
        <v>796</v>
      </c>
      <c r="D2230" s="14" t="s">
        <v>1745</v>
      </c>
      <c r="E2230" s="14" t="s">
        <v>1746</v>
      </c>
      <c r="F2230" s="17" t="s">
        <v>2993</v>
      </c>
      <c r="G2230" s="14">
        <v>5481</v>
      </c>
      <c r="H2230" s="14">
        <v>4384.8</v>
      </c>
      <c r="I2230" s="31">
        <f>IF(COUNTIFS(Addendum!C:C,A2230,Addendum!D:D,IF(ISNUMBER(B2230),TEXT(B2230,"0000"),B2230),Addendum!E:E,"X")&gt;0,4%,0)</f>
        <v>0.04</v>
      </c>
      <c r="J2230" s="31">
        <f>IF(COUNTIFS(Addendum!C:C,A2230,Addendum!D:D,IF(ISNUMBER(B2230),TEXT(B2230,"0000"),B2230),Addendum!F:F,"X")&gt;0,2.5%,0)</f>
        <v>0</v>
      </c>
      <c r="K2230" s="31">
        <f>IF(COUNTIFS(Addendum!C:C,A2230,Addendum!D:D,IF(ISNUMBER(B2230),TEXT(B2230,"0000"),B2230),Addendum!G:G,"X")&gt;0,7%,0)</f>
        <v>0</v>
      </c>
      <c r="L2230" s="31">
        <f>IF(COUNTIFS(Addendum!C:C,A2230,Addendum!D:D,IF(ISNUMBER(B2230),TEXT(B2230,"0000"),B2230),Addendum!I:I,"X")&gt;0,10%,0)</f>
        <v>0</v>
      </c>
      <c r="M2230" s="34">
        <f t="shared" si="68"/>
        <v>0.01</v>
      </c>
      <c r="N2230" s="17">
        <f t="shared" si="69"/>
        <v>4340.9520000000002</v>
      </c>
    </row>
    <row r="2231" spans="1:14" x14ac:dyDescent="0.25">
      <c r="A2231" s="14" t="s">
        <v>798</v>
      </c>
      <c r="B2231" s="14" t="s">
        <v>243</v>
      </c>
      <c r="C2231" s="15" t="s">
        <v>2430</v>
      </c>
      <c r="D2231" s="14" t="s">
        <v>1745</v>
      </c>
      <c r="E2231" s="14" t="s">
        <v>1747</v>
      </c>
      <c r="F2231" s="17" t="s">
        <v>2994</v>
      </c>
      <c r="G2231" s="14">
        <v>2520</v>
      </c>
      <c r="H2231" s="14">
        <v>2016</v>
      </c>
      <c r="I2231" s="31">
        <f>IF(COUNTIFS(Addendum!C:C,A2231,Addendum!D:D,IF(ISNUMBER(B2231),TEXT(B2231,"0000"),B2231),Addendum!E:E,"X")&gt;0,4%,0)</f>
        <v>0.04</v>
      </c>
      <c r="J2231" s="31">
        <f>IF(COUNTIFS(Addendum!C:C,A2231,Addendum!D:D,IF(ISNUMBER(B2231),TEXT(B2231,"0000"),B2231),Addendum!F:F,"X")&gt;0,2.5%,0)</f>
        <v>0</v>
      </c>
      <c r="K2231" s="31">
        <f>IF(COUNTIFS(Addendum!C:C,A2231,Addendum!D:D,IF(ISNUMBER(B2231),TEXT(B2231,"0000"),B2231),Addendum!G:G,"X")&gt;0,7%,0)</f>
        <v>0</v>
      </c>
      <c r="L2231" s="31">
        <f>IF(COUNTIFS(Addendum!C:C,A2231,Addendum!D:D,IF(ISNUMBER(B2231),TEXT(B2231,"0000"),B2231),Addendum!I:I,"X")&gt;0,10%,0)</f>
        <v>0</v>
      </c>
      <c r="M2231" s="34">
        <f t="shared" si="68"/>
        <v>0.03</v>
      </c>
      <c r="N2231" s="17">
        <f t="shared" si="69"/>
        <v>1955.52</v>
      </c>
    </row>
    <row r="2232" spans="1:14" x14ac:dyDescent="0.25">
      <c r="A2232" s="14" t="s">
        <v>798</v>
      </c>
      <c r="B2232" s="14" t="s">
        <v>118</v>
      </c>
      <c r="C2232" s="15" t="s">
        <v>2431</v>
      </c>
      <c r="D2232" s="14" t="s">
        <v>1745</v>
      </c>
      <c r="E2232" s="14" t="s">
        <v>1746</v>
      </c>
      <c r="F2232" s="17" t="s">
        <v>2995</v>
      </c>
      <c r="G2232" s="14">
        <v>2205</v>
      </c>
      <c r="H2232" s="14">
        <v>1984.56</v>
      </c>
      <c r="I2232" s="31">
        <f>IF(COUNTIFS(Addendum!C:C,A2232,Addendum!D:D,IF(ISNUMBER(B2232),TEXT(B2232,"0000"),B2232),Addendum!E:E,"X")&gt;0,4%,0)</f>
        <v>0.04</v>
      </c>
      <c r="J2232" s="31">
        <f>IF(COUNTIFS(Addendum!C:C,A2232,Addendum!D:D,IF(ISNUMBER(B2232),TEXT(B2232,"0000"),B2232),Addendum!F:F,"X")&gt;0,2.5%,0)</f>
        <v>0</v>
      </c>
      <c r="K2232" s="31">
        <f>IF(COUNTIFS(Addendum!C:C,A2232,Addendum!D:D,IF(ISNUMBER(B2232),TEXT(B2232,"0000"),B2232),Addendum!G:G,"X")&gt;0,7%,0)</f>
        <v>0</v>
      </c>
      <c r="L2232" s="31">
        <f>IF(COUNTIFS(Addendum!C:C,A2232,Addendum!D:D,IF(ISNUMBER(B2232),TEXT(B2232,"0000"),B2232),Addendum!I:I,"X")&gt;0,10%,0)</f>
        <v>0</v>
      </c>
      <c r="M2232" s="34">
        <f t="shared" si="68"/>
        <v>0.01</v>
      </c>
      <c r="N2232" s="17">
        <f t="shared" si="69"/>
        <v>1964.7143999999998</v>
      </c>
    </row>
    <row r="2233" spans="1:14" x14ac:dyDescent="0.25">
      <c r="A2233" s="14" t="s">
        <v>798</v>
      </c>
      <c r="B2233" s="14" t="s">
        <v>98</v>
      </c>
      <c r="C2233" s="15" t="s">
        <v>2432</v>
      </c>
      <c r="D2233" s="14" t="s">
        <v>1745</v>
      </c>
      <c r="E2233" s="14" t="s">
        <v>1747</v>
      </c>
      <c r="F2233" s="17" t="s">
        <v>2994</v>
      </c>
      <c r="G2233" s="14">
        <v>1078.2</v>
      </c>
      <c r="H2233" s="14">
        <v>862.56</v>
      </c>
      <c r="I2233" s="31">
        <f>IF(COUNTIFS(Addendum!C:C,A2233,Addendum!D:D,IF(ISNUMBER(B2233),TEXT(B2233,"0000"),B2233),Addendum!E:E,"X")&gt;0,4%,0)</f>
        <v>0.04</v>
      </c>
      <c r="J2233" s="31">
        <f>IF(COUNTIFS(Addendum!C:C,A2233,Addendum!D:D,IF(ISNUMBER(B2233),TEXT(B2233,"0000"),B2233),Addendum!F:F,"X")&gt;0,2.5%,0)</f>
        <v>0</v>
      </c>
      <c r="K2233" s="31">
        <f>IF(COUNTIFS(Addendum!C:C,A2233,Addendum!D:D,IF(ISNUMBER(B2233),TEXT(B2233,"0000"),B2233),Addendum!G:G,"X")&gt;0,7%,0)</f>
        <v>0</v>
      </c>
      <c r="L2233" s="31">
        <f>IF(COUNTIFS(Addendum!C:C,A2233,Addendum!D:D,IF(ISNUMBER(B2233),TEXT(B2233,"0000"),B2233),Addendum!I:I,"X")&gt;0,10%,0)</f>
        <v>0</v>
      </c>
      <c r="M2233" s="34">
        <f t="shared" si="68"/>
        <v>0.03</v>
      </c>
      <c r="N2233" s="17">
        <f t="shared" si="69"/>
        <v>836.68319999999994</v>
      </c>
    </row>
    <row r="2234" spans="1:14" x14ac:dyDescent="0.25">
      <c r="A2234" s="14" t="s">
        <v>798</v>
      </c>
      <c r="B2234" s="14" t="s">
        <v>243</v>
      </c>
      <c r="C2234" s="15" t="s">
        <v>2430</v>
      </c>
      <c r="D2234" s="14" t="s">
        <v>1745</v>
      </c>
      <c r="E2234" s="14" t="s">
        <v>1746</v>
      </c>
      <c r="F2234" s="17" t="s">
        <v>2994</v>
      </c>
      <c r="G2234" s="14">
        <v>2646</v>
      </c>
      <c r="H2234" s="14">
        <v>2116.8000000000002</v>
      </c>
      <c r="I2234" s="31">
        <f>IF(COUNTIFS(Addendum!C:C,A2234,Addendum!D:D,IF(ISNUMBER(B2234),TEXT(B2234,"0000"),B2234),Addendum!E:E,"X")&gt;0,4%,0)</f>
        <v>0.04</v>
      </c>
      <c r="J2234" s="31">
        <f>IF(COUNTIFS(Addendum!C:C,A2234,Addendum!D:D,IF(ISNUMBER(B2234),TEXT(B2234,"0000"),B2234),Addendum!F:F,"X")&gt;0,2.5%,0)</f>
        <v>0</v>
      </c>
      <c r="K2234" s="31">
        <f>IF(COUNTIFS(Addendum!C:C,A2234,Addendum!D:D,IF(ISNUMBER(B2234),TEXT(B2234,"0000"),B2234),Addendum!G:G,"X")&gt;0,7%,0)</f>
        <v>0</v>
      </c>
      <c r="L2234" s="31">
        <f>IF(COUNTIFS(Addendum!C:C,A2234,Addendum!D:D,IF(ISNUMBER(B2234),TEXT(B2234,"0000"),B2234),Addendum!I:I,"X")&gt;0,10%,0)</f>
        <v>0</v>
      </c>
      <c r="M2234" s="34">
        <f t="shared" si="68"/>
        <v>0.01</v>
      </c>
      <c r="N2234" s="17">
        <f t="shared" si="69"/>
        <v>2095.6320000000001</v>
      </c>
    </row>
    <row r="2235" spans="1:14" x14ac:dyDescent="0.25">
      <c r="A2235" s="14" t="s">
        <v>798</v>
      </c>
      <c r="B2235" s="14" t="s">
        <v>102</v>
      </c>
      <c r="C2235" s="15" t="s">
        <v>2434</v>
      </c>
      <c r="D2235" s="14" t="s">
        <v>1745</v>
      </c>
      <c r="E2235" s="14" t="s">
        <v>1746</v>
      </c>
      <c r="F2235" s="17" t="s">
        <v>2995</v>
      </c>
      <c r="G2235" s="14">
        <v>2205</v>
      </c>
      <c r="H2235" s="14">
        <v>1984.56</v>
      </c>
      <c r="I2235" s="31">
        <f>IF(COUNTIFS(Addendum!C:C,A2235,Addendum!D:D,IF(ISNUMBER(B2235),TEXT(B2235,"0000"),B2235),Addendum!E:E,"X")&gt;0,4%,0)</f>
        <v>0.04</v>
      </c>
      <c r="J2235" s="31">
        <f>IF(COUNTIFS(Addendum!C:C,A2235,Addendum!D:D,IF(ISNUMBER(B2235),TEXT(B2235,"0000"),B2235),Addendum!F:F,"X")&gt;0,2.5%,0)</f>
        <v>0</v>
      </c>
      <c r="K2235" s="31">
        <f>IF(COUNTIFS(Addendum!C:C,A2235,Addendum!D:D,IF(ISNUMBER(B2235),TEXT(B2235,"0000"),B2235),Addendum!G:G,"X")&gt;0,7%,0)</f>
        <v>0</v>
      </c>
      <c r="L2235" s="31">
        <f>IF(COUNTIFS(Addendum!C:C,A2235,Addendum!D:D,IF(ISNUMBER(B2235),TEXT(B2235,"0000"),B2235),Addendum!I:I,"X")&gt;0,10%,0)</f>
        <v>0</v>
      </c>
      <c r="M2235" s="34">
        <f t="shared" si="68"/>
        <v>0.01</v>
      </c>
      <c r="N2235" s="17">
        <f t="shared" si="69"/>
        <v>1964.7143999999998</v>
      </c>
    </row>
    <row r="2236" spans="1:14" x14ac:dyDescent="0.25">
      <c r="A2236" s="14" t="s">
        <v>798</v>
      </c>
      <c r="B2236" s="14">
        <v>3</v>
      </c>
      <c r="C2236" s="15" t="s">
        <v>813</v>
      </c>
      <c r="D2236" s="14" t="s">
        <v>1745</v>
      </c>
      <c r="E2236" s="14" t="s">
        <v>1747</v>
      </c>
      <c r="F2236" s="17" t="s">
        <v>2993</v>
      </c>
      <c r="G2236" s="14">
        <v>5220</v>
      </c>
      <c r="H2236" s="14">
        <v>4176</v>
      </c>
      <c r="I2236" s="31">
        <f>IF(COUNTIFS(Addendum!C:C,A2236,Addendum!D:D,IF(ISNUMBER(B2236),TEXT(B2236,"0000"),B2236),Addendum!E:E,"X")&gt;0,4%,0)</f>
        <v>0.04</v>
      </c>
      <c r="J2236" s="31">
        <f>IF(COUNTIFS(Addendum!C:C,A2236,Addendum!D:D,IF(ISNUMBER(B2236),TEXT(B2236,"0000"),B2236),Addendum!F:F,"X")&gt;0,2.5%,0)</f>
        <v>0</v>
      </c>
      <c r="K2236" s="31">
        <f>IF(COUNTIFS(Addendum!C:C,A2236,Addendum!D:D,IF(ISNUMBER(B2236),TEXT(B2236,"0000"),B2236),Addendum!G:G,"X")&gt;0,7%,0)</f>
        <v>0</v>
      </c>
      <c r="L2236" s="31">
        <f>IF(COUNTIFS(Addendum!C:C,A2236,Addendum!D:D,IF(ISNUMBER(B2236),TEXT(B2236,"0000"),B2236),Addendum!I:I,"X")&gt;0,10%,0)</f>
        <v>0</v>
      </c>
      <c r="M2236" s="34">
        <f t="shared" si="68"/>
        <v>0.03</v>
      </c>
      <c r="N2236" s="17">
        <f t="shared" si="69"/>
        <v>4050.72</v>
      </c>
    </row>
    <row r="2237" spans="1:14" x14ac:dyDescent="0.25">
      <c r="A2237" s="14" t="s">
        <v>798</v>
      </c>
      <c r="B2237" s="14" t="s">
        <v>173</v>
      </c>
      <c r="C2237" s="15" t="s">
        <v>2433</v>
      </c>
      <c r="D2237" s="14" t="s">
        <v>1745</v>
      </c>
      <c r="E2237" s="14" t="s">
        <v>1746</v>
      </c>
      <c r="F2237" s="17" t="s">
        <v>2994</v>
      </c>
      <c r="G2237" s="14">
        <v>5481</v>
      </c>
      <c r="H2237" s="14">
        <v>4384.8</v>
      </c>
      <c r="I2237" s="31">
        <f>IF(COUNTIFS(Addendum!C:C,A2237,Addendum!D:D,IF(ISNUMBER(B2237),TEXT(B2237,"0000"),B2237),Addendum!E:E,"X")&gt;0,4%,0)</f>
        <v>0.04</v>
      </c>
      <c r="J2237" s="31">
        <f>IF(COUNTIFS(Addendum!C:C,A2237,Addendum!D:D,IF(ISNUMBER(B2237),TEXT(B2237,"0000"),B2237),Addendum!F:F,"X")&gt;0,2.5%,0)</f>
        <v>0</v>
      </c>
      <c r="K2237" s="31">
        <f>IF(COUNTIFS(Addendum!C:C,A2237,Addendum!D:D,IF(ISNUMBER(B2237),TEXT(B2237,"0000"),B2237),Addendum!G:G,"X")&gt;0,7%,0)</f>
        <v>0</v>
      </c>
      <c r="L2237" s="31">
        <f>IF(COUNTIFS(Addendum!C:C,A2237,Addendum!D:D,IF(ISNUMBER(B2237),TEXT(B2237,"0000"),B2237),Addendum!I:I,"X")&gt;0,10%,0)</f>
        <v>0</v>
      </c>
      <c r="M2237" s="34">
        <f t="shared" si="68"/>
        <v>0.01</v>
      </c>
      <c r="N2237" s="17">
        <f t="shared" si="69"/>
        <v>4340.9520000000002</v>
      </c>
    </row>
    <row r="2238" spans="1:14" x14ac:dyDescent="0.25">
      <c r="A2238" s="14" t="s">
        <v>798</v>
      </c>
      <c r="B2238" s="14">
        <v>3</v>
      </c>
      <c r="C2238" s="15" t="s">
        <v>813</v>
      </c>
      <c r="D2238" s="14" t="s">
        <v>1749</v>
      </c>
      <c r="E2238" s="14" t="s">
        <v>1746</v>
      </c>
      <c r="F2238" s="17" t="s">
        <v>2993</v>
      </c>
      <c r="G2238" s="14">
        <v>522</v>
      </c>
      <c r="H2238" s="14">
        <v>417.6</v>
      </c>
      <c r="I2238" s="31">
        <f>IF(COUNTIFS(Addendum!C:C,A2238,Addendum!D:D,IF(ISNUMBER(B2238),TEXT(B2238,"0000"),B2238),Addendum!E:E,"X")&gt;0,4%,0)</f>
        <v>0.04</v>
      </c>
      <c r="J2238" s="31">
        <f>IF(COUNTIFS(Addendum!C:C,A2238,Addendum!D:D,IF(ISNUMBER(B2238),TEXT(B2238,"0000"),B2238),Addendum!F:F,"X")&gt;0,2.5%,0)</f>
        <v>0</v>
      </c>
      <c r="K2238" s="31">
        <f>IF(COUNTIFS(Addendum!C:C,A2238,Addendum!D:D,IF(ISNUMBER(B2238),TEXT(B2238,"0000"),B2238),Addendum!G:G,"X")&gt;0,7%,0)</f>
        <v>0</v>
      </c>
      <c r="L2238" s="31">
        <f>IF(COUNTIFS(Addendum!C:C,A2238,Addendum!D:D,IF(ISNUMBER(B2238),TEXT(B2238,"0000"),B2238),Addendum!I:I,"X")&gt;0,10%,0)</f>
        <v>0</v>
      </c>
      <c r="M2238" s="34">
        <f t="shared" si="68"/>
        <v>0.01</v>
      </c>
      <c r="N2238" s="17">
        <f t="shared" si="69"/>
        <v>413.42400000000004</v>
      </c>
    </row>
    <row r="2239" spans="1:14" x14ac:dyDescent="0.25">
      <c r="A2239" s="14" t="s">
        <v>798</v>
      </c>
      <c r="B2239" s="14" t="s">
        <v>102</v>
      </c>
      <c r="C2239" s="15" t="s">
        <v>2434</v>
      </c>
      <c r="D2239" s="14" t="s">
        <v>1749</v>
      </c>
      <c r="E2239" s="14" t="s">
        <v>1746</v>
      </c>
      <c r="F2239" s="17" t="s">
        <v>2995</v>
      </c>
      <c r="G2239" s="14">
        <v>210</v>
      </c>
      <c r="H2239" s="14">
        <v>189</v>
      </c>
      <c r="I2239" s="31">
        <f>IF(COUNTIFS(Addendum!C:C,A2239,Addendum!D:D,IF(ISNUMBER(B2239),TEXT(B2239,"0000"),B2239),Addendum!E:E,"X")&gt;0,4%,0)</f>
        <v>0.04</v>
      </c>
      <c r="J2239" s="31">
        <f>IF(COUNTIFS(Addendum!C:C,A2239,Addendum!D:D,IF(ISNUMBER(B2239),TEXT(B2239,"0000"),B2239),Addendum!F:F,"X")&gt;0,2.5%,0)</f>
        <v>0</v>
      </c>
      <c r="K2239" s="31">
        <f>IF(COUNTIFS(Addendum!C:C,A2239,Addendum!D:D,IF(ISNUMBER(B2239),TEXT(B2239,"0000"),B2239),Addendum!G:G,"X")&gt;0,7%,0)</f>
        <v>0</v>
      </c>
      <c r="L2239" s="31">
        <f>IF(COUNTIFS(Addendum!C:C,A2239,Addendum!D:D,IF(ISNUMBER(B2239),TEXT(B2239,"0000"),B2239),Addendum!I:I,"X")&gt;0,10%,0)</f>
        <v>0</v>
      </c>
      <c r="M2239" s="34">
        <f t="shared" si="68"/>
        <v>0.01</v>
      </c>
      <c r="N2239" s="17">
        <f t="shared" si="69"/>
        <v>187.11</v>
      </c>
    </row>
    <row r="2240" spans="1:14" x14ac:dyDescent="0.25">
      <c r="A2240" s="14" t="s">
        <v>798</v>
      </c>
      <c r="B2240" s="14">
        <v>1</v>
      </c>
      <c r="C2240" s="15" t="s">
        <v>796</v>
      </c>
      <c r="D2240" s="14" t="s">
        <v>1745</v>
      </c>
      <c r="E2240" s="14" t="s">
        <v>1747</v>
      </c>
      <c r="F2240" s="17" t="s">
        <v>2993</v>
      </c>
      <c r="G2240" s="14">
        <v>5220</v>
      </c>
      <c r="H2240" s="14">
        <v>4176</v>
      </c>
      <c r="I2240" s="31">
        <f>IF(COUNTIFS(Addendum!C:C,A2240,Addendum!D:D,IF(ISNUMBER(B2240),TEXT(B2240,"0000"),B2240),Addendum!E:E,"X")&gt;0,4%,0)</f>
        <v>0.04</v>
      </c>
      <c r="J2240" s="31">
        <f>IF(COUNTIFS(Addendum!C:C,A2240,Addendum!D:D,IF(ISNUMBER(B2240),TEXT(B2240,"0000"),B2240),Addendum!F:F,"X")&gt;0,2.5%,0)</f>
        <v>0</v>
      </c>
      <c r="K2240" s="31">
        <f>IF(COUNTIFS(Addendum!C:C,A2240,Addendum!D:D,IF(ISNUMBER(B2240),TEXT(B2240,"0000"),B2240),Addendum!G:G,"X")&gt;0,7%,0)</f>
        <v>0</v>
      </c>
      <c r="L2240" s="31">
        <f>IF(COUNTIFS(Addendum!C:C,A2240,Addendum!D:D,IF(ISNUMBER(B2240),TEXT(B2240,"0000"),B2240),Addendum!I:I,"X")&gt;0,10%,0)</f>
        <v>0</v>
      </c>
      <c r="M2240" s="34">
        <f t="shared" si="68"/>
        <v>0.03</v>
      </c>
      <c r="N2240" s="17">
        <f t="shared" si="69"/>
        <v>4050.72</v>
      </c>
    </row>
    <row r="2241" spans="1:14" x14ac:dyDescent="0.25">
      <c r="A2241" s="14" t="s">
        <v>798</v>
      </c>
      <c r="B2241" s="14" t="s">
        <v>650</v>
      </c>
      <c r="C2241" s="15" t="s">
        <v>2429</v>
      </c>
      <c r="D2241" s="14" t="s">
        <v>1749</v>
      </c>
      <c r="E2241" s="14" t="s">
        <v>1746</v>
      </c>
      <c r="F2241" s="17" t="s">
        <v>2993</v>
      </c>
      <c r="G2241" s="14">
        <v>348</v>
      </c>
      <c r="H2241" s="14">
        <v>278.39999999999998</v>
      </c>
      <c r="I2241" s="31">
        <f>IF(COUNTIFS(Addendum!C:C,A2241,Addendum!D:D,IF(ISNUMBER(B2241),TEXT(B2241,"0000"),B2241),Addendum!E:E,"X")&gt;0,4%,0)</f>
        <v>0</v>
      </c>
      <c r="J2241" s="31">
        <f>IF(COUNTIFS(Addendum!C:C,A2241,Addendum!D:D,IF(ISNUMBER(B2241),TEXT(B2241,"0000"),B2241),Addendum!F:F,"X")&gt;0,2.5%,0)</f>
        <v>0</v>
      </c>
      <c r="K2241" s="31">
        <f>IF(COUNTIFS(Addendum!C:C,A2241,Addendum!D:D,IF(ISNUMBER(B2241),TEXT(B2241,"0000"),B2241),Addendum!G:G,"X")&gt;0,7%,0)</f>
        <v>0</v>
      </c>
      <c r="L2241" s="31">
        <f>IF(COUNTIFS(Addendum!C:C,A2241,Addendum!D:D,IF(ISNUMBER(B2241),TEXT(B2241,"0000"),B2241),Addendum!I:I,"X")&gt;0,10%,0)</f>
        <v>0</v>
      </c>
      <c r="M2241" s="34">
        <f t="shared" si="68"/>
        <v>0</v>
      </c>
      <c r="N2241" s="17">
        <f t="shared" si="69"/>
        <v>278.39999999999998</v>
      </c>
    </row>
    <row r="2242" spans="1:14" x14ac:dyDescent="0.25">
      <c r="A2242" s="14" t="s">
        <v>798</v>
      </c>
      <c r="B2242" s="14">
        <v>1</v>
      </c>
      <c r="C2242" s="15" t="s">
        <v>796</v>
      </c>
      <c r="D2242" s="14" t="s">
        <v>1749</v>
      </c>
      <c r="E2242" s="14" t="s">
        <v>1746</v>
      </c>
      <c r="F2242" s="17" t="s">
        <v>2993</v>
      </c>
      <c r="G2242" s="14">
        <v>522</v>
      </c>
      <c r="H2242" s="14">
        <v>417.6</v>
      </c>
      <c r="I2242" s="31">
        <f>IF(COUNTIFS(Addendum!C:C,A2242,Addendum!D:D,IF(ISNUMBER(B2242),TEXT(B2242,"0000"),B2242),Addendum!E:E,"X")&gt;0,4%,0)</f>
        <v>0.04</v>
      </c>
      <c r="J2242" s="31">
        <f>IF(COUNTIFS(Addendum!C:C,A2242,Addendum!D:D,IF(ISNUMBER(B2242),TEXT(B2242,"0000"),B2242),Addendum!F:F,"X")&gt;0,2.5%,0)</f>
        <v>0</v>
      </c>
      <c r="K2242" s="31">
        <f>IF(COUNTIFS(Addendum!C:C,A2242,Addendum!D:D,IF(ISNUMBER(B2242),TEXT(B2242,"0000"),B2242),Addendum!G:G,"X")&gt;0,7%,0)</f>
        <v>0</v>
      </c>
      <c r="L2242" s="31">
        <f>IF(COUNTIFS(Addendum!C:C,A2242,Addendum!D:D,IF(ISNUMBER(B2242),TEXT(B2242,"0000"),B2242),Addendum!I:I,"X")&gt;0,10%,0)</f>
        <v>0</v>
      </c>
      <c r="M2242" s="34">
        <f t="shared" si="68"/>
        <v>0.01</v>
      </c>
      <c r="N2242" s="17">
        <f t="shared" si="69"/>
        <v>413.42400000000004</v>
      </c>
    </row>
    <row r="2243" spans="1:14" x14ac:dyDescent="0.25">
      <c r="A2243" s="14" t="s">
        <v>798</v>
      </c>
      <c r="B2243" s="14" t="s">
        <v>98</v>
      </c>
      <c r="C2243" s="15" t="s">
        <v>2432</v>
      </c>
      <c r="D2243" s="14" t="s">
        <v>1745</v>
      </c>
      <c r="E2243" s="14" t="s">
        <v>1746</v>
      </c>
      <c r="F2243" s="17" t="s">
        <v>2994</v>
      </c>
      <c r="G2243" s="14">
        <v>1132.08</v>
      </c>
      <c r="H2243" s="14">
        <v>905.64</v>
      </c>
      <c r="I2243" s="31">
        <f>IF(COUNTIFS(Addendum!C:C,A2243,Addendum!D:D,IF(ISNUMBER(B2243),TEXT(B2243,"0000"),B2243),Addendum!E:E,"X")&gt;0,4%,0)</f>
        <v>0.04</v>
      </c>
      <c r="J2243" s="31">
        <f>IF(COUNTIFS(Addendum!C:C,A2243,Addendum!D:D,IF(ISNUMBER(B2243),TEXT(B2243,"0000"),B2243),Addendum!F:F,"X")&gt;0,2.5%,0)</f>
        <v>0</v>
      </c>
      <c r="K2243" s="31">
        <f>IF(COUNTIFS(Addendum!C:C,A2243,Addendum!D:D,IF(ISNUMBER(B2243),TEXT(B2243,"0000"),B2243),Addendum!G:G,"X")&gt;0,7%,0)</f>
        <v>0</v>
      </c>
      <c r="L2243" s="31">
        <f>IF(COUNTIFS(Addendum!C:C,A2243,Addendum!D:D,IF(ISNUMBER(B2243),TEXT(B2243,"0000"),B2243),Addendum!I:I,"X")&gt;0,10%,0)</f>
        <v>0</v>
      </c>
      <c r="M2243" s="34">
        <f t="shared" si="68"/>
        <v>0.01</v>
      </c>
      <c r="N2243" s="17">
        <f t="shared" si="69"/>
        <v>896.58359999999993</v>
      </c>
    </row>
    <row r="2244" spans="1:14" x14ac:dyDescent="0.25">
      <c r="A2244" s="14" t="s">
        <v>798</v>
      </c>
      <c r="B2244" s="14" t="s">
        <v>173</v>
      </c>
      <c r="C2244" s="15" t="s">
        <v>2433</v>
      </c>
      <c r="D2244" s="14" t="s">
        <v>1745</v>
      </c>
      <c r="E2244" s="14" t="s">
        <v>1747</v>
      </c>
      <c r="F2244" s="17" t="s">
        <v>2994</v>
      </c>
      <c r="G2244" s="14">
        <v>5220</v>
      </c>
      <c r="H2244" s="14">
        <v>4176</v>
      </c>
      <c r="I2244" s="31">
        <f>IF(COUNTIFS(Addendum!C:C,A2244,Addendum!D:D,IF(ISNUMBER(B2244),TEXT(B2244,"0000"),B2244),Addendum!E:E,"X")&gt;0,4%,0)</f>
        <v>0.04</v>
      </c>
      <c r="J2244" s="31">
        <f>IF(COUNTIFS(Addendum!C:C,A2244,Addendum!D:D,IF(ISNUMBER(B2244),TEXT(B2244,"0000"),B2244),Addendum!F:F,"X")&gt;0,2.5%,0)</f>
        <v>0</v>
      </c>
      <c r="K2244" s="31">
        <f>IF(COUNTIFS(Addendum!C:C,A2244,Addendum!D:D,IF(ISNUMBER(B2244),TEXT(B2244,"0000"),B2244),Addendum!G:G,"X")&gt;0,7%,0)</f>
        <v>0</v>
      </c>
      <c r="L2244" s="31">
        <f>IF(COUNTIFS(Addendum!C:C,A2244,Addendum!D:D,IF(ISNUMBER(B2244),TEXT(B2244,"0000"),B2244),Addendum!I:I,"X")&gt;0,10%,0)</f>
        <v>0</v>
      </c>
      <c r="M2244" s="34">
        <f t="shared" ref="M2244:M2307" si="70">IF(AND(I2244=0%,J2244=0%,K2244=0%,L2244=0%),0%,
IF(OR(TRIM(E2244)="OneTime",TRIM(D2244)=""),0%,
IF(
OR(
TRIM(D2244)="P1M",
AND(TRIM(D2244)="P1Y",TRIM(E2244)="Monthly"),
AND(TRIM(D2244)="P3Y",TRIM(E2244)="Monthly")
),
IF(AND(I2244=4%,J2244=0%,K2244=0%,L2244=0%),1%,
IF(AND(I2244=4%,J2244=2.5%,K2244=0%,L2244=10%),2%,
IF(AND(I2244=4%,J2244=0%,K2244=7%,L2244=10%),3%,0%))),
IF(
OR(
AND(TRIM(D2244)="P1Y",TRIM(E2244)="Annual"),
AND(TRIM(D2244)="P3Y",TRIM(E2244)="Annual"),
AND(TRIM(D2244)="P3Y",TRIM(E2244)="Triennial")
),
IF(AND(I2244=4%,J2244=0%,K2244=0%,L2244=0%),3%,
IF(AND(I2244=4%,J2244=2.5%,K2244=0%,L2244=10%),10%,
IF(AND(I2244=4%,J2244=0%,K2244=7%,L2244=10%),14%,0%))),
0%
))))</f>
        <v>0.03</v>
      </c>
      <c r="N2244" s="17">
        <f t="shared" ref="N2244:N2307" si="71">H2244-(H2244*M2244)</f>
        <v>4050.72</v>
      </c>
    </row>
    <row r="2245" spans="1:14" x14ac:dyDescent="0.25">
      <c r="A2245" s="14" t="s">
        <v>798</v>
      </c>
      <c r="B2245" s="14" t="s">
        <v>118</v>
      </c>
      <c r="C2245" s="15" t="s">
        <v>2431</v>
      </c>
      <c r="D2245" s="14" t="s">
        <v>1745</v>
      </c>
      <c r="E2245" s="14" t="s">
        <v>1747</v>
      </c>
      <c r="F2245" s="17" t="s">
        <v>2995</v>
      </c>
      <c r="G2245" s="14">
        <v>2100</v>
      </c>
      <c r="H2245" s="14">
        <v>1890</v>
      </c>
      <c r="I2245" s="31">
        <f>IF(COUNTIFS(Addendum!C:C,A2245,Addendum!D:D,IF(ISNUMBER(B2245),TEXT(B2245,"0000"),B2245),Addendum!E:E,"X")&gt;0,4%,0)</f>
        <v>0.04</v>
      </c>
      <c r="J2245" s="31">
        <f>IF(COUNTIFS(Addendum!C:C,A2245,Addendum!D:D,IF(ISNUMBER(B2245),TEXT(B2245,"0000"),B2245),Addendum!F:F,"X")&gt;0,2.5%,0)</f>
        <v>0</v>
      </c>
      <c r="K2245" s="31">
        <f>IF(COUNTIFS(Addendum!C:C,A2245,Addendum!D:D,IF(ISNUMBER(B2245),TEXT(B2245,"0000"),B2245),Addendum!G:G,"X")&gt;0,7%,0)</f>
        <v>0</v>
      </c>
      <c r="L2245" s="31">
        <f>IF(COUNTIFS(Addendum!C:C,A2245,Addendum!D:D,IF(ISNUMBER(B2245),TEXT(B2245,"0000"),B2245),Addendum!I:I,"X")&gt;0,10%,0)</f>
        <v>0</v>
      </c>
      <c r="M2245" s="34">
        <f t="shared" si="70"/>
        <v>0.03</v>
      </c>
      <c r="N2245" s="17">
        <f t="shared" si="71"/>
        <v>1833.3</v>
      </c>
    </row>
    <row r="2246" spans="1:14" x14ac:dyDescent="0.25">
      <c r="A2246" s="14" t="s">
        <v>819</v>
      </c>
      <c r="B2246" s="14">
        <v>1</v>
      </c>
      <c r="C2246" s="15" t="s">
        <v>818</v>
      </c>
      <c r="D2246" s="14" t="s">
        <v>1745</v>
      </c>
      <c r="E2246" s="14" t="s">
        <v>1746</v>
      </c>
      <c r="F2246" s="17" t="s">
        <v>2993</v>
      </c>
      <c r="G2246" s="14">
        <v>5796</v>
      </c>
      <c r="H2246" s="14">
        <v>4636.8</v>
      </c>
      <c r="I2246" s="31">
        <f>IF(COUNTIFS(Addendum!C:C,A2246,Addendum!D:D,IF(ISNUMBER(B2246),TEXT(B2246,"0000"),B2246),Addendum!E:E,"X")&gt;0,4%,0)</f>
        <v>0.04</v>
      </c>
      <c r="J2246" s="31">
        <f>IF(COUNTIFS(Addendum!C:C,A2246,Addendum!D:D,IF(ISNUMBER(B2246),TEXT(B2246,"0000"),B2246),Addendum!F:F,"X")&gt;0,2.5%,0)</f>
        <v>0</v>
      </c>
      <c r="K2246" s="31">
        <f>IF(COUNTIFS(Addendum!C:C,A2246,Addendum!D:D,IF(ISNUMBER(B2246),TEXT(B2246,"0000"),B2246),Addendum!G:G,"X")&gt;0,7%,0)</f>
        <v>0</v>
      </c>
      <c r="L2246" s="31">
        <f>IF(COUNTIFS(Addendum!C:C,A2246,Addendum!D:D,IF(ISNUMBER(B2246),TEXT(B2246,"0000"),B2246),Addendum!I:I,"X")&gt;0,10%,0)</f>
        <v>0</v>
      </c>
      <c r="M2246" s="34">
        <f t="shared" si="70"/>
        <v>0.01</v>
      </c>
      <c r="N2246" s="17">
        <f t="shared" si="71"/>
        <v>4590.4319999999998</v>
      </c>
    </row>
    <row r="2247" spans="1:14" x14ac:dyDescent="0.25">
      <c r="A2247" s="14" t="s">
        <v>819</v>
      </c>
      <c r="B2247" s="14">
        <v>1</v>
      </c>
      <c r="C2247" s="15" t="s">
        <v>818</v>
      </c>
      <c r="D2247" s="14" t="s">
        <v>1749</v>
      </c>
      <c r="E2247" s="14" t="s">
        <v>1746</v>
      </c>
      <c r="F2247" s="17" t="s">
        <v>2993</v>
      </c>
      <c r="G2247" s="14">
        <v>552</v>
      </c>
      <c r="H2247" s="14">
        <v>441.6</v>
      </c>
      <c r="I2247" s="31">
        <f>IF(COUNTIFS(Addendum!C:C,A2247,Addendum!D:D,IF(ISNUMBER(B2247),TEXT(B2247,"0000"),B2247),Addendum!E:E,"X")&gt;0,4%,0)</f>
        <v>0.04</v>
      </c>
      <c r="J2247" s="31">
        <f>IF(COUNTIFS(Addendum!C:C,A2247,Addendum!D:D,IF(ISNUMBER(B2247),TEXT(B2247,"0000"),B2247),Addendum!F:F,"X")&gt;0,2.5%,0)</f>
        <v>0</v>
      </c>
      <c r="K2247" s="31">
        <f>IF(COUNTIFS(Addendum!C:C,A2247,Addendum!D:D,IF(ISNUMBER(B2247),TEXT(B2247,"0000"),B2247),Addendum!G:G,"X")&gt;0,7%,0)</f>
        <v>0</v>
      </c>
      <c r="L2247" s="31">
        <f>IF(COUNTIFS(Addendum!C:C,A2247,Addendum!D:D,IF(ISNUMBER(B2247),TEXT(B2247,"0000"),B2247),Addendum!I:I,"X")&gt;0,10%,0)</f>
        <v>0</v>
      </c>
      <c r="M2247" s="34">
        <f t="shared" si="70"/>
        <v>0.01</v>
      </c>
      <c r="N2247" s="17">
        <f t="shared" si="71"/>
        <v>437.18400000000003</v>
      </c>
    </row>
    <row r="2248" spans="1:14" x14ac:dyDescent="0.25">
      <c r="A2248" s="14" t="s">
        <v>819</v>
      </c>
      <c r="B2248" s="14" t="s">
        <v>28</v>
      </c>
      <c r="C2248" s="15" t="s">
        <v>2435</v>
      </c>
      <c r="D2248" s="14" t="s">
        <v>1745</v>
      </c>
      <c r="E2248" s="14" t="s">
        <v>1746</v>
      </c>
      <c r="F2248" s="17" t="s">
        <v>2994</v>
      </c>
      <c r="G2248" s="14">
        <v>1153.08</v>
      </c>
      <c r="H2248" s="14">
        <v>922.44</v>
      </c>
      <c r="I2248" s="31">
        <f>IF(COUNTIFS(Addendum!C:C,A2248,Addendum!D:D,IF(ISNUMBER(B2248),TEXT(B2248,"0000"),B2248),Addendum!E:E,"X")&gt;0,4%,0)</f>
        <v>0.04</v>
      </c>
      <c r="J2248" s="31">
        <f>IF(COUNTIFS(Addendum!C:C,A2248,Addendum!D:D,IF(ISNUMBER(B2248),TEXT(B2248,"0000"),B2248),Addendum!F:F,"X")&gt;0,2.5%,0)</f>
        <v>0</v>
      </c>
      <c r="K2248" s="31">
        <f>IF(COUNTIFS(Addendum!C:C,A2248,Addendum!D:D,IF(ISNUMBER(B2248),TEXT(B2248,"0000"),B2248),Addendum!G:G,"X")&gt;0,7%,0)</f>
        <v>0</v>
      </c>
      <c r="L2248" s="31">
        <f>IF(COUNTIFS(Addendum!C:C,A2248,Addendum!D:D,IF(ISNUMBER(B2248),TEXT(B2248,"0000"),B2248),Addendum!I:I,"X")&gt;0,10%,0)</f>
        <v>0</v>
      </c>
      <c r="M2248" s="34">
        <f t="shared" si="70"/>
        <v>0.01</v>
      </c>
      <c r="N2248" s="17">
        <f t="shared" si="71"/>
        <v>913.21560000000011</v>
      </c>
    </row>
    <row r="2249" spans="1:14" x14ac:dyDescent="0.25">
      <c r="A2249" s="14" t="s">
        <v>819</v>
      </c>
      <c r="B2249" s="14" t="s">
        <v>46</v>
      </c>
      <c r="C2249" s="15" t="s">
        <v>2436</v>
      </c>
      <c r="D2249" s="14" t="s">
        <v>1745</v>
      </c>
      <c r="E2249" s="14" t="s">
        <v>1746</v>
      </c>
      <c r="F2249" s="17" t="s">
        <v>2995</v>
      </c>
      <c r="G2249" s="14">
        <v>2331</v>
      </c>
      <c r="H2249" s="14">
        <v>2097.96</v>
      </c>
      <c r="I2249" s="31">
        <f>IF(COUNTIFS(Addendum!C:C,A2249,Addendum!D:D,IF(ISNUMBER(B2249),TEXT(B2249,"0000"),B2249),Addendum!E:E,"X")&gt;0,4%,0)</f>
        <v>0.04</v>
      </c>
      <c r="J2249" s="31">
        <f>IF(COUNTIFS(Addendum!C:C,A2249,Addendum!D:D,IF(ISNUMBER(B2249),TEXT(B2249,"0000"),B2249),Addendum!F:F,"X")&gt;0,2.5%,0)</f>
        <v>0</v>
      </c>
      <c r="K2249" s="31">
        <f>IF(COUNTIFS(Addendum!C:C,A2249,Addendum!D:D,IF(ISNUMBER(B2249),TEXT(B2249,"0000"),B2249),Addendum!G:G,"X")&gt;0,7%,0)</f>
        <v>0</v>
      </c>
      <c r="L2249" s="31">
        <f>IF(COUNTIFS(Addendum!C:C,A2249,Addendum!D:D,IF(ISNUMBER(B2249),TEXT(B2249,"0000"),B2249),Addendum!I:I,"X")&gt;0,10%,0)</f>
        <v>0</v>
      </c>
      <c r="M2249" s="34">
        <f t="shared" si="70"/>
        <v>0.01</v>
      </c>
      <c r="N2249" s="17">
        <f t="shared" si="71"/>
        <v>2076.9803999999999</v>
      </c>
    </row>
    <row r="2250" spans="1:14" x14ac:dyDescent="0.25">
      <c r="A2250" s="14" t="s">
        <v>819</v>
      </c>
      <c r="B2250" s="14">
        <v>1</v>
      </c>
      <c r="C2250" s="15" t="s">
        <v>818</v>
      </c>
      <c r="D2250" s="14" t="s">
        <v>1745</v>
      </c>
      <c r="E2250" s="14" t="s">
        <v>1747</v>
      </c>
      <c r="F2250" s="17" t="s">
        <v>2993</v>
      </c>
      <c r="G2250" s="14">
        <v>5520</v>
      </c>
      <c r="H2250" s="14">
        <v>4416</v>
      </c>
      <c r="I2250" s="31">
        <f>IF(COUNTIFS(Addendum!C:C,A2250,Addendum!D:D,IF(ISNUMBER(B2250),TEXT(B2250,"0000"),B2250),Addendum!E:E,"X")&gt;0,4%,0)</f>
        <v>0.04</v>
      </c>
      <c r="J2250" s="31">
        <f>IF(COUNTIFS(Addendum!C:C,A2250,Addendum!D:D,IF(ISNUMBER(B2250),TEXT(B2250,"0000"),B2250),Addendum!F:F,"X")&gt;0,2.5%,0)</f>
        <v>0</v>
      </c>
      <c r="K2250" s="31">
        <f>IF(COUNTIFS(Addendum!C:C,A2250,Addendum!D:D,IF(ISNUMBER(B2250),TEXT(B2250,"0000"),B2250),Addendum!G:G,"X")&gt;0,7%,0)</f>
        <v>0</v>
      </c>
      <c r="L2250" s="31">
        <f>IF(COUNTIFS(Addendum!C:C,A2250,Addendum!D:D,IF(ISNUMBER(B2250),TEXT(B2250,"0000"),B2250),Addendum!I:I,"X")&gt;0,10%,0)</f>
        <v>0</v>
      </c>
      <c r="M2250" s="34">
        <f t="shared" si="70"/>
        <v>0.03</v>
      </c>
      <c r="N2250" s="17">
        <f t="shared" si="71"/>
        <v>4283.5200000000004</v>
      </c>
    </row>
    <row r="2251" spans="1:14" x14ac:dyDescent="0.25">
      <c r="A2251" s="14" t="s">
        <v>819</v>
      </c>
      <c r="B2251" s="14" t="s">
        <v>46</v>
      </c>
      <c r="C2251" s="15" t="s">
        <v>2436</v>
      </c>
      <c r="D2251" s="14" t="s">
        <v>1745</v>
      </c>
      <c r="E2251" s="14" t="s">
        <v>1747</v>
      </c>
      <c r="F2251" s="17" t="s">
        <v>2995</v>
      </c>
      <c r="G2251" s="14">
        <v>2220</v>
      </c>
      <c r="H2251" s="14">
        <v>1998</v>
      </c>
      <c r="I2251" s="31">
        <f>IF(COUNTIFS(Addendum!C:C,A2251,Addendum!D:D,IF(ISNUMBER(B2251),TEXT(B2251,"0000"),B2251),Addendum!E:E,"X")&gt;0,4%,0)</f>
        <v>0.04</v>
      </c>
      <c r="J2251" s="31">
        <f>IF(COUNTIFS(Addendum!C:C,A2251,Addendum!D:D,IF(ISNUMBER(B2251),TEXT(B2251,"0000"),B2251),Addendum!F:F,"X")&gt;0,2.5%,0)</f>
        <v>0</v>
      </c>
      <c r="K2251" s="31">
        <f>IF(COUNTIFS(Addendum!C:C,A2251,Addendum!D:D,IF(ISNUMBER(B2251),TEXT(B2251,"0000"),B2251),Addendum!G:G,"X")&gt;0,7%,0)</f>
        <v>0</v>
      </c>
      <c r="L2251" s="31">
        <f>IF(COUNTIFS(Addendum!C:C,A2251,Addendum!D:D,IF(ISNUMBER(B2251),TEXT(B2251,"0000"),B2251),Addendum!I:I,"X")&gt;0,10%,0)</f>
        <v>0</v>
      </c>
      <c r="M2251" s="34">
        <f t="shared" si="70"/>
        <v>0.03</v>
      </c>
      <c r="N2251" s="17">
        <f t="shared" si="71"/>
        <v>1938.06</v>
      </c>
    </row>
    <row r="2252" spans="1:14" x14ac:dyDescent="0.25">
      <c r="A2252" s="14" t="s">
        <v>819</v>
      </c>
      <c r="B2252" s="14" t="s">
        <v>28</v>
      </c>
      <c r="C2252" s="15" t="s">
        <v>2435</v>
      </c>
      <c r="D2252" s="14" t="s">
        <v>1745</v>
      </c>
      <c r="E2252" s="14" t="s">
        <v>1747</v>
      </c>
      <c r="F2252" s="17" t="s">
        <v>2994</v>
      </c>
      <c r="G2252" s="14">
        <v>1098.1199999999999</v>
      </c>
      <c r="H2252" s="14">
        <v>878.5</v>
      </c>
      <c r="I2252" s="31">
        <f>IF(COUNTIFS(Addendum!C:C,A2252,Addendum!D:D,IF(ISNUMBER(B2252),TEXT(B2252,"0000"),B2252),Addendum!E:E,"X")&gt;0,4%,0)</f>
        <v>0.04</v>
      </c>
      <c r="J2252" s="31">
        <f>IF(COUNTIFS(Addendum!C:C,A2252,Addendum!D:D,IF(ISNUMBER(B2252),TEXT(B2252,"0000"),B2252),Addendum!F:F,"X")&gt;0,2.5%,0)</f>
        <v>0</v>
      </c>
      <c r="K2252" s="31">
        <f>IF(COUNTIFS(Addendum!C:C,A2252,Addendum!D:D,IF(ISNUMBER(B2252),TEXT(B2252,"0000"),B2252),Addendum!G:G,"X")&gt;0,7%,0)</f>
        <v>0</v>
      </c>
      <c r="L2252" s="31">
        <f>IF(COUNTIFS(Addendum!C:C,A2252,Addendum!D:D,IF(ISNUMBER(B2252),TEXT(B2252,"0000"),B2252),Addendum!I:I,"X")&gt;0,10%,0)</f>
        <v>0</v>
      </c>
      <c r="M2252" s="34">
        <f t="shared" si="70"/>
        <v>0.03</v>
      </c>
      <c r="N2252" s="17">
        <f t="shared" si="71"/>
        <v>852.14499999999998</v>
      </c>
    </row>
    <row r="2253" spans="1:14" x14ac:dyDescent="0.25">
      <c r="A2253" s="14" t="s">
        <v>819</v>
      </c>
      <c r="B2253" s="14" t="s">
        <v>39</v>
      </c>
      <c r="C2253" s="15" t="s">
        <v>821</v>
      </c>
      <c r="D2253" s="14" t="s">
        <v>1745</v>
      </c>
      <c r="E2253" s="14" t="s">
        <v>1747</v>
      </c>
      <c r="F2253" s="17" t="s">
        <v>2993</v>
      </c>
      <c r="G2253" s="14">
        <v>3720</v>
      </c>
      <c r="H2253" s="14">
        <v>2976</v>
      </c>
      <c r="I2253" s="31">
        <f>IF(COUNTIFS(Addendum!C:C,A2253,Addendum!D:D,IF(ISNUMBER(B2253),TEXT(B2253,"0000"),B2253),Addendum!E:E,"X")&gt;0,4%,0)</f>
        <v>0.04</v>
      </c>
      <c r="J2253" s="31">
        <f>IF(COUNTIFS(Addendum!C:C,A2253,Addendum!D:D,IF(ISNUMBER(B2253),TEXT(B2253,"0000"),B2253),Addendum!F:F,"X")&gt;0,2.5%,0)</f>
        <v>0</v>
      </c>
      <c r="K2253" s="31">
        <f>IF(COUNTIFS(Addendum!C:C,A2253,Addendum!D:D,IF(ISNUMBER(B2253),TEXT(B2253,"0000"),B2253),Addendum!G:G,"X")&gt;0,7%,0)</f>
        <v>0</v>
      </c>
      <c r="L2253" s="31">
        <f>IF(COUNTIFS(Addendum!C:C,A2253,Addendum!D:D,IF(ISNUMBER(B2253),TEXT(B2253,"0000"),B2253),Addendum!I:I,"X")&gt;0,10%,0)</f>
        <v>0</v>
      </c>
      <c r="M2253" s="34">
        <f t="shared" si="70"/>
        <v>0.03</v>
      </c>
      <c r="N2253" s="17">
        <f t="shared" si="71"/>
        <v>2886.72</v>
      </c>
    </row>
    <row r="2254" spans="1:14" x14ac:dyDescent="0.25">
      <c r="A2254" s="14" t="s">
        <v>819</v>
      </c>
      <c r="B2254" s="14" t="s">
        <v>39</v>
      </c>
      <c r="C2254" s="15" t="s">
        <v>821</v>
      </c>
      <c r="D2254" s="14" t="s">
        <v>1749</v>
      </c>
      <c r="E2254" s="14" t="s">
        <v>1746</v>
      </c>
      <c r="F2254" s="17" t="s">
        <v>2993</v>
      </c>
      <c r="G2254" s="14">
        <v>372</v>
      </c>
      <c r="H2254" s="14">
        <v>297.60000000000002</v>
      </c>
      <c r="I2254" s="31">
        <f>IF(COUNTIFS(Addendum!C:C,A2254,Addendum!D:D,IF(ISNUMBER(B2254),TEXT(B2254,"0000"),B2254),Addendum!E:E,"X")&gt;0,4%,0)</f>
        <v>0.04</v>
      </c>
      <c r="J2254" s="31">
        <f>IF(COUNTIFS(Addendum!C:C,A2254,Addendum!D:D,IF(ISNUMBER(B2254),TEXT(B2254,"0000"),B2254),Addendum!F:F,"X")&gt;0,2.5%,0)</f>
        <v>0</v>
      </c>
      <c r="K2254" s="31">
        <f>IF(COUNTIFS(Addendum!C:C,A2254,Addendum!D:D,IF(ISNUMBER(B2254),TEXT(B2254,"0000"),B2254),Addendum!G:G,"X")&gt;0,7%,0)</f>
        <v>0</v>
      </c>
      <c r="L2254" s="31">
        <f>IF(COUNTIFS(Addendum!C:C,A2254,Addendum!D:D,IF(ISNUMBER(B2254),TEXT(B2254,"0000"),B2254),Addendum!I:I,"X")&gt;0,10%,0)</f>
        <v>0</v>
      </c>
      <c r="M2254" s="34">
        <f t="shared" si="70"/>
        <v>0.01</v>
      </c>
      <c r="N2254" s="17">
        <f t="shared" si="71"/>
        <v>294.62400000000002</v>
      </c>
    </row>
    <row r="2255" spans="1:14" x14ac:dyDescent="0.25">
      <c r="A2255" s="14" t="s">
        <v>819</v>
      </c>
      <c r="B2255" s="14" t="s">
        <v>122</v>
      </c>
      <c r="C2255" s="15" t="s">
        <v>2437</v>
      </c>
      <c r="D2255" s="14" t="s">
        <v>1749</v>
      </c>
      <c r="E2255" s="14" t="s">
        <v>1746</v>
      </c>
      <c r="F2255" s="17" t="s">
        <v>2994</v>
      </c>
      <c r="G2255" s="14">
        <v>109.81</v>
      </c>
      <c r="H2255" s="14">
        <v>87.85</v>
      </c>
      <c r="I2255" s="31">
        <f>IF(COUNTIFS(Addendum!C:C,A2255,Addendum!D:D,IF(ISNUMBER(B2255),TEXT(B2255,"0000"),B2255),Addendum!E:E,"X")&gt;0,4%,0)</f>
        <v>0.04</v>
      </c>
      <c r="J2255" s="31">
        <f>IF(COUNTIFS(Addendum!C:C,A2255,Addendum!D:D,IF(ISNUMBER(B2255),TEXT(B2255,"0000"),B2255),Addendum!F:F,"X")&gt;0,2.5%,0)</f>
        <v>0</v>
      </c>
      <c r="K2255" s="31">
        <f>IF(COUNTIFS(Addendum!C:C,A2255,Addendum!D:D,IF(ISNUMBER(B2255),TEXT(B2255,"0000"),B2255),Addendum!G:G,"X")&gt;0,7%,0)</f>
        <v>0</v>
      </c>
      <c r="L2255" s="31">
        <f>IF(COUNTIFS(Addendum!C:C,A2255,Addendum!D:D,IF(ISNUMBER(B2255),TEXT(B2255,"0000"),B2255),Addendum!I:I,"X")&gt;0,10%,0)</f>
        <v>0</v>
      </c>
      <c r="M2255" s="34">
        <f t="shared" si="70"/>
        <v>0.01</v>
      </c>
      <c r="N2255" s="17">
        <f t="shared" si="71"/>
        <v>86.971499999999992</v>
      </c>
    </row>
    <row r="2256" spans="1:14" x14ac:dyDescent="0.25">
      <c r="A2256" s="14" t="s">
        <v>819</v>
      </c>
      <c r="B2256" s="14" t="s">
        <v>39</v>
      </c>
      <c r="C2256" s="15" t="s">
        <v>821</v>
      </c>
      <c r="D2256" s="14" t="s">
        <v>1745</v>
      </c>
      <c r="E2256" s="14" t="s">
        <v>1746</v>
      </c>
      <c r="F2256" s="17" t="s">
        <v>2993</v>
      </c>
      <c r="G2256" s="14">
        <v>3906</v>
      </c>
      <c r="H2256" s="14">
        <v>3124.8</v>
      </c>
      <c r="I2256" s="31">
        <f>IF(COUNTIFS(Addendum!C:C,A2256,Addendum!D:D,IF(ISNUMBER(B2256),TEXT(B2256,"0000"),B2256),Addendum!E:E,"X")&gt;0,4%,0)</f>
        <v>0.04</v>
      </c>
      <c r="J2256" s="31">
        <f>IF(COUNTIFS(Addendum!C:C,A2256,Addendum!D:D,IF(ISNUMBER(B2256),TEXT(B2256,"0000"),B2256),Addendum!F:F,"X")&gt;0,2.5%,0)</f>
        <v>0</v>
      </c>
      <c r="K2256" s="31">
        <f>IF(COUNTIFS(Addendum!C:C,A2256,Addendum!D:D,IF(ISNUMBER(B2256),TEXT(B2256,"0000"),B2256),Addendum!G:G,"X")&gt;0,7%,0)</f>
        <v>0</v>
      </c>
      <c r="L2256" s="31">
        <f>IF(COUNTIFS(Addendum!C:C,A2256,Addendum!D:D,IF(ISNUMBER(B2256),TEXT(B2256,"0000"),B2256),Addendum!I:I,"X")&gt;0,10%,0)</f>
        <v>0</v>
      </c>
      <c r="M2256" s="34">
        <f t="shared" si="70"/>
        <v>0.01</v>
      </c>
      <c r="N2256" s="17">
        <f t="shared" si="71"/>
        <v>3093.5520000000001</v>
      </c>
    </row>
    <row r="2257" spans="1:14" x14ac:dyDescent="0.25">
      <c r="A2257" s="14" t="s">
        <v>819</v>
      </c>
      <c r="B2257" s="14" t="s">
        <v>122</v>
      </c>
      <c r="C2257" s="15" t="s">
        <v>2437</v>
      </c>
      <c r="D2257" s="14" t="s">
        <v>1745</v>
      </c>
      <c r="E2257" s="14" t="s">
        <v>1746</v>
      </c>
      <c r="F2257" s="17" t="s">
        <v>2994</v>
      </c>
      <c r="G2257" s="14">
        <v>1153.08</v>
      </c>
      <c r="H2257" s="14">
        <v>922.44</v>
      </c>
      <c r="I2257" s="31">
        <f>IF(COUNTIFS(Addendum!C:C,A2257,Addendum!D:D,IF(ISNUMBER(B2257),TEXT(B2257,"0000"),B2257),Addendum!E:E,"X")&gt;0,4%,0)</f>
        <v>0.04</v>
      </c>
      <c r="J2257" s="31">
        <f>IF(COUNTIFS(Addendum!C:C,A2257,Addendum!D:D,IF(ISNUMBER(B2257),TEXT(B2257,"0000"),B2257),Addendum!F:F,"X")&gt;0,2.5%,0)</f>
        <v>0</v>
      </c>
      <c r="K2257" s="31">
        <f>IF(COUNTIFS(Addendum!C:C,A2257,Addendum!D:D,IF(ISNUMBER(B2257),TEXT(B2257,"0000"),B2257),Addendum!G:G,"X")&gt;0,7%,0)</f>
        <v>0</v>
      </c>
      <c r="L2257" s="31">
        <f>IF(COUNTIFS(Addendum!C:C,A2257,Addendum!D:D,IF(ISNUMBER(B2257),TEXT(B2257,"0000"),B2257),Addendum!I:I,"X")&gt;0,10%,0)</f>
        <v>0</v>
      </c>
      <c r="M2257" s="34">
        <f t="shared" si="70"/>
        <v>0.01</v>
      </c>
      <c r="N2257" s="17">
        <f t="shared" si="71"/>
        <v>913.21560000000011</v>
      </c>
    </row>
    <row r="2258" spans="1:14" x14ac:dyDescent="0.25">
      <c r="A2258" s="14" t="s">
        <v>819</v>
      </c>
      <c r="B2258" s="14" t="s">
        <v>46</v>
      </c>
      <c r="C2258" s="15" t="s">
        <v>2436</v>
      </c>
      <c r="D2258" s="14" t="s">
        <v>1749</v>
      </c>
      <c r="E2258" s="14" t="s">
        <v>1746</v>
      </c>
      <c r="F2258" s="17" t="s">
        <v>2995</v>
      </c>
      <c r="G2258" s="14">
        <v>222</v>
      </c>
      <c r="H2258" s="14">
        <v>199.8</v>
      </c>
      <c r="I2258" s="31">
        <f>IF(COUNTIFS(Addendum!C:C,A2258,Addendum!D:D,IF(ISNUMBER(B2258),TEXT(B2258,"0000"),B2258),Addendum!E:E,"X")&gt;0,4%,0)</f>
        <v>0.04</v>
      </c>
      <c r="J2258" s="31">
        <f>IF(COUNTIFS(Addendum!C:C,A2258,Addendum!D:D,IF(ISNUMBER(B2258),TEXT(B2258,"0000"),B2258),Addendum!F:F,"X")&gt;0,2.5%,0)</f>
        <v>0</v>
      </c>
      <c r="K2258" s="31">
        <f>IF(COUNTIFS(Addendum!C:C,A2258,Addendum!D:D,IF(ISNUMBER(B2258),TEXT(B2258,"0000"),B2258),Addendum!G:G,"X")&gt;0,7%,0)</f>
        <v>0</v>
      </c>
      <c r="L2258" s="31">
        <f>IF(COUNTIFS(Addendum!C:C,A2258,Addendum!D:D,IF(ISNUMBER(B2258),TEXT(B2258,"0000"),B2258),Addendum!I:I,"X")&gt;0,10%,0)</f>
        <v>0</v>
      </c>
      <c r="M2258" s="34">
        <f t="shared" si="70"/>
        <v>0.01</v>
      </c>
      <c r="N2258" s="17">
        <f t="shared" si="71"/>
        <v>197.80200000000002</v>
      </c>
    </row>
    <row r="2259" spans="1:14" x14ac:dyDescent="0.25">
      <c r="A2259" s="14" t="s">
        <v>819</v>
      </c>
      <c r="B2259" s="14" t="s">
        <v>28</v>
      </c>
      <c r="C2259" s="15" t="s">
        <v>2435</v>
      </c>
      <c r="D2259" s="14" t="s">
        <v>1749</v>
      </c>
      <c r="E2259" s="14" t="s">
        <v>1746</v>
      </c>
      <c r="F2259" s="17" t="s">
        <v>2994</v>
      </c>
      <c r="G2259" s="14">
        <v>109.81</v>
      </c>
      <c r="H2259" s="14">
        <v>87.85</v>
      </c>
      <c r="I2259" s="31">
        <f>IF(COUNTIFS(Addendum!C:C,A2259,Addendum!D:D,IF(ISNUMBER(B2259),TEXT(B2259,"0000"),B2259),Addendum!E:E,"X")&gt;0,4%,0)</f>
        <v>0.04</v>
      </c>
      <c r="J2259" s="31">
        <f>IF(COUNTIFS(Addendum!C:C,A2259,Addendum!D:D,IF(ISNUMBER(B2259),TEXT(B2259,"0000"),B2259),Addendum!F:F,"X")&gt;0,2.5%,0)</f>
        <v>0</v>
      </c>
      <c r="K2259" s="31">
        <f>IF(COUNTIFS(Addendum!C:C,A2259,Addendum!D:D,IF(ISNUMBER(B2259),TEXT(B2259,"0000"),B2259),Addendum!G:G,"X")&gt;0,7%,0)</f>
        <v>0</v>
      </c>
      <c r="L2259" s="31">
        <f>IF(COUNTIFS(Addendum!C:C,A2259,Addendum!D:D,IF(ISNUMBER(B2259),TEXT(B2259,"0000"),B2259),Addendum!I:I,"X")&gt;0,10%,0)</f>
        <v>0</v>
      </c>
      <c r="M2259" s="34">
        <f t="shared" si="70"/>
        <v>0.01</v>
      </c>
      <c r="N2259" s="17">
        <f t="shared" si="71"/>
        <v>86.971499999999992</v>
      </c>
    </row>
    <row r="2260" spans="1:14" x14ac:dyDescent="0.25">
      <c r="A2260" s="14" t="s">
        <v>819</v>
      </c>
      <c r="B2260" s="14" t="s">
        <v>122</v>
      </c>
      <c r="C2260" s="15" t="s">
        <v>2437</v>
      </c>
      <c r="D2260" s="14" t="s">
        <v>1745</v>
      </c>
      <c r="E2260" s="14" t="s">
        <v>1747</v>
      </c>
      <c r="F2260" s="17" t="s">
        <v>2994</v>
      </c>
      <c r="G2260" s="14">
        <v>1098.1199999999999</v>
      </c>
      <c r="H2260" s="14">
        <v>878.5</v>
      </c>
      <c r="I2260" s="31">
        <f>IF(COUNTIFS(Addendum!C:C,A2260,Addendum!D:D,IF(ISNUMBER(B2260),TEXT(B2260,"0000"),B2260),Addendum!E:E,"X")&gt;0,4%,0)</f>
        <v>0.04</v>
      </c>
      <c r="J2260" s="31">
        <f>IF(COUNTIFS(Addendum!C:C,A2260,Addendum!D:D,IF(ISNUMBER(B2260),TEXT(B2260,"0000"),B2260),Addendum!F:F,"X")&gt;0,2.5%,0)</f>
        <v>0</v>
      </c>
      <c r="K2260" s="31">
        <f>IF(COUNTIFS(Addendum!C:C,A2260,Addendum!D:D,IF(ISNUMBER(B2260),TEXT(B2260,"0000"),B2260),Addendum!G:G,"X")&gt;0,7%,0)</f>
        <v>0</v>
      </c>
      <c r="L2260" s="31">
        <f>IF(COUNTIFS(Addendum!C:C,A2260,Addendum!D:D,IF(ISNUMBER(B2260),TEXT(B2260,"0000"),B2260),Addendum!I:I,"X")&gt;0,10%,0)</f>
        <v>0</v>
      </c>
      <c r="M2260" s="34">
        <f t="shared" si="70"/>
        <v>0.03</v>
      </c>
      <c r="N2260" s="17">
        <f t="shared" si="71"/>
        <v>852.14499999999998</v>
      </c>
    </row>
    <row r="2261" spans="1:14" x14ac:dyDescent="0.25">
      <c r="A2261" s="14" t="s">
        <v>824</v>
      </c>
      <c r="B2261" s="14">
        <v>2</v>
      </c>
      <c r="C2261" s="15" t="s">
        <v>823</v>
      </c>
      <c r="D2261" s="14" t="s">
        <v>1749</v>
      </c>
      <c r="E2261" s="14" t="s">
        <v>1746</v>
      </c>
      <c r="F2261" s="17" t="s">
        <v>2993</v>
      </c>
      <c r="G2261" s="14">
        <v>84.86</v>
      </c>
      <c r="H2261" s="14">
        <v>67.89</v>
      </c>
      <c r="I2261" s="31">
        <f>IF(COUNTIFS(Addendum!C:C,A2261,Addendum!D:D,IF(ISNUMBER(B2261),TEXT(B2261,"0000"),B2261),Addendum!E:E,"X")&gt;0,4%,0)</f>
        <v>0.04</v>
      </c>
      <c r="J2261" s="31">
        <f>IF(COUNTIFS(Addendum!C:C,A2261,Addendum!D:D,IF(ISNUMBER(B2261),TEXT(B2261,"0000"),B2261),Addendum!F:F,"X")&gt;0,2.5%,0)</f>
        <v>0</v>
      </c>
      <c r="K2261" s="31">
        <f>IF(COUNTIFS(Addendum!C:C,A2261,Addendum!D:D,IF(ISNUMBER(B2261),TEXT(B2261,"0000"),B2261),Addendum!G:G,"X")&gt;0,7%,0)</f>
        <v>0</v>
      </c>
      <c r="L2261" s="31">
        <f>IF(COUNTIFS(Addendum!C:C,A2261,Addendum!D:D,IF(ISNUMBER(B2261),TEXT(B2261,"0000"),B2261),Addendum!I:I,"X")&gt;0,10%,0)</f>
        <v>0</v>
      </c>
      <c r="M2261" s="34">
        <f t="shared" si="70"/>
        <v>0.01</v>
      </c>
      <c r="N2261" s="17">
        <f t="shared" si="71"/>
        <v>67.211100000000002</v>
      </c>
    </row>
    <row r="2262" spans="1:14" x14ac:dyDescent="0.25">
      <c r="A2262" s="14" t="s">
        <v>824</v>
      </c>
      <c r="B2262" s="14">
        <v>5</v>
      </c>
      <c r="C2262" s="15" t="s">
        <v>2438</v>
      </c>
      <c r="D2262" s="14" t="s">
        <v>1745</v>
      </c>
      <c r="E2262" s="14" t="s">
        <v>1746</v>
      </c>
      <c r="F2262" s="17" t="s">
        <v>2994</v>
      </c>
      <c r="G2262" s="14">
        <v>891.12</v>
      </c>
      <c r="H2262" s="14">
        <v>712.8</v>
      </c>
      <c r="I2262" s="31">
        <f>IF(COUNTIFS(Addendum!C:C,A2262,Addendum!D:D,IF(ISNUMBER(B2262),TEXT(B2262,"0000"),B2262),Addendum!E:E,"X")&gt;0,4%,0)</f>
        <v>0.04</v>
      </c>
      <c r="J2262" s="31">
        <f>IF(COUNTIFS(Addendum!C:C,A2262,Addendum!D:D,IF(ISNUMBER(B2262),TEXT(B2262,"0000"),B2262),Addendum!F:F,"X")&gt;0,2.5%,0)</f>
        <v>0</v>
      </c>
      <c r="K2262" s="31">
        <f>IF(COUNTIFS(Addendum!C:C,A2262,Addendum!D:D,IF(ISNUMBER(B2262),TEXT(B2262,"0000"),B2262),Addendum!G:G,"X")&gt;0,7%,0)</f>
        <v>0</v>
      </c>
      <c r="L2262" s="31">
        <f>IF(COUNTIFS(Addendum!C:C,A2262,Addendum!D:D,IF(ISNUMBER(B2262),TEXT(B2262,"0000"),B2262),Addendum!I:I,"X")&gt;0,10%,0)</f>
        <v>0</v>
      </c>
      <c r="M2262" s="34">
        <f t="shared" si="70"/>
        <v>0.01</v>
      </c>
      <c r="N2262" s="17">
        <f t="shared" si="71"/>
        <v>705.67199999999991</v>
      </c>
    </row>
    <row r="2263" spans="1:14" x14ac:dyDescent="0.25">
      <c r="A2263" s="14" t="s">
        <v>824</v>
      </c>
      <c r="B2263" s="14">
        <v>5</v>
      </c>
      <c r="C2263" s="15" t="s">
        <v>2438</v>
      </c>
      <c r="D2263" s="14" t="s">
        <v>1749</v>
      </c>
      <c r="E2263" s="14" t="s">
        <v>1746</v>
      </c>
      <c r="F2263" s="17" t="s">
        <v>2994</v>
      </c>
      <c r="G2263" s="14">
        <v>84.86</v>
      </c>
      <c r="H2263" s="14">
        <v>67.89</v>
      </c>
      <c r="I2263" s="31">
        <f>IF(COUNTIFS(Addendum!C:C,A2263,Addendum!D:D,IF(ISNUMBER(B2263),TEXT(B2263,"0000"),B2263),Addendum!E:E,"X")&gt;0,4%,0)</f>
        <v>0.04</v>
      </c>
      <c r="J2263" s="31">
        <f>IF(COUNTIFS(Addendum!C:C,A2263,Addendum!D:D,IF(ISNUMBER(B2263),TEXT(B2263,"0000"),B2263),Addendum!F:F,"X")&gt;0,2.5%,0)</f>
        <v>0</v>
      </c>
      <c r="K2263" s="31">
        <f>IF(COUNTIFS(Addendum!C:C,A2263,Addendum!D:D,IF(ISNUMBER(B2263),TEXT(B2263,"0000"),B2263),Addendum!G:G,"X")&gt;0,7%,0)</f>
        <v>0</v>
      </c>
      <c r="L2263" s="31">
        <f>IF(COUNTIFS(Addendum!C:C,A2263,Addendum!D:D,IF(ISNUMBER(B2263),TEXT(B2263,"0000"),B2263),Addendum!I:I,"X")&gt;0,10%,0)</f>
        <v>0</v>
      </c>
      <c r="M2263" s="34">
        <f t="shared" si="70"/>
        <v>0.01</v>
      </c>
      <c r="N2263" s="17">
        <f t="shared" si="71"/>
        <v>67.211100000000002</v>
      </c>
    </row>
    <row r="2264" spans="1:14" x14ac:dyDescent="0.25">
      <c r="A2264" s="14" t="s">
        <v>824</v>
      </c>
      <c r="B2264" s="14">
        <v>3</v>
      </c>
      <c r="C2264" s="15" t="s">
        <v>2439</v>
      </c>
      <c r="D2264" s="14" t="s">
        <v>1745</v>
      </c>
      <c r="E2264" s="14" t="s">
        <v>1746</v>
      </c>
      <c r="F2264" s="17" t="s">
        <v>2994</v>
      </c>
      <c r="G2264" s="14">
        <v>891.12</v>
      </c>
      <c r="H2264" s="14">
        <v>712.8</v>
      </c>
      <c r="I2264" s="31">
        <f>IF(COUNTIFS(Addendum!C:C,A2264,Addendum!D:D,IF(ISNUMBER(B2264),TEXT(B2264,"0000"),B2264),Addendum!E:E,"X")&gt;0,4%,0)</f>
        <v>0.04</v>
      </c>
      <c r="J2264" s="31">
        <f>IF(COUNTIFS(Addendum!C:C,A2264,Addendum!D:D,IF(ISNUMBER(B2264),TEXT(B2264,"0000"),B2264),Addendum!F:F,"X")&gt;0,2.5%,0)</f>
        <v>0</v>
      </c>
      <c r="K2264" s="31">
        <f>IF(COUNTIFS(Addendum!C:C,A2264,Addendum!D:D,IF(ISNUMBER(B2264),TEXT(B2264,"0000"),B2264),Addendum!G:G,"X")&gt;0,7%,0)</f>
        <v>0</v>
      </c>
      <c r="L2264" s="31">
        <f>IF(COUNTIFS(Addendum!C:C,A2264,Addendum!D:D,IF(ISNUMBER(B2264),TEXT(B2264,"0000"),B2264),Addendum!I:I,"X")&gt;0,10%,0)</f>
        <v>0</v>
      </c>
      <c r="M2264" s="34">
        <f t="shared" si="70"/>
        <v>0.01</v>
      </c>
      <c r="N2264" s="17">
        <f t="shared" si="71"/>
        <v>705.67199999999991</v>
      </c>
    </row>
    <row r="2265" spans="1:14" x14ac:dyDescent="0.25">
      <c r="A2265" s="14" t="s">
        <v>824</v>
      </c>
      <c r="B2265" s="14">
        <v>3</v>
      </c>
      <c r="C2265" s="15" t="s">
        <v>2439</v>
      </c>
      <c r="D2265" s="14" t="s">
        <v>1745</v>
      </c>
      <c r="E2265" s="14" t="s">
        <v>1747</v>
      </c>
      <c r="F2265" s="17" t="s">
        <v>2994</v>
      </c>
      <c r="G2265" s="14">
        <v>848.64</v>
      </c>
      <c r="H2265" s="14">
        <v>678.91</v>
      </c>
      <c r="I2265" s="31">
        <f>IF(COUNTIFS(Addendum!C:C,A2265,Addendum!D:D,IF(ISNUMBER(B2265),TEXT(B2265,"0000"),B2265),Addendum!E:E,"X")&gt;0,4%,0)</f>
        <v>0.04</v>
      </c>
      <c r="J2265" s="31">
        <f>IF(COUNTIFS(Addendum!C:C,A2265,Addendum!D:D,IF(ISNUMBER(B2265),TEXT(B2265,"0000"),B2265),Addendum!F:F,"X")&gt;0,2.5%,0)</f>
        <v>0</v>
      </c>
      <c r="K2265" s="31">
        <f>IF(COUNTIFS(Addendum!C:C,A2265,Addendum!D:D,IF(ISNUMBER(B2265),TEXT(B2265,"0000"),B2265),Addendum!G:G,"X")&gt;0,7%,0)</f>
        <v>0</v>
      </c>
      <c r="L2265" s="31">
        <f>IF(COUNTIFS(Addendum!C:C,A2265,Addendum!D:D,IF(ISNUMBER(B2265),TEXT(B2265,"0000"),B2265),Addendum!I:I,"X")&gt;0,10%,0)</f>
        <v>0</v>
      </c>
      <c r="M2265" s="34">
        <f t="shared" si="70"/>
        <v>0.03</v>
      </c>
      <c r="N2265" s="17">
        <f t="shared" si="71"/>
        <v>658.54269999999997</v>
      </c>
    </row>
    <row r="2266" spans="1:14" x14ac:dyDescent="0.25">
      <c r="A2266" s="14" t="s">
        <v>824</v>
      </c>
      <c r="B2266" s="14">
        <v>2</v>
      </c>
      <c r="C2266" s="15" t="s">
        <v>823</v>
      </c>
      <c r="D2266" s="14" t="s">
        <v>1745</v>
      </c>
      <c r="E2266" s="14" t="s">
        <v>1747</v>
      </c>
      <c r="F2266" s="17" t="s">
        <v>2993</v>
      </c>
      <c r="G2266" s="14">
        <v>848.64</v>
      </c>
      <c r="H2266" s="14">
        <v>678.91</v>
      </c>
      <c r="I2266" s="31">
        <f>IF(COUNTIFS(Addendum!C:C,A2266,Addendum!D:D,IF(ISNUMBER(B2266),TEXT(B2266,"0000"),B2266),Addendum!E:E,"X")&gt;0,4%,0)</f>
        <v>0.04</v>
      </c>
      <c r="J2266" s="31">
        <f>IF(COUNTIFS(Addendum!C:C,A2266,Addendum!D:D,IF(ISNUMBER(B2266),TEXT(B2266,"0000"),B2266),Addendum!F:F,"X")&gt;0,2.5%,0)</f>
        <v>0</v>
      </c>
      <c r="K2266" s="31">
        <f>IF(COUNTIFS(Addendum!C:C,A2266,Addendum!D:D,IF(ISNUMBER(B2266),TEXT(B2266,"0000"),B2266),Addendum!G:G,"X")&gt;0,7%,0)</f>
        <v>0</v>
      </c>
      <c r="L2266" s="31">
        <f>IF(COUNTIFS(Addendum!C:C,A2266,Addendum!D:D,IF(ISNUMBER(B2266),TEXT(B2266,"0000"),B2266),Addendum!I:I,"X")&gt;0,10%,0)</f>
        <v>0</v>
      </c>
      <c r="M2266" s="34">
        <f t="shared" si="70"/>
        <v>0.03</v>
      </c>
      <c r="N2266" s="17">
        <f t="shared" si="71"/>
        <v>658.54269999999997</v>
      </c>
    </row>
    <row r="2267" spans="1:14" x14ac:dyDescent="0.25">
      <c r="A2267" s="14" t="s">
        <v>824</v>
      </c>
      <c r="B2267" s="14">
        <v>5</v>
      </c>
      <c r="C2267" s="15" t="s">
        <v>2438</v>
      </c>
      <c r="D2267" s="14" t="s">
        <v>1745</v>
      </c>
      <c r="E2267" s="14" t="s">
        <v>1747</v>
      </c>
      <c r="F2267" s="17" t="s">
        <v>2994</v>
      </c>
      <c r="G2267" s="14">
        <v>848.64</v>
      </c>
      <c r="H2267" s="14">
        <v>678.91</v>
      </c>
      <c r="I2267" s="31">
        <f>IF(COUNTIFS(Addendum!C:C,A2267,Addendum!D:D,IF(ISNUMBER(B2267),TEXT(B2267,"0000"),B2267),Addendum!E:E,"X")&gt;0,4%,0)</f>
        <v>0.04</v>
      </c>
      <c r="J2267" s="31">
        <f>IF(COUNTIFS(Addendum!C:C,A2267,Addendum!D:D,IF(ISNUMBER(B2267),TEXT(B2267,"0000"),B2267),Addendum!F:F,"X")&gt;0,2.5%,0)</f>
        <v>0</v>
      </c>
      <c r="K2267" s="31">
        <f>IF(COUNTIFS(Addendum!C:C,A2267,Addendum!D:D,IF(ISNUMBER(B2267),TEXT(B2267,"0000"),B2267),Addendum!G:G,"X")&gt;0,7%,0)</f>
        <v>0</v>
      </c>
      <c r="L2267" s="31">
        <f>IF(COUNTIFS(Addendum!C:C,A2267,Addendum!D:D,IF(ISNUMBER(B2267),TEXT(B2267,"0000"),B2267),Addendum!I:I,"X")&gt;0,10%,0)</f>
        <v>0</v>
      </c>
      <c r="M2267" s="34">
        <f t="shared" si="70"/>
        <v>0.03</v>
      </c>
      <c r="N2267" s="17">
        <f t="shared" si="71"/>
        <v>658.54269999999997</v>
      </c>
    </row>
    <row r="2268" spans="1:14" x14ac:dyDescent="0.25">
      <c r="A2268" s="14" t="s">
        <v>824</v>
      </c>
      <c r="B2268" s="14">
        <v>3</v>
      </c>
      <c r="C2268" s="15" t="s">
        <v>2439</v>
      </c>
      <c r="D2268" s="14" t="s">
        <v>1749</v>
      </c>
      <c r="E2268" s="14" t="s">
        <v>1746</v>
      </c>
      <c r="F2268" s="17" t="s">
        <v>2994</v>
      </c>
      <c r="G2268" s="14">
        <v>84.86</v>
      </c>
      <c r="H2268" s="14">
        <v>67.89</v>
      </c>
      <c r="I2268" s="31">
        <f>IF(COUNTIFS(Addendum!C:C,A2268,Addendum!D:D,IF(ISNUMBER(B2268),TEXT(B2268,"0000"),B2268),Addendum!E:E,"X")&gt;0,4%,0)</f>
        <v>0.04</v>
      </c>
      <c r="J2268" s="31">
        <f>IF(COUNTIFS(Addendum!C:C,A2268,Addendum!D:D,IF(ISNUMBER(B2268),TEXT(B2268,"0000"),B2268),Addendum!F:F,"X")&gt;0,2.5%,0)</f>
        <v>0</v>
      </c>
      <c r="K2268" s="31">
        <f>IF(COUNTIFS(Addendum!C:C,A2268,Addendum!D:D,IF(ISNUMBER(B2268),TEXT(B2268,"0000"),B2268),Addendum!G:G,"X")&gt;0,7%,0)</f>
        <v>0</v>
      </c>
      <c r="L2268" s="31">
        <f>IF(COUNTIFS(Addendum!C:C,A2268,Addendum!D:D,IF(ISNUMBER(B2268),TEXT(B2268,"0000"),B2268),Addendum!I:I,"X")&gt;0,10%,0)</f>
        <v>0</v>
      </c>
      <c r="M2268" s="34">
        <f t="shared" si="70"/>
        <v>0.01</v>
      </c>
      <c r="N2268" s="17">
        <f t="shared" si="71"/>
        <v>67.211100000000002</v>
      </c>
    </row>
    <row r="2269" spans="1:14" x14ac:dyDescent="0.25">
      <c r="A2269" s="14" t="s">
        <v>824</v>
      </c>
      <c r="B2269" s="14">
        <v>2</v>
      </c>
      <c r="C2269" s="15" t="s">
        <v>823</v>
      </c>
      <c r="D2269" s="14" t="s">
        <v>1745</v>
      </c>
      <c r="E2269" s="14" t="s">
        <v>1746</v>
      </c>
      <c r="F2269" s="17" t="s">
        <v>2993</v>
      </c>
      <c r="G2269" s="14">
        <v>891.12</v>
      </c>
      <c r="H2269" s="14">
        <v>712.8</v>
      </c>
      <c r="I2269" s="31">
        <f>IF(COUNTIFS(Addendum!C:C,A2269,Addendum!D:D,IF(ISNUMBER(B2269),TEXT(B2269,"0000"),B2269),Addendum!E:E,"X")&gt;0,4%,0)</f>
        <v>0.04</v>
      </c>
      <c r="J2269" s="31">
        <f>IF(COUNTIFS(Addendum!C:C,A2269,Addendum!D:D,IF(ISNUMBER(B2269),TEXT(B2269,"0000"),B2269),Addendum!F:F,"X")&gt;0,2.5%,0)</f>
        <v>0</v>
      </c>
      <c r="K2269" s="31">
        <f>IF(COUNTIFS(Addendum!C:C,A2269,Addendum!D:D,IF(ISNUMBER(B2269),TEXT(B2269,"0000"),B2269),Addendum!G:G,"X")&gt;0,7%,0)</f>
        <v>0</v>
      </c>
      <c r="L2269" s="31">
        <f>IF(COUNTIFS(Addendum!C:C,A2269,Addendum!D:D,IF(ISNUMBER(B2269),TEXT(B2269,"0000"),B2269),Addendum!I:I,"X")&gt;0,10%,0)</f>
        <v>0</v>
      </c>
      <c r="M2269" s="34">
        <f t="shared" si="70"/>
        <v>0.01</v>
      </c>
      <c r="N2269" s="17">
        <f t="shared" si="71"/>
        <v>705.67199999999991</v>
      </c>
    </row>
    <row r="2270" spans="1:14" x14ac:dyDescent="0.25">
      <c r="A2270" s="14" t="s">
        <v>828</v>
      </c>
      <c r="B2270" s="14" t="s">
        <v>50</v>
      </c>
      <c r="C2270" s="15" t="s">
        <v>2440</v>
      </c>
      <c r="D2270" s="14" t="s">
        <v>1745</v>
      </c>
      <c r="E2270" s="14" t="s">
        <v>1747</v>
      </c>
      <c r="F2270" s="17" t="s">
        <v>2994</v>
      </c>
      <c r="G2270" s="14">
        <v>149760</v>
      </c>
      <c r="H2270" s="14">
        <v>119808</v>
      </c>
      <c r="I2270" s="31">
        <f>IF(COUNTIFS(Addendum!C:C,A2270,Addendum!D:D,IF(ISNUMBER(B2270),TEXT(B2270,"0000"),B2270),Addendum!E:E,"X")&gt;0,4%,0)</f>
        <v>0.04</v>
      </c>
      <c r="J2270" s="31">
        <f>IF(COUNTIFS(Addendum!C:C,A2270,Addendum!D:D,IF(ISNUMBER(B2270),TEXT(B2270,"0000"),B2270),Addendum!F:F,"X")&gt;0,2.5%,0)</f>
        <v>0</v>
      </c>
      <c r="K2270" s="31">
        <f>IF(COUNTIFS(Addendum!C:C,A2270,Addendum!D:D,IF(ISNUMBER(B2270),TEXT(B2270,"0000"),B2270),Addendum!G:G,"X")&gt;0,7%,0)</f>
        <v>0</v>
      </c>
      <c r="L2270" s="31">
        <f>IF(COUNTIFS(Addendum!C:C,A2270,Addendum!D:D,IF(ISNUMBER(B2270),TEXT(B2270,"0000"),B2270),Addendum!I:I,"X")&gt;0,10%,0)</f>
        <v>0</v>
      </c>
      <c r="M2270" s="34">
        <f t="shared" si="70"/>
        <v>0.03</v>
      </c>
      <c r="N2270" s="17">
        <f t="shared" si="71"/>
        <v>116213.75999999999</v>
      </c>
    </row>
    <row r="2271" spans="1:14" x14ac:dyDescent="0.25">
      <c r="A2271" s="14" t="s">
        <v>828</v>
      </c>
      <c r="B2271" s="14">
        <v>8</v>
      </c>
      <c r="C2271" s="15" t="s">
        <v>2441</v>
      </c>
      <c r="D2271" s="14" t="s">
        <v>1745</v>
      </c>
      <c r="E2271" s="14" t="s">
        <v>1746</v>
      </c>
      <c r="F2271" s="17" t="s">
        <v>2994</v>
      </c>
      <c r="G2271" s="14">
        <v>262080</v>
      </c>
      <c r="H2271" s="14">
        <v>209664</v>
      </c>
      <c r="I2271" s="31">
        <f>IF(COUNTIFS(Addendum!C:C,A2271,Addendum!D:D,IF(ISNUMBER(B2271),TEXT(B2271,"0000"),B2271),Addendum!E:E,"X")&gt;0,4%,0)</f>
        <v>0.04</v>
      </c>
      <c r="J2271" s="31">
        <f>IF(COUNTIFS(Addendum!C:C,A2271,Addendum!D:D,IF(ISNUMBER(B2271),TEXT(B2271,"0000"),B2271),Addendum!F:F,"X")&gt;0,2.5%,0)</f>
        <v>0</v>
      </c>
      <c r="K2271" s="31">
        <f>IF(COUNTIFS(Addendum!C:C,A2271,Addendum!D:D,IF(ISNUMBER(B2271),TEXT(B2271,"0000"),B2271),Addendum!G:G,"X")&gt;0,7%,0)</f>
        <v>0</v>
      </c>
      <c r="L2271" s="31">
        <f>IF(COUNTIFS(Addendum!C:C,A2271,Addendum!D:D,IF(ISNUMBER(B2271),TEXT(B2271,"0000"),B2271),Addendum!I:I,"X")&gt;0,10%,0)</f>
        <v>0</v>
      </c>
      <c r="M2271" s="34">
        <f t="shared" si="70"/>
        <v>0.01</v>
      </c>
      <c r="N2271" s="17">
        <f t="shared" si="71"/>
        <v>207567.35999999999</v>
      </c>
    </row>
    <row r="2272" spans="1:14" x14ac:dyDescent="0.25">
      <c r="A2272" s="14" t="s">
        <v>828</v>
      </c>
      <c r="B2272" s="14" t="s">
        <v>55</v>
      </c>
      <c r="C2272" s="15" t="s">
        <v>2442</v>
      </c>
      <c r="D2272" s="14" t="s">
        <v>1745</v>
      </c>
      <c r="E2272" s="14" t="s">
        <v>1746</v>
      </c>
      <c r="F2272" s="17" t="s">
        <v>2994</v>
      </c>
      <c r="G2272" s="14">
        <v>1572354</v>
      </c>
      <c r="H2272" s="14">
        <v>1257883</v>
      </c>
      <c r="I2272" s="31">
        <f>IF(COUNTIFS(Addendum!C:C,A2272,Addendum!D:D,IF(ISNUMBER(B2272),TEXT(B2272,"0000"),B2272),Addendum!E:E,"X")&gt;0,4%,0)</f>
        <v>0.04</v>
      </c>
      <c r="J2272" s="31">
        <f>IF(COUNTIFS(Addendum!C:C,A2272,Addendum!D:D,IF(ISNUMBER(B2272),TEXT(B2272,"0000"),B2272),Addendum!F:F,"X")&gt;0,2.5%,0)</f>
        <v>0</v>
      </c>
      <c r="K2272" s="31">
        <f>IF(COUNTIFS(Addendum!C:C,A2272,Addendum!D:D,IF(ISNUMBER(B2272),TEXT(B2272,"0000"),B2272),Addendum!G:G,"X")&gt;0,7%,0)</f>
        <v>0</v>
      </c>
      <c r="L2272" s="31">
        <f>IF(COUNTIFS(Addendum!C:C,A2272,Addendum!D:D,IF(ISNUMBER(B2272),TEXT(B2272,"0000"),B2272),Addendum!I:I,"X")&gt;0,10%,0)</f>
        <v>0</v>
      </c>
      <c r="M2272" s="34">
        <f t="shared" si="70"/>
        <v>0.01</v>
      </c>
      <c r="N2272" s="17">
        <f t="shared" si="71"/>
        <v>1245304.17</v>
      </c>
    </row>
    <row r="2273" spans="1:14" x14ac:dyDescent="0.25">
      <c r="A2273" s="14" t="s">
        <v>828</v>
      </c>
      <c r="B2273" s="14">
        <v>2</v>
      </c>
      <c r="C2273" s="15" t="s">
        <v>834</v>
      </c>
      <c r="D2273" s="14" t="s">
        <v>1745</v>
      </c>
      <c r="E2273" s="14" t="s">
        <v>1747</v>
      </c>
      <c r="F2273" s="17" t="s">
        <v>2993</v>
      </c>
      <c r="G2273" s="14">
        <v>1497480</v>
      </c>
      <c r="H2273" s="14">
        <v>1197984</v>
      </c>
      <c r="I2273" s="31">
        <f>IF(COUNTIFS(Addendum!C:C,A2273,Addendum!D:D,IF(ISNUMBER(B2273),TEXT(B2273,"0000"),B2273),Addendum!E:E,"X")&gt;0,4%,0)</f>
        <v>0.04</v>
      </c>
      <c r="J2273" s="31">
        <f>IF(COUNTIFS(Addendum!C:C,A2273,Addendum!D:D,IF(ISNUMBER(B2273),TEXT(B2273,"0000"),B2273),Addendum!F:F,"X")&gt;0,2.5%,0)</f>
        <v>0</v>
      </c>
      <c r="K2273" s="31">
        <f>IF(COUNTIFS(Addendum!C:C,A2273,Addendum!D:D,IF(ISNUMBER(B2273),TEXT(B2273,"0000"),B2273),Addendum!G:G,"X")&gt;0,7%,0)</f>
        <v>0</v>
      </c>
      <c r="L2273" s="31">
        <f>IF(COUNTIFS(Addendum!C:C,A2273,Addendum!D:D,IF(ISNUMBER(B2273),TEXT(B2273,"0000"),B2273),Addendum!I:I,"X")&gt;0,10%,0)</f>
        <v>0</v>
      </c>
      <c r="M2273" s="34">
        <f t="shared" si="70"/>
        <v>0.03</v>
      </c>
      <c r="N2273" s="17">
        <f t="shared" si="71"/>
        <v>1162044.48</v>
      </c>
    </row>
    <row r="2274" spans="1:14" x14ac:dyDescent="0.25">
      <c r="A2274" s="14" t="s">
        <v>828</v>
      </c>
      <c r="B2274" s="14">
        <v>4</v>
      </c>
      <c r="C2274" s="15" t="s">
        <v>836</v>
      </c>
      <c r="D2274" s="14" t="s">
        <v>1745</v>
      </c>
      <c r="E2274" s="14" t="s">
        <v>1747</v>
      </c>
      <c r="F2274" s="17" t="s">
        <v>2993</v>
      </c>
      <c r="G2274" s="14">
        <v>69900</v>
      </c>
      <c r="H2274" s="14">
        <v>55920</v>
      </c>
      <c r="I2274" s="31">
        <f>IF(COUNTIFS(Addendum!C:C,A2274,Addendum!D:D,IF(ISNUMBER(B2274),TEXT(B2274,"0000"),B2274),Addendum!E:E,"X")&gt;0,4%,0)</f>
        <v>0.04</v>
      </c>
      <c r="J2274" s="31">
        <f>IF(COUNTIFS(Addendum!C:C,A2274,Addendum!D:D,IF(ISNUMBER(B2274),TEXT(B2274,"0000"),B2274),Addendum!F:F,"X")&gt;0,2.5%,0)</f>
        <v>0</v>
      </c>
      <c r="K2274" s="31">
        <f>IF(COUNTIFS(Addendum!C:C,A2274,Addendum!D:D,IF(ISNUMBER(B2274),TEXT(B2274,"0000"),B2274),Addendum!G:G,"X")&gt;0,7%,0)</f>
        <v>0</v>
      </c>
      <c r="L2274" s="31">
        <f>IF(COUNTIFS(Addendum!C:C,A2274,Addendum!D:D,IF(ISNUMBER(B2274),TEXT(B2274,"0000"),B2274),Addendum!I:I,"X")&gt;0,10%,0)</f>
        <v>0</v>
      </c>
      <c r="M2274" s="34">
        <f t="shared" si="70"/>
        <v>0.03</v>
      </c>
      <c r="N2274" s="17">
        <f t="shared" si="71"/>
        <v>54242.400000000001</v>
      </c>
    </row>
    <row r="2275" spans="1:14" x14ac:dyDescent="0.25">
      <c r="A2275" s="14" t="s">
        <v>828</v>
      </c>
      <c r="B2275" s="14" t="s">
        <v>16</v>
      </c>
      <c r="C2275" s="15" t="s">
        <v>2443</v>
      </c>
      <c r="D2275" s="14" t="s">
        <v>1745</v>
      </c>
      <c r="E2275" s="14" t="s">
        <v>1747</v>
      </c>
      <c r="F2275" s="17" t="s">
        <v>2994</v>
      </c>
      <c r="G2275" s="14">
        <v>1497480</v>
      </c>
      <c r="H2275" s="14">
        <v>1197984</v>
      </c>
      <c r="I2275" s="31">
        <f>IF(COUNTIFS(Addendum!C:C,A2275,Addendum!D:D,IF(ISNUMBER(B2275),TEXT(B2275,"0000"),B2275),Addendum!E:E,"X")&gt;0,4%,0)</f>
        <v>0.04</v>
      </c>
      <c r="J2275" s="31">
        <f>IF(COUNTIFS(Addendum!C:C,A2275,Addendum!D:D,IF(ISNUMBER(B2275),TEXT(B2275,"0000"),B2275),Addendum!F:F,"X")&gt;0,2.5%,0)</f>
        <v>0</v>
      </c>
      <c r="K2275" s="31">
        <f>IF(COUNTIFS(Addendum!C:C,A2275,Addendum!D:D,IF(ISNUMBER(B2275),TEXT(B2275,"0000"),B2275),Addendum!G:G,"X")&gt;0,7%,0)</f>
        <v>0</v>
      </c>
      <c r="L2275" s="31">
        <f>IF(COUNTIFS(Addendum!C:C,A2275,Addendum!D:D,IF(ISNUMBER(B2275),TEXT(B2275,"0000"),B2275),Addendum!I:I,"X")&gt;0,10%,0)</f>
        <v>0</v>
      </c>
      <c r="M2275" s="34">
        <f t="shared" si="70"/>
        <v>0.03</v>
      </c>
      <c r="N2275" s="17">
        <f t="shared" si="71"/>
        <v>1162044.48</v>
      </c>
    </row>
    <row r="2276" spans="1:14" x14ac:dyDescent="0.25">
      <c r="A2276" s="14" t="s">
        <v>828</v>
      </c>
      <c r="B2276" s="14">
        <v>3</v>
      </c>
      <c r="C2276" s="15" t="s">
        <v>830</v>
      </c>
      <c r="D2276" s="14" t="s">
        <v>1745</v>
      </c>
      <c r="E2276" s="14" t="s">
        <v>1747</v>
      </c>
      <c r="F2276" s="17" t="s">
        <v>2993</v>
      </c>
      <c r="G2276" s="14">
        <v>249600</v>
      </c>
      <c r="H2276" s="14">
        <v>199680</v>
      </c>
      <c r="I2276" s="31">
        <f>IF(COUNTIFS(Addendum!C:C,A2276,Addendum!D:D,IF(ISNUMBER(B2276),TEXT(B2276,"0000"),B2276),Addendum!E:E,"X")&gt;0,4%,0)</f>
        <v>0.04</v>
      </c>
      <c r="J2276" s="31">
        <f>IF(COUNTIFS(Addendum!C:C,A2276,Addendum!D:D,IF(ISNUMBER(B2276),TEXT(B2276,"0000"),B2276),Addendum!F:F,"X")&gt;0,2.5%,0)</f>
        <v>0</v>
      </c>
      <c r="K2276" s="31">
        <f>IF(COUNTIFS(Addendum!C:C,A2276,Addendum!D:D,IF(ISNUMBER(B2276),TEXT(B2276,"0000"),B2276),Addendum!G:G,"X")&gt;0,7%,0)</f>
        <v>0</v>
      </c>
      <c r="L2276" s="31">
        <f>IF(COUNTIFS(Addendum!C:C,A2276,Addendum!D:D,IF(ISNUMBER(B2276),TEXT(B2276,"0000"),B2276),Addendum!I:I,"X")&gt;0,10%,0)</f>
        <v>0</v>
      </c>
      <c r="M2276" s="34">
        <f t="shared" si="70"/>
        <v>0.03</v>
      </c>
      <c r="N2276" s="17">
        <f t="shared" si="71"/>
        <v>193689.60000000001</v>
      </c>
    </row>
    <row r="2277" spans="1:14" x14ac:dyDescent="0.25">
      <c r="A2277" s="14" t="s">
        <v>828</v>
      </c>
      <c r="B2277" s="14" t="s">
        <v>34</v>
      </c>
      <c r="C2277" s="15" t="s">
        <v>2444</v>
      </c>
      <c r="D2277" s="14" t="s">
        <v>1745</v>
      </c>
      <c r="E2277" s="14" t="s">
        <v>1747</v>
      </c>
      <c r="F2277" s="17" t="s">
        <v>2994</v>
      </c>
      <c r="G2277" s="14">
        <v>249600</v>
      </c>
      <c r="H2277" s="14">
        <v>199680</v>
      </c>
      <c r="I2277" s="31">
        <f>IF(COUNTIFS(Addendum!C:C,A2277,Addendum!D:D,IF(ISNUMBER(B2277),TEXT(B2277,"0000"),B2277),Addendum!E:E,"X")&gt;0,4%,0)</f>
        <v>0.04</v>
      </c>
      <c r="J2277" s="31">
        <f>IF(COUNTIFS(Addendum!C:C,A2277,Addendum!D:D,IF(ISNUMBER(B2277),TEXT(B2277,"0000"),B2277),Addendum!F:F,"X")&gt;0,2.5%,0)</f>
        <v>0</v>
      </c>
      <c r="K2277" s="31">
        <f>IF(COUNTIFS(Addendum!C:C,A2277,Addendum!D:D,IF(ISNUMBER(B2277),TEXT(B2277,"0000"),B2277),Addendum!G:G,"X")&gt;0,7%,0)</f>
        <v>0</v>
      </c>
      <c r="L2277" s="31">
        <f>IF(COUNTIFS(Addendum!C:C,A2277,Addendum!D:D,IF(ISNUMBER(B2277),TEXT(B2277,"0000"),B2277),Addendum!I:I,"X")&gt;0,10%,0)</f>
        <v>0</v>
      </c>
      <c r="M2277" s="34">
        <f t="shared" si="70"/>
        <v>0.03</v>
      </c>
      <c r="N2277" s="17">
        <f t="shared" si="71"/>
        <v>193689.60000000001</v>
      </c>
    </row>
    <row r="2278" spans="1:14" x14ac:dyDescent="0.25">
      <c r="A2278" s="14" t="s">
        <v>828</v>
      </c>
      <c r="B2278" s="14">
        <v>5</v>
      </c>
      <c r="C2278" s="15" t="s">
        <v>827</v>
      </c>
      <c r="D2278" s="14" t="s">
        <v>1745</v>
      </c>
      <c r="E2278" s="14" t="s">
        <v>1746</v>
      </c>
      <c r="F2278" s="17" t="s">
        <v>2993</v>
      </c>
      <c r="G2278" s="14">
        <v>419328</v>
      </c>
      <c r="H2278" s="14">
        <v>335462.40000000002</v>
      </c>
      <c r="I2278" s="31">
        <f>IF(COUNTIFS(Addendum!C:C,A2278,Addendum!D:D,IF(ISNUMBER(B2278),TEXT(B2278,"0000"),B2278),Addendum!E:E,"X")&gt;0,4%,0)</f>
        <v>0.04</v>
      </c>
      <c r="J2278" s="31">
        <f>IF(COUNTIFS(Addendum!C:C,A2278,Addendum!D:D,IF(ISNUMBER(B2278),TEXT(B2278,"0000"),B2278),Addendum!F:F,"X")&gt;0,2.5%,0)</f>
        <v>0</v>
      </c>
      <c r="K2278" s="31">
        <f>IF(COUNTIFS(Addendum!C:C,A2278,Addendum!D:D,IF(ISNUMBER(B2278),TEXT(B2278,"0000"),B2278),Addendum!G:G,"X")&gt;0,7%,0)</f>
        <v>0</v>
      </c>
      <c r="L2278" s="31">
        <f>IF(COUNTIFS(Addendum!C:C,A2278,Addendum!D:D,IF(ISNUMBER(B2278),TEXT(B2278,"0000"),B2278),Addendum!I:I,"X")&gt;0,10%,0)</f>
        <v>0</v>
      </c>
      <c r="M2278" s="34">
        <f t="shared" si="70"/>
        <v>0.01</v>
      </c>
      <c r="N2278" s="17">
        <f t="shared" si="71"/>
        <v>332107.77600000001</v>
      </c>
    </row>
    <row r="2279" spans="1:14" x14ac:dyDescent="0.25">
      <c r="A2279" s="14" t="s">
        <v>828</v>
      </c>
      <c r="B2279" s="14" t="s">
        <v>20</v>
      </c>
      <c r="C2279" s="15" t="s">
        <v>2445</v>
      </c>
      <c r="D2279" s="14" t="s">
        <v>1745</v>
      </c>
      <c r="E2279" s="14" t="s">
        <v>1747</v>
      </c>
      <c r="F2279" s="17" t="s">
        <v>2994</v>
      </c>
      <c r="G2279" s="14">
        <v>149760</v>
      </c>
      <c r="H2279" s="14">
        <v>119808</v>
      </c>
      <c r="I2279" s="31">
        <f>IF(COUNTIFS(Addendum!C:C,A2279,Addendum!D:D,IF(ISNUMBER(B2279),TEXT(B2279,"0000"),B2279),Addendum!E:E,"X")&gt;0,4%,0)</f>
        <v>0.04</v>
      </c>
      <c r="J2279" s="31">
        <f>IF(COUNTIFS(Addendum!C:C,A2279,Addendum!D:D,IF(ISNUMBER(B2279),TEXT(B2279,"0000"),B2279),Addendum!F:F,"X")&gt;0,2.5%,0)</f>
        <v>0</v>
      </c>
      <c r="K2279" s="31">
        <f>IF(COUNTIFS(Addendum!C:C,A2279,Addendum!D:D,IF(ISNUMBER(B2279),TEXT(B2279,"0000"),B2279),Addendum!G:G,"X")&gt;0,7%,0)</f>
        <v>0</v>
      </c>
      <c r="L2279" s="31">
        <f>IF(COUNTIFS(Addendum!C:C,A2279,Addendum!D:D,IF(ISNUMBER(B2279),TEXT(B2279,"0000"),B2279),Addendum!I:I,"X")&gt;0,10%,0)</f>
        <v>0</v>
      </c>
      <c r="M2279" s="34">
        <f t="shared" si="70"/>
        <v>0.03</v>
      </c>
      <c r="N2279" s="17">
        <f t="shared" si="71"/>
        <v>116213.75999999999</v>
      </c>
    </row>
    <row r="2280" spans="1:14" x14ac:dyDescent="0.25">
      <c r="A2280" s="14" t="s">
        <v>828</v>
      </c>
      <c r="B2280" s="14">
        <v>1</v>
      </c>
      <c r="C2280" s="15" t="s">
        <v>832</v>
      </c>
      <c r="D2280" s="14" t="s">
        <v>1745</v>
      </c>
      <c r="E2280" s="14" t="s">
        <v>1747</v>
      </c>
      <c r="F2280" s="17" t="s">
        <v>2993</v>
      </c>
      <c r="G2280" s="14">
        <v>149760</v>
      </c>
      <c r="H2280" s="14">
        <v>119808</v>
      </c>
      <c r="I2280" s="31">
        <f>IF(COUNTIFS(Addendum!C:C,A2280,Addendum!D:D,IF(ISNUMBER(B2280),TEXT(B2280,"0000"),B2280),Addendum!E:E,"X")&gt;0,4%,0)</f>
        <v>0.04</v>
      </c>
      <c r="J2280" s="31">
        <f>IF(COUNTIFS(Addendum!C:C,A2280,Addendum!D:D,IF(ISNUMBER(B2280),TEXT(B2280,"0000"),B2280),Addendum!F:F,"X")&gt;0,2.5%,0)</f>
        <v>0</v>
      </c>
      <c r="K2280" s="31">
        <f>IF(COUNTIFS(Addendum!C:C,A2280,Addendum!D:D,IF(ISNUMBER(B2280),TEXT(B2280,"0000"),B2280),Addendum!G:G,"X")&gt;0,7%,0)</f>
        <v>0</v>
      </c>
      <c r="L2280" s="31">
        <f>IF(COUNTIFS(Addendum!C:C,A2280,Addendum!D:D,IF(ISNUMBER(B2280),TEXT(B2280,"0000"),B2280),Addendum!I:I,"X")&gt;0,10%,0)</f>
        <v>0</v>
      </c>
      <c r="M2280" s="34">
        <f t="shared" si="70"/>
        <v>0.03</v>
      </c>
      <c r="N2280" s="17">
        <f t="shared" si="71"/>
        <v>116213.75999999999</v>
      </c>
    </row>
    <row r="2281" spans="1:14" x14ac:dyDescent="0.25">
      <c r="A2281" s="14" t="s">
        <v>828</v>
      </c>
      <c r="B2281" s="14" t="s">
        <v>55</v>
      </c>
      <c r="C2281" s="15" t="s">
        <v>2442</v>
      </c>
      <c r="D2281" s="14" t="s">
        <v>1745</v>
      </c>
      <c r="E2281" s="14" t="s">
        <v>1747</v>
      </c>
      <c r="F2281" s="17" t="s">
        <v>2994</v>
      </c>
      <c r="G2281" s="14">
        <v>1497480</v>
      </c>
      <c r="H2281" s="14">
        <v>1197984</v>
      </c>
      <c r="I2281" s="31">
        <f>IF(COUNTIFS(Addendum!C:C,A2281,Addendum!D:D,IF(ISNUMBER(B2281),TEXT(B2281,"0000"),B2281),Addendum!E:E,"X")&gt;0,4%,0)</f>
        <v>0.04</v>
      </c>
      <c r="J2281" s="31">
        <f>IF(COUNTIFS(Addendum!C:C,A2281,Addendum!D:D,IF(ISNUMBER(B2281),TEXT(B2281,"0000"),B2281),Addendum!F:F,"X")&gt;0,2.5%,0)</f>
        <v>0</v>
      </c>
      <c r="K2281" s="31">
        <f>IF(COUNTIFS(Addendum!C:C,A2281,Addendum!D:D,IF(ISNUMBER(B2281),TEXT(B2281,"0000"),B2281),Addendum!G:G,"X")&gt;0,7%,0)</f>
        <v>0</v>
      </c>
      <c r="L2281" s="31">
        <f>IF(COUNTIFS(Addendum!C:C,A2281,Addendum!D:D,IF(ISNUMBER(B2281),TEXT(B2281,"0000"),B2281),Addendum!I:I,"X")&gt;0,10%,0)</f>
        <v>0</v>
      </c>
      <c r="M2281" s="34">
        <f t="shared" si="70"/>
        <v>0.03</v>
      </c>
      <c r="N2281" s="17">
        <f t="shared" si="71"/>
        <v>1162044.48</v>
      </c>
    </row>
    <row r="2282" spans="1:14" x14ac:dyDescent="0.25">
      <c r="A2282" s="14" t="s">
        <v>828</v>
      </c>
      <c r="B2282" s="14" t="s">
        <v>50</v>
      </c>
      <c r="C2282" s="15" t="s">
        <v>2440</v>
      </c>
      <c r="D2282" s="14" t="s">
        <v>1745</v>
      </c>
      <c r="E2282" s="14" t="s">
        <v>1746</v>
      </c>
      <c r="F2282" s="17" t="s">
        <v>2994</v>
      </c>
      <c r="G2282" s="14">
        <v>157248</v>
      </c>
      <c r="H2282" s="14">
        <v>125798.39999999999</v>
      </c>
      <c r="I2282" s="31">
        <f>IF(COUNTIFS(Addendum!C:C,A2282,Addendum!D:D,IF(ISNUMBER(B2282),TEXT(B2282,"0000"),B2282),Addendum!E:E,"X")&gt;0,4%,0)</f>
        <v>0.04</v>
      </c>
      <c r="J2282" s="31">
        <f>IF(COUNTIFS(Addendum!C:C,A2282,Addendum!D:D,IF(ISNUMBER(B2282),TEXT(B2282,"0000"),B2282),Addendum!F:F,"X")&gt;0,2.5%,0)</f>
        <v>0</v>
      </c>
      <c r="K2282" s="31">
        <f>IF(COUNTIFS(Addendum!C:C,A2282,Addendum!D:D,IF(ISNUMBER(B2282),TEXT(B2282,"0000"),B2282),Addendum!G:G,"X")&gt;0,7%,0)</f>
        <v>0</v>
      </c>
      <c r="L2282" s="31">
        <f>IF(COUNTIFS(Addendum!C:C,A2282,Addendum!D:D,IF(ISNUMBER(B2282),TEXT(B2282,"0000"),B2282),Addendum!I:I,"X")&gt;0,10%,0)</f>
        <v>0</v>
      </c>
      <c r="M2282" s="34">
        <f t="shared" si="70"/>
        <v>0.01</v>
      </c>
      <c r="N2282" s="17">
        <f t="shared" si="71"/>
        <v>124540.416</v>
      </c>
    </row>
    <row r="2283" spans="1:14" x14ac:dyDescent="0.25">
      <c r="A2283" s="14" t="s">
        <v>828</v>
      </c>
      <c r="B2283" s="14">
        <v>3</v>
      </c>
      <c r="C2283" s="15" t="s">
        <v>830</v>
      </c>
      <c r="D2283" s="14" t="s">
        <v>1745</v>
      </c>
      <c r="E2283" s="14" t="s">
        <v>1746</v>
      </c>
      <c r="F2283" s="17" t="s">
        <v>2993</v>
      </c>
      <c r="G2283" s="14">
        <v>262080</v>
      </c>
      <c r="H2283" s="14">
        <v>209664</v>
      </c>
      <c r="I2283" s="31">
        <f>IF(COUNTIFS(Addendum!C:C,A2283,Addendum!D:D,IF(ISNUMBER(B2283),TEXT(B2283,"0000"),B2283),Addendum!E:E,"X")&gt;0,4%,0)</f>
        <v>0.04</v>
      </c>
      <c r="J2283" s="31">
        <f>IF(COUNTIFS(Addendum!C:C,A2283,Addendum!D:D,IF(ISNUMBER(B2283),TEXT(B2283,"0000"),B2283),Addendum!F:F,"X")&gt;0,2.5%,0)</f>
        <v>0</v>
      </c>
      <c r="K2283" s="31">
        <f>IF(COUNTIFS(Addendum!C:C,A2283,Addendum!D:D,IF(ISNUMBER(B2283),TEXT(B2283,"0000"),B2283),Addendum!G:G,"X")&gt;0,7%,0)</f>
        <v>0</v>
      </c>
      <c r="L2283" s="31">
        <f>IF(COUNTIFS(Addendum!C:C,A2283,Addendum!D:D,IF(ISNUMBER(B2283),TEXT(B2283,"0000"),B2283),Addendum!I:I,"X")&gt;0,10%,0)</f>
        <v>0</v>
      </c>
      <c r="M2283" s="34">
        <f t="shared" si="70"/>
        <v>0.01</v>
      </c>
      <c r="N2283" s="17">
        <f t="shared" si="71"/>
        <v>207567.35999999999</v>
      </c>
    </row>
    <row r="2284" spans="1:14" x14ac:dyDescent="0.25">
      <c r="A2284" s="14" t="s">
        <v>828</v>
      </c>
      <c r="B2284" s="14" t="s">
        <v>16</v>
      </c>
      <c r="C2284" s="15" t="s">
        <v>2443</v>
      </c>
      <c r="D2284" s="14" t="s">
        <v>1745</v>
      </c>
      <c r="E2284" s="14" t="s">
        <v>1746</v>
      </c>
      <c r="F2284" s="17" t="s">
        <v>2994</v>
      </c>
      <c r="G2284" s="14">
        <v>1572354</v>
      </c>
      <c r="H2284" s="14">
        <v>1257883</v>
      </c>
      <c r="I2284" s="31">
        <f>IF(COUNTIFS(Addendum!C:C,A2284,Addendum!D:D,IF(ISNUMBER(B2284),TEXT(B2284,"0000"),B2284),Addendum!E:E,"X")&gt;0,4%,0)</f>
        <v>0.04</v>
      </c>
      <c r="J2284" s="31">
        <f>IF(COUNTIFS(Addendum!C:C,A2284,Addendum!D:D,IF(ISNUMBER(B2284),TEXT(B2284,"0000"),B2284),Addendum!F:F,"X")&gt;0,2.5%,0)</f>
        <v>0</v>
      </c>
      <c r="K2284" s="31">
        <f>IF(COUNTIFS(Addendum!C:C,A2284,Addendum!D:D,IF(ISNUMBER(B2284),TEXT(B2284,"0000"),B2284),Addendum!G:G,"X")&gt;0,7%,0)</f>
        <v>0</v>
      </c>
      <c r="L2284" s="31">
        <f>IF(COUNTIFS(Addendum!C:C,A2284,Addendum!D:D,IF(ISNUMBER(B2284),TEXT(B2284,"0000"),B2284),Addendum!I:I,"X")&gt;0,10%,0)</f>
        <v>0</v>
      </c>
      <c r="M2284" s="34">
        <f t="shared" si="70"/>
        <v>0.01</v>
      </c>
      <c r="N2284" s="17">
        <f t="shared" si="71"/>
        <v>1245304.17</v>
      </c>
    </row>
    <row r="2285" spans="1:14" x14ac:dyDescent="0.25">
      <c r="A2285" s="14" t="s">
        <v>828</v>
      </c>
      <c r="B2285" s="14" t="s">
        <v>34</v>
      </c>
      <c r="C2285" s="15" t="s">
        <v>2444</v>
      </c>
      <c r="D2285" s="14" t="s">
        <v>1745</v>
      </c>
      <c r="E2285" s="14" t="s">
        <v>1746</v>
      </c>
      <c r="F2285" s="17" t="s">
        <v>2994</v>
      </c>
      <c r="G2285" s="14">
        <v>262080</v>
      </c>
      <c r="H2285" s="14">
        <v>209664</v>
      </c>
      <c r="I2285" s="31">
        <f>IF(COUNTIFS(Addendum!C:C,A2285,Addendum!D:D,IF(ISNUMBER(B2285),TEXT(B2285,"0000"),B2285),Addendum!E:E,"X")&gt;0,4%,0)</f>
        <v>0.04</v>
      </c>
      <c r="J2285" s="31">
        <f>IF(COUNTIFS(Addendum!C:C,A2285,Addendum!D:D,IF(ISNUMBER(B2285),TEXT(B2285,"0000"),B2285),Addendum!F:F,"X")&gt;0,2.5%,0)</f>
        <v>0</v>
      </c>
      <c r="K2285" s="31">
        <f>IF(COUNTIFS(Addendum!C:C,A2285,Addendum!D:D,IF(ISNUMBER(B2285),TEXT(B2285,"0000"),B2285),Addendum!G:G,"X")&gt;0,7%,0)</f>
        <v>0</v>
      </c>
      <c r="L2285" s="31">
        <f>IF(COUNTIFS(Addendum!C:C,A2285,Addendum!D:D,IF(ISNUMBER(B2285),TEXT(B2285,"0000"),B2285),Addendum!I:I,"X")&gt;0,10%,0)</f>
        <v>0</v>
      </c>
      <c r="M2285" s="34">
        <f t="shared" si="70"/>
        <v>0.01</v>
      </c>
      <c r="N2285" s="17">
        <f t="shared" si="71"/>
        <v>207567.35999999999</v>
      </c>
    </row>
    <row r="2286" spans="1:14" x14ac:dyDescent="0.25">
      <c r="A2286" s="14" t="s">
        <v>828</v>
      </c>
      <c r="B2286" s="14">
        <v>1</v>
      </c>
      <c r="C2286" s="15" t="s">
        <v>832</v>
      </c>
      <c r="D2286" s="14" t="s">
        <v>1745</v>
      </c>
      <c r="E2286" s="14" t="s">
        <v>1746</v>
      </c>
      <c r="F2286" s="17" t="s">
        <v>2993</v>
      </c>
      <c r="G2286" s="14">
        <v>157248</v>
      </c>
      <c r="H2286" s="14">
        <v>125798.39999999999</v>
      </c>
      <c r="I2286" s="31">
        <f>IF(COUNTIFS(Addendum!C:C,A2286,Addendum!D:D,IF(ISNUMBER(B2286),TEXT(B2286,"0000"),B2286),Addendum!E:E,"X")&gt;0,4%,0)</f>
        <v>0.04</v>
      </c>
      <c r="J2286" s="31">
        <f>IF(COUNTIFS(Addendum!C:C,A2286,Addendum!D:D,IF(ISNUMBER(B2286),TEXT(B2286,"0000"),B2286),Addendum!F:F,"X")&gt;0,2.5%,0)</f>
        <v>0</v>
      </c>
      <c r="K2286" s="31">
        <f>IF(COUNTIFS(Addendum!C:C,A2286,Addendum!D:D,IF(ISNUMBER(B2286),TEXT(B2286,"0000"),B2286),Addendum!G:G,"X")&gt;0,7%,0)</f>
        <v>0</v>
      </c>
      <c r="L2286" s="31">
        <f>IF(COUNTIFS(Addendum!C:C,A2286,Addendum!D:D,IF(ISNUMBER(B2286),TEXT(B2286,"0000"),B2286),Addendum!I:I,"X")&gt;0,10%,0)</f>
        <v>0</v>
      </c>
      <c r="M2286" s="34">
        <f t="shared" si="70"/>
        <v>0.01</v>
      </c>
      <c r="N2286" s="17">
        <f t="shared" si="71"/>
        <v>124540.416</v>
      </c>
    </row>
    <row r="2287" spans="1:14" x14ac:dyDescent="0.25">
      <c r="A2287" s="14" t="s">
        <v>828</v>
      </c>
      <c r="B2287" s="14" t="s">
        <v>73</v>
      </c>
      <c r="C2287" s="15" t="s">
        <v>2446</v>
      </c>
      <c r="D2287" s="14" t="s">
        <v>1745</v>
      </c>
      <c r="E2287" s="14" t="s">
        <v>1747</v>
      </c>
      <c r="F2287" s="17" t="s">
        <v>2994</v>
      </c>
      <c r="G2287" s="14">
        <v>399360</v>
      </c>
      <c r="H2287" s="14">
        <v>319488</v>
      </c>
      <c r="I2287" s="31">
        <f>IF(COUNTIFS(Addendum!C:C,A2287,Addendum!D:D,IF(ISNUMBER(B2287),TEXT(B2287,"0000"),B2287),Addendum!E:E,"X")&gt;0,4%,0)</f>
        <v>0.04</v>
      </c>
      <c r="J2287" s="31">
        <f>IF(COUNTIFS(Addendum!C:C,A2287,Addendum!D:D,IF(ISNUMBER(B2287),TEXT(B2287,"0000"),B2287),Addendum!F:F,"X")&gt;0,2.5%,0)</f>
        <v>0</v>
      </c>
      <c r="K2287" s="31">
        <f>IF(COUNTIFS(Addendum!C:C,A2287,Addendum!D:D,IF(ISNUMBER(B2287),TEXT(B2287,"0000"),B2287),Addendum!G:G,"X")&gt;0,7%,0)</f>
        <v>0</v>
      </c>
      <c r="L2287" s="31">
        <f>IF(COUNTIFS(Addendum!C:C,A2287,Addendum!D:D,IF(ISNUMBER(B2287),TEXT(B2287,"0000"),B2287),Addendum!I:I,"X")&gt;0,10%,0)</f>
        <v>0</v>
      </c>
      <c r="M2287" s="34">
        <f t="shared" si="70"/>
        <v>0.03</v>
      </c>
      <c r="N2287" s="17">
        <f t="shared" si="71"/>
        <v>309903.35999999999</v>
      </c>
    </row>
    <row r="2288" spans="1:14" x14ac:dyDescent="0.25">
      <c r="A2288" s="14" t="s">
        <v>828</v>
      </c>
      <c r="B2288" s="14" t="s">
        <v>73</v>
      </c>
      <c r="C2288" s="15" t="s">
        <v>2446</v>
      </c>
      <c r="D2288" s="14" t="s">
        <v>1745</v>
      </c>
      <c r="E2288" s="14" t="s">
        <v>1746</v>
      </c>
      <c r="F2288" s="17" t="s">
        <v>2994</v>
      </c>
      <c r="G2288" s="14">
        <v>419328</v>
      </c>
      <c r="H2288" s="14">
        <v>335462.40000000002</v>
      </c>
      <c r="I2288" s="31">
        <f>IF(COUNTIFS(Addendum!C:C,A2288,Addendum!D:D,IF(ISNUMBER(B2288),TEXT(B2288,"0000"),B2288),Addendum!E:E,"X")&gt;0,4%,0)</f>
        <v>0.04</v>
      </c>
      <c r="J2288" s="31">
        <f>IF(COUNTIFS(Addendum!C:C,A2288,Addendum!D:D,IF(ISNUMBER(B2288),TEXT(B2288,"0000"),B2288),Addendum!F:F,"X")&gt;0,2.5%,0)</f>
        <v>0</v>
      </c>
      <c r="K2288" s="31">
        <f>IF(COUNTIFS(Addendum!C:C,A2288,Addendum!D:D,IF(ISNUMBER(B2288),TEXT(B2288,"0000"),B2288),Addendum!G:G,"X")&gt;0,7%,0)</f>
        <v>0</v>
      </c>
      <c r="L2288" s="31">
        <f>IF(COUNTIFS(Addendum!C:C,A2288,Addendum!D:D,IF(ISNUMBER(B2288),TEXT(B2288,"0000"),B2288),Addendum!I:I,"X")&gt;0,10%,0)</f>
        <v>0</v>
      </c>
      <c r="M2288" s="34">
        <f t="shared" si="70"/>
        <v>0.01</v>
      </c>
      <c r="N2288" s="17">
        <f t="shared" si="71"/>
        <v>332107.77600000001</v>
      </c>
    </row>
    <row r="2289" spans="1:14" x14ac:dyDescent="0.25">
      <c r="A2289" s="14" t="s">
        <v>828</v>
      </c>
      <c r="B2289" s="14">
        <v>9</v>
      </c>
      <c r="C2289" s="15" t="s">
        <v>2447</v>
      </c>
      <c r="D2289" s="14" t="s">
        <v>1745</v>
      </c>
      <c r="E2289" s="14" t="s">
        <v>1747</v>
      </c>
      <c r="F2289" s="17" t="s">
        <v>2994</v>
      </c>
      <c r="G2289" s="14">
        <v>69900</v>
      </c>
      <c r="H2289" s="14">
        <v>55920</v>
      </c>
      <c r="I2289" s="31">
        <f>IF(COUNTIFS(Addendum!C:C,A2289,Addendum!D:D,IF(ISNUMBER(B2289),TEXT(B2289,"0000"),B2289),Addendum!E:E,"X")&gt;0,4%,0)</f>
        <v>0.04</v>
      </c>
      <c r="J2289" s="31">
        <f>IF(COUNTIFS(Addendum!C:C,A2289,Addendum!D:D,IF(ISNUMBER(B2289),TEXT(B2289,"0000"),B2289),Addendum!F:F,"X")&gt;0,2.5%,0)</f>
        <v>0</v>
      </c>
      <c r="K2289" s="31">
        <f>IF(COUNTIFS(Addendum!C:C,A2289,Addendum!D:D,IF(ISNUMBER(B2289),TEXT(B2289,"0000"),B2289),Addendum!G:G,"X")&gt;0,7%,0)</f>
        <v>0</v>
      </c>
      <c r="L2289" s="31">
        <f>IF(COUNTIFS(Addendum!C:C,A2289,Addendum!D:D,IF(ISNUMBER(B2289),TEXT(B2289,"0000"),B2289),Addendum!I:I,"X")&gt;0,10%,0)</f>
        <v>0</v>
      </c>
      <c r="M2289" s="34">
        <f t="shared" si="70"/>
        <v>0.03</v>
      </c>
      <c r="N2289" s="17">
        <f t="shared" si="71"/>
        <v>54242.400000000001</v>
      </c>
    </row>
    <row r="2290" spans="1:14" x14ac:dyDescent="0.25">
      <c r="A2290" s="14" t="s">
        <v>828</v>
      </c>
      <c r="B2290" s="14" t="s">
        <v>20</v>
      </c>
      <c r="C2290" s="15" t="s">
        <v>2445</v>
      </c>
      <c r="D2290" s="14" t="s">
        <v>1745</v>
      </c>
      <c r="E2290" s="14" t="s">
        <v>1746</v>
      </c>
      <c r="F2290" s="17" t="s">
        <v>2994</v>
      </c>
      <c r="G2290" s="14">
        <v>157248</v>
      </c>
      <c r="H2290" s="14">
        <v>125798.39999999999</v>
      </c>
      <c r="I2290" s="31">
        <f>IF(COUNTIFS(Addendum!C:C,A2290,Addendum!D:D,IF(ISNUMBER(B2290),TEXT(B2290,"0000"),B2290),Addendum!E:E,"X")&gt;0,4%,0)</f>
        <v>0.04</v>
      </c>
      <c r="J2290" s="31">
        <f>IF(COUNTIFS(Addendum!C:C,A2290,Addendum!D:D,IF(ISNUMBER(B2290),TEXT(B2290,"0000"),B2290),Addendum!F:F,"X")&gt;0,2.5%,0)</f>
        <v>0</v>
      </c>
      <c r="K2290" s="31">
        <f>IF(COUNTIFS(Addendum!C:C,A2290,Addendum!D:D,IF(ISNUMBER(B2290),TEXT(B2290,"0000"),B2290),Addendum!G:G,"X")&gt;0,7%,0)</f>
        <v>0</v>
      </c>
      <c r="L2290" s="31">
        <f>IF(COUNTIFS(Addendum!C:C,A2290,Addendum!D:D,IF(ISNUMBER(B2290),TEXT(B2290,"0000"),B2290),Addendum!I:I,"X")&gt;0,10%,0)</f>
        <v>0</v>
      </c>
      <c r="M2290" s="34">
        <f t="shared" si="70"/>
        <v>0.01</v>
      </c>
      <c r="N2290" s="17">
        <f t="shared" si="71"/>
        <v>124540.416</v>
      </c>
    </row>
    <row r="2291" spans="1:14" x14ac:dyDescent="0.25">
      <c r="A2291" s="14" t="s">
        <v>828</v>
      </c>
      <c r="B2291" s="14">
        <v>8</v>
      </c>
      <c r="C2291" s="15" t="s">
        <v>2441</v>
      </c>
      <c r="D2291" s="14" t="s">
        <v>1745</v>
      </c>
      <c r="E2291" s="14" t="s">
        <v>1747</v>
      </c>
      <c r="F2291" s="17" t="s">
        <v>2994</v>
      </c>
      <c r="G2291" s="14">
        <v>249600</v>
      </c>
      <c r="H2291" s="14">
        <v>199680</v>
      </c>
      <c r="I2291" s="31">
        <f>IF(COUNTIFS(Addendum!C:C,A2291,Addendum!D:D,IF(ISNUMBER(B2291),TEXT(B2291,"0000"),B2291),Addendum!E:E,"X")&gt;0,4%,0)</f>
        <v>0.04</v>
      </c>
      <c r="J2291" s="31">
        <f>IF(COUNTIFS(Addendum!C:C,A2291,Addendum!D:D,IF(ISNUMBER(B2291),TEXT(B2291,"0000"),B2291),Addendum!F:F,"X")&gt;0,2.5%,0)</f>
        <v>0</v>
      </c>
      <c r="K2291" s="31">
        <f>IF(COUNTIFS(Addendum!C:C,A2291,Addendum!D:D,IF(ISNUMBER(B2291),TEXT(B2291,"0000"),B2291),Addendum!G:G,"X")&gt;0,7%,0)</f>
        <v>0</v>
      </c>
      <c r="L2291" s="31">
        <f>IF(COUNTIFS(Addendum!C:C,A2291,Addendum!D:D,IF(ISNUMBER(B2291),TEXT(B2291,"0000"),B2291),Addendum!I:I,"X")&gt;0,10%,0)</f>
        <v>0</v>
      </c>
      <c r="M2291" s="34">
        <f t="shared" si="70"/>
        <v>0.03</v>
      </c>
      <c r="N2291" s="17">
        <f t="shared" si="71"/>
        <v>193689.60000000001</v>
      </c>
    </row>
    <row r="2292" spans="1:14" x14ac:dyDescent="0.25">
      <c r="A2292" s="14" t="s">
        <v>828</v>
      </c>
      <c r="B2292" s="14">
        <v>2</v>
      </c>
      <c r="C2292" s="15" t="s">
        <v>834</v>
      </c>
      <c r="D2292" s="14" t="s">
        <v>1745</v>
      </c>
      <c r="E2292" s="14" t="s">
        <v>1746</v>
      </c>
      <c r="F2292" s="17" t="s">
        <v>2993</v>
      </c>
      <c r="G2292" s="14">
        <v>1572354</v>
      </c>
      <c r="H2292" s="14">
        <v>1257883</v>
      </c>
      <c r="I2292" s="31">
        <f>IF(COUNTIFS(Addendum!C:C,A2292,Addendum!D:D,IF(ISNUMBER(B2292),TEXT(B2292,"0000"),B2292),Addendum!E:E,"X")&gt;0,4%,0)</f>
        <v>0.04</v>
      </c>
      <c r="J2292" s="31">
        <f>IF(COUNTIFS(Addendum!C:C,A2292,Addendum!D:D,IF(ISNUMBER(B2292),TEXT(B2292,"0000"),B2292),Addendum!F:F,"X")&gt;0,2.5%,0)</f>
        <v>0</v>
      </c>
      <c r="K2292" s="31">
        <f>IF(COUNTIFS(Addendum!C:C,A2292,Addendum!D:D,IF(ISNUMBER(B2292),TEXT(B2292,"0000"),B2292),Addendum!G:G,"X")&gt;0,7%,0)</f>
        <v>0</v>
      </c>
      <c r="L2292" s="31">
        <f>IF(COUNTIFS(Addendum!C:C,A2292,Addendum!D:D,IF(ISNUMBER(B2292),TEXT(B2292,"0000"),B2292),Addendum!I:I,"X")&gt;0,10%,0)</f>
        <v>0</v>
      </c>
      <c r="M2292" s="34">
        <f t="shared" si="70"/>
        <v>0.01</v>
      </c>
      <c r="N2292" s="17">
        <f t="shared" si="71"/>
        <v>1245304.17</v>
      </c>
    </row>
    <row r="2293" spans="1:14" x14ac:dyDescent="0.25">
      <c r="A2293" s="14" t="s">
        <v>828</v>
      </c>
      <c r="B2293" s="14" t="s">
        <v>89</v>
      </c>
      <c r="C2293" s="15" t="s">
        <v>2448</v>
      </c>
      <c r="D2293" s="14" t="s">
        <v>1745</v>
      </c>
      <c r="E2293" s="14" t="s">
        <v>1746</v>
      </c>
      <c r="F2293" s="17" t="s">
        <v>2994</v>
      </c>
      <c r="G2293" s="14">
        <v>73395</v>
      </c>
      <c r="H2293" s="14">
        <v>58716</v>
      </c>
      <c r="I2293" s="31">
        <f>IF(COUNTIFS(Addendum!C:C,A2293,Addendum!D:D,IF(ISNUMBER(B2293),TEXT(B2293,"0000"),B2293),Addendum!E:E,"X")&gt;0,4%,0)</f>
        <v>0.04</v>
      </c>
      <c r="J2293" s="31">
        <f>IF(COUNTIFS(Addendum!C:C,A2293,Addendum!D:D,IF(ISNUMBER(B2293),TEXT(B2293,"0000"),B2293),Addendum!F:F,"X")&gt;0,2.5%,0)</f>
        <v>0</v>
      </c>
      <c r="K2293" s="31">
        <f>IF(COUNTIFS(Addendum!C:C,A2293,Addendum!D:D,IF(ISNUMBER(B2293),TEXT(B2293,"0000"),B2293),Addendum!G:G,"X")&gt;0,7%,0)</f>
        <v>0</v>
      </c>
      <c r="L2293" s="31">
        <f>IF(COUNTIFS(Addendum!C:C,A2293,Addendum!D:D,IF(ISNUMBER(B2293),TEXT(B2293,"0000"),B2293),Addendum!I:I,"X")&gt;0,10%,0)</f>
        <v>0</v>
      </c>
      <c r="M2293" s="34">
        <f t="shared" si="70"/>
        <v>0.01</v>
      </c>
      <c r="N2293" s="17">
        <f t="shared" si="71"/>
        <v>58128.84</v>
      </c>
    </row>
    <row r="2294" spans="1:14" x14ac:dyDescent="0.25">
      <c r="A2294" s="14" t="s">
        <v>828</v>
      </c>
      <c r="B2294" s="14" t="s">
        <v>24</v>
      </c>
      <c r="C2294" s="15" t="s">
        <v>2449</v>
      </c>
      <c r="D2294" s="14" t="s">
        <v>1745</v>
      </c>
      <c r="E2294" s="14" t="s">
        <v>1747</v>
      </c>
      <c r="F2294" s="17" t="s">
        <v>2994</v>
      </c>
      <c r="G2294" s="14">
        <v>399360</v>
      </c>
      <c r="H2294" s="14">
        <v>319488</v>
      </c>
      <c r="I2294" s="31">
        <f>IF(COUNTIFS(Addendum!C:C,A2294,Addendum!D:D,IF(ISNUMBER(B2294),TEXT(B2294,"0000"),B2294),Addendum!E:E,"X")&gt;0,4%,0)</f>
        <v>0.04</v>
      </c>
      <c r="J2294" s="31">
        <f>IF(COUNTIFS(Addendum!C:C,A2294,Addendum!D:D,IF(ISNUMBER(B2294),TEXT(B2294,"0000"),B2294),Addendum!F:F,"X")&gt;0,2.5%,0)</f>
        <v>0</v>
      </c>
      <c r="K2294" s="31">
        <f>IF(COUNTIFS(Addendum!C:C,A2294,Addendum!D:D,IF(ISNUMBER(B2294),TEXT(B2294,"0000"),B2294),Addendum!G:G,"X")&gt;0,7%,0)</f>
        <v>0</v>
      </c>
      <c r="L2294" s="31">
        <f>IF(COUNTIFS(Addendum!C:C,A2294,Addendum!D:D,IF(ISNUMBER(B2294),TEXT(B2294,"0000"),B2294),Addendum!I:I,"X")&gt;0,10%,0)</f>
        <v>0</v>
      </c>
      <c r="M2294" s="34">
        <f t="shared" si="70"/>
        <v>0.03</v>
      </c>
      <c r="N2294" s="17">
        <f t="shared" si="71"/>
        <v>309903.35999999999</v>
      </c>
    </row>
    <row r="2295" spans="1:14" x14ac:dyDescent="0.25">
      <c r="A2295" s="14" t="s">
        <v>828</v>
      </c>
      <c r="B2295" s="14" t="s">
        <v>24</v>
      </c>
      <c r="C2295" s="15" t="s">
        <v>2449</v>
      </c>
      <c r="D2295" s="14" t="s">
        <v>1745</v>
      </c>
      <c r="E2295" s="14" t="s">
        <v>1746</v>
      </c>
      <c r="F2295" s="17" t="s">
        <v>2994</v>
      </c>
      <c r="G2295" s="14">
        <v>419328</v>
      </c>
      <c r="H2295" s="14">
        <v>335462.40000000002</v>
      </c>
      <c r="I2295" s="31">
        <f>IF(COUNTIFS(Addendum!C:C,A2295,Addendum!D:D,IF(ISNUMBER(B2295),TEXT(B2295,"0000"),B2295),Addendum!E:E,"X")&gt;0,4%,0)</f>
        <v>0.04</v>
      </c>
      <c r="J2295" s="31">
        <f>IF(COUNTIFS(Addendum!C:C,A2295,Addendum!D:D,IF(ISNUMBER(B2295),TEXT(B2295,"0000"),B2295),Addendum!F:F,"X")&gt;0,2.5%,0)</f>
        <v>0</v>
      </c>
      <c r="K2295" s="31">
        <f>IF(COUNTIFS(Addendum!C:C,A2295,Addendum!D:D,IF(ISNUMBER(B2295),TEXT(B2295,"0000"),B2295),Addendum!G:G,"X")&gt;0,7%,0)</f>
        <v>0</v>
      </c>
      <c r="L2295" s="31">
        <f>IF(COUNTIFS(Addendum!C:C,A2295,Addendum!D:D,IF(ISNUMBER(B2295),TEXT(B2295,"0000"),B2295),Addendum!I:I,"X")&gt;0,10%,0)</f>
        <v>0</v>
      </c>
      <c r="M2295" s="34">
        <f t="shared" si="70"/>
        <v>0.01</v>
      </c>
      <c r="N2295" s="17">
        <f t="shared" si="71"/>
        <v>332107.77600000001</v>
      </c>
    </row>
    <row r="2296" spans="1:14" x14ac:dyDescent="0.25">
      <c r="A2296" s="14" t="s">
        <v>828</v>
      </c>
      <c r="B2296" s="14">
        <v>5</v>
      </c>
      <c r="C2296" s="15" t="s">
        <v>827</v>
      </c>
      <c r="D2296" s="14" t="s">
        <v>1745</v>
      </c>
      <c r="E2296" s="14" t="s">
        <v>1747</v>
      </c>
      <c r="F2296" s="17" t="s">
        <v>2993</v>
      </c>
      <c r="G2296" s="14">
        <v>399360</v>
      </c>
      <c r="H2296" s="14">
        <v>319488</v>
      </c>
      <c r="I2296" s="31">
        <f>IF(COUNTIFS(Addendum!C:C,A2296,Addendum!D:D,IF(ISNUMBER(B2296),TEXT(B2296,"0000"),B2296),Addendum!E:E,"X")&gt;0,4%,0)</f>
        <v>0.04</v>
      </c>
      <c r="J2296" s="31">
        <f>IF(COUNTIFS(Addendum!C:C,A2296,Addendum!D:D,IF(ISNUMBER(B2296),TEXT(B2296,"0000"),B2296),Addendum!F:F,"X")&gt;0,2.5%,0)</f>
        <v>0</v>
      </c>
      <c r="K2296" s="31">
        <f>IF(COUNTIFS(Addendum!C:C,A2296,Addendum!D:D,IF(ISNUMBER(B2296),TEXT(B2296,"0000"),B2296),Addendum!G:G,"X")&gt;0,7%,0)</f>
        <v>0</v>
      </c>
      <c r="L2296" s="31">
        <f>IF(COUNTIFS(Addendum!C:C,A2296,Addendum!D:D,IF(ISNUMBER(B2296),TEXT(B2296,"0000"),B2296),Addendum!I:I,"X")&gt;0,10%,0)</f>
        <v>0</v>
      </c>
      <c r="M2296" s="34">
        <f t="shared" si="70"/>
        <v>0.03</v>
      </c>
      <c r="N2296" s="17">
        <f t="shared" si="71"/>
        <v>309903.35999999999</v>
      </c>
    </row>
    <row r="2297" spans="1:14" x14ac:dyDescent="0.25">
      <c r="A2297" s="14" t="s">
        <v>828</v>
      </c>
      <c r="B2297" s="14">
        <v>9</v>
      </c>
      <c r="C2297" s="15" t="s">
        <v>2447</v>
      </c>
      <c r="D2297" s="14" t="s">
        <v>1745</v>
      </c>
      <c r="E2297" s="14" t="s">
        <v>1746</v>
      </c>
      <c r="F2297" s="17" t="s">
        <v>2994</v>
      </c>
      <c r="G2297" s="14">
        <v>73395</v>
      </c>
      <c r="H2297" s="14">
        <v>58716</v>
      </c>
      <c r="I2297" s="31">
        <f>IF(COUNTIFS(Addendum!C:C,A2297,Addendum!D:D,IF(ISNUMBER(B2297),TEXT(B2297,"0000"),B2297),Addendum!E:E,"X")&gt;0,4%,0)</f>
        <v>0.04</v>
      </c>
      <c r="J2297" s="31">
        <f>IF(COUNTIFS(Addendum!C:C,A2297,Addendum!D:D,IF(ISNUMBER(B2297),TEXT(B2297,"0000"),B2297),Addendum!F:F,"X")&gt;0,2.5%,0)</f>
        <v>0</v>
      </c>
      <c r="K2297" s="31">
        <f>IF(COUNTIFS(Addendum!C:C,A2297,Addendum!D:D,IF(ISNUMBER(B2297),TEXT(B2297,"0000"),B2297),Addendum!G:G,"X")&gt;0,7%,0)</f>
        <v>0</v>
      </c>
      <c r="L2297" s="31">
        <f>IF(COUNTIFS(Addendum!C:C,A2297,Addendum!D:D,IF(ISNUMBER(B2297),TEXT(B2297,"0000"),B2297),Addendum!I:I,"X")&gt;0,10%,0)</f>
        <v>0</v>
      </c>
      <c r="M2297" s="34">
        <f t="shared" si="70"/>
        <v>0.01</v>
      </c>
      <c r="N2297" s="17">
        <f t="shared" si="71"/>
        <v>58128.84</v>
      </c>
    </row>
    <row r="2298" spans="1:14" x14ac:dyDescent="0.25">
      <c r="A2298" s="14" t="s">
        <v>828</v>
      </c>
      <c r="B2298" s="14">
        <v>4</v>
      </c>
      <c r="C2298" s="15" t="s">
        <v>836</v>
      </c>
      <c r="D2298" s="14" t="s">
        <v>1745</v>
      </c>
      <c r="E2298" s="14" t="s">
        <v>1746</v>
      </c>
      <c r="F2298" s="17" t="s">
        <v>2993</v>
      </c>
      <c r="G2298" s="14">
        <v>73395</v>
      </c>
      <c r="H2298" s="14">
        <v>58716</v>
      </c>
      <c r="I2298" s="31">
        <f>IF(COUNTIFS(Addendum!C:C,A2298,Addendum!D:D,IF(ISNUMBER(B2298),TEXT(B2298,"0000"),B2298),Addendum!E:E,"X")&gt;0,4%,0)</f>
        <v>0.04</v>
      </c>
      <c r="J2298" s="31">
        <f>IF(COUNTIFS(Addendum!C:C,A2298,Addendum!D:D,IF(ISNUMBER(B2298),TEXT(B2298,"0000"),B2298),Addendum!F:F,"X")&gt;0,2.5%,0)</f>
        <v>0</v>
      </c>
      <c r="K2298" s="31">
        <f>IF(COUNTIFS(Addendum!C:C,A2298,Addendum!D:D,IF(ISNUMBER(B2298),TEXT(B2298,"0000"),B2298),Addendum!G:G,"X")&gt;0,7%,0)</f>
        <v>0</v>
      </c>
      <c r="L2298" s="31">
        <f>IF(COUNTIFS(Addendum!C:C,A2298,Addendum!D:D,IF(ISNUMBER(B2298),TEXT(B2298,"0000"),B2298),Addendum!I:I,"X")&gt;0,10%,0)</f>
        <v>0</v>
      </c>
      <c r="M2298" s="34">
        <f t="shared" si="70"/>
        <v>0.01</v>
      </c>
      <c r="N2298" s="17">
        <f t="shared" si="71"/>
        <v>58128.84</v>
      </c>
    </row>
    <row r="2299" spans="1:14" x14ac:dyDescent="0.25">
      <c r="A2299" s="14" t="s">
        <v>828</v>
      </c>
      <c r="B2299" s="14" t="s">
        <v>89</v>
      </c>
      <c r="C2299" s="15" t="s">
        <v>2448</v>
      </c>
      <c r="D2299" s="14" t="s">
        <v>1745</v>
      </c>
      <c r="E2299" s="14" t="s">
        <v>1747</v>
      </c>
      <c r="F2299" s="17" t="s">
        <v>2994</v>
      </c>
      <c r="G2299" s="14">
        <v>69900</v>
      </c>
      <c r="H2299" s="14">
        <v>55920</v>
      </c>
      <c r="I2299" s="31">
        <f>IF(COUNTIFS(Addendum!C:C,A2299,Addendum!D:D,IF(ISNUMBER(B2299),TEXT(B2299,"0000"),B2299),Addendum!E:E,"X")&gt;0,4%,0)</f>
        <v>0.04</v>
      </c>
      <c r="J2299" s="31">
        <f>IF(COUNTIFS(Addendum!C:C,A2299,Addendum!D:D,IF(ISNUMBER(B2299),TEXT(B2299,"0000"),B2299),Addendum!F:F,"X")&gt;0,2.5%,0)</f>
        <v>0</v>
      </c>
      <c r="K2299" s="31">
        <f>IF(COUNTIFS(Addendum!C:C,A2299,Addendum!D:D,IF(ISNUMBER(B2299),TEXT(B2299,"0000"),B2299),Addendum!G:G,"X")&gt;0,7%,0)</f>
        <v>0</v>
      </c>
      <c r="L2299" s="31">
        <f>IF(COUNTIFS(Addendum!C:C,A2299,Addendum!D:D,IF(ISNUMBER(B2299),TEXT(B2299,"0000"),B2299),Addendum!I:I,"X")&gt;0,10%,0)</f>
        <v>0</v>
      </c>
      <c r="M2299" s="34">
        <f t="shared" si="70"/>
        <v>0.03</v>
      </c>
      <c r="N2299" s="17">
        <f t="shared" si="71"/>
        <v>54242.400000000001</v>
      </c>
    </row>
    <row r="2300" spans="1:14" x14ac:dyDescent="0.25">
      <c r="A2300" s="14" t="s">
        <v>2450</v>
      </c>
      <c r="B2300" s="14" t="s">
        <v>243</v>
      </c>
      <c r="C2300" s="15" t="s">
        <v>2451</v>
      </c>
      <c r="D2300" s="14" t="s">
        <v>1745</v>
      </c>
      <c r="E2300" s="14" t="s">
        <v>1746</v>
      </c>
      <c r="F2300" s="17" t="s">
        <v>2994</v>
      </c>
      <c r="G2300" s="14">
        <v>1449</v>
      </c>
      <c r="H2300" s="14">
        <v>1159.2</v>
      </c>
      <c r="I2300" s="31">
        <f>IF(COUNTIFS(Addendum!C:C,A2300,Addendum!D:D,IF(ISNUMBER(B2300),TEXT(B2300,"0000"),B2300),Addendum!E:E,"X")&gt;0,4%,0)</f>
        <v>0</v>
      </c>
      <c r="J2300" s="31">
        <f>IF(COUNTIFS(Addendum!C:C,A2300,Addendum!D:D,IF(ISNUMBER(B2300),TEXT(B2300,"0000"),B2300),Addendum!F:F,"X")&gt;0,2.5%,0)</f>
        <v>0</v>
      </c>
      <c r="K2300" s="31">
        <f>IF(COUNTIFS(Addendum!C:C,A2300,Addendum!D:D,IF(ISNUMBER(B2300),TEXT(B2300,"0000"),B2300),Addendum!G:G,"X")&gt;0,7%,0)</f>
        <v>0</v>
      </c>
      <c r="L2300" s="31">
        <f>IF(COUNTIFS(Addendum!C:C,A2300,Addendum!D:D,IF(ISNUMBER(B2300),TEXT(B2300,"0000"),B2300),Addendum!I:I,"X")&gt;0,10%,0)</f>
        <v>0</v>
      </c>
      <c r="M2300" s="34">
        <f t="shared" si="70"/>
        <v>0</v>
      </c>
      <c r="N2300" s="17">
        <f t="shared" si="71"/>
        <v>1159.2</v>
      </c>
    </row>
    <row r="2301" spans="1:14" x14ac:dyDescent="0.25">
      <c r="A2301" s="14" t="s">
        <v>2450</v>
      </c>
      <c r="B2301" s="14" t="s">
        <v>118</v>
      </c>
      <c r="C2301" s="15" t="s">
        <v>2452</v>
      </c>
      <c r="D2301" s="14" t="s">
        <v>1745</v>
      </c>
      <c r="E2301" s="14" t="s">
        <v>1747</v>
      </c>
      <c r="F2301" s="17" t="s">
        <v>2994</v>
      </c>
      <c r="G2301" s="14">
        <v>698.4</v>
      </c>
      <c r="H2301" s="14">
        <v>558.72</v>
      </c>
      <c r="I2301" s="31">
        <f>IF(COUNTIFS(Addendum!C:C,A2301,Addendum!D:D,IF(ISNUMBER(B2301),TEXT(B2301,"0000"),B2301),Addendum!E:E,"X")&gt;0,4%,0)</f>
        <v>0</v>
      </c>
      <c r="J2301" s="31">
        <f>IF(COUNTIFS(Addendum!C:C,A2301,Addendum!D:D,IF(ISNUMBER(B2301),TEXT(B2301,"0000"),B2301),Addendum!F:F,"X")&gt;0,2.5%,0)</f>
        <v>0</v>
      </c>
      <c r="K2301" s="31">
        <f>IF(COUNTIFS(Addendum!C:C,A2301,Addendum!D:D,IF(ISNUMBER(B2301),TEXT(B2301,"0000"),B2301),Addendum!G:G,"X")&gt;0,7%,0)</f>
        <v>0</v>
      </c>
      <c r="L2301" s="31">
        <f>IF(COUNTIFS(Addendum!C:C,A2301,Addendum!D:D,IF(ISNUMBER(B2301),TEXT(B2301,"0000"),B2301),Addendum!I:I,"X")&gt;0,10%,0)</f>
        <v>0</v>
      </c>
      <c r="M2301" s="34">
        <f t="shared" si="70"/>
        <v>0</v>
      </c>
      <c r="N2301" s="17">
        <f t="shared" si="71"/>
        <v>558.72</v>
      </c>
    </row>
    <row r="2302" spans="1:14" x14ac:dyDescent="0.25">
      <c r="A2302" s="14" t="s">
        <v>2450</v>
      </c>
      <c r="B2302" s="14" t="s">
        <v>650</v>
      </c>
      <c r="C2302" s="15" t="s">
        <v>2453</v>
      </c>
      <c r="D2302" s="14" t="s">
        <v>1745</v>
      </c>
      <c r="E2302" s="14" t="s">
        <v>1746</v>
      </c>
      <c r="F2302" s="17" t="s">
        <v>2995</v>
      </c>
      <c r="G2302" s="14">
        <v>839.16</v>
      </c>
      <c r="H2302" s="14">
        <v>755.28</v>
      </c>
      <c r="I2302" s="31">
        <f>IF(COUNTIFS(Addendum!C:C,A2302,Addendum!D:D,IF(ISNUMBER(B2302),TEXT(B2302,"0000"),B2302),Addendum!E:E,"X")&gt;0,4%,0)</f>
        <v>0</v>
      </c>
      <c r="J2302" s="31">
        <f>IF(COUNTIFS(Addendum!C:C,A2302,Addendum!D:D,IF(ISNUMBER(B2302),TEXT(B2302,"0000"),B2302),Addendum!F:F,"X")&gt;0,2.5%,0)</f>
        <v>0</v>
      </c>
      <c r="K2302" s="31">
        <f>IF(COUNTIFS(Addendum!C:C,A2302,Addendum!D:D,IF(ISNUMBER(B2302),TEXT(B2302,"0000"),B2302),Addendum!G:G,"X")&gt;0,7%,0)</f>
        <v>0</v>
      </c>
      <c r="L2302" s="31">
        <f>IF(COUNTIFS(Addendum!C:C,A2302,Addendum!D:D,IF(ISNUMBER(B2302),TEXT(B2302,"0000"),B2302),Addendum!I:I,"X")&gt;0,10%,0)</f>
        <v>0</v>
      </c>
      <c r="M2302" s="34">
        <f t="shared" si="70"/>
        <v>0</v>
      </c>
      <c r="N2302" s="17">
        <f t="shared" si="71"/>
        <v>755.28</v>
      </c>
    </row>
    <row r="2303" spans="1:14" ht="30" x14ac:dyDescent="0.25">
      <c r="A2303" s="14" t="s">
        <v>2450</v>
      </c>
      <c r="B2303" s="14" t="s">
        <v>583</v>
      </c>
      <c r="C2303" s="15" t="s">
        <v>2454</v>
      </c>
      <c r="D2303" s="14" t="s">
        <v>1749</v>
      </c>
      <c r="E2303" s="14" t="s">
        <v>1746</v>
      </c>
      <c r="F2303" s="17" t="s">
        <v>2994</v>
      </c>
      <c r="G2303" s="14">
        <v>0</v>
      </c>
      <c r="H2303" s="14">
        <v>0</v>
      </c>
      <c r="I2303" s="31">
        <f>IF(COUNTIFS(Addendum!C:C,A2303,Addendum!D:D,IF(ISNUMBER(B2303),TEXT(B2303,"0000"),B2303),Addendum!E:E,"X")&gt;0,4%,0)</f>
        <v>0</v>
      </c>
      <c r="J2303" s="31">
        <f>IF(COUNTIFS(Addendum!C:C,A2303,Addendum!D:D,IF(ISNUMBER(B2303),TEXT(B2303,"0000"),B2303),Addendum!F:F,"X")&gt;0,2.5%,0)</f>
        <v>0</v>
      </c>
      <c r="K2303" s="31">
        <f>IF(COUNTIFS(Addendum!C:C,A2303,Addendum!D:D,IF(ISNUMBER(B2303),TEXT(B2303,"0000"),B2303),Addendum!G:G,"X")&gt;0,7%,0)</f>
        <v>0</v>
      </c>
      <c r="L2303" s="31">
        <f>IF(COUNTIFS(Addendum!C:C,A2303,Addendum!D:D,IF(ISNUMBER(B2303),TEXT(B2303,"0000"),B2303),Addendum!I:I,"X")&gt;0,10%,0)</f>
        <v>0</v>
      </c>
      <c r="M2303" s="34">
        <f t="shared" si="70"/>
        <v>0</v>
      </c>
      <c r="N2303" s="17">
        <f t="shared" si="71"/>
        <v>0</v>
      </c>
    </row>
    <row r="2304" spans="1:14" x14ac:dyDescent="0.25">
      <c r="A2304" s="14" t="s">
        <v>2450</v>
      </c>
      <c r="B2304" s="14" t="s">
        <v>243</v>
      </c>
      <c r="C2304" s="15" t="s">
        <v>2451</v>
      </c>
      <c r="D2304" s="14" t="s">
        <v>1749</v>
      </c>
      <c r="E2304" s="14" t="s">
        <v>1746</v>
      </c>
      <c r="F2304" s="17" t="s">
        <v>2994</v>
      </c>
      <c r="G2304" s="14">
        <v>138</v>
      </c>
      <c r="H2304" s="14">
        <v>110.4</v>
      </c>
      <c r="I2304" s="31">
        <f>IF(COUNTIFS(Addendum!C:C,A2304,Addendum!D:D,IF(ISNUMBER(B2304),TEXT(B2304,"0000"),B2304),Addendum!E:E,"X")&gt;0,4%,0)</f>
        <v>0</v>
      </c>
      <c r="J2304" s="31">
        <f>IF(COUNTIFS(Addendum!C:C,A2304,Addendum!D:D,IF(ISNUMBER(B2304),TEXT(B2304,"0000"),B2304),Addendum!F:F,"X")&gt;0,2.5%,0)</f>
        <v>0</v>
      </c>
      <c r="K2304" s="31">
        <f>IF(COUNTIFS(Addendum!C:C,A2304,Addendum!D:D,IF(ISNUMBER(B2304),TEXT(B2304,"0000"),B2304),Addendum!G:G,"X")&gt;0,7%,0)</f>
        <v>0</v>
      </c>
      <c r="L2304" s="31">
        <f>IF(COUNTIFS(Addendum!C:C,A2304,Addendum!D:D,IF(ISNUMBER(B2304),TEXT(B2304,"0000"),B2304),Addendum!I:I,"X")&gt;0,10%,0)</f>
        <v>0</v>
      </c>
      <c r="M2304" s="34">
        <f t="shared" si="70"/>
        <v>0</v>
      </c>
      <c r="N2304" s="17">
        <f t="shared" si="71"/>
        <v>110.4</v>
      </c>
    </row>
    <row r="2305" spans="1:14" x14ac:dyDescent="0.25">
      <c r="A2305" s="14" t="s">
        <v>2450</v>
      </c>
      <c r="B2305" s="14" t="s">
        <v>118</v>
      </c>
      <c r="C2305" s="15" t="s">
        <v>2452</v>
      </c>
      <c r="D2305" s="14" t="s">
        <v>1745</v>
      </c>
      <c r="E2305" s="14" t="s">
        <v>1746</v>
      </c>
      <c r="F2305" s="17" t="s">
        <v>2994</v>
      </c>
      <c r="G2305" s="14">
        <v>733.32</v>
      </c>
      <c r="H2305" s="14">
        <v>586.67999999999995</v>
      </c>
      <c r="I2305" s="31">
        <f>IF(COUNTIFS(Addendum!C:C,A2305,Addendum!D:D,IF(ISNUMBER(B2305),TEXT(B2305,"0000"),B2305),Addendum!E:E,"X")&gt;0,4%,0)</f>
        <v>0</v>
      </c>
      <c r="J2305" s="31">
        <f>IF(COUNTIFS(Addendum!C:C,A2305,Addendum!D:D,IF(ISNUMBER(B2305),TEXT(B2305,"0000"),B2305),Addendum!F:F,"X")&gt;0,2.5%,0)</f>
        <v>0</v>
      </c>
      <c r="K2305" s="31">
        <f>IF(COUNTIFS(Addendum!C:C,A2305,Addendum!D:D,IF(ISNUMBER(B2305),TEXT(B2305,"0000"),B2305),Addendum!G:G,"X")&gt;0,7%,0)</f>
        <v>0</v>
      </c>
      <c r="L2305" s="31">
        <f>IF(COUNTIFS(Addendum!C:C,A2305,Addendum!D:D,IF(ISNUMBER(B2305),TEXT(B2305,"0000"),B2305),Addendum!I:I,"X")&gt;0,10%,0)</f>
        <v>0</v>
      </c>
      <c r="M2305" s="34">
        <f t="shared" si="70"/>
        <v>0</v>
      </c>
      <c r="N2305" s="17">
        <f t="shared" si="71"/>
        <v>586.67999999999995</v>
      </c>
    </row>
    <row r="2306" spans="1:14" x14ac:dyDescent="0.25">
      <c r="A2306" s="14" t="s">
        <v>2450</v>
      </c>
      <c r="B2306" s="14" t="s">
        <v>29</v>
      </c>
      <c r="C2306" s="15" t="s">
        <v>2455</v>
      </c>
      <c r="D2306" s="14" t="s">
        <v>1745</v>
      </c>
      <c r="E2306" s="14" t="s">
        <v>1747</v>
      </c>
      <c r="F2306" s="17" t="s">
        <v>2993</v>
      </c>
      <c r="G2306" s="14">
        <v>1320</v>
      </c>
      <c r="H2306" s="14">
        <v>1056</v>
      </c>
      <c r="I2306" s="31">
        <f>IF(COUNTIFS(Addendum!C:C,A2306,Addendum!D:D,IF(ISNUMBER(B2306),TEXT(B2306,"0000"),B2306),Addendum!E:E,"X")&gt;0,4%,0)</f>
        <v>0</v>
      </c>
      <c r="J2306" s="31">
        <f>IF(COUNTIFS(Addendum!C:C,A2306,Addendum!D:D,IF(ISNUMBER(B2306),TEXT(B2306,"0000"),B2306),Addendum!F:F,"X")&gt;0,2.5%,0)</f>
        <v>0</v>
      </c>
      <c r="K2306" s="31">
        <f>IF(COUNTIFS(Addendum!C:C,A2306,Addendum!D:D,IF(ISNUMBER(B2306),TEXT(B2306,"0000"),B2306),Addendum!G:G,"X")&gt;0,7%,0)</f>
        <v>0</v>
      </c>
      <c r="L2306" s="31">
        <f>IF(COUNTIFS(Addendum!C:C,A2306,Addendum!D:D,IF(ISNUMBER(B2306),TEXT(B2306,"0000"),B2306),Addendum!I:I,"X")&gt;0,10%,0)</f>
        <v>0</v>
      </c>
      <c r="M2306" s="34">
        <f t="shared" si="70"/>
        <v>0</v>
      </c>
      <c r="N2306" s="17">
        <f t="shared" si="71"/>
        <v>1056</v>
      </c>
    </row>
    <row r="2307" spans="1:14" x14ac:dyDescent="0.25">
      <c r="A2307" s="14" t="s">
        <v>2450</v>
      </c>
      <c r="B2307" s="14" t="s">
        <v>650</v>
      </c>
      <c r="C2307" s="15" t="s">
        <v>2453</v>
      </c>
      <c r="D2307" s="14" t="s">
        <v>1745</v>
      </c>
      <c r="E2307" s="14" t="s">
        <v>1747</v>
      </c>
      <c r="F2307" s="17" t="s">
        <v>2995</v>
      </c>
      <c r="G2307" s="14">
        <v>799.2</v>
      </c>
      <c r="H2307" s="14">
        <v>719.28</v>
      </c>
      <c r="I2307" s="31">
        <f>IF(COUNTIFS(Addendum!C:C,A2307,Addendum!D:D,IF(ISNUMBER(B2307),TEXT(B2307,"0000"),B2307),Addendum!E:E,"X")&gt;0,4%,0)</f>
        <v>0</v>
      </c>
      <c r="J2307" s="31">
        <f>IF(COUNTIFS(Addendum!C:C,A2307,Addendum!D:D,IF(ISNUMBER(B2307),TEXT(B2307,"0000"),B2307),Addendum!F:F,"X")&gt;0,2.5%,0)</f>
        <v>0</v>
      </c>
      <c r="K2307" s="31">
        <f>IF(COUNTIFS(Addendum!C:C,A2307,Addendum!D:D,IF(ISNUMBER(B2307),TEXT(B2307,"0000"),B2307),Addendum!G:G,"X")&gt;0,7%,0)</f>
        <v>0</v>
      </c>
      <c r="L2307" s="31">
        <f>IF(COUNTIFS(Addendum!C:C,A2307,Addendum!D:D,IF(ISNUMBER(B2307),TEXT(B2307,"0000"),B2307),Addendum!I:I,"X")&gt;0,10%,0)</f>
        <v>0</v>
      </c>
      <c r="M2307" s="34">
        <f t="shared" si="70"/>
        <v>0</v>
      </c>
      <c r="N2307" s="17">
        <f t="shared" si="71"/>
        <v>719.28</v>
      </c>
    </row>
    <row r="2308" spans="1:14" x14ac:dyDescent="0.25">
      <c r="A2308" s="14" t="s">
        <v>2450</v>
      </c>
      <c r="B2308" s="14">
        <v>1</v>
      </c>
      <c r="C2308" s="15" t="s">
        <v>2456</v>
      </c>
      <c r="D2308" s="14" t="s">
        <v>1749</v>
      </c>
      <c r="E2308" s="14" t="s">
        <v>1746</v>
      </c>
      <c r="F2308" s="17" t="s">
        <v>2993</v>
      </c>
      <c r="G2308" s="14">
        <v>198</v>
      </c>
      <c r="H2308" s="14">
        <v>158.4</v>
      </c>
      <c r="I2308" s="31">
        <f>IF(COUNTIFS(Addendum!C:C,A2308,Addendum!D:D,IF(ISNUMBER(B2308),TEXT(B2308,"0000"),B2308),Addendum!E:E,"X")&gt;0,4%,0)</f>
        <v>0</v>
      </c>
      <c r="J2308" s="31">
        <f>IF(COUNTIFS(Addendum!C:C,A2308,Addendum!D:D,IF(ISNUMBER(B2308),TEXT(B2308,"0000"),B2308),Addendum!F:F,"X")&gt;0,2.5%,0)</f>
        <v>0</v>
      </c>
      <c r="K2308" s="31">
        <f>IF(COUNTIFS(Addendum!C:C,A2308,Addendum!D:D,IF(ISNUMBER(B2308),TEXT(B2308,"0000"),B2308),Addendum!G:G,"X")&gt;0,7%,0)</f>
        <v>0</v>
      </c>
      <c r="L2308" s="31">
        <f>IF(COUNTIFS(Addendum!C:C,A2308,Addendum!D:D,IF(ISNUMBER(B2308),TEXT(B2308,"0000"),B2308),Addendum!I:I,"X")&gt;0,10%,0)</f>
        <v>0</v>
      </c>
      <c r="M2308" s="34">
        <f t="shared" ref="M2308:M2371" si="72">IF(AND(I2308=0%,J2308=0%,K2308=0%,L2308=0%),0%,
IF(OR(TRIM(E2308)="OneTime",TRIM(D2308)=""),0%,
IF(
OR(
TRIM(D2308)="P1M",
AND(TRIM(D2308)="P1Y",TRIM(E2308)="Monthly"),
AND(TRIM(D2308)="P3Y",TRIM(E2308)="Monthly")
),
IF(AND(I2308=4%,J2308=0%,K2308=0%,L2308=0%),1%,
IF(AND(I2308=4%,J2308=2.5%,K2308=0%,L2308=10%),2%,
IF(AND(I2308=4%,J2308=0%,K2308=7%,L2308=10%),3%,0%))),
IF(
OR(
AND(TRIM(D2308)="P1Y",TRIM(E2308)="Annual"),
AND(TRIM(D2308)="P3Y",TRIM(E2308)="Annual"),
AND(TRIM(D2308)="P3Y",TRIM(E2308)="Triennial")
),
IF(AND(I2308=4%,J2308=0%,K2308=0%,L2308=0%),3%,
IF(AND(I2308=4%,J2308=2.5%,K2308=0%,L2308=10%),10%,
IF(AND(I2308=4%,J2308=0%,K2308=7%,L2308=10%),14%,0%))),
0%
))))</f>
        <v>0</v>
      </c>
      <c r="N2308" s="17">
        <f t="shared" ref="N2308:N2371" si="73">H2308-(H2308*M2308)</f>
        <v>158.4</v>
      </c>
    </row>
    <row r="2309" spans="1:14" x14ac:dyDescent="0.25">
      <c r="A2309" s="14" t="s">
        <v>2450</v>
      </c>
      <c r="B2309" s="14" t="s">
        <v>650</v>
      </c>
      <c r="C2309" s="15" t="s">
        <v>2453</v>
      </c>
      <c r="D2309" s="14" t="s">
        <v>1749</v>
      </c>
      <c r="E2309" s="14" t="s">
        <v>1746</v>
      </c>
      <c r="F2309" s="17" t="s">
        <v>2995</v>
      </c>
      <c r="G2309" s="14">
        <v>79.92</v>
      </c>
      <c r="H2309" s="14">
        <v>71.930000000000007</v>
      </c>
      <c r="I2309" s="31">
        <f>IF(COUNTIFS(Addendum!C:C,A2309,Addendum!D:D,IF(ISNUMBER(B2309),TEXT(B2309,"0000"),B2309),Addendum!E:E,"X")&gt;0,4%,0)</f>
        <v>0</v>
      </c>
      <c r="J2309" s="31">
        <f>IF(COUNTIFS(Addendum!C:C,A2309,Addendum!D:D,IF(ISNUMBER(B2309),TEXT(B2309,"0000"),B2309),Addendum!F:F,"X")&gt;0,2.5%,0)</f>
        <v>0</v>
      </c>
      <c r="K2309" s="31">
        <f>IF(COUNTIFS(Addendum!C:C,A2309,Addendum!D:D,IF(ISNUMBER(B2309),TEXT(B2309,"0000"),B2309),Addendum!G:G,"X")&gt;0,7%,0)</f>
        <v>0</v>
      </c>
      <c r="L2309" s="31">
        <f>IF(COUNTIFS(Addendum!C:C,A2309,Addendum!D:D,IF(ISNUMBER(B2309),TEXT(B2309,"0000"),B2309),Addendum!I:I,"X")&gt;0,10%,0)</f>
        <v>0</v>
      </c>
      <c r="M2309" s="34">
        <f t="shared" si="72"/>
        <v>0</v>
      </c>
      <c r="N2309" s="17">
        <f t="shared" si="73"/>
        <v>71.930000000000007</v>
      </c>
    </row>
    <row r="2310" spans="1:14" x14ac:dyDescent="0.25">
      <c r="A2310" s="14" t="s">
        <v>2450</v>
      </c>
      <c r="B2310" s="14" t="s">
        <v>243</v>
      </c>
      <c r="C2310" s="15" t="s">
        <v>2451</v>
      </c>
      <c r="D2310" s="14" t="s">
        <v>1745</v>
      </c>
      <c r="E2310" s="14" t="s">
        <v>1747</v>
      </c>
      <c r="F2310" s="17" t="s">
        <v>2994</v>
      </c>
      <c r="G2310" s="14">
        <v>1380</v>
      </c>
      <c r="H2310" s="14">
        <v>1104</v>
      </c>
      <c r="I2310" s="31">
        <f>IF(COUNTIFS(Addendum!C:C,A2310,Addendum!D:D,IF(ISNUMBER(B2310),TEXT(B2310,"0000"),B2310),Addendum!E:E,"X")&gt;0,4%,0)</f>
        <v>0</v>
      </c>
      <c r="J2310" s="31">
        <f>IF(COUNTIFS(Addendum!C:C,A2310,Addendum!D:D,IF(ISNUMBER(B2310),TEXT(B2310,"0000"),B2310),Addendum!F:F,"X")&gt;0,2.5%,0)</f>
        <v>0</v>
      </c>
      <c r="K2310" s="31">
        <f>IF(COUNTIFS(Addendum!C:C,A2310,Addendum!D:D,IF(ISNUMBER(B2310),TEXT(B2310,"0000"),B2310),Addendum!G:G,"X")&gt;0,7%,0)</f>
        <v>0</v>
      </c>
      <c r="L2310" s="31">
        <f>IF(COUNTIFS(Addendum!C:C,A2310,Addendum!D:D,IF(ISNUMBER(B2310),TEXT(B2310,"0000"),B2310),Addendum!I:I,"X")&gt;0,10%,0)</f>
        <v>0</v>
      </c>
      <c r="M2310" s="34">
        <f t="shared" si="72"/>
        <v>0</v>
      </c>
      <c r="N2310" s="17">
        <f t="shared" si="73"/>
        <v>1104</v>
      </c>
    </row>
    <row r="2311" spans="1:14" x14ac:dyDescent="0.25">
      <c r="A2311" s="14" t="s">
        <v>2450</v>
      </c>
      <c r="B2311" s="14" t="s">
        <v>29</v>
      </c>
      <c r="C2311" s="15" t="s">
        <v>2455</v>
      </c>
      <c r="D2311" s="14" t="s">
        <v>1749</v>
      </c>
      <c r="E2311" s="14" t="s">
        <v>1746</v>
      </c>
      <c r="F2311" s="17" t="s">
        <v>2993</v>
      </c>
      <c r="G2311" s="14">
        <v>132</v>
      </c>
      <c r="H2311" s="14">
        <v>105.6</v>
      </c>
      <c r="I2311" s="31">
        <f>IF(COUNTIFS(Addendum!C:C,A2311,Addendum!D:D,IF(ISNUMBER(B2311),TEXT(B2311,"0000"),B2311),Addendum!E:E,"X")&gt;0,4%,0)</f>
        <v>0</v>
      </c>
      <c r="J2311" s="31">
        <f>IF(COUNTIFS(Addendum!C:C,A2311,Addendum!D:D,IF(ISNUMBER(B2311),TEXT(B2311,"0000"),B2311),Addendum!F:F,"X")&gt;0,2.5%,0)</f>
        <v>0</v>
      </c>
      <c r="K2311" s="31">
        <f>IF(COUNTIFS(Addendum!C:C,A2311,Addendum!D:D,IF(ISNUMBER(B2311),TEXT(B2311,"0000"),B2311),Addendum!G:G,"X")&gt;0,7%,0)</f>
        <v>0</v>
      </c>
      <c r="L2311" s="31">
        <f>IF(COUNTIFS(Addendum!C:C,A2311,Addendum!D:D,IF(ISNUMBER(B2311),TEXT(B2311,"0000"),B2311),Addendum!I:I,"X")&gt;0,10%,0)</f>
        <v>0</v>
      </c>
      <c r="M2311" s="34">
        <f t="shared" si="72"/>
        <v>0</v>
      </c>
      <c r="N2311" s="17">
        <f t="shared" si="73"/>
        <v>105.6</v>
      </c>
    </row>
    <row r="2312" spans="1:14" ht="30" x14ac:dyDescent="0.25">
      <c r="A2312" s="14" t="s">
        <v>2450</v>
      </c>
      <c r="B2312" s="14" t="s">
        <v>583</v>
      </c>
      <c r="C2312" s="15" t="s">
        <v>2454</v>
      </c>
      <c r="D2312" s="14" t="s">
        <v>1745</v>
      </c>
      <c r="E2312" s="14" t="s">
        <v>1746</v>
      </c>
      <c r="F2312" s="17" t="s">
        <v>2994</v>
      </c>
      <c r="G2312" s="14">
        <v>0</v>
      </c>
      <c r="H2312" s="14">
        <v>0</v>
      </c>
      <c r="I2312" s="31">
        <f>IF(COUNTIFS(Addendum!C:C,A2312,Addendum!D:D,IF(ISNUMBER(B2312),TEXT(B2312,"0000"),B2312),Addendum!E:E,"X")&gt;0,4%,0)</f>
        <v>0</v>
      </c>
      <c r="J2312" s="31">
        <f>IF(COUNTIFS(Addendum!C:C,A2312,Addendum!D:D,IF(ISNUMBER(B2312),TEXT(B2312,"0000"),B2312),Addendum!F:F,"X")&gt;0,2.5%,0)</f>
        <v>0</v>
      </c>
      <c r="K2312" s="31">
        <f>IF(COUNTIFS(Addendum!C:C,A2312,Addendum!D:D,IF(ISNUMBER(B2312),TEXT(B2312,"0000"),B2312),Addendum!G:G,"X")&gt;0,7%,0)</f>
        <v>0</v>
      </c>
      <c r="L2312" s="31">
        <f>IF(COUNTIFS(Addendum!C:C,A2312,Addendum!D:D,IF(ISNUMBER(B2312),TEXT(B2312,"0000"),B2312),Addendum!I:I,"X")&gt;0,10%,0)</f>
        <v>0</v>
      </c>
      <c r="M2312" s="34">
        <f t="shared" si="72"/>
        <v>0</v>
      </c>
      <c r="N2312" s="17">
        <f t="shared" si="73"/>
        <v>0</v>
      </c>
    </row>
    <row r="2313" spans="1:14" x14ac:dyDescent="0.25">
      <c r="A2313" s="14" t="s">
        <v>2450</v>
      </c>
      <c r="B2313" s="14" t="s">
        <v>29</v>
      </c>
      <c r="C2313" s="15" t="s">
        <v>2455</v>
      </c>
      <c r="D2313" s="14" t="s">
        <v>1745</v>
      </c>
      <c r="E2313" s="14" t="s">
        <v>1746</v>
      </c>
      <c r="F2313" s="17" t="s">
        <v>2993</v>
      </c>
      <c r="G2313" s="14">
        <v>1386</v>
      </c>
      <c r="H2313" s="14">
        <v>1108.8</v>
      </c>
      <c r="I2313" s="31">
        <f>IF(COUNTIFS(Addendum!C:C,A2313,Addendum!D:D,IF(ISNUMBER(B2313),TEXT(B2313,"0000"),B2313),Addendum!E:E,"X")&gt;0,4%,0)</f>
        <v>0</v>
      </c>
      <c r="J2313" s="31">
        <f>IF(COUNTIFS(Addendum!C:C,A2313,Addendum!D:D,IF(ISNUMBER(B2313),TEXT(B2313,"0000"),B2313),Addendum!F:F,"X")&gt;0,2.5%,0)</f>
        <v>0</v>
      </c>
      <c r="K2313" s="31">
        <f>IF(COUNTIFS(Addendum!C:C,A2313,Addendum!D:D,IF(ISNUMBER(B2313),TEXT(B2313,"0000"),B2313),Addendum!G:G,"X")&gt;0,7%,0)</f>
        <v>0</v>
      </c>
      <c r="L2313" s="31">
        <f>IF(COUNTIFS(Addendum!C:C,A2313,Addendum!D:D,IF(ISNUMBER(B2313),TEXT(B2313,"0000"),B2313),Addendum!I:I,"X")&gt;0,10%,0)</f>
        <v>0</v>
      </c>
      <c r="M2313" s="34">
        <f t="shared" si="72"/>
        <v>0</v>
      </c>
      <c r="N2313" s="17">
        <f t="shared" si="73"/>
        <v>1108.8</v>
      </c>
    </row>
    <row r="2314" spans="1:14" x14ac:dyDescent="0.25">
      <c r="A2314" s="14" t="s">
        <v>2450</v>
      </c>
      <c r="B2314" s="14" t="s">
        <v>118</v>
      </c>
      <c r="C2314" s="15" t="s">
        <v>2452</v>
      </c>
      <c r="D2314" s="14" t="s">
        <v>1749</v>
      </c>
      <c r="E2314" s="14" t="s">
        <v>1746</v>
      </c>
      <c r="F2314" s="17" t="s">
        <v>2994</v>
      </c>
      <c r="G2314" s="14">
        <v>69.84</v>
      </c>
      <c r="H2314" s="14">
        <v>55.87</v>
      </c>
      <c r="I2314" s="31">
        <f>IF(COUNTIFS(Addendum!C:C,A2314,Addendum!D:D,IF(ISNUMBER(B2314),TEXT(B2314,"0000"),B2314),Addendum!E:E,"X")&gt;0,4%,0)</f>
        <v>0</v>
      </c>
      <c r="J2314" s="31">
        <f>IF(COUNTIFS(Addendum!C:C,A2314,Addendum!D:D,IF(ISNUMBER(B2314),TEXT(B2314,"0000"),B2314),Addendum!F:F,"X")&gt;0,2.5%,0)</f>
        <v>0</v>
      </c>
      <c r="K2314" s="31">
        <f>IF(COUNTIFS(Addendum!C:C,A2314,Addendum!D:D,IF(ISNUMBER(B2314),TEXT(B2314,"0000"),B2314),Addendum!G:G,"X")&gt;0,7%,0)</f>
        <v>0</v>
      </c>
      <c r="L2314" s="31">
        <f>IF(COUNTIFS(Addendum!C:C,A2314,Addendum!D:D,IF(ISNUMBER(B2314),TEXT(B2314,"0000"),B2314),Addendum!I:I,"X")&gt;0,10%,0)</f>
        <v>0</v>
      </c>
      <c r="M2314" s="34">
        <f t="shared" si="72"/>
        <v>0</v>
      </c>
      <c r="N2314" s="17">
        <f t="shared" si="73"/>
        <v>55.87</v>
      </c>
    </row>
    <row r="2315" spans="1:14" ht="30" x14ac:dyDescent="0.25">
      <c r="A2315" s="14" t="s">
        <v>2450</v>
      </c>
      <c r="B2315" s="14" t="s">
        <v>583</v>
      </c>
      <c r="C2315" s="15" t="s">
        <v>2454</v>
      </c>
      <c r="D2315" s="14" t="s">
        <v>1745</v>
      </c>
      <c r="E2315" s="14" t="s">
        <v>1747</v>
      </c>
      <c r="F2315" s="17" t="s">
        <v>2994</v>
      </c>
      <c r="G2315" s="14">
        <v>0</v>
      </c>
      <c r="H2315" s="14">
        <v>0</v>
      </c>
      <c r="I2315" s="31">
        <f>IF(COUNTIFS(Addendum!C:C,A2315,Addendum!D:D,IF(ISNUMBER(B2315),TEXT(B2315,"0000"),B2315),Addendum!E:E,"X")&gt;0,4%,0)</f>
        <v>0</v>
      </c>
      <c r="J2315" s="31">
        <f>IF(COUNTIFS(Addendum!C:C,A2315,Addendum!D:D,IF(ISNUMBER(B2315),TEXT(B2315,"0000"),B2315),Addendum!F:F,"X")&gt;0,2.5%,0)</f>
        <v>0</v>
      </c>
      <c r="K2315" s="31">
        <f>IF(COUNTIFS(Addendum!C:C,A2315,Addendum!D:D,IF(ISNUMBER(B2315),TEXT(B2315,"0000"),B2315),Addendum!G:G,"X")&gt;0,7%,0)</f>
        <v>0</v>
      </c>
      <c r="L2315" s="31">
        <f>IF(COUNTIFS(Addendum!C:C,A2315,Addendum!D:D,IF(ISNUMBER(B2315),TEXT(B2315,"0000"),B2315),Addendum!I:I,"X")&gt;0,10%,0)</f>
        <v>0</v>
      </c>
      <c r="M2315" s="34">
        <f t="shared" si="72"/>
        <v>0</v>
      </c>
      <c r="N2315" s="17">
        <f t="shared" si="73"/>
        <v>0</v>
      </c>
    </row>
    <row r="2316" spans="1:14" x14ac:dyDescent="0.25">
      <c r="A2316" s="14" t="s">
        <v>2450</v>
      </c>
      <c r="B2316" s="14">
        <v>1</v>
      </c>
      <c r="C2316" s="15" t="s">
        <v>2456</v>
      </c>
      <c r="D2316" s="14" t="s">
        <v>1745</v>
      </c>
      <c r="E2316" s="14" t="s">
        <v>1747</v>
      </c>
      <c r="F2316" s="17" t="s">
        <v>2993</v>
      </c>
      <c r="G2316" s="14">
        <v>1980</v>
      </c>
      <c r="H2316" s="14">
        <v>1584</v>
      </c>
      <c r="I2316" s="31">
        <f>IF(COUNTIFS(Addendum!C:C,A2316,Addendum!D:D,IF(ISNUMBER(B2316),TEXT(B2316,"0000"),B2316),Addendum!E:E,"X")&gt;0,4%,0)</f>
        <v>0</v>
      </c>
      <c r="J2316" s="31">
        <f>IF(COUNTIFS(Addendum!C:C,A2316,Addendum!D:D,IF(ISNUMBER(B2316),TEXT(B2316,"0000"),B2316),Addendum!F:F,"X")&gt;0,2.5%,0)</f>
        <v>0</v>
      </c>
      <c r="K2316" s="31">
        <f>IF(COUNTIFS(Addendum!C:C,A2316,Addendum!D:D,IF(ISNUMBER(B2316),TEXT(B2316,"0000"),B2316),Addendum!G:G,"X")&gt;0,7%,0)</f>
        <v>0</v>
      </c>
      <c r="L2316" s="31">
        <f>IF(COUNTIFS(Addendum!C:C,A2316,Addendum!D:D,IF(ISNUMBER(B2316),TEXT(B2316,"0000"),B2316),Addendum!I:I,"X")&gt;0,10%,0)</f>
        <v>0</v>
      </c>
      <c r="M2316" s="34">
        <f t="shared" si="72"/>
        <v>0</v>
      </c>
      <c r="N2316" s="17">
        <f t="shared" si="73"/>
        <v>1584</v>
      </c>
    </row>
    <row r="2317" spans="1:14" x14ac:dyDescent="0.25">
      <c r="A2317" s="14" t="s">
        <v>2450</v>
      </c>
      <c r="B2317" s="14">
        <v>1</v>
      </c>
      <c r="C2317" s="15" t="s">
        <v>2456</v>
      </c>
      <c r="D2317" s="14" t="s">
        <v>1745</v>
      </c>
      <c r="E2317" s="14" t="s">
        <v>1746</v>
      </c>
      <c r="F2317" s="17" t="s">
        <v>2993</v>
      </c>
      <c r="G2317" s="14">
        <v>2079</v>
      </c>
      <c r="H2317" s="14">
        <v>1663.2</v>
      </c>
      <c r="I2317" s="31">
        <f>IF(COUNTIFS(Addendum!C:C,A2317,Addendum!D:D,IF(ISNUMBER(B2317),TEXT(B2317,"0000"),B2317),Addendum!E:E,"X")&gt;0,4%,0)</f>
        <v>0</v>
      </c>
      <c r="J2317" s="31">
        <f>IF(COUNTIFS(Addendum!C:C,A2317,Addendum!D:D,IF(ISNUMBER(B2317),TEXT(B2317,"0000"),B2317),Addendum!F:F,"X")&gt;0,2.5%,0)</f>
        <v>0</v>
      </c>
      <c r="K2317" s="31">
        <f>IF(COUNTIFS(Addendum!C:C,A2317,Addendum!D:D,IF(ISNUMBER(B2317),TEXT(B2317,"0000"),B2317),Addendum!G:G,"X")&gt;0,7%,0)</f>
        <v>0</v>
      </c>
      <c r="L2317" s="31">
        <f>IF(COUNTIFS(Addendum!C:C,A2317,Addendum!D:D,IF(ISNUMBER(B2317),TEXT(B2317,"0000"),B2317),Addendum!I:I,"X")&gt;0,10%,0)</f>
        <v>0</v>
      </c>
      <c r="M2317" s="34">
        <f t="shared" si="72"/>
        <v>0</v>
      </c>
      <c r="N2317" s="17">
        <f t="shared" si="73"/>
        <v>1663.2</v>
      </c>
    </row>
    <row r="2318" spans="1:14" x14ac:dyDescent="0.25">
      <c r="A2318" s="14" t="s">
        <v>2457</v>
      </c>
      <c r="B2318" s="14">
        <v>1</v>
      </c>
      <c r="C2318" s="15" t="s">
        <v>2458</v>
      </c>
      <c r="D2318" s="14" t="s">
        <v>1749</v>
      </c>
      <c r="E2318" s="14" t="s">
        <v>1746</v>
      </c>
      <c r="F2318" s="17" t="s">
        <v>2993</v>
      </c>
      <c r="G2318" s="14">
        <v>498</v>
      </c>
      <c r="H2318" s="14">
        <v>398.4</v>
      </c>
      <c r="I2318" s="31">
        <f>IF(COUNTIFS(Addendum!C:C,A2318,Addendum!D:D,IF(ISNUMBER(B2318),TEXT(B2318,"0000"),B2318),Addendum!E:E,"X")&gt;0,4%,0)</f>
        <v>0</v>
      </c>
      <c r="J2318" s="31">
        <f>IF(COUNTIFS(Addendum!C:C,A2318,Addendum!D:D,IF(ISNUMBER(B2318),TEXT(B2318,"0000"),B2318),Addendum!F:F,"X")&gt;0,2.5%,0)</f>
        <v>0</v>
      </c>
      <c r="K2318" s="31">
        <f>IF(COUNTIFS(Addendum!C:C,A2318,Addendum!D:D,IF(ISNUMBER(B2318),TEXT(B2318,"0000"),B2318),Addendum!G:G,"X")&gt;0,7%,0)</f>
        <v>0</v>
      </c>
      <c r="L2318" s="31">
        <f>IF(COUNTIFS(Addendum!C:C,A2318,Addendum!D:D,IF(ISNUMBER(B2318),TEXT(B2318,"0000"),B2318),Addendum!I:I,"X")&gt;0,10%,0)</f>
        <v>0</v>
      </c>
      <c r="M2318" s="34">
        <f t="shared" si="72"/>
        <v>0</v>
      </c>
      <c r="N2318" s="17">
        <f t="shared" si="73"/>
        <v>398.4</v>
      </c>
    </row>
    <row r="2319" spans="1:14" x14ac:dyDescent="0.25">
      <c r="A2319" s="14" t="s">
        <v>2457</v>
      </c>
      <c r="B2319" s="14" t="s">
        <v>122</v>
      </c>
      <c r="C2319" s="15" t="s">
        <v>2459</v>
      </c>
      <c r="D2319" s="14" t="s">
        <v>1749</v>
      </c>
      <c r="E2319" s="14" t="s">
        <v>1746</v>
      </c>
      <c r="F2319" s="17" t="s">
        <v>2994</v>
      </c>
      <c r="G2319" s="14">
        <v>150</v>
      </c>
      <c r="H2319" s="14">
        <v>120</v>
      </c>
      <c r="I2319" s="31">
        <f>IF(COUNTIFS(Addendum!C:C,A2319,Addendum!D:D,IF(ISNUMBER(B2319),TEXT(B2319,"0000"),B2319),Addendum!E:E,"X")&gt;0,4%,0)</f>
        <v>0</v>
      </c>
      <c r="J2319" s="31">
        <f>IF(COUNTIFS(Addendum!C:C,A2319,Addendum!D:D,IF(ISNUMBER(B2319),TEXT(B2319,"0000"),B2319),Addendum!F:F,"X")&gt;0,2.5%,0)</f>
        <v>0</v>
      </c>
      <c r="K2319" s="31">
        <f>IF(COUNTIFS(Addendum!C:C,A2319,Addendum!D:D,IF(ISNUMBER(B2319),TEXT(B2319,"0000"),B2319),Addendum!G:G,"X")&gt;0,7%,0)</f>
        <v>0</v>
      </c>
      <c r="L2319" s="31">
        <f>IF(COUNTIFS(Addendum!C:C,A2319,Addendum!D:D,IF(ISNUMBER(B2319),TEXT(B2319,"0000"),B2319),Addendum!I:I,"X")&gt;0,10%,0)</f>
        <v>0</v>
      </c>
      <c r="M2319" s="34">
        <f t="shared" si="72"/>
        <v>0</v>
      </c>
      <c r="N2319" s="17">
        <f t="shared" si="73"/>
        <v>120</v>
      </c>
    </row>
    <row r="2320" spans="1:14" x14ac:dyDescent="0.25">
      <c r="A2320" s="14" t="s">
        <v>2457</v>
      </c>
      <c r="B2320" s="14" t="s">
        <v>39</v>
      </c>
      <c r="C2320" s="15" t="s">
        <v>2460</v>
      </c>
      <c r="D2320" s="14" t="s">
        <v>1749</v>
      </c>
      <c r="E2320" s="14" t="s">
        <v>1746</v>
      </c>
      <c r="F2320" s="17" t="s">
        <v>2993</v>
      </c>
      <c r="G2320" s="14">
        <v>342</v>
      </c>
      <c r="H2320" s="14">
        <v>273.60000000000002</v>
      </c>
      <c r="I2320" s="31">
        <f>IF(COUNTIFS(Addendum!C:C,A2320,Addendum!D:D,IF(ISNUMBER(B2320),TEXT(B2320,"0000"),B2320),Addendum!E:E,"X")&gt;0,4%,0)</f>
        <v>0</v>
      </c>
      <c r="J2320" s="31">
        <f>IF(COUNTIFS(Addendum!C:C,A2320,Addendum!D:D,IF(ISNUMBER(B2320),TEXT(B2320,"0000"),B2320),Addendum!F:F,"X")&gt;0,2.5%,0)</f>
        <v>0</v>
      </c>
      <c r="K2320" s="31">
        <f>IF(COUNTIFS(Addendum!C:C,A2320,Addendum!D:D,IF(ISNUMBER(B2320),TEXT(B2320,"0000"),B2320),Addendum!G:G,"X")&gt;0,7%,0)</f>
        <v>0</v>
      </c>
      <c r="L2320" s="31">
        <f>IF(COUNTIFS(Addendum!C:C,A2320,Addendum!D:D,IF(ISNUMBER(B2320),TEXT(B2320,"0000"),B2320),Addendum!I:I,"X")&gt;0,10%,0)</f>
        <v>0</v>
      </c>
      <c r="M2320" s="34">
        <f t="shared" si="72"/>
        <v>0</v>
      </c>
      <c r="N2320" s="17">
        <f t="shared" si="73"/>
        <v>273.60000000000002</v>
      </c>
    </row>
    <row r="2321" spans="1:14" x14ac:dyDescent="0.25">
      <c r="A2321" s="14" t="s">
        <v>2457</v>
      </c>
      <c r="B2321" s="14" t="s">
        <v>363</v>
      </c>
      <c r="C2321" s="15" t="s">
        <v>2461</v>
      </c>
      <c r="D2321" s="14" t="s">
        <v>1745</v>
      </c>
      <c r="E2321" s="14" t="s">
        <v>1746</v>
      </c>
      <c r="F2321" s="17" t="s">
        <v>2993</v>
      </c>
      <c r="G2321" s="14">
        <v>3150</v>
      </c>
      <c r="H2321" s="14">
        <v>2520</v>
      </c>
      <c r="I2321" s="31">
        <f>IF(COUNTIFS(Addendum!C:C,A2321,Addendum!D:D,IF(ISNUMBER(B2321),TEXT(B2321,"0000"),B2321),Addendum!E:E,"X")&gt;0,4%,0)</f>
        <v>0</v>
      </c>
      <c r="J2321" s="31">
        <f>IF(COUNTIFS(Addendum!C:C,A2321,Addendum!D:D,IF(ISNUMBER(B2321),TEXT(B2321,"0000"),B2321),Addendum!F:F,"X")&gt;0,2.5%,0)</f>
        <v>0</v>
      </c>
      <c r="K2321" s="31">
        <f>IF(COUNTIFS(Addendum!C:C,A2321,Addendum!D:D,IF(ISNUMBER(B2321),TEXT(B2321,"0000"),B2321),Addendum!G:G,"X")&gt;0,7%,0)</f>
        <v>0</v>
      </c>
      <c r="L2321" s="31">
        <f>IF(COUNTIFS(Addendum!C:C,A2321,Addendum!D:D,IF(ISNUMBER(B2321),TEXT(B2321,"0000"),B2321),Addendum!I:I,"X")&gt;0,10%,0)</f>
        <v>0</v>
      </c>
      <c r="M2321" s="34">
        <f t="shared" si="72"/>
        <v>0</v>
      </c>
      <c r="N2321" s="17">
        <f t="shared" si="73"/>
        <v>2520</v>
      </c>
    </row>
    <row r="2322" spans="1:14" x14ac:dyDescent="0.25">
      <c r="A2322" s="14" t="s">
        <v>2457</v>
      </c>
      <c r="B2322" s="14" t="s">
        <v>363</v>
      </c>
      <c r="C2322" s="15" t="s">
        <v>2461</v>
      </c>
      <c r="D2322" s="14" t="s">
        <v>1752</v>
      </c>
      <c r="E2322" s="14" t="s">
        <v>1753</v>
      </c>
      <c r="F2322" s="17" t="s">
        <v>2993</v>
      </c>
      <c r="G2322" s="14">
        <v>9000</v>
      </c>
      <c r="H2322" s="14">
        <v>7200</v>
      </c>
      <c r="I2322" s="31">
        <f>IF(COUNTIFS(Addendum!C:C,A2322,Addendum!D:D,IF(ISNUMBER(B2322),TEXT(B2322,"0000"),B2322),Addendum!E:E,"X")&gt;0,4%,0)</f>
        <v>0</v>
      </c>
      <c r="J2322" s="31">
        <f>IF(COUNTIFS(Addendum!C:C,A2322,Addendum!D:D,IF(ISNUMBER(B2322),TEXT(B2322,"0000"),B2322),Addendum!F:F,"X")&gt;0,2.5%,0)</f>
        <v>0</v>
      </c>
      <c r="K2322" s="31">
        <f>IF(COUNTIFS(Addendum!C:C,A2322,Addendum!D:D,IF(ISNUMBER(B2322),TEXT(B2322,"0000"),B2322),Addendum!G:G,"X")&gt;0,7%,0)</f>
        <v>0</v>
      </c>
      <c r="L2322" s="31">
        <f>IF(COUNTIFS(Addendum!C:C,A2322,Addendum!D:D,IF(ISNUMBER(B2322),TEXT(B2322,"0000"),B2322),Addendum!I:I,"X")&gt;0,10%,0)</f>
        <v>0</v>
      </c>
      <c r="M2322" s="34">
        <f t="shared" si="72"/>
        <v>0</v>
      </c>
      <c r="N2322" s="17">
        <f t="shared" si="73"/>
        <v>7200</v>
      </c>
    </row>
    <row r="2323" spans="1:14" x14ac:dyDescent="0.25">
      <c r="A2323" s="14" t="s">
        <v>2457</v>
      </c>
      <c r="B2323" s="14" t="s">
        <v>46</v>
      </c>
      <c r="C2323" s="15" t="s">
        <v>2462</v>
      </c>
      <c r="D2323" s="14" t="s">
        <v>1745</v>
      </c>
      <c r="E2323" s="14" t="s">
        <v>1746</v>
      </c>
      <c r="F2323" s="17" t="s">
        <v>2995</v>
      </c>
      <c r="G2323" s="14">
        <v>2079</v>
      </c>
      <c r="H2323" s="14">
        <v>1871.16</v>
      </c>
      <c r="I2323" s="31">
        <f>IF(COUNTIFS(Addendum!C:C,A2323,Addendum!D:D,IF(ISNUMBER(B2323),TEXT(B2323,"0000"),B2323),Addendum!E:E,"X")&gt;0,4%,0)</f>
        <v>0</v>
      </c>
      <c r="J2323" s="31">
        <f>IF(COUNTIFS(Addendum!C:C,A2323,Addendum!D:D,IF(ISNUMBER(B2323),TEXT(B2323,"0000"),B2323),Addendum!F:F,"X")&gt;0,2.5%,0)</f>
        <v>0</v>
      </c>
      <c r="K2323" s="31">
        <f>IF(COUNTIFS(Addendum!C:C,A2323,Addendum!D:D,IF(ISNUMBER(B2323),TEXT(B2323,"0000"),B2323),Addendum!G:G,"X")&gt;0,7%,0)</f>
        <v>0</v>
      </c>
      <c r="L2323" s="31">
        <f>IF(COUNTIFS(Addendum!C:C,A2323,Addendum!D:D,IF(ISNUMBER(B2323),TEXT(B2323,"0000"),B2323),Addendum!I:I,"X")&gt;0,10%,0)</f>
        <v>0</v>
      </c>
      <c r="M2323" s="34">
        <f t="shared" si="72"/>
        <v>0</v>
      </c>
      <c r="N2323" s="17">
        <f t="shared" si="73"/>
        <v>1871.16</v>
      </c>
    </row>
    <row r="2324" spans="1:14" x14ac:dyDescent="0.25">
      <c r="A2324" s="14" t="s">
        <v>2457</v>
      </c>
      <c r="B2324" s="14" t="s">
        <v>29</v>
      </c>
      <c r="C2324" s="15" t="s">
        <v>2463</v>
      </c>
      <c r="D2324" s="14" t="s">
        <v>1749</v>
      </c>
      <c r="E2324" s="14" t="s">
        <v>1746</v>
      </c>
      <c r="F2324" s="17" t="s">
        <v>2994</v>
      </c>
      <c r="G2324" s="14">
        <v>222</v>
      </c>
      <c r="H2324" s="14">
        <v>177.6</v>
      </c>
      <c r="I2324" s="31">
        <f>IF(COUNTIFS(Addendum!C:C,A2324,Addendum!D:D,IF(ISNUMBER(B2324),TEXT(B2324,"0000"),B2324),Addendum!E:E,"X")&gt;0,4%,0)</f>
        <v>0</v>
      </c>
      <c r="J2324" s="31">
        <f>IF(COUNTIFS(Addendum!C:C,A2324,Addendum!D:D,IF(ISNUMBER(B2324),TEXT(B2324,"0000"),B2324),Addendum!F:F,"X")&gt;0,2.5%,0)</f>
        <v>0</v>
      </c>
      <c r="K2324" s="31">
        <f>IF(COUNTIFS(Addendum!C:C,A2324,Addendum!D:D,IF(ISNUMBER(B2324),TEXT(B2324,"0000"),B2324),Addendum!G:G,"X")&gt;0,7%,0)</f>
        <v>0</v>
      </c>
      <c r="L2324" s="31">
        <f>IF(COUNTIFS(Addendum!C:C,A2324,Addendum!D:D,IF(ISNUMBER(B2324),TEXT(B2324,"0000"),B2324),Addendum!I:I,"X")&gt;0,10%,0)</f>
        <v>0</v>
      </c>
      <c r="M2324" s="34">
        <f t="shared" si="72"/>
        <v>0</v>
      </c>
      <c r="N2324" s="17">
        <f t="shared" si="73"/>
        <v>177.6</v>
      </c>
    </row>
    <row r="2325" spans="1:14" x14ac:dyDescent="0.25">
      <c r="A2325" s="14" t="s">
        <v>2457</v>
      </c>
      <c r="B2325" s="14" t="s">
        <v>46</v>
      </c>
      <c r="C2325" s="15" t="s">
        <v>2462</v>
      </c>
      <c r="D2325" s="14" t="s">
        <v>1749</v>
      </c>
      <c r="E2325" s="14" t="s">
        <v>1746</v>
      </c>
      <c r="F2325" s="17" t="s">
        <v>2995</v>
      </c>
      <c r="G2325" s="14">
        <v>198</v>
      </c>
      <c r="H2325" s="14">
        <v>178.2</v>
      </c>
      <c r="I2325" s="31">
        <f>IF(COUNTIFS(Addendum!C:C,A2325,Addendum!D:D,IF(ISNUMBER(B2325),TEXT(B2325,"0000"),B2325),Addendum!E:E,"X")&gt;0,4%,0)</f>
        <v>0</v>
      </c>
      <c r="J2325" s="31">
        <f>IF(COUNTIFS(Addendum!C:C,A2325,Addendum!D:D,IF(ISNUMBER(B2325),TEXT(B2325,"0000"),B2325),Addendum!F:F,"X")&gt;0,2.5%,0)</f>
        <v>0</v>
      </c>
      <c r="K2325" s="31">
        <f>IF(COUNTIFS(Addendum!C:C,A2325,Addendum!D:D,IF(ISNUMBER(B2325),TEXT(B2325,"0000"),B2325),Addendum!G:G,"X")&gt;0,7%,0)</f>
        <v>0</v>
      </c>
      <c r="L2325" s="31">
        <f>IF(COUNTIFS(Addendum!C:C,A2325,Addendum!D:D,IF(ISNUMBER(B2325),TEXT(B2325,"0000"),B2325),Addendum!I:I,"X")&gt;0,10%,0)</f>
        <v>0</v>
      </c>
      <c r="M2325" s="34">
        <f t="shared" si="72"/>
        <v>0</v>
      </c>
      <c r="N2325" s="17">
        <f t="shared" si="73"/>
        <v>178.2</v>
      </c>
    </row>
    <row r="2326" spans="1:14" x14ac:dyDescent="0.25">
      <c r="A2326" s="14" t="s">
        <v>2457</v>
      </c>
      <c r="B2326" s="14">
        <v>1</v>
      </c>
      <c r="C2326" s="15" t="s">
        <v>2458</v>
      </c>
      <c r="D2326" s="14" t="s">
        <v>1745</v>
      </c>
      <c r="E2326" s="14" t="s">
        <v>1747</v>
      </c>
      <c r="F2326" s="17" t="s">
        <v>2993</v>
      </c>
      <c r="G2326" s="14">
        <v>4980</v>
      </c>
      <c r="H2326" s="14">
        <v>3984</v>
      </c>
      <c r="I2326" s="31">
        <f>IF(COUNTIFS(Addendum!C:C,A2326,Addendum!D:D,IF(ISNUMBER(B2326),TEXT(B2326,"0000"),B2326),Addendum!E:E,"X")&gt;0,4%,0)</f>
        <v>0</v>
      </c>
      <c r="J2326" s="31">
        <f>IF(COUNTIFS(Addendum!C:C,A2326,Addendum!D:D,IF(ISNUMBER(B2326),TEXT(B2326,"0000"),B2326),Addendum!F:F,"X")&gt;0,2.5%,0)</f>
        <v>0</v>
      </c>
      <c r="K2326" s="31">
        <f>IF(COUNTIFS(Addendum!C:C,A2326,Addendum!D:D,IF(ISNUMBER(B2326),TEXT(B2326,"0000"),B2326),Addendum!G:G,"X")&gt;0,7%,0)</f>
        <v>0</v>
      </c>
      <c r="L2326" s="31">
        <f>IF(COUNTIFS(Addendum!C:C,A2326,Addendum!D:D,IF(ISNUMBER(B2326),TEXT(B2326,"0000"),B2326),Addendum!I:I,"X")&gt;0,10%,0)</f>
        <v>0</v>
      </c>
      <c r="M2326" s="34">
        <f t="shared" si="72"/>
        <v>0</v>
      </c>
      <c r="N2326" s="17">
        <f t="shared" si="73"/>
        <v>3984</v>
      </c>
    </row>
    <row r="2327" spans="1:14" x14ac:dyDescent="0.25">
      <c r="A2327" s="14" t="s">
        <v>2457</v>
      </c>
      <c r="B2327" s="14" t="s">
        <v>29</v>
      </c>
      <c r="C2327" s="15" t="s">
        <v>2463</v>
      </c>
      <c r="D2327" s="14" t="s">
        <v>1745</v>
      </c>
      <c r="E2327" s="14" t="s">
        <v>1746</v>
      </c>
      <c r="F2327" s="17" t="s">
        <v>2994</v>
      </c>
      <c r="G2327" s="14">
        <v>2331</v>
      </c>
      <c r="H2327" s="14">
        <v>1864.8</v>
      </c>
      <c r="I2327" s="31">
        <f>IF(COUNTIFS(Addendum!C:C,A2327,Addendum!D:D,IF(ISNUMBER(B2327),TEXT(B2327,"0000"),B2327),Addendum!E:E,"X")&gt;0,4%,0)</f>
        <v>0</v>
      </c>
      <c r="J2327" s="31">
        <f>IF(COUNTIFS(Addendum!C:C,A2327,Addendum!D:D,IF(ISNUMBER(B2327),TEXT(B2327,"0000"),B2327),Addendum!F:F,"X")&gt;0,2.5%,0)</f>
        <v>0</v>
      </c>
      <c r="K2327" s="31">
        <f>IF(COUNTIFS(Addendum!C:C,A2327,Addendum!D:D,IF(ISNUMBER(B2327),TEXT(B2327,"0000"),B2327),Addendum!G:G,"X")&gt;0,7%,0)</f>
        <v>0</v>
      </c>
      <c r="L2327" s="31">
        <f>IF(COUNTIFS(Addendum!C:C,A2327,Addendum!D:D,IF(ISNUMBER(B2327),TEXT(B2327,"0000"),B2327),Addendum!I:I,"X")&gt;0,10%,0)</f>
        <v>0</v>
      </c>
      <c r="M2327" s="34">
        <f t="shared" si="72"/>
        <v>0</v>
      </c>
      <c r="N2327" s="17">
        <f t="shared" si="73"/>
        <v>1864.8</v>
      </c>
    </row>
    <row r="2328" spans="1:14" x14ac:dyDescent="0.25">
      <c r="A2328" s="14" t="s">
        <v>2457</v>
      </c>
      <c r="B2328" s="14" t="s">
        <v>29</v>
      </c>
      <c r="C2328" s="15" t="s">
        <v>2463</v>
      </c>
      <c r="D2328" s="14" t="s">
        <v>1745</v>
      </c>
      <c r="E2328" s="14" t="s">
        <v>1747</v>
      </c>
      <c r="F2328" s="17" t="s">
        <v>2994</v>
      </c>
      <c r="G2328" s="14">
        <v>2220</v>
      </c>
      <c r="H2328" s="14">
        <v>1776</v>
      </c>
      <c r="I2328" s="31">
        <f>IF(COUNTIFS(Addendum!C:C,A2328,Addendum!D:D,IF(ISNUMBER(B2328),TEXT(B2328,"0000"),B2328),Addendum!E:E,"X")&gt;0,4%,0)</f>
        <v>0</v>
      </c>
      <c r="J2328" s="31">
        <f>IF(COUNTIFS(Addendum!C:C,A2328,Addendum!D:D,IF(ISNUMBER(B2328),TEXT(B2328,"0000"),B2328),Addendum!F:F,"X")&gt;0,2.5%,0)</f>
        <v>0</v>
      </c>
      <c r="K2328" s="31">
        <f>IF(COUNTIFS(Addendum!C:C,A2328,Addendum!D:D,IF(ISNUMBER(B2328),TEXT(B2328,"0000"),B2328),Addendum!G:G,"X")&gt;0,7%,0)</f>
        <v>0</v>
      </c>
      <c r="L2328" s="31">
        <f>IF(COUNTIFS(Addendum!C:C,A2328,Addendum!D:D,IF(ISNUMBER(B2328),TEXT(B2328,"0000"),B2328),Addendum!I:I,"X")&gt;0,10%,0)</f>
        <v>0</v>
      </c>
      <c r="M2328" s="34">
        <f t="shared" si="72"/>
        <v>0</v>
      </c>
      <c r="N2328" s="17">
        <f t="shared" si="73"/>
        <v>1776</v>
      </c>
    </row>
    <row r="2329" spans="1:14" x14ac:dyDescent="0.25">
      <c r="A2329" s="14" t="s">
        <v>2457</v>
      </c>
      <c r="B2329" s="14" t="s">
        <v>122</v>
      </c>
      <c r="C2329" s="15" t="s">
        <v>2459</v>
      </c>
      <c r="D2329" s="14" t="s">
        <v>1745</v>
      </c>
      <c r="E2329" s="14" t="s">
        <v>1747</v>
      </c>
      <c r="F2329" s="17" t="s">
        <v>2994</v>
      </c>
      <c r="G2329" s="14">
        <v>1500</v>
      </c>
      <c r="H2329" s="14">
        <v>1200</v>
      </c>
      <c r="I2329" s="31">
        <f>IF(COUNTIFS(Addendum!C:C,A2329,Addendum!D:D,IF(ISNUMBER(B2329),TEXT(B2329,"0000"),B2329),Addendum!E:E,"X")&gt;0,4%,0)</f>
        <v>0</v>
      </c>
      <c r="J2329" s="31">
        <f>IF(COUNTIFS(Addendum!C:C,A2329,Addendum!D:D,IF(ISNUMBER(B2329),TEXT(B2329,"0000"),B2329),Addendum!F:F,"X")&gt;0,2.5%,0)</f>
        <v>0</v>
      </c>
      <c r="K2329" s="31">
        <f>IF(COUNTIFS(Addendum!C:C,A2329,Addendum!D:D,IF(ISNUMBER(B2329),TEXT(B2329,"0000"),B2329),Addendum!G:G,"X")&gt;0,7%,0)</f>
        <v>0</v>
      </c>
      <c r="L2329" s="31">
        <f>IF(COUNTIFS(Addendum!C:C,A2329,Addendum!D:D,IF(ISNUMBER(B2329),TEXT(B2329,"0000"),B2329),Addendum!I:I,"X")&gt;0,10%,0)</f>
        <v>0</v>
      </c>
      <c r="M2329" s="34">
        <f t="shared" si="72"/>
        <v>0</v>
      </c>
      <c r="N2329" s="17">
        <f t="shared" si="73"/>
        <v>1200</v>
      </c>
    </row>
    <row r="2330" spans="1:14" x14ac:dyDescent="0.25">
      <c r="A2330" s="14" t="s">
        <v>2457</v>
      </c>
      <c r="B2330" s="14" t="s">
        <v>363</v>
      </c>
      <c r="C2330" s="15" t="s">
        <v>2461</v>
      </c>
      <c r="D2330" s="14" t="s">
        <v>1749</v>
      </c>
      <c r="E2330" s="14" t="s">
        <v>1746</v>
      </c>
      <c r="F2330" s="17" t="s">
        <v>2993</v>
      </c>
      <c r="G2330" s="14">
        <v>300</v>
      </c>
      <c r="H2330" s="14">
        <v>240</v>
      </c>
      <c r="I2330" s="31">
        <f>IF(COUNTIFS(Addendum!C:C,A2330,Addendum!D:D,IF(ISNUMBER(B2330),TEXT(B2330,"0000"),B2330),Addendum!E:E,"X")&gt;0,4%,0)</f>
        <v>0</v>
      </c>
      <c r="J2330" s="31">
        <f>IF(COUNTIFS(Addendum!C:C,A2330,Addendum!D:D,IF(ISNUMBER(B2330),TEXT(B2330,"0000"),B2330),Addendum!F:F,"X")&gt;0,2.5%,0)</f>
        <v>0</v>
      </c>
      <c r="K2330" s="31">
        <f>IF(COUNTIFS(Addendum!C:C,A2330,Addendum!D:D,IF(ISNUMBER(B2330),TEXT(B2330,"0000"),B2330),Addendum!G:G,"X")&gt;0,7%,0)</f>
        <v>0</v>
      </c>
      <c r="L2330" s="31">
        <f>IF(COUNTIFS(Addendum!C:C,A2330,Addendum!D:D,IF(ISNUMBER(B2330),TEXT(B2330,"0000"),B2330),Addendum!I:I,"X")&gt;0,10%,0)</f>
        <v>0</v>
      </c>
      <c r="M2330" s="34">
        <f t="shared" si="72"/>
        <v>0</v>
      </c>
      <c r="N2330" s="17">
        <f t="shared" si="73"/>
        <v>240</v>
      </c>
    </row>
    <row r="2331" spans="1:14" x14ac:dyDescent="0.25">
      <c r="A2331" s="14" t="s">
        <v>2457</v>
      </c>
      <c r="B2331" s="14" t="s">
        <v>39</v>
      </c>
      <c r="C2331" s="15" t="s">
        <v>2460</v>
      </c>
      <c r="D2331" s="14" t="s">
        <v>1745</v>
      </c>
      <c r="E2331" s="14" t="s">
        <v>1747</v>
      </c>
      <c r="F2331" s="17" t="s">
        <v>2993</v>
      </c>
      <c r="G2331" s="14">
        <v>3420</v>
      </c>
      <c r="H2331" s="14">
        <v>2736</v>
      </c>
      <c r="I2331" s="31">
        <f>IF(COUNTIFS(Addendum!C:C,A2331,Addendum!D:D,IF(ISNUMBER(B2331),TEXT(B2331,"0000"),B2331),Addendum!E:E,"X")&gt;0,4%,0)</f>
        <v>0</v>
      </c>
      <c r="J2331" s="31">
        <f>IF(COUNTIFS(Addendum!C:C,A2331,Addendum!D:D,IF(ISNUMBER(B2331),TEXT(B2331,"0000"),B2331),Addendum!F:F,"X")&gt;0,2.5%,0)</f>
        <v>0</v>
      </c>
      <c r="K2331" s="31">
        <f>IF(COUNTIFS(Addendum!C:C,A2331,Addendum!D:D,IF(ISNUMBER(B2331),TEXT(B2331,"0000"),B2331),Addendum!G:G,"X")&gt;0,7%,0)</f>
        <v>0</v>
      </c>
      <c r="L2331" s="31">
        <f>IF(COUNTIFS(Addendum!C:C,A2331,Addendum!D:D,IF(ISNUMBER(B2331),TEXT(B2331,"0000"),B2331),Addendum!I:I,"X")&gt;0,10%,0)</f>
        <v>0</v>
      </c>
      <c r="M2331" s="34">
        <f t="shared" si="72"/>
        <v>0</v>
      </c>
      <c r="N2331" s="17">
        <f t="shared" si="73"/>
        <v>2736</v>
      </c>
    </row>
    <row r="2332" spans="1:14" x14ac:dyDescent="0.25">
      <c r="A2332" s="14" t="s">
        <v>2457</v>
      </c>
      <c r="B2332" s="14" t="s">
        <v>39</v>
      </c>
      <c r="C2332" s="15" t="s">
        <v>2460</v>
      </c>
      <c r="D2332" s="14" t="s">
        <v>1745</v>
      </c>
      <c r="E2332" s="14" t="s">
        <v>1746</v>
      </c>
      <c r="F2332" s="17" t="s">
        <v>2993</v>
      </c>
      <c r="G2332" s="14">
        <v>3591</v>
      </c>
      <c r="H2332" s="14">
        <v>2872.8</v>
      </c>
      <c r="I2332" s="31">
        <f>IF(COUNTIFS(Addendum!C:C,A2332,Addendum!D:D,IF(ISNUMBER(B2332),TEXT(B2332,"0000"),B2332),Addendum!E:E,"X")&gt;0,4%,0)</f>
        <v>0</v>
      </c>
      <c r="J2332" s="31">
        <f>IF(COUNTIFS(Addendum!C:C,A2332,Addendum!D:D,IF(ISNUMBER(B2332),TEXT(B2332,"0000"),B2332),Addendum!F:F,"X")&gt;0,2.5%,0)</f>
        <v>0</v>
      </c>
      <c r="K2332" s="31">
        <f>IF(COUNTIFS(Addendum!C:C,A2332,Addendum!D:D,IF(ISNUMBER(B2332),TEXT(B2332,"0000"),B2332),Addendum!G:G,"X")&gt;0,7%,0)</f>
        <v>0</v>
      </c>
      <c r="L2332" s="31">
        <f>IF(COUNTIFS(Addendum!C:C,A2332,Addendum!D:D,IF(ISNUMBER(B2332),TEXT(B2332,"0000"),B2332),Addendum!I:I,"X")&gt;0,10%,0)</f>
        <v>0</v>
      </c>
      <c r="M2332" s="34">
        <f t="shared" si="72"/>
        <v>0</v>
      </c>
      <c r="N2332" s="17">
        <f t="shared" si="73"/>
        <v>2872.8</v>
      </c>
    </row>
    <row r="2333" spans="1:14" x14ac:dyDescent="0.25">
      <c r="A2333" s="14" t="s">
        <v>2457</v>
      </c>
      <c r="B2333" s="14">
        <v>1</v>
      </c>
      <c r="C2333" s="15" t="s">
        <v>2458</v>
      </c>
      <c r="D2333" s="14" t="s">
        <v>1745</v>
      </c>
      <c r="E2333" s="14" t="s">
        <v>1746</v>
      </c>
      <c r="F2333" s="17" t="s">
        <v>2993</v>
      </c>
      <c r="G2333" s="14">
        <v>5229</v>
      </c>
      <c r="H2333" s="14">
        <v>4183.2</v>
      </c>
      <c r="I2333" s="31">
        <f>IF(COUNTIFS(Addendum!C:C,A2333,Addendum!D:D,IF(ISNUMBER(B2333),TEXT(B2333,"0000"),B2333),Addendum!E:E,"X")&gt;0,4%,0)</f>
        <v>0</v>
      </c>
      <c r="J2333" s="31">
        <f>IF(COUNTIFS(Addendum!C:C,A2333,Addendum!D:D,IF(ISNUMBER(B2333),TEXT(B2333,"0000"),B2333),Addendum!F:F,"X")&gt;0,2.5%,0)</f>
        <v>0</v>
      </c>
      <c r="K2333" s="31">
        <f>IF(COUNTIFS(Addendum!C:C,A2333,Addendum!D:D,IF(ISNUMBER(B2333),TEXT(B2333,"0000"),B2333),Addendum!G:G,"X")&gt;0,7%,0)</f>
        <v>0</v>
      </c>
      <c r="L2333" s="31">
        <f>IF(COUNTIFS(Addendum!C:C,A2333,Addendum!D:D,IF(ISNUMBER(B2333),TEXT(B2333,"0000"),B2333),Addendum!I:I,"X")&gt;0,10%,0)</f>
        <v>0</v>
      </c>
      <c r="M2333" s="34">
        <f t="shared" si="72"/>
        <v>0</v>
      </c>
      <c r="N2333" s="17">
        <f t="shared" si="73"/>
        <v>4183.2</v>
      </c>
    </row>
    <row r="2334" spans="1:14" x14ac:dyDescent="0.25">
      <c r="A2334" s="14" t="s">
        <v>2457</v>
      </c>
      <c r="B2334" s="14" t="s">
        <v>363</v>
      </c>
      <c r="C2334" s="15" t="s">
        <v>2461</v>
      </c>
      <c r="D2334" s="14" t="s">
        <v>1745</v>
      </c>
      <c r="E2334" s="14" t="s">
        <v>1747</v>
      </c>
      <c r="F2334" s="17" t="s">
        <v>2993</v>
      </c>
      <c r="G2334" s="14">
        <v>3000</v>
      </c>
      <c r="H2334" s="14">
        <v>2400</v>
      </c>
      <c r="I2334" s="31">
        <f>IF(COUNTIFS(Addendum!C:C,A2334,Addendum!D:D,IF(ISNUMBER(B2334),TEXT(B2334,"0000"),B2334),Addendum!E:E,"X")&gt;0,4%,0)</f>
        <v>0</v>
      </c>
      <c r="J2334" s="31">
        <f>IF(COUNTIFS(Addendum!C:C,A2334,Addendum!D:D,IF(ISNUMBER(B2334),TEXT(B2334,"0000"),B2334),Addendum!F:F,"X")&gt;0,2.5%,0)</f>
        <v>0</v>
      </c>
      <c r="K2334" s="31">
        <f>IF(COUNTIFS(Addendum!C:C,A2334,Addendum!D:D,IF(ISNUMBER(B2334),TEXT(B2334,"0000"),B2334),Addendum!G:G,"X")&gt;0,7%,0)</f>
        <v>0</v>
      </c>
      <c r="L2334" s="31">
        <f>IF(COUNTIFS(Addendum!C:C,A2334,Addendum!D:D,IF(ISNUMBER(B2334),TEXT(B2334,"0000"),B2334),Addendum!I:I,"X")&gt;0,10%,0)</f>
        <v>0</v>
      </c>
      <c r="M2334" s="34">
        <f t="shared" si="72"/>
        <v>0</v>
      </c>
      <c r="N2334" s="17">
        <f t="shared" si="73"/>
        <v>2400</v>
      </c>
    </row>
    <row r="2335" spans="1:14" x14ac:dyDescent="0.25">
      <c r="A2335" s="14" t="s">
        <v>2457</v>
      </c>
      <c r="B2335" s="14" t="s">
        <v>363</v>
      </c>
      <c r="C2335" s="15" t="s">
        <v>2461</v>
      </c>
      <c r="D2335" s="14" t="s">
        <v>1752</v>
      </c>
      <c r="E2335" s="14" t="s">
        <v>1747</v>
      </c>
      <c r="F2335" s="17" t="s">
        <v>2993</v>
      </c>
      <c r="G2335" s="14">
        <v>9000</v>
      </c>
      <c r="H2335" s="14">
        <v>7200</v>
      </c>
      <c r="I2335" s="31">
        <f>IF(COUNTIFS(Addendum!C:C,A2335,Addendum!D:D,IF(ISNUMBER(B2335),TEXT(B2335,"0000"),B2335),Addendum!E:E,"X")&gt;0,4%,0)</f>
        <v>0</v>
      </c>
      <c r="J2335" s="31">
        <f>IF(COUNTIFS(Addendum!C:C,A2335,Addendum!D:D,IF(ISNUMBER(B2335),TEXT(B2335,"0000"),B2335),Addendum!F:F,"X")&gt;0,2.5%,0)</f>
        <v>0</v>
      </c>
      <c r="K2335" s="31">
        <f>IF(COUNTIFS(Addendum!C:C,A2335,Addendum!D:D,IF(ISNUMBER(B2335),TEXT(B2335,"0000"),B2335),Addendum!G:G,"X")&gt;0,7%,0)</f>
        <v>0</v>
      </c>
      <c r="L2335" s="31">
        <f>IF(COUNTIFS(Addendum!C:C,A2335,Addendum!D:D,IF(ISNUMBER(B2335),TEXT(B2335,"0000"),B2335),Addendum!I:I,"X")&gt;0,10%,0)</f>
        <v>0</v>
      </c>
      <c r="M2335" s="34">
        <f t="shared" si="72"/>
        <v>0</v>
      </c>
      <c r="N2335" s="17">
        <f t="shared" si="73"/>
        <v>7200</v>
      </c>
    </row>
    <row r="2336" spans="1:14" x14ac:dyDescent="0.25">
      <c r="A2336" s="14" t="s">
        <v>2457</v>
      </c>
      <c r="B2336" s="14" t="s">
        <v>122</v>
      </c>
      <c r="C2336" s="15" t="s">
        <v>2459</v>
      </c>
      <c r="D2336" s="14" t="s">
        <v>1745</v>
      </c>
      <c r="E2336" s="14" t="s">
        <v>1746</v>
      </c>
      <c r="F2336" s="17" t="s">
        <v>2994</v>
      </c>
      <c r="G2336" s="14">
        <v>1575</v>
      </c>
      <c r="H2336" s="14">
        <v>1260</v>
      </c>
      <c r="I2336" s="31">
        <f>IF(COUNTIFS(Addendum!C:C,A2336,Addendum!D:D,IF(ISNUMBER(B2336),TEXT(B2336,"0000"),B2336),Addendum!E:E,"X")&gt;0,4%,0)</f>
        <v>0</v>
      </c>
      <c r="J2336" s="31">
        <f>IF(COUNTIFS(Addendum!C:C,A2336,Addendum!D:D,IF(ISNUMBER(B2336),TEXT(B2336,"0000"),B2336),Addendum!F:F,"X")&gt;0,2.5%,0)</f>
        <v>0</v>
      </c>
      <c r="K2336" s="31">
        <f>IF(COUNTIFS(Addendum!C:C,A2336,Addendum!D:D,IF(ISNUMBER(B2336),TEXT(B2336,"0000"),B2336),Addendum!G:G,"X")&gt;0,7%,0)</f>
        <v>0</v>
      </c>
      <c r="L2336" s="31">
        <f>IF(COUNTIFS(Addendum!C:C,A2336,Addendum!D:D,IF(ISNUMBER(B2336),TEXT(B2336,"0000"),B2336),Addendum!I:I,"X")&gt;0,10%,0)</f>
        <v>0</v>
      </c>
      <c r="M2336" s="34">
        <f t="shared" si="72"/>
        <v>0</v>
      </c>
      <c r="N2336" s="17">
        <f t="shared" si="73"/>
        <v>1260</v>
      </c>
    </row>
    <row r="2337" spans="1:14" x14ac:dyDescent="0.25">
      <c r="A2337" s="14" t="s">
        <v>2457</v>
      </c>
      <c r="B2337" s="14" t="s">
        <v>46</v>
      </c>
      <c r="C2337" s="15" t="s">
        <v>2462</v>
      </c>
      <c r="D2337" s="14" t="s">
        <v>1745</v>
      </c>
      <c r="E2337" s="14" t="s">
        <v>1747</v>
      </c>
      <c r="F2337" s="17" t="s">
        <v>2995</v>
      </c>
      <c r="G2337" s="14">
        <v>1980</v>
      </c>
      <c r="H2337" s="14">
        <v>1782</v>
      </c>
      <c r="I2337" s="31">
        <f>IF(COUNTIFS(Addendum!C:C,A2337,Addendum!D:D,IF(ISNUMBER(B2337),TEXT(B2337,"0000"),B2337),Addendum!E:E,"X")&gt;0,4%,0)</f>
        <v>0</v>
      </c>
      <c r="J2337" s="31">
        <f>IF(COUNTIFS(Addendum!C:C,A2337,Addendum!D:D,IF(ISNUMBER(B2337),TEXT(B2337,"0000"),B2337),Addendum!F:F,"X")&gt;0,2.5%,0)</f>
        <v>0</v>
      </c>
      <c r="K2337" s="31">
        <f>IF(COUNTIFS(Addendum!C:C,A2337,Addendum!D:D,IF(ISNUMBER(B2337),TEXT(B2337,"0000"),B2337),Addendum!G:G,"X")&gt;0,7%,0)</f>
        <v>0</v>
      </c>
      <c r="L2337" s="31">
        <f>IF(COUNTIFS(Addendum!C:C,A2337,Addendum!D:D,IF(ISNUMBER(B2337),TEXT(B2337,"0000"),B2337),Addendum!I:I,"X")&gt;0,10%,0)</f>
        <v>0</v>
      </c>
      <c r="M2337" s="34">
        <f t="shared" si="72"/>
        <v>0</v>
      </c>
      <c r="N2337" s="17">
        <f t="shared" si="73"/>
        <v>1782</v>
      </c>
    </row>
    <row r="2338" spans="1:14" x14ac:dyDescent="0.25">
      <c r="A2338" s="14" t="s">
        <v>643</v>
      </c>
      <c r="B2338" s="14">
        <v>7</v>
      </c>
      <c r="C2338" s="15" t="s">
        <v>2464</v>
      </c>
      <c r="D2338" s="14" t="s">
        <v>1749</v>
      </c>
      <c r="E2338" s="14" t="s">
        <v>1746</v>
      </c>
      <c r="F2338" s="17" t="s">
        <v>2995</v>
      </c>
      <c r="G2338" s="14">
        <v>480</v>
      </c>
      <c r="H2338" s="14">
        <v>432</v>
      </c>
      <c r="I2338" s="31">
        <f>IF(COUNTIFS(Addendum!C:C,A2338,Addendum!D:D,IF(ISNUMBER(B2338),TEXT(B2338,"0000"),B2338),Addendum!E:E,"X")&gt;0,4%,0)</f>
        <v>0.04</v>
      </c>
      <c r="J2338" s="31">
        <f>IF(COUNTIFS(Addendum!C:C,A2338,Addendum!D:D,IF(ISNUMBER(B2338),TEXT(B2338,"0000"),B2338),Addendum!F:F,"X")&gt;0,2.5%,0)</f>
        <v>0</v>
      </c>
      <c r="K2338" s="31">
        <f>IF(COUNTIFS(Addendum!C:C,A2338,Addendum!D:D,IF(ISNUMBER(B2338),TEXT(B2338,"0000"),B2338),Addendum!G:G,"X")&gt;0,7%,0)</f>
        <v>7.0000000000000007E-2</v>
      </c>
      <c r="L2338" s="31">
        <f>IF(COUNTIFS(Addendum!C:C,A2338,Addendum!D:D,IF(ISNUMBER(B2338),TEXT(B2338,"0000"),B2338),Addendum!I:I,"X")&gt;0,10%,0)</f>
        <v>0.1</v>
      </c>
      <c r="M2338" s="34">
        <f t="shared" si="72"/>
        <v>0.03</v>
      </c>
      <c r="N2338" s="17">
        <f t="shared" si="73"/>
        <v>419.04</v>
      </c>
    </row>
    <row r="2339" spans="1:14" x14ac:dyDescent="0.25">
      <c r="A2339" s="14" t="s">
        <v>643</v>
      </c>
      <c r="B2339" s="14">
        <v>1</v>
      </c>
      <c r="C2339" s="15" t="s">
        <v>838</v>
      </c>
      <c r="D2339" s="14" t="s">
        <v>1745</v>
      </c>
      <c r="E2339" s="14" t="s">
        <v>1747</v>
      </c>
      <c r="F2339" s="17" t="s">
        <v>2993</v>
      </c>
      <c r="G2339" s="14">
        <v>12000</v>
      </c>
      <c r="H2339" s="14">
        <v>9600</v>
      </c>
      <c r="I2339" s="31">
        <f>IF(COUNTIFS(Addendum!C:C,A2339,Addendum!D:D,IF(ISNUMBER(B2339),TEXT(B2339,"0000"),B2339),Addendum!E:E,"X")&gt;0,4%,0)</f>
        <v>0.04</v>
      </c>
      <c r="J2339" s="31">
        <f>IF(COUNTIFS(Addendum!C:C,A2339,Addendum!D:D,IF(ISNUMBER(B2339),TEXT(B2339,"0000"),B2339),Addendum!F:F,"X")&gt;0,2.5%,0)</f>
        <v>0</v>
      </c>
      <c r="K2339" s="31">
        <f>IF(COUNTIFS(Addendum!C:C,A2339,Addendum!D:D,IF(ISNUMBER(B2339),TEXT(B2339,"0000"),B2339),Addendum!G:G,"X")&gt;0,7%,0)</f>
        <v>7.0000000000000007E-2</v>
      </c>
      <c r="L2339" s="31">
        <f>IF(COUNTIFS(Addendum!C:C,A2339,Addendum!D:D,IF(ISNUMBER(B2339),TEXT(B2339,"0000"),B2339),Addendum!I:I,"X")&gt;0,10%,0)</f>
        <v>0.1</v>
      </c>
      <c r="M2339" s="34">
        <f t="shared" si="72"/>
        <v>0.14000000000000001</v>
      </c>
      <c r="N2339" s="17">
        <f t="shared" si="73"/>
        <v>8256</v>
      </c>
    </row>
    <row r="2340" spans="1:14" x14ac:dyDescent="0.25">
      <c r="A2340" s="14" t="s">
        <v>643</v>
      </c>
      <c r="B2340" s="14" t="s">
        <v>20</v>
      </c>
      <c r="C2340" s="15" t="s">
        <v>2465</v>
      </c>
      <c r="D2340" s="14" t="s">
        <v>1752</v>
      </c>
      <c r="E2340" s="14" t="s">
        <v>1753</v>
      </c>
      <c r="F2340" s="17" t="s">
        <v>2993</v>
      </c>
      <c r="G2340" s="14">
        <v>36000</v>
      </c>
      <c r="H2340" s="14">
        <v>28800</v>
      </c>
      <c r="I2340" s="31">
        <f>IF(COUNTIFS(Addendum!C:C,A2340,Addendum!D:D,IF(ISNUMBER(B2340),TEXT(B2340,"0000"),B2340),Addendum!E:E,"X")&gt;0,4%,0)</f>
        <v>0.04</v>
      </c>
      <c r="J2340" s="31">
        <f>IF(COUNTIFS(Addendum!C:C,A2340,Addendum!D:D,IF(ISNUMBER(B2340),TEXT(B2340,"0000"),B2340),Addendum!F:F,"X")&gt;0,2.5%,0)</f>
        <v>0</v>
      </c>
      <c r="K2340" s="31">
        <f>IF(COUNTIFS(Addendum!C:C,A2340,Addendum!D:D,IF(ISNUMBER(B2340),TEXT(B2340,"0000"),B2340),Addendum!G:G,"X")&gt;0,7%,0)</f>
        <v>7.0000000000000007E-2</v>
      </c>
      <c r="L2340" s="31">
        <f>IF(COUNTIFS(Addendum!C:C,A2340,Addendum!D:D,IF(ISNUMBER(B2340),TEXT(B2340,"0000"),B2340),Addendum!I:I,"X")&gt;0,10%,0)</f>
        <v>0.1</v>
      </c>
      <c r="M2340" s="34">
        <f t="shared" si="72"/>
        <v>0.14000000000000001</v>
      </c>
      <c r="N2340" s="17">
        <f t="shared" si="73"/>
        <v>24768</v>
      </c>
    </row>
    <row r="2341" spans="1:14" x14ac:dyDescent="0.25">
      <c r="A2341" s="14" t="s">
        <v>643</v>
      </c>
      <c r="B2341" s="14">
        <v>1</v>
      </c>
      <c r="C2341" s="15" t="s">
        <v>838</v>
      </c>
      <c r="D2341" s="14" t="s">
        <v>1745</v>
      </c>
      <c r="E2341" s="14" t="s">
        <v>1746</v>
      </c>
      <c r="F2341" s="17" t="s">
        <v>2993</v>
      </c>
      <c r="G2341" s="14">
        <v>12600</v>
      </c>
      <c r="H2341" s="14">
        <v>10080</v>
      </c>
      <c r="I2341" s="31">
        <f>IF(COUNTIFS(Addendum!C:C,A2341,Addendum!D:D,IF(ISNUMBER(B2341),TEXT(B2341,"0000"),B2341),Addendum!E:E,"X")&gt;0,4%,0)</f>
        <v>0.04</v>
      </c>
      <c r="J2341" s="31">
        <f>IF(COUNTIFS(Addendum!C:C,A2341,Addendum!D:D,IF(ISNUMBER(B2341),TEXT(B2341,"0000"),B2341),Addendum!F:F,"X")&gt;0,2.5%,0)</f>
        <v>0</v>
      </c>
      <c r="K2341" s="31">
        <f>IF(COUNTIFS(Addendum!C:C,A2341,Addendum!D:D,IF(ISNUMBER(B2341),TEXT(B2341,"0000"),B2341),Addendum!G:G,"X")&gt;0,7%,0)</f>
        <v>7.0000000000000007E-2</v>
      </c>
      <c r="L2341" s="31">
        <f>IF(COUNTIFS(Addendum!C:C,A2341,Addendum!D:D,IF(ISNUMBER(B2341),TEXT(B2341,"0000"),B2341),Addendum!I:I,"X")&gt;0,10%,0)</f>
        <v>0.1</v>
      </c>
      <c r="M2341" s="34">
        <f t="shared" si="72"/>
        <v>0.03</v>
      </c>
      <c r="N2341" s="17">
        <f t="shared" si="73"/>
        <v>9777.6</v>
      </c>
    </row>
    <row r="2342" spans="1:14" x14ac:dyDescent="0.25">
      <c r="A2342" s="14" t="s">
        <v>643</v>
      </c>
      <c r="B2342" s="14">
        <v>7</v>
      </c>
      <c r="C2342" s="15" t="s">
        <v>2464</v>
      </c>
      <c r="D2342" s="14" t="s">
        <v>1745</v>
      </c>
      <c r="E2342" s="14" t="s">
        <v>1747</v>
      </c>
      <c r="F2342" s="17" t="s">
        <v>2995</v>
      </c>
      <c r="G2342" s="14">
        <v>4800</v>
      </c>
      <c r="H2342" s="14">
        <v>4320</v>
      </c>
      <c r="I2342" s="31">
        <f>IF(COUNTIFS(Addendum!C:C,A2342,Addendum!D:D,IF(ISNUMBER(B2342),TEXT(B2342,"0000"),B2342),Addendum!E:E,"X")&gt;0,4%,0)</f>
        <v>0.04</v>
      </c>
      <c r="J2342" s="31">
        <f>IF(COUNTIFS(Addendum!C:C,A2342,Addendum!D:D,IF(ISNUMBER(B2342),TEXT(B2342,"0000"),B2342),Addendum!F:F,"X")&gt;0,2.5%,0)</f>
        <v>0</v>
      </c>
      <c r="K2342" s="31">
        <f>IF(COUNTIFS(Addendum!C:C,A2342,Addendum!D:D,IF(ISNUMBER(B2342),TEXT(B2342,"0000"),B2342),Addendum!G:G,"X")&gt;0,7%,0)</f>
        <v>7.0000000000000007E-2</v>
      </c>
      <c r="L2342" s="31">
        <f>IF(COUNTIFS(Addendum!C:C,A2342,Addendum!D:D,IF(ISNUMBER(B2342),TEXT(B2342,"0000"),B2342),Addendum!I:I,"X")&gt;0,10%,0)</f>
        <v>0.1</v>
      </c>
      <c r="M2342" s="34">
        <f t="shared" si="72"/>
        <v>0.14000000000000001</v>
      </c>
      <c r="N2342" s="17">
        <f t="shared" si="73"/>
        <v>3715.2</v>
      </c>
    </row>
    <row r="2343" spans="1:14" x14ac:dyDescent="0.25">
      <c r="A2343" s="14" t="s">
        <v>643</v>
      </c>
      <c r="B2343" s="14">
        <v>7</v>
      </c>
      <c r="C2343" s="15" t="s">
        <v>2464</v>
      </c>
      <c r="D2343" s="14" t="s">
        <v>1745</v>
      </c>
      <c r="E2343" s="14" t="s">
        <v>1746</v>
      </c>
      <c r="F2343" s="17" t="s">
        <v>2995</v>
      </c>
      <c r="G2343" s="14">
        <v>5040</v>
      </c>
      <c r="H2343" s="14">
        <v>4536</v>
      </c>
      <c r="I2343" s="31">
        <f>IF(COUNTIFS(Addendum!C:C,A2343,Addendum!D:D,IF(ISNUMBER(B2343),TEXT(B2343,"0000"),B2343),Addendum!E:E,"X")&gt;0,4%,0)</f>
        <v>0.04</v>
      </c>
      <c r="J2343" s="31">
        <f>IF(COUNTIFS(Addendum!C:C,A2343,Addendum!D:D,IF(ISNUMBER(B2343),TEXT(B2343,"0000"),B2343),Addendum!F:F,"X")&gt;0,2.5%,0)</f>
        <v>0</v>
      </c>
      <c r="K2343" s="31">
        <f>IF(COUNTIFS(Addendum!C:C,A2343,Addendum!D:D,IF(ISNUMBER(B2343),TEXT(B2343,"0000"),B2343),Addendum!G:G,"X")&gt;0,7%,0)</f>
        <v>7.0000000000000007E-2</v>
      </c>
      <c r="L2343" s="31">
        <f>IF(COUNTIFS(Addendum!C:C,A2343,Addendum!D:D,IF(ISNUMBER(B2343),TEXT(B2343,"0000"),B2343),Addendum!I:I,"X")&gt;0,10%,0)</f>
        <v>0.1</v>
      </c>
      <c r="M2343" s="34">
        <f t="shared" si="72"/>
        <v>0.03</v>
      </c>
      <c r="N2343" s="17">
        <f t="shared" si="73"/>
        <v>4399.92</v>
      </c>
    </row>
    <row r="2344" spans="1:14" x14ac:dyDescent="0.25">
      <c r="A2344" s="14" t="s">
        <v>643</v>
      </c>
      <c r="B2344" s="14">
        <v>1</v>
      </c>
      <c r="C2344" s="15" t="s">
        <v>838</v>
      </c>
      <c r="D2344" s="14" t="s">
        <v>1749</v>
      </c>
      <c r="E2344" s="14" t="s">
        <v>1746</v>
      </c>
      <c r="F2344" s="17" t="s">
        <v>2993</v>
      </c>
      <c r="G2344" s="14">
        <v>1200</v>
      </c>
      <c r="H2344" s="14">
        <v>960</v>
      </c>
      <c r="I2344" s="31">
        <f>IF(COUNTIFS(Addendum!C:C,A2344,Addendum!D:D,IF(ISNUMBER(B2344),TEXT(B2344,"0000"),B2344),Addendum!E:E,"X")&gt;0,4%,0)</f>
        <v>0.04</v>
      </c>
      <c r="J2344" s="31">
        <f>IF(COUNTIFS(Addendum!C:C,A2344,Addendum!D:D,IF(ISNUMBER(B2344),TEXT(B2344,"0000"),B2344),Addendum!F:F,"X")&gt;0,2.5%,0)</f>
        <v>0</v>
      </c>
      <c r="K2344" s="31">
        <f>IF(COUNTIFS(Addendum!C:C,A2344,Addendum!D:D,IF(ISNUMBER(B2344),TEXT(B2344,"0000"),B2344),Addendum!G:G,"X")&gt;0,7%,0)</f>
        <v>7.0000000000000007E-2</v>
      </c>
      <c r="L2344" s="31">
        <f>IF(COUNTIFS(Addendum!C:C,A2344,Addendum!D:D,IF(ISNUMBER(B2344),TEXT(B2344,"0000"),B2344),Addendum!I:I,"X")&gt;0,10%,0)</f>
        <v>0.1</v>
      </c>
      <c r="M2344" s="34">
        <f t="shared" si="72"/>
        <v>0.03</v>
      </c>
      <c r="N2344" s="17">
        <f t="shared" si="73"/>
        <v>931.2</v>
      </c>
    </row>
    <row r="2345" spans="1:14" x14ac:dyDescent="0.25">
      <c r="A2345" s="14" t="s">
        <v>643</v>
      </c>
      <c r="B2345" s="14">
        <v>7</v>
      </c>
      <c r="C2345" s="15" t="s">
        <v>2464</v>
      </c>
      <c r="D2345" s="14" t="s">
        <v>1752</v>
      </c>
      <c r="E2345" s="14" t="s">
        <v>1753</v>
      </c>
      <c r="F2345" s="17" t="s">
        <v>2995</v>
      </c>
      <c r="G2345" s="14">
        <v>14400</v>
      </c>
      <c r="H2345" s="14">
        <v>12960</v>
      </c>
      <c r="I2345" s="31">
        <f>IF(COUNTIFS(Addendum!C:C,A2345,Addendum!D:D,IF(ISNUMBER(B2345),TEXT(B2345,"0000"),B2345),Addendum!E:E,"X")&gt;0,4%,0)</f>
        <v>0.04</v>
      </c>
      <c r="J2345" s="31">
        <f>IF(COUNTIFS(Addendum!C:C,A2345,Addendum!D:D,IF(ISNUMBER(B2345),TEXT(B2345,"0000"),B2345),Addendum!F:F,"X")&gt;0,2.5%,0)</f>
        <v>0</v>
      </c>
      <c r="K2345" s="31">
        <f>IF(COUNTIFS(Addendum!C:C,A2345,Addendum!D:D,IF(ISNUMBER(B2345),TEXT(B2345,"0000"),B2345),Addendum!G:G,"X")&gt;0,7%,0)</f>
        <v>7.0000000000000007E-2</v>
      </c>
      <c r="L2345" s="31">
        <f>IF(COUNTIFS(Addendum!C:C,A2345,Addendum!D:D,IF(ISNUMBER(B2345),TEXT(B2345,"0000"),B2345),Addendum!I:I,"X")&gt;0,10%,0)</f>
        <v>0.1</v>
      </c>
      <c r="M2345" s="34">
        <f t="shared" si="72"/>
        <v>0.14000000000000001</v>
      </c>
      <c r="N2345" s="17">
        <f t="shared" si="73"/>
        <v>11145.6</v>
      </c>
    </row>
    <row r="2346" spans="1:14" x14ac:dyDescent="0.25">
      <c r="A2346" s="14" t="s">
        <v>643</v>
      </c>
      <c r="B2346" s="14" t="s">
        <v>20</v>
      </c>
      <c r="C2346" s="15" t="s">
        <v>2465</v>
      </c>
      <c r="D2346" s="14" t="s">
        <v>1752</v>
      </c>
      <c r="E2346" s="14" t="s">
        <v>1747</v>
      </c>
      <c r="F2346" s="17" t="s">
        <v>2993</v>
      </c>
      <c r="G2346" s="14">
        <v>36000</v>
      </c>
      <c r="H2346" s="14">
        <v>28800</v>
      </c>
      <c r="I2346" s="31">
        <f>IF(COUNTIFS(Addendum!C:C,A2346,Addendum!D:D,IF(ISNUMBER(B2346),TEXT(B2346,"0000"),B2346),Addendum!E:E,"X")&gt;0,4%,0)</f>
        <v>0.04</v>
      </c>
      <c r="J2346" s="31">
        <f>IF(COUNTIFS(Addendum!C:C,A2346,Addendum!D:D,IF(ISNUMBER(B2346),TEXT(B2346,"0000"),B2346),Addendum!F:F,"X")&gt;0,2.5%,0)</f>
        <v>0</v>
      </c>
      <c r="K2346" s="31">
        <f>IF(COUNTIFS(Addendum!C:C,A2346,Addendum!D:D,IF(ISNUMBER(B2346),TEXT(B2346,"0000"),B2346),Addendum!G:G,"X")&gt;0,7%,0)</f>
        <v>7.0000000000000007E-2</v>
      </c>
      <c r="L2346" s="31">
        <f>IF(COUNTIFS(Addendum!C:C,A2346,Addendum!D:D,IF(ISNUMBER(B2346),TEXT(B2346,"0000"),B2346),Addendum!I:I,"X")&gt;0,10%,0)</f>
        <v>0.1</v>
      </c>
      <c r="M2346" s="34">
        <f t="shared" si="72"/>
        <v>0.14000000000000001</v>
      </c>
      <c r="N2346" s="17">
        <f t="shared" si="73"/>
        <v>24768</v>
      </c>
    </row>
    <row r="2347" spans="1:14" x14ac:dyDescent="0.25">
      <c r="A2347" s="14" t="s">
        <v>283</v>
      </c>
      <c r="B2347" s="14">
        <v>8</v>
      </c>
      <c r="C2347" s="15" t="s">
        <v>2466</v>
      </c>
      <c r="D2347" s="14" t="s">
        <v>1745</v>
      </c>
      <c r="E2347" s="14" t="s">
        <v>1746</v>
      </c>
      <c r="F2347" s="17" t="s">
        <v>2994</v>
      </c>
      <c r="G2347" s="14">
        <v>3465</v>
      </c>
      <c r="H2347" s="14">
        <v>2772</v>
      </c>
      <c r="I2347" s="31">
        <f>IF(COUNTIFS(Addendum!C:C,A2347,Addendum!D:D,IF(ISNUMBER(B2347),TEXT(B2347,"0000"),B2347),Addendum!E:E,"X")&gt;0,4%,0)</f>
        <v>0.04</v>
      </c>
      <c r="J2347" s="31">
        <f>IF(COUNTIFS(Addendum!C:C,A2347,Addendum!D:D,IF(ISNUMBER(B2347),TEXT(B2347,"0000"),B2347),Addendum!F:F,"X")&gt;0,2.5%,0)</f>
        <v>0</v>
      </c>
      <c r="K2347" s="31">
        <f>IF(COUNTIFS(Addendum!C:C,A2347,Addendum!D:D,IF(ISNUMBER(B2347),TEXT(B2347,"0000"),B2347),Addendum!G:G,"X")&gt;0,7%,0)</f>
        <v>7.0000000000000007E-2</v>
      </c>
      <c r="L2347" s="31">
        <f>IF(COUNTIFS(Addendum!C:C,A2347,Addendum!D:D,IF(ISNUMBER(B2347),TEXT(B2347,"0000"),B2347),Addendum!I:I,"X")&gt;0,10%,0)</f>
        <v>0.1</v>
      </c>
      <c r="M2347" s="34">
        <f t="shared" si="72"/>
        <v>0.03</v>
      </c>
      <c r="N2347" s="17">
        <f t="shared" si="73"/>
        <v>2688.84</v>
      </c>
    </row>
    <row r="2348" spans="1:14" x14ac:dyDescent="0.25">
      <c r="A2348" s="14" t="s">
        <v>283</v>
      </c>
      <c r="B2348" s="14">
        <v>9</v>
      </c>
      <c r="C2348" s="15" t="s">
        <v>2467</v>
      </c>
      <c r="D2348" s="14" t="s">
        <v>1749</v>
      </c>
      <c r="E2348" s="14" t="s">
        <v>1746</v>
      </c>
      <c r="F2348" s="17" t="s">
        <v>2994</v>
      </c>
      <c r="G2348" s="14">
        <v>282</v>
      </c>
      <c r="H2348" s="14">
        <v>225.6</v>
      </c>
      <c r="I2348" s="31">
        <f>IF(COUNTIFS(Addendum!C:C,A2348,Addendum!D:D,IF(ISNUMBER(B2348),TEXT(B2348,"0000"),B2348),Addendum!E:E,"X")&gt;0,4%,0)</f>
        <v>0.04</v>
      </c>
      <c r="J2348" s="31">
        <f>IF(COUNTIFS(Addendum!C:C,A2348,Addendum!D:D,IF(ISNUMBER(B2348),TEXT(B2348,"0000"),B2348),Addendum!F:F,"X")&gt;0,2.5%,0)</f>
        <v>0</v>
      </c>
      <c r="K2348" s="31">
        <f>IF(COUNTIFS(Addendum!C:C,A2348,Addendum!D:D,IF(ISNUMBER(B2348),TEXT(B2348,"0000"),B2348),Addendum!G:G,"X")&gt;0,7%,0)</f>
        <v>7.0000000000000007E-2</v>
      </c>
      <c r="L2348" s="31">
        <f>IF(COUNTIFS(Addendum!C:C,A2348,Addendum!D:D,IF(ISNUMBER(B2348),TEXT(B2348,"0000"),B2348),Addendum!I:I,"X")&gt;0,10%,0)</f>
        <v>0.1</v>
      </c>
      <c r="M2348" s="34">
        <f t="shared" si="72"/>
        <v>0.03</v>
      </c>
      <c r="N2348" s="17">
        <f t="shared" si="73"/>
        <v>218.83199999999999</v>
      </c>
    </row>
    <row r="2349" spans="1:14" x14ac:dyDescent="0.25">
      <c r="A2349" s="14" t="s">
        <v>283</v>
      </c>
      <c r="B2349" s="14">
        <v>7</v>
      </c>
      <c r="C2349" s="15" t="s">
        <v>2468</v>
      </c>
      <c r="D2349" s="14" t="s">
        <v>1745</v>
      </c>
      <c r="E2349" s="14" t="s">
        <v>1747</v>
      </c>
      <c r="F2349" s="17" t="s">
        <v>2994</v>
      </c>
      <c r="G2349" s="14">
        <v>0</v>
      </c>
      <c r="H2349" s="14">
        <v>0</v>
      </c>
      <c r="I2349" s="31">
        <f>IF(COUNTIFS(Addendum!C:C,A2349,Addendum!D:D,IF(ISNUMBER(B2349),TEXT(B2349,"0000"),B2349),Addendum!E:E,"X")&gt;0,4%,0)</f>
        <v>0.04</v>
      </c>
      <c r="J2349" s="31">
        <f>IF(COUNTIFS(Addendum!C:C,A2349,Addendum!D:D,IF(ISNUMBER(B2349),TEXT(B2349,"0000"),B2349),Addendum!F:F,"X")&gt;0,2.5%,0)</f>
        <v>0</v>
      </c>
      <c r="K2349" s="31">
        <f>IF(COUNTIFS(Addendum!C:C,A2349,Addendum!D:D,IF(ISNUMBER(B2349),TEXT(B2349,"0000"),B2349),Addendum!G:G,"X")&gt;0,7%,0)</f>
        <v>7.0000000000000007E-2</v>
      </c>
      <c r="L2349" s="31">
        <f>IF(COUNTIFS(Addendum!C:C,A2349,Addendum!D:D,IF(ISNUMBER(B2349),TEXT(B2349,"0000"),B2349),Addendum!I:I,"X")&gt;0,10%,0)</f>
        <v>0.1</v>
      </c>
      <c r="M2349" s="34">
        <f t="shared" si="72"/>
        <v>0.14000000000000001</v>
      </c>
      <c r="N2349" s="17">
        <f t="shared" si="73"/>
        <v>0</v>
      </c>
    </row>
    <row r="2350" spans="1:14" x14ac:dyDescent="0.25">
      <c r="A2350" s="14" t="s">
        <v>283</v>
      </c>
      <c r="B2350" s="14">
        <v>8</v>
      </c>
      <c r="C2350" s="15" t="s">
        <v>2466</v>
      </c>
      <c r="D2350" s="14" t="s">
        <v>1745</v>
      </c>
      <c r="E2350" s="14" t="s">
        <v>1747</v>
      </c>
      <c r="F2350" s="17" t="s">
        <v>2994</v>
      </c>
      <c r="G2350" s="14">
        <v>3300</v>
      </c>
      <c r="H2350" s="14">
        <v>2640</v>
      </c>
      <c r="I2350" s="31">
        <f>IF(COUNTIFS(Addendum!C:C,A2350,Addendum!D:D,IF(ISNUMBER(B2350),TEXT(B2350,"0000"),B2350),Addendum!E:E,"X")&gt;0,4%,0)</f>
        <v>0.04</v>
      </c>
      <c r="J2350" s="31">
        <f>IF(COUNTIFS(Addendum!C:C,A2350,Addendum!D:D,IF(ISNUMBER(B2350),TEXT(B2350,"0000"),B2350),Addendum!F:F,"X")&gt;0,2.5%,0)</f>
        <v>0</v>
      </c>
      <c r="K2350" s="31">
        <f>IF(COUNTIFS(Addendum!C:C,A2350,Addendum!D:D,IF(ISNUMBER(B2350),TEXT(B2350,"0000"),B2350),Addendum!G:G,"X")&gt;0,7%,0)</f>
        <v>7.0000000000000007E-2</v>
      </c>
      <c r="L2350" s="31">
        <f>IF(COUNTIFS(Addendum!C:C,A2350,Addendum!D:D,IF(ISNUMBER(B2350),TEXT(B2350,"0000"),B2350),Addendum!I:I,"X")&gt;0,10%,0)</f>
        <v>0.1</v>
      </c>
      <c r="M2350" s="34">
        <f t="shared" si="72"/>
        <v>0.14000000000000001</v>
      </c>
      <c r="N2350" s="17">
        <f t="shared" si="73"/>
        <v>2270.4</v>
      </c>
    </row>
    <row r="2351" spans="1:14" x14ac:dyDescent="0.25">
      <c r="A2351" s="14" t="s">
        <v>283</v>
      </c>
      <c r="B2351" s="14">
        <v>7</v>
      </c>
      <c r="C2351" s="15" t="s">
        <v>2468</v>
      </c>
      <c r="D2351" s="14" t="s">
        <v>1745</v>
      </c>
      <c r="E2351" s="14" t="s">
        <v>1746</v>
      </c>
      <c r="F2351" s="17" t="s">
        <v>2994</v>
      </c>
      <c r="G2351" s="14">
        <v>0</v>
      </c>
      <c r="H2351" s="14">
        <v>0</v>
      </c>
      <c r="I2351" s="31">
        <f>IF(COUNTIFS(Addendum!C:C,A2351,Addendum!D:D,IF(ISNUMBER(B2351),TEXT(B2351,"0000"),B2351),Addendum!E:E,"X")&gt;0,4%,0)</f>
        <v>0.04</v>
      </c>
      <c r="J2351" s="31">
        <f>IF(COUNTIFS(Addendum!C:C,A2351,Addendum!D:D,IF(ISNUMBER(B2351),TEXT(B2351,"0000"),B2351),Addendum!F:F,"X")&gt;0,2.5%,0)</f>
        <v>0</v>
      </c>
      <c r="K2351" s="31">
        <f>IF(COUNTIFS(Addendum!C:C,A2351,Addendum!D:D,IF(ISNUMBER(B2351),TEXT(B2351,"0000"),B2351),Addendum!G:G,"X")&gt;0,7%,0)</f>
        <v>7.0000000000000007E-2</v>
      </c>
      <c r="L2351" s="31">
        <f>IF(COUNTIFS(Addendum!C:C,A2351,Addendum!D:D,IF(ISNUMBER(B2351),TEXT(B2351,"0000"),B2351),Addendum!I:I,"X")&gt;0,10%,0)</f>
        <v>0.1</v>
      </c>
      <c r="M2351" s="34">
        <f t="shared" si="72"/>
        <v>0.03</v>
      </c>
      <c r="N2351" s="17">
        <f t="shared" si="73"/>
        <v>0</v>
      </c>
    </row>
    <row r="2352" spans="1:14" x14ac:dyDescent="0.25">
      <c r="A2352" s="14" t="s">
        <v>283</v>
      </c>
      <c r="B2352" s="14">
        <v>9</v>
      </c>
      <c r="C2352" s="15" t="s">
        <v>2467</v>
      </c>
      <c r="D2352" s="14" t="s">
        <v>1745</v>
      </c>
      <c r="E2352" s="14" t="s">
        <v>1746</v>
      </c>
      <c r="F2352" s="17" t="s">
        <v>2994</v>
      </c>
      <c r="G2352" s="14">
        <v>2961</v>
      </c>
      <c r="H2352" s="14">
        <v>2368.8000000000002</v>
      </c>
      <c r="I2352" s="31">
        <f>IF(COUNTIFS(Addendum!C:C,A2352,Addendum!D:D,IF(ISNUMBER(B2352),TEXT(B2352,"0000"),B2352),Addendum!E:E,"X")&gt;0,4%,0)</f>
        <v>0.04</v>
      </c>
      <c r="J2352" s="31">
        <f>IF(COUNTIFS(Addendum!C:C,A2352,Addendum!D:D,IF(ISNUMBER(B2352),TEXT(B2352,"0000"),B2352),Addendum!F:F,"X")&gt;0,2.5%,0)</f>
        <v>0</v>
      </c>
      <c r="K2352" s="31">
        <f>IF(COUNTIFS(Addendum!C:C,A2352,Addendum!D:D,IF(ISNUMBER(B2352),TEXT(B2352,"0000"),B2352),Addendum!G:G,"X")&gt;0,7%,0)</f>
        <v>7.0000000000000007E-2</v>
      </c>
      <c r="L2352" s="31">
        <f>IF(COUNTIFS(Addendum!C:C,A2352,Addendum!D:D,IF(ISNUMBER(B2352),TEXT(B2352,"0000"),B2352),Addendum!I:I,"X")&gt;0,10%,0)</f>
        <v>0.1</v>
      </c>
      <c r="M2352" s="34">
        <f t="shared" si="72"/>
        <v>0.03</v>
      </c>
      <c r="N2352" s="17">
        <f t="shared" si="73"/>
        <v>2297.7360000000003</v>
      </c>
    </row>
    <row r="2353" spans="1:14" x14ac:dyDescent="0.25">
      <c r="A2353" s="14" t="s">
        <v>283</v>
      </c>
      <c r="B2353" s="14">
        <v>9</v>
      </c>
      <c r="C2353" s="15" t="s">
        <v>2467</v>
      </c>
      <c r="D2353" s="14" t="s">
        <v>1745</v>
      </c>
      <c r="E2353" s="14" t="s">
        <v>1747</v>
      </c>
      <c r="F2353" s="17" t="s">
        <v>2994</v>
      </c>
      <c r="G2353" s="14">
        <v>2820</v>
      </c>
      <c r="H2353" s="14">
        <v>2256</v>
      </c>
      <c r="I2353" s="31">
        <f>IF(COUNTIFS(Addendum!C:C,A2353,Addendum!D:D,IF(ISNUMBER(B2353),TEXT(B2353,"0000"),B2353),Addendum!E:E,"X")&gt;0,4%,0)</f>
        <v>0.04</v>
      </c>
      <c r="J2353" s="31">
        <f>IF(COUNTIFS(Addendum!C:C,A2353,Addendum!D:D,IF(ISNUMBER(B2353),TEXT(B2353,"0000"),B2353),Addendum!F:F,"X")&gt;0,2.5%,0)</f>
        <v>0</v>
      </c>
      <c r="K2353" s="31">
        <f>IF(COUNTIFS(Addendum!C:C,A2353,Addendum!D:D,IF(ISNUMBER(B2353),TEXT(B2353,"0000"),B2353),Addendum!G:G,"X")&gt;0,7%,0)</f>
        <v>7.0000000000000007E-2</v>
      </c>
      <c r="L2353" s="31">
        <f>IF(COUNTIFS(Addendum!C:C,A2353,Addendum!D:D,IF(ISNUMBER(B2353),TEXT(B2353,"0000"),B2353),Addendum!I:I,"X")&gt;0,10%,0)</f>
        <v>0.1</v>
      </c>
      <c r="M2353" s="34">
        <f t="shared" si="72"/>
        <v>0.14000000000000001</v>
      </c>
      <c r="N2353" s="17">
        <f t="shared" si="73"/>
        <v>1940.1599999999999</v>
      </c>
    </row>
    <row r="2354" spans="1:14" x14ac:dyDescent="0.25">
      <c r="A2354" s="14" t="s">
        <v>283</v>
      </c>
      <c r="B2354" s="14">
        <v>7</v>
      </c>
      <c r="C2354" s="15" t="s">
        <v>2468</v>
      </c>
      <c r="D2354" s="14" t="s">
        <v>1749</v>
      </c>
      <c r="E2354" s="14" t="s">
        <v>1746</v>
      </c>
      <c r="F2354" s="17" t="s">
        <v>2994</v>
      </c>
      <c r="G2354" s="14">
        <v>0</v>
      </c>
      <c r="H2354" s="14">
        <v>0</v>
      </c>
      <c r="I2354" s="31">
        <f>IF(COUNTIFS(Addendum!C:C,A2354,Addendum!D:D,IF(ISNUMBER(B2354),TEXT(B2354,"0000"),B2354),Addendum!E:E,"X")&gt;0,4%,0)</f>
        <v>0.04</v>
      </c>
      <c r="J2354" s="31">
        <f>IF(COUNTIFS(Addendum!C:C,A2354,Addendum!D:D,IF(ISNUMBER(B2354),TEXT(B2354,"0000"),B2354),Addendum!F:F,"X")&gt;0,2.5%,0)</f>
        <v>0</v>
      </c>
      <c r="K2354" s="31">
        <f>IF(COUNTIFS(Addendum!C:C,A2354,Addendum!D:D,IF(ISNUMBER(B2354),TEXT(B2354,"0000"),B2354),Addendum!G:G,"X")&gt;0,7%,0)</f>
        <v>7.0000000000000007E-2</v>
      </c>
      <c r="L2354" s="31">
        <f>IF(COUNTIFS(Addendum!C:C,A2354,Addendum!D:D,IF(ISNUMBER(B2354),TEXT(B2354,"0000"),B2354),Addendum!I:I,"X")&gt;0,10%,0)</f>
        <v>0.1</v>
      </c>
      <c r="M2354" s="34">
        <f t="shared" si="72"/>
        <v>0.03</v>
      </c>
      <c r="N2354" s="17">
        <f t="shared" si="73"/>
        <v>0</v>
      </c>
    </row>
    <row r="2355" spans="1:14" x14ac:dyDescent="0.25">
      <c r="A2355" s="14" t="s">
        <v>283</v>
      </c>
      <c r="B2355" s="14">
        <v>8</v>
      </c>
      <c r="C2355" s="15" t="s">
        <v>2466</v>
      </c>
      <c r="D2355" s="14" t="s">
        <v>1749</v>
      </c>
      <c r="E2355" s="14" t="s">
        <v>1746</v>
      </c>
      <c r="F2355" s="17" t="s">
        <v>2994</v>
      </c>
      <c r="G2355" s="14">
        <v>330</v>
      </c>
      <c r="H2355" s="14">
        <v>264</v>
      </c>
      <c r="I2355" s="31">
        <f>IF(COUNTIFS(Addendum!C:C,A2355,Addendum!D:D,IF(ISNUMBER(B2355),TEXT(B2355,"0000"),B2355),Addendum!E:E,"X")&gt;0,4%,0)</f>
        <v>0.04</v>
      </c>
      <c r="J2355" s="31">
        <f>IF(COUNTIFS(Addendum!C:C,A2355,Addendum!D:D,IF(ISNUMBER(B2355),TEXT(B2355,"0000"),B2355),Addendum!F:F,"X")&gt;0,2.5%,0)</f>
        <v>0</v>
      </c>
      <c r="K2355" s="31">
        <f>IF(COUNTIFS(Addendum!C:C,A2355,Addendum!D:D,IF(ISNUMBER(B2355),TEXT(B2355,"0000"),B2355),Addendum!G:G,"X")&gt;0,7%,0)</f>
        <v>7.0000000000000007E-2</v>
      </c>
      <c r="L2355" s="31">
        <f>IF(COUNTIFS(Addendum!C:C,A2355,Addendum!D:D,IF(ISNUMBER(B2355),TEXT(B2355,"0000"),B2355),Addendum!I:I,"X")&gt;0,10%,0)</f>
        <v>0.1</v>
      </c>
      <c r="M2355" s="34">
        <f t="shared" si="72"/>
        <v>0.03</v>
      </c>
      <c r="N2355" s="17">
        <f t="shared" si="73"/>
        <v>256.08</v>
      </c>
    </row>
    <row r="2356" spans="1:14" x14ac:dyDescent="0.25">
      <c r="A2356" s="14" t="s">
        <v>860</v>
      </c>
      <c r="B2356" s="14">
        <v>16</v>
      </c>
      <c r="C2356" s="15" t="s">
        <v>873</v>
      </c>
      <c r="D2356" s="14" t="s">
        <v>1745</v>
      </c>
      <c r="E2356" s="14" t="s">
        <v>1746</v>
      </c>
      <c r="F2356" s="17" t="s">
        <v>2993</v>
      </c>
      <c r="G2356" s="14">
        <v>2079</v>
      </c>
      <c r="H2356" s="14">
        <v>1663.2</v>
      </c>
      <c r="I2356" s="31">
        <f>IF(COUNTIFS(Addendum!C:C,A2356,Addendum!D:D,IF(ISNUMBER(B2356),TEXT(B2356,"0000"),B2356),Addendum!E:E,"X")&gt;0,4%,0)</f>
        <v>0.04</v>
      </c>
      <c r="J2356" s="31">
        <f>IF(COUNTIFS(Addendum!C:C,A2356,Addendum!D:D,IF(ISNUMBER(B2356),TEXT(B2356,"0000"),B2356),Addendum!F:F,"X")&gt;0,2.5%,0)</f>
        <v>0</v>
      </c>
      <c r="K2356" s="31">
        <f>IF(COUNTIFS(Addendum!C:C,A2356,Addendum!D:D,IF(ISNUMBER(B2356),TEXT(B2356,"0000"),B2356),Addendum!G:G,"X")&gt;0,7%,0)</f>
        <v>0</v>
      </c>
      <c r="L2356" s="31">
        <f>IF(COUNTIFS(Addendum!C:C,A2356,Addendum!D:D,IF(ISNUMBER(B2356),TEXT(B2356,"0000"),B2356),Addendum!I:I,"X")&gt;0,10%,0)</f>
        <v>0</v>
      </c>
      <c r="M2356" s="34">
        <f t="shared" si="72"/>
        <v>0.01</v>
      </c>
      <c r="N2356" s="17">
        <f t="shared" si="73"/>
        <v>1646.568</v>
      </c>
    </row>
    <row r="2357" spans="1:14" x14ac:dyDescent="0.25">
      <c r="A2357" s="14" t="s">
        <v>860</v>
      </c>
      <c r="B2357" s="14">
        <v>6</v>
      </c>
      <c r="C2357" s="15" t="s">
        <v>2469</v>
      </c>
      <c r="D2357" s="14" t="s">
        <v>1745</v>
      </c>
      <c r="E2357" s="14" t="s">
        <v>1747</v>
      </c>
      <c r="F2357" s="17" t="s">
        <v>2995</v>
      </c>
      <c r="G2357" s="14">
        <v>499.2</v>
      </c>
      <c r="H2357" s="14">
        <v>449.28</v>
      </c>
      <c r="I2357" s="31">
        <f>IF(COUNTIFS(Addendum!C:C,A2357,Addendum!D:D,IF(ISNUMBER(B2357),TEXT(B2357,"0000"),B2357),Addendum!E:E,"X")&gt;0,4%,0)</f>
        <v>0.04</v>
      </c>
      <c r="J2357" s="31">
        <f>IF(COUNTIFS(Addendum!C:C,A2357,Addendum!D:D,IF(ISNUMBER(B2357),TEXT(B2357,"0000"),B2357),Addendum!F:F,"X")&gt;0,2.5%,0)</f>
        <v>0</v>
      </c>
      <c r="K2357" s="31">
        <f>IF(COUNTIFS(Addendum!C:C,A2357,Addendum!D:D,IF(ISNUMBER(B2357),TEXT(B2357,"0000"),B2357),Addendum!G:G,"X")&gt;0,7%,0)</f>
        <v>0</v>
      </c>
      <c r="L2357" s="31">
        <f>IF(COUNTIFS(Addendum!C:C,A2357,Addendum!D:D,IF(ISNUMBER(B2357),TEXT(B2357,"0000"),B2357),Addendum!I:I,"X")&gt;0,10%,0)</f>
        <v>0</v>
      </c>
      <c r="M2357" s="34">
        <f t="shared" si="72"/>
        <v>0.03</v>
      </c>
      <c r="N2357" s="17">
        <f t="shared" si="73"/>
        <v>435.80159999999995</v>
      </c>
    </row>
    <row r="2358" spans="1:14" x14ac:dyDescent="0.25">
      <c r="A2358" s="14" t="s">
        <v>860</v>
      </c>
      <c r="B2358" s="14">
        <v>5</v>
      </c>
      <c r="C2358" s="15" t="s">
        <v>869</v>
      </c>
      <c r="D2358" s="14" t="s">
        <v>1745</v>
      </c>
      <c r="E2358" s="14" t="s">
        <v>1746</v>
      </c>
      <c r="F2358" s="17" t="s">
        <v>2993</v>
      </c>
      <c r="G2358" s="14">
        <v>2079</v>
      </c>
      <c r="H2358" s="14">
        <v>1663.2</v>
      </c>
      <c r="I2358" s="31">
        <f>IF(COUNTIFS(Addendum!C:C,A2358,Addendum!D:D,IF(ISNUMBER(B2358),TEXT(B2358,"0000"),B2358),Addendum!E:E,"X")&gt;0,4%,0)</f>
        <v>0.04</v>
      </c>
      <c r="J2358" s="31">
        <f>IF(COUNTIFS(Addendum!C:C,A2358,Addendum!D:D,IF(ISNUMBER(B2358),TEXT(B2358,"0000"),B2358),Addendum!F:F,"X")&gt;0,2.5%,0)</f>
        <v>0</v>
      </c>
      <c r="K2358" s="31">
        <f>IF(COUNTIFS(Addendum!C:C,A2358,Addendum!D:D,IF(ISNUMBER(B2358),TEXT(B2358,"0000"),B2358),Addendum!G:G,"X")&gt;0,7%,0)</f>
        <v>0</v>
      </c>
      <c r="L2358" s="31">
        <f>IF(COUNTIFS(Addendum!C:C,A2358,Addendum!D:D,IF(ISNUMBER(B2358),TEXT(B2358,"0000"),B2358),Addendum!I:I,"X")&gt;0,10%,0)</f>
        <v>0</v>
      </c>
      <c r="M2358" s="34">
        <f t="shared" si="72"/>
        <v>0.01</v>
      </c>
      <c r="N2358" s="17">
        <f t="shared" si="73"/>
        <v>1646.568</v>
      </c>
    </row>
    <row r="2359" spans="1:14" x14ac:dyDescent="0.25">
      <c r="A2359" s="14" t="s">
        <v>860</v>
      </c>
      <c r="B2359" s="14">
        <v>9</v>
      </c>
      <c r="C2359" s="15" t="s">
        <v>2470</v>
      </c>
      <c r="D2359" s="14" t="s">
        <v>1745</v>
      </c>
      <c r="E2359" s="14" t="s">
        <v>1746</v>
      </c>
      <c r="F2359" s="17" t="s">
        <v>2994</v>
      </c>
      <c r="G2359" s="14">
        <v>471.72</v>
      </c>
      <c r="H2359" s="14">
        <v>377.4</v>
      </c>
      <c r="I2359" s="31">
        <f>IF(COUNTIFS(Addendum!C:C,A2359,Addendum!D:D,IF(ISNUMBER(B2359),TEXT(B2359,"0000"),B2359),Addendum!E:E,"X")&gt;0,4%,0)</f>
        <v>0.04</v>
      </c>
      <c r="J2359" s="31">
        <f>IF(COUNTIFS(Addendum!C:C,A2359,Addendum!D:D,IF(ISNUMBER(B2359),TEXT(B2359,"0000"),B2359),Addendum!F:F,"X")&gt;0,2.5%,0)</f>
        <v>0</v>
      </c>
      <c r="K2359" s="31">
        <f>IF(COUNTIFS(Addendum!C:C,A2359,Addendum!D:D,IF(ISNUMBER(B2359),TEXT(B2359,"0000"),B2359),Addendum!G:G,"X")&gt;0,7%,0)</f>
        <v>0</v>
      </c>
      <c r="L2359" s="31">
        <f>IF(COUNTIFS(Addendum!C:C,A2359,Addendum!D:D,IF(ISNUMBER(B2359),TEXT(B2359,"0000"),B2359),Addendum!I:I,"X")&gt;0,10%,0)</f>
        <v>0</v>
      </c>
      <c r="M2359" s="34">
        <f t="shared" si="72"/>
        <v>0.01</v>
      </c>
      <c r="N2359" s="17">
        <f t="shared" si="73"/>
        <v>373.62599999999998</v>
      </c>
    </row>
    <row r="2360" spans="1:14" x14ac:dyDescent="0.25">
      <c r="A2360" s="14" t="s">
        <v>860</v>
      </c>
      <c r="B2360" s="14">
        <v>9</v>
      </c>
      <c r="C2360" s="15" t="s">
        <v>2470</v>
      </c>
      <c r="D2360" s="14" t="s">
        <v>1749</v>
      </c>
      <c r="E2360" s="14" t="s">
        <v>1746</v>
      </c>
      <c r="F2360" s="17" t="s">
        <v>2994</v>
      </c>
      <c r="G2360" s="14">
        <v>44.93</v>
      </c>
      <c r="H2360" s="14">
        <v>35.94</v>
      </c>
      <c r="I2360" s="31">
        <f>IF(COUNTIFS(Addendum!C:C,A2360,Addendum!D:D,IF(ISNUMBER(B2360),TEXT(B2360,"0000"),B2360),Addendum!E:E,"X")&gt;0,4%,0)</f>
        <v>0.04</v>
      </c>
      <c r="J2360" s="31">
        <f>IF(COUNTIFS(Addendum!C:C,A2360,Addendum!D:D,IF(ISNUMBER(B2360),TEXT(B2360,"0000"),B2360),Addendum!F:F,"X")&gt;0,2.5%,0)</f>
        <v>0</v>
      </c>
      <c r="K2360" s="31">
        <f>IF(COUNTIFS(Addendum!C:C,A2360,Addendum!D:D,IF(ISNUMBER(B2360),TEXT(B2360,"0000"),B2360),Addendum!G:G,"X")&gt;0,7%,0)</f>
        <v>0</v>
      </c>
      <c r="L2360" s="31">
        <f>IF(COUNTIFS(Addendum!C:C,A2360,Addendum!D:D,IF(ISNUMBER(B2360),TEXT(B2360,"0000"),B2360),Addendum!I:I,"X")&gt;0,10%,0)</f>
        <v>0</v>
      </c>
      <c r="M2360" s="34">
        <f t="shared" si="72"/>
        <v>0.01</v>
      </c>
      <c r="N2360" s="17">
        <f t="shared" si="73"/>
        <v>35.580599999999997</v>
      </c>
    </row>
    <row r="2361" spans="1:14" x14ac:dyDescent="0.25">
      <c r="A2361" s="14" t="s">
        <v>860</v>
      </c>
      <c r="B2361" s="14">
        <v>8</v>
      </c>
      <c r="C2361" s="15" t="s">
        <v>2471</v>
      </c>
      <c r="D2361" s="14" t="s">
        <v>1749</v>
      </c>
      <c r="E2361" s="14" t="s">
        <v>1746</v>
      </c>
      <c r="F2361" s="17" t="s">
        <v>2994</v>
      </c>
      <c r="G2361" s="14">
        <v>59.9</v>
      </c>
      <c r="H2361" s="14">
        <v>47.92</v>
      </c>
      <c r="I2361" s="31">
        <f>IF(COUNTIFS(Addendum!C:C,A2361,Addendum!D:D,IF(ISNUMBER(B2361),TEXT(B2361,"0000"),B2361),Addendum!E:E,"X")&gt;0,4%,0)</f>
        <v>0.04</v>
      </c>
      <c r="J2361" s="31">
        <f>IF(COUNTIFS(Addendum!C:C,A2361,Addendum!D:D,IF(ISNUMBER(B2361),TEXT(B2361,"0000"),B2361),Addendum!F:F,"X")&gt;0,2.5%,0)</f>
        <v>0</v>
      </c>
      <c r="K2361" s="31">
        <f>IF(COUNTIFS(Addendum!C:C,A2361,Addendum!D:D,IF(ISNUMBER(B2361),TEXT(B2361,"0000"),B2361),Addendum!G:G,"X")&gt;0,7%,0)</f>
        <v>0</v>
      </c>
      <c r="L2361" s="31">
        <f>IF(COUNTIFS(Addendum!C:C,A2361,Addendum!D:D,IF(ISNUMBER(B2361),TEXT(B2361,"0000"),B2361),Addendum!I:I,"X")&gt;0,10%,0)</f>
        <v>0</v>
      </c>
      <c r="M2361" s="34">
        <f t="shared" si="72"/>
        <v>0.01</v>
      </c>
      <c r="N2361" s="17">
        <f t="shared" si="73"/>
        <v>47.440800000000003</v>
      </c>
    </row>
    <row r="2362" spans="1:14" x14ac:dyDescent="0.25">
      <c r="A2362" s="14" t="s">
        <v>860</v>
      </c>
      <c r="B2362" s="14" t="s">
        <v>16</v>
      </c>
      <c r="C2362" s="15" t="s">
        <v>2472</v>
      </c>
      <c r="D2362" s="14" t="s">
        <v>1749</v>
      </c>
      <c r="E2362" s="14" t="s">
        <v>1746</v>
      </c>
      <c r="F2362" s="17" t="s">
        <v>2994</v>
      </c>
      <c r="G2362" s="14">
        <v>29.95</v>
      </c>
      <c r="H2362" s="14">
        <v>23.96</v>
      </c>
      <c r="I2362" s="31">
        <f>IF(COUNTIFS(Addendum!C:C,A2362,Addendum!D:D,IF(ISNUMBER(B2362),TEXT(B2362,"0000"),B2362),Addendum!E:E,"X")&gt;0,4%,0)</f>
        <v>0.04</v>
      </c>
      <c r="J2362" s="31">
        <f>IF(COUNTIFS(Addendum!C:C,A2362,Addendum!D:D,IF(ISNUMBER(B2362),TEXT(B2362,"0000"),B2362),Addendum!F:F,"X")&gt;0,2.5%,0)</f>
        <v>0</v>
      </c>
      <c r="K2362" s="31">
        <f>IF(COUNTIFS(Addendum!C:C,A2362,Addendum!D:D,IF(ISNUMBER(B2362),TEXT(B2362,"0000"),B2362),Addendum!G:G,"X")&gt;0,7%,0)</f>
        <v>0</v>
      </c>
      <c r="L2362" s="31">
        <f>IF(COUNTIFS(Addendum!C:C,A2362,Addendum!D:D,IF(ISNUMBER(B2362),TEXT(B2362,"0000"),B2362),Addendum!I:I,"X")&gt;0,10%,0)</f>
        <v>0</v>
      </c>
      <c r="M2362" s="34">
        <f t="shared" si="72"/>
        <v>0.01</v>
      </c>
      <c r="N2362" s="17">
        <f t="shared" si="73"/>
        <v>23.720400000000001</v>
      </c>
    </row>
    <row r="2363" spans="1:14" x14ac:dyDescent="0.25">
      <c r="A2363" s="14" t="s">
        <v>860</v>
      </c>
      <c r="B2363" s="14">
        <v>7</v>
      </c>
      <c r="C2363" s="15" t="s">
        <v>2473</v>
      </c>
      <c r="D2363" s="14" t="s">
        <v>1749</v>
      </c>
      <c r="E2363" s="14" t="s">
        <v>1746</v>
      </c>
      <c r="F2363" s="17" t="s">
        <v>2994</v>
      </c>
      <c r="G2363" s="14">
        <v>39.94</v>
      </c>
      <c r="H2363" s="14">
        <v>31.95</v>
      </c>
      <c r="I2363" s="31">
        <f>IF(COUNTIFS(Addendum!C:C,A2363,Addendum!D:D,IF(ISNUMBER(B2363),TEXT(B2363,"0000"),B2363),Addendum!E:E,"X")&gt;0,4%,0)</f>
        <v>0.04</v>
      </c>
      <c r="J2363" s="31">
        <f>IF(COUNTIFS(Addendum!C:C,A2363,Addendum!D:D,IF(ISNUMBER(B2363),TEXT(B2363,"0000"),B2363),Addendum!F:F,"X")&gt;0,2.5%,0)</f>
        <v>0</v>
      </c>
      <c r="K2363" s="31">
        <f>IF(COUNTIFS(Addendum!C:C,A2363,Addendum!D:D,IF(ISNUMBER(B2363),TEXT(B2363,"0000"),B2363),Addendum!G:G,"X")&gt;0,7%,0)</f>
        <v>0</v>
      </c>
      <c r="L2363" s="31">
        <f>IF(COUNTIFS(Addendum!C:C,A2363,Addendum!D:D,IF(ISNUMBER(B2363),TEXT(B2363,"0000"),B2363),Addendum!I:I,"X")&gt;0,10%,0)</f>
        <v>0</v>
      </c>
      <c r="M2363" s="34">
        <f t="shared" si="72"/>
        <v>0.01</v>
      </c>
      <c r="N2363" s="17">
        <f t="shared" si="73"/>
        <v>31.630499999999998</v>
      </c>
    </row>
    <row r="2364" spans="1:14" x14ac:dyDescent="0.25">
      <c r="A2364" s="14" t="s">
        <v>860</v>
      </c>
      <c r="B2364" s="14">
        <v>16</v>
      </c>
      <c r="C2364" s="15" t="s">
        <v>873</v>
      </c>
      <c r="D2364" s="14" t="s">
        <v>1749</v>
      </c>
      <c r="E2364" s="14" t="s">
        <v>1746</v>
      </c>
      <c r="F2364" s="17" t="s">
        <v>2993</v>
      </c>
      <c r="G2364" s="14">
        <v>198</v>
      </c>
      <c r="H2364" s="14">
        <v>158.4</v>
      </c>
      <c r="I2364" s="31">
        <f>IF(COUNTIFS(Addendum!C:C,A2364,Addendum!D:D,IF(ISNUMBER(B2364),TEXT(B2364,"0000"),B2364),Addendum!E:E,"X")&gt;0,4%,0)</f>
        <v>0.04</v>
      </c>
      <c r="J2364" s="31">
        <f>IF(COUNTIFS(Addendum!C:C,A2364,Addendum!D:D,IF(ISNUMBER(B2364),TEXT(B2364,"0000"),B2364),Addendum!F:F,"X")&gt;0,2.5%,0)</f>
        <v>0</v>
      </c>
      <c r="K2364" s="31">
        <f>IF(COUNTIFS(Addendum!C:C,A2364,Addendum!D:D,IF(ISNUMBER(B2364),TEXT(B2364,"0000"),B2364),Addendum!G:G,"X")&gt;0,7%,0)</f>
        <v>0</v>
      </c>
      <c r="L2364" s="31">
        <f>IF(COUNTIFS(Addendum!C:C,A2364,Addendum!D:D,IF(ISNUMBER(B2364),TEXT(B2364,"0000"),B2364),Addendum!I:I,"X")&gt;0,10%,0)</f>
        <v>0</v>
      </c>
      <c r="M2364" s="34">
        <f t="shared" si="72"/>
        <v>0.01</v>
      </c>
      <c r="N2364" s="17">
        <f t="shared" si="73"/>
        <v>156.816</v>
      </c>
    </row>
    <row r="2365" spans="1:14" x14ac:dyDescent="0.25">
      <c r="A2365" s="14" t="s">
        <v>860</v>
      </c>
      <c r="B2365" s="14">
        <v>5</v>
      </c>
      <c r="C2365" s="15" t="s">
        <v>869</v>
      </c>
      <c r="D2365" s="14" t="s">
        <v>1745</v>
      </c>
      <c r="E2365" s="14" t="s">
        <v>1747</v>
      </c>
      <c r="F2365" s="17" t="s">
        <v>2993</v>
      </c>
      <c r="G2365" s="14">
        <v>1980</v>
      </c>
      <c r="H2365" s="14">
        <v>1584</v>
      </c>
      <c r="I2365" s="31">
        <f>IF(COUNTIFS(Addendum!C:C,A2365,Addendum!D:D,IF(ISNUMBER(B2365),TEXT(B2365,"0000"),B2365),Addendum!E:E,"X")&gt;0,4%,0)</f>
        <v>0.04</v>
      </c>
      <c r="J2365" s="31">
        <f>IF(COUNTIFS(Addendum!C:C,A2365,Addendum!D:D,IF(ISNUMBER(B2365),TEXT(B2365,"0000"),B2365),Addendum!F:F,"X")&gt;0,2.5%,0)</f>
        <v>0</v>
      </c>
      <c r="K2365" s="31">
        <f>IF(COUNTIFS(Addendum!C:C,A2365,Addendum!D:D,IF(ISNUMBER(B2365),TEXT(B2365,"0000"),B2365),Addendum!G:G,"X")&gt;0,7%,0)</f>
        <v>0</v>
      </c>
      <c r="L2365" s="31">
        <f>IF(COUNTIFS(Addendum!C:C,A2365,Addendum!D:D,IF(ISNUMBER(B2365),TEXT(B2365,"0000"),B2365),Addendum!I:I,"X")&gt;0,10%,0)</f>
        <v>0</v>
      </c>
      <c r="M2365" s="34">
        <f t="shared" si="72"/>
        <v>0.03</v>
      </c>
      <c r="N2365" s="17">
        <f t="shared" si="73"/>
        <v>1536.48</v>
      </c>
    </row>
    <row r="2366" spans="1:14" x14ac:dyDescent="0.25">
      <c r="A2366" s="14" t="s">
        <v>860</v>
      </c>
      <c r="B2366" s="14">
        <v>15</v>
      </c>
      <c r="C2366" s="15" t="s">
        <v>873</v>
      </c>
      <c r="D2366" s="14" t="s">
        <v>1749</v>
      </c>
      <c r="E2366" s="14" t="s">
        <v>1766</v>
      </c>
      <c r="F2366" s="17" t="s">
        <v>2993</v>
      </c>
      <c r="G2366" s="14">
        <v>0</v>
      </c>
      <c r="H2366" s="14">
        <v>0</v>
      </c>
      <c r="I2366" s="31">
        <f>IF(COUNTIFS(Addendum!C:C,A2366,Addendum!D:D,IF(ISNUMBER(B2366),TEXT(B2366,"0000"),B2366),Addendum!E:E,"X")&gt;0,4%,0)</f>
        <v>0.04</v>
      </c>
      <c r="J2366" s="31">
        <f>IF(COUNTIFS(Addendum!C:C,A2366,Addendum!D:D,IF(ISNUMBER(B2366),TEXT(B2366,"0000"),B2366),Addendum!F:F,"X")&gt;0,2.5%,0)</f>
        <v>0</v>
      </c>
      <c r="K2366" s="31">
        <f>IF(COUNTIFS(Addendum!C:C,A2366,Addendum!D:D,IF(ISNUMBER(B2366),TEXT(B2366,"0000"),B2366),Addendum!G:G,"X")&gt;0,7%,0)</f>
        <v>0</v>
      </c>
      <c r="L2366" s="31">
        <f>IF(COUNTIFS(Addendum!C:C,A2366,Addendum!D:D,IF(ISNUMBER(B2366),TEXT(B2366,"0000"),B2366),Addendum!I:I,"X")&gt;0,10%,0)</f>
        <v>0</v>
      </c>
      <c r="M2366" s="34">
        <f t="shared" si="72"/>
        <v>0.01</v>
      </c>
      <c r="N2366" s="17">
        <f t="shared" si="73"/>
        <v>0</v>
      </c>
    </row>
    <row r="2367" spans="1:14" x14ac:dyDescent="0.25">
      <c r="A2367" s="14" t="s">
        <v>860</v>
      </c>
      <c r="B2367" s="14">
        <v>1</v>
      </c>
      <c r="C2367" s="15" t="s">
        <v>859</v>
      </c>
      <c r="D2367" s="14" t="s">
        <v>1745</v>
      </c>
      <c r="E2367" s="14" t="s">
        <v>1746</v>
      </c>
      <c r="F2367" s="17" t="s">
        <v>2993</v>
      </c>
      <c r="G2367" s="14">
        <v>3150</v>
      </c>
      <c r="H2367" s="14">
        <v>2520</v>
      </c>
      <c r="I2367" s="31">
        <f>IF(COUNTIFS(Addendum!C:C,A2367,Addendum!D:D,IF(ISNUMBER(B2367),TEXT(B2367,"0000"),B2367),Addendum!E:E,"X")&gt;0,4%,0)</f>
        <v>0.04</v>
      </c>
      <c r="J2367" s="31">
        <f>IF(COUNTIFS(Addendum!C:C,A2367,Addendum!D:D,IF(ISNUMBER(B2367),TEXT(B2367,"0000"),B2367),Addendum!F:F,"X")&gt;0,2.5%,0)</f>
        <v>0</v>
      </c>
      <c r="K2367" s="31">
        <f>IF(COUNTIFS(Addendum!C:C,A2367,Addendum!D:D,IF(ISNUMBER(B2367),TEXT(B2367,"0000"),B2367),Addendum!G:G,"X")&gt;0,7%,0)</f>
        <v>0</v>
      </c>
      <c r="L2367" s="31">
        <f>IF(COUNTIFS(Addendum!C:C,A2367,Addendum!D:D,IF(ISNUMBER(B2367),TEXT(B2367,"0000"),B2367),Addendum!I:I,"X")&gt;0,10%,0)</f>
        <v>0</v>
      </c>
      <c r="M2367" s="34">
        <f t="shared" si="72"/>
        <v>0.01</v>
      </c>
      <c r="N2367" s="17">
        <f t="shared" si="73"/>
        <v>2494.8000000000002</v>
      </c>
    </row>
    <row r="2368" spans="1:14" x14ac:dyDescent="0.25">
      <c r="A2368" s="14" t="s">
        <v>860</v>
      </c>
      <c r="B2368" s="14">
        <v>6</v>
      </c>
      <c r="C2368" s="15" t="s">
        <v>2469</v>
      </c>
      <c r="D2368" s="14" t="s">
        <v>1745</v>
      </c>
      <c r="E2368" s="14" t="s">
        <v>1746</v>
      </c>
      <c r="F2368" s="17" t="s">
        <v>2995</v>
      </c>
      <c r="G2368" s="14">
        <v>524.16</v>
      </c>
      <c r="H2368" s="14">
        <v>471.72</v>
      </c>
      <c r="I2368" s="31">
        <f>IF(COUNTIFS(Addendum!C:C,A2368,Addendum!D:D,IF(ISNUMBER(B2368),TEXT(B2368,"0000"),B2368),Addendum!E:E,"X")&gt;0,4%,0)</f>
        <v>0.04</v>
      </c>
      <c r="J2368" s="31">
        <f>IF(COUNTIFS(Addendum!C:C,A2368,Addendum!D:D,IF(ISNUMBER(B2368),TEXT(B2368,"0000"),B2368),Addendum!F:F,"X")&gt;0,2.5%,0)</f>
        <v>0</v>
      </c>
      <c r="K2368" s="31">
        <f>IF(COUNTIFS(Addendum!C:C,A2368,Addendum!D:D,IF(ISNUMBER(B2368),TEXT(B2368,"0000"),B2368),Addendum!G:G,"X")&gt;0,7%,0)</f>
        <v>0</v>
      </c>
      <c r="L2368" s="31">
        <f>IF(COUNTIFS(Addendum!C:C,A2368,Addendum!D:D,IF(ISNUMBER(B2368),TEXT(B2368,"0000"),B2368),Addendum!I:I,"X")&gt;0,10%,0)</f>
        <v>0</v>
      </c>
      <c r="M2368" s="34">
        <f t="shared" si="72"/>
        <v>0.01</v>
      </c>
      <c r="N2368" s="17">
        <f t="shared" si="73"/>
        <v>467.00280000000004</v>
      </c>
    </row>
    <row r="2369" spans="1:14" x14ac:dyDescent="0.25">
      <c r="A2369" s="14" t="s">
        <v>860</v>
      </c>
      <c r="B2369" s="14">
        <v>16</v>
      </c>
      <c r="C2369" s="15" t="s">
        <v>873</v>
      </c>
      <c r="D2369" s="14" t="s">
        <v>1745</v>
      </c>
      <c r="E2369" s="14" t="s">
        <v>1747</v>
      </c>
      <c r="F2369" s="17" t="s">
        <v>2993</v>
      </c>
      <c r="G2369" s="14">
        <v>1980</v>
      </c>
      <c r="H2369" s="14">
        <v>1584</v>
      </c>
      <c r="I2369" s="31">
        <f>IF(COUNTIFS(Addendum!C:C,A2369,Addendum!D:D,IF(ISNUMBER(B2369),TEXT(B2369,"0000"),B2369),Addendum!E:E,"X")&gt;0,4%,0)</f>
        <v>0.04</v>
      </c>
      <c r="J2369" s="31">
        <f>IF(COUNTIFS(Addendum!C:C,A2369,Addendum!D:D,IF(ISNUMBER(B2369),TEXT(B2369,"0000"),B2369),Addendum!F:F,"X")&gt;0,2.5%,0)</f>
        <v>0</v>
      </c>
      <c r="K2369" s="31">
        <f>IF(COUNTIFS(Addendum!C:C,A2369,Addendum!D:D,IF(ISNUMBER(B2369),TEXT(B2369,"0000"),B2369),Addendum!G:G,"X")&gt;0,7%,0)</f>
        <v>0</v>
      </c>
      <c r="L2369" s="31">
        <f>IF(COUNTIFS(Addendum!C:C,A2369,Addendum!D:D,IF(ISNUMBER(B2369),TEXT(B2369,"0000"),B2369),Addendum!I:I,"X")&gt;0,10%,0)</f>
        <v>0</v>
      </c>
      <c r="M2369" s="34">
        <f t="shared" si="72"/>
        <v>0.03</v>
      </c>
      <c r="N2369" s="17">
        <f t="shared" si="73"/>
        <v>1536.48</v>
      </c>
    </row>
    <row r="2370" spans="1:14" x14ac:dyDescent="0.25">
      <c r="A2370" s="14" t="s">
        <v>860</v>
      </c>
      <c r="B2370" s="14">
        <v>1</v>
      </c>
      <c r="C2370" s="15" t="s">
        <v>859</v>
      </c>
      <c r="D2370" s="14" t="s">
        <v>1749</v>
      </c>
      <c r="E2370" s="14" t="s">
        <v>1746</v>
      </c>
      <c r="F2370" s="17" t="s">
        <v>2993</v>
      </c>
      <c r="G2370" s="14">
        <v>300</v>
      </c>
      <c r="H2370" s="14">
        <v>240</v>
      </c>
      <c r="I2370" s="31">
        <f>IF(COUNTIFS(Addendum!C:C,A2370,Addendum!D:D,IF(ISNUMBER(B2370),TEXT(B2370,"0000"),B2370),Addendum!E:E,"X")&gt;0,4%,0)</f>
        <v>0.04</v>
      </c>
      <c r="J2370" s="31">
        <f>IF(COUNTIFS(Addendum!C:C,A2370,Addendum!D:D,IF(ISNUMBER(B2370),TEXT(B2370,"0000"),B2370),Addendum!F:F,"X")&gt;0,2.5%,0)</f>
        <v>0</v>
      </c>
      <c r="K2370" s="31">
        <f>IF(COUNTIFS(Addendum!C:C,A2370,Addendum!D:D,IF(ISNUMBER(B2370),TEXT(B2370,"0000"),B2370),Addendum!G:G,"X")&gt;0,7%,0)</f>
        <v>0</v>
      </c>
      <c r="L2370" s="31">
        <f>IF(COUNTIFS(Addendum!C:C,A2370,Addendum!D:D,IF(ISNUMBER(B2370),TEXT(B2370,"0000"),B2370),Addendum!I:I,"X")&gt;0,10%,0)</f>
        <v>0</v>
      </c>
      <c r="M2370" s="34">
        <f t="shared" si="72"/>
        <v>0.01</v>
      </c>
      <c r="N2370" s="17">
        <f t="shared" si="73"/>
        <v>237.6</v>
      </c>
    </row>
    <row r="2371" spans="1:14" ht="30" x14ac:dyDescent="0.25">
      <c r="A2371" s="14" t="s">
        <v>860</v>
      </c>
      <c r="B2371" s="14" t="s">
        <v>20</v>
      </c>
      <c r="C2371" s="15" t="s">
        <v>2474</v>
      </c>
      <c r="D2371" s="14" t="s">
        <v>1745</v>
      </c>
      <c r="E2371" s="14" t="s">
        <v>1746</v>
      </c>
      <c r="F2371" s="17" t="s">
        <v>2994</v>
      </c>
      <c r="G2371" s="14">
        <v>2079</v>
      </c>
      <c r="H2371" s="14">
        <v>1663.2</v>
      </c>
      <c r="I2371" s="31">
        <f>IF(COUNTIFS(Addendum!C:C,A2371,Addendum!D:D,IF(ISNUMBER(B2371),TEXT(B2371,"0000"),B2371),Addendum!E:E,"X")&gt;0,4%,0)</f>
        <v>0.04</v>
      </c>
      <c r="J2371" s="31">
        <f>IF(COUNTIFS(Addendum!C:C,A2371,Addendum!D:D,IF(ISNUMBER(B2371),TEXT(B2371,"0000"),B2371),Addendum!F:F,"X")&gt;0,2.5%,0)</f>
        <v>0</v>
      </c>
      <c r="K2371" s="31">
        <f>IF(COUNTIFS(Addendum!C:C,A2371,Addendum!D:D,IF(ISNUMBER(B2371),TEXT(B2371,"0000"),B2371),Addendum!G:G,"X")&gt;0,7%,0)</f>
        <v>0</v>
      </c>
      <c r="L2371" s="31">
        <f>IF(COUNTIFS(Addendum!C:C,A2371,Addendum!D:D,IF(ISNUMBER(B2371),TEXT(B2371,"0000"),B2371),Addendum!I:I,"X")&gt;0,10%,0)</f>
        <v>0</v>
      </c>
      <c r="M2371" s="34">
        <f t="shared" si="72"/>
        <v>0.01</v>
      </c>
      <c r="N2371" s="17">
        <f t="shared" si="73"/>
        <v>1646.568</v>
      </c>
    </row>
    <row r="2372" spans="1:14" x14ac:dyDescent="0.25">
      <c r="A2372" s="14" t="s">
        <v>860</v>
      </c>
      <c r="B2372" s="14">
        <v>1</v>
      </c>
      <c r="C2372" s="15" t="s">
        <v>859</v>
      </c>
      <c r="D2372" s="14" t="s">
        <v>1745</v>
      </c>
      <c r="E2372" s="14" t="s">
        <v>1747</v>
      </c>
      <c r="F2372" s="17" t="s">
        <v>2993</v>
      </c>
      <c r="G2372" s="14">
        <v>3000</v>
      </c>
      <c r="H2372" s="14">
        <v>2400</v>
      </c>
      <c r="I2372" s="31">
        <f>IF(COUNTIFS(Addendum!C:C,A2372,Addendum!D:D,IF(ISNUMBER(B2372),TEXT(B2372,"0000"),B2372),Addendum!E:E,"X")&gt;0,4%,0)</f>
        <v>0.04</v>
      </c>
      <c r="J2372" s="31">
        <f>IF(COUNTIFS(Addendum!C:C,A2372,Addendum!D:D,IF(ISNUMBER(B2372),TEXT(B2372,"0000"),B2372),Addendum!F:F,"X")&gt;0,2.5%,0)</f>
        <v>0</v>
      </c>
      <c r="K2372" s="31">
        <f>IF(COUNTIFS(Addendum!C:C,A2372,Addendum!D:D,IF(ISNUMBER(B2372),TEXT(B2372,"0000"),B2372),Addendum!G:G,"X")&gt;0,7%,0)</f>
        <v>0</v>
      </c>
      <c r="L2372" s="31">
        <f>IF(COUNTIFS(Addendum!C:C,A2372,Addendum!D:D,IF(ISNUMBER(B2372),TEXT(B2372,"0000"),B2372),Addendum!I:I,"X")&gt;0,10%,0)</f>
        <v>0</v>
      </c>
      <c r="M2372" s="34">
        <f t="shared" ref="M2372:M2435" si="74">IF(AND(I2372=0%,J2372=0%,K2372=0%,L2372=0%),0%,
IF(OR(TRIM(E2372)="OneTime",TRIM(D2372)=""),0%,
IF(
OR(
TRIM(D2372)="P1M",
AND(TRIM(D2372)="P1Y",TRIM(E2372)="Monthly"),
AND(TRIM(D2372)="P3Y",TRIM(E2372)="Monthly")
),
IF(AND(I2372=4%,J2372=0%,K2372=0%,L2372=0%),1%,
IF(AND(I2372=4%,J2372=2.5%,K2372=0%,L2372=10%),2%,
IF(AND(I2372=4%,J2372=0%,K2372=7%,L2372=10%),3%,0%))),
IF(
OR(
AND(TRIM(D2372)="P1Y",TRIM(E2372)="Annual"),
AND(TRIM(D2372)="P3Y",TRIM(E2372)="Annual"),
AND(TRIM(D2372)="P3Y",TRIM(E2372)="Triennial")
),
IF(AND(I2372=4%,J2372=0%,K2372=0%,L2372=0%),3%,
IF(AND(I2372=4%,J2372=2.5%,K2372=0%,L2372=10%),10%,
IF(AND(I2372=4%,J2372=0%,K2372=7%,L2372=10%),14%,0%))),
0%
))))</f>
        <v>0.03</v>
      </c>
      <c r="N2372" s="17">
        <f t="shared" ref="N2372:N2435" si="75">H2372-(H2372*M2372)</f>
        <v>2328</v>
      </c>
    </row>
    <row r="2373" spans="1:14" x14ac:dyDescent="0.25">
      <c r="A2373" s="14" t="s">
        <v>860</v>
      </c>
      <c r="B2373" s="14">
        <v>7</v>
      </c>
      <c r="C2373" s="15" t="s">
        <v>2473</v>
      </c>
      <c r="D2373" s="14" t="s">
        <v>1745</v>
      </c>
      <c r="E2373" s="14" t="s">
        <v>1746</v>
      </c>
      <c r="F2373" s="17" t="s">
        <v>2994</v>
      </c>
      <c r="G2373" s="14">
        <v>419.28</v>
      </c>
      <c r="H2373" s="14">
        <v>335.52</v>
      </c>
      <c r="I2373" s="31">
        <f>IF(COUNTIFS(Addendum!C:C,A2373,Addendum!D:D,IF(ISNUMBER(B2373),TEXT(B2373,"0000"),B2373),Addendum!E:E,"X")&gt;0,4%,0)</f>
        <v>0.04</v>
      </c>
      <c r="J2373" s="31">
        <f>IF(COUNTIFS(Addendum!C:C,A2373,Addendum!D:D,IF(ISNUMBER(B2373),TEXT(B2373,"0000"),B2373),Addendum!F:F,"X")&gt;0,2.5%,0)</f>
        <v>0</v>
      </c>
      <c r="K2373" s="31">
        <f>IF(COUNTIFS(Addendum!C:C,A2373,Addendum!D:D,IF(ISNUMBER(B2373),TEXT(B2373,"0000"),B2373),Addendum!G:G,"X")&gt;0,7%,0)</f>
        <v>0</v>
      </c>
      <c r="L2373" s="31">
        <f>IF(COUNTIFS(Addendum!C:C,A2373,Addendum!D:D,IF(ISNUMBER(B2373),TEXT(B2373,"0000"),B2373),Addendum!I:I,"X")&gt;0,10%,0)</f>
        <v>0</v>
      </c>
      <c r="M2373" s="34">
        <f t="shared" si="74"/>
        <v>0.01</v>
      </c>
      <c r="N2373" s="17">
        <f t="shared" si="75"/>
        <v>332.16479999999996</v>
      </c>
    </row>
    <row r="2374" spans="1:14" x14ac:dyDescent="0.25">
      <c r="A2374" s="14" t="s">
        <v>860</v>
      </c>
      <c r="B2374" s="14">
        <v>7</v>
      </c>
      <c r="C2374" s="15" t="s">
        <v>2473</v>
      </c>
      <c r="D2374" s="14" t="s">
        <v>1745</v>
      </c>
      <c r="E2374" s="14" t="s">
        <v>1747</v>
      </c>
      <c r="F2374" s="17" t="s">
        <v>2994</v>
      </c>
      <c r="G2374" s="14">
        <v>399.36</v>
      </c>
      <c r="H2374" s="14">
        <v>319.49</v>
      </c>
      <c r="I2374" s="31">
        <f>IF(COUNTIFS(Addendum!C:C,A2374,Addendum!D:D,IF(ISNUMBER(B2374),TEXT(B2374,"0000"),B2374),Addendum!E:E,"X")&gt;0,4%,0)</f>
        <v>0.04</v>
      </c>
      <c r="J2374" s="31">
        <f>IF(COUNTIFS(Addendum!C:C,A2374,Addendum!D:D,IF(ISNUMBER(B2374),TEXT(B2374,"0000"),B2374),Addendum!F:F,"X")&gt;0,2.5%,0)</f>
        <v>0</v>
      </c>
      <c r="K2374" s="31">
        <f>IF(COUNTIFS(Addendum!C:C,A2374,Addendum!D:D,IF(ISNUMBER(B2374),TEXT(B2374,"0000"),B2374),Addendum!G:G,"X")&gt;0,7%,0)</f>
        <v>0</v>
      </c>
      <c r="L2374" s="31">
        <f>IF(COUNTIFS(Addendum!C:C,A2374,Addendum!D:D,IF(ISNUMBER(B2374),TEXT(B2374,"0000"),B2374),Addendum!I:I,"X")&gt;0,10%,0)</f>
        <v>0</v>
      </c>
      <c r="M2374" s="34">
        <f t="shared" si="74"/>
        <v>0.03</v>
      </c>
      <c r="N2374" s="17">
        <f t="shared" si="75"/>
        <v>309.90530000000001</v>
      </c>
    </row>
    <row r="2375" spans="1:14" x14ac:dyDescent="0.25">
      <c r="A2375" s="14" t="s">
        <v>860</v>
      </c>
      <c r="B2375" s="14" t="s">
        <v>16</v>
      </c>
      <c r="C2375" s="15" t="s">
        <v>2472</v>
      </c>
      <c r="D2375" s="14" t="s">
        <v>1745</v>
      </c>
      <c r="E2375" s="14" t="s">
        <v>1746</v>
      </c>
      <c r="F2375" s="17" t="s">
        <v>2994</v>
      </c>
      <c r="G2375" s="14">
        <v>314.52</v>
      </c>
      <c r="H2375" s="14">
        <v>251.64</v>
      </c>
      <c r="I2375" s="31">
        <f>IF(COUNTIFS(Addendum!C:C,A2375,Addendum!D:D,IF(ISNUMBER(B2375),TEXT(B2375,"0000"),B2375),Addendum!E:E,"X")&gt;0,4%,0)</f>
        <v>0.04</v>
      </c>
      <c r="J2375" s="31">
        <f>IF(COUNTIFS(Addendum!C:C,A2375,Addendum!D:D,IF(ISNUMBER(B2375),TEXT(B2375,"0000"),B2375),Addendum!F:F,"X")&gt;0,2.5%,0)</f>
        <v>0</v>
      </c>
      <c r="K2375" s="31">
        <f>IF(COUNTIFS(Addendum!C:C,A2375,Addendum!D:D,IF(ISNUMBER(B2375),TEXT(B2375,"0000"),B2375),Addendum!G:G,"X")&gt;0,7%,0)</f>
        <v>0</v>
      </c>
      <c r="L2375" s="31">
        <f>IF(COUNTIFS(Addendum!C:C,A2375,Addendum!D:D,IF(ISNUMBER(B2375),TEXT(B2375,"0000"),B2375),Addendum!I:I,"X")&gt;0,10%,0)</f>
        <v>0</v>
      </c>
      <c r="M2375" s="34">
        <f t="shared" si="74"/>
        <v>0.01</v>
      </c>
      <c r="N2375" s="17">
        <f t="shared" si="75"/>
        <v>249.12359999999998</v>
      </c>
    </row>
    <row r="2376" spans="1:14" x14ac:dyDescent="0.25">
      <c r="A2376" s="14" t="s">
        <v>860</v>
      </c>
      <c r="B2376" s="14">
        <v>2</v>
      </c>
      <c r="C2376" s="15" t="s">
        <v>862</v>
      </c>
      <c r="D2376" s="14" t="s">
        <v>1749</v>
      </c>
      <c r="E2376" s="14" t="s">
        <v>1746</v>
      </c>
      <c r="F2376" s="17" t="s">
        <v>2993</v>
      </c>
      <c r="G2376" s="14">
        <v>198</v>
      </c>
      <c r="H2376" s="14">
        <v>158.4</v>
      </c>
      <c r="I2376" s="31">
        <f>IF(COUNTIFS(Addendum!C:C,A2376,Addendum!D:D,IF(ISNUMBER(B2376),TEXT(B2376,"0000"),B2376),Addendum!E:E,"X")&gt;0,4%,0)</f>
        <v>0.04</v>
      </c>
      <c r="J2376" s="31">
        <f>IF(COUNTIFS(Addendum!C:C,A2376,Addendum!D:D,IF(ISNUMBER(B2376),TEXT(B2376,"0000"),B2376),Addendum!F:F,"X")&gt;0,2.5%,0)</f>
        <v>0</v>
      </c>
      <c r="K2376" s="31">
        <f>IF(COUNTIFS(Addendum!C:C,A2376,Addendum!D:D,IF(ISNUMBER(B2376),TEXT(B2376,"0000"),B2376),Addendum!G:G,"X")&gt;0,7%,0)</f>
        <v>0</v>
      </c>
      <c r="L2376" s="31">
        <f>IF(COUNTIFS(Addendum!C:C,A2376,Addendum!D:D,IF(ISNUMBER(B2376),TEXT(B2376,"0000"),B2376),Addendum!I:I,"X")&gt;0,10%,0)</f>
        <v>0</v>
      </c>
      <c r="M2376" s="34">
        <f t="shared" si="74"/>
        <v>0.01</v>
      </c>
      <c r="N2376" s="17">
        <f t="shared" si="75"/>
        <v>156.816</v>
      </c>
    </row>
    <row r="2377" spans="1:14" ht="30" x14ac:dyDescent="0.25">
      <c r="A2377" s="14" t="s">
        <v>860</v>
      </c>
      <c r="B2377" s="14" t="s">
        <v>20</v>
      </c>
      <c r="C2377" s="15" t="s">
        <v>2474</v>
      </c>
      <c r="D2377" s="14" t="s">
        <v>1749</v>
      </c>
      <c r="E2377" s="14" t="s">
        <v>1746</v>
      </c>
      <c r="F2377" s="17" t="s">
        <v>2994</v>
      </c>
      <c r="G2377" s="14">
        <v>198</v>
      </c>
      <c r="H2377" s="14">
        <v>158.4</v>
      </c>
      <c r="I2377" s="31">
        <f>IF(COUNTIFS(Addendum!C:C,A2377,Addendum!D:D,IF(ISNUMBER(B2377),TEXT(B2377,"0000"),B2377),Addendum!E:E,"X")&gt;0,4%,0)</f>
        <v>0.04</v>
      </c>
      <c r="J2377" s="31">
        <f>IF(COUNTIFS(Addendum!C:C,A2377,Addendum!D:D,IF(ISNUMBER(B2377),TEXT(B2377,"0000"),B2377),Addendum!F:F,"X")&gt;0,2.5%,0)</f>
        <v>0</v>
      </c>
      <c r="K2377" s="31">
        <f>IF(COUNTIFS(Addendum!C:C,A2377,Addendum!D:D,IF(ISNUMBER(B2377),TEXT(B2377,"0000"),B2377),Addendum!G:G,"X")&gt;0,7%,0)</f>
        <v>0</v>
      </c>
      <c r="L2377" s="31">
        <f>IF(COUNTIFS(Addendum!C:C,A2377,Addendum!D:D,IF(ISNUMBER(B2377),TEXT(B2377,"0000"),B2377),Addendum!I:I,"X")&gt;0,10%,0)</f>
        <v>0</v>
      </c>
      <c r="M2377" s="34">
        <f t="shared" si="74"/>
        <v>0.01</v>
      </c>
      <c r="N2377" s="17">
        <f t="shared" si="75"/>
        <v>156.816</v>
      </c>
    </row>
    <row r="2378" spans="1:14" x14ac:dyDescent="0.25">
      <c r="A2378" s="14" t="s">
        <v>860</v>
      </c>
      <c r="B2378" s="14">
        <v>6</v>
      </c>
      <c r="C2378" s="15" t="s">
        <v>2469</v>
      </c>
      <c r="D2378" s="14" t="s">
        <v>1749</v>
      </c>
      <c r="E2378" s="14" t="s">
        <v>1746</v>
      </c>
      <c r="F2378" s="17" t="s">
        <v>2995</v>
      </c>
      <c r="G2378" s="14">
        <v>49.92</v>
      </c>
      <c r="H2378" s="14">
        <v>44.93</v>
      </c>
      <c r="I2378" s="31">
        <f>IF(COUNTIFS(Addendum!C:C,A2378,Addendum!D:D,IF(ISNUMBER(B2378),TEXT(B2378,"0000"),B2378),Addendum!E:E,"X")&gt;0,4%,0)</f>
        <v>0.04</v>
      </c>
      <c r="J2378" s="31">
        <f>IF(COUNTIFS(Addendum!C:C,A2378,Addendum!D:D,IF(ISNUMBER(B2378),TEXT(B2378,"0000"),B2378),Addendum!F:F,"X")&gt;0,2.5%,0)</f>
        <v>0</v>
      </c>
      <c r="K2378" s="31">
        <f>IF(COUNTIFS(Addendum!C:C,A2378,Addendum!D:D,IF(ISNUMBER(B2378),TEXT(B2378,"0000"),B2378),Addendum!G:G,"X")&gt;0,7%,0)</f>
        <v>0</v>
      </c>
      <c r="L2378" s="31">
        <f>IF(COUNTIFS(Addendum!C:C,A2378,Addendum!D:D,IF(ISNUMBER(B2378),TEXT(B2378,"0000"),B2378),Addendum!I:I,"X")&gt;0,10%,0)</f>
        <v>0</v>
      </c>
      <c r="M2378" s="34">
        <f t="shared" si="74"/>
        <v>0.01</v>
      </c>
      <c r="N2378" s="17">
        <f t="shared" si="75"/>
        <v>44.480699999999999</v>
      </c>
    </row>
    <row r="2379" spans="1:14" x14ac:dyDescent="0.25">
      <c r="A2379" s="14" t="s">
        <v>860</v>
      </c>
      <c r="B2379" s="14">
        <v>5</v>
      </c>
      <c r="C2379" s="15" t="s">
        <v>869</v>
      </c>
      <c r="D2379" s="14" t="s">
        <v>1749</v>
      </c>
      <c r="E2379" s="14" t="s">
        <v>1746</v>
      </c>
      <c r="F2379" s="17" t="s">
        <v>2993</v>
      </c>
      <c r="G2379" s="14">
        <v>198</v>
      </c>
      <c r="H2379" s="14">
        <v>158.4</v>
      </c>
      <c r="I2379" s="31">
        <f>IF(COUNTIFS(Addendum!C:C,A2379,Addendum!D:D,IF(ISNUMBER(B2379),TEXT(B2379,"0000"),B2379),Addendum!E:E,"X")&gt;0,4%,0)</f>
        <v>0.04</v>
      </c>
      <c r="J2379" s="31">
        <f>IF(COUNTIFS(Addendum!C:C,A2379,Addendum!D:D,IF(ISNUMBER(B2379),TEXT(B2379,"0000"),B2379),Addendum!F:F,"X")&gt;0,2.5%,0)</f>
        <v>0</v>
      </c>
      <c r="K2379" s="31">
        <f>IF(COUNTIFS(Addendum!C:C,A2379,Addendum!D:D,IF(ISNUMBER(B2379),TEXT(B2379,"0000"),B2379),Addendum!G:G,"X")&gt;0,7%,0)</f>
        <v>0</v>
      </c>
      <c r="L2379" s="31">
        <f>IF(COUNTIFS(Addendum!C:C,A2379,Addendum!D:D,IF(ISNUMBER(B2379),TEXT(B2379,"0000"),B2379),Addendum!I:I,"X")&gt;0,10%,0)</f>
        <v>0</v>
      </c>
      <c r="M2379" s="34">
        <f t="shared" si="74"/>
        <v>0.01</v>
      </c>
      <c r="N2379" s="17">
        <f t="shared" si="75"/>
        <v>156.816</v>
      </c>
    </row>
    <row r="2380" spans="1:14" ht="30" x14ac:dyDescent="0.25">
      <c r="A2380" s="14" t="s">
        <v>860</v>
      </c>
      <c r="B2380" s="14" t="s">
        <v>20</v>
      </c>
      <c r="C2380" s="15" t="s">
        <v>2474</v>
      </c>
      <c r="D2380" s="14" t="s">
        <v>1745</v>
      </c>
      <c r="E2380" s="14" t="s">
        <v>1747</v>
      </c>
      <c r="F2380" s="17" t="s">
        <v>2994</v>
      </c>
      <c r="G2380" s="14">
        <v>1980</v>
      </c>
      <c r="H2380" s="14">
        <v>1584</v>
      </c>
      <c r="I2380" s="31">
        <f>IF(COUNTIFS(Addendum!C:C,A2380,Addendum!D:D,IF(ISNUMBER(B2380),TEXT(B2380,"0000"),B2380),Addendum!E:E,"X")&gt;0,4%,0)</f>
        <v>0.04</v>
      </c>
      <c r="J2380" s="31">
        <f>IF(COUNTIFS(Addendum!C:C,A2380,Addendum!D:D,IF(ISNUMBER(B2380),TEXT(B2380,"0000"),B2380),Addendum!F:F,"X")&gt;0,2.5%,0)</f>
        <v>0</v>
      </c>
      <c r="K2380" s="31">
        <f>IF(COUNTIFS(Addendum!C:C,A2380,Addendum!D:D,IF(ISNUMBER(B2380),TEXT(B2380,"0000"),B2380),Addendum!G:G,"X")&gt;0,7%,0)</f>
        <v>0</v>
      </c>
      <c r="L2380" s="31">
        <f>IF(COUNTIFS(Addendum!C:C,A2380,Addendum!D:D,IF(ISNUMBER(B2380),TEXT(B2380,"0000"),B2380),Addendum!I:I,"X")&gt;0,10%,0)</f>
        <v>0</v>
      </c>
      <c r="M2380" s="34">
        <f t="shared" si="74"/>
        <v>0.03</v>
      </c>
      <c r="N2380" s="17">
        <f t="shared" si="75"/>
        <v>1536.48</v>
      </c>
    </row>
    <row r="2381" spans="1:14" x14ac:dyDescent="0.25">
      <c r="A2381" s="14" t="s">
        <v>860</v>
      </c>
      <c r="B2381" s="14">
        <v>9</v>
      </c>
      <c r="C2381" s="15" t="s">
        <v>2470</v>
      </c>
      <c r="D2381" s="14" t="s">
        <v>1745</v>
      </c>
      <c r="E2381" s="14" t="s">
        <v>1747</v>
      </c>
      <c r="F2381" s="17" t="s">
        <v>2994</v>
      </c>
      <c r="G2381" s="14">
        <v>449.28</v>
      </c>
      <c r="H2381" s="14">
        <v>359.42</v>
      </c>
      <c r="I2381" s="31">
        <f>IF(COUNTIFS(Addendum!C:C,A2381,Addendum!D:D,IF(ISNUMBER(B2381),TEXT(B2381,"0000"),B2381),Addendum!E:E,"X")&gt;0,4%,0)</f>
        <v>0.04</v>
      </c>
      <c r="J2381" s="31">
        <f>IF(COUNTIFS(Addendum!C:C,A2381,Addendum!D:D,IF(ISNUMBER(B2381),TEXT(B2381,"0000"),B2381),Addendum!F:F,"X")&gt;0,2.5%,0)</f>
        <v>0</v>
      </c>
      <c r="K2381" s="31">
        <f>IF(COUNTIFS(Addendum!C:C,A2381,Addendum!D:D,IF(ISNUMBER(B2381),TEXT(B2381,"0000"),B2381),Addendum!G:G,"X")&gt;0,7%,0)</f>
        <v>0</v>
      </c>
      <c r="L2381" s="31">
        <f>IF(COUNTIFS(Addendum!C:C,A2381,Addendum!D:D,IF(ISNUMBER(B2381),TEXT(B2381,"0000"),B2381),Addendum!I:I,"X")&gt;0,10%,0)</f>
        <v>0</v>
      </c>
      <c r="M2381" s="34">
        <f t="shared" si="74"/>
        <v>0.03</v>
      </c>
      <c r="N2381" s="17">
        <f t="shared" si="75"/>
        <v>348.63740000000001</v>
      </c>
    </row>
    <row r="2382" spans="1:14" x14ac:dyDescent="0.25">
      <c r="A2382" s="14" t="s">
        <v>860</v>
      </c>
      <c r="B2382" s="14">
        <v>8</v>
      </c>
      <c r="C2382" s="15" t="s">
        <v>2471</v>
      </c>
      <c r="D2382" s="14" t="s">
        <v>1745</v>
      </c>
      <c r="E2382" s="14" t="s">
        <v>1746</v>
      </c>
      <c r="F2382" s="17" t="s">
        <v>2994</v>
      </c>
      <c r="G2382" s="14">
        <v>629.04</v>
      </c>
      <c r="H2382" s="14">
        <v>503.16</v>
      </c>
      <c r="I2382" s="31">
        <f>IF(COUNTIFS(Addendum!C:C,A2382,Addendum!D:D,IF(ISNUMBER(B2382),TEXT(B2382,"0000"),B2382),Addendum!E:E,"X")&gt;0,4%,0)</f>
        <v>0.04</v>
      </c>
      <c r="J2382" s="31">
        <f>IF(COUNTIFS(Addendum!C:C,A2382,Addendum!D:D,IF(ISNUMBER(B2382),TEXT(B2382,"0000"),B2382),Addendum!F:F,"X")&gt;0,2.5%,0)</f>
        <v>0</v>
      </c>
      <c r="K2382" s="31">
        <f>IF(COUNTIFS(Addendum!C:C,A2382,Addendum!D:D,IF(ISNUMBER(B2382),TEXT(B2382,"0000"),B2382),Addendum!G:G,"X")&gt;0,7%,0)</f>
        <v>0</v>
      </c>
      <c r="L2382" s="31">
        <f>IF(COUNTIFS(Addendum!C:C,A2382,Addendum!D:D,IF(ISNUMBER(B2382),TEXT(B2382,"0000"),B2382),Addendum!I:I,"X")&gt;0,10%,0)</f>
        <v>0</v>
      </c>
      <c r="M2382" s="34">
        <f t="shared" si="74"/>
        <v>0.01</v>
      </c>
      <c r="N2382" s="17">
        <f t="shared" si="75"/>
        <v>498.1284</v>
      </c>
    </row>
    <row r="2383" spans="1:14" x14ac:dyDescent="0.25">
      <c r="A2383" s="14" t="s">
        <v>860</v>
      </c>
      <c r="B2383" s="14">
        <v>8</v>
      </c>
      <c r="C2383" s="15" t="s">
        <v>2471</v>
      </c>
      <c r="D2383" s="14" t="s">
        <v>1745</v>
      </c>
      <c r="E2383" s="14" t="s">
        <v>1747</v>
      </c>
      <c r="F2383" s="17" t="s">
        <v>2994</v>
      </c>
      <c r="G2383" s="14">
        <v>599.04</v>
      </c>
      <c r="H2383" s="14">
        <v>479.23</v>
      </c>
      <c r="I2383" s="31">
        <f>IF(COUNTIFS(Addendum!C:C,A2383,Addendum!D:D,IF(ISNUMBER(B2383),TEXT(B2383,"0000"),B2383),Addendum!E:E,"X")&gt;0,4%,0)</f>
        <v>0.04</v>
      </c>
      <c r="J2383" s="31">
        <f>IF(COUNTIFS(Addendum!C:C,A2383,Addendum!D:D,IF(ISNUMBER(B2383),TEXT(B2383,"0000"),B2383),Addendum!F:F,"X")&gt;0,2.5%,0)</f>
        <v>0</v>
      </c>
      <c r="K2383" s="31">
        <f>IF(COUNTIFS(Addendum!C:C,A2383,Addendum!D:D,IF(ISNUMBER(B2383),TEXT(B2383,"0000"),B2383),Addendum!G:G,"X")&gt;0,7%,0)</f>
        <v>0</v>
      </c>
      <c r="L2383" s="31">
        <f>IF(COUNTIFS(Addendum!C:C,A2383,Addendum!D:D,IF(ISNUMBER(B2383),TEXT(B2383,"0000"),B2383),Addendum!I:I,"X")&gt;0,10%,0)</f>
        <v>0</v>
      </c>
      <c r="M2383" s="34">
        <f t="shared" si="74"/>
        <v>0.03</v>
      </c>
      <c r="N2383" s="17">
        <f t="shared" si="75"/>
        <v>464.85310000000004</v>
      </c>
    </row>
    <row r="2384" spans="1:14" x14ac:dyDescent="0.25">
      <c r="A2384" s="14" t="s">
        <v>860</v>
      </c>
      <c r="B2384" s="14">
        <v>2</v>
      </c>
      <c r="C2384" s="15" t="s">
        <v>862</v>
      </c>
      <c r="D2384" s="14" t="s">
        <v>1745</v>
      </c>
      <c r="E2384" s="14" t="s">
        <v>1746</v>
      </c>
      <c r="F2384" s="17" t="s">
        <v>2993</v>
      </c>
      <c r="G2384" s="14">
        <v>2079</v>
      </c>
      <c r="H2384" s="14">
        <v>1663.2</v>
      </c>
      <c r="I2384" s="31">
        <f>IF(COUNTIFS(Addendum!C:C,A2384,Addendum!D:D,IF(ISNUMBER(B2384),TEXT(B2384,"0000"),B2384),Addendum!E:E,"X")&gt;0,4%,0)</f>
        <v>0.04</v>
      </c>
      <c r="J2384" s="31">
        <f>IF(COUNTIFS(Addendum!C:C,A2384,Addendum!D:D,IF(ISNUMBER(B2384),TEXT(B2384,"0000"),B2384),Addendum!F:F,"X")&gt;0,2.5%,0)</f>
        <v>0</v>
      </c>
      <c r="K2384" s="31">
        <f>IF(COUNTIFS(Addendum!C:C,A2384,Addendum!D:D,IF(ISNUMBER(B2384),TEXT(B2384,"0000"),B2384),Addendum!G:G,"X")&gt;0,7%,0)</f>
        <v>0</v>
      </c>
      <c r="L2384" s="31">
        <f>IF(COUNTIFS(Addendum!C:C,A2384,Addendum!D:D,IF(ISNUMBER(B2384),TEXT(B2384,"0000"),B2384),Addendum!I:I,"X")&gt;0,10%,0)</f>
        <v>0</v>
      </c>
      <c r="M2384" s="34">
        <f t="shared" si="74"/>
        <v>0.01</v>
      </c>
      <c r="N2384" s="17">
        <f t="shared" si="75"/>
        <v>1646.568</v>
      </c>
    </row>
    <row r="2385" spans="1:14" x14ac:dyDescent="0.25">
      <c r="A2385" s="14" t="s">
        <v>860</v>
      </c>
      <c r="B2385" s="14" t="s">
        <v>16</v>
      </c>
      <c r="C2385" s="15" t="s">
        <v>2472</v>
      </c>
      <c r="D2385" s="14" t="s">
        <v>1745</v>
      </c>
      <c r="E2385" s="14" t="s">
        <v>1747</v>
      </c>
      <c r="F2385" s="17" t="s">
        <v>2994</v>
      </c>
      <c r="G2385" s="14">
        <v>299.52</v>
      </c>
      <c r="H2385" s="14">
        <v>239.62</v>
      </c>
      <c r="I2385" s="31">
        <f>IF(COUNTIFS(Addendum!C:C,A2385,Addendum!D:D,IF(ISNUMBER(B2385),TEXT(B2385,"0000"),B2385),Addendum!E:E,"X")&gt;0,4%,0)</f>
        <v>0.04</v>
      </c>
      <c r="J2385" s="31">
        <f>IF(COUNTIFS(Addendum!C:C,A2385,Addendum!D:D,IF(ISNUMBER(B2385),TEXT(B2385,"0000"),B2385),Addendum!F:F,"X")&gt;0,2.5%,0)</f>
        <v>0</v>
      </c>
      <c r="K2385" s="31">
        <f>IF(COUNTIFS(Addendum!C:C,A2385,Addendum!D:D,IF(ISNUMBER(B2385),TEXT(B2385,"0000"),B2385),Addendum!G:G,"X")&gt;0,7%,0)</f>
        <v>0</v>
      </c>
      <c r="L2385" s="31">
        <f>IF(COUNTIFS(Addendum!C:C,A2385,Addendum!D:D,IF(ISNUMBER(B2385),TEXT(B2385,"0000"),B2385),Addendum!I:I,"X")&gt;0,10%,0)</f>
        <v>0</v>
      </c>
      <c r="M2385" s="34">
        <f t="shared" si="74"/>
        <v>0.03</v>
      </c>
      <c r="N2385" s="17">
        <f t="shared" si="75"/>
        <v>232.4314</v>
      </c>
    </row>
    <row r="2386" spans="1:14" x14ac:dyDescent="0.25">
      <c r="A2386" s="14" t="s">
        <v>860</v>
      </c>
      <c r="B2386" s="14">
        <v>2</v>
      </c>
      <c r="C2386" s="15" t="s">
        <v>862</v>
      </c>
      <c r="D2386" s="14" t="s">
        <v>1745</v>
      </c>
      <c r="E2386" s="14" t="s">
        <v>1747</v>
      </c>
      <c r="F2386" s="17" t="s">
        <v>2993</v>
      </c>
      <c r="G2386" s="14">
        <v>1980</v>
      </c>
      <c r="H2386" s="14">
        <v>1584</v>
      </c>
      <c r="I2386" s="31">
        <f>IF(COUNTIFS(Addendum!C:C,A2386,Addendum!D:D,IF(ISNUMBER(B2386),TEXT(B2386,"0000"),B2386),Addendum!E:E,"X")&gt;0,4%,0)</f>
        <v>0.04</v>
      </c>
      <c r="J2386" s="31">
        <f>IF(COUNTIFS(Addendum!C:C,A2386,Addendum!D:D,IF(ISNUMBER(B2386),TEXT(B2386,"0000"),B2386),Addendum!F:F,"X")&gt;0,2.5%,0)</f>
        <v>0</v>
      </c>
      <c r="K2386" s="31">
        <f>IF(COUNTIFS(Addendum!C:C,A2386,Addendum!D:D,IF(ISNUMBER(B2386),TEXT(B2386,"0000"),B2386),Addendum!G:G,"X")&gt;0,7%,0)</f>
        <v>0</v>
      </c>
      <c r="L2386" s="31">
        <f>IF(COUNTIFS(Addendum!C:C,A2386,Addendum!D:D,IF(ISNUMBER(B2386),TEXT(B2386,"0000"),B2386),Addendum!I:I,"X")&gt;0,10%,0)</f>
        <v>0</v>
      </c>
      <c r="M2386" s="34">
        <f t="shared" si="74"/>
        <v>0.03</v>
      </c>
      <c r="N2386" s="17">
        <f t="shared" si="75"/>
        <v>1536.48</v>
      </c>
    </row>
    <row r="2387" spans="1:14" x14ac:dyDescent="0.25">
      <c r="A2387" s="14" t="s">
        <v>879</v>
      </c>
      <c r="B2387" s="14">
        <v>3</v>
      </c>
      <c r="C2387" s="15" t="s">
        <v>883</v>
      </c>
      <c r="D2387" s="14" t="s">
        <v>1749</v>
      </c>
      <c r="E2387" s="14" t="s">
        <v>1766</v>
      </c>
      <c r="F2387" s="17" t="s">
        <v>2993</v>
      </c>
      <c r="G2387" s="14">
        <v>0</v>
      </c>
      <c r="H2387" s="14">
        <v>0</v>
      </c>
      <c r="I2387" s="31">
        <f>IF(COUNTIFS(Addendum!C:C,A2387,Addendum!D:D,IF(ISNUMBER(B2387),TEXT(B2387,"0000"),B2387),Addendum!E:E,"X")&gt;0,4%,0)</f>
        <v>0.04</v>
      </c>
      <c r="J2387" s="31">
        <f>IF(COUNTIFS(Addendum!C:C,A2387,Addendum!D:D,IF(ISNUMBER(B2387),TEXT(B2387,"0000"),B2387),Addendum!F:F,"X")&gt;0,2.5%,0)</f>
        <v>0</v>
      </c>
      <c r="K2387" s="31">
        <f>IF(COUNTIFS(Addendum!C:C,A2387,Addendum!D:D,IF(ISNUMBER(B2387),TEXT(B2387,"0000"),B2387),Addendum!G:G,"X")&gt;0,7%,0)</f>
        <v>0</v>
      </c>
      <c r="L2387" s="31">
        <f>IF(COUNTIFS(Addendum!C:C,A2387,Addendum!D:D,IF(ISNUMBER(B2387),TEXT(B2387,"0000"),B2387),Addendum!I:I,"X")&gt;0,10%,0)</f>
        <v>0</v>
      </c>
      <c r="M2387" s="34">
        <f t="shared" si="74"/>
        <v>0.01</v>
      </c>
      <c r="N2387" s="17">
        <f t="shared" si="75"/>
        <v>0</v>
      </c>
    </row>
    <row r="2388" spans="1:14" ht="30" x14ac:dyDescent="0.25">
      <c r="A2388" s="14" t="s">
        <v>879</v>
      </c>
      <c r="B2388" s="14" t="s">
        <v>24</v>
      </c>
      <c r="C2388" s="15" t="s">
        <v>2475</v>
      </c>
      <c r="D2388" s="14" t="s">
        <v>1749</v>
      </c>
      <c r="E2388" s="14" t="s">
        <v>1746</v>
      </c>
      <c r="F2388" s="17" t="s">
        <v>2994</v>
      </c>
      <c r="G2388" s="14">
        <v>79.87</v>
      </c>
      <c r="H2388" s="14">
        <v>63.9</v>
      </c>
      <c r="I2388" s="31">
        <f>IF(COUNTIFS(Addendum!C:C,A2388,Addendum!D:D,IF(ISNUMBER(B2388),TEXT(B2388,"0000"),B2388),Addendum!E:E,"X")&gt;0,4%,0)</f>
        <v>0.04</v>
      </c>
      <c r="J2388" s="31">
        <f>IF(COUNTIFS(Addendum!C:C,A2388,Addendum!D:D,IF(ISNUMBER(B2388),TEXT(B2388,"0000"),B2388),Addendum!F:F,"X")&gt;0,2.5%,0)</f>
        <v>0</v>
      </c>
      <c r="K2388" s="31">
        <f>IF(COUNTIFS(Addendum!C:C,A2388,Addendum!D:D,IF(ISNUMBER(B2388),TEXT(B2388,"0000"),B2388),Addendum!G:G,"X")&gt;0,7%,0)</f>
        <v>0</v>
      </c>
      <c r="L2388" s="31">
        <f>IF(COUNTIFS(Addendum!C:C,A2388,Addendum!D:D,IF(ISNUMBER(B2388),TEXT(B2388,"0000"),B2388),Addendum!I:I,"X")&gt;0,10%,0)</f>
        <v>0</v>
      </c>
      <c r="M2388" s="34">
        <f t="shared" si="74"/>
        <v>0.01</v>
      </c>
      <c r="N2388" s="17">
        <f t="shared" si="75"/>
        <v>63.260999999999996</v>
      </c>
    </row>
    <row r="2389" spans="1:14" x14ac:dyDescent="0.25">
      <c r="A2389" s="14" t="s">
        <v>879</v>
      </c>
      <c r="B2389" s="14">
        <v>4</v>
      </c>
      <c r="C2389" s="15" t="s">
        <v>883</v>
      </c>
      <c r="D2389" s="14" t="s">
        <v>1745</v>
      </c>
      <c r="E2389" s="14" t="s">
        <v>1747</v>
      </c>
      <c r="F2389" s="17" t="s">
        <v>2993</v>
      </c>
      <c r="G2389" s="14">
        <v>4020</v>
      </c>
      <c r="H2389" s="14">
        <v>3216</v>
      </c>
      <c r="I2389" s="31">
        <f>IF(COUNTIFS(Addendum!C:C,A2389,Addendum!D:D,IF(ISNUMBER(B2389),TEXT(B2389,"0000"),B2389),Addendum!E:E,"X")&gt;0,4%,0)</f>
        <v>0.04</v>
      </c>
      <c r="J2389" s="31">
        <f>IF(COUNTIFS(Addendum!C:C,A2389,Addendum!D:D,IF(ISNUMBER(B2389),TEXT(B2389,"0000"),B2389),Addendum!F:F,"X")&gt;0,2.5%,0)</f>
        <v>0</v>
      </c>
      <c r="K2389" s="31">
        <f>IF(COUNTIFS(Addendum!C:C,A2389,Addendum!D:D,IF(ISNUMBER(B2389),TEXT(B2389,"0000"),B2389),Addendum!G:G,"X")&gt;0,7%,0)</f>
        <v>0</v>
      </c>
      <c r="L2389" s="31">
        <f>IF(COUNTIFS(Addendum!C:C,A2389,Addendum!D:D,IF(ISNUMBER(B2389),TEXT(B2389,"0000"),B2389),Addendum!I:I,"X")&gt;0,10%,0)</f>
        <v>0</v>
      </c>
      <c r="M2389" s="34">
        <f t="shared" si="74"/>
        <v>0.03</v>
      </c>
      <c r="N2389" s="17">
        <f t="shared" si="75"/>
        <v>3119.52</v>
      </c>
    </row>
    <row r="2390" spans="1:14" x14ac:dyDescent="0.25">
      <c r="A2390" s="14" t="s">
        <v>879</v>
      </c>
      <c r="B2390" s="14" t="s">
        <v>89</v>
      </c>
      <c r="C2390" s="15" t="s">
        <v>881</v>
      </c>
      <c r="D2390" s="14" t="s">
        <v>1749</v>
      </c>
      <c r="E2390" s="14" t="s">
        <v>1746</v>
      </c>
      <c r="F2390" s="17" t="s">
        <v>2993</v>
      </c>
      <c r="G2390" s="14">
        <v>270</v>
      </c>
      <c r="H2390" s="14">
        <v>216</v>
      </c>
      <c r="I2390" s="31">
        <f>IF(COUNTIFS(Addendum!C:C,A2390,Addendum!D:D,IF(ISNUMBER(B2390),TEXT(B2390,"0000"),B2390),Addendum!E:E,"X")&gt;0,4%,0)</f>
        <v>0.04</v>
      </c>
      <c r="J2390" s="31">
        <f>IF(COUNTIFS(Addendum!C:C,A2390,Addendum!D:D,IF(ISNUMBER(B2390),TEXT(B2390,"0000"),B2390),Addendum!F:F,"X")&gt;0,2.5%,0)</f>
        <v>0</v>
      </c>
      <c r="K2390" s="31">
        <f>IF(COUNTIFS(Addendum!C:C,A2390,Addendum!D:D,IF(ISNUMBER(B2390),TEXT(B2390,"0000"),B2390),Addendum!G:G,"X")&gt;0,7%,0)</f>
        <v>0</v>
      </c>
      <c r="L2390" s="31">
        <f>IF(COUNTIFS(Addendum!C:C,A2390,Addendum!D:D,IF(ISNUMBER(B2390),TEXT(B2390,"0000"),B2390),Addendum!I:I,"X")&gt;0,10%,0)</f>
        <v>0</v>
      </c>
      <c r="M2390" s="34">
        <f t="shared" si="74"/>
        <v>0.01</v>
      </c>
      <c r="N2390" s="17">
        <f t="shared" si="75"/>
        <v>213.84</v>
      </c>
    </row>
    <row r="2391" spans="1:14" x14ac:dyDescent="0.25">
      <c r="A2391" s="14" t="s">
        <v>879</v>
      </c>
      <c r="B2391" s="14">
        <v>1</v>
      </c>
      <c r="C2391" s="15" t="s">
        <v>878</v>
      </c>
      <c r="D2391" s="14" t="s">
        <v>1749</v>
      </c>
      <c r="E2391" s="14" t="s">
        <v>1746</v>
      </c>
      <c r="F2391" s="17" t="s">
        <v>2993</v>
      </c>
      <c r="G2391" s="14">
        <v>696</v>
      </c>
      <c r="H2391" s="14">
        <v>556.79999999999995</v>
      </c>
      <c r="I2391" s="31">
        <f>IF(COUNTIFS(Addendum!C:C,A2391,Addendum!D:D,IF(ISNUMBER(B2391),TEXT(B2391,"0000"),B2391),Addendum!E:E,"X")&gt;0,4%,0)</f>
        <v>0.04</v>
      </c>
      <c r="J2391" s="31">
        <f>IF(COUNTIFS(Addendum!C:C,A2391,Addendum!D:D,IF(ISNUMBER(B2391),TEXT(B2391,"0000"),B2391),Addendum!F:F,"X")&gt;0,2.5%,0)</f>
        <v>0</v>
      </c>
      <c r="K2391" s="31">
        <f>IF(COUNTIFS(Addendum!C:C,A2391,Addendum!D:D,IF(ISNUMBER(B2391),TEXT(B2391,"0000"),B2391),Addendum!G:G,"X")&gt;0,7%,0)</f>
        <v>0</v>
      </c>
      <c r="L2391" s="31">
        <f>IF(COUNTIFS(Addendum!C:C,A2391,Addendum!D:D,IF(ISNUMBER(B2391),TEXT(B2391,"0000"),B2391),Addendum!I:I,"X")&gt;0,10%,0)</f>
        <v>0</v>
      </c>
      <c r="M2391" s="34">
        <f t="shared" si="74"/>
        <v>0.01</v>
      </c>
      <c r="N2391" s="17">
        <f t="shared" si="75"/>
        <v>551.23199999999997</v>
      </c>
    </row>
    <row r="2392" spans="1:14" x14ac:dyDescent="0.25">
      <c r="A2392" s="14" t="s">
        <v>879</v>
      </c>
      <c r="B2392" s="14">
        <v>4</v>
      </c>
      <c r="C2392" s="15" t="s">
        <v>883</v>
      </c>
      <c r="D2392" s="14" t="s">
        <v>1745</v>
      </c>
      <c r="E2392" s="14" t="s">
        <v>1746</v>
      </c>
      <c r="F2392" s="17" t="s">
        <v>2993</v>
      </c>
      <c r="G2392" s="14">
        <v>4221</v>
      </c>
      <c r="H2392" s="14">
        <v>3376.8</v>
      </c>
      <c r="I2392" s="31">
        <f>IF(COUNTIFS(Addendum!C:C,A2392,Addendum!D:D,IF(ISNUMBER(B2392),TEXT(B2392,"0000"),B2392),Addendum!E:E,"X")&gt;0,4%,0)</f>
        <v>0.04</v>
      </c>
      <c r="J2392" s="31">
        <f>IF(COUNTIFS(Addendum!C:C,A2392,Addendum!D:D,IF(ISNUMBER(B2392),TEXT(B2392,"0000"),B2392),Addendum!F:F,"X")&gt;0,2.5%,0)</f>
        <v>0</v>
      </c>
      <c r="K2392" s="31">
        <f>IF(COUNTIFS(Addendum!C:C,A2392,Addendum!D:D,IF(ISNUMBER(B2392),TEXT(B2392,"0000"),B2392),Addendum!G:G,"X")&gt;0,7%,0)</f>
        <v>0</v>
      </c>
      <c r="L2392" s="31">
        <f>IF(COUNTIFS(Addendum!C:C,A2392,Addendum!D:D,IF(ISNUMBER(B2392),TEXT(B2392,"0000"),B2392),Addendum!I:I,"X")&gt;0,10%,0)</f>
        <v>0</v>
      </c>
      <c r="M2392" s="34">
        <f t="shared" si="74"/>
        <v>0.01</v>
      </c>
      <c r="N2392" s="17">
        <f t="shared" si="75"/>
        <v>3343.0320000000002</v>
      </c>
    </row>
    <row r="2393" spans="1:14" ht="30" x14ac:dyDescent="0.25">
      <c r="A2393" s="14" t="s">
        <v>879</v>
      </c>
      <c r="B2393" s="14" t="s">
        <v>24</v>
      </c>
      <c r="C2393" s="15" t="s">
        <v>2475</v>
      </c>
      <c r="D2393" s="14" t="s">
        <v>1745</v>
      </c>
      <c r="E2393" s="14" t="s">
        <v>1746</v>
      </c>
      <c r="F2393" s="17" t="s">
        <v>2994</v>
      </c>
      <c r="G2393" s="14">
        <v>838.68</v>
      </c>
      <c r="H2393" s="14">
        <v>670.92</v>
      </c>
      <c r="I2393" s="31">
        <f>IF(COUNTIFS(Addendum!C:C,A2393,Addendum!D:D,IF(ISNUMBER(B2393),TEXT(B2393,"0000"),B2393),Addendum!E:E,"X")&gt;0,4%,0)</f>
        <v>0.04</v>
      </c>
      <c r="J2393" s="31">
        <f>IF(COUNTIFS(Addendum!C:C,A2393,Addendum!D:D,IF(ISNUMBER(B2393),TEXT(B2393,"0000"),B2393),Addendum!F:F,"X")&gt;0,2.5%,0)</f>
        <v>0</v>
      </c>
      <c r="K2393" s="31">
        <f>IF(COUNTIFS(Addendum!C:C,A2393,Addendum!D:D,IF(ISNUMBER(B2393),TEXT(B2393,"0000"),B2393),Addendum!G:G,"X")&gt;0,7%,0)</f>
        <v>0</v>
      </c>
      <c r="L2393" s="31">
        <f>IF(COUNTIFS(Addendum!C:C,A2393,Addendum!D:D,IF(ISNUMBER(B2393),TEXT(B2393,"0000"),B2393),Addendum!I:I,"X")&gt;0,10%,0)</f>
        <v>0</v>
      </c>
      <c r="M2393" s="34">
        <f t="shared" si="74"/>
        <v>0.01</v>
      </c>
      <c r="N2393" s="17">
        <f t="shared" si="75"/>
        <v>664.21079999999995</v>
      </c>
    </row>
    <row r="2394" spans="1:14" ht="30" x14ac:dyDescent="0.25">
      <c r="A2394" s="14" t="s">
        <v>879</v>
      </c>
      <c r="B2394" s="14" t="s">
        <v>24</v>
      </c>
      <c r="C2394" s="15" t="s">
        <v>2475</v>
      </c>
      <c r="D2394" s="14" t="s">
        <v>1745</v>
      </c>
      <c r="E2394" s="14" t="s">
        <v>1747</v>
      </c>
      <c r="F2394" s="17" t="s">
        <v>2994</v>
      </c>
      <c r="G2394" s="14">
        <v>798.72</v>
      </c>
      <c r="H2394" s="14">
        <v>638.98</v>
      </c>
      <c r="I2394" s="31">
        <f>IF(COUNTIFS(Addendum!C:C,A2394,Addendum!D:D,IF(ISNUMBER(B2394),TEXT(B2394,"0000"),B2394),Addendum!E:E,"X")&gt;0,4%,0)</f>
        <v>0.04</v>
      </c>
      <c r="J2394" s="31">
        <f>IF(COUNTIFS(Addendum!C:C,A2394,Addendum!D:D,IF(ISNUMBER(B2394),TEXT(B2394,"0000"),B2394),Addendum!F:F,"X")&gt;0,2.5%,0)</f>
        <v>0</v>
      </c>
      <c r="K2394" s="31">
        <f>IF(COUNTIFS(Addendum!C:C,A2394,Addendum!D:D,IF(ISNUMBER(B2394),TEXT(B2394,"0000"),B2394),Addendum!G:G,"X")&gt;0,7%,0)</f>
        <v>0</v>
      </c>
      <c r="L2394" s="31">
        <f>IF(COUNTIFS(Addendum!C:C,A2394,Addendum!D:D,IF(ISNUMBER(B2394),TEXT(B2394,"0000"),B2394),Addendum!I:I,"X")&gt;0,10%,0)</f>
        <v>0</v>
      </c>
      <c r="M2394" s="34">
        <f t="shared" si="74"/>
        <v>0.03</v>
      </c>
      <c r="N2394" s="17">
        <f t="shared" si="75"/>
        <v>619.81060000000002</v>
      </c>
    </row>
    <row r="2395" spans="1:14" ht="30" x14ac:dyDescent="0.25">
      <c r="A2395" s="14" t="s">
        <v>879</v>
      </c>
      <c r="B2395" s="14">
        <v>9</v>
      </c>
      <c r="C2395" s="15" t="s">
        <v>2476</v>
      </c>
      <c r="D2395" s="14" t="s">
        <v>1749</v>
      </c>
      <c r="E2395" s="14" t="s">
        <v>1746</v>
      </c>
      <c r="F2395" s="17" t="s">
        <v>2994</v>
      </c>
      <c r="G2395" s="14">
        <v>59.9</v>
      </c>
      <c r="H2395" s="14">
        <v>47.92</v>
      </c>
      <c r="I2395" s="31">
        <f>IF(COUNTIFS(Addendum!C:C,A2395,Addendum!D:D,IF(ISNUMBER(B2395),TEXT(B2395,"0000"),B2395),Addendum!E:E,"X")&gt;0,4%,0)</f>
        <v>0.04</v>
      </c>
      <c r="J2395" s="31">
        <f>IF(COUNTIFS(Addendum!C:C,A2395,Addendum!D:D,IF(ISNUMBER(B2395),TEXT(B2395,"0000"),B2395),Addendum!F:F,"X")&gt;0,2.5%,0)</f>
        <v>0</v>
      </c>
      <c r="K2395" s="31">
        <f>IF(COUNTIFS(Addendum!C:C,A2395,Addendum!D:D,IF(ISNUMBER(B2395),TEXT(B2395,"0000"),B2395),Addendum!G:G,"X")&gt;0,7%,0)</f>
        <v>0</v>
      </c>
      <c r="L2395" s="31">
        <f>IF(COUNTIFS(Addendum!C:C,A2395,Addendum!D:D,IF(ISNUMBER(B2395),TEXT(B2395,"0000"),B2395),Addendum!I:I,"X")&gt;0,10%,0)</f>
        <v>0</v>
      </c>
      <c r="M2395" s="34">
        <f t="shared" si="74"/>
        <v>0.01</v>
      </c>
      <c r="N2395" s="17">
        <f t="shared" si="75"/>
        <v>47.440800000000003</v>
      </c>
    </row>
    <row r="2396" spans="1:14" x14ac:dyDescent="0.25">
      <c r="A2396" s="14" t="s">
        <v>879</v>
      </c>
      <c r="B2396" s="14">
        <v>2</v>
      </c>
      <c r="C2396" s="15" t="s">
        <v>878</v>
      </c>
      <c r="D2396" s="14" t="s">
        <v>1749</v>
      </c>
      <c r="E2396" s="14" t="s">
        <v>1766</v>
      </c>
      <c r="F2396" s="17" t="s">
        <v>2993</v>
      </c>
      <c r="G2396" s="14">
        <v>0</v>
      </c>
      <c r="H2396" s="14">
        <v>0</v>
      </c>
      <c r="I2396" s="31">
        <f>IF(COUNTIFS(Addendum!C:C,A2396,Addendum!D:D,IF(ISNUMBER(B2396),TEXT(B2396,"0000"),B2396),Addendum!E:E,"X")&gt;0,4%,0)</f>
        <v>0.04</v>
      </c>
      <c r="J2396" s="31">
        <f>IF(COUNTIFS(Addendum!C:C,A2396,Addendum!D:D,IF(ISNUMBER(B2396),TEXT(B2396,"0000"),B2396),Addendum!F:F,"X")&gt;0,2.5%,0)</f>
        <v>0</v>
      </c>
      <c r="K2396" s="31">
        <f>IF(COUNTIFS(Addendum!C:C,A2396,Addendum!D:D,IF(ISNUMBER(B2396),TEXT(B2396,"0000"),B2396),Addendum!G:G,"X")&gt;0,7%,0)</f>
        <v>0</v>
      </c>
      <c r="L2396" s="31">
        <f>IF(COUNTIFS(Addendum!C:C,A2396,Addendum!D:D,IF(ISNUMBER(B2396),TEXT(B2396,"0000"),B2396),Addendum!I:I,"X")&gt;0,10%,0)</f>
        <v>0</v>
      </c>
      <c r="M2396" s="34">
        <f t="shared" si="74"/>
        <v>0.01</v>
      </c>
      <c r="N2396" s="17">
        <f t="shared" si="75"/>
        <v>0</v>
      </c>
    </row>
    <row r="2397" spans="1:14" x14ac:dyDescent="0.25">
      <c r="A2397" s="14" t="s">
        <v>879</v>
      </c>
      <c r="B2397" s="14" t="s">
        <v>55</v>
      </c>
      <c r="C2397" s="15" t="s">
        <v>887</v>
      </c>
      <c r="D2397" s="14" t="s">
        <v>1745</v>
      </c>
      <c r="E2397" s="14" t="s">
        <v>1746</v>
      </c>
      <c r="F2397" s="17" t="s">
        <v>2993</v>
      </c>
      <c r="G2397" s="14">
        <v>4914</v>
      </c>
      <c r="H2397" s="14">
        <v>3931.2</v>
      </c>
      <c r="I2397" s="31">
        <f>IF(COUNTIFS(Addendum!C:C,A2397,Addendum!D:D,IF(ISNUMBER(B2397),TEXT(B2397,"0000"),B2397),Addendum!E:E,"X")&gt;0,4%,0)</f>
        <v>0.04</v>
      </c>
      <c r="J2397" s="31">
        <f>IF(COUNTIFS(Addendum!C:C,A2397,Addendum!D:D,IF(ISNUMBER(B2397),TEXT(B2397,"0000"),B2397),Addendum!F:F,"X")&gt;0,2.5%,0)</f>
        <v>0</v>
      </c>
      <c r="K2397" s="31">
        <f>IF(COUNTIFS(Addendum!C:C,A2397,Addendum!D:D,IF(ISNUMBER(B2397),TEXT(B2397,"0000"),B2397),Addendum!G:G,"X")&gt;0,7%,0)</f>
        <v>0</v>
      </c>
      <c r="L2397" s="31">
        <f>IF(COUNTIFS(Addendum!C:C,A2397,Addendum!D:D,IF(ISNUMBER(B2397),TEXT(B2397,"0000"),B2397),Addendum!I:I,"X")&gt;0,10%,0)</f>
        <v>0</v>
      </c>
      <c r="M2397" s="34">
        <f t="shared" si="74"/>
        <v>0.01</v>
      </c>
      <c r="N2397" s="17">
        <f t="shared" si="75"/>
        <v>3891.8879999999999</v>
      </c>
    </row>
    <row r="2398" spans="1:14" x14ac:dyDescent="0.25">
      <c r="A2398" s="14" t="s">
        <v>879</v>
      </c>
      <c r="B2398" s="14" t="s">
        <v>89</v>
      </c>
      <c r="C2398" s="15" t="s">
        <v>881</v>
      </c>
      <c r="D2398" s="14" t="s">
        <v>1745</v>
      </c>
      <c r="E2398" s="14" t="s">
        <v>1746</v>
      </c>
      <c r="F2398" s="17" t="s">
        <v>2993</v>
      </c>
      <c r="G2398" s="14">
        <v>2835</v>
      </c>
      <c r="H2398" s="14">
        <v>2268</v>
      </c>
      <c r="I2398" s="31">
        <f>IF(COUNTIFS(Addendum!C:C,A2398,Addendum!D:D,IF(ISNUMBER(B2398),TEXT(B2398,"0000"),B2398),Addendum!E:E,"X")&gt;0,4%,0)</f>
        <v>0.04</v>
      </c>
      <c r="J2398" s="31">
        <f>IF(COUNTIFS(Addendum!C:C,A2398,Addendum!D:D,IF(ISNUMBER(B2398),TEXT(B2398,"0000"),B2398),Addendum!F:F,"X")&gt;0,2.5%,0)</f>
        <v>0</v>
      </c>
      <c r="K2398" s="31">
        <f>IF(COUNTIFS(Addendum!C:C,A2398,Addendum!D:D,IF(ISNUMBER(B2398),TEXT(B2398,"0000"),B2398),Addendum!G:G,"X")&gt;0,7%,0)</f>
        <v>0</v>
      </c>
      <c r="L2398" s="31">
        <f>IF(COUNTIFS(Addendum!C:C,A2398,Addendum!D:D,IF(ISNUMBER(B2398),TEXT(B2398,"0000"),B2398),Addendum!I:I,"X")&gt;0,10%,0)</f>
        <v>0</v>
      </c>
      <c r="M2398" s="34">
        <f t="shared" si="74"/>
        <v>0.01</v>
      </c>
      <c r="N2398" s="17">
        <f t="shared" si="75"/>
        <v>2245.3200000000002</v>
      </c>
    </row>
    <row r="2399" spans="1:14" x14ac:dyDescent="0.25">
      <c r="A2399" s="14" t="s">
        <v>879</v>
      </c>
      <c r="B2399" s="14" t="s">
        <v>73</v>
      </c>
      <c r="C2399" s="15" t="s">
        <v>2477</v>
      </c>
      <c r="D2399" s="14" t="s">
        <v>1745</v>
      </c>
      <c r="E2399" s="14" t="s">
        <v>1746</v>
      </c>
      <c r="F2399" s="17" t="s">
        <v>2994</v>
      </c>
      <c r="G2399" s="14">
        <v>1449</v>
      </c>
      <c r="H2399" s="14">
        <v>1159.2</v>
      </c>
      <c r="I2399" s="31">
        <f>IF(COUNTIFS(Addendum!C:C,A2399,Addendum!D:D,IF(ISNUMBER(B2399),TEXT(B2399,"0000"),B2399),Addendum!E:E,"X")&gt;0,4%,0)</f>
        <v>0.04</v>
      </c>
      <c r="J2399" s="31">
        <f>IF(COUNTIFS(Addendum!C:C,A2399,Addendum!D:D,IF(ISNUMBER(B2399),TEXT(B2399,"0000"),B2399),Addendum!F:F,"X")&gt;0,2.5%,0)</f>
        <v>0</v>
      </c>
      <c r="K2399" s="31">
        <f>IF(COUNTIFS(Addendum!C:C,A2399,Addendum!D:D,IF(ISNUMBER(B2399),TEXT(B2399,"0000"),B2399),Addendum!G:G,"X")&gt;0,7%,0)</f>
        <v>0</v>
      </c>
      <c r="L2399" s="31">
        <f>IF(COUNTIFS(Addendum!C:C,A2399,Addendum!D:D,IF(ISNUMBER(B2399),TEXT(B2399,"0000"),B2399),Addendum!I:I,"X")&gt;0,10%,0)</f>
        <v>0</v>
      </c>
      <c r="M2399" s="34">
        <f t="shared" si="74"/>
        <v>0.01</v>
      </c>
      <c r="N2399" s="17">
        <f t="shared" si="75"/>
        <v>1147.6079999999999</v>
      </c>
    </row>
    <row r="2400" spans="1:14" x14ac:dyDescent="0.25">
      <c r="A2400" s="14" t="s">
        <v>879</v>
      </c>
      <c r="B2400" s="14" t="s">
        <v>16</v>
      </c>
      <c r="C2400" s="15" t="s">
        <v>2478</v>
      </c>
      <c r="D2400" s="14" t="s">
        <v>1749</v>
      </c>
      <c r="E2400" s="14" t="s">
        <v>1746</v>
      </c>
      <c r="F2400" s="17" t="s">
        <v>2994</v>
      </c>
      <c r="G2400" s="14">
        <v>104.82</v>
      </c>
      <c r="H2400" s="14">
        <v>83.86</v>
      </c>
      <c r="I2400" s="31">
        <f>IF(COUNTIFS(Addendum!C:C,A2400,Addendum!D:D,IF(ISNUMBER(B2400),TEXT(B2400,"0000"),B2400),Addendum!E:E,"X")&gt;0,4%,0)</f>
        <v>0.04</v>
      </c>
      <c r="J2400" s="31">
        <f>IF(COUNTIFS(Addendum!C:C,A2400,Addendum!D:D,IF(ISNUMBER(B2400),TEXT(B2400,"0000"),B2400),Addendum!F:F,"X")&gt;0,2.5%,0)</f>
        <v>0</v>
      </c>
      <c r="K2400" s="31">
        <f>IF(COUNTIFS(Addendum!C:C,A2400,Addendum!D:D,IF(ISNUMBER(B2400),TEXT(B2400,"0000"),B2400),Addendum!G:G,"X")&gt;0,7%,0)</f>
        <v>0</v>
      </c>
      <c r="L2400" s="31">
        <f>IF(COUNTIFS(Addendum!C:C,A2400,Addendum!D:D,IF(ISNUMBER(B2400),TEXT(B2400,"0000"),B2400),Addendum!I:I,"X")&gt;0,10%,0)</f>
        <v>0</v>
      </c>
      <c r="M2400" s="34">
        <f t="shared" si="74"/>
        <v>0.01</v>
      </c>
      <c r="N2400" s="17">
        <f t="shared" si="75"/>
        <v>83.0214</v>
      </c>
    </row>
    <row r="2401" spans="1:14" x14ac:dyDescent="0.25">
      <c r="A2401" s="14" t="s">
        <v>879</v>
      </c>
      <c r="B2401" s="14" t="s">
        <v>16</v>
      </c>
      <c r="C2401" s="15" t="s">
        <v>2478</v>
      </c>
      <c r="D2401" s="14" t="s">
        <v>1745</v>
      </c>
      <c r="E2401" s="14" t="s">
        <v>1746</v>
      </c>
      <c r="F2401" s="17" t="s">
        <v>2994</v>
      </c>
      <c r="G2401" s="14">
        <v>1100.6400000000001</v>
      </c>
      <c r="H2401" s="14">
        <v>880.44</v>
      </c>
      <c r="I2401" s="31">
        <f>IF(COUNTIFS(Addendum!C:C,A2401,Addendum!D:D,IF(ISNUMBER(B2401),TEXT(B2401,"0000"),B2401),Addendum!E:E,"X")&gt;0,4%,0)</f>
        <v>0.04</v>
      </c>
      <c r="J2401" s="31">
        <f>IF(COUNTIFS(Addendum!C:C,A2401,Addendum!D:D,IF(ISNUMBER(B2401),TEXT(B2401,"0000"),B2401),Addendum!F:F,"X")&gt;0,2.5%,0)</f>
        <v>0</v>
      </c>
      <c r="K2401" s="31">
        <f>IF(COUNTIFS(Addendum!C:C,A2401,Addendum!D:D,IF(ISNUMBER(B2401),TEXT(B2401,"0000"),B2401),Addendum!G:G,"X")&gt;0,7%,0)</f>
        <v>0</v>
      </c>
      <c r="L2401" s="31">
        <f>IF(COUNTIFS(Addendum!C:C,A2401,Addendum!D:D,IF(ISNUMBER(B2401),TEXT(B2401,"0000"),B2401),Addendum!I:I,"X")&gt;0,10%,0)</f>
        <v>0</v>
      </c>
      <c r="M2401" s="34">
        <f t="shared" si="74"/>
        <v>0.01</v>
      </c>
      <c r="N2401" s="17">
        <f t="shared" si="75"/>
        <v>871.63560000000007</v>
      </c>
    </row>
    <row r="2402" spans="1:14" ht="30" x14ac:dyDescent="0.25">
      <c r="A2402" s="14" t="s">
        <v>879</v>
      </c>
      <c r="B2402" s="14">
        <v>9</v>
      </c>
      <c r="C2402" s="15" t="s">
        <v>2476</v>
      </c>
      <c r="D2402" s="14" t="s">
        <v>1745</v>
      </c>
      <c r="E2402" s="14" t="s">
        <v>1746</v>
      </c>
      <c r="F2402" s="17" t="s">
        <v>2994</v>
      </c>
      <c r="G2402" s="14">
        <v>629.04</v>
      </c>
      <c r="H2402" s="14">
        <v>503.16</v>
      </c>
      <c r="I2402" s="31">
        <f>IF(COUNTIFS(Addendum!C:C,A2402,Addendum!D:D,IF(ISNUMBER(B2402),TEXT(B2402,"0000"),B2402),Addendum!E:E,"X")&gt;0,4%,0)</f>
        <v>0.04</v>
      </c>
      <c r="J2402" s="31">
        <f>IF(COUNTIFS(Addendum!C:C,A2402,Addendum!D:D,IF(ISNUMBER(B2402),TEXT(B2402,"0000"),B2402),Addendum!F:F,"X")&gt;0,2.5%,0)</f>
        <v>0</v>
      </c>
      <c r="K2402" s="31">
        <f>IF(COUNTIFS(Addendum!C:C,A2402,Addendum!D:D,IF(ISNUMBER(B2402),TEXT(B2402,"0000"),B2402),Addendum!G:G,"X")&gt;0,7%,0)</f>
        <v>0</v>
      </c>
      <c r="L2402" s="31">
        <f>IF(COUNTIFS(Addendum!C:C,A2402,Addendum!D:D,IF(ISNUMBER(B2402),TEXT(B2402,"0000"),B2402),Addendum!I:I,"X")&gt;0,10%,0)</f>
        <v>0</v>
      </c>
      <c r="M2402" s="34">
        <f t="shared" si="74"/>
        <v>0.01</v>
      </c>
      <c r="N2402" s="17">
        <f t="shared" si="75"/>
        <v>498.1284</v>
      </c>
    </row>
    <row r="2403" spans="1:14" x14ac:dyDescent="0.25">
      <c r="A2403" s="14" t="s">
        <v>879</v>
      </c>
      <c r="B2403" s="14">
        <v>1</v>
      </c>
      <c r="C2403" s="15" t="s">
        <v>878</v>
      </c>
      <c r="D2403" s="14" t="s">
        <v>1745</v>
      </c>
      <c r="E2403" s="14" t="s">
        <v>1747</v>
      </c>
      <c r="F2403" s="17" t="s">
        <v>2993</v>
      </c>
      <c r="G2403" s="14">
        <v>6960</v>
      </c>
      <c r="H2403" s="14">
        <v>5568</v>
      </c>
      <c r="I2403" s="31">
        <f>IF(COUNTIFS(Addendum!C:C,A2403,Addendum!D:D,IF(ISNUMBER(B2403),TEXT(B2403,"0000"),B2403),Addendum!E:E,"X")&gt;0,4%,0)</f>
        <v>0.04</v>
      </c>
      <c r="J2403" s="31">
        <f>IF(COUNTIFS(Addendum!C:C,A2403,Addendum!D:D,IF(ISNUMBER(B2403),TEXT(B2403,"0000"),B2403),Addendum!F:F,"X")&gt;0,2.5%,0)</f>
        <v>0</v>
      </c>
      <c r="K2403" s="31">
        <f>IF(COUNTIFS(Addendum!C:C,A2403,Addendum!D:D,IF(ISNUMBER(B2403),TEXT(B2403,"0000"),B2403),Addendum!G:G,"X")&gt;0,7%,0)</f>
        <v>0</v>
      </c>
      <c r="L2403" s="31">
        <f>IF(COUNTIFS(Addendum!C:C,A2403,Addendum!D:D,IF(ISNUMBER(B2403),TEXT(B2403,"0000"),B2403),Addendum!I:I,"X")&gt;0,10%,0)</f>
        <v>0</v>
      </c>
      <c r="M2403" s="34">
        <f t="shared" si="74"/>
        <v>0.03</v>
      </c>
      <c r="N2403" s="17">
        <f t="shared" si="75"/>
        <v>5400.96</v>
      </c>
    </row>
    <row r="2404" spans="1:14" x14ac:dyDescent="0.25">
      <c r="A2404" s="14" t="s">
        <v>879</v>
      </c>
      <c r="B2404" s="14" t="s">
        <v>55</v>
      </c>
      <c r="C2404" s="15" t="s">
        <v>887</v>
      </c>
      <c r="D2404" s="14" t="s">
        <v>1749</v>
      </c>
      <c r="E2404" s="14" t="s">
        <v>1746</v>
      </c>
      <c r="F2404" s="17" t="s">
        <v>2993</v>
      </c>
      <c r="G2404" s="14">
        <v>468</v>
      </c>
      <c r="H2404" s="14">
        <v>374.4</v>
      </c>
      <c r="I2404" s="31">
        <f>IF(COUNTIFS(Addendum!C:C,A2404,Addendum!D:D,IF(ISNUMBER(B2404),TEXT(B2404,"0000"),B2404),Addendum!E:E,"X")&gt;0,4%,0)</f>
        <v>0.04</v>
      </c>
      <c r="J2404" s="31">
        <f>IF(COUNTIFS(Addendum!C:C,A2404,Addendum!D:D,IF(ISNUMBER(B2404),TEXT(B2404,"0000"),B2404),Addendum!F:F,"X")&gt;0,2.5%,0)</f>
        <v>0</v>
      </c>
      <c r="K2404" s="31">
        <f>IF(COUNTIFS(Addendum!C:C,A2404,Addendum!D:D,IF(ISNUMBER(B2404),TEXT(B2404,"0000"),B2404),Addendum!G:G,"X")&gt;0,7%,0)</f>
        <v>0</v>
      </c>
      <c r="L2404" s="31">
        <f>IF(COUNTIFS(Addendum!C:C,A2404,Addendum!D:D,IF(ISNUMBER(B2404),TEXT(B2404,"0000"),B2404),Addendum!I:I,"X")&gt;0,10%,0)</f>
        <v>0</v>
      </c>
      <c r="M2404" s="34">
        <f t="shared" si="74"/>
        <v>0.01</v>
      </c>
      <c r="N2404" s="17">
        <f t="shared" si="75"/>
        <v>370.65599999999995</v>
      </c>
    </row>
    <row r="2405" spans="1:14" x14ac:dyDescent="0.25">
      <c r="A2405" s="14" t="s">
        <v>879</v>
      </c>
      <c r="B2405" s="14">
        <v>4</v>
      </c>
      <c r="C2405" s="15" t="s">
        <v>883</v>
      </c>
      <c r="D2405" s="14" t="s">
        <v>1749</v>
      </c>
      <c r="E2405" s="14" t="s">
        <v>1746</v>
      </c>
      <c r="F2405" s="17" t="s">
        <v>2993</v>
      </c>
      <c r="G2405" s="14">
        <v>402</v>
      </c>
      <c r="H2405" s="14">
        <v>321.60000000000002</v>
      </c>
      <c r="I2405" s="31">
        <f>IF(COUNTIFS(Addendum!C:C,A2405,Addendum!D:D,IF(ISNUMBER(B2405),TEXT(B2405,"0000"),B2405),Addendum!E:E,"X")&gt;0,4%,0)</f>
        <v>0.04</v>
      </c>
      <c r="J2405" s="31">
        <f>IF(COUNTIFS(Addendum!C:C,A2405,Addendum!D:D,IF(ISNUMBER(B2405),TEXT(B2405,"0000"),B2405),Addendum!F:F,"X")&gt;0,2.5%,0)</f>
        <v>0</v>
      </c>
      <c r="K2405" s="31">
        <f>IF(COUNTIFS(Addendum!C:C,A2405,Addendum!D:D,IF(ISNUMBER(B2405),TEXT(B2405,"0000"),B2405),Addendum!G:G,"X")&gt;0,7%,0)</f>
        <v>0</v>
      </c>
      <c r="L2405" s="31">
        <f>IF(COUNTIFS(Addendum!C:C,A2405,Addendum!D:D,IF(ISNUMBER(B2405),TEXT(B2405,"0000"),B2405),Addendum!I:I,"X")&gt;0,10%,0)</f>
        <v>0</v>
      </c>
      <c r="M2405" s="34">
        <f t="shared" si="74"/>
        <v>0.01</v>
      </c>
      <c r="N2405" s="17">
        <f t="shared" si="75"/>
        <v>318.38400000000001</v>
      </c>
    </row>
    <row r="2406" spans="1:14" x14ac:dyDescent="0.25">
      <c r="A2406" s="14" t="s">
        <v>879</v>
      </c>
      <c r="B2406" s="14">
        <v>1</v>
      </c>
      <c r="C2406" s="15" t="s">
        <v>878</v>
      </c>
      <c r="D2406" s="14" t="s">
        <v>1745</v>
      </c>
      <c r="E2406" s="14" t="s">
        <v>1746</v>
      </c>
      <c r="F2406" s="17" t="s">
        <v>2993</v>
      </c>
      <c r="G2406" s="14">
        <v>7308</v>
      </c>
      <c r="H2406" s="14">
        <v>5846.4</v>
      </c>
      <c r="I2406" s="31">
        <f>IF(COUNTIFS(Addendum!C:C,A2406,Addendum!D:D,IF(ISNUMBER(B2406),TEXT(B2406,"0000"),B2406),Addendum!E:E,"X")&gt;0,4%,0)</f>
        <v>0.04</v>
      </c>
      <c r="J2406" s="31">
        <f>IF(COUNTIFS(Addendum!C:C,A2406,Addendum!D:D,IF(ISNUMBER(B2406),TEXT(B2406,"0000"),B2406),Addendum!F:F,"X")&gt;0,2.5%,0)</f>
        <v>0</v>
      </c>
      <c r="K2406" s="31">
        <f>IF(COUNTIFS(Addendum!C:C,A2406,Addendum!D:D,IF(ISNUMBER(B2406),TEXT(B2406,"0000"),B2406),Addendum!G:G,"X")&gt;0,7%,0)</f>
        <v>0</v>
      </c>
      <c r="L2406" s="31">
        <f>IF(COUNTIFS(Addendum!C:C,A2406,Addendum!D:D,IF(ISNUMBER(B2406),TEXT(B2406,"0000"),B2406),Addendum!I:I,"X")&gt;0,10%,0)</f>
        <v>0</v>
      </c>
      <c r="M2406" s="34">
        <f t="shared" si="74"/>
        <v>0.01</v>
      </c>
      <c r="N2406" s="17">
        <f t="shared" si="75"/>
        <v>5787.9359999999997</v>
      </c>
    </row>
    <row r="2407" spans="1:14" x14ac:dyDescent="0.25">
      <c r="A2407" s="14" t="s">
        <v>879</v>
      </c>
      <c r="B2407" s="14" t="s">
        <v>89</v>
      </c>
      <c r="C2407" s="15" t="s">
        <v>881</v>
      </c>
      <c r="D2407" s="14" t="s">
        <v>1745</v>
      </c>
      <c r="E2407" s="14" t="s">
        <v>1747</v>
      </c>
      <c r="F2407" s="17" t="s">
        <v>2993</v>
      </c>
      <c r="G2407" s="14">
        <v>2700</v>
      </c>
      <c r="H2407" s="14">
        <v>2160</v>
      </c>
      <c r="I2407" s="31">
        <f>IF(COUNTIFS(Addendum!C:C,A2407,Addendum!D:D,IF(ISNUMBER(B2407),TEXT(B2407,"0000"),B2407),Addendum!E:E,"X")&gt;0,4%,0)</f>
        <v>0.04</v>
      </c>
      <c r="J2407" s="31">
        <f>IF(COUNTIFS(Addendum!C:C,A2407,Addendum!D:D,IF(ISNUMBER(B2407),TEXT(B2407,"0000"),B2407),Addendum!F:F,"X")&gt;0,2.5%,0)</f>
        <v>0</v>
      </c>
      <c r="K2407" s="31">
        <f>IF(COUNTIFS(Addendum!C:C,A2407,Addendum!D:D,IF(ISNUMBER(B2407),TEXT(B2407,"0000"),B2407),Addendum!G:G,"X")&gt;0,7%,0)</f>
        <v>0</v>
      </c>
      <c r="L2407" s="31">
        <f>IF(COUNTIFS(Addendum!C:C,A2407,Addendum!D:D,IF(ISNUMBER(B2407),TEXT(B2407,"0000"),B2407),Addendum!I:I,"X")&gt;0,10%,0)</f>
        <v>0</v>
      </c>
      <c r="M2407" s="34">
        <f t="shared" si="74"/>
        <v>0.03</v>
      </c>
      <c r="N2407" s="17">
        <f t="shared" si="75"/>
        <v>2095.1999999999998</v>
      </c>
    </row>
    <row r="2408" spans="1:14" x14ac:dyDescent="0.25">
      <c r="A2408" s="14" t="s">
        <v>879</v>
      </c>
      <c r="B2408" s="14" t="s">
        <v>16</v>
      </c>
      <c r="C2408" s="15" t="s">
        <v>2478</v>
      </c>
      <c r="D2408" s="14" t="s">
        <v>1745</v>
      </c>
      <c r="E2408" s="14" t="s">
        <v>1747</v>
      </c>
      <c r="F2408" s="17" t="s">
        <v>2994</v>
      </c>
      <c r="G2408" s="14">
        <v>1048.2</v>
      </c>
      <c r="H2408" s="14">
        <v>838.56</v>
      </c>
      <c r="I2408" s="31">
        <f>IF(COUNTIFS(Addendum!C:C,A2408,Addendum!D:D,IF(ISNUMBER(B2408),TEXT(B2408,"0000"),B2408),Addendum!E:E,"X")&gt;0,4%,0)</f>
        <v>0.04</v>
      </c>
      <c r="J2408" s="31">
        <f>IF(COUNTIFS(Addendum!C:C,A2408,Addendum!D:D,IF(ISNUMBER(B2408),TEXT(B2408,"0000"),B2408),Addendum!F:F,"X")&gt;0,2.5%,0)</f>
        <v>0</v>
      </c>
      <c r="K2408" s="31">
        <f>IF(COUNTIFS(Addendum!C:C,A2408,Addendum!D:D,IF(ISNUMBER(B2408),TEXT(B2408,"0000"),B2408),Addendum!G:G,"X")&gt;0,7%,0)</f>
        <v>0</v>
      </c>
      <c r="L2408" s="31">
        <f>IF(COUNTIFS(Addendum!C:C,A2408,Addendum!D:D,IF(ISNUMBER(B2408),TEXT(B2408,"0000"),B2408),Addendum!I:I,"X")&gt;0,10%,0)</f>
        <v>0</v>
      </c>
      <c r="M2408" s="34">
        <f t="shared" si="74"/>
        <v>0.03</v>
      </c>
      <c r="N2408" s="17">
        <f t="shared" si="75"/>
        <v>813.40319999999997</v>
      </c>
    </row>
    <row r="2409" spans="1:14" ht="30" x14ac:dyDescent="0.25">
      <c r="A2409" s="14" t="s">
        <v>879</v>
      </c>
      <c r="B2409" s="14">
        <v>9</v>
      </c>
      <c r="C2409" s="15" t="s">
        <v>2476</v>
      </c>
      <c r="D2409" s="14" t="s">
        <v>1745</v>
      </c>
      <c r="E2409" s="14" t="s">
        <v>1747</v>
      </c>
      <c r="F2409" s="17" t="s">
        <v>2994</v>
      </c>
      <c r="G2409" s="14">
        <v>599.04</v>
      </c>
      <c r="H2409" s="14">
        <v>479.23</v>
      </c>
      <c r="I2409" s="31">
        <f>IF(COUNTIFS(Addendum!C:C,A2409,Addendum!D:D,IF(ISNUMBER(B2409),TEXT(B2409,"0000"),B2409),Addendum!E:E,"X")&gt;0,4%,0)</f>
        <v>0.04</v>
      </c>
      <c r="J2409" s="31">
        <f>IF(COUNTIFS(Addendum!C:C,A2409,Addendum!D:D,IF(ISNUMBER(B2409),TEXT(B2409,"0000"),B2409),Addendum!F:F,"X")&gt;0,2.5%,0)</f>
        <v>0</v>
      </c>
      <c r="K2409" s="31">
        <f>IF(COUNTIFS(Addendum!C:C,A2409,Addendum!D:D,IF(ISNUMBER(B2409),TEXT(B2409,"0000"),B2409),Addendum!G:G,"X")&gt;0,7%,0)</f>
        <v>0</v>
      </c>
      <c r="L2409" s="31">
        <f>IF(COUNTIFS(Addendum!C:C,A2409,Addendum!D:D,IF(ISNUMBER(B2409),TEXT(B2409,"0000"),B2409),Addendum!I:I,"X")&gt;0,10%,0)</f>
        <v>0</v>
      </c>
      <c r="M2409" s="34">
        <f t="shared" si="74"/>
        <v>0.03</v>
      </c>
      <c r="N2409" s="17">
        <f t="shared" si="75"/>
        <v>464.85310000000004</v>
      </c>
    </row>
    <row r="2410" spans="1:14" x14ac:dyDescent="0.25">
      <c r="A2410" s="14" t="s">
        <v>879</v>
      </c>
      <c r="B2410" s="14" t="s">
        <v>73</v>
      </c>
      <c r="C2410" s="15" t="s">
        <v>2477</v>
      </c>
      <c r="D2410" s="14" t="s">
        <v>1749</v>
      </c>
      <c r="E2410" s="14" t="s">
        <v>1746</v>
      </c>
      <c r="F2410" s="17" t="s">
        <v>2994</v>
      </c>
      <c r="G2410" s="14">
        <v>138</v>
      </c>
      <c r="H2410" s="14">
        <v>110.4</v>
      </c>
      <c r="I2410" s="31">
        <f>IF(COUNTIFS(Addendum!C:C,A2410,Addendum!D:D,IF(ISNUMBER(B2410),TEXT(B2410,"0000"),B2410),Addendum!E:E,"X")&gt;0,4%,0)</f>
        <v>0.04</v>
      </c>
      <c r="J2410" s="31">
        <f>IF(COUNTIFS(Addendum!C:C,A2410,Addendum!D:D,IF(ISNUMBER(B2410),TEXT(B2410,"0000"),B2410),Addendum!F:F,"X")&gt;0,2.5%,0)</f>
        <v>0</v>
      </c>
      <c r="K2410" s="31">
        <f>IF(COUNTIFS(Addendum!C:C,A2410,Addendum!D:D,IF(ISNUMBER(B2410),TEXT(B2410,"0000"),B2410),Addendum!G:G,"X")&gt;0,7%,0)</f>
        <v>0</v>
      </c>
      <c r="L2410" s="31">
        <f>IF(COUNTIFS(Addendum!C:C,A2410,Addendum!D:D,IF(ISNUMBER(B2410),TEXT(B2410,"0000"),B2410),Addendum!I:I,"X")&gt;0,10%,0)</f>
        <v>0</v>
      </c>
      <c r="M2410" s="34">
        <f t="shared" si="74"/>
        <v>0.01</v>
      </c>
      <c r="N2410" s="17">
        <f t="shared" si="75"/>
        <v>109.29600000000001</v>
      </c>
    </row>
    <row r="2411" spans="1:14" x14ac:dyDescent="0.25">
      <c r="A2411" s="14" t="s">
        <v>879</v>
      </c>
      <c r="B2411" s="14" t="s">
        <v>55</v>
      </c>
      <c r="C2411" s="15" t="s">
        <v>887</v>
      </c>
      <c r="D2411" s="14" t="s">
        <v>1745</v>
      </c>
      <c r="E2411" s="14" t="s">
        <v>1747</v>
      </c>
      <c r="F2411" s="17" t="s">
        <v>2993</v>
      </c>
      <c r="G2411" s="14">
        <v>4680</v>
      </c>
      <c r="H2411" s="14">
        <v>3744</v>
      </c>
      <c r="I2411" s="31">
        <f>IF(COUNTIFS(Addendum!C:C,A2411,Addendum!D:D,IF(ISNUMBER(B2411),TEXT(B2411,"0000"),B2411),Addendum!E:E,"X")&gt;0,4%,0)</f>
        <v>0.04</v>
      </c>
      <c r="J2411" s="31">
        <f>IF(COUNTIFS(Addendum!C:C,A2411,Addendum!D:D,IF(ISNUMBER(B2411),TEXT(B2411,"0000"),B2411),Addendum!F:F,"X")&gt;0,2.5%,0)</f>
        <v>0</v>
      </c>
      <c r="K2411" s="31">
        <f>IF(COUNTIFS(Addendum!C:C,A2411,Addendum!D:D,IF(ISNUMBER(B2411),TEXT(B2411,"0000"),B2411),Addendum!G:G,"X")&gt;0,7%,0)</f>
        <v>0</v>
      </c>
      <c r="L2411" s="31">
        <f>IF(COUNTIFS(Addendum!C:C,A2411,Addendum!D:D,IF(ISNUMBER(B2411),TEXT(B2411,"0000"),B2411),Addendum!I:I,"X")&gt;0,10%,0)</f>
        <v>0</v>
      </c>
      <c r="M2411" s="34">
        <f t="shared" si="74"/>
        <v>0.03</v>
      </c>
      <c r="N2411" s="17">
        <f t="shared" si="75"/>
        <v>3631.68</v>
      </c>
    </row>
    <row r="2412" spans="1:14" x14ac:dyDescent="0.25">
      <c r="A2412" s="14" t="s">
        <v>879</v>
      </c>
      <c r="B2412" s="14" t="s">
        <v>73</v>
      </c>
      <c r="C2412" s="15" t="s">
        <v>2477</v>
      </c>
      <c r="D2412" s="14" t="s">
        <v>1745</v>
      </c>
      <c r="E2412" s="14" t="s">
        <v>1747</v>
      </c>
      <c r="F2412" s="17" t="s">
        <v>2994</v>
      </c>
      <c r="G2412" s="14">
        <v>1380</v>
      </c>
      <c r="H2412" s="14">
        <v>1104</v>
      </c>
      <c r="I2412" s="31">
        <f>IF(COUNTIFS(Addendum!C:C,A2412,Addendum!D:D,IF(ISNUMBER(B2412),TEXT(B2412,"0000"),B2412),Addendum!E:E,"X")&gt;0,4%,0)</f>
        <v>0.04</v>
      </c>
      <c r="J2412" s="31">
        <f>IF(COUNTIFS(Addendum!C:C,A2412,Addendum!D:D,IF(ISNUMBER(B2412),TEXT(B2412,"0000"),B2412),Addendum!F:F,"X")&gt;0,2.5%,0)</f>
        <v>0</v>
      </c>
      <c r="K2412" s="31">
        <f>IF(COUNTIFS(Addendum!C:C,A2412,Addendum!D:D,IF(ISNUMBER(B2412),TEXT(B2412,"0000"),B2412),Addendum!G:G,"X")&gt;0,7%,0)</f>
        <v>0</v>
      </c>
      <c r="L2412" s="31">
        <f>IF(COUNTIFS(Addendum!C:C,A2412,Addendum!D:D,IF(ISNUMBER(B2412),TEXT(B2412,"0000"),B2412),Addendum!I:I,"X")&gt;0,10%,0)</f>
        <v>0</v>
      </c>
      <c r="M2412" s="34">
        <f t="shared" si="74"/>
        <v>0.03</v>
      </c>
      <c r="N2412" s="17">
        <f t="shared" si="75"/>
        <v>1070.8800000000001</v>
      </c>
    </row>
    <row r="2413" spans="1:14" x14ac:dyDescent="0.25">
      <c r="A2413" s="14" t="s">
        <v>87</v>
      </c>
      <c r="B2413" s="14">
        <v>2</v>
      </c>
      <c r="C2413" s="15" t="s">
        <v>2479</v>
      </c>
      <c r="D2413" s="14" t="s">
        <v>1745</v>
      </c>
      <c r="E2413" s="14" t="s">
        <v>1746</v>
      </c>
      <c r="F2413" s="17" t="s">
        <v>2993</v>
      </c>
      <c r="G2413" s="14">
        <v>7308</v>
      </c>
      <c r="H2413" s="14">
        <v>5846.4</v>
      </c>
      <c r="I2413" s="31">
        <f>IF(COUNTIFS(Addendum!C:C,A2413,Addendum!D:D,IF(ISNUMBER(B2413),TEXT(B2413,"0000"),B2413),Addendum!E:E,"X")&gt;0,4%,0)</f>
        <v>0</v>
      </c>
      <c r="J2413" s="31">
        <f>IF(COUNTIFS(Addendum!C:C,A2413,Addendum!D:D,IF(ISNUMBER(B2413),TEXT(B2413,"0000"),B2413),Addendum!F:F,"X")&gt;0,2.5%,0)</f>
        <v>0</v>
      </c>
      <c r="K2413" s="31">
        <f>IF(COUNTIFS(Addendum!C:C,A2413,Addendum!D:D,IF(ISNUMBER(B2413),TEXT(B2413,"0000"),B2413),Addendum!G:G,"X")&gt;0,7%,0)</f>
        <v>0</v>
      </c>
      <c r="L2413" s="31">
        <f>IF(COUNTIFS(Addendum!C:C,A2413,Addendum!D:D,IF(ISNUMBER(B2413),TEXT(B2413,"0000"),B2413),Addendum!I:I,"X")&gt;0,10%,0)</f>
        <v>0</v>
      </c>
      <c r="M2413" s="34">
        <f t="shared" si="74"/>
        <v>0</v>
      </c>
      <c r="N2413" s="17">
        <f t="shared" si="75"/>
        <v>5846.4</v>
      </c>
    </row>
    <row r="2414" spans="1:14" x14ac:dyDescent="0.25">
      <c r="A2414" s="14" t="s">
        <v>87</v>
      </c>
      <c r="B2414" s="14" t="s">
        <v>470</v>
      </c>
      <c r="C2414" s="15" t="s">
        <v>2480</v>
      </c>
      <c r="D2414" s="14" t="s">
        <v>1745</v>
      </c>
      <c r="E2414" s="14" t="s">
        <v>1747</v>
      </c>
      <c r="F2414" s="17" t="s">
        <v>2994</v>
      </c>
      <c r="G2414" s="14">
        <v>299.52</v>
      </c>
      <c r="H2414" s="14">
        <v>239.62</v>
      </c>
      <c r="I2414" s="31">
        <f>IF(COUNTIFS(Addendum!C:C,A2414,Addendum!D:D,IF(ISNUMBER(B2414),TEXT(B2414,"0000"),B2414),Addendum!E:E,"X")&gt;0,4%,0)</f>
        <v>0</v>
      </c>
      <c r="J2414" s="31">
        <f>IF(COUNTIFS(Addendum!C:C,A2414,Addendum!D:D,IF(ISNUMBER(B2414),TEXT(B2414,"0000"),B2414),Addendum!F:F,"X")&gt;0,2.5%,0)</f>
        <v>0</v>
      </c>
      <c r="K2414" s="31">
        <f>IF(COUNTIFS(Addendum!C:C,A2414,Addendum!D:D,IF(ISNUMBER(B2414),TEXT(B2414,"0000"),B2414),Addendum!G:G,"X")&gt;0,7%,0)</f>
        <v>0</v>
      </c>
      <c r="L2414" s="31">
        <f>IF(COUNTIFS(Addendum!C:C,A2414,Addendum!D:D,IF(ISNUMBER(B2414),TEXT(B2414,"0000"),B2414),Addendum!I:I,"X")&gt;0,10%,0)</f>
        <v>0</v>
      </c>
      <c r="M2414" s="34">
        <f t="shared" si="74"/>
        <v>0</v>
      </c>
      <c r="N2414" s="17">
        <f t="shared" si="75"/>
        <v>239.62</v>
      </c>
    </row>
    <row r="2415" spans="1:14" x14ac:dyDescent="0.25">
      <c r="A2415" s="14" t="s">
        <v>87</v>
      </c>
      <c r="B2415" s="14" t="s">
        <v>120</v>
      </c>
      <c r="C2415" s="15" t="s">
        <v>2481</v>
      </c>
      <c r="D2415" s="14" t="s">
        <v>1749</v>
      </c>
      <c r="E2415" s="14" t="s">
        <v>1746</v>
      </c>
      <c r="F2415" s="17" t="s">
        <v>2994</v>
      </c>
      <c r="G2415" s="14">
        <v>0</v>
      </c>
      <c r="H2415" s="14">
        <v>0</v>
      </c>
      <c r="I2415" s="31">
        <f>IF(COUNTIFS(Addendum!C:C,A2415,Addendum!D:D,IF(ISNUMBER(B2415),TEXT(B2415,"0000"),B2415),Addendum!E:E,"X")&gt;0,4%,0)</f>
        <v>0</v>
      </c>
      <c r="J2415" s="31">
        <f>IF(COUNTIFS(Addendum!C:C,A2415,Addendum!D:D,IF(ISNUMBER(B2415),TEXT(B2415,"0000"),B2415),Addendum!F:F,"X")&gt;0,2.5%,0)</f>
        <v>0</v>
      </c>
      <c r="K2415" s="31">
        <f>IF(COUNTIFS(Addendum!C:C,A2415,Addendum!D:D,IF(ISNUMBER(B2415),TEXT(B2415,"0000"),B2415),Addendum!G:G,"X")&gt;0,7%,0)</f>
        <v>0</v>
      </c>
      <c r="L2415" s="31">
        <f>IF(COUNTIFS(Addendum!C:C,A2415,Addendum!D:D,IF(ISNUMBER(B2415),TEXT(B2415,"0000"),B2415),Addendum!I:I,"X")&gt;0,10%,0)</f>
        <v>0</v>
      </c>
      <c r="M2415" s="34">
        <f t="shared" si="74"/>
        <v>0</v>
      </c>
      <c r="N2415" s="17">
        <f t="shared" si="75"/>
        <v>0</v>
      </c>
    </row>
    <row r="2416" spans="1:14" x14ac:dyDescent="0.25">
      <c r="A2416" s="14" t="s">
        <v>87</v>
      </c>
      <c r="B2416" s="14">
        <v>14</v>
      </c>
      <c r="C2416" s="15" t="s">
        <v>2482</v>
      </c>
      <c r="D2416" s="14" t="s">
        <v>1745</v>
      </c>
      <c r="E2416" s="14" t="s">
        <v>1747</v>
      </c>
      <c r="F2416" s="17" t="s">
        <v>2994</v>
      </c>
      <c r="G2416" s="14">
        <v>599.04</v>
      </c>
      <c r="H2416" s="14">
        <v>479.23</v>
      </c>
      <c r="I2416" s="31">
        <f>IF(COUNTIFS(Addendum!C:C,A2416,Addendum!D:D,IF(ISNUMBER(B2416),TEXT(B2416,"0000"),B2416),Addendum!E:E,"X")&gt;0,4%,0)</f>
        <v>0</v>
      </c>
      <c r="J2416" s="31">
        <f>IF(COUNTIFS(Addendum!C:C,A2416,Addendum!D:D,IF(ISNUMBER(B2416),TEXT(B2416,"0000"),B2416),Addendum!F:F,"X")&gt;0,2.5%,0)</f>
        <v>0</v>
      </c>
      <c r="K2416" s="31">
        <f>IF(COUNTIFS(Addendum!C:C,A2416,Addendum!D:D,IF(ISNUMBER(B2416),TEXT(B2416,"0000"),B2416),Addendum!G:G,"X")&gt;0,7%,0)</f>
        <v>0</v>
      </c>
      <c r="L2416" s="31">
        <f>IF(COUNTIFS(Addendum!C:C,A2416,Addendum!D:D,IF(ISNUMBER(B2416),TEXT(B2416,"0000"),B2416),Addendum!I:I,"X")&gt;0,10%,0)</f>
        <v>0</v>
      </c>
      <c r="M2416" s="34">
        <f t="shared" si="74"/>
        <v>0</v>
      </c>
      <c r="N2416" s="17">
        <f t="shared" si="75"/>
        <v>479.23</v>
      </c>
    </row>
    <row r="2417" spans="1:14" x14ac:dyDescent="0.25">
      <c r="A2417" s="14" t="s">
        <v>87</v>
      </c>
      <c r="B2417" s="14" t="s">
        <v>108</v>
      </c>
      <c r="C2417" s="15" t="s">
        <v>2483</v>
      </c>
      <c r="D2417" s="14" t="s">
        <v>1749</v>
      </c>
      <c r="E2417" s="14" t="s">
        <v>1746</v>
      </c>
      <c r="F2417" s="17" t="s">
        <v>2995</v>
      </c>
      <c r="G2417" s="14">
        <v>174</v>
      </c>
      <c r="H2417" s="14">
        <v>156.6</v>
      </c>
      <c r="I2417" s="31">
        <f>IF(COUNTIFS(Addendum!C:C,A2417,Addendum!D:D,IF(ISNUMBER(B2417),TEXT(B2417,"0000"),B2417),Addendum!E:E,"X")&gt;0,4%,0)</f>
        <v>0</v>
      </c>
      <c r="J2417" s="31">
        <f>IF(COUNTIFS(Addendum!C:C,A2417,Addendum!D:D,IF(ISNUMBER(B2417),TEXT(B2417,"0000"),B2417),Addendum!F:F,"X")&gt;0,2.5%,0)</f>
        <v>0</v>
      </c>
      <c r="K2417" s="31">
        <f>IF(COUNTIFS(Addendum!C:C,A2417,Addendum!D:D,IF(ISNUMBER(B2417),TEXT(B2417,"0000"),B2417),Addendum!G:G,"X")&gt;0,7%,0)</f>
        <v>0</v>
      </c>
      <c r="L2417" s="31">
        <f>IF(COUNTIFS(Addendum!C:C,A2417,Addendum!D:D,IF(ISNUMBER(B2417),TEXT(B2417,"0000"),B2417),Addendum!I:I,"X")&gt;0,10%,0)</f>
        <v>0</v>
      </c>
      <c r="M2417" s="34">
        <f t="shared" si="74"/>
        <v>0</v>
      </c>
      <c r="N2417" s="17">
        <f t="shared" si="75"/>
        <v>156.6</v>
      </c>
    </row>
    <row r="2418" spans="1:14" x14ac:dyDescent="0.25">
      <c r="A2418" s="14" t="s">
        <v>87</v>
      </c>
      <c r="B2418" s="14">
        <v>2</v>
      </c>
      <c r="C2418" s="15" t="s">
        <v>2479</v>
      </c>
      <c r="D2418" s="14" t="s">
        <v>1749</v>
      </c>
      <c r="E2418" s="14" t="s">
        <v>1746</v>
      </c>
      <c r="F2418" s="17" t="s">
        <v>2993</v>
      </c>
      <c r="G2418" s="14">
        <v>696</v>
      </c>
      <c r="H2418" s="14">
        <v>556.79999999999995</v>
      </c>
      <c r="I2418" s="31">
        <f>IF(COUNTIFS(Addendum!C:C,A2418,Addendum!D:D,IF(ISNUMBER(B2418),TEXT(B2418,"0000"),B2418),Addendum!E:E,"X")&gt;0,4%,0)</f>
        <v>0</v>
      </c>
      <c r="J2418" s="31">
        <f>IF(COUNTIFS(Addendum!C:C,A2418,Addendum!D:D,IF(ISNUMBER(B2418),TEXT(B2418,"0000"),B2418),Addendum!F:F,"X")&gt;0,2.5%,0)</f>
        <v>0</v>
      </c>
      <c r="K2418" s="31">
        <f>IF(COUNTIFS(Addendum!C:C,A2418,Addendum!D:D,IF(ISNUMBER(B2418),TEXT(B2418,"0000"),B2418),Addendum!G:G,"X")&gt;0,7%,0)</f>
        <v>0</v>
      </c>
      <c r="L2418" s="31">
        <f>IF(COUNTIFS(Addendum!C:C,A2418,Addendum!D:D,IF(ISNUMBER(B2418),TEXT(B2418,"0000"),B2418),Addendum!I:I,"X")&gt;0,10%,0)</f>
        <v>0</v>
      </c>
      <c r="M2418" s="34">
        <f t="shared" si="74"/>
        <v>0</v>
      </c>
      <c r="N2418" s="17">
        <f t="shared" si="75"/>
        <v>556.79999999999995</v>
      </c>
    </row>
    <row r="2419" spans="1:14" x14ac:dyDescent="0.25">
      <c r="A2419" s="14" t="s">
        <v>87</v>
      </c>
      <c r="B2419" s="14">
        <v>14</v>
      </c>
      <c r="C2419" s="15" t="s">
        <v>2482</v>
      </c>
      <c r="D2419" s="14" t="s">
        <v>1745</v>
      </c>
      <c r="E2419" s="14" t="s">
        <v>1746</v>
      </c>
      <c r="F2419" s="17" t="s">
        <v>2994</v>
      </c>
      <c r="G2419" s="14">
        <v>629.04</v>
      </c>
      <c r="H2419" s="14">
        <v>503.16</v>
      </c>
      <c r="I2419" s="31">
        <f>IF(COUNTIFS(Addendum!C:C,A2419,Addendum!D:D,IF(ISNUMBER(B2419),TEXT(B2419,"0000"),B2419),Addendum!E:E,"X")&gt;0,4%,0)</f>
        <v>0</v>
      </c>
      <c r="J2419" s="31">
        <f>IF(COUNTIFS(Addendum!C:C,A2419,Addendum!D:D,IF(ISNUMBER(B2419),TEXT(B2419,"0000"),B2419),Addendum!F:F,"X")&gt;0,2.5%,0)</f>
        <v>0</v>
      </c>
      <c r="K2419" s="31">
        <f>IF(COUNTIFS(Addendum!C:C,A2419,Addendum!D:D,IF(ISNUMBER(B2419),TEXT(B2419,"0000"),B2419),Addendum!G:G,"X")&gt;0,7%,0)</f>
        <v>0</v>
      </c>
      <c r="L2419" s="31">
        <f>IF(COUNTIFS(Addendum!C:C,A2419,Addendum!D:D,IF(ISNUMBER(B2419),TEXT(B2419,"0000"),B2419),Addendum!I:I,"X")&gt;0,10%,0)</f>
        <v>0</v>
      </c>
      <c r="M2419" s="34">
        <f t="shared" si="74"/>
        <v>0</v>
      </c>
      <c r="N2419" s="17">
        <f t="shared" si="75"/>
        <v>503.16</v>
      </c>
    </row>
    <row r="2420" spans="1:14" x14ac:dyDescent="0.25">
      <c r="A2420" s="14" t="s">
        <v>87</v>
      </c>
      <c r="B2420" s="14">
        <v>14</v>
      </c>
      <c r="C2420" s="15" t="s">
        <v>2482</v>
      </c>
      <c r="D2420" s="14" t="s">
        <v>1749</v>
      </c>
      <c r="E2420" s="14" t="s">
        <v>1746</v>
      </c>
      <c r="F2420" s="17" t="s">
        <v>2994</v>
      </c>
      <c r="G2420" s="14">
        <v>59.9</v>
      </c>
      <c r="H2420" s="14">
        <v>47.92</v>
      </c>
      <c r="I2420" s="31">
        <f>IF(COUNTIFS(Addendum!C:C,A2420,Addendum!D:D,IF(ISNUMBER(B2420),TEXT(B2420,"0000"),B2420),Addendum!E:E,"X")&gt;0,4%,0)</f>
        <v>0</v>
      </c>
      <c r="J2420" s="31">
        <f>IF(COUNTIFS(Addendum!C:C,A2420,Addendum!D:D,IF(ISNUMBER(B2420),TEXT(B2420,"0000"),B2420),Addendum!F:F,"X")&gt;0,2.5%,0)</f>
        <v>0</v>
      </c>
      <c r="K2420" s="31">
        <f>IF(COUNTIFS(Addendum!C:C,A2420,Addendum!D:D,IF(ISNUMBER(B2420),TEXT(B2420,"0000"),B2420),Addendum!G:G,"X")&gt;0,7%,0)</f>
        <v>0</v>
      </c>
      <c r="L2420" s="31">
        <f>IF(COUNTIFS(Addendum!C:C,A2420,Addendum!D:D,IF(ISNUMBER(B2420),TEXT(B2420,"0000"),B2420),Addendum!I:I,"X")&gt;0,10%,0)</f>
        <v>0</v>
      </c>
      <c r="M2420" s="34">
        <f t="shared" si="74"/>
        <v>0</v>
      </c>
      <c r="N2420" s="17">
        <f t="shared" si="75"/>
        <v>47.92</v>
      </c>
    </row>
    <row r="2421" spans="1:14" x14ac:dyDescent="0.25">
      <c r="A2421" s="14" t="s">
        <v>87</v>
      </c>
      <c r="B2421" s="14" t="s">
        <v>108</v>
      </c>
      <c r="C2421" s="15" t="s">
        <v>2483</v>
      </c>
      <c r="D2421" s="14" t="s">
        <v>1745</v>
      </c>
      <c r="E2421" s="14" t="s">
        <v>1747</v>
      </c>
      <c r="F2421" s="17" t="s">
        <v>2995</v>
      </c>
      <c r="G2421" s="14">
        <v>1740</v>
      </c>
      <c r="H2421" s="14">
        <v>1566</v>
      </c>
      <c r="I2421" s="31">
        <f>IF(COUNTIFS(Addendum!C:C,A2421,Addendum!D:D,IF(ISNUMBER(B2421),TEXT(B2421,"0000"),B2421),Addendum!E:E,"X")&gt;0,4%,0)</f>
        <v>0</v>
      </c>
      <c r="J2421" s="31">
        <f>IF(COUNTIFS(Addendum!C:C,A2421,Addendum!D:D,IF(ISNUMBER(B2421),TEXT(B2421,"0000"),B2421),Addendum!F:F,"X")&gt;0,2.5%,0)</f>
        <v>0</v>
      </c>
      <c r="K2421" s="31">
        <f>IF(COUNTIFS(Addendum!C:C,A2421,Addendum!D:D,IF(ISNUMBER(B2421),TEXT(B2421,"0000"),B2421),Addendum!G:G,"X")&gt;0,7%,0)</f>
        <v>0</v>
      </c>
      <c r="L2421" s="31">
        <f>IF(COUNTIFS(Addendum!C:C,A2421,Addendum!D:D,IF(ISNUMBER(B2421),TEXT(B2421,"0000"),B2421),Addendum!I:I,"X")&gt;0,10%,0)</f>
        <v>0</v>
      </c>
      <c r="M2421" s="34">
        <f t="shared" si="74"/>
        <v>0</v>
      </c>
      <c r="N2421" s="17">
        <f t="shared" si="75"/>
        <v>1566</v>
      </c>
    </row>
    <row r="2422" spans="1:14" x14ac:dyDescent="0.25">
      <c r="A2422" s="14" t="s">
        <v>87</v>
      </c>
      <c r="B2422" s="14">
        <v>2</v>
      </c>
      <c r="C2422" s="15" t="s">
        <v>2479</v>
      </c>
      <c r="D2422" s="14" t="s">
        <v>1745</v>
      </c>
      <c r="E2422" s="14" t="s">
        <v>1747</v>
      </c>
      <c r="F2422" s="17" t="s">
        <v>2993</v>
      </c>
      <c r="G2422" s="14">
        <v>6960</v>
      </c>
      <c r="H2422" s="14">
        <v>5568</v>
      </c>
      <c r="I2422" s="31">
        <f>IF(COUNTIFS(Addendum!C:C,A2422,Addendum!D:D,IF(ISNUMBER(B2422),TEXT(B2422,"0000"),B2422),Addendum!E:E,"X")&gt;0,4%,0)</f>
        <v>0</v>
      </c>
      <c r="J2422" s="31">
        <f>IF(COUNTIFS(Addendum!C:C,A2422,Addendum!D:D,IF(ISNUMBER(B2422),TEXT(B2422,"0000"),B2422),Addendum!F:F,"X")&gt;0,2.5%,0)</f>
        <v>0</v>
      </c>
      <c r="K2422" s="31">
        <f>IF(COUNTIFS(Addendum!C:C,A2422,Addendum!D:D,IF(ISNUMBER(B2422),TEXT(B2422,"0000"),B2422),Addendum!G:G,"X")&gt;0,7%,0)</f>
        <v>0</v>
      </c>
      <c r="L2422" s="31">
        <f>IF(COUNTIFS(Addendum!C:C,A2422,Addendum!D:D,IF(ISNUMBER(B2422),TEXT(B2422,"0000"),B2422),Addendum!I:I,"X")&gt;0,10%,0)</f>
        <v>0</v>
      </c>
      <c r="M2422" s="34">
        <f t="shared" si="74"/>
        <v>0</v>
      </c>
      <c r="N2422" s="17">
        <f t="shared" si="75"/>
        <v>5568</v>
      </c>
    </row>
    <row r="2423" spans="1:14" x14ac:dyDescent="0.25">
      <c r="A2423" s="14" t="s">
        <v>87</v>
      </c>
      <c r="B2423" s="14" t="s">
        <v>470</v>
      </c>
      <c r="C2423" s="15" t="s">
        <v>2480</v>
      </c>
      <c r="D2423" s="14" t="s">
        <v>1745</v>
      </c>
      <c r="E2423" s="14" t="s">
        <v>1746</v>
      </c>
      <c r="F2423" s="17" t="s">
        <v>2994</v>
      </c>
      <c r="G2423" s="14">
        <v>314.52</v>
      </c>
      <c r="H2423" s="14">
        <v>251.64</v>
      </c>
      <c r="I2423" s="31">
        <f>IF(COUNTIFS(Addendum!C:C,A2423,Addendum!D:D,IF(ISNUMBER(B2423),TEXT(B2423,"0000"),B2423),Addendum!E:E,"X")&gt;0,4%,0)</f>
        <v>0</v>
      </c>
      <c r="J2423" s="31">
        <f>IF(COUNTIFS(Addendum!C:C,A2423,Addendum!D:D,IF(ISNUMBER(B2423),TEXT(B2423,"0000"),B2423),Addendum!F:F,"X")&gt;0,2.5%,0)</f>
        <v>0</v>
      </c>
      <c r="K2423" s="31">
        <f>IF(COUNTIFS(Addendum!C:C,A2423,Addendum!D:D,IF(ISNUMBER(B2423),TEXT(B2423,"0000"),B2423),Addendum!G:G,"X")&gt;0,7%,0)</f>
        <v>0</v>
      </c>
      <c r="L2423" s="31">
        <f>IF(COUNTIFS(Addendum!C:C,A2423,Addendum!D:D,IF(ISNUMBER(B2423),TEXT(B2423,"0000"),B2423),Addendum!I:I,"X")&gt;0,10%,0)</f>
        <v>0</v>
      </c>
      <c r="M2423" s="34">
        <f t="shared" si="74"/>
        <v>0</v>
      </c>
      <c r="N2423" s="17">
        <f t="shared" si="75"/>
        <v>251.64</v>
      </c>
    </row>
    <row r="2424" spans="1:14" x14ac:dyDescent="0.25">
      <c r="A2424" s="14" t="s">
        <v>87</v>
      </c>
      <c r="B2424" s="14" t="s">
        <v>470</v>
      </c>
      <c r="C2424" s="15" t="s">
        <v>2480</v>
      </c>
      <c r="D2424" s="14" t="s">
        <v>1749</v>
      </c>
      <c r="E2424" s="14" t="s">
        <v>1746</v>
      </c>
      <c r="F2424" s="17" t="s">
        <v>2994</v>
      </c>
      <c r="G2424" s="14">
        <v>29.95</v>
      </c>
      <c r="H2424" s="14">
        <v>23.96</v>
      </c>
      <c r="I2424" s="31">
        <f>IF(COUNTIFS(Addendum!C:C,A2424,Addendum!D:D,IF(ISNUMBER(B2424),TEXT(B2424,"0000"),B2424),Addendum!E:E,"X")&gt;0,4%,0)</f>
        <v>0</v>
      </c>
      <c r="J2424" s="31">
        <f>IF(COUNTIFS(Addendum!C:C,A2424,Addendum!D:D,IF(ISNUMBER(B2424),TEXT(B2424,"0000"),B2424),Addendum!F:F,"X")&gt;0,2.5%,0)</f>
        <v>0</v>
      </c>
      <c r="K2424" s="31">
        <f>IF(COUNTIFS(Addendum!C:C,A2424,Addendum!D:D,IF(ISNUMBER(B2424),TEXT(B2424,"0000"),B2424),Addendum!G:G,"X")&gt;0,7%,0)</f>
        <v>0</v>
      </c>
      <c r="L2424" s="31">
        <f>IF(COUNTIFS(Addendum!C:C,A2424,Addendum!D:D,IF(ISNUMBER(B2424),TEXT(B2424,"0000"),B2424),Addendum!I:I,"X")&gt;0,10%,0)</f>
        <v>0</v>
      </c>
      <c r="M2424" s="34">
        <f t="shared" si="74"/>
        <v>0</v>
      </c>
      <c r="N2424" s="17">
        <f t="shared" si="75"/>
        <v>23.96</v>
      </c>
    </row>
    <row r="2425" spans="1:14" x14ac:dyDescent="0.25">
      <c r="A2425" s="14" t="s">
        <v>87</v>
      </c>
      <c r="B2425" s="14" t="s">
        <v>120</v>
      </c>
      <c r="C2425" s="15" t="s">
        <v>2481</v>
      </c>
      <c r="D2425" s="14" t="s">
        <v>1745</v>
      </c>
      <c r="E2425" s="14" t="s">
        <v>1746</v>
      </c>
      <c r="F2425" s="17" t="s">
        <v>2994</v>
      </c>
      <c r="G2425" s="14">
        <v>0</v>
      </c>
      <c r="H2425" s="14">
        <v>0</v>
      </c>
      <c r="I2425" s="31">
        <f>IF(COUNTIFS(Addendum!C:C,A2425,Addendum!D:D,IF(ISNUMBER(B2425),TEXT(B2425,"0000"),B2425),Addendum!E:E,"X")&gt;0,4%,0)</f>
        <v>0</v>
      </c>
      <c r="J2425" s="31">
        <f>IF(COUNTIFS(Addendum!C:C,A2425,Addendum!D:D,IF(ISNUMBER(B2425),TEXT(B2425,"0000"),B2425),Addendum!F:F,"X")&gt;0,2.5%,0)</f>
        <v>0</v>
      </c>
      <c r="K2425" s="31">
        <f>IF(COUNTIFS(Addendum!C:C,A2425,Addendum!D:D,IF(ISNUMBER(B2425),TEXT(B2425,"0000"),B2425),Addendum!G:G,"X")&gt;0,7%,0)</f>
        <v>0</v>
      </c>
      <c r="L2425" s="31">
        <f>IF(COUNTIFS(Addendum!C:C,A2425,Addendum!D:D,IF(ISNUMBER(B2425),TEXT(B2425,"0000"),B2425),Addendum!I:I,"X")&gt;0,10%,0)</f>
        <v>0</v>
      </c>
      <c r="M2425" s="34">
        <f t="shared" si="74"/>
        <v>0</v>
      </c>
      <c r="N2425" s="17">
        <f t="shared" si="75"/>
        <v>0</v>
      </c>
    </row>
    <row r="2426" spans="1:14" x14ac:dyDescent="0.25">
      <c r="A2426" s="14" t="s">
        <v>87</v>
      </c>
      <c r="B2426" s="14" t="s">
        <v>120</v>
      </c>
      <c r="C2426" s="15" t="s">
        <v>2481</v>
      </c>
      <c r="D2426" s="14" t="s">
        <v>1745</v>
      </c>
      <c r="E2426" s="14" t="s">
        <v>1747</v>
      </c>
      <c r="F2426" s="17" t="s">
        <v>2994</v>
      </c>
      <c r="G2426" s="14">
        <v>0</v>
      </c>
      <c r="H2426" s="14">
        <v>0</v>
      </c>
      <c r="I2426" s="31">
        <f>IF(COUNTIFS(Addendum!C:C,A2426,Addendum!D:D,IF(ISNUMBER(B2426),TEXT(B2426,"0000"),B2426),Addendum!E:E,"X")&gt;0,4%,0)</f>
        <v>0</v>
      </c>
      <c r="J2426" s="31">
        <f>IF(COUNTIFS(Addendum!C:C,A2426,Addendum!D:D,IF(ISNUMBER(B2426),TEXT(B2426,"0000"),B2426),Addendum!F:F,"X")&gt;0,2.5%,0)</f>
        <v>0</v>
      </c>
      <c r="K2426" s="31">
        <f>IF(COUNTIFS(Addendum!C:C,A2426,Addendum!D:D,IF(ISNUMBER(B2426),TEXT(B2426,"0000"),B2426),Addendum!G:G,"X")&gt;0,7%,0)</f>
        <v>0</v>
      </c>
      <c r="L2426" s="31">
        <f>IF(COUNTIFS(Addendum!C:C,A2426,Addendum!D:D,IF(ISNUMBER(B2426),TEXT(B2426,"0000"),B2426),Addendum!I:I,"X")&gt;0,10%,0)</f>
        <v>0</v>
      </c>
      <c r="M2426" s="34">
        <f t="shared" si="74"/>
        <v>0</v>
      </c>
      <c r="N2426" s="17">
        <f t="shared" si="75"/>
        <v>0</v>
      </c>
    </row>
    <row r="2427" spans="1:14" x14ac:dyDescent="0.25">
      <c r="A2427" s="14" t="s">
        <v>87</v>
      </c>
      <c r="B2427" s="14" t="s">
        <v>108</v>
      </c>
      <c r="C2427" s="15" t="s">
        <v>2483</v>
      </c>
      <c r="D2427" s="14" t="s">
        <v>1745</v>
      </c>
      <c r="E2427" s="14" t="s">
        <v>1746</v>
      </c>
      <c r="F2427" s="17" t="s">
        <v>2995</v>
      </c>
      <c r="G2427" s="14">
        <v>1827</v>
      </c>
      <c r="H2427" s="14">
        <v>1644.36</v>
      </c>
      <c r="I2427" s="31">
        <f>IF(COUNTIFS(Addendum!C:C,A2427,Addendum!D:D,IF(ISNUMBER(B2427),TEXT(B2427,"0000"),B2427),Addendum!E:E,"X")&gt;0,4%,0)</f>
        <v>0</v>
      </c>
      <c r="J2427" s="31">
        <f>IF(COUNTIFS(Addendum!C:C,A2427,Addendum!D:D,IF(ISNUMBER(B2427),TEXT(B2427,"0000"),B2427),Addendum!F:F,"X")&gt;0,2.5%,0)</f>
        <v>0</v>
      </c>
      <c r="K2427" s="31">
        <f>IF(COUNTIFS(Addendum!C:C,A2427,Addendum!D:D,IF(ISNUMBER(B2427),TEXT(B2427,"0000"),B2427),Addendum!G:G,"X")&gt;0,7%,0)</f>
        <v>0</v>
      </c>
      <c r="L2427" s="31">
        <f>IF(COUNTIFS(Addendum!C:C,A2427,Addendum!D:D,IF(ISNUMBER(B2427),TEXT(B2427,"0000"),B2427),Addendum!I:I,"X")&gt;0,10%,0)</f>
        <v>0</v>
      </c>
      <c r="M2427" s="34">
        <f t="shared" si="74"/>
        <v>0</v>
      </c>
      <c r="N2427" s="17">
        <f t="shared" si="75"/>
        <v>1644.36</v>
      </c>
    </row>
    <row r="2428" spans="1:14" x14ac:dyDescent="0.25">
      <c r="A2428" s="14" t="s">
        <v>92</v>
      </c>
      <c r="B2428" s="14">
        <v>17</v>
      </c>
      <c r="C2428" s="15" t="s">
        <v>892</v>
      </c>
      <c r="D2428" s="14" t="s">
        <v>1749</v>
      </c>
      <c r="E2428" s="14" t="s">
        <v>1746</v>
      </c>
      <c r="F2428" s="17" t="s">
        <v>2993</v>
      </c>
      <c r="G2428" s="14">
        <v>696</v>
      </c>
      <c r="H2428" s="14">
        <v>556.79999999999995</v>
      </c>
      <c r="I2428" s="31">
        <f>IF(COUNTIFS(Addendum!C:C,A2428,Addendum!D:D,IF(ISNUMBER(B2428),TEXT(B2428,"0000"),B2428),Addendum!E:E,"X")&gt;0,4%,0)</f>
        <v>0.04</v>
      </c>
      <c r="J2428" s="31">
        <f>IF(COUNTIFS(Addendum!C:C,A2428,Addendum!D:D,IF(ISNUMBER(B2428),TEXT(B2428,"0000"),B2428),Addendum!F:F,"X")&gt;0,2.5%,0)</f>
        <v>0</v>
      </c>
      <c r="K2428" s="31">
        <f>IF(COUNTIFS(Addendum!C:C,A2428,Addendum!D:D,IF(ISNUMBER(B2428),TEXT(B2428,"0000"),B2428),Addendum!G:G,"X")&gt;0,7%,0)</f>
        <v>0</v>
      </c>
      <c r="L2428" s="31">
        <f>IF(COUNTIFS(Addendum!C:C,A2428,Addendum!D:D,IF(ISNUMBER(B2428),TEXT(B2428,"0000"),B2428),Addendum!I:I,"X")&gt;0,10%,0)</f>
        <v>0</v>
      </c>
      <c r="M2428" s="34">
        <f t="shared" si="74"/>
        <v>0.01</v>
      </c>
      <c r="N2428" s="17">
        <f t="shared" si="75"/>
        <v>551.23199999999997</v>
      </c>
    </row>
    <row r="2429" spans="1:14" x14ac:dyDescent="0.25">
      <c r="A2429" s="14" t="s">
        <v>92</v>
      </c>
      <c r="B2429" s="14">
        <v>18</v>
      </c>
      <c r="C2429" s="15" t="s">
        <v>2484</v>
      </c>
      <c r="D2429" s="14" t="s">
        <v>1745</v>
      </c>
      <c r="E2429" s="14" t="s">
        <v>1747</v>
      </c>
      <c r="F2429" s="17" t="s">
        <v>2995</v>
      </c>
      <c r="G2429" s="14">
        <v>4020</v>
      </c>
      <c r="H2429" s="14">
        <v>3618</v>
      </c>
      <c r="I2429" s="31">
        <f>IF(COUNTIFS(Addendum!C:C,A2429,Addendum!D:D,IF(ISNUMBER(B2429),TEXT(B2429,"0000"),B2429),Addendum!E:E,"X")&gt;0,4%,0)</f>
        <v>0.04</v>
      </c>
      <c r="J2429" s="31">
        <f>IF(COUNTIFS(Addendum!C:C,A2429,Addendum!D:D,IF(ISNUMBER(B2429),TEXT(B2429,"0000"),B2429),Addendum!F:F,"X")&gt;0,2.5%,0)</f>
        <v>0</v>
      </c>
      <c r="K2429" s="31">
        <f>IF(COUNTIFS(Addendum!C:C,A2429,Addendum!D:D,IF(ISNUMBER(B2429),TEXT(B2429,"0000"),B2429),Addendum!G:G,"X")&gt;0,7%,0)</f>
        <v>0</v>
      </c>
      <c r="L2429" s="31">
        <f>IF(COUNTIFS(Addendum!C:C,A2429,Addendum!D:D,IF(ISNUMBER(B2429),TEXT(B2429,"0000"),B2429),Addendum!I:I,"X")&gt;0,10%,0)</f>
        <v>0</v>
      </c>
      <c r="M2429" s="34">
        <f t="shared" si="74"/>
        <v>0.03</v>
      </c>
      <c r="N2429" s="17">
        <f t="shared" si="75"/>
        <v>3509.46</v>
      </c>
    </row>
    <row r="2430" spans="1:14" x14ac:dyDescent="0.25">
      <c r="A2430" s="14" t="s">
        <v>92</v>
      </c>
      <c r="B2430" s="14">
        <v>1</v>
      </c>
      <c r="C2430" s="15" t="s">
        <v>891</v>
      </c>
      <c r="D2430" s="14" t="s">
        <v>1745</v>
      </c>
      <c r="E2430" s="14" t="s">
        <v>1746</v>
      </c>
      <c r="F2430" s="17" t="s">
        <v>2993</v>
      </c>
      <c r="G2430" s="14">
        <v>10458</v>
      </c>
      <c r="H2430" s="14">
        <v>8366.4</v>
      </c>
      <c r="I2430" s="31">
        <f>IF(COUNTIFS(Addendum!C:C,A2430,Addendum!D:D,IF(ISNUMBER(B2430),TEXT(B2430,"0000"),B2430),Addendum!E:E,"X")&gt;0,4%,0)</f>
        <v>0.04</v>
      </c>
      <c r="J2430" s="31">
        <f>IF(COUNTIFS(Addendum!C:C,A2430,Addendum!D:D,IF(ISNUMBER(B2430),TEXT(B2430,"0000"),B2430),Addendum!F:F,"X")&gt;0,2.5%,0)</f>
        <v>0</v>
      </c>
      <c r="K2430" s="31">
        <f>IF(COUNTIFS(Addendum!C:C,A2430,Addendum!D:D,IF(ISNUMBER(B2430),TEXT(B2430,"0000"),B2430),Addendum!G:G,"X")&gt;0,7%,0)</f>
        <v>0</v>
      </c>
      <c r="L2430" s="31">
        <f>IF(COUNTIFS(Addendum!C:C,A2430,Addendum!D:D,IF(ISNUMBER(B2430),TEXT(B2430,"0000"),B2430),Addendum!I:I,"X")&gt;0,10%,0)</f>
        <v>0</v>
      </c>
      <c r="M2430" s="34">
        <f t="shared" si="74"/>
        <v>0.01</v>
      </c>
      <c r="N2430" s="17">
        <f t="shared" si="75"/>
        <v>8282.735999999999</v>
      </c>
    </row>
    <row r="2431" spans="1:14" x14ac:dyDescent="0.25">
      <c r="A2431" s="14" t="s">
        <v>92</v>
      </c>
      <c r="B2431" s="14" t="s">
        <v>258</v>
      </c>
      <c r="C2431" s="15" t="s">
        <v>2485</v>
      </c>
      <c r="D2431" s="14" t="s">
        <v>1749</v>
      </c>
      <c r="E2431" s="14" t="s">
        <v>1746</v>
      </c>
      <c r="F2431" s="17" t="s">
        <v>2994</v>
      </c>
      <c r="G2431" s="14">
        <v>44.93</v>
      </c>
      <c r="H2431" s="14">
        <v>35.94</v>
      </c>
      <c r="I2431" s="31">
        <f>IF(COUNTIFS(Addendum!C:C,A2431,Addendum!D:D,IF(ISNUMBER(B2431),TEXT(B2431,"0000"),B2431),Addendum!E:E,"X")&gt;0,4%,0)</f>
        <v>0.04</v>
      </c>
      <c r="J2431" s="31">
        <f>IF(COUNTIFS(Addendum!C:C,A2431,Addendum!D:D,IF(ISNUMBER(B2431),TEXT(B2431,"0000"),B2431),Addendum!F:F,"X")&gt;0,2.5%,0)</f>
        <v>0</v>
      </c>
      <c r="K2431" s="31">
        <f>IF(COUNTIFS(Addendum!C:C,A2431,Addendum!D:D,IF(ISNUMBER(B2431),TEXT(B2431,"0000"),B2431),Addendum!G:G,"X")&gt;0,7%,0)</f>
        <v>0</v>
      </c>
      <c r="L2431" s="31">
        <f>IF(COUNTIFS(Addendum!C:C,A2431,Addendum!D:D,IF(ISNUMBER(B2431),TEXT(B2431,"0000"),B2431),Addendum!I:I,"X")&gt;0,10%,0)</f>
        <v>0</v>
      </c>
      <c r="M2431" s="34">
        <f t="shared" si="74"/>
        <v>0.01</v>
      </c>
      <c r="N2431" s="17">
        <f t="shared" si="75"/>
        <v>35.580599999999997</v>
      </c>
    </row>
    <row r="2432" spans="1:14" x14ac:dyDescent="0.25">
      <c r="A2432" s="14" t="s">
        <v>92</v>
      </c>
      <c r="B2432" s="14">
        <v>22</v>
      </c>
      <c r="C2432" s="15" t="s">
        <v>2486</v>
      </c>
      <c r="D2432" s="14" t="s">
        <v>1745</v>
      </c>
      <c r="E2432" s="14" t="s">
        <v>1746</v>
      </c>
      <c r="F2432" s="17" t="s">
        <v>2994</v>
      </c>
      <c r="G2432" s="14">
        <v>0</v>
      </c>
      <c r="H2432" s="14">
        <v>0</v>
      </c>
      <c r="I2432" s="31">
        <f>IF(COUNTIFS(Addendum!C:C,A2432,Addendum!D:D,IF(ISNUMBER(B2432),TEXT(B2432,"0000"),B2432),Addendum!E:E,"X")&gt;0,4%,0)</f>
        <v>0.04</v>
      </c>
      <c r="J2432" s="31">
        <f>IF(COUNTIFS(Addendum!C:C,A2432,Addendum!D:D,IF(ISNUMBER(B2432),TEXT(B2432,"0000"),B2432),Addendum!F:F,"X")&gt;0,2.5%,0)</f>
        <v>0</v>
      </c>
      <c r="K2432" s="31">
        <f>IF(COUNTIFS(Addendum!C:C,A2432,Addendum!D:D,IF(ISNUMBER(B2432),TEXT(B2432,"0000"),B2432),Addendum!G:G,"X")&gt;0,7%,0)</f>
        <v>0</v>
      </c>
      <c r="L2432" s="31">
        <f>IF(COUNTIFS(Addendum!C:C,A2432,Addendum!D:D,IF(ISNUMBER(B2432),TEXT(B2432,"0000"),B2432),Addendum!I:I,"X")&gt;0,10%,0)</f>
        <v>0</v>
      </c>
      <c r="M2432" s="34">
        <f t="shared" si="74"/>
        <v>0.01</v>
      </c>
      <c r="N2432" s="17">
        <f t="shared" si="75"/>
        <v>0</v>
      </c>
    </row>
    <row r="2433" spans="1:14" x14ac:dyDescent="0.25">
      <c r="A2433" s="14" t="s">
        <v>92</v>
      </c>
      <c r="B2433" s="14">
        <v>22</v>
      </c>
      <c r="C2433" s="15" t="s">
        <v>2486</v>
      </c>
      <c r="D2433" s="14" t="s">
        <v>1745</v>
      </c>
      <c r="E2433" s="14" t="s">
        <v>1747</v>
      </c>
      <c r="F2433" s="17" t="s">
        <v>2994</v>
      </c>
      <c r="G2433" s="14">
        <v>0</v>
      </c>
      <c r="H2433" s="14">
        <v>0</v>
      </c>
      <c r="I2433" s="31">
        <f>IF(COUNTIFS(Addendum!C:C,A2433,Addendum!D:D,IF(ISNUMBER(B2433),TEXT(B2433,"0000"),B2433),Addendum!E:E,"X")&gt;0,4%,0)</f>
        <v>0.04</v>
      </c>
      <c r="J2433" s="31">
        <f>IF(COUNTIFS(Addendum!C:C,A2433,Addendum!D:D,IF(ISNUMBER(B2433),TEXT(B2433,"0000"),B2433),Addendum!F:F,"X")&gt;0,2.5%,0)</f>
        <v>0</v>
      </c>
      <c r="K2433" s="31">
        <f>IF(COUNTIFS(Addendum!C:C,A2433,Addendum!D:D,IF(ISNUMBER(B2433),TEXT(B2433,"0000"),B2433),Addendum!G:G,"X")&gt;0,7%,0)</f>
        <v>0</v>
      </c>
      <c r="L2433" s="31">
        <f>IF(COUNTIFS(Addendum!C:C,A2433,Addendum!D:D,IF(ISNUMBER(B2433),TEXT(B2433,"0000"),B2433),Addendum!I:I,"X")&gt;0,10%,0)</f>
        <v>0</v>
      </c>
      <c r="M2433" s="34">
        <f t="shared" si="74"/>
        <v>0.03</v>
      </c>
      <c r="N2433" s="17">
        <f t="shared" si="75"/>
        <v>0</v>
      </c>
    </row>
    <row r="2434" spans="1:14" x14ac:dyDescent="0.25">
      <c r="A2434" s="14" t="s">
        <v>92</v>
      </c>
      <c r="B2434" s="14">
        <v>1</v>
      </c>
      <c r="C2434" s="15" t="s">
        <v>891</v>
      </c>
      <c r="D2434" s="14" t="s">
        <v>1745</v>
      </c>
      <c r="E2434" s="14" t="s">
        <v>1747</v>
      </c>
      <c r="F2434" s="17" t="s">
        <v>2993</v>
      </c>
      <c r="G2434" s="14">
        <v>9960</v>
      </c>
      <c r="H2434" s="14">
        <v>7968</v>
      </c>
      <c r="I2434" s="31">
        <f>IF(COUNTIFS(Addendum!C:C,A2434,Addendum!D:D,IF(ISNUMBER(B2434),TEXT(B2434,"0000"),B2434),Addendum!E:E,"X")&gt;0,4%,0)</f>
        <v>0.04</v>
      </c>
      <c r="J2434" s="31">
        <f>IF(COUNTIFS(Addendum!C:C,A2434,Addendum!D:D,IF(ISNUMBER(B2434),TEXT(B2434,"0000"),B2434),Addendum!F:F,"X")&gt;0,2.5%,0)</f>
        <v>0</v>
      </c>
      <c r="K2434" s="31">
        <f>IF(COUNTIFS(Addendum!C:C,A2434,Addendum!D:D,IF(ISNUMBER(B2434),TEXT(B2434,"0000"),B2434),Addendum!G:G,"X")&gt;0,7%,0)</f>
        <v>0</v>
      </c>
      <c r="L2434" s="31">
        <f>IF(COUNTIFS(Addendum!C:C,A2434,Addendum!D:D,IF(ISNUMBER(B2434),TEXT(B2434,"0000"),B2434),Addendum!I:I,"X")&gt;0,10%,0)</f>
        <v>0</v>
      </c>
      <c r="M2434" s="34">
        <f t="shared" si="74"/>
        <v>0.03</v>
      </c>
      <c r="N2434" s="17">
        <f t="shared" si="75"/>
        <v>7728.96</v>
      </c>
    </row>
    <row r="2435" spans="1:14" x14ac:dyDescent="0.25">
      <c r="A2435" s="14" t="s">
        <v>92</v>
      </c>
      <c r="B2435" s="14">
        <v>17</v>
      </c>
      <c r="C2435" s="15" t="s">
        <v>892</v>
      </c>
      <c r="D2435" s="14" t="s">
        <v>1745</v>
      </c>
      <c r="E2435" s="14" t="s">
        <v>1747</v>
      </c>
      <c r="F2435" s="17" t="s">
        <v>2993</v>
      </c>
      <c r="G2435" s="14">
        <v>6960</v>
      </c>
      <c r="H2435" s="14">
        <v>5568</v>
      </c>
      <c r="I2435" s="31">
        <f>IF(COUNTIFS(Addendum!C:C,A2435,Addendum!D:D,IF(ISNUMBER(B2435),TEXT(B2435,"0000"),B2435),Addendum!E:E,"X")&gt;0,4%,0)</f>
        <v>0.04</v>
      </c>
      <c r="J2435" s="31">
        <f>IF(COUNTIFS(Addendum!C:C,A2435,Addendum!D:D,IF(ISNUMBER(B2435),TEXT(B2435,"0000"),B2435),Addendum!F:F,"X")&gt;0,2.5%,0)</f>
        <v>0</v>
      </c>
      <c r="K2435" s="31">
        <f>IF(COUNTIFS(Addendum!C:C,A2435,Addendum!D:D,IF(ISNUMBER(B2435),TEXT(B2435,"0000"),B2435),Addendum!G:G,"X")&gt;0,7%,0)</f>
        <v>0</v>
      </c>
      <c r="L2435" s="31">
        <f>IF(COUNTIFS(Addendum!C:C,A2435,Addendum!D:D,IF(ISNUMBER(B2435),TEXT(B2435,"0000"),B2435),Addendum!I:I,"X")&gt;0,10%,0)</f>
        <v>0</v>
      </c>
      <c r="M2435" s="34">
        <f t="shared" si="74"/>
        <v>0.03</v>
      </c>
      <c r="N2435" s="17">
        <f t="shared" si="75"/>
        <v>5400.96</v>
      </c>
    </row>
    <row r="2436" spans="1:14" x14ac:dyDescent="0.25">
      <c r="A2436" s="14" t="s">
        <v>92</v>
      </c>
      <c r="B2436" s="14">
        <v>1</v>
      </c>
      <c r="C2436" s="15" t="s">
        <v>891</v>
      </c>
      <c r="D2436" s="14" t="s">
        <v>1749</v>
      </c>
      <c r="E2436" s="14" t="s">
        <v>1746</v>
      </c>
      <c r="F2436" s="17" t="s">
        <v>2993</v>
      </c>
      <c r="G2436" s="14">
        <v>996</v>
      </c>
      <c r="H2436" s="14">
        <v>796.8</v>
      </c>
      <c r="I2436" s="31">
        <f>IF(COUNTIFS(Addendum!C:C,A2436,Addendum!D:D,IF(ISNUMBER(B2436),TEXT(B2436,"0000"),B2436),Addendum!E:E,"X")&gt;0,4%,0)</f>
        <v>0.04</v>
      </c>
      <c r="J2436" s="31">
        <f>IF(COUNTIFS(Addendum!C:C,A2436,Addendum!D:D,IF(ISNUMBER(B2436),TEXT(B2436,"0000"),B2436),Addendum!F:F,"X")&gt;0,2.5%,0)</f>
        <v>0</v>
      </c>
      <c r="K2436" s="31">
        <f>IF(COUNTIFS(Addendum!C:C,A2436,Addendum!D:D,IF(ISNUMBER(B2436),TEXT(B2436,"0000"),B2436),Addendum!G:G,"X")&gt;0,7%,0)</f>
        <v>0</v>
      </c>
      <c r="L2436" s="31">
        <f>IF(COUNTIFS(Addendum!C:C,A2436,Addendum!D:D,IF(ISNUMBER(B2436),TEXT(B2436,"0000"),B2436),Addendum!I:I,"X")&gt;0,10%,0)</f>
        <v>0</v>
      </c>
      <c r="M2436" s="34">
        <f t="shared" ref="M2436:M2499" si="76">IF(AND(I2436=0%,J2436=0%,K2436=0%,L2436=0%),0%,
IF(OR(TRIM(E2436)="OneTime",TRIM(D2436)=""),0%,
IF(
OR(
TRIM(D2436)="P1M",
AND(TRIM(D2436)="P1Y",TRIM(E2436)="Monthly"),
AND(TRIM(D2436)="P3Y",TRIM(E2436)="Monthly")
),
IF(AND(I2436=4%,J2436=0%,K2436=0%,L2436=0%),1%,
IF(AND(I2436=4%,J2436=2.5%,K2436=0%,L2436=10%),2%,
IF(AND(I2436=4%,J2436=0%,K2436=7%,L2436=10%),3%,0%))),
IF(
OR(
AND(TRIM(D2436)="P1Y",TRIM(E2436)="Annual"),
AND(TRIM(D2436)="P3Y",TRIM(E2436)="Annual"),
AND(TRIM(D2436)="P3Y",TRIM(E2436)="Triennial")
),
IF(AND(I2436=4%,J2436=0%,K2436=0%,L2436=0%),3%,
IF(AND(I2436=4%,J2436=2.5%,K2436=0%,L2436=10%),10%,
IF(AND(I2436=4%,J2436=0%,K2436=7%,L2436=10%),14%,0%))),
0%
))))</f>
        <v>0.01</v>
      </c>
      <c r="N2436" s="17">
        <f t="shared" ref="N2436:N2499" si="77">H2436-(H2436*M2436)</f>
        <v>788.83199999999999</v>
      </c>
    </row>
    <row r="2437" spans="1:14" x14ac:dyDescent="0.25">
      <c r="A2437" s="14" t="s">
        <v>92</v>
      </c>
      <c r="B2437" s="14" t="s">
        <v>307</v>
      </c>
      <c r="C2437" s="15" t="s">
        <v>2487</v>
      </c>
      <c r="D2437" s="14" t="s">
        <v>1745</v>
      </c>
      <c r="E2437" s="14" t="s">
        <v>1746</v>
      </c>
      <c r="F2437" s="17" t="s">
        <v>2994</v>
      </c>
      <c r="G2437" s="14">
        <v>943.44</v>
      </c>
      <c r="H2437" s="14">
        <v>754.8</v>
      </c>
      <c r="I2437" s="31">
        <f>IF(COUNTIFS(Addendum!C:C,A2437,Addendum!D:D,IF(ISNUMBER(B2437),TEXT(B2437,"0000"),B2437),Addendum!E:E,"X")&gt;0,4%,0)</f>
        <v>0.04</v>
      </c>
      <c r="J2437" s="31">
        <f>IF(COUNTIFS(Addendum!C:C,A2437,Addendum!D:D,IF(ISNUMBER(B2437),TEXT(B2437,"0000"),B2437),Addendum!F:F,"X")&gt;0,2.5%,0)</f>
        <v>0</v>
      </c>
      <c r="K2437" s="31">
        <f>IF(COUNTIFS(Addendum!C:C,A2437,Addendum!D:D,IF(ISNUMBER(B2437),TEXT(B2437,"0000"),B2437),Addendum!G:G,"X")&gt;0,7%,0)</f>
        <v>0</v>
      </c>
      <c r="L2437" s="31">
        <f>IF(COUNTIFS(Addendum!C:C,A2437,Addendum!D:D,IF(ISNUMBER(B2437),TEXT(B2437,"0000"),B2437),Addendum!I:I,"X")&gt;0,10%,0)</f>
        <v>0</v>
      </c>
      <c r="M2437" s="34">
        <f t="shared" si="76"/>
        <v>0.01</v>
      </c>
      <c r="N2437" s="17">
        <f t="shared" si="77"/>
        <v>747.25199999999995</v>
      </c>
    </row>
    <row r="2438" spans="1:14" x14ac:dyDescent="0.25">
      <c r="A2438" s="14" t="s">
        <v>92</v>
      </c>
      <c r="B2438" s="14" t="s">
        <v>258</v>
      </c>
      <c r="C2438" s="15" t="s">
        <v>2485</v>
      </c>
      <c r="D2438" s="14" t="s">
        <v>1745</v>
      </c>
      <c r="E2438" s="14" t="s">
        <v>1746</v>
      </c>
      <c r="F2438" s="17" t="s">
        <v>2994</v>
      </c>
      <c r="G2438" s="14">
        <v>471.72</v>
      </c>
      <c r="H2438" s="14">
        <v>377.4</v>
      </c>
      <c r="I2438" s="31">
        <f>IF(COUNTIFS(Addendum!C:C,A2438,Addendum!D:D,IF(ISNUMBER(B2438),TEXT(B2438,"0000"),B2438),Addendum!E:E,"X")&gt;0,4%,0)</f>
        <v>0.04</v>
      </c>
      <c r="J2438" s="31">
        <f>IF(COUNTIFS(Addendum!C:C,A2438,Addendum!D:D,IF(ISNUMBER(B2438),TEXT(B2438,"0000"),B2438),Addendum!F:F,"X")&gt;0,2.5%,0)</f>
        <v>0</v>
      </c>
      <c r="K2438" s="31">
        <f>IF(COUNTIFS(Addendum!C:C,A2438,Addendum!D:D,IF(ISNUMBER(B2438),TEXT(B2438,"0000"),B2438),Addendum!G:G,"X")&gt;0,7%,0)</f>
        <v>0</v>
      </c>
      <c r="L2438" s="31">
        <f>IF(COUNTIFS(Addendum!C:C,A2438,Addendum!D:D,IF(ISNUMBER(B2438),TEXT(B2438,"0000"),B2438),Addendum!I:I,"X")&gt;0,10%,0)</f>
        <v>0</v>
      </c>
      <c r="M2438" s="34">
        <f t="shared" si="76"/>
        <v>0.01</v>
      </c>
      <c r="N2438" s="17">
        <f t="shared" si="77"/>
        <v>373.62599999999998</v>
      </c>
    </row>
    <row r="2439" spans="1:14" x14ac:dyDescent="0.25">
      <c r="A2439" s="14" t="s">
        <v>92</v>
      </c>
      <c r="B2439" s="14" t="s">
        <v>307</v>
      </c>
      <c r="C2439" s="15" t="s">
        <v>2487</v>
      </c>
      <c r="D2439" s="14" t="s">
        <v>1745</v>
      </c>
      <c r="E2439" s="14" t="s">
        <v>1747</v>
      </c>
      <c r="F2439" s="17" t="s">
        <v>2994</v>
      </c>
      <c r="G2439" s="14">
        <v>898.56</v>
      </c>
      <c r="H2439" s="14">
        <v>718.85</v>
      </c>
      <c r="I2439" s="31">
        <f>IF(COUNTIFS(Addendum!C:C,A2439,Addendum!D:D,IF(ISNUMBER(B2439),TEXT(B2439,"0000"),B2439),Addendum!E:E,"X")&gt;0,4%,0)</f>
        <v>0.04</v>
      </c>
      <c r="J2439" s="31">
        <f>IF(COUNTIFS(Addendum!C:C,A2439,Addendum!D:D,IF(ISNUMBER(B2439),TEXT(B2439,"0000"),B2439),Addendum!F:F,"X")&gt;0,2.5%,0)</f>
        <v>0</v>
      </c>
      <c r="K2439" s="31">
        <f>IF(COUNTIFS(Addendum!C:C,A2439,Addendum!D:D,IF(ISNUMBER(B2439),TEXT(B2439,"0000"),B2439),Addendum!G:G,"X")&gt;0,7%,0)</f>
        <v>0</v>
      </c>
      <c r="L2439" s="31">
        <f>IF(COUNTIFS(Addendum!C:C,A2439,Addendum!D:D,IF(ISNUMBER(B2439),TEXT(B2439,"0000"),B2439),Addendum!I:I,"X")&gt;0,10%,0)</f>
        <v>0</v>
      </c>
      <c r="M2439" s="34">
        <f t="shared" si="76"/>
        <v>0.03</v>
      </c>
      <c r="N2439" s="17">
        <f t="shared" si="77"/>
        <v>697.28449999999998</v>
      </c>
    </row>
    <row r="2440" spans="1:14" x14ac:dyDescent="0.25">
      <c r="A2440" s="14" t="s">
        <v>92</v>
      </c>
      <c r="B2440" s="14" t="s">
        <v>307</v>
      </c>
      <c r="C2440" s="15" t="s">
        <v>2487</v>
      </c>
      <c r="D2440" s="14" t="s">
        <v>1749</v>
      </c>
      <c r="E2440" s="14" t="s">
        <v>1746</v>
      </c>
      <c r="F2440" s="17" t="s">
        <v>2994</v>
      </c>
      <c r="G2440" s="14">
        <v>89.86</v>
      </c>
      <c r="H2440" s="14">
        <v>71.88</v>
      </c>
      <c r="I2440" s="31">
        <f>IF(COUNTIFS(Addendum!C:C,A2440,Addendum!D:D,IF(ISNUMBER(B2440),TEXT(B2440,"0000"),B2440),Addendum!E:E,"X")&gt;0,4%,0)</f>
        <v>0.04</v>
      </c>
      <c r="J2440" s="31">
        <f>IF(COUNTIFS(Addendum!C:C,A2440,Addendum!D:D,IF(ISNUMBER(B2440),TEXT(B2440,"0000"),B2440),Addendum!F:F,"X")&gt;0,2.5%,0)</f>
        <v>0</v>
      </c>
      <c r="K2440" s="31">
        <f>IF(COUNTIFS(Addendum!C:C,A2440,Addendum!D:D,IF(ISNUMBER(B2440),TEXT(B2440,"0000"),B2440),Addendum!G:G,"X")&gt;0,7%,0)</f>
        <v>0</v>
      </c>
      <c r="L2440" s="31">
        <f>IF(COUNTIFS(Addendum!C:C,A2440,Addendum!D:D,IF(ISNUMBER(B2440),TEXT(B2440,"0000"),B2440),Addendum!I:I,"X")&gt;0,10%,0)</f>
        <v>0</v>
      </c>
      <c r="M2440" s="34">
        <f t="shared" si="76"/>
        <v>0.01</v>
      </c>
      <c r="N2440" s="17">
        <f t="shared" si="77"/>
        <v>71.161199999999994</v>
      </c>
    </row>
    <row r="2441" spans="1:14" x14ac:dyDescent="0.25">
      <c r="A2441" s="14" t="s">
        <v>92</v>
      </c>
      <c r="B2441" s="14">
        <v>17</v>
      </c>
      <c r="C2441" s="15" t="s">
        <v>892</v>
      </c>
      <c r="D2441" s="14" t="s">
        <v>1745</v>
      </c>
      <c r="E2441" s="14" t="s">
        <v>1746</v>
      </c>
      <c r="F2441" s="17" t="s">
        <v>2993</v>
      </c>
      <c r="G2441" s="14">
        <v>7308</v>
      </c>
      <c r="H2441" s="14">
        <v>5846.4</v>
      </c>
      <c r="I2441" s="31">
        <f>IF(COUNTIFS(Addendum!C:C,A2441,Addendum!D:D,IF(ISNUMBER(B2441),TEXT(B2441,"0000"),B2441),Addendum!E:E,"X")&gt;0,4%,0)</f>
        <v>0.04</v>
      </c>
      <c r="J2441" s="31">
        <f>IF(COUNTIFS(Addendum!C:C,A2441,Addendum!D:D,IF(ISNUMBER(B2441),TEXT(B2441,"0000"),B2441),Addendum!F:F,"X")&gt;0,2.5%,0)</f>
        <v>0</v>
      </c>
      <c r="K2441" s="31">
        <f>IF(COUNTIFS(Addendum!C:C,A2441,Addendum!D:D,IF(ISNUMBER(B2441),TEXT(B2441,"0000"),B2441),Addendum!G:G,"X")&gt;0,7%,0)</f>
        <v>0</v>
      </c>
      <c r="L2441" s="31">
        <f>IF(COUNTIFS(Addendum!C:C,A2441,Addendum!D:D,IF(ISNUMBER(B2441),TEXT(B2441,"0000"),B2441),Addendum!I:I,"X")&gt;0,10%,0)</f>
        <v>0</v>
      </c>
      <c r="M2441" s="34">
        <f t="shared" si="76"/>
        <v>0.01</v>
      </c>
      <c r="N2441" s="17">
        <f t="shared" si="77"/>
        <v>5787.9359999999997</v>
      </c>
    </row>
    <row r="2442" spans="1:14" x14ac:dyDescent="0.25">
      <c r="A2442" s="14" t="s">
        <v>92</v>
      </c>
      <c r="B2442" s="14" t="s">
        <v>258</v>
      </c>
      <c r="C2442" s="15" t="s">
        <v>2485</v>
      </c>
      <c r="D2442" s="14" t="s">
        <v>1745</v>
      </c>
      <c r="E2442" s="14" t="s">
        <v>1747</v>
      </c>
      <c r="F2442" s="17" t="s">
        <v>2994</v>
      </c>
      <c r="G2442" s="14">
        <v>449.28</v>
      </c>
      <c r="H2442" s="14">
        <v>359.42</v>
      </c>
      <c r="I2442" s="31">
        <f>IF(COUNTIFS(Addendum!C:C,A2442,Addendum!D:D,IF(ISNUMBER(B2442),TEXT(B2442,"0000"),B2442),Addendum!E:E,"X")&gt;0,4%,0)</f>
        <v>0.04</v>
      </c>
      <c r="J2442" s="31">
        <f>IF(COUNTIFS(Addendum!C:C,A2442,Addendum!D:D,IF(ISNUMBER(B2442),TEXT(B2442,"0000"),B2442),Addendum!F:F,"X")&gt;0,2.5%,0)</f>
        <v>0</v>
      </c>
      <c r="K2442" s="31">
        <f>IF(COUNTIFS(Addendum!C:C,A2442,Addendum!D:D,IF(ISNUMBER(B2442),TEXT(B2442,"0000"),B2442),Addendum!G:G,"X")&gt;0,7%,0)</f>
        <v>0</v>
      </c>
      <c r="L2442" s="31">
        <f>IF(COUNTIFS(Addendum!C:C,A2442,Addendum!D:D,IF(ISNUMBER(B2442),TEXT(B2442,"0000"),B2442),Addendum!I:I,"X")&gt;0,10%,0)</f>
        <v>0</v>
      </c>
      <c r="M2442" s="34">
        <f t="shared" si="76"/>
        <v>0.03</v>
      </c>
      <c r="N2442" s="17">
        <f t="shared" si="77"/>
        <v>348.63740000000001</v>
      </c>
    </row>
    <row r="2443" spans="1:14" x14ac:dyDescent="0.25">
      <c r="A2443" s="14" t="s">
        <v>92</v>
      </c>
      <c r="B2443" s="14">
        <v>18</v>
      </c>
      <c r="C2443" s="15" t="s">
        <v>2484</v>
      </c>
      <c r="D2443" s="14" t="s">
        <v>1749</v>
      </c>
      <c r="E2443" s="14" t="s">
        <v>1746</v>
      </c>
      <c r="F2443" s="17" t="s">
        <v>2995</v>
      </c>
      <c r="G2443" s="14">
        <v>402</v>
      </c>
      <c r="H2443" s="14">
        <v>361.8</v>
      </c>
      <c r="I2443" s="31">
        <f>IF(COUNTIFS(Addendum!C:C,A2443,Addendum!D:D,IF(ISNUMBER(B2443),TEXT(B2443,"0000"),B2443),Addendum!E:E,"X")&gt;0,4%,0)</f>
        <v>0.04</v>
      </c>
      <c r="J2443" s="31">
        <f>IF(COUNTIFS(Addendum!C:C,A2443,Addendum!D:D,IF(ISNUMBER(B2443),TEXT(B2443,"0000"),B2443),Addendum!F:F,"X")&gt;0,2.5%,0)</f>
        <v>0</v>
      </c>
      <c r="K2443" s="31">
        <f>IF(COUNTIFS(Addendum!C:C,A2443,Addendum!D:D,IF(ISNUMBER(B2443),TEXT(B2443,"0000"),B2443),Addendum!G:G,"X")&gt;0,7%,0)</f>
        <v>0</v>
      </c>
      <c r="L2443" s="31">
        <f>IF(COUNTIFS(Addendum!C:C,A2443,Addendum!D:D,IF(ISNUMBER(B2443),TEXT(B2443,"0000"),B2443),Addendum!I:I,"X")&gt;0,10%,0)</f>
        <v>0</v>
      </c>
      <c r="M2443" s="34">
        <f t="shared" si="76"/>
        <v>0.01</v>
      </c>
      <c r="N2443" s="17">
        <f t="shared" si="77"/>
        <v>358.18200000000002</v>
      </c>
    </row>
    <row r="2444" spans="1:14" x14ac:dyDescent="0.25">
      <c r="A2444" s="14" t="s">
        <v>92</v>
      </c>
      <c r="B2444" s="14">
        <v>18</v>
      </c>
      <c r="C2444" s="15" t="s">
        <v>2484</v>
      </c>
      <c r="D2444" s="14" t="s">
        <v>1745</v>
      </c>
      <c r="E2444" s="14" t="s">
        <v>1746</v>
      </c>
      <c r="F2444" s="17" t="s">
        <v>2995</v>
      </c>
      <c r="G2444" s="14">
        <v>4221</v>
      </c>
      <c r="H2444" s="14">
        <v>3798.96</v>
      </c>
      <c r="I2444" s="31">
        <f>IF(COUNTIFS(Addendum!C:C,A2444,Addendum!D:D,IF(ISNUMBER(B2444),TEXT(B2444,"0000"),B2444),Addendum!E:E,"X")&gt;0,4%,0)</f>
        <v>0.04</v>
      </c>
      <c r="J2444" s="31">
        <f>IF(COUNTIFS(Addendum!C:C,A2444,Addendum!D:D,IF(ISNUMBER(B2444),TEXT(B2444,"0000"),B2444),Addendum!F:F,"X")&gt;0,2.5%,0)</f>
        <v>0</v>
      </c>
      <c r="K2444" s="31">
        <f>IF(COUNTIFS(Addendum!C:C,A2444,Addendum!D:D,IF(ISNUMBER(B2444),TEXT(B2444,"0000"),B2444),Addendum!G:G,"X")&gt;0,7%,0)</f>
        <v>0</v>
      </c>
      <c r="L2444" s="31">
        <f>IF(COUNTIFS(Addendum!C:C,A2444,Addendum!D:D,IF(ISNUMBER(B2444),TEXT(B2444,"0000"),B2444),Addendum!I:I,"X")&gt;0,10%,0)</f>
        <v>0</v>
      </c>
      <c r="M2444" s="34">
        <f t="shared" si="76"/>
        <v>0.01</v>
      </c>
      <c r="N2444" s="17">
        <f t="shared" si="77"/>
        <v>3760.9704000000002</v>
      </c>
    </row>
    <row r="2445" spans="1:14" x14ac:dyDescent="0.25">
      <c r="A2445" s="14" t="s">
        <v>92</v>
      </c>
      <c r="B2445" s="14">
        <v>22</v>
      </c>
      <c r="C2445" s="15" t="s">
        <v>2486</v>
      </c>
      <c r="D2445" s="14" t="s">
        <v>1749</v>
      </c>
      <c r="E2445" s="14" t="s">
        <v>1746</v>
      </c>
      <c r="F2445" s="17" t="s">
        <v>2994</v>
      </c>
      <c r="G2445" s="14">
        <v>0</v>
      </c>
      <c r="H2445" s="14">
        <v>0</v>
      </c>
      <c r="I2445" s="31">
        <f>IF(COUNTIFS(Addendum!C:C,A2445,Addendum!D:D,IF(ISNUMBER(B2445),TEXT(B2445,"0000"),B2445),Addendum!E:E,"X")&gt;0,4%,0)</f>
        <v>0.04</v>
      </c>
      <c r="J2445" s="31">
        <f>IF(COUNTIFS(Addendum!C:C,A2445,Addendum!D:D,IF(ISNUMBER(B2445),TEXT(B2445,"0000"),B2445),Addendum!F:F,"X")&gt;0,2.5%,0)</f>
        <v>0</v>
      </c>
      <c r="K2445" s="31">
        <f>IF(COUNTIFS(Addendum!C:C,A2445,Addendum!D:D,IF(ISNUMBER(B2445),TEXT(B2445,"0000"),B2445),Addendum!G:G,"X")&gt;0,7%,0)</f>
        <v>0</v>
      </c>
      <c r="L2445" s="31">
        <f>IF(COUNTIFS(Addendum!C:C,A2445,Addendum!D:D,IF(ISNUMBER(B2445),TEXT(B2445,"0000"),B2445),Addendum!I:I,"X")&gt;0,10%,0)</f>
        <v>0</v>
      </c>
      <c r="M2445" s="34">
        <f t="shared" si="76"/>
        <v>0.01</v>
      </c>
      <c r="N2445" s="17">
        <f t="shared" si="77"/>
        <v>0</v>
      </c>
    </row>
    <row r="2446" spans="1:14" x14ac:dyDescent="0.25">
      <c r="A2446" s="14" t="s">
        <v>913</v>
      </c>
      <c r="B2446" s="14" t="s">
        <v>28</v>
      </c>
      <c r="C2446" s="15" t="s">
        <v>2488</v>
      </c>
      <c r="D2446" s="14" t="s">
        <v>1749</v>
      </c>
      <c r="E2446" s="14" t="s">
        <v>1746</v>
      </c>
      <c r="F2446" s="17" t="s">
        <v>2993</v>
      </c>
      <c r="G2446" s="14">
        <v>336</v>
      </c>
      <c r="H2446" s="14">
        <v>268.8</v>
      </c>
      <c r="I2446" s="31">
        <f>IF(COUNTIFS(Addendum!C:C,A2446,Addendum!D:D,IF(ISNUMBER(B2446),TEXT(B2446,"0000"),B2446),Addendum!E:E,"X")&gt;0,4%,0)</f>
        <v>0</v>
      </c>
      <c r="J2446" s="31">
        <f>IF(COUNTIFS(Addendum!C:C,A2446,Addendum!D:D,IF(ISNUMBER(B2446),TEXT(B2446,"0000"),B2446),Addendum!F:F,"X")&gt;0,2.5%,0)</f>
        <v>0</v>
      </c>
      <c r="K2446" s="31">
        <f>IF(COUNTIFS(Addendum!C:C,A2446,Addendum!D:D,IF(ISNUMBER(B2446),TEXT(B2446,"0000"),B2446),Addendum!G:G,"X")&gt;0,7%,0)</f>
        <v>0</v>
      </c>
      <c r="L2446" s="31">
        <f>IF(COUNTIFS(Addendum!C:C,A2446,Addendum!D:D,IF(ISNUMBER(B2446),TEXT(B2446,"0000"),B2446),Addendum!I:I,"X")&gt;0,10%,0)</f>
        <v>0</v>
      </c>
      <c r="M2446" s="34">
        <f t="shared" si="76"/>
        <v>0</v>
      </c>
      <c r="N2446" s="17">
        <f t="shared" si="77"/>
        <v>268.8</v>
      </c>
    </row>
    <row r="2447" spans="1:14" x14ac:dyDescent="0.25">
      <c r="A2447" s="14" t="s">
        <v>913</v>
      </c>
      <c r="B2447" s="14" t="s">
        <v>102</v>
      </c>
      <c r="C2447" s="15" t="s">
        <v>912</v>
      </c>
      <c r="D2447" s="14" t="s">
        <v>1745</v>
      </c>
      <c r="E2447" s="14" t="s">
        <v>1747</v>
      </c>
      <c r="F2447" s="17" t="s">
        <v>2993</v>
      </c>
      <c r="G2447" s="14">
        <v>74880</v>
      </c>
      <c r="H2447" s="14">
        <v>59904</v>
      </c>
      <c r="I2447" s="31">
        <f>IF(COUNTIFS(Addendum!C:C,A2447,Addendum!D:D,IF(ISNUMBER(B2447),TEXT(B2447,"0000"),B2447),Addendum!E:E,"X")&gt;0,4%,0)</f>
        <v>0.04</v>
      </c>
      <c r="J2447" s="31">
        <f>IF(COUNTIFS(Addendum!C:C,A2447,Addendum!D:D,IF(ISNUMBER(B2447),TEXT(B2447,"0000"),B2447),Addendum!F:F,"X")&gt;0,2.5%,0)</f>
        <v>0</v>
      </c>
      <c r="K2447" s="31">
        <f>IF(COUNTIFS(Addendum!C:C,A2447,Addendum!D:D,IF(ISNUMBER(B2447),TEXT(B2447,"0000"),B2447),Addendum!G:G,"X")&gt;0,7%,0)</f>
        <v>0</v>
      </c>
      <c r="L2447" s="31">
        <f>IF(COUNTIFS(Addendum!C:C,A2447,Addendum!D:D,IF(ISNUMBER(B2447),TEXT(B2447,"0000"),B2447),Addendum!I:I,"X")&gt;0,10%,0)</f>
        <v>0</v>
      </c>
      <c r="M2447" s="34">
        <f t="shared" si="76"/>
        <v>0.03</v>
      </c>
      <c r="N2447" s="17">
        <f t="shared" si="77"/>
        <v>58106.879999999997</v>
      </c>
    </row>
    <row r="2448" spans="1:14" x14ac:dyDescent="0.25">
      <c r="A2448" s="14" t="s">
        <v>913</v>
      </c>
      <c r="B2448" s="14">
        <v>3</v>
      </c>
      <c r="C2448" s="15" t="s">
        <v>2489</v>
      </c>
      <c r="D2448" s="14" t="s">
        <v>1749</v>
      </c>
      <c r="E2448" s="14" t="s">
        <v>1746</v>
      </c>
      <c r="F2448" s="17" t="s">
        <v>2993</v>
      </c>
      <c r="G2448" s="14">
        <v>498</v>
      </c>
      <c r="H2448" s="14">
        <v>398.4</v>
      </c>
      <c r="I2448" s="31">
        <f>IF(COUNTIFS(Addendum!C:C,A2448,Addendum!D:D,IF(ISNUMBER(B2448),TEXT(B2448,"0000"),B2448),Addendum!E:E,"X")&gt;0,4%,0)</f>
        <v>0</v>
      </c>
      <c r="J2448" s="31">
        <f>IF(COUNTIFS(Addendum!C:C,A2448,Addendum!D:D,IF(ISNUMBER(B2448),TEXT(B2448,"0000"),B2448),Addendum!F:F,"X")&gt;0,2.5%,0)</f>
        <v>0</v>
      </c>
      <c r="K2448" s="31">
        <f>IF(COUNTIFS(Addendum!C:C,A2448,Addendum!D:D,IF(ISNUMBER(B2448),TEXT(B2448,"0000"),B2448),Addendum!G:G,"X")&gt;0,7%,0)</f>
        <v>0</v>
      </c>
      <c r="L2448" s="31">
        <f>IF(COUNTIFS(Addendum!C:C,A2448,Addendum!D:D,IF(ISNUMBER(B2448),TEXT(B2448,"0000"),B2448),Addendum!I:I,"X")&gt;0,10%,0)</f>
        <v>0</v>
      </c>
      <c r="M2448" s="34">
        <f t="shared" si="76"/>
        <v>0</v>
      </c>
      <c r="N2448" s="17">
        <f t="shared" si="77"/>
        <v>398.4</v>
      </c>
    </row>
    <row r="2449" spans="1:14" x14ac:dyDescent="0.25">
      <c r="A2449" s="14" t="s">
        <v>913</v>
      </c>
      <c r="B2449" s="14">
        <v>6</v>
      </c>
      <c r="C2449" s="15" t="s">
        <v>2490</v>
      </c>
      <c r="D2449" s="14" t="s">
        <v>1749</v>
      </c>
      <c r="E2449" s="14" t="s">
        <v>1746</v>
      </c>
      <c r="F2449" s="17" t="s">
        <v>2993</v>
      </c>
      <c r="G2449" s="14">
        <v>498</v>
      </c>
      <c r="H2449" s="14">
        <v>398.4</v>
      </c>
      <c r="I2449" s="31">
        <f>IF(COUNTIFS(Addendum!C:C,A2449,Addendum!D:D,IF(ISNUMBER(B2449),TEXT(B2449,"0000"),B2449),Addendum!E:E,"X")&gt;0,4%,0)</f>
        <v>0</v>
      </c>
      <c r="J2449" s="31">
        <f>IF(COUNTIFS(Addendum!C:C,A2449,Addendum!D:D,IF(ISNUMBER(B2449),TEXT(B2449,"0000"),B2449),Addendum!F:F,"X")&gt;0,2.5%,0)</f>
        <v>0</v>
      </c>
      <c r="K2449" s="31">
        <f>IF(COUNTIFS(Addendum!C:C,A2449,Addendum!D:D,IF(ISNUMBER(B2449),TEXT(B2449,"0000"),B2449),Addendum!G:G,"X")&gt;0,7%,0)</f>
        <v>0</v>
      </c>
      <c r="L2449" s="31">
        <f>IF(COUNTIFS(Addendum!C:C,A2449,Addendum!D:D,IF(ISNUMBER(B2449),TEXT(B2449,"0000"),B2449),Addendum!I:I,"X")&gt;0,10%,0)</f>
        <v>0</v>
      </c>
      <c r="M2449" s="34">
        <f t="shared" si="76"/>
        <v>0</v>
      </c>
      <c r="N2449" s="17">
        <f t="shared" si="77"/>
        <v>398.4</v>
      </c>
    </row>
    <row r="2450" spans="1:14" x14ac:dyDescent="0.25">
      <c r="A2450" s="14" t="s">
        <v>913</v>
      </c>
      <c r="B2450" s="14" t="s">
        <v>24</v>
      </c>
      <c r="C2450" s="15" t="s">
        <v>2491</v>
      </c>
      <c r="D2450" s="14" t="s">
        <v>1745</v>
      </c>
      <c r="E2450" s="14" t="s">
        <v>1747</v>
      </c>
      <c r="F2450" s="17" t="s">
        <v>2994</v>
      </c>
      <c r="G2450" s="14">
        <v>998.28</v>
      </c>
      <c r="H2450" s="14">
        <v>798.62</v>
      </c>
      <c r="I2450" s="31">
        <f>IF(COUNTIFS(Addendum!C:C,A2450,Addendum!D:D,IF(ISNUMBER(B2450),TEXT(B2450,"0000"),B2450),Addendum!E:E,"X")&gt;0,4%,0)</f>
        <v>0</v>
      </c>
      <c r="J2450" s="31">
        <f>IF(COUNTIFS(Addendum!C:C,A2450,Addendum!D:D,IF(ISNUMBER(B2450),TEXT(B2450,"0000"),B2450),Addendum!F:F,"X")&gt;0,2.5%,0)</f>
        <v>0</v>
      </c>
      <c r="K2450" s="31">
        <f>IF(COUNTIFS(Addendum!C:C,A2450,Addendum!D:D,IF(ISNUMBER(B2450),TEXT(B2450,"0000"),B2450),Addendum!G:G,"X")&gt;0,7%,0)</f>
        <v>0</v>
      </c>
      <c r="L2450" s="31">
        <f>IF(COUNTIFS(Addendum!C:C,A2450,Addendum!D:D,IF(ISNUMBER(B2450),TEXT(B2450,"0000"),B2450),Addendum!I:I,"X")&gt;0,10%,0)</f>
        <v>0</v>
      </c>
      <c r="M2450" s="34">
        <f t="shared" si="76"/>
        <v>0</v>
      </c>
      <c r="N2450" s="17">
        <f t="shared" si="77"/>
        <v>798.62</v>
      </c>
    </row>
    <row r="2451" spans="1:14" x14ac:dyDescent="0.25">
      <c r="A2451" s="14" t="s">
        <v>913</v>
      </c>
      <c r="B2451" s="14">
        <v>8</v>
      </c>
      <c r="C2451" s="15" t="s">
        <v>2492</v>
      </c>
      <c r="D2451" s="14" t="s">
        <v>1749</v>
      </c>
      <c r="E2451" s="14" t="s">
        <v>1746</v>
      </c>
      <c r="F2451" s="17" t="s">
        <v>2994</v>
      </c>
      <c r="G2451" s="14">
        <v>74.88</v>
      </c>
      <c r="H2451" s="14">
        <v>59.9</v>
      </c>
      <c r="I2451" s="31">
        <f>IF(COUNTIFS(Addendum!C:C,A2451,Addendum!D:D,IF(ISNUMBER(B2451),TEXT(B2451,"0000"),B2451),Addendum!E:E,"X")&gt;0,4%,0)</f>
        <v>0</v>
      </c>
      <c r="J2451" s="31">
        <f>IF(COUNTIFS(Addendum!C:C,A2451,Addendum!D:D,IF(ISNUMBER(B2451),TEXT(B2451,"0000"),B2451),Addendum!F:F,"X")&gt;0,2.5%,0)</f>
        <v>0</v>
      </c>
      <c r="K2451" s="31">
        <f>IF(COUNTIFS(Addendum!C:C,A2451,Addendum!D:D,IF(ISNUMBER(B2451),TEXT(B2451,"0000"),B2451),Addendum!G:G,"X")&gt;0,7%,0)</f>
        <v>0</v>
      </c>
      <c r="L2451" s="31">
        <f>IF(COUNTIFS(Addendum!C:C,A2451,Addendum!D:D,IF(ISNUMBER(B2451),TEXT(B2451,"0000"),B2451),Addendum!I:I,"X")&gt;0,10%,0)</f>
        <v>0</v>
      </c>
      <c r="M2451" s="34">
        <f t="shared" si="76"/>
        <v>0</v>
      </c>
      <c r="N2451" s="17">
        <f t="shared" si="77"/>
        <v>59.9</v>
      </c>
    </row>
    <row r="2452" spans="1:14" x14ac:dyDescent="0.25">
      <c r="A2452" s="14" t="s">
        <v>913</v>
      </c>
      <c r="B2452" s="14">
        <v>10</v>
      </c>
      <c r="C2452" s="15" t="s">
        <v>2493</v>
      </c>
      <c r="D2452" s="14" t="s">
        <v>1749</v>
      </c>
      <c r="E2452" s="14" t="s">
        <v>1746</v>
      </c>
      <c r="F2452" s="17" t="s">
        <v>2994</v>
      </c>
      <c r="G2452" s="14">
        <v>7488</v>
      </c>
      <c r="H2452" s="14">
        <v>5990.4</v>
      </c>
      <c r="I2452" s="31">
        <f>IF(COUNTIFS(Addendum!C:C,A2452,Addendum!D:D,IF(ISNUMBER(B2452),TEXT(B2452,"0000"),B2452),Addendum!E:E,"X")&gt;0,4%,0)</f>
        <v>0.04</v>
      </c>
      <c r="J2452" s="31">
        <f>IF(COUNTIFS(Addendum!C:C,A2452,Addendum!D:D,IF(ISNUMBER(B2452),TEXT(B2452,"0000"),B2452),Addendum!F:F,"X")&gt;0,2.5%,0)</f>
        <v>0</v>
      </c>
      <c r="K2452" s="31">
        <f>IF(COUNTIFS(Addendum!C:C,A2452,Addendum!D:D,IF(ISNUMBER(B2452),TEXT(B2452,"0000"),B2452),Addendum!G:G,"X")&gt;0,7%,0)</f>
        <v>0</v>
      </c>
      <c r="L2452" s="31">
        <f>IF(COUNTIFS(Addendum!C:C,A2452,Addendum!D:D,IF(ISNUMBER(B2452),TEXT(B2452,"0000"),B2452),Addendum!I:I,"X")&gt;0,10%,0)</f>
        <v>0</v>
      </c>
      <c r="M2452" s="34">
        <f t="shared" si="76"/>
        <v>0.01</v>
      </c>
      <c r="N2452" s="17">
        <f t="shared" si="77"/>
        <v>5930.4959999999992</v>
      </c>
    </row>
    <row r="2453" spans="1:14" x14ac:dyDescent="0.25">
      <c r="A2453" s="14" t="s">
        <v>913</v>
      </c>
      <c r="B2453" s="14" t="s">
        <v>28</v>
      </c>
      <c r="C2453" s="15" t="s">
        <v>2488</v>
      </c>
      <c r="D2453" s="14" t="s">
        <v>1745</v>
      </c>
      <c r="E2453" s="14" t="s">
        <v>1746</v>
      </c>
      <c r="F2453" s="17" t="s">
        <v>2993</v>
      </c>
      <c r="G2453" s="14">
        <v>3528</v>
      </c>
      <c r="H2453" s="14">
        <v>2822.4</v>
      </c>
      <c r="I2453" s="31">
        <f>IF(COUNTIFS(Addendum!C:C,A2453,Addendum!D:D,IF(ISNUMBER(B2453),TEXT(B2453,"0000"),B2453),Addendum!E:E,"X")&gt;0,4%,0)</f>
        <v>0</v>
      </c>
      <c r="J2453" s="31">
        <f>IF(COUNTIFS(Addendum!C:C,A2453,Addendum!D:D,IF(ISNUMBER(B2453),TEXT(B2453,"0000"),B2453),Addendum!F:F,"X")&gt;0,2.5%,0)</f>
        <v>0</v>
      </c>
      <c r="K2453" s="31">
        <f>IF(COUNTIFS(Addendum!C:C,A2453,Addendum!D:D,IF(ISNUMBER(B2453),TEXT(B2453,"0000"),B2453),Addendum!G:G,"X")&gt;0,7%,0)</f>
        <v>0</v>
      </c>
      <c r="L2453" s="31">
        <f>IF(COUNTIFS(Addendum!C:C,A2453,Addendum!D:D,IF(ISNUMBER(B2453),TEXT(B2453,"0000"),B2453),Addendum!I:I,"X")&gt;0,10%,0)</f>
        <v>0</v>
      </c>
      <c r="M2453" s="34">
        <f t="shared" si="76"/>
        <v>0</v>
      </c>
      <c r="N2453" s="17">
        <f t="shared" si="77"/>
        <v>2822.4</v>
      </c>
    </row>
    <row r="2454" spans="1:14" x14ac:dyDescent="0.25">
      <c r="A2454" s="14" t="s">
        <v>913</v>
      </c>
      <c r="B2454" s="14">
        <v>3</v>
      </c>
      <c r="C2454" s="15" t="s">
        <v>2489</v>
      </c>
      <c r="D2454" s="14" t="s">
        <v>1745</v>
      </c>
      <c r="E2454" s="14" t="s">
        <v>1746</v>
      </c>
      <c r="F2454" s="17" t="s">
        <v>2993</v>
      </c>
      <c r="G2454" s="14">
        <v>5229</v>
      </c>
      <c r="H2454" s="14">
        <v>4183.2</v>
      </c>
      <c r="I2454" s="31">
        <f>IF(COUNTIFS(Addendum!C:C,A2454,Addendum!D:D,IF(ISNUMBER(B2454),TEXT(B2454,"0000"),B2454),Addendum!E:E,"X")&gt;0,4%,0)</f>
        <v>0</v>
      </c>
      <c r="J2454" s="31">
        <f>IF(COUNTIFS(Addendum!C:C,A2454,Addendum!D:D,IF(ISNUMBER(B2454),TEXT(B2454,"0000"),B2454),Addendum!F:F,"X")&gt;0,2.5%,0)</f>
        <v>0</v>
      </c>
      <c r="K2454" s="31">
        <f>IF(COUNTIFS(Addendum!C:C,A2454,Addendum!D:D,IF(ISNUMBER(B2454),TEXT(B2454,"0000"),B2454),Addendum!G:G,"X")&gt;0,7%,0)</f>
        <v>0</v>
      </c>
      <c r="L2454" s="31">
        <f>IF(COUNTIFS(Addendum!C:C,A2454,Addendum!D:D,IF(ISNUMBER(B2454),TEXT(B2454,"0000"),B2454),Addendum!I:I,"X")&gt;0,10%,0)</f>
        <v>0</v>
      </c>
      <c r="M2454" s="34">
        <f t="shared" si="76"/>
        <v>0</v>
      </c>
      <c r="N2454" s="17">
        <f t="shared" si="77"/>
        <v>4183.2</v>
      </c>
    </row>
    <row r="2455" spans="1:14" x14ac:dyDescent="0.25">
      <c r="A2455" s="14" t="s">
        <v>913</v>
      </c>
      <c r="B2455" s="14" t="s">
        <v>122</v>
      </c>
      <c r="C2455" s="15" t="s">
        <v>2494</v>
      </c>
      <c r="D2455" s="14" t="s">
        <v>1749</v>
      </c>
      <c r="E2455" s="14" t="s">
        <v>1746</v>
      </c>
      <c r="F2455" s="17" t="s">
        <v>2993</v>
      </c>
      <c r="G2455" s="14">
        <v>336</v>
      </c>
      <c r="H2455" s="14">
        <v>268.8</v>
      </c>
      <c r="I2455" s="31">
        <f>IF(COUNTIFS(Addendum!C:C,A2455,Addendum!D:D,IF(ISNUMBER(B2455),TEXT(B2455,"0000"),B2455),Addendum!E:E,"X")&gt;0,4%,0)</f>
        <v>0</v>
      </c>
      <c r="J2455" s="31">
        <f>IF(COUNTIFS(Addendum!C:C,A2455,Addendum!D:D,IF(ISNUMBER(B2455),TEXT(B2455,"0000"),B2455),Addendum!F:F,"X")&gt;0,2.5%,0)</f>
        <v>0</v>
      </c>
      <c r="K2455" s="31">
        <f>IF(COUNTIFS(Addendum!C:C,A2455,Addendum!D:D,IF(ISNUMBER(B2455),TEXT(B2455,"0000"),B2455),Addendum!G:G,"X")&gt;0,7%,0)</f>
        <v>0</v>
      </c>
      <c r="L2455" s="31">
        <f>IF(COUNTIFS(Addendum!C:C,A2455,Addendum!D:D,IF(ISNUMBER(B2455),TEXT(B2455,"0000"),B2455),Addendum!I:I,"X")&gt;0,10%,0)</f>
        <v>0</v>
      </c>
      <c r="M2455" s="34">
        <f t="shared" si="76"/>
        <v>0</v>
      </c>
      <c r="N2455" s="17">
        <f t="shared" si="77"/>
        <v>268.8</v>
      </c>
    </row>
    <row r="2456" spans="1:14" x14ac:dyDescent="0.25">
      <c r="A2456" s="14" t="s">
        <v>913</v>
      </c>
      <c r="B2456" s="14" t="s">
        <v>243</v>
      </c>
      <c r="C2456" s="15" t="s">
        <v>2495</v>
      </c>
      <c r="D2456" s="14" t="s">
        <v>1745</v>
      </c>
      <c r="E2456" s="14" t="s">
        <v>1747</v>
      </c>
      <c r="F2456" s="17" t="s">
        <v>2994</v>
      </c>
      <c r="G2456" s="14">
        <v>74880</v>
      </c>
      <c r="H2456" s="14">
        <v>59904</v>
      </c>
      <c r="I2456" s="31">
        <f>IF(COUNTIFS(Addendum!C:C,A2456,Addendum!D:D,IF(ISNUMBER(B2456),TEXT(B2456,"0000"),B2456),Addendum!E:E,"X")&gt;0,4%,0)</f>
        <v>0.04</v>
      </c>
      <c r="J2456" s="31">
        <f>IF(COUNTIFS(Addendum!C:C,A2456,Addendum!D:D,IF(ISNUMBER(B2456),TEXT(B2456,"0000"),B2456),Addendum!F:F,"X")&gt;0,2.5%,0)</f>
        <v>0</v>
      </c>
      <c r="K2456" s="31">
        <f>IF(COUNTIFS(Addendum!C:C,A2456,Addendum!D:D,IF(ISNUMBER(B2456),TEXT(B2456,"0000"),B2456),Addendum!G:G,"X")&gt;0,7%,0)</f>
        <v>0</v>
      </c>
      <c r="L2456" s="31">
        <f>IF(COUNTIFS(Addendum!C:C,A2456,Addendum!D:D,IF(ISNUMBER(B2456),TEXT(B2456,"0000"),B2456),Addendum!I:I,"X")&gt;0,10%,0)</f>
        <v>0</v>
      </c>
      <c r="M2456" s="34">
        <f t="shared" si="76"/>
        <v>0.03</v>
      </c>
      <c r="N2456" s="17">
        <f t="shared" si="77"/>
        <v>58106.879999999997</v>
      </c>
    </row>
    <row r="2457" spans="1:14" x14ac:dyDescent="0.25">
      <c r="A2457" s="14" t="s">
        <v>913</v>
      </c>
      <c r="B2457" s="14">
        <v>7</v>
      </c>
      <c r="C2457" s="15" t="s">
        <v>2496</v>
      </c>
      <c r="D2457" s="14" t="s">
        <v>1745</v>
      </c>
      <c r="E2457" s="14" t="s">
        <v>1747</v>
      </c>
      <c r="F2457" s="17" t="s">
        <v>2994</v>
      </c>
      <c r="G2457" s="14">
        <v>998.28</v>
      </c>
      <c r="H2457" s="14">
        <v>798.62</v>
      </c>
      <c r="I2457" s="31">
        <f>IF(COUNTIFS(Addendum!C:C,A2457,Addendum!D:D,IF(ISNUMBER(B2457),TEXT(B2457,"0000"),B2457),Addendum!E:E,"X")&gt;0,4%,0)</f>
        <v>0</v>
      </c>
      <c r="J2457" s="31">
        <f>IF(COUNTIFS(Addendum!C:C,A2457,Addendum!D:D,IF(ISNUMBER(B2457),TEXT(B2457,"0000"),B2457),Addendum!F:F,"X")&gt;0,2.5%,0)</f>
        <v>0</v>
      </c>
      <c r="K2457" s="31">
        <f>IF(COUNTIFS(Addendum!C:C,A2457,Addendum!D:D,IF(ISNUMBER(B2457),TEXT(B2457,"0000"),B2457),Addendum!G:G,"X")&gt;0,7%,0)</f>
        <v>0</v>
      </c>
      <c r="L2457" s="31">
        <f>IF(COUNTIFS(Addendum!C:C,A2457,Addendum!D:D,IF(ISNUMBER(B2457),TEXT(B2457,"0000"),B2457),Addendum!I:I,"X")&gt;0,10%,0)</f>
        <v>0</v>
      </c>
      <c r="M2457" s="34">
        <f t="shared" si="76"/>
        <v>0</v>
      </c>
      <c r="N2457" s="17">
        <f t="shared" si="77"/>
        <v>798.62</v>
      </c>
    </row>
    <row r="2458" spans="1:14" x14ac:dyDescent="0.25">
      <c r="A2458" s="14" t="s">
        <v>913</v>
      </c>
      <c r="B2458" s="14">
        <v>10</v>
      </c>
      <c r="C2458" s="15" t="s">
        <v>2493</v>
      </c>
      <c r="D2458" s="14" t="s">
        <v>1745</v>
      </c>
      <c r="E2458" s="14" t="s">
        <v>1747</v>
      </c>
      <c r="F2458" s="17" t="s">
        <v>2994</v>
      </c>
      <c r="G2458" s="14">
        <v>74880</v>
      </c>
      <c r="H2458" s="14">
        <v>59904</v>
      </c>
      <c r="I2458" s="31">
        <f>IF(COUNTIFS(Addendum!C:C,A2458,Addendum!D:D,IF(ISNUMBER(B2458),TEXT(B2458,"0000"),B2458),Addendum!E:E,"X")&gt;0,4%,0)</f>
        <v>0.04</v>
      </c>
      <c r="J2458" s="31">
        <f>IF(COUNTIFS(Addendum!C:C,A2458,Addendum!D:D,IF(ISNUMBER(B2458),TEXT(B2458,"0000"),B2458),Addendum!F:F,"X")&gt;0,2.5%,0)</f>
        <v>0</v>
      </c>
      <c r="K2458" s="31">
        <f>IF(COUNTIFS(Addendum!C:C,A2458,Addendum!D:D,IF(ISNUMBER(B2458),TEXT(B2458,"0000"),B2458),Addendum!G:G,"X")&gt;0,7%,0)</f>
        <v>0</v>
      </c>
      <c r="L2458" s="31">
        <f>IF(COUNTIFS(Addendum!C:C,A2458,Addendum!D:D,IF(ISNUMBER(B2458),TEXT(B2458,"0000"),B2458),Addendum!I:I,"X")&gt;0,10%,0)</f>
        <v>0</v>
      </c>
      <c r="M2458" s="34">
        <f t="shared" si="76"/>
        <v>0.03</v>
      </c>
      <c r="N2458" s="17">
        <f t="shared" si="77"/>
        <v>58106.879999999997</v>
      </c>
    </row>
    <row r="2459" spans="1:14" x14ac:dyDescent="0.25">
      <c r="A2459" s="14" t="s">
        <v>913</v>
      </c>
      <c r="B2459" s="14">
        <v>10</v>
      </c>
      <c r="C2459" s="15" t="s">
        <v>2493</v>
      </c>
      <c r="D2459" s="14" t="s">
        <v>1745</v>
      </c>
      <c r="E2459" s="14" t="s">
        <v>1746</v>
      </c>
      <c r="F2459" s="17" t="s">
        <v>2994</v>
      </c>
      <c r="G2459" s="14">
        <v>78624</v>
      </c>
      <c r="H2459" s="14">
        <v>62899.199999999997</v>
      </c>
      <c r="I2459" s="31">
        <f>IF(COUNTIFS(Addendum!C:C,A2459,Addendum!D:D,IF(ISNUMBER(B2459),TEXT(B2459,"0000"),B2459),Addendum!E:E,"X")&gt;0,4%,0)</f>
        <v>0.04</v>
      </c>
      <c r="J2459" s="31">
        <f>IF(COUNTIFS(Addendum!C:C,A2459,Addendum!D:D,IF(ISNUMBER(B2459),TEXT(B2459,"0000"),B2459),Addendum!F:F,"X")&gt;0,2.5%,0)</f>
        <v>0</v>
      </c>
      <c r="K2459" s="31">
        <f>IF(COUNTIFS(Addendum!C:C,A2459,Addendum!D:D,IF(ISNUMBER(B2459),TEXT(B2459,"0000"),B2459),Addendum!G:G,"X")&gt;0,7%,0)</f>
        <v>0</v>
      </c>
      <c r="L2459" s="31">
        <f>IF(COUNTIFS(Addendum!C:C,A2459,Addendum!D:D,IF(ISNUMBER(B2459),TEXT(B2459,"0000"),B2459),Addendum!I:I,"X")&gt;0,10%,0)</f>
        <v>0</v>
      </c>
      <c r="M2459" s="34">
        <f t="shared" si="76"/>
        <v>0.01</v>
      </c>
      <c r="N2459" s="17">
        <f t="shared" si="77"/>
        <v>62270.207999999999</v>
      </c>
    </row>
    <row r="2460" spans="1:14" x14ac:dyDescent="0.25">
      <c r="A2460" s="14" t="s">
        <v>913</v>
      </c>
      <c r="B2460" s="14">
        <v>7</v>
      </c>
      <c r="C2460" s="15" t="s">
        <v>2496</v>
      </c>
      <c r="D2460" s="14" t="s">
        <v>1745</v>
      </c>
      <c r="E2460" s="14" t="s">
        <v>1746</v>
      </c>
      <c r="F2460" s="17" t="s">
        <v>2994</v>
      </c>
      <c r="G2460" s="14">
        <v>1048.2</v>
      </c>
      <c r="H2460" s="14">
        <v>838.56</v>
      </c>
      <c r="I2460" s="31">
        <f>IF(COUNTIFS(Addendum!C:C,A2460,Addendum!D:D,IF(ISNUMBER(B2460),TEXT(B2460,"0000"),B2460),Addendum!E:E,"X")&gt;0,4%,0)</f>
        <v>0</v>
      </c>
      <c r="J2460" s="31">
        <f>IF(COUNTIFS(Addendum!C:C,A2460,Addendum!D:D,IF(ISNUMBER(B2460),TEXT(B2460,"0000"),B2460),Addendum!F:F,"X")&gt;0,2.5%,0)</f>
        <v>0</v>
      </c>
      <c r="K2460" s="31">
        <f>IF(COUNTIFS(Addendum!C:C,A2460,Addendum!D:D,IF(ISNUMBER(B2460),TEXT(B2460,"0000"),B2460),Addendum!G:G,"X")&gt;0,7%,0)</f>
        <v>0</v>
      </c>
      <c r="L2460" s="31">
        <f>IF(COUNTIFS(Addendum!C:C,A2460,Addendum!D:D,IF(ISNUMBER(B2460),TEXT(B2460,"0000"),B2460),Addendum!I:I,"X")&gt;0,10%,0)</f>
        <v>0</v>
      </c>
      <c r="M2460" s="34">
        <f t="shared" si="76"/>
        <v>0</v>
      </c>
      <c r="N2460" s="17">
        <f t="shared" si="77"/>
        <v>838.56</v>
      </c>
    </row>
    <row r="2461" spans="1:14" x14ac:dyDescent="0.25">
      <c r="A2461" s="14" t="s">
        <v>913</v>
      </c>
      <c r="B2461" s="14">
        <v>3</v>
      </c>
      <c r="C2461" s="15" t="s">
        <v>2489</v>
      </c>
      <c r="D2461" s="14" t="s">
        <v>1745</v>
      </c>
      <c r="E2461" s="14" t="s">
        <v>1747</v>
      </c>
      <c r="F2461" s="17" t="s">
        <v>2993</v>
      </c>
      <c r="G2461" s="14">
        <v>4980</v>
      </c>
      <c r="H2461" s="14">
        <v>3984</v>
      </c>
      <c r="I2461" s="31">
        <f>IF(COUNTIFS(Addendum!C:C,A2461,Addendum!D:D,IF(ISNUMBER(B2461),TEXT(B2461,"0000"),B2461),Addendum!E:E,"X")&gt;0,4%,0)</f>
        <v>0</v>
      </c>
      <c r="J2461" s="31">
        <f>IF(COUNTIFS(Addendum!C:C,A2461,Addendum!D:D,IF(ISNUMBER(B2461),TEXT(B2461,"0000"),B2461),Addendum!F:F,"X")&gt;0,2.5%,0)</f>
        <v>0</v>
      </c>
      <c r="K2461" s="31">
        <f>IF(COUNTIFS(Addendum!C:C,A2461,Addendum!D:D,IF(ISNUMBER(B2461),TEXT(B2461,"0000"),B2461),Addendum!G:G,"X")&gt;0,7%,0)</f>
        <v>0</v>
      </c>
      <c r="L2461" s="31">
        <f>IF(COUNTIFS(Addendum!C:C,A2461,Addendum!D:D,IF(ISNUMBER(B2461),TEXT(B2461,"0000"),B2461),Addendum!I:I,"X")&gt;0,10%,0)</f>
        <v>0</v>
      </c>
      <c r="M2461" s="34">
        <f t="shared" si="76"/>
        <v>0</v>
      </c>
      <c r="N2461" s="17">
        <f t="shared" si="77"/>
        <v>3984</v>
      </c>
    </row>
    <row r="2462" spans="1:14" x14ac:dyDescent="0.25">
      <c r="A2462" s="14" t="s">
        <v>913</v>
      </c>
      <c r="B2462" s="14">
        <v>7</v>
      </c>
      <c r="C2462" s="15" t="s">
        <v>2496</v>
      </c>
      <c r="D2462" s="14" t="s">
        <v>1749</v>
      </c>
      <c r="E2462" s="14" t="s">
        <v>1746</v>
      </c>
      <c r="F2462" s="17" t="s">
        <v>2994</v>
      </c>
      <c r="G2462" s="14">
        <v>99.83</v>
      </c>
      <c r="H2462" s="14">
        <v>79.86</v>
      </c>
      <c r="I2462" s="31">
        <f>IF(COUNTIFS(Addendum!C:C,A2462,Addendum!D:D,IF(ISNUMBER(B2462),TEXT(B2462,"0000"),B2462),Addendum!E:E,"X")&gt;0,4%,0)</f>
        <v>0</v>
      </c>
      <c r="J2462" s="31">
        <f>IF(COUNTIFS(Addendum!C:C,A2462,Addendum!D:D,IF(ISNUMBER(B2462),TEXT(B2462,"0000"),B2462),Addendum!F:F,"X")&gt;0,2.5%,0)</f>
        <v>0</v>
      </c>
      <c r="K2462" s="31">
        <f>IF(COUNTIFS(Addendum!C:C,A2462,Addendum!D:D,IF(ISNUMBER(B2462),TEXT(B2462,"0000"),B2462),Addendum!G:G,"X")&gt;0,7%,0)</f>
        <v>0</v>
      </c>
      <c r="L2462" s="31">
        <f>IF(COUNTIFS(Addendum!C:C,A2462,Addendum!D:D,IF(ISNUMBER(B2462),TEXT(B2462,"0000"),B2462),Addendum!I:I,"X")&gt;0,10%,0)</f>
        <v>0</v>
      </c>
      <c r="M2462" s="34">
        <f t="shared" si="76"/>
        <v>0</v>
      </c>
      <c r="N2462" s="17">
        <f t="shared" si="77"/>
        <v>79.86</v>
      </c>
    </row>
    <row r="2463" spans="1:14" x14ac:dyDescent="0.25">
      <c r="A2463" s="14" t="s">
        <v>913</v>
      </c>
      <c r="B2463" s="14" t="s">
        <v>243</v>
      </c>
      <c r="C2463" s="15" t="s">
        <v>2495</v>
      </c>
      <c r="D2463" s="14" t="s">
        <v>1749</v>
      </c>
      <c r="E2463" s="14" t="s">
        <v>1746</v>
      </c>
      <c r="F2463" s="17" t="s">
        <v>2994</v>
      </c>
      <c r="G2463" s="14">
        <v>7488</v>
      </c>
      <c r="H2463" s="14">
        <v>5990.4</v>
      </c>
      <c r="I2463" s="31">
        <f>IF(COUNTIFS(Addendum!C:C,A2463,Addendum!D:D,IF(ISNUMBER(B2463),TEXT(B2463,"0000"),B2463),Addendum!E:E,"X")&gt;0,4%,0)</f>
        <v>0.04</v>
      </c>
      <c r="J2463" s="31">
        <f>IF(COUNTIFS(Addendum!C:C,A2463,Addendum!D:D,IF(ISNUMBER(B2463),TEXT(B2463,"0000"),B2463),Addendum!F:F,"X")&gt;0,2.5%,0)</f>
        <v>0</v>
      </c>
      <c r="K2463" s="31">
        <f>IF(COUNTIFS(Addendum!C:C,A2463,Addendum!D:D,IF(ISNUMBER(B2463),TEXT(B2463,"0000"),B2463),Addendum!G:G,"X")&gt;0,7%,0)</f>
        <v>0</v>
      </c>
      <c r="L2463" s="31">
        <f>IF(COUNTIFS(Addendum!C:C,A2463,Addendum!D:D,IF(ISNUMBER(B2463),TEXT(B2463,"0000"),B2463),Addendum!I:I,"X")&gt;0,10%,0)</f>
        <v>0</v>
      </c>
      <c r="M2463" s="34">
        <f t="shared" si="76"/>
        <v>0.01</v>
      </c>
      <c r="N2463" s="17">
        <f t="shared" si="77"/>
        <v>5930.4959999999992</v>
      </c>
    </row>
    <row r="2464" spans="1:14" x14ac:dyDescent="0.25">
      <c r="A2464" s="14" t="s">
        <v>913</v>
      </c>
      <c r="B2464" s="14" t="s">
        <v>24</v>
      </c>
      <c r="C2464" s="15" t="s">
        <v>2491</v>
      </c>
      <c r="D2464" s="14" t="s">
        <v>1745</v>
      </c>
      <c r="E2464" s="14" t="s">
        <v>1746</v>
      </c>
      <c r="F2464" s="17" t="s">
        <v>2994</v>
      </c>
      <c r="G2464" s="14">
        <v>1048.2</v>
      </c>
      <c r="H2464" s="14">
        <v>838.56</v>
      </c>
      <c r="I2464" s="31">
        <f>IF(COUNTIFS(Addendum!C:C,A2464,Addendum!D:D,IF(ISNUMBER(B2464),TEXT(B2464,"0000"),B2464),Addendum!E:E,"X")&gt;0,4%,0)</f>
        <v>0</v>
      </c>
      <c r="J2464" s="31">
        <f>IF(COUNTIFS(Addendum!C:C,A2464,Addendum!D:D,IF(ISNUMBER(B2464),TEXT(B2464,"0000"),B2464),Addendum!F:F,"X")&gt;0,2.5%,0)</f>
        <v>0</v>
      </c>
      <c r="K2464" s="31">
        <f>IF(COUNTIFS(Addendum!C:C,A2464,Addendum!D:D,IF(ISNUMBER(B2464),TEXT(B2464,"0000"),B2464),Addendum!G:G,"X")&gt;0,7%,0)</f>
        <v>0</v>
      </c>
      <c r="L2464" s="31">
        <f>IF(COUNTIFS(Addendum!C:C,A2464,Addendum!D:D,IF(ISNUMBER(B2464),TEXT(B2464,"0000"),B2464),Addendum!I:I,"X")&gt;0,10%,0)</f>
        <v>0</v>
      </c>
      <c r="M2464" s="34">
        <f t="shared" si="76"/>
        <v>0</v>
      </c>
      <c r="N2464" s="17">
        <f t="shared" si="77"/>
        <v>838.56</v>
      </c>
    </row>
    <row r="2465" spans="1:14" x14ac:dyDescent="0.25">
      <c r="A2465" s="14" t="s">
        <v>913</v>
      </c>
      <c r="B2465" s="14">
        <v>6</v>
      </c>
      <c r="C2465" s="15" t="s">
        <v>2490</v>
      </c>
      <c r="D2465" s="14" t="s">
        <v>1745</v>
      </c>
      <c r="E2465" s="14" t="s">
        <v>1746</v>
      </c>
      <c r="F2465" s="17" t="s">
        <v>2993</v>
      </c>
      <c r="G2465" s="14">
        <v>5229</v>
      </c>
      <c r="H2465" s="14">
        <v>4183.2</v>
      </c>
      <c r="I2465" s="31">
        <f>IF(COUNTIFS(Addendum!C:C,A2465,Addendum!D:D,IF(ISNUMBER(B2465),TEXT(B2465,"0000"),B2465),Addendum!E:E,"X")&gt;0,4%,0)</f>
        <v>0</v>
      </c>
      <c r="J2465" s="31">
        <f>IF(COUNTIFS(Addendum!C:C,A2465,Addendum!D:D,IF(ISNUMBER(B2465),TEXT(B2465,"0000"),B2465),Addendum!F:F,"X")&gt;0,2.5%,0)</f>
        <v>0</v>
      </c>
      <c r="K2465" s="31">
        <f>IF(COUNTIFS(Addendum!C:C,A2465,Addendum!D:D,IF(ISNUMBER(B2465),TEXT(B2465,"0000"),B2465),Addendum!G:G,"X")&gt;0,7%,0)</f>
        <v>0</v>
      </c>
      <c r="L2465" s="31">
        <f>IF(COUNTIFS(Addendum!C:C,A2465,Addendum!D:D,IF(ISNUMBER(B2465),TEXT(B2465,"0000"),B2465),Addendum!I:I,"X")&gt;0,10%,0)</f>
        <v>0</v>
      </c>
      <c r="M2465" s="34">
        <f t="shared" si="76"/>
        <v>0</v>
      </c>
      <c r="N2465" s="17">
        <f t="shared" si="77"/>
        <v>4183.2</v>
      </c>
    </row>
    <row r="2466" spans="1:14" x14ac:dyDescent="0.25">
      <c r="A2466" s="14" t="s">
        <v>913</v>
      </c>
      <c r="B2466" s="14" t="s">
        <v>122</v>
      </c>
      <c r="C2466" s="15" t="s">
        <v>2494</v>
      </c>
      <c r="D2466" s="14" t="s">
        <v>1745</v>
      </c>
      <c r="E2466" s="14" t="s">
        <v>1747</v>
      </c>
      <c r="F2466" s="17" t="s">
        <v>2993</v>
      </c>
      <c r="G2466" s="14">
        <v>3360</v>
      </c>
      <c r="H2466" s="14">
        <v>2688</v>
      </c>
      <c r="I2466" s="31">
        <f>IF(COUNTIFS(Addendum!C:C,A2466,Addendum!D:D,IF(ISNUMBER(B2466),TEXT(B2466,"0000"),B2466),Addendum!E:E,"X")&gt;0,4%,0)</f>
        <v>0</v>
      </c>
      <c r="J2466" s="31">
        <f>IF(COUNTIFS(Addendum!C:C,A2466,Addendum!D:D,IF(ISNUMBER(B2466),TEXT(B2466,"0000"),B2466),Addendum!F:F,"X")&gt;0,2.5%,0)</f>
        <v>0</v>
      </c>
      <c r="K2466" s="31">
        <f>IF(COUNTIFS(Addendum!C:C,A2466,Addendum!D:D,IF(ISNUMBER(B2466),TEXT(B2466,"0000"),B2466),Addendum!G:G,"X")&gt;0,7%,0)</f>
        <v>0</v>
      </c>
      <c r="L2466" s="31">
        <f>IF(COUNTIFS(Addendum!C:C,A2466,Addendum!D:D,IF(ISNUMBER(B2466),TEXT(B2466,"0000"),B2466),Addendum!I:I,"X")&gt;0,10%,0)</f>
        <v>0</v>
      </c>
      <c r="M2466" s="34">
        <f t="shared" si="76"/>
        <v>0</v>
      </c>
      <c r="N2466" s="17">
        <f t="shared" si="77"/>
        <v>2688</v>
      </c>
    </row>
    <row r="2467" spans="1:14" x14ac:dyDescent="0.25">
      <c r="A2467" s="14" t="s">
        <v>913</v>
      </c>
      <c r="B2467" s="14" t="s">
        <v>20</v>
      </c>
      <c r="C2467" s="15" t="s">
        <v>2497</v>
      </c>
      <c r="D2467" s="14" t="s">
        <v>1749</v>
      </c>
      <c r="E2467" s="14" t="s">
        <v>1746</v>
      </c>
      <c r="F2467" s="17" t="s">
        <v>2994</v>
      </c>
      <c r="G2467" s="14">
        <v>74.88</v>
      </c>
      <c r="H2467" s="14">
        <v>59.9</v>
      </c>
      <c r="I2467" s="31">
        <f>IF(COUNTIFS(Addendum!C:C,A2467,Addendum!D:D,IF(ISNUMBER(B2467),TEXT(B2467,"0000"),B2467),Addendum!E:E,"X")&gt;0,4%,0)</f>
        <v>0</v>
      </c>
      <c r="J2467" s="31">
        <f>IF(COUNTIFS(Addendum!C:C,A2467,Addendum!D:D,IF(ISNUMBER(B2467),TEXT(B2467,"0000"),B2467),Addendum!F:F,"X")&gt;0,2.5%,0)</f>
        <v>0</v>
      </c>
      <c r="K2467" s="31">
        <f>IF(COUNTIFS(Addendum!C:C,A2467,Addendum!D:D,IF(ISNUMBER(B2467),TEXT(B2467,"0000"),B2467),Addendum!G:G,"X")&gt;0,7%,0)</f>
        <v>0</v>
      </c>
      <c r="L2467" s="31">
        <f>IF(COUNTIFS(Addendum!C:C,A2467,Addendum!D:D,IF(ISNUMBER(B2467),TEXT(B2467,"0000"),B2467),Addendum!I:I,"X")&gt;0,10%,0)</f>
        <v>0</v>
      </c>
      <c r="M2467" s="34">
        <f t="shared" si="76"/>
        <v>0</v>
      </c>
      <c r="N2467" s="17">
        <f t="shared" si="77"/>
        <v>59.9</v>
      </c>
    </row>
    <row r="2468" spans="1:14" x14ac:dyDescent="0.25">
      <c r="A2468" s="14" t="s">
        <v>913</v>
      </c>
      <c r="B2468" s="14" t="s">
        <v>243</v>
      </c>
      <c r="C2468" s="15" t="s">
        <v>2495</v>
      </c>
      <c r="D2468" s="14" t="s">
        <v>1745</v>
      </c>
      <c r="E2468" s="14" t="s">
        <v>1746</v>
      </c>
      <c r="F2468" s="17" t="s">
        <v>2994</v>
      </c>
      <c r="G2468" s="14">
        <v>78624</v>
      </c>
      <c r="H2468" s="14">
        <v>62899.199999999997</v>
      </c>
      <c r="I2468" s="31">
        <f>IF(COUNTIFS(Addendum!C:C,A2468,Addendum!D:D,IF(ISNUMBER(B2468),TEXT(B2468,"0000"),B2468),Addendum!E:E,"X")&gt;0,4%,0)</f>
        <v>0.04</v>
      </c>
      <c r="J2468" s="31">
        <f>IF(COUNTIFS(Addendum!C:C,A2468,Addendum!D:D,IF(ISNUMBER(B2468),TEXT(B2468,"0000"),B2468),Addendum!F:F,"X")&gt;0,2.5%,0)</f>
        <v>0</v>
      </c>
      <c r="K2468" s="31">
        <f>IF(COUNTIFS(Addendum!C:C,A2468,Addendum!D:D,IF(ISNUMBER(B2468),TEXT(B2468,"0000"),B2468),Addendum!G:G,"X")&gt;0,7%,0)</f>
        <v>0</v>
      </c>
      <c r="L2468" s="31">
        <f>IF(COUNTIFS(Addendum!C:C,A2468,Addendum!D:D,IF(ISNUMBER(B2468),TEXT(B2468,"0000"),B2468),Addendum!I:I,"X")&gt;0,10%,0)</f>
        <v>0</v>
      </c>
      <c r="M2468" s="34">
        <f t="shared" si="76"/>
        <v>0.01</v>
      </c>
      <c r="N2468" s="17">
        <f t="shared" si="77"/>
        <v>62270.207999999999</v>
      </c>
    </row>
    <row r="2469" spans="1:14" x14ac:dyDescent="0.25">
      <c r="A2469" s="14" t="s">
        <v>913</v>
      </c>
      <c r="B2469" s="14" t="s">
        <v>24</v>
      </c>
      <c r="C2469" s="15" t="s">
        <v>2491</v>
      </c>
      <c r="D2469" s="14" t="s">
        <v>1749</v>
      </c>
      <c r="E2469" s="14" t="s">
        <v>1746</v>
      </c>
      <c r="F2469" s="17" t="s">
        <v>2994</v>
      </c>
      <c r="G2469" s="14">
        <v>99.83</v>
      </c>
      <c r="H2469" s="14">
        <v>79.86</v>
      </c>
      <c r="I2469" s="31">
        <f>IF(COUNTIFS(Addendum!C:C,A2469,Addendum!D:D,IF(ISNUMBER(B2469),TEXT(B2469,"0000"),B2469),Addendum!E:E,"X")&gt;0,4%,0)</f>
        <v>0</v>
      </c>
      <c r="J2469" s="31">
        <f>IF(COUNTIFS(Addendum!C:C,A2469,Addendum!D:D,IF(ISNUMBER(B2469),TEXT(B2469,"0000"),B2469),Addendum!F:F,"X")&gt;0,2.5%,0)</f>
        <v>0</v>
      </c>
      <c r="K2469" s="31">
        <f>IF(COUNTIFS(Addendum!C:C,A2469,Addendum!D:D,IF(ISNUMBER(B2469),TEXT(B2469,"0000"),B2469),Addendum!G:G,"X")&gt;0,7%,0)</f>
        <v>0</v>
      </c>
      <c r="L2469" s="31">
        <f>IF(COUNTIFS(Addendum!C:C,A2469,Addendum!D:D,IF(ISNUMBER(B2469),TEXT(B2469,"0000"),B2469),Addendum!I:I,"X")&gt;0,10%,0)</f>
        <v>0</v>
      </c>
      <c r="M2469" s="34">
        <f t="shared" si="76"/>
        <v>0</v>
      </c>
      <c r="N2469" s="17">
        <f t="shared" si="77"/>
        <v>79.86</v>
      </c>
    </row>
    <row r="2470" spans="1:14" x14ac:dyDescent="0.25">
      <c r="A2470" s="14" t="s">
        <v>913</v>
      </c>
      <c r="B2470" s="14" t="s">
        <v>20</v>
      </c>
      <c r="C2470" s="15" t="s">
        <v>2497</v>
      </c>
      <c r="D2470" s="14" t="s">
        <v>1745</v>
      </c>
      <c r="E2470" s="14" t="s">
        <v>1746</v>
      </c>
      <c r="F2470" s="17" t="s">
        <v>2994</v>
      </c>
      <c r="G2470" s="14">
        <v>786.24</v>
      </c>
      <c r="H2470" s="14">
        <v>629.04</v>
      </c>
      <c r="I2470" s="31">
        <f>IF(COUNTIFS(Addendum!C:C,A2470,Addendum!D:D,IF(ISNUMBER(B2470),TEXT(B2470,"0000"),B2470),Addendum!E:E,"X")&gt;0,4%,0)</f>
        <v>0</v>
      </c>
      <c r="J2470" s="31">
        <f>IF(COUNTIFS(Addendum!C:C,A2470,Addendum!D:D,IF(ISNUMBER(B2470),TEXT(B2470,"0000"),B2470),Addendum!F:F,"X")&gt;0,2.5%,0)</f>
        <v>0</v>
      </c>
      <c r="K2470" s="31">
        <f>IF(COUNTIFS(Addendum!C:C,A2470,Addendum!D:D,IF(ISNUMBER(B2470),TEXT(B2470,"0000"),B2470),Addendum!G:G,"X")&gt;0,7%,0)</f>
        <v>0</v>
      </c>
      <c r="L2470" s="31">
        <f>IF(COUNTIFS(Addendum!C:C,A2470,Addendum!D:D,IF(ISNUMBER(B2470),TEXT(B2470,"0000"),B2470),Addendum!I:I,"X")&gt;0,10%,0)</f>
        <v>0</v>
      </c>
      <c r="M2470" s="34">
        <f t="shared" si="76"/>
        <v>0</v>
      </c>
      <c r="N2470" s="17">
        <f t="shared" si="77"/>
        <v>629.04</v>
      </c>
    </row>
    <row r="2471" spans="1:14" x14ac:dyDescent="0.25">
      <c r="A2471" s="14" t="s">
        <v>913</v>
      </c>
      <c r="B2471" s="14">
        <v>8</v>
      </c>
      <c r="C2471" s="15" t="s">
        <v>2492</v>
      </c>
      <c r="D2471" s="14" t="s">
        <v>1745</v>
      </c>
      <c r="E2471" s="14" t="s">
        <v>1746</v>
      </c>
      <c r="F2471" s="17" t="s">
        <v>2994</v>
      </c>
      <c r="G2471" s="14">
        <v>786.24</v>
      </c>
      <c r="H2471" s="14">
        <v>629.04</v>
      </c>
      <c r="I2471" s="31">
        <f>IF(COUNTIFS(Addendum!C:C,A2471,Addendum!D:D,IF(ISNUMBER(B2471),TEXT(B2471,"0000"),B2471),Addendum!E:E,"X")&gt;0,4%,0)</f>
        <v>0</v>
      </c>
      <c r="J2471" s="31">
        <f>IF(COUNTIFS(Addendum!C:C,A2471,Addendum!D:D,IF(ISNUMBER(B2471),TEXT(B2471,"0000"),B2471),Addendum!F:F,"X")&gt;0,2.5%,0)</f>
        <v>0</v>
      </c>
      <c r="K2471" s="31">
        <f>IF(COUNTIFS(Addendum!C:C,A2471,Addendum!D:D,IF(ISNUMBER(B2471),TEXT(B2471,"0000"),B2471),Addendum!G:G,"X")&gt;0,7%,0)</f>
        <v>0</v>
      </c>
      <c r="L2471" s="31">
        <f>IF(COUNTIFS(Addendum!C:C,A2471,Addendum!D:D,IF(ISNUMBER(B2471),TEXT(B2471,"0000"),B2471),Addendum!I:I,"X")&gt;0,10%,0)</f>
        <v>0</v>
      </c>
      <c r="M2471" s="34">
        <f t="shared" si="76"/>
        <v>0</v>
      </c>
      <c r="N2471" s="17">
        <f t="shared" si="77"/>
        <v>629.04</v>
      </c>
    </row>
    <row r="2472" spans="1:14" x14ac:dyDescent="0.25">
      <c r="A2472" s="14" t="s">
        <v>913</v>
      </c>
      <c r="B2472" s="14" t="s">
        <v>28</v>
      </c>
      <c r="C2472" s="15" t="s">
        <v>2488</v>
      </c>
      <c r="D2472" s="14" t="s">
        <v>1745</v>
      </c>
      <c r="E2472" s="14" t="s">
        <v>1747</v>
      </c>
      <c r="F2472" s="17" t="s">
        <v>2993</v>
      </c>
      <c r="G2472" s="14">
        <v>3360</v>
      </c>
      <c r="H2472" s="14">
        <v>2688</v>
      </c>
      <c r="I2472" s="31">
        <f>IF(COUNTIFS(Addendum!C:C,A2472,Addendum!D:D,IF(ISNUMBER(B2472),TEXT(B2472,"0000"),B2472),Addendum!E:E,"X")&gt;0,4%,0)</f>
        <v>0</v>
      </c>
      <c r="J2472" s="31">
        <f>IF(COUNTIFS(Addendum!C:C,A2472,Addendum!D:D,IF(ISNUMBER(B2472),TEXT(B2472,"0000"),B2472),Addendum!F:F,"X")&gt;0,2.5%,0)</f>
        <v>0</v>
      </c>
      <c r="K2472" s="31">
        <f>IF(COUNTIFS(Addendum!C:C,A2472,Addendum!D:D,IF(ISNUMBER(B2472),TEXT(B2472,"0000"),B2472),Addendum!G:G,"X")&gt;0,7%,0)</f>
        <v>0</v>
      </c>
      <c r="L2472" s="31">
        <f>IF(COUNTIFS(Addendum!C:C,A2472,Addendum!D:D,IF(ISNUMBER(B2472),TEXT(B2472,"0000"),B2472),Addendum!I:I,"X")&gt;0,10%,0)</f>
        <v>0</v>
      </c>
      <c r="M2472" s="34">
        <f t="shared" si="76"/>
        <v>0</v>
      </c>
      <c r="N2472" s="17">
        <f t="shared" si="77"/>
        <v>2688</v>
      </c>
    </row>
    <row r="2473" spans="1:14" x14ac:dyDescent="0.25">
      <c r="A2473" s="14" t="s">
        <v>913</v>
      </c>
      <c r="B2473" s="14" t="s">
        <v>102</v>
      </c>
      <c r="C2473" s="15" t="s">
        <v>912</v>
      </c>
      <c r="D2473" s="14" t="s">
        <v>1749</v>
      </c>
      <c r="E2473" s="14" t="s">
        <v>1746</v>
      </c>
      <c r="F2473" s="17" t="s">
        <v>2993</v>
      </c>
      <c r="G2473" s="14">
        <v>7488</v>
      </c>
      <c r="H2473" s="14">
        <v>5990.4</v>
      </c>
      <c r="I2473" s="31">
        <f>IF(COUNTIFS(Addendum!C:C,A2473,Addendum!D:D,IF(ISNUMBER(B2473),TEXT(B2473,"0000"),B2473),Addendum!E:E,"X")&gt;0,4%,0)</f>
        <v>0.04</v>
      </c>
      <c r="J2473" s="31">
        <f>IF(COUNTIFS(Addendum!C:C,A2473,Addendum!D:D,IF(ISNUMBER(B2473),TEXT(B2473,"0000"),B2473),Addendum!F:F,"X")&gt;0,2.5%,0)</f>
        <v>0</v>
      </c>
      <c r="K2473" s="31">
        <f>IF(COUNTIFS(Addendum!C:C,A2473,Addendum!D:D,IF(ISNUMBER(B2473),TEXT(B2473,"0000"),B2473),Addendum!G:G,"X")&gt;0,7%,0)</f>
        <v>0</v>
      </c>
      <c r="L2473" s="31">
        <f>IF(COUNTIFS(Addendum!C:C,A2473,Addendum!D:D,IF(ISNUMBER(B2473),TEXT(B2473,"0000"),B2473),Addendum!I:I,"X")&gt;0,10%,0)</f>
        <v>0</v>
      </c>
      <c r="M2473" s="34">
        <f t="shared" si="76"/>
        <v>0.01</v>
      </c>
      <c r="N2473" s="17">
        <f t="shared" si="77"/>
        <v>5930.4959999999992</v>
      </c>
    </row>
    <row r="2474" spans="1:14" x14ac:dyDescent="0.25">
      <c r="A2474" s="14" t="s">
        <v>913</v>
      </c>
      <c r="B2474" s="14">
        <v>6</v>
      </c>
      <c r="C2474" s="15" t="s">
        <v>2490</v>
      </c>
      <c r="D2474" s="14" t="s">
        <v>1745</v>
      </c>
      <c r="E2474" s="14" t="s">
        <v>1747</v>
      </c>
      <c r="F2474" s="17" t="s">
        <v>2993</v>
      </c>
      <c r="G2474" s="14">
        <v>4980</v>
      </c>
      <c r="H2474" s="14">
        <v>3984</v>
      </c>
      <c r="I2474" s="31">
        <f>IF(COUNTIFS(Addendum!C:C,A2474,Addendum!D:D,IF(ISNUMBER(B2474),TEXT(B2474,"0000"),B2474),Addendum!E:E,"X")&gt;0,4%,0)</f>
        <v>0</v>
      </c>
      <c r="J2474" s="31">
        <f>IF(COUNTIFS(Addendum!C:C,A2474,Addendum!D:D,IF(ISNUMBER(B2474),TEXT(B2474,"0000"),B2474),Addendum!F:F,"X")&gt;0,2.5%,0)</f>
        <v>0</v>
      </c>
      <c r="K2474" s="31">
        <f>IF(COUNTIFS(Addendum!C:C,A2474,Addendum!D:D,IF(ISNUMBER(B2474),TEXT(B2474,"0000"),B2474),Addendum!G:G,"X")&gt;0,7%,0)</f>
        <v>0</v>
      </c>
      <c r="L2474" s="31">
        <f>IF(COUNTIFS(Addendum!C:C,A2474,Addendum!D:D,IF(ISNUMBER(B2474),TEXT(B2474,"0000"),B2474),Addendum!I:I,"X")&gt;0,10%,0)</f>
        <v>0</v>
      </c>
      <c r="M2474" s="34">
        <f t="shared" si="76"/>
        <v>0</v>
      </c>
      <c r="N2474" s="17">
        <f t="shared" si="77"/>
        <v>3984</v>
      </c>
    </row>
    <row r="2475" spans="1:14" x14ac:dyDescent="0.25">
      <c r="A2475" s="14" t="s">
        <v>913</v>
      </c>
      <c r="B2475" s="14">
        <v>8</v>
      </c>
      <c r="C2475" s="15" t="s">
        <v>2492</v>
      </c>
      <c r="D2475" s="14" t="s">
        <v>1745</v>
      </c>
      <c r="E2475" s="14" t="s">
        <v>1747</v>
      </c>
      <c r="F2475" s="17" t="s">
        <v>2994</v>
      </c>
      <c r="G2475" s="14">
        <v>748.8</v>
      </c>
      <c r="H2475" s="14">
        <v>599.04</v>
      </c>
      <c r="I2475" s="31">
        <f>IF(COUNTIFS(Addendum!C:C,A2475,Addendum!D:D,IF(ISNUMBER(B2475),TEXT(B2475,"0000"),B2475),Addendum!E:E,"X")&gt;0,4%,0)</f>
        <v>0</v>
      </c>
      <c r="J2475" s="31">
        <f>IF(COUNTIFS(Addendum!C:C,A2475,Addendum!D:D,IF(ISNUMBER(B2475),TEXT(B2475,"0000"),B2475),Addendum!F:F,"X")&gt;0,2.5%,0)</f>
        <v>0</v>
      </c>
      <c r="K2475" s="31">
        <f>IF(COUNTIFS(Addendum!C:C,A2475,Addendum!D:D,IF(ISNUMBER(B2475),TEXT(B2475,"0000"),B2475),Addendum!G:G,"X")&gt;0,7%,0)</f>
        <v>0</v>
      </c>
      <c r="L2475" s="31">
        <f>IF(COUNTIFS(Addendum!C:C,A2475,Addendum!D:D,IF(ISNUMBER(B2475),TEXT(B2475,"0000"),B2475),Addendum!I:I,"X")&gt;0,10%,0)</f>
        <v>0</v>
      </c>
      <c r="M2475" s="34">
        <f t="shared" si="76"/>
        <v>0</v>
      </c>
      <c r="N2475" s="17">
        <f t="shared" si="77"/>
        <v>599.04</v>
      </c>
    </row>
    <row r="2476" spans="1:14" x14ac:dyDescent="0.25">
      <c r="A2476" s="14" t="s">
        <v>913</v>
      </c>
      <c r="B2476" s="14" t="s">
        <v>122</v>
      </c>
      <c r="C2476" s="15" t="s">
        <v>2494</v>
      </c>
      <c r="D2476" s="14" t="s">
        <v>1745</v>
      </c>
      <c r="E2476" s="14" t="s">
        <v>1746</v>
      </c>
      <c r="F2476" s="17" t="s">
        <v>2993</v>
      </c>
      <c r="G2476" s="14">
        <v>3528</v>
      </c>
      <c r="H2476" s="14">
        <v>2822.4</v>
      </c>
      <c r="I2476" s="31">
        <f>IF(COUNTIFS(Addendum!C:C,A2476,Addendum!D:D,IF(ISNUMBER(B2476),TEXT(B2476,"0000"),B2476),Addendum!E:E,"X")&gt;0,4%,0)</f>
        <v>0</v>
      </c>
      <c r="J2476" s="31">
        <f>IF(COUNTIFS(Addendum!C:C,A2476,Addendum!D:D,IF(ISNUMBER(B2476),TEXT(B2476,"0000"),B2476),Addendum!F:F,"X")&gt;0,2.5%,0)</f>
        <v>0</v>
      </c>
      <c r="K2476" s="31">
        <f>IF(COUNTIFS(Addendum!C:C,A2476,Addendum!D:D,IF(ISNUMBER(B2476),TEXT(B2476,"0000"),B2476),Addendum!G:G,"X")&gt;0,7%,0)</f>
        <v>0</v>
      </c>
      <c r="L2476" s="31">
        <f>IF(COUNTIFS(Addendum!C:C,A2476,Addendum!D:D,IF(ISNUMBER(B2476),TEXT(B2476,"0000"),B2476),Addendum!I:I,"X")&gt;0,10%,0)</f>
        <v>0</v>
      </c>
      <c r="M2476" s="34">
        <f t="shared" si="76"/>
        <v>0</v>
      </c>
      <c r="N2476" s="17">
        <f t="shared" si="77"/>
        <v>2822.4</v>
      </c>
    </row>
    <row r="2477" spans="1:14" x14ac:dyDescent="0.25">
      <c r="A2477" s="14" t="s">
        <v>913</v>
      </c>
      <c r="B2477" s="14" t="s">
        <v>102</v>
      </c>
      <c r="C2477" s="15" t="s">
        <v>912</v>
      </c>
      <c r="D2477" s="14" t="s">
        <v>1745</v>
      </c>
      <c r="E2477" s="14" t="s">
        <v>1746</v>
      </c>
      <c r="F2477" s="17" t="s">
        <v>2993</v>
      </c>
      <c r="G2477" s="14">
        <v>78624</v>
      </c>
      <c r="H2477" s="14">
        <v>62899.199999999997</v>
      </c>
      <c r="I2477" s="31">
        <f>IF(COUNTIFS(Addendum!C:C,A2477,Addendum!D:D,IF(ISNUMBER(B2477),TEXT(B2477,"0000"),B2477),Addendum!E:E,"X")&gt;0,4%,0)</f>
        <v>0.04</v>
      </c>
      <c r="J2477" s="31">
        <f>IF(COUNTIFS(Addendum!C:C,A2477,Addendum!D:D,IF(ISNUMBER(B2477),TEXT(B2477,"0000"),B2477),Addendum!F:F,"X")&gt;0,2.5%,0)</f>
        <v>0</v>
      </c>
      <c r="K2477" s="31">
        <f>IF(COUNTIFS(Addendum!C:C,A2477,Addendum!D:D,IF(ISNUMBER(B2477),TEXT(B2477,"0000"),B2477),Addendum!G:G,"X")&gt;0,7%,0)</f>
        <v>0</v>
      </c>
      <c r="L2477" s="31">
        <f>IF(COUNTIFS(Addendum!C:C,A2477,Addendum!D:D,IF(ISNUMBER(B2477),TEXT(B2477,"0000"),B2477),Addendum!I:I,"X")&gt;0,10%,0)</f>
        <v>0</v>
      </c>
      <c r="M2477" s="34">
        <f t="shared" si="76"/>
        <v>0.01</v>
      </c>
      <c r="N2477" s="17">
        <f t="shared" si="77"/>
        <v>62270.207999999999</v>
      </c>
    </row>
    <row r="2478" spans="1:14" x14ac:dyDescent="0.25">
      <c r="A2478" s="14" t="s">
        <v>913</v>
      </c>
      <c r="B2478" s="14" t="s">
        <v>20</v>
      </c>
      <c r="C2478" s="15" t="s">
        <v>2497</v>
      </c>
      <c r="D2478" s="14" t="s">
        <v>1745</v>
      </c>
      <c r="E2478" s="14" t="s">
        <v>1747</v>
      </c>
      <c r="F2478" s="17" t="s">
        <v>2994</v>
      </c>
      <c r="G2478" s="14">
        <v>748.8</v>
      </c>
      <c r="H2478" s="14">
        <v>599.04</v>
      </c>
      <c r="I2478" s="31">
        <f>IF(COUNTIFS(Addendum!C:C,A2478,Addendum!D:D,IF(ISNUMBER(B2478),TEXT(B2478,"0000"),B2478),Addendum!E:E,"X")&gt;0,4%,0)</f>
        <v>0</v>
      </c>
      <c r="J2478" s="31">
        <f>IF(COUNTIFS(Addendum!C:C,A2478,Addendum!D:D,IF(ISNUMBER(B2478),TEXT(B2478,"0000"),B2478),Addendum!F:F,"X")&gt;0,2.5%,0)</f>
        <v>0</v>
      </c>
      <c r="K2478" s="31">
        <f>IF(COUNTIFS(Addendum!C:C,A2478,Addendum!D:D,IF(ISNUMBER(B2478),TEXT(B2478,"0000"),B2478),Addendum!G:G,"X")&gt;0,7%,0)</f>
        <v>0</v>
      </c>
      <c r="L2478" s="31">
        <f>IF(COUNTIFS(Addendum!C:C,A2478,Addendum!D:D,IF(ISNUMBER(B2478),TEXT(B2478,"0000"),B2478),Addendum!I:I,"X")&gt;0,10%,0)</f>
        <v>0</v>
      </c>
      <c r="M2478" s="34">
        <f t="shared" si="76"/>
        <v>0</v>
      </c>
      <c r="N2478" s="17">
        <f t="shared" si="77"/>
        <v>599.04</v>
      </c>
    </row>
    <row r="2479" spans="1:14" x14ac:dyDescent="0.25">
      <c r="A2479" s="14" t="s">
        <v>916</v>
      </c>
      <c r="B2479" s="14">
        <v>4</v>
      </c>
      <c r="C2479" s="15" t="s">
        <v>915</v>
      </c>
      <c r="D2479" s="14" t="s">
        <v>1745</v>
      </c>
      <c r="E2479" s="14" t="s">
        <v>1747</v>
      </c>
      <c r="F2479" s="17" t="s">
        <v>2993</v>
      </c>
      <c r="G2479" s="14">
        <v>12000</v>
      </c>
      <c r="H2479" s="14">
        <v>9600</v>
      </c>
      <c r="I2479" s="31">
        <f>IF(COUNTIFS(Addendum!C:C,A2479,Addendum!D:D,IF(ISNUMBER(B2479),TEXT(B2479,"0000"),B2479),Addendum!E:E,"X")&gt;0,4%,0)</f>
        <v>0.04</v>
      </c>
      <c r="J2479" s="31">
        <f>IF(COUNTIFS(Addendum!C:C,A2479,Addendum!D:D,IF(ISNUMBER(B2479),TEXT(B2479,"0000"),B2479),Addendum!F:F,"X")&gt;0,2.5%,0)</f>
        <v>0</v>
      </c>
      <c r="K2479" s="31">
        <f>IF(COUNTIFS(Addendum!C:C,A2479,Addendum!D:D,IF(ISNUMBER(B2479),TEXT(B2479,"0000"),B2479),Addendum!G:G,"X")&gt;0,7%,0)</f>
        <v>0</v>
      </c>
      <c r="L2479" s="31">
        <f>IF(COUNTIFS(Addendum!C:C,A2479,Addendum!D:D,IF(ISNUMBER(B2479),TEXT(B2479,"0000"),B2479),Addendum!I:I,"X")&gt;0,10%,0)</f>
        <v>0</v>
      </c>
      <c r="M2479" s="34">
        <f t="shared" si="76"/>
        <v>0.03</v>
      </c>
      <c r="N2479" s="17">
        <f t="shared" si="77"/>
        <v>9312</v>
      </c>
    </row>
    <row r="2480" spans="1:14" x14ac:dyDescent="0.25">
      <c r="A2480" s="14" t="s">
        <v>916</v>
      </c>
      <c r="B2480" s="14">
        <v>4</v>
      </c>
      <c r="C2480" s="15" t="s">
        <v>915</v>
      </c>
      <c r="D2480" s="14" t="s">
        <v>1745</v>
      </c>
      <c r="E2480" s="14" t="s">
        <v>1746</v>
      </c>
      <c r="F2480" s="17" t="s">
        <v>2993</v>
      </c>
      <c r="G2480" s="14">
        <v>12600</v>
      </c>
      <c r="H2480" s="14">
        <v>10080</v>
      </c>
      <c r="I2480" s="31">
        <f>IF(COUNTIFS(Addendum!C:C,A2480,Addendum!D:D,IF(ISNUMBER(B2480),TEXT(B2480,"0000"),B2480),Addendum!E:E,"X")&gt;0,4%,0)</f>
        <v>0.04</v>
      </c>
      <c r="J2480" s="31">
        <f>IF(COUNTIFS(Addendum!C:C,A2480,Addendum!D:D,IF(ISNUMBER(B2480),TEXT(B2480,"0000"),B2480),Addendum!F:F,"X")&gt;0,2.5%,0)</f>
        <v>0</v>
      </c>
      <c r="K2480" s="31">
        <f>IF(COUNTIFS(Addendum!C:C,A2480,Addendum!D:D,IF(ISNUMBER(B2480),TEXT(B2480,"0000"),B2480),Addendum!G:G,"X")&gt;0,7%,0)</f>
        <v>0</v>
      </c>
      <c r="L2480" s="31">
        <f>IF(COUNTIFS(Addendum!C:C,A2480,Addendum!D:D,IF(ISNUMBER(B2480),TEXT(B2480,"0000"),B2480),Addendum!I:I,"X")&gt;0,10%,0)</f>
        <v>0</v>
      </c>
      <c r="M2480" s="34">
        <f t="shared" si="76"/>
        <v>0.01</v>
      </c>
      <c r="N2480" s="17">
        <f t="shared" si="77"/>
        <v>9979.2000000000007</v>
      </c>
    </row>
    <row r="2481" spans="1:14" x14ac:dyDescent="0.25">
      <c r="A2481" s="14" t="s">
        <v>916</v>
      </c>
      <c r="B2481" s="14" t="s">
        <v>89</v>
      </c>
      <c r="C2481" s="15" t="s">
        <v>920</v>
      </c>
      <c r="D2481" s="14" t="s">
        <v>1749</v>
      </c>
      <c r="E2481" s="14" t="s">
        <v>1746</v>
      </c>
      <c r="F2481" s="17" t="s">
        <v>2993</v>
      </c>
      <c r="G2481" s="14">
        <v>900</v>
      </c>
      <c r="H2481" s="14">
        <v>720</v>
      </c>
      <c r="I2481" s="31">
        <f>IF(COUNTIFS(Addendum!C:C,A2481,Addendum!D:D,IF(ISNUMBER(B2481),TEXT(B2481,"0000"),B2481),Addendum!E:E,"X")&gt;0,4%,0)</f>
        <v>0.04</v>
      </c>
      <c r="J2481" s="31">
        <f>IF(COUNTIFS(Addendum!C:C,A2481,Addendum!D:D,IF(ISNUMBER(B2481),TEXT(B2481,"0000"),B2481),Addendum!F:F,"X")&gt;0,2.5%,0)</f>
        <v>0</v>
      </c>
      <c r="K2481" s="31">
        <f>IF(COUNTIFS(Addendum!C:C,A2481,Addendum!D:D,IF(ISNUMBER(B2481),TEXT(B2481,"0000"),B2481),Addendum!G:G,"X")&gt;0,7%,0)</f>
        <v>0</v>
      </c>
      <c r="L2481" s="31">
        <f>IF(COUNTIFS(Addendum!C:C,A2481,Addendum!D:D,IF(ISNUMBER(B2481),TEXT(B2481,"0000"),B2481),Addendum!I:I,"X")&gt;0,10%,0)</f>
        <v>0</v>
      </c>
      <c r="M2481" s="34">
        <f t="shared" si="76"/>
        <v>0.01</v>
      </c>
      <c r="N2481" s="17">
        <f t="shared" si="77"/>
        <v>712.8</v>
      </c>
    </row>
    <row r="2482" spans="1:14" x14ac:dyDescent="0.25">
      <c r="A2482" s="14" t="s">
        <v>916</v>
      </c>
      <c r="B2482" s="14">
        <v>3</v>
      </c>
      <c r="C2482" s="15" t="s">
        <v>923</v>
      </c>
      <c r="D2482" s="14" t="s">
        <v>1745</v>
      </c>
      <c r="E2482" s="14" t="s">
        <v>1746</v>
      </c>
      <c r="F2482" s="17" t="s">
        <v>2993</v>
      </c>
      <c r="G2482" s="14">
        <v>8442</v>
      </c>
      <c r="H2482" s="14">
        <v>6753.6</v>
      </c>
      <c r="I2482" s="31">
        <f>IF(COUNTIFS(Addendum!C:C,A2482,Addendum!D:D,IF(ISNUMBER(B2482),TEXT(B2482,"0000"),B2482),Addendum!E:E,"X")&gt;0,4%,0)</f>
        <v>0.04</v>
      </c>
      <c r="J2482" s="31">
        <f>IF(COUNTIFS(Addendum!C:C,A2482,Addendum!D:D,IF(ISNUMBER(B2482),TEXT(B2482,"0000"),B2482),Addendum!F:F,"X")&gt;0,2.5%,0)</f>
        <v>0</v>
      </c>
      <c r="K2482" s="31">
        <f>IF(COUNTIFS(Addendum!C:C,A2482,Addendum!D:D,IF(ISNUMBER(B2482),TEXT(B2482,"0000"),B2482),Addendum!G:G,"X")&gt;0,7%,0)</f>
        <v>0</v>
      </c>
      <c r="L2482" s="31">
        <f>IF(COUNTIFS(Addendum!C:C,A2482,Addendum!D:D,IF(ISNUMBER(B2482),TEXT(B2482,"0000"),B2482),Addendum!I:I,"X")&gt;0,10%,0)</f>
        <v>0</v>
      </c>
      <c r="M2482" s="34">
        <f t="shared" si="76"/>
        <v>0.01</v>
      </c>
      <c r="N2482" s="17">
        <f t="shared" si="77"/>
        <v>6686.0640000000003</v>
      </c>
    </row>
    <row r="2483" spans="1:14" x14ac:dyDescent="0.25">
      <c r="A2483" s="14" t="s">
        <v>916</v>
      </c>
      <c r="B2483" s="14" t="s">
        <v>24</v>
      </c>
      <c r="C2483" s="15" t="s">
        <v>2498</v>
      </c>
      <c r="D2483" s="14" t="s">
        <v>1745</v>
      </c>
      <c r="E2483" s="14" t="s">
        <v>1747</v>
      </c>
      <c r="F2483" s="17" t="s">
        <v>2994</v>
      </c>
      <c r="G2483" s="14">
        <v>1320</v>
      </c>
      <c r="H2483" s="14">
        <v>1056</v>
      </c>
      <c r="I2483" s="31">
        <f>IF(COUNTIFS(Addendum!C:C,A2483,Addendum!D:D,IF(ISNUMBER(B2483),TEXT(B2483,"0000"),B2483),Addendum!E:E,"X")&gt;0,4%,0)</f>
        <v>0.04</v>
      </c>
      <c r="J2483" s="31">
        <f>IF(COUNTIFS(Addendum!C:C,A2483,Addendum!D:D,IF(ISNUMBER(B2483),TEXT(B2483,"0000"),B2483),Addendum!F:F,"X")&gt;0,2.5%,0)</f>
        <v>0</v>
      </c>
      <c r="K2483" s="31">
        <f>IF(COUNTIFS(Addendum!C:C,A2483,Addendum!D:D,IF(ISNUMBER(B2483),TEXT(B2483,"0000"),B2483),Addendum!G:G,"X")&gt;0,7%,0)</f>
        <v>0</v>
      </c>
      <c r="L2483" s="31">
        <f>IF(COUNTIFS(Addendum!C:C,A2483,Addendum!D:D,IF(ISNUMBER(B2483),TEXT(B2483,"0000"),B2483),Addendum!I:I,"X")&gt;0,10%,0)</f>
        <v>0</v>
      </c>
      <c r="M2483" s="34">
        <f t="shared" si="76"/>
        <v>0.03</v>
      </c>
      <c r="N2483" s="17">
        <f t="shared" si="77"/>
        <v>1024.32</v>
      </c>
    </row>
    <row r="2484" spans="1:14" x14ac:dyDescent="0.25">
      <c r="A2484" s="14" t="s">
        <v>916</v>
      </c>
      <c r="B2484" s="14" t="s">
        <v>55</v>
      </c>
      <c r="C2484" s="15" t="s">
        <v>2499</v>
      </c>
      <c r="D2484" s="14" t="s">
        <v>1745</v>
      </c>
      <c r="E2484" s="14" t="s">
        <v>1746</v>
      </c>
      <c r="F2484" s="17" t="s">
        <v>2994</v>
      </c>
      <c r="G2484" s="14">
        <v>1890</v>
      </c>
      <c r="H2484" s="14">
        <v>1512</v>
      </c>
      <c r="I2484" s="31">
        <f>IF(COUNTIFS(Addendum!C:C,A2484,Addendum!D:D,IF(ISNUMBER(B2484),TEXT(B2484,"0000"),B2484),Addendum!E:E,"X")&gt;0,4%,0)</f>
        <v>0.04</v>
      </c>
      <c r="J2484" s="31">
        <f>IF(COUNTIFS(Addendum!C:C,A2484,Addendum!D:D,IF(ISNUMBER(B2484),TEXT(B2484,"0000"),B2484),Addendum!F:F,"X")&gt;0,2.5%,0)</f>
        <v>0</v>
      </c>
      <c r="K2484" s="31">
        <f>IF(COUNTIFS(Addendum!C:C,A2484,Addendum!D:D,IF(ISNUMBER(B2484),TEXT(B2484,"0000"),B2484),Addendum!G:G,"X")&gt;0,7%,0)</f>
        <v>0</v>
      </c>
      <c r="L2484" s="31">
        <f>IF(COUNTIFS(Addendum!C:C,A2484,Addendum!D:D,IF(ISNUMBER(B2484),TEXT(B2484,"0000"),B2484),Addendum!I:I,"X")&gt;0,10%,0)</f>
        <v>0</v>
      </c>
      <c r="M2484" s="34">
        <f t="shared" si="76"/>
        <v>0.01</v>
      </c>
      <c r="N2484" s="17">
        <f t="shared" si="77"/>
        <v>1496.88</v>
      </c>
    </row>
    <row r="2485" spans="1:14" x14ac:dyDescent="0.25">
      <c r="A2485" s="14" t="s">
        <v>916</v>
      </c>
      <c r="B2485" s="14">
        <v>5</v>
      </c>
      <c r="C2485" s="15" t="s">
        <v>2500</v>
      </c>
      <c r="D2485" s="14" t="s">
        <v>1745</v>
      </c>
      <c r="E2485" s="14" t="s">
        <v>1747</v>
      </c>
      <c r="F2485" s="17" t="s">
        <v>2994</v>
      </c>
      <c r="G2485" s="14">
        <v>2400</v>
      </c>
      <c r="H2485" s="14">
        <v>1920</v>
      </c>
      <c r="I2485" s="31">
        <f>IF(COUNTIFS(Addendum!C:C,A2485,Addendum!D:D,IF(ISNUMBER(B2485),TEXT(B2485,"0000"),B2485),Addendum!E:E,"X")&gt;0,4%,0)</f>
        <v>0.04</v>
      </c>
      <c r="J2485" s="31">
        <f>IF(COUNTIFS(Addendum!C:C,A2485,Addendum!D:D,IF(ISNUMBER(B2485),TEXT(B2485,"0000"),B2485),Addendum!F:F,"X")&gt;0,2.5%,0)</f>
        <v>0</v>
      </c>
      <c r="K2485" s="31">
        <f>IF(COUNTIFS(Addendum!C:C,A2485,Addendum!D:D,IF(ISNUMBER(B2485),TEXT(B2485,"0000"),B2485),Addendum!G:G,"X")&gt;0,7%,0)</f>
        <v>0</v>
      </c>
      <c r="L2485" s="31">
        <f>IF(COUNTIFS(Addendum!C:C,A2485,Addendum!D:D,IF(ISNUMBER(B2485),TEXT(B2485,"0000"),B2485),Addendum!I:I,"X")&gt;0,10%,0)</f>
        <v>0</v>
      </c>
      <c r="M2485" s="34">
        <f t="shared" si="76"/>
        <v>0.03</v>
      </c>
      <c r="N2485" s="17">
        <f t="shared" si="77"/>
        <v>1862.4</v>
      </c>
    </row>
    <row r="2486" spans="1:14" x14ac:dyDescent="0.25">
      <c r="A2486" s="14" t="s">
        <v>916</v>
      </c>
      <c r="B2486" s="14" t="s">
        <v>24</v>
      </c>
      <c r="C2486" s="15" t="s">
        <v>2498</v>
      </c>
      <c r="D2486" s="14" t="s">
        <v>1745</v>
      </c>
      <c r="E2486" s="14" t="s">
        <v>1746</v>
      </c>
      <c r="F2486" s="17" t="s">
        <v>2994</v>
      </c>
      <c r="G2486" s="14">
        <v>1386</v>
      </c>
      <c r="H2486" s="14">
        <v>1108.8</v>
      </c>
      <c r="I2486" s="31">
        <f>IF(COUNTIFS(Addendum!C:C,A2486,Addendum!D:D,IF(ISNUMBER(B2486),TEXT(B2486,"0000"),B2486),Addendum!E:E,"X")&gt;0,4%,0)</f>
        <v>0.04</v>
      </c>
      <c r="J2486" s="31">
        <f>IF(COUNTIFS(Addendum!C:C,A2486,Addendum!D:D,IF(ISNUMBER(B2486),TEXT(B2486,"0000"),B2486),Addendum!F:F,"X")&gt;0,2.5%,0)</f>
        <v>0</v>
      </c>
      <c r="K2486" s="31">
        <f>IF(COUNTIFS(Addendum!C:C,A2486,Addendum!D:D,IF(ISNUMBER(B2486),TEXT(B2486,"0000"),B2486),Addendum!G:G,"X")&gt;0,7%,0)</f>
        <v>0</v>
      </c>
      <c r="L2486" s="31">
        <f>IF(COUNTIFS(Addendum!C:C,A2486,Addendum!D:D,IF(ISNUMBER(B2486),TEXT(B2486,"0000"),B2486),Addendum!I:I,"X")&gt;0,10%,0)</f>
        <v>0</v>
      </c>
      <c r="M2486" s="34">
        <f t="shared" si="76"/>
        <v>0.01</v>
      </c>
      <c r="N2486" s="17">
        <f t="shared" si="77"/>
        <v>1097.712</v>
      </c>
    </row>
    <row r="2487" spans="1:14" x14ac:dyDescent="0.25">
      <c r="A2487" s="14" t="s">
        <v>916</v>
      </c>
      <c r="B2487" s="14">
        <v>7</v>
      </c>
      <c r="C2487" s="15" t="s">
        <v>2501</v>
      </c>
      <c r="D2487" s="14" t="s">
        <v>1745</v>
      </c>
      <c r="E2487" s="14" t="s">
        <v>1746</v>
      </c>
      <c r="F2487" s="17" t="s">
        <v>2994</v>
      </c>
      <c r="G2487" s="14">
        <v>1890</v>
      </c>
      <c r="H2487" s="14">
        <v>1512</v>
      </c>
      <c r="I2487" s="31">
        <f>IF(COUNTIFS(Addendum!C:C,A2487,Addendum!D:D,IF(ISNUMBER(B2487),TEXT(B2487,"0000"),B2487),Addendum!E:E,"X")&gt;0,4%,0)</f>
        <v>0.04</v>
      </c>
      <c r="J2487" s="31">
        <f>IF(COUNTIFS(Addendum!C:C,A2487,Addendum!D:D,IF(ISNUMBER(B2487),TEXT(B2487,"0000"),B2487),Addendum!F:F,"X")&gt;0,2.5%,0)</f>
        <v>0</v>
      </c>
      <c r="K2487" s="31">
        <f>IF(COUNTIFS(Addendum!C:C,A2487,Addendum!D:D,IF(ISNUMBER(B2487),TEXT(B2487,"0000"),B2487),Addendum!G:G,"X")&gt;0,7%,0)</f>
        <v>0</v>
      </c>
      <c r="L2487" s="31">
        <f>IF(COUNTIFS(Addendum!C:C,A2487,Addendum!D:D,IF(ISNUMBER(B2487),TEXT(B2487,"0000"),B2487),Addendum!I:I,"X")&gt;0,10%,0)</f>
        <v>0</v>
      </c>
      <c r="M2487" s="34">
        <f t="shared" si="76"/>
        <v>0.01</v>
      </c>
      <c r="N2487" s="17">
        <f t="shared" si="77"/>
        <v>1496.88</v>
      </c>
    </row>
    <row r="2488" spans="1:14" x14ac:dyDescent="0.25">
      <c r="A2488" s="14" t="s">
        <v>916</v>
      </c>
      <c r="B2488" s="14">
        <v>6</v>
      </c>
      <c r="C2488" s="15" t="s">
        <v>2502</v>
      </c>
      <c r="D2488" s="14" t="s">
        <v>1745</v>
      </c>
      <c r="E2488" s="14" t="s">
        <v>1746</v>
      </c>
      <c r="F2488" s="17" t="s">
        <v>2995</v>
      </c>
      <c r="G2488" s="14">
        <v>5040</v>
      </c>
      <c r="H2488" s="14">
        <v>4536</v>
      </c>
      <c r="I2488" s="31">
        <f>IF(COUNTIFS(Addendum!C:C,A2488,Addendum!D:D,IF(ISNUMBER(B2488),TEXT(B2488,"0000"),B2488),Addendum!E:E,"X")&gt;0,4%,0)</f>
        <v>0.04</v>
      </c>
      <c r="J2488" s="31">
        <f>IF(COUNTIFS(Addendum!C:C,A2488,Addendum!D:D,IF(ISNUMBER(B2488),TEXT(B2488,"0000"),B2488),Addendum!F:F,"X")&gt;0,2.5%,0)</f>
        <v>0</v>
      </c>
      <c r="K2488" s="31">
        <f>IF(COUNTIFS(Addendum!C:C,A2488,Addendum!D:D,IF(ISNUMBER(B2488),TEXT(B2488,"0000"),B2488),Addendum!G:G,"X")&gt;0,7%,0)</f>
        <v>0</v>
      </c>
      <c r="L2488" s="31">
        <f>IF(COUNTIFS(Addendum!C:C,A2488,Addendum!D:D,IF(ISNUMBER(B2488),TEXT(B2488,"0000"),B2488),Addendum!I:I,"X")&gt;0,10%,0)</f>
        <v>0</v>
      </c>
      <c r="M2488" s="34">
        <f t="shared" si="76"/>
        <v>0.01</v>
      </c>
      <c r="N2488" s="17">
        <f t="shared" si="77"/>
        <v>4490.6400000000003</v>
      </c>
    </row>
    <row r="2489" spans="1:14" x14ac:dyDescent="0.25">
      <c r="A2489" s="14" t="s">
        <v>916</v>
      </c>
      <c r="B2489" s="14" t="s">
        <v>89</v>
      </c>
      <c r="C2489" s="15" t="s">
        <v>920</v>
      </c>
      <c r="D2489" s="14" t="s">
        <v>1745</v>
      </c>
      <c r="E2489" s="14" t="s">
        <v>1746</v>
      </c>
      <c r="F2489" s="17" t="s">
        <v>2993</v>
      </c>
      <c r="G2489" s="14">
        <v>9450</v>
      </c>
      <c r="H2489" s="14">
        <v>7560</v>
      </c>
      <c r="I2489" s="31">
        <f>IF(COUNTIFS(Addendum!C:C,A2489,Addendum!D:D,IF(ISNUMBER(B2489),TEXT(B2489,"0000"),B2489),Addendum!E:E,"X")&gt;0,4%,0)</f>
        <v>0.04</v>
      </c>
      <c r="J2489" s="31">
        <f>IF(COUNTIFS(Addendum!C:C,A2489,Addendum!D:D,IF(ISNUMBER(B2489),TEXT(B2489,"0000"),B2489),Addendum!F:F,"X")&gt;0,2.5%,0)</f>
        <v>0</v>
      </c>
      <c r="K2489" s="31">
        <f>IF(COUNTIFS(Addendum!C:C,A2489,Addendum!D:D,IF(ISNUMBER(B2489),TEXT(B2489,"0000"),B2489),Addendum!G:G,"X")&gt;0,7%,0)</f>
        <v>0</v>
      </c>
      <c r="L2489" s="31">
        <f>IF(COUNTIFS(Addendum!C:C,A2489,Addendum!D:D,IF(ISNUMBER(B2489),TEXT(B2489,"0000"),B2489),Addendum!I:I,"X")&gt;0,10%,0)</f>
        <v>0</v>
      </c>
      <c r="M2489" s="34">
        <f t="shared" si="76"/>
        <v>0.01</v>
      </c>
      <c r="N2489" s="17">
        <f t="shared" si="77"/>
        <v>7484.4</v>
      </c>
    </row>
    <row r="2490" spans="1:14" x14ac:dyDescent="0.25">
      <c r="A2490" s="14" t="s">
        <v>916</v>
      </c>
      <c r="B2490" s="14" t="s">
        <v>20</v>
      </c>
      <c r="C2490" s="15" t="s">
        <v>918</v>
      </c>
      <c r="D2490" s="14" t="s">
        <v>1745</v>
      </c>
      <c r="E2490" s="14" t="s">
        <v>1747</v>
      </c>
      <c r="F2490" s="17" t="s">
        <v>2993</v>
      </c>
      <c r="G2490" s="14">
        <v>6000</v>
      </c>
      <c r="H2490" s="14">
        <v>4800</v>
      </c>
      <c r="I2490" s="31">
        <f>IF(COUNTIFS(Addendum!C:C,A2490,Addendum!D:D,IF(ISNUMBER(B2490),TEXT(B2490,"0000"),B2490),Addendum!E:E,"X")&gt;0,4%,0)</f>
        <v>0.04</v>
      </c>
      <c r="J2490" s="31">
        <f>IF(COUNTIFS(Addendum!C:C,A2490,Addendum!D:D,IF(ISNUMBER(B2490),TEXT(B2490,"0000"),B2490),Addendum!F:F,"X")&gt;0,2.5%,0)</f>
        <v>0</v>
      </c>
      <c r="K2490" s="31">
        <f>IF(COUNTIFS(Addendum!C:C,A2490,Addendum!D:D,IF(ISNUMBER(B2490),TEXT(B2490,"0000"),B2490),Addendum!G:G,"X")&gt;0,7%,0)</f>
        <v>0</v>
      </c>
      <c r="L2490" s="31">
        <f>IF(COUNTIFS(Addendum!C:C,A2490,Addendum!D:D,IF(ISNUMBER(B2490),TEXT(B2490,"0000"),B2490),Addendum!I:I,"X")&gt;0,10%,0)</f>
        <v>0</v>
      </c>
      <c r="M2490" s="34">
        <f t="shared" si="76"/>
        <v>0.03</v>
      </c>
      <c r="N2490" s="17">
        <f t="shared" si="77"/>
        <v>4656</v>
      </c>
    </row>
    <row r="2491" spans="1:14" x14ac:dyDescent="0.25">
      <c r="A2491" s="14" t="s">
        <v>916</v>
      </c>
      <c r="B2491" s="14" t="s">
        <v>55</v>
      </c>
      <c r="C2491" s="15" t="s">
        <v>2499</v>
      </c>
      <c r="D2491" s="14" t="s">
        <v>1745</v>
      </c>
      <c r="E2491" s="14" t="s">
        <v>1747</v>
      </c>
      <c r="F2491" s="17" t="s">
        <v>2994</v>
      </c>
      <c r="G2491" s="14">
        <v>1800</v>
      </c>
      <c r="H2491" s="14">
        <v>1440</v>
      </c>
      <c r="I2491" s="31">
        <f>IF(COUNTIFS(Addendum!C:C,A2491,Addendum!D:D,IF(ISNUMBER(B2491),TEXT(B2491,"0000"),B2491),Addendum!E:E,"X")&gt;0,4%,0)</f>
        <v>0.04</v>
      </c>
      <c r="J2491" s="31">
        <f>IF(COUNTIFS(Addendum!C:C,A2491,Addendum!D:D,IF(ISNUMBER(B2491),TEXT(B2491,"0000"),B2491),Addendum!F:F,"X")&gt;0,2.5%,0)</f>
        <v>0</v>
      </c>
      <c r="K2491" s="31">
        <f>IF(COUNTIFS(Addendum!C:C,A2491,Addendum!D:D,IF(ISNUMBER(B2491),TEXT(B2491,"0000"),B2491),Addendum!G:G,"X")&gt;0,7%,0)</f>
        <v>0</v>
      </c>
      <c r="L2491" s="31">
        <f>IF(COUNTIFS(Addendum!C:C,A2491,Addendum!D:D,IF(ISNUMBER(B2491),TEXT(B2491,"0000"),B2491),Addendum!I:I,"X")&gt;0,10%,0)</f>
        <v>0</v>
      </c>
      <c r="M2491" s="34">
        <f t="shared" si="76"/>
        <v>0.03</v>
      </c>
      <c r="N2491" s="17">
        <f t="shared" si="77"/>
        <v>1396.8</v>
      </c>
    </row>
    <row r="2492" spans="1:14" x14ac:dyDescent="0.25">
      <c r="A2492" s="14" t="s">
        <v>916</v>
      </c>
      <c r="B2492" s="14">
        <v>1</v>
      </c>
      <c r="C2492" s="15" t="s">
        <v>915</v>
      </c>
      <c r="D2492" s="14" t="s">
        <v>1749</v>
      </c>
      <c r="E2492" s="14" t="s">
        <v>1766</v>
      </c>
      <c r="F2492" s="17" t="s">
        <v>2993</v>
      </c>
      <c r="G2492" s="14">
        <v>0</v>
      </c>
      <c r="H2492" s="14">
        <v>0</v>
      </c>
      <c r="I2492" s="31">
        <f>IF(COUNTIFS(Addendum!C:C,A2492,Addendum!D:D,IF(ISNUMBER(B2492),TEXT(B2492,"0000"),B2492),Addendum!E:E,"X")&gt;0,4%,0)</f>
        <v>0.04</v>
      </c>
      <c r="J2492" s="31">
        <f>IF(COUNTIFS(Addendum!C:C,A2492,Addendum!D:D,IF(ISNUMBER(B2492),TEXT(B2492,"0000"),B2492),Addendum!F:F,"X")&gt;0,2.5%,0)</f>
        <v>0</v>
      </c>
      <c r="K2492" s="31">
        <f>IF(COUNTIFS(Addendum!C:C,A2492,Addendum!D:D,IF(ISNUMBER(B2492),TEXT(B2492,"0000"),B2492),Addendum!G:G,"X")&gt;0,7%,0)</f>
        <v>0</v>
      </c>
      <c r="L2492" s="31">
        <f>IF(COUNTIFS(Addendum!C:C,A2492,Addendum!D:D,IF(ISNUMBER(B2492),TEXT(B2492,"0000"),B2492),Addendum!I:I,"X")&gt;0,10%,0)</f>
        <v>0</v>
      </c>
      <c r="M2492" s="34">
        <f t="shared" si="76"/>
        <v>0.01</v>
      </c>
      <c r="N2492" s="17">
        <f t="shared" si="77"/>
        <v>0</v>
      </c>
    </row>
    <row r="2493" spans="1:14" x14ac:dyDescent="0.25">
      <c r="A2493" s="14" t="s">
        <v>916</v>
      </c>
      <c r="B2493" s="14">
        <v>7</v>
      </c>
      <c r="C2493" s="15" t="s">
        <v>2501</v>
      </c>
      <c r="D2493" s="14" t="s">
        <v>1745</v>
      </c>
      <c r="E2493" s="14" t="s">
        <v>1747</v>
      </c>
      <c r="F2493" s="17" t="s">
        <v>2994</v>
      </c>
      <c r="G2493" s="14">
        <v>1800</v>
      </c>
      <c r="H2493" s="14">
        <v>1440</v>
      </c>
      <c r="I2493" s="31">
        <f>IF(COUNTIFS(Addendum!C:C,A2493,Addendum!D:D,IF(ISNUMBER(B2493),TEXT(B2493,"0000"),B2493),Addendum!E:E,"X")&gt;0,4%,0)</f>
        <v>0.04</v>
      </c>
      <c r="J2493" s="31">
        <f>IF(COUNTIFS(Addendum!C:C,A2493,Addendum!D:D,IF(ISNUMBER(B2493),TEXT(B2493,"0000"),B2493),Addendum!F:F,"X")&gt;0,2.5%,0)</f>
        <v>0</v>
      </c>
      <c r="K2493" s="31">
        <f>IF(COUNTIFS(Addendum!C:C,A2493,Addendum!D:D,IF(ISNUMBER(B2493),TEXT(B2493,"0000"),B2493),Addendum!G:G,"X")&gt;0,7%,0)</f>
        <v>0</v>
      </c>
      <c r="L2493" s="31">
        <f>IF(COUNTIFS(Addendum!C:C,A2493,Addendum!D:D,IF(ISNUMBER(B2493),TEXT(B2493,"0000"),B2493),Addendum!I:I,"X")&gt;0,10%,0)</f>
        <v>0</v>
      </c>
      <c r="M2493" s="34">
        <f t="shared" si="76"/>
        <v>0.03</v>
      </c>
      <c r="N2493" s="17">
        <f t="shared" si="77"/>
        <v>1396.8</v>
      </c>
    </row>
    <row r="2494" spans="1:14" x14ac:dyDescent="0.25">
      <c r="A2494" s="14" t="s">
        <v>916</v>
      </c>
      <c r="B2494" s="14">
        <v>5</v>
      </c>
      <c r="C2494" s="15" t="s">
        <v>2500</v>
      </c>
      <c r="D2494" s="14" t="s">
        <v>1745</v>
      </c>
      <c r="E2494" s="14" t="s">
        <v>1746</v>
      </c>
      <c r="F2494" s="17" t="s">
        <v>2994</v>
      </c>
      <c r="G2494" s="14">
        <v>2520</v>
      </c>
      <c r="H2494" s="14">
        <v>2016</v>
      </c>
      <c r="I2494" s="31">
        <f>IF(COUNTIFS(Addendum!C:C,A2494,Addendum!D:D,IF(ISNUMBER(B2494),TEXT(B2494,"0000"),B2494),Addendum!E:E,"X")&gt;0,4%,0)</f>
        <v>0.04</v>
      </c>
      <c r="J2494" s="31">
        <f>IF(COUNTIFS(Addendum!C:C,A2494,Addendum!D:D,IF(ISNUMBER(B2494),TEXT(B2494,"0000"),B2494),Addendum!F:F,"X")&gt;0,2.5%,0)</f>
        <v>0</v>
      </c>
      <c r="K2494" s="31">
        <f>IF(COUNTIFS(Addendum!C:C,A2494,Addendum!D:D,IF(ISNUMBER(B2494),TEXT(B2494,"0000"),B2494),Addendum!G:G,"X")&gt;0,7%,0)</f>
        <v>0</v>
      </c>
      <c r="L2494" s="31">
        <f>IF(COUNTIFS(Addendum!C:C,A2494,Addendum!D:D,IF(ISNUMBER(B2494),TEXT(B2494,"0000"),B2494),Addendum!I:I,"X")&gt;0,10%,0)</f>
        <v>0</v>
      </c>
      <c r="M2494" s="34">
        <f t="shared" si="76"/>
        <v>0.01</v>
      </c>
      <c r="N2494" s="17">
        <f t="shared" si="77"/>
        <v>1995.84</v>
      </c>
    </row>
    <row r="2495" spans="1:14" x14ac:dyDescent="0.25">
      <c r="A2495" s="14" t="s">
        <v>916</v>
      </c>
      <c r="B2495" s="14">
        <v>4</v>
      </c>
      <c r="C2495" s="15" t="s">
        <v>915</v>
      </c>
      <c r="D2495" s="14" t="s">
        <v>1749</v>
      </c>
      <c r="E2495" s="14" t="s">
        <v>1746</v>
      </c>
      <c r="F2495" s="17" t="s">
        <v>2993</v>
      </c>
      <c r="G2495" s="14">
        <v>1200</v>
      </c>
      <c r="H2495" s="14">
        <v>960</v>
      </c>
      <c r="I2495" s="31">
        <f>IF(COUNTIFS(Addendum!C:C,A2495,Addendum!D:D,IF(ISNUMBER(B2495),TEXT(B2495,"0000"),B2495),Addendum!E:E,"X")&gt;0,4%,0)</f>
        <v>0.04</v>
      </c>
      <c r="J2495" s="31">
        <f>IF(COUNTIFS(Addendum!C:C,A2495,Addendum!D:D,IF(ISNUMBER(B2495),TEXT(B2495,"0000"),B2495),Addendum!F:F,"X")&gt;0,2.5%,0)</f>
        <v>0</v>
      </c>
      <c r="K2495" s="31">
        <f>IF(COUNTIFS(Addendum!C:C,A2495,Addendum!D:D,IF(ISNUMBER(B2495),TEXT(B2495,"0000"),B2495),Addendum!G:G,"X")&gt;0,7%,0)</f>
        <v>0</v>
      </c>
      <c r="L2495" s="31">
        <f>IF(COUNTIFS(Addendum!C:C,A2495,Addendum!D:D,IF(ISNUMBER(B2495),TEXT(B2495,"0000"),B2495),Addendum!I:I,"X")&gt;0,10%,0)</f>
        <v>0</v>
      </c>
      <c r="M2495" s="34">
        <f t="shared" si="76"/>
        <v>0.01</v>
      </c>
      <c r="N2495" s="17">
        <f t="shared" si="77"/>
        <v>950.4</v>
      </c>
    </row>
    <row r="2496" spans="1:14" x14ac:dyDescent="0.25">
      <c r="A2496" s="14" t="s">
        <v>916</v>
      </c>
      <c r="B2496" s="14">
        <v>3</v>
      </c>
      <c r="C2496" s="15" t="s">
        <v>923</v>
      </c>
      <c r="D2496" s="14" t="s">
        <v>1745</v>
      </c>
      <c r="E2496" s="14" t="s">
        <v>1747</v>
      </c>
      <c r="F2496" s="17" t="s">
        <v>2993</v>
      </c>
      <c r="G2496" s="14">
        <v>8040</v>
      </c>
      <c r="H2496" s="14">
        <v>6432</v>
      </c>
      <c r="I2496" s="31">
        <f>IF(COUNTIFS(Addendum!C:C,A2496,Addendum!D:D,IF(ISNUMBER(B2496),TEXT(B2496,"0000"),B2496),Addendum!E:E,"X")&gt;0,4%,0)</f>
        <v>0.04</v>
      </c>
      <c r="J2496" s="31">
        <f>IF(COUNTIFS(Addendum!C:C,A2496,Addendum!D:D,IF(ISNUMBER(B2496),TEXT(B2496,"0000"),B2496),Addendum!F:F,"X")&gt;0,2.5%,0)</f>
        <v>0</v>
      </c>
      <c r="K2496" s="31">
        <f>IF(COUNTIFS(Addendum!C:C,A2496,Addendum!D:D,IF(ISNUMBER(B2496),TEXT(B2496,"0000"),B2496),Addendum!G:G,"X")&gt;0,7%,0)</f>
        <v>0</v>
      </c>
      <c r="L2496" s="31">
        <f>IF(COUNTIFS(Addendum!C:C,A2496,Addendum!D:D,IF(ISNUMBER(B2496),TEXT(B2496,"0000"),B2496),Addendum!I:I,"X")&gt;0,10%,0)</f>
        <v>0</v>
      </c>
      <c r="M2496" s="34">
        <f t="shared" si="76"/>
        <v>0.03</v>
      </c>
      <c r="N2496" s="17">
        <f t="shared" si="77"/>
        <v>6239.04</v>
      </c>
    </row>
    <row r="2497" spans="1:14" x14ac:dyDescent="0.25">
      <c r="A2497" s="14" t="s">
        <v>916</v>
      </c>
      <c r="B2497" s="14">
        <v>6</v>
      </c>
      <c r="C2497" s="15" t="s">
        <v>2502</v>
      </c>
      <c r="D2497" s="14" t="s">
        <v>1745</v>
      </c>
      <c r="E2497" s="14" t="s">
        <v>1747</v>
      </c>
      <c r="F2497" s="17" t="s">
        <v>2995</v>
      </c>
      <c r="G2497" s="14">
        <v>4800</v>
      </c>
      <c r="H2497" s="14">
        <v>4320</v>
      </c>
      <c r="I2497" s="31">
        <f>IF(COUNTIFS(Addendum!C:C,A2497,Addendum!D:D,IF(ISNUMBER(B2497),TEXT(B2497,"0000"),B2497),Addendum!E:E,"X")&gt;0,4%,0)</f>
        <v>0.04</v>
      </c>
      <c r="J2497" s="31">
        <f>IF(COUNTIFS(Addendum!C:C,A2497,Addendum!D:D,IF(ISNUMBER(B2497),TEXT(B2497,"0000"),B2497),Addendum!F:F,"X")&gt;0,2.5%,0)</f>
        <v>0</v>
      </c>
      <c r="K2497" s="31">
        <f>IF(COUNTIFS(Addendum!C:C,A2497,Addendum!D:D,IF(ISNUMBER(B2497),TEXT(B2497,"0000"),B2497),Addendum!G:G,"X")&gt;0,7%,0)</f>
        <v>0</v>
      </c>
      <c r="L2497" s="31">
        <f>IF(COUNTIFS(Addendum!C:C,A2497,Addendum!D:D,IF(ISNUMBER(B2497),TEXT(B2497,"0000"),B2497),Addendum!I:I,"X")&gt;0,10%,0)</f>
        <v>0</v>
      </c>
      <c r="M2497" s="34">
        <f t="shared" si="76"/>
        <v>0.03</v>
      </c>
      <c r="N2497" s="17">
        <f t="shared" si="77"/>
        <v>4190.3999999999996</v>
      </c>
    </row>
    <row r="2498" spans="1:14" x14ac:dyDescent="0.25">
      <c r="A2498" s="14" t="s">
        <v>916</v>
      </c>
      <c r="B2498" s="14" t="s">
        <v>89</v>
      </c>
      <c r="C2498" s="15" t="s">
        <v>920</v>
      </c>
      <c r="D2498" s="14" t="s">
        <v>1745</v>
      </c>
      <c r="E2498" s="14" t="s">
        <v>1747</v>
      </c>
      <c r="F2498" s="17" t="s">
        <v>2993</v>
      </c>
      <c r="G2498" s="14">
        <v>9000</v>
      </c>
      <c r="H2498" s="14">
        <v>7200</v>
      </c>
      <c r="I2498" s="31">
        <f>IF(COUNTIFS(Addendum!C:C,A2498,Addendum!D:D,IF(ISNUMBER(B2498),TEXT(B2498,"0000"),B2498),Addendum!E:E,"X")&gt;0,4%,0)</f>
        <v>0.04</v>
      </c>
      <c r="J2498" s="31">
        <f>IF(COUNTIFS(Addendum!C:C,A2498,Addendum!D:D,IF(ISNUMBER(B2498),TEXT(B2498,"0000"),B2498),Addendum!F:F,"X")&gt;0,2.5%,0)</f>
        <v>0</v>
      </c>
      <c r="K2498" s="31">
        <f>IF(COUNTIFS(Addendum!C:C,A2498,Addendum!D:D,IF(ISNUMBER(B2498),TEXT(B2498,"0000"),B2498),Addendum!G:G,"X")&gt;0,7%,0)</f>
        <v>0</v>
      </c>
      <c r="L2498" s="31">
        <f>IF(COUNTIFS(Addendum!C:C,A2498,Addendum!D:D,IF(ISNUMBER(B2498),TEXT(B2498,"0000"),B2498),Addendum!I:I,"X")&gt;0,10%,0)</f>
        <v>0</v>
      </c>
      <c r="M2498" s="34">
        <f t="shared" si="76"/>
        <v>0.03</v>
      </c>
      <c r="N2498" s="17">
        <f t="shared" si="77"/>
        <v>6984</v>
      </c>
    </row>
    <row r="2499" spans="1:14" x14ac:dyDescent="0.25">
      <c r="A2499" s="14" t="s">
        <v>916</v>
      </c>
      <c r="B2499" s="14" t="s">
        <v>20</v>
      </c>
      <c r="C2499" s="15" t="s">
        <v>918</v>
      </c>
      <c r="D2499" s="14" t="s">
        <v>1749</v>
      </c>
      <c r="E2499" s="14" t="s">
        <v>1746</v>
      </c>
      <c r="F2499" s="17" t="s">
        <v>2993</v>
      </c>
      <c r="G2499" s="14">
        <v>600</v>
      </c>
      <c r="H2499" s="14">
        <v>480</v>
      </c>
      <c r="I2499" s="31">
        <f>IF(COUNTIFS(Addendum!C:C,A2499,Addendum!D:D,IF(ISNUMBER(B2499),TEXT(B2499,"0000"),B2499),Addendum!E:E,"X")&gt;0,4%,0)</f>
        <v>0.04</v>
      </c>
      <c r="J2499" s="31">
        <f>IF(COUNTIFS(Addendum!C:C,A2499,Addendum!D:D,IF(ISNUMBER(B2499),TEXT(B2499,"0000"),B2499),Addendum!F:F,"X")&gt;0,2.5%,0)</f>
        <v>0</v>
      </c>
      <c r="K2499" s="31">
        <f>IF(COUNTIFS(Addendum!C:C,A2499,Addendum!D:D,IF(ISNUMBER(B2499),TEXT(B2499,"0000"),B2499),Addendum!G:G,"X")&gt;0,7%,0)</f>
        <v>0</v>
      </c>
      <c r="L2499" s="31">
        <f>IF(COUNTIFS(Addendum!C:C,A2499,Addendum!D:D,IF(ISNUMBER(B2499),TEXT(B2499,"0000"),B2499),Addendum!I:I,"X")&gt;0,10%,0)</f>
        <v>0</v>
      </c>
      <c r="M2499" s="34">
        <f t="shared" si="76"/>
        <v>0.01</v>
      </c>
      <c r="N2499" s="17">
        <f t="shared" si="77"/>
        <v>475.2</v>
      </c>
    </row>
    <row r="2500" spans="1:14" x14ac:dyDescent="0.25">
      <c r="A2500" s="14" t="s">
        <v>916</v>
      </c>
      <c r="B2500" s="14">
        <v>3</v>
      </c>
      <c r="C2500" s="15" t="s">
        <v>923</v>
      </c>
      <c r="D2500" s="14" t="s">
        <v>1749</v>
      </c>
      <c r="E2500" s="14" t="s">
        <v>1746</v>
      </c>
      <c r="F2500" s="17" t="s">
        <v>2993</v>
      </c>
      <c r="G2500" s="14">
        <v>804</v>
      </c>
      <c r="H2500" s="14">
        <v>643.20000000000005</v>
      </c>
      <c r="I2500" s="31">
        <f>IF(COUNTIFS(Addendum!C:C,A2500,Addendum!D:D,IF(ISNUMBER(B2500),TEXT(B2500,"0000"),B2500),Addendum!E:E,"X")&gt;0,4%,0)</f>
        <v>0.04</v>
      </c>
      <c r="J2500" s="31">
        <f>IF(COUNTIFS(Addendum!C:C,A2500,Addendum!D:D,IF(ISNUMBER(B2500),TEXT(B2500,"0000"),B2500),Addendum!F:F,"X")&gt;0,2.5%,0)</f>
        <v>0</v>
      </c>
      <c r="K2500" s="31">
        <f>IF(COUNTIFS(Addendum!C:C,A2500,Addendum!D:D,IF(ISNUMBER(B2500),TEXT(B2500,"0000"),B2500),Addendum!G:G,"X")&gt;0,7%,0)</f>
        <v>0</v>
      </c>
      <c r="L2500" s="31">
        <f>IF(COUNTIFS(Addendum!C:C,A2500,Addendum!D:D,IF(ISNUMBER(B2500),TEXT(B2500,"0000"),B2500),Addendum!I:I,"X")&gt;0,10%,0)</f>
        <v>0</v>
      </c>
      <c r="M2500" s="34">
        <f t="shared" ref="M2500:M2563" si="78">IF(AND(I2500=0%,J2500=0%,K2500=0%,L2500=0%),0%,
IF(OR(TRIM(E2500)="OneTime",TRIM(D2500)=""),0%,
IF(
OR(
TRIM(D2500)="P1M",
AND(TRIM(D2500)="P1Y",TRIM(E2500)="Monthly"),
AND(TRIM(D2500)="P3Y",TRIM(E2500)="Monthly")
),
IF(AND(I2500=4%,J2500=0%,K2500=0%,L2500=0%),1%,
IF(AND(I2500=4%,J2500=2.5%,K2500=0%,L2500=10%),2%,
IF(AND(I2500=4%,J2500=0%,K2500=7%,L2500=10%),3%,0%))),
IF(
OR(
AND(TRIM(D2500)="P1Y",TRIM(E2500)="Annual"),
AND(TRIM(D2500)="P3Y",TRIM(E2500)="Annual"),
AND(TRIM(D2500)="P3Y",TRIM(E2500)="Triennial")
),
IF(AND(I2500=4%,J2500=0%,K2500=0%,L2500=0%),3%,
IF(AND(I2500=4%,J2500=2.5%,K2500=0%,L2500=10%),10%,
IF(AND(I2500=4%,J2500=0%,K2500=7%,L2500=10%),14%,0%))),
0%
))))</f>
        <v>0.01</v>
      </c>
      <c r="N2500" s="17">
        <f t="shared" ref="N2500:N2563" si="79">H2500-(H2500*M2500)</f>
        <v>636.76800000000003</v>
      </c>
    </row>
    <row r="2501" spans="1:14" x14ac:dyDescent="0.25">
      <c r="A2501" s="14" t="s">
        <v>916</v>
      </c>
      <c r="B2501" s="14" t="s">
        <v>20</v>
      </c>
      <c r="C2501" s="15" t="s">
        <v>918</v>
      </c>
      <c r="D2501" s="14" t="s">
        <v>1745</v>
      </c>
      <c r="E2501" s="14" t="s">
        <v>1746</v>
      </c>
      <c r="F2501" s="17" t="s">
        <v>2993</v>
      </c>
      <c r="G2501" s="14">
        <v>6300</v>
      </c>
      <c r="H2501" s="14">
        <v>5040</v>
      </c>
      <c r="I2501" s="31">
        <f>IF(COUNTIFS(Addendum!C:C,A2501,Addendum!D:D,IF(ISNUMBER(B2501),TEXT(B2501,"0000"),B2501),Addendum!E:E,"X")&gt;0,4%,0)</f>
        <v>0.04</v>
      </c>
      <c r="J2501" s="31">
        <f>IF(COUNTIFS(Addendum!C:C,A2501,Addendum!D:D,IF(ISNUMBER(B2501),TEXT(B2501,"0000"),B2501),Addendum!F:F,"X")&gt;0,2.5%,0)</f>
        <v>0</v>
      </c>
      <c r="K2501" s="31">
        <f>IF(COUNTIFS(Addendum!C:C,A2501,Addendum!D:D,IF(ISNUMBER(B2501),TEXT(B2501,"0000"),B2501),Addendum!G:G,"X")&gt;0,7%,0)</f>
        <v>0</v>
      </c>
      <c r="L2501" s="31">
        <f>IF(COUNTIFS(Addendum!C:C,A2501,Addendum!D:D,IF(ISNUMBER(B2501),TEXT(B2501,"0000"),B2501),Addendum!I:I,"X")&gt;0,10%,0)</f>
        <v>0</v>
      </c>
      <c r="M2501" s="34">
        <f t="shared" si="78"/>
        <v>0.01</v>
      </c>
      <c r="N2501" s="17">
        <f t="shared" si="79"/>
        <v>4989.6000000000004</v>
      </c>
    </row>
    <row r="2502" spans="1:14" x14ac:dyDescent="0.25">
      <c r="A2502" s="14" t="s">
        <v>928</v>
      </c>
      <c r="B2502" s="14">
        <v>2</v>
      </c>
      <c r="C2502" s="15" t="s">
        <v>926</v>
      </c>
      <c r="D2502" s="14" t="s">
        <v>1752</v>
      </c>
      <c r="E2502" s="14" t="s">
        <v>1753</v>
      </c>
      <c r="F2502" s="17" t="s">
        <v>2993</v>
      </c>
      <c r="G2502" s="14">
        <v>9000</v>
      </c>
      <c r="H2502" s="14">
        <v>7200</v>
      </c>
      <c r="I2502" s="31">
        <f>IF(COUNTIFS(Addendum!C:C,A2502,Addendum!D:D,IF(ISNUMBER(B2502),TEXT(B2502,"0000"),B2502),Addendum!E:E,"X")&gt;0,4%,0)</f>
        <v>0.04</v>
      </c>
      <c r="J2502" s="31">
        <f>IF(COUNTIFS(Addendum!C:C,A2502,Addendum!D:D,IF(ISNUMBER(B2502),TEXT(B2502,"0000"),B2502),Addendum!F:F,"X")&gt;0,2.5%,0)</f>
        <v>0</v>
      </c>
      <c r="K2502" s="31">
        <f>IF(COUNTIFS(Addendum!C:C,A2502,Addendum!D:D,IF(ISNUMBER(B2502),TEXT(B2502,"0000"),B2502),Addendum!G:G,"X")&gt;0,7%,0)</f>
        <v>0</v>
      </c>
      <c r="L2502" s="31">
        <f>IF(COUNTIFS(Addendum!C:C,A2502,Addendum!D:D,IF(ISNUMBER(B2502),TEXT(B2502,"0000"),B2502),Addendum!I:I,"X")&gt;0,10%,0)</f>
        <v>0</v>
      </c>
      <c r="M2502" s="34">
        <f t="shared" si="78"/>
        <v>0.03</v>
      </c>
      <c r="N2502" s="17">
        <f t="shared" si="79"/>
        <v>6984</v>
      </c>
    </row>
    <row r="2503" spans="1:14" x14ac:dyDescent="0.25">
      <c r="A2503" s="14" t="s">
        <v>928</v>
      </c>
      <c r="B2503" s="14">
        <v>2</v>
      </c>
      <c r="C2503" s="15" t="s">
        <v>926</v>
      </c>
      <c r="D2503" s="14" t="s">
        <v>1745</v>
      </c>
      <c r="E2503" s="14" t="s">
        <v>1747</v>
      </c>
      <c r="F2503" s="17" t="s">
        <v>2993</v>
      </c>
      <c r="G2503" s="14">
        <v>3000</v>
      </c>
      <c r="H2503" s="14">
        <v>2400</v>
      </c>
      <c r="I2503" s="31">
        <f>IF(COUNTIFS(Addendum!C:C,A2503,Addendum!D:D,IF(ISNUMBER(B2503),TEXT(B2503,"0000"),B2503),Addendum!E:E,"X")&gt;0,4%,0)</f>
        <v>0.04</v>
      </c>
      <c r="J2503" s="31">
        <f>IF(COUNTIFS(Addendum!C:C,A2503,Addendum!D:D,IF(ISNUMBER(B2503),TEXT(B2503,"0000"),B2503),Addendum!F:F,"X")&gt;0,2.5%,0)</f>
        <v>0</v>
      </c>
      <c r="K2503" s="31">
        <f>IF(COUNTIFS(Addendum!C:C,A2503,Addendum!D:D,IF(ISNUMBER(B2503),TEXT(B2503,"0000"),B2503),Addendum!G:G,"X")&gt;0,7%,0)</f>
        <v>0</v>
      </c>
      <c r="L2503" s="31">
        <f>IF(COUNTIFS(Addendum!C:C,A2503,Addendum!D:D,IF(ISNUMBER(B2503),TEXT(B2503,"0000"),B2503),Addendum!I:I,"X")&gt;0,10%,0)</f>
        <v>0</v>
      </c>
      <c r="M2503" s="34">
        <f t="shared" si="78"/>
        <v>0.03</v>
      </c>
      <c r="N2503" s="17">
        <f t="shared" si="79"/>
        <v>2328</v>
      </c>
    </row>
    <row r="2504" spans="1:14" x14ac:dyDescent="0.25">
      <c r="A2504" s="14" t="s">
        <v>928</v>
      </c>
      <c r="B2504" s="14">
        <v>2</v>
      </c>
      <c r="C2504" s="15" t="s">
        <v>926</v>
      </c>
      <c r="D2504" s="14" t="s">
        <v>1749</v>
      </c>
      <c r="E2504" s="14" t="s">
        <v>1746</v>
      </c>
      <c r="F2504" s="17" t="s">
        <v>2993</v>
      </c>
      <c r="G2504" s="14">
        <v>300</v>
      </c>
      <c r="H2504" s="14">
        <v>240</v>
      </c>
      <c r="I2504" s="31">
        <f>IF(COUNTIFS(Addendum!C:C,A2504,Addendum!D:D,IF(ISNUMBER(B2504),TEXT(B2504,"0000"),B2504),Addendum!E:E,"X")&gt;0,4%,0)</f>
        <v>0.04</v>
      </c>
      <c r="J2504" s="31">
        <f>IF(COUNTIFS(Addendum!C:C,A2504,Addendum!D:D,IF(ISNUMBER(B2504),TEXT(B2504,"0000"),B2504),Addendum!F:F,"X")&gt;0,2.5%,0)</f>
        <v>0</v>
      </c>
      <c r="K2504" s="31">
        <f>IF(COUNTIFS(Addendum!C:C,A2504,Addendum!D:D,IF(ISNUMBER(B2504),TEXT(B2504,"0000"),B2504),Addendum!G:G,"X")&gt;0,7%,0)</f>
        <v>0</v>
      </c>
      <c r="L2504" s="31">
        <f>IF(COUNTIFS(Addendum!C:C,A2504,Addendum!D:D,IF(ISNUMBER(B2504),TEXT(B2504,"0000"),B2504),Addendum!I:I,"X")&gt;0,10%,0)</f>
        <v>0</v>
      </c>
      <c r="M2504" s="34">
        <f t="shared" si="78"/>
        <v>0.01</v>
      </c>
      <c r="N2504" s="17">
        <f t="shared" si="79"/>
        <v>237.6</v>
      </c>
    </row>
    <row r="2505" spans="1:14" x14ac:dyDescent="0.25">
      <c r="A2505" s="14" t="s">
        <v>928</v>
      </c>
      <c r="B2505" s="14">
        <v>2</v>
      </c>
      <c r="C2505" s="15" t="s">
        <v>926</v>
      </c>
      <c r="D2505" s="14" t="s">
        <v>1745</v>
      </c>
      <c r="E2505" s="14" t="s">
        <v>1746</v>
      </c>
      <c r="F2505" s="17" t="s">
        <v>2993</v>
      </c>
      <c r="G2505" s="14">
        <v>3150</v>
      </c>
      <c r="H2505" s="14">
        <v>2520</v>
      </c>
      <c r="I2505" s="31">
        <f>IF(COUNTIFS(Addendum!C:C,A2505,Addendum!D:D,IF(ISNUMBER(B2505),TEXT(B2505,"0000"),B2505),Addendum!E:E,"X")&gt;0,4%,0)</f>
        <v>0.04</v>
      </c>
      <c r="J2505" s="31">
        <f>IF(COUNTIFS(Addendum!C:C,A2505,Addendum!D:D,IF(ISNUMBER(B2505),TEXT(B2505,"0000"),B2505),Addendum!F:F,"X")&gt;0,2.5%,0)</f>
        <v>0</v>
      </c>
      <c r="K2505" s="31">
        <f>IF(COUNTIFS(Addendum!C:C,A2505,Addendum!D:D,IF(ISNUMBER(B2505),TEXT(B2505,"0000"),B2505),Addendum!G:G,"X")&gt;0,7%,0)</f>
        <v>0</v>
      </c>
      <c r="L2505" s="31">
        <f>IF(COUNTIFS(Addendum!C:C,A2505,Addendum!D:D,IF(ISNUMBER(B2505),TEXT(B2505,"0000"),B2505),Addendum!I:I,"X")&gt;0,10%,0)</f>
        <v>0</v>
      </c>
      <c r="M2505" s="34">
        <f t="shared" si="78"/>
        <v>0.01</v>
      </c>
      <c r="N2505" s="17">
        <f t="shared" si="79"/>
        <v>2494.8000000000002</v>
      </c>
    </row>
    <row r="2506" spans="1:14" x14ac:dyDescent="0.25">
      <c r="A2506" s="14" t="s">
        <v>928</v>
      </c>
      <c r="B2506" s="14">
        <v>2</v>
      </c>
      <c r="C2506" s="15" t="s">
        <v>926</v>
      </c>
      <c r="D2506" s="14" t="s">
        <v>1752</v>
      </c>
      <c r="E2506" s="14" t="s">
        <v>1747</v>
      </c>
      <c r="F2506" s="17" t="s">
        <v>2993</v>
      </c>
      <c r="G2506" s="14">
        <v>9000</v>
      </c>
      <c r="H2506" s="14">
        <v>7200</v>
      </c>
      <c r="I2506" s="31">
        <f>IF(COUNTIFS(Addendum!C:C,A2506,Addendum!D:D,IF(ISNUMBER(B2506),TEXT(B2506,"0000"),B2506),Addendum!E:E,"X")&gt;0,4%,0)</f>
        <v>0.04</v>
      </c>
      <c r="J2506" s="31">
        <f>IF(COUNTIFS(Addendum!C:C,A2506,Addendum!D:D,IF(ISNUMBER(B2506),TEXT(B2506,"0000"),B2506),Addendum!F:F,"X")&gt;0,2.5%,0)</f>
        <v>0</v>
      </c>
      <c r="K2506" s="31">
        <f>IF(COUNTIFS(Addendum!C:C,A2506,Addendum!D:D,IF(ISNUMBER(B2506),TEXT(B2506,"0000"),B2506),Addendum!G:G,"X")&gt;0,7%,0)</f>
        <v>0</v>
      </c>
      <c r="L2506" s="31">
        <f>IF(COUNTIFS(Addendum!C:C,A2506,Addendum!D:D,IF(ISNUMBER(B2506),TEXT(B2506,"0000"),B2506),Addendum!I:I,"X")&gt;0,10%,0)</f>
        <v>0</v>
      </c>
      <c r="M2506" s="34">
        <f t="shared" si="78"/>
        <v>0.03</v>
      </c>
      <c r="N2506" s="17">
        <f t="shared" si="79"/>
        <v>6984</v>
      </c>
    </row>
    <row r="2507" spans="1:14" x14ac:dyDescent="0.25">
      <c r="A2507" s="14" t="s">
        <v>928</v>
      </c>
      <c r="B2507" s="14">
        <v>2</v>
      </c>
      <c r="C2507" s="15" t="s">
        <v>926</v>
      </c>
      <c r="D2507" s="14" t="s">
        <v>1752</v>
      </c>
      <c r="E2507" s="14" t="s">
        <v>1746</v>
      </c>
      <c r="F2507" s="17" t="s">
        <v>2993</v>
      </c>
      <c r="G2507" s="14">
        <v>9450</v>
      </c>
      <c r="H2507" s="14">
        <v>7560</v>
      </c>
      <c r="I2507" s="31">
        <f>IF(COUNTIFS(Addendum!C:C,A2507,Addendum!D:D,IF(ISNUMBER(B2507),TEXT(B2507,"0000"),B2507),Addendum!E:E,"X")&gt;0,4%,0)</f>
        <v>0.04</v>
      </c>
      <c r="J2507" s="31">
        <f>IF(COUNTIFS(Addendum!C:C,A2507,Addendum!D:D,IF(ISNUMBER(B2507),TEXT(B2507,"0000"),B2507),Addendum!F:F,"X")&gt;0,2.5%,0)</f>
        <v>0</v>
      </c>
      <c r="K2507" s="31">
        <f>IF(COUNTIFS(Addendum!C:C,A2507,Addendum!D:D,IF(ISNUMBER(B2507),TEXT(B2507,"0000"),B2507),Addendum!G:G,"X")&gt;0,7%,0)</f>
        <v>0</v>
      </c>
      <c r="L2507" s="31">
        <f>IF(COUNTIFS(Addendum!C:C,A2507,Addendum!D:D,IF(ISNUMBER(B2507),TEXT(B2507,"0000"),B2507),Addendum!I:I,"X")&gt;0,10%,0)</f>
        <v>0</v>
      </c>
      <c r="M2507" s="34">
        <f t="shared" si="78"/>
        <v>0.01</v>
      </c>
      <c r="N2507" s="17">
        <f t="shared" si="79"/>
        <v>7484.4</v>
      </c>
    </row>
    <row r="2508" spans="1:14" x14ac:dyDescent="0.25">
      <c r="A2508" s="14" t="s">
        <v>940</v>
      </c>
      <c r="B2508" s="14">
        <v>1</v>
      </c>
      <c r="C2508" s="15" t="s">
        <v>939</v>
      </c>
      <c r="D2508" s="14" t="s">
        <v>1749</v>
      </c>
      <c r="E2508" s="14" t="s">
        <v>1746</v>
      </c>
      <c r="F2508" s="17" t="s">
        <v>2993</v>
      </c>
      <c r="G2508" s="14">
        <v>348</v>
      </c>
      <c r="H2508" s="14">
        <v>278.39999999999998</v>
      </c>
      <c r="I2508" s="31">
        <f>IF(COUNTIFS(Addendum!C:C,A2508,Addendum!D:D,IF(ISNUMBER(B2508),TEXT(B2508,"0000"),B2508),Addendum!E:E,"X")&gt;0,4%,0)</f>
        <v>0.04</v>
      </c>
      <c r="J2508" s="31">
        <f>IF(COUNTIFS(Addendum!C:C,A2508,Addendum!D:D,IF(ISNUMBER(B2508),TEXT(B2508,"0000"),B2508),Addendum!F:F,"X")&gt;0,2.5%,0)</f>
        <v>0</v>
      </c>
      <c r="K2508" s="31">
        <f>IF(COUNTIFS(Addendum!C:C,A2508,Addendum!D:D,IF(ISNUMBER(B2508),TEXT(B2508,"0000"),B2508),Addendum!G:G,"X")&gt;0,7%,0)</f>
        <v>0</v>
      </c>
      <c r="L2508" s="31">
        <f>IF(COUNTIFS(Addendum!C:C,A2508,Addendum!D:D,IF(ISNUMBER(B2508),TEXT(B2508,"0000"),B2508),Addendum!I:I,"X")&gt;0,10%,0)</f>
        <v>0</v>
      </c>
      <c r="M2508" s="34">
        <f t="shared" si="78"/>
        <v>0.01</v>
      </c>
      <c r="N2508" s="17">
        <f t="shared" si="79"/>
        <v>275.61599999999999</v>
      </c>
    </row>
    <row r="2509" spans="1:14" x14ac:dyDescent="0.25">
      <c r="A2509" s="14" t="s">
        <v>940</v>
      </c>
      <c r="B2509" s="14">
        <v>1</v>
      </c>
      <c r="C2509" s="15" t="s">
        <v>939</v>
      </c>
      <c r="D2509" s="14" t="s">
        <v>1745</v>
      </c>
      <c r="E2509" s="14" t="s">
        <v>1747</v>
      </c>
      <c r="F2509" s="17" t="s">
        <v>2993</v>
      </c>
      <c r="G2509" s="14">
        <v>3480</v>
      </c>
      <c r="H2509" s="14">
        <v>2784</v>
      </c>
      <c r="I2509" s="31">
        <f>IF(COUNTIFS(Addendum!C:C,A2509,Addendum!D:D,IF(ISNUMBER(B2509),TEXT(B2509,"0000"),B2509),Addendum!E:E,"X")&gt;0,4%,0)</f>
        <v>0.04</v>
      </c>
      <c r="J2509" s="31">
        <f>IF(COUNTIFS(Addendum!C:C,A2509,Addendum!D:D,IF(ISNUMBER(B2509),TEXT(B2509,"0000"),B2509),Addendum!F:F,"X")&gt;0,2.5%,0)</f>
        <v>0</v>
      </c>
      <c r="K2509" s="31">
        <f>IF(COUNTIFS(Addendum!C:C,A2509,Addendum!D:D,IF(ISNUMBER(B2509),TEXT(B2509,"0000"),B2509),Addendum!G:G,"X")&gt;0,7%,0)</f>
        <v>0</v>
      </c>
      <c r="L2509" s="31">
        <f>IF(COUNTIFS(Addendum!C:C,A2509,Addendum!D:D,IF(ISNUMBER(B2509),TEXT(B2509,"0000"),B2509),Addendum!I:I,"X")&gt;0,10%,0)</f>
        <v>0</v>
      </c>
      <c r="M2509" s="34">
        <f t="shared" si="78"/>
        <v>0.03</v>
      </c>
      <c r="N2509" s="17">
        <f t="shared" si="79"/>
        <v>2700.48</v>
      </c>
    </row>
    <row r="2510" spans="1:14" x14ac:dyDescent="0.25">
      <c r="A2510" s="14" t="s">
        <v>940</v>
      </c>
      <c r="B2510" s="14">
        <v>1</v>
      </c>
      <c r="C2510" s="15" t="s">
        <v>939</v>
      </c>
      <c r="D2510" s="14" t="s">
        <v>1745</v>
      </c>
      <c r="E2510" s="14" t="s">
        <v>1746</v>
      </c>
      <c r="F2510" s="17" t="s">
        <v>2993</v>
      </c>
      <c r="G2510" s="14">
        <v>3654</v>
      </c>
      <c r="H2510" s="14">
        <v>2923.2</v>
      </c>
      <c r="I2510" s="31">
        <f>IF(COUNTIFS(Addendum!C:C,A2510,Addendum!D:D,IF(ISNUMBER(B2510),TEXT(B2510,"0000"),B2510),Addendum!E:E,"X")&gt;0,4%,0)</f>
        <v>0.04</v>
      </c>
      <c r="J2510" s="31">
        <f>IF(COUNTIFS(Addendum!C:C,A2510,Addendum!D:D,IF(ISNUMBER(B2510),TEXT(B2510,"0000"),B2510),Addendum!F:F,"X")&gt;0,2.5%,0)</f>
        <v>0</v>
      </c>
      <c r="K2510" s="31">
        <f>IF(COUNTIFS(Addendum!C:C,A2510,Addendum!D:D,IF(ISNUMBER(B2510),TEXT(B2510,"0000"),B2510),Addendum!G:G,"X")&gt;0,7%,0)</f>
        <v>0</v>
      </c>
      <c r="L2510" s="31">
        <f>IF(COUNTIFS(Addendum!C:C,A2510,Addendum!D:D,IF(ISNUMBER(B2510),TEXT(B2510,"0000"),B2510),Addendum!I:I,"X")&gt;0,10%,0)</f>
        <v>0</v>
      </c>
      <c r="M2510" s="34">
        <f t="shared" si="78"/>
        <v>0.01</v>
      </c>
      <c r="N2510" s="17">
        <f t="shared" si="79"/>
        <v>2893.9679999999998</v>
      </c>
    </row>
    <row r="2511" spans="1:14" x14ac:dyDescent="0.25">
      <c r="A2511" s="14" t="s">
        <v>945</v>
      </c>
      <c r="B2511" s="14" t="s">
        <v>16</v>
      </c>
      <c r="C2511" s="15" t="s">
        <v>2503</v>
      </c>
      <c r="D2511" s="14" t="s">
        <v>1745</v>
      </c>
      <c r="E2511" s="14" t="s">
        <v>1746</v>
      </c>
      <c r="F2511" s="17" t="s">
        <v>2994</v>
      </c>
      <c r="G2511" s="14">
        <v>786.24</v>
      </c>
      <c r="H2511" s="14">
        <v>629.04</v>
      </c>
      <c r="I2511" s="31">
        <f>IF(COUNTIFS(Addendum!C:C,A2511,Addendum!D:D,IF(ISNUMBER(B2511),TEXT(B2511,"0000"),B2511),Addendum!E:E,"X")&gt;0,4%,0)</f>
        <v>0.04</v>
      </c>
      <c r="J2511" s="31">
        <f>IF(COUNTIFS(Addendum!C:C,A2511,Addendum!D:D,IF(ISNUMBER(B2511),TEXT(B2511,"0000"),B2511),Addendum!F:F,"X")&gt;0,2.5%,0)</f>
        <v>0</v>
      </c>
      <c r="K2511" s="31">
        <f>IF(COUNTIFS(Addendum!C:C,A2511,Addendum!D:D,IF(ISNUMBER(B2511),TEXT(B2511,"0000"),B2511),Addendum!G:G,"X")&gt;0,7%,0)</f>
        <v>0</v>
      </c>
      <c r="L2511" s="31">
        <f>IF(COUNTIFS(Addendum!C:C,A2511,Addendum!D:D,IF(ISNUMBER(B2511),TEXT(B2511,"0000"),B2511),Addendum!I:I,"X")&gt;0,10%,0)</f>
        <v>0</v>
      </c>
      <c r="M2511" s="34">
        <f t="shared" si="78"/>
        <v>0.01</v>
      </c>
      <c r="N2511" s="17">
        <f t="shared" si="79"/>
        <v>622.74959999999999</v>
      </c>
    </row>
    <row r="2512" spans="1:14" x14ac:dyDescent="0.25">
      <c r="A2512" s="14" t="s">
        <v>945</v>
      </c>
      <c r="B2512" s="14" t="s">
        <v>24</v>
      </c>
      <c r="C2512" s="15" t="s">
        <v>2504</v>
      </c>
      <c r="D2512" s="14" t="s">
        <v>1745</v>
      </c>
      <c r="E2512" s="14" t="s">
        <v>1747</v>
      </c>
      <c r="F2512" s="17" t="s">
        <v>2994</v>
      </c>
      <c r="G2512" s="14">
        <v>998.28</v>
      </c>
      <c r="H2512" s="14">
        <v>798.62</v>
      </c>
      <c r="I2512" s="31">
        <f>IF(COUNTIFS(Addendum!C:C,A2512,Addendum!D:D,IF(ISNUMBER(B2512),TEXT(B2512,"0000"),B2512),Addendum!E:E,"X")&gt;0,4%,0)</f>
        <v>0.04</v>
      </c>
      <c r="J2512" s="31">
        <f>IF(COUNTIFS(Addendum!C:C,A2512,Addendum!D:D,IF(ISNUMBER(B2512),TEXT(B2512,"0000"),B2512),Addendum!F:F,"X")&gt;0,2.5%,0)</f>
        <v>0</v>
      </c>
      <c r="K2512" s="31">
        <f>IF(COUNTIFS(Addendum!C:C,A2512,Addendum!D:D,IF(ISNUMBER(B2512),TEXT(B2512,"0000"),B2512),Addendum!G:G,"X")&gt;0,7%,0)</f>
        <v>0</v>
      </c>
      <c r="L2512" s="31">
        <f>IF(COUNTIFS(Addendum!C:C,A2512,Addendum!D:D,IF(ISNUMBER(B2512),TEXT(B2512,"0000"),B2512),Addendum!I:I,"X")&gt;0,10%,0)</f>
        <v>0</v>
      </c>
      <c r="M2512" s="34">
        <f t="shared" si="78"/>
        <v>0.03</v>
      </c>
      <c r="N2512" s="17">
        <f t="shared" si="79"/>
        <v>774.66139999999996</v>
      </c>
    </row>
    <row r="2513" spans="1:14" x14ac:dyDescent="0.25">
      <c r="A2513" s="14" t="s">
        <v>945</v>
      </c>
      <c r="B2513" s="14">
        <v>2</v>
      </c>
      <c r="C2513" s="15" t="s">
        <v>947</v>
      </c>
      <c r="D2513" s="14" t="s">
        <v>1749</v>
      </c>
      <c r="E2513" s="14" t="s">
        <v>1746</v>
      </c>
      <c r="F2513" s="17" t="s">
        <v>2993</v>
      </c>
      <c r="G2513" s="14">
        <v>336</v>
      </c>
      <c r="H2513" s="14">
        <v>268.8</v>
      </c>
      <c r="I2513" s="31">
        <f>IF(COUNTIFS(Addendum!C:C,A2513,Addendum!D:D,IF(ISNUMBER(B2513),TEXT(B2513,"0000"),B2513),Addendum!E:E,"X")&gt;0,4%,0)</f>
        <v>0.04</v>
      </c>
      <c r="J2513" s="31">
        <f>IF(COUNTIFS(Addendum!C:C,A2513,Addendum!D:D,IF(ISNUMBER(B2513),TEXT(B2513,"0000"),B2513),Addendum!F:F,"X")&gt;0,2.5%,0)</f>
        <v>0</v>
      </c>
      <c r="K2513" s="31">
        <f>IF(COUNTIFS(Addendum!C:C,A2513,Addendum!D:D,IF(ISNUMBER(B2513),TEXT(B2513,"0000"),B2513),Addendum!G:G,"X")&gt;0,7%,0)</f>
        <v>0</v>
      </c>
      <c r="L2513" s="31">
        <f>IF(COUNTIFS(Addendum!C:C,A2513,Addendum!D:D,IF(ISNUMBER(B2513),TEXT(B2513,"0000"),B2513),Addendum!I:I,"X")&gt;0,10%,0)</f>
        <v>0</v>
      </c>
      <c r="M2513" s="34">
        <f t="shared" si="78"/>
        <v>0.01</v>
      </c>
      <c r="N2513" s="17">
        <f t="shared" si="79"/>
        <v>266.11200000000002</v>
      </c>
    </row>
    <row r="2514" spans="1:14" x14ac:dyDescent="0.25">
      <c r="A2514" s="14" t="s">
        <v>945</v>
      </c>
      <c r="B2514" s="14">
        <v>4</v>
      </c>
      <c r="C2514" s="15" t="s">
        <v>944</v>
      </c>
      <c r="D2514" s="14" t="s">
        <v>1745</v>
      </c>
      <c r="E2514" s="14" t="s">
        <v>1747</v>
      </c>
      <c r="F2514" s="17" t="s">
        <v>2993</v>
      </c>
      <c r="G2514" s="14">
        <v>4980</v>
      </c>
      <c r="H2514" s="14">
        <v>3984</v>
      </c>
      <c r="I2514" s="31">
        <f>IF(COUNTIFS(Addendum!C:C,A2514,Addendum!D:D,IF(ISNUMBER(B2514),TEXT(B2514,"0000"),B2514),Addendum!E:E,"X")&gt;0,4%,0)</f>
        <v>0.04</v>
      </c>
      <c r="J2514" s="31">
        <f>IF(COUNTIFS(Addendum!C:C,A2514,Addendum!D:D,IF(ISNUMBER(B2514),TEXT(B2514,"0000"),B2514),Addendum!F:F,"X")&gt;0,2.5%,0)</f>
        <v>0</v>
      </c>
      <c r="K2514" s="31">
        <f>IF(COUNTIFS(Addendum!C:C,A2514,Addendum!D:D,IF(ISNUMBER(B2514),TEXT(B2514,"0000"),B2514),Addendum!G:G,"X")&gt;0,7%,0)</f>
        <v>0</v>
      </c>
      <c r="L2514" s="31">
        <f>IF(COUNTIFS(Addendum!C:C,A2514,Addendum!D:D,IF(ISNUMBER(B2514),TEXT(B2514,"0000"),B2514),Addendum!I:I,"X")&gt;0,10%,0)</f>
        <v>0</v>
      </c>
      <c r="M2514" s="34">
        <f t="shared" si="78"/>
        <v>0.03</v>
      </c>
      <c r="N2514" s="17">
        <f t="shared" si="79"/>
        <v>3864.48</v>
      </c>
    </row>
    <row r="2515" spans="1:14" x14ac:dyDescent="0.25">
      <c r="A2515" s="14" t="s">
        <v>945</v>
      </c>
      <c r="B2515" s="14">
        <v>2</v>
      </c>
      <c r="C2515" s="15" t="s">
        <v>947</v>
      </c>
      <c r="D2515" s="14" t="s">
        <v>1745</v>
      </c>
      <c r="E2515" s="14" t="s">
        <v>1746</v>
      </c>
      <c r="F2515" s="17" t="s">
        <v>2993</v>
      </c>
      <c r="G2515" s="14">
        <v>3528</v>
      </c>
      <c r="H2515" s="14">
        <v>2822.4</v>
      </c>
      <c r="I2515" s="31">
        <f>IF(COUNTIFS(Addendum!C:C,A2515,Addendum!D:D,IF(ISNUMBER(B2515),TEXT(B2515,"0000"),B2515),Addendum!E:E,"X")&gt;0,4%,0)</f>
        <v>0.04</v>
      </c>
      <c r="J2515" s="31">
        <f>IF(COUNTIFS(Addendum!C:C,A2515,Addendum!D:D,IF(ISNUMBER(B2515),TEXT(B2515,"0000"),B2515),Addendum!F:F,"X")&gt;0,2.5%,0)</f>
        <v>0</v>
      </c>
      <c r="K2515" s="31">
        <f>IF(COUNTIFS(Addendum!C:C,A2515,Addendum!D:D,IF(ISNUMBER(B2515),TEXT(B2515,"0000"),B2515),Addendum!G:G,"X")&gt;0,7%,0)</f>
        <v>0</v>
      </c>
      <c r="L2515" s="31">
        <f>IF(COUNTIFS(Addendum!C:C,A2515,Addendum!D:D,IF(ISNUMBER(B2515),TEXT(B2515,"0000"),B2515),Addendum!I:I,"X")&gt;0,10%,0)</f>
        <v>0</v>
      </c>
      <c r="M2515" s="34">
        <f t="shared" si="78"/>
        <v>0.01</v>
      </c>
      <c r="N2515" s="17">
        <f t="shared" si="79"/>
        <v>2794.1759999999999</v>
      </c>
    </row>
    <row r="2516" spans="1:14" x14ac:dyDescent="0.25">
      <c r="A2516" s="14" t="s">
        <v>945</v>
      </c>
      <c r="B2516" s="14" t="s">
        <v>16</v>
      </c>
      <c r="C2516" s="15" t="s">
        <v>2503</v>
      </c>
      <c r="D2516" s="14" t="s">
        <v>1745</v>
      </c>
      <c r="E2516" s="14" t="s">
        <v>1747</v>
      </c>
      <c r="F2516" s="17" t="s">
        <v>2994</v>
      </c>
      <c r="G2516" s="14">
        <v>748.8</v>
      </c>
      <c r="H2516" s="14">
        <v>599.04</v>
      </c>
      <c r="I2516" s="31">
        <f>IF(COUNTIFS(Addendum!C:C,A2516,Addendum!D:D,IF(ISNUMBER(B2516),TEXT(B2516,"0000"),B2516),Addendum!E:E,"X")&gt;0,4%,0)</f>
        <v>0.04</v>
      </c>
      <c r="J2516" s="31">
        <f>IF(COUNTIFS(Addendum!C:C,A2516,Addendum!D:D,IF(ISNUMBER(B2516),TEXT(B2516,"0000"),B2516),Addendum!F:F,"X")&gt;0,2.5%,0)</f>
        <v>0</v>
      </c>
      <c r="K2516" s="31">
        <f>IF(COUNTIFS(Addendum!C:C,A2516,Addendum!D:D,IF(ISNUMBER(B2516),TEXT(B2516,"0000"),B2516),Addendum!G:G,"X")&gt;0,7%,0)</f>
        <v>0</v>
      </c>
      <c r="L2516" s="31">
        <f>IF(COUNTIFS(Addendum!C:C,A2516,Addendum!D:D,IF(ISNUMBER(B2516),TEXT(B2516,"0000"),B2516),Addendum!I:I,"X")&gt;0,10%,0)</f>
        <v>0</v>
      </c>
      <c r="M2516" s="34">
        <f t="shared" si="78"/>
        <v>0.03</v>
      </c>
      <c r="N2516" s="17">
        <f t="shared" si="79"/>
        <v>581.06880000000001</v>
      </c>
    </row>
    <row r="2517" spans="1:14" x14ac:dyDescent="0.25">
      <c r="A2517" s="14" t="s">
        <v>945</v>
      </c>
      <c r="B2517" s="14" t="s">
        <v>24</v>
      </c>
      <c r="C2517" s="15" t="s">
        <v>2504</v>
      </c>
      <c r="D2517" s="14" t="s">
        <v>1749</v>
      </c>
      <c r="E2517" s="14" t="s">
        <v>1746</v>
      </c>
      <c r="F2517" s="17" t="s">
        <v>2994</v>
      </c>
      <c r="G2517" s="14">
        <v>99.83</v>
      </c>
      <c r="H2517" s="14">
        <v>79.86</v>
      </c>
      <c r="I2517" s="31">
        <f>IF(COUNTIFS(Addendum!C:C,A2517,Addendum!D:D,IF(ISNUMBER(B2517),TEXT(B2517,"0000"),B2517),Addendum!E:E,"X")&gt;0,4%,0)</f>
        <v>0.04</v>
      </c>
      <c r="J2517" s="31">
        <f>IF(COUNTIFS(Addendum!C:C,A2517,Addendum!D:D,IF(ISNUMBER(B2517),TEXT(B2517,"0000"),B2517),Addendum!F:F,"X")&gt;0,2.5%,0)</f>
        <v>0</v>
      </c>
      <c r="K2517" s="31">
        <f>IF(COUNTIFS(Addendum!C:C,A2517,Addendum!D:D,IF(ISNUMBER(B2517),TEXT(B2517,"0000"),B2517),Addendum!G:G,"X")&gt;0,7%,0)</f>
        <v>0</v>
      </c>
      <c r="L2517" s="31">
        <f>IF(COUNTIFS(Addendum!C:C,A2517,Addendum!D:D,IF(ISNUMBER(B2517),TEXT(B2517,"0000"),B2517),Addendum!I:I,"X")&gt;0,10%,0)</f>
        <v>0</v>
      </c>
      <c r="M2517" s="34">
        <f t="shared" si="78"/>
        <v>0.01</v>
      </c>
      <c r="N2517" s="17">
        <f t="shared" si="79"/>
        <v>79.061400000000006</v>
      </c>
    </row>
    <row r="2518" spans="1:14" x14ac:dyDescent="0.25">
      <c r="A2518" s="14" t="s">
        <v>945</v>
      </c>
      <c r="B2518" s="14" t="s">
        <v>20</v>
      </c>
      <c r="C2518" s="15" t="s">
        <v>2505</v>
      </c>
      <c r="D2518" s="14" t="s">
        <v>1749</v>
      </c>
      <c r="E2518" s="14" t="s">
        <v>1746</v>
      </c>
      <c r="F2518" s="17" t="s">
        <v>2995</v>
      </c>
      <c r="G2518" s="14">
        <v>198</v>
      </c>
      <c r="H2518" s="14">
        <v>178.2</v>
      </c>
      <c r="I2518" s="31">
        <f>IF(COUNTIFS(Addendum!C:C,A2518,Addendum!D:D,IF(ISNUMBER(B2518),TEXT(B2518,"0000"),B2518),Addendum!E:E,"X")&gt;0,4%,0)</f>
        <v>0.04</v>
      </c>
      <c r="J2518" s="31">
        <f>IF(COUNTIFS(Addendum!C:C,A2518,Addendum!D:D,IF(ISNUMBER(B2518),TEXT(B2518,"0000"),B2518),Addendum!F:F,"X")&gt;0,2.5%,0)</f>
        <v>0</v>
      </c>
      <c r="K2518" s="31">
        <f>IF(COUNTIFS(Addendum!C:C,A2518,Addendum!D:D,IF(ISNUMBER(B2518),TEXT(B2518,"0000"),B2518),Addendum!G:G,"X")&gt;0,7%,0)</f>
        <v>0</v>
      </c>
      <c r="L2518" s="31">
        <f>IF(COUNTIFS(Addendum!C:C,A2518,Addendum!D:D,IF(ISNUMBER(B2518),TEXT(B2518,"0000"),B2518),Addendum!I:I,"X")&gt;0,10%,0)</f>
        <v>0</v>
      </c>
      <c r="M2518" s="34">
        <f t="shared" si="78"/>
        <v>0.01</v>
      </c>
      <c r="N2518" s="17">
        <f t="shared" si="79"/>
        <v>176.41799999999998</v>
      </c>
    </row>
    <row r="2519" spans="1:14" x14ac:dyDescent="0.25">
      <c r="A2519" s="14" t="s">
        <v>945</v>
      </c>
      <c r="B2519" s="14">
        <v>4</v>
      </c>
      <c r="C2519" s="15" t="s">
        <v>944</v>
      </c>
      <c r="D2519" s="14" t="s">
        <v>1745</v>
      </c>
      <c r="E2519" s="14" t="s">
        <v>1746</v>
      </c>
      <c r="F2519" s="17" t="s">
        <v>2993</v>
      </c>
      <c r="G2519" s="14">
        <v>5229</v>
      </c>
      <c r="H2519" s="14">
        <v>4183.2</v>
      </c>
      <c r="I2519" s="31">
        <f>IF(COUNTIFS(Addendum!C:C,A2519,Addendum!D:D,IF(ISNUMBER(B2519),TEXT(B2519,"0000"),B2519),Addendum!E:E,"X")&gt;0,4%,0)</f>
        <v>0.04</v>
      </c>
      <c r="J2519" s="31">
        <f>IF(COUNTIFS(Addendum!C:C,A2519,Addendum!D:D,IF(ISNUMBER(B2519),TEXT(B2519,"0000"),B2519),Addendum!F:F,"X")&gt;0,2.5%,0)</f>
        <v>0</v>
      </c>
      <c r="K2519" s="31">
        <f>IF(COUNTIFS(Addendum!C:C,A2519,Addendum!D:D,IF(ISNUMBER(B2519),TEXT(B2519,"0000"),B2519),Addendum!G:G,"X")&gt;0,7%,0)</f>
        <v>0</v>
      </c>
      <c r="L2519" s="31">
        <f>IF(COUNTIFS(Addendum!C:C,A2519,Addendum!D:D,IF(ISNUMBER(B2519),TEXT(B2519,"0000"),B2519),Addendum!I:I,"X")&gt;0,10%,0)</f>
        <v>0</v>
      </c>
      <c r="M2519" s="34">
        <f t="shared" si="78"/>
        <v>0.01</v>
      </c>
      <c r="N2519" s="17">
        <f t="shared" si="79"/>
        <v>4141.3679999999995</v>
      </c>
    </row>
    <row r="2520" spans="1:14" x14ac:dyDescent="0.25">
      <c r="A2520" s="14" t="s">
        <v>945</v>
      </c>
      <c r="B2520" s="14">
        <v>2</v>
      </c>
      <c r="C2520" s="15" t="s">
        <v>947</v>
      </c>
      <c r="D2520" s="14" t="s">
        <v>1745</v>
      </c>
      <c r="E2520" s="14" t="s">
        <v>1747</v>
      </c>
      <c r="F2520" s="17" t="s">
        <v>2993</v>
      </c>
      <c r="G2520" s="14">
        <v>3360</v>
      </c>
      <c r="H2520" s="14">
        <v>2688</v>
      </c>
      <c r="I2520" s="31">
        <f>IF(COUNTIFS(Addendum!C:C,A2520,Addendum!D:D,IF(ISNUMBER(B2520),TEXT(B2520,"0000"),B2520),Addendum!E:E,"X")&gt;0,4%,0)</f>
        <v>0.04</v>
      </c>
      <c r="J2520" s="31">
        <f>IF(COUNTIFS(Addendum!C:C,A2520,Addendum!D:D,IF(ISNUMBER(B2520),TEXT(B2520,"0000"),B2520),Addendum!F:F,"X")&gt;0,2.5%,0)</f>
        <v>0</v>
      </c>
      <c r="K2520" s="31">
        <f>IF(COUNTIFS(Addendum!C:C,A2520,Addendum!D:D,IF(ISNUMBER(B2520),TEXT(B2520,"0000"),B2520),Addendum!G:G,"X")&gt;0,7%,0)</f>
        <v>0</v>
      </c>
      <c r="L2520" s="31">
        <f>IF(COUNTIFS(Addendum!C:C,A2520,Addendum!D:D,IF(ISNUMBER(B2520),TEXT(B2520,"0000"),B2520),Addendum!I:I,"X")&gt;0,10%,0)</f>
        <v>0</v>
      </c>
      <c r="M2520" s="34">
        <f t="shared" si="78"/>
        <v>0.03</v>
      </c>
      <c r="N2520" s="17">
        <f t="shared" si="79"/>
        <v>2607.36</v>
      </c>
    </row>
    <row r="2521" spans="1:14" x14ac:dyDescent="0.25">
      <c r="A2521" s="14" t="s">
        <v>945</v>
      </c>
      <c r="B2521" s="14">
        <v>4</v>
      </c>
      <c r="C2521" s="15" t="s">
        <v>944</v>
      </c>
      <c r="D2521" s="14" t="s">
        <v>1749</v>
      </c>
      <c r="E2521" s="14" t="s">
        <v>1746</v>
      </c>
      <c r="F2521" s="17" t="s">
        <v>2993</v>
      </c>
      <c r="G2521" s="14">
        <v>498</v>
      </c>
      <c r="H2521" s="14">
        <v>398.4</v>
      </c>
      <c r="I2521" s="31">
        <f>IF(COUNTIFS(Addendum!C:C,A2521,Addendum!D:D,IF(ISNUMBER(B2521),TEXT(B2521,"0000"),B2521),Addendum!E:E,"X")&gt;0,4%,0)</f>
        <v>0.04</v>
      </c>
      <c r="J2521" s="31">
        <f>IF(COUNTIFS(Addendum!C:C,A2521,Addendum!D:D,IF(ISNUMBER(B2521),TEXT(B2521,"0000"),B2521),Addendum!F:F,"X")&gt;0,2.5%,0)</f>
        <v>0</v>
      </c>
      <c r="K2521" s="31">
        <f>IF(COUNTIFS(Addendum!C:C,A2521,Addendum!D:D,IF(ISNUMBER(B2521),TEXT(B2521,"0000"),B2521),Addendum!G:G,"X")&gt;0,7%,0)</f>
        <v>0</v>
      </c>
      <c r="L2521" s="31">
        <f>IF(COUNTIFS(Addendum!C:C,A2521,Addendum!D:D,IF(ISNUMBER(B2521),TEXT(B2521,"0000"),B2521),Addendum!I:I,"X")&gt;0,10%,0)</f>
        <v>0</v>
      </c>
      <c r="M2521" s="34">
        <f t="shared" si="78"/>
        <v>0.01</v>
      </c>
      <c r="N2521" s="17">
        <f t="shared" si="79"/>
        <v>394.416</v>
      </c>
    </row>
    <row r="2522" spans="1:14" x14ac:dyDescent="0.25">
      <c r="A2522" s="14" t="s">
        <v>945</v>
      </c>
      <c r="B2522" s="14" t="s">
        <v>20</v>
      </c>
      <c r="C2522" s="15" t="s">
        <v>2505</v>
      </c>
      <c r="D2522" s="14" t="s">
        <v>1745</v>
      </c>
      <c r="E2522" s="14" t="s">
        <v>1746</v>
      </c>
      <c r="F2522" s="17" t="s">
        <v>2995</v>
      </c>
      <c r="G2522" s="14">
        <v>2079</v>
      </c>
      <c r="H2522" s="14">
        <v>1871.16</v>
      </c>
      <c r="I2522" s="31">
        <f>IF(COUNTIFS(Addendum!C:C,A2522,Addendum!D:D,IF(ISNUMBER(B2522),TEXT(B2522,"0000"),B2522),Addendum!E:E,"X")&gt;0,4%,0)</f>
        <v>0.04</v>
      </c>
      <c r="J2522" s="31">
        <f>IF(COUNTIFS(Addendum!C:C,A2522,Addendum!D:D,IF(ISNUMBER(B2522),TEXT(B2522,"0000"),B2522),Addendum!F:F,"X")&gt;0,2.5%,0)</f>
        <v>0</v>
      </c>
      <c r="K2522" s="31">
        <f>IF(COUNTIFS(Addendum!C:C,A2522,Addendum!D:D,IF(ISNUMBER(B2522),TEXT(B2522,"0000"),B2522),Addendum!G:G,"X")&gt;0,7%,0)</f>
        <v>0</v>
      </c>
      <c r="L2522" s="31">
        <f>IF(COUNTIFS(Addendum!C:C,A2522,Addendum!D:D,IF(ISNUMBER(B2522),TEXT(B2522,"0000"),B2522),Addendum!I:I,"X")&gt;0,10%,0)</f>
        <v>0</v>
      </c>
      <c r="M2522" s="34">
        <f t="shared" si="78"/>
        <v>0.01</v>
      </c>
      <c r="N2522" s="17">
        <f t="shared" si="79"/>
        <v>1852.4484</v>
      </c>
    </row>
    <row r="2523" spans="1:14" x14ac:dyDescent="0.25">
      <c r="A2523" s="14" t="s">
        <v>945</v>
      </c>
      <c r="B2523" s="14" t="s">
        <v>20</v>
      </c>
      <c r="C2523" s="15" t="s">
        <v>2505</v>
      </c>
      <c r="D2523" s="14" t="s">
        <v>1745</v>
      </c>
      <c r="E2523" s="14" t="s">
        <v>1747</v>
      </c>
      <c r="F2523" s="17" t="s">
        <v>2995</v>
      </c>
      <c r="G2523" s="14">
        <v>1980</v>
      </c>
      <c r="H2523" s="14">
        <v>1782</v>
      </c>
      <c r="I2523" s="31">
        <f>IF(COUNTIFS(Addendum!C:C,A2523,Addendum!D:D,IF(ISNUMBER(B2523),TEXT(B2523,"0000"),B2523),Addendum!E:E,"X")&gt;0,4%,0)</f>
        <v>0.04</v>
      </c>
      <c r="J2523" s="31">
        <f>IF(COUNTIFS(Addendum!C:C,A2523,Addendum!D:D,IF(ISNUMBER(B2523),TEXT(B2523,"0000"),B2523),Addendum!F:F,"X")&gt;0,2.5%,0)</f>
        <v>0</v>
      </c>
      <c r="K2523" s="31">
        <f>IF(COUNTIFS(Addendum!C:C,A2523,Addendum!D:D,IF(ISNUMBER(B2523),TEXT(B2523,"0000"),B2523),Addendum!G:G,"X")&gt;0,7%,0)</f>
        <v>0</v>
      </c>
      <c r="L2523" s="31">
        <f>IF(COUNTIFS(Addendum!C:C,A2523,Addendum!D:D,IF(ISNUMBER(B2523),TEXT(B2523,"0000"),B2523),Addendum!I:I,"X")&gt;0,10%,0)</f>
        <v>0</v>
      </c>
      <c r="M2523" s="34">
        <f t="shared" si="78"/>
        <v>0.03</v>
      </c>
      <c r="N2523" s="17">
        <f t="shared" si="79"/>
        <v>1728.54</v>
      </c>
    </row>
    <row r="2524" spans="1:14" x14ac:dyDescent="0.25">
      <c r="A2524" s="14" t="s">
        <v>945</v>
      </c>
      <c r="B2524" s="14" t="s">
        <v>24</v>
      </c>
      <c r="C2524" s="15" t="s">
        <v>2504</v>
      </c>
      <c r="D2524" s="14" t="s">
        <v>1745</v>
      </c>
      <c r="E2524" s="14" t="s">
        <v>1746</v>
      </c>
      <c r="F2524" s="17" t="s">
        <v>2994</v>
      </c>
      <c r="G2524" s="14">
        <v>1048.2</v>
      </c>
      <c r="H2524" s="14">
        <v>838.56</v>
      </c>
      <c r="I2524" s="31">
        <f>IF(COUNTIFS(Addendum!C:C,A2524,Addendum!D:D,IF(ISNUMBER(B2524),TEXT(B2524,"0000"),B2524),Addendum!E:E,"X")&gt;0,4%,0)</f>
        <v>0.04</v>
      </c>
      <c r="J2524" s="31">
        <f>IF(COUNTIFS(Addendum!C:C,A2524,Addendum!D:D,IF(ISNUMBER(B2524),TEXT(B2524,"0000"),B2524),Addendum!F:F,"X")&gt;0,2.5%,0)</f>
        <v>0</v>
      </c>
      <c r="K2524" s="31">
        <f>IF(COUNTIFS(Addendum!C:C,A2524,Addendum!D:D,IF(ISNUMBER(B2524),TEXT(B2524,"0000"),B2524),Addendum!G:G,"X")&gt;0,7%,0)</f>
        <v>0</v>
      </c>
      <c r="L2524" s="31">
        <f>IF(COUNTIFS(Addendum!C:C,A2524,Addendum!D:D,IF(ISNUMBER(B2524),TEXT(B2524,"0000"),B2524),Addendum!I:I,"X")&gt;0,10%,0)</f>
        <v>0</v>
      </c>
      <c r="M2524" s="34">
        <f t="shared" si="78"/>
        <v>0.01</v>
      </c>
      <c r="N2524" s="17">
        <f t="shared" si="79"/>
        <v>830.17439999999999</v>
      </c>
    </row>
    <row r="2525" spans="1:14" x14ac:dyDescent="0.25">
      <c r="A2525" s="14" t="s">
        <v>945</v>
      </c>
      <c r="B2525" s="14" t="s">
        <v>16</v>
      </c>
      <c r="C2525" s="15" t="s">
        <v>2503</v>
      </c>
      <c r="D2525" s="14" t="s">
        <v>1749</v>
      </c>
      <c r="E2525" s="14" t="s">
        <v>1746</v>
      </c>
      <c r="F2525" s="17" t="s">
        <v>2994</v>
      </c>
      <c r="G2525" s="14">
        <v>74.88</v>
      </c>
      <c r="H2525" s="14">
        <v>59.9</v>
      </c>
      <c r="I2525" s="31">
        <f>IF(COUNTIFS(Addendum!C:C,A2525,Addendum!D:D,IF(ISNUMBER(B2525),TEXT(B2525,"0000"),B2525),Addendum!E:E,"X")&gt;0,4%,0)</f>
        <v>0.04</v>
      </c>
      <c r="J2525" s="31">
        <f>IF(COUNTIFS(Addendum!C:C,A2525,Addendum!D:D,IF(ISNUMBER(B2525),TEXT(B2525,"0000"),B2525),Addendum!F:F,"X")&gt;0,2.5%,0)</f>
        <v>0</v>
      </c>
      <c r="K2525" s="31">
        <f>IF(COUNTIFS(Addendum!C:C,A2525,Addendum!D:D,IF(ISNUMBER(B2525),TEXT(B2525,"0000"),B2525),Addendum!G:G,"X")&gt;0,7%,0)</f>
        <v>0</v>
      </c>
      <c r="L2525" s="31">
        <f>IF(COUNTIFS(Addendum!C:C,A2525,Addendum!D:D,IF(ISNUMBER(B2525),TEXT(B2525,"0000"),B2525),Addendum!I:I,"X")&gt;0,10%,0)</f>
        <v>0</v>
      </c>
      <c r="M2525" s="34">
        <f t="shared" si="78"/>
        <v>0.01</v>
      </c>
      <c r="N2525" s="17">
        <f t="shared" si="79"/>
        <v>59.301000000000002</v>
      </c>
    </row>
    <row r="2526" spans="1:14" x14ac:dyDescent="0.25">
      <c r="A2526" s="14" t="s">
        <v>952</v>
      </c>
      <c r="B2526" s="14" t="s">
        <v>24</v>
      </c>
      <c r="C2526" s="15" t="s">
        <v>954</v>
      </c>
      <c r="D2526" s="14" t="s">
        <v>1745</v>
      </c>
      <c r="E2526" s="14" t="s">
        <v>1746</v>
      </c>
      <c r="F2526" s="17" t="s">
        <v>2993</v>
      </c>
      <c r="G2526" s="14">
        <v>2079</v>
      </c>
      <c r="H2526" s="14">
        <v>1663.2</v>
      </c>
      <c r="I2526" s="31">
        <f>IF(COUNTIFS(Addendum!C:C,A2526,Addendum!D:D,IF(ISNUMBER(B2526),TEXT(B2526,"0000"),B2526),Addendum!E:E,"X")&gt;0,4%,0)</f>
        <v>0.04</v>
      </c>
      <c r="J2526" s="31">
        <f>IF(COUNTIFS(Addendum!C:C,A2526,Addendum!D:D,IF(ISNUMBER(B2526),TEXT(B2526,"0000"),B2526),Addendum!F:F,"X")&gt;0,2.5%,0)</f>
        <v>0</v>
      </c>
      <c r="K2526" s="31">
        <f>IF(COUNTIFS(Addendum!C:C,A2526,Addendum!D:D,IF(ISNUMBER(B2526),TEXT(B2526,"0000"),B2526),Addendum!G:G,"X")&gt;0,7%,0)</f>
        <v>0</v>
      </c>
      <c r="L2526" s="31">
        <f>IF(COUNTIFS(Addendum!C:C,A2526,Addendum!D:D,IF(ISNUMBER(B2526),TEXT(B2526,"0000"),B2526),Addendum!I:I,"X")&gt;0,10%,0)</f>
        <v>0</v>
      </c>
      <c r="M2526" s="34">
        <f t="shared" si="78"/>
        <v>0.01</v>
      </c>
      <c r="N2526" s="17">
        <f t="shared" si="79"/>
        <v>1646.568</v>
      </c>
    </row>
    <row r="2527" spans="1:14" x14ac:dyDescent="0.25">
      <c r="A2527" s="14" t="s">
        <v>952</v>
      </c>
      <c r="B2527" s="14" t="s">
        <v>24</v>
      </c>
      <c r="C2527" s="15" t="s">
        <v>954</v>
      </c>
      <c r="D2527" s="14" t="s">
        <v>1745</v>
      </c>
      <c r="E2527" s="14" t="s">
        <v>1747</v>
      </c>
      <c r="F2527" s="17" t="s">
        <v>2993</v>
      </c>
      <c r="G2527" s="14">
        <v>1980</v>
      </c>
      <c r="H2527" s="14">
        <v>1584</v>
      </c>
      <c r="I2527" s="31">
        <f>IF(COUNTIFS(Addendum!C:C,A2527,Addendum!D:D,IF(ISNUMBER(B2527),TEXT(B2527,"0000"),B2527),Addendum!E:E,"X")&gt;0,4%,0)</f>
        <v>0.04</v>
      </c>
      <c r="J2527" s="31">
        <f>IF(COUNTIFS(Addendum!C:C,A2527,Addendum!D:D,IF(ISNUMBER(B2527),TEXT(B2527,"0000"),B2527),Addendum!F:F,"X")&gt;0,2.5%,0)</f>
        <v>0</v>
      </c>
      <c r="K2527" s="31">
        <f>IF(COUNTIFS(Addendum!C:C,A2527,Addendum!D:D,IF(ISNUMBER(B2527),TEXT(B2527,"0000"),B2527),Addendum!G:G,"X")&gt;0,7%,0)</f>
        <v>0</v>
      </c>
      <c r="L2527" s="31">
        <f>IF(COUNTIFS(Addendum!C:C,A2527,Addendum!D:D,IF(ISNUMBER(B2527),TEXT(B2527,"0000"),B2527),Addendum!I:I,"X")&gt;0,10%,0)</f>
        <v>0</v>
      </c>
      <c r="M2527" s="34">
        <f t="shared" si="78"/>
        <v>0.03</v>
      </c>
      <c r="N2527" s="17">
        <f t="shared" si="79"/>
        <v>1536.48</v>
      </c>
    </row>
    <row r="2528" spans="1:14" x14ac:dyDescent="0.25">
      <c r="A2528" s="14" t="s">
        <v>952</v>
      </c>
      <c r="B2528" s="14">
        <v>7</v>
      </c>
      <c r="C2528" s="15" t="s">
        <v>2506</v>
      </c>
      <c r="D2528" s="14" t="s">
        <v>1749</v>
      </c>
      <c r="E2528" s="14" t="s">
        <v>1746</v>
      </c>
      <c r="F2528" s="17" t="s">
        <v>2995</v>
      </c>
      <c r="G2528" s="14">
        <v>119.8</v>
      </c>
      <c r="H2528" s="14">
        <v>107.82</v>
      </c>
      <c r="I2528" s="31">
        <f>IF(COUNTIFS(Addendum!C:C,A2528,Addendum!D:D,IF(ISNUMBER(B2528),TEXT(B2528,"0000"),B2528),Addendum!E:E,"X")&gt;0,4%,0)</f>
        <v>0.04</v>
      </c>
      <c r="J2528" s="31">
        <f>IF(COUNTIFS(Addendum!C:C,A2528,Addendum!D:D,IF(ISNUMBER(B2528),TEXT(B2528,"0000"),B2528),Addendum!F:F,"X")&gt;0,2.5%,0)</f>
        <v>0</v>
      </c>
      <c r="K2528" s="31">
        <f>IF(COUNTIFS(Addendum!C:C,A2528,Addendum!D:D,IF(ISNUMBER(B2528),TEXT(B2528,"0000"),B2528),Addendum!G:G,"X")&gt;0,7%,0)</f>
        <v>0</v>
      </c>
      <c r="L2528" s="31">
        <f>IF(COUNTIFS(Addendum!C:C,A2528,Addendum!D:D,IF(ISNUMBER(B2528),TEXT(B2528,"0000"),B2528),Addendum!I:I,"X")&gt;0,10%,0)</f>
        <v>0</v>
      </c>
      <c r="M2528" s="34">
        <f t="shared" si="78"/>
        <v>0.01</v>
      </c>
      <c r="N2528" s="17">
        <f t="shared" si="79"/>
        <v>106.7418</v>
      </c>
    </row>
    <row r="2529" spans="1:14" x14ac:dyDescent="0.25">
      <c r="A2529" s="14" t="s">
        <v>952</v>
      </c>
      <c r="B2529" s="14">
        <v>3</v>
      </c>
      <c r="C2529" s="15" t="s">
        <v>2507</v>
      </c>
      <c r="D2529" s="14" t="s">
        <v>1745</v>
      </c>
      <c r="E2529" s="14" t="s">
        <v>1746</v>
      </c>
      <c r="F2529" s="17" t="s">
        <v>2994</v>
      </c>
      <c r="G2529" s="14">
        <v>629.04</v>
      </c>
      <c r="H2529" s="14">
        <v>503.16</v>
      </c>
      <c r="I2529" s="31">
        <f>IF(COUNTIFS(Addendum!C:C,A2529,Addendum!D:D,IF(ISNUMBER(B2529),TEXT(B2529,"0000"),B2529),Addendum!E:E,"X")&gt;0,4%,0)</f>
        <v>0.04</v>
      </c>
      <c r="J2529" s="31">
        <f>IF(COUNTIFS(Addendum!C:C,A2529,Addendum!D:D,IF(ISNUMBER(B2529),TEXT(B2529,"0000"),B2529),Addendum!F:F,"X")&gt;0,2.5%,0)</f>
        <v>0</v>
      </c>
      <c r="K2529" s="31">
        <f>IF(COUNTIFS(Addendum!C:C,A2529,Addendum!D:D,IF(ISNUMBER(B2529),TEXT(B2529,"0000"),B2529),Addendum!G:G,"X")&gt;0,7%,0)</f>
        <v>0</v>
      </c>
      <c r="L2529" s="31">
        <f>IF(COUNTIFS(Addendum!C:C,A2529,Addendum!D:D,IF(ISNUMBER(B2529),TEXT(B2529,"0000"),B2529),Addendum!I:I,"X")&gt;0,10%,0)</f>
        <v>0</v>
      </c>
      <c r="M2529" s="34">
        <f t="shared" si="78"/>
        <v>0.01</v>
      </c>
      <c r="N2529" s="17">
        <f t="shared" si="79"/>
        <v>498.1284</v>
      </c>
    </row>
    <row r="2530" spans="1:14" x14ac:dyDescent="0.25">
      <c r="A2530" s="14" t="s">
        <v>952</v>
      </c>
      <c r="B2530" s="14">
        <v>6</v>
      </c>
      <c r="C2530" s="15" t="s">
        <v>2508</v>
      </c>
      <c r="D2530" s="14" t="s">
        <v>1752</v>
      </c>
      <c r="E2530" s="14" t="s">
        <v>1747</v>
      </c>
      <c r="F2530" s="17" t="s">
        <v>2994</v>
      </c>
      <c r="G2530" s="14">
        <v>1347.84</v>
      </c>
      <c r="H2530" s="14">
        <v>1078.26</v>
      </c>
      <c r="I2530" s="31">
        <f>IF(COUNTIFS(Addendum!C:C,A2530,Addendum!D:D,IF(ISNUMBER(B2530),TEXT(B2530,"0000"),B2530),Addendum!E:E,"X")&gt;0,4%,0)</f>
        <v>0.04</v>
      </c>
      <c r="J2530" s="31">
        <f>IF(COUNTIFS(Addendum!C:C,A2530,Addendum!D:D,IF(ISNUMBER(B2530),TEXT(B2530,"0000"),B2530),Addendum!F:F,"X")&gt;0,2.5%,0)</f>
        <v>0</v>
      </c>
      <c r="K2530" s="31">
        <f>IF(COUNTIFS(Addendum!C:C,A2530,Addendum!D:D,IF(ISNUMBER(B2530),TEXT(B2530,"0000"),B2530),Addendum!G:G,"X")&gt;0,7%,0)</f>
        <v>0</v>
      </c>
      <c r="L2530" s="31">
        <f>IF(COUNTIFS(Addendum!C:C,A2530,Addendum!D:D,IF(ISNUMBER(B2530),TEXT(B2530,"0000"),B2530),Addendum!I:I,"X")&gt;0,10%,0)</f>
        <v>0</v>
      </c>
      <c r="M2530" s="34">
        <f t="shared" si="78"/>
        <v>0.03</v>
      </c>
      <c r="N2530" s="17">
        <f t="shared" si="79"/>
        <v>1045.9122</v>
      </c>
    </row>
    <row r="2531" spans="1:14" x14ac:dyDescent="0.25">
      <c r="A2531" s="14" t="s">
        <v>952</v>
      </c>
      <c r="B2531" s="14">
        <v>1</v>
      </c>
      <c r="C2531" s="15" t="s">
        <v>951</v>
      </c>
      <c r="D2531" s="14" t="s">
        <v>1745</v>
      </c>
      <c r="E2531" s="14" t="s">
        <v>1747</v>
      </c>
      <c r="F2531" s="17" t="s">
        <v>2993</v>
      </c>
      <c r="G2531" s="14">
        <v>3000</v>
      </c>
      <c r="H2531" s="14">
        <v>2400</v>
      </c>
      <c r="I2531" s="31">
        <f>IF(COUNTIFS(Addendum!C:C,A2531,Addendum!D:D,IF(ISNUMBER(B2531),TEXT(B2531,"0000"),B2531),Addendum!E:E,"X")&gt;0,4%,0)</f>
        <v>0.04</v>
      </c>
      <c r="J2531" s="31">
        <f>IF(COUNTIFS(Addendum!C:C,A2531,Addendum!D:D,IF(ISNUMBER(B2531),TEXT(B2531,"0000"),B2531),Addendum!F:F,"X")&gt;0,2.5%,0)</f>
        <v>0</v>
      </c>
      <c r="K2531" s="31">
        <f>IF(COUNTIFS(Addendum!C:C,A2531,Addendum!D:D,IF(ISNUMBER(B2531),TEXT(B2531,"0000"),B2531),Addendum!G:G,"X")&gt;0,7%,0)</f>
        <v>0</v>
      </c>
      <c r="L2531" s="31">
        <f>IF(COUNTIFS(Addendum!C:C,A2531,Addendum!D:D,IF(ISNUMBER(B2531),TEXT(B2531,"0000"),B2531),Addendum!I:I,"X")&gt;0,10%,0)</f>
        <v>0</v>
      </c>
      <c r="M2531" s="34">
        <f t="shared" si="78"/>
        <v>0.03</v>
      </c>
      <c r="N2531" s="17">
        <f t="shared" si="79"/>
        <v>2328</v>
      </c>
    </row>
    <row r="2532" spans="1:14" x14ac:dyDescent="0.25">
      <c r="A2532" s="14" t="s">
        <v>952</v>
      </c>
      <c r="B2532" s="14">
        <v>6</v>
      </c>
      <c r="C2532" s="15" t="s">
        <v>2508</v>
      </c>
      <c r="D2532" s="14" t="s">
        <v>1752</v>
      </c>
      <c r="E2532" s="14" t="s">
        <v>1746</v>
      </c>
      <c r="F2532" s="17" t="s">
        <v>2994</v>
      </c>
      <c r="G2532" s="14">
        <v>1415.16</v>
      </c>
      <c r="H2532" s="14">
        <v>1132.2</v>
      </c>
      <c r="I2532" s="31">
        <f>IF(COUNTIFS(Addendum!C:C,A2532,Addendum!D:D,IF(ISNUMBER(B2532),TEXT(B2532,"0000"),B2532),Addendum!E:E,"X")&gt;0,4%,0)</f>
        <v>0.04</v>
      </c>
      <c r="J2532" s="31">
        <f>IF(COUNTIFS(Addendum!C:C,A2532,Addendum!D:D,IF(ISNUMBER(B2532),TEXT(B2532,"0000"),B2532),Addendum!F:F,"X")&gt;0,2.5%,0)</f>
        <v>0</v>
      </c>
      <c r="K2532" s="31">
        <f>IF(COUNTIFS(Addendum!C:C,A2532,Addendum!D:D,IF(ISNUMBER(B2532),TEXT(B2532,"0000"),B2532),Addendum!G:G,"X")&gt;0,7%,0)</f>
        <v>0</v>
      </c>
      <c r="L2532" s="31">
        <f>IF(COUNTIFS(Addendum!C:C,A2532,Addendum!D:D,IF(ISNUMBER(B2532),TEXT(B2532,"0000"),B2532),Addendum!I:I,"X")&gt;0,10%,0)</f>
        <v>0</v>
      </c>
      <c r="M2532" s="34">
        <f t="shared" si="78"/>
        <v>0.01</v>
      </c>
      <c r="N2532" s="17">
        <f t="shared" si="79"/>
        <v>1120.8780000000002</v>
      </c>
    </row>
    <row r="2533" spans="1:14" x14ac:dyDescent="0.25">
      <c r="A2533" s="14" t="s">
        <v>952</v>
      </c>
      <c r="B2533" s="14">
        <v>3</v>
      </c>
      <c r="C2533" s="15" t="s">
        <v>2507</v>
      </c>
      <c r="D2533" s="14" t="s">
        <v>1752</v>
      </c>
      <c r="E2533" s="14" t="s">
        <v>1747</v>
      </c>
      <c r="F2533" s="17" t="s">
        <v>2994</v>
      </c>
      <c r="G2533" s="14">
        <v>1797.12</v>
      </c>
      <c r="H2533" s="14">
        <v>1437.69</v>
      </c>
      <c r="I2533" s="31">
        <f>IF(COUNTIFS(Addendum!C:C,A2533,Addendum!D:D,IF(ISNUMBER(B2533),TEXT(B2533,"0000"),B2533),Addendum!E:E,"X")&gt;0,4%,0)</f>
        <v>0.04</v>
      </c>
      <c r="J2533" s="31">
        <f>IF(COUNTIFS(Addendum!C:C,A2533,Addendum!D:D,IF(ISNUMBER(B2533),TEXT(B2533,"0000"),B2533),Addendum!F:F,"X")&gt;0,2.5%,0)</f>
        <v>0</v>
      </c>
      <c r="K2533" s="31">
        <f>IF(COUNTIFS(Addendum!C:C,A2533,Addendum!D:D,IF(ISNUMBER(B2533),TEXT(B2533,"0000"),B2533),Addendum!G:G,"X")&gt;0,7%,0)</f>
        <v>0</v>
      </c>
      <c r="L2533" s="31">
        <f>IF(COUNTIFS(Addendum!C:C,A2533,Addendum!D:D,IF(ISNUMBER(B2533),TEXT(B2533,"0000"),B2533),Addendum!I:I,"X")&gt;0,10%,0)</f>
        <v>0</v>
      </c>
      <c r="M2533" s="34">
        <f t="shared" si="78"/>
        <v>0.03</v>
      </c>
      <c r="N2533" s="17">
        <f t="shared" si="79"/>
        <v>1394.5593000000001</v>
      </c>
    </row>
    <row r="2534" spans="1:14" x14ac:dyDescent="0.25">
      <c r="A2534" s="14" t="s">
        <v>952</v>
      </c>
      <c r="B2534" s="14">
        <v>7</v>
      </c>
      <c r="C2534" s="15" t="s">
        <v>2506</v>
      </c>
      <c r="D2534" s="14" t="s">
        <v>1752</v>
      </c>
      <c r="E2534" s="14" t="s">
        <v>1753</v>
      </c>
      <c r="F2534" s="17" t="s">
        <v>2995</v>
      </c>
      <c r="G2534" s="14">
        <v>3593.88</v>
      </c>
      <c r="H2534" s="14">
        <v>3234.49</v>
      </c>
      <c r="I2534" s="31">
        <f>IF(COUNTIFS(Addendum!C:C,A2534,Addendum!D:D,IF(ISNUMBER(B2534),TEXT(B2534,"0000"),B2534),Addendum!E:E,"X")&gt;0,4%,0)</f>
        <v>0.04</v>
      </c>
      <c r="J2534" s="31">
        <f>IF(COUNTIFS(Addendum!C:C,A2534,Addendum!D:D,IF(ISNUMBER(B2534),TEXT(B2534,"0000"),B2534),Addendum!F:F,"X")&gt;0,2.5%,0)</f>
        <v>0</v>
      </c>
      <c r="K2534" s="31">
        <f>IF(COUNTIFS(Addendum!C:C,A2534,Addendum!D:D,IF(ISNUMBER(B2534),TEXT(B2534,"0000"),B2534),Addendum!G:G,"X")&gt;0,7%,0)</f>
        <v>0</v>
      </c>
      <c r="L2534" s="31">
        <f>IF(COUNTIFS(Addendum!C:C,A2534,Addendum!D:D,IF(ISNUMBER(B2534),TEXT(B2534,"0000"),B2534),Addendum!I:I,"X")&gt;0,10%,0)</f>
        <v>0</v>
      </c>
      <c r="M2534" s="34">
        <f t="shared" si="78"/>
        <v>0.03</v>
      </c>
      <c r="N2534" s="17">
        <f t="shared" si="79"/>
        <v>3137.4552999999996</v>
      </c>
    </row>
    <row r="2535" spans="1:14" x14ac:dyDescent="0.25">
      <c r="A2535" s="14" t="s">
        <v>952</v>
      </c>
      <c r="B2535" s="14">
        <v>6</v>
      </c>
      <c r="C2535" s="15" t="s">
        <v>2508</v>
      </c>
      <c r="D2535" s="14" t="s">
        <v>1752</v>
      </c>
      <c r="E2535" s="14" t="s">
        <v>1753</v>
      </c>
      <c r="F2535" s="17" t="s">
        <v>2994</v>
      </c>
      <c r="G2535" s="14">
        <v>1347.84</v>
      </c>
      <c r="H2535" s="14">
        <v>1078.27</v>
      </c>
      <c r="I2535" s="31">
        <f>IF(COUNTIFS(Addendum!C:C,A2535,Addendum!D:D,IF(ISNUMBER(B2535),TEXT(B2535,"0000"),B2535),Addendum!E:E,"X")&gt;0,4%,0)</f>
        <v>0.04</v>
      </c>
      <c r="J2535" s="31">
        <f>IF(COUNTIFS(Addendum!C:C,A2535,Addendum!D:D,IF(ISNUMBER(B2535),TEXT(B2535,"0000"),B2535),Addendum!F:F,"X")&gt;0,2.5%,0)</f>
        <v>0</v>
      </c>
      <c r="K2535" s="31">
        <f>IF(COUNTIFS(Addendum!C:C,A2535,Addendum!D:D,IF(ISNUMBER(B2535),TEXT(B2535,"0000"),B2535),Addendum!G:G,"X")&gt;0,7%,0)</f>
        <v>0</v>
      </c>
      <c r="L2535" s="31">
        <f>IF(COUNTIFS(Addendum!C:C,A2535,Addendum!D:D,IF(ISNUMBER(B2535),TEXT(B2535,"0000"),B2535),Addendum!I:I,"X")&gt;0,10%,0)</f>
        <v>0</v>
      </c>
      <c r="M2535" s="34">
        <f t="shared" si="78"/>
        <v>0.03</v>
      </c>
      <c r="N2535" s="17">
        <f t="shared" si="79"/>
        <v>1045.9219000000001</v>
      </c>
    </row>
    <row r="2536" spans="1:14" x14ac:dyDescent="0.25">
      <c r="A2536" s="14" t="s">
        <v>952</v>
      </c>
      <c r="B2536" s="14" t="s">
        <v>24</v>
      </c>
      <c r="C2536" s="15" t="s">
        <v>954</v>
      </c>
      <c r="D2536" s="14" t="s">
        <v>1749</v>
      </c>
      <c r="E2536" s="14" t="s">
        <v>1746</v>
      </c>
      <c r="F2536" s="17" t="s">
        <v>2993</v>
      </c>
      <c r="G2536" s="14">
        <v>198</v>
      </c>
      <c r="H2536" s="14">
        <v>158.4</v>
      </c>
      <c r="I2536" s="31">
        <f>IF(COUNTIFS(Addendum!C:C,A2536,Addendum!D:D,IF(ISNUMBER(B2536),TEXT(B2536,"0000"),B2536),Addendum!E:E,"X")&gt;0,4%,0)</f>
        <v>0.04</v>
      </c>
      <c r="J2536" s="31">
        <f>IF(COUNTIFS(Addendum!C:C,A2536,Addendum!D:D,IF(ISNUMBER(B2536),TEXT(B2536,"0000"),B2536),Addendum!F:F,"X")&gt;0,2.5%,0)</f>
        <v>0</v>
      </c>
      <c r="K2536" s="31">
        <f>IF(COUNTIFS(Addendum!C:C,A2536,Addendum!D:D,IF(ISNUMBER(B2536),TEXT(B2536,"0000"),B2536),Addendum!G:G,"X")&gt;0,7%,0)</f>
        <v>0</v>
      </c>
      <c r="L2536" s="31">
        <f>IF(COUNTIFS(Addendum!C:C,A2536,Addendum!D:D,IF(ISNUMBER(B2536),TEXT(B2536,"0000"),B2536),Addendum!I:I,"X")&gt;0,10%,0)</f>
        <v>0</v>
      </c>
      <c r="M2536" s="34">
        <f t="shared" si="78"/>
        <v>0.01</v>
      </c>
      <c r="N2536" s="17">
        <f t="shared" si="79"/>
        <v>156.816</v>
      </c>
    </row>
    <row r="2537" spans="1:14" x14ac:dyDescent="0.25">
      <c r="A2537" s="14" t="s">
        <v>952</v>
      </c>
      <c r="B2537" s="14">
        <v>7</v>
      </c>
      <c r="C2537" s="15" t="s">
        <v>2506</v>
      </c>
      <c r="D2537" s="14" t="s">
        <v>1752</v>
      </c>
      <c r="E2537" s="14" t="s">
        <v>1746</v>
      </c>
      <c r="F2537" s="17" t="s">
        <v>2995</v>
      </c>
      <c r="G2537" s="14">
        <v>3773.52</v>
      </c>
      <c r="H2537" s="14">
        <v>3396.24</v>
      </c>
      <c r="I2537" s="31">
        <f>IF(COUNTIFS(Addendum!C:C,A2537,Addendum!D:D,IF(ISNUMBER(B2537),TEXT(B2537,"0000"),B2537),Addendum!E:E,"X")&gt;0,4%,0)</f>
        <v>0.04</v>
      </c>
      <c r="J2537" s="31">
        <f>IF(COUNTIFS(Addendum!C:C,A2537,Addendum!D:D,IF(ISNUMBER(B2537),TEXT(B2537,"0000"),B2537),Addendum!F:F,"X")&gt;0,2.5%,0)</f>
        <v>0</v>
      </c>
      <c r="K2537" s="31">
        <f>IF(COUNTIFS(Addendum!C:C,A2537,Addendum!D:D,IF(ISNUMBER(B2537),TEXT(B2537,"0000"),B2537),Addendum!G:G,"X")&gt;0,7%,0)</f>
        <v>0</v>
      </c>
      <c r="L2537" s="31">
        <f>IF(COUNTIFS(Addendum!C:C,A2537,Addendum!D:D,IF(ISNUMBER(B2537),TEXT(B2537,"0000"),B2537),Addendum!I:I,"X")&gt;0,10%,0)</f>
        <v>0</v>
      </c>
      <c r="M2537" s="34">
        <f t="shared" si="78"/>
        <v>0.01</v>
      </c>
      <c r="N2537" s="17">
        <f t="shared" si="79"/>
        <v>3362.2775999999999</v>
      </c>
    </row>
    <row r="2538" spans="1:14" x14ac:dyDescent="0.25">
      <c r="A2538" s="14" t="s">
        <v>952</v>
      </c>
      <c r="B2538" s="14">
        <v>6</v>
      </c>
      <c r="C2538" s="15" t="s">
        <v>2508</v>
      </c>
      <c r="D2538" s="14" t="s">
        <v>1749</v>
      </c>
      <c r="E2538" s="14" t="s">
        <v>1746</v>
      </c>
      <c r="F2538" s="17" t="s">
        <v>2994</v>
      </c>
      <c r="G2538" s="14">
        <v>44.93</v>
      </c>
      <c r="H2538" s="14">
        <v>35.94</v>
      </c>
      <c r="I2538" s="31">
        <f>IF(COUNTIFS(Addendum!C:C,A2538,Addendum!D:D,IF(ISNUMBER(B2538),TEXT(B2538,"0000"),B2538),Addendum!E:E,"X")&gt;0,4%,0)</f>
        <v>0.04</v>
      </c>
      <c r="J2538" s="31">
        <f>IF(COUNTIFS(Addendum!C:C,A2538,Addendum!D:D,IF(ISNUMBER(B2538),TEXT(B2538,"0000"),B2538),Addendum!F:F,"X")&gt;0,2.5%,0)</f>
        <v>0</v>
      </c>
      <c r="K2538" s="31">
        <f>IF(COUNTIFS(Addendum!C:C,A2538,Addendum!D:D,IF(ISNUMBER(B2538),TEXT(B2538,"0000"),B2538),Addendum!G:G,"X")&gt;0,7%,0)</f>
        <v>0</v>
      </c>
      <c r="L2538" s="31">
        <f>IF(COUNTIFS(Addendum!C:C,A2538,Addendum!D:D,IF(ISNUMBER(B2538),TEXT(B2538,"0000"),B2538),Addendum!I:I,"X")&gt;0,10%,0)</f>
        <v>0</v>
      </c>
      <c r="M2538" s="34">
        <f t="shared" si="78"/>
        <v>0.01</v>
      </c>
      <c r="N2538" s="17">
        <f t="shared" si="79"/>
        <v>35.580599999999997</v>
      </c>
    </row>
    <row r="2539" spans="1:14" x14ac:dyDescent="0.25">
      <c r="A2539" s="14" t="s">
        <v>952</v>
      </c>
      <c r="B2539" s="14">
        <v>1</v>
      </c>
      <c r="C2539" s="15" t="s">
        <v>951</v>
      </c>
      <c r="D2539" s="14" t="s">
        <v>1749</v>
      </c>
      <c r="E2539" s="14" t="s">
        <v>1746</v>
      </c>
      <c r="F2539" s="17" t="s">
        <v>2993</v>
      </c>
      <c r="G2539" s="14">
        <v>300</v>
      </c>
      <c r="H2539" s="14">
        <v>240</v>
      </c>
      <c r="I2539" s="31">
        <f>IF(COUNTIFS(Addendum!C:C,A2539,Addendum!D:D,IF(ISNUMBER(B2539),TEXT(B2539,"0000"),B2539),Addendum!E:E,"X")&gt;0,4%,0)</f>
        <v>0.04</v>
      </c>
      <c r="J2539" s="31">
        <f>IF(COUNTIFS(Addendum!C:C,A2539,Addendum!D:D,IF(ISNUMBER(B2539),TEXT(B2539,"0000"),B2539),Addendum!F:F,"X")&gt;0,2.5%,0)</f>
        <v>0</v>
      </c>
      <c r="K2539" s="31">
        <f>IF(COUNTIFS(Addendum!C:C,A2539,Addendum!D:D,IF(ISNUMBER(B2539),TEXT(B2539,"0000"),B2539),Addendum!G:G,"X")&gt;0,7%,0)</f>
        <v>0</v>
      </c>
      <c r="L2539" s="31">
        <f>IF(COUNTIFS(Addendum!C:C,A2539,Addendum!D:D,IF(ISNUMBER(B2539),TEXT(B2539,"0000"),B2539),Addendum!I:I,"X")&gt;0,10%,0)</f>
        <v>0</v>
      </c>
      <c r="M2539" s="34">
        <f t="shared" si="78"/>
        <v>0.01</v>
      </c>
      <c r="N2539" s="17">
        <f t="shared" si="79"/>
        <v>237.6</v>
      </c>
    </row>
    <row r="2540" spans="1:14" x14ac:dyDescent="0.25">
      <c r="A2540" s="14" t="s">
        <v>952</v>
      </c>
      <c r="B2540" s="14">
        <v>3</v>
      </c>
      <c r="C2540" s="15" t="s">
        <v>2507</v>
      </c>
      <c r="D2540" s="14" t="s">
        <v>1745</v>
      </c>
      <c r="E2540" s="14" t="s">
        <v>1747</v>
      </c>
      <c r="F2540" s="17" t="s">
        <v>2994</v>
      </c>
      <c r="G2540" s="14">
        <v>599.04</v>
      </c>
      <c r="H2540" s="14">
        <v>479.23</v>
      </c>
      <c r="I2540" s="31">
        <f>IF(COUNTIFS(Addendum!C:C,A2540,Addendum!D:D,IF(ISNUMBER(B2540),TEXT(B2540,"0000"),B2540),Addendum!E:E,"X")&gt;0,4%,0)</f>
        <v>0.04</v>
      </c>
      <c r="J2540" s="31">
        <f>IF(COUNTIFS(Addendum!C:C,A2540,Addendum!D:D,IF(ISNUMBER(B2540),TEXT(B2540,"0000"),B2540),Addendum!F:F,"X")&gt;0,2.5%,0)</f>
        <v>0</v>
      </c>
      <c r="K2540" s="31">
        <f>IF(COUNTIFS(Addendum!C:C,A2540,Addendum!D:D,IF(ISNUMBER(B2540),TEXT(B2540,"0000"),B2540),Addendum!G:G,"X")&gt;0,7%,0)</f>
        <v>0</v>
      </c>
      <c r="L2540" s="31">
        <f>IF(COUNTIFS(Addendum!C:C,A2540,Addendum!D:D,IF(ISNUMBER(B2540),TEXT(B2540,"0000"),B2540),Addendum!I:I,"X")&gt;0,10%,0)</f>
        <v>0</v>
      </c>
      <c r="M2540" s="34">
        <f t="shared" si="78"/>
        <v>0.03</v>
      </c>
      <c r="N2540" s="17">
        <f t="shared" si="79"/>
        <v>464.85310000000004</v>
      </c>
    </row>
    <row r="2541" spans="1:14" x14ac:dyDescent="0.25">
      <c r="A2541" s="14" t="s">
        <v>952</v>
      </c>
      <c r="B2541" s="14">
        <v>3</v>
      </c>
      <c r="C2541" s="15" t="s">
        <v>2507</v>
      </c>
      <c r="D2541" s="14" t="s">
        <v>1749</v>
      </c>
      <c r="E2541" s="14" t="s">
        <v>1746</v>
      </c>
      <c r="F2541" s="17" t="s">
        <v>2994</v>
      </c>
      <c r="G2541" s="14">
        <v>59.9</v>
      </c>
      <c r="H2541" s="14">
        <v>47.92</v>
      </c>
      <c r="I2541" s="31">
        <f>IF(COUNTIFS(Addendum!C:C,A2541,Addendum!D:D,IF(ISNUMBER(B2541),TEXT(B2541,"0000"),B2541),Addendum!E:E,"X")&gt;0,4%,0)</f>
        <v>0.04</v>
      </c>
      <c r="J2541" s="31">
        <f>IF(COUNTIFS(Addendum!C:C,A2541,Addendum!D:D,IF(ISNUMBER(B2541),TEXT(B2541,"0000"),B2541),Addendum!F:F,"X")&gt;0,2.5%,0)</f>
        <v>0</v>
      </c>
      <c r="K2541" s="31">
        <f>IF(COUNTIFS(Addendum!C:C,A2541,Addendum!D:D,IF(ISNUMBER(B2541),TEXT(B2541,"0000"),B2541),Addendum!G:G,"X")&gt;0,7%,0)</f>
        <v>0</v>
      </c>
      <c r="L2541" s="31">
        <f>IF(COUNTIFS(Addendum!C:C,A2541,Addendum!D:D,IF(ISNUMBER(B2541),TEXT(B2541,"0000"),B2541),Addendum!I:I,"X")&gt;0,10%,0)</f>
        <v>0</v>
      </c>
      <c r="M2541" s="34">
        <f t="shared" si="78"/>
        <v>0.01</v>
      </c>
      <c r="N2541" s="17">
        <f t="shared" si="79"/>
        <v>47.440800000000003</v>
      </c>
    </row>
    <row r="2542" spans="1:14" x14ac:dyDescent="0.25">
      <c r="A2542" s="14" t="s">
        <v>952</v>
      </c>
      <c r="B2542" s="14">
        <v>1</v>
      </c>
      <c r="C2542" s="15" t="s">
        <v>951</v>
      </c>
      <c r="D2542" s="14" t="s">
        <v>1745</v>
      </c>
      <c r="E2542" s="14" t="s">
        <v>1746</v>
      </c>
      <c r="F2542" s="17" t="s">
        <v>2993</v>
      </c>
      <c r="G2542" s="14">
        <v>3150</v>
      </c>
      <c r="H2542" s="14">
        <v>2520</v>
      </c>
      <c r="I2542" s="31">
        <f>IF(COUNTIFS(Addendum!C:C,A2542,Addendum!D:D,IF(ISNUMBER(B2542),TEXT(B2542,"0000"),B2542),Addendum!E:E,"X")&gt;0,4%,0)</f>
        <v>0.04</v>
      </c>
      <c r="J2542" s="31">
        <f>IF(COUNTIFS(Addendum!C:C,A2542,Addendum!D:D,IF(ISNUMBER(B2542),TEXT(B2542,"0000"),B2542),Addendum!F:F,"X")&gt;0,2.5%,0)</f>
        <v>0</v>
      </c>
      <c r="K2542" s="31">
        <f>IF(COUNTIFS(Addendum!C:C,A2542,Addendum!D:D,IF(ISNUMBER(B2542),TEXT(B2542,"0000"),B2542),Addendum!G:G,"X")&gt;0,7%,0)</f>
        <v>0</v>
      </c>
      <c r="L2542" s="31">
        <f>IF(COUNTIFS(Addendum!C:C,A2542,Addendum!D:D,IF(ISNUMBER(B2542),TEXT(B2542,"0000"),B2542),Addendum!I:I,"X")&gt;0,10%,0)</f>
        <v>0</v>
      </c>
      <c r="M2542" s="34">
        <f t="shared" si="78"/>
        <v>0.01</v>
      </c>
      <c r="N2542" s="17">
        <f t="shared" si="79"/>
        <v>2494.8000000000002</v>
      </c>
    </row>
    <row r="2543" spans="1:14" x14ac:dyDescent="0.25">
      <c r="A2543" s="14" t="s">
        <v>952</v>
      </c>
      <c r="B2543" s="14">
        <v>7</v>
      </c>
      <c r="C2543" s="15" t="s">
        <v>2506</v>
      </c>
      <c r="D2543" s="14" t="s">
        <v>1745</v>
      </c>
      <c r="E2543" s="14" t="s">
        <v>1747</v>
      </c>
      <c r="F2543" s="17" t="s">
        <v>2995</v>
      </c>
      <c r="G2543" s="14">
        <v>1197.96</v>
      </c>
      <c r="H2543" s="14">
        <v>1078.1600000000001</v>
      </c>
      <c r="I2543" s="31">
        <f>IF(COUNTIFS(Addendum!C:C,A2543,Addendum!D:D,IF(ISNUMBER(B2543),TEXT(B2543,"0000"),B2543),Addendum!E:E,"X")&gt;0,4%,0)</f>
        <v>0.04</v>
      </c>
      <c r="J2543" s="31">
        <f>IF(COUNTIFS(Addendum!C:C,A2543,Addendum!D:D,IF(ISNUMBER(B2543),TEXT(B2543,"0000"),B2543),Addendum!F:F,"X")&gt;0,2.5%,0)</f>
        <v>0</v>
      </c>
      <c r="K2543" s="31">
        <f>IF(COUNTIFS(Addendum!C:C,A2543,Addendum!D:D,IF(ISNUMBER(B2543),TEXT(B2543,"0000"),B2543),Addendum!G:G,"X")&gt;0,7%,0)</f>
        <v>0</v>
      </c>
      <c r="L2543" s="31">
        <f>IF(COUNTIFS(Addendum!C:C,A2543,Addendum!D:D,IF(ISNUMBER(B2543),TEXT(B2543,"0000"),B2543),Addendum!I:I,"X")&gt;0,10%,0)</f>
        <v>0</v>
      </c>
      <c r="M2543" s="34">
        <f t="shared" si="78"/>
        <v>0.03</v>
      </c>
      <c r="N2543" s="17">
        <f t="shared" si="79"/>
        <v>1045.8152</v>
      </c>
    </row>
    <row r="2544" spans="1:14" x14ac:dyDescent="0.25">
      <c r="A2544" s="14" t="s">
        <v>952</v>
      </c>
      <c r="B2544" s="14">
        <v>3</v>
      </c>
      <c r="C2544" s="15" t="s">
        <v>2507</v>
      </c>
      <c r="D2544" s="14" t="s">
        <v>1752</v>
      </c>
      <c r="E2544" s="14" t="s">
        <v>1753</v>
      </c>
      <c r="F2544" s="17" t="s">
        <v>2994</v>
      </c>
      <c r="G2544" s="14">
        <v>1797.12</v>
      </c>
      <c r="H2544" s="14">
        <v>1437.7</v>
      </c>
      <c r="I2544" s="31">
        <f>IF(COUNTIFS(Addendum!C:C,A2544,Addendum!D:D,IF(ISNUMBER(B2544),TEXT(B2544,"0000"),B2544),Addendum!E:E,"X")&gt;0,4%,0)</f>
        <v>0.04</v>
      </c>
      <c r="J2544" s="31">
        <f>IF(COUNTIFS(Addendum!C:C,A2544,Addendum!D:D,IF(ISNUMBER(B2544),TEXT(B2544,"0000"),B2544),Addendum!F:F,"X")&gt;0,2.5%,0)</f>
        <v>0</v>
      </c>
      <c r="K2544" s="31">
        <f>IF(COUNTIFS(Addendum!C:C,A2544,Addendum!D:D,IF(ISNUMBER(B2544),TEXT(B2544,"0000"),B2544),Addendum!G:G,"X")&gt;0,7%,0)</f>
        <v>0</v>
      </c>
      <c r="L2544" s="31">
        <f>IF(COUNTIFS(Addendum!C:C,A2544,Addendum!D:D,IF(ISNUMBER(B2544),TEXT(B2544,"0000"),B2544),Addendum!I:I,"X")&gt;0,10%,0)</f>
        <v>0</v>
      </c>
      <c r="M2544" s="34">
        <f t="shared" si="78"/>
        <v>0.03</v>
      </c>
      <c r="N2544" s="17">
        <f t="shared" si="79"/>
        <v>1394.569</v>
      </c>
    </row>
    <row r="2545" spans="1:14" x14ac:dyDescent="0.25">
      <c r="A2545" s="14" t="s">
        <v>952</v>
      </c>
      <c r="B2545" s="14">
        <v>7</v>
      </c>
      <c r="C2545" s="15" t="s">
        <v>2506</v>
      </c>
      <c r="D2545" s="14" t="s">
        <v>1752</v>
      </c>
      <c r="E2545" s="14" t="s">
        <v>1747</v>
      </c>
      <c r="F2545" s="17" t="s">
        <v>2995</v>
      </c>
      <c r="G2545" s="14">
        <v>3593.88</v>
      </c>
      <c r="H2545" s="14">
        <v>3234.48</v>
      </c>
      <c r="I2545" s="31">
        <f>IF(COUNTIFS(Addendum!C:C,A2545,Addendum!D:D,IF(ISNUMBER(B2545),TEXT(B2545,"0000"),B2545),Addendum!E:E,"X")&gt;0,4%,0)</f>
        <v>0.04</v>
      </c>
      <c r="J2545" s="31">
        <f>IF(COUNTIFS(Addendum!C:C,A2545,Addendum!D:D,IF(ISNUMBER(B2545),TEXT(B2545,"0000"),B2545),Addendum!F:F,"X")&gt;0,2.5%,0)</f>
        <v>0</v>
      </c>
      <c r="K2545" s="31">
        <f>IF(COUNTIFS(Addendum!C:C,A2545,Addendum!D:D,IF(ISNUMBER(B2545),TEXT(B2545,"0000"),B2545),Addendum!G:G,"X")&gt;0,7%,0)</f>
        <v>0</v>
      </c>
      <c r="L2545" s="31">
        <f>IF(COUNTIFS(Addendum!C:C,A2545,Addendum!D:D,IF(ISNUMBER(B2545),TEXT(B2545,"0000"),B2545),Addendum!I:I,"X")&gt;0,10%,0)</f>
        <v>0</v>
      </c>
      <c r="M2545" s="34">
        <f t="shared" si="78"/>
        <v>0.03</v>
      </c>
      <c r="N2545" s="17">
        <f t="shared" si="79"/>
        <v>3137.4456</v>
      </c>
    </row>
    <row r="2546" spans="1:14" x14ac:dyDescent="0.25">
      <c r="A2546" s="14" t="s">
        <v>952</v>
      </c>
      <c r="B2546" s="14">
        <v>6</v>
      </c>
      <c r="C2546" s="15" t="s">
        <v>2508</v>
      </c>
      <c r="D2546" s="14" t="s">
        <v>1745</v>
      </c>
      <c r="E2546" s="14" t="s">
        <v>1746</v>
      </c>
      <c r="F2546" s="17" t="s">
        <v>2994</v>
      </c>
      <c r="G2546" s="14">
        <v>471.72</v>
      </c>
      <c r="H2546" s="14">
        <v>377.4</v>
      </c>
      <c r="I2546" s="31">
        <f>IF(COUNTIFS(Addendum!C:C,A2546,Addendum!D:D,IF(ISNUMBER(B2546),TEXT(B2546,"0000"),B2546),Addendum!E:E,"X")&gt;0,4%,0)</f>
        <v>0.04</v>
      </c>
      <c r="J2546" s="31">
        <f>IF(COUNTIFS(Addendum!C:C,A2546,Addendum!D:D,IF(ISNUMBER(B2546),TEXT(B2546,"0000"),B2546),Addendum!F:F,"X")&gt;0,2.5%,0)</f>
        <v>0</v>
      </c>
      <c r="K2546" s="31">
        <f>IF(COUNTIFS(Addendum!C:C,A2546,Addendum!D:D,IF(ISNUMBER(B2546),TEXT(B2546,"0000"),B2546),Addendum!G:G,"X")&gt;0,7%,0)</f>
        <v>0</v>
      </c>
      <c r="L2546" s="31">
        <f>IF(COUNTIFS(Addendum!C:C,A2546,Addendum!D:D,IF(ISNUMBER(B2546),TEXT(B2546,"0000"),B2546),Addendum!I:I,"X")&gt;0,10%,0)</f>
        <v>0</v>
      </c>
      <c r="M2546" s="34">
        <f t="shared" si="78"/>
        <v>0.01</v>
      </c>
      <c r="N2546" s="17">
        <f t="shared" si="79"/>
        <v>373.62599999999998</v>
      </c>
    </row>
    <row r="2547" spans="1:14" x14ac:dyDescent="0.25">
      <c r="A2547" s="14" t="s">
        <v>952</v>
      </c>
      <c r="B2547" s="14">
        <v>7</v>
      </c>
      <c r="C2547" s="15" t="s">
        <v>2506</v>
      </c>
      <c r="D2547" s="14" t="s">
        <v>1745</v>
      </c>
      <c r="E2547" s="14" t="s">
        <v>1746</v>
      </c>
      <c r="F2547" s="17" t="s">
        <v>2995</v>
      </c>
      <c r="G2547" s="14">
        <v>1257.8399999999999</v>
      </c>
      <c r="H2547" s="14">
        <v>1132.08</v>
      </c>
      <c r="I2547" s="31">
        <f>IF(COUNTIFS(Addendum!C:C,A2547,Addendum!D:D,IF(ISNUMBER(B2547),TEXT(B2547,"0000"),B2547),Addendum!E:E,"X")&gt;0,4%,0)</f>
        <v>0.04</v>
      </c>
      <c r="J2547" s="31">
        <f>IF(COUNTIFS(Addendum!C:C,A2547,Addendum!D:D,IF(ISNUMBER(B2547),TEXT(B2547,"0000"),B2547),Addendum!F:F,"X")&gt;0,2.5%,0)</f>
        <v>0</v>
      </c>
      <c r="K2547" s="31">
        <f>IF(COUNTIFS(Addendum!C:C,A2547,Addendum!D:D,IF(ISNUMBER(B2547),TEXT(B2547,"0000"),B2547),Addendum!G:G,"X")&gt;0,7%,0)</f>
        <v>0</v>
      </c>
      <c r="L2547" s="31">
        <f>IF(COUNTIFS(Addendum!C:C,A2547,Addendum!D:D,IF(ISNUMBER(B2547),TEXT(B2547,"0000"),B2547),Addendum!I:I,"X")&gt;0,10%,0)</f>
        <v>0</v>
      </c>
      <c r="M2547" s="34">
        <f t="shared" si="78"/>
        <v>0.01</v>
      </c>
      <c r="N2547" s="17">
        <f t="shared" si="79"/>
        <v>1120.7592</v>
      </c>
    </row>
    <row r="2548" spans="1:14" x14ac:dyDescent="0.25">
      <c r="A2548" s="14" t="s">
        <v>952</v>
      </c>
      <c r="B2548" s="14">
        <v>6</v>
      </c>
      <c r="C2548" s="15" t="s">
        <v>2508</v>
      </c>
      <c r="D2548" s="14" t="s">
        <v>1745</v>
      </c>
      <c r="E2548" s="14" t="s">
        <v>1747</v>
      </c>
      <c r="F2548" s="17" t="s">
        <v>2994</v>
      </c>
      <c r="G2548" s="14">
        <v>449.28</v>
      </c>
      <c r="H2548" s="14">
        <v>359.42</v>
      </c>
      <c r="I2548" s="31">
        <f>IF(COUNTIFS(Addendum!C:C,A2548,Addendum!D:D,IF(ISNUMBER(B2548),TEXT(B2548,"0000"),B2548),Addendum!E:E,"X")&gt;0,4%,0)</f>
        <v>0.04</v>
      </c>
      <c r="J2548" s="31">
        <f>IF(COUNTIFS(Addendum!C:C,A2548,Addendum!D:D,IF(ISNUMBER(B2548),TEXT(B2548,"0000"),B2548),Addendum!F:F,"X")&gt;0,2.5%,0)</f>
        <v>0</v>
      </c>
      <c r="K2548" s="31">
        <f>IF(COUNTIFS(Addendum!C:C,A2548,Addendum!D:D,IF(ISNUMBER(B2548),TEXT(B2548,"0000"),B2548),Addendum!G:G,"X")&gt;0,7%,0)</f>
        <v>0</v>
      </c>
      <c r="L2548" s="31">
        <f>IF(COUNTIFS(Addendum!C:C,A2548,Addendum!D:D,IF(ISNUMBER(B2548),TEXT(B2548,"0000"),B2548),Addendum!I:I,"X")&gt;0,10%,0)</f>
        <v>0</v>
      </c>
      <c r="M2548" s="34">
        <f t="shared" si="78"/>
        <v>0.03</v>
      </c>
      <c r="N2548" s="17">
        <f t="shared" si="79"/>
        <v>348.63740000000001</v>
      </c>
    </row>
    <row r="2549" spans="1:14" x14ac:dyDescent="0.25">
      <c r="A2549" s="14" t="s">
        <v>952</v>
      </c>
      <c r="B2549" s="14">
        <v>3</v>
      </c>
      <c r="C2549" s="15" t="s">
        <v>2507</v>
      </c>
      <c r="D2549" s="14" t="s">
        <v>1752</v>
      </c>
      <c r="E2549" s="14" t="s">
        <v>1746</v>
      </c>
      <c r="F2549" s="17" t="s">
        <v>2994</v>
      </c>
      <c r="G2549" s="14">
        <v>1887.12</v>
      </c>
      <c r="H2549" s="14">
        <v>1509.48</v>
      </c>
      <c r="I2549" s="31">
        <f>IF(COUNTIFS(Addendum!C:C,A2549,Addendum!D:D,IF(ISNUMBER(B2549),TEXT(B2549,"0000"),B2549),Addendum!E:E,"X")&gt;0,4%,0)</f>
        <v>0.04</v>
      </c>
      <c r="J2549" s="31">
        <f>IF(COUNTIFS(Addendum!C:C,A2549,Addendum!D:D,IF(ISNUMBER(B2549),TEXT(B2549,"0000"),B2549),Addendum!F:F,"X")&gt;0,2.5%,0)</f>
        <v>0</v>
      </c>
      <c r="K2549" s="31">
        <f>IF(COUNTIFS(Addendum!C:C,A2549,Addendum!D:D,IF(ISNUMBER(B2549),TEXT(B2549,"0000"),B2549),Addendum!G:G,"X")&gt;0,7%,0)</f>
        <v>0</v>
      </c>
      <c r="L2549" s="31">
        <f>IF(COUNTIFS(Addendum!C:C,A2549,Addendum!D:D,IF(ISNUMBER(B2549),TEXT(B2549,"0000"),B2549),Addendum!I:I,"X")&gt;0,10%,0)</f>
        <v>0</v>
      </c>
      <c r="M2549" s="34">
        <f t="shared" si="78"/>
        <v>0.01</v>
      </c>
      <c r="N2549" s="17">
        <f t="shared" si="79"/>
        <v>1494.3851999999999</v>
      </c>
    </row>
    <row r="2550" spans="1:14" x14ac:dyDescent="0.25">
      <c r="A2550" s="14" t="s">
        <v>959</v>
      </c>
      <c r="B2550" s="14">
        <v>1</v>
      </c>
      <c r="C2550" s="15" t="s">
        <v>958</v>
      </c>
      <c r="D2550" s="14" t="s">
        <v>1745</v>
      </c>
      <c r="E2550" s="14" t="s">
        <v>1747</v>
      </c>
      <c r="F2550" s="17" t="s">
        <v>2993</v>
      </c>
      <c r="G2550" s="14">
        <v>1980</v>
      </c>
      <c r="H2550" s="14">
        <v>1584</v>
      </c>
      <c r="I2550" s="31">
        <f>IF(COUNTIFS(Addendum!C:C,A2550,Addendum!D:D,IF(ISNUMBER(B2550),TEXT(B2550,"0000"),B2550),Addendum!E:E,"X")&gt;0,4%,0)</f>
        <v>0.04</v>
      </c>
      <c r="J2550" s="31">
        <f>IF(COUNTIFS(Addendum!C:C,A2550,Addendum!D:D,IF(ISNUMBER(B2550),TEXT(B2550,"0000"),B2550),Addendum!F:F,"X")&gt;0,2.5%,0)</f>
        <v>0</v>
      </c>
      <c r="K2550" s="31">
        <f>IF(COUNTIFS(Addendum!C:C,A2550,Addendum!D:D,IF(ISNUMBER(B2550),TEXT(B2550,"0000"),B2550),Addendum!G:G,"X")&gt;0,7%,0)</f>
        <v>0</v>
      </c>
      <c r="L2550" s="31">
        <f>IF(COUNTIFS(Addendum!C:C,A2550,Addendum!D:D,IF(ISNUMBER(B2550),TEXT(B2550,"0000"),B2550),Addendum!I:I,"X")&gt;0,10%,0)</f>
        <v>0</v>
      </c>
      <c r="M2550" s="34">
        <f t="shared" si="78"/>
        <v>0.03</v>
      </c>
      <c r="N2550" s="17">
        <f t="shared" si="79"/>
        <v>1536.48</v>
      </c>
    </row>
    <row r="2551" spans="1:14" x14ac:dyDescent="0.25">
      <c r="A2551" s="14" t="s">
        <v>959</v>
      </c>
      <c r="B2551" s="14" t="s">
        <v>16</v>
      </c>
      <c r="C2551" s="15" t="s">
        <v>2509</v>
      </c>
      <c r="D2551" s="14" t="s">
        <v>1745</v>
      </c>
      <c r="E2551" s="14" t="s">
        <v>1746</v>
      </c>
      <c r="F2551" s="17" t="s">
        <v>2995</v>
      </c>
      <c r="G2551" s="14">
        <v>838.68</v>
      </c>
      <c r="H2551" s="14">
        <v>754.8</v>
      </c>
      <c r="I2551" s="31">
        <f>IF(COUNTIFS(Addendum!C:C,A2551,Addendum!D:D,IF(ISNUMBER(B2551),TEXT(B2551,"0000"),B2551),Addendum!E:E,"X")&gt;0,4%,0)</f>
        <v>0.04</v>
      </c>
      <c r="J2551" s="31">
        <f>IF(COUNTIFS(Addendum!C:C,A2551,Addendum!D:D,IF(ISNUMBER(B2551),TEXT(B2551,"0000"),B2551),Addendum!F:F,"X")&gt;0,2.5%,0)</f>
        <v>0</v>
      </c>
      <c r="K2551" s="31">
        <f>IF(COUNTIFS(Addendum!C:C,A2551,Addendum!D:D,IF(ISNUMBER(B2551),TEXT(B2551,"0000"),B2551),Addendum!G:G,"X")&gt;0,7%,0)</f>
        <v>0</v>
      </c>
      <c r="L2551" s="31">
        <f>IF(COUNTIFS(Addendum!C:C,A2551,Addendum!D:D,IF(ISNUMBER(B2551),TEXT(B2551,"0000"),B2551),Addendum!I:I,"X")&gt;0,10%,0)</f>
        <v>0</v>
      </c>
      <c r="M2551" s="34">
        <f t="shared" si="78"/>
        <v>0.01</v>
      </c>
      <c r="N2551" s="17">
        <f t="shared" si="79"/>
        <v>747.25199999999995</v>
      </c>
    </row>
    <row r="2552" spans="1:14" x14ac:dyDescent="0.25">
      <c r="A2552" s="14" t="s">
        <v>959</v>
      </c>
      <c r="B2552" s="14">
        <v>1</v>
      </c>
      <c r="C2552" s="15" t="s">
        <v>958</v>
      </c>
      <c r="D2552" s="14" t="s">
        <v>1749</v>
      </c>
      <c r="E2552" s="14" t="s">
        <v>1746</v>
      </c>
      <c r="F2552" s="17" t="s">
        <v>2993</v>
      </c>
      <c r="G2552" s="14">
        <v>198</v>
      </c>
      <c r="H2552" s="14">
        <v>158.4</v>
      </c>
      <c r="I2552" s="31">
        <f>IF(COUNTIFS(Addendum!C:C,A2552,Addendum!D:D,IF(ISNUMBER(B2552),TEXT(B2552,"0000"),B2552),Addendum!E:E,"X")&gt;0,4%,0)</f>
        <v>0.04</v>
      </c>
      <c r="J2552" s="31">
        <f>IF(COUNTIFS(Addendum!C:C,A2552,Addendum!D:D,IF(ISNUMBER(B2552),TEXT(B2552,"0000"),B2552),Addendum!F:F,"X")&gt;0,2.5%,0)</f>
        <v>0</v>
      </c>
      <c r="K2552" s="31">
        <f>IF(COUNTIFS(Addendum!C:C,A2552,Addendum!D:D,IF(ISNUMBER(B2552),TEXT(B2552,"0000"),B2552),Addendum!G:G,"X")&gt;0,7%,0)</f>
        <v>0</v>
      </c>
      <c r="L2552" s="31">
        <f>IF(COUNTIFS(Addendum!C:C,A2552,Addendum!D:D,IF(ISNUMBER(B2552),TEXT(B2552,"0000"),B2552),Addendum!I:I,"X")&gt;0,10%,0)</f>
        <v>0</v>
      </c>
      <c r="M2552" s="34">
        <f t="shared" si="78"/>
        <v>0.01</v>
      </c>
      <c r="N2552" s="17">
        <f t="shared" si="79"/>
        <v>156.816</v>
      </c>
    </row>
    <row r="2553" spans="1:14" x14ac:dyDescent="0.25">
      <c r="A2553" s="14" t="s">
        <v>959</v>
      </c>
      <c r="B2553" s="14">
        <v>5</v>
      </c>
      <c r="C2553" s="15" t="s">
        <v>961</v>
      </c>
      <c r="D2553" s="14" t="s">
        <v>1745</v>
      </c>
      <c r="E2553" s="14" t="s">
        <v>1747</v>
      </c>
      <c r="F2553" s="17" t="s">
        <v>2993</v>
      </c>
      <c r="G2553" s="14">
        <v>1320</v>
      </c>
      <c r="H2553" s="14">
        <v>1056</v>
      </c>
      <c r="I2553" s="31">
        <f>IF(COUNTIFS(Addendum!C:C,A2553,Addendum!D:D,IF(ISNUMBER(B2553),TEXT(B2553,"0000"),B2553),Addendum!E:E,"X")&gt;0,4%,0)</f>
        <v>0.04</v>
      </c>
      <c r="J2553" s="31">
        <f>IF(COUNTIFS(Addendum!C:C,A2553,Addendum!D:D,IF(ISNUMBER(B2553),TEXT(B2553,"0000"),B2553),Addendum!F:F,"X")&gt;0,2.5%,0)</f>
        <v>0</v>
      </c>
      <c r="K2553" s="31">
        <f>IF(COUNTIFS(Addendum!C:C,A2553,Addendum!D:D,IF(ISNUMBER(B2553),TEXT(B2553,"0000"),B2553),Addendum!G:G,"X")&gt;0,7%,0)</f>
        <v>0</v>
      </c>
      <c r="L2553" s="31">
        <f>IF(COUNTIFS(Addendum!C:C,A2553,Addendum!D:D,IF(ISNUMBER(B2553),TEXT(B2553,"0000"),B2553),Addendum!I:I,"X")&gt;0,10%,0)</f>
        <v>0</v>
      </c>
      <c r="M2553" s="34">
        <f t="shared" si="78"/>
        <v>0.03</v>
      </c>
      <c r="N2553" s="17">
        <f t="shared" si="79"/>
        <v>1024.32</v>
      </c>
    </row>
    <row r="2554" spans="1:14" x14ac:dyDescent="0.25">
      <c r="A2554" s="14" t="s">
        <v>959</v>
      </c>
      <c r="B2554" s="14" t="s">
        <v>24</v>
      </c>
      <c r="C2554" s="15" t="s">
        <v>2510</v>
      </c>
      <c r="D2554" s="14" t="s">
        <v>1745</v>
      </c>
      <c r="E2554" s="14" t="s">
        <v>1747</v>
      </c>
      <c r="F2554" s="17" t="s">
        <v>2994</v>
      </c>
      <c r="G2554" s="14">
        <v>399.36</v>
      </c>
      <c r="H2554" s="14">
        <v>319.49</v>
      </c>
      <c r="I2554" s="31">
        <f>IF(COUNTIFS(Addendum!C:C,A2554,Addendum!D:D,IF(ISNUMBER(B2554),TEXT(B2554,"0000"),B2554),Addendum!E:E,"X")&gt;0,4%,0)</f>
        <v>0.04</v>
      </c>
      <c r="J2554" s="31">
        <f>IF(COUNTIFS(Addendum!C:C,A2554,Addendum!D:D,IF(ISNUMBER(B2554),TEXT(B2554,"0000"),B2554),Addendum!F:F,"X")&gt;0,2.5%,0)</f>
        <v>0</v>
      </c>
      <c r="K2554" s="31">
        <f>IF(COUNTIFS(Addendum!C:C,A2554,Addendum!D:D,IF(ISNUMBER(B2554),TEXT(B2554,"0000"),B2554),Addendum!G:G,"X")&gt;0,7%,0)</f>
        <v>0</v>
      </c>
      <c r="L2554" s="31">
        <f>IF(COUNTIFS(Addendum!C:C,A2554,Addendum!D:D,IF(ISNUMBER(B2554),TEXT(B2554,"0000"),B2554),Addendum!I:I,"X")&gt;0,10%,0)</f>
        <v>0</v>
      </c>
      <c r="M2554" s="34">
        <f t="shared" si="78"/>
        <v>0.03</v>
      </c>
      <c r="N2554" s="17">
        <f t="shared" si="79"/>
        <v>309.90530000000001</v>
      </c>
    </row>
    <row r="2555" spans="1:14" x14ac:dyDescent="0.25">
      <c r="A2555" s="14" t="s">
        <v>959</v>
      </c>
      <c r="B2555" s="14">
        <v>9</v>
      </c>
      <c r="C2555" s="15" t="s">
        <v>2511</v>
      </c>
      <c r="D2555" s="14" t="s">
        <v>1745</v>
      </c>
      <c r="E2555" s="14" t="s">
        <v>1746</v>
      </c>
      <c r="F2555" s="17" t="s">
        <v>2994</v>
      </c>
      <c r="G2555" s="14">
        <v>314.52</v>
      </c>
      <c r="H2555" s="14">
        <v>251.64</v>
      </c>
      <c r="I2555" s="31">
        <f>IF(COUNTIFS(Addendum!C:C,A2555,Addendum!D:D,IF(ISNUMBER(B2555),TEXT(B2555,"0000"),B2555),Addendum!E:E,"X")&gt;0,4%,0)</f>
        <v>0.04</v>
      </c>
      <c r="J2555" s="31">
        <f>IF(COUNTIFS(Addendum!C:C,A2555,Addendum!D:D,IF(ISNUMBER(B2555),TEXT(B2555,"0000"),B2555),Addendum!F:F,"X")&gt;0,2.5%,0)</f>
        <v>0</v>
      </c>
      <c r="K2555" s="31">
        <f>IF(COUNTIFS(Addendum!C:C,A2555,Addendum!D:D,IF(ISNUMBER(B2555),TEXT(B2555,"0000"),B2555),Addendum!G:G,"X")&gt;0,7%,0)</f>
        <v>0</v>
      </c>
      <c r="L2555" s="31">
        <f>IF(COUNTIFS(Addendum!C:C,A2555,Addendum!D:D,IF(ISNUMBER(B2555),TEXT(B2555,"0000"),B2555),Addendum!I:I,"X")&gt;0,10%,0)</f>
        <v>0</v>
      </c>
      <c r="M2555" s="34">
        <f t="shared" si="78"/>
        <v>0.01</v>
      </c>
      <c r="N2555" s="17">
        <f t="shared" si="79"/>
        <v>249.12359999999998</v>
      </c>
    </row>
    <row r="2556" spans="1:14" x14ac:dyDescent="0.25">
      <c r="A2556" s="14" t="s">
        <v>959</v>
      </c>
      <c r="B2556" s="14" t="s">
        <v>24</v>
      </c>
      <c r="C2556" s="15" t="s">
        <v>2510</v>
      </c>
      <c r="D2556" s="14" t="s">
        <v>1745</v>
      </c>
      <c r="E2556" s="14" t="s">
        <v>1746</v>
      </c>
      <c r="F2556" s="17" t="s">
        <v>2994</v>
      </c>
      <c r="G2556" s="14">
        <v>419.28</v>
      </c>
      <c r="H2556" s="14">
        <v>335.52</v>
      </c>
      <c r="I2556" s="31">
        <f>IF(COUNTIFS(Addendum!C:C,A2556,Addendum!D:D,IF(ISNUMBER(B2556),TEXT(B2556,"0000"),B2556),Addendum!E:E,"X")&gt;0,4%,0)</f>
        <v>0.04</v>
      </c>
      <c r="J2556" s="31">
        <f>IF(COUNTIFS(Addendum!C:C,A2556,Addendum!D:D,IF(ISNUMBER(B2556),TEXT(B2556,"0000"),B2556),Addendum!F:F,"X")&gt;0,2.5%,0)</f>
        <v>0</v>
      </c>
      <c r="K2556" s="31">
        <f>IF(COUNTIFS(Addendum!C:C,A2556,Addendum!D:D,IF(ISNUMBER(B2556),TEXT(B2556,"0000"),B2556),Addendum!G:G,"X")&gt;0,7%,0)</f>
        <v>0</v>
      </c>
      <c r="L2556" s="31">
        <f>IF(COUNTIFS(Addendum!C:C,A2556,Addendum!D:D,IF(ISNUMBER(B2556),TEXT(B2556,"0000"),B2556),Addendum!I:I,"X")&gt;0,10%,0)</f>
        <v>0</v>
      </c>
      <c r="M2556" s="34">
        <f t="shared" si="78"/>
        <v>0.01</v>
      </c>
      <c r="N2556" s="17">
        <f t="shared" si="79"/>
        <v>332.16479999999996</v>
      </c>
    </row>
    <row r="2557" spans="1:14" x14ac:dyDescent="0.25">
      <c r="A2557" s="14" t="s">
        <v>959</v>
      </c>
      <c r="B2557" s="14" t="s">
        <v>24</v>
      </c>
      <c r="C2557" s="15" t="s">
        <v>2510</v>
      </c>
      <c r="D2557" s="14" t="s">
        <v>1749</v>
      </c>
      <c r="E2557" s="14" t="s">
        <v>1746</v>
      </c>
      <c r="F2557" s="17" t="s">
        <v>2994</v>
      </c>
      <c r="G2557" s="14">
        <v>39.94</v>
      </c>
      <c r="H2557" s="14">
        <v>31.95</v>
      </c>
      <c r="I2557" s="31">
        <f>IF(COUNTIFS(Addendum!C:C,A2557,Addendum!D:D,IF(ISNUMBER(B2557),TEXT(B2557,"0000"),B2557),Addendum!E:E,"X")&gt;0,4%,0)</f>
        <v>0.04</v>
      </c>
      <c r="J2557" s="31">
        <f>IF(COUNTIFS(Addendum!C:C,A2557,Addendum!D:D,IF(ISNUMBER(B2557),TEXT(B2557,"0000"),B2557),Addendum!F:F,"X")&gt;0,2.5%,0)</f>
        <v>0</v>
      </c>
      <c r="K2557" s="31">
        <f>IF(COUNTIFS(Addendum!C:C,A2557,Addendum!D:D,IF(ISNUMBER(B2557),TEXT(B2557,"0000"),B2557),Addendum!G:G,"X")&gt;0,7%,0)</f>
        <v>0</v>
      </c>
      <c r="L2557" s="31">
        <f>IF(COUNTIFS(Addendum!C:C,A2557,Addendum!D:D,IF(ISNUMBER(B2557),TEXT(B2557,"0000"),B2557),Addendum!I:I,"X")&gt;0,10%,0)</f>
        <v>0</v>
      </c>
      <c r="M2557" s="34">
        <f t="shared" si="78"/>
        <v>0.01</v>
      </c>
      <c r="N2557" s="17">
        <f t="shared" si="79"/>
        <v>31.630499999999998</v>
      </c>
    </row>
    <row r="2558" spans="1:14" x14ac:dyDescent="0.25">
      <c r="A2558" s="14" t="s">
        <v>959</v>
      </c>
      <c r="B2558" s="14">
        <v>9</v>
      </c>
      <c r="C2558" s="15" t="s">
        <v>2511</v>
      </c>
      <c r="D2558" s="14" t="s">
        <v>1745</v>
      </c>
      <c r="E2558" s="14" t="s">
        <v>1747</v>
      </c>
      <c r="F2558" s="17" t="s">
        <v>2994</v>
      </c>
      <c r="G2558" s="14">
        <v>299.52</v>
      </c>
      <c r="H2558" s="14">
        <v>239.62</v>
      </c>
      <c r="I2558" s="31">
        <f>IF(COUNTIFS(Addendum!C:C,A2558,Addendum!D:D,IF(ISNUMBER(B2558),TEXT(B2558,"0000"),B2558),Addendum!E:E,"X")&gt;0,4%,0)</f>
        <v>0.04</v>
      </c>
      <c r="J2558" s="31">
        <f>IF(COUNTIFS(Addendum!C:C,A2558,Addendum!D:D,IF(ISNUMBER(B2558),TEXT(B2558,"0000"),B2558),Addendum!F:F,"X")&gt;0,2.5%,0)</f>
        <v>0</v>
      </c>
      <c r="K2558" s="31">
        <f>IF(COUNTIFS(Addendum!C:C,A2558,Addendum!D:D,IF(ISNUMBER(B2558),TEXT(B2558,"0000"),B2558),Addendum!G:G,"X")&gt;0,7%,0)</f>
        <v>0</v>
      </c>
      <c r="L2558" s="31">
        <f>IF(COUNTIFS(Addendum!C:C,A2558,Addendum!D:D,IF(ISNUMBER(B2558),TEXT(B2558,"0000"),B2558),Addendum!I:I,"X")&gt;0,10%,0)</f>
        <v>0</v>
      </c>
      <c r="M2558" s="34">
        <f t="shared" si="78"/>
        <v>0.03</v>
      </c>
      <c r="N2558" s="17">
        <f t="shared" si="79"/>
        <v>232.4314</v>
      </c>
    </row>
    <row r="2559" spans="1:14" x14ac:dyDescent="0.25">
      <c r="A2559" s="14" t="s">
        <v>959</v>
      </c>
      <c r="B2559" s="14">
        <v>5</v>
      </c>
      <c r="C2559" s="15" t="s">
        <v>961</v>
      </c>
      <c r="D2559" s="14" t="s">
        <v>1749</v>
      </c>
      <c r="E2559" s="14" t="s">
        <v>1746</v>
      </c>
      <c r="F2559" s="17" t="s">
        <v>2993</v>
      </c>
      <c r="G2559" s="14">
        <v>132</v>
      </c>
      <c r="H2559" s="14">
        <v>105.6</v>
      </c>
      <c r="I2559" s="31">
        <f>IF(COUNTIFS(Addendum!C:C,A2559,Addendum!D:D,IF(ISNUMBER(B2559),TEXT(B2559,"0000"),B2559),Addendum!E:E,"X")&gt;0,4%,0)</f>
        <v>0.04</v>
      </c>
      <c r="J2559" s="31">
        <f>IF(COUNTIFS(Addendum!C:C,A2559,Addendum!D:D,IF(ISNUMBER(B2559),TEXT(B2559,"0000"),B2559),Addendum!F:F,"X")&gt;0,2.5%,0)</f>
        <v>0</v>
      </c>
      <c r="K2559" s="31">
        <f>IF(COUNTIFS(Addendum!C:C,A2559,Addendum!D:D,IF(ISNUMBER(B2559),TEXT(B2559,"0000"),B2559),Addendum!G:G,"X")&gt;0,7%,0)</f>
        <v>0</v>
      </c>
      <c r="L2559" s="31">
        <f>IF(COUNTIFS(Addendum!C:C,A2559,Addendum!D:D,IF(ISNUMBER(B2559),TEXT(B2559,"0000"),B2559),Addendum!I:I,"X")&gt;0,10%,0)</f>
        <v>0</v>
      </c>
      <c r="M2559" s="34">
        <f t="shared" si="78"/>
        <v>0.01</v>
      </c>
      <c r="N2559" s="17">
        <f t="shared" si="79"/>
        <v>104.544</v>
      </c>
    </row>
    <row r="2560" spans="1:14" x14ac:dyDescent="0.25">
      <c r="A2560" s="14" t="s">
        <v>959</v>
      </c>
      <c r="B2560" s="14">
        <v>1</v>
      </c>
      <c r="C2560" s="15" t="s">
        <v>958</v>
      </c>
      <c r="D2560" s="14" t="s">
        <v>1745</v>
      </c>
      <c r="E2560" s="14" t="s">
        <v>1746</v>
      </c>
      <c r="F2560" s="17" t="s">
        <v>2993</v>
      </c>
      <c r="G2560" s="14">
        <v>2079</v>
      </c>
      <c r="H2560" s="14">
        <v>1663.2</v>
      </c>
      <c r="I2560" s="31">
        <f>IF(COUNTIFS(Addendum!C:C,A2560,Addendum!D:D,IF(ISNUMBER(B2560),TEXT(B2560,"0000"),B2560),Addendum!E:E,"X")&gt;0,4%,0)</f>
        <v>0.04</v>
      </c>
      <c r="J2560" s="31">
        <f>IF(COUNTIFS(Addendum!C:C,A2560,Addendum!D:D,IF(ISNUMBER(B2560),TEXT(B2560,"0000"),B2560),Addendum!F:F,"X")&gt;0,2.5%,0)</f>
        <v>0</v>
      </c>
      <c r="K2560" s="31">
        <f>IF(COUNTIFS(Addendum!C:C,A2560,Addendum!D:D,IF(ISNUMBER(B2560),TEXT(B2560,"0000"),B2560),Addendum!G:G,"X")&gt;0,7%,0)</f>
        <v>0</v>
      </c>
      <c r="L2560" s="31">
        <f>IF(COUNTIFS(Addendum!C:C,A2560,Addendum!D:D,IF(ISNUMBER(B2560),TEXT(B2560,"0000"),B2560),Addendum!I:I,"X")&gt;0,10%,0)</f>
        <v>0</v>
      </c>
      <c r="M2560" s="34">
        <f t="shared" si="78"/>
        <v>0.01</v>
      </c>
      <c r="N2560" s="17">
        <f t="shared" si="79"/>
        <v>1646.568</v>
      </c>
    </row>
    <row r="2561" spans="1:14" x14ac:dyDescent="0.25">
      <c r="A2561" s="14" t="s">
        <v>959</v>
      </c>
      <c r="B2561" s="14">
        <v>9</v>
      </c>
      <c r="C2561" s="15" t="s">
        <v>2511</v>
      </c>
      <c r="D2561" s="14" t="s">
        <v>1749</v>
      </c>
      <c r="E2561" s="14" t="s">
        <v>1746</v>
      </c>
      <c r="F2561" s="17" t="s">
        <v>2994</v>
      </c>
      <c r="G2561" s="14">
        <v>29.95</v>
      </c>
      <c r="H2561" s="14">
        <v>23.96</v>
      </c>
      <c r="I2561" s="31">
        <f>IF(COUNTIFS(Addendum!C:C,A2561,Addendum!D:D,IF(ISNUMBER(B2561),TEXT(B2561,"0000"),B2561),Addendum!E:E,"X")&gt;0,4%,0)</f>
        <v>0.04</v>
      </c>
      <c r="J2561" s="31">
        <f>IF(COUNTIFS(Addendum!C:C,A2561,Addendum!D:D,IF(ISNUMBER(B2561),TEXT(B2561,"0000"),B2561),Addendum!F:F,"X")&gt;0,2.5%,0)</f>
        <v>0</v>
      </c>
      <c r="K2561" s="31">
        <f>IF(COUNTIFS(Addendum!C:C,A2561,Addendum!D:D,IF(ISNUMBER(B2561),TEXT(B2561,"0000"),B2561),Addendum!G:G,"X")&gt;0,7%,0)</f>
        <v>0</v>
      </c>
      <c r="L2561" s="31">
        <f>IF(COUNTIFS(Addendum!C:C,A2561,Addendum!D:D,IF(ISNUMBER(B2561),TEXT(B2561,"0000"),B2561),Addendum!I:I,"X")&gt;0,10%,0)</f>
        <v>0</v>
      </c>
      <c r="M2561" s="34">
        <f t="shared" si="78"/>
        <v>0.01</v>
      </c>
      <c r="N2561" s="17">
        <f t="shared" si="79"/>
        <v>23.720400000000001</v>
      </c>
    </row>
    <row r="2562" spans="1:14" x14ac:dyDescent="0.25">
      <c r="A2562" s="14" t="s">
        <v>959</v>
      </c>
      <c r="B2562" s="14" t="s">
        <v>16</v>
      </c>
      <c r="C2562" s="15" t="s">
        <v>2509</v>
      </c>
      <c r="D2562" s="14" t="s">
        <v>1749</v>
      </c>
      <c r="E2562" s="14" t="s">
        <v>1746</v>
      </c>
      <c r="F2562" s="17" t="s">
        <v>2995</v>
      </c>
      <c r="G2562" s="14">
        <v>79.87</v>
      </c>
      <c r="H2562" s="14">
        <v>71.88</v>
      </c>
      <c r="I2562" s="31">
        <f>IF(COUNTIFS(Addendum!C:C,A2562,Addendum!D:D,IF(ISNUMBER(B2562),TEXT(B2562,"0000"),B2562),Addendum!E:E,"X")&gt;0,4%,0)</f>
        <v>0.04</v>
      </c>
      <c r="J2562" s="31">
        <f>IF(COUNTIFS(Addendum!C:C,A2562,Addendum!D:D,IF(ISNUMBER(B2562),TEXT(B2562,"0000"),B2562),Addendum!F:F,"X")&gt;0,2.5%,0)</f>
        <v>0</v>
      </c>
      <c r="K2562" s="31">
        <f>IF(COUNTIFS(Addendum!C:C,A2562,Addendum!D:D,IF(ISNUMBER(B2562),TEXT(B2562,"0000"),B2562),Addendum!G:G,"X")&gt;0,7%,0)</f>
        <v>0</v>
      </c>
      <c r="L2562" s="31">
        <f>IF(COUNTIFS(Addendum!C:C,A2562,Addendum!D:D,IF(ISNUMBER(B2562),TEXT(B2562,"0000"),B2562),Addendum!I:I,"X")&gt;0,10%,0)</f>
        <v>0</v>
      </c>
      <c r="M2562" s="34">
        <f t="shared" si="78"/>
        <v>0.01</v>
      </c>
      <c r="N2562" s="17">
        <f t="shared" si="79"/>
        <v>71.161199999999994</v>
      </c>
    </row>
    <row r="2563" spans="1:14" x14ac:dyDescent="0.25">
      <c r="A2563" s="14" t="s">
        <v>959</v>
      </c>
      <c r="B2563" s="14" t="s">
        <v>16</v>
      </c>
      <c r="C2563" s="15" t="s">
        <v>2509</v>
      </c>
      <c r="D2563" s="14" t="s">
        <v>1745</v>
      </c>
      <c r="E2563" s="14" t="s">
        <v>1747</v>
      </c>
      <c r="F2563" s="17" t="s">
        <v>2995</v>
      </c>
      <c r="G2563" s="14">
        <v>798.72</v>
      </c>
      <c r="H2563" s="14">
        <v>718.85</v>
      </c>
      <c r="I2563" s="31">
        <f>IF(COUNTIFS(Addendum!C:C,A2563,Addendum!D:D,IF(ISNUMBER(B2563),TEXT(B2563,"0000"),B2563),Addendum!E:E,"X")&gt;0,4%,0)</f>
        <v>0.04</v>
      </c>
      <c r="J2563" s="31">
        <f>IF(COUNTIFS(Addendum!C:C,A2563,Addendum!D:D,IF(ISNUMBER(B2563),TEXT(B2563,"0000"),B2563),Addendum!F:F,"X")&gt;0,2.5%,0)</f>
        <v>0</v>
      </c>
      <c r="K2563" s="31">
        <f>IF(COUNTIFS(Addendum!C:C,A2563,Addendum!D:D,IF(ISNUMBER(B2563),TEXT(B2563,"0000"),B2563),Addendum!G:G,"X")&gt;0,7%,0)</f>
        <v>0</v>
      </c>
      <c r="L2563" s="31">
        <f>IF(COUNTIFS(Addendum!C:C,A2563,Addendum!D:D,IF(ISNUMBER(B2563),TEXT(B2563,"0000"),B2563),Addendum!I:I,"X")&gt;0,10%,0)</f>
        <v>0</v>
      </c>
      <c r="M2563" s="34">
        <f t="shared" si="78"/>
        <v>0.03</v>
      </c>
      <c r="N2563" s="17">
        <f t="shared" si="79"/>
        <v>697.28449999999998</v>
      </c>
    </row>
    <row r="2564" spans="1:14" x14ac:dyDescent="0.25">
      <c r="A2564" s="14" t="s">
        <v>959</v>
      </c>
      <c r="B2564" s="14">
        <v>5</v>
      </c>
      <c r="C2564" s="15" t="s">
        <v>961</v>
      </c>
      <c r="D2564" s="14" t="s">
        <v>1745</v>
      </c>
      <c r="E2564" s="14" t="s">
        <v>1746</v>
      </c>
      <c r="F2564" s="17" t="s">
        <v>2993</v>
      </c>
      <c r="G2564" s="14">
        <v>1386</v>
      </c>
      <c r="H2564" s="14">
        <v>1108.8</v>
      </c>
      <c r="I2564" s="31">
        <f>IF(COUNTIFS(Addendum!C:C,A2564,Addendum!D:D,IF(ISNUMBER(B2564),TEXT(B2564,"0000"),B2564),Addendum!E:E,"X")&gt;0,4%,0)</f>
        <v>0.04</v>
      </c>
      <c r="J2564" s="31">
        <f>IF(COUNTIFS(Addendum!C:C,A2564,Addendum!D:D,IF(ISNUMBER(B2564),TEXT(B2564,"0000"),B2564),Addendum!F:F,"X")&gt;0,2.5%,0)</f>
        <v>0</v>
      </c>
      <c r="K2564" s="31">
        <f>IF(COUNTIFS(Addendum!C:C,A2564,Addendum!D:D,IF(ISNUMBER(B2564),TEXT(B2564,"0000"),B2564),Addendum!G:G,"X")&gt;0,7%,0)</f>
        <v>0</v>
      </c>
      <c r="L2564" s="31">
        <f>IF(COUNTIFS(Addendum!C:C,A2564,Addendum!D:D,IF(ISNUMBER(B2564),TEXT(B2564,"0000"),B2564),Addendum!I:I,"X")&gt;0,10%,0)</f>
        <v>0</v>
      </c>
      <c r="M2564" s="34">
        <f t="shared" ref="M2564:M2627" si="80">IF(AND(I2564=0%,J2564=0%,K2564=0%,L2564=0%),0%,
IF(OR(TRIM(E2564)="OneTime",TRIM(D2564)=""),0%,
IF(
OR(
TRIM(D2564)="P1M",
AND(TRIM(D2564)="P1Y",TRIM(E2564)="Monthly"),
AND(TRIM(D2564)="P3Y",TRIM(E2564)="Monthly")
),
IF(AND(I2564=4%,J2564=0%,K2564=0%,L2564=0%),1%,
IF(AND(I2564=4%,J2564=2.5%,K2564=0%,L2564=10%),2%,
IF(AND(I2564=4%,J2564=0%,K2564=7%,L2564=10%),3%,0%))),
IF(
OR(
AND(TRIM(D2564)="P1Y",TRIM(E2564)="Annual"),
AND(TRIM(D2564)="P3Y",TRIM(E2564)="Annual"),
AND(TRIM(D2564)="P3Y",TRIM(E2564)="Triennial")
),
IF(AND(I2564=4%,J2564=0%,K2564=0%,L2564=0%),3%,
IF(AND(I2564=4%,J2564=2.5%,K2564=0%,L2564=10%),10%,
IF(AND(I2564=4%,J2564=0%,K2564=7%,L2564=10%),14%,0%))),
0%
))))</f>
        <v>0.01</v>
      </c>
      <c r="N2564" s="17">
        <f t="shared" ref="N2564:N2627" si="81">H2564-(H2564*M2564)</f>
        <v>1097.712</v>
      </c>
    </row>
    <row r="2565" spans="1:14" x14ac:dyDescent="0.25">
      <c r="A2565" s="14" t="s">
        <v>2512</v>
      </c>
      <c r="B2565" s="14">
        <v>6</v>
      </c>
      <c r="C2565" s="15" t="s">
        <v>2513</v>
      </c>
      <c r="D2565" s="14" t="s">
        <v>1749</v>
      </c>
      <c r="E2565" s="14" t="s">
        <v>1746</v>
      </c>
      <c r="F2565" s="17" t="s">
        <v>2993</v>
      </c>
      <c r="G2565" s="14">
        <v>402</v>
      </c>
      <c r="H2565" s="14">
        <v>321.60000000000002</v>
      </c>
      <c r="I2565" s="31">
        <f>IF(COUNTIFS(Addendum!C:C,A2565,Addendum!D:D,IF(ISNUMBER(B2565),TEXT(B2565,"0000"),B2565),Addendum!E:E,"X")&gt;0,4%,0)</f>
        <v>0</v>
      </c>
      <c r="J2565" s="31">
        <f>IF(COUNTIFS(Addendum!C:C,A2565,Addendum!D:D,IF(ISNUMBER(B2565),TEXT(B2565,"0000"),B2565),Addendum!F:F,"X")&gt;0,2.5%,0)</f>
        <v>0</v>
      </c>
      <c r="K2565" s="31">
        <f>IF(COUNTIFS(Addendum!C:C,A2565,Addendum!D:D,IF(ISNUMBER(B2565),TEXT(B2565,"0000"),B2565),Addendum!G:G,"X")&gt;0,7%,0)</f>
        <v>0</v>
      </c>
      <c r="L2565" s="31">
        <f>IF(COUNTIFS(Addendum!C:C,A2565,Addendum!D:D,IF(ISNUMBER(B2565),TEXT(B2565,"0000"),B2565),Addendum!I:I,"X")&gt;0,10%,0)</f>
        <v>0</v>
      </c>
      <c r="M2565" s="34">
        <f t="shared" si="80"/>
        <v>0</v>
      </c>
      <c r="N2565" s="17">
        <f t="shared" si="81"/>
        <v>321.60000000000002</v>
      </c>
    </row>
    <row r="2566" spans="1:14" x14ac:dyDescent="0.25">
      <c r="A2566" s="14" t="s">
        <v>2512</v>
      </c>
      <c r="B2566" s="14">
        <v>4</v>
      </c>
      <c r="C2566" s="15" t="s">
        <v>2514</v>
      </c>
      <c r="D2566" s="14" t="s">
        <v>1745</v>
      </c>
      <c r="E2566" s="14" t="s">
        <v>1746</v>
      </c>
      <c r="F2566" s="17" t="s">
        <v>2993</v>
      </c>
      <c r="G2566" s="14">
        <v>2772</v>
      </c>
      <c r="H2566" s="14">
        <v>2217.6</v>
      </c>
      <c r="I2566" s="31">
        <f>IF(COUNTIFS(Addendum!C:C,A2566,Addendum!D:D,IF(ISNUMBER(B2566),TEXT(B2566,"0000"),B2566),Addendum!E:E,"X")&gt;0,4%,0)</f>
        <v>0</v>
      </c>
      <c r="J2566" s="31">
        <f>IF(COUNTIFS(Addendum!C:C,A2566,Addendum!D:D,IF(ISNUMBER(B2566),TEXT(B2566,"0000"),B2566),Addendum!F:F,"X")&gt;0,2.5%,0)</f>
        <v>0</v>
      </c>
      <c r="K2566" s="31">
        <f>IF(COUNTIFS(Addendum!C:C,A2566,Addendum!D:D,IF(ISNUMBER(B2566),TEXT(B2566,"0000"),B2566),Addendum!G:G,"X")&gt;0,7%,0)</f>
        <v>0</v>
      </c>
      <c r="L2566" s="31">
        <f>IF(COUNTIFS(Addendum!C:C,A2566,Addendum!D:D,IF(ISNUMBER(B2566),TEXT(B2566,"0000"),B2566),Addendum!I:I,"X")&gt;0,10%,0)</f>
        <v>0</v>
      </c>
      <c r="M2566" s="34">
        <f t="shared" si="80"/>
        <v>0</v>
      </c>
      <c r="N2566" s="17">
        <f t="shared" si="81"/>
        <v>2217.6</v>
      </c>
    </row>
    <row r="2567" spans="1:14" x14ac:dyDescent="0.25">
      <c r="A2567" s="14" t="s">
        <v>2512</v>
      </c>
      <c r="B2567" s="14">
        <v>4</v>
      </c>
      <c r="C2567" s="15" t="s">
        <v>2514</v>
      </c>
      <c r="D2567" s="14" t="s">
        <v>1749</v>
      </c>
      <c r="E2567" s="14" t="s">
        <v>1746</v>
      </c>
      <c r="F2567" s="17" t="s">
        <v>2993</v>
      </c>
      <c r="G2567" s="14">
        <v>264</v>
      </c>
      <c r="H2567" s="14">
        <v>211.2</v>
      </c>
      <c r="I2567" s="31">
        <f>IF(COUNTIFS(Addendum!C:C,A2567,Addendum!D:D,IF(ISNUMBER(B2567),TEXT(B2567,"0000"),B2567),Addendum!E:E,"X")&gt;0,4%,0)</f>
        <v>0</v>
      </c>
      <c r="J2567" s="31">
        <f>IF(COUNTIFS(Addendum!C:C,A2567,Addendum!D:D,IF(ISNUMBER(B2567),TEXT(B2567,"0000"),B2567),Addendum!F:F,"X")&gt;0,2.5%,0)</f>
        <v>0</v>
      </c>
      <c r="K2567" s="31">
        <f>IF(COUNTIFS(Addendum!C:C,A2567,Addendum!D:D,IF(ISNUMBER(B2567),TEXT(B2567,"0000"),B2567),Addendum!G:G,"X")&gt;0,7%,0)</f>
        <v>0</v>
      </c>
      <c r="L2567" s="31">
        <f>IF(COUNTIFS(Addendum!C:C,A2567,Addendum!D:D,IF(ISNUMBER(B2567),TEXT(B2567,"0000"),B2567),Addendum!I:I,"X")&gt;0,10%,0)</f>
        <v>0</v>
      </c>
      <c r="M2567" s="34">
        <f t="shared" si="80"/>
        <v>0</v>
      </c>
      <c r="N2567" s="17">
        <f t="shared" si="81"/>
        <v>211.2</v>
      </c>
    </row>
    <row r="2568" spans="1:14" x14ac:dyDescent="0.25">
      <c r="A2568" s="14" t="s">
        <v>2512</v>
      </c>
      <c r="B2568" s="14" t="s">
        <v>173</v>
      </c>
      <c r="C2568" s="15" t="s">
        <v>2515</v>
      </c>
      <c r="D2568" s="14" t="s">
        <v>1745</v>
      </c>
      <c r="E2568" s="14" t="s">
        <v>1746</v>
      </c>
      <c r="F2568" s="17" t="s">
        <v>2994</v>
      </c>
      <c r="G2568" s="14">
        <v>629.04</v>
      </c>
      <c r="H2568" s="14">
        <v>503.16</v>
      </c>
      <c r="I2568" s="31">
        <f>IF(COUNTIFS(Addendum!C:C,A2568,Addendum!D:D,IF(ISNUMBER(B2568),TEXT(B2568,"0000"),B2568),Addendum!E:E,"X")&gt;0,4%,0)</f>
        <v>0</v>
      </c>
      <c r="J2568" s="31">
        <f>IF(COUNTIFS(Addendum!C:C,A2568,Addendum!D:D,IF(ISNUMBER(B2568),TEXT(B2568,"0000"),B2568),Addendum!F:F,"X")&gt;0,2.5%,0)</f>
        <v>0</v>
      </c>
      <c r="K2568" s="31">
        <f>IF(COUNTIFS(Addendum!C:C,A2568,Addendum!D:D,IF(ISNUMBER(B2568),TEXT(B2568,"0000"),B2568),Addendum!G:G,"X")&gt;0,7%,0)</f>
        <v>0</v>
      </c>
      <c r="L2568" s="31">
        <f>IF(COUNTIFS(Addendum!C:C,A2568,Addendum!D:D,IF(ISNUMBER(B2568),TEXT(B2568,"0000"),B2568),Addendum!I:I,"X")&gt;0,10%,0)</f>
        <v>0</v>
      </c>
      <c r="M2568" s="34">
        <f t="shared" si="80"/>
        <v>0</v>
      </c>
      <c r="N2568" s="17">
        <f t="shared" si="81"/>
        <v>503.16</v>
      </c>
    </row>
    <row r="2569" spans="1:14" x14ac:dyDescent="0.25">
      <c r="A2569" s="14" t="s">
        <v>2512</v>
      </c>
      <c r="B2569" s="14" t="s">
        <v>325</v>
      </c>
      <c r="C2569" s="15" t="s">
        <v>2516</v>
      </c>
      <c r="D2569" s="14" t="s">
        <v>1745</v>
      </c>
      <c r="E2569" s="14" t="s">
        <v>1746</v>
      </c>
      <c r="F2569" s="17" t="s">
        <v>2995</v>
      </c>
      <c r="G2569" s="14">
        <v>2079</v>
      </c>
      <c r="H2569" s="14">
        <v>1871.16</v>
      </c>
      <c r="I2569" s="31">
        <f>IF(COUNTIFS(Addendum!C:C,A2569,Addendum!D:D,IF(ISNUMBER(B2569),TEXT(B2569,"0000"),B2569),Addendum!E:E,"X")&gt;0,4%,0)</f>
        <v>0</v>
      </c>
      <c r="J2569" s="31">
        <f>IF(COUNTIFS(Addendum!C:C,A2569,Addendum!D:D,IF(ISNUMBER(B2569),TEXT(B2569,"0000"),B2569),Addendum!F:F,"X")&gt;0,2.5%,0)</f>
        <v>0</v>
      </c>
      <c r="K2569" s="31">
        <f>IF(COUNTIFS(Addendum!C:C,A2569,Addendum!D:D,IF(ISNUMBER(B2569),TEXT(B2569,"0000"),B2569),Addendum!G:G,"X")&gt;0,7%,0)</f>
        <v>0</v>
      </c>
      <c r="L2569" s="31">
        <f>IF(COUNTIFS(Addendum!C:C,A2569,Addendum!D:D,IF(ISNUMBER(B2569),TEXT(B2569,"0000"),B2569),Addendum!I:I,"X")&gt;0,10%,0)</f>
        <v>0</v>
      </c>
      <c r="M2569" s="34">
        <f t="shared" si="80"/>
        <v>0</v>
      </c>
      <c r="N2569" s="17">
        <f t="shared" si="81"/>
        <v>1871.16</v>
      </c>
    </row>
    <row r="2570" spans="1:14" x14ac:dyDescent="0.25">
      <c r="A2570" s="14" t="s">
        <v>2512</v>
      </c>
      <c r="B2570" s="14" t="s">
        <v>325</v>
      </c>
      <c r="C2570" s="15" t="s">
        <v>2516</v>
      </c>
      <c r="D2570" s="14" t="s">
        <v>1749</v>
      </c>
      <c r="E2570" s="14" t="s">
        <v>1746</v>
      </c>
      <c r="F2570" s="17" t="s">
        <v>2995</v>
      </c>
      <c r="G2570" s="14">
        <v>198</v>
      </c>
      <c r="H2570" s="14">
        <v>178.2</v>
      </c>
      <c r="I2570" s="31">
        <f>IF(COUNTIFS(Addendum!C:C,A2570,Addendum!D:D,IF(ISNUMBER(B2570),TEXT(B2570,"0000"),B2570),Addendum!E:E,"X")&gt;0,4%,0)</f>
        <v>0</v>
      </c>
      <c r="J2570" s="31">
        <f>IF(COUNTIFS(Addendum!C:C,A2570,Addendum!D:D,IF(ISNUMBER(B2570),TEXT(B2570,"0000"),B2570),Addendum!F:F,"X")&gt;0,2.5%,0)</f>
        <v>0</v>
      </c>
      <c r="K2570" s="31">
        <f>IF(COUNTIFS(Addendum!C:C,A2570,Addendum!D:D,IF(ISNUMBER(B2570),TEXT(B2570,"0000"),B2570),Addendum!G:G,"X")&gt;0,7%,0)</f>
        <v>0</v>
      </c>
      <c r="L2570" s="31">
        <f>IF(COUNTIFS(Addendum!C:C,A2570,Addendum!D:D,IF(ISNUMBER(B2570),TEXT(B2570,"0000"),B2570),Addendum!I:I,"X")&gt;0,10%,0)</f>
        <v>0</v>
      </c>
      <c r="M2570" s="34">
        <f t="shared" si="80"/>
        <v>0</v>
      </c>
      <c r="N2570" s="17">
        <f t="shared" si="81"/>
        <v>178.2</v>
      </c>
    </row>
    <row r="2571" spans="1:14" x14ac:dyDescent="0.25">
      <c r="A2571" s="14" t="s">
        <v>2512</v>
      </c>
      <c r="B2571" s="14" t="s">
        <v>173</v>
      </c>
      <c r="C2571" s="15" t="s">
        <v>2515</v>
      </c>
      <c r="D2571" s="14" t="s">
        <v>1745</v>
      </c>
      <c r="E2571" s="14" t="s">
        <v>1747</v>
      </c>
      <c r="F2571" s="17" t="s">
        <v>2994</v>
      </c>
      <c r="G2571" s="14">
        <v>599.04</v>
      </c>
      <c r="H2571" s="14">
        <v>479.23</v>
      </c>
      <c r="I2571" s="31">
        <f>IF(COUNTIFS(Addendum!C:C,A2571,Addendum!D:D,IF(ISNUMBER(B2571),TEXT(B2571,"0000"),B2571),Addendum!E:E,"X")&gt;0,4%,0)</f>
        <v>0</v>
      </c>
      <c r="J2571" s="31">
        <f>IF(COUNTIFS(Addendum!C:C,A2571,Addendum!D:D,IF(ISNUMBER(B2571),TEXT(B2571,"0000"),B2571),Addendum!F:F,"X")&gt;0,2.5%,0)</f>
        <v>0</v>
      </c>
      <c r="K2571" s="31">
        <f>IF(COUNTIFS(Addendum!C:C,A2571,Addendum!D:D,IF(ISNUMBER(B2571),TEXT(B2571,"0000"),B2571),Addendum!G:G,"X")&gt;0,7%,0)</f>
        <v>0</v>
      </c>
      <c r="L2571" s="31">
        <f>IF(COUNTIFS(Addendum!C:C,A2571,Addendum!D:D,IF(ISNUMBER(B2571),TEXT(B2571,"0000"),B2571),Addendum!I:I,"X")&gt;0,10%,0)</f>
        <v>0</v>
      </c>
      <c r="M2571" s="34">
        <f t="shared" si="80"/>
        <v>0</v>
      </c>
      <c r="N2571" s="17">
        <f t="shared" si="81"/>
        <v>479.23</v>
      </c>
    </row>
    <row r="2572" spans="1:14" x14ac:dyDescent="0.25">
      <c r="A2572" s="14" t="s">
        <v>2512</v>
      </c>
      <c r="B2572" s="14">
        <v>9</v>
      </c>
      <c r="C2572" s="15" t="s">
        <v>2517</v>
      </c>
      <c r="D2572" s="14" t="s">
        <v>1749</v>
      </c>
      <c r="E2572" s="14" t="s">
        <v>1746</v>
      </c>
      <c r="F2572" s="17" t="s">
        <v>2993</v>
      </c>
      <c r="G2572" s="14">
        <v>798</v>
      </c>
      <c r="H2572" s="14">
        <v>638.4</v>
      </c>
      <c r="I2572" s="31">
        <f>IF(COUNTIFS(Addendum!C:C,A2572,Addendum!D:D,IF(ISNUMBER(B2572),TEXT(B2572,"0000"),B2572),Addendum!E:E,"X")&gt;0,4%,0)</f>
        <v>0</v>
      </c>
      <c r="J2572" s="31">
        <f>IF(COUNTIFS(Addendum!C:C,A2572,Addendum!D:D,IF(ISNUMBER(B2572),TEXT(B2572,"0000"),B2572),Addendum!F:F,"X")&gt;0,2.5%,0)</f>
        <v>0</v>
      </c>
      <c r="K2572" s="31">
        <f>IF(COUNTIFS(Addendum!C:C,A2572,Addendum!D:D,IF(ISNUMBER(B2572),TEXT(B2572,"0000"),B2572),Addendum!G:G,"X")&gt;0,7%,0)</f>
        <v>0</v>
      </c>
      <c r="L2572" s="31">
        <f>IF(COUNTIFS(Addendum!C:C,A2572,Addendum!D:D,IF(ISNUMBER(B2572),TEXT(B2572,"0000"),B2572),Addendum!I:I,"X")&gt;0,10%,0)</f>
        <v>0</v>
      </c>
      <c r="M2572" s="34">
        <f t="shared" si="80"/>
        <v>0</v>
      </c>
      <c r="N2572" s="17">
        <f t="shared" si="81"/>
        <v>638.4</v>
      </c>
    </row>
    <row r="2573" spans="1:14" x14ac:dyDescent="0.25">
      <c r="A2573" s="14" t="s">
        <v>2512</v>
      </c>
      <c r="B2573" s="14">
        <v>6</v>
      </c>
      <c r="C2573" s="15" t="s">
        <v>2513</v>
      </c>
      <c r="D2573" s="14" t="s">
        <v>1745</v>
      </c>
      <c r="E2573" s="14" t="s">
        <v>1746</v>
      </c>
      <c r="F2573" s="17" t="s">
        <v>2993</v>
      </c>
      <c r="G2573" s="14">
        <v>4221</v>
      </c>
      <c r="H2573" s="14">
        <v>3376.8</v>
      </c>
      <c r="I2573" s="31">
        <f>IF(COUNTIFS(Addendum!C:C,A2573,Addendum!D:D,IF(ISNUMBER(B2573),TEXT(B2573,"0000"),B2573),Addendum!E:E,"X")&gt;0,4%,0)</f>
        <v>0</v>
      </c>
      <c r="J2573" s="31">
        <f>IF(COUNTIFS(Addendum!C:C,A2573,Addendum!D:D,IF(ISNUMBER(B2573),TEXT(B2573,"0000"),B2573),Addendum!F:F,"X")&gt;0,2.5%,0)</f>
        <v>0</v>
      </c>
      <c r="K2573" s="31">
        <f>IF(COUNTIFS(Addendum!C:C,A2573,Addendum!D:D,IF(ISNUMBER(B2573),TEXT(B2573,"0000"),B2573),Addendum!G:G,"X")&gt;0,7%,0)</f>
        <v>0</v>
      </c>
      <c r="L2573" s="31">
        <f>IF(COUNTIFS(Addendum!C:C,A2573,Addendum!D:D,IF(ISNUMBER(B2573),TEXT(B2573,"0000"),B2573),Addendum!I:I,"X")&gt;0,10%,0)</f>
        <v>0</v>
      </c>
      <c r="M2573" s="34">
        <f t="shared" si="80"/>
        <v>0</v>
      </c>
      <c r="N2573" s="17">
        <f t="shared" si="81"/>
        <v>3376.8</v>
      </c>
    </row>
    <row r="2574" spans="1:14" x14ac:dyDescent="0.25">
      <c r="A2574" s="14" t="s">
        <v>2512</v>
      </c>
      <c r="B2574" s="14" t="s">
        <v>173</v>
      </c>
      <c r="C2574" s="15" t="s">
        <v>2515</v>
      </c>
      <c r="D2574" s="14" t="s">
        <v>1749</v>
      </c>
      <c r="E2574" s="14" t="s">
        <v>1746</v>
      </c>
      <c r="F2574" s="17" t="s">
        <v>2994</v>
      </c>
      <c r="G2574" s="14">
        <v>59.9</v>
      </c>
      <c r="H2574" s="14">
        <v>47.92</v>
      </c>
      <c r="I2574" s="31">
        <f>IF(COUNTIFS(Addendum!C:C,A2574,Addendum!D:D,IF(ISNUMBER(B2574),TEXT(B2574,"0000"),B2574),Addendum!E:E,"X")&gt;0,4%,0)</f>
        <v>0</v>
      </c>
      <c r="J2574" s="31">
        <f>IF(COUNTIFS(Addendum!C:C,A2574,Addendum!D:D,IF(ISNUMBER(B2574),TEXT(B2574,"0000"),B2574),Addendum!F:F,"X")&gt;0,2.5%,0)</f>
        <v>0</v>
      </c>
      <c r="K2574" s="31">
        <f>IF(COUNTIFS(Addendum!C:C,A2574,Addendum!D:D,IF(ISNUMBER(B2574),TEXT(B2574,"0000"),B2574),Addendum!G:G,"X")&gt;0,7%,0)</f>
        <v>0</v>
      </c>
      <c r="L2574" s="31">
        <f>IF(COUNTIFS(Addendum!C:C,A2574,Addendum!D:D,IF(ISNUMBER(B2574),TEXT(B2574,"0000"),B2574),Addendum!I:I,"X")&gt;0,10%,0)</f>
        <v>0</v>
      </c>
      <c r="M2574" s="34">
        <f t="shared" si="80"/>
        <v>0</v>
      </c>
      <c r="N2574" s="17">
        <f t="shared" si="81"/>
        <v>47.92</v>
      </c>
    </row>
    <row r="2575" spans="1:14" x14ac:dyDescent="0.25">
      <c r="A2575" s="14" t="s">
        <v>2512</v>
      </c>
      <c r="B2575" s="14" t="s">
        <v>325</v>
      </c>
      <c r="C2575" s="15" t="s">
        <v>2516</v>
      </c>
      <c r="D2575" s="14" t="s">
        <v>1745</v>
      </c>
      <c r="E2575" s="14" t="s">
        <v>1747</v>
      </c>
      <c r="F2575" s="17" t="s">
        <v>2995</v>
      </c>
      <c r="G2575" s="14">
        <v>1980</v>
      </c>
      <c r="H2575" s="14">
        <v>1782</v>
      </c>
      <c r="I2575" s="31">
        <f>IF(COUNTIFS(Addendum!C:C,A2575,Addendum!D:D,IF(ISNUMBER(B2575),TEXT(B2575,"0000"),B2575),Addendum!E:E,"X")&gt;0,4%,0)</f>
        <v>0</v>
      </c>
      <c r="J2575" s="31">
        <f>IF(COUNTIFS(Addendum!C:C,A2575,Addendum!D:D,IF(ISNUMBER(B2575),TEXT(B2575,"0000"),B2575),Addendum!F:F,"X")&gt;0,2.5%,0)</f>
        <v>0</v>
      </c>
      <c r="K2575" s="31">
        <f>IF(COUNTIFS(Addendum!C:C,A2575,Addendum!D:D,IF(ISNUMBER(B2575),TEXT(B2575,"0000"),B2575),Addendum!G:G,"X")&gt;0,7%,0)</f>
        <v>0</v>
      </c>
      <c r="L2575" s="31">
        <f>IF(COUNTIFS(Addendum!C:C,A2575,Addendum!D:D,IF(ISNUMBER(B2575),TEXT(B2575,"0000"),B2575),Addendum!I:I,"X")&gt;0,10%,0)</f>
        <v>0</v>
      </c>
      <c r="M2575" s="34">
        <f t="shared" si="80"/>
        <v>0</v>
      </c>
      <c r="N2575" s="17">
        <f t="shared" si="81"/>
        <v>1782</v>
      </c>
    </row>
    <row r="2576" spans="1:14" x14ac:dyDescent="0.25">
      <c r="A2576" s="14" t="s">
        <v>2512</v>
      </c>
      <c r="B2576" s="14">
        <v>6</v>
      </c>
      <c r="C2576" s="15" t="s">
        <v>2513</v>
      </c>
      <c r="D2576" s="14" t="s">
        <v>1745</v>
      </c>
      <c r="E2576" s="14" t="s">
        <v>1747</v>
      </c>
      <c r="F2576" s="17" t="s">
        <v>2993</v>
      </c>
      <c r="G2576" s="14">
        <v>4020</v>
      </c>
      <c r="H2576" s="14">
        <v>3216</v>
      </c>
      <c r="I2576" s="31">
        <f>IF(COUNTIFS(Addendum!C:C,A2576,Addendum!D:D,IF(ISNUMBER(B2576),TEXT(B2576,"0000"),B2576),Addendum!E:E,"X")&gt;0,4%,0)</f>
        <v>0</v>
      </c>
      <c r="J2576" s="31">
        <f>IF(COUNTIFS(Addendum!C:C,A2576,Addendum!D:D,IF(ISNUMBER(B2576),TEXT(B2576,"0000"),B2576),Addendum!F:F,"X")&gt;0,2.5%,0)</f>
        <v>0</v>
      </c>
      <c r="K2576" s="31">
        <f>IF(COUNTIFS(Addendum!C:C,A2576,Addendum!D:D,IF(ISNUMBER(B2576),TEXT(B2576,"0000"),B2576),Addendum!G:G,"X")&gt;0,7%,0)</f>
        <v>0</v>
      </c>
      <c r="L2576" s="31">
        <f>IF(COUNTIFS(Addendum!C:C,A2576,Addendum!D:D,IF(ISNUMBER(B2576),TEXT(B2576,"0000"),B2576),Addendum!I:I,"X")&gt;0,10%,0)</f>
        <v>0</v>
      </c>
      <c r="M2576" s="34">
        <f t="shared" si="80"/>
        <v>0</v>
      </c>
      <c r="N2576" s="17">
        <f t="shared" si="81"/>
        <v>3216</v>
      </c>
    </row>
    <row r="2577" spans="1:14" x14ac:dyDescent="0.25">
      <c r="A2577" s="14" t="s">
        <v>2512</v>
      </c>
      <c r="B2577" s="14">
        <v>9</v>
      </c>
      <c r="C2577" s="15" t="s">
        <v>2517</v>
      </c>
      <c r="D2577" s="14" t="s">
        <v>1745</v>
      </c>
      <c r="E2577" s="14" t="s">
        <v>1747</v>
      </c>
      <c r="F2577" s="17" t="s">
        <v>2993</v>
      </c>
      <c r="G2577" s="14">
        <v>7980</v>
      </c>
      <c r="H2577" s="14">
        <v>6384</v>
      </c>
      <c r="I2577" s="31">
        <f>IF(COUNTIFS(Addendum!C:C,A2577,Addendum!D:D,IF(ISNUMBER(B2577),TEXT(B2577,"0000"),B2577),Addendum!E:E,"X")&gt;0,4%,0)</f>
        <v>0</v>
      </c>
      <c r="J2577" s="31">
        <f>IF(COUNTIFS(Addendum!C:C,A2577,Addendum!D:D,IF(ISNUMBER(B2577),TEXT(B2577,"0000"),B2577),Addendum!F:F,"X")&gt;0,2.5%,0)</f>
        <v>0</v>
      </c>
      <c r="K2577" s="31">
        <f>IF(COUNTIFS(Addendum!C:C,A2577,Addendum!D:D,IF(ISNUMBER(B2577),TEXT(B2577,"0000"),B2577),Addendum!G:G,"X")&gt;0,7%,0)</f>
        <v>0</v>
      </c>
      <c r="L2577" s="31">
        <f>IF(COUNTIFS(Addendum!C:C,A2577,Addendum!D:D,IF(ISNUMBER(B2577),TEXT(B2577,"0000"),B2577),Addendum!I:I,"X")&gt;0,10%,0)</f>
        <v>0</v>
      </c>
      <c r="M2577" s="34">
        <f t="shared" si="80"/>
        <v>0</v>
      </c>
      <c r="N2577" s="17">
        <f t="shared" si="81"/>
        <v>6384</v>
      </c>
    </row>
    <row r="2578" spans="1:14" x14ac:dyDescent="0.25">
      <c r="A2578" s="14" t="s">
        <v>2512</v>
      </c>
      <c r="B2578" s="14">
        <v>4</v>
      </c>
      <c r="C2578" s="15" t="s">
        <v>2514</v>
      </c>
      <c r="D2578" s="14" t="s">
        <v>1745</v>
      </c>
      <c r="E2578" s="14" t="s">
        <v>1747</v>
      </c>
      <c r="F2578" s="17" t="s">
        <v>2993</v>
      </c>
      <c r="G2578" s="14">
        <v>2640</v>
      </c>
      <c r="H2578" s="14">
        <v>2112</v>
      </c>
      <c r="I2578" s="31">
        <f>IF(COUNTIFS(Addendum!C:C,A2578,Addendum!D:D,IF(ISNUMBER(B2578),TEXT(B2578,"0000"),B2578),Addendum!E:E,"X")&gt;0,4%,0)</f>
        <v>0</v>
      </c>
      <c r="J2578" s="31">
        <f>IF(COUNTIFS(Addendum!C:C,A2578,Addendum!D:D,IF(ISNUMBER(B2578),TEXT(B2578,"0000"),B2578),Addendum!F:F,"X")&gt;0,2.5%,0)</f>
        <v>0</v>
      </c>
      <c r="K2578" s="31">
        <f>IF(COUNTIFS(Addendum!C:C,A2578,Addendum!D:D,IF(ISNUMBER(B2578),TEXT(B2578,"0000"),B2578),Addendum!G:G,"X")&gt;0,7%,0)</f>
        <v>0</v>
      </c>
      <c r="L2578" s="31">
        <f>IF(COUNTIFS(Addendum!C:C,A2578,Addendum!D:D,IF(ISNUMBER(B2578),TEXT(B2578,"0000"),B2578),Addendum!I:I,"X")&gt;0,10%,0)</f>
        <v>0</v>
      </c>
      <c r="M2578" s="34">
        <f t="shared" si="80"/>
        <v>0</v>
      </c>
      <c r="N2578" s="17">
        <f t="shared" si="81"/>
        <v>2112</v>
      </c>
    </row>
    <row r="2579" spans="1:14" x14ac:dyDescent="0.25">
      <c r="A2579" s="14" t="s">
        <v>2512</v>
      </c>
      <c r="B2579" s="14">
        <v>9</v>
      </c>
      <c r="C2579" s="15" t="s">
        <v>2517</v>
      </c>
      <c r="D2579" s="14" t="s">
        <v>1745</v>
      </c>
      <c r="E2579" s="14" t="s">
        <v>1746</v>
      </c>
      <c r="F2579" s="17" t="s">
        <v>2993</v>
      </c>
      <c r="G2579" s="14">
        <v>8379</v>
      </c>
      <c r="H2579" s="14">
        <v>6703.2</v>
      </c>
      <c r="I2579" s="31">
        <f>IF(COUNTIFS(Addendum!C:C,A2579,Addendum!D:D,IF(ISNUMBER(B2579),TEXT(B2579,"0000"),B2579),Addendum!E:E,"X")&gt;0,4%,0)</f>
        <v>0</v>
      </c>
      <c r="J2579" s="31">
        <f>IF(COUNTIFS(Addendum!C:C,A2579,Addendum!D:D,IF(ISNUMBER(B2579),TEXT(B2579,"0000"),B2579),Addendum!F:F,"X")&gt;0,2.5%,0)</f>
        <v>0</v>
      </c>
      <c r="K2579" s="31">
        <f>IF(COUNTIFS(Addendum!C:C,A2579,Addendum!D:D,IF(ISNUMBER(B2579),TEXT(B2579,"0000"),B2579),Addendum!G:G,"X")&gt;0,7%,0)</f>
        <v>0</v>
      </c>
      <c r="L2579" s="31">
        <f>IF(COUNTIFS(Addendum!C:C,A2579,Addendum!D:D,IF(ISNUMBER(B2579),TEXT(B2579,"0000"),B2579),Addendum!I:I,"X")&gt;0,10%,0)</f>
        <v>0</v>
      </c>
      <c r="M2579" s="34">
        <f t="shared" si="80"/>
        <v>0</v>
      </c>
      <c r="N2579" s="17">
        <f t="shared" si="81"/>
        <v>6703.2</v>
      </c>
    </row>
    <row r="2580" spans="1:14" x14ac:dyDescent="0.25">
      <c r="A2580" s="14" t="s">
        <v>2518</v>
      </c>
      <c r="B2580" s="14">
        <v>5</v>
      </c>
      <c r="C2580" s="15" t="s">
        <v>2519</v>
      </c>
      <c r="D2580" s="14" t="s">
        <v>1745</v>
      </c>
      <c r="E2580" s="14" t="s">
        <v>1747</v>
      </c>
      <c r="F2580" s="17" t="s">
        <v>2994</v>
      </c>
      <c r="G2580" s="14">
        <v>746.76</v>
      </c>
      <c r="H2580" s="14">
        <v>597.41</v>
      </c>
      <c r="I2580" s="31">
        <f>IF(COUNTIFS(Addendum!C:C,A2580,Addendum!D:D,IF(ISNUMBER(B2580),TEXT(B2580,"0000"),B2580),Addendum!E:E,"X")&gt;0,4%,0)</f>
        <v>0</v>
      </c>
      <c r="J2580" s="31">
        <f>IF(COUNTIFS(Addendum!C:C,A2580,Addendum!D:D,IF(ISNUMBER(B2580),TEXT(B2580,"0000"),B2580),Addendum!F:F,"X")&gt;0,2.5%,0)</f>
        <v>0</v>
      </c>
      <c r="K2580" s="31">
        <f>IF(COUNTIFS(Addendum!C:C,A2580,Addendum!D:D,IF(ISNUMBER(B2580),TEXT(B2580,"0000"),B2580),Addendum!G:G,"X")&gt;0,7%,0)</f>
        <v>0</v>
      </c>
      <c r="L2580" s="31">
        <f>IF(COUNTIFS(Addendum!C:C,A2580,Addendum!D:D,IF(ISNUMBER(B2580),TEXT(B2580,"0000"),B2580),Addendum!I:I,"X")&gt;0,10%,0)</f>
        <v>0</v>
      </c>
      <c r="M2580" s="34">
        <f t="shared" si="80"/>
        <v>0</v>
      </c>
      <c r="N2580" s="17">
        <f t="shared" si="81"/>
        <v>597.41</v>
      </c>
    </row>
    <row r="2581" spans="1:14" x14ac:dyDescent="0.25">
      <c r="A2581" s="14" t="s">
        <v>2518</v>
      </c>
      <c r="B2581" s="14">
        <v>5</v>
      </c>
      <c r="C2581" s="15" t="s">
        <v>2519</v>
      </c>
      <c r="D2581" s="14" t="s">
        <v>1745</v>
      </c>
      <c r="E2581" s="14" t="s">
        <v>1746</v>
      </c>
      <c r="F2581" s="17" t="s">
        <v>2994</v>
      </c>
      <c r="G2581" s="14">
        <v>784.08</v>
      </c>
      <c r="H2581" s="14">
        <v>627.24</v>
      </c>
      <c r="I2581" s="31">
        <f>IF(COUNTIFS(Addendum!C:C,A2581,Addendum!D:D,IF(ISNUMBER(B2581),TEXT(B2581,"0000"),B2581),Addendum!E:E,"X")&gt;0,4%,0)</f>
        <v>0</v>
      </c>
      <c r="J2581" s="31">
        <f>IF(COUNTIFS(Addendum!C:C,A2581,Addendum!D:D,IF(ISNUMBER(B2581),TEXT(B2581,"0000"),B2581),Addendum!F:F,"X")&gt;0,2.5%,0)</f>
        <v>0</v>
      </c>
      <c r="K2581" s="31">
        <f>IF(COUNTIFS(Addendum!C:C,A2581,Addendum!D:D,IF(ISNUMBER(B2581),TEXT(B2581,"0000"),B2581),Addendum!G:G,"X")&gt;0,7%,0)</f>
        <v>0</v>
      </c>
      <c r="L2581" s="31">
        <f>IF(COUNTIFS(Addendum!C:C,A2581,Addendum!D:D,IF(ISNUMBER(B2581),TEXT(B2581,"0000"),B2581),Addendum!I:I,"X")&gt;0,10%,0)</f>
        <v>0</v>
      </c>
      <c r="M2581" s="34">
        <f t="shared" si="80"/>
        <v>0</v>
      </c>
      <c r="N2581" s="17">
        <f t="shared" si="81"/>
        <v>627.24</v>
      </c>
    </row>
    <row r="2582" spans="1:14" x14ac:dyDescent="0.25">
      <c r="A2582" s="14" t="s">
        <v>2518</v>
      </c>
      <c r="B2582" s="14">
        <v>4</v>
      </c>
      <c r="C2582" s="15" t="s">
        <v>2520</v>
      </c>
      <c r="D2582" s="14" t="s">
        <v>1745</v>
      </c>
      <c r="E2582" s="14" t="s">
        <v>1747</v>
      </c>
      <c r="F2582" s="17" t="s">
        <v>2994</v>
      </c>
      <c r="G2582" s="14">
        <v>746.76</v>
      </c>
      <c r="H2582" s="14">
        <v>597.41</v>
      </c>
      <c r="I2582" s="31">
        <f>IF(COUNTIFS(Addendum!C:C,A2582,Addendum!D:D,IF(ISNUMBER(B2582),TEXT(B2582,"0000"),B2582),Addendum!E:E,"X")&gt;0,4%,0)</f>
        <v>0</v>
      </c>
      <c r="J2582" s="31">
        <f>IF(COUNTIFS(Addendum!C:C,A2582,Addendum!D:D,IF(ISNUMBER(B2582),TEXT(B2582,"0000"),B2582),Addendum!F:F,"X")&gt;0,2.5%,0)</f>
        <v>0</v>
      </c>
      <c r="K2582" s="31">
        <f>IF(COUNTIFS(Addendum!C:C,A2582,Addendum!D:D,IF(ISNUMBER(B2582),TEXT(B2582,"0000"),B2582),Addendum!G:G,"X")&gt;0,7%,0)</f>
        <v>0</v>
      </c>
      <c r="L2582" s="31">
        <f>IF(COUNTIFS(Addendum!C:C,A2582,Addendum!D:D,IF(ISNUMBER(B2582),TEXT(B2582,"0000"),B2582),Addendum!I:I,"X")&gt;0,10%,0)</f>
        <v>0</v>
      </c>
      <c r="M2582" s="34">
        <f t="shared" si="80"/>
        <v>0</v>
      </c>
      <c r="N2582" s="17">
        <f t="shared" si="81"/>
        <v>597.41</v>
      </c>
    </row>
    <row r="2583" spans="1:14" x14ac:dyDescent="0.25">
      <c r="A2583" s="14" t="s">
        <v>2518</v>
      </c>
      <c r="B2583" s="14">
        <v>4</v>
      </c>
      <c r="C2583" s="15" t="s">
        <v>2520</v>
      </c>
      <c r="D2583" s="14" t="s">
        <v>1745</v>
      </c>
      <c r="E2583" s="14" t="s">
        <v>1746</v>
      </c>
      <c r="F2583" s="17" t="s">
        <v>2994</v>
      </c>
      <c r="G2583" s="14">
        <v>784.08</v>
      </c>
      <c r="H2583" s="14">
        <v>627.24</v>
      </c>
      <c r="I2583" s="31">
        <f>IF(COUNTIFS(Addendum!C:C,A2583,Addendum!D:D,IF(ISNUMBER(B2583),TEXT(B2583,"0000"),B2583),Addendum!E:E,"X")&gt;0,4%,0)</f>
        <v>0</v>
      </c>
      <c r="J2583" s="31">
        <f>IF(COUNTIFS(Addendum!C:C,A2583,Addendum!D:D,IF(ISNUMBER(B2583),TEXT(B2583,"0000"),B2583),Addendum!F:F,"X")&gt;0,2.5%,0)</f>
        <v>0</v>
      </c>
      <c r="K2583" s="31">
        <f>IF(COUNTIFS(Addendum!C:C,A2583,Addendum!D:D,IF(ISNUMBER(B2583),TEXT(B2583,"0000"),B2583),Addendum!G:G,"X")&gt;0,7%,0)</f>
        <v>0</v>
      </c>
      <c r="L2583" s="31">
        <f>IF(COUNTIFS(Addendum!C:C,A2583,Addendum!D:D,IF(ISNUMBER(B2583),TEXT(B2583,"0000"),B2583),Addendum!I:I,"X")&gt;0,10%,0)</f>
        <v>0</v>
      </c>
      <c r="M2583" s="34">
        <f t="shared" si="80"/>
        <v>0</v>
      </c>
      <c r="N2583" s="17">
        <f t="shared" si="81"/>
        <v>627.24</v>
      </c>
    </row>
    <row r="2584" spans="1:14" x14ac:dyDescent="0.25">
      <c r="A2584" s="14" t="s">
        <v>2518</v>
      </c>
      <c r="B2584" s="14">
        <v>4</v>
      </c>
      <c r="C2584" s="15" t="s">
        <v>2520</v>
      </c>
      <c r="D2584" s="14" t="s">
        <v>1749</v>
      </c>
      <c r="E2584" s="14" t="s">
        <v>1746</v>
      </c>
      <c r="F2584" s="17" t="s">
        <v>2994</v>
      </c>
      <c r="G2584" s="14">
        <v>74.680000000000007</v>
      </c>
      <c r="H2584" s="14">
        <v>59.74</v>
      </c>
      <c r="I2584" s="31">
        <f>IF(COUNTIFS(Addendum!C:C,A2584,Addendum!D:D,IF(ISNUMBER(B2584),TEXT(B2584,"0000"),B2584),Addendum!E:E,"X")&gt;0,4%,0)</f>
        <v>0</v>
      </c>
      <c r="J2584" s="31">
        <f>IF(COUNTIFS(Addendum!C:C,A2584,Addendum!D:D,IF(ISNUMBER(B2584),TEXT(B2584,"0000"),B2584),Addendum!F:F,"X")&gt;0,2.5%,0)</f>
        <v>0</v>
      </c>
      <c r="K2584" s="31">
        <f>IF(COUNTIFS(Addendum!C:C,A2584,Addendum!D:D,IF(ISNUMBER(B2584),TEXT(B2584,"0000"),B2584),Addendum!G:G,"X")&gt;0,7%,0)</f>
        <v>0</v>
      </c>
      <c r="L2584" s="31">
        <f>IF(COUNTIFS(Addendum!C:C,A2584,Addendum!D:D,IF(ISNUMBER(B2584),TEXT(B2584,"0000"),B2584),Addendum!I:I,"X")&gt;0,10%,0)</f>
        <v>0</v>
      </c>
      <c r="M2584" s="34">
        <f t="shared" si="80"/>
        <v>0</v>
      </c>
      <c r="N2584" s="17">
        <f t="shared" si="81"/>
        <v>59.74</v>
      </c>
    </row>
    <row r="2585" spans="1:14" x14ac:dyDescent="0.25">
      <c r="A2585" s="14" t="s">
        <v>2518</v>
      </c>
      <c r="B2585" s="14" t="s">
        <v>20</v>
      </c>
      <c r="C2585" s="15" t="s">
        <v>2521</v>
      </c>
      <c r="D2585" s="14" t="s">
        <v>1749</v>
      </c>
      <c r="E2585" s="14" t="s">
        <v>1746</v>
      </c>
      <c r="F2585" s="17" t="s">
        <v>2994</v>
      </c>
      <c r="G2585" s="14">
        <v>0</v>
      </c>
      <c r="H2585" s="14">
        <v>0</v>
      </c>
      <c r="I2585" s="31">
        <f>IF(COUNTIFS(Addendum!C:C,A2585,Addendum!D:D,IF(ISNUMBER(B2585),TEXT(B2585,"0000"),B2585),Addendum!E:E,"X")&gt;0,4%,0)</f>
        <v>0</v>
      </c>
      <c r="J2585" s="31">
        <f>IF(COUNTIFS(Addendum!C:C,A2585,Addendum!D:D,IF(ISNUMBER(B2585),TEXT(B2585,"0000"),B2585),Addendum!F:F,"X")&gt;0,2.5%,0)</f>
        <v>0</v>
      </c>
      <c r="K2585" s="31">
        <f>IF(COUNTIFS(Addendum!C:C,A2585,Addendum!D:D,IF(ISNUMBER(B2585),TEXT(B2585,"0000"),B2585),Addendum!G:G,"X")&gt;0,7%,0)</f>
        <v>0</v>
      </c>
      <c r="L2585" s="31">
        <f>IF(COUNTIFS(Addendum!C:C,A2585,Addendum!D:D,IF(ISNUMBER(B2585),TEXT(B2585,"0000"),B2585),Addendum!I:I,"X")&gt;0,10%,0)</f>
        <v>0</v>
      </c>
      <c r="M2585" s="34">
        <f t="shared" si="80"/>
        <v>0</v>
      </c>
      <c r="N2585" s="17">
        <f t="shared" si="81"/>
        <v>0</v>
      </c>
    </row>
    <row r="2586" spans="1:14" x14ac:dyDescent="0.25">
      <c r="A2586" s="14" t="s">
        <v>2518</v>
      </c>
      <c r="B2586" s="14">
        <v>5</v>
      </c>
      <c r="C2586" s="15" t="s">
        <v>2519</v>
      </c>
      <c r="D2586" s="14" t="s">
        <v>1749</v>
      </c>
      <c r="E2586" s="14" t="s">
        <v>1746</v>
      </c>
      <c r="F2586" s="17" t="s">
        <v>2994</v>
      </c>
      <c r="G2586" s="14">
        <v>74.680000000000007</v>
      </c>
      <c r="H2586" s="14">
        <v>59.74</v>
      </c>
      <c r="I2586" s="31">
        <f>IF(COUNTIFS(Addendum!C:C,A2586,Addendum!D:D,IF(ISNUMBER(B2586),TEXT(B2586,"0000"),B2586),Addendum!E:E,"X")&gt;0,4%,0)</f>
        <v>0</v>
      </c>
      <c r="J2586" s="31">
        <f>IF(COUNTIFS(Addendum!C:C,A2586,Addendum!D:D,IF(ISNUMBER(B2586),TEXT(B2586,"0000"),B2586),Addendum!F:F,"X")&gt;0,2.5%,0)</f>
        <v>0</v>
      </c>
      <c r="K2586" s="31">
        <f>IF(COUNTIFS(Addendum!C:C,A2586,Addendum!D:D,IF(ISNUMBER(B2586),TEXT(B2586,"0000"),B2586),Addendum!G:G,"X")&gt;0,7%,0)</f>
        <v>0</v>
      </c>
      <c r="L2586" s="31">
        <f>IF(COUNTIFS(Addendum!C:C,A2586,Addendum!D:D,IF(ISNUMBER(B2586),TEXT(B2586,"0000"),B2586),Addendum!I:I,"X")&gt;0,10%,0)</f>
        <v>0</v>
      </c>
      <c r="M2586" s="34">
        <f t="shared" si="80"/>
        <v>0</v>
      </c>
      <c r="N2586" s="17">
        <f t="shared" si="81"/>
        <v>59.74</v>
      </c>
    </row>
    <row r="2587" spans="1:14" x14ac:dyDescent="0.25">
      <c r="A2587" s="14" t="s">
        <v>2518</v>
      </c>
      <c r="B2587" s="14" t="s">
        <v>20</v>
      </c>
      <c r="C2587" s="15" t="s">
        <v>2521</v>
      </c>
      <c r="D2587" s="14" t="s">
        <v>1745</v>
      </c>
      <c r="E2587" s="14" t="s">
        <v>1747</v>
      </c>
      <c r="F2587" s="17" t="s">
        <v>2994</v>
      </c>
      <c r="G2587" s="14">
        <v>0</v>
      </c>
      <c r="H2587" s="14">
        <v>0</v>
      </c>
      <c r="I2587" s="31">
        <f>IF(COUNTIFS(Addendum!C:C,A2587,Addendum!D:D,IF(ISNUMBER(B2587),TEXT(B2587,"0000"),B2587),Addendum!E:E,"X")&gt;0,4%,0)</f>
        <v>0</v>
      </c>
      <c r="J2587" s="31">
        <f>IF(COUNTIFS(Addendum!C:C,A2587,Addendum!D:D,IF(ISNUMBER(B2587),TEXT(B2587,"0000"),B2587),Addendum!F:F,"X")&gt;0,2.5%,0)</f>
        <v>0</v>
      </c>
      <c r="K2587" s="31">
        <f>IF(COUNTIFS(Addendum!C:C,A2587,Addendum!D:D,IF(ISNUMBER(B2587),TEXT(B2587,"0000"),B2587),Addendum!G:G,"X")&gt;0,7%,0)</f>
        <v>0</v>
      </c>
      <c r="L2587" s="31">
        <f>IF(COUNTIFS(Addendum!C:C,A2587,Addendum!D:D,IF(ISNUMBER(B2587),TEXT(B2587,"0000"),B2587),Addendum!I:I,"X")&gt;0,10%,0)</f>
        <v>0</v>
      </c>
      <c r="M2587" s="34">
        <f t="shared" si="80"/>
        <v>0</v>
      </c>
      <c r="N2587" s="17">
        <f t="shared" si="81"/>
        <v>0</v>
      </c>
    </row>
    <row r="2588" spans="1:14" x14ac:dyDescent="0.25">
      <c r="A2588" s="14" t="s">
        <v>2518</v>
      </c>
      <c r="B2588" s="14" t="s">
        <v>20</v>
      </c>
      <c r="C2588" s="15" t="s">
        <v>2521</v>
      </c>
      <c r="D2588" s="14" t="s">
        <v>1745</v>
      </c>
      <c r="E2588" s="14" t="s">
        <v>1746</v>
      </c>
      <c r="F2588" s="17" t="s">
        <v>2994</v>
      </c>
      <c r="G2588" s="14">
        <v>0</v>
      </c>
      <c r="H2588" s="14">
        <v>0</v>
      </c>
      <c r="I2588" s="31">
        <f>IF(COUNTIFS(Addendum!C:C,A2588,Addendum!D:D,IF(ISNUMBER(B2588),TEXT(B2588,"0000"),B2588),Addendum!E:E,"X")&gt;0,4%,0)</f>
        <v>0</v>
      </c>
      <c r="J2588" s="31">
        <f>IF(COUNTIFS(Addendum!C:C,A2588,Addendum!D:D,IF(ISNUMBER(B2588),TEXT(B2588,"0000"),B2588),Addendum!F:F,"X")&gt;0,2.5%,0)</f>
        <v>0</v>
      </c>
      <c r="K2588" s="31">
        <f>IF(COUNTIFS(Addendum!C:C,A2588,Addendum!D:D,IF(ISNUMBER(B2588),TEXT(B2588,"0000"),B2588),Addendum!G:G,"X")&gt;0,7%,0)</f>
        <v>0</v>
      </c>
      <c r="L2588" s="31">
        <f>IF(COUNTIFS(Addendum!C:C,A2588,Addendum!D:D,IF(ISNUMBER(B2588),TEXT(B2588,"0000"),B2588),Addendum!I:I,"X")&gt;0,10%,0)</f>
        <v>0</v>
      </c>
      <c r="M2588" s="34">
        <f t="shared" si="80"/>
        <v>0</v>
      </c>
      <c r="N2588" s="17">
        <f t="shared" si="81"/>
        <v>0</v>
      </c>
    </row>
    <row r="2589" spans="1:14" x14ac:dyDescent="0.25">
      <c r="A2589" s="14" t="s">
        <v>966</v>
      </c>
      <c r="B2589" s="14" t="s">
        <v>24</v>
      </c>
      <c r="C2589" s="15" t="s">
        <v>968</v>
      </c>
      <c r="D2589" s="14" t="s">
        <v>1745</v>
      </c>
      <c r="E2589" s="14" t="s">
        <v>1746</v>
      </c>
      <c r="F2589" s="17" t="s">
        <v>2993</v>
      </c>
      <c r="G2589" s="14">
        <v>2835</v>
      </c>
      <c r="H2589" s="14">
        <v>2268</v>
      </c>
      <c r="I2589" s="31">
        <f>IF(COUNTIFS(Addendum!C:C,A2589,Addendum!D:D,IF(ISNUMBER(B2589),TEXT(B2589,"0000"),B2589),Addendum!E:E,"X")&gt;0,4%,0)</f>
        <v>0.04</v>
      </c>
      <c r="J2589" s="31">
        <f>IF(COUNTIFS(Addendum!C:C,A2589,Addendum!D:D,IF(ISNUMBER(B2589),TEXT(B2589,"0000"),B2589),Addendum!F:F,"X")&gt;0,2.5%,0)</f>
        <v>0</v>
      </c>
      <c r="K2589" s="31">
        <f>IF(COUNTIFS(Addendum!C:C,A2589,Addendum!D:D,IF(ISNUMBER(B2589),TEXT(B2589,"0000"),B2589),Addendum!G:G,"X")&gt;0,7%,0)</f>
        <v>0</v>
      </c>
      <c r="L2589" s="31">
        <f>IF(COUNTIFS(Addendum!C:C,A2589,Addendum!D:D,IF(ISNUMBER(B2589),TEXT(B2589,"0000"),B2589),Addendum!I:I,"X")&gt;0,10%,0)</f>
        <v>0</v>
      </c>
      <c r="M2589" s="34">
        <f t="shared" si="80"/>
        <v>0.01</v>
      </c>
      <c r="N2589" s="17">
        <f t="shared" si="81"/>
        <v>2245.3200000000002</v>
      </c>
    </row>
    <row r="2590" spans="1:14" x14ac:dyDescent="0.25">
      <c r="A2590" s="14" t="s">
        <v>966</v>
      </c>
      <c r="B2590" s="14">
        <v>5</v>
      </c>
      <c r="C2590" s="15" t="s">
        <v>2522</v>
      </c>
      <c r="D2590" s="14" t="s">
        <v>1749</v>
      </c>
      <c r="E2590" s="14" t="s">
        <v>1746</v>
      </c>
      <c r="F2590" s="17" t="s">
        <v>2995</v>
      </c>
      <c r="G2590" s="14">
        <v>162</v>
      </c>
      <c r="H2590" s="14">
        <v>145.80000000000001</v>
      </c>
      <c r="I2590" s="31">
        <f>IF(COUNTIFS(Addendum!C:C,A2590,Addendum!D:D,IF(ISNUMBER(B2590),TEXT(B2590,"0000"),B2590),Addendum!E:E,"X")&gt;0,4%,0)</f>
        <v>0.04</v>
      </c>
      <c r="J2590" s="31">
        <f>IF(COUNTIFS(Addendum!C:C,A2590,Addendum!D:D,IF(ISNUMBER(B2590),TEXT(B2590,"0000"),B2590),Addendum!F:F,"X")&gt;0,2.5%,0)</f>
        <v>0</v>
      </c>
      <c r="K2590" s="31">
        <f>IF(COUNTIFS(Addendum!C:C,A2590,Addendum!D:D,IF(ISNUMBER(B2590),TEXT(B2590,"0000"),B2590),Addendum!G:G,"X")&gt;0,7%,0)</f>
        <v>0</v>
      </c>
      <c r="L2590" s="31">
        <f>IF(COUNTIFS(Addendum!C:C,A2590,Addendum!D:D,IF(ISNUMBER(B2590),TEXT(B2590,"0000"),B2590),Addendum!I:I,"X")&gt;0,10%,0)</f>
        <v>0</v>
      </c>
      <c r="M2590" s="34">
        <f t="shared" si="80"/>
        <v>0.01</v>
      </c>
      <c r="N2590" s="17">
        <f t="shared" si="81"/>
        <v>144.34200000000001</v>
      </c>
    </row>
    <row r="2591" spans="1:14" x14ac:dyDescent="0.25">
      <c r="A2591" s="14" t="s">
        <v>966</v>
      </c>
      <c r="B2591" s="14">
        <v>3</v>
      </c>
      <c r="C2591" s="15" t="s">
        <v>2523</v>
      </c>
      <c r="D2591" s="14" t="s">
        <v>1752</v>
      </c>
      <c r="E2591" s="14" t="s">
        <v>1746</v>
      </c>
      <c r="F2591" s="17" t="s">
        <v>2994</v>
      </c>
      <c r="G2591" s="14">
        <v>1887.12</v>
      </c>
      <c r="H2591" s="14">
        <v>1509.48</v>
      </c>
      <c r="I2591" s="31">
        <f>IF(COUNTIFS(Addendum!C:C,A2591,Addendum!D:D,IF(ISNUMBER(B2591),TEXT(B2591,"0000"),B2591),Addendum!E:E,"X")&gt;0,4%,0)</f>
        <v>0.04</v>
      </c>
      <c r="J2591" s="31">
        <f>IF(COUNTIFS(Addendum!C:C,A2591,Addendum!D:D,IF(ISNUMBER(B2591),TEXT(B2591,"0000"),B2591),Addendum!F:F,"X")&gt;0,2.5%,0)</f>
        <v>0</v>
      </c>
      <c r="K2591" s="31">
        <f>IF(COUNTIFS(Addendum!C:C,A2591,Addendum!D:D,IF(ISNUMBER(B2591),TEXT(B2591,"0000"),B2591),Addendum!G:G,"X")&gt;0,7%,0)</f>
        <v>0</v>
      </c>
      <c r="L2591" s="31">
        <f>IF(COUNTIFS(Addendum!C:C,A2591,Addendum!D:D,IF(ISNUMBER(B2591),TEXT(B2591,"0000"),B2591),Addendum!I:I,"X")&gt;0,10%,0)</f>
        <v>0</v>
      </c>
      <c r="M2591" s="34">
        <f t="shared" si="80"/>
        <v>0.01</v>
      </c>
      <c r="N2591" s="17">
        <f t="shared" si="81"/>
        <v>1494.3851999999999</v>
      </c>
    </row>
    <row r="2592" spans="1:14" x14ac:dyDescent="0.25">
      <c r="A2592" s="14" t="s">
        <v>966</v>
      </c>
      <c r="B2592" s="14">
        <v>5</v>
      </c>
      <c r="C2592" s="15" t="s">
        <v>2522</v>
      </c>
      <c r="D2592" s="14" t="s">
        <v>1752</v>
      </c>
      <c r="E2592" s="14" t="s">
        <v>1746</v>
      </c>
      <c r="F2592" s="17" t="s">
        <v>2995</v>
      </c>
      <c r="G2592" s="14">
        <v>5103</v>
      </c>
      <c r="H2592" s="14">
        <v>4592.88</v>
      </c>
      <c r="I2592" s="31">
        <f>IF(COUNTIFS(Addendum!C:C,A2592,Addendum!D:D,IF(ISNUMBER(B2592),TEXT(B2592,"0000"),B2592),Addendum!E:E,"X")&gt;0,4%,0)</f>
        <v>0.04</v>
      </c>
      <c r="J2592" s="31">
        <f>IF(COUNTIFS(Addendum!C:C,A2592,Addendum!D:D,IF(ISNUMBER(B2592),TEXT(B2592,"0000"),B2592),Addendum!F:F,"X")&gt;0,2.5%,0)</f>
        <v>0</v>
      </c>
      <c r="K2592" s="31">
        <f>IF(COUNTIFS(Addendum!C:C,A2592,Addendum!D:D,IF(ISNUMBER(B2592),TEXT(B2592,"0000"),B2592),Addendum!G:G,"X")&gt;0,7%,0)</f>
        <v>0</v>
      </c>
      <c r="L2592" s="31">
        <f>IF(COUNTIFS(Addendum!C:C,A2592,Addendum!D:D,IF(ISNUMBER(B2592),TEXT(B2592,"0000"),B2592),Addendum!I:I,"X")&gt;0,10%,0)</f>
        <v>0</v>
      </c>
      <c r="M2592" s="34">
        <f t="shared" si="80"/>
        <v>0.01</v>
      </c>
      <c r="N2592" s="17">
        <f t="shared" si="81"/>
        <v>4546.9512000000004</v>
      </c>
    </row>
    <row r="2593" spans="1:14" x14ac:dyDescent="0.25">
      <c r="A2593" s="14" t="s">
        <v>966</v>
      </c>
      <c r="B2593" s="14">
        <v>4</v>
      </c>
      <c r="C2593" s="15" t="s">
        <v>2524</v>
      </c>
      <c r="D2593" s="14" t="s">
        <v>1752</v>
      </c>
      <c r="E2593" s="14" t="s">
        <v>1747</v>
      </c>
      <c r="F2593" s="17" t="s">
        <v>2994</v>
      </c>
      <c r="G2593" s="14">
        <v>2396.16</v>
      </c>
      <c r="H2593" s="14">
        <v>1916.94</v>
      </c>
      <c r="I2593" s="31">
        <f>IF(COUNTIFS(Addendum!C:C,A2593,Addendum!D:D,IF(ISNUMBER(B2593),TEXT(B2593,"0000"),B2593),Addendum!E:E,"X")&gt;0,4%,0)</f>
        <v>0.04</v>
      </c>
      <c r="J2593" s="31">
        <f>IF(COUNTIFS(Addendum!C:C,A2593,Addendum!D:D,IF(ISNUMBER(B2593),TEXT(B2593,"0000"),B2593),Addendum!F:F,"X")&gt;0,2.5%,0)</f>
        <v>0</v>
      </c>
      <c r="K2593" s="31">
        <f>IF(COUNTIFS(Addendum!C:C,A2593,Addendum!D:D,IF(ISNUMBER(B2593),TEXT(B2593,"0000"),B2593),Addendum!G:G,"X")&gt;0,7%,0)</f>
        <v>0</v>
      </c>
      <c r="L2593" s="31">
        <f>IF(COUNTIFS(Addendum!C:C,A2593,Addendum!D:D,IF(ISNUMBER(B2593),TEXT(B2593,"0000"),B2593),Addendum!I:I,"X")&gt;0,10%,0)</f>
        <v>0</v>
      </c>
      <c r="M2593" s="34">
        <f t="shared" si="80"/>
        <v>0.03</v>
      </c>
      <c r="N2593" s="17">
        <f t="shared" si="81"/>
        <v>1859.4318000000001</v>
      </c>
    </row>
    <row r="2594" spans="1:14" x14ac:dyDescent="0.25">
      <c r="A2594" s="14" t="s">
        <v>966</v>
      </c>
      <c r="B2594" s="14">
        <v>5</v>
      </c>
      <c r="C2594" s="15" t="s">
        <v>2522</v>
      </c>
      <c r="D2594" s="14" t="s">
        <v>1745</v>
      </c>
      <c r="E2594" s="14" t="s">
        <v>1746</v>
      </c>
      <c r="F2594" s="17" t="s">
        <v>2995</v>
      </c>
      <c r="G2594" s="14">
        <v>1701</v>
      </c>
      <c r="H2594" s="14">
        <v>1530.96</v>
      </c>
      <c r="I2594" s="31">
        <f>IF(COUNTIFS(Addendum!C:C,A2594,Addendum!D:D,IF(ISNUMBER(B2594),TEXT(B2594,"0000"),B2594),Addendum!E:E,"X")&gt;0,4%,0)</f>
        <v>0.04</v>
      </c>
      <c r="J2594" s="31">
        <f>IF(COUNTIFS(Addendum!C:C,A2594,Addendum!D:D,IF(ISNUMBER(B2594),TEXT(B2594,"0000"),B2594),Addendum!F:F,"X")&gt;0,2.5%,0)</f>
        <v>0</v>
      </c>
      <c r="K2594" s="31">
        <f>IF(COUNTIFS(Addendum!C:C,A2594,Addendum!D:D,IF(ISNUMBER(B2594),TEXT(B2594,"0000"),B2594),Addendum!G:G,"X")&gt;0,7%,0)</f>
        <v>0</v>
      </c>
      <c r="L2594" s="31">
        <f>IF(COUNTIFS(Addendum!C:C,A2594,Addendum!D:D,IF(ISNUMBER(B2594),TEXT(B2594,"0000"),B2594),Addendum!I:I,"X")&gt;0,10%,0)</f>
        <v>0</v>
      </c>
      <c r="M2594" s="34">
        <f t="shared" si="80"/>
        <v>0.01</v>
      </c>
      <c r="N2594" s="17">
        <f t="shared" si="81"/>
        <v>1515.6504</v>
      </c>
    </row>
    <row r="2595" spans="1:14" x14ac:dyDescent="0.25">
      <c r="A2595" s="14" t="s">
        <v>966</v>
      </c>
      <c r="B2595" s="14" t="s">
        <v>24</v>
      </c>
      <c r="C2595" s="15" t="s">
        <v>968</v>
      </c>
      <c r="D2595" s="14" t="s">
        <v>1749</v>
      </c>
      <c r="E2595" s="14" t="s">
        <v>1746</v>
      </c>
      <c r="F2595" s="17" t="s">
        <v>2993</v>
      </c>
      <c r="G2595" s="14">
        <v>270</v>
      </c>
      <c r="H2595" s="14">
        <v>216</v>
      </c>
      <c r="I2595" s="31">
        <f>IF(COUNTIFS(Addendum!C:C,A2595,Addendum!D:D,IF(ISNUMBER(B2595),TEXT(B2595,"0000"),B2595),Addendum!E:E,"X")&gt;0,4%,0)</f>
        <v>0.04</v>
      </c>
      <c r="J2595" s="31">
        <f>IF(COUNTIFS(Addendum!C:C,A2595,Addendum!D:D,IF(ISNUMBER(B2595),TEXT(B2595,"0000"),B2595),Addendum!F:F,"X")&gt;0,2.5%,0)</f>
        <v>0</v>
      </c>
      <c r="K2595" s="31">
        <f>IF(COUNTIFS(Addendum!C:C,A2595,Addendum!D:D,IF(ISNUMBER(B2595),TEXT(B2595,"0000"),B2595),Addendum!G:G,"X")&gt;0,7%,0)</f>
        <v>0</v>
      </c>
      <c r="L2595" s="31">
        <f>IF(COUNTIFS(Addendum!C:C,A2595,Addendum!D:D,IF(ISNUMBER(B2595),TEXT(B2595,"0000"),B2595),Addendum!I:I,"X")&gt;0,10%,0)</f>
        <v>0</v>
      </c>
      <c r="M2595" s="34">
        <f t="shared" si="80"/>
        <v>0.01</v>
      </c>
      <c r="N2595" s="17">
        <f t="shared" si="81"/>
        <v>213.84</v>
      </c>
    </row>
    <row r="2596" spans="1:14" x14ac:dyDescent="0.25">
      <c r="A2596" s="14" t="s">
        <v>966</v>
      </c>
      <c r="B2596" s="14">
        <v>5</v>
      </c>
      <c r="C2596" s="15" t="s">
        <v>2522</v>
      </c>
      <c r="D2596" s="14" t="s">
        <v>1752</v>
      </c>
      <c r="E2596" s="14" t="s">
        <v>1753</v>
      </c>
      <c r="F2596" s="17" t="s">
        <v>2995</v>
      </c>
      <c r="G2596" s="14">
        <v>4860</v>
      </c>
      <c r="H2596" s="14">
        <v>4374</v>
      </c>
      <c r="I2596" s="31">
        <f>IF(COUNTIFS(Addendum!C:C,A2596,Addendum!D:D,IF(ISNUMBER(B2596),TEXT(B2596,"0000"),B2596),Addendum!E:E,"X")&gt;0,4%,0)</f>
        <v>0.04</v>
      </c>
      <c r="J2596" s="31">
        <f>IF(COUNTIFS(Addendum!C:C,A2596,Addendum!D:D,IF(ISNUMBER(B2596),TEXT(B2596,"0000"),B2596),Addendum!F:F,"X")&gt;0,2.5%,0)</f>
        <v>0</v>
      </c>
      <c r="K2596" s="31">
        <f>IF(COUNTIFS(Addendum!C:C,A2596,Addendum!D:D,IF(ISNUMBER(B2596),TEXT(B2596,"0000"),B2596),Addendum!G:G,"X")&gt;0,7%,0)</f>
        <v>0</v>
      </c>
      <c r="L2596" s="31">
        <f>IF(COUNTIFS(Addendum!C:C,A2596,Addendum!D:D,IF(ISNUMBER(B2596),TEXT(B2596,"0000"),B2596),Addendum!I:I,"X")&gt;0,10%,0)</f>
        <v>0</v>
      </c>
      <c r="M2596" s="34">
        <f t="shared" si="80"/>
        <v>0.03</v>
      </c>
      <c r="N2596" s="17">
        <f t="shared" si="81"/>
        <v>4242.78</v>
      </c>
    </row>
    <row r="2597" spans="1:14" x14ac:dyDescent="0.25">
      <c r="A2597" s="14" t="s">
        <v>966</v>
      </c>
      <c r="B2597" s="14">
        <v>3</v>
      </c>
      <c r="C2597" s="15" t="s">
        <v>2523</v>
      </c>
      <c r="D2597" s="14" t="s">
        <v>1745</v>
      </c>
      <c r="E2597" s="14" t="s">
        <v>1746</v>
      </c>
      <c r="F2597" s="17" t="s">
        <v>2994</v>
      </c>
      <c r="G2597" s="14">
        <v>629.04</v>
      </c>
      <c r="H2597" s="14">
        <v>503.16</v>
      </c>
      <c r="I2597" s="31">
        <f>IF(COUNTIFS(Addendum!C:C,A2597,Addendum!D:D,IF(ISNUMBER(B2597),TEXT(B2597,"0000"),B2597),Addendum!E:E,"X")&gt;0,4%,0)</f>
        <v>0.04</v>
      </c>
      <c r="J2597" s="31">
        <f>IF(COUNTIFS(Addendum!C:C,A2597,Addendum!D:D,IF(ISNUMBER(B2597),TEXT(B2597,"0000"),B2597),Addendum!F:F,"X")&gt;0,2.5%,0)</f>
        <v>0</v>
      </c>
      <c r="K2597" s="31">
        <f>IF(COUNTIFS(Addendum!C:C,A2597,Addendum!D:D,IF(ISNUMBER(B2597),TEXT(B2597,"0000"),B2597),Addendum!G:G,"X")&gt;0,7%,0)</f>
        <v>0</v>
      </c>
      <c r="L2597" s="31">
        <f>IF(COUNTIFS(Addendum!C:C,A2597,Addendum!D:D,IF(ISNUMBER(B2597),TEXT(B2597,"0000"),B2597),Addendum!I:I,"X")&gt;0,10%,0)</f>
        <v>0</v>
      </c>
      <c r="M2597" s="34">
        <f t="shared" si="80"/>
        <v>0.01</v>
      </c>
      <c r="N2597" s="17">
        <f t="shared" si="81"/>
        <v>498.1284</v>
      </c>
    </row>
    <row r="2598" spans="1:14" x14ac:dyDescent="0.25">
      <c r="A2598" s="14" t="s">
        <v>966</v>
      </c>
      <c r="B2598" s="14">
        <v>4</v>
      </c>
      <c r="C2598" s="15" t="s">
        <v>2524</v>
      </c>
      <c r="D2598" s="14" t="s">
        <v>1745</v>
      </c>
      <c r="E2598" s="14" t="s">
        <v>1746</v>
      </c>
      <c r="F2598" s="17" t="s">
        <v>2994</v>
      </c>
      <c r="G2598" s="14">
        <v>838.68</v>
      </c>
      <c r="H2598" s="14">
        <v>670.92</v>
      </c>
      <c r="I2598" s="31">
        <f>IF(COUNTIFS(Addendum!C:C,A2598,Addendum!D:D,IF(ISNUMBER(B2598),TEXT(B2598,"0000"),B2598),Addendum!E:E,"X")&gt;0,4%,0)</f>
        <v>0.04</v>
      </c>
      <c r="J2598" s="31">
        <f>IF(COUNTIFS(Addendum!C:C,A2598,Addendum!D:D,IF(ISNUMBER(B2598),TEXT(B2598,"0000"),B2598),Addendum!F:F,"X")&gt;0,2.5%,0)</f>
        <v>0</v>
      </c>
      <c r="K2598" s="31">
        <f>IF(COUNTIFS(Addendum!C:C,A2598,Addendum!D:D,IF(ISNUMBER(B2598),TEXT(B2598,"0000"),B2598),Addendum!G:G,"X")&gt;0,7%,0)</f>
        <v>0</v>
      </c>
      <c r="L2598" s="31">
        <f>IF(COUNTIFS(Addendum!C:C,A2598,Addendum!D:D,IF(ISNUMBER(B2598),TEXT(B2598,"0000"),B2598),Addendum!I:I,"X")&gt;0,10%,0)</f>
        <v>0</v>
      </c>
      <c r="M2598" s="34">
        <f t="shared" si="80"/>
        <v>0.01</v>
      </c>
      <c r="N2598" s="17">
        <f t="shared" si="81"/>
        <v>664.21079999999995</v>
      </c>
    </row>
    <row r="2599" spans="1:14" x14ac:dyDescent="0.25">
      <c r="A2599" s="14" t="s">
        <v>966</v>
      </c>
      <c r="B2599" s="14">
        <v>2</v>
      </c>
      <c r="C2599" s="15" t="s">
        <v>965</v>
      </c>
      <c r="D2599" s="14" t="s">
        <v>1745</v>
      </c>
      <c r="E2599" s="14" t="s">
        <v>1747</v>
      </c>
      <c r="F2599" s="17" t="s">
        <v>2993</v>
      </c>
      <c r="G2599" s="14">
        <v>4020</v>
      </c>
      <c r="H2599" s="14">
        <v>3216</v>
      </c>
      <c r="I2599" s="31">
        <f>IF(COUNTIFS(Addendum!C:C,A2599,Addendum!D:D,IF(ISNUMBER(B2599),TEXT(B2599,"0000"),B2599),Addendum!E:E,"X")&gt;0,4%,0)</f>
        <v>0.04</v>
      </c>
      <c r="J2599" s="31">
        <f>IF(COUNTIFS(Addendum!C:C,A2599,Addendum!D:D,IF(ISNUMBER(B2599),TEXT(B2599,"0000"),B2599),Addendum!F:F,"X")&gt;0,2.5%,0)</f>
        <v>0</v>
      </c>
      <c r="K2599" s="31">
        <f>IF(COUNTIFS(Addendum!C:C,A2599,Addendum!D:D,IF(ISNUMBER(B2599),TEXT(B2599,"0000"),B2599),Addendum!G:G,"X")&gt;0,7%,0)</f>
        <v>0</v>
      </c>
      <c r="L2599" s="31">
        <f>IF(COUNTIFS(Addendum!C:C,A2599,Addendum!D:D,IF(ISNUMBER(B2599),TEXT(B2599,"0000"),B2599),Addendum!I:I,"X")&gt;0,10%,0)</f>
        <v>0</v>
      </c>
      <c r="M2599" s="34">
        <f t="shared" si="80"/>
        <v>0.03</v>
      </c>
      <c r="N2599" s="17">
        <f t="shared" si="81"/>
        <v>3119.52</v>
      </c>
    </row>
    <row r="2600" spans="1:14" x14ac:dyDescent="0.25">
      <c r="A2600" s="14" t="s">
        <v>966</v>
      </c>
      <c r="B2600" s="14">
        <v>3</v>
      </c>
      <c r="C2600" s="15" t="s">
        <v>2523</v>
      </c>
      <c r="D2600" s="14" t="s">
        <v>1745</v>
      </c>
      <c r="E2600" s="14" t="s">
        <v>1747</v>
      </c>
      <c r="F2600" s="17" t="s">
        <v>2994</v>
      </c>
      <c r="G2600" s="14">
        <v>599.04</v>
      </c>
      <c r="H2600" s="14">
        <v>479.23</v>
      </c>
      <c r="I2600" s="31">
        <f>IF(COUNTIFS(Addendum!C:C,A2600,Addendum!D:D,IF(ISNUMBER(B2600),TEXT(B2600,"0000"),B2600),Addendum!E:E,"X")&gt;0,4%,0)</f>
        <v>0.04</v>
      </c>
      <c r="J2600" s="31">
        <f>IF(COUNTIFS(Addendum!C:C,A2600,Addendum!D:D,IF(ISNUMBER(B2600),TEXT(B2600,"0000"),B2600),Addendum!F:F,"X")&gt;0,2.5%,0)</f>
        <v>0</v>
      </c>
      <c r="K2600" s="31">
        <f>IF(COUNTIFS(Addendum!C:C,A2600,Addendum!D:D,IF(ISNUMBER(B2600),TEXT(B2600,"0000"),B2600),Addendum!G:G,"X")&gt;0,7%,0)</f>
        <v>0</v>
      </c>
      <c r="L2600" s="31">
        <f>IF(COUNTIFS(Addendum!C:C,A2600,Addendum!D:D,IF(ISNUMBER(B2600),TEXT(B2600,"0000"),B2600),Addendum!I:I,"X")&gt;0,10%,0)</f>
        <v>0</v>
      </c>
      <c r="M2600" s="34">
        <f t="shared" si="80"/>
        <v>0.03</v>
      </c>
      <c r="N2600" s="17">
        <f t="shared" si="81"/>
        <v>464.85310000000004</v>
      </c>
    </row>
    <row r="2601" spans="1:14" x14ac:dyDescent="0.25">
      <c r="A2601" s="14" t="s">
        <v>966</v>
      </c>
      <c r="B2601" s="14">
        <v>3</v>
      </c>
      <c r="C2601" s="15" t="s">
        <v>2523</v>
      </c>
      <c r="D2601" s="14" t="s">
        <v>1752</v>
      </c>
      <c r="E2601" s="14" t="s">
        <v>1753</v>
      </c>
      <c r="F2601" s="17" t="s">
        <v>2994</v>
      </c>
      <c r="G2601" s="14">
        <v>1797.12</v>
      </c>
      <c r="H2601" s="14">
        <v>1437.7</v>
      </c>
      <c r="I2601" s="31">
        <f>IF(COUNTIFS(Addendum!C:C,A2601,Addendum!D:D,IF(ISNUMBER(B2601),TEXT(B2601,"0000"),B2601),Addendum!E:E,"X")&gt;0,4%,0)</f>
        <v>0.04</v>
      </c>
      <c r="J2601" s="31">
        <f>IF(COUNTIFS(Addendum!C:C,A2601,Addendum!D:D,IF(ISNUMBER(B2601),TEXT(B2601,"0000"),B2601),Addendum!F:F,"X")&gt;0,2.5%,0)</f>
        <v>0</v>
      </c>
      <c r="K2601" s="31">
        <f>IF(COUNTIFS(Addendum!C:C,A2601,Addendum!D:D,IF(ISNUMBER(B2601),TEXT(B2601,"0000"),B2601),Addendum!G:G,"X")&gt;0,7%,0)</f>
        <v>0</v>
      </c>
      <c r="L2601" s="31">
        <f>IF(COUNTIFS(Addendum!C:C,A2601,Addendum!D:D,IF(ISNUMBER(B2601),TEXT(B2601,"0000"),B2601),Addendum!I:I,"X")&gt;0,10%,0)</f>
        <v>0</v>
      </c>
      <c r="M2601" s="34">
        <f t="shared" si="80"/>
        <v>0.03</v>
      </c>
      <c r="N2601" s="17">
        <f t="shared" si="81"/>
        <v>1394.569</v>
      </c>
    </row>
    <row r="2602" spans="1:14" x14ac:dyDescent="0.25">
      <c r="A2602" s="14" t="s">
        <v>966</v>
      </c>
      <c r="B2602" s="14">
        <v>4</v>
      </c>
      <c r="C2602" s="15" t="s">
        <v>2524</v>
      </c>
      <c r="D2602" s="14" t="s">
        <v>1752</v>
      </c>
      <c r="E2602" s="14" t="s">
        <v>1746</v>
      </c>
      <c r="F2602" s="17" t="s">
        <v>2994</v>
      </c>
      <c r="G2602" s="14">
        <v>2516.04</v>
      </c>
      <c r="H2602" s="14">
        <v>2012.76</v>
      </c>
      <c r="I2602" s="31">
        <f>IF(COUNTIFS(Addendum!C:C,A2602,Addendum!D:D,IF(ISNUMBER(B2602),TEXT(B2602,"0000"),B2602),Addendum!E:E,"X")&gt;0,4%,0)</f>
        <v>0.04</v>
      </c>
      <c r="J2602" s="31">
        <f>IF(COUNTIFS(Addendum!C:C,A2602,Addendum!D:D,IF(ISNUMBER(B2602),TEXT(B2602,"0000"),B2602),Addendum!F:F,"X")&gt;0,2.5%,0)</f>
        <v>0</v>
      </c>
      <c r="K2602" s="31">
        <f>IF(COUNTIFS(Addendum!C:C,A2602,Addendum!D:D,IF(ISNUMBER(B2602),TEXT(B2602,"0000"),B2602),Addendum!G:G,"X")&gt;0,7%,0)</f>
        <v>0</v>
      </c>
      <c r="L2602" s="31">
        <f>IF(COUNTIFS(Addendum!C:C,A2602,Addendum!D:D,IF(ISNUMBER(B2602),TEXT(B2602,"0000"),B2602),Addendum!I:I,"X")&gt;0,10%,0)</f>
        <v>0</v>
      </c>
      <c r="M2602" s="34">
        <f t="shared" si="80"/>
        <v>0.01</v>
      </c>
      <c r="N2602" s="17">
        <f t="shared" si="81"/>
        <v>1992.6324</v>
      </c>
    </row>
    <row r="2603" spans="1:14" x14ac:dyDescent="0.25">
      <c r="A2603" s="14" t="s">
        <v>966</v>
      </c>
      <c r="B2603" s="14">
        <v>4</v>
      </c>
      <c r="C2603" s="15" t="s">
        <v>2524</v>
      </c>
      <c r="D2603" s="14" t="s">
        <v>1752</v>
      </c>
      <c r="E2603" s="14" t="s">
        <v>1753</v>
      </c>
      <c r="F2603" s="17" t="s">
        <v>2994</v>
      </c>
      <c r="G2603" s="14">
        <v>2396.16</v>
      </c>
      <c r="H2603" s="14">
        <v>1916.93</v>
      </c>
      <c r="I2603" s="31">
        <f>IF(COUNTIFS(Addendum!C:C,A2603,Addendum!D:D,IF(ISNUMBER(B2603),TEXT(B2603,"0000"),B2603),Addendum!E:E,"X")&gt;0,4%,0)</f>
        <v>0.04</v>
      </c>
      <c r="J2603" s="31">
        <f>IF(COUNTIFS(Addendum!C:C,A2603,Addendum!D:D,IF(ISNUMBER(B2603),TEXT(B2603,"0000"),B2603),Addendum!F:F,"X")&gt;0,2.5%,0)</f>
        <v>0</v>
      </c>
      <c r="K2603" s="31">
        <f>IF(COUNTIFS(Addendum!C:C,A2603,Addendum!D:D,IF(ISNUMBER(B2603),TEXT(B2603,"0000"),B2603),Addendum!G:G,"X")&gt;0,7%,0)</f>
        <v>0</v>
      </c>
      <c r="L2603" s="31">
        <f>IF(COUNTIFS(Addendum!C:C,A2603,Addendum!D:D,IF(ISNUMBER(B2603),TEXT(B2603,"0000"),B2603),Addendum!I:I,"X")&gt;0,10%,0)</f>
        <v>0</v>
      </c>
      <c r="M2603" s="34">
        <f t="shared" si="80"/>
        <v>0.03</v>
      </c>
      <c r="N2603" s="17">
        <f t="shared" si="81"/>
        <v>1859.4221</v>
      </c>
    </row>
    <row r="2604" spans="1:14" x14ac:dyDescent="0.25">
      <c r="A2604" s="14" t="s">
        <v>966</v>
      </c>
      <c r="B2604" s="14">
        <v>5</v>
      </c>
      <c r="C2604" s="15" t="s">
        <v>2522</v>
      </c>
      <c r="D2604" s="14" t="s">
        <v>1745</v>
      </c>
      <c r="E2604" s="14" t="s">
        <v>1747</v>
      </c>
      <c r="F2604" s="17" t="s">
        <v>2995</v>
      </c>
      <c r="G2604" s="14">
        <v>1620</v>
      </c>
      <c r="H2604" s="14">
        <v>1458</v>
      </c>
      <c r="I2604" s="31">
        <f>IF(COUNTIFS(Addendum!C:C,A2604,Addendum!D:D,IF(ISNUMBER(B2604),TEXT(B2604,"0000"),B2604),Addendum!E:E,"X")&gt;0,4%,0)</f>
        <v>0.04</v>
      </c>
      <c r="J2604" s="31">
        <f>IF(COUNTIFS(Addendum!C:C,A2604,Addendum!D:D,IF(ISNUMBER(B2604),TEXT(B2604,"0000"),B2604),Addendum!F:F,"X")&gt;0,2.5%,0)</f>
        <v>0</v>
      </c>
      <c r="K2604" s="31">
        <f>IF(COUNTIFS(Addendum!C:C,A2604,Addendum!D:D,IF(ISNUMBER(B2604),TEXT(B2604,"0000"),B2604),Addendum!G:G,"X")&gt;0,7%,0)</f>
        <v>0</v>
      </c>
      <c r="L2604" s="31">
        <f>IF(COUNTIFS(Addendum!C:C,A2604,Addendum!D:D,IF(ISNUMBER(B2604),TEXT(B2604,"0000"),B2604),Addendum!I:I,"X")&gt;0,10%,0)</f>
        <v>0</v>
      </c>
      <c r="M2604" s="34">
        <f t="shared" si="80"/>
        <v>0.03</v>
      </c>
      <c r="N2604" s="17">
        <f t="shared" si="81"/>
        <v>1414.26</v>
      </c>
    </row>
    <row r="2605" spans="1:14" x14ac:dyDescent="0.25">
      <c r="A2605" s="14" t="s">
        <v>966</v>
      </c>
      <c r="B2605" s="14">
        <v>3</v>
      </c>
      <c r="C2605" s="15" t="s">
        <v>2523</v>
      </c>
      <c r="D2605" s="14" t="s">
        <v>1749</v>
      </c>
      <c r="E2605" s="14" t="s">
        <v>1746</v>
      </c>
      <c r="F2605" s="17" t="s">
        <v>2994</v>
      </c>
      <c r="G2605" s="14">
        <v>59.9</v>
      </c>
      <c r="H2605" s="14">
        <v>47.92</v>
      </c>
      <c r="I2605" s="31">
        <f>IF(COUNTIFS(Addendum!C:C,A2605,Addendum!D:D,IF(ISNUMBER(B2605),TEXT(B2605,"0000"),B2605),Addendum!E:E,"X")&gt;0,4%,0)</f>
        <v>0.04</v>
      </c>
      <c r="J2605" s="31">
        <f>IF(COUNTIFS(Addendum!C:C,A2605,Addendum!D:D,IF(ISNUMBER(B2605),TEXT(B2605,"0000"),B2605),Addendum!F:F,"X")&gt;0,2.5%,0)</f>
        <v>0</v>
      </c>
      <c r="K2605" s="31">
        <f>IF(COUNTIFS(Addendum!C:C,A2605,Addendum!D:D,IF(ISNUMBER(B2605),TEXT(B2605,"0000"),B2605),Addendum!G:G,"X")&gt;0,7%,0)</f>
        <v>0</v>
      </c>
      <c r="L2605" s="31">
        <f>IF(COUNTIFS(Addendum!C:C,A2605,Addendum!D:D,IF(ISNUMBER(B2605),TEXT(B2605,"0000"),B2605),Addendum!I:I,"X")&gt;0,10%,0)</f>
        <v>0</v>
      </c>
      <c r="M2605" s="34">
        <f t="shared" si="80"/>
        <v>0.01</v>
      </c>
      <c r="N2605" s="17">
        <f t="shared" si="81"/>
        <v>47.440800000000003</v>
      </c>
    </row>
    <row r="2606" spans="1:14" x14ac:dyDescent="0.25">
      <c r="A2606" s="14" t="s">
        <v>966</v>
      </c>
      <c r="B2606" s="14">
        <v>5</v>
      </c>
      <c r="C2606" s="15" t="s">
        <v>2522</v>
      </c>
      <c r="D2606" s="14" t="s">
        <v>1752</v>
      </c>
      <c r="E2606" s="14" t="s">
        <v>1747</v>
      </c>
      <c r="F2606" s="17" t="s">
        <v>2995</v>
      </c>
      <c r="G2606" s="14">
        <v>4860</v>
      </c>
      <c r="H2606" s="14">
        <v>4374</v>
      </c>
      <c r="I2606" s="31">
        <f>IF(COUNTIFS(Addendum!C:C,A2606,Addendum!D:D,IF(ISNUMBER(B2606),TEXT(B2606,"0000"),B2606),Addendum!E:E,"X")&gt;0,4%,0)</f>
        <v>0.04</v>
      </c>
      <c r="J2606" s="31">
        <f>IF(COUNTIFS(Addendum!C:C,A2606,Addendum!D:D,IF(ISNUMBER(B2606),TEXT(B2606,"0000"),B2606),Addendum!F:F,"X")&gt;0,2.5%,0)</f>
        <v>0</v>
      </c>
      <c r="K2606" s="31">
        <f>IF(COUNTIFS(Addendum!C:C,A2606,Addendum!D:D,IF(ISNUMBER(B2606),TEXT(B2606,"0000"),B2606),Addendum!G:G,"X")&gt;0,7%,0)</f>
        <v>0</v>
      </c>
      <c r="L2606" s="31">
        <f>IF(COUNTIFS(Addendum!C:C,A2606,Addendum!D:D,IF(ISNUMBER(B2606),TEXT(B2606,"0000"),B2606),Addendum!I:I,"X")&gt;0,10%,0)</f>
        <v>0</v>
      </c>
      <c r="M2606" s="34">
        <f t="shared" si="80"/>
        <v>0.03</v>
      </c>
      <c r="N2606" s="17">
        <f t="shared" si="81"/>
        <v>4242.78</v>
      </c>
    </row>
    <row r="2607" spans="1:14" x14ac:dyDescent="0.25">
      <c r="A2607" s="14" t="s">
        <v>966</v>
      </c>
      <c r="B2607" s="14" t="s">
        <v>24</v>
      </c>
      <c r="C2607" s="15" t="s">
        <v>968</v>
      </c>
      <c r="D2607" s="14" t="s">
        <v>1745</v>
      </c>
      <c r="E2607" s="14" t="s">
        <v>1747</v>
      </c>
      <c r="F2607" s="17" t="s">
        <v>2993</v>
      </c>
      <c r="G2607" s="14">
        <v>2700</v>
      </c>
      <c r="H2607" s="14">
        <v>2160</v>
      </c>
      <c r="I2607" s="31">
        <f>IF(COUNTIFS(Addendum!C:C,A2607,Addendum!D:D,IF(ISNUMBER(B2607),TEXT(B2607,"0000"),B2607),Addendum!E:E,"X")&gt;0,4%,0)</f>
        <v>0.04</v>
      </c>
      <c r="J2607" s="31">
        <f>IF(COUNTIFS(Addendum!C:C,A2607,Addendum!D:D,IF(ISNUMBER(B2607),TEXT(B2607,"0000"),B2607),Addendum!F:F,"X")&gt;0,2.5%,0)</f>
        <v>0</v>
      </c>
      <c r="K2607" s="31">
        <f>IF(COUNTIFS(Addendum!C:C,A2607,Addendum!D:D,IF(ISNUMBER(B2607),TEXT(B2607,"0000"),B2607),Addendum!G:G,"X")&gt;0,7%,0)</f>
        <v>0</v>
      </c>
      <c r="L2607" s="31">
        <f>IF(COUNTIFS(Addendum!C:C,A2607,Addendum!D:D,IF(ISNUMBER(B2607),TEXT(B2607,"0000"),B2607),Addendum!I:I,"X")&gt;0,10%,0)</f>
        <v>0</v>
      </c>
      <c r="M2607" s="34">
        <f t="shared" si="80"/>
        <v>0.03</v>
      </c>
      <c r="N2607" s="17">
        <f t="shared" si="81"/>
        <v>2095.1999999999998</v>
      </c>
    </row>
    <row r="2608" spans="1:14" x14ac:dyDescent="0.25">
      <c r="A2608" s="14" t="s">
        <v>966</v>
      </c>
      <c r="B2608" s="14">
        <v>2</v>
      </c>
      <c r="C2608" s="15" t="s">
        <v>965</v>
      </c>
      <c r="D2608" s="14" t="s">
        <v>1749</v>
      </c>
      <c r="E2608" s="14" t="s">
        <v>1746</v>
      </c>
      <c r="F2608" s="17" t="s">
        <v>2993</v>
      </c>
      <c r="G2608" s="14">
        <v>402</v>
      </c>
      <c r="H2608" s="14">
        <v>321.60000000000002</v>
      </c>
      <c r="I2608" s="31">
        <f>IF(COUNTIFS(Addendum!C:C,A2608,Addendum!D:D,IF(ISNUMBER(B2608),TEXT(B2608,"0000"),B2608),Addendum!E:E,"X")&gt;0,4%,0)</f>
        <v>0.04</v>
      </c>
      <c r="J2608" s="31">
        <f>IF(COUNTIFS(Addendum!C:C,A2608,Addendum!D:D,IF(ISNUMBER(B2608),TEXT(B2608,"0000"),B2608),Addendum!F:F,"X")&gt;0,2.5%,0)</f>
        <v>0</v>
      </c>
      <c r="K2608" s="31">
        <f>IF(COUNTIFS(Addendum!C:C,A2608,Addendum!D:D,IF(ISNUMBER(B2608),TEXT(B2608,"0000"),B2608),Addendum!G:G,"X")&gt;0,7%,0)</f>
        <v>0</v>
      </c>
      <c r="L2608" s="31">
        <f>IF(COUNTIFS(Addendum!C:C,A2608,Addendum!D:D,IF(ISNUMBER(B2608),TEXT(B2608,"0000"),B2608),Addendum!I:I,"X")&gt;0,10%,0)</f>
        <v>0</v>
      </c>
      <c r="M2608" s="34">
        <f t="shared" si="80"/>
        <v>0.01</v>
      </c>
      <c r="N2608" s="17">
        <f t="shared" si="81"/>
        <v>318.38400000000001</v>
      </c>
    </row>
    <row r="2609" spans="1:14" x14ac:dyDescent="0.25">
      <c r="A2609" s="14" t="s">
        <v>966</v>
      </c>
      <c r="B2609" s="14">
        <v>3</v>
      </c>
      <c r="C2609" s="15" t="s">
        <v>2523</v>
      </c>
      <c r="D2609" s="14" t="s">
        <v>1752</v>
      </c>
      <c r="E2609" s="14" t="s">
        <v>1747</v>
      </c>
      <c r="F2609" s="17" t="s">
        <v>2994</v>
      </c>
      <c r="G2609" s="14">
        <v>1797.12</v>
      </c>
      <c r="H2609" s="14">
        <v>1437.69</v>
      </c>
      <c r="I2609" s="31">
        <f>IF(COUNTIFS(Addendum!C:C,A2609,Addendum!D:D,IF(ISNUMBER(B2609),TEXT(B2609,"0000"),B2609),Addendum!E:E,"X")&gt;0,4%,0)</f>
        <v>0.04</v>
      </c>
      <c r="J2609" s="31">
        <f>IF(COUNTIFS(Addendum!C:C,A2609,Addendum!D:D,IF(ISNUMBER(B2609),TEXT(B2609,"0000"),B2609),Addendum!F:F,"X")&gt;0,2.5%,0)</f>
        <v>0</v>
      </c>
      <c r="K2609" s="31">
        <f>IF(COUNTIFS(Addendum!C:C,A2609,Addendum!D:D,IF(ISNUMBER(B2609),TEXT(B2609,"0000"),B2609),Addendum!G:G,"X")&gt;0,7%,0)</f>
        <v>0</v>
      </c>
      <c r="L2609" s="31">
        <f>IF(COUNTIFS(Addendum!C:C,A2609,Addendum!D:D,IF(ISNUMBER(B2609),TEXT(B2609,"0000"),B2609),Addendum!I:I,"X")&gt;0,10%,0)</f>
        <v>0</v>
      </c>
      <c r="M2609" s="34">
        <f t="shared" si="80"/>
        <v>0.03</v>
      </c>
      <c r="N2609" s="17">
        <f t="shared" si="81"/>
        <v>1394.5593000000001</v>
      </c>
    </row>
    <row r="2610" spans="1:14" x14ac:dyDescent="0.25">
      <c r="A2610" s="14" t="s">
        <v>966</v>
      </c>
      <c r="B2610" s="14">
        <v>4</v>
      </c>
      <c r="C2610" s="15" t="s">
        <v>2524</v>
      </c>
      <c r="D2610" s="14" t="s">
        <v>1749</v>
      </c>
      <c r="E2610" s="14" t="s">
        <v>1746</v>
      </c>
      <c r="F2610" s="17" t="s">
        <v>2994</v>
      </c>
      <c r="G2610" s="14">
        <v>79.87</v>
      </c>
      <c r="H2610" s="14">
        <v>63.9</v>
      </c>
      <c r="I2610" s="31">
        <f>IF(COUNTIFS(Addendum!C:C,A2610,Addendum!D:D,IF(ISNUMBER(B2610),TEXT(B2610,"0000"),B2610),Addendum!E:E,"X")&gt;0,4%,0)</f>
        <v>0.04</v>
      </c>
      <c r="J2610" s="31">
        <f>IF(COUNTIFS(Addendum!C:C,A2610,Addendum!D:D,IF(ISNUMBER(B2610),TEXT(B2610,"0000"),B2610),Addendum!F:F,"X")&gt;0,2.5%,0)</f>
        <v>0</v>
      </c>
      <c r="K2610" s="31">
        <f>IF(COUNTIFS(Addendum!C:C,A2610,Addendum!D:D,IF(ISNUMBER(B2610),TEXT(B2610,"0000"),B2610),Addendum!G:G,"X")&gt;0,7%,0)</f>
        <v>0</v>
      </c>
      <c r="L2610" s="31">
        <f>IF(COUNTIFS(Addendum!C:C,A2610,Addendum!D:D,IF(ISNUMBER(B2610),TEXT(B2610,"0000"),B2610),Addendum!I:I,"X")&gt;0,10%,0)</f>
        <v>0</v>
      </c>
      <c r="M2610" s="34">
        <f t="shared" si="80"/>
        <v>0.01</v>
      </c>
      <c r="N2610" s="17">
        <f t="shared" si="81"/>
        <v>63.260999999999996</v>
      </c>
    </row>
    <row r="2611" spans="1:14" x14ac:dyDescent="0.25">
      <c r="A2611" s="14" t="s">
        <v>966</v>
      </c>
      <c r="B2611" s="14">
        <v>2</v>
      </c>
      <c r="C2611" s="15" t="s">
        <v>965</v>
      </c>
      <c r="D2611" s="14" t="s">
        <v>1745</v>
      </c>
      <c r="E2611" s="14" t="s">
        <v>1746</v>
      </c>
      <c r="F2611" s="17" t="s">
        <v>2993</v>
      </c>
      <c r="G2611" s="14">
        <v>4221</v>
      </c>
      <c r="H2611" s="14">
        <v>3376.8</v>
      </c>
      <c r="I2611" s="31">
        <f>IF(COUNTIFS(Addendum!C:C,A2611,Addendum!D:D,IF(ISNUMBER(B2611),TEXT(B2611,"0000"),B2611),Addendum!E:E,"X")&gt;0,4%,0)</f>
        <v>0.04</v>
      </c>
      <c r="J2611" s="31">
        <f>IF(COUNTIFS(Addendum!C:C,A2611,Addendum!D:D,IF(ISNUMBER(B2611),TEXT(B2611,"0000"),B2611),Addendum!F:F,"X")&gt;0,2.5%,0)</f>
        <v>0</v>
      </c>
      <c r="K2611" s="31">
        <f>IF(COUNTIFS(Addendum!C:C,A2611,Addendum!D:D,IF(ISNUMBER(B2611),TEXT(B2611,"0000"),B2611),Addendum!G:G,"X")&gt;0,7%,0)</f>
        <v>0</v>
      </c>
      <c r="L2611" s="31">
        <f>IF(COUNTIFS(Addendum!C:C,A2611,Addendum!D:D,IF(ISNUMBER(B2611),TEXT(B2611,"0000"),B2611),Addendum!I:I,"X")&gt;0,10%,0)</f>
        <v>0</v>
      </c>
      <c r="M2611" s="34">
        <f t="shared" si="80"/>
        <v>0.01</v>
      </c>
      <c r="N2611" s="17">
        <f t="shared" si="81"/>
        <v>3343.0320000000002</v>
      </c>
    </row>
    <row r="2612" spans="1:14" x14ac:dyDescent="0.25">
      <c r="A2612" s="14" t="s">
        <v>966</v>
      </c>
      <c r="B2612" s="14">
        <v>4</v>
      </c>
      <c r="C2612" s="15" t="s">
        <v>2524</v>
      </c>
      <c r="D2612" s="14" t="s">
        <v>1745</v>
      </c>
      <c r="E2612" s="14" t="s">
        <v>1747</v>
      </c>
      <c r="F2612" s="17" t="s">
        <v>2994</v>
      </c>
      <c r="G2612" s="14">
        <v>798.72</v>
      </c>
      <c r="H2612" s="14">
        <v>638.98</v>
      </c>
      <c r="I2612" s="31">
        <f>IF(COUNTIFS(Addendum!C:C,A2612,Addendum!D:D,IF(ISNUMBER(B2612),TEXT(B2612,"0000"),B2612),Addendum!E:E,"X")&gt;0,4%,0)</f>
        <v>0.04</v>
      </c>
      <c r="J2612" s="31">
        <f>IF(COUNTIFS(Addendum!C:C,A2612,Addendum!D:D,IF(ISNUMBER(B2612),TEXT(B2612,"0000"),B2612),Addendum!F:F,"X")&gt;0,2.5%,0)</f>
        <v>0</v>
      </c>
      <c r="K2612" s="31">
        <f>IF(COUNTIFS(Addendum!C:C,A2612,Addendum!D:D,IF(ISNUMBER(B2612),TEXT(B2612,"0000"),B2612),Addendum!G:G,"X")&gt;0,7%,0)</f>
        <v>0</v>
      </c>
      <c r="L2612" s="31">
        <f>IF(COUNTIFS(Addendum!C:C,A2612,Addendum!D:D,IF(ISNUMBER(B2612),TEXT(B2612,"0000"),B2612),Addendum!I:I,"X")&gt;0,10%,0)</f>
        <v>0</v>
      </c>
      <c r="M2612" s="34">
        <f t="shared" si="80"/>
        <v>0.03</v>
      </c>
      <c r="N2612" s="17">
        <f t="shared" si="81"/>
        <v>619.81060000000002</v>
      </c>
    </row>
    <row r="2613" spans="1:14" x14ac:dyDescent="0.25">
      <c r="A2613" s="14" t="s">
        <v>973</v>
      </c>
      <c r="B2613" s="14">
        <v>1</v>
      </c>
      <c r="C2613" s="15" t="s">
        <v>972</v>
      </c>
      <c r="D2613" s="14" t="s">
        <v>1749</v>
      </c>
      <c r="E2613" s="14" t="s">
        <v>1746</v>
      </c>
      <c r="F2613" s="17" t="s">
        <v>2993</v>
      </c>
      <c r="G2613" s="14">
        <v>234</v>
      </c>
      <c r="H2613" s="14">
        <v>187.2</v>
      </c>
      <c r="I2613" s="31">
        <f>IF(COUNTIFS(Addendum!C:C,A2613,Addendum!D:D,IF(ISNUMBER(B2613),TEXT(B2613,"0000"),B2613),Addendum!E:E,"X")&gt;0,4%,0)</f>
        <v>0.04</v>
      </c>
      <c r="J2613" s="31">
        <f>IF(COUNTIFS(Addendum!C:C,A2613,Addendum!D:D,IF(ISNUMBER(B2613),TEXT(B2613,"0000"),B2613),Addendum!F:F,"X")&gt;0,2.5%,0)</f>
        <v>0</v>
      </c>
      <c r="K2613" s="31">
        <f>IF(COUNTIFS(Addendum!C:C,A2613,Addendum!D:D,IF(ISNUMBER(B2613),TEXT(B2613,"0000"),B2613),Addendum!G:G,"X")&gt;0,7%,0)</f>
        <v>0</v>
      </c>
      <c r="L2613" s="31">
        <f>IF(COUNTIFS(Addendum!C:C,A2613,Addendum!D:D,IF(ISNUMBER(B2613),TEXT(B2613,"0000"),B2613),Addendum!I:I,"X")&gt;0,10%,0)</f>
        <v>0</v>
      </c>
      <c r="M2613" s="34">
        <f t="shared" si="80"/>
        <v>0.01</v>
      </c>
      <c r="N2613" s="17">
        <f t="shared" si="81"/>
        <v>185.32799999999997</v>
      </c>
    </row>
    <row r="2614" spans="1:14" x14ac:dyDescent="0.25">
      <c r="A2614" s="14" t="s">
        <v>973</v>
      </c>
      <c r="B2614" s="14">
        <v>1</v>
      </c>
      <c r="C2614" s="15" t="s">
        <v>972</v>
      </c>
      <c r="D2614" s="14" t="s">
        <v>1745</v>
      </c>
      <c r="E2614" s="14" t="s">
        <v>1746</v>
      </c>
      <c r="F2614" s="17" t="s">
        <v>2993</v>
      </c>
      <c r="G2614" s="14">
        <v>2457</v>
      </c>
      <c r="H2614" s="14">
        <v>1965.6</v>
      </c>
      <c r="I2614" s="31">
        <f>IF(COUNTIFS(Addendum!C:C,A2614,Addendum!D:D,IF(ISNUMBER(B2614),TEXT(B2614,"0000"),B2614),Addendum!E:E,"X")&gt;0,4%,0)</f>
        <v>0.04</v>
      </c>
      <c r="J2614" s="31">
        <f>IF(COUNTIFS(Addendum!C:C,A2614,Addendum!D:D,IF(ISNUMBER(B2614),TEXT(B2614,"0000"),B2614),Addendum!F:F,"X")&gt;0,2.5%,0)</f>
        <v>0</v>
      </c>
      <c r="K2614" s="31">
        <f>IF(COUNTIFS(Addendum!C:C,A2614,Addendum!D:D,IF(ISNUMBER(B2614),TEXT(B2614,"0000"),B2614),Addendum!G:G,"X")&gt;0,7%,0)</f>
        <v>0</v>
      </c>
      <c r="L2614" s="31">
        <f>IF(COUNTIFS(Addendum!C:C,A2614,Addendum!D:D,IF(ISNUMBER(B2614),TEXT(B2614,"0000"),B2614),Addendum!I:I,"X")&gt;0,10%,0)</f>
        <v>0</v>
      </c>
      <c r="M2614" s="34">
        <f t="shared" si="80"/>
        <v>0.01</v>
      </c>
      <c r="N2614" s="17">
        <f t="shared" si="81"/>
        <v>1945.944</v>
      </c>
    </row>
    <row r="2615" spans="1:14" x14ac:dyDescent="0.25">
      <c r="A2615" s="14" t="s">
        <v>973</v>
      </c>
      <c r="B2615" s="14">
        <v>1</v>
      </c>
      <c r="C2615" s="15" t="s">
        <v>972</v>
      </c>
      <c r="D2615" s="14" t="s">
        <v>1745</v>
      </c>
      <c r="E2615" s="14" t="s">
        <v>1747</v>
      </c>
      <c r="F2615" s="17" t="s">
        <v>2993</v>
      </c>
      <c r="G2615" s="14">
        <v>2340</v>
      </c>
      <c r="H2615" s="14">
        <v>1872</v>
      </c>
      <c r="I2615" s="31">
        <f>IF(COUNTIFS(Addendum!C:C,A2615,Addendum!D:D,IF(ISNUMBER(B2615),TEXT(B2615,"0000"),B2615),Addendum!E:E,"X")&gt;0,4%,0)</f>
        <v>0.04</v>
      </c>
      <c r="J2615" s="31">
        <f>IF(COUNTIFS(Addendum!C:C,A2615,Addendum!D:D,IF(ISNUMBER(B2615),TEXT(B2615,"0000"),B2615),Addendum!F:F,"X")&gt;0,2.5%,0)</f>
        <v>0</v>
      </c>
      <c r="K2615" s="31">
        <f>IF(COUNTIFS(Addendum!C:C,A2615,Addendum!D:D,IF(ISNUMBER(B2615),TEXT(B2615,"0000"),B2615),Addendum!G:G,"X")&gt;0,7%,0)</f>
        <v>0</v>
      </c>
      <c r="L2615" s="31">
        <f>IF(COUNTIFS(Addendum!C:C,A2615,Addendum!D:D,IF(ISNUMBER(B2615),TEXT(B2615,"0000"),B2615),Addendum!I:I,"X")&gt;0,10%,0)</f>
        <v>0</v>
      </c>
      <c r="M2615" s="34">
        <f t="shared" si="80"/>
        <v>0.03</v>
      </c>
      <c r="N2615" s="17">
        <f t="shared" si="81"/>
        <v>1815.84</v>
      </c>
    </row>
    <row r="2616" spans="1:14" x14ac:dyDescent="0.25">
      <c r="A2616" s="14" t="s">
        <v>976</v>
      </c>
      <c r="B2616" s="14">
        <v>6</v>
      </c>
      <c r="C2616" s="15" t="s">
        <v>2525</v>
      </c>
      <c r="D2616" s="14" t="s">
        <v>1749</v>
      </c>
      <c r="E2616" s="14" t="s">
        <v>1746</v>
      </c>
      <c r="F2616" s="17" t="s">
        <v>2994</v>
      </c>
      <c r="G2616" s="14">
        <v>150</v>
      </c>
      <c r="H2616" s="14">
        <v>120</v>
      </c>
      <c r="I2616" s="31">
        <f>IF(COUNTIFS(Addendum!C:C,A2616,Addendum!D:D,IF(ISNUMBER(B2616),TEXT(B2616,"0000"),B2616),Addendum!E:E,"X")&gt;0,4%,0)</f>
        <v>0.04</v>
      </c>
      <c r="J2616" s="31">
        <f>IF(COUNTIFS(Addendum!C:C,A2616,Addendum!D:D,IF(ISNUMBER(B2616),TEXT(B2616,"0000"),B2616),Addendum!F:F,"X")&gt;0,2.5%,0)</f>
        <v>0</v>
      </c>
      <c r="K2616" s="31">
        <f>IF(COUNTIFS(Addendum!C:C,A2616,Addendum!D:D,IF(ISNUMBER(B2616),TEXT(B2616,"0000"),B2616),Addendum!G:G,"X")&gt;0,7%,0)</f>
        <v>0</v>
      </c>
      <c r="L2616" s="31">
        <f>IF(COUNTIFS(Addendum!C:C,A2616,Addendum!D:D,IF(ISNUMBER(B2616),TEXT(B2616,"0000"),B2616),Addendum!I:I,"X")&gt;0,10%,0)</f>
        <v>0</v>
      </c>
      <c r="M2616" s="34">
        <f t="shared" si="80"/>
        <v>0.01</v>
      </c>
      <c r="N2616" s="17">
        <f t="shared" si="81"/>
        <v>118.8</v>
      </c>
    </row>
    <row r="2617" spans="1:14" x14ac:dyDescent="0.25">
      <c r="A2617" s="14" t="s">
        <v>976</v>
      </c>
      <c r="B2617" s="14">
        <v>4</v>
      </c>
      <c r="C2617" s="15" t="s">
        <v>2526</v>
      </c>
      <c r="D2617" s="14" t="s">
        <v>1752</v>
      </c>
      <c r="E2617" s="14" t="s">
        <v>1746</v>
      </c>
      <c r="F2617" s="17" t="s">
        <v>2995</v>
      </c>
      <c r="G2617" s="14">
        <v>12663</v>
      </c>
      <c r="H2617" s="14">
        <v>11396.88</v>
      </c>
      <c r="I2617" s="31">
        <f>IF(COUNTIFS(Addendum!C:C,A2617,Addendum!D:D,IF(ISNUMBER(B2617),TEXT(B2617,"0000"),B2617),Addendum!E:E,"X")&gt;0,4%,0)</f>
        <v>0.04</v>
      </c>
      <c r="J2617" s="31">
        <f>IF(COUNTIFS(Addendum!C:C,A2617,Addendum!D:D,IF(ISNUMBER(B2617),TEXT(B2617,"0000"),B2617),Addendum!F:F,"X")&gt;0,2.5%,0)</f>
        <v>0</v>
      </c>
      <c r="K2617" s="31">
        <f>IF(COUNTIFS(Addendum!C:C,A2617,Addendum!D:D,IF(ISNUMBER(B2617),TEXT(B2617,"0000"),B2617),Addendum!G:G,"X")&gt;0,7%,0)</f>
        <v>0</v>
      </c>
      <c r="L2617" s="31">
        <f>IF(COUNTIFS(Addendum!C:C,A2617,Addendum!D:D,IF(ISNUMBER(B2617),TEXT(B2617,"0000"),B2617),Addendum!I:I,"X")&gt;0,10%,0)</f>
        <v>0</v>
      </c>
      <c r="M2617" s="34">
        <f t="shared" si="80"/>
        <v>0.01</v>
      </c>
      <c r="N2617" s="17">
        <f t="shared" si="81"/>
        <v>11282.911199999999</v>
      </c>
    </row>
    <row r="2618" spans="1:14" x14ac:dyDescent="0.25">
      <c r="A2618" s="14" t="s">
        <v>976</v>
      </c>
      <c r="B2618" s="14">
        <v>6</v>
      </c>
      <c r="C2618" s="15" t="s">
        <v>2525</v>
      </c>
      <c r="D2618" s="14" t="s">
        <v>1752</v>
      </c>
      <c r="E2618" s="14" t="s">
        <v>1746</v>
      </c>
      <c r="F2618" s="17" t="s">
        <v>2994</v>
      </c>
      <c r="G2618" s="14">
        <v>4725</v>
      </c>
      <c r="H2618" s="14">
        <v>3780</v>
      </c>
      <c r="I2618" s="31">
        <f>IF(COUNTIFS(Addendum!C:C,A2618,Addendum!D:D,IF(ISNUMBER(B2618),TEXT(B2618,"0000"),B2618),Addendum!E:E,"X")&gt;0,4%,0)</f>
        <v>0.04</v>
      </c>
      <c r="J2618" s="31">
        <f>IF(COUNTIFS(Addendum!C:C,A2618,Addendum!D:D,IF(ISNUMBER(B2618),TEXT(B2618,"0000"),B2618),Addendum!F:F,"X")&gt;0,2.5%,0)</f>
        <v>0</v>
      </c>
      <c r="K2618" s="31">
        <f>IF(COUNTIFS(Addendum!C:C,A2618,Addendum!D:D,IF(ISNUMBER(B2618),TEXT(B2618,"0000"),B2618),Addendum!G:G,"X")&gt;0,7%,0)</f>
        <v>0</v>
      </c>
      <c r="L2618" s="31">
        <f>IF(COUNTIFS(Addendum!C:C,A2618,Addendum!D:D,IF(ISNUMBER(B2618),TEXT(B2618,"0000"),B2618),Addendum!I:I,"X")&gt;0,10%,0)</f>
        <v>0</v>
      </c>
      <c r="M2618" s="34">
        <f t="shared" si="80"/>
        <v>0.01</v>
      </c>
      <c r="N2618" s="17">
        <f t="shared" si="81"/>
        <v>3742.2</v>
      </c>
    </row>
    <row r="2619" spans="1:14" x14ac:dyDescent="0.25">
      <c r="A2619" s="14" t="s">
        <v>976</v>
      </c>
      <c r="B2619" s="14">
        <v>6</v>
      </c>
      <c r="C2619" s="15" t="s">
        <v>2525</v>
      </c>
      <c r="D2619" s="14" t="s">
        <v>1745</v>
      </c>
      <c r="E2619" s="14" t="s">
        <v>1747</v>
      </c>
      <c r="F2619" s="17" t="s">
        <v>2994</v>
      </c>
      <c r="G2619" s="14">
        <v>1500</v>
      </c>
      <c r="H2619" s="14">
        <v>1200</v>
      </c>
      <c r="I2619" s="31">
        <f>IF(COUNTIFS(Addendum!C:C,A2619,Addendum!D:D,IF(ISNUMBER(B2619),TEXT(B2619,"0000"),B2619),Addendum!E:E,"X")&gt;0,4%,0)</f>
        <v>0.04</v>
      </c>
      <c r="J2619" s="31">
        <f>IF(COUNTIFS(Addendum!C:C,A2619,Addendum!D:D,IF(ISNUMBER(B2619),TEXT(B2619,"0000"),B2619),Addendum!F:F,"X")&gt;0,2.5%,0)</f>
        <v>0</v>
      </c>
      <c r="K2619" s="31">
        <f>IF(COUNTIFS(Addendum!C:C,A2619,Addendum!D:D,IF(ISNUMBER(B2619),TEXT(B2619,"0000"),B2619),Addendum!G:G,"X")&gt;0,7%,0)</f>
        <v>0</v>
      </c>
      <c r="L2619" s="31">
        <f>IF(COUNTIFS(Addendum!C:C,A2619,Addendum!D:D,IF(ISNUMBER(B2619),TEXT(B2619,"0000"),B2619),Addendum!I:I,"X")&gt;0,10%,0)</f>
        <v>0</v>
      </c>
      <c r="M2619" s="34">
        <f t="shared" si="80"/>
        <v>0.03</v>
      </c>
      <c r="N2619" s="17">
        <f t="shared" si="81"/>
        <v>1164</v>
      </c>
    </row>
    <row r="2620" spans="1:14" x14ac:dyDescent="0.25">
      <c r="A2620" s="14" t="s">
        <v>976</v>
      </c>
      <c r="B2620" s="14" t="s">
        <v>24</v>
      </c>
      <c r="C2620" s="15" t="s">
        <v>978</v>
      </c>
      <c r="D2620" s="14" t="s">
        <v>1745</v>
      </c>
      <c r="E2620" s="14" t="s">
        <v>1747</v>
      </c>
      <c r="F2620" s="17" t="s">
        <v>2993</v>
      </c>
      <c r="G2620" s="14">
        <v>6780</v>
      </c>
      <c r="H2620" s="14">
        <v>5424</v>
      </c>
      <c r="I2620" s="31">
        <f>IF(COUNTIFS(Addendum!C:C,A2620,Addendum!D:D,IF(ISNUMBER(B2620),TEXT(B2620,"0000"),B2620),Addendum!E:E,"X")&gt;0,4%,0)</f>
        <v>0.04</v>
      </c>
      <c r="J2620" s="31">
        <f>IF(COUNTIFS(Addendum!C:C,A2620,Addendum!D:D,IF(ISNUMBER(B2620),TEXT(B2620,"0000"),B2620),Addendum!F:F,"X")&gt;0,2.5%,0)</f>
        <v>0</v>
      </c>
      <c r="K2620" s="31">
        <f>IF(COUNTIFS(Addendum!C:C,A2620,Addendum!D:D,IF(ISNUMBER(B2620),TEXT(B2620,"0000"),B2620),Addendum!G:G,"X")&gt;0,7%,0)</f>
        <v>0</v>
      </c>
      <c r="L2620" s="31">
        <f>IF(COUNTIFS(Addendum!C:C,A2620,Addendum!D:D,IF(ISNUMBER(B2620),TEXT(B2620,"0000"),B2620),Addendum!I:I,"X")&gt;0,10%,0)</f>
        <v>0</v>
      </c>
      <c r="M2620" s="34">
        <f t="shared" si="80"/>
        <v>0.03</v>
      </c>
      <c r="N2620" s="17">
        <f t="shared" si="81"/>
        <v>5261.28</v>
      </c>
    </row>
    <row r="2621" spans="1:14" x14ac:dyDescent="0.25">
      <c r="A2621" s="14" t="s">
        <v>976</v>
      </c>
      <c r="B2621" s="14">
        <v>4</v>
      </c>
      <c r="C2621" s="15" t="s">
        <v>2526</v>
      </c>
      <c r="D2621" s="14" t="s">
        <v>1745</v>
      </c>
      <c r="E2621" s="14" t="s">
        <v>1747</v>
      </c>
      <c r="F2621" s="17" t="s">
        <v>2995</v>
      </c>
      <c r="G2621" s="14">
        <v>4020</v>
      </c>
      <c r="H2621" s="14">
        <v>3618</v>
      </c>
      <c r="I2621" s="31">
        <f>IF(COUNTIFS(Addendum!C:C,A2621,Addendum!D:D,IF(ISNUMBER(B2621),TEXT(B2621,"0000"),B2621),Addendum!E:E,"X")&gt;0,4%,0)</f>
        <v>0.04</v>
      </c>
      <c r="J2621" s="31">
        <f>IF(COUNTIFS(Addendum!C:C,A2621,Addendum!D:D,IF(ISNUMBER(B2621),TEXT(B2621,"0000"),B2621),Addendum!F:F,"X")&gt;0,2.5%,0)</f>
        <v>0</v>
      </c>
      <c r="K2621" s="31">
        <f>IF(COUNTIFS(Addendum!C:C,A2621,Addendum!D:D,IF(ISNUMBER(B2621),TEXT(B2621,"0000"),B2621),Addendum!G:G,"X")&gt;0,7%,0)</f>
        <v>0</v>
      </c>
      <c r="L2621" s="31">
        <f>IF(COUNTIFS(Addendum!C:C,A2621,Addendum!D:D,IF(ISNUMBER(B2621),TEXT(B2621,"0000"),B2621),Addendum!I:I,"X")&gt;0,10%,0)</f>
        <v>0</v>
      </c>
      <c r="M2621" s="34">
        <f t="shared" si="80"/>
        <v>0.03</v>
      </c>
      <c r="N2621" s="17">
        <f t="shared" si="81"/>
        <v>3509.46</v>
      </c>
    </row>
    <row r="2622" spans="1:14" x14ac:dyDescent="0.25">
      <c r="A2622" s="14" t="s">
        <v>976</v>
      </c>
      <c r="B2622" s="14">
        <v>6</v>
      </c>
      <c r="C2622" s="15" t="s">
        <v>2525</v>
      </c>
      <c r="D2622" s="14" t="s">
        <v>1752</v>
      </c>
      <c r="E2622" s="14" t="s">
        <v>1753</v>
      </c>
      <c r="F2622" s="17" t="s">
        <v>2994</v>
      </c>
      <c r="G2622" s="14">
        <v>4500</v>
      </c>
      <c r="H2622" s="14">
        <v>3600</v>
      </c>
      <c r="I2622" s="31">
        <f>IF(COUNTIFS(Addendum!C:C,A2622,Addendum!D:D,IF(ISNUMBER(B2622),TEXT(B2622,"0000"),B2622),Addendum!E:E,"X")&gt;0,4%,0)</f>
        <v>0.04</v>
      </c>
      <c r="J2622" s="31">
        <f>IF(COUNTIFS(Addendum!C:C,A2622,Addendum!D:D,IF(ISNUMBER(B2622),TEXT(B2622,"0000"),B2622),Addendum!F:F,"X")&gt;0,2.5%,0)</f>
        <v>0</v>
      </c>
      <c r="K2622" s="31">
        <f>IF(COUNTIFS(Addendum!C:C,A2622,Addendum!D:D,IF(ISNUMBER(B2622),TEXT(B2622,"0000"),B2622),Addendum!G:G,"X")&gt;0,7%,0)</f>
        <v>0</v>
      </c>
      <c r="L2622" s="31">
        <f>IF(COUNTIFS(Addendum!C:C,A2622,Addendum!D:D,IF(ISNUMBER(B2622),TEXT(B2622,"0000"),B2622),Addendum!I:I,"X")&gt;0,10%,0)</f>
        <v>0</v>
      </c>
      <c r="M2622" s="34">
        <f t="shared" si="80"/>
        <v>0.03</v>
      </c>
      <c r="N2622" s="17">
        <f t="shared" si="81"/>
        <v>3492</v>
      </c>
    </row>
    <row r="2623" spans="1:14" x14ac:dyDescent="0.25">
      <c r="A2623" s="14" t="s">
        <v>976</v>
      </c>
      <c r="B2623" s="14">
        <v>3</v>
      </c>
      <c r="C2623" s="15" t="s">
        <v>2527</v>
      </c>
      <c r="D2623" s="14" t="s">
        <v>1752</v>
      </c>
      <c r="E2623" s="14" t="s">
        <v>1746</v>
      </c>
      <c r="F2623" s="17" t="s">
        <v>2994</v>
      </c>
      <c r="G2623" s="14">
        <v>6237</v>
      </c>
      <c r="H2623" s="14">
        <v>4989.6000000000004</v>
      </c>
      <c r="I2623" s="31">
        <f>IF(COUNTIFS(Addendum!C:C,A2623,Addendum!D:D,IF(ISNUMBER(B2623),TEXT(B2623,"0000"),B2623),Addendum!E:E,"X")&gt;0,4%,0)</f>
        <v>0.04</v>
      </c>
      <c r="J2623" s="31">
        <f>IF(COUNTIFS(Addendum!C:C,A2623,Addendum!D:D,IF(ISNUMBER(B2623),TEXT(B2623,"0000"),B2623),Addendum!F:F,"X")&gt;0,2.5%,0)</f>
        <v>0</v>
      </c>
      <c r="K2623" s="31">
        <f>IF(COUNTIFS(Addendum!C:C,A2623,Addendum!D:D,IF(ISNUMBER(B2623),TEXT(B2623,"0000"),B2623),Addendum!G:G,"X")&gt;0,7%,0)</f>
        <v>0</v>
      </c>
      <c r="L2623" s="31">
        <f>IF(COUNTIFS(Addendum!C:C,A2623,Addendum!D:D,IF(ISNUMBER(B2623),TEXT(B2623,"0000"),B2623),Addendum!I:I,"X")&gt;0,10%,0)</f>
        <v>0</v>
      </c>
      <c r="M2623" s="34">
        <f t="shared" si="80"/>
        <v>0.01</v>
      </c>
      <c r="N2623" s="17">
        <f t="shared" si="81"/>
        <v>4939.7040000000006</v>
      </c>
    </row>
    <row r="2624" spans="1:14" x14ac:dyDescent="0.25">
      <c r="A2624" s="14" t="s">
        <v>976</v>
      </c>
      <c r="B2624" s="14">
        <v>4</v>
      </c>
      <c r="C2624" s="15" t="s">
        <v>2526</v>
      </c>
      <c r="D2624" s="14" t="s">
        <v>1749</v>
      </c>
      <c r="E2624" s="14" t="s">
        <v>1746</v>
      </c>
      <c r="F2624" s="17" t="s">
        <v>2995</v>
      </c>
      <c r="G2624" s="14">
        <v>402</v>
      </c>
      <c r="H2624" s="14">
        <v>361.8</v>
      </c>
      <c r="I2624" s="31">
        <f>IF(COUNTIFS(Addendum!C:C,A2624,Addendum!D:D,IF(ISNUMBER(B2624),TEXT(B2624,"0000"),B2624),Addendum!E:E,"X")&gt;0,4%,0)</f>
        <v>0.04</v>
      </c>
      <c r="J2624" s="31">
        <f>IF(COUNTIFS(Addendum!C:C,A2624,Addendum!D:D,IF(ISNUMBER(B2624),TEXT(B2624,"0000"),B2624),Addendum!F:F,"X")&gt;0,2.5%,0)</f>
        <v>0</v>
      </c>
      <c r="K2624" s="31">
        <f>IF(COUNTIFS(Addendum!C:C,A2624,Addendum!D:D,IF(ISNUMBER(B2624),TEXT(B2624,"0000"),B2624),Addendum!G:G,"X")&gt;0,7%,0)</f>
        <v>0</v>
      </c>
      <c r="L2624" s="31">
        <f>IF(COUNTIFS(Addendum!C:C,A2624,Addendum!D:D,IF(ISNUMBER(B2624),TEXT(B2624,"0000"),B2624),Addendum!I:I,"X")&gt;0,10%,0)</f>
        <v>0</v>
      </c>
      <c r="M2624" s="34">
        <f t="shared" si="80"/>
        <v>0.01</v>
      </c>
      <c r="N2624" s="17">
        <f t="shared" si="81"/>
        <v>358.18200000000002</v>
      </c>
    </row>
    <row r="2625" spans="1:14" x14ac:dyDescent="0.25">
      <c r="A2625" s="14" t="s">
        <v>976</v>
      </c>
      <c r="B2625" s="14">
        <v>4</v>
      </c>
      <c r="C2625" s="15" t="s">
        <v>2526</v>
      </c>
      <c r="D2625" s="14" t="s">
        <v>1745</v>
      </c>
      <c r="E2625" s="14" t="s">
        <v>1746</v>
      </c>
      <c r="F2625" s="17" t="s">
        <v>2995</v>
      </c>
      <c r="G2625" s="14">
        <v>4221</v>
      </c>
      <c r="H2625" s="14">
        <v>3798.96</v>
      </c>
      <c r="I2625" s="31">
        <f>IF(COUNTIFS(Addendum!C:C,A2625,Addendum!D:D,IF(ISNUMBER(B2625),TEXT(B2625,"0000"),B2625),Addendum!E:E,"X")&gt;0,4%,0)</f>
        <v>0.04</v>
      </c>
      <c r="J2625" s="31">
        <f>IF(COUNTIFS(Addendum!C:C,A2625,Addendum!D:D,IF(ISNUMBER(B2625),TEXT(B2625,"0000"),B2625),Addendum!F:F,"X")&gt;0,2.5%,0)</f>
        <v>0</v>
      </c>
      <c r="K2625" s="31">
        <f>IF(COUNTIFS(Addendum!C:C,A2625,Addendum!D:D,IF(ISNUMBER(B2625),TEXT(B2625,"0000"),B2625),Addendum!G:G,"X")&gt;0,7%,0)</f>
        <v>0</v>
      </c>
      <c r="L2625" s="31">
        <f>IF(COUNTIFS(Addendum!C:C,A2625,Addendum!D:D,IF(ISNUMBER(B2625),TEXT(B2625,"0000"),B2625),Addendum!I:I,"X")&gt;0,10%,0)</f>
        <v>0</v>
      </c>
      <c r="M2625" s="34">
        <f t="shared" si="80"/>
        <v>0.01</v>
      </c>
      <c r="N2625" s="17">
        <f t="shared" si="81"/>
        <v>3760.9704000000002</v>
      </c>
    </row>
    <row r="2626" spans="1:14" x14ac:dyDescent="0.25">
      <c r="A2626" s="14" t="s">
        <v>976</v>
      </c>
      <c r="B2626" s="14">
        <v>3</v>
      </c>
      <c r="C2626" s="15" t="s">
        <v>2527</v>
      </c>
      <c r="D2626" s="14" t="s">
        <v>1745</v>
      </c>
      <c r="E2626" s="14" t="s">
        <v>1746</v>
      </c>
      <c r="F2626" s="17" t="s">
        <v>2994</v>
      </c>
      <c r="G2626" s="14">
        <v>2079</v>
      </c>
      <c r="H2626" s="14">
        <v>1663.2</v>
      </c>
      <c r="I2626" s="31">
        <f>IF(COUNTIFS(Addendum!C:C,A2626,Addendum!D:D,IF(ISNUMBER(B2626),TEXT(B2626,"0000"),B2626),Addendum!E:E,"X")&gt;0,4%,0)</f>
        <v>0.04</v>
      </c>
      <c r="J2626" s="31">
        <f>IF(COUNTIFS(Addendum!C:C,A2626,Addendum!D:D,IF(ISNUMBER(B2626),TEXT(B2626,"0000"),B2626),Addendum!F:F,"X")&gt;0,2.5%,0)</f>
        <v>0</v>
      </c>
      <c r="K2626" s="31">
        <f>IF(COUNTIFS(Addendum!C:C,A2626,Addendum!D:D,IF(ISNUMBER(B2626),TEXT(B2626,"0000"),B2626),Addendum!G:G,"X")&gt;0,7%,0)</f>
        <v>0</v>
      </c>
      <c r="L2626" s="31">
        <f>IF(COUNTIFS(Addendum!C:C,A2626,Addendum!D:D,IF(ISNUMBER(B2626),TEXT(B2626,"0000"),B2626),Addendum!I:I,"X")&gt;0,10%,0)</f>
        <v>0</v>
      </c>
      <c r="M2626" s="34">
        <f t="shared" si="80"/>
        <v>0.01</v>
      </c>
      <c r="N2626" s="17">
        <f t="shared" si="81"/>
        <v>1646.568</v>
      </c>
    </row>
    <row r="2627" spans="1:14" x14ac:dyDescent="0.25">
      <c r="A2627" s="14" t="s">
        <v>976</v>
      </c>
      <c r="B2627" s="14">
        <v>3</v>
      </c>
      <c r="C2627" s="15" t="s">
        <v>2527</v>
      </c>
      <c r="D2627" s="14" t="s">
        <v>1749</v>
      </c>
      <c r="E2627" s="14" t="s">
        <v>1746</v>
      </c>
      <c r="F2627" s="17" t="s">
        <v>2994</v>
      </c>
      <c r="G2627" s="14">
        <v>198</v>
      </c>
      <c r="H2627" s="14">
        <v>158.4</v>
      </c>
      <c r="I2627" s="31">
        <f>IF(COUNTIFS(Addendum!C:C,A2627,Addendum!D:D,IF(ISNUMBER(B2627),TEXT(B2627,"0000"),B2627),Addendum!E:E,"X")&gt;0,4%,0)</f>
        <v>0.04</v>
      </c>
      <c r="J2627" s="31">
        <f>IF(COUNTIFS(Addendum!C:C,A2627,Addendum!D:D,IF(ISNUMBER(B2627),TEXT(B2627,"0000"),B2627),Addendum!F:F,"X")&gt;0,2.5%,0)</f>
        <v>0</v>
      </c>
      <c r="K2627" s="31">
        <f>IF(COUNTIFS(Addendum!C:C,A2627,Addendum!D:D,IF(ISNUMBER(B2627),TEXT(B2627,"0000"),B2627),Addendum!G:G,"X")&gt;0,7%,0)</f>
        <v>0</v>
      </c>
      <c r="L2627" s="31">
        <f>IF(COUNTIFS(Addendum!C:C,A2627,Addendum!D:D,IF(ISNUMBER(B2627),TEXT(B2627,"0000"),B2627),Addendum!I:I,"X")&gt;0,10%,0)</f>
        <v>0</v>
      </c>
      <c r="M2627" s="34">
        <f t="shared" si="80"/>
        <v>0.01</v>
      </c>
      <c r="N2627" s="17">
        <f t="shared" si="81"/>
        <v>156.816</v>
      </c>
    </row>
    <row r="2628" spans="1:14" x14ac:dyDescent="0.25">
      <c r="A2628" s="14" t="s">
        <v>976</v>
      </c>
      <c r="B2628" s="14">
        <v>6</v>
      </c>
      <c r="C2628" s="15" t="s">
        <v>2525</v>
      </c>
      <c r="D2628" s="14" t="s">
        <v>1745</v>
      </c>
      <c r="E2628" s="14" t="s">
        <v>1746</v>
      </c>
      <c r="F2628" s="17" t="s">
        <v>2994</v>
      </c>
      <c r="G2628" s="14">
        <v>1575</v>
      </c>
      <c r="H2628" s="14">
        <v>1260</v>
      </c>
      <c r="I2628" s="31">
        <f>IF(COUNTIFS(Addendum!C:C,A2628,Addendum!D:D,IF(ISNUMBER(B2628),TEXT(B2628,"0000"),B2628),Addendum!E:E,"X")&gt;0,4%,0)</f>
        <v>0.04</v>
      </c>
      <c r="J2628" s="31">
        <f>IF(COUNTIFS(Addendum!C:C,A2628,Addendum!D:D,IF(ISNUMBER(B2628),TEXT(B2628,"0000"),B2628),Addendum!F:F,"X")&gt;0,2.5%,0)</f>
        <v>0</v>
      </c>
      <c r="K2628" s="31">
        <f>IF(COUNTIFS(Addendum!C:C,A2628,Addendum!D:D,IF(ISNUMBER(B2628),TEXT(B2628,"0000"),B2628),Addendum!G:G,"X")&gt;0,7%,0)</f>
        <v>0</v>
      </c>
      <c r="L2628" s="31">
        <f>IF(COUNTIFS(Addendum!C:C,A2628,Addendum!D:D,IF(ISNUMBER(B2628),TEXT(B2628,"0000"),B2628),Addendum!I:I,"X")&gt;0,10%,0)</f>
        <v>0</v>
      </c>
      <c r="M2628" s="34">
        <f t="shared" ref="M2628:M2691" si="82">IF(AND(I2628=0%,J2628=0%,K2628=0%,L2628=0%),0%,
IF(OR(TRIM(E2628)="OneTime",TRIM(D2628)=""),0%,
IF(
OR(
TRIM(D2628)="P1M",
AND(TRIM(D2628)="P1Y",TRIM(E2628)="Monthly"),
AND(TRIM(D2628)="P3Y",TRIM(E2628)="Monthly")
),
IF(AND(I2628=4%,J2628=0%,K2628=0%,L2628=0%),1%,
IF(AND(I2628=4%,J2628=2.5%,K2628=0%,L2628=10%),2%,
IF(AND(I2628=4%,J2628=0%,K2628=7%,L2628=10%),3%,0%))),
IF(
OR(
AND(TRIM(D2628)="P1Y",TRIM(E2628)="Annual"),
AND(TRIM(D2628)="P3Y",TRIM(E2628)="Annual"),
AND(TRIM(D2628)="P3Y",TRIM(E2628)="Triennial")
),
IF(AND(I2628=4%,J2628=0%,K2628=0%,L2628=0%),3%,
IF(AND(I2628=4%,J2628=2.5%,K2628=0%,L2628=10%),10%,
IF(AND(I2628=4%,J2628=0%,K2628=7%,L2628=10%),14%,0%))),
0%
))))</f>
        <v>0.01</v>
      </c>
      <c r="N2628" s="17">
        <f t="shared" ref="N2628:N2691" si="83">H2628-(H2628*M2628)</f>
        <v>1247.4000000000001</v>
      </c>
    </row>
    <row r="2629" spans="1:14" x14ac:dyDescent="0.25">
      <c r="A2629" s="14" t="s">
        <v>976</v>
      </c>
      <c r="B2629" s="14">
        <v>3</v>
      </c>
      <c r="C2629" s="15" t="s">
        <v>2527</v>
      </c>
      <c r="D2629" s="14" t="s">
        <v>1752</v>
      </c>
      <c r="E2629" s="14" t="s">
        <v>1747</v>
      </c>
      <c r="F2629" s="17" t="s">
        <v>2994</v>
      </c>
      <c r="G2629" s="14">
        <v>5940</v>
      </c>
      <c r="H2629" s="14">
        <v>4752</v>
      </c>
      <c r="I2629" s="31">
        <f>IF(COUNTIFS(Addendum!C:C,A2629,Addendum!D:D,IF(ISNUMBER(B2629),TEXT(B2629,"0000"),B2629),Addendum!E:E,"X")&gt;0,4%,0)</f>
        <v>0.04</v>
      </c>
      <c r="J2629" s="31">
        <f>IF(COUNTIFS(Addendum!C:C,A2629,Addendum!D:D,IF(ISNUMBER(B2629),TEXT(B2629,"0000"),B2629),Addendum!F:F,"X")&gt;0,2.5%,0)</f>
        <v>0</v>
      </c>
      <c r="K2629" s="31">
        <f>IF(COUNTIFS(Addendum!C:C,A2629,Addendum!D:D,IF(ISNUMBER(B2629),TEXT(B2629,"0000"),B2629),Addendum!G:G,"X")&gt;0,7%,0)</f>
        <v>0</v>
      </c>
      <c r="L2629" s="31">
        <f>IF(COUNTIFS(Addendum!C:C,A2629,Addendum!D:D,IF(ISNUMBER(B2629),TEXT(B2629,"0000"),B2629),Addendum!I:I,"X")&gt;0,10%,0)</f>
        <v>0</v>
      </c>
      <c r="M2629" s="34">
        <f t="shared" si="82"/>
        <v>0.03</v>
      </c>
      <c r="N2629" s="17">
        <f t="shared" si="83"/>
        <v>4609.4399999999996</v>
      </c>
    </row>
    <row r="2630" spans="1:14" x14ac:dyDescent="0.25">
      <c r="A2630" s="14" t="s">
        <v>976</v>
      </c>
      <c r="B2630" s="14" t="s">
        <v>24</v>
      </c>
      <c r="C2630" s="15" t="s">
        <v>978</v>
      </c>
      <c r="D2630" s="14" t="s">
        <v>1745</v>
      </c>
      <c r="E2630" s="14" t="s">
        <v>1746</v>
      </c>
      <c r="F2630" s="17" t="s">
        <v>2993</v>
      </c>
      <c r="G2630" s="14">
        <v>7119</v>
      </c>
      <c r="H2630" s="14">
        <v>5695.2</v>
      </c>
      <c r="I2630" s="31">
        <f>IF(COUNTIFS(Addendum!C:C,A2630,Addendum!D:D,IF(ISNUMBER(B2630),TEXT(B2630,"0000"),B2630),Addendum!E:E,"X")&gt;0,4%,0)</f>
        <v>0.04</v>
      </c>
      <c r="J2630" s="31">
        <f>IF(COUNTIFS(Addendum!C:C,A2630,Addendum!D:D,IF(ISNUMBER(B2630),TEXT(B2630,"0000"),B2630),Addendum!F:F,"X")&gt;0,2.5%,0)</f>
        <v>0</v>
      </c>
      <c r="K2630" s="31">
        <f>IF(COUNTIFS(Addendum!C:C,A2630,Addendum!D:D,IF(ISNUMBER(B2630),TEXT(B2630,"0000"),B2630),Addendum!G:G,"X")&gt;0,7%,0)</f>
        <v>0</v>
      </c>
      <c r="L2630" s="31">
        <f>IF(COUNTIFS(Addendum!C:C,A2630,Addendum!D:D,IF(ISNUMBER(B2630),TEXT(B2630,"0000"),B2630),Addendum!I:I,"X")&gt;0,10%,0)</f>
        <v>0</v>
      </c>
      <c r="M2630" s="34">
        <f t="shared" si="82"/>
        <v>0.01</v>
      </c>
      <c r="N2630" s="17">
        <f t="shared" si="83"/>
        <v>5638.2479999999996</v>
      </c>
    </row>
    <row r="2631" spans="1:14" x14ac:dyDescent="0.25">
      <c r="A2631" s="14" t="s">
        <v>976</v>
      </c>
      <c r="B2631" s="14">
        <v>6</v>
      </c>
      <c r="C2631" s="15" t="s">
        <v>2525</v>
      </c>
      <c r="D2631" s="14" t="s">
        <v>1752</v>
      </c>
      <c r="E2631" s="14" t="s">
        <v>1747</v>
      </c>
      <c r="F2631" s="17" t="s">
        <v>2994</v>
      </c>
      <c r="G2631" s="14">
        <v>4500</v>
      </c>
      <c r="H2631" s="14">
        <v>3600</v>
      </c>
      <c r="I2631" s="31">
        <f>IF(COUNTIFS(Addendum!C:C,A2631,Addendum!D:D,IF(ISNUMBER(B2631),TEXT(B2631,"0000"),B2631),Addendum!E:E,"X")&gt;0,4%,0)</f>
        <v>0.04</v>
      </c>
      <c r="J2631" s="31">
        <f>IF(COUNTIFS(Addendum!C:C,A2631,Addendum!D:D,IF(ISNUMBER(B2631),TEXT(B2631,"0000"),B2631),Addendum!F:F,"X")&gt;0,2.5%,0)</f>
        <v>0</v>
      </c>
      <c r="K2631" s="31">
        <f>IF(COUNTIFS(Addendum!C:C,A2631,Addendum!D:D,IF(ISNUMBER(B2631),TEXT(B2631,"0000"),B2631),Addendum!G:G,"X")&gt;0,7%,0)</f>
        <v>0</v>
      </c>
      <c r="L2631" s="31">
        <f>IF(COUNTIFS(Addendum!C:C,A2631,Addendum!D:D,IF(ISNUMBER(B2631),TEXT(B2631,"0000"),B2631),Addendum!I:I,"X")&gt;0,10%,0)</f>
        <v>0</v>
      </c>
      <c r="M2631" s="34">
        <f t="shared" si="82"/>
        <v>0.03</v>
      </c>
      <c r="N2631" s="17">
        <f t="shared" si="83"/>
        <v>3492</v>
      </c>
    </row>
    <row r="2632" spans="1:14" x14ac:dyDescent="0.25">
      <c r="A2632" s="14" t="s">
        <v>976</v>
      </c>
      <c r="B2632" s="14">
        <v>1</v>
      </c>
      <c r="C2632" s="15" t="s">
        <v>975</v>
      </c>
      <c r="D2632" s="14" t="s">
        <v>1749</v>
      </c>
      <c r="E2632" s="14" t="s">
        <v>1746</v>
      </c>
      <c r="F2632" s="17" t="s">
        <v>2993</v>
      </c>
      <c r="G2632" s="14">
        <v>996</v>
      </c>
      <c r="H2632" s="14">
        <v>796.8</v>
      </c>
      <c r="I2632" s="31">
        <f>IF(COUNTIFS(Addendum!C:C,A2632,Addendum!D:D,IF(ISNUMBER(B2632),TEXT(B2632,"0000"),B2632),Addendum!E:E,"X")&gt;0,4%,0)</f>
        <v>0.04</v>
      </c>
      <c r="J2632" s="31">
        <f>IF(COUNTIFS(Addendum!C:C,A2632,Addendum!D:D,IF(ISNUMBER(B2632),TEXT(B2632,"0000"),B2632),Addendum!F:F,"X")&gt;0,2.5%,0)</f>
        <v>0</v>
      </c>
      <c r="K2632" s="31">
        <f>IF(COUNTIFS(Addendum!C:C,A2632,Addendum!D:D,IF(ISNUMBER(B2632),TEXT(B2632,"0000"),B2632),Addendum!G:G,"X")&gt;0,7%,0)</f>
        <v>0</v>
      </c>
      <c r="L2632" s="31">
        <f>IF(COUNTIFS(Addendum!C:C,A2632,Addendum!D:D,IF(ISNUMBER(B2632),TEXT(B2632,"0000"),B2632),Addendum!I:I,"X")&gt;0,10%,0)</f>
        <v>0</v>
      </c>
      <c r="M2632" s="34">
        <f t="shared" si="82"/>
        <v>0.01</v>
      </c>
      <c r="N2632" s="17">
        <f t="shared" si="83"/>
        <v>788.83199999999999</v>
      </c>
    </row>
    <row r="2633" spans="1:14" x14ac:dyDescent="0.25">
      <c r="A2633" s="14" t="s">
        <v>976</v>
      </c>
      <c r="B2633" s="14">
        <v>1</v>
      </c>
      <c r="C2633" s="15" t="s">
        <v>975</v>
      </c>
      <c r="D2633" s="14" t="s">
        <v>1745</v>
      </c>
      <c r="E2633" s="14" t="s">
        <v>1746</v>
      </c>
      <c r="F2633" s="17" t="s">
        <v>2993</v>
      </c>
      <c r="G2633" s="14">
        <v>10458</v>
      </c>
      <c r="H2633" s="14">
        <v>8366.4</v>
      </c>
      <c r="I2633" s="31">
        <f>IF(COUNTIFS(Addendum!C:C,A2633,Addendum!D:D,IF(ISNUMBER(B2633),TEXT(B2633,"0000"),B2633),Addendum!E:E,"X")&gt;0,4%,0)</f>
        <v>0.04</v>
      </c>
      <c r="J2633" s="31">
        <f>IF(COUNTIFS(Addendum!C:C,A2633,Addendum!D:D,IF(ISNUMBER(B2633),TEXT(B2633,"0000"),B2633),Addendum!F:F,"X")&gt;0,2.5%,0)</f>
        <v>0</v>
      </c>
      <c r="K2633" s="31">
        <f>IF(COUNTIFS(Addendum!C:C,A2633,Addendum!D:D,IF(ISNUMBER(B2633),TEXT(B2633,"0000"),B2633),Addendum!G:G,"X")&gt;0,7%,0)</f>
        <v>0</v>
      </c>
      <c r="L2633" s="31">
        <f>IF(COUNTIFS(Addendum!C:C,A2633,Addendum!D:D,IF(ISNUMBER(B2633),TEXT(B2633,"0000"),B2633),Addendum!I:I,"X")&gt;0,10%,0)</f>
        <v>0</v>
      </c>
      <c r="M2633" s="34">
        <f t="shared" si="82"/>
        <v>0.01</v>
      </c>
      <c r="N2633" s="17">
        <f t="shared" si="83"/>
        <v>8282.735999999999</v>
      </c>
    </row>
    <row r="2634" spans="1:14" x14ac:dyDescent="0.25">
      <c r="A2634" s="14" t="s">
        <v>976</v>
      </c>
      <c r="B2634" s="14">
        <v>4</v>
      </c>
      <c r="C2634" s="15" t="s">
        <v>2526</v>
      </c>
      <c r="D2634" s="14" t="s">
        <v>1752</v>
      </c>
      <c r="E2634" s="14" t="s">
        <v>1753</v>
      </c>
      <c r="F2634" s="17" t="s">
        <v>2995</v>
      </c>
      <c r="G2634" s="14">
        <v>12060</v>
      </c>
      <c r="H2634" s="14">
        <v>10854</v>
      </c>
      <c r="I2634" s="31">
        <f>IF(COUNTIFS(Addendum!C:C,A2634,Addendum!D:D,IF(ISNUMBER(B2634),TEXT(B2634,"0000"),B2634),Addendum!E:E,"X")&gt;0,4%,0)</f>
        <v>0.04</v>
      </c>
      <c r="J2634" s="31">
        <f>IF(COUNTIFS(Addendum!C:C,A2634,Addendum!D:D,IF(ISNUMBER(B2634),TEXT(B2634,"0000"),B2634),Addendum!F:F,"X")&gt;0,2.5%,0)</f>
        <v>0</v>
      </c>
      <c r="K2634" s="31">
        <f>IF(COUNTIFS(Addendum!C:C,A2634,Addendum!D:D,IF(ISNUMBER(B2634),TEXT(B2634,"0000"),B2634),Addendum!G:G,"X")&gt;0,7%,0)</f>
        <v>0</v>
      </c>
      <c r="L2634" s="31">
        <f>IF(COUNTIFS(Addendum!C:C,A2634,Addendum!D:D,IF(ISNUMBER(B2634),TEXT(B2634,"0000"),B2634),Addendum!I:I,"X")&gt;0,10%,0)</f>
        <v>0</v>
      </c>
      <c r="M2634" s="34">
        <f t="shared" si="82"/>
        <v>0.03</v>
      </c>
      <c r="N2634" s="17">
        <f t="shared" si="83"/>
        <v>10528.38</v>
      </c>
    </row>
    <row r="2635" spans="1:14" x14ac:dyDescent="0.25">
      <c r="A2635" s="14" t="s">
        <v>976</v>
      </c>
      <c r="B2635" s="14" t="s">
        <v>24</v>
      </c>
      <c r="C2635" s="15" t="s">
        <v>978</v>
      </c>
      <c r="D2635" s="14" t="s">
        <v>1749</v>
      </c>
      <c r="E2635" s="14" t="s">
        <v>1746</v>
      </c>
      <c r="F2635" s="17" t="s">
        <v>2993</v>
      </c>
      <c r="G2635" s="14">
        <v>678</v>
      </c>
      <c r="H2635" s="14">
        <v>542.4</v>
      </c>
      <c r="I2635" s="31">
        <f>IF(COUNTIFS(Addendum!C:C,A2635,Addendum!D:D,IF(ISNUMBER(B2635),TEXT(B2635,"0000"),B2635),Addendum!E:E,"X")&gt;0,4%,0)</f>
        <v>0.04</v>
      </c>
      <c r="J2635" s="31">
        <f>IF(COUNTIFS(Addendum!C:C,A2635,Addendum!D:D,IF(ISNUMBER(B2635),TEXT(B2635,"0000"),B2635),Addendum!F:F,"X")&gt;0,2.5%,0)</f>
        <v>0</v>
      </c>
      <c r="K2635" s="31">
        <f>IF(COUNTIFS(Addendum!C:C,A2635,Addendum!D:D,IF(ISNUMBER(B2635),TEXT(B2635,"0000"),B2635),Addendum!G:G,"X")&gt;0,7%,0)</f>
        <v>0</v>
      </c>
      <c r="L2635" s="31">
        <f>IF(COUNTIFS(Addendum!C:C,A2635,Addendum!D:D,IF(ISNUMBER(B2635),TEXT(B2635,"0000"),B2635),Addendum!I:I,"X")&gt;0,10%,0)</f>
        <v>0</v>
      </c>
      <c r="M2635" s="34">
        <f t="shared" si="82"/>
        <v>0.01</v>
      </c>
      <c r="N2635" s="17">
        <f t="shared" si="83"/>
        <v>536.976</v>
      </c>
    </row>
    <row r="2636" spans="1:14" x14ac:dyDescent="0.25">
      <c r="A2636" s="14" t="s">
        <v>976</v>
      </c>
      <c r="B2636" s="14">
        <v>3</v>
      </c>
      <c r="C2636" s="15" t="s">
        <v>2527</v>
      </c>
      <c r="D2636" s="14" t="s">
        <v>1752</v>
      </c>
      <c r="E2636" s="14" t="s">
        <v>1753</v>
      </c>
      <c r="F2636" s="17" t="s">
        <v>2994</v>
      </c>
      <c r="G2636" s="14">
        <v>5940</v>
      </c>
      <c r="H2636" s="14">
        <v>4752</v>
      </c>
      <c r="I2636" s="31">
        <f>IF(COUNTIFS(Addendum!C:C,A2636,Addendum!D:D,IF(ISNUMBER(B2636),TEXT(B2636,"0000"),B2636),Addendum!E:E,"X")&gt;0,4%,0)</f>
        <v>0.04</v>
      </c>
      <c r="J2636" s="31">
        <f>IF(COUNTIFS(Addendum!C:C,A2636,Addendum!D:D,IF(ISNUMBER(B2636),TEXT(B2636,"0000"),B2636),Addendum!F:F,"X")&gt;0,2.5%,0)</f>
        <v>0</v>
      </c>
      <c r="K2636" s="31">
        <f>IF(COUNTIFS(Addendum!C:C,A2636,Addendum!D:D,IF(ISNUMBER(B2636),TEXT(B2636,"0000"),B2636),Addendum!G:G,"X")&gt;0,7%,0)</f>
        <v>0</v>
      </c>
      <c r="L2636" s="31">
        <f>IF(COUNTIFS(Addendum!C:C,A2636,Addendum!D:D,IF(ISNUMBER(B2636),TEXT(B2636,"0000"),B2636),Addendum!I:I,"X")&gt;0,10%,0)</f>
        <v>0</v>
      </c>
      <c r="M2636" s="34">
        <f t="shared" si="82"/>
        <v>0.03</v>
      </c>
      <c r="N2636" s="17">
        <f t="shared" si="83"/>
        <v>4609.4399999999996</v>
      </c>
    </row>
    <row r="2637" spans="1:14" x14ac:dyDescent="0.25">
      <c r="A2637" s="14" t="s">
        <v>976</v>
      </c>
      <c r="B2637" s="14">
        <v>1</v>
      </c>
      <c r="C2637" s="15" t="s">
        <v>975</v>
      </c>
      <c r="D2637" s="14" t="s">
        <v>1745</v>
      </c>
      <c r="E2637" s="14" t="s">
        <v>1747</v>
      </c>
      <c r="F2637" s="17" t="s">
        <v>2993</v>
      </c>
      <c r="G2637" s="14">
        <v>9960</v>
      </c>
      <c r="H2637" s="14">
        <v>7968</v>
      </c>
      <c r="I2637" s="31">
        <f>IF(COUNTIFS(Addendum!C:C,A2637,Addendum!D:D,IF(ISNUMBER(B2637),TEXT(B2637,"0000"),B2637),Addendum!E:E,"X")&gt;0,4%,0)</f>
        <v>0.04</v>
      </c>
      <c r="J2637" s="31">
        <f>IF(COUNTIFS(Addendum!C:C,A2637,Addendum!D:D,IF(ISNUMBER(B2637),TEXT(B2637,"0000"),B2637),Addendum!F:F,"X")&gt;0,2.5%,0)</f>
        <v>0</v>
      </c>
      <c r="K2637" s="31">
        <f>IF(COUNTIFS(Addendum!C:C,A2637,Addendum!D:D,IF(ISNUMBER(B2637),TEXT(B2637,"0000"),B2637),Addendum!G:G,"X")&gt;0,7%,0)</f>
        <v>0</v>
      </c>
      <c r="L2637" s="31">
        <f>IF(COUNTIFS(Addendum!C:C,A2637,Addendum!D:D,IF(ISNUMBER(B2637),TEXT(B2637,"0000"),B2637),Addendum!I:I,"X")&gt;0,10%,0)</f>
        <v>0</v>
      </c>
      <c r="M2637" s="34">
        <f t="shared" si="82"/>
        <v>0.03</v>
      </c>
      <c r="N2637" s="17">
        <f t="shared" si="83"/>
        <v>7728.96</v>
      </c>
    </row>
    <row r="2638" spans="1:14" x14ac:dyDescent="0.25">
      <c r="A2638" s="14" t="s">
        <v>976</v>
      </c>
      <c r="B2638" s="14">
        <v>3</v>
      </c>
      <c r="C2638" s="15" t="s">
        <v>2527</v>
      </c>
      <c r="D2638" s="14" t="s">
        <v>1745</v>
      </c>
      <c r="E2638" s="14" t="s">
        <v>1747</v>
      </c>
      <c r="F2638" s="17" t="s">
        <v>2994</v>
      </c>
      <c r="G2638" s="14">
        <v>1980</v>
      </c>
      <c r="H2638" s="14">
        <v>1584</v>
      </c>
      <c r="I2638" s="31">
        <f>IF(COUNTIFS(Addendum!C:C,A2638,Addendum!D:D,IF(ISNUMBER(B2638),TEXT(B2638,"0000"),B2638),Addendum!E:E,"X")&gt;0,4%,0)</f>
        <v>0.04</v>
      </c>
      <c r="J2638" s="31">
        <f>IF(COUNTIFS(Addendum!C:C,A2638,Addendum!D:D,IF(ISNUMBER(B2638),TEXT(B2638,"0000"),B2638),Addendum!F:F,"X")&gt;0,2.5%,0)</f>
        <v>0</v>
      </c>
      <c r="K2638" s="31">
        <f>IF(COUNTIFS(Addendum!C:C,A2638,Addendum!D:D,IF(ISNUMBER(B2638),TEXT(B2638,"0000"),B2638),Addendum!G:G,"X")&gt;0,7%,0)</f>
        <v>0</v>
      </c>
      <c r="L2638" s="31">
        <f>IF(COUNTIFS(Addendum!C:C,A2638,Addendum!D:D,IF(ISNUMBER(B2638),TEXT(B2638,"0000"),B2638),Addendum!I:I,"X")&gt;0,10%,0)</f>
        <v>0</v>
      </c>
      <c r="M2638" s="34">
        <f t="shared" si="82"/>
        <v>0.03</v>
      </c>
      <c r="N2638" s="17">
        <f t="shared" si="83"/>
        <v>1536.48</v>
      </c>
    </row>
    <row r="2639" spans="1:14" x14ac:dyDescent="0.25">
      <c r="A2639" s="14" t="s">
        <v>976</v>
      </c>
      <c r="B2639" s="14">
        <v>4</v>
      </c>
      <c r="C2639" s="15" t="s">
        <v>2526</v>
      </c>
      <c r="D2639" s="14" t="s">
        <v>1752</v>
      </c>
      <c r="E2639" s="14" t="s">
        <v>1747</v>
      </c>
      <c r="F2639" s="17" t="s">
        <v>2995</v>
      </c>
      <c r="G2639" s="14">
        <v>12060</v>
      </c>
      <c r="H2639" s="14">
        <v>10854</v>
      </c>
      <c r="I2639" s="31">
        <f>IF(COUNTIFS(Addendum!C:C,A2639,Addendum!D:D,IF(ISNUMBER(B2639),TEXT(B2639,"0000"),B2639),Addendum!E:E,"X")&gt;0,4%,0)</f>
        <v>0.04</v>
      </c>
      <c r="J2639" s="31">
        <f>IF(COUNTIFS(Addendum!C:C,A2639,Addendum!D:D,IF(ISNUMBER(B2639),TEXT(B2639,"0000"),B2639),Addendum!F:F,"X")&gt;0,2.5%,0)</f>
        <v>0</v>
      </c>
      <c r="K2639" s="31">
        <f>IF(COUNTIFS(Addendum!C:C,A2639,Addendum!D:D,IF(ISNUMBER(B2639),TEXT(B2639,"0000"),B2639),Addendum!G:G,"X")&gt;0,7%,0)</f>
        <v>0</v>
      </c>
      <c r="L2639" s="31">
        <f>IF(COUNTIFS(Addendum!C:C,A2639,Addendum!D:D,IF(ISNUMBER(B2639),TEXT(B2639,"0000"),B2639),Addendum!I:I,"X")&gt;0,10%,0)</f>
        <v>0</v>
      </c>
      <c r="M2639" s="34">
        <f t="shared" si="82"/>
        <v>0.03</v>
      </c>
      <c r="N2639" s="17">
        <f t="shared" si="83"/>
        <v>10528.38</v>
      </c>
    </row>
    <row r="2640" spans="1:14" x14ac:dyDescent="0.25">
      <c r="A2640" s="14" t="s">
        <v>591</v>
      </c>
      <c r="B2640" s="14">
        <v>2</v>
      </c>
      <c r="C2640" s="15" t="s">
        <v>590</v>
      </c>
      <c r="D2640" s="14" t="s">
        <v>1749</v>
      </c>
      <c r="E2640" s="14" t="s">
        <v>1746</v>
      </c>
      <c r="F2640" s="17" t="s">
        <v>2993</v>
      </c>
      <c r="G2640" s="14">
        <v>49914</v>
      </c>
      <c r="H2640" s="14">
        <v>39931.199999999997</v>
      </c>
      <c r="I2640" s="31">
        <f>IF(COUNTIFS(Addendum!C:C,A2640,Addendum!D:D,IF(ISNUMBER(B2640),TEXT(B2640,"0000"),B2640),Addendum!E:E,"X")&gt;0,4%,0)</f>
        <v>0.04</v>
      </c>
      <c r="J2640" s="31">
        <f>IF(COUNTIFS(Addendum!C:C,A2640,Addendum!D:D,IF(ISNUMBER(B2640),TEXT(B2640,"0000"),B2640),Addendum!F:F,"X")&gt;0,2.5%,0)</f>
        <v>0</v>
      </c>
      <c r="K2640" s="31">
        <f>IF(COUNTIFS(Addendum!C:C,A2640,Addendum!D:D,IF(ISNUMBER(B2640),TEXT(B2640,"0000"),B2640),Addendum!G:G,"X")&gt;0,7%,0)</f>
        <v>7.0000000000000007E-2</v>
      </c>
      <c r="L2640" s="31">
        <f>IF(COUNTIFS(Addendum!C:C,A2640,Addendum!D:D,IF(ISNUMBER(B2640),TEXT(B2640,"0000"),B2640),Addendum!I:I,"X")&gt;0,10%,0)</f>
        <v>0.1</v>
      </c>
      <c r="M2640" s="34">
        <f t="shared" si="82"/>
        <v>0.03</v>
      </c>
      <c r="N2640" s="17">
        <f t="shared" si="83"/>
        <v>38733.263999999996</v>
      </c>
    </row>
    <row r="2641" spans="1:14" x14ac:dyDescent="0.25">
      <c r="A2641" s="14" t="s">
        <v>591</v>
      </c>
      <c r="B2641" s="14" t="s">
        <v>29</v>
      </c>
      <c r="C2641" s="15" t="s">
        <v>2528</v>
      </c>
      <c r="D2641" s="14" t="s">
        <v>1745</v>
      </c>
      <c r="E2641" s="14" t="s">
        <v>1746</v>
      </c>
      <c r="F2641" s="17" t="s">
        <v>2994</v>
      </c>
      <c r="G2641" s="14">
        <v>524097</v>
      </c>
      <c r="H2641" s="14">
        <v>419277.6</v>
      </c>
      <c r="I2641" s="31">
        <f>IF(COUNTIFS(Addendum!C:C,A2641,Addendum!D:D,IF(ISNUMBER(B2641),TEXT(B2641,"0000"),B2641),Addendum!E:E,"X")&gt;0,4%,0)</f>
        <v>0.04</v>
      </c>
      <c r="J2641" s="31">
        <f>IF(COUNTIFS(Addendum!C:C,A2641,Addendum!D:D,IF(ISNUMBER(B2641),TEXT(B2641,"0000"),B2641),Addendum!F:F,"X")&gt;0,2.5%,0)</f>
        <v>0</v>
      </c>
      <c r="K2641" s="31">
        <f>IF(COUNTIFS(Addendum!C:C,A2641,Addendum!D:D,IF(ISNUMBER(B2641),TEXT(B2641,"0000"),B2641),Addendum!G:G,"X")&gt;0,7%,0)</f>
        <v>7.0000000000000007E-2</v>
      </c>
      <c r="L2641" s="31">
        <f>IF(COUNTIFS(Addendum!C:C,A2641,Addendum!D:D,IF(ISNUMBER(B2641),TEXT(B2641,"0000"),B2641),Addendum!I:I,"X")&gt;0,10%,0)</f>
        <v>0.1</v>
      </c>
      <c r="M2641" s="34">
        <f t="shared" si="82"/>
        <v>0.03</v>
      </c>
      <c r="N2641" s="17">
        <f t="shared" si="83"/>
        <v>406699.272</v>
      </c>
    </row>
    <row r="2642" spans="1:14" x14ac:dyDescent="0.25">
      <c r="A2642" s="14" t="s">
        <v>591</v>
      </c>
      <c r="B2642" s="14" t="s">
        <v>29</v>
      </c>
      <c r="C2642" s="15" t="s">
        <v>2528</v>
      </c>
      <c r="D2642" s="14" t="s">
        <v>1745</v>
      </c>
      <c r="E2642" s="14" t="s">
        <v>1747</v>
      </c>
      <c r="F2642" s="17" t="s">
        <v>2994</v>
      </c>
      <c r="G2642" s="14">
        <v>499140</v>
      </c>
      <c r="H2642" s="14">
        <v>399312</v>
      </c>
      <c r="I2642" s="31">
        <f>IF(COUNTIFS(Addendum!C:C,A2642,Addendum!D:D,IF(ISNUMBER(B2642),TEXT(B2642,"0000"),B2642),Addendum!E:E,"X")&gt;0,4%,0)</f>
        <v>0.04</v>
      </c>
      <c r="J2642" s="31">
        <f>IF(COUNTIFS(Addendum!C:C,A2642,Addendum!D:D,IF(ISNUMBER(B2642),TEXT(B2642,"0000"),B2642),Addendum!F:F,"X")&gt;0,2.5%,0)</f>
        <v>0</v>
      </c>
      <c r="K2642" s="31">
        <f>IF(COUNTIFS(Addendum!C:C,A2642,Addendum!D:D,IF(ISNUMBER(B2642),TEXT(B2642,"0000"),B2642),Addendum!G:G,"X")&gt;0,7%,0)</f>
        <v>7.0000000000000007E-2</v>
      </c>
      <c r="L2642" s="31">
        <f>IF(COUNTIFS(Addendum!C:C,A2642,Addendum!D:D,IF(ISNUMBER(B2642),TEXT(B2642,"0000"),B2642),Addendum!I:I,"X")&gt;0,10%,0)</f>
        <v>0.1</v>
      </c>
      <c r="M2642" s="34">
        <f t="shared" si="82"/>
        <v>0.14000000000000001</v>
      </c>
      <c r="N2642" s="17">
        <f t="shared" si="83"/>
        <v>343408.32</v>
      </c>
    </row>
    <row r="2643" spans="1:14" x14ac:dyDescent="0.25">
      <c r="A2643" s="14" t="s">
        <v>591</v>
      </c>
      <c r="B2643" s="14" t="s">
        <v>29</v>
      </c>
      <c r="C2643" s="15" t="s">
        <v>2528</v>
      </c>
      <c r="D2643" s="14" t="s">
        <v>1749</v>
      </c>
      <c r="E2643" s="14" t="s">
        <v>1746</v>
      </c>
      <c r="F2643" s="17" t="s">
        <v>2994</v>
      </c>
      <c r="G2643" s="14">
        <v>49914</v>
      </c>
      <c r="H2643" s="14">
        <v>39931.199999999997</v>
      </c>
      <c r="I2643" s="31">
        <f>IF(COUNTIFS(Addendum!C:C,A2643,Addendum!D:D,IF(ISNUMBER(B2643),TEXT(B2643,"0000"),B2643),Addendum!E:E,"X")&gt;0,4%,0)</f>
        <v>0.04</v>
      </c>
      <c r="J2643" s="31">
        <f>IF(COUNTIFS(Addendum!C:C,A2643,Addendum!D:D,IF(ISNUMBER(B2643),TEXT(B2643,"0000"),B2643),Addendum!F:F,"X")&gt;0,2.5%,0)</f>
        <v>0</v>
      </c>
      <c r="K2643" s="31">
        <f>IF(COUNTIFS(Addendum!C:C,A2643,Addendum!D:D,IF(ISNUMBER(B2643),TEXT(B2643,"0000"),B2643),Addendum!G:G,"X")&gt;0,7%,0)</f>
        <v>7.0000000000000007E-2</v>
      </c>
      <c r="L2643" s="31">
        <f>IF(COUNTIFS(Addendum!C:C,A2643,Addendum!D:D,IF(ISNUMBER(B2643),TEXT(B2643,"0000"),B2643),Addendum!I:I,"X")&gt;0,10%,0)</f>
        <v>0.1</v>
      </c>
      <c r="M2643" s="34">
        <f t="shared" si="82"/>
        <v>0.03</v>
      </c>
      <c r="N2643" s="17">
        <f t="shared" si="83"/>
        <v>38733.263999999996</v>
      </c>
    </row>
    <row r="2644" spans="1:14" x14ac:dyDescent="0.25">
      <c r="A2644" s="14" t="s">
        <v>591</v>
      </c>
      <c r="B2644" s="14">
        <v>1</v>
      </c>
      <c r="C2644" s="15" t="s">
        <v>989</v>
      </c>
      <c r="D2644" s="14" t="s">
        <v>1749</v>
      </c>
      <c r="E2644" s="14" t="s">
        <v>1746</v>
      </c>
      <c r="F2644" s="17" t="s">
        <v>2993</v>
      </c>
      <c r="G2644" s="14">
        <v>1200</v>
      </c>
      <c r="H2644" s="14">
        <v>960</v>
      </c>
      <c r="I2644" s="31">
        <f>IF(COUNTIFS(Addendum!C:C,A2644,Addendum!D:D,IF(ISNUMBER(B2644),TEXT(B2644,"0000"),B2644),Addendum!E:E,"X")&gt;0,4%,0)</f>
        <v>0.04</v>
      </c>
      <c r="J2644" s="31">
        <f>IF(COUNTIFS(Addendum!C:C,A2644,Addendum!D:D,IF(ISNUMBER(B2644),TEXT(B2644,"0000"),B2644),Addendum!F:F,"X")&gt;0,2.5%,0)</f>
        <v>0</v>
      </c>
      <c r="K2644" s="31">
        <f>IF(COUNTIFS(Addendum!C:C,A2644,Addendum!D:D,IF(ISNUMBER(B2644),TEXT(B2644,"0000"),B2644),Addendum!G:G,"X")&gt;0,7%,0)</f>
        <v>7.0000000000000007E-2</v>
      </c>
      <c r="L2644" s="31">
        <f>IF(COUNTIFS(Addendum!C:C,A2644,Addendum!D:D,IF(ISNUMBER(B2644),TEXT(B2644,"0000"),B2644),Addendum!I:I,"X")&gt;0,10%,0)</f>
        <v>0.1</v>
      </c>
      <c r="M2644" s="34">
        <f t="shared" si="82"/>
        <v>0.03</v>
      </c>
      <c r="N2644" s="17">
        <f t="shared" si="83"/>
        <v>931.2</v>
      </c>
    </row>
    <row r="2645" spans="1:14" x14ac:dyDescent="0.25">
      <c r="A2645" s="14" t="s">
        <v>591</v>
      </c>
      <c r="B2645" s="14" t="s">
        <v>122</v>
      </c>
      <c r="C2645" s="15" t="s">
        <v>2529</v>
      </c>
      <c r="D2645" s="14" t="s">
        <v>1752</v>
      </c>
      <c r="E2645" s="14" t="s">
        <v>1753</v>
      </c>
      <c r="F2645" s="17" t="s">
        <v>2995</v>
      </c>
      <c r="G2645" s="14">
        <v>14400</v>
      </c>
      <c r="H2645" s="14">
        <v>12960</v>
      </c>
      <c r="I2645" s="31">
        <f>IF(COUNTIFS(Addendum!C:C,A2645,Addendum!D:D,IF(ISNUMBER(B2645),TEXT(B2645,"0000"),B2645),Addendum!E:E,"X")&gt;0,4%,0)</f>
        <v>0.04</v>
      </c>
      <c r="J2645" s="31">
        <f>IF(COUNTIFS(Addendum!C:C,A2645,Addendum!D:D,IF(ISNUMBER(B2645),TEXT(B2645,"0000"),B2645),Addendum!F:F,"X")&gt;0,2.5%,0)</f>
        <v>0</v>
      </c>
      <c r="K2645" s="31">
        <f>IF(COUNTIFS(Addendum!C:C,A2645,Addendum!D:D,IF(ISNUMBER(B2645),TEXT(B2645,"0000"),B2645),Addendum!G:G,"X")&gt;0,7%,0)</f>
        <v>7.0000000000000007E-2</v>
      </c>
      <c r="L2645" s="31">
        <f>IF(COUNTIFS(Addendum!C:C,A2645,Addendum!D:D,IF(ISNUMBER(B2645),TEXT(B2645,"0000"),B2645),Addendum!I:I,"X")&gt;0,10%,0)</f>
        <v>0.1</v>
      </c>
      <c r="M2645" s="34">
        <f t="shared" si="82"/>
        <v>0.14000000000000001</v>
      </c>
      <c r="N2645" s="17">
        <f t="shared" si="83"/>
        <v>11145.6</v>
      </c>
    </row>
    <row r="2646" spans="1:14" x14ac:dyDescent="0.25">
      <c r="A2646" s="14" t="s">
        <v>591</v>
      </c>
      <c r="B2646" s="14" t="s">
        <v>307</v>
      </c>
      <c r="C2646" s="15" t="s">
        <v>2530</v>
      </c>
      <c r="D2646" s="14" t="s">
        <v>1752</v>
      </c>
      <c r="E2646" s="14" t="s">
        <v>1753</v>
      </c>
      <c r="F2646" s="17" t="s">
        <v>2993</v>
      </c>
      <c r="G2646" s="14">
        <v>36000</v>
      </c>
      <c r="H2646" s="14">
        <v>28800</v>
      </c>
      <c r="I2646" s="31">
        <f>IF(COUNTIFS(Addendum!C:C,A2646,Addendum!D:D,IF(ISNUMBER(B2646),TEXT(B2646,"0000"),B2646),Addendum!E:E,"X")&gt;0,4%,0)</f>
        <v>0.04</v>
      </c>
      <c r="J2646" s="31">
        <f>IF(COUNTIFS(Addendum!C:C,A2646,Addendum!D:D,IF(ISNUMBER(B2646),TEXT(B2646,"0000"),B2646),Addendum!F:F,"X")&gt;0,2.5%,0)</f>
        <v>0</v>
      </c>
      <c r="K2646" s="31">
        <f>IF(COUNTIFS(Addendum!C:C,A2646,Addendum!D:D,IF(ISNUMBER(B2646),TEXT(B2646,"0000"),B2646),Addendum!G:G,"X")&gt;0,7%,0)</f>
        <v>7.0000000000000007E-2</v>
      </c>
      <c r="L2646" s="31">
        <f>IF(COUNTIFS(Addendum!C:C,A2646,Addendum!D:D,IF(ISNUMBER(B2646),TEXT(B2646,"0000"),B2646),Addendum!I:I,"X")&gt;0,10%,0)</f>
        <v>0.1</v>
      </c>
      <c r="M2646" s="34">
        <f t="shared" si="82"/>
        <v>0.14000000000000001</v>
      </c>
      <c r="N2646" s="17">
        <f t="shared" si="83"/>
        <v>24768</v>
      </c>
    </row>
    <row r="2647" spans="1:14" x14ac:dyDescent="0.25">
      <c r="A2647" s="14" t="s">
        <v>591</v>
      </c>
      <c r="B2647" s="14">
        <v>1</v>
      </c>
      <c r="C2647" s="15" t="s">
        <v>989</v>
      </c>
      <c r="D2647" s="14" t="s">
        <v>1745</v>
      </c>
      <c r="E2647" s="14" t="s">
        <v>1746</v>
      </c>
      <c r="F2647" s="17" t="s">
        <v>2993</v>
      </c>
      <c r="G2647" s="14">
        <v>12600</v>
      </c>
      <c r="H2647" s="14">
        <v>10080</v>
      </c>
      <c r="I2647" s="31">
        <f>IF(COUNTIFS(Addendum!C:C,A2647,Addendum!D:D,IF(ISNUMBER(B2647),TEXT(B2647,"0000"),B2647),Addendum!E:E,"X")&gt;0,4%,0)</f>
        <v>0.04</v>
      </c>
      <c r="J2647" s="31">
        <f>IF(COUNTIFS(Addendum!C:C,A2647,Addendum!D:D,IF(ISNUMBER(B2647),TEXT(B2647,"0000"),B2647),Addendum!F:F,"X")&gt;0,2.5%,0)</f>
        <v>0</v>
      </c>
      <c r="K2647" s="31">
        <f>IF(COUNTIFS(Addendum!C:C,A2647,Addendum!D:D,IF(ISNUMBER(B2647),TEXT(B2647,"0000"),B2647),Addendum!G:G,"X")&gt;0,7%,0)</f>
        <v>7.0000000000000007E-2</v>
      </c>
      <c r="L2647" s="31">
        <f>IF(COUNTIFS(Addendum!C:C,A2647,Addendum!D:D,IF(ISNUMBER(B2647),TEXT(B2647,"0000"),B2647),Addendum!I:I,"X")&gt;0,10%,0)</f>
        <v>0.1</v>
      </c>
      <c r="M2647" s="34">
        <f t="shared" si="82"/>
        <v>0.03</v>
      </c>
      <c r="N2647" s="17">
        <f t="shared" si="83"/>
        <v>9777.6</v>
      </c>
    </row>
    <row r="2648" spans="1:14" x14ac:dyDescent="0.25">
      <c r="A2648" s="14" t="s">
        <v>591</v>
      </c>
      <c r="B2648" s="14" t="s">
        <v>122</v>
      </c>
      <c r="C2648" s="15" t="s">
        <v>2529</v>
      </c>
      <c r="D2648" s="14" t="s">
        <v>1745</v>
      </c>
      <c r="E2648" s="14" t="s">
        <v>1746</v>
      </c>
      <c r="F2648" s="17" t="s">
        <v>2995</v>
      </c>
      <c r="G2648" s="14">
        <v>5040</v>
      </c>
      <c r="H2648" s="14">
        <v>4536</v>
      </c>
      <c r="I2648" s="31">
        <f>IF(COUNTIFS(Addendum!C:C,A2648,Addendum!D:D,IF(ISNUMBER(B2648),TEXT(B2648,"0000"),B2648),Addendum!E:E,"X")&gt;0,4%,0)</f>
        <v>0.04</v>
      </c>
      <c r="J2648" s="31">
        <f>IF(COUNTIFS(Addendum!C:C,A2648,Addendum!D:D,IF(ISNUMBER(B2648),TEXT(B2648,"0000"),B2648),Addendum!F:F,"X")&gt;0,2.5%,0)</f>
        <v>0</v>
      </c>
      <c r="K2648" s="31">
        <f>IF(COUNTIFS(Addendum!C:C,A2648,Addendum!D:D,IF(ISNUMBER(B2648),TEXT(B2648,"0000"),B2648),Addendum!G:G,"X")&gt;0,7%,0)</f>
        <v>7.0000000000000007E-2</v>
      </c>
      <c r="L2648" s="31">
        <f>IF(COUNTIFS(Addendum!C:C,A2648,Addendum!D:D,IF(ISNUMBER(B2648),TEXT(B2648,"0000"),B2648),Addendum!I:I,"X")&gt;0,10%,0)</f>
        <v>0.1</v>
      </c>
      <c r="M2648" s="34">
        <f t="shared" si="82"/>
        <v>0.03</v>
      </c>
      <c r="N2648" s="17">
        <f t="shared" si="83"/>
        <v>4399.92</v>
      </c>
    </row>
    <row r="2649" spans="1:14" x14ac:dyDescent="0.25">
      <c r="A2649" s="14" t="s">
        <v>591</v>
      </c>
      <c r="B2649" s="14">
        <v>1</v>
      </c>
      <c r="C2649" s="15" t="s">
        <v>989</v>
      </c>
      <c r="D2649" s="14" t="s">
        <v>1745</v>
      </c>
      <c r="E2649" s="14" t="s">
        <v>1747</v>
      </c>
      <c r="F2649" s="17" t="s">
        <v>2993</v>
      </c>
      <c r="G2649" s="14">
        <v>12000</v>
      </c>
      <c r="H2649" s="14">
        <v>9600</v>
      </c>
      <c r="I2649" s="31">
        <f>IF(COUNTIFS(Addendum!C:C,A2649,Addendum!D:D,IF(ISNUMBER(B2649),TEXT(B2649,"0000"),B2649),Addendum!E:E,"X")&gt;0,4%,0)</f>
        <v>0.04</v>
      </c>
      <c r="J2649" s="31">
        <f>IF(COUNTIFS(Addendum!C:C,A2649,Addendum!D:D,IF(ISNUMBER(B2649),TEXT(B2649,"0000"),B2649),Addendum!F:F,"X")&gt;0,2.5%,0)</f>
        <v>0</v>
      </c>
      <c r="K2649" s="31">
        <f>IF(COUNTIFS(Addendum!C:C,A2649,Addendum!D:D,IF(ISNUMBER(B2649),TEXT(B2649,"0000"),B2649),Addendum!G:G,"X")&gt;0,7%,0)</f>
        <v>7.0000000000000007E-2</v>
      </c>
      <c r="L2649" s="31">
        <f>IF(COUNTIFS(Addendum!C:C,A2649,Addendum!D:D,IF(ISNUMBER(B2649),TEXT(B2649,"0000"),B2649),Addendum!I:I,"X")&gt;0,10%,0)</f>
        <v>0.1</v>
      </c>
      <c r="M2649" s="34">
        <f t="shared" si="82"/>
        <v>0.14000000000000001</v>
      </c>
      <c r="N2649" s="17">
        <f t="shared" si="83"/>
        <v>8256</v>
      </c>
    </row>
    <row r="2650" spans="1:14" x14ac:dyDescent="0.25">
      <c r="A2650" s="14" t="s">
        <v>591</v>
      </c>
      <c r="B2650" s="14" t="s">
        <v>122</v>
      </c>
      <c r="C2650" s="15" t="s">
        <v>2529</v>
      </c>
      <c r="D2650" s="14" t="s">
        <v>1749</v>
      </c>
      <c r="E2650" s="14" t="s">
        <v>1746</v>
      </c>
      <c r="F2650" s="17" t="s">
        <v>2995</v>
      </c>
      <c r="G2650" s="14">
        <v>480</v>
      </c>
      <c r="H2650" s="14">
        <v>432</v>
      </c>
      <c r="I2650" s="31">
        <f>IF(COUNTIFS(Addendum!C:C,A2650,Addendum!D:D,IF(ISNUMBER(B2650),TEXT(B2650,"0000"),B2650),Addendum!E:E,"X")&gt;0,4%,0)</f>
        <v>0.04</v>
      </c>
      <c r="J2650" s="31">
        <f>IF(COUNTIFS(Addendum!C:C,A2650,Addendum!D:D,IF(ISNUMBER(B2650),TEXT(B2650,"0000"),B2650),Addendum!F:F,"X")&gt;0,2.5%,0)</f>
        <v>0</v>
      </c>
      <c r="K2650" s="31">
        <f>IF(COUNTIFS(Addendum!C:C,A2650,Addendum!D:D,IF(ISNUMBER(B2650),TEXT(B2650,"0000"),B2650),Addendum!G:G,"X")&gt;0,7%,0)</f>
        <v>7.0000000000000007E-2</v>
      </c>
      <c r="L2650" s="31">
        <f>IF(COUNTIFS(Addendum!C:C,A2650,Addendum!D:D,IF(ISNUMBER(B2650),TEXT(B2650,"0000"),B2650),Addendum!I:I,"X")&gt;0,10%,0)</f>
        <v>0.1</v>
      </c>
      <c r="M2650" s="34">
        <f t="shared" si="82"/>
        <v>0.03</v>
      </c>
      <c r="N2650" s="17">
        <f t="shared" si="83"/>
        <v>419.04</v>
      </c>
    </row>
    <row r="2651" spans="1:14" x14ac:dyDescent="0.25">
      <c r="A2651" s="14" t="s">
        <v>591</v>
      </c>
      <c r="B2651" s="14" t="s">
        <v>122</v>
      </c>
      <c r="C2651" s="15" t="s">
        <v>2529</v>
      </c>
      <c r="D2651" s="14" t="s">
        <v>1745</v>
      </c>
      <c r="E2651" s="14" t="s">
        <v>1747</v>
      </c>
      <c r="F2651" s="17" t="s">
        <v>2995</v>
      </c>
      <c r="G2651" s="14">
        <v>4800</v>
      </c>
      <c r="H2651" s="14">
        <v>4320</v>
      </c>
      <c r="I2651" s="31">
        <f>IF(COUNTIFS(Addendum!C:C,A2651,Addendum!D:D,IF(ISNUMBER(B2651),TEXT(B2651,"0000"),B2651),Addendum!E:E,"X")&gt;0,4%,0)</f>
        <v>0.04</v>
      </c>
      <c r="J2651" s="31">
        <f>IF(COUNTIFS(Addendum!C:C,A2651,Addendum!D:D,IF(ISNUMBER(B2651),TEXT(B2651,"0000"),B2651),Addendum!F:F,"X")&gt;0,2.5%,0)</f>
        <v>0</v>
      </c>
      <c r="K2651" s="31">
        <f>IF(COUNTIFS(Addendum!C:C,A2651,Addendum!D:D,IF(ISNUMBER(B2651),TEXT(B2651,"0000"),B2651),Addendum!G:G,"X")&gt;0,7%,0)</f>
        <v>7.0000000000000007E-2</v>
      </c>
      <c r="L2651" s="31">
        <f>IF(COUNTIFS(Addendum!C:C,A2651,Addendum!D:D,IF(ISNUMBER(B2651),TEXT(B2651,"0000"),B2651),Addendum!I:I,"X")&gt;0,10%,0)</f>
        <v>0.1</v>
      </c>
      <c r="M2651" s="34">
        <f t="shared" si="82"/>
        <v>0.14000000000000001</v>
      </c>
      <c r="N2651" s="17">
        <f t="shared" si="83"/>
        <v>3715.2</v>
      </c>
    </row>
    <row r="2652" spans="1:14" x14ac:dyDescent="0.25">
      <c r="A2652" s="14" t="s">
        <v>591</v>
      </c>
      <c r="B2652" s="14">
        <v>2</v>
      </c>
      <c r="C2652" s="15" t="s">
        <v>590</v>
      </c>
      <c r="D2652" s="14" t="s">
        <v>1745</v>
      </c>
      <c r="E2652" s="14" t="s">
        <v>1746</v>
      </c>
      <c r="F2652" s="17" t="s">
        <v>2993</v>
      </c>
      <c r="G2652" s="14">
        <v>524097</v>
      </c>
      <c r="H2652" s="14">
        <v>419277.6</v>
      </c>
      <c r="I2652" s="31">
        <f>IF(COUNTIFS(Addendum!C:C,A2652,Addendum!D:D,IF(ISNUMBER(B2652),TEXT(B2652,"0000"),B2652),Addendum!E:E,"X")&gt;0,4%,0)</f>
        <v>0.04</v>
      </c>
      <c r="J2652" s="31">
        <f>IF(COUNTIFS(Addendum!C:C,A2652,Addendum!D:D,IF(ISNUMBER(B2652),TEXT(B2652,"0000"),B2652),Addendum!F:F,"X")&gt;0,2.5%,0)</f>
        <v>0</v>
      </c>
      <c r="K2652" s="31">
        <f>IF(COUNTIFS(Addendum!C:C,A2652,Addendum!D:D,IF(ISNUMBER(B2652),TEXT(B2652,"0000"),B2652),Addendum!G:G,"X")&gt;0,7%,0)</f>
        <v>7.0000000000000007E-2</v>
      </c>
      <c r="L2652" s="31">
        <f>IF(COUNTIFS(Addendum!C:C,A2652,Addendum!D:D,IF(ISNUMBER(B2652),TEXT(B2652,"0000"),B2652),Addendum!I:I,"X")&gt;0,10%,0)</f>
        <v>0.1</v>
      </c>
      <c r="M2652" s="34">
        <f t="shared" si="82"/>
        <v>0.03</v>
      </c>
      <c r="N2652" s="17">
        <f t="shared" si="83"/>
        <v>406699.272</v>
      </c>
    </row>
    <row r="2653" spans="1:14" x14ac:dyDescent="0.25">
      <c r="A2653" s="14" t="s">
        <v>591</v>
      </c>
      <c r="B2653" s="14" t="s">
        <v>307</v>
      </c>
      <c r="C2653" s="15" t="s">
        <v>2530</v>
      </c>
      <c r="D2653" s="14" t="s">
        <v>1752</v>
      </c>
      <c r="E2653" s="14" t="s">
        <v>1747</v>
      </c>
      <c r="F2653" s="17" t="s">
        <v>2993</v>
      </c>
      <c r="G2653" s="14">
        <v>36000</v>
      </c>
      <c r="H2653" s="14">
        <v>28800</v>
      </c>
      <c r="I2653" s="31">
        <f>IF(COUNTIFS(Addendum!C:C,A2653,Addendum!D:D,IF(ISNUMBER(B2653),TEXT(B2653,"0000"),B2653),Addendum!E:E,"X")&gt;0,4%,0)</f>
        <v>0.04</v>
      </c>
      <c r="J2653" s="31">
        <f>IF(COUNTIFS(Addendum!C:C,A2653,Addendum!D:D,IF(ISNUMBER(B2653),TEXT(B2653,"0000"),B2653),Addendum!F:F,"X")&gt;0,2.5%,0)</f>
        <v>0</v>
      </c>
      <c r="K2653" s="31">
        <f>IF(COUNTIFS(Addendum!C:C,A2653,Addendum!D:D,IF(ISNUMBER(B2653),TEXT(B2653,"0000"),B2653),Addendum!G:G,"X")&gt;0,7%,0)</f>
        <v>7.0000000000000007E-2</v>
      </c>
      <c r="L2653" s="31">
        <f>IF(COUNTIFS(Addendum!C:C,A2653,Addendum!D:D,IF(ISNUMBER(B2653),TEXT(B2653,"0000"),B2653),Addendum!I:I,"X")&gt;0,10%,0)</f>
        <v>0.1</v>
      </c>
      <c r="M2653" s="34">
        <f t="shared" si="82"/>
        <v>0.14000000000000001</v>
      </c>
      <c r="N2653" s="17">
        <f t="shared" si="83"/>
        <v>24768</v>
      </c>
    </row>
    <row r="2654" spans="1:14" x14ac:dyDescent="0.25">
      <c r="A2654" s="14" t="s">
        <v>591</v>
      </c>
      <c r="B2654" s="14">
        <v>2</v>
      </c>
      <c r="C2654" s="15" t="s">
        <v>590</v>
      </c>
      <c r="D2654" s="14" t="s">
        <v>1745</v>
      </c>
      <c r="E2654" s="14" t="s">
        <v>1747</v>
      </c>
      <c r="F2654" s="17" t="s">
        <v>2993</v>
      </c>
      <c r="G2654" s="14">
        <v>499140</v>
      </c>
      <c r="H2654" s="14">
        <v>399312</v>
      </c>
      <c r="I2654" s="31">
        <f>IF(COUNTIFS(Addendum!C:C,A2654,Addendum!D:D,IF(ISNUMBER(B2654),TEXT(B2654,"0000"),B2654),Addendum!E:E,"X")&gt;0,4%,0)</f>
        <v>0.04</v>
      </c>
      <c r="J2654" s="31">
        <f>IF(COUNTIFS(Addendum!C:C,A2654,Addendum!D:D,IF(ISNUMBER(B2654),TEXT(B2654,"0000"),B2654),Addendum!F:F,"X")&gt;0,2.5%,0)</f>
        <v>0</v>
      </c>
      <c r="K2654" s="31">
        <f>IF(COUNTIFS(Addendum!C:C,A2654,Addendum!D:D,IF(ISNUMBER(B2654),TEXT(B2654,"0000"),B2654),Addendum!G:G,"X")&gt;0,7%,0)</f>
        <v>7.0000000000000007E-2</v>
      </c>
      <c r="L2654" s="31">
        <f>IF(COUNTIFS(Addendum!C:C,A2654,Addendum!D:D,IF(ISNUMBER(B2654),TEXT(B2654,"0000"),B2654),Addendum!I:I,"X")&gt;0,10%,0)</f>
        <v>0.1</v>
      </c>
      <c r="M2654" s="34">
        <f t="shared" si="82"/>
        <v>0.14000000000000001</v>
      </c>
      <c r="N2654" s="17">
        <f t="shared" si="83"/>
        <v>343408.32</v>
      </c>
    </row>
    <row r="2655" spans="1:14" x14ac:dyDescent="0.25">
      <c r="A2655" s="14" t="s">
        <v>278</v>
      </c>
      <c r="B2655" s="14">
        <v>5</v>
      </c>
      <c r="C2655" s="15" t="s">
        <v>2531</v>
      </c>
      <c r="D2655" s="14" t="s">
        <v>1749</v>
      </c>
      <c r="E2655" s="14" t="s">
        <v>1746</v>
      </c>
      <c r="F2655" s="17" t="s">
        <v>2994</v>
      </c>
      <c r="G2655" s="14">
        <v>306</v>
      </c>
      <c r="H2655" s="14">
        <v>244.8</v>
      </c>
      <c r="I2655" s="31">
        <f>IF(COUNTIFS(Addendum!C:C,A2655,Addendum!D:D,IF(ISNUMBER(B2655),TEXT(B2655,"0000"),B2655),Addendum!E:E,"X")&gt;0,4%,0)</f>
        <v>0.04</v>
      </c>
      <c r="J2655" s="31">
        <f>IF(COUNTIFS(Addendum!C:C,A2655,Addendum!D:D,IF(ISNUMBER(B2655),TEXT(B2655,"0000"),B2655),Addendum!F:F,"X")&gt;0,2.5%,0)</f>
        <v>0</v>
      </c>
      <c r="K2655" s="31">
        <f>IF(COUNTIFS(Addendum!C:C,A2655,Addendum!D:D,IF(ISNUMBER(B2655),TEXT(B2655,"0000"),B2655),Addendum!G:G,"X")&gt;0,7%,0)</f>
        <v>7.0000000000000007E-2</v>
      </c>
      <c r="L2655" s="31">
        <f>IF(COUNTIFS(Addendum!C:C,A2655,Addendum!D:D,IF(ISNUMBER(B2655),TEXT(B2655,"0000"),B2655),Addendum!I:I,"X")&gt;0,10%,0)</f>
        <v>0.1</v>
      </c>
      <c r="M2655" s="34">
        <f t="shared" si="82"/>
        <v>0.03</v>
      </c>
      <c r="N2655" s="17">
        <f t="shared" si="83"/>
        <v>237.45600000000002</v>
      </c>
    </row>
    <row r="2656" spans="1:14" x14ac:dyDescent="0.25">
      <c r="A2656" s="14" t="s">
        <v>278</v>
      </c>
      <c r="B2656" s="14">
        <v>9</v>
      </c>
      <c r="C2656" s="15" t="s">
        <v>2532</v>
      </c>
      <c r="D2656" s="14" t="s">
        <v>1745</v>
      </c>
      <c r="E2656" s="14" t="s">
        <v>1747</v>
      </c>
      <c r="F2656" s="17" t="s">
        <v>2994</v>
      </c>
      <c r="G2656" s="14">
        <v>1560</v>
      </c>
      <c r="H2656" s="14">
        <v>1248</v>
      </c>
      <c r="I2656" s="31">
        <f>IF(COUNTIFS(Addendum!C:C,A2656,Addendum!D:D,IF(ISNUMBER(B2656),TEXT(B2656,"0000"),B2656),Addendum!E:E,"X")&gt;0,4%,0)</f>
        <v>0.04</v>
      </c>
      <c r="J2656" s="31">
        <f>IF(COUNTIFS(Addendum!C:C,A2656,Addendum!D:D,IF(ISNUMBER(B2656),TEXT(B2656,"0000"),B2656),Addendum!F:F,"X")&gt;0,2.5%,0)</f>
        <v>0</v>
      </c>
      <c r="K2656" s="31">
        <f>IF(COUNTIFS(Addendum!C:C,A2656,Addendum!D:D,IF(ISNUMBER(B2656),TEXT(B2656,"0000"),B2656),Addendum!G:G,"X")&gt;0,7%,0)</f>
        <v>7.0000000000000007E-2</v>
      </c>
      <c r="L2656" s="31">
        <f>IF(COUNTIFS(Addendum!C:C,A2656,Addendum!D:D,IF(ISNUMBER(B2656),TEXT(B2656,"0000"),B2656),Addendum!I:I,"X")&gt;0,10%,0)</f>
        <v>0.1</v>
      </c>
      <c r="M2656" s="34">
        <f t="shared" si="82"/>
        <v>0.14000000000000001</v>
      </c>
      <c r="N2656" s="17">
        <f t="shared" si="83"/>
        <v>1073.28</v>
      </c>
    </row>
    <row r="2657" spans="1:14" x14ac:dyDescent="0.25">
      <c r="A2657" s="14" t="s">
        <v>278</v>
      </c>
      <c r="B2657" s="14">
        <v>9</v>
      </c>
      <c r="C2657" s="15" t="s">
        <v>2532</v>
      </c>
      <c r="D2657" s="14" t="s">
        <v>1745</v>
      </c>
      <c r="E2657" s="14" t="s">
        <v>1746</v>
      </c>
      <c r="F2657" s="17" t="s">
        <v>2994</v>
      </c>
      <c r="G2657" s="14">
        <v>1638</v>
      </c>
      <c r="H2657" s="14">
        <v>1310.4000000000001</v>
      </c>
      <c r="I2657" s="31">
        <f>IF(COUNTIFS(Addendum!C:C,A2657,Addendum!D:D,IF(ISNUMBER(B2657),TEXT(B2657,"0000"),B2657),Addendum!E:E,"X")&gt;0,4%,0)</f>
        <v>0.04</v>
      </c>
      <c r="J2657" s="31">
        <f>IF(COUNTIFS(Addendum!C:C,A2657,Addendum!D:D,IF(ISNUMBER(B2657),TEXT(B2657,"0000"),B2657),Addendum!F:F,"X")&gt;0,2.5%,0)</f>
        <v>0</v>
      </c>
      <c r="K2657" s="31">
        <f>IF(COUNTIFS(Addendum!C:C,A2657,Addendum!D:D,IF(ISNUMBER(B2657),TEXT(B2657,"0000"),B2657),Addendum!G:G,"X")&gt;0,7%,0)</f>
        <v>7.0000000000000007E-2</v>
      </c>
      <c r="L2657" s="31">
        <f>IF(COUNTIFS(Addendum!C:C,A2657,Addendum!D:D,IF(ISNUMBER(B2657),TEXT(B2657,"0000"),B2657),Addendum!I:I,"X")&gt;0,10%,0)</f>
        <v>0.1</v>
      </c>
      <c r="M2657" s="34">
        <f t="shared" si="82"/>
        <v>0.03</v>
      </c>
      <c r="N2657" s="17">
        <f t="shared" si="83"/>
        <v>1271.0880000000002</v>
      </c>
    </row>
    <row r="2658" spans="1:14" x14ac:dyDescent="0.25">
      <c r="A2658" s="14" t="s">
        <v>278</v>
      </c>
      <c r="B2658" s="14">
        <v>6</v>
      </c>
      <c r="C2658" s="15" t="s">
        <v>2533</v>
      </c>
      <c r="D2658" s="14" t="s">
        <v>1749</v>
      </c>
      <c r="E2658" s="14" t="s">
        <v>1746</v>
      </c>
      <c r="F2658" s="17" t="s">
        <v>2994</v>
      </c>
      <c r="G2658" s="14">
        <v>252</v>
      </c>
      <c r="H2658" s="14">
        <v>201.6</v>
      </c>
      <c r="I2658" s="31">
        <f>IF(COUNTIFS(Addendum!C:C,A2658,Addendum!D:D,IF(ISNUMBER(B2658),TEXT(B2658,"0000"),B2658),Addendum!E:E,"X")&gt;0,4%,0)</f>
        <v>0.04</v>
      </c>
      <c r="J2658" s="31">
        <f>IF(COUNTIFS(Addendum!C:C,A2658,Addendum!D:D,IF(ISNUMBER(B2658),TEXT(B2658,"0000"),B2658),Addendum!F:F,"X")&gt;0,2.5%,0)</f>
        <v>0</v>
      </c>
      <c r="K2658" s="31">
        <f>IF(COUNTIFS(Addendum!C:C,A2658,Addendum!D:D,IF(ISNUMBER(B2658),TEXT(B2658,"0000"),B2658),Addendum!G:G,"X")&gt;0,7%,0)</f>
        <v>7.0000000000000007E-2</v>
      </c>
      <c r="L2658" s="31">
        <f>IF(COUNTIFS(Addendum!C:C,A2658,Addendum!D:D,IF(ISNUMBER(B2658),TEXT(B2658,"0000"),B2658),Addendum!I:I,"X")&gt;0,10%,0)</f>
        <v>0.1</v>
      </c>
      <c r="M2658" s="34">
        <f t="shared" si="82"/>
        <v>0.03</v>
      </c>
      <c r="N2658" s="17">
        <f t="shared" si="83"/>
        <v>195.55199999999999</v>
      </c>
    </row>
    <row r="2659" spans="1:14" x14ac:dyDescent="0.25">
      <c r="A2659" s="14" t="s">
        <v>278</v>
      </c>
      <c r="B2659" s="14">
        <v>9</v>
      </c>
      <c r="C2659" s="15" t="s">
        <v>2532</v>
      </c>
      <c r="D2659" s="14" t="s">
        <v>1749</v>
      </c>
      <c r="E2659" s="14" t="s">
        <v>1746</v>
      </c>
      <c r="F2659" s="17" t="s">
        <v>2994</v>
      </c>
      <c r="G2659" s="14">
        <v>156</v>
      </c>
      <c r="H2659" s="14">
        <v>124.8</v>
      </c>
      <c r="I2659" s="31">
        <f>IF(COUNTIFS(Addendum!C:C,A2659,Addendum!D:D,IF(ISNUMBER(B2659),TEXT(B2659,"0000"),B2659),Addendum!E:E,"X")&gt;0,4%,0)</f>
        <v>0.04</v>
      </c>
      <c r="J2659" s="31">
        <f>IF(COUNTIFS(Addendum!C:C,A2659,Addendum!D:D,IF(ISNUMBER(B2659),TEXT(B2659,"0000"),B2659),Addendum!F:F,"X")&gt;0,2.5%,0)</f>
        <v>0</v>
      </c>
      <c r="K2659" s="31">
        <f>IF(COUNTIFS(Addendum!C:C,A2659,Addendum!D:D,IF(ISNUMBER(B2659),TEXT(B2659,"0000"),B2659),Addendum!G:G,"X")&gt;0,7%,0)</f>
        <v>7.0000000000000007E-2</v>
      </c>
      <c r="L2659" s="31">
        <f>IF(COUNTIFS(Addendum!C:C,A2659,Addendum!D:D,IF(ISNUMBER(B2659),TEXT(B2659,"0000"),B2659),Addendum!I:I,"X")&gt;0,10%,0)</f>
        <v>0.1</v>
      </c>
      <c r="M2659" s="34">
        <f t="shared" si="82"/>
        <v>0.03</v>
      </c>
      <c r="N2659" s="17">
        <f t="shared" si="83"/>
        <v>121.056</v>
      </c>
    </row>
    <row r="2660" spans="1:14" x14ac:dyDescent="0.25">
      <c r="A2660" s="14" t="s">
        <v>278</v>
      </c>
      <c r="B2660" s="14">
        <v>6</v>
      </c>
      <c r="C2660" s="15" t="s">
        <v>2533</v>
      </c>
      <c r="D2660" s="14" t="s">
        <v>1745</v>
      </c>
      <c r="E2660" s="14" t="s">
        <v>1746</v>
      </c>
      <c r="F2660" s="17" t="s">
        <v>2994</v>
      </c>
      <c r="G2660" s="14">
        <v>2646</v>
      </c>
      <c r="H2660" s="14">
        <v>2116.8000000000002</v>
      </c>
      <c r="I2660" s="31">
        <f>IF(COUNTIFS(Addendum!C:C,A2660,Addendum!D:D,IF(ISNUMBER(B2660),TEXT(B2660,"0000"),B2660),Addendum!E:E,"X")&gt;0,4%,0)</f>
        <v>0.04</v>
      </c>
      <c r="J2660" s="31">
        <f>IF(COUNTIFS(Addendum!C:C,A2660,Addendum!D:D,IF(ISNUMBER(B2660),TEXT(B2660,"0000"),B2660),Addendum!F:F,"X")&gt;0,2.5%,0)</f>
        <v>0</v>
      </c>
      <c r="K2660" s="31">
        <f>IF(COUNTIFS(Addendum!C:C,A2660,Addendum!D:D,IF(ISNUMBER(B2660),TEXT(B2660,"0000"),B2660),Addendum!G:G,"X")&gt;0,7%,0)</f>
        <v>7.0000000000000007E-2</v>
      </c>
      <c r="L2660" s="31">
        <f>IF(COUNTIFS(Addendum!C:C,A2660,Addendum!D:D,IF(ISNUMBER(B2660),TEXT(B2660,"0000"),B2660),Addendum!I:I,"X")&gt;0,10%,0)</f>
        <v>0.1</v>
      </c>
      <c r="M2660" s="34">
        <f t="shared" si="82"/>
        <v>0.03</v>
      </c>
      <c r="N2660" s="17">
        <f t="shared" si="83"/>
        <v>2053.2960000000003</v>
      </c>
    </row>
    <row r="2661" spans="1:14" x14ac:dyDescent="0.25">
      <c r="A2661" s="14" t="s">
        <v>278</v>
      </c>
      <c r="B2661" s="14">
        <v>5</v>
      </c>
      <c r="C2661" s="15" t="s">
        <v>2531</v>
      </c>
      <c r="D2661" s="14" t="s">
        <v>1745</v>
      </c>
      <c r="E2661" s="14" t="s">
        <v>1746</v>
      </c>
      <c r="F2661" s="17" t="s">
        <v>2994</v>
      </c>
      <c r="G2661" s="14">
        <v>3213</v>
      </c>
      <c r="H2661" s="14">
        <v>2570.4</v>
      </c>
      <c r="I2661" s="31">
        <f>IF(COUNTIFS(Addendum!C:C,A2661,Addendum!D:D,IF(ISNUMBER(B2661),TEXT(B2661,"0000"),B2661),Addendum!E:E,"X")&gt;0,4%,0)</f>
        <v>0.04</v>
      </c>
      <c r="J2661" s="31">
        <f>IF(COUNTIFS(Addendum!C:C,A2661,Addendum!D:D,IF(ISNUMBER(B2661),TEXT(B2661,"0000"),B2661),Addendum!F:F,"X")&gt;0,2.5%,0)</f>
        <v>0</v>
      </c>
      <c r="K2661" s="31">
        <f>IF(COUNTIFS(Addendum!C:C,A2661,Addendum!D:D,IF(ISNUMBER(B2661),TEXT(B2661,"0000"),B2661),Addendum!G:G,"X")&gt;0,7%,0)</f>
        <v>7.0000000000000007E-2</v>
      </c>
      <c r="L2661" s="31">
        <f>IF(COUNTIFS(Addendum!C:C,A2661,Addendum!D:D,IF(ISNUMBER(B2661),TEXT(B2661,"0000"),B2661),Addendum!I:I,"X")&gt;0,10%,0)</f>
        <v>0.1</v>
      </c>
      <c r="M2661" s="34">
        <f t="shared" si="82"/>
        <v>0.03</v>
      </c>
      <c r="N2661" s="17">
        <f t="shared" si="83"/>
        <v>2493.288</v>
      </c>
    </row>
    <row r="2662" spans="1:14" x14ac:dyDescent="0.25">
      <c r="A2662" s="14" t="s">
        <v>278</v>
      </c>
      <c r="B2662" s="14">
        <v>6</v>
      </c>
      <c r="C2662" s="15" t="s">
        <v>2533</v>
      </c>
      <c r="D2662" s="14" t="s">
        <v>1745</v>
      </c>
      <c r="E2662" s="14" t="s">
        <v>1747</v>
      </c>
      <c r="F2662" s="17" t="s">
        <v>2994</v>
      </c>
      <c r="G2662" s="14">
        <v>2520</v>
      </c>
      <c r="H2662" s="14">
        <v>2016</v>
      </c>
      <c r="I2662" s="31">
        <f>IF(COUNTIFS(Addendum!C:C,A2662,Addendum!D:D,IF(ISNUMBER(B2662),TEXT(B2662,"0000"),B2662),Addendum!E:E,"X")&gt;0,4%,0)</f>
        <v>0.04</v>
      </c>
      <c r="J2662" s="31">
        <f>IF(COUNTIFS(Addendum!C:C,A2662,Addendum!D:D,IF(ISNUMBER(B2662),TEXT(B2662,"0000"),B2662),Addendum!F:F,"X")&gt;0,2.5%,0)</f>
        <v>0</v>
      </c>
      <c r="K2662" s="31">
        <f>IF(COUNTIFS(Addendum!C:C,A2662,Addendum!D:D,IF(ISNUMBER(B2662),TEXT(B2662,"0000"),B2662),Addendum!G:G,"X")&gt;0,7%,0)</f>
        <v>7.0000000000000007E-2</v>
      </c>
      <c r="L2662" s="31">
        <f>IF(COUNTIFS(Addendum!C:C,A2662,Addendum!D:D,IF(ISNUMBER(B2662),TEXT(B2662,"0000"),B2662),Addendum!I:I,"X")&gt;0,10%,0)</f>
        <v>0.1</v>
      </c>
      <c r="M2662" s="34">
        <f t="shared" si="82"/>
        <v>0.14000000000000001</v>
      </c>
      <c r="N2662" s="17">
        <f t="shared" si="83"/>
        <v>1733.76</v>
      </c>
    </row>
    <row r="2663" spans="1:14" x14ac:dyDescent="0.25">
      <c r="A2663" s="14" t="s">
        <v>278</v>
      </c>
      <c r="B2663" s="14">
        <v>5</v>
      </c>
      <c r="C2663" s="15" t="s">
        <v>2531</v>
      </c>
      <c r="D2663" s="14" t="s">
        <v>1745</v>
      </c>
      <c r="E2663" s="14" t="s">
        <v>1747</v>
      </c>
      <c r="F2663" s="17" t="s">
        <v>2994</v>
      </c>
      <c r="G2663" s="14">
        <v>3060</v>
      </c>
      <c r="H2663" s="14">
        <v>2448</v>
      </c>
      <c r="I2663" s="31">
        <f>IF(COUNTIFS(Addendum!C:C,A2663,Addendum!D:D,IF(ISNUMBER(B2663),TEXT(B2663,"0000"),B2663),Addendum!E:E,"X")&gt;0,4%,0)</f>
        <v>0.04</v>
      </c>
      <c r="J2663" s="31">
        <f>IF(COUNTIFS(Addendum!C:C,A2663,Addendum!D:D,IF(ISNUMBER(B2663),TEXT(B2663,"0000"),B2663),Addendum!F:F,"X")&gt;0,2.5%,0)</f>
        <v>0</v>
      </c>
      <c r="K2663" s="31">
        <f>IF(COUNTIFS(Addendum!C:C,A2663,Addendum!D:D,IF(ISNUMBER(B2663),TEXT(B2663,"0000"),B2663),Addendum!G:G,"X")&gt;0,7%,0)</f>
        <v>7.0000000000000007E-2</v>
      </c>
      <c r="L2663" s="31">
        <f>IF(COUNTIFS(Addendum!C:C,A2663,Addendum!D:D,IF(ISNUMBER(B2663),TEXT(B2663,"0000"),B2663),Addendum!I:I,"X")&gt;0,10%,0)</f>
        <v>0.1</v>
      </c>
      <c r="M2663" s="34">
        <f t="shared" si="82"/>
        <v>0.14000000000000001</v>
      </c>
      <c r="N2663" s="17">
        <f t="shared" si="83"/>
        <v>2105.2799999999997</v>
      </c>
    </row>
    <row r="2664" spans="1:14" x14ac:dyDescent="0.25">
      <c r="A2664" s="14" t="s">
        <v>2534</v>
      </c>
      <c r="B2664" s="14">
        <v>5</v>
      </c>
      <c r="C2664" s="15" t="s">
        <v>2535</v>
      </c>
      <c r="D2664" s="14" t="s">
        <v>1749</v>
      </c>
      <c r="E2664" s="14" t="s">
        <v>1746</v>
      </c>
      <c r="F2664" s="17" t="s">
        <v>2994</v>
      </c>
      <c r="G2664" s="14">
        <v>37.92</v>
      </c>
      <c r="H2664" s="14">
        <v>30.34</v>
      </c>
      <c r="I2664" s="31">
        <f>IF(COUNTIFS(Addendum!C:C,A2664,Addendum!D:D,IF(ISNUMBER(B2664),TEXT(B2664,"0000"),B2664),Addendum!E:E,"X")&gt;0,4%,0)</f>
        <v>0</v>
      </c>
      <c r="J2664" s="31">
        <f>IF(COUNTIFS(Addendum!C:C,A2664,Addendum!D:D,IF(ISNUMBER(B2664),TEXT(B2664,"0000"),B2664),Addendum!F:F,"X")&gt;0,2.5%,0)</f>
        <v>0</v>
      </c>
      <c r="K2664" s="31">
        <f>IF(COUNTIFS(Addendum!C:C,A2664,Addendum!D:D,IF(ISNUMBER(B2664),TEXT(B2664,"0000"),B2664),Addendum!G:G,"X")&gt;0,7%,0)</f>
        <v>0</v>
      </c>
      <c r="L2664" s="31">
        <f>IF(COUNTIFS(Addendum!C:C,A2664,Addendum!D:D,IF(ISNUMBER(B2664),TEXT(B2664,"0000"),B2664),Addendum!I:I,"X")&gt;0,10%,0)</f>
        <v>0</v>
      </c>
      <c r="M2664" s="34">
        <f t="shared" si="82"/>
        <v>0</v>
      </c>
      <c r="N2664" s="17">
        <f t="shared" si="83"/>
        <v>30.34</v>
      </c>
    </row>
    <row r="2665" spans="1:14" x14ac:dyDescent="0.25">
      <c r="A2665" s="14" t="s">
        <v>2534</v>
      </c>
      <c r="B2665" s="14">
        <v>6</v>
      </c>
      <c r="C2665" s="15" t="s">
        <v>2536</v>
      </c>
      <c r="D2665" s="14" t="s">
        <v>1745</v>
      </c>
      <c r="E2665" s="14" t="s">
        <v>1746</v>
      </c>
      <c r="F2665" s="17" t="s">
        <v>2994</v>
      </c>
      <c r="G2665" s="14">
        <v>524.16</v>
      </c>
      <c r="H2665" s="14">
        <v>419.28</v>
      </c>
      <c r="I2665" s="31">
        <f>IF(COUNTIFS(Addendum!C:C,A2665,Addendum!D:D,IF(ISNUMBER(B2665),TEXT(B2665,"0000"),B2665),Addendum!E:E,"X")&gt;0,4%,0)</f>
        <v>0</v>
      </c>
      <c r="J2665" s="31">
        <f>IF(COUNTIFS(Addendum!C:C,A2665,Addendum!D:D,IF(ISNUMBER(B2665),TEXT(B2665,"0000"),B2665),Addendum!F:F,"X")&gt;0,2.5%,0)</f>
        <v>0</v>
      </c>
      <c r="K2665" s="31">
        <f>IF(COUNTIFS(Addendum!C:C,A2665,Addendum!D:D,IF(ISNUMBER(B2665),TEXT(B2665,"0000"),B2665),Addendum!G:G,"X")&gt;0,7%,0)</f>
        <v>0</v>
      </c>
      <c r="L2665" s="31">
        <f>IF(COUNTIFS(Addendum!C:C,A2665,Addendum!D:D,IF(ISNUMBER(B2665),TEXT(B2665,"0000"),B2665),Addendum!I:I,"X")&gt;0,10%,0)</f>
        <v>0</v>
      </c>
      <c r="M2665" s="34">
        <f t="shared" si="82"/>
        <v>0</v>
      </c>
      <c r="N2665" s="17">
        <f t="shared" si="83"/>
        <v>419.28</v>
      </c>
    </row>
    <row r="2666" spans="1:14" x14ac:dyDescent="0.25">
      <c r="A2666" s="14" t="s">
        <v>2534</v>
      </c>
      <c r="B2666" s="14">
        <v>1</v>
      </c>
      <c r="C2666" s="15" t="s">
        <v>2537</v>
      </c>
      <c r="D2666" s="14" t="s">
        <v>1749</v>
      </c>
      <c r="E2666" s="14" t="s">
        <v>1746</v>
      </c>
      <c r="F2666" s="17" t="s">
        <v>2993</v>
      </c>
      <c r="G2666" s="14">
        <v>198</v>
      </c>
      <c r="H2666" s="14">
        <v>158.4</v>
      </c>
      <c r="I2666" s="31">
        <f>IF(COUNTIFS(Addendum!C:C,A2666,Addendum!D:D,IF(ISNUMBER(B2666),TEXT(B2666,"0000"),B2666),Addendum!E:E,"X")&gt;0,4%,0)</f>
        <v>0</v>
      </c>
      <c r="J2666" s="31">
        <f>IF(COUNTIFS(Addendum!C:C,A2666,Addendum!D:D,IF(ISNUMBER(B2666),TEXT(B2666,"0000"),B2666),Addendum!F:F,"X")&gt;0,2.5%,0)</f>
        <v>0</v>
      </c>
      <c r="K2666" s="31">
        <f>IF(COUNTIFS(Addendum!C:C,A2666,Addendum!D:D,IF(ISNUMBER(B2666),TEXT(B2666,"0000"),B2666),Addendum!G:G,"X")&gt;0,7%,0)</f>
        <v>0</v>
      </c>
      <c r="L2666" s="31">
        <f>IF(COUNTIFS(Addendum!C:C,A2666,Addendum!D:D,IF(ISNUMBER(B2666),TEXT(B2666,"0000"),B2666),Addendum!I:I,"X")&gt;0,10%,0)</f>
        <v>0</v>
      </c>
      <c r="M2666" s="34">
        <f t="shared" si="82"/>
        <v>0</v>
      </c>
      <c r="N2666" s="17">
        <f t="shared" si="83"/>
        <v>158.4</v>
      </c>
    </row>
    <row r="2667" spans="1:14" x14ac:dyDescent="0.25">
      <c r="A2667" s="14" t="s">
        <v>2534</v>
      </c>
      <c r="B2667" s="14">
        <v>7</v>
      </c>
      <c r="C2667" s="15" t="s">
        <v>2538</v>
      </c>
      <c r="D2667" s="14" t="s">
        <v>1745</v>
      </c>
      <c r="E2667" s="14" t="s">
        <v>1746</v>
      </c>
      <c r="F2667" s="17" t="s">
        <v>2995</v>
      </c>
      <c r="G2667" s="14">
        <v>839.16</v>
      </c>
      <c r="H2667" s="14">
        <v>755.28</v>
      </c>
      <c r="I2667" s="31">
        <f>IF(COUNTIFS(Addendum!C:C,A2667,Addendum!D:D,IF(ISNUMBER(B2667),TEXT(B2667,"0000"),B2667),Addendum!E:E,"X")&gt;0,4%,0)</f>
        <v>0</v>
      </c>
      <c r="J2667" s="31">
        <f>IF(COUNTIFS(Addendum!C:C,A2667,Addendum!D:D,IF(ISNUMBER(B2667),TEXT(B2667,"0000"),B2667),Addendum!F:F,"X")&gt;0,2.5%,0)</f>
        <v>0</v>
      </c>
      <c r="K2667" s="31">
        <f>IF(COUNTIFS(Addendum!C:C,A2667,Addendum!D:D,IF(ISNUMBER(B2667),TEXT(B2667,"0000"),B2667),Addendum!G:G,"X")&gt;0,7%,0)</f>
        <v>0</v>
      </c>
      <c r="L2667" s="31">
        <f>IF(COUNTIFS(Addendum!C:C,A2667,Addendum!D:D,IF(ISNUMBER(B2667),TEXT(B2667,"0000"),B2667),Addendum!I:I,"X")&gt;0,10%,0)</f>
        <v>0</v>
      </c>
      <c r="M2667" s="34">
        <f t="shared" si="82"/>
        <v>0</v>
      </c>
      <c r="N2667" s="17">
        <f t="shared" si="83"/>
        <v>755.28</v>
      </c>
    </row>
    <row r="2668" spans="1:14" x14ac:dyDescent="0.25">
      <c r="A2668" s="14" t="s">
        <v>2534</v>
      </c>
      <c r="B2668" s="14">
        <v>5</v>
      </c>
      <c r="C2668" s="15" t="s">
        <v>2535</v>
      </c>
      <c r="D2668" s="14" t="s">
        <v>1745</v>
      </c>
      <c r="E2668" s="14" t="s">
        <v>1747</v>
      </c>
      <c r="F2668" s="17" t="s">
        <v>2994</v>
      </c>
      <c r="G2668" s="14">
        <v>379.2</v>
      </c>
      <c r="H2668" s="14">
        <v>303.36</v>
      </c>
      <c r="I2668" s="31">
        <f>IF(COUNTIFS(Addendum!C:C,A2668,Addendum!D:D,IF(ISNUMBER(B2668),TEXT(B2668,"0000"),B2668),Addendum!E:E,"X")&gt;0,4%,0)</f>
        <v>0</v>
      </c>
      <c r="J2668" s="31">
        <f>IF(COUNTIFS(Addendum!C:C,A2668,Addendum!D:D,IF(ISNUMBER(B2668),TEXT(B2668,"0000"),B2668),Addendum!F:F,"X")&gt;0,2.5%,0)</f>
        <v>0</v>
      </c>
      <c r="K2668" s="31">
        <f>IF(COUNTIFS(Addendum!C:C,A2668,Addendum!D:D,IF(ISNUMBER(B2668),TEXT(B2668,"0000"),B2668),Addendum!G:G,"X")&gt;0,7%,0)</f>
        <v>0</v>
      </c>
      <c r="L2668" s="31">
        <f>IF(COUNTIFS(Addendum!C:C,A2668,Addendum!D:D,IF(ISNUMBER(B2668),TEXT(B2668,"0000"),B2668),Addendum!I:I,"X")&gt;0,10%,0)</f>
        <v>0</v>
      </c>
      <c r="M2668" s="34">
        <f t="shared" si="82"/>
        <v>0</v>
      </c>
      <c r="N2668" s="17">
        <f t="shared" si="83"/>
        <v>303.36</v>
      </c>
    </row>
    <row r="2669" spans="1:14" x14ac:dyDescent="0.25">
      <c r="A2669" s="14" t="s">
        <v>2534</v>
      </c>
      <c r="B2669" s="14">
        <v>1</v>
      </c>
      <c r="C2669" s="15" t="s">
        <v>2537</v>
      </c>
      <c r="D2669" s="14" t="s">
        <v>1745</v>
      </c>
      <c r="E2669" s="14" t="s">
        <v>1746</v>
      </c>
      <c r="F2669" s="17" t="s">
        <v>2993</v>
      </c>
      <c r="G2669" s="14">
        <v>2079</v>
      </c>
      <c r="H2669" s="14">
        <v>1663.2</v>
      </c>
      <c r="I2669" s="31">
        <f>IF(COUNTIFS(Addendum!C:C,A2669,Addendum!D:D,IF(ISNUMBER(B2669),TEXT(B2669,"0000"),B2669),Addendum!E:E,"X")&gt;0,4%,0)</f>
        <v>0</v>
      </c>
      <c r="J2669" s="31">
        <f>IF(COUNTIFS(Addendum!C:C,A2669,Addendum!D:D,IF(ISNUMBER(B2669),TEXT(B2669,"0000"),B2669),Addendum!F:F,"X")&gt;0,2.5%,0)</f>
        <v>0</v>
      </c>
      <c r="K2669" s="31">
        <f>IF(COUNTIFS(Addendum!C:C,A2669,Addendum!D:D,IF(ISNUMBER(B2669),TEXT(B2669,"0000"),B2669),Addendum!G:G,"X")&gt;0,7%,0)</f>
        <v>0</v>
      </c>
      <c r="L2669" s="31">
        <f>IF(COUNTIFS(Addendum!C:C,A2669,Addendum!D:D,IF(ISNUMBER(B2669),TEXT(B2669,"0000"),B2669),Addendum!I:I,"X")&gt;0,10%,0)</f>
        <v>0</v>
      </c>
      <c r="M2669" s="34">
        <f t="shared" si="82"/>
        <v>0</v>
      </c>
      <c r="N2669" s="17">
        <f t="shared" si="83"/>
        <v>1663.2</v>
      </c>
    </row>
    <row r="2670" spans="1:14" x14ac:dyDescent="0.25">
      <c r="A2670" s="14" t="s">
        <v>2534</v>
      </c>
      <c r="B2670" s="14">
        <v>5</v>
      </c>
      <c r="C2670" s="15" t="s">
        <v>2535</v>
      </c>
      <c r="D2670" s="14" t="s">
        <v>1745</v>
      </c>
      <c r="E2670" s="14" t="s">
        <v>1746</v>
      </c>
      <c r="F2670" s="17" t="s">
        <v>2994</v>
      </c>
      <c r="G2670" s="14">
        <v>398.16</v>
      </c>
      <c r="H2670" s="14">
        <v>318.48</v>
      </c>
      <c r="I2670" s="31">
        <f>IF(COUNTIFS(Addendum!C:C,A2670,Addendum!D:D,IF(ISNUMBER(B2670),TEXT(B2670,"0000"),B2670),Addendum!E:E,"X")&gt;0,4%,0)</f>
        <v>0</v>
      </c>
      <c r="J2670" s="31">
        <f>IF(COUNTIFS(Addendum!C:C,A2670,Addendum!D:D,IF(ISNUMBER(B2670),TEXT(B2670,"0000"),B2670),Addendum!F:F,"X")&gt;0,2.5%,0)</f>
        <v>0</v>
      </c>
      <c r="K2670" s="31">
        <f>IF(COUNTIFS(Addendum!C:C,A2670,Addendum!D:D,IF(ISNUMBER(B2670),TEXT(B2670,"0000"),B2670),Addendum!G:G,"X")&gt;0,7%,0)</f>
        <v>0</v>
      </c>
      <c r="L2670" s="31">
        <f>IF(COUNTIFS(Addendum!C:C,A2670,Addendum!D:D,IF(ISNUMBER(B2670),TEXT(B2670,"0000"),B2670),Addendum!I:I,"X")&gt;0,10%,0)</f>
        <v>0</v>
      </c>
      <c r="M2670" s="34">
        <f t="shared" si="82"/>
        <v>0</v>
      </c>
      <c r="N2670" s="17">
        <f t="shared" si="83"/>
        <v>318.48</v>
      </c>
    </row>
    <row r="2671" spans="1:14" x14ac:dyDescent="0.25">
      <c r="A2671" s="14" t="s">
        <v>2534</v>
      </c>
      <c r="B2671" s="14">
        <v>1</v>
      </c>
      <c r="C2671" s="15" t="s">
        <v>2537</v>
      </c>
      <c r="D2671" s="14" t="s">
        <v>1745</v>
      </c>
      <c r="E2671" s="14" t="s">
        <v>1747</v>
      </c>
      <c r="F2671" s="17" t="s">
        <v>2993</v>
      </c>
      <c r="G2671" s="14">
        <v>1980</v>
      </c>
      <c r="H2671" s="14">
        <v>1584</v>
      </c>
      <c r="I2671" s="31">
        <f>IF(COUNTIFS(Addendum!C:C,A2671,Addendum!D:D,IF(ISNUMBER(B2671),TEXT(B2671,"0000"),B2671),Addendum!E:E,"X")&gt;0,4%,0)</f>
        <v>0</v>
      </c>
      <c r="J2671" s="31">
        <f>IF(COUNTIFS(Addendum!C:C,A2671,Addendum!D:D,IF(ISNUMBER(B2671),TEXT(B2671,"0000"),B2671),Addendum!F:F,"X")&gt;0,2.5%,0)</f>
        <v>0</v>
      </c>
      <c r="K2671" s="31">
        <f>IF(COUNTIFS(Addendum!C:C,A2671,Addendum!D:D,IF(ISNUMBER(B2671),TEXT(B2671,"0000"),B2671),Addendum!G:G,"X")&gt;0,7%,0)</f>
        <v>0</v>
      </c>
      <c r="L2671" s="31">
        <f>IF(COUNTIFS(Addendum!C:C,A2671,Addendum!D:D,IF(ISNUMBER(B2671),TEXT(B2671,"0000"),B2671),Addendum!I:I,"X")&gt;0,10%,0)</f>
        <v>0</v>
      </c>
      <c r="M2671" s="34">
        <f t="shared" si="82"/>
        <v>0</v>
      </c>
      <c r="N2671" s="17">
        <f t="shared" si="83"/>
        <v>1584</v>
      </c>
    </row>
    <row r="2672" spans="1:14" x14ac:dyDescent="0.25">
      <c r="A2672" s="14" t="s">
        <v>2534</v>
      </c>
      <c r="B2672" s="14">
        <v>7</v>
      </c>
      <c r="C2672" s="15" t="s">
        <v>2538</v>
      </c>
      <c r="D2672" s="14" t="s">
        <v>1749</v>
      </c>
      <c r="E2672" s="14" t="s">
        <v>1746</v>
      </c>
      <c r="F2672" s="17" t="s">
        <v>2995</v>
      </c>
      <c r="G2672" s="14">
        <v>79.92</v>
      </c>
      <c r="H2672" s="14">
        <v>71.930000000000007</v>
      </c>
      <c r="I2672" s="31">
        <f>IF(COUNTIFS(Addendum!C:C,A2672,Addendum!D:D,IF(ISNUMBER(B2672),TEXT(B2672,"0000"),B2672),Addendum!E:E,"X")&gt;0,4%,0)</f>
        <v>0</v>
      </c>
      <c r="J2672" s="31">
        <f>IF(COUNTIFS(Addendum!C:C,A2672,Addendum!D:D,IF(ISNUMBER(B2672),TEXT(B2672,"0000"),B2672),Addendum!F:F,"X")&gt;0,2.5%,0)</f>
        <v>0</v>
      </c>
      <c r="K2672" s="31">
        <f>IF(COUNTIFS(Addendum!C:C,A2672,Addendum!D:D,IF(ISNUMBER(B2672),TEXT(B2672,"0000"),B2672),Addendum!G:G,"X")&gt;0,7%,0)</f>
        <v>0</v>
      </c>
      <c r="L2672" s="31">
        <f>IF(COUNTIFS(Addendum!C:C,A2672,Addendum!D:D,IF(ISNUMBER(B2672),TEXT(B2672,"0000"),B2672),Addendum!I:I,"X")&gt;0,10%,0)</f>
        <v>0</v>
      </c>
      <c r="M2672" s="34">
        <f t="shared" si="82"/>
        <v>0</v>
      </c>
      <c r="N2672" s="17">
        <f t="shared" si="83"/>
        <v>71.930000000000007</v>
      </c>
    </row>
    <row r="2673" spans="1:14" x14ac:dyDescent="0.25">
      <c r="A2673" s="14" t="s">
        <v>2534</v>
      </c>
      <c r="B2673" s="14">
        <v>6</v>
      </c>
      <c r="C2673" s="15" t="s">
        <v>2536</v>
      </c>
      <c r="D2673" s="14" t="s">
        <v>1745</v>
      </c>
      <c r="E2673" s="14" t="s">
        <v>1747</v>
      </c>
      <c r="F2673" s="17" t="s">
        <v>2994</v>
      </c>
      <c r="G2673" s="14">
        <v>499.2</v>
      </c>
      <c r="H2673" s="14">
        <v>399.36</v>
      </c>
      <c r="I2673" s="31">
        <f>IF(COUNTIFS(Addendum!C:C,A2673,Addendum!D:D,IF(ISNUMBER(B2673),TEXT(B2673,"0000"),B2673),Addendum!E:E,"X")&gt;0,4%,0)</f>
        <v>0</v>
      </c>
      <c r="J2673" s="31">
        <f>IF(COUNTIFS(Addendum!C:C,A2673,Addendum!D:D,IF(ISNUMBER(B2673),TEXT(B2673,"0000"),B2673),Addendum!F:F,"X")&gt;0,2.5%,0)</f>
        <v>0</v>
      </c>
      <c r="K2673" s="31">
        <f>IF(COUNTIFS(Addendum!C:C,A2673,Addendum!D:D,IF(ISNUMBER(B2673),TEXT(B2673,"0000"),B2673),Addendum!G:G,"X")&gt;0,7%,0)</f>
        <v>0</v>
      </c>
      <c r="L2673" s="31">
        <f>IF(COUNTIFS(Addendum!C:C,A2673,Addendum!D:D,IF(ISNUMBER(B2673),TEXT(B2673,"0000"),B2673),Addendum!I:I,"X")&gt;0,10%,0)</f>
        <v>0</v>
      </c>
      <c r="M2673" s="34">
        <f t="shared" si="82"/>
        <v>0</v>
      </c>
      <c r="N2673" s="17">
        <f t="shared" si="83"/>
        <v>399.36</v>
      </c>
    </row>
    <row r="2674" spans="1:14" x14ac:dyDescent="0.25">
      <c r="A2674" s="14" t="s">
        <v>2534</v>
      </c>
      <c r="B2674" s="14">
        <v>6</v>
      </c>
      <c r="C2674" s="15" t="s">
        <v>2536</v>
      </c>
      <c r="D2674" s="14" t="s">
        <v>1749</v>
      </c>
      <c r="E2674" s="14" t="s">
        <v>1746</v>
      </c>
      <c r="F2674" s="17" t="s">
        <v>2994</v>
      </c>
      <c r="G2674" s="14">
        <v>49.92</v>
      </c>
      <c r="H2674" s="14">
        <v>39.94</v>
      </c>
      <c r="I2674" s="31">
        <f>IF(COUNTIFS(Addendum!C:C,A2674,Addendum!D:D,IF(ISNUMBER(B2674),TEXT(B2674,"0000"),B2674),Addendum!E:E,"X")&gt;0,4%,0)</f>
        <v>0</v>
      </c>
      <c r="J2674" s="31">
        <f>IF(COUNTIFS(Addendum!C:C,A2674,Addendum!D:D,IF(ISNUMBER(B2674),TEXT(B2674,"0000"),B2674),Addendum!F:F,"X")&gt;0,2.5%,0)</f>
        <v>0</v>
      </c>
      <c r="K2674" s="31">
        <f>IF(COUNTIFS(Addendum!C:C,A2674,Addendum!D:D,IF(ISNUMBER(B2674),TEXT(B2674,"0000"),B2674),Addendum!G:G,"X")&gt;0,7%,0)</f>
        <v>0</v>
      </c>
      <c r="L2674" s="31">
        <f>IF(COUNTIFS(Addendum!C:C,A2674,Addendum!D:D,IF(ISNUMBER(B2674),TEXT(B2674,"0000"),B2674),Addendum!I:I,"X")&gt;0,10%,0)</f>
        <v>0</v>
      </c>
      <c r="M2674" s="34">
        <f t="shared" si="82"/>
        <v>0</v>
      </c>
      <c r="N2674" s="17">
        <f t="shared" si="83"/>
        <v>39.94</v>
      </c>
    </row>
    <row r="2675" spans="1:14" x14ac:dyDescent="0.25">
      <c r="A2675" s="14" t="s">
        <v>2534</v>
      </c>
      <c r="B2675" s="14">
        <v>7</v>
      </c>
      <c r="C2675" s="15" t="s">
        <v>2538</v>
      </c>
      <c r="D2675" s="14" t="s">
        <v>1745</v>
      </c>
      <c r="E2675" s="14" t="s">
        <v>1747</v>
      </c>
      <c r="F2675" s="17" t="s">
        <v>2995</v>
      </c>
      <c r="G2675" s="14">
        <v>799.2</v>
      </c>
      <c r="H2675" s="14">
        <v>719.28</v>
      </c>
      <c r="I2675" s="31">
        <f>IF(COUNTIFS(Addendum!C:C,A2675,Addendum!D:D,IF(ISNUMBER(B2675),TEXT(B2675,"0000"),B2675),Addendum!E:E,"X")&gt;0,4%,0)</f>
        <v>0</v>
      </c>
      <c r="J2675" s="31">
        <f>IF(COUNTIFS(Addendum!C:C,A2675,Addendum!D:D,IF(ISNUMBER(B2675),TEXT(B2675,"0000"),B2675),Addendum!F:F,"X")&gt;0,2.5%,0)</f>
        <v>0</v>
      </c>
      <c r="K2675" s="31">
        <f>IF(COUNTIFS(Addendum!C:C,A2675,Addendum!D:D,IF(ISNUMBER(B2675),TEXT(B2675,"0000"),B2675),Addendum!G:G,"X")&gt;0,7%,0)</f>
        <v>0</v>
      </c>
      <c r="L2675" s="31">
        <f>IF(COUNTIFS(Addendum!C:C,A2675,Addendum!D:D,IF(ISNUMBER(B2675),TEXT(B2675,"0000"),B2675),Addendum!I:I,"X")&gt;0,10%,0)</f>
        <v>0</v>
      </c>
      <c r="M2675" s="34">
        <f t="shared" si="82"/>
        <v>0</v>
      </c>
      <c r="N2675" s="17">
        <f t="shared" si="83"/>
        <v>719.28</v>
      </c>
    </row>
    <row r="2676" spans="1:14" x14ac:dyDescent="0.25">
      <c r="A2676" s="14" t="s">
        <v>2539</v>
      </c>
      <c r="B2676" s="14" t="s">
        <v>73</v>
      </c>
      <c r="C2676" s="15" t="s">
        <v>2540</v>
      </c>
      <c r="D2676" s="14" t="s">
        <v>1745</v>
      </c>
      <c r="E2676" s="14" t="s">
        <v>1747</v>
      </c>
      <c r="F2676" s="17" t="s">
        <v>2995</v>
      </c>
      <c r="G2676" s="14">
        <v>39960</v>
      </c>
      <c r="H2676" s="14">
        <v>35964</v>
      </c>
      <c r="I2676" s="31">
        <f>IF(COUNTIFS(Addendum!C:C,A2676,Addendum!D:D,IF(ISNUMBER(B2676),TEXT(B2676,"0000"),B2676),Addendum!E:E,"X")&gt;0,4%,0)</f>
        <v>0</v>
      </c>
      <c r="J2676" s="31">
        <f>IF(COUNTIFS(Addendum!C:C,A2676,Addendum!D:D,IF(ISNUMBER(B2676),TEXT(B2676,"0000"),B2676),Addendum!F:F,"X")&gt;0,2.5%,0)</f>
        <v>0</v>
      </c>
      <c r="K2676" s="31">
        <f>IF(COUNTIFS(Addendum!C:C,A2676,Addendum!D:D,IF(ISNUMBER(B2676),TEXT(B2676,"0000"),B2676),Addendum!G:G,"X")&gt;0,7%,0)</f>
        <v>0</v>
      </c>
      <c r="L2676" s="31">
        <f>IF(COUNTIFS(Addendum!C:C,A2676,Addendum!D:D,IF(ISNUMBER(B2676),TEXT(B2676,"0000"),B2676),Addendum!I:I,"X")&gt;0,10%,0)</f>
        <v>0</v>
      </c>
      <c r="M2676" s="34">
        <f t="shared" si="82"/>
        <v>0</v>
      </c>
      <c r="N2676" s="17">
        <f t="shared" si="83"/>
        <v>35964</v>
      </c>
    </row>
    <row r="2677" spans="1:14" x14ac:dyDescent="0.25">
      <c r="A2677" s="14" t="s">
        <v>2539</v>
      </c>
      <c r="B2677" s="14" t="s">
        <v>20</v>
      </c>
      <c r="C2677" s="15" t="s">
        <v>2541</v>
      </c>
      <c r="D2677" s="14" t="s">
        <v>1745</v>
      </c>
      <c r="E2677" s="14" t="s">
        <v>1746</v>
      </c>
      <c r="F2677" s="17" t="s">
        <v>2994</v>
      </c>
      <c r="G2677" s="14">
        <v>15750</v>
      </c>
      <c r="H2677" s="14">
        <v>12600</v>
      </c>
      <c r="I2677" s="31">
        <f>IF(COUNTIFS(Addendum!C:C,A2677,Addendum!D:D,IF(ISNUMBER(B2677),TEXT(B2677,"0000"),B2677),Addendum!E:E,"X")&gt;0,4%,0)</f>
        <v>0</v>
      </c>
      <c r="J2677" s="31">
        <f>IF(COUNTIFS(Addendum!C:C,A2677,Addendum!D:D,IF(ISNUMBER(B2677),TEXT(B2677,"0000"),B2677),Addendum!F:F,"X")&gt;0,2.5%,0)</f>
        <v>0</v>
      </c>
      <c r="K2677" s="31">
        <f>IF(COUNTIFS(Addendum!C:C,A2677,Addendum!D:D,IF(ISNUMBER(B2677),TEXT(B2677,"0000"),B2677),Addendum!G:G,"X")&gt;0,7%,0)</f>
        <v>0</v>
      </c>
      <c r="L2677" s="31">
        <f>IF(COUNTIFS(Addendum!C:C,A2677,Addendum!D:D,IF(ISNUMBER(B2677),TEXT(B2677,"0000"),B2677),Addendum!I:I,"X")&gt;0,10%,0)</f>
        <v>0</v>
      </c>
      <c r="M2677" s="34">
        <f t="shared" si="82"/>
        <v>0</v>
      </c>
      <c r="N2677" s="17">
        <f t="shared" si="83"/>
        <v>12600</v>
      </c>
    </row>
    <row r="2678" spans="1:14" x14ac:dyDescent="0.25">
      <c r="A2678" s="14" t="s">
        <v>2539</v>
      </c>
      <c r="B2678" s="14">
        <v>1</v>
      </c>
      <c r="C2678" s="15" t="s">
        <v>2542</v>
      </c>
      <c r="D2678" s="14" t="s">
        <v>1745</v>
      </c>
      <c r="E2678" s="14" t="s">
        <v>1747</v>
      </c>
      <c r="F2678" s="17" t="s">
        <v>2993</v>
      </c>
      <c r="G2678" s="14">
        <v>99840</v>
      </c>
      <c r="H2678" s="14">
        <v>79872</v>
      </c>
      <c r="I2678" s="31">
        <f>IF(COUNTIFS(Addendum!C:C,A2678,Addendum!D:D,IF(ISNUMBER(B2678),TEXT(B2678,"0000"),B2678),Addendum!E:E,"X")&gt;0,4%,0)</f>
        <v>0</v>
      </c>
      <c r="J2678" s="31">
        <f>IF(COUNTIFS(Addendum!C:C,A2678,Addendum!D:D,IF(ISNUMBER(B2678),TEXT(B2678,"0000"),B2678),Addendum!F:F,"X")&gt;0,2.5%,0)</f>
        <v>0</v>
      </c>
      <c r="K2678" s="31">
        <f>IF(COUNTIFS(Addendum!C:C,A2678,Addendum!D:D,IF(ISNUMBER(B2678),TEXT(B2678,"0000"),B2678),Addendum!G:G,"X")&gt;0,7%,0)</f>
        <v>0</v>
      </c>
      <c r="L2678" s="31">
        <f>IF(COUNTIFS(Addendum!C:C,A2678,Addendum!D:D,IF(ISNUMBER(B2678),TEXT(B2678,"0000"),B2678),Addendum!I:I,"X")&gt;0,10%,0)</f>
        <v>0</v>
      </c>
      <c r="M2678" s="34">
        <f t="shared" si="82"/>
        <v>0</v>
      </c>
      <c r="N2678" s="17">
        <f t="shared" si="83"/>
        <v>79872</v>
      </c>
    </row>
    <row r="2679" spans="1:14" x14ac:dyDescent="0.25">
      <c r="A2679" s="14" t="s">
        <v>2539</v>
      </c>
      <c r="B2679" s="14" t="s">
        <v>20</v>
      </c>
      <c r="C2679" s="15" t="s">
        <v>2541</v>
      </c>
      <c r="D2679" s="14" t="s">
        <v>1745</v>
      </c>
      <c r="E2679" s="14" t="s">
        <v>1747</v>
      </c>
      <c r="F2679" s="17" t="s">
        <v>2994</v>
      </c>
      <c r="G2679" s="14">
        <v>15000</v>
      </c>
      <c r="H2679" s="14">
        <v>12000</v>
      </c>
      <c r="I2679" s="31">
        <f>IF(COUNTIFS(Addendum!C:C,A2679,Addendum!D:D,IF(ISNUMBER(B2679),TEXT(B2679,"0000"),B2679),Addendum!E:E,"X")&gt;0,4%,0)</f>
        <v>0</v>
      </c>
      <c r="J2679" s="31">
        <f>IF(COUNTIFS(Addendum!C:C,A2679,Addendum!D:D,IF(ISNUMBER(B2679),TEXT(B2679,"0000"),B2679),Addendum!F:F,"X")&gt;0,2.5%,0)</f>
        <v>0</v>
      </c>
      <c r="K2679" s="31">
        <f>IF(COUNTIFS(Addendum!C:C,A2679,Addendum!D:D,IF(ISNUMBER(B2679),TEXT(B2679,"0000"),B2679),Addendum!G:G,"X")&gt;0,7%,0)</f>
        <v>0</v>
      </c>
      <c r="L2679" s="31">
        <f>IF(COUNTIFS(Addendum!C:C,A2679,Addendum!D:D,IF(ISNUMBER(B2679),TEXT(B2679,"0000"),B2679),Addendum!I:I,"X")&gt;0,10%,0)</f>
        <v>0</v>
      </c>
      <c r="M2679" s="34">
        <f t="shared" si="82"/>
        <v>0</v>
      </c>
      <c r="N2679" s="17">
        <f t="shared" si="83"/>
        <v>12000</v>
      </c>
    </row>
    <row r="2680" spans="1:14" x14ac:dyDescent="0.25">
      <c r="A2680" s="14" t="s">
        <v>2539</v>
      </c>
      <c r="B2680" s="14">
        <v>1</v>
      </c>
      <c r="C2680" s="15" t="s">
        <v>2542</v>
      </c>
      <c r="D2680" s="14" t="s">
        <v>1749</v>
      </c>
      <c r="E2680" s="14" t="s">
        <v>1746</v>
      </c>
      <c r="F2680" s="17" t="s">
        <v>2993</v>
      </c>
      <c r="G2680" s="14">
        <v>9984</v>
      </c>
      <c r="H2680" s="14">
        <v>7987.2</v>
      </c>
      <c r="I2680" s="31">
        <f>IF(COUNTIFS(Addendum!C:C,A2680,Addendum!D:D,IF(ISNUMBER(B2680),TEXT(B2680,"0000"),B2680),Addendum!E:E,"X")&gt;0,4%,0)</f>
        <v>0</v>
      </c>
      <c r="J2680" s="31">
        <f>IF(COUNTIFS(Addendum!C:C,A2680,Addendum!D:D,IF(ISNUMBER(B2680),TEXT(B2680,"0000"),B2680),Addendum!F:F,"X")&gt;0,2.5%,0)</f>
        <v>0</v>
      </c>
      <c r="K2680" s="31">
        <f>IF(COUNTIFS(Addendum!C:C,A2680,Addendum!D:D,IF(ISNUMBER(B2680),TEXT(B2680,"0000"),B2680),Addendum!G:G,"X")&gt;0,7%,0)</f>
        <v>0</v>
      </c>
      <c r="L2680" s="31">
        <f>IF(COUNTIFS(Addendum!C:C,A2680,Addendum!D:D,IF(ISNUMBER(B2680),TEXT(B2680,"0000"),B2680),Addendum!I:I,"X")&gt;0,10%,0)</f>
        <v>0</v>
      </c>
      <c r="M2680" s="34">
        <f t="shared" si="82"/>
        <v>0</v>
      </c>
      <c r="N2680" s="17">
        <f t="shared" si="83"/>
        <v>7987.2</v>
      </c>
    </row>
    <row r="2681" spans="1:14" x14ac:dyDescent="0.25">
      <c r="A2681" s="14" t="s">
        <v>2539</v>
      </c>
      <c r="B2681" s="14" t="s">
        <v>73</v>
      </c>
      <c r="C2681" s="15" t="s">
        <v>2540</v>
      </c>
      <c r="D2681" s="14" t="s">
        <v>1749</v>
      </c>
      <c r="E2681" s="14" t="s">
        <v>1746</v>
      </c>
      <c r="F2681" s="17" t="s">
        <v>2995</v>
      </c>
      <c r="G2681" s="14">
        <v>3996</v>
      </c>
      <c r="H2681" s="14">
        <v>3596.4</v>
      </c>
      <c r="I2681" s="31">
        <f>IF(COUNTIFS(Addendum!C:C,A2681,Addendum!D:D,IF(ISNUMBER(B2681),TEXT(B2681,"0000"),B2681),Addendum!E:E,"X")&gt;0,4%,0)</f>
        <v>0</v>
      </c>
      <c r="J2681" s="31">
        <f>IF(COUNTIFS(Addendum!C:C,A2681,Addendum!D:D,IF(ISNUMBER(B2681),TEXT(B2681,"0000"),B2681),Addendum!F:F,"X")&gt;0,2.5%,0)</f>
        <v>0</v>
      </c>
      <c r="K2681" s="31">
        <f>IF(COUNTIFS(Addendum!C:C,A2681,Addendum!D:D,IF(ISNUMBER(B2681),TEXT(B2681,"0000"),B2681),Addendum!G:G,"X")&gt;0,7%,0)</f>
        <v>0</v>
      </c>
      <c r="L2681" s="31">
        <f>IF(COUNTIFS(Addendum!C:C,A2681,Addendum!D:D,IF(ISNUMBER(B2681),TEXT(B2681,"0000"),B2681),Addendum!I:I,"X")&gt;0,10%,0)</f>
        <v>0</v>
      </c>
      <c r="M2681" s="34">
        <f t="shared" si="82"/>
        <v>0</v>
      </c>
      <c r="N2681" s="17">
        <f t="shared" si="83"/>
        <v>3596.4</v>
      </c>
    </row>
    <row r="2682" spans="1:14" x14ac:dyDescent="0.25">
      <c r="A2682" s="14" t="s">
        <v>2539</v>
      </c>
      <c r="B2682" s="14" t="s">
        <v>20</v>
      </c>
      <c r="C2682" s="15" t="s">
        <v>2541</v>
      </c>
      <c r="D2682" s="14" t="s">
        <v>1749</v>
      </c>
      <c r="E2682" s="14" t="s">
        <v>1746</v>
      </c>
      <c r="F2682" s="17" t="s">
        <v>2994</v>
      </c>
      <c r="G2682" s="14">
        <v>1500</v>
      </c>
      <c r="H2682" s="14">
        <v>1200</v>
      </c>
      <c r="I2682" s="31">
        <f>IF(COUNTIFS(Addendum!C:C,A2682,Addendum!D:D,IF(ISNUMBER(B2682),TEXT(B2682,"0000"),B2682),Addendum!E:E,"X")&gt;0,4%,0)</f>
        <v>0</v>
      </c>
      <c r="J2682" s="31">
        <f>IF(COUNTIFS(Addendum!C:C,A2682,Addendum!D:D,IF(ISNUMBER(B2682),TEXT(B2682,"0000"),B2682),Addendum!F:F,"X")&gt;0,2.5%,0)</f>
        <v>0</v>
      </c>
      <c r="K2682" s="31">
        <f>IF(COUNTIFS(Addendum!C:C,A2682,Addendum!D:D,IF(ISNUMBER(B2682),TEXT(B2682,"0000"),B2682),Addendum!G:G,"X")&gt;0,7%,0)</f>
        <v>0</v>
      </c>
      <c r="L2682" s="31">
        <f>IF(COUNTIFS(Addendum!C:C,A2682,Addendum!D:D,IF(ISNUMBER(B2682),TEXT(B2682,"0000"),B2682),Addendum!I:I,"X")&gt;0,10%,0)</f>
        <v>0</v>
      </c>
      <c r="M2682" s="34">
        <f t="shared" si="82"/>
        <v>0</v>
      </c>
      <c r="N2682" s="17">
        <f t="shared" si="83"/>
        <v>1200</v>
      </c>
    </row>
    <row r="2683" spans="1:14" x14ac:dyDescent="0.25">
      <c r="A2683" s="14" t="s">
        <v>2539</v>
      </c>
      <c r="B2683" s="14" t="s">
        <v>24</v>
      </c>
      <c r="C2683" s="15" t="s">
        <v>2543</v>
      </c>
      <c r="D2683" s="14" t="s">
        <v>1749</v>
      </c>
      <c r="E2683" s="14" t="s">
        <v>1746</v>
      </c>
      <c r="F2683" s="17" t="s">
        <v>2994</v>
      </c>
      <c r="G2683" s="14">
        <v>2496</v>
      </c>
      <c r="H2683" s="14">
        <v>1996.8</v>
      </c>
      <c r="I2683" s="31">
        <f>IF(COUNTIFS(Addendum!C:C,A2683,Addendum!D:D,IF(ISNUMBER(B2683),TEXT(B2683,"0000"),B2683),Addendum!E:E,"X")&gt;0,4%,0)</f>
        <v>0</v>
      </c>
      <c r="J2683" s="31">
        <f>IF(COUNTIFS(Addendum!C:C,A2683,Addendum!D:D,IF(ISNUMBER(B2683),TEXT(B2683,"0000"),B2683),Addendum!F:F,"X")&gt;0,2.5%,0)</f>
        <v>0</v>
      </c>
      <c r="K2683" s="31">
        <f>IF(COUNTIFS(Addendum!C:C,A2683,Addendum!D:D,IF(ISNUMBER(B2683),TEXT(B2683,"0000"),B2683),Addendum!G:G,"X")&gt;0,7%,0)</f>
        <v>0</v>
      </c>
      <c r="L2683" s="31">
        <f>IF(COUNTIFS(Addendum!C:C,A2683,Addendum!D:D,IF(ISNUMBER(B2683),TEXT(B2683,"0000"),B2683),Addendum!I:I,"X")&gt;0,10%,0)</f>
        <v>0</v>
      </c>
      <c r="M2683" s="34">
        <f t="shared" si="82"/>
        <v>0</v>
      </c>
      <c r="N2683" s="17">
        <f t="shared" si="83"/>
        <v>1996.8</v>
      </c>
    </row>
    <row r="2684" spans="1:14" x14ac:dyDescent="0.25">
      <c r="A2684" s="14" t="s">
        <v>2539</v>
      </c>
      <c r="B2684" s="14" t="s">
        <v>73</v>
      </c>
      <c r="C2684" s="15" t="s">
        <v>2540</v>
      </c>
      <c r="D2684" s="14" t="s">
        <v>1745</v>
      </c>
      <c r="E2684" s="14" t="s">
        <v>1746</v>
      </c>
      <c r="F2684" s="17" t="s">
        <v>2995</v>
      </c>
      <c r="G2684" s="14">
        <v>41958</v>
      </c>
      <c r="H2684" s="14">
        <v>37762.199999999997</v>
      </c>
      <c r="I2684" s="31">
        <f>IF(COUNTIFS(Addendum!C:C,A2684,Addendum!D:D,IF(ISNUMBER(B2684),TEXT(B2684,"0000"),B2684),Addendum!E:E,"X")&gt;0,4%,0)</f>
        <v>0</v>
      </c>
      <c r="J2684" s="31">
        <f>IF(COUNTIFS(Addendum!C:C,A2684,Addendum!D:D,IF(ISNUMBER(B2684),TEXT(B2684,"0000"),B2684),Addendum!F:F,"X")&gt;0,2.5%,0)</f>
        <v>0</v>
      </c>
      <c r="K2684" s="31">
        <f>IF(COUNTIFS(Addendum!C:C,A2684,Addendum!D:D,IF(ISNUMBER(B2684),TEXT(B2684,"0000"),B2684),Addendum!G:G,"X")&gt;0,7%,0)</f>
        <v>0</v>
      </c>
      <c r="L2684" s="31">
        <f>IF(COUNTIFS(Addendum!C:C,A2684,Addendum!D:D,IF(ISNUMBER(B2684),TEXT(B2684,"0000"),B2684),Addendum!I:I,"X")&gt;0,10%,0)</f>
        <v>0</v>
      </c>
      <c r="M2684" s="34">
        <f t="shared" si="82"/>
        <v>0</v>
      </c>
      <c r="N2684" s="17">
        <f t="shared" si="83"/>
        <v>37762.199999999997</v>
      </c>
    </row>
    <row r="2685" spans="1:14" x14ac:dyDescent="0.25">
      <c r="A2685" s="14" t="s">
        <v>2539</v>
      </c>
      <c r="B2685" s="14" t="s">
        <v>24</v>
      </c>
      <c r="C2685" s="15" t="s">
        <v>2543</v>
      </c>
      <c r="D2685" s="14" t="s">
        <v>1745</v>
      </c>
      <c r="E2685" s="14" t="s">
        <v>1746</v>
      </c>
      <c r="F2685" s="17" t="s">
        <v>2994</v>
      </c>
      <c r="G2685" s="14">
        <v>26208</v>
      </c>
      <c r="H2685" s="14">
        <v>20966.400000000001</v>
      </c>
      <c r="I2685" s="31">
        <f>IF(COUNTIFS(Addendum!C:C,A2685,Addendum!D:D,IF(ISNUMBER(B2685),TEXT(B2685,"0000"),B2685),Addendum!E:E,"X")&gt;0,4%,0)</f>
        <v>0</v>
      </c>
      <c r="J2685" s="31">
        <f>IF(COUNTIFS(Addendum!C:C,A2685,Addendum!D:D,IF(ISNUMBER(B2685),TEXT(B2685,"0000"),B2685),Addendum!F:F,"X")&gt;0,2.5%,0)</f>
        <v>0</v>
      </c>
      <c r="K2685" s="31">
        <f>IF(COUNTIFS(Addendum!C:C,A2685,Addendum!D:D,IF(ISNUMBER(B2685),TEXT(B2685,"0000"),B2685),Addendum!G:G,"X")&gt;0,7%,0)</f>
        <v>0</v>
      </c>
      <c r="L2685" s="31">
        <f>IF(COUNTIFS(Addendum!C:C,A2685,Addendum!D:D,IF(ISNUMBER(B2685),TEXT(B2685,"0000"),B2685),Addendum!I:I,"X")&gt;0,10%,0)</f>
        <v>0</v>
      </c>
      <c r="M2685" s="34">
        <f t="shared" si="82"/>
        <v>0</v>
      </c>
      <c r="N2685" s="17">
        <f t="shared" si="83"/>
        <v>20966.400000000001</v>
      </c>
    </row>
    <row r="2686" spans="1:14" x14ac:dyDescent="0.25">
      <c r="A2686" s="14" t="s">
        <v>2539</v>
      </c>
      <c r="B2686" s="14" t="s">
        <v>24</v>
      </c>
      <c r="C2686" s="15" t="s">
        <v>2543</v>
      </c>
      <c r="D2686" s="14" t="s">
        <v>1745</v>
      </c>
      <c r="E2686" s="14" t="s">
        <v>1747</v>
      </c>
      <c r="F2686" s="17" t="s">
        <v>2994</v>
      </c>
      <c r="G2686" s="14">
        <v>24960</v>
      </c>
      <c r="H2686" s="14">
        <v>19968</v>
      </c>
      <c r="I2686" s="31">
        <f>IF(COUNTIFS(Addendum!C:C,A2686,Addendum!D:D,IF(ISNUMBER(B2686),TEXT(B2686,"0000"),B2686),Addendum!E:E,"X")&gt;0,4%,0)</f>
        <v>0</v>
      </c>
      <c r="J2686" s="31">
        <f>IF(COUNTIFS(Addendum!C:C,A2686,Addendum!D:D,IF(ISNUMBER(B2686),TEXT(B2686,"0000"),B2686),Addendum!F:F,"X")&gt;0,2.5%,0)</f>
        <v>0</v>
      </c>
      <c r="K2686" s="31">
        <f>IF(COUNTIFS(Addendum!C:C,A2686,Addendum!D:D,IF(ISNUMBER(B2686),TEXT(B2686,"0000"),B2686),Addendum!G:G,"X")&gt;0,7%,0)</f>
        <v>0</v>
      </c>
      <c r="L2686" s="31">
        <f>IF(COUNTIFS(Addendum!C:C,A2686,Addendum!D:D,IF(ISNUMBER(B2686),TEXT(B2686,"0000"),B2686),Addendum!I:I,"X")&gt;0,10%,0)</f>
        <v>0</v>
      </c>
      <c r="M2686" s="34">
        <f t="shared" si="82"/>
        <v>0</v>
      </c>
      <c r="N2686" s="17">
        <f t="shared" si="83"/>
        <v>19968</v>
      </c>
    </row>
    <row r="2687" spans="1:14" x14ac:dyDescent="0.25">
      <c r="A2687" s="14" t="s">
        <v>2539</v>
      </c>
      <c r="B2687" s="14">
        <v>1</v>
      </c>
      <c r="C2687" s="15" t="s">
        <v>2542</v>
      </c>
      <c r="D2687" s="14" t="s">
        <v>1745</v>
      </c>
      <c r="E2687" s="14" t="s">
        <v>1746</v>
      </c>
      <c r="F2687" s="17" t="s">
        <v>2993</v>
      </c>
      <c r="G2687" s="14">
        <v>104832</v>
      </c>
      <c r="H2687" s="14">
        <v>83865.600000000006</v>
      </c>
      <c r="I2687" s="31">
        <f>IF(COUNTIFS(Addendum!C:C,A2687,Addendum!D:D,IF(ISNUMBER(B2687),TEXT(B2687,"0000"),B2687),Addendum!E:E,"X")&gt;0,4%,0)</f>
        <v>0</v>
      </c>
      <c r="J2687" s="31">
        <f>IF(COUNTIFS(Addendum!C:C,A2687,Addendum!D:D,IF(ISNUMBER(B2687),TEXT(B2687,"0000"),B2687),Addendum!F:F,"X")&gt;0,2.5%,0)</f>
        <v>0</v>
      </c>
      <c r="K2687" s="31">
        <f>IF(COUNTIFS(Addendum!C:C,A2687,Addendum!D:D,IF(ISNUMBER(B2687),TEXT(B2687,"0000"),B2687),Addendum!G:G,"X")&gt;0,7%,0)</f>
        <v>0</v>
      </c>
      <c r="L2687" s="31">
        <f>IF(COUNTIFS(Addendum!C:C,A2687,Addendum!D:D,IF(ISNUMBER(B2687),TEXT(B2687,"0000"),B2687),Addendum!I:I,"X")&gt;0,10%,0)</f>
        <v>0</v>
      </c>
      <c r="M2687" s="34">
        <f t="shared" si="82"/>
        <v>0</v>
      </c>
      <c r="N2687" s="17">
        <f t="shared" si="83"/>
        <v>83865.600000000006</v>
      </c>
    </row>
    <row r="2688" spans="1:14" x14ac:dyDescent="0.25">
      <c r="A2688" s="14" t="s">
        <v>2544</v>
      </c>
      <c r="B2688" s="14" t="s">
        <v>16</v>
      </c>
      <c r="C2688" s="15" t="s">
        <v>2545</v>
      </c>
      <c r="D2688" s="14" t="s">
        <v>1752</v>
      </c>
      <c r="E2688" s="14" t="s">
        <v>1746</v>
      </c>
      <c r="F2688" s="17" t="s">
        <v>2995</v>
      </c>
      <c r="G2688" s="14">
        <v>5031558</v>
      </c>
      <c r="H2688" s="14">
        <v>3773669</v>
      </c>
      <c r="I2688" s="31">
        <f>IF(COUNTIFS(Addendum!C:C,A2688,Addendum!D:D,IF(ISNUMBER(B2688),TEXT(B2688,"0000"),B2688),Addendum!E:E,"X")&gt;0,4%,0)</f>
        <v>0</v>
      </c>
      <c r="J2688" s="31">
        <f>IF(COUNTIFS(Addendum!C:C,A2688,Addendum!D:D,IF(ISNUMBER(B2688),TEXT(B2688,"0000"),B2688),Addendum!F:F,"X")&gt;0,2.5%,0)</f>
        <v>0</v>
      </c>
      <c r="K2688" s="31">
        <f>IF(COUNTIFS(Addendum!C:C,A2688,Addendum!D:D,IF(ISNUMBER(B2688),TEXT(B2688,"0000"),B2688),Addendum!G:G,"X")&gt;0,7%,0)</f>
        <v>0</v>
      </c>
      <c r="L2688" s="31">
        <f>IF(COUNTIFS(Addendum!C:C,A2688,Addendum!D:D,IF(ISNUMBER(B2688),TEXT(B2688,"0000"),B2688),Addendum!I:I,"X")&gt;0,10%,0)</f>
        <v>0</v>
      </c>
      <c r="M2688" s="34">
        <f t="shared" si="82"/>
        <v>0</v>
      </c>
      <c r="N2688" s="17">
        <f t="shared" si="83"/>
        <v>3773669</v>
      </c>
    </row>
    <row r="2689" spans="1:14" x14ac:dyDescent="0.25">
      <c r="A2689" s="14" t="s">
        <v>2544</v>
      </c>
      <c r="B2689" s="14" t="s">
        <v>16</v>
      </c>
      <c r="C2689" s="15" t="s">
        <v>2545</v>
      </c>
      <c r="D2689" s="14" t="s">
        <v>1752</v>
      </c>
      <c r="E2689" s="14" t="s">
        <v>1747</v>
      </c>
      <c r="F2689" s="17" t="s">
        <v>2995</v>
      </c>
      <c r="G2689" s="14">
        <v>4791960</v>
      </c>
      <c r="H2689" s="14">
        <v>3593970</v>
      </c>
      <c r="I2689" s="31">
        <f>IF(COUNTIFS(Addendum!C:C,A2689,Addendum!D:D,IF(ISNUMBER(B2689),TEXT(B2689,"0000"),B2689),Addendum!E:E,"X")&gt;0,4%,0)</f>
        <v>0</v>
      </c>
      <c r="J2689" s="31">
        <f>IF(COUNTIFS(Addendum!C:C,A2689,Addendum!D:D,IF(ISNUMBER(B2689),TEXT(B2689,"0000"),B2689),Addendum!F:F,"X")&gt;0,2.5%,0)</f>
        <v>0</v>
      </c>
      <c r="K2689" s="31">
        <f>IF(COUNTIFS(Addendum!C:C,A2689,Addendum!D:D,IF(ISNUMBER(B2689),TEXT(B2689,"0000"),B2689),Addendum!G:G,"X")&gt;0,7%,0)</f>
        <v>0</v>
      </c>
      <c r="L2689" s="31">
        <f>IF(COUNTIFS(Addendum!C:C,A2689,Addendum!D:D,IF(ISNUMBER(B2689),TEXT(B2689,"0000"),B2689),Addendum!I:I,"X")&gt;0,10%,0)</f>
        <v>0</v>
      </c>
      <c r="M2689" s="34">
        <f t="shared" si="82"/>
        <v>0</v>
      </c>
      <c r="N2689" s="17">
        <f t="shared" si="83"/>
        <v>3593970</v>
      </c>
    </row>
    <row r="2690" spans="1:14" x14ac:dyDescent="0.25">
      <c r="A2690" s="14" t="s">
        <v>2544</v>
      </c>
      <c r="B2690" s="14">
        <v>6</v>
      </c>
      <c r="C2690" s="15" t="s">
        <v>2546</v>
      </c>
      <c r="D2690" s="14" t="s">
        <v>1745</v>
      </c>
      <c r="E2690" s="14" t="s">
        <v>1747</v>
      </c>
      <c r="F2690" s="17" t="s">
        <v>2994</v>
      </c>
      <c r="G2690" s="14">
        <v>598980</v>
      </c>
      <c r="H2690" s="14">
        <v>598980</v>
      </c>
      <c r="I2690" s="31">
        <f>IF(COUNTIFS(Addendum!C:C,A2690,Addendum!D:D,IF(ISNUMBER(B2690),TEXT(B2690,"0000"),B2690),Addendum!E:E,"X")&gt;0,4%,0)</f>
        <v>0</v>
      </c>
      <c r="J2690" s="31">
        <f>IF(COUNTIFS(Addendum!C:C,A2690,Addendum!D:D,IF(ISNUMBER(B2690),TEXT(B2690,"0000"),B2690),Addendum!F:F,"X")&gt;0,2.5%,0)</f>
        <v>0</v>
      </c>
      <c r="K2690" s="31">
        <f>IF(COUNTIFS(Addendum!C:C,A2690,Addendum!D:D,IF(ISNUMBER(B2690),TEXT(B2690,"0000"),B2690),Addendum!G:G,"X")&gt;0,7%,0)</f>
        <v>0</v>
      </c>
      <c r="L2690" s="31">
        <f>IF(COUNTIFS(Addendum!C:C,A2690,Addendum!D:D,IF(ISNUMBER(B2690),TEXT(B2690,"0000"),B2690),Addendum!I:I,"X")&gt;0,10%,0)</f>
        <v>0</v>
      </c>
      <c r="M2690" s="34">
        <f t="shared" si="82"/>
        <v>0</v>
      </c>
      <c r="N2690" s="17">
        <f t="shared" si="83"/>
        <v>598980</v>
      </c>
    </row>
    <row r="2691" spans="1:14" x14ac:dyDescent="0.25">
      <c r="A2691" s="14" t="s">
        <v>2544</v>
      </c>
      <c r="B2691" s="14">
        <v>7</v>
      </c>
      <c r="C2691" s="15" t="s">
        <v>2547</v>
      </c>
      <c r="D2691" s="14" t="s">
        <v>1752</v>
      </c>
      <c r="E2691" s="14" t="s">
        <v>1753</v>
      </c>
      <c r="F2691" s="17" t="s">
        <v>2994</v>
      </c>
      <c r="G2691" s="14">
        <v>0</v>
      </c>
      <c r="H2691" s="14">
        <v>0</v>
      </c>
      <c r="I2691" s="31">
        <f>IF(COUNTIFS(Addendum!C:C,A2691,Addendum!D:D,IF(ISNUMBER(B2691),TEXT(B2691,"0000"),B2691),Addendum!E:E,"X")&gt;0,4%,0)</f>
        <v>0</v>
      </c>
      <c r="J2691" s="31">
        <f>IF(COUNTIFS(Addendum!C:C,A2691,Addendum!D:D,IF(ISNUMBER(B2691),TEXT(B2691,"0000"),B2691),Addendum!F:F,"X")&gt;0,2.5%,0)</f>
        <v>0</v>
      </c>
      <c r="K2691" s="31">
        <f>IF(COUNTIFS(Addendum!C:C,A2691,Addendum!D:D,IF(ISNUMBER(B2691),TEXT(B2691,"0000"),B2691),Addendum!G:G,"X")&gt;0,7%,0)</f>
        <v>0</v>
      </c>
      <c r="L2691" s="31">
        <f>IF(COUNTIFS(Addendum!C:C,A2691,Addendum!D:D,IF(ISNUMBER(B2691),TEXT(B2691,"0000"),B2691),Addendum!I:I,"X")&gt;0,10%,0)</f>
        <v>0</v>
      </c>
      <c r="M2691" s="34">
        <f t="shared" si="82"/>
        <v>0</v>
      </c>
      <c r="N2691" s="17">
        <f t="shared" si="83"/>
        <v>0</v>
      </c>
    </row>
    <row r="2692" spans="1:14" x14ac:dyDescent="0.25">
      <c r="A2692" s="14" t="s">
        <v>2544</v>
      </c>
      <c r="B2692" s="14">
        <v>9</v>
      </c>
      <c r="C2692" s="15" t="s">
        <v>2548</v>
      </c>
      <c r="D2692" s="14" t="s">
        <v>1752</v>
      </c>
      <c r="E2692" s="14" t="s">
        <v>1753</v>
      </c>
      <c r="F2692" s="17" t="s">
        <v>2995</v>
      </c>
      <c r="G2692" s="14">
        <v>0</v>
      </c>
      <c r="H2692" s="14">
        <v>0</v>
      </c>
      <c r="I2692" s="31">
        <f>IF(COUNTIFS(Addendum!C:C,A2692,Addendum!D:D,IF(ISNUMBER(B2692),TEXT(B2692,"0000"),B2692),Addendum!E:E,"X")&gt;0,4%,0)</f>
        <v>0</v>
      </c>
      <c r="J2692" s="31">
        <f>IF(COUNTIFS(Addendum!C:C,A2692,Addendum!D:D,IF(ISNUMBER(B2692),TEXT(B2692,"0000"),B2692),Addendum!F:F,"X")&gt;0,2.5%,0)</f>
        <v>0</v>
      </c>
      <c r="K2692" s="31">
        <f>IF(COUNTIFS(Addendum!C:C,A2692,Addendum!D:D,IF(ISNUMBER(B2692),TEXT(B2692,"0000"),B2692),Addendum!G:G,"X")&gt;0,7%,0)</f>
        <v>0</v>
      </c>
      <c r="L2692" s="31">
        <f>IF(COUNTIFS(Addendum!C:C,A2692,Addendum!D:D,IF(ISNUMBER(B2692),TEXT(B2692,"0000"),B2692),Addendum!I:I,"X")&gt;0,10%,0)</f>
        <v>0</v>
      </c>
      <c r="M2692" s="34">
        <f t="shared" ref="M2692:M2755" si="84">IF(AND(I2692=0%,J2692=0%,K2692=0%,L2692=0%),0%,
IF(OR(TRIM(E2692)="OneTime",TRIM(D2692)=""),0%,
IF(
OR(
TRIM(D2692)="P1M",
AND(TRIM(D2692)="P1Y",TRIM(E2692)="Monthly"),
AND(TRIM(D2692)="P3Y",TRIM(E2692)="Monthly")
),
IF(AND(I2692=4%,J2692=0%,K2692=0%,L2692=0%),1%,
IF(AND(I2692=4%,J2692=2.5%,K2692=0%,L2692=10%),2%,
IF(AND(I2692=4%,J2692=0%,K2692=7%,L2692=10%),3%,0%))),
IF(
OR(
AND(TRIM(D2692)="P1Y",TRIM(E2692)="Annual"),
AND(TRIM(D2692)="P3Y",TRIM(E2692)="Annual"),
AND(TRIM(D2692)="P3Y",TRIM(E2692)="Triennial")
),
IF(AND(I2692=4%,J2692=0%,K2692=0%,L2692=0%),3%,
IF(AND(I2692=4%,J2692=2.5%,K2692=0%,L2692=10%),10%,
IF(AND(I2692=4%,J2692=0%,K2692=7%,L2692=10%),14%,0%))),
0%
))))</f>
        <v>0</v>
      </c>
      <c r="N2692" s="17">
        <f t="shared" ref="N2692:N2755" si="85">H2692-(H2692*M2692)</f>
        <v>0</v>
      </c>
    </row>
    <row r="2693" spans="1:14" x14ac:dyDescent="0.25">
      <c r="A2693" s="14" t="s">
        <v>2544</v>
      </c>
      <c r="B2693" s="14">
        <v>5</v>
      </c>
      <c r="C2693" s="15" t="s">
        <v>2549</v>
      </c>
      <c r="D2693" s="14" t="s">
        <v>1745</v>
      </c>
      <c r="E2693" s="14" t="s">
        <v>1747</v>
      </c>
      <c r="F2693" s="17" t="s">
        <v>2994</v>
      </c>
      <c r="G2693" s="14">
        <v>798660</v>
      </c>
      <c r="H2693" s="14">
        <v>798660</v>
      </c>
      <c r="I2693" s="31">
        <f>IF(COUNTIFS(Addendum!C:C,A2693,Addendum!D:D,IF(ISNUMBER(B2693),TEXT(B2693,"0000"),B2693),Addendum!E:E,"X")&gt;0,4%,0)</f>
        <v>0</v>
      </c>
      <c r="J2693" s="31">
        <f>IF(COUNTIFS(Addendum!C:C,A2693,Addendum!D:D,IF(ISNUMBER(B2693),TEXT(B2693,"0000"),B2693),Addendum!F:F,"X")&gt;0,2.5%,0)</f>
        <v>0</v>
      </c>
      <c r="K2693" s="31">
        <f>IF(COUNTIFS(Addendum!C:C,A2693,Addendum!D:D,IF(ISNUMBER(B2693),TEXT(B2693,"0000"),B2693),Addendum!G:G,"X")&gt;0,7%,0)</f>
        <v>0</v>
      </c>
      <c r="L2693" s="31">
        <f>IF(COUNTIFS(Addendum!C:C,A2693,Addendum!D:D,IF(ISNUMBER(B2693),TEXT(B2693,"0000"),B2693),Addendum!I:I,"X")&gt;0,10%,0)</f>
        <v>0</v>
      </c>
      <c r="M2693" s="34">
        <f t="shared" si="84"/>
        <v>0</v>
      </c>
      <c r="N2693" s="17">
        <f t="shared" si="85"/>
        <v>798660</v>
      </c>
    </row>
    <row r="2694" spans="1:14" x14ac:dyDescent="0.25">
      <c r="A2694" s="14" t="s">
        <v>2544</v>
      </c>
      <c r="B2694" s="14">
        <v>9</v>
      </c>
      <c r="C2694" s="15" t="s">
        <v>2548</v>
      </c>
      <c r="D2694" s="14" t="s">
        <v>1752</v>
      </c>
      <c r="E2694" s="14" t="s">
        <v>1746</v>
      </c>
      <c r="F2694" s="17" t="s">
        <v>2995</v>
      </c>
      <c r="G2694" s="14">
        <v>0</v>
      </c>
      <c r="H2694" s="14">
        <v>0</v>
      </c>
      <c r="I2694" s="31">
        <f>IF(COUNTIFS(Addendum!C:C,A2694,Addendum!D:D,IF(ISNUMBER(B2694),TEXT(B2694,"0000"),B2694),Addendum!E:E,"X")&gt;0,4%,0)</f>
        <v>0</v>
      </c>
      <c r="J2694" s="31">
        <f>IF(COUNTIFS(Addendum!C:C,A2694,Addendum!D:D,IF(ISNUMBER(B2694),TEXT(B2694,"0000"),B2694),Addendum!F:F,"X")&gt;0,2.5%,0)</f>
        <v>0</v>
      </c>
      <c r="K2694" s="31">
        <f>IF(COUNTIFS(Addendum!C:C,A2694,Addendum!D:D,IF(ISNUMBER(B2694),TEXT(B2694,"0000"),B2694),Addendum!G:G,"X")&gt;0,7%,0)</f>
        <v>0</v>
      </c>
      <c r="L2694" s="31">
        <f>IF(COUNTIFS(Addendum!C:C,A2694,Addendum!D:D,IF(ISNUMBER(B2694),TEXT(B2694,"0000"),B2694),Addendum!I:I,"X")&gt;0,10%,0)</f>
        <v>0</v>
      </c>
      <c r="M2694" s="34">
        <f t="shared" si="84"/>
        <v>0</v>
      </c>
      <c r="N2694" s="17">
        <f t="shared" si="85"/>
        <v>0</v>
      </c>
    </row>
    <row r="2695" spans="1:14" x14ac:dyDescent="0.25">
      <c r="A2695" s="14" t="s">
        <v>2544</v>
      </c>
      <c r="B2695" s="14">
        <v>5</v>
      </c>
      <c r="C2695" s="15" t="s">
        <v>2549</v>
      </c>
      <c r="D2695" s="14" t="s">
        <v>1752</v>
      </c>
      <c r="E2695" s="14" t="s">
        <v>1753</v>
      </c>
      <c r="F2695" s="17" t="s">
        <v>2994</v>
      </c>
      <c r="G2695" s="14">
        <v>2395980</v>
      </c>
      <c r="H2695" s="14">
        <v>2395980</v>
      </c>
      <c r="I2695" s="31">
        <f>IF(COUNTIFS(Addendum!C:C,A2695,Addendum!D:D,IF(ISNUMBER(B2695),TEXT(B2695,"0000"),B2695),Addendum!E:E,"X")&gt;0,4%,0)</f>
        <v>0</v>
      </c>
      <c r="J2695" s="31">
        <f>IF(COUNTIFS(Addendum!C:C,A2695,Addendum!D:D,IF(ISNUMBER(B2695),TEXT(B2695,"0000"),B2695),Addendum!F:F,"X")&gt;0,2.5%,0)</f>
        <v>0</v>
      </c>
      <c r="K2695" s="31">
        <f>IF(COUNTIFS(Addendum!C:C,A2695,Addendum!D:D,IF(ISNUMBER(B2695),TEXT(B2695,"0000"),B2695),Addendum!G:G,"X")&gt;0,7%,0)</f>
        <v>0</v>
      </c>
      <c r="L2695" s="31">
        <f>IF(COUNTIFS(Addendum!C:C,A2695,Addendum!D:D,IF(ISNUMBER(B2695),TEXT(B2695,"0000"),B2695),Addendum!I:I,"X")&gt;0,10%,0)</f>
        <v>0</v>
      </c>
      <c r="M2695" s="34">
        <f t="shared" si="84"/>
        <v>0</v>
      </c>
      <c r="N2695" s="17">
        <f t="shared" si="85"/>
        <v>2395980</v>
      </c>
    </row>
    <row r="2696" spans="1:14" x14ac:dyDescent="0.25">
      <c r="A2696" s="14" t="s">
        <v>2544</v>
      </c>
      <c r="B2696" s="14">
        <v>7</v>
      </c>
      <c r="C2696" s="15" t="s">
        <v>2547</v>
      </c>
      <c r="D2696" s="14" t="s">
        <v>1745</v>
      </c>
      <c r="E2696" s="14" t="s">
        <v>1747</v>
      </c>
      <c r="F2696" s="17" t="s">
        <v>2994</v>
      </c>
      <c r="G2696" s="14">
        <v>0</v>
      </c>
      <c r="H2696" s="14">
        <v>0</v>
      </c>
      <c r="I2696" s="31">
        <f>IF(COUNTIFS(Addendum!C:C,A2696,Addendum!D:D,IF(ISNUMBER(B2696),TEXT(B2696,"0000"),B2696),Addendum!E:E,"X")&gt;0,4%,0)</f>
        <v>0</v>
      </c>
      <c r="J2696" s="31">
        <f>IF(COUNTIFS(Addendum!C:C,A2696,Addendum!D:D,IF(ISNUMBER(B2696),TEXT(B2696,"0000"),B2696),Addendum!F:F,"X")&gt;0,2.5%,0)</f>
        <v>0</v>
      </c>
      <c r="K2696" s="31">
        <f>IF(COUNTIFS(Addendum!C:C,A2696,Addendum!D:D,IF(ISNUMBER(B2696),TEXT(B2696,"0000"),B2696),Addendum!G:G,"X")&gt;0,7%,0)</f>
        <v>0</v>
      </c>
      <c r="L2696" s="31">
        <f>IF(COUNTIFS(Addendum!C:C,A2696,Addendum!D:D,IF(ISNUMBER(B2696),TEXT(B2696,"0000"),B2696),Addendum!I:I,"X")&gt;0,10%,0)</f>
        <v>0</v>
      </c>
      <c r="M2696" s="34">
        <f t="shared" si="84"/>
        <v>0</v>
      </c>
      <c r="N2696" s="17">
        <f t="shared" si="85"/>
        <v>0</v>
      </c>
    </row>
    <row r="2697" spans="1:14" x14ac:dyDescent="0.25">
      <c r="A2697" s="14" t="s">
        <v>2544</v>
      </c>
      <c r="B2697" s="14">
        <v>8</v>
      </c>
      <c r="C2697" s="15" t="s">
        <v>2550</v>
      </c>
      <c r="D2697" s="14" t="s">
        <v>1752</v>
      </c>
      <c r="E2697" s="14" t="s">
        <v>1747</v>
      </c>
      <c r="F2697" s="17" t="s">
        <v>2994</v>
      </c>
      <c r="G2697" s="14">
        <v>0</v>
      </c>
      <c r="H2697" s="14">
        <v>0</v>
      </c>
      <c r="I2697" s="31">
        <f>IF(COUNTIFS(Addendum!C:C,A2697,Addendum!D:D,IF(ISNUMBER(B2697),TEXT(B2697,"0000"),B2697),Addendum!E:E,"X")&gt;0,4%,0)</f>
        <v>0</v>
      </c>
      <c r="J2697" s="31">
        <f>IF(COUNTIFS(Addendum!C:C,A2697,Addendum!D:D,IF(ISNUMBER(B2697),TEXT(B2697,"0000"),B2697),Addendum!F:F,"X")&gt;0,2.5%,0)</f>
        <v>0</v>
      </c>
      <c r="K2697" s="31">
        <f>IF(COUNTIFS(Addendum!C:C,A2697,Addendum!D:D,IF(ISNUMBER(B2697),TEXT(B2697,"0000"),B2697),Addendum!G:G,"X")&gt;0,7%,0)</f>
        <v>0</v>
      </c>
      <c r="L2697" s="31">
        <f>IF(COUNTIFS(Addendum!C:C,A2697,Addendum!D:D,IF(ISNUMBER(B2697),TEXT(B2697,"0000"),B2697),Addendum!I:I,"X")&gt;0,10%,0)</f>
        <v>0</v>
      </c>
      <c r="M2697" s="34">
        <f t="shared" si="84"/>
        <v>0</v>
      </c>
      <c r="N2697" s="17">
        <f t="shared" si="85"/>
        <v>0</v>
      </c>
    </row>
    <row r="2698" spans="1:14" x14ac:dyDescent="0.25">
      <c r="A2698" s="14" t="s">
        <v>2544</v>
      </c>
      <c r="B2698" s="14">
        <v>6</v>
      </c>
      <c r="C2698" s="15" t="s">
        <v>2546</v>
      </c>
      <c r="D2698" s="14" t="s">
        <v>1752</v>
      </c>
      <c r="E2698" s="14" t="s">
        <v>1746</v>
      </c>
      <c r="F2698" s="17" t="s">
        <v>2994</v>
      </c>
      <c r="G2698" s="14">
        <v>1886787</v>
      </c>
      <c r="H2698" s="14">
        <v>1886787</v>
      </c>
      <c r="I2698" s="31">
        <f>IF(COUNTIFS(Addendum!C:C,A2698,Addendum!D:D,IF(ISNUMBER(B2698),TEXT(B2698,"0000"),B2698),Addendum!E:E,"X")&gt;0,4%,0)</f>
        <v>0</v>
      </c>
      <c r="J2698" s="31">
        <f>IF(COUNTIFS(Addendum!C:C,A2698,Addendum!D:D,IF(ISNUMBER(B2698),TEXT(B2698,"0000"),B2698),Addendum!F:F,"X")&gt;0,2.5%,0)</f>
        <v>0</v>
      </c>
      <c r="K2698" s="31">
        <f>IF(COUNTIFS(Addendum!C:C,A2698,Addendum!D:D,IF(ISNUMBER(B2698),TEXT(B2698,"0000"),B2698),Addendum!G:G,"X")&gt;0,7%,0)</f>
        <v>0</v>
      </c>
      <c r="L2698" s="31">
        <f>IF(COUNTIFS(Addendum!C:C,A2698,Addendum!D:D,IF(ISNUMBER(B2698),TEXT(B2698,"0000"),B2698),Addendum!I:I,"X")&gt;0,10%,0)</f>
        <v>0</v>
      </c>
      <c r="M2698" s="34">
        <f t="shared" si="84"/>
        <v>0</v>
      </c>
      <c r="N2698" s="17">
        <f t="shared" si="85"/>
        <v>1886787</v>
      </c>
    </row>
    <row r="2699" spans="1:14" x14ac:dyDescent="0.25">
      <c r="A2699" s="14" t="s">
        <v>2544</v>
      </c>
      <c r="B2699" s="14" t="s">
        <v>16</v>
      </c>
      <c r="C2699" s="15" t="s">
        <v>2545</v>
      </c>
      <c r="D2699" s="14" t="s">
        <v>1745</v>
      </c>
      <c r="E2699" s="14" t="s">
        <v>1747</v>
      </c>
      <c r="F2699" s="17" t="s">
        <v>2995</v>
      </c>
      <c r="G2699" s="14">
        <v>1597320</v>
      </c>
      <c r="H2699" s="14">
        <v>1197990</v>
      </c>
      <c r="I2699" s="31">
        <f>IF(COUNTIFS(Addendum!C:C,A2699,Addendum!D:D,IF(ISNUMBER(B2699),TEXT(B2699,"0000"),B2699),Addendum!E:E,"X")&gt;0,4%,0)</f>
        <v>0</v>
      </c>
      <c r="J2699" s="31">
        <f>IF(COUNTIFS(Addendum!C:C,A2699,Addendum!D:D,IF(ISNUMBER(B2699),TEXT(B2699,"0000"),B2699),Addendum!F:F,"X")&gt;0,2.5%,0)</f>
        <v>0</v>
      </c>
      <c r="K2699" s="31">
        <f>IF(COUNTIFS(Addendum!C:C,A2699,Addendum!D:D,IF(ISNUMBER(B2699),TEXT(B2699,"0000"),B2699),Addendum!G:G,"X")&gt;0,7%,0)</f>
        <v>0</v>
      </c>
      <c r="L2699" s="31">
        <f>IF(COUNTIFS(Addendum!C:C,A2699,Addendum!D:D,IF(ISNUMBER(B2699),TEXT(B2699,"0000"),B2699),Addendum!I:I,"X")&gt;0,10%,0)</f>
        <v>0</v>
      </c>
      <c r="M2699" s="34">
        <f t="shared" si="84"/>
        <v>0</v>
      </c>
      <c r="N2699" s="17">
        <f t="shared" si="85"/>
        <v>1197990</v>
      </c>
    </row>
    <row r="2700" spans="1:14" x14ac:dyDescent="0.25">
      <c r="A2700" s="14" t="s">
        <v>2544</v>
      </c>
      <c r="B2700" s="14">
        <v>7</v>
      </c>
      <c r="C2700" s="15" t="s">
        <v>2547</v>
      </c>
      <c r="D2700" s="14" t="s">
        <v>1752</v>
      </c>
      <c r="E2700" s="14" t="s">
        <v>1747</v>
      </c>
      <c r="F2700" s="17" t="s">
        <v>2994</v>
      </c>
      <c r="G2700" s="14">
        <v>0</v>
      </c>
      <c r="H2700" s="14">
        <v>0</v>
      </c>
      <c r="I2700" s="31">
        <f>IF(COUNTIFS(Addendum!C:C,A2700,Addendum!D:D,IF(ISNUMBER(B2700),TEXT(B2700,"0000"),B2700),Addendum!E:E,"X")&gt;0,4%,0)</f>
        <v>0</v>
      </c>
      <c r="J2700" s="31">
        <f>IF(COUNTIFS(Addendum!C:C,A2700,Addendum!D:D,IF(ISNUMBER(B2700),TEXT(B2700,"0000"),B2700),Addendum!F:F,"X")&gt;0,2.5%,0)</f>
        <v>0</v>
      </c>
      <c r="K2700" s="31">
        <f>IF(COUNTIFS(Addendum!C:C,A2700,Addendum!D:D,IF(ISNUMBER(B2700),TEXT(B2700,"0000"),B2700),Addendum!G:G,"X")&gt;0,7%,0)</f>
        <v>0</v>
      </c>
      <c r="L2700" s="31">
        <f>IF(COUNTIFS(Addendum!C:C,A2700,Addendum!D:D,IF(ISNUMBER(B2700),TEXT(B2700,"0000"),B2700),Addendum!I:I,"X")&gt;0,10%,0)</f>
        <v>0</v>
      </c>
      <c r="M2700" s="34">
        <f t="shared" si="84"/>
        <v>0</v>
      </c>
      <c r="N2700" s="17">
        <f t="shared" si="85"/>
        <v>0</v>
      </c>
    </row>
    <row r="2701" spans="1:14" x14ac:dyDescent="0.25">
      <c r="A2701" s="14" t="s">
        <v>2544</v>
      </c>
      <c r="B2701" s="14" t="s">
        <v>16</v>
      </c>
      <c r="C2701" s="15" t="s">
        <v>2545</v>
      </c>
      <c r="D2701" s="14" t="s">
        <v>1745</v>
      </c>
      <c r="E2701" s="14" t="s">
        <v>1746</v>
      </c>
      <c r="F2701" s="17" t="s">
        <v>2995</v>
      </c>
      <c r="G2701" s="14">
        <v>1677186</v>
      </c>
      <c r="H2701" s="14">
        <v>1257890</v>
      </c>
      <c r="I2701" s="31">
        <f>IF(COUNTIFS(Addendum!C:C,A2701,Addendum!D:D,IF(ISNUMBER(B2701),TEXT(B2701,"0000"),B2701),Addendum!E:E,"X")&gt;0,4%,0)</f>
        <v>0</v>
      </c>
      <c r="J2701" s="31">
        <f>IF(COUNTIFS(Addendum!C:C,A2701,Addendum!D:D,IF(ISNUMBER(B2701),TEXT(B2701,"0000"),B2701),Addendum!F:F,"X")&gt;0,2.5%,0)</f>
        <v>0</v>
      </c>
      <c r="K2701" s="31">
        <f>IF(COUNTIFS(Addendum!C:C,A2701,Addendum!D:D,IF(ISNUMBER(B2701),TEXT(B2701,"0000"),B2701),Addendum!G:G,"X")&gt;0,7%,0)</f>
        <v>0</v>
      </c>
      <c r="L2701" s="31">
        <f>IF(COUNTIFS(Addendum!C:C,A2701,Addendum!D:D,IF(ISNUMBER(B2701),TEXT(B2701,"0000"),B2701),Addendum!I:I,"X")&gt;0,10%,0)</f>
        <v>0</v>
      </c>
      <c r="M2701" s="34">
        <f t="shared" si="84"/>
        <v>0</v>
      </c>
      <c r="N2701" s="17">
        <f t="shared" si="85"/>
        <v>1257890</v>
      </c>
    </row>
    <row r="2702" spans="1:14" x14ac:dyDescent="0.25">
      <c r="A2702" s="14" t="s">
        <v>2544</v>
      </c>
      <c r="B2702" s="14">
        <v>5</v>
      </c>
      <c r="C2702" s="15" t="s">
        <v>2549</v>
      </c>
      <c r="D2702" s="14" t="s">
        <v>1752</v>
      </c>
      <c r="E2702" s="14" t="s">
        <v>1746</v>
      </c>
      <c r="F2702" s="17" t="s">
        <v>2994</v>
      </c>
      <c r="G2702" s="14">
        <v>2515779</v>
      </c>
      <c r="H2702" s="14">
        <v>2515779</v>
      </c>
      <c r="I2702" s="31">
        <f>IF(COUNTIFS(Addendum!C:C,A2702,Addendum!D:D,IF(ISNUMBER(B2702),TEXT(B2702,"0000"),B2702),Addendum!E:E,"X")&gt;0,4%,0)</f>
        <v>0</v>
      </c>
      <c r="J2702" s="31">
        <f>IF(COUNTIFS(Addendum!C:C,A2702,Addendum!D:D,IF(ISNUMBER(B2702),TEXT(B2702,"0000"),B2702),Addendum!F:F,"X")&gt;0,2.5%,0)</f>
        <v>0</v>
      </c>
      <c r="K2702" s="31">
        <f>IF(COUNTIFS(Addendum!C:C,A2702,Addendum!D:D,IF(ISNUMBER(B2702),TEXT(B2702,"0000"),B2702),Addendum!G:G,"X")&gt;0,7%,0)</f>
        <v>0</v>
      </c>
      <c r="L2702" s="31">
        <f>IF(COUNTIFS(Addendum!C:C,A2702,Addendum!D:D,IF(ISNUMBER(B2702),TEXT(B2702,"0000"),B2702),Addendum!I:I,"X")&gt;0,10%,0)</f>
        <v>0</v>
      </c>
      <c r="M2702" s="34">
        <f t="shared" si="84"/>
        <v>0</v>
      </c>
      <c r="N2702" s="17">
        <f t="shared" si="85"/>
        <v>2515779</v>
      </c>
    </row>
    <row r="2703" spans="1:14" x14ac:dyDescent="0.25">
      <c r="A2703" s="14" t="s">
        <v>2544</v>
      </c>
      <c r="B2703" s="14">
        <v>6</v>
      </c>
      <c r="C2703" s="15" t="s">
        <v>2546</v>
      </c>
      <c r="D2703" s="14" t="s">
        <v>1749</v>
      </c>
      <c r="E2703" s="14" t="s">
        <v>1746</v>
      </c>
      <c r="F2703" s="17" t="s">
        <v>2994</v>
      </c>
      <c r="G2703" s="14">
        <v>59898</v>
      </c>
      <c r="H2703" s="14">
        <v>59898</v>
      </c>
      <c r="I2703" s="31">
        <f>IF(COUNTIFS(Addendum!C:C,A2703,Addendum!D:D,IF(ISNUMBER(B2703),TEXT(B2703,"0000"),B2703),Addendum!E:E,"X")&gt;0,4%,0)</f>
        <v>0</v>
      </c>
      <c r="J2703" s="31">
        <f>IF(COUNTIFS(Addendum!C:C,A2703,Addendum!D:D,IF(ISNUMBER(B2703),TEXT(B2703,"0000"),B2703),Addendum!F:F,"X")&gt;0,2.5%,0)</f>
        <v>0</v>
      </c>
      <c r="K2703" s="31">
        <f>IF(COUNTIFS(Addendum!C:C,A2703,Addendum!D:D,IF(ISNUMBER(B2703),TEXT(B2703,"0000"),B2703),Addendum!G:G,"X")&gt;0,7%,0)</f>
        <v>0</v>
      </c>
      <c r="L2703" s="31">
        <f>IF(COUNTIFS(Addendum!C:C,A2703,Addendum!D:D,IF(ISNUMBER(B2703),TEXT(B2703,"0000"),B2703),Addendum!I:I,"X")&gt;0,10%,0)</f>
        <v>0</v>
      </c>
      <c r="M2703" s="34">
        <f t="shared" si="84"/>
        <v>0</v>
      </c>
      <c r="N2703" s="17">
        <f t="shared" si="85"/>
        <v>59898</v>
      </c>
    </row>
    <row r="2704" spans="1:14" x14ac:dyDescent="0.25">
      <c r="A2704" s="14" t="s">
        <v>2544</v>
      </c>
      <c r="B2704" s="14">
        <v>8</v>
      </c>
      <c r="C2704" s="15" t="s">
        <v>2550</v>
      </c>
      <c r="D2704" s="14" t="s">
        <v>1749</v>
      </c>
      <c r="E2704" s="14" t="s">
        <v>1746</v>
      </c>
      <c r="F2704" s="17" t="s">
        <v>2994</v>
      </c>
      <c r="G2704" s="14">
        <v>0</v>
      </c>
      <c r="H2704" s="14">
        <v>0</v>
      </c>
      <c r="I2704" s="31">
        <f>IF(COUNTIFS(Addendum!C:C,A2704,Addendum!D:D,IF(ISNUMBER(B2704),TEXT(B2704,"0000"),B2704),Addendum!E:E,"X")&gt;0,4%,0)</f>
        <v>0</v>
      </c>
      <c r="J2704" s="31">
        <f>IF(COUNTIFS(Addendum!C:C,A2704,Addendum!D:D,IF(ISNUMBER(B2704),TEXT(B2704,"0000"),B2704),Addendum!F:F,"X")&gt;0,2.5%,0)</f>
        <v>0</v>
      </c>
      <c r="K2704" s="31">
        <f>IF(COUNTIFS(Addendum!C:C,A2704,Addendum!D:D,IF(ISNUMBER(B2704),TEXT(B2704,"0000"),B2704),Addendum!G:G,"X")&gt;0,7%,0)</f>
        <v>0</v>
      </c>
      <c r="L2704" s="31">
        <f>IF(COUNTIFS(Addendum!C:C,A2704,Addendum!D:D,IF(ISNUMBER(B2704),TEXT(B2704,"0000"),B2704),Addendum!I:I,"X")&gt;0,10%,0)</f>
        <v>0</v>
      </c>
      <c r="M2704" s="34">
        <f t="shared" si="84"/>
        <v>0</v>
      </c>
      <c r="N2704" s="17">
        <f t="shared" si="85"/>
        <v>0</v>
      </c>
    </row>
    <row r="2705" spans="1:14" x14ac:dyDescent="0.25">
      <c r="A2705" s="14" t="s">
        <v>2544</v>
      </c>
      <c r="B2705" s="14">
        <v>7</v>
      </c>
      <c r="C2705" s="15" t="s">
        <v>2547</v>
      </c>
      <c r="D2705" s="14" t="s">
        <v>1745</v>
      </c>
      <c r="E2705" s="14" t="s">
        <v>1746</v>
      </c>
      <c r="F2705" s="17" t="s">
        <v>2994</v>
      </c>
      <c r="G2705" s="14">
        <v>0</v>
      </c>
      <c r="H2705" s="14">
        <v>0</v>
      </c>
      <c r="I2705" s="31">
        <f>IF(COUNTIFS(Addendum!C:C,A2705,Addendum!D:D,IF(ISNUMBER(B2705),TEXT(B2705,"0000"),B2705),Addendum!E:E,"X")&gt;0,4%,0)</f>
        <v>0</v>
      </c>
      <c r="J2705" s="31">
        <f>IF(COUNTIFS(Addendum!C:C,A2705,Addendum!D:D,IF(ISNUMBER(B2705),TEXT(B2705,"0000"),B2705),Addendum!F:F,"X")&gt;0,2.5%,0)</f>
        <v>0</v>
      </c>
      <c r="K2705" s="31">
        <f>IF(COUNTIFS(Addendum!C:C,A2705,Addendum!D:D,IF(ISNUMBER(B2705),TEXT(B2705,"0000"),B2705),Addendum!G:G,"X")&gt;0,7%,0)</f>
        <v>0</v>
      </c>
      <c r="L2705" s="31">
        <f>IF(COUNTIFS(Addendum!C:C,A2705,Addendum!D:D,IF(ISNUMBER(B2705),TEXT(B2705,"0000"),B2705),Addendum!I:I,"X")&gt;0,10%,0)</f>
        <v>0</v>
      </c>
      <c r="M2705" s="34">
        <f t="shared" si="84"/>
        <v>0</v>
      </c>
      <c r="N2705" s="17">
        <f t="shared" si="85"/>
        <v>0</v>
      </c>
    </row>
    <row r="2706" spans="1:14" x14ac:dyDescent="0.25">
      <c r="A2706" s="14" t="s">
        <v>2544</v>
      </c>
      <c r="B2706" s="14">
        <v>5</v>
      </c>
      <c r="C2706" s="15" t="s">
        <v>2549</v>
      </c>
      <c r="D2706" s="14" t="s">
        <v>1745</v>
      </c>
      <c r="E2706" s="14" t="s">
        <v>1746</v>
      </c>
      <c r="F2706" s="17" t="s">
        <v>2994</v>
      </c>
      <c r="G2706" s="14">
        <v>838593</v>
      </c>
      <c r="H2706" s="14">
        <v>838593</v>
      </c>
      <c r="I2706" s="31">
        <f>IF(COUNTIFS(Addendum!C:C,A2706,Addendum!D:D,IF(ISNUMBER(B2706),TEXT(B2706,"0000"),B2706),Addendum!E:E,"X")&gt;0,4%,0)</f>
        <v>0</v>
      </c>
      <c r="J2706" s="31">
        <f>IF(COUNTIFS(Addendum!C:C,A2706,Addendum!D:D,IF(ISNUMBER(B2706),TEXT(B2706,"0000"),B2706),Addendum!F:F,"X")&gt;0,2.5%,0)</f>
        <v>0</v>
      </c>
      <c r="K2706" s="31">
        <f>IF(COUNTIFS(Addendum!C:C,A2706,Addendum!D:D,IF(ISNUMBER(B2706),TEXT(B2706,"0000"),B2706),Addendum!G:G,"X")&gt;0,7%,0)</f>
        <v>0</v>
      </c>
      <c r="L2706" s="31">
        <f>IF(COUNTIFS(Addendum!C:C,A2706,Addendum!D:D,IF(ISNUMBER(B2706),TEXT(B2706,"0000"),B2706),Addendum!I:I,"X")&gt;0,10%,0)</f>
        <v>0</v>
      </c>
      <c r="M2706" s="34">
        <f t="shared" si="84"/>
        <v>0</v>
      </c>
      <c r="N2706" s="17">
        <f t="shared" si="85"/>
        <v>838593</v>
      </c>
    </row>
    <row r="2707" spans="1:14" x14ac:dyDescent="0.25">
      <c r="A2707" s="14" t="s">
        <v>2544</v>
      </c>
      <c r="B2707" s="14">
        <v>6</v>
      </c>
      <c r="C2707" s="15" t="s">
        <v>2546</v>
      </c>
      <c r="D2707" s="14" t="s">
        <v>1752</v>
      </c>
      <c r="E2707" s="14" t="s">
        <v>1747</v>
      </c>
      <c r="F2707" s="17" t="s">
        <v>2994</v>
      </c>
      <c r="G2707" s="14">
        <v>1796940</v>
      </c>
      <c r="H2707" s="14">
        <v>1796940</v>
      </c>
      <c r="I2707" s="31">
        <f>IF(COUNTIFS(Addendum!C:C,A2707,Addendum!D:D,IF(ISNUMBER(B2707),TEXT(B2707,"0000"),B2707),Addendum!E:E,"X")&gt;0,4%,0)</f>
        <v>0</v>
      </c>
      <c r="J2707" s="31">
        <f>IF(COUNTIFS(Addendum!C:C,A2707,Addendum!D:D,IF(ISNUMBER(B2707),TEXT(B2707,"0000"),B2707),Addendum!F:F,"X")&gt;0,2.5%,0)</f>
        <v>0</v>
      </c>
      <c r="K2707" s="31">
        <f>IF(COUNTIFS(Addendum!C:C,A2707,Addendum!D:D,IF(ISNUMBER(B2707),TEXT(B2707,"0000"),B2707),Addendum!G:G,"X")&gt;0,7%,0)</f>
        <v>0</v>
      </c>
      <c r="L2707" s="31">
        <f>IF(COUNTIFS(Addendum!C:C,A2707,Addendum!D:D,IF(ISNUMBER(B2707),TEXT(B2707,"0000"),B2707),Addendum!I:I,"X")&gt;0,10%,0)</f>
        <v>0</v>
      </c>
      <c r="M2707" s="34">
        <f t="shared" si="84"/>
        <v>0</v>
      </c>
      <c r="N2707" s="17">
        <f t="shared" si="85"/>
        <v>1796940</v>
      </c>
    </row>
    <row r="2708" spans="1:14" x14ac:dyDescent="0.25">
      <c r="A2708" s="14" t="s">
        <v>2544</v>
      </c>
      <c r="B2708" s="14">
        <v>8</v>
      </c>
      <c r="C2708" s="15" t="s">
        <v>2550</v>
      </c>
      <c r="D2708" s="14" t="s">
        <v>1745</v>
      </c>
      <c r="E2708" s="14" t="s">
        <v>1747</v>
      </c>
      <c r="F2708" s="17" t="s">
        <v>2994</v>
      </c>
      <c r="G2708" s="14">
        <v>0</v>
      </c>
      <c r="H2708" s="14">
        <v>0</v>
      </c>
      <c r="I2708" s="31">
        <f>IF(COUNTIFS(Addendum!C:C,A2708,Addendum!D:D,IF(ISNUMBER(B2708),TEXT(B2708,"0000"),B2708),Addendum!E:E,"X")&gt;0,4%,0)</f>
        <v>0</v>
      </c>
      <c r="J2708" s="31">
        <f>IF(COUNTIFS(Addendum!C:C,A2708,Addendum!D:D,IF(ISNUMBER(B2708),TEXT(B2708,"0000"),B2708),Addendum!F:F,"X")&gt;0,2.5%,0)</f>
        <v>0</v>
      </c>
      <c r="K2708" s="31">
        <f>IF(COUNTIFS(Addendum!C:C,A2708,Addendum!D:D,IF(ISNUMBER(B2708),TEXT(B2708,"0000"),B2708),Addendum!G:G,"X")&gt;0,7%,0)</f>
        <v>0</v>
      </c>
      <c r="L2708" s="31">
        <f>IF(COUNTIFS(Addendum!C:C,A2708,Addendum!D:D,IF(ISNUMBER(B2708),TEXT(B2708,"0000"),B2708),Addendum!I:I,"X")&gt;0,10%,0)</f>
        <v>0</v>
      </c>
      <c r="M2708" s="34">
        <f t="shared" si="84"/>
        <v>0</v>
      </c>
      <c r="N2708" s="17">
        <f t="shared" si="85"/>
        <v>0</v>
      </c>
    </row>
    <row r="2709" spans="1:14" x14ac:dyDescent="0.25">
      <c r="A2709" s="14" t="s">
        <v>2544</v>
      </c>
      <c r="B2709" s="14" t="s">
        <v>16</v>
      </c>
      <c r="C2709" s="15" t="s">
        <v>2545</v>
      </c>
      <c r="D2709" s="14" t="s">
        <v>1752</v>
      </c>
      <c r="E2709" s="14" t="s">
        <v>1753</v>
      </c>
      <c r="F2709" s="17" t="s">
        <v>2995</v>
      </c>
      <c r="G2709" s="14">
        <v>4791960</v>
      </c>
      <c r="H2709" s="14">
        <v>3593970</v>
      </c>
      <c r="I2709" s="31">
        <f>IF(COUNTIFS(Addendum!C:C,A2709,Addendum!D:D,IF(ISNUMBER(B2709),TEXT(B2709,"0000"),B2709),Addendum!E:E,"X")&gt;0,4%,0)</f>
        <v>0</v>
      </c>
      <c r="J2709" s="31">
        <f>IF(COUNTIFS(Addendum!C:C,A2709,Addendum!D:D,IF(ISNUMBER(B2709),TEXT(B2709,"0000"),B2709),Addendum!F:F,"X")&gt;0,2.5%,0)</f>
        <v>0</v>
      </c>
      <c r="K2709" s="31">
        <f>IF(COUNTIFS(Addendum!C:C,A2709,Addendum!D:D,IF(ISNUMBER(B2709),TEXT(B2709,"0000"),B2709),Addendum!G:G,"X")&gt;0,7%,0)</f>
        <v>0</v>
      </c>
      <c r="L2709" s="31">
        <f>IF(COUNTIFS(Addendum!C:C,A2709,Addendum!D:D,IF(ISNUMBER(B2709),TEXT(B2709,"0000"),B2709),Addendum!I:I,"X")&gt;0,10%,0)</f>
        <v>0</v>
      </c>
      <c r="M2709" s="34">
        <f t="shared" si="84"/>
        <v>0</v>
      </c>
      <c r="N2709" s="17">
        <f t="shared" si="85"/>
        <v>3593970</v>
      </c>
    </row>
    <row r="2710" spans="1:14" x14ac:dyDescent="0.25">
      <c r="A2710" s="14" t="s">
        <v>2544</v>
      </c>
      <c r="B2710" s="14">
        <v>6</v>
      </c>
      <c r="C2710" s="15" t="s">
        <v>2546</v>
      </c>
      <c r="D2710" s="14" t="s">
        <v>1745</v>
      </c>
      <c r="E2710" s="14" t="s">
        <v>1746</v>
      </c>
      <c r="F2710" s="17" t="s">
        <v>2994</v>
      </c>
      <c r="G2710" s="14">
        <v>628929</v>
      </c>
      <c r="H2710" s="14">
        <v>628929</v>
      </c>
      <c r="I2710" s="31">
        <f>IF(COUNTIFS(Addendum!C:C,A2710,Addendum!D:D,IF(ISNUMBER(B2710),TEXT(B2710,"0000"),B2710),Addendum!E:E,"X")&gt;0,4%,0)</f>
        <v>0</v>
      </c>
      <c r="J2710" s="31">
        <f>IF(COUNTIFS(Addendum!C:C,A2710,Addendum!D:D,IF(ISNUMBER(B2710),TEXT(B2710,"0000"),B2710),Addendum!F:F,"X")&gt;0,2.5%,0)</f>
        <v>0</v>
      </c>
      <c r="K2710" s="31">
        <f>IF(COUNTIFS(Addendum!C:C,A2710,Addendum!D:D,IF(ISNUMBER(B2710),TEXT(B2710,"0000"),B2710),Addendum!G:G,"X")&gt;0,7%,0)</f>
        <v>0</v>
      </c>
      <c r="L2710" s="31">
        <f>IF(COUNTIFS(Addendum!C:C,A2710,Addendum!D:D,IF(ISNUMBER(B2710),TEXT(B2710,"0000"),B2710),Addendum!I:I,"X")&gt;0,10%,0)</f>
        <v>0</v>
      </c>
      <c r="M2710" s="34">
        <f t="shared" si="84"/>
        <v>0</v>
      </c>
      <c r="N2710" s="17">
        <f t="shared" si="85"/>
        <v>628929</v>
      </c>
    </row>
    <row r="2711" spans="1:14" x14ac:dyDescent="0.25">
      <c r="A2711" s="14" t="s">
        <v>2544</v>
      </c>
      <c r="B2711" s="14">
        <v>9</v>
      </c>
      <c r="C2711" s="15" t="s">
        <v>2548</v>
      </c>
      <c r="D2711" s="14" t="s">
        <v>1745</v>
      </c>
      <c r="E2711" s="14" t="s">
        <v>1746</v>
      </c>
      <c r="F2711" s="17" t="s">
        <v>2995</v>
      </c>
      <c r="G2711" s="14">
        <v>0</v>
      </c>
      <c r="H2711" s="14">
        <v>0</v>
      </c>
      <c r="I2711" s="31">
        <f>IF(COUNTIFS(Addendum!C:C,A2711,Addendum!D:D,IF(ISNUMBER(B2711),TEXT(B2711,"0000"),B2711),Addendum!E:E,"X")&gt;0,4%,0)</f>
        <v>0</v>
      </c>
      <c r="J2711" s="31">
        <f>IF(COUNTIFS(Addendum!C:C,A2711,Addendum!D:D,IF(ISNUMBER(B2711),TEXT(B2711,"0000"),B2711),Addendum!F:F,"X")&gt;0,2.5%,0)</f>
        <v>0</v>
      </c>
      <c r="K2711" s="31">
        <f>IF(COUNTIFS(Addendum!C:C,A2711,Addendum!D:D,IF(ISNUMBER(B2711),TEXT(B2711,"0000"),B2711),Addendum!G:G,"X")&gt;0,7%,0)</f>
        <v>0</v>
      </c>
      <c r="L2711" s="31">
        <f>IF(COUNTIFS(Addendum!C:C,A2711,Addendum!D:D,IF(ISNUMBER(B2711),TEXT(B2711,"0000"),B2711),Addendum!I:I,"X")&gt;0,10%,0)</f>
        <v>0</v>
      </c>
      <c r="M2711" s="34">
        <f t="shared" si="84"/>
        <v>0</v>
      </c>
      <c r="N2711" s="17">
        <f t="shared" si="85"/>
        <v>0</v>
      </c>
    </row>
    <row r="2712" spans="1:14" x14ac:dyDescent="0.25">
      <c r="A2712" s="14" t="s">
        <v>2544</v>
      </c>
      <c r="B2712" s="14">
        <v>5</v>
      </c>
      <c r="C2712" s="15" t="s">
        <v>2549</v>
      </c>
      <c r="D2712" s="14" t="s">
        <v>1749</v>
      </c>
      <c r="E2712" s="14" t="s">
        <v>1746</v>
      </c>
      <c r="F2712" s="17" t="s">
        <v>2994</v>
      </c>
      <c r="G2712" s="14">
        <v>79866</v>
      </c>
      <c r="H2712" s="14">
        <v>79866</v>
      </c>
      <c r="I2712" s="31">
        <f>IF(COUNTIFS(Addendum!C:C,A2712,Addendum!D:D,IF(ISNUMBER(B2712),TEXT(B2712,"0000"),B2712),Addendum!E:E,"X")&gt;0,4%,0)</f>
        <v>0</v>
      </c>
      <c r="J2712" s="31">
        <f>IF(COUNTIFS(Addendum!C:C,A2712,Addendum!D:D,IF(ISNUMBER(B2712),TEXT(B2712,"0000"),B2712),Addendum!F:F,"X")&gt;0,2.5%,0)</f>
        <v>0</v>
      </c>
      <c r="K2712" s="31">
        <f>IF(COUNTIFS(Addendum!C:C,A2712,Addendum!D:D,IF(ISNUMBER(B2712),TEXT(B2712,"0000"),B2712),Addendum!G:G,"X")&gt;0,7%,0)</f>
        <v>0</v>
      </c>
      <c r="L2712" s="31">
        <f>IF(COUNTIFS(Addendum!C:C,A2712,Addendum!D:D,IF(ISNUMBER(B2712),TEXT(B2712,"0000"),B2712),Addendum!I:I,"X")&gt;0,10%,0)</f>
        <v>0</v>
      </c>
      <c r="M2712" s="34">
        <f t="shared" si="84"/>
        <v>0</v>
      </c>
      <c r="N2712" s="17">
        <f t="shared" si="85"/>
        <v>79866</v>
      </c>
    </row>
    <row r="2713" spans="1:14" x14ac:dyDescent="0.25">
      <c r="A2713" s="14" t="s">
        <v>2544</v>
      </c>
      <c r="B2713" s="14">
        <v>8</v>
      </c>
      <c r="C2713" s="15" t="s">
        <v>2550</v>
      </c>
      <c r="D2713" s="14" t="s">
        <v>1752</v>
      </c>
      <c r="E2713" s="14" t="s">
        <v>1753</v>
      </c>
      <c r="F2713" s="17" t="s">
        <v>2994</v>
      </c>
      <c r="G2713" s="14">
        <v>0</v>
      </c>
      <c r="H2713" s="14">
        <v>0</v>
      </c>
      <c r="I2713" s="31">
        <f>IF(COUNTIFS(Addendum!C:C,A2713,Addendum!D:D,IF(ISNUMBER(B2713),TEXT(B2713,"0000"),B2713),Addendum!E:E,"X")&gt;0,4%,0)</f>
        <v>0</v>
      </c>
      <c r="J2713" s="31">
        <f>IF(COUNTIFS(Addendum!C:C,A2713,Addendum!D:D,IF(ISNUMBER(B2713),TEXT(B2713,"0000"),B2713),Addendum!F:F,"X")&gt;0,2.5%,0)</f>
        <v>0</v>
      </c>
      <c r="K2713" s="31">
        <f>IF(COUNTIFS(Addendum!C:C,A2713,Addendum!D:D,IF(ISNUMBER(B2713),TEXT(B2713,"0000"),B2713),Addendum!G:G,"X")&gt;0,7%,0)</f>
        <v>0</v>
      </c>
      <c r="L2713" s="31">
        <f>IF(COUNTIFS(Addendum!C:C,A2713,Addendum!D:D,IF(ISNUMBER(B2713),TEXT(B2713,"0000"),B2713),Addendum!I:I,"X")&gt;0,10%,0)</f>
        <v>0</v>
      </c>
      <c r="M2713" s="34">
        <f t="shared" si="84"/>
        <v>0</v>
      </c>
      <c r="N2713" s="17">
        <f t="shared" si="85"/>
        <v>0</v>
      </c>
    </row>
    <row r="2714" spans="1:14" x14ac:dyDescent="0.25">
      <c r="A2714" s="14" t="s">
        <v>2544</v>
      </c>
      <c r="B2714" s="14">
        <v>5</v>
      </c>
      <c r="C2714" s="15" t="s">
        <v>2549</v>
      </c>
      <c r="D2714" s="14" t="s">
        <v>1752</v>
      </c>
      <c r="E2714" s="14" t="s">
        <v>1747</v>
      </c>
      <c r="F2714" s="17" t="s">
        <v>2994</v>
      </c>
      <c r="G2714" s="14">
        <v>2395980</v>
      </c>
      <c r="H2714" s="14">
        <v>2395980</v>
      </c>
      <c r="I2714" s="31">
        <f>IF(COUNTIFS(Addendum!C:C,A2714,Addendum!D:D,IF(ISNUMBER(B2714),TEXT(B2714,"0000"),B2714),Addendum!E:E,"X")&gt;0,4%,0)</f>
        <v>0</v>
      </c>
      <c r="J2714" s="31">
        <f>IF(COUNTIFS(Addendum!C:C,A2714,Addendum!D:D,IF(ISNUMBER(B2714),TEXT(B2714,"0000"),B2714),Addendum!F:F,"X")&gt;0,2.5%,0)</f>
        <v>0</v>
      </c>
      <c r="K2714" s="31">
        <f>IF(COUNTIFS(Addendum!C:C,A2714,Addendum!D:D,IF(ISNUMBER(B2714),TEXT(B2714,"0000"),B2714),Addendum!G:G,"X")&gt;0,7%,0)</f>
        <v>0</v>
      </c>
      <c r="L2714" s="31">
        <f>IF(COUNTIFS(Addendum!C:C,A2714,Addendum!D:D,IF(ISNUMBER(B2714),TEXT(B2714,"0000"),B2714),Addendum!I:I,"X")&gt;0,10%,0)</f>
        <v>0</v>
      </c>
      <c r="M2714" s="34">
        <f t="shared" si="84"/>
        <v>0</v>
      </c>
      <c r="N2714" s="17">
        <f t="shared" si="85"/>
        <v>2395980</v>
      </c>
    </row>
    <row r="2715" spans="1:14" x14ac:dyDescent="0.25">
      <c r="A2715" s="14" t="s">
        <v>2544</v>
      </c>
      <c r="B2715" s="14">
        <v>4</v>
      </c>
      <c r="C2715" s="15" t="s">
        <v>2551</v>
      </c>
      <c r="D2715" s="14" t="s">
        <v>1745</v>
      </c>
      <c r="E2715" s="14" t="s">
        <v>1747</v>
      </c>
      <c r="F2715" s="17" t="s">
        <v>2993</v>
      </c>
      <c r="G2715" s="14">
        <v>3993360</v>
      </c>
      <c r="H2715" s="14">
        <v>2995020</v>
      </c>
      <c r="I2715" s="31">
        <f>IF(COUNTIFS(Addendum!C:C,A2715,Addendum!D:D,IF(ISNUMBER(B2715),TEXT(B2715,"0000"),B2715),Addendum!E:E,"X")&gt;0,4%,0)</f>
        <v>0</v>
      </c>
      <c r="J2715" s="31">
        <f>IF(COUNTIFS(Addendum!C:C,A2715,Addendum!D:D,IF(ISNUMBER(B2715),TEXT(B2715,"0000"),B2715),Addendum!F:F,"X")&gt;0,2.5%,0)</f>
        <v>0</v>
      </c>
      <c r="K2715" s="31">
        <f>IF(COUNTIFS(Addendum!C:C,A2715,Addendum!D:D,IF(ISNUMBER(B2715),TEXT(B2715,"0000"),B2715),Addendum!G:G,"X")&gt;0,7%,0)</f>
        <v>0</v>
      </c>
      <c r="L2715" s="31">
        <f>IF(COUNTIFS(Addendum!C:C,A2715,Addendum!D:D,IF(ISNUMBER(B2715),TEXT(B2715,"0000"),B2715),Addendum!I:I,"X")&gt;0,10%,0)</f>
        <v>0</v>
      </c>
      <c r="M2715" s="34">
        <f t="shared" si="84"/>
        <v>0</v>
      </c>
      <c r="N2715" s="17">
        <f t="shared" si="85"/>
        <v>2995020</v>
      </c>
    </row>
    <row r="2716" spans="1:14" x14ac:dyDescent="0.25">
      <c r="A2716" s="14" t="s">
        <v>2544</v>
      </c>
      <c r="B2716" s="14">
        <v>7</v>
      </c>
      <c r="C2716" s="15" t="s">
        <v>2547</v>
      </c>
      <c r="D2716" s="14" t="s">
        <v>1749</v>
      </c>
      <c r="E2716" s="14" t="s">
        <v>1746</v>
      </c>
      <c r="F2716" s="17" t="s">
        <v>2994</v>
      </c>
      <c r="G2716" s="14">
        <v>0</v>
      </c>
      <c r="H2716" s="14">
        <v>0</v>
      </c>
      <c r="I2716" s="31">
        <f>IF(COUNTIFS(Addendum!C:C,A2716,Addendum!D:D,IF(ISNUMBER(B2716),TEXT(B2716,"0000"),B2716),Addendum!E:E,"X")&gt;0,4%,0)</f>
        <v>0</v>
      </c>
      <c r="J2716" s="31">
        <f>IF(COUNTIFS(Addendum!C:C,A2716,Addendum!D:D,IF(ISNUMBER(B2716),TEXT(B2716,"0000"),B2716),Addendum!F:F,"X")&gt;0,2.5%,0)</f>
        <v>0</v>
      </c>
      <c r="K2716" s="31">
        <f>IF(COUNTIFS(Addendum!C:C,A2716,Addendum!D:D,IF(ISNUMBER(B2716),TEXT(B2716,"0000"),B2716),Addendum!G:G,"X")&gt;0,7%,0)</f>
        <v>0</v>
      </c>
      <c r="L2716" s="31">
        <f>IF(COUNTIFS(Addendum!C:C,A2716,Addendum!D:D,IF(ISNUMBER(B2716),TEXT(B2716,"0000"),B2716),Addendum!I:I,"X")&gt;0,10%,0)</f>
        <v>0</v>
      </c>
      <c r="M2716" s="34">
        <f t="shared" si="84"/>
        <v>0</v>
      </c>
      <c r="N2716" s="17">
        <f t="shared" si="85"/>
        <v>0</v>
      </c>
    </row>
    <row r="2717" spans="1:14" x14ac:dyDescent="0.25">
      <c r="A2717" s="14" t="s">
        <v>2544</v>
      </c>
      <c r="B2717" s="14">
        <v>9</v>
      </c>
      <c r="C2717" s="15" t="s">
        <v>2548</v>
      </c>
      <c r="D2717" s="14" t="s">
        <v>1749</v>
      </c>
      <c r="E2717" s="14" t="s">
        <v>1746</v>
      </c>
      <c r="F2717" s="17" t="s">
        <v>2995</v>
      </c>
      <c r="G2717" s="14">
        <v>0</v>
      </c>
      <c r="H2717" s="14">
        <v>0</v>
      </c>
      <c r="I2717" s="31">
        <f>IF(COUNTIFS(Addendum!C:C,A2717,Addendum!D:D,IF(ISNUMBER(B2717),TEXT(B2717,"0000"),B2717),Addendum!E:E,"X")&gt;0,4%,0)</f>
        <v>0</v>
      </c>
      <c r="J2717" s="31">
        <f>IF(COUNTIFS(Addendum!C:C,A2717,Addendum!D:D,IF(ISNUMBER(B2717),TEXT(B2717,"0000"),B2717),Addendum!F:F,"X")&gt;0,2.5%,0)</f>
        <v>0</v>
      </c>
      <c r="K2717" s="31">
        <f>IF(COUNTIFS(Addendum!C:C,A2717,Addendum!D:D,IF(ISNUMBER(B2717),TEXT(B2717,"0000"),B2717),Addendum!G:G,"X")&gt;0,7%,0)</f>
        <v>0</v>
      </c>
      <c r="L2717" s="31">
        <f>IF(COUNTIFS(Addendum!C:C,A2717,Addendum!D:D,IF(ISNUMBER(B2717),TEXT(B2717,"0000"),B2717),Addendum!I:I,"X")&gt;0,10%,0)</f>
        <v>0</v>
      </c>
      <c r="M2717" s="34">
        <f t="shared" si="84"/>
        <v>0</v>
      </c>
      <c r="N2717" s="17">
        <f t="shared" si="85"/>
        <v>0</v>
      </c>
    </row>
    <row r="2718" spans="1:14" x14ac:dyDescent="0.25">
      <c r="A2718" s="14" t="s">
        <v>2544</v>
      </c>
      <c r="B2718" s="14">
        <v>4</v>
      </c>
      <c r="C2718" s="15" t="s">
        <v>2551</v>
      </c>
      <c r="D2718" s="14" t="s">
        <v>1745</v>
      </c>
      <c r="E2718" s="14" t="s">
        <v>1746</v>
      </c>
      <c r="F2718" s="17" t="s">
        <v>2993</v>
      </c>
      <c r="G2718" s="14">
        <v>4193028</v>
      </c>
      <c r="H2718" s="14">
        <v>3144771</v>
      </c>
      <c r="I2718" s="31">
        <f>IF(COUNTIFS(Addendum!C:C,A2718,Addendum!D:D,IF(ISNUMBER(B2718),TEXT(B2718,"0000"),B2718),Addendum!E:E,"X")&gt;0,4%,0)</f>
        <v>0</v>
      </c>
      <c r="J2718" s="31">
        <f>IF(COUNTIFS(Addendum!C:C,A2718,Addendum!D:D,IF(ISNUMBER(B2718),TEXT(B2718,"0000"),B2718),Addendum!F:F,"X")&gt;0,2.5%,0)</f>
        <v>0</v>
      </c>
      <c r="K2718" s="31">
        <f>IF(COUNTIFS(Addendum!C:C,A2718,Addendum!D:D,IF(ISNUMBER(B2718),TEXT(B2718,"0000"),B2718),Addendum!G:G,"X")&gt;0,7%,0)</f>
        <v>0</v>
      </c>
      <c r="L2718" s="31">
        <f>IF(COUNTIFS(Addendum!C:C,A2718,Addendum!D:D,IF(ISNUMBER(B2718),TEXT(B2718,"0000"),B2718),Addendum!I:I,"X")&gt;0,10%,0)</f>
        <v>0</v>
      </c>
      <c r="M2718" s="34">
        <f t="shared" si="84"/>
        <v>0</v>
      </c>
      <c r="N2718" s="17">
        <f t="shared" si="85"/>
        <v>3144771</v>
      </c>
    </row>
    <row r="2719" spans="1:14" x14ac:dyDescent="0.25">
      <c r="A2719" s="14" t="s">
        <v>2544</v>
      </c>
      <c r="B2719" s="14">
        <v>3</v>
      </c>
      <c r="C2719" s="15" t="s">
        <v>2552</v>
      </c>
      <c r="D2719" s="14" t="s">
        <v>1745</v>
      </c>
      <c r="E2719" s="14" t="s">
        <v>1746</v>
      </c>
      <c r="F2719" s="17" t="s">
        <v>2993</v>
      </c>
      <c r="G2719" s="14">
        <v>0</v>
      </c>
      <c r="H2719" s="14">
        <v>0</v>
      </c>
      <c r="I2719" s="31">
        <f>IF(COUNTIFS(Addendum!C:C,A2719,Addendum!D:D,IF(ISNUMBER(B2719),TEXT(B2719,"0000"),B2719),Addendum!E:E,"X")&gt;0,4%,0)</f>
        <v>0</v>
      </c>
      <c r="J2719" s="31">
        <f>IF(COUNTIFS(Addendum!C:C,A2719,Addendum!D:D,IF(ISNUMBER(B2719),TEXT(B2719,"0000"),B2719),Addendum!F:F,"X")&gt;0,2.5%,0)</f>
        <v>0</v>
      </c>
      <c r="K2719" s="31">
        <f>IF(COUNTIFS(Addendum!C:C,A2719,Addendum!D:D,IF(ISNUMBER(B2719),TEXT(B2719,"0000"),B2719),Addendum!G:G,"X")&gt;0,7%,0)</f>
        <v>0</v>
      </c>
      <c r="L2719" s="31">
        <f>IF(COUNTIFS(Addendum!C:C,A2719,Addendum!D:D,IF(ISNUMBER(B2719),TEXT(B2719,"0000"),B2719),Addendum!I:I,"X")&gt;0,10%,0)</f>
        <v>0</v>
      </c>
      <c r="M2719" s="34">
        <f t="shared" si="84"/>
        <v>0</v>
      </c>
      <c r="N2719" s="17">
        <f t="shared" si="85"/>
        <v>0</v>
      </c>
    </row>
    <row r="2720" spans="1:14" x14ac:dyDescent="0.25">
      <c r="A2720" s="14" t="s">
        <v>2544</v>
      </c>
      <c r="B2720" s="14">
        <v>4</v>
      </c>
      <c r="C2720" s="15" t="s">
        <v>2551</v>
      </c>
      <c r="D2720" s="14" t="s">
        <v>1749</v>
      </c>
      <c r="E2720" s="14" t="s">
        <v>1746</v>
      </c>
      <c r="F2720" s="17" t="s">
        <v>2993</v>
      </c>
      <c r="G2720" s="14">
        <v>399336</v>
      </c>
      <c r="H2720" s="14">
        <v>299502</v>
      </c>
      <c r="I2720" s="31">
        <f>IF(COUNTIFS(Addendum!C:C,A2720,Addendum!D:D,IF(ISNUMBER(B2720),TEXT(B2720,"0000"),B2720),Addendum!E:E,"X")&gt;0,4%,0)</f>
        <v>0</v>
      </c>
      <c r="J2720" s="31">
        <f>IF(COUNTIFS(Addendum!C:C,A2720,Addendum!D:D,IF(ISNUMBER(B2720),TEXT(B2720,"0000"),B2720),Addendum!F:F,"X")&gt;0,2.5%,0)</f>
        <v>0</v>
      </c>
      <c r="K2720" s="31">
        <f>IF(COUNTIFS(Addendum!C:C,A2720,Addendum!D:D,IF(ISNUMBER(B2720),TEXT(B2720,"0000"),B2720),Addendum!G:G,"X")&gt;0,7%,0)</f>
        <v>0</v>
      </c>
      <c r="L2720" s="31">
        <f>IF(COUNTIFS(Addendum!C:C,A2720,Addendum!D:D,IF(ISNUMBER(B2720),TEXT(B2720,"0000"),B2720),Addendum!I:I,"X")&gt;0,10%,0)</f>
        <v>0</v>
      </c>
      <c r="M2720" s="34">
        <f t="shared" si="84"/>
        <v>0</v>
      </c>
      <c r="N2720" s="17">
        <f t="shared" si="85"/>
        <v>299502</v>
      </c>
    </row>
    <row r="2721" spans="1:14" x14ac:dyDescent="0.25">
      <c r="A2721" s="14" t="s">
        <v>2544</v>
      </c>
      <c r="B2721" s="14">
        <v>9</v>
      </c>
      <c r="C2721" s="15" t="s">
        <v>2548</v>
      </c>
      <c r="D2721" s="14" t="s">
        <v>1752</v>
      </c>
      <c r="E2721" s="14" t="s">
        <v>1747</v>
      </c>
      <c r="F2721" s="17" t="s">
        <v>2995</v>
      </c>
      <c r="G2721" s="14">
        <v>0</v>
      </c>
      <c r="H2721" s="14">
        <v>0</v>
      </c>
      <c r="I2721" s="31">
        <f>IF(COUNTIFS(Addendum!C:C,A2721,Addendum!D:D,IF(ISNUMBER(B2721),TEXT(B2721,"0000"),B2721),Addendum!E:E,"X")&gt;0,4%,0)</f>
        <v>0</v>
      </c>
      <c r="J2721" s="31">
        <f>IF(COUNTIFS(Addendum!C:C,A2721,Addendum!D:D,IF(ISNUMBER(B2721),TEXT(B2721,"0000"),B2721),Addendum!F:F,"X")&gt;0,2.5%,0)</f>
        <v>0</v>
      </c>
      <c r="K2721" s="31">
        <f>IF(COUNTIFS(Addendum!C:C,A2721,Addendum!D:D,IF(ISNUMBER(B2721),TEXT(B2721,"0000"),B2721),Addendum!G:G,"X")&gt;0,7%,0)</f>
        <v>0</v>
      </c>
      <c r="L2721" s="31">
        <f>IF(COUNTIFS(Addendum!C:C,A2721,Addendum!D:D,IF(ISNUMBER(B2721),TEXT(B2721,"0000"),B2721),Addendum!I:I,"X")&gt;0,10%,0)</f>
        <v>0</v>
      </c>
      <c r="M2721" s="34">
        <f t="shared" si="84"/>
        <v>0</v>
      </c>
      <c r="N2721" s="17">
        <f t="shared" si="85"/>
        <v>0</v>
      </c>
    </row>
    <row r="2722" spans="1:14" x14ac:dyDescent="0.25">
      <c r="A2722" s="14" t="s">
        <v>2544</v>
      </c>
      <c r="B2722" s="14">
        <v>9</v>
      </c>
      <c r="C2722" s="15" t="s">
        <v>2548</v>
      </c>
      <c r="D2722" s="14" t="s">
        <v>1745</v>
      </c>
      <c r="E2722" s="14" t="s">
        <v>1747</v>
      </c>
      <c r="F2722" s="17" t="s">
        <v>2995</v>
      </c>
      <c r="G2722" s="14">
        <v>0</v>
      </c>
      <c r="H2722" s="14">
        <v>0</v>
      </c>
      <c r="I2722" s="31">
        <f>IF(COUNTIFS(Addendum!C:C,A2722,Addendum!D:D,IF(ISNUMBER(B2722),TEXT(B2722,"0000"),B2722),Addendum!E:E,"X")&gt;0,4%,0)</f>
        <v>0</v>
      </c>
      <c r="J2722" s="31">
        <f>IF(COUNTIFS(Addendum!C:C,A2722,Addendum!D:D,IF(ISNUMBER(B2722),TEXT(B2722,"0000"),B2722),Addendum!F:F,"X")&gt;0,2.5%,0)</f>
        <v>0</v>
      </c>
      <c r="K2722" s="31">
        <f>IF(COUNTIFS(Addendum!C:C,A2722,Addendum!D:D,IF(ISNUMBER(B2722),TEXT(B2722,"0000"),B2722),Addendum!G:G,"X")&gt;0,7%,0)</f>
        <v>0</v>
      </c>
      <c r="L2722" s="31">
        <f>IF(COUNTIFS(Addendum!C:C,A2722,Addendum!D:D,IF(ISNUMBER(B2722),TEXT(B2722,"0000"),B2722),Addendum!I:I,"X")&gt;0,10%,0)</f>
        <v>0</v>
      </c>
      <c r="M2722" s="34">
        <f t="shared" si="84"/>
        <v>0</v>
      </c>
      <c r="N2722" s="17">
        <f t="shared" si="85"/>
        <v>0</v>
      </c>
    </row>
    <row r="2723" spans="1:14" x14ac:dyDescent="0.25">
      <c r="A2723" s="14" t="s">
        <v>2544</v>
      </c>
      <c r="B2723" s="14" t="s">
        <v>24</v>
      </c>
      <c r="C2723" s="15" t="s">
        <v>2545</v>
      </c>
      <c r="D2723" s="14" t="s">
        <v>1749</v>
      </c>
      <c r="E2723" s="14" t="s">
        <v>1766</v>
      </c>
      <c r="F2723" s="17" t="s">
        <v>2995</v>
      </c>
      <c r="G2723" s="14">
        <v>0</v>
      </c>
      <c r="H2723" s="14">
        <v>0</v>
      </c>
      <c r="I2723" s="31">
        <f>IF(COUNTIFS(Addendum!C:C,A2723,Addendum!D:D,IF(ISNUMBER(B2723),TEXT(B2723,"0000"),B2723),Addendum!E:E,"X")&gt;0,4%,0)</f>
        <v>0</v>
      </c>
      <c r="J2723" s="31">
        <f>IF(COUNTIFS(Addendum!C:C,A2723,Addendum!D:D,IF(ISNUMBER(B2723),TEXT(B2723,"0000"),B2723),Addendum!F:F,"X")&gt;0,2.5%,0)</f>
        <v>0</v>
      </c>
      <c r="K2723" s="31">
        <f>IF(COUNTIFS(Addendum!C:C,A2723,Addendum!D:D,IF(ISNUMBER(B2723),TEXT(B2723,"0000"),B2723),Addendum!G:G,"X")&gt;0,7%,0)</f>
        <v>0</v>
      </c>
      <c r="L2723" s="31">
        <f>IF(COUNTIFS(Addendum!C:C,A2723,Addendum!D:D,IF(ISNUMBER(B2723),TEXT(B2723,"0000"),B2723),Addendum!I:I,"X")&gt;0,10%,0)</f>
        <v>0</v>
      </c>
      <c r="M2723" s="34">
        <f t="shared" si="84"/>
        <v>0</v>
      </c>
      <c r="N2723" s="17">
        <f t="shared" si="85"/>
        <v>0</v>
      </c>
    </row>
    <row r="2724" spans="1:14" x14ac:dyDescent="0.25">
      <c r="A2724" s="14" t="s">
        <v>2544</v>
      </c>
      <c r="B2724" s="14">
        <v>6</v>
      </c>
      <c r="C2724" s="15" t="s">
        <v>2546</v>
      </c>
      <c r="D2724" s="14" t="s">
        <v>1752</v>
      </c>
      <c r="E2724" s="14" t="s">
        <v>1753</v>
      </c>
      <c r="F2724" s="17" t="s">
        <v>2994</v>
      </c>
      <c r="G2724" s="14">
        <v>1796940</v>
      </c>
      <c r="H2724" s="14">
        <v>1796940</v>
      </c>
      <c r="I2724" s="31">
        <f>IF(COUNTIFS(Addendum!C:C,A2724,Addendum!D:D,IF(ISNUMBER(B2724),TEXT(B2724,"0000"),B2724),Addendum!E:E,"X")&gt;0,4%,0)</f>
        <v>0</v>
      </c>
      <c r="J2724" s="31">
        <f>IF(COUNTIFS(Addendum!C:C,A2724,Addendum!D:D,IF(ISNUMBER(B2724),TEXT(B2724,"0000"),B2724),Addendum!F:F,"X")&gt;0,2.5%,0)</f>
        <v>0</v>
      </c>
      <c r="K2724" s="31">
        <f>IF(COUNTIFS(Addendum!C:C,A2724,Addendum!D:D,IF(ISNUMBER(B2724),TEXT(B2724,"0000"),B2724),Addendum!G:G,"X")&gt;0,7%,0)</f>
        <v>0</v>
      </c>
      <c r="L2724" s="31">
        <f>IF(COUNTIFS(Addendum!C:C,A2724,Addendum!D:D,IF(ISNUMBER(B2724),TEXT(B2724,"0000"),B2724),Addendum!I:I,"X")&gt;0,10%,0)</f>
        <v>0</v>
      </c>
      <c r="M2724" s="34">
        <f t="shared" si="84"/>
        <v>0</v>
      </c>
      <c r="N2724" s="17">
        <f t="shared" si="85"/>
        <v>1796940</v>
      </c>
    </row>
    <row r="2725" spans="1:14" x14ac:dyDescent="0.25">
      <c r="A2725" s="14" t="s">
        <v>2544</v>
      </c>
      <c r="B2725" s="14" t="s">
        <v>16</v>
      </c>
      <c r="C2725" s="15" t="s">
        <v>2545</v>
      </c>
      <c r="D2725" s="14" t="s">
        <v>1749</v>
      </c>
      <c r="E2725" s="14" t="s">
        <v>1746</v>
      </c>
      <c r="F2725" s="17" t="s">
        <v>2995</v>
      </c>
      <c r="G2725" s="14">
        <v>159732</v>
      </c>
      <c r="H2725" s="14">
        <v>119799</v>
      </c>
      <c r="I2725" s="31">
        <f>IF(COUNTIFS(Addendum!C:C,A2725,Addendum!D:D,IF(ISNUMBER(B2725),TEXT(B2725,"0000"),B2725),Addendum!E:E,"X")&gt;0,4%,0)</f>
        <v>0</v>
      </c>
      <c r="J2725" s="31">
        <f>IF(COUNTIFS(Addendum!C:C,A2725,Addendum!D:D,IF(ISNUMBER(B2725),TEXT(B2725,"0000"),B2725),Addendum!F:F,"X")&gt;0,2.5%,0)</f>
        <v>0</v>
      </c>
      <c r="K2725" s="31">
        <f>IF(COUNTIFS(Addendum!C:C,A2725,Addendum!D:D,IF(ISNUMBER(B2725),TEXT(B2725,"0000"),B2725),Addendum!G:G,"X")&gt;0,7%,0)</f>
        <v>0</v>
      </c>
      <c r="L2725" s="31">
        <f>IF(COUNTIFS(Addendum!C:C,A2725,Addendum!D:D,IF(ISNUMBER(B2725),TEXT(B2725,"0000"),B2725),Addendum!I:I,"X")&gt;0,10%,0)</f>
        <v>0</v>
      </c>
      <c r="M2725" s="34">
        <f t="shared" si="84"/>
        <v>0</v>
      </c>
      <c r="N2725" s="17">
        <f t="shared" si="85"/>
        <v>119799</v>
      </c>
    </row>
    <row r="2726" spans="1:14" x14ac:dyDescent="0.25">
      <c r="A2726" s="14" t="s">
        <v>2544</v>
      </c>
      <c r="B2726" s="14" t="s">
        <v>20</v>
      </c>
      <c r="C2726" s="15" t="s">
        <v>2548</v>
      </c>
      <c r="D2726" s="14" t="s">
        <v>1749</v>
      </c>
      <c r="E2726" s="14" t="s">
        <v>1766</v>
      </c>
      <c r="F2726" s="17" t="s">
        <v>2995</v>
      </c>
      <c r="G2726" s="14">
        <v>0</v>
      </c>
      <c r="H2726" s="14">
        <v>0</v>
      </c>
      <c r="I2726" s="31">
        <f>IF(COUNTIFS(Addendum!C:C,A2726,Addendum!D:D,IF(ISNUMBER(B2726),TEXT(B2726,"0000"),B2726),Addendum!E:E,"X")&gt;0,4%,0)</f>
        <v>0</v>
      </c>
      <c r="J2726" s="31">
        <f>IF(COUNTIFS(Addendum!C:C,A2726,Addendum!D:D,IF(ISNUMBER(B2726),TEXT(B2726,"0000"),B2726),Addendum!F:F,"X")&gt;0,2.5%,0)</f>
        <v>0</v>
      </c>
      <c r="K2726" s="31">
        <f>IF(COUNTIFS(Addendum!C:C,A2726,Addendum!D:D,IF(ISNUMBER(B2726),TEXT(B2726,"0000"),B2726),Addendum!G:G,"X")&gt;0,7%,0)</f>
        <v>0</v>
      </c>
      <c r="L2726" s="31">
        <f>IF(COUNTIFS(Addendum!C:C,A2726,Addendum!D:D,IF(ISNUMBER(B2726),TEXT(B2726,"0000"),B2726),Addendum!I:I,"X")&gt;0,10%,0)</f>
        <v>0</v>
      </c>
      <c r="M2726" s="34">
        <f t="shared" si="84"/>
        <v>0</v>
      </c>
      <c r="N2726" s="17">
        <f t="shared" si="85"/>
        <v>0</v>
      </c>
    </row>
    <row r="2727" spans="1:14" x14ac:dyDescent="0.25">
      <c r="A2727" s="14" t="s">
        <v>2544</v>
      </c>
      <c r="B2727" s="14">
        <v>3</v>
      </c>
      <c r="C2727" s="15" t="s">
        <v>2552</v>
      </c>
      <c r="D2727" s="14" t="s">
        <v>1749</v>
      </c>
      <c r="E2727" s="14" t="s">
        <v>1746</v>
      </c>
      <c r="F2727" s="17" t="s">
        <v>2993</v>
      </c>
      <c r="G2727" s="14">
        <v>0</v>
      </c>
      <c r="H2727" s="14">
        <v>0</v>
      </c>
      <c r="I2727" s="31">
        <f>IF(COUNTIFS(Addendum!C:C,A2727,Addendum!D:D,IF(ISNUMBER(B2727),TEXT(B2727,"0000"),B2727),Addendum!E:E,"X")&gt;0,4%,0)</f>
        <v>0</v>
      </c>
      <c r="J2727" s="31">
        <f>IF(COUNTIFS(Addendum!C:C,A2727,Addendum!D:D,IF(ISNUMBER(B2727),TEXT(B2727,"0000"),B2727),Addendum!F:F,"X")&gt;0,2.5%,0)</f>
        <v>0</v>
      </c>
      <c r="K2727" s="31">
        <f>IF(COUNTIFS(Addendum!C:C,A2727,Addendum!D:D,IF(ISNUMBER(B2727),TEXT(B2727,"0000"),B2727),Addendum!G:G,"X")&gt;0,7%,0)</f>
        <v>0</v>
      </c>
      <c r="L2727" s="31">
        <f>IF(COUNTIFS(Addendum!C:C,A2727,Addendum!D:D,IF(ISNUMBER(B2727),TEXT(B2727,"0000"),B2727),Addendum!I:I,"X")&gt;0,10%,0)</f>
        <v>0</v>
      </c>
      <c r="M2727" s="34">
        <f t="shared" si="84"/>
        <v>0</v>
      </c>
      <c r="N2727" s="17">
        <f t="shared" si="85"/>
        <v>0</v>
      </c>
    </row>
    <row r="2728" spans="1:14" x14ac:dyDescent="0.25">
      <c r="A2728" s="14" t="s">
        <v>2544</v>
      </c>
      <c r="B2728" s="14">
        <v>7</v>
      </c>
      <c r="C2728" s="15" t="s">
        <v>2547</v>
      </c>
      <c r="D2728" s="14" t="s">
        <v>1752</v>
      </c>
      <c r="E2728" s="14" t="s">
        <v>1746</v>
      </c>
      <c r="F2728" s="17" t="s">
        <v>2994</v>
      </c>
      <c r="G2728" s="14">
        <v>0</v>
      </c>
      <c r="H2728" s="14">
        <v>0</v>
      </c>
      <c r="I2728" s="31">
        <f>IF(COUNTIFS(Addendum!C:C,A2728,Addendum!D:D,IF(ISNUMBER(B2728),TEXT(B2728,"0000"),B2728),Addendum!E:E,"X")&gt;0,4%,0)</f>
        <v>0</v>
      </c>
      <c r="J2728" s="31">
        <f>IF(COUNTIFS(Addendum!C:C,A2728,Addendum!D:D,IF(ISNUMBER(B2728),TEXT(B2728,"0000"),B2728),Addendum!F:F,"X")&gt;0,2.5%,0)</f>
        <v>0</v>
      </c>
      <c r="K2728" s="31">
        <f>IF(COUNTIFS(Addendum!C:C,A2728,Addendum!D:D,IF(ISNUMBER(B2728),TEXT(B2728,"0000"),B2728),Addendum!G:G,"X")&gt;0,7%,0)</f>
        <v>0</v>
      </c>
      <c r="L2728" s="31">
        <f>IF(COUNTIFS(Addendum!C:C,A2728,Addendum!D:D,IF(ISNUMBER(B2728),TEXT(B2728,"0000"),B2728),Addendum!I:I,"X")&gt;0,10%,0)</f>
        <v>0</v>
      </c>
      <c r="M2728" s="34">
        <f t="shared" si="84"/>
        <v>0</v>
      </c>
      <c r="N2728" s="17">
        <f t="shared" si="85"/>
        <v>0</v>
      </c>
    </row>
    <row r="2729" spans="1:14" x14ac:dyDescent="0.25">
      <c r="A2729" s="14" t="s">
        <v>2544</v>
      </c>
      <c r="B2729" s="14">
        <v>8</v>
      </c>
      <c r="C2729" s="15" t="s">
        <v>2550</v>
      </c>
      <c r="D2729" s="14" t="s">
        <v>1745</v>
      </c>
      <c r="E2729" s="14" t="s">
        <v>1746</v>
      </c>
      <c r="F2729" s="17" t="s">
        <v>2994</v>
      </c>
      <c r="G2729" s="14">
        <v>0</v>
      </c>
      <c r="H2729" s="14">
        <v>0</v>
      </c>
      <c r="I2729" s="31">
        <f>IF(COUNTIFS(Addendum!C:C,A2729,Addendum!D:D,IF(ISNUMBER(B2729),TEXT(B2729,"0000"),B2729),Addendum!E:E,"X")&gt;0,4%,0)</f>
        <v>0</v>
      </c>
      <c r="J2729" s="31">
        <f>IF(COUNTIFS(Addendum!C:C,A2729,Addendum!D:D,IF(ISNUMBER(B2729),TEXT(B2729,"0000"),B2729),Addendum!F:F,"X")&gt;0,2.5%,0)</f>
        <v>0</v>
      </c>
      <c r="K2729" s="31">
        <f>IF(COUNTIFS(Addendum!C:C,A2729,Addendum!D:D,IF(ISNUMBER(B2729),TEXT(B2729,"0000"),B2729),Addendum!G:G,"X")&gt;0,7%,0)</f>
        <v>0</v>
      </c>
      <c r="L2729" s="31">
        <f>IF(COUNTIFS(Addendum!C:C,A2729,Addendum!D:D,IF(ISNUMBER(B2729),TEXT(B2729,"0000"),B2729),Addendum!I:I,"X")&gt;0,10%,0)</f>
        <v>0</v>
      </c>
      <c r="M2729" s="34">
        <f t="shared" si="84"/>
        <v>0</v>
      </c>
      <c r="N2729" s="17">
        <f t="shared" si="85"/>
        <v>0</v>
      </c>
    </row>
    <row r="2730" spans="1:14" x14ac:dyDescent="0.25">
      <c r="A2730" s="14" t="s">
        <v>2544</v>
      </c>
      <c r="B2730" s="14">
        <v>8</v>
      </c>
      <c r="C2730" s="15" t="s">
        <v>2550</v>
      </c>
      <c r="D2730" s="14" t="s">
        <v>1752</v>
      </c>
      <c r="E2730" s="14" t="s">
        <v>1746</v>
      </c>
      <c r="F2730" s="17" t="s">
        <v>2994</v>
      </c>
      <c r="G2730" s="14">
        <v>0</v>
      </c>
      <c r="H2730" s="14">
        <v>0</v>
      </c>
      <c r="I2730" s="31">
        <f>IF(COUNTIFS(Addendum!C:C,A2730,Addendum!D:D,IF(ISNUMBER(B2730),TEXT(B2730,"0000"),B2730),Addendum!E:E,"X")&gt;0,4%,0)</f>
        <v>0</v>
      </c>
      <c r="J2730" s="31">
        <f>IF(COUNTIFS(Addendum!C:C,A2730,Addendum!D:D,IF(ISNUMBER(B2730),TEXT(B2730,"0000"),B2730),Addendum!F:F,"X")&gt;0,2.5%,0)</f>
        <v>0</v>
      </c>
      <c r="K2730" s="31">
        <f>IF(COUNTIFS(Addendum!C:C,A2730,Addendum!D:D,IF(ISNUMBER(B2730),TEXT(B2730,"0000"),B2730),Addendum!G:G,"X")&gt;0,7%,0)</f>
        <v>0</v>
      </c>
      <c r="L2730" s="31">
        <f>IF(COUNTIFS(Addendum!C:C,A2730,Addendum!D:D,IF(ISNUMBER(B2730),TEXT(B2730,"0000"),B2730),Addendum!I:I,"X")&gt;0,10%,0)</f>
        <v>0</v>
      </c>
      <c r="M2730" s="34">
        <f t="shared" si="84"/>
        <v>0</v>
      </c>
      <c r="N2730" s="17">
        <f t="shared" si="85"/>
        <v>0</v>
      </c>
    </row>
    <row r="2731" spans="1:14" x14ac:dyDescent="0.25">
      <c r="A2731" s="14" t="s">
        <v>2544</v>
      </c>
      <c r="B2731" s="14">
        <v>3</v>
      </c>
      <c r="C2731" s="15" t="s">
        <v>2552</v>
      </c>
      <c r="D2731" s="14" t="s">
        <v>1745</v>
      </c>
      <c r="E2731" s="14" t="s">
        <v>1747</v>
      </c>
      <c r="F2731" s="17" t="s">
        <v>2993</v>
      </c>
      <c r="G2731" s="14">
        <v>0</v>
      </c>
      <c r="H2731" s="14">
        <v>0</v>
      </c>
      <c r="I2731" s="31">
        <f>IF(COUNTIFS(Addendum!C:C,A2731,Addendum!D:D,IF(ISNUMBER(B2731),TEXT(B2731,"0000"),B2731),Addendum!E:E,"X")&gt;0,4%,0)</f>
        <v>0</v>
      </c>
      <c r="J2731" s="31">
        <f>IF(COUNTIFS(Addendum!C:C,A2731,Addendum!D:D,IF(ISNUMBER(B2731),TEXT(B2731,"0000"),B2731),Addendum!F:F,"X")&gt;0,2.5%,0)</f>
        <v>0</v>
      </c>
      <c r="K2731" s="31">
        <f>IF(COUNTIFS(Addendum!C:C,A2731,Addendum!D:D,IF(ISNUMBER(B2731),TEXT(B2731,"0000"),B2731),Addendum!G:G,"X")&gt;0,7%,0)</f>
        <v>0</v>
      </c>
      <c r="L2731" s="31">
        <f>IF(COUNTIFS(Addendum!C:C,A2731,Addendum!D:D,IF(ISNUMBER(B2731),TEXT(B2731,"0000"),B2731),Addendum!I:I,"X")&gt;0,10%,0)</f>
        <v>0</v>
      </c>
      <c r="M2731" s="34">
        <f t="shared" si="84"/>
        <v>0</v>
      </c>
      <c r="N2731" s="17">
        <f t="shared" si="85"/>
        <v>0</v>
      </c>
    </row>
    <row r="2732" spans="1:14" x14ac:dyDescent="0.25">
      <c r="A2732" s="14" t="s">
        <v>2553</v>
      </c>
      <c r="B2732" s="14" t="s">
        <v>20</v>
      </c>
      <c r="C2732" s="15" t="s">
        <v>2554</v>
      </c>
      <c r="D2732" s="14" t="s">
        <v>1752</v>
      </c>
      <c r="E2732" s="14" t="s">
        <v>1747</v>
      </c>
      <c r="F2732" s="17" t="s">
        <v>2995</v>
      </c>
      <c r="G2732" s="14">
        <v>0</v>
      </c>
      <c r="H2732" s="14">
        <v>0</v>
      </c>
      <c r="I2732" s="31">
        <f>IF(COUNTIFS(Addendum!C:C,A2732,Addendum!D:D,IF(ISNUMBER(B2732),TEXT(B2732,"0000"),B2732),Addendum!E:E,"X")&gt;0,4%,0)</f>
        <v>0</v>
      </c>
      <c r="J2732" s="31">
        <f>IF(COUNTIFS(Addendum!C:C,A2732,Addendum!D:D,IF(ISNUMBER(B2732),TEXT(B2732,"0000"),B2732),Addendum!F:F,"X")&gt;0,2.5%,0)</f>
        <v>0</v>
      </c>
      <c r="K2732" s="31">
        <f>IF(COUNTIFS(Addendum!C:C,A2732,Addendum!D:D,IF(ISNUMBER(B2732),TEXT(B2732,"0000"),B2732),Addendum!G:G,"X")&gt;0,7%,0)</f>
        <v>0</v>
      </c>
      <c r="L2732" s="31">
        <f>IF(COUNTIFS(Addendum!C:C,A2732,Addendum!D:D,IF(ISNUMBER(B2732),TEXT(B2732,"0000"),B2732),Addendum!I:I,"X")&gt;0,10%,0)</f>
        <v>0</v>
      </c>
      <c r="M2732" s="34">
        <f t="shared" si="84"/>
        <v>0</v>
      </c>
      <c r="N2732" s="17">
        <f t="shared" si="85"/>
        <v>0</v>
      </c>
    </row>
    <row r="2733" spans="1:14" x14ac:dyDescent="0.25">
      <c r="A2733" s="14" t="s">
        <v>2553</v>
      </c>
      <c r="B2733" s="14">
        <v>3</v>
      </c>
      <c r="C2733" s="15" t="s">
        <v>2555</v>
      </c>
      <c r="D2733" s="14" t="s">
        <v>1745</v>
      </c>
      <c r="E2733" s="14" t="s">
        <v>1747</v>
      </c>
      <c r="F2733" s="17" t="s">
        <v>2993</v>
      </c>
      <c r="G2733" s="14">
        <v>11980020</v>
      </c>
      <c r="H2733" s="14">
        <v>8985015</v>
      </c>
      <c r="I2733" s="31">
        <f>IF(COUNTIFS(Addendum!C:C,A2733,Addendum!D:D,IF(ISNUMBER(B2733),TEXT(B2733,"0000"),B2733),Addendum!E:E,"X")&gt;0,4%,0)</f>
        <v>0</v>
      </c>
      <c r="J2733" s="31">
        <f>IF(COUNTIFS(Addendum!C:C,A2733,Addendum!D:D,IF(ISNUMBER(B2733),TEXT(B2733,"0000"),B2733),Addendum!F:F,"X")&gt;0,2.5%,0)</f>
        <v>0</v>
      </c>
      <c r="K2733" s="31">
        <f>IF(COUNTIFS(Addendum!C:C,A2733,Addendum!D:D,IF(ISNUMBER(B2733),TEXT(B2733,"0000"),B2733),Addendum!G:G,"X")&gt;0,7%,0)</f>
        <v>0</v>
      </c>
      <c r="L2733" s="31">
        <f>IF(COUNTIFS(Addendum!C:C,A2733,Addendum!D:D,IF(ISNUMBER(B2733),TEXT(B2733,"0000"),B2733),Addendum!I:I,"X")&gt;0,10%,0)</f>
        <v>0</v>
      </c>
      <c r="M2733" s="34">
        <f t="shared" si="84"/>
        <v>0</v>
      </c>
      <c r="N2733" s="17">
        <f t="shared" si="85"/>
        <v>8985015</v>
      </c>
    </row>
    <row r="2734" spans="1:14" x14ac:dyDescent="0.25">
      <c r="A2734" s="14" t="s">
        <v>2553</v>
      </c>
      <c r="B2734" s="14" t="s">
        <v>20</v>
      </c>
      <c r="C2734" s="15" t="s">
        <v>2554</v>
      </c>
      <c r="D2734" s="14" t="s">
        <v>1745</v>
      </c>
      <c r="E2734" s="14" t="s">
        <v>1747</v>
      </c>
      <c r="F2734" s="17" t="s">
        <v>2995</v>
      </c>
      <c r="G2734" s="14">
        <v>0</v>
      </c>
      <c r="H2734" s="14">
        <v>0</v>
      </c>
      <c r="I2734" s="31">
        <f>IF(COUNTIFS(Addendum!C:C,A2734,Addendum!D:D,IF(ISNUMBER(B2734),TEXT(B2734,"0000"),B2734),Addendum!E:E,"X")&gt;0,4%,0)</f>
        <v>0</v>
      </c>
      <c r="J2734" s="31">
        <f>IF(COUNTIFS(Addendum!C:C,A2734,Addendum!D:D,IF(ISNUMBER(B2734),TEXT(B2734,"0000"),B2734),Addendum!F:F,"X")&gt;0,2.5%,0)</f>
        <v>0</v>
      </c>
      <c r="K2734" s="31">
        <f>IF(COUNTIFS(Addendum!C:C,A2734,Addendum!D:D,IF(ISNUMBER(B2734),TEXT(B2734,"0000"),B2734),Addendum!G:G,"X")&gt;0,7%,0)</f>
        <v>0</v>
      </c>
      <c r="L2734" s="31">
        <f>IF(COUNTIFS(Addendum!C:C,A2734,Addendum!D:D,IF(ISNUMBER(B2734),TEXT(B2734,"0000"),B2734),Addendum!I:I,"X")&gt;0,10%,0)</f>
        <v>0</v>
      </c>
      <c r="M2734" s="34">
        <f t="shared" si="84"/>
        <v>0</v>
      </c>
      <c r="N2734" s="17">
        <f t="shared" si="85"/>
        <v>0</v>
      </c>
    </row>
    <row r="2735" spans="1:14" x14ac:dyDescent="0.25">
      <c r="A2735" s="14" t="s">
        <v>2553</v>
      </c>
      <c r="B2735" s="14" t="s">
        <v>16</v>
      </c>
      <c r="C2735" s="15" t="s">
        <v>2556</v>
      </c>
      <c r="D2735" s="14" t="s">
        <v>1745</v>
      </c>
      <c r="E2735" s="14" t="s">
        <v>1747</v>
      </c>
      <c r="F2735" s="17" t="s">
        <v>2995</v>
      </c>
      <c r="G2735" s="14">
        <v>4792020</v>
      </c>
      <c r="H2735" s="14">
        <v>3594015</v>
      </c>
      <c r="I2735" s="31">
        <f>IF(COUNTIFS(Addendum!C:C,A2735,Addendum!D:D,IF(ISNUMBER(B2735),TEXT(B2735,"0000"),B2735),Addendum!E:E,"X")&gt;0,4%,0)</f>
        <v>0</v>
      </c>
      <c r="J2735" s="31">
        <f>IF(COUNTIFS(Addendum!C:C,A2735,Addendum!D:D,IF(ISNUMBER(B2735),TEXT(B2735,"0000"),B2735),Addendum!F:F,"X")&gt;0,2.5%,0)</f>
        <v>0</v>
      </c>
      <c r="K2735" s="31">
        <f>IF(COUNTIFS(Addendum!C:C,A2735,Addendum!D:D,IF(ISNUMBER(B2735),TEXT(B2735,"0000"),B2735),Addendum!G:G,"X")&gt;0,7%,0)</f>
        <v>0</v>
      </c>
      <c r="L2735" s="31">
        <f>IF(COUNTIFS(Addendum!C:C,A2735,Addendum!D:D,IF(ISNUMBER(B2735),TEXT(B2735,"0000"),B2735),Addendum!I:I,"X")&gt;0,10%,0)</f>
        <v>0</v>
      </c>
      <c r="M2735" s="34">
        <f t="shared" si="84"/>
        <v>0</v>
      </c>
      <c r="N2735" s="17">
        <f t="shared" si="85"/>
        <v>3594015</v>
      </c>
    </row>
    <row r="2736" spans="1:14" x14ac:dyDescent="0.25">
      <c r="A2736" s="14" t="s">
        <v>2553</v>
      </c>
      <c r="B2736" s="14" t="s">
        <v>16</v>
      </c>
      <c r="C2736" s="15" t="s">
        <v>2556</v>
      </c>
      <c r="D2736" s="14" t="s">
        <v>1752</v>
      </c>
      <c r="E2736" s="14" t="s">
        <v>1753</v>
      </c>
      <c r="F2736" s="17" t="s">
        <v>2995</v>
      </c>
      <c r="G2736" s="14">
        <v>14376060</v>
      </c>
      <c r="H2736" s="14">
        <v>10782045</v>
      </c>
      <c r="I2736" s="31">
        <f>IF(COUNTIFS(Addendum!C:C,A2736,Addendum!D:D,IF(ISNUMBER(B2736),TEXT(B2736,"0000"),B2736),Addendum!E:E,"X")&gt;0,4%,0)</f>
        <v>0</v>
      </c>
      <c r="J2736" s="31">
        <f>IF(COUNTIFS(Addendum!C:C,A2736,Addendum!D:D,IF(ISNUMBER(B2736),TEXT(B2736,"0000"),B2736),Addendum!F:F,"X")&gt;0,2.5%,0)</f>
        <v>0</v>
      </c>
      <c r="K2736" s="31">
        <f>IF(COUNTIFS(Addendum!C:C,A2736,Addendum!D:D,IF(ISNUMBER(B2736),TEXT(B2736,"0000"),B2736),Addendum!G:G,"X")&gt;0,7%,0)</f>
        <v>0</v>
      </c>
      <c r="L2736" s="31">
        <f>IF(COUNTIFS(Addendum!C:C,A2736,Addendum!D:D,IF(ISNUMBER(B2736),TEXT(B2736,"0000"),B2736),Addendum!I:I,"X")&gt;0,10%,0)</f>
        <v>0</v>
      </c>
      <c r="M2736" s="34">
        <f t="shared" si="84"/>
        <v>0</v>
      </c>
      <c r="N2736" s="17">
        <f t="shared" si="85"/>
        <v>10782045</v>
      </c>
    </row>
    <row r="2737" spans="1:14" x14ac:dyDescent="0.25">
      <c r="A2737" s="14" t="s">
        <v>2553</v>
      </c>
      <c r="B2737" s="14" t="s">
        <v>16</v>
      </c>
      <c r="C2737" s="15" t="s">
        <v>2556</v>
      </c>
      <c r="D2737" s="14" t="s">
        <v>1752</v>
      </c>
      <c r="E2737" s="14" t="s">
        <v>1747</v>
      </c>
      <c r="F2737" s="17" t="s">
        <v>2995</v>
      </c>
      <c r="G2737" s="14">
        <v>14376060</v>
      </c>
      <c r="H2737" s="14">
        <v>10782045</v>
      </c>
      <c r="I2737" s="31">
        <f>IF(COUNTIFS(Addendum!C:C,A2737,Addendum!D:D,IF(ISNUMBER(B2737),TEXT(B2737,"0000"),B2737),Addendum!E:E,"X")&gt;0,4%,0)</f>
        <v>0</v>
      </c>
      <c r="J2737" s="31">
        <f>IF(COUNTIFS(Addendum!C:C,A2737,Addendum!D:D,IF(ISNUMBER(B2737),TEXT(B2737,"0000"),B2737),Addendum!F:F,"X")&gt;0,2.5%,0)</f>
        <v>0</v>
      </c>
      <c r="K2737" s="31">
        <f>IF(COUNTIFS(Addendum!C:C,A2737,Addendum!D:D,IF(ISNUMBER(B2737),TEXT(B2737,"0000"),B2737),Addendum!G:G,"X")&gt;0,7%,0)</f>
        <v>0</v>
      </c>
      <c r="L2737" s="31">
        <f>IF(COUNTIFS(Addendum!C:C,A2737,Addendum!D:D,IF(ISNUMBER(B2737),TEXT(B2737,"0000"),B2737),Addendum!I:I,"X")&gt;0,10%,0)</f>
        <v>0</v>
      </c>
      <c r="M2737" s="34">
        <f t="shared" si="84"/>
        <v>0</v>
      </c>
      <c r="N2737" s="17">
        <f t="shared" si="85"/>
        <v>10782045</v>
      </c>
    </row>
    <row r="2738" spans="1:14" x14ac:dyDescent="0.25">
      <c r="A2738" s="14" t="s">
        <v>2553</v>
      </c>
      <c r="B2738" s="14">
        <v>6</v>
      </c>
      <c r="C2738" s="15" t="s">
        <v>2557</v>
      </c>
      <c r="D2738" s="14" t="s">
        <v>1745</v>
      </c>
      <c r="E2738" s="14" t="s">
        <v>1746</v>
      </c>
      <c r="F2738" s="17" t="s">
        <v>2993</v>
      </c>
      <c r="G2738" s="14">
        <v>0</v>
      </c>
      <c r="H2738" s="14">
        <v>0</v>
      </c>
      <c r="I2738" s="31">
        <f>IF(COUNTIFS(Addendum!C:C,A2738,Addendum!D:D,IF(ISNUMBER(B2738),TEXT(B2738,"0000"),B2738),Addendum!E:E,"X")&gt;0,4%,0)</f>
        <v>0</v>
      </c>
      <c r="J2738" s="31">
        <f>IF(COUNTIFS(Addendum!C:C,A2738,Addendum!D:D,IF(ISNUMBER(B2738),TEXT(B2738,"0000"),B2738),Addendum!F:F,"X")&gt;0,2.5%,0)</f>
        <v>0</v>
      </c>
      <c r="K2738" s="31">
        <f>IF(COUNTIFS(Addendum!C:C,A2738,Addendum!D:D,IF(ISNUMBER(B2738),TEXT(B2738,"0000"),B2738),Addendum!G:G,"X")&gt;0,7%,0)</f>
        <v>0</v>
      </c>
      <c r="L2738" s="31">
        <f>IF(COUNTIFS(Addendum!C:C,A2738,Addendum!D:D,IF(ISNUMBER(B2738),TEXT(B2738,"0000"),B2738),Addendum!I:I,"X")&gt;0,10%,0)</f>
        <v>0</v>
      </c>
      <c r="M2738" s="34">
        <f t="shared" si="84"/>
        <v>0</v>
      </c>
      <c r="N2738" s="17">
        <f t="shared" si="85"/>
        <v>0</v>
      </c>
    </row>
    <row r="2739" spans="1:14" x14ac:dyDescent="0.25">
      <c r="A2739" s="14" t="s">
        <v>2553</v>
      </c>
      <c r="B2739" s="14" t="s">
        <v>34</v>
      </c>
      <c r="C2739" s="15" t="s">
        <v>2556</v>
      </c>
      <c r="D2739" s="14" t="s">
        <v>1749</v>
      </c>
      <c r="E2739" s="14" t="s">
        <v>1766</v>
      </c>
      <c r="F2739" s="17" t="s">
        <v>2995</v>
      </c>
      <c r="G2739" s="14">
        <v>0</v>
      </c>
      <c r="H2739" s="14">
        <v>0</v>
      </c>
      <c r="I2739" s="31">
        <f>IF(COUNTIFS(Addendum!C:C,A2739,Addendum!D:D,IF(ISNUMBER(B2739),TEXT(B2739,"0000"),B2739),Addendum!E:E,"X")&gt;0,4%,0)</f>
        <v>0</v>
      </c>
      <c r="J2739" s="31">
        <f>IF(COUNTIFS(Addendum!C:C,A2739,Addendum!D:D,IF(ISNUMBER(B2739),TEXT(B2739,"0000"),B2739),Addendum!F:F,"X")&gt;0,2.5%,0)</f>
        <v>0</v>
      </c>
      <c r="K2739" s="31">
        <f>IF(COUNTIFS(Addendum!C:C,A2739,Addendum!D:D,IF(ISNUMBER(B2739),TEXT(B2739,"0000"),B2739),Addendum!G:G,"X")&gt;0,7%,0)</f>
        <v>0</v>
      </c>
      <c r="L2739" s="31">
        <f>IF(COUNTIFS(Addendum!C:C,A2739,Addendum!D:D,IF(ISNUMBER(B2739),TEXT(B2739,"0000"),B2739),Addendum!I:I,"X")&gt;0,10%,0)</f>
        <v>0</v>
      </c>
      <c r="M2739" s="34">
        <f t="shared" si="84"/>
        <v>0</v>
      </c>
      <c r="N2739" s="17">
        <f t="shared" si="85"/>
        <v>0</v>
      </c>
    </row>
    <row r="2740" spans="1:14" x14ac:dyDescent="0.25">
      <c r="A2740" s="14" t="s">
        <v>2553</v>
      </c>
      <c r="B2740" s="14">
        <v>5</v>
      </c>
      <c r="C2740" s="15" t="s">
        <v>2557</v>
      </c>
      <c r="D2740" s="14" t="s">
        <v>1749</v>
      </c>
      <c r="E2740" s="14" t="s">
        <v>1766</v>
      </c>
      <c r="F2740" s="17" t="s">
        <v>2993</v>
      </c>
      <c r="G2740" s="14">
        <v>0</v>
      </c>
      <c r="H2740" s="14">
        <v>0</v>
      </c>
      <c r="I2740" s="31">
        <f>IF(COUNTIFS(Addendum!C:C,A2740,Addendum!D:D,IF(ISNUMBER(B2740),TEXT(B2740,"0000"),B2740),Addendum!E:E,"X")&gt;0,4%,0)</f>
        <v>0</v>
      </c>
      <c r="J2740" s="31">
        <f>IF(COUNTIFS(Addendum!C:C,A2740,Addendum!D:D,IF(ISNUMBER(B2740),TEXT(B2740,"0000"),B2740),Addendum!F:F,"X")&gt;0,2.5%,0)</f>
        <v>0</v>
      </c>
      <c r="K2740" s="31">
        <f>IF(COUNTIFS(Addendum!C:C,A2740,Addendum!D:D,IF(ISNUMBER(B2740),TEXT(B2740,"0000"),B2740),Addendum!G:G,"X")&gt;0,7%,0)</f>
        <v>0</v>
      </c>
      <c r="L2740" s="31">
        <f>IF(COUNTIFS(Addendum!C:C,A2740,Addendum!D:D,IF(ISNUMBER(B2740),TEXT(B2740,"0000"),B2740),Addendum!I:I,"X")&gt;0,10%,0)</f>
        <v>0</v>
      </c>
      <c r="M2740" s="34">
        <f t="shared" si="84"/>
        <v>0</v>
      </c>
      <c r="N2740" s="17">
        <f t="shared" si="85"/>
        <v>0</v>
      </c>
    </row>
    <row r="2741" spans="1:14" x14ac:dyDescent="0.25">
      <c r="A2741" s="14" t="s">
        <v>2553</v>
      </c>
      <c r="B2741" s="14" t="s">
        <v>16</v>
      </c>
      <c r="C2741" s="15" t="s">
        <v>2556</v>
      </c>
      <c r="D2741" s="14" t="s">
        <v>1745</v>
      </c>
      <c r="E2741" s="14" t="s">
        <v>1746</v>
      </c>
      <c r="F2741" s="17" t="s">
        <v>2995</v>
      </c>
      <c r="G2741" s="14">
        <v>5031621</v>
      </c>
      <c r="H2741" s="14">
        <v>3773716</v>
      </c>
      <c r="I2741" s="31">
        <f>IF(COUNTIFS(Addendum!C:C,A2741,Addendum!D:D,IF(ISNUMBER(B2741),TEXT(B2741,"0000"),B2741),Addendum!E:E,"X")&gt;0,4%,0)</f>
        <v>0</v>
      </c>
      <c r="J2741" s="31">
        <f>IF(COUNTIFS(Addendum!C:C,A2741,Addendum!D:D,IF(ISNUMBER(B2741),TEXT(B2741,"0000"),B2741),Addendum!F:F,"X")&gt;0,2.5%,0)</f>
        <v>0</v>
      </c>
      <c r="K2741" s="31">
        <f>IF(COUNTIFS(Addendum!C:C,A2741,Addendum!D:D,IF(ISNUMBER(B2741),TEXT(B2741,"0000"),B2741),Addendum!G:G,"X")&gt;0,7%,0)</f>
        <v>0</v>
      </c>
      <c r="L2741" s="31">
        <f>IF(COUNTIFS(Addendum!C:C,A2741,Addendum!D:D,IF(ISNUMBER(B2741),TEXT(B2741,"0000"),B2741),Addendum!I:I,"X")&gt;0,10%,0)</f>
        <v>0</v>
      </c>
      <c r="M2741" s="34">
        <f t="shared" si="84"/>
        <v>0</v>
      </c>
      <c r="N2741" s="17">
        <f t="shared" si="85"/>
        <v>3773716</v>
      </c>
    </row>
    <row r="2742" spans="1:14" x14ac:dyDescent="0.25">
      <c r="A2742" s="14" t="s">
        <v>2553</v>
      </c>
      <c r="B2742" s="14">
        <v>3</v>
      </c>
      <c r="C2742" s="15" t="s">
        <v>2555</v>
      </c>
      <c r="D2742" s="14" t="s">
        <v>1745</v>
      </c>
      <c r="E2742" s="14" t="s">
        <v>1746</v>
      </c>
      <c r="F2742" s="17" t="s">
        <v>2993</v>
      </c>
      <c r="G2742" s="14">
        <v>12579021</v>
      </c>
      <c r="H2742" s="14">
        <v>9434266</v>
      </c>
      <c r="I2742" s="31">
        <f>IF(COUNTIFS(Addendum!C:C,A2742,Addendum!D:D,IF(ISNUMBER(B2742),TEXT(B2742,"0000"),B2742),Addendum!E:E,"X")&gt;0,4%,0)</f>
        <v>0</v>
      </c>
      <c r="J2742" s="31">
        <f>IF(COUNTIFS(Addendum!C:C,A2742,Addendum!D:D,IF(ISNUMBER(B2742),TEXT(B2742,"0000"),B2742),Addendum!F:F,"X")&gt;0,2.5%,0)</f>
        <v>0</v>
      </c>
      <c r="K2742" s="31">
        <f>IF(COUNTIFS(Addendum!C:C,A2742,Addendum!D:D,IF(ISNUMBER(B2742),TEXT(B2742,"0000"),B2742),Addendum!G:G,"X")&gt;0,7%,0)</f>
        <v>0</v>
      </c>
      <c r="L2742" s="31">
        <f>IF(COUNTIFS(Addendum!C:C,A2742,Addendum!D:D,IF(ISNUMBER(B2742),TEXT(B2742,"0000"),B2742),Addendum!I:I,"X")&gt;0,10%,0)</f>
        <v>0</v>
      </c>
      <c r="M2742" s="34">
        <f t="shared" si="84"/>
        <v>0</v>
      </c>
      <c r="N2742" s="17">
        <f t="shared" si="85"/>
        <v>9434266</v>
      </c>
    </row>
    <row r="2743" spans="1:14" x14ac:dyDescent="0.25">
      <c r="A2743" s="14" t="s">
        <v>2553</v>
      </c>
      <c r="B2743" s="14" t="s">
        <v>24</v>
      </c>
      <c r="C2743" s="15" t="s">
        <v>2554</v>
      </c>
      <c r="D2743" s="14" t="s">
        <v>1749</v>
      </c>
      <c r="E2743" s="14" t="s">
        <v>1766</v>
      </c>
      <c r="F2743" s="17" t="s">
        <v>2995</v>
      </c>
      <c r="G2743" s="14">
        <v>0</v>
      </c>
      <c r="H2743" s="14">
        <v>0</v>
      </c>
      <c r="I2743" s="31">
        <f>IF(COUNTIFS(Addendum!C:C,A2743,Addendum!D:D,IF(ISNUMBER(B2743),TEXT(B2743,"0000"),B2743),Addendum!E:E,"X")&gt;0,4%,0)</f>
        <v>0</v>
      </c>
      <c r="J2743" s="31">
        <f>IF(COUNTIFS(Addendum!C:C,A2743,Addendum!D:D,IF(ISNUMBER(B2743),TEXT(B2743,"0000"),B2743),Addendum!F:F,"X")&gt;0,2.5%,0)</f>
        <v>0</v>
      </c>
      <c r="K2743" s="31">
        <f>IF(COUNTIFS(Addendum!C:C,A2743,Addendum!D:D,IF(ISNUMBER(B2743),TEXT(B2743,"0000"),B2743),Addendum!G:G,"X")&gt;0,7%,0)</f>
        <v>0</v>
      </c>
      <c r="L2743" s="31">
        <f>IF(COUNTIFS(Addendum!C:C,A2743,Addendum!D:D,IF(ISNUMBER(B2743),TEXT(B2743,"0000"),B2743),Addendum!I:I,"X")&gt;0,10%,0)</f>
        <v>0</v>
      </c>
      <c r="M2743" s="34">
        <f t="shared" si="84"/>
        <v>0</v>
      </c>
      <c r="N2743" s="17">
        <f t="shared" si="85"/>
        <v>0</v>
      </c>
    </row>
    <row r="2744" spans="1:14" x14ac:dyDescent="0.25">
      <c r="A2744" s="14" t="s">
        <v>2553</v>
      </c>
      <c r="B2744" s="14">
        <v>2</v>
      </c>
      <c r="C2744" s="15" t="s">
        <v>2555</v>
      </c>
      <c r="D2744" s="14" t="s">
        <v>1749</v>
      </c>
      <c r="E2744" s="14" t="s">
        <v>1766</v>
      </c>
      <c r="F2744" s="17" t="s">
        <v>2993</v>
      </c>
      <c r="G2744" s="14">
        <v>0</v>
      </c>
      <c r="H2744" s="14">
        <v>0</v>
      </c>
      <c r="I2744" s="31">
        <f>IF(COUNTIFS(Addendum!C:C,A2744,Addendum!D:D,IF(ISNUMBER(B2744),TEXT(B2744,"0000"),B2744),Addendum!E:E,"X")&gt;0,4%,0)</f>
        <v>0</v>
      </c>
      <c r="J2744" s="31">
        <f>IF(COUNTIFS(Addendum!C:C,A2744,Addendum!D:D,IF(ISNUMBER(B2744),TEXT(B2744,"0000"),B2744),Addendum!F:F,"X")&gt;0,2.5%,0)</f>
        <v>0</v>
      </c>
      <c r="K2744" s="31">
        <f>IF(COUNTIFS(Addendum!C:C,A2744,Addendum!D:D,IF(ISNUMBER(B2744),TEXT(B2744,"0000"),B2744),Addendum!G:G,"X")&gt;0,7%,0)</f>
        <v>0</v>
      </c>
      <c r="L2744" s="31">
        <f>IF(COUNTIFS(Addendum!C:C,A2744,Addendum!D:D,IF(ISNUMBER(B2744),TEXT(B2744,"0000"),B2744),Addendum!I:I,"X")&gt;0,10%,0)</f>
        <v>0</v>
      </c>
      <c r="M2744" s="34">
        <f t="shared" si="84"/>
        <v>0</v>
      </c>
      <c r="N2744" s="17">
        <f t="shared" si="85"/>
        <v>0</v>
      </c>
    </row>
    <row r="2745" spans="1:14" x14ac:dyDescent="0.25">
      <c r="A2745" s="14" t="s">
        <v>2553</v>
      </c>
      <c r="B2745" s="14">
        <v>3</v>
      </c>
      <c r="C2745" s="15" t="s">
        <v>2555</v>
      </c>
      <c r="D2745" s="14" t="s">
        <v>1749</v>
      </c>
      <c r="E2745" s="14" t="s">
        <v>1746</v>
      </c>
      <c r="F2745" s="17" t="s">
        <v>2993</v>
      </c>
      <c r="G2745" s="14">
        <v>1198002</v>
      </c>
      <c r="H2745" s="14">
        <v>898501.5</v>
      </c>
      <c r="I2745" s="31">
        <f>IF(COUNTIFS(Addendum!C:C,A2745,Addendum!D:D,IF(ISNUMBER(B2745),TEXT(B2745,"0000"),B2745),Addendum!E:E,"X")&gt;0,4%,0)</f>
        <v>0</v>
      </c>
      <c r="J2745" s="31">
        <f>IF(COUNTIFS(Addendum!C:C,A2745,Addendum!D:D,IF(ISNUMBER(B2745),TEXT(B2745,"0000"),B2745),Addendum!F:F,"X")&gt;0,2.5%,0)</f>
        <v>0</v>
      </c>
      <c r="K2745" s="31">
        <f>IF(COUNTIFS(Addendum!C:C,A2745,Addendum!D:D,IF(ISNUMBER(B2745),TEXT(B2745,"0000"),B2745),Addendum!G:G,"X")&gt;0,7%,0)</f>
        <v>0</v>
      </c>
      <c r="L2745" s="31">
        <f>IF(COUNTIFS(Addendum!C:C,A2745,Addendum!D:D,IF(ISNUMBER(B2745),TEXT(B2745,"0000"),B2745),Addendum!I:I,"X")&gt;0,10%,0)</f>
        <v>0</v>
      </c>
      <c r="M2745" s="34">
        <f t="shared" si="84"/>
        <v>0</v>
      </c>
      <c r="N2745" s="17">
        <f t="shared" si="85"/>
        <v>898501.5</v>
      </c>
    </row>
    <row r="2746" spans="1:14" x14ac:dyDescent="0.25">
      <c r="A2746" s="14" t="s">
        <v>2553</v>
      </c>
      <c r="B2746" s="14" t="s">
        <v>16</v>
      </c>
      <c r="C2746" s="15" t="s">
        <v>2556</v>
      </c>
      <c r="D2746" s="14" t="s">
        <v>1752</v>
      </c>
      <c r="E2746" s="14" t="s">
        <v>1746</v>
      </c>
      <c r="F2746" s="17" t="s">
        <v>2995</v>
      </c>
      <c r="G2746" s="14">
        <v>15094863</v>
      </c>
      <c r="H2746" s="14">
        <v>11321147</v>
      </c>
      <c r="I2746" s="31">
        <f>IF(COUNTIFS(Addendum!C:C,A2746,Addendum!D:D,IF(ISNUMBER(B2746),TEXT(B2746,"0000"),B2746),Addendum!E:E,"X")&gt;0,4%,0)</f>
        <v>0</v>
      </c>
      <c r="J2746" s="31">
        <f>IF(COUNTIFS(Addendum!C:C,A2746,Addendum!D:D,IF(ISNUMBER(B2746),TEXT(B2746,"0000"),B2746),Addendum!F:F,"X")&gt;0,2.5%,0)</f>
        <v>0</v>
      </c>
      <c r="K2746" s="31">
        <f>IF(COUNTIFS(Addendum!C:C,A2746,Addendum!D:D,IF(ISNUMBER(B2746),TEXT(B2746,"0000"),B2746),Addendum!G:G,"X")&gt;0,7%,0)</f>
        <v>0</v>
      </c>
      <c r="L2746" s="31">
        <f>IF(COUNTIFS(Addendum!C:C,A2746,Addendum!D:D,IF(ISNUMBER(B2746),TEXT(B2746,"0000"),B2746),Addendum!I:I,"X")&gt;0,10%,0)</f>
        <v>0</v>
      </c>
      <c r="M2746" s="34">
        <f t="shared" si="84"/>
        <v>0</v>
      </c>
      <c r="N2746" s="17">
        <f t="shared" si="85"/>
        <v>11321147</v>
      </c>
    </row>
    <row r="2747" spans="1:14" x14ac:dyDescent="0.25">
      <c r="A2747" s="14" t="s">
        <v>2553</v>
      </c>
      <c r="B2747" s="14" t="s">
        <v>20</v>
      </c>
      <c r="C2747" s="15" t="s">
        <v>2554</v>
      </c>
      <c r="D2747" s="14" t="s">
        <v>1745</v>
      </c>
      <c r="E2747" s="14" t="s">
        <v>1746</v>
      </c>
      <c r="F2747" s="17" t="s">
        <v>2995</v>
      </c>
      <c r="G2747" s="14">
        <v>0</v>
      </c>
      <c r="H2747" s="14">
        <v>0</v>
      </c>
      <c r="I2747" s="31">
        <f>IF(COUNTIFS(Addendum!C:C,A2747,Addendum!D:D,IF(ISNUMBER(B2747),TEXT(B2747,"0000"),B2747),Addendum!E:E,"X")&gt;0,4%,0)</f>
        <v>0</v>
      </c>
      <c r="J2747" s="31">
        <f>IF(COUNTIFS(Addendum!C:C,A2747,Addendum!D:D,IF(ISNUMBER(B2747),TEXT(B2747,"0000"),B2747),Addendum!F:F,"X")&gt;0,2.5%,0)</f>
        <v>0</v>
      </c>
      <c r="K2747" s="31">
        <f>IF(COUNTIFS(Addendum!C:C,A2747,Addendum!D:D,IF(ISNUMBER(B2747),TEXT(B2747,"0000"),B2747),Addendum!G:G,"X")&gt;0,7%,0)</f>
        <v>0</v>
      </c>
      <c r="L2747" s="31">
        <f>IF(COUNTIFS(Addendum!C:C,A2747,Addendum!D:D,IF(ISNUMBER(B2747),TEXT(B2747,"0000"),B2747),Addendum!I:I,"X")&gt;0,10%,0)</f>
        <v>0</v>
      </c>
      <c r="M2747" s="34">
        <f t="shared" si="84"/>
        <v>0</v>
      </c>
      <c r="N2747" s="17">
        <f t="shared" si="85"/>
        <v>0</v>
      </c>
    </row>
    <row r="2748" spans="1:14" x14ac:dyDescent="0.25">
      <c r="A2748" s="14" t="s">
        <v>2553</v>
      </c>
      <c r="B2748" s="14" t="s">
        <v>20</v>
      </c>
      <c r="C2748" s="15" t="s">
        <v>2554</v>
      </c>
      <c r="D2748" s="14" t="s">
        <v>1752</v>
      </c>
      <c r="E2748" s="14" t="s">
        <v>1753</v>
      </c>
      <c r="F2748" s="17" t="s">
        <v>2995</v>
      </c>
      <c r="G2748" s="14">
        <v>0</v>
      </c>
      <c r="H2748" s="14">
        <v>0</v>
      </c>
      <c r="I2748" s="31">
        <f>IF(COUNTIFS(Addendum!C:C,A2748,Addendum!D:D,IF(ISNUMBER(B2748),TEXT(B2748,"0000"),B2748),Addendum!E:E,"X")&gt;0,4%,0)</f>
        <v>0</v>
      </c>
      <c r="J2748" s="31">
        <f>IF(COUNTIFS(Addendum!C:C,A2748,Addendum!D:D,IF(ISNUMBER(B2748),TEXT(B2748,"0000"),B2748),Addendum!F:F,"X")&gt;0,2.5%,0)</f>
        <v>0</v>
      </c>
      <c r="K2748" s="31">
        <f>IF(COUNTIFS(Addendum!C:C,A2748,Addendum!D:D,IF(ISNUMBER(B2748),TEXT(B2748,"0000"),B2748),Addendum!G:G,"X")&gt;0,7%,0)</f>
        <v>0</v>
      </c>
      <c r="L2748" s="31">
        <f>IF(COUNTIFS(Addendum!C:C,A2748,Addendum!D:D,IF(ISNUMBER(B2748),TEXT(B2748,"0000"),B2748),Addendum!I:I,"X")&gt;0,10%,0)</f>
        <v>0</v>
      </c>
      <c r="M2748" s="34">
        <f t="shared" si="84"/>
        <v>0</v>
      </c>
      <c r="N2748" s="17">
        <f t="shared" si="85"/>
        <v>0</v>
      </c>
    </row>
    <row r="2749" spans="1:14" x14ac:dyDescent="0.25">
      <c r="A2749" s="14" t="s">
        <v>2553</v>
      </c>
      <c r="B2749" s="14">
        <v>6</v>
      </c>
      <c r="C2749" s="15" t="s">
        <v>2557</v>
      </c>
      <c r="D2749" s="14" t="s">
        <v>1749</v>
      </c>
      <c r="E2749" s="14" t="s">
        <v>1746</v>
      </c>
      <c r="F2749" s="17" t="s">
        <v>2993</v>
      </c>
      <c r="G2749" s="14">
        <v>0</v>
      </c>
      <c r="H2749" s="14">
        <v>0</v>
      </c>
      <c r="I2749" s="31">
        <f>IF(COUNTIFS(Addendum!C:C,A2749,Addendum!D:D,IF(ISNUMBER(B2749),TEXT(B2749,"0000"),B2749),Addendum!E:E,"X")&gt;0,4%,0)</f>
        <v>0</v>
      </c>
      <c r="J2749" s="31">
        <f>IF(COUNTIFS(Addendum!C:C,A2749,Addendum!D:D,IF(ISNUMBER(B2749),TEXT(B2749,"0000"),B2749),Addendum!F:F,"X")&gt;0,2.5%,0)</f>
        <v>0</v>
      </c>
      <c r="K2749" s="31">
        <f>IF(COUNTIFS(Addendum!C:C,A2749,Addendum!D:D,IF(ISNUMBER(B2749),TEXT(B2749,"0000"),B2749),Addendum!G:G,"X")&gt;0,7%,0)</f>
        <v>0</v>
      </c>
      <c r="L2749" s="31">
        <f>IF(COUNTIFS(Addendum!C:C,A2749,Addendum!D:D,IF(ISNUMBER(B2749),TEXT(B2749,"0000"),B2749),Addendum!I:I,"X")&gt;0,10%,0)</f>
        <v>0</v>
      </c>
      <c r="M2749" s="34">
        <f t="shared" si="84"/>
        <v>0</v>
      </c>
      <c r="N2749" s="17">
        <f t="shared" si="85"/>
        <v>0</v>
      </c>
    </row>
    <row r="2750" spans="1:14" x14ac:dyDescent="0.25">
      <c r="A2750" s="14" t="s">
        <v>2553</v>
      </c>
      <c r="B2750" s="14" t="s">
        <v>20</v>
      </c>
      <c r="C2750" s="15" t="s">
        <v>2554</v>
      </c>
      <c r="D2750" s="14" t="s">
        <v>1749</v>
      </c>
      <c r="E2750" s="14" t="s">
        <v>1746</v>
      </c>
      <c r="F2750" s="17" t="s">
        <v>2995</v>
      </c>
      <c r="G2750" s="14">
        <v>0</v>
      </c>
      <c r="H2750" s="14">
        <v>0</v>
      </c>
      <c r="I2750" s="31">
        <f>IF(COUNTIFS(Addendum!C:C,A2750,Addendum!D:D,IF(ISNUMBER(B2750),TEXT(B2750,"0000"),B2750),Addendum!E:E,"X")&gt;0,4%,0)</f>
        <v>0</v>
      </c>
      <c r="J2750" s="31">
        <f>IF(COUNTIFS(Addendum!C:C,A2750,Addendum!D:D,IF(ISNUMBER(B2750),TEXT(B2750,"0000"),B2750),Addendum!F:F,"X")&gt;0,2.5%,0)</f>
        <v>0</v>
      </c>
      <c r="K2750" s="31">
        <f>IF(COUNTIFS(Addendum!C:C,A2750,Addendum!D:D,IF(ISNUMBER(B2750),TEXT(B2750,"0000"),B2750),Addendum!G:G,"X")&gt;0,7%,0)</f>
        <v>0</v>
      </c>
      <c r="L2750" s="31">
        <f>IF(COUNTIFS(Addendum!C:C,A2750,Addendum!D:D,IF(ISNUMBER(B2750),TEXT(B2750,"0000"),B2750),Addendum!I:I,"X")&gt;0,10%,0)</f>
        <v>0</v>
      </c>
      <c r="M2750" s="34">
        <f t="shared" si="84"/>
        <v>0</v>
      </c>
      <c r="N2750" s="17">
        <f t="shared" si="85"/>
        <v>0</v>
      </c>
    </row>
    <row r="2751" spans="1:14" x14ac:dyDescent="0.25">
      <c r="A2751" s="14" t="s">
        <v>2553</v>
      </c>
      <c r="B2751" s="14" t="s">
        <v>16</v>
      </c>
      <c r="C2751" s="15" t="s">
        <v>2556</v>
      </c>
      <c r="D2751" s="14" t="s">
        <v>1749</v>
      </c>
      <c r="E2751" s="14" t="s">
        <v>1746</v>
      </c>
      <c r="F2751" s="17" t="s">
        <v>2995</v>
      </c>
      <c r="G2751" s="14">
        <v>479202</v>
      </c>
      <c r="H2751" s="14">
        <v>359401.5</v>
      </c>
      <c r="I2751" s="31">
        <f>IF(COUNTIFS(Addendum!C:C,A2751,Addendum!D:D,IF(ISNUMBER(B2751),TEXT(B2751,"0000"),B2751),Addendum!E:E,"X")&gt;0,4%,0)</f>
        <v>0</v>
      </c>
      <c r="J2751" s="31">
        <f>IF(COUNTIFS(Addendum!C:C,A2751,Addendum!D:D,IF(ISNUMBER(B2751),TEXT(B2751,"0000"),B2751),Addendum!F:F,"X")&gt;0,2.5%,0)</f>
        <v>0</v>
      </c>
      <c r="K2751" s="31">
        <f>IF(COUNTIFS(Addendum!C:C,A2751,Addendum!D:D,IF(ISNUMBER(B2751),TEXT(B2751,"0000"),B2751),Addendum!G:G,"X")&gt;0,7%,0)</f>
        <v>0</v>
      </c>
      <c r="L2751" s="31">
        <f>IF(COUNTIFS(Addendum!C:C,A2751,Addendum!D:D,IF(ISNUMBER(B2751),TEXT(B2751,"0000"),B2751),Addendum!I:I,"X")&gt;0,10%,0)</f>
        <v>0</v>
      </c>
      <c r="M2751" s="34">
        <f t="shared" si="84"/>
        <v>0</v>
      </c>
      <c r="N2751" s="17">
        <f t="shared" si="85"/>
        <v>359401.5</v>
      </c>
    </row>
    <row r="2752" spans="1:14" x14ac:dyDescent="0.25">
      <c r="A2752" s="14" t="s">
        <v>2553</v>
      </c>
      <c r="B2752" s="14">
        <v>6</v>
      </c>
      <c r="C2752" s="15" t="s">
        <v>2557</v>
      </c>
      <c r="D2752" s="14" t="s">
        <v>1745</v>
      </c>
      <c r="E2752" s="14" t="s">
        <v>1747</v>
      </c>
      <c r="F2752" s="17" t="s">
        <v>2993</v>
      </c>
      <c r="G2752" s="14">
        <v>0</v>
      </c>
      <c r="H2752" s="14">
        <v>0</v>
      </c>
      <c r="I2752" s="31">
        <f>IF(COUNTIFS(Addendum!C:C,A2752,Addendum!D:D,IF(ISNUMBER(B2752),TEXT(B2752,"0000"),B2752),Addendum!E:E,"X")&gt;0,4%,0)</f>
        <v>0</v>
      </c>
      <c r="J2752" s="31">
        <f>IF(COUNTIFS(Addendum!C:C,A2752,Addendum!D:D,IF(ISNUMBER(B2752),TEXT(B2752,"0000"),B2752),Addendum!F:F,"X")&gt;0,2.5%,0)</f>
        <v>0</v>
      </c>
      <c r="K2752" s="31">
        <f>IF(COUNTIFS(Addendum!C:C,A2752,Addendum!D:D,IF(ISNUMBER(B2752),TEXT(B2752,"0000"),B2752),Addendum!G:G,"X")&gt;0,7%,0)</f>
        <v>0</v>
      </c>
      <c r="L2752" s="31">
        <f>IF(COUNTIFS(Addendum!C:C,A2752,Addendum!D:D,IF(ISNUMBER(B2752),TEXT(B2752,"0000"),B2752),Addendum!I:I,"X")&gt;0,10%,0)</f>
        <v>0</v>
      </c>
      <c r="M2752" s="34">
        <f t="shared" si="84"/>
        <v>0</v>
      </c>
      <c r="N2752" s="17">
        <f t="shared" si="85"/>
        <v>0</v>
      </c>
    </row>
    <row r="2753" spans="1:14" x14ac:dyDescent="0.25">
      <c r="A2753" s="14" t="s">
        <v>2553</v>
      </c>
      <c r="B2753" s="14" t="s">
        <v>20</v>
      </c>
      <c r="C2753" s="15" t="s">
        <v>2554</v>
      </c>
      <c r="D2753" s="14" t="s">
        <v>1752</v>
      </c>
      <c r="E2753" s="14" t="s">
        <v>1746</v>
      </c>
      <c r="F2753" s="17" t="s">
        <v>2995</v>
      </c>
      <c r="G2753" s="14">
        <v>0</v>
      </c>
      <c r="H2753" s="14">
        <v>0</v>
      </c>
      <c r="I2753" s="31">
        <f>IF(COUNTIFS(Addendum!C:C,A2753,Addendum!D:D,IF(ISNUMBER(B2753),TEXT(B2753,"0000"),B2753),Addendum!E:E,"X")&gt;0,4%,0)</f>
        <v>0</v>
      </c>
      <c r="J2753" s="31">
        <f>IF(COUNTIFS(Addendum!C:C,A2753,Addendum!D:D,IF(ISNUMBER(B2753),TEXT(B2753,"0000"),B2753),Addendum!F:F,"X")&gt;0,2.5%,0)</f>
        <v>0</v>
      </c>
      <c r="K2753" s="31">
        <f>IF(COUNTIFS(Addendum!C:C,A2753,Addendum!D:D,IF(ISNUMBER(B2753),TEXT(B2753,"0000"),B2753),Addendum!G:G,"X")&gt;0,7%,0)</f>
        <v>0</v>
      </c>
      <c r="L2753" s="31">
        <f>IF(COUNTIFS(Addendum!C:C,A2753,Addendum!D:D,IF(ISNUMBER(B2753),TEXT(B2753,"0000"),B2753),Addendum!I:I,"X")&gt;0,10%,0)</f>
        <v>0</v>
      </c>
      <c r="M2753" s="34">
        <f t="shared" si="84"/>
        <v>0</v>
      </c>
      <c r="N2753" s="17">
        <f t="shared" si="85"/>
        <v>0</v>
      </c>
    </row>
    <row r="2754" spans="1:14" x14ac:dyDescent="0.25">
      <c r="A2754" s="14" t="s">
        <v>2558</v>
      </c>
      <c r="B2754" s="14" t="s">
        <v>55</v>
      </c>
      <c r="C2754" s="15" t="s">
        <v>2559</v>
      </c>
      <c r="D2754" s="14" t="s">
        <v>1745</v>
      </c>
      <c r="E2754" s="14" t="s">
        <v>1747</v>
      </c>
      <c r="F2754" s="17" t="s">
        <v>2993</v>
      </c>
      <c r="G2754" s="14">
        <v>8520</v>
      </c>
      <c r="H2754" s="14">
        <v>6816</v>
      </c>
      <c r="I2754" s="31">
        <f>IF(COUNTIFS(Addendum!C:C,A2754,Addendum!D:D,IF(ISNUMBER(B2754),TEXT(B2754,"0000"),B2754),Addendum!E:E,"X")&gt;0,4%,0)</f>
        <v>0</v>
      </c>
      <c r="J2754" s="31">
        <f>IF(COUNTIFS(Addendum!C:C,A2754,Addendum!D:D,IF(ISNUMBER(B2754),TEXT(B2754,"0000"),B2754),Addendum!F:F,"X")&gt;0,2.5%,0)</f>
        <v>0</v>
      </c>
      <c r="K2754" s="31">
        <f>IF(COUNTIFS(Addendum!C:C,A2754,Addendum!D:D,IF(ISNUMBER(B2754),TEXT(B2754,"0000"),B2754),Addendum!G:G,"X")&gt;0,7%,0)</f>
        <v>0</v>
      </c>
      <c r="L2754" s="31">
        <f>IF(COUNTIFS(Addendum!C:C,A2754,Addendum!D:D,IF(ISNUMBER(B2754),TEXT(B2754,"0000"),B2754),Addendum!I:I,"X")&gt;0,10%,0)</f>
        <v>0</v>
      </c>
      <c r="M2754" s="34">
        <f t="shared" si="84"/>
        <v>0</v>
      </c>
      <c r="N2754" s="17">
        <f t="shared" si="85"/>
        <v>6816</v>
      </c>
    </row>
    <row r="2755" spans="1:14" x14ac:dyDescent="0.25">
      <c r="A2755" s="14" t="s">
        <v>2558</v>
      </c>
      <c r="B2755" s="14">
        <v>9</v>
      </c>
      <c r="C2755" s="15" t="s">
        <v>2560</v>
      </c>
      <c r="D2755" s="14" t="s">
        <v>1745</v>
      </c>
      <c r="E2755" s="14" t="s">
        <v>1746</v>
      </c>
      <c r="F2755" s="17" t="s">
        <v>2993</v>
      </c>
      <c r="G2755" s="14">
        <v>8946</v>
      </c>
      <c r="H2755" s="14">
        <v>7156.8</v>
      </c>
      <c r="I2755" s="31">
        <f>IF(COUNTIFS(Addendum!C:C,A2755,Addendum!D:D,IF(ISNUMBER(B2755),TEXT(B2755,"0000"),B2755),Addendum!E:E,"X")&gt;0,4%,0)</f>
        <v>0</v>
      </c>
      <c r="J2755" s="31">
        <f>IF(COUNTIFS(Addendum!C:C,A2755,Addendum!D:D,IF(ISNUMBER(B2755),TEXT(B2755,"0000"),B2755),Addendum!F:F,"X")&gt;0,2.5%,0)</f>
        <v>0</v>
      </c>
      <c r="K2755" s="31">
        <f>IF(COUNTIFS(Addendum!C:C,A2755,Addendum!D:D,IF(ISNUMBER(B2755),TEXT(B2755,"0000"),B2755),Addendum!G:G,"X")&gt;0,7%,0)</f>
        <v>0</v>
      </c>
      <c r="L2755" s="31">
        <f>IF(COUNTIFS(Addendum!C:C,A2755,Addendum!D:D,IF(ISNUMBER(B2755),TEXT(B2755,"0000"),B2755),Addendum!I:I,"X")&gt;0,10%,0)</f>
        <v>0</v>
      </c>
      <c r="M2755" s="34">
        <f t="shared" si="84"/>
        <v>0</v>
      </c>
      <c r="N2755" s="17">
        <f t="shared" si="85"/>
        <v>7156.8</v>
      </c>
    </row>
    <row r="2756" spans="1:14" x14ac:dyDescent="0.25">
      <c r="A2756" s="14" t="s">
        <v>2558</v>
      </c>
      <c r="B2756" s="14" t="s">
        <v>39</v>
      </c>
      <c r="C2756" s="15" t="s">
        <v>2561</v>
      </c>
      <c r="D2756" s="14" t="s">
        <v>1752</v>
      </c>
      <c r="E2756" s="14" t="s">
        <v>1747</v>
      </c>
      <c r="F2756" s="17" t="s">
        <v>2993</v>
      </c>
      <c r="G2756" s="14">
        <v>25560</v>
      </c>
      <c r="H2756" s="14">
        <v>20448</v>
      </c>
      <c r="I2756" s="31">
        <f>IF(COUNTIFS(Addendum!C:C,A2756,Addendum!D:D,IF(ISNUMBER(B2756),TEXT(B2756,"0000"),B2756),Addendum!E:E,"X")&gt;0,4%,0)</f>
        <v>0</v>
      </c>
      <c r="J2756" s="31">
        <f>IF(COUNTIFS(Addendum!C:C,A2756,Addendum!D:D,IF(ISNUMBER(B2756),TEXT(B2756,"0000"),B2756),Addendum!F:F,"X")&gt;0,2.5%,0)</f>
        <v>0</v>
      </c>
      <c r="K2756" s="31">
        <f>IF(COUNTIFS(Addendum!C:C,A2756,Addendum!D:D,IF(ISNUMBER(B2756),TEXT(B2756,"0000"),B2756),Addendum!G:G,"X")&gt;0,7%,0)</f>
        <v>0</v>
      </c>
      <c r="L2756" s="31">
        <f>IF(COUNTIFS(Addendum!C:C,A2756,Addendum!D:D,IF(ISNUMBER(B2756),TEXT(B2756,"0000"),B2756),Addendum!I:I,"X")&gt;0,10%,0)</f>
        <v>0</v>
      </c>
      <c r="M2756" s="34">
        <f t="shared" ref="M2756:M2819" si="86">IF(AND(I2756=0%,J2756=0%,K2756=0%,L2756=0%),0%,
IF(OR(TRIM(E2756)="OneTime",TRIM(D2756)=""),0%,
IF(
OR(
TRIM(D2756)="P1M",
AND(TRIM(D2756)="P1Y",TRIM(E2756)="Monthly"),
AND(TRIM(D2756)="P3Y",TRIM(E2756)="Monthly")
),
IF(AND(I2756=4%,J2756=0%,K2756=0%,L2756=0%),1%,
IF(AND(I2756=4%,J2756=2.5%,K2756=0%,L2756=10%),2%,
IF(AND(I2756=4%,J2756=0%,K2756=7%,L2756=10%),3%,0%))),
IF(
OR(
AND(TRIM(D2756)="P1Y",TRIM(E2756)="Annual"),
AND(TRIM(D2756)="P3Y",TRIM(E2756)="Annual"),
AND(TRIM(D2756)="P3Y",TRIM(E2756)="Triennial")
),
IF(AND(I2756=4%,J2756=0%,K2756=0%,L2756=0%),3%,
IF(AND(I2756=4%,J2756=2.5%,K2756=0%,L2756=10%),10%,
IF(AND(I2756=4%,J2756=0%,K2756=7%,L2756=10%),14%,0%))),
0%
))))</f>
        <v>0</v>
      </c>
      <c r="N2756" s="17">
        <f t="shared" ref="N2756:N2819" si="87">H2756-(H2756*M2756)</f>
        <v>20448</v>
      </c>
    </row>
    <row r="2757" spans="1:14" x14ac:dyDescent="0.25">
      <c r="A2757" s="14" t="s">
        <v>2558</v>
      </c>
      <c r="B2757" s="14">
        <v>9</v>
      </c>
      <c r="C2757" s="15" t="s">
        <v>2560</v>
      </c>
      <c r="D2757" s="14" t="s">
        <v>1745</v>
      </c>
      <c r="E2757" s="14" t="s">
        <v>1747</v>
      </c>
      <c r="F2757" s="17" t="s">
        <v>2993</v>
      </c>
      <c r="G2757" s="14">
        <v>8520</v>
      </c>
      <c r="H2757" s="14">
        <v>6816</v>
      </c>
      <c r="I2757" s="31">
        <f>IF(COUNTIFS(Addendum!C:C,A2757,Addendum!D:D,IF(ISNUMBER(B2757),TEXT(B2757,"0000"),B2757),Addendum!E:E,"X")&gt;0,4%,0)</f>
        <v>0</v>
      </c>
      <c r="J2757" s="31">
        <f>IF(COUNTIFS(Addendum!C:C,A2757,Addendum!D:D,IF(ISNUMBER(B2757),TEXT(B2757,"0000"),B2757),Addendum!F:F,"X")&gt;0,2.5%,0)</f>
        <v>0</v>
      </c>
      <c r="K2757" s="31">
        <f>IF(COUNTIFS(Addendum!C:C,A2757,Addendum!D:D,IF(ISNUMBER(B2757),TEXT(B2757,"0000"),B2757),Addendum!G:G,"X")&gt;0,7%,0)</f>
        <v>0</v>
      </c>
      <c r="L2757" s="31">
        <f>IF(COUNTIFS(Addendum!C:C,A2757,Addendum!D:D,IF(ISNUMBER(B2757),TEXT(B2757,"0000"),B2757),Addendum!I:I,"X")&gt;0,10%,0)</f>
        <v>0</v>
      </c>
      <c r="M2757" s="34">
        <f t="shared" si="86"/>
        <v>0</v>
      </c>
      <c r="N2757" s="17">
        <f t="shared" si="87"/>
        <v>6816</v>
      </c>
    </row>
    <row r="2758" spans="1:14" x14ac:dyDescent="0.25">
      <c r="A2758" s="14" t="s">
        <v>2558</v>
      </c>
      <c r="B2758" s="14">
        <v>9</v>
      </c>
      <c r="C2758" s="15" t="s">
        <v>2560</v>
      </c>
      <c r="D2758" s="14" t="s">
        <v>1749</v>
      </c>
      <c r="E2758" s="14" t="s">
        <v>1746</v>
      </c>
      <c r="F2758" s="17" t="s">
        <v>2993</v>
      </c>
      <c r="G2758" s="14">
        <v>852</v>
      </c>
      <c r="H2758" s="14">
        <v>681.6</v>
      </c>
      <c r="I2758" s="31">
        <f>IF(COUNTIFS(Addendum!C:C,A2758,Addendum!D:D,IF(ISNUMBER(B2758),TEXT(B2758,"0000"),B2758),Addendum!E:E,"X")&gt;0,4%,0)</f>
        <v>0</v>
      </c>
      <c r="J2758" s="31">
        <f>IF(COUNTIFS(Addendum!C:C,A2758,Addendum!D:D,IF(ISNUMBER(B2758),TEXT(B2758,"0000"),B2758),Addendum!F:F,"X")&gt;0,2.5%,0)</f>
        <v>0</v>
      </c>
      <c r="K2758" s="31">
        <f>IF(COUNTIFS(Addendum!C:C,A2758,Addendum!D:D,IF(ISNUMBER(B2758),TEXT(B2758,"0000"),B2758),Addendum!G:G,"X")&gt;0,7%,0)</f>
        <v>0</v>
      </c>
      <c r="L2758" s="31">
        <f>IF(COUNTIFS(Addendum!C:C,A2758,Addendum!D:D,IF(ISNUMBER(B2758),TEXT(B2758,"0000"),B2758),Addendum!I:I,"X")&gt;0,10%,0)</f>
        <v>0</v>
      </c>
      <c r="M2758" s="34">
        <f t="shared" si="86"/>
        <v>0</v>
      </c>
      <c r="N2758" s="17">
        <f t="shared" si="87"/>
        <v>681.6</v>
      </c>
    </row>
    <row r="2759" spans="1:14" x14ac:dyDescent="0.25">
      <c r="A2759" s="14" t="s">
        <v>2558</v>
      </c>
      <c r="B2759" s="14" t="s">
        <v>46</v>
      </c>
      <c r="C2759" s="15" t="s">
        <v>2562</v>
      </c>
      <c r="D2759" s="14" t="s">
        <v>1752</v>
      </c>
      <c r="E2759" s="14" t="s">
        <v>1747</v>
      </c>
      <c r="F2759" s="17" t="s">
        <v>2993</v>
      </c>
      <c r="G2759" s="14">
        <v>25560</v>
      </c>
      <c r="H2759" s="14">
        <v>20448</v>
      </c>
      <c r="I2759" s="31">
        <f>IF(COUNTIFS(Addendum!C:C,A2759,Addendum!D:D,IF(ISNUMBER(B2759),TEXT(B2759,"0000"),B2759),Addendum!E:E,"X")&gt;0,4%,0)</f>
        <v>0</v>
      </c>
      <c r="J2759" s="31">
        <f>IF(COUNTIFS(Addendum!C:C,A2759,Addendum!D:D,IF(ISNUMBER(B2759),TEXT(B2759,"0000"),B2759),Addendum!F:F,"X")&gt;0,2.5%,0)</f>
        <v>0</v>
      </c>
      <c r="K2759" s="31">
        <f>IF(COUNTIFS(Addendum!C:C,A2759,Addendum!D:D,IF(ISNUMBER(B2759),TEXT(B2759,"0000"),B2759),Addendum!G:G,"X")&gt;0,7%,0)</f>
        <v>0</v>
      </c>
      <c r="L2759" s="31">
        <f>IF(COUNTIFS(Addendum!C:C,A2759,Addendum!D:D,IF(ISNUMBER(B2759),TEXT(B2759,"0000"),B2759),Addendum!I:I,"X")&gt;0,10%,0)</f>
        <v>0</v>
      </c>
      <c r="M2759" s="34">
        <f t="shared" si="86"/>
        <v>0</v>
      </c>
      <c r="N2759" s="17">
        <f t="shared" si="87"/>
        <v>20448</v>
      </c>
    </row>
    <row r="2760" spans="1:14" x14ac:dyDescent="0.25">
      <c r="A2760" s="14" t="s">
        <v>2558</v>
      </c>
      <c r="B2760" s="14" t="s">
        <v>46</v>
      </c>
      <c r="C2760" s="15" t="s">
        <v>2562</v>
      </c>
      <c r="D2760" s="14" t="s">
        <v>1752</v>
      </c>
      <c r="E2760" s="14" t="s">
        <v>1753</v>
      </c>
      <c r="F2760" s="17" t="s">
        <v>2993</v>
      </c>
      <c r="G2760" s="14">
        <v>25560</v>
      </c>
      <c r="H2760" s="14">
        <v>20448</v>
      </c>
      <c r="I2760" s="31">
        <f>IF(COUNTIFS(Addendum!C:C,A2760,Addendum!D:D,IF(ISNUMBER(B2760),TEXT(B2760,"0000"),B2760),Addendum!E:E,"X")&gt;0,4%,0)</f>
        <v>0</v>
      </c>
      <c r="J2760" s="31">
        <f>IF(COUNTIFS(Addendum!C:C,A2760,Addendum!D:D,IF(ISNUMBER(B2760),TEXT(B2760,"0000"),B2760),Addendum!F:F,"X")&gt;0,2.5%,0)</f>
        <v>0</v>
      </c>
      <c r="K2760" s="31">
        <f>IF(COUNTIFS(Addendum!C:C,A2760,Addendum!D:D,IF(ISNUMBER(B2760),TEXT(B2760,"0000"),B2760),Addendum!G:G,"X")&gt;0,7%,0)</f>
        <v>0</v>
      </c>
      <c r="L2760" s="31">
        <f>IF(COUNTIFS(Addendum!C:C,A2760,Addendum!D:D,IF(ISNUMBER(B2760),TEXT(B2760,"0000"),B2760),Addendum!I:I,"X")&gt;0,10%,0)</f>
        <v>0</v>
      </c>
      <c r="M2760" s="34">
        <f t="shared" si="86"/>
        <v>0</v>
      </c>
      <c r="N2760" s="17">
        <f t="shared" si="87"/>
        <v>20448</v>
      </c>
    </row>
    <row r="2761" spans="1:14" x14ac:dyDescent="0.25">
      <c r="A2761" s="14" t="s">
        <v>2558</v>
      </c>
      <c r="B2761" s="14" t="s">
        <v>16</v>
      </c>
      <c r="C2761" s="15" t="s">
        <v>2560</v>
      </c>
      <c r="D2761" s="14" t="s">
        <v>1749</v>
      </c>
      <c r="E2761" s="14" t="s">
        <v>1766</v>
      </c>
      <c r="F2761" s="17" t="s">
        <v>2993</v>
      </c>
      <c r="G2761" s="14">
        <v>0</v>
      </c>
      <c r="H2761" s="14">
        <v>0</v>
      </c>
      <c r="I2761" s="31">
        <f>IF(COUNTIFS(Addendum!C:C,A2761,Addendum!D:D,IF(ISNUMBER(B2761),TEXT(B2761,"0000"),B2761),Addendum!E:E,"X")&gt;0,4%,0)</f>
        <v>0</v>
      </c>
      <c r="J2761" s="31">
        <f>IF(COUNTIFS(Addendum!C:C,A2761,Addendum!D:D,IF(ISNUMBER(B2761),TEXT(B2761,"0000"),B2761),Addendum!F:F,"X")&gt;0,2.5%,0)</f>
        <v>0</v>
      </c>
      <c r="K2761" s="31">
        <f>IF(COUNTIFS(Addendum!C:C,A2761,Addendum!D:D,IF(ISNUMBER(B2761),TEXT(B2761,"0000"),B2761),Addendum!G:G,"X")&gt;0,7%,0)</f>
        <v>0</v>
      </c>
      <c r="L2761" s="31">
        <f>IF(COUNTIFS(Addendum!C:C,A2761,Addendum!D:D,IF(ISNUMBER(B2761),TEXT(B2761,"0000"),B2761),Addendum!I:I,"X")&gt;0,10%,0)</f>
        <v>0</v>
      </c>
      <c r="M2761" s="34">
        <f t="shared" si="86"/>
        <v>0</v>
      </c>
      <c r="N2761" s="17">
        <f t="shared" si="87"/>
        <v>0</v>
      </c>
    </row>
    <row r="2762" spans="1:14" x14ac:dyDescent="0.25">
      <c r="A2762" s="14" t="s">
        <v>2558</v>
      </c>
      <c r="B2762" s="14" t="s">
        <v>55</v>
      </c>
      <c r="C2762" s="15" t="s">
        <v>2559</v>
      </c>
      <c r="D2762" s="14" t="s">
        <v>1745</v>
      </c>
      <c r="E2762" s="14" t="s">
        <v>1746</v>
      </c>
      <c r="F2762" s="17" t="s">
        <v>2993</v>
      </c>
      <c r="G2762" s="14">
        <v>8946</v>
      </c>
      <c r="H2762" s="14">
        <v>7156.8</v>
      </c>
      <c r="I2762" s="31">
        <f>IF(COUNTIFS(Addendum!C:C,A2762,Addendum!D:D,IF(ISNUMBER(B2762),TEXT(B2762,"0000"),B2762),Addendum!E:E,"X")&gt;0,4%,0)</f>
        <v>0</v>
      </c>
      <c r="J2762" s="31">
        <f>IF(COUNTIFS(Addendum!C:C,A2762,Addendum!D:D,IF(ISNUMBER(B2762),TEXT(B2762,"0000"),B2762),Addendum!F:F,"X")&gt;0,2.5%,0)</f>
        <v>0</v>
      </c>
      <c r="K2762" s="31">
        <f>IF(COUNTIFS(Addendum!C:C,A2762,Addendum!D:D,IF(ISNUMBER(B2762),TEXT(B2762,"0000"),B2762),Addendum!G:G,"X")&gt;0,7%,0)</f>
        <v>0</v>
      </c>
      <c r="L2762" s="31">
        <f>IF(COUNTIFS(Addendum!C:C,A2762,Addendum!D:D,IF(ISNUMBER(B2762),TEXT(B2762,"0000"),B2762),Addendum!I:I,"X")&gt;0,10%,0)</f>
        <v>0</v>
      </c>
      <c r="M2762" s="34">
        <f t="shared" si="86"/>
        <v>0</v>
      </c>
      <c r="N2762" s="17">
        <f t="shared" si="87"/>
        <v>7156.8</v>
      </c>
    </row>
    <row r="2763" spans="1:14" x14ac:dyDescent="0.25">
      <c r="A2763" s="14" t="s">
        <v>2558</v>
      </c>
      <c r="B2763" s="14" t="s">
        <v>39</v>
      </c>
      <c r="C2763" s="15" t="s">
        <v>2561</v>
      </c>
      <c r="D2763" s="14" t="s">
        <v>1752</v>
      </c>
      <c r="E2763" s="14" t="s">
        <v>1753</v>
      </c>
      <c r="F2763" s="17" t="s">
        <v>2993</v>
      </c>
      <c r="G2763" s="14">
        <v>25560</v>
      </c>
      <c r="H2763" s="14">
        <v>20448</v>
      </c>
      <c r="I2763" s="31">
        <f>IF(COUNTIFS(Addendum!C:C,A2763,Addendum!D:D,IF(ISNUMBER(B2763),TEXT(B2763,"0000"),B2763),Addendum!E:E,"X")&gt;0,4%,0)</f>
        <v>0</v>
      </c>
      <c r="J2763" s="31">
        <f>IF(COUNTIFS(Addendum!C:C,A2763,Addendum!D:D,IF(ISNUMBER(B2763),TEXT(B2763,"0000"),B2763),Addendum!F:F,"X")&gt;0,2.5%,0)</f>
        <v>0</v>
      </c>
      <c r="K2763" s="31">
        <f>IF(COUNTIFS(Addendum!C:C,A2763,Addendum!D:D,IF(ISNUMBER(B2763),TEXT(B2763,"0000"),B2763),Addendum!G:G,"X")&gt;0,7%,0)</f>
        <v>0</v>
      </c>
      <c r="L2763" s="31">
        <f>IF(COUNTIFS(Addendum!C:C,A2763,Addendum!D:D,IF(ISNUMBER(B2763),TEXT(B2763,"0000"),B2763),Addendum!I:I,"X")&gt;0,10%,0)</f>
        <v>0</v>
      </c>
      <c r="M2763" s="34">
        <f t="shared" si="86"/>
        <v>0</v>
      </c>
      <c r="N2763" s="17">
        <f t="shared" si="87"/>
        <v>20448</v>
      </c>
    </row>
    <row r="2764" spans="1:14" x14ac:dyDescent="0.25">
      <c r="A2764" s="14" t="s">
        <v>2563</v>
      </c>
      <c r="B2764" s="14">
        <v>2</v>
      </c>
      <c r="C2764" s="15" t="s">
        <v>2564</v>
      </c>
      <c r="D2764" s="14" t="s">
        <v>1745</v>
      </c>
      <c r="E2764" s="14" t="s">
        <v>1746</v>
      </c>
      <c r="F2764" s="17" t="s">
        <v>2993</v>
      </c>
      <c r="G2764" s="14">
        <v>1449</v>
      </c>
      <c r="H2764" s="14">
        <v>1159.2</v>
      </c>
      <c r="I2764" s="31">
        <f>IF(COUNTIFS(Addendum!C:C,A2764,Addendum!D:D,IF(ISNUMBER(B2764),TEXT(B2764,"0000"),B2764),Addendum!E:E,"X")&gt;0,4%,0)</f>
        <v>0</v>
      </c>
      <c r="J2764" s="31">
        <f>IF(COUNTIFS(Addendum!C:C,A2764,Addendum!D:D,IF(ISNUMBER(B2764),TEXT(B2764,"0000"),B2764),Addendum!F:F,"X")&gt;0,2.5%,0)</f>
        <v>0</v>
      </c>
      <c r="K2764" s="31">
        <f>IF(COUNTIFS(Addendum!C:C,A2764,Addendum!D:D,IF(ISNUMBER(B2764),TEXT(B2764,"0000"),B2764),Addendum!G:G,"X")&gt;0,7%,0)</f>
        <v>0</v>
      </c>
      <c r="L2764" s="31">
        <f>IF(COUNTIFS(Addendum!C:C,A2764,Addendum!D:D,IF(ISNUMBER(B2764),TEXT(B2764,"0000"),B2764),Addendum!I:I,"X")&gt;0,10%,0)</f>
        <v>0</v>
      </c>
      <c r="M2764" s="34">
        <f t="shared" si="86"/>
        <v>0</v>
      </c>
      <c r="N2764" s="17">
        <f t="shared" si="87"/>
        <v>1159.2</v>
      </c>
    </row>
    <row r="2765" spans="1:14" x14ac:dyDescent="0.25">
      <c r="A2765" s="14" t="s">
        <v>2563</v>
      </c>
      <c r="B2765" s="14">
        <v>2</v>
      </c>
      <c r="C2765" s="15" t="s">
        <v>2564</v>
      </c>
      <c r="D2765" s="14" t="s">
        <v>1749</v>
      </c>
      <c r="E2765" s="14" t="s">
        <v>1746</v>
      </c>
      <c r="F2765" s="17" t="s">
        <v>2993</v>
      </c>
      <c r="G2765" s="14">
        <v>138</v>
      </c>
      <c r="H2765" s="14">
        <v>110.4</v>
      </c>
      <c r="I2765" s="31">
        <f>IF(COUNTIFS(Addendum!C:C,A2765,Addendum!D:D,IF(ISNUMBER(B2765),TEXT(B2765,"0000"),B2765),Addendum!E:E,"X")&gt;0,4%,0)</f>
        <v>0</v>
      </c>
      <c r="J2765" s="31">
        <f>IF(COUNTIFS(Addendum!C:C,A2765,Addendum!D:D,IF(ISNUMBER(B2765),TEXT(B2765,"0000"),B2765),Addendum!F:F,"X")&gt;0,2.5%,0)</f>
        <v>0</v>
      </c>
      <c r="K2765" s="31">
        <f>IF(COUNTIFS(Addendum!C:C,A2765,Addendum!D:D,IF(ISNUMBER(B2765),TEXT(B2765,"0000"),B2765),Addendum!G:G,"X")&gt;0,7%,0)</f>
        <v>0</v>
      </c>
      <c r="L2765" s="31">
        <f>IF(COUNTIFS(Addendum!C:C,A2765,Addendum!D:D,IF(ISNUMBER(B2765),TEXT(B2765,"0000"),B2765),Addendum!I:I,"X")&gt;0,10%,0)</f>
        <v>0</v>
      </c>
      <c r="M2765" s="34">
        <f t="shared" si="86"/>
        <v>0</v>
      </c>
      <c r="N2765" s="17">
        <f t="shared" si="87"/>
        <v>110.4</v>
      </c>
    </row>
    <row r="2766" spans="1:14" x14ac:dyDescent="0.25">
      <c r="A2766" s="14" t="s">
        <v>2563</v>
      </c>
      <c r="B2766" s="14">
        <v>2</v>
      </c>
      <c r="C2766" s="15" t="s">
        <v>2564</v>
      </c>
      <c r="D2766" s="14" t="s">
        <v>1745</v>
      </c>
      <c r="E2766" s="14" t="s">
        <v>1747</v>
      </c>
      <c r="F2766" s="17" t="s">
        <v>2993</v>
      </c>
      <c r="G2766" s="14">
        <v>1380</v>
      </c>
      <c r="H2766" s="14">
        <v>1104</v>
      </c>
      <c r="I2766" s="31">
        <f>IF(COUNTIFS(Addendum!C:C,A2766,Addendum!D:D,IF(ISNUMBER(B2766),TEXT(B2766,"0000"),B2766),Addendum!E:E,"X")&gt;0,4%,0)</f>
        <v>0</v>
      </c>
      <c r="J2766" s="31">
        <f>IF(COUNTIFS(Addendum!C:C,A2766,Addendum!D:D,IF(ISNUMBER(B2766),TEXT(B2766,"0000"),B2766),Addendum!F:F,"X")&gt;0,2.5%,0)</f>
        <v>0</v>
      </c>
      <c r="K2766" s="31">
        <f>IF(COUNTIFS(Addendum!C:C,A2766,Addendum!D:D,IF(ISNUMBER(B2766),TEXT(B2766,"0000"),B2766),Addendum!G:G,"X")&gt;0,7%,0)</f>
        <v>0</v>
      </c>
      <c r="L2766" s="31">
        <f>IF(COUNTIFS(Addendum!C:C,A2766,Addendum!D:D,IF(ISNUMBER(B2766),TEXT(B2766,"0000"),B2766),Addendum!I:I,"X")&gt;0,10%,0)</f>
        <v>0</v>
      </c>
      <c r="M2766" s="34">
        <f t="shared" si="86"/>
        <v>0</v>
      </c>
      <c r="N2766" s="17">
        <f t="shared" si="87"/>
        <v>1104</v>
      </c>
    </row>
    <row r="2767" spans="1:14" x14ac:dyDescent="0.25">
      <c r="A2767" s="14" t="s">
        <v>2563</v>
      </c>
      <c r="B2767" s="14">
        <v>1</v>
      </c>
      <c r="C2767" s="15" t="s">
        <v>2564</v>
      </c>
      <c r="D2767" s="14" t="s">
        <v>1749</v>
      </c>
      <c r="E2767" s="14" t="s">
        <v>1766</v>
      </c>
      <c r="F2767" s="17" t="s">
        <v>2993</v>
      </c>
      <c r="G2767" s="14">
        <v>0</v>
      </c>
      <c r="H2767" s="14">
        <v>0</v>
      </c>
      <c r="I2767" s="31">
        <f>IF(COUNTIFS(Addendum!C:C,A2767,Addendum!D:D,IF(ISNUMBER(B2767),TEXT(B2767,"0000"),B2767),Addendum!E:E,"X")&gt;0,4%,0)</f>
        <v>0</v>
      </c>
      <c r="J2767" s="31">
        <f>IF(COUNTIFS(Addendum!C:C,A2767,Addendum!D:D,IF(ISNUMBER(B2767),TEXT(B2767,"0000"),B2767),Addendum!F:F,"X")&gt;0,2.5%,0)</f>
        <v>0</v>
      </c>
      <c r="K2767" s="31">
        <f>IF(COUNTIFS(Addendum!C:C,A2767,Addendum!D:D,IF(ISNUMBER(B2767),TEXT(B2767,"0000"),B2767),Addendum!G:G,"X")&gt;0,7%,0)</f>
        <v>0</v>
      </c>
      <c r="L2767" s="31">
        <f>IF(COUNTIFS(Addendum!C:C,A2767,Addendum!D:D,IF(ISNUMBER(B2767),TEXT(B2767,"0000"),B2767),Addendum!I:I,"X")&gt;0,10%,0)</f>
        <v>0</v>
      </c>
      <c r="M2767" s="34">
        <f t="shared" si="86"/>
        <v>0</v>
      </c>
      <c r="N2767" s="17">
        <f t="shared" si="87"/>
        <v>0</v>
      </c>
    </row>
    <row r="2768" spans="1:14" x14ac:dyDescent="0.25">
      <c r="A2768" s="14" t="s">
        <v>2565</v>
      </c>
      <c r="B2768" s="14">
        <v>1</v>
      </c>
      <c r="C2768" s="15" t="s">
        <v>2566</v>
      </c>
      <c r="D2768" s="14" t="s">
        <v>1749</v>
      </c>
      <c r="E2768" s="14" t="s">
        <v>1746</v>
      </c>
      <c r="F2768" s="17" t="s">
        <v>2993</v>
      </c>
      <c r="G2768" s="14">
        <v>1998</v>
      </c>
      <c r="H2768" s="14">
        <v>1598.4</v>
      </c>
      <c r="I2768" s="31">
        <f>IF(COUNTIFS(Addendum!C:C,A2768,Addendum!D:D,IF(ISNUMBER(B2768),TEXT(B2768,"0000"),B2768),Addendum!E:E,"X")&gt;0,4%,0)</f>
        <v>0</v>
      </c>
      <c r="J2768" s="31">
        <f>IF(COUNTIFS(Addendum!C:C,A2768,Addendum!D:D,IF(ISNUMBER(B2768),TEXT(B2768,"0000"),B2768),Addendum!F:F,"X")&gt;0,2.5%,0)</f>
        <v>0</v>
      </c>
      <c r="K2768" s="31">
        <f>IF(COUNTIFS(Addendum!C:C,A2768,Addendum!D:D,IF(ISNUMBER(B2768),TEXT(B2768,"0000"),B2768),Addendum!G:G,"X")&gt;0,7%,0)</f>
        <v>0</v>
      </c>
      <c r="L2768" s="31">
        <f>IF(COUNTIFS(Addendum!C:C,A2768,Addendum!D:D,IF(ISNUMBER(B2768),TEXT(B2768,"0000"),B2768),Addendum!I:I,"X")&gt;0,10%,0)</f>
        <v>0</v>
      </c>
      <c r="M2768" s="34">
        <f t="shared" si="86"/>
        <v>0</v>
      </c>
      <c r="N2768" s="17">
        <f t="shared" si="87"/>
        <v>1598.4</v>
      </c>
    </row>
    <row r="2769" spans="1:14" x14ac:dyDescent="0.25">
      <c r="A2769" s="14" t="s">
        <v>2565</v>
      </c>
      <c r="B2769" s="14">
        <v>1</v>
      </c>
      <c r="C2769" s="15" t="s">
        <v>2566</v>
      </c>
      <c r="D2769" s="14" t="s">
        <v>1745</v>
      </c>
      <c r="E2769" s="14" t="s">
        <v>1746</v>
      </c>
      <c r="F2769" s="17" t="s">
        <v>2993</v>
      </c>
      <c r="G2769" s="14">
        <v>20979</v>
      </c>
      <c r="H2769" s="14">
        <v>16783.2</v>
      </c>
      <c r="I2769" s="31">
        <f>IF(COUNTIFS(Addendum!C:C,A2769,Addendum!D:D,IF(ISNUMBER(B2769),TEXT(B2769,"0000"),B2769),Addendum!E:E,"X")&gt;0,4%,0)</f>
        <v>0</v>
      </c>
      <c r="J2769" s="31">
        <f>IF(COUNTIFS(Addendum!C:C,A2769,Addendum!D:D,IF(ISNUMBER(B2769),TEXT(B2769,"0000"),B2769),Addendum!F:F,"X")&gt;0,2.5%,0)</f>
        <v>0</v>
      </c>
      <c r="K2769" s="31">
        <f>IF(COUNTIFS(Addendum!C:C,A2769,Addendum!D:D,IF(ISNUMBER(B2769),TEXT(B2769,"0000"),B2769),Addendum!G:G,"X")&gt;0,7%,0)</f>
        <v>0</v>
      </c>
      <c r="L2769" s="31">
        <f>IF(COUNTIFS(Addendum!C:C,A2769,Addendum!D:D,IF(ISNUMBER(B2769),TEXT(B2769,"0000"),B2769),Addendum!I:I,"X")&gt;0,10%,0)</f>
        <v>0</v>
      </c>
      <c r="M2769" s="34">
        <f t="shared" si="86"/>
        <v>0</v>
      </c>
      <c r="N2769" s="17">
        <f t="shared" si="87"/>
        <v>16783.2</v>
      </c>
    </row>
    <row r="2770" spans="1:14" x14ac:dyDescent="0.25">
      <c r="A2770" s="14" t="s">
        <v>2565</v>
      </c>
      <c r="B2770" s="14">
        <v>1</v>
      </c>
      <c r="C2770" s="15" t="s">
        <v>2566</v>
      </c>
      <c r="D2770" s="14" t="s">
        <v>1745</v>
      </c>
      <c r="E2770" s="14" t="s">
        <v>1747</v>
      </c>
      <c r="F2770" s="17" t="s">
        <v>2993</v>
      </c>
      <c r="G2770" s="14">
        <v>19980</v>
      </c>
      <c r="H2770" s="14">
        <v>15984</v>
      </c>
      <c r="I2770" s="31">
        <f>IF(COUNTIFS(Addendum!C:C,A2770,Addendum!D:D,IF(ISNUMBER(B2770),TEXT(B2770,"0000"),B2770),Addendum!E:E,"X")&gt;0,4%,0)</f>
        <v>0</v>
      </c>
      <c r="J2770" s="31">
        <f>IF(COUNTIFS(Addendum!C:C,A2770,Addendum!D:D,IF(ISNUMBER(B2770),TEXT(B2770,"0000"),B2770),Addendum!F:F,"X")&gt;0,2.5%,0)</f>
        <v>0</v>
      </c>
      <c r="K2770" s="31">
        <f>IF(COUNTIFS(Addendum!C:C,A2770,Addendum!D:D,IF(ISNUMBER(B2770),TEXT(B2770,"0000"),B2770),Addendum!G:G,"X")&gt;0,7%,0)</f>
        <v>0</v>
      </c>
      <c r="L2770" s="31">
        <f>IF(COUNTIFS(Addendum!C:C,A2770,Addendum!D:D,IF(ISNUMBER(B2770),TEXT(B2770,"0000"),B2770),Addendum!I:I,"X")&gt;0,10%,0)</f>
        <v>0</v>
      </c>
      <c r="M2770" s="34">
        <f t="shared" si="86"/>
        <v>0</v>
      </c>
      <c r="N2770" s="17">
        <f t="shared" si="87"/>
        <v>15984</v>
      </c>
    </row>
    <row r="2771" spans="1:14" x14ac:dyDescent="0.25">
      <c r="A2771" s="14" t="s">
        <v>2567</v>
      </c>
      <c r="B2771" s="14">
        <v>1</v>
      </c>
      <c r="C2771" s="15" t="s">
        <v>2568</v>
      </c>
      <c r="D2771" s="14" t="s">
        <v>1745</v>
      </c>
      <c r="E2771" s="14" t="s">
        <v>1746</v>
      </c>
      <c r="F2771" s="17" t="s">
        <v>2993</v>
      </c>
      <c r="G2771" s="14">
        <v>15750</v>
      </c>
      <c r="H2771" s="14">
        <v>12600</v>
      </c>
      <c r="I2771" s="31">
        <f>IF(COUNTIFS(Addendum!C:C,A2771,Addendum!D:D,IF(ISNUMBER(B2771),TEXT(B2771,"0000"),B2771),Addendum!E:E,"X")&gt;0,4%,0)</f>
        <v>0</v>
      </c>
      <c r="J2771" s="31">
        <f>IF(COUNTIFS(Addendum!C:C,A2771,Addendum!D:D,IF(ISNUMBER(B2771),TEXT(B2771,"0000"),B2771),Addendum!F:F,"X")&gt;0,2.5%,0)</f>
        <v>0</v>
      </c>
      <c r="K2771" s="31">
        <f>IF(COUNTIFS(Addendum!C:C,A2771,Addendum!D:D,IF(ISNUMBER(B2771),TEXT(B2771,"0000"),B2771),Addendum!G:G,"X")&gt;0,7%,0)</f>
        <v>0</v>
      </c>
      <c r="L2771" s="31">
        <f>IF(COUNTIFS(Addendum!C:C,A2771,Addendum!D:D,IF(ISNUMBER(B2771),TEXT(B2771,"0000"),B2771),Addendum!I:I,"X")&gt;0,10%,0)</f>
        <v>0</v>
      </c>
      <c r="M2771" s="34">
        <f t="shared" si="86"/>
        <v>0</v>
      </c>
      <c r="N2771" s="17">
        <f t="shared" si="87"/>
        <v>12600</v>
      </c>
    </row>
    <row r="2772" spans="1:14" x14ac:dyDescent="0.25">
      <c r="A2772" s="14" t="s">
        <v>2567</v>
      </c>
      <c r="B2772" s="14">
        <v>1</v>
      </c>
      <c r="C2772" s="15" t="s">
        <v>2568</v>
      </c>
      <c r="D2772" s="14" t="s">
        <v>1745</v>
      </c>
      <c r="E2772" s="14" t="s">
        <v>1747</v>
      </c>
      <c r="F2772" s="17" t="s">
        <v>2993</v>
      </c>
      <c r="G2772" s="14">
        <v>15000</v>
      </c>
      <c r="H2772" s="14">
        <v>12000</v>
      </c>
      <c r="I2772" s="31">
        <f>IF(COUNTIFS(Addendum!C:C,A2772,Addendum!D:D,IF(ISNUMBER(B2772),TEXT(B2772,"0000"),B2772),Addendum!E:E,"X")&gt;0,4%,0)</f>
        <v>0</v>
      </c>
      <c r="J2772" s="31">
        <f>IF(COUNTIFS(Addendum!C:C,A2772,Addendum!D:D,IF(ISNUMBER(B2772),TEXT(B2772,"0000"),B2772),Addendum!F:F,"X")&gt;0,2.5%,0)</f>
        <v>0</v>
      </c>
      <c r="K2772" s="31">
        <f>IF(COUNTIFS(Addendum!C:C,A2772,Addendum!D:D,IF(ISNUMBER(B2772),TEXT(B2772,"0000"),B2772),Addendum!G:G,"X")&gt;0,7%,0)</f>
        <v>0</v>
      </c>
      <c r="L2772" s="31">
        <f>IF(COUNTIFS(Addendum!C:C,A2772,Addendum!D:D,IF(ISNUMBER(B2772),TEXT(B2772,"0000"),B2772),Addendum!I:I,"X")&gt;0,10%,0)</f>
        <v>0</v>
      </c>
      <c r="M2772" s="34">
        <f t="shared" si="86"/>
        <v>0</v>
      </c>
      <c r="N2772" s="17">
        <f t="shared" si="87"/>
        <v>12000</v>
      </c>
    </row>
    <row r="2773" spans="1:14" x14ac:dyDescent="0.25">
      <c r="A2773" s="14" t="s">
        <v>2569</v>
      </c>
      <c r="B2773" s="14">
        <v>5</v>
      </c>
      <c r="C2773" s="15" t="s">
        <v>2570</v>
      </c>
      <c r="D2773" s="14" t="s">
        <v>1745</v>
      </c>
      <c r="E2773" s="14" t="s">
        <v>1746</v>
      </c>
      <c r="F2773" s="17" t="s">
        <v>2993</v>
      </c>
      <c r="G2773" s="14">
        <v>12600</v>
      </c>
      <c r="H2773" s="14">
        <v>10080</v>
      </c>
      <c r="I2773" s="31">
        <f>IF(COUNTIFS(Addendum!C:C,A2773,Addendum!D:D,IF(ISNUMBER(B2773),TEXT(B2773,"0000"),B2773),Addendum!E:E,"X")&gt;0,4%,0)</f>
        <v>0</v>
      </c>
      <c r="J2773" s="31">
        <f>IF(COUNTIFS(Addendum!C:C,A2773,Addendum!D:D,IF(ISNUMBER(B2773),TEXT(B2773,"0000"),B2773),Addendum!F:F,"X")&gt;0,2.5%,0)</f>
        <v>0</v>
      </c>
      <c r="K2773" s="31">
        <f>IF(COUNTIFS(Addendum!C:C,A2773,Addendum!D:D,IF(ISNUMBER(B2773),TEXT(B2773,"0000"),B2773),Addendum!G:G,"X")&gt;0,7%,0)</f>
        <v>0</v>
      </c>
      <c r="L2773" s="31">
        <f>IF(COUNTIFS(Addendum!C:C,A2773,Addendum!D:D,IF(ISNUMBER(B2773),TEXT(B2773,"0000"),B2773),Addendum!I:I,"X")&gt;0,10%,0)</f>
        <v>0</v>
      </c>
      <c r="M2773" s="34">
        <f t="shared" si="86"/>
        <v>0</v>
      </c>
      <c r="N2773" s="17">
        <f t="shared" si="87"/>
        <v>10080</v>
      </c>
    </row>
    <row r="2774" spans="1:14" x14ac:dyDescent="0.25">
      <c r="A2774" s="14" t="s">
        <v>2569</v>
      </c>
      <c r="B2774" s="14">
        <v>5</v>
      </c>
      <c r="C2774" s="15" t="s">
        <v>2570</v>
      </c>
      <c r="D2774" s="14" t="s">
        <v>1749</v>
      </c>
      <c r="E2774" s="14" t="s">
        <v>1746</v>
      </c>
      <c r="F2774" s="17" t="s">
        <v>2993</v>
      </c>
      <c r="G2774" s="14">
        <v>1200</v>
      </c>
      <c r="H2774" s="14">
        <v>960</v>
      </c>
      <c r="I2774" s="31">
        <f>IF(COUNTIFS(Addendum!C:C,A2774,Addendum!D:D,IF(ISNUMBER(B2774),TEXT(B2774,"0000"),B2774),Addendum!E:E,"X")&gt;0,4%,0)</f>
        <v>0</v>
      </c>
      <c r="J2774" s="31">
        <f>IF(COUNTIFS(Addendum!C:C,A2774,Addendum!D:D,IF(ISNUMBER(B2774),TEXT(B2774,"0000"),B2774),Addendum!F:F,"X")&gt;0,2.5%,0)</f>
        <v>0</v>
      </c>
      <c r="K2774" s="31">
        <f>IF(COUNTIFS(Addendum!C:C,A2774,Addendum!D:D,IF(ISNUMBER(B2774),TEXT(B2774,"0000"),B2774),Addendum!G:G,"X")&gt;0,7%,0)</f>
        <v>0</v>
      </c>
      <c r="L2774" s="31">
        <f>IF(COUNTIFS(Addendum!C:C,A2774,Addendum!D:D,IF(ISNUMBER(B2774),TEXT(B2774,"0000"),B2774),Addendum!I:I,"X")&gt;0,10%,0)</f>
        <v>0</v>
      </c>
      <c r="M2774" s="34">
        <f t="shared" si="86"/>
        <v>0</v>
      </c>
      <c r="N2774" s="17">
        <f t="shared" si="87"/>
        <v>960</v>
      </c>
    </row>
    <row r="2775" spans="1:14" x14ac:dyDescent="0.25">
      <c r="A2775" s="14" t="s">
        <v>2569</v>
      </c>
      <c r="B2775" s="14">
        <v>5</v>
      </c>
      <c r="C2775" s="15" t="s">
        <v>2570</v>
      </c>
      <c r="D2775" s="14" t="s">
        <v>1745</v>
      </c>
      <c r="E2775" s="14" t="s">
        <v>1747</v>
      </c>
      <c r="F2775" s="17" t="s">
        <v>2993</v>
      </c>
      <c r="G2775" s="14">
        <v>12000</v>
      </c>
      <c r="H2775" s="14">
        <v>9600</v>
      </c>
      <c r="I2775" s="31">
        <f>IF(COUNTIFS(Addendum!C:C,A2775,Addendum!D:D,IF(ISNUMBER(B2775),TEXT(B2775,"0000"),B2775),Addendum!E:E,"X")&gt;0,4%,0)</f>
        <v>0</v>
      </c>
      <c r="J2775" s="31">
        <f>IF(COUNTIFS(Addendum!C:C,A2775,Addendum!D:D,IF(ISNUMBER(B2775),TEXT(B2775,"0000"),B2775),Addendum!F:F,"X")&gt;0,2.5%,0)</f>
        <v>0</v>
      </c>
      <c r="K2775" s="31">
        <f>IF(COUNTIFS(Addendum!C:C,A2775,Addendum!D:D,IF(ISNUMBER(B2775),TEXT(B2775,"0000"),B2775),Addendum!G:G,"X")&gt;0,7%,0)</f>
        <v>0</v>
      </c>
      <c r="L2775" s="31">
        <f>IF(COUNTIFS(Addendum!C:C,A2775,Addendum!D:D,IF(ISNUMBER(B2775),TEXT(B2775,"0000"),B2775),Addendum!I:I,"X")&gt;0,10%,0)</f>
        <v>0</v>
      </c>
      <c r="M2775" s="34">
        <f t="shared" si="86"/>
        <v>0</v>
      </c>
      <c r="N2775" s="17">
        <f t="shared" si="87"/>
        <v>9600</v>
      </c>
    </row>
    <row r="2776" spans="1:14" x14ac:dyDescent="0.25">
      <c r="A2776" s="14" t="s">
        <v>739</v>
      </c>
      <c r="B2776" s="14" t="s">
        <v>73</v>
      </c>
      <c r="C2776" s="15" t="s">
        <v>2571</v>
      </c>
      <c r="D2776" s="14" t="s">
        <v>1745</v>
      </c>
      <c r="E2776" s="14" t="s">
        <v>1746</v>
      </c>
      <c r="F2776" s="17" t="s">
        <v>2994</v>
      </c>
      <c r="G2776" s="14">
        <v>0</v>
      </c>
      <c r="H2776" s="14">
        <v>0</v>
      </c>
      <c r="I2776" s="31">
        <f>IF(COUNTIFS(Addendum!C:C,A2776,Addendum!D:D,IF(ISNUMBER(B2776),TEXT(B2776,"0000"),B2776),Addendum!E:E,"X")&gt;0,4%,0)</f>
        <v>0.04</v>
      </c>
      <c r="J2776" s="31">
        <f>IF(COUNTIFS(Addendum!C:C,A2776,Addendum!D:D,IF(ISNUMBER(B2776),TEXT(B2776,"0000"),B2776),Addendum!F:F,"X")&gt;0,2.5%,0)</f>
        <v>0</v>
      </c>
      <c r="K2776" s="31">
        <f>IF(COUNTIFS(Addendum!C:C,A2776,Addendum!D:D,IF(ISNUMBER(B2776),TEXT(B2776,"0000"),B2776),Addendum!G:G,"X")&gt;0,7%,0)</f>
        <v>0</v>
      </c>
      <c r="L2776" s="31">
        <f>IF(COUNTIFS(Addendum!C:C,A2776,Addendum!D:D,IF(ISNUMBER(B2776),TEXT(B2776,"0000"),B2776),Addendum!I:I,"X")&gt;0,10%,0)</f>
        <v>0</v>
      </c>
      <c r="M2776" s="34">
        <f t="shared" si="86"/>
        <v>0.01</v>
      </c>
      <c r="N2776" s="17">
        <f t="shared" si="87"/>
        <v>0</v>
      </c>
    </row>
    <row r="2777" spans="1:14" x14ac:dyDescent="0.25">
      <c r="A2777" s="14" t="s">
        <v>739</v>
      </c>
      <c r="B2777" s="14">
        <v>1</v>
      </c>
      <c r="C2777" s="15" t="s">
        <v>2572</v>
      </c>
      <c r="D2777" s="14" t="s">
        <v>1745</v>
      </c>
      <c r="E2777" s="14" t="s">
        <v>1747</v>
      </c>
      <c r="F2777" s="17" t="s">
        <v>2993</v>
      </c>
      <c r="G2777" s="14">
        <v>0</v>
      </c>
      <c r="H2777" s="14">
        <v>0</v>
      </c>
      <c r="I2777" s="31">
        <f>IF(COUNTIFS(Addendum!C:C,A2777,Addendum!D:D,IF(ISNUMBER(B2777),TEXT(B2777,"0000"),B2777),Addendum!E:E,"X")&gt;0,4%,0)</f>
        <v>0.04</v>
      </c>
      <c r="J2777" s="31">
        <f>IF(COUNTIFS(Addendum!C:C,A2777,Addendum!D:D,IF(ISNUMBER(B2777),TEXT(B2777,"0000"),B2777),Addendum!F:F,"X")&gt;0,2.5%,0)</f>
        <v>0</v>
      </c>
      <c r="K2777" s="31">
        <f>IF(COUNTIFS(Addendum!C:C,A2777,Addendum!D:D,IF(ISNUMBER(B2777),TEXT(B2777,"0000"),B2777),Addendum!G:G,"X")&gt;0,7%,0)</f>
        <v>0</v>
      </c>
      <c r="L2777" s="31">
        <f>IF(COUNTIFS(Addendum!C:C,A2777,Addendum!D:D,IF(ISNUMBER(B2777),TEXT(B2777,"0000"),B2777),Addendum!I:I,"X")&gt;0,10%,0)</f>
        <v>0</v>
      </c>
      <c r="M2777" s="34">
        <f t="shared" si="86"/>
        <v>0.03</v>
      </c>
      <c r="N2777" s="17">
        <f t="shared" si="87"/>
        <v>0</v>
      </c>
    </row>
    <row r="2778" spans="1:14" x14ac:dyDescent="0.25">
      <c r="A2778" s="14" t="s">
        <v>739</v>
      </c>
      <c r="B2778" s="14" t="s">
        <v>73</v>
      </c>
      <c r="C2778" s="15" t="s">
        <v>2571</v>
      </c>
      <c r="D2778" s="14" t="s">
        <v>1749</v>
      </c>
      <c r="E2778" s="14" t="s">
        <v>1746</v>
      </c>
      <c r="F2778" s="17" t="s">
        <v>2994</v>
      </c>
      <c r="G2778" s="14">
        <v>0</v>
      </c>
      <c r="H2778" s="14">
        <v>0</v>
      </c>
      <c r="I2778" s="31">
        <f>IF(COUNTIFS(Addendum!C:C,A2778,Addendum!D:D,IF(ISNUMBER(B2778),TEXT(B2778,"0000"),B2778),Addendum!E:E,"X")&gt;0,4%,0)</f>
        <v>0.04</v>
      </c>
      <c r="J2778" s="31">
        <f>IF(COUNTIFS(Addendum!C:C,A2778,Addendum!D:D,IF(ISNUMBER(B2778),TEXT(B2778,"0000"),B2778),Addendum!F:F,"X")&gt;0,2.5%,0)</f>
        <v>0</v>
      </c>
      <c r="K2778" s="31">
        <f>IF(COUNTIFS(Addendum!C:C,A2778,Addendum!D:D,IF(ISNUMBER(B2778),TEXT(B2778,"0000"),B2778),Addendum!G:G,"X")&gt;0,7%,0)</f>
        <v>0</v>
      </c>
      <c r="L2778" s="31">
        <f>IF(COUNTIFS(Addendum!C:C,A2778,Addendum!D:D,IF(ISNUMBER(B2778),TEXT(B2778,"0000"),B2778),Addendum!I:I,"X")&gt;0,10%,0)</f>
        <v>0</v>
      </c>
      <c r="M2778" s="34">
        <f t="shared" si="86"/>
        <v>0.01</v>
      </c>
      <c r="N2778" s="17">
        <f t="shared" si="87"/>
        <v>0</v>
      </c>
    </row>
    <row r="2779" spans="1:14" x14ac:dyDescent="0.25">
      <c r="A2779" s="14" t="s">
        <v>739</v>
      </c>
      <c r="B2779" s="14" t="s">
        <v>73</v>
      </c>
      <c r="C2779" s="15" t="s">
        <v>2571</v>
      </c>
      <c r="D2779" s="14" t="s">
        <v>1745</v>
      </c>
      <c r="E2779" s="14" t="s">
        <v>1747</v>
      </c>
      <c r="F2779" s="17" t="s">
        <v>2994</v>
      </c>
      <c r="G2779" s="14">
        <v>0</v>
      </c>
      <c r="H2779" s="14">
        <v>0</v>
      </c>
      <c r="I2779" s="31">
        <f>IF(COUNTIFS(Addendum!C:C,A2779,Addendum!D:D,IF(ISNUMBER(B2779),TEXT(B2779,"0000"),B2779),Addendum!E:E,"X")&gt;0,4%,0)</f>
        <v>0.04</v>
      </c>
      <c r="J2779" s="31">
        <f>IF(COUNTIFS(Addendum!C:C,A2779,Addendum!D:D,IF(ISNUMBER(B2779),TEXT(B2779,"0000"),B2779),Addendum!F:F,"X")&gt;0,2.5%,0)</f>
        <v>0</v>
      </c>
      <c r="K2779" s="31">
        <f>IF(COUNTIFS(Addendum!C:C,A2779,Addendum!D:D,IF(ISNUMBER(B2779),TEXT(B2779,"0000"),B2779),Addendum!G:G,"X")&gt;0,7%,0)</f>
        <v>0</v>
      </c>
      <c r="L2779" s="31">
        <f>IF(COUNTIFS(Addendum!C:C,A2779,Addendum!D:D,IF(ISNUMBER(B2779),TEXT(B2779,"0000"),B2779),Addendum!I:I,"X")&gt;0,10%,0)</f>
        <v>0</v>
      </c>
      <c r="M2779" s="34">
        <f t="shared" si="86"/>
        <v>0.03</v>
      </c>
      <c r="N2779" s="17">
        <f t="shared" si="87"/>
        <v>0</v>
      </c>
    </row>
    <row r="2780" spans="1:14" x14ac:dyDescent="0.25">
      <c r="A2780" s="14" t="s">
        <v>739</v>
      </c>
      <c r="B2780" s="14" t="s">
        <v>34</v>
      </c>
      <c r="C2780" s="15" t="s">
        <v>2573</v>
      </c>
      <c r="D2780" s="14" t="s">
        <v>1745</v>
      </c>
      <c r="E2780" s="14" t="s">
        <v>1747</v>
      </c>
      <c r="F2780" s="17" t="s">
        <v>2994</v>
      </c>
      <c r="G2780" s="14">
        <v>0</v>
      </c>
      <c r="H2780" s="14">
        <v>0</v>
      </c>
      <c r="I2780" s="31">
        <f>IF(COUNTIFS(Addendum!C:C,A2780,Addendum!D:D,IF(ISNUMBER(B2780),TEXT(B2780,"0000"),B2780),Addendum!E:E,"X")&gt;0,4%,0)</f>
        <v>0.04</v>
      </c>
      <c r="J2780" s="31">
        <f>IF(COUNTIFS(Addendum!C:C,A2780,Addendum!D:D,IF(ISNUMBER(B2780),TEXT(B2780,"0000"),B2780),Addendum!F:F,"X")&gt;0,2.5%,0)</f>
        <v>0</v>
      </c>
      <c r="K2780" s="31">
        <f>IF(COUNTIFS(Addendum!C:C,A2780,Addendum!D:D,IF(ISNUMBER(B2780),TEXT(B2780,"0000"),B2780),Addendum!G:G,"X")&gt;0,7%,0)</f>
        <v>0</v>
      </c>
      <c r="L2780" s="31">
        <f>IF(COUNTIFS(Addendum!C:C,A2780,Addendum!D:D,IF(ISNUMBER(B2780),TEXT(B2780,"0000"),B2780),Addendum!I:I,"X")&gt;0,10%,0)</f>
        <v>0</v>
      </c>
      <c r="M2780" s="34">
        <f t="shared" si="86"/>
        <v>0.03</v>
      </c>
      <c r="N2780" s="17">
        <f t="shared" si="87"/>
        <v>0</v>
      </c>
    </row>
    <row r="2781" spans="1:14" x14ac:dyDescent="0.25">
      <c r="A2781" s="14" t="s">
        <v>739</v>
      </c>
      <c r="B2781" s="14" t="s">
        <v>34</v>
      </c>
      <c r="C2781" s="15" t="s">
        <v>2573</v>
      </c>
      <c r="D2781" s="14" t="s">
        <v>1745</v>
      </c>
      <c r="E2781" s="14" t="s">
        <v>1746</v>
      </c>
      <c r="F2781" s="17" t="s">
        <v>2994</v>
      </c>
      <c r="G2781" s="14">
        <v>0</v>
      </c>
      <c r="H2781" s="14">
        <v>0</v>
      </c>
      <c r="I2781" s="31">
        <f>IF(COUNTIFS(Addendum!C:C,A2781,Addendum!D:D,IF(ISNUMBER(B2781),TEXT(B2781,"0000"),B2781),Addendum!E:E,"X")&gt;0,4%,0)</f>
        <v>0.04</v>
      </c>
      <c r="J2781" s="31">
        <f>IF(COUNTIFS(Addendum!C:C,A2781,Addendum!D:D,IF(ISNUMBER(B2781),TEXT(B2781,"0000"),B2781),Addendum!F:F,"X")&gt;0,2.5%,0)</f>
        <v>0</v>
      </c>
      <c r="K2781" s="31">
        <f>IF(COUNTIFS(Addendum!C:C,A2781,Addendum!D:D,IF(ISNUMBER(B2781),TEXT(B2781,"0000"),B2781),Addendum!G:G,"X")&gt;0,7%,0)</f>
        <v>0</v>
      </c>
      <c r="L2781" s="31">
        <f>IF(COUNTIFS(Addendum!C:C,A2781,Addendum!D:D,IF(ISNUMBER(B2781),TEXT(B2781,"0000"),B2781),Addendum!I:I,"X")&gt;0,10%,0)</f>
        <v>0</v>
      </c>
      <c r="M2781" s="34">
        <f t="shared" si="86"/>
        <v>0.01</v>
      </c>
      <c r="N2781" s="17">
        <f t="shared" si="87"/>
        <v>0</v>
      </c>
    </row>
    <row r="2782" spans="1:14" x14ac:dyDescent="0.25">
      <c r="A2782" s="14" t="s">
        <v>739</v>
      </c>
      <c r="B2782" s="14">
        <v>1</v>
      </c>
      <c r="C2782" s="15" t="s">
        <v>2572</v>
      </c>
      <c r="D2782" s="14" t="s">
        <v>1749</v>
      </c>
      <c r="E2782" s="14" t="s">
        <v>1746</v>
      </c>
      <c r="F2782" s="17" t="s">
        <v>2993</v>
      </c>
      <c r="G2782" s="14">
        <v>0</v>
      </c>
      <c r="H2782" s="14">
        <v>0</v>
      </c>
      <c r="I2782" s="31">
        <f>IF(COUNTIFS(Addendum!C:C,A2782,Addendum!D:D,IF(ISNUMBER(B2782),TEXT(B2782,"0000"),B2782),Addendum!E:E,"X")&gt;0,4%,0)</f>
        <v>0.04</v>
      </c>
      <c r="J2782" s="31">
        <f>IF(COUNTIFS(Addendum!C:C,A2782,Addendum!D:D,IF(ISNUMBER(B2782),TEXT(B2782,"0000"),B2782),Addendum!F:F,"X")&gt;0,2.5%,0)</f>
        <v>0</v>
      </c>
      <c r="K2782" s="31">
        <f>IF(COUNTIFS(Addendum!C:C,A2782,Addendum!D:D,IF(ISNUMBER(B2782),TEXT(B2782,"0000"),B2782),Addendum!G:G,"X")&gt;0,7%,0)</f>
        <v>0</v>
      </c>
      <c r="L2782" s="31">
        <f>IF(COUNTIFS(Addendum!C:C,A2782,Addendum!D:D,IF(ISNUMBER(B2782),TEXT(B2782,"0000"),B2782),Addendum!I:I,"X")&gt;0,10%,0)</f>
        <v>0</v>
      </c>
      <c r="M2782" s="34">
        <f t="shared" si="86"/>
        <v>0.01</v>
      </c>
      <c r="N2782" s="17">
        <f t="shared" si="87"/>
        <v>0</v>
      </c>
    </row>
    <row r="2783" spans="1:14" x14ac:dyDescent="0.25">
      <c r="A2783" s="14" t="s">
        <v>739</v>
      </c>
      <c r="B2783" s="14">
        <v>1</v>
      </c>
      <c r="C2783" s="15" t="s">
        <v>2572</v>
      </c>
      <c r="D2783" s="14" t="s">
        <v>1745</v>
      </c>
      <c r="E2783" s="14" t="s">
        <v>1746</v>
      </c>
      <c r="F2783" s="17" t="s">
        <v>2993</v>
      </c>
      <c r="G2783" s="14">
        <v>0</v>
      </c>
      <c r="H2783" s="14">
        <v>0</v>
      </c>
      <c r="I2783" s="31">
        <f>IF(COUNTIFS(Addendum!C:C,A2783,Addendum!D:D,IF(ISNUMBER(B2783),TEXT(B2783,"0000"),B2783),Addendum!E:E,"X")&gt;0,4%,0)</f>
        <v>0.04</v>
      </c>
      <c r="J2783" s="31">
        <f>IF(COUNTIFS(Addendum!C:C,A2783,Addendum!D:D,IF(ISNUMBER(B2783),TEXT(B2783,"0000"),B2783),Addendum!F:F,"X")&gt;0,2.5%,0)</f>
        <v>0</v>
      </c>
      <c r="K2783" s="31">
        <f>IF(COUNTIFS(Addendum!C:C,A2783,Addendum!D:D,IF(ISNUMBER(B2783),TEXT(B2783,"0000"),B2783),Addendum!G:G,"X")&gt;0,7%,0)</f>
        <v>0</v>
      </c>
      <c r="L2783" s="31">
        <f>IF(COUNTIFS(Addendum!C:C,A2783,Addendum!D:D,IF(ISNUMBER(B2783),TEXT(B2783,"0000"),B2783),Addendum!I:I,"X")&gt;0,10%,0)</f>
        <v>0</v>
      </c>
      <c r="M2783" s="34">
        <f t="shared" si="86"/>
        <v>0.01</v>
      </c>
      <c r="N2783" s="17">
        <f t="shared" si="87"/>
        <v>0</v>
      </c>
    </row>
    <row r="2784" spans="1:14" x14ac:dyDescent="0.25">
      <c r="A2784" s="14" t="s">
        <v>739</v>
      </c>
      <c r="B2784" s="14" t="s">
        <v>34</v>
      </c>
      <c r="C2784" s="15" t="s">
        <v>2573</v>
      </c>
      <c r="D2784" s="14" t="s">
        <v>1749</v>
      </c>
      <c r="E2784" s="14" t="s">
        <v>1746</v>
      </c>
      <c r="F2784" s="17" t="s">
        <v>2994</v>
      </c>
      <c r="G2784" s="14">
        <v>0</v>
      </c>
      <c r="H2784" s="14">
        <v>0</v>
      </c>
      <c r="I2784" s="31">
        <f>IF(COUNTIFS(Addendum!C:C,A2784,Addendum!D:D,IF(ISNUMBER(B2784),TEXT(B2784,"0000"),B2784),Addendum!E:E,"X")&gt;0,4%,0)</f>
        <v>0.04</v>
      </c>
      <c r="J2784" s="31">
        <f>IF(COUNTIFS(Addendum!C:C,A2784,Addendum!D:D,IF(ISNUMBER(B2784),TEXT(B2784,"0000"),B2784),Addendum!F:F,"X")&gt;0,2.5%,0)</f>
        <v>0</v>
      </c>
      <c r="K2784" s="31">
        <f>IF(COUNTIFS(Addendum!C:C,A2784,Addendum!D:D,IF(ISNUMBER(B2784),TEXT(B2784,"0000"),B2784),Addendum!G:G,"X")&gt;0,7%,0)</f>
        <v>0</v>
      </c>
      <c r="L2784" s="31">
        <f>IF(COUNTIFS(Addendum!C:C,A2784,Addendum!D:D,IF(ISNUMBER(B2784),TEXT(B2784,"0000"),B2784),Addendum!I:I,"X")&gt;0,10%,0)</f>
        <v>0</v>
      </c>
      <c r="M2784" s="34">
        <f t="shared" si="86"/>
        <v>0.01</v>
      </c>
      <c r="N2784" s="17">
        <f t="shared" si="87"/>
        <v>0</v>
      </c>
    </row>
    <row r="2785" spans="1:14" x14ac:dyDescent="0.25">
      <c r="A2785" s="14" t="s">
        <v>722</v>
      </c>
      <c r="B2785" s="14" t="s">
        <v>29</v>
      </c>
      <c r="C2785" s="15" t="s">
        <v>2574</v>
      </c>
      <c r="D2785" s="14" t="s">
        <v>1745</v>
      </c>
      <c r="E2785" s="14" t="s">
        <v>1746</v>
      </c>
      <c r="F2785" s="17" t="s">
        <v>2995</v>
      </c>
      <c r="G2785" s="14">
        <v>3087</v>
      </c>
      <c r="H2785" s="14">
        <v>2778.36</v>
      </c>
      <c r="I2785" s="31">
        <f>IF(COUNTIFS(Addendum!C:C,A2785,Addendum!D:D,IF(ISNUMBER(B2785),TEXT(B2785,"0000"),B2785),Addendum!E:E,"X")&gt;0,4%,0)</f>
        <v>0.04</v>
      </c>
      <c r="J2785" s="31">
        <f>IF(COUNTIFS(Addendum!C:C,A2785,Addendum!D:D,IF(ISNUMBER(B2785),TEXT(B2785,"0000"),B2785),Addendum!F:F,"X")&gt;0,2.5%,0)</f>
        <v>0</v>
      </c>
      <c r="K2785" s="31">
        <f>IF(COUNTIFS(Addendum!C:C,A2785,Addendum!D:D,IF(ISNUMBER(B2785),TEXT(B2785,"0000"),B2785),Addendum!G:G,"X")&gt;0,7%,0)</f>
        <v>0</v>
      </c>
      <c r="L2785" s="31">
        <f>IF(COUNTIFS(Addendum!C:C,A2785,Addendum!D:D,IF(ISNUMBER(B2785),TEXT(B2785,"0000"),B2785),Addendum!I:I,"X")&gt;0,10%,0)</f>
        <v>0</v>
      </c>
      <c r="M2785" s="34">
        <f t="shared" si="86"/>
        <v>0.01</v>
      </c>
      <c r="N2785" s="17">
        <f t="shared" si="87"/>
        <v>2750.5763999999999</v>
      </c>
    </row>
    <row r="2786" spans="1:14" x14ac:dyDescent="0.25">
      <c r="A2786" s="14" t="s">
        <v>722</v>
      </c>
      <c r="B2786" s="14" t="s">
        <v>263</v>
      </c>
      <c r="C2786" s="15" t="s">
        <v>735</v>
      </c>
      <c r="D2786" s="14" t="s">
        <v>1745</v>
      </c>
      <c r="E2786" s="14" t="s">
        <v>1746</v>
      </c>
      <c r="F2786" s="17" t="s">
        <v>2993</v>
      </c>
      <c r="G2786" s="14">
        <v>5229</v>
      </c>
      <c r="H2786" s="14">
        <v>4183.2</v>
      </c>
      <c r="I2786" s="31">
        <f>IF(COUNTIFS(Addendum!C:C,A2786,Addendum!D:D,IF(ISNUMBER(B2786),TEXT(B2786,"0000"),B2786),Addendum!E:E,"X")&gt;0,4%,0)</f>
        <v>0.04</v>
      </c>
      <c r="J2786" s="31">
        <f>IF(COUNTIFS(Addendum!C:C,A2786,Addendum!D:D,IF(ISNUMBER(B2786),TEXT(B2786,"0000"),B2786),Addendum!F:F,"X")&gt;0,2.5%,0)</f>
        <v>0</v>
      </c>
      <c r="K2786" s="31">
        <f>IF(COUNTIFS(Addendum!C:C,A2786,Addendum!D:D,IF(ISNUMBER(B2786),TEXT(B2786,"0000"),B2786),Addendum!G:G,"X")&gt;0,7%,0)</f>
        <v>0</v>
      </c>
      <c r="L2786" s="31">
        <f>IF(COUNTIFS(Addendum!C:C,A2786,Addendum!D:D,IF(ISNUMBER(B2786),TEXT(B2786,"0000"),B2786),Addendum!I:I,"X")&gt;0,10%,0)</f>
        <v>0</v>
      </c>
      <c r="M2786" s="34">
        <f t="shared" si="86"/>
        <v>0.01</v>
      </c>
      <c r="N2786" s="17">
        <f t="shared" si="87"/>
        <v>4141.3679999999995</v>
      </c>
    </row>
    <row r="2787" spans="1:14" x14ac:dyDescent="0.25">
      <c r="A2787" s="14" t="s">
        <v>722</v>
      </c>
      <c r="B2787" s="14" t="s">
        <v>195</v>
      </c>
      <c r="C2787" s="15" t="s">
        <v>2575</v>
      </c>
      <c r="D2787" s="14" t="s">
        <v>1745</v>
      </c>
      <c r="E2787" s="14" t="s">
        <v>1746</v>
      </c>
      <c r="F2787" s="17" t="s">
        <v>2994</v>
      </c>
      <c r="G2787" s="14">
        <v>2331</v>
      </c>
      <c r="H2787" s="14">
        <v>1864.8</v>
      </c>
      <c r="I2787" s="31">
        <f>IF(COUNTIFS(Addendum!C:C,A2787,Addendum!D:D,IF(ISNUMBER(B2787),TEXT(B2787,"0000"),B2787),Addendum!E:E,"X")&gt;0,4%,0)</f>
        <v>0.04</v>
      </c>
      <c r="J2787" s="31">
        <f>IF(COUNTIFS(Addendum!C:C,A2787,Addendum!D:D,IF(ISNUMBER(B2787),TEXT(B2787,"0000"),B2787),Addendum!F:F,"X")&gt;0,2.5%,0)</f>
        <v>0</v>
      </c>
      <c r="K2787" s="31">
        <f>IF(COUNTIFS(Addendum!C:C,A2787,Addendum!D:D,IF(ISNUMBER(B2787),TEXT(B2787,"0000"),B2787),Addendum!G:G,"X")&gt;0,7%,0)</f>
        <v>0</v>
      </c>
      <c r="L2787" s="31">
        <f>IF(COUNTIFS(Addendum!C:C,A2787,Addendum!D:D,IF(ISNUMBER(B2787),TEXT(B2787,"0000"),B2787),Addendum!I:I,"X")&gt;0,10%,0)</f>
        <v>0</v>
      </c>
      <c r="M2787" s="34">
        <f t="shared" si="86"/>
        <v>0.01</v>
      </c>
      <c r="N2787" s="17">
        <f t="shared" si="87"/>
        <v>1846.152</v>
      </c>
    </row>
    <row r="2788" spans="1:14" x14ac:dyDescent="0.25">
      <c r="A2788" s="14" t="s">
        <v>722</v>
      </c>
      <c r="B2788" s="14" t="s">
        <v>36</v>
      </c>
      <c r="C2788" s="15" t="s">
        <v>2576</v>
      </c>
      <c r="D2788" s="14" t="s">
        <v>1745</v>
      </c>
      <c r="E2788" s="14" t="s">
        <v>1746</v>
      </c>
      <c r="F2788" s="17" t="s">
        <v>2994</v>
      </c>
      <c r="G2788" s="14">
        <v>3150</v>
      </c>
      <c r="H2788" s="14">
        <v>2520</v>
      </c>
      <c r="I2788" s="31">
        <f>IF(COUNTIFS(Addendum!C:C,A2788,Addendum!D:D,IF(ISNUMBER(B2788),TEXT(B2788,"0000"),B2788),Addendum!E:E,"X")&gt;0,4%,0)</f>
        <v>0.04</v>
      </c>
      <c r="J2788" s="31">
        <f>IF(COUNTIFS(Addendum!C:C,A2788,Addendum!D:D,IF(ISNUMBER(B2788),TEXT(B2788,"0000"),B2788),Addendum!F:F,"X")&gt;0,2.5%,0)</f>
        <v>0</v>
      </c>
      <c r="K2788" s="31">
        <f>IF(COUNTIFS(Addendum!C:C,A2788,Addendum!D:D,IF(ISNUMBER(B2788),TEXT(B2788,"0000"),B2788),Addendum!G:G,"X")&gt;0,7%,0)</f>
        <v>0</v>
      </c>
      <c r="L2788" s="31">
        <f>IF(COUNTIFS(Addendum!C:C,A2788,Addendum!D:D,IF(ISNUMBER(B2788),TEXT(B2788,"0000"),B2788),Addendum!I:I,"X")&gt;0,10%,0)</f>
        <v>0</v>
      </c>
      <c r="M2788" s="34">
        <f t="shared" si="86"/>
        <v>0.01</v>
      </c>
      <c r="N2788" s="17">
        <f t="shared" si="87"/>
        <v>2494.8000000000002</v>
      </c>
    </row>
    <row r="2789" spans="1:14" x14ac:dyDescent="0.25">
      <c r="A2789" s="14" t="s">
        <v>722</v>
      </c>
      <c r="B2789" s="14" t="s">
        <v>195</v>
      </c>
      <c r="C2789" s="15" t="s">
        <v>2575</v>
      </c>
      <c r="D2789" s="14" t="s">
        <v>1749</v>
      </c>
      <c r="E2789" s="14" t="s">
        <v>1746</v>
      </c>
      <c r="F2789" s="17" t="s">
        <v>2994</v>
      </c>
      <c r="G2789" s="14">
        <v>222</v>
      </c>
      <c r="H2789" s="14">
        <v>177.6</v>
      </c>
      <c r="I2789" s="31">
        <f>IF(COUNTIFS(Addendum!C:C,A2789,Addendum!D:D,IF(ISNUMBER(B2789),TEXT(B2789,"0000"),B2789),Addendum!E:E,"X")&gt;0,4%,0)</f>
        <v>0.04</v>
      </c>
      <c r="J2789" s="31">
        <f>IF(COUNTIFS(Addendum!C:C,A2789,Addendum!D:D,IF(ISNUMBER(B2789),TEXT(B2789,"0000"),B2789),Addendum!F:F,"X")&gt;0,2.5%,0)</f>
        <v>0</v>
      </c>
      <c r="K2789" s="31">
        <f>IF(COUNTIFS(Addendum!C:C,A2789,Addendum!D:D,IF(ISNUMBER(B2789),TEXT(B2789,"0000"),B2789),Addendum!G:G,"X")&gt;0,7%,0)</f>
        <v>0</v>
      </c>
      <c r="L2789" s="31">
        <f>IF(COUNTIFS(Addendum!C:C,A2789,Addendum!D:D,IF(ISNUMBER(B2789),TEXT(B2789,"0000"),B2789),Addendum!I:I,"X")&gt;0,10%,0)</f>
        <v>0</v>
      </c>
      <c r="M2789" s="34">
        <f t="shared" si="86"/>
        <v>0.01</v>
      </c>
      <c r="N2789" s="17">
        <f t="shared" si="87"/>
        <v>175.82399999999998</v>
      </c>
    </row>
    <row r="2790" spans="1:14" x14ac:dyDescent="0.25">
      <c r="A2790" s="14" t="s">
        <v>722</v>
      </c>
      <c r="B2790" s="14">
        <v>1</v>
      </c>
      <c r="C2790" s="15" t="s">
        <v>721</v>
      </c>
      <c r="D2790" s="14" t="s">
        <v>1745</v>
      </c>
      <c r="E2790" s="14" t="s">
        <v>1747</v>
      </c>
      <c r="F2790" s="17" t="s">
        <v>2993</v>
      </c>
      <c r="G2790" s="14">
        <v>7380</v>
      </c>
      <c r="H2790" s="14">
        <v>5904</v>
      </c>
      <c r="I2790" s="31">
        <f>IF(COUNTIFS(Addendum!C:C,A2790,Addendum!D:D,IF(ISNUMBER(B2790),TEXT(B2790,"0000"),B2790),Addendum!E:E,"X")&gt;0,4%,0)</f>
        <v>0.04</v>
      </c>
      <c r="J2790" s="31">
        <f>IF(COUNTIFS(Addendum!C:C,A2790,Addendum!D:D,IF(ISNUMBER(B2790),TEXT(B2790,"0000"),B2790),Addendum!F:F,"X")&gt;0,2.5%,0)</f>
        <v>0</v>
      </c>
      <c r="K2790" s="31">
        <f>IF(COUNTIFS(Addendum!C:C,A2790,Addendum!D:D,IF(ISNUMBER(B2790),TEXT(B2790,"0000"),B2790),Addendum!G:G,"X")&gt;0,7%,0)</f>
        <v>0</v>
      </c>
      <c r="L2790" s="31">
        <f>IF(COUNTIFS(Addendum!C:C,A2790,Addendum!D:D,IF(ISNUMBER(B2790),TEXT(B2790,"0000"),B2790),Addendum!I:I,"X")&gt;0,10%,0)</f>
        <v>0</v>
      </c>
      <c r="M2790" s="34">
        <f t="shared" si="86"/>
        <v>0.03</v>
      </c>
      <c r="N2790" s="17">
        <f t="shared" si="87"/>
        <v>5726.88</v>
      </c>
    </row>
    <row r="2791" spans="1:14" x14ac:dyDescent="0.25">
      <c r="A2791" s="14" t="s">
        <v>722</v>
      </c>
      <c r="B2791" s="14" t="s">
        <v>29</v>
      </c>
      <c r="C2791" s="15" t="s">
        <v>2574</v>
      </c>
      <c r="D2791" s="14" t="s">
        <v>1745</v>
      </c>
      <c r="E2791" s="14" t="s">
        <v>1747</v>
      </c>
      <c r="F2791" s="17" t="s">
        <v>2995</v>
      </c>
      <c r="G2791" s="14">
        <v>2940</v>
      </c>
      <c r="H2791" s="14">
        <v>2646</v>
      </c>
      <c r="I2791" s="31">
        <f>IF(COUNTIFS(Addendum!C:C,A2791,Addendum!D:D,IF(ISNUMBER(B2791),TEXT(B2791,"0000"),B2791),Addendum!E:E,"X")&gt;0,4%,0)</f>
        <v>0.04</v>
      </c>
      <c r="J2791" s="31">
        <f>IF(COUNTIFS(Addendum!C:C,A2791,Addendum!D:D,IF(ISNUMBER(B2791),TEXT(B2791,"0000"),B2791),Addendum!F:F,"X")&gt;0,2.5%,0)</f>
        <v>0</v>
      </c>
      <c r="K2791" s="31">
        <f>IF(COUNTIFS(Addendum!C:C,A2791,Addendum!D:D,IF(ISNUMBER(B2791),TEXT(B2791,"0000"),B2791),Addendum!G:G,"X")&gt;0,7%,0)</f>
        <v>0</v>
      </c>
      <c r="L2791" s="31">
        <f>IF(COUNTIFS(Addendum!C:C,A2791,Addendum!D:D,IF(ISNUMBER(B2791),TEXT(B2791,"0000"),B2791),Addendum!I:I,"X")&gt;0,10%,0)</f>
        <v>0</v>
      </c>
      <c r="M2791" s="34">
        <f t="shared" si="86"/>
        <v>0.03</v>
      </c>
      <c r="N2791" s="17">
        <f t="shared" si="87"/>
        <v>2566.62</v>
      </c>
    </row>
    <row r="2792" spans="1:14" x14ac:dyDescent="0.25">
      <c r="A2792" s="14" t="s">
        <v>722</v>
      </c>
      <c r="B2792" s="14" t="s">
        <v>29</v>
      </c>
      <c r="C2792" s="15" t="s">
        <v>2574</v>
      </c>
      <c r="D2792" s="14" t="s">
        <v>1749</v>
      </c>
      <c r="E2792" s="14" t="s">
        <v>1746</v>
      </c>
      <c r="F2792" s="17" t="s">
        <v>2995</v>
      </c>
      <c r="G2792" s="14">
        <v>294</v>
      </c>
      <c r="H2792" s="14">
        <v>264.60000000000002</v>
      </c>
      <c r="I2792" s="31">
        <f>IF(COUNTIFS(Addendum!C:C,A2792,Addendum!D:D,IF(ISNUMBER(B2792),TEXT(B2792,"0000"),B2792),Addendum!E:E,"X")&gt;0,4%,0)</f>
        <v>0.04</v>
      </c>
      <c r="J2792" s="31">
        <f>IF(COUNTIFS(Addendum!C:C,A2792,Addendum!D:D,IF(ISNUMBER(B2792),TEXT(B2792,"0000"),B2792),Addendum!F:F,"X")&gt;0,2.5%,0)</f>
        <v>0</v>
      </c>
      <c r="K2792" s="31">
        <f>IF(COUNTIFS(Addendum!C:C,A2792,Addendum!D:D,IF(ISNUMBER(B2792),TEXT(B2792,"0000"),B2792),Addendum!G:G,"X")&gt;0,7%,0)</f>
        <v>0</v>
      </c>
      <c r="L2792" s="31">
        <f>IF(COUNTIFS(Addendum!C:C,A2792,Addendum!D:D,IF(ISNUMBER(B2792),TEXT(B2792,"0000"),B2792),Addendum!I:I,"X")&gt;0,10%,0)</f>
        <v>0</v>
      </c>
      <c r="M2792" s="34">
        <f t="shared" si="86"/>
        <v>0.01</v>
      </c>
      <c r="N2792" s="17">
        <f t="shared" si="87"/>
        <v>261.95400000000001</v>
      </c>
    </row>
    <row r="2793" spans="1:14" x14ac:dyDescent="0.25">
      <c r="A2793" s="14" t="s">
        <v>722</v>
      </c>
      <c r="B2793" s="14">
        <v>1</v>
      </c>
      <c r="C2793" s="15" t="s">
        <v>721</v>
      </c>
      <c r="D2793" s="14" t="s">
        <v>1745</v>
      </c>
      <c r="E2793" s="14" t="s">
        <v>1746</v>
      </c>
      <c r="F2793" s="17" t="s">
        <v>2993</v>
      </c>
      <c r="G2793" s="14">
        <v>7749</v>
      </c>
      <c r="H2793" s="14">
        <v>6199.2</v>
      </c>
      <c r="I2793" s="31">
        <f>IF(COUNTIFS(Addendum!C:C,A2793,Addendum!D:D,IF(ISNUMBER(B2793),TEXT(B2793,"0000"),B2793),Addendum!E:E,"X")&gt;0,4%,0)</f>
        <v>0.04</v>
      </c>
      <c r="J2793" s="31">
        <f>IF(COUNTIFS(Addendum!C:C,A2793,Addendum!D:D,IF(ISNUMBER(B2793),TEXT(B2793,"0000"),B2793),Addendum!F:F,"X")&gt;0,2.5%,0)</f>
        <v>0</v>
      </c>
      <c r="K2793" s="31">
        <f>IF(COUNTIFS(Addendum!C:C,A2793,Addendum!D:D,IF(ISNUMBER(B2793),TEXT(B2793,"0000"),B2793),Addendum!G:G,"X")&gt;0,7%,0)</f>
        <v>0</v>
      </c>
      <c r="L2793" s="31">
        <f>IF(COUNTIFS(Addendum!C:C,A2793,Addendum!D:D,IF(ISNUMBER(B2793),TEXT(B2793,"0000"),B2793),Addendum!I:I,"X")&gt;0,10%,0)</f>
        <v>0</v>
      </c>
      <c r="M2793" s="34">
        <f t="shared" si="86"/>
        <v>0.01</v>
      </c>
      <c r="N2793" s="17">
        <f t="shared" si="87"/>
        <v>6137.2079999999996</v>
      </c>
    </row>
    <row r="2794" spans="1:14" x14ac:dyDescent="0.25">
      <c r="A2794" s="14" t="s">
        <v>722</v>
      </c>
      <c r="B2794" s="14" t="s">
        <v>263</v>
      </c>
      <c r="C2794" s="15" t="s">
        <v>735</v>
      </c>
      <c r="D2794" s="14" t="s">
        <v>1745</v>
      </c>
      <c r="E2794" s="14" t="s">
        <v>1747</v>
      </c>
      <c r="F2794" s="17" t="s">
        <v>2993</v>
      </c>
      <c r="G2794" s="14">
        <v>4980</v>
      </c>
      <c r="H2794" s="14">
        <v>3984</v>
      </c>
      <c r="I2794" s="31">
        <f>IF(COUNTIFS(Addendum!C:C,A2794,Addendum!D:D,IF(ISNUMBER(B2794),TEXT(B2794,"0000"),B2794),Addendum!E:E,"X")&gt;0,4%,0)</f>
        <v>0.04</v>
      </c>
      <c r="J2794" s="31">
        <f>IF(COUNTIFS(Addendum!C:C,A2794,Addendum!D:D,IF(ISNUMBER(B2794),TEXT(B2794,"0000"),B2794),Addendum!F:F,"X")&gt;0,2.5%,0)</f>
        <v>0</v>
      </c>
      <c r="K2794" s="31">
        <f>IF(COUNTIFS(Addendum!C:C,A2794,Addendum!D:D,IF(ISNUMBER(B2794),TEXT(B2794,"0000"),B2794),Addendum!G:G,"X")&gt;0,7%,0)</f>
        <v>0</v>
      </c>
      <c r="L2794" s="31">
        <f>IF(COUNTIFS(Addendum!C:C,A2794,Addendum!D:D,IF(ISNUMBER(B2794),TEXT(B2794,"0000"),B2794),Addendum!I:I,"X")&gt;0,10%,0)</f>
        <v>0</v>
      </c>
      <c r="M2794" s="34">
        <f t="shared" si="86"/>
        <v>0.03</v>
      </c>
      <c r="N2794" s="17">
        <f t="shared" si="87"/>
        <v>3864.48</v>
      </c>
    </row>
    <row r="2795" spans="1:14" x14ac:dyDescent="0.25">
      <c r="A2795" s="14" t="s">
        <v>722</v>
      </c>
      <c r="B2795" s="14" t="s">
        <v>263</v>
      </c>
      <c r="C2795" s="15" t="s">
        <v>735</v>
      </c>
      <c r="D2795" s="14" t="s">
        <v>1749</v>
      </c>
      <c r="E2795" s="14" t="s">
        <v>1746</v>
      </c>
      <c r="F2795" s="17" t="s">
        <v>2993</v>
      </c>
      <c r="G2795" s="14">
        <v>498</v>
      </c>
      <c r="H2795" s="14">
        <v>398.4</v>
      </c>
      <c r="I2795" s="31">
        <f>IF(COUNTIFS(Addendum!C:C,A2795,Addendum!D:D,IF(ISNUMBER(B2795),TEXT(B2795,"0000"),B2795),Addendum!E:E,"X")&gt;0,4%,0)</f>
        <v>0.04</v>
      </c>
      <c r="J2795" s="31">
        <f>IF(COUNTIFS(Addendum!C:C,A2795,Addendum!D:D,IF(ISNUMBER(B2795),TEXT(B2795,"0000"),B2795),Addendum!F:F,"X")&gt;0,2.5%,0)</f>
        <v>0</v>
      </c>
      <c r="K2795" s="31">
        <f>IF(COUNTIFS(Addendum!C:C,A2795,Addendum!D:D,IF(ISNUMBER(B2795),TEXT(B2795,"0000"),B2795),Addendum!G:G,"X")&gt;0,7%,0)</f>
        <v>0</v>
      </c>
      <c r="L2795" s="31">
        <f>IF(COUNTIFS(Addendum!C:C,A2795,Addendum!D:D,IF(ISNUMBER(B2795),TEXT(B2795,"0000"),B2795),Addendum!I:I,"X")&gt;0,10%,0)</f>
        <v>0</v>
      </c>
      <c r="M2795" s="34">
        <f t="shared" si="86"/>
        <v>0.01</v>
      </c>
      <c r="N2795" s="17">
        <f t="shared" si="87"/>
        <v>394.416</v>
      </c>
    </row>
    <row r="2796" spans="1:14" x14ac:dyDescent="0.25">
      <c r="A2796" s="14" t="s">
        <v>722</v>
      </c>
      <c r="B2796" s="14" t="s">
        <v>36</v>
      </c>
      <c r="C2796" s="15" t="s">
        <v>2576</v>
      </c>
      <c r="D2796" s="14" t="s">
        <v>1745</v>
      </c>
      <c r="E2796" s="14" t="s">
        <v>1747</v>
      </c>
      <c r="F2796" s="17" t="s">
        <v>2994</v>
      </c>
      <c r="G2796" s="14">
        <v>3000</v>
      </c>
      <c r="H2796" s="14">
        <v>2400</v>
      </c>
      <c r="I2796" s="31">
        <f>IF(COUNTIFS(Addendum!C:C,A2796,Addendum!D:D,IF(ISNUMBER(B2796),TEXT(B2796,"0000"),B2796),Addendum!E:E,"X")&gt;0,4%,0)</f>
        <v>0.04</v>
      </c>
      <c r="J2796" s="31">
        <f>IF(COUNTIFS(Addendum!C:C,A2796,Addendum!D:D,IF(ISNUMBER(B2796),TEXT(B2796,"0000"),B2796),Addendum!F:F,"X")&gt;0,2.5%,0)</f>
        <v>0</v>
      </c>
      <c r="K2796" s="31">
        <f>IF(COUNTIFS(Addendum!C:C,A2796,Addendum!D:D,IF(ISNUMBER(B2796),TEXT(B2796,"0000"),B2796),Addendum!G:G,"X")&gt;0,7%,0)</f>
        <v>0</v>
      </c>
      <c r="L2796" s="31">
        <f>IF(COUNTIFS(Addendum!C:C,A2796,Addendum!D:D,IF(ISNUMBER(B2796),TEXT(B2796,"0000"),B2796),Addendum!I:I,"X")&gt;0,10%,0)</f>
        <v>0</v>
      </c>
      <c r="M2796" s="34">
        <f t="shared" si="86"/>
        <v>0.03</v>
      </c>
      <c r="N2796" s="17">
        <f t="shared" si="87"/>
        <v>2328</v>
      </c>
    </row>
    <row r="2797" spans="1:14" x14ac:dyDescent="0.25">
      <c r="A2797" s="14" t="s">
        <v>722</v>
      </c>
      <c r="B2797" s="14">
        <v>1</v>
      </c>
      <c r="C2797" s="15" t="s">
        <v>721</v>
      </c>
      <c r="D2797" s="14" t="s">
        <v>1749</v>
      </c>
      <c r="E2797" s="14" t="s">
        <v>1746</v>
      </c>
      <c r="F2797" s="17" t="s">
        <v>2993</v>
      </c>
      <c r="G2797" s="14">
        <v>738</v>
      </c>
      <c r="H2797" s="14">
        <v>590.4</v>
      </c>
      <c r="I2797" s="31">
        <f>IF(COUNTIFS(Addendum!C:C,A2797,Addendum!D:D,IF(ISNUMBER(B2797),TEXT(B2797,"0000"),B2797),Addendum!E:E,"X")&gt;0,4%,0)</f>
        <v>0.04</v>
      </c>
      <c r="J2797" s="31">
        <f>IF(COUNTIFS(Addendum!C:C,A2797,Addendum!D:D,IF(ISNUMBER(B2797),TEXT(B2797,"0000"),B2797),Addendum!F:F,"X")&gt;0,2.5%,0)</f>
        <v>0</v>
      </c>
      <c r="K2797" s="31">
        <f>IF(COUNTIFS(Addendum!C:C,A2797,Addendum!D:D,IF(ISNUMBER(B2797),TEXT(B2797,"0000"),B2797),Addendum!G:G,"X")&gt;0,7%,0)</f>
        <v>0</v>
      </c>
      <c r="L2797" s="31">
        <f>IF(COUNTIFS(Addendum!C:C,A2797,Addendum!D:D,IF(ISNUMBER(B2797),TEXT(B2797,"0000"),B2797),Addendum!I:I,"X")&gt;0,10%,0)</f>
        <v>0</v>
      </c>
      <c r="M2797" s="34">
        <f t="shared" si="86"/>
        <v>0.01</v>
      </c>
      <c r="N2797" s="17">
        <f t="shared" si="87"/>
        <v>584.49599999999998</v>
      </c>
    </row>
    <row r="2798" spans="1:14" x14ac:dyDescent="0.25">
      <c r="A2798" s="14" t="s">
        <v>722</v>
      </c>
      <c r="B2798" s="14" t="s">
        <v>195</v>
      </c>
      <c r="C2798" s="15" t="s">
        <v>2575</v>
      </c>
      <c r="D2798" s="14" t="s">
        <v>1745</v>
      </c>
      <c r="E2798" s="14" t="s">
        <v>1747</v>
      </c>
      <c r="F2798" s="17" t="s">
        <v>2994</v>
      </c>
      <c r="G2798" s="14">
        <v>2220</v>
      </c>
      <c r="H2798" s="14">
        <v>1776</v>
      </c>
      <c r="I2798" s="31">
        <f>IF(COUNTIFS(Addendum!C:C,A2798,Addendum!D:D,IF(ISNUMBER(B2798),TEXT(B2798,"0000"),B2798),Addendum!E:E,"X")&gt;0,4%,0)</f>
        <v>0.04</v>
      </c>
      <c r="J2798" s="31">
        <f>IF(COUNTIFS(Addendum!C:C,A2798,Addendum!D:D,IF(ISNUMBER(B2798),TEXT(B2798,"0000"),B2798),Addendum!F:F,"X")&gt;0,2.5%,0)</f>
        <v>0</v>
      </c>
      <c r="K2798" s="31">
        <f>IF(COUNTIFS(Addendum!C:C,A2798,Addendum!D:D,IF(ISNUMBER(B2798),TEXT(B2798,"0000"),B2798),Addendum!G:G,"X")&gt;0,7%,0)</f>
        <v>0</v>
      </c>
      <c r="L2798" s="31">
        <f>IF(COUNTIFS(Addendum!C:C,A2798,Addendum!D:D,IF(ISNUMBER(B2798),TEXT(B2798,"0000"),B2798),Addendum!I:I,"X")&gt;0,10%,0)</f>
        <v>0</v>
      </c>
      <c r="M2798" s="34">
        <f t="shared" si="86"/>
        <v>0.03</v>
      </c>
      <c r="N2798" s="17">
        <f t="shared" si="87"/>
        <v>1722.72</v>
      </c>
    </row>
    <row r="2799" spans="1:14" x14ac:dyDescent="0.25">
      <c r="A2799" s="14" t="s">
        <v>722</v>
      </c>
      <c r="B2799" s="14" t="s">
        <v>36</v>
      </c>
      <c r="C2799" s="15" t="s">
        <v>2576</v>
      </c>
      <c r="D2799" s="14" t="s">
        <v>1749</v>
      </c>
      <c r="E2799" s="14" t="s">
        <v>1746</v>
      </c>
      <c r="F2799" s="17" t="s">
        <v>2994</v>
      </c>
      <c r="G2799" s="14">
        <v>300</v>
      </c>
      <c r="H2799" s="14">
        <v>240</v>
      </c>
      <c r="I2799" s="31">
        <f>IF(COUNTIFS(Addendum!C:C,A2799,Addendum!D:D,IF(ISNUMBER(B2799),TEXT(B2799,"0000"),B2799),Addendum!E:E,"X")&gt;0,4%,0)</f>
        <v>0.04</v>
      </c>
      <c r="J2799" s="31">
        <f>IF(COUNTIFS(Addendum!C:C,A2799,Addendum!D:D,IF(ISNUMBER(B2799),TEXT(B2799,"0000"),B2799),Addendum!F:F,"X")&gt;0,2.5%,0)</f>
        <v>0</v>
      </c>
      <c r="K2799" s="31">
        <f>IF(COUNTIFS(Addendum!C:C,A2799,Addendum!D:D,IF(ISNUMBER(B2799),TEXT(B2799,"0000"),B2799),Addendum!G:G,"X")&gt;0,7%,0)</f>
        <v>0</v>
      </c>
      <c r="L2799" s="31">
        <f>IF(COUNTIFS(Addendum!C:C,A2799,Addendum!D:D,IF(ISNUMBER(B2799),TEXT(B2799,"0000"),B2799),Addendum!I:I,"X")&gt;0,10%,0)</f>
        <v>0</v>
      </c>
      <c r="M2799" s="34">
        <f t="shared" si="86"/>
        <v>0.01</v>
      </c>
      <c r="N2799" s="17">
        <f t="shared" si="87"/>
        <v>237.6</v>
      </c>
    </row>
    <row r="2800" spans="1:14" x14ac:dyDescent="0.25">
      <c r="A2800" s="14" t="s">
        <v>1084</v>
      </c>
      <c r="B2800" s="14">
        <v>3</v>
      </c>
      <c r="C2800" s="15" t="s">
        <v>1088</v>
      </c>
      <c r="D2800" s="14" t="s">
        <v>1745</v>
      </c>
      <c r="E2800" s="14" t="s">
        <v>1747</v>
      </c>
      <c r="F2800" s="17" t="s">
        <v>2993</v>
      </c>
      <c r="G2800" s="14">
        <v>12960</v>
      </c>
      <c r="H2800" s="14">
        <v>10368</v>
      </c>
      <c r="I2800" s="31">
        <f>IF(COUNTIFS(Addendum!C:C,A2800,Addendum!D:D,IF(ISNUMBER(B2800),TEXT(B2800,"0000"),B2800),Addendum!E:E,"X")&gt;0,4%,0)</f>
        <v>0.04</v>
      </c>
      <c r="J2800" s="31">
        <f>IF(COUNTIFS(Addendum!C:C,A2800,Addendum!D:D,IF(ISNUMBER(B2800),TEXT(B2800,"0000"),B2800),Addendum!F:F,"X")&gt;0,2.5%,0)</f>
        <v>0</v>
      </c>
      <c r="K2800" s="31">
        <f>IF(COUNTIFS(Addendum!C:C,A2800,Addendum!D:D,IF(ISNUMBER(B2800),TEXT(B2800,"0000"),B2800),Addendum!G:G,"X")&gt;0,7%,0)</f>
        <v>0</v>
      </c>
      <c r="L2800" s="31">
        <f>IF(COUNTIFS(Addendum!C:C,A2800,Addendum!D:D,IF(ISNUMBER(B2800),TEXT(B2800,"0000"),B2800),Addendum!I:I,"X")&gt;0,10%,0)</f>
        <v>0</v>
      </c>
      <c r="M2800" s="34">
        <f t="shared" si="86"/>
        <v>0.03</v>
      </c>
      <c r="N2800" s="17">
        <f t="shared" si="87"/>
        <v>10056.959999999999</v>
      </c>
    </row>
    <row r="2801" spans="1:14" x14ac:dyDescent="0.25">
      <c r="A2801" s="14" t="s">
        <v>1084</v>
      </c>
      <c r="B2801" s="14">
        <v>3</v>
      </c>
      <c r="C2801" s="15" t="s">
        <v>1088</v>
      </c>
      <c r="D2801" s="14" t="s">
        <v>1745</v>
      </c>
      <c r="E2801" s="14" t="s">
        <v>1746</v>
      </c>
      <c r="F2801" s="17" t="s">
        <v>2993</v>
      </c>
      <c r="G2801" s="14">
        <v>13608</v>
      </c>
      <c r="H2801" s="14">
        <v>10886.4</v>
      </c>
      <c r="I2801" s="31">
        <f>IF(COUNTIFS(Addendum!C:C,A2801,Addendum!D:D,IF(ISNUMBER(B2801),TEXT(B2801,"0000"),B2801),Addendum!E:E,"X")&gt;0,4%,0)</f>
        <v>0.04</v>
      </c>
      <c r="J2801" s="31">
        <f>IF(COUNTIFS(Addendum!C:C,A2801,Addendum!D:D,IF(ISNUMBER(B2801),TEXT(B2801,"0000"),B2801),Addendum!F:F,"X")&gt;0,2.5%,0)</f>
        <v>0</v>
      </c>
      <c r="K2801" s="31">
        <f>IF(COUNTIFS(Addendum!C:C,A2801,Addendum!D:D,IF(ISNUMBER(B2801),TEXT(B2801,"0000"),B2801),Addendum!G:G,"X")&gt;0,7%,0)</f>
        <v>0</v>
      </c>
      <c r="L2801" s="31">
        <f>IF(COUNTIFS(Addendum!C:C,A2801,Addendum!D:D,IF(ISNUMBER(B2801),TEXT(B2801,"0000"),B2801),Addendum!I:I,"X")&gt;0,10%,0)</f>
        <v>0</v>
      </c>
      <c r="M2801" s="34">
        <f t="shared" si="86"/>
        <v>0.01</v>
      </c>
      <c r="N2801" s="17">
        <f t="shared" si="87"/>
        <v>10777.536</v>
      </c>
    </row>
    <row r="2802" spans="1:14" x14ac:dyDescent="0.25">
      <c r="A2802" s="14" t="s">
        <v>1091</v>
      </c>
      <c r="B2802" s="14" t="s">
        <v>650</v>
      </c>
      <c r="C2802" s="15" t="s">
        <v>2577</v>
      </c>
      <c r="D2802" s="14" t="s">
        <v>1745</v>
      </c>
      <c r="E2802" s="14" t="s">
        <v>1747</v>
      </c>
      <c r="F2802" s="17" t="s">
        <v>2994</v>
      </c>
      <c r="G2802" s="14">
        <v>15960</v>
      </c>
      <c r="H2802" s="14">
        <v>12768</v>
      </c>
      <c r="I2802" s="31">
        <f>IF(COUNTIFS(Addendum!C:C,A2802,Addendum!D:D,IF(ISNUMBER(B2802),TEXT(B2802,"0000"),B2802),Addendum!E:E,"X")&gt;0,4%,0)</f>
        <v>0.04</v>
      </c>
      <c r="J2802" s="31">
        <f>IF(COUNTIFS(Addendum!C:C,A2802,Addendum!D:D,IF(ISNUMBER(B2802),TEXT(B2802,"0000"),B2802),Addendum!F:F,"X")&gt;0,2.5%,0)</f>
        <v>0</v>
      </c>
      <c r="K2802" s="31">
        <f>IF(COUNTIFS(Addendum!C:C,A2802,Addendum!D:D,IF(ISNUMBER(B2802),TEXT(B2802,"0000"),B2802),Addendum!G:G,"X")&gt;0,7%,0)</f>
        <v>0</v>
      </c>
      <c r="L2802" s="31">
        <f>IF(COUNTIFS(Addendum!C:C,A2802,Addendum!D:D,IF(ISNUMBER(B2802),TEXT(B2802,"0000"),B2802),Addendum!I:I,"X")&gt;0,10%,0)</f>
        <v>0</v>
      </c>
      <c r="M2802" s="34">
        <f t="shared" si="86"/>
        <v>0.03</v>
      </c>
      <c r="N2802" s="17">
        <f t="shared" si="87"/>
        <v>12384.96</v>
      </c>
    </row>
    <row r="2803" spans="1:14" x14ac:dyDescent="0.25">
      <c r="A2803" s="14" t="s">
        <v>1091</v>
      </c>
      <c r="B2803" s="14">
        <v>6</v>
      </c>
      <c r="C2803" s="15" t="s">
        <v>1097</v>
      </c>
      <c r="D2803" s="14" t="s">
        <v>1752</v>
      </c>
      <c r="E2803" s="14" t="s">
        <v>1753</v>
      </c>
      <c r="F2803" s="17" t="s">
        <v>2993</v>
      </c>
      <c r="G2803" s="14">
        <v>119880</v>
      </c>
      <c r="H2803" s="14">
        <v>95904</v>
      </c>
      <c r="I2803" s="31">
        <f>IF(COUNTIFS(Addendum!C:C,A2803,Addendum!D:D,IF(ISNUMBER(B2803),TEXT(B2803,"0000"),B2803),Addendum!E:E,"X")&gt;0,4%,0)</f>
        <v>0.04</v>
      </c>
      <c r="J2803" s="31">
        <f>IF(COUNTIFS(Addendum!C:C,A2803,Addendum!D:D,IF(ISNUMBER(B2803),TEXT(B2803,"0000"),B2803),Addendum!F:F,"X")&gt;0,2.5%,0)</f>
        <v>0</v>
      </c>
      <c r="K2803" s="31">
        <f>IF(COUNTIFS(Addendum!C:C,A2803,Addendum!D:D,IF(ISNUMBER(B2803),TEXT(B2803,"0000"),B2803),Addendum!G:G,"X")&gt;0,7%,0)</f>
        <v>0</v>
      </c>
      <c r="L2803" s="31">
        <f>IF(COUNTIFS(Addendum!C:C,A2803,Addendum!D:D,IF(ISNUMBER(B2803),TEXT(B2803,"0000"),B2803),Addendum!I:I,"X")&gt;0,10%,0)</f>
        <v>0</v>
      </c>
      <c r="M2803" s="34">
        <f t="shared" si="86"/>
        <v>0.03</v>
      </c>
      <c r="N2803" s="17">
        <f t="shared" si="87"/>
        <v>93026.880000000005</v>
      </c>
    </row>
    <row r="2804" spans="1:14" x14ac:dyDescent="0.25">
      <c r="A2804" s="14" t="s">
        <v>1091</v>
      </c>
      <c r="B2804" s="14" t="s">
        <v>55</v>
      </c>
      <c r="C2804" s="15" t="s">
        <v>2578</v>
      </c>
      <c r="D2804" s="14" t="s">
        <v>1745</v>
      </c>
      <c r="E2804" s="14" t="s">
        <v>1746</v>
      </c>
      <c r="F2804" s="17" t="s">
        <v>2995</v>
      </c>
      <c r="G2804" s="14">
        <v>10458</v>
      </c>
      <c r="H2804" s="14">
        <v>9412.2000000000007</v>
      </c>
      <c r="I2804" s="31">
        <f>IF(COUNTIFS(Addendum!C:C,A2804,Addendum!D:D,IF(ISNUMBER(B2804),TEXT(B2804,"0000"),B2804),Addendum!E:E,"X")&gt;0,4%,0)</f>
        <v>0.04</v>
      </c>
      <c r="J2804" s="31">
        <f>IF(COUNTIFS(Addendum!C:C,A2804,Addendum!D:D,IF(ISNUMBER(B2804),TEXT(B2804,"0000"),B2804),Addendum!F:F,"X")&gt;0,2.5%,0)</f>
        <v>0</v>
      </c>
      <c r="K2804" s="31">
        <f>IF(COUNTIFS(Addendum!C:C,A2804,Addendum!D:D,IF(ISNUMBER(B2804),TEXT(B2804,"0000"),B2804),Addendum!G:G,"X")&gt;0,7%,0)</f>
        <v>0</v>
      </c>
      <c r="L2804" s="31">
        <f>IF(COUNTIFS(Addendum!C:C,A2804,Addendum!D:D,IF(ISNUMBER(B2804),TEXT(B2804,"0000"),B2804),Addendum!I:I,"X")&gt;0,10%,0)</f>
        <v>0</v>
      </c>
      <c r="M2804" s="34">
        <f t="shared" si="86"/>
        <v>0.01</v>
      </c>
      <c r="N2804" s="17">
        <f t="shared" si="87"/>
        <v>9318.0780000000013</v>
      </c>
    </row>
    <row r="2805" spans="1:14" x14ac:dyDescent="0.25">
      <c r="A2805" s="14" t="s">
        <v>1091</v>
      </c>
      <c r="B2805" s="14">
        <v>6</v>
      </c>
      <c r="C2805" s="15" t="s">
        <v>1097</v>
      </c>
      <c r="D2805" s="14" t="s">
        <v>1745</v>
      </c>
      <c r="E2805" s="14" t="s">
        <v>1746</v>
      </c>
      <c r="F2805" s="17" t="s">
        <v>2993</v>
      </c>
      <c r="G2805" s="14">
        <v>41958</v>
      </c>
      <c r="H2805" s="14">
        <v>33566.400000000001</v>
      </c>
      <c r="I2805" s="31">
        <f>IF(COUNTIFS(Addendum!C:C,A2805,Addendum!D:D,IF(ISNUMBER(B2805),TEXT(B2805,"0000"),B2805),Addendum!E:E,"X")&gt;0,4%,0)</f>
        <v>0.04</v>
      </c>
      <c r="J2805" s="31">
        <f>IF(COUNTIFS(Addendum!C:C,A2805,Addendum!D:D,IF(ISNUMBER(B2805),TEXT(B2805,"0000"),B2805),Addendum!F:F,"X")&gt;0,2.5%,0)</f>
        <v>0</v>
      </c>
      <c r="K2805" s="31">
        <f>IF(COUNTIFS(Addendum!C:C,A2805,Addendum!D:D,IF(ISNUMBER(B2805),TEXT(B2805,"0000"),B2805),Addendum!G:G,"X")&gt;0,7%,0)</f>
        <v>0</v>
      </c>
      <c r="L2805" s="31">
        <f>IF(COUNTIFS(Addendum!C:C,A2805,Addendum!D:D,IF(ISNUMBER(B2805),TEXT(B2805,"0000"),B2805),Addendum!I:I,"X")&gt;0,10%,0)</f>
        <v>0</v>
      </c>
      <c r="M2805" s="34">
        <f t="shared" si="86"/>
        <v>0.01</v>
      </c>
      <c r="N2805" s="17">
        <f t="shared" si="87"/>
        <v>33230.736000000004</v>
      </c>
    </row>
    <row r="2806" spans="1:14" x14ac:dyDescent="0.25">
      <c r="A2806" s="14" t="s">
        <v>1091</v>
      </c>
      <c r="B2806" s="14" t="s">
        <v>55</v>
      </c>
      <c r="C2806" s="15" t="s">
        <v>2578</v>
      </c>
      <c r="D2806" s="14" t="s">
        <v>1745</v>
      </c>
      <c r="E2806" s="14" t="s">
        <v>1747</v>
      </c>
      <c r="F2806" s="17" t="s">
        <v>2995</v>
      </c>
      <c r="G2806" s="14">
        <v>9960</v>
      </c>
      <c r="H2806" s="14">
        <v>8964</v>
      </c>
      <c r="I2806" s="31">
        <f>IF(COUNTIFS(Addendum!C:C,A2806,Addendum!D:D,IF(ISNUMBER(B2806),TEXT(B2806,"0000"),B2806),Addendum!E:E,"X")&gt;0,4%,0)</f>
        <v>0.04</v>
      </c>
      <c r="J2806" s="31">
        <f>IF(COUNTIFS(Addendum!C:C,A2806,Addendum!D:D,IF(ISNUMBER(B2806),TEXT(B2806,"0000"),B2806),Addendum!F:F,"X")&gt;0,2.5%,0)</f>
        <v>0</v>
      </c>
      <c r="K2806" s="31">
        <f>IF(COUNTIFS(Addendum!C:C,A2806,Addendum!D:D,IF(ISNUMBER(B2806),TEXT(B2806,"0000"),B2806),Addendum!G:G,"X")&gt;0,7%,0)</f>
        <v>0</v>
      </c>
      <c r="L2806" s="31">
        <f>IF(COUNTIFS(Addendum!C:C,A2806,Addendum!D:D,IF(ISNUMBER(B2806),TEXT(B2806,"0000"),B2806),Addendum!I:I,"X")&gt;0,10%,0)</f>
        <v>0</v>
      </c>
      <c r="M2806" s="34">
        <f t="shared" si="86"/>
        <v>0.03</v>
      </c>
      <c r="N2806" s="17">
        <f t="shared" si="87"/>
        <v>8695.08</v>
      </c>
    </row>
    <row r="2807" spans="1:14" x14ac:dyDescent="0.25">
      <c r="A2807" s="14" t="s">
        <v>1091</v>
      </c>
      <c r="B2807" s="14" t="s">
        <v>55</v>
      </c>
      <c r="C2807" s="15" t="s">
        <v>2578</v>
      </c>
      <c r="D2807" s="14" t="s">
        <v>1749</v>
      </c>
      <c r="E2807" s="14" t="s">
        <v>1746</v>
      </c>
      <c r="F2807" s="17" t="s">
        <v>2995</v>
      </c>
      <c r="G2807" s="14">
        <v>996</v>
      </c>
      <c r="H2807" s="14">
        <v>896.4</v>
      </c>
      <c r="I2807" s="31">
        <f>IF(COUNTIFS(Addendum!C:C,A2807,Addendum!D:D,IF(ISNUMBER(B2807),TEXT(B2807,"0000"),B2807),Addendum!E:E,"X")&gt;0,4%,0)</f>
        <v>0.04</v>
      </c>
      <c r="J2807" s="31">
        <f>IF(COUNTIFS(Addendum!C:C,A2807,Addendum!D:D,IF(ISNUMBER(B2807),TEXT(B2807,"0000"),B2807),Addendum!F:F,"X")&gt;0,2.5%,0)</f>
        <v>0</v>
      </c>
      <c r="K2807" s="31">
        <f>IF(COUNTIFS(Addendum!C:C,A2807,Addendum!D:D,IF(ISNUMBER(B2807),TEXT(B2807,"0000"),B2807),Addendum!G:G,"X")&gt;0,7%,0)</f>
        <v>0</v>
      </c>
      <c r="L2807" s="31">
        <f>IF(COUNTIFS(Addendum!C:C,A2807,Addendum!D:D,IF(ISNUMBER(B2807),TEXT(B2807,"0000"),B2807),Addendum!I:I,"X")&gt;0,10%,0)</f>
        <v>0</v>
      </c>
      <c r="M2807" s="34">
        <f t="shared" si="86"/>
        <v>0.01</v>
      </c>
      <c r="N2807" s="17">
        <f t="shared" si="87"/>
        <v>887.43599999999992</v>
      </c>
    </row>
    <row r="2808" spans="1:14" x14ac:dyDescent="0.25">
      <c r="A2808" s="14" t="s">
        <v>1091</v>
      </c>
      <c r="B2808" s="14">
        <v>6</v>
      </c>
      <c r="C2808" s="15" t="s">
        <v>1097</v>
      </c>
      <c r="D2808" s="14" t="s">
        <v>1752</v>
      </c>
      <c r="E2808" s="14" t="s">
        <v>1747</v>
      </c>
      <c r="F2808" s="17" t="s">
        <v>2993</v>
      </c>
      <c r="G2808" s="14">
        <v>119880</v>
      </c>
      <c r="H2808" s="14">
        <v>95904</v>
      </c>
      <c r="I2808" s="31">
        <f>IF(COUNTIFS(Addendum!C:C,A2808,Addendum!D:D,IF(ISNUMBER(B2808),TEXT(B2808,"0000"),B2808),Addendum!E:E,"X")&gt;0,4%,0)</f>
        <v>0.04</v>
      </c>
      <c r="J2808" s="31">
        <f>IF(COUNTIFS(Addendum!C:C,A2808,Addendum!D:D,IF(ISNUMBER(B2808),TEXT(B2808,"0000"),B2808),Addendum!F:F,"X")&gt;0,2.5%,0)</f>
        <v>0</v>
      </c>
      <c r="K2808" s="31">
        <f>IF(COUNTIFS(Addendum!C:C,A2808,Addendum!D:D,IF(ISNUMBER(B2808),TEXT(B2808,"0000"),B2808),Addendum!G:G,"X")&gt;0,7%,0)</f>
        <v>0</v>
      </c>
      <c r="L2808" s="31">
        <f>IF(COUNTIFS(Addendum!C:C,A2808,Addendum!D:D,IF(ISNUMBER(B2808),TEXT(B2808,"0000"),B2808),Addendum!I:I,"X")&gt;0,10%,0)</f>
        <v>0</v>
      </c>
      <c r="M2808" s="34">
        <f t="shared" si="86"/>
        <v>0.03</v>
      </c>
      <c r="N2808" s="17">
        <f t="shared" si="87"/>
        <v>93026.880000000005</v>
      </c>
    </row>
    <row r="2809" spans="1:14" x14ac:dyDescent="0.25">
      <c r="A2809" s="14" t="s">
        <v>1091</v>
      </c>
      <c r="B2809" s="14">
        <v>6</v>
      </c>
      <c r="C2809" s="15" t="s">
        <v>1097</v>
      </c>
      <c r="D2809" s="14" t="s">
        <v>1749</v>
      </c>
      <c r="E2809" s="14" t="s">
        <v>1746</v>
      </c>
      <c r="F2809" s="17" t="s">
        <v>2993</v>
      </c>
      <c r="G2809" s="14">
        <v>3996</v>
      </c>
      <c r="H2809" s="14">
        <v>3196.8</v>
      </c>
      <c r="I2809" s="31">
        <f>IF(COUNTIFS(Addendum!C:C,A2809,Addendum!D:D,IF(ISNUMBER(B2809),TEXT(B2809,"0000"),B2809),Addendum!E:E,"X")&gt;0,4%,0)</f>
        <v>0.04</v>
      </c>
      <c r="J2809" s="31">
        <f>IF(COUNTIFS(Addendum!C:C,A2809,Addendum!D:D,IF(ISNUMBER(B2809),TEXT(B2809,"0000"),B2809),Addendum!F:F,"X")&gt;0,2.5%,0)</f>
        <v>0</v>
      </c>
      <c r="K2809" s="31">
        <f>IF(COUNTIFS(Addendum!C:C,A2809,Addendum!D:D,IF(ISNUMBER(B2809),TEXT(B2809,"0000"),B2809),Addendum!G:G,"X")&gt;0,7%,0)</f>
        <v>0</v>
      </c>
      <c r="L2809" s="31">
        <f>IF(COUNTIFS(Addendum!C:C,A2809,Addendum!D:D,IF(ISNUMBER(B2809),TEXT(B2809,"0000"),B2809),Addendum!I:I,"X")&gt;0,10%,0)</f>
        <v>0</v>
      </c>
      <c r="M2809" s="34">
        <f t="shared" si="86"/>
        <v>0.01</v>
      </c>
      <c r="N2809" s="17">
        <f t="shared" si="87"/>
        <v>3164.8320000000003</v>
      </c>
    </row>
    <row r="2810" spans="1:14" x14ac:dyDescent="0.25">
      <c r="A2810" s="14" t="s">
        <v>1091</v>
      </c>
      <c r="B2810" s="14">
        <v>6</v>
      </c>
      <c r="C2810" s="15" t="s">
        <v>1097</v>
      </c>
      <c r="D2810" s="14" t="s">
        <v>1745</v>
      </c>
      <c r="E2810" s="14" t="s">
        <v>1747</v>
      </c>
      <c r="F2810" s="17" t="s">
        <v>2993</v>
      </c>
      <c r="G2810" s="14">
        <v>39960</v>
      </c>
      <c r="H2810" s="14">
        <v>31968</v>
      </c>
      <c r="I2810" s="31">
        <f>IF(COUNTIFS(Addendum!C:C,A2810,Addendum!D:D,IF(ISNUMBER(B2810),TEXT(B2810,"0000"),B2810),Addendum!E:E,"X")&gt;0,4%,0)</f>
        <v>0.04</v>
      </c>
      <c r="J2810" s="31">
        <f>IF(COUNTIFS(Addendum!C:C,A2810,Addendum!D:D,IF(ISNUMBER(B2810),TEXT(B2810,"0000"),B2810),Addendum!F:F,"X")&gt;0,2.5%,0)</f>
        <v>0</v>
      </c>
      <c r="K2810" s="31">
        <f>IF(COUNTIFS(Addendum!C:C,A2810,Addendum!D:D,IF(ISNUMBER(B2810),TEXT(B2810,"0000"),B2810),Addendum!G:G,"X")&gt;0,7%,0)</f>
        <v>0</v>
      </c>
      <c r="L2810" s="31">
        <f>IF(COUNTIFS(Addendum!C:C,A2810,Addendum!D:D,IF(ISNUMBER(B2810),TEXT(B2810,"0000"),B2810),Addendum!I:I,"X")&gt;0,10%,0)</f>
        <v>0</v>
      </c>
      <c r="M2810" s="34">
        <f t="shared" si="86"/>
        <v>0.03</v>
      </c>
      <c r="N2810" s="17">
        <f t="shared" si="87"/>
        <v>31008.959999999999</v>
      </c>
    </row>
    <row r="2811" spans="1:14" x14ac:dyDescent="0.25">
      <c r="A2811" s="14" t="s">
        <v>1091</v>
      </c>
      <c r="B2811" s="14">
        <v>2</v>
      </c>
      <c r="C2811" s="15" t="s">
        <v>1097</v>
      </c>
      <c r="D2811" s="14" t="s">
        <v>1749</v>
      </c>
      <c r="E2811" s="14" t="s">
        <v>1766</v>
      </c>
      <c r="F2811" s="17" t="s">
        <v>2993</v>
      </c>
      <c r="G2811" s="14">
        <v>0</v>
      </c>
      <c r="H2811" s="14">
        <v>0</v>
      </c>
      <c r="I2811" s="31">
        <f>IF(COUNTIFS(Addendum!C:C,A2811,Addendum!D:D,IF(ISNUMBER(B2811),TEXT(B2811,"0000"),B2811),Addendum!E:E,"X")&gt;0,4%,0)</f>
        <v>0.04</v>
      </c>
      <c r="J2811" s="31">
        <f>IF(COUNTIFS(Addendum!C:C,A2811,Addendum!D:D,IF(ISNUMBER(B2811),TEXT(B2811,"0000"),B2811),Addendum!F:F,"X")&gt;0,2.5%,0)</f>
        <v>0</v>
      </c>
      <c r="K2811" s="31">
        <f>IF(COUNTIFS(Addendum!C:C,A2811,Addendum!D:D,IF(ISNUMBER(B2811),TEXT(B2811,"0000"),B2811),Addendum!G:G,"X")&gt;0,7%,0)</f>
        <v>0</v>
      </c>
      <c r="L2811" s="31">
        <f>IF(COUNTIFS(Addendum!C:C,A2811,Addendum!D:D,IF(ISNUMBER(B2811),TEXT(B2811,"0000"),B2811),Addendum!I:I,"X")&gt;0,10%,0)</f>
        <v>0</v>
      </c>
      <c r="M2811" s="34">
        <f t="shared" si="86"/>
        <v>0.01</v>
      </c>
      <c r="N2811" s="17">
        <f t="shared" si="87"/>
        <v>0</v>
      </c>
    </row>
    <row r="2812" spans="1:14" x14ac:dyDescent="0.25">
      <c r="A2812" s="14" t="s">
        <v>1091</v>
      </c>
      <c r="B2812" s="14" t="s">
        <v>650</v>
      </c>
      <c r="C2812" s="15" t="s">
        <v>2577</v>
      </c>
      <c r="D2812" s="14" t="s">
        <v>1745</v>
      </c>
      <c r="E2812" s="14" t="s">
        <v>1746</v>
      </c>
      <c r="F2812" s="17" t="s">
        <v>2994</v>
      </c>
      <c r="G2812" s="14">
        <v>16758</v>
      </c>
      <c r="H2812" s="14">
        <v>13406.4</v>
      </c>
      <c r="I2812" s="31">
        <f>IF(COUNTIFS(Addendum!C:C,A2812,Addendum!D:D,IF(ISNUMBER(B2812),TEXT(B2812,"0000"),B2812),Addendum!E:E,"X")&gt;0,4%,0)</f>
        <v>0.04</v>
      </c>
      <c r="J2812" s="31">
        <f>IF(COUNTIFS(Addendum!C:C,A2812,Addendum!D:D,IF(ISNUMBER(B2812),TEXT(B2812,"0000"),B2812),Addendum!F:F,"X")&gt;0,2.5%,0)</f>
        <v>0</v>
      </c>
      <c r="K2812" s="31">
        <f>IF(COUNTIFS(Addendum!C:C,A2812,Addendum!D:D,IF(ISNUMBER(B2812),TEXT(B2812,"0000"),B2812),Addendum!G:G,"X")&gt;0,7%,0)</f>
        <v>0</v>
      </c>
      <c r="L2812" s="31">
        <f>IF(COUNTIFS(Addendum!C:C,A2812,Addendum!D:D,IF(ISNUMBER(B2812),TEXT(B2812,"0000"),B2812),Addendum!I:I,"X")&gt;0,10%,0)</f>
        <v>0</v>
      </c>
      <c r="M2812" s="34">
        <f t="shared" si="86"/>
        <v>0.01</v>
      </c>
      <c r="N2812" s="17">
        <f t="shared" si="87"/>
        <v>13272.335999999999</v>
      </c>
    </row>
    <row r="2813" spans="1:14" x14ac:dyDescent="0.25">
      <c r="A2813" s="14" t="s">
        <v>1091</v>
      </c>
      <c r="B2813" s="14" t="s">
        <v>650</v>
      </c>
      <c r="C2813" s="15" t="s">
        <v>2577</v>
      </c>
      <c r="D2813" s="14" t="s">
        <v>1749</v>
      </c>
      <c r="E2813" s="14" t="s">
        <v>1746</v>
      </c>
      <c r="F2813" s="17" t="s">
        <v>2994</v>
      </c>
      <c r="G2813" s="14">
        <v>1596</v>
      </c>
      <c r="H2813" s="14">
        <v>1276.8</v>
      </c>
      <c r="I2813" s="31">
        <f>IF(COUNTIFS(Addendum!C:C,A2813,Addendum!D:D,IF(ISNUMBER(B2813),TEXT(B2813,"0000"),B2813),Addendum!E:E,"X")&gt;0,4%,0)</f>
        <v>0.04</v>
      </c>
      <c r="J2813" s="31">
        <f>IF(COUNTIFS(Addendum!C:C,A2813,Addendum!D:D,IF(ISNUMBER(B2813),TEXT(B2813,"0000"),B2813),Addendum!F:F,"X")&gt;0,2.5%,0)</f>
        <v>0</v>
      </c>
      <c r="K2813" s="31">
        <f>IF(COUNTIFS(Addendum!C:C,A2813,Addendum!D:D,IF(ISNUMBER(B2813),TEXT(B2813,"0000"),B2813),Addendum!G:G,"X")&gt;0,7%,0)</f>
        <v>0</v>
      </c>
      <c r="L2813" s="31">
        <f>IF(COUNTIFS(Addendum!C:C,A2813,Addendum!D:D,IF(ISNUMBER(B2813),TEXT(B2813,"0000"),B2813),Addendum!I:I,"X")&gt;0,10%,0)</f>
        <v>0</v>
      </c>
      <c r="M2813" s="34">
        <f t="shared" si="86"/>
        <v>0.01</v>
      </c>
      <c r="N2813" s="17">
        <f t="shared" si="87"/>
        <v>1264.0319999999999</v>
      </c>
    </row>
    <row r="2814" spans="1:14" x14ac:dyDescent="0.25">
      <c r="A2814" s="14" t="s">
        <v>1107</v>
      </c>
      <c r="B2814" s="14" t="s">
        <v>28</v>
      </c>
      <c r="C2814" s="15" t="s">
        <v>2579</v>
      </c>
      <c r="D2814" s="14" t="s">
        <v>1745</v>
      </c>
      <c r="E2814" s="14" t="s">
        <v>1746</v>
      </c>
      <c r="F2814" s="17" t="s">
        <v>2994</v>
      </c>
      <c r="G2814" s="14">
        <v>3150</v>
      </c>
      <c r="H2814" s="14">
        <v>2520</v>
      </c>
      <c r="I2814" s="31">
        <f>IF(COUNTIFS(Addendum!C:C,A2814,Addendum!D:D,IF(ISNUMBER(B2814),TEXT(B2814,"0000"),B2814),Addendum!E:E,"X")&gt;0,4%,0)</f>
        <v>0.04</v>
      </c>
      <c r="J2814" s="31">
        <f>IF(COUNTIFS(Addendum!C:C,A2814,Addendum!D:D,IF(ISNUMBER(B2814),TEXT(B2814,"0000"),B2814),Addendum!F:F,"X")&gt;0,2.5%,0)</f>
        <v>0</v>
      </c>
      <c r="K2814" s="31">
        <f>IF(COUNTIFS(Addendum!C:C,A2814,Addendum!D:D,IF(ISNUMBER(B2814),TEXT(B2814,"0000"),B2814),Addendum!G:G,"X")&gt;0,7%,0)</f>
        <v>0</v>
      </c>
      <c r="L2814" s="31">
        <f>IF(COUNTIFS(Addendum!C:C,A2814,Addendum!D:D,IF(ISNUMBER(B2814),TEXT(B2814,"0000"),B2814),Addendum!I:I,"X")&gt;0,10%,0)</f>
        <v>0</v>
      </c>
      <c r="M2814" s="34">
        <f t="shared" si="86"/>
        <v>0.01</v>
      </c>
      <c r="N2814" s="17">
        <f t="shared" si="87"/>
        <v>2494.8000000000002</v>
      </c>
    </row>
    <row r="2815" spans="1:14" x14ac:dyDescent="0.25">
      <c r="A2815" s="14" t="s">
        <v>1107</v>
      </c>
      <c r="B2815" s="14">
        <v>1</v>
      </c>
      <c r="C2815" s="15" t="s">
        <v>2580</v>
      </c>
      <c r="D2815" s="14" t="s">
        <v>1745</v>
      </c>
      <c r="E2815" s="14" t="s">
        <v>1747</v>
      </c>
      <c r="F2815" s="17" t="s">
        <v>2993</v>
      </c>
      <c r="G2815" s="14">
        <v>7980</v>
      </c>
      <c r="H2815" s="14">
        <v>6384</v>
      </c>
      <c r="I2815" s="31">
        <f>IF(COUNTIFS(Addendum!C:C,A2815,Addendum!D:D,IF(ISNUMBER(B2815),TEXT(B2815,"0000"),B2815),Addendum!E:E,"X")&gt;0,4%,0)</f>
        <v>0.04</v>
      </c>
      <c r="J2815" s="31">
        <f>IF(COUNTIFS(Addendum!C:C,A2815,Addendum!D:D,IF(ISNUMBER(B2815),TEXT(B2815,"0000"),B2815),Addendum!F:F,"X")&gt;0,2.5%,0)</f>
        <v>0</v>
      </c>
      <c r="K2815" s="31">
        <f>IF(COUNTIFS(Addendum!C:C,A2815,Addendum!D:D,IF(ISNUMBER(B2815),TEXT(B2815,"0000"),B2815),Addendum!G:G,"X")&gt;0,7%,0)</f>
        <v>0</v>
      </c>
      <c r="L2815" s="31">
        <f>IF(COUNTIFS(Addendum!C:C,A2815,Addendum!D:D,IF(ISNUMBER(B2815),TEXT(B2815,"0000"),B2815),Addendum!I:I,"X")&gt;0,10%,0)</f>
        <v>0</v>
      </c>
      <c r="M2815" s="34">
        <f t="shared" si="86"/>
        <v>0.03</v>
      </c>
      <c r="N2815" s="17">
        <f t="shared" si="87"/>
        <v>6192.48</v>
      </c>
    </row>
    <row r="2816" spans="1:14" x14ac:dyDescent="0.25">
      <c r="A2816" s="14" t="s">
        <v>1107</v>
      </c>
      <c r="B2816" s="14" t="s">
        <v>183</v>
      </c>
      <c r="C2816" s="15" t="s">
        <v>2581</v>
      </c>
      <c r="D2816" s="14" t="s">
        <v>1745</v>
      </c>
      <c r="E2816" s="14" t="s">
        <v>1746</v>
      </c>
      <c r="F2816" s="17" t="s">
        <v>2994</v>
      </c>
      <c r="G2816" s="14">
        <v>0</v>
      </c>
      <c r="H2816" s="14">
        <v>0</v>
      </c>
      <c r="I2816" s="31">
        <f>IF(COUNTIFS(Addendum!C:C,A2816,Addendum!D:D,IF(ISNUMBER(B2816),TEXT(B2816,"0000"),B2816),Addendum!E:E,"X")&gt;0,4%,0)</f>
        <v>0.04</v>
      </c>
      <c r="J2816" s="31">
        <f>IF(COUNTIFS(Addendum!C:C,A2816,Addendum!D:D,IF(ISNUMBER(B2816),TEXT(B2816,"0000"),B2816),Addendum!F:F,"X")&gt;0,2.5%,0)</f>
        <v>0</v>
      </c>
      <c r="K2816" s="31">
        <f>IF(COUNTIFS(Addendum!C:C,A2816,Addendum!D:D,IF(ISNUMBER(B2816),TEXT(B2816,"0000"),B2816),Addendum!G:G,"X")&gt;0,7%,0)</f>
        <v>0</v>
      </c>
      <c r="L2816" s="31">
        <f>IF(COUNTIFS(Addendum!C:C,A2816,Addendum!D:D,IF(ISNUMBER(B2816),TEXT(B2816,"0000"),B2816),Addendum!I:I,"X")&gt;0,10%,0)</f>
        <v>0</v>
      </c>
      <c r="M2816" s="34">
        <f t="shared" si="86"/>
        <v>0.01</v>
      </c>
      <c r="N2816" s="17">
        <f t="shared" si="87"/>
        <v>0</v>
      </c>
    </row>
    <row r="2817" spans="1:14" x14ac:dyDescent="0.25">
      <c r="A2817" s="14" t="s">
        <v>1107</v>
      </c>
      <c r="B2817" s="14" t="s">
        <v>39</v>
      </c>
      <c r="C2817" s="15" t="s">
        <v>2582</v>
      </c>
      <c r="D2817" s="14" t="s">
        <v>1745</v>
      </c>
      <c r="E2817" s="14" t="s">
        <v>1746</v>
      </c>
      <c r="F2817" s="17" t="s">
        <v>2994</v>
      </c>
      <c r="G2817" s="14">
        <v>2331</v>
      </c>
      <c r="H2817" s="14">
        <v>1864.8</v>
      </c>
      <c r="I2817" s="31">
        <f>IF(COUNTIFS(Addendum!C:C,A2817,Addendum!D:D,IF(ISNUMBER(B2817),TEXT(B2817,"0000"),B2817),Addendum!E:E,"X")&gt;0,4%,0)</f>
        <v>0.04</v>
      </c>
      <c r="J2817" s="31">
        <f>IF(COUNTIFS(Addendum!C:C,A2817,Addendum!D:D,IF(ISNUMBER(B2817),TEXT(B2817,"0000"),B2817),Addendum!F:F,"X")&gt;0,2.5%,0)</f>
        <v>0</v>
      </c>
      <c r="K2817" s="31">
        <f>IF(COUNTIFS(Addendum!C:C,A2817,Addendum!D:D,IF(ISNUMBER(B2817),TEXT(B2817,"0000"),B2817),Addendum!G:G,"X")&gt;0,7%,0)</f>
        <v>0</v>
      </c>
      <c r="L2817" s="31">
        <f>IF(COUNTIFS(Addendum!C:C,A2817,Addendum!D:D,IF(ISNUMBER(B2817),TEXT(B2817,"0000"),B2817),Addendum!I:I,"X")&gt;0,10%,0)</f>
        <v>0</v>
      </c>
      <c r="M2817" s="34">
        <f t="shared" si="86"/>
        <v>0.01</v>
      </c>
      <c r="N2817" s="17">
        <f t="shared" si="87"/>
        <v>1846.152</v>
      </c>
    </row>
    <row r="2818" spans="1:14" x14ac:dyDescent="0.25">
      <c r="A2818" s="14" t="s">
        <v>1107</v>
      </c>
      <c r="B2818" s="14" t="s">
        <v>28</v>
      </c>
      <c r="C2818" s="15" t="s">
        <v>2579</v>
      </c>
      <c r="D2818" s="14" t="s">
        <v>1745</v>
      </c>
      <c r="E2818" s="14" t="s">
        <v>1747</v>
      </c>
      <c r="F2818" s="17" t="s">
        <v>2994</v>
      </c>
      <c r="G2818" s="14">
        <v>3000</v>
      </c>
      <c r="H2818" s="14">
        <v>2400</v>
      </c>
      <c r="I2818" s="31">
        <f>IF(COUNTIFS(Addendum!C:C,A2818,Addendum!D:D,IF(ISNUMBER(B2818),TEXT(B2818,"0000"),B2818),Addendum!E:E,"X")&gt;0,4%,0)</f>
        <v>0.04</v>
      </c>
      <c r="J2818" s="31">
        <f>IF(COUNTIFS(Addendum!C:C,A2818,Addendum!D:D,IF(ISNUMBER(B2818),TEXT(B2818,"0000"),B2818),Addendum!F:F,"X")&gt;0,2.5%,0)</f>
        <v>0</v>
      </c>
      <c r="K2818" s="31">
        <f>IF(COUNTIFS(Addendum!C:C,A2818,Addendum!D:D,IF(ISNUMBER(B2818),TEXT(B2818,"0000"),B2818),Addendum!G:G,"X")&gt;0,7%,0)</f>
        <v>0</v>
      </c>
      <c r="L2818" s="31">
        <f>IF(COUNTIFS(Addendum!C:C,A2818,Addendum!D:D,IF(ISNUMBER(B2818),TEXT(B2818,"0000"),B2818),Addendum!I:I,"X")&gt;0,10%,0)</f>
        <v>0</v>
      </c>
      <c r="M2818" s="34">
        <f t="shared" si="86"/>
        <v>0.03</v>
      </c>
      <c r="N2818" s="17">
        <f t="shared" si="87"/>
        <v>2328</v>
      </c>
    </row>
    <row r="2819" spans="1:14" x14ac:dyDescent="0.25">
      <c r="A2819" s="14" t="s">
        <v>1107</v>
      </c>
      <c r="B2819" s="14">
        <v>25</v>
      </c>
      <c r="C2819" s="15" t="s">
        <v>2583</v>
      </c>
      <c r="D2819" s="14" t="s">
        <v>1745</v>
      </c>
      <c r="E2819" s="14" t="s">
        <v>1746</v>
      </c>
      <c r="F2819" s="17" t="s">
        <v>2995</v>
      </c>
      <c r="G2819" s="14">
        <v>0</v>
      </c>
      <c r="H2819" s="14">
        <v>0</v>
      </c>
      <c r="I2819" s="31">
        <f>IF(COUNTIFS(Addendum!C:C,A2819,Addendum!D:D,IF(ISNUMBER(B2819),TEXT(B2819,"0000"),B2819),Addendum!E:E,"X")&gt;0,4%,0)</f>
        <v>0.04</v>
      </c>
      <c r="J2819" s="31">
        <f>IF(COUNTIFS(Addendum!C:C,A2819,Addendum!D:D,IF(ISNUMBER(B2819),TEXT(B2819,"0000"),B2819),Addendum!F:F,"X")&gt;0,2.5%,0)</f>
        <v>0</v>
      </c>
      <c r="K2819" s="31">
        <f>IF(COUNTIFS(Addendum!C:C,A2819,Addendum!D:D,IF(ISNUMBER(B2819),TEXT(B2819,"0000"),B2819),Addendum!G:G,"X")&gt;0,7%,0)</f>
        <v>0</v>
      </c>
      <c r="L2819" s="31">
        <f>IF(COUNTIFS(Addendum!C:C,A2819,Addendum!D:D,IF(ISNUMBER(B2819),TEXT(B2819,"0000"),B2819),Addendum!I:I,"X")&gt;0,10%,0)</f>
        <v>0</v>
      </c>
      <c r="M2819" s="34">
        <f t="shared" si="86"/>
        <v>0.01</v>
      </c>
      <c r="N2819" s="17">
        <f t="shared" si="87"/>
        <v>0</v>
      </c>
    </row>
    <row r="2820" spans="1:14" x14ac:dyDescent="0.25">
      <c r="A2820" s="14" t="s">
        <v>1107</v>
      </c>
      <c r="B2820" s="14">
        <v>1</v>
      </c>
      <c r="C2820" s="15" t="s">
        <v>2580</v>
      </c>
      <c r="D2820" s="14" t="s">
        <v>1745</v>
      </c>
      <c r="E2820" s="14" t="s">
        <v>1746</v>
      </c>
      <c r="F2820" s="17" t="s">
        <v>2993</v>
      </c>
      <c r="G2820" s="14">
        <v>8379</v>
      </c>
      <c r="H2820" s="14">
        <v>6703.2</v>
      </c>
      <c r="I2820" s="31">
        <f>IF(COUNTIFS(Addendum!C:C,A2820,Addendum!D:D,IF(ISNUMBER(B2820),TEXT(B2820,"0000"),B2820),Addendum!E:E,"X")&gt;0,4%,0)</f>
        <v>0.04</v>
      </c>
      <c r="J2820" s="31">
        <f>IF(COUNTIFS(Addendum!C:C,A2820,Addendum!D:D,IF(ISNUMBER(B2820),TEXT(B2820,"0000"),B2820),Addendum!F:F,"X")&gt;0,2.5%,0)</f>
        <v>0</v>
      </c>
      <c r="K2820" s="31">
        <f>IF(COUNTIFS(Addendum!C:C,A2820,Addendum!D:D,IF(ISNUMBER(B2820),TEXT(B2820,"0000"),B2820),Addendum!G:G,"X")&gt;0,7%,0)</f>
        <v>0</v>
      </c>
      <c r="L2820" s="31">
        <f>IF(COUNTIFS(Addendum!C:C,A2820,Addendum!D:D,IF(ISNUMBER(B2820),TEXT(B2820,"0000"),B2820),Addendum!I:I,"X")&gt;0,10%,0)</f>
        <v>0</v>
      </c>
      <c r="M2820" s="34">
        <f t="shared" ref="M2820:M2883" si="88">IF(AND(I2820=0%,J2820=0%,K2820=0%,L2820=0%),0%,
IF(OR(TRIM(E2820)="OneTime",TRIM(D2820)=""),0%,
IF(
OR(
TRIM(D2820)="P1M",
AND(TRIM(D2820)="P1Y",TRIM(E2820)="Monthly"),
AND(TRIM(D2820)="P3Y",TRIM(E2820)="Monthly")
),
IF(AND(I2820=4%,J2820=0%,K2820=0%,L2820=0%),1%,
IF(AND(I2820=4%,J2820=2.5%,K2820=0%,L2820=10%),2%,
IF(AND(I2820=4%,J2820=0%,K2820=7%,L2820=10%),3%,0%))),
IF(
OR(
AND(TRIM(D2820)="P1Y",TRIM(E2820)="Annual"),
AND(TRIM(D2820)="P3Y",TRIM(E2820)="Annual"),
AND(TRIM(D2820)="P3Y",TRIM(E2820)="Triennial")
),
IF(AND(I2820=4%,J2820=0%,K2820=0%,L2820=0%),3%,
IF(AND(I2820=4%,J2820=2.5%,K2820=0%,L2820=10%),10%,
IF(AND(I2820=4%,J2820=0%,K2820=7%,L2820=10%),14%,0%))),
0%
))))</f>
        <v>0.01</v>
      </c>
      <c r="N2820" s="17">
        <f t="shared" ref="N2820:N2883" si="89">H2820-(H2820*M2820)</f>
        <v>6636.1679999999997</v>
      </c>
    </row>
    <row r="2821" spans="1:14" x14ac:dyDescent="0.25">
      <c r="A2821" s="14" t="s">
        <v>1107</v>
      </c>
      <c r="B2821" s="14" t="s">
        <v>32</v>
      </c>
      <c r="C2821" s="15" t="s">
        <v>2584</v>
      </c>
      <c r="D2821" s="14" t="s">
        <v>1749</v>
      </c>
      <c r="E2821" s="14" t="s">
        <v>1746</v>
      </c>
      <c r="F2821" s="17" t="s">
        <v>2995</v>
      </c>
      <c r="G2821" s="14">
        <v>318</v>
      </c>
      <c r="H2821" s="14">
        <v>286.2</v>
      </c>
      <c r="I2821" s="31">
        <f>IF(COUNTIFS(Addendum!C:C,A2821,Addendum!D:D,IF(ISNUMBER(B2821),TEXT(B2821,"0000"),B2821),Addendum!E:E,"X")&gt;0,4%,0)</f>
        <v>0.04</v>
      </c>
      <c r="J2821" s="31">
        <f>IF(COUNTIFS(Addendum!C:C,A2821,Addendum!D:D,IF(ISNUMBER(B2821),TEXT(B2821,"0000"),B2821),Addendum!F:F,"X")&gt;0,2.5%,0)</f>
        <v>0</v>
      </c>
      <c r="K2821" s="31">
        <f>IF(COUNTIFS(Addendum!C:C,A2821,Addendum!D:D,IF(ISNUMBER(B2821),TEXT(B2821,"0000"),B2821),Addendum!G:G,"X")&gt;0,7%,0)</f>
        <v>0</v>
      </c>
      <c r="L2821" s="31">
        <f>IF(COUNTIFS(Addendum!C:C,A2821,Addendum!D:D,IF(ISNUMBER(B2821),TEXT(B2821,"0000"),B2821),Addendum!I:I,"X")&gt;0,10%,0)</f>
        <v>0</v>
      </c>
      <c r="M2821" s="34">
        <f t="shared" si="88"/>
        <v>0.01</v>
      </c>
      <c r="N2821" s="17">
        <f t="shared" si="89"/>
        <v>283.33799999999997</v>
      </c>
    </row>
    <row r="2822" spans="1:14" x14ac:dyDescent="0.25">
      <c r="A2822" s="14" t="s">
        <v>1107</v>
      </c>
      <c r="B2822" s="14">
        <v>26</v>
      </c>
      <c r="C2822" s="15" t="s">
        <v>1115</v>
      </c>
      <c r="D2822" s="14" t="s">
        <v>1745</v>
      </c>
      <c r="E2822" s="14" t="s">
        <v>1747</v>
      </c>
      <c r="F2822" s="17" t="s">
        <v>2993</v>
      </c>
      <c r="G2822" s="14">
        <v>0</v>
      </c>
      <c r="H2822" s="14">
        <v>0</v>
      </c>
      <c r="I2822" s="31">
        <f>IF(COUNTIFS(Addendum!C:C,A2822,Addendum!D:D,IF(ISNUMBER(B2822),TEXT(B2822,"0000"),B2822),Addendum!E:E,"X")&gt;0,4%,0)</f>
        <v>0.04</v>
      </c>
      <c r="J2822" s="31">
        <f>IF(COUNTIFS(Addendum!C:C,A2822,Addendum!D:D,IF(ISNUMBER(B2822),TEXT(B2822,"0000"),B2822),Addendum!F:F,"X")&gt;0,2.5%,0)</f>
        <v>0</v>
      </c>
      <c r="K2822" s="31">
        <f>IF(COUNTIFS(Addendum!C:C,A2822,Addendum!D:D,IF(ISNUMBER(B2822),TEXT(B2822,"0000"),B2822),Addendum!G:G,"X")&gt;0,7%,0)</f>
        <v>0</v>
      </c>
      <c r="L2822" s="31">
        <f>IF(COUNTIFS(Addendum!C:C,A2822,Addendum!D:D,IF(ISNUMBER(B2822),TEXT(B2822,"0000"),B2822),Addendum!I:I,"X")&gt;0,10%,0)</f>
        <v>0</v>
      </c>
      <c r="M2822" s="34">
        <f t="shared" si="88"/>
        <v>0.03</v>
      </c>
      <c r="N2822" s="17">
        <f t="shared" si="89"/>
        <v>0</v>
      </c>
    </row>
    <row r="2823" spans="1:14" x14ac:dyDescent="0.25">
      <c r="A2823" s="14" t="s">
        <v>1107</v>
      </c>
      <c r="B2823" s="14" t="s">
        <v>329</v>
      </c>
      <c r="C2823" s="15" t="s">
        <v>2585</v>
      </c>
      <c r="D2823" s="14" t="s">
        <v>1745</v>
      </c>
      <c r="E2823" s="14" t="s">
        <v>1747</v>
      </c>
      <c r="F2823" s="17" t="s">
        <v>2994</v>
      </c>
      <c r="G2823" s="14">
        <v>0</v>
      </c>
      <c r="H2823" s="14">
        <v>0</v>
      </c>
      <c r="I2823" s="31">
        <f>IF(COUNTIFS(Addendum!C:C,A2823,Addendum!D:D,IF(ISNUMBER(B2823),TEXT(B2823,"0000"),B2823),Addendum!E:E,"X")&gt;0,4%,0)</f>
        <v>0.04</v>
      </c>
      <c r="J2823" s="31">
        <f>IF(COUNTIFS(Addendum!C:C,A2823,Addendum!D:D,IF(ISNUMBER(B2823),TEXT(B2823,"0000"),B2823),Addendum!F:F,"X")&gt;0,2.5%,0)</f>
        <v>0</v>
      </c>
      <c r="K2823" s="31">
        <f>IF(COUNTIFS(Addendum!C:C,A2823,Addendum!D:D,IF(ISNUMBER(B2823),TEXT(B2823,"0000"),B2823),Addendum!G:G,"X")&gt;0,7%,0)</f>
        <v>0</v>
      </c>
      <c r="L2823" s="31">
        <f>IF(COUNTIFS(Addendum!C:C,A2823,Addendum!D:D,IF(ISNUMBER(B2823),TEXT(B2823,"0000"),B2823),Addendum!I:I,"X")&gt;0,10%,0)</f>
        <v>0</v>
      </c>
      <c r="M2823" s="34">
        <f t="shared" si="88"/>
        <v>0.03</v>
      </c>
      <c r="N2823" s="17">
        <f t="shared" si="89"/>
        <v>0</v>
      </c>
    </row>
    <row r="2824" spans="1:14" x14ac:dyDescent="0.25">
      <c r="A2824" s="14" t="s">
        <v>1107</v>
      </c>
      <c r="B2824" s="14">
        <v>25</v>
      </c>
      <c r="C2824" s="15" t="s">
        <v>2583</v>
      </c>
      <c r="D2824" s="14" t="s">
        <v>1749</v>
      </c>
      <c r="E2824" s="14" t="s">
        <v>1746</v>
      </c>
      <c r="F2824" s="17" t="s">
        <v>2995</v>
      </c>
      <c r="G2824" s="14">
        <v>0</v>
      </c>
      <c r="H2824" s="14">
        <v>0</v>
      </c>
      <c r="I2824" s="31">
        <f>IF(COUNTIFS(Addendum!C:C,A2824,Addendum!D:D,IF(ISNUMBER(B2824),TEXT(B2824,"0000"),B2824),Addendum!E:E,"X")&gt;0,4%,0)</f>
        <v>0.04</v>
      </c>
      <c r="J2824" s="31">
        <f>IF(COUNTIFS(Addendum!C:C,A2824,Addendum!D:D,IF(ISNUMBER(B2824),TEXT(B2824,"0000"),B2824),Addendum!F:F,"X")&gt;0,2.5%,0)</f>
        <v>0</v>
      </c>
      <c r="K2824" s="31">
        <f>IF(COUNTIFS(Addendum!C:C,A2824,Addendum!D:D,IF(ISNUMBER(B2824),TEXT(B2824,"0000"),B2824),Addendum!G:G,"X")&gt;0,7%,0)</f>
        <v>0</v>
      </c>
      <c r="L2824" s="31">
        <f>IF(COUNTIFS(Addendum!C:C,A2824,Addendum!D:D,IF(ISNUMBER(B2824),TEXT(B2824,"0000"),B2824),Addendum!I:I,"X")&gt;0,10%,0)</f>
        <v>0</v>
      </c>
      <c r="M2824" s="34">
        <f t="shared" si="88"/>
        <v>0.01</v>
      </c>
      <c r="N2824" s="17">
        <f t="shared" si="89"/>
        <v>0</v>
      </c>
    </row>
    <row r="2825" spans="1:14" x14ac:dyDescent="0.25">
      <c r="A2825" s="14" t="s">
        <v>1107</v>
      </c>
      <c r="B2825" s="14" t="s">
        <v>329</v>
      </c>
      <c r="C2825" s="15" t="s">
        <v>2585</v>
      </c>
      <c r="D2825" s="14" t="s">
        <v>1745</v>
      </c>
      <c r="E2825" s="14" t="s">
        <v>1746</v>
      </c>
      <c r="F2825" s="17" t="s">
        <v>2994</v>
      </c>
      <c r="G2825" s="14">
        <v>0</v>
      </c>
      <c r="H2825" s="14">
        <v>0</v>
      </c>
      <c r="I2825" s="31">
        <f>IF(COUNTIFS(Addendum!C:C,A2825,Addendum!D:D,IF(ISNUMBER(B2825),TEXT(B2825,"0000"),B2825),Addendum!E:E,"X")&gt;0,4%,0)</f>
        <v>0.04</v>
      </c>
      <c r="J2825" s="31">
        <f>IF(COUNTIFS(Addendum!C:C,A2825,Addendum!D:D,IF(ISNUMBER(B2825),TEXT(B2825,"0000"),B2825),Addendum!F:F,"X")&gt;0,2.5%,0)</f>
        <v>0</v>
      </c>
      <c r="K2825" s="31">
        <f>IF(COUNTIFS(Addendum!C:C,A2825,Addendum!D:D,IF(ISNUMBER(B2825),TEXT(B2825,"0000"),B2825),Addendum!G:G,"X")&gt;0,7%,0)</f>
        <v>0</v>
      </c>
      <c r="L2825" s="31">
        <f>IF(COUNTIFS(Addendum!C:C,A2825,Addendum!D:D,IF(ISNUMBER(B2825),TEXT(B2825,"0000"),B2825),Addendum!I:I,"X")&gt;0,10%,0)</f>
        <v>0</v>
      </c>
      <c r="M2825" s="34">
        <f t="shared" si="88"/>
        <v>0.01</v>
      </c>
      <c r="N2825" s="17">
        <f t="shared" si="89"/>
        <v>0</v>
      </c>
    </row>
    <row r="2826" spans="1:14" x14ac:dyDescent="0.25">
      <c r="A2826" s="14" t="s">
        <v>1107</v>
      </c>
      <c r="B2826" s="14">
        <v>26</v>
      </c>
      <c r="C2826" s="15" t="s">
        <v>1115</v>
      </c>
      <c r="D2826" s="14" t="s">
        <v>1749</v>
      </c>
      <c r="E2826" s="14" t="s">
        <v>1746</v>
      </c>
      <c r="F2826" s="17" t="s">
        <v>2993</v>
      </c>
      <c r="G2826" s="14">
        <v>0</v>
      </c>
      <c r="H2826" s="14">
        <v>0</v>
      </c>
      <c r="I2826" s="31">
        <f>IF(COUNTIFS(Addendum!C:C,A2826,Addendum!D:D,IF(ISNUMBER(B2826),TEXT(B2826,"0000"),B2826),Addendum!E:E,"X")&gt;0,4%,0)</f>
        <v>0.04</v>
      </c>
      <c r="J2826" s="31">
        <f>IF(COUNTIFS(Addendum!C:C,A2826,Addendum!D:D,IF(ISNUMBER(B2826),TEXT(B2826,"0000"),B2826),Addendum!F:F,"X")&gt;0,2.5%,0)</f>
        <v>0</v>
      </c>
      <c r="K2826" s="31">
        <f>IF(COUNTIFS(Addendum!C:C,A2826,Addendum!D:D,IF(ISNUMBER(B2826),TEXT(B2826,"0000"),B2826),Addendum!G:G,"X")&gt;0,7%,0)</f>
        <v>0</v>
      </c>
      <c r="L2826" s="31">
        <f>IF(COUNTIFS(Addendum!C:C,A2826,Addendum!D:D,IF(ISNUMBER(B2826),TEXT(B2826,"0000"),B2826),Addendum!I:I,"X")&gt;0,10%,0)</f>
        <v>0</v>
      </c>
      <c r="M2826" s="34">
        <f t="shared" si="88"/>
        <v>0.01</v>
      </c>
      <c r="N2826" s="17">
        <f t="shared" si="89"/>
        <v>0</v>
      </c>
    </row>
    <row r="2827" spans="1:14" x14ac:dyDescent="0.25">
      <c r="A2827" s="14" t="s">
        <v>1107</v>
      </c>
      <c r="B2827" s="14" t="s">
        <v>183</v>
      </c>
      <c r="C2827" s="15" t="s">
        <v>2581</v>
      </c>
      <c r="D2827" s="14" t="s">
        <v>1749</v>
      </c>
      <c r="E2827" s="14" t="s">
        <v>1746</v>
      </c>
      <c r="F2827" s="17" t="s">
        <v>2994</v>
      </c>
      <c r="G2827" s="14">
        <v>0</v>
      </c>
      <c r="H2827" s="14">
        <v>0</v>
      </c>
      <c r="I2827" s="31">
        <f>IF(COUNTIFS(Addendum!C:C,A2827,Addendum!D:D,IF(ISNUMBER(B2827),TEXT(B2827,"0000"),B2827),Addendum!E:E,"X")&gt;0,4%,0)</f>
        <v>0.04</v>
      </c>
      <c r="J2827" s="31">
        <f>IF(COUNTIFS(Addendum!C:C,A2827,Addendum!D:D,IF(ISNUMBER(B2827),TEXT(B2827,"0000"),B2827),Addendum!F:F,"X")&gt;0,2.5%,0)</f>
        <v>0</v>
      </c>
      <c r="K2827" s="31">
        <f>IF(COUNTIFS(Addendum!C:C,A2827,Addendum!D:D,IF(ISNUMBER(B2827),TEXT(B2827,"0000"),B2827),Addendum!G:G,"X")&gt;0,7%,0)</f>
        <v>0</v>
      </c>
      <c r="L2827" s="31">
        <f>IF(COUNTIFS(Addendum!C:C,A2827,Addendum!D:D,IF(ISNUMBER(B2827),TEXT(B2827,"0000"),B2827),Addendum!I:I,"X")&gt;0,10%,0)</f>
        <v>0</v>
      </c>
      <c r="M2827" s="34">
        <f t="shared" si="88"/>
        <v>0.01</v>
      </c>
      <c r="N2827" s="17">
        <f t="shared" si="89"/>
        <v>0</v>
      </c>
    </row>
    <row r="2828" spans="1:14" x14ac:dyDescent="0.25">
      <c r="A2828" s="14" t="s">
        <v>1107</v>
      </c>
      <c r="B2828" s="14" t="s">
        <v>32</v>
      </c>
      <c r="C2828" s="15" t="s">
        <v>2584</v>
      </c>
      <c r="D2828" s="14" t="s">
        <v>1745</v>
      </c>
      <c r="E2828" s="14" t="s">
        <v>1746</v>
      </c>
      <c r="F2828" s="17" t="s">
        <v>2995</v>
      </c>
      <c r="G2828" s="14">
        <v>3339</v>
      </c>
      <c r="H2828" s="14">
        <v>3005.16</v>
      </c>
      <c r="I2828" s="31">
        <f>IF(COUNTIFS(Addendum!C:C,A2828,Addendum!D:D,IF(ISNUMBER(B2828),TEXT(B2828,"0000"),B2828),Addendum!E:E,"X")&gt;0,4%,0)</f>
        <v>0.04</v>
      </c>
      <c r="J2828" s="31">
        <f>IF(COUNTIFS(Addendum!C:C,A2828,Addendum!D:D,IF(ISNUMBER(B2828),TEXT(B2828,"0000"),B2828),Addendum!F:F,"X")&gt;0,2.5%,0)</f>
        <v>0</v>
      </c>
      <c r="K2828" s="31">
        <f>IF(COUNTIFS(Addendum!C:C,A2828,Addendum!D:D,IF(ISNUMBER(B2828),TEXT(B2828,"0000"),B2828),Addendum!G:G,"X")&gt;0,7%,0)</f>
        <v>0</v>
      </c>
      <c r="L2828" s="31">
        <f>IF(COUNTIFS(Addendum!C:C,A2828,Addendum!D:D,IF(ISNUMBER(B2828),TEXT(B2828,"0000"),B2828),Addendum!I:I,"X")&gt;0,10%,0)</f>
        <v>0</v>
      </c>
      <c r="M2828" s="34">
        <f t="shared" si="88"/>
        <v>0.01</v>
      </c>
      <c r="N2828" s="17">
        <f t="shared" si="89"/>
        <v>2975.1084000000001</v>
      </c>
    </row>
    <row r="2829" spans="1:14" x14ac:dyDescent="0.25">
      <c r="A2829" s="14" t="s">
        <v>1107</v>
      </c>
      <c r="B2829" s="14" t="s">
        <v>39</v>
      </c>
      <c r="C2829" s="15" t="s">
        <v>2582</v>
      </c>
      <c r="D2829" s="14" t="s">
        <v>1745</v>
      </c>
      <c r="E2829" s="14" t="s">
        <v>1747</v>
      </c>
      <c r="F2829" s="17" t="s">
        <v>2994</v>
      </c>
      <c r="G2829" s="14">
        <v>2220</v>
      </c>
      <c r="H2829" s="14">
        <v>1776</v>
      </c>
      <c r="I2829" s="31">
        <f>IF(COUNTIFS(Addendum!C:C,A2829,Addendum!D:D,IF(ISNUMBER(B2829),TEXT(B2829,"0000"),B2829),Addendum!E:E,"X")&gt;0,4%,0)</f>
        <v>0.04</v>
      </c>
      <c r="J2829" s="31">
        <f>IF(COUNTIFS(Addendum!C:C,A2829,Addendum!D:D,IF(ISNUMBER(B2829),TEXT(B2829,"0000"),B2829),Addendum!F:F,"X")&gt;0,2.5%,0)</f>
        <v>0</v>
      </c>
      <c r="K2829" s="31">
        <f>IF(COUNTIFS(Addendum!C:C,A2829,Addendum!D:D,IF(ISNUMBER(B2829),TEXT(B2829,"0000"),B2829),Addendum!G:G,"X")&gt;0,7%,0)</f>
        <v>0</v>
      </c>
      <c r="L2829" s="31">
        <f>IF(COUNTIFS(Addendum!C:C,A2829,Addendum!D:D,IF(ISNUMBER(B2829),TEXT(B2829,"0000"),B2829),Addendum!I:I,"X")&gt;0,10%,0)</f>
        <v>0</v>
      </c>
      <c r="M2829" s="34">
        <f t="shared" si="88"/>
        <v>0.03</v>
      </c>
      <c r="N2829" s="17">
        <f t="shared" si="89"/>
        <v>1722.72</v>
      </c>
    </row>
    <row r="2830" spans="1:14" x14ac:dyDescent="0.25">
      <c r="A2830" s="14" t="s">
        <v>1107</v>
      </c>
      <c r="B2830" s="14" t="s">
        <v>39</v>
      </c>
      <c r="C2830" s="15" t="s">
        <v>2582</v>
      </c>
      <c r="D2830" s="14" t="s">
        <v>1749</v>
      </c>
      <c r="E2830" s="14" t="s">
        <v>1746</v>
      </c>
      <c r="F2830" s="17" t="s">
        <v>2994</v>
      </c>
      <c r="G2830" s="14">
        <v>222</v>
      </c>
      <c r="H2830" s="14">
        <v>177.6</v>
      </c>
      <c r="I2830" s="31">
        <f>IF(COUNTIFS(Addendum!C:C,A2830,Addendum!D:D,IF(ISNUMBER(B2830),TEXT(B2830,"0000"),B2830),Addendum!E:E,"X")&gt;0,4%,0)</f>
        <v>0.04</v>
      </c>
      <c r="J2830" s="31">
        <f>IF(COUNTIFS(Addendum!C:C,A2830,Addendum!D:D,IF(ISNUMBER(B2830),TEXT(B2830,"0000"),B2830),Addendum!F:F,"X")&gt;0,2.5%,0)</f>
        <v>0</v>
      </c>
      <c r="K2830" s="31">
        <f>IF(COUNTIFS(Addendum!C:C,A2830,Addendum!D:D,IF(ISNUMBER(B2830),TEXT(B2830,"0000"),B2830),Addendum!G:G,"X")&gt;0,7%,0)</f>
        <v>0</v>
      </c>
      <c r="L2830" s="31">
        <f>IF(COUNTIFS(Addendum!C:C,A2830,Addendum!D:D,IF(ISNUMBER(B2830),TEXT(B2830,"0000"),B2830),Addendum!I:I,"X")&gt;0,10%,0)</f>
        <v>0</v>
      </c>
      <c r="M2830" s="34">
        <f t="shared" si="88"/>
        <v>0.01</v>
      </c>
      <c r="N2830" s="17">
        <f t="shared" si="89"/>
        <v>175.82399999999998</v>
      </c>
    </row>
    <row r="2831" spans="1:14" x14ac:dyDescent="0.25">
      <c r="A2831" s="14" t="s">
        <v>1107</v>
      </c>
      <c r="B2831" s="14" t="s">
        <v>32</v>
      </c>
      <c r="C2831" s="15" t="s">
        <v>2584</v>
      </c>
      <c r="D2831" s="14" t="s">
        <v>1745</v>
      </c>
      <c r="E2831" s="14" t="s">
        <v>1747</v>
      </c>
      <c r="F2831" s="17" t="s">
        <v>2995</v>
      </c>
      <c r="G2831" s="14">
        <v>3180</v>
      </c>
      <c r="H2831" s="14">
        <v>2862</v>
      </c>
      <c r="I2831" s="31">
        <f>IF(COUNTIFS(Addendum!C:C,A2831,Addendum!D:D,IF(ISNUMBER(B2831),TEXT(B2831,"0000"),B2831),Addendum!E:E,"X")&gt;0,4%,0)</f>
        <v>0.04</v>
      </c>
      <c r="J2831" s="31">
        <f>IF(COUNTIFS(Addendum!C:C,A2831,Addendum!D:D,IF(ISNUMBER(B2831),TEXT(B2831,"0000"),B2831),Addendum!F:F,"X")&gt;0,2.5%,0)</f>
        <v>0</v>
      </c>
      <c r="K2831" s="31">
        <f>IF(COUNTIFS(Addendum!C:C,A2831,Addendum!D:D,IF(ISNUMBER(B2831),TEXT(B2831,"0000"),B2831),Addendum!G:G,"X")&gt;0,7%,0)</f>
        <v>0</v>
      </c>
      <c r="L2831" s="31">
        <f>IF(COUNTIFS(Addendum!C:C,A2831,Addendum!D:D,IF(ISNUMBER(B2831),TEXT(B2831,"0000"),B2831),Addendum!I:I,"X")&gt;0,10%,0)</f>
        <v>0</v>
      </c>
      <c r="M2831" s="34">
        <f t="shared" si="88"/>
        <v>0.03</v>
      </c>
      <c r="N2831" s="17">
        <f t="shared" si="89"/>
        <v>2776.14</v>
      </c>
    </row>
    <row r="2832" spans="1:14" x14ac:dyDescent="0.25">
      <c r="A2832" s="14" t="s">
        <v>1107</v>
      </c>
      <c r="B2832" s="14">
        <v>26</v>
      </c>
      <c r="C2832" s="15" t="s">
        <v>1115</v>
      </c>
      <c r="D2832" s="14" t="s">
        <v>1745</v>
      </c>
      <c r="E2832" s="14" t="s">
        <v>1746</v>
      </c>
      <c r="F2832" s="17" t="s">
        <v>2993</v>
      </c>
      <c r="G2832" s="14">
        <v>0</v>
      </c>
      <c r="H2832" s="14">
        <v>0</v>
      </c>
      <c r="I2832" s="31">
        <f>IF(COUNTIFS(Addendum!C:C,A2832,Addendum!D:D,IF(ISNUMBER(B2832),TEXT(B2832,"0000"),B2832),Addendum!E:E,"X")&gt;0,4%,0)</f>
        <v>0.04</v>
      </c>
      <c r="J2832" s="31">
        <f>IF(COUNTIFS(Addendum!C:C,A2832,Addendum!D:D,IF(ISNUMBER(B2832),TEXT(B2832,"0000"),B2832),Addendum!F:F,"X")&gt;0,2.5%,0)</f>
        <v>0</v>
      </c>
      <c r="K2832" s="31">
        <f>IF(COUNTIFS(Addendum!C:C,A2832,Addendum!D:D,IF(ISNUMBER(B2832),TEXT(B2832,"0000"),B2832),Addendum!G:G,"X")&gt;0,7%,0)</f>
        <v>0</v>
      </c>
      <c r="L2832" s="31">
        <f>IF(COUNTIFS(Addendum!C:C,A2832,Addendum!D:D,IF(ISNUMBER(B2832),TEXT(B2832,"0000"),B2832),Addendum!I:I,"X")&gt;0,10%,0)</f>
        <v>0</v>
      </c>
      <c r="M2832" s="34">
        <f t="shared" si="88"/>
        <v>0.01</v>
      </c>
      <c r="N2832" s="17">
        <f t="shared" si="89"/>
        <v>0</v>
      </c>
    </row>
    <row r="2833" spans="1:14" x14ac:dyDescent="0.25">
      <c r="A2833" s="14" t="s">
        <v>1107</v>
      </c>
      <c r="B2833" s="14" t="s">
        <v>329</v>
      </c>
      <c r="C2833" s="15" t="s">
        <v>2585</v>
      </c>
      <c r="D2833" s="14" t="s">
        <v>1749</v>
      </c>
      <c r="E2833" s="14" t="s">
        <v>1746</v>
      </c>
      <c r="F2833" s="17" t="s">
        <v>2994</v>
      </c>
      <c r="G2833" s="14">
        <v>0</v>
      </c>
      <c r="H2833" s="14">
        <v>0</v>
      </c>
      <c r="I2833" s="31">
        <f>IF(COUNTIFS(Addendum!C:C,A2833,Addendum!D:D,IF(ISNUMBER(B2833),TEXT(B2833,"0000"),B2833),Addendum!E:E,"X")&gt;0,4%,0)</f>
        <v>0.04</v>
      </c>
      <c r="J2833" s="31">
        <f>IF(COUNTIFS(Addendum!C:C,A2833,Addendum!D:D,IF(ISNUMBER(B2833),TEXT(B2833,"0000"),B2833),Addendum!F:F,"X")&gt;0,2.5%,0)</f>
        <v>0</v>
      </c>
      <c r="K2833" s="31">
        <f>IF(COUNTIFS(Addendum!C:C,A2833,Addendum!D:D,IF(ISNUMBER(B2833),TEXT(B2833,"0000"),B2833),Addendum!G:G,"X")&gt;0,7%,0)</f>
        <v>0</v>
      </c>
      <c r="L2833" s="31">
        <f>IF(COUNTIFS(Addendum!C:C,A2833,Addendum!D:D,IF(ISNUMBER(B2833),TEXT(B2833,"0000"),B2833),Addendum!I:I,"X")&gt;0,10%,0)</f>
        <v>0</v>
      </c>
      <c r="M2833" s="34">
        <f t="shared" si="88"/>
        <v>0.01</v>
      </c>
      <c r="N2833" s="17">
        <f t="shared" si="89"/>
        <v>0</v>
      </c>
    </row>
    <row r="2834" spans="1:14" x14ac:dyDescent="0.25">
      <c r="A2834" s="14" t="s">
        <v>1107</v>
      </c>
      <c r="B2834" s="14" t="s">
        <v>28</v>
      </c>
      <c r="C2834" s="15" t="s">
        <v>2579</v>
      </c>
      <c r="D2834" s="14" t="s">
        <v>1749</v>
      </c>
      <c r="E2834" s="14" t="s">
        <v>1746</v>
      </c>
      <c r="F2834" s="17" t="s">
        <v>2994</v>
      </c>
      <c r="G2834" s="14">
        <v>300</v>
      </c>
      <c r="H2834" s="14">
        <v>240</v>
      </c>
      <c r="I2834" s="31">
        <f>IF(COUNTIFS(Addendum!C:C,A2834,Addendum!D:D,IF(ISNUMBER(B2834),TEXT(B2834,"0000"),B2834),Addendum!E:E,"X")&gt;0,4%,0)</f>
        <v>0.04</v>
      </c>
      <c r="J2834" s="31">
        <f>IF(COUNTIFS(Addendum!C:C,A2834,Addendum!D:D,IF(ISNUMBER(B2834),TEXT(B2834,"0000"),B2834),Addendum!F:F,"X")&gt;0,2.5%,0)</f>
        <v>0</v>
      </c>
      <c r="K2834" s="31">
        <f>IF(COUNTIFS(Addendum!C:C,A2834,Addendum!D:D,IF(ISNUMBER(B2834),TEXT(B2834,"0000"),B2834),Addendum!G:G,"X")&gt;0,7%,0)</f>
        <v>0</v>
      </c>
      <c r="L2834" s="31">
        <f>IF(COUNTIFS(Addendum!C:C,A2834,Addendum!D:D,IF(ISNUMBER(B2834),TEXT(B2834,"0000"),B2834),Addendum!I:I,"X")&gt;0,10%,0)</f>
        <v>0</v>
      </c>
      <c r="M2834" s="34">
        <f t="shared" si="88"/>
        <v>0.01</v>
      </c>
      <c r="N2834" s="17">
        <f t="shared" si="89"/>
        <v>237.6</v>
      </c>
    </row>
    <row r="2835" spans="1:14" x14ac:dyDescent="0.25">
      <c r="A2835" s="14" t="s">
        <v>1107</v>
      </c>
      <c r="B2835" s="14" t="s">
        <v>183</v>
      </c>
      <c r="C2835" s="15" t="s">
        <v>2581</v>
      </c>
      <c r="D2835" s="14" t="s">
        <v>1745</v>
      </c>
      <c r="E2835" s="14" t="s">
        <v>1747</v>
      </c>
      <c r="F2835" s="17" t="s">
        <v>2994</v>
      </c>
      <c r="G2835" s="14">
        <v>0</v>
      </c>
      <c r="H2835" s="14">
        <v>0</v>
      </c>
      <c r="I2835" s="31">
        <f>IF(COUNTIFS(Addendum!C:C,A2835,Addendum!D:D,IF(ISNUMBER(B2835),TEXT(B2835,"0000"),B2835),Addendum!E:E,"X")&gt;0,4%,0)</f>
        <v>0.04</v>
      </c>
      <c r="J2835" s="31">
        <f>IF(COUNTIFS(Addendum!C:C,A2835,Addendum!D:D,IF(ISNUMBER(B2835),TEXT(B2835,"0000"),B2835),Addendum!F:F,"X")&gt;0,2.5%,0)</f>
        <v>0</v>
      </c>
      <c r="K2835" s="31">
        <f>IF(COUNTIFS(Addendum!C:C,A2835,Addendum!D:D,IF(ISNUMBER(B2835),TEXT(B2835,"0000"),B2835),Addendum!G:G,"X")&gt;0,7%,0)</f>
        <v>0</v>
      </c>
      <c r="L2835" s="31">
        <f>IF(COUNTIFS(Addendum!C:C,A2835,Addendum!D:D,IF(ISNUMBER(B2835),TEXT(B2835,"0000"),B2835),Addendum!I:I,"X")&gt;0,10%,0)</f>
        <v>0</v>
      </c>
      <c r="M2835" s="34">
        <f t="shared" si="88"/>
        <v>0.03</v>
      </c>
      <c r="N2835" s="17">
        <f t="shared" si="89"/>
        <v>0</v>
      </c>
    </row>
    <row r="2836" spans="1:14" x14ac:dyDescent="0.25">
      <c r="A2836" s="14" t="s">
        <v>1107</v>
      </c>
      <c r="B2836" s="14">
        <v>1</v>
      </c>
      <c r="C2836" s="15" t="s">
        <v>2580</v>
      </c>
      <c r="D2836" s="14" t="s">
        <v>1749</v>
      </c>
      <c r="E2836" s="14" t="s">
        <v>1746</v>
      </c>
      <c r="F2836" s="17" t="s">
        <v>2993</v>
      </c>
      <c r="G2836" s="14">
        <v>798</v>
      </c>
      <c r="H2836" s="14">
        <v>638.4</v>
      </c>
      <c r="I2836" s="31">
        <f>IF(COUNTIFS(Addendum!C:C,A2836,Addendum!D:D,IF(ISNUMBER(B2836),TEXT(B2836,"0000"),B2836),Addendum!E:E,"X")&gt;0,4%,0)</f>
        <v>0.04</v>
      </c>
      <c r="J2836" s="31">
        <f>IF(COUNTIFS(Addendum!C:C,A2836,Addendum!D:D,IF(ISNUMBER(B2836),TEXT(B2836,"0000"),B2836),Addendum!F:F,"X")&gt;0,2.5%,0)</f>
        <v>0</v>
      </c>
      <c r="K2836" s="31">
        <f>IF(COUNTIFS(Addendum!C:C,A2836,Addendum!D:D,IF(ISNUMBER(B2836),TEXT(B2836,"0000"),B2836),Addendum!G:G,"X")&gt;0,7%,0)</f>
        <v>0</v>
      </c>
      <c r="L2836" s="31">
        <f>IF(COUNTIFS(Addendum!C:C,A2836,Addendum!D:D,IF(ISNUMBER(B2836),TEXT(B2836,"0000"),B2836),Addendum!I:I,"X")&gt;0,10%,0)</f>
        <v>0</v>
      </c>
      <c r="M2836" s="34">
        <f t="shared" si="88"/>
        <v>0.01</v>
      </c>
      <c r="N2836" s="17">
        <f t="shared" si="89"/>
        <v>632.01599999999996</v>
      </c>
    </row>
    <row r="2837" spans="1:14" x14ac:dyDescent="0.25">
      <c r="A2837" s="14" t="s">
        <v>1107</v>
      </c>
      <c r="B2837" s="14">
        <v>25</v>
      </c>
      <c r="C2837" s="15" t="s">
        <v>2583</v>
      </c>
      <c r="D2837" s="14" t="s">
        <v>1745</v>
      </c>
      <c r="E2837" s="14" t="s">
        <v>1747</v>
      </c>
      <c r="F2837" s="17" t="s">
        <v>2995</v>
      </c>
      <c r="G2837" s="14">
        <v>0</v>
      </c>
      <c r="H2837" s="14">
        <v>0</v>
      </c>
      <c r="I2837" s="31">
        <f>IF(COUNTIFS(Addendum!C:C,A2837,Addendum!D:D,IF(ISNUMBER(B2837),TEXT(B2837,"0000"),B2837),Addendum!E:E,"X")&gt;0,4%,0)</f>
        <v>0.04</v>
      </c>
      <c r="J2837" s="31">
        <f>IF(COUNTIFS(Addendum!C:C,A2837,Addendum!D:D,IF(ISNUMBER(B2837),TEXT(B2837,"0000"),B2837),Addendum!F:F,"X")&gt;0,2.5%,0)</f>
        <v>0</v>
      </c>
      <c r="K2837" s="31">
        <f>IF(COUNTIFS(Addendum!C:C,A2837,Addendum!D:D,IF(ISNUMBER(B2837),TEXT(B2837,"0000"),B2837),Addendum!G:G,"X")&gt;0,7%,0)</f>
        <v>0</v>
      </c>
      <c r="L2837" s="31">
        <f>IF(COUNTIFS(Addendum!C:C,A2837,Addendum!D:D,IF(ISNUMBER(B2837),TEXT(B2837,"0000"),B2837),Addendum!I:I,"X")&gt;0,10%,0)</f>
        <v>0</v>
      </c>
      <c r="M2837" s="34">
        <f t="shared" si="88"/>
        <v>0.03</v>
      </c>
      <c r="N2837" s="17">
        <f t="shared" si="89"/>
        <v>0</v>
      </c>
    </row>
    <row r="2838" spans="1:14" x14ac:dyDescent="0.25">
      <c r="A2838" s="14" t="s">
        <v>1122</v>
      </c>
      <c r="B2838" s="14">
        <v>1</v>
      </c>
      <c r="C2838" s="15" t="s">
        <v>1121</v>
      </c>
      <c r="D2838" s="14" t="s">
        <v>1745</v>
      </c>
      <c r="E2838" s="14" t="s">
        <v>1746</v>
      </c>
      <c r="F2838" s="17" t="s">
        <v>2993</v>
      </c>
      <c r="G2838" s="14">
        <v>2079</v>
      </c>
      <c r="H2838" s="14">
        <v>1663.2</v>
      </c>
      <c r="I2838" s="31">
        <f>IF(COUNTIFS(Addendum!C:C,A2838,Addendum!D:D,IF(ISNUMBER(B2838),TEXT(B2838,"0000"),B2838),Addendum!E:E,"X")&gt;0,4%,0)</f>
        <v>0.04</v>
      </c>
      <c r="J2838" s="31">
        <f>IF(COUNTIFS(Addendum!C:C,A2838,Addendum!D:D,IF(ISNUMBER(B2838),TEXT(B2838,"0000"),B2838),Addendum!F:F,"X")&gt;0,2.5%,0)</f>
        <v>0</v>
      </c>
      <c r="K2838" s="31">
        <f>IF(COUNTIFS(Addendum!C:C,A2838,Addendum!D:D,IF(ISNUMBER(B2838),TEXT(B2838,"0000"),B2838),Addendum!G:G,"X")&gt;0,7%,0)</f>
        <v>0</v>
      </c>
      <c r="L2838" s="31">
        <f>IF(COUNTIFS(Addendum!C:C,A2838,Addendum!D:D,IF(ISNUMBER(B2838),TEXT(B2838,"0000"),B2838),Addendum!I:I,"X")&gt;0,10%,0)</f>
        <v>0</v>
      </c>
      <c r="M2838" s="34">
        <f t="shared" si="88"/>
        <v>0.01</v>
      </c>
      <c r="N2838" s="17">
        <f t="shared" si="89"/>
        <v>1646.568</v>
      </c>
    </row>
    <row r="2839" spans="1:14" x14ac:dyDescent="0.25">
      <c r="A2839" s="14" t="s">
        <v>1122</v>
      </c>
      <c r="B2839" s="14">
        <v>1</v>
      </c>
      <c r="C2839" s="15" t="s">
        <v>1121</v>
      </c>
      <c r="D2839" s="14" t="s">
        <v>1745</v>
      </c>
      <c r="E2839" s="14" t="s">
        <v>1747</v>
      </c>
      <c r="F2839" s="17" t="s">
        <v>2993</v>
      </c>
      <c r="G2839" s="14">
        <v>1980</v>
      </c>
      <c r="H2839" s="14">
        <v>1584</v>
      </c>
      <c r="I2839" s="31">
        <f>IF(COUNTIFS(Addendum!C:C,A2839,Addendum!D:D,IF(ISNUMBER(B2839),TEXT(B2839,"0000"),B2839),Addendum!E:E,"X")&gt;0,4%,0)</f>
        <v>0.04</v>
      </c>
      <c r="J2839" s="31">
        <f>IF(COUNTIFS(Addendum!C:C,A2839,Addendum!D:D,IF(ISNUMBER(B2839),TEXT(B2839,"0000"),B2839),Addendum!F:F,"X")&gt;0,2.5%,0)</f>
        <v>0</v>
      </c>
      <c r="K2839" s="31">
        <f>IF(COUNTIFS(Addendum!C:C,A2839,Addendum!D:D,IF(ISNUMBER(B2839),TEXT(B2839,"0000"),B2839),Addendum!G:G,"X")&gt;0,7%,0)</f>
        <v>0</v>
      </c>
      <c r="L2839" s="31">
        <f>IF(COUNTIFS(Addendum!C:C,A2839,Addendum!D:D,IF(ISNUMBER(B2839),TEXT(B2839,"0000"),B2839),Addendum!I:I,"X")&gt;0,10%,0)</f>
        <v>0</v>
      </c>
      <c r="M2839" s="34">
        <f t="shared" si="88"/>
        <v>0.03</v>
      </c>
      <c r="N2839" s="17">
        <f t="shared" si="89"/>
        <v>1536.48</v>
      </c>
    </row>
    <row r="2840" spans="1:14" x14ac:dyDescent="0.25">
      <c r="A2840" s="14" t="s">
        <v>1122</v>
      </c>
      <c r="B2840" s="14">
        <v>4</v>
      </c>
      <c r="C2840" s="15" t="s">
        <v>2586</v>
      </c>
      <c r="D2840" s="14" t="s">
        <v>1745</v>
      </c>
      <c r="E2840" s="14" t="s">
        <v>1746</v>
      </c>
      <c r="F2840" s="17" t="s">
        <v>2995</v>
      </c>
      <c r="G2840" s="14">
        <v>524.16</v>
      </c>
      <c r="H2840" s="14">
        <v>471.72</v>
      </c>
      <c r="I2840" s="31">
        <f>IF(COUNTIFS(Addendum!C:C,A2840,Addendum!D:D,IF(ISNUMBER(B2840),TEXT(B2840,"0000"),B2840),Addendum!E:E,"X")&gt;0,4%,0)</f>
        <v>0.04</v>
      </c>
      <c r="J2840" s="31">
        <f>IF(COUNTIFS(Addendum!C:C,A2840,Addendum!D:D,IF(ISNUMBER(B2840),TEXT(B2840,"0000"),B2840),Addendum!F:F,"X")&gt;0,2.5%,0)</f>
        <v>0</v>
      </c>
      <c r="K2840" s="31">
        <f>IF(COUNTIFS(Addendum!C:C,A2840,Addendum!D:D,IF(ISNUMBER(B2840),TEXT(B2840,"0000"),B2840),Addendum!G:G,"X")&gt;0,7%,0)</f>
        <v>0</v>
      </c>
      <c r="L2840" s="31">
        <f>IF(COUNTIFS(Addendum!C:C,A2840,Addendum!D:D,IF(ISNUMBER(B2840),TEXT(B2840,"0000"),B2840),Addendum!I:I,"X")&gt;0,10%,0)</f>
        <v>0</v>
      </c>
      <c r="M2840" s="34">
        <f t="shared" si="88"/>
        <v>0.01</v>
      </c>
      <c r="N2840" s="17">
        <f t="shared" si="89"/>
        <v>467.00280000000004</v>
      </c>
    </row>
    <row r="2841" spans="1:14" x14ac:dyDescent="0.25">
      <c r="A2841" s="14" t="s">
        <v>1122</v>
      </c>
      <c r="B2841" s="14">
        <v>4</v>
      </c>
      <c r="C2841" s="15" t="s">
        <v>2586</v>
      </c>
      <c r="D2841" s="14" t="s">
        <v>1745</v>
      </c>
      <c r="E2841" s="14" t="s">
        <v>1747</v>
      </c>
      <c r="F2841" s="17" t="s">
        <v>2995</v>
      </c>
      <c r="G2841" s="14">
        <v>499.2</v>
      </c>
      <c r="H2841" s="14">
        <v>449.28</v>
      </c>
      <c r="I2841" s="31">
        <f>IF(COUNTIFS(Addendum!C:C,A2841,Addendum!D:D,IF(ISNUMBER(B2841),TEXT(B2841,"0000"),B2841),Addendum!E:E,"X")&gt;0,4%,0)</f>
        <v>0.04</v>
      </c>
      <c r="J2841" s="31">
        <f>IF(COUNTIFS(Addendum!C:C,A2841,Addendum!D:D,IF(ISNUMBER(B2841),TEXT(B2841,"0000"),B2841),Addendum!F:F,"X")&gt;0,2.5%,0)</f>
        <v>0</v>
      </c>
      <c r="K2841" s="31">
        <f>IF(COUNTIFS(Addendum!C:C,A2841,Addendum!D:D,IF(ISNUMBER(B2841),TEXT(B2841,"0000"),B2841),Addendum!G:G,"X")&gt;0,7%,0)</f>
        <v>0</v>
      </c>
      <c r="L2841" s="31">
        <f>IF(COUNTIFS(Addendum!C:C,A2841,Addendum!D:D,IF(ISNUMBER(B2841),TEXT(B2841,"0000"),B2841),Addendum!I:I,"X")&gt;0,10%,0)</f>
        <v>0</v>
      </c>
      <c r="M2841" s="34">
        <f t="shared" si="88"/>
        <v>0.03</v>
      </c>
      <c r="N2841" s="17">
        <f t="shared" si="89"/>
        <v>435.80159999999995</v>
      </c>
    </row>
    <row r="2842" spans="1:14" x14ac:dyDescent="0.25">
      <c r="A2842" s="14" t="s">
        <v>1125</v>
      </c>
      <c r="B2842" s="14">
        <v>7</v>
      </c>
      <c r="C2842" s="15" t="s">
        <v>2587</v>
      </c>
      <c r="D2842" s="14" t="s">
        <v>1745</v>
      </c>
      <c r="E2842" s="14" t="s">
        <v>1746</v>
      </c>
      <c r="F2842" s="17" t="s">
        <v>2995</v>
      </c>
      <c r="G2842" s="14">
        <v>524.16</v>
      </c>
      <c r="H2842" s="14">
        <v>471.72</v>
      </c>
      <c r="I2842" s="31">
        <f>IF(COUNTIFS(Addendum!C:C,A2842,Addendum!D:D,IF(ISNUMBER(B2842),TEXT(B2842,"0000"),B2842),Addendum!E:E,"X")&gt;0,4%,0)</f>
        <v>0.04</v>
      </c>
      <c r="J2842" s="31">
        <f>IF(COUNTIFS(Addendum!C:C,A2842,Addendum!D:D,IF(ISNUMBER(B2842),TEXT(B2842,"0000"),B2842),Addendum!F:F,"X")&gt;0,2.5%,0)</f>
        <v>0</v>
      </c>
      <c r="K2842" s="31">
        <f>IF(COUNTIFS(Addendum!C:C,A2842,Addendum!D:D,IF(ISNUMBER(B2842),TEXT(B2842,"0000"),B2842),Addendum!G:G,"X")&gt;0,7%,0)</f>
        <v>0</v>
      </c>
      <c r="L2842" s="31">
        <f>IF(COUNTIFS(Addendum!C:C,A2842,Addendum!D:D,IF(ISNUMBER(B2842),TEXT(B2842,"0000"),B2842),Addendum!I:I,"X")&gt;0,10%,0)</f>
        <v>0</v>
      </c>
      <c r="M2842" s="34">
        <f t="shared" si="88"/>
        <v>0.01</v>
      </c>
      <c r="N2842" s="17">
        <f t="shared" si="89"/>
        <v>467.00280000000004</v>
      </c>
    </row>
    <row r="2843" spans="1:14" x14ac:dyDescent="0.25">
      <c r="A2843" s="14" t="s">
        <v>1125</v>
      </c>
      <c r="B2843" s="14">
        <v>1</v>
      </c>
      <c r="C2843" s="15" t="s">
        <v>1124</v>
      </c>
      <c r="D2843" s="14" t="s">
        <v>1745</v>
      </c>
      <c r="E2843" s="14" t="s">
        <v>1747</v>
      </c>
      <c r="F2843" s="17" t="s">
        <v>2993</v>
      </c>
      <c r="G2843" s="14">
        <v>1980</v>
      </c>
      <c r="H2843" s="14">
        <v>1584</v>
      </c>
      <c r="I2843" s="31">
        <f>IF(COUNTIFS(Addendum!C:C,A2843,Addendum!D:D,IF(ISNUMBER(B2843),TEXT(B2843,"0000"),B2843),Addendum!E:E,"X")&gt;0,4%,0)</f>
        <v>0.04</v>
      </c>
      <c r="J2843" s="31">
        <f>IF(COUNTIFS(Addendum!C:C,A2843,Addendum!D:D,IF(ISNUMBER(B2843),TEXT(B2843,"0000"),B2843),Addendum!F:F,"X")&gt;0,2.5%,0)</f>
        <v>0</v>
      </c>
      <c r="K2843" s="31">
        <f>IF(COUNTIFS(Addendum!C:C,A2843,Addendum!D:D,IF(ISNUMBER(B2843),TEXT(B2843,"0000"),B2843),Addendum!G:G,"X")&gt;0,7%,0)</f>
        <v>0</v>
      </c>
      <c r="L2843" s="31">
        <f>IF(COUNTIFS(Addendum!C:C,A2843,Addendum!D:D,IF(ISNUMBER(B2843),TEXT(B2843,"0000"),B2843),Addendum!I:I,"X")&gt;0,10%,0)</f>
        <v>0</v>
      </c>
      <c r="M2843" s="34">
        <f t="shared" si="88"/>
        <v>0.03</v>
      </c>
      <c r="N2843" s="17">
        <f t="shared" si="89"/>
        <v>1536.48</v>
      </c>
    </row>
    <row r="2844" spans="1:14" x14ac:dyDescent="0.25">
      <c r="A2844" s="14" t="s">
        <v>1125</v>
      </c>
      <c r="B2844" s="14">
        <v>7</v>
      </c>
      <c r="C2844" s="15" t="s">
        <v>2587</v>
      </c>
      <c r="D2844" s="14" t="s">
        <v>1745</v>
      </c>
      <c r="E2844" s="14" t="s">
        <v>1747</v>
      </c>
      <c r="F2844" s="17" t="s">
        <v>2995</v>
      </c>
      <c r="G2844" s="14">
        <v>499.2</v>
      </c>
      <c r="H2844" s="14">
        <v>449.28</v>
      </c>
      <c r="I2844" s="31">
        <f>IF(COUNTIFS(Addendum!C:C,A2844,Addendum!D:D,IF(ISNUMBER(B2844),TEXT(B2844,"0000"),B2844),Addendum!E:E,"X")&gt;0,4%,0)</f>
        <v>0.04</v>
      </c>
      <c r="J2844" s="31">
        <f>IF(COUNTIFS(Addendum!C:C,A2844,Addendum!D:D,IF(ISNUMBER(B2844),TEXT(B2844,"0000"),B2844),Addendum!F:F,"X")&gt;0,2.5%,0)</f>
        <v>0</v>
      </c>
      <c r="K2844" s="31">
        <f>IF(COUNTIFS(Addendum!C:C,A2844,Addendum!D:D,IF(ISNUMBER(B2844),TEXT(B2844,"0000"),B2844),Addendum!G:G,"X")&gt;0,7%,0)</f>
        <v>0</v>
      </c>
      <c r="L2844" s="31">
        <f>IF(COUNTIFS(Addendum!C:C,A2844,Addendum!D:D,IF(ISNUMBER(B2844),TEXT(B2844,"0000"),B2844),Addendum!I:I,"X")&gt;0,10%,0)</f>
        <v>0</v>
      </c>
      <c r="M2844" s="34">
        <f t="shared" si="88"/>
        <v>0.03</v>
      </c>
      <c r="N2844" s="17">
        <f t="shared" si="89"/>
        <v>435.80159999999995</v>
      </c>
    </row>
    <row r="2845" spans="1:14" x14ac:dyDescent="0.25">
      <c r="A2845" s="14" t="s">
        <v>1125</v>
      </c>
      <c r="B2845" s="14">
        <v>1</v>
      </c>
      <c r="C2845" s="15" t="s">
        <v>1124</v>
      </c>
      <c r="D2845" s="14" t="s">
        <v>1745</v>
      </c>
      <c r="E2845" s="14" t="s">
        <v>1746</v>
      </c>
      <c r="F2845" s="17" t="s">
        <v>2993</v>
      </c>
      <c r="G2845" s="14">
        <v>2079</v>
      </c>
      <c r="H2845" s="14">
        <v>1663.2</v>
      </c>
      <c r="I2845" s="31">
        <f>IF(COUNTIFS(Addendum!C:C,A2845,Addendum!D:D,IF(ISNUMBER(B2845),TEXT(B2845,"0000"),B2845),Addendum!E:E,"X")&gt;0,4%,0)</f>
        <v>0.04</v>
      </c>
      <c r="J2845" s="31">
        <f>IF(COUNTIFS(Addendum!C:C,A2845,Addendum!D:D,IF(ISNUMBER(B2845),TEXT(B2845,"0000"),B2845),Addendum!F:F,"X")&gt;0,2.5%,0)</f>
        <v>0</v>
      </c>
      <c r="K2845" s="31">
        <f>IF(COUNTIFS(Addendum!C:C,A2845,Addendum!D:D,IF(ISNUMBER(B2845),TEXT(B2845,"0000"),B2845),Addendum!G:G,"X")&gt;0,7%,0)</f>
        <v>0</v>
      </c>
      <c r="L2845" s="31">
        <f>IF(COUNTIFS(Addendum!C:C,A2845,Addendum!D:D,IF(ISNUMBER(B2845),TEXT(B2845,"0000"),B2845),Addendum!I:I,"X")&gt;0,10%,0)</f>
        <v>0</v>
      </c>
      <c r="M2845" s="34">
        <f t="shared" si="88"/>
        <v>0.01</v>
      </c>
      <c r="N2845" s="17">
        <f t="shared" si="89"/>
        <v>1646.568</v>
      </c>
    </row>
    <row r="2846" spans="1:14" x14ac:dyDescent="0.25">
      <c r="A2846" s="14" t="s">
        <v>1135</v>
      </c>
      <c r="B2846" s="14">
        <v>8</v>
      </c>
      <c r="C2846" s="15" t="s">
        <v>1137</v>
      </c>
      <c r="D2846" s="14" t="s">
        <v>1745</v>
      </c>
      <c r="E2846" s="14" t="s">
        <v>1746</v>
      </c>
      <c r="F2846" s="17" t="s">
        <v>2993</v>
      </c>
      <c r="G2846" s="14">
        <v>5241285</v>
      </c>
      <c r="H2846" s="14">
        <v>4193028</v>
      </c>
      <c r="I2846" s="31">
        <f>IF(COUNTIFS(Addendum!C:C,A2846,Addendum!D:D,IF(ISNUMBER(B2846),TEXT(B2846,"0000"),B2846),Addendum!E:E,"X")&gt;0,4%,0)</f>
        <v>0.04</v>
      </c>
      <c r="J2846" s="31">
        <f>IF(COUNTIFS(Addendum!C:C,A2846,Addendum!D:D,IF(ISNUMBER(B2846),TEXT(B2846,"0000"),B2846),Addendum!F:F,"X")&gt;0,2.5%,0)</f>
        <v>0</v>
      </c>
      <c r="K2846" s="31">
        <f>IF(COUNTIFS(Addendum!C:C,A2846,Addendum!D:D,IF(ISNUMBER(B2846),TEXT(B2846,"0000"),B2846),Addendum!G:G,"X")&gt;0,7%,0)</f>
        <v>0</v>
      </c>
      <c r="L2846" s="31">
        <f>IF(COUNTIFS(Addendum!C:C,A2846,Addendum!D:D,IF(ISNUMBER(B2846),TEXT(B2846,"0000"),B2846),Addendum!I:I,"X")&gt;0,10%,0)</f>
        <v>0</v>
      </c>
      <c r="M2846" s="34">
        <f t="shared" si="88"/>
        <v>0.01</v>
      </c>
      <c r="N2846" s="17">
        <f t="shared" si="89"/>
        <v>4151097.72</v>
      </c>
    </row>
    <row r="2847" spans="1:14" x14ac:dyDescent="0.25">
      <c r="A2847" s="14" t="s">
        <v>1135</v>
      </c>
      <c r="B2847" s="14" t="s">
        <v>50</v>
      </c>
      <c r="C2847" s="15" t="s">
        <v>2588</v>
      </c>
      <c r="D2847" s="14" t="s">
        <v>1749</v>
      </c>
      <c r="E2847" s="14" t="s">
        <v>1746</v>
      </c>
      <c r="F2847" s="17" t="s">
        <v>2994</v>
      </c>
      <c r="G2847" s="14">
        <v>99.84</v>
      </c>
      <c r="H2847" s="14">
        <v>79.87</v>
      </c>
      <c r="I2847" s="31">
        <f>IF(COUNTIFS(Addendum!C:C,A2847,Addendum!D:D,IF(ISNUMBER(B2847),TEXT(B2847,"0000"),B2847),Addendum!E:E,"X")&gt;0,4%,0)</f>
        <v>0.04</v>
      </c>
      <c r="J2847" s="31">
        <f>IF(COUNTIFS(Addendum!C:C,A2847,Addendum!D:D,IF(ISNUMBER(B2847),TEXT(B2847,"0000"),B2847),Addendum!F:F,"X")&gt;0,2.5%,0)</f>
        <v>0</v>
      </c>
      <c r="K2847" s="31">
        <f>IF(COUNTIFS(Addendum!C:C,A2847,Addendum!D:D,IF(ISNUMBER(B2847),TEXT(B2847,"0000"),B2847),Addendum!G:G,"X")&gt;0,7%,0)</f>
        <v>0</v>
      </c>
      <c r="L2847" s="31">
        <f>IF(COUNTIFS(Addendum!C:C,A2847,Addendum!D:D,IF(ISNUMBER(B2847),TEXT(B2847,"0000"),B2847),Addendum!I:I,"X")&gt;0,10%,0)</f>
        <v>0</v>
      </c>
      <c r="M2847" s="34">
        <f t="shared" si="88"/>
        <v>0.01</v>
      </c>
      <c r="N2847" s="17">
        <f t="shared" si="89"/>
        <v>79.071300000000008</v>
      </c>
    </row>
    <row r="2848" spans="1:14" x14ac:dyDescent="0.25">
      <c r="A2848" s="14" t="s">
        <v>1135</v>
      </c>
      <c r="B2848" s="14" t="s">
        <v>28</v>
      </c>
      <c r="C2848" s="15" t="s">
        <v>2589</v>
      </c>
      <c r="D2848" s="14" t="s">
        <v>1749</v>
      </c>
      <c r="E2848" s="14" t="s">
        <v>1746</v>
      </c>
      <c r="F2848" s="17" t="s">
        <v>2995</v>
      </c>
      <c r="G2848" s="14">
        <v>124794</v>
      </c>
      <c r="H2848" s="14">
        <v>112314.6</v>
      </c>
      <c r="I2848" s="31">
        <f>IF(COUNTIFS(Addendum!C:C,A2848,Addendum!D:D,IF(ISNUMBER(B2848),TEXT(B2848,"0000"),B2848),Addendum!E:E,"X")&gt;0,4%,0)</f>
        <v>0.04</v>
      </c>
      <c r="J2848" s="31">
        <f>IF(COUNTIFS(Addendum!C:C,A2848,Addendum!D:D,IF(ISNUMBER(B2848),TEXT(B2848,"0000"),B2848),Addendum!F:F,"X")&gt;0,2.5%,0)</f>
        <v>0</v>
      </c>
      <c r="K2848" s="31">
        <f>IF(COUNTIFS(Addendum!C:C,A2848,Addendum!D:D,IF(ISNUMBER(B2848),TEXT(B2848,"0000"),B2848),Addendum!G:G,"X")&gt;0,7%,0)</f>
        <v>0</v>
      </c>
      <c r="L2848" s="31">
        <f>IF(COUNTIFS(Addendum!C:C,A2848,Addendum!D:D,IF(ISNUMBER(B2848),TEXT(B2848,"0000"),B2848),Addendum!I:I,"X")&gt;0,10%,0)</f>
        <v>0</v>
      </c>
      <c r="M2848" s="34">
        <f t="shared" si="88"/>
        <v>0.01</v>
      </c>
      <c r="N2848" s="17">
        <f t="shared" si="89"/>
        <v>111191.45400000001</v>
      </c>
    </row>
    <row r="2849" spans="1:14" x14ac:dyDescent="0.25">
      <c r="A2849" s="14" t="s">
        <v>1135</v>
      </c>
      <c r="B2849" s="14" t="s">
        <v>28</v>
      </c>
      <c r="C2849" s="15" t="s">
        <v>2589</v>
      </c>
      <c r="D2849" s="14" t="s">
        <v>1745</v>
      </c>
      <c r="E2849" s="14" t="s">
        <v>1746</v>
      </c>
      <c r="F2849" s="17" t="s">
        <v>2995</v>
      </c>
      <c r="G2849" s="14">
        <v>1310337</v>
      </c>
      <c r="H2849" s="14">
        <v>1179303</v>
      </c>
      <c r="I2849" s="31">
        <f>IF(COUNTIFS(Addendum!C:C,A2849,Addendum!D:D,IF(ISNUMBER(B2849),TEXT(B2849,"0000"),B2849),Addendum!E:E,"X")&gt;0,4%,0)</f>
        <v>0.04</v>
      </c>
      <c r="J2849" s="31">
        <f>IF(COUNTIFS(Addendum!C:C,A2849,Addendum!D:D,IF(ISNUMBER(B2849),TEXT(B2849,"0000"),B2849),Addendum!F:F,"X")&gt;0,2.5%,0)</f>
        <v>0</v>
      </c>
      <c r="K2849" s="31">
        <f>IF(COUNTIFS(Addendum!C:C,A2849,Addendum!D:D,IF(ISNUMBER(B2849),TEXT(B2849,"0000"),B2849),Addendum!G:G,"X")&gt;0,7%,0)</f>
        <v>0</v>
      </c>
      <c r="L2849" s="31">
        <f>IF(COUNTIFS(Addendum!C:C,A2849,Addendum!D:D,IF(ISNUMBER(B2849),TEXT(B2849,"0000"),B2849),Addendum!I:I,"X")&gt;0,10%,0)</f>
        <v>0</v>
      </c>
      <c r="M2849" s="34">
        <f t="shared" si="88"/>
        <v>0.01</v>
      </c>
      <c r="N2849" s="17">
        <f t="shared" si="89"/>
        <v>1167509.97</v>
      </c>
    </row>
    <row r="2850" spans="1:14" x14ac:dyDescent="0.25">
      <c r="A2850" s="14" t="s">
        <v>1135</v>
      </c>
      <c r="B2850" s="14" t="s">
        <v>55</v>
      </c>
      <c r="C2850" s="15" t="s">
        <v>2590</v>
      </c>
      <c r="D2850" s="14" t="s">
        <v>1745</v>
      </c>
      <c r="E2850" s="14" t="s">
        <v>1747</v>
      </c>
      <c r="F2850" s="17" t="s">
        <v>2995</v>
      </c>
      <c r="G2850" s="14">
        <v>998.4</v>
      </c>
      <c r="H2850" s="14">
        <v>898.56</v>
      </c>
      <c r="I2850" s="31">
        <f>IF(COUNTIFS(Addendum!C:C,A2850,Addendum!D:D,IF(ISNUMBER(B2850),TEXT(B2850,"0000"),B2850),Addendum!E:E,"X")&gt;0,4%,0)</f>
        <v>0.04</v>
      </c>
      <c r="J2850" s="31">
        <f>IF(COUNTIFS(Addendum!C:C,A2850,Addendum!D:D,IF(ISNUMBER(B2850),TEXT(B2850,"0000"),B2850),Addendum!F:F,"X")&gt;0,2.5%,0)</f>
        <v>0</v>
      </c>
      <c r="K2850" s="31">
        <f>IF(COUNTIFS(Addendum!C:C,A2850,Addendum!D:D,IF(ISNUMBER(B2850),TEXT(B2850,"0000"),B2850),Addendum!G:G,"X")&gt;0,7%,0)</f>
        <v>0</v>
      </c>
      <c r="L2850" s="31">
        <f>IF(COUNTIFS(Addendum!C:C,A2850,Addendum!D:D,IF(ISNUMBER(B2850),TEXT(B2850,"0000"),B2850),Addendum!I:I,"X")&gt;0,10%,0)</f>
        <v>0</v>
      </c>
      <c r="M2850" s="34">
        <f t="shared" si="88"/>
        <v>0.03</v>
      </c>
      <c r="N2850" s="17">
        <f t="shared" si="89"/>
        <v>871.6031999999999</v>
      </c>
    </row>
    <row r="2851" spans="1:14" x14ac:dyDescent="0.25">
      <c r="A2851" s="14" t="s">
        <v>1135</v>
      </c>
      <c r="B2851" s="14">
        <v>1</v>
      </c>
      <c r="C2851" s="15" t="s">
        <v>1134</v>
      </c>
      <c r="D2851" s="14" t="s">
        <v>1745</v>
      </c>
      <c r="E2851" s="14" t="s">
        <v>1746</v>
      </c>
      <c r="F2851" s="17" t="s">
        <v>2993</v>
      </c>
      <c r="G2851" s="14">
        <v>4221</v>
      </c>
      <c r="H2851" s="14">
        <v>3376.8</v>
      </c>
      <c r="I2851" s="31">
        <f>IF(COUNTIFS(Addendum!C:C,A2851,Addendum!D:D,IF(ISNUMBER(B2851),TEXT(B2851,"0000"),B2851),Addendum!E:E,"X")&gt;0,4%,0)</f>
        <v>0.04</v>
      </c>
      <c r="J2851" s="31">
        <f>IF(COUNTIFS(Addendum!C:C,A2851,Addendum!D:D,IF(ISNUMBER(B2851),TEXT(B2851,"0000"),B2851),Addendum!F:F,"X")&gt;0,2.5%,0)</f>
        <v>0</v>
      </c>
      <c r="K2851" s="31">
        <f>IF(COUNTIFS(Addendum!C:C,A2851,Addendum!D:D,IF(ISNUMBER(B2851),TEXT(B2851,"0000"),B2851),Addendum!G:G,"X")&gt;0,7%,0)</f>
        <v>0</v>
      </c>
      <c r="L2851" s="31">
        <f>IF(COUNTIFS(Addendum!C:C,A2851,Addendum!D:D,IF(ISNUMBER(B2851),TEXT(B2851,"0000"),B2851),Addendum!I:I,"X")&gt;0,10%,0)</f>
        <v>0</v>
      </c>
      <c r="M2851" s="34">
        <f t="shared" si="88"/>
        <v>0.01</v>
      </c>
      <c r="N2851" s="17">
        <f t="shared" si="89"/>
        <v>3343.0320000000002</v>
      </c>
    </row>
    <row r="2852" spans="1:14" x14ac:dyDescent="0.25">
      <c r="A2852" s="14" t="s">
        <v>1135</v>
      </c>
      <c r="B2852" s="14">
        <v>1</v>
      </c>
      <c r="C2852" s="15" t="s">
        <v>1134</v>
      </c>
      <c r="D2852" s="14" t="s">
        <v>1745</v>
      </c>
      <c r="E2852" s="14" t="s">
        <v>1747</v>
      </c>
      <c r="F2852" s="17" t="s">
        <v>2993</v>
      </c>
      <c r="G2852" s="14">
        <v>4020</v>
      </c>
      <c r="H2852" s="14">
        <v>3216</v>
      </c>
      <c r="I2852" s="31">
        <f>IF(COUNTIFS(Addendum!C:C,A2852,Addendum!D:D,IF(ISNUMBER(B2852),TEXT(B2852,"0000"),B2852),Addendum!E:E,"X")&gt;0,4%,0)</f>
        <v>0.04</v>
      </c>
      <c r="J2852" s="31">
        <f>IF(COUNTIFS(Addendum!C:C,A2852,Addendum!D:D,IF(ISNUMBER(B2852),TEXT(B2852,"0000"),B2852),Addendum!F:F,"X")&gt;0,2.5%,0)</f>
        <v>0</v>
      </c>
      <c r="K2852" s="31">
        <f>IF(COUNTIFS(Addendum!C:C,A2852,Addendum!D:D,IF(ISNUMBER(B2852),TEXT(B2852,"0000"),B2852),Addendum!G:G,"X")&gt;0,7%,0)</f>
        <v>0</v>
      </c>
      <c r="L2852" s="31">
        <f>IF(COUNTIFS(Addendum!C:C,A2852,Addendum!D:D,IF(ISNUMBER(B2852),TEXT(B2852,"0000"),B2852),Addendum!I:I,"X")&gt;0,10%,0)</f>
        <v>0</v>
      </c>
      <c r="M2852" s="34">
        <f t="shared" si="88"/>
        <v>0.03</v>
      </c>
      <c r="N2852" s="17">
        <f t="shared" si="89"/>
        <v>3119.52</v>
      </c>
    </row>
    <row r="2853" spans="1:14" x14ac:dyDescent="0.25">
      <c r="A2853" s="14" t="s">
        <v>1135</v>
      </c>
      <c r="B2853" s="14" t="s">
        <v>50</v>
      </c>
      <c r="C2853" s="15" t="s">
        <v>2588</v>
      </c>
      <c r="D2853" s="14" t="s">
        <v>1745</v>
      </c>
      <c r="E2853" s="14" t="s">
        <v>1747</v>
      </c>
      <c r="F2853" s="17" t="s">
        <v>2994</v>
      </c>
      <c r="G2853" s="14">
        <v>998.4</v>
      </c>
      <c r="H2853" s="14">
        <v>798.72</v>
      </c>
      <c r="I2853" s="31">
        <f>IF(COUNTIFS(Addendum!C:C,A2853,Addendum!D:D,IF(ISNUMBER(B2853),TEXT(B2853,"0000"),B2853),Addendum!E:E,"X")&gt;0,4%,0)</f>
        <v>0.04</v>
      </c>
      <c r="J2853" s="31">
        <f>IF(COUNTIFS(Addendum!C:C,A2853,Addendum!D:D,IF(ISNUMBER(B2853),TEXT(B2853,"0000"),B2853),Addendum!F:F,"X")&gt;0,2.5%,0)</f>
        <v>0</v>
      </c>
      <c r="K2853" s="31">
        <f>IF(COUNTIFS(Addendum!C:C,A2853,Addendum!D:D,IF(ISNUMBER(B2853),TEXT(B2853,"0000"),B2853),Addendum!G:G,"X")&gt;0,7%,0)</f>
        <v>0</v>
      </c>
      <c r="L2853" s="31">
        <f>IF(COUNTIFS(Addendum!C:C,A2853,Addendum!D:D,IF(ISNUMBER(B2853),TEXT(B2853,"0000"),B2853),Addendum!I:I,"X")&gt;0,10%,0)</f>
        <v>0</v>
      </c>
      <c r="M2853" s="34">
        <f t="shared" si="88"/>
        <v>0.03</v>
      </c>
      <c r="N2853" s="17">
        <f t="shared" si="89"/>
        <v>774.75840000000005</v>
      </c>
    </row>
    <row r="2854" spans="1:14" x14ac:dyDescent="0.25">
      <c r="A2854" s="14" t="s">
        <v>1135</v>
      </c>
      <c r="B2854" s="14" t="s">
        <v>50</v>
      </c>
      <c r="C2854" s="15" t="s">
        <v>2588</v>
      </c>
      <c r="D2854" s="14" t="s">
        <v>1745</v>
      </c>
      <c r="E2854" s="14" t="s">
        <v>1746</v>
      </c>
      <c r="F2854" s="17" t="s">
        <v>2994</v>
      </c>
      <c r="G2854" s="14">
        <v>1048.32</v>
      </c>
      <c r="H2854" s="14">
        <v>838.68</v>
      </c>
      <c r="I2854" s="31">
        <f>IF(COUNTIFS(Addendum!C:C,A2854,Addendum!D:D,IF(ISNUMBER(B2854),TEXT(B2854,"0000"),B2854),Addendum!E:E,"X")&gt;0,4%,0)</f>
        <v>0.04</v>
      </c>
      <c r="J2854" s="31">
        <f>IF(COUNTIFS(Addendum!C:C,A2854,Addendum!D:D,IF(ISNUMBER(B2854),TEXT(B2854,"0000"),B2854),Addendum!F:F,"X")&gt;0,2.5%,0)</f>
        <v>0</v>
      </c>
      <c r="K2854" s="31">
        <f>IF(COUNTIFS(Addendum!C:C,A2854,Addendum!D:D,IF(ISNUMBER(B2854),TEXT(B2854,"0000"),B2854),Addendum!G:G,"X")&gt;0,7%,0)</f>
        <v>0</v>
      </c>
      <c r="L2854" s="31">
        <f>IF(COUNTIFS(Addendum!C:C,A2854,Addendum!D:D,IF(ISNUMBER(B2854),TEXT(B2854,"0000"),B2854),Addendum!I:I,"X")&gt;0,10%,0)</f>
        <v>0</v>
      </c>
      <c r="M2854" s="34">
        <f t="shared" si="88"/>
        <v>0.01</v>
      </c>
      <c r="N2854" s="17">
        <f t="shared" si="89"/>
        <v>830.29319999999996</v>
      </c>
    </row>
    <row r="2855" spans="1:14" x14ac:dyDescent="0.25">
      <c r="A2855" s="14" t="s">
        <v>1135</v>
      </c>
      <c r="B2855" s="14" t="s">
        <v>55</v>
      </c>
      <c r="C2855" s="15" t="s">
        <v>2590</v>
      </c>
      <c r="D2855" s="14" t="s">
        <v>1745</v>
      </c>
      <c r="E2855" s="14" t="s">
        <v>1746</v>
      </c>
      <c r="F2855" s="17" t="s">
        <v>2995</v>
      </c>
      <c r="G2855" s="14">
        <v>1048.32</v>
      </c>
      <c r="H2855" s="14">
        <v>943.44</v>
      </c>
      <c r="I2855" s="31">
        <f>IF(COUNTIFS(Addendum!C:C,A2855,Addendum!D:D,IF(ISNUMBER(B2855),TEXT(B2855,"0000"),B2855),Addendum!E:E,"X")&gt;0,4%,0)</f>
        <v>0.04</v>
      </c>
      <c r="J2855" s="31">
        <f>IF(COUNTIFS(Addendum!C:C,A2855,Addendum!D:D,IF(ISNUMBER(B2855),TEXT(B2855,"0000"),B2855),Addendum!F:F,"X")&gt;0,2.5%,0)</f>
        <v>0</v>
      </c>
      <c r="K2855" s="31">
        <f>IF(COUNTIFS(Addendum!C:C,A2855,Addendum!D:D,IF(ISNUMBER(B2855),TEXT(B2855,"0000"),B2855),Addendum!G:G,"X")&gt;0,7%,0)</f>
        <v>0</v>
      </c>
      <c r="L2855" s="31">
        <f>IF(COUNTIFS(Addendum!C:C,A2855,Addendum!D:D,IF(ISNUMBER(B2855),TEXT(B2855,"0000"),B2855),Addendum!I:I,"X")&gt;0,10%,0)</f>
        <v>0</v>
      </c>
      <c r="M2855" s="34">
        <f t="shared" si="88"/>
        <v>0.01</v>
      </c>
      <c r="N2855" s="17">
        <f t="shared" si="89"/>
        <v>934.00560000000007</v>
      </c>
    </row>
    <row r="2856" spans="1:14" x14ac:dyDescent="0.25">
      <c r="A2856" s="14" t="s">
        <v>1135</v>
      </c>
      <c r="B2856" s="14" t="s">
        <v>28</v>
      </c>
      <c r="C2856" s="15" t="s">
        <v>2589</v>
      </c>
      <c r="D2856" s="14" t="s">
        <v>1745</v>
      </c>
      <c r="E2856" s="14" t="s">
        <v>1747</v>
      </c>
      <c r="F2856" s="17" t="s">
        <v>2995</v>
      </c>
      <c r="G2856" s="14">
        <v>1247940</v>
      </c>
      <c r="H2856" s="14">
        <v>1123146</v>
      </c>
      <c r="I2856" s="31">
        <f>IF(COUNTIFS(Addendum!C:C,A2856,Addendum!D:D,IF(ISNUMBER(B2856),TEXT(B2856,"0000"),B2856),Addendum!E:E,"X")&gt;0,4%,0)</f>
        <v>0.04</v>
      </c>
      <c r="J2856" s="31">
        <f>IF(COUNTIFS(Addendum!C:C,A2856,Addendum!D:D,IF(ISNUMBER(B2856),TEXT(B2856,"0000"),B2856),Addendum!F:F,"X")&gt;0,2.5%,0)</f>
        <v>0</v>
      </c>
      <c r="K2856" s="31">
        <f>IF(COUNTIFS(Addendum!C:C,A2856,Addendum!D:D,IF(ISNUMBER(B2856),TEXT(B2856,"0000"),B2856),Addendum!G:G,"X")&gt;0,7%,0)</f>
        <v>0</v>
      </c>
      <c r="L2856" s="31">
        <f>IF(COUNTIFS(Addendum!C:C,A2856,Addendum!D:D,IF(ISNUMBER(B2856),TEXT(B2856,"0000"),B2856),Addendum!I:I,"X")&gt;0,10%,0)</f>
        <v>0</v>
      </c>
      <c r="M2856" s="34">
        <f t="shared" si="88"/>
        <v>0.03</v>
      </c>
      <c r="N2856" s="17">
        <f t="shared" si="89"/>
        <v>1089451.6200000001</v>
      </c>
    </row>
    <row r="2857" spans="1:14" x14ac:dyDescent="0.25">
      <c r="A2857" s="14" t="s">
        <v>1135</v>
      </c>
      <c r="B2857" s="14">
        <v>1</v>
      </c>
      <c r="C2857" s="15" t="s">
        <v>1134</v>
      </c>
      <c r="D2857" s="14" t="s">
        <v>1749</v>
      </c>
      <c r="E2857" s="14" t="s">
        <v>1746</v>
      </c>
      <c r="F2857" s="17" t="s">
        <v>2993</v>
      </c>
      <c r="G2857" s="14">
        <v>402</v>
      </c>
      <c r="H2857" s="14">
        <v>321.60000000000002</v>
      </c>
      <c r="I2857" s="31">
        <f>IF(COUNTIFS(Addendum!C:C,A2857,Addendum!D:D,IF(ISNUMBER(B2857),TEXT(B2857,"0000"),B2857),Addendum!E:E,"X")&gt;0,4%,0)</f>
        <v>0.04</v>
      </c>
      <c r="J2857" s="31">
        <f>IF(COUNTIFS(Addendum!C:C,A2857,Addendum!D:D,IF(ISNUMBER(B2857),TEXT(B2857,"0000"),B2857),Addendum!F:F,"X")&gt;0,2.5%,0)</f>
        <v>0</v>
      </c>
      <c r="K2857" s="31">
        <f>IF(COUNTIFS(Addendum!C:C,A2857,Addendum!D:D,IF(ISNUMBER(B2857),TEXT(B2857,"0000"),B2857),Addendum!G:G,"X")&gt;0,7%,0)</f>
        <v>0</v>
      </c>
      <c r="L2857" s="31">
        <f>IF(COUNTIFS(Addendum!C:C,A2857,Addendum!D:D,IF(ISNUMBER(B2857),TEXT(B2857,"0000"),B2857),Addendum!I:I,"X")&gt;0,10%,0)</f>
        <v>0</v>
      </c>
      <c r="M2857" s="34">
        <f t="shared" si="88"/>
        <v>0.01</v>
      </c>
      <c r="N2857" s="17">
        <f t="shared" si="89"/>
        <v>318.38400000000001</v>
      </c>
    </row>
    <row r="2858" spans="1:14" x14ac:dyDescent="0.25">
      <c r="A2858" s="14" t="s">
        <v>1135</v>
      </c>
      <c r="B2858" s="14" t="s">
        <v>55</v>
      </c>
      <c r="C2858" s="15" t="s">
        <v>2590</v>
      </c>
      <c r="D2858" s="14" t="s">
        <v>1749</v>
      </c>
      <c r="E2858" s="14" t="s">
        <v>1746</v>
      </c>
      <c r="F2858" s="17" t="s">
        <v>2995</v>
      </c>
      <c r="G2858" s="14">
        <v>99.84</v>
      </c>
      <c r="H2858" s="14">
        <v>89.86</v>
      </c>
      <c r="I2858" s="31">
        <f>IF(COUNTIFS(Addendum!C:C,A2858,Addendum!D:D,IF(ISNUMBER(B2858),TEXT(B2858,"0000"),B2858),Addendum!E:E,"X")&gt;0,4%,0)</f>
        <v>0.04</v>
      </c>
      <c r="J2858" s="31">
        <f>IF(COUNTIFS(Addendum!C:C,A2858,Addendum!D:D,IF(ISNUMBER(B2858),TEXT(B2858,"0000"),B2858),Addendum!F:F,"X")&gt;0,2.5%,0)</f>
        <v>0</v>
      </c>
      <c r="K2858" s="31">
        <f>IF(COUNTIFS(Addendum!C:C,A2858,Addendum!D:D,IF(ISNUMBER(B2858),TEXT(B2858,"0000"),B2858),Addendum!G:G,"X")&gt;0,7%,0)</f>
        <v>0</v>
      </c>
      <c r="L2858" s="31">
        <f>IF(COUNTIFS(Addendum!C:C,A2858,Addendum!D:D,IF(ISNUMBER(B2858),TEXT(B2858,"0000"),B2858),Addendum!I:I,"X")&gt;0,10%,0)</f>
        <v>0</v>
      </c>
      <c r="M2858" s="34">
        <f t="shared" si="88"/>
        <v>0.01</v>
      </c>
      <c r="N2858" s="17">
        <f t="shared" si="89"/>
        <v>88.961399999999998</v>
      </c>
    </row>
    <row r="2859" spans="1:14" x14ac:dyDescent="0.25">
      <c r="A2859" s="14" t="s">
        <v>1135</v>
      </c>
      <c r="B2859" s="14">
        <v>8</v>
      </c>
      <c r="C2859" s="15" t="s">
        <v>1137</v>
      </c>
      <c r="D2859" s="14" t="s">
        <v>1745</v>
      </c>
      <c r="E2859" s="14" t="s">
        <v>1747</v>
      </c>
      <c r="F2859" s="17" t="s">
        <v>2993</v>
      </c>
      <c r="G2859" s="14">
        <v>4991700</v>
      </c>
      <c r="H2859" s="14">
        <v>3993360</v>
      </c>
      <c r="I2859" s="31">
        <f>IF(COUNTIFS(Addendum!C:C,A2859,Addendum!D:D,IF(ISNUMBER(B2859),TEXT(B2859,"0000"),B2859),Addendum!E:E,"X")&gt;0,4%,0)</f>
        <v>0.04</v>
      </c>
      <c r="J2859" s="31">
        <f>IF(COUNTIFS(Addendum!C:C,A2859,Addendum!D:D,IF(ISNUMBER(B2859),TEXT(B2859,"0000"),B2859),Addendum!F:F,"X")&gt;0,2.5%,0)</f>
        <v>0</v>
      </c>
      <c r="K2859" s="31">
        <f>IF(COUNTIFS(Addendum!C:C,A2859,Addendum!D:D,IF(ISNUMBER(B2859),TEXT(B2859,"0000"),B2859),Addendum!G:G,"X")&gt;0,7%,0)</f>
        <v>0</v>
      </c>
      <c r="L2859" s="31">
        <f>IF(COUNTIFS(Addendum!C:C,A2859,Addendum!D:D,IF(ISNUMBER(B2859),TEXT(B2859,"0000"),B2859),Addendum!I:I,"X")&gt;0,10%,0)</f>
        <v>0</v>
      </c>
      <c r="M2859" s="34">
        <f t="shared" si="88"/>
        <v>0.03</v>
      </c>
      <c r="N2859" s="17">
        <f t="shared" si="89"/>
        <v>3873559.2</v>
      </c>
    </row>
    <row r="2860" spans="1:14" x14ac:dyDescent="0.25">
      <c r="A2860" s="14" t="s">
        <v>1135</v>
      </c>
      <c r="B2860" s="14">
        <v>8</v>
      </c>
      <c r="C2860" s="15" t="s">
        <v>1137</v>
      </c>
      <c r="D2860" s="14" t="s">
        <v>1749</v>
      </c>
      <c r="E2860" s="14" t="s">
        <v>1746</v>
      </c>
      <c r="F2860" s="17" t="s">
        <v>2993</v>
      </c>
      <c r="G2860" s="14">
        <v>499170</v>
      </c>
      <c r="H2860" s="14">
        <v>399336</v>
      </c>
      <c r="I2860" s="31">
        <f>IF(COUNTIFS(Addendum!C:C,A2860,Addendum!D:D,IF(ISNUMBER(B2860),TEXT(B2860,"0000"),B2860),Addendum!E:E,"X")&gt;0,4%,0)</f>
        <v>0.04</v>
      </c>
      <c r="J2860" s="31">
        <f>IF(COUNTIFS(Addendum!C:C,A2860,Addendum!D:D,IF(ISNUMBER(B2860),TEXT(B2860,"0000"),B2860),Addendum!F:F,"X")&gt;0,2.5%,0)</f>
        <v>0</v>
      </c>
      <c r="K2860" s="31">
        <f>IF(COUNTIFS(Addendum!C:C,A2860,Addendum!D:D,IF(ISNUMBER(B2860),TEXT(B2860,"0000"),B2860),Addendum!G:G,"X")&gt;0,7%,0)</f>
        <v>0</v>
      </c>
      <c r="L2860" s="31">
        <f>IF(COUNTIFS(Addendum!C:C,A2860,Addendum!D:D,IF(ISNUMBER(B2860),TEXT(B2860,"0000"),B2860),Addendum!I:I,"X")&gt;0,10%,0)</f>
        <v>0</v>
      </c>
      <c r="M2860" s="34">
        <f t="shared" si="88"/>
        <v>0.01</v>
      </c>
      <c r="N2860" s="17">
        <f t="shared" si="89"/>
        <v>395342.64</v>
      </c>
    </row>
    <row r="2861" spans="1:14" x14ac:dyDescent="0.25">
      <c r="A2861" s="14" t="s">
        <v>1142</v>
      </c>
      <c r="B2861" s="14">
        <v>2</v>
      </c>
      <c r="C2861" s="15" t="s">
        <v>1141</v>
      </c>
      <c r="D2861" s="14" t="s">
        <v>1745</v>
      </c>
      <c r="E2861" s="14" t="s">
        <v>1747</v>
      </c>
      <c r="F2861" s="17" t="s">
        <v>2993</v>
      </c>
      <c r="G2861" s="14">
        <v>12000</v>
      </c>
      <c r="H2861" s="14">
        <v>9600</v>
      </c>
      <c r="I2861" s="31">
        <f>IF(COUNTIFS(Addendum!C:C,A2861,Addendum!D:D,IF(ISNUMBER(B2861),TEXT(B2861,"0000"),B2861),Addendum!E:E,"X")&gt;0,4%,0)</f>
        <v>0.04</v>
      </c>
      <c r="J2861" s="31">
        <f>IF(COUNTIFS(Addendum!C:C,A2861,Addendum!D:D,IF(ISNUMBER(B2861),TEXT(B2861,"0000"),B2861),Addendum!F:F,"X")&gt;0,2.5%,0)</f>
        <v>0</v>
      </c>
      <c r="K2861" s="31">
        <f>IF(COUNTIFS(Addendum!C:C,A2861,Addendum!D:D,IF(ISNUMBER(B2861),TEXT(B2861,"0000"),B2861),Addendum!G:G,"X")&gt;0,7%,0)</f>
        <v>0</v>
      </c>
      <c r="L2861" s="31">
        <f>IF(COUNTIFS(Addendum!C:C,A2861,Addendum!D:D,IF(ISNUMBER(B2861),TEXT(B2861,"0000"),B2861),Addendum!I:I,"X")&gt;0,10%,0)</f>
        <v>0</v>
      </c>
      <c r="M2861" s="34">
        <f t="shared" si="88"/>
        <v>0.03</v>
      </c>
      <c r="N2861" s="17">
        <f t="shared" si="89"/>
        <v>9312</v>
      </c>
    </row>
    <row r="2862" spans="1:14" x14ac:dyDescent="0.25">
      <c r="A2862" s="14" t="s">
        <v>1142</v>
      </c>
      <c r="B2862" s="14">
        <v>7</v>
      </c>
      <c r="C2862" s="15" t="s">
        <v>2591</v>
      </c>
      <c r="D2862" s="14" t="s">
        <v>1745</v>
      </c>
      <c r="E2862" s="14" t="s">
        <v>1747</v>
      </c>
      <c r="F2862" s="17" t="s">
        <v>2995</v>
      </c>
      <c r="G2862" s="14">
        <v>2280</v>
      </c>
      <c r="H2862" s="14">
        <v>2052</v>
      </c>
      <c r="I2862" s="31">
        <f>IF(COUNTIFS(Addendum!C:C,A2862,Addendum!D:D,IF(ISNUMBER(B2862),TEXT(B2862,"0000"),B2862),Addendum!E:E,"X")&gt;0,4%,0)</f>
        <v>0.04</v>
      </c>
      <c r="J2862" s="31">
        <f>IF(COUNTIFS(Addendum!C:C,A2862,Addendum!D:D,IF(ISNUMBER(B2862),TEXT(B2862,"0000"),B2862),Addendum!F:F,"X")&gt;0,2.5%,0)</f>
        <v>0</v>
      </c>
      <c r="K2862" s="31">
        <f>IF(COUNTIFS(Addendum!C:C,A2862,Addendum!D:D,IF(ISNUMBER(B2862),TEXT(B2862,"0000"),B2862),Addendum!G:G,"X")&gt;0,7%,0)</f>
        <v>0</v>
      </c>
      <c r="L2862" s="31">
        <f>IF(COUNTIFS(Addendum!C:C,A2862,Addendum!D:D,IF(ISNUMBER(B2862),TEXT(B2862,"0000"),B2862),Addendum!I:I,"X")&gt;0,10%,0)</f>
        <v>0</v>
      </c>
      <c r="M2862" s="34">
        <f t="shared" si="88"/>
        <v>0.03</v>
      </c>
      <c r="N2862" s="17">
        <f t="shared" si="89"/>
        <v>1990.44</v>
      </c>
    </row>
    <row r="2863" spans="1:14" x14ac:dyDescent="0.25">
      <c r="A2863" s="14" t="s">
        <v>1142</v>
      </c>
      <c r="B2863" s="14">
        <v>2</v>
      </c>
      <c r="C2863" s="15" t="s">
        <v>1141</v>
      </c>
      <c r="D2863" s="14" t="s">
        <v>1749</v>
      </c>
      <c r="E2863" s="14" t="s">
        <v>1746</v>
      </c>
      <c r="F2863" s="17" t="s">
        <v>2993</v>
      </c>
      <c r="G2863" s="14">
        <v>1200</v>
      </c>
      <c r="H2863" s="14">
        <v>960</v>
      </c>
      <c r="I2863" s="31">
        <f>IF(COUNTIFS(Addendum!C:C,A2863,Addendum!D:D,IF(ISNUMBER(B2863),TEXT(B2863,"0000"),B2863),Addendum!E:E,"X")&gt;0,4%,0)</f>
        <v>0.04</v>
      </c>
      <c r="J2863" s="31">
        <f>IF(COUNTIFS(Addendum!C:C,A2863,Addendum!D:D,IF(ISNUMBER(B2863),TEXT(B2863,"0000"),B2863),Addendum!F:F,"X")&gt;0,2.5%,0)</f>
        <v>0</v>
      </c>
      <c r="K2863" s="31">
        <f>IF(COUNTIFS(Addendum!C:C,A2863,Addendum!D:D,IF(ISNUMBER(B2863),TEXT(B2863,"0000"),B2863),Addendum!G:G,"X")&gt;0,7%,0)</f>
        <v>0</v>
      </c>
      <c r="L2863" s="31">
        <f>IF(COUNTIFS(Addendum!C:C,A2863,Addendum!D:D,IF(ISNUMBER(B2863),TEXT(B2863,"0000"),B2863),Addendum!I:I,"X")&gt;0,10%,0)</f>
        <v>0</v>
      </c>
      <c r="M2863" s="34">
        <f t="shared" si="88"/>
        <v>0.01</v>
      </c>
      <c r="N2863" s="17">
        <f t="shared" si="89"/>
        <v>950.4</v>
      </c>
    </row>
    <row r="2864" spans="1:14" x14ac:dyDescent="0.25">
      <c r="A2864" s="14" t="s">
        <v>1142</v>
      </c>
      <c r="B2864" s="14">
        <v>6</v>
      </c>
      <c r="C2864" s="15" t="s">
        <v>2592</v>
      </c>
      <c r="D2864" s="14" t="s">
        <v>1745</v>
      </c>
      <c r="E2864" s="14" t="s">
        <v>1747</v>
      </c>
      <c r="F2864" s="17" t="s">
        <v>2994</v>
      </c>
      <c r="G2864" s="14">
        <v>2280</v>
      </c>
      <c r="H2864" s="14">
        <v>1824</v>
      </c>
      <c r="I2864" s="31">
        <f>IF(COUNTIFS(Addendum!C:C,A2864,Addendum!D:D,IF(ISNUMBER(B2864),TEXT(B2864,"0000"),B2864),Addendum!E:E,"X")&gt;0,4%,0)</f>
        <v>0.04</v>
      </c>
      <c r="J2864" s="31">
        <f>IF(COUNTIFS(Addendum!C:C,A2864,Addendum!D:D,IF(ISNUMBER(B2864),TEXT(B2864,"0000"),B2864),Addendum!F:F,"X")&gt;0,2.5%,0)</f>
        <v>0</v>
      </c>
      <c r="K2864" s="31">
        <f>IF(COUNTIFS(Addendum!C:C,A2864,Addendum!D:D,IF(ISNUMBER(B2864),TEXT(B2864,"0000"),B2864),Addendum!G:G,"X")&gt;0,7%,0)</f>
        <v>0</v>
      </c>
      <c r="L2864" s="31">
        <f>IF(COUNTIFS(Addendum!C:C,A2864,Addendum!D:D,IF(ISNUMBER(B2864),TEXT(B2864,"0000"),B2864),Addendum!I:I,"X")&gt;0,10%,0)</f>
        <v>0</v>
      </c>
      <c r="M2864" s="34">
        <f t="shared" si="88"/>
        <v>0.03</v>
      </c>
      <c r="N2864" s="17">
        <f t="shared" si="89"/>
        <v>1769.28</v>
      </c>
    </row>
    <row r="2865" spans="1:14" x14ac:dyDescent="0.25">
      <c r="A2865" s="14" t="s">
        <v>1142</v>
      </c>
      <c r="B2865" s="14">
        <v>7</v>
      </c>
      <c r="C2865" s="15" t="s">
        <v>2591</v>
      </c>
      <c r="D2865" s="14" t="s">
        <v>1745</v>
      </c>
      <c r="E2865" s="14" t="s">
        <v>1746</v>
      </c>
      <c r="F2865" s="17" t="s">
        <v>2995</v>
      </c>
      <c r="G2865" s="14">
        <v>2394</v>
      </c>
      <c r="H2865" s="14">
        <v>2154.6</v>
      </c>
      <c r="I2865" s="31">
        <f>IF(COUNTIFS(Addendum!C:C,A2865,Addendum!D:D,IF(ISNUMBER(B2865),TEXT(B2865,"0000"),B2865),Addendum!E:E,"X")&gt;0,4%,0)</f>
        <v>0.04</v>
      </c>
      <c r="J2865" s="31">
        <f>IF(COUNTIFS(Addendum!C:C,A2865,Addendum!D:D,IF(ISNUMBER(B2865),TEXT(B2865,"0000"),B2865),Addendum!F:F,"X")&gt;0,2.5%,0)</f>
        <v>0</v>
      </c>
      <c r="K2865" s="31">
        <f>IF(COUNTIFS(Addendum!C:C,A2865,Addendum!D:D,IF(ISNUMBER(B2865),TEXT(B2865,"0000"),B2865),Addendum!G:G,"X")&gt;0,7%,0)</f>
        <v>0</v>
      </c>
      <c r="L2865" s="31">
        <f>IF(COUNTIFS(Addendum!C:C,A2865,Addendum!D:D,IF(ISNUMBER(B2865),TEXT(B2865,"0000"),B2865),Addendum!I:I,"X")&gt;0,10%,0)</f>
        <v>0</v>
      </c>
      <c r="M2865" s="34">
        <f t="shared" si="88"/>
        <v>0.01</v>
      </c>
      <c r="N2865" s="17">
        <f t="shared" si="89"/>
        <v>2133.0540000000001</v>
      </c>
    </row>
    <row r="2866" spans="1:14" x14ac:dyDescent="0.25">
      <c r="A2866" s="14" t="s">
        <v>1142</v>
      </c>
      <c r="B2866" s="14">
        <v>6</v>
      </c>
      <c r="C2866" s="15" t="s">
        <v>2592</v>
      </c>
      <c r="D2866" s="14" t="s">
        <v>1749</v>
      </c>
      <c r="E2866" s="14" t="s">
        <v>1746</v>
      </c>
      <c r="F2866" s="17" t="s">
        <v>2994</v>
      </c>
      <c r="G2866" s="14">
        <v>228</v>
      </c>
      <c r="H2866" s="14">
        <v>182.4</v>
      </c>
      <c r="I2866" s="31">
        <f>IF(COUNTIFS(Addendum!C:C,A2866,Addendum!D:D,IF(ISNUMBER(B2866),TEXT(B2866,"0000"),B2866),Addendum!E:E,"X")&gt;0,4%,0)</f>
        <v>0.04</v>
      </c>
      <c r="J2866" s="31">
        <f>IF(COUNTIFS(Addendum!C:C,A2866,Addendum!D:D,IF(ISNUMBER(B2866),TEXT(B2866,"0000"),B2866),Addendum!F:F,"X")&gt;0,2.5%,0)</f>
        <v>0</v>
      </c>
      <c r="K2866" s="31">
        <f>IF(COUNTIFS(Addendum!C:C,A2866,Addendum!D:D,IF(ISNUMBER(B2866),TEXT(B2866,"0000"),B2866),Addendum!G:G,"X")&gt;0,7%,0)</f>
        <v>0</v>
      </c>
      <c r="L2866" s="31">
        <f>IF(COUNTIFS(Addendum!C:C,A2866,Addendum!D:D,IF(ISNUMBER(B2866),TEXT(B2866,"0000"),B2866),Addendum!I:I,"X")&gt;0,10%,0)</f>
        <v>0</v>
      </c>
      <c r="M2866" s="34">
        <f t="shared" si="88"/>
        <v>0.01</v>
      </c>
      <c r="N2866" s="17">
        <f t="shared" si="89"/>
        <v>180.57599999999999</v>
      </c>
    </row>
    <row r="2867" spans="1:14" x14ac:dyDescent="0.25">
      <c r="A2867" s="14" t="s">
        <v>1142</v>
      </c>
      <c r="B2867" s="14">
        <v>7</v>
      </c>
      <c r="C2867" s="15" t="s">
        <v>2591</v>
      </c>
      <c r="D2867" s="14" t="s">
        <v>1749</v>
      </c>
      <c r="E2867" s="14" t="s">
        <v>1746</v>
      </c>
      <c r="F2867" s="17" t="s">
        <v>2995</v>
      </c>
      <c r="G2867" s="14">
        <v>228</v>
      </c>
      <c r="H2867" s="14">
        <v>205.2</v>
      </c>
      <c r="I2867" s="31">
        <f>IF(COUNTIFS(Addendum!C:C,A2867,Addendum!D:D,IF(ISNUMBER(B2867),TEXT(B2867,"0000"),B2867),Addendum!E:E,"X")&gt;0,4%,0)</f>
        <v>0.04</v>
      </c>
      <c r="J2867" s="31">
        <f>IF(COUNTIFS(Addendum!C:C,A2867,Addendum!D:D,IF(ISNUMBER(B2867),TEXT(B2867,"0000"),B2867),Addendum!F:F,"X")&gt;0,2.5%,0)</f>
        <v>0</v>
      </c>
      <c r="K2867" s="31">
        <f>IF(COUNTIFS(Addendum!C:C,A2867,Addendum!D:D,IF(ISNUMBER(B2867),TEXT(B2867,"0000"),B2867),Addendum!G:G,"X")&gt;0,7%,0)</f>
        <v>0</v>
      </c>
      <c r="L2867" s="31">
        <f>IF(COUNTIFS(Addendum!C:C,A2867,Addendum!D:D,IF(ISNUMBER(B2867),TEXT(B2867,"0000"),B2867),Addendum!I:I,"X")&gt;0,10%,0)</f>
        <v>0</v>
      </c>
      <c r="M2867" s="34">
        <f t="shared" si="88"/>
        <v>0.01</v>
      </c>
      <c r="N2867" s="17">
        <f t="shared" si="89"/>
        <v>203.148</v>
      </c>
    </row>
    <row r="2868" spans="1:14" x14ac:dyDescent="0.25">
      <c r="A2868" s="14" t="s">
        <v>1142</v>
      </c>
      <c r="B2868" s="14">
        <v>6</v>
      </c>
      <c r="C2868" s="15" t="s">
        <v>2592</v>
      </c>
      <c r="D2868" s="14" t="s">
        <v>1745</v>
      </c>
      <c r="E2868" s="14" t="s">
        <v>1746</v>
      </c>
      <c r="F2868" s="17" t="s">
        <v>2994</v>
      </c>
      <c r="G2868" s="14">
        <v>2394</v>
      </c>
      <c r="H2868" s="14">
        <v>1915.2</v>
      </c>
      <c r="I2868" s="31">
        <f>IF(COUNTIFS(Addendum!C:C,A2868,Addendum!D:D,IF(ISNUMBER(B2868),TEXT(B2868,"0000"),B2868),Addendum!E:E,"X")&gt;0,4%,0)</f>
        <v>0.04</v>
      </c>
      <c r="J2868" s="31">
        <f>IF(COUNTIFS(Addendum!C:C,A2868,Addendum!D:D,IF(ISNUMBER(B2868),TEXT(B2868,"0000"),B2868),Addendum!F:F,"X")&gt;0,2.5%,0)</f>
        <v>0</v>
      </c>
      <c r="K2868" s="31">
        <f>IF(COUNTIFS(Addendum!C:C,A2868,Addendum!D:D,IF(ISNUMBER(B2868),TEXT(B2868,"0000"),B2868),Addendum!G:G,"X")&gt;0,7%,0)</f>
        <v>0</v>
      </c>
      <c r="L2868" s="31">
        <f>IF(COUNTIFS(Addendum!C:C,A2868,Addendum!D:D,IF(ISNUMBER(B2868),TEXT(B2868,"0000"),B2868),Addendum!I:I,"X")&gt;0,10%,0)</f>
        <v>0</v>
      </c>
      <c r="M2868" s="34">
        <f t="shared" si="88"/>
        <v>0.01</v>
      </c>
      <c r="N2868" s="17">
        <f t="shared" si="89"/>
        <v>1896.048</v>
      </c>
    </row>
    <row r="2869" spans="1:14" x14ac:dyDescent="0.25">
      <c r="A2869" s="14" t="s">
        <v>1142</v>
      </c>
      <c r="B2869" s="14">
        <v>2</v>
      </c>
      <c r="C2869" s="15" t="s">
        <v>1141</v>
      </c>
      <c r="D2869" s="14" t="s">
        <v>1745</v>
      </c>
      <c r="E2869" s="14" t="s">
        <v>1746</v>
      </c>
      <c r="F2869" s="17" t="s">
        <v>2993</v>
      </c>
      <c r="G2869" s="14">
        <v>12600</v>
      </c>
      <c r="H2869" s="14">
        <v>10080</v>
      </c>
      <c r="I2869" s="31">
        <f>IF(COUNTIFS(Addendum!C:C,A2869,Addendum!D:D,IF(ISNUMBER(B2869),TEXT(B2869,"0000"),B2869),Addendum!E:E,"X")&gt;0,4%,0)</f>
        <v>0.04</v>
      </c>
      <c r="J2869" s="31">
        <f>IF(COUNTIFS(Addendum!C:C,A2869,Addendum!D:D,IF(ISNUMBER(B2869),TEXT(B2869,"0000"),B2869),Addendum!F:F,"X")&gt;0,2.5%,0)</f>
        <v>0</v>
      </c>
      <c r="K2869" s="31">
        <f>IF(COUNTIFS(Addendum!C:C,A2869,Addendum!D:D,IF(ISNUMBER(B2869),TEXT(B2869,"0000"),B2869),Addendum!G:G,"X")&gt;0,7%,0)</f>
        <v>0</v>
      </c>
      <c r="L2869" s="31">
        <f>IF(COUNTIFS(Addendum!C:C,A2869,Addendum!D:D,IF(ISNUMBER(B2869),TEXT(B2869,"0000"),B2869),Addendum!I:I,"X")&gt;0,10%,0)</f>
        <v>0</v>
      </c>
      <c r="M2869" s="34">
        <f t="shared" si="88"/>
        <v>0.01</v>
      </c>
      <c r="N2869" s="17">
        <f t="shared" si="89"/>
        <v>9979.2000000000007</v>
      </c>
    </row>
    <row r="2870" spans="1:14" x14ac:dyDescent="0.25">
      <c r="A2870" s="14" t="s">
        <v>2593</v>
      </c>
      <c r="B2870" s="14">
        <v>4</v>
      </c>
      <c r="C2870" s="15" t="s">
        <v>2594</v>
      </c>
      <c r="D2870" s="14" t="s">
        <v>1745</v>
      </c>
      <c r="E2870" s="14" t="s">
        <v>1747</v>
      </c>
      <c r="F2870" s="17" t="s">
        <v>2994</v>
      </c>
      <c r="G2870" s="14">
        <v>429.24</v>
      </c>
      <c r="H2870" s="14">
        <v>343.39</v>
      </c>
      <c r="I2870" s="31">
        <f>IF(COUNTIFS(Addendum!C:C,A2870,Addendum!D:D,IF(ISNUMBER(B2870),TEXT(B2870,"0000"),B2870),Addendum!E:E,"X")&gt;0,4%,0)</f>
        <v>0</v>
      </c>
      <c r="J2870" s="31">
        <f>IF(COUNTIFS(Addendum!C:C,A2870,Addendum!D:D,IF(ISNUMBER(B2870),TEXT(B2870,"0000"),B2870),Addendum!F:F,"X")&gt;0,2.5%,0)</f>
        <v>0</v>
      </c>
      <c r="K2870" s="31">
        <f>IF(COUNTIFS(Addendum!C:C,A2870,Addendum!D:D,IF(ISNUMBER(B2870),TEXT(B2870,"0000"),B2870),Addendum!G:G,"X")&gt;0,7%,0)</f>
        <v>0</v>
      </c>
      <c r="L2870" s="31">
        <f>IF(COUNTIFS(Addendum!C:C,A2870,Addendum!D:D,IF(ISNUMBER(B2870),TEXT(B2870,"0000"),B2870),Addendum!I:I,"X")&gt;0,10%,0)</f>
        <v>0</v>
      </c>
      <c r="M2870" s="34">
        <f t="shared" si="88"/>
        <v>0</v>
      </c>
      <c r="N2870" s="17">
        <f t="shared" si="89"/>
        <v>343.39</v>
      </c>
    </row>
    <row r="2871" spans="1:14" x14ac:dyDescent="0.25">
      <c r="A2871" s="14" t="s">
        <v>2593</v>
      </c>
      <c r="B2871" s="14">
        <v>4</v>
      </c>
      <c r="C2871" s="15" t="s">
        <v>2594</v>
      </c>
      <c r="D2871" s="14" t="s">
        <v>1745</v>
      </c>
      <c r="E2871" s="14" t="s">
        <v>1746</v>
      </c>
      <c r="F2871" s="17" t="s">
        <v>2994</v>
      </c>
      <c r="G2871" s="14">
        <v>450.72</v>
      </c>
      <c r="H2871" s="14">
        <v>360.6</v>
      </c>
      <c r="I2871" s="31">
        <f>IF(COUNTIFS(Addendum!C:C,A2871,Addendum!D:D,IF(ISNUMBER(B2871),TEXT(B2871,"0000"),B2871),Addendum!E:E,"X")&gt;0,4%,0)</f>
        <v>0</v>
      </c>
      <c r="J2871" s="31">
        <f>IF(COUNTIFS(Addendum!C:C,A2871,Addendum!D:D,IF(ISNUMBER(B2871),TEXT(B2871,"0000"),B2871),Addendum!F:F,"X")&gt;0,2.5%,0)</f>
        <v>0</v>
      </c>
      <c r="K2871" s="31">
        <f>IF(COUNTIFS(Addendum!C:C,A2871,Addendum!D:D,IF(ISNUMBER(B2871),TEXT(B2871,"0000"),B2871),Addendum!G:G,"X")&gt;0,7%,0)</f>
        <v>0</v>
      </c>
      <c r="L2871" s="31">
        <f>IF(COUNTIFS(Addendum!C:C,A2871,Addendum!D:D,IF(ISNUMBER(B2871),TEXT(B2871,"0000"),B2871),Addendum!I:I,"X")&gt;0,10%,0)</f>
        <v>0</v>
      </c>
      <c r="M2871" s="34">
        <f t="shared" si="88"/>
        <v>0</v>
      </c>
      <c r="N2871" s="17">
        <f t="shared" si="89"/>
        <v>360.6</v>
      </c>
    </row>
    <row r="2872" spans="1:14" x14ac:dyDescent="0.25">
      <c r="A2872" s="14" t="s">
        <v>2595</v>
      </c>
      <c r="B2872" s="14">
        <v>5</v>
      </c>
      <c r="C2872" s="15" t="s">
        <v>2596</v>
      </c>
      <c r="D2872" s="14" t="s">
        <v>1745</v>
      </c>
      <c r="E2872" s="14" t="s">
        <v>1747</v>
      </c>
      <c r="F2872" s="17" t="s">
        <v>2994</v>
      </c>
      <c r="G2872" s="14">
        <v>429.24</v>
      </c>
      <c r="H2872" s="14">
        <v>343.39</v>
      </c>
      <c r="I2872" s="31">
        <f>IF(COUNTIFS(Addendum!C:C,A2872,Addendum!D:D,IF(ISNUMBER(B2872),TEXT(B2872,"0000"),B2872),Addendum!E:E,"X")&gt;0,4%,0)</f>
        <v>0</v>
      </c>
      <c r="J2872" s="31">
        <f>IF(COUNTIFS(Addendum!C:C,A2872,Addendum!D:D,IF(ISNUMBER(B2872),TEXT(B2872,"0000"),B2872),Addendum!F:F,"X")&gt;0,2.5%,0)</f>
        <v>0</v>
      </c>
      <c r="K2872" s="31">
        <f>IF(COUNTIFS(Addendum!C:C,A2872,Addendum!D:D,IF(ISNUMBER(B2872),TEXT(B2872,"0000"),B2872),Addendum!G:G,"X")&gt;0,7%,0)</f>
        <v>0</v>
      </c>
      <c r="L2872" s="31">
        <f>IF(COUNTIFS(Addendum!C:C,A2872,Addendum!D:D,IF(ISNUMBER(B2872),TEXT(B2872,"0000"),B2872),Addendum!I:I,"X")&gt;0,10%,0)</f>
        <v>0</v>
      </c>
      <c r="M2872" s="34">
        <f t="shared" si="88"/>
        <v>0</v>
      </c>
      <c r="N2872" s="17">
        <f t="shared" si="89"/>
        <v>343.39</v>
      </c>
    </row>
    <row r="2873" spans="1:14" x14ac:dyDescent="0.25">
      <c r="A2873" s="14" t="s">
        <v>2595</v>
      </c>
      <c r="B2873" s="14">
        <v>5</v>
      </c>
      <c r="C2873" s="15" t="s">
        <v>2596</v>
      </c>
      <c r="D2873" s="14" t="s">
        <v>1745</v>
      </c>
      <c r="E2873" s="14" t="s">
        <v>1746</v>
      </c>
      <c r="F2873" s="17" t="s">
        <v>2994</v>
      </c>
      <c r="G2873" s="14">
        <v>450.72</v>
      </c>
      <c r="H2873" s="14">
        <v>360.6</v>
      </c>
      <c r="I2873" s="31">
        <f>IF(COUNTIFS(Addendum!C:C,A2873,Addendum!D:D,IF(ISNUMBER(B2873),TEXT(B2873,"0000"),B2873),Addendum!E:E,"X")&gt;0,4%,0)</f>
        <v>0</v>
      </c>
      <c r="J2873" s="31">
        <f>IF(COUNTIFS(Addendum!C:C,A2873,Addendum!D:D,IF(ISNUMBER(B2873),TEXT(B2873,"0000"),B2873),Addendum!F:F,"X")&gt;0,2.5%,0)</f>
        <v>0</v>
      </c>
      <c r="K2873" s="31">
        <f>IF(COUNTIFS(Addendum!C:C,A2873,Addendum!D:D,IF(ISNUMBER(B2873),TEXT(B2873,"0000"),B2873),Addendum!G:G,"X")&gt;0,7%,0)</f>
        <v>0</v>
      </c>
      <c r="L2873" s="31">
        <f>IF(COUNTIFS(Addendum!C:C,A2873,Addendum!D:D,IF(ISNUMBER(B2873),TEXT(B2873,"0000"),B2873),Addendum!I:I,"X")&gt;0,10%,0)</f>
        <v>0</v>
      </c>
      <c r="M2873" s="34">
        <f t="shared" si="88"/>
        <v>0</v>
      </c>
      <c r="N2873" s="17">
        <f t="shared" si="89"/>
        <v>360.6</v>
      </c>
    </row>
    <row r="2874" spans="1:14" x14ac:dyDescent="0.25">
      <c r="A2874" s="14" t="s">
        <v>2597</v>
      </c>
      <c r="B2874" s="14">
        <v>1</v>
      </c>
      <c r="C2874" s="15" t="s">
        <v>2598</v>
      </c>
      <c r="D2874" s="14" t="s">
        <v>1745</v>
      </c>
      <c r="E2874" s="14" t="s">
        <v>1746</v>
      </c>
      <c r="F2874" s="17" t="s">
        <v>2993</v>
      </c>
      <c r="G2874" s="14">
        <v>2079</v>
      </c>
      <c r="H2874" s="14">
        <v>1663.2</v>
      </c>
      <c r="I2874" s="31">
        <f>IF(COUNTIFS(Addendum!C:C,A2874,Addendum!D:D,IF(ISNUMBER(B2874),TEXT(B2874,"0000"),B2874),Addendum!E:E,"X")&gt;0,4%,0)</f>
        <v>0</v>
      </c>
      <c r="J2874" s="31">
        <f>IF(COUNTIFS(Addendum!C:C,A2874,Addendum!D:D,IF(ISNUMBER(B2874),TEXT(B2874,"0000"),B2874),Addendum!F:F,"X")&gt;0,2.5%,0)</f>
        <v>0</v>
      </c>
      <c r="K2874" s="31">
        <f>IF(COUNTIFS(Addendum!C:C,A2874,Addendum!D:D,IF(ISNUMBER(B2874),TEXT(B2874,"0000"),B2874),Addendum!G:G,"X")&gt;0,7%,0)</f>
        <v>0</v>
      </c>
      <c r="L2874" s="31">
        <f>IF(COUNTIFS(Addendum!C:C,A2874,Addendum!D:D,IF(ISNUMBER(B2874),TEXT(B2874,"0000"),B2874),Addendum!I:I,"X")&gt;0,10%,0)</f>
        <v>0</v>
      </c>
      <c r="M2874" s="34">
        <f t="shared" si="88"/>
        <v>0</v>
      </c>
      <c r="N2874" s="17">
        <f t="shared" si="89"/>
        <v>1663.2</v>
      </c>
    </row>
    <row r="2875" spans="1:14" x14ac:dyDescent="0.25">
      <c r="A2875" s="14" t="s">
        <v>2597</v>
      </c>
      <c r="B2875" s="14">
        <v>1</v>
      </c>
      <c r="C2875" s="15" t="s">
        <v>2598</v>
      </c>
      <c r="D2875" s="14" t="s">
        <v>1745</v>
      </c>
      <c r="E2875" s="14" t="s">
        <v>1747</v>
      </c>
      <c r="F2875" s="17" t="s">
        <v>2993</v>
      </c>
      <c r="G2875" s="14">
        <v>1980</v>
      </c>
      <c r="H2875" s="14">
        <v>1584</v>
      </c>
      <c r="I2875" s="31">
        <f>IF(COUNTIFS(Addendum!C:C,A2875,Addendum!D:D,IF(ISNUMBER(B2875),TEXT(B2875,"0000"),B2875),Addendum!E:E,"X")&gt;0,4%,0)</f>
        <v>0</v>
      </c>
      <c r="J2875" s="31">
        <f>IF(COUNTIFS(Addendum!C:C,A2875,Addendum!D:D,IF(ISNUMBER(B2875),TEXT(B2875,"0000"),B2875),Addendum!F:F,"X")&gt;0,2.5%,0)</f>
        <v>0</v>
      </c>
      <c r="K2875" s="31">
        <f>IF(COUNTIFS(Addendum!C:C,A2875,Addendum!D:D,IF(ISNUMBER(B2875),TEXT(B2875,"0000"),B2875),Addendum!G:G,"X")&gt;0,7%,0)</f>
        <v>0</v>
      </c>
      <c r="L2875" s="31">
        <f>IF(COUNTIFS(Addendum!C:C,A2875,Addendum!D:D,IF(ISNUMBER(B2875),TEXT(B2875,"0000"),B2875),Addendum!I:I,"X")&gt;0,10%,0)</f>
        <v>0</v>
      </c>
      <c r="M2875" s="34">
        <f t="shared" si="88"/>
        <v>0</v>
      </c>
      <c r="N2875" s="17">
        <f t="shared" si="89"/>
        <v>1584</v>
      </c>
    </row>
    <row r="2876" spans="1:14" x14ac:dyDescent="0.25">
      <c r="A2876" s="14" t="s">
        <v>1158</v>
      </c>
      <c r="B2876" s="14" t="s">
        <v>118</v>
      </c>
      <c r="C2876" s="15" t="s">
        <v>2599</v>
      </c>
      <c r="D2876" s="14" t="s">
        <v>1745</v>
      </c>
      <c r="E2876" s="14" t="s">
        <v>1747</v>
      </c>
      <c r="F2876" s="17" t="s">
        <v>2994</v>
      </c>
      <c r="G2876" s="14">
        <v>0</v>
      </c>
      <c r="H2876" s="14">
        <v>0</v>
      </c>
      <c r="I2876" s="31">
        <f>IF(COUNTIFS(Addendum!C:C,A2876,Addendum!D:D,IF(ISNUMBER(B2876),TEXT(B2876,"0000"),B2876),Addendum!E:E,"X")&gt;0,4%,0)</f>
        <v>0.04</v>
      </c>
      <c r="J2876" s="31">
        <f>IF(COUNTIFS(Addendum!C:C,A2876,Addendum!D:D,IF(ISNUMBER(B2876),TEXT(B2876,"0000"),B2876),Addendum!F:F,"X")&gt;0,2.5%,0)</f>
        <v>0</v>
      </c>
      <c r="K2876" s="31">
        <f>IF(COUNTIFS(Addendum!C:C,A2876,Addendum!D:D,IF(ISNUMBER(B2876),TEXT(B2876,"0000"),B2876),Addendum!G:G,"X")&gt;0,7%,0)</f>
        <v>0</v>
      </c>
      <c r="L2876" s="31">
        <f>IF(COUNTIFS(Addendum!C:C,A2876,Addendum!D:D,IF(ISNUMBER(B2876),TEXT(B2876,"0000"),B2876),Addendum!I:I,"X")&gt;0,10%,0)</f>
        <v>0</v>
      </c>
      <c r="M2876" s="34">
        <f t="shared" si="88"/>
        <v>0.03</v>
      </c>
      <c r="N2876" s="17">
        <f t="shared" si="89"/>
        <v>0</v>
      </c>
    </row>
    <row r="2877" spans="1:14" x14ac:dyDescent="0.25">
      <c r="A2877" s="14" t="s">
        <v>1158</v>
      </c>
      <c r="B2877" s="14" t="s">
        <v>650</v>
      </c>
      <c r="C2877" s="15" t="s">
        <v>2600</v>
      </c>
      <c r="D2877" s="14" t="s">
        <v>1745</v>
      </c>
      <c r="E2877" s="14" t="s">
        <v>1747</v>
      </c>
      <c r="F2877" s="17" t="s">
        <v>2994</v>
      </c>
      <c r="G2877" s="14">
        <v>0</v>
      </c>
      <c r="H2877" s="14">
        <v>0</v>
      </c>
      <c r="I2877" s="31">
        <f>IF(COUNTIFS(Addendum!C:C,A2877,Addendum!D:D,IF(ISNUMBER(B2877),TEXT(B2877,"0000"),B2877),Addendum!E:E,"X")&gt;0,4%,0)</f>
        <v>0.04</v>
      </c>
      <c r="J2877" s="31">
        <f>IF(COUNTIFS(Addendum!C:C,A2877,Addendum!D:D,IF(ISNUMBER(B2877),TEXT(B2877,"0000"),B2877),Addendum!F:F,"X")&gt;0,2.5%,0)</f>
        <v>0</v>
      </c>
      <c r="K2877" s="31">
        <f>IF(COUNTIFS(Addendum!C:C,A2877,Addendum!D:D,IF(ISNUMBER(B2877),TEXT(B2877,"0000"),B2877),Addendum!G:G,"X")&gt;0,7%,0)</f>
        <v>0</v>
      </c>
      <c r="L2877" s="31">
        <f>IF(COUNTIFS(Addendum!C:C,A2877,Addendum!D:D,IF(ISNUMBER(B2877),TEXT(B2877,"0000"),B2877),Addendum!I:I,"X")&gt;0,10%,0)</f>
        <v>0</v>
      </c>
      <c r="M2877" s="34">
        <f t="shared" si="88"/>
        <v>0.03</v>
      </c>
      <c r="N2877" s="17">
        <f t="shared" si="89"/>
        <v>0</v>
      </c>
    </row>
    <row r="2878" spans="1:14" x14ac:dyDescent="0.25">
      <c r="A2878" s="14" t="s">
        <v>1158</v>
      </c>
      <c r="B2878" s="14" t="s">
        <v>118</v>
      </c>
      <c r="C2878" s="15" t="s">
        <v>2599</v>
      </c>
      <c r="D2878" s="14" t="s">
        <v>1749</v>
      </c>
      <c r="E2878" s="14" t="s">
        <v>1746</v>
      </c>
      <c r="F2878" s="17" t="s">
        <v>2994</v>
      </c>
      <c r="G2878" s="14">
        <v>0</v>
      </c>
      <c r="H2878" s="14">
        <v>0</v>
      </c>
      <c r="I2878" s="31">
        <f>IF(COUNTIFS(Addendum!C:C,A2878,Addendum!D:D,IF(ISNUMBER(B2878),TEXT(B2878,"0000"),B2878),Addendum!E:E,"X")&gt;0,4%,0)</f>
        <v>0.04</v>
      </c>
      <c r="J2878" s="31">
        <f>IF(COUNTIFS(Addendum!C:C,A2878,Addendum!D:D,IF(ISNUMBER(B2878),TEXT(B2878,"0000"),B2878),Addendum!F:F,"X")&gt;0,2.5%,0)</f>
        <v>0</v>
      </c>
      <c r="K2878" s="31">
        <f>IF(COUNTIFS(Addendum!C:C,A2878,Addendum!D:D,IF(ISNUMBER(B2878),TEXT(B2878,"0000"),B2878),Addendum!G:G,"X")&gt;0,7%,0)</f>
        <v>0</v>
      </c>
      <c r="L2878" s="31">
        <f>IF(COUNTIFS(Addendum!C:C,A2878,Addendum!D:D,IF(ISNUMBER(B2878),TEXT(B2878,"0000"),B2878),Addendum!I:I,"X")&gt;0,10%,0)</f>
        <v>0</v>
      </c>
      <c r="M2878" s="34">
        <f t="shared" si="88"/>
        <v>0.01</v>
      </c>
      <c r="N2878" s="17">
        <f t="shared" si="89"/>
        <v>0</v>
      </c>
    </row>
    <row r="2879" spans="1:14" x14ac:dyDescent="0.25">
      <c r="A2879" s="14" t="s">
        <v>1158</v>
      </c>
      <c r="B2879" s="14" t="s">
        <v>650</v>
      </c>
      <c r="C2879" s="15" t="s">
        <v>2600</v>
      </c>
      <c r="D2879" s="14" t="s">
        <v>1745</v>
      </c>
      <c r="E2879" s="14" t="s">
        <v>1746</v>
      </c>
      <c r="F2879" s="17" t="s">
        <v>2994</v>
      </c>
      <c r="G2879" s="14">
        <v>0</v>
      </c>
      <c r="H2879" s="14">
        <v>0</v>
      </c>
      <c r="I2879" s="31">
        <f>IF(COUNTIFS(Addendum!C:C,A2879,Addendum!D:D,IF(ISNUMBER(B2879),TEXT(B2879,"0000"),B2879),Addendum!E:E,"X")&gt;0,4%,0)</f>
        <v>0.04</v>
      </c>
      <c r="J2879" s="31">
        <f>IF(COUNTIFS(Addendum!C:C,A2879,Addendum!D:D,IF(ISNUMBER(B2879),TEXT(B2879,"0000"),B2879),Addendum!F:F,"X")&gt;0,2.5%,0)</f>
        <v>0</v>
      </c>
      <c r="K2879" s="31">
        <f>IF(COUNTIFS(Addendum!C:C,A2879,Addendum!D:D,IF(ISNUMBER(B2879),TEXT(B2879,"0000"),B2879),Addendum!G:G,"X")&gt;0,7%,0)</f>
        <v>0</v>
      </c>
      <c r="L2879" s="31">
        <f>IF(COUNTIFS(Addendum!C:C,A2879,Addendum!D:D,IF(ISNUMBER(B2879),TEXT(B2879,"0000"),B2879),Addendum!I:I,"X")&gt;0,10%,0)</f>
        <v>0</v>
      </c>
      <c r="M2879" s="34">
        <f t="shared" si="88"/>
        <v>0.01</v>
      </c>
      <c r="N2879" s="17">
        <f t="shared" si="89"/>
        <v>0</v>
      </c>
    </row>
    <row r="2880" spans="1:14" x14ac:dyDescent="0.25">
      <c r="A2880" s="14" t="s">
        <v>1158</v>
      </c>
      <c r="B2880" s="14" t="s">
        <v>650</v>
      </c>
      <c r="C2880" s="15" t="s">
        <v>2600</v>
      </c>
      <c r="D2880" s="14" t="s">
        <v>1749</v>
      </c>
      <c r="E2880" s="14" t="s">
        <v>1746</v>
      </c>
      <c r="F2880" s="17" t="s">
        <v>2994</v>
      </c>
      <c r="G2880" s="14">
        <v>0</v>
      </c>
      <c r="H2880" s="14">
        <v>0</v>
      </c>
      <c r="I2880" s="31">
        <f>IF(COUNTIFS(Addendum!C:C,A2880,Addendum!D:D,IF(ISNUMBER(B2880),TEXT(B2880,"0000"),B2880),Addendum!E:E,"X")&gt;0,4%,0)</f>
        <v>0.04</v>
      </c>
      <c r="J2880" s="31">
        <f>IF(COUNTIFS(Addendum!C:C,A2880,Addendum!D:D,IF(ISNUMBER(B2880),TEXT(B2880,"0000"),B2880),Addendum!F:F,"X")&gt;0,2.5%,0)</f>
        <v>0</v>
      </c>
      <c r="K2880" s="31">
        <f>IF(COUNTIFS(Addendum!C:C,A2880,Addendum!D:D,IF(ISNUMBER(B2880),TEXT(B2880,"0000"),B2880),Addendum!G:G,"X")&gt;0,7%,0)</f>
        <v>0</v>
      </c>
      <c r="L2880" s="31">
        <f>IF(COUNTIFS(Addendum!C:C,A2880,Addendum!D:D,IF(ISNUMBER(B2880),TEXT(B2880,"0000"),B2880),Addendum!I:I,"X")&gt;0,10%,0)</f>
        <v>0</v>
      </c>
      <c r="M2880" s="34">
        <f t="shared" si="88"/>
        <v>0.01</v>
      </c>
      <c r="N2880" s="17">
        <f t="shared" si="89"/>
        <v>0</v>
      </c>
    </row>
    <row r="2881" spans="1:14" x14ac:dyDescent="0.25">
      <c r="A2881" s="14" t="s">
        <v>1158</v>
      </c>
      <c r="B2881" s="14" t="s">
        <v>118</v>
      </c>
      <c r="C2881" s="15" t="s">
        <v>2599</v>
      </c>
      <c r="D2881" s="14" t="s">
        <v>1745</v>
      </c>
      <c r="E2881" s="14" t="s">
        <v>1746</v>
      </c>
      <c r="F2881" s="17" t="s">
        <v>2994</v>
      </c>
      <c r="G2881" s="14">
        <v>0</v>
      </c>
      <c r="H2881" s="14">
        <v>0</v>
      </c>
      <c r="I2881" s="31">
        <f>IF(COUNTIFS(Addendum!C:C,A2881,Addendum!D:D,IF(ISNUMBER(B2881),TEXT(B2881,"0000"),B2881),Addendum!E:E,"X")&gt;0,4%,0)</f>
        <v>0.04</v>
      </c>
      <c r="J2881" s="31">
        <f>IF(COUNTIFS(Addendum!C:C,A2881,Addendum!D:D,IF(ISNUMBER(B2881),TEXT(B2881,"0000"),B2881),Addendum!F:F,"X")&gt;0,2.5%,0)</f>
        <v>0</v>
      </c>
      <c r="K2881" s="31">
        <f>IF(COUNTIFS(Addendum!C:C,A2881,Addendum!D:D,IF(ISNUMBER(B2881),TEXT(B2881,"0000"),B2881),Addendum!G:G,"X")&gt;0,7%,0)</f>
        <v>0</v>
      </c>
      <c r="L2881" s="31">
        <f>IF(COUNTIFS(Addendum!C:C,A2881,Addendum!D:D,IF(ISNUMBER(B2881),TEXT(B2881,"0000"),B2881),Addendum!I:I,"X")&gt;0,10%,0)</f>
        <v>0</v>
      </c>
      <c r="M2881" s="34">
        <f t="shared" si="88"/>
        <v>0.01</v>
      </c>
      <c r="N2881" s="17">
        <f t="shared" si="89"/>
        <v>0</v>
      </c>
    </row>
    <row r="2882" spans="1:14" x14ac:dyDescent="0.25">
      <c r="A2882" s="14" t="s">
        <v>1169</v>
      </c>
      <c r="B2882" s="14" t="s">
        <v>55</v>
      </c>
      <c r="C2882" s="15" t="s">
        <v>2601</v>
      </c>
      <c r="D2882" s="14" t="s">
        <v>1745</v>
      </c>
      <c r="E2882" s="14" t="s">
        <v>1747</v>
      </c>
      <c r="F2882" s="17" t="s">
        <v>2994</v>
      </c>
      <c r="G2882" s="14">
        <v>0</v>
      </c>
      <c r="H2882" s="14">
        <v>0</v>
      </c>
      <c r="I2882" s="31">
        <f>IF(COUNTIFS(Addendum!C:C,A2882,Addendum!D:D,IF(ISNUMBER(B2882),TEXT(B2882,"0000"),B2882),Addendum!E:E,"X")&gt;0,4%,0)</f>
        <v>0.04</v>
      </c>
      <c r="J2882" s="31">
        <f>IF(COUNTIFS(Addendum!C:C,A2882,Addendum!D:D,IF(ISNUMBER(B2882),TEXT(B2882,"0000"),B2882),Addendum!F:F,"X")&gt;0,2.5%,0)</f>
        <v>0</v>
      </c>
      <c r="K2882" s="31">
        <f>IF(COUNTIFS(Addendum!C:C,A2882,Addendum!D:D,IF(ISNUMBER(B2882),TEXT(B2882,"0000"),B2882),Addendum!G:G,"X")&gt;0,7%,0)</f>
        <v>0</v>
      </c>
      <c r="L2882" s="31">
        <f>IF(COUNTIFS(Addendum!C:C,A2882,Addendum!D:D,IF(ISNUMBER(B2882),TEXT(B2882,"0000"),B2882),Addendum!I:I,"X")&gt;0,10%,0)</f>
        <v>0</v>
      </c>
      <c r="M2882" s="34">
        <f t="shared" si="88"/>
        <v>0.03</v>
      </c>
      <c r="N2882" s="17">
        <f t="shared" si="89"/>
        <v>0</v>
      </c>
    </row>
    <row r="2883" spans="1:14" x14ac:dyDescent="0.25">
      <c r="A2883" s="14" t="s">
        <v>1169</v>
      </c>
      <c r="B2883" s="14" t="s">
        <v>55</v>
      </c>
      <c r="C2883" s="15" t="s">
        <v>2601</v>
      </c>
      <c r="D2883" s="14" t="s">
        <v>1749</v>
      </c>
      <c r="E2883" s="14" t="s">
        <v>1746</v>
      </c>
      <c r="F2883" s="17" t="s">
        <v>2994</v>
      </c>
      <c r="G2883" s="14">
        <v>0</v>
      </c>
      <c r="H2883" s="14">
        <v>0</v>
      </c>
      <c r="I2883" s="31">
        <f>IF(COUNTIFS(Addendum!C:C,A2883,Addendum!D:D,IF(ISNUMBER(B2883),TEXT(B2883,"0000"),B2883),Addendum!E:E,"X")&gt;0,4%,0)</f>
        <v>0.04</v>
      </c>
      <c r="J2883" s="31">
        <f>IF(COUNTIFS(Addendum!C:C,A2883,Addendum!D:D,IF(ISNUMBER(B2883),TEXT(B2883,"0000"),B2883),Addendum!F:F,"X")&gt;0,2.5%,0)</f>
        <v>0</v>
      </c>
      <c r="K2883" s="31">
        <f>IF(COUNTIFS(Addendum!C:C,A2883,Addendum!D:D,IF(ISNUMBER(B2883),TEXT(B2883,"0000"),B2883),Addendum!G:G,"X")&gt;0,7%,0)</f>
        <v>0</v>
      </c>
      <c r="L2883" s="31">
        <f>IF(COUNTIFS(Addendum!C:C,A2883,Addendum!D:D,IF(ISNUMBER(B2883),TEXT(B2883,"0000"),B2883),Addendum!I:I,"X")&gt;0,10%,0)</f>
        <v>0</v>
      </c>
      <c r="M2883" s="34">
        <f t="shared" si="88"/>
        <v>0.01</v>
      </c>
      <c r="N2883" s="17">
        <f t="shared" si="89"/>
        <v>0</v>
      </c>
    </row>
    <row r="2884" spans="1:14" x14ac:dyDescent="0.25">
      <c r="A2884" s="14" t="s">
        <v>1169</v>
      </c>
      <c r="B2884" s="14" t="s">
        <v>55</v>
      </c>
      <c r="C2884" s="15" t="s">
        <v>2601</v>
      </c>
      <c r="D2884" s="14" t="s">
        <v>1745</v>
      </c>
      <c r="E2884" s="14" t="s">
        <v>1746</v>
      </c>
      <c r="F2884" s="17" t="s">
        <v>2994</v>
      </c>
      <c r="G2884" s="14">
        <v>0</v>
      </c>
      <c r="H2884" s="14">
        <v>0</v>
      </c>
      <c r="I2884" s="31">
        <f>IF(COUNTIFS(Addendum!C:C,A2884,Addendum!D:D,IF(ISNUMBER(B2884),TEXT(B2884,"0000"),B2884),Addendum!E:E,"X")&gt;0,4%,0)</f>
        <v>0.04</v>
      </c>
      <c r="J2884" s="31">
        <f>IF(COUNTIFS(Addendum!C:C,A2884,Addendum!D:D,IF(ISNUMBER(B2884),TEXT(B2884,"0000"),B2884),Addendum!F:F,"X")&gt;0,2.5%,0)</f>
        <v>0</v>
      </c>
      <c r="K2884" s="31">
        <f>IF(COUNTIFS(Addendum!C:C,A2884,Addendum!D:D,IF(ISNUMBER(B2884),TEXT(B2884,"0000"),B2884),Addendum!G:G,"X")&gt;0,7%,0)</f>
        <v>0</v>
      </c>
      <c r="L2884" s="31">
        <f>IF(COUNTIFS(Addendum!C:C,A2884,Addendum!D:D,IF(ISNUMBER(B2884),TEXT(B2884,"0000"),B2884),Addendum!I:I,"X")&gt;0,10%,0)</f>
        <v>0</v>
      </c>
      <c r="M2884" s="34">
        <f t="shared" ref="M2884:M2947" si="90">IF(AND(I2884=0%,J2884=0%,K2884=0%,L2884=0%),0%,
IF(OR(TRIM(E2884)="OneTime",TRIM(D2884)=""),0%,
IF(
OR(
TRIM(D2884)="P1M",
AND(TRIM(D2884)="P1Y",TRIM(E2884)="Monthly"),
AND(TRIM(D2884)="P3Y",TRIM(E2884)="Monthly")
),
IF(AND(I2884=4%,J2884=0%,K2884=0%,L2884=0%),1%,
IF(AND(I2884=4%,J2884=2.5%,K2884=0%,L2884=10%),2%,
IF(AND(I2884=4%,J2884=0%,K2884=7%,L2884=10%),3%,0%))),
IF(
OR(
AND(TRIM(D2884)="P1Y",TRIM(E2884)="Annual"),
AND(TRIM(D2884)="P3Y",TRIM(E2884)="Annual"),
AND(TRIM(D2884)="P3Y",TRIM(E2884)="Triennial")
),
IF(AND(I2884=4%,J2884=0%,K2884=0%,L2884=0%),3%,
IF(AND(I2884=4%,J2884=2.5%,K2884=0%,L2884=10%),10%,
IF(AND(I2884=4%,J2884=0%,K2884=7%,L2884=10%),14%,0%))),
0%
))))</f>
        <v>0.01</v>
      </c>
      <c r="N2884" s="17">
        <f t="shared" ref="N2884:N2947" si="91">H2884-(H2884*M2884)</f>
        <v>0</v>
      </c>
    </row>
    <row r="2885" spans="1:14" x14ac:dyDescent="0.25">
      <c r="A2885" s="14" t="s">
        <v>1169</v>
      </c>
      <c r="B2885" s="14" t="s">
        <v>89</v>
      </c>
      <c r="C2885" s="15" t="s">
        <v>2602</v>
      </c>
      <c r="D2885" s="14" t="s">
        <v>1745</v>
      </c>
      <c r="E2885" s="14" t="s">
        <v>1746</v>
      </c>
      <c r="F2885" s="17" t="s">
        <v>2994</v>
      </c>
      <c r="G2885" s="14">
        <v>3402</v>
      </c>
      <c r="H2885" s="14">
        <v>2721.6</v>
      </c>
      <c r="I2885" s="31">
        <f>IF(COUNTIFS(Addendum!C:C,A2885,Addendum!D:D,IF(ISNUMBER(B2885),TEXT(B2885,"0000"),B2885),Addendum!E:E,"X")&gt;0,4%,0)</f>
        <v>0.04</v>
      </c>
      <c r="J2885" s="31">
        <f>IF(COUNTIFS(Addendum!C:C,A2885,Addendum!D:D,IF(ISNUMBER(B2885),TEXT(B2885,"0000"),B2885),Addendum!F:F,"X")&gt;0,2.5%,0)</f>
        <v>0</v>
      </c>
      <c r="K2885" s="31">
        <f>IF(COUNTIFS(Addendum!C:C,A2885,Addendum!D:D,IF(ISNUMBER(B2885),TEXT(B2885,"0000"),B2885),Addendum!G:G,"X")&gt;0,7%,0)</f>
        <v>0</v>
      </c>
      <c r="L2885" s="31">
        <f>IF(COUNTIFS(Addendum!C:C,A2885,Addendum!D:D,IF(ISNUMBER(B2885),TEXT(B2885,"0000"),B2885),Addendum!I:I,"X")&gt;0,10%,0)</f>
        <v>0</v>
      </c>
      <c r="M2885" s="34">
        <f t="shared" si="90"/>
        <v>0.01</v>
      </c>
      <c r="N2885" s="17">
        <f t="shared" si="91"/>
        <v>2694.384</v>
      </c>
    </row>
    <row r="2886" spans="1:14" x14ac:dyDescent="0.25">
      <c r="A2886" s="14" t="s">
        <v>1169</v>
      </c>
      <c r="B2886" s="14" t="s">
        <v>50</v>
      </c>
      <c r="C2886" s="15" t="s">
        <v>2603</v>
      </c>
      <c r="D2886" s="14" t="s">
        <v>1745</v>
      </c>
      <c r="E2886" s="14" t="s">
        <v>1746</v>
      </c>
      <c r="F2886" s="17" t="s">
        <v>2994</v>
      </c>
      <c r="G2886" s="14">
        <v>2646</v>
      </c>
      <c r="H2886" s="14">
        <v>2116.8000000000002</v>
      </c>
      <c r="I2886" s="31">
        <f>IF(COUNTIFS(Addendum!C:C,A2886,Addendum!D:D,IF(ISNUMBER(B2886),TEXT(B2886,"0000"),B2886),Addendum!E:E,"X")&gt;0,4%,0)</f>
        <v>0.04</v>
      </c>
      <c r="J2886" s="31">
        <f>IF(COUNTIFS(Addendum!C:C,A2886,Addendum!D:D,IF(ISNUMBER(B2886),TEXT(B2886,"0000"),B2886),Addendum!F:F,"X")&gt;0,2.5%,0)</f>
        <v>0</v>
      </c>
      <c r="K2886" s="31">
        <f>IF(COUNTIFS(Addendum!C:C,A2886,Addendum!D:D,IF(ISNUMBER(B2886),TEXT(B2886,"0000"),B2886),Addendum!G:G,"X")&gt;0,7%,0)</f>
        <v>0</v>
      </c>
      <c r="L2886" s="31">
        <f>IF(COUNTIFS(Addendum!C:C,A2886,Addendum!D:D,IF(ISNUMBER(B2886),TEXT(B2886,"0000"),B2886),Addendum!I:I,"X")&gt;0,10%,0)</f>
        <v>0</v>
      </c>
      <c r="M2886" s="34">
        <f t="shared" si="90"/>
        <v>0.01</v>
      </c>
      <c r="N2886" s="17">
        <f t="shared" si="91"/>
        <v>2095.6320000000001</v>
      </c>
    </row>
    <row r="2887" spans="1:14" x14ac:dyDescent="0.25">
      <c r="A2887" s="14" t="s">
        <v>1169</v>
      </c>
      <c r="B2887" s="14" t="s">
        <v>50</v>
      </c>
      <c r="C2887" s="15" t="s">
        <v>2603</v>
      </c>
      <c r="D2887" s="14" t="s">
        <v>1745</v>
      </c>
      <c r="E2887" s="14" t="s">
        <v>1747</v>
      </c>
      <c r="F2887" s="17" t="s">
        <v>2994</v>
      </c>
      <c r="G2887" s="14">
        <v>2520</v>
      </c>
      <c r="H2887" s="14">
        <v>2016</v>
      </c>
      <c r="I2887" s="31">
        <f>IF(COUNTIFS(Addendum!C:C,A2887,Addendum!D:D,IF(ISNUMBER(B2887),TEXT(B2887,"0000"),B2887),Addendum!E:E,"X")&gt;0,4%,0)</f>
        <v>0.04</v>
      </c>
      <c r="J2887" s="31">
        <f>IF(COUNTIFS(Addendum!C:C,A2887,Addendum!D:D,IF(ISNUMBER(B2887),TEXT(B2887,"0000"),B2887),Addendum!F:F,"X")&gt;0,2.5%,0)</f>
        <v>0</v>
      </c>
      <c r="K2887" s="31">
        <f>IF(COUNTIFS(Addendum!C:C,A2887,Addendum!D:D,IF(ISNUMBER(B2887),TEXT(B2887,"0000"),B2887),Addendum!G:G,"X")&gt;0,7%,0)</f>
        <v>0</v>
      </c>
      <c r="L2887" s="31">
        <f>IF(COUNTIFS(Addendum!C:C,A2887,Addendum!D:D,IF(ISNUMBER(B2887),TEXT(B2887,"0000"),B2887),Addendum!I:I,"X")&gt;0,10%,0)</f>
        <v>0</v>
      </c>
      <c r="M2887" s="34">
        <f t="shared" si="90"/>
        <v>0.03</v>
      </c>
      <c r="N2887" s="17">
        <f t="shared" si="91"/>
        <v>1955.52</v>
      </c>
    </row>
    <row r="2888" spans="1:14" x14ac:dyDescent="0.25">
      <c r="A2888" s="14" t="s">
        <v>1169</v>
      </c>
      <c r="B2888" s="14" t="s">
        <v>89</v>
      </c>
      <c r="C2888" s="15" t="s">
        <v>2602</v>
      </c>
      <c r="D2888" s="14" t="s">
        <v>1745</v>
      </c>
      <c r="E2888" s="14" t="s">
        <v>1747</v>
      </c>
      <c r="F2888" s="17" t="s">
        <v>2994</v>
      </c>
      <c r="G2888" s="14">
        <v>3240</v>
      </c>
      <c r="H2888" s="14">
        <v>2592</v>
      </c>
      <c r="I2888" s="31">
        <f>IF(COUNTIFS(Addendum!C:C,A2888,Addendum!D:D,IF(ISNUMBER(B2888),TEXT(B2888,"0000"),B2888),Addendum!E:E,"X")&gt;0,4%,0)</f>
        <v>0.04</v>
      </c>
      <c r="J2888" s="31">
        <f>IF(COUNTIFS(Addendum!C:C,A2888,Addendum!D:D,IF(ISNUMBER(B2888),TEXT(B2888,"0000"),B2888),Addendum!F:F,"X")&gt;0,2.5%,0)</f>
        <v>0</v>
      </c>
      <c r="K2888" s="31">
        <f>IF(COUNTIFS(Addendum!C:C,A2888,Addendum!D:D,IF(ISNUMBER(B2888),TEXT(B2888,"0000"),B2888),Addendum!G:G,"X")&gt;0,7%,0)</f>
        <v>0</v>
      </c>
      <c r="L2888" s="31">
        <f>IF(COUNTIFS(Addendum!C:C,A2888,Addendum!D:D,IF(ISNUMBER(B2888),TEXT(B2888,"0000"),B2888),Addendum!I:I,"X")&gt;0,10%,0)</f>
        <v>0</v>
      </c>
      <c r="M2888" s="34">
        <f t="shared" si="90"/>
        <v>0.03</v>
      </c>
      <c r="N2888" s="17">
        <f t="shared" si="91"/>
        <v>2514.2399999999998</v>
      </c>
    </row>
    <row r="2889" spans="1:14" x14ac:dyDescent="0.25">
      <c r="A2889" s="14" t="s">
        <v>1169</v>
      </c>
      <c r="B2889" s="14" t="s">
        <v>50</v>
      </c>
      <c r="C2889" s="15" t="s">
        <v>2603</v>
      </c>
      <c r="D2889" s="14" t="s">
        <v>1749</v>
      </c>
      <c r="E2889" s="14" t="s">
        <v>1746</v>
      </c>
      <c r="F2889" s="17" t="s">
        <v>2994</v>
      </c>
      <c r="G2889" s="14">
        <v>252</v>
      </c>
      <c r="H2889" s="14">
        <v>201.6</v>
      </c>
      <c r="I2889" s="31">
        <f>IF(COUNTIFS(Addendum!C:C,A2889,Addendum!D:D,IF(ISNUMBER(B2889),TEXT(B2889,"0000"),B2889),Addendum!E:E,"X")&gt;0,4%,0)</f>
        <v>0.04</v>
      </c>
      <c r="J2889" s="31">
        <f>IF(COUNTIFS(Addendum!C:C,A2889,Addendum!D:D,IF(ISNUMBER(B2889),TEXT(B2889,"0000"),B2889),Addendum!F:F,"X")&gt;0,2.5%,0)</f>
        <v>0</v>
      </c>
      <c r="K2889" s="31">
        <f>IF(COUNTIFS(Addendum!C:C,A2889,Addendum!D:D,IF(ISNUMBER(B2889),TEXT(B2889,"0000"),B2889),Addendum!G:G,"X")&gt;0,7%,0)</f>
        <v>0</v>
      </c>
      <c r="L2889" s="31">
        <f>IF(COUNTIFS(Addendum!C:C,A2889,Addendum!D:D,IF(ISNUMBER(B2889),TEXT(B2889,"0000"),B2889),Addendum!I:I,"X")&gt;0,10%,0)</f>
        <v>0</v>
      </c>
      <c r="M2889" s="34">
        <f t="shared" si="90"/>
        <v>0.01</v>
      </c>
      <c r="N2889" s="17">
        <f t="shared" si="91"/>
        <v>199.584</v>
      </c>
    </row>
    <row r="2890" spans="1:14" x14ac:dyDescent="0.25">
      <c r="A2890" s="14" t="s">
        <v>1169</v>
      </c>
      <c r="B2890" s="14" t="s">
        <v>89</v>
      </c>
      <c r="C2890" s="15" t="s">
        <v>2602</v>
      </c>
      <c r="D2890" s="14" t="s">
        <v>1749</v>
      </c>
      <c r="E2890" s="14" t="s">
        <v>1746</v>
      </c>
      <c r="F2890" s="17" t="s">
        <v>2994</v>
      </c>
      <c r="G2890" s="14">
        <v>324</v>
      </c>
      <c r="H2890" s="14">
        <v>259.2</v>
      </c>
      <c r="I2890" s="31">
        <f>IF(COUNTIFS(Addendum!C:C,A2890,Addendum!D:D,IF(ISNUMBER(B2890),TEXT(B2890,"0000"),B2890),Addendum!E:E,"X")&gt;0,4%,0)</f>
        <v>0.04</v>
      </c>
      <c r="J2890" s="31">
        <f>IF(COUNTIFS(Addendum!C:C,A2890,Addendum!D:D,IF(ISNUMBER(B2890),TEXT(B2890,"0000"),B2890),Addendum!F:F,"X")&gt;0,2.5%,0)</f>
        <v>0</v>
      </c>
      <c r="K2890" s="31">
        <f>IF(COUNTIFS(Addendum!C:C,A2890,Addendum!D:D,IF(ISNUMBER(B2890),TEXT(B2890,"0000"),B2890),Addendum!G:G,"X")&gt;0,7%,0)</f>
        <v>0</v>
      </c>
      <c r="L2890" s="31">
        <f>IF(COUNTIFS(Addendum!C:C,A2890,Addendum!D:D,IF(ISNUMBER(B2890),TEXT(B2890,"0000"),B2890),Addendum!I:I,"X")&gt;0,10%,0)</f>
        <v>0</v>
      </c>
      <c r="M2890" s="34">
        <f t="shared" si="90"/>
        <v>0.01</v>
      </c>
      <c r="N2890" s="17">
        <f t="shared" si="91"/>
        <v>256.608</v>
      </c>
    </row>
    <row r="2891" spans="1:14" x14ac:dyDescent="0.25">
      <c r="A2891" s="14" t="s">
        <v>1177</v>
      </c>
      <c r="B2891" s="14" t="s">
        <v>263</v>
      </c>
      <c r="C2891" s="15" t="s">
        <v>2604</v>
      </c>
      <c r="D2891" s="14" t="s">
        <v>1749</v>
      </c>
      <c r="E2891" s="14" t="s">
        <v>1746</v>
      </c>
      <c r="F2891" s="17" t="s">
        <v>2994</v>
      </c>
      <c r="G2891" s="14">
        <v>798</v>
      </c>
      <c r="H2891" s="14">
        <v>638.4</v>
      </c>
      <c r="I2891" s="31">
        <f>IF(COUNTIFS(Addendum!C:C,A2891,Addendum!D:D,IF(ISNUMBER(B2891),TEXT(B2891,"0000"),B2891),Addendum!E:E,"X")&gt;0,4%,0)</f>
        <v>0.04</v>
      </c>
      <c r="J2891" s="31">
        <f>IF(COUNTIFS(Addendum!C:C,A2891,Addendum!D:D,IF(ISNUMBER(B2891),TEXT(B2891,"0000"),B2891),Addendum!F:F,"X")&gt;0,2.5%,0)</f>
        <v>0</v>
      </c>
      <c r="K2891" s="31">
        <f>IF(COUNTIFS(Addendum!C:C,A2891,Addendum!D:D,IF(ISNUMBER(B2891),TEXT(B2891,"0000"),B2891),Addendum!G:G,"X")&gt;0,7%,0)</f>
        <v>0</v>
      </c>
      <c r="L2891" s="31">
        <f>IF(COUNTIFS(Addendum!C:C,A2891,Addendum!D:D,IF(ISNUMBER(B2891),TEXT(B2891,"0000"),B2891),Addendum!I:I,"X")&gt;0,10%,0)</f>
        <v>0</v>
      </c>
      <c r="M2891" s="34">
        <f t="shared" si="90"/>
        <v>0.01</v>
      </c>
      <c r="N2891" s="17">
        <f t="shared" si="91"/>
        <v>632.01599999999996</v>
      </c>
    </row>
    <row r="2892" spans="1:14" x14ac:dyDescent="0.25">
      <c r="A2892" s="14" t="s">
        <v>1177</v>
      </c>
      <c r="B2892" s="14" t="s">
        <v>297</v>
      </c>
      <c r="C2892" s="15" t="s">
        <v>2605</v>
      </c>
      <c r="D2892" s="14" t="s">
        <v>1749</v>
      </c>
      <c r="E2892" s="14" t="s">
        <v>1766</v>
      </c>
      <c r="F2892" s="17" t="s">
        <v>2994</v>
      </c>
      <c r="G2892" s="14">
        <v>0</v>
      </c>
      <c r="H2892" s="14">
        <v>0</v>
      </c>
      <c r="I2892" s="31">
        <f>IF(COUNTIFS(Addendum!C:C,A2892,Addendum!D:D,IF(ISNUMBER(B2892),TEXT(B2892,"0000"),B2892),Addendum!E:E,"X")&gt;0,4%,0)</f>
        <v>0.04</v>
      </c>
      <c r="J2892" s="31">
        <f>IF(COUNTIFS(Addendum!C:C,A2892,Addendum!D:D,IF(ISNUMBER(B2892),TEXT(B2892,"0000"),B2892),Addendum!F:F,"X")&gt;0,2.5%,0)</f>
        <v>0</v>
      </c>
      <c r="K2892" s="31">
        <f>IF(COUNTIFS(Addendum!C:C,A2892,Addendum!D:D,IF(ISNUMBER(B2892),TEXT(B2892,"0000"),B2892),Addendum!G:G,"X")&gt;0,7%,0)</f>
        <v>0</v>
      </c>
      <c r="L2892" s="31">
        <f>IF(COUNTIFS(Addendum!C:C,A2892,Addendum!D:D,IF(ISNUMBER(B2892),TEXT(B2892,"0000"),B2892),Addendum!I:I,"X")&gt;0,10%,0)</f>
        <v>0</v>
      </c>
      <c r="M2892" s="34">
        <f t="shared" si="90"/>
        <v>0.01</v>
      </c>
      <c r="N2892" s="17">
        <f t="shared" si="91"/>
        <v>0</v>
      </c>
    </row>
    <row r="2893" spans="1:14" x14ac:dyDescent="0.25">
      <c r="A2893" s="14" t="s">
        <v>1177</v>
      </c>
      <c r="B2893" s="14" t="s">
        <v>608</v>
      </c>
      <c r="C2893" s="15" t="s">
        <v>2606</v>
      </c>
      <c r="D2893" s="14" t="s">
        <v>1749</v>
      </c>
      <c r="E2893" s="14" t="s">
        <v>1746</v>
      </c>
      <c r="F2893" s="17" t="s">
        <v>2994</v>
      </c>
      <c r="G2893" s="14">
        <v>798</v>
      </c>
      <c r="H2893" s="14">
        <v>638.4</v>
      </c>
      <c r="I2893" s="31">
        <f>IF(COUNTIFS(Addendum!C:C,A2893,Addendum!D:D,IF(ISNUMBER(B2893),TEXT(B2893,"0000"),B2893),Addendum!E:E,"X")&gt;0,4%,0)</f>
        <v>0.04</v>
      </c>
      <c r="J2893" s="31">
        <f>IF(COUNTIFS(Addendum!C:C,A2893,Addendum!D:D,IF(ISNUMBER(B2893),TEXT(B2893,"0000"),B2893),Addendum!F:F,"X")&gt;0,2.5%,0)</f>
        <v>0</v>
      </c>
      <c r="K2893" s="31">
        <f>IF(COUNTIFS(Addendum!C:C,A2893,Addendum!D:D,IF(ISNUMBER(B2893),TEXT(B2893,"0000"),B2893),Addendum!G:G,"X")&gt;0,7%,0)</f>
        <v>0</v>
      </c>
      <c r="L2893" s="31">
        <f>IF(COUNTIFS(Addendum!C:C,A2893,Addendum!D:D,IF(ISNUMBER(B2893),TEXT(B2893,"0000"),B2893),Addendum!I:I,"X")&gt;0,10%,0)</f>
        <v>0</v>
      </c>
      <c r="M2893" s="34">
        <f t="shared" si="90"/>
        <v>0.01</v>
      </c>
      <c r="N2893" s="17">
        <f t="shared" si="91"/>
        <v>632.01599999999996</v>
      </c>
    </row>
    <row r="2894" spans="1:14" x14ac:dyDescent="0.25">
      <c r="A2894" s="14" t="s">
        <v>1177</v>
      </c>
      <c r="B2894" s="14" t="s">
        <v>173</v>
      </c>
      <c r="C2894" s="15" t="s">
        <v>2606</v>
      </c>
      <c r="D2894" s="14" t="s">
        <v>1749</v>
      </c>
      <c r="E2894" s="14" t="s">
        <v>1766</v>
      </c>
      <c r="F2894" s="17" t="s">
        <v>2994</v>
      </c>
      <c r="G2894" s="14">
        <v>0</v>
      </c>
      <c r="H2894" s="14">
        <v>0</v>
      </c>
      <c r="I2894" s="31">
        <f>IF(COUNTIFS(Addendum!C:C,A2894,Addendum!D:D,IF(ISNUMBER(B2894),TEXT(B2894,"0000"),B2894),Addendum!E:E,"X")&gt;0,4%,0)</f>
        <v>0.04</v>
      </c>
      <c r="J2894" s="31">
        <f>IF(COUNTIFS(Addendum!C:C,A2894,Addendum!D:D,IF(ISNUMBER(B2894),TEXT(B2894,"0000"),B2894),Addendum!F:F,"X")&gt;0,2.5%,0)</f>
        <v>0</v>
      </c>
      <c r="K2894" s="31">
        <f>IF(COUNTIFS(Addendum!C:C,A2894,Addendum!D:D,IF(ISNUMBER(B2894),TEXT(B2894,"0000"),B2894),Addendum!G:G,"X")&gt;0,7%,0)</f>
        <v>0</v>
      </c>
      <c r="L2894" s="31">
        <f>IF(COUNTIFS(Addendum!C:C,A2894,Addendum!D:D,IF(ISNUMBER(B2894),TEXT(B2894,"0000"),B2894),Addendum!I:I,"X")&gt;0,10%,0)</f>
        <v>0</v>
      </c>
      <c r="M2894" s="34">
        <f t="shared" si="90"/>
        <v>0.01</v>
      </c>
      <c r="N2894" s="17">
        <f t="shared" si="91"/>
        <v>0</v>
      </c>
    </row>
    <row r="2895" spans="1:14" ht="30" x14ac:dyDescent="0.25">
      <c r="A2895" s="14" t="s">
        <v>1177</v>
      </c>
      <c r="B2895" s="14" t="s">
        <v>258</v>
      </c>
      <c r="C2895" s="15" t="s">
        <v>2607</v>
      </c>
      <c r="D2895" s="14" t="s">
        <v>1745</v>
      </c>
      <c r="E2895" s="14" t="s">
        <v>1746</v>
      </c>
      <c r="F2895" s="17" t="s">
        <v>2994</v>
      </c>
      <c r="G2895" s="14">
        <v>0</v>
      </c>
      <c r="H2895" s="14">
        <v>0</v>
      </c>
      <c r="I2895" s="31">
        <f>IF(COUNTIFS(Addendum!C:C,A2895,Addendum!D:D,IF(ISNUMBER(B2895),TEXT(B2895,"0000"),B2895),Addendum!E:E,"X")&gt;0,4%,0)</f>
        <v>0.04</v>
      </c>
      <c r="J2895" s="31">
        <f>IF(COUNTIFS(Addendum!C:C,A2895,Addendum!D:D,IF(ISNUMBER(B2895),TEXT(B2895,"0000"),B2895),Addendum!F:F,"X")&gt;0,2.5%,0)</f>
        <v>0</v>
      </c>
      <c r="K2895" s="31">
        <f>IF(COUNTIFS(Addendum!C:C,A2895,Addendum!D:D,IF(ISNUMBER(B2895),TEXT(B2895,"0000"),B2895),Addendum!G:G,"X")&gt;0,7%,0)</f>
        <v>0</v>
      </c>
      <c r="L2895" s="31">
        <f>IF(COUNTIFS(Addendum!C:C,A2895,Addendum!D:D,IF(ISNUMBER(B2895),TEXT(B2895,"0000"),B2895),Addendum!I:I,"X")&gt;0,10%,0)</f>
        <v>0</v>
      </c>
      <c r="M2895" s="34">
        <f t="shared" si="90"/>
        <v>0.01</v>
      </c>
      <c r="N2895" s="17">
        <f t="shared" si="91"/>
        <v>0</v>
      </c>
    </row>
    <row r="2896" spans="1:14" x14ac:dyDescent="0.25">
      <c r="A2896" s="14" t="s">
        <v>1177</v>
      </c>
      <c r="B2896" s="14" t="s">
        <v>470</v>
      </c>
      <c r="C2896" s="15" t="s">
        <v>2608</v>
      </c>
      <c r="D2896" s="14" t="s">
        <v>1745</v>
      </c>
      <c r="E2896" s="14" t="s">
        <v>1746</v>
      </c>
      <c r="F2896" s="17" t="s">
        <v>2994</v>
      </c>
      <c r="G2896" s="14">
        <v>6300</v>
      </c>
      <c r="H2896" s="14">
        <v>5040</v>
      </c>
      <c r="I2896" s="31">
        <f>IF(COUNTIFS(Addendum!C:C,A2896,Addendum!D:D,IF(ISNUMBER(B2896),TEXT(B2896,"0000"),B2896),Addendum!E:E,"X")&gt;0,4%,0)</f>
        <v>0.04</v>
      </c>
      <c r="J2896" s="31">
        <f>IF(COUNTIFS(Addendum!C:C,A2896,Addendum!D:D,IF(ISNUMBER(B2896),TEXT(B2896,"0000"),B2896),Addendum!F:F,"X")&gt;0,2.5%,0)</f>
        <v>0</v>
      </c>
      <c r="K2896" s="31">
        <f>IF(COUNTIFS(Addendum!C:C,A2896,Addendum!D:D,IF(ISNUMBER(B2896),TEXT(B2896,"0000"),B2896),Addendum!G:G,"X")&gt;0,7%,0)</f>
        <v>0</v>
      </c>
      <c r="L2896" s="31">
        <f>IF(COUNTIFS(Addendum!C:C,A2896,Addendum!D:D,IF(ISNUMBER(B2896),TEXT(B2896,"0000"),B2896),Addendum!I:I,"X")&gt;0,10%,0)</f>
        <v>0</v>
      </c>
      <c r="M2896" s="34">
        <f t="shared" si="90"/>
        <v>0.01</v>
      </c>
      <c r="N2896" s="17">
        <f t="shared" si="91"/>
        <v>4989.6000000000004</v>
      </c>
    </row>
    <row r="2897" spans="1:14" x14ac:dyDescent="0.25">
      <c r="A2897" s="14" t="s">
        <v>1177</v>
      </c>
      <c r="B2897" s="14" t="s">
        <v>470</v>
      </c>
      <c r="C2897" s="15" t="s">
        <v>2608</v>
      </c>
      <c r="D2897" s="14" t="s">
        <v>1745</v>
      </c>
      <c r="E2897" s="14" t="s">
        <v>1747</v>
      </c>
      <c r="F2897" s="17" t="s">
        <v>2994</v>
      </c>
      <c r="G2897" s="14">
        <v>6000</v>
      </c>
      <c r="H2897" s="14">
        <v>4800</v>
      </c>
      <c r="I2897" s="31">
        <f>IF(COUNTIFS(Addendum!C:C,A2897,Addendum!D:D,IF(ISNUMBER(B2897),TEXT(B2897,"0000"),B2897),Addendum!E:E,"X")&gt;0,4%,0)</f>
        <v>0.04</v>
      </c>
      <c r="J2897" s="31">
        <f>IF(COUNTIFS(Addendum!C:C,A2897,Addendum!D:D,IF(ISNUMBER(B2897),TEXT(B2897,"0000"),B2897),Addendum!F:F,"X")&gt;0,2.5%,0)</f>
        <v>0</v>
      </c>
      <c r="K2897" s="31">
        <f>IF(COUNTIFS(Addendum!C:C,A2897,Addendum!D:D,IF(ISNUMBER(B2897),TEXT(B2897,"0000"),B2897),Addendum!G:G,"X")&gt;0,7%,0)</f>
        <v>0</v>
      </c>
      <c r="L2897" s="31">
        <f>IF(COUNTIFS(Addendum!C:C,A2897,Addendum!D:D,IF(ISNUMBER(B2897),TEXT(B2897,"0000"),B2897),Addendum!I:I,"X")&gt;0,10%,0)</f>
        <v>0</v>
      </c>
      <c r="M2897" s="34">
        <f t="shared" si="90"/>
        <v>0.03</v>
      </c>
      <c r="N2897" s="17">
        <f t="shared" si="91"/>
        <v>4656</v>
      </c>
    </row>
    <row r="2898" spans="1:14" x14ac:dyDescent="0.25">
      <c r="A2898" s="14" t="s">
        <v>1177</v>
      </c>
      <c r="B2898" s="14" t="s">
        <v>583</v>
      </c>
      <c r="C2898" s="15" t="s">
        <v>2605</v>
      </c>
      <c r="D2898" s="14" t="s">
        <v>1749</v>
      </c>
      <c r="E2898" s="14" t="s">
        <v>1746</v>
      </c>
      <c r="F2898" s="17" t="s">
        <v>2994</v>
      </c>
      <c r="G2898" s="14">
        <v>600</v>
      </c>
      <c r="H2898" s="14">
        <v>480</v>
      </c>
      <c r="I2898" s="31">
        <f>IF(COUNTIFS(Addendum!C:C,A2898,Addendum!D:D,IF(ISNUMBER(B2898),TEXT(B2898,"0000"),B2898),Addendum!E:E,"X")&gt;0,4%,0)</f>
        <v>0.04</v>
      </c>
      <c r="J2898" s="31">
        <f>IF(COUNTIFS(Addendum!C:C,A2898,Addendum!D:D,IF(ISNUMBER(B2898),TEXT(B2898,"0000"),B2898),Addendum!F:F,"X")&gt;0,2.5%,0)</f>
        <v>0</v>
      </c>
      <c r="K2898" s="31">
        <f>IF(COUNTIFS(Addendum!C:C,A2898,Addendum!D:D,IF(ISNUMBER(B2898),TEXT(B2898,"0000"),B2898),Addendum!G:G,"X")&gt;0,7%,0)</f>
        <v>0</v>
      </c>
      <c r="L2898" s="31">
        <f>IF(COUNTIFS(Addendum!C:C,A2898,Addendum!D:D,IF(ISNUMBER(B2898),TEXT(B2898,"0000"),B2898),Addendum!I:I,"X")&gt;0,10%,0)</f>
        <v>0</v>
      </c>
      <c r="M2898" s="34">
        <f t="shared" si="90"/>
        <v>0.01</v>
      </c>
      <c r="N2898" s="17">
        <f t="shared" si="91"/>
        <v>475.2</v>
      </c>
    </row>
    <row r="2899" spans="1:14" ht="30" x14ac:dyDescent="0.25">
      <c r="A2899" s="14" t="s">
        <v>1177</v>
      </c>
      <c r="B2899" s="14" t="s">
        <v>258</v>
      </c>
      <c r="C2899" s="15" t="s">
        <v>2607</v>
      </c>
      <c r="D2899" s="14" t="s">
        <v>1749</v>
      </c>
      <c r="E2899" s="14" t="s">
        <v>1746</v>
      </c>
      <c r="F2899" s="17" t="s">
        <v>2994</v>
      </c>
      <c r="G2899" s="14">
        <v>0</v>
      </c>
      <c r="H2899" s="14">
        <v>0</v>
      </c>
      <c r="I2899" s="31">
        <f>IF(COUNTIFS(Addendum!C:C,A2899,Addendum!D:D,IF(ISNUMBER(B2899),TEXT(B2899,"0000"),B2899),Addendum!E:E,"X")&gt;0,4%,0)</f>
        <v>0.04</v>
      </c>
      <c r="J2899" s="31">
        <f>IF(COUNTIFS(Addendum!C:C,A2899,Addendum!D:D,IF(ISNUMBER(B2899),TEXT(B2899,"0000"),B2899),Addendum!F:F,"X")&gt;0,2.5%,0)</f>
        <v>0</v>
      </c>
      <c r="K2899" s="31">
        <f>IF(COUNTIFS(Addendum!C:C,A2899,Addendum!D:D,IF(ISNUMBER(B2899),TEXT(B2899,"0000"),B2899),Addendum!G:G,"X")&gt;0,7%,0)</f>
        <v>0</v>
      </c>
      <c r="L2899" s="31">
        <f>IF(COUNTIFS(Addendum!C:C,A2899,Addendum!D:D,IF(ISNUMBER(B2899),TEXT(B2899,"0000"),B2899),Addendum!I:I,"X")&gt;0,10%,0)</f>
        <v>0</v>
      </c>
      <c r="M2899" s="34">
        <f t="shared" si="90"/>
        <v>0.01</v>
      </c>
      <c r="N2899" s="17">
        <f t="shared" si="91"/>
        <v>0</v>
      </c>
    </row>
    <row r="2900" spans="1:14" ht="30" x14ac:dyDescent="0.25">
      <c r="A2900" s="14" t="s">
        <v>1177</v>
      </c>
      <c r="B2900" s="14" t="s">
        <v>258</v>
      </c>
      <c r="C2900" s="15" t="s">
        <v>2607</v>
      </c>
      <c r="D2900" s="14" t="s">
        <v>1745</v>
      </c>
      <c r="E2900" s="14" t="s">
        <v>1747</v>
      </c>
      <c r="F2900" s="17" t="s">
        <v>2994</v>
      </c>
      <c r="G2900" s="14">
        <v>0</v>
      </c>
      <c r="H2900" s="14">
        <v>0</v>
      </c>
      <c r="I2900" s="31">
        <f>IF(COUNTIFS(Addendum!C:C,A2900,Addendum!D:D,IF(ISNUMBER(B2900),TEXT(B2900,"0000"),B2900),Addendum!E:E,"X")&gt;0,4%,0)</f>
        <v>0.04</v>
      </c>
      <c r="J2900" s="31">
        <f>IF(COUNTIFS(Addendum!C:C,A2900,Addendum!D:D,IF(ISNUMBER(B2900),TEXT(B2900,"0000"),B2900),Addendum!F:F,"X")&gt;0,2.5%,0)</f>
        <v>0</v>
      </c>
      <c r="K2900" s="31">
        <f>IF(COUNTIFS(Addendum!C:C,A2900,Addendum!D:D,IF(ISNUMBER(B2900),TEXT(B2900,"0000"),B2900),Addendum!G:G,"X")&gt;0,7%,0)</f>
        <v>0</v>
      </c>
      <c r="L2900" s="31">
        <f>IF(COUNTIFS(Addendum!C:C,A2900,Addendum!D:D,IF(ISNUMBER(B2900),TEXT(B2900,"0000"),B2900),Addendum!I:I,"X")&gt;0,10%,0)</f>
        <v>0</v>
      </c>
      <c r="M2900" s="34">
        <f t="shared" si="90"/>
        <v>0.03</v>
      </c>
      <c r="N2900" s="17">
        <f t="shared" si="91"/>
        <v>0</v>
      </c>
    </row>
    <row r="2901" spans="1:14" x14ac:dyDescent="0.25">
      <c r="A2901" s="14" t="s">
        <v>1177</v>
      </c>
      <c r="B2901" s="14" t="s">
        <v>470</v>
      </c>
      <c r="C2901" s="15" t="s">
        <v>2608</v>
      </c>
      <c r="D2901" s="14" t="s">
        <v>1749</v>
      </c>
      <c r="E2901" s="14" t="s">
        <v>1746</v>
      </c>
      <c r="F2901" s="17" t="s">
        <v>2994</v>
      </c>
      <c r="G2901" s="14">
        <v>600</v>
      </c>
      <c r="H2901" s="14">
        <v>480</v>
      </c>
      <c r="I2901" s="31">
        <f>IF(COUNTIFS(Addendum!C:C,A2901,Addendum!D:D,IF(ISNUMBER(B2901),TEXT(B2901,"0000"),B2901),Addendum!E:E,"X")&gt;0,4%,0)</f>
        <v>0.04</v>
      </c>
      <c r="J2901" s="31">
        <f>IF(COUNTIFS(Addendum!C:C,A2901,Addendum!D:D,IF(ISNUMBER(B2901),TEXT(B2901,"0000"),B2901),Addendum!F:F,"X")&gt;0,2.5%,0)</f>
        <v>0</v>
      </c>
      <c r="K2901" s="31">
        <f>IF(COUNTIFS(Addendum!C:C,A2901,Addendum!D:D,IF(ISNUMBER(B2901),TEXT(B2901,"0000"),B2901),Addendum!G:G,"X")&gt;0,7%,0)</f>
        <v>0</v>
      </c>
      <c r="L2901" s="31">
        <f>IF(COUNTIFS(Addendum!C:C,A2901,Addendum!D:D,IF(ISNUMBER(B2901),TEXT(B2901,"0000"),B2901),Addendum!I:I,"X")&gt;0,10%,0)</f>
        <v>0</v>
      </c>
      <c r="M2901" s="34">
        <f t="shared" si="90"/>
        <v>0.01</v>
      </c>
      <c r="N2901" s="17">
        <f t="shared" si="91"/>
        <v>475.2</v>
      </c>
    </row>
    <row r="2902" spans="1:14" x14ac:dyDescent="0.25">
      <c r="A2902" s="14" t="s">
        <v>1177</v>
      </c>
      <c r="B2902" s="14" t="s">
        <v>263</v>
      </c>
      <c r="C2902" s="15" t="s">
        <v>2604</v>
      </c>
      <c r="D2902" s="14" t="s">
        <v>1745</v>
      </c>
      <c r="E2902" s="14" t="s">
        <v>1747</v>
      </c>
      <c r="F2902" s="17" t="s">
        <v>2994</v>
      </c>
      <c r="G2902" s="14">
        <v>7980</v>
      </c>
      <c r="H2902" s="14">
        <v>6384</v>
      </c>
      <c r="I2902" s="31">
        <f>IF(COUNTIFS(Addendum!C:C,A2902,Addendum!D:D,IF(ISNUMBER(B2902),TEXT(B2902,"0000"),B2902),Addendum!E:E,"X")&gt;0,4%,0)</f>
        <v>0.04</v>
      </c>
      <c r="J2902" s="31">
        <f>IF(COUNTIFS(Addendum!C:C,A2902,Addendum!D:D,IF(ISNUMBER(B2902),TEXT(B2902,"0000"),B2902),Addendum!F:F,"X")&gt;0,2.5%,0)</f>
        <v>0</v>
      </c>
      <c r="K2902" s="31">
        <f>IF(COUNTIFS(Addendum!C:C,A2902,Addendum!D:D,IF(ISNUMBER(B2902),TEXT(B2902,"0000"),B2902),Addendum!G:G,"X")&gt;0,7%,0)</f>
        <v>0</v>
      </c>
      <c r="L2902" s="31">
        <f>IF(COUNTIFS(Addendum!C:C,A2902,Addendum!D:D,IF(ISNUMBER(B2902),TEXT(B2902,"0000"),B2902),Addendum!I:I,"X")&gt;0,10%,0)</f>
        <v>0</v>
      </c>
      <c r="M2902" s="34">
        <f t="shared" si="90"/>
        <v>0.03</v>
      </c>
      <c r="N2902" s="17">
        <f t="shared" si="91"/>
        <v>6192.48</v>
      </c>
    </row>
    <row r="2903" spans="1:14" x14ac:dyDescent="0.25">
      <c r="A2903" s="14" t="s">
        <v>1177</v>
      </c>
      <c r="B2903" s="14" t="s">
        <v>608</v>
      </c>
      <c r="C2903" s="15" t="s">
        <v>2606</v>
      </c>
      <c r="D2903" s="14" t="s">
        <v>1745</v>
      </c>
      <c r="E2903" s="14" t="s">
        <v>1746</v>
      </c>
      <c r="F2903" s="17" t="s">
        <v>2994</v>
      </c>
      <c r="G2903" s="14">
        <v>8379</v>
      </c>
      <c r="H2903" s="14">
        <v>6703.2</v>
      </c>
      <c r="I2903" s="31">
        <f>IF(COUNTIFS(Addendum!C:C,A2903,Addendum!D:D,IF(ISNUMBER(B2903),TEXT(B2903,"0000"),B2903),Addendum!E:E,"X")&gt;0,4%,0)</f>
        <v>0.04</v>
      </c>
      <c r="J2903" s="31">
        <f>IF(COUNTIFS(Addendum!C:C,A2903,Addendum!D:D,IF(ISNUMBER(B2903),TEXT(B2903,"0000"),B2903),Addendum!F:F,"X")&gt;0,2.5%,0)</f>
        <v>0</v>
      </c>
      <c r="K2903" s="31">
        <f>IF(COUNTIFS(Addendum!C:C,A2903,Addendum!D:D,IF(ISNUMBER(B2903),TEXT(B2903,"0000"),B2903),Addendum!G:G,"X")&gt;0,7%,0)</f>
        <v>0</v>
      </c>
      <c r="L2903" s="31">
        <f>IF(COUNTIFS(Addendum!C:C,A2903,Addendum!D:D,IF(ISNUMBER(B2903),TEXT(B2903,"0000"),B2903),Addendum!I:I,"X")&gt;0,10%,0)</f>
        <v>0</v>
      </c>
      <c r="M2903" s="34">
        <f t="shared" si="90"/>
        <v>0.01</v>
      </c>
      <c r="N2903" s="17">
        <f t="shared" si="91"/>
        <v>6636.1679999999997</v>
      </c>
    </row>
    <row r="2904" spans="1:14" x14ac:dyDescent="0.25">
      <c r="A2904" s="14" t="s">
        <v>1177</v>
      </c>
      <c r="B2904" s="14" t="s">
        <v>583</v>
      </c>
      <c r="C2904" s="15" t="s">
        <v>2605</v>
      </c>
      <c r="D2904" s="14" t="s">
        <v>1745</v>
      </c>
      <c r="E2904" s="14" t="s">
        <v>1747</v>
      </c>
      <c r="F2904" s="17" t="s">
        <v>2994</v>
      </c>
      <c r="G2904" s="14">
        <v>6000</v>
      </c>
      <c r="H2904" s="14">
        <v>4800</v>
      </c>
      <c r="I2904" s="31">
        <f>IF(COUNTIFS(Addendum!C:C,A2904,Addendum!D:D,IF(ISNUMBER(B2904),TEXT(B2904,"0000"),B2904),Addendum!E:E,"X")&gt;0,4%,0)</f>
        <v>0.04</v>
      </c>
      <c r="J2904" s="31">
        <f>IF(COUNTIFS(Addendum!C:C,A2904,Addendum!D:D,IF(ISNUMBER(B2904),TEXT(B2904,"0000"),B2904),Addendum!F:F,"X")&gt;0,2.5%,0)</f>
        <v>0</v>
      </c>
      <c r="K2904" s="31">
        <f>IF(COUNTIFS(Addendum!C:C,A2904,Addendum!D:D,IF(ISNUMBER(B2904),TEXT(B2904,"0000"),B2904),Addendum!G:G,"X")&gt;0,7%,0)</f>
        <v>0</v>
      </c>
      <c r="L2904" s="31">
        <f>IF(COUNTIFS(Addendum!C:C,A2904,Addendum!D:D,IF(ISNUMBER(B2904),TEXT(B2904,"0000"),B2904),Addendum!I:I,"X")&gt;0,10%,0)</f>
        <v>0</v>
      </c>
      <c r="M2904" s="34">
        <f t="shared" si="90"/>
        <v>0.03</v>
      </c>
      <c r="N2904" s="17">
        <f t="shared" si="91"/>
        <v>4656</v>
      </c>
    </row>
    <row r="2905" spans="1:14" x14ac:dyDescent="0.25">
      <c r="A2905" s="14" t="s">
        <v>1177</v>
      </c>
      <c r="B2905" s="14" t="s">
        <v>263</v>
      </c>
      <c r="C2905" s="15" t="s">
        <v>2604</v>
      </c>
      <c r="D2905" s="14" t="s">
        <v>1745</v>
      </c>
      <c r="E2905" s="14" t="s">
        <v>1746</v>
      </c>
      <c r="F2905" s="17" t="s">
        <v>2994</v>
      </c>
      <c r="G2905" s="14">
        <v>8379</v>
      </c>
      <c r="H2905" s="14">
        <v>6703.2</v>
      </c>
      <c r="I2905" s="31">
        <f>IF(COUNTIFS(Addendum!C:C,A2905,Addendum!D:D,IF(ISNUMBER(B2905),TEXT(B2905,"0000"),B2905),Addendum!E:E,"X")&gt;0,4%,0)</f>
        <v>0.04</v>
      </c>
      <c r="J2905" s="31">
        <f>IF(COUNTIFS(Addendum!C:C,A2905,Addendum!D:D,IF(ISNUMBER(B2905),TEXT(B2905,"0000"),B2905),Addendum!F:F,"X")&gt;0,2.5%,0)</f>
        <v>0</v>
      </c>
      <c r="K2905" s="31">
        <f>IF(COUNTIFS(Addendum!C:C,A2905,Addendum!D:D,IF(ISNUMBER(B2905),TEXT(B2905,"0000"),B2905),Addendum!G:G,"X")&gt;0,7%,0)</f>
        <v>0</v>
      </c>
      <c r="L2905" s="31">
        <f>IF(COUNTIFS(Addendum!C:C,A2905,Addendum!D:D,IF(ISNUMBER(B2905),TEXT(B2905,"0000"),B2905),Addendum!I:I,"X")&gt;0,10%,0)</f>
        <v>0</v>
      </c>
      <c r="M2905" s="34">
        <f t="shared" si="90"/>
        <v>0.01</v>
      </c>
      <c r="N2905" s="17">
        <f t="shared" si="91"/>
        <v>6636.1679999999997</v>
      </c>
    </row>
    <row r="2906" spans="1:14" x14ac:dyDescent="0.25">
      <c r="A2906" s="14" t="s">
        <v>1177</v>
      </c>
      <c r="B2906" s="14" t="s">
        <v>583</v>
      </c>
      <c r="C2906" s="15" t="s">
        <v>2605</v>
      </c>
      <c r="D2906" s="14" t="s">
        <v>1745</v>
      </c>
      <c r="E2906" s="14" t="s">
        <v>1746</v>
      </c>
      <c r="F2906" s="17" t="s">
        <v>2994</v>
      </c>
      <c r="G2906" s="14">
        <v>6300</v>
      </c>
      <c r="H2906" s="14">
        <v>5040</v>
      </c>
      <c r="I2906" s="31">
        <f>IF(COUNTIFS(Addendum!C:C,A2906,Addendum!D:D,IF(ISNUMBER(B2906),TEXT(B2906,"0000"),B2906),Addendum!E:E,"X")&gt;0,4%,0)</f>
        <v>0.04</v>
      </c>
      <c r="J2906" s="31">
        <f>IF(COUNTIFS(Addendum!C:C,A2906,Addendum!D:D,IF(ISNUMBER(B2906),TEXT(B2906,"0000"),B2906),Addendum!F:F,"X")&gt;0,2.5%,0)</f>
        <v>0</v>
      </c>
      <c r="K2906" s="31">
        <f>IF(COUNTIFS(Addendum!C:C,A2906,Addendum!D:D,IF(ISNUMBER(B2906),TEXT(B2906,"0000"),B2906),Addendum!G:G,"X")&gt;0,7%,0)</f>
        <v>0</v>
      </c>
      <c r="L2906" s="31">
        <f>IF(COUNTIFS(Addendum!C:C,A2906,Addendum!D:D,IF(ISNUMBER(B2906),TEXT(B2906,"0000"),B2906),Addendum!I:I,"X")&gt;0,10%,0)</f>
        <v>0</v>
      </c>
      <c r="M2906" s="34">
        <f t="shared" si="90"/>
        <v>0.01</v>
      </c>
      <c r="N2906" s="17">
        <f t="shared" si="91"/>
        <v>4989.6000000000004</v>
      </c>
    </row>
    <row r="2907" spans="1:14" x14ac:dyDescent="0.25">
      <c r="A2907" s="14" t="s">
        <v>1177</v>
      </c>
      <c r="B2907" s="14" t="s">
        <v>608</v>
      </c>
      <c r="C2907" s="15" t="s">
        <v>2606</v>
      </c>
      <c r="D2907" s="14" t="s">
        <v>1745</v>
      </c>
      <c r="E2907" s="14" t="s">
        <v>1747</v>
      </c>
      <c r="F2907" s="17" t="s">
        <v>2994</v>
      </c>
      <c r="G2907" s="14">
        <v>7980</v>
      </c>
      <c r="H2907" s="14">
        <v>6384</v>
      </c>
      <c r="I2907" s="31">
        <f>IF(COUNTIFS(Addendum!C:C,A2907,Addendum!D:D,IF(ISNUMBER(B2907),TEXT(B2907,"0000"),B2907),Addendum!E:E,"X")&gt;0,4%,0)</f>
        <v>0.04</v>
      </c>
      <c r="J2907" s="31">
        <f>IF(COUNTIFS(Addendum!C:C,A2907,Addendum!D:D,IF(ISNUMBER(B2907),TEXT(B2907,"0000"),B2907),Addendum!F:F,"X")&gt;0,2.5%,0)</f>
        <v>0</v>
      </c>
      <c r="K2907" s="31">
        <f>IF(COUNTIFS(Addendum!C:C,A2907,Addendum!D:D,IF(ISNUMBER(B2907),TEXT(B2907,"0000"),B2907),Addendum!G:G,"X")&gt;0,7%,0)</f>
        <v>0</v>
      </c>
      <c r="L2907" s="31">
        <f>IF(COUNTIFS(Addendum!C:C,A2907,Addendum!D:D,IF(ISNUMBER(B2907),TEXT(B2907,"0000"),B2907),Addendum!I:I,"X")&gt;0,10%,0)</f>
        <v>0</v>
      </c>
      <c r="M2907" s="34">
        <f t="shared" si="90"/>
        <v>0.03</v>
      </c>
      <c r="N2907" s="17">
        <f t="shared" si="91"/>
        <v>6192.48</v>
      </c>
    </row>
    <row r="2908" spans="1:14" x14ac:dyDescent="0.25">
      <c r="A2908" s="14" t="s">
        <v>2609</v>
      </c>
      <c r="B2908" s="14">
        <v>9</v>
      </c>
      <c r="C2908" s="15" t="s">
        <v>2610</v>
      </c>
      <c r="D2908" s="14" t="s">
        <v>1749</v>
      </c>
      <c r="E2908" s="14" t="s">
        <v>1746</v>
      </c>
      <c r="F2908" s="17" t="s">
        <v>2995</v>
      </c>
      <c r="G2908" s="14">
        <v>74.88</v>
      </c>
      <c r="H2908" s="14">
        <v>67.39</v>
      </c>
      <c r="I2908" s="31">
        <f>IF(COUNTIFS(Addendum!C:C,A2908,Addendum!D:D,IF(ISNUMBER(B2908),TEXT(B2908,"0000"),B2908),Addendum!E:E,"X")&gt;0,4%,0)</f>
        <v>0</v>
      </c>
      <c r="J2908" s="31">
        <f>IF(COUNTIFS(Addendum!C:C,A2908,Addendum!D:D,IF(ISNUMBER(B2908),TEXT(B2908,"0000"),B2908),Addendum!F:F,"X")&gt;0,2.5%,0)</f>
        <v>0</v>
      </c>
      <c r="K2908" s="31">
        <f>IF(COUNTIFS(Addendum!C:C,A2908,Addendum!D:D,IF(ISNUMBER(B2908),TEXT(B2908,"0000"),B2908),Addendum!G:G,"X")&gt;0,7%,0)</f>
        <v>0</v>
      </c>
      <c r="L2908" s="31">
        <f>IF(COUNTIFS(Addendum!C:C,A2908,Addendum!D:D,IF(ISNUMBER(B2908),TEXT(B2908,"0000"),B2908),Addendum!I:I,"X")&gt;0,10%,0)</f>
        <v>0</v>
      </c>
      <c r="M2908" s="34">
        <f t="shared" si="90"/>
        <v>0</v>
      </c>
      <c r="N2908" s="17">
        <f t="shared" si="91"/>
        <v>67.39</v>
      </c>
    </row>
    <row r="2909" spans="1:14" x14ac:dyDescent="0.25">
      <c r="A2909" s="14" t="s">
        <v>2609</v>
      </c>
      <c r="B2909" s="14">
        <v>1</v>
      </c>
      <c r="C2909" s="15" t="s">
        <v>2611</v>
      </c>
      <c r="D2909" s="14" t="s">
        <v>1745</v>
      </c>
      <c r="E2909" s="14" t="s">
        <v>1746</v>
      </c>
      <c r="F2909" s="17" t="s">
        <v>2993</v>
      </c>
      <c r="G2909" s="14">
        <v>3150</v>
      </c>
      <c r="H2909" s="14">
        <v>2520</v>
      </c>
      <c r="I2909" s="31">
        <f>IF(COUNTIFS(Addendum!C:C,A2909,Addendum!D:D,IF(ISNUMBER(B2909),TEXT(B2909,"0000"),B2909),Addendum!E:E,"X")&gt;0,4%,0)</f>
        <v>0</v>
      </c>
      <c r="J2909" s="31">
        <f>IF(COUNTIFS(Addendum!C:C,A2909,Addendum!D:D,IF(ISNUMBER(B2909),TEXT(B2909,"0000"),B2909),Addendum!F:F,"X")&gt;0,2.5%,0)</f>
        <v>0</v>
      </c>
      <c r="K2909" s="31">
        <f>IF(COUNTIFS(Addendum!C:C,A2909,Addendum!D:D,IF(ISNUMBER(B2909),TEXT(B2909,"0000"),B2909),Addendum!G:G,"X")&gt;0,7%,0)</f>
        <v>0</v>
      </c>
      <c r="L2909" s="31">
        <f>IF(COUNTIFS(Addendum!C:C,A2909,Addendum!D:D,IF(ISNUMBER(B2909),TEXT(B2909,"0000"),B2909),Addendum!I:I,"X")&gt;0,10%,0)</f>
        <v>0</v>
      </c>
      <c r="M2909" s="34">
        <f t="shared" si="90"/>
        <v>0</v>
      </c>
      <c r="N2909" s="17">
        <f t="shared" si="91"/>
        <v>2520</v>
      </c>
    </row>
    <row r="2910" spans="1:14" x14ac:dyDescent="0.25">
      <c r="A2910" s="14" t="s">
        <v>2609</v>
      </c>
      <c r="B2910" s="14">
        <v>9</v>
      </c>
      <c r="C2910" s="15" t="s">
        <v>2610</v>
      </c>
      <c r="D2910" s="14" t="s">
        <v>1745</v>
      </c>
      <c r="E2910" s="14" t="s">
        <v>1746</v>
      </c>
      <c r="F2910" s="17" t="s">
        <v>2995</v>
      </c>
      <c r="G2910" s="14">
        <v>786.24</v>
      </c>
      <c r="H2910" s="14">
        <v>707.64</v>
      </c>
      <c r="I2910" s="31">
        <f>IF(COUNTIFS(Addendum!C:C,A2910,Addendum!D:D,IF(ISNUMBER(B2910),TEXT(B2910,"0000"),B2910),Addendum!E:E,"X")&gt;0,4%,0)</f>
        <v>0</v>
      </c>
      <c r="J2910" s="31">
        <f>IF(COUNTIFS(Addendum!C:C,A2910,Addendum!D:D,IF(ISNUMBER(B2910),TEXT(B2910,"0000"),B2910),Addendum!F:F,"X")&gt;0,2.5%,0)</f>
        <v>0</v>
      </c>
      <c r="K2910" s="31">
        <f>IF(COUNTIFS(Addendum!C:C,A2910,Addendum!D:D,IF(ISNUMBER(B2910),TEXT(B2910,"0000"),B2910),Addendum!G:G,"X")&gt;0,7%,0)</f>
        <v>0</v>
      </c>
      <c r="L2910" s="31">
        <f>IF(COUNTIFS(Addendum!C:C,A2910,Addendum!D:D,IF(ISNUMBER(B2910),TEXT(B2910,"0000"),B2910),Addendum!I:I,"X")&gt;0,10%,0)</f>
        <v>0</v>
      </c>
      <c r="M2910" s="34">
        <f t="shared" si="90"/>
        <v>0</v>
      </c>
      <c r="N2910" s="17">
        <f t="shared" si="91"/>
        <v>707.64</v>
      </c>
    </row>
    <row r="2911" spans="1:14" x14ac:dyDescent="0.25">
      <c r="A2911" s="14" t="s">
        <v>2609</v>
      </c>
      <c r="B2911" s="14">
        <v>9</v>
      </c>
      <c r="C2911" s="15" t="s">
        <v>2610</v>
      </c>
      <c r="D2911" s="14" t="s">
        <v>1745</v>
      </c>
      <c r="E2911" s="14" t="s">
        <v>1747</v>
      </c>
      <c r="F2911" s="17" t="s">
        <v>2995</v>
      </c>
      <c r="G2911" s="14">
        <v>748.8</v>
      </c>
      <c r="H2911" s="14">
        <v>673.92</v>
      </c>
      <c r="I2911" s="31">
        <f>IF(COUNTIFS(Addendum!C:C,A2911,Addendum!D:D,IF(ISNUMBER(B2911),TEXT(B2911,"0000"),B2911),Addendum!E:E,"X")&gt;0,4%,0)</f>
        <v>0</v>
      </c>
      <c r="J2911" s="31">
        <f>IF(COUNTIFS(Addendum!C:C,A2911,Addendum!D:D,IF(ISNUMBER(B2911),TEXT(B2911,"0000"),B2911),Addendum!F:F,"X")&gt;0,2.5%,0)</f>
        <v>0</v>
      </c>
      <c r="K2911" s="31">
        <f>IF(COUNTIFS(Addendum!C:C,A2911,Addendum!D:D,IF(ISNUMBER(B2911),TEXT(B2911,"0000"),B2911),Addendum!G:G,"X")&gt;0,7%,0)</f>
        <v>0</v>
      </c>
      <c r="L2911" s="31">
        <f>IF(COUNTIFS(Addendum!C:C,A2911,Addendum!D:D,IF(ISNUMBER(B2911),TEXT(B2911,"0000"),B2911),Addendum!I:I,"X")&gt;0,10%,0)</f>
        <v>0</v>
      </c>
      <c r="M2911" s="34">
        <f t="shared" si="90"/>
        <v>0</v>
      </c>
      <c r="N2911" s="17">
        <f t="shared" si="91"/>
        <v>673.92</v>
      </c>
    </row>
    <row r="2912" spans="1:14" x14ac:dyDescent="0.25">
      <c r="A2912" s="14" t="s">
        <v>2609</v>
      </c>
      <c r="B2912" s="14">
        <v>1</v>
      </c>
      <c r="C2912" s="15" t="s">
        <v>2611</v>
      </c>
      <c r="D2912" s="14" t="s">
        <v>1749</v>
      </c>
      <c r="E2912" s="14" t="s">
        <v>1746</v>
      </c>
      <c r="F2912" s="17" t="s">
        <v>2993</v>
      </c>
      <c r="G2912" s="14">
        <v>300</v>
      </c>
      <c r="H2912" s="14">
        <v>240</v>
      </c>
      <c r="I2912" s="31">
        <f>IF(COUNTIFS(Addendum!C:C,A2912,Addendum!D:D,IF(ISNUMBER(B2912),TEXT(B2912,"0000"),B2912),Addendum!E:E,"X")&gt;0,4%,0)</f>
        <v>0</v>
      </c>
      <c r="J2912" s="31">
        <f>IF(COUNTIFS(Addendum!C:C,A2912,Addendum!D:D,IF(ISNUMBER(B2912),TEXT(B2912,"0000"),B2912),Addendum!F:F,"X")&gt;0,2.5%,0)</f>
        <v>0</v>
      </c>
      <c r="K2912" s="31">
        <f>IF(COUNTIFS(Addendum!C:C,A2912,Addendum!D:D,IF(ISNUMBER(B2912),TEXT(B2912,"0000"),B2912),Addendum!G:G,"X")&gt;0,7%,0)</f>
        <v>0</v>
      </c>
      <c r="L2912" s="31">
        <f>IF(COUNTIFS(Addendum!C:C,A2912,Addendum!D:D,IF(ISNUMBER(B2912),TEXT(B2912,"0000"),B2912),Addendum!I:I,"X")&gt;0,10%,0)</f>
        <v>0</v>
      </c>
      <c r="M2912" s="34">
        <f t="shared" si="90"/>
        <v>0</v>
      </c>
      <c r="N2912" s="17">
        <f t="shared" si="91"/>
        <v>240</v>
      </c>
    </row>
    <row r="2913" spans="1:14" x14ac:dyDescent="0.25">
      <c r="A2913" s="14" t="s">
        <v>2609</v>
      </c>
      <c r="B2913" s="14">
        <v>1</v>
      </c>
      <c r="C2913" s="15" t="s">
        <v>2611</v>
      </c>
      <c r="D2913" s="14" t="s">
        <v>1745</v>
      </c>
      <c r="E2913" s="14" t="s">
        <v>1747</v>
      </c>
      <c r="F2913" s="17" t="s">
        <v>2993</v>
      </c>
      <c r="G2913" s="14">
        <v>3000</v>
      </c>
      <c r="H2913" s="14">
        <v>2400</v>
      </c>
      <c r="I2913" s="31">
        <f>IF(COUNTIFS(Addendum!C:C,A2913,Addendum!D:D,IF(ISNUMBER(B2913),TEXT(B2913,"0000"),B2913),Addendum!E:E,"X")&gt;0,4%,0)</f>
        <v>0</v>
      </c>
      <c r="J2913" s="31">
        <f>IF(COUNTIFS(Addendum!C:C,A2913,Addendum!D:D,IF(ISNUMBER(B2913),TEXT(B2913,"0000"),B2913),Addendum!F:F,"X")&gt;0,2.5%,0)</f>
        <v>0</v>
      </c>
      <c r="K2913" s="31">
        <f>IF(COUNTIFS(Addendum!C:C,A2913,Addendum!D:D,IF(ISNUMBER(B2913),TEXT(B2913,"0000"),B2913),Addendum!G:G,"X")&gt;0,7%,0)</f>
        <v>0</v>
      </c>
      <c r="L2913" s="31">
        <f>IF(COUNTIFS(Addendum!C:C,A2913,Addendum!D:D,IF(ISNUMBER(B2913),TEXT(B2913,"0000"),B2913),Addendum!I:I,"X")&gt;0,10%,0)</f>
        <v>0</v>
      </c>
      <c r="M2913" s="34">
        <f t="shared" si="90"/>
        <v>0</v>
      </c>
      <c r="N2913" s="17">
        <f t="shared" si="91"/>
        <v>2400</v>
      </c>
    </row>
    <row r="2914" spans="1:14" x14ac:dyDescent="0.25">
      <c r="A2914" s="14" t="s">
        <v>1198</v>
      </c>
      <c r="B2914" s="14">
        <v>1</v>
      </c>
      <c r="C2914" s="15" t="s">
        <v>1197</v>
      </c>
      <c r="D2914" s="14" t="s">
        <v>1745</v>
      </c>
      <c r="E2914" s="14" t="s">
        <v>1747</v>
      </c>
      <c r="F2914" s="17" t="s">
        <v>2993</v>
      </c>
      <c r="G2914" s="14">
        <v>9960</v>
      </c>
      <c r="H2914" s="14">
        <v>7968</v>
      </c>
      <c r="I2914" s="31">
        <f>IF(COUNTIFS(Addendum!C:C,A2914,Addendum!D:D,IF(ISNUMBER(B2914),TEXT(B2914,"0000"),B2914),Addendum!E:E,"X")&gt;0,4%,0)</f>
        <v>0.04</v>
      </c>
      <c r="J2914" s="31">
        <f>IF(COUNTIFS(Addendum!C:C,A2914,Addendum!D:D,IF(ISNUMBER(B2914),TEXT(B2914,"0000"),B2914),Addendum!F:F,"X")&gt;0,2.5%,0)</f>
        <v>0</v>
      </c>
      <c r="K2914" s="31">
        <f>IF(COUNTIFS(Addendum!C:C,A2914,Addendum!D:D,IF(ISNUMBER(B2914),TEXT(B2914,"0000"),B2914),Addendum!G:G,"X")&gt;0,7%,0)</f>
        <v>0</v>
      </c>
      <c r="L2914" s="31">
        <f>IF(COUNTIFS(Addendum!C:C,A2914,Addendum!D:D,IF(ISNUMBER(B2914),TEXT(B2914,"0000"),B2914),Addendum!I:I,"X")&gt;0,10%,0)</f>
        <v>0</v>
      </c>
      <c r="M2914" s="34">
        <f t="shared" si="90"/>
        <v>0.03</v>
      </c>
      <c r="N2914" s="17">
        <f t="shared" si="91"/>
        <v>7728.96</v>
      </c>
    </row>
    <row r="2915" spans="1:14" x14ac:dyDescent="0.25">
      <c r="A2915" s="14" t="s">
        <v>1198</v>
      </c>
      <c r="B2915" s="14">
        <v>19</v>
      </c>
      <c r="C2915" s="15" t="s">
        <v>2612</v>
      </c>
      <c r="D2915" s="14" t="s">
        <v>1745</v>
      </c>
      <c r="E2915" s="14" t="s">
        <v>1747</v>
      </c>
      <c r="F2915" s="17" t="s">
        <v>2995</v>
      </c>
      <c r="G2915" s="14">
        <v>2520</v>
      </c>
      <c r="H2915" s="14">
        <v>2268</v>
      </c>
      <c r="I2915" s="31">
        <f>IF(COUNTIFS(Addendum!C:C,A2915,Addendum!D:D,IF(ISNUMBER(B2915),TEXT(B2915,"0000"),B2915),Addendum!E:E,"X")&gt;0,4%,0)</f>
        <v>0.04</v>
      </c>
      <c r="J2915" s="31">
        <f>IF(COUNTIFS(Addendum!C:C,A2915,Addendum!D:D,IF(ISNUMBER(B2915),TEXT(B2915,"0000"),B2915),Addendum!F:F,"X")&gt;0,2.5%,0)</f>
        <v>0</v>
      </c>
      <c r="K2915" s="31">
        <f>IF(COUNTIFS(Addendum!C:C,A2915,Addendum!D:D,IF(ISNUMBER(B2915),TEXT(B2915,"0000"),B2915),Addendum!G:G,"X")&gt;0,7%,0)</f>
        <v>0</v>
      </c>
      <c r="L2915" s="31">
        <f>IF(COUNTIFS(Addendum!C:C,A2915,Addendum!D:D,IF(ISNUMBER(B2915),TEXT(B2915,"0000"),B2915),Addendum!I:I,"X")&gt;0,10%,0)</f>
        <v>0</v>
      </c>
      <c r="M2915" s="34">
        <f t="shared" si="90"/>
        <v>0.03</v>
      </c>
      <c r="N2915" s="17">
        <f t="shared" si="91"/>
        <v>2199.96</v>
      </c>
    </row>
    <row r="2916" spans="1:14" x14ac:dyDescent="0.25">
      <c r="A2916" s="14" t="s">
        <v>1198</v>
      </c>
      <c r="B2916" s="14">
        <v>19</v>
      </c>
      <c r="C2916" s="15" t="s">
        <v>2612</v>
      </c>
      <c r="D2916" s="14" t="s">
        <v>1749</v>
      </c>
      <c r="E2916" s="14" t="s">
        <v>1746</v>
      </c>
      <c r="F2916" s="17" t="s">
        <v>2995</v>
      </c>
      <c r="G2916" s="14">
        <v>252</v>
      </c>
      <c r="H2916" s="14">
        <v>226.8</v>
      </c>
      <c r="I2916" s="31">
        <f>IF(COUNTIFS(Addendum!C:C,A2916,Addendum!D:D,IF(ISNUMBER(B2916),TEXT(B2916,"0000"),B2916),Addendum!E:E,"X")&gt;0,4%,0)</f>
        <v>0.04</v>
      </c>
      <c r="J2916" s="31">
        <f>IF(COUNTIFS(Addendum!C:C,A2916,Addendum!D:D,IF(ISNUMBER(B2916),TEXT(B2916,"0000"),B2916),Addendum!F:F,"X")&gt;0,2.5%,0)</f>
        <v>0</v>
      </c>
      <c r="K2916" s="31">
        <f>IF(COUNTIFS(Addendum!C:C,A2916,Addendum!D:D,IF(ISNUMBER(B2916),TEXT(B2916,"0000"),B2916),Addendum!G:G,"X")&gt;0,7%,0)</f>
        <v>0</v>
      </c>
      <c r="L2916" s="31">
        <f>IF(COUNTIFS(Addendum!C:C,A2916,Addendum!D:D,IF(ISNUMBER(B2916),TEXT(B2916,"0000"),B2916),Addendum!I:I,"X")&gt;0,10%,0)</f>
        <v>0</v>
      </c>
      <c r="M2916" s="34">
        <f t="shared" si="90"/>
        <v>0.01</v>
      </c>
      <c r="N2916" s="17">
        <f t="shared" si="91"/>
        <v>224.53200000000001</v>
      </c>
    </row>
    <row r="2917" spans="1:14" x14ac:dyDescent="0.25">
      <c r="A2917" s="14" t="s">
        <v>1198</v>
      </c>
      <c r="B2917" s="14">
        <v>1</v>
      </c>
      <c r="C2917" s="15" t="s">
        <v>1197</v>
      </c>
      <c r="D2917" s="14" t="s">
        <v>1745</v>
      </c>
      <c r="E2917" s="14" t="s">
        <v>1746</v>
      </c>
      <c r="F2917" s="17" t="s">
        <v>2993</v>
      </c>
      <c r="G2917" s="14">
        <v>10458</v>
      </c>
      <c r="H2917" s="14">
        <v>8366.4</v>
      </c>
      <c r="I2917" s="31">
        <f>IF(COUNTIFS(Addendum!C:C,A2917,Addendum!D:D,IF(ISNUMBER(B2917),TEXT(B2917,"0000"),B2917),Addendum!E:E,"X")&gt;0,4%,0)</f>
        <v>0.04</v>
      </c>
      <c r="J2917" s="31">
        <f>IF(COUNTIFS(Addendum!C:C,A2917,Addendum!D:D,IF(ISNUMBER(B2917),TEXT(B2917,"0000"),B2917),Addendum!F:F,"X")&gt;0,2.5%,0)</f>
        <v>0</v>
      </c>
      <c r="K2917" s="31">
        <f>IF(COUNTIFS(Addendum!C:C,A2917,Addendum!D:D,IF(ISNUMBER(B2917),TEXT(B2917,"0000"),B2917),Addendum!G:G,"X")&gt;0,7%,0)</f>
        <v>0</v>
      </c>
      <c r="L2917" s="31">
        <f>IF(COUNTIFS(Addendum!C:C,A2917,Addendum!D:D,IF(ISNUMBER(B2917),TEXT(B2917,"0000"),B2917),Addendum!I:I,"X")&gt;0,10%,0)</f>
        <v>0</v>
      </c>
      <c r="M2917" s="34">
        <f t="shared" si="90"/>
        <v>0.01</v>
      </c>
      <c r="N2917" s="17">
        <f t="shared" si="91"/>
        <v>8282.735999999999</v>
      </c>
    </row>
    <row r="2918" spans="1:14" x14ac:dyDescent="0.25">
      <c r="A2918" s="14" t="s">
        <v>1198</v>
      </c>
      <c r="B2918" s="14" t="s">
        <v>120</v>
      </c>
      <c r="C2918" s="15" t="s">
        <v>1202</v>
      </c>
      <c r="D2918" s="14" t="s">
        <v>1745</v>
      </c>
      <c r="E2918" s="14" t="s">
        <v>1747</v>
      </c>
      <c r="F2918" s="17" t="s">
        <v>2993</v>
      </c>
      <c r="G2918" s="14">
        <v>6780</v>
      </c>
      <c r="H2918" s="14">
        <v>5424</v>
      </c>
      <c r="I2918" s="31">
        <f>IF(COUNTIFS(Addendum!C:C,A2918,Addendum!D:D,IF(ISNUMBER(B2918),TEXT(B2918,"0000"),B2918),Addendum!E:E,"X")&gt;0,4%,0)</f>
        <v>0.04</v>
      </c>
      <c r="J2918" s="31">
        <f>IF(COUNTIFS(Addendum!C:C,A2918,Addendum!D:D,IF(ISNUMBER(B2918),TEXT(B2918,"0000"),B2918),Addendum!F:F,"X")&gt;0,2.5%,0)</f>
        <v>0</v>
      </c>
      <c r="K2918" s="31">
        <f>IF(COUNTIFS(Addendum!C:C,A2918,Addendum!D:D,IF(ISNUMBER(B2918),TEXT(B2918,"0000"),B2918),Addendum!G:G,"X")&gt;0,7%,0)</f>
        <v>0</v>
      </c>
      <c r="L2918" s="31">
        <f>IF(COUNTIFS(Addendum!C:C,A2918,Addendum!D:D,IF(ISNUMBER(B2918),TEXT(B2918,"0000"),B2918),Addendum!I:I,"X")&gt;0,10%,0)</f>
        <v>0</v>
      </c>
      <c r="M2918" s="34">
        <f t="shared" si="90"/>
        <v>0.03</v>
      </c>
      <c r="N2918" s="17">
        <f t="shared" si="91"/>
        <v>5261.28</v>
      </c>
    </row>
    <row r="2919" spans="1:14" x14ac:dyDescent="0.25">
      <c r="A2919" s="14" t="s">
        <v>1198</v>
      </c>
      <c r="B2919" s="14" t="s">
        <v>120</v>
      </c>
      <c r="C2919" s="15" t="s">
        <v>1202</v>
      </c>
      <c r="D2919" s="14" t="s">
        <v>1745</v>
      </c>
      <c r="E2919" s="14" t="s">
        <v>1746</v>
      </c>
      <c r="F2919" s="17" t="s">
        <v>2993</v>
      </c>
      <c r="G2919" s="14">
        <v>7119</v>
      </c>
      <c r="H2919" s="14">
        <v>5695.2</v>
      </c>
      <c r="I2919" s="31">
        <f>IF(COUNTIFS(Addendum!C:C,A2919,Addendum!D:D,IF(ISNUMBER(B2919),TEXT(B2919,"0000"),B2919),Addendum!E:E,"X")&gt;0,4%,0)</f>
        <v>0.04</v>
      </c>
      <c r="J2919" s="31">
        <f>IF(COUNTIFS(Addendum!C:C,A2919,Addendum!D:D,IF(ISNUMBER(B2919),TEXT(B2919,"0000"),B2919),Addendum!F:F,"X")&gt;0,2.5%,0)</f>
        <v>0</v>
      </c>
      <c r="K2919" s="31">
        <f>IF(COUNTIFS(Addendum!C:C,A2919,Addendum!D:D,IF(ISNUMBER(B2919),TEXT(B2919,"0000"),B2919),Addendum!G:G,"X")&gt;0,7%,0)</f>
        <v>0</v>
      </c>
      <c r="L2919" s="31">
        <f>IF(COUNTIFS(Addendum!C:C,A2919,Addendum!D:D,IF(ISNUMBER(B2919),TEXT(B2919,"0000"),B2919),Addendum!I:I,"X")&gt;0,10%,0)</f>
        <v>0</v>
      </c>
      <c r="M2919" s="34">
        <f t="shared" si="90"/>
        <v>0.01</v>
      </c>
      <c r="N2919" s="17">
        <f t="shared" si="91"/>
        <v>5638.2479999999996</v>
      </c>
    </row>
    <row r="2920" spans="1:14" x14ac:dyDescent="0.25">
      <c r="A2920" s="14" t="s">
        <v>1198</v>
      </c>
      <c r="B2920" s="14">
        <v>19</v>
      </c>
      <c r="C2920" s="15" t="s">
        <v>2612</v>
      </c>
      <c r="D2920" s="14" t="s">
        <v>1745</v>
      </c>
      <c r="E2920" s="14" t="s">
        <v>1746</v>
      </c>
      <c r="F2920" s="17" t="s">
        <v>2995</v>
      </c>
      <c r="G2920" s="14">
        <v>2646</v>
      </c>
      <c r="H2920" s="14">
        <v>2381.4</v>
      </c>
      <c r="I2920" s="31">
        <f>IF(COUNTIFS(Addendum!C:C,A2920,Addendum!D:D,IF(ISNUMBER(B2920),TEXT(B2920,"0000"),B2920),Addendum!E:E,"X")&gt;0,4%,0)</f>
        <v>0.04</v>
      </c>
      <c r="J2920" s="31">
        <f>IF(COUNTIFS(Addendum!C:C,A2920,Addendum!D:D,IF(ISNUMBER(B2920),TEXT(B2920,"0000"),B2920),Addendum!F:F,"X")&gt;0,2.5%,0)</f>
        <v>0</v>
      </c>
      <c r="K2920" s="31">
        <f>IF(COUNTIFS(Addendum!C:C,A2920,Addendum!D:D,IF(ISNUMBER(B2920),TEXT(B2920,"0000"),B2920),Addendum!G:G,"X")&gt;0,7%,0)</f>
        <v>0</v>
      </c>
      <c r="L2920" s="31">
        <f>IF(COUNTIFS(Addendum!C:C,A2920,Addendum!D:D,IF(ISNUMBER(B2920),TEXT(B2920,"0000"),B2920),Addendum!I:I,"X")&gt;0,10%,0)</f>
        <v>0</v>
      </c>
      <c r="M2920" s="34">
        <f t="shared" si="90"/>
        <v>0.01</v>
      </c>
      <c r="N2920" s="17">
        <f t="shared" si="91"/>
        <v>2357.5860000000002</v>
      </c>
    </row>
    <row r="2921" spans="1:14" x14ac:dyDescent="0.25">
      <c r="A2921" s="14" t="s">
        <v>1198</v>
      </c>
      <c r="B2921" s="14">
        <v>1</v>
      </c>
      <c r="C2921" s="15" t="s">
        <v>1197</v>
      </c>
      <c r="D2921" s="14" t="s">
        <v>1749</v>
      </c>
      <c r="E2921" s="14" t="s">
        <v>1746</v>
      </c>
      <c r="F2921" s="17" t="s">
        <v>2993</v>
      </c>
      <c r="G2921" s="14">
        <v>996</v>
      </c>
      <c r="H2921" s="14">
        <v>796.8</v>
      </c>
      <c r="I2921" s="31">
        <f>IF(COUNTIFS(Addendum!C:C,A2921,Addendum!D:D,IF(ISNUMBER(B2921),TEXT(B2921,"0000"),B2921),Addendum!E:E,"X")&gt;0,4%,0)</f>
        <v>0.04</v>
      </c>
      <c r="J2921" s="31">
        <f>IF(COUNTIFS(Addendum!C:C,A2921,Addendum!D:D,IF(ISNUMBER(B2921),TEXT(B2921,"0000"),B2921),Addendum!F:F,"X")&gt;0,2.5%,0)</f>
        <v>0</v>
      </c>
      <c r="K2921" s="31">
        <f>IF(COUNTIFS(Addendum!C:C,A2921,Addendum!D:D,IF(ISNUMBER(B2921),TEXT(B2921,"0000"),B2921),Addendum!G:G,"X")&gt;0,7%,0)</f>
        <v>0</v>
      </c>
      <c r="L2921" s="31">
        <f>IF(COUNTIFS(Addendum!C:C,A2921,Addendum!D:D,IF(ISNUMBER(B2921),TEXT(B2921,"0000"),B2921),Addendum!I:I,"X")&gt;0,10%,0)</f>
        <v>0</v>
      </c>
      <c r="M2921" s="34">
        <f t="shared" si="90"/>
        <v>0.01</v>
      </c>
      <c r="N2921" s="17">
        <f t="shared" si="91"/>
        <v>788.83199999999999</v>
      </c>
    </row>
    <row r="2922" spans="1:14" x14ac:dyDescent="0.25">
      <c r="A2922" s="14" t="s">
        <v>1198</v>
      </c>
      <c r="B2922" s="14" t="s">
        <v>120</v>
      </c>
      <c r="C2922" s="15" t="s">
        <v>1202</v>
      </c>
      <c r="D2922" s="14" t="s">
        <v>1749</v>
      </c>
      <c r="E2922" s="14" t="s">
        <v>1746</v>
      </c>
      <c r="F2922" s="17" t="s">
        <v>2993</v>
      </c>
      <c r="G2922" s="14">
        <v>678</v>
      </c>
      <c r="H2922" s="14">
        <v>542.4</v>
      </c>
      <c r="I2922" s="31">
        <f>IF(COUNTIFS(Addendum!C:C,A2922,Addendum!D:D,IF(ISNUMBER(B2922),TEXT(B2922,"0000"),B2922),Addendum!E:E,"X")&gt;0,4%,0)</f>
        <v>0.04</v>
      </c>
      <c r="J2922" s="31">
        <f>IF(COUNTIFS(Addendum!C:C,A2922,Addendum!D:D,IF(ISNUMBER(B2922),TEXT(B2922,"0000"),B2922),Addendum!F:F,"X")&gt;0,2.5%,0)</f>
        <v>0</v>
      </c>
      <c r="K2922" s="31">
        <f>IF(COUNTIFS(Addendum!C:C,A2922,Addendum!D:D,IF(ISNUMBER(B2922),TEXT(B2922,"0000"),B2922),Addendum!G:G,"X")&gt;0,7%,0)</f>
        <v>0</v>
      </c>
      <c r="L2922" s="31">
        <f>IF(COUNTIFS(Addendum!C:C,A2922,Addendum!D:D,IF(ISNUMBER(B2922),TEXT(B2922,"0000"),B2922),Addendum!I:I,"X")&gt;0,10%,0)</f>
        <v>0</v>
      </c>
      <c r="M2922" s="34">
        <f t="shared" si="90"/>
        <v>0.01</v>
      </c>
      <c r="N2922" s="17">
        <f t="shared" si="91"/>
        <v>536.976</v>
      </c>
    </row>
    <row r="2923" spans="1:14" x14ac:dyDescent="0.25">
      <c r="A2923" s="14" t="s">
        <v>2613</v>
      </c>
      <c r="B2923" s="14">
        <v>7</v>
      </c>
      <c r="C2923" s="15" t="s">
        <v>2614</v>
      </c>
      <c r="D2923" s="14" t="s">
        <v>1745</v>
      </c>
      <c r="E2923" s="14" t="s">
        <v>1747</v>
      </c>
      <c r="F2923" s="17" t="s">
        <v>2993</v>
      </c>
      <c r="G2923" s="14">
        <v>19980</v>
      </c>
      <c r="H2923" s="14">
        <v>15984</v>
      </c>
      <c r="I2923" s="31">
        <f>IF(COUNTIFS(Addendum!C:C,A2923,Addendum!D:D,IF(ISNUMBER(B2923),TEXT(B2923,"0000"),B2923),Addendum!E:E,"X")&gt;0,4%,0)</f>
        <v>0</v>
      </c>
      <c r="J2923" s="31">
        <f>IF(COUNTIFS(Addendum!C:C,A2923,Addendum!D:D,IF(ISNUMBER(B2923),TEXT(B2923,"0000"),B2923),Addendum!F:F,"X")&gt;0,2.5%,0)</f>
        <v>0</v>
      </c>
      <c r="K2923" s="31">
        <f>IF(COUNTIFS(Addendum!C:C,A2923,Addendum!D:D,IF(ISNUMBER(B2923),TEXT(B2923,"0000"),B2923),Addendum!G:G,"X")&gt;0,7%,0)</f>
        <v>0</v>
      </c>
      <c r="L2923" s="31">
        <f>IF(COUNTIFS(Addendum!C:C,A2923,Addendum!D:D,IF(ISNUMBER(B2923),TEXT(B2923,"0000"),B2923),Addendum!I:I,"X")&gt;0,10%,0)</f>
        <v>0</v>
      </c>
      <c r="M2923" s="34">
        <f t="shared" si="90"/>
        <v>0</v>
      </c>
      <c r="N2923" s="17">
        <f t="shared" si="91"/>
        <v>15984</v>
      </c>
    </row>
    <row r="2924" spans="1:14" x14ac:dyDescent="0.25">
      <c r="A2924" s="14" t="s">
        <v>2613</v>
      </c>
      <c r="B2924" s="14">
        <v>7</v>
      </c>
      <c r="C2924" s="15" t="s">
        <v>2614</v>
      </c>
      <c r="D2924" s="14" t="s">
        <v>1749</v>
      </c>
      <c r="E2924" s="14" t="s">
        <v>1746</v>
      </c>
      <c r="F2924" s="17" t="s">
        <v>2993</v>
      </c>
      <c r="G2924" s="14">
        <v>1998</v>
      </c>
      <c r="H2924" s="14">
        <v>1598.4</v>
      </c>
      <c r="I2924" s="31">
        <f>IF(COUNTIFS(Addendum!C:C,A2924,Addendum!D:D,IF(ISNUMBER(B2924),TEXT(B2924,"0000"),B2924),Addendum!E:E,"X")&gt;0,4%,0)</f>
        <v>0</v>
      </c>
      <c r="J2924" s="31">
        <f>IF(COUNTIFS(Addendum!C:C,A2924,Addendum!D:D,IF(ISNUMBER(B2924),TEXT(B2924,"0000"),B2924),Addendum!F:F,"X")&gt;0,2.5%,0)</f>
        <v>0</v>
      </c>
      <c r="K2924" s="31">
        <f>IF(COUNTIFS(Addendum!C:C,A2924,Addendum!D:D,IF(ISNUMBER(B2924),TEXT(B2924,"0000"),B2924),Addendum!G:G,"X")&gt;0,7%,0)</f>
        <v>0</v>
      </c>
      <c r="L2924" s="31">
        <f>IF(COUNTIFS(Addendum!C:C,A2924,Addendum!D:D,IF(ISNUMBER(B2924),TEXT(B2924,"0000"),B2924),Addendum!I:I,"X")&gt;0,10%,0)</f>
        <v>0</v>
      </c>
      <c r="M2924" s="34">
        <f t="shared" si="90"/>
        <v>0</v>
      </c>
      <c r="N2924" s="17">
        <f t="shared" si="91"/>
        <v>1598.4</v>
      </c>
    </row>
    <row r="2925" spans="1:14" x14ac:dyDescent="0.25">
      <c r="A2925" s="14" t="s">
        <v>2613</v>
      </c>
      <c r="B2925" s="14">
        <v>9</v>
      </c>
      <c r="C2925" s="15" t="s">
        <v>2615</v>
      </c>
      <c r="D2925" s="14" t="s">
        <v>1749</v>
      </c>
      <c r="E2925" s="14" t="s">
        <v>1746</v>
      </c>
      <c r="F2925" s="17" t="s">
        <v>2993</v>
      </c>
      <c r="G2925" s="14">
        <v>1674</v>
      </c>
      <c r="H2925" s="14">
        <v>1339.2</v>
      </c>
      <c r="I2925" s="31">
        <f>IF(COUNTIFS(Addendum!C:C,A2925,Addendum!D:D,IF(ISNUMBER(B2925),TEXT(B2925,"0000"),B2925),Addendum!E:E,"X")&gt;0,4%,0)</f>
        <v>0</v>
      </c>
      <c r="J2925" s="31">
        <f>IF(COUNTIFS(Addendum!C:C,A2925,Addendum!D:D,IF(ISNUMBER(B2925),TEXT(B2925,"0000"),B2925),Addendum!F:F,"X")&gt;0,2.5%,0)</f>
        <v>0</v>
      </c>
      <c r="K2925" s="31">
        <f>IF(COUNTIFS(Addendum!C:C,A2925,Addendum!D:D,IF(ISNUMBER(B2925),TEXT(B2925,"0000"),B2925),Addendum!G:G,"X")&gt;0,7%,0)</f>
        <v>0</v>
      </c>
      <c r="L2925" s="31">
        <f>IF(COUNTIFS(Addendum!C:C,A2925,Addendum!D:D,IF(ISNUMBER(B2925),TEXT(B2925,"0000"),B2925),Addendum!I:I,"X")&gt;0,10%,0)</f>
        <v>0</v>
      </c>
      <c r="M2925" s="34">
        <f t="shared" si="90"/>
        <v>0</v>
      </c>
      <c r="N2925" s="17">
        <f t="shared" si="91"/>
        <v>1339.2</v>
      </c>
    </row>
    <row r="2926" spans="1:14" x14ac:dyDescent="0.25">
      <c r="A2926" s="14" t="s">
        <v>2613</v>
      </c>
      <c r="B2926" s="14">
        <v>7</v>
      </c>
      <c r="C2926" s="15" t="s">
        <v>2614</v>
      </c>
      <c r="D2926" s="14" t="s">
        <v>1745</v>
      </c>
      <c r="E2926" s="14" t="s">
        <v>1746</v>
      </c>
      <c r="F2926" s="17" t="s">
        <v>2993</v>
      </c>
      <c r="G2926" s="14">
        <v>20979</v>
      </c>
      <c r="H2926" s="14">
        <v>16783.2</v>
      </c>
      <c r="I2926" s="31">
        <f>IF(COUNTIFS(Addendum!C:C,A2926,Addendum!D:D,IF(ISNUMBER(B2926),TEXT(B2926,"0000"),B2926),Addendum!E:E,"X")&gt;0,4%,0)</f>
        <v>0</v>
      </c>
      <c r="J2926" s="31">
        <f>IF(COUNTIFS(Addendum!C:C,A2926,Addendum!D:D,IF(ISNUMBER(B2926),TEXT(B2926,"0000"),B2926),Addendum!F:F,"X")&gt;0,2.5%,0)</f>
        <v>0</v>
      </c>
      <c r="K2926" s="31">
        <f>IF(COUNTIFS(Addendum!C:C,A2926,Addendum!D:D,IF(ISNUMBER(B2926),TEXT(B2926,"0000"),B2926),Addendum!G:G,"X")&gt;0,7%,0)</f>
        <v>0</v>
      </c>
      <c r="L2926" s="31">
        <f>IF(COUNTIFS(Addendum!C:C,A2926,Addendum!D:D,IF(ISNUMBER(B2926),TEXT(B2926,"0000"),B2926),Addendum!I:I,"X")&gt;0,10%,0)</f>
        <v>0</v>
      </c>
      <c r="M2926" s="34">
        <f t="shared" si="90"/>
        <v>0</v>
      </c>
      <c r="N2926" s="17">
        <f t="shared" si="91"/>
        <v>16783.2</v>
      </c>
    </row>
    <row r="2927" spans="1:14" x14ac:dyDescent="0.25">
      <c r="A2927" s="14" t="s">
        <v>2613</v>
      </c>
      <c r="B2927" s="14">
        <v>9</v>
      </c>
      <c r="C2927" s="15" t="s">
        <v>2615</v>
      </c>
      <c r="D2927" s="14" t="s">
        <v>1745</v>
      </c>
      <c r="E2927" s="14" t="s">
        <v>1747</v>
      </c>
      <c r="F2927" s="17" t="s">
        <v>2993</v>
      </c>
      <c r="G2927" s="14">
        <v>16740</v>
      </c>
      <c r="H2927" s="14">
        <v>13392</v>
      </c>
      <c r="I2927" s="31">
        <f>IF(COUNTIFS(Addendum!C:C,A2927,Addendum!D:D,IF(ISNUMBER(B2927),TEXT(B2927,"0000"),B2927),Addendum!E:E,"X")&gt;0,4%,0)</f>
        <v>0</v>
      </c>
      <c r="J2927" s="31">
        <f>IF(COUNTIFS(Addendum!C:C,A2927,Addendum!D:D,IF(ISNUMBER(B2927),TEXT(B2927,"0000"),B2927),Addendum!F:F,"X")&gt;0,2.5%,0)</f>
        <v>0</v>
      </c>
      <c r="K2927" s="31">
        <f>IF(COUNTIFS(Addendum!C:C,A2927,Addendum!D:D,IF(ISNUMBER(B2927),TEXT(B2927,"0000"),B2927),Addendum!G:G,"X")&gt;0,7%,0)</f>
        <v>0</v>
      </c>
      <c r="L2927" s="31">
        <f>IF(COUNTIFS(Addendum!C:C,A2927,Addendum!D:D,IF(ISNUMBER(B2927),TEXT(B2927,"0000"),B2927),Addendum!I:I,"X")&gt;0,10%,0)</f>
        <v>0</v>
      </c>
      <c r="M2927" s="34">
        <f t="shared" si="90"/>
        <v>0</v>
      </c>
      <c r="N2927" s="17">
        <f t="shared" si="91"/>
        <v>13392</v>
      </c>
    </row>
    <row r="2928" spans="1:14" x14ac:dyDescent="0.25">
      <c r="A2928" s="14" t="s">
        <v>2613</v>
      </c>
      <c r="B2928" s="14">
        <v>9</v>
      </c>
      <c r="C2928" s="15" t="s">
        <v>2615</v>
      </c>
      <c r="D2928" s="14" t="s">
        <v>1745</v>
      </c>
      <c r="E2928" s="14" t="s">
        <v>1746</v>
      </c>
      <c r="F2928" s="17" t="s">
        <v>2993</v>
      </c>
      <c r="G2928" s="14">
        <v>17577</v>
      </c>
      <c r="H2928" s="14">
        <v>14061.6</v>
      </c>
      <c r="I2928" s="31">
        <f>IF(COUNTIFS(Addendum!C:C,A2928,Addendum!D:D,IF(ISNUMBER(B2928),TEXT(B2928,"0000"),B2928),Addendum!E:E,"X")&gt;0,4%,0)</f>
        <v>0</v>
      </c>
      <c r="J2928" s="31">
        <f>IF(COUNTIFS(Addendum!C:C,A2928,Addendum!D:D,IF(ISNUMBER(B2928),TEXT(B2928,"0000"),B2928),Addendum!F:F,"X")&gt;0,2.5%,0)</f>
        <v>0</v>
      </c>
      <c r="K2928" s="31">
        <f>IF(COUNTIFS(Addendum!C:C,A2928,Addendum!D:D,IF(ISNUMBER(B2928),TEXT(B2928,"0000"),B2928),Addendum!G:G,"X")&gt;0,7%,0)</f>
        <v>0</v>
      </c>
      <c r="L2928" s="31">
        <f>IF(COUNTIFS(Addendum!C:C,A2928,Addendum!D:D,IF(ISNUMBER(B2928),TEXT(B2928,"0000"),B2928),Addendum!I:I,"X")&gt;0,10%,0)</f>
        <v>0</v>
      </c>
      <c r="M2928" s="34">
        <f t="shared" si="90"/>
        <v>0</v>
      </c>
      <c r="N2928" s="17">
        <f t="shared" si="91"/>
        <v>14061.6</v>
      </c>
    </row>
    <row r="2929" spans="1:14" x14ac:dyDescent="0.25">
      <c r="A2929" s="14" t="s">
        <v>1212</v>
      </c>
      <c r="B2929" s="14">
        <v>20</v>
      </c>
      <c r="C2929" s="15" t="s">
        <v>1214</v>
      </c>
      <c r="D2929" s="14" t="s">
        <v>1745</v>
      </c>
      <c r="E2929" s="14" t="s">
        <v>1746</v>
      </c>
      <c r="F2929" s="17" t="s">
        <v>2993</v>
      </c>
      <c r="G2929" s="14">
        <v>18270</v>
      </c>
      <c r="H2929" s="14">
        <v>14616</v>
      </c>
      <c r="I2929" s="31">
        <f>IF(COUNTIFS(Addendum!C:C,A2929,Addendum!D:D,IF(ISNUMBER(B2929),TEXT(B2929,"0000"),B2929),Addendum!E:E,"X")&gt;0,4%,0)</f>
        <v>0.04</v>
      </c>
      <c r="J2929" s="31">
        <f>IF(COUNTIFS(Addendum!C:C,A2929,Addendum!D:D,IF(ISNUMBER(B2929),TEXT(B2929,"0000"),B2929),Addendum!F:F,"X")&gt;0,2.5%,0)</f>
        <v>0</v>
      </c>
      <c r="K2929" s="31">
        <f>IF(COUNTIFS(Addendum!C:C,A2929,Addendum!D:D,IF(ISNUMBER(B2929),TEXT(B2929,"0000"),B2929),Addendum!G:G,"X")&gt;0,7%,0)</f>
        <v>0</v>
      </c>
      <c r="L2929" s="31">
        <f>IF(COUNTIFS(Addendum!C:C,A2929,Addendum!D:D,IF(ISNUMBER(B2929),TEXT(B2929,"0000"),B2929),Addendum!I:I,"X")&gt;0,10%,0)</f>
        <v>0</v>
      </c>
      <c r="M2929" s="34">
        <f t="shared" si="90"/>
        <v>0.01</v>
      </c>
      <c r="N2929" s="17">
        <f t="shared" si="91"/>
        <v>14469.84</v>
      </c>
    </row>
    <row r="2930" spans="1:14" x14ac:dyDescent="0.25">
      <c r="A2930" s="14" t="s">
        <v>1212</v>
      </c>
      <c r="B2930" s="14">
        <v>8</v>
      </c>
      <c r="C2930" s="15" t="s">
        <v>1211</v>
      </c>
      <c r="D2930" s="14" t="s">
        <v>1749</v>
      </c>
      <c r="E2930" s="14" t="s">
        <v>1766</v>
      </c>
      <c r="F2930" s="17" t="s">
        <v>2993</v>
      </c>
      <c r="G2930" s="14">
        <v>0</v>
      </c>
      <c r="H2930" s="14">
        <v>0</v>
      </c>
      <c r="I2930" s="31">
        <f>IF(COUNTIFS(Addendum!C:C,A2930,Addendum!D:D,IF(ISNUMBER(B2930),TEXT(B2930,"0000"),B2930),Addendum!E:E,"X")&gt;0,4%,0)</f>
        <v>0.04</v>
      </c>
      <c r="J2930" s="31">
        <f>IF(COUNTIFS(Addendum!C:C,A2930,Addendum!D:D,IF(ISNUMBER(B2930),TEXT(B2930,"0000"),B2930),Addendum!F:F,"X")&gt;0,2.5%,0)</f>
        <v>0</v>
      </c>
      <c r="K2930" s="31">
        <f>IF(COUNTIFS(Addendum!C:C,A2930,Addendum!D:D,IF(ISNUMBER(B2930),TEXT(B2930,"0000"),B2930),Addendum!G:G,"X")&gt;0,7%,0)</f>
        <v>0</v>
      </c>
      <c r="L2930" s="31">
        <f>IF(COUNTIFS(Addendum!C:C,A2930,Addendum!D:D,IF(ISNUMBER(B2930),TEXT(B2930,"0000"),B2930),Addendum!I:I,"X")&gt;0,10%,0)</f>
        <v>0</v>
      </c>
      <c r="M2930" s="34">
        <f t="shared" si="90"/>
        <v>0.01</v>
      </c>
      <c r="N2930" s="17">
        <f t="shared" si="91"/>
        <v>0</v>
      </c>
    </row>
    <row r="2931" spans="1:14" x14ac:dyDescent="0.25">
      <c r="A2931" s="14" t="s">
        <v>1212</v>
      </c>
      <c r="B2931" s="14">
        <v>14</v>
      </c>
      <c r="C2931" s="15" t="s">
        <v>2616</v>
      </c>
      <c r="D2931" s="14" t="s">
        <v>1745</v>
      </c>
      <c r="E2931" s="14" t="s">
        <v>1746</v>
      </c>
      <c r="F2931" s="17" t="s">
        <v>2995</v>
      </c>
      <c r="G2931" s="14">
        <v>6804</v>
      </c>
      <c r="H2931" s="14">
        <v>6123.6</v>
      </c>
      <c r="I2931" s="31">
        <f>IF(COUNTIFS(Addendum!C:C,A2931,Addendum!D:D,IF(ISNUMBER(B2931),TEXT(B2931,"0000"),B2931),Addendum!E:E,"X")&gt;0,4%,0)</f>
        <v>0.04</v>
      </c>
      <c r="J2931" s="31">
        <f>IF(COUNTIFS(Addendum!C:C,A2931,Addendum!D:D,IF(ISNUMBER(B2931),TEXT(B2931,"0000"),B2931),Addendum!F:F,"X")&gt;0,2.5%,0)</f>
        <v>0</v>
      </c>
      <c r="K2931" s="31">
        <f>IF(COUNTIFS(Addendum!C:C,A2931,Addendum!D:D,IF(ISNUMBER(B2931),TEXT(B2931,"0000"),B2931),Addendum!G:G,"X")&gt;0,7%,0)</f>
        <v>0</v>
      </c>
      <c r="L2931" s="31">
        <f>IF(COUNTIFS(Addendum!C:C,A2931,Addendum!D:D,IF(ISNUMBER(B2931),TEXT(B2931,"0000"),B2931),Addendum!I:I,"X")&gt;0,10%,0)</f>
        <v>0</v>
      </c>
      <c r="M2931" s="34">
        <f t="shared" si="90"/>
        <v>0.01</v>
      </c>
      <c r="N2931" s="17">
        <f t="shared" si="91"/>
        <v>6062.3640000000005</v>
      </c>
    </row>
    <row r="2932" spans="1:14" x14ac:dyDescent="0.25">
      <c r="A2932" s="14" t="s">
        <v>1212</v>
      </c>
      <c r="B2932" s="14" t="s">
        <v>120</v>
      </c>
      <c r="C2932" s="15" t="s">
        <v>2616</v>
      </c>
      <c r="D2932" s="14" t="s">
        <v>1749</v>
      </c>
      <c r="E2932" s="14" t="s">
        <v>1766</v>
      </c>
      <c r="F2932" s="17" t="s">
        <v>2995</v>
      </c>
      <c r="G2932" s="14">
        <v>0</v>
      </c>
      <c r="H2932" s="14">
        <v>0</v>
      </c>
      <c r="I2932" s="31">
        <f>IF(COUNTIFS(Addendum!C:C,A2932,Addendum!D:D,IF(ISNUMBER(B2932),TEXT(B2932,"0000"),B2932),Addendum!E:E,"X")&gt;0,4%,0)</f>
        <v>0.04</v>
      </c>
      <c r="J2932" s="31">
        <f>IF(COUNTIFS(Addendum!C:C,A2932,Addendum!D:D,IF(ISNUMBER(B2932),TEXT(B2932,"0000"),B2932),Addendum!F:F,"X")&gt;0,2.5%,0)</f>
        <v>0</v>
      </c>
      <c r="K2932" s="31">
        <f>IF(COUNTIFS(Addendum!C:C,A2932,Addendum!D:D,IF(ISNUMBER(B2932),TEXT(B2932,"0000"),B2932),Addendum!G:G,"X")&gt;0,7%,0)</f>
        <v>0</v>
      </c>
      <c r="L2932" s="31">
        <f>IF(COUNTIFS(Addendum!C:C,A2932,Addendum!D:D,IF(ISNUMBER(B2932),TEXT(B2932,"0000"),B2932),Addendum!I:I,"X")&gt;0,10%,0)</f>
        <v>0</v>
      </c>
      <c r="M2932" s="34">
        <f t="shared" si="90"/>
        <v>0.01</v>
      </c>
      <c r="N2932" s="17">
        <f t="shared" si="91"/>
        <v>0</v>
      </c>
    </row>
    <row r="2933" spans="1:14" x14ac:dyDescent="0.25">
      <c r="A2933" s="14" t="s">
        <v>1212</v>
      </c>
      <c r="B2933" s="14">
        <v>20</v>
      </c>
      <c r="C2933" s="15" t="s">
        <v>1214</v>
      </c>
      <c r="D2933" s="14" t="s">
        <v>1745</v>
      </c>
      <c r="E2933" s="14" t="s">
        <v>1747</v>
      </c>
      <c r="F2933" s="17" t="s">
        <v>2993</v>
      </c>
      <c r="G2933" s="14">
        <v>17400</v>
      </c>
      <c r="H2933" s="14">
        <v>13920</v>
      </c>
      <c r="I2933" s="31">
        <f>IF(COUNTIFS(Addendum!C:C,A2933,Addendum!D:D,IF(ISNUMBER(B2933),TEXT(B2933,"0000"),B2933),Addendum!E:E,"X")&gt;0,4%,0)</f>
        <v>0.04</v>
      </c>
      <c r="J2933" s="31">
        <f>IF(COUNTIFS(Addendum!C:C,A2933,Addendum!D:D,IF(ISNUMBER(B2933),TEXT(B2933,"0000"),B2933),Addendum!F:F,"X")&gt;0,2.5%,0)</f>
        <v>0</v>
      </c>
      <c r="K2933" s="31">
        <f>IF(COUNTIFS(Addendum!C:C,A2933,Addendum!D:D,IF(ISNUMBER(B2933),TEXT(B2933,"0000"),B2933),Addendum!G:G,"X")&gt;0,7%,0)</f>
        <v>0</v>
      </c>
      <c r="L2933" s="31">
        <f>IF(COUNTIFS(Addendum!C:C,A2933,Addendum!D:D,IF(ISNUMBER(B2933),TEXT(B2933,"0000"),B2933),Addendum!I:I,"X")&gt;0,10%,0)</f>
        <v>0</v>
      </c>
      <c r="M2933" s="34">
        <f t="shared" si="90"/>
        <v>0.03</v>
      </c>
      <c r="N2933" s="17">
        <f t="shared" si="91"/>
        <v>13502.4</v>
      </c>
    </row>
    <row r="2934" spans="1:14" x14ac:dyDescent="0.25">
      <c r="A2934" s="14" t="s">
        <v>1212</v>
      </c>
      <c r="B2934" s="14">
        <v>20</v>
      </c>
      <c r="C2934" s="15" t="s">
        <v>1214</v>
      </c>
      <c r="D2934" s="14" t="s">
        <v>1749</v>
      </c>
      <c r="E2934" s="14" t="s">
        <v>1746</v>
      </c>
      <c r="F2934" s="17" t="s">
        <v>2993</v>
      </c>
      <c r="G2934" s="14">
        <v>1740</v>
      </c>
      <c r="H2934" s="14">
        <v>1392</v>
      </c>
      <c r="I2934" s="31">
        <f>IF(COUNTIFS(Addendum!C:C,A2934,Addendum!D:D,IF(ISNUMBER(B2934),TEXT(B2934,"0000"),B2934),Addendum!E:E,"X")&gt;0,4%,0)</f>
        <v>0.04</v>
      </c>
      <c r="J2934" s="31">
        <f>IF(COUNTIFS(Addendum!C:C,A2934,Addendum!D:D,IF(ISNUMBER(B2934),TEXT(B2934,"0000"),B2934),Addendum!F:F,"X")&gt;0,2.5%,0)</f>
        <v>0</v>
      </c>
      <c r="K2934" s="31">
        <f>IF(COUNTIFS(Addendum!C:C,A2934,Addendum!D:D,IF(ISNUMBER(B2934),TEXT(B2934,"0000"),B2934),Addendum!G:G,"X")&gt;0,7%,0)</f>
        <v>0</v>
      </c>
      <c r="L2934" s="31">
        <f>IF(COUNTIFS(Addendum!C:C,A2934,Addendum!D:D,IF(ISNUMBER(B2934),TEXT(B2934,"0000"),B2934),Addendum!I:I,"X")&gt;0,10%,0)</f>
        <v>0</v>
      </c>
      <c r="M2934" s="34">
        <f t="shared" si="90"/>
        <v>0.01</v>
      </c>
      <c r="N2934" s="17">
        <f t="shared" si="91"/>
        <v>1378.08</v>
      </c>
    </row>
    <row r="2935" spans="1:14" x14ac:dyDescent="0.25">
      <c r="A2935" s="14" t="s">
        <v>1212</v>
      </c>
      <c r="B2935" s="14">
        <v>1</v>
      </c>
      <c r="C2935" s="15" t="s">
        <v>1211</v>
      </c>
      <c r="D2935" s="14" t="s">
        <v>1745</v>
      </c>
      <c r="E2935" s="14" t="s">
        <v>1747</v>
      </c>
      <c r="F2935" s="17" t="s">
        <v>2993</v>
      </c>
      <c r="G2935" s="14">
        <v>25980</v>
      </c>
      <c r="H2935" s="14">
        <v>20784</v>
      </c>
      <c r="I2935" s="31">
        <f>IF(COUNTIFS(Addendum!C:C,A2935,Addendum!D:D,IF(ISNUMBER(B2935),TEXT(B2935,"0000"),B2935),Addendum!E:E,"X")&gt;0,4%,0)</f>
        <v>0.04</v>
      </c>
      <c r="J2935" s="31">
        <f>IF(COUNTIFS(Addendum!C:C,A2935,Addendum!D:D,IF(ISNUMBER(B2935),TEXT(B2935,"0000"),B2935),Addendum!F:F,"X")&gt;0,2.5%,0)</f>
        <v>0</v>
      </c>
      <c r="K2935" s="31">
        <f>IF(COUNTIFS(Addendum!C:C,A2935,Addendum!D:D,IF(ISNUMBER(B2935),TEXT(B2935,"0000"),B2935),Addendum!G:G,"X")&gt;0,7%,0)</f>
        <v>0</v>
      </c>
      <c r="L2935" s="31">
        <f>IF(COUNTIFS(Addendum!C:C,A2935,Addendum!D:D,IF(ISNUMBER(B2935),TEXT(B2935,"0000"),B2935),Addendum!I:I,"X")&gt;0,10%,0)</f>
        <v>0</v>
      </c>
      <c r="M2935" s="34">
        <f t="shared" si="90"/>
        <v>0.03</v>
      </c>
      <c r="N2935" s="17">
        <f t="shared" si="91"/>
        <v>20160.48</v>
      </c>
    </row>
    <row r="2936" spans="1:14" x14ac:dyDescent="0.25">
      <c r="A2936" s="14" t="s">
        <v>1212</v>
      </c>
      <c r="B2936" s="14">
        <v>14</v>
      </c>
      <c r="C2936" s="15" t="s">
        <v>2616</v>
      </c>
      <c r="D2936" s="14" t="s">
        <v>1745</v>
      </c>
      <c r="E2936" s="14" t="s">
        <v>1747</v>
      </c>
      <c r="F2936" s="17" t="s">
        <v>2995</v>
      </c>
      <c r="G2936" s="14">
        <v>6480</v>
      </c>
      <c r="H2936" s="14">
        <v>5832</v>
      </c>
      <c r="I2936" s="31">
        <f>IF(COUNTIFS(Addendum!C:C,A2936,Addendum!D:D,IF(ISNUMBER(B2936),TEXT(B2936,"0000"),B2936),Addendum!E:E,"X")&gt;0,4%,0)</f>
        <v>0.04</v>
      </c>
      <c r="J2936" s="31">
        <f>IF(COUNTIFS(Addendum!C:C,A2936,Addendum!D:D,IF(ISNUMBER(B2936),TEXT(B2936,"0000"),B2936),Addendum!F:F,"X")&gt;0,2.5%,0)</f>
        <v>0</v>
      </c>
      <c r="K2936" s="31">
        <f>IF(COUNTIFS(Addendum!C:C,A2936,Addendum!D:D,IF(ISNUMBER(B2936),TEXT(B2936,"0000"),B2936),Addendum!G:G,"X")&gt;0,7%,0)</f>
        <v>0</v>
      </c>
      <c r="L2936" s="31">
        <f>IF(COUNTIFS(Addendum!C:C,A2936,Addendum!D:D,IF(ISNUMBER(B2936),TEXT(B2936,"0000"),B2936),Addendum!I:I,"X")&gt;0,10%,0)</f>
        <v>0</v>
      </c>
      <c r="M2936" s="34">
        <f t="shared" si="90"/>
        <v>0.03</v>
      </c>
      <c r="N2936" s="17">
        <f t="shared" si="91"/>
        <v>5657.04</v>
      </c>
    </row>
    <row r="2937" spans="1:14" x14ac:dyDescent="0.25">
      <c r="A2937" s="14" t="s">
        <v>1212</v>
      </c>
      <c r="B2937" s="14">
        <v>14</v>
      </c>
      <c r="C2937" s="15" t="s">
        <v>2616</v>
      </c>
      <c r="D2937" s="14" t="s">
        <v>1749</v>
      </c>
      <c r="E2937" s="14" t="s">
        <v>1746</v>
      </c>
      <c r="F2937" s="17" t="s">
        <v>2995</v>
      </c>
      <c r="G2937" s="14">
        <v>648</v>
      </c>
      <c r="H2937" s="14">
        <v>583.20000000000005</v>
      </c>
      <c r="I2937" s="31">
        <f>IF(COUNTIFS(Addendum!C:C,A2937,Addendum!D:D,IF(ISNUMBER(B2937),TEXT(B2937,"0000"),B2937),Addendum!E:E,"X")&gt;0,4%,0)</f>
        <v>0.04</v>
      </c>
      <c r="J2937" s="31">
        <f>IF(COUNTIFS(Addendum!C:C,A2937,Addendum!D:D,IF(ISNUMBER(B2937),TEXT(B2937,"0000"),B2937),Addendum!F:F,"X")&gt;0,2.5%,0)</f>
        <v>0</v>
      </c>
      <c r="K2937" s="31">
        <f>IF(COUNTIFS(Addendum!C:C,A2937,Addendum!D:D,IF(ISNUMBER(B2937),TEXT(B2937,"0000"),B2937),Addendum!G:G,"X")&gt;0,7%,0)</f>
        <v>0</v>
      </c>
      <c r="L2937" s="31">
        <f>IF(COUNTIFS(Addendum!C:C,A2937,Addendum!D:D,IF(ISNUMBER(B2937),TEXT(B2937,"0000"),B2937),Addendum!I:I,"X")&gt;0,10%,0)</f>
        <v>0</v>
      </c>
      <c r="M2937" s="34">
        <f t="shared" si="90"/>
        <v>0.01</v>
      </c>
      <c r="N2937" s="17">
        <f t="shared" si="91"/>
        <v>577.36800000000005</v>
      </c>
    </row>
    <row r="2938" spans="1:14" x14ac:dyDescent="0.25">
      <c r="A2938" s="14" t="s">
        <v>1212</v>
      </c>
      <c r="B2938" s="14">
        <v>1</v>
      </c>
      <c r="C2938" s="15" t="s">
        <v>1211</v>
      </c>
      <c r="D2938" s="14" t="s">
        <v>1745</v>
      </c>
      <c r="E2938" s="14" t="s">
        <v>1746</v>
      </c>
      <c r="F2938" s="17" t="s">
        <v>2993</v>
      </c>
      <c r="G2938" s="14">
        <v>27279</v>
      </c>
      <c r="H2938" s="14">
        <v>21823.200000000001</v>
      </c>
      <c r="I2938" s="31">
        <f>IF(COUNTIFS(Addendum!C:C,A2938,Addendum!D:D,IF(ISNUMBER(B2938),TEXT(B2938,"0000"),B2938),Addendum!E:E,"X")&gt;0,4%,0)</f>
        <v>0.04</v>
      </c>
      <c r="J2938" s="31">
        <f>IF(COUNTIFS(Addendum!C:C,A2938,Addendum!D:D,IF(ISNUMBER(B2938),TEXT(B2938,"0000"),B2938),Addendum!F:F,"X")&gt;0,2.5%,0)</f>
        <v>0</v>
      </c>
      <c r="K2938" s="31">
        <f>IF(COUNTIFS(Addendum!C:C,A2938,Addendum!D:D,IF(ISNUMBER(B2938),TEXT(B2938,"0000"),B2938),Addendum!G:G,"X")&gt;0,7%,0)</f>
        <v>0</v>
      </c>
      <c r="L2938" s="31">
        <f>IF(COUNTIFS(Addendum!C:C,A2938,Addendum!D:D,IF(ISNUMBER(B2938),TEXT(B2938,"0000"),B2938),Addendum!I:I,"X")&gt;0,10%,0)</f>
        <v>0</v>
      </c>
      <c r="M2938" s="34">
        <f t="shared" si="90"/>
        <v>0.01</v>
      </c>
      <c r="N2938" s="17">
        <f t="shared" si="91"/>
        <v>21604.968000000001</v>
      </c>
    </row>
    <row r="2939" spans="1:14" x14ac:dyDescent="0.25">
      <c r="A2939" s="14" t="s">
        <v>1212</v>
      </c>
      <c r="B2939" s="14">
        <v>21</v>
      </c>
      <c r="C2939" s="15" t="s">
        <v>1214</v>
      </c>
      <c r="D2939" s="14" t="s">
        <v>1749</v>
      </c>
      <c r="E2939" s="14" t="s">
        <v>1766</v>
      </c>
      <c r="F2939" s="17" t="s">
        <v>2993</v>
      </c>
      <c r="G2939" s="14">
        <v>0</v>
      </c>
      <c r="H2939" s="14">
        <v>0</v>
      </c>
      <c r="I2939" s="31">
        <f>IF(COUNTIFS(Addendum!C:C,A2939,Addendum!D:D,IF(ISNUMBER(B2939),TEXT(B2939,"0000"),B2939),Addendum!E:E,"X")&gt;0,4%,0)</f>
        <v>0.04</v>
      </c>
      <c r="J2939" s="31">
        <f>IF(COUNTIFS(Addendum!C:C,A2939,Addendum!D:D,IF(ISNUMBER(B2939),TEXT(B2939,"0000"),B2939),Addendum!F:F,"X")&gt;0,2.5%,0)</f>
        <v>0</v>
      </c>
      <c r="K2939" s="31">
        <f>IF(COUNTIFS(Addendum!C:C,A2939,Addendum!D:D,IF(ISNUMBER(B2939),TEXT(B2939,"0000"),B2939),Addendum!G:G,"X")&gt;0,7%,0)</f>
        <v>0</v>
      </c>
      <c r="L2939" s="31">
        <f>IF(COUNTIFS(Addendum!C:C,A2939,Addendum!D:D,IF(ISNUMBER(B2939),TEXT(B2939,"0000"),B2939),Addendum!I:I,"X")&gt;0,10%,0)</f>
        <v>0</v>
      </c>
      <c r="M2939" s="34">
        <f t="shared" si="90"/>
        <v>0.01</v>
      </c>
      <c r="N2939" s="17">
        <f t="shared" si="91"/>
        <v>0</v>
      </c>
    </row>
    <row r="2940" spans="1:14" x14ac:dyDescent="0.25">
      <c r="A2940" s="14" t="s">
        <v>1212</v>
      </c>
      <c r="B2940" s="14">
        <v>1</v>
      </c>
      <c r="C2940" s="15" t="s">
        <v>1211</v>
      </c>
      <c r="D2940" s="14" t="s">
        <v>1749</v>
      </c>
      <c r="E2940" s="14" t="s">
        <v>1746</v>
      </c>
      <c r="F2940" s="17" t="s">
        <v>2993</v>
      </c>
      <c r="G2940" s="14">
        <v>2598</v>
      </c>
      <c r="H2940" s="14">
        <v>2078.4</v>
      </c>
      <c r="I2940" s="31">
        <f>IF(COUNTIFS(Addendum!C:C,A2940,Addendum!D:D,IF(ISNUMBER(B2940),TEXT(B2940,"0000"),B2940),Addendum!E:E,"X")&gt;0,4%,0)</f>
        <v>0.04</v>
      </c>
      <c r="J2940" s="31">
        <f>IF(COUNTIFS(Addendum!C:C,A2940,Addendum!D:D,IF(ISNUMBER(B2940),TEXT(B2940,"0000"),B2940),Addendum!F:F,"X")&gt;0,2.5%,0)</f>
        <v>0</v>
      </c>
      <c r="K2940" s="31">
        <f>IF(COUNTIFS(Addendum!C:C,A2940,Addendum!D:D,IF(ISNUMBER(B2940),TEXT(B2940,"0000"),B2940),Addendum!G:G,"X")&gt;0,7%,0)</f>
        <v>0</v>
      </c>
      <c r="L2940" s="31">
        <f>IF(COUNTIFS(Addendum!C:C,A2940,Addendum!D:D,IF(ISNUMBER(B2940),TEXT(B2940,"0000"),B2940),Addendum!I:I,"X")&gt;0,10%,0)</f>
        <v>0</v>
      </c>
      <c r="M2940" s="34">
        <f t="shared" si="90"/>
        <v>0.01</v>
      </c>
      <c r="N2940" s="17">
        <f t="shared" si="91"/>
        <v>2057.616</v>
      </c>
    </row>
    <row r="2941" spans="1:14" x14ac:dyDescent="0.25">
      <c r="A2941" s="14" t="s">
        <v>1225</v>
      </c>
      <c r="B2941" s="14">
        <v>1</v>
      </c>
      <c r="C2941" s="15" t="s">
        <v>1245</v>
      </c>
      <c r="D2941" s="14" t="s">
        <v>1749</v>
      </c>
      <c r="E2941" s="14" t="s">
        <v>1746</v>
      </c>
      <c r="F2941" s="17" t="s">
        <v>2993</v>
      </c>
      <c r="G2941" s="14">
        <v>4092</v>
      </c>
      <c r="H2941" s="14">
        <v>3273.6</v>
      </c>
      <c r="I2941" s="31">
        <f>IF(COUNTIFS(Addendum!C:C,A2941,Addendum!D:D,IF(ISNUMBER(B2941),TEXT(B2941,"0000"),B2941),Addendum!E:E,"X")&gt;0,4%,0)</f>
        <v>0.04</v>
      </c>
      <c r="J2941" s="31">
        <f>IF(COUNTIFS(Addendum!C:C,A2941,Addendum!D:D,IF(ISNUMBER(B2941),TEXT(B2941,"0000"),B2941),Addendum!F:F,"X")&gt;0,2.5%,0)</f>
        <v>0</v>
      </c>
      <c r="K2941" s="31">
        <f>IF(COUNTIFS(Addendum!C:C,A2941,Addendum!D:D,IF(ISNUMBER(B2941),TEXT(B2941,"0000"),B2941),Addendum!G:G,"X")&gt;0,7%,0)</f>
        <v>0</v>
      </c>
      <c r="L2941" s="31">
        <f>IF(COUNTIFS(Addendum!C:C,A2941,Addendum!D:D,IF(ISNUMBER(B2941),TEXT(B2941,"0000"),B2941),Addendum!I:I,"X")&gt;0,10%,0)</f>
        <v>0</v>
      </c>
      <c r="M2941" s="34">
        <f t="shared" si="90"/>
        <v>0.01</v>
      </c>
      <c r="N2941" s="17">
        <f t="shared" si="91"/>
        <v>3240.864</v>
      </c>
    </row>
    <row r="2942" spans="1:14" x14ac:dyDescent="0.25">
      <c r="A2942" s="14" t="s">
        <v>1225</v>
      </c>
      <c r="B2942" s="14">
        <v>1</v>
      </c>
      <c r="C2942" s="15" t="s">
        <v>1245</v>
      </c>
      <c r="D2942" s="14" t="s">
        <v>1745</v>
      </c>
      <c r="E2942" s="14" t="s">
        <v>1747</v>
      </c>
      <c r="F2942" s="17" t="s">
        <v>2993</v>
      </c>
      <c r="G2942" s="14">
        <v>40920</v>
      </c>
      <c r="H2942" s="14">
        <v>32736</v>
      </c>
      <c r="I2942" s="31">
        <f>IF(COUNTIFS(Addendum!C:C,A2942,Addendum!D:D,IF(ISNUMBER(B2942),TEXT(B2942,"0000"),B2942),Addendum!E:E,"X")&gt;0,4%,0)</f>
        <v>0.04</v>
      </c>
      <c r="J2942" s="31">
        <f>IF(COUNTIFS(Addendum!C:C,A2942,Addendum!D:D,IF(ISNUMBER(B2942),TEXT(B2942,"0000"),B2942),Addendum!F:F,"X")&gt;0,2.5%,0)</f>
        <v>0</v>
      </c>
      <c r="K2942" s="31">
        <f>IF(COUNTIFS(Addendum!C:C,A2942,Addendum!D:D,IF(ISNUMBER(B2942),TEXT(B2942,"0000"),B2942),Addendum!G:G,"X")&gt;0,7%,0)</f>
        <v>0</v>
      </c>
      <c r="L2942" s="31">
        <f>IF(COUNTIFS(Addendum!C:C,A2942,Addendum!D:D,IF(ISNUMBER(B2942),TEXT(B2942,"0000"),B2942),Addendum!I:I,"X")&gt;0,10%,0)</f>
        <v>0</v>
      </c>
      <c r="M2942" s="34">
        <f t="shared" si="90"/>
        <v>0.03</v>
      </c>
      <c r="N2942" s="17">
        <f t="shared" si="91"/>
        <v>31753.919999999998</v>
      </c>
    </row>
    <row r="2943" spans="1:14" x14ac:dyDescent="0.25">
      <c r="A2943" s="14" t="s">
        <v>1225</v>
      </c>
      <c r="B2943" s="14" t="s">
        <v>258</v>
      </c>
      <c r="C2943" s="15" t="s">
        <v>1230</v>
      </c>
      <c r="D2943" s="14" t="s">
        <v>1749</v>
      </c>
      <c r="E2943" s="14" t="s">
        <v>1766</v>
      </c>
      <c r="F2943" s="17" t="s">
        <v>2993</v>
      </c>
      <c r="G2943" s="14">
        <v>0</v>
      </c>
      <c r="H2943" s="14">
        <v>0</v>
      </c>
      <c r="I2943" s="31">
        <f>IF(COUNTIFS(Addendum!C:C,A2943,Addendum!D:D,IF(ISNUMBER(B2943),TEXT(B2943,"0000"),B2943),Addendum!E:E,"X")&gt;0,4%,0)</f>
        <v>0.04</v>
      </c>
      <c r="J2943" s="31">
        <f>IF(COUNTIFS(Addendum!C:C,A2943,Addendum!D:D,IF(ISNUMBER(B2943),TEXT(B2943,"0000"),B2943),Addendum!F:F,"X")&gt;0,2.5%,0)</f>
        <v>0</v>
      </c>
      <c r="K2943" s="31">
        <f>IF(COUNTIFS(Addendum!C:C,A2943,Addendum!D:D,IF(ISNUMBER(B2943),TEXT(B2943,"0000"),B2943),Addendum!G:G,"X")&gt;0,7%,0)</f>
        <v>0</v>
      </c>
      <c r="L2943" s="31">
        <f>IF(COUNTIFS(Addendum!C:C,A2943,Addendum!D:D,IF(ISNUMBER(B2943),TEXT(B2943,"0000"),B2943),Addendum!I:I,"X")&gt;0,10%,0)</f>
        <v>0</v>
      </c>
      <c r="M2943" s="34">
        <f t="shared" si="90"/>
        <v>0.01</v>
      </c>
      <c r="N2943" s="17">
        <f t="shared" si="91"/>
        <v>0</v>
      </c>
    </row>
    <row r="2944" spans="1:14" x14ac:dyDescent="0.25">
      <c r="A2944" s="14" t="s">
        <v>1225</v>
      </c>
      <c r="B2944" s="14">
        <v>1</v>
      </c>
      <c r="C2944" s="15" t="s">
        <v>1245</v>
      </c>
      <c r="D2944" s="14" t="s">
        <v>1745</v>
      </c>
      <c r="E2944" s="14" t="s">
        <v>1746</v>
      </c>
      <c r="F2944" s="17" t="s">
        <v>2993</v>
      </c>
      <c r="G2944" s="14">
        <v>42966</v>
      </c>
      <c r="H2944" s="14">
        <v>34372.800000000003</v>
      </c>
      <c r="I2944" s="31">
        <f>IF(COUNTIFS(Addendum!C:C,A2944,Addendum!D:D,IF(ISNUMBER(B2944),TEXT(B2944,"0000"),B2944),Addendum!E:E,"X")&gt;0,4%,0)</f>
        <v>0.04</v>
      </c>
      <c r="J2944" s="31">
        <f>IF(COUNTIFS(Addendum!C:C,A2944,Addendum!D:D,IF(ISNUMBER(B2944),TEXT(B2944,"0000"),B2944),Addendum!F:F,"X")&gt;0,2.5%,0)</f>
        <v>0</v>
      </c>
      <c r="K2944" s="31">
        <f>IF(COUNTIFS(Addendum!C:C,A2944,Addendum!D:D,IF(ISNUMBER(B2944),TEXT(B2944,"0000"),B2944),Addendum!G:G,"X")&gt;0,7%,0)</f>
        <v>0</v>
      </c>
      <c r="L2944" s="31">
        <f>IF(COUNTIFS(Addendum!C:C,A2944,Addendum!D:D,IF(ISNUMBER(B2944),TEXT(B2944,"0000"),B2944),Addendum!I:I,"X")&gt;0,10%,0)</f>
        <v>0</v>
      </c>
      <c r="M2944" s="34">
        <f t="shared" si="90"/>
        <v>0.01</v>
      </c>
      <c r="N2944" s="17">
        <f t="shared" si="91"/>
        <v>34029.072</v>
      </c>
    </row>
    <row r="2945" spans="1:14" x14ac:dyDescent="0.25">
      <c r="A2945" s="14" t="s">
        <v>1225</v>
      </c>
      <c r="B2945" s="14">
        <v>13</v>
      </c>
      <c r="C2945" s="15" t="s">
        <v>2617</v>
      </c>
      <c r="D2945" s="14" t="s">
        <v>1745</v>
      </c>
      <c r="E2945" s="14" t="s">
        <v>1747</v>
      </c>
      <c r="F2945" s="17" t="s">
        <v>2995</v>
      </c>
      <c r="G2945" s="14">
        <v>16380</v>
      </c>
      <c r="H2945" s="14">
        <v>14742</v>
      </c>
      <c r="I2945" s="31">
        <f>IF(COUNTIFS(Addendum!C:C,A2945,Addendum!D:D,IF(ISNUMBER(B2945),TEXT(B2945,"0000"),B2945),Addendum!E:E,"X")&gt;0,4%,0)</f>
        <v>0.04</v>
      </c>
      <c r="J2945" s="31">
        <f>IF(COUNTIFS(Addendum!C:C,A2945,Addendum!D:D,IF(ISNUMBER(B2945),TEXT(B2945,"0000"),B2945),Addendum!F:F,"X")&gt;0,2.5%,0)</f>
        <v>0</v>
      </c>
      <c r="K2945" s="31">
        <f>IF(COUNTIFS(Addendum!C:C,A2945,Addendum!D:D,IF(ISNUMBER(B2945),TEXT(B2945,"0000"),B2945),Addendum!G:G,"X")&gt;0,7%,0)</f>
        <v>0</v>
      </c>
      <c r="L2945" s="31">
        <f>IF(COUNTIFS(Addendum!C:C,A2945,Addendum!D:D,IF(ISNUMBER(B2945),TEXT(B2945,"0000"),B2945),Addendum!I:I,"X")&gt;0,10%,0)</f>
        <v>0</v>
      </c>
      <c r="M2945" s="34">
        <f t="shared" si="90"/>
        <v>0.03</v>
      </c>
      <c r="N2945" s="17">
        <f t="shared" si="91"/>
        <v>14299.74</v>
      </c>
    </row>
    <row r="2946" spans="1:14" x14ac:dyDescent="0.25">
      <c r="A2946" s="14" t="s">
        <v>1225</v>
      </c>
      <c r="B2946" s="14">
        <v>13</v>
      </c>
      <c r="C2946" s="15" t="s">
        <v>2617</v>
      </c>
      <c r="D2946" s="14" t="s">
        <v>1745</v>
      </c>
      <c r="E2946" s="14" t="s">
        <v>1746</v>
      </c>
      <c r="F2946" s="17" t="s">
        <v>2995</v>
      </c>
      <c r="G2946" s="14">
        <v>17199</v>
      </c>
      <c r="H2946" s="14">
        <v>15479.16</v>
      </c>
      <c r="I2946" s="31">
        <f>IF(COUNTIFS(Addendum!C:C,A2946,Addendum!D:D,IF(ISNUMBER(B2946),TEXT(B2946,"0000"),B2946),Addendum!E:E,"X")&gt;0,4%,0)</f>
        <v>0.04</v>
      </c>
      <c r="J2946" s="31">
        <f>IF(COUNTIFS(Addendum!C:C,A2946,Addendum!D:D,IF(ISNUMBER(B2946),TEXT(B2946,"0000"),B2946),Addendum!F:F,"X")&gt;0,2.5%,0)</f>
        <v>0</v>
      </c>
      <c r="K2946" s="31">
        <f>IF(COUNTIFS(Addendum!C:C,A2946,Addendum!D:D,IF(ISNUMBER(B2946),TEXT(B2946,"0000"),B2946),Addendum!G:G,"X")&gt;0,7%,0)</f>
        <v>0</v>
      </c>
      <c r="L2946" s="31">
        <f>IF(COUNTIFS(Addendum!C:C,A2946,Addendum!D:D,IF(ISNUMBER(B2946),TEXT(B2946,"0000"),B2946),Addendum!I:I,"X")&gt;0,10%,0)</f>
        <v>0</v>
      </c>
      <c r="M2946" s="34">
        <f t="shared" si="90"/>
        <v>0.01</v>
      </c>
      <c r="N2946" s="17">
        <f t="shared" si="91"/>
        <v>15324.368399999999</v>
      </c>
    </row>
    <row r="2947" spans="1:14" x14ac:dyDescent="0.25">
      <c r="A2947" s="14" t="s">
        <v>1225</v>
      </c>
      <c r="B2947" s="14">
        <v>13</v>
      </c>
      <c r="C2947" s="15" t="s">
        <v>2617</v>
      </c>
      <c r="D2947" s="14" t="s">
        <v>1749</v>
      </c>
      <c r="E2947" s="14" t="s">
        <v>1746</v>
      </c>
      <c r="F2947" s="17" t="s">
        <v>2995</v>
      </c>
      <c r="G2947" s="14">
        <v>1638</v>
      </c>
      <c r="H2947" s="14">
        <v>1474.2</v>
      </c>
      <c r="I2947" s="31">
        <f>IF(COUNTIFS(Addendum!C:C,A2947,Addendum!D:D,IF(ISNUMBER(B2947),TEXT(B2947,"0000"),B2947),Addendum!E:E,"X")&gt;0,4%,0)</f>
        <v>0.04</v>
      </c>
      <c r="J2947" s="31">
        <f>IF(COUNTIFS(Addendum!C:C,A2947,Addendum!D:D,IF(ISNUMBER(B2947),TEXT(B2947,"0000"),B2947),Addendum!F:F,"X")&gt;0,2.5%,0)</f>
        <v>0</v>
      </c>
      <c r="K2947" s="31">
        <f>IF(COUNTIFS(Addendum!C:C,A2947,Addendum!D:D,IF(ISNUMBER(B2947),TEXT(B2947,"0000"),B2947),Addendum!G:G,"X")&gt;0,7%,0)</f>
        <v>0</v>
      </c>
      <c r="L2947" s="31">
        <f>IF(COUNTIFS(Addendum!C:C,A2947,Addendum!D:D,IF(ISNUMBER(B2947),TEXT(B2947,"0000"),B2947),Addendum!I:I,"X")&gt;0,10%,0)</f>
        <v>0</v>
      </c>
      <c r="M2947" s="34">
        <f t="shared" si="90"/>
        <v>0.01</v>
      </c>
      <c r="N2947" s="17">
        <f t="shared" si="91"/>
        <v>1459.4580000000001</v>
      </c>
    </row>
    <row r="2948" spans="1:14" x14ac:dyDescent="0.25">
      <c r="A2948" s="14" t="s">
        <v>1225</v>
      </c>
      <c r="B2948" s="14" t="s">
        <v>317</v>
      </c>
      <c r="C2948" s="15" t="s">
        <v>1230</v>
      </c>
      <c r="D2948" s="14" t="s">
        <v>1749</v>
      </c>
      <c r="E2948" s="14" t="s">
        <v>1746</v>
      </c>
      <c r="F2948" s="17" t="s">
        <v>2993</v>
      </c>
      <c r="G2948" s="14">
        <v>3240</v>
      </c>
      <c r="H2948" s="14">
        <v>2592</v>
      </c>
      <c r="I2948" s="31">
        <f>IF(COUNTIFS(Addendum!C:C,A2948,Addendum!D:D,IF(ISNUMBER(B2948),TEXT(B2948,"0000"),B2948),Addendum!E:E,"X")&gt;0,4%,0)</f>
        <v>0.04</v>
      </c>
      <c r="J2948" s="31">
        <f>IF(COUNTIFS(Addendum!C:C,A2948,Addendum!D:D,IF(ISNUMBER(B2948),TEXT(B2948,"0000"),B2948),Addendum!F:F,"X")&gt;0,2.5%,0)</f>
        <v>0</v>
      </c>
      <c r="K2948" s="31">
        <f>IF(COUNTIFS(Addendum!C:C,A2948,Addendum!D:D,IF(ISNUMBER(B2948),TEXT(B2948,"0000"),B2948),Addendum!G:G,"X")&gt;0,7%,0)</f>
        <v>0</v>
      </c>
      <c r="L2948" s="31">
        <f>IF(COUNTIFS(Addendum!C:C,A2948,Addendum!D:D,IF(ISNUMBER(B2948),TEXT(B2948,"0000"),B2948),Addendum!I:I,"X")&gt;0,10%,0)</f>
        <v>0</v>
      </c>
      <c r="M2948" s="34">
        <f t="shared" ref="M2948:M3011" si="92">IF(AND(I2948=0%,J2948=0%,K2948=0%,L2948=0%),0%,
IF(OR(TRIM(E2948)="OneTime",TRIM(D2948)=""),0%,
IF(
OR(
TRIM(D2948)="P1M",
AND(TRIM(D2948)="P1Y",TRIM(E2948)="Monthly"),
AND(TRIM(D2948)="P3Y",TRIM(E2948)="Monthly")
),
IF(AND(I2948=4%,J2948=0%,K2948=0%,L2948=0%),1%,
IF(AND(I2948=4%,J2948=2.5%,K2948=0%,L2948=10%),2%,
IF(AND(I2948=4%,J2948=0%,K2948=7%,L2948=10%),3%,0%))),
IF(
OR(
AND(TRIM(D2948)="P1Y",TRIM(E2948)="Annual"),
AND(TRIM(D2948)="P3Y",TRIM(E2948)="Annual"),
AND(TRIM(D2948)="P3Y",TRIM(E2948)="Triennial")
),
IF(AND(I2948=4%,J2948=0%,K2948=0%,L2948=0%),3%,
IF(AND(I2948=4%,J2948=2.5%,K2948=0%,L2948=10%),10%,
IF(AND(I2948=4%,J2948=0%,K2948=7%,L2948=10%),14%,0%))),
0%
))))</f>
        <v>0.01</v>
      </c>
      <c r="N2948" s="17">
        <f t="shared" ref="N2948:N3011" si="93">H2948-(H2948*M2948)</f>
        <v>2566.08</v>
      </c>
    </row>
    <row r="2949" spans="1:14" x14ac:dyDescent="0.25">
      <c r="A2949" s="14" t="s">
        <v>1225</v>
      </c>
      <c r="B2949" s="14" t="s">
        <v>317</v>
      </c>
      <c r="C2949" s="15" t="s">
        <v>1230</v>
      </c>
      <c r="D2949" s="14" t="s">
        <v>1745</v>
      </c>
      <c r="E2949" s="14" t="s">
        <v>1746</v>
      </c>
      <c r="F2949" s="17" t="s">
        <v>2993</v>
      </c>
      <c r="G2949" s="14">
        <v>34020</v>
      </c>
      <c r="H2949" s="14">
        <v>27216</v>
      </c>
      <c r="I2949" s="31">
        <f>IF(COUNTIFS(Addendum!C:C,A2949,Addendum!D:D,IF(ISNUMBER(B2949),TEXT(B2949,"0000"),B2949),Addendum!E:E,"X")&gt;0,4%,0)</f>
        <v>0.04</v>
      </c>
      <c r="J2949" s="31">
        <f>IF(COUNTIFS(Addendum!C:C,A2949,Addendum!D:D,IF(ISNUMBER(B2949),TEXT(B2949,"0000"),B2949),Addendum!F:F,"X")&gt;0,2.5%,0)</f>
        <v>0</v>
      </c>
      <c r="K2949" s="31">
        <f>IF(COUNTIFS(Addendum!C:C,A2949,Addendum!D:D,IF(ISNUMBER(B2949),TEXT(B2949,"0000"),B2949),Addendum!G:G,"X")&gt;0,7%,0)</f>
        <v>0</v>
      </c>
      <c r="L2949" s="31">
        <f>IF(COUNTIFS(Addendum!C:C,A2949,Addendum!D:D,IF(ISNUMBER(B2949),TEXT(B2949,"0000"),B2949),Addendum!I:I,"X")&gt;0,10%,0)</f>
        <v>0</v>
      </c>
      <c r="M2949" s="34">
        <f t="shared" si="92"/>
        <v>0.01</v>
      </c>
      <c r="N2949" s="17">
        <f t="shared" si="93"/>
        <v>26943.84</v>
      </c>
    </row>
    <row r="2950" spans="1:14" x14ac:dyDescent="0.25">
      <c r="A2950" s="14" t="s">
        <v>1225</v>
      </c>
      <c r="B2950" s="14" t="s">
        <v>317</v>
      </c>
      <c r="C2950" s="15" t="s">
        <v>1230</v>
      </c>
      <c r="D2950" s="14" t="s">
        <v>1745</v>
      </c>
      <c r="E2950" s="14" t="s">
        <v>1747</v>
      </c>
      <c r="F2950" s="17" t="s">
        <v>2993</v>
      </c>
      <c r="G2950" s="14">
        <v>32400</v>
      </c>
      <c r="H2950" s="14">
        <v>25920</v>
      </c>
      <c r="I2950" s="31">
        <f>IF(COUNTIFS(Addendum!C:C,A2950,Addendum!D:D,IF(ISNUMBER(B2950),TEXT(B2950,"0000"),B2950),Addendum!E:E,"X")&gt;0,4%,0)</f>
        <v>0.04</v>
      </c>
      <c r="J2950" s="31">
        <f>IF(COUNTIFS(Addendum!C:C,A2950,Addendum!D:D,IF(ISNUMBER(B2950),TEXT(B2950,"0000"),B2950),Addendum!F:F,"X")&gt;0,2.5%,0)</f>
        <v>0</v>
      </c>
      <c r="K2950" s="31">
        <f>IF(COUNTIFS(Addendum!C:C,A2950,Addendum!D:D,IF(ISNUMBER(B2950),TEXT(B2950,"0000"),B2950),Addendum!G:G,"X")&gt;0,7%,0)</f>
        <v>0</v>
      </c>
      <c r="L2950" s="31">
        <f>IF(COUNTIFS(Addendum!C:C,A2950,Addendum!D:D,IF(ISNUMBER(B2950),TEXT(B2950,"0000"),B2950),Addendum!I:I,"X")&gt;0,10%,0)</f>
        <v>0</v>
      </c>
      <c r="M2950" s="34">
        <f t="shared" si="92"/>
        <v>0.03</v>
      </c>
      <c r="N2950" s="17">
        <f t="shared" si="93"/>
        <v>25142.400000000001</v>
      </c>
    </row>
    <row r="2951" spans="1:14" x14ac:dyDescent="0.25">
      <c r="A2951" s="14" t="s">
        <v>1225</v>
      </c>
      <c r="B2951" s="14" t="s">
        <v>16</v>
      </c>
      <c r="C2951" s="15" t="s">
        <v>1245</v>
      </c>
      <c r="D2951" s="14" t="s">
        <v>1749</v>
      </c>
      <c r="E2951" s="14" t="s">
        <v>1766</v>
      </c>
      <c r="F2951" s="17" t="s">
        <v>2993</v>
      </c>
      <c r="G2951" s="14">
        <v>0</v>
      </c>
      <c r="H2951" s="14">
        <v>0</v>
      </c>
      <c r="I2951" s="31">
        <f>IF(COUNTIFS(Addendum!C:C,A2951,Addendum!D:D,IF(ISNUMBER(B2951),TEXT(B2951,"0000"),B2951),Addendum!E:E,"X")&gt;0,4%,0)</f>
        <v>0.04</v>
      </c>
      <c r="J2951" s="31">
        <f>IF(COUNTIFS(Addendum!C:C,A2951,Addendum!D:D,IF(ISNUMBER(B2951),TEXT(B2951,"0000"),B2951),Addendum!F:F,"X")&gt;0,2.5%,0)</f>
        <v>0</v>
      </c>
      <c r="K2951" s="31">
        <f>IF(COUNTIFS(Addendum!C:C,A2951,Addendum!D:D,IF(ISNUMBER(B2951),TEXT(B2951,"0000"),B2951),Addendum!G:G,"X")&gt;0,7%,0)</f>
        <v>0</v>
      </c>
      <c r="L2951" s="31">
        <f>IF(COUNTIFS(Addendum!C:C,A2951,Addendum!D:D,IF(ISNUMBER(B2951),TEXT(B2951,"0000"),B2951),Addendum!I:I,"X")&gt;0,10%,0)</f>
        <v>0</v>
      </c>
      <c r="M2951" s="34">
        <f t="shared" si="92"/>
        <v>0.01</v>
      </c>
      <c r="N2951" s="17">
        <f t="shared" si="93"/>
        <v>0</v>
      </c>
    </row>
    <row r="2952" spans="1:14" x14ac:dyDescent="0.25">
      <c r="A2952" s="14" t="s">
        <v>2618</v>
      </c>
      <c r="B2952" s="14" t="s">
        <v>50</v>
      </c>
      <c r="C2952" s="15" t="s">
        <v>2619</v>
      </c>
      <c r="D2952" s="14" t="s">
        <v>1745</v>
      </c>
      <c r="E2952" s="14" t="s">
        <v>1747</v>
      </c>
      <c r="F2952" s="17" t="s">
        <v>2994</v>
      </c>
      <c r="G2952" s="14">
        <v>199.2</v>
      </c>
      <c r="H2952" s="14">
        <v>159.36000000000001</v>
      </c>
      <c r="I2952" s="31">
        <f>IF(COUNTIFS(Addendum!C:C,A2952,Addendum!D:D,IF(ISNUMBER(B2952),TEXT(B2952,"0000"),B2952),Addendum!E:E,"X")&gt;0,4%,0)</f>
        <v>0</v>
      </c>
      <c r="J2952" s="31">
        <f>IF(COUNTIFS(Addendum!C:C,A2952,Addendum!D:D,IF(ISNUMBER(B2952),TEXT(B2952,"0000"),B2952),Addendum!F:F,"X")&gt;0,2.5%,0)</f>
        <v>0</v>
      </c>
      <c r="K2952" s="31">
        <f>IF(COUNTIFS(Addendum!C:C,A2952,Addendum!D:D,IF(ISNUMBER(B2952),TEXT(B2952,"0000"),B2952),Addendum!G:G,"X")&gt;0,7%,0)</f>
        <v>0</v>
      </c>
      <c r="L2952" s="31">
        <f>IF(COUNTIFS(Addendum!C:C,A2952,Addendum!D:D,IF(ISNUMBER(B2952),TEXT(B2952,"0000"),B2952),Addendum!I:I,"X")&gt;0,10%,0)</f>
        <v>0</v>
      </c>
      <c r="M2952" s="34">
        <f t="shared" si="92"/>
        <v>0</v>
      </c>
      <c r="N2952" s="17">
        <f t="shared" si="93"/>
        <v>159.36000000000001</v>
      </c>
    </row>
    <row r="2953" spans="1:14" x14ac:dyDescent="0.25">
      <c r="A2953" s="14" t="s">
        <v>2618</v>
      </c>
      <c r="B2953" s="14">
        <v>1</v>
      </c>
      <c r="C2953" s="15" t="s">
        <v>2620</v>
      </c>
      <c r="D2953" s="14" t="s">
        <v>1749</v>
      </c>
      <c r="E2953" s="14" t="s">
        <v>1746</v>
      </c>
      <c r="F2953" s="17" t="s">
        <v>2993</v>
      </c>
      <c r="G2953" s="14">
        <v>19.920000000000002</v>
      </c>
      <c r="H2953" s="14">
        <v>15.94</v>
      </c>
      <c r="I2953" s="31">
        <f>IF(COUNTIFS(Addendum!C:C,A2953,Addendum!D:D,IF(ISNUMBER(B2953),TEXT(B2953,"0000"),B2953),Addendum!E:E,"X")&gt;0,4%,0)</f>
        <v>0</v>
      </c>
      <c r="J2953" s="31">
        <f>IF(COUNTIFS(Addendum!C:C,A2953,Addendum!D:D,IF(ISNUMBER(B2953),TEXT(B2953,"0000"),B2953),Addendum!F:F,"X")&gt;0,2.5%,0)</f>
        <v>0</v>
      </c>
      <c r="K2953" s="31">
        <f>IF(COUNTIFS(Addendum!C:C,A2953,Addendum!D:D,IF(ISNUMBER(B2953),TEXT(B2953,"0000"),B2953),Addendum!G:G,"X")&gt;0,7%,0)</f>
        <v>0</v>
      </c>
      <c r="L2953" s="31">
        <f>IF(COUNTIFS(Addendum!C:C,A2953,Addendum!D:D,IF(ISNUMBER(B2953),TEXT(B2953,"0000"),B2953),Addendum!I:I,"X")&gt;0,10%,0)</f>
        <v>0</v>
      </c>
      <c r="M2953" s="34">
        <f t="shared" si="92"/>
        <v>0</v>
      </c>
      <c r="N2953" s="17">
        <f t="shared" si="93"/>
        <v>15.94</v>
      </c>
    </row>
    <row r="2954" spans="1:14" x14ac:dyDescent="0.25">
      <c r="A2954" s="14" t="s">
        <v>2618</v>
      </c>
      <c r="B2954" s="14">
        <v>1</v>
      </c>
      <c r="C2954" s="15" t="s">
        <v>2620</v>
      </c>
      <c r="D2954" s="14" t="s">
        <v>1745</v>
      </c>
      <c r="E2954" s="14" t="s">
        <v>1747</v>
      </c>
      <c r="F2954" s="17" t="s">
        <v>2993</v>
      </c>
      <c r="G2954" s="14">
        <v>199.2</v>
      </c>
      <c r="H2954" s="14">
        <v>159.36000000000001</v>
      </c>
      <c r="I2954" s="31">
        <f>IF(COUNTIFS(Addendum!C:C,A2954,Addendum!D:D,IF(ISNUMBER(B2954),TEXT(B2954,"0000"),B2954),Addendum!E:E,"X")&gt;0,4%,0)</f>
        <v>0</v>
      </c>
      <c r="J2954" s="31">
        <f>IF(COUNTIFS(Addendum!C:C,A2954,Addendum!D:D,IF(ISNUMBER(B2954),TEXT(B2954,"0000"),B2954),Addendum!F:F,"X")&gt;0,2.5%,0)</f>
        <v>0</v>
      </c>
      <c r="K2954" s="31">
        <f>IF(COUNTIFS(Addendum!C:C,A2954,Addendum!D:D,IF(ISNUMBER(B2954),TEXT(B2954,"0000"),B2954),Addendum!G:G,"X")&gt;0,7%,0)</f>
        <v>0</v>
      </c>
      <c r="L2954" s="31">
        <f>IF(COUNTIFS(Addendum!C:C,A2954,Addendum!D:D,IF(ISNUMBER(B2954),TEXT(B2954,"0000"),B2954),Addendum!I:I,"X")&gt;0,10%,0)</f>
        <v>0</v>
      </c>
      <c r="M2954" s="34">
        <f t="shared" si="92"/>
        <v>0</v>
      </c>
      <c r="N2954" s="17">
        <f t="shared" si="93"/>
        <v>159.36000000000001</v>
      </c>
    </row>
    <row r="2955" spans="1:14" x14ac:dyDescent="0.25">
      <c r="A2955" s="14" t="s">
        <v>2618</v>
      </c>
      <c r="B2955" s="14" t="s">
        <v>73</v>
      </c>
      <c r="C2955" s="15" t="s">
        <v>2621</v>
      </c>
      <c r="D2955" s="14" t="s">
        <v>1745</v>
      </c>
      <c r="E2955" s="14" t="s">
        <v>1747</v>
      </c>
      <c r="F2955" s="17" t="s">
        <v>2995</v>
      </c>
      <c r="G2955" s="14">
        <v>80.400000000000006</v>
      </c>
      <c r="H2955" s="14">
        <v>72.36</v>
      </c>
      <c r="I2955" s="31">
        <f>IF(COUNTIFS(Addendum!C:C,A2955,Addendum!D:D,IF(ISNUMBER(B2955),TEXT(B2955,"0000"),B2955),Addendum!E:E,"X")&gt;0,4%,0)</f>
        <v>0</v>
      </c>
      <c r="J2955" s="31">
        <f>IF(COUNTIFS(Addendum!C:C,A2955,Addendum!D:D,IF(ISNUMBER(B2955),TEXT(B2955,"0000"),B2955),Addendum!F:F,"X")&gt;0,2.5%,0)</f>
        <v>0</v>
      </c>
      <c r="K2955" s="31">
        <f>IF(COUNTIFS(Addendum!C:C,A2955,Addendum!D:D,IF(ISNUMBER(B2955),TEXT(B2955,"0000"),B2955),Addendum!G:G,"X")&gt;0,7%,0)</f>
        <v>0</v>
      </c>
      <c r="L2955" s="31">
        <f>IF(COUNTIFS(Addendum!C:C,A2955,Addendum!D:D,IF(ISNUMBER(B2955),TEXT(B2955,"0000"),B2955),Addendum!I:I,"X")&gt;0,10%,0)</f>
        <v>0</v>
      </c>
      <c r="M2955" s="34">
        <f t="shared" si="92"/>
        <v>0</v>
      </c>
      <c r="N2955" s="17">
        <f t="shared" si="93"/>
        <v>72.36</v>
      </c>
    </row>
    <row r="2956" spans="1:14" x14ac:dyDescent="0.25">
      <c r="A2956" s="14" t="s">
        <v>2618</v>
      </c>
      <c r="B2956" s="14" t="s">
        <v>73</v>
      </c>
      <c r="C2956" s="15" t="s">
        <v>2621</v>
      </c>
      <c r="D2956" s="14" t="s">
        <v>1745</v>
      </c>
      <c r="E2956" s="14" t="s">
        <v>1746</v>
      </c>
      <c r="F2956" s="17" t="s">
        <v>2995</v>
      </c>
      <c r="G2956" s="14">
        <v>84.36</v>
      </c>
      <c r="H2956" s="14">
        <v>75.959999999999994</v>
      </c>
      <c r="I2956" s="31">
        <f>IF(COUNTIFS(Addendum!C:C,A2956,Addendum!D:D,IF(ISNUMBER(B2956),TEXT(B2956,"0000"),B2956),Addendum!E:E,"X")&gt;0,4%,0)</f>
        <v>0</v>
      </c>
      <c r="J2956" s="31">
        <f>IF(COUNTIFS(Addendum!C:C,A2956,Addendum!D:D,IF(ISNUMBER(B2956),TEXT(B2956,"0000"),B2956),Addendum!F:F,"X")&gt;0,2.5%,0)</f>
        <v>0</v>
      </c>
      <c r="K2956" s="31">
        <f>IF(COUNTIFS(Addendum!C:C,A2956,Addendum!D:D,IF(ISNUMBER(B2956),TEXT(B2956,"0000"),B2956),Addendum!G:G,"X")&gt;0,7%,0)</f>
        <v>0</v>
      </c>
      <c r="L2956" s="31">
        <f>IF(COUNTIFS(Addendum!C:C,A2956,Addendum!D:D,IF(ISNUMBER(B2956),TEXT(B2956,"0000"),B2956),Addendum!I:I,"X")&gt;0,10%,0)</f>
        <v>0</v>
      </c>
      <c r="M2956" s="34">
        <f t="shared" si="92"/>
        <v>0</v>
      </c>
      <c r="N2956" s="17">
        <f t="shared" si="93"/>
        <v>75.959999999999994</v>
      </c>
    </row>
    <row r="2957" spans="1:14" x14ac:dyDescent="0.25">
      <c r="A2957" s="14" t="s">
        <v>2618</v>
      </c>
      <c r="B2957" s="14" t="s">
        <v>50</v>
      </c>
      <c r="C2957" s="15" t="s">
        <v>2619</v>
      </c>
      <c r="D2957" s="14" t="s">
        <v>1745</v>
      </c>
      <c r="E2957" s="14" t="s">
        <v>1746</v>
      </c>
      <c r="F2957" s="17" t="s">
        <v>2994</v>
      </c>
      <c r="G2957" s="14">
        <v>209.16</v>
      </c>
      <c r="H2957" s="14">
        <v>167.28</v>
      </c>
      <c r="I2957" s="31">
        <f>IF(COUNTIFS(Addendum!C:C,A2957,Addendum!D:D,IF(ISNUMBER(B2957),TEXT(B2957,"0000"),B2957),Addendum!E:E,"X")&gt;0,4%,0)</f>
        <v>0</v>
      </c>
      <c r="J2957" s="31">
        <f>IF(COUNTIFS(Addendum!C:C,A2957,Addendum!D:D,IF(ISNUMBER(B2957),TEXT(B2957,"0000"),B2957),Addendum!F:F,"X")&gt;0,2.5%,0)</f>
        <v>0</v>
      </c>
      <c r="K2957" s="31">
        <f>IF(COUNTIFS(Addendum!C:C,A2957,Addendum!D:D,IF(ISNUMBER(B2957),TEXT(B2957,"0000"),B2957),Addendum!G:G,"X")&gt;0,7%,0)</f>
        <v>0</v>
      </c>
      <c r="L2957" s="31">
        <f>IF(COUNTIFS(Addendum!C:C,A2957,Addendum!D:D,IF(ISNUMBER(B2957),TEXT(B2957,"0000"),B2957),Addendum!I:I,"X")&gt;0,10%,0)</f>
        <v>0</v>
      </c>
      <c r="M2957" s="34">
        <f t="shared" si="92"/>
        <v>0</v>
      </c>
      <c r="N2957" s="17">
        <f t="shared" si="93"/>
        <v>167.28</v>
      </c>
    </row>
    <row r="2958" spans="1:14" x14ac:dyDescent="0.25">
      <c r="A2958" s="14" t="s">
        <v>2618</v>
      </c>
      <c r="B2958" s="14">
        <v>1</v>
      </c>
      <c r="C2958" s="15" t="s">
        <v>2620</v>
      </c>
      <c r="D2958" s="14" t="s">
        <v>1745</v>
      </c>
      <c r="E2958" s="14" t="s">
        <v>1746</v>
      </c>
      <c r="F2958" s="17" t="s">
        <v>2993</v>
      </c>
      <c r="G2958" s="14">
        <v>209.16</v>
      </c>
      <c r="H2958" s="14">
        <v>167.28</v>
      </c>
      <c r="I2958" s="31">
        <f>IF(COUNTIFS(Addendum!C:C,A2958,Addendum!D:D,IF(ISNUMBER(B2958),TEXT(B2958,"0000"),B2958),Addendum!E:E,"X")&gt;0,4%,0)</f>
        <v>0</v>
      </c>
      <c r="J2958" s="31">
        <f>IF(COUNTIFS(Addendum!C:C,A2958,Addendum!D:D,IF(ISNUMBER(B2958),TEXT(B2958,"0000"),B2958),Addendum!F:F,"X")&gt;0,2.5%,0)</f>
        <v>0</v>
      </c>
      <c r="K2958" s="31">
        <f>IF(COUNTIFS(Addendum!C:C,A2958,Addendum!D:D,IF(ISNUMBER(B2958),TEXT(B2958,"0000"),B2958),Addendum!G:G,"X")&gt;0,7%,0)</f>
        <v>0</v>
      </c>
      <c r="L2958" s="31">
        <f>IF(COUNTIFS(Addendum!C:C,A2958,Addendum!D:D,IF(ISNUMBER(B2958),TEXT(B2958,"0000"),B2958),Addendum!I:I,"X")&gt;0,10%,0)</f>
        <v>0</v>
      </c>
      <c r="M2958" s="34">
        <f t="shared" si="92"/>
        <v>0</v>
      </c>
      <c r="N2958" s="17">
        <f t="shared" si="93"/>
        <v>167.28</v>
      </c>
    </row>
    <row r="2959" spans="1:14" x14ac:dyDescent="0.25">
      <c r="A2959" s="14" t="s">
        <v>2618</v>
      </c>
      <c r="B2959" s="14" t="s">
        <v>50</v>
      </c>
      <c r="C2959" s="15" t="s">
        <v>2619</v>
      </c>
      <c r="D2959" s="14" t="s">
        <v>1749</v>
      </c>
      <c r="E2959" s="14" t="s">
        <v>1746</v>
      </c>
      <c r="F2959" s="17" t="s">
        <v>2994</v>
      </c>
      <c r="G2959" s="14">
        <v>19.920000000000002</v>
      </c>
      <c r="H2959" s="14">
        <v>15.94</v>
      </c>
      <c r="I2959" s="31">
        <f>IF(COUNTIFS(Addendum!C:C,A2959,Addendum!D:D,IF(ISNUMBER(B2959),TEXT(B2959,"0000"),B2959),Addendum!E:E,"X")&gt;0,4%,0)</f>
        <v>0</v>
      </c>
      <c r="J2959" s="31">
        <f>IF(COUNTIFS(Addendum!C:C,A2959,Addendum!D:D,IF(ISNUMBER(B2959),TEXT(B2959,"0000"),B2959),Addendum!F:F,"X")&gt;0,2.5%,0)</f>
        <v>0</v>
      </c>
      <c r="K2959" s="31">
        <f>IF(COUNTIFS(Addendum!C:C,A2959,Addendum!D:D,IF(ISNUMBER(B2959),TEXT(B2959,"0000"),B2959),Addendum!G:G,"X")&gt;0,7%,0)</f>
        <v>0</v>
      </c>
      <c r="L2959" s="31">
        <f>IF(COUNTIFS(Addendum!C:C,A2959,Addendum!D:D,IF(ISNUMBER(B2959),TEXT(B2959,"0000"),B2959),Addendum!I:I,"X")&gt;0,10%,0)</f>
        <v>0</v>
      </c>
      <c r="M2959" s="34">
        <f t="shared" si="92"/>
        <v>0</v>
      </c>
      <c r="N2959" s="17">
        <f t="shared" si="93"/>
        <v>15.94</v>
      </c>
    </row>
    <row r="2960" spans="1:14" x14ac:dyDescent="0.25">
      <c r="A2960" s="14" t="s">
        <v>2618</v>
      </c>
      <c r="B2960" s="14" t="s">
        <v>73</v>
      </c>
      <c r="C2960" s="15" t="s">
        <v>2621</v>
      </c>
      <c r="D2960" s="14" t="s">
        <v>1749</v>
      </c>
      <c r="E2960" s="14" t="s">
        <v>1746</v>
      </c>
      <c r="F2960" s="17" t="s">
        <v>2995</v>
      </c>
      <c r="G2960" s="14">
        <v>8.0399999999999991</v>
      </c>
      <c r="H2960" s="14">
        <v>7.24</v>
      </c>
      <c r="I2960" s="31">
        <f>IF(COUNTIFS(Addendum!C:C,A2960,Addendum!D:D,IF(ISNUMBER(B2960),TEXT(B2960,"0000"),B2960),Addendum!E:E,"X")&gt;0,4%,0)</f>
        <v>0</v>
      </c>
      <c r="J2960" s="31">
        <f>IF(COUNTIFS(Addendum!C:C,A2960,Addendum!D:D,IF(ISNUMBER(B2960),TEXT(B2960,"0000"),B2960),Addendum!F:F,"X")&gt;0,2.5%,0)</f>
        <v>0</v>
      </c>
      <c r="K2960" s="31">
        <f>IF(COUNTIFS(Addendum!C:C,A2960,Addendum!D:D,IF(ISNUMBER(B2960),TEXT(B2960,"0000"),B2960),Addendum!G:G,"X")&gt;0,7%,0)</f>
        <v>0</v>
      </c>
      <c r="L2960" s="31">
        <f>IF(COUNTIFS(Addendum!C:C,A2960,Addendum!D:D,IF(ISNUMBER(B2960),TEXT(B2960,"0000"),B2960),Addendum!I:I,"X")&gt;0,10%,0)</f>
        <v>0</v>
      </c>
      <c r="M2960" s="34">
        <f t="shared" si="92"/>
        <v>0</v>
      </c>
      <c r="N2960" s="17">
        <f t="shared" si="93"/>
        <v>7.24</v>
      </c>
    </row>
    <row r="2961" spans="1:14" x14ac:dyDescent="0.25">
      <c r="A2961" s="14" t="s">
        <v>2622</v>
      </c>
      <c r="B2961" s="14" t="s">
        <v>583</v>
      </c>
      <c r="C2961" s="15" t="s">
        <v>2623</v>
      </c>
      <c r="D2961" s="14" t="s">
        <v>1745</v>
      </c>
      <c r="E2961" s="14" t="s">
        <v>1747</v>
      </c>
      <c r="F2961" s="17" t="s">
        <v>2995</v>
      </c>
      <c r="G2961" s="14">
        <v>998.28</v>
      </c>
      <c r="H2961" s="14">
        <v>898.45</v>
      </c>
      <c r="I2961" s="31">
        <f>IF(COUNTIFS(Addendum!C:C,A2961,Addendum!D:D,IF(ISNUMBER(B2961),TEXT(B2961,"0000"),B2961),Addendum!E:E,"X")&gt;0,4%,0)</f>
        <v>0</v>
      </c>
      <c r="J2961" s="31">
        <f>IF(COUNTIFS(Addendum!C:C,A2961,Addendum!D:D,IF(ISNUMBER(B2961),TEXT(B2961,"0000"),B2961),Addendum!F:F,"X")&gt;0,2.5%,0)</f>
        <v>0</v>
      </c>
      <c r="K2961" s="31">
        <f>IF(COUNTIFS(Addendum!C:C,A2961,Addendum!D:D,IF(ISNUMBER(B2961),TEXT(B2961,"0000"),B2961),Addendum!G:G,"X")&gt;0,7%,0)</f>
        <v>0</v>
      </c>
      <c r="L2961" s="31">
        <f>IF(COUNTIFS(Addendum!C:C,A2961,Addendum!D:D,IF(ISNUMBER(B2961),TEXT(B2961,"0000"),B2961),Addendum!I:I,"X")&gt;0,10%,0)</f>
        <v>0</v>
      </c>
      <c r="M2961" s="34">
        <f t="shared" si="92"/>
        <v>0</v>
      </c>
      <c r="N2961" s="17">
        <f t="shared" si="93"/>
        <v>898.45</v>
      </c>
    </row>
    <row r="2962" spans="1:14" x14ac:dyDescent="0.25">
      <c r="A2962" s="14" t="s">
        <v>2622</v>
      </c>
      <c r="B2962" s="14" t="s">
        <v>608</v>
      </c>
      <c r="C2962" s="15" t="s">
        <v>2624</v>
      </c>
      <c r="D2962" s="14" t="s">
        <v>1745</v>
      </c>
      <c r="E2962" s="14" t="s">
        <v>1747</v>
      </c>
      <c r="F2962" s="17" t="s">
        <v>2993</v>
      </c>
      <c r="G2962" s="14">
        <v>3480</v>
      </c>
      <c r="H2962" s="14">
        <v>2784</v>
      </c>
      <c r="I2962" s="31">
        <f>IF(COUNTIFS(Addendum!C:C,A2962,Addendum!D:D,IF(ISNUMBER(B2962),TEXT(B2962,"0000"),B2962),Addendum!E:E,"X")&gt;0,4%,0)</f>
        <v>0</v>
      </c>
      <c r="J2962" s="31">
        <f>IF(COUNTIFS(Addendum!C:C,A2962,Addendum!D:D,IF(ISNUMBER(B2962),TEXT(B2962,"0000"),B2962),Addendum!F:F,"X")&gt;0,2.5%,0)</f>
        <v>0</v>
      </c>
      <c r="K2962" s="31">
        <f>IF(COUNTIFS(Addendum!C:C,A2962,Addendum!D:D,IF(ISNUMBER(B2962),TEXT(B2962,"0000"),B2962),Addendum!G:G,"X")&gt;0,7%,0)</f>
        <v>0</v>
      </c>
      <c r="L2962" s="31">
        <f>IF(COUNTIFS(Addendum!C:C,A2962,Addendum!D:D,IF(ISNUMBER(B2962),TEXT(B2962,"0000"),B2962),Addendum!I:I,"X")&gt;0,10%,0)</f>
        <v>0</v>
      </c>
      <c r="M2962" s="34">
        <f t="shared" si="92"/>
        <v>0</v>
      </c>
      <c r="N2962" s="17">
        <f t="shared" si="93"/>
        <v>2784</v>
      </c>
    </row>
    <row r="2963" spans="1:14" x14ac:dyDescent="0.25">
      <c r="A2963" s="14" t="s">
        <v>2622</v>
      </c>
      <c r="B2963" s="14">
        <v>1</v>
      </c>
      <c r="C2963" s="15" t="s">
        <v>2625</v>
      </c>
      <c r="D2963" s="14" t="s">
        <v>1745</v>
      </c>
      <c r="E2963" s="14" t="s">
        <v>1747</v>
      </c>
      <c r="F2963" s="17" t="s">
        <v>2993</v>
      </c>
      <c r="G2963" s="14">
        <v>4020</v>
      </c>
      <c r="H2963" s="14">
        <v>3216</v>
      </c>
      <c r="I2963" s="31">
        <f>IF(COUNTIFS(Addendum!C:C,A2963,Addendum!D:D,IF(ISNUMBER(B2963),TEXT(B2963,"0000"),B2963),Addendum!E:E,"X")&gt;0,4%,0)</f>
        <v>0</v>
      </c>
      <c r="J2963" s="31">
        <f>IF(COUNTIFS(Addendum!C:C,A2963,Addendum!D:D,IF(ISNUMBER(B2963),TEXT(B2963,"0000"),B2963),Addendum!F:F,"X")&gt;0,2.5%,0)</f>
        <v>0</v>
      </c>
      <c r="K2963" s="31">
        <f>IF(COUNTIFS(Addendum!C:C,A2963,Addendum!D:D,IF(ISNUMBER(B2963),TEXT(B2963,"0000"),B2963),Addendum!G:G,"X")&gt;0,7%,0)</f>
        <v>0</v>
      </c>
      <c r="L2963" s="31">
        <f>IF(COUNTIFS(Addendum!C:C,A2963,Addendum!D:D,IF(ISNUMBER(B2963),TEXT(B2963,"0000"),B2963),Addendum!I:I,"X")&gt;0,10%,0)</f>
        <v>0</v>
      </c>
      <c r="M2963" s="34">
        <f t="shared" si="92"/>
        <v>0</v>
      </c>
      <c r="N2963" s="17">
        <f t="shared" si="93"/>
        <v>3216</v>
      </c>
    </row>
    <row r="2964" spans="1:14" x14ac:dyDescent="0.25">
      <c r="A2964" s="14" t="s">
        <v>2622</v>
      </c>
      <c r="B2964" s="14" t="s">
        <v>608</v>
      </c>
      <c r="C2964" s="15" t="s">
        <v>2624</v>
      </c>
      <c r="D2964" s="14" t="s">
        <v>1745</v>
      </c>
      <c r="E2964" s="14" t="s">
        <v>1746</v>
      </c>
      <c r="F2964" s="17" t="s">
        <v>2993</v>
      </c>
      <c r="G2964" s="14">
        <v>3654</v>
      </c>
      <c r="H2964" s="14">
        <v>2923.2</v>
      </c>
      <c r="I2964" s="31">
        <f>IF(COUNTIFS(Addendum!C:C,A2964,Addendum!D:D,IF(ISNUMBER(B2964),TEXT(B2964,"0000"),B2964),Addendum!E:E,"X")&gt;0,4%,0)</f>
        <v>0</v>
      </c>
      <c r="J2964" s="31">
        <f>IF(COUNTIFS(Addendum!C:C,A2964,Addendum!D:D,IF(ISNUMBER(B2964),TEXT(B2964,"0000"),B2964),Addendum!F:F,"X")&gt;0,2.5%,0)</f>
        <v>0</v>
      </c>
      <c r="K2964" s="31">
        <f>IF(COUNTIFS(Addendum!C:C,A2964,Addendum!D:D,IF(ISNUMBER(B2964),TEXT(B2964,"0000"),B2964),Addendum!G:G,"X")&gt;0,7%,0)</f>
        <v>0</v>
      </c>
      <c r="L2964" s="31">
        <f>IF(COUNTIFS(Addendum!C:C,A2964,Addendum!D:D,IF(ISNUMBER(B2964),TEXT(B2964,"0000"),B2964),Addendum!I:I,"X")&gt;0,10%,0)</f>
        <v>0</v>
      </c>
      <c r="M2964" s="34">
        <f t="shared" si="92"/>
        <v>0</v>
      </c>
      <c r="N2964" s="17">
        <f t="shared" si="93"/>
        <v>2923.2</v>
      </c>
    </row>
    <row r="2965" spans="1:14" x14ac:dyDescent="0.25">
      <c r="A2965" s="14" t="s">
        <v>2622</v>
      </c>
      <c r="B2965" s="14" t="s">
        <v>583</v>
      </c>
      <c r="C2965" s="15" t="s">
        <v>2623</v>
      </c>
      <c r="D2965" s="14" t="s">
        <v>1749</v>
      </c>
      <c r="E2965" s="14" t="s">
        <v>1746</v>
      </c>
      <c r="F2965" s="17" t="s">
        <v>2995</v>
      </c>
      <c r="G2965" s="14">
        <v>99.83</v>
      </c>
      <c r="H2965" s="14">
        <v>89.85</v>
      </c>
      <c r="I2965" s="31">
        <f>IF(COUNTIFS(Addendum!C:C,A2965,Addendum!D:D,IF(ISNUMBER(B2965),TEXT(B2965,"0000"),B2965),Addendum!E:E,"X")&gt;0,4%,0)</f>
        <v>0</v>
      </c>
      <c r="J2965" s="31">
        <f>IF(COUNTIFS(Addendum!C:C,A2965,Addendum!D:D,IF(ISNUMBER(B2965),TEXT(B2965,"0000"),B2965),Addendum!F:F,"X")&gt;0,2.5%,0)</f>
        <v>0</v>
      </c>
      <c r="K2965" s="31">
        <f>IF(COUNTIFS(Addendum!C:C,A2965,Addendum!D:D,IF(ISNUMBER(B2965),TEXT(B2965,"0000"),B2965),Addendum!G:G,"X")&gt;0,7%,0)</f>
        <v>0</v>
      </c>
      <c r="L2965" s="31">
        <f>IF(COUNTIFS(Addendum!C:C,A2965,Addendum!D:D,IF(ISNUMBER(B2965),TEXT(B2965,"0000"),B2965),Addendum!I:I,"X")&gt;0,10%,0)</f>
        <v>0</v>
      </c>
      <c r="M2965" s="34">
        <f t="shared" si="92"/>
        <v>0</v>
      </c>
      <c r="N2965" s="17">
        <f t="shared" si="93"/>
        <v>89.85</v>
      </c>
    </row>
    <row r="2966" spans="1:14" x14ac:dyDescent="0.25">
      <c r="A2966" s="14" t="s">
        <v>2622</v>
      </c>
      <c r="B2966" s="14">
        <v>1</v>
      </c>
      <c r="C2966" s="15" t="s">
        <v>2625</v>
      </c>
      <c r="D2966" s="14" t="s">
        <v>1749</v>
      </c>
      <c r="E2966" s="14" t="s">
        <v>1746</v>
      </c>
      <c r="F2966" s="17" t="s">
        <v>2993</v>
      </c>
      <c r="G2966" s="14">
        <v>402</v>
      </c>
      <c r="H2966" s="14">
        <v>321.60000000000002</v>
      </c>
      <c r="I2966" s="31">
        <f>IF(COUNTIFS(Addendum!C:C,A2966,Addendum!D:D,IF(ISNUMBER(B2966),TEXT(B2966,"0000"),B2966),Addendum!E:E,"X")&gt;0,4%,0)</f>
        <v>0</v>
      </c>
      <c r="J2966" s="31">
        <f>IF(COUNTIFS(Addendum!C:C,A2966,Addendum!D:D,IF(ISNUMBER(B2966),TEXT(B2966,"0000"),B2966),Addendum!F:F,"X")&gt;0,2.5%,0)</f>
        <v>0</v>
      </c>
      <c r="K2966" s="31">
        <f>IF(COUNTIFS(Addendum!C:C,A2966,Addendum!D:D,IF(ISNUMBER(B2966),TEXT(B2966,"0000"),B2966),Addendum!G:G,"X")&gt;0,7%,0)</f>
        <v>0</v>
      </c>
      <c r="L2966" s="31">
        <f>IF(COUNTIFS(Addendum!C:C,A2966,Addendum!D:D,IF(ISNUMBER(B2966),TEXT(B2966,"0000"),B2966),Addendum!I:I,"X")&gt;0,10%,0)</f>
        <v>0</v>
      </c>
      <c r="M2966" s="34">
        <f t="shared" si="92"/>
        <v>0</v>
      </c>
      <c r="N2966" s="17">
        <f t="shared" si="93"/>
        <v>321.60000000000002</v>
      </c>
    </row>
    <row r="2967" spans="1:14" x14ac:dyDescent="0.25">
      <c r="A2967" s="14" t="s">
        <v>2622</v>
      </c>
      <c r="B2967" s="14" t="s">
        <v>608</v>
      </c>
      <c r="C2967" s="15" t="s">
        <v>2624</v>
      </c>
      <c r="D2967" s="14" t="s">
        <v>1749</v>
      </c>
      <c r="E2967" s="14" t="s">
        <v>1746</v>
      </c>
      <c r="F2967" s="17" t="s">
        <v>2993</v>
      </c>
      <c r="G2967" s="14">
        <v>348</v>
      </c>
      <c r="H2967" s="14">
        <v>278.39999999999998</v>
      </c>
      <c r="I2967" s="31">
        <f>IF(COUNTIFS(Addendum!C:C,A2967,Addendum!D:D,IF(ISNUMBER(B2967),TEXT(B2967,"0000"),B2967),Addendum!E:E,"X")&gt;0,4%,0)</f>
        <v>0</v>
      </c>
      <c r="J2967" s="31">
        <f>IF(COUNTIFS(Addendum!C:C,A2967,Addendum!D:D,IF(ISNUMBER(B2967),TEXT(B2967,"0000"),B2967),Addendum!F:F,"X")&gt;0,2.5%,0)</f>
        <v>0</v>
      </c>
      <c r="K2967" s="31">
        <f>IF(COUNTIFS(Addendum!C:C,A2967,Addendum!D:D,IF(ISNUMBER(B2967),TEXT(B2967,"0000"),B2967),Addendum!G:G,"X")&gt;0,7%,0)</f>
        <v>0</v>
      </c>
      <c r="L2967" s="31">
        <f>IF(COUNTIFS(Addendum!C:C,A2967,Addendum!D:D,IF(ISNUMBER(B2967),TEXT(B2967,"0000"),B2967),Addendum!I:I,"X")&gt;0,10%,0)</f>
        <v>0</v>
      </c>
      <c r="M2967" s="34">
        <f t="shared" si="92"/>
        <v>0</v>
      </c>
      <c r="N2967" s="17">
        <f t="shared" si="93"/>
        <v>278.39999999999998</v>
      </c>
    </row>
    <row r="2968" spans="1:14" x14ac:dyDescent="0.25">
      <c r="A2968" s="14" t="s">
        <v>2622</v>
      </c>
      <c r="B2968" s="14">
        <v>1</v>
      </c>
      <c r="C2968" s="15" t="s">
        <v>2625</v>
      </c>
      <c r="D2968" s="14" t="s">
        <v>1745</v>
      </c>
      <c r="E2968" s="14" t="s">
        <v>1746</v>
      </c>
      <c r="F2968" s="17" t="s">
        <v>2993</v>
      </c>
      <c r="G2968" s="14">
        <v>4221</v>
      </c>
      <c r="H2968" s="14">
        <v>3376.8</v>
      </c>
      <c r="I2968" s="31">
        <f>IF(COUNTIFS(Addendum!C:C,A2968,Addendum!D:D,IF(ISNUMBER(B2968),TEXT(B2968,"0000"),B2968),Addendum!E:E,"X")&gt;0,4%,0)</f>
        <v>0</v>
      </c>
      <c r="J2968" s="31">
        <f>IF(COUNTIFS(Addendum!C:C,A2968,Addendum!D:D,IF(ISNUMBER(B2968),TEXT(B2968,"0000"),B2968),Addendum!F:F,"X")&gt;0,2.5%,0)</f>
        <v>0</v>
      </c>
      <c r="K2968" s="31">
        <f>IF(COUNTIFS(Addendum!C:C,A2968,Addendum!D:D,IF(ISNUMBER(B2968),TEXT(B2968,"0000"),B2968),Addendum!G:G,"X")&gt;0,7%,0)</f>
        <v>0</v>
      </c>
      <c r="L2968" s="31">
        <f>IF(COUNTIFS(Addendum!C:C,A2968,Addendum!D:D,IF(ISNUMBER(B2968),TEXT(B2968,"0000"),B2968),Addendum!I:I,"X")&gt;0,10%,0)</f>
        <v>0</v>
      </c>
      <c r="M2968" s="34">
        <f t="shared" si="92"/>
        <v>0</v>
      </c>
      <c r="N2968" s="17">
        <f t="shared" si="93"/>
        <v>3376.8</v>
      </c>
    </row>
    <row r="2969" spans="1:14" x14ac:dyDescent="0.25">
      <c r="A2969" s="14" t="s">
        <v>2622</v>
      </c>
      <c r="B2969" s="14" t="s">
        <v>583</v>
      </c>
      <c r="C2969" s="15" t="s">
        <v>2623</v>
      </c>
      <c r="D2969" s="14" t="s">
        <v>1745</v>
      </c>
      <c r="E2969" s="14" t="s">
        <v>1746</v>
      </c>
      <c r="F2969" s="17" t="s">
        <v>2995</v>
      </c>
      <c r="G2969" s="14">
        <v>1048.2</v>
      </c>
      <c r="H2969" s="14">
        <v>943.32</v>
      </c>
      <c r="I2969" s="31">
        <f>IF(COUNTIFS(Addendum!C:C,A2969,Addendum!D:D,IF(ISNUMBER(B2969),TEXT(B2969,"0000"),B2969),Addendum!E:E,"X")&gt;0,4%,0)</f>
        <v>0</v>
      </c>
      <c r="J2969" s="31">
        <f>IF(COUNTIFS(Addendum!C:C,A2969,Addendum!D:D,IF(ISNUMBER(B2969),TEXT(B2969,"0000"),B2969),Addendum!F:F,"X")&gt;0,2.5%,0)</f>
        <v>0</v>
      </c>
      <c r="K2969" s="31">
        <f>IF(COUNTIFS(Addendum!C:C,A2969,Addendum!D:D,IF(ISNUMBER(B2969),TEXT(B2969,"0000"),B2969),Addendum!G:G,"X")&gt;0,7%,0)</f>
        <v>0</v>
      </c>
      <c r="L2969" s="31">
        <f>IF(COUNTIFS(Addendum!C:C,A2969,Addendum!D:D,IF(ISNUMBER(B2969),TEXT(B2969,"0000"),B2969),Addendum!I:I,"X")&gt;0,10%,0)</f>
        <v>0</v>
      </c>
      <c r="M2969" s="34">
        <f t="shared" si="92"/>
        <v>0</v>
      </c>
      <c r="N2969" s="17">
        <f t="shared" si="93"/>
        <v>943.32</v>
      </c>
    </row>
    <row r="2970" spans="1:14" x14ac:dyDescent="0.25">
      <c r="A2970" s="14" t="s">
        <v>2626</v>
      </c>
      <c r="B2970" s="14">
        <v>8</v>
      </c>
      <c r="C2970" s="15" t="s">
        <v>2627</v>
      </c>
      <c r="D2970" s="14" t="s">
        <v>1745</v>
      </c>
      <c r="E2970" s="14" t="s">
        <v>1746</v>
      </c>
      <c r="F2970" s="17" t="s">
        <v>2993</v>
      </c>
      <c r="G2970" s="14">
        <v>419328</v>
      </c>
      <c r="H2970" s="14">
        <v>335462.40000000002</v>
      </c>
      <c r="I2970" s="31">
        <f>IF(COUNTIFS(Addendum!C:C,A2970,Addendum!D:D,IF(ISNUMBER(B2970),TEXT(B2970,"0000"),B2970),Addendum!E:E,"X")&gt;0,4%,0)</f>
        <v>0</v>
      </c>
      <c r="J2970" s="31">
        <f>IF(COUNTIFS(Addendum!C:C,A2970,Addendum!D:D,IF(ISNUMBER(B2970),TEXT(B2970,"0000"),B2970),Addendum!F:F,"X")&gt;0,2.5%,0)</f>
        <v>0</v>
      </c>
      <c r="K2970" s="31">
        <f>IF(COUNTIFS(Addendum!C:C,A2970,Addendum!D:D,IF(ISNUMBER(B2970),TEXT(B2970,"0000"),B2970),Addendum!G:G,"X")&gt;0,7%,0)</f>
        <v>0</v>
      </c>
      <c r="L2970" s="31">
        <f>IF(COUNTIFS(Addendum!C:C,A2970,Addendum!D:D,IF(ISNUMBER(B2970),TEXT(B2970,"0000"),B2970),Addendum!I:I,"X")&gt;0,10%,0)</f>
        <v>0</v>
      </c>
      <c r="M2970" s="34">
        <f t="shared" si="92"/>
        <v>0</v>
      </c>
      <c r="N2970" s="17">
        <f t="shared" si="93"/>
        <v>335462.40000000002</v>
      </c>
    </row>
    <row r="2971" spans="1:14" x14ac:dyDescent="0.25">
      <c r="A2971" s="14" t="s">
        <v>2626</v>
      </c>
      <c r="B2971" s="14">
        <v>18</v>
      </c>
      <c r="C2971" s="15" t="s">
        <v>2628</v>
      </c>
      <c r="D2971" s="14" t="s">
        <v>1749</v>
      </c>
      <c r="E2971" s="14" t="s">
        <v>1746</v>
      </c>
      <c r="F2971" s="17" t="s">
        <v>2993</v>
      </c>
      <c r="G2971" s="14">
        <v>99834</v>
      </c>
      <c r="H2971" s="14">
        <v>79867.199999999997</v>
      </c>
      <c r="I2971" s="31">
        <f>IF(COUNTIFS(Addendum!C:C,A2971,Addendum!D:D,IF(ISNUMBER(B2971),TEXT(B2971,"0000"),B2971),Addendum!E:E,"X")&gt;0,4%,0)</f>
        <v>0</v>
      </c>
      <c r="J2971" s="31">
        <f>IF(COUNTIFS(Addendum!C:C,A2971,Addendum!D:D,IF(ISNUMBER(B2971),TEXT(B2971,"0000"),B2971),Addendum!F:F,"X")&gt;0,2.5%,0)</f>
        <v>0</v>
      </c>
      <c r="K2971" s="31">
        <f>IF(COUNTIFS(Addendum!C:C,A2971,Addendum!D:D,IF(ISNUMBER(B2971),TEXT(B2971,"0000"),B2971),Addendum!G:G,"X")&gt;0,7%,0)</f>
        <v>0</v>
      </c>
      <c r="L2971" s="31">
        <f>IF(COUNTIFS(Addendum!C:C,A2971,Addendum!D:D,IF(ISNUMBER(B2971),TEXT(B2971,"0000"),B2971),Addendum!I:I,"X")&gt;0,10%,0)</f>
        <v>0</v>
      </c>
      <c r="M2971" s="34">
        <f t="shared" si="92"/>
        <v>0</v>
      </c>
      <c r="N2971" s="17">
        <f t="shared" si="93"/>
        <v>79867.199999999997</v>
      </c>
    </row>
    <row r="2972" spans="1:14" x14ac:dyDescent="0.25">
      <c r="A2972" s="14" t="s">
        <v>2626</v>
      </c>
      <c r="B2972" s="14">
        <v>17</v>
      </c>
      <c r="C2972" s="15" t="s">
        <v>2629</v>
      </c>
      <c r="D2972" s="14" t="s">
        <v>1745</v>
      </c>
      <c r="E2972" s="14" t="s">
        <v>1747</v>
      </c>
      <c r="F2972" s="17" t="s">
        <v>2995</v>
      </c>
      <c r="G2972" s="14">
        <v>249600</v>
      </c>
      <c r="H2972" s="14">
        <v>224640</v>
      </c>
      <c r="I2972" s="31">
        <f>IF(COUNTIFS(Addendum!C:C,A2972,Addendum!D:D,IF(ISNUMBER(B2972),TEXT(B2972,"0000"),B2972),Addendum!E:E,"X")&gt;0,4%,0)</f>
        <v>0</v>
      </c>
      <c r="J2972" s="31">
        <f>IF(COUNTIFS(Addendum!C:C,A2972,Addendum!D:D,IF(ISNUMBER(B2972),TEXT(B2972,"0000"),B2972),Addendum!F:F,"X")&gt;0,2.5%,0)</f>
        <v>0</v>
      </c>
      <c r="K2972" s="31">
        <f>IF(COUNTIFS(Addendum!C:C,A2972,Addendum!D:D,IF(ISNUMBER(B2972),TEXT(B2972,"0000"),B2972),Addendum!G:G,"X")&gt;0,7%,0)</f>
        <v>0</v>
      </c>
      <c r="L2972" s="31">
        <f>IF(COUNTIFS(Addendum!C:C,A2972,Addendum!D:D,IF(ISNUMBER(B2972),TEXT(B2972,"0000"),B2972),Addendum!I:I,"X")&gt;0,10%,0)</f>
        <v>0</v>
      </c>
      <c r="M2972" s="34">
        <f t="shared" si="92"/>
        <v>0</v>
      </c>
      <c r="N2972" s="17">
        <f t="shared" si="93"/>
        <v>224640</v>
      </c>
    </row>
    <row r="2973" spans="1:14" x14ac:dyDescent="0.25">
      <c r="A2973" s="14" t="s">
        <v>2626</v>
      </c>
      <c r="B2973" s="14">
        <v>1</v>
      </c>
      <c r="C2973" s="15" t="s">
        <v>2630</v>
      </c>
      <c r="D2973" s="14" t="s">
        <v>1749</v>
      </c>
      <c r="E2973" s="14" t="s">
        <v>1746</v>
      </c>
      <c r="F2973" s="17" t="s">
        <v>2993</v>
      </c>
      <c r="G2973" s="14">
        <v>9984</v>
      </c>
      <c r="H2973" s="14">
        <v>7987.2</v>
      </c>
      <c r="I2973" s="31">
        <f>IF(COUNTIFS(Addendum!C:C,A2973,Addendum!D:D,IF(ISNUMBER(B2973),TEXT(B2973,"0000"),B2973),Addendum!E:E,"X")&gt;0,4%,0)</f>
        <v>0</v>
      </c>
      <c r="J2973" s="31">
        <f>IF(COUNTIFS(Addendum!C:C,A2973,Addendum!D:D,IF(ISNUMBER(B2973),TEXT(B2973,"0000"),B2973),Addendum!F:F,"X")&gt;0,2.5%,0)</f>
        <v>0</v>
      </c>
      <c r="K2973" s="31">
        <f>IF(COUNTIFS(Addendum!C:C,A2973,Addendum!D:D,IF(ISNUMBER(B2973),TEXT(B2973,"0000"),B2973),Addendum!G:G,"X")&gt;0,7%,0)</f>
        <v>0</v>
      </c>
      <c r="L2973" s="31">
        <f>IF(COUNTIFS(Addendum!C:C,A2973,Addendum!D:D,IF(ISNUMBER(B2973),TEXT(B2973,"0000"),B2973),Addendum!I:I,"X")&gt;0,10%,0)</f>
        <v>0</v>
      </c>
      <c r="M2973" s="34">
        <f t="shared" si="92"/>
        <v>0</v>
      </c>
      <c r="N2973" s="17">
        <f t="shared" si="93"/>
        <v>7987.2</v>
      </c>
    </row>
    <row r="2974" spans="1:14" x14ac:dyDescent="0.25">
      <c r="A2974" s="14" t="s">
        <v>2626</v>
      </c>
      <c r="B2974" s="14">
        <v>1</v>
      </c>
      <c r="C2974" s="15" t="s">
        <v>2630</v>
      </c>
      <c r="D2974" s="14" t="s">
        <v>1745</v>
      </c>
      <c r="E2974" s="14" t="s">
        <v>1746</v>
      </c>
      <c r="F2974" s="17" t="s">
        <v>2993</v>
      </c>
      <c r="G2974" s="14">
        <v>104832</v>
      </c>
      <c r="H2974" s="14">
        <v>83865.600000000006</v>
      </c>
      <c r="I2974" s="31">
        <f>IF(COUNTIFS(Addendum!C:C,A2974,Addendum!D:D,IF(ISNUMBER(B2974),TEXT(B2974,"0000"),B2974),Addendum!E:E,"X")&gt;0,4%,0)</f>
        <v>0</v>
      </c>
      <c r="J2974" s="31">
        <f>IF(COUNTIFS(Addendum!C:C,A2974,Addendum!D:D,IF(ISNUMBER(B2974),TEXT(B2974,"0000"),B2974),Addendum!F:F,"X")&gt;0,2.5%,0)</f>
        <v>0</v>
      </c>
      <c r="K2974" s="31">
        <f>IF(COUNTIFS(Addendum!C:C,A2974,Addendum!D:D,IF(ISNUMBER(B2974),TEXT(B2974,"0000"),B2974),Addendum!G:G,"X")&gt;0,7%,0)</f>
        <v>0</v>
      </c>
      <c r="L2974" s="31">
        <f>IF(COUNTIFS(Addendum!C:C,A2974,Addendum!D:D,IF(ISNUMBER(B2974),TEXT(B2974,"0000"),B2974),Addendum!I:I,"X")&gt;0,10%,0)</f>
        <v>0</v>
      </c>
      <c r="M2974" s="34">
        <f t="shared" si="92"/>
        <v>0</v>
      </c>
      <c r="N2974" s="17">
        <f t="shared" si="93"/>
        <v>83865.600000000006</v>
      </c>
    </row>
    <row r="2975" spans="1:14" x14ac:dyDescent="0.25">
      <c r="A2975" s="14" t="s">
        <v>2626</v>
      </c>
      <c r="B2975" s="14">
        <v>3</v>
      </c>
      <c r="C2975" s="15" t="s">
        <v>2631</v>
      </c>
      <c r="D2975" s="14" t="s">
        <v>1745</v>
      </c>
      <c r="E2975" s="14" t="s">
        <v>1746</v>
      </c>
      <c r="F2975" s="17" t="s">
        <v>2993</v>
      </c>
      <c r="G2975" s="14">
        <v>20979</v>
      </c>
      <c r="H2975" s="14">
        <v>16783.2</v>
      </c>
      <c r="I2975" s="31">
        <f>IF(COUNTIFS(Addendum!C:C,A2975,Addendum!D:D,IF(ISNUMBER(B2975),TEXT(B2975,"0000"),B2975),Addendum!E:E,"X")&gt;0,4%,0)</f>
        <v>0</v>
      </c>
      <c r="J2975" s="31">
        <f>IF(COUNTIFS(Addendum!C:C,A2975,Addendum!D:D,IF(ISNUMBER(B2975),TEXT(B2975,"0000"),B2975),Addendum!F:F,"X")&gt;0,2.5%,0)</f>
        <v>0</v>
      </c>
      <c r="K2975" s="31">
        <f>IF(COUNTIFS(Addendum!C:C,A2975,Addendum!D:D,IF(ISNUMBER(B2975),TEXT(B2975,"0000"),B2975),Addendum!G:G,"X")&gt;0,7%,0)</f>
        <v>0</v>
      </c>
      <c r="L2975" s="31">
        <f>IF(COUNTIFS(Addendum!C:C,A2975,Addendum!D:D,IF(ISNUMBER(B2975),TEXT(B2975,"0000"),B2975),Addendum!I:I,"X")&gt;0,10%,0)</f>
        <v>0</v>
      </c>
      <c r="M2975" s="34">
        <f t="shared" si="92"/>
        <v>0</v>
      </c>
      <c r="N2975" s="17">
        <f t="shared" si="93"/>
        <v>16783.2</v>
      </c>
    </row>
    <row r="2976" spans="1:14" x14ac:dyDescent="0.25">
      <c r="A2976" s="14" t="s">
        <v>2626</v>
      </c>
      <c r="B2976" s="14">
        <v>18</v>
      </c>
      <c r="C2976" s="15" t="s">
        <v>2628</v>
      </c>
      <c r="D2976" s="14" t="s">
        <v>1745</v>
      </c>
      <c r="E2976" s="14" t="s">
        <v>1747</v>
      </c>
      <c r="F2976" s="17" t="s">
        <v>2993</v>
      </c>
      <c r="G2976" s="14">
        <v>998340</v>
      </c>
      <c r="H2976" s="14">
        <v>798672</v>
      </c>
      <c r="I2976" s="31">
        <f>IF(COUNTIFS(Addendum!C:C,A2976,Addendum!D:D,IF(ISNUMBER(B2976),TEXT(B2976,"0000"),B2976),Addendum!E:E,"X")&gt;0,4%,0)</f>
        <v>0</v>
      </c>
      <c r="J2976" s="31">
        <f>IF(COUNTIFS(Addendum!C:C,A2976,Addendum!D:D,IF(ISNUMBER(B2976),TEXT(B2976,"0000"),B2976),Addendum!F:F,"X")&gt;0,2.5%,0)</f>
        <v>0</v>
      </c>
      <c r="K2976" s="31">
        <f>IF(COUNTIFS(Addendum!C:C,A2976,Addendum!D:D,IF(ISNUMBER(B2976),TEXT(B2976,"0000"),B2976),Addendum!G:G,"X")&gt;0,7%,0)</f>
        <v>0</v>
      </c>
      <c r="L2976" s="31">
        <f>IF(COUNTIFS(Addendum!C:C,A2976,Addendum!D:D,IF(ISNUMBER(B2976),TEXT(B2976,"0000"),B2976),Addendum!I:I,"X")&gt;0,10%,0)</f>
        <v>0</v>
      </c>
      <c r="M2976" s="34">
        <f t="shared" si="92"/>
        <v>0</v>
      </c>
      <c r="N2976" s="17">
        <f t="shared" si="93"/>
        <v>798672</v>
      </c>
    </row>
    <row r="2977" spans="1:14" x14ac:dyDescent="0.25">
      <c r="A2977" s="14" t="s">
        <v>2626</v>
      </c>
      <c r="B2977" s="14" t="s">
        <v>263</v>
      </c>
      <c r="C2977" s="15" t="s">
        <v>2632</v>
      </c>
      <c r="D2977" s="14" t="s">
        <v>1745</v>
      </c>
      <c r="E2977" s="14" t="s">
        <v>1746</v>
      </c>
      <c r="F2977" s="17" t="s">
        <v>2995</v>
      </c>
      <c r="G2977" s="14">
        <v>157248</v>
      </c>
      <c r="H2977" s="14">
        <v>141523.20000000001</v>
      </c>
      <c r="I2977" s="31">
        <f>IF(COUNTIFS(Addendum!C:C,A2977,Addendum!D:D,IF(ISNUMBER(B2977),TEXT(B2977,"0000"),B2977),Addendum!E:E,"X")&gt;0,4%,0)</f>
        <v>0</v>
      </c>
      <c r="J2977" s="31">
        <f>IF(COUNTIFS(Addendum!C:C,A2977,Addendum!D:D,IF(ISNUMBER(B2977),TEXT(B2977,"0000"),B2977),Addendum!F:F,"X")&gt;0,2.5%,0)</f>
        <v>0</v>
      </c>
      <c r="K2977" s="31">
        <f>IF(COUNTIFS(Addendum!C:C,A2977,Addendum!D:D,IF(ISNUMBER(B2977),TEXT(B2977,"0000"),B2977),Addendum!G:G,"X")&gt;0,7%,0)</f>
        <v>0</v>
      </c>
      <c r="L2977" s="31">
        <f>IF(COUNTIFS(Addendum!C:C,A2977,Addendum!D:D,IF(ISNUMBER(B2977),TEXT(B2977,"0000"),B2977),Addendum!I:I,"X")&gt;0,10%,0)</f>
        <v>0</v>
      </c>
      <c r="M2977" s="34">
        <f t="shared" si="92"/>
        <v>0</v>
      </c>
      <c r="N2977" s="17">
        <f t="shared" si="93"/>
        <v>141523.20000000001</v>
      </c>
    </row>
    <row r="2978" spans="1:14" x14ac:dyDescent="0.25">
      <c r="A2978" s="14" t="s">
        <v>2626</v>
      </c>
      <c r="B2978" s="14">
        <v>3</v>
      </c>
      <c r="C2978" s="15" t="s">
        <v>2631</v>
      </c>
      <c r="D2978" s="14" t="s">
        <v>1745</v>
      </c>
      <c r="E2978" s="14" t="s">
        <v>1747</v>
      </c>
      <c r="F2978" s="17" t="s">
        <v>2993</v>
      </c>
      <c r="G2978" s="14">
        <v>19980</v>
      </c>
      <c r="H2978" s="14">
        <v>15984</v>
      </c>
      <c r="I2978" s="31">
        <f>IF(COUNTIFS(Addendum!C:C,A2978,Addendum!D:D,IF(ISNUMBER(B2978),TEXT(B2978,"0000"),B2978),Addendum!E:E,"X")&gt;0,4%,0)</f>
        <v>0</v>
      </c>
      <c r="J2978" s="31">
        <f>IF(COUNTIFS(Addendum!C:C,A2978,Addendum!D:D,IF(ISNUMBER(B2978),TEXT(B2978,"0000"),B2978),Addendum!F:F,"X")&gt;0,2.5%,0)</f>
        <v>0</v>
      </c>
      <c r="K2978" s="31">
        <f>IF(COUNTIFS(Addendum!C:C,A2978,Addendum!D:D,IF(ISNUMBER(B2978),TEXT(B2978,"0000"),B2978),Addendum!G:G,"X")&gt;0,7%,0)</f>
        <v>0</v>
      </c>
      <c r="L2978" s="31">
        <f>IF(COUNTIFS(Addendum!C:C,A2978,Addendum!D:D,IF(ISNUMBER(B2978),TEXT(B2978,"0000"),B2978),Addendum!I:I,"X")&gt;0,10%,0)</f>
        <v>0</v>
      </c>
      <c r="M2978" s="34">
        <f t="shared" si="92"/>
        <v>0</v>
      </c>
      <c r="N2978" s="17">
        <f t="shared" si="93"/>
        <v>15984</v>
      </c>
    </row>
    <row r="2979" spans="1:14" x14ac:dyDescent="0.25">
      <c r="A2979" s="14" t="s">
        <v>2626</v>
      </c>
      <c r="B2979" s="14">
        <v>8</v>
      </c>
      <c r="C2979" s="15" t="s">
        <v>2627</v>
      </c>
      <c r="D2979" s="14" t="s">
        <v>1745</v>
      </c>
      <c r="E2979" s="14" t="s">
        <v>1747</v>
      </c>
      <c r="F2979" s="17" t="s">
        <v>2993</v>
      </c>
      <c r="G2979" s="14">
        <v>399360</v>
      </c>
      <c r="H2979" s="14">
        <v>319488</v>
      </c>
      <c r="I2979" s="31">
        <f>IF(COUNTIFS(Addendum!C:C,A2979,Addendum!D:D,IF(ISNUMBER(B2979),TEXT(B2979,"0000"),B2979),Addendum!E:E,"X")&gt;0,4%,0)</f>
        <v>0</v>
      </c>
      <c r="J2979" s="31">
        <f>IF(COUNTIFS(Addendum!C:C,A2979,Addendum!D:D,IF(ISNUMBER(B2979),TEXT(B2979,"0000"),B2979),Addendum!F:F,"X")&gt;0,2.5%,0)</f>
        <v>0</v>
      </c>
      <c r="K2979" s="31">
        <f>IF(COUNTIFS(Addendum!C:C,A2979,Addendum!D:D,IF(ISNUMBER(B2979),TEXT(B2979,"0000"),B2979),Addendum!G:G,"X")&gt;0,7%,0)</f>
        <v>0</v>
      </c>
      <c r="L2979" s="31">
        <f>IF(COUNTIFS(Addendum!C:C,A2979,Addendum!D:D,IF(ISNUMBER(B2979),TEXT(B2979,"0000"),B2979),Addendum!I:I,"X")&gt;0,10%,0)</f>
        <v>0</v>
      </c>
      <c r="M2979" s="34">
        <f t="shared" si="92"/>
        <v>0</v>
      </c>
      <c r="N2979" s="17">
        <f t="shared" si="93"/>
        <v>319488</v>
      </c>
    </row>
    <row r="2980" spans="1:14" x14ac:dyDescent="0.25">
      <c r="A2980" s="14" t="s">
        <v>2626</v>
      </c>
      <c r="B2980" s="14" t="s">
        <v>317</v>
      </c>
      <c r="C2980" s="15" t="s">
        <v>2633</v>
      </c>
      <c r="D2980" s="14" t="s">
        <v>1745</v>
      </c>
      <c r="E2980" s="14" t="s">
        <v>1746</v>
      </c>
      <c r="F2980" s="17" t="s">
        <v>2993</v>
      </c>
      <c r="G2980" s="14">
        <v>838593</v>
      </c>
      <c r="H2980" s="14">
        <v>670874.4</v>
      </c>
      <c r="I2980" s="31">
        <f>IF(COUNTIFS(Addendum!C:C,A2980,Addendum!D:D,IF(ISNUMBER(B2980),TEXT(B2980,"0000"),B2980),Addendum!E:E,"X")&gt;0,4%,0)</f>
        <v>0</v>
      </c>
      <c r="J2980" s="31">
        <f>IF(COUNTIFS(Addendum!C:C,A2980,Addendum!D:D,IF(ISNUMBER(B2980),TEXT(B2980,"0000"),B2980),Addendum!F:F,"X")&gt;0,2.5%,0)</f>
        <v>0</v>
      </c>
      <c r="K2980" s="31">
        <f>IF(COUNTIFS(Addendum!C:C,A2980,Addendum!D:D,IF(ISNUMBER(B2980),TEXT(B2980,"0000"),B2980),Addendum!G:G,"X")&gt;0,7%,0)</f>
        <v>0</v>
      </c>
      <c r="L2980" s="31">
        <f>IF(COUNTIFS(Addendum!C:C,A2980,Addendum!D:D,IF(ISNUMBER(B2980),TEXT(B2980,"0000"),B2980),Addendum!I:I,"X")&gt;0,10%,0)</f>
        <v>0</v>
      </c>
      <c r="M2980" s="34">
        <f t="shared" si="92"/>
        <v>0</v>
      </c>
      <c r="N2980" s="17">
        <f t="shared" si="93"/>
        <v>670874.4</v>
      </c>
    </row>
    <row r="2981" spans="1:14" x14ac:dyDescent="0.25">
      <c r="A2981" s="14" t="s">
        <v>2626</v>
      </c>
      <c r="B2981" s="14" t="s">
        <v>583</v>
      </c>
      <c r="C2981" s="15" t="s">
        <v>2634</v>
      </c>
      <c r="D2981" s="14" t="s">
        <v>1745</v>
      </c>
      <c r="E2981" s="14" t="s">
        <v>1746</v>
      </c>
      <c r="F2981" s="17" t="s">
        <v>2993</v>
      </c>
      <c r="G2981" s="14">
        <v>628929</v>
      </c>
      <c r="H2981" s="14">
        <v>503143.2</v>
      </c>
      <c r="I2981" s="31">
        <f>IF(COUNTIFS(Addendum!C:C,A2981,Addendum!D:D,IF(ISNUMBER(B2981),TEXT(B2981,"0000"),B2981),Addendum!E:E,"X")&gt;0,4%,0)</f>
        <v>0</v>
      </c>
      <c r="J2981" s="31">
        <f>IF(COUNTIFS(Addendum!C:C,A2981,Addendum!D:D,IF(ISNUMBER(B2981),TEXT(B2981,"0000"),B2981),Addendum!F:F,"X")&gt;0,2.5%,0)</f>
        <v>0</v>
      </c>
      <c r="K2981" s="31">
        <f>IF(COUNTIFS(Addendum!C:C,A2981,Addendum!D:D,IF(ISNUMBER(B2981),TEXT(B2981,"0000"),B2981),Addendum!G:G,"X")&gt;0,7%,0)</f>
        <v>0</v>
      </c>
      <c r="L2981" s="31">
        <f>IF(COUNTIFS(Addendum!C:C,A2981,Addendum!D:D,IF(ISNUMBER(B2981),TEXT(B2981,"0000"),B2981),Addendum!I:I,"X")&gt;0,10%,0)</f>
        <v>0</v>
      </c>
      <c r="M2981" s="34">
        <f t="shared" si="92"/>
        <v>0</v>
      </c>
      <c r="N2981" s="17">
        <f t="shared" si="93"/>
        <v>503143.2</v>
      </c>
    </row>
    <row r="2982" spans="1:14" x14ac:dyDescent="0.25">
      <c r="A2982" s="14" t="s">
        <v>2626</v>
      </c>
      <c r="B2982" s="14">
        <v>18</v>
      </c>
      <c r="C2982" s="15" t="s">
        <v>2628</v>
      </c>
      <c r="D2982" s="14" t="s">
        <v>1745</v>
      </c>
      <c r="E2982" s="14" t="s">
        <v>1746</v>
      </c>
      <c r="F2982" s="17" t="s">
        <v>2993</v>
      </c>
      <c r="G2982" s="14">
        <v>1048257</v>
      </c>
      <c r="H2982" s="14">
        <v>838605.6</v>
      </c>
      <c r="I2982" s="31">
        <f>IF(COUNTIFS(Addendum!C:C,A2982,Addendum!D:D,IF(ISNUMBER(B2982),TEXT(B2982,"0000"),B2982),Addendum!E:E,"X")&gt;0,4%,0)</f>
        <v>0</v>
      </c>
      <c r="J2982" s="31">
        <f>IF(COUNTIFS(Addendum!C:C,A2982,Addendum!D:D,IF(ISNUMBER(B2982),TEXT(B2982,"0000"),B2982),Addendum!F:F,"X")&gt;0,2.5%,0)</f>
        <v>0</v>
      </c>
      <c r="K2982" s="31">
        <f>IF(COUNTIFS(Addendum!C:C,A2982,Addendum!D:D,IF(ISNUMBER(B2982),TEXT(B2982,"0000"),B2982),Addendum!G:G,"X")&gt;0,7%,0)</f>
        <v>0</v>
      </c>
      <c r="L2982" s="31">
        <f>IF(COUNTIFS(Addendum!C:C,A2982,Addendum!D:D,IF(ISNUMBER(B2982),TEXT(B2982,"0000"),B2982),Addendum!I:I,"X")&gt;0,10%,0)</f>
        <v>0</v>
      </c>
      <c r="M2982" s="34">
        <f t="shared" si="92"/>
        <v>0</v>
      </c>
      <c r="N2982" s="17">
        <f t="shared" si="93"/>
        <v>838605.6</v>
      </c>
    </row>
    <row r="2983" spans="1:14" x14ac:dyDescent="0.25">
      <c r="A2983" s="14" t="s">
        <v>2626</v>
      </c>
      <c r="B2983" s="14" t="s">
        <v>608</v>
      </c>
      <c r="C2983" s="15" t="s">
        <v>2635</v>
      </c>
      <c r="D2983" s="14" t="s">
        <v>1745</v>
      </c>
      <c r="E2983" s="14" t="s">
        <v>1747</v>
      </c>
      <c r="F2983" s="17" t="s">
        <v>2995</v>
      </c>
      <c r="G2983" s="14">
        <v>199680</v>
      </c>
      <c r="H2983" s="14">
        <v>179712</v>
      </c>
      <c r="I2983" s="31">
        <f>IF(COUNTIFS(Addendum!C:C,A2983,Addendum!D:D,IF(ISNUMBER(B2983),TEXT(B2983,"0000"),B2983),Addendum!E:E,"X")&gt;0,4%,0)</f>
        <v>0</v>
      </c>
      <c r="J2983" s="31">
        <f>IF(COUNTIFS(Addendum!C:C,A2983,Addendum!D:D,IF(ISNUMBER(B2983),TEXT(B2983,"0000"),B2983),Addendum!F:F,"X")&gt;0,2.5%,0)</f>
        <v>0</v>
      </c>
      <c r="K2983" s="31">
        <f>IF(COUNTIFS(Addendum!C:C,A2983,Addendum!D:D,IF(ISNUMBER(B2983),TEXT(B2983,"0000"),B2983),Addendum!G:G,"X")&gt;0,7%,0)</f>
        <v>0</v>
      </c>
      <c r="L2983" s="31">
        <f>IF(COUNTIFS(Addendum!C:C,A2983,Addendum!D:D,IF(ISNUMBER(B2983),TEXT(B2983,"0000"),B2983),Addendum!I:I,"X")&gt;0,10%,0)</f>
        <v>0</v>
      </c>
      <c r="M2983" s="34">
        <f t="shared" si="92"/>
        <v>0</v>
      </c>
      <c r="N2983" s="17">
        <f t="shared" si="93"/>
        <v>179712</v>
      </c>
    </row>
    <row r="2984" spans="1:14" x14ac:dyDescent="0.25">
      <c r="A2984" s="14" t="s">
        <v>2626</v>
      </c>
      <c r="B2984" s="14">
        <v>5</v>
      </c>
      <c r="C2984" s="15" t="s">
        <v>2636</v>
      </c>
      <c r="D2984" s="14" t="s">
        <v>1749</v>
      </c>
      <c r="E2984" s="14" t="s">
        <v>1746</v>
      </c>
      <c r="F2984" s="17" t="s">
        <v>2995</v>
      </c>
      <c r="G2984" s="14">
        <v>2496</v>
      </c>
      <c r="H2984" s="14">
        <v>2246.4</v>
      </c>
      <c r="I2984" s="31">
        <f>IF(COUNTIFS(Addendum!C:C,A2984,Addendum!D:D,IF(ISNUMBER(B2984),TEXT(B2984,"0000"),B2984),Addendum!E:E,"X")&gt;0,4%,0)</f>
        <v>0</v>
      </c>
      <c r="J2984" s="31">
        <f>IF(COUNTIFS(Addendum!C:C,A2984,Addendum!D:D,IF(ISNUMBER(B2984),TEXT(B2984,"0000"),B2984),Addendum!F:F,"X")&gt;0,2.5%,0)</f>
        <v>0</v>
      </c>
      <c r="K2984" s="31">
        <f>IF(COUNTIFS(Addendum!C:C,A2984,Addendum!D:D,IF(ISNUMBER(B2984),TEXT(B2984,"0000"),B2984),Addendum!G:G,"X")&gt;0,7%,0)</f>
        <v>0</v>
      </c>
      <c r="L2984" s="31">
        <f>IF(COUNTIFS(Addendum!C:C,A2984,Addendum!D:D,IF(ISNUMBER(B2984),TEXT(B2984,"0000"),B2984),Addendum!I:I,"X")&gt;0,10%,0)</f>
        <v>0</v>
      </c>
      <c r="M2984" s="34">
        <f t="shared" si="92"/>
        <v>0</v>
      </c>
      <c r="N2984" s="17">
        <f t="shared" si="93"/>
        <v>2246.4</v>
      </c>
    </row>
    <row r="2985" spans="1:14" x14ac:dyDescent="0.25">
      <c r="A2985" s="14" t="s">
        <v>2626</v>
      </c>
      <c r="B2985" s="14">
        <v>5</v>
      </c>
      <c r="C2985" s="15" t="s">
        <v>2636</v>
      </c>
      <c r="D2985" s="14" t="s">
        <v>1745</v>
      </c>
      <c r="E2985" s="14" t="s">
        <v>1746</v>
      </c>
      <c r="F2985" s="17" t="s">
        <v>2995</v>
      </c>
      <c r="G2985" s="14">
        <v>26208</v>
      </c>
      <c r="H2985" s="14">
        <v>23587.200000000001</v>
      </c>
      <c r="I2985" s="31">
        <f>IF(COUNTIFS(Addendum!C:C,A2985,Addendum!D:D,IF(ISNUMBER(B2985),TEXT(B2985,"0000"),B2985),Addendum!E:E,"X")&gt;0,4%,0)</f>
        <v>0</v>
      </c>
      <c r="J2985" s="31">
        <f>IF(COUNTIFS(Addendum!C:C,A2985,Addendum!D:D,IF(ISNUMBER(B2985),TEXT(B2985,"0000"),B2985),Addendum!F:F,"X")&gt;0,2.5%,0)</f>
        <v>0</v>
      </c>
      <c r="K2985" s="31">
        <f>IF(COUNTIFS(Addendum!C:C,A2985,Addendum!D:D,IF(ISNUMBER(B2985),TEXT(B2985,"0000"),B2985),Addendum!G:G,"X")&gt;0,7%,0)</f>
        <v>0</v>
      </c>
      <c r="L2985" s="31">
        <f>IF(COUNTIFS(Addendum!C:C,A2985,Addendum!D:D,IF(ISNUMBER(B2985),TEXT(B2985,"0000"),B2985),Addendum!I:I,"X")&gt;0,10%,0)</f>
        <v>0</v>
      </c>
      <c r="M2985" s="34">
        <f t="shared" si="92"/>
        <v>0</v>
      </c>
      <c r="N2985" s="17">
        <f t="shared" si="93"/>
        <v>23587.200000000001</v>
      </c>
    </row>
    <row r="2986" spans="1:14" x14ac:dyDescent="0.25">
      <c r="A2986" s="14" t="s">
        <v>2626</v>
      </c>
      <c r="B2986" s="14">
        <v>14</v>
      </c>
      <c r="C2986" s="15" t="s">
        <v>2637</v>
      </c>
      <c r="D2986" s="14" t="s">
        <v>1749</v>
      </c>
      <c r="E2986" s="14" t="s">
        <v>1746</v>
      </c>
      <c r="F2986" s="17" t="s">
        <v>2993</v>
      </c>
      <c r="G2986" s="14">
        <v>119802</v>
      </c>
      <c r="H2986" s="14">
        <v>95841.600000000006</v>
      </c>
      <c r="I2986" s="31">
        <f>IF(COUNTIFS(Addendum!C:C,A2986,Addendum!D:D,IF(ISNUMBER(B2986),TEXT(B2986,"0000"),B2986),Addendum!E:E,"X")&gt;0,4%,0)</f>
        <v>0</v>
      </c>
      <c r="J2986" s="31">
        <f>IF(COUNTIFS(Addendum!C:C,A2986,Addendum!D:D,IF(ISNUMBER(B2986),TEXT(B2986,"0000"),B2986),Addendum!F:F,"X")&gt;0,2.5%,0)</f>
        <v>0</v>
      </c>
      <c r="K2986" s="31">
        <f>IF(COUNTIFS(Addendum!C:C,A2986,Addendum!D:D,IF(ISNUMBER(B2986),TEXT(B2986,"0000"),B2986),Addendum!G:G,"X")&gt;0,7%,0)</f>
        <v>0</v>
      </c>
      <c r="L2986" s="31">
        <f>IF(COUNTIFS(Addendum!C:C,A2986,Addendum!D:D,IF(ISNUMBER(B2986),TEXT(B2986,"0000"),B2986),Addendum!I:I,"X")&gt;0,10%,0)</f>
        <v>0</v>
      </c>
      <c r="M2986" s="34">
        <f t="shared" si="92"/>
        <v>0</v>
      </c>
      <c r="N2986" s="17">
        <f t="shared" si="93"/>
        <v>95841.600000000006</v>
      </c>
    </row>
    <row r="2987" spans="1:14" x14ac:dyDescent="0.25">
      <c r="A2987" s="14" t="s">
        <v>2626</v>
      </c>
      <c r="B2987" s="14">
        <v>7</v>
      </c>
      <c r="C2987" s="15" t="s">
        <v>2638</v>
      </c>
      <c r="D2987" s="14" t="s">
        <v>1745</v>
      </c>
      <c r="E2987" s="14" t="s">
        <v>1746</v>
      </c>
      <c r="F2987" s="17" t="s">
        <v>2993</v>
      </c>
      <c r="G2987" s="14">
        <v>209664</v>
      </c>
      <c r="H2987" s="14">
        <v>167731.20000000001</v>
      </c>
      <c r="I2987" s="31">
        <f>IF(COUNTIFS(Addendum!C:C,A2987,Addendum!D:D,IF(ISNUMBER(B2987),TEXT(B2987,"0000"),B2987),Addendum!E:E,"X")&gt;0,4%,0)</f>
        <v>0</v>
      </c>
      <c r="J2987" s="31">
        <f>IF(COUNTIFS(Addendum!C:C,A2987,Addendum!D:D,IF(ISNUMBER(B2987),TEXT(B2987,"0000"),B2987),Addendum!F:F,"X")&gt;0,2.5%,0)</f>
        <v>0</v>
      </c>
      <c r="K2987" s="31">
        <f>IF(COUNTIFS(Addendum!C:C,A2987,Addendum!D:D,IF(ISNUMBER(B2987),TEXT(B2987,"0000"),B2987),Addendum!G:G,"X")&gt;0,7%,0)</f>
        <v>0</v>
      </c>
      <c r="L2987" s="31">
        <f>IF(COUNTIFS(Addendum!C:C,A2987,Addendum!D:D,IF(ISNUMBER(B2987),TEXT(B2987,"0000"),B2987),Addendum!I:I,"X")&gt;0,10%,0)</f>
        <v>0</v>
      </c>
      <c r="M2987" s="34">
        <f t="shared" si="92"/>
        <v>0</v>
      </c>
      <c r="N2987" s="17">
        <f t="shared" si="93"/>
        <v>167731.20000000001</v>
      </c>
    </row>
    <row r="2988" spans="1:14" x14ac:dyDescent="0.25">
      <c r="A2988" s="14" t="s">
        <v>2626</v>
      </c>
      <c r="B2988" s="14">
        <v>3</v>
      </c>
      <c r="C2988" s="15" t="s">
        <v>2631</v>
      </c>
      <c r="D2988" s="14" t="s">
        <v>1749</v>
      </c>
      <c r="E2988" s="14" t="s">
        <v>1746</v>
      </c>
      <c r="F2988" s="17" t="s">
        <v>2993</v>
      </c>
      <c r="G2988" s="14">
        <v>1998</v>
      </c>
      <c r="H2988" s="14">
        <v>1598.4</v>
      </c>
      <c r="I2988" s="31">
        <f>IF(COUNTIFS(Addendum!C:C,A2988,Addendum!D:D,IF(ISNUMBER(B2988),TEXT(B2988,"0000"),B2988),Addendum!E:E,"X")&gt;0,4%,0)</f>
        <v>0</v>
      </c>
      <c r="J2988" s="31">
        <f>IF(COUNTIFS(Addendum!C:C,A2988,Addendum!D:D,IF(ISNUMBER(B2988),TEXT(B2988,"0000"),B2988),Addendum!F:F,"X")&gt;0,2.5%,0)</f>
        <v>0</v>
      </c>
      <c r="K2988" s="31">
        <f>IF(COUNTIFS(Addendum!C:C,A2988,Addendum!D:D,IF(ISNUMBER(B2988),TEXT(B2988,"0000"),B2988),Addendum!G:G,"X")&gt;0,7%,0)</f>
        <v>0</v>
      </c>
      <c r="L2988" s="31">
        <f>IF(COUNTIFS(Addendum!C:C,A2988,Addendum!D:D,IF(ISNUMBER(B2988),TEXT(B2988,"0000"),B2988),Addendum!I:I,"X")&gt;0,10%,0)</f>
        <v>0</v>
      </c>
      <c r="M2988" s="34">
        <f t="shared" si="92"/>
        <v>0</v>
      </c>
      <c r="N2988" s="17">
        <f t="shared" si="93"/>
        <v>1598.4</v>
      </c>
    </row>
    <row r="2989" spans="1:14" x14ac:dyDescent="0.25">
      <c r="A2989" s="14" t="s">
        <v>2626</v>
      </c>
      <c r="B2989" s="14">
        <v>2</v>
      </c>
      <c r="C2989" s="15" t="s">
        <v>2639</v>
      </c>
      <c r="D2989" s="14" t="s">
        <v>1745</v>
      </c>
      <c r="E2989" s="14" t="s">
        <v>1747</v>
      </c>
      <c r="F2989" s="17" t="s">
        <v>2995</v>
      </c>
      <c r="G2989" s="14">
        <v>4980</v>
      </c>
      <c r="H2989" s="14">
        <v>4482</v>
      </c>
      <c r="I2989" s="31">
        <f>IF(COUNTIFS(Addendum!C:C,A2989,Addendum!D:D,IF(ISNUMBER(B2989),TEXT(B2989,"0000"),B2989),Addendum!E:E,"X")&gt;0,4%,0)</f>
        <v>0</v>
      </c>
      <c r="J2989" s="31">
        <f>IF(COUNTIFS(Addendum!C:C,A2989,Addendum!D:D,IF(ISNUMBER(B2989),TEXT(B2989,"0000"),B2989),Addendum!F:F,"X")&gt;0,2.5%,0)</f>
        <v>0</v>
      </c>
      <c r="K2989" s="31">
        <f>IF(COUNTIFS(Addendum!C:C,A2989,Addendum!D:D,IF(ISNUMBER(B2989),TEXT(B2989,"0000"),B2989),Addendum!G:G,"X")&gt;0,7%,0)</f>
        <v>0</v>
      </c>
      <c r="L2989" s="31">
        <f>IF(COUNTIFS(Addendum!C:C,A2989,Addendum!D:D,IF(ISNUMBER(B2989),TEXT(B2989,"0000"),B2989),Addendum!I:I,"X")&gt;0,10%,0)</f>
        <v>0</v>
      </c>
      <c r="M2989" s="34">
        <f t="shared" si="92"/>
        <v>0</v>
      </c>
      <c r="N2989" s="17">
        <f t="shared" si="93"/>
        <v>4482</v>
      </c>
    </row>
    <row r="2990" spans="1:14" x14ac:dyDescent="0.25">
      <c r="A2990" s="14" t="s">
        <v>2626</v>
      </c>
      <c r="B2990" s="14">
        <v>17</v>
      </c>
      <c r="C2990" s="15" t="s">
        <v>2629</v>
      </c>
      <c r="D2990" s="14" t="s">
        <v>1745</v>
      </c>
      <c r="E2990" s="14" t="s">
        <v>1746</v>
      </c>
      <c r="F2990" s="17" t="s">
        <v>2995</v>
      </c>
      <c r="G2990" s="14">
        <v>262080</v>
      </c>
      <c r="H2990" s="14">
        <v>235872</v>
      </c>
      <c r="I2990" s="31">
        <f>IF(COUNTIFS(Addendum!C:C,A2990,Addendum!D:D,IF(ISNUMBER(B2990),TEXT(B2990,"0000"),B2990),Addendum!E:E,"X")&gt;0,4%,0)</f>
        <v>0</v>
      </c>
      <c r="J2990" s="31">
        <f>IF(COUNTIFS(Addendum!C:C,A2990,Addendum!D:D,IF(ISNUMBER(B2990),TEXT(B2990,"0000"),B2990),Addendum!F:F,"X")&gt;0,2.5%,0)</f>
        <v>0</v>
      </c>
      <c r="K2990" s="31">
        <f>IF(COUNTIFS(Addendum!C:C,A2990,Addendum!D:D,IF(ISNUMBER(B2990),TEXT(B2990,"0000"),B2990),Addendum!G:G,"X")&gt;0,7%,0)</f>
        <v>0</v>
      </c>
      <c r="L2990" s="31">
        <f>IF(COUNTIFS(Addendum!C:C,A2990,Addendum!D:D,IF(ISNUMBER(B2990),TEXT(B2990,"0000"),B2990),Addendum!I:I,"X")&gt;0,10%,0)</f>
        <v>0</v>
      </c>
      <c r="M2990" s="34">
        <f t="shared" si="92"/>
        <v>0</v>
      </c>
      <c r="N2990" s="17">
        <f t="shared" si="93"/>
        <v>235872</v>
      </c>
    </row>
    <row r="2991" spans="1:14" x14ac:dyDescent="0.25">
      <c r="A2991" s="14" t="s">
        <v>2626</v>
      </c>
      <c r="B2991" s="14" t="s">
        <v>317</v>
      </c>
      <c r="C2991" s="15" t="s">
        <v>2633</v>
      </c>
      <c r="D2991" s="14" t="s">
        <v>1749</v>
      </c>
      <c r="E2991" s="14" t="s">
        <v>1746</v>
      </c>
      <c r="F2991" s="17" t="s">
        <v>2993</v>
      </c>
      <c r="G2991" s="14">
        <v>79866</v>
      </c>
      <c r="H2991" s="14">
        <v>63892.800000000003</v>
      </c>
      <c r="I2991" s="31">
        <f>IF(COUNTIFS(Addendum!C:C,A2991,Addendum!D:D,IF(ISNUMBER(B2991),TEXT(B2991,"0000"),B2991),Addendum!E:E,"X")&gt;0,4%,0)</f>
        <v>0</v>
      </c>
      <c r="J2991" s="31">
        <f>IF(COUNTIFS(Addendum!C:C,A2991,Addendum!D:D,IF(ISNUMBER(B2991),TEXT(B2991,"0000"),B2991),Addendum!F:F,"X")&gt;0,2.5%,0)</f>
        <v>0</v>
      </c>
      <c r="K2991" s="31">
        <f>IF(COUNTIFS(Addendum!C:C,A2991,Addendum!D:D,IF(ISNUMBER(B2991),TEXT(B2991,"0000"),B2991),Addendum!G:G,"X")&gt;0,7%,0)</f>
        <v>0</v>
      </c>
      <c r="L2991" s="31">
        <f>IF(COUNTIFS(Addendum!C:C,A2991,Addendum!D:D,IF(ISNUMBER(B2991),TEXT(B2991,"0000"),B2991),Addendum!I:I,"X")&gt;0,10%,0)</f>
        <v>0</v>
      </c>
      <c r="M2991" s="34">
        <f t="shared" si="92"/>
        <v>0</v>
      </c>
      <c r="N2991" s="17">
        <f t="shared" si="93"/>
        <v>63892.800000000003</v>
      </c>
    </row>
    <row r="2992" spans="1:14" x14ac:dyDescent="0.25">
      <c r="A2992" s="14" t="s">
        <v>2626</v>
      </c>
      <c r="B2992" s="14">
        <v>1</v>
      </c>
      <c r="C2992" s="15" t="s">
        <v>2630</v>
      </c>
      <c r="D2992" s="14" t="s">
        <v>1745</v>
      </c>
      <c r="E2992" s="14" t="s">
        <v>1747</v>
      </c>
      <c r="F2992" s="17" t="s">
        <v>2993</v>
      </c>
      <c r="G2992" s="14">
        <v>99840</v>
      </c>
      <c r="H2992" s="14">
        <v>79872</v>
      </c>
      <c r="I2992" s="31">
        <f>IF(COUNTIFS(Addendum!C:C,A2992,Addendum!D:D,IF(ISNUMBER(B2992),TEXT(B2992,"0000"),B2992),Addendum!E:E,"X")&gt;0,4%,0)</f>
        <v>0</v>
      </c>
      <c r="J2992" s="31">
        <f>IF(COUNTIFS(Addendum!C:C,A2992,Addendum!D:D,IF(ISNUMBER(B2992),TEXT(B2992,"0000"),B2992),Addendum!F:F,"X")&gt;0,2.5%,0)</f>
        <v>0</v>
      </c>
      <c r="K2992" s="31">
        <f>IF(COUNTIFS(Addendum!C:C,A2992,Addendum!D:D,IF(ISNUMBER(B2992),TEXT(B2992,"0000"),B2992),Addendum!G:G,"X")&gt;0,7%,0)</f>
        <v>0</v>
      </c>
      <c r="L2992" s="31">
        <f>IF(COUNTIFS(Addendum!C:C,A2992,Addendum!D:D,IF(ISNUMBER(B2992),TEXT(B2992,"0000"),B2992),Addendum!I:I,"X")&gt;0,10%,0)</f>
        <v>0</v>
      </c>
      <c r="M2992" s="34">
        <f t="shared" si="92"/>
        <v>0</v>
      </c>
      <c r="N2992" s="17">
        <f t="shared" si="93"/>
        <v>79872</v>
      </c>
    </row>
    <row r="2993" spans="1:14" x14ac:dyDescent="0.25">
      <c r="A2993" s="14" t="s">
        <v>2626</v>
      </c>
      <c r="B2993" s="14">
        <v>5</v>
      </c>
      <c r="C2993" s="15" t="s">
        <v>2636</v>
      </c>
      <c r="D2993" s="14" t="s">
        <v>1745</v>
      </c>
      <c r="E2993" s="14" t="s">
        <v>1747</v>
      </c>
      <c r="F2993" s="17" t="s">
        <v>2995</v>
      </c>
      <c r="G2993" s="14">
        <v>24960</v>
      </c>
      <c r="H2993" s="14">
        <v>22464</v>
      </c>
      <c r="I2993" s="31">
        <f>IF(COUNTIFS(Addendum!C:C,A2993,Addendum!D:D,IF(ISNUMBER(B2993),TEXT(B2993,"0000"),B2993),Addendum!E:E,"X")&gt;0,4%,0)</f>
        <v>0</v>
      </c>
      <c r="J2993" s="31">
        <f>IF(COUNTIFS(Addendum!C:C,A2993,Addendum!D:D,IF(ISNUMBER(B2993),TEXT(B2993,"0000"),B2993),Addendum!F:F,"X")&gt;0,2.5%,0)</f>
        <v>0</v>
      </c>
      <c r="K2993" s="31">
        <f>IF(COUNTIFS(Addendum!C:C,A2993,Addendum!D:D,IF(ISNUMBER(B2993),TEXT(B2993,"0000"),B2993),Addendum!G:G,"X")&gt;0,7%,0)</f>
        <v>0</v>
      </c>
      <c r="L2993" s="31">
        <f>IF(COUNTIFS(Addendum!C:C,A2993,Addendum!D:D,IF(ISNUMBER(B2993),TEXT(B2993,"0000"),B2993),Addendum!I:I,"X")&gt;0,10%,0)</f>
        <v>0</v>
      </c>
      <c r="M2993" s="34">
        <f t="shared" si="92"/>
        <v>0</v>
      </c>
      <c r="N2993" s="17">
        <f t="shared" si="93"/>
        <v>22464</v>
      </c>
    </row>
    <row r="2994" spans="1:14" x14ac:dyDescent="0.25">
      <c r="A2994" s="14" t="s">
        <v>2626</v>
      </c>
      <c r="B2994" s="14">
        <v>7</v>
      </c>
      <c r="C2994" s="15" t="s">
        <v>2638</v>
      </c>
      <c r="D2994" s="14" t="s">
        <v>1745</v>
      </c>
      <c r="E2994" s="14" t="s">
        <v>1747</v>
      </c>
      <c r="F2994" s="17" t="s">
        <v>2993</v>
      </c>
      <c r="G2994" s="14">
        <v>199680</v>
      </c>
      <c r="H2994" s="14">
        <v>159744</v>
      </c>
      <c r="I2994" s="31">
        <f>IF(COUNTIFS(Addendum!C:C,A2994,Addendum!D:D,IF(ISNUMBER(B2994),TEXT(B2994,"0000"),B2994),Addendum!E:E,"X")&gt;0,4%,0)</f>
        <v>0</v>
      </c>
      <c r="J2994" s="31">
        <f>IF(COUNTIFS(Addendum!C:C,A2994,Addendum!D:D,IF(ISNUMBER(B2994),TEXT(B2994,"0000"),B2994),Addendum!F:F,"X")&gt;0,2.5%,0)</f>
        <v>0</v>
      </c>
      <c r="K2994" s="31">
        <f>IF(COUNTIFS(Addendum!C:C,A2994,Addendum!D:D,IF(ISNUMBER(B2994),TEXT(B2994,"0000"),B2994),Addendum!G:G,"X")&gt;0,7%,0)</f>
        <v>0</v>
      </c>
      <c r="L2994" s="31">
        <f>IF(COUNTIFS(Addendum!C:C,A2994,Addendum!D:D,IF(ISNUMBER(B2994),TEXT(B2994,"0000"),B2994),Addendum!I:I,"X")&gt;0,10%,0)</f>
        <v>0</v>
      </c>
      <c r="M2994" s="34">
        <f t="shared" si="92"/>
        <v>0</v>
      </c>
      <c r="N2994" s="17">
        <f t="shared" si="93"/>
        <v>159744</v>
      </c>
    </row>
    <row r="2995" spans="1:14" x14ac:dyDescent="0.25">
      <c r="A2995" s="14" t="s">
        <v>2626</v>
      </c>
      <c r="B2995" s="14">
        <v>2</v>
      </c>
      <c r="C2995" s="15" t="s">
        <v>2639</v>
      </c>
      <c r="D2995" s="14" t="s">
        <v>1749</v>
      </c>
      <c r="E2995" s="14" t="s">
        <v>1746</v>
      </c>
      <c r="F2995" s="17" t="s">
        <v>2995</v>
      </c>
      <c r="G2995" s="14">
        <v>498</v>
      </c>
      <c r="H2995" s="14">
        <v>448.2</v>
      </c>
      <c r="I2995" s="31">
        <f>IF(COUNTIFS(Addendum!C:C,A2995,Addendum!D:D,IF(ISNUMBER(B2995),TEXT(B2995,"0000"),B2995),Addendum!E:E,"X")&gt;0,4%,0)</f>
        <v>0</v>
      </c>
      <c r="J2995" s="31">
        <f>IF(COUNTIFS(Addendum!C:C,A2995,Addendum!D:D,IF(ISNUMBER(B2995),TEXT(B2995,"0000"),B2995),Addendum!F:F,"X")&gt;0,2.5%,0)</f>
        <v>0</v>
      </c>
      <c r="K2995" s="31">
        <f>IF(COUNTIFS(Addendum!C:C,A2995,Addendum!D:D,IF(ISNUMBER(B2995),TEXT(B2995,"0000"),B2995),Addendum!G:G,"X")&gt;0,7%,0)</f>
        <v>0</v>
      </c>
      <c r="L2995" s="31">
        <f>IF(COUNTIFS(Addendum!C:C,A2995,Addendum!D:D,IF(ISNUMBER(B2995),TEXT(B2995,"0000"),B2995),Addendum!I:I,"X")&gt;0,10%,0)</f>
        <v>0</v>
      </c>
      <c r="M2995" s="34">
        <f t="shared" si="92"/>
        <v>0</v>
      </c>
      <c r="N2995" s="17">
        <f t="shared" si="93"/>
        <v>448.2</v>
      </c>
    </row>
    <row r="2996" spans="1:14" x14ac:dyDescent="0.25">
      <c r="A2996" s="14" t="s">
        <v>2626</v>
      </c>
      <c r="B2996" s="14" t="s">
        <v>263</v>
      </c>
      <c r="C2996" s="15" t="s">
        <v>2632</v>
      </c>
      <c r="D2996" s="14" t="s">
        <v>1745</v>
      </c>
      <c r="E2996" s="14" t="s">
        <v>1747</v>
      </c>
      <c r="F2996" s="17" t="s">
        <v>2995</v>
      </c>
      <c r="G2996" s="14">
        <v>149760</v>
      </c>
      <c r="H2996" s="14">
        <v>134784</v>
      </c>
      <c r="I2996" s="31">
        <f>IF(COUNTIFS(Addendum!C:C,A2996,Addendum!D:D,IF(ISNUMBER(B2996),TEXT(B2996,"0000"),B2996),Addendum!E:E,"X")&gt;0,4%,0)</f>
        <v>0</v>
      </c>
      <c r="J2996" s="31">
        <f>IF(COUNTIFS(Addendum!C:C,A2996,Addendum!D:D,IF(ISNUMBER(B2996),TEXT(B2996,"0000"),B2996),Addendum!F:F,"X")&gt;0,2.5%,0)</f>
        <v>0</v>
      </c>
      <c r="K2996" s="31">
        <f>IF(COUNTIFS(Addendum!C:C,A2996,Addendum!D:D,IF(ISNUMBER(B2996),TEXT(B2996,"0000"),B2996),Addendum!G:G,"X")&gt;0,7%,0)</f>
        <v>0</v>
      </c>
      <c r="L2996" s="31">
        <f>IF(COUNTIFS(Addendum!C:C,A2996,Addendum!D:D,IF(ISNUMBER(B2996),TEXT(B2996,"0000"),B2996),Addendum!I:I,"X")&gt;0,10%,0)</f>
        <v>0</v>
      </c>
      <c r="M2996" s="34">
        <f t="shared" si="92"/>
        <v>0</v>
      </c>
      <c r="N2996" s="17">
        <f t="shared" si="93"/>
        <v>134784</v>
      </c>
    </row>
    <row r="2997" spans="1:14" x14ac:dyDescent="0.25">
      <c r="A2997" s="14" t="s">
        <v>2626</v>
      </c>
      <c r="B2997" s="14">
        <v>6</v>
      </c>
      <c r="C2997" s="15" t="s">
        <v>2640</v>
      </c>
      <c r="D2997" s="14" t="s">
        <v>1745</v>
      </c>
      <c r="E2997" s="14" t="s">
        <v>1747</v>
      </c>
      <c r="F2997" s="17" t="s">
        <v>2995</v>
      </c>
      <c r="G2997" s="14">
        <v>49920</v>
      </c>
      <c r="H2997" s="14">
        <v>44928</v>
      </c>
      <c r="I2997" s="31">
        <f>IF(COUNTIFS(Addendum!C:C,A2997,Addendum!D:D,IF(ISNUMBER(B2997),TEXT(B2997,"0000"),B2997),Addendum!E:E,"X")&gt;0,4%,0)</f>
        <v>0</v>
      </c>
      <c r="J2997" s="31">
        <f>IF(COUNTIFS(Addendum!C:C,A2997,Addendum!D:D,IF(ISNUMBER(B2997),TEXT(B2997,"0000"),B2997),Addendum!F:F,"X")&gt;0,2.5%,0)</f>
        <v>0</v>
      </c>
      <c r="K2997" s="31">
        <f>IF(COUNTIFS(Addendum!C:C,A2997,Addendum!D:D,IF(ISNUMBER(B2997),TEXT(B2997,"0000"),B2997),Addendum!G:G,"X")&gt;0,7%,0)</f>
        <v>0</v>
      </c>
      <c r="L2997" s="31">
        <f>IF(COUNTIFS(Addendum!C:C,A2997,Addendum!D:D,IF(ISNUMBER(B2997),TEXT(B2997,"0000"),B2997),Addendum!I:I,"X")&gt;0,10%,0)</f>
        <v>0</v>
      </c>
      <c r="M2997" s="34">
        <f t="shared" si="92"/>
        <v>0</v>
      </c>
      <c r="N2997" s="17">
        <f t="shared" si="93"/>
        <v>44928</v>
      </c>
    </row>
    <row r="2998" spans="1:14" x14ac:dyDescent="0.25">
      <c r="A2998" s="14" t="s">
        <v>2626</v>
      </c>
      <c r="B2998" s="14">
        <v>4</v>
      </c>
      <c r="C2998" s="15" t="s">
        <v>2641</v>
      </c>
      <c r="D2998" s="14" t="s">
        <v>1745</v>
      </c>
      <c r="E2998" s="14" t="s">
        <v>1747</v>
      </c>
      <c r="F2998" s="17" t="s">
        <v>2995</v>
      </c>
      <c r="G2998" s="14">
        <v>99840</v>
      </c>
      <c r="H2998" s="14">
        <v>89856</v>
      </c>
      <c r="I2998" s="31">
        <f>IF(COUNTIFS(Addendum!C:C,A2998,Addendum!D:D,IF(ISNUMBER(B2998),TEXT(B2998,"0000"),B2998),Addendum!E:E,"X")&gt;0,4%,0)</f>
        <v>0</v>
      </c>
      <c r="J2998" s="31">
        <f>IF(COUNTIFS(Addendum!C:C,A2998,Addendum!D:D,IF(ISNUMBER(B2998),TEXT(B2998,"0000"),B2998),Addendum!F:F,"X")&gt;0,2.5%,0)</f>
        <v>0</v>
      </c>
      <c r="K2998" s="31">
        <f>IF(COUNTIFS(Addendum!C:C,A2998,Addendum!D:D,IF(ISNUMBER(B2998),TEXT(B2998,"0000"),B2998),Addendum!G:G,"X")&gt;0,7%,0)</f>
        <v>0</v>
      </c>
      <c r="L2998" s="31">
        <f>IF(COUNTIFS(Addendum!C:C,A2998,Addendum!D:D,IF(ISNUMBER(B2998),TEXT(B2998,"0000"),B2998),Addendum!I:I,"X")&gt;0,10%,0)</f>
        <v>0</v>
      </c>
      <c r="M2998" s="34">
        <f t="shared" si="92"/>
        <v>0</v>
      </c>
      <c r="N2998" s="17">
        <f t="shared" si="93"/>
        <v>89856</v>
      </c>
    </row>
    <row r="2999" spans="1:14" x14ac:dyDescent="0.25">
      <c r="A2999" s="14" t="s">
        <v>2626</v>
      </c>
      <c r="B2999" s="14">
        <v>17</v>
      </c>
      <c r="C2999" s="15" t="s">
        <v>2629</v>
      </c>
      <c r="D2999" s="14" t="s">
        <v>1749</v>
      </c>
      <c r="E2999" s="14" t="s">
        <v>1746</v>
      </c>
      <c r="F2999" s="17" t="s">
        <v>2995</v>
      </c>
      <c r="G2999" s="14">
        <v>24960</v>
      </c>
      <c r="H2999" s="14">
        <v>22464</v>
      </c>
      <c r="I2999" s="31">
        <f>IF(COUNTIFS(Addendum!C:C,A2999,Addendum!D:D,IF(ISNUMBER(B2999),TEXT(B2999,"0000"),B2999),Addendum!E:E,"X")&gt;0,4%,0)</f>
        <v>0</v>
      </c>
      <c r="J2999" s="31">
        <f>IF(COUNTIFS(Addendum!C:C,A2999,Addendum!D:D,IF(ISNUMBER(B2999),TEXT(B2999,"0000"),B2999),Addendum!F:F,"X")&gt;0,2.5%,0)</f>
        <v>0</v>
      </c>
      <c r="K2999" s="31">
        <f>IF(COUNTIFS(Addendum!C:C,A2999,Addendum!D:D,IF(ISNUMBER(B2999),TEXT(B2999,"0000"),B2999),Addendum!G:G,"X")&gt;0,7%,0)</f>
        <v>0</v>
      </c>
      <c r="L2999" s="31">
        <f>IF(COUNTIFS(Addendum!C:C,A2999,Addendum!D:D,IF(ISNUMBER(B2999),TEXT(B2999,"0000"),B2999),Addendum!I:I,"X")&gt;0,10%,0)</f>
        <v>0</v>
      </c>
      <c r="M2999" s="34">
        <f t="shared" si="92"/>
        <v>0</v>
      </c>
      <c r="N2999" s="17">
        <f t="shared" si="93"/>
        <v>22464</v>
      </c>
    </row>
    <row r="3000" spans="1:14" x14ac:dyDescent="0.25">
      <c r="A3000" s="14" t="s">
        <v>2626</v>
      </c>
      <c r="B3000" s="14">
        <v>13</v>
      </c>
      <c r="C3000" s="15" t="s">
        <v>2642</v>
      </c>
      <c r="D3000" s="14" t="s">
        <v>1745</v>
      </c>
      <c r="E3000" s="14" t="s">
        <v>1746</v>
      </c>
      <c r="F3000" s="17" t="s">
        <v>2995</v>
      </c>
      <c r="G3000" s="14">
        <v>314496</v>
      </c>
      <c r="H3000" s="14">
        <v>283046.40000000002</v>
      </c>
      <c r="I3000" s="31">
        <f>IF(COUNTIFS(Addendum!C:C,A3000,Addendum!D:D,IF(ISNUMBER(B3000),TEXT(B3000,"0000"),B3000),Addendum!E:E,"X")&gt;0,4%,0)</f>
        <v>0</v>
      </c>
      <c r="J3000" s="31">
        <f>IF(COUNTIFS(Addendum!C:C,A3000,Addendum!D:D,IF(ISNUMBER(B3000),TEXT(B3000,"0000"),B3000),Addendum!F:F,"X")&gt;0,2.5%,0)</f>
        <v>0</v>
      </c>
      <c r="K3000" s="31">
        <f>IF(COUNTIFS(Addendum!C:C,A3000,Addendum!D:D,IF(ISNUMBER(B3000),TEXT(B3000,"0000"),B3000),Addendum!G:G,"X")&gt;0,7%,0)</f>
        <v>0</v>
      </c>
      <c r="L3000" s="31">
        <f>IF(COUNTIFS(Addendum!C:C,A3000,Addendum!D:D,IF(ISNUMBER(B3000),TEXT(B3000,"0000"),B3000),Addendum!I:I,"X")&gt;0,10%,0)</f>
        <v>0</v>
      </c>
      <c r="M3000" s="34">
        <f t="shared" si="92"/>
        <v>0</v>
      </c>
      <c r="N3000" s="17">
        <f t="shared" si="93"/>
        <v>283046.40000000002</v>
      </c>
    </row>
    <row r="3001" spans="1:14" x14ac:dyDescent="0.25">
      <c r="A3001" s="14" t="s">
        <v>2626</v>
      </c>
      <c r="B3001" s="14" t="s">
        <v>263</v>
      </c>
      <c r="C3001" s="15" t="s">
        <v>2632</v>
      </c>
      <c r="D3001" s="14" t="s">
        <v>1749</v>
      </c>
      <c r="E3001" s="14" t="s">
        <v>1746</v>
      </c>
      <c r="F3001" s="17" t="s">
        <v>2995</v>
      </c>
      <c r="G3001" s="14">
        <v>14976</v>
      </c>
      <c r="H3001" s="14">
        <v>13478.4</v>
      </c>
      <c r="I3001" s="31">
        <f>IF(COUNTIFS(Addendum!C:C,A3001,Addendum!D:D,IF(ISNUMBER(B3001),TEXT(B3001,"0000"),B3001),Addendum!E:E,"X")&gt;0,4%,0)</f>
        <v>0</v>
      </c>
      <c r="J3001" s="31">
        <f>IF(COUNTIFS(Addendum!C:C,A3001,Addendum!D:D,IF(ISNUMBER(B3001),TEXT(B3001,"0000"),B3001),Addendum!F:F,"X")&gt;0,2.5%,0)</f>
        <v>0</v>
      </c>
      <c r="K3001" s="31">
        <f>IF(COUNTIFS(Addendum!C:C,A3001,Addendum!D:D,IF(ISNUMBER(B3001),TEXT(B3001,"0000"),B3001),Addendum!G:G,"X")&gt;0,7%,0)</f>
        <v>0</v>
      </c>
      <c r="L3001" s="31">
        <f>IF(COUNTIFS(Addendum!C:C,A3001,Addendum!D:D,IF(ISNUMBER(B3001),TEXT(B3001,"0000"),B3001),Addendum!I:I,"X")&gt;0,10%,0)</f>
        <v>0</v>
      </c>
      <c r="M3001" s="34">
        <f t="shared" si="92"/>
        <v>0</v>
      </c>
      <c r="N3001" s="17">
        <f t="shared" si="93"/>
        <v>13478.4</v>
      </c>
    </row>
    <row r="3002" spans="1:14" x14ac:dyDescent="0.25">
      <c r="A3002" s="14" t="s">
        <v>2626</v>
      </c>
      <c r="B3002" s="14">
        <v>4</v>
      </c>
      <c r="C3002" s="15" t="s">
        <v>2641</v>
      </c>
      <c r="D3002" s="14" t="s">
        <v>1745</v>
      </c>
      <c r="E3002" s="14" t="s">
        <v>1746</v>
      </c>
      <c r="F3002" s="17" t="s">
        <v>2995</v>
      </c>
      <c r="G3002" s="14">
        <v>104832</v>
      </c>
      <c r="H3002" s="14">
        <v>94348.800000000003</v>
      </c>
      <c r="I3002" s="31">
        <f>IF(COUNTIFS(Addendum!C:C,A3002,Addendum!D:D,IF(ISNUMBER(B3002),TEXT(B3002,"0000"),B3002),Addendum!E:E,"X")&gt;0,4%,0)</f>
        <v>0</v>
      </c>
      <c r="J3002" s="31">
        <f>IF(COUNTIFS(Addendum!C:C,A3002,Addendum!D:D,IF(ISNUMBER(B3002),TEXT(B3002,"0000"),B3002),Addendum!F:F,"X")&gt;0,2.5%,0)</f>
        <v>0</v>
      </c>
      <c r="K3002" s="31">
        <f>IF(COUNTIFS(Addendum!C:C,A3002,Addendum!D:D,IF(ISNUMBER(B3002),TEXT(B3002,"0000"),B3002),Addendum!G:G,"X")&gt;0,7%,0)</f>
        <v>0</v>
      </c>
      <c r="L3002" s="31">
        <f>IF(COUNTIFS(Addendum!C:C,A3002,Addendum!D:D,IF(ISNUMBER(B3002),TEXT(B3002,"0000"),B3002),Addendum!I:I,"X")&gt;0,10%,0)</f>
        <v>0</v>
      </c>
      <c r="M3002" s="34">
        <f t="shared" si="92"/>
        <v>0</v>
      </c>
      <c r="N3002" s="17">
        <f t="shared" si="93"/>
        <v>94348.800000000003</v>
      </c>
    </row>
    <row r="3003" spans="1:14" x14ac:dyDescent="0.25">
      <c r="A3003" s="14" t="s">
        <v>2626</v>
      </c>
      <c r="B3003" s="14" t="s">
        <v>608</v>
      </c>
      <c r="C3003" s="15" t="s">
        <v>2635</v>
      </c>
      <c r="D3003" s="14" t="s">
        <v>1749</v>
      </c>
      <c r="E3003" s="14" t="s">
        <v>1746</v>
      </c>
      <c r="F3003" s="17" t="s">
        <v>2995</v>
      </c>
      <c r="G3003" s="14">
        <v>19968</v>
      </c>
      <c r="H3003" s="14">
        <v>17971.2</v>
      </c>
      <c r="I3003" s="31">
        <f>IF(COUNTIFS(Addendum!C:C,A3003,Addendum!D:D,IF(ISNUMBER(B3003),TEXT(B3003,"0000"),B3003),Addendum!E:E,"X")&gt;0,4%,0)</f>
        <v>0</v>
      </c>
      <c r="J3003" s="31">
        <f>IF(COUNTIFS(Addendum!C:C,A3003,Addendum!D:D,IF(ISNUMBER(B3003),TEXT(B3003,"0000"),B3003),Addendum!F:F,"X")&gt;0,2.5%,0)</f>
        <v>0</v>
      </c>
      <c r="K3003" s="31">
        <f>IF(COUNTIFS(Addendum!C:C,A3003,Addendum!D:D,IF(ISNUMBER(B3003),TEXT(B3003,"0000"),B3003),Addendum!G:G,"X")&gt;0,7%,0)</f>
        <v>0</v>
      </c>
      <c r="L3003" s="31">
        <f>IF(COUNTIFS(Addendum!C:C,A3003,Addendum!D:D,IF(ISNUMBER(B3003),TEXT(B3003,"0000"),B3003),Addendum!I:I,"X")&gt;0,10%,0)</f>
        <v>0</v>
      </c>
      <c r="M3003" s="34">
        <f t="shared" si="92"/>
        <v>0</v>
      </c>
      <c r="N3003" s="17">
        <f t="shared" si="93"/>
        <v>17971.2</v>
      </c>
    </row>
    <row r="3004" spans="1:14" x14ac:dyDescent="0.25">
      <c r="A3004" s="14" t="s">
        <v>2626</v>
      </c>
      <c r="B3004" s="14">
        <v>4</v>
      </c>
      <c r="C3004" s="15" t="s">
        <v>2641</v>
      </c>
      <c r="D3004" s="14" t="s">
        <v>1749</v>
      </c>
      <c r="E3004" s="14" t="s">
        <v>1746</v>
      </c>
      <c r="F3004" s="17" t="s">
        <v>2995</v>
      </c>
      <c r="G3004" s="14">
        <v>9984</v>
      </c>
      <c r="H3004" s="14">
        <v>8985.6</v>
      </c>
      <c r="I3004" s="31">
        <f>IF(COUNTIFS(Addendum!C:C,A3004,Addendum!D:D,IF(ISNUMBER(B3004),TEXT(B3004,"0000"),B3004),Addendum!E:E,"X")&gt;0,4%,0)</f>
        <v>0</v>
      </c>
      <c r="J3004" s="31">
        <f>IF(COUNTIFS(Addendum!C:C,A3004,Addendum!D:D,IF(ISNUMBER(B3004),TEXT(B3004,"0000"),B3004),Addendum!F:F,"X")&gt;0,2.5%,0)</f>
        <v>0</v>
      </c>
      <c r="K3004" s="31">
        <f>IF(COUNTIFS(Addendum!C:C,A3004,Addendum!D:D,IF(ISNUMBER(B3004),TEXT(B3004,"0000"),B3004),Addendum!G:G,"X")&gt;0,7%,0)</f>
        <v>0</v>
      </c>
      <c r="L3004" s="31">
        <f>IF(COUNTIFS(Addendum!C:C,A3004,Addendum!D:D,IF(ISNUMBER(B3004),TEXT(B3004,"0000"),B3004),Addendum!I:I,"X")&gt;0,10%,0)</f>
        <v>0</v>
      </c>
      <c r="M3004" s="34">
        <f t="shared" si="92"/>
        <v>0</v>
      </c>
      <c r="N3004" s="17">
        <f t="shared" si="93"/>
        <v>8985.6</v>
      </c>
    </row>
    <row r="3005" spans="1:14" x14ac:dyDescent="0.25">
      <c r="A3005" s="14" t="s">
        <v>2626</v>
      </c>
      <c r="B3005" s="14">
        <v>13</v>
      </c>
      <c r="C3005" s="15" t="s">
        <v>2642</v>
      </c>
      <c r="D3005" s="14" t="s">
        <v>1749</v>
      </c>
      <c r="E3005" s="14" t="s">
        <v>1746</v>
      </c>
      <c r="F3005" s="17" t="s">
        <v>2995</v>
      </c>
      <c r="G3005" s="14">
        <v>29952</v>
      </c>
      <c r="H3005" s="14">
        <v>26956.799999999999</v>
      </c>
      <c r="I3005" s="31">
        <f>IF(COUNTIFS(Addendum!C:C,A3005,Addendum!D:D,IF(ISNUMBER(B3005),TEXT(B3005,"0000"),B3005),Addendum!E:E,"X")&gt;0,4%,0)</f>
        <v>0</v>
      </c>
      <c r="J3005" s="31">
        <f>IF(COUNTIFS(Addendum!C:C,A3005,Addendum!D:D,IF(ISNUMBER(B3005),TEXT(B3005,"0000"),B3005),Addendum!F:F,"X")&gt;0,2.5%,0)</f>
        <v>0</v>
      </c>
      <c r="K3005" s="31">
        <f>IF(COUNTIFS(Addendum!C:C,A3005,Addendum!D:D,IF(ISNUMBER(B3005),TEXT(B3005,"0000"),B3005),Addendum!G:G,"X")&gt;0,7%,0)</f>
        <v>0</v>
      </c>
      <c r="L3005" s="31">
        <f>IF(COUNTIFS(Addendum!C:C,A3005,Addendum!D:D,IF(ISNUMBER(B3005),TEXT(B3005,"0000"),B3005),Addendum!I:I,"X")&gt;0,10%,0)</f>
        <v>0</v>
      </c>
      <c r="M3005" s="34">
        <f t="shared" si="92"/>
        <v>0</v>
      </c>
      <c r="N3005" s="17">
        <f t="shared" si="93"/>
        <v>26956.799999999999</v>
      </c>
    </row>
    <row r="3006" spans="1:14" x14ac:dyDescent="0.25">
      <c r="A3006" s="14" t="s">
        <v>2626</v>
      </c>
      <c r="B3006" s="14" t="s">
        <v>608</v>
      </c>
      <c r="C3006" s="15" t="s">
        <v>2635</v>
      </c>
      <c r="D3006" s="14" t="s">
        <v>1745</v>
      </c>
      <c r="E3006" s="14" t="s">
        <v>1746</v>
      </c>
      <c r="F3006" s="17" t="s">
        <v>2995</v>
      </c>
      <c r="G3006" s="14">
        <v>209664</v>
      </c>
      <c r="H3006" s="14">
        <v>188697.60000000001</v>
      </c>
      <c r="I3006" s="31">
        <f>IF(COUNTIFS(Addendum!C:C,A3006,Addendum!D:D,IF(ISNUMBER(B3006),TEXT(B3006,"0000"),B3006),Addendum!E:E,"X")&gt;0,4%,0)</f>
        <v>0</v>
      </c>
      <c r="J3006" s="31">
        <f>IF(COUNTIFS(Addendum!C:C,A3006,Addendum!D:D,IF(ISNUMBER(B3006),TEXT(B3006,"0000"),B3006),Addendum!F:F,"X")&gt;0,2.5%,0)</f>
        <v>0</v>
      </c>
      <c r="K3006" s="31">
        <f>IF(COUNTIFS(Addendum!C:C,A3006,Addendum!D:D,IF(ISNUMBER(B3006),TEXT(B3006,"0000"),B3006),Addendum!G:G,"X")&gt;0,7%,0)</f>
        <v>0</v>
      </c>
      <c r="L3006" s="31">
        <f>IF(COUNTIFS(Addendum!C:C,A3006,Addendum!D:D,IF(ISNUMBER(B3006),TEXT(B3006,"0000"),B3006),Addendum!I:I,"X")&gt;0,10%,0)</f>
        <v>0</v>
      </c>
      <c r="M3006" s="34">
        <f t="shared" si="92"/>
        <v>0</v>
      </c>
      <c r="N3006" s="17">
        <f t="shared" si="93"/>
        <v>188697.60000000001</v>
      </c>
    </row>
    <row r="3007" spans="1:14" x14ac:dyDescent="0.25">
      <c r="A3007" s="14" t="s">
        <v>2626</v>
      </c>
      <c r="B3007" s="14">
        <v>14</v>
      </c>
      <c r="C3007" s="15" t="s">
        <v>2637</v>
      </c>
      <c r="D3007" s="14" t="s">
        <v>1745</v>
      </c>
      <c r="E3007" s="14" t="s">
        <v>1746</v>
      </c>
      <c r="F3007" s="17" t="s">
        <v>2993</v>
      </c>
      <c r="G3007" s="14">
        <v>1257921</v>
      </c>
      <c r="H3007" s="14">
        <v>1006337</v>
      </c>
      <c r="I3007" s="31">
        <f>IF(COUNTIFS(Addendum!C:C,A3007,Addendum!D:D,IF(ISNUMBER(B3007),TEXT(B3007,"0000"),B3007),Addendum!E:E,"X")&gt;0,4%,0)</f>
        <v>0</v>
      </c>
      <c r="J3007" s="31">
        <f>IF(COUNTIFS(Addendum!C:C,A3007,Addendum!D:D,IF(ISNUMBER(B3007),TEXT(B3007,"0000"),B3007),Addendum!F:F,"X")&gt;0,2.5%,0)</f>
        <v>0</v>
      </c>
      <c r="K3007" s="31">
        <f>IF(COUNTIFS(Addendum!C:C,A3007,Addendum!D:D,IF(ISNUMBER(B3007),TEXT(B3007,"0000"),B3007),Addendum!G:G,"X")&gt;0,7%,0)</f>
        <v>0</v>
      </c>
      <c r="L3007" s="31">
        <f>IF(COUNTIFS(Addendum!C:C,A3007,Addendum!D:D,IF(ISNUMBER(B3007),TEXT(B3007,"0000"),B3007),Addendum!I:I,"X")&gt;0,10%,0)</f>
        <v>0</v>
      </c>
      <c r="M3007" s="34">
        <f t="shared" si="92"/>
        <v>0</v>
      </c>
      <c r="N3007" s="17">
        <f t="shared" si="93"/>
        <v>1006337</v>
      </c>
    </row>
    <row r="3008" spans="1:14" x14ac:dyDescent="0.25">
      <c r="A3008" s="14" t="s">
        <v>2626</v>
      </c>
      <c r="B3008" s="14">
        <v>6</v>
      </c>
      <c r="C3008" s="15" t="s">
        <v>2640</v>
      </c>
      <c r="D3008" s="14" t="s">
        <v>1745</v>
      </c>
      <c r="E3008" s="14" t="s">
        <v>1746</v>
      </c>
      <c r="F3008" s="17" t="s">
        <v>2995</v>
      </c>
      <c r="G3008" s="14">
        <v>52416</v>
      </c>
      <c r="H3008" s="14">
        <v>47174.400000000001</v>
      </c>
      <c r="I3008" s="31">
        <f>IF(COUNTIFS(Addendum!C:C,A3008,Addendum!D:D,IF(ISNUMBER(B3008),TEXT(B3008,"0000"),B3008),Addendum!E:E,"X")&gt;0,4%,0)</f>
        <v>0</v>
      </c>
      <c r="J3008" s="31">
        <f>IF(COUNTIFS(Addendum!C:C,A3008,Addendum!D:D,IF(ISNUMBER(B3008),TEXT(B3008,"0000"),B3008),Addendum!F:F,"X")&gt;0,2.5%,0)</f>
        <v>0</v>
      </c>
      <c r="K3008" s="31">
        <f>IF(COUNTIFS(Addendum!C:C,A3008,Addendum!D:D,IF(ISNUMBER(B3008),TEXT(B3008,"0000"),B3008),Addendum!G:G,"X")&gt;0,7%,0)</f>
        <v>0</v>
      </c>
      <c r="L3008" s="31">
        <f>IF(COUNTIFS(Addendum!C:C,A3008,Addendum!D:D,IF(ISNUMBER(B3008),TEXT(B3008,"0000"),B3008),Addendum!I:I,"X")&gt;0,10%,0)</f>
        <v>0</v>
      </c>
      <c r="M3008" s="34">
        <f t="shared" si="92"/>
        <v>0</v>
      </c>
      <c r="N3008" s="17">
        <f t="shared" si="93"/>
        <v>47174.400000000001</v>
      </c>
    </row>
    <row r="3009" spans="1:14" x14ac:dyDescent="0.25">
      <c r="A3009" s="14" t="s">
        <v>2626</v>
      </c>
      <c r="B3009" s="14">
        <v>2</v>
      </c>
      <c r="C3009" s="15" t="s">
        <v>2639</v>
      </c>
      <c r="D3009" s="14" t="s">
        <v>1745</v>
      </c>
      <c r="E3009" s="14" t="s">
        <v>1746</v>
      </c>
      <c r="F3009" s="17" t="s">
        <v>2995</v>
      </c>
      <c r="G3009" s="14">
        <v>5229</v>
      </c>
      <c r="H3009" s="14">
        <v>4706.16</v>
      </c>
      <c r="I3009" s="31">
        <f>IF(COUNTIFS(Addendum!C:C,A3009,Addendum!D:D,IF(ISNUMBER(B3009),TEXT(B3009,"0000"),B3009),Addendum!E:E,"X")&gt;0,4%,0)</f>
        <v>0</v>
      </c>
      <c r="J3009" s="31">
        <f>IF(COUNTIFS(Addendum!C:C,A3009,Addendum!D:D,IF(ISNUMBER(B3009),TEXT(B3009,"0000"),B3009),Addendum!F:F,"X")&gt;0,2.5%,0)</f>
        <v>0</v>
      </c>
      <c r="K3009" s="31">
        <f>IF(COUNTIFS(Addendum!C:C,A3009,Addendum!D:D,IF(ISNUMBER(B3009),TEXT(B3009,"0000"),B3009),Addendum!G:G,"X")&gt;0,7%,0)</f>
        <v>0</v>
      </c>
      <c r="L3009" s="31">
        <f>IF(COUNTIFS(Addendum!C:C,A3009,Addendum!D:D,IF(ISNUMBER(B3009),TEXT(B3009,"0000"),B3009),Addendum!I:I,"X")&gt;0,10%,0)</f>
        <v>0</v>
      </c>
      <c r="M3009" s="34">
        <f t="shared" si="92"/>
        <v>0</v>
      </c>
      <c r="N3009" s="17">
        <f t="shared" si="93"/>
        <v>4706.16</v>
      </c>
    </row>
    <row r="3010" spans="1:14" x14ac:dyDescent="0.25">
      <c r="A3010" s="14" t="s">
        <v>2626</v>
      </c>
      <c r="B3010" s="14" t="s">
        <v>583</v>
      </c>
      <c r="C3010" s="15" t="s">
        <v>2634</v>
      </c>
      <c r="D3010" s="14" t="s">
        <v>1749</v>
      </c>
      <c r="E3010" s="14" t="s">
        <v>1746</v>
      </c>
      <c r="F3010" s="17" t="s">
        <v>2993</v>
      </c>
      <c r="G3010" s="14">
        <v>59898</v>
      </c>
      <c r="H3010" s="14">
        <v>47918.400000000001</v>
      </c>
      <c r="I3010" s="31">
        <f>IF(COUNTIFS(Addendum!C:C,A3010,Addendum!D:D,IF(ISNUMBER(B3010),TEXT(B3010,"0000"),B3010),Addendum!E:E,"X")&gt;0,4%,0)</f>
        <v>0</v>
      </c>
      <c r="J3010" s="31">
        <f>IF(COUNTIFS(Addendum!C:C,A3010,Addendum!D:D,IF(ISNUMBER(B3010),TEXT(B3010,"0000"),B3010),Addendum!F:F,"X")&gt;0,2.5%,0)</f>
        <v>0</v>
      </c>
      <c r="K3010" s="31">
        <f>IF(COUNTIFS(Addendum!C:C,A3010,Addendum!D:D,IF(ISNUMBER(B3010),TEXT(B3010,"0000"),B3010),Addendum!G:G,"X")&gt;0,7%,0)</f>
        <v>0</v>
      </c>
      <c r="L3010" s="31">
        <f>IF(COUNTIFS(Addendum!C:C,A3010,Addendum!D:D,IF(ISNUMBER(B3010),TEXT(B3010,"0000"),B3010),Addendum!I:I,"X")&gt;0,10%,0)</f>
        <v>0</v>
      </c>
      <c r="M3010" s="34">
        <f t="shared" si="92"/>
        <v>0</v>
      </c>
      <c r="N3010" s="17">
        <f t="shared" si="93"/>
        <v>47918.400000000001</v>
      </c>
    </row>
    <row r="3011" spans="1:14" x14ac:dyDescent="0.25">
      <c r="A3011" s="14" t="s">
        <v>2626</v>
      </c>
      <c r="B3011" s="14">
        <v>7</v>
      </c>
      <c r="C3011" s="15" t="s">
        <v>2638</v>
      </c>
      <c r="D3011" s="14" t="s">
        <v>1749</v>
      </c>
      <c r="E3011" s="14" t="s">
        <v>1746</v>
      </c>
      <c r="F3011" s="17" t="s">
        <v>2993</v>
      </c>
      <c r="G3011" s="14">
        <v>19968</v>
      </c>
      <c r="H3011" s="14">
        <v>15974.4</v>
      </c>
      <c r="I3011" s="31">
        <f>IF(COUNTIFS(Addendum!C:C,A3011,Addendum!D:D,IF(ISNUMBER(B3011),TEXT(B3011,"0000"),B3011),Addendum!E:E,"X")&gt;0,4%,0)</f>
        <v>0</v>
      </c>
      <c r="J3011" s="31">
        <f>IF(COUNTIFS(Addendum!C:C,A3011,Addendum!D:D,IF(ISNUMBER(B3011),TEXT(B3011,"0000"),B3011),Addendum!F:F,"X")&gt;0,2.5%,0)</f>
        <v>0</v>
      </c>
      <c r="K3011" s="31">
        <f>IF(COUNTIFS(Addendum!C:C,A3011,Addendum!D:D,IF(ISNUMBER(B3011),TEXT(B3011,"0000"),B3011),Addendum!G:G,"X")&gt;0,7%,0)</f>
        <v>0</v>
      </c>
      <c r="L3011" s="31">
        <f>IF(COUNTIFS(Addendum!C:C,A3011,Addendum!D:D,IF(ISNUMBER(B3011),TEXT(B3011,"0000"),B3011),Addendum!I:I,"X")&gt;0,10%,0)</f>
        <v>0</v>
      </c>
      <c r="M3011" s="34">
        <f t="shared" si="92"/>
        <v>0</v>
      </c>
      <c r="N3011" s="17">
        <f t="shared" si="93"/>
        <v>15974.4</v>
      </c>
    </row>
    <row r="3012" spans="1:14" x14ac:dyDescent="0.25">
      <c r="A3012" s="14" t="s">
        <v>2626</v>
      </c>
      <c r="B3012" s="14">
        <v>13</v>
      </c>
      <c r="C3012" s="15" t="s">
        <v>2642</v>
      </c>
      <c r="D3012" s="14" t="s">
        <v>1745</v>
      </c>
      <c r="E3012" s="14" t="s">
        <v>1747</v>
      </c>
      <c r="F3012" s="17" t="s">
        <v>2995</v>
      </c>
      <c r="G3012" s="14">
        <v>299520</v>
      </c>
      <c r="H3012" s="14">
        <v>269568</v>
      </c>
      <c r="I3012" s="31">
        <f>IF(COUNTIFS(Addendum!C:C,A3012,Addendum!D:D,IF(ISNUMBER(B3012),TEXT(B3012,"0000"),B3012),Addendum!E:E,"X")&gt;0,4%,0)</f>
        <v>0</v>
      </c>
      <c r="J3012" s="31">
        <f>IF(COUNTIFS(Addendum!C:C,A3012,Addendum!D:D,IF(ISNUMBER(B3012),TEXT(B3012,"0000"),B3012),Addendum!F:F,"X")&gt;0,2.5%,0)</f>
        <v>0</v>
      </c>
      <c r="K3012" s="31">
        <f>IF(COUNTIFS(Addendum!C:C,A3012,Addendum!D:D,IF(ISNUMBER(B3012),TEXT(B3012,"0000"),B3012),Addendum!G:G,"X")&gt;0,7%,0)</f>
        <v>0</v>
      </c>
      <c r="L3012" s="31">
        <f>IF(COUNTIFS(Addendum!C:C,A3012,Addendum!D:D,IF(ISNUMBER(B3012),TEXT(B3012,"0000"),B3012),Addendum!I:I,"X")&gt;0,10%,0)</f>
        <v>0</v>
      </c>
      <c r="M3012" s="34">
        <f t="shared" ref="M3012:M3075" si="94">IF(AND(I3012=0%,J3012=0%,K3012=0%,L3012=0%),0%,
IF(OR(TRIM(E3012)="OneTime",TRIM(D3012)=""),0%,
IF(
OR(
TRIM(D3012)="P1M",
AND(TRIM(D3012)="P1Y",TRIM(E3012)="Monthly"),
AND(TRIM(D3012)="P3Y",TRIM(E3012)="Monthly")
),
IF(AND(I3012=4%,J3012=0%,K3012=0%,L3012=0%),1%,
IF(AND(I3012=4%,J3012=2.5%,K3012=0%,L3012=10%),2%,
IF(AND(I3012=4%,J3012=0%,K3012=7%,L3012=10%),3%,0%))),
IF(
OR(
AND(TRIM(D3012)="P1Y",TRIM(E3012)="Annual"),
AND(TRIM(D3012)="P3Y",TRIM(E3012)="Annual"),
AND(TRIM(D3012)="P3Y",TRIM(E3012)="Triennial")
),
IF(AND(I3012=4%,J3012=0%,K3012=0%,L3012=0%),3%,
IF(AND(I3012=4%,J3012=2.5%,K3012=0%,L3012=10%),10%,
IF(AND(I3012=4%,J3012=0%,K3012=7%,L3012=10%),14%,0%))),
0%
))))</f>
        <v>0</v>
      </c>
      <c r="N3012" s="17">
        <f t="shared" ref="N3012:N3075" si="95">H3012-(H3012*M3012)</f>
        <v>269568</v>
      </c>
    </row>
    <row r="3013" spans="1:14" x14ac:dyDescent="0.25">
      <c r="A3013" s="14" t="s">
        <v>2626</v>
      </c>
      <c r="B3013" s="14">
        <v>6</v>
      </c>
      <c r="C3013" s="15" t="s">
        <v>2640</v>
      </c>
      <c r="D3013" s="14" t="s">
        <v>1749</v>
      </c>
      <c r="E3013" s="14" t="s">
        <v>1746</v>
      </c>
      <c r="F3013" s="17" t="s">
        <v>2995</v>
      </c>
      <c r="G3013" s="14">
        <v>4992</v>
      </c>
      <c r="H3013" s="14">
        <v>4492.8</v>
      </c>
      <c r="I3013" s="31">
        <f>IF(COUNTIFS(Addendum!C:C,A3013,Addendum!D:D,IF(ISNUMBER(B3013),TEXT(B3013,"0000"),B3013),Addendum!E:E,"X")&gt;0,4%,0)</f>
        <v>0</v>
      </c>
      <c r="J3013" s="31">
        <f>IF(COUNTIFS(Addendum!C:C,A3013,Addendum!D:D,IF(ISNUMBER(B3013),TEXT(B3013,"0000"),B3013),Addendum!F:F,"X")&gt;0,2.5%,0)</f>
        <v>0</v>
      </c>
      <c r="K3013" s="31">
        <f>IF(COUNTIFS(Addendum!C:C,A3013,Addendum!D:D,IF(ISNUMBER(B3013),TEXT(B3013,"0000"),B3013),Addendum!G:G,"X")&gt;0,7%,0)</f>
        <v>0</v>
      </c>
      <c r="L3013" s="31">
        <f>IF(COUNTIFS(Addendum!C:C,A3013,Addendum!D:D,IF(ISNUMBER(B3013),TEXT(B3013,"0000"),B3013),Addendum!I:I,"X")&gt;0,10%,0)</f>
        <v>0</v>
      </c>
      <c r="M3013" s="34">
        <f t="shared" si="94"/>
        <v>0</v>
      </c>
      <c r="N3013" s="17">
        <f t="shared" si="95"/>
        <v>4492.8</v>
      </c>
    </row>
    <row r="3014" spans="1:14" x14ac:dyDescent="0.25">
      <c r="A3014" s="14" t="s">
        <v>2626</v>
      </c>
      <c r="B3014" s="14" t="s">
        <v>317</v>
      </c>
      <c r="C3014" s="15" t="s">
        <v>2633</v>
      </c>
      <c r="D3014" s="14" t="s">
        <v>1745</v>
      </c>
      <c r="E3014" s="14" t="s">
        <v>1747</v>
      </c>
      <c r="F3014" s="17" t="s">
        <v>2993</v>
      </c>
      <c r="G3014" s="14">
        <v>798660</v>
      </c>
      <c r="H3014" s="14">
        <v>638928</v>
      </c>
      <c r="I3014" s="31">
        <f>IF(COUNTIFS(Addendum!C:C,A3014,Addendum!D:D,IF(ISNUMBER(B3014),TEXT(B3014,"0000"),B3014),Addendum!E:E,"X")&gt;0,4%,0)</f>
        <v>0</v>
      </c>
      <c r="J3014" s="31">
        <f>IF(COUNTIFS(Addendum!C:C,A3014,Addendum!D:D,IF(ISNUMBER(B3014),TEXT(B3014,"0000"),B3014),Addendum!F:F,"X")&gt;0,2.5%,0)</f>
        <v>0</v>
      </c>
      <c r="K3014" s="31">
        <f>IF(COUNTIFS(Addendum!C:C,A3014,Addendum!D:D,IF(ISNUMBER(B3014),TEXT(B3014,"0000"),B3014),Addendum!G:G,"X")&gt;0,7%,0)</f>
        <v>0</v>
      </c>
      <c r="L3014" s="31">
        <f>IF(COUNTIFS(Addendum!C:C,A3014,Addendum!D:D,IF(ISNUMBER(B3014),TEXT(B3014,"0000"),B3014),Addendum!I:I,"X")&gt;0,10%,0)</f>
        <v>0</v>
      </c>
      <c r="M3014" s="34">
        <f t="shared" si="94"/>
        <v>0</v>
      </c>
      <c r="N3014" s="17">
        <f t="shared" si="95"/>
        <v>638928</v>
      </c>
    </row>
    <row r="3015" spans="1:14" x14ac:dyDescent="0.25">
      <c r="A3015" s="14" t="s">
        <v>2626</v>
      </c>
      <c r="B3015" s="14" t="s">
        <v>583</v>
      </c>
      <c r="C3015" s="15" t="s">
        <v>2634</v>
      </c>
      <c r="D3015" s="14" t="s">
        <v>1745</v>
      </c>
      <c r="E3015" s="14" t="s">
        <v>1747</v>
      </c>
      <c r="F3015" s="17" t="s">
        <v>2993</v>
      </c>
      <c r="G3015" s="14">
        <v>598980</v>
      </c>
      <c r="H3015" s="14">
        <v>479184</v>
      </c>
      <c r="I3015" s="31">
        <f>IF(COUNTIFS(Addendum!C:C,A3015,Addendum!D:D,IF(ISNUMBER(B3015),TEXT(B3015,"0000"),B3015),Addendum!E:E,"X")&gt;0,4%,0)</f>
        <v>0</v>
      </c>
      <c r="J3015" s="31">
        <f>IF(COUNTIFS(Addendum!C:C,A3015,Addendum!D:D,IF(ISNUMBER(B3015),TEXT(B3015,"0000"),B3015),Addendum!F:F,"X")&gt;0,2.5%,0)</f>
        <v>0</v>
      </c>
      <c r="K3015" s="31">
        <f>IF(COUNTIFS(Addendum!C:C,A3015,Addendum!D:D,IF(ISNUMBER(B3015),TEXT(B3015,"0000"),B3015),Addendum!G:G,"X")&gt;0,7%,0)</f>
        <v>0</v>
      </c>
      <c r="L3015" s="31">
        <f>IF(COUNTIFS(Addendum!C:C,A3015,Addendum!D:D,IF(ISNUMBER(B3015),TEXT(B3015,"0000"),B3015),Addendum!I:I,"X")&gt;0,10%,0)</f>
        <v>0</v>
      </c>
      <c r="M3015" s="34">
        <f t="shared" si="94"/>
        <v>0</v>
      </c>
      <c r="N3015" s="17">
        <f t="shared" si="95"/>
        <v>479184</v>
      </c>
    </row>
    <row r="3016" spans="1:14" x14ac:dyDescent="0.25">
      <c r="A3016" s="14" t="s">
        <v>2626</v>
      </c>
      <c r="B3016" s="14">
        <v>8</v>
      </c>
      <c r="C3016" s="15" t="s">
        <v>2627</v>
      </c>
      <c r="D3016" s="14" t="s">
        <v>1749</v>
      </c>
      <c r="E3016" s="14" t="s">
        <v>1746</v>
      </c>
      <c r="F3016" s="17" t="s">
        <v>2993</v>
      </c>
      <c r="G3016" s="14">
        <v>39936</v>
      </c>
      <c r="H3016" s="14">
        <v>31948.799999999999</v>
      </c>
      <c r="I3016" s="31">
        <f>IF(COUNTIFS(Addendum!C:C,A3016,Addendum!D:D,IF(ISNUMBER(B3016),TEXT(B3016,"0000"),B3016),Addendum!E:E,"X")&gt;0,4%,0)</f>
        <v>0</v>
      </c>
      <c r="J3016" s="31">
        <f>IF(COUNTIFS(Addendum!C:C,A3016,Addendum!D:D,IF(ISNUMBER(B3016),TEXT(B3016,"0000"),B3016),Addendum!F:F,"X")&gt;0,2.5%,0)</f>
        <v>0</v>
      </c>
      <c r="K3016" s="31">
        <f>IF(COUNTIFS(Addendum!C:C,A3016,Addendum!D:D,IF(ISNUMBER(B3016),TEXT(B3016,"0000"),B3016),Addendum!G:G,"X")&gt;0,7%,0)</f>
        <v>0</v>
      </c>
      <c r="L3016" s="31">
        <f>IF(COUNTIFS(Addendum!C:C,A3016,Addendum!D:D,IF(ISNUMBER(B3016),TEXT(B3016,"0000"),B3016),Addendum!I:I,"X")&gt;0,10%,0)</f>
        <v>0</v>
      </c>
      <c r="M3016" s="34">
        <f t="shared" si="94"/>
        <v>0</v>
      </c>
      <c r="N3016" s="17">
        <f t="shared" si="95"/>
        <v>31948.799999999999</v>
      </c>
    </row>
    <row r="3017" spans="1:14" x14ac:dyDescent="0.25">
      <c r="A3017" s="14" t="s">
        <v>2626</v>
      </c>
      <c r="B3017" s="14">
        <v>14</v>
      </c>
      <c r="C3017" s="15" t="s">
        <v>2637</v>
      </c>
      <c r="D3017" s="14" t="s">
        <v>1745</v>
      </c>
      <c r="E3017" s="14" t="s">
        <v>1747</v>
      </c>
      <c r="F3017" s="17" t="s">
        <v>2993</v>
      </c>
      <c r="G3017" s="14">
        <v>1198020</v>
      </c>
      <c r="H3017" s="14">
        <v>958416</v>
      </c>
      <c r="I3017" s="31">
        <f>IF(COUNTIFS(Addendum!C:C,A3017,Addendum!D:D,IF(ISNUMBER(B3017),TEXT(B3017,"0000"),B3017),Addendum!E:E,"X")&gt;0,4%,0)</f>
        <v>0</v>
      </c>
      <c r="J3017" s="31">
        <f>IF(COUNTIFS(Addendum!C:C,A3017,Addendum!D:D,IF(ISNUMBER(B3017),TEXT(B3017,"0000"),B3017),Addendum!F:F,"X")&gt;0,2.5%,0)</f>
        <v>0</v>
      </c>
      <c r="K3017" s="31">
        <f>IF(COUNTIFS(Addendum!C:C,A3017,Addendum!D:D,IF(ISNUMBER(B3017),TEXT(B3017,"0000"),B3017),Addendum!G:G,"X")&gt;0,7%,0)</f>
        <v>0</v>
      </c>
      <c r="L3017" s="31">
        <f>IF(COUNTIFS(Addendum!C:C,A3017,Addendum!D:D,IF(ISNUMBER(B3017),TEXT(B3017,"0000"),B3017),Addendum!I:I,"X")&gt;0,10%,0)</f>
        <v>0</v>
      </c>
      <c r="M3017" s="34">
        <f t="shared" si="94"/>
        <v>0</v>
      </c>
      <c r="N3017" s="17">
        <f t="shared" si="95"/>
        <v>958416</v>
      </c>
    </row>
    <row r="3018" spans="1:14" x14ac:dyDescent="0.25">
      <c r="A3018" s="14" t="s">
        <v>2643</v>
      </c>
      <c r="B3018" s="14">
        <v>2</v>
      </c>
      <c r="C3018" s="15" t="s">
        <v>2644</v>
      </c>
      <c r="D3018" s="14" t="s">
        <v>1749</v>
      </c>
      <c r="E3018" s="14" t="s">
        <v>1746</v>
      </c>
      <c r="F3018" s="17" t="s">
        <v>2993</v>
      </c>
      <c r="G3018" s="14">
        <v>2994</v>
      </c>
      <c r="H3018" s="14">
        <v>2395.1999999999998</v>
      </c>
      <c r="I3018" s="31">
        <f>IF(COUNTIFS(Addendum!C:C,A3018,Addendum!D:D,IF(ISNUMBER(B3018),TEXT(B3018,"0000"),B3018),Addendum!E:E,"X")&gt;0,4%,0)</f>
        <v>0</v>
      </c>
      <c r="J3018" s="31">
        <f>IF(COUNTIFS(Addendum!C:C,A3018,Addendum!D:D,IF(ISNUMBER(B3018),TEXT(B3018,"0000"),B3018),Addendum!F:F,"X")&gt;0,2.5%,0)</f>
        <v>0</v>
      </c>
      <c r="K3018" s="31">
        <f>IF(COUNTIFS(Addendum!C:C,A3018,Addendum!D:D,IF(ISNUMBER(B3018),TEXT(B3018,"0000"),B3018),Addendum!G:G,"X")&gt;0,7%,0)</f>
        <v>0</v>
      </c>
      <c r="L3018" s="31">
        <f>IF(COUNTIFS(Addendum!C:C,A3018,Addendum!D:D,IF(ISNUMBER(B3018),TEXT(B3018,"0000"),B3018),Addendum!I:I,"X")&gt;0,10%,0)</f>
        <v>0</v>
      </c>
      <c r="M3018" s="34">
        <f t="shared" si="94"/>
        <v>0</v>
      </c>
      <c r="N3018" s="17">
        <f t="shared" si="95"/>
        <v>2395.1999999999998</v>
      </c>
    </row>
    <row r="3019" spans="1:14" x14ac:dyDescent="0.25">
      <c r="A3019" s="14" t="s">
        <v>2643</v>
      </c>
      <c r="B3019" s="14" t="s">
        <v>118</v>
      </c>
      <c r="C3019" s="15" t="s">
        <v>2645</v>
      </c>
      <c r="D3019" s="14" t="s">
        <v>1745</v>
      </c>
      <c r="E3019" s="14" t="s">
        <v>1747</v>
      </c>
      <c r="F3019" s="17" t="s">
        <v>2994</v>
      </c>
      <c r="G3019" s="14">
        <v>4500</v>
      </c>
      <c r="H3019" s="14">
        <v>3600</v>
      </c>
      <c r="I3019" s="31">
        <f>IF(COUNTIFS(Addendum!C:C,A3019,Addendum!D:D,IF(ISNUMBER(B3019),TEXT(B3019,"0000"),B3019),Addendum!E:E,"X")&gt;0,4%,0)</f>
        <v>0</v>
      </c>
      <c r="J3019" s="31">
        <f>IF(COUNTIFS(Addendum!C:C,A3019,Addendum!D:D,IF(ISNUMBER(B3019),TEXT(B3019,"0000"),B3019),Addendum!F:F,"X")&gt;0,2.5%,0)</f>
        <v>0</v>
      </c>
      <c r="K3019" s="31">
        <f>IF(COUNTIFS(Addendum!C:C,A3019,Addendum!D:D,IF(ISNUMBER(B3019),TEXT(B3019,"0000"),B3019),Addendum!G:G,"X")&gt;0,7%,0)</f>
        <v>0</v>
      </c>
      <c r="L3019" s="31">
        <f>IF(COUNTIFS(Addendum!C:C,A3019,Addendum!D:D,IF(ISNUMBER(B3019),TEXT(B3019,"0000"),B3019),Addendum!I:I,"X")&gt;0,10%,0)</f>
        <v>0</v>
      </c>
      <c r="M3019" s="34">
        <f t="shared" si="94"/>
        <v>0</v>
      </c>
      <c r="N3019" s="17">
        <f t="shared" si="95"/>
        <v>3600</v>
      </c>
    </row>
    <row r="3020" spans="1:14" x14ac:dyDescent="0.25">
      <c r="A3020" s="14" t="s">
        <v>2643</v>
      </c>
      <c r="B3020" s="14" t="s">
        <v>243</v>
      </c>
      <c r="C3020" s="15" t="s">
        <v>2646</v>
      </c>
      <c r="D3020" s="14" t="s">
        <v>1745</v>
      </c>
      <c r="E3020" s="14" t="s">
        <v>1746</v>
      </c>
      <c r="F3020" s="17" t="s">
        <v>2994</v>
      </c>
      <c r="G3020" s="14">
        <v>6300</v>
      </c>
      <c r="H3020" s="14">
        <v>5040</v>
      </c>
      <c r="I3020" s="31">
        <f>IF(COUNTIFS(Addendum!C:C,A3020,Addendum!D:D,IF(ISNUMBER(B3020),TEXT(B3020,"0000"),B3020),Addendum!E:E,"X")&gt;0,4%,0)</f>
        <v>0</v>
      </c>
      <c r="J3020" s="31">
        <f>IF(COUNTIFS(Addendum!C:C,A3020,Addendum!D:D,IF(ISNUMBER(B3020),TEXT(B3020,"0000"),B3020),Addendum!F:F,"X")&gt;0,2.5%,0)</f>
        <v>0</v>
      </c>
      <c r="K3020" s="31">
        <f>IF(COUNTIFS(Addendum!C:C,A3020,Addendum!D:D,IF(ISNUMBER(B3020),TEXT(B3020,"0000"),B3020),Addendum!G:G,"X")&gt;0,7%,0)</f>
        <v>0</v>
      </c>
      <c r="L3020" s="31">
        <f>IF(COUNTIFS(Addendum!C:C,A3020,Addendum!D:D,IF(ISNUMBER(B3020),TEXT(B3020,"0000"),B3020),Addendum!I:I,"X")&gt;0,10%,0)</f>
        <v>0</v>
      </c>
      <c r="M3020" s="34">
        <f t="shared" si="94"/>
        <v>0</v>
      </c>
      <c r="N3020" s="17">
        <f t="shared" si="95"/>
        <v>5040</v>
      </c>
    </row>
    <row r="3021" spans="1:14" x14ac:dyDescent="0.25">
      <c r="A3021" s="14" t="s">
        <v>2643</v>
      </c>
      <c r="B3021" s="14" t="s">
        <v>243</v>
      </c>
      <c r="C3021" s="15" t="s">
        <v>2646</v>
      </c>
      <c r="D3021" s="14" t="s">
        <v>1749</v>
      </c>
      <c r="E3021" s="14" t="s">
        <v>1746</v>
      </c>
      <c r="F3021" s="17" t="s">
        <v>2994</v>
      </c>
      <c r="G3021" s="14">
        <v>600</v>
      </c>
      <c r="H3021" s="14">
        <v>480</v>
      </c>
      <c r="I3021" s="31">
        <f>IF(COUNTIFS(Addendum!C:C,A3021,Addendum!D:D,IF(ISNUMBER(B3021),TEXT(B3021,"0000"),B3021),Addendum!E:E,"X")&gt;0,4%,0)</f>
        <v>0</v>
      </c>
      <c r="J3021" s="31">
        <f>IF(COUNTIFS(Addendum!C:C,A3021,Addendum!D:D,IF(ISNUMBER(B3021),TEXT(B3021,"0000"),B3021),Addendum!F:F,"X")&gt;0,2.5%,0)</f>
        <v>0</v>
      </c>
      <c r="K3021" s="31">
        <f>IF(COUNTIFS(Addendum!C:C,A3021,Addendum!D:D,IF(ISNUMBER(B3021),TEXT(B3021,"0000"),B3021),Addendum!G:G,"X")&gt;0,7%,0)</f>
        <v>0</v>
      </c>
      <c r="L3021" s="31">
        <f>IF(COUNTIFS(Addendum!C:C,A3021,Addendum!D:D,IF(ISNUMBER(B3021),TEXT(B3021,"0000"),B3021),Addendum!I:I,"X")&gt;0,10%,0)</f>
        <v>0</v>
      </c>
      <c r="M3021" s="34">
        <f t="shared" si="94"/>
        <v>0</v>
      </c>
      <c r="N3021" s="17">
        <f t="shared" si="95"/>
        <v>480</v>
      </c>
    </row>
    <row r="3022" spans="1:14" x14ac:dyDescent="0.25">
      <c r="A3022" s="14" t="s">
        <v>2643</v>
      </c>
      <c r="B3022" s="14">
        <v>12</v>
      </c>
      <c r="C3022" s="15" t="s">
        <v>2647</v>
      </c>
      <c r="D3022" s="14" t="s">
        <v>1745</v>
      </c>
      <c r="E3022" s="14" t="s">
        <v>1747</v>
      </c>
      <c r="F3022" s="17" t="s">
        <v>2995</v>
      </c>
      <c r="G3022" s="14">
        <v>12000</v>
      </c>
      <c r="H3022" s="14">
        <v>10800</v>
      </c>
      <c r="I3022" s="31">
        <f>IF(COUNTIFS(Addendum!C:C,A3022,Addendum!D:D,IF(ISNUMBER(B3022),TEXT(B3022,"0000"),B3022),Addendum!E:E,"X")&gt;0,4%,0)</f>
        <v>0</v>
      </c>
      <c r="J3022" s="31">
        <f>IF(COUNTIFS(Addendum!C:C,A3022,Addendum!D:D,IF(ISNUMBER(B3022),TEXT(B3022,"0000"),B3022),Addendum!F:F,"X")&gt;0,2.5%,0)</f>
        <v>0</v>
      </c>
      <c r="K3022" s="31">
        <f>IF(COUNTIFS(Addendum!C:C,A3022,Addendum!D:D,IF(ISNUMBER(B3022),TEXT(B3022,"0000"),B3022),Addendum!G:G,"X")&gt;0,7%,0)</f>
        <v>0</v>
      </c>
      <c r="L3022" s="31">
        <f>IF(COUNTIFS(Addendum!C:C,A3022,Addendum!D:D,IF(ISNUMBER(B3022),TEXT(B3022,"0000"),B3022),Addendum!I:I,"X")&gt;0,10%,0)</f>
        <v>0</v>
      </c>
      <c r="M3022" s="34">
        <f t="shared" si="94"/>
        <v>0</v>
      </c>
      <c r="N3022" s="17">
        <f t="shared" si="95"/>
        <v>10800</v>
      </c>
    </row>
    <row r="3023" spans="1:14" x14ac:dyDescent="0.25">
      <c r="A3023" s="14" t="s">
        <v>2643</v>
      </c>
      <c r="B3023" s="14">
        <v>2</v>
      </c>
      <c r="C3023" s="15" t="s">
        <v>2644</v>
      </c>
      <c r="D3023" s="14" t="s">
        <v>1745</v>
      </c>
      <c r="E3023" s="14" t="s">
        <v>1746</v>
      </c>
      <c r="F3023" s="17" t="s">
        <v>2993</v>
      </c>
      <c r="G3023" s="14">
        <v>31437</v>
      </c>
      <c r="H3023" s="14">
        <v>25149.599999999999</v>
      </c>
      <c r="I3023" s="31">
        <f>IF(COUNTIFS(Addendum!C:C,A3023,Addendum!D:D,IF(ISNUMBER(B3023),TEXT(B3023,"0000"),B3023),Addendum!E:E,"X")&gt;0,4%,0)</f>
        <v>0</v>
      </c>
      <c r="J3023" s="31">
        <f>IF(COUNTIFS(Addendum!C:C,A3023,Addendum!D:D,IF(ISNUMBER(B3023),TEXT(B3023,"0000"),B3023),Addendum!F:F,"X")&gt;0,2.5%,0)</f>
        <v>0</v>
      </c>
      <c r="K3023" s="31">
        <f>IF(COUNTIFS(Addendum!C:C,A3023,Addendum!D:D,IF(ISNUMBER(B3023),TEXT(B3023,"0000"),B3023),Addendum!G:G,"X")&gt;0,7%,0)</f>
        <v>0</v>
      </c>
      <c r="L3023" s="31">
        <f>IF(COUNTIFS(Addendum!C:C,A3023,Addendum!D:D,IF(ISNUMBER(B3023),TEXT(B3023,"0000"),B3023),Addendum!I:I,"X")&gt;0,10%,0)</f>
        <v>0</v>
      </c>
      <c r="M3023" s="34">
        <f t="shared" si="94"/>
        <v>0</v>
      </c>
      <c r="N3023" s="17">
        <f t="shared" si="95"/>
        <v>25149.599999999999</v>
      </c>
    </row>
    <row r="3024" spans="1:14" x14ac:dyDescent="0.25">
      <c r="A3024" s="14" t="s">
        <v>2643</v>
      </c>
      <c r="B3024" s="14" t="s">
        <v>118</v>
      </c>
      <c r="C3024" s="15" t="s">
        <v>2645</v>
      </c>
      <c r="D3024" s="14" t="s">
        <v>1745</v>
      </c>
      <c r="E3024" s="14" t="s">
        <v>1746</v>
      </c>
      <c r="F3024" s="17" t="s">
        <v>2994</v>
      </c>
      <c r="G3024" s="14">
        <v>4725</v>
      </c>
      <c r="H3024" s="14">
        <v>3780</v>
      </c>
      <c r="I3024" s="31">
        <f>IF(COUNTIFS(Addendum!C:C,A3024,Addendum!D:D,IF(ISNUMBER(B3024),TEXT(B3024,"0000"),B3024),Addendum!E:E,"X")&gt;0,4%,0)</f>
        <v>0</v>
      </c>
      <c r="J3024" s="31">
        <f>IF(COUNTIFS(Addendum!C:C,A3024,Addendum!D:D,IF(ISNUMBER(B3024),TEXT(B3024,"0000"),B3024),Addendum!F:F,"X")&gt;0,2.5%,0)</f>
        <v>0</v>
      </c>
      <c r="K3024" s="31">
        <f>IF(COUNTIFS(Addendum!C:C,A3024,Addendum!D:D,IF(ISNUMBER(B3024),TEXT(B3024,"0000"),B3024),Addendum!G:G,"X")&gt;0,7%,0)</f>
        <v>0</v>
      </c>
      <c r="L3024" s="31">
        <f>IF(COUNTIFS(Addendum!C:C,A3024,Addendum!D:D,IF(ISNUMBER(B3024),TEXT(B3024,"0000"),B3024),Addendum!I:I,"X")&gt;0,10%,0)</f>
        <v>0</v>
      </c>
      <c r="M3024" s="34">
        <f t="shared" si="94"/>
        <v>0</v>
      </c>
      <c r="N3024" s="17">
        <f t="shared" si="95"/>
        <v>3780</v>
      </c>
    </row>
    <row r="3025" spans="1:14" x14ac:dyDescent="0.25">
      <c r="A3025" s="14" t="s">
        <v>2643</v>
      </c>
      <c r="B3025" s="14">
        <v>4</v>
      </c>
      <c r="C3025" s="15" t="s">
        <v>2644</v>
      </c>
      <c r="D3025" s="14" t="s">
        <v>1749</v>
      </c>
      <c r="E3025" s="14" t="s">
        <v>1766</v>
      </c>
      <c r="F3025" s="17" t="s">
        <v>2993</v>
      </c>
      <c r="G3025" s="14">
        <v>0</v>
      </c>
      <c r="H3025" s="14">
        <v>0</v>
      </c>
      <c r="I3025" s="31">
        <f>IF(COUNTIFS(Addendum!C:C,A3025,Addendum!D:D,IF(ISNUMBER(B3025),TEXT(B3025,"0000"),B3025),Addendum!E:E,"X")&gt;0,4%,0)</f>
        <v>0</v>
      </c>
      <c r="J3025" s="31">
        <f>IF(COUNTIFS(Addendum!C:C,A3025,Addendum!D:D,IF(ISNUMBER(B3025),TEXT(B3025,"0000"),B3025),Addendum!F:F,"X")&gt;0,2.5%,0)</f>
        <v>0</v>
      </c>
      <c r="K3025" s="31">
        <f>IF(COUNTIFS(Addendum!C:C,A3025,Addendum!D:D,IF(ISNUMBER(B3025),TEXT(B3025,"0000"),B3025),Addendum!G:G,"X")&gt;0,7%,0)</f>
        <v>0</v>
      </c>
      <c r="L3025" s="31">
        <f>IF(COUNTIFS(Addendum!C:C,A3025,Addendum!D:D,IF(ISNUMBER(B3025),TEXT(B3025,"0000"),B3025),Addendum!I:I,"X")&gt;0,10%,0)</f>
        <v>0</v>
      </c>
      <c r="M3025" s="34">
        <f t="shared" si="94"/>
        <v>0</v>
      </c>
      <c r="N3025" s="17">
        <f t="shared" si="95"/>
        <v>0</v>
      </c>
    </row>
    <row r="3026" spans="1:14" x14ac:dyDescent="0.25">
      <c r="A3026" s="14" t="s">
        <v>2643</v>
      </c>
      <c r="B3026" s="14" t="s">
        <v>118</v>
      </c>
      <c r="C3026" s="15" t="s">
        <v>2645</v>
      </c>
      <c r="D3026" s="14" t="s">
        <v>1749</v>
      </c>
      <c r="E3026" s="14" t="s">
        <v>1746</v>
      </c>
      <c r="F3026" s="17" t="s">
        <v>2994</v>
      </c>
      <c r="G3026" s="14">
        <v>450</v>
      </c>
      <c r="H3026" s="14">
        <v>360</v>
      </c>
      <c r="I3026" s="31">
        <f>IF(COUNTIFS(Addendum!C:C,A3026,Addendum!D:D,IF(ISNUMBER(B3026),TEXT(B3026,"0000"),B3026),Addendum!E:E,"X")&gt;0,4%,0)</f>
        <v>0</v>
      </c>
      <c r="J3026" s="31">
        <f>IF(COUNTIFS(Addendum!C:C,A3026,Addendum!D:D,IF(ISNUMBER(B3026),TEXT(B3026,"0000"),B3026),Addendum!F:F,"X")&gt;0,2.5%,0)</f>
        <v>0</v>
      </c>
      <c r="K3026" s="31">
        <f>IF(COUNTIFS(Addendum!C:C,A3026,Addendum!D:D,IF(ISNUMBER(B3026),TEXT(B3026,"0000"),B3026),Addendum!G:G,"X")&gt;0,7%,0)</f>
        <v>0</v>
      </c>
      <c r="L3026" s="31">
        <f>IF(COUNTIFS(Addendum!C:C,A3026,Addendum!D:D,IF(ISNUMBER(B3026),TEXT(B3026,"0000"),B3026),Addendum!I:I,"X")&gt;0,10%,0)</f>
        <v>0</v>
      </c>
      <c r="M3026" s="34">
        <f t="shared" si="94"/>
        <v>0</v>
      </c>
      <c r="N3026" s="17">
        <f t="shared" si="95"/>
        <v>360</v>
      </c>
    </row>
    <row r="3027" spans="1:14" x14ac:dyDescent="0.25">
      <c r="A3027" s="14" t="s">
        <v>2643</v>
      </c>
      <c r="B3027" s="14">
        <v>12</v>
      </c>
      <c r="C3027" s="15" t="s">
        <v>2647</v>
      </c>
      <c r="D3027" s="14" t="s">
        <v>1749</v>
      </c>
      <c r="E3027" s="14" t="s">
        <v>1746</v>
      </c>
      <c r="F3027" s="17" t="s">
        <v>2995</v>
      </c>
      <c r="G3027" s="14">
        <v>1200</v>
      </c>
      <c r="H3027" s="14">
        <v>1080</v>
      </c>
      <c r="I3027" s="31">
        <f>IF(COUNTIFS(Addendum!C:C,A3027,Addendum!D:D,IF(ISNUMBER(B3027),TEXT(B3027,"0000"),B3027),Addendum!E:E,"X")&gt;0,4%,0)</f>
        <v>0</v>
      </c>
      <c r="J3027" s="31">
        <f>IF(COUNTIFS(Addendum!C:C,A3027,Addendum!D:D,IF(ISNUMBER(B3027),TEXT(B3027,"0000"),B3027),Addendum!F:F,"X")&gt;0,2.5%,0)</f>
        <v>0</v>
      </c>
      <c r="K3027" s="31">
        <f>IF(COUNTIFS(Addendum!C:C,A3027,Addendum!D:D,IF(ISNUMBER(B3027),TEXT(B3027,"0000"),B3027),Addendum!G:G,"X")&gt;0,7%,0)</f>
        <v>0</v>
      </c>
      <c r="L3027" s="31">
        <f>IF(COUNTIFS(Addendum!C:C,A3027,Addendum!D:D,IF(ISNUMBER(B3027),TEXT(B3027,"0000"),B3027),Addendum!I:I,"X")&gt;0,10%,0)</f>
        <v>0</v>
      </c>
      <c r="M3027" s="34">
        <f t="shared" si="94"/>
        <v>0</v>
      </c>
      <c r="N3027" s="17">
        <f t="shared" si="95"/>
        <v>1080</v>
      </c>
    </row>
    <row r="3028" spans="1:14" x14ac:dyDescent="0.25">
      <c r="A3028" s="14" t="s">
        <v>2643</v>
      </c>
      <c r="B3028" s="14">
        <v>12</v>
      </c>
      <c r="C3028" s="15" t="s">
        <v>2647</v>
      </c>
      <c r="D3028" s="14" t="s">
        <v>1745</v>
      </c>
      <c r="E3028" s="14" t="s">
        <v>1746</v>
      </c>
      <c r="F3028" s="17" t="s">
        <v>2995</v>
      </c>
      <c r="G3028" s="14">
        <v>12600</v>
      </c>
      <c r="H3028" s="14">
        <v>11340</v>
      </c>
      <c r="I3028" s="31">
        <f>IF(COUNTIFS(Addendum!C:C,A3028,Addendum!D:D,IF(ISNUMBER(B3028),TEXT(B3028,"0000"),B3028),Addendum!E:E,"X")&gt;0,4%,0)</f>
        <v>0</v>
      </c>
      <c r="J3028" s="31">
        <f>IF(COUNTIFS(Addendum!C:C,A3028,Addendum!D:D,IF(ISNUMBER(B3028),TEXT(B3028,"0000"),B3028),Addendum!F:F,"X")&gt;0,2.5%,0)</f>
        <v>0</v>
      </c>
      <c r="K3028" s="31">
        <f>IF(COUNTIFS(Addendum!C:C,A3028,Addendum!D:D,IF(ISNUMBER(B3028),TEXT(B3028,"0000"),B3028),Addendum!G:G,"X")&gt;0,7%,0)</f>
        <v>0</v>
      </c>
      <c r="L3028" s="31">
        <f>IF(COUNTIFS(Addendum!C:C,A3028,Addendum!D:D,IF(ISNUMBER(B3028),TEXT(B3028,"0000"),B3028),Addendum!I:I,"X")&gt;0,10%,0)</f>
        <v>0</v>
      </c>
      <c r="M3028" s="34">
        <f t="shared" si="94"/>
        <v>0</v>
      </c>
      <c r="N3028" s="17">
        <f t="shared" si="95"/>
        <v>11340</v>
      </c>
    </row>
    <row r="3029" spans="1:14" x14ac:dyDescent="0.25">
      <c r="A3029" s="14" t="s">
        <v>2643</v>
      </c>
      <c r="B3029" s="14">
        <v>2</v>
      </c>
      <c r="C3029" s="15" t="s">
        <v>2644</v>
      </c>
      <c r="D3029" s="14" t="s">
        <v>1745</v>
      </c>
      <c r="E3029" s="14" t="s">
        <v>1747</v>
      </c>
      <c r="F3029" s="17" t="s">
        <v>2993</v>
      </c>
      <c r="G3029" s="14">
        <v>29940</v>
      </c>
      <c r="H3029" s="14">
        <v>23952</v>
      </c>
      <c r="I3029" s="31">
        <f>IF(COUNTIFS(Addendum!C:C,A3029,Addendum!D:D,IF(ISNUMBER(B3029),TEXT(B3029,"0000"),B3029),Addendum!E:E,"X")&gt;0,4%,0)</f>
        <v>0</v>
      </c>
      <c r="J3029" s="31">
        <f>IF(COUNTIFS(Addendum!C:C,A3029,Addendum!D:D,IF(ISNUMBER(B3029),TEXT(B3029,"0000"),B3029),Addendum!F:F,"X")&gt;0,2.5%,0)</f>
        <v>0</v>
      </c>
      <c r="K3029" s="31">
        <f>IF(COUNTIFS(Addendum!C:C,A3029,Addendum!D:D,IF(ISNUMBER(B3029),TEXT(B3029,"0000"),B3029),Addendum!G:G,"X")&gt;0,7%,0)</f>
        <v>0</v>
      </c>
      <c r="L3029" s="31">
        <f>IF(COUNTIFS(Addendum!C:C,A3029,Addendum!D:D,IF(ISNUMBER(B3029),TEXT(B3029,"0000"),B3029),Addendum!I:I,"X")&gt;0,10%,0)</f>
        <v>0</v>
      </c>
      <c r="M3029" s="34">
        <f t="shared" si="94"/>
        <v>0</v>
      </c>
      <c r="N3029" s="17">
        <f t="shared" si="95"/>
        <v>23952</v>
      </c>
    </row>
    <row r="3030" spans="1:14" x14ac:dyDescent="0.25">
      <c r="A3030" s="14" t="s">
        <v>2643</v>
      </c>
      <c r="B3030" s="14" t="s">
        <v>243</v>
      </c>
      <c r="C3030" s="15" t="s">
        <v>2646</v>
      </c>
      <c r="D3030" s="14" t="s">
        <v>1745</v>
      </c>
      <c r="E3030" s="14" t="s">
        <v>1747</v>
      </c>
      <c r="F3030" s="17" t="s">
        <v>2994</v>
      </c>
      <c r="G3030" s="14">
        <v>6000</v>
      </c>
      <c r="H3030" s="14">
        <v>4800</v>
      </c>
      <c r="I3030" s="31">
        <f>IF(COUNTIFS(Addendum!C:C,A3030,Addendum!D:D,IF(ISNUMBER(B3030),TEXT(B3030,"0000"),B3030),Addendum!E:E,"X")&gt;0,4%,0)</f>
        <v>0</v>
      </c>
      <c r="J3030" s="31">
        <f>IF(COUNTIFS(Addendum!C:C,A3030,Addendum!D:D,IF(ISNUMBER(B3030),TEXT(B3030,"0000"),B3030),Addendum!F:F,"X")&gt;0,2.5%,0)</f>
        <v>0</v>
      </c>
      <c r="K3030" s="31">
        <f>IF(COUNTIFS(Addendum!C:C,A3030,Addendum!D:D,IF(ISNUMBER(B3030),TEXT(B3030,"0000"),B3030),Addendum!G:G,"X")&gt;0,7%,0)</f>
        <v>0</v>
      </c>
      <c r="L3030" s="31">
        <f>IF(COUNTIFS(Addendum!C:C,A3030,Addendum!D:D,IF(ISNUMBER(B3030),TEXT(B3030,"0000"),B3030),Addendum!I:I,"X")&gt;0,10%,0)</f>
        <v>0</v>
      </c>
      <c r="M3030" s="34">
        <f t="shared" si="94"/>
        <v>0</v>
      </c>
      <c r="N3030" s="17">
        <f t="shared" si="95"/>
        <v>4800</v>
      </c>
    </row>
    <row r="3031" spans="1:14" x14ac:dyDescent="0.25">
      <c r="A3031" s="14" t="s">
        <v>2648</v>
      </c>
      <c r="B3031" s="14">
        <v>4</v>
      </c>
      <c r="C3031" s="15" t="s">
        <v>2649</v>
      </c>
      <c r="D3031" s="14" t="s">
        <v>1749</v>
      </c>
      <c r="E3031" s="14" t="s">
        <v>1766</v>
      </c>
      <c r="F3031" s="17" t="s">
        <v>2993</v>
      </c>
      <c r="G3031" s="14">
        <v>0</v>
      </c>
      <c r="H3031" s="14">
        <v>0</v>
      </c>
      <c r="I3031" s="31">
        <f>IF(COUNTIFS(Addendum!C:C,A3031,Addendum!D:D,IF(ISNUMBER(B3031),TEXT(B3031,"0000"),B3031),Addendum!E:E,"X")&gt;0,4%,0)</f>
        <v>0</v>
      </c>
      <c r="J3031" s="31">
        <f>IF(COUNTIFS(Addendum!C:C,A3031,Addendum!D:D,IF(ISNUMBER(B3031),TEXT(B3031,"0000"),B3031),Addendum!F:F,"X")&gt;0,2.5%,0)</f>
        <v>0</v>
      </c>
      <c r="K3031" s="31">
        <f>IF(COUNTIFS(Addendum!C:C,A3031,Addendum!D:D,IF(ISNUMBER(B3031),TEXT(B3031,"0000"),B3031),Addendum!G:G,"X")&gt;0,7%,0)</f>
        <v>0</v>
      </c>
      <c r="L3031" s="31">
        <f>IF(COUNTIFS(Addendum!C:C,A3031,Addendum!D:D,IF(ISNUMBER(B3031),TEXT(B3031,"0000"),B3031),Addendum!I:I,"X")&gt;0,10%,0)</f>
        <v>0</v>
      </c>
      <c r="M3031" s="34">
        <f t="shared" si="94"/>
        <v>0</v>
      </c>
      <c r="N3031" s="17">
        <f t="shared" si="95"/>
        <v>0</v>
      </c>
    </row>
    <row r="3032" spans="1:14" x14ac:dyDescent="0.25">
      <c r="A3032" s="14" t="s">
        <v>2648</v>
      </c>
      <c r="B3032" s="14">
        <v>2</v>
      </c>
      <c r="C3032" s="15" t="s">
        <v>2649</v>
      </c>
      <c r="D3032" s="14" t="s">
        <v>1745</v>
      </c>
      <c r="E3032" s="14" t="s">
        <v>1746</v>
      </c>
      <c r="F3032" s="17" t="s">
        <v>2993</v>
      </c>
      <c r="G3032" s="14">
        <v>10458</v>
      </c>
      <c r="H3032" s="14">
        <v>8366.4</v>
      </c>
      <c r="I3032" s="31">
        <f>IF(COUNTIFS(Addendum!C:C,A3032,Addendum!D:D,IF(ISNUMBER(B3032),TEXT(B3032,"0000"),B3032),Addendum!E:E,"X")&gt;0,4%,0)</f>
        <v>0</v>
      </c>
      <c r="J3032" s="31">
        <f>IF(COUNTIFS(Addendum!C:C,A3032,Addendum!D:D,IF(ISNUMBER(B3032),TEXT(B3032,"0000"),B3032),Addendum!F:F,"X")&gt;0,2.5%,0)</f>
        <v>0</v>
      </c>
      <c r="K3032" s="31">
        <f>IF(COUNTIFS(Addendum!C:C,A3032,Addendum!D:D,IF(ISNUMBER(B3032),TEXT(B3032,"0000"),B3032),Addendum!G:G,"X")&gt;0,7%,0)</f>
        <v>0</v>
      </c>
      <c r="L3032" s="31">
        <f>IF(COUNTIFS(Addendum!C:C,A3032,Addendum!D:D,IF(ISNUMBER(B3032),TEXT(B3032,"0000"),B3032),Addendum!I:I,"X")&gt;0,10%,0)</f>
        <v>0</v>
      </c>
      <c r="M3032" s="34">
        <f t="shared" si="94"/>
        <v>0</v>
      </c>
      <c r="N3032" s="17">
        <f t="shared" si="95"/>
        <v>8366.4</v>
      </c>
    </row>
    <row r="3033" spans="1:14" x14ac:dyDescent="0.25">
      <c r="A3033" s="14" t="s">
        <v>2648</v>
      </c>
      <c r="B3033" s="14">
        <v>2</v>
      </c>
      <c r="C3033" s="15" t="s">
        <v>2649</v>
      </c>
      <c r="D3033" s="14" t="s">
        <v>1749</v>
      </c>
      <c r="E3033" s="14" t="s">
        <v>1746</v>
      </c>
      <c r="F3033" s="17" t="s">
        <v>2993</v>
      </c>
      <c r="G3033" s="14">
        <v>996</v>
      </c>
      <c r="H3033" s="14">
        <v>796.8</v>
      </c>
      <c r="I3033" s="31">
        <f>IF(COUNTIFS(Addendum!C:C,A3033,Addendum!D:D,IF(ISNUMBER(B3033),TEXT(B3033,"0000"),B3033),Addendum!E:E,"X")&gt;0,4%,0)</f>
        <v>0</v>
      </c>
      <c r="J3033" s="31">
        <f>IF(COUNTIFS(Addendum!C:C,A3033,Addendum!D:D,IF(ISNUMBER(B3033),TEXT(B3033,"0000"),B3033),Addendum!F:F,"X")&gt;0,2.5%,0)</f>
        <v>0</v>
      </c>
      <c r="K3033" s="31">
        <f>IF(COUNTIFS(Addendum!C:C,A3033,Addendum!D:D,IF(ISNUMBER(B3033),TEXT(B3033,"0000"),B3033),Addendum!G:G,"X")&gt;0,7%,0)</f>
        <v>0</v>
      </c>
      <c r="L3033" s="31">
        <f>IF(COUNTIFS(Addendum!C:C,A3033,Addendum!D:D,IF(ISNUMBER(B3033),TEXT(B3033,"0000"),B3033),Addendum!I:I,"X")&gt;0,10%,0)</f>
        <v>0</v>
      </c>
      <c r="M3033" s="34">
        <f t="shared" si="94"/>
        <v>0</v>
      </c>
      <c r="N3033" s="17">
        <f t="shared" si="95"/>
        <v>796.8</v>
      </c>
    </row>
    <row r="3034" spans="1:14" x14ac:dyDescent="0.25">
      <c r="A3034" s="14" t="s">
        <v>2648</v>
      </c>
      <c r="B3034" s="14">
        <v>2</v>
      </c>
      <c r="C3034" s="15" t="s">
        <v>2649</v>
      </c>
      <c r="D3034" s="14" t="s">
        <v>1745</v>
      </c>
      <c r="E3034" s="14" t="s">
        <v>1747</v>
      </c>
      <c r="F3034" s="17" t="s">
        <v>2993</v>
      </c>
      <c r="G3034" s="14">
        <v>9960</v>
      </c>
      <c r="H3034" s="14">
        <v>7968</v>
      </c>
      <c r="I3034" s="31">
        <f>IF(COUNTIFS(Addendum!C:C,A3034,Addendum!D:D,IF(ISNUMBER(B3034),TEXT(B3034,"0000"),B3034),Addendum!E:E,"X")&gt;0,4%,0)</f>
        <v>0</v>
      </c>
      <c r="J3034" s="31">
        <f>IF(COUNTIFS(Addendum!C:C,A3034,Addendum!D:D,IF(ISNUMBER(B3034),TEXT(B3034,"0000"),B3034),Addendum!F:F,"X")&gt;0,2.5%,0)</f>
        <v>0</v>
      </c>
      <c r="K3034" s="31">
        <f>IF(COUNTIFS(Addendum!C:C,A3034,Addendum!D:D,IF(ISNUMBER(B3034),TEXT(B3034,"0000"),B3034),Addendum!G:G,"X")&gt;0,7%,0)</f>
        <v>0</v>
      </c>
      <c r="L3034" s="31">
        <f>IF(COUNTIFS(Addendum!C:C,A3034,Addendum!D:D,IF(ISNUMBER(B3034),TEXT(B3034,"0000"),B3034),Addendum!I:I,"X")&gt;0,10%,0)</f>
        <v>0</v>
      </c>
      <c r="M3034" s="34">
        <f t="shared" si="94"/>
        <v>0</v>
      </c>
      <c r="N3034" s="17">
        <f t="shared" si="95"/>
        <v>7968</v>
      </c>
    </row>
    <row r="3035" spans="1:14" x14ac:dyDescent="0.25">
      <c r="A3035" s="14" t="s">
        <v>2650</v>
      </c>
      <c r="B3035" s="14">
        <v>9</v>
      </c>
      <c r="C3035" s="15" t="s">
        <v>2651</v>
      </c>
      <c r="D3035" s="14" t="s">
        <v>1745</v>
      </c>
      <c r="E3035" s="14" t="s">
        <v>1746</v>
      </c>
      <c r="F3035" s="17" t="s">
        <v>2994</v>
      </c>
      <c r="G3035" s="14">
        <v>36666</v>
      </c>
      <c r="H3035" s="14">
        <v>27499.56</v>
      </c>
      <c r="I3035" s="31">
        <f>IF(COUNTIFS(Addendum!C:C,A3035,Addendum!D:D,IF(ISNUMBER(B3035),TEXT(B3035,"0000"),B3035),Addendum!E:E,"X")&gt;0,4%,0)</f>
        <v>0</v>
      </c>
      <c r="J3035" s="31">
        <f>IF(COUNTIFS(Addendum!C:C,A3035,Addendum!D:D,IF(ISNUMBER(B3035),TEXT(B3035,"0000"),B3035),Addendum!F:F,"X")&gt;0,2.5%,0)</f>
        <v>0</v>
      </c>
      <c r="K3035" s="31">
        <f>IF(COUNTIFS(Addendum!C:C,A3035,Addendum!D:D,IF(ISNUMBER(B3035),TEXT(B3035,"0000"),B3035),Addendum!G:G,"X")&gt;0,7%,0)</f>
        <v>0</v>
      </c>
      <c r="L3035" s="31">
        <f>IF(COUNTIFS(Addendum!C:C,A3035,Addendum!D:D,IF(ISNUMBER(B3035),TEXT(B3035,"0000"),B3035),Addendum!I:I,"X")&gt;0,10%,0)</f>
        <v>0</v>
      </c>
      <c r="M3035" s="34">
        <f t="shared" si="94"/>
        <v>0</v>
      </c>
      <c r="N3035" s="17">
        <f t="shared" si="95"/>
        <v>27499.56</v>
      </c>
    </row>
    <row r="3036" spans="1:14" x14ac:dyDescent="0.25">
      <c r="A3036" s="14" t="s">
        <v>2650</v>
      </c>
      <c r="B3036" s="14">
        <v>9</v>
      </c>
      <c r="C3036" s="15" t="s">
        <v>2651</v>
      </c>
      <c r="D3036" s="14" t="s">
        <v>1749</v>
      </c>
      <c r="E3036" s="14" t="s">
        <v>1746</v>
      </c>
      <c r="F3036" s="17" t="s">
        <v>2994</v>
      </c>
      <c r="G3036" s="14">
        <v>3492</v>
      </c>
      <c r="H3036" s="14">
        <v>2619</v>
      </c>
      <c r="I3036" s="31">
        <f>IF(COUNTIFS(Addendum!C:C,A3036,Addendum!D:D,IF(ISNUMBER(B3036),TEXT(B3036,"0000"),B3036),Addendum!E:E,"X")&gt;0,4%,0)</f>
        <v>0</v>
      </c>
      <c r="J3036" s="31">
        <f>IF(COUNTIFS(Addendum!C:C,A3036,Addendum!D:D,IF(ISNUMBER(B3036),TEXT(B3036,"0000"),B3036),Addendum!F:F,"X")&gt;0,2.5%,0)</f>
        <v>0</v>
      </c>
      <c r="K3036" s="31">
        <f>IF(COUNTIFS(Addendum!C:C,A3036,Addendum!D:D,IF(ISNUMBER(B3036),TEXT(B3036,"0000"),B3036),Addendum!G:G,"X")&gt;0,7%,0)</f>
        <v>0</v>
      </c>
      <c r="L3036" s="31">
        <f>IF(COUNTIFS(Addendum!C:C,A3036,Addendum!D:D,IF(ISNUMBER(B3036),TEXT(B3036,"0000"),B3036),Addendum!I:I,"X")&gt;0,10%,0)</f>
        <v>0</v>
      </c>
      <c r="M3036" s="34">
        <f t="shared" si="94"/>
        <v>0</v>
      </c>
      <c r="N3036" s="17">
        <f t="shared" si="95"/>
        <v>2619</v>
      </c>
    </row>
    <row r="3037" spans="1:14" x14ac:dyDescent="0.25">
      <c r="A3037" s="14" t="s">
        <v>2650</v>
      </c>
      <c r="B3037" s="14" t="s">
        <v>16</v>
      </c>
      <c r="C3037" s="15" t="s">
        <v>2652</v>
      </c>
      <c r="D3037" s="14" t="s">
        <v>1745</v>
      </c>
      <c r="E3037" s="14" t="s">
        <v>1747</v>
      </c>
      <c r="F3037" s="17" t="s">
        <v>2995</v>
      </c>
      <c r="G3037" s="14">
        <v>34920</v>
      </c>
      <c r="H3037" s="14">
        <v>31428</v>
      </c>
      <c r="I3037" s="31">
        <f>IF(COUNTIFS(Addendum!C:C,A3037,Addendum!D:D,IF(ISNUMBER(B3037),TEXT(B3037,"0000"),B3037),Addendum!E:E,"X")&gt;0,4%,0)</f>
        <v>0</v>
      </c>
      <c r="J3037" s="31">
        <f>IF(COUNTIFS(Addendum!C:C,A3037,Addendum!D:D,IF(ISNUMBER(B3037),TEXT(B3037,"0000"),B3037),Addendum!F:F,"X")&gt;0,2.5%,0)</f>
        <v>0</v>
      </c>
      <c r="K3037" s="31">
        <f>IF(COUNTIFS(Addendum!C:C,A3037,Addendum!D:D,IF(ISNUMBER(B3037),TEXT(B3037,"0000"),B3037),Addendum!G:G,"X")&gt;0,7%,0)</f>
        <v>0</v>
      </c>
      <c r="L3037" s="31">
        <f>IF(COUNTIFS(Addendum!C:C,A3037,Addendum!D:D,IF(ISNUMBER(B3037),TEXT(B3037,"0000"),B3037),Addendum!I:I,"X")&gt;0,10%,0)</f>
        <v>0</v>
      </c>
      <c r="M3037" s="34">
        <f t="shared" si="94"/>
        <v>0</v>
      </c>
      <c r="N3037" s="17">
        <f t="shared" si="95"/>
        <v>31428</v>
      </c>
    </row>
    <row r="3038" spans="1:14" x14ac:dyDescent="0.25">
      <c r="A3038" s="14" t="s">
        <v>2650</v>
      </c>
      <c r="B3038" s="14" t="s">
        <v>16</v>
      </c>
      <c r="C3038" s="15" t="s">
        <v>2652</v>
      </c>
      <c r="D3038" s="14" t="s">
        <v>1749</v>
      </c>
      <c r="E3038" s="14" t="s">
        <v>1746</v>
      </c>
      <c r="F3038" s="17" t="s">
        <v>2995</v>
      </c>
      <c r="G3038" s="14">
        <v>3492</v>
      </c>
      <c r="H3038" s="14">
        <v>3142.8</v>
      </c>
      <c r="I3038" s="31">
        <f>IF(COUNTIFS(Addendum!C:C,A3038,Addendum!D:D,IF(ISNUMBER(B3038),TEXT(B3038,"0000"),B3038),Addendum!E:E,"X")&gt;0,4%,0)</f>
        <v>0</v>
      </c>
      <c r="J3038" s="31">
        <f>IF(COUNTIFS(Addendum!C:C,A3038,Addendum!D:D,IF(ISNUMBER(B3038),TEXT(B3038,"0000"),B3038),Addendum!F:F,"X")&gt;0,2.5%,0)</f>
        <v>0</v>
      </c>
      <c r="K3038" s="31">
        <f>IF(COUNTIFS(Addendum!C:C,A3038,Addendum!D:D,IF(ISNUMBER(B3038),TEXT(B3038,"0000"),B3038),Addendum!G:G,"X")&gt;0,7%,0)</f>
        <v>0</v>
      </c>
      <c r="L3038" s="31">
        <f>IF(COUNTIFS(Addendum!C:C,A3038,Addendum!D:D,IF(ISNUMBER(B3038),TEXT(B3038,"0000"),B3038),Addendum!I:I,"X")&gt;0,10%,0)</f>
        <v>0</v>
      </c>
      <c r="M3038" s="34">
        <f t="shared" si="94"/>
        <v>0</v>
      </c>
      <c r="N3038" s="17">
        <f t="shared" si="95"/>
        <v>3142.8</v>
      </c>
    </row>
    <row r="3039" spans="1:14" x14ac:dyDescent="0.25">
      <c r="A3039" s="14" t="s">
        <v>2650</v>
      </c>
      <c r="B3039" s="14">
        <v>1</v>
      </c>
      <c r="C3039" s="15" t="s">
        <v>2653</v>
      </c>
      <c r="D3039" s="14" t="s">
        <v>1749</v>
      </c>
      <c r="E3039" s="14" t="s">
        <v>1746</v>
      </c>
      <c r="F3039" s="17" t="s">
        <v>2993</v>
      </c>
      <c r="G3039" s="14">
        <v>4992</v>
      </c>
      <c r="H3039" s="14">
        <v>3744</v>
      </c>
      <c r="I3039" s="31">
        <f>IF(COUNTIFS(Addendum!C:C,A3039,Addendum!D:D,IF(ISNUMBER(B3039),TEXT(B3039,"0000"),B3039),Addendum!E:E,"X")&gt;0,4%,0)</f>
        <v>0</v>
      </c>
      <c r="J3039" s="31">
        <f>IF(COUNTIFS(Addendum!C:C,A3039,Addendum!D:D,IF(ISNUMBER(B3039),TEXT(B3039,"0000"),B3039),Addendum!F:F,"X")&gt;0,2.5%,0)</f>
        <v>0</v>
      </c>
      <c r="K3039" s="31">
        <f>IF(COUNTIFS(Addendum!C:C,A3039,Addendum!D:D,IF(ISNUMBER(B3039),TEXT(B3039,"0000"),B3039),Addendum!G:G,"X")&gt;0,7%,0)</f>
        <v>0</v>
      </c>
      <c r="L3039" s="31">
        <f>IF(COUNTIFS(Addendum!C:C,A3039,Addendum!D:D,IF(ISNUMBER(B3039),TEXT(B3039,"0000"),B3039),Addendum!I:I,"X")&gt;0,10%,0)</f>
        <v>0</v>
      </c>
      <c r="M3039" s="34">
        <f t="shared" si="94"/>
        <v>0</v>
      </c>
      <c r="N3039" s="17">
        <f t="shared" si="95"/>
        <v>3744</v>
      </c>
    </row>
    <row r="3040" spans="1:14" x14ac:dyDescent="0.25">
      <c r="A3040" s="14" t="s">
        <v>2650</v>
      </c>
      <c r="B3040" s="14" t="s">
        <v>16</v>
      </c>
      <c r="C3040" s="15" t="s">
        <v>2652</v>
      </c>
      <c r="D3040" s="14" t="s">
        <v>1745</v>
      </c>
      <c r="E3040" s="14" t="s">
        <v>1746</v>
      </c>
      <c r="F3040" s="17" t="s">
        <v>2995</v>
      </c>
      <c r="G3040" s="14">
        <v>36666</v>
      </c>
      <c r="H3040" s="14">
        <v>32999.4</v>
      </c>
      <c r="I3040" s="31">
        <f>IF(COUNTIFS(Addendum!C:C,A3040,Addendum!D:D,IF(ISNUMBER(B3040),TEXT(B3040,"0000"),B3040),Addendum!E:E,"X")&gt;0,4%,0)</f>
        <v>0</v>
      </c>
      <c r="J3040" s="31">
        <f>IF(COUNTIFS(Addendum!C:C,A3040,Addendum!D:D,IF(ISNUMBER(B3040),TEXT(B3040,"0000"),B3040),Addendum!F:F,"X")&gt;0,2.5%,0)</f>
        <v>0</v>
      </c>
      <c r="K3040" s="31">
        <f>IF(COUNTIFS(Addendum!C:C,A3040,Addendum!D:D,IF(ISNUMBER(B3040),TEXT(B3040,"0000"),B3040),Addendum!G:G,"X")&gt;0,7%,0)</f>
        <v>0</v>
      </c>
      <c r="L3040" s="31">
        <f>IF(COUNTIFS(Addendum!C:C,A3040,Addendum!D:D,IF(ISNUMBER(B3040),TEXT(B3040,"0000"),B3040),Addendum!I:I,"X")&gt;0,10%,0)</f>
        <v>0</v>
      </c>
      <c r="M3040" s="34">
        <f t="shared" si="94"/>
        <v>0</v>
      </c>
      <c r="N3040" s="17">
        <f t="shared" si="95"/>
        <v>32999.4</v>
      </c>
    </row>
    <row r="3041" spans="1:14" x14ac:dyDescent="0.25">
      <c r="A3041" s="14" t="s">
        <v>2650</v>
      </c>
      <c r="B3041" s="14">
        <v>1</v>
      </c>
      <c r="C3041" s="15" t="s">
        <v>2653</v>
      </c>
      <c r="D3041" s="14" t="s">
        <v>1745</v>
      </c>
      <c r="E3041" s="14" t="s">
        <v>1746</v>
      </c>
      <c r="F3041" s="17" t="s">
        <v>2993</v>
      </c>
      <c r="G3041" s="14">
        <v>52416</v>
      </c>
      <c r="H3041" s="14">
        <v>39312</v>
      </c>
      <c r="I3041" s="31">
        <f>IF(COUNTIFS(Addendum!C:C,A3041,Addendum!D:D,IF(ISNUMBER(B3041),TEXT(B3041,"0000"),B3041),Addendum!E:E,"X")&gt;0,4%,0)</f>
        <v>0</v>
      </c>
      <c r="J3041" s="31">
        <f>IF(COUNTIFS(Addendum!C:C,A3041,Addendum!D:D,IF(ISNUMBER(B3041),TEXT(B3041,"0000"),B3041),Addendum!F:F,"X")&gt;0,2.5%,0)</f>
        <v>0</v>
      </c>
      <c r="K3041" s="31">
        <f>IF(COUNTIFS(Addendum!C:C,A3041,Addendum!D:D,IF(ISNUMBER(B3041),TEXT(B3041,"0000"),B3041),Addendum!G:G,"X")&gt;0,7%,0)</f>
        <v>0</v>
      </c>
      <c r="L3041" s="31">
        <f>IF(COUNTIFS(Addendum!C:C,A3041,Addendum!D:D,IF(ISNUMBER(B3041),TEXT(B3041,"0000"),B3041),Addendum!I:I,"X")&gt;0,10%,0)</f>
        <v>0</v>
      </c>
      <c r="M3041" s="34">
        <f t="shared" si="94"/>
        <v>0</v>
      </c>
      <c r="N3041" s="17">
        <f t="shared" si="95"/>
        <v>39312</v>
      </c>
    </row>
    <row r="3042" spans="1:14" x14ac:dyDescent="0.25">
      <c r="A3042" s="14" t="s">
        <v>2650</v>
      </c>
      <c r="B3042" s="14">
        <v>9</v>
      </c>
      <c r="C3042" s="15" t="s">
        <v>2651</v>
      </c>
      <c r="D3042" s="14" t="s">
        <v>1745</v>
      </c>
      <c r="E3042" s="14" t="s">
        <v>1747</v>
      </c>
      <c r="F3042" s="17" t="s">
        <v>2994</v>
      </c>
      <c r="G3042" s="14">
        <v>34920</v>
      </c>
      <c r="H3042" s="14">
        <v>26190</v>
      </c>
      <c r="I3042" s="31">
        <f>IF(COUNTIFS(Addendum!C:C,A3042,Addendum!D:D,IF(ISNUMBER(B3042),TEXT(B3042,"0000"),B3042),Addendum!E:E,"X")&gt;0,4%,0)</f>
        <v>0</v>
      </c>
      <c r="J3042" s="31">
        <f>IF(COUNTIFS(Addendum!C:C,A3042,Addendum!D:D,IF(ISNUMBER(B3042),TEXT(B3042,"0000"),B3042),Addendum!F:F,"X")&gt;0,2.5%,0)</f>
        <v>0</v>
      </c>
      <c r="K3042" s="31">
        <f>IF(COUNTIFS(Addendum!C:C,A3042,Addendum!D:D,IF(ISNUMBER(B3042),TEXT(B3042,"0000"),B3042),Addendum!G:G,"X")&gt;0,7%,0)</f>
        <v>0</v>
      </c>
      <c r="L3042" s="31">
        <f>IF(COUNTIFS(Addendum!C:C,A3042,Addendum!D:D,IF(ISNUMBER(B3042),TEXT(B3042,"0000"),B3042),Addendum!I:I,"X")&gt;0,10%,0)</f>
        <v>0</v>
      </c>
      <c r="M3042" s="34">
        <f t="shared" si="94"/>
        <v>0</v>
      </c>
      <c r="N3042" s="17">
        <f t="shared" si="95"/>
        <v>26190</v>
      </c>
    </row>
    <row r="3043" spans="1:14" x14ac:dyDescent="0.25">
      <c r="A3043" s="14" t="s">
        <v>2650</v>
      </c>
      <c r="B3043" s="14">
        <v>1</v>
      </c>
      <c r="C3043" s="15" t="s">
        <v>2653</v>
      </c>
      <c r="D3043" s="14" t="s">
        <v>1745</v>
      </c>
      <c r="E3043" s="14" t="s">
        <v>1747</v>
      </c>
      <c r="F3043" s="17" t="s">
        <v>2993</v>
      </c>
      <c r="G3043" s="14">
        <v>49920</v>
      </c>
      <c r="H3043" s="14">
        <v>37440</v>
      </c>
      <c r="I3043" s="31">
        <f>IF(COUNTIFS(Addendum!C:C,A3043,Addendum!D:D,IF(ISNUMBER(B3043),TEXT(B3043,"0000"),B3043),Addendum!E:E,"X")&gt;0,4%,0)</f>
        <v>0</v>
      </c>
      <c r="J3043" s="31">
        <f>IF(COUNTIFS(Addendum!C:C,A3043,Addendum!D:D,IF(ISNUMBER(B3043),TEXT(B3043,"0000"),B3043),Addendum!F:F,"X")&gt;0,2.5%,0)</f>
        <v>0</v>
      </c>
      <c r="K3043" s="31">
        <f>IF(COUNTIFS(Addendum!C:C,A3043,Addendum!D:D,IF(ISNUMBER(B3043),TEXT(B3043,"0000"),B3043),Addendum!G:G,"X")&gt;0,7%,0)</f>
        <v>0</v>
      </c>
      <c r="L3043" s="31">
        <f>IF(COUNTIFS(Addendum!C:C,A3043,Addendum!D:D,IF(ISNUMBER(B3043),TEXT(B3043,"0000"),B3043),Addendum!I:I,"X")&gt;0,10%,0)</f>
        <v>0</v>
      </c>
      <c r="M3043" s="34">
        <f t="shared" si="94"/>
        <v>0</v>
      </c>
      <c r="N3043" s="17">
        <f t="shared" si="95"/>
        <v>37440</v>
      </c>
    </row>
    <row r="3044" spans="1:14" x14ac:dyDescent="0.25">
      <c r="A3044" s="14" t="s">
        <v>2654</v>
      </c>
      <c r="B3044" s="14" t="s">
        <v>28</v>
      </c>
      <c r="C3044" s="15" t="s">
        <v>2655</v>
      </c>
      <c r="D3044" s="14" t="s">
        <v>1749</v>
      </c>
      <c r="E3044" s="14" t="s">
        <v>1746</v>
      </c>
      <c r="F3044" s="17" t="s">
        <v>2994</v>
      </c>
      <c r="G3044" s="14">
        <v>300</v>
      </c>
      <c r="H3044" s="14">
        <v>240</v>
      </c>
      <c r="I3044" s="31">
        <f>IF(COUNTIFS(Addendum!C:C,A3044,Addendum!D:D,IF(ISNUMBER(B3044),TEXT(B3044,"0000"),B3044),Addendum!E:E,"X")&gt;0,4%,0)</f>
        <v>0</v>
      </c>
      <c r="J3044" s="31">
        <f>IF(COUNTIFS(Addendum!C:C,A3044,Addendum!D:D,IF(ISNUMBER(B3044),TEXT(B3044,"0000"),B3044),Addendum!F:F,"X")&gt;0,2.5%,0)</f>
        <v>0</v>
      </c>
      <c r="K3044" s="31">
        <f>IF(COUNTIFS(Addendum!C:C,A3044,Addendum!D:D,IF(ISNUMBER(B3044),TEXT(B3044,"0000"),B3044),Addendum!G:G,"X")&gt;0,7%,0)</f>
        <v>0</v>
      </c>
      <c r="L3044" s="31">
        <f>IF(COUNTIFS(Addendum!C:C,A3044,Addendum!D:D,IF(ISNUMBER(B3044),TEXT(B3044,"0000"),B3044),Addendum!I:I,"X")&gt;0,10%,0)</f>
        <v>0</v>
      </c>
      <c r="M3044" s="34">
        <f t="shared" si="94"/>
        <v>0</v>
      </c>
      <c r="N3044" s="17">
        <f t="shared" si="95"/>
        <v>240</v>
      </c>
    </row>
    <row r="3045" spans="1:14" x14ac:dyDescent="0.25">
      <c r="A3045" s="14" t="s">
        <v>2654</v>
      </c>
      <c r="B3045" s="14" t="s">
        <v>89</v>
      </c>
      <c r="C3045" s="15" t="s">
        <v>2656</v>
      </c>
      <c r="D3045" s="14" t="s">
        <v>1745</v>
      </c>
      <c r="E3045" s="14" t="s">
        <v>1746</v>
      </c>
      <c r="F3045" s="17" t="s">
        <v>2995</v>
      </c>
      <c r="G3045" s="14">
        <v>2646</v>
      </c>
      <c r="H3045" s="14">
        <v>2381.4</v>
      </c>
      <c r="I3045" s="31">
        <f>IF(COUNTIFS(Addendum!C:C,A3045,Addendum!D:D,IF(ISNUMBER(B3045),TEXT(B3045,"0000"),B3045),Addendum!E:E,"X")&gt;0,4%,0)</f>
        <v>0</v>
      </c>
      <c r="J3045" s="31">
        <f>IF(COUNTIFS(Addendum!C:C,A3045,Addendum!D:D,IF(ISNUMBER(B3045),TEXT(B3045,"0000"),B3045),Addendum!F:F,"X")&gt;0,2.5%,0)</f>
        <v>0</v>
      </c>
      <c r="K3045" s="31">
        <f>IF(COUNTIFS(Addendum!C:C,A3045,Addendum!D:D,IF(ISNUMBER(B3045),TEXT(B3045,"0000"),B3045),Addendum!G:G,"X")&gt;0,7%,0)</f>
        <v>0</v>
      </c>
      <c r="L3045" s="31">
        <f>IF(COUNTIFS(Addendum!C:C,A3045,Addendum!D:D,IF(ISNUMBER(B3045),TEXT(B3045,"0000"),B3045),Addendum!I:I,"X")&gt;0,10%,0)</f>
        <v>0</v>
      </c>
      <c r="M3045" s="34">
        <f t="shared" si="94"/>
        <v>0</v>
      </c>
      <c r="N3045" s="17">
        <f t="shared" si="95"/>
        <v>2381.4</v>
      </c>
    </row>
    <row r="3046" spans="1:14" x14ac:dyDescent="0.25">
      <c r="A3046" s="14" t="s">
        <v>2654</v>
      </c>
      <c r="B3046" s="14" t="s">
        <v>28</v>
      </c>
      <c r="C3046" s="15" t="s">
        <v>2655</v>
      </c>
      <c r="D3046" s="14" t="s">
        <v>1745</v>
      </c>
      <c r="E3046" s="14" t="s">
        <v>1746</v>
      </c>
      <c r="F3046" s="17" t="s">
        <v>2994</v>
      </c>
      <c r="G3046" s="14">
        <v>3150</v>
      </c>
      <c r="H3046" s="14">
        <v>2520</v>
      </c>
      <c r="I3046" s="31">
        <f>IF(COUNTIFS(Addendum!C:C,A3046,Addendum!D:D,IF(ISNUMBER(B3046),TEXT(B3046,"0000"),B3046),Addendum!E:E,"X")&gt;0,4%,0)</f>
        <v>0</v>
      </c>
      <c r="J3046" s="31">
        <f>IF(COUNTIFS(Addendum!C:C,A3046,Addendum!D:D,IF(ISNUMBER(B3046),TEXT(B3046,"0000"),B3046),Addendum!F:F,"X")&gt;0,2.5%,0)</f>
        <v>0</v>
      </c>
      <c r="K3046" s="31">
        <f>IF(COUNTIFS(Addendum!C:C,A3046,Addendum!D:D,IF(ISNUMBER(B3046),TEXT(B3046,"0000"),B3046),Addendum!G:G,"X")&gt;0,7%,0)</f>
        <v>0</v>
      </c>
      <c r="L3046" s="31">
        <f>IF(COUNTIFS(Addendum!C:C,A3046,Addendum!D:D,IF(ISNUMBER(B3046),TEXT(B3046,"0000"),B3046),Addendum!I:I,"X")&gt;0,10%,0)</f>
        <v>0</v>
      </c>
      <c r="M3046" s="34">
        <f t="shared" si="94"/>
        <v>0</v>
      </c>
      <c r="N3046" s="17">
        <f t="shared" si="95"/>
        <v>2520</v>
      </c>
    </row>
    <row r="3047" spans="1:14" x14ac:dyDescent="0.25">
      <c r="A3047" s="14" t="s">
        <v>2654</v>
      </c>
      <c r="B3047" s="14" t="s">
        <v>73</v>
      </c>
      <c r="C3047" s="15" t="s">
        <v>2657</v>
      </c>
      <c r="D3047" s="14" t="s">
        <v>1749</v>
      </c>
      <c r="E3047" s="14" t="s">
        <v>1746</v>
      </c>
      <c r="F3047" s="17" t="s">
        <v>2994</v>
      </c>
      <c r="G3047" s="14">
        <v>348</v>
      </c>
      <c r="H3047" s="14">
        <v>278.39999999999998</v>
      </c>
      <c r="I3047" s="31">
        <f>IF(COUNTIFS(Addendum!C:C,A3047,Addendum!D:D,IF(ISNUMBER(B3047),TEXT(B3047,"0000"),B3047),Addendum!E:E,"X")&gt;0,4%,0)</f>
        <v>0</v>
      </c>
      <c r="J3047" s="31">
        <f>IF(COUNTIFS(Addendum!C:C,A3047,Addendum!D:D,IF(ISNUMBER(B3047),TEXT(B3047,"0000"),B3047),Addendum!F:F,"X")&gt;0,2.5%,0)</f>
        <v>0</v>
      </c>
      <c r="K3047" s="31">
        <f>IF(COUNTIFS(Addendum!C:C,A3047,Addendum!D:D,IF(ISNUMBER(B3047),TEXT(B3047,"0000"),B3047),Addendum!G:G,"X")&gt;0,7%,0)</f>
        <v>0</v>
      </c>
      <c r="L3047" s="31">
        <f>IF(COUNTIFS(Addendum!C:C,A3047,Addendum!D:D,IF(ISNUMBER(B3047),TEXT(B3047,"0000"),B3047),Addendum!I:I,"X")&gt;0,10%,0)</f>
        <v>0</v>
      </c>
      <c r="M3047" s="34">
        <f t="shared" si="94"/>
        <v>0</v>
      </c>
      <c r="N3047" s="17">
        <f t="shared" si="95"/>
        <v>278.39999999999998</v>
      </c>
    </row>
    <row r="3048" spans="1:14" x14ac:dyDescent="0.25">
      <c r="A3048" s="14" t="s">
        <v>2654</v>
      </c>
      <c r="B3048" s="14" t="s">
        <v>89</v>
      </c>
      <c r="C3048" s="15" t="s">
        <v>2656</v>
      </c>
      <c r="D3048" s="14" t="s">
        <v>1749</v>
      </c>
      <c r="E3048" s="14" t="s">
        <v>1746</v>
      </c>
      <c r="F3048" s="17" t="s">
        <v>2995</v>
      </c>
      <c r="G3048" s="14">
        <v>252</v>
      </c>
      <c r="H3048" s="14">
        <v>226.8</v>
      </c>
      <c r="I3048" s="31">
        <f>IF(COUNTIFS(Addendum!C:C,A3048,Addendum!D:D,IF(ISNUMBER(B3048),TEXT(B3048,"0000"),B3048),Addendum!E:E,"X")&gt;0,4%,0)</f>
        <v>0</v>
      </c>
      <c r="J3048" s="31">
        <f>IF(COUNTIFS(Addendum!C:C,A3048,Addendum!D:D,IF(ISNUMBER(B3048),TEXT(B3048,"0000"),B3048),Addendum!F:F,"X")&gt;0,2.5%,0)</f>
        <v>0</v>
      </c>
      <c r="K3048" s="31">
        <f>IF(COUNTIFS(Addendum!C:C,A3048,Addendum!D:D,IF(ISNUMBER(B3048),TEXT(B3048,"0000"),B3048),Addendum!G:G,"X")&gt;0,7%,0)</f>
        <v>0</v>
      </c>
      <c r="L3048" s="31">
        <f>IF(COUNTIFS(Addendum!C:C,A3048,Addendum!D:D,IF(ISNUMBER(B3048),TEXT(B3048,"0000"),B3048),Addendum!I:I,"X")&gt;0,10%,0)</f>
        <v>0</v>
      </c>
      <c r="M3048" s="34">
        <f t="shared" si="94"/>
        <v>0</v>
      </c>
      <c r="N3048" s="17">
        <f t="shared" si="95"/>
        <v>226.8</v>
      </c>
    </row>
    <row r="3049" spans="1:14" x14ac:dyDescent="0.25">
      <c r="A3049" s="14" t="s">
        <v>2654</v>
      </c>
      <c r="B3049" s="14" t="s">
        <v>89</v>
      </c>
      <c r="C3049" s="15" t="s">
        <v>2656</v>
      </c>
      <c r="D3049" s="14" t="s">
        <v>1745</v>
      </c>
      <c r="E3049" s="14" t="s">
        <v>1747</v>
      </c>
      <c r="F3049" s="17" t="s">
        <v>2995</v>
      </c>
      <c r="G3049" s="14">
        <v>2520</v>
      </c>
      <c r="H3049" s="14">
        <v>2268</v>
      </c>
      <c r="I3049" s="31">
        <f>IF(COUNTIFS(Addendum!C:C,A3049,Addendum!D:D,IF(ISNUMBER(B3049),TEXT(B3049,"0000"),B3049),Addendum!E:E,"X")&gt;0,4%,0)</f>
        <v>0</v>
      </c>
      <c r="J3049" s="31">
        <f>IF(COUNTIFS(Addendum!C:C,A3049,Addendum!D:D,IF(ISNUMBER(B3049),TEXT(B3049,"0000"),B3049),Addendum!F:F,"X")&gt;0,2.5%,0)</f>
        <v>0</v>
      </c>
      <c r="K3049" s="31">
        <f>IF(COUNTIFS(Addendum!C:C,A3049,Addendum!D:D,IF(ISNUMBER(B3049),TEXT(B3049,"0000"),B3049),Addendum!G:G,"X")&gt;0,7%,0)</f>
        <v>0</v>
      </c>
      <c r="L3049" s="31">
        <f>IF(COUNTIFS(Addendum!C:C,A3049,Addendum!D:D,IF(ISNUMBER(B3049),TEXT(B3049,"0000"),B3049),Addendum!I:I,"X")&gt;0,10%,0)</f>
        <v>0</v>
      </c>
      <c r="M3049" s="34">
        <f t="shared" si="94"/>
        <v>0</v>
      </c>
      <c r="N3049" s="17">
        <f t="shared" si="95"/>
        <v>2268</v>
      </c>
    </row>
    <row r="3050" spans="1:14" x14ac:dyDescent="0.25">
      <c r="A3050" s="14" t="s">
        <v>2654</v>
      </c>
      <c r="B3050" s="14" t="s">
        <v>73</v>
      </c>
      <c r="C3050" s="15" t="s">
        <v>2657</v>
      </c>
      <c r="D3050" s="14" t="s">
        <v>1745</v>
      </c>
      <c r="E3050" s="14" t="s">
        <v>1746</v>
      </c>
      <c r="F3050" s="17" t="s">
        <v>2994</v>
      </c>
      <c r="G3050" s="14">
        <v>3654</v>
      </c>
      <c r="H3050" s="14">
        <v>2923.2</v>
      </c>
      <c r="I3050" s="31">
        <f>IF(COUNTIFS(Addendum!C:C,A3050,Addendum!D:D,IF(ISNUMBER(B3050),TEXT(B3050,"0000"),B3050),Addendum!E:E,"X")&gt;0,4%,0)</f>
        <v>0</v>
      </c>
      <c r="J3050" s="31">
        <f>IF(COUNTIFS(Addendum!C:C,A3050,Addendum!D:D,IF(ISNUMBER(B3050),TEXT(B3050,"0000"),B3050),Addendum!F:F,"X")&gt;0,2.5%,0)</f>
        <v>0</v>
      </c>
      <c r="K3050" s="31">
        <f>IF(COUNTIFS(Addendum!C:C,A3050,Addendum!D:D,IF(ISNUMBER(B3050),TEXT(B3050,"0000"),B3050),Addendum!G:G,"X")&gt;0,7%,0)</f>
        <v>0</v>
      </c>
      <c r="L3050" s="31">
        <f>IF(COUNTIFS(Addendum!C:C,A3050,Addendum!D:D,IF(ISNUMBER(B3050),TEXT(B3050,"0000"),B3050),Addendum!I:I,"X")&gt;0,10%,0)</f>
        <v>0</v>
      </c>
      <c r="M3050" s="34">
        <f t="shared" si="94"/>
        <v>0</v>
      </c>
      <c r="N3050" s="17">
        <f t="shared" si="95"/>
        <v>2923.2</v>
      </c>
    </row>
    <row r="3051" spans="1:14" x14ac:dyDescent="0.25">
      <c r="A3051" s="14" t="s">
        <v>2654</v>
      </c>
      <c r="B3051" s="14" t="s">
        <v>28</v>
      </c>
      <c r="C3051" s="15" t="s">
        <v>2655</v>
      </c>
      <c r="D3051" s="14" t="s">
        <v>1745</v>
      </c>
      <c r="E3051" s="14" t="s">
        <v>1747</v>
      </c>
      <c r="F3051" s="17" t="s">
        <v>2994</v>
      </c>
      <c r="G3051" s="14">
        <v>3000</v>
      </c>
      <c r="H3051" s="14">
        <v>2400</v>
      </c>
      <c r="I3051" s="31">
        <f>IF(COUNTIFS(Addendum!C:C,A3051,Addendum!D:D,IF(ISNUMBER(B3051),TEXT(B3051,"0000"),B3051),Addendum!E:E,"X")&gt;0,4%,0)</f>
        <v>0</v>
      </c>
      <c r="J3051" s="31">
        <f>IF(COUNTIFS(Addendum!C:C,A3051,Addendum!D:D,IF(ISNUMBER(B3051),TEXT(B3051,"0000"),B3051),Addendum!F:F,"X")&gt;0,2.5%,0)</f>
        <v>0</v>
      </c>
      <c r="K3051" s="31">
        <f>IF(COUNTIFS(Addendum!C:C,A3051,Addendum!D:D,IF(ISNUMBER(B3051),TEXT(B3051,"0000"),B3051),Addendum!G:G,"X")&gt;0,7%,0)</f>
        <v>0</v>
      </c>
      <c r="L3051" s="31">
        <f>IF(COUNTIFS(Addendum!C:C,A3051,Addendum!D:D,IF(ISNUMBER(B3051),TEXT(B3051,"0000"),B3051),Addendum!I:I,"X")&gt;0,10%,0)</f>
        <v>0</v>
      </c>
      <c r="M3051" s="34">
        <f t="shared" si="94"/>
        <v>0</v>
      </c>
      <c r="N3051" s="17">
        <f t="shared" si="95"/>
        <v>2400</v>
      </c>
    </row>
    <row r="3052" spans="1:14" x14ac:dyDescent="0.25">
      <c r="A3052" s="14" t="s">
        <v>2654</v>
      </c>
      <c r="B3052" s="14" t="s">
        <v>73</v>
      </c>
      <c r="C3052" s="15" t="s">
        <v>2657</v>
      </c>
      <c r="D3052" s="14" t="s">
        <v>1745</v>
      </c>
      <c r="E3052" s="14" t="s">
        <v>1747</v>
      </c>
      <c r="F3052" s="17" t="s">
        <v>2994</v>
      </c>
      <c r="G3052" s="14">
        <v>3480</v>
      </c>
      <c r="H3052" s="14">
        <v>2784</v>
      </c>
      <c r="I3052" s="31">
        <f>IF(COUNTIFS(Addendum!C:C,A3052,Addendum!D:D,IF(ISNUMBER(B3052),TEXT(B3052,"0000"),B3052),Addendum!E:E,"X")&gt;0,4%,0)</f>
        <v>0</v>
      </c>
      <c r="J3052" s="31">
        <f>IF(COUNTIFS(Addendum!C:C,A3052,Addendum!D:D,IF(ISNUMBER(B3052),TEXT(B3052,"0000"),B3052),Addendum!F:F,"X")&gt;0,2.5%,0)</f>
        <v>0</v>
      </c>
      <c r="K3052" s="31">
        <f>IF(COUNTIFS(Addendum!C:C,A3052,Addendum!D:D,IF(ISNUMBER(B3052),TEXT(B3052,"0000"),B3052),Addendum!G:G,"X")&gt;0,7%,0)</f>
        <v>0</v>
      </c>
      <c r="L3052" s="31">
        <f>IF(COUNTIFS(Addendum!C:C,A3052,Addendum!D:D,IF(ISNUMBER(B3052),TEXT(B3052,"0000"),B3052),Addendum!I:I,"X")&gt;0,10%,0)</f>
        <v>0</v>
      </c>
      <c r="M3052" s="34">
        <f t="shared" si="94"/>
        <v>0</v>
      </c>
      <c r="N3052" s="17">
        <f t="shared" si="95"/>
        <v>2784</v>
      </c>
    </row>
    <row r="3053" spans="1:14" x14ac:dyDescent="0.25">
      <c r="A3053" s="14" t="s">
        <v>2654</v>
      </c>
      <c r="B3053" s="14">
        <v>12</v>
      </c>
      <c r="C3053" s="15" t="s">
        <v>2658</v>
      </c>
      <c r="D3053" s="14" t="s">
        <v>1745</v>
      </c>
      <c r="E3053" s="14" t="s">
        <v>1747</v>
      </c>
      <c r="F3053" s="17" t="s">
        <v>2995</v>
      </c>
      <c r="G3053" s="14">
        <v>0</v>
      </c>
      <c r="H3053" s="14">
        <v>0</v>
      </c>
      <c r="I3053" s="31">
        <f>IF(COUNTIFS(Addendum!C:C,A3053,Addendum!D:D,IF(ISNUMBER(B3053),TEXT(B3053,"0000"),B3053),Addendum!E:E,"X")&gt;0,4%,0)</f>
        <v>0</v>
      </c>
      <c r="J3053" s="31">
        <f>IF(COUNTIFS(Addendum!C:C,A3053,Addendum!D:D,IF(ISNUMBER(B3053),TEXT(B3053,"0000"),B3053),Addendum!F:F,"X")&gt;0,2.5%,0)</f>
        <v>0</v>
      </c>
      <c r="K3053" s="31">
        <f>IF(COUNTIFS(Addendum!C:C,A3053,Addendum!D:D,IF(ISNUMBER(B3053),TEXT(B3053,"0000"),B3053),Addendum!G:G,"X")&gt;0,7%,0)</f>
        <v>0</v>
      </c>
      <c r="L3053" s="31">
        <f>IF(COUNTIFS(Addendum!C:C,A3053,Addendum!D:D,IF(ISNUMBER(B3053),TEXT(B3053,"0000"),B3053),Addendum!I:I,"X")&gt;0,10%,0)</f>
        <v>0</v>
      </c>
      <c r="M3053" s="34">
        <f t="shared" si="94"/>
        <v>0</v>
      </c>
      <c r="N3053" s="17">
        <f t="shared" si="95"/>
        <v>0</v>
      </c>
    </row>
    <row r="3054" spans="1:14" x14ac:dyDescent="0.25">
      <c r="A3054" s="14" t="s">
        <v>2654</v>
      </c>
      <c r="B3054" s="14">
        <v>2</v>
      </c>
      <c r="C3054" s="15" t="s">
        <v>2659</v>
      </c>
      <c r="D3054" s="14" t="s">
        <v>1749</v>
      </c>
      <c r="E3054" s="14" t="s">
        <v>1746</v>
      </c>
      <c r="F3054" s="17" t="s">
        <v>2993</v>
      </c>
      <c r="G3054" s="14">
        <v>498</v>
      </c>
      <c r="H3054" s="14">
        <v>398.4</v>
      </c>
      <c r="I3054" s="31">
        <f>IF(COUNTIFS(Addendum!C:C,A3054,Addendum!D:D,IF(ISNUMBER(B3054),TEXT(B3054,"0000"),B3054),Addendum!E:E,"X")&gt;0,4%,0)</f>
        <v>0</v>
      </c>
      <c r="J3054" s="31">
        <f>IF(COUNTIFS(Addendum!C:C,A3054,Addendum!D:D,IF(ISNUMBER(B3054),TEXT(B3054,"0000"),B3054),Addendum!F:F,"X")&gt;0,2.5%,0)</f>
        <v>0</v>
      </c>
      <c r="K3054" s="31">
        <f>IF(COUNTIFS(Addendum!C:C,A3054,Addendum!D:D,IF(ISNUMBER(B3054),TEXT(B3054,"0000"),B3054),Addendum!G:G,"X")&gt;0,7%,0)</f>
        <v>0</v>
      </c>
      <c r="L3054" s="31">
        <f>IF(COUNTIFS(Addendum!C:C,A3054,Addendum!D:D,IF(ISNUMBER(B3054),TEXT(B3054,"0000"),B3054),Addendum!I:I,"X")&gt;0,10%,0)</f>
        <v>0</v>
      </c>
      <c r="M3054" s="34">
        <f t="shared" si="94"/>
        <v>0</v>
      </c>
      <c r="N3054" s="17">
        <f t="shared" si="95"/>
        <v>398.4</v>
      </c>
    </row>
    <row r="3055" spans="1:14" x14ac:dyDescent="0.25">
      <c r="A3055" s="14" t="s">
        <v>2654</v>
      </c>
      <c r="B3055" s="14">
        <v>2</v>
      </c>
      <c r="C3055" s="15" t="s">
        <v>2659</v>
      </c>
      <c r="D3055" s="14" t="s">
        <v>1745</v>
      </c>
      <c r="E3055" s="14" t="s">
        <v>1746</v>
      </c>
      <c r="F3055" s="17" t="s">
        <v>2993</v>
      </c>
      <c r="G3055" s="14">
        <v>5229</v>
      </c>
      <c r="H3055" s="14">
        <v>4183.2</v>
      </c>
      <c r="I3055" s="31">
        <f>IF(COUNTIFS(Addendum!C:C,A3055,Addendum!D:D,IF(ISNUMBER(B3055),TEXT(B3055,"0000"),B3055),Addendum!E:E,"X")&gt;0,4%,0)</f>
        <v>0</v>
      </c>
      <c r="J3055" s="31">
        <f>IF(COUNTIFS(Addendum!C:C,A3055,Addendum!D:D,IF(ISNUMBER(B3055),TEXT(B3055,"0000"),B3055),Addendum!F:F,"X")&gt;0,2.5%,0)</f>
        <v>0</v>
      </c>
      <c r="K3055" s="31">
        <f>IF(COUNTIFS(Addendum!C:C,A3055,Addendum!D:D,IF(ISNUMBER(B3055),TEXT(B3055,"0000"),B3055),Addendum!G:G,"X")&gt;0,7%,0)</f>
        <v>0</v>
      </c>
      <c r="L3055" s="31">
        <f>IF(COUNTIFS(Addendum!C:C,A3055,Addendum!D:D,IF(ISNUMBER(B3055),TEXT(B3055,"0000"),B3055),Addendum!I:I,"X")&gt;0,10%,0)</f>
        <v>0</v>
      </c>
      <c r="M3055" s="34">
        <f t="shared" si="94"/>
        <v>0</v>
      </c>
      <c r="N3055" s="17">
        <f t="shared" si="95"/>
        <v>4183.2</v>
      </c>
    </row>
    <row r="3056" spans="1:14" x14ac:dyDescent="0.25">
      <c r="A3056" s="14" t="s">
        <v>2654</v>
      </c>
      <c r="B3056" s="14">
        <v>2</v>
      </c>
      <c r="C3056" s="15" t="s">
        <v>2659</v>
      </c>
      <c r="D3056" s="14" t="s">
        <v>1745</v>
      </c>
      <c r="E3056" s="14" t="s">
        <v>1747</v>
      </c>
      <c r="F3056" s="17" t="s">
        <v>2993</v>
      </c>
      <c r="G3056" s="14">
        <v>4980</v>
      </c>
      <c r="H3056" s="14">
        <v>3984</v>
      </c>
      <c r="I3056" s="31">
        <f>IF(COUNTIFS(Addendum!C:C,A3056,Addendum!D:D,IF(ISNUMBER(B3056),TEXT(B3056,"0000"),B3056),Addendum!E:E,"X")&gt;0,4%,0)</f>
        <v>0</v>
      </c>
      <c r="J3056" s="31">
        <f>IF(COUNTIFS(Addendum!C:C,A3056,Addendum!D:D,IF(ISNUMBER(B3056),TEXT(B3056,"0000"),B3056),Addendum!F:F,"X")&gt;0,2.5%,0)</f>
        <v>0</v>
      </c>
      <c r="K3056" s="31">
        <f>IF(COUNTIFS(Addendum!C:C,A3056,Addendum!D:D,IF(ISNUMBER(B3056),TEXT(B3056,"0000"),B3056),Addendum!G:G,"X")&gt;0,7%,0)</f>
        <v>0</v>
      </c>
      <c r="L3056" s="31">
        <f>IF(COUNTIFS(Addendum!C:C,A3056,Addendum!D:D,IF(ISNUMBER(B3056),TEXT(B3056,"0000"),B3056),Addendum!I:I,"X")&gt;0,10%,0)</f>
        <v>0</v>
      </c>
      <c r="M3056" s="34">
        <f t="shared" si="94"/>
        <v>0</v>
      </c>
      <c r="N3056" s="17">
        <f t="shared" si="95"/>
        <v>3984</v>
      </c>
    </row>
    <row r="3057" spans="1:14" x14ac:dyDescent="0.25">
      <c r="A3057" s="14" t="s">
        <v>2654</v>
      </c>
      <c r="B3057" s="14">
        <v>12</v>
      </c>
      <c r="C3057" s="15" t="s">
        <v>2658</v>
      </c>
      <c r="D3057" s="14" t="s">
        <v>1745</v>
      </c>
      <c r="E3057" s="14" t="s">
        <v>1746</v>
      </c>
      <c r="F3057" s="17" t="s">
        <v>2995</v>
      </c>
      <c r="G3057" s="14">
        <v>0</v>
      </c>
      <c r="H3057" s="14">
        <v>0</v>
      </c>
      <c r="I3057" s="31">
        <f>IF(COUNTIFS(Addendum!C:C,A3057,Addendum!D:D,IF(ISNUMBER(B3057),TEXT(B3057,"0000"),B3057),Addendum!E:E,"X")&gt;0,4%,0)</f>
        <v>0</v>
      </c>
      <c r="J3057" s="31">
        <f>IF(COUNTIFS(Addendum!C:C,A3057,Addendum!D:D,IF(ISNUMBER(B3057),TEXT(B3057,"0000"),B3057),Addendum!F:F,"X")&gt;0,2.5%,0)</f>
        <v>0</v>
      </c>
      <c r="K3057" s="31">
        <f>IF(COUNTIFS(Addendum!C:C,A3057,Addendum!D:D,IF(ISNUMBER(B3057),TEXT(B3057,"0000"),B3057),Addendum!G:G,"X")&gt;0,7%,0)</f>
        <v>0</v>
      </c>
      <c r="L3057" s="31">
        <f>IF(COUNTIFS(Addendum!C:C,A3057,Addendum!D:D,IF(ISNUMBER(B3057),TEXT(B3057,"0000"),B3057),Addendum!I:I,"X")&gt;0,10%,0)</f>
        <v>0</v>
      </c>
      <c r="M3057" s="34">
        <f t="shared" si="94"/>
        <v>0</v>
      </c>
      <c r="N3057" s="17">
        <f t="shared" si="95"/>
        <v>0</v>
      </c>
    </row>
    <row r="3058" spans="1:14" x14ac:dyDescent="0.25">
      <c r="A3058" s="14" t="s">
        <v>2660</v>
      </c>
      <c r="B3058" s="14" t="s">
        <v>243</v>
      </c>
      <c r="C3058" s="15" t="s">
        <v>2661</v>
      </c>
      <c r="D3058" s="14" t="s">
        <v>1745</v>
      </c>
      <c r="E3058" s="14" t="s">
        <v>1747</v>
      </c>
      <c r="F3058" s="17" t="s">
        <v>2993</v>
      </c>
      <c r="G3058" s="14">
        <v>12000</v>
      </c>
      <c r="H3058" s="14">
        <v>9000</v>
      </c>
      <c r="I3058" s="31">
        <f>IF(COUNTIFS(Addendum!C:C,A3058,Addendum!D:D,IF(ISNUMBER(B3058),TEXT(B3058,"0000"),B3058),Addendum!E:E,"X")&gt;0,4%,0)</f>
        <v>0</v>
      </c>
      <c r="J3058" s="31">
        <f>IF(COUNTIFS(Addendum!C:C,A3058,Addendum!D:D,IF(ISNUMBER(B3058),TEXT(B3058,"0000"),B3058),Addendum!F:F,"X")&gt;0,2.5%,0)</f>
        <v>0</v>
      </c>
      <c r="K3058" s="31">
        <f>IF(COUNTIFS(Addendum!C:C,A3058,Addendum!D:D,IF(ISNUMBER(B3058),TEXT(B3058,"0000"),B3058),Addendum!G:G,"X")&gt;0,7%,0)</f>
        <v>0</v>
      </c>
      <c r="L3058" s="31">
        <f>IF(COUNTIFS(Addendum!C:C,A3058,Addendum!D:D,IF(ISNUMBER(B3058),TEXT(B3058,"0000"),B3058),Addendum!I:I,"X")&gt;0,10%,0)</f>
        <v>0</v>
      </c>
      <c r="M3058" s="34">
        <f t="shared" si="94"/>
        <v>0</v>
      </c>
      <c r="N3058" s="17">
        <f t="shared" si="95"/>
        <v>9000</v>
      </c>
    </row>
    <row r="3059" spans="1:14" x14ac:dyDescent="0.25">
      <c r="A3059" s="14" t="s">
        <v>2660</v>
      </c>
      <c r="B3059" s="14" t="s">
        <v>243</v>
      </c>
      <c r="C3059" s="15" t="s">
        <v>2661</v>
      </c>
      <c r="D3059" s="14" t="s">
        <v>1745</v>
      </c>
      <c r="E3059" s="14" t="s">
        <v>1746</v>
      </c>
      <c r="F3059" s="17" t="s">
        <v>2993</v>
      </c>
      <c r="G3059" s="14">
        <v>12600</v>
      </c>
      <c r="H3059" s="14">
        <v>9450</v>
      </c>
      <c r="I3059" s="31">
        <f>IF(COUNTIFS(Addendum!C:C,A3059,Addendum!D:D,IF(ISNUMBER(B3059),TEXT(B3059,"0000"),B3059),Addendum!E:E,"X")&gt;0,4%,0)</f>
        <v>0</v>
      </c>
      <c r="J3059" s="31">
        <f>IF(COUNTIFS(Addendum!C:C,A3059,Addendum!D:D,IF(ISNUMBER(B3059),TEXT(B3059,"0000"),B3059),Addendum!F:F,"X")&gt;0,2.5%,0)</f>
        <v>0</v>
      </c>
      <c r="K3059" s="31">
        <f>IF(COUNTIFS(Addendum!C:C,A3059,Addendum!D:D,IF(ISNUMBER(B3059),TEXT(B3059,"0000"),B3059),Addendum!G:G,"X")&gt;0,7%,0)</f>
        <v>0</v>
      </c>
      <c r="L3059" s="31">
        <f>IF(COUNTIFS(Addendum!C:C,A3059,Addendum!D:D,IF(ISNUMBER(B3059),TEXT(B3059,"0000"),B3059),Addendum!I:I,"X")&gt;0,10%,0)</f>
        <v>0</v>
      </c>
      <c r="M3059" s="34">
        <f t="shared" si="94"/>
        <v>0</v>
      </c>
      <c r="N3059" s="17">
        <f t="shared" si="95"/>
        <v>9450</v>
      </c>
    </row>
    <row r="3060" spans="1:14" x14ac:dyDescent="0.25">
      <c r="A3060" s="14" t="s">
        <v>2660</v>
      </c>
      <c r="B3060" s="14">
        <v>13</v>
      </c>
      <c r="C3060" s="15" t="s">
        <v>2662</v>
      </c>
      <c r="D3060" s="14" t="s">
        <v>1745</v>
      </c>
      <c r="E3060" s="14" t="s">
        <v>1747</v>
      </c>
      <c r="F3060" s="17" t="s">
        <v>2994</v>
      </c>
      <c r="G3060" s="14">
        <v>10980</v>
      </c>
      <c r="H3060" s="14">
        <v>8235</v>
      </c>
      <c r="I3060" s="31">
        <f>IF(COUNTIFS(Addendum!C:C,A3060,Addendum!D:D,IF(ISNUMBER(B3060),TEXT(B3060,"0000"),B3060),Addendum!E:E,"X")&gt;0,4%,0)</f>
        <v>0</v>
      </c>
      <c r="J3060" s="31">
        <f>IF(COUNTIFS(Addendum!C:C,A3060,Addendum!D:D,IF(ISNUMBER(B3060),TEXT(B3060,"0000"),B3060),Addendum!F:F,"X")&gt;0,2.5%,0)</f>
        <v>0</v>
      </c>
      <c r="K3060" s="31">
        <f>IF(COUNTIFS(Addendum!C:C,A3060,Addendum!D:D,IF(ISNUMBER(B3060),TEXT(B3060,"0000"),B3060),Addendum!G:G,"X")&gt;0,7%,0)</f>
        <v>0</v>
      </c>
      <c r="L3060" s="31">
        <f>IF(COUNTIFS(Addendum!C:C,A3060,Addendum!D:D,IF(ISNUMBER(B3060),TEXT(B3060,"0000"),B3060),Addendum!I:I,"X")&gt;0,10%,0)</f>
        <v>0</v>
      </c>
      <c r="M3060" s="34">
        <f t="shared" si="94"/>
        <v>0</v>
      </c>
      <c r="N3060" s="17">
        <f t="shared" si="95"/>
        <v>8235</v>
      </c>
    </row>
    <row r="3061" spans="1:14" x14ac:dyDescent="0.25">
      <c r="A3061" s="14" t="s">
        <v>2660</v>
      </c>
      <c r="B3061" s="14">
        <v>2</v>
      </c>
      <c r="C3061" s="15" t="s">
        <v>2663</v>
      </c>
      <c r="D3061" s="14" t="s">
        <v>1749</v>
      </c>
      <c r="E3061" s="14" t="s">
        <v>1746</v>
      </c>
      <c r="F3061" s="17" t="s">
        <v>2993</v>
      </c>
      <c r="G3061" s="14">
        <v>1998</v>
      </c>
      <c r="H3061" s="14">
        <v>1498.5</v>
      </c>
      <c r="I3061" s="31">
        <f>IF(COUNTIFS(Addendum!C:C,A3061,Addendum!D:D,IF(ISNUMBER(B3061),TEXT(B3061,"0000"),B3061),Addendum!E:E,"X")&gt;0,4%,0)</f>
        <v>0</v>
      </c>
      <c r="J3061" s="31">
        <f>IF(COUNTIFS(Addendum!C:C,A3061,Addendum!D:D,IF(ISNUMBER(B3061),TEXT(B3061,"0000"),B3061),Addendum!F:F,"X")&gt;0,2.5%,0)</f>
        <v>0</v>
      </c>
      <c r="K3061" s="31">
        <f>IF(COUNTIFS(Addendum!C:C,A3061,Addendum!D:D,IF(ISNUMBER(B3061),TEXT(B3061,"0000"),B3061),Addendum!G:G,"X")&gt;0,7%,0)</f>
        <v>0</v>
      </c>
      <c r="L3061" s="31">
        <f>IF(COUNTIFS(Addendum!C:C,A3061,Addendum!D:D,IF(ISNUMBER(B3061),TEXT(B3061,"0000"),B3061),Addendum!I:I,"X")&gt;0,10%,0)</f>
        <v>0</v>
      </c>
      <c r="M3061" s="34">
        <f t="shared" si="94"/>
        <v>0</v>
      </c>
      <c r="N3061" s="17">
        <f t="shared" si="95"/>
        <v>1498.5</v>
      </c>
    </row>
    <row r="3062" spans="1:14" x14ac:dyDescent="0.25">
      <c r="A3062" s="14" t="s">
        <v>2660</v>
      </c>
      <c r="B3062" s="14">
        <v>14</v>
      </c>
      <c r="C3062" s="15" t="s">
        <v>2664</v>
      </c>
      <c r="D3062" s="14" t="s">
        <v>1749</v>
      </c>
      <c r="E3062" s="14" t="s">
        <v>1746</v>
      </c>
      <c r="F3062" s="17" t="s">
        <v>2995</v>
      </c>
      <c r="G3062" s="14">
        <v>498</v>
      </c>
      <c r="H3062" s="14">
        <v>448.2</v>
      </c>
      <c r="I3062" s="31">
        <f>IF(COUNTIFS(Addendum!C:C,A3062,Addendum!D:D,IF(ISNUMBER(B3062),TEXT(B3062,"0000"),B3062),Addendum!E:E,"X")&gt;0,4%,0)</f>
        <v>0</v>
      </c>
      <c r="J3062" s="31">
        <f>IF(COUNTIFS(Addendum!C:C,A3062,Addendum!D:D,IF(ISNUMBER(B3062),TEXT(B3062,"0000"),B3062),Addendum!F:F,"X")&gt;0,2.5%,0)</f>
        <v>0</v>
      </c>
      <c r="K3062" s="31">
        <f>IF(COUNTIFS(Addendum!C:C,A3062,Addendum!D:D,IF(ISNUMBER(B3062),TEXT(B3062,"0000"),B3062),Addendum!G:G,"X")&gt;0,7%,0)</f>
        <v>0</v>
      </c>
      <c r="L3062" s="31">
        <f>IF(COUNTIFS(Addendum!C:C,A3062,Addendum!D:D,IF(ISNUMBER(B3062),TEXT(B3062,"0000"),B3062),Addendum!I:I,"X")&gt;0,10%,0)</f>
        <v>0</v>
      </c>
      <c r="M3062" s="34">
        <f t="shared" si="94"/>
        <v>0</v>
      </c>
      <c r="N3062" s="17">
        <f t="shared" si="95"/>
        <v>448.2</v>
      </c>
    </row>
    <row r="3063" spans="1:14" x14ac:dyDescent="0.25">
      <c r="A3063" s="14" t="s">
        <v>2660</v>
      </c>
      <c r="B3063" s="14">
        <v>2</v>
      </c>
      <c r="C3063" s="15" t="s">
        <v>2663</v>
      </c>
      <c r="D3063" s="14" t="s">
        <v>1745</v>
      </c>
      <c r="E3063" s="14" t="s">
        <v>1746</v>
      </c>
      <c r="F3063" s="17" t="s">
        <v>2993</v>
      </c>
      <c r="G3063" s="14">
        <v>20979</v>
      </c>
      <c r="H3063" s="14">
        <v>15734.28</v>
      </c>
      <c r="I3063" s="31">
        <f>IF(COUNTIFS(Addendum!C:C,A3063,Addendum!D:D,IF(ISNUMBER(B3063),TEXT(B3063,"0000"),B3063),Addendum!E:E,"X")&gt;0,4%,0)</f>
        <v>0</v>
      </c>
      <c r="J3063" s="31">
        <f>IF(COUNTIFS(Addendum!C:C,A3063,Addendum!D:D,IF(ISNUMBER(B3063),TEXT(B3063,"0000"),B3063),Addendum!F:F,"X")&gt;0,2.5%,0)</f>
        <v>0</v>
      </c>
      <c r="K3063" s="31">
        <f>IF(COUNTIFS(Addendum!C:C,A3063,Addendum!D:D,IF(ISNUMBER(B3063),TEXT(B3063,"0000"),B3063),Addendum!G:G,"X")&gt;0,7%,0)</f>
        <v>0</v>
      </c>
      <c r="L3063" s="31">
        <f>IF(COUNTIFS(Addendum!C:C,A3063,Addendum!D:D,IF(ISNUMBER(B3063),TEXT(B3063,"0000"),B3063),Addendum!I:I,"X")&gt;0,10%,0)</f>
        <v>0</v>
      </c>
      <c r="M3063" s="34">
        <f t="shared" si="94"/>
        <v>0</v>
      </c>
      <c r="N3063" s="17">
        <f t="shared" si="95"/>
        <v>15734.28</v>
      </c>
    </row>
    <row r="3064" spans="1:14" x14ac:dyDescent="0.25">
      <c r="A3064" s="14" t="s">
        <v>2660</v>
      </c>
      <c r="B3064" s="14">
        <v>13</v>
      </c>
      <c r="C3064" s="15" t="s">
        <v>2662</v>
      </c>
      <c r="D3064" s="14" t="s">
        <v>1749</v>
      </c>
      <c r="E3064" s="14" t="s">
        <v>1746</v>
      </c>
      <c r="F3064" s="17" t="s">
        <v>2994</v>
      </c>
      <c r="G3064" s="14">
        <v>1098</v>
      </c>
      <c r="H3064" s="14">
        <v>823.5</v>
      </c>
      <c r="I3064" s="31">
        <f>IF(COUNTIFS(Addendum!C:C,A3064,Addendum!D:D,IF(ISNUMBER(B3064),TEXT(B3064,"0000"),B3064),Addendum!E:E,"X")&gt;0,4%,0)</f>
        <v>0</v>
      </c>
      <c r="J3064" s="31">
        <f>IF(COUNTIFS(Addendum!C:C,A3064,Addendum!D:D,IF(ISNUMBER(B3064),TEXT(B3064,"0000"),B3064),Addendum!F:F,"X")&gt;0,2.5%,0)</f>
        <v>0</v>
      </c>
      <c r="K3064" s="31">
        <f>IF(COUNTIFS(Addendum!C:C,A3064,Addendum!D:D,IF(ISNUMBER(B3064),TEXT(B3064,"0000"),B3064),Addendum!G:G,"X")&gt;0,7%,0)</f>
        <v>0</v>
      </c>
      <c r="L3064" s="31">
        <f>IF(COUNTIFS(Addendum!C:C,A3064,Addendum!D:D,IF(ISNUMBER(B3064),TEXT(B3064,"0000"),B3064),Addendum!I:I,"X")&gt;0,10%,0)</f>
        <v>0</v>
      </c>
      <c r="M3064" s="34">
        <f t="shared" si="94"/>
        <v>0</v>
      </c>
      <c r="N3064" s="17">
        <f t="shared" si="95"/>
        <v>823.5</v>
      </c>
    </row>
    <row r="3065" spans="1:14" x14ac:dyDescent="0.25">
      <c r="A3065" s="14" t="s">
        <v>2660</v>
      </c>
      <c r="B3065" s="14">
        <v>2</v>
      </c>
      <c r="C3065" s="15" t="s">
        <v>2663</v>
      </c>
      <c r="D3065" s="14" t="s">
        <v>1745</v>
      </c>
      <c r="E3065" s="14" t="s">
        <v>1747</v>
      </c>
      <c r="F3065" s="17" t="s">
        <v>2993</v>
      </c>
      <c r="G3065" s="14">
        <v>19980</v>
      </c>
      <c r="H3065" s="14">
        <v>14985</v>
      </c>
      <c r="I3065" s="31">
        <f>IF(COUNTIFS(Addendum!C:C,A3065,Addendum!D:D,IF(ISNUMBER(B3065),TEXT(B3065,"0000"),B3065),Addendum!E:E,"X")&gt;0,4%,0)</f>
        <v>0</v>
      </c>
      <c r="J3065" s="31">
        <f>IF(COUNTIFS(Addendum!C:C,A3065,Addendum!D:D,IF(ISNUMBER(B3065),TEXT(B3065,"0000"),B3065),Addendum!F:F,"X")&gt;0,2.5%,0)</f>
        <v>0</v>
      </c>
      <c r="K3065" s="31">
        <f>IF(COUNTIFS(Addendum!C:C,A3065,Addendum!D:D,IF(ISNUMBER(B3065),TEXT(B3065,"0000"),B3065),Addendum!G:G,"X")&gt;0,7%,0)</f>
        <v>0</v>
      </c>
      <c r="L3065" s="31">
        <f>IF(COUNTIFS(Addendum!C:C,A3065,Addendum!D:D,IF(ISNUMBER(B3065),TEXT(B3065,"0000"),B3065),Addendum!I:I,"X")&gt;0,10%,0)</f>
        <v>0</v>
      </c>
      <c r="M3065" s="34">
        <f t="shared" si="94"/>
        <v>0</v>
      </c>
      <c r="N3065" s="17">
        <f t="shared" si="95"/>
        <v>14985</v>
      </c>
    </row>
    <row r="3066" spans="1:14" x14ac:dyDescent="0.25">
      <c r="A3066" s="14" t="s">
        <v>2660</v>
      </c>
      <c r="B3066" s="14">
        <v>12</v>
      </c>
      <c r="C3066" s="15" t="s">
        <v>2665</v>
      </c>
      <c r="D3066" s="14" t="s">
        <v>1749</v>
      </c>
      <c r="E3066" s="14" t="s">
        <v>1746</v>
      </c>
      <c r="F3066" s="17" t="s">
        <v>2994</v>
      </c>
      <c r="G3066" s="14">
        <v>798</v>
      </c>
      <c r="H3066" s="14">
        <v>598.5</v>
      </c>
      <c r="I3066" s="31">
        <f>IF(COUNTIFS(Addendum!C:C,A3066,Addendum!D:D,IF(ISNUMBER(B3066),TEXT(B3066,"0000"),B3066),Addendum!E:E,"X")&gt;0,4%,0)</f>
        <v>0</v>
      </c>
      <c r="J3066" s="31">
        <f>IF(COUNTIFS(Addendum!C:C,A3066,Addendum!D:D,IF(ISNUMBER(B3066),TEXT(B3066,"0000"),B3066),Addendum!F:F,"X")&gt;0,2.5%,0)</f>
        <v>0</v>
      </c>
      <c r="K3066" s="31">
        <f>IF(COUNTIFS(Addendum!C:C,A3066,Addendum!D:D,IF(ISNUMBER(B3066),TEXT(B3066,"0000"),B3066),Addendum!G:G,"X")&gt;0,7%,0)</f>
        <v>0</v>
      </c>
      <c r="L3066" s="31">
        <f>IF(COUNTIFS(Addendum!C:C,A3066,Addendum!D:D,IF(ISNUMBER(B3066),TEXT(B3066,"0000"),B3066),Addendum!I:I,"X")&gt;0,10%,0)</f>
        <v>0</v>
      </c>
      <c r="M3066" s="34">
        <f t="shared" si="94"/>
        <v>0</v>
      </c>
      <c r="N3066" s="17">
        <f t="shared" si="95"/>
        <v>598.5</v>
      </c>
    </row>
    <row r="3067" spans="1:14" x14ac:dyDescent="0.25">
      <c r="A3067" s="14" t="s">
        <v>2660</v>
      </c>
      <c r="B3067" s="14">
        <v>14</v>
      </c>
      <c r="C3067" s="15" t="s">
        <v>2664</v>
      </c>
      <c r="D3067" s="14" t="s">
        <v>1745</v>
      </c>
      <c r="E3067" s="14" t="s">
        <v>1746</v>
      </c>
      <c r="F3067" s="17" t="s">
        <v>2995</v>
      </c>
      <c r="G3067" s="14">
        <v>5229</v>
      </c>
      <c r="H3067" s="14">
        <v>4706.16</v>
      </c>
      <c r="I3067" s="31">
        <f>IF(COUNTIFS(Addendum!C:C,A3067,Addendum!D:D,IF(ISNUMBER(B3067),TEXT(B3067,"0000"),B3067),Addendum!E:E,"X")&gt;0,4%,0)</f>
        <v>0</v>
      </c>
      <c r="J3067" s="31">
        <f>IF(COUNTIFS(Addendum!C:C,A3067,Addendum!D:D,IF(ISNUMBER(B3067),TEXT(B3067,"0000"),B3067),Addendum!F:F,"X")&gt;0,2.5%,0)</f>
        <v>0</v>
      </c>
      <c r="K3067" s="31">
        <f>IF(COUNTIFS(Addendum!C:C,A3067,Addendum!D:D,IF(ISNUMBER(B3067),TEXT(B3067,"0000"),B3067),Addendum!G:G,"X")&gt;0,7%,0)</f>
        <v>0</v>
      </c>
      <c r="L3067" s="31">
        <f>IF(COUNTIFS(Addendum!C:C,A3067,Addendum!D:D,IF(ISNUMBER(B3067),TEXT(B3067,"0000"),B3067),Addendum!I:I,"X")&gt;0,10%,0)</f>
        <v>0</v>
      </c>
      <c r="M3067" s="34">
        <f t="shared" si="94"/>
        <v>0</v>
      </c>
      <c r="N3067" s="17">
        <f t="shared" si="95"/>
        <v>4706.16</v>
      </c>
    </row>
    <row r="3068" spans="1:14" x14ac:dyDescent="0.25">
      <c r="A3068" s="14" t="s">
        <v>2660</v>
      </c>
      <c r="B3068" s="14">
        <v>12</v>
      </c>
      <c r="C3068" s="15" t="s">
        <v>2665</v>
      </c>
      <c r="D3068" s="14" t="s">
        <v>1745</v>
      </c>
      <c r="E3068" s="14" t="s">
        <v>1746</v>
      </c>
      <c r="F3068" s="17" t="s">
        <v>2994</v>
      </c>
      <c r="G3068" s="14">
        <v>8379</v>
      </c>
      <c r="H3068" s="14">
        <v>6284.28</v>
      </c>
      <c r="I3068" s="31">
        <f>IF(COUNTIFS(Addendum!C:C,A3068,Addendum!D:D,IF(ISNUMBER(B3068),TEXT(B3068,"0000"),B3068),Addendum!E:E,"X")&gt;0,4%,0)</f>
        <v>0</v>
      </c>
      <c r="J3068" s="31">
        <f>IF(COUNTIFS(Addendum!C:C,A3068,Addendum!D:D,IF(ISNUMBER(B3068),TEXT(B3068,"0000"),B3068),Addendum!F:F,"X")&gt;0,2.5%,0)</f>
        <v>0</v>
      </c>
      <c r="K3068" s="31">
        <f>IF(COUNTIFS(Addendum!C:C,A3068,Addendum!D:D,IF(ISNUMBER(B3068),TEXT(B3068,"0000"),B3068),Addendum!G:G,"X")&gt;0,7%,0)</f>
        <v>0</v>
      </c>
      <c r="L3068" s="31">
        <f>IF(COUNTIFS(Addendum!C:C,A3068,Addendum!D:D,IF(ISNUMBER(B3068),TEXT(B3068,"0000"),B3068),Addendum!I:I,"X")&gt;0,10%,0)</f>
        <v>0</v>
      </c>
      <c r="M3068" s="34">
        <f t="shared" si="94"/>
        <v>0</v>
      </c>
      <c r="N3068" s="17">
        <f t="shared" si="95"/>
        <v>6284.28</v>
      </c>
    </row>
    <row r="3069" spans="1:14" x14ac:dyDescent="0.25">
      <c r="A3069" s="14" t="s">
        <v>2660</v>
      </c>
      <c r="B3069" s="14">
        <v>14</v>
      </c>
      <c r="C3069" s="15" t="s">
        <v>2664</v>
      </c>
      <c r="D3069" s="14" t="s">
        <v>1745</v>
      </c>
      <c r="E3069" s="14" t="s">
        <v>1747</v>
      </c>
      <c r="F3069" s="17" t="s">
        <v>2995</v>
      </c>
      <c r="G3069" s="14">
        <v>4980</v>
      </c>
      <c r="H3069" s="14">
        <v>4482</v>
      </c>
      <c r="I3069" s="31">
        <f>IF(COUNTIFS(Addendum!C:C,A3069,Addendum!D:D,IF(ISNUMBER(B3069),TEXT(B3069,"0000"),B3069),Addendum!E:E,"X")&gt;0,4%,0)</f>
        <v>0</v>
      </c>
      <c r="J3069" s="31">
        <f>IF(COUNTIFS(Addendum!C:C,A3069,Addendum!D:D,IF(ISNUMBER(B3069),TEXT(B3069,"0000"),B3069),Addendum!F:F,"X")&gt;0,2.5%,0)</f>
        <v>0</v>
      </c>
      <c r="K3069" s="31">
        <f>IF(COUNTIFS(Addendum!C:C,A3069,Addendum!D:D,IF(ISNUMBER(B3069),TEXT(B3069,"0000"),B3069),Addendum!G:G,"X")&gt;0,7%,0)</f>
        <v>0</v>
      </c>
      <c r="L3069" s="31">
        <f>IF(COUNTIFS(Addendum!C:C,A3069,Addendum!D:D,IF(ISNUMBER(B3069),TEXT(B3069,"0000"),B3069),Addendum!I:I,"X")&gt;0,10%,0)</f>
        <v>0</v>
      </c>
      <c r="M3069" s="34">
        <f t="shared" si="94"/>
        <v>0</v>
      </c>
      <c r="N3069" s="17">
        <f t="shared" si="95"/>
        <v>4482</v>
      </c>
    </row>
    <row r="3070" spans="1:14" x14ac:dyDescent="0.25">
      <c r="A3070" s="14" t="s">
        <v>2660</v>
      </c>
      <c r="B3070" s="14">
        <v>13</v>
      </c>
      <c r="C3070" s="15" t="s">
        <v>2662</v>
      </c>
      <c r="D3070" s="14" t="s">
        <v>1745</v>
      </c>
      <c r="E3070" s="14" t="s">
        <v>1746</v>
      </c>
      <c r="F3070" s="17" t="s">
        <v>2994</v>
      </c>
      <c r="G3070" s="14">
        <v>11529</v>
      </c>
      <c r="H3070" s="14">
        <v>8646.7199999999993</v>
      </c>
      <c r="I3070" s="31">
        <f>IF(COUNTIFS(Addendum!C:C,A3070,Addendum!D:D,IF(ISNUMBER(B3070),TEXT(B3070,"0000"),B3070),Addendum!E:E,"X")&gt;0,4%,0)</f>
        <v>0</v>
      </c>
      <c r="J3070" s="31">
        <f>IF(COUNTIFS(Addendum!C:C,A3070,Addendum!D:D,IF(ISNUMBER(B3070),TEXT(B3070,"0000"),B3070),Addendum!F:F,"X")&gt;0,2.5%,0)</f>
        <v>0</v>
      </c>
      <c r="K3070" s="31">
        <f>IF(COUNTIFS(Addendum!C:C,A3070,Addendum!D:D,IF(ISNUMBER(B3070),TEXT(B3070,"0000"),B3070),Addendum!G:G,"X")&gt;0,7%,0)</f>
        <v>0</v>
      </c>
      <c r="L3070" s="31">
        <f>IF(COUNTIFS(Addendum!C:C,A3070,Addendum!D:D,IF(ISNUMBER(B3070),TEXT(B3070,"0000"),B3070),Addendum!I:I,"X")&gt;0,10%,0)</f>
        <v>0</v>
      </c>
      <c r="M3070" s="34">
        <f t="shared" si="94"/>
        <v>0</v>
      </c>
      <c r="N3070" s="17">
        <f t="shared" si="95"/>
        <v>8646.7199999999993</v>
      </c>
    </row>
    <row r="3071" spans="1:14" x14ac:dyDescent="0.25">
      <c r="A3071" s="14" t="s">
        <v>2660</v>
      </c>
      <c r="B3071" s="14">
        <v>12</v>
      </c>
      <c r="C3071" s="15" t="s">
        <v>2665</v>
      </c>
      <c r="D3071" s="14" t="s">
        <v>1745</v>
      </c>
      <c r="E3071" s="14" t="s">
        <v>1747</v>
      </c>
      <c r="F3071" s="17" t="s">
        <v>2994</v>
      </c>
      <c r="G3071" s="14">
        <v>7980</v>
      </c>
      <c r="H3071" s="14">
        <v>5985</v>
      </c>
      <c r="I3071" s="31">
        <f>IF(COUNTIFS(Addendum!C:C,A3071,Addendum!D:D,IF(ISNUMBER(B3071),TEXT(B3071,"0000"),B3071),Addendum!E:E,"X")&gt;0,4%,0)</f>
        <v>0</v>
      </c>
      <c r="J3071" s="31">
        <f>IF(COUNTIFS(Addendum!C:C,A3071,Addendum!D:D,IF(ISNUMBER(B3071),TEXT(B3071,"0000"),B3071),Addendum!F:F,"X")&gt;0,2.5%,0)</f>
        <v>0</v>
      </c>
      <c r="K3071" s="31">
        <f>IF(COUNTIFS(Addendum!C:C,A3071,Addendum!D:D,IF(ISNUMBER(B3071),TEXT(B3071,"0000"),B3071),Addendum!G:G,"X")&gt;0,7%,0)</f>
        <v>0</v>
      </c>
      <c r="L3071" s="31">
        <f>IF(COUNTIFS(Addendum!C:C,A3071,Addendum!D:D,IF(ISNUMBER(B3071),TEXT(B3071,"0000"),B3071),Addendum!I:I,"X")&gt;0,10%,0)</f>
        <v>0</v>
      </c>
      <c r="M3071" s="34">
        <f t="shared" si="94"/>
        <v>0</v>
      </c>
      <c r="N3071" s="17">
        <f t="shared" si="95"/>
        <v>5985</v>
      </c>
    </row>
    <row r="3072" spans="1:14" x14ac:dyDescent="0.25">
      <c r="A3072" s="14" t="s">
        <v>2666</v>
      </c>
      <c r="B3072" s="14">
        <v>1</v>
      </c>
      <c r="C3072" s="15" t="s">
        <v>2667</v>
      </c>
      <c r="D3072" s="14" t="s">
        <v>1749</v>
      </c>
      <c r="E3072" s="14" t="s">
        <v>1746</v>
      </c>
      <c r="F3072" s="17" t="s">
        <v>2995</v>
      </c>
      <c r="G3072" s="14">
        <v>5364</v>
      </c>
      <c r="H3072" s="14">
        <v>4827.6000000000004</v>
      </c>
      <c r="I3072" s="31">
        <f>IF(COUNTIFS(Addendum!C:C,A3072,Addendum!D:D,IF(ISNUMBER(B3072),TEXT(B3072,"0000"),B3072),Addendum!E:E,"X")&gt;0,4%,0)</f>
        <v>0</v>
      </c>
      <c r="J3072" s="31">
        <f>IF(COUNTIFS(Addendum!C:C,A3072,Addendum!D:D,IF(ISNUMBER(B3072),TEXT(B3072,"0000"),B3072),Addendum!F:F,"X")&gt;0,2.5%,0)</f>
        <v>0</v>
      </c>
      <c r="K3072" s="31">
        <f>IF(COUNTIFS(Addendum!C:C,A3072,Addendum!D:D,IF(ISNUMBER(B3072),TEXT(B3072,"0000"),B3072),Addendum!G:G,"X")&gt;0,7%,0)</f>
        <v>0</v>
      </c>
      <c r="L3072" s="31">
        <f>IF(COUNTIFS(Addendum!C:C,A3072,Addendum!D:D,IF(ISNUMBER(B3072),TEXT(B3072,"0000"),B3072),Addendum!I:I,"X")&gt;0,10%,0)</f>
        <v>0</v>
      </c>
      <c r="M3072" s="34">
        <f t="shared" si="94"/>
        <v>0</v>
      </c>
      <c r="N3072" s="17">
        <f t="shared" si="95"/>
        <v>4827.6000000000004</v>
      </c>
    </row>
    <row r="3073" spans="1:14" x14ac:dyDescent="0.25">
      <c r="A3073" s="14" t="s">
        <v>2666</v>
      </c>
      <c r="B3073" s="14">
        <v>3</v>
      </c>
      <c r="C3073" s="15" t="s">
        <v>2668</v>
      </c>
      <c r="D3073" s="14" t="s">
        <v>1745</v>
      </c>
      <c r="E3073" s="14" t="s">
        <v>1747</v>
      </c>
      <c r="F3073" s="17" t="s">
        <v>2993</v>
      </c>
      <c r="G3073" s="14">
        <v>214620</v>
      </c>
      <c r="H3073" s="14">
        <v>160965</v>
      </c>
      <c r="I3073" s="31">
        <f>IF(COUNTIFS(Addendum!C:C,A3073,Addendum!D:D,IF(ISNUMBER(B3073),TEXT(B3073,"0000"),B3073),Addendum!E:E,"X")&gt;0,4%,0)</f>
        <v>0</v>
      </c>
      <c r="J3073" s="31">
        <f>IF(COUNTIFS(Addendum!C:C,A3073,Addendum!D:D,IF(ISNUMBER(B3073),TEXT(B3073,"0000"),B3073),Addendum!F:F,"X")&gt;0,2.5%,0)</f>
        <v>0</v>
      </c>
      <c r="K3073" s="31">
        <f>IF(COUNTIFS(Addendum!C:C,A3073,Addendum!D:D,IF(ISNUMBER(B3073),TEXT(B3073,"0000"),B3073),Addendum!G:G,"X")&gt;0,7%,0)</f>
        <v>0</v>
      </c>
      <c r="L3073" s="31">
        <f>IF(COUNTIFS(Addendum!C:C,A3073,Addendum!D:D,IF(ISNUMBER(B3073),TEXT(B3073,"0000"),B3073),Addendum!I:I,"X")&gt;0,10%,0)</f>
        <v>0</v>
      </c>
      <c r="M3073" s="34">
        <f t="shared" si="94"/>
        <v>0</v>
      </c>
      <c r="N3073" s="17">
        <f t="shared" si="95"/>
        <v>160965</v>
      </c>
    </row>
    <row r="3074" spans="1:14" x14ac:dyDescent="0.25">
      <c r="A3074" s="14" t="s">
        <v>2666</v>
      </c>
      <c r="B3074" s="14">
        <v>3</v>
      </c>
      <c r="C3074" s="15" t="s">
        <v>2668</v>
      </c>
      <c r="D3074" s="14" t="s">
        <v>1749</v>
      </c>
      <c r="E3074" s="14" t="s">
        <v>1746</v>
      </c>
      <c r="F3074" s="17" t="s">
        <v>2993</v>
      </c>
      <c r="G3074" s="14">
        <v>21462</v>
      </c>
      <c r="H3074" s="14">
        <v>16096.5</v>
      </c>
      <c r="I3074" s="31">
        <f>IF(COUNTIFS(Addendum!C:C,A3074,Addendum!D:D,IF(ISNUMBER(B3074),TEXT(B3074,"0000"),B3074),Addendum!E:E,"X")&gt;0,4%,0)</f>
        <v>0</v>
      </c>
      <c r="J3074" s="31">
        <f>IF(COUNTIFS(Addendum!C:C,A3074,Addendum!D:D,IF(ISNUMBER(B3074),TEXT(B3074,"0000"),B3074),Addendum!F:F,"X")&gt;0,2.5%,0)</f>
        <v>0</v>
      </c>
      <c r="K3074" s="31">
        <f>IF(COUNTIFS(Addendum!C:C,A3074,Addendum!D:D,IF(ISNUMBER(B3074),TEXT(B3074,"0000"),B3074),Addendum!G:G,"X")&gt;0,7%,0)</f>
        <v>0</v>
      </c>
      <c r="L3074" s="31">
        <f>IF(COUNTIFS(Addendum!C:C,A3074,Addendum!D:D,IF(ISNUMBER(B3074),TEXT(B3074,"0000"),B3074),Addendum!I:I,"X")&gt;0,10%,0)</f>
        <v>0</v>
      </c>
      <c r="M3074" s="34">
        <f t="shared" si="94"/>
        <v>0</v>
      </c>
      <c r="N3074" s="17">
        <f t="shared" si="95"/>
        <v>16096.5</v>
      </c>
    </row>
    <row r="3075" spans="1:14" x14ac:dyDescent="0.25">
      <c r="A3075" s="14" t="s">
        <v>2666</v>
      </c>
      <c r="B3075" s="14">
        <v>1</v>
      </c>
      <c r="C3075" s="15" t="s">
        <v>2667</v>
      </c>
      <c r="D3075" s="14" t="s">
        <v>1745</v>
      </c>
      <c r="E3075" s="14" t="s">
        <v>1746</v>
      </c>
      <c r="F3075" s="17" t="s">
        <v>2995</v>
      </c>
      <c r="G3075" s="14">
        <v>56322</v>
      </c>
      <c r="H3075" s="14">
        <v>50689.8</v>
      </c>
      <c r="I3075" s="31">
        <f>IF(COUNTIFS(Addendum!C:C,A3075,Addendum!D:D,IF(ISNUMBER(B3075),TEXT(B3075,"0000"),B3075),Addendum!E:E,"X")&gt;0,4%,0)</f>
        <v>0</v>
      </c>
      <c r="J3075" s="31">
        <f>IF(COUNTIFS(Addendum!C:C,A3075,Addendum!D:D,IF(ISNUMBER(B3075),TEXT(B3075,"0000"),B3075),Addendum!F:F,"X")&gt;0,2.5%,0)</f>
        <v>0</v>
      </c>
      <c r="K3075" s="31">
        <f>IF(COUNTIFS(Addendum!C:C,A3075,Addendum!D:D,IF(ISNUMBER(B3075),TEXT(B3075,"0000"),B3075),Addendum!G:G,"X")&gt;0,7%,0)</f>
        <v>0</v>
      </c>
      <c r="L3075" s="31">
        <f>IF(COUNTIFS(Addendum!C:C,A3075,Addendum!D:D,IF(ISNUMBER(B3075),TEXT(B3075,"0000"),B3075),Addendum!I:I,"X")&gt;0,10%,0)</f>
        <v>0</v>
      </c>
      <c r="M3075" s="34">
        <f t="shared" si="94"/>
        <v>0</v>
      </c>
      <c r="N3075" s="17">
        <f t="shared" si="95"/>
        <v>50689.8</v>
      </c>
    </row>
    <row r="3076" spans="1:14" x14ac:dyDescent="0.25">
      <c r="A3076" s="14" t="s">
        <v>2666</v>
      </c>
      <c r="B3076" s="14">
        <v>1</v>
      </c>
      <c r="C3076" s="15" t="s">
        <v>2667</v>
      </c>
      <c r="D3076" s="14" t="s">
        <v>1745</v>
      </c>
      <c r="E3076" s="14" t="s">
        <v>1747</v>
      </c>
      <c r="F3076" s="17" t="s">
        <v>2995</v>
      </c>
      <c r="G3076" s="14">
        <v>53640</v>
      </c>
      <c r="H3076" s="14">
        <v>48276</v>
      </c>
      <c r="I3076" s="31">
        <f>IF(COUNTIFS(Addendum!C:C,A3076,Addendum!D:D,IF(ISNUMBER(B3076),TEXT(B3076,"0000"),B3076),Addendum!E:E,"X")&gt;0,4%,0)</f>
        <v>0</v>
      </c>
      <c r="J3076" s="31">
        <f>IF(COUNTIFS(Addendum!C:C,A3076,Addendum!D:D,IF(ISNUMBER(B3076),TEXT(B3076,"0000"),B3076),Addendum!F:F,"X")&gt;0,2.5%,0)</f>
        <v>0</v>
      </c>
      <c r="K3076" s="31">
        <f>IF(COUNTIFS(Addendum!C:C,A3076,Addendum!D:D,IF(ISNUMBER(B3076),TEXT(B3076,"0000"),B3076),Addendum!G:G,"X")&gt;0,7%,0)</f>
        <v>0</v>
      </c>
      <c r="L3076" s="31">
        <f>IF(COUNTIFS(Addendum!C:C,A3076,Addendum!D:D,IF(ISNUMBER(B3076),TEXT(B3076,"0000"),B3076),Addendum!I:I,"X")&gt;0,10%,0)</f>
        <v>0</v>
      </c>
      <c r="M3076" s="34">
        <f t="shared" ref="M3076:M3139" si="96">IF(AND(I3076=0%,J3076=0%,K3076=0%,L3076=0%),0%,
IF(OR(TRIM(E3076)="OneTime",TRIM(D3076)=""),0%,
IF(
OR(
TRIM(D3076)="P1M",
AND(TRIM(D3076)="P1Y",TRIM(E3076)="Monthly"),
AND(TRIM(D3076)="P3Y",TRIM(E3076)="Monthly")
),
IF(AND(I3076=4%,J3076=0%,K3076=0%,L3076=0%),1%,
IF(AND(I3076=4%,J3076=2.5%,K3076=0%,L3076=10%),2%,
IF(AND(I3076=4%,J3076=0%,K3076=7%,L3076=10%),3%,0%))),
IF(
OR(
AND(TRIM(D3076)="P1Y",TRIM(E3076)="Annual"),
AND(TRIM(D3076)="P3Y",TRIM(E3076)="Annual"),
AND(TRIM(D3076)="P3Y",TRIM(E3076)="Triennial")
),
IF(AND(I3076=4%,J3076=0%,K3076=0%,L3076=0%),3%,
IF(AND(I3076=4%,J3076=2.5%,K3076=0%,L3076=10%),10%,
IF(AND(I3076=4%,J3076=0%,K3076=7%,L3076=10%),14%,0%))),
0%
))))</f>
        <v>0</v>
      </c>
      <c r="N3076" s="17">
        <f t="shared" ref="N3076:N3139" si="97">H3076-(H3076*M3076)</f>
        <v>48276</v>
      </c>
    </row>
    <row r="3077" spans="1:14" x14ac:dyDescent="0.25">
      <c r="A3077" s="14" t="s">
        <v>2666</v>
      </c>
      <c r="B3077" s="14">
        <v>2</v>
      </c>
      <c r="C3077" s="15" t="s">
        <v>2669</v>
      </c>
      <c r="D3077" s="14" t="s">
        <v>1745</v>
      </c>
      <c r="E3077" s="14" t="s">
        <v>1747</v>
      </c>
      <c r="F3077" s="17" t="s">
        <v>2994</v>
      </c>
      <c r="G3077" s="14">
        <v>85860</v>
      </c>
      <c r="H3077" s="14">
        <v>64395</v>
      </c>
      <c r="I3077" s="31">
        <f>IF(COUNTIFS(Addendum!C:C,A3077,Addendum!D:D,IF(ISNUMBER(B3077),TEXT(B3077,"0000"),B3077),Addendum!E:E,"X")&gt;0,4%,0)</f>
        <v>0</v>
      </c>
      <c r="J3077" s="31">
        <f>IF(COUNTIFS(Addendum!C:C,A3077,Addendum!D:D,IF(ISNUMBER(B3077),TEXT(B3077,"0000"),B3077),Addendum!F:F,"X")&gt;0,2.5%,0)</f>
        <v>0</v>
      </c>
      <c r="K3077" s="31">
        <f>IF(COUNTIFS(Addendum!C:C,A3077,Addendum!D:D,IF(ISNUMBER(B3077),TEXT(B3077,"0000"),B3077),Addendum!G:G,"X")&gt;0,7%,0)</f>
        <v>0</v>
      </c>
      <c r="L3077" s="31">
        <f>IF(COUNTIFS(Addendum!C:C,A3077,Addendum!D:D,IF(ISNUMBER(B3077),TEXT(B3077,"0000"),B3077),Addendum!I:I,"X")&gt;0,10%,0)</f>
        <v>0</v>
      </c>
      <c r="M3077" s="34">
        <f t="shared" si="96"/>
        <v>0</v>
      </c>
      <c r="N3077" s="17">
        <f t="shared" si="97"/>
        <v>64395</v>
      </c>
    </row>
    <row r="3078" spans="1:14" x14ac:dyDescent="0.25">
      <c r="A3078" s="14" t="s">
        <v>2666</v>
      </c>
      <c r="B3078" s="14">
        <v>2</v>
      </c>
      <c r="C3078" s="15" t="s">
        <v>2669</v>
      </c>
      <c r="D3078" s="14" t="s">
        <v>1745</v>
      </c>
      <c r="E3078" s="14" t="s">
        <v>1746</v>
      </c>
      <c r="F3078" s="17" t="s">
        <v>2994</v>
      </c>
      <c r="G3078" s="14">
        <v>90153</v>
      </c>
      <c r="H3078" s="14">
        <v>67614.720000000001</v>
      </c>
      <c r="I3078" s="31">
        <f>IF(COUNTIFS(Addendum!C:C,A3078,Addendum!D:D,IF(ISNUMBER(B3078),TEXT(B3078,"0000"),B3078),Addendum!E:E,"X")&gt;0,4%,0)</f>
        <v>0</v>
      </c>
      <c r="J3078" s="31">
        <f>IF(COUNTIFS(Addendum!C:C,A3078,Addendum!D:D,IF(ISNUMBER(B3078),TEXT(B3078,"0000"),B3078),Addendum!F:F,"X")&gt;0,2.5%,0)</f>
        <v>0</v>
      </c>
      <c r="K3078" s="31">
        <f>IF(COUNTIFS(Addendum!C:C,A3078,Addendum!D:D,IF(ISNUMBER(B3078),TEXT(B3078,"0000"),B3078),Addendum!G:G,"X")&gt;0,7%,0)</f>
        <v>0</v>
      </c>
      <c r="L3078" s="31">
        <f>IF(COUNTIFS(Addendum!C:C,A3078,Addendum!D:D,IF(ISNUMBER(B3078),TEXT(B3078,"0000"),B3078),Addendum!I:I,"X")&gt;0,10%,0)</f>
        <v>0</v>
      </c>
      <c r="M3078" s="34">
        <f t="shared" si="96"/>
        <v>0</v>
      </c>
      <c r="N3078" s="17">
        <f t="shared" si="97"/>
        <v>67614.720000000001</v>
      </c>
    </row>
    <row r="3079" spans="1:14" x14ac:dyDescent="0.25">
      <c r="A3079" s="14" t="s">
        <v>2666</v>
      </c>
      <c r="B3079" s="14">
        <v>3</v>
      </c>
      <c r="C3079" s="15" t="s">
        <v>2668</v>
      </c>
      <c r="D3079" s="14" t="s">
        <v>1745</v>
      </c>
      <c r="E3079" s="14" t="s">
        <v>1746</v>
      </c>
      <c r="F3079" s="17" t="s">
        <v>2993</v>
      </c>
      <c r="G3079" s="14">
        <v>225351</v>
      </c>
      <c r="H3079" s="14">
        <v>169013.3</v>
      </c>
      <c r="I3079" s="31">
        <f>IF(COUNTIFS(Addendum!C:C,A3079,Addendum!D:D,IF(ISNUMBER(B3079),TEXT(B3079,"0000"),B3079),Addendum!E:E,"X")&gt;0,4%,0)</f>
        <v>0</v>
      </c>
      <c r="J3079" s="31">
        <f>IF(COUNTIFS(Addendum!C:C,A3079,Addendum!D:D,IF(ISNUMBER(B3079),TEXT(B3079,"0000"),B3079),Addendum!F:F,"X")&gt;0,2.5%,0)</f>
        <v>0</v>
      </c>
      <c r="K3079" s="31">
        <f>IF(COUNTIFS(Addendum!C:C,A3079,Addendum!D:D,IF(ISNUMBER(B3079),TEXT(B3079,"0000"),B3079),Addendum!G:G,"X")&gt;0,7%,0)</f>
        <v>0</v>
      </c>
      <c r="L3079" s="31">
        <f>IF(COUNTIFS(Addendum!C:C,A3079,Addendum!D:D,IF(ISNUMBER(B3079),TEXT(B3079,"0000"),B3079),Addendum!I:I,"X")&gt;0,10%,0)</f>
        <v>0</v>
      </c>
      <c r="M3079" s="34">
        <f t="shared" si="96"/>
        <v>0</v>
      </c>
      <c r="N3079" s="17">
        <f t="shared" si="97"/>
        <v>169013.3</v>
      </c>
    </row>
    <row r="3080" spans="1:14" x14ac:dyDescent="0.25">
      <c r="A3080" s="14" t="s">
        <v>2666</v>
      </c>
      <c r="B3080" s="14">
        <v>6</v>
      </c>
      <c r="C3080" s="15" t="s">
        <v>2670</v>
      </c>
      <c r="D3080" s="14" t="s">
        <v>1745</v>
      </c>
      <c r="E3080" s="14" t="s">
        <v>1747</v>
      </c>
      <c r="F3080" s="17" t="s">
        <v>2994</v>
      </c>
      <c r="G3080" s="14">
        <v>118080</v>
      </c>
      <c r="H3080" s="14">
        <v>88560</v>
      </c>
      <c r="I3080" s="31">
        <f>IF(COUNTIFS(Addendum!C:C,A3080,Addendum!D:D,IF(ISNUMBER(B3080),TEXT(B3080,"0000"),B3080),Addendum!E:E,"X")&gt;0,4%,0)</f>
        <v>0</v>
      </c>
      <c r="J3080" s="31">
        <f>IF(COUNTIFS(Addendum!C:C,A3080,Addendum!D:D,IF(ISNUMBER(B3080),TEXT(B3080,"0000"),B3080),Addendum!F:F,"X")&gt;0,2.5%,0)</f>
        <v>0</v>
      </c>
      <c r="K3080" s="31">
        <f>IF(COUNTIFS(Addendum!C:C,A3080,Addendum!D:D,IF(ISNUMBER(B3080),TEXT(B3080,"0000"),B3080),Addendum!G:G,"X")&gt;0,7%,0)</f>
        <v>0</v>
      </c>
      <c r="L3080" s="31">
        <f>IF(COUNTIFS(Addendum!C:C,A3080,Addendum!D:D,IF(ISNUMBER(B3080),TEXT(B3080,"0000"),B3080),Addendum!I:I,"X")&gt;0,10%,0)</f>
        <v>0</v>
      </c>
      <c r="M3080" s="34">
        <f t="shared" si="96"/>
        <v>0</v>
      </c>
      <c r="N3080" s="17">
        <f t="shared" si="97"/>
        <v>88560</v>
      </c>
    </row>
    <row r="3081" spans="1:14" x14ac:dyDescent="0.25">
      <c r="A3081" s="14" t="s">
        <v>2666</v>
      </c>
      <c r="B3081" s="14">
        <v>6</v>
      </c>
      <c r="C3081" s="15" t="s">
        <v>2670</v>
      </c>
      <c r="D3081" s="14" t="s">
        <v>1749</v>
      </c>
      <c r="E3081" s="14" t="s">
        <v>1746</v>
      </c>
      <c r="F3081" s="17" t="s">
        <v>2994</v>
      </c>
      <c r="G3081" s="14">
        <v>11808</v>
      </c>
      <c r="H3081" s="14">
        <v>8856</v>
      </c>
      <c r="I3081" s="31">
        <f>IF(COUNTIFS(Addendum!C:C,A3081,Addendum!D:D,IF(ISNUMBER(B3081),TEXT(B3081,"0000"),B3081),Addendum!E:E,"X")&gt;0,4%,0)</f>
        <v>0</v>
      </c>
      <c r="J3081" s="31">
        <f>IF(COUNTIFS(Addendum!C:C,A3081,Addendum!D:D,IF(ISNUMBER(B3081),TEXT(B3081,"0000"),B3081),Addendum!F:F,"X")&gt;0,2.5%,0)</f>
        <v>0</v>
      </c>
      <c r="K3081" s="31">
        <f>IF(COUNTIFS(Addendum!C:C,A3081,Addendum!D:D,IF(ISNUMBER(B3081),TEXT(B3081,"0000"),B3081),Addendum!G:G,"X")&gt;0,7%,0)</f>
        <v>0</v>
      </c>
      <c r="L3081" s="31">
        <f>IF(COUNTIFS(Addendum!C:C,A3081,Addendum!D:D,IF(ISNUMBER(B3081),TEXT(B3081,"0000"),B3081),Addendum!I:I,"X")&gt;0,10%,0)</f>
        <v>0</v>
      </c>
      <c r="M3081" s="34">
        <f t="shared" si="96"/>
        <v>0</v>
      </c>
      <c r="N3081" s="17">
        <f t="shared" si="97"/>
        <v>8856</v>
      </c>
    </row>
    <row r="3082" spans="1:14" x14ac:dyDescent="0.25">
      <c r="A3082" s="14" t="s">
        <v>2666</v>
      </c>
      <c r="B3082" s="14">
        <v>6</v>
      </c>
      <c r="C3082" s="15" t="s">
        <v>2670</v>
      </c>
      <c r="D3082" s="14" t="s">
        <v>1745</v>
      </c>
      <c r="E3082" s="14" t="s">
        <v>1746</v>
      </c>
      <c r="F3082" s="17" t="s">
        <v>2994</v>
      </c>
      <c r="G3082" s="14">
        <v>123984</v>
      </c>
      <c r="H3082" s="14">
        <v>92988</v>
      </c>
      <c r="I3082" s="31">
        <f>IF(COUNTIFS(Addendum!C:C,A3082,Addendum!D:D,IF(ISNUMBER(B3082),TEXT(B3082,"0000"),B3082),Addendum!E:E,"X")&gt;0,4%,0)</f>
        <v>0</v>
      </c>
      <c r="J3082" s="31">
        <f>IF(COUNTIFS(Addendum!C:C,A3082,Addendum!D:D,IF(ISNUMBER(B3082),TEXT(B3082,"0000"),B3082),Addendum!F:F,"X")&gt;0,2.5%,0)</f>
        <v>0</v>
      </c>
      <c r="K3082" s="31">
        <f>IF(COUNTIFS(Addendum!C:C,A3082,Addendum!D:D,IF(ISNUMBER(B3082),TEXT(B3082,"0000"),B3082),Addendum!G:G,"X")&gt;0,7%,0)</f>
        <v>0</v>
      </c>
      <c r="L3082" s="31">
        <f>IF(COUNTIFS(Addendum!C:C,A3082,Addendum!D:D,IF(ISNUMBER(B3082),TEXT(B3082,"0000"),B3082),Addendum!I:I,"X")&gt;0,10%,0)</f>
        <v>0</v>
      </c>
      <c r="M3082" s="34">
        <f t="shared" si="96"/>
        <v>0</v>
      </c>
      <c r="N3082" s="17">
        <f t="shared" si="97"/>
        <v>92988</v>
      </c>
    </row>
    <row r="3083" spans="1:14" x14ac:dyDescent="0.25">
      <c r="A3083" s="14" t="s">
        <v>2666</v>
      </c>
      <c r="B3083" s="14">
        <v>2</v>
      </c>
      <c r="C3083" s="15" t="s">
        <v>2669</v>
      </c>
      <c r="D3083" s="14" t="s">
        <v>1749</v>
      </c>
      <c r="E3083" s="14" t="s">
        <v>1746</v>
      </c>
      <c r="F3083" s="17" t="s">
        <v>2994</v>
      </c>
      <c r="G3083" s="14">
        <v>8586</v>
      </c>
      <c r="H3083" s="14">
        <v>6439.5</v>
      </c>
      <c r="I3083" s="31">
        <f>IF(COUNTIFS(Addendum!C:C,A3083,Addendum!D:D,IF(ISNUMBER(B3083),TEXT(B3083,"0000"),B3083),Addendum!E:E,"X")&gt;0,4%,0)</f>
        <v>0</v>
      </c>
      <c r="J3083" s="31">
        <f>IF(COUNTIFS(Addendum!C:C,A3083,Addendum!D:D,IF(ISNUMBER(B3083),TEXT(B3083,"0000"),B3083),Addendum!F:F,"X")&gt;0,2.5%,0)</f>
        <v>0</v>
      </c>
      <c r="K3083" s="31">
        <f>IF(COUNTIFS(Addendum!C:C,A3083,Addendum!D:D,IF(ISNUMBER(B3083),TEXT(B3083,"0000"),B3083),Addendum!G:G,"X")&gt;0,7%,0)</f>
        <v>0</v>
      </c>
      <c r="L3083" s="31">
        <f>IF(COUNTIFS(Addendum!C:C,A3083,Addendum!D:D,IF(ISNUMBER(B3083),TEXT(B3083,"0000"),B3083),Addendum!I:I,"X")&gt;0,10%,0)</f>
        <v>0</v>
      </c>
      <c r="M3083" s="34">
        <f t="shared" si="96"/>
        <v>0</v>
      </c>
      <c r="N3083" s="17">
        <f t="shared" si="97"/>
        <v>6439.5</v>
      </c>
    </row>
    <row r="3084" spans="1:14" x14ac:dyDescent="0.25">
      <c r="A3084" s="14" t="s">
        <v>2671</v>
      </c>
      <c r="B3084" s="14">
        <v>1</v>
      </c>
      <c r="C3084" s="15" t="s">
        <v>2672</v>
      </c>
      <c r="D3084" s="14" t="s">
        <v>1745</v>
      </c>
      <c r="E3084" s="14" t="s">
        <v>1747</v>
      </c>
      <c r="F3084" s="17" t="s">
        <v>2993</v>
      </c>
      <c r="G3084" s="14">
        <v>99840</v>
      </c>
      <c r="H3084" s="14">
        <v>74880</v>
      </c>
      <c r="I3084" s="31">
        <f>IF(COUNTIFS(Addendum!C:C,A3084,Addendum!D:D,IF(ISNUMBER(B3084),TEXT(B3084,"0000"),B3084),Addendum!E:E,"X")&gt;0,4%,0)</f>
        <v>0</v>
      </c>
      <c r="J3084" s="31">
        <f>IF(COUNTIFS(Addendum!C:C,A3084,Addendum!D:D,IF(ISNUMBER(B3084),TEXT(B3084,"0000"),B3084),Addendum!F:F,"X")&gt;0,2.5%,0)</f>
        <v>0</v>
      </c>
      <c r="K3084" s="31">
        <f>IF(COUNTIFS(Addendum!C:C,A3084,Addendum!D:D,IF(ISNUMBER(B3084),TEXT(B3084,"0000"),B3084),Addendum!G:G,"X")&gt;0,7%,0)</f>
        <v>0</v>
      </c>
      <c r="L3084" s="31">
        <f>IF(COUNTIFS(Addendum!C:C,A3084,Addendum!D:D,IF(ISNUMBER(B3084),TEXT(B3084,"0000"),B3084),Addendum!I:I,"X")&gt;0,10%,0)</f>
        <v>0</v>
      </c>
      <c r="M3084" s="34">
        <f t="shared" si="96"/>
        <v>0</v>
      </c>
      <c r="N3084" s="17">
        <f t="shared" si="97"/>
        <v>74880</v>
      </c>
    </row>
    <row r="3085" spans="1:14" x14ac:dyDescent="0.25">
      <c r="A3085" s="14" t="s">
        <v>2671</v>
      </c>
      <c r="B3085" s="14" t="s">
        <v>16</v>
      </c>
      <c r="C3085" s="15" t="s">
        <v>2673</v>
      </c>
      <c r="D3085" s="14" t="s">
        <v>1745</v>
      </c>
      <c r="E3085" s="14" t="s">
        <v>1746</v>
      </c>
      <c r="F3085" s="17" t="s">
        <v>2995</v>
      </c>
      <c r="G3085" s="14">
        <v>26208</v>
      </c>
      <c r="H3085" s="14">
        <v>23587.200000000001</v>
      </c>
      <c r="I3085" s="31">
        <f>IF(COUNTIFS(Addendum!C:C,A3085,Addendum!D:D,IF(ISNUMBER(B3085),TEXT(B3085,"0000"),B3085),Addendum!E:E,"X")&gt;0,4%,0)</f>
        <v>0</v>
      </c>
      <c r="J3085" s="31">
        <f>IF(COUNTIFS(Addendum!C:C,A3085,Addendum!D:D,IF(ISNUMBER(B3085),TEXT(B3085,"0000"),B3085),Addendum!F:F,"X")&gt;0,2.5%,0)</f>
        <v>0</v>
      </c>
      <c r="K3085" s="31">
        <f>IF(COUNTIFS(Addendum!C:C,A3085,Addendum!D:D,IF(ISNUMBER(B3085),TEXT(B3085,"0000"),B3085),Addendum!G:G,"X")&gt;0,7%,0)</f>
        <v>0</v>
      </c>
      <c r="L3085" s="31">
        <f>IF(COUNTIFS(Addendum!C:C,A3085,Addendum!D:D,IF(ISNUMBER(B3085),TEXT(B3085,"0000"),B3085),Addendum!I:I,"X")&gt;0,10%,0)</f>
        <v>0</v>
      </c>
      <c r="M3085" s="34">
        <f t="shared" si="96"/>
        <v>0</v>
      </c>
      <c r="N3085" s="17">
        <f t="shared" si="97"/>
        <v>23587.200000000001</v>
      </c>
    </row>
    <row r="3086" spans="1:14" x14ac:dyDescent="0.25">
      <c r="A3086" s="14" t="s">
        <v>2671</v>
      </c>
      <c r="B3086" s="14" t="s">
        <v>20</v>
      </c>
      <c r="C3086" s="15" t="s">
        <v>2674</v>
      </c>
      <c r="D3086" s="14" t="s">
        <v>1749</v>
      </c>
      <c r="E3086" s="14" t="s">
        <v>1746</v>
      </c>
      <c r="F3086" s="17" t="s">
        <v>2994</v>
      </c>
      <c r="G3086" s="14">
        <v>5490</v>
      </c>
      <c r="H3086" s="14">
        <v>4117.5</v>
      </c>
      <c r="I3086" s="31">
        <f>IF(COUNTIFS(Addendum!C:C,A3086,Addendum!D:D,IF(ISNUMBER(B3086),TEXT(B3086,"0000"),B3086),Addendum!E:E,"X")&gt;0,4%,0)</f>
        <v>0</v>
      </c>
      <c r="J3086" s="31">
        <f>IF(COUNTIFS(Addendum!C:C,A3086,Addendum!D:D,IF(ISNUMBER(B3086),TEXT(B3086,"0000"),B3086),Addendum!F:F,"X")&gt;0,2.5%,0)</f>
        <v>0</v>
      </c>
      <c r="K3086" s="31">
        <f>IF(COUNTIFS(Addendum!C:C,A3086,Addendum!D:D,IF(ISNUMBER(B3086),TEXT(B3086,"0000"),B3086),Addendum!G:G,"X")&gt;0,7%,0)</f>
        <v>0</v>
      </c>
      <c r="L3086" s="31">
        <f>IF(COUNTIFS(Addendum!C:C,A3086,Addendum!D:D,IF(ISNUMBER(B3086),TEXT(B3086,"0000"),B3086),Addendum!I:I,"X")&gt;0,10%,0)</f>
        <v>0</v>
      </c>
      <c r="M3086" s="34">
        <f t="shared" si="96"/>
        <v>0</v>
      </c>
      <c r="N3086" s="17">
        <f t="shared" si="97"/>
        <v>4117.5</v>
      </c>
    </row>
    <row r="3087" spans="1:14" x14ac:dyDescent="0.25">
      <c r="A3087" s="14" t="s">
        <v>2671</v>
      </c>
      <c r="B3087" s="14">
        <v>1</v>
      </c>
      <c r="C3087" s="15" t="s">
        <v>2672</v>
      </c>
      <c r="D3087" s="14" t="s">
        <v>1749</v>
      </c>
      <c r="E3087" s="14" t="s">
        <v>1746</v>
      </c>
      <c r="F3087" s="17" t="s">
        <v>2993</v>
      </c>
      <c r="G3087" s="14">
        <v>9984</v>
      </c>
      <c r="H3087" s="14">
        <v>7488</v>
      </c>
      <c r="I3087" s="31">
        <f>IF(COUNTIFS(Addendum!C:C,A3087,Addendum!D:D,IF(ISNUMBER(B3087),TEXT(B3087,"0000"),B3087),Addendum!E:E,"X")&gt;0,4%,0)</f>
        <v>0</v>
      </c>
      <c r="J3087" s="31">
        <f>IF(COUNTIFS(Addendum!C:C,A3087,Addendum!D:D,IF(ISNUMBER(B3087),TEXT(B3087,"0000"),B3087),Addendum!F:F,"X")&gt;0,2.5%,0)</f>
        <v>0</v>
      </c>
      <c r="K3087" s="31">
        <f>IF(COUNTIFS(Addendum!C:C,A3087,Addendum!D:D,IF(ISNUMBER(B3087),TEXT(B3087,"0000"),B3087),Addendum!G:G,"X")&gt;0,7%,0)</f>
        <v>0</v>
      </c>
      <c r="L3087" s="31">
        <f>IF(COUNTIFS(Addendum!C:C,A3087,Addendum!D:D,IF(ISNUMBER(B3087),TEXT(B3087,"0000"),B3087),Addendum!I:I,"X")&gt;0,10%,0)</f>
        <v>0</v>
      </c>
      <c r="M3087" s="34">
        <f t="shared" si="96"/>
        <v>0</v>
      </c>
      <c r="N3087" s="17">
        <f t="shared" si="97"/>
        <v>7488</v>
      </c>
    </row>
    <row r="3088" spans="1:14" x14ac:dyDescent="0.25">
      <c r="A3088" s="14" t="s">
        <v>2671</v>
      </c>
      <c r="B3088" s="14" t="s">
        <v>16</v>
      </c>
      <c r="C3088" s="15" t="s">
        <v>2673</v>
      </c>
      <c r="D3088" s="14" t="s">
        <v>1745</v>
      </c>
      <c r="E3088" s="14" t="s">
        <v>1747</v>
      </c>
      <c r="F3088" s="17" t="s">
        <v>2995</v>
      </c>
      <c r="G3088" s="14">
        <v>24960</v>
      </c>
      <c r="H3088" s="14">
        <v>22464</v>
      </c>
      <c r="I3088" s="31">
        <f>IF(COUNTIFS(Addendum!C:C,A3088,Addendum!D:D,IF(ISNUMBER(B3088),TEXT(B3088,"0000"),B3088),Addendum!E:E,"X")&gt;0,4%,0)</f>
        <v>0</v>
      </c>
      <c r="J3088" s="31">
        <f>IF(COUNTIFS(Addendum!C:C,A3088,Addendum!D:D,IF(ISNUMBER(B3088),TEXT(B3088,"0000"),B3088),Addendum!F:F,"X")&gt;0,2.5%,0)</f>
        <v>0</v>
      </c>
      <c r="K3088" s="31">
        <f>IF(COUNTIFS(Addendum!C:C,A3088,Addendum!D:D,IF(ISNUMBER(B3088),TEXT(B3088,"0000"),B3088),Addendum!G:G,"X")&gt;0,7%,0)</f>
        <v>0</v>
      </c>
      <c r="L3088" s="31">
        <f>IF(COUNTIFS(Addendum!C:C,A3088,Addendum!D:D,IF(ISNUMBER(B3088),TEXT(B3088,"0000"),B3088),Addendum!I:I,"X")&gt;0,10%,0)</f>
        <v>0</v>
      </c>
      <c r="M3088" s="34">
        <f t="shared" si="96"/>
        <v>0</v>
      </c>
      <c r="N3088" s="17">
        <f t="shared" si="97"/>
        <v>22464</v>
      </c>
    </row>
    <row r="3089" spans="1:14" x14ac:dyDescent="0.25">
      <c r="A3089" s="14" t="s">
        <v>2671</v>
      </c>
      <c r="B3089" s="14" t="s">
        <v>16</v>
      </c>
      <c r="C3089" s="15" t="s">
        <v>2673</v>
      </c>
      <c r="D3089" s="14" t="s">
        <v>1749</v>
      </c>
      <c r="E3089" s="14" t="s">
        <v>1746</v>
      </c>
      <c r="F3089" s="17" t="s">
        <v>2995</v>
      </c>
      <c r="G3089" s="14">
        <v>2496</v>
      </c>
      <c r="H3089" s="14">
        <v>2246.4</v>
      </c>
      <c r="I3089" s="31">
        <f>IF(COUNTIFS(Addendum!C:C,A3089,Addendum!D:D,IF(ISNUMBER(B3089),TEXT(B3089,"0000"),B3089),Addendum!E:E,"X")&gt;0,4%,0)</f>
        <v>0</v>
      </c>
      <c r="J3089" s="31">
        <f>IF(COUNTIFS(Addendum!C:C,A3089,Addendum!D:D,IF(ISNUMBER(B3089),TEXT(B3089,"0000"),B3089),Addendum!F:F,"X")&gt;0,2.5%,0)</f>
        <v>0</v>
      </c>
      <c r="K3089" s="31">
        <f>IF(COUNTIFS(Addendum!C:C,A3089,Addendum!D:D,IF(ISNUMBER(B3089),TEXT(B3089,"0000"),B3089),Addendum!G:G,"X")&gt;0,7%,0)</f>
        <v>0</v>
      </c>
      <c r="L3089" s="31">
        <f>IF(COUNTIFS(Addendum!C:C,A3089,Addendum!D:D,IF(ISNUMBER(B3089),TEXT(B3089,"0000"),B3089),Addendum!I:I,"X")&gt;0,10%,0)</f>
        <v>0</v>
      </c>
      <c r="M3089" s="34">
        <f t="shared" si="96"/>
        <v>0</v>
      </c>
      <c r="N3089" s="17">
        <f t="shared" si="97"/>
        <v>2246.4</v>
      </c>
    </row>
    <row r="3090" spans="1:14" x14ac:dyDescent="0.25">
      <c r="A3090" s="14" t="s">
        <v>2671</v>
      </c>
      <c r="B3090" s="14" t="s">
        <v>20</v>
      </c>
      <c r="C3090" s="15" t="s">
        <v>2674</v>
      </c>
      <c r="D3090" s="14" t="s">
        <v>1745</v>
      </c>
      <c r="E3090" s="14" t="s">
        <v>1747</v>
      </c>
      <c r="F3090" s="17" t="s">
        <v>2994</v>
      </c>
      <c r="G3090" s="14">
        <v>54900</v>
      </c>
      <c r="H3090" s="14">
        <v>41175</v>
      </c>
      <c r="I3090" s="31">
        <f>IF(COUNTIFS(Addendum!C:C,A3090,Addendum!D:D,IF(ISNUMBER(B3090),TEXT(B3090,"0000"),B3090),Addendum!E:E,"X")&gt;0,4%,0)</f>
        <v>0</v>
      </c>
      <c r="J3090" s="31">
        <f>IF(COUNTIFS(Addendum!C:C,A3090,Addendum!D:D,IF(ISNUMBER(B3090),TEXT(B3090,"0000"),B3090),Addendum!F:F,"X")&gt;0,2.5%,0)</f>
        <v>0</v>
      </c>
      <c r="K3090" s="31">
        <f>IF(COUNTIFS(Addendum!C:C,A3090,Addendum!D:D,IF(ISNUMBER(B3090),TEXT(B3090,"0000"),B3090),Addendum!G:G,"X")&gt;0,7%,0)</f>
        <v>0</v>
      </c>
      <c r="L3090" s="31">
        <f>IF(COUNTIFS(Addendum!C:C,A3090,Addendum!D:D,IF(ISNUMBER(B3090),TEXT(B3090,"0000"),B3090),Addendum!I:I,"X")&gt;0,10%,0)</f>
        <v>0</v>
      </c>
      <c r="M3090" s="34">
        <f t="shared" si="96"/>
        <v>0</v>
      </c>
      <c r="N3090" s="17">
        <f t="shared" si="97"/>
        <v>41175</v>
      </c>
    </row>
    <row r="3091" spans="1:14" x14ac:dyDescent="0.25">
      <c r="A3091" s="14" t="s">
        <v>2671</v>
      </c>
      <c r="B3091" s="14">
        <v>1</v>
      </c>
      <c r="C3091" s="15" t="s">
        <v>2672</v>
      </c>
      <c r="D3091" s="14" t="s">
        <v>1745</v>
      </c>
      <c r="E3091" s="14" t="s">
        <v>1746</v>
      </c>
      <c r="F3091" s="17" t="s">
        <v>2993</v>
      </c>
      <c r="G3091" s="14">
        <v>104832</v>
      </c>
      <c r="H3091" s="14">
        <v>78624</v>
      </c>
      <c r="I3091" s="31">
        <f>IF(COUNTIFS(Addendum!C:C,A3091,Addendum!D:D,IF(ISNUMBER(B3091),TEXT(B3091,"0000"),B3091),Addendum!E:E,"X")&gt;0,4%,0)</f>
        <v>0</v>
      </c>
      <c r="J3091" s="31">
        <f>IF(COUNTIFS(Addendum!C:C,A3091,Addendum!D:D,IF(ISNUMBER(B3091),TEXT(B3091,"0000"),B3091),Addendum!F:F,"X")&gt;0,2.5%,0)</f>
        <v>0</v>
      </c>
      <c r="K3091" s="31">
        <f>IF(COUNTIFS(Addendum!C:C,A3091,Addendum!D:D,IF(ISNUMBER(B3091),TEXT(B3091,"0000"),B3091),Addendum!G:G,"X")&gt;0,7%,0)</f>
        <v>0</v>
      </c>
      <c r="L3091" s="31">
        <f>IF(COUNTIFS(Addendum!C:C,A3091,Addendum!D:D,IF(ISNUMBER(B3091),TEXT(B3091,"0000"),B3091),Addendum!I:I,"X")&gt;0,10%,0)</f>
        <v>0</v>
      </c>
      <c r="M3091" s="34">
        <f t="shared" si="96"/>
        <v>0</v>
      </c>
      <c r="N3091" s="17">
        <f t="shared" si="97"/>
        <v>78624</v>
      </c>
    </row>
    <row r="3092" spans="1:14" x14ac:dyDescent="0.25">
      <c r="A3092" s="14" t="s">
        <v>2671</v>
      </c>
      <c r="B3092" s="14" t="s">
        <v>20</v>
      </c>
      <c r="C3092" s="15" t="s">
        <v>2674</v>
      </c>
      <c r="D3092" s="14" t="s">
        <v>1745</v>
      </c>
      <c r="E3092" s="14" t="s">
        <v>1746</v>
      </c>
      <c r="F3092" s="17" t="s">
        <v>2994</v>
      </c>
      <c r="G3092" s="14">
        <v>57645</v>
      </c>
      <c r="H3092" s="14">
        <v>43233.72</v>
      </c>
      <c r="I3092" s="31">
        <f>IF(COUNTIFS(Addendum!C:C,A3092,Addendum!D:D,IF(ISNUMBER(B3092),TEXT(B3092,"0000"),B3092),Addendum!E:E,"X")&gt;0,4%,0)</f>
        <v>0</v>
      </c>
      <c r="J3092" s="31">
        <f>IF(COUNTIFS(Addendum!C:C,A3092,Addendum!D:D,IF(ISNUMBER(B3092),TEXT(B3092,"0000"),B3092),Addendum!F:F,"X")&gt;0,2.5%,0)</f>
        <v>0</v>
      </c>
      <c r="K3092" s="31">
        <f>IF(COUNTIFS(Addendum!C:C,A3092,Addendum!D:D,IF(ISNUMBER(B3092),TEXT(B3092,"0000"),B3092),Addendum!G:G,"X")&gt;0,7%,0)</f>
        <v>0</v>
      </c>
      <c r="L3092" s="31">
        <f>IF(COUNTIFS(Addendum!C:C,A3092,Addendum!D:D,IF(ISNUMBER(B3092),TEXT(B3092,"0000"),B3092),Addendum!I:I,"X")&gt;0,10%,0)</f>
        <v>0</v>
      </c>
      <c r="M3092" s="34">
        <f t="shared" si="96"/>
        <v>0</v>
      </c>
      <c r="N3092" s="17">
        <f t="shared" si="97"/>
        <v>43233.72</v>
      </c>
    </row>
    <row r="3093" spans="1:14" x14ac:dyDescent="0.25">
      <c r="A3093" s="14" t="s">
        <v>2675</v>
      </c>
      <c r="B3093" s="14" t="s">
        <v>32</v>
      </c>
      <c r="C3093" s="15" t="s">
        <v>2676</v>
      </c>
      <c r="D3093" s="14" t="s">
        <v>1749</v>
      </c>
      <c r="E3093" s="14" t="s">
        <v>1746</v>
      </c>
      <c r="F3093" s="17" t="s">
        <v>2995</v>
      </c>
      <c r="G3093" s="14">
        <v>372</v>
      </c>
      <c r="H3093" s="14">
        <v>334.8</v>
      </c>
      <c r="I3093" s="31">
        <f>IF(COUNTIFS(Addendum!C:C,A3093,Addendum!D:D,IF(ISNUMBER(B3093),TEXT(B3093,"0000"),B3093),Addendum!E:E,"X")&gt;0,4%,0)</f>
        <v>0</v>
      </c>
      <c r="J3093" s="31">
        <f>IF(COUNTIFS(Addendum!C:C,A3093,Addendum!D:D,IF(ISNUMBER(B3093),TEXT(B3093,"0000"),B3093),Addendum!F:F,"X")&gt;0,2.5%,0)</f>
        <v>0</v>
      </c>
      <c r="K3093" s="31">
        <f>IF(COUNTIFS(Addendum!C:C,A3093,Addendum!D:D,IF(ISNUMBER(B3093),TEXT(B3093,"0000"),B3093),Addendum!G:G,"X")&gt;0,7%,0)</f>
        <v>0</v>
      </c>
      <c r="L3093" s="31">
        <f>IF(COUNTIFS(Addendum!C:C,A3093,Addendum!D:D,IF(ISNUMBER(B3093),TEXT(B3093,"0000"),B3093),Addendum!I:I,"X")&gt;0,10%,0)</f>
        <v>0</v>
      </c>
      <c r="M3093" s="34">
        <f t="shared" si="96"/>
        <v>0</v>
      </c>
      <c r="N3093" s="17">
        <f t="shared" si="97"/>
        <v>334.8</v>
      </c>
    </row>
    <row r="3094" spans="1:14" x14ac:dyDescent="0.25">
      <c r="A3094" s="14" t="s">
        <v>2675</v>
      </c>
      <c r="B3094" s="14">
        <v>1</v>
      </c>
      <c r="C3094" s="15" t="s">
        <v>2677</v>
      </c>
      <c r="D3094" s="14" t="s">
        <v>1749</v>
      </c>
      <c r="E3094" s="14" t="s">
        <v>1746</v>
      </c>
      <c r="F3094" s="17" t="s">
        <v>2993</v>
      </c>
      <c r="G3094" s="14">
        <v>1500</v>
      </c>
      <c r="H3094" s="14">
        <v>1125</v>
      </c>
      <c r="I3094" s="31">
        <f>IF(COUNTIFS(Addendum!C:C,A3094,Addendum!D:D,IF(ISNUMBER(B3094),TEXT(B3094,"0000"),B3094),Addendum!E:E,"X")&gt;0,4%,0)</f>
        <v>0</v>
      </c>
      <c r="J3094" s="31">
        <f>IF(COUNTIFS(Addendum!C:C,A3094,Addendum!D:D,IF(ISNUMBER(B3094),TEXT(B3094,"0000"),B3094),Addendum!F:F,"X")&gt;0,2.5%,0)</f>
        <v>0</v>
      </c>
      <c r="K3094" s="31">
        <f>IF(COUNTIFS(Addendum!C:C,A3094,Addendum!D:D,IF(ISNUMBER(B3094),TEXT(B3094,"0000"),B3094),Addendum!G:G,"X")&gt;0,7%,0)</f>
        <v>0</v>
      </c>
      <c r="L3094" s="31">
        <f>IF(COUNTIFS(Addendum!C:C,A3094,Addendum!D:D,IF(ISNUMBER(B3094),TEXT(B3094,"0000"),B3094),Addendum!I:I,"X")&gt;0,10%,0)</f>
        <v>0</v>
      </c>
      <c r="M3094" s="34">
        <f t="shared" si="96"/>
        <v>0</v>
      </c>
      <c r="N3094" s="17">
        <f t="shared" si="97"/>
        <v>1125</v>
      </c>
    </row>
    <row r="3095" spans="1:14" x14ac:dyDescent="0.25">
      <c r="A3095" s="14" t="s">
        <v>2675</v>
      </c>
      <c r="B3095" s="14">
        <v>1</v>
      </c>
      <c r="C3095" s="15" t="s">
        <v>2677</v>
      </c>
      <c r="D3095" s="14" t="s">
        <v>1745</v>
      </c>
      <c r="E3095" s="14" t="s">
        <v>1746</v>
      </c>
      <c r="F3095" s="17" t="s">
        <v>2993</v>
      </c>
      <c r="G3095" s="14">
        <v>15750</v>
      </c>
      <c r="H3095" s="14">
        <v>11812.56</v>
      </c>
      <c r="I3095" s="31">
        <f>IF(COUNTIFS(Addendum!C:C,A3095,Addendum!D:D,IF(ISNUMBER(B3095),TEXT(B3095,"0000"),B3095),Addendum!E:E,"X")&gt;0,4%,0)</f>
        <v>0</v>
      </c>
      <c r="J3095" s="31">
        <f>IF(COUNTIFS(Addendum!C:C,A3095,Addendum!D:D,IF(ISNUMBER(B3095),TEXT(B3095,"0000"),B3095),Addendum!F:F,"X")&gt;0,2.5%,0)</f>
        <v>0</v>
      </c>
      <c r="K3095" s="31">
        <f>IF(COUNTIFS(Addendum!C:C,A3095,Addendum!D:D,IF(ISNUMBER(B3095),TEXT(B3095,"0000"),B3095),Addendum!G:G,"X")&gt;0,7%,0)</f>
        <v>0</v>
      </c>
      <c r="L3095" s="31">
        <f>IF(COUNTIFS(Addendum!C:C,A3095,Addendum!D:D,IF(ISNUMBER(B3095),TEXT(B3095,"0000"),B3095),Addendum!I:I,"X")&gt;0,10%,0)</f>
        <v>0</v>
      </c>
      <c r="M3095" s="34">
        <f t="shared" si="96"/>
        <v>0</v>
      </c>
      <c r="N3095" s="17">
        <f t="shared" si="97"/>
        <v>11812.56</v>
      </c>
    </row>
    <row r="3096" spans="1:14" x14ac:dyDescent="0.25">
      <c r="A3096" s="14" t="s">
        <v>2675</v>
      </c>
      <c r="B3096" s="14" t="s">
        <v>39</v>
      </c>
      <c r="C3096" s="15" t="s">
        <v>2678</v>
      </c>
      <c r="D3096" s="14" t="s">
        <v>1745</v>
      </c>
      <c r="E3096" s="14" t="s">
        <v>1746</v>
      </c>
      <c r="F3096" s="17" t="s">
        <v>2994</v>
      </c>
      <c r="G3096" s="14">
        <v>6300</v>
      </c>
      <c r="H3096" s="14">
        <v>4725</v>
      </c>
      <c r="I3096" s="31">
        <f>IF(COUNTIFS(Addendum!C:C,A3096,Addendum!D:D,IF(ISNUMBER(B3096),TEXT(B3096,"0000"),B3096),Addendum!E:E,"X")&gt;0,4%,0)</f>
        <v>0</v>
      </c>
      <c r="J3096" s="31">
        <f>IF(COUNTIFS(Addendum!C:C,A3096,Addendum!D:D,IF(ISNUMBER(B3096),TEXT(B3096,"0000"),B3096),Addendum!F:F,"X")&gt;0,2.5%,0)</f>
        <v>0</v>
      </c>
      <c r="K3096" s="31">
        <f>IF(COUNTIFS(Addendum!C:C,A3096,Addendum!D:D,IF(ISNUMBER(B3096),TEXT(B3096,"0000"),B3096),Addendum!G:G,"X")&gt;0,7%,0)</f>
        <v>0</v>
      </c>
      <c r="L3096" s="31">
        <f>IF(COUNTIFS(Addendum!C:C,A3096,Addendum!D:D,IF(ISNUMBER(B3096),TEXT(B3096,"0000"),B3096),Addendum!I:I,"X")&gt;0,10%,0)</f>
        <v>0</v>
      </c>
      <c r="M3096" s="34">
        <f t="shared" si="96"/>
        <v>0</v>
      </c>
      <c r="N3096" s="17">
        <f t="shared" si="97"/>
        <v>4725</v>
      </c>
    </row>
    <row r="3097" spans="1:14" x14ac:dyDescent="0.25">
      <c r="A3097" s="14" t="s">
        <v>2675</v>
      </c>
      <c r="B3097" s="14" t="s">
        <v>50</v>
      </c>
      <c r="C3097" s="15" t="s">
        <v>2679</v>
      </c>
      <c r="D3097" s="14" t="s">
        <v>1745</v>
      </c>
      <c r="E3097" s="14" t="s">
        <v>1746</v>
      </c>
      <c r="F3097" s="17" t="s">
        <v>2994</v>
      </c>
      <c r="G3097" s="14">
        <v>8631</v>
      </c>
      <c r="H3097" s="14">
        <v>6473.28</v>
      </c>
      <c r="I3097" s="31">
        <f>IF(COUNTIFS(Addendum!C:C,A3097,Addendum!D:D,IF(ISNUMBER(B3097),TEXT(B3097,"0000"),B3097),Addendum!E:E,"X")&gt;0,4%,0)</f>
        <v>0</v>
      </c>
      <c r="J3097" s="31">
        <f>IF(COUNTIFS(Addendum!C:C,A3097,Addendum!D:D,IF(ISNUMBER(B3097),TEXT(B3097,"0000"),B3097),Addendum!F:F,"X")&gt;0,2.5%,0)</f>
        <v>0</v>
      </c>
      <c r="K3097" s="31">
        <f>IF(COUNTIFS(Addendum!C:C,A3097,Addendum!D:D,IF(ISNUMBER(B3097),TEXT(B3097,"0000"),B3097),Addendum!G:G,"X")&gt;0,7%,0)</f>
        <v>0</v>
      </c>
      <c r="L3097" s="31">
        <f>IF(COUNTIFS(Addendum!C:C,A3097,Addendum!D:D,IF(ISNUMBER(B3097),TEXT(B3097,"0000"),B3097),Addendum!I:I,"X")&gt;0,10%,0)</f>
        <v>0</v>
      </c>
      <c r="M3097" s="34">
        <f t="shared" si="96"/>
        <v>0</v>
      </c>
      <c r="N3097" s="17">
        <f t="shared" si="97"/>
        <v>6473.28</v>
      </c>
    </row>
    <row r="3098" spans="1:14" x14ac:dyDescent="0.25">
      <c r="A3098" s="14" t="s">
        <v>2675</v>
      </c>
      <c r="B3098" s="14" t="s">
        <v>32</v>
      </c>
      <c r="C3098" s="15" t="s">
        <v>2676</v>
      </c>
      <c r="D3098" s="14" t="s">
        <v>1745</v>
      </c>
      <c r="E3098" s="14" t="s">
        <v>1746</v>
      </c>
      <c r="F3098" s="17" t="s">
        <v>2995</v>
      </c>
      <c r="G3098" s="14">
        <v>3906</v>
      </c>
      <c r="H3098" s="14">
        <v>3515.4</v>
      </c>
      <c r="I3098" s="31">
        <f>IF(COUNTIFS(Addendum!C:C,A3098,Addendum!D:D,IF(ISNUMBER(B3098),TEXT(B3098,"0000"),B3098),Addendum!E:E,"X")&gt;0,4%,0)</f>
        <v>0</v>
      </c>
      <c r="J3098" s="31">
        <f>IF(COUNTIFS(Addendum!C:C,A3098,Addendum!D:D,IF(ISNUMBER(B3098),TEXT(B3098,"0000"),B3098),Addendum!F:F,"X")&gt;0,2.5%,0)</f>
        <v>0</v>
      </c>
      <c r="K3098" s="31">
        <f>IF(COUNTIFS(Addendum!C:C,A3098,Addendum!D:D,IF(ISNUMBER(B3098),TEXT(B3098,"0000"),B3098),Addendum!G:G,"X")&gt;0,7%,0)</f>
        <v>0</v>
      </c>
      <c r="L3098" s="31">
        <f>IF(COUNTIFS(Addendum!C:C,A3098,Addendum!D:D,IF(ISNUMBER(B3098),TEXT(B3098,"0000"),B3098),Addendum!I:I,"X")&gt;0,10%,0)</f>
        <v>0</v>
      </c>
      <c r="M3098" s="34">
        <f t="shared" si="96"/>
        <v>0</v>
      </c>
      <c r="N3098" s="17">
        <f t="shared" si="97"/>
        <v>3515.4</v>
      </c>
    </row>
    <row r="3099" spans="1:14" x14ac:dyDescent="0.25">
      <c r="A3099" s="14" t="s">
        <v>2675</v>
      </c>
      <c r="B3099" s="14" t="s">
        <v>50</v>
      </c>
      <c r="C3099" s="15" t="s">
        <v>2679</v>
      </c>
      <c r="D3099" s="14" t="s">
        <v>1745</v>
      </c>
      <c r="E3099" s="14" t="s">
        <v>1747</v>
      </c>
      <c r="F3099" s="17" t="s">
        <v>2994</v>
      </c>
      <c r="G3099" s="14">
        <v>8220</v>
      </c>
      <c r="H3099" s="14">
        <v>6165</v>
      </c>
      <c r="I3099" s="31">
        <f>IF(COUNTIFS(Addendum!C:C,A3099,Addendum!D:D,IF(ISNUMBER(B3099),TEXT(B3099,"0000"),B3099),Addendum!E:E,"X")&gt;0,4%,0)</f>
        <v>0</v>
      </c>
      <c r="J3099" s="31">
        <f>IF(COUNTIFS(Addendum!C:C,A3099,Addendum!D:D,IF(ISNUMBER(B3099),TEXT(B3099,"0000"),B3099),Addendum!F:F,"X")&gt;0,2.5%,0)</f>
        <v>0</v>
      </c>
      <c r="K3099" s="31">
        <f>IF(COUNTIFS(Addendum!C:C,A3099,Addendum!D:D,IF(ISNUMBER(B3099),TEXT(B3099,"0000"),B3099),Addendum!G:G,"X")&gt;0,7%,0)</f>
        <v>0</v>
      </c>
      <c r="L3099" s="31">
        <f>IF(COUNTIFS(Addendum!C:C,A3099,Addendum!D:D,IF(ISNUMBER(B3099),TEXT(B3099,"0000"),B3099),Addendum!I:I,"X")&gt;0,10%,0)</f>
        <v>0</v>
      </c>
      <c r="M3099" s="34">
        <f t="shared" si="96"/>
        <v>0</v>
      </c>
      <c r="N3099" s="17">
        <f t="shared" si="97"/>
        <v>6165</v>
      </c>
    </row>
    <row r="3100" spans="1:14" x14ac:dyDescent="0.25">
      <c r="A3100" s="14" t="s">
        <v>2675</v>
      </c>
      <c r="B3100" s="14" t="s">
        <v>50</v>
      </c>
      <c r="C3100" s="15" t="s">
        <v>2679</v>
      </c>
      <c r="D3100" s="14" t="s">
        <v>1749</v>
      </c>
      <c r="E3100" s="14" t="s">
        <v>1746</v>
      </c>
      <c r="F3100" s="17" t="s">
        <v>2994</v>
      </c>
      <c r="G3100" s="14">
        <v>822</v>
      </c>
      <c r="H3100" s="14">
        <v>616.5</v>
      </c>
      <c r="I3100" s="31">
        <f>IF(COUNTIFS(Addendum!C:C,A3100,Addendum!D:D,IF(ISNUMBER(B3100),TEXT(B3100,"0000"),B3100),Addendum!E:E,"X")&gt;0,4%,0)</f>
        <v>0</v>
      </c>
      <c r="J3100" s="31">
        <f>IF(COUNTIFS(Addendum!C:C,A3100,Addendum!D:D,IF(ISNUMBER(B3100),TEXT(B3100,"0000"),B3100),Addendum!F:F,"X")&gt;0,2.5%,0)</f>
        <v>0</v>
      </c>
      <c r="K3100" s="31">
        <f>IF(COUNTIFS(Addendum!C:C,A3100,Addendum!D:D,IF(ISNUMBER(B3100),TEXT(B3100,"0000"),B3100),Addendum!G:G,"X")&gt;0,7%,0)</f>
        <v>0</v>
      </c>
      <c r="L3100" s="31">
        <f>IF(COUNTIFS(Addendum!C:C,A3100,Addendum!D:D,IF(ISNUMBER(B3100),TEXT(B3100,"0000"),B3100),Addendum!I:I,"X")&gt;0,10%,0)</f>
        <v>0</v>
      </c>
      <c r="M3100" s="34">
        <f t="shared" si="96"/>
        <v>0</v>
      </c>
      <c r="N3100" s="17">
        <f t="shared" si="97"/>
        <v>616.5</v>
      </c>
    </row>
    <row r="3101" spans="1:14" x14ac:dyDescent="0.25">
      <c r="A3101" s="14" t="s">
        <v>2675</v>
      </c>
      <c r="B3101" s="14" t="s">
        <v>39</v>
      </c>
      <c r="C3101" s="15" t="s">
        <v>2678</v>
      </c>
      <c r="D3101" s="14" t="s">
        <v>1745</v>
      </c>
      <c r="E3101" s="14" t="s">
        <v>1747</v>
      </c>
      <c r="F3101" s="17" t="s">
        <v>2994</v>
      </c>
      <c r="G3101" s="14">
        <v>6000</v>
      </c>
      <c r="H3101" s="14">
        <v>4500</v>
      </c>
      <c r="I3101" s="31">
        <f>IF(COUNTIFS(Addendum!C:C,A3101,Addendum!D:D,IF(ISNUMBER(B3101),TEXT(B3101,"0000"),B3101),Addendum!E:E,"X")&gt;0,4%,0)</f>
        <v>0</v>
      </c>
      <c r="J3101" s="31">
        <f>IF(COUNTIFS(Addendum!C:C,A3101,Addendum!D:D,IF(ISNUMBER(B3101),TEXT(B3101,"0000"),B3101),Addendum!F:F,"X")&gt;0,2.5%,0)</f>
        <v>0</v>
      </c>
      <c r="K3101" s="31">
        <f>IF(COUNTIFS(Addendum!C:C,A3101,Addendum!D:D,IF(ISNUMBER(B3101),TEXT(B3101,"0000"),B3101),Addendum!G:G,"X")&gt;0,7%,0)</f>
        <v>0</v>
      </c>
      <c r="L3101" s="31">
        <f>IF(COUNTIFS(Addendum!C:C,A3101,Addendum!D:D,IF(ISNUMBER(B3101),TEXT(B3101,"0000"),B3101),Addendum!I:I,"X")&gt;0,10%,0)</f>
        <v>0</v>
      </c>
      <c r="M3101" s="34">
        <f t="shared" si="96"/>
        <v>0</v>
      </c>
      <c r="N3101" s="17">
        <f t="shared" si="97"/>
        <v>4500</v>
      </c>
    </row>
    <row r="3102" spans="1:14" x14ac:dyDescent="0.25">
      <c r="A3102" s="14" t="s">
        <v>2675</v>
      </c>
      <c r="B3102" s="14" t="s">
        <v>32</v>
      </c>
      <c r="C3102" s="15" t="s">
        <v>2676</v>
      </c>
      <c r="D3102" s="14" t="s">
        <v>1745</v>
      </c>
      <c r="E3102" s="14" t="s">
        <v>1747</v>
      </c>
      <c r="F3102" s="17" t="s">
        <v>2995</v>
      </c>
      <c r="G3102" s="14">
        <v>3720</v>
      </c>
      <c r="H3102" s="14">
        <v>3348</v>
      </c>
      <c r="I3102" s="31">
        <f>IF(COUNTIFS(Addendum!C:C,A3102,Addendum!D:D,IF(ISNUMBER(B3102),TEXT(B3102,"0000"),B3102),Addendum!E:E,"X")&gt;0,4%,0)</f>
        <v>0</v>
      </c>
      <c r="J3102" s="31">
        <f>IF(COUNTIFS(Addendum!C:C,A3102,Addendum!D:D,IF(ISNUMBER(B3102),TEXT(B3102,"0000"),B3102),Addendum!F:F,"X")&gt;0,2.5%,0)</f>
        <v>0</v>
      </c>
      <c r="K3102" s="31">
        <f>IF(COUNTIFS(Addendum!C:C,A3102,Addendum!D:D,IF(ISNUMBER(B3102),TEXT(B3102,"0000"),B3102),Addendum!G:G,"X")&gt;0,7%,0)</f>
        <v>0</v>
      </c>
      <c r="L3102" s="31">
        <f>IF(COUNTIFS(Addendum!C:C,A3102,Addendum!D:D,IF(ISNUMBER(B3102),TEXT(B3102,"0000"),B3102),Addendum!I:I,"X")&gt;0,10%,0)</f>
        <v>0</v>
      </c>
      <c r="M3102" s="34">
        <f t="shared" si="96"/>
        <v>0</v>
      </c>
      <c r="N3102" s="17">
        <f t="shared" si="97"/>
        <v>3348</v>
      </c>
    </row>
    <row r="3103" spans="1:14" x14ac:dyDescent="0.25">
      <c r="A3103" s="14" t="s">
        <v>2675</v>
      </c>
      <c r="B3103" s="14" t="s">
        <v>39</v>
      </c>
      <c r="C3103" s="15" t="s">
        <v>2678</v>
      </c>
      <c r="D3103" s="14" t="s">
        <v>1749</v>
      </c>
      <c r="E3103" s="14" t="s">
        <v>1746</v>
      </c>
      <c r="F3103" s="17" t="s">
        <v>2994</v>
      </c>
      <c r="G3103" s="14">
        <v>600</v>
      </c>
      <c r="H3103" s="14">
        <v>450</v>
      </c>
      <c r="I3103" s="31">
        <f>IF(COUNTIFS(Addendum!C:C,A3103,Addendum!D:D,IF(ISNUMBER(B3103),TEXT(B3103,"0000"),B3103),Addendum!E:E,"X")&gt;0,4%,0)</f>
        <v>0</v>
      </c>
      <c r="J3103" s="31">
        <f>IF(COUNTIFS(Addendum!C:C,A3103,Addendum!D:D,IF(ISNUMBER(B3103),TEXT(B3103,"0000"),B3103),Addendum!F:F,"X")&gt;0,2.5%,0)</f>
        <v>0</v>
      </c>
      <c r="K3103" s="31">
        <f>IF(COUNTIFS(Addendum!C:C,A3103,Addendum!D:D,IF(ISNUMBER(B3103),TEXT(B3103,"0000"),B3103),Addendum!G:G,"X")&gt;0,7%,0)</f>
        <v>0</v>
      </c>
      <c r="L3103" s="31">
        <f>IF(COUNTIFS(Addendum!C:C,A3103,Addendum!D:D,IF(ISNUMBER(B3103),TEXT(B3103,"0000"),B3103),Addendum!I:I,"X")&gt;0,10%,0)</f>
        <v>0</v>
      </c>
      <c r="M3103" s="34">
        <f t="shared" si="96"/>
        <v>0</v>
      </c>
      <c r="N3103" s="17">
        <f t="shared" si="97"/>
        <v>450</v>
      </c>
    </row>
    <row r="3104" spans="1:14" x14ac:dyDescent="0.25">
      <c r="A3104" s="14" t="s">
        <v>2675</v>
      </c>
      <c r="B3104" s="14">
        <v>1</v>
      </c>
      <c r="C3104" s="15" t="s">
        <v>2677</v>
      </c>
      <c r="D3104" s="14" t="s">
        <v>1745</v>
      </c>
      <c r="E3104" s="14" t="s">
        <v>1747</v>
      </c>
      <c r="F3104" s="17" t="s">
        <v>2993</v>
      </c>
      <c r="G3104" s="14">
        <v>15000</v>
      </c>
      <c r="H3104" s="14">
        <v>11250</v>
      </c>
      <c r="I3104" s="31">
        <f>IF(COUNTIFS(Addendum!C:C,A3104,Addendum!D:D,IF(ISNUMBER(B3104),TEXT(B3104,"0000"),B3104),Addendum!E:E,"X")&gt;0,4%,0)</f>
        <v>0</v>
      </c>
      <c r="J3104" s="31">
        <f>IF(COUNTIFS(Addendum!C:C,A3104,Addendum!D:D,IF(ISNUMBER(B3104),TEXT(B3104,"0000"),B3104),Addendum!F:F,"X")&gt;0,2.5%,0)</f>
        <v>0</v>
      </c>
      <c r="K3104" s="31">
        <f>IF(COUNTIFS(Addendum!C:C,A3104,Addendum!D:D,IF(ISNUMBER(B3104),TEXT(B3104,"0000"),B3104),Addendum!G:G,"X")&gt;0,7%,0)</f>
        <v>0</v>
      </c>
      <c r="L3104" s="31">
        <f>IF(COUNTIFS(Addendum!C:C,A3104,Addendum!D:D,IF(ISNUMBER(B3104),TEXT(B3104,"0000"),B3104),Addendum!I:I,"X")&gt;0,10%,0)</f>
        <v>0</v>
      </c>
      <c r="M3104" s="34">
        <f t="shared" si="96"/>
        <v>0</v>
      </c>
      <c r="N3104" s="17">
        <f t="shared" si="97"/>
        <v>11250</v>
      </c>
    </row>
    <row r="3105" spans="1:14" x14ac:dyDescent="0.25">
      <c r="A3105" s="14" t="s">
        <v>2680</v>
      </c>
      <c r="B3105" s="14" t="s">
        <v>28</v>
      </c>
      <c r="C3105" s="15" t="s">
        <v>2681</v>
      </c>
      <c r="D3105" s="14" t="s">
        <v>1749</v>
      </c>
      <c r="E3105" s="14" t="s">
        <v>1746</v>
      </c>
      <c r="F3105" s="17" t="s">
        <v>2994</v>
      </c>
      <c r="G3105" s="14">
        <v>822</v>
      </c>
      <c r="H3105" s="14">
        <v>616.5</v>
      </c>
      <c r="I3105" s="31">
        <f>IF(COUNTIFS(Addendum!C:C,A3105,Addendum!D:D,IF(ISNUMBER(B3105),TEXT(B3105,"0000"),B3105),Addendum!E:E,"X")&gt;0,4%,0)</f>
        <v>0</v>
      </c>
      <c r="J3105" s="31">
        <f>IF(COUNTIFS(Addendum!C:C,A3105,Addendum!D:D,IF(ISNUMBER(B3105),TEXT(B3105,"0000"),B3105),Addendum!F:F,"X")&gt;0,2.5%,0)</f>
        <v>0</v>
      </c>
      <c r="K3105" s="31">
        <f>IF(COUNTIFS(Addendum!C:C,A3105,Addendum!D:D,IF(ISNUMBER(B3105),TEXT(B3105,"0000"),B3105),Addendum!G:G,"X")&gt;0,7%,0)</f>
        <v>0</v>
      </c>
      <c r="L3105" s="31">
        <f>IF(COUNTIFS(Addendum!C:C,A3105,Addendum!D:D,IF(ISNUMBER(B3105),TEXT(B3105,"0000"),B3105),Addendum!I:I,"X")&gt;0,10%,0)</f>
        <v>0</v>
      </c>
      <c r="M3105" s="34">
        <f t="shared" si="96"/>
        <v>0</v>
      </c>
      <c r="N3105" s="17">
        <f t="shared" si="97"/>
        <v>616.5</v>
      </c>
    </row>
    <row r="3106" spans="1:14" x14ac:dyDescent="0.25">
      <c r="A3106" s="14" t="s">
        <v>2680</v>
      </c>
      <c r="B3106" s="14" t="s">
        <v>46</v>
      </c>
      <c r="C3106" s="15" t="s">
        <v>2682</v>
      </c>
      <c r="D3106" s="14" t="s">
        <v>1745</v>
      </c>
      <c r="E3106" s="14" t="s">
        <v>1747</v>
      </c>
      <c r="F3106" s="17" t="s">
        <v>2994</v>
      </c>
      <c r="G3106" s="14">
        <v>6000</v>
      </c>
      <c r="H3106" s="14">
        <v>4500</v>
      </c>
      <c r="I3106" s="31">
        <f>IF(COUNTIFS(Addendum!C:C,A3106,Addendum!D:D,IF(ISNUMBER(B3106),TEXT(B3106,"0000"),B3106),Addendum!E:E,"X")&gt;0,4%,0)</f>
        <v>0</v>
      </c>
      <c r="J3106" s="31">
        <f>IF(COUNTIFS(Addendum!C:C,A3106,Addendum!D:D,IF(ISNUMBER(B3106),TEXT(B3106,"0000"),B3106),Addendum!F:F,"X")&gt;0,2.5%,0)</f>
        <v>0</v>
      </c>
      <c r="K3106" s="31">
        <f>IF(COUNTIFS(Addendum!C:C,A3106,Addendum!D:D,IF(ISNUMBER(B3106),TEXT(B3106,"0000"),B3106),Addendum!G:G,"X")&gt;0,7%,0)</f>
        <v>0</v>
      </c>
      <c r="L3106" s="31">
        <f>IF(COUNTIFS(Addendum!C:C,A3106,Addendum!D:D,IF(ISNUMBER(B3106),TEXT(B3106,"0000"),B3106),Addendum!I:I,"X")&gt;0,10%,0)</f>
        <v>0</v>
      </c>
      <c r="M3106" s="34">
        <f t="shared" si="96"/>
        <v>0</v>
      </c>
      <c r="N3106" s="17">
        <f t="shared" si="97"/>
        <v>4500</v>
      </c>
    </row>
    <row r="3107" spans="1:14" x14ac:dyDescent="0.25">
      <c r="A3107" s="14" t="s">
        <v>2680</v>
      </c>
      <c r="B3107" s="14" t="s">
        <v>39</v>
      </c>
      <c r="C3107" s="15" t="s">
        <v>2683</v>
      </c>
      <c r="D3107" s="14" t="s">
        <v>1745</v>
      </c>
      <c r="E3107" s="14" t="s">
        <v>1746</v>
      </c>
      <c r="F3107" s="17" t="s">
        <v>2995</v>
      </c>
      <c r="G3107" s="14">
        <v>3906</v>
      </c>
      <c r="H3107" s="14">
        <v>3515.4</v>
      </c>
      <c r="I3107" s="31">
        <f>IF(COUNTIFS(Addendum!C:C,A3107,Addendum!D:D,IF(ISNUMBER(B3107),TEXT(B3107,"0000"),B3107),Addendum!E:E,"X")&gt;0,4%,0)</f>
        <v>0</v>
      </c>
      <c r="J3107" s="31">
        <f>IF(COUNTIFS(Addendum!C:C,A3107,Addendum!D:D,IF(ISNUMBER(B3107),TEXT(B3107,"0000"),B3107),Addendum!F:F,"X")&gt;0,2.5%,0)</f>
        <v>0</v>
      </c>
      <c r="K3107" s="31">
        <f>IF(COUNTIFS(Addendum!C:C,A3107,Addendum!D:D,IF(ISNUMBER(B3107),TEXT(B3107,"0000"),B3107),Addendum!G:G,"X")&gt;0,7%,0)</f>
        <v>0</v>
      </c>
      <c r="L3107" s="31">
        <f>IF(COUNTIFS(Addendum!C:C,A3107,Addendum!D:D,IF(ISNUMBER(B3107),TEXT(B3107,"0000"),B3107),Addendum!I:I,"X")&gt;0,10%,0)</f>
        <v>0</v>
      </c>
      <c r="M3107" s="34">
        <f t="shared" si="96"/>
        <v>0</v>
      </c>
      <c r="N3107" s="17">
        <f t="shared" si="97"/>
        <v>3515.4</v>
      </c>
    </row>
    <row r="3108" spans="1:14" x14ac:dyDescent="0.25">
      <c r="A3108" s="14" t="s">
        <v>2680</v>
      </c>
      <c r="B3108" s="14">
        <v>1</v>
      </c>
      <c r="C3108" s="15" t="s">
        <v>2684</v>
      </c>
      <c r="D3108" s="14" t="s">
        <v>1749</v>
      </c>
      <c r="E3108" s="14" t="s">
        <v>1746</v>
      </c>
      <c r="F3108" s="17" t="s">
        <v>2993</v>
      </c>
      <c r="G3108" s="14">
        <v>1500</v>
      </c>
      <c r="H3108" s="14">
        <v>1125</v>
      </c>
      <c r="I3108" s="31">
        <f>IF(COUNTIFS(Addendum!C:C,A3108,Addendum!D:D,IF(ISNUMBER(B3108),TEXT(B3108,"0000"),B3108),Addendum!E:E,"X")&gt;0,4%,0)</f>
        <v>0</v>
      </c>
      <c r="J3108" s="31">
        <f>IF(COUNTIFS(Addendum!C:C,A3108,Addendum!D:D,IF(ISNUMBER(B3108),TEXT(B3108,"0000"),B3108),Addendum!F:F,"X")&gt;0,2.5%,0)</f>
        <v>0</v>
      </c>
      <c r="K3108" s="31">
        <f>IF(COUNTIFS(Addendum!C:C,A3108,Addendum!D:D,IF(ISNUMBER(B3108),TEXT(B3108,"0000"),B3108),Addendum!G:G,"X")&gt;0,7%,0)</f>
        <v>0</v>
      </c>
      <c r="L3108" s="31">
        <f>IF(COUNTIFS(Addendum!C:C,A3108,Addendum!D:D,IF(ISNUMBER(B3108),TEXT(B3108,"0000"),B3108),Addendum!I:I,"X")&gt;0,10%,0)</f>
        <v>0</v>
      </c>
      <c r="M3108" s="34">
        <f t="shared" si="96"/>
        <v>0</v>
      </c>
      <c r="N3108" s="17">
        <f t="shared" si="97"/>
        <v>1125</v>
      </c>
    </row>
    <row r="3109" spans="1:14" x14ac:dyDescent="0.25">
      <c r="A3109" s="14" t="s">
        <v>2680</v>
      </c>
      <c r="B3109" s="14">
        <v>1</v>
      </c>
      <c r="C3109" s="15" t="s">
        <v>2684</v>
      </c>
      <c r="D3109" s="14" t="s">
        <v>1745</v>
      </c>
      <c r="E3109" s="14" t="s">
        <v>1746</v>
      </c>
      <c r="F3109" s="17" t="s">
        <v>2993</v>
      </c>
      <c r="G3109" s="14">
        <v>15750</v>
      </c>
      <c r="H3109" s="14">
        <v>11812.56</v>
      </c>
      <c r="I3109" s="31">
        <f>IF(COUNTIFS(Addendum!C:C,A3109,Addendum!D:D,IF(ISNUMBER(B3109),TEXT(B3109,"0000"),B3109),Addendum!E:E,"X")&gt;0,4%,0)</f>
        <v>0</v>
      </c>
      <c r="J3109" s="31">
        <f>IF(COUNTIFS(Addendum!C:C,A3109,Addendum!D:D,IF(ISNUMBER(B3109),TEXT(B3109,"0000"),B3109),Addendum!F:F,"X")&gt;0,2.5%,0)</f>
        <v>0</v>
      </c>
      <c r="K3109" s="31">
        <f>IF(COUNTIFS(Addendum!C:C,A3109,Addendum!D:D,IF(ISNUMBER(B3109),TEXT(B3109,"0000"),B3109),Addendum!G:G,"X")&gt;0,7%,0)</f>
        <v>0</v>
      </c>
      <c r="L3109" s="31">
        <f>IF(COUNTIFS(Addendum!C:C,A3109,Addendum!D:D,IF(ISNUMBER(B3109),TEXT(B3109,"0000"),B3109),Addendum!I:I,"X")&gt;0,10%,0)</f>
        <v>0</v>
      </c>
      <c r="M3109" s="34">
        <f t="shared" si="96"/>
        <v>0</v>
      </c>
      <c r="N3109" s="17">
        <f t="shared" si="97"/>
        <v>11812.56</v>
      </c>
    </row>
    <row r="3110" spans="1:14" x14ac:dyDescent="0.25">
      <c r="A3110" s="14" t="s">
        <v>2680</v>
      </c>
      <c r="B3110" s="14" t="s">
        <v>39</v>
      </c>
      <c r="C3110" s="15" t="s">
        <v>2683</v>
      </c>
      <c r="D3110" s="14" t="s">
        <v>1749</v>
      </c>
      <c r="E3110" s="14" t="s">
        <v>1746</v>
      </c>
      <c r="F3110" s="17" t="s">
        <v>2995</v>
      </c>
      <c r="G3110" s="14">
        <v>372</v>
      </c>
      <c r="H3110" s="14">
        <v>334.8</v>
      </c>
      <c r="I3110" s="31">
        <f>IF(COUNTIFS(Addendum!C:C,A3110,Addendum!D:D,IF(ISNUMBER(B3110),TEXT(B3110,"0000"),B3110),Addendum!E:E,"X")&gt;0,4%,0)</f>
        <v>0</v>
      </c>
      <c r="J3110" s="31">
        <f>IF(COUNTIFS(Addendum!C:C,A3110,Addendum!D:D,IF(ISNUMBER(B3110),TEXT(B3110,"0000"),B3110),Addendum!F:F,"X")&gt;0,2.5%,0)</f>
        <v>0</v>
      </c>
      <c r="K3110" s="31">
        <f>IF(COUNTIFS(Addendum!C:C,A3110,Addendum!D:D,IF(ISNUMBER(B3110),TEXT(B3110,"0000"),B3110),Addendum!G:G,"X")&gt;0,7%,0)</f>
        <v>0</v>
      </c>
      <c r="L3110" s="31">
        <f>IF(COUNTIFS(Addendum!C:C,A3110,Addendum!D:D,IF(ISNUMBER(B3110),TEXT(B3110,"0000"),B3110),Addendum!I:I,"X")&gt;0,10%,0)</f>
        <v>0</v>
      </c>
      <c r="M3110" s="34">
        <f t="shared" si="96"/>
        <v>0</v>
      </c>
      <c r="N3110" s="17">
        <f t="shared" si="97"/>
        <v>334.8</v>
      </c>
    </row>
    <row r="3111" spans="1:14" x14ac:dyDescent="0.25">
      <c r="A3111" s="14" t="s">
        <v>2680</v>
      </c>
      <c r="B3111" s="14" t="s">
        <v>28</v>
      </c>
      <c r="C3111" s="15" t="s">
        <v>2681</v>
      </c>
      <c r="D3111" s="14" t="s">
        <v>1745</v>
      </c>
      <c r="E3111" s="14" t="s">
        <v>1746</v>
      </c>
      <c r="F3111" s="17" t="s">
        <v>2994</v>
      </c>
      <c r="G3111" s="14">
        <v>8631</v>
      </c>
      <c r="H3111" s="14">
        <v>6473.28</v>
      </c>
      <c r="I3111" s="31">
        <f>IF(COUNTIFS(Addendum!C:C,A3111,Addendum!D:D,IF(ISNUMBER(B3111),TEXT(B3111,"0000"),B3111),Addendum!E:E,"X")&gt;0,4%,0)</f>
        <v>0</v>
      </c>
      <c r="J3111" s="31">
        <f>IF(COUNTIFS(Addendum!C:C,A3111,Addendum!D:D,IF(ISNUMBER(B3111),TEXT(B3111,"0000"),B3111),Addendum!F:F,"X")&gt;0,2.5%,0)</f>
        <v>0</v>
      </c>
      <c r="K3111" s="31">
        <f>IF(COUNTIFS(Addendum!C:C,A3111,Addendum!D:D,IF(ISNUMBER(B3111),TEXT(B3111,"0000"),B3111),Addendum!G:G,"X")&gt;0,7%,0)</f>
        <v>0</v>
      </c>
      <c r="L3111" s="31">
        <f>IF(COUNTIFS(Addendum!C:C,A3111,Addendum!D:D,IF(ISNUMBER(B3111),TEXT(B3111,"0000"),B3111),Addendum!I:I,"X")&gt;0,10%,0)</f>
        <v>0</v>
      </c>
      <c r="M3111" s="34">
        <f t="shared" si="96"/>
        <v>0</v>
      </c>
      <c r="N3111" s="17">
        <f t="shared" si="97"/>
        <v>6473.28</v>
      </c>
    </row>
    <row r="3112" spans="1:14" x14ac:dyDescent="0.25">
      <c r="A3112" s="14" t="s">
        <v>2680</v>
      </c>
      <c r="B3112" s="14" t="s">
        <v>39</v>
      </c>
      <c r="C3112" s="15" t="s">
        <v>2683</v>
      </c>
      <c r="D3112" s="14" t="s">
        <v>1745</v>
      </c>
      <c r="E3112" s="14" t="s">
        <v>1747</v>
      </c>
      <c r="F3112" s="17" t="s">
        <v>2995</v>
      </c>
      <c r="G3112" s="14">
        <v>3720</v>
      </c>
      <c r="H3112" s="14">
        <v>3348</v>
      </c>
      <c r="I3112" s="31">
        <f>IF(COUNTIFS(Addendum!C:C,A3112,Addendum!D:D,IF(ISNUMBER(B3112),TEXT(B3112,"0000"),B3112),Addendum!E:E,"X")&gt;0,4%,0)</f>
        <v>0</v>
      </c>
      <c r="J3112" s="31">
        <f>IF(COUNTIFS(Addendum!C:C,A3112,Addendum!D:D,IF(ISNUMBER(B3112),TEXT(B3112,"0000"),B3112),Addendum!F:F,"X")&gt;0,2.5%,0)</f>
        <v>0</v>
      </c>
      <c r="K3112" s="31">
        <f>IF(COUNTIFS(Addendum!C:C,A3112,Addendum!D:D,IF(ISNUMBER(B3112),TEXT(B3112,"0000"),B3112),Addendum!G:G,"X")&gt;0,7%,0)</f>
        <v>0</v>
      </c>
      <c r="L3112" s="31">
        <f>IF(COUNTIFS(Addendum!C:C,A3112,Addendum!D:D,IF(ISNUMBER(B3112),TEXT(B3112,"0000"),B3112),Addendum!I:I,"X")&gt;0,10%,0)</f>
        <v>0</v>
      </c>
      <c r="M3112" s="34">
        <f t="shared" si="96"/>
        <v>0</v>
      </c>
      <c r="N3112" s="17">
        <f t="shared" si="97"/>
        <v>3348</v>
      </c>
    </row>
    <row r="3113" spans="1:14" x14ac:dyDescent="0.25">
      <c r="A3113" s="14" t="s">
        <v>2680</v>
      </c>
      <c r="B3113" s="14">
        <v>1</v>
      </c>
      <c r="C3113" s="15" t="s">
        <v>2684</v>
      </c>
      <c r="D3113" s="14" t="s">
        <v>1745</v>
      </c>
      <c r="E3113" s="14" t="s">
        <v>1747</v>
      </c>
      <c r="F3113" s="17" t="s">
        <v>2993</v>
      </c>
      <c r="G3113" s="14">
        <v>15000</v>
      </c>
      <c r="H3113" s="14">
        <v>11250</v>
      </c>
      <c r="I3113" s="31">
        <f>IF(COUNTIFS(Addendum!C:C,A3113,Addendum!D:D,IF(ISNUMBER(B3113),TEXT(B3113,"0000"),B3113),Addendum!E:E,"X")&gt;0,4%,0)</f>
        <v>0</v>
      </c>
      <c r="J3113" s="31">
        <f>IF(COUNTIFS(Addendum!C:C,A3113,Addendum!D:D,IF(ISNUMBER(B3113),TEXT(B3113,"0000"),B3113),Addendum!F:F,"X")&gt;0,2.5%,0)</f>
        <v>0</v>
      </c>
      <c r="K3113" s="31">
        <f>IF(COUNTIFS(Addendum!C:C,A3113,Addendum!D:D,IF(ISNUMBER(B3113),TEXT(B3113,"0000"),B3113),Addendum!G:G,"X")&gt;0,7%,0)</f>
        <v>0</v>
      </c>
      <c r="L3113" s="31">
        <f>IF(COUNTIFS(Addendum!C:C,A3113,Addendum!D:D,IF(ISNUMBER(B3113),TEXT(B3113,"0000"),B3113),Addendum!I:I,"X")&gt;0,10%,0)</f>
        <v>0</v>
      </c>
      <c r="M3113" s="34">
        <f t="shared" si="96"/>
        <v>0</v>
      </c>
      <c r="N3113" s="17">
        <f t="shared" si="97"/>
        <v>11250</v>
      </c>
    </row>
    <row r="3114" spans="1:14" x14ac:dyDescent="0.25">
      <c r="A3114" s="14" t="s">
        <v>2680</v>
      </c>
      <c r="B3114" s="14" t="s">
        <v>46</v>
      </c>
      <c r="C3114" s="15" t="s">
        <v>2682</v>
      </c>
      <c r="D3114" s="14" t="s">
        <v>1745</v>
      </c>
      <c r="E3114" s="14" t="s">
        <v>1746</v>
      </c>
      <c r="F3114" s="17" t="s">
        <v>2994</v>
      </c>
      <c r="G3114" s="14">
        <v>6300</v>
      </c>
      <c r="H3114" s="14">
        <v>4725</v>
      </c>
      <c r="I3114" s="31">
        <f>IF(COUNTIFS(Addendum!C:C,A3114,Addendum!D:D,IF(ISNUMBER(B3114),TEXT(B3114,"0000"),B3114),Addendum!E:E,"X")&gt;0,4%,0)</f>
        <v>0</v>
      </c>
      <c r="J3114" s="31">
        <f>IF(COUNTIFS(Addendum!C:C,A3114,Addendum!D:D,IF(ISNUMBER(B3114),TEXT(B3114,"0000"),B3114),Addendum!F:F,"X")&gt;0,2.5%,0)</f>
        <v>0</v>
      </c>
      <c r="K3114" s="31">
        <f>IF(COUNTIFS(Addendum!C:C,A3114,Addendum!D:D,IF(ISNUMBER(B3114),TEXT(B3114,"0000"),B3114),Addendum!G:G,"X")&gt;0,7%,0)</f>
        <v>0</v>
      </c>
      <c r="L3114" s="31">
        <f>IF(COUNTIFS(Addendum!C:C,A3114,Addendum!D:D,IF(ISNUMBER(B3114),TEXT(B3114,"0000"),B3114),Addendum!I:I,"X")&gt;0,10%,0)</f>
        <v>0</v>
      </c>
      <c r="M3114" s="34">
        <f t="shared" si="96"/>
        <v>0</v>
      </c>
      <c r="N3114" s="17">
        <f t="shared" si="97"/>
        <v>4725</v>
      </c>
    </row>
    <row r="3115" spans="1:14" x14ac:dyDescent="0.25">
      <c r="A3115" s="14" t="s">
        <v>2680</v>
      </c>
      <c r="B3115" s="14" t="s">
        <v>46</v>
      </c>
      <c r="C3115" s="15" t="s">
        <v>2682</v>
      </c>
      <c r="D3115" s="14" t="s">
        <v>1749</v>
      </c>
      <c r="E3115" s="14" t="s">
        <v>1746</v>
      </c>
      <c r="F3115" s="17" t="s">
        <v>2994</v>
      </c>
      <c r="G3115" s="14">
        <v>600</v>
      </c>
      <c r="H3115" s="14">
        <v>450</v>
      </c>
      <c r="I3115" s="31">
        <f>IF(COUNTIFS(Addendum!C:C,A3115,Addendum!D:D,IF(ISNUMBER(B3115),TEXT(B3115,"0000"),B3115),Addendum!E:E,"X")&gt;0,4%,0)</f>
        <v>0</v>
      </c>
      <c r="J3115" s="31">
        <f>IF(COUNTIFS(Addendum!C:C,A3115,Addendum!D:D,IF(ISNUMBER(B3115),TEXT(B3115,"0000"),B3115),Addendum!F:F,"X")&gt;0,2.5%,0)</f>
        <v>0</v>
      </c>
      <c r="K3115" s="31">
        <f>IF(COUNTIFS(Addendum!C:C,A3115,Addendum!D:D,IF(ISNUMBER(B3115),TEXT(B3115,"0000"),B3115),Addendum!G:G,"X")&gt;0,7%,0)</f>
        <v>0</v>
      </c>
      <c r="L3115" s="31">
        <f>IF(COUNTIFS(Addendum!C:C,A3115,Addendum!D:D,IF(ISNUMBER(B3115),TEXT(B3115,"0000"),B3115),Addendum!I:I,"X")&gt;0,10%,0)</f>
        <v>0</v>
      </c>
      <c r="M3115" s="34">
        <f t="shared" si="96"/>
        <v>0</v>
      </c>
      <c r="N3115" s="17">
        <f t="shared" si="97"/>
        <v>450</v>
      </c>
    </row>
    <row r="3116" spans="1:14" x14ac:dyDescent="0.25">
      <c r="A3116" s="14" t="s">
        <v>2680</v>
      </c>
      <c r="B3116" s="14" t="s">
        <v>28</v>
      </c>
      <c r="C3116" s="15" t="s">
        <v>2681</v>
      </c>
      <c r="D3116" s="14" t="s">
        <v>1745</v>
      </c>
      <c r="E3116" s="14" t="s">
        <v>1747</v>
      </c>
      <c r="F3116" s="17" t="s">
        <v>2994</v>
      </c>
      <c r="G3116" s="14">
        <v>8220</v>
      </c>
      <c r="H3116" s="14">
        <v>6165</v>
      </c>
      <c r="I3116" s="31">
        <f>IF(COUNTIFS(Addendum!C:C,A3116,Addendum!D:D,IF(ISNUMBER(B3116),TEXT(B3116,"0000"),B3116),Addendum!E:E,"X")&gt;0,4%,0)</f>
        <v>0</v>
      </c>
      <c r="J3116" s="31">
        <f>IF(COUNTIFS(Addendum!C:C,A3116,Addendum!D:D,IF(ISNUMBER(B3116),TEXT(B3116,"0000"),B3116),Addendum!F:F,"X")&gt;0,2.5%,0)</f>
        <v>0</v>
      </c>
      <c r="K3116" s="31">
        <f>IF(COUNTIFS(Addendum!C:C,A3116,Addendum!D:D,IF(ISNUMBER(B3116),TEXT(B3116,"0000"),B3116),Addendum!G:G,"X")&gt;0,7%,0)</f>
        <v>0</v>
      </c>
      <c r="L3116" s="31">
        <f>IF(COUNTIFS(Addendum!C:C,A3116,Addendum!D:D,IF(ISNUMBER(B3116),TEXT(B3116,"0000"),B3116),Addendum!I:I,"X")&gt;0,10%,0)</f>
        <v>0</v>
      </c>
      <c r="M3116" s="34">
        <f t="shared" si="96"/>
        <v>0</v>
      </c>
      <c r="N3116" s="17">
        <f t="shared" si="97"/>
        <v>6165</v>
      </c>
    </row>
    <row r="3117" spans="1:14" x14ac:dyDescent="0.25">
      <c r="A3117" s="14" t="s">
        <v>2685</v>
      </c>
      <c r="B3117" s="14" t="s">
        <v>24</v>
      </c>
      <c r="C3117" s="15" t="s">
        <v>2686</v>
      </c>
      <c r="D3117" s="14" t="s">
        <v>1745</v>
      </c>
      <c r="E3117" s="14" t="s">
        <v>1746</v>
      </c>
      <c r="F3117" s="17" t="s">
        <v>2994</v>
      </c>
      <c r="G3117" s="14">
        <v>31437</v>
      </c>
      <c r="H3117" s="14">
        <v>25149.599999999999</v>
      </c>
      <c r="I3117" s="31">
        <f>IF(COUNTIFS(Addendum!C:C,A3117,Addendum!D:D,IF(ISNUMBER(B3117),TEXT(B3117,"0000"),B3117),Addendum!E:E,"X")&gt;0,4%,0)</f>
        <v>0</v>
      </c>
      <c r="J3117" s="31">
        <f>IF(COUNTIFS(Addendum!C:C,A3117,Addendum!D:D,IF(ISNUMBER(B3117),TEXT(B3117,"0000"),B3117),Addendum!F:F,"X")&gt;0,2.5%,0)</f>
        <v>0</v>
      </c>
      <c r="K3117" s="31">
        <f>IF(COUNTIFS(Addendum!C:C,A3117,Addendum!D:D,IF(ISNUMBER(B3117),TEXT(B3117,"0000"),B3117),Addendum!G:G,"X")&gt;0,7%,0)</f>
        <v>0</v>
      </c>
      <c r="L3117" s="31">
        <f>IF(COUNTIFS(Addendum!C:C,A3117,Addendum!D:D,IF(ISNUMBER(B3117),TEXT(B3117,"0000"),B3117),Addendum!I:I,"X")&gt;0,10%,0)</f>
        <v>0</v>
      </c>
      <c r="M3117" s="34">
        <f t="shared" si="96"/>
        <v>0</v>
      </c>
      <c r="N3117" s="17">
        <f t="shared" si="97"/>
        <v>25149.599999999999</v>
      </c>
    </row>
    <row r="3118" spans="1:14" x14ac:dyDescent="0.25">
      <c r="A3118" s="14" t="s">
        <v>2685</v>
      </c>
      <c r="B3118" s="14">
        <v>1</v>
      </c>
      <c r="C3118" s="15" t="s">
        <v>2687</v>
      </c>
      <c r="D3118" s="14" t="s">
        <v>1745</v>
      </c>
      <c r="E3118" s="14" t="s">
        <v>1746</v>
      </c>
      <c r="F3118" s="17" t="s">
        <v>2993</v>
      </c>
      <c r="G3118" s="14">
        <v>157248</v>
      </c>
      <c r="H3118" s="14">
        <v>125798.39999999999</v>
      </c>
      <c r="I3118" s="31">
        <f>IF(COUNTIFS(Addendum!C:C,A3118,Addendum!D:D,IF(ISNUMBER(B3118),TEXT(B3118,"0000"),B3118),Addendum!E:E,"X")&gt;0,4%,0)</f>
        <v>0</v>
      </c>
      <c r="J3118" s="31">
        <f>IF(COUNTIFS(Addendum!C:C,A3118,Addendum!D:D,IF(ISNUMBER(B3118),TEXT(B3118,"0000"),B3118),Addendum!F:F,"X")&gt;0,2.5%,0)</f>
        <v>0</v>
      </c>
      <c r="K3118" s="31">
        <f>IF(COUNTIFS(Addendum!C:C,A3118,Addendum!D:D,IF(ISNUMBER(B3118),TEXT(B3118,"0000"),B3118),Addendum!G:G,"X")&gt;0,7%,0)</f>
        <v>0</v>
      </c>
      <c r="L3118" s="31">
        <f>IF(COUNTIFS(Addendum!C:C,A3118,Addendum!D:D,IF(ISNUMBER(B3118),TEXT(B3118,"0000"),B3118),Addendum!I:I,"X")&gt;0,10%,0)</f>
        <v>0</v>
      </c>
      <c r="M3118" s="34">
        <f t="shared" si="96"/>
        <v>0</v>
      </c>
      <c r="N3118" s="17">
        <f t="shared" si="97"/>
        <v>125798.39999999999</v>
      </c>
    </row>
    <row r="3119" spans="1:14" x14ac:dyDescent="0.25">
      <c r="A3119" s="14" t="s">
        <v>2685</v>
      </c>
      <c r="B3119" s="14" t="s">
        <v>24</v>
      </c>
      <c r="C3119" s="15" t="s">
        <v>2686</v>
      </c>
      <c r="D3119" s="14" t="s">
        <v>1749</v>
      </c>
      <c r="E3119" s="14" t="s">
        <v>1746</v>
      </c>
      <c r="F3119" s="17" t="s">
        <v>2994</v>
      </c>
      <c r="G3119" s="14">
        <v>2994</v>
      </c>
      <c r="H3119" s="14">
        <v>2395.1999999999998</v>
      </c>
      <c r="I3119" s="31">
        <f>IF(COUNTIFS(Addendum!C:C,A3119,Addendum!D:D,IF(ISNUMBER(B3119),TEXT(B3119,"0000"),B3119),Addendum!E:E,"X")&gt;0,4%,0)</f>
        <v>0</v>
      </c>
      <c r="J3119" s="31">
        <f>IF(COUNTIFS(Addendum!C:C,A3119,Addendum!D:D,IF(ISNUMBER(B3119),TEXT(B3119,"0000"),B3119),Addendum!F:F,"X")&gt;0,2.5%,0)</f>
        <v>0</v>
      </c>
      <c r="K3119" s="31">
        <f>IF(COUNTIFS(Addendum!C:C,A3119,Addendum!D:D,IF(ISNUMBER(B3119),TEXT(B3119,"0000"),B3119),Addendum!G:G,"X")&gt;0,7%,0)</f>
        <v>0</v>
      </c>
      <c r="L3119" s="31">
        <f>IF(COUNTIFS(Addendum!C:C,A3119,Addendum!D:D,IF(ISNUMBER(B3119),TEXT(B3119,"0000"),B3119),Addendum!I:I,"X")&gt;0,10%,0)</f>
        <v>0</v>
      </c>
      <c r="M3119" s="34">
        <f t="shared" si="96"/>
        <v>0</v>
      </c>
      <c r="N3119" s="17">
        <f t="shared" si="97"/>
        <v>2395.1999999999998</v>
      </c>
    </row>
    <row r="3120" spans="1:14" x14ac:dyDescent="0.25">
      <c r="A3120" s="14" t="s">
        <v>2685</v>
      </c>
      <c r="B3120" s="14" t="s">
        <v>34</v>
      </c>
      <c r="C3120" s="15" t="s">
        <v>2688</v>
      </c>
      <c r="D3120" s="14" t="s">
        <v>1749</v>
      </c>
      <c r="E3120" s="14" t="s">
        <v>1746</v>
      </c>
      <c r="F3120" s="17" t="s">
        <v>2995</v>
      </c>
      <c r="G3120" s="14">
        <v>5988</v>
      </c>
      <c r="H3120" s="14">
        <v>5389.2</v>
      </c>
      <c r="I3120" s="31">
        <f>IF(COUNTIFS(Addendum!C:C,A3120,Addendum!D:D,IF(ISNUMBER(B3120),TEXT(B3120,"0000"),B3120),Addendum!E:E,"X")&gt;0,4%,0)</f>
        <v>0</v>
      </c>
      <c r="J3120" s="31">
        <f>IF(COUNTIFS(Addendum!C:C,A3120,Addendum!D:D,IF(ISNUMBER(B3120),TEXT(B3120,"0000"),B3120),Addendum!F:F,"X")&gt;0,2.5%,0)</f>
        <v>0</v>
      </c>
      <c r="K3120" s="31">
        <f>IF(COUNTIFS(Addendum!C:C,A3120,Addendum!D:D,IF(ISNUMBER(B3120),TEXT(B3120,"0000"),B3120),Addendum!G:G,"X")&gt;0,7%,0)</f>
        <v>0</v>
      </c>
      <c r="L3120" s="31">
        <f>IF(COUNTIFS(Addendum!C:C,A3120,Addendum!D:D,IF(ISNUMBER(B3120),TEXT(B3120,"0000"),B3120),Addendum!I:I,"X")&gt;0,10%,0)</f>
        <v>0</v>
      </c>
      <c r="M3120" s="34">
        <f t="shared" si="96"/>
        <v>0</v>
      </c>
      <c r="N3120" s="17">
        <f t="shared" si="97"/>
        <v>5389.2</v>
      </c>
    </row>
    <row r="3121" spans="1:14" x14ac:dyDescent="0.25">
      <c r="A3121" s="14" t="s">
        <v>2685</v>
      </c>
      <c r="B3121" s="14">
        <v>1</v>
      </c>
      <c r="C3121" s="15" t="s">
        <v>2687</v>
      </c>
      <c r="D3121" s="14" t="s">
        <v>1749</v>
      </c>
      <c r="E3121" s="14" t="s">
        <v>1746</v>
      </c>
      <c r="F3121" s="17" t="s">
        <v>2993</v>
      </c>
      <c r="G3121" s="14">
        <v>14976</v>
      </c>
      <c r="H3121" s="14">
        <v>11980.8</v>
      </c>
      <c r="I3121" s="31">
        <f>IF(COUNTIFS(Addendum!C:C,A3121,Addendum!D:D,IF(ISNUMBER(B3121),TEXT(B3121,"0000"),B3121),Addendum!E:E,"X")&gt;0,4%,0)</f>
        <v>0</v>
      </c>
      <c r="J3121" s="31">
        <f>IF(COUNTIFS(Addendum!C:C,A3121,Addendum!D:D,IF(ISNUMBER(B3121),TEXT(B3121,"0000"),B3121),Addendum!F:F,"X")&gt;0,2.5%,0)</f>
        <v>0</v>
      </c>
      <c r="K3121" s="31">
        <f>IF(COUNTIFS(Addendum!C:C,A3121,Addendum!D:D,IF(ISNUMBER(B3121),TEXT(B3121,"0000"),B3121),Addendum!G:G,"X")&gt;0,7%,0)</f>
        <v>0</v>
      </c>
      <c r="L3121" s="31">
        <f>IF(COUNTIFS(Addendum!C:C,A3121,Addendum!D:D,IF(ISNUMBER(B3121),TEXT(B3121,"0000"),B3121),Addendum!I:I,"X")&gt;0,10%,0)</f>
        <v>0</v>
      </c>
      <c r="M3121" s="34">
        <f t="shared" si="96"/>
        <v>0</v>
      </c>
      <c r="N3121" s="17">
        <f t="shared" si="97"/>
        <v>11980.8</v>
      </c>
    </row>
    <row r="3122" spans="1:14" x14ac:dyDescent="0.25">
      <c r="A3122" s="14" t="s">
        <v>2685</v>
      </c>
      <c r="B3122" s="14" t="s">
        <v>34</v>
      </c>
      <c r="C3122" s="15" t="s">
        <v>2688</v>
      </c>
      <c r="D3122" s="14" t="s">
        <v>1745</v>
      </c>
      <c r="E3122" s="14" t="s">
        <v>1747</v>
      </c>
      <c r="F3122" s="17" t="s">
        <v>2995</v>
      </c>
      <c r="G3122" s="14">
        <v>59880</v>
      </c>
      <c r="H3122" s="14">
        <v>53892</v>
      </c>
      <c r="I3122" s="31">
        <f>IF(COUNTIFS(Addendum!C:C,A3122,Addendum!D:D,IF(ISNUMBER(B3122),TEXT(B3122,"0000"),B3122),Addendum!E:E,"X")&gt;0,4%,0)</f>
        <v>0</v>
      </c>
      <c r="J3122" s="31">
        <f>IF(COUNTIFS(Addendum!C:C,A3122,Addendum!D:D,IF(ISNUMBER(B3122),TEXT(B3122,"0000"),B3122),Addendum!F:F,"X")&gt;0,2.5%,0)</f>
        <v>0</v>
      </c>
      <c r="K3122" s="31">
        <f>IF(COUNTIFS(Addendum!C:C,A3122,Addendum!D:D,IF(ISNUMBER(B3122),TEXT(B3122,"0000"),B3122),Addendum!G:G,"X")&gt;0,7%,0)</f>
        <v>0</v>
      </c>
      <c r="L3122" s="31">
        <f>IF(COUNTIFS(Addendum!C:C,A3122,Addendum!D:D,IF(ISNUMBER(B3122),TEXT(B3122,"0000"),B3122),Addendum!I:I,"X")&gt;0,10%,0)</f>
        <v>0</v>
      </c>
      <c r="M3122" s="34">
        <f t="shared" si="96"/>
        <v>0</v>
      </c>
      <c r="N3122" s="17">
        <f t="shared" si="97"/>
        <v>53892</v>
      </c>
    </row>
    <row r="3123" spans="1:14" x14ac:dyDescent="0.25">
      <c r="A3123" s="14" t="s">
        <v>2685</v>
      </c>
      <c r="B3123" s="14" t="s">
        <v>20</v>
      </c>
      <c r="C3123" s="15" t="s">
        <v>2689</v>
      </c>
      <c r="D3123" s="14" t="s">
        <v>1745</v>
      </c>
      <c r="E3123" s="14" t="s">
        <v>1746</v>
      </c>
      <c r="F3123" s="17" t="s">
        <v>2994</v>
      </c>
      <c r="G3123" s="14">
        <v>23562</v>
      </c>
      <c r="H3123" s="14">
        <v>18849.599999999999</v>
      </c>
      <c r="I3123" s="31">
        <f>IF(COUNTIFS(Addendum!C:C,A3123,Addendum!D:D,IF(ISNUMBER(B3123),TEXT(B3123,"0000"),B3123),Addendum!E:E,"X")&gt;0,4%,0)</f>
        <v>0</v>
      </c>
      <c r="J3123" s="31">
        <f>IF(COUNTIFS(Addendum!C:C,A3123,Addendum!D:D,IF(ISNUMBER(B3123),TEXT(B3123,"0000"),B3123),Addendum!F:F,"X")&gt;0,2.5%,0)</f>
        <v>0</v>
      </c>
      <c r="K3123" s="31">
        <f>IF(COUNTIFS(Addendum!C:C,A3123,Addendum!D:D,IF(ISNUMBER(B3123),TEXT(B3123,"0000"),B3123),Addendum!G:G,"X")&gt;0,7%,0)</f>
        <v>0</v>
      </c>
      <c r="L3123" s="31">
        <f>IF(COUNTIFS(Addendum!C:C,A3123,Addendum!D:D,IF(ISNUMBER(B3123),TEXT(B3123,"0000"),B3123),Addendum!I:I,"X")&gt;0,10%,0)</f>
        <v>0</v>
      </c>
      <c r="M3123" s="34">
        <f t="shared" si="96"/>
        <v>0</v>
      </c>
      <c r="N3123" s="17">
        <f t="shared" si="97"/>
        <v>18849.599999999999</v>
      </c>
    </row>
    <row r="3124" spans="1:14" x14ac:dyDescent="0.25">
      <c r="A3124" s="14" t="s">
        <v>2685</v>
      </c>
      <c r="B3124" s="14" t="s">
        <v>24</v>
      </c>
      <c r="C3124" s="15" t="s">
        <v>2686</v>
      </c>
      <c r="D3124" s="14" t="s">
        <v>1745</v>
      </c>
      <c r="E3124" s="14" t="s">
        <v>1747</v>
      </c>
      <c r="F3124" s="17" t="s">
        <v>2994</v>
      </c>
      <c r="G3124" s="14">
        <v>29940</v>
      </c>
      <c r="H3124" s="14">
        <v>23952</v>
      </c>
      <c r="I3124" s="31">
        <f>IF(COUNTIFS(Addendum!C:C,A3124,Addendum!D:D,IF(ISNUMBER(B3124),TEXT(B3124,"0000"),B3124),Addendum!E:E,"X")&gt;0,4%,0)</f>
        <v>0</v>
      </c>
      <c r="J3124" s="31">
        <f>IF(COUNTIFS(Addendum!C:C,A3124,Addendum!D:D,IF(ISNUMBER(B3124),TEXT(B3124,"0000"),B3124),Addendum!F:F,"X")&gt;0,2.5%,0)</f>
        <v>0</v>
      </c>
      <c r="K3124" s="31">
        <f>IF(COUNTIFS(Addendum!C:C,A3124,Addendum!D:D,IF(ISNUMBER(B3124),TEXT(B3124,"0000"),B3124),Addendum!G:G,"X")&gt;0,7%,0)</f>
        <v>0</v>
      </c>
      <c r="L3124" s="31">
        <f>IF(COUNTIFS(Addendum!C:C,A3124,Addendum!D:D,IF(ISNUMBER(B3124),TEXT(B3124,"0000"),B3124),Addendum!I:I,"X")&gt;0,10%,0)</f>
        <v>0</v>
      </c>
      <c r="M3124" s="34">
        <f t="shared" si="96"/>
        <v>0</v>
      </c>
      <c r="N3124" s="17">
        <f t="shared" si="97"/>
        <v>23952</v>
      </c>
    </row>
    <row r="3125" spans="1:14" x14ac:dyDescent="0.25">
      <c r="A3125" s="14" t="s">
        <v>2685</v>
      </c>
      <c r="B3125" s="14">
        <v>1</v>
      </c>
      <c r="C3125" s="15" t="s">
        <v>2687</v>
      </c>
      <c r="D3125" s="14" t="s">
        <v>1745</v>
      </c>
      <c r="E3125" s="14" t="s">
        <v>1747</v>
      </c>
      <c r="F3125" s="17" t="s">
        <v>2993</v>
      </c>
      <c r="G3125" s="14">
        <v>149760</v>
      </c>
      <c r="H3125" s="14">
        <v>119808</v>
      </c>
      <c r="I3125" s="31">
        <f>IF(COUNTIFS(Addendum!C:C,A3125,Addendum!D:D,IF(ISNUMBER(B3125),TEXT(B3125,"0000"),B3125),Addendum!E:E,"X")&gt;0,4%,0)</f>
        <v>0</v>
      </c>
      <c r="J3125" s="31">
        <f>IF(COUNTIFS(Addendum!C:C,A3125,Addendum!D:D,IF(ISNUMBER(B3125),TEXT(B3125,"0000"),B3125),Addendum!F:F,"X")&gt;0,2.5%,0)</f>
        <v>0</v>
      </c>
      <c r="K3125" s="31">
        <f>IF(COUNTIFS(Addendum!C:C,A3125,Addendum!D:D,IF(ISNUMBER(B3125),TEXT(B3125,"0000"),B3125),Addendum!G:G,"X")&gt;0,7%,0)</f>
        <v>0</v>
      </c>
      <c r="L3125" s="31">
        <f>IF(COUNTIFS(Addendum!C:C,A3125,Addendum!D:D,IF(ISNUMBER(B3125),TEXT(B3125,"0000"),B3125),Addendum!I:I,"X")&gt;0,10%,0)</f>
        <v>0</v>
      </c>
      <c r="M3125" s="34">
        <f t="shared" si="96"/>
        <v>0</v>
      </c>
      <c r="N3125" s="17">
        <f t="shared" si="97"/>
        <v>119808</v>
      </c>
    </row>
    <row r="3126" spans="1:14" x14ac:dyDescent="0.25">
      <c r="A3126" s="14" t="s">
        <v>2685</v>
      </c>
      <c r="B3126" s="14" t="s">
        <v>34</v>
      </c>
      <c r="C3126" s="15" t="s">
        <v>2688</v>
      </c>
      <c r="D3126" s="14" t="s">
        <v>1745</v>
      </c>
      <c r="E3126" s="14" t="s">
        <v>1746</v>
      </c>
      <c r="F3126" s="17" t="s">
        <v>2995</v>
      </c>
      <c r="G3126" s="14">
        <v>62874</v>
      </c>
      <c r="H3126" s="14">
        <v>56586.6</v>
      </c>
      <c r="I3126" s="31">
        <f>IF(COUNTIFS(Addendum!C:C,A3126,Addendum!D:D,IF(ISNUMBER(B3126),TEXT(B3126,"0000"),B3126),Addendum!E:E,"X")&gt;0,4%,0)</f>
        <v>0</v>
      </c>
      <c r="J3126" s="31">
        <f>IF(COUNTIFS(Addendum!C:C,A3126,Addendum!D:D,IF(ISNUMBER(B3126),TEXT(B3126,"0000"),B3126),Addendum!F:F,"X")&gt;0,2.5%,0)</f>
        <v>0</v>
      </c>
      <c r="K3126" s="31">
        <f>IF(COUNTIFS(Addendum!C:C,A3126,Addendum!D:D,IF(ISNUMBER(B3126),TEXT(B3126,"0000"),B3126),Addendum!G:G,"X")&gt;0,7%,0)</f>
        <v>0</v>
      </c>
      <c r="L3126" s="31">
        <f>IF(COUNTIFS(Addendum!C:C,A3126,Addendum!D:D,IF(ISNUMBER(B3126),TEXT(B3126,"0000"),B3126),Addendum!I:I,"X")&gt;0,10%,0)</f>
        <v>0</v>
      </c>
      <c r="M3126" s="34">
        <f t="shared" si="96"/>
        <v>0</v>
      </c>
      <c r="N3126" s="17">
        <f t="shared" si="97"/>
        <v>56586.6</v>
      </c>
    </row>
    <row r="3127" spans="1:14" x14ac:dyDescent="0.25">
      <c r="A3127" s="14" t="s">
        <v>2685</v>
      </c>
      <c r="B3127" s="14" t="s">
        <v>20</v>
      </c>
      <c r="C3127" s="15" t="s">
        <v>2689</v>
      </c>
      <c r="D3127" s="14" t="s">
        <v>1745</v>
      </c>
      <c r="E3127" s="14" t="s">
        <v>1747</v>
      </c>
      <c r="F3127" s="17" t="s">
        <v>2994</v>
      </c>
      <c r="G3127" s="14">
        <v>22440</v>
      </c>
      <c r="H3127" s="14">
        <v>17952</v>
      </c>
      <c r="I3127" s="31">
        <f>IF(COUNTIFS(Addendum!C:C,A3127,Addendum!D:D,IF(ISNUMBER(B3127),TEXT(B3127,"0000"),B3127),Addendum!E:E,"X")&gt;0,4%,0)</f>
        <v>0</v>
      </c>
      <c r="J3127" s="31">
        <f>IF(COUNTIFS(Addendum!C:C,A3127,Addendum!D:D,IF(ISNUMBER(B3127),TEXT(B3127,"0000"),B3127),Addendum!F:F,"X")&gt;0,2.5%,0)</f>
        <v>0</v>
      </c>
      <c r="K3127" s="31">
        <f>IF(COUNTIFS(Addendum!C:C,A3127,Addendum!D:D,IF(ISNUMBER(B3127),TEXT(B3127,"0000"),B3127),Addendum!G:G,"X")&gt;0,7%,0)</f>
        <v>0</v>
      </c>
      <c r="L3127" s="31">
        <f>IF(COUNTIFS(Addendum!C:C,A3127,Addendum!D:D,IF(ISNUMBER(B3127),TEXT(B3127,"0000"),B3127),Addendum!I:I,"X")&gt;0,10%,0)</f>
        <v>0</v>
      </c>
      <c r="M3127" s="34">
        <f t="shared" si="96"/>
        <v>0</v>
      </c>
      <c r="N3127" s="17">
        <f t="shared" si="97"/>
        <v>17952</v>
      </c>
    </row>
    <row r="3128" spans="1:14" x14ac:dyDescent="0.25">
      <c r="A3128" s="14" t="s">
        <v>2685</v>
      </c>
      <c r="B3128" s="14" t="s">
        <v>20</v>
      </c>
      <c r="C3128" s="15" t="s">
        <v>2689</v>
      </c>
      <c r="D3128" s="14" t="s">
        <v>1749</v>
      </c>
      <c r="E3128" s="14" t="s">
        <v>1746</v>
      </c>
      <c r="F3128" s="17" t="s">
        <v>2994</v>
      </c>
      <c r="G3128" s="14">
        <v>2244</v>
      </c>
      <c r="H3128" s="14">
        <v>1795.2</v>
      </c>
      <c r="I3128" s="31">
        <f>IF(COUNTIFS(Addendum!C:C,A3128,Addendum!D:D,IF(ISNUMBER(B3128),TEXT(B3128,"0000"),B3128),Addendum!E:E,"X")&gt;0,4%,0)</f>
        <v>0</v>
      </c>
      <c r="J3128" s="31">
        <f>IF(COUNTIFS(Addendum!C:C,A3128,Addendum!D:D,IF(ISNUMBER(B3128),TEXT(B3128,"0000"),B3128),Addendum!F:F,"X")&gt;0,2.5%,0)</f>
        <v>0</v>
      </c>
      <c r="K3128" s="31">
        <f>IF(COUNTIFS(Addendum!C:C,A3128,Addendum!D:D,IF(ISNUMBER(B3128),TEXT(B3128,"0000"),B3128),Addendum!G:G,"X")&gt;0,7%,0)</f>
        <v>0</v>
      </c>
      <c r="L3128" s="31">
        <f>IF(COUNTIFS(Addendum!C:C,A3128,Addendum!D:D,IF(ISNUMBER(B3128),TEXT(B3128,"0000"),B3128),Addendum!I:I,"X")&gt;0,10%,0)</f>
        <v>0</v>
      </c>
      <c r="M3128" s="34">
        <f t="shared" si="96"/>
        <v>0</v>
      </c>
      <c r="N3128" s="17">
        <f t="shared" si="97"/>
        <v>1795.2</v>
      </c>
    </row>
    <row r="3129" spans="1:14" x14ac:dyDescent="0.25">
      <c r="A3129" s="14" t="s">
        <v>2690</v>
      </c>
      <c r="B3129" s="14">
        <v>3</v>
      </c>
      <c r="C3129" s="15" t="s">
        <v>2691</v>
      </c>
      <c r="D3129" s="14" t="s">
        <v>1745</v>
      </c>
      <c r="E3129" s="14" t="s">
        <v>1747</v>
      </c>
      <c r="F3129" s="17" t="s">
        <v>2993</v>
      </c>
      <c r="G3129" s="14">
        <v>4991700</v>
      </c>
      <c r="H3129" s="14">
        <v>3993360</v>
      </c>
      <c r="I3129" s="31">
        <f>IF(COUNTIFS(Addendum!C:C,A3129,Addendum!D:D,IF(ISNUMBER(B3129),TEXT(B3129,"0000"),B3129),Addendum!E:E,"X")&gt;0,4%,0)</f>
        <v>0</v>
      </c>
      <c r="J3129" s="31">
        <f>IF(COUNTIFS(Addendum!C:C,A3129,Addendum!D:D,IF(ISNUMBER(B3129),TEXT(B3129,"0000"),B3129),Addendum!F:F,"X")&gt;0,2.5%,0)</f>
        <v>0</v>
      </c>
      <c r="K3129" s="31">
        <f>IF(COUNTIFS(Addendum!C:C,A3129,Addendum!D:D,IF(ISNUMBER(B3129),TEXT(B3129,"0000"),B3129),Addendum!G:G,"X")&gt;0,7%,0)</f>
        <v>0</v>
      </c>
      <c r="L3129" s="31">
        <f>IF(COUNTIFS(Addendum!C:C,A3129,Addendum!D:D,IF(ISNUMBER(B3129),TEXT(B3129,"0000"),B3129),Addendum!I:I,"X")&gt;0,10%,0)</f>
        <v>0</v>
      </c>
      <c r="M3129" s="34">
        <f t="shared" si="96"/>
        <v>0</v>
      </c>
      <c r="N3129" s="17">
        <f t="shared" si="97"/>
        <v>3993360</v>
      </c>
    </row>
    <row r="3130" spans="1:14" x14ac:dyDescent="0.25">
      <c r="A3130" s="14" t="s">
        <v>2690</v>
      </c>
      <c r="B3130" s="14" t="s">
        <v>20</v>
      </c>
      <c r="C3130" s="15" t="s">
        <v>2692</v>
      </c>
      <c r="D3130" s="14" t="s">
        <v>1749</v>
      </c>
      <c r="E3130" s="14" t="s">
        <v>1746</v>
      </c>
      <c r="F3130" s="17" t="s">
        <v>2994</v>
      </c>
      <c r="G3130" s="14">
        <v>74874</v>
      </c>
      <c r="H3130" s="14">
        <v>59899.199999999997</v>
      </c>
      <c r="I3130" s="31">
        <f>IF(COUNTIFS(Addendum!C:C,A3130,Addendum!D:D,IF(ISNUMBER(B3130),TEXT(B3130,"0000"),B3130),Addendum!E:E,"X")&gt;0,4%,0)</f>
        <v>0</v>
      </c>
      <c r="J3130" s="31">
        <f>IF(COUNTIFS(Addendum!C:C,A3130,Addendum!D:D,IF(ISNUMBER(B3130),TEXT(B3130,"0000"),B3130),Addendum!F:F,"X")&gt;0,2.5%,0)</f>
        <v>0</v>
      </c>
      <c r="K3130" s="31">
        <f>IF(COUNTIFS(Addendum!C:C,A3130,Addendum!D:D,IF(ISNUMBER(B3130),TEXT(B3130,"0000"),B3130),Addendum!G:G,"X")&gt;0,7%,0)</f>
        <v>0</v>
      </c>
      <c r="L3130" s="31">
        <f>IF(COUNTIFS(Addendum!C:C,A3130,Addendum!D:D,IF(ISNUMBER(B3130),TEXT(B3130,"0000"),B3130),Addendum!I:I,"X")&gt;0,10%,0)</f>
        <v>0</v>
      </c>
      <c r="M3130" s="34">
        <f t="shared" si="96"/>
        <v>0</v>
      </c>
      <c r="N3130" s="17">
        <f t="shared" si="97"/>
        <v>59899.199999999997</v>
      </c>
    </row>
    <row r="3131" spans="1:14" x14ac:dyDescent="0.25">
      <c r="A3131" s="14" t="s">
        <v>2690</v>
      </c>
      <c r="B3131" s="14" t="s">
        <v>16</v>
      </c>
      <c r="C3131" s="15" t="s">
        <v>2693</v>
      </c>
      <c r="D3131" s="14" t="s">
        <v>1745</v>
      </c>
      <c r="E3131" s="14" t="s">
        <v>1747</v>
      </c>
      <c r="F3131" s="17" t="s">
        <v>2995</v>
      </c>
      <c r="G3131" s="14">
        <v>1996680</v>
      </c>
      <c r="H3131" s="14">
        <v>1797012</v>
      </c>
      <c r="I3131" s="31">
        <f>IF(COUNTIFS(Addendum!C:C,A3131,Addendum!D:D,IF(ISNUMBER(B3131),TEXT(B3131,"0000"),B3131),Addendum!E:E,"X")&gt;0,4%,0)</f>
        <v>0</v>
      </c>
      <c r="J3131" s="31">
        <f>IF(COUNTIFS(Addendum!C:C,A3131,Addendum!D:D,IF(ISNUMBER(B3131),TEXT(B3131,"0000"),B3131),Addendum!F:F,"X")&gt;0,2.5%,0)</f>
        <v>0</v>
      </c>
      <c r="K3131" s="31">
        <f>IF(COUNTIFS(Addendum!C:C,A3131,Addendum!D:D,IF(ISNUMBER(B3131),TEXT(B3131,"0000"),B3131),Addendum!G:G,"X")&gt;0,7%,0)</f>
        <v>0</v>
      </c>
      <c r="L3131" s="31">
        <f>IF(COUNTIFS(Addendum!C:C,A3131,Addendum!D:D,IF(ISNUMBER(B3131),TEXT(B3131,"0000"),B3131),Addendum!I:I,"X")&gt;0,10%,0)</f>
        <v>0</v>
      </c>
      <c r="M3131" s="34">
        <f t="shared" si="96"/>
        <v>0</v>
      </c>
      <c r="N3131" s="17">
        <f t="shared" si="97"/>
        <v>1797012</v>
      </c>
    </row>
    <row r="3132" spans="1:14" x14ac:dyDescent="0.25">
      <c r="A3132" s="14" t="s">
        <v>2690</v>
      </c>
      <c r="B3132" s="14" t="s">
        <v>16</v>
      </c>
      <c r="C3132" s="15" t="s">
        <v>2693</v>
      </c>
      <c r="D3132" s="14" t="s">
        <v>1749</v>
      </c>
      <c r="E3132" s="14" t="s">
        <v>1746</v>
      </c>
      <c r="F3132" s="17" t="s">
        <v>2995</v>
      </c>
      <c r="G3132" s="14">
        <v>199668</v>
      </c>
      <c r="H3132" s="14">
        <v>179701.2</v>
      </c>
      <c r="I3132" s="31">
        <f>IF(COUNTIFS(Addendum!C:C,A3132,Addendum!D:D,IF(ISNUMBER(B3132),TEXT(B3132,"0000"),B3132),Addendum!E:E,"X")&gt;0,4%,0)</f>
        <v>0</v>
      </c>
      <c r="J3132" s="31">
        <f>IF(COUNTIFS(Addendum!C:C,A3132,Addendum!D:D,IF(ISNUMBER(B3132),TEXT(B3132,"0000"),B3132),Addendum!F:F,"X")&gt;0,2.5%,0)</f>
        <v>0</v>
      </c>
      <c r="K3132" s="31">
        <f>IF(COUNTIFS(Addendum!C:C,A3132,Addendum!D:D,IF(ISNUMBER(B3132),TEXT(B3132,"0000"),B3132),Addendum!G:G,"X")&gt;0,7%,0)</f>
        <v>0</v>
      </c>
      <c r="L3132" s="31">
        <f>IF(COUNTIFS(Addendum!C:C,A3132,Addendum!D:D,IF(ISNUMBER(B3132),TEXT(B3132,"0000"),B3132),Addendum!I:I,"X")&gt;0,10%,0)</f>
        <v>0</v>
      </c>
      <c r="M3132" s="34">
        <f t="shared" si="96"/>
        <v>0</v>
      </c>
      <c r="N3132" s="17">
        <f t="shared" si="97"/>
        <v>179701.2</v>
      </c>
    </row>
    <row r="3133" spans="1:14" x14ac:dyDescent="0.25">
      <c r="A3133" s="14" t="s">
        <v>2690</v>
      </c>
      <c r="B3133" s="14" t="s">
        <v>24</v>
      </c>
      <c r="C3133" s="15" t="s">
        <v>2694</v>
      </c>
      <c r="D3133" s="14" t="s">
        <v>1745</v>
      </c>
      <c r="E3133" s="14" t="s">
        <v>1746</v>
      </c>
      <c r="F3133" s="17" t="s">
        <v>2994</v>
      </c>
      <c r="G3133" s="14">
        <v>1048257</v>
      </c>
      <c r="H3133" s="14">
        <v>838605.6</v>
      </c>
      <c r="I3133" s="31">
        <f>IF(COUNTIFS(Addendum!C:C,A3133,Addendum!D:D,IF(ISNUMBER(B3133),TEXT(B3133,"0000"),B3133),Addendum!E:E,"X")&gt;0,4%,0)</f>
        <v>0</v>
      </c>
      <c r="J3133" s="31">
        <f>IF(COUNTIFS(Addendum!C:C,A3133,Addendum!D:D,IF(ISNUMBER(B3133),TEXT(B3133,"0000"),B3133),Addendum!F:F,"X")&gt;0,2.5%,0)</f>
        <v>0</v>
      </c>
      <c r="K3133" s="31">
        <f>IF(COUNTIFS(Addendum!C:C,A3133,Addendum!D:D,IF(ISNUMBER(B3133),TEXT(B3133,"0000"),B3133),Addendum!G:G,"X")&gt;0,7%,0)</f>
        <v>0</v>
      </c>
      <c r="L3133" s="31">
        <f>IF(COUNTIFS(Addendum!C:C,A3133,Addendum!D:D,IF(ISNUMBER(B3133),TEXT(B3133,"0000"),B3133),Addendum!I:I,"X")&gt;0,10%,0)</f>
        <v>0</v>
      </c>
      <c r="M3133" s="34">
        <f t="shared" si="96"/>
        <v>0</v>
      </c>
      <c r="N3133" s="17">
        <f t="shared" si="97"/>
        <v>838605.6</v>
      </c>
    </row>
    <row r="3134" spans="1:14" x14ac:dyDescent="0.25">
      <c r="A3134" s="14" t="s">
        <v>2690</v>
      </c>
      <c r="B3134" s="14" t="s">
        <v>16</v>
      </c>
      <c r="C3134" s="15" t="s">
        <v>2693</v>
      </c>
      <c r="D3134" s="14" t="s">
        <v>1745</v>
      </c>
      <c r="E3134" s="14" t="s">
        <v>1746</v>
      </c>
      <c r="F3134" s="17" t="s">
        <v>2995</v>
      </c>
      <c r="G3134" s="14">
        <v>2096514</v>
      </c>
      <c r="H3134" s="14">
        <v>1886863</v>
      </c>
      <c r="I3134" s="31">
        <f>IF(COUNTIFS(Addendum!C:C,A3134,Addendum!D:D,IF(ISNUMBER(B3134),TEXT(B3134,"0000"),B3134),Addendum!E:E,"X")&gt;0,4%,0)</f>
        <v>0</v>
      </c>
      <c r="J3134" s="31">
        <f>IF(COUNTIFS(Addendum!C:C,A3134,Addendum!D:D,IF(ISNUMBER(B3134),TEXT(B3134,"0000"),B3134),Addendum!F:F,"X")&gt;0,2.5%,0)</f>
        <v>0</v>
      </c>
      <c r="K3134" s="31">
        <f>IF(COUNTIFS(Addendum!C:C,A3134,Addendum!D:D,IF(ISNUMBER(B3134),TEXT(B3134,"0000"),B3134),Addendum!G:G,"X")&gt;0,7%,0)</f>
        <v>0</v>
      </c>
      <c r="L3134" s="31">
        <f>IF(COUNTIFS(Addendum!C:C,A3134,Addendum!D:D,IF(ISNUMBER(B3134),TEXT(B3134,"0000"),B3134),Addendum!I:I,"X")&gt;0,10%,0)</f>
        <v>0</v>
      </c>
      <c r="M3134" s="34">
        <f t="shared" si="96"/>
        <v>0</v>
      </c>
      <c r="N3134" s="17">
        <f t="shared" si="97"/>
        <v>1886863</v>
      </c>
    </row>
    <row r="3135" spans="1:14" x14ac:dyDescent="0.25">
      <c r="A3135" s="14" t="s">
        <v>2690</v>
      </c>
      <c r="B3135" s="14">
        <v>3</v>
      </c>
      <c r="C3135" s="15" t="s">
        <v>2691</v>
      </c>
      <c r="D3135" s="14" t="s">
        <v>1749</v>
      </c>
      <c r="E3135" s="14" t="s">
        <v>1746</v>
      </c>
      <c r="F3135" s="17" t="s">
        <v>2993</v>
      </c>
      <c r="G3135" s="14">
        <v>499170</v>
      </c>
      <c r="H3135" s="14">
        <v>399336</v>
      </c>
      <c r="I3135" s="31">
        <f>IF(COUNTIFS(Addendum!C:C,A3135,Addendum!D:D,IF(ISNUMBER(B3135),TEXT(B3135,"0000"),B3135),Addendum!E:E,"X")&gt;0,4%,0)</f>
        <v>0</v>
      </c>
      <c r="J3135" s="31">
        <f>IF(COUNTIFS(Addendum!C:C,A3135,Addendum!D:D,IF(ISNUMBER(B3135),TEXT(B3135,"0000"),B3135),Addendum!F:F,"X")&gt;0,2.5%,0)</f>
        <v>0</v>
      </c>
      <c r="K3135" s="31">
        <f>IF(COUNTIFS(Addendum!C:C,A3135,Addendum!D:D,IF(ISNUMBER(B3135),TEXT(B3135,"0000"),B3135),Addendum!G:G,"X")&gt;0,7%,0)</f>
        <v>0</v>
      </c>
      <c r="L3135" s="31">
        <f>IF(COUNTIFS(Addendum!C:C,A3135,Addendum!D:D,IF(ISNUMBER(B3135),TEXT(B3135,"0000"),B3135),Addendum!I:I,"X")&gt;0,10%,0)</f>
        <v>0</v>
      </c>
      <c r="M3135" s="34">
        <f t="shared" si="96"/>
        <v>0</v>
      </c>
      <c r="N3135" s="17">
        <f t="shared" si="97"/>
        <v>399336</v>
      </c>
    </row>
    <row r="3136" spans="1:14" x14ac:dyDescent="0.25">
      <c r="A3136" s="14" t="s">
        <v>2690</v>
      </c>
      <c r="B3136" s="14" t="s">
        <v>24</v>
      </c>
      <c r="C3136" s="15" t="s">
        <v>2694</v>
      </c>
      <c r="D3136" s="14" t="s">
        <v>1745</v>
      </c>
      <c r="E3136" s="14" t="s">
        <v>1747</v>
      </c>
      <c r="F3136" s="17" t="s">
        <v>2994</v>
      </c>
      <c r="G3136" s="14">
        <v>998340</v>
      </c>
      <c r="H3136" s="14">
        <v>798672</v>
      </c>
      <c r="I3136" s="31">
        <f>IF(COUNTIFS(Addendum!C:C,A3136,Addendum!D:D,IF(ISNUMBER(B3136),TEXT(B3136,"0000"),B3136),Addendum!E:E,"X")&gt;0,4%,0)</f>
        <v>0</v>
      </c>
      <c r="J3136" s="31">
        <f>IF(COUNTIFS(Addendum!C:C,A3136,Addendum!D:D,IF(ISNUMBER(B3136),TEXT(B3136,"0000"),B3136),Addendum!F:F,"X")&gt;0,2.5%,0)</f>
        <v>0</v>
      </c>
      <c r="K3136" s="31">
        <f>IF(COUNTIFS(Addendum!C:C,A3136,Addendum!D:D,IF(ISNUMBER(B3136),TEXT(B3136,"0000"),B3136),Addendum!G:G,"X")&gt;0,7%,0)</f>
        <v>0</v>
      </c>
      <c r="L3136" s="31">
        <f>IF(COUNTIFS(Addendum!C:C,A3136,Addendum!D:D,IF(ISNUMBER(B3136),TEXT(B3136,"0000"),B3136),Addendum!I:I,"X")&gt;0,10%,0)</f>
        <v>0</v>
      </c>
      <c r="M3136" s="34">
        <f t="shared" si="96"/>
        <v>0</v>
      </c>
      <c r="N3136" s="17">
        <f t="shared" si="97"/>
        <v>798672</v>
      </c>
    </row>
    <row r="3137" spans="1:14" x14ac:dyDescent="0.25">
      <c r="A3137" s="14" t="s">
        <v>2690</v>
      </c>
      <c r="B3137" s="14" t="s">
        <v>20</v>
      </c>
      <c r="C3137" s="15" t="s">
        <v>2692</v>
      </c>
      <c r="D3137" s="14" t="s">
        <v>1745</v>
      </c>
      <c r="E3137" s="14" t="s">
        <v>1747</v>
      </c>
      <c r="F3137" s="17" t="s">
        <v>2994</v>
      </c>
      <c r="G3137" s="14">
        <v>748740</v>
      </c>
      <c r="H3137" s="14">
        <v>598992</v>
      </c>
      <c r="I3137" s="31">
        <f>IF(COUNTIFS(Addendum!C:C,A3137,Addendum!D:D,IF(ISNUMBER(B3137),TEXT(B3137,"0000"),B3137),Addendum!E:E,"X")&gt;0,4%,0)</f>
        <v>0</v>
      </c>
      <c r="J3137" s="31">
        <f>IF(COUNTIFS(Addendum!C:C,A3137,Addendum!D:D,IF(ISNUMBER(B3137),TEXT(B3137,"0000"),B3137),Addendum!F:F,"X")&gt;0,2.5%,0)</f>
        <v>0</v>
      </c>
      <c r="K3137" s="31">
        <f>IF(COUNTIFS(Addendum!C:C,A3137,Addendum!D:D,IF(ISNUMBER(B3137),TEXT(B3137,"0000"),B3137),Addendum!G:G,"X")&gt;0,7%,0)</f>
        <v>0</v>
      </c>
      <c r="L3137" s="31">
        <f>IF(COUNTIFS(Addendum!C:C,A3137,Addendum!D:D,IF(ISNUMBER(B3137),TEXT(B3137,"0000"),B3137),Addendum!I:I,"X")&gt;0,10%,0)</f>
        <v>0</v>
      </c>
      <c r="M3137" s="34">
        <f t="shared" si="96"/>
        <v>0</v>
      </c>
      <c r="N3137" s="17">
        <f t="shared" si="97"/>
        <v>598992</v>
      </c>
    </row>
    <row r="3138" spans="1:14" x14ac:dyDescent="0.25">
      <c r="A3138" s="14" t="s">
        <v>2690</v>
      </c>
      <c r="B3138" s="14" t="s">
        <v>24</v>
      </c>
      <c r="C3138" s="15" t="s">
        <v>2694</v>
      </c>
      <c r="D3138" s="14" t="s">
        <v>1749</v>
      </c>
      <c r="E3138" s="14" t="s">
        <v>1746</v>
      </c>
      <c r="F3138" s="17" t="s">
        <v>2994</v>
      </c>
      <c r="G3138" s="14">
        <v>99834</v>
      </c>
      <c r="H3138" s="14">
        <v>79867.199999999997</v>
      </c>
      <c r="I3138" s="31">
        <f>IF(COUNTIFS(Addendum!C:C,A3138,Addendum!D:D,IF(ISNUMBER(B3138),TEXT(B3138,"0000"),B3138),Addendum!E:E,"X")&gt;0,4%,0)</f>
        <v>0</v>
      </c>
      <c r="J3138" s="31">
        <f>IF(COUNTIFS(Addendum!C:C,A3138,Addendum!D:D,IF(ISNUMBER(B3138),TEXT(B3138,"0000"),B3138),Addendum!F:F,"X")&gt;0,2.5%,0)</f>
        <v>0</v>
      </c>
      <c r="K3138" s="31">
        <f>IF(COUNTIFS(Addendum!C:C,A3138,Addendum!D:D,IF(ISNUMBER(B3138),TEXT(B3138,"0000"),B3138),Addendum!G:G,"X")&gt;0,7%,0)</f>
        <v>0</v>
      </c>
      <c r="L3138" s="31">
        <f>IF(COUNTIFS(Addendum!C:C,A3138,Addendum!D:D,IF(ISNUMBER(B3138),TEXT(B3138,"0000"),B3138),Addendum!I:I,"X")&gt;0,10%,0)</f>
        <v>0</v>
      </c>
      <c r="M3138" s="34">
        <f t="shared" si="96"/>
        <v>0</v>
      </c>
      <c r="N3138" s="17">
        <f t="shared" si="97"/>
        <v>79867.199999999997</v>
      </c>
    </row>
    <row r="3139" spans="1:14" x14ac:dyDescent="0.25">
      <c r="A3139" s="14" t="s">
        <v>2690</v>
      </c>
      <c r="B3139" s="14">
        <v>3</v>
      </c>
      <c r="C3139" s="15" t="s">
        <v>2691</v>
      </c>
      <c r="D3139" s="14" t="s">
        <v>1745</v>
      </c>
      <c r="E3139" s="14" t="s">
        <v>1746</v>
      </c>
      <c r="F3139" s="17" t="s">
        <v>2993</v>
      </c>
      <c r="G3139" s="14">
        <v>5241285</v>
      </c>
      <c r="H3139" s="14">
        <v>4193028</v>
      </c>
      <c r="I3139" s="31">
        <f>IF(COUNTIFS(Addendum!C:C,A3139,Addendum!D:D,IF(ISNUMBER(B3139),TEXT(B3139,"0000"),B3139),Addendum!E:E,"X")&gt;0,4%,0)</f>
        <v>0</v>
      </c>
      <c r="J3139" s="31">
        <f>IF(COUNTIFS(Addendum!C:C,A3139,Addendum!D:D,IF(ISNUMBER(B3139),TEXT(B3139,"0000"),B3139),Addendum!F:F,"X")&gt;0,2.5%,0)</f>
        <v>0</v>
      </c>
      <c r="K3139" s="31">
        <f>IF(COUNTIFS(Addendum!C:C,A3139,Addendum!D:D,IF(ISNUMBER(B3139),TEXT(B3139,"0000"),B3139),Addendum!G:G,"X")&gt;0,7%,0)</f>
        <v>0</v>
      </c>
      <c r="L3139" s="31">
        <f>IF(COUNTIFS(Addendum!C:C,A3139,Addendum!D:D,IF(ISNUMBER(B3139),TEXT(B3139,"0000"),B3139),Addendum!I:I,"X")&gt;0,10%,0)</f>
        <v>0</v>
      </c>
      <c r="M3139" s="34">
        <f t="shared" si="96"/>
        <v>0</v>
      </c>
      <c r="N3139" s="17">
        <f t="shared" si="97"/>
        <v>4193028</v>
      </c>
    </row>
    <row r="3140" spans="1:14" x14ac:dyDescent="0.25">
      <c r="A3140" s="14" t="s">
        <v>2690</v>
      </c>
      <c r="B3140" s="14" t="s">
        <v>20</v>
      </c>
      <c r="C3140" s="15" t="s">
        <v>2692</v>
      </c>
      <c r="D3140" s="14" t="s">
        <v>1745</v>
      </c>
      <c r="E3140" s="14" t="s">
        <v>1746</v>
      </c>
      <c r="F3140" s="17" t="s">
        <v>2994</v>
      </c>
      <c r="G3140" s="14">
        <v>786177</v>
      </c>
      <c r="H3140" s="14">
        <v>628941.6</v>
      </c>
      <c r="I3140" s="31">
        <f>IF(COUNTIFS(Addendum!C:C,A3140,Addendum!D:D,IF(ISNUMBER(B3140),TEXT(B3140,"0000"),B3140),Addendum!E:E,"X")&gt;0,4%,0)</f>
        <v>0</v>
      </c>
      <c r="J3140" s="31">
        <f>IF(COUNTIFS(Addendum!C:C,A3140,Addendum!D:D,IF(ISNUMBER(B3140),TEXT(B3140,"0000"),B3140),Addendum!F:F,"X")&gt;0,2.5%,0)</f>
        <v>0</v>
      </c>
      <c r="K3140" s="31">
        <f>IF(COUNTIFS(Addendum!C:C,A3140,Addendum!D:D,IF(ISNUMBER(B3140),TEXT(B3140,"0000"),B3140),Addendum!G:G,"X")&gt;0,7%,0)</f>
        <v>0</v>
      </c>
      <c r="L3140" s="31">
        <f>IF(COUNTIFS(Addendum!C:C,A3140,Addendum!D:D,IF(ISNUMBER(B3140),TEXT(B3140,"0000"),B3140),Addendum!I:I,"X")&gt;0,10%,0)</f>
        <v>0</v>
      </c>
      <c r="M3140" s="34">
        <f t="shared" ref="M3140:M3203" si="98">IF(AND(I3140=0%,J3140=0%,K3140=0%,L3140=0%),0%,
IF(OR(TRIM(E3140)="OneTime",TRIM(D3140)=""),0%,
IF(
OR(
TRIM(D3140)="P1M",
AND(TRIM(D3140)="P1Y",TRIM(E3140)="Monthly"),
AND(TRIM(D3140)="P3Y",TRIM(E3140)="Monthly")
),
IF(AND(I3140=4%,J3140=0%,K3140=0%,L3140=0%),1%,
IF(AND(I3140=4%,J3140=2.5%,K3140=0%,L3140=10%),2%,
IF(AND(I3140=4%,J3140=0%,K3140=7%,L3140=10%),3%,0%))),
IF(
OR(
AND(TRIM(D3140)="P1Y",TRIM(E3140)="Annual"),
AND(TRIM(D3140)="P3Y",TRIM(E3140)="Annual"),
AND(TRIM(D3140)="P3Y",TRIM(E3140)="Triennial")
),
IF(AND(I3140=4%,J3140=0%,K3140=0%,L3140=0%),3%,
IF(AND(I3140=4%,J3140=2.5%,K3140=0%,L3140=10%),10%,
IF(AND(I3140=4%,J3140=0%,K3140=7%,L3140=10%),14%,0%))),
0%
))))</f>
        <v>0</v>
      </c>
      <c r="N3140" s="17">
        <f t="shared" ref="N3140:N3203" si="99">H3140-(H3140*M3140)</f>
        <v>628941.6</v>
      </c>
    </row>
    <row r="3141" spans="1:14" x14ac:dyDescent="0.25">
      <c r="A3141" s="14" t="s">
        <v>2695</v>
      </c>
      <c r="B3141" s="14" t="s">
        <v>34</v>
      </c>
      <c r="C3141" s="15" t="s">
        <v>2696</v>
      </c>
      <c r="D3141" s="14" t="s">
        <v>1745</v>
      </c>
      <c r="E3141" s="14" t="s">
        <v>1746</v>
      </c>
      <c r="F3141" s="17" t="s">
        <v>2994</v>
      </c>
      <c r="G3141" s="14">
        <v>86499</v>
      </c>
      <c r="H3141" s="14">
        <v>64874.28</v>
      </c>
      <c r="I3141" s="31">
        <f>IF(COUNTIFS(Addendum!C:C,A3141,Addendum!D:D,IF(ISNUMBER(B3141),TEXT(B3141,"0000"),B3141),Addendum!E:E,"X")&gt;0,4%,0)</f>
        <v>0</v>
      </c>
      <c r="J3141" s="31">
        <f>IF(COUNTIFS(Addendum!C:C,A3141,Addendum!D:D,IF(ISNUMBER(B3141),TEXT(B3141,"0000"),B3141),Addendum!F:F,"X")&gt;0,2.5%,0)</f>
        <v>0</v>
      </c>
      <c r="K3141" s="31">
        <f>IF(COUNTIFS(Addendum!C:C,A3141,Addendum!D:D,IF(ISNUMBER(B3141),TEXT(B3141,"0000"),B3141),Addendum!G:G,"X")&gt;0,7%,0)</f>
        <v>0</v>
      </c>
      <c r="L3141" s="31">
        <f>IF(COUNTIFS(Addendum!C:C,A3141,Addendum!D:D,IF(ISNUMBER(B3141),TEXT(B3141,"0000"),B3141),Addendum!I:I,"X")&gt;0,10%,0)</f>
        <v>0</v>
      </c>
      <c r="M3141" s="34">
        <f t="shared" si="98"/>
        <v>0</v>
      </c>
      <c r="N3141" s="17">
        <f t="shared" si="99"/>
        <v>64874.28</v>
      </c>
    </row>
    <row r="3142" spans="1:14" x14ac:dyDescent="0.25">
      <c r="A3142" s="14" t="s">
        <v>2695</v>
      </c>
      <c r="B3142" s="14" t="s">
        <v>24</v>
      </c>
      <c r="C3142" s="15" t="s">
        <v>2697</v>
      </c>
      <c r="D3142" s="14" t="s">
        <v>1745</v>
      </c>
      <c r="E3142" s="14" t="s">
        <v>1746</v>
      </c>
      <c r="F3142" s="17" t="s">
        <v>2995</v>
      </c>
      <c r="G3142" s="14">
        <v>39312</v>
      </c>
      <c r="H3142" s="14">
        <v>35380.800000000003</v>
      </c>
      <c r="I3142" s="31">
        <f>IF(COUNTIFS(Addendum!C:C,A3142,Addendum!D:D,IF(ISNUMBER(B3142),TEXT(B3142,"0000"),B3142),Addendum!E:E,"X")&gt;0,4%,0)</f>
        <v>0</v>
      </c>
      <c r="J3142" s="31">
        <f>IF(COUNTIFS(Addendum!C:C,A3142,Addendum!D:D,IF(ISNUMBER(B3142),TEXT(B3142,"0000"),B3142),Addendum!F:F,"X")&gt;0,2.5%,0)</f>
        <v>0</v>
      </c>
      <c r="K3142" s="31">
        <f>IF(COUNTIFS(Addendum!C:C,A3142,Addendum!D:D,IF(ISNUMBER(B3142),TEXT(B3142,"0000"),B3142),Addendum!G:G,"X")&gt;0,7%,0)</f>
        <v>0</v>
      </c>
      <c r="L3142" s="31">
        <f>IF(COUNTIFS(Addendum!C:C,A3142,Addendum!D:D,IF(ISNUMBER(B3142),TEXT(B3142,"0000"),B3142),Addendum!I:I,"X")&gt;0,10%,0)</f>
        <v>0</v>
      </c>
      <c r="M3142" s="34">
        <f t="shared" si="98"/>
        <v>0</v>
      </c>
      <c r="N3142" s="17">
        <f t="shared" si="99"/>
        <v>35380.800000000003</v>
      </c>
    </row>
    <row r="3143" spans="1:14" x14ac:dyDescent="0.25">
      <c r="A3143" s="14" t="s">
        <v>2695</v>
      </c>
      <c r="B3143" s="14" t="s">
        <v>34</v>
      </c>
      <c r="C3143" s="15" t="s">
        <v>2696</v>
      </c>
      <c r="D3143" s="14" t="s">
        <v>1745</v>
      </c>
      <c r="E3143" s="14" t="s">
        <v>1747</v>
      </c>
      <c r="F3143" s="17" t="s">
        <v>2994</v>
      </c>
      <c r="G3143" s="14">
        <v>82380</v>
      </c>
      <c r="H3143" s="14">
        <v>61785</v>
      </c>
      <c r="I3143" s="31">
        <f>IF(COUNTIFS(Addendum!C:C,A3143,Addendum!D:D,IF(ISNUMBER(B3143),TEXT(B3143,"0000"),B3143),Addendum!E:E,"X")&gt;0,4%,0)</f>
        <v>0</v>
      </c>
      <c r="J3143" s="31">
        <f>IF(COUNTIFS(Addendum!C:C,A3143,Addendum!D:D,IF(ISNUMBER(B3143),TEXT(B3143,"0000"),B3143),Addendum!F:F,"X")&gt;0,2.5%,0)</f>
        <v>0</v>
      </c>
      <c r="K3143" s="31">
        <f>IF(COUNTIFS(Addendum!C:C,A3143,Addendum!D:D,IF(ISNUMBER(B3143),TEXT(B3143,"0000"),B3143),Addendum!G:G,"X")&gt;0,7%,0)</f>
        <v>0</v>
      </c>
      <c r="L3143" s="31">
        <f>IF(COUNTIFS(Addendum!C:C,A3143,Addendum!D:D,IF(ISNUMBER(B3143),TEXT(B3143,"0000"),B3143),Addendum!I:I,"X")&gt;0,10%,0)</f>
        <v>0</v>
      </c>
      <c r="M3143" s="34">
        <f t="shared" si="98"/>
        <v>0</v>
      </c>
      <c r="N3143" s="17">
        <f t="shared" si="99"/>
        <v>61785</v>
      </c>
    </row>
    <row r="3144" spans="1:14" x14ac:dyDescent="0.25">
      <c r="A3144" s="14" t="s">
        <v>2695</v>
      </c>
      <c r="B3144" s="14" t="s">
        <v>24</v>
      </c>
      <c r="C3144" s="15" t="s">
        <v>2697</v>
      </c>
      <c r="D3144" s="14" t="s">
        <v>1749</v>
      </c>
      <c r="E3144" s="14" t="s">
        <v>1746</v>
      </c>
      <c r="F3144" s="17" t="s">
        <v>2995</v>
      </c>
      <c r="G3144" s="14">
        <v>3744</v>
      </c>
      <c r="H3144" s="14">
        <v>3369.6</v>
      </c>
      <c r="I3144" s="31">
        <f>IF(COUNTIFS(Addendum!C:C,A3144,Addendum!D:D,IF(ISNUMBER(B3144),TEXT(B3144,"0000"),B3144),Addendum!E:E,"X")&gt;0,4%,0)</f>
        <v>0</v>
      </c>
      <c r="J3144" s="31">
        <f>IF(COUNTIFS(Addendum!C:C,A3144,Addendum!D:D,IF(ISNUMBER(B3144),TEXT(B3144,"0000"),B3144),Addendum!F:F,"X")&gt;0,2.5%,0)</f>
        <v>0</v>
      </c>
      <c r="K3144" s="31">
        <f>IF(COUNTIFS(Addendum!C:C,A3144,Addendum!D:D,IF(ISNUMBER(B3144),TEXT(B3144,"0000"),B3144),Addendum!G:G,"X")&gt;0,7%,0)</f>
        <v>0</v>
      </c>
      <c r="L3144" s="31">
        <f>IF(COUNTIFS(Addendum!C:C,A3144,Addendum!D:D,IF(ISNUMBER(B3144),TEXT(B3144,"0000"),B3144),Addendum!I:I,"X")&gt;0,10%,0)</f>
        <v>0</v>
      </c>
      <c r="M3144" s="34">
        <f t="shared" si="98"/>
        <v>0</v>
      </c>
      <c r="N3144" s="17">
        <f t="shared" si="99"/>
        <v>3369.6</v>
      </c>
    </row>
    <row r="3145" spans="1:14" x14ac:dyDescent="0.25">
      <c r="A3145" s="14" t="s">
        <v>2695</v>
      </c>
      <c r="B3145" s="14" t="s">
        <v>34</v>
      </c>
      <c r="C3145" s="15" t="s">
        <v>2696</v>
      </c>
      <c r="D3145" s="14" t="s">
        <v>1749</v>
      </c>
      <c r="E3145" s="14" t="s">
        <v>1746</v>
      </c>
      <c r="F3145" s="17" t="s">
        <v>2994</v>
      </c>
      <c r="G3145" s="14">
        <v>8238</v>
      </c>
      <c r="H3145" s="14">
        <v>6178.5</v>
      </c>
      <c r="I3145" s="31">
        <f>IF(COUNTIFS(Addendum!C:C,A3145,Addendum!D:D,IF(ISNUMBER(B3145),TEXT(B3145,"0000"),B3145),Addendum!E:E,"X")&gt;0,4%,0)</f>
        <v>0</v>
      </c>
      <c r="J3145" s="31">
        <f>IF(COUNTIFS(Addendum!C:C,A3145,Addendum!D:D,IF(ISNUMBER(B3145),TEXT(B3145,"0000"),B3145),Addendum!F:F,"X")&gt;0,2.5%,0)</f>
        <v>0</v>
      </c>
      <c r="K3145" s="31">
        <f>IF(COUNTIFS(Addendum!C:C,A3145,Addendum!D:D,IF(ISNUMBER(B3145),TEXT(B3145,"0000"),B3145),Addendum!G:G,"X")&gt;0,7%,0)</f>
        <v>0</v>
      </c>
      <c r="L3145" s="31">
        <f>IF(COUNTIFS(Addendum!C:C,A3145,Addendum!D:D,IF(ISNUMBER(B3145),TEXT(B3145,"0000"),B3145),Addendum!I:I,"X")&gt;0,10%,0)</f>
        <v>0</v>
      </c>
      <c r="M3145" s="34">
        <f t="shared" si="98"/>
        <v>0</v>
      </c>
      <c r="N3145" s="17">
        <f t="shared" si="99"/>
        <v>6178.5</v>
      </c>
    </row>
    <row r="3146" spans="1:14" x14ac:dyDescent="0.25">
      <c r="A3146" s="14" t="s">
        <v>2695</v>
      </c>
      <c r="B3146" s="14">
        <v>1</v>
      </c>
      <c r="C3146" s="15" t="s">
        <v>2698</v>
      </c>
      <c r="D3146" s="14" t="s">
        <v>1745</v>
      </c>
      <c r="E3146" s="14" t="s">
        <v>1746</v>
      </c>
      <c r="F3146" s="17" t="s">
        <v>2993</v>
      </c>
      <c r="G3146" s="14">
        <v>157248</v>
      </c>
      <c r="H3146" s="14">
        <v>117936</v>
      </c>
      <c r="I3146" s="31">
        <f>IF(COUNTIFS(Addendum!C:C,A3146,Addendum!D:D,IF(ISNUMBER(B3146),TEXT(B3146,"0000"),B3146),Addendum!E:E,"X")&gt;0,4%,0)</f>
        <v>0</v>
      </c>
      <c r="J3146" s="31">
        <f>IF(COUNTIFS(Addendum!C:C,A3146,Addendum!D:D,IF(ISNUMBER(B3146),TEXT(B3146,"0000"),B3146),Addendum!F:F,"X")&gt;0,2.5%,0)</f>
        <v>0</v>
      </c>
      <c r="K3146" s="31">
        <f>IF(COUNTIFS(Addendum!C:C,A3146,Addendum!D:D,IF(ISNUMBER(B3146),TEXT(B3146,"0000"),B3146),Addendum!G:G,"X")&gt;0,7%,0)</f>
        <v>0</v>
      </c>
      <c r="L3146" s="31">
        <f>IF(COUNTIFS(Addendum!C:C,A3146,Addendum!D:D,IF(ISNUMBER(B3146),TEXT(B3146,"0000"),B3146),Addendum!I:I,"X")&gt;0,10%,0)</f>
        <v>0</v>
      </c>
      <c r="M3146" s="34">
        <f t="shared" si="98"/>
        <v>0</v>
      </c>
      <c r="N3146" s="17">
        <f t="shared" si="99"/>
        <v>117936</v>
      </c>
    </row>
    <row r="3147" spans="1:14" x14ac:dyDescent="0.25">
      <c r="A3147" s="14" t="s">
        <v>2695</v>
      </c>
      <c r="B3147" s="14">
        <v>1</v>
      </c>
      <c r="C3147" s="15" t="s">
        <v>2698</v>
      </c>
      <c r="D3147" s="14" t="s">
        <v>1745</v>
      </c>
      <c r="E3147" s="14" t="s">
        <v>1747</v>
      </c>
      <c r="F3147" s="17" t="s">
        <v>2993</v>
      </c>
      <c r="G3147" s="14">
        <v>149760</v>
      </c>
      <c r="H3147" s="14">
        <v>112320</v>
      </c>
      <c r="I3147" s="31">
        <f>IF(COUNTIFS(Addendum!C:C,A3147,Addendum!D:D,IF(ISNUMBER(B3147),TEXT(B3147,"0000"),B3147),Addendum!E:E,"X")&gt;0,4%,0)</f>
        <v>0</v>
      </c>
      <c r="J3147" s="31">
        <f>IF(COUNTIFS(Addendum!C:C,A3147,Addendum!D:D,IF(ISNUMBER(B3147),TEXT(B3147,"0000"),B3147),Addendum!F:F,"X")&gt;0,2.5%,0)</f>
        <v>0</v>
      </c>
      <c r="K3147" s="31">
        <f>IF(COUNTIFS(Addendum!C:C,A3147,Addendum!D:D,IF(ISNUMBER(B3147),TEXT(B3147,"0000"),B3147),Addendum!G:G,"X")&gt;0,7%,0)</f>
        <v>0</v>
      </c>
      <c r="L3147" s="31">
        <f>IF(COUNTIFS(Addendum!C:C,A3147,Addendum!D:D,IF(ISNUMBER(B3147),TEXT(B3147,"0000"),B3147),Addendum!I:I,"X")&gt;0,10%,0)</f>
        <v>0</v>
      </c>
      <c r="M3147" s="34">
        <f t="shared" si="98"/>
        <v>0</v>
      </c>
      <c r="N3147" s="17">
        <f t="shared" si="99"/>
        <v>112320</v>
      </c>
    </row>
    <row r="3148" spans="1:14" x14ac:dyDescent="0.25">
      <c r="A3148" s="14" t="s">
        <v>2695</v>
      </c>
      <c r="B3148" s="14" t="s">
        <v>89</v>
      </c>
      <c r="C3148" s="15" t="s">
        <v>2699</v>
      </c>
      <c r="D3148" s="14" t="s">
        <v>1745</v>
      </c>
      <c r="E3148" s="14" t="s">
        <v>1747</v>
      </c>
      <c r="F3148" s="17" t="s">
        <v>2994</v>
      </c>
      <c r="G3148" s="14">
        <v>59880</v>
      </c>
      <c r="H3148" s="14">
        <v>44910</v>
      </c>
      <c r="I3148" s="31">
        <f>IF(COUNTIFS(Addendum!C:C,A3148,Addendum!D:D,IF(ISNUMBER(B3148),TEXT(B3148,"0000"),B3148),Addendum!E:E,"X")&gt;0,4%,0)</f>
        <v>0</v>
      </c>
      <c r="J3148" s="31">
        <f>IF(COUNTIFS(Addendum!C:C,A3148,Addendum!D:D,IF(ISNUMBER(B3148),TEXT(B3148,"0000"),B3148),Addendum!F:F,"X")&gt;0,2.5%,0)</f>
        <v>0</v>
      </c>
      <c r="K3148" s="31">
        <f>IF(COUNTIFS(Addendum!C:C,A3148,Addendum!D:D,IF(ISNUMBER(B3148),TEXT(B3148,"0000"),B3148),Addendum!G:G,"X")&gt;0,7%,0)</f>
        <v>0</v>
      </c>
      <c r="L3148" s="31">
        <f>IF(COUNTIFS(Addendum!C:C,A3148,Addendum!D:D,IF(ISNUMBER(B3148),TEXT(B3148,"0000"),B3148),Addendum!I:I,"X")&gt;0,10%,0)</f>
        <v>0</v>
      </c>
      <c r="M3148" s="34">
        <f t="shared" si="98"/>
        <v>0</v>
      </c>
      <c r="N3148" s="17">
        <f t="shared" si="99"/>
        <v>44910</v>
      </c>
    </row>
    <row r="3149" spans="1:14" x14ac:dyDescent="0.25">
      <c r="A3149" s="14" t="s">
        <v>2695</v>
      </c>
      <c r="B3149" s="14" t="s">
        <v>89</v>
      </c>
      <c r="C3149" s="15" t="s">
        <v>2699</v>
      </c>
      <c r="D3149" s="14" t="s">
        <v>1745</v>
      </c>
      <c r="E3149" s="14" t="s">
        <v>1746</v>
      </c>
      <c r="F3149" s="17" t="s">
        <v>2994</v>
      </c>
      <c r="G3149" s="14">
        <v>62874</v>
      </c>
      <c r="H3149" s="14">
        <v>47155.56</v>
      </c>
      <c r="I3149" s="31">
        <f>IF(COUNTIFS(Addendum!C:C,A3149,Addendum!D:D,IF(ISNUMBER(B3149),TEXT(B3149,"0000"),B3149),Addendum!E:E,"X")&gt;0,4%,0)</f>
        <v>0</v>
      </c>
      <c r="J3149" s="31">
        <f>IF(COUNTIFS(Addendum!C:C,A3149,Addendum!D:D,IF(ISNUMBER(B3149),TEXT(B3149,"0000"),B3149),Addendum!F:F,"X")&gt;0,2.5%,0)</f>
        <v>0</v>
      </c>
      <c r="K3149" s="31">
        <f>IF(COUNTIFS(Addendum!C:C,A3149,Addendum!D:D,IF(ISNUMBER(B3149),TEXT(B3149,"0000"),B3149),Addendum!G:G,"X")&gt;0,7%,0)</f>
        <v>0</v>
      </c>
      <c r="L3149" s="31">
        <f>IF(COUNTIFS(Addendum!C:C,A3149,Addendum!D:D,IF(ISNUMBER(B3149),TEXT(B3149,"0000"),B3149),Addendum!I:I,"X")&gt;0,10%,0)</f>
        <v>0</v>
      </c>
      <c r="M3149" s="34">
        <f t="shared" si="98"/>
        <v>0</v>
      </c>
      <c r="N3149" s="17">
        <f t="shared" si="99"/>
        <v>47155.56</v>
      </c>
    </row>
    <row r="3150" spans="1:14" x14ac:dyDescent="0.25">
      <c r="A3150" s="14" t="s">
        <v>2695</v>
      </c>
      <c r="B3150" s="14">
        <v>1</v>
      </c>
      <c r="C3150" s="15" t="s">
        <v>2698</v>
      </c>
      <c r="D3150" s="14" t="s">
        <v>1749</v>
      </c>
      <c r="E3150" s="14" t="s">
        <v>1746</v>
      </c>
      <c r="F3150" s="17" t="s">
        <v>2993</v>
      </c>
      <c r="G3150" s="14">
        <v>14976</v>
      </c>
      <c r="H3150" s="14">
        <v>11232</v>
      </c>
      <c r="I3150" s="31">
        <f>IF(COUNTIFS(Addendum!C:C,A3150,Addendum!D:D,IF(ISNUMBER(B3150),TEXT(B3150,"0000"),B3150),Addendum!E:E,"X")&gt;0,4%,0)</f>
        <v>0</v>
      </c>
      <c r="J3150" s="31">
        <f>IF(COUNTIFS(Addendum!C:C,A3150,Addendum!D:D,IF(ISNUMBER(B3150),TEXT(B3150,"0000"),B3150),Addendum!F:F,"X")&gt;0,2.5%,0)</f>
        <v>0</v>
      </c>
      <c r="K3150" s="31">
        <f>IF(COUNTIFS(Addendum!C:C,A3150,Addendum!D:D,IF(ISNUMBER(B3150),TEXT(B3150,"0000"),B3150),Addendum!G:G,"X")&gt;0,7%,0)</f>
        <v>0</v>
      </c>
      <c r="L3150" s="31">
        <f>IF(COUNTIFS(Addendum!C:C,A3150,Addendum!D:D,IF(ISNUMBER(B3150),TEXT(B3150,"0000"),B3150),Addendum!I:I,"X")&gt;0,10%,0)</f>
        <v>0</v>
      </c>
      <c r="M3150" s="34">
        <f t="shared" si="98"/>
        <v>0</v>
      </c>
      <c r="N3150" s="17">
        <f t="shared" si="99"/>
        <v>11232</v>
      </c>
    </row>
    <row r="3151" spans="1:14" x14ac:dyDescent="0.25">
      <c r="A3151" s="14" t="s">
        <v>2695</v>
      </c>
      <c r="B3151" s="14" t="s">
        <v>24</v>
      </c>
      <c r="C3151" s="15" t="s">
        <v>2697</v>
      </c>
      <c r="D3151" s="14" t="s">
        <v>1745</v>
      </c>
      <c r="E3151" s="14" t="s">
        <v>1747</v>
      </c>
      <c r="F3151" s="17" t="s">
        <v>2995</v>
      </c>
      <c r="G3151" s="14">
        <v>37440</v>
      </c>
      <c r="H3151" s="14">
        <v>33696</v>
      </c>
      <c r="I3151" s="31">
        <f>IF(COUNTIFS(Addendum!C:C,A3151,Addendum!D:D,IF(ISNUMBER(B3151),TEXT(B3151,"0000"),B3151),Addendum!E:E,"X")&gt;0,4%,0)</f>
        <v>0</v>
      </c>
      <c r="J3151" s="31">
        <f>IF(COUNTIFS(Addendum!C:C,A3151,Addendum!D:D,IF(ISNUMBER(B3151),TEXT(B3151,"0000"),B3151),Addendum!F:F,"X")&gt;0,2.5%,0)</f>
        <v>0</v>
      </c>
      <c r="K3151" s="31">
        <f>IF(COUNTIFS(Addendum!C:C,A3151,Addendum!D:D,IF(ISNUMBER(B3151),TEXT(B3151,"0000"),B3151),Addendum!G:G,"X")&gt;0,7%,0)</f>
        <v>0</v>
      </c>
      <c r="L3151" s="31">
        <f>IF(COUNTIFS(Addendum!C:C,A3151,Addendum!D:D,IF(ISNUMBER(B3151),TEXT(B3151,"0000"),B3151),Addendum!I:I,"X")&gt;0,10%,0)</f>
        <v>0</v>
      </c>
      <c r="M3151" s="34">
        <f t="shared" si="98"/>
        <v>0</v>
      </c>
      <c r="N3151" s="17">
        <f t="shared" si="99"/>
        <v>33696</v>
      </c>
    </row>
    <row r="3152" spans="1:14" x14ac:dyDescent="0.25">
      <c r="A3152" s="14" t="s">
        <v>2695</v>
      </c>
      <c r="B3152" s="14" t="s">
        <v>89</v>
      </c>
      <c r="C3152" s="15" t="s">
        <v>2699</v>
      </c>
      <c r="D3152" s="14" t="s">
        <v>1749</v>
      </c>
      <c r="E3152" s="14" t="s">
        <v>1746</v>
      </c>
      <c r="F3152" s="17" t="s">
        <v>2994</v>
      </c>
      <c r="G3152" s="14">
        <v>5988</v>
      </c>
      <c r="H3152" s="14">
        <v>4491</v>
      </c>
      <c r="I3152" s="31">
        <f>IF(COUNTIFS(Addendum!C:C,A3152,Addendum!D:D,IF(ISNUMBER(B3152),TEXT(B3152,"0000"),B3152),Addendum!E:E,"X")&gt;0,4%,0)</f>
        <v>0</v>
      </c>
      <c r="J3152" s="31">
        <f>IF(COUNTIFS(Addendum!C:C,A3152,Addendum!D:D,IF(ISNUMBER(B3152),TEXT(B3152,"0000"),B3152),Addendum!F:F,"X")&gt;0,2.5%,0)</f>
        <v>0</v>
      </c>
      <c r="K3152" s="31">
        <f>IF(COUNTIFS(Addendum!C:C,A3152,Addendum!D:D,IF(ISNUMBER(B3152),TEXT(B3152,"0000"),B3152),Addendum!G:G,"X")&gt;0,7%,0)</f>
        <v>0</v>
      </c>
      <c r="L3152" s="31">
        <f>IF(COUNTIFS(Addendum!C:C,A3152,Addendum!D:D,IF(ISNUMBER(B3152),TEXT(B3152,"0000"),B3152),Addendum!I:I,"X")&gt;0,10%,0)</f>
        <v>0</v>
      </c>
      <c r="M3152" s="34">
        <f t="shared" si="98"/>
        <v>0</v>
      </c>
      <c r="N3152" s="17">
        <f t="shared" si="99"/>
        <v>4491</v>
      </c>
    </row>
    <row r="3153" spans="1:14" x14ac:dyDescent="0.25">
      <c r="A3153" s="14" t="s">
        <v>2700</v>
      </c>
      <c r="B3153" s="14" t="s">
        <v>32</v>
      </c>
      <c r="C3153" s="15" t="s">
        <v>2701</v>
      </c>
      <c r="D3153" s="14" t="s">
        <v>1745</v>
      </c>
      <c r="E3153" s="14" t="s">
        <v>1746</v>
      </c>
      <c r="F3153" s="17" t="s">
        <v>2994</v>
      </c>
      <c r="G3153" s="14">
        <v>4725</v>
      </c>
      <c r="H3153" s="14">
        <v>3780</v>
      </c>
      <c r="I3153" s="31">
        <f>IF(COUNTIFS(Addendum!C:C,A3153,Addendum!D:D,IF(ISNUMBER(B3153),TEXT(B3153,"0000"),B3153),Addendum!E:E,"X")&gt;0,4%,0)</f>
        <v>0</v>
      </c>
      <c r="J3153" s="31">
        <f>IF(COUNTIFS(Addendum!C:C,A3153,Addendum!D:D,IF(ISNUMBER(B3153),TEXT(B3153,"0000"),B3153),Addendum!F:F,"X")&gt;0,2.5%,0)</f>
        <v>0</v>
      </c>
      <c r="K3153" s="31">
        <f>IF(COUNTIFS(Addendum!C:C,A3153,Addendum!D:D,IF(ISNUMBER(B3153),TEXT(B3153,"0000"),B3153),Addendum!G:G,"X")&gt;0,7%,0)</f>
        <v>0</v>
      </c>
      <c r="L3153" s="31">
        <f>IF(COUNTIFS(Addendum!C:C,A3153,Addendum!D:D,IF(ISNUMBER(B3153),TEXT(B3153,"0000"),B3153),Addendum!I:I,"X")&gt;0,10%,0)</f>
        <v>0</v>
      </c>
      <c r="M3153" s="34">
        <f t="shared" si="98"/>
        <v>0</v>
      </c>
      <c r="N3153" s="17">
        <f t="shared" si="99"/>
        <v>3780</v>
      </c>
    </row>
    <row r="3154" spans="1:14" x14ac:dyDescent="0.25">
      <c r="A3154" s="14" t="s">
        <v>2700</v>
      </c>
      <c r="B3154" s="14" t="s">
        <v>32</v>
      </c>
      <c r="C3154" s="15" t="s">
        <v>2701</v>
      </c>
      <c r="D3154" s="14" t="s">
        <v>1745</v>
      </c>
      <c r="E3154" s="14" t="s">
        <v>1747</v>
      </c>
      <c r="F3154" s="17" t="s">
        <v>2994</v>
      </c>
      <c r="G3154" s="14">
        <v>4500</v>
      </c>
      <c r="H3154" s="14">
        <v>3600</v>
      </c>
      <c r="I3154" s="31">
        <f>IF(COUNTIFS(Addendum!C:C,A3154,Addendum!D:D,IF(ISNUMBER(B3154),TEXT(B3154,"0000"),B3154),Addendum!E:E,"X")&gt;0,4%,0)</f>
        <v>0</v>
      </c>
      <c r="J3154" s="31">
        <f>IF(COUNTIFS(Addendum!C:C,A3154,Addendum!D:D,IF(ISNUMBER(B3154),TEXT(B3154,"0000"),B3154),Addendum!F:F,"X")&gt;0,2.5%,0)</f>
        <v>0</v>
      </c>
      <c r="K3154" s="31">
        <f>IF(COUNTIFS(Addendum!C:C,A3154,Addendum!D:D,IF(ISNUMBER(B3154),TEXT(B3154,"0000"),B3154),Addendum!G:G,"X")&gt;0,7%,0)</f>
        <v>0</v>
      </c>
      <c r="L3154" s="31">
        <f>IF(COUNTIFS(Addendum!C:C,A3154,Addendum!D:D,IF(ISNUMBER(B3154),TEXT(B3154,"0000"),B3154),Addendum!I:I,"X")&gt;0,10%,0)</f>
        <v>0</v>
      </c>
      <c r="M3154" s="34">
        <f t="shared" si="98"/>
        <v>0</v>
      </c>
      <c r="N3154" s="17">
        <f t="shared" si="99"/>
        <v>3600</v>
      </c>
    </row>
    <row r="3155" spans="1:14" x14ac:dyDescent="0.25">
      <c r="A3155" s="14" t="s">
        <v>2700</v>
      </c>
      <c r="B3155" s="14">
        <v>1</v>
      </c>
      <c r="C3155" s="15" t="s">
        <v>2702</v>
      </c>
      <c r="D3155" s="14" t="s">
        <v>1745</v>
      </c>
      <c r="E3155" s="14" t="s">
        <v>1747</v>
      </c>
      <c r="F3155" s="17" t="s">
        <v>2993</v>
      </c>
      <c r="G3155" s="14">
        <v>23940</v>
      </c>
      <c r="H3155" s="14">
        <v>19152</v>
      </c>
      <c r="I3155" s="31">
        <f>IF(COUNTIFS(Addendum!C:C,A3155,Addendum!D:D,IF(ISNUMBER(B3155),TEXT(B3155,"0000"),B3155),Addendum!E:E,"X")&gt;0,4%,0)</f>
        <v>0</v>
      </c>
      <c r="J3155" s="31">
        <f>IF(COUNTIFS(Addendum!C:C,A3155,Addendum!D:D,IF(ISNUMBER(B3155),TEXT(B3155,"0000"),B3155),Addendum!F:F,"X")&gt;0,2.5%,0)</f>
        <v>0</v>
      </c>
      <c r="K3155" s="31">
        <f>IF(COUNTIFS(Addendum!C:C,A3155,Addendum!D:D,IF(ISNUMBER(B3155),TEXT(B3155,"0000"),B3155),Addendum!G:G,"X")&gt;0,7%,0)</f>
        <v>0</v>
      </c>
      <c r="L3155" s="31">
        <f>IF(COUNTIFS(Addendum!C:C,A3155,Addendum!D:D,IF(ISNUMBER(B3155),TEXT(B3155,"0000"),B3155),Addendum!I:I,"X")&gt;0,10%,0)</f>
        <v>0</v>
      </c>
      <c r="M3155" s="34">
        <f t="shared" si="98"/>
        <v>0</v>
      </c>
      <c r="N3155" s="17">
        <f t="shared" si="99"/>
        <v>19152</v>
      </c>
    </row>
    <row r="3156" spans="1:14" x14ac:dyDescent="0.25">
      <c r="A3156" s="14" t="s">
        <v>2700</v>
      </c>
      <c r="B3156" s="14">
        <v>1</v>
      </c>
      <c r="C3156" s="15" t="s">
        <v>2702</v>
      </c>
      <c r="D3156" s="14" t="s">
        <v>1745</v>
      </c>
      <c r="E3156" s="14" t="s">
        <v>1746</v>
      </c>
      <c r="F3156" s="17" t="s">
        <v>2993</v>
      </c>
      <c r="G3156" s="14">
        <v>25137</v>
      </c>
      <c r="H3156" s="14">
        <v>20109.599999999999</v>
      </c>
      <c r="I3156" s="31">
        <f>IF(COUNTIFS(Addendum!C:C,A3156,Addendum!D:D,IF(ISNUMBER(B3156),TEXT(B3156,"0000"),B3156),Addendum!E:E,"X")&gt;0,4%,0)</f>
        <v>0</v>
      </c>
      <c r="J3156" s="31">
        <f>IF(COUNTIFS(Addendum!C:C,A3156,Addendum!D:D,IF(ISNUMBER(B3156),TEXT(B3156,"0000"),B3156),Addendum!F:F,"X")&gt;0,2.5%,0)</f>
        <v>0</v>
      </c>
      <c r="K3156" s="31">
        <f>IF(COUNTIFS(Addendum!C:C,A3156,Addendum!D:D,IF(ISNUMBER(B3156),TEXT(B3156,"0000"),B3156),Addendum!G:G,"X")&gt;0,7%,0)</f>
        <v>0</v>
      </c>
      <c r="L3156" s="31">
        <f>IF(COUNTIFS(Addendum!C:C,A3156,Addendum!D:D,IF(ISNUMBER(B3156),TEXT(B3156,"0000"),B3156),Addendum!I:I,"X")&gt;0,10%,0)</f>
        <v>0</v>
      </c>
      <c r="M3156" s="34">
        <f t="shared" si="98"/>
        <v>0</v>
      </c>
      <c r="N3156" s="17">
        <f t="shared" si="99"/>
        <v>20109.599999999999</v>
      </c>
    </row>
    <row r="3157" spans="1:14" x14ac:dyDescent="0.25">
      <c r="A3157" s="14" t="s">
        <v>2700</v>
      </c>
      <c r="B3157" s="14" t="s">
        <v>50</v>
      </c>
      <c r="C3157" s="15" t="s">
        <v>2703</v>
      </c>
      <c r="D3157" s="14" t="s">
        <v>1749</v>
      </c>
      <c r="E3157" s="14" t="s">
        <v>1746</v>
      </c>
      <c r="F3157" s="17" t="s">
        <v>2994</v>
      </c>
      <c r="G3157" s="14">
        <v>252</v>
      </c>
      <c r="H3157" s="14">
        <v>201.6</v>
      </c>
      <c r="I3157" s="31">
        <f>IF(COUNTIFS(Addendum!C:C,A3157,Addendum!D:D,IF(ISNUMBER(B3157),TEXT(B3157,"0000"),B3157),Addendum!E:E,"X")&gt;0,4%,0)</f>
        <v>0</v>
      </c>
      <c r="J3157" s="31">
        <f>IF(COUNTIFS(Addendum!C:C,A3157,Addendum!D:D,IF(ISNUMBER(B3157),TEXT(B3157,"0000"),B3157),Addendum!F:F,"X")&gt;0,2.5%,0)</f>
        <v>0</v>
      </c>
      <c r="K3157" s="31">
        <f>IF(COUNTIFS(Addendum!C:C,A3157,Addendum!D:D,IF(ISNUMBER(B3157),TEXT(B3157,"0000"),B3157),Addendum!G:G,"X")&gt;0,7%,0)</f>
        <v>0</v>
      </c>
      <c r="L3157" s="31">
        <f>IF(COUNTIFS(Addendum!C:C,A3157,Addendum!D:D,IF(ISNUMBER(B3157),TEXT(B3157,"0000"),B3157),Addendum!I:I,"X")&gt;0,10%,0)</f>
        <v>0</v>
      </c>
      <c r="M3157" s="34">
        <f t="shared" si="98"/>
        <v>0</v>
      </c>
      <c r="N3157" s="17">
        <f t="shared" si="99"/>
        <v>201.6</v>
      </c>
    </row>
    <row r="3158" spans="1:14" x14ac:dyDescent="0.25">
      <c r="A3158" s="14" t="s">
        <v>2700</v>
      </c>
      <c r="B3158" s="14" t="s">
        <v>32</v>
      </c>
      <c r="C3158" s="15" t="s">
        <v>2701</v>
      </c>
      <c r="D3158" s="14" t="s">
        <v>1749</v>
      </c>
      <c r="E3158" s="14" t="s">
        <v>1746</v>
      </c>
      <c r="F3158" s="17" t="s">
        <v>2994</v>
      </c>
      <c r="G3158" s="14">
        <v>450</v>
      </c>
      <c r="H3158" s="14">
        <v>360</v>
      </c>
      <c r="I3158" s="31">
        <f>IF(COUNTIFS(Addendum!C:C,A3158,Addendum!D:D,IF(ISNUMBER(B3158),TEXT(B3158,"0000"),B3158),Addendum!E:E,"X")&gt;0,4%,0)</f>
        <v>0</v>
      </c>
      <c r="J3158" s="31">
        <f>IF(COUNTIFS(Addendum!C:C,A3158,Addendum!D:D,IF(ISNUMBER(B3158),TEXT(B3158,"0000"),B3158),Addendum!F:F,"X")&gt;0,2.5%,0)</f>
        <v>0</v>
      </c>
      <c r="K3158" s="31">
        <f>IF(COUNTIFS(Addendum!C:C,A3158,Addendum!D:D,IF(ISNUMBER(B3158),TEXT(B3158,"0000"),B3158),Addendum!G:G,"X")&gt;0,7%,0)</f>
        <v>0</v>
      </c>
      <c r="L3158" s="31">
        <f>IF(COUNTIFS(Addendum!C:C,A3158,Addendum!D:D,IF(ISNUMBER(B3158),TEXT(B3158,"0000"),B3158),Addendum!I:I,"X")&gt;0,10%,0)</f>
        <v>0</v>
      </c>
      <c r="M3158" s="34">
        <f t="shared" si="98"/>
        <v>0</v>
      </c>
      <c r="N3158" s="17">
        <f t="shared" si="99"/>
        <v>360</v>
      </c>
    </row>
    <row r="3159" spans="1:14" x14ac:dyDescent="0.25">
      <c r="A3159" s="14" t="s">
        <v>2700</v>
      </c>
      <c r="B3159" s="14" t="s">
        <v>50</v>
      </c>
      <c r="C3159" s="15" t="s">
        <v>2703</v>
      </c>
      <c r="D3159" s="14" t="s">
        <v>1745</v>
      </c>
      <c r="E3159" s="14" t="s">
        <v>1747</v>
      </c>
      <c r="F3159" s="17" t="s">
        <v>2994</v>
      </c>
      <c r="G3159" s="14">
        <v>2520</v>
      </c>
      <c r="H3159" s="14">
        <v>2016</v>
      </c>
      <c r="I3159" s="31">
        <f>IF(COUNTIFS(Addendum!C:C,A3159,Addendum!D:D,IF(ISNUMBER(B3159),TEXT(B3159,"0000"),B3159),Addendum!E:E,"X")&gt;0,4%,0)</f>
        <v>0</v>
      </c>
      <c r="J3159" s="31">
        <f>IF(COUNTIFS(Addendum!C:C,A3159,Addendum!D:D,IF(ISNUMBER(B3159),TEXT(B3159,"0000"),B3159),Addendum!F:F,"X")&gt;0,2.5%,0)</f>
        <v>0</v>
      </c>
      <c r="K3159" s="31">
        <f>IF(COUNTIFS(Addendum!C:C,A3159,Addendum!D:D,IF(ISNUMBER(B3159),TEXT(B3159,"0000"),B3159),Addendum!G:G,"X")&gt;0,7%,0)</f>
        <v>0</v>
      </c>
      <c r="L3159" s="31">
        <f>IF(COUNTIFS(Addendum!C:C,A3159,Addendum!D:D,IF(ISNUMBER(B3159),TEXT(B3159,"0000"),B3159),Addendum!I:I,"X")&gt;0,10%,0)</f>
        <v>0</v>
      </c>
      <c r="M3159" s="34">
        <f t="shared" si="98"/>
        <v>0</v>
      </c>
      <c r="N3159" s="17">
        <f t="shared" si="99"/>
        <v>2016</v>
      </c>
    </row>
    <row r="3160" spans="1:14" x14ac:dyDescent="0.25">
      <c r="A3160" s="14" t="s">
        <v>2700</v>
      </c>
      <c r="B3160" s="14" t="s">
        <v>55</v>
      </c>
      <c r="C3160" s="15" t="s">
        <v>2704</v>
      </c>
      <c r="D3160" s="14" t="s">
        <v>1745</v>
      </c>
      <c r="E3160" s="14" t="s">
        <v>1747</v>
      </c>
      <c r="F3160" s="17" t="s">
        <v>2995</v>
      </c>
      <c r="G3160" s="14">
        <v>9600</v>
      </c>
      <c r="H3160" s="14">
        <v>8640</v>
      </c>
      <c r="I3160" s="31">
        <f>IF(COUNTIFS(Addendum!C:C,A3160,Addendum!D:D,IF(ISNUMBER(B3160),TEXT(B3160,"0000"),B3160),Addendum!E:E,"X")&gt;0,4%,0)</f>
        <v>0</v>
      </c>
      <c r="J3160" s="31">
        <f>IF(COUNTIFS(Addendum!C:C,A3160,Addendum!D:D,IF(ISNUMBER(B3160),TEXT(B3160,"0000"),B3160),Addendum!F:F,"X")&gt;0,2.5%,0)</f>
        <v>0</v>
      </c>
      <c r="K3160" s="31">
        <f>IF(COUNTIFS(Addendum!C:C,A3160,Addendum!D:D,IF(ISNUMBER(B3160),TEXT(B3160,"0000"),B3160),Addendum!G:G,"X")&gt;0,7%,0)</f>
        <v>0</v>
      </c>
      <c r="L3160" s="31">
        <f>IF(COUNTIFS(Addendum!C:C,A3160,Addendum!D:D,IF(ISNUMBER(B3160),TEXT(B3160,"0000"),B3160),Addendum!I:I,"X")&gt;0,10%,0)</f>
        <v>0</v>
      </c>
      <c r="M3160" s="34">
        <f t="shared" si="98"/>
        <v>0</v>
      </c>
      <c r="N3160" s="17">
        <f t="shared" si="99"/>
        <v>8640</v>
      </c>
    </row>
    <row r="3161" spans="1:14" x14ac:dyDescent="0.25">
      <c r="A3161" s="14" t="s">
        <v>2700</v>
      </c>
      <c r="B3161" s="14" t="s">
        <v>55</v>
      </c>
      <c r="C3161" s="15" t="s">
        <v>2704</v>
      </c>
      <c r="D3161" s="14" t="s">
        <v>1749</v>
      </c>
      <c r="E3161" s="14" t="s">
        <v>1746</v>
      </c>
      <c r="F3161" s="17" t="s">
        <v>2995</v>
      </c>
      <c r="G3161" s="14">
        <v>960</v>
      </c>
      <c r="H3161" s="14">
        <v>864</v>
      </c>
      <c r="I3161" s="31">
        <f>IF(COUNTIFS(Addendum!C:C,A3161,Addendum!D:D,IF(ISNUMBER(B3161),TEXT(B3161,"0000"),B3161),Addendum!E:E,"X")&gt;0,4%,0)</f>
        <v>0</v>
      </c>
      <c r="J3161" s="31">
        <f>IF(COUNTIFS(Addendum!C:C,A3161,Addendum!D:D,IF(ISNUMBER(B3161),TEXT(B3161,"0000"),B3161),Addendum!F:F,"X")&gt;0,2.5%,0)</f>
        <v>0</v>
      </c>
      <c r="K3161" s="31">
        <f>IF(COUNTIFS(Addendum!C:C,A3161,Addendum!D:D,IF(ISNUMBER(B3161),TEXT(B3161,"0000"),B3161),Addendum!G:G,"X")&gt;0,7%,0)</f>
        <v>0</v>
      </c>
      <c r="L3161" s="31">
        <f>IF(COUNTIFS(Addendum!C:C,A3161,Addendum!D:D,IF(ISNUMBER(B3161),TEXT(B3161,"0000"),B3161),Addendum!I:I,"X")&gt;0,10%,0)</f>
        <v>0</v>
      </c>
      <c r="M3161" s="34">
        <f t="shared" si="98"/>
        <v>0</v>
      </c>
      <c r="N3161" s="17">
        <f t="shared" si="99"/>
        <v>864</v>
      </c>
    </row>
    <row r="3162" spans="1:14" x14ac:dyDescent="0.25">
      <c r="A3162" s="14" t="s">
        <v>2700</v>
      </c>
      <c r="B3162" s="14" t="s">
        <v>50</v>
      </c>
      <c r="C3162" s="15" t="s">
        <v>2703</v>
      </c>
      <c r="D3162" s="14" t="s">
        <v>1745</v>
      </c>
      <c r="E3162" s="14" t="s">
        <v>1746</v>
      </c>
      <c r="F3162" s="17" t="s">
        <v>2994</v>
      </c>
      <c r="G3162" s="14">
        <v>2646</v>
      </c>
      <c r="H3162" s="14">
        <v>2116.8000000000002</v>
      </c>
      <c r="I3162" s="31">
        <f>IF(COUNTIFS(Addendum!C:C,A3162,Addendum!D:D,IF(ISNUMBER(B3162),TEXT(B3162,"0000"),B3162),Addendum!E:E,"X")&gt;0,4%,0)</f>
        <v>0</v>
      </c>
      <c r="J3162" s="31">
        <f>IF(COUNTIFS(Addendum!C:C,A3162,Addendum!D:D,IF(ISNUMBER(B3162),TEXT(B3162,"0000"),B3162),Addendum!F:F,"X")&gt;0,2.5%,0)</f>
        <v>0</v>
      </c>
      <c r="K3162" s="31">
        <f>IF(COUNTIFS(Addendum!C:C,A3162,Addendum!D:D,IF(ISNUMBER(B3162),TEXT(B3162,"0000"),B3162),Addendum!G:G,"X")&gt;0,7%,0)</f>
        <v>0</v>
      </c>
      <c r="L3162" s="31">
        <f>IF(COUNTIFS(Addendum!C:C,A3162,Addendum!D:D,IF(ISNUMBER(B3162),TEXT(B3162,"0000"),B3162),Addendum!I:I,"X")&gt;0,10%,0)</f>
        <v>0</v>
      </c>
      <c r="M3162" s="34">
        <f t="shared" si="98"/>
        <v>0</v>
      </c>
      <c r="N3162" s="17">
        <f t="shared" si="99"/>
        <v>2116.8000000000002</v>
      </c>
    </row>
    <row r="3163" spans="1:14" x14ac:dyDescent="0.25">
      <c r="A3163" s="14" t="s">
        <v>2700</v>
      </c>
      <c r="B3163" s="14" t="s">
        <v>55</v>
      </c>
      <c r="C3163" s="15" t="s">
        <v>2704</v>
      </c>
      <c r="D3163" s="14" t="s">
        <v>1745</v>
      </c>
      <c r="E3163" s="14" t="s">
        <v>1746</v>
      </c>
      <c r="F3163" s="17" t="s">
        <v>2995</v>
      </c>
      <c r="G3163" s="14">
        <v>10080</v>
      </c>
      <c r="H3163" s="14">
        <v>9072</v>
      </c>
      <c r="I3163" s="31">
        <f>IF(COUNTIFS(Addendum!C:C,A3163,Addendum!D:D,IF(ISNUMBER(B3163),TEXT(B3163,"0000"),B3163),Addendum!E:E,"X")&gt;0,4%,0)</f>
        <v>0</v>
      </c>
      <c r="J3163" s="31">
        <f>IF(COUNTIFS(Addendum!C:C,A3163,Addendum!D:D,IF(ISNUMBER(B3163),TEXT(B3163,"0000"),B3163),Addendum!F:F,"X")&gt;0,2.5%,0)</f>
        <v>0</v>
      </c>
      <c r="K3163" s="31">
        <f>IF(COUNTIFS(Addendum!C:C,A3163,Addendum!D:D,IF(ISNUMBER(B3163),TEXT(B3163,"0000"),B3163),Addendum!G:G,"X")&gt;0,7%,0)</f>
        <v>0</v>
      </c>
      <c r="L3163" s="31">
        <f>IF(COUNTIFS(Addendum!C:C,A3163,Addendum!D:D,IF(ISNUMBER(B3163),TEXT(B3163,"0000"),B3163),Addendum!I:I,"X")&gt;0,10%,0)</f>
        <v>0</v>
      </c>
      <c r="M3163" s="34">
        <f t="shared" si="98"/>
        <v>0</v>
      </c>
      <c r="N3163" s="17">
        <f t="shared" si="99"/>
        <v>9072</v>
      </c>
    </row>
    <row r="3164" spans="1:14" x14ac:dyDescent="0.25">
      <c r="A3164" s="14" t="s">
        <v>2700</v>
      </c>
      <c r="B3164" s="14">
        <v>1</v>
      </c>
      <c r="C3164" s="15" t="s">
        <v>2702</v>
      </c>
      <c r="D3164" s="14" t="s">
        <v>1749</v>
      </c>
      <c r="E3164" s="14" t="s">
        <v>1746</v>
      </c>
      <c r="F3164" s="17" t="s">
        <v>2993</v>
      </c>
      <c r="G3164" s="14">
        <v>2394</v>
      </c>
      <c r="H3164" s="14">
        <v>1915.2</v>
      </c>
      <c r="I3164" s="31">
        <f>IF(COUNTIFS(Addendum!C:C,A3164,Addendum!D:D,IF(ISNUMBER(B3164),TEXT(B3164,"0000"),B3164),Addendum!E:E,"X")&gt;0,4%,0)</f>
        <v>0</v>
      </c>
      <c r="J3164" s="31">
        <f>IF(COUNTIFS(Addendum!C:C,A3164,Addendum!D:D,IF(ISNUMBER(B3164),TEXT(B3164,"0000"),B3164),Addendum!F:F,"X")&gt;0,2.5%,0)</f>
        <v>0</v>
      </c>
      <c r="K3164" s="31">
        <f>IF(COUNTIFS(Addendum!C:C,A3164,Addendum!D:D,IF(ISNUMBER(B3164),TEXT(B3164,"0000"),B3164),Addendum!G:G,"X")&gt;0,7%,0)</f>
        <v>0</v>
      </c>
      <c r="L3164" s="31">
        <f>IF(COUNTIFS(Addendum!C:C,A3164,Addendum!D:D,IF(ISNUMBER(B3164),TEXT(B3164,"0000"),B3164),Addendum!I:I,"X")&gt;0,10%,0)</f>
        <v>0</v>
      </c>
      <c r="M3164" s="34">
        <f t="shared" si="98"/>
        <v>0</v>
      </c>
      <c r="N3164" s="17">
        <f t="shared" si="99"/>
        <v>1915.2</v>
      </c>
    </row>
    <row r="3165" spans="1:14" x14ac:dyDescent="0.25">
      <c r="A3165" s="14" t="s">
        <v>2705</v>
      </c>
      <c r="B3165" s="14" t="s">
        <v>34</v>
      </c>
      <c r="C3165" s="15" t="s">
        <v>2706</v>
      </c>
      <c r="D3165" s="14" t="s">
        <v>1745</v>
      </c>
      <c r="E3165" s="14" t="s">
        <v>1746</v>
      </c>
      <c r="F3165" s="17" t="s">
        <v>2994</v>
      </c>
      <c r="G3165" s="14">
        <v>1323</v>
      </c>
      <c r="H3165" s="14">
        <v>1058.4000000000001</v>
      </c>
      <c r="I3165" s="31">
        <f>IF(COUNTIFS(Addendum!C:C,A3165,Addendum!D:D,IF(ISNUMBER(B3165),TEXT(B3165,"0000"),B3165),Addendum!E:E,"X")&gt;0,4%,0)</f>
        <v>0</v>
      </c>
      <c r="J3165" s="31">
        <f>IF(COUNTIFS(Addendum!C:C,A3165,Addendum!D:D,IF(ISNUMBER(B3165),TEXT(B3165,"0000"),B3165),Addendum!F:F,"X")&gt;0,2.5%,0)</f>
        <v>0</v>
      </c>
      <c r="K3165" s="31">
        <f>IF(COUNTIFS(Addendum!C:C,A3165,Addendum!D:D,IF(ISNUMBER(B3165),TEXT(B3165,"0000"),B3165),Addendum!G:G,"X")&gt;0,7%,0)</f>
        <v>0</v>
      </c>
      <c r="L3165" s="31">
        <f>IF(COUNTIFS(Addendum!C:C,A3165,Addendum!D:D,IF(ISNUMBER(B3165),TEXT(B3165,"0000"),B3165),Addendum!I:I,"X")&gt;0,10%,0)</f>
        <v>0</v>
      </c>
      <c r="M3165" s="34">
        <f t="shared" si="98"/>
        <v>0</v>
      </c>
      <c r="N3165" s="17">
        <f t="shared" si="99"/>
        <v>1058.4000000000001</v>
      </c>
    </row>
    <row r="3166" spans="1:14" x14ac:dyDescent="0.25">
      <c r="A3166" s="14" t="s">
        <v>2705</v>
      </c>
      <c r="B3166" s="14">
        <v>1</v>
      </c>
      <c r="C3166" s="15" t="s">
        <v>2707</v>
      </c>
      <c r="D3166" s="14" t="s">
        <v>1745</v>
      </c>
      <c r="E3166" s="14" t="s">
        <v>1746</v>
      </c>
      <c r="F3166" s="17" t="s">
        <v>2993</v>
      </c>
      <c r="G3166" s="14">
        <v>10458</v>
      </c>
      <c r="H3166" s="14">
        <v>8366.4</v>
      </c>
      <c r="I3166" s="31">
        <f>IF(COUNTIFS(Addendum!C:C,A3166,Addendum!D:D,IF(ISNUMBER(B3166),TEXT(B3166,"0000"),B3166),Addendum!E:E,"X")&gt;0,4%,0)</f>
        <v>0</v>
      </c>
      <c r="J3166" s="31">
        <f>IF(COUNTIFS(Addendum!C:C,A3166,Addendum!D:D,IF(ISNUMBER(B3166),TEXT(B3166,"0000"),B3166),Addendum!F:F,"X")&gt;0,2.5%,0)</f>
        <v>0</v>
      </c>
      <c r="K3166" s="31">
        <f>IF(COUNTIFS(Addendum!C:C,A3166,Addendum!D:D,IF(ISNUMBER(B3166),TEXT(B3166,"0000"),B3166),Addendum!G:G,"X")&gt;0,7%,0)</f>
        <v>0</v>
      </c>
      <c r="L3166" s="31">
        <f>IF(COUNTIFS(Addendum!C:C,A3166,Addendum!D:D,IF(ISNUMBER(B3166),TEXT(B3166,"0000"),B3166),Addendum!I:I,"X")&gt;0,10%,0)</f>
        <v>0</v>
      </c>
      <c r="M3166" s="34">
        <f t="shared" si="98"/>
        <v>0</v>
      </c>
      <c r="N3166" s="17">
        <f t="shared" si="99"/>
        <v>8366.4</v>
      </c>
    </row>
    <row r="3167" spans="1:14" x14ac:dyDescent="0.25">
      <c r="A3167" s="14" t="s">
        <v>2705</v>
      </c>
      <c r="B3167" s="14" t="s">
        <v>34</v>
      </c>
      <c r="C3167" s="15" t="s">
        <v>2706</v>
      </c>
      <c r="D3167" s="14" t="s">
        <v>1745</v>
      </c>
      <c r="E3167" s="14" t="s">
        <v>1747</v>
      </c>
      <c r="F3167" s="17" t="s">
        <v>2994</v>
      </c>
      <c r="G3167" s="14">
        <v>1260</v>
      </c>
      <c r="H3167" s="14">
        <v>1008</v>
      </c>
      <c r="I3167" s="31">
        <f>IF(COUNTIFS(Addendum!C:C,A3167,Addendum!D:D,IF(ISNUMBER(B3167),TEXT(B3167,"0000"),B3167),Addendum!E:E,"X")&gt;0,4%,0)</f>
        <v>0</v>
      </c>
      <c r="J3167" s="31">
        <f>IF(COUNTIFS(Addendum!C:C,A3167,Addendum!D:D,IF(ISNUMBER(B3167),TEXT(B3167,"0000"),B3167),Addendum!F:F,"X")&gt;0,2.5%,0)</f>
        <v>0</v>
      </c>
      <c r="K3167" s="31">
        <f>IF(COUNTIFS(Addendum!C:C,A3167,Addendum!D:D,IF(ISNUMBER(B3167),TEXT(B3167,"0000"),B3167),Addendum!G:G,"X")&gt;0,7%,0)</f>
        <v>0</v>
      </c>
      <c r="L3167" s="31">
        <f>IF(COUNTIFS(Addendum!C:C,A3167,Addendum!D:D,IF(ISNUMBER(B3167),TEXT(B3167,"0000"),B3167),Addendum!I:I,"X")&gt;0,10%,0)</f>
        <v>0</v>
      </c>
      <c r="M3167" s="34">
        <f t="shared" si="98"/>
        <v>0</v>
      </c>
      <c r="N3167" s="17">
        <f t="shared" si="99"/>
        <v>1008</v>
      </c>
    </row>
    <row r="3168" spans="1:14" x14ac:dyDescent="0.25">
      <c r="A3168" s="14" t="s">
        <v>2705</v>
      </c>
      <c r="B3168" s="14" t="s">
        <v>24</v>
      </c>
      <c r="C3168" s="15" t="s">
        <v>2708</v>
      </c>
      <c r="D3168" s="14" t="s">
        <v>1745</v>
      </c>
      <c r="E3168" s="14" t="s">
        <v>1746</v>
      </c>
      <c r="F3168" s="17" t="s">
        <v>2995</v>
      </c>
      <c r="G3168" s="14">
        <v>4221</v>
      </c>
      <c r="H3168" s="14">
        <v>3798.96</v>
      </c>
      <c r="I3168" s="31">
        <f>IF(COUNTIFS(Addendum!C:C,A3168,Addendum!D:D,IF(ISNUMBER(B3168),TEXT(B3168,"0000"),B3168),Addendum!E:E,"X")&gt;0,4%,0)</f>
        <v>0</v>
      </c>
      <c r="J3168" s="31">
        <f>IF(COUNTIFS(Addendum!C:C,A3168,Addendum!D:D,IF(ISNUMBER(B3168),TEXT(B3168,"0000"),B3168),Addendum!F:F,"X")&gt;0,2.5%,0)</f>
        <v>0</v>
      </c>
      <c r="K3168" s="31">
        <f>IF(COUNTIFS(Addendum!C:C,A3168,Addendum!D:D,IF(ISNUMBER(B3168),TEXT(B3168,"0000"),B3168),Addendum!G:G,"X")&gt;0,7%,0)</f>
        <v>0</v>
      </c>
      <c r="L3168" s="31">
        <f>IF(COUNTIFS(Addendum!C:C,A3168,Addendum!D:D,IF(ISNUMBER(B3168),TEXT(B3168,"0000"),B3168),Addendum!I:I,"X")&gt;0,10%,0)</f>
        <v>0</v>
      </c>
      <c r="M3168" s="34">
        <f t="shared" si="98"/>
        <v>0</v>
      </c>
      <c r="N3168" s="17">
        <f t="shared" si="99"/>
        <v>3798.96</v>
      </c>
    </row>
    <row r="3169" spans="1:14" x14ac:dyDescent="0.25">
      <c r="A3169" s="14" t="s">
        <v>2705</v>
      </c>
      <c r="B3169" s="14">
        <v>1</v>
      </c>
      <c r="C3169" s="15" t="s">
        <v>2707</v>
      </c>
      <c r="D3169" s="14" t="s">
        <v>1745</v>
      </c>
      <c r="E3169" s="14" t="s">
        <v>1747</v>
      </c>
      <c r="F3169" s="17" t="s">
        <v>2993</v>
      </c>
      <c r="G3169" s="14">
        <v>9960</v>
      </c>
      <c r="H3169" s="14">
        <v>7968</v>
      </c>
      <c r="I3169" s="31">
        <f>IF(COUNTIFS(Addendum!C:C,A3169,Addendum!D:D,IF(ISNUMBER(B3169),TEXT(B3169,"0000"),B3169),Addendum!E:E,"X")&gt;0,4%,0)</f>
        <v>0</v>
      </c>
      <c r="J3169" s="31">
        <f>IF(COUNTIFS(Addendum!C:C,A3169,Addendum!D:D,IF(ISNUMBER(B3169),TEXT(B3169,"0000"),B3169),Addendum!F:F,"X")&gt;0,2.5%,0)</f>
        <v>0</v>
      </c>
      <c r="K3169" s="31">
        <f>IF(COUNTIFS(Addendum!C:C,A3169,Addendum!D:D,IF(ISNUMBER(B3169),TEXT(B3169,"0000"),B3169),Addendum!G:G,"X")&gt;0,7%,0)</f>
        <v>0</v>
      </c>
      <c r="L3169" s="31">
        <f>IF(COUNTIFS(Addendum!C:C,A3169,Addendum!D:D,IF(ISNUMBER(B3169),TEXT(B3169,"0000"),B3169),Addendum!I:I,"X")&gt;0,10%,0)</f>
        <v>0</v>
      </c>
      <c r="M3169" s="34">
        <f t="shared" si="98"/>
        <v>0</v>
      </c>
      <c r="N3169" s="17">
        <f t="shared" si="99"/>
        <v>7968</v>
      </c>
    </row>
    <row r="3170" spans="1:14" x14ac:dyDescent="0.25">
      <c r="A3170" s="14" t="s">
        <v>2705</v>
      </c>
      <c r="B3170" s="14" t="s">
        <v>24</v>
      </c>
      <c r="C3170" s="15" t="s">
        <v>2708</v>
      </c>
      <c r="D3170" s="14" t="s">
        <v>1749</v>
      </c>
      <c r="E3170" s="14" t="s">
        <v>1746</v>
      </c>
      <c r="F3170" s="17" t="s">
        <v>2995</v>
      </c>
      <c r="G3170" s="14">
        <v>402</v>
      </c>
      <c r="H3170" s="14">
        <v>361.8</v>
      </c>
      <c r="I3170" s="31">
        <f>IF(COUNTIFS(Addendum!C:C,A3170,Addendum!D:D,IF(ISNUMBER(B3170),TEXT(B3170,"0000"),B3170),Addendum!E:E,"X")&gt;0,4%,0)</f>
        <v>0</v>
      </c>
      <c r="J3170" s="31">
        <f>IF(COUNTIFS(Addendum!C:C,A3170,Addendum!D:D,IF(ISNUMBER(B3170),TEXT(B3170,"0000"),B3170),Addendum!F:F,"X")&gt;0,2.5%,0)</f>
        <v>0</v>
      </c>
      <c r="K3170" s="31">
        <f>IF(COUNTIFS(Addendum!C:C,A3170,Addendum!D:D,IF(ISNUMBER(B3170),TEXT(B3170,"0000"),B3170),Addendum!G:G,"X")&gt;0,7%,0)</f>
        <v>0</v>
      </c>
      <c r="L3170" s="31">
        <f>IF(COUNTIFS(Addendum!C:C,A3170,Addendum!D:D,IF(ISNUMBER(B3170),TEXT(B3170,"0000"),B3170),Addendum!I:I,"X")&gt;0,10%,0)</f>
        <v>0</v>
      </c>
      <c r="M3170" s="34">
        <f t="shared" si="98"/>
        <v>0</v>
      </c>
      <c r="N3170" s="17">
        <f t="shared" si="99"/>
        <v>361.8</v>
      </c>
    </row>
    <row r="3171" spans="1:14" x14ac:dyDescent="0.25">
      <c r="A3171" s="14" t="s">
        <v>2705</v>
      </c>
      <c r="B3171" s="14" t="s">
        <v>20</v>
      </c>
      <c r="C3171" s="15" t="s">
        <v>2709</v>
      </c>
      <c r="D3171" s="14" t="s">
        <v>1745</v>
      </c>
      <c r="E3171" s="14" t="s">
        <v>1746</v>
      </c>
      <c r="F3171" s="17" t="s">
        <v>2994</v>
      </c>
      <c r="G3171" s="14">
        <v>2331</v>
      </c>
      <c r="H3171" s="14">
        <v>1864.8</v>
      </c>
      <c r="I3171" s="31">
        <f>IF(COUNTIFS(Addendum!C:C,A3171,Addendum!D:D,IF(ISNUMBER(B3171),TEXT(B3171,"0000"),B3171),Addendum!E:E,"X")&gt;0,4%,0)</f>
        <v>0</v>
      </c>
      <c r="J3171" s="31">
        <f>IF(COUNTIFS(Addendum!C:C,A3171,Addendum!D:D,IF(ISNUMBER(B3171),TEXT(B3171,"0000"),B3171),Addendum!F:F,"X")&gt;0,2.5%,0)</f>
        <v>0</v>
      </c>
      <c r="K3171" s="31">
        <f>IF(COUNTIFS(Addendum!C:C,A3171,Addendum!D:D,IF(ISNUMBER(B3171),TEXT(B3171,"0000"),B3171),Addendum!G:G,"X")&gt;0,7%,0)</f>
        <v>0</v>
      </c>
      <c r="L3171" s="31">
        <f>IF(COUNTIFS(Addendum!C:C,A3171,Addendum!D:D,IF(ISNUMBER(B3171),TEXT(B3171,"0000"),B3171),Addendum!I:I,"X")&gt;0,10%,0)</f>
        <v>0</v>
      </c>
      <c r="M3171" s="34">
        <f t="shared" si="98"/>
        <v>0</v>
      </c>
      <c r="N3171" s="17">
        <f t="shared" si="99"/>
        <v>1864.8</v>
      </c>
    </row>
    <row r="3172" spans="1:14" x14ac:dyDescent="0.25">
      <c r="A3172" s="14" t="s">
        <v>2705</v>
      </c>
      <c r="B3172" s="14" t="s">
        <v>24</v>
      </c>
      <c r="C3172" s="15" t="s">
        <v>2708</v>
      </c>
      <c r="D3172" s="14" t="s">
        <v>1745</v>
      </c>
      <c r="E3172" s="14" t="s">
        <v>1747</v>
      </c>
      <c r="F3172" s="17" t="s">
        <v>2995</v>
      </c>
      <c r="G3172" s="14">
        <v>4020</v>
      </c>
      <c r="H3172" s="14">
        <v>3618</v>
      </c>
      <c r="I3172" s="31">
        <f>IF(COUNTIFS(Addendum!C:C,A3172,Addendum!D:D,IF(ISNUMBER(B3172),TEXT(B3172,"0000"),B3172),Addendum!E:E,"X")&gt;0,4%,0)</f>
        <v>0</v>
      </c>
      <c r="J3172" s="31">
        <f>IF(COUNTIFS(Addendum!C:C,A3172,Addendum!D:D,IF(ISNUMBER(B3172),TEXT(B3172,"0000"),B3172),Addendum!F:F,"X")&gt;0,2.5%,0)</f>
        <v>0</v>
      </c>
      <c r="K3172" s="31">
        <f>IF(COUNTIFS(Addendum!C:C,A3172,Addendum!D:D,IF(ISNUMBER(B3172),TEXT(B3172,"0000"),B3172),Addendum!G:G,"X")&gt;0,7%,0)</f>
        <v>0</v>
      </c>
      <c r="L3172" s="31">
        <f>IF(COUNTIFS(Addendum!C:C,A3172,Addendum!D:D,IF(ISNUMBER(B3172),TEXT(B3172,"0000"),B3172),Addendum!I:I,"X")&gt;0,10%,0)</f>
        <v>0</v>
      </c>
      <c r="M3172" s="34">
        <f t="shared" si="98"/>
        <v>0</v>
      </c>
      <c r="N3172" s="17">
        <f t="shared" si="99"/>
        <v>3618</v>
      </c>
    </row>
    <row r="3173" spans="1:14" x14ac:dyDescent="0.25">
      <c r="A3173" s="14" t="s">
        <v>2705</v>
      </c>
      <c r="B3173" s="14" t="s">
        <v>20</v>
      </c>
      <c r="C3173" s="15" t="s">
        <v>2709</v>
      </c>
      <c r="D3173" s="14" t="s">
        <v>1745</v>
      </c>
      <c r="E3173" s="14" t="s">
        <v>1747</v>
      </c>
      <c r="F3173" s="17" t="s">
        <v>2994</v>
      </c>
      <c r="G3173" s="14">
        <v>2220</v>
      </c>
      <c r="H3173" s="14">
        <v>1776</v>
      </c>
      <c r="I3173" s="31">
        <f>IF(COUNTIFS(Addendum!C:C,A3173,Addendum!D:D,IF(ISNUMBER(B3173),TEXT(B3173,"0000"),B3173),Addendum!E:E,"X")&gt;0,4%,0)</f>
        <v>0</v>
      </c>
      <c r="J3173" s="31">
        <f>IF(COUNTIFS(Addendum!C:C,A3173,Addendum!D:D,IF(ISNUMBER(B3173),TEXT(B3173,"0000"),B3173),Addendum!F:F,"X")&gt;0,2.5%,0)</f>
        <v>0</v>
      </c>
      <c r="K3173" s="31">
        <f>IF(COUNTIFS(Addendum!C:C,A3173,Addendum!D:D,IF(ISNUMBER(B3173),TEXT(B3173,"0000"),B3173),Addendum!G:G,"X")&gt;0,7%,0)</f>
        <v>0</v>
      </c>
      <c r="L3173" s="31">
        <f>IF(COUNTIFS(Addendum!C:C,A3173,Addendum!D:D,IF(ISNUMBER(B3173),TEXT(B3173,"0000"),B3173),Addendum!I:I,"X")&gt;0,10%,0)</f>
        <v>0</v>
      </c>
      <c r="M3173" s="34">
        <f t="shared" si="98"/>
        <v>0</v>
      </c>
      <c r="N3173" s="17">
        <f t="shared" si="99"/>
        <v>1776</v>
      </c>
    </row>
    <row r="3174" spans="1:14" x14ac:dyDescent="0.25">
      <c r="A3174" s="14" t="s">
        <v>2705</v>
      </c>
      <c r="B3174" s="14" t="s">
        <v>20</v>
      </c>
      <c r="C3174" s="15" t="s">
        <v>2709</v>
      </c>
      <c r="D3174" s="14" t="s">
        <v>1749</v>
      </c>
      <c r="E3174" s="14" t="s">
        <v>1746</v>
      </c>
      <c r="F3174" s="17" t="s">
        <v>2994</v>
      </c>
      <c r="G3174" s="14">
        <v>222</v>
      </c>
      <c r="H3174" s="14">
        <v>177.6</v>
      </c>
      <c r="I3174" s="31">
        <f>IF(COUNTIFS(Addendum!C:C,A3174,Addendum!D:D,IF(ISNUMBER(B3174),TEXT(B3174,"0000"),B3174),Addendum!E:E,"X")&gt;0,4%,0)</f>
        <v>0</v>
      </c>
      <c r="J3174" s="31">
        <f>IF(COUNTIFS(Addendum!C:C,A3174,Addendum!D:D,IF(ISNUMBER(B3174),TEXT(B3174,"0000"),B3174),Addendum!F:F,"X")&gt;0,2.5%,0)</f>
        <v>0</v>
      </c>
      <c r="K3174" s="31">
        <f>IF(COUNTIFS(Addendum!C:C,A3174,Addendum!D:D,IF(ISNUMBER(B3174),TEXT(B3174,"0000"),B3174),Addendum!G:G,"X")&gt;0,7%,0)</f>
        <v>0</v>
      </c>
      <c r="L3174" s="31">
        <f>IF(COUNTIFS(Addendum!C:C,A3174,Addendum!D:D,IF(ISNUMBER(B3174),TEXT(B3174,"0000"),B3174),Addendum!I:I,"X")&gt;0,10%,0)</f>
        <v>0</v>
      </c>
      <c r="M3174" s="34">
        <f t="shared" si="98"/>
        <v>0</v>
      </c>
      <c r="N3174" s="17">
        <f t="shared" si="99"/>
        <v>177.6</v>
      </c>
    </row>
    <row r="3175" spans="1:14" x14ac:dyDescent="0.25">
      <c r="A3175" s="14" t="s">
        <v>2705</v>
      </c>
      <c r="B3175" s="14">
        <v>1</v>
      </c>
      <c r="C3175" s="15" t="s">
        <v>2707</v>
      </c>
      <c r="D3175" s="14" t="s">
        <v>1749</v>
      </c>
      <c r="E3175" s="14" t="s">
        <v>1746</v>
      </c>
      <c r="F3175" s="17" t="s">
        <v>2993</v>
      </c>
      <c r="G3175" s="14">
        <v>996</v>
      </c>
      <c r="H3175" s="14">
        <v>796.8</v>
      </c>
      <c r="I3175" s="31">
        <f>IF(COUNTIFS(Addendum!C:C,A3175,Addendum!D:D,IF(ISNUMBER(B3175),TEXT(B3175,"0000"),B3175),Addendum!E:E,"X")&gt;0,4%,0)</f>
        <v>0</v>
      </c>
      <c r="J3175" s="31">
        <f>IF(COUNTIFS(Addendum!C:C,A3175,Addendum!D:D,IF(ISNUMBER(B3175),TEXT(B3175,"0000"),B3175),Addendum!F:F,"X")&gt;0,2.5%,0)</f>
        <v>0</v>
      </c>
      <c r="K3175" s="31">
        <f>IF(COUNTIFS(Addendum!C:C,A3175,Addendum!D:D,IF(ISNUMBER(B3175),TEXT(B3175,"0000"),B3175),Addendum!G:G,"X")&gt;0,7%,0)</f>
        <v>0</v>
      </c>
      <c r="L3175" s="31">
        <f>IF(COUNTIFS(Addendum!C:C,A3175,Addendum!D:D,IF(ISNUMBER(B3175),TEXT(B3175,"0000"),B3175),Addendum!I:I,"X")&gt;0,10%,0)</f>
        <v>0</v>
      </c>
      <c r="M3175" s="34">
        <f t="shared" si="98"/>
        <v>0</v>
      </c>
      <c r="N3175" s="17">
        <f t="shared" si="99"/>
        <v>796.8</v>
      </c>
    </row>
    <row r="3176" spans="1:14" x14ac:dyDescent="0.25">
      <c r="A3176" s="14" t="s">
        <v>2705</v>
      </c>
      <c r="B3176" s="14" t="s">
        <v>34</v>
      </c>
      <c r="C3176" s="15" t="s">
        <v>2706</v>
      </c>
      <c r="D3176" s="14" t="s">
        <v>1749</v>
      </c>
      <c r="E3176" s="14" t="s">
        <v>1746</v>
      </c>
      <c r="F3176" s="17" t="s">
        <v>2994</v>
      </c>
      <c r="G3176" s="14">
        <v>126</v>
      </c>
      <c r="H3176" s="14">
        <v>100.8</v>
      </c>
      <c r="I3176" s="31">
        <f>IF(COUNTIFS(Addendum!C:C,A3176,Addendum!D:D,IF(ISNUMBER(B3176),TEXT(B3176,"0000"),B3176),Addendum!E:E,"X")&gt;0,4%,0)</f>
        <v>0</v>
      </c>
      <c r="J3176" s="31">
        <f>IF(COUNTIFS(Addendum!C:C,A3176,Addendum!D:D,IF(ISNUMBER(B3176),TEXT(B3176,"0000"),B3176),Addendum!F:F,"X")&gt;0,2.5%,0)</f>
        <v>0</v>
      </c>
      <c r="K3176" s="31">
        <f>IF(COUNTIFS(Addendum!C:C,A3176,Addendum!D:D,IF(ISNUMBER(B3176),TEXT(B3176,"0000"),B3176),Addendum!G:G,"X")&gt;0,7%,0)</f>
        <v>0</v>
      </c>
      <c r="L3176" s="31">
        <f>IF(COUNTIFS(Addendum!C:C,A3176,Addendum!D:D,IF(ISNUMBER(B3176),TEXT(B3176,"0000"),B3176),Addendum!I:I,"X")&gt;0,10%,0)</f>
        <v>0</v>
      </c>
      <c r="M3176" s="34">
        <f t="shared" si="98"/>
        <v>0</v>
      </c>
      <c r="N3176" s="17">
        <f t="shared" si="99"/>
        <v>100.8</v>
      </c>
    </row>
    <row r="3177" spans="1:14" x14ac:dyDescent="0.25">
      <c r="A3177" s="14" t="s">
        <v>2710</v>
      </c>
      <c r="B3177" s="14">
        <v>11</v>
      </c>
      <c r="C3177" s="15" t="s">
        <v>2711</v>
      </c>
      <c r="D3177" s="14" t="s">
        <v>1749</v>
      </c>
      <c r="E3177" s="14" t="s">
        <v>1746</v>
      </c>
      <c r="F3177" s="17" t="s">
        <v>2994</v>
      </c>
      <c r="G3177" s="14">
        <v>222</v>
      </c>
      <c r="H3177" s="14">
        <v>177.6</v>
      </c>
      <c r="I3177" s="31">
        <f>IF(COUNTIFS(Addendum!C:C,A3177,Addendum!D:D,IF(ISNUMBER(B3177),TEXT(B3177,"0000"),B3177),Addendum!E:E,"X")&gt;0,4%,0)</f>
        <v>0</v>
      </c>
      <c r="J3177" s="31">
        <f>IF(COUNTIFS(Addendum!C:C,A3177,Addendum!D:D,IF(ISNUMBER(B3177),TEXT(B3177,"0000"),B3177),Addendum!F:F,"X")&gt;0,2.5%,0)</f>
        <v>0</v>
      </c>
      <c r="K3177" s="31">
        <f>IF(COUNTIFS(Addendum!C:C,A3177,Addendum!D:D,IF(ISNUMBER(B3177),TEXT(B3177,"0000"),B3177),Addendum!G:G,"X")&gt;0,7%,0)</f>
        <v>0</v>
      </c>
      <c r="L3177" s="31">
        <f>IF(COUNTIFS(Addendum!C:C,A3177,Addendum!D:D,IF(ISNUMBER(B3177),TEXT(B3177,"0000"),B3177),Addendum!I:I,"X")&gt;0,10%,0)</f>
        <v>0</v>
      </c>
      <c r="M3177" s="34">
        <f t="shared" si="98"/>
        <v>0</v>
      </c>
      <c r="N3177" s="17">
        <f t="shared" si="99"/>
        <v>177.6</v>
      </c>
    </row>
    <row r="3178" spans="1:14" x14ac:dyDescent="0.25">
      <c r="A3178" s="14" t="s">
        <v>2712</v>
      </c>
      <c r="B3178" s="14">
        <v>8</v>
      </c>
      <c r="C3178" s="15" t="s">
        <v>2713</v>
      </c>
      <c r="D3178" s="14" t="s">
        <v>1749</v>
      </c>
      <c r="E3178" s="14" t="s">
        <v>1746</v>
      </c>
      <c r="F3178" s="17" t="s">
        <v>2995</v>
      </c>
      <c r="G3178" s="14">
        <v>420</v>
      </c>
      <c r="H3178" s="14">
        <v>378</v>
      </c>
      <c r="I3178" s="31">
        <f>IF(COUNTIFS(Addendum!C:C,A3178,Addendum!D:D,IF(ISNUMBER(B3178),TEXT(B3178,"0000"),B3178),Addendum!E:E,"X")&gt;0,4%,0)</f>
        <v>0</v>
      </c>
      <c r="J3178" s="31">
        <f>IF(COUNTIFS(Addendum!C:C,A3178,Addendum!D:D,IF(ISNUMBER(B3178),TEXT(B3178,"0000"),B3178),Addendum!F:F,"X")&gt;0,2.5%,0)</f>
        <v>0</v>
      </c>
      <c r="K3178" s="31">
        <f>IF(COUNTIFS(Addendum!C:C,A3178,Addendum!D:D,IF(ISNUMBER(B3178),TEXT(B3178,"0000"),B3178),Addendum!G:G,"X")&gt;0,7%,0)</f>
        <v>0</v>
      </c>
      <c r="L3178" s="31">
        <f>IF(COUNTIFS(Addendum!C:C,A3178,Addendum!D:D,IF(ISNUMBER(B3178),TEXT(B3178,"0000"),B3178),Addendum!I:I,"X")&gt;0,10%,0)</f>
        <v>0</v>
      </c>
      <c r="M3178" s="34">
        <f t="shared" si="98"/>
        <v>0</v>
      </c>
      <c r="N3178" s="17">
        <f t="shared" si="99"/>
        <v>378</v>
      </c>
    </row>
    <row r="3179" spans="1:14" x14ac:dyDescent="0.25">
      <c r="A3179" s="14" t="s">
        <v>2710</v>
      </c>
      <c r="B3179" s="14">
        <v>13</v>
      </c>
      <c r="C3179" s="15" t="s">
        <v>2714</v>
      </c>
      <c r="D3179" s="14" t="s">
        <v>1745</v>
      </c>
      <c r="E3179" s="14" t="s">
        <v>1746</v>
      </c>
      <c r="F3179" s="17" t="s">
        <v>2994</v>
      </c>
      <c r="G3179" s="14">
        <v>1323</v>
      </c>
      <c r="H3179" s="14">
        <v>1058.4000000000001</v>
      </c>
      <c r="I3179" s="31">
        <f>IF(COUNTIFS(Addendum!C:C,A3179,Addendum!D:D,IF(ISNUMBER(B3179),TEXT(B3179,"0000"),B3179),Addendum!E:E,"X")&gt;0,4%,0)</f>
        <v>0</v>
      </c>
      <c r="J3179" s="31">
        <f>IF(COUNTIFS(Addendum!C:C,A3179,Addendum!D:D,IF(ISNUMBER(B3179),TEXT(B3179,"0000"),B3179),Addendum!F:F,"X")&gt;0,2.5%,0)</f>
        <v>0</v>
      </c>
      <c r="K3179" s="31">
        <f>IF(COUNTIFS(Addendum!C:C,A3179,Addendum!D:D,IF(ISNUMBER(B3179),TEXT(B3179,"0000"),B3179),Addendum!G:G,"X")&gt;0,7%,0)</f>
        <v>0</v>
      </c>
      <c r="L3179" s="31">
        <f>IF(COUNTIFS(Addendum!C:C,A3179,Addendum!D:D,IF(ISNUMBER(B3179),TEXT(B3179,"0000"),B3179),Addendum!I:I,"X")&gt;0,10%,0)</f>
        <v>0</v>
      </c>
      <c r="M3179" s="34">
        <f t="shared" si="98"/>
        <v>0</v>
      </c>
      <c r="N3179" s="17">
        <f t="shared" si="99"/>
        <v>1058.4000000000001</v>
      </c>
    </row>
    <row r="3180" spans="1:14" x14ac:dyDescent="0.25">
      <c r="A3180" s="14" t="s">
        <v>2710</v>
      </c>
      <c r="B3180" s="14">
        <v>13</v>
      </c>
      <c r="C3180" s="15" t="s">
        <v>2714</v>
      </c>
      <c r="D3180" s="14" t="s">
        <v>1745</v>
      </c>
      <c r="E3180" s="14" t="s">
        <v>1747</v>
      </c>
      <c r="F3180" s="17" t="s">
        <v>2994</v>
      </c>
      <c r="G3180" s="14">
        <v>1260</v>
      </c>
      <c r="H3180" s="14">
        <v>1008</v>
      </c>
      <c r="I3180" s="31">
        <f>IF(COUNTIFS(Addendum!C:C,A3180,Addendum!D:D,IF(ISNUMBER(B3180),TEXT(B3180,"0000"),B3180),Addendum!E:E,"X")&gt;0,4%,0)</f>
        <v>0</v>
      </c>
      <c r="J3180" s="31">
        <f>IF(COUNTIFS(Addendum!C:C,A3180,Addendum!D:D,IF(ISNUMBER(B3180),TEXT(B3180,"0000"),B3180),Addendum!F:F,"X")&gt;0,2.5%,0)</f>
        <v>0</v>
      </c>
      <c r="K3180" s="31">
        <f>IF(COUNTIFS(Addendum!C:C,A3180,Addendum!D:D,IF(ISNUMBER(B3180),TEXT(B3180,"0000"),B3180),Addendum!G:G,"X")&gt;0,7%,0)</f>
        <v>0</v>
      </c>
      <c r="L3180" s="31">
        <f>IF(COUNTIFS(Addendum!C:C,A3180,Addendum!D:D,IF(ISNUMBER(B3180),TEXT(B3180,"0000"),B3180),Addendum!I:I,"X")&gt;0,10%,0)</f>
        <v>0</v>
      </c>
      <c r="M3180" s="34">
        <f t="shared" si="98"/>
        <v>0</v>
      </c>
      <c r="N3180" s="17">
        <f t="shared" si="99"/>
        <v>1008</v>
      </c>
    </row>
    <row r="3181" spans="1:14" x14ac:dyDescent="0.25">
      <c r="A3181" s="14" t="s">
        <v>2710</v>
      </c>
      <c r="B3181" s="14">
        <v>1</v>
      </c>
      <c r="C3181" s="15" t="s">
        <v>2715</v>
      </c>
      <c r="D3181" s="14" t="s">
        <v>1745</v>
      </c>
      <c r="E3181" s="14" t="s">
        <v>1746</v>
      </c>
      <c r="F3181" s="17" t="s">
        <v>2993</v>
      </c>
      <c r="G3181" s="14">
        <v>14679</v>
      </c>
      <c r="H3181" s="14">
        <v>11743.2</v>
      </c>
      <c r="I3181" s="31">
        <f>IF(COUNTIFS(Addendum!C:C,A3181,Addendum!D:D,IF(ISNUMBER(B3181),TEXT(B3181,"0000"),B3181),Addendum!E:E,"X")&gt;0,4%,0)</f>
        <v>0</v>
      </c>
      <c r="J3181" s="31">
        <f>IF(COUNTIFS(Addendum!C:C,A3181,Addendum!D:D,IF(ISNUMBER(B3181),TEXT(B3181,"0000"),B3181),Addendum!F:F,"X")&gt;0,2.5%,0)</f>
        <v>0</v>
      </c>
      <c r="K3181" s="31">
        <f>IF(COUNTIFS(Addendum!C:C,A3181,Addendum!D:D,IF(ISNUMBER(B3181),TEXT(B3181,"0000"),B3181),Addendum!G:G,"X")&gt;0,7%,0)</f>
        <v>0</v>
      </c>
      <c r="L3181" s="31">
        <f>IF(COUNTIFS(Addendum!C:C,A3181,Addendum!D:D,IF(ISNUMBER(B3181),TEXT(B3181,"0000"),B3181),Addendum!I:I,"X")&gt;0,10%,0)</f>
        <v>0</v>
      </c>
      <c r="M3181" s="34">
        <f t="shared" si="98"/>
        <v>0</v>
      </c>
      <c r="N3181" s="17">
        <f t="shared" si="99"/>
        <v>11743.2</v>
      </c>
    </row>
    <row r="3182" spans="1:14" x14ac:dyDescent="0.25">
      <c r="A3182" s="14" t="s">
        <v>2712</v>
      </c>
      <c r="B3182" s="14">
        <v>8</v>
      </c>
      <c r="C3182" s="15" t="s">
        <v>2713</v>
      </c>
      <c r="D3182" s="14" t="s">
        <v>1745</v>
      </c>
      <c r="E3182" s="14" t="s">
        <v>1746</v>
      </c>
      <c r="F3182" s="17" t="s">
        <v>2995</v>
      </c>
      <c r="G3182" s="14">
        <v>4410</v>
      </c>
      <c r="H3182" s="14">
        <v>3969</v>
      </c>
      <c r="I3182" s="31">
        <f>IF(COUNTIFS(Addendum!C:C,A3182,Addendum!D:D,IF(ISNUMBER(B3182),TEXT(B3182,"0000"),B3182),Addendum!E:E,"X")&gt;0,4%,0)</f>
        <v>0</v>
      </c>
      <c r="J3182" s="31">
        <f>IF(COUNTIFS(Addendum!C:C,A3182,Addendum!D:D,IF(ISNUMBER(B3182),TEXT(B3182,"0000"),B3182),Addendum!F:F,"X")&gt;0,2.5%,0)</f>
        <v>0</v>
      </c>
      <c r="K3182" s="31">
        <f>IF(COUNTIFS(Addendum!C:C,A3182,Addendum!D:D,IF(ISNUMBER(B3182),TEXT(B3182,"0000"),B3182),Addendum!G:G,"X")&gt;0,7%,0)</f>
        <v>0</v>
      </c>
      <c r="L3182" s="31">
        <f>IF(COUNTIFS(Addendum!C:C,A3182,Addendum!D:D,IF(ISNUMBER(B3182),TEXT(B3182,"0000"),B3182),Addendum!I:I,"X")&gt;0,10%,0)</f>
        <v>0</v>
      </c>
      <c r="M3182" s="34">
        <f t="shared" si="98"/>
        <v>0</v>
      </c>
      <c r="N3182" s="17">
        <f t="shared" si="99"/>
        <v>3969</v>
      </c>
    </row>
    <row r="3183" spans="1:14" x14ac:dyDescent="0.25">
      <c r="A3183" s="14" t="s">
        <v>2710</v>
      </c>
      <c r="B3183" s="14">
        <v>11</v>
      </c>
      <c r="C3183" s="15" t="s">
        <v>2711</v>
      </c>
      <c r="D3183" s="14" t="s">
        <v>1745</v>
      </c>
      <c r="E3183" s="14" t="s">
        <v>1747</v>
      </c>
      <c r="F3183" s="17" t="s">
        <v>2994</v>
      </c>
      <c r="G3183" s="14">
        <v>2220</v>
      </c>
      <c r="H3183" s="14">
        <v>1776</v>
      </c>
      <c r="I3183" s="31">
        <f>IF(COUNTIFS(Addendum!C:C,A3183,Addendum!D:D,IF(ISNUMBER(B3183),TEXT(B3183,"0000"),B3183),Addendum!E:E,"X")&gt;0,4%,0)</f>
        <v>0</v>
      </c>
      <c r="J3183" s="31">
        <f>IF(COUNTIFS(Addendum!C:C,A3183,Addendum!D:D,IF(ISNUMBER(B3183),TEXT(B3183,"0000"),B3183),Addendum!F:F,"X")&gt;0,2.5%,0)</f>
        <v>0</v>
      </c>
      <c r="K3183" s="31">
        <f>IF(COUNTIFS(Addendum!C:C,A3183,Addendum!D:D,IF(ISNUMBER(B3183),TEXT(B3183,"0000"),B3183),Addendum!G:G,"X")&gt;0,7%,0)</f>
        <v>0</v>
      </c>
      <c r="L3183" s="31">
        <f>IF(COUNTIFS(Addendum!C:C,A3183,Addendum!D:D,IF(ISNUMBER(B3183),TEXT(B3183,"0000"),B3183),Addendum!I:I,"X")&gt;0,10%,0)</f>
        <v>0</v>
      </c>
      <c r="M3183" s="34">
        <f t="shared" si="98"/>
        <v>0</v>
      </c>
      <c r="N3183" s="17">
        <f t="shared" si="99"/>
        <v>1776</v>
      </c>
    </row>
    <row r="3184" spans="1:14" x14ac:dyDescent="0.25">
      <c r="A3184" s="14" t="s">
        <v>2710</v>
      </c>
      <c r="B3184" s="14">
        <v>13</v>
      </c>
      <c r="C3184" s="15" t="s">
        <v>2714</v>
      </c>
      <c r="D3184" s="14" t="s">
        <v>1749</v>
      </c>
      <c r="E3184" s="14" t="s">
        <v>1746</v>
      </c>
      <c r="F3184" s="17" t="s">
        <v>2994</v>
      </c>
      <c r="G3184" s="14">
        <v>126</v>
      </c>
      <c r="H3184" s="14">
        <v>100.8</v>
      </c>
      <c r="I3184" s="31">
        <f>IF(COUNTIFS(Addendum!C:C,A3184,Addendum!D:D,IF(ISNUMBER(B3184),TEXT(B3184,"0000"),B3184),Addendum!E:E,"X")&gt;0,4%,0)</f>
        <v>0</v>
      </c>
      <c r="J3184" s="31">
        <f>IF(COUNTIFS(Addendum!C:C,A3184,Addendum!D:D,IF(ISNUMBER(B3184),TEXT(B3184,"0000"),B3184),Addendum!F:F,"X")&gt;0,2.5%,0)</f>
        <v>0</v>
      </c>
      <c r="K3184" s="31">
        <f>IF(COUNTIFS(Addendum!C:C,A3184,Addendum!D:D,IF(ISNUMBER(B3184),TEXT(B3184,"0000"),B3184),Addendum!G:G,"X")&gt;0,7%,0)</f>
        <v>0</v>
      </c>
      <c r="L3184" s="31">
        <f>IF(COUNTIFS(Addendum!C:C,A3184,Addendum!D:D,IF(ISNUMBER(B3184),TEXT(B3184,"0000"),B3184),Addendum!I:I,"X")&gt;0,10%,0)</f>
        <v>0</v>
      </c>
      <c r="M3184" s="34">
        <f t="shared" si="98"/>
        <v>0</v>
      </c>
      <c r="N3184" s="17">
        <f t="shared" si="99"/>
        <v>100.8</v>
      </c>
    </row>
    <row r="3185" spans="1:14" x14ac:dyDescent="0.25">
      <c r="A3185" s="14" t="s">
        <v>2710</v>
      </c>
      <c r="B3185" s="14">
        <v>11</v>
      </c>
      <c r="C3185" s="15" t="s">
        <v>2711</v>
      </c>
      <c r="D3185" s="14" t="s">
        <v>1745</v>
      </c>
      <c r="E3185" s="14" t="s">
        <v>1746</v>
      </c>
      <c r="F3185" s="17" t="s">
        <v>2994</v>
      </c>
      <c r="G3185" s="14">
        <v>2331</v>
      </c>
      <c r="H3185" s="14">
        <v>1864.8</v>
      </c>
      <c r="I3185" s="31">
        <f>IF(COUNTIFS(Addendum!C:C,A3185,Addendum!D:D,IF(ISNUMBER(B3185),TEXT(B3185,"0000"),B3185),Addendum!E:E,"X")&gt;0,4%,0)</f>
        <v>0</v>
      </c>
      <c r="J3185" s="31">
        <f>IF(COUNTIFS(Addendum!C:C,A3185,Addendum!D:D,IF(ISNUMBER(B3185),TEXT(B3185,"0000"),B3185),Addendum!F:F,"X")&gt;0,2.5%,0)</f>
        <v>0</v>
      </c>
      <c r="K3185" s="31">
        <f>IF(COUNTIFS(Addendum!C:C,A3185,Addendum!D:D,IF(ISNUMBER(B3185),TEXT(B3185,"0000"),B3185),Addendum!G:G,"X")&gt;0,7%,0)</f>
        <v>0</v>
      </c>
      <c r="L3185" s="31">
        <f>IF(COUNTIFS(Addendum!C:C,A3185,Addendum!D:D,IF(ISNUMBER(B3185),TEXT(B3185,"0000"),B3185),Addendum!I:I,"X")&gt;0,10%,0)</f>
        <v>0</v>
      </c>
      <c r="M3185" s="34">
        <f t="shared" si="98"/>
        <v>0</v>
      </c>
      <c r="N3185" s="17">
        <f t="shared" si="99"/>
        <v>1864.8</v>
      </c>
    </row>
    <row r="3186" spans="1:14" x14ac:dyDescent="0.25">
      <c r="A3186" s="14" t="s">
        <v>2710</v>
      </c>
      <c r="B3186" s="14">
        <v>1</v>
      </c>
      <c r="C3186" s="15" t="s">
        <v>2715</v>
      </c>
      <c r="D3186" s="14" t="s">
        <v>1745</v>
      </c>
      <c r="E3186" s="14" t="s">
        <v>1747</v>
      </c>
      <c r="F3186" s="17" t="s">
        <v>2993</v>
      </c>
      <c r="G3186" s="14">
        <v>13980</v>
      </c>
      <c r="H3186" s="14">
        <v>11184</v>
      </c>
      <c r="I3186" s="31">
        <f>IF(COUNTIFS(Addendum!C:C,A3186,Addendum!D:D,IF(ISNUMBER(B3186),TEXT(B3186,"0000"),B3186),Addendum!E:E,"X")&gt;0,4%,0)</f>
        <v>0</v>
      </c>
      <c r="J3186" s="31">
        <f>IF(COUNTIFS(Addendum!C:C,A3186,Addendum!D:D,IF(ISNUMBER(B3186),TEXT(B3186,"0000"),B3186),Addendum!F:F,"X")&gt;0,2.5%,0)</f>
        <v>0</v>
      </c>
      <c r="K3186" s="31">
        <f>IF(COUNTIFS(Addendum!C:C,A3186,Addendum!D:D,IF(ISNUMBER(B3186),TEXT(B3186,"0000"),B3186),Addendum!G:G,"X")&gt;0,7%,0)</f>
        <v>0</v>
      </c>
      <c r="L3186" s="31">
        <f>IF(COUNTIFS(Addendum!C:C,A3186,Addendum!D:D,IF(ISNUMBER(B3186),TEXT(B3186,"0000"),B3186),Addendum!I:I,"X")&gt;0,10%,0)</f>
        <v>0</v>
      </c>
      <c r="M3186" s="34">
        <f t="shared" si="98"/>
        <v>0</v>
      </c>
      <c r="N3186" s="17">
        <f t="shared" si="99"/>
        <v>11184</v>
      </c>
    </row>
    <row r="3187" spans="1:14" x14ac:dyDescent="0.25">
      <c r="A3187" s="14" t="s">
        <v>2712</v>
      </c>
      <c r="B3187" s="14">
        <v>8</v>
      </c>
      <c r="C3187" s="15" t="s">
        <v>2713</v>
      </c>
      <c r="D3187" s="14" t="s">
        <v>1745</v>
      </c>
      <c r="E3187" s="14" t="s">
        <v>1747</v>
      </c>
      <c r="F3187" s="17" t="s">
        <v>2995</v>
      </c>
      <c r="G3187" s="14">
        <v>4200</v>
      </c>
      <c r="H3187" s="14">
        <v>3780</v>
      </c>
      <c r="I3187" s="31">
        <f>IF(COUNTIFS(Addendum!C:C,A3187,Addendum!D:D,IF(ISNUMBER(B3187),TEXT(B3187,"0000"),B3187),Addendum!E:E,"X")&gt;0,4%,0)</f>
        <v>0</v>
      </c>
      <c r="J3187" s="31">
        <f>IF(COUNTIFS(Addendum!C:C,A3187,Addendum!D:D,IF(ISNUMBER(B3187),TEXT(B3187,"0000"),B3187),Addendum!F:F,"X")&gt;0,2.5%,0)</f>
        <v>0</v>
      </c>
      <c r="K3187" s="31">
        <f>IF(COUNTIFS(Addendum!C:C,A3187,Addendum!D:D,IF(ISNUMBER(B3187),TEXT(B3187,"0000"),B3187),Addendum!G:G,"X")&gt;0,7%,0)</f>
        <v>0</v>
      </c>
      <c r="L3187" s="31">
        <f>IF(COUNTIFS(Addendum!C:C,A3187,Addendum!D:D,IF(ISNUMBER(B3187),TEXT(B3187,"0000"),B3187),Addendum!I:I,"X")&gt;0,10%,0)</f>
        <v>0</v>
      </c>
      <c r="M3187" s="34">
        <f t="shared" si="98"/>
        <v>0</v>
      </c>
      <c r="N3187" s="17">
        <f t="shared" si="99"/>
        <v>3780</v>
      </c>
    </row>
    <row r="3188" spans="1:14" x14ac:dyDescent="0.25">
      <c r="A3188" s="14" t="s">
        <v>2710</v>
      </c>
      <c r="B3188" s="14">
        <v>1</v>
      </c>
      <c r="C3188" s="15" t="s">
        <v>2715</v>
      </c>
      <c r="D3188" s="14" t="s">
        <v>1749</v>
      </c>
      <c r="E3188" s="14" t="s">
        <v>1746</v>
      </c>
      <c r="F3188" s="17" t="s">
        <v>2993</v>
      </c>
      <c r="G3188" s="14">
        <v>1398</v>
      </c>
      <c r="H3188" s="14">
        <v>1118.4000000000001</v>
      </c>
      <c r="I3188" s="31">
        <f>IF(COUNTIFS(Addendum!C:C,A3188,Addendum!D:D,IF(ISNUMBER(B3188),TEXT(B3188,"0000"),B3188),Addendum!E:E,"X")&gt;0,4%,0)</f>
        <v>0</v>
      </c>
      <c r="J3188" s="31">
        <f>IF(COUNTIFS(Addendum!C:C,A3188,Addendum!D:D,IF(ISNUMBER(B3188),TEXT(B3188,"0000"),B3188),Addendum!F:F,"X")&gt;0,2.5%,0)</f>
        <v>0</v>
      </c>
      <c r="K3188" s="31">
        <f>IF(COUNTIFS(Addendum!C:C,A3188,Addendum!D:D,IF(ISNUMBER(B3188),TEXT(B3188,"0000"),B3188),Addendum!G:G,"X")&gt;0,7%,0)</f>
        <v>0</v>
      </c>
      <c r="L3188" s="31">
        <f>IF(COUNTIFS(Addendum!C:C,A3188,Addendum!D:D,IF(ISNUMBER(B3188),TEXT(B3188,"0000"),B3188),Addendum!I:I,"X")&gt;0,10%,0)</f>
        <v>0</v>
      </c>
      <c r="M3188" s="34">
        <f t="shared" si="98"/>
        <v>0</v>
      </c>
      <c r="N3188" s="17">
        <f t="shared" si="99"/>
        <v>1118.4000000000001</v>
      </c>
    </row>
    <row r="3189" spans="1:14" ht="30" x14ac:dyDescent="0.25">
      <c r="A3189" s="14" t="s">
        <v>2716</v>
      </c>
      <c r="B3189" s="14" t="s">
        <v>243</v>
      </c>
      <c r="C3189" s="15" t="s">
        <v>2717</v>
      </c>
      <c r="D3189" s="14" t="s">
        <v>1745</v>
      </c>
      <c r="E3189" s="14" t="s">
        <v>1746</v>
      </c>
      <c r="F3189" s="17" t="s">
        <v>2995</v>
      </c>
      <c r="G3189" s="14">
        <v>6552</v>
      </c>
      <c r="H3189" s="14">
        <v>5896.8</v>
      </c>
      <c r="I3189" s="31">
        <f>IF(COUNTIFS(Addendum!C:C,A3189,Addendum!D:D,IF(ISNUMBER(B3189),TEXT(B3189,"0000"),B3189),Addendum!E:E,"X")&gt;0,4%,0)</f>
        <v>0</v>
      </c>
      <c r="J3189" s="31">
        <f>IF(COUNTIFS(Addendum!C:C,A3189,Addendum!D:D,IF(ISNUMBER(B3189),TEXT(B3189,"0000"),B3189),Addendum!F:F,"X")&gt;0,2.5%,0)</f>
        <v>0</v>
      </c>
      <c r="K3189" s="31">
        <f>IF(COUNTIFS(Addendum!C:C,A3189,Addendum!D:D,IF(ISNUMBER(B3189),TEXT(B3189,"0000"),B3189),Addendum!G:G,"X")&gt;0,7%,0)</f>
        <v>0</v>
      </c>
      <c r="L3189" s="31">
        <f>IF(COUNTIFS(Addendum!C:C,A3189,Addendum!D:D,IF(ISNUMBER(B3189),TEXT(B3189,"0000"),B3189),Addendum!I:I,"X")&gt;0,10%,0)</f>
        <v>0</v>
      </c>
      <c r="M3189" s="34">
        <f t="shared" si="98"/>
        <v>0</v>
      </c>
      <c r="N3189" s="17">
        <f t="shared" si="99"/>
        <v>5896.8</v>
      </c>
    </row>
    <row r="3190" spans="1:14" ht="30" x14ac:dyDescent="0.25">
      <c r="A3190" s="14" t="s">
        <v>2716</v>
      </c>
      <c r="B3190" s="14">
        <v>3</v>
      </c>
      <c r="C3190" s="15" t="s">
        <v>2718</v>
      </c>
      <c r="D3190" s="14" t="s">
        <v>1745</v>
      </c>
      <c r="E3190" s="14" t="s">
        <v>1746</v>
      </c>
      <c r="F3190" s="17" t="s">
        <v>2993</v>
      </c>
      <c r="G3190" s="14">
        <v>26208</v>
      </c>
      <c r="H3190" s="14">
        <v>20966.400000000001</v>
      </c>
      <c r="I3190" s="31">
        <f>IF(COUNTIFS(Addendum!C:C,A3190,Addendum!D:D,IF(ISNUMBER(B3190),TEXT(B3190,"0000"),B3190),Addendum!E:E,"X")&gt;0,4%,0)</f>
        <v>0</v>
      </c>
      <c r="J3190" s="31">
        <f>IF(COUNTIFS(Addendum!C:C,A3190,Addendum!D:D,IF(ISNUMBER(B3190),TEXT(B3190,"0000"),B3190),Addendum!F:F,"X")&gt;0,2.5%,0)</f>
        <v>0</v>
      </c>
      <c r="K3190" s="31">
        <f>IF(COUNTIFS(Addendum!C:C,A3190,Addendum!D:D,IF(ISNUMBER(B3190),TEXT(B3190,"0000"),B3190),Addendum!G:G,"X")&gt;0,7%,0)</f>
        <v>0</v>
      </c>
      <c r="L3190" s="31">
        <f>IF(COUNTIFS(Addendum!C:C,A3190,Addendum!D:D,IF(ISNUMBER(B3190),TEXT(B3190,"0000"),B3190),Addendum!I:I,"X")&gt;0,10%,0)</f>
        <v>0</v>
      </c>
      <c r="M3190" s="34">
        <f t="shared" si="98"/>
        <v>0</v>
      </c>
      <c r="N3190" s="17">
        <f t="shared" si="99"/>
        <v>20966.400000000001</v>
      </c>
    </row>
    <row r="3191" spans="1:14" ht="30" x14ac:dyDescent="0.25">
      <c r="A3191" s="14" t="s">
        <v>2716</v>
      </c>
      <c r="B3191" s="14" t="s">
        <v>46</v>
      </c>
      <c r="C3191" s="15" t="s">
        <v>2719</v>
      </c>
      <c r="D3191" s="14" t="s">
        <v>1745</v>
      </c>
      <c r="E3191" s="14" t="s">
        <v>1746</v>
      </c>
      <c r="F3191" s="17" t="s">
        <v>2994</v>
      </c>
      <c r="G3191" s="14">
        <v>14427</v>
      </c>
      <c r="H3191" s="14">
        <v>11541.6</v>
      </c>
      <c r="I3191" s="31">
        <f>IF(COUNTIFS(Addendum!C:C,A3191,Addendum!D:D,IF(ISNUMBER(B3191),TEXT(B3191,"0000"),B3191),Addendum!E:E,"X")&gt;0,4%,0)</f>
        <v>0</v>
      </c>
      <c r="J3191" s="31">
        <f>IF(COUNTIFS(Addendum!C:C,A3191,Addendum!D:D,IF(ISNUMBER(B3191),TEXT(B3191,"0000"),B3191),Addendum!F:F,"X")&gt;0,2.5%,0)</f>
        <v>0</v>
      </c>
      <c r="K3191" s="31">
        <f>IF(COUNTIFS(Addendum!C:C,A3191,Addendum!D:D,IF(ISNUMBER(B3191),TEXT(B3191,"0000"),B3191),Addendum!G:G,"X")&gt;0,7%,0)</f>
        <v>0</v>
      </c>
      <c r="L3191" s="31">
        <f>IF(COUNTIFS(Addendum!C:C,A3191,Addendum!D:D,IF(ISNUMBER(B3191),TEXT(B3191,"0000"),B3191),Addendum!I:I,"X")&gt;0,10%,0)</f>
        <v>0</v>
      </c>
      <c r="M3191" s="34">
        <f t="shared" si="98"/>
        <v>0</v>
      </c>
      <c r="N3191" s="17">
        <f t="shared" si="99"/>
        <v>11541.6</v>
      </c>
    </row>
    <row r="3192" spans="1:14" x14ac:dyDescent="0.25">
      <c r="A3192" s="14" t="s">
        <v>2716</v>
      </c>
      <c r="B3192" s="14">
        <v>2</v>
      </c>
      <c r="C3192" s="15" t="s">
        <v>2720</v>
      </c>
      <c r="D3192" s="14" t="s">
        <v>1749</v>
      </c>
      <c r="E3192" s="14" t="s">
        <v>1746</v>
      </c>
      <c r="F3192" s="17" t="s">
        <v>2993</v>
      </c>
      <c r="G3192" s="14">
        <v>7488</v>
      </c>
      <c r="H3192" s="14">
        <v>5990.4</v>
      </c>
      <c r="I3192" s="31">
        <f>IF(COUNTIFS(Addendum!C:C,A3192,Addendum!D:D,IF(ISNUMBER(B3192),TEXT(B3192,"0000"),B3192),Addendum!E:E,"X")&gt;0,4%,0)</f>
        <v>0</v>
      </c>
      <c r="J3192" s="31">
        <f>IF(COUNTIFS(Addendum!C:C,A3192,Addendum!D:D,IF(ISNUMBER(B3192),TEXT(B3192,"0000"),B3192),Addendum!F:F,"X")&gt;0,2.5%,0)</f>
        <v>0</v>
      </c>
      <c r="K3192" s="31">
        <f>IF(COUNTIFS(Addendum!C:C,A3192,Addendum!D:D,IF(ISNUMBER(B3192),TEXT(B3192,"0000"),B3192),Addendum!G:G,"X")&gt;0,7%,0)</f>
        <v>0</v>
      </c>
      <c r="L3192" s="31">
        <f>IF(COUNTIFS(Addendum!C:C,A3192,Addendum!D:D,IF(ISNUMBER(B3192),TEXT(B3192,"0000"),B3192),Addendum!I:I,"X")&gt;0,10%,0)</f>
        <v>0</v>
      </c>
      <c r="M3192" s="34">
        <f t="shared" si="98"/>
        <v>0</v>
      </c>
      <c r="N3192" s="17">
        <f t="shared" si="99"/>
        <v>5990.4</v>
      </c>
    </row>
    <row r="3193" spans="1:14" ht="30" x14ac:dyDescent="0.25">
      <c r="A3193" s="14" t="s">
        <v>2716</v>
      </c>
      <c r="B3193" s="14" t="s">
        <v>29</v>
      </c>
      <c r="C3193" s="15" t="s">
        <v>2721</v>
      </c>
      <c r="D3193" s="14" t="s">
        <v>1745</v>
      </c>
      <c r="E3193" s="14" t="s">
        <v>1746</v>
      </c>
      <c r="F3193" s="17" t="s">
        <v>2994</v>
      </c>
      <c r="G3193" s="14">
        <v>15750</v>
      </c>
      <c r="H3193" s="14">
        <v>12600</v>
      </c>
      <c r="I3193" s="31">
        <f>IF(COUNTIFS(Addendum!C:C,A3193,Addendum!D:D,IF(ISNUMBER(B3193),TEXT(B3193,"0000"),B3193),Addendum!E:E,"X")&gt;0,4%,0)</f>
        <v>0</v>
      </c>
      <c r="J3193" s="31">
        <f>IF(COUNTIFS(Addendum!C:C,A3193,Addendum!D:D,IF(ISNUMBER(B3193),TEXT(B3193,"0000"),B3193),Addendum!F:F,"X")&gt;0,2.5%,0)</f>
        <v>0</v>
      </c>
      <c r="K3193" s="31">
        <f>IF(COUNTIFS(Addendum!C:C,A3193,Addendum!D:D,IF(ISNUMBER(B3193),TEXT(B3193,"0000"),B3193),Addendum!G:G,"X")&gt;0,7%,0)</f>
        <v>0</v>
      </c>
      <c r="L3193" s="31">
        <f>IF(COUNTIFS(Addendum!C:C,A3193,Addendum!D:D,IF(ISNUMBER(B3193),TEXT(B3193,"0000"),B3193),Addendum!I:I,"X")&gt;0,10%,0)</f>
        <v>0</v>
      </c>
      <c r="M3193" s="34">
        <f t="shared" si="98"/>
        <v>0</v>
      </c>
      <c r="N3193" s="17">
        <f t="shared" si="99"/>
        <v>12600</v>
      </c>
    </row>
    <row r="3194" spans="1:14" ht="30" x14ac:dyDescent="0.25">
      <c r="A3194" s="14" t="s">
        <v>2716</v>
      </c>
      <c r="B3194" s="14" t="s">
        <v>118</v>
      </c>
      <c r="C3194" s="15" t="s">
        <v>2722</v>
      </c>
      <c r="D3194" s="14" t="s">
        <v>1749</v>
      </c>
      <c r="E3194" s="14" t="s">
        <v>1746</v>
      </c>
      <c r="F3194" s="17" t="s">
        <v>2995</v>
      </c>
      <c r="G3194" s="14">
        <v>936</v>
      </c>
      <c r="H3194" s="14">
        <v>842.4</v>
      </c>
      <c r="I3194" s="31">
        <f>IF(COUNTIFS(Addendum!C:C,A3194,Addendum!D:D,IF(ISNUMBER(B3194),TEXT(B3194,"0000"),B3194),Addendum!E:E,"X")&gt;0,4%,0)</f>
        <v>0</v>
      </c>
      <c r="J3194" s="31">
        <f>IF(COUNTIFS(Addendum!C:C,A3194,Addendum!D:D,IF(ISNUMBER(B3194),TEXT(B3194,"0000"),B3194),Addendum!F:F,"X")&gt;0,2.5%,0)</f>
        <v>0</v>
      </c>
      <c r="K3194" s="31">
        <f>IF(COUNTIFS(Addendum!C:C,A3194,Addendum!D:D,IF(ISNUMBER(B3194),TEXT(B3194,"0000"),B3194),Addendum!G:G,"X")&gt;0,7%,0)</f>
        <v>0</v>
      </c>
      <c r="L3194" s="31">
        <f>IF(COUNTIFS(Addendum!C:C,A3194,Addendum!D:D,IF(ISNUMBER(B3194),TEXT(B3194,"0000"),B3194),Addendum!I:I,"X")&gt;0,10%,0)</f>
        <v>0</v>
      </c>
      <c r="M3194" s="34">
        <f t="shared" si="98"/>
        <v>0</v>
      </c>
      <c r="N3194" s="17">
        <f t="shared" si="99"/>
        <v>842.4</v>
      </c>
    </row>
    <row r="3195" spans="1:14" ht="30" x14ac:dyDescent="0.25">
      <c r="A3195" s="14" t="s">
        <v>2716</v>
      </c>
      <c r="B3195" s="14" t="s">
        <v>32</v>
      </c>
      <c r="C3195" s="15" t="s">
        <v>2723</v>
      </c>
      <c r="D3195" s="14" t="s">
        <v>1745</v>
      </c>
      <c r="E3195" s="14" t="s">
        <v>1747</v>
      </c>
      <c r="F3195" s="17" t="s">
        <v>2994</v>
      </c>
      <c r="G3195" s="14">
        <v>29940</v>
      </c>
      <c r="H3195" s="14">
        <v>23952</v>
      </c>
      <c r="I3195" s="31">
        <f>IF(COUNTIFS(Addendum!C:C,A3195,Addendum!D:D,IF(ISNUMBER(B3195),TEXT(B3195,"0000"),B3195),Addendum!E:E,"X")&gt;0,4%,0)</f>
        <v>0</v>
      </c>
      <c r="J3195" s="31">
        <f>IF(COUNTIFS(Addendum!C:C,A3195,Addendum!D:D,IF(ISNUMBER(B3195),TEXT(B3195,"0000"),B3195),Addendum!F:F,"X")&gt;0,2.5%,0)</f>
        <v>0</v>
      </c>
      <c r="K3195" s="31">
        <f>IF(COUNTIFS(Addendum!C:C,A3195,Addendum!D:D,IF(ISNUMBER(B3195),TEXT(B3195,"0000"),B3195),Addendum!G:G,"X")&gt;0,7%,0)</f>
        <v>0</v>
      </c>
      <c r="L3195" s="31">
        <f>IF(COUNTIFS(Addendum!C:C,A3195,Addendum!D:D,IF(ISNUMBER(B3195),TEXT(B3195,"0000"),B3195),Addendum!I:I,"X")&gt;0,10%,0)</f>
        <v>0</v>
      </c>
      <c r="M3195" s="34">
        <f t="shared" si="98"/>
        <v>0</v>
      </c>
      <c r="N3195" s="17">
        <f t="shared" si="99"/>
        <v>23952</v>
      </c>
    </row>
    <row r="3196" spans="1:14" ht="30" x14ac:dyDescent="0.25">
      <c r="A3196" s="14" t="s">
        <v>2716</v>
      </c>
      <c r="B3196" s="14" t="s">
        <v>243</v>
      </c>
      <c r="C3196" s="15" t="s">
        <v>2717</v>
      </c>
      <c r="D3196" s="14" t="s">
        <v>1745</v>
      </c>
      <c r="E3196" s="14" t="s">
        <v>1747</v>
      </c>
      <c r="F3196" s="17" t="s">
        <v>2995</v>
      </c>
      <c r="G3196" s="14">
        <v>6240</v>
      </c>
      <c r="H3196" s="14">
        <v>5616</v>
      </c>
      <c r="I3196" s="31">
        <f>IF(COUNTIFS(Addendum!C:C,A3196,Addendum!D:D,IF(ISNUMBER(B3196),TEXT(B3196,"0000"),B3196),Addendum!E:E,"X")&gt;0,4%,0)</f>
        <v>0</v>
      </c>
      <c r="J3196" s="31">
        <f>IF(COUNTIFS(Addendum!C:C,A3196,Addendum!D:D,IF(ISNUMBER(B3196),TEXT(B3196,"0000"),B3196),Addendum!F:F,"X")&gt;0,2.5%,0)</f>
        <v>0</v>
      </c>
      <c r="K3196" s="31">
        <f>IF(COUNTIFS(Addendum!C:C,A3196,Addendum!D:D,IF(ISNUMBER(B3196),TEXT(B3196,"0000"),B3196),Addendum!G:G,"X")&gt;0,7%,0)</f>
        <v>0</v>
      </c>
      <c r="L3196" s="31">
        <f>IF(COUNTIFS(Addendum!C:C,A3196,Addendum!D:D,IF(ISNUMBER(B3196),TEXT(B3196,"0000"),B3196),Addendum!I:I,"X")&gt;0,10%,0)</f>
        <v>0</v>
      </c>
      <c r="M3196" s="34">
        <f t="shared" si="98"/>
        <v>0</v>
      </c>
      <c r="N3196" s="17">
        <f t="shared" si="99"/>
        <v>5616</v>
      </c>
    </row>
    <row r="3197" spans="1:14" ht="30" x14ac:dyDescent="0.25">
      <c r="A3197" s="14" t="s">
        <v>2716</v>
      </c>
      <c r="B3197" s="14">
        <v>3</v>
      </c>
      <c r="C3197" s="15" t="s">
        <v>2718</v>
      </c>
      <c r="D3197" s="14" t="s">
        <v>1745</v>
      </c>
      <c r="E3197" s="14" t="s">
        <v>1747</v>
      </c>
      <c r="F3197" s="17" t="s">
        <v>2993</v>
      </c>
      <c r="G3197" s="14">
        <v>24960</v>
      </c>
      <c r="H3197" s="14">
        <v>19968</v>
      </c>
      <c r="I3197" s="31">
        <f>IF(COUNTIFS(Addendum!C:C,A3197,Addendum!D:D,IF(ISNUMBER(B3197),TEXT(B3197,"0000"),B3197),Addendum!E:E,"X")&gt;0,4%,0)</f>
        <v>0</v>
      </c>
      <c r="J3197" s="31">
        <f>IF(COUNTIFS(Addendum!C:C,A3197,Addendum!D:D,IF(ISNUMBER(B3197),TEXT(B3197,"0000"),B3197),Addendum!F:F,"X")&gt;0,2.5%,0)</f>
        <v>0</v>
      </c>
      <c r="K3197" s="31">
        <f>IF(COUNTIFS(Addendum!C:C,A3197,Addendum!D:D,IF(ISNUMBER(B3197),TEXT(B3197,"0000"),B3197),Addendum!G:G,"X")&gt;0,7%,0)</f>
        <v>0</v>
      </c>
      <c r="L3197" s="31">
        <f>IF(COUNTIFS(Addendum!C:C,A3197,Addendum!D:D,IF(ISNUMBER(B3197),TEXT(B3197,"0000"),B3197),Addendum!I:I,"X")&gt;0,10%,0)</f>
        <v>0</v>
      </c>
      <c r="M3197" s="34">
        <f t="shared" si="98"/>
        <v>0</v>
      </c>
      <c r="N3197" s="17">
        <f t="shared" si="99"/>
        <v>19968</v>
      </c>
    </row>
    <row r="3198" spans="1:14" ht="30" x14ac:dyDescent="0.25">
      <c r="A3198" s="14" t="s">
        <v>2716</v>
      </c>
      <c r="B3198" s="14" t="s">
        <v>118</v>
      </c>
      <c r="C3198" s="15" t="s">
        <v>2722</v>
      </c>
      <c r="D3198" s="14" t="s">
        <v>1745</v>
      </c>
      <c r="E3198" s="14" t="s">
        <v>1746</v>
      </c>
      <c r="F3198" s="17" t="s">
        <v>2995</v>
      </c>
      <c r="G3198" s="14">
        <v>9828</v>
      </c>
      <c r="H3198" s="14">
        <v>8845.2000000000007</v>
      </c>
      <c r="I3198" s="31">
        <f>IF(COUNTIFS(Addendum!C:C,A3198,Addendum!D:D,IF(ISNUMBER(B3198),TEXT(B3198,"0000"),B3198),Addendum!E:E,"X")&gt;0,4%,0)</f>
        <v>0</v>
      </c>
      <c r="J3198" s="31">
        <f>IF(COUNTIFS(Addendum!C:C,A3198,Addendum!D:D,IF(ISNUMBER(B3198),TEXT(B3198,"0000"),B3198),Addendum!F:F,"X")&gt;0,2.5%,0)</f>
        <v>0</v>
      </c>
      <c r="K3198" s="31">
        <f>IF(COUNTIFS(Addendum!C:C,A3198,Addendum!D:D,IF(ISNUMBER(B3198),TEXT(B3198,"0000"),B3198),Addendum!G:G,"X")&gt;0,7%,0)</f>
        <v>0</v>
      </c>
      <c r="L3198" s="31">
        <f>IF(COUNTIFS(Addendum!C:C,A3198,Addendum!D:D,IF(ISNUMBER(B3198),TEXT(B3198,"0000"),B3198),Addendum!I:I,"X")&gt;0,10%,0)</f>
        <v>0</v>
      </c>
      <c r="M3198" s="34">
        <f t="shared" si="98"/>
        <v>0</v>
      </c>
      <c r="N3198" s="17">
        <f t="shared" si="99"/>
        <v>8845.2000000000007</v>
      </c>
    </row>
    <row r="3199" spans="1:14" ht="30" x14ac:dyDescent="0.25">
      <c r="A3199" s="14" t="s">
        <v>2716</v>
      </c>
      <c r="B3199" s="14" t="s">
        <v>122</v>
      </c>
      <c r="C3199" s="15" t="s">
        <v>2724</v>
      </c>
      <c r="D3199" s="14" t="s">
        <v>1749</v>
      </c>
      <c r="E3199" s="14" t="s">
        <v>1746</v>
      </c>
      <c r="F3199" s="17" t="s">
        <v>2995</v>
      </c>
      <c r="G3199" s="14">
        <v>1872</v>
      </c>
      <c r="H3199" s="14">
        <v>1684.8</v>
      </c>
      <c r="I3199" s="31">
        <f>IF(COUNTIFS(Addendum!C:C,A3199,Addendum!D:D,IF(ISNUMBER(B3199),TEXT(B3199,"0000"),B3199),Addendum!E:E,"X")&gt;0,4%,0)</f>
        <v>0</v>
      </c>
      <c r="J3199" s="31">
        <f>IF(COUNTIFS(Addendum!C:C,A3199,Addendum!D:D,IF(ISNUMBER(B3199),TEXT(B3199,"0000"),B3199),Addendum!F:F,"X")&gt;0,2.5%,0)</f>
        <v>0</v>
      </c>
      <c r="K3199" s="31">
        <f>IF(COUNTIFS(Addendum!C:C,A3199,Addendum!D:D,IF(ISNUMBER(B3199),TEXT(B3199,"0000"),B3199),Addendum!G:G,"X")&gt;0,7%,0)</f>
        <v>0</v>
      </c>
      <c r="L3199" s="31">
        <f>IF(COUNTIFS(Addendum!C:C,A3199,Addendum!D:D,IF(ISNUMBER(B3199),TEXT(B3199,"0000"),B3199),Addendum!I:I,"X")&gt;0,10%,0)</f>
        <v>0</v>
      </c>
      <c r="M3199" s="34">
        <f t="shared" si="98"/>
        <v>0</v>
      </c>
      <c r="N3199" s="17">
        <f t="shared" si="99"/>
        <v>1684.8</v>
      </c>
    </row>
    <row r="3200" spans="1:14" ht="30" x14ac:dyDescent="0.25">
      <c r="A3200" s="14" t="s">
        <v>2716</v>
      </c>
      <c r="B3200" s="14" t="s">
        <v>29</v>
      </c>
      <c r="C3200" s="15" t="s">
        <v>2721</v>
      </c>
      <c r="D3200" s="14" t="s">
        <v>1745</v>
      </c>
      <c r="E3200" s="14" t="s">
        <v>1747</v>
      </c>
      <c r="F3200" s="17" t="s">
        <v>2994</v>
      </c>
      <c r="G3200" s="14">
        <v>15000</v>
      </c>
      <c r="H3200" s="14">
        <v>12000</v>
      </c>
      <c r="I3200" s="31">
        <f>IF(COUNTIFS(Addendum!C:C,A3200,Addendum!D:D,IF(ISNUMBER(B3200),TEXT(B3200,"0000"),B3200),Addendum!E:E,"X")&gt;0,4%,0)</f>
        <v>0</v>
      </c>
      <c r="J3200" s="31">
        <f>IF(COUNTIFS(Addendum!C:C,A3200,Addendum!D:D,IF(ISNUMBER(B3200),TEXT(B3200,"0000"),B3200),Addendum!F:F,"X")&gt;0,2.5%,0)</f>
        <v>0</v>
      </c>
      <c r="K3200" s="31">
        <f>IF(COUNTIFS(Addendum!C:C,A3200,Addendum!D:D,IF(ISNUMBER(B3200),TEXT(B3200,"0000"),B3200),Addendum!G:G,"X")&gt;0,7%,0)</f>
        <v>0</v>
      </c>
      <c r="L3200" s="31">
        <f>IF(COUNTIFS(Addendum!C:C,A3200,Addendum!D:D,IF(ISNUMBER(B3200),TEXT(B3200,"0000"),B3200),Addendum!I:I,"X")&gt;0,10%,0)</f>
        <v>0</v>
      </c>
      <c r="M3200" s="34">
        <f t="shared" si="98"/>
        <v>0</v>
      </c>
      <c r="N3200" s="17">
        <f t="shared" si="99"/>
        <v>12000</v>
      </c>
    </row>
    <row r="3201" spans="1:14" ht="30" x14ac:dyDescent="0.25">
      <c r="A3201" s="14" t="s">
        <v>2716</v>
      </c>
      <c r="B3201" s="14">
        <v>3</v>
      </c>
      <c r="C3201" s="15" t="s">
        <v>2718</v>
      </c>
      <c r="D3201" s="14" t="s">
        <v>1749</v>
      </c>
      <c r="E3201" s="14" t="s">
        <v>1746</v>
      </c>
      <c r="F3201" s="17" t="s">
        <v>2993</v>
      </c>
      <c r="G3201" s="14">
        <v>2496</v>
      </c>
      <c r="H3201" s="14">
        <v>1996.8</v>
      </c>
      <c r="I3201" s="31">
        <f>IF(COUNTIFS(Addendum!C:C,A3201,Addendum!D:D,IF(ISNUMBER(B3201),TEXT(B3201,"0000"),B3201),Addendum!E:E,"X")&gt;0,4%,0)</f>
        <v>0</v>
      </c>
      <c r="J3201" s="31">
        <f>IF(COUNTIFS(Addendum!C:C,A3201,Addendum!D:D,IF(ISNUMBER(B3201),TEXT(B3201,"0000"),B3201),Addendum!F:F,"X")&gt;0,2.5%,0)</f>
        <v>0</v>
      </c>
      <c r="K3201" s="31">
        <f>IF(COUNTIFS(Addendum!C:C,A3201,Addendum!D:D,IF(ISNUMBER(B3201),TEXT(B3201,"0000"),B3201),Addendum!G:G,"X")&gt;0,7%,0)</f>
        <v>0</v>
      </c>
      <c r="L3201" s="31">
        <f>IF(COUNTIFS(Addendum!C:C,A3201,Addendum!D:D,IF(ISNUMBER(B3201),TEXT(B3201,"0000"),B3201),Addendum!I:I,"X")&gt;0,10%,0)</f>
        <v>0</v>
      </c>
      <c r="M3201" s="34">
        <f t="shared" si="98"/>
        <v>0</v>
      </c>
      <c r="N3201" s="17">
        <f t="shared" si="99"/>
        <v>1996.8</v>
      </c>
    </row>
    <row r="3202" spans="1:14" ht="30" x14ac:dyDescent="0.25">
      <c r="A3202" s="14" t="s">
        <v>2716</v>
      </c>
      <c r="B3202" s="14" t="s">
        <v>46</v>
      </c>
      <c r="C3202" s="15" t="s">
        <v>2719</v>
      </c>
      <c r="D3202" s="14" t="s">
        <v>1749</v>
      </c>
      <c r="E3202" s="14" t="s">
        <v>1746</v>
      </c>
      <c r="F3202" s="17" t="s">
        <v>2994</v>
      </c>
      <c r="G3202" s="14">
        <v>1374</v>
      </c>
      <c r="H3202" s="14">
        <v>1099.2</v>
      </c>
      <c r="I3202" s="31">
        <f>IF(COUNTIFS(Addendum!C:C,A3202,Addendum!D:D,IF(ISNUMBER(B3202),TEXT(B3202,"0000"),B3202),Addendum!E:E,"X")&gt;0,4%,0)</f>
        <v>0</v>
      </c>
      <c r="J3202" s="31">
        <f>IF(COUNTIFS(Addendum!C:C,A3202,Addendum!D:D,IF(ISNUMBER(B3202),TEXT(B3202,"0000"),B3202),Addendum!F:F,"X")&gt;0,2.5%,0)</f>
        <v>0</v>
      </c>
      <c r="K3202" s="31">
        <f>IF(COUNTIFS(Addendum!C:C,A3202,Addendum!D:D,IF(ISNUMBER(B3202),TEXT(B3202,"0000"),B3202),Addendum!G:G,"X")&gt;0,7%,0)</f>
        <v>0</v>
      </c>
      <c r="L3202" s="31">
        <f>IF(COUNTIFS(Addendum!C:C,A3202,Addendum!D:D,IF(ISNUMBER(B3202),TEXT(B3202,"0000"),B3202),Addendum!I:I,"X")&gt;0,10%,0)</f>
        <v>0</v>
      </c>
      <c r="M3202" s="34">
        <f t="shared" si="98"/>
        <v>0</v>
      </c>
      <c r="N3202" s="17">
        <f t="shared" si="99"/>
        <v>1099.2</v>
      </c>
    </row>
    <row r="3203" spans="1:14" ht="30" x14ac:dyDescent="0.25">
      <c r="A3203" s="14" t="s">
        <v>2716</v>
      </c>
      <c r="B3203" s="14" t="s">
        <v>28</v>
      </c>
      <c r="C3203" s="15" t="s">
        <v>2725</v>
      </c>
      <c r="D3203" s="14" t="s">
        <v>1745</v>
      </c>
      <c r="E3203" s="14" t="s">
        <v>1746</v>
      </c>
      <c r="F3203" s="17" t="s">
        <v>2994</v>
      </c>
      <c r="G3203" s="14">
        <v>10458</v>
      </c>
      <c r="H3203" s="14">
        <v>8366.4</v>
      </c>
      <c r="I3203" s="31">
        <f>IF(COUNTIFS(Addendum!C:C,A3203,Addendum!D:D,IF(ISNUMBER(B3203),TEXT(B3203,"0000"),B3203),Addendum!E:E,"X")&gt;0,4%,0)</f>
        <v>0</v>
      </c>
      <c r="J3203" s="31">
        <f>IF(COUNTIFS(Addendum!C:C,A3203,Addendum!D:D,IF(ISNUMBER(B3203),TEXT(B3203,"0000"),B3203),Addendum!F:F,"X")&gt;0,2.5%,0)</f>
        <v>0</v>
      </c>
      <c r="K3203" s="31">
        <f>IF(COUNTIFS(Addendum!C:C,A3203,Addendum!D:D,IF(ISNUMBER(B3203),TEXT(B3203,"0000"),B3203),Addendum!G:G,"X")&gt;0,7%,0)</f>
        <v>0</v>
      </c>
      <c r="L3203" s="31">
        <f>IF(COUNTIFS(Addendum!C:C,A3203,Addendum!D:D,IF(ISNUMBER(B3203),TEXT(B3203,"0000"),B3203),Addendum!I:I,"X")&gt;0,10%,0)</f>
        <v>0</v>
      </c>
      <c r="M3203" s="34">
        <f t="shared" si="98"/>
        <v>0</v>
      </c>
      <c r="N3203" s="17">
        <f t="shared" si="99"/>
        <v>8366.4</v>
      </c>
    </row>
    <row r="3204" spans="1:14" ht="30" x14ac:dyDescent="0.25">
      <c r="A3204" s="14" t="s">
        <v>2716</v>
      </c>
      <c r="B3204" s="14" t="s">
        <v>46</v>
      </c>
      <c r="C3204" s="15" t="s">
        <v>2719</v>
      </c>
      <c r="D3204" s="14" t="s">
        <v>1745</v>
      </c>
      <c r="E3204" s="14" t="s">
        <v>1747</v>
      </c>
      <c r="F3204" s="17" t="s">
        <v>2994</v>
      </c>
      <c r="G3204" s="14">
        <v>13740</v>
      </c>
      <c r="H3204" s="14">
        <v>10992</v>
      </c>
      <c r="I3204" s="31">
        <f>IF(COUNTIFS(Addendum!C:C,A3204,Addendum!D:D,IF(ISNUMBER(B3204),TEXT(B3204,"0000"),B3204),Addendum!E:E,"X")&gt;0,4%,0)</f>
        <v>0</v>
      </c>
      <c r="J3204" s="31">
        <f>IF(COUNTIFS(Addendum!C:C,A3204,Addendum!D:D,IF(ISNUMBER(B3204),TEXT(B3204,"0000"),B3204),Addendum!F:F,"X")&gt;0,2.5%,0)</f>
        <v>0</v>
      </c>
      <c r="K3204" s="31">
        <f>IF(COUNTIFS(Addendum!C:C,A3204,Addendum!D:D,IF(ISNUMBER(B3204),TEXT(B3204,"0000"),B3204),Addendum!G:G,"X")&gt;0,7%,0)</f>
        <v>0</v>
      </c>
      <c r="L3204" s="31">
        <f>IF(COUNTIFS(Addendum!C:C,A3204,Addendum!D:D,IF(ISNUMBER(B3204),TEXT(B3204,"0000"),B3204),Addendum!I:I,"X")&gt;0,10%,0)</f>
        <v>0</v>
      </c>
      <c r="M3204" s="34">
        <f t="shared" ref="M3204:M3267" si="100">IF(AND(I3204=0%,J3204=0%,K3204=0%,L3204=0%),0%,
IF(OR(TRIM(E3204)="OneTime",TRIM(D3204)=""),0%,
IF(
OR(
TRIM(D3204)="P1M",
AND(TRIM(D3204)="P1Y",TRIM(E3204)="Monthly"),
AND(TRIM(D3204)="P3Y",TRIM(E3204)="Monthly")
),
IF(AND(I3204=4%,J3204=0%,K3204=0%,L3204=0%),1%,
IF(AND(I3204=4%,J3204=2.5%,K3204=0%,L3204=10%),2%,
IF(AND(I3204=4%,J3204=0%,K3204=7%,L3204=10%),3%,0%))),
IF(
OR(
AND(TRIM(D3204)="P1Y",TRIM(E3204)="Annual"),
AND(TRIM(D3204)="P3Y",TRIM(E3204)="Annual"),
AND(TRIM(D3204)="P3Y",TRIM(E3204)="Triennial")
),
IF(AND(I3204=4%,J3204=0%,K3204=0%,L3204=0%),3%,
IF(AND(I3204=4%,J3204=2.5%,K3204=0%,L3204=10%),10%,
IF(AND(I3204=4%,J3204=0%,K3204=7%,L3204=10%),14%,0%))),
0%
))))</f>
        <v>0</v>
      </c>
      <c r="N3204" s="17">
        <f t="shared" ref="N3204:N3267" si="101">H3204-(H3204*M3204)</f>
        <v>10992</v>
      </c>
    </row>
    <row r="3205" spans="1:14" ht="30" x14ac:dyDescent="0.25">
      <c r="A3205" s="14" t="s">
        <v>2716</v>
      </c>
      <c r="B3205" s="14" t="s">
        <v>122</v>
      </c>
      <c r="C3205" s="15" t="s">
        <v>2724</v>
      </c>
      <c r="D3205" s="14" t="s">
        <v>1745</v>
      </c>
      <c r="E3205" s="14" t="s">
        <v>1746</v>
      </c>
      <c r="F3205" s="17" t="s">
        <v>2995</v>
      </c>
      <c r="G3205" s="14">
        <v>19656</v>
      </c>
      <c r="H3205" s="14">
        <v>17690.400000000001</v>
      </c>
      <c r="I3205" s="31">
        <f>IF(COUNTIFS(Addendum!C:C,A3205,Addendum!D:D,IF(ISNUMBER(B3205),TEXT(B3205,"0000"),B3205),Addendum!E:E,"X")&gt;0,4%,0)</f>
        <v>0</v>
      </c>
      <c r="J3205" s="31">
        <f>IF(COUNTIFS(Addendum!C:C,A3205,Addendum!D:D,IF(ISNUMBER(B3205),TEXT(B3205,"0000"),B3205),Addendum!F:F,"X")&gt;0,2.5%,0)</f>
        <v>0</v>
      </c>
      <c r="K3205" s="31">
        <f>IF(COUNTIFS(Addendum!C:C,A3205,Addendum!D:D,IF(ISNUMBER(B3205),TEXT(B3205,"0000"),B3205),Addendum!G:G,"X")&gt;0,7%,0)</f>
        <v>0</v>
      </c>
      <c r="L3205" s="31">
        <f>IF(COUNTIFS(Addendum!C:C,A3205,Addendum!D:D,IF(ISNUMBER(B3205),TEXT(B3205,"0000"),B3205),Addendum!I:I,"X")&gt;0,10%,0)</f>
        <v>0</v>
      </c>
      <c r="M3205" s="34">
        <f t="shared" si="100"/>
        <v>0</v>
      </c>
      <c r="N3205" s="17">
        <f t="shared" si="101"/>
        <v>17690.400000000001</v>
      </c>
    </row>
    <row r="3206" spans="1:14" ht="30" x14ac:dyDescent="0.25">
      <c r="A3206" s="14" t="s">
        <v>2716</v>
      </c>
      <c r="B3206" s="14">
        <v>1</v>
      </c>
      <c r="C3206" s="15" t="s">
        <v>2726</v>
      </c>
      <c r="D3206" s="14" t="s">
        <v>1749</v>
      </c>
      <c r="E3206" s="14" t="s">
        <v>1746</v>
      </c>
      <c r="F3206" s="17" t="s">
        <v>2993</v>
      </c>
      <c r="G3206" s="14">
        <v>3744</v>
      </c>
      <c r="H3206" s="14">
        <v>2995.2</v>
      </c>
      <c r="I3206" s="31">
        <f>IF(COUNTIFS(Addendum!C:C,A3206,Addendum!D:D,IF(ISNUMBER(B3206),TEXT(B3206,"0000"),B3206),Addendum!E:E,"X")&gt;0,4%,0)</f>
        <v>0</v>
      </c>
      <c r="J3206" s="31">
        <f>IF(COUNTIFS(Addendum!C:C,A3206,Addendum!D:D,IF(ISNUMBER(B3206),TEXT(B3206,"0000"),B3206),Addendum!F:F,"X")&gt;0,2.5%,0)</f>
        <v>0</v>
      </c>
      <c r="K3206" s="31">
        <f>IF(COUNTIFS(Addendum!C:C,A3206,Addendum!D:D,IF(ISNUMBER(B3206),TEXT(B3206,"0000"),B3206),Addendum!G:G,"X")&gt;0,7%,0)</f>
        <v>0</v>
      </c>
      <c r="L3206" s="31">
        <f>IF(COUNTIFS(Addendum!C:C,A3206,Addendum!D:D,IF(ISNUMBER(B3206),TEXT(B3206,"0000"),B3206),Addendum!I:I,"X")&gt;0,10%,0)</f>
        <v>0</v>
      </c>
      <c r="M3206" s="34">
        <f t="shared" si="100"/>
        <v>0</v>
      </c>
      <c r="N3206" s="17">
        <f t="shared" si="101"/>
        <v>2995.2</v>
      </c>
    </row>
    <row r="3207" spans="1:14" ht="30" x14ac:dyDescent="0.25">
      <c r="A3207" s="14" t="s">
        <v>2716</v>
      </c>
      <c r="B3207" s="14" t="s">
        <v>32</v>
      </c>
      <c r="C3207" s="15" t="s">
        <v>2723</v>
      </c>
      <c r="D3207" s="14" t="s">
        <v>1749</v>
      </c>
      <c r="E3207" s="14" t="s">
        <v>1746</v>
      </c>
      <c r="F3207" s="17" t="s">
        <v>2994</v>
      </c>
      <c r="G3207" s="14">
        <v>2994</v>
      </c>
      <c r="H3207" s="14">
        <v>2395.1999999999998</v>
      </c>
      <c r="I3207" s="31">
        <f>IF(COUNTIFS(Addendum!C:C,A3207,Addendum!D:D,IF(ISNUMBER(B3207),TEXT(B3207,"0000"),B3207),Addendum!E:E,"X")&gt;0,4%,0)</f>
        <v>0</v>
      </c>
      <c r="J3207" s="31">
        <f>IF(COUNTIFS(Addendum!C:C,A3207,Addendum!D:D,IF(ISNUMBER(B3207),TEXT(B3207,"0000"),B3207),Addendum!F:F,"X")&gt;0,2.5%,0)</f>
        <v>0</v>
      </c>
      <c r="K3207" s="31">
        <f>IF(COUNTIFS(Addendum!C:C,A3207,Addendum!D:D,IF(ISNUMBER(B3207),TEXT(B3207,"0000"),B3207),Addendum!G:G,"X")&gt;0,7%,0)</f>
        <v>0</v>
      </c>
      <c r="L3207" s="31">
        <f>IF(COUNTIFS(Addendum!C:C,A3207,Addendum!D:D,IF(ISNUMBER(B3207),TEXT(B3207,"0000"),B3207),Addendum!I:I,"X")&gt;0,10%,0)</f>
        <v>0</v>
      </c>
      <c r="M3207" s="34">
        <f t="shared" si="100"/>
        <v>0</v>
      </c>
      <c r="N3207" s="17">
        <f t="shared" si="101"/>
        <v>2395.1999999999998</v>
      </c>
    </row>
    <row r="3208" spans="1:14" ht="30" x14ac:dyDescent="0.25">
      <c r="A3208" s="14" t="s">
        <v>2716</v>
      </c>
      <c r="B3208" s="14" t="s">
        <v>50</v>
      </c>
      <c r="C3208" s="15" t="s">
        <v>2727</v>
      </c>
      <c r="D3208" s="14" t="s">
        <v>1745</v>
      </c>
      <c r="E3208" s="14" t="s">
        <v>1746</v>
      </c>
      <c r="F3208" s="17" t="s">
        <v>2994</v>
      </c>
      <c r="G3208" s="14">
        <v>43218</v>
      </c>
      <c r="H3208" s="14">
        <v>34574.400000000001</v>
      </c>
      <c r="I3208" s="31">
        <f>IF(COUNTIFS(Addendum!C:C,A3208,Addendum!D:D,IF(ISNUMBER(B3208),TEXT(B3208,"0000"),B3208),Addendum!E:E,"X")&gt;0,4%,0)</f>
        <v>0</v>
      </c>
      <c r="J3208" s="31">
        <f>IF(COUNTIFS(Addendum!C:C,A3208,Addendum!D:D,IF(ISNUMBER(B3208),TEXT(B3208,"0000"),B3208),Addendum!F:F,"X")&gt;0,2.5%,0)</f>
        <v>0</v>
      </c>
      <c r="K3208" s="31">
        <f>IF(COUNTIFS(Addendum!C:C,A3208,Addendum!D:D,IF(ISNUMBER(B3208),TEXT(B3208,"0000"),B3208),Addendum!G:G,"X")&gt;0,7%,0)</f>
        <v>0</v>
      </c>
      <c r="L3208" s="31">
        <f>IF(COUNTIFS(Addendum!C:C,A3208,Addendum!D:D,IF(ISNUMBER(B3208),TEXT(B3208,"0000"),B3208),Addendum!I:I,"X")&gt;0,10%,0)</f>
        <v>0</v>
      </c>
      <c r="M3208" s="34">
        <f t="shared" si="100"/>
        <v>0</v>
      </c>
      <c r="N3208" s="17">
        <f t="shared" si="101"/>
        <v>34574.400000000001</v>
      </c>
    </row>
    <row r="3209" spans="1:14" ht="30" x14ac:dyDescent="0.25">
      <c r="A3209" s="14" t="s">
        <v>2716</v>
      </c>
      <c r="B3209" s="14" t="s">
        <v>243</v>
      </c>
      <c r="C3209" s="15" t="s">
        <v>2717</v>
      </c>
      <c r="D3209" s="14" t="s">
        <v>1749</v>
      </c>
      <c r="E3209" s="14" t="s">
        <v>1746</v>
      </c>
      <c r="F3209" s="17" t="s">
        <v>2995</v>
      </c>
      <c r="G3209" s="14">
        <v>624</v>
      </c>
      <c r="H3209" s="14">
        <v>561.6</v>
      </c>
      <c r="I3209" s="31">
        <f>IF(COUNTIFS(Addendum!C:C,A3209,Addendum!D:D,IF(ISNUMBER(B3209),TEXT(B3209,"0000"),B3209),Addendum!E:E,"X")&gt;0,4%,0)</f>
        <v>0</v>
      </c>
      <c r="J3209" s="31">
        <f>IF(COUNTIFS(Addendum!C:C,A3209,Addendum!D:D,IF(ISNUMBER(B3209),TEXT(B3209,"0000"),B3209),Addendum!F:F,"X")&gt;0,2.5%,0)</f>
        <v>0</v>
      </c>
      <c r="K3209" s="31">
        <f>IF(COUNTIFS(Addendum!C:C,A3209,Addendum!D:D,IF(ISNUMBER(B3209),TEXT(B3209,"0000"),B3209),Addendum!G:G,"X")&gt;0,7%,0)</f>
        <v>0</v>
      </c>
      <c r="L3209" s="31">
        <f>IF(COUNTIFS(Addendum!C:C,A3209,Addendum!D:D,IF(ISNUMBER(B3209),TEXT(B3209,"0000"),B3209),Addendum!I:I,"X")&gt;0,10%,0)</f>
        <v>0</v>
      </c>
      <c r="M3209" s="34">
        <f t="shared" si="100"/>
        <v>0</v>
      </c>
      <c r="N3209" s="17">
        <f t="shared" si="101"/>
        <v>561.6</v>
      </c>
    </row>
    <row r="3210" spans="1:14" ht="30" x14ac:dyDescent="0.25">
      <c r="A3210" s="14" t="s">
        <v>2716</v>
      </c>
      <c r="B3210" s="14" t="s">
        <v>28</v>
      </c>
      <c r="C3210" s="15" t="s">
        <v>2725</v>
      </c>
      <c r="D3210" s="14" t="s">
        <v>1745</v>
      </c>
      <c r="E3210" s="14" t="s">
        <v>1747</v>
      </c>
      <c r="F3210" s="17" t="s">
        <v>2994</v>
      </c>
      <c r="G3210" s="14">
        <v>9960</v>
      </c>
      <c r="H3210" s="14">
        <v>7968</v>
      </c>
      <c r="I3210" s="31">
        <f>IF(COUNTIFS(Addendum!C:C,A3210,Addendum!D:D,IF(ISNUMBER(B3210),TEXT(B3210,"0000"),B3210),Addendum!E:E,"X")&gt;0,4%,0)</f>
        <v>0</v>
      </c>
      <c r="J3210" s="31">
        <f>IF(COUNTIFS(Addendum!C:C,A3210,Addendum!D:D,IF(ISNUMBER(B3210),TEXT(B3210,"0000"),B3210),Addendum!F:F,"X")&gt;0,2.5%,0)</f>
        <v>0</v>
      </c>
      <c r="K3210" s="31">
        <f>IF(COUNTIFS(Addendum!C:C,A3210,Addendum!D:D,IF(ISNUMBER(B3210),TEXT(B3210,"0000"),B3210),Addendum!G:G,"X")&gt;0,7%,0)</f>
        <v>0</v>
      </c>
      <c r="L3210" s="31">
        <f>IF(COUNTIFS(Addendum!C:C,A3210,Addendum!D:D,IF(ISNUMBER(B3210),TEXT(B3210,"0000"),B3210),Addendum!I:I,"X")&gt;0,10%,0)</f>
        <v>0</v>
      </c>
      <c r="M3210" s="34">
        <f t="shared" si="100"/>
        <v>0</v>
      </c>
      <c r="N3210" s="17">
        <f t="shared" si="101"/>
        <v>7968</v>
      </c>
    </row>
    <row r="3211" spans="1:14" ht="30" x14ac:dyDescent="0.25">
      <c r="A3211" s="14" t="s">
        <v>2716</v>
      </c>
      <c r="B3211" s="14" t="s">
        <v>39</v>
      </c>
      <c r="C3211" s="15" t="s">
        <v>2728</v>
      </c>
      <c r="D3211" s="14" t="s">
        <v>1745</v>
      </c>
      <c r="E3211" s="14" t="s">
        <v>1746</v>
      </c>
      <c r="F3211" s="17" t="s">
        <v>2994</v>
      </c>
      <c r="G3211" s="14">
        <v>21609</v>
      </c>
      <c r="H3211" s="14">
        <v>17287.2</v>
      </c>
      <c r="I3211" s="31">
        <f>IF(COUNTIFS(Addendum!C:C,A3211,Addendum!D:D,IF(ISNUMBER(B3211),TEXT(B3211,"0000"),B3211),Addendum!E:E,"X")&gt;0,4%,0)</f>
        <v>0</v>
      </c>
      <c r="J3211" s="31">
        <f>IF(COUNTIFS(Addendum!C:C,A3211,Addendum!D:D,IF(ISNUMBER(B3211),TEXT(B3211,"0000"),B3211),Addendum!F:F,"X")&gt;0,2.5%,0)</f>
        <v>0</v>
      </c>
      <c r="K3211" s="31">
        <f>IF(COUNTIFS(Addendum!C:C,A3211,Addendum!D:D,IF(ISNUMBER(B3211),TEXT(B3211,"0000"),B3211),Addendum!G:G,"X")&gt;0,7%,0)</f>
        <v>0</v>
      </c>
      <c r="L3211" s="31">
        <f>IF(COUNTIFS(Addendum!C:C,A3211,Addendum!D:D,IF(ISNUMBER(B3211),TEXT(B3211,"0000"),B3211),Addendum!I:I,"X")&gt;0,10%,0)</f>
        <v>0</v>
      </c>
      <c r="M3211" s="34">
        <f t="shared" si="100"/>
        <v>0</v>
      </c>
      <c r="N3211" s="17">
        <f t="shared" si="101"/>
        <v>17287.2</v>
      </c>
    </row>
    <row r="3212" spans="1:14" ht="30" x14ac:dyDescent="0.25">
      <c r="A3212" s="14" t="s">
        <v>2716</v>
      </c>
      <c r="B3212" s="14" t="s">
        <v>39</v>
      </c>
      <c r="C3212" s="15" t="s">
        <v>2728</v>
      </c>
      <c r="D3212" s="14" t="s">
        <v>1749</v>
      </c>
      <c r="E3212" s="14" t="s">
        <v>1746</v>
      </c>
      <c r="F3212" s="17" t="s">
        <v>2994</v>
      </c>
      <c r="G3212" s="14">
        <v>2058</v>
      </c>
      <c r="H3212" s="14">
        <v>1646.4</v>
      </c>
      <c r="I3212" s="31">
        <f>IF(COUNTIFS(Addendum!C:C,A3212,Addendum!D:D,IF(ISNUMBER(B3212),TEXT(B3212,"0000"),B3212),Addendum!E:E,"X")&gt;0,4%,0)</f>
        <v>0</v>
      </c>
      <c r="J3212" s="31">
        <f>IF(COUNTIFS(Addendum!C:C,A3212,Addendum!D:D,IF(ISNUMBER(B3212),TEXT(B3212,"0000"),B3212),Addendum!F:F,"X")&gt;0,2.5%,0)</f>
        <v>0</v>
      </c>
      <c r="K3212" s="31">
        <f>IF(COUNTIFS(Addendum!C:C,A3212,Addendum!D:D,IF(ISNUMBER(B3212),TEXT(B3212,"0000"),B3212),Addendum!G:G,"X")&gt;0,7%,0)</f>
        <v>0</v>
      </c>
      <c r="L3212" s="31">
        <f>IF(COUNTIFS(Addendum!C:C,A3212,Addendum!D:D,IF(ISNUMBER(B3212),TEXT(B3212,"0000"),B3212),Addendum!I:I,"X")&gt;0,10%,0)</f>
        <v>0</v>
      </c>
      <c r="M3212" s="34">
        <f t="shared" si="100"/>
        <v>0</v>
      </c>
      <c r="N3212" s="17">
        <f t="shared" si="101"/>
        <v>1646.4</v>
      </c>
    </row>
    <row r="3213" spans="1:14" ht="30" x14ac:dyDescent="0.25">
      <c r="A3213" s="14" t="s">
        <v>2716</v>
      </c>
      <c r="B3213" s="14" t="s">
        <v>122</v>
      </c>
      <c r="C3213" s="15" t="s">
        <v>2724</v>
      </c>
      <c r="D3213" s="14" t="s">
        <v>1745</v>
      </c>
      <c r="E3213" s="14" t="s">
        <v>1747</v>
      </c>
      <c r="F3213" s="17" t="s">
        <v>2995</v>
      </c>
      <c r="G3213" s="14">
        <v>18720</v>
      </c>
      <c r="H3213" s="14">
        <v>16848</v>
      </c>
      <c r="I3213" s="31">
        <f>IF(COUNTIFS(Addendum!C:C,A3213,Addendum!D:D,IF(ISNUMBER(B3213),TEXT(B3213,"0000"),B3213),Addendum!E:E,"X")&gt;0,4%,0)</f>
        <v>0</v>
      </c>
      <c r="J3213" s="31">
        <f>IF(COUNTIFS(Addendum!C:C,A3213,Addendum!D:D,IF(ISNUMBER(B3213),TEXT(B3213,"0000"),B3213),Addendum!F:F,"X")&gt;0,2.5%,0)</f>
        <v>0</v>
      </c>
      <c r="K3213" s="31">
        <f>IF(COUNTIFS(Addendum!C:C,A3213,Addendum!D:D,IF(ISNUMBER(B3213),TEXT(B3213,"0000"),B3213),Addendum!G:G,"X")&gt;0,7%,0)</f>
        <v>0</v>
      </c>
      <c r="L3213" s="31">
        <f>IF(COUNTIFS(Addendum!C:C,A3213,Addendum!D:D,IF(ISNUMBER(B3213),TEXT(B3213,"0000"),B3213),Addendum!I:I,"X")&gt;0,10%,0)</f>
        <v>0</v>
      </c>
      <c r="M3213" s="34">
        <f t="shared" si="100"/>
        <v>0</v>
      </c>
      <c r="N3213" s="17">
        <f t="shared" si="101"/>
        <v>16848</v>
      </c>
    </row>
    <row r="3214" spans="1:14" ht="30" x14ac:dyDescent="0.25">
      <c r="A3214" s="14" t="s">
        <v>2716</v>
      </c>
      <c r="B3214" s="14" t="s">
        <v>50</v>
      </c>
      <c r="C3214" s="15" t="s">
        <v>2727</v>
      </c>
      <c r="D3214" s="14" t="s">
        <v>1745</v>
      </c>
      <c r="E3214" s="14" t="s">
        <v>1747</v>
      </c>
      <c r="F3214" s="17" t="s">
        <v>2994</v>
      </c>
      <c r="G3214" s="14">
        <v>41160</v>
      </c>
      <c r="H3214" s="14">
        <v>32928</v>
      </c>
      <c r="I3214" s="31">
        <f>IF(COUNTIFS(Addendum!C:C,A3214,Addendum!D:D,IF(ISNUMBER(B3214),TEXT(B3214,"0000"),B3214),Addendum!E:E,"X")&gt;0,4%,0)</f>
        <v>0</v>
      </c>
      <c r="J3214" s="31">
        <f>IF(COUNTIFS(Addendum!C:C,A3214,Addendum!D:D,IF(ISNUMBER(B3214),TEXT(B3214,"0000"),B3214),Addendum!F:F,"X")&gt;0,2.5%,0)</f>
        <v>0</v>
      </c>
      <c r="K3214" s="31">
        <f>IF(COUNTIFS(Addendum!C:C,A3214,Addendum!D:D,IF(ISNUMBER(B3214),TEXT(B3214,"0000"),B3214),Addendum!G:G,"X")&gt;0,7%,0)</f>
        <v>0</v>
      </c>
      <c r="L3214" s="31">
        <f>IF(COUNTIFS(Addendum!C:C,A3214,Addendum!D:D,IF(ISNUMBER(B3214),TEXT(B3214,"0000"),B3214),Addendum!I:I,"X")&gt;0,10%,0)</f>
        <v>0</v>
      </c>
      <c r="M3214" s="34">
        <f t="shared" si="100"/>
        <v>0</v>
      </c>
      <c r="N3214" s="17">
        <f t="shared" si="101"/>
        <v>32928</v>
      </c>
    </row>
    <row r="3215" spans="1:14" ht="30" x14ac:dyDescent="0.25">
      <c r="A3215" s="14" t="s">
        <v>2716</v>
      </c>
      <c r="B3215" s="14" t="s">
        <v>50</v>
      </c>
      <c r="C3215" s="15" t="s">
        <v>2727</v>
      </c>
      <c r="D3215" s="14" t="s">
        <v>1749</v>
      </c>
      <c r="E3215" s="14" t="s">
        <v>1746</v>
      </c>
      <c r="F3215" s="17" t="s">
        <v>2994</v>
      </c>
      <c r="G3215" s="14">
        <v>4116</v>
      </c>
      <c r="H3215" s="14">
        <v>3292.8</v>
      </c>
      <c r="I3215" s="31">
        <f>IF(COUNTIFS(Addendum!C:C,A3215,Addendum!D:D,IF(ISNUMBER(B3215),TEXT(B3215,"0000"),B3215),Addendum!E:E,"X")&gt;0,4%,0)</f>
        <v>0</v>
      </c>
      <c r="J3215" s="31">
        <f>IF(COUNTIFS(Addendum!C:C,A3215,Addendum!D:D,IF(ISNUMBER(B3215),TEXT(B3215,"0000"),B3215),Addendum!F:F,"X")&gt;0,2.5%,0)</f>
        <v>0</v>
      </c>
      <c r="K3215" s="31">
        <f>IF(COUNTIFS(Addendum!C:C,A3215,Addendum!D:D,IF(ISNUMBER(B3215),TEXT(B3215,"0000"),B3215),Addendum!G:G,"X")&gt;0,7%,0)</f>
        <v>0</v>
      </c>
      <c r="L3215" s="31">
        <f>IF(COUNTIFS(Addendum!C:C,A3215,Addendum!D:D,IF(ISNUMBER(B3215),TEXT(B3215,"0000"),B3215),Addendum!I:I,"X")&gt;0,10%,0)</f>
        <v>0</v>
      </c>
      <c r="M3215" s="34">
        <f t="shared" si="100"/>
        <v>0</v>
      </c>
      <c r="N3215" s="17">
        <f t="shared" si="101"/>
        <v>3292.8</v>
      </c>
    </row>
    <row r="3216" spans="1:14" ht="30" x14ac:dyDescent="0.25">
      <c r="A3216" s="14" t="s">
        <v>2716</v>
      </c>
      <c r="B3216" s="14" t="s">
        <v>32</v>
      </c>
      <c r="C3216" s="15" t="s">
        <v>2723</v>
      </c>
      <c r="D3216" s="14" t="s">
        <v>1745</v>
      </c>
      <c r="E3216" s="14" t="s">
        <v>1746</v>
      </c>
      <c r="F3216" s="17" t="s">
        <v>2994</v>
      </c>
      <c r="G3216" s="14">
        <v>31437</v>
      </c>
      <c r="H3216" s="14">
        <v>25149.599999999999</v>
      </c>
      <c r="I3216" s="31">
        <f>IF(COUNTIFS(Addendum!C:C,A3216,Addendum!D:D,IF(ISNUMBER(B3216),TEXT(B3216,"0000"),B3216),Addendum!E:E,"X")&gt;0,4%,0)</f>
        <v>0</v>
      </c>
      <c r="J3216" s="31">
        <f>IF(COUNTIFS(Addendum!C:C,A3216,Addendum!D:D,IF(ISNUMBER(B3216),TEXT(B3216,"0000"),B3216),Addendum!F:F,"X")&gt;0,2.5%,0)</f>
        <v>0</v>
      </c>
      <c r="K3216" s="31">
        <f>IF(COUNTIFS(Addendum!C:C,A3216,Addendum!D:D,IF(ISNUMBER(B3216),TEXT(B3216,"0000"),B3216),Addendum!G:G,"X")&gt;0,7%,0)</f>
        <v>0</v>
      </c>
      <c r="L3216" s="31">
        <f>IF(COUNTIFS(Addendum!C:C,A3216,Addendum!D:D,IF(ISNUMBER(B3216),TEXT(B3216,"0000"),B3216),Addendum!I:I,"X")&gt;0,10%,0)</f>
        <v>0</v>
      </c>
      <c r="M3216" s="34">
        <f t="shared" si="100"/>
        <v>0</v>
      </c>
      <c r="N3216" s="17">
        <f t="shared" si="101"/>
        <v>25149.599999999999</v>
      </c>
    </row>
    <row r="3217" spans="1:14" ht="30" x14ac:dyDescent="0.25">
      <c r="A3217" s="14" t="s">
        <v>2716</v>
      </c>
      <c r="B3217" s="14" t="s">
        <v>118</v>
      </c>
      <c r="C3217" s="15" t="s">
        <v>2722</v>
      </c>
      <c r="D3217" s="14" t="s">
        <v>1745</v>
      </c>
      <c r="E3217" s="14" t="s">
        <v>1747</v>
      </c>
      <c r="F3217" s="17" t="s">
        <v>2995</v>
      </c>
      <c r="G3217" s="14">
        <v>9360</v>
      </c>
      <c r="H3217" s="14">
        <v>8424</v>
      </c>
      <c r="I3217" s="31">
        <f>IF(COUNTIFS(Addendum!C:C,A3217,Addendum!D:D,IF(ISNUMBER(B3217),TEXT(B3217,"0000"),B3217),Addendum!E:E,"X")&gt;0,4%,0)</f>
        <v>0</v>
      </c>
      <c r="J3217" s="31">
        <f>IF(COUNTIFS(Addendum!C:C,A3217,Addendum!D:D,IF(ISNUMBER(B3217),TEXT(B3217,"0000"),B3217),Addendum!F:F,"X")&gt;0,2.5%,0)</f>
        <v>0</v>
      </c>
      <c r="K3217" s="31">
        <f>IF(COUNTIFS(Addendum!C:C,A3217,Addendum!D:D,IF(ISNUMBER(B3217),TEXT(B3217,"0000"),B3217),Addendum!G:G,"X")&gt;0,7%,0)</f>
        <v>0</v>
      </c>
      <c r="L3217" s="31">
        <f>IF(COUNTIFS(Addendum!C:C,A3217,Addendum!D:D,IF(ISNUMBER(B3217),TEXT(B3217,"0000"),B3217),Addendum!I:I,"X")&gt;0,10%,0)</f>
        <v>0</v>
      </c>
      <c r="M3217" s="34">
        <f t="shared" si="100"/>
        <v>0</v>
      </c>
      <c r="N3217" s="17">
        <f t="shared" si="101"/>
        <v>8424</v>
      </c>
    </row>
    <row r="3218" spans="1:14" x14ac:dyDescent="0.25">
      <c r="A3218" s="14" t="s">
        <v>2716</v>
      </c>
      <c r="B3218" s="14">
        <v>2</v>
      </c>
      <c r="C3218" s="15" t="s">
        <v>2720</v>
      </c>
      <c r="D3218" s="14" t="s">
        <v>1745</v>
      </c>
      <c r="E3218" s="14" t="s">
        <v>1746</v>
      </c>
      <c r="F3218" s="17" t="s">
        <v>2993</v>
      </c>
      <c r="G3218" s="14">
        <v>78624</v>
      </c>
      <c r="H3218" s="14">
        <v>62899.199999999997</v>
      </c>
      <c r="I3218" s="31">
        <f>IF(COUNTIFS(Addendum!C:C,A3218,Addendum!D:D,IF(ISNUMBER(B3218),TEXT(B3218,"0000"),B3218),Addendum!E:E,"X")&gt;0,4%,0)</f>
        <v>0</v>
      </c>
      <c r="J3218" s="31">
        <f>IF(COUNTIFS(Addendum!C:C,A3218,Addendum!D:D,IF(ISNUMBER(B3218),TEXT(B3218,"0000"),B3218),Addendum!F:F,"X")&gt;0,2.5%,0)</f>
        <v>0</v>
      </c>
      <c r="K3218" s="31">
        <f>IF(COUNTIFS(Addendum!C:C,A3218,Addendum!D:D,IF(ISNUMBER(B3218),TEXT(B3218,"0000"),B3218),Addendum!G:G,"X")&gt;0,7%,0)</f>
        <v>0</v>
      </c>
      <c r="L3218" s="31">
        <f>IF(COUNTIFS(Addendum!C:C,A3218,Addendum!D:D,IF(ISNUMBER(B3218),TEXT(B3218,"0000"),B3218),Addendum!I:I,"X")&gt;0,10%,0)</f>
        <v>0</v>
      </c>
      <c r="M3218" s="34">
        <f t="shared" si="100"/>
        <v>0</v>
      </c>
      <c r="N3218" s="17">
        <f t="shared" si="101"/>
        <v>62899.199999999997</v>
      </c>
    </row>
    <row r="3219" spans="1:14" ht="30" x14ac:dyDescent="0.25">
      <c r="A3219" s="14" t="s">
        <v>2716</v>
      </c>
      <c r="B3219" s="14" t="s">
        <v>39</v>
      </c>
      <c r="C3219" s="15" t="s">
        <v>2728</v>
      </c>
      <c r="D3219" s="14" t="s">
        <v>1745</v>
      </c>
      <c r="E3219" s="14" t="s">
        <v>1747</v>
      </c>
      <c r="F3219" s="17" t="s">
        <v>2994</v>
      </c>
      <c r="G3219" s="14">
        <v>20580</v>
      </c>
      <c r="H3219" s="14">
        <v>16464</v>
      </c>
      <c r="I3219" s="31">
        <f>IF(COUNTIFS(Addendum!C:C,A3219,Addendum!D:D,IF(ISNUMBER(B3219),TEXT(B3219,"0000"),B3219),Addendum!E:E,"X")&gt;0,4%,0)</f>
        <v>0</v>
      </c>
      <c r="J3219" s="31">
        <f>IF(COUNTIFS(Addendum!C:C,A3219,Addendum!D:D,IF(ISNUMBER(B3219),TEXT(B3219,"0000"),B3219),Addendum!F:F,"X")&gt;0,2.5%,0)</f>
        <v>0</v>
      </c>
      <c r="K3219" s="31">
        <f>IF(COUNTIFS(Addendum!C:C,A3219,Addendum!D:D,IF(ISNUMBER(B3219),TEXT(B3219,"0000"),B3219),Addendum!G:G,"X")&gt;0,7%,0)</f>
        <v>0</v>
      </c>
      <c r="L3219" s="31">
        <f>IF(COUNTIFS(Addendum!C:C,A3219,Addendum!D:D,IF(ISNUMBER(B3219),TEXT(B3219,"0000"),B3219),Addendum!I:I,"X")&gt;0,10%,0)</f>
        <v>0</v>
      </c>
      <c r="M3219" s="34">
        <f t="shared" si="100"/>
        <v>0</v>
      </c>
      <c r="N3219" s="17">
        <f t="shared" si="101"/>
        <v>16464</v>
      </c>
    </row>
    <row r="3220" spans="1:14" ht="30" x14ac:dyDescent="0.25">
      <c r="A3220" s="14" t="s">
        <v>2716</v>
      </c>
      <c r="B3220" s="14">
        <v>1</v>
      </c>
      <c r="C3220" s="15" t="s">
        <v>2726</v>
      </c>
      <c r="D3220" s="14" t="s">
        <v>1745</v>
      </c>
      <c r="E3220" s="14" t="s">
        <v>1747</v>
      </c>
      <c r="F3220" s="17" t="s">
        <v>2993</v>
      </c>
      <c r="G3220" s="14">
        <v>37440</v>
      </c>
      <c r="H3220" s="14">
        <v>29952</v>
      </c>
      <c r="I3220" s="31">
        <f>IF(COUNTIFS(Addendum!C:C,A3220,Addendum!D:D,IF(ISNUMBER(B3220),TEXT(B3220,"0000"),B3220),Addendum!E:E,"X")&gt;0,4%,0)</f>
        <v>0</v>
      </c>
      <c r="J3220" s="31">
        <f>IF(COUNTIFS(Addendum!C:C,A3220,Addendum!D:D,IF(ISNUMBER(B3220),TEXT(B3220,"0000"),B3220),Addendum!F:F,"X")&gt;0,2.5%,0)</f>
        <v>0</v>
      </c>
      <c r="K3220" s="31">
        <f>IF(COUNTIFS(Addendum!C:C,A3220,Addendum!D:D,IF(ISNUMBER(B3220),TEXT(B3220,"0000"),B3220),Addendum!G:G,"X")&gt;0,7%,0)</f>
        <v>0</v>
      </c>
      <c r="L3220" s="31">
        <f>IF(COUNTIFS(Addendum!C:C,A3220,Addendum!D:D,IF(ISNUMBER(B3220),TEXT(B3220,"0000"),B3220),Addendum!I:I,"X")&gt;0,10%,0)</f>
        <v>0</v>
      </c>
      <c r="M3220" s="34">
        <f t="shared" si="100"/>
        <v>0</v>
      </c>
      <c r="N3220" s="17">
        <f t="shared" si="101"/>
        <v>29952</v>
      </c>
    </row>
    <row r="3221" spans="1:14" x14ac:dyDescent="0.25">
      <c r="A3221" s="14" t="s">
        <v>2716</v>
      </c>
      <c r="B3221" s="14">
        <v>2</v>
      </c>
      <c r="C3221" s="15" t="s">
        <v>2720</v>
      </c>
      <c r="D3221" s="14" t="s">
        <v>1745</v>
      </c>
      <c r="E3221" s="14" t="s">
        <v>1747</v>
      </c>
      <c r="F3221" s="17" t="s">
        <v>2993</v>
      </c>
      <c r="G3221" s="14">
        <v>74880</v>
      </c>
      <c r="H3221" s="14">
        <v>59904</v>
      </c>
      <c r="I3221" s="31">
        <f>IF(COUNTIFS(Addendum!C:C,A3221,Addendum!D:D,IF(ISNUMBER(B3221),TEXT(B3221,"0000"),B3221),Addendum!E:E,"X")&gt;0,4%,0)</f>
        <v>0</v>
      </c>
      <c r="J3221" s="31">
        <f>IF(COUNTIFS(Addendum!C:C,A3221,Addendum!D:D,IF(ISNUMBER(B3221),TEXT(B3221,"0000"),B3221),Addendum!F:F,"X")&gt;0,2.5%,0)</f>
        <v>0</v>
      </c>
      <c r="K3221" s="31">
        <f>IF(COUNTIFS(Addendum!C:C,A3221,Addendum!D:D,IF(ISNUMBER(B3221),TEXT(B3221,"0000"),B3221),Addendum!G:G,"X")&gt;0,7%,0)</f>
        <v>0</v>
      </c>
      <c r="L3221" s="31">
        <f>IF(COUNTIFS(Addendum!C:C,A3221,Addendum!D:D,IF(ISNUMBER(B3221),TEXT(B3221,"0000"),B3221),Addendum!I:I,"X")&gt;0,10%,0)</f>
        <v>0</v>
      </c>
      <c r="M3221" s="34">
        <f t="shared" si="100"/>
        <v>0</v>
      </c>
      <c r="N3221" s="17">
        <f t="shared" si="101"/>
        <v>59904</v>
      </c>
    </row>
    <row r="3222" spans="1:14" ht="30" x14ac:dyDescent="0.25">
      <c r="A3222" s="14" t="s">
        <v>2716</v>
      </c>
      <c r="B3222" s="14" t="s">
        <v>29</v>
      </c>
      <c r="C3222" s="15" t="s">
        <v>2721</v>
      </c>
      <c r="D3222" s="14" t="s">
        <v>1749</v>
      </c>
      <c r="E3222" s="14" t="s">
        <v>1746</v>
      </c>
      <c r="F3222" s="17" t="s">
        <v>2994</v>
      </c>
      <c r="G3222" s="14">
        <v>1500</v>
      </c>
      <c r="H3222" s="14">
        <v>1200</v>
      </c>
      <c r="I3222" s="31">
        <f>IF(COUNTIFS(Addendum!C:C,A3222,Addendum!D:D,IF(ISNUMBER(B3222),TEXT(B3222,"0000"),B3222),Addendum!E:E,"X")&gt;0,4%,0)</f>
        <v>0</v>
      </c>
      <c r="J3222" s="31">
        <f>IF(COUNTIFS(Addendum!C:C,A3222,Addendum!D:D,IF(ISNUMBER(B3222),TEXT(B3222,"0000"),B3222),Addendum!F:F,"X")&gt;0,2.5%,0)</f>
        <v>0</v>
      </c>
      <c r="K3222" s="31">
        <f>IF(COUNTIFS(Addendum!C:C,A3222,Addendum!D:D,IF(ISNUMBER(B3222),TEXT(B3222,"0000"),B3222),Addendum!G:G,"X")&gt;0,7%,0)</f>
        <v>0</v>
      </c>
      <c r="L3222" s="31">
        <f>IF(COUNTIFS(Addendum!C:C,A3222,Addendum!D:D,IF(ISNUMBER(B3222),TEXT(B3222,"0000"),B3222),Addendum!I:I,"X")&gt;0,10%,0)</f>
        <v>0</v>
      </c>
      <c r="M3222" s="34">
        <f t="shared" si="100"/>
        <v>0</v>
      </c>
      <c r="N3222" s="17">
        <f t="shared" si="101"/>
        <v>1200</v>
      </c>
    </row>
    <row r="3223" spans="1:14" ht="30" x14ac:dyDescent="0.25">
      <c r="A3223" s="14" t="s">
        <v>2716</v>
      </c>
      <c r="B3223" s="14">
        <v>1</v>
      </c>
      <c r="C3223" s="15" t="s">
        <v>2726</v>
      </c>
      <c r="D3223" s="14" t="s">
        <v>1745</v>
      </c>
      <c r="E3223" s="14" t="s">
        <v>1746</v>
      </c>
      <c r="F3223" s="17" t="s">
        <v>2993</v>
      </c>
      <c r="G3223" s="14">
        <v>39312</v>
      </c>
      <c r="H3223" s="14">
        <v>31449.599999999999</v>
      </c>
      <c r="I3223" s="31">
        <f>IF(COUNTIFS(Addendum!C:C,A3223,Addendum!D:D,IF(ISNUMBER(B3223),TEXT(B3223,"0000"),B3223),Addendum!E:E,"X")&gt;0,4%,0)</f>
        <v>0</v>
      </c>
      <c r="J3223" s="31">
        <f>IF(COUNTIFS(Addendum!C:C,A3223,Addendum!D:D,IF(ISNUMBER(B3223),TEXT(B3223,"0000"),B3223),Addendum!F:F,"X")&gt;0,2.5%,0)</f>
        <v>0</v>
      </c>
      <c r="K3223" s="31">
        <f>IF(COUNTIFS(Addendum!C:C,A3223,Addendum!D:D,IF(ISNUMBER(B3223),TEXT(B3223,"0000"),B3223),Addendum!G:G,"X")&gt;0,7%,0)</f>
        <v>0</v>
      </c>
      <c r="L3223" s="31">
        <f>IF(COUNTIFS(Addendum!C:C,A3223,Addendum!D:D,IF(ISNUMBER(B3223),TEXT(B3223,"0000"),B3223),Addendum!I:I,"X")&gt;0,10%,0)</f>
        <v>0</v>
      </c>
      <c r="M3223" s="34">
        <f t="shared" si="100"/>
        <v>0</v>
      </c>
      <c r="N3223" s="17">
        <f t="shared" si="101"/>
        <v>31449.599999999999</v>
      </c>
    </row>
    <row r="3224" spans="1:14" ht="30" x14ac:dyDescent="0.25">
      <c r="A3224" s="14" t="s">
        <v>2716</v>
      </c>
      <c r="B3224" s="14" t="s">
        <v>28</v>
      </c>
      <c r="C3224" s="15" t="s">
        <v>2725</v>
      </c>
      <c r="D3224" s="14" t="s">
        <v>1749</v>
      </c>
      <c r="E3224" s="14" t="s">
        <v>1746</v>
      </c>
      <c r="F3224" s="17" t="s">
        <v>2994</v>
      </c>
      <c r="G3224" s="14">
        <v>996</v>
      </c>
      <c r="H3224" s="14">
        <v>796.8</v>
      </c>
      <c r="I3224" s="31">
        <f>IF(COUNTIFS(Addendum!C:C,A3224,Addendum!D:D,IF(ISNUMBER(B3224),TEXT(B3224,"0000"),B3224),Addendum!E:E,"X")&gt;0,4%,0)</f>
        <v>0</v>
      </c>
      <c r="J3224" s="31">
        <f>IF(COUNTIFS(Addendum!C:C,A3224,Addendum!D:D,IF(ISNUMBER(B3224),TEXT(B3224,"0000"),B3224),Addendum!F:F,"X")&gt;0,2.5%,0)</f>
        <v>0</v>
      </c>
      <c r="K3224" s="31">
        <f>IF(COUNTIFS(Addendum!C:C,A3224,Addendum!D:D,IF(ISNUMBER(B3224),TEXT(B3224,"0000"),B3224),Addendum!G:G,"X")&gt;0,7%,0)</f>
        <v>0</v>
      </c>
      <c r="L3224" s="31">
        <f>IF(COUNTIFS(Addendum!C:C,A3224,Addendum!D:D,IF(ISNUMBER(B3224),TEXT(B3224,"0000"),B3224),Addendum!I:I,"X")&gt;0,10%,0)</f>
        <v>0</v>
      </c>
      <c r="M3224" s="34">
        <f t="shared" si="100"/>
        <v>0</v>
      </c>
      <c r="N3224" s="17">
        <f t="shared" si="101"/>
        <v>796.8</v>
      </c>
    </row>
    <row r="3225" spans="1:14" ht="30" x14ac:dyDescent="0.25">
      <c r="A3225" s="14" t="s">
        <v>2729</v>
      </c>
      <c r="B3225" s="14">
        <v>2</v>
      </c>
      <c r="C3225" s="15" t="s">
        <v>2730</v>
      </c>
      <c r="D3225" s="14" t="s">
        <v>1749</v>
      </c>
      <c r="E3225" s="14" t="s">
        <v>1746</v>
      </c>
      <c r="F3225" s="17" t="s">
        <v>2993</v>
      </c>
      <c r="G3225" s="14">
        <v>4992</v>
      </c>
      <c r="H3225" s="14">
        <v>3993.6</v>
      </c>
      <c r="I3225" s="31">
        <f>IF(COUNTIFS(Addendum!C:C,A3225,Addendum!D:D,IF(ISNUMBER(B3225),TEXT(B3225,"0000"),B3225),Addendum!E:E,"X")&gt;0,4%,0)</f>
        <v>0</v>
      </c>
      <c r="J3225" s="31">
        <f>IF(COUNTIFS(Addendum!C:C,A3225,Addendum!D:D,IF(ISNUMBER(B3225),TEXT(B3225,"0000"),B3225),Addendum!F:F,"X")&gt;0,2.5%,0)</f>
        <v>0</v>
      </c>
      <c r="K3225" s="31">
        <f>IF(COUNTIFS(Addendum!C:C,A3225,Addendum!D:D,IF(ISNUMBER(B3225),TEXT(B3225,"0000"),B3225),Addendum!G:G,"X")&gt;0,7%,0)</f>
        <v>0</v>
      </c>
      <c r="L3225" s="31">
        <f>IF(COUNTIFS(Addendum!C:C,A3225,Addendum!D:D,IF(ISNUMBER(B3225),TEXT(B3225,"0000"),B3225),Addendum!I:I,"X")&gt;0,10%,0)</f>
        <v>0</v>
      </c>
      <c r="M3225" s="34">
        <f t="shared" si="100"/>
        <v>0</v>
      </c>
      <c r="N3225" s="17">
        <f t="shared" si="101"/>
        <v>3993.6</v>
      </c>
    </row>
    <row r="3226" spans="1:14" ht="30" x14ac:dyDescent="0.25">
      <c r="A3226" s="14" t="s">
        <v>2729</v>
      </c>
      <c r="B3226" s="14" t="s">
        <v>195</v>
      </c>
      <c r="C3226" s="15" t="s">
        <v>2731</v>
      </c>
      <c r="D3226" s="14" t="s">
        <v>1745</v>
      </c>
      <c r="E3226" s="14" t="s">
        <v>1747</v>
      </c>
      <c r="F3226" s="17" t="s">
        <v>2995</v>
      </c>
      <c r="G3226" s="14">
        <v>12480</v>
      </c>
      <c r="H3226" s="14">
        <v>11232</v>
      </c>
      <c r="I3226" s="31">
        <f>IF(COUNTIFS(Addendum!C:C,A3226,Addendum!D:D,IF(ISNUMBER(B3226),TEXT(B3226,"0000"),B3226),Addendum!E:E,"X")&gt;0,4%,0)</f>
        <v>0</v>
      </c>
      <c r="J3226" s="31">
        <f>IF(COUNTIFS(Addendum!C:C,A3226,Addendum!D:D,IF(ISNUMBER(B3226),TEXT(B3226,"0000"),B3226),Addendum!F:F,"X")&gt;0,2.5%,0)</f>
        <v>0</v>
      </c>
      <c r="K3226" s="31">
        <f>IF(COUNTIFS(Addendum!C:C,A3226,Addendum!D:D,IF(ISNUMBER(B3226),TEXT(B3226,"0000"),B3226),Addendum!G:G,"X")&gt;0,7%,0)</f>
        <v>0</v>
      </c>
      <c r="L3226" s="31">
        <f>IF(COUNTIFS(Addendum!C:C,A3226,Addendum!D:D,IF(ISNUMBER(B3226),TEXT(B3226,"0000"),B3226),Addendum!I:I,"X")&gt;0,10%,0)</f>
        <v>0</v>
      </c>
      <c r="M3226" s="34">
        <f t="shared" si="100"/>
        <v>0</v>
      </c>
      <c r="N3226" s="17">
        <f t="shared" si="101"/>
        <v>11232</v>
      </c>
    </row>
    <row r="3227" spans="1:14" ht="30" x14ac:dyDescent="0.25">
      <c r="A3227" s="14" t="s">
        <v>2729</v>
      </c>
      <c r="B3227" s="14" t="s">
        <v>28</v>
      </c>
      <c r="C3227" s="15" t="s">
        <v>2732</v>
      </c>
      <c r="D3227" s="14" t="s">
        <v>1745</v>
      </c>
      <c r="E3227" s="14" t="s">
        <v>1746</v>
      </c>
      <c r="F3227" s="17" t="s">
        <v>2994</v>
      </c>
      <c r="G3227" s="14">
        <v>43218</v>
      </c>
      <c r="H3227" s="14">
        <v>34574.400000000001</v>
      </c>
      <c r="I3227" s="31">
        <f>IF(COUNTIFS(Addendum!C:C,A3227,Addendum!D:D,IF(ISNUMBER(B3227),TEXT(B3227,"0000"),B3227),Addendum!E:E,"X")&gt;0,4%,0)</f>
        <v>0</v>
      </c>
      <c r="J3227" s="31">
        <f>IF(COUNTIFS(Addendum!C:C,A3227,Addendum!D:D,IF(ISNUMBER(B3227),TEXT(B3227,"0000"),B3227),Addendum!F:F,"X")&gt;0,2.5%,0)</f>
        <v>0</v>
      </c>
      <c r="K3227" s="31">
        <f>IF(COUNTIFS(Addendum!C:C,A3227,Addendum!D:D,IF(ISNUMBER(B3227),TEXT(B3227,"0000"),B3227),Addendum!G:G,"X")&gt;0,7%,0)</f>
        <v>0</v>
      </c>
      <c r="L3227" s="31">
        <f>IF(COUNTIFS(Addendum!C:C,A3227,Addendum!D:D,IF(ISNUMBER(B3227),TEXT(B3227,"0000"),B3227),Addendum!I:I,"X")&gt;0,10%,0)</f>
        <v>0</v>
      </c>
      <c r="M3227" s="34">
        <f t="shared" si="100"/>
        <v>0</v>
      </c>
      <c r="N3227" s="17">
        <f t="shared" si="101"/>
        <v>34574.400000000001</v>
      </c>
    </row>
    <row r="3228" spans="1:14" ht="30" x14ac:dyDescent="0.25">
      <c r="A3228" s="14" t="s">
        <v>2729</v>
      </c>
      <c r="B3228" s="14" t="s">
        <v>46</v>
      </c>
      <c r="C3228" s="15" t="s">
        <v>2733</v>
      </c>
      <c r="D3228" s="14" t="s">
        <v>1745</v>
      </c>
      <c r="E3228" s="14" t="s">
        <v>1746</v>
      </c>
      <c r="F3228" s="17" t="s">
        <v>2994</v>
      </c>
      <c r="G3228" s="14">
        <v>83853</v>
      </c>
      <c r="H3228" s="14">
        <v>67082.399999999994</v>
      </c>
      <c r="I3228" s="31">
        <f>IF(COUNTIFS(Addendum!C:C,A3228,Addendum!D:D,IF(ISNUMBER(B3228),TEXT(B3228,"0000"),B3228),Addendum!E:E,"X")&gt;0,4%,0)</f>
        <v>0</v>
      </c>
      <c r="J3228" s="31">
        <f>IF(COUNTIFS(Addendum!C:C,A3228,Addendum!D:D,IF(ISNUMBER(B3228),TEXT(B3228,"0000"),B3228),Addendum!F:F,"X")&gt;0,2.5%,0)</f>
        <v>0</v>
      </c>
      <c r="K3228" s="31">
        <f>IF(COUNTIFS(Addendum!C:C,A3228,Addendum!D:D,IF(ISNUMBER(B3228),TEXT(B3228,"0000"),B3228),Addendum!G:G,"X")&gt;0,7%,0)</f>
        <v>0</v>
      </c>
      <c r="L3228" s="31">
        <f>IF(COUNTIFS(Addendum!C:C,A3228,Addendum!D:D,IF(ISNUMBER(B3228),TEXT(B3228,"0000"),B3228),Addendum!I:I,"X")&gt;0,10%,0)</f>
        <v>0</v>
      </c>
      <c r="M3228" s="34">
        <f t="shared" si="100"/>
        <v>0</v>
      </c>
      <c r="N3228" s="17">
        <f t="shared" si="101"/>
        <v>67082.399999999994</v>
      </c>
    </row>
    <row r="3229" spans="1:14" ht="30" x14ac:dyDescent="0.25">
      <c r="A3229" s="14" t="s">
        <v>2729</v>
      </c>
      <c r="B3229" s="14" t="s">
        <v>32</v>
      </c>
      <c r="C3229" s="15" t="s">
        <v>2734</v>
      </c>
      <c r="D3229" s="14" t="s">
        <v>1745</v>
      </c>
      <c r="E3229" s="14" t="s">
        <v>1746</v>
      </c>
      <c r="F3229" s="17" t="s">
        <v>2994</v>
      </c>
      <c r="G3229" s="14">
        <v>28854</v>
      </c>
      <c r="H3229" s="14">
        <v>23083.200000000001</v>
      </c>
      <c r="I3229" s="31">
        <f>IF(COUNTIFS(Addendum!C:C,A3229,Addendum!D:D,IF(ISNUMBER(B3229),TEXT(B3229,"0000"),B3229),Addendum!E:E,"X")&gt;0,4%,0)</f>
        <v>0</v>
      </c>
      <c r="J3229" s="31">
        <f>IF(COUNTIFS(Addendum!C:C,A3229,Addendum!D:D,IF(ISNUMBER(B3229),TEXT(B3229,"0000"),B3229),Addendum!F:F,"X")&gt;0,2.5%,0)</f>
        <v>0</v>
      </c>
      <c r="K3229" s="31">
        <f>IF(COUNTIFS(Addendum!C:C,A3229,Addendum!D:D,IF(ISNUMBER(B3229),TEXT(B3229,"0000"),B3229),Addendum!G:G,"X")&gt;0,7%,0)</f>
        <v>0</v>
      </c>
      <c r="L3229" s="31">
        <f>IF(COUNTIFS(Addendum!C:C,A3229,Addendum!D:D,IF(ISNUMBER(B3229),TEXT(B3229,"0000"),B3229),Addendum!I:I,"X")&gt;0,10%,0)</f>
        <v>0</v>
      </c>
      <c r="M3229" s="34">
        <f t="shared" si="100"/>
        <v>0</v>
      </c>
      <c r="N3229" s="17">
        <f t="shared" si="101"/>
        <v>23083.200000000001</v>
      </c>
    </row>
    <row r="3230" spans="1:14" ht="30" x14ac:dyDescent="0.25">
      <c r="A3230" s="14" t="s">
        <v>2729</v>
      </c>
      <c r="B3230" s="14" t="s">
        <v>650</v>
      </c>
      <c r="C3230" s="15" t="s">
        <v>2735</v>
      </c>
      <c r="D3230" s="14" t="s">
        <v>1749</v>
      </c>
      <c r="E3230" s="14" t="s">
        <v>1746</v>
      </c>
      <c r="F3230" s="17" t="s">
        <v>2995</v>
      </c>
      <c r="G3230" s="14">
        <v>1872</v>
      </c>
      <c r="H3230" s="14">
        <v>1684.8</v>
      </c>
      <c r="I3230" s="31">
        <f>IF(COUNTIFS(Addendum!C:C,A3230,Addendum!D:D,IF(ISNUMBER(B3230),TEXT(B3230,"0000"),B3230),Addendum!E:E,"X")&gt;0,4%,0)</f>
        <v>0</v>
      </c>
      <c r="J3230" s="31">
        <f>IF(COUNTIFS(Addendum!C:C,A3230,Addendum!D:D,IF(ISNUMBER(B3230),TEXT(B3230,"0000"),B3230),Addendum!F:F,"X")&gt;0,2.5%,0)</f>
        <v>0</v>
      </c>
      <c r="K3230" s="31">
        <f>IF(COUNTIFS(Addendum!C:C,A3230,Addendum!D:D,IF(ISNUMBER(B3230),TEXT(B3230,"0000"),B3230),Addendum!G:G,"X")&gt;0,7%,0)</f>
        <v>0</v>
      </c>
      <c r="L3230" s="31">
        <f>IF(COUNTIFS(Addendum!C:C,A3230,Addendum!D:D,IF(ISNUMBER(B3230),TEXT(B3230,"0000"),B3230),Addendum!I:I,"X")&gt;0,10%,0)</f>
        <v>0</v>
      </c>
      <c r="M3230" s="34">
        <f t="shared" si="100"/>
        <v>0</v>
      </c>
      <c r="N3230" s="17">
        <f t="shared" si="101"/>
        <v>1684.8</v>
      </c>
    </row>
    <row r="3231" spans="1:14" ht="30" x14ac:dyDescent="0.25">
      <c r="A3231" s="14" t="s">
        <v>2729</v>
      </c>
      <c r="B3231" s="14" t="s">
        <v>39</v>
      </c>
      <c r="C3231" s="15" t="s">
        <v>2736</v>
      </c>
      <c r="D3231" s="14" t="s">
        <v>1745</v>
      </c>
      <c r="E3231" s="14" t="s">
        <v>1746</v>
      </c>
      <c r="F3231" s="17" t="s">
        <v>2994</v>
      </c>
      <c r="G3231" s="14">
        <v>31437</v>
      </c>
      <c r="H3231" s="14">
        <v>25149.599999999999</v>
      </c>
      <c r="I3231" s="31">
        <f>IF(COUNTIFS(Addendum!C:C,A3231,Addendum!D:D,IF(ISNUMBER(B3231),TEXT(B3231,"0000"),B3231),Addendum!E:E,"X")&gt;0,4%,0)</f>
        <v>0</v>
      </c>
      <c r="J3231" s="31">
        <f>IF(COUNTIFS(Addendum!C:C,A3231,Addendum!D:D,IF(ISNUMBER(B3231),TEXT(B3231,"0000"),B3231),Addendum!F:F,"X")&gt;0,2.5%,0)</f>
        <v>0</v>
      </c>
      <c r="K3231" s="31">
        <f>IF(COUNTIFS(Addendum!C:C,A3231,Addendum!D:D,IF(ISNUMBER(B3231),TEXT(B3231,"0000"),B3231),Addendum!G:G,"X")&gt;0,7%,0)</f>
        <v>0</v>
      </c>
      <c r="L3231" s="31">
        <f>IF(COUNTIFS(Addendum!C:C,A3231,Addendum!D:D,IF(ISNUMBER(B3231),TEXT(B3231,"0000"),B3231),Addendum!I:I,"X")&gt;0,10%,0)</f>
        <v>0</v>
      </c>
      <c r="M3231" s="34">
        <f t="shared" si="100"/>
        <v>0</v>
      </c>
      <c r="N3231" s="17">
        <f t="shared" si="101"/>
        <v>25149.599999999999</v>
      </c>
    </row>
    <row r="3232" spans="1:14" x14ac:dyDescent="0.25">
      <c r="A3232" s="14" t="s">
        <v>2729</v>
      </c>
      <c r="B3232" s="14">
        <v>3</v>
      </c>
      <c r="C3232" s="15" t="s">
        <v>2737</v>
      </c>
      <c r="D3232" s="14" t="s">
        <v>1745</v>
      </c>
      <c r="E3232" s="14" t="s">
        <v>1746</v>
      </c>
      <c r="F3232" s="17" t="s">
        <v>2993</v>
      </c>
      <c r="G3232" s="14">
        <v>209664</v>
      </c>
      <c r="H3232" s="14">
        <v>167731.20000000001</v>
      </c>
      <c r="I3232" s="31">
        <f>IF(COUNTIFS(Addendum!C:C,A3232,Addendum!D:D,IF(ISNUMBER(B3232),TEXT(B3232,"0000"),B3232),Addendum!E:E,"X")&gt;0,4%,0)</f>
        <v>0</v>
      </c>
      <c r="J3232" s="31">
        <f>IF(COUNTIFS(Addendum!C:C,A3232,Addendum!D:D,IF(ISNUMBER(B3232),TEXT(B3232,"0000"),B3232),Addendum!F:F,"X")&gt;0,2.5%,0)</f>
        <v>0</v>
      </c>
      <c r="K3232" s="31">
        <f>IF(COUNTIFS(Addendum!C:C,A3232,Addendum!D:D,IF(ISNUMBER(B3232),TEXT(B3232,"0000"),B3232),Addendum!G:G,"X")&gt;0,7%,0)</f>
        <v>0</v>
      </c>
      <c r="L3232" s="31">
        <f>IF(COUNTIFS(Addendum!C:C,A3232,Addendum!D:D,IF(ISNUMBER(B3232),TEXT(B3232,"0000"),B3232),Addendum!I:I,"X")&gt;0,10%,0)</f>
        <v>0</v>
      </c>
      <c r="M3232" s="34">
        <f t="shared" si="100"/>
        <v>0</v>
      </c>
      <c r="N3232" s="17">
        <f t="shared" si="101"/>
        <v>167731.20000000001</v>
      </c>
    </row>
    <row r="3233" spans="1:14" ht="30" x14ac:dyDescent="0.25">
      <c r="A3233" s="14" t="s">
        <v>2729</v>
      </c>
      <c r="B3233" s="14" t="s">
        <v>89</v>
      </c>
      <c r="C3233" s="15" t="s">
        <v>2738</v>
      </c>
      <c r="D3233" s="14" t="s">
        <v>1745</v>
      </c>
      <c r="E3233" s="14" t="s">
        <v>1747</v>
      </c>
      <c r="F3233" s="17" t="s">
        <v>2994</v>
      </c>
      <c r="G3233" s="14">
        <v>109800</v>
      </c>
      <c r="H3233" s="14">
        <v>87840</v>
      </c>
      <c r="I3233" s="31">
        <f>IF(COUNTIFS(Addendum!C:C,A3233,Addendum!D:D,IF(ISNUMBER(B3233),TEXT(B3233,"0000"),B3233),Addendum!E:E,"X")&gt;0,4%,0)</f>
        <v>0</v>
      </c>
      <c r="J3233" s="31">
        <f>IF(COUNTIFS(Addendum!C:C,A3233,Addendum!D:D,IF(ISNUMBER(B3233),TEXT(B3233,"0000"),B3233),Addendum!F:F,"X")&gt;0,2.5%,0)</f>
        <v>0</v>
      </c>
      <c r="K3233" s="31">
        <f>IF(COUNTIFS(Addendum!C:C,A3233,Addendum!D:D,IF(ISNUMBER(B3233),TEXT(B3233,"0000"),B3233),Addendum!G:G,"X")&gt;0,7%,0)</f>
        <v>0</v>
      </c>
      <c r="L3233" s="31">
        <f>IF(COUNTIFS(Addendum!C:C,A3233,Addendum!D:D,IF(ISNUMBER(B3233),TEXT(B3233,"0000"),B3233),Addendum!I:I,"X")&gt;0,10%,0)</f>
        <v>0</v>
      </c>
      <c r="M3233" s="34">
        <f t="shared" si="100"/>
        <v>0</v>
      </c>
      <c r="N3233" s="17">
        <f t="shared" si="101"/>
        <v>87840</v>
      </c>
    </row>
    <row r="3234" spans="1:14" ht="30" x14ac:dyDescent="0.25">
      <c r="A3234" s="14" t="s">
        <v>2729</v>
      </c>
      <c r="B3234" s="14">
        <v>1</v>
      </c>
      <c r="C3234" s="15" t="s">
        <v>2739</v>
      </c>
      <c r="D3234" s="14" t="s">
        <v>1745</v>
      </c>
      <c r="E3234" s="14" t="s">
        <v>1746</v>
      </c>
      <c r="F3234" s="17" t="s">
        <v>2993</v>
      </c>
      <c r="G3234" s="14">
        <v>78624</v>
      </c>
      <c r="H3234" s="14">
        <v>62899.199999999997</v>
      </c>
      <c r="I3234" s="31">
        <f>IF(COUNTIFS(Addendum!C:C,A3234,Addendum!D:D,IF(ISNUMBER(B3234),TEXT(B3234,"0000"),B3234),Addendum!E:E,"X")&gt;0,4%,0)</f>
        <v>0</v>
      </c>
      <c r="J3234" s="31">
        <f>IF(COUNTIFS(Addendum!C:C,A3234,Addendum!D:D,IF(ISNUMBER(B3234),TEXT(B3234,"0000"),B3234),Addendum!F:F,"X")&gt;0,2.5%,0)</f>
        <v>0</v>
      </c>
      <c r="K3234" s="31">
        <f>IF(COUNTIFS(Addendum!C:C,A3234,Addendum!D:D,IF(ISNUMBER(B3234),TEXT(B3234,"0000"),B3234),Addendum!G:G,"X")&gt;0,7%,0)</f>
        <v>0</v>
      </c>
      <c r="L3234" s="31">
        <f>IF(COUNTIFS(Addendum!C:C,A3234,Addendum!D:D,IF(ISNUMBER(B3234),TEXT(B3234,"0000"),B3234),Addendum!I:I,"X")&gt;0,10%,0)</f>
        <v>0</v>
      </c>
      <c r="M3234" s="34">
        <f t="shared" si="100"/>
        <v>0</v>
      </c>
      <c r="N3234" s="17">
        <f t="shared" si="101"/>
        <v>62899.199999999997</v>
      </c>
    </row>
    <row r="3235" spans="1:14" ht="30" x14ac:dyDescent="0.25">
      <c r="A3235" s="14" t="s">
        <v>2729</v>
      </c>
      <c r="B3235" s="14">
        <v>2</v>
      </c>
      <c r="C3235" s="15" t="s">
        <v>2730</v>
      </c>
      <c r="D3235" s="14" t="s">
        <v>1745</v>
      </c>
      <c r="E3235" s="14" t="s">
        <v>1747</v>
      </c>
      <c r="F3235" s="17" t="s">
        <v>2993</v>
      </c>
      <c r="G3235" s="14">
        <v>49920</v>
      </c>
      <c r="H3235" s="14">
        <v>39936</v>
      </c>
      <c r="I3235" s="31">
        <f>IF(COUNTIFS(Addendum!C:C,A3235,Addendum!D:D,IF(ISNUMBER(B3235),TEXT(B3235,"0000"),B3235),Addendum!E:E,"X")&gt;0,4%,0)</f>
        <v>0</v>
      </c>
      <c r="J3235" s="31">
        <f>IF(COUNTIFS(Addendum!C:C,A3235,Addendum!D:D,IF(ISNUMBER(B3235),TEXT(B3235,"0000"),B3235),Addendum!F:F,"X")&gt;0,2.5%,0)</f>
        <v>0</v>
      </c>
      <c r="K3235" s="31">
        <f>IF(COUNTIFS(Addendum!C:C,A3235,Addendum!D:D,IF(ISNUMBER(B3235),TEXT(B3235,"0000"),B3235),Addendum!G:G,"X")&gt;0,7%,0)</f>
        <v>0</v>
      </c>
      <c r="L3235" s="31">
        <f>IF(COUNTIFS(Addendum!C:C,A3235,Addendum!D:D,IF(ISNUMBER(B3235),TEXT(B3235,"0000"),B3235),Addendum!I:I,"X")&gt;0,10%,0)</f>
        <v>0</v>
      </c>
      <c r="M3235" s="34">
        <f t="shared" si="100"/>
        <v>0</v>
      </c>
      <c r="N3235" s="17">
        <f t="shared" si="101"/>
        <v>39936</v>
      </c>
    </row>
    <row r="3236" spans="1:14" ht="30" x14ac:dyDescent="0.25">
      <c r="A3236" s="14" t="s">
        <v>2729</v>
      </c>
      <c r="B3236" s="14" t="s">
        <v>89</v>
      </c>
      <c r="C3236" s="15" t="s">
        <v>2738</v>
      </c>
      <c r="D3236" s="14" t="s">
        <v>1749</v>
      </c>
      <c r="E3236" s="14" t="s">
        <v>1746</v>
      </c>
      <c r="F3236" s="17" t="s">
        <v>2994</v>
      </c>
      <c r="G3236" s="14">
        <v>10980</v>
      </c>
      <c r="H3236" s="14">
        <v>8784</v>
      </c>
      <c r="I3236" s="31">
        <f>IF(COUNTIFS(Addendum!C:C,A3236,Addendum!D:D,IF(ISNUMBER(B3236),TEXT(B3236,"0000"),B3236),Addendum!E:E,"X")&gt;0,4%,0)</f>
        <v>0</v>
      </c>
      <c r="J3236" s="31">
        <f>IF(COUNTIFS(Addendum!C:C,A3236,Addendum!D:D,IF(ISNUMBER(B3236),TEXT(B3236,"0000"),B3236),Addendum!F:F,"X")&gt;0,2.5%,0)</f>
        <v>0</v>
      </c>
      <c r="K3236" s="31">
        <f>IF(COUNTIFS(Addendum!C:C,A3236,Addendum!D:D,IF(ISNUMBER(B3236),TEXT(B3236,"0000"),B3236),Addendum!G:G,"X")&gt;0,7%,0)</f>
        <v>0</v>
      </c>
      <c r="L3236" s="31">
        <f>IF(COUNTIFS(Addendum!C:C,A3236,Addendum!D:D,IF(ISNUMBER(B3236),TEXT(B3236,"0000"),B3236),Addendum!I:I,"X")&gt;0,10%,0)</f>
        <v>0</v>
      </c>
      <c r="M3236" s="34">
        <f t="shared" si="100"/>
        <v>0</v>
      </c>
      <c r="N3236" s="17">
        <f t="shared" si="101"/>
        <v>8784</v>
      </c>
    </row>
    <row r="3237" spans="1:14" ht="30" x14ac:dyDescent="0.25">
      <c r="A3237" s="14" t="s">
        <v>2729</v>
      </c>
      <c r="B3237" s="14">
        <v>1</v>
      </c>
      <c r="C3237" s="15" t="s">
        <v>2739</v>
      </c>
      <c r="D3237" s="14" t="s">
        <v>1745</v>
      </c>
      <c r="E3237" s="14" t="s">
        <v>1747</v>
      </c>
      <c r="F3237" s="17" t="s">
        <v>2993</v>
      </c>
      <c r="G3237" s="14">
        <v>74880</v>
      </c>
      <c r="H3237" s="14">
        <v>59904</v>
      </c>
      <c r="I3237" s="31">
        <f>IF(COUNTIFS(Addendum!C:C,A3237,Addendum!D:D,IF(ISNUMBER(B3237),TEXT(B3237,"0000"),B3237),Addendum!E:E,"X")&gt;0,4%,0)</f>
        <v>0</v>
      </c>
      <c r="J3237" s="31">
        <f>IF(COUNTIFS(Addendum!C:C,A3237,Addendum!D:D,IF(ISNUMBER(B3237),TEXT(B3237,"0000"),B3237),Addendum!F:F,"X")&gt;0,2.5%,0)</f>
        <v>0</v>
      </c>
      <c r="K3237" s="31">
        <f>IF(COUNTIFS(Addendum!C:C,A3237,Addendum!D:D,IF(ISNUMBER(B3237),TEXT(B3237,"0000"),B3237),Addendum!G:G,"X")&gt;0,7%,0)</f>
        <v>0</v>
      </c>
      <c r="L3237" s="31">
        <f>IF(COUNTIFS(Addendum!C:C,A3237,Addendum!D:D,IF(ISNUMBER(B3237),TEXT(B3237,"0000"),B3237),Addendum!I:I,"X")&gt;0,10%,0)</f>
        <v>0</v>
      </c>
      <c r="M3237" s="34">
        <f t="shared" si="100"/>
        <v>0</v>
      </c>
      <c r="N3237" s="17">
        <f t="shared" si="101"/>
        <v>59904</v>
      </c>
    </row>
    <row r="3238" spans="1:14" ht="30" x14ac:dyDescent="0.25">
      <c r="A3238" s="14" t="s">
        <v>2729</v>
      </c>
      <c r="B3238" s="14" t="s">
        <v>55</v>
      </c>
      <c r="C3238" s="15" t="s">
        <v>2740</v>
      </c>
      <c r="D3238" s="14" t="s">
        <v>1745</v>
      </c>
      <c r="E3238" s="14" t="s">
        <v>1747</v>
      </c>
      <c r="F3238" s="17" t="s">
        <v>2994</v>
      </c>
      <c r="G3238" s="14">
        <v>19980</v>
      </c>
      <c r="H3238" s="14">
        <v>15984</v>
      </c>
      <c r="I3238" s="31">
        <f>IF(COUNTIFS(Addendum!C:C,A3238,Addendum!D:D,IF(ISNUMBER(B3238),TEXT(B3238,"0000"),B3238),Addendum!E:E,"X")&gt;0,4%,0)</f>
        <v>0</v>
      </c>
      <c r="J3238" s="31">
        <f>IF(COUNTIFS(Addendum!C:C,A3238,Addendum!D:D,IF(ISNUMBER(B3238),TEXT(B3238,"0000"),B3238),Addendum!F:F,"X")&gt;0,2.5%,0)</f>
        <v>0</v>
      </c>
      <c r="K3238" s="31">
        <f>IF(COUNTIFS(Addendum!C:C,A3238,Addendum!D:D,IF(ISNUMBER(B3238),TEXT(B3238,"0000"),B3238),Addendum!G:G,"X")&gt;0,7%,0)</f>
        <v>0</v>
      </c>
      <c r="L3238" s="31">
        <f>IF(COUNTIFS(Addendum!C:C,A3238,Addendum!D:D,IF(ISNUMBER(B3238),TEXT(B3238,"0000"),B3238),Addendum!I:I,"X")&gt;0,10%,0)</f>
        <v>0</v>
      </c>
      <c r="M3238" s="34">
        <f t="shared" si="100"/>
        <v>0</v>
      </c>
      <c r="N3238" s="17">
        <f t="shared" si="101"/>
        <v>15984</v>
      </c>
    </row>
    <row r="3239" spans="1:14" ht="30" x14ac:dyDescent="0.25">
      <c r="A3239" s="14" t="s">
        <v>2729</v>
      </c>
      <c r="B3239" s="14" t="s">
        <v>32</v>
      </c>
      <c r="C3239" s="15" t="s">
        <v>2734</v>
      </c>
      <c r="D3239" s="14" t="s">
        <v>1749</v>
      </c>
      <c r="E3239" s="14" t="s">
        <v>1746</v>
      </c>
      <c r="F3239" s="17" t="s">
        <v>2994</v>
      </c>
      <c r="G3239" s="14">
        <v>2748</v>
      </c>
      <c r="H3239" s="14">
        <v>2198.4</v>
      </c>
      <c r="I3239" s="31">
        <f>IF(COUNTIFS(Addendum!C:C,A3239,Addendum!D:D,IF(ISNUMBER(B3239),TEXT(B3239,"0000"),B3239),Addendum!E:E,"X")&gt;0,4%,0)</f>
        <v>0</v>
      </c>
      <c r="J3239" s="31">
        <f>IF(COUNTIFS(Addendum!C:C,A3239,Addendum!D:D,IF(ISNUMBER(B3239),TEXT(B3239,"0000"),B3239),Addendum!F:F,"X")&gt;0,2.5%,0)</f>
        <v>0</v>
      </c>
      <c r="K3239" s="31">
        <f>IF(COUNTIFS(Addendum!C:C,A3239,Addendum!D:D,IF(ISNUMBER(B3239),TEXT(B3239,"0000"),B3239),Addendum!G:G,"X")&gt;0,7%,0)</f>
        <v>0</v>
      </c>
      <c r="L3239" s="31">
        <f>IF(COUNTIFS(Addendum!C:C,A3239,Addendum!D:D,IF(ISNUMBER(B3239),TEXT(B3239,"0000"),B3239),Addendum!I:I,"X")&gt;0,10%,0)</f>
        <v>0</v>
      </c>
      <c r="M3239" s="34">
        <f t="shared" si="100"/>
        <v>0</v>
      </c>
      <c r="N3239" s="17">
        <f t="shared" si="101"/>
        <v>2198.4</v>
      </c>
    </row>
    <row r="3240" spans="1:14" ht="30" x14ac:dyDescent="0.25">
      <c r="A3240" s="14" t="s">
        <v>2729</v>
      </c>
      <c r="B3240" s="14" t="s">
        <v>50</v>
      </c>
      <c r="C3240" s="15" t="s">
        <v>2741</v>
      </c>
      <c r="D3240" s="14" t="s">
        <v>1745</v>
      </c>
      <c r="E3240" s="14" t="s">
        <v>1746</v>
      </c>
      <c r="F3240" s="17" t="s">
        <v>2995</v>
      </c>
      <c r="G3240" s="14">
        <v>52416</v>
      </c>
      <c r="H3240" s="14">
        <v>47174.400000000001</v>
      </c>
      <c r="I3240" s="31">
        <f>IF(COUNTIFS(Addendum!C:C,A3240,Addendum!D:D,IF(ISNUMBER(B3240),TEXT(B3240,"0000"),B3240),Addendum!E:E,"X")&gt;0,4%,0)</f>
        <v>0</v>
      </c>
      <c r="J3240" s="31">
        <f>IF(COUNTIFS(Addendum!C:C,A3240,Addendum!D:D,IF(ISNUMBER(B3240),TEXT(B3240,"0000"),B3240),Addendum!F:F,"X")&gt;0,2.5%,0)</f>
        <v>0</v>
      </c>
      <c r="K3240" s="31">
        <f>IF(COUNTIFS(Addendum!C:C,A3240,Addendum!D:D,IF(ISNUMBER(B3240),TEXT(B3240,"0000"),B3240),Addendum!G:G,"X")&gt;0,7%,0)</f>
        <v>0</v>
      </c>
      <c r="L3240" s="31">
        <f>IF(COUNTIFS(Addendum!C:C,A3240,Addendum!D:D,IF(ISNUMBER(B3240),TEXT(B3240,"0000"),B3240),Addendum!I:I,"X")&gt;0,10%,0)</f>
        <v>0</v>
      </c>
      <c r="M3240" s="34">
        <f t="shared" si="100"/>
        <v>0</v>
      </c>
      <c r="N3240" s="17">
        <f t="shared" si="101"/>
        <v>47174.400000000001</v>
      </c>
    </row>
    <row r="3241" spans="1:14" ht="30" x14ac:dyDescent="0.25">
      <c r="A3241" s="14" t="s">
        <v>2729</v>
      </c>
      <c r="B3241" s="14" t="s">
        <v>50</v>
      </c>
      <c r="C3241" s="15" t="s">
        <v>2741</v>
      </c>
      <c r="D3241" s="14" t="s">
        <v>1745</v>
      </c>
      <c r="E3241" s="14" t="s">
        <v>1747</v>
      </c>
      <c r="F3241" s="17" t="s">
        <v>2995</v>
      </c>
      <c r="G3241" s="14">
        <v>49920</v>
      </c>
      <c r="H3241" s="14">
        <v>44928</v>
      </c>
      <c r="I3241" s="31">
        <f>IF(COUNTIFS(Addendum!C:C,A3241,Addendum!D:D,IF(ISNUMBER(B3241),TEXT(B3241,"0000"),B3241),Addendum!E:E,"X")&gt;0,4%,0)</f>
        <v>0</v>
      </c>
      <c r="J3241" s="31">
        <f>IF(COUNTIFS(Addendum!C:C,A3241,Addendum!D:D,IF(ISNUMBER(B3241),TEXT(B3241,"0000"),B3241),Addendum!F:F,"X")&gt;0,2.5%,0)</f>
        <v>0</v>
      </c>
      <c r="K3241" s="31">
        <f>IF(COUNTIFS(Addendum!C:C,A3241,Addendum!D:D,IF(ISNUMBER(B3241),TEXT(B3241,"0000"),B3241),Addendum!G:G,"X")&gt;0,7%,0)</f>
        <v>0</v>
      </c>
      <c r="L3241" s="31">
        <f>IF(COUNTIFS(Addendum!C:C,A3241,Addendum!D:D,IF(ISNUMBER(B3241),TEXT(B3241,"0000"),B3241),Addendum!I:I,"X")&gt;0,10%,0)</f>
        <v>0</v>
      </c>
      <c r="M3241" s="34">
        <f t="shared" si="100"/>
        <v>0</v>
      </c>
      <c r="N3241" s="17">
        <f t="shared" si="101"/>
        <v>44928</v>
      </c>
    </row>
    <row r="3242" spans="1:14" ht="30" x14ac:dyDescent="0.25">
      <c r="A3242" s="14" t="s">
        <v>2729</v>
      </c>
      <c r="B3242" s="14" t="s">
        <v>89</v>
      </c>
      <c r="C3242" s="15" t="s">
        <v>2738</v>
      </c>
      <c r="D3242" s="14" t="s">
        <v>1745</v>
      </c>
      <c r="E3242" s="14" t="s">
        <v>1746</v>
      </c>
      <c r="F3242" s="17" t="s">
        <v>2994</v>
      </c>
      <c r="G3242" s="14">
        <v>115290</v>
      </c>
      <c r="H3242" s="14">
        <v>92232</v>
      </c>
      <c r="I3242" s="31">
        <f>IF(COUNTIFS(Addendum!C:C,A3242,Addendum!D:D,IF(ISNUMBER(B3242),TEXT(B3242,"0000"),B3242),Addendum!E:E,"X")&gt;0,4%,0)</f>
        <v>0</v>
      </c>
      <c r="J3242" s="31">
        <f>IF(COUNTIFS(Addendum!C:C,A3242,Addendum!D:D,IF(ISNUMBER(B3242),TEXT(B3242,"0000"),B3242),Addendum!F:F,"X")&gt;0,2.5%,0)</f>
        <v>0</v>
      </c>
      <c r="K3242" s="31">
        <f>IF(COUNTIFS(Addendum!C:C,A3242,Addendum!D:D,IF(ISNUMBER(B3242),TEXT(B3242,"0000"),B3242),Addendum!G:G,"X")&gt;0,7%,0)</f>
        <v>0</v>
      </c>
      <c r="L3242" s="31">
        <f>IF(COUNTIFS(Addendum!C:C,A3242,Addendum!D:D,IF(ISNUMBER(B3242),TEXT(B3242,"0000"),B3242),Addendum!I:I,"X")&gt;0,10%,0)</f>
        <v>0</v>
      </c>
      <c r="M3242" s="34">
        <f t="shared" si="100"/>
        <v>0</v>
      </c>
      <c r="N3242" s="17">
        <f t="shared" si="101"/>
        <v>92232</v>
      </c>
    </row>
    <row r="3243" spans="1:14" ht="30" x14ac:dyDescent="0.25">
      <c r="A3243" s="14" t="s">
        <v>2729</v>
      </c>
      <c r="B3243" s="14" t="s">
        <v>39</v>
      </c>
      <c r="C3243" s="15" t="s">
        <v>2736</v>
      </c>
      <c r="D3243" s="14" t="s">
        <v>1745</v>
      </c>
      <c r="E3243" s="14" t="s">
        <v>1747</v>
      </c>
      <c r="F3243" s="17" t="s">
        <v>2994</v>
      </c>
      <c r="G3243" s="14">
        <v>29940</v>
      </c>
      <c r="H3243" s="14">
        <v>23952</v>
      </c>
      <c r="I3243" s="31">
        <f>IF(COUNTIFS(Addendum!C:C,A3243,Addendum!D:D,IF(ISNUMBER(B3243),TEXT(B3243,"0000"),B3243),Addendum!E:E,"X")&gt;0,4%,0)</f>
        <v>0</v>
      </c>
      <c r="J3243" s="31">
        <f>IF(COUNTIFS(Addendum!C:C,A3243,Addendum!D:D,IF(ISNUMBER(B3243),TEXT(B3243,"0000"),B3243),Addendum!F:F,"X")&gt;0,2.5%,0)</f>
        <v>0</v>
      </c>
      <c r="K3243" s="31">
        <f>IF(COUNTIFS(Addendum!C:C,A3243,Addendum!D:D,IF(ISNUMBER(B3243),TEXT(B3243,"0000"),B3243),Addendum!G:G,"X")&gt;0,7%,0)</f>
        <v>0</v>
      </c>
      <c r="L3243" s="31">
        <f>IF(COUNTIFS(Addendum!C:C,A3243,Addendum!D:D,IF(ISNUMBER(B3243),TEXT(B3243,"0000"),B3243),Addendum!I:I,"X")&gt;0,10%,0)</f>
        <v>0</v>
      </c>
      <c r="M3243" s="34">
        <f t="shared" si="100"/>
        <v>0</v>
      </c>
      <c r="N3243" s="17">
        <f t="shared" si="101"/>
        <v>23952</v>
      </c>
    </row>
    <row r="3244" spans="1:14" ht="30" x14ac:dyDescent="0.25">
      <c r="A3244" s="14" t="s">
        <v>2729</v>
      </c>
      <c r="B3244" s="14" t="s">
        <v>39</v>
      </c>
      <c r="C3244" s="15" t="s">
        <v>2736</v>
      </c>
      <c r="D3244" s="14" t="s">
        <v>1749</v>
      </c>
      <c r="E3244" s="14" t="s">
        <v>1746</v>
      </c>
      <c r="F3244" s="17" t="s">
        <v>2994</v>
      </c>
      <c r="G3244" s="14">
        <v>2994</v>
      </c>
      <c r="H3244" s="14">
        <v>2395.1999999999998</v>
      </c>
      <c r="I3244" s="31">
        <f>IF(COUNTIFS(Addendum!C:C,A3244,Addendum!D:D,IF(ISNUMBER(B3244),TEXT(B3244,"0000"),B3244),Addendum!E:E,"X")&gt;0,4%,0)</f>
        <v>0</v>
      </c>
      <c r="J3244" s="31">
        <f>IF(COUNTIFS(Addendum!C:C,A3244,Addendum!D:D,IF(ISNUMBER(B3244),TEXT(B3244,"0000"),B3244),Addendum!F:F,"X")&gt;0,2.5%,0)</f>
        <v>0</v>
      </c>
      <c r="K3244" s="31">
        <f>IF(COUNTIFS(Addendum!C:C,A3244,Addendum!D:D,IF(ISNUMBER(B3244),TEXT(B3244,"0000"),B3244),Addendum!G:G,"X")&gt;0,7%,0)</f>
        <v>0</v>
      </c>
      <c r="L3244" s="31">
        <f>IF(COUNTIFS(Addendum!C:C,A3244,Addendum!D:D,IF(ISNUMBER(B3244),TEXT(B3244,"0000"),B3244),Addendum!I:I,"X")&gt;0,10%,0)</f>
        <v>0</v>
      </c>
      <c r="M3244" s="34">
        <f t="shared" si="100"/>
        <v>0</v>
      </c>
      <c r="N3244" s="17">
        <f t="shared" si="101"/>
        <v>2395.1999999999998</v>
      </c>
    </row>
    <row r="3245" spans="1:14" ht="30" x14ac:dyDescent="0.25">
      <c r="A3245" s="14" t="s">
        <v>2729</v>
      </c>
      <c r="B3245" s="14" t="s">
        <v>46</v>
      </c>
      <c r="C3245" s="15" t="s">
        <v>2733</v>
      </c>
      <c r="D3245" s="14" t="s">
        <v>1745</v>
      </c>
      <c r="E3245" s="14" t="s">
        <v>1747</v>
      </c>
      <c r="F3245" s="17" t="s">
        <v>2994</v>
      </c>
      <c r="G3245" s="14">
        <v>79860</v>
      </c>
      <c r="H3245" s="14">
        <v>63888</v>
      </c>
      <c r="I3245" s="31">
        <f>IF(COUNTIFS(Addendum!C:C,A3245,Addendum!D:D,IF(ISNUMBER(B3245),TEXT(B3245,"0000"),B3245),Addendum!E:E,"X")&gt;0,4%,0)</f>
        <v>0</v>
      </c>
      <c r="J3245" s="31">
        <f>IF(COUNTIFS(Addendum!C:C,A3245,Addendum!D:D,IF(ISNUMBER(B3245),TEXT(B3245,"0000"),B3245),Addendum!F:F,"X")&gt;0,2.5%,0)</f>
        <v>0</v>
      </c>
      <c r="K3245" s="31">
        <f>IF(COUNTIFS(Addendum!C:C,A3245,Addendum!D:D,IF(ISNUMBER(B3245),TEXT(B3245,"0000"),B3245),Addendum!G:G,"X")&gt;0,7%,0)</f>
        <v>0</v>
      </c>
      <c r="L3245" s="31">
        <f>IF(COUNTIFS(Addendum!C:C,A3245,Addendum!D:D,IF(ISNUMBER(B3245),TEXT(B3245,"0000"),B3245),Addendum!I:I,"X")&gt;0,10%,0)</f>
        <v>0</v>
      </c>
      <c r="M3245" s="34">
        <f t="shared" si="100"/>
        <v>0</v>
      </c>
      <c r="N3245" s="17">
        <f t="shared" si="101"/>
        <v>63888</v>
      </c>
    </row>
    <row r="3246" spans="1:14" ht="30" x14ac:dyDescent="0.25">
      <c r="A3246" s="14" t="s">
        <v>2729</v>
      </c>
      <c r="B3246" s="14" t="s">
        <v>55</v>
      </c>
      <c r="C3246" s="15" t="s">
        <v>2740</v>
      </c>
      <c r="D3246" s="14" t="s">
        <v>1745</v>
      </c>
      <c r="E3246" s="14" t="s">
        <v>1746</v>
      </c>
      <c r="F3246" s="17" t="s">
        <v>2994</v>
      </c>
      <c r="G3246" s="14">
        <v>20979</v>
      </c>
      <c r="H3246" s="14">
        <v>16783.2</v>
      </c>
      <c r="I3246" s="31">
        <f>IF(COUNTIFS(Addendum!C:C,A3246,Addendum!D:D,IF(ISNUMBER(B3246),TEXT(B3246,"0000"),B3246),Addendum!E:E,"X")&gt;0,4%,0)</f>
        <v>0</v>
      </c>
      <c r="J3246" s="31">
        <f>IF(COUNTIFS(Addendum!C:C,A3246,Addendum!D:D,IF(ISNUMBER(B3246),TEXT(B3246,"0000"),B3246),Addendum!F:F,"X")&gt;0,2.5%,0)</f>
        <v>0</v>
      </c>
      <c r="K3246" s="31">
        <f>IF(COUNTIFS(Addendum!C:C,A3246,Addendum!D:D,IF(ISNUMBER(B3246),TEXT(B3246,"0000"),B3246),Addendum!G:G,"X")&gt;0,7%,0)</f>
        <v>0</v>
      </c>
      <c r="L3246" s="31">
        <f>IF(COUNTIFS(Addendum!C:C,A3246,Addendum!D:D,IF(ISNUMBER(B3246),TEXT(B3246,"0000"),B3246),Addendum!I:I,"X")&gt;0,10%,0)</f>
        <v>0</v>
      </c>
      <c r="M3246" s="34">
        <f t="shared" si="100"/>
        <v>0</v>
      </c>
      <c r="N3246" s="17">
        <f t="shared" si="101"/>
        <v>16783.2</v>
      </c>
    </row>
    <row r="3247" spans="1:14" ht="30" x14ac:dyDescent="0.25">
      <c r="A3247" s="14" t="s">
        <v>2729</v>
      </c>
      <c r="B3247" s="14" t="s">
        <v>650</v>
      </c>
      <c r="C3247" s="15" t="s">
        <v>2735</v>
      </c>
      <c r="D3247" s="14" t="s">
        <v>1745</v>
      </c>
      <c r="E3247" s="14" t="s">
        <v>1746</v>
      </c>
      <c r="F3247" s="17" t="s">
        <v>2995</v>
      </c>
      <c r="G3247" s="14">
        <v>19656</v>
      </c>
      <c r="H3247" s="14">
        <v>17690.400000000001</v>
      </c>
      <c r="I3247" s="31">
        <f>IF(COUNTIFS(Addendum!C:C,A3247,Addendum!D:D,IF(ISNUMBER(B3247),TEXT(B3247,"0000"),B3247),Addendum!E:E,"X")&gt;0,4%,0)</f>
        <v>0</v>
      </c>
      <c r="J3247" s="31">
        <f>IF(COUNTIFS(Addendum!C:C,A3247,Addendum!D:D,IF(ISNUMBER(B3247),TEXT(B3247,"0000"),B3247),Addendum!F:F,"X")&gt;0,2.5%,0)</f>
        <v>0</v>
      </c>
      <c r="K3247" s="31">
        <f>IF(COUNTIFS(Addendum!C:C,A3247,Addendum!D:D,IF(ISNUMBER(B3247),TEXT(B3247,"0000"),B3247),Addendum!G:G,"X")&gt;0,7%,0)</f>
        <v>0</v>
      </c>
      <c r="L3247" s="31">
        <f>IF(COUNTIFS(Addendum!C:C,A3247,Addendum!D:D,IF(ISNUMBER(B3247),TEXT(B3247,"0000"),B3247),Addendum!I:I,"X")&gt;0,10%,0)</f>
        <v>0</v>
      </c>
      <c r="M3247" s="34">
        <f t="shared" si="100"/>
        <v>0</v>
      </c>
      <c r="N3247" s="17">
        <f t="shared" si="101"/>
        <v>17690.400000000001</v>
      </c>
    </row>
    <row r="3248" spans="1:14" ht="30" x14ac:dyDescent="0.25">
      <c r="A3248" s="14" t="s">
        <v>2729</v>
      </c>
      <c r="B3248" s="14">
        <v>2</v>
      </c>
      <c r="C3248" s="15" t="s">
        <v>2730</v>
      </c>
      <c r="D3248" s="14" t="s">
        <v>1745</v>
      </c>
      <c r="E3248" s="14" t="s">
        <v>1746</v>
      </c>
      <c r="F3248" s="17" t="s">
        <v>2993</v>
      </c>
      <c r="G3248" s="14">
        <v>52416</v>
      </c>
      <c r="H3248" s="14">
        <v>41932.800000000003</v>
      </c>
      <c r="I3248" s="31">
        <f>IF(COUNTIFS(Addendum!C:C,A3248,Addendum!D:D,IF(ISNUMBER(B3248),TEXT(B3248,"0000"),B3248),Addendum!E:E,"X")&gt;0,4%,0)</f>
        <v>0</v>
      </c>
      <c r="J3248" s="31">
        <f>IF(COUNTIFS(Addendum!C:C,A3248,Addendum!D:D,IF(ISNUMBER(B3248),TEXT(B3248,"0000"),B3248),Addendum!F:F,"X")&gt;0,2.5%,0)</f>
        <v>0</v>
      </c>
      <c r="K3248" s="31">
        <f>IF(COUNTIFS(Addendum!C:C,A3248,Addendum!D:D,IF(ISNUMBER(B3248),TEXT(B3248,"0000"),B3248),Addendum!G:G,"X")&gt;0,7%,0)</f>
        <v>0</v>
      </c>
      <c r="L3248" s="31">
        <f>IF(COUNTIFS(Addendum!C:C,A3248,Addendum!D:D,IF(ISNUMBER(B3248),TEXT(B3248,"0000"),B3248),Addendum!I:I,"X")&gt;0,10%,0)</f>
        <v>0</v>
      </c>
      <c r="M3248" s="34">
        <f t="shared" si="100"/>
        <v>0</v>
      </c>
      <c r="N3248" s="17">
        <f t="shared" si="101"/>
        <v>41932.800000000003</v>
      </c>
    </row>
    <row r="3249" spans="1:14" ht="30" x14ac:dyDescent="0.25">
      <c r="A3249" s="14" t="s">
        <v>2729</v>
      </c>
      <c r="B3249" s="14" t="s">
        <v>46</v>
      </c>
      <c r="C3249" s="15" t="s">
        <v>2733</v>
      </c>
      <c r="D3249" s="14" t="s">
        <v>1749</v>
      </c>
      <c r="E3249" s="14" t="s">
        <v>1746</v>
      </c>
      <c r="F3249" s="17" t="s">
        <v>2994</v>
      </c>
      <c r="G3249" s="14">
        <v>7986</v>
      </c>
      <c r="H3249" s="14">
        <v>6388.8</v>
      </c>
      <c r="I3249" s="31">
        <f>IF(COUNTIFS(Addendum!C:C,A3249,Addendum!D:D,IF(ISNUMBER(B3249),TEXT(B3249,"0000"),B3249),Addendum!E:E,"X")&gt;0,4%,0)</f>
        <v>0</v>
      </c>
      <c r="J3249" s="31">
        <f>IF(COUNTIFS(Addendum!C:C,A3249,Addendum!D:D,IF(ISNUMBER(B3249),TEXT(B3249,"0000"),B3249),Addendum!F:F,"X")&gt;0,2.5%,0)</f>
        <v>0</v>
      </c>
      <c r="K3249" s="31">
        <f>IF(COUNTIFS(Addendum!C:C,A3249,Addendum!D:D,IF(ISNUMBER(B3249),TEXT(B3249,"0000"),B3249),Addendum!G:G,"X")&gt;0,7%,0)</f>
        <v>0</v>
      </c>
      <c r="L3249" s="31">
        <f>IF(COUNTIFS(Addendum!C:C,A3249,Addendum!D:D,IF(ISNUMBER(B3249),TEXT(B3249,"0000"),B3249),Addendum!I:I,"X")&gt;0,10%,0)</f>
        <v>0</v>
      </c>
      <c r="M3249" s="34">
        <f t="shared" si="100"/>
        <v>0</v>
      </c>
      <c r="N3249" s="17">
        <f t="shared" si="101"/>
        <v>6388.8</v>
      </c>
    </row>
    <row r="3250" spans="1:14" ht="30" x14ac:dyDescent="0.25">
      <c r="A3250" s="14" t="s">
        <v>2729</v>
      </c>
      <c r="B3250" s="14" t="s">
        <v>28</v>
      </c>
      <c r="C3250" s="15" t="s">
        <v>2732</v>
      </c>
      <c r="D3250" s="14" t="s">
        <v>1745</v>
      </c>
      <c r="E3250" s="14" t="s">
        <v>1747</v>
      </c>
      <c r="F3250" s="17" t="s">
        <v>2994</v>
      </c>
      <c r="G3250" s="14">
        <v>41160</v>
      </c>
      <c r="H3250" s="14">
        <v>32928</v>
      </c>
      <c r="I3250" s="31">
        <f>IF(COUNTIFS(Addendum!C:C,A3250,Addendum!D:D,IF(ISNUMBER(B3250),TEXT(B3250,"0000"),B3250),Addendum!E:E,"X")&gt;0,4%,0)</f>
        <v>0</v>
      </c>
      <c r="J3250" s="31">
        <f>IF(COUNTIFS(Addendum!C:C,A3250,Addendum!D:D,IF(ISNUMBER(B3250),TEXT(B3250,"0000"),B3250),Addendum!F:F,"X")&gt;0,2.5%,0)</f>
        <v>0</v>
      </c>
      <c r="K3250" s="31">
        <f>IF(COUNTIFS(Addendum!C:C,A3250,Addendum!D:D,IF(ISNUMBER(B3250),TEXT(B3250,"0000"),B3250),Addendum!G:G,"X")&gt;0,7%,0)</f>
        <v>0</v>
      </c>
      <c r="L3250" s="31">
        <f>IF(COUNTIFS(Addendum!C:C,A3250,Addendum!D:D,IF(ISNUMBER(B3250),TEXT(B3250,"0000"),B3250),Addendum!I:I,"X")&gt;0,10%,0)</f>
        <v>0</v>
      </c>
      <c r="M3250" s="34">
        <f t="shared" si="100"/>
        <v>0</v>
      </c>
      <c r="N3250" s="17">
        <f t="shared" si="101"/>
        <v>32928</v>
      </c>
    </row>
    <row r="3251" spans="1:14" ht="30" x14ac:dyDescent="0.25">
      <c r="A3251" s="14" t="s">
        <v>2729</v>
      </c>
      <c r="B3251" s="14" t="s">
        <v>195</v>
      </c>
      <c r="C3251" s="15" t="s">
        <v>2731</v>
      </c>
      <c r="D3251" s="14" t="s">
        <v>1745</v>
      </c>
      <c r="E3251" s="14" t="s">
        <v>1746</v>
      </c>
      <c r="F3251" s="17" t="s">
        <v>2995</v>
      </c>
      <c r="G3251" s="14">
        <v>13104</v>
      </c>
      <c r="H3251" s="14">
        <v>11793.6</v>
      </c>
      <c r="I3251" s="31">
        <f>IF(COUNTIFS(Addendum!C:C,A3251,Addendum!D:D,IF(ISNUMBER(B3251),TEXT(B3251,"0000"),B3251),Addendum!E:E,"X")&gt;0,4%,0)</f>
        <v>0</v>
      </c>
      <c r="J3251" s="31">
        <f>IF(COUNTIFS(Addendum!C:C,A3251,Addendum!D:D,IF(ISNUMBER(B3251),TEXT(B3251,"0000"),B3251),Addendum!F:F,"X")&gt;0,2.5%,0)</f>
        <v>0</v>
      </c>
      <c r="K3251" s="31">
        <f>IF(COUNTIFS(Addendum!C:C,A3251,Addendum!D:D,IF(ISNUMBER(B3251),TEXT(B3251,"0000"),B3251),Addendum!G:G,"X")&gt;0,7%,0)</f>
        <v>0</v>
      </c>
      <c r="L3251" s="31">
        <f>IF(COUNTIFS(Addendum!C:C,A3251,Addendum!D:D,IF(ISNUMBER(B3251),TEXT(B3251,"0000"),B3251),Addendum!I:I,"X")&gt;0,10%,0)</f>
        <v>0</v>
      </c>
      <c r="M3251" s="34">
        <f t="shared" si="100"/>
        <v>0</v>
      </c>
      <c r="N3251" s="17">
        <f t="shared" si="101"/>
        <v>11793.6</v>
      </c>
    </row>
    <row r="3252" spans="1:14" ht="30" x14ac:dyDescent="0.25">
      <c r="A3252" s="14" t="s">
        <v>2729</v>
      </c>
      <c r="B3252" s="14">
        <v>1</v>
      </c>
      <c r="C3252" s="15" t="s">
        <v>2739</v>
      </c>
      <c r="D3252" s="14" t="s">
        <v>1749</v>
      </c>
      <c r="E3252" s="14" t="s">
        <v>1746</v>
      </c>
      <c r="F3252" s="17" t="s">
        <v>2993</v>
      </c>
      <c r="G3252" s="14">
        <v>7488</v>
      </c>
      <c r="H3252" s="14">
        <v>5990.4</v>
      </c>
      <c r="I3252" s="31">
        <f>IF(COUNTIFS(Addendum!C:C,A3252,Addendum!D:D,IF(ISNUMBER(B3252),TEXT(B3252,"0000"),B3252),Addendum!E:E,"X")&gt;0,4%,0)</f>
        <v>0</v>
      </c>
      <c r="J3252" s="31">
        <f>IF(COUNTIFS(Addendum!C:C,A3252,Addendum!D:D,IF(ISNUMBER(B3252),TEXT(B3252,"0000"),B3252),Addendum!F:F,"X")&gt;0,2.5%,0)</f>
        <v>0</v>
      </c>
      <c r="K3252" s="31">
        <f>IF(COUNTIFS(Addendum!C:C,A3252,Addendum!D:D,IF(ISNUMBER(B3252),TEXT(B3252,"0000"),B3252),Addendum!G:G,"X")&gt;0,7%,0)</f>
        <v>0</v>
      </c>
      <c r="L3252" s="31">
        <f>IF(COUNTIFS(Addendum!C:C,A3252,Addendum!D:D,IF(ISNUMBER(B3252),TEXT(B3252,"0000"),B3252),Addendum!I:I,"X")&gt;0,10%,0)</f>
        <v>0</v>
      </c>
      <c r="M3252" s="34">
        <f t="shared" si="100"/>
        <v>0</v>
      </c>
      <c r="N3252" s="17">
        <f t="shared" si="101"/>
        <v>5990.4</v>
      </c>
    </row>
    <row r="3253" spans="1:14" ht="30" x14ac:dyDescent="0.25">
      <c r="A3253" s="14" t="s">
        <v>2729</v>
      </c>
      <c r="B3253" s="14" t="s">
        <v>195</v>
      </c>
      <c r="C3253" s="15" t="s">
        <v>2731</v>
      </c>
      <c r="D3253" s="14" t="s">
        <v>1749</v>
      </c>
      <c r="E3253" s="14" t="s">
        <v>1746</v>
      </c>
      <c r="F3253" s="17" t="s">
        <v>2995</v>
      </c>
      <c r="G3253" s="14">
        <v>1248</v>
      </c>
      <c r="H3253" s="14">
        <v>1123.2</v>
      </c>
      <c r="I3253" s="31">
        <f>IF(COUNTIFS(Addendum!C:C,A3253,Addendum!D:D,IF(ISNUMBER(B3253),TEXT(B3253,"0000"),B3253),Addendum!E:E,"X")&gt;0,4%,0)</f>
        <v>0</v>
      </c>
      <c r="J3253" s="31">
        <f>IF(COUNTIFS(Addendum!C:C,A3253,Addendum!D:D,IF(ISNUMBER(B3253),TEXT(B3253,"0000"),B3253),Addendum!F:F,"X")&gt;0,2.5%,0)</f>
        <v>0</v>
      </c>
      <c r="K3253" s="31">
        <f>IF(COUNTIFS(Addendum!C:C,A3253,Addendum!D:D,IF(ISNUMBER(B3253),TEXT(B3253,"0000"),B3253),Addendum!G:G,"X")&gt;0,7%,0)</f>
        <v>0</v>
      </c>
      <c r="L3253" s="31">
        <f>IF(COUNTIFS(Addendum!C:C,A3253,Addendum!D:D,IF(ISNUMBER(B3253),TEXT(B3253,"0000"),B3253),Addendum!I:I,"X")&gt;0,10%,0)</f>
        <v>0</v>
      </c>
      <c r="M3253" s="34">
        <f t="shared" si="100"/>
        <v>0</v>
      </c>
      <c r="N3253" s="17">
        <f t="shared" si="101"/>
        <v>1123.2</v>
      </c>
    </row>
    <row r="3254" spans="1:14" ht="30" x14ac:dyDescent="0.25">
      <c r="A3254" s="14" t="s">
        <v>2729</v>
      </c>
      <c r="B3254" s="14" t="s">
        <v>28</v>
      </c>
      <c r="C3254" s="15" t="s">
        <v>2732</v>
      </c>
      <c r="D3254" s="14" t="s">
        <v>1749</v>
      </c>
      <c r="E3254" s="14" t="s">
        <v>1746</v>
      </c>
      <c r="F3254" s="17" t="s">
        <v>2994</v>
      </c>
      <c r="G3254" s="14">
        <v>4116</v>
      </c>
      <c r="H3254" s="14">
        <v>3292.8</v>
      </c>
      <c r="I3254" s="31">
        <f>IF(COUNTIFS(Addendum!C:C,A3254,Addendum!D:D,IF(ISNUMBER(B3254),TEXT(B3254,"0000"),B3254),Addendum!E:E,"X")&gt;0,4%,0)</f>
        <v>0</v>
      </c>
      <c r="J3254" s="31">
        <f>IF(COUNTIFS(Addendum!C:C,A3254,Addendum!D:D,IF(ISNUMBER(B3254),TEXT(B3254,"0000"),B3254),Addendum!F:F,"X")&gt;0,2.5%,0)</f>
        <v>0</v>
      </c>
      <c r="K3254" s="31">
        <f>IF(COUNTIFS(Addendum!C:C,A3254,Addendum!D:D,IF(ISNUMBER(B3254),TEXT(B3254,"0000"),B3254),Addendum!G:G,"X")&gt;0,7%,0)</f>
        <v>0</v>
      </c>
      <c r="L3254" s="31">
        <f>IF(COUNTIFS(Addendum!C:C,A3254,Addendum!D:D,IF(ISNUMBER(B3254),TEXT(B3254,"0000"),B3254),Addendum!I:I,"X")&gt;0,10%,0)</f>
        <v>0</v>
      </c>
      <c r="M3254" s="34">
        <f t="shared" si="100"/>
        <v>0</v>
      </c>
      <c r="N3254" s="17">
        <f t="shared" si="101"/>
        <v>3292.8</v>
      </c>
    </row>
    <row r="3255" spans="1:14" x14ac:dyDescent="0.25">
      <c r="A3255" s="14" t="s">
        <v>2729</v>
      </c>
      <c r="B3255" s="14">
        <v>3</v>
      </c>
      <c r="C3255" s="15" t="s">
        <v>2737</v>
      </c>
      <c r="D3255" s="14" t="s">
        <v>1749</v>
      </c>
      <c r="E3255" s="14" t="s">
        <v>1746</v>
      </c>
      <c r="F3255" s="17" t="s">
        <v>2993</v>
      </c>
      <c r="G3255" s="14">
        <v>19968</v>
      </c>
      <c r="H3255" s="14">
        <v>15974.4</v>
      </c>
      <c r="I3255" s="31">
        <f>IF(COUNTIFS(Addendum!C:C,A3255,Addendum!D:D,IF(ISNUMBER(B3255),TEXT(B3255,"0000"),B3255),Addendum!E:E,"X")&gt;0,4%,0)</f>
        <v>0</v>
      </c>
      <c r="J3255" s="31">
        <f>IF(COUNTIFS(Addendum!C:C,A3255,Addendum!D:D,IF(ISNUMBER(B3255),TEXT(B3255,"0000"),B3255),Addendum!F:F,"X")&gt;0,2.5%,0)</f>
        <v>0</v>
      </c>
      <c r="K3255" s="31">
        <f>IF(COUNTIFS(Addendum!C:C,A3255,Addendum!D:D,IF(ISNUMBER(B3255),TEXT(B3255,"0000"),B3255),Addendum!G:G,"X")&gt;0,7%,0)</f>
        <v>0</v>
      </c>
      <c r="L3255" s="31">
        <f>IF(COUNTIFS(Addendum!C:C,A3255,Addendum!D:D,IF(ISNUMBER(B3255),TEXT(B3255,"0000"),B3255),Addendum!I:I,"X")&gt;0,10%,0)</f>
        <v>0</v>
      </c>
      <c r="M3255" s="34">
        <f t="shared" si="100"/>
        <v>0</v>
      </c>
      <c r="N3255" s="17">
        <f t="shared" si="101"/>
        <v>15974.4</v>
      </c>
    </row>
    <row r="3256" spans="1:14" x14ac:dyDescent="0.25">
      <c r="A3256" s="14" t="s">
        <v>2729</v>
      </c>
      <c r="B3256" s="14">
        <v>3</v>
      </c>
      <c r="C3256" s="15" t="s">
        <v>2737</v>
      </c>
      <c r="D3256" s="14" t="s">
        <v>1745</v>
      </c>
      <c r="E3256" s="14" t="s">
        <v>1747</v>
      </c>
      <c r="F3256" s="17" t="s">
        <v>2993</v>
      </c>
      <c r="G3256" s="14">
        <v>199680</v>
      </c>
      <c r="H3256" s="14">
        <v>159744</v>
      </c>
      <c r="I3256" s="31">
        <f>IF(COUNTIFS(Addendum!C:C,A3256,Addendum!D:D,IF(ISNUMBER(B3256),TEXT(B3256,"0000"),B3256),Addendum!E:E,"X")&gt;0,4%,0)</f>
        <v>0</v>
      </c>
      <c r="J3256" s="31">
        <f>IF(COUNTIFS(Addendum!C:C,A3256,Addendum!D:D,IF(ISNUMBER(B3256),TEXT(B3256,"0000"),B3256),Addendum!F:F,"X")&gt;0,2.5%,0)</f>
        <v>0</v>
      </c>
      <c r="K3256" s="31">
        <f>IF(COUNTIFS(Addendum!C:C,A3256,Addendum!D:D,IF(ISNUMBER(B3256),TEXT(B3256,"0000"),B3256),Addendum!G:G,"X")&gt;0,7%,0)</f>
        <v>0</v>
      </c>
      <c r="L3256" s="31">
        <f>IF(COUNTIFS(Addendum!C:C,A3256,Addendum!D:D,IF(ISNUMBER(B3256),TEXT(B3256,"0000"),B3256),Addendum!I:I,"X")&gt;0,10%,0)</f>
        <v>0</v>
      </c>
      <c r="M3256" s="34">
        <f t="shared" si="100"/>
        <v>0</v>
      </c>
      <c r="N3256" s="17">
        <f t="shared" si="101"/>
        <v>159744</v>
      </c>
    </row>
    <row r="3257" spans="1:14" ht="30" x14ac:dyDescent="0.25">
      <c r="A3257" s="14" t="s">
        <v>2729</v>
      </c>
      <c r="B3257" s="14" t="s">
        <v>50</v>
      </c>
      <c r="C3257" s="15" t="s">
        <v>2741</v>
      </c>
      <c r="D3257" s="14" t="s">
        <v>1749</v>
      </c>
      <c r="E3257" s="14" t="s">
        <v>1746</v>
      </c>
      <c r="F3257" s="17" t="s">
        <v>2995</v>
      </c>
      <c r="G3257" s="14">
        <v>4992</v>
      </c>
      <c r="H3257" s="14">
        <v>4492.8</v>
      </c>
      <c r="I3257" s="31">
        <f>IF(COUNTIFS(Addendum!C:C,A3257,Addendum!D:D,IF(ISNUMBER(B3257),TEXT(B3257,"0000"),B3257),Addendum!E:E,"X")&gt;0,4%,0)</f>
        <v>0</v>
      </c>
      <c r="J3257" s="31">
        <f>IF(COUNTIFS(Addendum!C:C,A3257,Addendum!D:D,IF(ISNUMBER(B3257),TEXT(B3257,"0000"),B3257),Addendum!F:F,"X")&gt;0,2.5%,0)</f>
        <v>0</v>
      </c>
      <c r="K3257" s="31">
        <f>IF(COUNTIFS(Addendum!C:C,A3257,Addendum!D:D,IF(ISNUMBER(B3257),TEXT(B3257,"0000"),B3257),Addendum!G:G,"X")&gt;0,7%,0)</f>
        <v>0</v>
      </c>
      <c r="L3257" s="31">
        <f>IF(COUNTIFS(Addendum!C:C,A3257,Addendum!D:D,IF(ISNUMBER(B3257),TEXT(B3257,"0000"),B3257),Addendum!I:I,"X")&gt;0,10%,0)</f>
        <v>0</v>
      </c>
      <c r="M3257" s="34">
        <f t="shared" si="100"/>
        <v>0</v>
      </c>
      <c r="N3257" s="17">
        <f t="shared" si="101"/>
        <v>4492.8</v>
      </c>
    </row>
    <row r="3258" spans="1:14" ht="30" x14ac:dyDescent="0.25">
      <c r="A3258" s="14" t="s">
        <v>2729</v>
      </c>
      <c r="B3258" s="14" t="s">
        <v>32</v>
      </c>
      <c r="C3258" s="15" t="s">
        <v>2734</v>
      </c>
      <c r="D3258" s="14" t="s">
        <v>1745</v>
      </c>
      <c r="E3258" s="14" t="s">
        <v>1747</v>
      </c>
      <c r="F3258" s="17" t="s">
        <v>2994</v>
      </c>
      <c r="G3258" s="14">
        <v>27480</v>
      </c>
      <c r="H3258" s="14">
        <v>21984</v>
      </c>
      <c r="I3258" s="31">
        <f>IF(COUNTIFS(Addendum!C:C,A3258,Addendum!D:D,IF(ISNUMBER(B3258),TEXT(B3258,"0000"),B3258),Addendum!E:E,"X")&gt;0,4%,0)</f>
        <v>0</v>
      </c>
      <c r="J3258" s="31">
        <f>IF(COUNTIFS(Addendum!C:C,A3258,Addendum!D:D,IF(ISNUMBER(B3258),TEXT(B3258,"0000"),B3258),Addendum!F:F,"X")&gt;0,2.5%,0)</f>
        <v>0</v>
      </c>
      <c r="K3258" s="31">
        <f>IF(COUNTIFS(Addendum!C:C,A3258,Addendum!D:D,IF(ISNUMBER(B3258),TEXT(B3258,"0000"),B3258),Addendum!G:G,"X")&gt;0,7%,0)</f>
        <v>0</v>
      </c>
      <c r="L3258" s="31">
        <f>IF(COUNTIFS(Addendum!C:C,A3258,Addendum!D:D,IF(ISNUMBER(B3258),TEXT(B3258,"0000"),B3258),Addendum!I:I,"X")&gt;0,10%,0)</f>
        <v>0</v>
      </c>
      <c r="M3258" s="34">
        <f t="shared" si="100"/>
        <v>0</v>
      </c>
      <c r="N3258" s="17">
        <f t="shared" si="101"/>
        <v>21984</v>
      </c>
    </row>
    <row r="3259" spans="1:14" ht="30" x14ac:dyDescent="0.25">
      <c r="A3259" s="14" t="s">
        <v>2729</v>
      </c>
      <c r="B3259" s="14" t="s">
        <v>650</v>
      </c>
      <c r="C3259" s="15" t="s">
        <v>2735</v>
      </c>
      <c r="D3259" s="14" t="s">
        <v>1745</v>
      </c>
      <c r="E3259" s="14" t="s">
        <v>1747</v>
      </c>
      <c r="F3259" s="17" t="s">
        <v>2995</v>
      </c>
      <c r="G3259" s="14">
        <v>18720</v>
      </c>
      <c r="H3259" s="14">
        <v>16848</v>
      </c>
      <c r="I3259" s="31">
        <f>IF(COUNTIFS(Addendum!C:C,A3259,Addendum!D:D,IF(ISNUMBER(B3259),TEXT(B3259,"0000"),B3259),Addendum!E:E,"X")&gt;0,4%,0)</f>
        <v>0</v>
      </c>
      <c r="J3259" s="31">
        <f>IF(COUNTIFS(Addendum!C:C,A3259,Addendum!D:D,IF(ISNUMBER(B3259),TEXT(B3259,"0000"),B3259),Addendum!F:F,"X")&gt;0,2.5%,0)</f>
        <v>0</v>
      </c>
      <c r="K3259" s="31">
        <f>IF(COUNTIFS(Addendum!C:C,A3259,Addendum!D:D,IF(ISNUMBER(B3259),TEXT(B3259,"0000"),B3259),Addendum!G:G,"X")&gt;0,7%,0)</f>
        <v>0</v>
      </c>
      <c r="L3259" s="31">
        <f>IF(COUNTIFS(Addendum!C:C,A3259,Addendum!D:D,IF(ISNUMBER(B3259),TEXT(B3259,"0000"),B3259),Addendum!I:I,"X")&gt;0,10%,0)</f>
        <v>0</v>
      </c>
      <c r="M3259" s="34">
        <f t="shared" si="100"/>
        <v>0</v>
      </c>
      <c r="N3259" s="17">
        <f t="shared" si="101"/>
        <v>16848</v>
      </c>
    </row>
    <row r="3260" spans="1:14" ht="30" x14ac:dyDescent="0.25">
      <c r="A3260" s="14" t="s">
        <v>2729</v>
      </c>
      <c r="B3260" s="14" t="s">
        <v>55</v>
      </c>
      <c r="C3260" s="15" t="s">
        <v>2740</v>
      </c>
      <c r="D3260" s="14" t="s">
        <v>1749</v>
      </c>
      <c r="E3260" s="14" t="s">
        <v>1746</v>
      </c>
      <c r="F3260" s="17" t="s">
        <v>2994</v>
      </c>
      <c r="G3260" s="14">
        <v>1998</v>
      </c>
      <c r="H3260" s="14">
        <v>1598.4</v>
      </c>
      <c r="I3260" s="31">
        <f>IF(COUNTIFS(Addendum!C:C,A3260,Addendum!D:D,IF(ISNUMBER(B3260),TEXT(B3260,"0000"),B3260),Addendum!E:E,"X")&gt;0,4%,0)</f>
        <v>0</v>
      </c>
      <c r="J3260" s="31">
        <f>IF(COUNTIFS(Addendum!C:C,A3260,Addendum!D:D,IF(ISNUMBER(B3260),TEXT(B3260,"0000"),B3260),Addendum!F:F,"X")&gt;0,2.5%,0)</f>
        <v>0</v>
      </c>
      <c r="K3260" s="31">
        <f>IF(COUNTIFS(Addendum!C:C,A3260,Addendum!D:D,IF(ISNUMBER(B3260),TEXT(B3260,"0000"),B3260),Addendum!G:G,"X")&gt;0,7%,0)</f>
        <v>0</v>
      </c>
      <c r="L3260" s="31">
        <f>IF(COUNTIFS(Addendum!C:C,A3260,Addendum!D:D,IF(ISNUMBER(B3260),TEXT(B3260,"0000"),B3260),Addendum!I:I,"X")&gt;0,10%,0)</f>
        <v>0</v>
      </c>
      <c r="M3260" s="34">
        <f t="shared" si="100"/>
        <v>0</v>
      </c>
      <c r="N3260" s="17">
        <f t="shared" si="101"/>
        <v>1598.4</v>
      </c>
    </row>
    <row r="3261" spans="1:14" x14ac:dyDescent="0.25">
      <c r="A3261" s="14" t="s">
        <v>1272</v>
      </c>
      <c r="B3261" s="14" t="s">
        <v>317</v>
      </c>
      <c r="C3261" s="15" t="s">
        <v>2742</v>
      </c>
      <c r="D3261" s="14" t="s">
        <v>1745</v>
      </c>
      <c r="E3261" s="14" t="s">
        <v>1746</v>
      </c>
      <c r="F3261" s="17" t="s">
        <v>2994</v>
      </c>
      <c r="G3261" s="14">
        <v>5229</v>
      </c>
      <c r="H3261" s="14">
        <v>4183.2</v>
      </c>
      <c r="I3261" s="31">
        <f>IF(COUNTIFS(Addendum!C:C,A3261,Addendum!D:D,IF(ISNUMBER(B3261),TEXT(B3261,"0000"),B3261),Addendum!E:E,"X")&gt;0,4%,0)</f>
        <v>0.04</v>
      </c>
      <c r="J3261" s="31">
        <f>IF(COUNTIFS(Addendum!C:C,A3261,Addendum!D:D,IF(ISNUMBER(B3261),TEXT(B3261,"0000"),B3261),Addendum!F:F,"X")&gt;0,2.5%,0)</f>
        <v>0</v>
      </c>
      <c r="K3261" s="31">
        <f>IF(COUNTIFS(Addendum!C:C,A3261,Addendum!D:D,IF(ISNUMBER(B3261),TEXT(B3261,"0000"),B3261),Addendum!G:G,"X")&gt;0,7%,0)</f>
        <v>0</v>
      </c>
      <c r="L3261" s="31">
        <f>IF(COUNTIFS(Addendum!C:C,A3261,Addendum!D:D,IF(ISNUMBER(B3261),TEXT(B3261,"0000"),B3261),Addendum!I:I,"X")&gt;0,10%,0)</f>
        <v>0</v>
      </c>
      <c r="M3261" s="34">
        <f t="shared" si="100"/>
        <v>0.01</v>
      </c>
      <c r="N3261" s="17">
        <f t="shared" si="101"/>
        <v>4141.3679999999995</v>
      </c>
    </row>
    <row r="3262" spans="1:14" x14ac:dyDescent="0.25">
      <c r="A3262" s="14" t="s">
        <v>1272</v>
      </c>
      <c r="B3262" s="14" t="s">
        <v>24</v>
      </c>
      <c r="C3262" s="15" t="s">
        <v>2743</v>
      </c>
      <c r="D3262" s="14" t="s">
        <v>1745</v>
      </c>
      <c r="E3262" s="14" t="s">
        <v>1746</v>
      </c>
      <c r="F3262" s="17" t="s">
        <v>2993</v>
      </c>
      <c r="G3262" s="14">
        <v>5229</v>
      </c>
      <c r="H3262" s="14">
        <v>4183.2</v>
      </c>
      <c r="I3262" s="31">
        <f>IF(COUNTIFS(Addendum!C:C,A3262,Addendum!D:D,IF(ISNUMBER(B3262),TEXT(B3262,"0000"),B3262),Addendum!E:E,"X")&gt;0,4%,0)</f>
        <v>0.04</v>
      </c>
      <c r="J3262" s="31">
        <f>IF(COUNTIFS(Addendum!C:C,A3262,Addendum!D:D,IF(ISNUMBER(B3262),TEXT(B3262,"0000"),B3262),Addendum!F:F,"X")&gt;0,2.5%,0)</f>
        <v>0</v>
      </c>
      <c r="K3262" s="31">
        <f>IF(COUNTIFS(Addendum!C:C,A3262,Addendum!D:D,IF(ISNUMBER(B3262),TEXT(B3262,"0000"),B3262),Addendum!G:G,"X")&gt;0,7%,0)</f>
        <v>0</v>
      </c>
      <c r="L3262" s="31">
        <f>IF(COUNTIFS(Addendum!C:C,A3262,Addendum!D:D,IF(ISNUMBER(B3262),TEXT(B3262,"0000"),B3262),Addendum!I:I,"X")&gt;0,10%,0)</f>
        <v>0</v>
      </c>
      <c r="M3262" s="34">
        <f t="shared" si="100"/>
        <v>0.01</v>
      </c>
      <c r="N3262" s="17">
        <f t="shared" si="101"/>
        <v>4141.3679999999995</v>
      </c>
    </row>
    <row r="3263" spans="1:14" x14ac:dyDescent="0.25">
      <c r="A3263" s="14" t="s">
        <v>1272</v>
      </c>
      <c r="B3263" s="14" t="s">
        <v>317</v>
      </c>
      <c r="C3263" s="15" t="s">
        <v>2742</v>
      </c>
      <c r="D3263" s="14" t="s">
        <v>1745</v>
      </c>
      <c r="E3263" s="14" t="s">
        <v>1747</v>
      </c>
      <c r="F3263" s="17" t="s">
        <v>2994</v>
      </c>
      <c r="G3263" s="14">
        <v>4980</v>
      </c>
      <c r="H3263" s="14">
        <v>3984</v>
      </c>
      <c r="I3263" s="31">
        <f>IF(COUNTIFS(Addendum!C:C,A3263,Addendum!D:D,IF(ISNUMBER(B3263),TEXT(B3263,"0000"),B3263),Addendum!E:E,"X")&gt;0,4%,0)</f>
        <v>0.04</v>
      </c>
      <c r="J3263" s="31">
        <f>IF(COUNTIFS(Addendum!C:C,A3263,Addendum!D:D,IF(ISNUMBER(B3263),TEXT(B3263,"0000"),B3263),Addendum!F:F,"X")&gt;0,2.5%,0)</f>
        <v>0</v>
      </c>
      <c r="K3263" s="31">
        <f>IF(COUNTIFS(Addendum!C:C,A3263,Addendum!D:D,IF(ISNUMBER(B3263),TEXT(B3263,"0000"),B3263),Addendum!G:G,"X")&gt;0,7%,0)</f>
        <v>0</v>
      </c>
      <c r="L3263" s="31">
        <f>IF(COUNTIFS(Addendum!C:C,A3263,Addendum!D:D,IF(ISNUMBER(B3263),TEXT(B3263,"0000"),B3263),Addendum!I:I,"X")&gt;0,10%,0)</f>
        <v>0</v>
      </c>
      <c r="M3263" s="34">
        <f t="shared" si="100"/>
        <v>0.03</v>
      </c>
      <c r="N3263" s="17">
        <f t="shared" si="101"/>
        <v>3864.48</v>
      </c>
    </row>
    <row r="3264" spans="1:14" x14ac:dyDescent="0.25">
      <c r="A3264" s="14" t="s">
        <v>1272</v>
      </c>
      <c r="B3264" s="14" t="s">
        <v>24</v>
      </c>
      <c r="C3264" s="15" t="s">
        <v>2743</v>
      </c>
      <c r="D3264" s="14" t="s">
        <v>1749</v>
      </c>
      <c r="E3264" s="14" t="s">
        <v>1746</v>
      </c>
      <c r="F3264" s="17" t="s">
        <v>2993</v>
      </c>
      <c r="G3264" s="14">
        <v>498</v>
      </c>
      <c r="H3264" s="14">
        <v>398.4</v>
      </c>
      <c r="I3264" s="31">
        <f>IF(COUNTIFS(Addendum!C:C,A3264,Addendum!D:D,IF(ISNUMBER(B3264),TEXT(B3264,"0000"),B3264),Addendum!E:E,"X")&gt;0,4%,0)</f>
        <v>0.04</v>
      </c>
      <c r="J3264" s="31">
        <f>IF(COUNTIFS(Addendum!C:C,A3264,Addendum!D:D,IF(ISNUMBER(B3264),TEXT(B3264,"0000"),B3264),Addendum!F:F,"X")&gt;0,2.5%,0)</f>
        <v>0</v>
      </c>
      <c r="K3264" s="31">
        <f>IF(COUNTIFS(Addendum!C:C,A3264,Addendum!D:D,IF(ISNUMBER(B3264),TEXT(B3264,"0000"),B3264),Addendum!G:G,"X")&gt;0,7%,0)</f>
        <v>0</v>
      </c>
      <c r="L3264" s="31">
        <f>IF(COUNTIFS(Addendum!C:C,A3264,Addendum!D:D,IF(ISNUMBER(B3264),TEXT(B3264,"0000"),B3264),Addendum!I:I,"X")&gt;0,10%,0)</f>
        <v>0</v>
      </c>
      <c r="M3264" s="34">
        <f t="shared" si="100"/>
        <v>0.01</v>
      </c>
      <c r="N3264" s="17">
        <f t="shared" si="101"/>
        <v>394.416</v>
      </c>
    </row>
    <row r="3265" spans="1:14" x14ac:dyDescent="0.25">
      <c r="A3265" s="14" t="s">
        <v>1272</v>
      </c>
      <c r="B3265" s="14" t="s">
        <v>608</v>
      </c>
      <c r="C3265" s="15" t="s">
        <v>2744</v>
      </c>
      <c r="D3265" s="14" t="s">
        <v>1745</v>
      </c>
      <c r="E3265" s="14" t="s">
        <v>1747</v>
      </c>
      <c r="F3265" s="17" t="s">
        <v>2995</v>
      </c>
      <c r="G3265" s="14">
        <v>1980</v>
      </c>
      <c r="H3265" s="14">
        <v>1782</v>
      </c>
      <c r="I3265" s="31">
        <f>IF(COUNTIFS(Addendum!C:C,A3265,Addendum!D:D,IF(ISNUMBER(B3265),TEXT(B3265,"0000"),B3265),Addendum!E:E,"X")&gt;0,4%,0)</f>
        <v>0.04</v>
      </c>
      <c r="J3265" s="31">
        <f>IF(COUNTIFS(Addendum!C:C,A3265,Addendum!D:D,IF(ISNUMBER(B3265),TEXT(B3265,"0000"),B3265),Addendum!F:F,"X")&gt;0,2.5%,0)</f>
        <v>0</v>
      </c>
      <c r="K3265" s="31">
        <f>IF(COUNTIFS(Addendum!C:C,A3265,Addendum!D:D,IF(ISNUMBER(B3265),TEXT(B3265,"0000"),B3265),Addendum!G:G,"X")&gt;0,7%,0)</f>
        <v>0</v>
      </c>
      <c r="L3265" s="31">
        <f>IF(COUNTIFS(Addendum!C:C,A3265,Addendum!D:D,IF(ISNUMBER(B3265),TEXT(B3265,"0000"),B3265),Addendum!I:I,"X")&gt;0,10%,0)</f>
        <v>0</v>
      </c>
      <c r="M3265" s="34">
        <f t="shared" si="100"/>
        <v>0.03</v>
      </c>
      <c r="N3265" s="17">
        <f t="shared" si="101"/>
        <v>1728.54</v>
      </c>
    </row>
    <row r="3266" spans="1:14" x14ac:dyDescent="0.25">
      <c r="A3266" s="14" t="s">
        <v>1272</v>
      </c>
      <c r="B3266" s="14" t="s">
        <v>24</v>
      </c>
      <c r="C3266" s="15" t="s">
        <v>2743</v>
      </c>
      <c r="D3266" s="14" t="s">
        <v>1745</v>
      </c>
      <c r="E3266" s="14" t="s">
        <v>1747</v>
      </c>
      <c r="F3266" s="17" t="s">
        <v>2993</v>
      </c>
      <c r="G3266" s="14">
        <v>4980</v>
      </c>
      <c r="H3266" s="14">
        <v>3984</v>
      </c>
      <c r="I3266" s="31">
        <f>IF(COUNTIFS(Addendum!C:C,A3266,Addendum!D:D,IF(ISNUMBER(B3266),TEXT(B3266,"0000"),B3266),Addendum!E:E,"X")&gt;0,4%,0)</f>
        <v>0.04</v>
      </c>
      <c r="J3266" s="31">
        <f>IF(COUNTIFS(Addendum!C:C,A3266,Addendum!D:D,IF(ISNUMBER(B3266),TEXT(B3266,"0000"),B3266),Addendum!F:F,"X")&gt;0,2.5%,0)</f>
        <v>0</v>
      </c>
      <c r="K3266" s="31">
        <f>IF(COUNTIFS(Addendum!C:C,A3266,Addendum!D:D,IF(ISNUMBER(B3266),TEXT(B3266,"0000"),B3266),Addendum!G:G,"X")&gt;0,7%,0)</f>
        <v>0</v>
      </c>
      <c r="L3266" s="31">
        <f>IF(COUNTIFS(Addendum!C:C,A3266,Addendum!D:D,IF(ISNUMBER(B3266),TEXT(B3266,"0000"),B3266),Addendum!I:I,"X")&gt;0,10%,0)</f>
        <v>0</v>
      </c>
      <c r="M3266" s="34">
        <f t="shared" si="100"/>
        <v>0.03</v>
      </c>
      <c r="N3266" s="17">
        <f t="shared" si="101"/>
        <v>3864.48</v>
      </c>
    </row>
    <row r="3267" spans="1:14" x14ac:dyDescent="0.25">
      <c r="A3267" s="14" t="s">
        <v>1272</v>
      </c>
      <c r="B3267" s="14" t="s">
        <v>608</v>
      </c>
      <c r="C3267" s="15" t="s">
        <v>2744</v>
      </c>
      <c r="D3267" s="14" t="s">
        <v>1745</v>
      </c>
      <c r="E3267" s="14" t="s">
        <v>1746</v>
      </c>
      <c r="F3267" s="17" t="s">
        <v>2995</v>
      </c>
      <c r="G3267" s="14">
        <v>2079</v>
      </c>
      <c r="H3267" s="14">
        <v>1871.16</v>
      </c>
      <c r="I3267" s="31">
        <f>IF(COUNTIFS(Addendum!C:C,A3267,Addendum!D:D,IF(ISNUMBER(B3267),TEXT(B3267,"0000"),B3267),Addendum!E:E,"X")&gt;0,4%,0)</f>
        <v>0.04</v>
      </c>
      <c r="J3267" s="31">
        <f>IF(COUNTIFS(Addendum!C:C,A3267,Addendum!D:D,IF(ISNUMBER(B3267),TEXT(B3267,"0000"),B3267),Addendum!F:F,"X")&gt;0,2.5%,0)</f>
        <v>0</v>
      </c>
      <c r="K3267" s="31">
        <f>IF(COUNTIFS(Addendum!C:C,A3267,Addendum!D:D,IF(ISNUMBER(B3267),TEXT(B3267,"0000"),B3267),Addendum!G:G,"X")&gt;0,7%,0)</f>
        <v>0</v>
      </c>
      <c r="L3267" s="31">
        <f>IF(COUNTIFS(Addendum!C:C,A3267,Addendum!D:D,IF(ISNUMBER(B3267),TEXT(B3267,"0000"),B3267),Addendum!I:I,"X")&gt;0,10%,0)</f>
        <v>0</v>
      </c>
      <c r="M3267" s="34">
        <f t="shared" si="100"/>
        <v>0.01</v>
      </c>
      <c r="N3267" s="17">
        <f t="shared" si="101"/>
        <v>1852.4484</v>
      </c>
    </row>
    <row r="3268" spans="1:14" x14ac:dyDescent="0.25">
      <c r="A3268" s="14" t="s">
        <v>1272</v>
      </c>
      <c r="B3268" s="14" t="s">
        <v>608</v>
      </c>
      <c r="C3268" s="15" t="s">
        <v>2744</v>
      </c>
      <c r="D3268" s="14" t="s">
        <v>1749</v>
      </c>
      <c r="E3268" s="14" t="s">
        <v>1746</v>
      </c>
      <c r="F3268" s="17" t="s">
        <v>2995</v>
      </c>
      <c r="G3268" s="14">
        <v>198</v>
      </c>
      <c r="H3268" s="14">
        <v>178.2</v>
      </c>
      <c r="I3268" s="31">
        <f>IF(COUNTIFS(Addendum!C:C,A3268,Addendum!D:D,IF(ISNUMBER(B3268),TEXT(B3268,"0000"),B3268),Addendum!E:E,"X")&gt;0,4%,0)</f>
        <v>0.04</v>
      </c>
      <c r="J3268" s="31">
        <f>IF(COUNTIFS(Addendum!C:C,A3268,Addendum!D:D,IF(ISNUMBER(B3268),TEXT(B3268,"0000"),B3268),Addendum!F:F,"X")&gt;0,2.5%,0)</f>
        <v>0</v>
      </c>
      <c r="K3268" s="31">
        <f>IF(COUNTIFS(Addendum!C:C,A3268,Addendum!D:D,IF(ISNUMBER(B3268),TEXT(B3268,"0000"),B3268),Addendum!G:G,"X")&gt;0,7%,0)</f>
        <v>0</v>
      </c>
      <c r="L3268" s="31">
        <f>IF(COUNTIFS(Addendum!C:C,A3268,Addendum!D:D,IF(ISNUMBER(B3268),TEXT(B3268,"0000"),B3268),Addendum!I:I,"X")&gt;0,10%,0)</f>
        <v>0</v>
      </c>
      <c r="M3268" s="34">
        <f t="shared" ref="M3268:M3331" si="102">IF(AND(I3268=0%,J3268=0%,K3268=0%,L3268=0%),0%,
IF(OR(TRIM(E3268)="OneTime",TRIM(D3268)=""),0%,
IF(
OR(
TRIM(D3268)="P1M",
AND(TRIM(D3268)="P1Y",TRIM(E3268)="Monthly"),
AND(TRIM(D3268)="P3Y",TRIM(E3268)="Monthly")
),
IF(AND(I3268=4%,J3268=0%,K3268=0%,L3268=0%),1%,
IF(AND(I3268=4%,J3268=2.5%,K3268=0%,L3268=10%),2%,
IF(AND(I3268=4%,J3268=0%,K3268=7%,L3268=10%),3%,0%))),
IF(
OR(
AND(TRIM(D3268)="P1Y",TRIM(E3268)="Annual"),
AND(TRIM(D3268)="P3Y",TRIM(E3268)="Annual"),
AND(TRIM(D3268)="P3Y",TRIM(E3268)="Triennial")
),
IF(AND(I3268=4%,J3268=0%,K3268=0%,L3268=0%),3%,
IF(AND(I3268=4%,J3268=2.5%,K3268=0%,L3268=10%),10%,
IF(AND(I3268=4%,J3268=0%,K3268=7%,L3268=10%),14%,0%))),
0%
))))</f>
        <v>0.01</v>
      </c>
      <c r="N3268" s="17">
        <f t="shared" ref="N3268:N3331" si="103">H3268-(H3268*M3268)</f>
        <v>176.41799999999998</v>
      </c>
    </row>
    <row r="3269" spans="1:14" x14ac:dyDescent="0.25">
      <c r="A3269" s="14" t="s">
        <v>1272</v>
      </c>
      <c r="B3269" s="14" t="s">
        <v>317</v>
      </c>
      <c r="C3269" s="15" t="s">
        <v>2742</v>
      </c>
      <c r="D3269" s="14" t="s">
        <v>1749</v>
      </c>
      <c r="E3269" s="14" t="s">
        <v>1746</v>
      </c>
      <c r="F3269" s="17" t="s">
        <v>2994</v>
      </c>
      <c r="G3269" s="14">
        <v>498</v>
      </c>
      <c r="H3269" s="14">
        <v>398.4</v>
      </c>
      <c r="I3269" s="31">
        <f>IF(COUNTIFS(Addendum!C:C,A3269,Addendum!D:D,IF(ISNUMBER(B3269),TEXT(B3269,"0000"),B3269),Addendum!E:E,"X")&gt;0,4%,0)</f>
        <v>0.04</v>
      </c>
      <c r="J3269" s="31">
        <f>IF(COUNTIFS(Addendum!C:C,A3269,Addendum!D:D,IF(ISNUMBER(B3269),TEXT(B3269,"0000"),B3269),Addendum!F:F,"X")&gt;0,2.5%,0)</f>
        <v>0</v>
      </c>
      <c r="K3269" s="31">
        <f>IF(COUNTIFS(Addendum!C:C,A3269,Addendum!D:D,IF(ISNUMBER(B3269),TEXT(B3269,"0000"),B3269),Addendum!G:G,"X")&gt;0,7%,0)</f>
        <v>0</v>
      </c>
      <c r="L3269" s="31">
        <f>IF(COUNTIFS(Addendum!C:C,A3269,Addendum!D:D,IF(ISNUMBER(B3269),TEXT(B3269,"0000"),B3269),Addendum!I:I,"X")&gt;0,10%,0)</f>
        <v>0</v>
      </c>
      <c r="M3269" s="34">
        <f t="shared" si="102"/>
        <v>0.01</v>
      </c>
      <c r="N3269" s="17">
        <f t="shared" si="103"/>
        <v>394.416</v>
      </c>
    </row>
    <row r="3270" spans="1:14" x14ac:dyDescent="0.25">
      <c r="A3270" s="14" t="s">
        <v>2745</v>
      </c>
      <c r="B3270" s="14">
        <v>4</v>
      </c>
      <c r="C3270" s="15" t="s">
        <v>2746</v>
      </c>
      <c r="D3270" s="14" t="s">
        <v>1745</v>
      </c>
      <c r="E3270" s="14" t="s">
        <v>1747</v>
      </c>
      <c r="F3270" s="17" t="s">
        <v>2994</v>
      </c>
      <c r="G3270" s="14">
        <v>3600</v>
      </c>
      <c r="H3270" s="14">
        <v>3600</v>
      </c>
      <c r="I3270" s="31">
        <f>IF(COUNTIFS(Addendum!C:C,A3270,Addendum!D:D,IF(ISNUMBER(B3270),TEXT(B3270,"0000"),B3270),Addendum!E:E,"X")&gt;0,4%,0)</f>
        <v>0</v>
      </c>
      <c r="J3270" s="31">
        <f>IF(COUNTIFS(Addendum!C:C,A3270,Addendum!D:D,IF(ISNUMBER(B3270),TEXT(B3270,"0000"),B3270),Addendum!F:F,"X")&gt;0,2.5%,0)</f>
        <v>0</v>
      </c>
      <c r="K3270" s="31">
        <f>IF(COUNTIFS(Addendum!C:C,A3270,Addendum!D:D,IF(ISNUMBER(B3270),TEXT(B3270,"0000"),B3270),Addendum!G:G,"X")&gt;0,7%,0)</f>
        <v>0</v>
      </c>
      <c r="L3270" s="31">
        <f>IF(COUNTIFS(Addendum!C:C,A3270,Addendum!D:D,IF(ISNUMBER(B3270),TEXT(B3270,"0000"),B3270),Addendum!I:I,"X")&gt;0,10%,0)</f>
        <v>0</v>
      </c>
      <c r="M3270" s="34">
        <f t="shared" si="102"/>
        <v>0</v>
      </c>
      <c r="N3270" s="17">
        <f t="shared" si="103"/>
        <v>3600</v>
      </c>
    </row>
    <row r="3271" spans="1:14" x14ac:dyDescent="0.25">
      <c r="A3271" s="14" t="s">
        <v>2745</v>
      </c>
      <c r="B3271" s="14">
        <v>3</v>
      </c>
      <c r="C3271" s="15" t="s">
        <v>2747</v>
      </c>
      <c r="D3271" s="14" t="s">
        <v>1745</v>
      </c>
      <c r="E3271" s="14" t="s">
        <v>1746</v>
      </c>
      <c r="F3271" s="17" t="s">
        <v>2994</v>
      </c>
      <c r="G3271" s="14">
        <v>5166</v>
      </c>
      <c r="H3271" s="14">
        <v>5166</v>
      </c>
      <c r="I3271" s="31">
        <f>IF(COUNTIFS(Addendum!C:C,A3271,Addendum!D:D,IF(ISNUMBER(B3271),TEXT(B3271,"0000"),B3271),Addendum!E:E,"X")&gt;0,4%,0)</f>
        <v>0</v>
      </c>
      <c r="J3271" s="31">
        <f>IF(COUNTIFS(Addendum!C:C,A3271,Addendum!D:D,IF(ISNUMBER(B3271),TEXT(B3271,"0000"),B3271),Addendum!F:F,"X")&gt;0,2.5%,0)</f>
        <v>0</v>
      </c>
      <c r="K3271" s="31">
        <f>IF(COUNTIFS(Addendum!C:C,A3271,Addendum!D:D,IF(ISNUMBER(B3271),TEXT(B3271,"0000"),B3271),Addendum!G:G,"X")&gt;0,7%,0)</f>
        <v>0</v>
      </c>
      <c r="L3271" s="31">
        <f>IF(COUNTIFS(Addendum!C:C,A3271,Addendum!D:D,IF(ISNUMBER(B3271),TEXT(B3271,"0000"),B3271),Addendum!I:I,"X")&gt;0,10%,0)</f>
        <v>0</v>
      </c>
      <c r="M3271" s="34">
        <f t="shared" si="102"/>
        <v>0</v>
      </c>
      <c r="N3271" s="17">
        <f t="shared" si="103"/>
        <v>5166</v>
      </c>
    </row>
    <row r="3272" spans="1:14" x14ac:dyDescent="0.25">
      <c r="A3272" s="14" t="s">
        <v>2745</v>
      </c>
      <c r="B3272" s="14">
        <v>4</v>
      </c>
      <c r="C3272" s="15" t="s">
        <v>2746</v>
      </c>
      <c r="D3272" s="14" t="s">
        <v>1749</v>
      </c>
      <c r="E3272" s="14" t="s">
        <v>1746</v>
      </c>
      <c r="F3272" s="17" t="s">
        <v>2994</v>
      </c>
      <c r="G3272" s="14">
        <v>360</v>
      </c>
      <c r="H3272" s="14">
        <v>360</v>
      </c>
      <c r="I3272" s="31">
        <f>IF(COUNTIFS(Addendum!C:C,A3272,Addendum!D:D,IF(ISNUMBER(B3272),TEXT(B3272,"0000"),B3272),Addendum!E:E,"X")&gt;0,4%,0)</f>
        <v>0</v>
      </c>
      <c r="J3272" s="31">
        <f>IF(COUNTIFS(Addendum!C:C,A3272,Addendum!D:D,IF(ISNUMBER(B3272),TEXT(B3272,"0000"),B3272),Addendum!F:F,"X")&gt;0,2.5%,0)</f>
        <v>0</v>
      </c>
      <c r="K3272" s="31">
        <f>IF(COUNTIFS(Addendum!C:C,A3272,Addendum!D:D,IF(ISNUMBER(B3272),TEXT(B3272,"0000"),B3272),Addendum!G:G,"X")&gt;0,7%,0)</f>
        <v>0</v>
      </c>
      <c r="L3272" s="31">
        <f>IF(COUNTIFS(Addendum!C:C,A3272,Addendum!D:D,IF(ISNUMBER(B3272),TEXT(B3272,"0000"),B3272),Addendum!I:I,"X")&gt;0,10%,0)</f>
        <v>0</v>
      </c>
      <c r="M3272" s="34">
        <f t="shared" si="102"/>
        <v>0</v>
      </c>
      <c r="N3272" s="17">
        <f t="shared" si="103"/>
        <v>360</v>
      </c>
    </row>
    <row r="3273" spans="1:14" x14ac:dyDescent="0.25">
      <c r="A3273" s="14" t="s">
        <v>2745</v>
      </c>
      <c r="B3273" s="14">
        <v>3</v>
      </c>
      <c r="C3273" s="15" t="s">
        <v>2747</v>
      </c>
      <c r="D3273" s="14" t="s">
        <v>1749</v>
      </c>
      <c r="E3273" s="14" t="s">
        <v>1746</v>
      </c>
      <c r="F3273" s="17" t="s">
        <v>2994</v>
      </c>
      <c r="G3273" s="14">
        <v>492</v>
      </c>
      <c r="H3273" s="14">
        <v>492</v>
      </c>
      <c r="I3273" s="31">
        <f>IF(COUNTIFS(Addendum!C:C,A3273,Addendum!D:D,IF(ISNUMBER(B3273),TEXT(B3273,"0000"),B3273),Addendum!E:E,"X")&gt;0,4%,0)</f>
        <v>0</v>
      </c>
      <c r="J3273" s="31">
        <f>IF(COUNTIFS(Addendum!C:C,A3273,Addendum!D:D,IF(ISNUMBER(B3273),TEXT(B3273,"0000"),B3273),Addendum!F:F,"X")&gt;0,2.5%,0)</f>
        <v>0</v>
      </c>
      <c r="K3273" s="31">
        <f>IF(COUNTIFS(Addendum!C:C,A3273,Addendum!D:D,IF(ISNUMBER(B3273),TEXT(B3273,"0000"),B3273),Addendum!G:G,"X")&gt;0,7%,0)</f>
        <v>0</v>
      </c>
      <c r="L3273" s="31">
        <f>IF(COUNTIFS(Addendum!C:C,A3273,Addendum!D:D,IF(ISNUMBER(B3273),TEXT(B3273,"0000"),B3273),Addendum!I:I,"X")&gt;0,10%,0)</f>
        <v>0</v>
      </c>
      <c r="M3273" s="34">
        <f t="shared" si="102"/>
        <v>0</v>
      </c>
      <c r="N3273" s="17">
        <f t="shared" si="103"/>
        <v>492</v>
      </c>
    </row>
    <row r="3274" spans="1:14" x14ac:dyDescent="0.25">
      <c r="A3274" s="14" t="s">
        <v>2745</v>
      </c>
      <c r="B3274" s="14">
        <v>1</v>
      </c>
      <c r="C3274" s="15" t="s">
        <v>2748</v>
      </c>
      <c r="D3274" s="14" t="s">
        <v>1745</v>
      </c>
      <c r="E3274" s="14" t="s">
        <v>1747</v>
      </c>
      <c r="F3274" s="17" t="s">
        <v>2993</v>
      </c>
      <c r="G3274" s="14">
        <v>9000</v>
      </c>
      <c r="H3274" s="14">
        <v>9000</v>
      </c>
      <c r="I3274" s="31">
        <f>IF(COUNTIFS(Addendum!C:C,A3274,Addendum!D:D,IF(ISNUMBER(B3274),TEXT(B3274,"0000"),B3274),Addendum!E:E,"X")&gt;0,4%,0)</f>
        <v>0</v>
      </c>
      <c r="J3274" s="31">
        <f>IF(COUNTIFS(Addendum!C:C,A3274,Addendum!D:D,IF(ISNUMBER(B3274),TEXT(B3274,"0000"),B3274),Addendum!F:F,"X")&gt;0,2.5%,0)</f>
        <v>0</v>
      </c>
      <c r="K3274" s="31">
        <f>IF(COUNTIFS(Addendum!C:C,A3274,Addendum!D:D,IF(ISNUMBER(B3274),TEXT(B3274,"0000"),B3274),Addendum!G:G,"X")&gt;0,7%,0)</f>
        <v>0</v>
      </c>
      <c r="L3274" s="31">
        <f>IF(COUNTIFS(Addendum!C:C,A3274,Addendum!D:D,IF(ISNUMBER(B3274),TEXT(B3274,"0000"),B3274),Addendum!I:I,"X")&gt;0,10%,0)</f>
        <v>0</v>
      </c>
      <c r="M3274" s="34">
        <f t="shared" si="102"/>
        <v>0</v>
      </c>
      <c r="N3274" s="17">
        <f t="shared" si="103"/>
        <v>9000</v>
      </c>
    </row>
    <row r="3275" spans="1:14" x14ac:dyDescent="0.25">
      <c r="A3275" s="14" t="s">
        <v>2745</v>
      </c>
      <c r="B3275" s="14">
        <v>1</v>
      </c>
      <c r="C3275" s="15" t="s">
        <v>2748</v>
      </c>
      <c r="D3275" s="14" t="s">
        <v>1749</v>
      </c>
      <c r="E3275" s="14" t="s">
        <v>1746</v>
      </c>
      <c r="F3275" s="17" t="s">
        <v>2993</v>
      </c>
      <c r="G3275" s="14">
        <v>900</v>
      </c>
      <c r="H3275" s="14">
        <v>900</v>
      </c>
      <c r="I3275" s="31">
        <f>IF(COUNTIFS(Addendum!C:C,A3275,Addendum!D:D,IF(ISNUMBER(B3275),TEXT(B3275,"0000"),B3275),Addendum!E:E,"X")&gt;0,4%,0)</f>
        <v>0</v>
      </c>
      <c r="J3275" s="31">
        <f>IF(COUNTIFS(Addendum!C:C,A3275,Addendum!D:D,IF(ISNUMBER(B3275),TEXT(B3275,"0000"),B3275),Addendum!F:F,"X")&gt;0,2.5%,0)</f>
        <v>0</v>
      </c>
      <c r="K3275" s="31">
        <f>IF(COUNTIFS(Addendum!C:C,A3275,Addendum!D:D,IF(ISNUMBER(B3275),TEXT(B3275,"0000"),B3275),Addendum!G:G,"X")&gt;0,7%,0)</f>
        <v>0</v>
      </c>
      <c r="L3275" s="31">
        <f>IF(COUNTIFS(Addendum!C:C,A3275,Addendum!D:D,IF(ISNUMBER(B3275),TEXT(B3275,"0000"),B3275),Addendum!I:I,"X")&gt;0,10%,0)</f>
        <v>0</v>
      </c>
      <c r="M3275" s="34">
        <f t="shared" si="102"/>
        <v>0</v>
      </c>
      <c r="N3275" s="17">
        <f t="shared" si="103"/>
        <v>900</v>
      </c>
    </row>
    <row r="3276" spans="1:14" x14ac:dyDescent="0.25">
      <c r="A3276" s="14" t="s">
        <v>2745</v>
      </c>
      <c r="B3276" s="14">
        <v>4</v>
      </c>
      <c r="C3276" s="15" t="s">
        <v>2746</v>
      </c>
      <c r="D3276" s="14" t="s">
        <v>1745</v>
      </c>
      <c r="E3276" s="14" t="s">
        <v>1746</v>
      </c>
      <c r="F3276" s="17" t="s">
        <v>2994</v>
      </c>
      <c r="G3276" s="14">
        <v>3780</v>
      </c>
      <c r="H3276" s="14">
        <v>3780</v>
      </c>
      <c r="I3276" s="31">
        <f>IF(COUNTIFS(Addendum!C:C,A3276,Addendum!D:D,IF(ISNUMBER(B3276),TEXT(B3276,"0000"),B3276),Addendum!E:E,"X")&gt;0,4%,0)</f>
        <v>0</v>
      </c>
      <c r="J3276" s="31">
        <f>IF(COUNTIFS(Addendum!C:C,A3276,Addendum!D:D,IF(ISNUMBER(B3276),TEXT(B3276,"0000"),B3276),Addendum!F:F,"X")&gt;0,2.5%,0)</f>
        <v>0</v>
      </c>
      <c r="K3276" s="31">
        <f>IF(COUNTIFS(Addendum!C:C,A3276,Addendum!D:D,IF(ISNUMBER(B3276),TEXT(B3276,"0000"),B3276),Addendum!G:G,"X")&gt;0,7%,0)</f>
        <v>0</v>
      </c>
      <c r="L3276" s="31">
        <f>IF(COUNTIFS(Addendum!C:C,A3276,Addendum!D:D,IF(ISNUMBER(B3276),TEXT(B3276,"0000"),B3276),Addendum!I:I,"X")&gt;0,10%,0)</f>
        <v>0</v>
      </c>
      <c r="M3276" s="34">
        <f t="shared" si="102"/>
        <v>0</v>
      </c>
      <c r="N3276" s="17">
        <f t="shared" si="103"/>
        <v>3780</v>
      </c>
    </row>
    <row r="3277" spans="1:14" x14ac:dyDescent="0.25">
      <c r="A3277" s="14" t="s">
        <v>2745</v>
      </c>
      <c r="B3277" s="14">
        <v>3</v>
      </c>
      <c r="C3277" s="15" t="s">
        <v>2747</v>
      </c>
      <c r="D3277" s="14" t="s">
        <v>1745</v>
      </c>
      <c r="E3277" s="14" t="s">
        <v>1747</v>
      </c>
      <c r="F3277" s="17" t="s">
        <v>2994</v>
      </c>
      <c r="G3277" s="14">
        <v>4920</v>
      </c>
      <c r="H3277" s="14">
        <v>4920</v>
      </c>
      <c r="I3277" s="31">
        <f>IF(COUNTIFS(Addendum!C:C,A3277,Addendum!D:D,IF(ISNUMBER(B3277),TEXT(B3277,"0000"),B3277),Addendum!E:E,"X")&gt;0,4%,0)</f>
        <v>0</v>
      </c>
      <c r="J3277" s="31">
        <f>IF(COUNTIFS(Addendum!C:C,A3277,Addendum!D:D,IF(ISNUMBER(B3277),TEXT(B3277,"0000"),B3277),Addendum!F:F,"X")&gt;0,2.5%,0)</f>
        <v>0</v>
      </c>
      <c r="K3277" s="31">
        <f>IF(COUNTIFS(Addendum!C:C,A3277,Addendum!D:D,IF(ISNUMBER(B3277),TEXT(B3277,"0000"),B3277),Addendum!G:G,"X")&gt;0,7%,0)</f>
        <v>0</v>
      </c>
      <c r="L3277" s="31">
        <f>IF(COUNTIFS(Addendum!C:C,A3277,Addendum!D:D,IF(ISNUMBER(B3277),TEXT(B3277,"0000"),B3277),Addendum!I:I,"X")&gt;0,10%,0)</f>
        <v>0</v>
      </c>
      <c r="M3277" s="34">
        <f t="shared" si="102"/>
        <v>0</v>
      </c>
      <c r="N3277" s="17">
        <f t="shared" si="103"/>
        <v>4920</v>
      </c>
    </row>
    <row r="3278" spans="1:14" x14ac:dyDescent="0.25">
      <c r="A3278" s="14" t="s">
        <v>2745</v>
      </c>
      <c r="B3278" s="14">
        <v>1</v>
      </c>
      <c r="C3278" s="15" t="s">
        <v>2748</v>
      </c>
      <c r="D3278" s="14" t="s">
        <v>1745</v>
      </c>
      <c r="E3278" s="14" t="s">
        <v>1746</v>
      </c>
      <c r="F3278" s="17" t="s">
        <v>2993</v>
      </c>
      <c r="G3278" s="14">
        <v>9450</v>
      </c>
      <c r="H3278" s="14">
        <v>9450</v>
      </c>
      <c r="I3278" s="31">
        <f>IF(COUNTIFS(Addendum!C:C,A3278,Addendum!D:D,IF(ISNUMBER(B3278),TEXT(B3278,"0000"),B3278),Addendum!E:E,"X")&gt;0,4%,0)</f>
        <v>0</v>
      </c>
      <c r="J3278" s="31">
        <f>IF(COUNTIFS(Addendum!C:C,A3278,Addendum!D:D,IF(ISNUMBER(B3278),TEXT(B3278,"0000"),B3278),Addendum!F:F,"X")&gt;0,2.5%,0)</f>
        <v>0</v>
      </c>
      <c r="K3278" s="31">
        <f>IF(COUNTIFS(Addendum!C:C,A3278,Addendum!D:D,IF(ISNUMBER(B3278),TEXT(B3278,"0000"),B3278),Addendum!G:G,"X")&gt;0,7%,0)</f>
        <v>0</v>
      </c>
      <c r="L3278" s="31">
        <f>IF(COUNTIFS(Addendum!C:C,A3278,Addendum!D:D,IF(ISNUMBER(B3278),TEXT(B3278,"0000"),B3278),Addendum!I:I,"X")&gt;0,10%,0)</f>
        <v>0</v>
      </c>
      <c r="M3278" s="34">
        <f t="shared" si="102"/>
        <v>0</v>
      </c>
      <c r="N3278" s="17">
        <f t="shared" si="103"/>
        <v>9450</v>
      </c>
    </row>
    <row r="3279" spans="1:14" x14ac:dyDescent="0.25">
      <c r="A3279" s="14" t="s">
        <v>2749</v>
      </c>
      <c r="B3279" s="14">
        <v>4</v>
      </c>
      <c r="C3279" s="15" t="s">
        <v>2750</v>
      </c>
      <c r="D3279" s="14" t="s">
        <v>1749</v>
      </c>
      <c r="E3279" s="14" t="s">
        <v>1746</v>
      </c>
      <c r="F3279" s="17" t="s">
        <v>2993</v>
      </c>
      <c r="G3279" s="14">
        <v>1998</v>
      </c>
      <c r="H3279" s="14">
        <v>1598.4</v>
      </c>
      <c r="I3279" s="31">
        <f>IF(COUNTIFS(Addendum!C:C,A3279,Addendum!D:D,IF(ISNUMBER(B3279),TEXT(B3279,"0000"),B3279),Addendum!E:E,"X")&gt;0,4%,0)</f>
        <v>0</v>
      </c>
      <c r="J3279" s="31">
        <f>IF(COUNTIFS(Addendum!C:C,A3279,Addendum!D:D,IF(ISNUMBER(B3279),TEXT(B3279,"0000"),B3279),Addendum!F:F,"X")&gt;0,2.5%,0)</f>
        <v>0</v>
      </c>
      <c r="K3279" s="31">
        <f>IF(COUNTIFS(Addendum!C:C,A3279,Addendum!D:D,IF(ISNUMBER(B3279),TEXT(B3279,"0000"),B3279),Addendum!G:G,"X")&gt;0,7%,0)</f>
        <v>0</v>
      </c>
      <c r="L3279" s="31">
        <f>IF(COUNTIFS(Addendum!C:C,A3279,Addendum!D:D,IF(ISNUMBER(B3279),TEXT(B3279,"0000"),B3279),Addendum!I:I,"X")&gt;0,10%,0)</f>
        <v>0</v>
      </c>
      <c r="M3279" s="34">
        <f t="shared" si="102"/>
        <v>0</v>
      </c>
      <c r="N3279" s="17">
        <f t="shared" si="103"/>
        <v>1598.4</v>
      </c>
    </row>
    <row r="3280" spans="1:14" x14ac:dyDescent="0.25">
      <c r="A3280" s="14" t="s">
        <v>2749</v>
      </c>
      <c r="B3280" s="14">
        <v>4</v>
      </c>
      <c r="C3280" s="15" t="s">
        <v>2750</v>
      </c>
      <c r="D3280" s="14" t="s">
        <v>1745</v>
      </c>
      <c r="E3280" s="14" t="s">
        <v>1747</v>
      </c>
      <c r="F3280" s="17" t="s">
        <v>2993</v>
      </c>
      <c r="G3280" s="14">
        <v>19980</v>
      </c>
      <c r="H3280" s="14">
        <v>15984</v>
      </c>
      <c r="I3280" s="31">
        <f>IF(COUNTIFS(Addendum!C:C,A3280,Addendum!D:D,IF(ISNUMBER(B3280),TEXT(B3280,"0000"),B3280),Addendum!E:E,"X")&gt;0,4%,0)</f>
        <v>0</v>
      </c>
      <c r="J3280" s="31">
        <f>IF(COUNTIFS(Addendum!C:C,A3280,Addendum!D:D,IF(ISNUMBER(B3280),TEXT(B3280,"0000"),B3280),Addendum!F:F,"X")&gt;0,2.5%,0)</f>
        <v>0</v>
      </c>
      <c r="K3280" s="31">
        <f>IF(COUNTIFS(Addendum!C:C,A3280,Addendum!D:D,IF(ISNUMBER(B3280),TEXT(B3280,"0000"),B3280),Addendum!G:G,"X")&gt;0,7%,0)</f>
        <v>0</v>
      </c>
      <c r="L3280" s="31">
        <f>IF(COUNTIFS(Addendum!C:C,A3280,Addendum!D:D,IF(ISNUMBER(B3280),TEXT(B3280,"0000"),B3280),Addendum!I:I,"X")&gt;0,10%,0)</f>
        <v>0</v>
      </c>
      <c r="M3280" s="34">
        <f t="shared" si="102"/>
        <v>0</v>
      </c>
      <c r="N3280" s="17">
        <f t="shared" si="103"/>
        <v>15984</v>
      </c>
    </row>
    <row r="3281" spans="1:14" x14ac:dyDescent="0.25">
      <c r="A3281" s="14" t="s">
        <v>1305</v>
      </c>
      <c r="B3281" s="14" t="s">
        <v>20</v>
      </c>
      <c r="C3281" s="15" t="s">
        <v>2751</v>
      </c>
      <c r="D3281" s="14" t="s">
        <v>1745</v>
      </c>
      <c r="E3281" s="14" t="s">
        <v>1746</v>
      </c>
      <c r="F3281" s="17" t="s">
        <v>2994</v>
      </c>
      <c r="G3281" s="14">
        <v>471.24</v>
      </c>
      <c r="H3281" s="14">
        <v>377.04</v>
      </c>
      <c r="I3281" s="31">
        <f>IF(COUNTIFS(Addendum!C:C,A3281,Addendum!D:D,IF(ISNUMBER(B3281),TEXT(B3281,"0000"),B3281),Addendum!E:E,"X")&gt;0,4%,0)</f>
        <v>0.04</v>
      </c>
      <c r="J3281" s="31">
        <f>IF(COUNTIFS(Addendum!C:C,A3281,Addendum!D:D,IF(ISNUMBER(B3281),TEXT(B3281,"0000"),B3281),Addendum!F:F,"X")&gt;0,2.5%,0)</f>
        <v>0</v>
      </c>
      <c r="K3281" s="31">
        <f>IF(COUNTIFS(Addendum!C:C,A3281,Addendum!D:D,IF(ISNUMBER(B3281),TEXT(B3281,"0000"),B3281),Addendum!G:G,"X")&gt;0,7%,0)</f>
        <v>0</v>
      </c>
      <c r="L3281" s="31">
        <f>IF(COUNTIFS(Addendum!C:C,A3281,Addendum!D:D,IF(ISNUMBER(B3281),TEXT(B3281,"0000"),B3281),Addendum!I:I,"X")&gt;0,10%,0)</f>
        <v>0</v>
      </c>
      <c r="M3281" s="34">
        <f t="shared" si="102"/>
        <v>0.01</v>
      </c>
      <c r="N3281" s="17">
        <f t="shared" si="103"/>
        <v>373.26960000000003</v>
      </c>
    </row>
    <row r="3282" spans="1:14" x14ac:dyDescent="0.25">
      <c r="A3282" s="14" t="s">
        <v>1305</v>
      </c>
      <c r="B3282" s="14" t="s">
        <v>20</v>
      </c>
      <c r="C3282" s="15" t="s">
        <v>2751</v>
      </c>
      <c r="D3282" s="14" t="s">
        <v>1752</v>
      </c>
      <c r="E3282" s="14" t="s">
        <v>1747</v>
      </c>
      <c r="F3282" s="17" t="s">
        <v>2994</v>
      </c>
      <c r="G3282" s="14">
        <v>1346.4</v>
      </c>
      <c r="H3282" s="14">
        <v>1077.1199999999999</v>
      </c>
      <c r="I3282" s="31">
        <f>IF(COUNTIFS(Addendum!C:C,A3282,Addendum!D:D,IF(ISNUMBER(B3282),TEXT(B3282,"0000"),B3282),Addendum!E:E,"X")&gt;0,4%,0)</f>
        <v>0.04</v>
      </c>
      <c r="J3282" s="31">
        <f>IF(COUNTIFS(Addendum!C:C,A3282,Addendum!D:D,IF(ISNUMBER(B3282),TEXT(B3282,"0000"),B3282),Addendum!F:F,"X")&gt;0,2.5%,0)</f>
        <v>0</v>
      </c>
      <c r="K3282" s="31">
        <f>IF(COUNTIFS(Addendum!C:C,A3282,Addendum!D:D,IF(ISNUMBER(B3282),TEXT(B3282,"0000"),B3282),Addendum!G:G,"X")&gt;0,7%,0)</f>
        <v>0</v>
      </c>
      <c r="L3282" s="31">
        <f>IF(COUNTIFS(Addendum!C:C,A3282,Addendum!D:D,IF(ISNUMBER(B3282),TEXT(B3282,"0000"),B3282),Addendum!I:I,"X")&gt;0,10%,0)</f>
        <v>0</v>
      </c>
      <c r="M3282" s="34">
        <f t="shared" si="102"/>
        <v>0.03</v>
      </c>
      <c r="N3282" s="17">
        <f t="shared" si="103"/>
        <v>1044.8063999999999</v>
      </c>
    </row>
    <row r="3283" spans="1:14" x14ac:dyDescent="0.25">
      <c r="A3283" s="14" t="s">
        <v>1305</v>
      </c>
      <c r="B3283" s="14" t="s">
        <v>24</v>
      </c>
      <c r="C3283" s="15" t="s">
        <v>2752</v>
      </c>
      <c r="D3283" s="14" t="s">
        <v>1749</v>
      </c>
      <c r="E3283" s="14" t="s">
        <v>1746</v>
      </c>
      <c r="F3283" s="17" t="s">
        <v>2994</v>
      </c>
      <c r="G3283" s="14">
        <v>59.88</v>
      </c>
      <c r="H3283" s="14">
        <v>47.9</v>
      </c>
      <c r="I3283" s="31">
        <f>IF(COUNTIFS(Addendum!C:C,A3283,Addendum!D:D,IF(ISNUMBER(B3283),TEXT(B3283,"0000"),B3283),Addendum!E:E,"X")&gt;0,4%,0)</f>
        <v>0.04</v>
      </c>
      <c r="J3283" s="31">
        <f>IF(COUNTIFS(Addendum!C:C,A3283,Addendum!D:D,IF(ISNUMBER(B3283),TEXT(B3283,"0000"),B3283),Addendum!F:F,"X")&gt;0,2.5%,0)</f>
        <v>0</v>
      </c>
      <c r="K3283" s="31">
        <f>IF(COUNTIFS(Addendum!C:C,A3283,Addendum!D:D,IF(ISNUMBER(B3283),TEXT(B3283,"0000"),B3283),Addendum!G:G,"X")&gt;0,7%,0)</f>
        <v>0</v>
      </c>
      <c r="L3283" s="31">
        <f>IF(COUNTIFS(Addendum!C:C,A3283,Addendum!D:D,IF(ISNUMBER(B3283),TEXT(B3283,"0000"),B3283),Addendum!I:I,"X")&gt;0,10%,0)</f>
        <v>0</v>
      </c>
      <c r="M3283" s="34">
        <f t="shared" si="102"/>
        <v>0.01</v>
      </c>
      <c r="N3283" s="17">
        <f t="shared" si="103"/>
        <v>47.420999999999999</v>
      </c>
    </row>
    <row r="3284" spans="1:14" x14ac:dyDescent="0.25">
      <c r="A3284" s="14" t="s">
        <v>1305</v>
      </c>
      <c r="B3284" s="14">
        <v>2</v>
      </c>
      <c r="C3284" s="15" t="s">
        <v>1304</v>
      </c>
      <c r="D3284" s="14" t="s">
        <v>1749</v>
      </c>
      <c r="E3284" s="14" t="s">
        <v>1766</v>
      </c>
      <c r="F3284" s="17" t="s">
        <v>2993</v>
      </c>
      <c r="G3284" s="14">
        <v>0</v>
      </c>
      <c r="H3284" s="14">
        <v>0</v>
      </c>
      <c r="I3284" s="31">
        <f>IF(COUNTIFS(Addendum!C:C,A3284,Addendum!D:D,IF(ISNUMBER(B3284),TEXT(B3284,"0000"),B3284),Addendum!E:E,"X")&gt;0,4%,0)</f>
        <v>0.04</v>
      </c>
      <c r="J3284" s="31">
        <f>IF(COUNTIFS(Addendum!C:C,A3284,Addendum!D:D,IF(ISNUMBER(B3284),TEXT(B3284,"0000"),B3284),Addendum!F:F,"X")&gt;0,2.5%,0)</f>
        <v>0</v>
      </c>
      <c r="K3284" s="31">
        <f>IF(COUNTIFS(Addendum!C:C,A3284,Addendum!D:D,IF(ISNUMBER(B3284),TEXT(B3284,"0000"),B3284),Addendum!G:G,"X")&gt;0,7%,0)</f>
        <v>0</v>
      </c>
      <c r="L3284" s="31">
        <f>IF(COUNTIFS(Addendum!C:C,A3284,Addendum!D:D,IF(ISNUMBER(B3284),TEXT(B3284,"0000"),B3284),Addendum!I:I,"X")&gt;0,10%,0)</f>
        <v>0</v>
      </c>
      <c r="M3284" s="34">
        <f t="shared" si="102"/>
        <v>0.01</v>
      </c>
      <c r="N3284" s="17">
        <f t="shared" si="103"/>
        <v>0</v>
      </c>
    </row>
    <row r="3285" spans="1:14" x14ac:dyDescent="0.25">
      <c r="A3285" s="14" t="s">
        <v>1305</v>
      </c>
      <c r="B3285" s="14" t="s">
        <v>34</v>
      </c>
      <c r="C3285" s="15" t="s">
        <v>2753</v>
      </c>
      <c r="D3285" s="14" t="s">
        <v>1745</v>
      </c>
      <c r="E3285" s="14" t="s">
        <v>1746</v>
      </c>
      <c r="F3285" s="17" t="s">
        <v>2995</v>
      </c>
      <c r="G3285" s="14">
        <v>786.24</v>
      </c>
      <c r="H3285" s="14">
        <v>707.64</v>
      </c>
      <c r="I3285" s="31">
        <f>IF(COUNTIFS(Addendum!C:C,A3285,Addendum!D:D,IF(ISNUMBER(B3285),TEXT(B3285,"0000"),B3285),Addendum!E:E,"X")&gt;0,4%,0)</f>
        <v>0.04</v>
      </c>
      <c r="J3285" s="31">
        <f>IF(COUNTIFS(Addendum!C:C,A3285,Addendum!D:D,IF(ISNUMBER(B3285),TEXT(B3285,"0000"),B3285),Addendum!F:F,"X")&gt;0,2.5%,0)</f>
        <v>0</v>
      </c>
      <c r="K3285" s="31">
        <f>IF(COUNTIFS(Addendum!C:C,A3285,Addendum!D:D,IF(ISNUMBER(B3285),TEXT(B3285,"0000"),B3285),Addendum!G:G,"X")&gt;0,7%,0)</f>
        <v>0</v>
      </c>
      <c r="L3285" s="31">
        <f>IF(COUNTIFS(Addendum!C:C,A3285,Addendum!D:D,IF(ISNUMBER(B3285),TEXT(B3285,"0000"),B3285),Addendum!I:I,"X")&gt;0,10%,0)</f>
        <v>0</v>
      </c>
      <c r="M3285" s="34">
        <f t="shared" si="102"/>
        <v>0.01</v>
      </c>
      <c r="N3285" s="17">
        <f t="shared" si="103"/>
        <v>700.56359999999995</v>
      </c>
    </row>
    <row r="3286" spans="1:14" x14ac:dyDescent="0.25">
      <c r="A3286" s="14" t="s">
        <v>1305</v>
      </c>
      <c r="B3286" s="14" t="s">
        <v>24</v>
      </c>
      <c r="C3286" s="15" t="s">
        <v>2752</v>
      </c>
      <c r="D3286" s="14" t="s">
        <v>1745</v>
      </c>
      <c r="E3286" s="14" t="s">
        <v>1747</v>
      </c>
      <c r="F3286" s="17" t="s">
        <v>2994</v>
      </c>
      <c r="G3286" s="14">
        <v>598.79999999999995</v>
      </c>
      <c r="H3286" s="14">
        <v>479.04</v>
      </c>
      <c r="I3286" s="31">
        <f>IF(COUNTIFS(Addendum!C:C,A3286,Addendum!D:D,IF(ISNUMBER(B3286),TEXT(B3286,"0000"),B3286),Addendum!E:E,"X")&gt;0,4%,0)</f>
        <v>0.04</v>
      </c>
      <c r="J3286" s="31">
        <f>IF(COUNTIFS(Addendum!C:C,A3286,Addendum!D:D,IF(ISNUMBER(B3286),TEXT(B3286,"0000"),B3286),Addendum!F:F,"X")&gt;0,2.5%,0)</f>
        <v>0</v>
      </c>
      <c r="K3286" s="31">
        <f>IF(COUNTIFS(Addendum!C:C,A3286,Addendum!D:D,IF(ISNUMBER(B3286),TEXT(B3286,"0000"),B3286),Addendum!G:G,"X")&gt;0,7%,0)</f>
        <v>0</v>
      </c>
      <c r="L3286" s="31">
        <f>IF(COUNTIFS(Addendum!C:C,A3286,Addendum!D:D,IF(ISNUMBER(B3286),TEXT(B3286,"0000"),B3286),Addendum!I:I,"X")&gt;0,10%,0)</f>
        <v>0</v>
      </c>
      <c r="M3286" s="34">
        <f t="shared" si="102"/>
        <v>0.03</v>
      </c>
      <c r="N3286" s="17">
        <f t="shared" si="103"/>
        <v>464.66880000000003</v>
      </c>
    </row>
    <row r="3287" spans="1:14" x14ac:dyDescent="0.25">
      <c r="A3287" s="14" t="s">
        <v>1305</v>
      </c>
      <c r="B3287" s="14" t="s">
        <v>34</v>
      </c>
      <c r="C3287" s="15" t="s">
        <v>2753</v>
      </c>
      <c r="D3287" s="14" t="s">
        <v>1749</v>
      </c>
      <c r="E3287" s="14" t="s">
        <v>1746</v>
      </c>
      <c r="F3287" s="17" t="s">
        <v>2995</v>
      </c>
      <c r="G3287" s="14">
        <v>74.88</v>
      </c>
      <c r="H3287" s="14">
        <v>67.39</v>
      </c>
      <c r="I3287" s="31">
        <f>IF(COUNTIFS(Addendum!C:C,A3287,Addendum!D:D,IF(ISNUMBER(B3287),TEXT(B3287,"0000"),B3287),Addendum!E:E,"X")&gt;0,4%,0)</f>
        <v>0.04</v>
      </c>
      <c r="J3287" s="31">
        <f>IF(COUNTIFS(Addendum!C:C,A3287,Addendum!D:D,IF(ISNUMBER(B3287),TEXT(B3287,"0000"),B3287),Addendum!F:F,"X")&gt;0,2.5%,0)</f>
        <v>0</v>
      </c>
      <c r="K3287" s="31">
        <f>IF(COUNTIFS(Addendum!C:C,A3287,Addendum!D:D,IF(ISNUMBER(B3287),TEXT(B3287,"0000"),B3287),Addendum!G:G,"X")&gt;0,7%,0)</f>
        <v>0</v>
      </c>
      <c r="L3287" s="31">
        <f>IF(COUNTIFS(Addendum!C:C,A3287,Addendum!D:D,IF(ISNUMBER(B3287),TEXT(B3287,"0000"),B3287),Addendum!I:I,"X")&gt;0,10%,0)</f>
        <v>0</v>
      </c>
      <c r="M3287" s="34">
        <f t="shared" si="102"/>
        <v>0.01</v>
      </c>
      <c r="N3287" s="17">
        <f t="shared" si="103"/>
        <v>66.716099999999997</v>
      </c>
    </row>
    <row r="3288" spans="1:14" x14ac:dyDescent="0.25">
      <c r="A3288" s="14" t="s">
        <v>1305</v>
      </c>
      <c r="B3288" s="14" t="s">
        <v>20</v>
      </c>
      <c r="C3288" s="15" t="s">
        <v>2751</v>
      </c>
      <c r="D3288" s="14" t="s">
        <v>1752</v>
      </c>
      <c r="E3288" s="14" t="s">
        <v>1746</v>
      </c>
      <c r="F3288" s="17" t="s">
        <v>2994</v>
      </c>
      <c r="G3288" s="14">
        <v>1413.72</v>
      </c>
      <c r="H3288" s="14">
        <v>1131.1199999999999</v>
      </c>
      <c r="I3288" s="31">
        <f>IF(COUNTIFS(Addendum!C:C,A3288,Addendum!D:D,IF(ISNUMBER(B3288),TEXT(B3288,"0000"),B3288),Addendum!E:E,"X")&gt;0,4%,0)</f>
        <v>0.04</v>
      </c>
      <c r="J3288" s="31">
        <f>IF(COUNTIFS(Addendum!C:C,A3288,Addendum!D:D,IF(ISNUMBER(B3288),TEXT(B3288,"0000"),B3288),Addendum!F:F,"X")&gt;0,2.5%,0)</f>
        <v>0</v>
      </c>
      <c r="K3288" s="31">
        <f>IF(COUNTIFS(Addendum!C:C,A3288,Addendum!D:D,IF(ISNUMBER(B3288),TEXT(B3288,"0000"),B3288),Addendum!G:G,"X")&gt;0,7%,0)</f>
        <v>0</v>
      </c>
      <c r="L3288" s="31">
        <f>IF(COUNTIFS(Addendum!C:C,A3288,Addendum!D:D,IF(ISNUMBER(B3288),TEXT(B3288,"0000"),B3288),Addendum!I:I,"X")&gt;0,10%,0)</f>
        <v>0</v>
      </c>
      <c r="M3288" s="34">
        <f t="shared" si="102"/>
        <v>0.01</v>
      </c>
      <c r="N3288" s="17">
        <f t="shared" si="103"/>
        <v>1119.8087999999998</v>
      </c>
    </row>
    <row r="3289" spans="1:14" x14ac:dyDescent="0.25">
      <c r="A3289" s="14" t="s">
        <v>1305</v>
      </c>
      <c r="B3289" s="14">
        <v>1</v>
      </c>
      <c r="C3289" s="15" t="s">
        <v>1304</v>
      </c>
      <c r="D3289" s="14" t="s">
        <v>1749</v>
      </c>
      <c r="E3289" s="14" t="s">
        <v>1746</v>
      </c>
      <c r="F3289" s="17" t="s">
        <v>2993</v>
      </c>
      <c r="G3289" s="14">
        <v>300</v>
      </c>
      <c r="H3289" s="14">
        <v>240</v>
      </c>
      <c r="I3289" s="31">
        <f>IF(COUNTIFS(Addendum!C:C,A3289,Addendum!D:D,IF(ISNUMBER(B3289),TEXT(B3289,"0000"),B3289),Addendum!E:E,"X")&gt;0,4%,0)</f>
        <v>0.04</v>
      </c>
      <c r="J3289" s="31">
        <f>IF(COUNTIFS(Addendum!C:C,A3289,Addendum!D:D,IF(ISNUMBER(B3289),TEXT(B3289,"0000"),B3289),Addendum!F:F,"X")&gt;0,2.5%,0)</f>
        <v>0</v>
      </c>
      <c r="K3289" s="31">
        <f>IF(COUNTIFS(Addendum!C:C,A3289,Addendum!D:D,IF(ISNUMBER(B3289),TEXT(B3289,"0000"),B3289),Addendum!G:G,"X")&gt;0,7%,0)</f>
        <v>0</v>
      </c>
      <c r="L3289" s="31">
        <f>IF(COUNTIFS(Addendum!C:C,A3289,Addendum!D:D,IF(ISNUMBER(B3289),TEXT(B3289,"0000"),B3289),Addendum!I:I,"X")&gt;0,10%,0)</f>
        <v>0</v>
      </c>
      <c r="M3289" s="34">
        <f t="shared" si="102"/>
        <v>0.01</v>
      </c>
      <c r="N3289" s="17">
        <f t="shared" si="103"/>
        <v>237.6</v>
      </c>
    </row>
    <row r="3290" spans="1:14" x14ac:dyDescent="0.25">
      <c r="A3290" s="14" t="s">
        <v>1305</v>
      </c>
      <c r="B3290" s="14" t="s">
        <v>20</v>
      </c>
      <c r="C3290" s="15" t="s">
        <v>2751</v>
      </c>
      <c r="D3290" s="14" t="s">
        <v>1749</v>
      </c>
      <c r="E3290" s="14" t="s">
        <v>1746</v>
      </c>
      <c r="F3290" s="17" t="s">
        <v>2994</v>
      </c>
      <c r="G3290" s="14">
        <v>44.88</v>
      </c>
      <c r="H3290" s="14">
        <v>35.9</v>
      </c>
      <c r="I3290" s="31">
        <f>IF(COUNTIFS(Addendum!C:C,A3290,Addendum!D:D,IF(ISNUMBER(B3290),TEXT(B3290,"0000"),B3290),Addendum!E:E,"X")&gt;0,4%,0)</f>
        <v>0.04</v>
      </c>
      <c r="J3290" s="31">
        <f>IF(COUNTIFS(Addendum!C:C,A3290,Addendum!D:D,IF(ISNUMBER(B3290),TEXT(B3290,"0000"),B3290),Addendum!F:F,"X")&gt;0,2.5%,0)</f>
        <v>0</v>
      </c>
      <c r="K3290" s="31">
        <f>IF(COUNTIFS(Addendum!C:C,A3290,Addendum!D:D,IF(ISNUMBER(B3290),TEXT(B3290,"0000"),B3290),Addendum!G:G,"X")&gt;0,7%,0)</f>
        <v>0</v>
      </c>
      <c r="L3290" s="31">
        <f>IF(COUNTIFS(Addendum!C:C,A3290,Addendum!D:D,IF(ISNUMBER(B3290),TEXT(B3290,"0000"),B3290),Addendum!I:I,"X")&gt;0,10%,0)</f>
        <v>0</v>
      </c>
      <c r="M3290" s="34">
        <f t="shared" si="102"/>
        <v>0.01</v>
      </c>
      <c r="N3290" s="17">
        <f t="shared" si="103"/>
        <v>35.540999999999997</v>
      </c>
    </row>
    <row r="3291" spans="1:14" x14ac:dyDescent="0.25">
      <c r="A3291" s="14" t="s">
        <v>1305</v>
      </c>
      <c r="B3291" s="14" t="s">
        <v>34</v>
      </c>
      <c r="C3291" s="15" t="s">
        <v>2753</v>
      </c>
      <c r="D3291" s="14" t="s">
        <v>1745</v>
      </c>
      <c r="E3291" s="14" t="s">
        <v>1747</v>
      </c>
      <c r="F3291" s="17" t="s">
        <v>2995</v>
      </c>
      <c r="G3291" s="14">
        <v>748.8</v>
      </c>
      <c r="H3291" s="14">
        <v>673.92</v>
      </c>
      <c r="I3291" s="31">
        <f>IF(COUNTIFS(Addendum!C:C,A3291,Addendum!D:D,IF(ISNUMBER(B3291),TEXT(B3291,"0000"),B3291),Addendum!E:E,"X")&gt;0,4%,0)</f>
        <v>0.04</v>
      </c>
      <c r="J3291" s="31">
        <f>IF(COUNTIFS(Addendum!C:C,A3291,Addendum!D:D,IF(ISNUMBER(B3291),TEXT(B3291,"0000"),B3291),Addendum!F:F,"X")&gt;0,2.5%,0)</f>
        <v>0</v>
      </c>
      <c r="K3291" s="31">
        <f>IF(COUNTIFS(Addendum!C:C,A3291,Addendum!D:D,IF(ISNUMBER(B3291),TEXT(B3291,"0000"),B3291),Addendum!G:G,"X")&gt;0,7%,0)</f>
        <v>0</v>
      </c>
      <c r="L3291" s="31">
        <f>IF(COUNTIFS(Addendum!C:C,A3291,Addendum!D:D,IF(ISNUMBER(B3291),TEXT(B3291,"0000"),B3291),Addendum!I:I,"X")&gt;0,10%,0)</f>
        <v>0</v>
      </c>
      <c r="M3291" s="34">
        <f t="shared" si="102"/>
        <v>0.03</v>
      </c>
      <c r="N3291" s="17">
        <f t="shared" si="103"/>
        <v>653.70240000000001</v>
      </c>
    </row>
    <row r="3292" spans="1:14" x14ac:dyDescent="0.25">
      <c r="A3292" s="14" t="s">
        <v>1305</v>
      </c>
      <c r="B3292" s="14" t="s">
        <v>20</v>
      </c>
      <c r="C3292" s="15" t="s">
        <v>2751</v>
      </c>
      <c r="D3292" s="14" t="s">
        <v>1745</v>
      </c>
      <c r="E3292" s="14" t="s">
        <v>1747</v>
      </c>
      <c r="F3292" s="17" t="s">
        <v>2994</v>
      </c>
      <c r="G3292" s="14">
        <v>448.8</v>
      </c>
      <c r="H3292" s="14">
        <v>359.04</v>
      </c>
      <c r="I3292" s="31">
        <f>IF(COUNTIFS(Addendum!C:C,A3292,Addendum!D:D,IF(ISNUMBER(B3292),TEXT(B3292,"0000"),B3292),Addendum!E:E,"X")&gt;0,4%,0)</f>
        <v>0.04</v>
      </c>
      <c r="J3292" s="31">
        <f>IF(COUNTIFS(Addendum!C:C,A3292,Addendum!D:D,IF(ISNUMBER(B3292),TEXT(B3292,"0000"),B3292),Addendum!F:F,"X")&gt;0,2.5%,0)</f>
        <v>0</v>
      </c>
      <c r="K3292" s="31">
        <f>IF(COUNTIFS(Addendum!C:C,A3292,Addendum!D:D,IF(ISNUMBER(B3292),TEXT(B3292,"0000"),B3292),Addendum!G:G,"X")&gt;0,7%,0)</f>
        <v>0</v>
      </c>
      <c r="L3292" s="31">
        <f>IF(COUNTIFS(Addendum!C:C,A3292,Addendum!D:D,IF(ISNUMBER(B3292),TEXT(B3292,"0000"),B3292),Addendum!I:I,"X")&gt;0,10%,0)</f>
        <v>0</v>
      </c>
      <c r="M3292" s="34">
        <f t="shared" si="102"/>
        <v>0.03</v>
      </c>
      <c r="N3292" s="17">
        <f t="shared" si="103"/>
        <v>348.2688</v>
      </c>
    </row>
    <row r="3293" spans="1:14" x14ac:dyDescent="0.25">
      <c r="A3293" s="14" t="s">
        <v>1305</v>
      </c>
      <c r="B3293" s="14" t="s">
        <v>24</v>
      </c>
      <c r="C3293" s="15" t="s">
        <v>2752</v>
      </c>
      <c r="D3293" s="14" t="s">
        <v>1752</v>
      </c>
      <c r="E3293" s="14" t="s">
        <v>1747</v>
      </c>
      <c r="F3293" s="17" t="s">
        <v>2994</v>
      </c>
      <c r="G3293" s="14">
        <v>1796.4</v>
      </c>
      <c r="H3293" s="14">
        <v>1437.12</v>
      </c>
      <c r="I3293" s="31">
        <f>IF(COUNTIFS(Addendum!C:C,A3293,Addendum!D:D,IF(ISNUMBER(B3293),TEXT(B3293,"0000"),B3293),Addendum!E:E,"X")&gt;0,4%,0)</f>
        <v>0.04</v>
      </c>
      <c r="J3293" s="31">
        <f>IF(COUNTIFS(Addendum!C:C,A3293,Addendum!D:D,IF(ISNUMBER(B3293),TEXT(B3293,"0000"),B3293),Addendum!F:F,"X")&gt;0,2.5%,0)</f>
        <v>0</v>
      </c>
      <c r="K3293" s="31">
        <f>IF(COUNTIFS(Addendum!C:C,A3293,Addendum!D:D,IF(ISNUMBER(B3293),TEXT(B3293,"0000"),B3293),Addendum!G:G,"X")&gt;0,7%,0)</f>
        <v>0</v>
      </c>
      <c r="L3293" s="31">
        <f>IF(COUNTIFS(Addendum!C:C,A3293,Addendum!D:D,IF(ISNUMBER(B3293),TEXT(B3293,"0000"),B3293),Addendum!I:I,"X")&gt;0,10%,0)</f>
        <v>0</v>
      </c>
      <c r="M3293" s="34">
        <f t="shared" si="102"/>
        <v>0.03</v>
      </c>
      <c r="N3293" s="17">
        <f t="shared" si="103"/>
        <v>1394.0064</v>
      </c>
    </row>
    <row r="3294" spans="1:14" x14ac:dyDescent="0.25">
      <c r="A3294" s="14" t="s">
        <v>1305</v>
      </c>
      <c r="B3294" s="14" t="s">
        <v>20</v>
      </c>
      <c r="C3294" s="15" t="s">
        <v>2751</v>
      </c>
      <c r="D3294" s="14" t="s">
        <v>1752</v>
      </c>
      <c r="E3294" s="14" t="s">
        <v>1753</v>
      </c>
      <c r="F3294" s="17" t="s">
        <v>2994</v>
      </c>
      <c r="G3294" s="14">
        <v>1346.4</v>
      </c>
      <c r="H3294" s="14">
        <v>1077.1199999999999</v>
      </c>
      <c r="I3294" s="31">
        <f>IF(COUNTIFS(Addendum!C:C,A3294,Addendum!D:D,IF(ISNUMBER(B3294),TEXT(B3294,"0000"),B3294),Addendum!E:E,"X")&gt;0,4%,0)</f>
        <v>0.04</v>
      </c>
      <c r="J3294" s="31">
        <f>IF(COUNTIFS(Addendum!C:C,A3294,Addendum!D:D,IF(ISNUMBER(B3294),TEXT(B3294,"0000"),B3294),Addendum!F:F,"X")&gt;0,2.5%,0)</f>
        <v>0</v>
      </c>
      <c r="K3294" s="31">
        <f>IF(COUNTIFS(Addendum!C:C,A3294,Addendum!D:D,IF(ISNUMBER(B3294),TEXT(B3294,"0000"),B3294),Addendum!G:G,"X")&gt;0,7%,0)</f>
        <v>0</v>
      </c>
      <c r="L3294" s="31">
        <f>IF(COUNTIFS(Addendum!C:C,A3294,Addendum!D:D,IF(ISNUMBER(B3294),TEXT(B3294,"0000"),B3294),Addendum!I:I,"X")&gt;0,10%,0)</f>
        <v>0</v>
      </c>
      <c r="M3294" s="34">
        <f t="shared" si="102"/>
        <v>0.03</v>
      </c>
      <c r="N3294" s="17">
        <f t="shared" si="103"/>
        <v>1044.8063999999999</v>
      </c>
    </row>
    <row r="3295" spans="1:14" x14ac:dyDescent="0.25">
      <c r="A3295" s="14" t="s">
        <v>1305</v>
      </c>
      <c r="B3295" s="14">
        <v>1</v>
      </c>
      <c r="C3295" s="15" t="s">
        <v>1304</v>
      </c>
      <c r="D3295" s="14" t="s">
        <v>1752</v>
      </c>
      <c r="E3295" s="14" t="s">
        <v>1753</v>
      </c>
      <c r="F3295" s="17" t="s">
        <v>2993</v>
      </c>
      <c r="G3295" s="14">
        <v>9000</v>
      </c>
      <c r="H3295" s="14">
        <v>7200</v>
      </c>
      <c r="I3295" s="31">
        <f>IF(COUNTIFS(Addendum!C:C,A3295,Addendum!D:D,IF(ISNUMBER(B3295),TEXT(B3295,"0000"),B3295),Addendum!E:E,"X")&gt;0,4%,0)</f>
        <v>0.04</v>
      </c>
      <c r="J3295" s="31">
        <f>IF(COUNTIFS(Addendum!C:C,A3295,Addendum!D:D,IF(ISNUMBER(B3295),TEXT(B3295,"0000"),B3295),Addendum!F:F,"X")&gt;0,2.5%,0)</f>
        <v>0</v>
      </c>
      <c r="K3295" s="31">
        <f>IF(COUNTIFS(Addendum!C:C,A3295,Addendum!D:D,IF(ISNUMBER(B3295),TEXT(B3295,"0000"),B3295),Addendum!G:G,"X")&gt;0,7%,0)</f>
        <v>0</v>
      </c>
      <c r="L3295" s="31">
        <f>IF(COUNTIFS(Addendum!C:C,A3295,Addendum!D:D,IF(ISNUMBER(B3295),TEXT(B3295,"0000"),B3295),Addendum!I:I,"X")&gt;0,10%,0)</f>
        <v>0</v>
      </c>
      <c r="M3295" s="34">
        <f t="shared" si="102"/>
        <v>0.03</v>
      </c>
      <c r="N3295" s="17">
        <f t="shared" si="103"/>
        <v>6984</v>
      </c>
    </row>
    <row r="3296" spans="1:14" x14ac:dyDescent="0.25">
      <c r="A3296" s="14" t="s">
        <v>1305</v>
      </c>
      <c r="B3296" s="14" t="s">
        <v>24</v>
      </c>
      <c r="C3296" s="15" t="s">
        <v>2752</v>
      </c>
      <c r="D3296" s="14" t="s">
        <v>1752</v>
      </c>
      <c r="E3296" s="14" t="s">
        <v>1753</v>
      </c>
      <c r="F3296" s="17" t="s">
        <v>2994</v>
      </c>
      <c r="G3296" s="14">
        <v>1796.4</v>
      </c>
      <c r="H3296" s="14">
        <v>1437.12</v>
      </c>
      <c r="I3296" s="31">
        <f>IF(COUNTIFS(Addendum!C:C,A3296,Addendum!D:D,IF(ISNUMBER(B3296),TEXT(B3296,"0000"),B3296),Addendum!E:E,"X")&gt;0,4%,0)</f>
        <v>0.04</v>
      </c>
      <c r="J3296" s="31">
        <f>IF(COUNTIFS(Addendum!C:C,A3296,Addendum!D:D,IF(ISNUMBER(B3296),TEXT(B3296,"0000"),B3296),Addendum!F:F,"X")&gt;0,2.5%,0)</f>
        <v>0</v>
      </c>
      <c r="K3296" s="31">
        <f>IF(COUNTIFS(Addendum!C:C,A3296,Addendum!D:D,IF(ISNUMBER(B3296),TEXT(B3296,"0000"),B3296),Addendum!G:G,"X")&gt;0,7%,0)</f>
        <v>0</v>
      </c>
      <c r="L3296" s="31">
        <f>IF(COUNTIFS(Addendum!C:C,A3296,Addendum!D:D,IF(ISNUMBER(B3296),TEXT(B3296,"0000"),B3296),Addendum!I:I,"X")&gt;0,10%,0)</f>
        <v>0</v>
      </c>
      <c r="M3296" s="34">
        <f t="shared" si="102"/>
        <v>0.03</v>
      </c>
      <c r="N3296" s="17">
        <f t="shared" si="103"/>
        <v>1394.0064</v>
      </c>
    </row>
    <row r="3297" spans="1:14" x14ac:dyDescent="0.25">
      <c r="A3297" s="14" t="s">
        <v>1305</v>
      </c>
      <c r="B3297" s="14">
        <v>7</v>
      </c>
      <c r="C3297" s="15" t="s">
        <v>2752</v>
      </c>
      <c r="D3297" s="14" t="s">
        <v>1749</v>
      </c>
      <c r="E3297" s="14" t="s">
        <v>1766</v>
      </c>
      <c r="F3297" s="17" t="s">
        <v>2994</v>
      </c>
      <c r="G3297" s="14">
        <v>0</v>
      </c>
      <c r="H3297" s="14">
        <v>0</v>
      </c>
      <c r="I3297" s="31">
        <f>IF(COUNTIFS(Addendum!C:C,A3297,Addendum!D:D,IF(ISNUMBER(B3297),TEXT(B3297,"0000"),B3297),Addendum!E:E,"X")&gt;0,4%,0)</f>
        <v>0.04</v>
      </c>
      <c r="J3297" s="31">
        <f>IF(COUNTIFS(Addendum!C:C,A3297,Addendum!D:D,IF(ISNUMBER(B3297),TEXT(B3297,"0000"),B3297),Addendum!F:F,"X")&gt;0,2.5%,0)</f>
        <v>0</v>
      </c>
      <c r="K3297" s="31">
        <f>IF(COUNTIFS(Addendum!C:C,A3297,Addendum!D:D,IF(ISNUMBER(B3297),TEXT(B3297,"0000"),B3297),Addendum!G:G,"X")&gt;0,7%,0)</f>
        <v>0</v>
      </c>
      <c r="L3297" s="31">
        <f>IF(COUNTIFS(Addendum!C:C,A3297,Addendum!D:D,IF(ISNUMBER(B3297),TEXT(B3297,"0000"),B3297),Addendum!I:I,"X")&gt;0,10%,0)</f>
        <v>0</v>
      </c>
      <c r="M3297" s="34">
        <f t="shared" si="102"/>
        <v>0.01</v>
      </c>
      <c r="N3297" s="17">
        <f t="shared" si="103"/>
        <v>0</v>
      </c>
    </row>
    <row r="3298" spans="1:14" x14ac:dyDescent="0.25">
      <c r="A3298" s="14" t="s">
        <v>1305</v>
      </c>
      <c r="B3298" s="14">
        <v>1</v>
      </c>
      <c r="C3298" s="15" t="s">
        <v>1304</v>
      </c>
      <c r="D3298" s="14" t="s">
        <v>1745</v>
      </c>
      <c r="E3298" s="14" t="s">
        <v>1747</v>
      </c>
      <c r="F3298" s="17" t="s">
        <v>2993</v>
      </c>
      <c r="G3298" s="14">
        <v>3000</v>
      </c>
      <c r="H3298" s="14">
        <v>2400</v>
      </c>
      <c r="I3298" s="31">
        <f>IF(COUNTIFS(Addendum!C:C,A3298,Addendum!D:D,IF(ISNUMBER(B3298),TEXT(B3298,"0000"),B3298),Addendum!E:E,"X")&gt;0,4%,0)</f>
        <v>0.04</v>
      </c>
      <c r="J3298" s="31">
        <f>IF(COUNTIFS(Addendum!C:C,A3298,Addendum!D:D,IF(ISNUMBER(B3298),TEXT(B3298,"0000"),B3298),Addendum!F:F,"X")&gt;0,2.5%,0)</f>
        <v>0</v>
      </c>
      <c r="K3298" s="31">
        <f>IF(COUNTIFS(Addendum!C:C,A3298,Addendum!D:D,IF(ISNUMBER(B3298),TEXT(B3298,"0000"),B3298),Addendum!G:G,"X")&gt;0,7%,0)</f>
        <v>0</v>
      </c>
      <c r="L3298" s="31">
        <f>IF(COUNTIFS(Addendum!C:C,A3298,Addendum!D:D,IF(ISNUMBER(B3298),TEXT(B3298,"0000"),B3298),Addendum!I:I,"X")&gt;0,10%,0)</f>
        <v>0</v>
      </c>
      <c r="M3298" s="34">
        <f t="shared" si="102"/>
        <v>0.03</v>
      </c>
      <c r="N3298" s="17">
        <f t="shared" si="103"/>
        <v>2328</v>
      </c>
    </row>
    <row r="3299" spans="1:14" x14ac:dyDescent="0.25">
      <c r="A3299" s="14" t="s">
        <v>1305</v>
      </c>
      <c r="B3299" s="14">
        <v>1</v>
      </c>
      <c r="C3299" s="15" t="s">
        <v>1304</v>
      </c>
      <c r="D3299" s="14" t="s">
        <v>1745</v>
      </c>
      <c r="E3299" s="14" t="s">
        <v>1746</v>
      </c>
      <c r="F3299" s="17" t="s">
        <v>2993</v>
      </c>
      <c r="G3299" s="14">
        <v>3150</v>
      </c>
      <c r="H3299" s="14">
        <v>2520</v>
      </c>
      <c r="I3299" s="31">
        <f>IF(COUNTIFS(Addendum!C:C,A3299,Addendum!D:D,IF(ISNUMBER(B3299),TEXT(B3299,"0000"),B3299),Addendum!E:E,"X")&gt;0,4%,0)</f>
        <v>0.04</v>
      </c>
      <c r="J3299" s="31">
        <f>IF(COUNTIFS(Addendum!C:C,A3299,Addendum!D:D,IF(ISNUMBER(B3299),TEXT(B3299,"0000"),B3299),Addendum!F:F,"X")&gt;0,2.5%,0)</f>
        <v>0</v>
      </c>
      <c r="K3299" s="31">
        <f>IF(COUNTIFS(Addendum!C:C,A3299,Addendum!D:D,IF(ISNUMBER(B3299),TEXT(B3299,"0000"),B3299),Addendum!G:G,"X")&gt;0,7%,0)</f>
        <v>0</v>
      </c>
      <c r="L3299" s="31">
        <f>IF(COUNTIFS(Addendum!C:C,A3299,Addendum!D:D,IF(ISNUMBER(B3299),TEXT(B3299,"0000"),B3299),Addendum!I:I,"X")&gt;0,10%,0)</f>
        <v>0</v>
      </c>
      <c r="M3299" s="34">
        <f t="shared" si="102"/>
        <v>0.01</v>
      </c>
      <c r="N3299" s="17">
        <f t="shared" si="103"/>
        <v>2494.8000000000002</v>
      </c>
    </row>
    <row r="3300" spans="1:14" x14ac:dyDescent="0.25">
      <c r="A3300" s="14" t="s">
        <v>1305</v>
      </c>
      <c r="B3300" s="14">
        <v>9</v>
      </c>
      <c r="C3300" s="15" t="s">
        <v>2751</v>
      </c>
      <c r="D3300" s="14" t="s">
        <v>1749</v>
      </c>
      <c r="E3300" s="14" t="s">
        <v>1766</v>
      </c>
      <c r="F3300" s="17" t="s">
        <v>2994</v>
      </c>
      <c r="G3300" s="14">
        <v>0</v>
      </c>
      <c r="H3300" s="14">
        <v>0</v>
      </c>
      <c r="I3300" s="31">
        <f>IF(COUNTIFS(Addendum!C:C,A3300,Addendum!D:D,IF(ISNUMBER(B3300),TEXT(B3300,"0000"),B3300),Addendum!E:E,"X")&gt;0,4%,0)</f>
        <v>0.04</v>
      </c>
      <c r="J3300" s="31">
        <f>IF(COUNTIFS(Addendum!C:C,A3300,Addendum!D:D,IF(ISNUMBER(B3300),TEXT(B3300,"0000"),B3300),Addendum!F:F,"X")&gt;0,2.5%,0)</f>
        <v>0</v>
      </c>
      <c r="K3300" s="31">
        <f>IF(COUNTIFS(Addendum!C:C,A3300,Addendum!D:D,IF(ISNUMBER(B3300),TEXT(B3300,"0000"),B3300),Addendum!G:G,"X")&gt;0,7%,0)</f>
        <v>0</v>
      </c>
      <c r="L3300" s="31">
        <f>IF(COUNTIFS(Addendum!C:C,A3300,Addendum!D:D,IF(ISNUMBER(B3300),TEXT(B3300,"0000"),B3300),Addendum!I:I,"X")&gt;0,10%,0)</f>
        <v>0</v>
      </c>
      <c r="M3300" s="34">
        <f t="shared" si="102"/>
        <v>0.01</v>
      </c>
      <c r="N3300" s="17">
        <f t="shared" si="103"/>
        <v>0</v>
      </c>
    </row>
    <row r="3301" spans="1:14" x14ac:dyDescent="0.25">
      <c r="A3301" s="14" t="s">
        <v>1305</v>
      </c>
      <c r="B3301" s="14">
        <v>1</v>
      </c>
      <c r="C3301" s="15" t="s">
        <v>1304</v>
      </c>
      <c r="D3301" s="14" t="s">
        <v>1752</v>
      </c>
      <c r="E3301" s="14" t="s">
        <v>1747</v>
      </c>
      <c r="F3301" s="17" t="s">
        <v>2993</v>
      </c>
      <c r="G3301" s="14">
        <v>9000</v>
      </c>
      <c r="H3301" s="14">
        <v>7200</v>
      </c>
      <c r="I3301" s="31">
        <f>IF(COUNTIFS(Addendum!C:C,A3301,Addendum!D:D,IF(ISNUMBER(B3301),TEXT(B3301,"0000"),B3301),Addendum!E:E,"X")&gt;0,4%,0)</f>
        <v>0.04</v>
      </c>
      <c r="J3301" s="31">
        <f>IF(COUNTIFS(Addendum!C:C,A3301,Addendum!D:D,IF(ISNUMBER(B3301),TEXT(B3301,"0000"),B3301),Addendum!F:F,"X")&gt;0,2.5%,0)</f>
        <v>0</v>
      </c>
      <c r="K3301" s="31">
        <f>IF(COUNTIFS(Addendum!C:C,A3301,Addendum!D:D,IF(ISNUMBER(B3301),TEXT(B3301,"0000"),B3301),Addendum!G:G,"X")&gt;0,7%,0)</f>
        <v>0</v>
      </c>
      <c r="L3301" s="31">
        <f>IF(COUNTIFS(Addendum!C:C,A3301,Addendum!D:D,IF(ISNUMBER(B3301),TEXT(B3301,"0000"),B3301),Addendum!I:I,"X")&gt;0,10%,0)</f>
        <v>0</v>
      </c>
      <c r="M3301" s="34">
        <f t="shared" si="102"/>
        <v>0.03</v>
      </c>
      <c r="N3301" s="17">
        <f t="shared" si="103"/>
        <v>6984</v>
      </c>
    </row>
    <row r="3302" spans="1:14" x14ac:dyDescent="0.25">
      <c r="A3302" s="14" t="s">
        <v>1305</v>
      </c>
      <c r="B3302" s="14" t="s">
        <v>24</v>
      </c>
      <c r="C3302" s="15" t="s">
        <v>2752</v>
      </c>
      <c r="D3302" s="14" t="s">
        <v>1752</v>
      </c>
      <c r="E3302" s="14" t="s">
        <v>1746</v>
      </c>
      <c r="F3302" s="17" t="s">
        <v>2994</v>
      </c>
      <c r="G3302" s="14">
        <v>1886.4</v>
      </c>
      <c r="H3302" s="14">
        <v>1509.12</v>
      </c>
      <c r="I3302" s="31">
        <f>IF(COUNTIFS(Addendum!C:C,A3302,Addendum!D:D,IF(ISNUMBER(B3302),TEXT(B3302,"0000"),B3302),Addendum!E:E,"X")&gt;0,4%,0)</f>
        <v>0.04</v>
      </c>
      <c r="J3302" s="31">
        <f>IF(COUNTIFS(Addendum!C:C,A3302,Addendum!D:D,IF(ISNUMBER(B3302),TEXT(B3302,"0000"),B3302),Addendum!F:F,"X")&gt;0,2.5%,0)</f>
        <v>0</v>
      </c>
      <c r="K3302" s="31">
        <f>IF(COUNTIFS(Addendum!C:C,A3302,Addendum!D:D,IF(ISNUMBER(B3302),TEXT(B3302,"0000"),B3302),Addendum!G:G,"X")&gt;0,7%,0)</f>
        <v>0</v>
      </c>
      <c r="L3302" s="31">
        <f>IF(COUNTIFS(Addendum!C:C,A3302,Addendum!D:D,IF(ISNUMBER(B3302),TEXT(B3302,"0000"),B3302),Addendum!I:I,"X")&gt;0,10%,0)</f>
        <v>0</v>
      </c>
      <c r="M3302" s="34">
        <f t="shared" si="102"/>
        <v>0.01</v>
      </c>
      <c r="N3302" s="17">
        <f t="shared" si="103"/>
        <v>1494.0287999999998</v>
      </c>
    </row>
    <row r="3303" spans="1:14" x14ac:dyDescent="0.25">
      <c r="A3303" s="14" t="s">
        <v>1305</v>
      </c>
      <c r="B3303" s="14" t="s">
        <v>24</v>
      </c>
      <c r="C3303" s="15" t="s">
        <v>2752</v>
      </c>
      <c r="D3303" s="14" t="s">
        <v>1745</v>
      </c>
      <c r="E3303" s="14" t="s">
        <v>1746</v>
      </c>
      <c r="F3303" s="17" t="s">
        <v>2994</v>
      </c>
      <c r="G3303" s="14">
        <v>628.79999999999995</v>
      </c>
      <c r="H3303" s="14">
        <v>503.04</v>
      </c>
      <c r="I3303" s="31">
        <f>IF(COUNTIFS(Addendum!C:C,A3303,Addendum!D:D,IF(ISNUMBER(B3303),TEXT(B3303,"0000"),B3303),Addendum!E:E,"X")&gt;0,4%,0)</f>
        <v>0.04</v>
      </c>
      <c r="J3303" s="31">
        <f>IF(COUNTIFS(Addendum!C:C,A3303,Addendum!D:D,IF(ISNUMBER(B3303),TEXT(B3303,"0000"),B3303),Addendum!F:F,"X")&gt;0,2.5%,0)</f>
        <v>0</v>
      </c>
      <c r="K3303" s="31">
        <f>IF(COUNTIFS(Addendum!C:C,A3303,Addendum!D:D,IF(ISNUMBER(B3303),TEXT(B3303,"0000"),B3303),Addendum!G:G,"X")&gt;0,7%,0)</f>
        <v>0</v>
      </c>
      <c r="L3303" s="31">
        <f>IF(COUNTIFS(Addendum!C:C,A3303,Addendum!D:D,IF(ISNUMBER(B3303),TEXT(B3303,"0000"),B3303),Addendum!I:I,"X")&gt;0,10%,0)</f>
        <v>0</v>
      </c>
      <c r="M3303" s="34">
        <f t="shared" si="102"/>
        <v>0.01</v>
      </c>
      <c r="N3303" s="17">
        <f t="shared" si="103"/>
        <v>498.00960000000003</v>
      </c>
    </row>
    <row r="3304" spans="1:14" x14ac:dyDescent="0.25">
      <c r="A3304" s="14" t="s">
        <v>2754</v>
      </c>
      <c r="B3304" s="14">
        <v>9</v>
      </c>
      <c r="C3304" s="15" t="s">
        <v>2755</v>
      </c>
      <c r="D3304" s="14" t="s">
        <v>1749</v>
      </c>
      <c r="E3304" s="14" t="s">
        <v>1746</v>
      </c>
      <c r="F3304" s="17" t="s">
        <v>2994</v>
      </c>
      <c r="G3304" s="14">
        <v>150</v>
      </c>
      <c r="H3304" s="14">
        <v>120</v>
      </c>
      <c r="I3304" s="31">
        <f>IF(COUNTIFS(Addendum!C:C,A3304,Addendum!D:D,IF(ISNUMBER(B3304),TEXT(B3304,"0000"),B3304),Addendum!E:E,"X")&gt;0,4%,0)</f>
        <v>0</v>
      </c>
      <c r="J3304" s="31">
        <f>IF(COUNTIFS(Addendum!C:C,A3304,Addendum!D:D,IF(ISNUMBER(B3304),TEXT(B3304,"0000"),B3304),Addendum!F:F,"X")&gt;0,2.5%,0)</f>
        <v>0</v>
      </c>
      <c r="K3304" s="31">
        <f>IF(COUNTIFS(Addendum!C:C,A3304,Addendum!D:D,IF(ISNUMBER(B3304),TEXT(B3304,"0000"),B3304),Addendum!G:G,"X")&gt;0,7%,0)</f>
        <v>0</v>
      </c>
      <c r="L3304" s="31">
        <f>IF(COUNTIFS(Addendum!C:C,A3304,Addendum!D:D,IF(ISNUMBER(B3304),TEXT(B3304,"0000"),B3304),Addendum!I:I,"X")&gt;0,10%,0)</f>
        <v>0</v>
      </c>
      <c r="M3304" s="34">
        <f t="shared" si="102"/>
        <v>0</v>
      </c>
      <c r="N3304" s="17">
        <f t="shared" si="103"/>
        <v>120</v>
      </c>
    </row>
    <row r="3305" spans="1:14" x14ac:dyDescent="0.25">
      <c r="A3305" s="14" t="s">
        <v>2754</v>
      </c>
      <c r="B3305" s="14">
        <v>1</v>
      </c>
      <c r="C3305" s="15" t="s">
        <v>2756</v>
      </c>
      <c r="D3305" s="14" t="s">
        <v>1745</v>
      </c>
      <c r="E3305" s="14" t="s">
        <v>1747</v>
      </c>
      <c r="F3305" s="17" t="s">
        <v>2993</v>
      </c>
      <c r="G3305" s="14">
        <v>1980</v>
      </c>
      <c r="H3305" s="14">
        <v>1584</v>
      </c>
      <c r="I3305" s="31">
        <f>IF(COUNTIFS(Addendum!C:C,A3305,Addendum!D:D,IF(ISNUMBER(B3305),TEXT(B3305,"0000"),B3305),Addendum!E:E,"X")&gt;0,4%,0)</f>
        <v>0</v>
      </c>
      <c r="J3305" s="31">
        <f>IF(COUNTIFS(Addendum!C:C,A3305,Addendum!D:D,IF(ISNUMBER(B3305),TEXT(B3305,"0000"),B3305),Addendum!F:F,"X")&gt;0,2.5%,0)</f>
        <v>0</v>
      </c>
      <c r="K3305" s="31">
        <f>IF(COUNTIFS(Addendum!C:C,A3305,Addendum!D:D,IF(ISNUMBER(B3305),TEXT(B3305,"0000"),B3305),Addendum!G:G,"X")&gt;0,7%,0)</f>
        <v>0</v>
      </c>
      <c r="L3305" s="31">
        <f>IF(COUNTIFS(Addendum!C:C,A3305,Addendum!D:D,IF(ISNUMBER(B3305),TEXT(B3305,"0000"),B3305),Addendum!I:I,"X")&gt;0,10%,0)</f>
        <v>0</v>
      </c>
      <c r="M3305" s="34">
        <f t="shared" si="102"/>
        <v>0</v>
      </c>
      <c r="N3305" s="17">
        <f t="shared" si="103"/>
        <v>1584</v>
      </c>
    </row>
    <row r="3306" spans="1:14" x14ac:dyDescent="0.25">
      <c r="A3306" s="14" t="s">
        <v>2754</v>
      </c>
      <c r="B3306" s="14">
        <v>9</v>
      </c>
      <c r="C3306" s="15" t="s">
        <v>2755</v>
      </c>
      <c r="D3306" s="14" t="s">
        <v>1745</v>
      </c>
      <c r="E3306" s="14" t="s">
        <v>1746</v>
      </c>
      <c r="F3306" s="17" t="s">
        <v>2994</v>
      </c>
      <c r="G3306" s="14">
        <v>1575</v>
      </c>
      <c r="H3306" s="14">
        <v>1260</v>
      </c>
      <c r="I3306" s="31">
        <f>IF(COUNTIFS(Addendum!C:C,A3306,Addendum!D:D,IF(ISNUMBER(B3306),TEXT(B3306,"0000"),B3306),Addendum!E:E,"X")&gt;0,4%,0)</f>
        <v>0</v>
      </c>
      <c r="J3306" s="31">
        <f>IF(COUNTIFS(Addendum!C:C,A3306,Addendum!D:D,IF(ISNUMBER(B3306),TEXT(B3306,"0000"),B3306),Addendum!F:F,"X")&gt;0,2.5%,0)</f>
        <v>0</v>
      </c>
      <c r="K3306" s="31">
        <f>IF(COUNTIFS(Addendum!C:C,A3306,Addendum!D:D,IF(ISNUMBER(B3306),TEXT(B3306,"0000"),B3306),Addendum!G:G,"X")&gt;0,7%,0)</f>
        <v>0</v>
      </c>
      <c r="L3306" s="31">
        <f>IF(COUNTIFS(Addendum!C:C,A3306,Addendum!D:D,IF(ISNUMBER(B3306),TEXT(B3306,"0000"),B3306),Addendum!I:I,"X")&gt;0,10%,0)</f>
        <v>0</v>
      </c>
      <c r="M3306" s="34">
        <f t="shared" si="102"/>
        <v>0</v>
      </c>
      <c r="N3306" s="17">
        <f t="shared" si="103"/>
        <v>1260</v>
      </c>
    </row>
    <row r="3307" spans="1:14" x14ac:dyDescent="0.25">
      <c r="A3307" s="14" t="s">
        <v>2754</v>
      </c>
      <c r="B3307" s="14">
        <v>1</v>
      </c>
      <c r="C3307" s="15" t="s">
        <v>2756</v>
      </c>
      <c r="D3307" s="14" t="s">
        <v>1745</v>
      </c>
      <c r="E3307" s="14" t="s">
        <v>1746</v>
      </c>
      <c r="F3307" s="17" t="s">
        <v>2993</v>
      </c>
      <c r="G3307" s="14">
        <v>2079</v>
      </c>
      <c r="H3307" s="14">
        <v>1663.2</v>
      </c>
      <c r="I3307" s="31">
        <f>IF(COUNTIFS(Addendum!C:C,A3307,Addendum!D:D,IF(ISNUMBER(B3307),TEXT(B3307,"0000"),B3307),Addendum!E:E,"X")&gt;0,4%,0)</f>
        <v>0</v>
      </c>
      <c r="J3307" s="31">
        <f>IF(COUNTIFS(Addendum!C:C,A3307,Addendum!D:D,IF(ISNUMBER(B3307),TEXT(B3307,"0000"),B3307),Addendum!F:F,"X")&gt;0,2.5%,0)</f>
        <v>0</v>
      </c>
      <c r="K3307" s="31">
        <f>IF(COUNTIFS(Addendum!C:C,A3307,Addendum!D:D,IF(ISNUMBER(B3307),TEXT(B3307,"0000"),B3307),Addendum!G:G,"X")&gt;0,7%,0)</f>
        <v>0</v>
      </c>
      <c r="L3307" s="31">
        <f>IF(COUNTIFS(Addendum!C:C,A3307,Addendum!D:D,IF(ISNUMBER(B3307),TEXT(B3307,"0000"),B3307),Addendum!I:I,"X")&gt;0,10%,0)</f>
        <v>0</v>
      </c>
      <c r="M3307" s="34">
        <f t="shared" si="102"/>
        <v>0</v>
      </c>
      <c r="N3307" s="17">
        <f t="shared" si="103"/>
        <v>1663.2</v>
      </c>
    </row>
    <row r="3308" spans="1:14" x14ac:dyDescent="0.25">
      <c r="A3308" s="14" t="s">
        <v>2754</v>
      </c>
      <c r="B3308" s="14">
        <v>9</v>
      </c>
      <c r="C3308" s="15" t="s">
        <v>2755</v>
      </c>
      <c r="D3308" s="14" t="s">
        <v>1745</v>
      </c>
      <c r="E3308" s="14" t="s">
        <v>1747</v>
      </c>
      <c r="F3308" s="17" t="s">
        <v>2994</v>
      </c>
      <c r="G3308" s="14">
        <v>1500</v>
      </c>
      <c r="H3308" s="14">
        <v>1200</v>
      </c>
      <c r="I3308" s="31">
        <f>IF(COUNTIFS(Addendum!C:C,A3308,Addendum!D:D,IF(ISNUMBER(B3308),TEXT(B3308,"0000"),B3308),Addendum!E:E,"X")&gt;0,4%,0)</f>
        <v>0</v>
      </c>
      <c r="J3308" s="31">
        <f>IF(COUNTIFS(Addendum!C:C,A3308,Addendum!D:D,IF(ISNUMBER(B3308),TEXT(B3308,"0000"),B3308),Addendum!F:F,"X")&gt;0,2.5%,0)</f>
        <v>0</v>
      </c>
      <c r="K3308" s="31">
        <f>IF(COUNTIFS(Addendum!C:C,A3308,Addendum!D:D,IF(ISNUMBER(B3308),TEXT(B3308,"0000"),B3308),Addendum!G:G,"X")&gt;0,7%,0)</f>
        <v>0</v>
      </c>
      <c r="L3308" s="31">
        <f>IF(COUNTIFS(Addendum!C:C,A3308,Addendum!D:D,IF(ISNUMBER(B3308),TEXT(B3308,"0000"),B3308),Addendum!I:I,"X")&gt;0,10%,0)</f>
        <v>0</v>
      </c>
      <c r="M3308" s="34">
        <f t="shared" si="102"/>
        <v>0</v>
      </c>
      <c r="N3308" s="17">
        <f t="shared" si="103"/>
        <v>1200</v>
      </c>
    </row>
    <row r="3309" spans="1:14" x14ac:dyDescent="0.25">
      <c r="A3309" s="14" t="s">
        <v>2754</v>
      </c>
      <c r="B3309" s="14">
        <v>1</v>
      </c>
      <c r="C3309" s="15" t="s">
        <v>2756</v>
      </c>
      <c r="D3309" s="14" t="s">
        <v>1749</v>
      </c>
      <c r="E3309" s="14" t="s">
        <v>1746</v>
      </c>
      <c r="F3309" s="17" t="s">
        <v>2993</v>
      </c>
      <c r="G3309" s="14">
        <v>198</v>
      </c>
      <c r="H3309" s="14">
        <v>158.4</v>
      </c>
      <c r="I3309" s="31">
        <f>IF(COUNTIFS(Addendum!C:C,A3309,Addendum!D:D,IF(ISNUMBER(B3309),TEXT(B3309,"0000"),B3309),Addendum!E:E,"X")&gt;0,4%,0)</f>
        <v>0</v>
      </c>
      <c r="J3309" s="31">
        <f>IF(COUNTIFS(Addendum!C:C,A3309,Addendum!D:D,IF(ISNUMBER(B3309),TEXT(B3309,"0000"),B3309),Addendum!F:F,"X")&gt;0,2.5%,0)</f>
        <v>0</v>
      </c>
      <c r="K3309" s="31">
        <f>IF(COUNTIFS(Addendum!C:C,A3309,Addendum!D:D,IF(ISNUMBER(B3309),TEXT(B3309,"0000"),B3309),Addendum!G:G,"X")&gt;0,7%,0)</f>
        <v>0</v>
      </c>
      <c r="L3309" s="31">
        <f>IF(COUNTIFS(Addendum!C:C,A3309,Addendum!D:D,IF(ISNUMBER(B3309),TEXT(B3309,"0000"),B3309),Addendum!I:I,"X")&gt;0,10%,0)</f>
        <v>0</v>
      </c>
      <c r="M3309" s="34">
        <f t="shared" si="102"/>
        <v>0</v>
      </c>
      <c r="N3309" s="17">
        <f t="shared" si="103"/>
        <v>158.4</v>
      </c>
    </row>
    <row r="3310" spans="1:14" x14ac:dyDescent="0.25">
      <c r="A3310" s="14" t="s">
        <v>2754</v>
      </c>
      <c r="B3310" s="14" t="s">
        <v>20</v>
      </c>
      <c r="C3310" s="15" t="s">
        <v>2757</v>
      </c>
      <c r="D3310" s="14" t="s">
        <v>1745</v>
      </c>
      <c r="E3310" s="14" t="s">
        <v>1747</v>
      </c>
      <c r="F3310" s="17" t="s">
        <v>2994</v>
      </c>
      <c r="G3310" s="14">
        <v>499.2</v>
      </c>
      <c r="H3310" s="14">
        <v>399.36</v>
      </c>
      <c r="I3310" s="31">
        <f>IF(COUNTIFS(Addendum!C:C,A3310,Addendum!D:D,IF(ISNUMBER(B3310),TEXT(B3310,"0000"),B3310),Addendum!E:E,"X")&gt;0,4%,0)</f>
        <v>0</v>
      </c>
      <c r="J3310" s="31">
        <f>IF(COUNTIFS(Addendum!C:C,A3310,Addendum!D:D,IF(ISNUMBER(B3310),TEXT(B3310,"0000"),B3310),Addendum!F:F,"X")&gt;0,2.5%,0)</f>
        <v>0</v>
      </c>
      <c r="K3310" s="31">
        <f>IF(COUNTIFS(Addendum!C:C,A3310,Addendum!D:D,IF(ISNUMBER(B3310),TEXT(B3310,"0000"),B3310),Addendum!G:G,"X")&gt;0,7%,0)</f>
        <v>0</v>
      </c>
      <c r="L3310" s="31">
        <f>IF(COUNTIFS(Addendum!C:C,A3310,Addendum!D:D,IF(ISNUMBER(B3310),TEXT(B3310,"0000"),B3310),Addendum!I:I,"X")&gt;0,10%,0)</f>
        <v>0</v>
      </c>
      <c r="M3310" s="34">
        <f t="shared" si="102"/>
        <v>0</v>
      </c>
      <c r="N3310" s="17">
        <f t="shared" si="103"/>
        <v>399.36</v>
      </c>
    </row>
    <row r="3311" spans="1:14" x14ac:dyDescent="0.25">
      <c r="A3311" s="14" t="s">
        <v>2754</v>
      </c>
      <c r="B3311" s="14" t="s">
        <v>20</v>
      </c>
      <c r="C3311" s="15" t="s">
        <v>2757</v>
      </c>
      <c r="D3311" s="14" t="s">
        <v>1745</v>
      </c>
      <c r="E3311" s="14" t="s">
        <v>1746</v>
      </c>
      <c r="F3311" s="17" t="s">
        <v>2994</v>
      </c>
      <c r="G3311" s="14">
        <v>524.16</v>
      </c>
      <c r="H3311" s="14">
        <v>419.28</v>
      </c>
      <c r="I3311" s="31">
        <f>IF(COUNTIFS(Addendum!C:C,A3311,Addendum!D:D,IF(ISNUMBER(B3311),TEXT(B3311,"0000"),B3311),Addendum!E:E,"X")&gt;0,4%,0)</f>
        <v>0</v>
      </c>
      <c r="J3311" s="31">
        <f>IF(COUNTIFS(Addendum!C:C,A3311,Addendum!D:D,IF(ISNUMBER(B3311),TEXT(B3311,"0000"),B3311),Addendum!F:F,"X")&gt;0,2.5%,0)</f>
        <v>0</v>
      </c>
      <c r="K3311" s="31">
        <f>IF(COUNTIFS(Addendum!C:C,A3311,Addendum!D:D,IF(ISNUMBER(B3311),TEXT(B3311,"0000"),B3311),Addendum!G:G,"X")&gt;0,7%,0)</f>
        <v>0</v>
      </c>
      <c r="L3311" s="31">
        <f>IF(COUNTIFS(Addendum!C:C,A3311,Addendum!D:D,IF(ISNUMBER(B3311),TEXT(B3311,"0000"),B3311),Addendum!I:I,"X")&gt;0,10%,0)</f>
        <v>0</v>
      </c>
      <c r="M3311" s="34">
        <f t="shared" si="102"/>
        <v>0</v>
      </c>
      <c r="N3311" s="17">
        <f t="shared" si="103"/>
        <v>419.28</v>
      </c>
    </row>
    <row r="3312" spans="1:14" x14ac:dyDescent="0.25">
      <c r="A3312" s="14" t="s">
        <v>2754</v>
      </c>
      <c r="B3312" s="14" t="s">
        <v>20</v>
      </c>
      <c r="C3312" s="15" t="s">
        <v>2757</v>
      </c>
      <c r="D3312" s="14" t="s">
        <v>1749</v>
      </c>
      <c r="E3312" s="14" t="s">
        <v>1746</v>
      </c>
      <c r="F3312" s="17" t="s">
        <v>2994</v>
      </c>
      <c r="G3312" s="14">
        <v>49.92</v>
      </c>
      <c r="H3312" s="14">
        <v>39.94</v>
      </c>
      <c r="I3312" s="31">
        <f>IF(COUNTIFS(Addendum!C:C,A3312,Addendum!D:D,IF(ISNUMBER(B3312),TEXT(B3312,"0000"),B3312),Addendum!E:E,"X")&gt;0,4%,0)</f>
        <v>0</v>
      </c>
      <c r="J3312" s="31">
        <f>IF(COUNTIFS(Addendum!C:C,A3312,Addendum!D:D,IF(ISNUMBER(B3312),TEXT(B3312,"0000"),B3312),Addendum!F:F,"X")&gt;0,2.5%,0)</f>
        <v>0</v>
      </c>
      <c r="K3312" s="31">
        <f>IF(COUNTIFS(Addendum!C:C,A3312,Addendum!D:D,IF(ISNUMBER(B3312),TEXT(B3312,"0000"),B3312),Addendum!G:G,"X")&gt;0,7%,0)</f>
        <v>0</v>
      </c>
      <c r="L3312" s="31">
        <f>IF(COUNTIFS(Addendum!C:C,A3312,Addendum!D:D,IF(ISNUMBER(B3312),TEXT(B3312,"0000"),B3312),Addendum!I:I,"X")&gt;0,10%,0)</f>
        <v>0</v>
      </c>
      <c r="M3312" s="34">
        <f t="shared" si="102"/>
        <v>0</v>
      </c>
      <c r="N3312" s="17">
        <f t="shared" si="103"/>
        <v>39.94</v>
      </c>
    </row>
    <row r="3313" spans="1:14" x14ac:dyDescent="0.25">
      <c r="A3313" s="14" t="s">
        <v>2758</v>
      </c>
      <c r="B3313" s="14">
        <v>1</v>
      </c>
      <c r="C3313" s="15" t="s">
        <v>2759</v>
      </c>
      <c r="D3313" s="14" t="s">
        <v>1745</v>
      </c>
      <c r="E3313" s="14" t="s">
        <v>1747</v>
      </c>
      <c r="F3313" s="17" t="s">
        <v>2993</v>
      </c>
      <c r="G3313" s="14">
        <v>35940</v>
      </c>
      <c r="H3313" s="14">
        <v>28752</v>
      </c>
      <c r="I3313" s="31">
        <f>IF(COUNTIFS(Addendum!C:C,A3313,Addendum!D:D,IF(ISNUMBER(B3313),TEXT(B3313,"0000"),B3313),Addendum!E:E,"X")&gt;0,4%,0)</f>
        <v>0</v>
      </c>
      <c r="J3313" s="31">
        <f>IF(COUNTIFS(Addendum!C:C,A3313,Addendum!D:D,IF(ISNUMBER(B3313),TEXT(B3313,"0000"),B3313),Addendum!F:F,"X")&gt;0,2.5%,0)</f>
        <v>0</v>
      </c>
      <c r="K3313" s="31">
        <f>IF(COUNTIFS(Addendum!C:C,A3313,Addendum!D:D,IF(ISNUMBER(B3313),TEXT(B3313,"0000"),B3313),Addendum!G:G,"X")&gt;0,7%,0)</f>
        <v>0</v>
      </c>
      <c r="L3313" s="31">
        <f>IF(COUNTIFS(Addendum!C:C,A3313,Addendum!D:D,IF(ISNUMBER(B3313),TEXT(B3313,"0000"),B3313),Addendum!I:I,"X")&gt;0,10%,0)</f>
        <v>0</v>
      </c>
      <c r="M3313" s="34">
        <f t="shared" si="102"/>
        <v>0</v>
      </c>
      <c r="N3313" s="17">
        <f t="shared" si="103"/>
        <v>28752</v>
      </c>
    </row>
    <row r="3314" spans="1:14" x14ac:dyDescent="0.25">
      <c r="A3314" s="14" t="s">
        <v>2758</v>
      </c>
      <c r="B3314" s="14">
        <v>1</v>
      </c>
      <c r="C3314" s="15" t="s">
        <v>2759</v>
      </c>
      <c r="D3314" s="14" t="s">
        <v>1745</v>
      </c>
      <c r="E3314" s="14" t="s">
        <v>1746</v>
      </c>
      <c r="F3314" s="17" t="s">
        <v>2993</v>
      </c>
      <c r="G3314" s="14">
        <v>37737</v>
      </c>
      <c r="H3314" s="14">
        <v>30189.599999999999</v>
      </c>
      <c r="I3314" s="31">
        <f>IF(COUNTIFS(Addendum!C:C,A3314,Addendum!D:D,IF(ISNUMBER(B3314),TEXT(B3314,"0000"),B3314),Addendum!E:E,"X")&gt;0,4%,0)</f>
        <v>0</v>
      </c>
      <c r="J3314" s="31">
        <f>IF(COUNTIFS(Addendum!C:C,A3314,Addendum!D:D,IF(ISNUMBER(B3314),TEXT(B3314,"0000"),B3314),Addendum!F:F,"X")&gt;0,2.5%,0)</f>
        <v>0</v>
      </c>
      <c r="K3314" s="31">
        <f>IF(COUNTIFS(Addendum!C:C,A3314,Addendum!D:D,IF(ISNUMBER(B3314),TEXT(B3314,"0000"),B3314),Addendum!G:G,"X")&gt;0,7%,0)</f>
        <v>0</v>
      </c>
      <c r="L3314" s="31">
        <f>IF(COUNTIFS(Addendum!C:C,A3314,Addendum!D:D,IF(ISNUMBER(B3314),TEXT(B3314,"0000"),B3314),Addendum!I:I,"X")&gt;0,10%,0)</f>
        <v>0</v>
      </c>
      <c r="M3314" s="34">
        <f t="shared" si="102"/>
        <v>0</v>
      </c>
      <c r="N3314" s="17">
        <f t="shared" si="103"/>
        <v>30189.599999999999</v>
      </c>
    </row>
    <row r="3315" spans="1:14" x14ac:dyDescent="0.25">
      <c r="A3315" s="14" t="s">
        <v>2758</v>
      </c>
      <c r="B3315" s="14">
        <v>1</v>
      </c>
      <c r="C3315" s="15" t="s">
        <v>2759</v>
      </c>
      <c r="D3315" s="14" t="s">
        <v>1749</v>
      </c>
      <c r="E3315" s="14" t="s">
        <v>1746</v>
      </c>
      <c r="F3315" s="17" t="s">
        <v>2993</v>
      </c>
      <c r="G3315" s="14">
        <v>3594</v>
      </c>
      <c r="H3315" s="14">
        <v>2875.2</v>
      </c>
      <c r="I3315" s="31">
        <f>IF(COUNTIFS(Addendum!C:C,A3315,Addendum!D:D,IF(ISNUMBER(B3315),TEXT(B3315,"0000"),B3315),Addendum!E:E,"X")&gt;0,4%,0)</f>
        <v>0</v>
      </c>
      <c r="J3315" s="31">
        <f>IF(COUNTIFS(Addendum!C:C,A3315,Addendum!D:D,IF(ISNUMBER(B3315),TEXT(B3315,"0000"),B3315),Addendum!F:F,"X")&gt;0,2.5%,0)</f>
        <v>0</v>
      </c>
      <c r="K3315" s="31">
        <f>IF(COUNTIFS(Addendum!C:C,A3315,Addendum!D:D,IF(ISNUMBER(B3315),TEXT(B3315,"0000"),B3315),Addendum!G:G,"X")&gt;0,7%,0)</f>
        <v>0</v>
      </c>
      <c r="L3315" s="31">
        <f>IF(COUNTIFS(Addendum!C:C,A3315,Addendum!D:D,IF(ISNUMBER(B3315),TEXT(B3315,"0000"),B3315),Addendum!I:I,"X")&gt;0,10%,0)</f>
        <v>0</v>
      </c>
      <c r="M3315" s="34">
        <f t="shared" si="102"/>
        <v>0</v>
      </c>
      <c r="N3315" s="17">
        <f t="shared" si="103"/>
        <v>2875.2</v>
      </c>
    </row>
    <row r="3316" spans="1:14" x14ac:dyDescent="0.25">
      <c r="A3316" s="14" t="s">
        <v>1342</v>
      </c>
      <c r="B3316" s="14" t="s">
        <v>24</v>
      </c>
      <c r="C3316" s="15" t="s">
        <v>2760</v>
      </c>
      <c r="D3316" s="14" t="s">
        <v>1752</v>
      </c>
      <c r="E3316" s="14" t="s">
        <v>1753</v>
      </c>
      <c r="F3316" s="17" t="s">
        <v>2994</v>
      </c>
      <c r="G3316" s="14">
        <v>31896900</v>
      </c>
      <c r="H3316" s="14">
        <v>25517520</v>
      </c>
      <c r="I3316" s="31">
        <f>IF(COUNTIFS(Addendum!C:C,A3316,Addendum!D:D,IF(ISNUMBER(B3316),TEXT(B3316,"0000"),B3316),Addendum!E:E,"X")&gt;0,4%,0)</f>
        <v>0.04</v>
      </c>
      <c r="J3316" s="31">
        <f>IF(COUNTIFS(Addendum!C:C,A3316,Addendum!D:D,IF(ISNUMBER(B3316),TEXT(B3316,"0000"),B3316),Addendum!F:F,"X")&gt;0,2.5%,0)</f>
        <v>0</v>
      </c>
      <c r="K3316" s="31">
        <f>IF(COUNTIFS(Addendum!C:C,A3316,Addendum!D:D,IF(ISNUMBER(B3316),TEXT(B3316,"0000"),B3316),Addendum!G:G,"X")&gt;0,7%,0)</f>
        <v>0</v>
      </c>
      <c r="L3316" s="31">
        <f>IF(COUNTIFS(Addendum!C:C,A3316,Addendum!D:D,IF(ISNUMBER(B3316),TEXT(B3316,"0000"),B3316),Addendum!I:I,"X")&gt;0,10%,0)</f>
        <v>0</v>
      </c>
      <c r="M3316" s="34">
        <f t="shared" si="102"/>
        <v>0.03</v>
      </c>
      <c r="N3316" s="17">
        <f t="shared" si="103"/>
        <v>24751994.399999999</v>
      </c>
    </row>
    <row r="3317" spans="1:14" x14ac:dyDescent="0.25">
      <c r="A3317" s="14" t="s">
        <v>1342</v>
      </c>
      <c r="B3317" s="14" t="s">
        <v>97</v>
      </c>
      <c r="C3317" s="15" t="s">
        <v>2761</v>
      </c>
      <c r="D3317" s="14" t="s">
        <v>1752</v>
      </c>
      <c r="E3317" s="14" t="s">
        <v>1753</v>
      </c>
      <c r="F3317" s="17" t="s">
        <v>2994</v>
      </c>
      <c r="G3317" s="14">
        <v>17011620</v>
      </c>
      <c r="H3317" s="14">
        <v>13609296</v>
      </c>
      <c r="I3317" s="31">
        <f>IF(COUNTIFS(Addendum!C:C,A3317,Addendum!D:D,IF(ISNUMBER(B3317),TEXT(B3317,"0000"),B3317),Addendum!E:E,"X")&gt;0,4%,0)</f>
        <v>0.04</v>
      </c>
      <c r="J3317" s="31">
        <f>IF(COUNTIFS(Addendum!C:C,A3317,Addendum!D:D,IF(ISNUMBER(B3317),TEXT(B3317,"0000"),B3317),Addendum!F:F,"X")&gt;0,2.5%,0)</f>
        <v>0</v>
      </c>
      <c r="K3317" s="31">
        <f>IF(COUNTIFS(Addendum!C:C,A3317,Addendum!D:D,IF(ISNUMBER(B3317),TEXT(B3317,"0000"),B3317),Addendum!G:G,"X")&gt;0,7%,0)</f>
        <v>0</v>
      </c>
      <c r="L3317" s="31">
        <f>IF(COUNTIFS(Addendum!C:C,A3317,Addendum!D:D,IF(ISNUMBER(B3317),TEXT(B3317,"0000"),B3317),Addendum!I:I,"X")&gt;0,10%,0)</f>
        <v>0</v>
      </c>
      <c r="M3317" s="34">
        <f t="shared" si="102"/>
        <v>0.03</v>
      </c>
      <c r="N3317" s="17">
        <f t="shared" si="103"/>
        <v>13201017.119999999</v>
      </c>
    </row>
    <row r="3318" spans="1:14" x14ac:dyDescent="0.25">
      <c r="A3318" s="14" t="s">
        <v>1342</v>
      </c>
      <c r="B3318" s="14" t="s">
        <v>173</v>
      </c>
      <c r="C3318" s="15" t="s">
        <v>1354</v>
      </c>
      <c r="D3318" s="14" t="s">
        <v>1752</v>
      </c>
      <c r="E3318" s="14" t="s">
        <v>1747</v>
      </c>
      <c r="F3318" s="17" t="s">
        <v>2993</v>
      </c>
      <c r="G3318" s="14">
        <v>15948360</v>
      </c>
      <c r="H3318" s="14">
        <v>12758688</v>
      </c>
      <c r="I3318" s="31">
        <f>IF(COUNTIFS(Addendum!C:C,A3318,Addendum!D:D,IF(ISNUMBER(B3318),TEXT(B3318,"0000"),B3318),Addendum!E:E,"X")&gt;0,4%,0)</f>
        <v>0.04</v>
      </c>
      <c r="J3318" s="31">
        <f>IF(COUNTIFS(Addendum!C:C,A3318,Addendum!D:D,IF(ISNUMBER(B3318),TEXT(B3318,"0000"),B3318),Addendum!F:F,"X")&gt;0,2.5%,0)</f>
        <v>0</v>
      </c>
      <c r="K3318" s="31">
        <f>IF(COUNTIFS(Addendum!C:C,A3318,Addendum!D:D,IF(ISNUMBER(B3318),TEXT(B3318,"0000"),B3318),Addendum!G:G,"X")&gt;0,7%,0)</f>
        <v>0</v>
      </c>
      <c r="L3318" s="31">
        <f>IF(COUNTIFS(Addendum!C:C,A3318,Addendum!D:D,IF(ISNUMBER(B3318),TEXT(B3318,"0000"),B3318),Addendum!I:I,"X")&gt;0,10%,0)</f>
        <v>0</v>
      </c>
      <c r="M3318" s="34">
        <f t="shared" si="102"/>
        <v>0.03</v>
      </c>
      <c r="N3318" s="17">
        <f t="shared" si="103"/>
        <v>12375927.359999999</v>
      </c>
    </row>
    <row r="3319" spans="1:14" x14ac:dyDescent="0.25">
      <c r="A3319" s="14" t="s">
        <v>1342</v>
      </c>
      <c r="B3319" s="14">
        <v>7</v>
      </c>
      <c r="C3319" s="15" t="s">
        <v>2762</v>
      </c>
      <c r="D3319" s="14" t="s">
        <v>1745</v>
      </c>
      <c r="E3319" s="14" t="s">
        <v>1746</v>
      </c>
      <c r="F3319" s="17" t="s">
        <v>2995</v>
      </c>
      <c r="G3319" s="14">
        <v>930321</v>
      </c>
      <c r="H3319" s="14">
        <v>837289</v>
      </c>
      <c r="I3319" s="31">
        <f>IF(COUNTIFS(Addendum!C:C,A3319,Addendum!D:D,IF(ISNUMBER(B3319),TEXT(B3319,"0000"),B3319),Addendum!E:E,"X")&gt;0,4%,0)</f>
        <v>0.04</v>
      </c>
      <c r="J3319" s="31">
        <f>IF(COUNTIFS(Addendum!C:C,A3319,Addendum!D:D,IF(ISNUMBER(B3319),TEXT(B3319,"0000"),B3319),Addendum!F:F,"X")&gt;0,2.5%,0)</f>
        <v>0</v>
      </c>
      <c r="K3319" s="31">
        <f>IF(COUNTIFS(Addendum!C:C,A3319,Addendum!D:D,IF(ISNUMBER(B3319),TEXT(B3319,"0000"),B3319),Addendum!G:G,"X")&gt;0,7%,0)</f>
        <v>0</v>
      </c>
      <c r="L3319" s="31">
        <f>IF(COUNTIFS(Addendum!C:C,A3319,Addendum!D:D,IF(ISNUMBER(B3319),TEXT(B3319,"0000"),B3319),Addendum!I:I,"X")&gt;0,10%,0)</f>
        <v>0</v>
      </c>
      <c r="M3319" s="34">
        <f t="shared" si="102"/>
        <v>0.01</v>
      </c>
      <c r="N3319" s="17">
        <f t="shared" si="103"/>
        <v>828916.11</v>
      </c>
    </row>
    <row r="3320" spans="1:14" x14ac:dyDescent="0.25">
      <c r="A3320" s="14" t="s">
        <v>1342</v>
      </c>
      <c r="B3320" s="14" t="s">
        <v>333</v>
      </c>
      <c r="C3320" s="15" t="s">
        <v>2763</v>
      </c>
      <c r="D3320" s="14" t="s">
        <v>1749</v>
      </c>
      <c r="E3320" s="14" t="s">
        <v>1746</v>
      </c>
      <c r="F3320" s="17" t="s">
        <v>2994</v>
      </c>
      <c r="G3320" s="14">
        <v>212646</v>
      </c>
      <c r="H3320" s="14">
        <v>170116.8</v>
      </c>
      <c r="I3320" s="31">
        <f>IF(COUNTIFS(Addendum!C:C,A3320,Addendum!D:D,IF(ISNUMBER(B3320),TEXT(B3320,"0000"),B3320),Addendum!E:E,"X")&gt;0,4%,0)</f>
        <v>0.04</v>
      </c>
      <c r="J3320" s="31">
        <f>IF(COUNTIFS(Addendum!C:C,A3320,Addendum!D:D,IF(ISNUMBER(B3320),TEXT(B3320,"0000"),B3320),Addendum!F:F,"X")&gt;0,2.5%,0)</f>
        <v>0</v>
      </c>
      <c r="K3320" s="31">
        <f>IF(COUNTIFS(Addendum!C:C,A3320,Addendum!D:D,IF(ISNUMBER(B3320),TEXT(B3320,"0000"),B3320),Addendum!G:G,"X")&gt;0,7%,0)</f>
        <v>0</v>
      </c>
      <c r="L3320" s="31">
        <f>IF(COUNTIFS(Addendum!C:C,A3320,Addendum!D:D,IF(ISNUMBER(B3320),TEXT(B3320,"0000"),B3320),Addendum!I:I,"X")&gt;0,10%,0)</f>
        <v>0</v>
      </c>
      <c r="M3320" s="34">
        <f t="shared" si="102"/>
        <v>0.01</v>
      </c>
      <c r="N3320" s="17">
        <f t="shared" si="103"/>
        <v>168415.63199999998</v>
      </c>
    </row>
    <row r="3321" spans="1:14" x14ac:dyDescent="0.25">
      <c r="A3321" s="14" t="s">
        <v>1342</v>
      </c>
      <c r="B3321" s="14" t="s">
        <v>89</v>
      </c>
      <c r="C3321" s="15" t="s">
        <v>1341</v>
      </c>
      <c r="D3321" s="14" t="s">
        <v>1749</v>
      </c>
      <c r="E3321" s="14" t="s">
        <v>1746</v>
      </c>
      <c r="F3321" s="17" t="s">
        <v>2993</v>
      </c>
      <c r="G3321" s="14">
        <v>2658072</v>
      </c>
      <c r="H3321" s="14">
        <v>2126458</v>
      </c>
      <c r="I3321" s="31">
        <f>IF(COUNTIFS(Addendum!C:C,A3321,Addendum!D:D,IF(ISNUMBER(B3321),TEXT(B3321,"0000"),B3321),Addendum!E:E,"X")&gt;0,4%,0)</f>
        <v>0.04</v>
      </c>
      <c r="J3321" s="31">
        <f>IF(COUNTIFS(Addendum!C:C,A3321,Addendum!D:D,IF(ISNUMBER(B3321),TEXT(B3321,"0000"),B3321),Addendum!F:F,"X")&gt;0,2.5%,0)</f>
        <v>0</v>
      </c>
      <c r="K3321" s="31">
        <f>IF(COUNTIFS(Addendum!C:C,A3321,Addendum!D:D,IF(ISNUMBER(B3321),TEXT(B3321,"0000"),B3321),Addendum!G:G,"X")&gt;0,7%,0)</f>
        <v>0</v>
      </c>
      <c r="L3321" s="31">
        <f>IF(COUNTIFS(Addendum!C:C,A3321,Addendum!D:D,IF(ISNUMBER(B3321),TEXT(B3321,"0000"),B3321),Addendum!I:I,"X")&gt;0,10%,0)</f>
        <v>0</v>
      </c>
      <c r="M3321" s="34">
        <f t="shared" si="102"/>
        <v>0.01</v>
      </c>
      <c r="N3321" s="17">
        <f t="shared" si="103"/>
        <v>2105193.42</v>
      </c>
    </row>
    <row r="3322" spans="1:14" x14ac:dyDescent="0.25">
      <c r="A3322" s="14" t="s">
        <v>1342</v>
      </c>
      <c r="B3322" s="14" t="s">
        <v>166</v>
      </c>
      <c r="C3322" s="15" t="s">
        <v>2764</v>
      </c>
      <c r="D3322" s="14" t="s">
        <v>1752</v>
      </c>
      <c r="E3322" s="14" t="s">
        <v>1747</v>
      </c>
      <c r="F3322" s="17" t="s">
        <v>2995</v>
      </c>
      <c r="G3322" s="14">
        <v>7309980</v>
      </c>
      <c r="H3322" s="14">
        <v>6578982</v>
      </c>
      <c r="I3322" s="31">
        <f>IF(COUNTIFS(Addendum!C:C,A3322,Addendum!D:D,IF(ISNUMBER(B3322),TEXT(B3322,"0000"),B3322),Addendum!E:E,"X")&gt;0,4%,0)</f>
        <v>0.04</v>
      </c>
      <c r="J3322" s="31">
        <f>IF(COUNTIFS(Addendum!C:C,A3322,Addendum!D:D,IF(ISNUMBER(B3322),TEXT(B3322,"0000"),B3322),Addendum!F:F,"X")&gt;0,2.5%,0)</f>
        <v>0</v>
      </c>
      <c r="K3322" s="31">
        <f>IF(COUNTIFS(Addendum!C:C,A3322,Addendum!D:D,IF(ISNUMBER(B3322),TEXT(B3322,"0000"),B3322),Addendum!G:G,"X")&gt;0,7%,0)</f>
        <v>0</v>
      </c>
      <c r="L3322" s="31">
        <f>IF(COUNTIFS(Addendum!C:C,A3322,Addendum!D:D,IF(ISNUMBER(B3322),TEXT(B3322,"0000"),B3322),Addendum!I:I,"X")&gt;0,10%,0)</f>
        <v>0</v>
      </c>
      <c r="M3322" s="34">
        <f t="shared" si="102"/>
        <v>0.03</v>
      </c>
      <c r="N3322" s="17">
        <f t="shared" si="103"/>
        <v>6381612.54</v>
      </c>
    </row>
    <row r="3323" spans="1:14" x14ac:dyDescent="0.25">
      <c r="A3323" s="14" t="s">
        <v>1342</v>
      </c>
      <c r="B3323" s="14" t="s">
        <v>73</v>
      </c>
      <c r="C3323" s="15" t="s">
        <v>1366</v>
      </c>
      <c r="D3323" s="14" t="s">
        <v>1749</v>
      </c>
      <c r="E3323" s="14" t="s">
        <v>1746</v>
      </c>
      <c r="F3323" s="17" t="s">
        <v>2993</v>
      </c>
      <c r="G3323" s="14">
        <v>1417638</v>
      </c>
      <c r="H3323" s="14">
        <v>1134110</v>
      </c>
      <c r="I3323" s="31">
        <f>IF(COUNTIFS(Addendum!C:C,A3323,Addendum!D:D,IF(ISNUMBER(B3323),TEXT(B3323,"0000"),B3323),Addendum!E:E,"X")&gt;0,4%,0)</f>
        <v>0.04</v>
      </c>
      <c r="J3323" s="31">
        <f>IF(COUNTIFS(Addendum!C:C,A3323,Addendum!D:D,IF(ISNUMBER(B3323),TEXT(B3323,"0000"),B3323),Addendum!F:F,"X")&gt;0,2.5%,0)</f>
        <v>0</v>
      </c>
      <c r="K3323" s="31">
        <f>IF(COUNTIFS(Addendum!C:C,A3323,Addendum!D:D,IF(ISNUMBER(B3323),TEXT(B3323,"0000"),B3323),Addendum!G:G,"X")&gt;0,7%,0)</f>
        <v>0</v>
      </c>
      <c r="L3323" s="31">
        <f>IF(COUNTIFS(Addendum!C:C,A3323,Addendum!D:D,IF(ISNUMBER(B3323),TEXT(B3323,"0000"),B3323),Addendum!I:I,"X")&gt;0,10%,0)</f>
        <v>0</v>
      </c>
      <c r="M3323" s="34">
        <f t="shared" si="102"/>
        <v>0.01</v>
      </c>
      <c r="N3323" s="17">
        <f t="shared" si="103"/>
        <v>1122768.8999999999</v>
      </c>
    </row>
    <row r="3324" spans="1:14" x14ac:dyDescent="0.25">
      <c r="A3324" s="14" t="s">
        <v>1342</v>
      </c>
      <c r="B3324" s="14">
        <v>2</v>
      </c>
      <c r="C3324" s="15" t="s">
        <v>2765</v>
      </c>
      <c r="D3324" s="14" t="s">
        <v>1752</v>
      </c>
      <c r="E3324" s="14" t="s">
        <v>1753</v>
      </c>
      <c r="F3324" s="17" t="s">
        <v>2994</v>
      </c>
      <c r="G3324" s="14">
        <v>24454260</v>
      </c>
      <c r="H3324" s="14">
        <v>19563408</v>
      </c>
      <c r="I3324" s="31">
        <f>IF(COUNTIFS(Addendum!C:C,A3324,Addendum!D:D,IF(ISNUMBER(B3324),TEXT(B3324,"0000"),B3324),Addendum!E:E,"X")&gt;0,4%,0)</f>
        <v>0.04</v>
      </c>
      <c r="J3324" s="31">
        <f>IF(COUNTIFS(Addendum!C:C,A3324,Addendum!D:D,IF(ISNUMBER(B3324),TEXT(B3324,"0000"),B3324),Addendum!F:F,"X")&gt;0,2.5%,0)</f>
        <v>0</v>
      </c>
      <c r="K3324" s="31">
        <f>IF(COUNTIFS(Addendum!C:C,A3324,Addendum!D:D,IF(ISNUMBER(B3324),TEXT(B3324,"0000"),B3324),Addendum!G:G,"X")&gt;0,7%,0)</f>
        <v>0</v>
      </c>
      <c r="L3324" s="31">
        <f>IF(COUNTIFS(Addendum!C:C,A3324,Addendum!D:D,IF(ISNUMBER(B3324),TEXT(B3324,"0000"),B3324),Addendum!I:I,"X")&gt;0,10%,0)</f>
        <v>0</v>
      </c>
      <c r="M3324" s="34">
        <f t="shared" si="102"/>
        <v>0.03</v>
      </c>
      <c r="N3324" s="17">
        <f t="shared" si="103"/>
        <v>18976505.760000002</v>
      </c>
    </row>
    <row r="3325" spans="1:14" x14ac:dyDescent="0.25">
      <c r="A3325" s="14" t="s">
        <v>1342</v>
      </c>
      <c r="B3325" s="14">
        <v>3</v>
      </c>
      <c r="C3325" s="15" t="s">
        <v>1350</v>
      </c>
      <c r="D3325" s="14" t="s">
        <v>1749</v>
      </c>
      <c r="E3325" s="14" t="s">
        <v>1746</v>
      </c>
      <c r="F3325" s="17" t="s">
        <v>2994</v>
      </c>
      <c r="G3325" s="14">
        <v>141762</v>
      </c>
      <c r="H3325" s="14">
        <v>113409.60000000001</v>
      </c>
      <c r="I3325" s="31">
        <f>IF(COUNTIFS(Addendum!C:C,A3325,Addendum!D:D,IF(ISNUMBER(B3325),TEXT(B3325,"0000"),B3325),Addendum!E:E,"X")&gt;0,4%,0)</f>
        <v>0.04</v>
      </c>
      <c r="J3325" s="31">
        <f>IF(COUNTIFS(Addendum!C:C,A3325,Addendum!D:D,IF(ISNUMBER(B3325),TEXT(B3325,"0000"),B3325),Addendum!F:F,"X")&gt;0,2.5%,0)</f>
        <v>0</v>
      </c>
      <c r="K3325" s="31">
        <f>IF(COUNTIFS(Addendum!C:C,A3325,Addendum!D:D,IF(ISNUMBER(B3325),TEXT(B3325,"0000"),B3325),Addendum!G:G,"X")&gt;0,7%,0)</f>
        <v>0</v>
      </c>
      <c r="L3325" s="31">
        <f>IF(COUNTIFS(Addendum!C:C,A3325,Addendum!D:D,IF(ISNUMBER(B3325),TEXT(B3325,"0000"),B3325),Addendum!I:I,"X")&gt;0,10%,0)</f>
        <v>0</v>
      </c>
      <c r="M3325" s="34">
        <f t="shared" si="102"/>
        <v>0.01</v>
      </c>
      <c r="N3325" s="17">
        <f t="shared" si="103"/>
        <v>112275.504</v>
      </c>
    </row>
    <row r="3326" spans="1:14" x14ac:dyDescent="0.25">
      <c r="A3326" s="14" t="s">
        <v>1342</v>
      </c>
      <c r="B3326" s="14">
        <v>4</v>
      </c>
      <c r="C3326" s="15" t="s">
        <v>1348</v>
      </c>
      <c r="D3326" s="14" t="s">
        <v>1749</v>
      </c>
      <c r="E3326" s="14" t="s">
        <v>1746</v>
      </c>
      <c r="F3326" s="17" t="s">
        <v>2993</v>
      </c>
      <c r="G3326" s="14">
        <v>354408</v>
      </c>
      <c r="H3326" s="14">
        <v>283526.40000000002</v>
      </c>
      <c r="I3326" s="31">
        <f>IF(COUNTIFS(Addendum!C:C,A3326,Addendum!D:D,IF(ISNUMBER(B3326),TEXT(B3326,"0000"),B3326),Addendum!E:E,"X")&gt;0,4%,0)</f>
        <v>0.04</v>
      </c>
      <c r="J3326" s="31">
        <f>IF(COUNTIFS(Addendum!C:C,A3326,Addendum!D:D,IF(ISNUMBER(B3326),TEXT(B3326,"0000"),B3326),Addendum!F:F,"X")&gt;0,2.5%,0)</f>
        <v>0</v>
      </c>
      <c r="K3326" s="31">
        <f>IF(COUNTIFS(Addendum!C:C,A3326,Addendum!D:D,IF(ISNUMBER(B3326),TEXT(B3326,"0000"),B3326),Addendum!G:G,"X")&gt;0,7%,0)</f>
        <v>0</v>
      </c>
      <c r="L3326" s="31">
        <f>IF(COUNTIFS(Addendum!C:C,A3326,Addendum!D:D,IF(ISNUMBER(B3326),TEXT(B3326,"0000"),B3326),Addendum!I:I,"X")&gt;0,10%,0)</f>
        <v>0</v>
      </c>
      <c r="M3326" s="34">
        <f t="shared" si="102"/>
        <v>0.01</v>
      </c>
      <c r="N3326" s="17">
        <f t="shared" si="103"/>
        <v>280691.136</v>
      </c>
    </row>
    <row r="3327" spans="1:14" x14ac:dyDescent="0.25">
      <c r="A3327" s="14" t="s">
        <v>1342</v>
      </c>
      <c r="B3327" s="14" t="s">
        <v>120</v>
      </c>
      <c r="C3327" s="15" t="s">
        <v>2766</v>
      </c>
      <c r="D3327" s="14" t="s">
        <v>1752</v>
      </c>
      <c r="E3327" s="14" t="s">
        <v>1753</v>
      </c>
      <c r="F3327" s="17" t="s">
        <v>2994</v>
      </c>
      <c r="G3327" s="14">
        <v>11695500</v>
      </c>
      <c r="H3327" s="14">
        <v>9356400</v>
      </c>
      <c r="I3327" s="31">
        <f>IF(COUNTIFS(Addendum!C:C,A3327,Addendum!D:D,IF(ISNUMBER(B3327),TEXT(B3327,"0000"),B3327),Addendum!E:E,"X")&gt;0,4%,0)</f>
        <v>0.04</v>
      </c>
      <c r="J3327" s="31">
        <f>IF(COUNTIFS(Addendum!C:C,A3327,Addendum!D:D,IF(ISNUMBER(B3327),TEXT(B3327,"0000"),B3327),Addendum!F:F,"X")&gt;0,2.5%,0)</f>
        <v>0</v>
      </c>
      <c r="K3327" s="31">
        <f>IF(COUNTIFS(Addendum!C:C,A3327,Addendum!D:D,IF(ISNUMBER(B3327),TEXT(B3327,"0000"),B3327),Addendum!G:G,"X")&gt;0,7%,0)</f>
        <v>0</v>
      </c>
      <c r="L3327" s="31">
        <f>IF(COUNTIFS(Addendum!C:C,A3327,Addendum!D:D,IF(ISNUMBER(B3327),TEXT(B3327,"0000"),B3327),Addendum!I:I,"X")&gt;0,10%,0)</f>
        <v>0</v>
      </c>
      <c r="M3327" s="34">
        <f t="shared" si="102"/>
        <v>0.03</v>
      </c>
      <c r="N3327" s="17">
        <f t="shared" si="103"/>
        <v>9075708</v>
      </c>
    </row>
    <row r="3328" spans="1:14" x14ac:dyDescent="0.25">
      <c r="A3328" s="14" t="s">
        <v>1342</v>
      </c>
      <c r="B3328" s="14" t="s">
        <v>97</v>
      </c>
      <c r="C3328" s="15" t="s">
        <v>2761</v>
      </c>
      <c r="D3328" s="14" t="s">
        <v>1752</v>
      </c>
      <c r="E3328" s="14" t="s">
        <v>1747</v>
      </c>
      <c r="F3328" s="17" t="s">
        <v>2994</v>
      </c>
      <c r="G3328" s="14">
        <v>17011620</v>
      </c>
      <c r="H3328" s="14">
        <v>13609296</v>
      </c>
      <c r="I3328" s="31">
        <f>IF(COUNTIFS(Addendum!C:C,A3328,Addendum!D:D,IF(ISNUMBER(B3328),TEXT(B3328,"0000"),B3328),Addendum!E:E,"X")&gt;0,4%,0)</f>
        <v>0.04</v>
      </c>
      <c r="J3328" s="31">
        <f>IF(COUNTIFS(Addendum!C:C,A3328,Addendum!D:D,IF(ISNUMBER(B3328),TEXT(B3328,"0000"),B3328),Addendum!F:F,"X")&gt;0,2.5%,0)</f>
        <v>0</v>
      </c>
      <c r="K3328" s="31">
        <f>IF(COUNTIFS(Addendum!C:C,A3328,Addendum!D:D,IF(ISNUMBER(B3328),TEXT(B3328,"0000"),B3328),Addendum!G:G,"X")&gt;0,7%,0)</f>
        <v>0</v>
      </c>
      <c r="L3328" s="31">
        <f>IF(COUNTIFS(Addendum!C:C,A3328,Addendum!D:D,IF(ISNUMBER(B3328),TEXT(B3328,"0000"),B3328),Addendum!I:I,"X")&gt;0,10%,0)</f>
        <v>0</v>
      </c>
      <c r="M3328" s="34">
        <f t="shared" si="102"/>
        <v>0.03</v>
      </c>
      <c r="N3328" s="17">
        <f t="shared" si="103"/>
        <v>13201017.119999999</v>
      </c>
    </row>
    <row r="3329" spans="1:14" x14ac:dyDescent="0.25">
      <c r="A3329" s="14" t="s">
        <v>1342</v>
      </c>
      <c r="B3329" s="14" t="s">
        <v>173</v>
      </c>
      <c r="C3329" s="15" t="s">
        <v>1354</v>
      </c>
      <c r="D3329" s="14" t="s">
        <v>1752</v>
      </c>
      <c r="E3329" s="14" t="s">
        <v>1753</v>
      </c>
      <c r="F3329" s="17" t="s">
        <v>2993</v>
      </c>
      <c r="G3329" s="14">
        <v>15948360</v>
      </c>
      <c r="H3329" s="14">
        <v>12758688</v>
      </c>
      <c r="I3329" s="31">
        <f>IF(COUNTIFS(Addendum!C:C,A3329,Addendum!D:D,IF(ISNUMBER(B3329),TEXT(B3329,"0000"),B3329),Addendum!E:E,"X")&gt;0,4%,0)</f>
        <v>0.04</v>
      </c>
      <c r="J3329" s="31">
        <f>IF(COUNTIFS(Addendum!C:C,A3329,Addendum!D:D,IF(ISNUMBER(B3329),TEXT(B3329,"0000"),B3329),Addendum!F:F,"X")&gt;0,2.5%,0)</f>
        <v>0</v>
      </c>
      <c r="K3329" s="31">
        <f>IF(COUNTIFS(Addendum!C:C,A3329,Addendum!D:D,IF(ISNUMBER(B3329),TEXT(B3329,"0000"),B3329),Addendum!G:G,"X")&gt;0,7%,0)</f>
        <v>0</v>
      </c>
      <c r="L3329" s="31">
        <f>IF(COUNTIFS(Addendum!C:C,A3329,Addendum!D:D,IF(ISNUMBER(B3329),TEXT(B3329,"0000"),B3329),Addendum!I:I,"X")&gt;0,10%,0)</f>
        <v>0</v>
      </c>
      <c r="M3329" s="34">
        <f t="shared" si="102"/>
        <v>0.03</v>
      </c>
      <c r="N3329" s="17">
        <f t="shared" si="103"/>
        <v>12375927.359999999</v>
      </c>
    </row>
    <row r="3330" spans="1:14" x14ac:dyDescent="0.25">
      <c r="A3330" s="14" t="s">
        <v>1342</v>
      </c>
      <c r="B3330" s="14" t="s">
        <v>297</v>
      </c>
      <c r="C3330" s="15" t="s">
        <v>2767</v>
      </c>
      <c r="D3330" s="14" t="s">
        <v>1752</v>
      </c>
      <c r="E3330" s="14" t="s">
        <v>1753</v>
      </c>
      <c r="F3330" s="17" t="s">
        <v>2995</v>
      </c>
      <c r="G3330" s="14">
        <v>3987180</v>
      </c>
      <c r="H3330" s="14">
        <v>3588462</v>
      </c>
      <c r="I3330" s="31">
        <f>IF(COUNTIFS(Addendum!C:C,A3330,Addendum!D:D,IF(ISNUMBER(B3330),TEXT(B3330,"0000"),B3330),Addendum!E:E,"X")&gt;0,4%,0)</f>
        <v>0.04</v>
      </c>
      <c r="J3330" s="31">
        <f>IF(COUNTIFS(Addendum!C:C,A3330,Addendum!D:D,IF(ISNUMBER(B3330),TEXT(B3330,"0000"),B3330),Addendum!F:F,"X")&gt;0,2.5%,0)</f>
        <v>0</v>
      </c>
      <c r="K3330" s="31">
        <f>IF(COUNTIFS(Addendum!C:C,A3330,Addendum!D:D,IF(ISNUMBER(B3330),TEXT(B3330,"0000"),B3330),Addendum!G:G,"X")&gt;0,7%,0)</f>
        <v>0</v>
      </c>
      <c r="L3330" s="31">
        <f>IF(COUNTIFS(Addendum!C:C,A3330,Addendum!D:D,IF(ISNUMBER(B3330),TEXT(B3330,"0000"),B3330),Addendum!I:I,"X")&gt;0,10%,0)</f>
        <v>0</v>
      </c>
      <c r="M3330" s="34">
        <f t="shared" si="102"/>
        <v>0.03</v>
      </c>
      <c r="N3330" s="17">
        <f t="shared" si="103"/>
        <v>3480808.14</v>
      </c>
    </row>
    <row r="3331" spans="1:14" x14ac:dyDescent="0.25">
      <c r="A3331" s="14" t="s">
        <v>1342</v>
      </c>
      <c r="B3331" s="14" t="s">
        <v>73</v>
      </c>
      <c r="C3331" s="15" t="s">
        <v>1366</v>
      </c>
      <c r="D3331" s="14" t="s">
        <v>1752</v>
      </c>
      <c r="E3331" s="14" t="s">
        <v>1747</v>
      </c>
      <c r="F3331" s="17" t="s">
        <v>2993</v>
      </c>
      <c r="G3331" s="14">
        <v>42529140</v>
      </c>
      <c r="H3331" s="14">
        <v>34023312</v>
      </c>
      <c r="I3331" s="31">
        <f>IF(COUNTIFS(Addendum!C:C,A3331,Addendum!D:D,IF(ISNUMBER(B3331),TEXT(B3331,"0000"),B3331),Addendum!E:E,"X")&gt;0,4%,0)</f>
        <v>0.04</v>
      </c>
      <c r="J3331" s="31">
        <f>IF(COUNTIFS(Addendum!C:C,A3331,Addendum!D:D,IF(ISNUMBER(B3331),TEXT(B3331,"0000"),B3331),Addendum!F:F,"X")&gt;0,2.5%,0)</f>
        <v>0</v>
      </c>
      <c r="K3331" s="31">
        <f>IF(COUNTIFS(Addendum!C:C,A3331,Addendum!D:D,IF(ISNUMBER(B3331),TEXT(B3331,"0000"),B3331),Addendum!G:G,"X")&gt;0,7%,0)</f>
        <v>0</v>
      </c>
      <c r="L3331" s="31">
        <f>IF(COUNTIFS(Addendum!C:C,A3331,Addendum!D:D,IF(ISNUMBER(B3331),TEXT(B3331,"0000"),B3331),Addendum!I:I,"X")&gt;0,10%,0)</f>
        <v>0</v>
      </c>
      <c r="M3331" s="34">
        <f t="shared" si="102"/>
        <v>0.03</v>
      </c>
      <c r="N3331" s="17">
        <f t="shared" si="103"/>
        <v>33002612.640000001</v>
      </c>
    </row>
    <row r="3332" spans="1:14" x14ac:dyDescent="0.25">
      <c r="A3332" s="14" t="s">
        <v>1342</v>
      </c>
      <c r="B3332" s="14" t="s">
        <v>307</v>
      </c>
      <c r="C3332" s="15" t="s">
        <v>1378</v>
      </c>
      <c r="D3332" s="14" t="s">
        <v>1745</v>
      </c>
      <c r="E3332" s="14" t="s">
        <v>1746</v>
      </c>
      <c r="F3332" s="17" t="s">
        <v>2993</v>
      </c>
      <c r="G3332" s="14">
        <v>21398013</v>
      </c>
      <c r="H3332" s="14">
        <v>17118410</v>
      </c>
      <c r="I3332" s="31">
        <f>IF(COUNTIFS(Addendum!C:C,A3332,Addendum!D:D,IF(ISNUMBER(B3332),TEXT(B3332,"0000"),B3332),Addendum!E:E,"X")&gt;0,4%,0)</f>
        <v>0.04</v>
      </c>
      <c r="J3332" s="31">
        <f>IF(COUNTIFS(Addendum!C:C,A3332,Addendum!D:D,IF(ISNUMBER(B3332),TEXT(B3332,"0000"),B3332),Addendum!F:F,"X")&gt;0,2.5%,0)</f>
        <v>0</v>
      </c>
      <c r="K3332" s="31">
        <f>IF(COUNTIFS(Addendum!C:C,A3332,Addendum!D:D,IF(ISNUMBER(B3332),TEXT(B3332,"0000"),B3332),Addendum!G:G,"X")&gt;0,7%,0)</f>
        <v>0</v>
      </c>
      <c r="L3332" s="31">
        <f>IF(COUNTIFS(Addendum!C:C,A3332,Addendum!D:D,IF(ISNUMBER(B3332),TEXT(B3332,"0000"),B3332),Addendum!I:I,"X")&gt;0,10%,0)</f>
        <v>0</v>
      </c>
      <c r="M3332" s="34">
        <f t="shared" ref="M3332:M3395" si="104">IF(AND(I3332=0%,J3332=0%,K3332=0%,L3332=0%),0%,
IF(OR(TRIM(E3332)="OneTime",TRIM(D3332)=""),0%,
IF(
OR(
TRIM(D3332)="P1M",
AND(TRIM(D3332)="P1Y",TRIM(E3332)="Monthly"),
AND(TRIM(D3332)="P3Y",TRIM(E3332)="Monthly")
),
IF(AND(I3332=4%,J3332=0%,K3332=0%,L3332=0%),1%,
IF(AND(I3332=4%,J3332=2.5%,K3332=0%,L3332=10%),2%,
IF(AND(I3332=4%,J3332=0%,K3332=7%,L3332=10%),3%,0%))),
IF(
OR(
AND(TRIM(D3332)="P1Y",TRIM(E3332)="Annual"),
AND(TRIM(D3332)="P3Y",TRIM(E3332)="Annual"),
AND(TRIM(D3332)="P3Y",TRIM(E3332)="Triennial")
),
IF(AND(I3332=4%,J3332=0%,K3332=0%,L3332=0%),3%,
IF(AND(I3332=4%,J3332=2.5%,K3332=0%,L3332=10%),10%,
IF(AND(I3332=4%,J3332=0%,K3332=7%,L3332=10%),14%,0%))),
0%
))))</f>
        <v>0.01</v>
      </c>
      <c r="N3332" s="17">
        <f t="shared" ref="N3332:N3395" si="105">H3332-(H3332*M3332)</f>
        <v>16947225.899999999</v>
      </c>
    </row>
    <row r="3333" spans="1:14" x14ac:dyDescent="0.25">
      <c r="A3333" s="14" t="s">
        <v>1342</v>
      </c>
      <c r="B3333" s="14">
        <v>6</v>
      </c>
      <c r="C3333" s="15" t="s">
        <v>2768</v>
      </c>
      <c r="D3333" s="14" t="s">
        <v>1752</v>
      </c>
      <c r="E3333" s="14" t="s">
        <v>1747</v>
      </c>
      <c r="F3333" s="17" t="s">
        <v>2995</v>
      </c>
      <c r="G3333" s="14">
        <v>1010880</v>
      </c>
      <c r="H3333" s="14">
        <v>909792</v>
      </c>
      <c r="I3333" s="31">
        <f>IF(COUNTIFS(Addendum!C:C,A3333,Addendum!D:D,IF(ISNUMBER(B3333),TEXT(B3333,"0000"),B3333),Addendum!E:E,"X")&gt;0,4%,0)</f>
        <v>0.04</v>
      </c>
      <c r="J3333" s="31">
        <f>IF(COUNTIFS(Addendum!C:C,A3333,Addendum!D:D,IF(ISNUMBER(B3333),TEXT(B3333,"0000"),B3333),Addendum!F:F,"X")&gt;0,2.5%,0)</f>
        <v>0</v>
      </c>
      <c r="K3333" s="31">
        <f>IF(COUNTIFS(Addendum!C:C,A3333,Addendum!D:D,IF(ISNUMBER(B3333),TEXT(B3333,"0000"),B3333),Addendum!G:G,"X")&gt;0,7%,0)</f>
        <v>0</v>
      </c>
      <c r="L3333" s="31">
        <f>IF(COUNTIFS(Addendum!C:C,A3333,Addendum!D:D,IF(ISNUMBER(B3333),TEXT(B3333,"0000"),B3333),Addendum!I:I,"X")&gt;0,10%,0)</f>
        <v>0</v>
      </c>
      <c r="M3333" s="34">
        <f t="shared" si="104"/>
        <v>0.03</v>
      </c>
      <c r="N3333" s="17">
        <f t="shared" si="105"/>
        <v>882498.24</v>
      </c>
    </row>
    <row r="3334" spans="1:14" x14ac:dyDescent="0.25">
      <c r="A3334" s="14" t="s">
        <v>1342</v>
      </c>
      <c r="B3334" s="14" t="s">
        <v>89</v>
      </c>
      <c r="C3334" s="15" t="s">
        <v>1341</v>
      </c>
      <c r="D3334" s="14" t="s">
        <v>1752</v>
      </c>
      <c r="E3334" s="14" t="s">
        <v>1753</v>
      </c>
      <c r="F3334" s="17" t="s">
        <v>2993</v>
      </c>
      <c r="G3334" s="14">
        <v>79742160</v>
      </c>
      <c r="H3334" s="14">
        <v>63793728</v>
      </c>
      <c r="I3334" s="31">
        <f>IF(COUNTIFS(Addendum!C:C,A3334,Addendum!D:D,IF(ISNUMBER(B3334),TEXT(B3334,"0000"),B3334),Addendum!E:E,"X")&gt;0,4%,0)</f>
        <v>0.04</v>
      </c>
      <c r="J3334" s="31">
        <f>IF(COUNTIFS(Addendum!C:C,A3334,Addendum!D:D,IF(ISNUMBER(B3334),TEXT(B3334,"0000"),B3334),Addendum!F:F,"X")&gt;0,2.5%,0)</f>
        <v>0</v>
      </c>
      <c r="K3334" s="31">
        <f>IF(COUNTIFS(Addendum!C:C,A3334,Addendum!D:D,IF(ISNUMBER(B3334),TEXT(B3334,"0000"),B3334),Addendum!G:G,"X")&gt;0,7%,0)</f>
        <v>0</v>
      </c>
      <c r="L3334" s="31">
        <f>IF(COUNTIFS(Addendum!C:C,A3334,Addendum!D:D,IF(ISNUMBER(B3334),TEXT(B3334,"0000"),B3334),Addendum!I:I,"X")&gt;0,10%,0)</f>
        <v>0</v>
      </c>
      <c r="M3334" s="34">
        <f t="shared" si="104"/>
        <v>0.03</v>
      </c>
      <c r="N3334" s="17">
        <f t="shared" si="105"/>
        <v>61879916.159999996</v>
      </c>
    </row>
    <row r="3335" spans="1:14" x14ac:dyDescent="0.25">
      <c r="A3335" s="14" t="s">
        <v>1342</v>
      </c>
      <c r="B3335" s="14" t="s">
        <v>24</v>
      </c>
      <c r="C3335" s="15" t="s">
        <v>2760</v>
      </c>
      <c r="D3335" s="14" t="s">
        <v>1752</v>
      </c>
      <c r="E3335" s="14" t="s">
        <v>1747</v>
      </c>
      <c r="F3335" s="17" t="s">
        <v>2994</v>
      </c>
      <c r="G3335" s="14">
        <v>31896900</v>
      </c>
      <c r="H3335" s="14">
        <v>25517520</v>
      </c>
      <c r="I3335" s="31">
        <f>IF(COUNTIFS(Addendum!C:C,A3335,Addendum!D:D,IF(ISNUMBER(B3335),TEXT(B3335,"0000"),B3335),Addendum!E:E,"X")&gt;0,4%,0)</f>
        <v>0.04</v>
      </c>
      <c r="J3335" s="31">
        <f>IF(COUNTIFS(Addendum!C:C,A3335,Addendum!D:D,IF(ISNUMBER(B3335),TEXT(B3335,"0000"),B3335),Addendum!F:F,"X")&gt;0,2.5%,0)</f>
        <v>0</v>
      </c>
      <c r="K3335" s="31">
        <f>IF(COUNTIFS(Addendum!C:C,A3335,Addendum!D:D,IF(ISNUMBER(B3335),TEXT(B3335,"0000"),B3335),Addendum!G:G,"X")&gt;0,7%,0)</f>
        <v>0</v>
      </c>
      <c r="L3335" s="31">
        <f>IF(COUNTIFS(Addendum!C:C,A3335,Addendum!D:D,IF(ISNUMBER(B3335),TEXT(B3335,"0000"),B3335),Addendum!I:I,"X")&gt;0,10%,0)</f>
        <v>0</v>
      </c>
      <c r="M3335" s="34">
        <f t="shared" si="104"/>
        <v>0.03</v>
      </c>
      <c r="N3335" s="17">
        <f t="shared" si="105"/>
        <v>24751994.399999999</v>
      </c>
    </row>
    <row r="3336" spans="1:14" x14ac:dyDescent="0.25">
      <c r="A3336" s="14" t="s">
        <v>1342</v>
      </c>
      <c r="B3336" s="14">
        <v>4</v>
      </c>
      <c r="C3336" s="15" t="s">
        <v>1348</v>
      </c>
      <c r="D3336" s="14" t="s">
        <v>1752</v>
      </c>
      <c r="E3336" s="14" t="s">
        <v>1753</v>
      </c>
      <c r="F3336" s="17" t="s">
        <v>2993</v>
      </c>
      <c r="G3336" s="14">
        <v>10632240</v>
      </c>
      <c r="H3336" s="14">
        <v>8505792</v>
      </c>
      <c r="I3336" s="31">
        <f>IF(COUNTIFS(Addendum!C:C,A3336,Addendum!D:D,IF(ISNUMBER(B3336),TEXT(B3336,"0000"),B3336),Addendum!E:E,"X")&gt;0,4%,0)</f>
        <v>0.04</v>
      </c>
      <c r="J3336" s="31">
        <f>IF(COUNTIFS(Addendum!C:C,A3336,Addendum!D:D,IF(ISNUMBER(B3336),TEXT(B3336,"0000"),B3336),Addendum!F:F,"X")&gt;0,2.5%,0)</f>
        <v>0</v>
      </c>
      <c r="K3336" s="31">
        <f>IF(COUNTIFS(Addendum!C:C,A3336,Addendum!D:D,IF(ISNUMBER(B3336),TEXT(B3336,"0000"),B3336),Addendum!G:G,"X")&gt;0,7%,0)</f>
        <v>0</v>
      </c>
      <c r="L3336" s="31">
        <f>IF(COUNTIFS(Addendum!C:C,A3336,Addendum!D:D,IF(ISNUMBER(B3336),TEXT(B3336,"0000"),B3336),Addendum!I:I,"X")&gt;0,10%,0)</f>
        <v>0</v>
      </c>
      <c r="M3336" s="34">
        <f t="shared" si="104"/>
        <v>0.03</v>
      </c>
      <c r="N3336" s="17">
        <f t="shared" si="105"/>
        <v>8250618.2400000002</v>
      </c>
    </row>
    <row r="3337" spans="1:14" x14ac:dyDescent="0.25">
      <c r="A3337" s="14" t="s">
        <v>1342</v>
      </c>
      <c r="B3337" s="14">
        <v>3</v>
      </c>
      <c r="C3337" s="15" t="s">
        <v>1350</v>
      </c>
      <c r="D3337" s="14" t="s">
        <v>1745</v>
      </c>
      <c r="E3337" s="14" t="s">
        <v>1747</v>
      </c>
      <c r="F3337" s="17" t="s">
        <v>2994</v>
      </c>
      <c r="G3337" s="14">
        <v>1417620</v>
      </c>
      <c r="H3337" s="14">
        <v>1134096</v>
      </c>
      <c r="I3337" s="31">
        <f>IF(COUNTIFS(Addendum!C:C,A3337,Addendum!D:D,IF(ISNUMBER(B3337),TEXT(B3337,"0000"),B3337),Addendum!E:E,"X")&gt;0,4%,0)</f>
        <v>0.04</v>
      </c>
      <c r="J3337" s="31">
        <f>IF(COUNTIFS(Addendum!C:C,A3337,Addendum!D:D,IF(ISNUMBER(B3337),TEXT(B3337,"0000"),B3337),Addendum!F:F,"X")&gt;0,2.5%,0)</f>
        <v>0</v>
      </c>
      <c r="K3337" s="31">
        <f>IF(COUNTIFS(Addendum!C:C,A3337,Addendum!D:D,IF(ISNUMBER(B3337),TEXT(B3337,"0000"),B3337),Addendum!G:G,"X")&gt;0,7%,0)</f>
        <v>0</v>
      </c>
      <c r="L3337" s="31">
        <f>IF(COUNTIFS(Addendum!C:C,A3337,Addendum!D:D,IF(ISNUMBER(B3337),TEXT(B3337,"0000"),B3337),Addendum!I:I,"X")&gt;0,10%,0)</f>
        <v>0</v>
      </c>
      <c r="M3337" s="34">
        <f t="shared" si="104"/>
        <v>0.03</v>
      </c>
      <c r="N3337" s="17">
        <f t="shared" si="105"/>
        <v>1100073.1200000001</v>
      </c>
    </row>
    <row r="3338" spans="1:14" x14ac:dyDescent="0.25">
      <c r="A3338" s="14" t="s">
        <v>1342</v>
      </c>
      <c r="B3338" s="14">
        <v>3</v>
      </c>
      <c r="C3338" s="15" t="s">
        <v>1350</v>
      </c>
      <c r="D3338" s="14" t="s">
        <v>1752</v>
      </c>
      <c r="E3338" s="14" t="s">
        <v>1753</v>
      </c>
      <c r="F3338" s="17" t="s">
        <v>2994</v>
      </c>
      <c r="G3338" s="14">
        <v>4252860</v>
      </c>
      <c r="H3338" s="14">
        <v>3402288</v>
      </c>
      <c r="I3338" s="31">
        <f>IF(COUNTIFS(Addendum!C:C,A3338,Addendum!D:D,IF(ISNUMBER(B3338),TEXT(B3338,"0000"),B3338),Addendum!E:E,"X")&gt;0,4%,0)</f>
        <v>0.04</v>
      </c>
      <c r="J3338" s="31">
        <f>IF(COUNTIFS(Addendum!C:C,A3338,Addendum!D:D,IF(ISNUMBER(B3338),TEXT(B3338,"0000"),B3338),Addendum!F:F,"X")&gt;0,2.5%,0)</f>
        <v>0</v>
      </c>
      <c r="K3338" s="31">
        <f>IF(COUNTIFS(Addendum!C:C,A3338,Addendum!D:D,IF(ISNUMBER(B3338),TEXT(B3338,"0000"),B3338),Addendum!G:G,"X")&gt;0,7%,0)</f>
        <v>0</v>
      </c>
      <c r="L3338" s="31">
        <f>IF(COUNTIFS(Addendum!C:C,A3338,Addendum!D:D,IF(ISNUMBER(B3338),TEXT(B3338,"0000"),B3338),Addendum!I:I,"X")&gt;0,10%,0)</f>
        <v>0</v>
      </c>
      <c r="M3338" s="34">
        <f t="shared" si="104"/>
        <v>0.03</v>
      </c>
      <c r="N3338" s="17">
        <f t="shared" si="105"/>
        <v>3300219.36</v>
      </c>
    </row>
    <row r="3339" spans="1:14" x14ac:dyDescent="0.25">
      <c r="A3339" s="14" t="s">
        <v>1342</v>
      </c>
      <c r="B3339" s="14" t="s">
        <v>258</v>
      </c>
      <c r="C3339" s="15" t="s">
        <v>2769</v>
      </c>
      <c r="D3339" s="14" t="s">
        <v>1752</v>
      </c>
      <c r="E3339" s="14" t="s">
        <v>1753</v>
      </c>
      <c r="F3339" s="17" t="s">
        <v>2995</v>
      </c>
      <c r="G3339" s="14">
        <v>15284340</v>
      </c>
      <c r="H3339" s="14">
        <v>13755906</v>
      </c>
      <c r="I3339" s="31">
        <f>IF(COUNTIFS(Addendum!C:C,A3339,Addendum!D:D,IF(ISNUMBER(B3339),TEXT(B3339,"0000"),B3339),Addendum!E:E,"X")&gt;0,4%,0)</f>
        <v>0.04</v>
      </c>
      <c r="J3339" s="31">
        <f>IF(COUNTIFS(Addendum!C:C,A3339,Addendum!D:D,IF(ISNUMBER(B3339),TEXT(B3339,"0000"),B3339),Addendum!F:F,"X")&gt;0,2.5%,0)</f>
        <v>0</v>
      </c>
      <c r="K3339" s="31">
        <f>IF(COUNTIFS(Addendum!C:C,A3339,Addendum!D:D,IF(ISNUMBER(B3339),TEXT(B3339,"0000"),B3339),Addendum!G:G,"X")&gt;0,7%,0)</f>
        <v>0</v>
      </c>
      <c r="L3339" s="31">
        <f>IF(COUNTIFS(Addendum!C:C,A3339,Addendum!D:D,IF(ISNUMBER(B3339),TEXT(B3339,"0000"),B3339),Addendum!I:I,"X")&gt;0,10%,0)</f>
        <v>0</v>
      </c>
      <c r="M3339" s="34">
        <f t="shared" si="104"/>
        <v>0.03</v>
      </c>
      <c r="N3339" s="17">
        <f t="shared" si="105"/>
        <v>13343228.82</v>
      </c>
    </row>
    <row r="3340" spans="1:14" x14ac:dyDescent="0.25">
      <c r="A3340" s="14" t="s">
        <v>1342</v>
      </c>
      <c r="B3340" s="14" t="s">
        <v>120</v>
      </c>
      <c r="C3340" s="15" t="s">
        <v>2766</v>
      </c>
      <c r="D3340" s="14" t="s">
        <v>1752</v>
      </c>
      <c r="E3340" s="14" t="s">
        <v>1747</v>
      </c>
      <c r="F3340" s="17" t="s">
        <v>2994</v>
      </c>
      <c r="G3340" s="14">
        <v>11695500</v>
      </c>
      <c r="H3340" s="14">
        <v>9356400</v>
      </c>
      <c r="I3340" s="31">
        <f>IF(COUNTIFS(Addendum!C:C,A3340,Addendum!D:D,IF(ISNUMBER(B3340),TEXT(B3340,"0000"),B3340),Addendum!E:E,"X")&gt;0,4%,0)</f>
        <v>0.04</v>
      </c>
      <c r="J3340" s="31">
        <f>IF(COUNTIFS(Addendum!C:C,A3340,Addendum!D:D,IF(ISNUMBER(B3340),TEXT(B3340,"0000"),B3340),Addendum!F:F,"X")&gt;0,2.5%,0)</f>
        <v>0</v>
      </c>
      <c r="K3340" s="31">
        <f>IF(COUNTIFS(Addendum!C:C,A3340,Addendum!D:D,IF(ISNUMBER(B3340),TEXT(B3340,"0000"),B3340),Addendum!G:G,"X")&gt;0,7%,0)</f>
        <v>0</v>
      </c>
      <c r="L3340" s="31">
        <f>IF(COUNTIFS(Addendum!C:C,A3340,Addendum!D:D,IF(ISNUMBER(B3340),TEXT(B3340,"0000"),B3340),Addendum!I:I,"X")&gt;0,10%,0)</f>
        <v>0</v>
      </c>
      <c r="M3340" s="34">
        <f t="shared" si="104"/>
        <v>0.03</v>
      </c>
      <c r="N3340" s="17">
        <f t="shared" si="105"/>
        <v>9075708</v>
      </c>
    </row>
    <row r="3341" spans="1:14" x14ac:dyDescent="0.25">
      <c r="A3341" s="14" t="s">
        <v>1342</v>
      </c>
      <c r="B3341" s="14" t="s">
        <v>173</v>
      </c>
      <c r="C3341" s="15" t="s">
        <v>1354</v>
      </c>
      <c r="D3341" s="14" t="s">
        <v>1749</v>
      </c>
      <c r="E3341" s="14" t="s">
        <v>1746</v>
      </c>
      <c r="F3341" s="17" t="s">
        <v>2993</v>
      </c>
      <c r="G3341" s="14">
        <v>531612</v>
      </c>
      <c r="H3341" s="14">
        <v>425289.6</v>
      </c>
      <c r="I3341" s="31">
        <f>IF(COUNTIFS(Addendum!C:C,A3341,Addendum!D:D,IF(ISNUMBER(B3341),TEXT(B3341,"0000"),B3341),Addendum!E:E,"X")&gt;0,4%,0)</f>
        <v>0.04</v>
      </c>
      <c r="J3341" s="31">
        <f>IF(COUNTIFS(Addendum!C:C,A3341,Addendum!D:D,IF(ISNUMBER(B3341),TEXT(B3341,"0000"),B3341),Addendum!F:F,"X")&gt;0,2.5%,0)</f>
        <v>0</v>
      </c>
      <c r="K3341" s="31">
        <f>IF(COUNTIFS(Addendum!C:C,A3341,Addendum!D:D,IF(ISNUMBER(B3341),TEXT(B3341,"0000"),B3341),Addendum!G:G,"X")&gt;0,7%,0)</f>
        <v>0</v>
      </c>
      <c r="L3341" s="31">
        <f>IF(COUNTIFS(Addendum!C:C,A3341,Addendum!D:D,IF(ISNUMBER(B3341),TEXT(B3341,"0000"),B3341),Addendum!I:I,"X")&gt;0,10%,0)</f>
        <v>0</v>
      </c>
      <c r="M3341" s="34">
        <f t="shared" si="104"/>
        <v>0.01</v>
      </c>
      <c r="N3341" s="17">
        <f t="shared" si="105"/>
        <v>421036.70399999997</v>
      </c>
    </row>
    <row r="3342" spans="1:14" x14ac:dyDescent="0.25">
      <c r="A3342" s="14" t="s">
        <v>1342</v>
      </c>
      <c r="B3342" s="14">
        <v>1</v>
      </c>
      <c r="C3342" s="15" t="s">
        <v>2770</v>
      </c>
      <c r="D3342" s="14" t="s">
        <v>1752</v>
      </c>
      <c r="E3342" s="14" t="s">
        <v>1747</v>
      </c>
      <c r="F3342" s="17" t="s">
        <v>2994</v>
      </c>
      <c r="G3342" s="14">
        <v>1617300</v>
      </c>
      <c r="H3342" s="14">
        <v>1293840</v>
      </c>
      <c r="I3342" s="31">
        <f>IF(COUNTIFS(Addendum!C:C,A3342,Addendum!D:D,IF(ISNUMBER(B3342),TEXT(B3342,"0000"),B3342),Addendum!E:E,"X")&gt;0,4%,0)</f>
        <v>0.04</v>
      </c>
      <c r="J3342" s="31">
        <f>IF(COUNTIFS(Addendum!C:C,A3342,Addendum!D:D,IF(ISNUMBER(B3342),TEXT(B3342,"0000"),B3342),Addendum!F:F,"X")&gt;0,2.5%,0)</f>
        <v>0</v>
      </c>
      <c r="K3342" s="31">
        <f>IF(COUNTIFS(Addendum!C:C,A3342,Addendum!D:D,IF(ISNUMBER(B3342),TEXT(B3342,"0000"),B3342),Addendum!G:G,"X")&gt;0,7%,0)</f>
        <v>0</v>
      </c>
      <c r="L3342" s="31">
        <f>IF(COUNTIFS(Addendum!C:C,A3342,Addendum!D:D,IF(ISNUMBER(B3342),TEXT(B3342,"0000"),B3342),Addendum!I:I,"X")&gt;0,10%,0)</f>
        <v>0</v>
      </c>
      <c r="M3342" s="34">
        <f t="shared" si="104"/>
        <v>0.03</v>
      </c>
      <c r="N3342" s="17">
        <f t="shared" si="105"/>
        <v>1255024.8</v>
      </c>
    </row>
    <row r="3343" spans="1:14" x14ac:dyDescent="0.25">
      <c r="A3343" s="14" t="s">
        <v>1342</v>
      </c>
      <c r="B3343" s="14" t="s">
        <v>166</v>
      </c>
      <c r="C3343" s="15" t="s">
        <v>2764</v>
      </c>
      <c r="D3343" s="14" t="s">
        <v>1745</v>
      </c>
      <c r="E3343" s="14" t="s">
        <v>1747</v>
      </c>
      <c r="F3343" s="17" t="s">
        <v>2995</v>
      </c>
      <c r="G3343" s="14">
        <v>2436660</v>
      </c>
      <c r="H3343" s="14">
        <v>2192994</v>
      </c>
      <c r="I3343" s="31">
        <f>IF(COUNTIFS(Addendum!C:C,A3343,Addendum!D:D,IF(ISNUMBER(B3343),TEXT(B3343,"0000"),B3343),Addendum!E:E,"X")&gt;0,4%,0)</f>
        <v>0.04</v>
      </c>
      <c r="J3343" s="31">
        <f>IF(COUNTIFS(Addendum!C:C,A3343,Addendum!D:D,IF(ISNUMBER(B3343),TEXT(B3343,"0000"),B3343),Addendum!F:F,"X")&gt;0,2.5%,0)</f>
        <v>0</v>
      </c>
      <c r="K3343" s="31">
        <f>IF(COUNTIFS(Addendum!C:C,A3343,Addendum!D:D,IF(ISNUMBER(B3343),TEXT(B3343,"0000"),B3343),Addendum!G:G,"X")&gt;0,7%,0)</f>
        <v>0</v>
      </c>
      <c r="L3343" s="31">
        <f>IF(COUNTIFS(Addendum!C:C,A3343,Addendum!D:D,IF(ISNUMBER(B3343),TEXT(B3343,"0000"),B3343),Addendum!I:I,"X")&gt;0,10%,0)</f>
        <v>0</v>
      </c>
      <c r="M3343" s="34">
        <f t="shared" si="104"/>
        <v>0.03</v>
      </c>
      <c r="N3343" s="17">
        <f t="shared" si="105"/>
        <v>2127204.1800000002</v>
      </c>
    </row>
    <row r="3344" spans="1:14" x14ac:dyDescent="0.25">
      <c r="A3344" s="14" t="s">
        <v>1342</v>
      </c>
      <c r="B3344" s="14">
        <v>4</v>
      </c>
      <c r="C3344" s="15" t="s">
        <v>1348</v>
      </c>
      <c r="D3344" s="14" t="s">
        <v>1745</v>
      </c>
      <c r="E3344" s="14" t="s">
        <v>1747</v>
      </c>
      <c r="F3344" s="17" t="s">
        <v>2993</v>
      </c>
      <c r="G3344" s="14">
        <v>3544080</v>
      </c>
      <c r="H3344" s="14">
        <v>2835264</v>
      </c>
      <c r="I3344" s="31">
        <f>IF(COUNTIFS(Addendum!C:C,A3344,Addendum!D:D,IF(ISNUMBER(B3344),TEXT(B3344,"0000"),B3344),Addendum!E:E,"X")&gt;0,4%,0)</f>
        <v>0.04</v>
      </c>
      <c r="J3344" s="31">
        <f>IF(COUNTIFS(Addendum!C:C,A3344,Addendum!D:D,IF(ISNUMBER(B3344),TEXT(B3344,"0000"),B3344),Addendum!F:F,"X")&gt;0,2.5%,0)</f>
        <v>0</v>
      </c>
      <c r="K3344" s="31">
        <f>IF(COUNTIFS(Addendum!C:C,A3344,Addendum!D:D,IF(ISNUMBER(B3344),TEXT(B3344,"0000"),B3344),Addendum!G:G,"X")&gt;0,7%,0)</f>
        <v>0</v>
      </c>
      <c r="L3344" s="31">
        <f>IF(COUNTIFS(Addendum!C:C,A3344,Addendum!D:D,IF(ISNUMBER(B3344),TEXT(B3344,"0000"),B3344),Addendum!I:I,"X")&gt;0,10%,0)</f>
        <v>0</v>
      </c>
      <c r="M3344" s="34">
        <f t="shared" si="104"/>
        <v>0.03</v>
      </c>
      <c r="N3344" s="17">
        <f t="shared" si="105"/>
        <v>2750206.08</v>
      </c>
    </row>
    <row r="3345" spans="1:14" x14ac:dyDescent="0.25">
      <c r="A3345" s="14" t="s">
        <v>1342</v>
      </c>
      <c r="B3345" s="14">
        <v>9</v>
      </c>
      <c r="C3345" s="15" t="s">
        <v>2771</v>
      </c>
      <c r="D3345" s="14" t="s">
        <v>1745</v>
      </c>
      <c r="E3345" s="14" t="s">
        <v>1747</v>
      </c>
      <c r="F3345" s="17" t="s">
        <v>2995</v>
      </c>
      <c r="G3345" s="14">
        <v>3544080</v>
      </c>
      <c r="H3345" s="14">
        <v>3189672</v>
      </c>
      <c r="I3345" s="31">
        <f>IF(COUNTIFS(Addendum!C:C,A3345,Addendum!D:D,IF(ISNUMBER(B3345),TEXT(B3345,"0000"),B3345),Addendum!E:E,"X")&gt;0,4%,0)</f>
        <v>0.04</v>
      </c>
      <c r="J3345" s="31">
        <f>IF(COUNTIFS(Addendum!C:C,A3345,Addendum!D:D,IF(ISNUMBER(B3345),TEXT(B3345,"0000"),B3345),Addendum!F:F,"X")&gt;0,2.5%,0)</f>
        <v>0</v>
      </c>
      <c r="K3345" s="31">
        <f>IF(COUNTIFS(Addendum!C:C,A3345,Addendum!D:D,IF(ISNUMBER(B3345),TEXT(B3345,"0000"),B3345),Addendum!G:G,"X")&gt;0,7%,0)</f>
        <v>0</v>
      </c>
      <c r="L3345" s="31">
        <f>IF(COUNTIFS(Addendum!C:C,A3345,Addendum!D:D,IF(ISNUMBER(B3345),TEXT(B3345,"0000"),B3345),Addendum!I:I,"X")&gt;0,10%,0)</f>
        <v>0</v>
      </c>
      <c r="M3345" s="34">
        <f t="shared" si="104"/>
        <v>0.03</v>
      </c>
      <c r="N3345" s="17">
        <f t="shared" si="105"/>
        <v>3093981.84</v>
      </c>
    </row>
    <row r="3346" spans="1:14" x14ac:dyDescent="0.25">
      <c r="A3346" s="14" t="s">
        <v>1342</v>
      </c>
      <c r="B3346" s="14">
        <v>3</v>
      </c>
      <c r="C3346" s="15" t="s">
        <v>1350</v>
      </c>
      <c r="D3346" s="14" t="s">
        <v>1745</v>
      </c>
      <c r="E3346" s="14" t="s">
        <v>1746</v>
      </c>
      <c r="F3346" s="17" t="s">
        <v>2994</v>
      </c>
      <c r="G3346" s="14">
        <v>1488501</v>
      </c>
      <c r="H3346" s="14">
        <v>1190801</v>
      </c>
      <c r="I3346" s="31">
        <f>IF(COUNTIFS(Addendum!C:C,A3346,Addendum!D:D,IF(ISNUMBER(B3346),TEXT(B3346,"0000"),B3346),Addendum!E:E,"X")&gt;0,4%,0)</f>
        <v>0.04</v>
      </c>
      <c r="J3346" s="31">
        <f>IF(COUNTIFS(Addendum!C:C,A3346,Addendum!D:D,IF(ISNUMBER(B3346),TEXT(B3346,"0000"),B3346),Addendum!F:F,"X")&gt;0,2.5%,0)</f>
        <v>0</v>
      </c>
      <c r="K3346" s="31">
        <f>IF(COUNTIFS(Addendum!C:C,A3346,Addendum!D:D,IF(ISNUMBER(B3346),TEXT(B3346,"0000"),B3346),Addendum!G:G,"X")&gt;0,7%,0)</f>
        <v>0</v>
      </c>
      <c r="L3346" s="31">
        <f>IF(COUNTIFS(Addendum!C:C,A3346,Addendum!D:D,IF(ISNUMBER(B3346),TEXT(B3346,"0000"),B3346),Addendum!I:I,"X")&gt;0,10%,0)</f>
        <v>0</v>
      </c>
      <c r="M3346" s="34">
        <f t="shared" si="104"/>
        <v>0.01</v>
      </c>
      <c r="N3346" s="17">
        <f t="shared" si="105"/>
        <v>1178892.99</v>
      </c>
    </row>
    <row r="3347" spans="1:14" x14ac:dyDescent="0.25">
      <c r="A3347" s="14" t="s">
        <v>1342</v>
      </c>
      <c r="B3347" s="14" t="s">
        <v>258</v>
      </c>
      <c r="C3347" s="15" t="s">
        <v>2769</v>
      </c>
      <c r="D3347" s="14" t="s">
        <v>1745</v>
      </c>
      <c r="E3347" s="14" t="s">
        <v>1747</v>
      </c>
      <c r="F3347" s="17" t="s">
        <v>2995</v>
      </c>
      <c r="G3347" s="14">
        <v>5094780</v>
      </c>
      <c r="H3347" s="14">
        <v>4585302</v>
      </c>
      <c r="I3347" s="31">
        <f>IF(COUNTIFS(Addendum!C:C,A3347,Addendum!D:D,IF(ISNUMBER(B3347),TEXT(B3347,"0000"),B3347),Addendum!E:E,"X")&gt;0,4%,0)</f>
        <v>0.04</v>
      </c>
      <c r="J3347" s="31">
        <f>IF(COUNTIFS(Addendum!C:C,A3347,Addendum!D:D,IF(ISNUMBER(B3347),TEXT(B3347,"0000"),B3347),Addendum!F:F,"X")&gt;0,2.5%,0)</f>
        <v>0</v>
      </c>
      <c r="K3347" s="31">
        <f>IF(COUNTIFS(Addendum!C:C,A3347,Addendum!D:D,IF(ISNUMBER(B3347),TEXT(B3347,"0000"),B3347),Addendum!G:G,"X")&gt;0,7%,0)</f>
        <v>0</v>
      </c>
      <c r="L3347" s="31">
        <f>IF(COUNTIFS(Addendum!C:C,A3347,Addendum!D:D,IF(ISNUMBER(B3347),TEXT(B3347,"0000"),B3347),Addendum!I:I,"X")&gt;0,10%,0)</f>
        <v>0</v>
      </c>
      <c r="M3347" s="34">
        <f t="shared" si="104"/>
        <v>0.03</v>
      </c>
      <c r="N3347" s="17">
        <f t="shared" si="105"/>
        <v>4447742.9400000004</v>
      </c>
    </row>
    <row r="3348" spans="1:14" x14ac:dyDescent="0.25">
      <c r="A3348" s="14" t="s">
        <v>1342</v>
      </c>
      <c r="B3348" s="14" t="s">
        <v>166</v>
      </c>
      <c r="C3348" s="15" t="s">
        <v>2764</v>
      </c>
      <c r="D3348" s="14" t="s">
        <v>1752</v>
      </c>
      <c r="E3348" s="14" t="s">
        <v>1753</v>
      </c>
      <c r="F3348" s="17" t="s">
        <v>2995</v>
      </c>
      <c r="G3348" s="14">
        <v>7309980</v>
      </c>
      <c r="H3348" s="14">
        <v>6578982</v>
      </c>
      <c r="I3348" s="31">
        <f>IF(COUNTIFS(Addendum!C:C,A3348,Addendum!D:D,IF(ISNUMBER(B3348),TEXT(B3348,"0000"),B3348),Addendum!E:E,"X")&gt;0,4%,0)</f>
        <v>0.04</v>
      </c>
      <c r="J3348" s="31">
        <f>IF(COUNTIFS(Addendum!C:C,A3348,Addendum!D:D,IF(ISNUMBER(B3348),TEXT(B3348,"0000"),B3348),Addendum!F:F,"X")&gt;0,2.5%,0)</f>
        <v>0</v>
      </c>
      <c r="K3348" s="31">
        <f>IF(COUNTIFS(Addendum!C:C,A3348,Addendum!D:D,IF(ISNUMBER(B3348),TEXT(B3348,"0000"),B3348),Addendum!G:G,"X")&gt;0,7%,0)</f>
        <v>0</v>
      </c>
      <c r="L3348" s="31">
        <f>IF(COUNTIFS(Addendum!C:C,A3348,Addendum!D:D,IF(ISNUMBER(B3348),TEXT(B3348,"0000"),B3348),Addendum!I:I,"X")&gt;0,10%,0)</f>
        <v>0</v>
      </c>
      <c r="M3348" s="34">
        <f t="shared" si="104"/>
        <v>0.03</v>
      </c>
      <c r="N3348" s="17">
        <f t="shared" si="105"/>
        <v>6381612.54</v>
      </c>
    </row>
    <row r="3349" spans="1:14" x14ac:dyDescent="0.25">
      <c r="A3349" s="14" t="s">
        <v>1342</v>
      </c>
      <c r="B3349" s="14" t="s">
        <v>120</v>
      </c>
      <c r="C3349" s="15" t="s">
        <v>2766</v>
      </c>
      <c r="D3349" s="14" t="s">
        <v>1745</v>
      </c>
      <c r="E3349" s="14" t="s">
        <v>1746</v>
      </c>
      <c r="F3349" s="17" t="s">
        <v>2994</v>
      </c>
      <c r="G3349" s="14">
        <v>4093425</v>
      </c>
      <c r="H3349" s="14">
        <v>3274740</v>
      </c>
      <c r="I3349" s="31">
        <f>IF(COUNTIFS(Addendum!C:C,A3349,Addendum!D:D,IF(ISNUMBER(B3349),TEXT(B3349,"0000"),B3349),Addendum!E:E,"X")&gt;0,4%,0)</f>
        <v>0.04</v>
      </c>
      <c r="J3349" s="31">
        <f>IF(COUNTIFS(Addendum!C:C,A3349,Addendum!D:D,IF(ISNUMBER(B3349),TEXT(B3349,"0000"),B3349),Addendum!F:F,"X")&gt;0,2.5%,0)</f>
        <v>0</v>
      </c>
      <c r="K3349" s="31">
        <f>IF(COUNTIFS(Addendum!C:C,A3349,Addendum!D:D,IF(ISNUMBER(B3349),TEXT(B3349,"0000"),B3349),Addendum!G:G,"X")&gt;0,7%,0)</f>
        <v>0</v>
      </c>
      <c r="L3349" s="31">
        <f>IF(COUNTIFS(Addendum!C:C,A3349,Addendum!D:D,IF(ISNUMBER(B3349),TEXT(B3349,"0000"),B3349),Addendum!I:I,"X")&gt;0,10%,0)</f>
        <v>0</v>
      </c>
      <c r="M3349" s="34">
        <f t="shared" si="104"/>
        <v>0.01</v>
      </c>
      <c r="N3349" s="17">
        <f t="shared" si="105"/>
        <v>3241992.6</v>
      </c>
    </row>
    <row r="3350" spans="1:14" x14ac:dyDescent="0.25">
      <c r="A3350" s="14" t="s">
        <v>1342</v>
      </c>
      <c r="B3350" s="14" t="s">
        <v>166</v>
      </c>
      <c r="C3350" s="15" t="s">
        <v>2764</v>
      </c>
      <c r="D3350" s="14" t="s">
        <v>1749</v>
      </c>
      <c r="E3350" s="14" t="s">
        <v>1746</v>
      </c>
      <c r="F3350" s="17" t="s">
        <v>2995</v>
      </c>
      <c r="G3350" s="14">
        <v>243666</v>
      </c>
      <c r="H3350" s="14">
        <v>219299.4</v>
      </c>
      <c r="I3350" s="31">
        <f>IF(COUNTIFS(Addendum!C:C,A3350,Addendum!D:D,IF(ISNUMBER(B3350),TEXT(B3350,"0000"),B3350),Addendum!E:E,"X")&gt;0,4%,0)</f>
        <v>0.04</v>
      </c>
      <c r="J3350" s="31">
        <f>IF(COUNTIFS(Addendum!C:C,A3350,Addendum!D:D,IF(ISNUMBER(B3350),TEXT(B3350,"0000"),B3350),Addendum!F:F,"X")&gt;0,2.5%,0)</f>
        <v>0</v>
      </c>
      <c r="K3350" s="31">
        <f>IF(COUNTIFS(Addendum!C:C,A3350,Addendum!D:D,IF(ISNUMBER(B3350),TEXT(B3350,"0000"),B3350),Addendum!G:G,"X")&gt;0,7%,0)</f>
        <v>0</v>
      </c>
      <c r="L3350" s="31">
        <f>IF(COUNTIFS(Addendum!C:C,A3350,Addendum!D:D,IF(ISNUMBER(B3350),TEXT(B3350,"0000"),B3350),Addendum!I:I,"X")&gt;0,10%,0)</f>
        <v>0</v>
      </c>
      <c r="M3350" s="34">
        <f t="shared" si="104"/>
        <v>0.01</v>
      </c>
      <c r="N3350" s="17">
        <f t="shared" si="105"/>
        <v>217106.40599999999</v>
      </c>
    </row>
    <row r="3351" spans="1:14" x14ac:dyDescent="0.25">
      <c r="A3351" s="14" t="s">
        <v>1342</v>
      </c>
      <c r="B3351" s="14">
        <v>1</v>
      </c>
      <c r="C3351" s="15" t="s">
        <v>2770</v>
      </c>
      <c r="D3351" s="14" t="s">
        <v>1749</v>
      </c>
      <c r="E3351" s="14" t="s">
        <v>1746</v>
      </c>
      <c r="F3351" s="17" t="s">
        <v>2994</v>
      </c>
      <c r="G3351" s="14">
        <v>53910</v>
      </c>
      <c r="H3351" s="14">
        <v>43128</v>
      </c>
      <c r="I3351" s="31">
        <f>IF(COUNTIFS(Addendum!C:C,A3351,Addendum!D:D,IF(ISNUMBER(B3351),TEXT(B3351,"0000"),B3351),Addendum!E:E,"X")&gt;0,4%,0)</f>
        <v>0.04</v>
      </c>
      <c r="J3351" s="31">
        <f>IF(COUNTIFS(Addendum!C:C,A3351,Addendum!D:D,IF(ISNUMBER(B3351),TEXT(B3351,"0000"),B3351),Addendum!F:F,"X")&gt;0,2.5%,0)</f>
        <v>0</v>
      </c>
      <c r="K3351" s="31">
        <f>IF(COUNTIFS(Addendum!C:C,A3351,Addendum!D:D,IF(ISNUMBER(B3351),TEXT(B3351,"0000"),B3351),Addendum!G:G,"X")&gt;0,7%,0)</f>
        <v>0</v>
      </c>
      <c r="L3351" s="31">
        <f>IF(COUNTIFS(Addendum!C:C,A3351,Addendum!D:D,IF(ISNUMBER(B3351),TEXT(B3351,"0000"),B3351),Addendum!I:I,"X")&gt;0,10%,0)</f>
        <v>0</v>
      </c>
      <c r="M3351" s="34">
        <f t="shared" si="104"/>
        <v>0.01</v>
      </c>
      <c r="N3351" s="17">
        <f t="shared" si="105"/>
        <v>42696.72</v>
      </c>
    </row>
    <row r="3352" spans="1:14" x14ac:dyDescent="0.25">
      <c r="A3352" s="14" t="s">
        <v>1342</v>
      </c>
      <c r="B3352" s="14">
        <v>8</v>
      </c>
      <c r="C3352" s="15" t="s">
        <v>1372</v>
      </c>
      <c r="D3352" s="14" t="s">
        <v>1745</v>
      </c>
      <c r="E3352" s="14" t="s">
        <v>1746</v>
      </c>
      <c r="F3352" s="17" t="s">
        <v>2993</v>
      </c>
      <c r="G3352" s="14">
        <v>1415169</v>
      </c>
      <c r="H3352" s="14">
        <v>1132135</v>
      </c>
      <c r="I3352" s="31">
        <f>IF(COUNTIFS(Addendum!C:C,A3352,Addendum!D:D,IF(ISNUMBER(B3352),TEXT(B3352,"0000"),B3352),Addendum!E:E,"X")&gt;0,4%,0)</f>
        <v>0.04</v>
      </c>
      <c r="J3352" s="31">
        <f>IF(COUNTIFS(Addendum!C:C,A3352,Addendum!D:D,IF(ISNUMBER(B3352),TEXT(B3352,"0000"),B3352),Addendum!F:F,"X")&gt;0,2.5%,0)</f>
        <v>0</v>
      </c>
      <c r="K3352" s="31">
        <f>IF(COUNTIFS(Addendum!C:C,A3352,Addendum!D:D,IF(ISNUMBER(B3352),TEXT(B3352,"0000"),B3352),Addendum!G:G,"X")&gt;0,7%,0)</f>
        <v>0</v>
      </c>
      <c r="L3352" s="31">
        <f>IF(COUNTIFS(Addendum!C:C,A3352,Addendum!D:D,IF(ISNUMBER(B3352),TEXT(B3352,"0000"),B3352),Addendum!I:I,"X")&gt;0,10%,0)</f>
        <v>0</v>
      </c>
      <c r="M3352" s="34">
        <f t="shared" si="104"/>
        <v>0.01</v>
      </c>
      <c r="N3352" s="17">
        <f t="shared" si="105"/>
        <v>1120813.6499999999</v>
      </c>
    </row>
    <row r="3353" spans="1:14" x14ac:dyDescent="0.25">
      <c r="A3353" s="14" t="s">
        <v>1342</v>
      </c>
      <c r="B3353" s="14" t="s">
        <v>307</v>
      </c>
      <c r="C3353" s="15" t="s">
        <v>1378</v>
      </c>
      <c r="D3353" s="14" t="s">
        <v>1752</v>
      </c>
      <c r="E3353" s="14" t="s">
        <v>1753</v>
      </c>
      <c r="F3353" s="17" t="s">
        <v>2993</v>
      </c>
      <c r="G3353" s="14">
        <v>61137180</v>
      </c>
      <c r="H3353" s="14">
        <v>48909744</v>
      </c>
      <c r="I3353" s="31">
        <f>IF(COUNTIFS(Addendum!C:C,A3353,Addendum!D:D,IF(ISNUMBER(B3353),TEXT(B3353,"0000"),B3353),Addendum!E:E,"X")&gt;0,4%,0)</f>
        <v>0.04</v>
      </c>
      <c r="J3353" s="31">
        <f>IF(COUNTIFS(Addendum!C:C,A3353,Addendum!D:D,IF(ISNUMBER(B3353),TEXT(B3353,"0000"),B3353),Addendum!F:F,"X")&gt;0,2.5%,0)</f>
        <v>0</v>
      </c>
      <c r="K3353" s="31">
        <f>IF(COUNTIFS(Addendum!C:C,A3353,Addendum!D:D,IF(ISNUMBER(B3353),TEXT(B3353,"0000"),B3353),Addendum!G:G,"X")&gt;0,7%,0)</f>
        <v>0</v>
      </c>
      <c r="L3353" s="31">
        <f>IF(COUNTIFS(Addendum!C:C,A3353,Addendum!D:D,IF(ISNUMBER(B3353),TEXT(B3353,"0000"),B3353),Addendum!I:I,"X")&gt;0,10%,0)</f>
        <v>0</v>
      </c>
      <c r="M3353" s="34">
        <f t="shared" si="104"/>
        <v>0.03</v>
      </c>
      <c r="N3353" s="17">
        <f t="shared" si="105"/>
        <v>47442451.68</v>
      </c>
    </row>
    <row r="3354" spans="1:14" x14ac:dyDescent="0.25">
      <c r="A3354" s="14" t="s">
        <v>1342</v>
      </c>
      <c r="B3354" s="14">
        <v>8</v>
      </c>
      <c r="C3354" s="15" t="s">
        <v>1372</v>
      </c>
      <c r="D3354" s="14" t="s">
        <v>1752</v>
      </c>
      <c r="E3354" s="14" t="s">
        <v>1753</v>
      </c>
      <c r="F3354" s="17" t="s">
        <v>2993</v>
      </c>
      <c r="G3354" s="14">
        <v>4043340</v>
      </c>
      <c r="H3354" s="14">
        <v>3234672</v>
      </c>
      <c r="I3354" s="31">
        <f>IF(COUNTIFS(Addendum!C:C,A3354,Addendum!D:D,IF(ISNUMBER(B3354),TEXT(B3354,"0000"),B3354),Addendum!E:E,"X")&gt;0,4%,0)</f>
        <v>0.04</v>
      </c>
      <c r="J3354" s="31">
        <f>IF(COUNTIFS(Addendum!C:C,A3354,Addendum!D:D,IF(ISNUMBER(B3354),TEXT(B3354,"0000"),B3354),Addendum!F:F,"X")&gt;0,2.5%,0)</f>
        <v>0</v>
      </c>
      <c r="K3354" s="31">
        <f>IF(COUNTIFS(Addendum!C:C,A3354,Addendum!D:D,IF(ISNUMBER(B3354),TEXT(B3354,"0000"),B3354),Addendum!G:G,"X")&gt;0,7%,0)</f>
        <v>0</v>
      </c>
      <c r="L3354" s="31">
        <f>IF(COUNTIFS(Addendum!C:C,A3354,Addendum!D:D,IF(ISNUMBER(B3354),TEXT(B3354,"0000"),B3354),Addendum!I:I,"X")&gt;0,10%,0)</f>
        <v>0</v>
      </c>
      <c r="M3354" s="34">
        <f t="shared" si="104"/>
        <v>0.03</v>
      </c>
      <c r="N3354" s="17">
        <f t="shared" si="105"/>
        <v>3137631.84</v>
      </c>
    </row>
    <row r="3355" spans="1:14" x14ac:dyDescent="0.25">
      <c r="A3355" s="14" t="s">
        <v>1342</v>
      </c>
      <c r="B3355" s="14">
        <v>9</v>
      </c>
      <c r="C3355" s="15" t="s">
        <v>2771</v>
      </c>
      <c r="D3355" s="14" t="s">
        <v>1745</v>
      </c>
      <c r="E3355" s="14" t="s">
        <v>1746</v>
      </c>
      <c r="F3355" s="17" t="s">
        <v>2995</v>
      </c>
      <c r="G3355" s="14">
        <v>3721284</v>
      </c>
      <c r="H3355" s="14">
        <v>3349156</v>
      </c>
      <c r="I3355" s="31">
        <f>IF(COUNTIFS(Addendum!C:C,A3355,Addendum!D:D,IF(ISNUMBER(B3355),TEXT(B3355,"0000"),B3355),Addendum!E:E,"X")&gt;0,4%,0)</f>
        <v>0.04</v>
      </c>
      <c r="J3355" s="31">
        <f>IF(COUNTIFS(Addendum!C:C,A3355,Addendum!D:D,IF(ISNUMBER(B3355),TEXT(B3355,"0000"),B3355),Addendum!F:F,"X")&gt;0,2.5%,0)</f>
        <v>0</v>
      </c>
      <c r="K3355" s="31">
        <f>IF(COUNTIFS(Addendum!C:C,A3355,Addendum!D:D,IF(ISNUMBER(B3355),TEXT(B3355,"0000"),B3355),Addendum!G:G,"X")&gt;0,7%,0)</f>
        <v>0</v>
      </c>
      <c r="L3355" s="31">
        <f>IF(COUNTIFS(Addendum!C:C,A3355,Addendum!D:D,IF(ISNUMBER(B3355),TEXT(B3355,"0000"),B3355),Addendum!I:I,"X")&gt;0,10%,0)</f>
        <v>0</v>
      </c>
      <c r="M3355" s="34">
        <f t="shared" si="104"/>
        <v>0.01</v>
      </c>
      <c r="N3355" s="17">
        <f t="shared" si="105"/>
        <v>3315664.44</v>
      </c>
    </row>
    <row r="3356" spans="1:14" x14ac:dyDescent="0.25">
      <c r="A3356" s="14" t="s">
        <v>1342</v>
      </c>
      <c r="B3356" s="14">
        <v>2</v>
      </c>
      <c r="C3356" s="15" t="s">
        <v>2765</v>
      </c>
      <c r="D3356" s="14" t="s">
        <v>1749</v>
      </c>
      <c r="E3356" s="14" t="s">
        <v>1746</v>
      </c>
      <c r="F3356" s="17" t="s">
        <v>2994</v>
      </c>
      <c r="G3356" s="14">
        <v>815142</v>
      </c>
      <c r="H3356" s="14">
        <v>652113.6</v>
      </c>
      <c r="I3356" s="31">
        <f>IF(COUNTIFS(Addendum!C:C,A3356,Addendum!D:D,IF(ISNUMBER(B3356),TEXT(B3356,"0000"),B3356),Addendum!E:E,"X")&gt;0,4%,0)</f>
        <v>0.04</v>
      </c>
      <c r="J3356" s="31">
        <f>IF(COUNTIFS(Addendum!C:C,A3356,Addendum!D:D,IF(ISNUMBER(B3356),TEXT(B3356,"0000"),B3356),Addendum!F:F,"X")&gt;0,2.5%,0)</f>
        <v>0</v>
      </c>
      <c r="K3356" s="31">
        <f>IF(COUNTIFS(Addendum!C:C,A3356,Addendum!D:D,IF(ISNUMBER(B3356),TEXT(B3356,"0000"),B3356),Addendum!G:G,"X")&gt;0,7%,0)</f>
        <v>0</v>
      </c>
      <c r="L3356" s="31">
        <f>IF(COUNTIFS(Addendum!C:C,A3356,Addendum!D:D,IF(ISNUMBER(B3356),TEXT(B3356,"0000"),B3356),Addendum!I:I,"X")&gt;0,10%,0)</f>
        <v>0</v>
      </c>
      <c r="M3356" s="34">
        <f t="shared" si="104"/>
        <v>0.01</v>
      </c>
      <c r="N3356" s="17">
        <f t="shared" si="105"/>
        <v>645592.46399999992</v>
      </c>
    </row>
    <row r="3357" spans="1:14" x14ac:dyDescent="0.25">
      <c r="A3357" s="14" t="s">
        <v>1342</v>
      </c>
      <c r="B3357" s="14" t="s">
        <v>297</v>
      </c>
      <c r="C3357" s="15" t="s">
        <v>2767</v>
      </c>
      <c r="D3357" s="14" t="s">
        <v>1745</v>
      </c>
      <c r="E3357" s="14" t="s">
        <v>1747</v>
      </c>
      <c r="F3357" s="17" t="s">
        <v>2995</v>
      </c>
      <c r="G3357" s="14">
        <v>1329060</v>
      </c>
      <c r="H3357" s="14">
        <v>1196154</v>
      </c>
      <c r="I3357" s="31">
        <f>IF(COUNTIFS(Addendum!C:C,A3357,Addendum!D:D,IF(ISNUMBER(B3357),TEXT(B3357,"0000"),B3357),Addendum!E:E,"X")&gt;0,4%,0)</f>
        <v>0.04</v>
      </c>
      <c r="J3357" s="31">
        <f>IF(COUNTIFS(Addendum!C:C,A3357,Addendum!D:D,IF(ISNUMBER(B3357),TEXT(B3357,"0000"),B3357),Addendum!F:F,"X")&gt;0,2.5%,0)</f>
        <v>0</v>
      </c>
      <c r="K3357" s="31">
        <f>IF(COUNTIFS(Addendum!C:C,A3357,Addendum!D:D,IF(ISNUMBER(B3357),TEXT(B3357,"0000"),B3357),Addendum!G:G,"X")&gt;0,7%,0)</f>
        <v>0</v>
      </c>
      <c r="L3357" s="31">
        <f>IF(COUNTIFS(Addendum!C:C,A3357,Addendum!D:D,IF(ISNUMBER(B3357),TEXT(B3357,"0000"),B3357),Addendum!I:I,"X")&gt;0,10%,0)</f>
        <v>0</v>
      </c>
      <c r="M3357" s="34">
        <f t="shared" si="104"/>
        <v>0.03</v>
      </c>
      <c r="N3357" s="17">
        <f t="shared" si="105"/>
        <v>1160269.3799999999</v>
      </c>
    </row>
    <row r="3358" spans="1:14" x14ac:dyDescent="0.25">
      <c r="A3358" s="14" t="s">
        <v>1342</v>
      </c>
      <c r="B3358" s="14">
        <v>1</v>
      </c>
      <c r="C3358" s="15" t="s">
        <v>2770</v>
      </c>
      <c r="D3358" s="14" t="s">
        <v>1752</v>
      </c>
      <c r="E3358" s="14" t="s">
        <v>1753</v>
      </c>
      <c r="F3358" s="17" t="s">
        <v>2994</v>
      </c>
      <c r="G3358" s="14">
        <v>1617300</v>
      </c>
      <c r="H3358" s="14">
        <v>1293840</v>
      </c>
      <c r="I3358" s="31">
        <f>IF(COUNTIFS(Addendum!C:C,A3358,Addendum!D:D,IF(ISNUMBER(B3358),TEXT(B3358,"0000"),B3358),Addendum!E:E,"X")&gt;0,4%,0)</f>
        <v>0.04</v>
      </c>
      <c r="J3358" s="31">
        <f>IF(COUNTIFS(Addendum!C:C,A3358,Addendum!D:D,IF(ISNUMBER(B3358),TEXT(B3358,"0000"),B3358),Addendum!F:F,"X")&gt;0,2.5%,0)</f>
        <v>0</v>
      </c>
      <c r="K3358" s="31">
        <f>IF(COUNTIFS(Addendum!C:C,A3358,Addendum!D:D,IF(ISNUMBER(B3358),TEXT(B3358,"0000"),B3358),Addendum!G:G,"X")&gt;0,7%,0)</f>
        <v>0</v>
      </c>
      <c r="L3358" s="31">
        <f>IF(COUNTIFS(Addendum!C:C,A3358,Addendum!D:D,IF(ISNUMBER(B3358),TEXT(B3358,"0000"),B3358),Addendum!I:I,"X")&gt;0,10%,0)</f>
        <v>0</v>
      </c>
      <c r="M3358" s="34">
        <f t="shared" si="104"/>
        <v>0.03</v>
      </c>
      <c r="N3358" s="17">
        <f t="shared" si="105"/>
        <v>1255024.8</v>
      </c>
    </row>
    <row r="3359" spans="1:14" x14ac:dyDescent="0.25">
      <c r="A3359" s="14" t="s">
        <v>1342</v>
      </c>
      <c r="B3359" s="14">
        <v>6</v>
      </c>
      <c r="C3359" s="15" t="s">
        <v>2768</v>
      </c>
      <c r="D3359" s="14" t="s">
        <v>1752</v>
      </c>
      <c r="E3359" s="14" t="s">
        <v>1753</v>
      </c>
      <c r="F3359" s="17" t="s">
        <v>2995</v>
      </c>
      <c r="G3359" s="14">
        <v>1010880</v>
      </c>
      <c r="H3359" s="14">
        <v>909792</v>
      </c>
      <c r="I3359" s="31">
        <f>IF(COUNTIFS(Addendum!C:C,A3359,Addendum!D:D,IF(ISNUMBER(B3359),TEXT(B3359,"0000"),B3359),Addendum!E:E,"X")&gt;0,4%,0)</f>
        <v>0.04</v>
      </c>
      <c r="J3359" s="31">
        <f>IF(COUNTIFS(Addendum!C:C,A3359,Addendum!D:D,IF(ISNUMBER(B3359),TEXT(B3359,"0000"),B3359),Addendum!F:F,"X")&gt;0,2.5%,0)</f>
        <v>0</v>
      </c>
      <c r="K3359" s="31">
        <f>IF(COUNTIFS(Addendum!C:C,A3359,Addendum!D:D,IF(ISNUMBER(B3359),TEXT(B3359,"0000"),B3359),Addendum!G:G,"X")&gt;0,7%,0)</f>
        <v>0</v>
      </c>
      <c r="L3359" s="31">
        <f>IF(COUNTIFS(Addendum!C:C,A3359,Addendum!D:D,IF(ISNUMBER(B3359),TEXT(B3359,"0000"),B3359),Addendum!I:I,"X")&gt;0,10%,0)</f>
        <v>0</v>
      </c>
      <c r="M3359" s="34">
        <f t="shared" si="104"/>
        <v>0.03</v>
      </c>
      <c r="N3359" s="17">
        <f t="shared" si="105"/>
        <v>882498.24</v>
      </c>
    </row>
    <row r="3360" spans="1:14" x14ac:dyDescent="0.25">
      <c r="A3360" s="14" t="s">
        <v>1342</v>
      </c>
      <c r="B3360" s="14">
        <v>5</v>
      </c>
      <c r="C3360" s="15" t="s">
        <v>2772</v>
      </c>
      <c r="D3360" s="14" t="s">
        <v>1752</v>
      </c>
      <c r="E3360" s="14" t="s">
        <v>1753</v>
      </c>
      <c r="F3360" s="17" t="s">
        <v>2995</v>
      </c>
      <c r="G3360" s="14">
        <v>19935540</v>
      </c>
      <c r="H3360" s="14">
        <v>17941986</v>
      </c>
      <c r="I3360" s="31">
        <f>IF(COUNTIFS(Addendum!C:C,A3360,Addendum!D:D,IF(ISNUMBER(B3360),TEXT(B3360,"0000"),B3360),Addendum!E:E,"X")&gt;0,4%,0)</f>
        <v>0.04</v>
      </c>
      <c r="J3360" s="31">
        <f>IF(COUNTIFS(Addendum!C:C,A3360,Addendum!D:D,IF(ISNUMBER(B3360),TEXT(B3360,"0000"),B3360),Addendum!F:F,"X")&gt;0,2.5%,0)</f>
        <v>0</v>
      </c>
      <c r="K3360" s="31">
        <f>IF(COUNTIFS(Addendum!C:C,A3360,Addendum!D:D,IF(ISNUMBER(B3360),TEXT(B3360,"0000"),B3360),Addendum!G:G,"X")&gt;0,7%,0)</f>
        <v>0</v>
      </c>
      <c r="L3360" s="31">
        <f>IF(COUNTIFS(Addendum!C:C,A3360,Addendum!D:D,IF(ISNUMBER(B3360),TEXT(B3360,"0000"),B3360),Addendum!I:I,"X")&gt;0,10%,0)</f>
        <v>0</v>
      </c>
      <c r="M3360" s="34">
        <f t="shared" si="104"/>
        <v>0.03</v>
      </c>
      <c r="N3360" s="17">
        <f t="shared" si="105"/>
        <v>17403726.420000002</v>
      </c>
    </row>
    <row r="3361" spans="1:14" x14ac:dyDescent="0.25">
      <c r="A3361" s="14" t="s">
        <v>1342</v>
      </c>
      <c r="B3361" s="14" t="s">
        <v>120</v>
      </c>
      <c r="C3361" s="15" t="s">
        <v>2766</v>
      </c>
      <c r="D3361" s="14" t="s">
        <v>1749</v>
      </c>
      <c r="E3361" s="14" t="s">
        <v>1746</v>
      </c>
      <c r="F3361" s="17" t="s">
        <v>2994</v>
      </c>
      <c r="G3361" s="14">
        <v>389850</v>
      </c>
      <c r="H3361" s="14">
        <v>311880</v>
      </c>
      <c r="I3361" s="31">
        <f>IF(COUNTIFS(Addendum!C:C,A3361,Addendum!D:D,IF(ISNUMBER(B3361),TEXT(B3361,"0000"),B3361),Addendum!E:E,"X")&gt;0,4%,0)</f>
        <v>0.04</v>
      </c>
      <c r="J3361" s="31">
        <f>IF(COUNTIFS(Addendum!C:C,A3361,Addendum!D:D,IF(ISNUMBER(B3361),TEXT(B3361,"0000"),B3361),Addendum!F:F,"X")&gt;0,2.5%,0)</f>
        <v>0</v>
      </c>
      <c r="K3361" s="31">
        <f>IF(COUNTIFS(Addendum!C:C,A3361,Addendum!D:D,IF(ISNUMBER(B3361),TEXT(B3361,"0000"),B3361),Addendum!G:G,"X")&gt;0,7%,0)</f>
        <v>0</v>
      </c>
      <c r="L3361" s="31">
        <f>IF(COUNTIFS(Addendum!C:C,A3361,Addendum!D:D,IF(ISNUMBER(B3361),TEXT(B3361,"0000"),B3361),Addendum!I:I,"X")&gt;0,10%,0)</f>
        <v>0</v>
      </c>
      <c r="M3361" s="34">
        <f t="shared" si="104"/>
        <v>0.01</v>
      </c>
      <c r="N3361" s="17">
        <f t="shared" si="105"/>
        <v>308761.2</v>
      </c>
    </row>
    <row r="3362" spans="1:14" x14ac:dyDescent="0.25">
      <c r="A3362" s="14" t="s">
        <v>1342</v>
      </c>
      <c r="B3362" s="14" t="s">
        <v>307</v>
      </c>
      <c r="C3362" s="15" t="s">
        <v>1378</v>
      </c>
      <c r="D3362" s="14" t="s">
        <v>1749</v>
      </c>
      <c r="E3362" s="14" t="s">
        <v>1746</v>
      </c>
      <c r="F3362" s="17" t="s">
        <v>2993</v>
      </c>
      <c r="G3362" s="14">
        <v>2037906</v>
      </c>
      <c r="H3362" s="14">
        <v>1630325</v>
      </c>
      <c r="I3362" s="31">
        <f>IF(COUNTIFS(Addendum!C:C,A3362,Addendum!D:D,IF(ISNUMBER(B3362),TEXT(B3362,"0000"),B3362),Addendum!E:E,"X")&gt;0,4%,0)</f>
        <v>0.04</v>
      </c>
      <c r="J3362" s="31">
        <f>IF(COUNTIFS(Addendum!C:C,A3362,Addendum!D:D,IF(ISNUMBER(B3362),TEXT(B3362,"0000"),B3362),Addendum!F:F,"X")&gt;0,2.5%,0)</f>
        <v>0</v>
      </c>
      <c r="K3362" s="31">
        <f>IF(COUNTIFS(Addendum!C:C,A3362,Addendum!D:D,IF(ISNUMBER(B3362),TEXT(B3362,"0000"),B3362),Addendum!G:G,"X")&gt;0,7%,0)</f>
        <v>0</v>
      </c>
      <c r="L3362" s="31">
        <f>IF(COUNTIFS(Addendum!C:C,A3362,Addendum!D:D,IF(ISNUMBER(B3362),TEXT(B3362,"0000"),B3362),Addendum!I:I,"X")&gt;0,10%,0)</f>
        <v>0</v>
      </c>
      <c r="M3362" s="34">
        <f t="shared" si="104"/>
        <v>0.01</v>
      </c>
      <c r="N3362" s="17">
        <f t="shared" si="105"/>
        <v>1614021.75</v>
      </c>
    </row>
    <row r="3363" spans="1:14" x14ac:dyDescent="0.25">
      <c r="A3363" s="14" t="s">
        <v>1342</v>
      </c>
      <c r="B3363" s="14" t="s">
        <v>97</v>
      </c>
      <c r="C3363" s="15" t="s">
        <v>2761</v>
      </c>
      <c r="D3363" s="14" t="s">
        <v>1749</v>
      </c>
      <c r="E3363" s="14" t="s">
        <v>1746</v>
      </c>
      <c r="F3363" s="17" t="s">
        <v>2994</v>
      </c>
      <c r="G3363" s="14">
        <v>567054</v>
      </c>
      <c r="H3363" s="14">
        <v>453643.2</v>
      </c>
      <c r="I3363" s="31">
        <f>IF(COUNTIFS(Addendum!C:C,A3363,Addendum!D:D,IF(ISNUMBER(B3363),TEXT(B3363,"0000"),B3363),Addendum!E:E,"X")&gt;0,4%,0)</f>
        <v>0.04</v>
      </c>
      <c r="J3363" s="31">
        <f>IF(COUNTIFS(Addendum!C:C,A3363,Addendum!D:D,IF(ISNUMBER(B3363),TEXT(B3363,"0000"),B3363),Addendum!F:F,"X")&gt;0,2.5%,0)</f>
        <v>0</v>
      </c>
      <c r="K3363" s="31">
        <f>IF(COUNTIFS(Addendum!C:C,A3363,Addendum!D:D,IF(ISNUMBER(B3363),TEXT(B3363,"0000"),B3363),Addendum!G:G,"X")&gt;0,7%,0)</f>
        <v>0</v>
      </c>
      <c r="L3363" s="31">
        <f>IF(COUNTIFS(Addendum!C:C,A3363,Addendum!D:D,IF(ISNUMBER(B3363),TEXT(B3363,"0000"),B3363),Addendum!I:I,"X")&gt;0,10%,0)</f>
        <v>0</v>
      </c>
      <c r="M3363" s="34">
        <f t="shared" si="104"/>
        <v>0.01</v>
      </c>
      <c r="N3363" s="17">
        <f t="shared" si="105"/>
        <v>449106.76800000004</v>
      </c>
    </row>
    <row r="3364" spans="1:14" x14ac:dyDescent="0.25">
      <c r="A3364" s="14" t="s">
        <v>1342</v>
      </c>
      <c r="B3364" s="14">
        <v>4</v>
      </c>
      <c r="C3364" s="15" t="s">
        <v>1348</v>
      </c>
      <c r="D3364" s="14" t="s">
        <v>1745</v>
      </c>
      <c r="E3364" s="14" t="s">
        <v>1746</v>
      </c>
      <c r="F3364" s="17" t="s">
        <v>2993</v>
      </c>
      <c r="G3364" s="14">
        <v>3721284</v>
      </c>
      <c r="H3364" s="14">
        <v>2977027</v>
      </c>
      <c r="I3364" s="31">
        <f>IF(COUNTIFS(Addendum!C:C,A3364,Addendum!D:D,IF(ISNUMBER(B3364),TEXT(B3364,"0000"),B3364),Addendum!E:E,"X")&gt;0,4%,0)</f>
        <v>0.04</v>
      </c>
      <c r="J3364" s="31">
        <f>IF(COUNTIFS(Addendum!C:C,A3364,Addendum!D:D,IF(ISNUMBER(B3364),TEXT(B3364,"0000"),B3364),Addendum!F:F,"X")&gt;0,2.5%,0)</f>
        <v>0</v>
      </c>
      <c r="K3364" s="31">
        <f>IF(COUNTIFS(Addendum!C:C,A3364,Addendum!D:D,IF(ISNUMBER(B3364),TEXT(B3364,"0000"),B3364),Addendum!G:G,"X")&gt;0,7%,0)</f>
        <v>0</v>
      </c>
      <c r="L3364" s="31">
        <f>IF(COUNTIFS(Addendum!C:C,A3364,Addendum!D:D,IF(ISNUMBER(B3364),TEXT(B3364,"0000"),B3364),Addendum!I:I,"X")&gt;0,10%,0)</f>
        <v>0</v>
      </c>
      <c r="M3364" s="34">
        <f t="shared" si="104"/>
        <v>0.01</v>
      </c>
      <c r="N3364" s="17">
        <f t="shared" si="105"/>
        <v>2947256.73</v>
      </c>
    </row>
    <row r="3365" spans="1:14" x14ac:dyDescent="0.25">
      <c r="A3365" s="14" t="s">
        <v>1342</v>
      </c>
      <c r="B3365" s="14" t="s">
        <v>333</v>
      </c>
      <c r="C3365" s="15" t="s">
        <v>2763</v>
      </c>
      <c r="D3365" s="14" t="s">
        <v>1745</v>
      </c>
      <c r="E3365" s="14" t="s">
        <v>1747</v>
      </c>
      <c r="F3365" s="17" t="s">
        <v>2994</v>
      </c>
      <c r="G3365" s="14">
        <v>2126460</v>
      </c>
      <c r="H3365" s="14">
        <v>1701168</v>
      </c>
      <c r="I3365" s="31">
        <f>IF(COUNTIFS(Addendum!C:C,A3365,Addendum!D:D,IF(ISNUMBER(B3365),TEXT(B3365,"0000"),B3365),Addendum!E:E,"X")&gt;0,4%,0)</f>
        <v>0.04</v>
      </c>
      <c r="J3365" s="31">
        <f>IF(COUNTIFS(Addendum!C:C,A3365,Addendum!D:D,IF(ISNUMBER(B3365),TEXT(B3365,"0000"),B3365),Addendum!F:F,"X")&gt;0,2.5%,0)</f>
        <v>0</v>
      </c>
      <c r="K3365" s="31">
        <f>IF(COUNTIFS(Addendum!C:C,A3365,Addendum!D:D,IF(ISNUMBER(B3365),TEXT(B3365,"0000"),B3365),Addendum!G:G,"X")&gt;0,7%,0)</f>
        <v>0</v>
      </c>
      <c r="L3365" s="31">
        <f>IF(COUNTIFS(Addendum!C:C,A3365,Addendum!D:D,IF(ISNUMBER(B3365),TEXT(B3365,"0000"),B3365),Addendum!I:I,"X")&gt;0,10%,0)</f>
        <v>0</v>
      </c>
      <c r="M3365" s="34">
        <f t="shared" si="104"/>
        <v>0.03</v>
      </c>
      <c r="N3365" s="17">
        <f t="shared" si="105"/>
        <v>1650132.96</v>
      </c>
    </row>
    <row r="3366" spans="1:14" x14ac:dyDescent="0.25">
      <c r="A3366" s="14" t="s">
        <v>1342</v>
      </c>
      <c r="B3366" s="14">
        <v>6</v>
      </c>
      <c r="C3366" s="15" t="s">
        <v>2768</v>
      </c>
      <c r="D3366" s="14" t="s">
        <v>1749</v>
      </c>
      <c r="E3366" s="14" t="s">
        <v>1746</v>
      </c>
      <c r="F3366" s="17" t="s">
        <v>2995</v>
      </c>
      <c r="G3366" s="14">
        <v>33696</v>
      </c>
      <c r="H3366" s="14">
        <v>30326.400000000001</v>
      </c>
      <c r="I3366" s="31">
        <f>IF(COUNTIFS(Addendum!C:C,A3366,Addendum!D:D,IF(ISNUMBER(B3366),TEXT(B3366,"0000"),B3366),Addendum!E:E,"X")&gt;0,4%,0)</f>
        <v>0.04</v>
      </c>
      <c r="J3366" s="31">
        <f>IF(COUNTIFS(Addendum!C:C,A3366,Addendum!D:D,IF(ISNUMBER(B3366),TEXT(B3366,"0000"),B3366),Addendum!F:F,"X")&gt;0,2.5%,0)</f>
        <v>0</v>
      </c>
      <c r="K3366" s="31">
        <f>IF(COUNTIFS(Addendum!C:C,A3366,Addendum!D:D,IF(ISNUMBER(B3366),TEXT(B3366,"0000"),B3366),Addendum!G:G,"X")&gt;0,7%,0)</f>
        <v>0</v>
      </c>
      <c r="L3366" s="31">
        <f>IF(COUNTIFS(Addendum!C:C,A3366,Addendum!D:D,IF(ISNUMBER(B3366),TEXT(B3366,"0000"),B3366),Addendum!I:I,"X")&gt;0,10%,0)</f>
        <v>0</v>
      </c>
      <c r="M3366" s="34">
        <f t="shared" si="104"/>
        <v>0.01</v>
      </c>
      <c r="N3366" s="17">
        <f t="shared" si="105"/>
        <v>30023.136000000002</v>
      </c>
    </row>
    <row r="3367" spans="1:14" x14ac:dyDescent="0.25">
      <c r="A3367" s="14" t="s">
        <v>1342</v>
      </c>
      <c r="B3367" s="14">
        <v>2</v>
      </c>
      <c r="C3367" s="15" t="s">
        <v>2765</v>
      </c>
      <c r="D3367" s="14" t="s">
        <v>1752</v>
      </c>
      <c r="E3367" s="14" t="s">
        <v>1747</v>
      </c>
      <c r="F3367" s="17" t="s">
        <v>2994</v>
      </c>
      <c r="G3367" s="14">
        <v>24454260</v>
      </c>
      <c r="H3367" s="14">
        <v>19563408</v>
      </c>
      <c r="I3367" s="31">
        <f>IF(COUNTIFS(Addendum!C:C,A3367,Addendum!D:D,IF(ISNUMBER(B3367),TEXT(B3367,"0000"),B3367),Addendum!E:E,"X")&gt;0,4%,0)</f>
        <v>0.04</v>
      </c>
      <c r="J3367" s="31">
        <f>IF(COUNTIFS(Addendum!C:C,A3367,Addendum!D:D,IF(ISNUMBER(B3367),TEXT(B3367,"0000"),B3367),Addendum!F:F,"X")&gt;0,2.5%,0)</f>
        <v>0</v>
      </c>
      <c r="K3367" s="31">
        <f>IF(COUNTIFS(Addendum!C:C,A3367,Addendum!D:D,IF(ISNUMBER(B3367),TEXT(B3367,"0000"),B3367),Addendum!G:G,"X")&gt;0,7%,0)</f>
        <v>0</v>
      </c>
      <c r="L3367" s="31">
        <f>IF(COUNTIFS(Addendum!C:C,A3367,Addendum!D:D,IF(ISNUMBER(B3367),TEXT(B3367,"0000"),B3367),Addendum!I:I,"X")&gt;0,10%,0)</f>
        <v>0</v>
      </c>
      <c r="M3367" s="34">
        <f t="shared" si="104"/>
        <v>0.03</v>
      </c>
      <c r="N3367" s="17">
        <f t="shared" si="105"/>
        <v>18976505.760000002</v>
      </c>
    </row>
    <row r="3368" spans="1:14" x14ac:dyDescent="0.25">
      <c r="A3368" s="14" t="s">
        <v>1342</v>
      </c>
      <c r="B3368" s="14" t="s">
        <v>258</v>
      </c>
      <c r="C3368" s="15" t="s">
        <v>2769</v>
      </c>
      <c r="D3368" s="14" t="s">
        <v>1752</v>
      </c>
      <c r="E3368" s="14" t="s">
        <v>1747</v>
      </c>
      <c r="F3368" s="17" t="s">
        <v>2995</v>
      </c>
      <c r="G3368" s="14">
        <v>15284340</v>
      </c>
      <c r="H3368" s="14">
        <v>13755906</v>
      </c>
      <c r="I3368" s="31">
        <f>IF(COUNTIFS(Addendum!C:C,A3368,Addendum!D:D,IF(ISNUMBER(B3368),TEXT(B3368,"0000"),B3368),Addendum!E:E,"X")&gt;0,4%,0)</f>
        <v>0.04</v>
      </c>
      <c r="J3368" s="31">
        <f>IF(COUNTIFS(Addendum!C:C,A3368,Addendum!D:D,IF(ISNUMBER(B3368),TEXT(B3368,"0000"),B3368),Addendum!F:F,"X")&gt;0,2.5%,0)</f>
        <v>0</v>
      </c>
      <c r="K3368" s="31">
        <f>IF(COUNTIFS(Addendum!C:C,A3368,Addendum!D:D,IF(ISNUMBER(B3368),TEXT(B3368,"0000"),B3368),Addendum!G:G,"X")&gt;0,7%,0)</f>
        <v>0</v>
      </c>
      <c r="L3368" s="31">
        <f>IF(COUNTIFS(Addendum!C:C,A3368,Addendum!D:D,IF(ISNUMBER(B3368),TEXT(B3368,"0000"),B3368),Addendum!I:I,"X")&gt;0,10%,0)</f>
        <v>0</v>
      </c>
      <c r="M3368" s="34">
        <f t="shared" si="104"/>
        <v>0.03</v>
      </c>
      <c r="N3368" s="17">
        <f t="shared" si="105"/>
        <v>13343228.82</v>
      </c>
    </row>
    <row r="3369" spans="1:14" x14ac:dyDescent="0.25">
      <c r="A3369" s="14" t="s">
        <v>1342</v>
      </c>
      <c r="B3369" s="14">
        <v>7</v>
      </c>
      <c r="C3369" s="15" t="s">
        <v>2762</v>
      </c>
      <c r="D3369" s="14" t="s">
        <v>1752</v>
      </c>
      <c r="E3369" s="14" t="s">
        <v>1753</v>
      </c>
      <c r="F3369" s="17" t="s">
        <v>2995</v>
      </c>
      <c r="G3369" s="14">
        <v>2658060</v>
      </c>
      <c r="H3369" s="14">
        <v>2392254</v>
      </c>
      <c r="I3369" s="31">
        <f>IF(COUNTIFS(Addendum!C:C,A3369,Addendum!D:D,IF(ISNUMBER(B3369),TEXT(B3369,"0000"),B3369),Addendum!E:E,"X")&gt;0,4%,0)</f>
        <v>0.04</v>
      </c>
      <c r="J3369" s="31">
        <f>IF(COUNTIFS(Addendum!C:C,A3369,Addendum!D:D,IF(ISNUMBER(B3369),TEXT(B3369,"0000"),B3369),Addendum!F:F,"X")&gt;0,2.5%,0)</f>
        <v>0</v>
      </c>
      <c r="K3369" s="31">
        <f>IF(COUNTIFS(Addendum!C:C,A3369,Addendum!D:D,IF(ISNUMBER(B3369),TEXT(B3369,"0000"),B3369),Addendum!G:G,"X")&gt;0,7%,0)</f>
        <v>0</v>
      </c>
      <c r="L3369" s="31">
        <f>IF(COUNTIFS(Addendum!C:C,A3369,Addendum!D:D,IF(ISNUMBER(B3369),TEXT(B3369,"0000"),B3369),Addendum!I:I,"X")&gt;0,10%,0)</f>
        <v>0</v>
      </c>
      <c r="M3369" s="34">
        <f t="shared" si="104"/>
        <v>0.03</v>
      </c>
      <c r="N3369" s="17">
        <f t="shared" si="105"/>
        <v>2320486.38</v>
      </c>
    </row>
    <row r="3370" spans="1:14" x14ac:dyDescent="0.25">
      <c r="A3370" s="14" t="s">
        <v>1342</v>
      </c>
      <c r="B3370" s="14">
        <v>2</v>
      </c>
      <c r="C3370" s="15" t="s">
        <v>2765</v>
      </c>
      <c r="D3370" s="14" t="s">
        <v>1745</v>
      </c>
      <c r="E3370" s="14" t="s">
        <v>1746</v>
      </c>
      <c r="F3370" s="17" t="s">
        <v>2994</v>
      </c>
      <c r="G3370" s="14">
        <v>8558991</v>
      </c>
      <c r="H3370" s="14">
        <v>6847193</v>
      </c>
      <c r="I3370" s="31">
        <f>IF(COUNTIFS(Addendum!C:C,A3370,Addendum!D:D,IF(ISNUMBER(B3370),TEXT(B3370,"0000"),B3370),Addendum!E:E,"X")&gt;0,4%,0)</f>
        <v>0.04</v>
      </c>
      <c r="J3370" s="31">
        <f>IF(COUNTIFS(Addendum!C:C,A3370,Addendum!D:D,IF(ISNUMBER(B3370),TEXT(B3370,"0000"),B3370),Addendum!F:F,"X")&gt;0,2.5%,0)</f>
        <v>0</v>
      </c>
      <c r="K3370" s="31">
        <f>IF(COUNTIFS(Addendum!C:C,A3370,Addendum!D:D,IF(ISNUMBER(B3370),TEXT(B3370,"0000"),B3370),Addendum!G:G,"X")&gt;0,7%,0)</f>
        <v>0</v>
      </c>
      <c r="L3370" s="31">
        <f>IF(COUNTIFS(Addendum!C:C,A3370,Addendum!D:D,IF(ISNUMBER(B3370),TEXT(B3370,"0000"),B3370),Addendum!I:I,"X")&gt;0,10%,0)</f>
        <v>0</v>
      </c>
      <c r="M3370" s="34">
        <f t="shared" si="104"/>
        <v>0.01</v>
      </c>
      <c r="N3370" s="17">
        <f t="shared" si="105"/>
        <v>6778721.0700000003</v>
      </c>
    </row>
    <row r="3371" spans="1:14" x14ac:dyDescent="0.25">
      <c r="A3371" s="14" t="s">
        <v>1342</v>
      </c>
      <c r="B3371" s="14" t="s">
        <v>97</v>
      </c>
      <c r="C3371" s="15" t="s">
        <v>2761</v>
      </c>
      <c r="D3371" s="14" t="s">
        <v>1745</v>
      </c>
      <c r="E3371" s="14" t="s">
        <v>1747</v>
      </c>
      <c r="F3371" s="17" t="s">
        <v>2994</v>
      </c>
      <c r="G3371" s="14">
        <v>5670540</v>
      </c>
      <c r="H3371" s="14">
        <v>4536432</v>
      </c>
      <c r="I3371" s="31">
        <f>IF(COUNTIFS(Addendum!C:C,A3371,Addendum!D:D,IF(ISNUMBER(B3371),TEXT(B3371,"0000"),B3371),Addendum!E:E,"X")&gt;0,4%,0)</f>
        <v>0.04</v>
      </c>
      <c r="J3371" s="31">
        <f>IF(COUNTIFS(Addendum!C:C,A3371,Addendum!D:D,IF(ISNUMBER(B3371),TEXT(B3371,"0000"),B3371),Addendum!F:F,"X")&gt;0,2.5%,0)</f>
        <v>0</v>
      </c>
      <c r="K3371" s="31">
        <f>IF(COUNTIFS(Addendum!C:C,A3371,Addendum!D:D,IF(ISNUMBER(B3371),TEXT(B3371,"0000"),B3371),Addendum!G:G,"X")&gt;0,7%,0)</f>
        <v>0</v>
      </c>
      <c r="L3371" s="31">
        <f>IF(COUNTIFS(Addendum!C:C,A3371,Addendum!D:D,IF(ISNUMBER(B3371),TEXT(B3371,"0000"),B3371),Addendum!I:I,"X")&gt;0,10%,0)</f>
        <v>0</v>
      </c>
      <c r="M3371" s="34">
        <f t="shared" si="104"/>
        <v>0.03</v>
      </c>
      <c r="N3371" s="17">
        <f t="shared" si="105"/>
        <v>4400339.04</v>
      </c>
    </row>
    <row r="3372" spans="1:14" x14ac:dyDescent="0.25">
      <c r="A3372" s="14" t="s">
        <v>1342</v>
      </c>
      <c r="B3372" s="14" t="s">
        <v>97</v>
      </c>
      <c r="C3372" s="15" t="s">
        <v>2761</v>
      </c>
      <c r="D3372" s="14" t="s">
        <v>1745</v>
      </c>
      <c r="E3372" s="14" t="s">
        <v>1746</v>
      </c>
      <c r="F3372" s="17" t="s">
        <v>2994</v>
      </c>
      <c r="G3372" s="14">
        <v>5954067</v>
      </c>
      <c r="H3372" s="14">
        <v>4763254</v>
      </c>
      <c r="I3372" s="31">
        <f>IF(COUNTIFS(Addendum!C:C,A3372,Addendum!D:D,IF(ISNUMBER(B3372),TEXT(B3372,"0000"),B3372),Addendum!E:E,"X")&gt;0,4%,0)</f>
        <v>0.04</v>
      </c>
      <c r="J3372" s="31">
        <f>IF(COUNTIFS(Addendum!C:C,A3372,Addendum!D:D,IF(ISNUMBER(B3372),TEXT(B3372,"0000"),B3372),Addendum!F:F,"X")&gt;0,2.5%,0)</f>
        <v>0</v>
      </c>
      <c r="K3372" s="31">
        <f>IF(COUNTIFS(Addendum!C:C,A3372,Addendum!D:D,IF(ISNUMBER(B3372),TEXT(B3372,"0000"),B3372),Addendum!G:G,"X")&gt;0,7%,0)</f>
        <v>0</v>
      </c>
      <c r="L3372" s="31">
        <f>IF(COUNTIFS(Addendum!C:C,A3372,Addendum!D:D,IF(ISNUMBER(B3372),TEXT(B3372,"0000"),B3372),Addendum!I:I,"X")&gt;0,10%,0)</f>
        <v>0</v>
      </c>
      <c r="M3372" s="34">
        <f t="shared" si="104"/>
        <v>0.01</v>
      </c>
      <c r="N3372" s="17">
        <f t="shared" si="105"/>
        <v>4715621.46</v>
      </c>
    </row>
    <row r="3373" spans="1:14" x14ac:dyDescent="0.25">
      <c r="A3373" s="14" t="s">
        <v>1342</v>
      </c>
      <c r="B3373" s="14">
        <v>1</v>
      </c>
      <c r="C3373" s="15" t="s">
        <v>2770</v>
      </c>
      <c r="D3373" s="14" t="s">
        <v>1745</v>
      </c>
      <c r="E3373" s="14" t="s">
        <v>1747</v>
      </c>
      <c r="F3373" s="17" t="s">
        <v>2994</v>
      </c>
      <c r="G3373" s="14">
        <v>539100</v>
      </c>
      <c r="H3373" s="14">
        <v>431280</v>
      </c>
      <c r="I3373" s="31">
        <f>IF(COUNTIFS(Addendum!C:C,A3373,Addendum!D:D,IF(ISNUMBER(B3373),TEXT(B3373,"0000"),B3373),Addendum!E:E,"X")&gt;0,4%,0)</f>
        <v>0.04</v>
      </c>
      <c r="J3373" s="31">
        <f>IF(COUNTIFS(Addendum!C:C,A3373,Addendum!D:D,IF(ISNUMBER(B3373),TEXT(B3373,"0000"),B3373),Addendum!F:F,"X")&gt;0,2.5%,0)</f>
        <v>0</v>
      </c>
      <c r="K3373" s="31">
        <f>IF(COUNTIFS(Addendum!C:C,A3373,Addendum!D:D,IF(ISNUMBER(B3373),TEXT(B3373,"0000"),B3373),Addendum!G:G,"X")&gt;0,7%,0)</f>
        <v>0</v>
      </c>
      <c r="L3373" s="31">
        <f>IF(COUNTIFS(Addendum!C:C,A3373,Addendum!D:D,IF(ISNUMBER(B3373),TEXT(B3373,"0000"),B3373),Addendum!I:I,"X")&gt;0,10%,0)</f>
        <v>0</v>
      </c>
      <c r="M3373" s="34">
        <f t="shared" si="104"/>
        <v>0.03</v>
      </c>
      <c r="N3373" s="17">
        <f t="shared" si="105"/>
        <v>418341.6</v>
      </c>
    </row>
    <row r="3374" spans="1:14" x14ac:dyDescent="0.25">
      <c r="A3374" s="14" t="s">
        <v>1342</v>
      </c>
      <c r="B3374" s="14" t="s">
        <v>173</v>
      </c>
      <c r="C3374" s="15" t="s">
        <v>1354</v>
      </c>
      <c r="D3374" s="14" t="s">
        <v>1745</v>
      </c>
      <c r="E3374" s="14" t="s">
        <v>1746</v>
      </c>
      <c r="F3374" s="17" t="s">
        <v>2993</v>
      </c>
      <c r="G3374" s="14">
        <v>5581926</v>
      </c>
      <c r="H3374" s="14">
        <v>4465541</v>
      </c>
      <c r="I3374" s="31">
        <f>IF(COUNTIFS(Addendum!C:C,A3374,Addendum!D:D,IF(ISNUMBER(B3374),TEXT(B3374,"0000"),B3374),Addendum!E:E,"X")&gt;0,4%,0)</f>
        <v>0.04</v>
      </c>
      <c r="J3374" s="31">
        <f>IF(COUNTIFS(Addendum!C:C,A3374,Addendum!D:D,IF(ISNUMBER(B3374),TEXT(B3374,"0000"),B3374),Addendum!F:F,"X")&gt;0,2.5%,0)</f>
        <v>0</v>
      </c>
      <c r="K3374" s="31">
        <f>IF(COUNTIFS(Addendum!C:C,A3374,Addendum!D:D,IF(ISNUMBER(B3374),TEXT(B3374,"0000"),B3374),Addendum!G:G,"X")&gt;0,7%,0)</f>
        <v>0</v>
      </c>
      <c r="L3374" s="31">
        <f>IF(COUNTIFS(Addendum!C:C,A3374,Addendum!D:D,IF(ISNUMBER(B3374),TEXT(B3374,"0000"),B3374),Addendum!I:I,"X")&gt;0,10%,0)</f>
        <v>0</v>
      </c>
      <c r="M3374" s="34">
        <f t="shared" si="104"/>
        <v>0.01</v>
      </c>
      <c r="N3374" s="17">
        <f t="shared" si="105"/>
        <v>4420885.59</v>
      </c>
    </row>
    <row r="3375" spans="1:14" x14ac:dyDescent="0.25">
      <c r="A3375" s="14" t="s">
        <v>1342</v>
      </c>
      <c r="B3375" s="14" t="s">
        <v>166</v>
      </c>
      <c r="C3375" s="15" t="s">
        <v>2764</v>
      </c>
      <c r="D3375" s="14" t="s">
        <v>1745</v>
      </c>
      <c r="E3375" s="14" t="s">
        <v>1746</v>
      </c>
      <c r="F3375" s="17" t="s">
        <v>2995</v>
      </c>
      <c r="G3375" s="14">
        <v>2558493</v>
      </c>
      <c r="H3375" s="14">
        <v>2302644</v>
      </c>
      <c r="I3375" s="31">
        <f>IF(COUNTIFS(Addendum!C:C,A3375,Addendum!D:D,IF(ISNUMBER(B3375),TEXT(B3375,"0000"),B3375),Addendum!E:E,"X")&gt;0,4%,0)</f>
        <v>0.04</v>
      </c>
      <c r="J3375" s="31">
        <f>IF(COUNTIFS(Addendum!C:C,A3375,Addendum!D:D,IF(ISNUMBER(B3375),TEXT(B3375,"0000"),B3375),Addendum!F:F,"X")&gt;0,2.5%,0)</f>
        <v>0</v>
      </c>
      <c r="K3375" s="31">
        <f>IF(COUNTIFS(Addendum!C:C,A3375,Addendum!D:D,IF(ISNUMBER(B3375),TEXT(B3375,"0000"),B3375),Addendum!G:G,"X")&gt;0,7%,0)</f>
        <v>0</v>
      </c>
      <c r="L3375" s="31">
        <f>IF(COUNTIFS(Addendum!C:C,A3375,Addendum!D:D,IF(ISNUMBER(B3375),TEXT(B3375,"0000"),B3375),Addendum!I:I,"X")&gt;0,10%,0)</f>
        <v>0</v>
      </c>
      <c r="M3375" s="34">
        <f t="shared" si="104"/>
        <v>0.01</v>
      </c>
      <c r="N3375" s="17">
        <f t="shared" si="105"/>
        <v>2279617.56</v>
      </c>
    </row>
    <row r="3376" spans="1:14" x14ac:dyDescent="0.25">
      <c r="A3376" s="14" t="s">
        <v>1342</v>
      </c>
      <c r="B3376" s="14" t="s">
        <v>113</v>
      </c>
      <c r="C3376" s="15" t="s">
        <v>1360</v>
      </c>
      <c r="D3376" s="14" t="s">
        <v>1752</v>
      </c>
      <c r="E3376" s="14" t="s">
        <v>1747</v>
      </c>
      <c r="F3376" s="17" t="s">
        <v>2993</v>
      </c>
      <c r="G3376" s="14">
        <v>29240280</v>
      </c>
      <c r="H3376" s="14">
        <v>23392224</v>
      </c>
      <c r="I3376" s="31">
        <f>IF(COUNTIFS(Addendum!C:C,A3376,Addendum!D:D,IF(ISNUMBER(B3376),TEXT(B3376,"0000"),B3376),Addendum!E:E,"X")&gt;0,4%,0)</f>
        <v>0.04</v>
      </c>
      <c r="J3376" s="31">
        <f>IF(COUNTIFS(Addendum!C:C,A3376,Addendum!D:D,IF(ISNUMBER(B3376),TEXT(B3376,"0000"),B3376),Addendum!F:F,"X")&gt;0,2.5%,0)</f>
        <v>0</v>
      </c>
      <c r="K3376" s="31">
        <f>IF(COUNTIFS(Addendum!C:C,A3376,Addendum!D:D,IF(ISNUMBER(B3376),TEXT(B3376,"0000"),B3376),Addendum!G:G,"X")&gt;0,7%,0)</f>
        <v>0</v>
      </c>
      <c r="L3376" s="31">
        <f>IF(COUNTIFS(Addendum!C:C,A3376,Addendum!D:D,IF(ISNUMBER(B3376),TEXT(B3376,"0000"),B3376),Addendum!I:I,"X")&gt;0,10%,0)</f>
        <v>0</v>
      </c>
      <c r="M3376" s="34">
        <f t="shared" si="104"/>
        <v>0.03</v>
      </c>
      <c r="N3376" s="17">
        <f t="shared" si="105"/>
        <v>22690457.280000001</v>
      </c>
    </row>
    <row r="3377" spans="1:14" x14ac:dyDescent="0.25">
      <c r="A3377" s="14" t="s">
        <v>1342</v>
      </c>
      <c r="B3377" s="14" t="s">
        <v>307</v>
      </c>
      <c r="C3377" s="15" t="s">
        <v>1378</v>
      </c>
      <c r="D3377" s="14" t="s">
        <v>1745</v>
      </c>
      <c r="E3377" s="14" t="s">
        <v>1747</v>
      </c>
      <c r="F3377" s="17" t="s">
        <v>2993</v>
      </c>
      <c r="G3377" s="14">
        <v>20379060</v>
      </c>
      <c r="H3377" s="14">
        <v>16303248</v>
      </c>
      <c r="I3377" s="31">
        <f>IF(COUNTIFS(Addendum!C:C,A3377,Addendum!D:D,IF(ISNUMBER(B3377),TEXT(B3377,"0000"),B3377),Addendum!E:E,"X")&gt;0,4%,0)</f>
        <v>0.04</v>
      </c>
      <c r="J3377" s="31">
        <f>IF(COUNTIFS(Addendum!C:C,A3377,Addendum!D:D,IF(ISNUMBER(B3377),TEXT(B3377,"0000"),B3377),Addendum!F:F,"X")&gt;0,2.5%,0)</f>
        <v>0</v>
      </c>
      <c r="K3377" s="31">
        <f>IF(COUNTIFS(Addendum!C:C,A3377,Addendum!D:D,IF(ISNUMBER(B3377),TEXT(B3377,"0000"),B3377),Addendum!G:G,"X")&gt;0,7%,0)</f>
        <v>0</v>
      </c>
      <c r="L3377" s="31">
        <f>IF(COUNTIFS(Addendum!C:C,A3377,Addendum!D:D,IF(ISNUMBER(B3377),TEXT(B3377,"0000"),B3377),Addendum!I:I,"X")&gt;0,10%,0)</f>
        <v>0</v>
      </c>
      <c r="M3377" s="34">
        <f t="shared" si="104"/>
        <v>0.03</v>
      </c>
      <c r="N3377" s="17">
        <f t="shared" si="105"/>
        <v>15814150.560000001</v>
      </c>
    </row>
    <row r="3378" spans="1:14" x14ac:dyDescent="0.25">
      <c r="A3378" s="14" t="s">
        <v>1342</v>
      </c>
      <c r="B3378" s="14" t="s">
        <v>113</v>
      </c>
      <c r="C3378" s="15" t="s">
        <v>1360</v>
      </c>
      <c r="D3378" s="14" t="s">
        <v>1745</v>
      </c>
      <c r="E3378" s="14" t="s">
        <v>1747</v>
      </c>
      <c r="F3378" s="17" t="s">
        <v>2993</v>
      </c>
      <c r="G3378" s="14">
        <v>9746760</v>
      </c>
      <c r="H3378" s="14">
        <v>7797408</v>
      </c>
      <c r="I3378" s="31">
        <f>IF(COUNTIFS(Addendum!C:C,A3378,Addendum!D:D,IF(ISNUMBER(B3378),TEXT(B3378,"0000"),B3378),Addendum!E:E,"X")&gt;0,4%,0)</f>
        <v>0.04</v>
      </c>
      <c r="J3378" s="31">
        <f>IF(COUNTIFS(Addendum!C:C,A3378,Addendum!D:D,IF(ISNUMBER(B3378),TEXT(B3378,"0000"),B3378),Addendum!F:F,"X")&gt;0,2.5%,0)</f>
        <v>0</v>
      </c>
      <c r="K3378" s="31">
        <f>IF(COUNTIFS(Addendum!C:C,A3378,Addendum!D:D,IF(ISNUMBER(B3378),TEXT(B3378,"0000"),B3378),Addendum!G:G,"X")&gt;0,7%,0)</f>
        <v>0</v>
      </c>
      <c r="L3378" s="31">
        <f>IF(COUNTIFS(Addendum!C:C,A3378,Addendum!D:D,IF(ISNUMBER(B3378),TEXT(B3378,"0000"),B3378),Addendum!I:I,"X")&gt;0,10%,0)</f>
        <v>0</v>
      </c>
      <c r="M3378" s="34">
        <f t="shared" si="104"/>
        <v>0.03</v>
      </c>
      <c r="N3378" s="17">
        <f t="shared" si="105"/>
        <v>7563485.7599999998</v>
      </c>
    </row>
    <row r="3379" spans="1:14" x14ac:dyDescent="0.25">
      <c r="A3379" s="14" t="s">
        <v>1342</v>
      </c>
      <c r="B3379" s="14">
        <v>5</v>
      </c>
      <c r="C3379" s="15" t="s">
        <v>2772</v>
      </c>
      <c r="D3379" s="14" t="s">
        <v>1749</v>
      </c>
      <c r="E3379" s="14" t="s">
        <v>1746</v>
      </c>
      <c r="F3379" s="17" t="s">
        <v>2995</v>
      </c>
      <c r="G3379" s="14">
        <v>664518</v>
      </c>
      <c r="H3379" s="14">
        <v>598066.19999999995</v>
      </c>
      <c r="I3379" s="31">
        <f>IF(COUNTIFS(Addendum!C:C,A3379,Addendum!D:D,IF(ISNUMBER(B3379),TEXT(B3379,"0000"),B3379),Addendum!E:E,"X")&gt;0,4%,0)</f>
        <v>0.04</v>
      </c>
      <c r="J3379" s="31">
        <f>IF(COUNTIFS(Addendum!C:C,A3379,Addendum!D:D,IF(ISNUMBER(B3379),TEXT(B3379,"0000"),B3379),Addendum!F:F,"X")&gt;0,2.5%,0)</f>
        <v>0</v>
      </c>
      <c r="K3379" s="31">
        <f>IF(COUNTIFS(Addendum!C:C,A3379,Addendum!D:D,IF(ISNUMBER(B3379),TEXT(B3379,"0000"),B3379),Addendum!G:G,"X")&gt;0,7%,0)</f>
        <v>0</v>
      </c>
      <c r="L3379" s="31">
        <f>IF(COUNTIFS(Addendum!C:C,A3379,Addendum!D:D,IF(ISNUMBER(B3379),TEXT(B3379,"0000"),B3379),Addendum!I:I,"X")&gt;0,10%,0)</f>
        <v>0</v>
      </c>
      <c r="M3379" s="34">
        <f t="shared" si="104"/>
        <v>0.01</v>
      </c>
      <c r="N3379" s="17">
        <f t="shared" si="105"/>
        <v>592085.53799999994</v>
      </c>
    </row>
    <row r="3380" spans="1:14" x14ac:dyDescent="0.25">
      <c r="A3380" s="14" t="s">
        <v>1342</v>
      </c>
      <c r="B3380" s="14" t="s">
        <v>24</v>
      </c>
      <c r="C3380" s="15" t="s">
        <v>2760</v>
      </c>
      <c r="D3380" s="14" t="s">
        <v>1745</v>
      </c>
      <c r="E3380" s="14" t="s">
        <v>1746</v>
      </c>
      <c r="F3380" s="17" t="s">
        <v>2994</v>
      </c>
      <c r="G3380" s="14">
        <v>11163915</v>
      </c>
      <c r="H3380" s="14">
        <v>8931132</v>
      </c>
      <c r="I3380" s="31">
        <f>IF(COUNTIFS(Addendum!C:C,A3380,Addendum!D:D,IF(ISNUMBER(B3380),TEXT(B3380,"0000"),B3380),Addendum!E:E,"X")&gt;0,4%,0)</f>
        <v>0.04</v>
      </c>
      <c r="J3380" s="31">
        <f>IF(COUNTIFS(Addendum!C:C,A3380,Addendum!D:D,IF(ISNUMBER(B3380),TEXT(B3380,"0000"),B3380),Addendum!F:F,"X")&gt;0,2.5%,0)</f>
        <v>0</v>
      </c>
      <c r="K3380" s="31">
        <f>IF(COUNTIFS(Addendum!C:C,A3380,Addendum!D:D,IF(ISNUMBER(B3380),TEXT(B3380,"0000"),B3380),Addendum!G:G,"X")&gt;0,7%,0)</f>
        <v>0</v>
      </c>
      <c r="L3380" s="31">
        <f>IF(COUNTIFS(Addendum!C:C,A3380,Addendum!D:D,IF(ISNUMBER(B3380),TEXT(B3380,"0000"),B3380),Addendum!I:I,"X")&gt;0,10%,0)</f>
        <v>0</v>
      </c>
      <c r="M3380" s="34">
        <f t="shared" si="104"/>
        <v>0.01</v>
      </c>
      <c r="N3380" s="17">
        <f t="shared" si="105"/>
        <v>8841820.6799999997</v>
      </c>
    </row>
    <row r="3381" spans="1:14" x14ac:dyDescent="0.25">
      <c r="A3381" s="14" t="s">
        <v>1342</v>
      </c>
      <c r="B3381" s="14">
        <v>2</v>
      </c>
      <c r="C3381" s="15" t="s">
        <v>2765</v>
      </c>
      <c r="D3381" s="14" t="s">
        <v>1745</v>
      </c>
      <c r="E3381" s="14" t="s">
        <v>1747</v>
      </c>
      <c r="F3381" s="17" t="s">
        <v>2994</v>
      </c>
      <c r="G3381" s="14">
        <v>8151420</v>
      </c>
      <c r="H3381" s="14">
        <v>6521136</v>
      </c>
      <c r="I3381" s="31">
        <f>IF(COUNTIFS(Addendum!C:C,A3381,Addendum!D:D,IF(ISNUMBER(B3381),TEXT(B3381,"0000"),B3381),Addendum!E:E,"X")&gt;0,4%,0)</f>
        <v>0.04</v>
      </c>
      <c r="J3381" s="31">
        <f>IF(COUNTIFS(Addendum!C:C,A3381,Addendum!D:D,IF(ISNUMBER(B3381),TEXT(B3381,"0000"),B3381),Addendum!F:F,"X")&gt;0,2.5%,0)</f>
        <v>0</v>
      </c>
      <c r="K3381" s="31">
        <f>IF(COUNTIFS(Addendum!C:C,A3381,Addendum!D:D,IF(ISNUMBER(B3381),TEXT(B3381,"0000"),B3381),Addendum!G:G,"X")&gt;0,7%,0)</f>
        <v>0</v>
      </c>
      <c r="L3381" s="31">
        <f>IF(COUNTIFS(Addendum!C:C,A3381,Addendum!D:D,IF(ISNUMBER(B3381),TEXT(B3381,"0000"),B3381),Addendum!I:I,"X")&gt;0,10%,0)</f>
        <v>0</v>
      </c>
      <c r="M3381" s="34">
        <f t="shared" si="104"/>
        <v>0.03</v>
      </c>
      <c r="N3381" s="17">
        <f t="shared" si="105"/>
        <v>6325501.9199999999</v>
      </c>
    </row>
    <row r="3382" spans="1:14" x14ac:dyDescent="0.25">
      <c r="A3382" s="14" t="s">
        <v>1342</v>
      </c>
      <c r="B3382" s="14">
        <v>5</v>
      </c>
      <c r="C3382" s="15" t="s">
        <v>2772</v>
      </c>
      <c r="D3382" s="14" t="s">
        <v>1752</v>
      </c>
      <c r="E3382" s="14" t="s">
        <v>1747</v>
      </c>
      <c r="F3382" s="17" t="s">
        <v>2995</v>
      </c>
      <c r="G3382" s="14">
        <v>19935540</v>
      </c>
      <c r="H3382" s="14">
        <v>17941986</v>
      </c>
      <c r="I3382" s="31">
        <f>IF(COUNTIFS(Addendum!C:C,A3382,Addendum!D:D,IF(ISNUMBER(B3382),TEXT(B3382,"0000"),B3382),Addendum!E:E,"X")&gt;0,4%,0)</f>
        <v>0.04</v>
      </c>
      <c r="J3382" s="31">
        <f>IF(COUNTIFS(Addendum!C:C,A3382,Addendum!D:D,IF(ISNUMBER(B3382),TEXT(B3382,"0000"),B3382),Addendum!F:F,"X")&gt;0,2.5%,0)</f>
        <v>0</v>
      </c>
      <c r="K3382" s="31">
        <f>IF(COUNTIFS(Addendum!C:C,A3382,Addendum!D:D,IF(ISNUMBER(B3382),TEXT(B3382,"0000"),B3382),Addendum!G:G,"X")&gt;0,7%,0)</f>
        <v>0</v>
      </c>
      <c r="L3382" s="31">
        <f>IF(COUNTIFS(Addendum!C:C,A3382,Addendum!D:D,IF(ISNUMBER(B3382),TEXT(B3382,"0000"),B3382),Addendum!I:I,"X")&gt;0,10%,0)</f>
        <v>0</v>
      </c>
      <c r="M3382" s="34">
        <f t="shared" si="104"/>
        <v>0.03</v>
      </c>
      <c r="N3382" s="17">
        <f t="shared" si="105"/>
        <v>17403726.420000002</v>
      </c>
    </row>
    <row r="3383" spans="1:14" x14ac:dyDescent="0.25">
      <c r="A3383" s="14" t="s">
        <v>1342</v>
      </c>
      <c r="B3383" s="14" t="s">
        <v>89</v>
      </c>
      <c r="C3383" s="15" t="s">
        <v>1341</v>
      </c>
      <c r="D3383" s="14" t="s">
        <v>1745</v>
      </c>
      <c r="E3383" s="14" t="s">
        <v>1746</v>
      </c>
      <c r="F3383" s="17" t="s">
        <v>2993</v>
      </c>
      <c r="G3383" s="14">
        <v>27909756</v>
      </c>
      <c r="H3383" s="14">
        <v>22327805</v>
      </c>
      <c r="I3383" s="31">
        <f>IF(COUNTIFS(Addendum!C:C,A3383,Addendum!D:D,IF(ISNUMBER(B3383),TEXT(B3383,"0000"),B3383),Addendum!E:E,"X")&gt;0,4%,0)</f>
        <v>0.04</v>
      </c>
      <c r="J3383" s="31">
        <f>IF(COUNTIFS(Addendum!C:C,A3383,Addendum!D:D,IF(ISNUMBER(B3383),TEXT(B3383,"0000"),B3383),Addendum!F:F,"X")&gt;0,2.5%,0)</f>
        <v>0</v>
      </c>
      <c r="K3383" s="31">
        <f>IF(COUNTIFS(Addendum!C:C,A3383,Addendum!D:D,IF(ISNUMBER(B3383),TEXT(B3383,"0000"),B3383),Addendum!G:G,"X")&gt;0,7%,0)</f>
        <v>0</v>
      </c>
      <c r="L3383" s="31">
        <f>IF(COUNTIFS(Addendum!C:C,A3383,Addendum!D:D,IF(ISNUMBER(B3383),TEXT(B3383,"0000"),B3383),Addendum!I:I,"X")&gt;0,10%,0)</f>
        <v>0</v>
      </c>
      <c r="M3383" s="34">
        <f t="shared" si="104"/>
        <v>0.01</v>
      </c>
      <c r="N3383" s="17">
        <f t="shared" si="105"/>
        <v>22104526.949999999</v>
      </c>
    </row>
    <row r="3384" spans="1:14" x14ac:dyDescent="0.25">
      <c r="A3384" s="14" t="s">
        <v>1342</v>
      </c>
      <c r="B3384" s="14" t="s">
        <v>113</v>
      </c>
      <c r="C3384" s="15" t="s">
        <v>1360</v>
      </c>
      <c r="D3384" s="14" t="s">
        <v>1745</v>
      </c>
      <c r="E3384" s="14" t="s">
        <v>1746</v>
      </c>
      <c r="F3384" s="17" t="s">
        <v>2993</v>
      </c>
      <c r="G3384" s="14">
        <v>10234098</v>
      </c>
      <c r="H3384" s="14">
        <v>8187278</v>
      </c>
      <c r="I3384" s="31">
        <f>IF(COUNTIFS(Addendum!C:C,A3384,Addendum!D:D,IF(ISNUMBER(B3384),TEXT(B3384,"0000"),B3384),Addendum!E:E,"X")&gt;0,4%,0)</f>
        <v>0.04</v>
      </c>
      <c r="J3384" s="31">
        <f>IF(COUNTIFS(Addendum!C:C,A3384,Addendum!D:D,IF(ISNUMBER(B3384),TEXT(B3384,"0000"),B3384),Addendum!F:F,"X")&gt;0,2.5%,0)</f>
        <v>0</v>
      </c>
      <c r="K3384" s="31">
        <f>IF(COUNTIFS(Addendum!C:C,A3384,Addendum!D:D,IF(ISNUMBER(B3384),TEXT(B3384,"0000"),B3384),Addendum!G:G,"X")&gt;0,7%,0)</f>
        <v>0</v>
      </c>
      <c r="L3384" s="31">
        <f>IF(COUNTIFS(Addendum!C:C,A3384,Addendum!D:D,IF(ISNUMBER(B3384),TEXT(B3384,"0000"),B3384),Addendum!I:I,"X")&gt;0,10%,0)</f>
        <v>0</v>
      </c>
      <c r="M3384" s="34">
        <f t="shared" si="104"/>
        <v>0.01</v>
      </c>
      <c r="N3384" s="17">
        <f t="shared" si="105"/>
        <v>8105405.2199999997</v>
      </c>
    </row>
    <row r="3385" spans="1:14" x14ac:dyDescent="0.25">
      <c r="A3385" s="14" t="s">
        <v>1342</v>
      </c>
      <c r="B3385" s="14" t="s">
        <v>173</v>
      </c>
      <c r="C3385" s="15" t="s">
        <v>1354</v>
      </c>
      <c r="D3385" s="14" t="s">
        <v>1745</v>
      </c>
      <c r="E3385" s="14" t="s">
        <v>1747</v>
      </c>
      <c r="F3385" s="17" t="s">
        <v>2993</v>
      </c>
      <c r="G3385" s="14">
        <v>5316120</v>
      </c>
      <c r="H3385" s="14">
        <v>4252896</v>
      </c>
      <c r="I3385" s="31">
        <f>IF(COUNTIFS(Addendum!C:C,A3385,Addendum!D:D,IF(ISNUMBER(B3385),TEXT(B3385,"0000"),B3385),Addendum!E:E,"X")&gt;0,4%,0)</f>
        <v>0.04</v>
      </c>
      <c r="J3385" s="31">
        <f>IF(COUNTIFS(Addendum!C:C,A3385,Addendum!D:D,IF(ISNUMBER(B3385),TEXT(B3385,"0000"),B3385),Addendum!F:F,"X")&gt;0,2.5%,0)</f>
        <v>0</v>
      </c>
      <c r="K3385" s="31">
        <f>IF(COUNTIFS(Addendum!C:C,A3385,Addendum!D:D,IF(ISNUMBER(B3385),TEXT(B3385,"0000"),B3385),Addendum!G:G,"X")&gt;0,7%,0)</f>
        <v>0</v>
      </c>
      <c r="L3385" s="31">
        <f>IF(COUNTIFS(Addendum!C:C,A3385,Addendum!D:D,IF(ISNUMBER(B3385),TEXT(B3385,"0000"),B3385),Addendum!I:I,"X")&gt;0,10%,0)</f>
        <v>0</v>
      </c>
      <c r="M3385" s="34">
        <f t="shared" si="104"/>
        <v>0.03</v>
      </c>
      <c r="N3385" s="17">
        <f t="shared" si="105"/>
        <v>4125309.12</v>
      </c>
    </row>
    <row r="3386" spans="1:14" x14ac:dyDescent="0.25">
      <c r="A3386" s="14" t="s">
        <v>1342</v>
      </c>
      <c r="B3386" s="14">
        <v>5</v>
      </c>
      <c r="C3386" s="15" t="s">
        <v>2772</v>
      </c>
      <c r="D3386" s="14" t="s">
        <v>1745</v>
      </c>
      <c r="E3386" s="14" t="s">
        <v>1747</v>
      </c>
      <c r="F3386" s="17" t="s">
        <v>2995</v>
      </c>
      <c r="G3386" s="14">
        <v>6645180</v>
      </c>
      <c r="H3386" s="14">
        <v>5980662</v>
      </c>
      <c r="I3386" s="31">
        <f>IF(COUNTIFS(Addendum!C:C,A3386,Addendum!D:D,IF(ISNUMBER(B3386),TEXT(B3386,"0000"),B3386),Addendum!E:E,"X")&gt;0,4%,0)</f>
        <v>0.04</v>
      </c>
      <c r="J3386" s="31">
        <f>IF(COUNTIFS(Addendum!C:C,A3386,Addendum!D:D,IF(ISNUMBER(B3386),TEXT(B3386,"0000"),B3386),Addendum!F:F,"X")&gt;0,2.5%,0)</f>
        <v>0</v>
      </c>
      <c r="K3386" s="31">
        <f>IF(COUNTIFS(Addendum!C:C,A3386,Addendum!D:D,IF(ISNUMBER(B3386),TEXT(B3386,"0000"),B3386),Addendum!G:G,"X")&gt;0,7%,0)</f>
        <v>0</v>
      </c>
      <c r="L3386" s="31">
        <f>IF(COUNTIFS(Addendum!C:C,A3386,Addendum!D:D,IF(ISNUMBER(B3386),TEXT(B3386,"0000"),B3386),Addendum!I:I,"X")&gt;0,10%,0)</f>
        <v>0</v>
      </c>
      <c r="M3386" s="34">
        <f t="shared" si="104"/>
        <v>0.03</v>
      </c>
      <c r="N3386" s="17">
        <f t="shared" si="105"/>
        <v>5801242.1399999997</v>
      </c>
    </row>
    <row r="3387" spans="1:14" x14ac:dyDescent="0.25">
      <c r="A3387" s="14" t="s">
        <v>1342</v>
      </c>
      <c r="B3387" s="14" t="s">
        <v>113</v>
      </c>
      <c r="C3387" s="15" t="s">
        <v>1360</v>
      </c>
      <c r="D3387" s="14" t="s">
        <v>1752</v>
      </c>
      <c r="E3387" s="14" t="s">
        <v>1753</v>
      </c>
      <c r="F3387" s="17" t="s">
        <v>2993</v>
      </c>
      <c r="G3387" s="14">
        <v>29240280</v>
      </c>
      <c r="H3387" s="14">
        <v>23392224</v>
      </c>
      <c r="I3387" s="31">
        <f>IF(COUNTIFS(Addendum!C:C,A3387,Addendum!D:D,IF(ISNUMBER(B3387),TEXT(B3387,"0000"),B3387),Addendum!E:E,"X")&gt;0,4%,0)</f>
        <v>0.04</v>
      </c>
      <c r="J3387" s="31">
        <f>IF(COUNTIFS(Addendum!C:C,A3387,Addendum!D:D,IF(ISNUMBER(B3387),TEXT(B3387,"0000"),B3387),Addendum!F:F,"X")&gt;0,2.5%,0)</f>
        <v>0</v>
      </c>
      <c r="K3387" s="31">
        <f>IF(COUNTIFS(Addendum!C:C,A3387,Addendum!D:D,IF(ISNUMBER(B3387),TEXT(B3387,"0000"),B3387),Addendum!G:G,"X")&gt;0,7%,0)</f>
        <v>0</v>
      </c>
      <c r="L3387" s="31">
        <f>IF(COUNTIFS(Addendum!C:C,A3387,Addendum!D:D,IF(ISNUMBER(B3387),TEXT(B3387,"0000"),B3387),Addendum!I:I,"X")&gt;0,10%,0)</f>
        <v>0</v>
      </c>
      <c r="M3387" s="34">
        <f t="shared" si="104"/>
        <v>0.03</v>
      </c>
      <c r="N3387" s="17">
        <f t="shared" si="105"/>
        <v>22690457.280000001</v>
      </c>
    </row>
    <row r="3388" spans="1:14" x14ac:dyDescent="0.25">
      <c r="A3388" s="14" t="s">
        <v>1342</v>
      </c>
      <c r="B3388" s="14">
        <v>7</v>
      </c>
      <c r="C3388" s="15" t="s">
        <v>2762</v>
      </c>
      <c r="D3388" s="14" t="s">
        <v>1745</v>
      </c>
      <c r="E3388" s="14" t="s">
        <v>1747</v>
      </c>
      <c r="F3388" s="17" t="s">
        <v>2995</v>
      </c>
      <c r="G3388" s="14">
        <v>886020</v>
      </c>
      <c r="H3388" s="14">
        <v>797418</v>
      </c>
      <c r="I3388" s="31">
        <f>IF(COUNTIFS(Addendum!C:C,A3388,Addendum!D:D,IF(ISNUMBER(B3388),TEXT(B3388,"0000"),B3388),Addendum!E:E,"X")&gt;0,4%,0)</f>
        <v>0.04</v>
      </c>
      <c r="J3388" s="31">
        <f>IF(COUNTIFS(Addendum!C:C,A3388,Addendum!D:D,IF(ISNUMBER(B3388),TEXT(B3388,"0000"),B3388),Addendum!F:F,"X")&gt;0,2.5%,0)</f>
        <v>0</v>
      </c>
      <c r="K3388" s="31">
        <f>IF(COUNTIFS(Addendum!C:C,A3388,Addendum!D:D,IF(ISNUMBER(B3388),TEXT(B3388,"0000"),B3388),Addendum!G:G,"X")&gt;0,7%,0)</f>
        <v>0</v>
      </c>
      <c r="L3388" s="31">
        <f>IF(COUNTIFS(Addendum!C:C,A3388,Addendum!D:D,IF(ISNUMBER(B3388),TEXT(B3388,"0000"),B3388),Addendum!I:I,"X")&gt;0,10%,0)</f>
        <v>0</v>
      </c>
      <c r="M3388" s="34">
        <f t="shared" si="104"/>
        <v>0.03</v>
      </c>
      <c r="N3388" s="17">
        <f t="shared" si="105"/>
        <v>773495.46</v>
      </c>
    </row>
    <row r="3389" spans="1:14" x14ac:dyDescent="0.25">
      <c r="A3389" s="14" t="s">
        <v>1342</v>
      </c>
      <c r="B3389" s="14" t="s">
        <v>73</v>
      </c>
      <c r="C3389" s="15" t="s">
        <v>1366</v>
      </c>
      <c r="D3389" s="14" t="s">
        <v>1752</v>
      </c>
      <c r="E3389" s="14" t="s">
        <v>1753</v>
      </c>
      <c r="F3389" s="17" t="s">
        <v>2993</v>
      </c>
      <c r="G3389" s="14">
        <v>42529140</v>
      </c>
      <c r="H3389" s="14">
        <v>34023312</v>
      </c>
      <c r="I3389" s="31">
        <f>IF(COUNTIFS(Addendum!C:C,A3389,Addendum!D:D,IF(ISNUMBER(B3389),TEXT(B3389,"0000"),B3389),Addendum!E:E,"X")&gt;0,4%,0)</f>
        <v>0.04</v>
      </c>
      <c r="J3389" s="31">
        <f>IF(COUNTIFS(Addendum!C:C,A3389,Addendum!D:D,IF(ISNUMBER(B3389),TEXT(B3389,"0000"),B3389),Addendum!F:F,"X")&gt;0,2.5%,0)</f>
        <v>0</v>
      </c>
      <c r="K3389" s="31">
        <f>IF(COUNTIFS(Addendum!C:C,A3389,Addendum!D:D,IF(ISNUMBER(B3389),TEXT(B3389,"0000"),B3389),Addendum!G:G,"X")&gt;0,7%,0)</f>
        <v>0</v>
      </c>
      <c r="L3389" s="31">
        <f>IF(COUNTIFS(Addendum!C:C,A3389,Addendum!D:D,IF(ISNUMBER(B3389),TEXT(B3389,"0000"),B3389),Addendum!I:I,"X")&gt;0,10%,0)</f>
        <v>0</v>
      </c>
      <c r="M3389" s="34">
        <f t="shared" si="104"/>
        <v>0.03</v>
      </c>
      <c r="N3389" s="17">
        <f t="shared" si="105"/>
        <v>33002612.640000001</v>
      </c>
    </row>
    <row r="3390" spans="1:14" x14ac:dyDescent="0.25">
      <c r="A3390" s="14" t="s">
        <v>1342</v>
      </c>
      <c r="B3390" s="14" t="s">
        <v>258</v>
      </c>
      <c r="C3390" s="15" t="s">
        <v>2769</v>
      </c>
      <c r="D3390" s="14" t="s">
        <v>1745</v>
      </c>
      <c r="E3390" s="14" t="s">
        <v>1746</v>
      </c>
      <c r="F3390" s="17" t="s">
        <v>2995</v>
      </c>
      <c r="G3390" s="14">
        <v>5349519</v>
      </c>
      <c r="H3390" s="14">
        <v>4814567</v>
      </c>
      <c r="I3390" s="31">
        <f>IF(COUNTIFS(Addendum!C:C,A3390,Addendum!D:D,IF(ISNUMBER(B3390),TEXT(B3390,"0000"),B3390),Addendum!E:E,"X")&gt;0,4%,0)</f>
        <v>0.04</v>
      </c>
      <c r="J3390" s="31">
        <f>IF(COUNTIFS(Addendum!C:C,A3390,Addendum!D:D,IF(ISNUMBER(B3390),TEXT(B3390,"0000"),B3390),Addendum!F:F,"X")&gt;0,2.5%,0)</f>
        <v>0</v>
      </c>
      <c r="K3390" s="31">
        <f>IF(COUNTIFS(Addendum!C:C,A3390,Addendum!D:D,IF(ISNUMBER(B3390),TEXT(B3390,"0000"),B3390),Addendum!G:G,"X")&gt;0,7%,0)</f>
        <v>0</v>
      </c>
      <c r="L3390" s="31">
        <f>IF(COUNTIFS(Addendum!C:C,A3390,Addendum!D:D,IF(ISNUMBER(B3390),TEXT(B3390,"0000"),B3390),Addendum!I:I,"X")&gt;0,10%,0)</f>
        <v>0</v>
      </c>
      <c r="M3390" s="34">
        <f t="shared" si="104"/>
        <v>0.01</v>
      </c>
      <c r="N3390" s="17">
        <f t="shared" si="105"/>
        <v>4766421.33</v>
      </c>
    </row>
    <row r="3391" spans="1:14" x14ac:dyDescent="0.25">
      <c r="A3391" s="14" t="s">
        <v>1342</v>
      </c>
      <c r="B3391" s="14">
        <v>3</v>
      </c>
      <c r="C3391" s="15" t="s">
        <v>1350</v>
      </c>
      <c r="D3391" s="14" t="s">
        <v>1752</v>
      </c>
      <c r="E3391" s="14" t="s">
        <v>1747</v>
      </c>
      <c r="F3391" s="17" t="s">
        <v>2994</v>
      </c>
      <c r="G3391" s="14">
        <v>4252860</v>
      </c>
      <c r="H3391" s="14">
        <v>3402288</v>
      </c>
      <c r="I3391" s="31">
        <f>IF(COUNTIFS(Addendum!C:C,A3391,Addendum!D:D,IF(ISNUMBER(B3391),TEXT(B3391,"0000"),B3391),Addendum!E:E,"X")&gt;0,4%,0)</f>
        <v>0.04</v>
      </c>
      <c r="J3391" s="31">
        <f>IF(COUNTIFS(Addendum!C:C,A3391,Addendum!D:D,IF(ISNUMBER(B3391),TEXT(B3391,"0000"),B3391),Addendum!F:F,"X")&gt;0,2.5%,0)</f>
        <v>0</v>
      </c>
      <c r="K3391" s="31">
        <f>IF(COUNTIFS(Addendum!C:C,A3391,Addendum!D:D,IF(ISNUMBER(B3391),TEXT(B3391,"0000"),B3391),Addendum!G:G,"X")&gt;0,7%,0)</f>
        <v>0</v>
      </c>
      <c r="L3391" s="31">
        <f>IF(COUNTIFS(Addendum!C:C,A3391,Addendum!D:D,IF(ISNUMBER(B3391),TEXT(B3391,"0000"),B3391),Addendum!I:I,"X")&gt;0,10%,0)</f>
        <v>0</v>
      </c>
      <c r="M3391" s="34">
        <f t="shared" si="104"/>
        <v>0.03</v>
      </c>
      <c r="N3391" s="17">
        <f t="shared" si="105"/>
        <v>3300219.36</v>
      </c>
    </row>
    <row r="3392" spans="1:14" x14ac:dyDescent="0.25">
      <c r="A3392" s="14" t="s">
        <v>1342</v>
      </c>
      <c r="B3392" s="14" t="s">
        <v>297</v>
      </c>
      <c r="C3392" s="15" t="s">
        <v>2767</v>
      </c>
      <c r="D3392" s="14" t="s">
        <v>1752</v>
      </c>
      <c r="E3392" s="14" t="s">
        <v>1747</v>
      </c>
      <c r="F3392" s="17" t="s">
        <v>2995</v>
      </c>
      <c r="G3392" s="14">
        <v>3987180</v>
      </c>
      <c r="H3392" s="14">
        <v>3588462</v>
      </c>
      <c r="I3392" s="31">
        <f>IF(COUNTIFS(Addendum!C:C,A3392,Addendum!D:D,IF(ISNUMBER(B3392),TEXT(B3392,"0000"),B3392),Addendum!E:E,"X")&gt;0,4%,0)</f>
        <v>0.04</v>
      </c>
      <c r="J3392" s="31">
        <f>IF(COUNTIFS(Addendum!C:C,A3392,Addendum!D:D,IF(ISNUMBER(B3392),TEXT(B3392,"0000"),B3392),Addendum!F:F,"X")&gt;0,2.5%,0)</f>
        <v>0</v>
      </c>
      <c r="K3392" s="31">
        <f>IF(COUNTIFS(Addendum!C:C,A3392,Addendum!D:D,IF(ISNUMBER(B3392),TEXT(B3392,"0000"),B3392),Addendum!G:G,"X")&gt;0,7%,0)</f>
        <v>0</v>
      </c>
      <c r="L3392" s="31">
        <f>IF(COUNTIFS(Addendum!C:C,A3392,Addendum!D:D,IF(ISNUMBER(B3392),TEXT(B3392,"0000"),B3392),Addendum!I:I,"X")&gt;0,10%,0)</f>
        <v>0</v>
      </c>
      <c r="M3392" s="34">
        <f t="shared" si="104"/>
        <v>0.03</v>
      </c>
      <c r="N3392" s="17">
        <f t="shared" si="105"/>
        <v>3480808.14</v>
      </c>
    </row>
    <row r="3393" spans="1:14" x14ac:dyDescent="0.25">
      <c r="A3393" s="14" t="s">
        <v>1342</v>
      </c>
      <c r="B3393" s="14">
        <v>4</v>
      </c>
      <c r="C3393" s="15" t="s">
        <v>1348</v>
      </c>
      <c r="D3393" s="14" t="s">
        <v>1752</v>
      </c>
      <c r="E3393" s="14" t="s">
        <v>1747</v>
      </c>
      <c r="F3393" s="17" t="s">
        <v>2993</v>
      </c>
      <c r="G3393" s="14">
        <v>10632240</v>
      </c>
      <c r="H3393" s="14">
        <v>8505792</v>
      </c>
      <c r="I3393" s="31">
        <f>IF(COUNTIFS(Addendum!C:C,A3393,Addendum!D:D,IF(ISNUMBER(B3393),TEXT(B3393,"0000"),B3393),Addendum!E:E,"X")&gt;0,4%,0)</f>
        <v>0.04</v>
      </c>
      <c r="J3393" s="31">
        <f>IF(COUNTIFS(Addendum!C:C,A3393,Addendum!D:D,IF(ISNUMBER(B3393),TEXT(B3393,"0000"),B3393),Addendum!F:F,"X")&gt;0,2.5%,0)</f>
        <v>0</v>
      </c>
      <c r="K3393" s="31">
        <f>IF(COUNTIFS(Addendum!C:C,A3393,Addendum!D:D,IF(ISNUMBER(B3393),TEXT(B3393,"0000"),B3393),Addendum!G:G,"X")&gt;0,7%,0)</f>
        <v>0</v>
      </c>
      <c r="L3393" s="31">
        <f>IF(COUNTIFS(Addendum!C:C,A3393,Addendum!D:D,IF(ISNUMBER(B3393),TEXT(B3393,"0000"),B3393),Addendum!I:I,"X")&gt;0,10%,0)</f>
        <v>0</v>
      </c>
      <c r="M3393" s="34">
        <f t="shared" si="104"/>
        <v>0.03</v>
      </c>
      <c r="N3393" s="17">
        <f t="shared" si="105"/>
        <v>8250618.2400000002</v>
      </c>
    </row>
    <row r="3394" spans="1:14" x14ac:dyDescent="0.25">
      <c r="A3394" s="14" t="s">
        <v>1342</v>
      </c>
      <c r="B3394" s="14" t="s">
        <v>24</v>
      </c>
      <c r="C3394" s="15" t="s">
        <v>2760</v>
      </c>
      <c r="D3394" s="14" t="s">
        <v>1749</v>
      </c>
      <c r="E3394" s="14" t="s">
        <v>1746</v>
      </c>
      <c r="F3394" s="17" t="s">
        <v>2994</v>
      </c>
      <c r="G3394" s="14">
        <v>1063230</v>
      </c>
      <c r="H3394" s="14">
        <v>850584</v>
      </c>
      <c r="I3394" s="31">
        <f>IF(COUNTIFS(Addendum!C:C,A3394,Addendum!D:D,IF(ISNUMBER(B3394),TEXT(B3394,"0000"),B3394),Addendum!E:E,"X")&gt;0,4%,0)</f>
        <v>0.04</v>
      </c>
      <c r="J3394" s="31">
        <f>IF(COUNTIFS(Addendum!C:C,A3394,Addendum!D:D,IF(ISNUMBER(B3394),TEXT(B3394,"0000"),B3394),Addendum!F:F,"X")&gt;0,2.5%,0)</f>
        <v>0</v>
      </c>
      <c r="K3394" s="31">
        <f>IF(COUNTIFS(Addendum!C:C,A3394,Addendum!D:D,IF(ISNUMBER(B3394),TEXT(B3394,"0000"),B3394),Addendum!G:G,"X")&gt;0,7%,0)</f>
        <v>0</v>
      </c>
      <c r="L3394" s="31">
        <f>IF(COUNTIFS(Addendum!C:C,A3394,Addendum!D:D,IF(ISNUMBER(B3394),TEXT(B3394,"0000"),B3394),Addendum!I:I,"X")&gt;0,10%,0)</f>
        <v>0</v>
      </c>
      <c r="M3394" s="34">
        <f t="shared" si="104"/>
        <v>0.01</v>
      </c>
      <c r="N3394" s="17">
        <f t="shared" si="105"/>
        <v>842078.16</v>
      </c>
    </row>
    <row r="3395" spans="1:14" x14ac:dyDescent="0.25">
      <c r="A3395" s="14" t="s">
        <v>1342</v>
      </c>
      <c r="B3395" s="14" t="s">
        <v>333</v>
      </c>
      <c r="C3395" s="15" t="s">
        <v>2763</v>
      </c>
      <c r="D3395" s="14" t="s">
        <v>1752</v>
      </c>
      <c r="E3395" s="14" t="s">
        <v>1753</v>
      </c>
      <c r="F3395" s="17" t="s">
        <v>2994</v>
      </c>
      <c r="G3395" s="14">
        <v>6379380</v>
      </c>
      <c r="H3395" s="14">
        <v>5103504</v>
      </c>
      <c r="I3395" s="31">
        <f>IF(COUNTIFS(Addendum!C:C,A3395,Addendum!D:D,IF(ISNUMBER(B3395),TEXT(B3395,"0000"),B3395),Addendum!E:E,"X")&gt;0,4%,0)</f>
        <v>0.04</v>
      </c>
      <c r="J3395" s="31">
        <f>IF(COUNTIFS(Addendum!C:C,A3395,Addendum!D:D,IF(ISNUMBER(B3395),TEXT(B3395,"0000"),B3395),Addendum!F:F,"X")&gt;0,2.5%,0)</f>
        <v>0</v>
      </c>
      <c r="K3395" s="31">
        <f>IF(COUNTIFS(Addendum!C:C,A3395,Addendum!D:D,IF(ISNUMBER(B3395),TEXT(B3395,"0000"),B3395),Addendum!G:G,"X")&gt;0,7%,0)</f>
        <v>0</v>
      </c>
      <c r="L3395" s="31">
        <f>IF(COUNTIFS(Addendum!C:C,A3395,Addendum!D:D,IF(ISNUMBER(B3395),TEXT(B3395,"0000"),B3395),Addendum!I:I,"X")&gt;0,10%,0)</f>
        <v>0</v>
      </c>
      <c r="M3395" s="34">
        <f t="shared" si="104"/>
        <v>0.03</v>
      </c>
      <c r="N3395" s="17">
        <f t="shared" si="105"/>
        <v>4950398.88</v>
      </c>
    </row>
    <row r="3396" spans="1:14" x14ac:dyDescent="0.25">
      <c r="A3396" s="14" t="s">
        <v>1342</v>
      </c>
      <c r="B3396" s="14" t="s">
        <v>89</v>
      </c>
      <c r="C3396" s="15" t="s">
        <v>1341</v>
      </c>
      <c r="D3396" s="14" t="s">
        <v>1745</v>
      </c>
      <c r="E3396" s="14" t="s">
        <v>1747</v>
      </c>
      <c r="F3396" s="17" t="s">
        <v>2993</v>
      </c>
      <c r="G3396" s="14">
        <v>26580720</v>
      </c>
      <c r="H3396" s="14">
        <v>21264576</v>
      </c>
      <c r="I3396" s="31">
        <f>IF(COUNTIFS(Addendum!C:C,A3396,Addendum!D:D,IF(ISNUMBER(B3396),TEXT(B3396,"0000"),B3396),Addendum!E:E,"X")&gt;0,4%,0)</f>
        <v>0.04</v>
      </c>
      <c r="J3396" s="31">
        <f>IF(COUNTIFS(Addendum!C:C,A3396,Addendum!D:D,IF(ISNUMBER(B3396),TEXT(B3396,"0000"),B3396),Addendum!F:F,"X")&gt;0,2.5%,0)</f>
        <v>0</v>
      </c>
      <c r="K3396" s="31">
        <f>IF(COUNTIFS(Addendum!C:C,A3396,Addendum!D:D,IF(ISNUMBER(B3396),TEXT(B3396,"0000"),B3396),Addendum!G:G,"X")&gt;0,7%,0)</f>
        <v>0</v>
      </c>
      <c r="L3396" s="31">
        <f>IF(COUNTIFS(Addendum!C:C,A3396,Addendum!D:D,IF(ISNUMBER(B3396),TEXT(B3396,"0000"),B3396),Addendum!I:I,"X")&gt;0,10%,0)</f>
        <v>0</v>
      </c>
      <c r="M3396" s="34">
        <f t="shared" ref="M3396:M3459" si="106">IF(AND(I3396=0%,J3396=0%,K3396=0%,L3396=0%),0%,
IF(OR(TRIM(E3396)="OneTime",TRIM(D3396)=""),0%,
IF(
OR(
TRIM(D3396)="P1M",
AND(TRIM(D3396)="P1Y",TRIM(E3396)="Monthly"),
AND(TRIM(D3396)="P3Y",TRIM(E3396)="Monthly")
),
IF(AND(I3396=4%,J3396=0%,K3396=0%,L3396=0%),1%,
IF(AND(I3396=4%,J3396=2.5%,K3396=0%,L3396=10%),2%,
IF(AND(I3396=4%,J3396=0%,K3396=7%,L3396=10%),3%,0%))),
IF(
OR(
AND(TRIM(D3396)="P1Y",TRIM(E3396)="Annual"),
AND(TRIM(D3396)="P3Y",TRIM(E3396)="Annual"),
AND(TRIM(D3396)="P3Y",TRIM(E3396)="Triennial")
),
IF(AND(I3396=4%,J3396=0%,K3396=0%,L3396=0%),3%,
IF(AND(I3396=4%,J3396=2.5%,K3396=0%,L3396=10%),10%,
IF(AND(I3396=4%,J3396=0%,K3396=7%,L3396=10%),14%,0%))),
0%
))))</f>
        <v>0.03</v>
      </c>
      <c r="N3396" s="17">
        <f t="shared" ref="N3396:N3459" si="107">H3396-(H3396*M3396)</f>
        <v>20626638.719999999</v>
      </c>
    </row>
    <row r="3397" spans="1:14" x14ac:dyDescent="0.25">
      <c r="A3397" s="14" t="s">
        <v>1342</v>
      </c>
      <c r="B3397" s="14">
        <v>9</v>
      </c>
      <c r="C3397" s="15" t="s">
        <v>2771</v>
      </c>
      <c r="D3397" s="14" t="s">
        <v>1752</v>
      </c>
      <c r="E3397" s="14" t="s">
        <v>1747</v>
      </c>
      <c r="F3397" s="17" t="s">
        <v>2995</v>
      </c>
      <c r="G3397" s="14">
        <v>10632240</v>
      </c>
      <c r="H3397" s="14">
        <v>9569016</v>
      </c>
      <c r="I3397" s="31">
        <f>IF(COUNTIFS(Addendum!C:C,A3397,Addendum!D:D,IF(ISNUMBER(B3397),TEXT(B3397,"0000"),B3397),Addendum!E:E,"X")&gt;0,4%,0)</f>
        <v>0.04</v>
      </c>
      <c r="J3397" s="31">
        <f>IF(COUNTIFS(Addendum!C:C,A3397,Addendum!D:D,IF(ISNUMBER(B3397),TEXT(B3397,"0000"),B3397),Addendum!F:F,"X")&gt;0,2.5%,0)</f>
        <v>0</v>
      </c>
      <c r="K3397" s="31">
        <f>IF(COUNTIFS(Addendum!C:C,A3397,Addendum!D:D,IF(ISNUMBER(B3397),TEXT(B3397,"0000"),B3397),Addendum!G:G,"X")&gt;0,7%,0)</f>
        <v>0</v>
      </c>
      <c r="L3397" s="31">
        <f>IF(COUNTIFS(Addendum!C:C,A3397,Addendum!D:D,IF(ISNUMBER(B3397),TEXT(B3397,"0000"),B3397),Addendum!I:I,"X")&gt;0,10%,0)</f>
        <v>0</v>
      </c>
      <c r="M3397" s="34">
        <f t="shared" si="106"/>
        <v>0.03</v>
      </c>
      <c r="N3397" s="17">
        <f t="shared" si="107"/>
        <v>9281945.5199999996</v>
      </c>
    </row>
    <row r="3398" spans="1:14" x14ac:dyDescent="0.25">
      <c r="A3398" s="14" t="s">
        <v>1342</v>
      </c>
      <c r="B3398" s="14">
        <v>8</v>
      </c>
      <c r="C3398" s="15" t="s">
        <v>1372</v>
      </c>
      <c r="D3398" s="14" t="s">
        <v>1745</v>
      </c>
      <c r="E3398" s="14" t="s">
        <v>1747</v>
      </c>
      <c r="F3398" s="17" t="s">
        <v>2993</v>
      </c>
      <c r="G3398" s="14">
        <v>1347780</v>
      </c>
      <c r="H3398" s="14">
        <v>1078224</v>
      </c>
      <c r="I3398" s="31">
        <f>IF(COUNTIFS(Addendum!C:C,A3398,Addendum!D:D,IF(ISNUMBER(B3398),TEXT(B3398,"0000"),B3398),Addendum!E:E,"X")&gt;0,4%,0)</f>
        <v>0.04</v>
      </c>
      <c r="J3398" s="31">
        <f>IF(COUNTIFS(Addendum!C:C,A3398,Addendum!D:D,IF(ISNUMBER(B3398),TEXT(B3398,"0000"),B3398),Addendum!F:F,"X")&gt;0,2.5%,0)</f>
        <v>0</v>
      </c>
      <c r="K3398" s="31">
        <f>IF(COUNTIFS(Addendum!C:C,A3398,Addendum!D:D,IF(ISNUMBER(B3398),TEXT(B3398,"0000"),B3398),Addendum!G:G,"X")&gt;0,7%,0)</f>
        <v>0</v>
      </c>
      <c r="L3398" s="31">
        <f>IF(COUNTIFS(Addendum!C:C,A3398,Addendum!D:D,IF(ISNUMBER(B3398),TEXT(B3398,"0000"),B3398),Addendum!I:I,"X")&gt;0,10%,0)</f>
        <v>0</v>
      </c>
      <c r="M3398" s="34">
        <f t="shared" si="106"/>
        <v>0.03</v>
      </c>
      <c r="N3398" s="17">
        <f t="shared" si="107"/>
        <v>1045877.28</v>
      </c>
    </row>
    <row r="3399" spans="1:14" x14ac:dyDescent="0.25">
      <c r="A3399" s="14" t="s">
        <v>1342</v>
      </c>
      <c r="B3399" s="14" t="s">
        <v>89</v>
      </c>
      <c r="C3399" s="15" t="s">
        <v>1341</v>
      </c>
      <c r="D3399" s="14" t="s">
        <v>1752</v>
      </c>
      <c r="E3399" s="14" t="s">
        <v>1747</v>
      </c>
      <c r="F3399" s="17" t="s">
        <v>2993</v>
      </c>
      <c r="G3399" s="14">
        <v>79742160</v>
      </c>
      <c r="H3399" s="14">
        <v>63793728</v>
      </c>
      <c r="I3399" s="31">
        <f>IF(COUNTIFS(Addendum!C:C,A3399,Addendum!D:D,IF(ISNUMBER(B3399),TEXT(B3399,"0000"),B3399),Addendum!E:E,"X")&gt;0,4%,0)</f>
        <v>0.04</v>
      </c>
      <c r="J3399" s="31">
        <f>IF(COUNTIFS(Addendum!C:C,A3399,Addendum!D:D,IF(ISNUMBER(B3399),TEXT(B3399,"0000"),B3399),Addendum!F:F,"X")&gt;0,2.5%,0)</f>
        <v>0</v>
      </c>
      <c r="K3399" s="31">
        <f>IF(COUNTIFS(Addendum!C:C,A3399,Addendum!D:D,IF(ISNUMBER(B3399),TEXT(B3399,"0000"),B3399),Addendum!G:G,"X")&gt;0,7%,0)</f>
        <v>0</v>
      </c>
      <c r="L3399" s="31">
        <f>IF(COUNTIFS(Addendum!C:C,A3399,Addendum!D:D,IF(ISNUMBER(B3399),TEXT(B3399,"0000"),B3399),Addendum!I:I,"X")&gt;0,10%,0)</f>
        <v>0</v>
      </c>
      <c r="M3399" s="34">
        <f t="shared" si="106"/>
        <v>0.03</v>
      </c>
      <c r="N3399" s="17">
        <f t="shared" si="107"/>
        <v>61879916.159999996</v>
      </c>
    </row>
    <row r="3400" spans="1:14" x14ac:dyDescent="0.25">
      <c r="A3400" s="14" t="s">
        <v>1342</v>
      </c>
      <c r="B3400" s="14" t="s">
        <v>73</v>
      </c>
      <c r="C3400" s="15" t="s">
        <v>1366</v>
      </c>
      <c r="D3400" s="14" t="s">
        <v>1745</v>
      </c>
      <c r="E3400" s="14" t="s">
        <v>1747</v>
      </c>
      <c r="F3400" s="17" t="s">
        <v>2993</v>
      </c>
      <c r="G3400" s="14">
        <v>14176380</v>
      </c>
      <c r="H3400" s="14">
        <v>11341104</v>
      </c>
      <c r="I3400" s="31">
        <f>IF(COUNTIFS(Addendum!C:C,A3400,Addendum!D:D,IF(ISNUMBER(B3400),TEXT(B3400,"0000"),B3400),Addendum!E:E,"X")&gt;0,4%,0)</f>
        <v>0.04</v>
      </c>
      <c r="J3400" s="31">
        <f>IF(COUNTIFS(Addendum!C:C,A3400,Addendum!D:D,IF(ISNUMBER(B3400),TEXT(B3400,"0000"),B3400),Addendum!F:F,"X")&gt;0,2.5%,0)</f>
        <v>0</v>
      </c>
      <c r="K3400" s="31">
        <f>IF(COUNTIFS(Addendum!C:C,A3400,Addendum!D:D,IF(ISNUMBER(B3400),TEXT(B3400,"0000"),B3400),Addendum!G:G,"X")&gt;0,7%,0)</f>
        <v>0</v>
      </c>
      <c r="L3400" s="31">
        <f>IF(COUNTIFS(Addendum!C:C,A3400,Addendum!D:D,IF(ISNUMBER(B3400),TEXT(B3400,"0000"),B3400),Addendum!I:I,"X")&gt;0,10%,0)</f>
        <v>0</v>
      </c>
      <c r="M3400" s="34">
        <f t="shared" si="106"/>
        <v>0.03</v>
      </c>
      <c r="N3400" s="17">
        <f t="shared" si="107"/>
        <v>11000870.880000001</v>
      </c>
    </row>
    <row r="3401" spans="1:14" x14ac:dyDescent="0.25">
      <c r="A3401" s="14" t="s">
        <v>1342</v>
      </c>
      <c r="B3401" s="14" t="s">
        <v>297</v>
      </c>
      <c r="C3401" s="15" t="s">
        <v>2767</v>
      </c>
      <c r="D3401" s="14" t="s">
        <v>1749</v>
      </c>
      <c r="E3401" s="14" t="s">
        <v>1746</v>
      </c>
      <c r="F3401" s="17" t="s">
        <v>2995</v>
      </c>
      <c r="G3401" s="14">
        <v>132906</v>
      </c>
      <c r="H3401" s="14">
        <v>119615.4</v>
      </c>
      <c r="I3401" s="31">
        <f>IF(COUNTIFS(Addendum!C:C,A3401,Addendum!D:D,IF(ISNUMBER(B3401),TEXT(B3401,"0000"),B3401),Addendum!E:E,"X")&gt;0,4%,0)</f>
        <v>0.04</v>
      </c>
      <c r="J3401" s="31">
        <f>IF(COUNTIFS(Addendum!C:C,A3401,Addendum!D:D,IF(ISNUMBER(B3401),TEXT(B3401,"0000"),B3401),Addendum!F:F,"X")&gt;0,2.5%,0)</f>
        <v>0</v>
      </c>
      <c r="K3401" s="31">
        <f>IF(COUNTIFS(Addendum!C:C,A3401,Addendum!D:D,IF(ISNUMBER(B3401),TEXT(B3401,"0000"),B3401),Addendum!G:G,"X")&gt;0,7%,0)</f>
        <v>0</v>
      </c>
      <c r="L3401" s="31">
        <f>IF(COUNTIFS(Addendum!C:C,A3401,Addendum!D:D,IF(ISNUMBER(B3401),TEXT(B3401,"0000"),B3401),Addendum!I:I,"X")&gt;0,10%,0)</f>
        <v>0</v>
      </c>
      <c r="M3401" s="34">
        <f t="shared" si="106"/>
        <v>0.01</v>
      </c>
      <c r="N3401" s="17">
        <f t="shared" si="107"/>
        <v>118419.246</v>
      </c>
    </row>
    <row r="3402" spans="1:14" x14ac:dyDescent="0.25">
      <c r="A3402" s="14" t="s">
        <v>1342</v>
      </c>
      <c r="B3402" s="14">
        <v>6</v>
      </c>
      <c r="C3402" s="15" t="s">
        <v>2768</v>
      </c>
      <c r="D3402" s="14" t="s">
        <v>1745</v>
      </c>
      <c r="E3402" s="14" t="s">
        <v>1746</v>
      </c>
      <c r="F3402" s="17" t="s">
        <v>2995</v>
      </c>
      <c r="G3402" s="14">
        <v>353808</v>
      </c>
      <c r="H3402" s="14">
        <v>318427.2</v>
      </c>
      <c r="I3402" s="31">
        <f>IF(COUNTIFS(Addendum!C:C,A3402,Addendum!D:D,IF(ISNUMBER(B3402),TEXT(B3402,"0000"),B3402),Addendum!E:E,"X")&gt;0,4%,0)</f>
        <v>0.04</v>
      </c>
      <c r="J3402" s="31">
        <f>IF(COUNTIFS(Addendum!C:C,A3402,Addendum!D:D,IF(ISNUMBER(B3402),TEXT(B3402,"0000"),B3402),Addendum!F:F,"X")&gt;0,2.5%,0)</f>
        <v>0</v>
      </c>
      <c r="K3402" s="31">
        <f>IF(COUNTIFS(Addendum!C:C,A3402,Addendum!D:D,IF(ISNUMBER(B3402),TEXT(B3402,"0000"),B3402),Addendum!G:G,"X")&gt;0,7%,0)</f>
        <v>0</v>
      </c>
      <c r="L3402" s="31">
        <f>IF(COUNTIFS(Addendum!C:C,A3402,Addendum!D:D,IF(ISNUMBER(B3402),TEXT(B3402,"0000"),B3402),Addendum!I:I,"X")&gt;0,10%,0)</f>
        <v>0</v>
      </c>
      <c r="M3402" s="34">
        <f t="shared" si="106"/>
        <v>0.01</v>
      </c>
      <c r="N3402" s="17">
        <f t="shared" si="107"/>
        <v>315242.92800000001</v>
      </c>
    </row>
    <row r="3403" spans="1:14" x14ac:dyDescent="0.25">
      <c r="A3403" s="14" t="s">
        <v>1342</v>
      </c>
      <c r="B3403" s="14">
        <v>9</v>
      </c>
      <c r="C3403" s="15" t="s">
        <v>2771</v>
      </c>
      <c r="D3403" s="14" t="s">
        <v>1749</v>
      </c>
      <c r="E3403" s="14" t="s">
        <v>1746</v>
      </c>
      <c r="F3403" s="17" t="s">
        <v>2995</v>
      </c>
      <c r="G3403" s="14">
        <v>354408</v>
      </c>
      <c r="H3403" s="14">
        <v>318967.2</v>
      </c>
      <c r="I3403" s="31">
        <f>IF(COUNTIFS(Addendum!C:C,A3403,Addendum!D:D,IF(ISNUMBER(B3403),TEXT(B3403,"0000"),B3403),Addendum!E:E,"X")&gt;0,4%,0)</f>
        <v>0.04</v>
      </c>
      <c r="J3403" s="31">
        <f>IF(COUNTIFS(Addendum!C:C,A3403,Addendum!D:D,IF(ISNUMBER(B3403),TEXT(B3403,"0000"),B3403),Addendum!F:F,"X")&gt;0,2.5%,0)</f>
        <v>0</v>
      </c>
      <c r="K3403" s="31">
        <f>IF(COUNTIFS(Addendum!C:C,A3403,Addendum!D:D,IF(ISNUMBER(B3403),TEXT(B3403,"0000"),B3403),Addendum!G:G,"X")&gt;0,7%,0)</f>
        <v>0</v>
      </c>
      <c r="L3403" s="31">
        <f>IF(COUNTIFS(Addendum!C:C,A3403,Addendum!D:D,IF(ISNUMBER(B3403),TEXT(B3403,"0000"),B3403),Addendum!I:I,"X")&gt;0,10%,0)</f>
        <v>0</v>
      </c>
      <c r="M3403" s="34">
        <f t="shared" si="106"/>
        <v>0.01</v>
      </c>
      <c r="N3403" s="17">
        <f t="shared" si="107"/>
        <v>315777.52799999999</v>
      </c>
    </row>
    <row r="3404" spans="1:14" x14ac:dyDescent="0.25">
      <c r="A3404" s="14" t="s">
        <v>1342</v>
      </c>
      <c r="B3404" s="14">
        <v>8</v>
      </c>
      <c r="C3404" s="15" t="s">
        <v>1372</v>
      </c>
      <c r="D3404" s="14" t="s">
        <v>1749</v>
      </c>
      <c r="E3404" s="14" t="s">
        <v>1746</v>
      </c>
      <c r="F3404" s="17" t="s">
        <v>2993</v>
      </c>
      <c r="G3404" s="14">
        <v>134778</v>
      </c>
      <c r="H3404" s="14">
        <v>107822.39999999999</v>
      </c>
      <c r="I3404" s="31">
        <f>IF(COUNTIFS(Addendum!C:C,A3404,Addendum!D:D,IF(ISNUMBER(B3404),TEXT(B3404,"0000"),B3404),Addendum!E:E,"X")&gt;0,4%,0)</f>
        <v>0.04</v>
      </c>
      <c r="J3404" s="31">
        <f>IF(COUNTIFS(Addendum!C:C,A3404,Addendum!D:D,IF(ISNUMBER(B3404),TEXT(B3404,"0000"),B3404),Addendum!F:F,"X")&gt;0,2.5%,0)</f>
        <v>0</v>
      </c>
      <c r="K3404" s="31">
        <f>IF(COUNTIFS(Addendum!C:C,A3404,Addendum!D:D,IF(ISNUMBER(B3404),TEXT(B3404,"0000"),B3404),Addendum!G:G,"X")&gt;0,7%,0)</f>
        <v>0</v>
      </c>
      <c r="L3404" s="31">
        <f>IF(COUNTIFS(Addendum!C:C,A3404,Addendum!D:D,IF(ISNUMBER(B3404),TEXT(B3404,"0000"),B3404),Addendum!I:I,"X")&gt;0,10%,0)</f>
        <v>0</v>
      </c>
      <c r="M3404" s="34">
        <f t="shared" si="106"/>
        <v>0.01</v>
      </c>
      <c r="N3404" s="17">
        <f t="shared" si="107"/>
        <v>106744.17599999999</v>
      </c>
    </row>
    <row r="3405" spans="1:14" x14ac:dyDescent="0.25">
      <c r="A3405" s="14" t="s">
        <v>1342</v>
      </c>
      <c r="B3405" s="14" t="s">
        <v>333</v>
      </c>
      <c r="C3405" s="15" t="s">
        <v>2763</v>
      </c>
      <c r="D3405" s="14" t="s">
        <v>1745</v>
      </c>
      <c r="E3405" s="14" t="s">
        <v>1746</v>
      </c>
      <c r="F3405" s="17" t="s">
        <v>2994</v>
      </c>
      <c r="G3405" s="14">
        <v>2232783</v>
      </c>
      <c r="H3405" s="14">
        <v>1786226</v>
      </c>
      <c r="I3405" s="31">
        <f>IF(COUNTIFS(Addendum!C:C,A3405,Addendum!D:D,IF(ISNUMBER(B3405),TEXT(B3405,"0000"),B3405),Addendum!E:E,"X")&gt;0,4%,0)</f>
        <v>0.04</v>
      </c>
      <c r="J3405" s="31">
        <f>IF(COUNTIFS(Addendum!C:C,A3405,Addendum!D:D,IF(ISNUMBER(B3405),TEXT(B3405,"0000"),B3405),Addendum!F:F,"X")&gt;0,2.5%,0)</f>
        <v>0</v>
      </c>
      <c r="K3405" s="31">
        <f>IF(COUNTIFS(Addendum!C:C,A3405,Addendum!D:D,IF(ISNUMBER(B3405),TEXT(B3405,"0000"),B3405),Addendum!G:G,"X")&gt;0,7%,0)</f>
        <v>0</v>
      </c>
      <c r="L3405" s="31">
        <f>IF(COUNTIFS(Addendum!C:C,A3405,Addendum!D:D,IF(ISNUMBER(B3405),TEXT(B3405,"0000"),B3405),Addendum!I:I,"X")&gt;0,10%,0)</f>
        <v>0</v>
      </c>
      <c r="M3405" s="34">
        <f t="shared" si="106"/>
        <v>0.01</v>
      </c>
      <c r="N3405" s="17">
        <f t="shared" si="107"/>
        <v>1768363.74</v>
      </c>
    </row>
    <row r="3406" spans="1:14" x14ac:dyDescent="0.25">
      <c r="A3406" s="14" t="s">
        <v>1342</v>
      </c>
      <c r="B3406" s="14">
        <v>5</v>
      </c>
      <c r="C3406" s="15" t="s">
        <v>2772</v>
      </c>
      <c r="D3406" s="14" t="s">
        <v>1745</v>
      </c>
      <c r="E3406" s="14" t="s">
        <v>1746</v>
      </c>
      <c r="F3406" s="17" t="s">
        <v>2995</v>
      </c>
      <c r="G3406" s="14">
        <v>6977439</v>
      </c>
      <c r="H3406" s="14">
        <v>6279695</v>
      </c>
      <c r="I3406" s="31">
        <f>IF(COUNTIFS(Addendum!C:C,A3406,Addendum!D:D,IF(ISNUMBER(B3406),TEXT(B3406,"0000"),B3406),Addendum!E:E,"X")&gt;0,4%,0)</f>
        <v>0.04</v>
      </c>
      <c r="J3406" s="31">
        <f>IF(COUNTIFS(Addendum!C:C,A3406,Addendum!D:D,IF(ISNUMBER(B3406),TEXT(B3406,"0000"),B3406),Addendum!F:F,"X")&gt;0,2.5%,0)</f>
        <v>0</v>
      </c>
      <c r="K3406" s="31">
        <f>IF(COUNTIFS(Addendum!C:C,A3406,Addendum!D:D,IF(ISNUMBER(B3406),TEXT(B3406,"0000"),B3406),Addendum!G:G,"X")&gt;0,7%,0)</f>
        <v>0</v>
      </c>
      <c r="L3406" s="31">
        <f>IF(COUNTIFS(Addendum!C:C,A3406,Addendum!D:D,IF(ISNUMBER(B3406),TEXT(B3406,"0000"),B3406),Addendum!I:I,"X")&gt;0,10%,0)</f>
        <v>0</v>
      </c>
      <c r="M3406" s="34">
        <f t="shared" si="106"/>
        <v>0.01</v>
      </c>
      <c r="N3406" s="17">
        <f t="shared" si="107"/>
        <v>6216898.0499999998</v>
      </c>
    </row>
    <row r="3407" spans="1:14" x14ac:dyDescent="0.25">
      <c r="A3407" s="14" t="s">
        <v>1342</v>
      </c>
      <c r="B3407" s="14">
        <v>1</v>
      </c>
      <c r="C3407" s="15" t="s">
        <v>2770</v>
      </c>
      <c r="D3407" s="14" t="s">
        <v>1745</v>
      </c>
      <c r="E3407" s="14" t="s">
        <v>1746</v>
      </c>
      <c r="F3407" s="17" t="s">
        <v>2994</v>
      </c>
      <c r="G3407" s="14">
        <v>566055</v>
      </c>
      <c r="H3407" s="14">
        <v>452844</v>
      </c>
      <c r="I3407" s="31">
        <f>IF(COUNTIFS(Addendum!C:C,A3407,Addendum!D:D,IF(ISNUMBER(B3407),TEXT(B3407,"0000"),B3407),Addendum!E:E,"X")&gt;0,4%,0)</f>
        <v>0.04</v>
      </c>
      <c r="J3407" s="31">
        <f>IF(COUNTIFS(Addendum!C:C,A3407,Addendum!D:D,IF(ISNUMBER(B3407),TEXT(B3407,"0000"),B3407),Addendum!F:F,"X")&gt;0,2.5%,0)</f>
        <v>0</v>
      </c>
      <c r="K3407" s="31">
        <f>IF(COUNTIFS(Addendum!C:C,A3407,Addendum!D:D,IF(ISNUMBER(B3407),TEXT(B3407,"0000"),B3407),Addendum!G:G,"X")&gt;0,7%,0)</f>
        <v>0</v>
      </c>
      <c r="L3407" s="31">
        <f>IF(COUNTIFS(Addendum!C:C,A3407,Addendum!D:D,IF(ISNUMBER(B3407),TEXT(B3407,"0000"),B3407),Addendum!I:I,"X")&gt;0,10%,0)</f>
        <v>0</v>
      </c>
      <c r="M3407" s="34">
        <f t="shared" si="106"/>
        <v>0.01</v>
      </c>
      <c r="N3407" s="17">
        <f t="shared" si="107"/>
        <v>448315.56</v>
      </c>
    </row>
    <row r="3408" spans="1:14" x14ac:dyDescent="0.25">
      <c r="A3408" s="14" t="s">
        <v>1342</v>
      </c>
      <c r="B3408" s="14">
        <v>7</v>
      </c>
      <c r="C3408" s="15" t="s">
        <v>2762</v>
      </c>
      <c r="D3408" s="14" t="s">
        <v>1752</v>
      </c>
      <c r="E3408" s="14" t="s">
        <v>1747</v>
      </c>
      <c r="F3408" s="17" t="s">
        <v>2995</v>
      </c>
      <c r="G3408" s="14">
        <v>2658060</v>
      </c>
      <c r="H3408" s="14">
        <v>2392254</v>
      </c>
      <c r="I3408" s="31">
        <f>IF(COUNTIFS(Addendum!C:C,A3408,Addendum!D:D,IF(ISNUMBER(B3408),TEXT(B3408,"0000"),B3408),Addendum!E:E,"X")&gt;0,4%,0)</f>
        <v>0.04</v>
      </c>
      <c r="J3408" s="31">
        <f>IF(COUNTIFS(Addendum!C:C,A3408,Addendum!D:D,IF(ISNUMBER(B3408),TEXT(B3408,"0000"),B3408),Addendum!F:F,"X")&gt;0,2.5%,0)</f>
        <v>0</v>
      </c>
      <c r="K3408" s="31">
        <f>IF(COUNTIFS(Addendum!C:C,A3408,Addendum!D:D,IF(ISNUMBER(B3408),TEXT(B3408,"0000"),B3408),Addendum!G:G,"X")&gt;0,7%,0)</f>
        <v>0</v>
      </c>
      <c r="L3408" s="31">
        <f>IF(COUNTIFS(Addendum!C:C,A3408,Addendum!D:D,IF(ISNUMBER(B3408),TEXT(B3408,"0000"),B3408),Addendum!I:I,"X")&gt;0,10%,0)</f>
        <v>0</v>
      </c>
      <c r="M3408" s="34">
        <f t="shared" si="106"/>
        <v>0.03</v>
      </c>
      <c r="N3408" s="17">
        <f t="shared" si="107"/>
        <v>2320486.38</v>
      </c>
    </row>
    <row r="3409" spans="1:14" x14ac:dyDescent="0.25">
      <c r="A3409" s="14" t="s">
        <v>1342</v>
      </c>
      <c r="B3409" s="14" t="s">
        <v>120</v>
      </c>
      <c r="C3409" s="15" t="s">
        <v>2766</v>
      </c>
      <c r="D3409" s="14" t="s">
        <v>1745</v>
      </c>
      <c r="E3409" s="14" t="s">
        <v>1747</v>
      </c>
      <c r="F3409" s="17" t="s">
        <v>2994</v>
      </c>
      <c r="G3409" s="14">
        <v>3898500</v>
      </c>
      <c r="H3409" s="14">
        <v>3118800</v>
      </c>
      <c r="I3409" s="31">
        <f>IF(COUNTIFS(Addendum!C:C,A3409,Addendum!D:D,IF(ISNUMBER(B3409),TEXT(B3409,"0000"),B3409),Addendum!E:E,"X")&gt;0,4%,0)</f>
        <v>0.04</v>
      </c>
      <c r="J3409" s="31">
        <f>IF(COUNTIFS(Addendum!C:C,A3409,Addendum!D:D,IF(ISNUMBER(B3409),TEXT(B3409,"0000"),B3409),Addendum!F:F,"X")&gt;0,2.5%,0)</f>
        <v>0</v>
      </c>
      <c r="K3409" s="31">
        <f>IF(COUNTIFS(Addendum!C:C,A3409,Addendum!D:D,IF(ISNUMBER(B3409),TEXT(B3409,"0000"),B3409),Addendum!G:G,"X")&gt;0,7%,0)</f>
        <v>0</v>
      </c>
      <c r="L3409" s="31">
        <f>IF(COUNTIFS(Addendum!C:C,A3409,Addendum!D:D,IF(ISNUMBER(B3409),TEXT(B3409,"0000"),B3409),Addendum!I:I,"X")&gt;0,10%,0)</f>
        <v>0</v>
      </c>
      <c r="M3409" s="34">
        <f t="shared" si="106"/>
        <v>0.03</v>
      </c>
      <c r="N3409" s="17">
        <f t="shared" si="107"/>
        <v>3025236</v>
      </c>
    </row>
    <row r="3410" spans="1:14" x14ac:dyDescent="0.25">
      <c r="A3410" s="14" t="s">
        <v>1342</v>
      </c>
      <c r="B3410" s="14" t="s">
        <v>113</v>
      </c>
      <c r="C3410" s="15" t="s">
        <v>1360</v>
      </c>
      <c r="D3410" s="14" t="s">
        <v>1749</v>
      </c>
      <c r="E3410" s="14" t="s">
        <v>1746</v>
      </c>
      <c r="F3410" s="17" t="s">
        <v>2993</v>
      </c>
      <c r="G3410" s="14">
        <v>974676</v>
      </c>
      <c r="H3410" s="14">
        <v>779740.8</v>
      </c>
      <c r="I3410" s="31">
        <f>IF(COUNTIFS(Addendum!C:C,A3410,Addendum!D:D,IF(ISNUMBER(B3410),TEXT(B3410,"0000"),B3410),Addendum!E:E,"X")&gt;0,4%,0)</f>
        <v>0.04</v>
      </c>
      <c r="J3410" s="31">
        <f>IF(COUNTIFS(Addendum!C:C,A3410,Addendum!D:D,IF(ISNUMBER(B3410),TEXT(B3410,"0000"),B3410),Addendum!F:F,"X")&gt;0,2.5%,0)</f>
        <v>0</v>
      </c>
      <c r="K3410" s="31">
        <f>IF(COUNTIFS(Addendum!C:C,A3410,Addendum!D:D,IF(ISNUMBER(B3410),TEXT(B3410,"0000"),B3410),Addendum!G:G,"X")&gt;0,7%,0)</f>
        <v>0</v>
      </c>
      <c r="L3410" s="31">
        <f>IF(COUNTIFS(Addendum!C:C,A3410,Addendum!D:D,IF(ISNUMBER(B3410),TEXT(B3410,"0000"),B3410),Addendum!I:I,"X")&gt;0,10%,0)</f>
        <v>0</v>
      </c>
      <c r="M3410" s="34">
        <f t="shared" si="106"/>
        <v>0.01</v>
      </c>
      <c r="N3410" s="17">
        <f t="shared" si="107"/>
        <v>771943.39199999999</v>
      </c>
    </row>
    <row r="3411" spans="1:14" x14ac:dyDescent="0.25">
      <c r="A3411" s="14" t="s">
        <v>1342</v>
      </c>
      <c r="B3411" s="14">
        <v>8</v>
      </c>
      <c r="C3411" s="15" t="s">
        <v>1372</v>
      </c>
      <c r="D3411" s="14" t="s">
        <v>1752</v>
      </c>
      <c r="E3411" s="14" t="s">
        <v>1747</v>
      </c>
      <c r="F3411" s="17" t="s">
        <v>2993</v>
      </c>
      <c r="G3411" s="14">
        <v>4043340</v>
      </c>
      <c r="H3411" s="14">
        <v>3234672</v>
      </c>
      <c r="I3411" s="31">
        <f>IF(COUNTIFS(Addendum!C:C,A3411,Addendum!D:D,IF(ISNUMBER(B3411),TEXT(B3411,"0000"),B3411),Addendum!E:E,"X")&gt;0,4%,0)</f>
        <v>0.04</v>
      </c>
      <c r="J3411" s="31">
        <f>IF(COUNTIFS(Addendum!C:C,A3411,Addendum!D:D,IF(ISNUMBER(B3411),TEXT(B3411,"0000"),B3411),Addendum!F:F,"X")&gt;0,2.5%,0)</f>
        <v>0</v>
      </c>
      <c r="K3411" s="31">
        <f>IF(COUNTIFS(Addendum!C:C,A3411,Addendum!D:D,IF(ISNUMBER(B3411),TEXT(B3411,"0000"),B3411),Addendum!G:G,"X")&gt;0,7%,0)</f>
        <v>0</v>
      </c>
      <c r="L3411" s="31">
        <f>IF(COUNTIFS(Addendum!C:C,A3411,Addendum!D:D,IF(ISNUMBER(B3411),TEXT(B3411,"0000"),B3411),Addendum!I:I,"X")&gt;0,10%,0)</f>
        <v>0</v>
      </c>
      <c r="M3411" s="34">
        <f t="shared" si="106"/>
        <v>0.03</v>
      </c>
      <c r="N3411" s="17">
        <f t="shared" si="107"/>
        <v>3137631.84</v>
      </c>
    </row>
    <row r="3412" spans="1:14" x14ac:dyDescent="0.25">
      <c r="A3412" s="14" t="s">
        <v>1342</v>
      </c>
      <c r="B3412" s="14">
        <v>9</v>
      </c>
      <c r="C3412" s="15" t="s">
        <v>2771</v>
      </c>
      <c r="D3412" s="14" t="s">
        <v>1752</v>
      </c>
      <c r="E3412" s="14" t="s">
        <v>1753</v>
      </c>
      <c r="F3412" s="17" t="s">
        <v>2995</v>
      </c>
      <c r="G3412" s="14">
        <v>10632240</v>
      </c>
      <c r="H3412" s="14">
        <v>9569016</v>
      </c>
      <c r="I3412" s="31">
        <f>IF(COUNTIFS(Addendum!C:C,A3412,Addendum!D:D,IF(ISNUMBER(B3412),TEXT(B3412,"0000"),B3412),Addendum!E:E,"X")&gt;0,4%,0)</f>
        <v>0.04</v>
      </c>
      <c r="J3412" s="31">
        <f>IF(COUNTIFS(Addendum!C:C,A3412,Addendum!D:D,IF(ISNUMBER(B3412),TEXT(B3412,"0000"),B3412),Addendum!F:F,"X")&gt;0,2.5%,0)</f>
        <v>0</v>
      </c>
      <c r="K3412" s="31">
        <f>IF(COUNTIFS(Addendum!C:C,A3412,Addendum!D:D,IF(ISNUMBER(B3412),TEXT(B3412,"0000"),B3412),Addendum!G:G,"X")&gt;0,7%,0)</f>
        <v>0</v>
      </c>
      <c r="L3412" s="31">
        <f>IF(COUNTIFS(Addendum!C:C,A3412,Addendum!D:D,IF(ISNUMBER(B3412),TEXT(B3412,"0000"),B3412),Addendum!I:I,"X")&gt;0,10%,0)</f>
        <v>0</v>
      </c>
      <c r="M3412" s="34">
        <f t="shared" si="106"/>
        <v>0.03</v>
      </c>
      <c r="N3412" s="17">
        <f t="shared" si="107"/>
        <v>9281945.5199999996</v>
      </c>
    </row>
    <row r="3413" spans="1:14" x14ac:dyDescent="0.25">
      <c r="A3413" s="14" t="s">
        <v>1342</v>
      </c>
      <c r="B3413" s="14" t="s">
        <v>73</v>
      </c>
      <c r="C3413" s="15" t="s">
        <v>1366</v>
      </c>
      <c r="D3413" s="14" t="s">
        <v>1745</v>
      </c>
      <c r="E3413" s="14" t="s">
        <v>1746</v>
      </c>
      <c r="F3413" s="17" t="s">
        <v>2993</v>
      </c>
      <c r="G3413" s="14">
        <v>14885199</v>
      </c>
      <c r="H3413" s="14">
        <v>11908159</v>
      </c>
      <c r="I3413" s="31">
        <f>IF(COUNTIFS(Addendum!C:C,A3413,Addendum!D:D,IF(ISNUMBER(B3413),TEXT(B3413,"0000"),B3413),Addendum!E:E,"X")&gt;0,4%,0)</f>
        <v>0.04</v>
      </c>
      <c r="J3413" s="31">
        <f>IF(COUNTIFS(Addendum!C:C,A3413,Addendum!D:D,IF(ISNUMBER(B3413),TEXT(B3413,"0000"),B3413),Addendum!F:F,"X")&gt;0,2.5%,0)</f>
        <v>0</v>
      </c>
      <c r="K3413" s="31">
        <f>IF(COUNTIFS(Addendum!C:C,A3413,Addendum!D:D,IF(ISNUMBER(B3413),TEXT(B3413,"0000"),B3413),Addendum!G:G,"X")&gt;0,7%,0)</f>
        <v>0</v>
      </c>
      <c r="L3413" s="31">
        <f>IF(COUNTIFS(Addendum!C:C,A3413,Addendum!D:D,IF(ISNUMBER(B3413),TEXT(B3413,"0000"),B3413),Addendum!I:I,"X")&gt;0,10%,0)</f>
        <v>0</v>
      </c>
      <c r="M3413" s="34">
        <f t="shared" si="106"/>
        <v>0.01</v>
      </c>
      <c r="N3413" s="17">
        <f t="shared" si="107"/>
        <v>11789077.41</v>
      </c>
    </row>
    <row r="3414" spans="1:14" x14ac:dyDescent="0.25">
      <c r="A3414" s="14" t="s">
        <v>1342</v>
      </c>
      <c r="B3414" s="14" t="s">
        <v>258</v>
      </c>
      <c r="C3414" s="15" t="s">
        <v>2769</v>
      </c>
      <c r="D3414" s="14" t="s">
        <v>1749</v>
      </c>
      <c r="E3414" s="14" t="s">
        <v>1746</v>
      </c>
      <c r="F3414" s="17" t="s">
        <v>2995</v>
      </c>
      <c r="G3414" s="14">
        <v>509478</v>
      </c>
      <c r="H3414" s="14">
        <v>458530.2</v>
      </c>
      <c r="I3414" s="31">
        <f>IF(COUNTIFS(Addendum!C:C,A3414,Addendum!D:D,IF(ISNUMBER(B3414),TEXT(B3414,"0000"),B3414),Addendum!E:E,"X")&gt;0,4%,0)</f>
        <v>0.04</v>
      </c>
      <c r="J3414" s="31">
        <f>IF(COUNTIFS(Addendum!C:C,A3414,Addendum!D:D,IF(ISNUMBER(B3414),TEXT(B3414,"0000"),B3414),Addendum!F:F,"X")&gt;0,2.5%,0)</f>
        <v>0</v>
      </c>
      <c r="K3414" s="31">
        <f>IF(COUNTIFS(Addendum!C:C,A3414,Addendum!D:D,IF(ISNUMBER(B3414),TEXT(B3414,"0000"),B3414),Addendum!G:G,"X")&gt;0,7%,0)</f>
        <v>0</v>
      </c>
      <c r="L3414" s="31">
        <f>IF(COUNTIFS(Addendum!C:C,A3414,Addendum!D:D,IF(ISNUMBER(B3414),TEXT(B3414,"0000"),B3414),Addendum!I:I,"X")&gt;0,10%,0)</f>
        <v>0</v>
      </c>
      <c r="M3414" s="34">
        <f t="shared" si="106"/>
        <v>0.01</v>
      </c>
      <c r="N3414" s="17">
        <f t="shared" si="107"/>
        <v>453944.89799999999</v>
      </c>
    </row>
    <row r="3415" spans="1:14" x14ac:dyDescent="0.25">
      <c r="A3415" s="14" t="s">
        <v>1342</v>
      </c>
      <c r="B3415" s="14" t="s">
        <v>333</v>
      </c>
      <c r="C3415" s="15" t="s">
        <v>2763</v>
      </c>
      <c r="D3415" s="14" t="s">
        <v>1752</v>
      </c>
      <c r="E3415" s="14" t="s">
        <v>1747</v>
      </c>
      <c r="F3415" s="17" t="s">
        <v>2994</v>
      </c>
      <c r="G3415" s="14">
        <v>6379380</v>
      </c>
      <c r="H3415" s="14">
        <v>5103504</v>
      </c>
      <c r="I3415" s="31">
        <f>IF(COUNTIFS(Addendum!C:C,A3415,Addendum!D:D,IF(ISNUMBER(B3415),TEXT(B3415,"0000"),B3415),Addendum!E:E,"X")&gt;0,4%,0)</f>
        <v>0.04</v>
      </c>
      <c r="J3415" s="31">
        <f>IF(COUNTIFS(Addendum!C:C,A3415,Addendum!D:D,IF(ISNUMBER(B3415),TEXT(B3415,"0000"),B3415),Addendum!F:F,"X")&gt;0,2.5%,0)</f>
        <v>0</v>
      </c>
      <c r="K3415" s="31">
        <f>IF(COUNTIFS(Addendum!C:C,A3415,Addendum!D:D,IF(ISNUMBER(B3415),TEXT(B3415,"0000"),B3415),Addendum!G:G,"X")&gt;0,7%,0)</f>
        <v>0</v>
      </c>
      <c r="L3415" s="31">
        <f>IF(COUNTIFS(Addendum!C:C,A3415,Addendum!D:D,IF(ISNUMBER(B3415),TEXT(B3415,"0000"),B3415),Addendum!I:I,"X")&gt;0,10%,0)</f>
        <v>0</v>
      </c>
      <c r="M3415" s="34">
        <f t="shared" si="106"/>
        <v>0.03</v>
      </c>
      <c r="N3415" s="17">
        <f t="shared" si="107"/>
        <v>4950398.88</v>
      </c>
    </row>
    <row r="3416" spans="1:14" x14ac:dyDescent="0.25">
      <c r="A3416" s="14" t="s">
        <v>1342</v>
      </c>
      <c r="B3416" s="14" t="s">
        <v>297</v>
      </c>
      <c r="C3416" s="15" t="s">
        <v>2767</v>
      </c>
      <c r="D3416" s="14" t="s">
        <v>1745</v>
      </c>
      <c r="E3416" s="14" t="s">
        <v>1746</v>
      </c>
      <c r="F3416" s="17" t="s">
        <v>2995</v>
      </c>
      <c r="G3416" s="14">
        <v>1395513</v>
      </c>
      <c r="H3416" s="14">
        <v>1255962</v>
      </c>
      <c r="I3416" s="31">
        <f>IF(COUNTIFS(Addendum!C:C,A3416,Addendum!D:D,IF(ISNUMBER(B3416),TEXT(B3416,"0000"),B3416),Addendum!E:E,"X")&gt;0,4%,0)</f>
        <v>0.04</v>
      </c>
      <c r="J3416" s="31">
        <f>IF(COUNTIFS(Addendum!C:C,A3416,Addendum!D:D,IF(ISNUMBER(B3416),TEXT(B3416,"0000"),B3416),Addendum!F:F,"X")&gt;0,2.5%,0)</f>
        <v>0</v>
      </c>
      <c r="K3416" s="31">
        <f>IF(COUNTIFS(Addendum!C:C,A3416,Addendum!D:D,IF(ISNUMBER(B3416),TEXT(B3416,"0000"),B3416),Addendum!G:G,"X")&gt;0,7%,0)</f>
        <v>0</v>
      </c>
      <c r="L3416" s="31">
        <f>IF(COUNTIFS(Addendum!C:C,A3416,Addendum!D:D,IF(ISNUMBER(B3416),TEXT(B3416,"0000"),B3416),Addendum!I:I,"X")&gt;0,10%,0)</f>
        <v>0</v>
      </c>
      <c r="M3416" s="34">
        <f t="shared" si="106"/>
        <v>0.01</v>
      </c>
      <c r="N3416" s="17">
        <f t="shared" si="107"/>
        <v>1243402.3799999999</v>
      </c>
    </row>
    <row r="3417" spans="1:14" x14ac:dyDescent="0.25">
      <c r="A3417" s="14" t="s">
        <v>1342</v>
      </c>
      <c r="B3417" s="14">
        <v>7</v>
      </c>
      <c r="C3417" s="15" t="s">
        <v>2762</v>
      </c>
      <c r="D3417" s="14" t="s">
        <v>1749</v>
      </c>
      <c r="E3417" s="14" t="s">
        <v>1746</v>
      </c>
      <c r="F3417" s="17" t="s">
        <v>2995</v>
      </c>
      <c r="G3417" s="14">
        <v>88602</v>
      </c>
      <c r="H3417" s="14">
        <v>79741.8</v>
      </c>
      <c r="I3417" s="31">
        <f>IF(COUNTIFS(Addendum!C:C,A3417,Addendum!D:D,IF(ISNUMBER(B3417),TEXT(B3417,"0000"),B3417),Addendum!E:E,"X")&gt;0,4%,0)</f>
        <v>0.04</v>
      </c>
      <c r="J3417" s="31">
        <f>IF(COUNTIFS(Addendum!C:C,A3417,Addendum!D:D,IF(ISNUMBER(B3417),TEXT(B3417,"0000"),B3417),Addendum!F:F,"X")&gt;0,2.5%,0)</f>
        <v>0</v>
      </c>
      <c r="K3417" s="31">
        <f>IF(COUNTIFS(Addendum!C:C,A3417,Addendum!D:D,IF(ISNUMBER(B3417),TEXT(B3417,"0000"),B3417),Addendum!G:G,"X")&gt;0,7%,0)</f>
        <v>0</v>
      </c>
      <c r="L3417" s="31">
        <f>IF(COUNTIFS(Addendum!C:C,A3417,Addendum!D:D,IF(ISNUMBER(B3417),TEXT(B3417,"0000"),B3417),Addendum!I:I,"X")&gt;0,10%,0)</f>
        <v>0</v>
      </c>
      <c r="M3417" s="34">
        <f t="shared" si="106"/>
        <v>0.01</v>
      </c>
      <c r="N3417" s="17">
        <f t="shared" si="107"/>
        <v>78944.381999999998</v>
      </c>
    </row>
    <row r="3418" spans="1:14" x14ac:dyDescent="0.25">
      <c r="A3418" s="14" t="s">
        <v>1342</v>
      </c>
      <c r="B3418" s="14">
        <v>6</v>
      </c>
      <c r="C3418" s="15" t="s">
        <v>2768</v>
      </c>
      <c r="D3418" s="14" t="s">
        <v>1745</v>
      </c>
      <c r="E3418" s="14" t="s">
        <v>1747</v>
      </c>
      <c r="F3418" s="17" t="s">
        <v>2995</v>
      </c>
      <c r="G3418" s="14">
        <v>336960</v>
      </c>
      <c r="H3418" s="14">
        <v>303264</v>
      </c>
      <c r="I3418" s="31">
        <f>IF(COUNTIFS(Addendum!C:C,A3418,Addendum!D:D,IF(ISNUMBER(B3418),TEXT(B3418,"0000"),B3418),Addendum!E:E,"X")&gt;0,4%,0)</f>
        <v>0.04</v>
      </c>
      <c r="J3418" s="31">
        <f>IF(COUNTIFS(Addendum!C:C,A3418,Addendum!D:D,IF(ISNUMBER(B3418),TEXT(B3418,"0000"),B3418),Addendum!F:F,"X")&gt;0,2.5%,0)</f>
        <v>0</v>
      </c>
      <c r="K3418" s="31">
        <f>IF(COUNTIFS(Addendum!C:C,A3418,Addendum!D:D,IF(ISNUMBER(B3418),TEXT(B3418,"0000"),B3418),Addendum!G:G,"X")&gt;0,7%,0)</f>
        <v>0</v>
      </c>
      <c r="L3418" s="31">
        <f>IF(COUNTIFS(Addendum!C:C,A3418,Addendum!D:D,IF(ISNUMBER(B3418),TEXT(B3418,"0000"),B3418),Addendum!I:I,"X")&gt;0,10%,0)</f>
        <v>0</v>
      </c>
      <c r="M3418" s="34">
        <f t="shared" si="106"/>
        <v>0.03</v>
      </c>
      <c r="N3418" s="17">
        <f t="shared" si="107"/>
        <v>294166.08</v>
      </c>
    </row>
    <row r="3419" spans="1:14" x14ac:dyDescent="0.25">
      <c r="A3419" s="14" t="s">
        <v>1342</v>
      </c>
      <c r="B3419" s="14" t="s">
        <v>24</v>
      </c>
      <c r="C3419" s="15" t="s">
        <v>2760</v>
      </c>
      <c r="D3419" s="14" t="s">
        <v>1745</v>
      </c>
      <c r="E3419" s="14" t="s">
        <v>1747</v>
      </c>
      <c r="F3419" s="17" t="s">
        <v>2994</v>
      </c>
      <c r="G3419" s="14">
        <v>10632300</v>
      </c>
      <c r="H3419" s="14">
        <v>8505840</v>
      </c>
      <c r="I3419" s="31">
        <f>IF(COUNTIFS(Addendum!C:C,A3419,Addendum!D:D,IF(ISNUMBER(B3419),TEXT(B3419,"0000"),B3419),Addendum!E:E,"X")&gt;0,4%,0)</f>
        <v>0.04</v>
      </c>
      <c r="J3419" s="31">
        <f>IF(COUNTIFS(Addendum!C:C,A3419,Addendum!D:D,IF(ISNUMBER(B3419),TEXT(B3419,"0000"),B3419),Addendum!F:F,"X")&gt;0,2.5%,0)</f>
        <v>0</v>
      </c>
      <c r="K3419" s="31">
        <f>IF(COUNTIFS(Addendum!C:C,A3419,Addendum!D:D,IF(ISNUMBER(B3419),TEXT(B3419,"0000"),B3419),Addendum!G:G,"X")&gt;0,7%,0)</f>
        <v>0</v>
      </c>
      <c r="L3419" s="31">
        <f>IF(COUNTIFS(Addendum!C:C,A3419,Addendum!D:D,IF(ISNUMBER(B3419),TEXT(B3419,"0000"),B3419),Addendum!I:I,"X")&gt;0,10%,0)</f>
        <v>0</v>
      </c>
      <c r="M3419" s="34">
        <f t="shared" si="106"/>
        <v>0.03</v>
      </c>
      <c r="N3419" s="17">
        <f t="shared" si="107"/>
        <v>8250664.7999999998</v>
      </c>
    </row>
    <row r="3420" spans="1:14" x14ac:dyDescent="0.25">
      <c r="A3420" s="14" t="s">
        <v>1342</v>
      </c>
      <c r="B3420" s="14" t="s">
        <v>307</v>
      </c>
      <c r="C3420" s="15" t="s">
        <v>1378</v>
      </c>
      <c r="D3420" s="14" t="s">
        <v>1752</v>
      </c>
      <c r="E3420" s="14" t="s">
        <v>1747</v>
      </c>
      <c r="F3420" s="17" t="s">
        <v>2993</v>
      </c>
      <c r="G3420" s="14">
        <v>61137180</v>
      </c>
      <c r="H3420" s="14">
        <v>48909744</v>
      </c>
      <c r="I3420" s="31">
        <f>IF(COUNTIFS(Addendum!C:C,A3420,Addendum!D:D,IF(ISNUMBER(B3420),TEXT(B3420,"0000"),B3420),Addendum!E:E,"X")&gt;0,4%,0)</f>
        <v>0.04</v>
      </c>
      <c r="J3420" s="31">
        <f>IF(COUNTIFS(Addendum!C:C,A3420,Addendum!D:D,IF(ISNUMBER(B3420),TEXT(B3420,"0000"),B3420),Addendum!F:F,"X")&gt;0,2.5%,0)</f>
        <v>0</v>
      </c>
      <c r="K3420" s="31">
        <f>IF(COUNTIFS(Addendum!C:C,A3420,Addendum!D:D,IF(ISNUMBER(B3420),TEXT(B3420,"0000"),B3420),Addendum!G:G,"X")&gt;0,7%,0)</f>
        <v>0</v>
      </c>
      <c r="L3420" s="31">
        <f>IF(COUNTIFS(Addendum!C:C,A3420,Addendum!D:D,IF(ISNUMBER(B3420),TEXT(B3420,"0000"),B3420),Addendum!I:I,"X")&gt;0,10%,0)</f>
        <v>0</v>
      </c>
      <c r="M3420" s="34">
        <f t="shared" si="106"/>
        <v>0.03</v>
      </c>
      <c r="N3420" s="17">
        <f t="shared" si="107"/>
        <v>47442451.68</v>
      </c>
    </row>
    <row r="3421" spans="1:14" x14ac:dyDescent="0.25">
      <c r="A3421" s="14" t="s">
        <v>1392</v>
      </c>
      <c r="B3421" s="14">
        <v>1</v>
      </c>
      <c r="C3421" s="15" t="s">
        <v>1391</v>
      </c>
      <c r="D3421" s="14" t="s">
        <v>1745</v>
      </c>
      <c r="E3421" s="14" t="s">
        <v>1746</v>
      </c>
      <c r="F3421" s="17" t="s">
        <v>2993</v>
      </c>
      <c r="G3421" s="14">
        <v>35658</v>
      </c>
      <c r="H3421" s="14">
        <v>28526.400000000001</v>
      </c>
      <c r="I3421" s="31">
        <f>IF(COUNTIFS(Addendum!C:C,A3421,Addendum!D:D,IF(ISNUMBER(B3421),TEXT(B3421,"0000"),B3421),Addendum!E:E,"X")&gt;0,4%,0)</f>
        <v>0.04</v>
      </c>
      <c r="J3421" s="31">
        <f>IF(COUNTIFS(Addendum!C:C,A3421,Addendum!D:D,IF(ISNUMBER(B3421),TEXT(B3421,"0000"),B3421),Addendum!F:F,"X")&gt;0,2.5%,0)</f>
        <v>0</v>
      </c>
      <c r="K3421" s="31">
        <f>IF(COUNTIFS(Addendum!C:C,A3421,Addendum!D:D,IF(ISNUMBER(B3421),TEXT(B3421,"0000"),B3421),Addendum!G:G,"X")&gt;0,7%,0)</f>
        <v>0</v>
      </c>
      <c r="L3421" s="31">
        <f>IF(COUNTIFS(Addendum!C:C,A3421,Addendum!D:D,IF(ISNUMBER(B3421),TEXT(B3421,"0000"),B3421),Addendum!I:I,"X")&gt;0,10%,0)</f>
        <v>0</v>
      </c>
      <c r="M3421" s="34">
        <f t="shared" si="106"/>
        <v>0.01</v>
      </c>
      <c r="N3421" s="17">
        <f t="shared" si="107"/>
        <v>28241.136000000002</v>
      </c>
    </row>
    <row r="3422" spans="1:14" x14ac:dyDescent="0.25">
      <c r="A3422" s="14" t="s">
        <v>1392</v>
      </c>
      <c r="B3422" s="14">
        <v>1</v>
      </c>
      <c r="C3422" s="15" t="s">
        <v>1391</v>
      </c>
      <c r="D3422" s="14" t="s">
        <v>1749</v>
      </c>
      <c r="E3422" s="14" t="s">
        <v>1746</v>
      </c>
      <c r="F3422" s="17" t="s">
        <v>2993</v>
      </c>
      <c r="G3422" s="14">
        <v>3396</v>
      </c>
      <c r="H3422" s="14">
        <v>2716.8</v>
      </c>
      <c r="I3422" s="31">
        <f>IF(COUNTIFS(Addendum!C:C,A3422,Addendum!D:D,IF(ISNUMBER(B3422),TEXT(B3422,"0000"),B3422),Addendum!E:E,"X")&gt;0,4%,0)</f>
        <v>0.04</v>
      </c>
      <c r="J3422" s="31">
        <f>IF(COUNTIFS(Addendum!C:C,A3422,Addendum!D:D,IF(ISNUMBER(B3422),TEXT(B3422,"0000"),B3422),Addendum!F:F,"X")&gt;0,2.5%,0)</f>
        <v>0</v>
      </c>
      <c r="K3422" s="31">
        <f>IF(COUNTIFS(Addendum!C:C,A3422,Addendum!D:D,IF(ISNUMBER(B3422),TEXT(B3422,"0000"),B3422),Addendum!G:G,"X")&gt;0,7%,0)</f>
        <v>0</v>
      </c>
      <c r="L3422" s="31">
        <f>IF(COUNTIFS(Addendum!C:C,A3422,Addendum!D:D,IF(ISNUMBER(B3422),TEXT(B3422,"0000"),B3422),Addendum!I:I,"X")&gt;0,10%,0)</f>
        <v>0</v>
      </c>
      <c r="M3422" s="34">
        <f t="shared" si="106"/>
        <v>0.01</v>
      </c>
      <c r="N3422" s="17">
        <f t="shared" si="107"/>
        <v>2689.6320000000001</v>
      </c>
    </row>
    <row r="3423" spans="1:14" x14ac:dyDescent="0.25">
      <c r="A3423" s="14" t="s">
        <v>1392</v>
      </c>
      <c r="B3423" s="14">
        <v>1</v>
      </c>
      <c r="C3423" s="15" t="s">
        <v>1391</v>
      </c>
      <c r="D3423" s="14" t="s">
        <v>1745</v>
      </c>
      <c r="E3423" s="14" t="s">
        <v>1747</v>
      </c>
      <c r="F3423" s="17" t="s">
        <v>2993</v>
      </c>
      <c r="G3423" s="14">
        <v>33960</v>
      </c>
      <c r="H3423" s="14">
        <v>27168</v>
      </c>
      <c r="I3423" s="31">
        <f>IF(COUNTIFS(Addendum!C:C,A3423,Addendum!D:D,IF(ISNUMBER(B3423),TEXT(B3423,"0000"),B3423),Addendum!E:E,"X")&gt;0,4%,0)</f>
        <v>0.04</v>
      </c>
      <c r="J3423" s="31">
        <f>IF(COUNTIFS(Addendum!C:C,A3423,Addendum!D:D,IF(ISNUMBER(B3423),TEXT(B3423,"0000"),B3423),Addendum!F:F,"X")&gt;0,2.5%,0)</f>
        <v>0</v>
      </c>
      <c r="K3423" s="31">
        <f>IF(COUNTIFS(Addendum!C:C,A3423,Addendum!D:D,IF(ISNUMBER(B3423),TEXT(B3423,"0000"),B3423),Addendum!G:G,"X")&gt;0,7%,0)</f>
        <v>0</v>
      </c>
      <c r="L3423" s="31">
        <f>IF(COUNTIFS(Addendum!C:C,A3423,Addendum!D:D,IF(ISNUMBER(B3423),TEXT(B3423,"0000"),B3423),Addendum!I:I,"X")&gt;0,10%,0)</f>
        <v>0</v>
      </c>
      <c r="M3423" s="34">
        <f t="shared" si="106"/>
        <v>0.03</v>
      </c>
      <c r="N3423" s="17">
        <f t="shared" si="107"/>
        <v>26352.959999999999</v>
      </c>
    </row>
    <row r="3424" spans="1:14" x14ac:dyDescent="0.25">
      <c r="A3424" s="14" t="s">
        <v>1396</v>
      </c>
      <c r="B3424" s="14">
        <v>22</v>
      </c>
      <c r="C3424" s="15" t="s">
        <v>1395</v>
      </c>
      <c r="D3424" s="14" t="s">
        <v>1749</v>
      </c>
      <c r="E3424" s="14" t="s">
        <v>1746</v>
      </c>
      <c r="F3424" s="17" t="s">
        <v>2993</v>
      </c>
      <c r="G3424" s="14">
        <v>996</v>
      </c>
      <c r="H3424" s="14">
        <v>796.8</v>
      </c>
      <c r="I3424" s="31">
        <f>IF(COUNTIFS(Addendum!C:C,A3424,Addendum!D:D,IF(ISNUMBER(B3424),TEXT(B3424,"0000"),B3424),Addendum!E:E,"X")&gt;0,4%,0)</f>
        <v>0.04</v>
      </c>
      <c r="J3424" s="31">
        <f>IF(COUNTIFS(Addendum!C:C,A3424,Addendum!D:D,IF(ISNUMBER(B3424),TEXT(B3424,"0000"),B3424),Addendum!F:F,"X")&gt;0,2.5%,0)</f>
        <v>0</v>
      </c>
      <c r="K3424" s="31">
        <f>IF(COUNTIFS(Addendum!C:C,A3424,Addendum!D:D,IF(ISNUMBER(B3424),TEXT(B3424,"0000"),B3424),Addendum!G:G,"X")&gt;0,7%,0)</f>
        <v>0</v>
      </c>
      <c r="L3424" s="31">
        <f>IF(COUNTIFS(Addendum!C:C,A3424,Addendum!D:D,IF(ISNUMBER(B3424),TEXT(B3424,"0000"),B3424),Addendum!I:I,"X")&gt;0,10%,0)</f>
        <v>0</v>
      </c>
      <c r="M3424" s="34">
        <f t="shared" si="106"/>
        <v>0.01</v>
      </c>
      <c r="N3424" s="17">
        <f t="shared" si="107"/>
        <v>788.83199999999999</v>
      </c>
    </row>
    <row r="3425" spans="1:14" x14ac:dyDescent="0.25">
      <c r="A3425" s="14" t="s">
        <v>1396</v>
      </c>
      <c r="B3425" s="14" t="s">
        <v>112</v>
      </c>
      <c r="C3425" s="15" t="s">
        <v>2773</v>
      </c>
      <c r="D3425" s="14" t="s">
        <v>1745</v>
      </c>
      <c r="E3425" s="14" t="s">
        <v>1746</v>
      </c>
      <c r="F3425" s="17" t="s">
        <v>2994</v>
      </c>
      <c r="G3425" s="14">
        <v>2079</v>
      </c>
      <c r="H3425" s="14">
        <v>1663.2</v>
      </c>
      <c r="I3425" s="31">
        <f>IF(COUNTIFS(Addendum!C:C,A3425,Addendum!D:D,IF(ISNUMBER(B3425),TEXT(B3425,"0000"),B3425),Addendum!E:E,"X")&gt;0,4%,0)</f>
        <v>0.04</v>
      </c>
      <c r="J3425" s="31">
        <f>IF(COUNTIFS(Addendum!C:C,A3425,Addendum!D:D,IF(ISNUMBER(B3425),TEXT(B3425,"0000"),B3425),Addendum!F:F,"X")&gt;0,2.5%,0)</f>
        <v>0</v>
      </c>
      <c r="K3425" s="31">
        <f>IF(COUNTIFS(Addendum!C:C,A3425,Addendum!D:D,IF(ISNUMBER(B3425),TEXT(B3425,"0000"),B3425),Addendum!G:G,"X")&gt;0,7%,0)</f>
        <v>0</v>
      </c>
      <c r="L3425" s="31">
        <f>IF(COUNTIFS(Addendum!C:C,A3425,Addendum!D:D,IF(ISNUMBER(B3425),TEXT(B3425,"0000"),B3425),Addendum!I:I,"X")&gt;0,10%,0)</f>
        <v>0</v>
      </c>
      <c r="M3425" s="34">
        <f t="shared" si="106"/>
        <v>0.01</v>
      </c>
      <c r="N3425" s="17">
        <f t="shared" si="107"/>
        <v>1646.568</v>
      </c>
    </row>
    <row r="3426" spans="1:14" x14ac:dyDescent="0.25">
      <c r="A3426" s="14" t="s">
        <v>1396</v>
      </c>
      <c r="B3426" s="14">
        <v>22</v>
      </c>
      <c r="C3426" s="15" t="s">
        <v>1395</v>
      </c>
      <c r="D3426" s="14" t="s">
        <v>1745</v>
      </c>
      <c r="E3426" s="14" t="s">
        <v>1747</v>
      </c>
      <c r="F3426" s="17" t="s">
        <v>2993</v>
      </c>
      <c r="G3426" s="14">
        <v>9960</v>
      </c>
      <c r="H3426" s="14">
        <v>7968</v>
      </c>
      <c r="I3426" s="31">
        <f>IF(COUNTIFS(Addendum!C:C,A3426,Addendum!D:D,IF(ISNUMBER(B3426),TEXT(B3426,"0000"),B3426),Addendum!E:E,"X")&gt;0,4%,0)</f>
        <v>0.04</v>
      </c>
      <c r="J3426" s="31">
        <f>IF(COUNTIFS(Addendum!C:C,A3426,Addendum!D:D,IF(ISNUMBER(B3426),TEXT(B3426,"0000"),B3426),Addendum!F:F,"X")&gt;0,2.5%,0)</f>
        <v>0</v>
      </c>
      <c r="K3426" s="31">
        <f>IF(COUNTIFS(Addendum!C:C,A3426,Addendum!D:D,IF(ISNUMBER(B3426),TEXT(B3426,"0000"),B3426),Addendum!G:G,"X")&gt;0,7%,0)</f>
        <v>0</v>
      </c>
      <c r="L3426" s="31">
        <f>IF(COUNTIFS(Addendum!C:C,A3426,Addendum!D:D,IF(ISNUMBER(B3426),TEXT(B3426,"0000"),B3426),Addendum!I:I,"X")&gt;0,10%,0)</f>
        <v>0</v>
      </c>
      <c r="M3426" s="34">
        <f t="shared" si="106"/>
        <v>0.03</v>
      </c>
      <c r="N3426" s="17">
        <f t="shared" si="107"/>
        <v>7728.96</v>
      </c>
    </row>
    <row r="3427" spans="1:14" x14ac:dyDescent="0.25">
      <c r="A3427" s="14" t="s">
        <v>1396</v>
      </c>
      <c r="B3427" s="14" t="s">
        <v>112</v>
      </c>
      <c r="C3427" s="15" t="s">
        <v>2773</v>
      </c>
      <c r="D3427" s="14" t="s">
        <v>1745</v>
      </c>
      <c r="E3427" s="14" t="s">
        <v>1747</v>
      </c>
      <c r="F3427" s="17" t="s">
        <v>2994</v>
      </c>
      <c r="G3427" s="14">
        <v>1980</v>
      </c>
      <c r="H3427" s="14">
        <v>1584</v>
      </c>
      <c r="I3427" s="31">
        <f>IF(COUNTIFS(Addendum!C:C,A3427,Addendum!D:D,IF(ISNUMBER(B3427),TEXT(B3427,"0000"),B3427),Addendum!E:E,"X")&gt;0,4%,0)</f>
        <v>0.04</v>
      </c>
      <c r="J3427" s="31">
        <f>IF(COUNTIFS(Addendum!C:C,A3427,Addendum!D:D,IF(ISNUMBER(B3427),TEXT(B3427,"0000"),B3427),Addendum!F:F,"X")&gt;0,2.5%,0)</f>
        <v>0</v>
      </c>
      <c r="K3427" s="31">
        <f>IF(COUNTIFS(Addendum!C:C,A3427,Addendum!D:D,IF(ISNUMBER(B3427),TEXT(B3427,"0000"),B3427),Addendum!G:G,"X")&gt;0,7%,0)</f>
        <v>0</v>
      </c>
      <c r="L3427" s="31">
        <f>IF(COUNTIFS(Addendum!C:C,A3427,Addendum!D:D,IF(ISNUMBER(B3427),TEXT(B3427,"0000"),B3427),Addendum!I:I,"X")&gt;0,10%,0)</f>
        <v>0</v>
      </c>
      <c r="M3427" s="34">
        <f t="shared" si="106"/>
        <v>0.03</v>
      </c>
      <c r="N3427" s="17">
        <f t="shared" si="107"/>
        <v>1536.48</v>
      </c>
    </row>
    <row r="3428" spans="1:14" x14ac:dyDescent="0.25">
      <c r="A3428" s="14" t="s">
        <v>1396</v>
      </c>
      <c r="B3428" s="14">
        <v>21</v>
      </c>
      <c r="C3428" s="15" t="s">
        <v>2774</v>
      </c>
      <c r="D3428" s="14" t="s">
        <v>1752</v>
      </c>
      <c r="E3428" s="14" t="s">
        <v>1753</v>
      </c>
      <c r="F3428" s="17" t="s">
        <v>2995</v>
      </c>
      <c r="G3428" s="14">
        <v>12060</v>
      </c>
      <c r="H3428" s="14">
        <v>10854</v>
      </c>
      <c r="I3428" s="31">
        <f>IF(COUNTIFS(Addendum!C:C,A3428,Addendum!D:D,IF(ISNUMBER(B3428),TEXT(B3428,"0000"),B3428),Addendum!E:E,"X")&gt;0,4%,0)</f>
        <v>0.04</v>
      </c>
      <c r="J3428" s="31">
        <f>IF(COUNTIFS(Addendum!C:C,A3428,Addendum!D:D,IF(ISNUMBER(B3428),TEXT(B3428,"0000"),B3428),Addendum!F:F,"X")&gt;0,2.5%,0)</f>
        <v>0</v>
      </c>
      <c r="K3428" s="31">
        <f>IF(COUNTIFS(Addendum!C:C,A3428,Addendum!D:D,IF(ISNUMBER(B3428),TEXT(B3428,"0000"),B3428),Addendum!G:G,"X")&gt;0,7%,0)</f>
        <v>0</v>
      </c>
      <c r="L3428" s="31">
        <f>IF(COUNTIFS(Addendum!C:C,A3428,Addendum!D:D,IF(ISNUMBER(B3428),TEXT(B3428,"0000"),B3428),Addendum!I:I,"X")&gt;0,10%,0)</f>
        <v>0</v>
      </c>
      <c r="M3428" s="34">
        <f t="shared" si="106"/>
        <v>0.03</v>
      </c>
      <c r="N3428" s="17">
        <f t="shared" si="107"/>
        <v>10528.38</v>
      </c>
    </row>
    <row r="3429" spans="1:14" x14ac:dyDescent="0.25">
      <c r="A3429" s="14" t="s">
        <v>1396</v>
      </c>
      <c r="B3429" s="14">
        <v>21</v>
      </c>
      <c r="C3429" s="15" t="s">
        <v>2774</v>
      </c>
      <c r="D3429" s="14" t="s">
        <v>1749</v>
      </c>
      <c r="E3429" s="14" t="s">
        <v>1746</v>
      </c>
      <c r="F3429" s="17" t="s">
        <v>2995</v>
      </c>
      <c r="G3429" s="14">
        <v>402</v>
      </c>
      <c r="H3429" s="14">
        <v>361.8</v>
      </c>
      <c r="I3429" s="31">
        <f>IF(COUNTIFS(Addendum!C:C,A3429,Addendum!D:D,IF(ISNUMBER(B3429),TEXT(B3429,"0000"),B3429),Addendum!E:E,"X")&gt;0,4%,0)</f>
        <v>0.04</v>
      </c>
      <c r="J3429" s="31">
        <f>IF(COUNTIFS(Addendum!C:C,A3429,Addendum!D:D,IF(ISNUMBER(B3429),TEXT(B3429,"0000"),B3429),Addendum!F:F,"X")&gt;0,2.5%,0)</f>
        <v>0</v>
      </c>
      <c r="K3429" s="31">
        <f>IF(COUNTIFS(Addendum!C:C,A3429,Addendum!D:D,IF(ISNUMBER(B3429),TEXT(B3429,"0000"),B3429),Addendum!G:G,"X")&gt;0,7%,0)</f>
        <v>0</v>
      </c>
      <c r="L3429" s="31">
        <f>IF(COUNTIFS(Addendum!C:C,A3429,Addendum!D:D,IF(ISNUMBER(B3429),TEXT(B3429,"0000"),B3429),Addendum!I:I,"X")&gt;0,10%,0)</f>
        <v>0</v>
      </c>
      <c r="M3429" s="34">
        <f t="shared" si="106"/>
        <v>0.01</v>
      </c>
      <c r="N3429" s="17">
        <f t="shared" si="107"/>
        <v>358.18200000000002</v>
      </c>
    </row>
    <row r="3430" spans="1:14" x14ac:dyDescent="0.25">
      <c r="A3430" s="14" t="s">
        <v>1396</v>
      </c>
      <c r="B3430" s="14">
        <v>22</v>
      </c>
      <c r="C3430" s="15" t="s">
        <v>1395</v>
      </c>
      <c r="D3430" s="14" t="s">
        <v>1752</v>
      </c>
      <c r="E3430" s="14" t="s">
        <v>1753</v>
      </c>
      <c r="F3430" s="17" t="s">
        <v>2993</v>
      </c>
      <c r="G3430" s="14">
        <v>29880</v>
      </c>
      <c r="H3430" s="14">
        <v>23904</v>
      </c>
      <c r="I3430" s="31">
        <f>IF(COUNTIFS(Addendum!C:C,A3430,Addendum!D:D,IF(ISNUMBER(B3430),TEXT(B3430,"0000"),B3430),Addendum!E:E,"X")&gt;0,4%,0)</f>
        <v>0.04</v>
      </c>
      <c r="J3430" s="31">
        <f>IF(COUNTIFS(Addendum!C:C,A3430,Addendum!D:D,IF(ISNUMBER(B3430),TEXT(B3430,"0000"),B3430),Addendum!F:F,"X")&gt;0,2.5%,0)</f>
        <v>0</v>
      </c>
      <c r="K3430" s="31">
        <f>IF(COUNTIFS(Addendum!C:C,A3430,Addendum!D:D,IF(ISNUMBER(B3430),TEXT(B3430,"0000"),B3430),Addendum!G:G,"X")&gt;0,7%,0)</f>
        <v>0</v>
      </c>
      <c r="L3430" s="31">
        <f>IF(COUNTIFS(Addendum!C:C,A3430,Addendum!D:D,IF(ISNUMBER(B3430),TEXT(B3430,"0000"),B3430),Addendum!I:I,"X")&gt;0,10%,0)</f>
        <v>0</v>
      </c>
      <c r="M3430" s="34">
        <f t="shared" si="106"/>
        <v>0.03</v>
      </c>
      <c r="N3430" s="17">
        <f t="shared" si="107"/>
        <v>23186.880000000001</v>
      </c>
    </row>
    <row r="3431" spans="1:14" x14ac:dyDescent="0.25">
      <c r="A3431" s="14" t="s">
        <v>1396</v>
      </c>
      <c r="B3431" s="14">
        <v>21</v>
      </c>
      <c r="C3431" s="15" t="s">
        <v>2774</v>
      </c>
      <c r="D3431" s="14" t="s">
        <v>1745</v>
      </c>
      <c r="E3431" s="14" t="s">
        <v>1746</v>
      </c>
      <c r="F3431" s="17" t="s">
        <v>2995</v>
      </c>
      <c r="G3431" s="14">
        <v>4221</v>
      </c>
      <c r="H3431" s="14">
        <v>3798.96</v>
      </c>
      <c r="I3431" s="31">
        <f>IF(COUNTIFS(Addendum!C:C,A3431,Addendum!D:D,IF(ISNUMBER(B3431),TEXT(B3431,"0000"),B3431),Addendum!E:E,"X")&gt;0,4%,0)</f>
        <v>0.04</v>
      </c>
      <c r="J3431" s="31">
        <f>IF(COUNTIFS(Addendum!C:C,A3431,Addendum!D:D,IF(ISNUMBER(B3431),TEXT(B3431,"0000"),B3431),Addendum!F:F,"X")&gt;0,2.5%,0)</f>
        <v>0</v>
      </c>
      <c r="K3431" s="31">
        <f>IF(COUNTIFS(Addendum!C:C,A3431,Addendum!D:D,IF(ISNUMBER(B3431),TEXT(B3431,"0000"),B3431),Addendum!G:G,"X")&gt;0,7%,0)</f>
        <v>0</v>
      </c>
      <c r="L3431" s="31">
        <f>IF(COUNTIFS(Addendum!C:C,A3431,Addendum!D:D,IF(ISNUMBER(B3431),TEXT(B3431,"0000"),B3431),Addendum!I:I,"X")&gt;0,10%,0)</f>
        <v>0</v>
      </c>
      <c r="M3431" s="34">
        <f t="shared" si="106"/>
        <v>0.01</v>
      </c>
      <c r="N3431" s="17">
        <f t="shared" si="107"/>
        <v>3760.9704000000002</v>
      </c>
    </row>
    <row r="3432" spans="1:14" x14ac:dyDescent="0.25">
      <c r="A3432" s="14" t="s">
        <v>1396</v>
      </c>
      <c r="B3432" s="14">
        <v>22</v>
      </c>
      <c r="C3432" s="15" t="s">
        <v>1395</v>
      </c>
      <c r="D3432" s="14" t="s">
        <v>1745</v>
      </c>
      <c r="E3432" s="14" t="s">
        <v>1746</v>
      </c>
      <c r="F3432" s="17" t="s">
        <v>2993</v>
      </c>
      <c r="G3432" s="14">
        <v>10458</v>
      </c>
      <c r="H3432" s="14">
        <v>8366.4</v>
      </c>
      <c r="I3432" s="31">
        <f>IF(COUNTIFS(Addendum!C:C,A3432,Addendum!D:D,IF(ISNUMBER(B3432),TEXT(B3432,"0000"),B3432),Addendum!E:E,"X")&gt;0,4%,0)</f>
        <v>0.04</v>
      </c>
      <c r="J3432" s="31">
        <f>IF(COUNTIFS(Addendum!C:C,A3432,Addendum!D:D,IF(ISNUMBER(B3432),TEXT(B3432,"0000"),B3432),Addendum!F:F,"X")&gt;0,2.5%,0)</f>
        <v>0</v>
      </c>
      <c r="K3432" s="31">
        <f>IF(COUNTIFS(Addendum!C:C,A3432,Addendum!D:D,IF(ISNUMBER(B3432),TEXT(B3432,"0000"),B3432),Addendum!G:G,"X")&gt;0,7%,0)</f>
        <v>0</v>
      </c>
      <c r="L3432" s="31">
        <f>IF(COUNTIFS(Addendum!C:C,A3432,Addendum!D:D,IF(ISNUMBER(B3432),TEXT(B3432,"0000"),B3432),Addendum!I:I,"X")&gt;0,10%,0)</f>
        <v>0</v>
      </c>
      <c r="M3432" s="34">
        <f t="shared" si="106"/>
        <v>0.01</v>
      </c>
      <c r="N3432" s="17">
        <f t="shared" si="107"/>
        <v>8282.735999999999</v>
      </c>
    </row>
    <row r="3433" spans="1:14" x14ac:dyDescent="0.25">
      <c r="A3433" s="14" t="s">
        <v>1396</v>
      </c>
      <c r="B3433" s="14">
        <v>22</v>
      </c>
      <c r="C3433" s="15" t="s">
        <v>1395</v>
      </c>
      <c r="D3433" s="14" t="s">
        <v>1752</v>
      </c>
      <c r="E3433" s="14" t="s">
        <v>1747</v>
      </c>
      <c r="F3433" s="17" t="s">
        <v>2993</v>
      </c>
      <c r="G3433" s="14">
        <v>29880</v>
      </c>
      <c r="H3433" s="14">
        <v>23904</v>
      </c>
      <c r="I3433" s="31">
        <f>IF(COUNTIFS(Addendum!C:C,A3433,Addendum!D:D,IF(ISNUMBER(B3433),TEXT(B3433,"0000"),B3433),Addendum!E:E,"X")&gt;0,4%,0)</f>
        <v>0.04</v>
      </c>
      <c r="J3433" s="31">
        <f>IF(COUNTIFS(Addendum!C:C,A3433,Addendum!D:D,IF(ISNUMBER(B3433),TEXT(B3433,"0000"),B3433),Addendum!F:F,"X")&gt;0,2.5%,0)</f>
        <v>0</v>
      </c>
      <c r="K3433" s="31">
        <f>IF(COUNTIFS(Addendum!C:C,A3433,Addendum!D:D,IF(ISNUMBER(B3433),TEXT(B3433,"0000"),B3433),Addendum!G:G,"X")&gt;0,7%,0)</f>
        <v>0</v>
      </c>
      <c r="L3433" s="31">
        <f>IF(COUNTIFS(Addendum!C:C,A3433,Addendum!D:D,IF(ISNUMBER(B3433),TEXT(B3433,"0000"),B3433),Addendum!I:I,"X")&gt;0,10%,0)</f>
        <v>0</v>
      </c>
      <c r="M3433" s="34">
        <f t="shared" si="106"/>
        <v>0.03</v>
      </c>
      <c r="N3433" s="17">
        <f t="shared" si="107"/>
        <v>23186.880000000001</v>
      </c>
    </row>
    <row r="3434" spans="1:14" x14ac:dyDescent="0.25">
      <c r="A3434" s="14" t="s">
        <v>1396</v>
      </c>
      <c r="B3434" s="14">
        <v>21</v>
      </c>
      <c r="C3434" s="15" t="s">
        <v>2774</v>
      </c>
      <c r="D3434" s="14" t="s">
        <v>1745</v>
      </c>
      <c r="E3434" s="14" t="s">
        <v>1747</v>
      </c>
      <c r="F3434" s="17" t="s">
        <v>2995</v>
      </c>
      <c r="G3434" s="14">
        <v>4020</v>
      </c>
      <c r="H3434" s="14">
        <v>3618</v>
      </c>
      <c r="I3434" s="31">
        <f>IF(COUNTIFS(Addendum!C:C,A3434,Addendum!D:D,IF(ISNUMBER(B3434),TEXT(B3434,"0000"),B3434),Addendum!E:E,"X")&gt;0,4%,0)</f>
        <v>0.04</v>
      </c>
      <c r="J3434" s="31">
        <f>IF(COUNTIFS(Addendum!C:C,A3434,Addendum!D:D,IF(ISNUMBER(B3434),TEXT(B3434,"0000"),B3434),Addendum!F:F,"X")&gt;0,2.5%,0)</f>
        <v>0</v>
      </c>
      <c r="K3434" s="31">
        <f>IF(COUNTIFS(Addendum!C:C,A3434,Addendum!D:D,IF(ISNUMBER(B3434),TEXT(B3434,"0000"),B3434),Addendum!G:G,"X")&gt;0,7%,0)</f>
        <v>0</v>
      </c>
      <c r="L3434" s="31">
        <f>IF(COUNTIFS(Addendum!C:C,A3434,Addendum!D:D,IF(ISNUMBER(B3434),TEXT(B3434,"0000"),B3434),Addendum!I:I,"X")&gt;0,10%,0)</f>
        <v>0</v>
      </c>
      <c r="M3434" s="34">
        <f t="shared" si="106"/>
        <v>0.03</v>
      </c>
      <c r="N3434" s="17">
        <f t="shared" si="107"/>
        <v>3509.46</v>
      </c>
    </row>
    <row r="3435" spans="1:14" x14ac:dyDescent="0.25">
      <c r="A3435" s="14" t="s">
        <v>1396</v>
      </c>
      <c r="B3435" s="14" t="s">
        <v>112</v>
      </c>
      <c r="C3435" s="15" t="s">
        <v>2773</v>
      </c>
      <c r="D3435" s="14" t="s">
        <v>1749</v>
      </c>
      <c r="E3435" s="14" t="s">
        <v>1746</v>
      </c>
      <c r="F3435" s="17" t="s">
        <v>2994</v>
      </c>
      <c r="G3435" s="14">
        <v>198</v>
      </c>
      <c r="H3435" s="14">
        <v>158.4</v>
      </c>
      <c r="I3435" s="31">
        <f>IF(COUNTIFS(Addendum!C:C,A3435,Addendum!D:D,IF(ISNUMBER(B3435),TEXT(B3435,"0000"),B3435),Addendum!E:E,"X")&gt;0,4%,0)</f>
        <v>0.04</v>
      </c>
      <c r="J3435" s="31">
        <f>IF(COUNTIFS(Addendum!C:C,A3435,Addendum!D:D,IF(ISNUMBER(B3435),TEXT(B3435,"0000"),B3435),Addendum!F:F,"X")&gt;0,2.5%,0)</f>
        <v>0</v>
      </c>
      <c r="K3435" s="31">
        <f>IF(COUNTIFS(Addendum!C:C,A3435,Addendum!D:D,IF(ISNUMBER(B3435),TEXT(B3435,"0000"),B3435),Addendum!G:G,"X")&gt;0,7%,0)</f>
        <v>0</v>
      </c>
      <c r="L3435" s="31">
        <f>IF(COUNTIFS(Addendum!C:C,A3435,Addendum!D:D,IF(ISNUMBER(B3435),TEXT(B3435,"0000"),B3435),Addendum!I:I,"X")&gt;0,10%,0)</f>
        <v>0</v>
      </c>
      <c r="M3435" s="34">
        <f t="shared" si="106"/>
        <v>0.01</v>
      </c>
      <c r="N3435" s="17">
        <f t="shared" si="107"/>
        <v>156.816</v>
      </c>
    </row>
    <row r="3436" spans="1:14" x14ac:dyDescent="0.25">
      <c r="A3436" s="14" t="s">
        <v>1396</v>
      </c>
      <c r="B3436" s="14" t="s">
        <v>183</v>
      </c>
      <c r="C3436" s="15" t="s">
        <v>2775</v>
      </c>
      <c r="D3436" s="14" t="s">
        <v>1749</v>
      </c>
      <c r="E3436" s="14" t="s">
        <v>1746</v>
      </c>
      <c r="F3436" s="17" t="s">
        <v>2994</v>
      </c>
      <c r="G3436" s="14">
        <v>150</v>
      </c>
      <c r="H3436" s="14">
        <v>120</v>
      </c>
      <c r="I3436" s="31">
        <f>IF(COUNTIFS(Addendum!C:C,A3436,Addendum!D:D,IF(ISNUMBER(B3436),TEXT(B3436,"0000"),B3436),Addendum!E:E,"X")&gt;0,4%,0)</f>
        <v>0.04</v>
      </c>
      <c r="J3436" s="31">
        <f>IF(COUNTIFS(Addendum!C:C,A3436,Addendum!D:D,IF(ISNUMBER(B3436),TEXT(B3436,"0000"),B3436),Addendum!F:F,"X")&gt;0,2.5%,0)</f>
        <v>0</v>
      </c>
      <c r="K3436" s="31">
        <f>IF(COUNTIFS(Addendum!C:C,A3436,Addendum!D:D,IF(ISNUMBER(B3436),TEXT(B3436,"0000"),B3436),Addendum!G:G,"X")&gt;0,7%,0)</f>
        <v>0</v>
      </c>
      <c r="L3436" s="31">
        <f>IF(COUNTIFS(Addendum!C:C,A3436,Addendum!D:D,IF(ISNUMBER(B3436),TEXT(B3436,"0000"),B3436),Addendum!I:I,"X")&gt;0,10%,0)</f>
        <v>0</v>
      </c>
      <c r="M3436" s="34">
        <f t="shared" si="106"/>
        <v>0.01</v>
      </c>
      <c r="N3436" s="17">
        <f t="shared" si="107"/>
        <v>118.8</v>
      </c>
    </row>
    <row r="3437" spans="1:14" x14ac:dyDescent="0.25">
      <c r="A3437" s="14" t="s">
        <v>1396</v>
      </c>
      <c r="B3437" s="14" t="s">
        <v>183</v>
      </c>
      <c r="C3437" s="15" t="s">
        <v>2775</v>
      </c>
      <c r="D3437" s="14" t="s">
        <v>1745</v>
      </c>
      <c r="E3437" s="14" t="s">
        <v>1747</v>
      </c>
      <c r="F3437" s="17" t="s">
        <v>2994</v>
      </c>
      <c r="G3437" s="14">
        <v>1500</v>
      </c>
      <c r="H3437" s="14">
        <v>1200</v>
      </c>
      <c r="I3437" s="31">
        <f>IF(COUNTIFS(Addendum!C:C,A3437,Addendum!D:D,IF(ISNUMBER(B3437),TEXT(B3437,"0000"),B3437),Addendum!E:E,"X")&gt;0,4%,0)</f>
        <v>0.04</v>
      </c>
      <c r="J3437" s="31">
        <f>IF(COUNTIFS(Addendum!C:C,A3437,Addendum!D:D,IF(ISNUMBER(B3437),TEXT(B3437,"0000"),B3437),Addendum!F:F,"X")&gt;0,2.5%,0)</f>
        <v>0</v>
      </c>
      <c r="K3437" s="31">
        <f>IF(COUNTIFS(Addendum!C:C,A3437,Addendum!D:D,IF(ISNUMBER(B3437),TEXT(B3437,"0000"),B3437),Addendum!G:G,"X")&gt;0,7%,0)</f>
        <v>0</v>
      </c>
      <c r="L3437" s="31">
        <f>IF(COUNTIFS(Addendum!C:C,A3437,Addendum!D:D,IF(ISNUMBER(B3437),TEXT(B3437,"0000"),B3437),Addendum!I:I,"X")&gt;0,10%,0)</f>
        <v>0</v>
      </c>
      <c r="M3437" s="34">
        <f t="shared" si="106"/>
        <v>0.03</v>
      </c>
      <c r="N3437" s="17">
        <f t="shared" si="107"/>
        <v>1164</v>
      </c>
    </row>
    <row r="3438" spans="1:14" x14ac:dyDescent="0.25">
      <c r="A3438" s="14" t="s">
        <v>1396</v>
      </c>
      <c r="B3438" s="14" t="s">
        <v>183</v>
      </c>
      <c r="C3438" s="15" t="s">
        <v>2775</v>
      </c>
      <c r="D3438" s="14" t="s">
        <v>1745</v>
      </c>
      <c r="E3438" s="14" t="s">
        <v>1746</v>
      </c>
      <c r="F3438" s="17" t="s">
        <v>2994</v>
      </c>
      <c r="G3438" s="14">
        <v>1575</v>
      </c>
      <c r="H3438" s="14">
        <v>1260</v>
      </c>
      <c r="I3438" s="31">
        <f>IF(COUNTIFS(Addendum!C:C,A3438,Addendum!D:D,IF(ISNUMBER(B3438),TEXT(B3438,"0000"),B3438),Addendum!E:E,"X")&gt;0,4%,0)</f>
        <v>0.04</v>
      </c>
      <c r="J3438" s="31">
        <f>IF(COUNTIFS(Addendum!C:C,A3438,Addendum!D:D,IF(ISNUMBER(B3438),TEXT(B3438,"0000"),B3438),Addendum!F:F,"X")&gt;0,2.5%,0)</f>
        <v>0</v>
      </c>
      <c r="K3438" s="31">
        <f>IF(COUNTIFS(Addendum!C:C,A3438,Addendum!D:D,IF(ISNUMBER(B3438),TEXT(B3438,"0000"),B3438),Addendum!G:G,"X")&gt;0,7%,0)</f>
        <v>0</v>
      </c>
      <c r="L3438" s="31">
        <f>IF(COUNTIFS(Addendum!C:C,A3438,Addendum!D:D,IF(ISNUMBER(B3438),TEXT(B3438,"0000"),B3438),Addendum!I:I,"X")&gt;0,10%,0)</f>
        <v>0</v>
      </c>
      <c r="M3438" s="34">
        <f t="shared" si="106"/>
        <v>0.01</v>
      </c>
      <c r="N3438" s="17">
        <f t="shared" si="107"/>
        <v>1247.4000000000001</v>
      </c>
    </row>
    <row r="3439" spans="1:14" x14ac:dyDescent="0.25">
      <c r="A3439" s="14" t="s">
        <v>1396</v>
      </c>
      <c r="B3439" s="14">
        <v>21</v>
      </c>
      <c r="C3439" s="15" t="s">
        <v>2774</v>
      </c>
      <c r="D3439" s="14" t="s">
        <v>1752</v>
      </c>
      <c r="E3439" s="14" t="s">
        <v>1747</v>
      </c>
      <c r="F3439" s="17" t="s">
        <v>2995</v>
      </c>
      <c r="G3439" s="14">
        <v>12060</v>
      </c>
      <c r="H3439" s="14">
        <v>10854</v>
      </c>
      <c r="I3439" s="31">
        <f>IF(COUNTIFS(Addendum!C:C,A3439,Addendum!D:D,IF(ISNUMBER(B3439),TEXT(B3439,"0000"),B3439),Addendum!E:E,"X")&gt;0,4%,0)</f>
        <v>0.04</v>
      </c>
      <c r="J3439" s="31">
        <f>IF(COUNTIFS(Addendum!C:C,A3439,Addendum!D:D,IF(ISNUMBER(B3439),TEXT(B3439,"0000"),B3439),Addendum!F:F,"X")&gt;0,2.5%,0)</f>
        <v>0</v>
      </c>
      <c r="K3439" s="31">
        <f>IF(COUNTIFS(Addendum!C:C,A3439,Addendum!D:D,IF(ISNUMBER(B3439),TEXT(B3439,"0000"),B3439),Addendum!G:G,"X")&gt;0,7%,0)</f>
        <v>0</v>
      </c>
      <c r="L3439" s="31">
        <f>IF(COUNTIFS(Addendum!C:C,A3439,Addendum!D:D,IF(ISNUMBER(B3439),TEXT(B3439,"0000"),B3439),Addendum!I:I,"X")&gt;0,10%,0)</f>
        <v>0</v>
      </c>
      <c r="M3439" s="34">
        <f t="shared" si="106"/>
        <v>0.03</v>
      </c>
      <c r="N3439" s="17">
        <f t="shared" si="107"/>
        <v>10528.38</v>
      </c>
    </row>
    <row r="3440" spans="1:14" x14ac:dyDescent="0.25">
      <c r="A3440" s="14" t="s">
        <v>2776</v>
      </c>
      <c r="B3440" s="14" t="s">
        <v>73</v>
      </c>
      <c r="C3440" s="15" t="s">
        <v>2777</v>
      </c>
      <c r="D3440" s="14" t="s">
        <v>1745</v>
      </c>
      <c r="E3440" s="14" t="s">
        <v>1747</v>
      </c>
      <c r="F3440" s="17" t="s">
        <v>2993</v>
      </c>
      <c r="G3440" s="14">
        <v>24960</v>
      </c>
      <c r="H3440" s="14">
        <v>19968</v>
      </c>
      <c r="I3440" s="31">
        <f>IF(COUNTIFS(Addendum!C:C,A3440,Addendum!D:D,IF(ISNUMBER(B3440),TEXT(B3440,"0000"),B3440),Addendum!E:E,"X")&gt;0,4%,0)</f>
        <v>0</v>
      </c>
      <c r="J3440" s="31">
        <f>IF(COUNTIFS(Addendum!C:C,A3440,Addendum!D:D,IF(ISNUMBER(B3440),TEXT(B3440,"0000"),B3440),Addendum!F:F,"X")&gt;0,2.5%,0)</f>
        <v>0</v>
      </c>
      <c r="K3440" s="31">
        <f>IF(COUNTIFS(Addendum!C:C,A3440,Addendum!D:D,IF(ISNUMBER(B3440),TEXT(B3440,"0000"),B3440),Addendum!G:G,"X")&gt;0,7%,0)</f>
        <v>0</v>
      </c>
      <c r="L3440" s="31">
        <f>IF(COUNTIFS(Addendum!C:C,A3440,Addendum!D:D,IF(ISNUMBER(B3440),TEXT(B3440,"0000"),B3440),Addendum!I:I,"X")&gt;0,10%,0)</f>
        <v>0</v>
      </c>
      <c r="M3440" s="34">
        <f t="shared" si="106"/>
        <v>0</v>
      </c>
      <c r="N3440" s="17">
        <f t="shared" si="107"/>
        <v>19968</v>
      </c>
    </row>
    <row r="3441" spans="1:14" x14ac:dyDescent="0.25">
      <c r="A3441" s="14" t="s">
        <v>2776</v>
      </c>
      <c r="B3441" s="14" t="s">
        <v>118</v>
      </c>
      <c r="C3441" s="15" t="s">
        <v>2778</v>
      </c>
      <c r="D3441" s="14" t="s">
        <v>1749</v>
      </c>
      <c r="E3441" s="14" t="s">
        <v>1746</v>
      </c>
      <c r="F3441" s="17" t="s">
        <v>2995</v>
      </c>
      <c r="G3441" s="14">
        <v>11982</v>
      </c>
      <c r="H3441" s="14">
        <v>10783.8</v>
      </c>
      <c r="I3441" s="31">
        <f>IF(COUNTIFS(Addendum!C:C,A3441,Addendum!D:D,IF(ISNUMBER(B3441),TEXT(B3441,"0000"),B3441),Addendum!E:E,"X")&gt;0,4%,0)</f>
        <v>0</v>
      </c>
      <c r="J3441" s="31">
        <f>IF(COUNTIFS(Addendum!C:C,A3441,Addendum!D:D,IF(ISNUMBER(B3441),TEXT(B3441,"0000"),B3441),Addendum!F:F,"X")&gt;0,2.5%,0)</f>
        <v>0</v>
      </c>
      <c r="K3441" s="31">
        <f>IF(COUNTIFS(Addendum!C:C,A3441,Addendum!D:D,IF(ISNUMBER(B3441),TEXT(B3441,"0000"),B3441),Addendum!G:G,"X")&gt;0,7%,0)</f>
        <v>0</v>
      </c>
      <c r="L3441" s="31">
        <f>IF(COUNTIFS(Addendum!C:C,A3441,Addendum!D:D,IF(ISNUMBER(B3441),TEXT(B3441,"0000"),B3441),Addendum!I:I,"X")&gt;0,10%,0)</f>
        <v>0</v>
      </c>
      <c r="M3441" s="34">
        <f t="shared" si="106"/>
        <v>0</v>
      </c>
      <c r="N3441" s="17">
        <f t="shared" si="107"/>
        <v>10783.8</v>
      </c>
    </row>
    <row r="3442" spans="1:14" x14ac:dyDescent="0.25">
      <c r="A3442" s="14" t="s">
        <v>2779</v>
      </c>
      <c r="B3442" s="14" t="s">
        <v>20</v>
      </c>
      <c r="C3442" s="15" t="s">
        <v>2780</v>
      </c>
      <c r="D3442" s="14" t="s">
        <v>1745</v>
      </c>
      <c r="E3442" s="14" t="s">
        <v>1747</v>
      </c>
      <c r="F3442" s="17" t="s">
        <v>2994</v>
      </c>
      <c r="G3442" s="14">
        <v>7500</v>
      </c>
      <c r="H3442" s="14">
        <v>6000</v>
      </c>
      <c r="I3442" s="31">
        <f>IF(COUNTIFS(Addendum!C:C,A3442,Addendum!D:D,IF(ISNUMBER(B3442),TEXT(B3442,"0000"),B3442),Addendum!E:E,"X")&gt;0,4%,0)</f>
        <v>0</v>
      </c>
      <c r="J3442" s="31">
        <f>IF(COUNTIFS(Addendum!C:C,A3442,Addendum!D:D,IF(ISNUMBER(B3442),TEXT(B3442,"0000"),B3442),Addendum!F:F,"X")&gt;0,2.5%,0)</f>
        <v>0</v>
      </c>
      <c r="K3442" s="31">
        <f>IF(COUNTIFS(Addendum!C:C,A3442,Addendum!D:D,IF(ISNUMBER(B3442),TEXT(B3442,"0000"),B3442),Addendum!G:G,"X")&gt;0,7%,0)</f>
        <v>0</v>
      </c>
      <c r="L3442" s="31">
        <f>IF(COUNTIFS(Addendum!C:C,A3442,Addendum!D:D,IF(ISNUMBER(B3442),TEXT(B3442,"0000"),B3442),Addendum!I:I,"X")&gt;0,10%,0)</f>
        <v>0</v>
      </c>
      <c r="M3442" s="34">
        <f t="shared" si="106"/>
        <v>0</v>
      </c>
      <c r="N3442" s="17">
        <f t="shared" si="107"/>
        <v>6000</v>
      </c>
    </row>
    <row r="3443" spans="1:14" x14ac:dyDescent="0.25">
      <c r="A3443" s="14" t="s">
        <v>2776</v>
      </c>
      <c r="B3443" s="14">
        <v>18</v>
      </c>
      <c r="C3443" s="15" t="s">
        <v>2781</v>
      </c>
      <c r="D3443" s="14" t="s">
        <v>1745</v>
      </c>
      <c r="E3443" s="14" t="s">
        <v>1746</v>
      </c>
      <c r="F3443" s="17" t="s">
        <v>2995</v>
      </c>
      <c r="G3443" s="14">
        <v>125811</v>
      </c>
      <c r="H3443" s="14">
        <v>113230</v>
      </c>
      <c r="I3443" s="31">
        <f>IF(COUNTIFS(Addendum!C:C,A3443,Addendum!D:D,IF(ISNUMBER(B3443),TEXT(B3443,"0000"),B3443),Addendum!E:E,"X")&gt;0,4%,0)</f>
        <v>0</v>
      </c>
      <c r="J3443" s="31">
        <f>IF(COUNTIFS(Addendum!C:C,A3443,Addendum!D:D,IF(ISNUMBER(B3443),TEXT(B3443,"0000"),B3443),Addendum!F:F,"X")&gt;0,2.5%,0)</f>
        <v>0</v>
      </c>
      <c r="K3443" s="31">
        <f>IF(COUNTIFS(Addendum!C:C,A3443,Addendum!D:D,IF(ISNUMBER(B3443),TEXT(B3443,"0000"),B3443),Addendum!G:G,"X")&gt;0,7%,0)</f>
        <v>0</v>
      </c>
      <c r="L3443" s="31">
        <f>IF(COUNTIFS(Addendum!C:C,A3443,Addendum!D:D,IF(ISNUMBER(B3443),TEXT(B3443,"0000"),B3443),Addendum!I:I,"X")&gt;0,10%,0)</f>
        <v>0</v>
      </c>
      <c r="M3443" s="34">
        <f t="shared" si="106"/>
        <v>0</v>
      </c>
      <c r="N3443" s="17">
        <f t="shared" si="107"/>
        <v>113230</v>
      </c>
    </row>
    <row r="3444" spans="1:14" x14ac:dyDescent="0.25">
      <c r="A3444" s="14" t="s">
        <v>2776</v>
      </c>
      <c r="B3444" s="14" t="s">
        <v>243</v>
      </c>
      <c r="C3444" s="15" t="s">
        <v>2782</v>
      </c>
      <c r="D3444" s="14" t="s">
        <v>1745</v>
      </c>
      <c r="E3444" s="14" t="s">
        <v>1746</v>
      </c>
      <c r="F3444" s="17" t="s">
        <v>2995</v>
      </c>
      <c r="G3444" s="14">
        <v>10458</v>
      </c>
      <c r="H3444" s="14">
        <v>9412.2000000000007</v>
      </c>
      <c r="I3444" s="31">
        <f>IF(COUNTIFS(Addendum!C:C,A3444,Addendum!D:D,IF(ISNUMBER(B3444),TEXT(B3444,"0000"),B3444),Addendum!E:E,"X")&gt;0,4%,0)</f>
        <v>0</v>
      </c>
      <c r="J3444" s="31">
        <f>IF(COUNTIFS(Addendum!C:C,A3444,Addendum!D:D,IF(ISNUMBER(B3444),TEXT(B3444,"0000"),B3444),Addendum!F:F,"X")&gt;0,2.5%,0)</f>
        <v>0</v>
      </c>
      <c r="K3444" s="31">
        <f>IF(COUNTIFS(Addendum!C:C,A3444,Addendum!D:D,IF(ISNUMBER(B3444),TEXT(B3444,"0000"),B3444),Addendum!G:G,"X")&gt;0,7%,0)</f>
        <v>0</v>
      </c>
      <c r="L3444" s="31">
        <f>IF(COUNTIFS(Addendum!C:C,A3444,Addendum!D:D,IF(ISNUMBER(B3444),TEXT(B3444,"0000"),B3444),Addendum!I:I,"X")&gt;0,10%,0)</f>
        <v>0</v>
      </c>
      <c r="M3444" s="34">
        <f t="shared" si="106"/>
        <v>0</v>
      </c>
      <c r="N3444" s="17">
        <f t="shared" si="107"/>
        <v>9412.2000000000007</v>
      </c>
    </row>
    <row r="3445" spans="1:14" x14ac:dyDescent="0.25">
      <c r="A3445" s="14" t="s">
        <v>2776</v>
      </c>
      <c r="B3445" s="14">
        <v>2</v>
      </c>
      <c r="C3445" s="15" t="s">
        <v>2783</v>
      </c>
      <c r="D3445" s="14" t="s">
        <v>1745</v>
      </c>
      <c r="E3445" s="14" t="s">
        <v>1746</v>
      </c>
      <c r="F3445" s="17" t="s">
        <v>2993</v>
      </c>
      <c r="G3445" s="14">
        <v>4221</v>
      </c>
      <c r="H3445" s="14">
        <v>3376.8</v>
      </c>
      <c r="I3445" s="31">
        <f>IF(COUNTIFS(Addendum!C:C,A3445,Addendum!D:D,IF(ISNUMBER(B3445),TEXT(B3445,"0000"),B3445),Addendum!E:E,"X")&gt;0,4%,0)</f>
        <v>0</v>
      </c>
      <c r="J3445" s="31">
        <f>IF(COUNTIFS(Addendum!C:C,A3445,Addendum!D:D,IF(ISNUMBER(B3445),TEXT(B3445,"0000"),B3445),Addendum!F:F,"X")&gt;0,2.5%,0)</f>
        <v>0</v>
      </c>
      <c r="K3445" s="31">
        <f>IF(COUNTIFS(Addendum!C:C,A3445,Addendum!D:D,IF(ISNUMBER(B3445),TEXT(B3445,"0000"),B3445),Addendum!G:G,"X")&gt;0,7%,0)</f>
        <v>0</v>
      </c>
      <c r="L3445" s="31">
        <f>IF(COUNTIFS(Addendum!C:C,A3445,Addendum!D:D,IF(ISNUMBER(B3445),TEXT(B3445,"0000"),B3445),Addendum!I:I,"X")&gt;0,10%,0)</f>
        <v>0</v>
      </c>
      <c r="M3445" s="34">
        <f t="shared" si="106"/>
        <v>0</v>
      </c>
      <c r="N3445" s="17">
        <f t="shared" si="107"/>
        <v>3376.8</v>
      </c>
    </row>
    <row r="3446" spans="1:14" x14ac:dyDescent="0.25">
      <c r="A3446" s="14" t="s">
        <v>2776</v>
      </c>
      <c r="B3446" s="14" t="s">
        <v>102</v>
      </c>
      <c r="C3446" s="15" t="s">
        <v>2784</v>
      </c>
      <c r="D3446" s="14" t="s">
        <v>1745</v>
      </c>
      <c r="E3446" s="14" t="s">
        <v>1747</v>
      </c>
      <c r="F3446" s="17" t="s">
        <v>2994</v>
      </c>
      <c r="G3446" s="14">
        <v>7500</v>
      </c>
      <c r="H3446" s="14">
        <v>6000</v>
      </c>
      <c r="I3446" s="31">
        <f>IF(COUNTIFS(Addendum!C:C,A3446,Addendum!D:D,IF(ISNUMBER(B3446),TEXT(B3446,"0000"),B3446),Addendum!E:E,"X")&gt;0,4%,0)</f>
        <v>0</v>
      </c>
      <c r="J3446" s="31">
        <f>IF(COUNTIFS(Addendum!C:C,A3446,Addendum!D:D,IF(ISNUMBER(B3446),TEXT(B3446,"0000"),B3446),Addendum!F:F,"X")&gt;0,2.5%,0)</f>
        <v>0</v>
      </c>
      <c r="K3446" s="31">
        <f>IF(COUNTIFS(Addendum!C:C,A3446,Addendum!D:D,IF(ISNUMBER(B3446),TEXT(B3446,"0000"),B3446),Addendum!G:G,"X")&gt;0,7%,0)</f>
        <v>0</v>
      </c>
      <c r="L3446" s="31">
        <f>IF(COUNTIFS(Addendum!C:C,A3446,Addendum!D:D,IF(ISNUMBER(B3446),TEXT(B3446,"0000"),B3446),Addendum!I:I,"X")&gt;0,10%,0)</f>
        <v>0</v>
      </c>
      <c r="M3446" s="34">
        <f t="shared" si="106"/>
        <v>0</v>
      </c>
      <c r="N3446" s="17">
        <f t="shared" si="107"/>
        <v>6000</v>
      </c>
    </row>
    <row r="3447" spans="1:14" x14ac:dyDescent="0.25">
      <c r="A3447" s="14" t="s">
        <v>2779</v>
      </c>
      <c r="B3447" s="14" t="s">
        <v>89</v>
      </c>
      <c r="C3447" s="15" t="s">
        <v>2785</v>
      </c>
      <c r="D3447" s="14" t="s">
        <v>1745</v>
      </c>
      <c r="E3447" s="14" t="s">
        <v>1747</v>
      </c>
      <c r="F3447" s="17" t="s">
        <v>2995</v>
      </c>
      <c r="G3447" s="14">
        <v>9960</v>
      </c>
      <c r="H3447" s="14">
        <v>8964</v>
      </c>
      <c r="I3447" s="31">
        <f>IF(COUNTIFS(Addendum!C:C,A3447,Addendum!D:D,IF(ISNUMBER(B3447),TEXT(B3447,"0000"),B3447),Addendum!E:E,"X")&gt;0,4%,0)</f>
        <v>0</v>
      </c>
      <c r="J3447" s="31">
        <f>IF(COUNTIFS(Addendum!C:C,A3447,Addendum!D:D,IF(ISNUMBER(B3447),TEXT(B3447,"0000"),B3447),Addendum!F:F,"X")&gt;0,2.5%,0)</f>
        <v>0</v>
      </c>
      <c r="K3447" s="31">
        <f>IF(COUNTIFS(Addendum!C:C,A3447,Addendum!D:D,IF(ISNUMBER(B3447),TEXT(B3447,"0000"),B3447),Addendum!G:G,"X")&gt;0,7%,0)</f>
        <v>0</v>
      </c>
      <c r="L3447" s="31">
        <f>IF(COUNTIFS(Addendum!C:C,A3447,Addendum!D:D,IF(ISNUMBER(B3447),TEXT(B3447,"0000"),B3447),Addendum!I:I,"X")&gt;0,10%,0)</f>
        <v>0</v>
      </c>
      <c r="M3447" s="34">
        <f t="shared" si="106"/>
        <v>0</v>
      </c>
      <c r="N3447" s="17">
        <f t="shared" si="107"/>
        <v>8964</v>
      </c>
    </row>
    <row r="3448" spans="1:14" x14ac:dyDescent="0.25">
      <c r="A3448" s="14" t="s">
        <v>2776</v>
      </c>
      <c r="B3448" s="14">
        <v>16</v>
      </c>
      <c r="C3448" s="15" t="s">
        <v>2786</v>
      </c>
      <c r="D3448" s="14" t="s">
        <v>1745</v>
      </c>
      <c r="E3448" s="14" t="s">
        <v>1747</v>
      </c>
      <c r="F3448" s="17" t="s">
        <v>2995</v>
      </c>
      <c r="G3448" s="14">
        <v>9960</v>
      </c>
      <c r="H3448" s="14">
        <v>8964</v>
      </c>
      <c r="I3448" s="31">
        <f>IF(COUNTIFS(Addendum!C:C,A3448,Addendum!D:D,IF(ISNUMBER(B3448),TEXT(B3448,"0000"),B3448),Addendum!E:E,"X")&gt;0,4%,0)</f>
        <v>0</v>
      </c>
      <c r="J3448" s="31">
        <f>IF(COUNTIFS(Addendum!C:C,A3448,Addendum!D:D,IF(ISNUMBER(B3448),TEXT(B3448,"0000"),B3448),Addendum!F:F,"X")&gt;0,2.5%,0)</f>
        <v>0</v>
      </c>
      <c r="K3448" s="31">
        <f>IF(COUNTIFS(Addendum!C:C,A3448,Addendum!D:D,IF(ISNUMBER(B3448),TEXT(B3448,"0000"),B3448),Addendum!G:G,"X")&gt;0,7%,0)</f>
        <v>0</v>
      </c>
      <c r="L3448" s="31">
        <f>IF(COUNTIFS(Addendum!C:C,A3448,Addendum!D:D,IF(ISNUMBER(B3448),TEXT(B3448,"0000"),B3448),Addendum!I:I,"X")&gt;0,10%,0)</f>
        <v>0</v>
      </c>
      <c r="M3448" s="34">
        <f t="shared" si="106"/>
        <v>0</v>
      </c>
      <c r="N3448" s="17">
        <f t="shared" si="107"/>
        <v>8964</v>
      </c>
    </row>
    <row r="3449" spans="1:14" x14ac:dyDescent="0.25">
      <c r="A3449" s="14" t="s">
        <v>2776</v>
      </c>
      <c r="B3449" s="14" t="s">
        <v>73</v>
      </c>
      <c r="C3449" s="15" t="s">
        <v>2777</v>
      </c>
      <c r="D3449" s="14" t="s">
        <v>1749</v>
      </c>
      <c r="E3449" s="14" t="s">
        <v>1746</v>
      </c>
      <c r="F3449" s="17" t="s">
        <v>2993</v>
      </c>
      <c r="G3449" s="14">
        <v>2496</v>
      </c>
      <c r="H3449" s="14">
        <v>1996.8</v>
      </c>
      <c r="I3449" s="31">
        <f>IF(COUNTIFS(Addendum!C:C,A3449,Addendum!D:D,IF(ISNUMBER(B3449),TEXT(B3449,"0000"),B3449),Addendum!E:E,"X")&gt;0,4%,0)</f>
        <v>0</v>
      </c>
      <c r="J3449" s="31">
        <f>IF(COUNTIFS(Addendum!C:C,A3449,Addendum!D:D,IF(ISNUMBER(B3449),TEXT(B3449,"0000"),B3449),Addendum!F:F,"X")&gt;0,2.5%,0)</f>
        <v>0</v>
      </c>
      <c r="K3449" s="31">
        <f>IF(COUNTIFS(Addendum!C:C,A3449,Addendum!D:D,IF(ISNUMBER(B3449),TEXT(B3449,"0000"),B3449),Addendum!G:G,"X")&gt;0,7%,0)</f>
        <v>0</v>
      </c>
      <c r="L3449" s="31">
        <f>IF(COUNTIFS(Addendum!C:C,A3449,Addendum!D:D,IF(ISNUMBER(B3449),TEXT(B3449,"0000"),B3449),Addendum!I:I,"X")&gt;0,10%,0)</f>
        <v>0</v>
      </c>
      <c r="M3449" s="34">
        <f t="shared" si="106"/>
        <v>0</v>
      </c>
      <c r="N3449" s="17">
        <f t="shared" si="107"/>
        <v>1996.8</v>
      </c>
    </row>
    <row r="3450" spans="1:14" x14ac:dyDescent="0.25">
      <c r="A3450" s="14" t="s">
        <v>2776</v>
      </c>
      <c r="B3450" s="14" t="s">
        <v>36</v>
      </c>
      <c r="C3450" s="15" t="s">
        <v>2787</v>
      </c>
      <c r="D3450" s="14" t="s">
        <v>1745</v>
      </c>
      <c r="E3450" s="14" t="s">
        <v>1747</v>
      </c>
      <c r="F3450" s="17" t="s">
        <v>2995</v>
      </c>
      <c r="G3450" s="14">
        <v>1620</v>
      </c>
      <c r="H3450" s="14">
        <v>1458</v>
      </c>
      <c r="I3450" s="31">
        <f>IF(COUNTIFS(Addendum!C:C,A3450,Addendum!D:D,IF(ISNUMBER(B3450),TEXT(B3450,"0000"),B3450),Addendum!E:E,"X")&gt;0,4%,0)</f>
        <v>0</v>
      </c>
      <c r="J3450" s="31">
        <f>IF(COUNTIFS(Addendum!C:C,A3450,Addendum!D:D,IF(ISNUMBER(B3450),TEXT(B3450,"0000"),B3450),Addendum!F:F,"X")&gt;0,2.5%,0)</f>
        <v>0</v>
      </c>
      <c r="K3450" s="31">
        <f>IF(COUNTIFS(Addendum!C:C,A3450,Addendum!D:D,IF(ISNUMBER(B3450),TEXT(B3450,"0000"),B3450),Addendum!G:G,"X")&gt;0,7%,0)</f>
        <v>0</v>
      </c>
      <c r="L3450" s="31">
        <f>IF(COUNTIFS(Addendum!C:C,A3450,Addendum!D:D,IF(ISNUMBER(B3450),TEXT(B3450,"0000"),B3450),Addendum!I:I,"X")&gt;0,10%,0)</f>
        <v>0</v>
      </c>
      <c r="M3450" s="34">
        <f t="shared" si="106"/>
        <v>0</v>
      </c>
      <c r="N3450" s="17">
        <f t="shared" si="107"/>
        <v>1458</v>
      </c>
    </row>
    <row r="3451" spans="1:14" x14ac:dyDescent="0.25">
      <c r="A3451" s="14" t="s">
        <v>2776</v>
      </c>
      <c r="B3451" s="14">
        <v>18</v>
      </c>
      <c r="C3451" s="15" t="s">
        <v>2781</v>
      </c>
      <c r="D3451" s="14" t="s">
        <v>1745</v>
      </c>
      <c r="E3451" s="14" t="s">
        <v>1747</v>
      </c>
      <c r="F3451" s="17" t="s">
        <v>2995</v>
      </c>
      <c r="G3451" s="14">
        <v>119820</v>
      </c>
      <c r="H3451" s="14">
        <v>107838</v>
      </c>
      <c r="I3451" s="31">
        <f>IF(COUNTIFS(Addendum!C:C,A3451,Addendum!D:D,IF(ISNUMBER(B3451),TEXT(B3451,"0000"),B3451),Addendum!E:E,"X")&gt;0,4%,0)</f>
        <v>0</v>
      </c>
      <c r="J3451" s="31">
        <f>IF(COUNTIFS(Addendum!C:C,A3451,Addendum!D:D,IF(ISNUMBER(B3451),TEXT(B3451,"0000"),B3451),Addendum!F:F,"X")&gt;0,2.5%,0)</f>
        <v>0</v>
      </c>
      <c r="K3451" s="31">
        <f>IF(COUNTIFS(Addendum!C:C,A3451,Addendum!D:D,IF(ISNUMBER(B3451),TEXT(B3451,"0000"),B3451),Addendum!G:G,"X")&gt;0,7%,0)</f>
        <v>0</v>
      </c>
      <c r="L3451" s="31">
        <f>IF(COUNTIFS(Addendum!C:C,A3451,Addendum!D:D,IF(ISNUMBER(B3451),TEXT(B3451,"0000"),B3451),Addendum!I:I,"X")&gt;0,10%,0)</f>
        <v>0</v>
      </c>
      <c r="M3451" s="34">
        <f t="shared" si="106"/>
        <v>0</v>
      </c>
      <c r="N3451" s="17">
        <f t="shared" si="107"/>
        <v>107838</v>
      </c>
    </row>
    <row r="3452" spans="1:14" x14ac:dyDescent="0.25">
      <c r="A3452" s="14" t="s">
        <v>2776</v>
      </c>
      <c r="B3452" s="14" t="s">
        <v>195</v>
      </c>
      <c r="C3452" s="15" t="s">
        <v>2788</v>
      </c>
      <c r="D3452" s="14" t="s">
        <v>1745</v>
      </c>
      <c r="E3452" s="14" t="s">
        <v>1747</v>
      </c>
      <c r="F3452" s="17" t="s">
        <v>2994</v>
      </c>
      <c r="G3452" s="14">
        <v>7500</v>
      </c>
      <c r="H3452" s="14">
        <v>6000</v>
      </c>
      <c r="I3452" s="31">
        <f>IF(COUNTIFS(Addendum!C:C,A3452,Addendum!D:D,IF(ISNUMBER(B3452),TEXT(B3452,"0000"),B3452),Addendum!E:E,"X")&gt;0,4%,0)</f>
        <v>0</v>
      </c>
      <c r="J3452" s="31">
        <f>IF(COUNTIFS(Addendum!C:C,A3452,Addendum!D:D,IF(ISNUMBER(B3452),TEXT(B3452,"0000"),B3452),Addendum!F:F,"X")&gt;0,2.5%,0)</f>
        <v>0</v>
      </c>
      <c r="K3452" s="31">
        <f>IF(COUNTIFS(Addendum!C:C,A3452,Addendum!D:D,IF(ISNUMBER(B3452),TEXT(B3452,"0000"),B3452),Addendum!G:G,"X")&gt;0,7%,0)</f>
        <v>0</v>
      </c>
      <c r="L3452" s="31">
        <f>IF(COUNTIFS(Addendum!C:C,A3452,Addendum!D:D,IF(ISNUMBER(B3452),TEXT(B3452,"0000"),B3452),Addendum!I:I,"X")&gt;0,10%,0)</f>
        <v>0</v>
      </c>
      <c r="M3452" s="34">
        <f t="shared" si="106"/>
        <v>0</v>
      </c>
      <c r="N3452" s="17">
        <f t="shared" si="107"/>
        <v>6000</v>
      </c>
    </row>
    <row r="3453" spans="1:14" x14ac:dyDescent="0.25">
      <c r="A3453" s="14" t="s">
        <v>2779</v>
      </c>
      <c r="B3453" s="14" t="s">
        <v>50</v>
      </c>
      <c r="C3453" s="15" t="s">
        <v>2789</v>
      </c>
      <c r="D3453" s="14" t="s">
        <v>1745</v>
      </c>
      <c r="E3453" s="14" t="s">
        <v>1746</v>
      </c>
      <c r="F3453" s="17" t="s">
        <v>2995</v>
      </c>
      <c r="G3453" s="14">
        <v>125811</v>
      </c>
      <c r="H3453" s="14">
        <v>113230</v>
      </c>
      <c r="I3453" s="31">
        <f>IF(COUNTIFS(Addendum!C:C,A3453,Addendum!D:D,IF(ISNUMBER(B3453),TEXT(B3453,"0000"),B3453),Addendum!E:E,"X")&gt;0,4%,0)</f>
        <v>0</v>
      </c>
      <c r="J3453" s="31">
        <f>IF(COUNTIFS(Addendum!C:C,A3453,Addendum!D:D,IF(ISNUMBER(B3453),TEXT(B3453,"0000"),B3453),Addendum!F:F,"X")&gt;0,2.5%,0)</f>
        <v>0</v>
      </c>
      <c r="K3453" s="31">
        <f>IF(COUNTIFS(Addendum!C:C,A3453,Addendum!D:D,IF(ISNUMBER(B3453),TEXT(B3453,"0000"),B3453),Addendum!G:G,"X")&gt;0,7%,0)</f>
        <v>0</v>
      </c>
      <c r="L3453" s="31">
        <f>IF(COUNTIFS(Addendum!C:C,A3453,Addendum!D:D,IF(ISNUMBER(B3453),TEXT(B3453,"0000"),B3453),Addendum!I:I,"X")&gt;0,10%,0)</f>
        <v>0</v>
      </c>
      <c r="M3453" s="34">
        <f t="shared" si="106"/>
        <v>0</v>
      </c>
      <c r="N3453" s="17">
        <f t="shared" si="107"/>
        <v>113230</v>
      </c>
    </row>
    <row r="3454" spans="1:14" x14ac:dyDescent="0.25">
      <c r="A3454" s="14" t="s">
        <v>2776</v>
      </c>
      <c r="B3454" s="14" t="s">
        <v>34</v>
      </c>
      <c r="C3454" s="15" t="s">
        <v>2790</v>
      </c>
      <c r="D3454" s="14" t="s">
        <v>1745</v>
      </c>
      <c r="E3454" s="14" t="s">
        <v>1746</v>
      </c>
      <c r="F3454" s="17" t="s">
        <v>2993</v>
      </c>
      <c r="G3454" s="14">
        <v>314496</v>
      </c>
      <c r="H3454" s="14">
        <v>251596.79999999999</v>
      </c>
      <c r="I3454" s="31">
        <f>IF(COUNTIFS(Addendum!C:C,A3454,Addendum!D:D,IF(ISNUMBER(B3454),TEXT(B3454,"0000"),B3454),Addendum!E:E,"X")&gt;0,4%,0)</f>
        <v>0</v>
      </c>
      <c r="J3454" s="31">
        <f>IF(COUNTIFS(Addendum!C:C,A3454,Addendum!D:D,IF(ISNUMBER(B3454),TEXT(B3454,"0000"),B3454),Addendum!F:F,"X")&gt;0,2.5%,0)</f>
        <v>0</v>
      </c>
      <c r="K3454" s="31">
        <f>IF(COUNTIFS(Addendum!C:C,A3454,Addendum!D:D,IF(ISNUMBER(B3454),TEXT(B3454,"0000"),B3454),Addendum!G:G,"X")&gt;0,7%,0)</f>
        <v>0</v>
      </c>
      <c r="L3454" s="31">
        <f>IF(COUNTIFS(Addendum!C:C,A3454,Addendum!D:D,IF(ISNUMBER(B3454),TEXT(B3454,"0000"),B3454),Addendum!I:I,"X")&gt;0,10%,0)</f>
        <v>0</v>
      </c>
      <c r="M3454" s="34">
        <f t="shared" si="106"/>
        <v>0</v>
      </c>
      <c r="N3454" s="17">
        <f t="shared" si="107"/>
        <v>251596.79999999999</v>
      </c>
    </row>
    <row r="3455" spans="1:14" x14ac:dyDescent="0.25">
      <c r="A3455" s="14" t="s">
        <v>2776</v>
      </c>
      <c r="B3455" s="14">
        <v>18</v>
      </c>
      <c r="C3455" s="15" t="s">
        <v>2781</v>
      </c>
      <c r="D3455" s="14" t="s">
        <v>1749</v>
      </c>
      <c r="E3455" s="14" t="s">
        <v>1746</v>
      </c>
      <c r="F3455" s="17" t="s">
        <v>2995</v>
      </c>
      <c r="G3455" s="14">
        <v>11982</v>
      </c>
      <c r="H3455" s="14">
        <v>10783.8</v>
      </c>
      <c r="I3455" s="31">
        <f>IF(COUNTIFS(Addendum!C:C,A3455,Addendum!D:D,IF(ISNUMBER(B3455),TEXT(B3455,"0000"),B3455),Addendum!E:E,"X")&gt;0,4%,0)</f>
        <v>0</v>
      </c>
      <c r="J3455" s="31">
        <f>IF(COUNTIFS(Addendum!C:C,A3455,Addendum!D:D,IF(ISNUMBER(B3455),TEXT(B3455,"0000"),B3455),Addendum!F:F,"X")&gt;0,2.5%,0)</f>
        <v>0</v>
      </c>
      <c r="K3455" s="31">
        <f>IF(COUNTIFS(Addendum!C:C,A3455,Addendum!D:D,IF(ISNUMBER(B3455),TEXT(B3455,"0000"),B3455),Addendum!G:G,"X")&gt;0,7%,0)</f>
        <v>0</v>
      </c>
      <c r="L3455" s="31">
        <f>IF(COUNTIFS(Addendum!C:C,A3455,Addendum!D:D,IF(ISNUMBER(B3455),TEXT(B3455,"0000"),B3455),Addendum!I:I,"X")&gt;0,10%,0)</f>
        <v>0</v>
      </c>
      <c r="M3455" s="34">
        <f t="shared" si="106"/>
        <v>0</v>
      </c>
      <c r="N3455" s="17">
        <f t="shared" si="107"/>
        <v>10783.8</v>
      </c>
    </row>
    <row r="3456" spans="1:14" x14ac:dyDescent="0.25">
      <c r="A3456" s="14" t="s">
        <v>2776</v>
      </c>
      <c r="B3456" s="14" t="s">
        <v>650</v>
      </c>
      <c r="C3456" s="15" t="s">
        <v>2791</v>
      </c>
      <c r="D3456" s="14" t="s">
        <v>1745</v>
      </c>
      <c r="E3456" s="14" t="s">
        <v>1747</v>
      </c>
      <c r="F3456" s="17" t="s">
        <v>2994</v>
      </c>
      <c r="G3456" s="14">
        <v>599.04</v>
      </c>
      <c r="H3456" s="14">
        <v>479.23</v>
      </c>
      <c r="I3456" s="31">
        <f>IF(COUNTIFS(Addendum!C:C,A3456,Addendum!D:D,IF(ISNUMBER(B3456),TEXT(B3456,"0000"),B3456),Addendum!E:E,"X")&gt;0,4%,0)</f>
        <v>0</v>
      </c>
      <c r="J3456" s="31">
        <f>IF(COUNTIFS(Addendum!C:C,A3456,Addendum!D:D,IF(ISNUMBER(B3456),TEXT(B3456,"0000"),B3456),Addendum!F:F,"X")&gt;0,2.5%,0)</f>
        <v>0</v>
      </c>
      <c r="K3456" s="31">
        <f>IF(COUNTIFS(Addendum!C:C,A3456,Addendum!D:D,IF(ISNUMBER(B3456),TEXT(B3456,"0000"),B3456),Addendum!G:G,"X")&gt;0,7%,0)</f>
        <v>0</v>
      </c>
      <c r="L3456" s="31">
        <f>IF(COUNTIFS(Addendum!C:C,A3456,Addendum!D:D,IF(ISNUMBER(B3456),TEXT(B3456,"0000"),B3456),Addendum!I:I,"X")&gt;0,10%,0)</f>
        <v>0</v>
      </c>
      <c r="M3456" s="34">
        <f t="shared" si="106"/>
        <v>0</v>
      </c>
      <c r="N3456" s="17">
        <f t="shared" si="107"/>
        <v>479.23</v>
      </c>
    </row>
    <row r="3457" spans="1:14" x14ac:dyDescent="0.25">
      <c r="A3457" s="14" t="s">
        <v>2776</v>
      </c>
      <c r="B3457" s="14" t="s">
        <v>73</v>
      </c>
      <c r="C3457" s="15" t="s">
        <v>2777</v>
      </c>
      <c r="D3457" s="14" t="s">
        <v>1745</v>
      </c>
      <c r="E3457" s="14" t="s">
        <v>1746</v>
      </c>
      <c r="F3457" s="17" t="s">
        <v>2993</v>
      </c>
      <c r="G3457" s="14">
        <v>26208</v>
      </c>
      <c r="H3457" s="14">
        <v>20966.400000000001</v>
      </c>
      <c r="I3457" s="31">
        <f>IF(COUNTIFS(Addendum!C:C,A3457,Addendum!D:D,IF(ISNUMBER(B3457),TEXT(B3457,"0000"),B3457),Addendum!E:E,"X")&gt;0,4%,0)</f>
        <v>0</v>
      </c>
      <c r="J3457" s="31">
        <f>IF(COUNTIFS(Addendum!C:C,A3457,Addendum!D:D,IF(ISNUMBER(B3457),TEXT(B3457,"0000"),B3457),Addendum!F:F,"X")&gt;0,2.5%,0)</f>
        <v>0</v>
      </c>
      <c r="K3457" s="31">
        <f>IF(COUNTIFS(Addendum!C:C,A3457,Addendum!D:D,IF(ISNUMBER(B3457),TEXT(B3457,"0000"),B3457),Addendum!G:G,"X")&gt;0,7%,0)</f>
        <v>0</v>
      </c>
      <c r="L3457" s="31">
        <f>IF(COUNTIFS(Addendum!C:C,A3457,Addendum!D:D,IF(ISNUMBER(B3457),TEXT(B3457,"0000"),B3457),Addendum!I:I,"X")&gt;0,10%,0)</f>
        <v>0</v>
      </c>
      <c r="M3457" s="34">
        <f t="shared" si="106"/>
        <v>0</v>
      </c>
      <c r="N3457" s="17">
        <f t="shared" si="107"/>
        <v>20966.400000000001</v>
      </c>
    </row>
    <row r="3458" spans="1:14" x14ac:dyDescent="0.25">
      <c r="A3458" s="14" t="s">
        <v>2776</v>
      </c>
      <c r="B3458" s="14" t="s">
        <v>29</v>
      </c>
      <c r="C3458" s="15" t="s">
        <v>2792</v>
      </c>
      <c r="D3458" s="14" t="s">
        <v>1745</v>
      </c>
      <c r="E3458" s="14" t="s">
        <v>1747</v>
      </c>
      <c r="F3458" s="17" t="s">
        <v>2994</v>
      </c>
      <c r="G3458" s="14">
        <v>798.72</v>
      </c>
      <c r="H3458" s="14">
        <v>638.98</v>
      </c>
      <c r="I3458" s="31">
        <f>IF(COUNTIFS(Addendum!C:C,A3458,Addendum!D:D,IF(ISNUMBER(B3458),TEXT(B3458,"0000"),B3458),Addendum!E:E,"X")&gt;0,4%,0)</f>
        <v>0</v>
      </c>
      <c r="J3458" s="31">
        <f>IF(COUNTIFS(Addendum!C:C,A3458,Addendum!D:D,IF(ISNUMBER(B3458),TEXT(B3458,"0000"),B3458),Addendum!F:F,"X")&gt;0,2.5%,0)</f>
        <v>0</v>
      </c>
      <c r="K3458" s="31">
        <f>IF(COUNTIFS(Addendum!C:C,A3458,Addendum!D:D,IF(ISNUMBER(B3458),TEXT(B3458,"0000"),B3458),Addendum!G:G,"X")&gt;0,7%,0)</f>
        <v>0</v>
      </c>
      <c r="L3458" s="31">
        <f>IF(COUNTIFS(Addendum!C:C,A3458,Addendum!D:D,IF(ISNUMBER(B3458),TEXT(B3458,"0000"),B3458),Addendum!I:I,"X")&gt;0,10%,0)</f>
        <v>0</v>
      </c>
      <c r="M3458" s="34">
        <f t="shared" si="106"/>
        <v>0</v>
      </c>
      <c r="N3458" s="17">
        <f t="shared" si="107"/>
        <v>638.98</v>
      </c>
    </row>
    <row r="3459" spans="1:14" x14ac:dyDescent="0.25">
      <c r="A3459" s="14" t="s">
        <v>2776</v>
      </c>
      <c r="B3459" s="14" t="s">
        <v>29</v>
      </c>
      <c r="C3459" s="15" t="s">
        <v>2792</v>
      </c>
      <c r="D3459" s="14" t="s">
        <v>1745</v>
      </c>
      <c r="E3459" s="14" t="s">
        <v>1746</v>
      </c>
      <c r="F3459" s="17" t="s">
        <v>2994</v>
      </c>
      <c r="G3459" s="14">
        <v>838.68</v>
      </c>
      <c r="H3459" s="14">
        <v>670.92</v>
      </c>
      <c r="I3459" s="31">
        <f>IF(COUNTIFS(Addendum!C:C,A3459,Addendum!D:D,IF(ISNUMBER(B3459),TEXT(B3459,"0000"),B3459),Addendum!E:E,"X")&gt;0,4%,0)</f>
        <v>0</v>
      </c>
      <c r="J3459" s="31">
        <f>IF(COUNTIFS(Addendum!C:C,A3459,Addendum!D:D,IF(ISNUMBER(B3459),TEXT(B3459,"0000"),B3459),Addendum!F:F,"X")&gt;0,2.5%,0)</f>
        <v>0</v>
      </c>
      <c r="K3459" s="31">
        <f>IF(COUNTIFS(Addendum!C:C,A3459,Addendum!D:D,IF(ISNUMBER(B3459),TEXT(B3459,"0000"),B3459),Addendum!G:G,"X")&gt;0,7%,0)</f>
        <v>0</v>
      </c>
      <c r="L3459" s="31">
        <f>IF(COUNTIFS(Addendum!C:C,A3459,Addendum!D:D,IF(ISNUMBER(B3459),TEXT(B3459,"0000"),B3459),Addendum!I:I,"X")&gt;0,10%,0)</f>
        <v>0</v>
      </c>
      <c r="M3459" s="34">
        <f t="shared" si="106"/>
        <v>0</v>
      </c>
      <c r="N3459" s="17">
        <f t="shared" si="107"/>
        <v>670.92</v>
      </c>
    </row>
    <row r="3460" spans="1:14" x14ac:dyDescent="0.25">
      <c r="A3460" s="14" t="s">
        <v>2779</v>
      </c>
      <c r="B3460" s="14" t="s">
        <v>89</v>
      </c>
      <c r="C3460" s="15" t="s">
        <v>2785</v>
      </c>
      <c r="D3460" s="14" t="s">
        <v>1749</v>
      </c>
      <c r="E3460" s="14" t="s">
        <v>1746</v>
      </c>
      <c r="F3460" s="17" t="s">
        <v>2995</v>
      </c>
      <c r="G3460" s="14">
        <v>996</v>
      </c>
      <c r="H3460" s="14">
        <v>896.4</v>
      </c>
      <c r="I3460" s="31">
        <f>IF(COUNTIFS(Addendum!C:C,A3460,Addendum!D:D,IF(ISNUMBER(B3460),TEXT(B3460,"0000"),B3460),Addendum!E:E,"X")&gt;0,4%,0)</f>
        <v>0</v>
      </c>
      <c r="J3460" s="31">
        <f>IF(COUNTIFS(Addendum!C:C,A3460,Addendum!D:D,IF(ISNUMBER(B3460),TEXT(B3460,"0000"),B3460),Addendum!F:F,"X")&gt;0,2.5%,0)</f>
        <v>0</v>
      </c>
      <c r="K3460" s="31">
        <f>IF(COUNTIFS(Addendum!C:C,A3460,Addendum!D:D,IF(ISNUMBER(B3460),TEXT(B3460,"0000"),B3460),Addendum!G:G,"X")&gt;0,7%,0)</f>
        <v>0</v>
      </c>
      <c r="L3460" s="31">
        <f>IF(COUNTIFS(Addendum!C:C,A3460,Addendum!D:D,IF(ISNUMBER(B3460),TEXT(B3460,"0000"),B3460),Addendum!I:I,"X")&gt;0,10%,0)</f>
        <v>0</v>
      </c>
      <c r="M3460" s="34">
        <f t="shared" ref="M3460:M3523" si="108">IF(AND(I3460=0%,J3460=0%,K3460=0%,L3460=0%),0%,
IF(OR(TRIM(E3460)="OneTime",TRIM(D3460)=""),0%,
IF(
OR(
TRIM(D3460)="P1M",
AND(TRIM(D3460)="P1Y",TRIM(E3460)="Monthly"),
AND(TRIM(D3460)="P3Y",TRIM(E3460)="Monthly")
),
IF(AND(I3460=4%,J3460=0%,K3460=0%,L3460=0%),1%,
IF(AND(I3460=4%,J3460=2.5%,K3460=0%,L3460=10%),2%,
IF(AND(I3460=4%,J3460=0%,K3460=7%,L3460=10%),3%,0%))),
IF(
OR(
AND(TRIM(D3460)="P1Y",TRIM(E3460)="Annual"),
AND(TRIM(D3460)="P3Y",TRIM(E3460)="Annual"),
AND(TRIM(D3460)="P3Y",TRIM(E3460)="Triennial")
),
IF(AND(I3460=4%,J3460=0%,K3460=0%,L3460=0%),3%,
IF(AND(I3460=4%,J3460=2.5%,K3460=0%,L3460=10%),10%,
IF(AND(I3460=4%,J3460=0%,K3460=7%,L3460=10%),14%,0%))),
0%
))))</f>
        <v>0</v>
      </c>
      <c r="N3460" s="17">
        <f t="shared" ref="N3460:N3523" si="109">H3460-(H3460*M3460)</f>
        <v>896.4</v>
      </c>
    </row>
    <row r="3461" spans="1:14" x14ac:dyDescent="0.25">
      <c r="A3461" s="14" t="s">
        <v>2776</v>
      </c>
      <c r="B3461" s="14" t="s">
        <v>34</v>
      </c>
      <c r="C3461" s="15" t="s">
        <v>2790</v>
      </c>
      <c r="D3461" s="14" t="s">
        <v>1745</v>
      </c>
      <c r="E3461" s="14" t="s">
        <v>1747</v>
      </c>
      <c r="F3461" s="17" t="s">
        <v>2993</v>
      </c>
      <c r="G3461" s="14">
        <v>299520</v>
      </c>
      <c r="H3461" s="14">
        <v>239616</v>
      </c>
      <c r="I3461" s="31">
        <f>IF(COUNTIFS(Addendum!C:C,A3461,Addendum!D:D,IF(ISNUMBER(B3461),TEXT(B3461,"0000"),B3461),Addendum!E:E,"X")&gt;0,4%,0)</f>
        <v>0</v>
      </c>
      <c r="J3461" s="31">
        <f>IF(COUNTIFS(Addendum!C:C,A3461,Addendum!D:D,IF(ISNUMBER(B3461),TEXT(B3461,"0000"),B3461),Addendum!F:F,"X")&gt;0,2.5%,0)</f>
        <v>0</v>
      </c>
      <c r="K3461" s="31">
        <f>IF(COUNTIFS(Addendum!C:C,A3461,Addendum!D:D,IF(ISNUMBER(B3461),TEXT(B3461,"0000"),B3461),Addendum!G:G,"X")&gt;0,7%,0)</f>
        <v>0</v>
      </c>
      <c r="L3461" s="31">
        <f>IF(COUNTIFS(Addendum!C:C,A3461,Addendum!D:D,IF(ISNUMBER(B3461),TEXT(B3461,"0000"),B3461),Addendum!I:I,"X")&gt;0,10%,0)</f>
        <v>0</v>
      </c>
      <c r="M3461" s="34">
        <f t="shared" si="108"/>
        <v>0</v>
      </c>
      <c r="N3461" s="17">
        <f t="shared" si="109"/>
        <v>239616</v>
      </c>
    </row>
    <row r="3462" spans="1:14" x14ac:dyDescent="0.25">
      <c r="A3462" s="14" t="s">
        <v>2779</v>
      </c>
      <c r="B3462" s="14" t="s">
        <v>20</v>
      </c>
      <c r="C3462" s="15" t="s">
        <v>2780</v>
      </c>
      <c r="D3462" s="14" t="s">
        <v>1745</v>
      </c>
      <c r="E3462" s="14" t="s">
        <v>1746</v>
      </c>
      <c r="F3462" s="17" t="s">
        <v>2994</v>
      </c>
      <c r="G3462" s="14">
        <v>7875</v>
      </c>
      <c r="H3462" s="14">
        <v>6300</v>
      </c>
      <c r="I3462" s="31">
        <f>IF(COUNTIFS(Addendum!C:C,A3462,Addendum!D:D,IF(ISNUMBER(B3462),TEXT(B3462,"0000"),B3462),Addendum!E:E,"X")&gt;0,4%,0)</f>
        <v>0</v>
      </c>
      <c r="J3462" s="31">
        <f>IF(COUNTIFS(Addendum!C:C,A3462,Addendum!D:D,IF(ISNUMBER(B3462),TEXT(B3462,"0000"),B3462),Addendum!F:F,"X")&gt;0,2.5%,0)</f>
        <v>0</v>
      </c>
      <c r="K3462" s="31">
        <f>IF(COUNTIFS(Addendum!C:C,A3462,Addendum!D:D,IF(ISNUMBER(B3462),TEXT(B3462,"0000"),B3462),Addendum!G:G,"X")&gt;0,7%,0)</f>
        <v>0</v>
      </c>
      <c r="L3462" s="31">
        <f>IF(COUNTIFS(Addendum!C:C,A3462,Addendum!D:D,IF(ISNUMBER(B3462),TEXT(B3462,"0000"),B3462),Addendum!I:I,"X")&gt;0,10%,0)</f>
        <v>0</v>
      </c>
      <c r="M3462" s="34">
        <f t="shared" si="108"/>
        <v>0</v>
      </c>
      <c r="N3462" s="17">
        <f t="shared" si="109"/>
        <v>6300</v>
      </c>
    </row>
    <row r="3463" spans="1:14" x14ac:dyDescent="0.25">
      <c r="A3463" s="14" t="s">
        <v>2779</v>
      </c>
      <c r="B3463" s="14" t="s">
        <v>89</v>
      </c>
      <c r="C3463" s="15" t="s">
        <v>2785</v>
      </c>
      <c r="D3463" s="14" t="s">
        <v>1745</v>
      </c>
      <c r="E3463" s="14" t="s">
        <v>1746</v>
      </c>
      <c r="F3463" s="17" t="s">
        <v>2995</v>
      </c>
      <c r="G3463" s="14">
        <v>10458</v>
      </c>
      <c r="H3463" s="14">
        <v>9412.2000000000007</v>
      </c>
      <c r="I3463" s="31">
        <f>IF(COUNTIFS(Addendum!C:C,A3463,Addendum!D:D,IF(ISNUMBER(B3463),TEXT(B3463,"0000"),B3463),Addendum!E:E,"X")&gt;0,4%,0)</f>
        <v>0</v>
      </c>
      <c r="J3463" s="31">
        <f>IF(COUNTIFS(Addendum!C:C,A3463,Addendum!D:D,IF(ISNUMBER(B3463),TEXT(B3463,"0000"),B3463),Addendum!F:F,"X")&gt;0,2.5%,0)</f>
        <v>0</v>
      </c>
      <c r="K3463" s="31">
        <f>IF(COUNTIFS(Addendum!C:C,A3463,Addendum!D:D,IF(ISNUMBER(B3463),TEXT(B3463,"0000"),B3463),Addendum!G:G,"X")&gt;0,7%,0)</f>
        <v>0</v>
      </c>
      <c r="L3463" s="31">
        <f>IF(COUNTIFS(Addendum!C:C,A3463,Addendum!D:D,IF(ISNUMBER(B3463),TEXT(B3463,"0000"),B3463),Addendum!I:I,"X")&gt;0,10%,0)</f>
        <v>0</v>
      </c>
      <c r="M3463" s="34">
        <f t="shared" si="108"/>
        <v>0</v>
      </c>
      <c r="N3463" s="17">
        <f t="shared" si="109"/>
        <v>9412.2000000000007</v>
      </c>
    </row>
    <row r="3464" spans="1:14" x14ac:dyDescent="0.25">
      <c r="A3464" s="14" t="s">
        <v>2776</v>
      </c>
      <c r="B3464" s="14" t="s">
        <v>34</v>
      </c>
      <c r="C3464" s="15" t="s">
        <v>2790</v>
      </c>
      <c r="D3464" s="14" t="s">
        <v>1749</v>
      </c>
      <c r="E3464" s="14" t="s">
        <v>1746</v>
      </c>
      <c r="F3464" s="17" t="s">
        <v>2993</v>
      </c>
      <c r="G3464" s="14">
        <v>29952</v>
      </c>
      <c r="H3464" s="14">
        <v>23961.599999999999</v>
      </c>
      <c r="I3464" s="31">
        <f>IF(COUNTIFS(Addendum!C:C,A3464,Addendum!D:D,IF(ISNUMBER(B3464),TEXT(B3464,"0000"),B3464),Addendum!E:E,"X")&gt;0,4%,0)</f>
        <v>0</v>
      </c>
      <c r="J3464" s="31">
        <f>IF(COUNTIFS(Addendum!C:C,A3464,Addendum!D:D,IF(ISNUMBER(B3464),TEXT(B3464,"0000"),B3464),Addendum!F:F,"X")&gt;0,2.5%,0)</f>
        <v>0</v>
      </c>
      <c r="K3464" s="31">
        <f>IF(COUNTIFS(Addendum!C:C,A3464,Addendum!D:D,IF(ISNUMBER(B3464),TEXT(B3464,"0000"),B3464),Addendum!G:G,"X")&gt;0,7%,0)</f>
        <v>0</v>
      </c>
      <c r="L3464" s="31">
        <f>IF(COUNTIFS(Addendum!C:C,A3464,Addendum!D:D,IF(ISNUMBER(B3464),TEXT(B3464,"0000"),B3464),Addendum!I:I,"X")&gt;0,10%,0)</f>
        <v>0</v>
      </c>
      <c r="M3464" s="34">
        <f t="shared" si="108"/>
        <v>0</v>
      </c>
      <c r="N3464" s="17">
        <f t="shared" si="109"/>
        <v>23961.599999999999</v>
      </c>
    </row>
    <row r="3465" spans="1:14" x14ac:dyDescent="0.25">
      <c r="A3465" s="14" t="s">
        <v>2776</v>
      </c>
      <c r="B3465" s="14">
        <v>2</v>
      </c>
      <c r="C3465" s="15" t="s">
        <v>2783</v>
      </c>
      <c r="D3465" s="14" t="s">
        <v>1749</v>
      </c>
      <c r="E3465" s="14" t="s">
        <v>1746</v>
      </c>
      <c r="F3465" s="17" t="s">
        <v>2993</v>
      </c>
      <c r="G3465" s="14">
        <v>402</v>
      </c>
      <c r="H3465" s="14">
        <v>321.60000000000002</v>
      </c>
      <c r="I3465" s="31">
        <f>IF(COUNTIFS(Addendum!C:C,A3465,Addendum!D:D,IF(ISNUMBER(B3465),TEXT(B3465,"0000"),B3465),Addendum!E:E,"X")&gt;0,4%,0)</f>
        <v>0</v>
      </c>
      <c r="J3465" s="31">
        <f>IF(COUNTIFS(Addendum!C:C,A3465,Addendum!D:D,IF(ISNUMBER(B3465),TEXT(B3465,"0000"),B3465),Addendum!F:F,"X")&gt;0,2.5%,0)</f>
        <v>0</v>
      </c>
      <c r="K3465" s="31">
        <f>IF(COUNTIFS(Addendum!C:C,A3465,Addendum!D:D,IF(ISNUMBER(B3465),TEXT(B3465,"0000"),B3465),Addendum!G:G,"X")&gt;0,7%,0)</f>
        <v>0</v>
      </c>
      <c r="L3465" s="31">
        <f>IF(COUNTIFS(Addendum!C:C,A3465,Addendum!D:D,IF(ISNUMBER(B3465),TEXT(B3465,"0000"),B3465),Addendum!I:I,"X")&gt;0,10%,0)</f>
        <v>0</v>
      </c>
      <c r="M3465" s="34">
        <f t="shared" si="108"/>
        <v>0</v>
      </c>
      <c r="N3465" s="17">
        <f t="shared" si="109"/>
        <v>321.60000000000002</v>
      </c>
    </row>
    <row r="3466" spans="1:14" x14ac:dyDescent="0.25">
      <c r="A3466" s="14" t="s">
        <v>2776</v>
      </c>
      <c r="B3466" s="14" t="s">
        <v>195</v>
      </c>
      <c r="C3466" s="15" t="s">
        <v>2788</v>
      </c>
      <c r="D3466" s="14" t="s">
        <v>1745</v>
      </c>
      <c r="E3466" s="14" t="s">
        <v>1746</v>
      </c>
      <c r="F3466" s="17" t="s">
        <v>2994</v>
      </c>
      <c r="G3466" s="14">
        <v>7875</v>
      </c>
      <c r="H3466" s="14">
        <v>6300</v>
      </c>
      <c r="I3466" s="31">
        <f>IF(COUNTIFS(Addendum!C:C,A3466,Addendum!D:D,IF(ISNUMBER(B3466),TEXT(B3466,"0000"),B3466),Addendum!E:E,"X")&gt;0,4%,0)</f>
        <v>0</v>
      </c>
      <c r="J3466" s="31">
        <f>IF(COUNTIFS(Addendum!C:C,A3466,Addendum!D:D,IF(ISNUMBER(B3466),TEXT(B3466,"0000"),B3466),Addendum!F:F,"X")&gt;0,2.5%,0)</f>
        <v>0</v>
      </c>
      <c r="K3466" s="31">
        <f>IF(COUNTIFS(Addendum!C:C,A3466,Addendum!D:D,IF(ISNUMBER(B3466),TEXT(B3466,"0000"),B3466),Addendum!G:G,"X")&gt;0,7%,0)</f>
        <v>0</v>
      </c>
      <c r="L3466" s="31">
        <f>IF(COUNTIFS(Addendum!C:C,A3466,Addendum!D:D,IF(ISNUMBER(B3466),TEXT(B3466,"0000"),B3466),Addendum!I:I,"X")&gt;0,10%,0)</f>
        <v>0</v>
      </c>
      <c r="M3466" s="34">
        <f t="shared" si="108"/>
        <v>0</v>
      </c>
      <c r="N3466" s="17">
        <f t="shared" si="109"/>
        <v>6300</v>
      </c>
    </row>
    <row r="3467" spans="1:14" x14ac:dyDescent="0.25">
      <c r="A3467" s="14" t="s">
        <v>2779</v>
      </c>
      <c r="B3467" s="14" t="s">
        <v>50</v>
      </c>
      <c r="C3467" s="15" t="s">
        <v>2789</v>
      </c>
      <c r="D3467" s="14" t="s">
        <v>1745</v>
      </c>
      <c r="E3467" s="14" t="s">
        <v>1747</v>
      </c>
      <c r="F3467" s="17" t="s">
        <v>2995</v>
      </c>
      <c r="G3467" s="14">
        <v>119820</v>
      </c>
      <c r="H3467" s="14">
        <v>107838</v>
      </c>
      <c r="I3467" s="31">
        <f>IF(COUNTIFS(Addendum!C:C,A3467,Addendum!D:D,IF(ISNUMBER(B3467),TEXT(B3467,"0000"),B3467),Addendum!E:E,"X")&gt;0,4%,0)</f>
        <v>0</v>
      </c>
      <c r="J3467" s="31">
        <f>IF(COUNTIFS(Addendum!C:C,A3467,Addendum!D:D,IF(ISNUMBER(B3467),TEXT(B3467,"0000"),B3467),Addendum!F:F,"X")&gt;0,2.5%,0)</f>
        <v>0</v>
      </c>
      <c r="K3467" s="31">
        <f>IF(COUNTIFS(Addendum!C:C,A3467,Addendum!D:D,IF(ISNUMBER(B3467),TEXT(B3467,"0000"),B3467),Addendum!G:G,"X")&gt;0,7%,0)</f>
        <v>0</v>
      </c>
      <c r="L3467" s="31">
        <f>IF(COUNTIFS(Addendum!C:C,A3467,Addendum!D:D,IF(ISNUMBER(B3467),TEXT(B3467,"0000"),B3467),Addendum!I:I,"X")&gt;0,10%,0)</f>
        <v>0</v>
      </c>
      <c r="M3467" s="34">
        <f t="shared" si="108"/>
        <v>0</v>
      </c>
      <c r="N3467" s="17">
        <f t="shared" si="109"/>
        <v>107838</v>
      </c>
    </row>
    <row r="3468" spans="1:14" x14ac:dyDescent="0.25">
      <c r="A3468" s="14" t="s">
        <v>2776</v>
      </c>
      <c r="B3468" s="14" t="s">
        <v>102</v>
      </c>
      <c r="C3468" s="15" t="s">
        <v>2784</v>
      </c>
      <c r="D3468" s="14" t="s">
        <v>1749</v>
      </c>
      <c r="E3468" s="14" t="s">
        <v>1746</v>
      </c>
      <c r="F3468" s="17" t="s">
        <v>2994</v>
      </c>
      <c r="G3468" s="14">
        <v>750</v>
      </c>
      <c r="H3468" s="14">
        <v>600</v>
      </c>
      <c r="I3468" s="31">
        <f>IF(COUNTIFS(Addendum!C:C,A3468,Addendum!D:D,IF(ISNUMBER(B3468),TEXT(B3468,"0000"),B3468),Addendum!E:E,"X")&gt;0,4%,0)</f>
        <v>0</v>
      </c>
      <c r="J3468" s="31">
        <f>IF(COUNTIFS(Addendum!C:C,A3468,Addendum!D:D,IF(ISNUMBER(B3468),TEXT(B3468,"0000"),B3468),Addendum!F:F,"X")&gt;0,2.5%,0)</f>
        <v>0</v>
      </c>
      <c r="K3468" s="31">
        <f>IF(COUNTIFS(Addendum!C:C,A3468,Addendum!D:D,IF(ISNUMBER(B3468),TEXT(B3468,"0000"),B3468),Addendum!G:G,"X")&gt;0,7%,0)</f>
        <v>0</v>
      </c>
      <c r="L3468" s="31">
        <f>IF(COUNTIFS(Addendum!C:C,A3468,Addendum!D:D,IF(ISNUMBER(B3468),TEXT(B3468,"0000"),B3468),Addendum!I:I,"X")&gt;0,10%,0)</f>
        <v>0</v>
      </c>
      <c r="M3468" s="34">
        <f t="shared" si="108"/>
        <v>0</v>
      </c>
      <c r="N3468" s="17">
        <f t="shared" si="109"/>
        <v>600</v>
      </c>
    </row>
    <row r="3469" spans="1:14" x14ac:dyDescent="0.25">
      <c r="A3469" s="14" t="s">
        <v>2776</v>
      </c>
      <c r="B3469" s="14">
        <v>16</v>
      </c>
      <c r="C3469" s="15" t="s">
        <v>2786</v>
      </c>
      <c r="D3469" s="14" t="s">
        <v>1745</v>
      </c>
      <c r="E3469" s="14" t="s">
        <v>1746</v>
      </c>
      <c r="F3469" s="17" t="s">
        <v>2995</v>
      </c>
      <c r="G3469" s="14">
        <v>10458</v>
      </c>
      <c r="H3469" s="14">
        <v>9412.2000000000007</v>
      </c>
      <c r="I3469" s="31">
        <f>IF(COUNTIFS(Addendum!C:C,A3469,Addendum!D:D,IF(ISNUMBER(B3469),TEXT(B3469,"0000"),B3469),Addendum!E:E,"X")&gt;0,4%,0)</f>
        <v>0</v>
      </c>
      <c r="J3469" s="31">
        <f>IF(COUNTIFS(Addendum!C:C,A3469,Addendum!D:D,IF(ISNUMBER(B3469),TEXT(B3469,"0000"),B3469),Addendum!F:F,"X")&gt;0,2.5%,0)</f>
        <v>0</v>
      </c>
      <c r="K3469" s="31">
        <f>IF(COUNTIFS(Addendum!C:C,A3469,Addendum!D:D,IF(ISNUMBER(B3469),TEXT(B3469,"0000"),B3469),Addendum!G:G,"X")&gt;0,7%,0)</f>
        <v>0</v>
      </c>
      <c r="L3469" s="31">
        <f>IF(COUNTIFS(Addendum!C:C,A3469,Addendum!D:D,IF(ISNUMBER(B3469),TEXT(B3469,"0000"),B3469),Addendum!I:I,"X")&gt;0,10%,0)</f>
        <v>0</v>
      </c>
      <c r="M3469" s="34">
        <f t="shared" si="108"/>
        <v>0</v>
      </c>
      <c r="N3469" s="17">
        <f t="shared" si="109"/>
        <v>9412.2000000000007</v>
      </c>
    </row>
    <row r="3470" spans="1:14" x14ac:dyDescent="0.25">
      <c r="A3470" s="14" t="s">
        <v>2776</v>
      </c>
      <c r="B3470" s="14">
        <v>15</v>
      </c>
      <c r="C3470" s="15" t="s">
        <v>2793</v>
      </c>
      <c r="D3470" s="14" t="s">
        <v>1749</v>
      </c>
      <c r="E3470" s="14" t="s">
        <v>1746</v>
      </c>
      <c r="F3470" s="17" t="s">
        <v>2994</v>
      </c>
      <c r="G3470" s="14">
        <v>8988</v>
      </c>
      <c r="H3470" s="14">
        <v>7190.4</v>
      </c>
      <c r="I3470" s="31">
        <f>IF(COUNTIFS(Addendum!C:C,A3470,Addendum!D:D,IF(ISNUMBER(B3470),TEXT(B3470,"0000"),B3470),Addendum!E:E,"X")&gt;0,4%,0)</f>
        <v>0</v>
      </c>
      <c r="J3470" s="31">
        <f>IF(COUNTIFS(Addendum!C:C,A3470,Addendum!D:D,IF(ISNUMBER(B3470),TEXT(B3470,"0000"),B3470),Addendum!F:F,"X")&gt;0,2.5%,0)</f>
        <v>0</v>
      </c>
      <c r="K3470" s="31">
        <f>IF(COUNTIFS(Addendum!C:C,A3470,Addendum!D:D,IF(ISNUMBER(B3470),TEXT(B3470,"0000"),B3470),Addendum!G:G,"X")&gt;0,7%,0)</f>
        <v>0</v>
      </c>
      <c r="L3470" s="31">
        <f>IF(COUNTIFS(Addendum!C:C,A3470,Addendum!D:D,IF(ISNUMBER(B3470),TEXT(B3470,"0000"),B3470),Addendum!I:I,"X")&gt;0,10%,0)</f>
        <v>0</v>
      </c>
      <c r="M3470" s="34">
        <f t="shared" si="108"/>
        <v>0</v>
      </c>
      <c r="N3470" s="17">
        <f t="shared" si="109"/>
        <v>7190.4</v>
      </c>
    </row>
    <row r="3471" spans="1:14" x14ac:dyDescent="0.25">
      <c r="A3471" s="14" t="s">
        <v>2776</v>
      </c>
      <c r="B3471" s="14" t="s">
        <v>102</v>
      </c>
      <c r="C3471" s="15" t="s">
        <v>2784</v>
      </c>
      <c r="D3471" s="14" t="s">
        <v>1745</v>
      </c>
      <c r="E3471" s="14" t="s">
        <v>1746</v>
      </c>
      <c r="F3471" s="17" t="s">
        <v>2994</v>
      </c>
      <c r="G3471" s="14">
        <v>7875</v>
      </c>
      <c r="H3471" s="14">
        <v>6300</v>
      </c>
      <c r="I3471" s="31">
        <f>IF(COUNTIFS(Addendum!C:C,A3471,Addendum!D:D,IF(ISNUMBER(B3471),TEXT(B3471,"0000"),B3471),Addendum!E:E,"X")&gt;0,4%,0)</f>
        <v>0</v>
      </c>
      <c r="J3471" s="31">
        <f>IF(COUNTIFS(Addendum!C:C,A3471,Addendum!D:D,IF(ISNUMBER(B3471),TEXT(B3471,"0000"),B3471),Addendum!F:F,"X")&gt;0,2.5%,0)</f>
        <v>0</v>
      </c>
      <c r="K3471" s="31">
        <f>IF(COUNTIFS(Addendum!C:C,A3471,Addendum!D:D,IF(ISNUMBER(B3471),TEXT(B3471,"0000"),B3471),Addendum!G:G,"X")&gt;0,7%,0)</f>
        <v>0</v>
      </c>
      <c r="L3471" s="31">
        <f>IF(COUNTIFS(Addendum!C:C,A3471,Addendum!D:D,IF(ISNUMBER(B3471),TEXT(B3471,"0000"),B3471),Addendum!I:I,"X")&gt;0,10%,0)</f>
        <v>0</v>
      </c>
      <c r="M3471" s="34">
        <f t="shared" si="108"/>
        <v>0</v>
      </c>
      <c r="N3471" s="17">
        <f t="shared" si="109"/>
        <v>6300</v>
      </c>
    </row>
    <row r="3472" spans="1:14" x14ac:dyDescent="0.25">
      <c r="A3472" s="14" t="s">
        <v>2776</v>
      </c>
      <c r="B3472" s="14" t="s">
        <v>118</v>
      </c>
      <c r="C3472" s="15" t="s">
        <v>2778</v>
      </c>
      <c r="D3472" s="14" t="s">
        <v>1745</v>
      </c>
      <c r="E3472" s="14" t="s">
        <v>1746</v>
      </c>
      <c r="F3472" s="17" t="s">
        <v>2995</v>
      </c>
      <c r="G3472" s="14">
        <v>125811</v>
      </c>
      <c r="H3472" s="14">
        <v>113230</v>
      </c>
      <c r="I3472" s="31">
        <f>IF(COUNTIFS(Addendum!C:C,A3472,Addendum!D:D,IF(ISNUMBER(B3472),TEXT(B3472,"0000"),B3472),Addendum!E:E,"X")&gt;0,4%,0)</f>
        <v>0</v>
      </c>
      <c r="J3472" s="31">
        <f>IF(COUNTIFS(Addendum!C:C,A3472,Addendum!D:D,IF(ISNUMBER(B3472),TEXT(B3472,"0000"),B3472),Addendum!F:F,"X")&gt;0,2.5%,0)</f>
        <v>0</v>
      </c>
      <c r="K3472" s="31">
        <f>IF(COUNTIFS(Addendum!C:C,A3472,Addendum!D:D,IF(ISNUMBER(B3472),TEXT(B3472,"0000"),B3472),Addendum!G:G,"X")&gt;0,7%,0)</f>
        <v>0</v>
      </c>
      <c r="L3472" s="31">
        <f>IF(COUNTIFS(Addendum!C:C,A3472,Addendum!D:D,IF(ISNUMBER(B3472),TEXT(B3472,"0000"),B3472),Addendum!I:I,"X")&gt;0,10%,0)</f>
        <v>0</v>
      </c>
      <c r="M3472" s="34">
        <f t="shared" si="108"/>
        <v>0</v>
      </c>
      <c r="N3472" s="17">
        <f t="shared" si="109"/>
        <v>113230</v>
      </c>
    </row>
    <row r="3473" spans="1:14" x14ac:dyDescent="0.25">
      <c r="A3473" s="14" t="s">
        <v>2776</v>
      </c>
      <c r="B3473" s="14">
        <v>16</v>
      </c>
      <c r="C3473" s="15" t="s">
        <v>2786</v>
      </c>
      <c r="D3473" s="14" t="s">
        <v>1749</v>
      </c>
      <c r="E3473" s="14" t="s">
        <v>1746</v>
      </c>
      <c r="F3473" s="17" t="s">
        <v>2995</v>
      </c>
      <c r="G3473" s="14">
        <v>996</v>
      </c>
      <c r="H3473" s="14">
        <v>896.4</v>
      </c>
      <c r="I3473" s="31">
        <f>IF(COUNTIFS(Addendum!C:C,A3473,Addendum!D:D,IF(ISNUMBER(B3473),TEXT(B3473,"0000"),B3473),Addendum!E:E,"X")&gt;0,4%,0)</f>
        <v>0</v>
      </c>
      <c r="J3473" s="31">
        <f>IF(COUNTIFS(Addendum!C:C,A3473,Addendum!D:D,IF(ISNUMBER(B3473),TEXT(B3473,"0000"),B3473),Addendum!F:F,"X")&gt;0,2.5%,0)</f>
        <v>0</v>
      </c>
      <c r="K3473" s="31">
        <f>IF(COUNTIFS(Addendum!C:C,A3473,Addendum!D:D,IF(ISNUMBER(B3473),TEXT(B3473,"0000"),B3473),Addendum!G:G,"X")&gt;0,7%,0)</f>
        <v>0</v>
      </c>
      <c r="L3473" s="31">
        <f>IF(COUNTIFS(Addendum!C:C,A3473,Addendum!D:D,IF(ISNUMBER(B3473),TEXT(B3473,"0000"),B3473),Addendum!I:I,"X")&gt;0,10%,0)</f>
        <v>0</v>
      </c>
      <c r="M3473" s="34">
        <f t="shared" si="108"/>
        <v>0</v>
      </c>
      <c r="N3473" s="17">
        <f t="shared" si="109"/>
        <v>896.4</v>
      </c>
    </row>
    <row r="3474" spans="1:14" x14ac:dyDescent="0.25">
      <c r="A3474" s="14" t="s">
        <v>2776</v>
      </c>
      <c r="B3474" s="14" t="s">
        <v>650</v>
      </c>
      <c r="C3474" s="15" t="s">
        <v>2791</v>
      </c>
      <c r="D3474" s="14" t="s">
        <v>1749</v>
      </c>
      <c r="E3474" s="14" t="s">
        <v>1746</v>
      </c>
      <c r="F3474" s="17" t="s">
        <v>2994</v>
      </c>
      <c r="G3474" s="14">
        <v>59.9</v>
      </c>
      <c r="H3474" s="14">
        <v>47.92</v>
      </c>
      <c r="I3474" s="31">
        <f>IF(COUNTIFS(Addendum!C:C,A3474,Addendum!D:D,IF(ISNUMBER(B3474),TEXT(B3474,"0000"),B3474),Addendum!E:E,"X")&gt;0,4%,0)</f>
        <v>0</v>
      </c>
      <c r="J3474" s="31">
        <f>IF(COUNTIFS(Addendum!C:C,A3474,Addendum!D:D,IF(ISNUMBER(B3474),TEXT(B3474,"0000"),B3474),Addendum!F:F,"X")&gt;0,2.5%,0)</f>
        <v>0</v>
      </c>
      <c r="K3474" s="31">
        <f>IF(COUNTIFS(Addendum!C:C,A3474,Addendum!D:D,IF(ISNUMBER(B3474),TEXT(B3474,"0000"),B3474),Addendum!G:G,"X")&gt;0,7%,0)</f>
        <v>0</v>
      </c>
      <c r="L3474" s="31">
        <f>IF(COUNTIFS(Addendum!C:C,A3474,Addendum!D:D,IF(ISNUMBER(B3474),TEXT(B3474,"0000"),B3474),Addendum!I:I,"X")&gt;0,10%,0)</f>
        <v>0</v>
      </c>
      <c r="M3474" s="34">
        <f t="shared" si="108"/>
        <v>0</v>
      </c>
      <c r="N3474" s="17">
        <f t="shared" si="109"/>
        <v>47.92</v>
      </c>
    </row>
    <row r="3475" spans="1:14" x14ac:dyDescent="0.25">
      <c r="A3475" s="14" t="s">
        <v>2776</v>
      </c>
      <c r="B3475" s="14">
        <v>15</v>
      </c>
      <c r="C3475" s="15" t="s">
        <v>2793</v>
      </c>
      <c r="D3475" s="14" t="s">
        <v>1745</v>
      </c>
      <c r="E3475" s="14" t="s">
        <v>1747</v>
      </c>
      <c r="F3475" s="17" t="s">
        <v>2994</v>
      </c>
      <c r="G3475" s="14">
        <v>89880</v>
      </c>
      <c r="H3475" s="14">
        <v>71904</v>
      </c>
      <c r="I3475" s="31">
        <f>IF(COUNTIFS(Addendum!C:C,A3475,Addendum!D:D,IF(ISNUMBER(B3475),TEXT(B3475,"0000"),B3475),Addendum!E:E,"X")&gt;0,4%,0)</f>
        <v>0</v>
      </c>
      <c r="J3475" s="31">
        <f>IF(COUNTIFS(Addendum!C:C,A3475,Addendum!D:D,IF(ISNUMBER(B3475),TEXT(B3475,"0000"),B3475),Addendum!F:F,"X")&gt;0,2.5%,0)</f>
        <v>0</v>
      </c>
      <c r="K3475" s="31">
        <f>IF(COUNTIFS(Addendum!C:C,A3475,Addendum!D:D,IF(ISNUMBER(B3475),TEXT(B3475,"0000"),B3475),Addendum!G:G,"X")&gt;0,7%,0)</f>
        <v>0</v>
      </c>
      <c r="L3475" s="31">
        <f>IF(COUNTIFS(Addendum!C:C,A3475,Addendum!D:D,IF(ISNUMBER(B3475),TEXT(B3475,"0000"),B3475),Addendum!I:I,"X")&gt;0,10%,0)</f>
        <v>0</v>
      </c>
      <c r="M3475" s="34">
        <f t="shared" si="108"/>
        <v>0</v>
      </c>
      <c r="N3475" s="17">
        <f t="shared" si="109"/>
        <v>71904</v>
      </c>
    </row>
    <row r="3476" spans="1:14" x14ac:dyDescent="0.25">
      <c r="A3476" s="14" t="s">
        <v>2776</v>
      </c>
      <c r="B3476" s="14" t="s">
        <v>118</v>
      </c>
      <c r="C3476" s="15" t="s">
        <v>2778</v>
      </c>
      <c r="D3476" s="14" t="s">
        <v>1745</v>
      </c>
      <c r="E3476" s="14" t="s">
        <v>1747</v>
      </c>
      <c r="F3476" s="17" t="s">
        <v>2995</v>
      </c>
      <c r="G3476" s="14">
        <v>119820</v>
      </c>
      <c r="H3476" s="14">
        <v>107838</v>
      </c>
      <c r="I3476" s="31">
        <f>IF(COUNTIFS(Addendum!C:C,A3476,Addendum!D:D,IF(ISNUMBER(B3476),TEXT(B3476,"0000"),B3476),Addendum!E:E,"X")&gt;0,4%,0)</f>
        <v>0</v>
      </c>
      <c r="J3476" s="31">
        <f>IF(COUNTIFS(Addendum!C:C,A3476,Addendum!D:D,IF(ISNUMBER(B3476),TEXT(B3476,"0000"),B3476),Addendum!F:F,"X")&gt;0,2.5%,0)</f>
        <v>0</v>
      </c>
      <c r="K3476" s="31">
        <f>IF(COUNTIFS(Addendum!C:C,A3476,Addendum!D:D,IF(ISNUMBER(B3476),TEXT(B3476,"0000"),B3476),Addendum!G:G,"X")&gt;0,7%,0)</f>
        <v>0</v>
      </c>
      <c r="L3476" s="31">
        <f>IF(COUNTIFS(Addendum!C:C,A3476,Addendum!D:D,IF(ISNUMBER(B3476),TEXT(B3476,"0000"),B3476),Addendum!I:I,"X")&gt;0,10%,0)</f>
        <v>0</v>
      </c>
      <c r="M3476" s="34">
        <f t="shared" si="108"/>
        <v>0</v>
      </c>
      <c r="N3476" s="17">
        <f t="shared" si="109"/>
        <v>107838</v>
      </c>
    </row>
    <row r="3477" spans="1:14" x14ac:dyDescent="0.25">
      <c r="A3477" s="14" t="s">
        <v>2776</v>
      </c>
      <c r="B3477" s="14" t="s">
        <v>36</v>
      </c>
      <c r="C3477" s="15" t="s">
        <v>2787</v>
      </c>
      <c r="D3477" s="14" t="s">
        <v>1749</v>
      </c>
      <c r="E3477" s="14" t="s">
        <v>1746</v>
      </c>
      <c r="F3477" s="17" t="s">
        <v>2995</v>
      </c>
      <c r="G3477" s="14">
        <v>162</v>
      </c>
      <c r="H3477" s="14">
        <v>145.80000000000001</v>
      </c>
      <c r="I3477" s="31">
        <f>IF(COUNTIFS(Addendum!C:C,A3477,Addendum!D:D,IF(ISNUMBER(B3477),TEXT(B3477,"0000"),B3477),Addendum!E:E,"X")&gt;0,4%,0)</f>
        <v>0</v>
      </c>
      <c r="J3477" s="31">
        <f>IF(COUNTIFS(Addendum!C:C,A3477,Addendum!D:D,IF(ISNUMBER(B3477),TEXT(B3477,"0000"),B3477),Addendum!F:F,"X")&gt;0,2.5%,0)</f>
        <v>0</v>
      </c>
      <c r="K3477" s="31">
        <f>IF(COUNTIFS(Addendum!C:C,A3477,Addendum!D:D,IF(ISNUMBER(B3477),TEXT(B3477,"0000"),B3477),Addendum!G:G,"X")&gt;0,7%,0)</f>
        <v>0</v>
      </c>
      <c r="L3477" s="31">
        <f>IF(COUNTIFS(Addendum!C:C,A3477,Addendum!D:D,IF(ISNUMBER(B3477),TEXT(B3477,"0000"),B3477),Addendum!I:I,"X")&gt;0,10%,0)</f>
        <v>0</v>
      </c>
      <c r="M3477" s="34">
        <f t="shared" si="108"/>
        <v>0</v>
      </c>
      <c r="N3477" s="17">
        <f t="shared" si="109"/>
        <v>145.80000000000001</v>
      </c>
    </row>
    <row r="3478" spans="1:14" x14ac:dyDescent="0.25">
      <c r="A3478" s="14" t="s">
        <v>2776</v>
      </c>
      <c r="B3478" s="14" t="s">
        <v>243</v>
      </c>
      <c r="C3478" s="15" t="s">
        <v>2782</v>
      </c>
      <c r="D3478" s="14" t="s">
        <v>1745</v>
      </c>
      <c r="E3478" s="14" t="s">
        <v>1747</v>
      </c>
      <c r="F3478" s="17" t="s">
        <v>2995</v>
      </c>
      <c r="G3478" s="14">
        <v>9960</v>
      </c>
      <c r="H3478" s="14">
        <v>8964</v>
      </c>
      <c r="I3478" s="31">
        <f>IF(COUNTIFS(Addendum!C:C,A3478,Addendum!D:D,IF(ISNUMBER(B3478),TEXT(B3478,"0000"),B3478),Addendum!E:E,"X")&gt;0,4%,0)</f>
        <v>0</v>
      </c>
      <c r="J3478" s="31">
        <f>IF(COUNTIFS(Addendum!C:C,A3478,Addendum!D:D,IF(ISNUMBER(B3478),TEXT(B3478,"0000"),B3478),Addendum!F:F,"X")&gt;0,2.5%,0)</f>
        <v>0</v>
      </c>
      <c r="K3478" s="31">
        <f>IF(COUNTIFS(Addendum!C:C,A3478,Addendum!D:D,IF(ISNUMBER(B3478),TEXT(B3478,"0000"),B3478),Addendum!G:G,"X")&gt;0,7%,0)</f>
        <v>0</v>
      </c>
      <c r="L3478" s="31">
        <f>IF(COUNTIFS(Addendum!C:C,A3478,Addendum!D:D,IF(ISNUMBER(B3478),TEXT(B3478,"0000"),B3478),Addendum!I:I,"X")&gt;0,10%,0)</f>
        <v>0</v>
      </c>
      <c r="M3478" s="34">
        <f t="shared" si="108"/>
        <v>0</v>
      </c>
      <c r="N3478" s="17">
        <f t="shared" si="109"/>
        <v>8964</v>
      </c>
    </row>
    <row r="3479" spans="1:14" x14ac:dyDescent="0.25">
      <c r="A3479" s="14" t="s">
        <v>2776</v>
      </c>
      <c r="B3479" s="14" t="s">
        <v>36</v>
      </c>
      <c r="C3479" s="15" t="s">
        <v>2787</v>
      </c>
      <c r="D3479" s="14" t="s">
        <v>1745</v>
      </c>
      <c r="E3479" s="14" t="s">
        <v>1746</v>
      </c>
      <c r="F3479" s="17" t="s">
        <v>2995</v>
      </c>
      <c r="G3479" s="14">
        <v>1701</v>
      </c>
      <c r="H3479" s="14">
        <v>1530.96</v>
      </c>
      <c r="I3479" s="31">
        <f>IF(COUNTIFS(Addendum!C:C,A3479,Addendum!D:D,IF(ISNUMBER(B3479),TEXT(B3479,"0000"),B3479),Addendum!E:E,"X")&gt;0,4%,0)</f>
        <v>0</v>
      </c>
      <c r="J3479" s="31">
        <f>IF(COUNTIFS(Addendum!C:C,A3479,Addendum!D:D,IF(ISNUMBER(B3479),TEXT(B3479,"0000"),B3479),Addendum!F:F,"X")&gt;0,2.5%,0)</f>
        <v>0</v>
      </c>
      <c r="K3479" s="31">
        <f>IF(COUNTIFS(Addendum!C:C,A3479,Addendum!D:D,IF(ISNUMBER(B3479),TEXT(B3479,"0000"),B3479),Addendum!G:G,"X")&gt;0,7%,0)</f>
        <v>0</v>
      </c>
      <c r="L3479" s="31">
        <f>IF(COUNTIFS(Addendum!C:C,A3479,Addendum!D:D,IF(ISNUMBER(B3479),TEXT(B3479,"0000"),B3479),Addendum!I:I,"X")&gt;0,10%,0)</f>
        <v>0</v>
      </c>
      <c r="M3479" s="34">
        <f t="shared" si="108"/>
        <v>0</v>
      </c>
      <c r="N3479" s="17">
        <f t="shared" si="109"/>
        <v>1530.96</v>
      </c>
    </row>
    <row r="3480" spans="1:14" x14ac:dyDescent="0.25">
      <c r="A3480" s="14" t="s">
        <v>2779</v>
      </c>
      <c r="B3480" s="14" t="s">
        <v>50</v>
      </c>
      <c r="C3480" s="15" t="s">
        <v>2789</v>
      </c>
      <c r="D3480" s="14" t="s">
        <v>1749</v>
      </c>
      <c r="E3480" s="14" t="s">
        <v>1746</v>
      </c>
      <c r="F3480" s="17" t="s">
        <v>2995</v>
      </c>
      <c r="G3480" s="14">
        <v>11982</v>
      </c>
      <c r="H3480" s="14">
        <v>10783.8</v>
      </c>
      <c r="I3480" s="31">
        <f>IF(COUNTIFS(Addendum!C:C,A3480,Addendum!D:D,IF(ISNUMBER(B3480),TEXT(B3480,"0000"),B3480),Addendum!E:E,"X")&gt;0,4%,0)</f>
        <v>0</v>
      </c>
      <c r="J3480" s="31">
        <f>IF(COUNTIFS(Addendum!C:C,A3480,Addendum!D:D,IF(ISNUMBER(B3480),TEXT(B3480,"0000"),B3480),Addendum!F:F,"X")&gt;0,2.5%,0)</f>
        <v>0</v>
      </c>
      <c r="K3480" s="31">
        <f>IF(COUNTIFS(Addendum!C:C,A3480,Addendum!D:D,IF(ISNUMBER(B3480),TEXT(B3480,"0000"),B3480),Addendum!G:G,"X")&gt;0,7%,0)</f>
        <v>0</v>
      </c>
      <c r="L3480" s="31">
        <f>IF(COUNTIFS(Addendum!C:C,A3480,Addendum!D:D,IF(ISNUMBER(B3480),TEXT(B3480,"0000"),B3480),Addendum!I:I,"X")&gt;0,10%,0)</f>
        <v>0</v>
      </c>
      <c r="M3480" s="34">
        <f t="shared" si="108"/>
        <v>0</v>
      </c>
      <c r="N3480" s="17">
        <f t="shared" si="109"/>
        <v>10783.8</v>
      </c>
    </row>
    <row r="3481" spans="1:14" x14ac:dyDescent="0.25">
      <c r="A3481" s="14" t="s">
        <v>2776</v>
      </c>
      <c r="B3481" s="14" t="s">
        <v>650</v>
      </c>
      <c r="C3481" s="15" t="s">
        <v>2791</v>
      </c>
      <c r="D3481" s="14" t="s">
        <v>1745</v>
      </c>
      <c r="E3481" s="14" t="s">
        <v>1746</v>
      </c>
      <c r="F3481" s="17" t="s">
        <v>2994</v>
      </c>
      <c r="G3481" s="14">
        <v>629.04</v>
      </c>
      <c r="H3481" s="14">
        <v>503.16</v>
      </c>
      <c r="I3481" s="31">
        <f>IF(COUNTIFS(Addendum!C:C,A3481,Addendum!D:D,IF(ISNUMBER(B3481),TEXT(B3481,"0000"),B3481),Addendum!E:E,"X")&gt;0,4%,0)</f>
        <v>0</v>
      </c>
      <c r="J3481" s="31">
        <f>IF(COUNTIFS(Addendum!C:C,A3481,Addendum!D:D,IF(ISNUMBER(B3481),TEXT(B3481,"0000"),B3481),Addendum!F:F,"X")&gt;0,2.5%,0)</f>
        <v>0</v>
      </c>
      <c r="K3481" s="31">
        <f>IF(COUNTIFS(Addendum!C:C,A3481,Addendum!D:D,IF(ISNUMBER(B3481),TEXT(B3481,"0000"),B3481),Addendum!G:G,"X")&gt;0,7%,0)</f>
        <v>0</v>
      </c>
      <c r="L3481" s="31">
        <f>IF(COUNTIFS(Addendum!C:C,A3481,Addendum!D:D,IF(ISNUMBER(B3481),TEXT(B3481,"0000"),B3481),Addendum!I:I,"X")&gt;0,10%,0)</f>
        <v>0</v>
      </c>
      <c r="M3481" s="34">
        <f t="shared" si="108"/>
        <v>0</v>
      </c>
      <c r="N3481" s="17">
        <f t="shared" si="109"/>
        <v>503.16</v>
      </c>
    </row>
    <row r="3482" spans="1:14" x14ac:dyDescent="0.25">
      <c r="A3482" s="14" t="s">
        <v>2776</v>
      </c>
      <c r="B3482" s="14">
        <v>2</v>
      </c>
      <c r="C3482" s="15" t="s">
        <v>2783</v>
      </c>
      <c r="D3482" s="14" t="s">
        <v>1745</v>
      </c>
      <c r="E3482" s="14" t="s">
        <v>1747</v>
      </c>
      <c r="F3482" s="17" t="s">
        <v>2993</v>
      </c>
      <c r="G3482" s="14">
        <v>4020</v>
      </c>
      <c r="H3482" s="14">
        <v>3216</v>
      </c>
      <c r="I3482" s="31">
        <f>IF(COUNTIFS(Addendum!C:C,A3482,Addendum!D:D,IF(ISNUMBER(B3482),TEXT(B3482,"0000"),B3482),Addendum!E:E,"X")&gt;0,4%,0)</f>
        <v>0</v>
      </c>
      <c r="J3482" s="31">
        <f>IF(COUNTIFS(Addendum!C:C,A3482,Addendum!D:D,IF(ISNUMBER(B3482),TEXT(B3482,"0000"),B3482),Addendum!F:F,"X")&gt;0,2.5%,0)</f>
        <v>0</v>
      </c>
      <c r="K3482" s="31">
        <f>IF(COUNTIFS(Addendum!C:C,A3482,Addendum!D:D,IF(ISNUMBER(B3482),TEXT(B3482,"0000"),B3482),Addendum!G:G,"X")&gt;0,7%,0)</f>
        <v>0</v>
      </c>
      <c r="L3482" s="31">
        <f>IF(COUNTIFS(Addendum!C:C,A3482,Addendum!D:D,IF(ISNUMBER(B3482),TEXT(B3482,"0000"),B3482),Addendum!I:I,"X")&gt;0,10%,0)</f>
        <v>0</v>
      </c>
      <c r="M3482" s="34">
        <f t="shared" si="108"/>
        <v>0</v>
      </c>
      <c r="N3482" s="17">
        <f t="shared" si="109"/>
        <v>3216</v>
      </c>
    </row>
    <row r="3483" spans="1:14" x14ac:dyDescent="0.25">
      <c r="A3483" s="14" t="s">
        <v>2776</v>
      </c>
      <c r="B3483" s="14" t="s">
        <v>243</v>
      </c>
      <c r="C3483" s="15" t="s">
        <v>2782</v>
      </c>
      <c r="D3483" s="14" t="s">
        <v>1749</v>
      </c>
      <c r="E3483" s="14" t="s">
        <v>1746</v>
      </c>
      <c r="F3483" s="17" t="s">
        <v>2995</v>
      </c>
      <c r="G3483" s="14">
        <v>996</v>
      </c>
      <c r="H3483" s="14">
        <v>896.4</v>
      </c>
      <c r="I3483" s="31">
        <f>IF(COUNTIFS(Addendum!C:C,A3483,Addendum!D:D,IF(ISNUMBER(B3483),TEXT(B3483,"0000"),B3483),Addendum!E:E,"X")&gt;0,4%,0)</f>
        <v>0</v>
      </c>
      <c r="J3483" s="31">
        <f>IF(COUNTIFS(Addendum!C:C,A3483,Addendum!D:D,IF(ISNUMBER(B3483),TEXT(B3483,"0000"),B3483),Addendum!F:F,"X")&gt;0,2.5%,0)</f>
        <v>0</v>
      </c>
      <c r="K3483" s="31">
        <f>IF(COUNTIFS(Addendum!C:C,A3483,Addendum!D:D,IF(ISNUMBER(B3483),TEXT(B3483,"0000"),B3483),Addendum!G:G,"X")&gt;0,7%,0)</f>
        <v>0</v>
      </c>
      <c r="L3483" s="31">
        <f>IF(COUNTIFS(Addendum!C:C,A3483,Addendum!D:D,IF(ISNUMBER(B3483),TEXT(B3483,"0000"),B3483),Addendum!I:I,"X")&gt;0,10%,0)</f>
        <v>0</v>
      </c>
      <c r="M3483" s="34">
        <f t="shared" si="108"/>
        <v>0</v>
      </c>
      <c r="N3483" s="17">
        <f t="shared" si="109"/>
        <v>896.4</v>
      </c>
    </row>
    <row r="3484" spans="1:14" x14ac:dyDescent="0.25">
      <c r="A3484" s="14" t="s">
        <v>2779</v>
      </c>
      <c r="B3484" s="14" t="s">
        <v>20</v>
      </c>
      <c r="C3484" s="15" t="s">
        <v>2780</v>
      </c>
      <c r="D3484" s="14" t="s">
        <v>1749</v>
      </c>
      <c r="E3484" s="14" t="s">
        <v>1746</v>
      </c>
      <c r="F3484" s="17" t="s">
        <v>2994</v>
      </c>
      <c r="G3484" s="14">
        <v>750</v>
      </c>
      <c r="H3484" s="14">
        <v>600</v>
      </c>
      <c r="I3484" s="31">
        <f>IF(COUNTIFS(Addendum!C:C,A3484,Addendum!D:D,IF(ISNUMBER(B3484),TEXT(B3484,"0000"),B3484),Addendum!E:E,"X")&gt;0,4%,0)</f>
        <v>0</v>
      </c>
      <c r="J3484" s="31">
        <f>IF(COUNTIFS(Addendum!C:C,A3484,Addendum!D:D,IF(ISNUMBER(B3484),TEXT(B3484,"0000"),B3484),Addendum!F:F,"X")&gt;0,2.5%,0)</f>
        <v>0</v>
      </c>
      <c r="K3484" s="31">
        <f>IF(COUNTIFS(Addendum!C:C,A3484,Addendum!D:D,IF(ISNUMBER(B3484),TEXT(B3484,"0000"),B3484),Addendum!G:G,"X")&gt;0,7%,0)</f>
        <v>0</v>
      </c>
      <c r="L3484" s="31">
        <f>IF(COUNTIFS(Addendum!C:C,A3484,Addendum!D:D,IF(ISNUMBER(B3484),TEXT(B3484,"0000"),B3484),Addendum!I:I,"X")&gt;0,10%,0)</f>
        <v>0</v>
      </c>
      <c r="M3484" s="34">
        <f t="shared" si="108"/>
        <v>0</v>
      </c>
      <c r="N3484" s="17">
        <f t="shared" si="109"/>
        <v>600</v>
      </c>
    </row>
    <row r="3485" spans="1:14" x14ac:dyDescent="0.25">
      <c r="A3485" s="14" t="s">
        <v>2776</v>
      </c>
      <c r="B3485" s="14">
        <v>15</v>
      </c>
      <c r="C3485" s="15" t="s">
        <v>2793</v>
      </c>
      <c r="D3485" s="14" t="s">
        <v>1745</v>
      </c>
      <c r="E3485" s="14" t="s">
        <v>1746</v>
      </c>
      <c r="F3485" s="17" t="s">
        <v>2994</v>
      </c>
      <c r="G3485" s="14">
        <v>94374</v>
      </c>
      <c r="H3485" s="14">
        <v>75499.199999999997</v>
      </c>
      <c r="I3485" s="31">
        <f>IF(COUNTIFS(Addendum!C:C,A3485,Addendum!D:D,IF(ISNUMBER(B3485),TEXT(B3485,"0000"),B3485),Addendum!E:E,"X")&gt;0,4%,0)</f>
        <v>0</v>
      </c>
      <c r="J3485" s="31">
        <f>IF(COUNTIFS(Addendum!C:C,A3485,Addendum!D:D,IF(ISNUMBER(B3485),TEXT(B3485,"0000"),B3485),Addendum!F:F,"X")&gt;0,2.5%,0)</f>
        <v>0</v>
      </c>
      <c r="K3485" s="31">
        <f>IF(COUNTIFS(Addendum!C:C,A3485,Addendum!D:D,IF(ISNUMBER(B3485),TEXT(B3485,"0000"),B3485),Addendum!G:G,"X")&gt;0,7%,0)</f>
        <v>0</v>
      </c>
      <c r="L3485" s="31">
        <f>IF(COUNTIFS(Addendum!C:C,A3485,Addendum!D:D,IF(ISNUMBER(B3485),TEXT(B3485,"0000"),B3485),Addendum!I:I,"X")&gt;0,10%,0)</f>
        <v>0</v>
      </c>
      <c r="M3485" s="34">
        <f t="shared" si="108"/>
        <v>0</v>
      </c>
      <c r="N3485" s="17">
        <f t="shared" si="109"/>
        <v>75499.199999999997</v>
      </c>
    </row>
    <row r="3486" spans="1:14" x14ac:dyDescent="0.25">
      <c r="A3486" s="14" t="s">
        <v>2776</v>
      </c>
      <c r="B3486" s="14" t="s">
        <v>195</v>
      </c>
      <c r="C3486" s="15" t="s">
        <v>2788</v>
      </c>
      <c r="D3486" s="14" t="s">
        <v>1749</v>
      </c>
      <c r="E3486" s="14" t="s">
        <v>1746</v>
      </c>
      <c r="F3486" s="17" t="s">
        <v>2994</v>
      </c>
      <c r="G3486" s="14">
        <v>750</v>
      </c>
      <c r="H3486" s="14">
        <v>600</v>
      </c>
      <c r="I3486" s="31">
        <f>IF(COUNTIFS(Addendum!C:C,A3486,Addendum!D:D,IF(ISNUMBER(B3486),TEXT(B3486,"0000"),B3486),Addendum!E:E,"X")&gt;0,4%,0)</f>
        <v>0</v>
      </c>
      <c r="J3486" s="31">
        <f>IF(COUNTIFS(Addendum!C:C,A3486,Addendum!D:D,IF(ISNUMBER(B3486),TEXT(B3486,"0000"),B3486),Addendum!F:F,"X")&gt;0,2.5%,0)</f>
        <v>0</v>
      </c>
      <c r="K3486" s="31">
        <f>IF(COUNTIFS(Addendum!C:C,A3486,Addendum!D:D,IF(ISNUMBER(B3486),TEXT(B3486,"0000"),B3486),Addendum!G:G,"X")&gt;0,7%,0)</f>
        <v>0</v>
      </c>
      <c r="L3486" s="31">
        <f>IF(COUNTIFS(Addendum!C:C,A3486,Addendum!D:D,IF(ISNUMBER(B3486),TEXT(B3486,"0000"),B3486),Addendum!I:I,"X")&gt;0,10%,0)</f>
        <v>0</v>
      </c>
      <c r="M3486" s="34">
        <f t="shared" si="108"/>
        <v>0</v>
      </c>
      <c r="N3486" s="17">
        <f t="shared" si="109"/>
        <v>600</v>
      </c>
    </row>
    <row r="3487" spans="1:14" x14ac:dyDescent="0.25">
      <c r="A3487" s="14" t="s">
        <v>2776</v>
      </c>
      <c r="B3487" s="14" t="s">
        <v>29</v>
      </c>
      <c r="C3487" s="15" t="s">
        <v>2792</v>
      </c>
      <c r="D3487" s="14" t="s">
        <v>1749</v>
      </c>
      <c r="E3487" s="14" t="s">
        <v>1746</v>
      </c>
      <c r="F3487" s="17" t="s">
        <v>2994</v>
      </c>
      <c r="G3487" s="14">
        <v>79.87</v>
      </c>
      <c r="H3487" s="14">
        <v>63.9</v>
      </c>
      <c r="I3487" s="31">
        <f>IF(COUNTIFS(Addendum!C:C,A3487,Addendum!D:D,IF(ISNUMBER(B3487),TEXT(B3487,"0000"),B3487),Addendum!E:E,"X")&gt;0,4%,0)</f>
        <v>0</v>
      </c>
      <c r="J3487" s="31">
        <f>IF(COUNTIFS(Addendum!C:C,A3487,Addendum!D:D,IF(ISNUMBER(B3487),TEXT(B3487,"0000"),B3487),Addendum!F:F,"X")&gt;0,2.5%,0)</f>
        <v>0</v>
      </c>
      <c r="K3487" s="31">
        <f>IF(COUNTIFS(Addendum!C:C,A3487,Addendum!D:D,IF(ISNUMBER(B3487),TEXT(B3487,"0000"),B3487),Addendum!G:G,"X")&gt;0,7%,0)</f>
        <v>0</v>
      </c>
      <c r="L3487" s="31">
        <f>IF(COUNTIFS(Addendum!C:C,A3487,Addendum!D:D,IF(ISNUMBER(B3487),TEXT(B3487,"0000"),B3487),Addendum!I:I,"X")&gt;0,10%,0)</f>
        <v>0</v>
      </c>
      <c r="M3487" s="34">
        <f t="shared" si="108"/>
        <v>0</v>
      </c>
      <c r="N3487" s="17">
        <f t="shared" si="109"/>
        <v>63.9</v>
      </c>
    </row>
    <row r="3488" spans="1:14" x14ac:dyDescent="0.25">
      <c r="A3488" s="14" t="s">
        <v>2794</v>
      </c>
      <c r="B3488" s="14">
        <v>12</v>
      </c>
      <c r="C3488" s="15" t="s">
        <v>2795</v>
      </c>
      <c r="D3488" s="14" t="s">
        <v>1749</v>
      </c>
      <c r="E3488" s="14" t="s">
        <v>1746</v>
      </c>
      <c r="F3488" s="17" t="s">
        <v>2994</v>
      </c>
      <c r="G3488" s="14">
        <v>74.88</v>
      </c>
      <c r="H3488" s="14">
        <v>59.9</v>
      </c>
      <c r="I3488" s="31">
        <f>IF(COUNTIFS(Addendum!C:C,A3488,Addendum!D:D,IF(ISNUMBER(B3488),TEXT(B3488,"0000"),B3488),Addendum!E:E,"X")&gt;0,4%,0)</f>
        <v>0</v>
      </c>
      <c r="J3488" s="31">
        <f>IF(COUNTIFS(Addendum!C:C,A3488,Addendum!D:D,IF(ISNUMBER(B3488),TEXT(B3488,"0000"),B3488),Addendum!F:F,"X")&gt;0,2.5%,0)</f>
        <v>0</v>
      </c>
      <c r="K3488" s="31">
        <f>IF(COUNTIFS(Addendum!C:C,A3488,Addendum!D:D,IF(ISNUMBER(B3488),TEXT(B3488,"0000"),B3488),Addendum!G:G,"X")&gt;0,7%,0)</f>
        <v>0</v>
      </c>
      <c r="L3488" s="31">
        <f>IF(COUNTIFS(Addendum!C:C,A3488,Addendum!D:D,IF(ISNUMBER(B3488),TEXT(B3488,"0000"),B3488),Addendum!I:I,"X")&gt;0,10%,0)</f>
        <v>0</v>
      </c>
      <c r="M3488" s="34">
        <f t="shared" si="108"/>
        <v>0</v>
      </c>
      <c r="N3488" s="17">
        <f t="shared" si="109"/>
        <v>59.9</v>
      </c>
    </row>
    <row r="3489" spans="1:14" x14ac:dyDescent="0.25">
      <c r="A3489" s="14" t="s">
        <v>2794</v>
      </c>
      <c r="B3489" s="14">
        <v>3</v>
      </c>
      <c r="C3489" s="15" t="s">
        <v>2796</v>
      </c>
      <c r="D3489" s="14" t="s">
        <v>1745</v>
      </c>
      <c r="E3489" s="14" t="s">
        <v>1747</v>
      </c>
      <c r="F3489" s="17" t="s">
        <v>2993</v>
      </c>
      <c r="G3489" s="14">
        <v>4980</v>
      </c>
      <c r="H3489" s="14">
        <v>3984</v>
      </c>
      <c r="I3489" s="31">
        <f>IF(COUNTIFS(Addendum!C:C,A3489,Addendum!D:D,IF(ISNUMBER(B3489),TEXT(B3489,"0000"),B3489),Addendum!E:E,"X")&gt;0,4%,0)</f>
        <v>0</v>
      </c>
      <c r="J3489" s="31">
        <f>IF(COUNTIFS(Addendum!C:C,A3489,Addendum!D:D,IF(ISNUMBER(B3489),TEXT(B3489,"0000"),B3489),Addendum!F:F,"X")&gt;0,2.5%,0)</f>
        <v>0</v>
      </c>
      <c r="K3489" s="31">
        <f>IF(COUNTIFS(Addendum!C:C,A3489,Addendum!D:D,IF(ISNUMBER(B3489),TEXT(B3489,"0000"),B3489),Addendum!G:G,"X")&gt;0,7%,0)</f>
        <v>0</v>
      </c>
      <c r="L3489" s="31">
        <f>IF(COUNTIFS(Addendum!C:C,A3489,Addendum!D:D,IF(ISNUMBER(B3489),TEXT(B3489,"0000"),B3489),Addendum!I:I,"X")&gt;0,10%,0)</f>
        <v>0</v>
      </c>
      <c r="M3489" s="34">
        <f t="shared" si="108"/>
        <v>0</v>
      </c>
      <c r="N3489" s="17">
        <f t="shared" si="109"/>
        <v>3984</v>
      </c>
    </row>
    <row r="3490" spans="1:14" x14ac:dyDescent="0.25">
      <c r="A3490" s="14" t="s">
        <v>2794</v>
      </c>
      <c r="B3490" s="14">
        <v>3</v>
      </c>
      <c r="C3490" s="15" t="s">
        <v>2796</v>
      </c>
      <c r="D3490" s="14" t="s">
        <v>1745</v>
      </c>
      <c r="E3490" s="14" t="s">
        <v>1746</v>
      </c>
      <c r="F3490" s="17" t="s">
        <v>2993</v>
      </c>
      <c r="G3490" s="14">
        <v>5229</v>
      </c>
      <c r="H3490" s="14">
        <v>4183.2</v>
      </c>
      <c r="I3490" s="31">
        <f>IF(COUNTIFS(Addendum!C:C,A3490,Addendum!D:D,IF(ISNUMBER(B3490),TEXT(B3490,"0000"),B3490),Addendum!E:E,"X")&gt;0,4%,0)</f>
        <v>0</v>
      </c>
      <c r="J3490" s="31">
        <f>IF(COUNTIFS(Addendum!C:C,A3490,Addendum!D:D,IF(ISNUMBER(B3490),TEXT(B3490,"0000"),B3490),Addendum!F:F,"X")&gt;0,2.5%,0)</f>
        <v>0</v>
      </c>
      <c r="K3490" s="31">
        <f>IF(COUNTIFS(Addendum!C:C,A3490,Addendum!D:D,IF(ISNUMBER(B3490),TEXT(B3490,"0000"),B3490),Addendum!G:G,"X")&gt;0,7%,0)</f>
        <v>0</v>
      </c>
      <c r="L3490" s="31">
        <f>IF(COUNTIFS(Addendum!C:C,A3490,Addendum!D:D,IF(ISNUMBER(B3490),TEXT(B3490,"0000"),B3490),Addendum!I:I,"X")&gt;0,10%,0)</f>
        <v>0</v>
      </c>
      <c r="M3490" s="34">
        <f t="shared" si="108"/>
        <v>0</v>
      </c>
      <c r="N3490" s="17">
        <f t="shared" si="109"/>
        <v>4183.2</v>
      </c>
    </row>
    <row r="3491" spans="1:14" x14ac:dyDescent="0.25">
      <c r="A3491" s="14" t="s">
        <v>2794</v>
      </c>
      <c r="B3491" s="14">
        <v>11</v>
      </c>
      <c r="C3491" s="15" t="s">
        <v>2797</v>
      </c>
      <c r="D3491" s="14" t="s">
        <v>1745</v>
      </c>
      <c r="E3491" s="14" t="s">
        <v>1746</v>
      </c>
      <c r="F3491" s="17" t="s">
        <v>2995</v>
      </c>
      <c r="G3491" s="14">
        <v>2079</v>
      </c>
      <c r="H3491" s="14">
        <v>1871.16</v>
      </c>
      <c r="I3491" s="31">
        <f>IF(COUNTIFS(Addendum!C:C,A3491,Addendum!D:D,IF(ISNUMBER(B3491),TEXT(B3491,"0000"),B3491),Addendum!E:E,"X")&gt;0,4%,0)</f>
        <v>0</v>
      </c>
      <c r="J3491" s="31">
        <f>IF(COUNTIFS(Addendum!C:C,A3491,Addendum!D:D,IF(ISNUMBER(B3491),TEXT(B3491,"0000"),B3491),Addendum!F:F,"X")&gt;0,2.5%,0)</f>
        <v>0</v>
      </c>
      <c r="K3491" s="31">
        <f>IF(COUNTIFS(Addendum!C:C,A3491,Addendum!D:D,IF(ISNUMBER(B3491),TEXT(B3491,"0000"),B3491),Addendum!G:G,"X")&gt;0,7%,0)</f>
        <v>0</v>
      </c>
      <c r="L3491" s="31">
        <f>IF(COUNTIFS(Addendum!C:C,A3491,Addendum!D:D,IF(ISNUMBER(B3491),TEXT(B3491,"0000"),B3491),Addendum!I:I,"X")&gt;0,10%,0)</f>
        <v>0</v>
      </c>
      <c r="M3491" s="34">
        <f t="shared" si="108"/>
        <v>0</v>
      </c>
      <c r="N3491" s="17">
        <f t="shared" si="109"/>
        <v>1871.16</v>
      </c>
    </row>
    <row r="3492" spans="1:14" x14ac:dyDescent="0.25">
      <c r="A3492" s="14" t="s">
        <v>2794</v>
      </c>
      <c r="B3492" s="14">
        <v>14</v>
      </c>
      <c r="C3492" s="15" t="s">
        <v>2798</v>
      </c>
      <c r="D3492" s="14" t="s">
        <v>1749</v>
      </c>
      <c r="E3492" s="14" t="s">
        <v>1746</v>
      </c>
      <c r="F3492" s="17" t="s">
        <v>2994</v>
      </c>
      <c r="G3492" s="14">
        <v>99.84</v>
      </c>
      <c r="H3492" s="14">
        <v>79.87</v>
      </c>
      <c r="I3492" s="31">
        <f>IF(COUNTIFS(Addendum!C:C,A3492,Addendum!D:D,IF(ISNUMBER(B3492),TEXT(B3492,"0000"),B3492),Addendum!E:E,"X")&gt;0,4%,0)</f>
        <v>0</v>
      </c>
      <c r="J3492" s="31">
        <f>IF(COUNTIFS(Addendum!C:C,A3492,Addendum!D:D,IF(ISNUMBER(B3492),TEXT(B3492,"0000"),B3492),Addendum!F:F,"X")&gt;0,2.5%,0)</f>
        <v>0</v>
      </c>
      <c r="K3492" s="31">
        <f>IF(COUNTIFS(Addendum!C:C,A3492,Addendum!D:D,IF(ISNUMBER(B3492),TEXT(B3492,"0000"),B3492),Addendum!G:G,"X")&gt;0,7%,0)</f>
        <v>0</v>
      </c>
      <c r="L3492" s="31">
        <f>IF(COUNTIFS(Addendum!C:C,A3492,Addendum!D:D,IF(ISNUMBER(B3492),TEXT(B3492,"0000"),B3492),Addendum!I:I,"X")&gt;0,10%,0)</f>
        <v>0</v>
      </c>
      <c r="M3492" s="34">
        <f t="shared" si="108"/>
        <v>0</v>
      </c>
      <c r="N3492" s="17">
        <f t="shared" si="109"/>
        <v>79.87</v>
      </c>
    </row>
    <row r="3493" spans="1:14" x14ac:dyDescent="0.25">
      <c r="A3493" s="14" t="s">
        <v>2794</v>
      </c>
      <c r="B3493" s="14">
        <v>4</v>
      </c>
      <c r="C3493" s="15" t="s">
        <v>2796</v>
      </c>
      <c r="D3493" s="14" t="s">
        <v>1749</v>
      </c>
      <c r="E3493" s="14" t="s">
        <v>1766</v>
      </c>
      <c r="F3493" s="17" t="s">
        <v>2993</v>
      </c>
      <c r="G3493" s="14">
        <v>0</v>
      </c>
      <c r="H3493" s="14">
        <v>0</v>
      </c>
      <c r="I3493" s="31">
        <f>IF(COUNTIFS(Addendum!C:C,A3493,Addendum!D:D,IF(ISNUMBER(B3493),TEXT(B3493,"0000"),B3493),Addendum!E:E,"X")&gt;0,4%,0)</f>
        <v>0</v>
      </c>
      <c r="J3493" s="31">
        <f>IF(COUNTIFS(Addendum!C:C,A3493,Addendum!D:D,IF(ISNUMBER(B3493),TEXT(B3493,"0000"),B3493),Addendum!F:F,"X")&gt;0,2.5%,0)</f>
        <v>0</v>
      </c>
      <c r="K3493" s="31">
        <f>IF(COUNTIFS(Addendum!C:C,A3493,Addendum!D:D,IF(ISNUMBER(B3493),TEXT(B3493,"0000"),B3493),Addendum!G:G,"X")&gt;0,7%,0)</f>
        <v>0</v>
      </c>
      <c r="L3493" s="31">
        <f>IF(COUNTIFS(Addendum!C:C,A3493,Addendum!D:D,IF(ISNUMBER(B3493),TEXT(B3493,"0000"),B3493),Addendum!I:I,"X")&gt;0,10%,0)</f>
        <v>0</v>
      </c>
      <c r="M3493" s="34">
        <f t="shared" si="108"/>
        <v>0</v>
      </c>
      <c r="N3493" s="17">
        <f t="shared" si="109"/>
        <v>0</v>
      </c>
    </row>
    <row r="3494" spans="1:14" x14ac:dyDescent="0.25">
      <c r="A3494" s="14" t="s">
        <v>2794</v>
      </c>
      <c r="B3494" s="14">
        <v>12</v>
      </c>
      <c r="C3494" s="15" t="s">
        <v>2795</v>
      </c>
      <c r="D3494" s="14" t="s">
        <v>1745</v>
      </c>
      <c r="E3494" s="14" t="s">
        <v>1746</v>
      </c>
      <c r="F3494" s="17" t="s">
        <v>2994</v>
      </c>
      <c r="G3494" s="14">
        <v>786.24</v>
      </c>
      <c r="H3494" s="14">
        <v>629.04</v>
      </c>
      <c r="I3494" s="31">
        <f>IF(COUNTIFS(Addendum!C:C,A3494,Addendum!D:D,IF(ISNUMBER(B3494),TEXT(B3494,"0000"),B3494),Addendum!E:E,"X")&gt;0,4%,0)</f>
        <v>0</v>
      </c>
      <c r="J3494" s="31">
        <f>IF(COUNTIFS(Addendum!C:C,A3494,Addendum!D:D,IF(ISNUMBER(B3494),TEXT(B3494,"0000"),B3494),Addendum!F:F,"X")&gt;0,2.5%,0)</f>
        <v>0</v>
      </c>
      <c r="K3494" s="31">
        <f>IF(COUNTIFS(Addendum!C:C,A3494,Addendum!D:D,IF(ISNUMBER(B3494),TEXT(B3494,"0000"),B3494),Addendum!G:G,"X")&gt;0,7%,0)</f>
        <v>0</v>
      </c>
      <c r="L3494" s="31">
        <f>IF(COUNTIFS(Addendum!C:C,A3494,Addendum!D:D,IF(ISNUMBER(B3494),TEXT(B3494,"0000"),B3494),Addendum!I:I,"X")&gt;0,10%,0)</f>
        <v>0</v>
      </c>
      <c r="M3494" s="34">
        <f t="shared" si="108"/>
        <v>0</v>
      </c>
      <c r="N3494" s="17">
        <f t="shared" si="109"/>
        <v>629.04</v>
      </c>
    </row>
    <row r="3495" spans="1:14" x14ac:dyDescent="0.25">
      <c r="A3495" s="14" t="s">
        <v>2794</v>
      </c>
      <c r="B3495" s="14">
        <v>14</v>
      </c>
      <c r="C3495" s="15" t="s">
        <v>2798</v>
      </c>
      <c r="D3495" s="14" t="s">
        <v>1745</v>
      </c>
      <c r="E3495" s="14" t="s">
        <v>1746</v>
      </c>
      <c r="F3495" s="17" t="s">
        <v>2994</v>
      </c>
      <c r="G3495" s="14">
        <v>1048.32</v>
      </c>
      <c r="H3495" s="14">
        <v>838.68</v>
      </c>
      <c r="I3495" s="31">
        <f>IF(COUNTIFS(Addendum!C:C,A3495,Addendum!D:D,IF(ISNUMBER(B3495),TEXT(B3495,"0000"),B3495),Addendum!E:E,"X")&gt;0,4%,0)</f>
        <v>0</v>
      </c>
      <c r="J3495" s="31">
        <f>IF(COUNTIFS(Addendum!C:C,A3495,Addendum!D:D,IF(ISNUMBER(B3495),TEXT(B3495,"0000"),B3495),Addendum!F:F,"X")&gt;0,2.5%,0)</f>
        <v>0</v>
      </c>
      <c r="K3495" s="31">
        <f>IF(COUNTIFS(Addendum!C:C,A3495,Addendum!D:D,IF(ISNUMBER(B3495),TEXT(B3495,"0000"),B3495),Addendum!G:G,"X")&gt;0,7%,0)</f>
        <v>0</v>
      </c>
      <c r="L3495" s="31">
        <f>IF(COUNTIFS(Addendum!C:C,A3495,Addendum!D:D,IF(ISNUMBER(B3495),TEXT(B3495,"0000"),B3495),Addendum!I:I,"X")&gt;0,10%,0)</f>
        <v>0</v>
      </c>
      <c r="M3495" s="34">
        <f t="shared" si="108"/>
        <v>0</v>
      </c>
      <c r="N3495" s="17">
        <f t="shared" si="109"/>
        <v>838.68</v>
      </c>
    </row>
    <row r="3496" spans="1:14" x14ac:dyDescent="0.25">
      <c r="A3496" s="14" t="s">
        <v>2794</v>
      </c>
      <c r="B3496" s="14">
        <v>11</v>
      </c>
      <c r="C3496" s="15" t="s">
        <v>2797</v>
      </c>
      <c r="D3496" s="14" t="s">
        <v>1749</v>
      </c>
      <c r="E3496" s="14" t="s">
        <v>1746</v>
      </c>
      <c r="F3496" s="17" t="s">
        <v>2995</v>
      </c>
      <c r="G3496" s="14">
        <v>198</v>
      </c>
      <c r="H3496" s="14">
        <v>178.2</v>
      </c>
      <c r="I3496" s="31">
        <f>IF(COUNTIFS(Addendum!C:C,A3496,Addendum!D:D,IF(ISNUMBER(B3496),TEXT(B3496,"0000"),B3496),Addendum!E:E,"X")&gt;0,4%,0)</f>
        <v>0</v>
      </c>
      <c r="J3496" s="31">
        <f>IF(COUNTIFS(Addendum!C:C,A3496,Addendum!D:D,IF(ISNUMBER(B3496),TEXT(B3496,"0000"),B3496),Addendum!F:F,"X")&gt;0,2.5%,0)</f>
        <v>0</v>
      </c>
      <c r="K3496" s="31">
        <f>IF(COUNTIFS(Addendum!C:C,A3496,Addendum!D:D,IF(ISNUMBER(B3496),TEXT(B3496,"0000"),B3496),Addendum!G:G,"X")&gt;0,7%,0)</f>
        <v>0</v>
      </c>
      <c r="L3496" s="31">
        <f>IF(COUNTIFS(Addendum!C:C,A3496,Addendum!D:D,IF(ISNUMBER(B3496),TEXT(B3496,"0000"),B3496),Addendum!I:I,"X")&gt;0,10%,0)</f>
        <v>0</v>
      </c>
      <c r="M3496" s="34">
        <f t="shared" si="108"/>
        <v>0</v>
      </c>
      <c r="N3496" s="17">
        <f t="shared" si="109"/>
        <v>178.2</v>
      </c>
    </row>
    <row r="3497" spans="1:14" x14ac:dyDescent="0.25">
      <c r="A3497" s="14" t="s">
        <v>2794</v>
      </c>
      <c r="B3497" s="14">
        <v>3</v>
      </c>
      <c r="C3497" s="15" t="s">
        <v>2796</v>
      </c>
      <c r="D3497" s="14" t="s">
        <v>1749</v>
      </c>
      <c r="E3497" s="14" t="s">
        <v>1746</v>
      </c>
      <c r="F3497" s="17" t="s">
        <v>2993</v>
      </c>
      <c r="G3497" s="14">
        <v>498</v>
      </c>
      <c r="H3497" s="14">
        <v>398.4</v>
      </c>
      <c r="I3497" s="31">
        <f>IF(COUNTIFS(Addendum!C:C,A3497,Addendum!D:D,IF(ISNUMBER(B3497),TEXT(B3497,"0000"),B3497),Addendum!E:E,"X")&gt;0,4%,0)</f>
        <v>0</v>
      </c>
      <c r="J3497" s="31">
        <f>IF(COUNTIFS(Addendum!C:C,A3497,Addendum!D:D,IF(ISNUMBER(B3497),TEXT(B3497,"0000"),B3497),Addendum!F:F,"X")&gt;0,2.5%,0)</f>
        <v>0</v>
      </c>
      <c r="K3497" s="31">
        <f>IF(COUNTIFS(Addendum!C:C,A3497,Addendum!D:D,IF(ISNUMBER(B3497),TEXT(B3497,"0000"),B3497),Addendum!G:G,"X")&gt;0,7%,0)</f>
        <v>0</v>
      </c>
      <c r="L3497" s="31">
        <f>IF(COUNTIFS(Addendum!C:C,A3497,Addendum!D:D,IF(ISNUMBER(B3497),TEXT(B3497,"0000"),B3497),Addendum!I:I,"X")&gt;0,10%,0)</f>
        <v>0</v>
      </c>
      <c r="M3497" s="34">
        <f t="shared" si="108"/>
        <v>0</v>
      </c>
      <c r="N3497" s="17">
        <f t="shared" si="109"/>
        <v>398.4</v>
      </c>
    </row>
    <row r="3498" spans="1:14" x14ac:dyDescent="0.25">
      <c r="A3498" s="14" t="s">
        <v>2794</v>
      </c>
      <c r="B3498" s="14">
        <v>14</v>
      </c>
      <c r="C3498" s="15" t="s">
        <v>2798</v>
      </c>
      <c r="D3498" s="14" t="s">
        <v>1745</v>
      </c>
      <c r="E3498" s="14" t="s">
        <v>1747</v>
      </c>
      <c r="F3498" s="17" t="s">
        <v>2994</v>
      </c>
      <c r="G3498" s="14">
        <v>998.4</v>
      </c>
      <c r="H3498" s="14">
        <v>798.72</v>
      </c>
      <c r="I3498" s="31">
        <f>IF(COUNTIFS(Addendum!C:C,A3498,Addendum!D:D,IF(ISNUMBER(B3498),TEXT(B3498,"0000"),B3498),Addendum!E:E,"X")&gt;0,4%,0)</f>
        <v>0</v>
      </c>
      <c r="J3498" s="31">
        <f>IF(COUNTIFS(Addendum!C:C,A3498,Addendum!D:D,IF(ISNUMBER(B3498),TEXT(B3498,"0000"),B3498),Addendum!F:F,"X")&gt;0,2.5%,0)</f>
        <v>0</v>
      </c>
      <c r="K3498" s="31">
        <f>IF(COUNTIFS(Addendum!C:C,A3498,Addendum!D:D,IF(ISNUMBER(B3498),TEXT(B3498,"0000"),B3498),Addendum!G:G,"X")&gt;0,7%,0)</f>
        <v>0</v>
      </c>
      <c r="L3498" s="31">
        <f>IF(COUNTIFS(Addendum!C:C,A3498,Addendum!D:D,IF(ISNUMBER(B3498),TEXT(B3498,"0000"),B3498),Addendum!I:I,"X")&gt;0,10%,0)</f>
        <v>0</v>
      </c>
      <c r="M3498" s="34">
        <f t="shared" si="108"/>
        <v>0</v>
      </c>
      <c r="N3498" s="17">
        <f t="shared" si="109"/>
        <v>798.72</v>
      </c>
    </row>
    <row r="3499" spans="1:14" x14ac:dyDescent="0.25">
      <c r="A3499" s="14" t="s">
        <v>2794</v>
      </c>
      <c r="B3499" s="14" t="s">
        <v>317</v>
      </c>
      <c r="C3499" s="15" t="s">
        <v>2797</v>
      </c>
      <c r="D3499" s="14" t="s">
        <v>1749</v>
      </c>
      <c r="E3499" s="14" t="s">
        <v>1766</v>
      </c>
      <c r="F3499" s="17" t="s">
        <v>2995</v>
      </c>
      <c r="G3499" s="14">
        <v>0</v>
      </c>
      <c r="H3499" s="14">
        <v>0</v>
      </c>
      <c r="I3499" s="31">
        <f>IF(COUNTIFS(Addendum!C:C,A3499,Addendum!D:D,IF(ISNUMBER(B3499),TEXT(B3499,"0000"),B3499),Addendum!E:E,"X")&gt;0,4%,0)</f>
        <v>0</v>
      </c>
      <c r="J3499" s="31">
        <f>IF(COUNTIFS(Addendum!C:C,A3499,Addendum!D:D,IF(ISNUMBER(B3499),TEXT(B3499,"0000"),B3499),Addendum!F:F,"X")&gt;0,2.5%,0)</f>
        <v>0</v>
      </c>
      <c r="K3499" s="31">
        <f>IF(COUNTIFS(Addendum!C:C,A3499,Addendum!D:D,IF(ISNUMBER(B3499),TEXT(B3499,"0000"),B3499),Addendum!G:G,"X")&gt;0,7%,0)</f>
        <v>0</v>
      </c>
      <c r="L3499" s="31">
        <f>IF(COUNTIFS(Addendum!C:C,A3499,Addendum!D:D,IF(ISNUMBER(B3499),TEXT(B3499,"0000"),B3499),Addendum!I:I,"X")&gt;0,10%,0)</f>
        <v>0</v>
      </c>
      <c r="M3499" s="34">
        <f t="shared" si="108"/>
        <v>0</v>
      </c>
      <c r="N3499" s="17">
        <f t="shared" si="109"/>
        <v>0</v>
      </c>
    </row>
    <row r="3500" spans="1:14" x14ac:dyDescent="0.25">
      <c r="A3500" s="14" t="s">
        <v>2794</v>
      </c>
      <c r="B3500" s="14">
        <v>12</v>
      </c>
      <c r="C3500" s="15" t="s">
        <v>2795</v>
      </c>
      <c r="D3500" s="14" t="s">
        <v>1745</v>
      </c>
      <c r="E3500" s="14" t="s">
        <v>1747</v>
      </c>
      <c r="F3500" s="17" t="s">
        <v>2994</v>
      </c>
      <c r="G3500" s="14">
        <v>748.8</v>
      </c>
      <c r="H3500" s="14">
        <v>599.04</v>
      </c>
      <c r="I3500" s="31">
        <f>IF(COUNTIFS(Addendum!C:C,A3500,Addendum!D:D,IF(ISNUMBER(B3500),TEXT(B3500,"0000"),B3500),Addendum!E:E,"X")&gt;0,4%,0)</f>
        <v>0</v>
      </c>
      <c r="J3500" s="31">
        <f>IF(COUNTIFS(Addendum!C:C,A3500,Addendum!D:D,IF(ISNUMBER(B3500),TEXT(B3500,"0000"),B3500),Addendum!F:F,"X")&gt;0,2.5%,0)</f>
        <v>0</v>
      </c>
      <c r="K3500" s="31">
        <f>IF(COUNTIFS(Addendum!C:C,A3500,Addendum!D:D,IF(ISNUMBER(B3500),TEXT(B3500,"0000"),B3500),Addendum!G:G,"X")&gt;0,7%,0)</f>
        <v>0</v>
      </c>
      <c r="L3500" s="31">
        <f>IF(COUNTIFS(Addendum!C:C,A3500,Addendum!D:D,IF(ISNUMBER(B3500),TEXT(B3500,"0000"),B3500),Addendum!I:I,"X")&gt;0,10%,0)</f>
        <v>0</v>
      </c>
      <c r="M3500" s="34">
        <f t="shared" si="108"/>
        <v>0</v>
      </c>
      <c r="N3500" s="17">
        <f t="shared" si="109"/>
        <v>599.04</v>
      </c>
    </row>
    <row r="3501" spans="1:14" x14ac:dyDescent="0.25">
      <c r="A3501" s="14" t="s">
        <v>2794</v>
      </c>
      <c r="B3501" s="14">
        <v>11</v>
      </c>
      <c r="C3501" s="15" t="s">
        <v>2797</v>
      </c>
      <c r="D3501" s="14" t="s">
        <v>1745</v>
      </c>
      <c r="E3501" s="14" t="s">
        <v>1747</v>
      </c>
      <c r="F3501" s="17" t="s">
        <v>2995</v>
      </c>
      <c r="G3501" s="14">
        <v>1980</v>
      </c>
      <c r="H3501" s="14">
        <v>1782</v>
      </c>
      <c r="I3501" s="31">
        <f>IF(COUNTIFS(Addendum!C:C,A3501,Addendum!D:D,IF(ISNUMBER(B3501),TEXT(B3501,"0000"),B3501),Addendum!E:E,"X")&gt;0,4%,0)</f>
        <v>0</v>
      </c>
      <c r="J3501" s="31">
        <f>IF(COUNTIFS(Addendum!C:C,A3501,Addendum!D:D,IF(ISNUMBER(B3501),TEXT(B3501,"0000"),B3501),Addendum!F:F,"X")&gt;0,2.5%,0)</f>
        <v>0</v>
      </c>
      <c r="K3501" s="31">
        <f>IF(COUNTIFS(Addendum!C:C,A3501,Addendum!D:D,IF(ISNUMBER(B3501),TEXT(B3501,"0000"),B3501),Addendum!G:G,"X")&gt;0,7%,0)</f>
        <v>0</v>
      </c>
      <c r="L3501" s="31">
        <f>IF(COUNTIFS(Addendum!C:C,A3501,Addendum!D:D,IF(ISNUMBER(B3501),TEXT(B3501,"0000"),B3501),Addendum!I:I,"X")&gt;0,10%,0)</f>
        <v>0</v>
      </c>
      <c r="M3501" s="34">
        <f t="shared" si="108"/>
        <v>0</v>
      </c>
      <c r="N3501" s="17">
        <f t="shared" si="109"/>
        <v>1782</v>
      </c>
    </row>
    <row r="3502" spans="1:14" x14ac:dyDescent="0.25">
      <c r="A3502" s="14" t="s">
        <v>2799</v>
      </c>
      <c r="B3502" s="14">
        <v>11</v>
      </c>
      <c r="C3502" s="15" t="s">
        <v>2800</v>
      </c>
      <c r="D3502" s="14" t="s">
        <v>1745</v>
      </c>
      <c r="E3502" s="14" t="s">
        <v>1747</v>
      </c>
      <c r="F3502" s="17" t="s">
        <v>2995</v>
      </c>
      <c r="G3502" s="14">
        <v>6000</v>
      </c>
      <c r="H3502" s="14">
        <v>5400</v>
      </c>
      <c r="I3502" s="31">
        <f>IF(COUNTIFS(Addendum!C:C,A3502,Addendum!D:D,IF(ISNUMBER(B3502),TEXT(B3502,"0000"),B3502),Addendum!E:E,"X")&gt;0,4%,0)</f>
        <v>0</v>
      </c>
      <c r="J3502" s="31">
        <f>IF(COUNTIFS(Addendum!C:C,A3502,Addendum!D:D,IF(ISNUMBER(B3502),TEXT(B3502,"0000"),B3502),Addendum!F:F,"X")&gt;0,2.5%,0)</f>
        <v>0</v>
      </c>
      <c r="K3502" s="31">
        <f>IF(COUNTIFS(Addendum!C:C,A3502,Addendum!D:D,IF(ISNUMBER(B3502),TEXT(B3502,"0000"),B3502),Addendum!G:G,"X")&gt;0,7%,0)</f>
        <v>0</v>
      </c>
      <c r="L3502" s="31">
        <f>IF(COUNTIFS(Addendum!C:C,A3502,Addendum!D:D,IF(ISNUMBER(B3502),TEXT(B3502,"0000"),B3502),Addendum!I:I,"X")&gt;0,10%,0)</f>
        <v>0</v>
      </c>
      <c r="M3502" s="34">
        <f t="shared" si="108"/>
        <v>0</v>
      </c>
      <c r="N3502" s="17">
        <f t="shared" si="109"/>
        <v>5400</v>
      </c>
    </row>
    <row r="3503" spans="1:14" x14ac:dyDescent="0.25">
      <c r="A3503" s="14" t="s">
        <v>2799</v>
      </c>
      <c r="B3503" s="14">
        <v>14</v>
      </c>
      <c r="C3503" s="15" t="s">
        <v>2801</v>
      </c>
      <c r="D3503" s="14" t="s">
        <v>1745</v>
      </c>
      <c r="E3503" s="14" t="s">
        <v>1746</v>
      </c>
      <c r="F3503" s="17" t="s">
        <v>2994</v>
      </c>
      <c r="G3503" s="14">
        <v>1764</v>
      </c>
      <c r="H3503" s="14">
        <v>1411.2</v>
      </c>
      <c r="I3503" s="31">
        <f>IF(COUNTIFS(Addendum!C:C,A3503,Addendum!D:D,IF(ISNUMBER(B3503),TEXT(B3503,"0000"),B3503),Addendum!E:E,"X")&gt;0,4%,0)</f>
        <v>0</v>
      </c>
      <c r="J3503" s="31">
        <f>IF(COUNTIFS(Addendum!C:C,A3503,Addendum!D:D,IF(ISNUMBER(B3503),TEXT(B3503,"0000"),B3503),Addendum!F:F,"X")&gt;0,2.5%,0)</f>
        <v>0</v>
      </c>
      <c r="K3503" s="31">
        <f>IF(COUNTIFS(Addendum!C:C,A3503,Addendum!D:D,IF(ISNUMBER(B3503),TEXT(B3503,"0000"),B3503),Addendum!G:G,"X")&gt;0,7%,0)</f>
        <v>0</v>
      </c>
      <c r="L3503" s="31">
        <f>IF(COUNTIFS(Addendum!C:C,A3503,Addendum!D:D,IF(ISNUMBER(B3503),TEXT(B3503,"0000"),B3503),Addendum!I:I,"X")&gt;0,10%,0)</f>
        <v>0</v>
      </c>
      <c r="M3503" s="34">
        <f t="shared" si="108"/>
        <v>0</v>
      </c>
      <c r="N3503" s="17">
        <f t="shared" si="109"/>
        <v>1411.2</v>
      </c>
    </row>
    <row r="3504" spans="1:14" x14ac:dyDescent="0.25">
      <c r="A3504" s="14" t="s">
        <v>2799</v>
      </c>
      <c r="B3504" s="14">
        <v>12</v>
      </c>
      <c r="C3504" s="15" t="s">
        <v>2802</v>
      </c>
      <c r="D3504" s="14" t="s">
        <v>1745</v>
      </c>
      <c r="E3504" s="14" t="s">
        <v>1747</v>
      </c>
      <c r="F3504" s="17" t="s">
        <v>2994</v>
      </c>
      <c r="G3504" s="14">
        <v>2220</v>
      </c>
      <c r="H3504" s="14">
        <v>1776</v>
      </c>
      <c r="I3504" s="31">
        <f>IF(COUNTIFS(Addendum!C:C,A3504,Addendum!D:D,IF(ISNUMBER(B3504),TEXT(B3504,"0000"),B3504),Addendum!E:E,"X")&gt;0,4%,0)</f>
        <v>0</v>
      </c>
      <c r="J3504" s="31">
        <f>IF(COUNTIFS(Addendum!C:C,A3504,Addendum!D:D,IF(ISNUMBER(B3504),TEXT(B3504,"0000"),B3504),Addendum!F:F,"X")&gt;0,2.5%,0)</f>
        <v>0</v>
      </c>
      <c r="K3504" s="31">
        <f>IF(COUNTIFS(Addendum!C:C,A3504,Addendum!D:D,IF(ISNUMBER(B3504),TEXT(B3504,"0000"),B3504),Addendum!G:G,"X")&gt;0,7%,0)</f>
        <v>0</v>
      </c>
      <c r="L3504" s="31">
        <f>IF(COUNTIFS(Addendum!C:C,A3504,Addendum!D:D,IF(ISNUMBER(B3504),TEXT(B3504,"0000"),B3504),Addendum!I:I,"X")&gt;0,10%,0)</f>
        <v>0</v>
      </c>
      <c r="M3504" s="34">
        <f t="shared" si="108"/>
        <v>0</v>
      </c>
      <c r="N3504" s="17">
        <f t="shared" si="109"/>
        <v>1776</v>
      </c>
    </row>
    <row r="3505" spans="1:14" x14ac:dyDescent="0.25">
      <c r="A3505" s="14" t="s">
        <v>2799</v>
      </c>
      <c r="B3505" s="14">
        <v>14</v>
      </c>
      <c r="C3505" s="15" t="s">
        <v>2801</v>
      </c>
      <c r="D3505" s="14" t="s">
        <v>1745</v>
      </c>
      <c r="E3505" s="14" t="s">
        <v>1747</v>
      </c>
      <c r="F3505" s="17" t="s">
        <v>2994</v>
      </c>
      <c r="G3505" s="14">
        <v>1680</v>
      </c>
      <c r="H3505" s="14">
        <v>1344</v>
      </c>
      <c r="I3505" s="31">
        <f>IF(COUNTIFS(Addendum!C:C,A3505,Addendum!D:D,IF(ISNUMBER(B3505),TEXT(B3505,"0000"),B3505),Addendum!E:E,"X")&gt;0,4%,0)</f>
        <v>0</v>
      </c>
      <c r="J3505" s="31">
        <f>IF(COUNTIFS(Addendum!C:C,A3505,Addendum!D:D,IF(ISNUMBER(B3505),TEXT(B3505,"0000"),B3505),Addendum!F:F,"X")&gt;0,2.5%,0)</f>
        <v>0</v>
      </c>
      <c r="K3505" s="31">
        <f>IF(COUNTIFS(Addendum!C:C,A3505,Addendum!D:D,IF(ISNUMBER(B3505),TEXT(B3505,"0000"),B3505),Addendum!G:G,"X")&gt;0,7%,0)</f>
        <v>0</v>
      </c>
      <c r="L3505" s="31">
        <f>IF(COUNTIFS(Addendum!C:C,A3505,Addendum!D:D,IF(ISNUMBER(B3505),TEXT(B3505,"0000"),B3505),Addendum!I:I,"X")&gt;0,10%,0)</f>
        <v>0</v>
      </c>
      <c r="M3505" s="34">
        <f t="shared" si="108"/>
        <v>0</v>
      </c>
      <c r="N3505" s="17">
        <f t="shared" si="109"/>
        <v>1344</v>
      </c>
    </row>
    <row r="3506" spans="1:14" x14ac:dyDescent="0.25">
      <c r="A3506" s="14" t="s">
        <v>2799</v>
      </c>
      <c r="B3506" s="14">
        <v>2</v>
      </c>
      <c r="C3506" s="15" t="s">
        <v>2803</v>
      </c>
      <c r="D3506" s="14" t="s">
        <v>1745</v>
      </c>
      <c r="E3506" s="14" t="s">
        <v>1746</v>
      </c>
      <c r="F3506" s="17" t="s">
        <v>2993</v>
      </c>
      <c r="G3506" s="14">
        <v>15750</v>
      </c>
      <c r="H3506" s="14">
        <v>12600</v>
      </c>
      <c r="I3506" s="31">
        <f>IF(COUNTIFS(Addendum!C:C,A3506,Addendum!D:D,IF(ISNUMBER(B3506),TEXT(B3506,"0000"),B3506),Addendum!E:E,"X")&gt;0,4%,0)</f>
        <v>0</v>
      </c>
      <c r="J3506" s="31">
        <f>IF(COUNTIFS(Addendum!C:C,A3506,Addendum!D:D,IF(ISNUMBER(B3506),TEXT(B3506,"0000"),B3506),Addendum!F:F,"X")&gt;0,2.5%,0)</f>
        <v>0</v>
      </c>
      <c r="K3506" s="31">
        <f>IF(COUNTIFS(Addendum!C:C,A3506,Addendum!D:D,IF(ISNUMBER(B3506),TEXT(B3506,"0000"),B3506),Addendum!G:G,"X")&gt;0,7%,0)</f>
        <v>0</v>
      </c>
      <c r="L3506" s="31">
        <f>IF(COUNTIFS(Addendum!C:C,A3506,Addendum!D:D,IF(ISNUMBER(B3506),TEXT(B3506,"0000"),B3506),Addendum!I:I,"X")&gt;0,10%,0)</f>
        <v>0</v>
      </c>
      <c r="M3506" s="34">
        <f t="shared" si="108"/>
        <v>0</v>
      </c>
      <c r="N3506" s="17">
        <f t="shared" si="109"/>
        <v>12600</v>
      </c>
    </row>
    <row r="3507" spans="1:14" x14ac:dyDescent="0.25">
      <c r="A3507" s="14" t="s">
        <v>2799</v>
      </c>
      <c r="B3507" s="14">
        <v>11</v>
      </c>
      <c r="C3507" s="15" t="s">
        <v>2800</v>
      </c>
      <c r="D3507" s="14" t="s">
        <v>1745</v>
      </c>
      <c r="E3507" s="14" t="s">
        <v>1746</v>
      </c>
      <c r="F3507" s="17" t="s">
        <v>2995</v>
      </c>
      <c r="G3507" s="14">
        <v>6300</v>
      </c>
      <c r="H3507" s="14">
        <v>5670</v>
      </c>
      <c r="I3507" s="31">
        <f>IF(COUNTIFS(Addendum!C:C,A3507,Addendum!D:D,IF(ISNUMBER(B3507),TEXT(B3507,"0000"),B3507),Addendum!E:E,"X")&gt;0,4%,0)</f>
        <v>0</v>
      </c>
      <c r="J3507" s="31">
        <f>IF(COUNTIFS(Addendum!C:C,A3507,Addendum!D:D,IF(ISNUMBER(B3507),TEXT(B3507,"0000"),B3507),Addendum!F:F,"X")&gt;0,2.5%,0)</f>
        <v>0</v>
      </c>
      <c r="K3507" s="31">
        <f>IF(COUNTIFS(Addendum!C:C,A3507,Addendum!D:D,IF(ISNUMBER(B3507),TEXT(B3507,"0000"),B3507),Addendum!G:G,"X")&gt;0,7%,0)</f>
        <v>0</v>
      </c>
      <c r="L3507" s="31">
        <f>IF(COUNTIFS(Addendum!C:C,A3507,Addendum!D:D,IF(ISNUMBER(B3507),TEXT(B3507,"0000"),B3507),Addendum!I:I,"X")&gt;0,10%,0)</f>
        <v>0</v>
      </c>
      <c r="M3507" s="34">
        <f t="shared" si="108"/>
        <v>0</v>
      </c>
      <c r="N3507" s="17">
        <f t="shared" si="109"/>
        <v>5670</v>
      </c>
    </row>
    <row r="3508" spans="1:14" x14ac:dyDescent="0.25">
      <c r="A3508" s="14" t="s">
        <v>2799</v>
      </c>
      <c r="B3508" s="14">
        <v>12</v>
      </c>
      <c r="C3508" s="15" t="s">
        <v>2802</v>
      </c>
      <c r="D3508" s="14" t="s">
        <v>1749</v>
      </c>
      <c r="E3508" s="14" t="s">
        <v>1746</v>
      </c>
      <c r="F3508" s="17" t="s">
        <v>2994</v>
      </c>
      <c r="G3508" s="14">
        <v>222</v>
      </c>
      <c r="H3508" s="14">
        <v>177.6</v>
      </c>
      <c r="I3508" s="31">
        <f>IF(COUNTIFS(Addendum!C:C,A3508,Addendum!D:D,IF(ISNUMBER(B3508),TEXT(B3508,"0000"),B3508),Addendum!E:E,"X")&gt;0,4%,0)</f>
        <v>0</v>
      </c>
      <c r="J3508" s="31">
        <f>IF(COUNTIFS(Addendum!C:C,A3508,Addendum!D:D,IF(ISNUMBER(B3508),TEXT(B3508,"0000"),B3508),Addendum!F:F,"X")&gt;0,2.5%,0)</f>
        <v>0</v>
      </c>
      <c r="K3508" s="31">
        <f>IF(COUNTIFS(Addendum!C:C,A3508,Addendum!D:D,IF(ISNUMBER(B3508),TEXT(B3508,"0000"),B3508),Addendum!G:G,"X")&gt;0,7%,0)</f>
        <v>0</v>
      </c>
      <c r="L3508" s="31">
        <f>IF(COUNTIFS(Addendum!C:C,A3508,Addendum!D:D,IF(ISNUMBER(B3508),TEXT(B3508,"0000"),B3508),Addendum!I:I,"X")&gt;0,10%,0)</f>
        <v>0</v>
      </c>
      <c r="M3508" s="34">
        <f t="shared" si="108"/>
        <v>0</v>
      </c>
      <c r="N3508" s="17">
        <f t="shared" si="109"/>
        <v>177.6</v>
      </c>
    </row>
    <row r="3509" spans="1:14" x14ac:dyDescent="0.25">
      <c r="A3509" s="14" t="s">
        <v>2799</v>
      </c>
      <c r="B3509" s="14">
        <v>14</v>
      </c>
      <c r="C3509" s="15" t="s">
        <v>2801</v>
      </c>
      <c r="D3509" s="14" t="s">
        <v>1749</v>
      </c>
      <c r="E3509" s="14" t="s">
        <v>1746</v>
      </c>
      <c r="F3509" s="17" t="s">
        <v>2994</v>
      </c>
      <c r="G3509" s="14">
        <v>168</v>
      </c>
      <c r="H3509" s="14">
        <v>134.4</v>
      </c>
      <c r="I3509" s="31">
        <f>IF(COUNTIFS(Addendum!C:C,A3509,Addendum!D:D,IF(ISNUMBER(B3509),TEXT(B3509,"0000"),B3509),Addendum!E:E,"X")&gt;0,4%,0)</f>
        <v>0</v>
      </c>
      <c r="J3509" s="31">
        <f>IF(COUNTIFS(Addendum!C:C,A3509,Addendum!D:D,IF(ISNUMBER(B3509),TEXT(B3509,"0000"),B3509),Addendum!F:F,"X")&gt;0,2.5%,0)</f>
        <v>0</v>
      </c>
      <c r="K3509" s="31">
        <f>IF(COUNTIFS(Addendum!C:C,A3509,Addendum!D:D,IF(ISNUMBER(B3509),TEXT(B3509,"0000"),B3509),Addendum!G:G,"X")&gt;0,7%,0)</f>
        <v>0</v>
      </c>
      <c r="L3509" s="31">
        <f>IF(COUNTIFS(Addendum!C:C,A3509,Addendum!D:D,IF(ISNUMBER(B3509),TEXT(B3509,"0000"),B3509),Addendum!I:I,"X")&gt;0,10%,0)</f>
        <v>0</v>
      </c>
      <c r="M3509" s="34">
        <f t="shared" si="108"/>
        <v>0</v>
      </c>
      <c r="N3509" s="17">
        <f t="shared" si="109"/>
        <v>134.4</v>
      </c>
    </row>
    <row r="3510" spans="1:14" x14ac:dyDescent="0.25">
      <c r="A3510" s="14" t="s">
        <v>2799</v>
      </c>
      <c r="B3510" s="14">
        <v>2</v>
      </c>
      <c r="C3510" s="15" t="s">
        <v>2803</v>
      </c>
      <c r="D3510" s="14" t="s">
        <v>1749</v>
      </c>
      <c r="E3510" s="14" t="s">
        <v>1746</v>
      </c>
      <c r="F3510" s="17" t="s">
        <v>2993</v>
      </c>
      <c r="G3510" s="14">
        <v>1500</v>
      </c>
      <c r="H3510" s="14">
        <v>1200</v>
      </c>
      <c r="I3510" s="31">
        <f>IF(COUNTIFS(Addendum!C:C,A3510,Addendum!D:D,IF(ISNUMBER(B3510),TEXT(B3510,"0000"),B3510),Addendum!E:E,"X")&gt;0,4%,0)</f>
        <v>0</v>
      </c>
      <c r="J3510" s="31">
        <f>IF(COUNTIFS(Addendum!C:C,A3510,Addendum!D:D,IF(ISNUMBER(B3510),TEXT(B3510,"0000"),B3510),Addendum!F:F,"X")&gt;0,2.5%,0)</f>
        <v>0</v>
      </c>
      <c r="K3510" s="31">
        <f>IF(COUNTIFS(Addendum!C:C,A3510,Addendum!D:D,IF(ISNUMBER(B3510),TEXT(B3510,"0000"),B3510),Addendum!G:G,"X")&gt;0,7%,0)</f>
        <v>0</v>
      </c>
      <c r="L3510" s="31">
        <f>IF(COUNTIFS(Addendum!C:C,A3510,Addendum!D:D,IF(ISNUMBER(B3510),TEXT(B3510,"0000"),B3510),Addendum!I:I,"X")&gt;0,10%,0)</f>
        <v>0</v>
      </c>
      <c r="M3510" s="34">
        <f t="shared" si="108"/>
        <v>0</v>
      </c>
      <c r="N3510" s="17">
        <f t="shared" si="109"/>
        <v>1200</v>
      </c>
    </row>
    <row r="3511" spans="1:14" x14ac:dyDescent="0.25">
      <c r="A3511" s="14" t="s">
        <v>2799</v>
      </c>
      <c r="B3511" s="14">
        <v>11</v>
      </c>
      <c r="C3511" s="15" t="s">
        <v>2800</v>
      </c>
      <c r="D3511" s="14" t="s">
        <v>1749</v>
      </c>
      <c r="E3511" s="14" t="s">
        <v>1746</v>
      </c>
      <c r="F3511" s="17" t="s">
        <v>2995</v>
      </c>
      <c r="G3511" s="14">
        <v>600</v>
      </c>
      <c r="H3511" s="14">
        <v>540</v>
      </c>
      <c r="I3511" s="31">
        <f>IF(COUNTIFS(Addendum!C:C,A3511,Addendum!D:D,IF(ISNUMBER(B3511),TEXT(B3511,"0000"),B3511),Addendum!E:E,"X")&gt;0,4%,0)</f>
        <v>0</v>
      </c>
      <c r="J3511" s="31">
        <f>IF(COUNTIFS(Addendum!C:C,A3511,Addendum!D:D,IF(ISNUMBER(B3511),TEXT(B3511,"0000"),B3511),Addendum!F:F,"X")&gt;0,2.5%,0)</f>
        <v>0</v>
      </c>
      <c r="K3511" s="31">
        <f>IF(COUNTIFS(Addendum!C:C,A3511,Addendum!D:D,IF(ISNUMBER(B3511),TEXT(B3511,"0000"),B3511),Addendum!G:G,"X")&gt;0,7%,0)</f>
        <v>0</v>
      </c>
      <c r="L3511" s="31">
        <f>IF(COUNTIFS(Addendum!C:C,A3511,Addendum!D:D,IF(ISNUMBER(B3511),TEXT(B3511,"0000"),B3511),Addendum!I:I,"X")&gt;0,10%,0)</f>
        <v>0</v>
      </c>
      <c r="M3511" s="34">
        <f t="shared" si="108"/>
        <v>0</v>
      </c>
      <c r="N3511" s="17">
        <f t="shared" si="109"/>
        <v>540</v>
      </c>
    </row>
    <row r="3512" spans="1:14" x14ac:dyDescent="0.25">
      <c r="A3512" s="14" t="s">
        <v>2799</v>
      </c>
      <c r="B3512" s="14">
        <v>12</v>
      </c>
      <c r="C3512" s="15" t="s">
        <v>2802</v>
      </c>
      <c r="D3512" s="14" t="s">
        <v>1745</v>
      </c>
      <c r="E3512" s="14" t="s">
        <v>1746</v>
      </c>
      <c r="F3512" s="17" t="s">
        <v>2994</v>
      </c>
      <c r="G3512" s="14">
        <v>2331</v>
      </c>
      <c r="H3512" s="14">
        <v>1864.8</v>
      </c>
      <c r="I3512" s="31">
        <f>IF(COUNTIFS(Addendum!C:C,A3512,Addendum!D:D,IF(ISNUMBER(B3512),TEXT(B3512,"0000"),B3512),Addendum!E:E,"X")&gt;0,4%,0)</f>
        <v>0</v>
      </c>
      <c r="J3512" s="31">
        <f>IF(COUNTIFS(Addendum!C:C,A3512,Addendum!D:D,IF(ISNUMBER(B3512),TEXT(B3512,"0000"),B3512),Addendum!F:F,"X")&gt;0,2.5%,0)</f>
        <v>0</v>
      </c>
      <c r="K3512" s="31">
        <f>IF(COUNTIFS(Addendum!C:C,A3512,Addendum!D:D,IF(ISNUMBER(B3512),TEXT(B3512,"0000"),B3512),Addendum!G:G,"X")&gt;0,7%,0)</f>
        <v>0</v>
      </c>
      <c r="L3512" s="31">
        <f>IF(COUNTIFS(Addendum!C:C,A3512,Addendum!D:D,IF(ISNUMBER(B3512),TEXT(B3512,"0000"),B3512),Addendum!I:I,"X")&gt;0,10%,0)</f>
        <v>0</v>
      </c>
      <c r="M3512" s="34">
        <f t="shared" si="108"/>
        <v>0</v>
      </c>
      <c r="N3512" s="17">
        <f t="shared" si="109"/>
        <v>1864.8</v>
      </c>
    </row>
    <row r="3513" spans="1:14" x14ac:dyDescent="0.25">
      <c r="A3513" s="14" t="s">
        <v>2799</v>
      </c>
      <c r="B3513" s="14">
        <v>4</v>
      </c>
      <c r="C3513" s="15" t="s">
        <v>2803</v>
      </c>
      <c r="D3513" s="14" t="s">
        <v>1749</v>
      </c>
      <c r="E3513" s="14" t="s">
        <v>1766</v>
      </c>
      <c r="F3513" s="17" t="s">
        <v>2993</v>
      </c>
      <c r="G3513" s="14">
        <v>0</v>
      </c>
      <c r="H3513" s="14">
        <v>0</v>
      </c>
      <c r="I3513" s="31">
        <f>IF(COUNTIFS(Addendum!C:C,A3513,Addendum!D:D,IF(ISNUMBER(B3513),TEXT(B3513,"0000"),B3513),Addendum!E:E,"X")&gt;0,4%,0)</f>
        <v>0</v>
      </c>
      <c r="J3513" s="31">
        <f>IF(COUNTIFS(Addendum!C:C,A3513,Addendum!D:D,IF(ISNUMBER(B3513),TEXT(B3513,"0000"),B3513),Addendum!F:F,"X")&gt;0,2.5%,0)</f>
        <v>0</v>
      </c>
      <c r="K3513" s="31">
        <f>IF(COUNTIFS(Addendum!C:C,A3513,Addendum!D:D,IF(ISNUMBER(B3513),TEXT(B3513,"0000"),B3513),Addendum!G:G,"X")&gt;0,7%,0)</f>
        <v>0</v>
      </c>
      <c r="L3513" s="31">
        <f>IF(COUNTIFS(Addendum!C:C,A3513,Addendum!D:D,IF(ISNUMBER(B3513),TEXT(B3513,"0000"),B3513),Addendum!I:I,"X")&gt;0,10%,0)</f>
        <v>0</v>
      </c>
      <c r="M3513" s="34">
        <f t="shared" si="108"/>
        <v>0</v>
      </c>
      <c r="N3513" s="17">
        <f t="shared" si="109"/>
        <v>0</v>
      </c>
    </row>
    <row r="3514" spans="1:14" x14ac:dyDescent="0.25">
      <c r="A3514" s="14" t="s">
        <v>2799</v>
      </c>
      <c r="B3514" s="14">
        <v>2</v>
      </c>
      <c r="C3514" s="15" t="s">
        <v>2803</v>
      </c>
      <c r="D3514" s="14" t="s">
        <v>1745</v>
      </c>
      <c r="E3514" s="14" t="s">
        <v>1747</v>
      </c>
      <c r="F3514" s="17" t="s">
        <v>2993</v>
      </c>
      <c r="G3514" s="14">
        <v>15000</v>
      </c>
      <c r="H3514" s="14">
        <v>12000</v>
      </c>
      <c r="I3514" s="31">
        <f>IF(COUNTIFS(Addendum!C:C,A3514,Addendum!D:D,IF(ISNUMBER(B3514),TEXT(B3514,"0000"),B3514),Addendum!E:E,"X")&gt;0,4%,0)</f>
        <v>0</v>
      </c>
      <c r="J3514" s="31">
        <f>IF(COUNTIFS(Addendum!C:C,A3514,Addendum!D:D,IF(ISNUMBER(B3514),TEXT(B3514,"0000"),B3514),Addendum!F:F,"X")&gt;0,2.5%,0)</f>
        <v>0</v>
      </c>
      <c r="K3514" s="31">
        <f>IF(COUNTIFS(Addendum!C:C,A3514,Addendum!D:D,IF(ISNUMBER(B3514),TEXT(B3514,"0000"),B3514),Addendum!G:G,"X")&gt;0,7%,0)</f>
        <v>0</v>
      </c>
      <c r="L3514" s="31">
        <f>IF(COUNTIFS(Addendum!C:C,A3514,Addendum!D:D,IF(ISNUMBER(B3514),TEXT(B3514,"0000"),B3514),Addendum!I:I,"X")&gt;0,10%,0)</f>
        <v>0</v>
      </c>
      <c r="M3514" s="34">
        <f t="shared" si="108"/>
        <v>0</v>
      </c>
      <c r="N3514" s="17">
        <f t="shared" si="109"/>
        <v>12000</v>
      </c>
    </row>
    <row r="3515" spans="1:14" x14ac:dyDescent="0.25">
      <c r="A3515" s="14" t="s">
        <v>2799</v>
      </c>
      <c r="B3515" s="14" t="s">
        <v>317</v>
      </c>
      <c r="C3515" s="15" t="s">
        <v>2800</v>
      </c>
      <c r="D3515" s="14" t="s">
        <v>1749</v>
      </c>
      <c r="E3515" s="14" t="s">
        <v>1766</v>
      </c>
      <c r="F3515" s="17" t="s">
        <v>2995</v>
      </c>
      <c r="G3515" s="14">
        <v>0</v>
      </c>
      <c r="H3515" s="14">
        <v>0</v>
      </c>
      <c r="I3515" s="31">
        <f>IF(COUNTIFS(Addendum!C:C,A3515,Addendum!D:D,IF(ISNUMBER(B3515),TEXT(B3515,"0000"),B3515),Addendum!E:E,"X")&gt;0,4%,0)</f>
        <v>0</v>
      </c>
      <c r="J3515" s="31">
        <f>IF(COUNTIFS(Addendum!C:C,A3515,Addendum!D:D,IF(ISNUMBER(B3515),TEXT(B3515,"0000"),B3515),Addendum!F:F,"X")&gt;0,2.5%,0)</f>
        <v>0</v>
      </c>
      <c r="K3515" s="31">
        <f>IF(COUNTIFS(Addendum!C:C,A3515,Addendum!D:D,IF(ISNUMBER(B3515),TEXT(B3515,"0000"),B3515),Addendum!G:G,"X")&gt;0,7%,0)</f>
        <v>0</v>
      </c>
      <c r="L3515" s="31">
        <f>IF(COUNTIFS(Addendum!C:C,A3515,Addendum!D:D,IF(ISNUMBER(B3515),TEXT(B3515,"0000"),B3515),Addendum!I:I,"X")&gt;0,10%,0)</f>
        <v>0</v>
      </c>
      <c r="M3515" s="34">
        <f t="shared" si="108"/>
        <v>0</v>
      </c>
      <c r="N3515" s="17">
        <f t="shared" si="109"/>
        <v>0</v>
      </c>
    </row>
    <row r="3516" spans="1:14" x14ac:dyDescent="0.25">
      <c r="A3516" s="14" t="s">
        <v>1427</v>
      </c>
      <c r="B3516" s="14">
        <v>6</v>
      </c>
      <c r="C3516" s="15" t="s">
        <v>2804</v>
      </c>
      <c r="D3516" s="14" t="s">
        <v>1749</v>
      </c>
      <c r="E3516" s="14" t="s">
        <v>1746</v>
      </c>
      <c r="F3516" s="17" t="s">
        <v>2995</v>
      </c>
      <c r="G3516" s="14">
        <v>99.84</v>
      </c>
      <c r="H3516" s="14">
        <v>89.86</v>
      </c>
      <c r="I3516" s="31">
        <f>IF(COUNTIFS(Addendum!C:C,A3516,Addendum!D:D,IF(ISNUMBER(B3516),TEXT(B3516,"0000"),B3516),Addendum!E:E,"X")&gt;0,4%,0)</f>
        <v>0.04</v>
      </c>
      <c r="J3516" s="31">
        <f>IF(COUNTIFS(Addendum!C:C,A3516,Addendum!D:D,IF(ISNUMBER(B3516),TEXT(B3516,"0000"),B3516),Addendum!F:F,"X")&gt;0,2.5%,0)</f>
        <v>0</v>
      </c>
      <c r="K3516" s="31">
        <f>IF(COUNTIFS(Addendum!C:C,A3516,Addendum!D:D,IF(ISNUMBER(B3516),TEXT(B3516,"0000"),B3516),Addendum!G:G,"X")&gt;0,7%,0)</f>
        <v>0</v>
      </c>
      <c r="L3516" s="31">
        <f>IF(COUNTIFS(Addendum!C:C,A3516,Addendum!D:D,IF(ISNUMBER(B3516),TEXT(B3516,"0000"),B3516),Addendum!I:I,"X")&gt;0,10%,0)</f>
        <v>0</v>
      </c>
      <c r="M3516" s="34">
        <f t="shared" si="108"/>
        <v>0.01</v>
      </c>
      <c r="N3516" s="17">
        <f t="shared" si="109"/>
        <v>88.961399999999998</v>
      </c>
    </row>
    <row r="3517" spans="1:14" x14ac:dyDescent="0.25">
      <c r="A3517" s="14" t="s">
        <v>1427</v>
      </c>
      <c r="B3517" s="14">
        <v>7</v>
      </c>
      <c r="C3517" s="15" t="s">
        <v>2805</v>
      </c>
      <c r="D3517" s="14" t="s">
        <v>1745</v>
      </c>
      <c r="E3517" s="14" t="s">
        <v>1747</v>
      </c>
      <c r="F3517" s="17" t="s">
        <v>2994</v>
      </c>
      <c r="G3517" s="14">
        <v>998.4</v>
      </c>
      <c r="H3517" s="14">
        <v>798.72</v>
      </c>
      <c r="I3517" s="31">
        <f>IF(COUNTIFS(Addendum!C:C,A3517,Addendum!D:D,IF(ISNUMBER(B3517),TEXT(B3517,"0000"),B3517),Addendum!E:E,"X")&gt;0,4%,0)</f>
        <v>0.04</v>
      </c>
      <c r="J3517" s="31">
        <f>IF(COUNTIFS(Addendum!C:C,A3517,Addendum!D:D,IF(ISNUMBER(B3517),TEXT(B3517,"0000"),B3517),Addendum!F:F,"X")&gt;0,2.5%,0)</f>
        <v>0</v>
      </c>
      <c r="K3517" s="31">
        <f>IF(COUNTIFS(Addendum!C:C,A3517,Addendum!D:D,IF(ISNUMBER(B3517),TEXT(B3517,"0000"),B3517),Addendum!G:G,"X")&gt;0,7%,0)</f>
        <v>0</v>
      </c>
      <c r="L3517" s="31">
        <f>IF(COUNTIFS(Addendum!C:C,A3517,Addendum!D:D,IF(ISNUMBER(B3517),TEXT(B3517,"0000"),B3517),Addendum!I:I,"X")&gt;0,10%,0)</f>
        <v>0</v>
      </c>
      <c r="M3517" s="34">
        <f t="shared" si="108"/>
        <v>0.03</v>
      </c>
      <c r="N3517" s="17">
        <f t="shared" si="109"/>
        <v>774.75840000000005</v>
      </c>
    </row>
    <row r="3518" spans="1:14" x14ac:dyDescent="0.25">
      <c r="A3518" s="14" t="s">
        <v>1427</v>
      </c>
      <c r="B3518" s="14">
        <v>7</v>
      </c>
      <c r="C3518" s="15" t="s">
        <v>2805</v>
      </c>
      <c r="D3518" s="14" t="s">
        <v>1745</v>
      </c>
      <c r="E3518" s="14" t="s">
        <v>1746</v>
      </c>
      <c r="F3518" s="17" t="s">
        <v>2994</v>
      </c>
      <c r="G3518" s="14">
        <v>1048.32</v>
      </c>
      <c r="H3518" s="14">
        <v>838.68</v>
      </c>
      <c r="I3518" s="31">
        <f>IF(COUNTIFS(Addendum!C:C,A3518,Addendum!D:D,IF(ISNUMBER(B3518),TEXT(B3518,"0000"),B3518),Addendum!E:E,"X")&gt;0,4%,0)</f>
        <v>0.04</v>
      </c>
      <c r="J3518" s="31">
        <f>IF(COUNTIFS(Addendum!C:C,A3518,Addendum!D:D,IF(ISNUMBER(B3518),TEXT(B3518,"0000"),B3518),Addendum!F:F,"X")&gt;0,2.5%,0)</f>
        <v>0</v>
      </c>
      <c r="K3518" s="31">
        <f>IF(COUNTIFS(Addendum!C:C,A3518,Addendum!D:D,IF(ISNUMBER(B3518),TEXT(B3518,"0000"),B3518),Addendum!G:G,"X")&gt;0,7%,0)</f>
        <v>0</v>
      </c>
      <c r="L3518" s="31">
        <f>IF(COUNTIFS(Addendum!C:C,A3518,Addendum!D:D,IF(ISNUMBER(B3518),TEXT(B3518,"0000"),B3518),Addendum!I:I,"X")&gt;0,10%,0)</f>
        <v>0</v>
      </c>
      <c r="M3518" s="34">
        <f t="shared" si="108"/>
        <v>0.01</v>
      </c>
      <c r="N3518" s="17">
        <f t="shared" si="109"/>
        <v>830.29319999999996</v>
      </c>
    </row>
    <row r="3519" spans="1:14" x14ac:dyDescent="0.25">
      <c r="A3519" s="14" t="s">
        <v>1427</v>
      </c>
      <c r="B3519" s="14">
        <v>1</v>
      </c>
      <c r="C3519" s="15" t="s">
        <v>2806</v>
      </c>
      <c r="D3519" s="14" t="s">
        <v>1745</v>
      </c>
      <c r="E3519" s="14" t="s">
        <v>1747</v>
      </c>
      <c r="F3519" s="17" t="s">
        <v>2993</v>
      </c>
      <c r="G3519" s="14">
        <v>4020</v>
      </c>
      <c r="H3519" s="14">
        <v>3216</v>
      </c>
      <c r="I3519" s="31">
        <f>IF(COUNTIFS(Addendum!C:C,A3519,Addendum!D:D,IF(ISNUMBER(B3519),TEXT(B3519,"0000"),B3519),Addendum!E:E,"X")&gt;0,4%,0)</f>
        <v>0.04</v>
      </c>
      <c r="J3519" s="31">
        <f>IF(COUNTIFS(Addendum!C:C,A3519,Addendum!D:D,IF(ISNUMBER(B3519),TEXT(B3519,"0000"),B3519),Addendum!F:F,"X")&gt;0,2.5%,0)</f>
        <v>0</v>
      </c>
      <c r="K3519" s="31">
        <f>IF(COUNTIFS(Addendum!C:C,A3519,Addendum!D:D,IF(ISNUMBER(B3519),TEXT(B3519,"0000"),B3519),Addendum!G:G,"X")&gt;0,7%,0)</f>
        <v>0</v>
      </c>
      <c r="L3519" s="31">
        <f>IF(COUNTIFS(Addendum!C:C,A3519,Addendum!D:D,IF(ISNUMBER(B3519),TEXT(B3519,"0000"),B3519),Addendum!I:I,"X")&gt;0,10%,0)</f>
        <v>0</v>
      </c>
      <c r="M3519" s="34">
        <f t="shared" si="108"/>
        <v>0.03</v>
      </c>
      <c r="N3519" s="17">
        <f t="shared" si="109"/>
        <v>3119.52</v>
      </c>
    </row>
    <row r="3520" spans="1:14" x14ac:dyDescent="0.25">
      <c r="A3520" s="14" t="s">
        <v>1427</v>
      </c>
      <c r="B3520" s="14">
        <v>7</v>
      </c>
      <c r="C3520" s="15" t="s">
        <v>2805</v>
      </c>
      <c r="D3520" s="14" t="s">
        <v>1749</v>
      </c>
      <c r="E3520" s="14" t="s">
        <v>1746</v>
      </c>
      <c r="F3520" s="17" t="s">
        <v>2994</v>
      </c>
      <c r="G3520" s="14">
        <v>99.84</v>
      </c>
      <c r="H3520" s="14">
        <v>79.87</v>
      </c>
      <c r="I3520" s="31">
        <f>IF(COUNTIFS(Addendum!C:C,A3520,Addendum!D:D,IF(ISNUMBER(B3520),TEXT(B3520,"0000"),B3520),Addendum!E:E,"X")&gt;0,4%,0)</f>
        <v>0.04</v>
      </c>
      <c r="J3520" s="31">
        <f>IF(COUNTIFS(Addendum!C:C,A3520,Addendum!D:D,IF(ISNUMBER(B3520),TEXT(B3520,"0000"),B3520),Addendum!F:F,"X")&gt;0,2.5%,0)</f>
        <v>0</v>
      </c>
      <c r="K3520" s="31">
        <f>IF(COUNTIFS(Addendum!C:C,A3520,Addendum!D:D,IF(ISNUMBER(B3520),TEXT(B3520,"0000"),B3520),Addendum!G:G,"X")&gt;0,7%,0)</f>
        <v>0</v>
      </c>
      <c r="L3520" s="31">
        <f>IF(COUNTIFS(Addendum!C:C,A3520,Addendum!D:D,IF(ISNUMBER(B3520),TEXT(B3520,"0000"),B3520),Addendum!I:I,"X")&gt;0,10%,0)</f>
        <v>0</v>
      </c>
      <c r="M3520" s="34">
        <f t="shared" si="108"/>
        <v>0.01</v>
      </c>
      <c r="N3520" s="17">
        <f t="shared" si="109"/>
        <v>79.071300000000008</v>
      </c>
    </row>
    <row r="3521" spans="1:14" x14ac:dyDescent="0.25">
      <c r="A3521" s="14" t="s">
        <v>1427</v>
      </c>
      <c r="B3521" s="14">
        <v>1</v>
      </c>
      <c r="C3521" s="15" t="s">
        <v>2806</v>
      </c>
      <c r="D3521" s="14" t="s">
        <v>1745</v>
      </c>
      <c r="E3521" s="14" t="s">
        <v>1746</v>
      </c>
      <c r="F3521" s="17" t="s">
        <v>2993</v>
      </c>
      <c r="G3521" s="14">
        <v>4221</v>
      </c>
      <c r="H3521" s="14">
        <v>3376.8</v>
      </c>
      <c r="I3521" s="31">
        <f>IF(COUNTIFS(Addendum!C:C,A3521,Addendum!D:D,IF(ISNUMBER(B3521),TEXT(B3521,"0000"),B3521),Addendum!E:E,"X")&gt;0,4%,0)</f>
        <v>0.04</v>
      </c>
      <c r="J3521" s="31">
        <f>IF(COUNTIFS(Addendum!C:C,A3521,Addendum!D:D,IF(ISNUMBER(B3521),TEXT(B3521,"0000"),B3521),Addendum!F:F,"X")&gt;0,2.5%,0)</f>
        <v>0</v>
      </c>
      <c r="K3521" s="31">
        <f>IF(COUNTIFS(Addendum!C:C,A3521,Addendum!D:D,IF(ISNUMBER(B3521),TEXT(B3521,"0000"),B3521),Addendum!G:G,"X")&gt;0,7%,0)</f>
        <v>0</v>
      </c>
      <c r="L3521" s="31">
        <f>IF(COUNTIFS(Addendum!C:C,A3521,Addendum!D:D,IF(ISNUMBER(B3521),TEXT(B3521,"0000"),B3521),Addendum!I:I,"X")&gt;0,10%,0)</f>
        <v>0</v>
      </c>
      <c r="M3521" s="34">
        <f t="shared" si="108"/>
        <v>0.01</v>
      </c>
      <c r="N3521" s="17">
        <f t="shared" si="109"/>
        <v>3343.0320000000002</v>
      </c>
    </row>
    <row r="3522" spans="1:14" x14ac:dyDescent="0.25">
      <c r="A3522" s="14" t="s">
        <v>1427</v>
      </c>
      <c r="B3522" s="14">
        <v>1</v>
      </c>
      <c r="C3522" s="15" t="s">
        <v>2806</v>
      </c>
      <c r="D3522" s="14" t="s">
        <v>1749</v>
      </c>
      <c r="E3522" s="14" t="s">
        <v>1746</v>
      </c>
      <c r="F3522" s="17" t="s">
        <v>2993</v>
      </c>
      <c r="G3522" s="14">
        <v>402</v>
      </c>
      <c r="H3522" s="14">
        <v>321.60000000000002</v>
      </c>
      <c r="I3522" s="31">
        <f>IF(COUNTIFS(Addendum!C:C,A3522,Addendum!D:D,IF(ISNUMBER(B3522),TEXT(B3522,"0000"),B3522),Addendum!E:E,"X")&gt;0,4%,0)</f>
        <v>0.04</v>
      </c>
      <c r="J3522" s="31">
        <f>IF(COUNTIFS(Addendum!C:C,A3522,Addendum!D:D,IF(ISNUMBER(B3522),TEXT(B3522,"0000"),B3522),Addendum!F:F,"X")&gt;0,2.5%,0)</f>
        <v>0</v>
      </c>
      <c r="K3522" s="31">
        <f>IF(COUNTIFS(Addendum!C:C,A3522,Addendum!D:D,IF(ISNUMBER(B3522),TEXT(B3522,"0000"),B3522),Addendum!G:G,"X")&gt;0,7%,0)</f>
        <v>0</v>
      </c>
      <c r="L3522" s="31">
        <f>IF(COUNTIFS(Addendum!C:C,A3522,Addendum!D:D,IF(ISNUMBER(B3522),TEXT(B3522,"0000"),B3522),Addendum!I:I,"X")&gt;0,10%,0)</f>
        <v>0</v>
      </c>
      <c r="M3522" s="34">
        <f t="shared" si="108"/>
        <v>0.01</v>
      </c>
      <c r="N3522" s="17">
        <f t="shared" si="109"/>
        <v>318.38400000000001</v>
      </c>
    </row>
    <row r="3523" spans="1:14" x14ac:dyDescent="0.25">
      <c r="A3523" s="14" t="s">
        <v>1427</v>
      </c>
      <c r="B3523" s="14">
        <v>6</v>
      </c>
      <c r="C3523" s="15" t="s">
        <v>2804</v>
      </c>
      <c r="D3523" s="14" t="s">
        <v>1745</v>
      </c>
      <c r="E3523" s="14" t="s">
        <v>1747</v>
      </c>
      <c r="F3523" s="17" t="s">
        <v>2995</v>
      </c>
      <c r="G3523" s="14">
        <v>998.4</v>
      </c>
      <c r="H3523" s="14">
        <v>898.56</v>
      </c>
      <c r="I3523" s="31">
        <f>IF(COUNTIFS(Addendum!C:C,A3523,Addendum!D:D,IF(ISNUMBER(B3523),TEXT(B3523,"0000"),B3523),Addendum!E:E,"X")&gt;0,4%,0)</f>
        <v>0.04</v>
      </c>
      <c r="J3523" s="31">
        <f>IF(COUNTIFS(Addendum!C:C,A3523,Addendum!D:D,IF(ISNUMBER(B3523),TEXT(B3523,"0000"),B3523),Addendum!F:F,"X")&gt;0,2.5%,0)</f>
        <v>0</v>
      </c>
      <c r="K3523" s="31">
        <f>IF(COUNTIFS(Addendum!C:C,A3523,Addendum!D:D,IF(ISNUMBER(B3523),TEXT(B3523,"0000"),B3523),Addendum!G:G,"X")&gt;0,7%,0)</f>
        <v>0</v>
      </c>
      <c r="L3523" s="31">
        <f>IF(COUNTIFS(Addendum!C:C,A3523,Addendum!D:D,IF(ISNUMBER(B3523),TEXT(B3523,"0000"),B3523),Addendum!I:I,"X")&gt;0,10%,0)</f>
        <v>0</v>
      </c>
      <c r="M3523" s="34">
        <f t="shared" si="108"/>
        <v>0.03</v>
      </c>
      <c r="N3523" s="17">
        <f t="shared" si="109"/>
        <v>871.6031999999999</v>
      </c>
    </row>
    <row r="3524" spans="1:14" x14ac:dyDescent="0.25">
      <c r="A3524" s="14" t="s">
        <v>1427</v>
      </c>
      <c r="B3524" s="14">
        <v>6</v>
      </c>
      <c r="C3524" s="15" t="s">
        <v>2804</v>
      </c>
      <c r="D3524" s="14" t="s">
        <v>1745</v>
      </c>
      <c r="E3524" s="14" t="s">
        <v>1746</v>
      </c>
      <c r="F3524" s="17" t="s">
        <v>2995</v>
      </c>
      <c r="G3524" s="14">
        <v>1048.32</v>
      </c>
      <c r="H3524" s="14">
        <v>943.44</v>
      </c>
      <c r="I3524" s="31">
        <f>IF(COUNTIFS(Addendum!C:C,A3524,Addendum!D:D,IF(ISNUMBER(B3524),TEXT(B3524,"0000"),B3524),Addendum!E:E,"X")&gt;0,4%,0)</f>
        <v>0.04</v>
      </c>
      <c r="J3524" s="31">
        <f>IF(COUNTIFS(Addendum!C:C,A3524,Addendum!D:D,IF(ISNUMBER(B3524),TEXT(B3524,"0000"),B3524),Addendum!F:F,"X")&gt;0,2.5%,0)</f>
        <v>0</v>
      </c>
      <c r="K3524" s="31">
        <f>IF(COUNTIFS(Addendum!C:C,A3524,Addendum!D:D,IF(ISNUMBER(B3524),TEXT(B3524,"0000"),B3524),Addendum!G:G,"X")&gt;0,7%,0)</f>
        <v>0</v>
      </c>
      <c r="L3524" s="31">
        <f>IF(COUNTIFS(Addendum!C:C,A3524,Addendum!D:D,IF(ISNUMBER(B3524),TEXT(B3524,"0000"),B3524),Addendum!I:I,"X")&gt;0,10%,0)</f>
        <v>0</v>
      </c>
      <c r="M3524" s="34">
        <f t="shared" ref="M3524:M3587" si="110">IF(AND(I3524=0%,J3524=0%,K3524=0%,L3524=0%),0%,
IF(OR(TRIM(E3524)="OneTime",TRIM(D3524)=""),0%,
IF(
OR(
TRIM(D3524)="P1M",
AND(TRIM(D3524)="P1Y",TRIM(E3524)="Monthly"),
AND(TRIM(D3524)="P3Y",TRIM(E3524)="Monthly")
),
IF(AND(I3524=4%,J3524=0%,K3524=0%,L3524=0%),1%,
IF(AND(I3524=4%,J3524=2.5%,K3524=0%,L3524=10%),2%,
IF(AND(I3524=4%,J3524=0%,K3524=7%,L3524=10%),3%,0%))),
IF(
OR(
AND(TRIM(D3524)="P1Y",TRIM(E3524)="Annual"),
AND(TRIM(D3524)="P3Y",TRIM(E3524)="Annual"),
AND(TRIM(D3524)="P3Y",TRIM(E3524)="Triennial")
),
IF(AND(I3524=4%,J3524=0%,K3524=0%,L3524=0%),3%,
IF(AND(I3524=4%,J3524=2.5%,K3524=0%,L3524=10%),10%,
IF(AND(I3524=4%,J3524=0%,K3524=7%,L3524=10%),14%,0%))),
0%
))))</f>
        <v>0.01</v>
      </c>
      <c r="N3524" s="17">
        <f t="shared" ref="N3524:N3587" si="111">H3524-(H3524*M3524)</f>
        <v>934.00560000000007</v>
      </c>
    </row>
    <row r="3525" spans="1:14" x14ac:dyDescent="0.25">
      <c r="A3525" s="14" t="s">
        <v>2807</v>
      </c>
      <c r="B3525" s="14">
        <v>6</v>
      </c>
      <c r="C3525" s="15" t="s">
        <v>2808</v>
      </c>
      <c r="D3525" s="14" t="s">
        <v>1745</v>
      </c>
      <c r="E3525" s="14" t="s">
        <v>1747</v>
      </c>
      <c r="F3525" s="17" t="s">
        <v>2994</v>
      </c>
      <c r="G3525" s="14">
        <v>1620</v>
      </c>
      <c r="H3525" s="14">
        <v>1296</v>
      </c>
      <c r="I3525" s="31">
        <f>IF(COUNTIFS(Addendum!C:C,A3525,Addendum!D:D,IF(ISNUMBER(B3525),TEXT(B3525,"0000"),B3525),Addendum!E:E,"X")&gt;0,4%,0)</f>
        <v>0</v>
      </c>
      <c r="J3525" s="31">
        <f>IF(COUNTIFS(Addendum!C:C,A3525,Addendum!D:D,IF(ISNUMBER(B3525),TEXT(B3525,"0000"),B3525),Addendum!F:F,"X")&gt;0,2.5%,0)</f>
        <v>0</v>
      </c>
      <c r="K3525" s="31">
        <f>IF(COUNTIFS(Addendum!C:C,A3525,Addendum!D:D,IF(ISNUMBER(B3525),TEXT(B3525,"0000"),B3525),Addendum!G:G,"X")&gt;0,7%,0)</f>
        <v>0</v>
      </c>
      <c r="L3525" s="31">
        <f>IF(COUNTIFS(Addendum!C:C,A3525,Addendum!D:D,IF(ISNUMBER(B3525),TEXT(B3525,"0000"),B3525),Addendum!I:I,"X")&gt;0,10%,0)</f>
        <v>0</v>
      </c>
      <c r="M3525" s="34">
        <f t="shared" si="110"/>
        <v>0</v>
      </c>
      <c r="N3525" s="17">
        <f t="shared" si="111"/>
        <v>1296</v>
      </c>
    </row>
    <row r="3526" spans="1:14" x14ac:dyDescent="0.25">
      <c r="A3526" s="14" t="s">
        <v>2807</v>
      </c>
      <c r="B3526" s="14">
        <v>6</v>
      </c>
      <c r="C3526" s="15" t="s">
        <v>2808</v>
      </c>
      <c r="D3526" s="14" t="s">
        <v>1745</v>
      </c>
      <c r="E3526" s="14" t="s">
        <v>1746</v>
      </c>
      <c r="F3526" s="17" t="s">
        <v>2994</v>
      </c>
      <c r="G3526" s="14">
        <v>1701</v>
      </c>
      <c r="H3526" s="14">
        <v>1360.8</v>
      </c>
      <c r="I3526" s="31">
        <f>IF(COUNTIFS(Addendum!C:C,A3526,Addendum!D:D,IF(ISNUMBER(B3526),TEXT(B3526,"0000"),B3526),Addendum!E:E,"X")&gt;0,4%,0)</f>
        <v>0</v>
      </c>
      <c r="J3526" s="31">
        <f>IF(COUNTIFS(Addendum!C:C,A3526,Addendum!D:D,IF(ISNUMBER(B3526),TEXT(B3526,"0000"),B3526),Addendum!F:F,"X")&gt;0,2.5%,0)</f>
        <v>0</v>
      </c>
      <c r="K3526" s="31">
        <f>IF(COUNTIFS(Addendum!C:C,A3526,Addendum!D:D,IF(ISNUMBER(B3526),TEXT(B3526,"0000"),B3526),Addendum!G:G,"X")&gt;0,7%,0)</f>
        <v>0</v>
      </c>
      <c r="L3526" s="31">
        <f>IF(COUNTIFS(Addendum!C:C,A3526,Addendum!D:D,IF(ISNUMBER(B3526),TEXT(B3526,"0000"),B3526),Addendum!I:I,"X")&gt;0,10%,0)</f>
        <v>0</v>
      </c>
      <c r="M3526" s="34">
        <f t="shared" si="110"/>
        <v>0</v>
      </c>
      <c r="N3526" s="17">
        <f t="shared" si="111"/>
        <v>1360.8</v>
      </c>
    </row>
    <row r="3527" spans="1:14" x14ac:dyDescent="0.25">
      <c r="A3527" s="14" t="s">
        <v>2807</v>
      </c>
      <c r="B3527" s="14">
        <v>7</v>
      </c>
      <c r="C3527" s="15" t="s">
        <v>2809</v>
      </c>
      <c r="D3527" s="14" t="s">
        <v>1745</v>
      </c>
      <c r="E3527" s="14" t="s">
        <v>1747</v>
      </c>
      <c r="F3527" s="17" t="s">
        <v>2994</v>
      </c>
      <c r="G3527" s="14">
        <v>2220</v>
      </c>
      <c r="H3527" s="14">
        <v>1776</v>
      </c>
      <c r="I3527" s="31">
        <f>IF(COUNTIFS(Addendum!C:C,A3527,Addendum!D:D,IF(ISNUMBER(B3527),TEXT(B3527,"0000"),B3527),Addendum!E:E,"X")&gt;0,4%,0)</f>
        <v>0</v>
      </c>
      <c r="J3527" s="31">
        <f>IF(COUNTIFS(Addendum!C:C,A3527,Addendum!D:D,IF(ISNUMBER(B3527),TEXT(B3527,"0000"),B3527),Addendum!F:F,"X")&gt;0,2.5%,0)</f>
        <v>0</v>
      </c>
      <c r="K3527" s="31">
        <f>IF(COUNTIFS(Addendum!C:C,A3527,Addendum!D:D,IF(ISNUMBER(B3527),TEXT(B3527,"0000"),B3527),Addendum!G:G,"X")&gt;0,7%,0)</f>
        <v>0</v>
      </c>
      <c r="L3527" s="31">
        <f>IF(COUNTIFS(Addendum!C:C,A3527,Addendum!D:D,IF(ISNUMBER(B3527),TEXT(B3527,"0000"),B3527),Addendum!I:I,"X")&gt;0,10%,0)</f>
        <v>0</v>
      </c>
      <c r="M3527" s="34">
        <f t="shared" si="110"/>
        <v>0</v>
      </c>
      <c r="N3527" s="17">
        <f t="shared" si="111"/>
        <v>1776</v>
      </c>
    </row>
    <row r="3528" spans="1:14" x14ac:dyDescent="0.25">
      <c r="A3528" s="14" t="s">
        <v>2807</v>
      </c>
      <c r="B3528" s="14">
        <v>7</v>
      </c>
      <c r="C3528" s="15" t="s">
        <v>2809</v>
      </c>
      <c r="D3528" s="14" t="s">
        <v>1745</v>
      </c>
      <c r="E3528" s="14" t="s">
        <v>1746</v>
      </c>
      <c r="F3528" s="17" t="s">
        <v>2994</v>
      </c>
      <c r="G3528" s="14">
        <v>2331</v>
      </c>
      <c r="H3528" s="14">
        <v>1864.8</v>
      </c>
      <c r="I3528" s="31">
        <f>IF(COUNTIFS(Addendum!C:C,A3528,Addendum!D:D,IF(ISNUMBER(B3528),TEXT(B3528,"0000"),B3528),Addendum!E:E,"X")&gt;0,4%,0)</f>
        <v>0</v>
      </c>
      <c r="J3528" s="31">
        <f>IF(COUNTIFS(Addendum!C:C,A3528,Addendum!D:D,IF(ISNUMBER(B3528),TEXT(B3528,"0000"),B3528),Addendum!F:F,"X")&gt;0,2.5%,0)</f>
        <v>0</v>
      </c>
      <c r="K3528" s="31">
        <f>IF(COUNTIFS(Addendum!C:C,A3528,Addendum!D:D,IF(ISNUMBER(B3528),TEXT(B3528,"0000"),B3528),Addendum!G:G,"X")&gt;0,7%,0)</f>
        <v>0</v>
      </c>
      <c r="L3528" s="31">
        <f>IF(COUNTIFS(Addendum!C:C,A3528,Addendum!D:D,IF(ISNUMBER(B3528),TEXT(B3528,"0000"),B3528),Addendum!I:I,"X")&gt;0,10%,0)</f>
        <v>0</v>
      </c>
      <c r="M3528" s="34">
        <f t="shared" si="110"/>
        <v>0</v>
      </c>
      <c r="N3528" s="17">
        <f t="shared" si="111"/>
        <v>1864.8</v>
      </c>
    </row>
    <row r="3529" spans="1:14" x14ac:dyDescent="0.25">
      <c r="A3529" s="14" t="s">
        <v>2807</v>
      </c>
      <c r="B3529" s="14">
        <v>7</v>
      </c>
      <c r="C3529" s="15" t="s">
        <v>2809</v>
      </c>
      <c r="D3529" s="14" t="s">
        <v>1749</v>
      </c>
      <c r="E3529" s="14" t="s">
        <v>1746</v>
      </c>
      <c r="F3529" s="17" t="s">
        <v>2994</v>
      </c>
      <c r="G3529" s="14">
        <v>222</v>
      </c>
      <c r="H3529" s="14">
        <v>177.6</v>
      </c>
      <c r="I3529" s="31">
        <f>IF(COUNTIFS(Addendum!C:C,A3529,Addendum!D:D,IF(ISNUMBER(B3529),TEXT(B3529,"0000"),B3529),Addendum!E:E,"X")&gt;0,4%,0)</f>
        <v>0</v>
      </c>
      <c r="J3529" s="31">
        <f>IF(COUNTIFS(Addendum!C:C,A3529,Addendum!D:D,IF(ISNUMBER(B3529),TEXT(B3529,"0000"),B3529),Addendum!F:F,"X")&gt;0,2.5%,0)</f>
        <v>0</v>
      </c>
      <c r="K3529" s="31">
        <f>IF(COUNTIFS(Addendum!C:C,A3529,Addendum!D:D,IF(ISNUMBER(B3529),TEXT(B3529,"0000"),B3529),Addendum!G:G,"X")&gt;0,7%,0)</f>
        <v>0</v>
      </c>
      <c r="L3529" s="31">
        <f>IF(COUNTIFS(Addendum!C:C,A3529,Addendum!D:D,IF(ISNUMBER(B3529),TEXT(B3529,"0000"),B3529),Addendum!I:I,"X")&gt;0,10%,0)</f>
        <v>0</v>
      </c>
      <c r="M3529" s="34">
        <f t="shared" si="110"/>
        <v>0</v>
      </c>
      <c r="N3529" s="17">
        <f t="shared" si="111"/>
        <v>177.6</v>
      </c>
    </row>
    <row r="3530" spans="1:14" x14ac:dyDescent="0.25">
      <c r="A3530" s="14" t="s">
        <v>2807</v>
      </c>
      <c r="B3530" s="14">
        <v>8</v>
      </c>
      <c r="C3530" s="15" t="s">
        <v>2810</v>
      </c>
      <c r="D3530" s="14" t="s">
        <v>1749</v>
      </c>
      <c r="E3530" s="14" t="s">
        <v>1746</v>
      </c>
      <c r="F3530" s="17" t="s">
        <v>2994</v>
      </c>
      <c r="G3530" s="14">
        <v>0</v>
      </c>
      <c r="H3530" s="14">
        <v>0</v>
      </c>
      <c r="I3530" s="31">
        <f>IF(COUNTIFS(Addendum!C:C,A3530,Addendum!D:D,IF(ISNUMBER(B3530),TEXT(B3530,"0000"),B3530),Addendum!E:E,"X")&gt;0,4%,0)</f>
        <v>0</v>
      </c>
      <c r="J3530" s="31">
        <f>IF(COUNTIFS(Addendum!C:C,A3530,Addendum!D:D,IF(ISNUMBER(B3530),TEXT(B3530,"0000"),B3530),Addendum!F:F,"X")&gt;0,2.5%,0)</f>
        <v>0</v>
      </c>
      <c r="K3530" s="31">
        <f>IF(COUNTIFS(Addendum!C:C,A3530,Addendum!D:D,IF(ISNUMBER(B3530),TEXT(B3530,"0000"),B3530),Addendum!G:G,"X")&gt;0,7%,0)</f>
        <v>0</v>
      </c>
      <c r="L3530" s="31">
        <f>IF(COUNTIFS(Addendum!C:C,A3530,Addendum!D:D,IF(ISNUMBER(B3530),TEXT(B3530,"0000"),B3530),Addendum!I:I,"X")&gt;0,10%,0)</f>
        <v>0</v>
      </c>
      <c r="M3530" s="34">
        <f t="shared" si="110"/>
        <v>0</v>
      </c>
      <c r="N3530" s="17">
        <f t="shared" si="111"/>
        <v>0</v>
      </c>
    </row>
    <row r="3531" spans="1:14" x14ac:dyDescent="0.25">
      <c r="A3531" s="14" t="s">
        <v>2807</v>
      </c>
      <c r="B3531" s="14">
        <v>8</v>
      </c>
      <c r="C3531" s="15" t="s">
        <v>2810</v>
      </c>
      <c r="D3531" s="14" t="s">
        <v>1745</v>
      </c>
      <c r="E3531" s="14" t="s">
        <v>1747</v>
      </c>
      <c r="F3531" s="17" t="s">
        <v>2994</v>
      </c>
      <c r="G3531" s="14">
        <v>0</v>
      </c>
      <c r="H3531" s="14">
        <v>0</v>
      </c>
      <c r="I3531" s="31">
        <f>IF(COUNTIFS(Addendum!C:C,A3531,Addendum!D:D,IF(ISNUMBER(B3531),TEXT(B3531,"0000"),B3531),Addendum!E:E,"X")&gt;0,4%,0)</f>
        <v>0</v>
      </c>
      <c r="J3531" s="31">
        <f>IF(COUNTIFS(Addendum!C:C,A3531,Addendum!D:D,IF(ISNUMBER(B3531),TEXT(B3531,"0000"),B3531),Addendum!F:F,"X")&gt;0,2.5%,0)</f>
        <v>0</v>
      </c>
      <c r="K3531" s="31">
        <f>IF(COUNTIFS(Addendum!C:C,A3531,Addendum!D:D,IF(ISNUMBER(B3531),TEXT(B3531,"0000"),B3531),Addendum!G:G,"X")&gt;0,7%,0)</f>
        <v>0</v>
      </c>
      <c r="L3531" s="31">
        <f>IF(COUNTIFS(Addendum!C:C,A3531,Addendum!D:D,IF(ISNUMBER(B3531),TEXT(B3531,"0000"),B3531),Addendum!I:I,"X")&gt;0,10%,0)</f>
        <v>0</v>
      </c>
      <c r="M3531" s="34">
        <f t="shared" si="110"/>
        <v>0</v>
      </c>
      <c r="N3531" s="17">
        <f t="shared" si="111"/>
        <v>0</v>
      </c>
    </row>
    <row r="3532" spans="1:14" x14ac:dyDescent="0.25">
      <c r="A3532" s="14" t="s">
        <v>2807</v>
      </c>
      <c r="B3532" s="14">
        <v>8</v>
      </c>
      <c r="C3532" s="15" t="s">
        <v>2810</v>
      </c>
      <c r="D3532" s="14" t="s">
        <v>1745</v>
      </c>
      <c r="E3532" s="14" t="s">
        <v>1746</v>
      </c>
      <c r="F3532" s="17" t="s">
        <v>2994</v>
      </c>
      <c r="G3532" s="14">
        <v>0</v>
      </c>
      <c r="H3532" s="14">
        <v>0</v>
      </c>
      <c r="I3532" s="31">
        <f>IF(COUNTIFS(Addendum!C:C,A3532,Addendum!D:D,IF(ISNUMBER(B3532),TEXT(B3532,"0000"),B3532),Addendum!E:E,"X")&gt;0,4%,0)</f>
        <v>0</v>
      </c>
      <c r="J3532" s="31">
        <f>IF(COUNTIFS(Addendum!C:C,A3532,Addendum!D:D,IF(ISNUMBER(B3532),TEXT(B3532,"0000"),B3532),Addendum!F:F,"X")&gt;0,2.5%,0)</f>
        <v>0</v>
      </c>
      <c r="K3532" s="31">
        <f>IF(COUNTIFS(Addendum!C:C,A3532,Addendum!D:D,IF(ISNUMBER(B3532),TEXT(B3532,"0000"),B3532),Addendum!G:G,"X")&gt;0,7%,0)</f>
        <v>0</v>
      </c>
      <c r="L3532" s="31">
        <f>IF(COUNTIFS(Addendum!C:C,A3532,Addendum!D:D,IF(ISNUMBER(B3532),TEXT(B3532,"0000"),B3532),Addendum!I:I,"X")&gt;0,10%,0)</f>
        <v>0</v>
      </c>
      <c r="M3532" s="34">
        <f t="shared" si="110"/>
        <v>0</v>
      </c>
      <c r="N3532" s="17">
        <f t="shared" si="111"/>
        <v>0</v>
      </c>
    </row>
    <row r="3533" spans="1:14" x14ac:dyDescent="0.25">
      <c r="A3533" s="14" t="s">
        <v>2807</v>
      </c>
      <c r="B3533" s="14">
        <v>6</v>
      </c>
      <c r="C3533" s="15" t="s">
        <v>2808</v>
      </c>
      <c r="D3533" s="14" t="s">
        <v>1749</v>
      </c>
      <c r="E3533" s="14" t="s">
        <v>1746</v>
      </c>
      <c r="F3533" s="17" t="s">
        <v>2994</v>
      </c>
      <c r="G3533" s="14">
        <v>162</v>
      </c>
      <c r="H3533" s="14">
        <v>129.6</v>
      </c>
      <c r="I3533" s="31">
        <f>IF(COUNTIFS(Addendum!C:C,A3533,Addendum!D:D,IF(ISNUMBER(B3533),TEXT(B3533,"0000"),B3533),Addendum!E:E,"X")&gt;0,4%,0)</f>
        <v>0</v>
      </c>
      <c r="J3533" s="31">
        <f>IF(COUNTIFS(Addendum!C:C,A3533,Addendum!D:D,IF(ISNUMBER(B3533),TEXT(B3533,"0000"),B3533),Addendum!F:F,"X")&gt;0,2.5%,0)</f>
        <v>0</v>
      </c>
      <c r="K3533" s="31">
        <f>IF(COUNTIFS(Addendum!C:C,A3533,Addendum!D:D,IF(ISNUMBER(B3533),TEXT(B3533,"0000"),B3533),Addendum!G:G,"X")&gt;0,7%,0)</f>
        <v>0</v>
      </c>
      <c r="L3533" s="31">
        <f>IF(COUNTIFS(Addendum!C:C,A3533,Addendum!D:D,IF(ISNUMBER(B3533),TEXT(B3533,"0000"),B3533),Addendum!I:I,"X")&gt;0,10%,0)</f>
        <v>0</v>
      </c>
      <c r="M3533" s="34">
        <f t="shared" si="110"/>
        <v>0</v>
      </c>
      <c r="N3533" s="17">
        <f t="shared" si="111"/>
        <v>129.6</v>
      </c>
    </row>
    <row r="3534" spans="1:14" x14ac:dyDescent="0.25">
      <c r="A3534" s="14" t="s">
        <v>2811</v>
      </c>
      <c r="B3534" s="14">
        <v>6</v>
      </c>
      <c r="C3534" s="15" t="s">
        <v>2812</v>
      </c>
      <c r="D3534" s="14" t="s">
        <v>1745</v>
      </c>
      <c r="E3534" s="14" t="s">
        <v>1747</v>
      </c>
      <c r="F3534" s="17" t="s">
        <v>2994</v>
      </c>
      <c r="G3534" s="14">
        <v>5700</v>
      </c>
      <c r="H3534" s="14">
        <v>4560</v>
      </c>
      <c r="I3534" s="31">
        <f>IF(COUNTIFS(Addendum!C:C,A3534,Addendum!D:D,IF(ISNUMBER(B3534),TEXT(B3534,"0000"),B3534),Addendum!E:E,"X")&gt;0,4%,0)</f>
        <v>0</v>
      </c>
      <c r="J3534" s="31">
        <f>IF(COUNTIFS(Addendum!C:C,A3534,Addendum!D:D,IF(ISNUMBER(B3534),TEXT(B3534,"0000"),B3534),Addendum!F:F,"X")&gt;0,2.5%,0)</f>
        <v>0</v>
      </c>
      <c r="K3534" s="31">
        <f>IF(COUNTIFS(Addendum!C:C,A3534,Addendum!D:D,IF(ISNUMBER(B3534),TEXT(B3534,"0000"),B3534),Addendum!G:G,"X")&gt;0,7%,0)</f>
        <v>0</v>
      </c>
      <c r="L3534" s="31">
        <f>IF(COUNTIFS(Addendum!C:C,A3534,Addendum!D:D,IF(ISNUMBER(B3534),TEXT(B3534,"0000"),B3534),Addendum!I:I,"X")&gt;0,10%,0)</f>
        <v>0</v>
      </c>
      <c r="M3534" s="34">
        <f t="shared" si="110"/>
        <v>0</v>
      </c>
      <c r="N3534" s="17">
        <f t="shared" si="111"/>
        <v>4560</v>
      </c>
    </row>
    <row r="3535" spans="1:14" x14ac:dyDescent="0.25">
      <c r="A3535" s="14" t="s">
        <v>2811</v>
      </c>
      <c r="B3535" s="14">
        <v>4</v>
      </c>
      <c r="C3535" s="15" t="s">
        <v>2813</v>
      </c>
      <c r="D3535" s="14" t="s">
        <v>1749</v>
      </c>
      <c r="E3535" s="14" t="s">
        <v>1746</v>
      </c>
      <c r="F3535" s="17" t="s">
        <v>2994</v>
      </c>
      <c r="G3535" s="14">
        <v>0</v>
      </c>
      <c r="H3535" s="14">
        <v>0</v>
      </c>
      <c r="I3535" s="31">
        <f>IF(COUNTIFS(Addendum!C:C,A3535,Addendum!D:D,IF(ISNUMBER(B3535),TEXT(B3535,"0000"),B3535),Addendum!E:E,"X")&gt;0,4%,0)</f>
        <v>0</v>
      </c>
      <c r="J3535" s="31">
        <f>IF(COUNTIFS(Addendum!C:C,A3535,Addendum!D:D,IF(ISNUMBER(B3535),TEXT(B3535,"0000"),B3535),Addendum!F:F,"X")&gt;0,2.5%,0)</f>
        <v>0</v>
      </c>
      <c r="K3535" s="31">
        <f>IF(COUNTIFS(Addendum!C:C,A3535,Addendum!D:D,IF(ISNUMBER(B3535),TEXT(B3535,"0000"),B3535),Addendum!G:G,"X")&gt;0,7%,0)</f>
        <v>0</v>
      </c>
      <c r="L3535" s="31">
        <f>IF(COUNTIFS(Addendum!C:C,A3535,Addendum!D:D,IF(ISNUMBER(B3535),TEXT(B3535,"0000"),B3535),Addendum!I:I,"X")&gt;0,10%,0)</f>
        <v>0</v>
      </c>
      <c r="M3535" s="34">
        <f t="shared" si="110"/>
        <v>0</v>
      </c>
      <c r="N3535" s="17">
        <f t="shared" si="111"/>
        <v>0</v>
      </c>
    </row>
    <row r="3536" spans="1:14" x14ac:dyDescent="0.25">
      <c r="A3536" s="14" t="s">
        <v>2811</v>
      </c>
      <c r="B3536" s="14">
        <v>4</v>
      </c>
      <c r="C3536" s="15" t="s">
        <v>2813</v>
      </c>
      <c r="D3536" s="14" t="s">
        <v>1745</v>
      </c>
      <c r="E3536" s="14" t="s">
        <v>1746</v>
      </c>
      <c r="F3536" s="17" t="s">
        <v>2994</v>
      </c>
      <c r="G3536" s="14">
        <v>0</v>
      </c>
      <c r="H3536" s="14">
        <v>0</v>
      </c>
      <c r="I3536" s="31">
        <f>IF(COUNTIFS(Addendum!C:C,A3536,Addendum!D:D,IF(ISNUMBER(B3536),TEXT(B3536,"0000"),B3536),Addendum!E:E,"X")&gt;0,4%,0)</f>
        <v>0</v>
      </c>
      <c r="J3536" s="31">
        <f>IF(COUNTIFS(Addendum!C:C,A3536,Addendum!D:D,IF(ISNUMBER(B3536),TEXT(B3536,"0000"),B3536),Addendum!F:F,"X")&gt;0,2.5%,0)</f>
        <v>0</v>
      </c>
      <c r="K3536" s="31">
        <f>IF(COUNTIFS(Addendum!C:C,A3536,Addendum!D:D,IF(ISNUMBER(B3536),TEXT(B3536,"0000"),B3536),Addendum!G:G,"X")&gt;0,7%,0)</f>
        <v>0</v>
      </c>
      <c r="L3536" s="31">
        <f>IF(COUNTIFS(Addendum!C:C,A3536,Addendum!D:D,IF(ISNUMBER(B3536),TEXT(B3536,"0000"),B3536),Addendum!I:I,"X")&gt;0,10%,0)</f>
        <v>0</v>
      </c>
      <c r="M3536" s="34">
        <f t="shared" si="110"/>
        <v>0</v>
      </c>
      <c r="N3536" s="17">
        <f t="shared" si="111"/>
        <v>0</v>
      </c>
    </row>
    <row r="3537" spans="1:14" x14ac:dyDescent="0.25">
      <c r="A3537" s="14" t="s">
        <v>2811</v>
      </c>
      <c r="B3537" s="14">
        <v>4</v>
      </c>
      <c r="C3537" s="15" t="s">
        <v>2813</v>
      </c>
      <c r="D3537" s="14" t="s">
        <v>1745</v>
      </c>
      <c r="E3537" s="14" t="s">
        <v>1747</v>
      </c>
      <c r="F3537" s="17" t="s">
        <v>2994</v>
      </c>
      <c r="G3537" s="14">
        <v>0</v>
      </c>
      <c r="H3537" s="14">
        <v>0</v>
      </c>
      <c r="I3537" s="31">
        <f>IF(COUNTIFS(Addendum!C:C,A3537,Addendum!D:D,IF(ISNUMBER(B3537),TEXT(B3537,"0000"),B3537),Addendum!E:E,"X")&gt;0,4%,0)</f>
        <v>0</v>
      </c>
      <c r="J3537" s="31">
        <f>IF(COUNTIFS(Addendum!C:C,A3537,Addendum!D:D,IF(ISNUMBER(B3537),TEXT(B3537,"0000"),B3537),Addendum!F:F,"X")&gt;0,2.5%,0)</f>
        <v>0</v>
      </c>
      <c r="K3537" s="31">
        <f>IF(COUNTIFS(Addendum!C:C,A3537,Addendum!D:D,IF(ISNUMBER(B3537),TEXT(B3537,"0000"),B3537),Addendum!G:G,"X")&gt;0,7%,0)</f>
        <v>0</v>
      </c>
      <c r="L3537" s="31">
        <f>IF(COUNTIFS(Addendum!C:C,A3537,Addendum!D:D,IF(ISNUMBER(B3537),TEXT(B3537,"0000"),B3537),Addendum!I:I,"X")&gt;0,10%,0)</f>
        <v>0</v>
      </c>
      <c r="M3537" s="34">
        <f t="shared" si="110"/>
        <v>0</v>
      </c>
      <c r="N3537" s="17">
        <f t="shared" si="111"/>
        <v>0</v>
      </c>
    </row>
    <row r="3538" spans="1:14" x14ac:dyDescent="0.25">
      <c r="A3538" s="14" t="s">
        <v>2811</v>
      </c>
      <c r="B3538" s="14">
        <v>5</v>
      </c>
      <c r="C3538" s="15" t="s">
        <v>2814</v>
      </c>
      <c r="D3538" s="14" t="s">
        <v>1745</v>
      </c>
      <c r="E3538" s="14" t="s">
        <v>1747</v>
      </c>
      <c r="F3538" s="17" t="s">
        <v>2994</v>
      </c>
      <c r="G3538" s="14">
        <v>6300</v>
      </c>
      <c r="H3538" s="14">
        <v>5040</v>
      </c>
      <c r="I3538" s="31">
        <f>IF(COUNTIFS(Addendum!C:C,A3538,Addendum!D:D,IF(ISNUMBER(B3538),TEXT(B3538,"0000"),B3538),Addendum!E:E,"X")&gt;0,4%,0)</f>
        <v>0</v>
      </c>
      <c r="J3538" s="31">
        <f>IF(COUNTIFS(Addendum!C:C,A3538,Addendum!D:D,IF(ISNUMBER(B3538),TEXT(B3538,"0000"),B3538),Addendum!F:F,"X")&gt;0,2.5%,0)</f>
        <v>0</v>
      </c>
      <c r="K3538" s="31">
        <f>IF(COUNTIFS(Addendum!C:C,A3538,Addendum!D:D,IF(ISNUMBER(B3538),TEXT(B3538,"0000"),B3538),Addendum!G:G,"X")&gt;0,7%,0)</f>
        <v>0</v>
      </c>
      <c r="L3538" s="31">
        <f>IF(COUNTIFS(Addendum!C:C,A3538,Addendum!D:D,IF(ISNUMBER(B3538),TEXT(B3538,"0000"),B3538),Addendum!I:I,"X")&gt;0,10%,0)</f>
        <v>0</v>
      </c>
      <c r="M3538" s="34">
        <f t="shared" si="110"/>
        <v>0</v>
      </c>
      <c r="N3538" s="17">
        <f t="shared" si="111"/>
        <v>5040</v>
      </c>
    </row>
    <row r="3539" spans="1:14" x14ac:dyDescent="0.25">
      <c r="A3539" s="14" t="s">
        <v>2811</v>
      </c>
      <c r="B3539" s="14">
        <v>5</v>
      </c>
      <c r="C3539" s="15" t="s">
        <v>2814</v>
      </c>
      <c r="D3539" s="14" t="s">
        <v>1749</v>
      </c>
      <c r="E3539" s="14" t="s">
        <v>1746</v>
      </c>
      <c r="F3539" s="17" t="s">
        <v>2994</v>
      </c>
      <c r="G3539" s="14">
        <v>630</v>
      </c>
      <c r="H3539" s="14">
        <v>504</v>
      </c>
      <c r="I3539" s="31">
        <f>IF(COUNTIFS(Addendum!C:C,A3539,Addendum!D:D,IF(ISNUMBER(B3539),TEXT(B3539,"0000"),B3539),Addendum!E:E,"X")&gt;0,4%,0)</f>
        <v>0</v>
      </c>
      <c r="J3539" s="31">
        <f>IF(COUNTIFS(Addendum!C:C,A3539,Addendum!D:D,IF(ISNUMBER(B3539),TEXT(B3539,"0000"),B3539),Addendum!F:F,"X")&gt;0,2.5%,0)</f>
        <v>0</v>
      </c>
      <c r="K3539" s="31">
        <f>IF(COUNTIFS(Addendum!C:C,A3539,Addendum!D:D,IF(ISNUMBER(B3539),TEXT(B3539,"0000"),B3539),Addendum!G:G,"X")&gt;0,7%,0)</f>
        <v>0</v>
      </c>
      <c r="L3539" s="31">
        <f>IF(COUNTIFS(Addendum!C:C,A3539,Addendum!D:D,IF(ISNUMBER(B3539),TEXT(B3539,"0000"),B3539),Addendum!I:I,"X")&gt;0,10%,0)</f>
        <v>0</v>
      </c>
      <c r="M3539" s="34">
        <f t="shared" si="110"/>
        <v>0</v>
      </c>
      <c r="N3539" s="17">
        <f t="shared" si="111"/>
        <v>504</v>
      </c>
    </row>
    <row r="3540" spans="1:14" x14ac:dyDescent="0.25">
      <c r="A3540" s="14" t="s">
        <v>2811</v>
      </c>
      <c r="B3540" s="14">
        <v>5</v>
      </c>
      <c r="C3540" s="15" t="s">
        <v>2814</v>
      </c>
      <c r="D3540" s="14" t="s">
        <v>1745</v>
      </c>
      <c r="E3540" s="14" t="s">
        <v>1746</v>
      </c>
      <c r="F3540" s="17" t="s">
        <v>2994</v>
      </c>
      <c r="G3540" s="14">
        <v>6615</v>
      </c>
      <c r="H3540" s="14">
        <v>5292</v>
      </c>
      <c r="I3540" s="31">
        <f>IF(COUNTIFS(Addendum!C:C,A3540,Addendum!D:D,IF(ISNUMBER(B3540),TEXT(B3540,"0000"),B3540),Addendum!E:E,"X")&gt;0,4%,0)</f>
        <v>0</v>
      </c>
      <c r="J3540" s="31">
        <f>IF(COUNTIFS(Addendum!C:C,A3540,Addendum!D:D,IF(ISNUMBER(B3540),TEXT(B3540,"0000"),B3540),Addendum!F:F,"X")&gt;0,2.5%,0)</f>
        <v>0</v>
      </c>
      <c r="K3540" s="31">
        <f>IF(COUNTIFS(Addendum!C:C,A3540,Addendum!D:D,IF(ISNUMBER(B3540),TEXT(B3540,"0000"),B3540),Addendum!G:G,"X")&gt;0,7%,0)</f>
        <v>0</v>
      </c>
      <c r="L3540" s="31">
        <f>IF(COUNTIFS(Addendum!C:C,A3540,Addendum!D:D,IF(ISNUMBER(B3540),TEXT(B3540,"0000"),B3540),Addendum!I:I,"X")&gt;0,10%,0)</f>
        <v>0</v>
      </c>
      <c r="M3540" s="34">
        <f t="shared" si="110"/>
        <v>0</v>
      </c>
      <c r="N3540" s="17">
        <f t="shared" si="111"/>
        <v>5292</v>
      </c>
    </row>
    <row r="3541" spans="1:14" x14ac:dyDescent="0.25">
      <c r="A3541" s="14" t="s">
        <v>2811</v>
      </c>
      <c r="B3541" s="14">
        <v>6</v>
      </c>
      <c r="C3541" s="15" t="s">
        <v>2812</v>
      </c>
      <c r="D3541" s="14" t="s">
        <v>1745</v>
      </c>
      <c r="E3541" s="14" t="s">
        <v>1746</v>
      </c>
      <c r="F3541" s="17" t="s">
        <v>2994</v>
      </c>
      <c r="G3541" s="14">
        <v>5985</v>
      </c>
      <c r="H3541" s="14">
        <v>4788</v>
      </c>
      <c r="I3541" s="31">
        <f>IF(COUNTIFS(Addendum!C:C,A3541,Addendum!D:D,IF(ISNUMBER(B3541),TEXT(B3541,"0000"),B3541),Addendum!E:E,"X")&gt;0,4%,0)</f>
        <v>0</v>
      </c>
      <c r="J3541" s="31">
        <f>IF(COUNTIFS(Addendum!C:C,A3541,Addendum!D:D,IF(ISNUMBER(B3541),TEXT(B3541,"0000"),B3541),Addendum!F:F,"X")&gt;0,2.5%,0)</f>
        <v>0</v>
      </c>
      <c r="K3541" s="31">
        <f>IF(COUNTIFS(Addendum!C:C,A3541,Addendum!D:D,IF(ISNUMBER(B3541),TEXT(B3541,"0000"),B3541),Addendum!G:G,"X")&gt;0,7%,0)</f>
        <v>0</v>
      </c>
      <c r="L3541" s="31">
        <f>IF(COUNTIFS(Addendum!C:C,A3541,Addendum!D:D,IF(ISNUMBER(B3541),TEXT(B3541,"0000"),B3541),Addendum!I:I,"X")&gt;0,10%,0)</f>
        <v>0</v>
      </c>
      <c r="M3541" s="34">
        <f t="shared" si="110"/>
        <v>0</v>
      </c>
      <c r="N3541" s="17">
        <f t="shared" si="111"/>
        <v>4788</v>
      </c>
    </row>
    <row r="3542" spans="1:14" x14ac:dyDescent="0.25">
      <c r="A3542" s="14" t="s">
        <v>2811</v>
      </c>
      <c r="B3542" s="14">
        <v>6</v>
      </c>
      <c r="C3542" s="15" t="s">
        <v>2812</v>
      </c>
      <c r="D3542" s="14" t="s">
        <v>1749</v>
      </c>
      <c r="E3542" s="14" t="s">
        <v>1746</v>
      </c>
      <c r="F3542" s="17" t="s">
        <v>2994</v>
      </c>
      <c r="G3542" s="14">
        <v>570</v>
      </c>
      <c r="H3542" s="14">
        <v>456</v>
      </c>
      <c r="I3542" s="31">
        <f>IF(COUNTIFS(Addendum!C:C,A3542,Addendum!D:D,IF(ISNUMBER(B3542),TEXT(B3542,"0000"),B3542),Addendum!E:E,"X")&gt;0,4%,0)</f>
        <v>0</v>
      </c>
      <c r="J3542" s="31">
        <f>IF(COUNTIFS(Addendum!C:C,A3542,Addendum!D:D,IF(ISNUMBER(B3542),TEXT(B3542,"0000"),B3542),Addendum!F:F,"X")&gt;0,2.5%,0)</f>
        <v>0</v>
      </c>
      <c r="K3542" s="31">
        <f>IF(COUNTIFS(Addendum!C:C,A3542,Addendum!D:D,IF(ISNUMBER(B3542),TEXT(B3542,"0000"),B3542),Addendum!G:G,"X")&gt;0,7%,0)</f>
        <v>0</v>
      </c>
      <c r="L3542" s="31">
        <f>IF(COUNTIFS(Addendum!C:C,A3542,Addendum!D:D,IF(ISNUMBER(B3542),TEXT(B3542,"0000"),B3542),Addendum!I:I,"X")&gt;0,10%,0)</f>
        <v>0</v>
      </c>
      <c r="M3542" s="34">
        <f t="shared" si="110"/>
        <v>0</v>
      </c>
      <c r="N3542" s="17">
        <f t="shared" si="111"/>
        <v>456</v>
      </c>
    </row>
    <row r="3543" spans="1:14" x14ac:dyDescent="0.25">
      <c r="A3543" s="14" t="s">
        <v>2815</v>
      </c>
      <c r="B3543" s="14">
        <v>2</v>
      </c>
      <c r="C3543" s="15" t="s">
        <v>2816</v>
      </c>
      <c r="D3543" s="14" t="s">
        <v>1749</v>
      </c>
      <c r="E3543" s="14" t="s">
        <v>1746</v>
      </c>
      <c r="F3543" s="17" t="s">
        <v>2993</v>
      </c>
      <c r="G3543" s="14">
        <v>762</v>
      </c>
      <c r="H3543" s="14">
        <v>609.6</v>
      </c>
      <c r="I3543" s="31">
        <f>IF(COUNTIFS(Addendum!C:C,A3543,Addendum!D:D,IF(ISNUMBER(B3543),TEXT(B3543,"0000"),B3543),Addendum!E:E,"X")&gt;0,4%,0)</f>
        <v>0</v>
      </c>
      <c r="J3543" s="31">
        <f>IF(COUNTIFS(Addendum!C:C,A3543,Addendum!D:D,IF(ISNUMBER(B3543),TEXT(B3543,"0000"),B3543),Addendum!F:F,"X")&gt;0,2.5%,0)</f>
        <v>0</v>
      </c>
      <c r="K3543" s="31">
        <f>IF(COUNTIFS(Addendum!C:C,A3543,Addendum!D:D,IF(ISNUMBER(B3543),TEXT(B3543,"0000"),B3543),Addendum!G:G,"X")&gt;0,7%,0)</f>
        <v>0</v>
      </c>
      <c r="L3543" s="31">
        <f>IF(COUNTIFS(Addendum!C:C,A3543,Addendum!D:D,IF(ISNUMBER(B3543),TEXT(B3543,"0000"),B3543),Addendum!I:I,"X")&gt;0,10%,0)</f>
        <v>0</v>
      </c>
      <c r="M3543" s="34">
        <f t="shared" si="110"/>
        <v>0</v>
      </c>
      <c r="N3543" s="17">
        <f t="shared" si="111"/>
        <v>609.6</v>
      </c>
    </row>
    <row r="3544" spans="1:14" x14ac:dyDescent="0.25">
      <c r="A3544" s="14" t="s">
        <v>2815</v>
      </c>
      <c r="B3544" s="14">
        <v>1</v>
      </c>
      <c r="C3544" s="15" t="s">
        <v>2817</v>
      </c>
      <c r="D3544" s="14" t="s">
        <v>1749</v>
      </c>
      <c r="E3544" s="14" t="s">
        <v>1746</v>
      </c>
      <c r="F3544" s="17" t="s">
        <v>2993</v>
      </c>
      <c r="G3544" s="14">
        <v>1422</v>
      </c>
      <c r="H3544" s="14">
        <v>1137.5999999999999</v>
      </c>
      <c r="I3544" s="31">
        <f>IF(COUNTIFS(Addendum!C:C,A3544,Addendum!D:D,IF(ISNUMBER(B3544),TEXT(B3544,"0000"),B3544),Addendum!E:E,"X")&gt;0,4%,0)</f>
        <v>0</v>
      </c>
      <c r="J3544" s="31">
        <f>IF(COUNTIFS(Addendum!C:C,A3544,Addendum!D:D,IF(ISNUMBER(B3544),TEXT(B3544,"0000"),B3544),Addendum!F:F,"X")&gt;0,2.5%,0)</f>
        <v>0</v>
      </c>
      <c r="K3544" s="31">
        <f>IF(COUNTIFS(Addendum!C:C,A3544,Addendum!D:D,IF(ISNUMBER(B3544),TEXT(B3544,"0000"),B3544),Addendum!G:G,"X")&gt;0,7%,0)</f>
        <v>0</v>
      </c>
      <c r="L3544" s="31">
        <f>IF(COUNTIFS(Addendum!C:C,A3544,Addendum!D:D,IF(ISNUMBER(B3544),TEXT(B3544,"0000"),B3544),Addendum!I:I,"X")&gt;0,10%,0)</f>
        <v>0</v>
      </c>
      <c r="M3544" s="34">
        <f t="shared" si="110"/>
        <v>0</v>
      </c>
      <c r="N3544" s="17">
        <f t="shared" si="111"/>
        <v>1137.5999999999999</v>
      </c>
    </row>
    <row r="3545" spans="1:14" x14ac:dyDescent="0.25">
      <c r="A3545" s="14" t="s">
        <v>2815</v>
      </c>
      <c r="B3545" s="14">
        <v>7</v>
      </c>
      <c r="C3545" s="15" t="s">
        <v>2818</v>
      </c>
      <c r="D3545" s="14" t="s">
        <v>1745</v>
      </c>
      <c r="E3545" s="14" t="s">
        <v>1747</v>
      </c>
      <c r="F3545" s="17" t="s">
        <v>2995</v>
      </c>
      <c r="G3545" s="14">
        <v>1920</v>
      </c>
      <c r="H3545" s="14">
        <v>1728</v>
      </c>
      <c r="I3545" s="31">
        <f>IF(COUNTIFS(Addendum!C:C,A3545,Addendum!D:D,IF(ISNUMBER(B3545),TEXT(B3545,"0000"),B3545),Addendum!E:E,"X")&gt;0,4%,0)</f>
        <v>0</v>
      </c>
      <c r="J3545" s="31">
        <f>IF(COUNTIFS(Addendum!C:C,A3545,Addendum!D:D,IF(ISNUMBER(B3545),TEXT(B3545,"0000"),B3545),Addendum!F:F,"X")&gt;0,2.5%,0)</f>
        <v>0</v>
      </c>
      <c r="K3545" s="31">
        <f>IF(COUNTIFS(Addendum!C:C,A3545,Addendum!D:D,IF(ISNUMBER(B3545),TEXT(B3545,"0000"),B3545),Addendum!G:G,"X")&gt;0,7%,0)</f>
        <v>0</v>
      </c>
      <c r="L3545" s="31">
        <f>IF(COUNTIFS(Addendum!C:C,A3545,Addendum!D:D,IF(ISNUMBER(B3545),TEXT(B3545,"0000"),B3545),Addendum!I:I,"X")&gt;0,10%,0)</f>
        <v>0</v>
      </c>
      <c r="M3545" s="34">
        <f t="shared" si="110"/>
        <v>0</v>
      </c>
      <c r="N3545" s="17">
        <f t="shared" si="111"/>
        <v>1728</v>
      </c>
    </row>
    <row r="3546" spans="1:14" x14ac:dyDescent="0.25">
      <c r="A3546" s="14" t="s">
        <v>2815</v>
      </c>
      <c r="B3546" s="14">
        <v>7</v>
      </c>
      <c r="C3546" s="15" t="s">
        <v>2818</v>
      </c>
      <c r="D3546" s="14" t="s">
        <v>1745</v>
      </c>
      <c r="E3546" s="14" t="s">
        <v>1746</v>
      </c>
      <c r="F3546" s="17" t="s">
        <v>2995</v>
      </c>
      <c r="G3546" s="14">
        <v>2016</v>
      </c>
      <c r="H3546" s="14">
        <v>1814.4</v>
      </c>
      <c r="I3546" s="31">
        <f>IF(COUNTIFS(Addendum!C:C,A3546,Addendum!D:D,IF(ISNUMBER(B3546),TEXT(B3546,"0000"),B3546),Addendum!E:E,"X")&gt;0,4%,0)</f>
        <v>0</v>
      </c>
      <c r="J3546" s="31">
        <f>IF(COUNTIFS(Addendum!C:C,A3546,Addendum!D:D,IF(ISNUMBER(B3546),TEXT(B3546,"0000"),B3546),Addendum!F:F,"X")&gt;0,2.5%,0)</f>
        <v>0</v>
      </c>
      <c r="K3546" s="31">
        <f>IF(COUNTIFS(Addendum!C:C,A3546,Addendum!D:D,IF(ISNUMBER(B3546),TEXT(B3546,"0000"),B3546),Addendum!G:G,"X")&gt;0,7%,0)</f>
        <v>0</v>
      </c>
      <c r="L3546" s="31">
        <f>IF(COUNTIFS(Addendum!C:C,A3546,Addendum!D:D,IF(ISNUMBER(B3546),TEXT(B3546,"0000"),B3546),Addendum!I:I,"X")&gt;0,10%,0)</f>
        <v>0</v>
      </c>
      <c r="M3546" s="34">
        <f t="shared" si="110"/>
        <v>0</v>
      </c>
      <c r="N3546" s="17">
        <f t="shared" si="111"/>
        <v>1814.4</v>
      </c>
    </row>
    <row r="3547" spans="1:14" x14ac:dyDescent="0.25">
      <c r="A3547" s="14" t="s">
        <v>2815</v>
      </c>
      <c r="B3547" s="14">
        <v>7</v>
      </c>
      <c r="C3547" s="15" t="s">
        <v>2818</v>
      </c>
      <c r="D3547" s="14" t="s">
        <v>1749</v>
      </c>
      <c r="E3547" s="14" t="s">
        <v>1746</v>
      </c>
      <c r="F3547" s="17" t="s">
        <v>2995</v>
      </c>
      <c r="G3547" s="14">
        <v>192</v>
      </c>
      <c r="H3547" s="14">
        <v>172.8</v>
      </c>
      <c r="I3547" s="31">
        <f>IF(COUNTIFS(Addendum!C:C,A3547,Addendum!D:D,IF(ISNUMBER(B3547),TEXT(B3547,"0000"),B3547),Addendum!E:E,"X")&gt;0,4%,0)</f>
        <v>0</v>
      </c>
      <c r="J3547" s="31">
        <f>IF(COUNTIFS(Addendum!C:C,A3547,Addendum!D:D,IF(ISNUMBER(B3547),TEXT(B3547,"0000"),B3547),Addendum!F:F,"X")&gt;0,2.5%,0)</f>
        <v>0</v>
      </c>
      <c r="K3547" s="31">
        <f>IF(COUNTIFS(Addendum!C:C,A3547,Addendum!D:D,IF(ISNUMBER(B3547),TEXT(B3547,"0000"),B3547),Addendum!G:G,"X")&gt;0,7%,0)</f>
        <v>0</v>
      </c>
      <c r="L3547" s="31">
        <f>IF(COUNTIFS(Addendum!C:C,A3547,Addendum!D:D,IF(ISNUMBER(B3547),TEXT(B3547,"0000"),B3547),Addendum!I:I,"X")&gt;0,10%,0)</f>
        <v>0</v>
      </c>
      <c r="M3547" s="34">
        <f t="shared" si="110"/>
        <v>0</v>
      </c>
      <c r="N3547" s="17">
        <f t="shared" si="111"/>
        <v>172.8</v>
      </c>
    </row>
    <row r="3548" spans="1:14" x14ac:dyDescent="0.25">
      <c r="A3548" s="14" t="s">
        <v>2815</v>
      </c>
      <c r="B3548" s="14">
        <v>2</v>
      </c>
      <c r="C3548" s="15" t="s">
        <v>2816</v>
      </c>
      <c r="D3548" s="14" t="s">
        <v>1745</v>
      </c>
      <c r="E3548" s="14" t="s">
        <v>1746</v>
      </c>
      <c r="F3548" s="17" t="s">
        <v>2993</v>
      </c>
      <c r="G3548" s="14">
        <v>8001</v>
      </c>
      <c r="H3548" s="14">
        <v>6400.8</v>
      </c>
      <c r="I3548" s="31">
        <f>IF(COUNTIFS(Addendum!C:C,A3548,Addendum!D:D,IF(ISNUMBER(B3548),TEXT(B3548,"0000"),B3548),Addendum!E:E,"X")&gt;0,4%,0)</f>
        <v>0</v>
      </c>
      <c r="J3548" s="31">
        <f>IF(COUNTIFS(Addendum!C:C,A3548,Addendum!D:D,IF(ISNUMBER(B3548),TEXT(B3548,"0000"),B3548),Addendum!F:F,"X")&gt;0,2.5%,0)</f>
        <v>0</v>
      </c>
      <c r="K3548" s="31">
        <f>IF(COUNTIFS(Addendum!C:C,A3548,Addendum!D:D,IF(ISNUMBER(B3548),TEXT(B3548,"0000"),B3548),Addendum!G:G,"X")&gt;0,7%,0)</f>
        <v>0</v>
      </c>
      <c r="L3548" s="31">
        <f>IF(COUNTIFS(Addendum!C:C,A3548,Addendum!D:D,IF(ISNUMBER(B3548),TEXT(B3548,"0000"),B3548),Addendum!I:I,"X")&gt;0,10%,0)</f>
        <v>0</v>
      </c>
      <c r="M3548" s="34">
        <f t="shared" si="110"/>
        <v>0</v>
      </c>
      <c r="N3548" s="17">
        <f t="shared" si="111"/>
        <v>6400.8</v>
      </c>
    </row>
    <row r="3549" spans="1:14" x14ac:dyDescent="0.25">
      <c r="A3549" s="14" t="s">
        <v>2815</v>
      </c>
      <c r="B3549" s="14">
        <v>5</v>
      </c>
      <c r="C3549" s="15" t="s">
        <v>2819</v>
      </c>
      <c r="D3549" s="14" t="s">
        <v>1749</v>
      </c>
      <c r="E3549" s="14" t="s">
        <v>1766</v>
      </c>
      <c r="F3549" s="17" t="s">
        <v>2993</v>
      </c>
      <c r="G3549" s="14">
        <v>0</v>
      </c>
      <c r="H3549" s="14">
        <v>0</v>
      </c>
      <c r="I3549" s="31">
        <f>IF(COUNTIFS(Addendum!C:C,A3549,Addendum!D:D,IF(ISNUMBER(B3549),TEXT(B3549,"0000"),B3549),Addendum!E:E,"X")&gt;0,4%,0)</f>
        <v>0</v>
      </c>
      <c r="J3549" s="31">
        <f>IF(COUNTIFS(Addendum!C:C,A3549,Addendum!D:D,IF(ISNUMBER(B3549),TEXT(B3549,"0000"),B3549),Addendum!F:F,"X")&gt;0,2.5%,0)</f>
        <v>0</v>
      </c>
      <c r="K3549" s="31">
        <f>IF(COUNTIFS(Addendum!C:C,A3549,Addendum!D:D,IF(ISNUMBER(B3549),TEXT(B3549,"0000"),B3549),Addendum!G:G,"X")&gt;0,7%,0)</f>
        <v>0</v>
      </c>
      <c r="L3549" s="31">
        <f>IF(COUNTIFS(Addendum!C:C,A3549,Addendum!D:D,IF(ISNUMBER(B3549),TEXT(B3549,"0000"),B3549),Addendum!I:I,"X")&gt;0,10%,0)</f>
        <v>0</v>
      </c>
      <c r="M3549" s="34">
        <f t="shared" si="110"/>
        <v>0</v>
      </c>
      <c r="N3549" s="17">
        <f t="shared" si="111"/>
        <v>0</v>
      </c>
    </row>
    <row r="3550" spans="1:14" x14ac:dyDescent="0.25">
      <c r="A3550" s="14" t="s">
        <v>2815</v>
      </c>
      <c r="B3550" s="14">
        <v>1</v>
      </c>
      <c r="C3550" s="15" t="s">
        <v>2817</v>
      </c>
      <c r="D3550" s="14" t="s">
        <v>1745</v>
      </c>
      <c r="E3550" s="14" t="s">
        <v>1747</v>
      </c>
      <c r="F3550" s="17" t="s">
        <v>2993</v>
      </c>
      <c r="G3550" s="14">
        <v>14220</v>
      </c>
      <c r="H3550" s="14">
        <v>11376</v>
      </c>
      <c r="I3550" s="31">
        <f>IF(COUNTIFS(Addendum!C:C,A3550,Addendum!D:D,IF(ISNUMBER(B3550),TEXT(B3550,"0000"),B3550),Addendum!E:E,"X")&gt;0,4%,0)</f>
        <v>0</v>
      </c>
      <c r="J3550" s="31">
        <f>IF(COUNTIFS(Addendum!C:C,A3550,Addendum!D:D,IF(ISNUMBER(B3550),TEXT(B3550,"0000"),B3550),Addendum!F:F,"X")&gt;0,2.5%,0)</f>
        <v>0</v>
      </c>
      <c r="K3550" s="31">
        <f>IF(COUNTIFS(Addendum!C:C,A3550,Addendum!D:D,IF(ISNUMBER(B3550),TEXT(B3550,"0000"),B3550),Addendum!G:G,"X")&gt;0,7%,0)</f>
        <v>0</v>
      </c>
      <c r="L3550" s="31">
        <f>IF(COUNTIFS(Addendum!C:C,A3550,Addendum!D:D,IF(ISNUMBER(B3550),TEXT(B3550,"0000"),B3550),Addendum!I:I,"X")&gt;0,10%,0)</f>
        <v>0</v>
      </c>
      <c r="M3550" s="34">
        <f t="shared" si="110"/>
        <v>0</v>
      </c>
      <c r="N3550" s="17">
        <f t="shared" si="111"/>
        <v>11376</v>
      </c>
    </row>
    <row r="3551" spans="1:14" x14ac:dyDescent="0.25">
      <c r="A3551" s="14" t="s">
        <v>2815</v>
      </c>
      <c r="B3551" s="14">
        <v>4</v>
      </c>
      <c r="C3551" s="15" t="s">
        <v>2819</v>
      </c>
      <c r="D3551" s="14" t="s">
        <v>1745</v>
      </c>
      <c r="E3551" s="14" t="s">
        <v>1746</v>
      </c>
      <c r="F3551" s="17" t="s">
        <v>2993</v>
      </c>
      <c r="G3551" s="14">
        <v>8001</v>
      </c>
      <c r="H3551" s="14">
        <v>6400.8</v>
      </c>
      <c r="I3551" s="31">
        <f>IF(COUNTIFS(Addendum!C:C,A3551,Addendum!D:D,IF(ISNUMBER(B3551),TEXT(B3551,"0000"),B3551),Addendum!E:E,"X")&gt;0,4%,0)</f>
        <v>0</v>
      </c>
      <c r="J3551" s="31">
        <f>IF(COUNTIFS(Addendum!C:C,A3551,Addendum!D:D,IF(ISNUMBER(B3551),TEXT(B3551,"0000"),B3551),Addendum!F:F,"X")&gt;0,2.5%,0)</f>
        <v>0</v>
      </c>
      <c r="K3551" s="31">
        <f>IF(COUNTIFS(Addendum!C:C,A3551,Addendum!D:D,IF(ISNUMBER(B3551),TEXT(B3551,"0000"),B3551),Addendum!G:G,"X")&gt;0,7%,0)</f>
        <v>0</v>
      </c>
      <c r="L3551" s="31">
        <f>IF(COUNTIFS(Addendum!C:C,A3551,Addendum!D:D,IF(ISNUMBER(B3551),TEXT(B3551,"0000"),B3551),Addendum!I:I,"X")&gt;0,10%,0)</f>
        <v>0</v>
      </c>
      <c r="M3551" s="34">
        <f t="shared" si="110"/>
        <v>0</v>
      </c>
      <c r="N3551" s="17">
        <f t="shared" si="111"/>
        <v>6400.8</v>
      </c>
    </row>
    <row r="3552" spans="1:14" x14ac:dyDescent="0.25">
      <c r="A3552" s="14" t="s">
        <v>2815</v>
      </c>
      <c r="B3552" s="14">
        <v>4</v>
      </c>
      <c r="C3552" s="15" t="s">
        <v>2819</v>
      </c>
      <c r="D3552" s="14" t="s">
        <v>1749</v>
      </c>
      <c r="E3552" s="14" t="s">
        <v>1746</v>
      </c>
      <c r="F3552" s="17" t="s">
        <v>2993</v>
      </c>
      <c r="G3552" s="14">
        <v>762</v>
      </c>
      <c r="H3552" s="14">
        <v>609.6</v>
      </c>
      <c r="I3552" s="31">
        <f>IF(COUNTIFS(Addendum!C:C,A3552,Addendum!D:D,IF(ISNUMBER(B3552),TEXT(B3552,"0000"),B3552),Addendum!E:E,"X")&gt;0,4%,0)</f>
        <v>0</v>
      </c>
      <c r="J3552" s="31">
        <f>IF(COUNTIFS(Addendum!C:C,A3552,Addendum!D:D,IF(ISNUMBER(B3552),TEXT(B3552,"0000"),B3552),Addendum!F:F,"X")&gt;0,2.5%,0)</f>
        <v>0</v>
      </c>
      <c r="K3552" s="31">
        <f>IF(COUNTIFS(Addendum!C:C,A3552,Addendum!D:D,IF(ISNUMBER(B3552),TEXT(B3552,"0000"),B3552),Addendum!G:G,"X")&gt;0,7%,0)</f>
        <v>0</v>
      </c>
      <c r="L3552" s="31">
        <f>IF(COUNTIFS(Addendum!C:C,A3552,Addendum!D:D,IF(ISNUMBER(B3552),TEXT(B3552,"0000"),B3552),Addendum!I:I,"X")&gt;0,10%,0)</f>
        <v>0</v>
      </c>
      <c r="M3552" s="34">
        <f t="shared" si="110"/>
        <v>0</v>
      </c>
      <c r="N3552" s="17">
        <f t="shared" si="111"/>
        <v>609.6</v>
      </c>
    </row>
    <row r="3553" spans="1:14" x14ac:dyDescent="0.25">
      <c r="A3553" s="14" t="s">
        <v>2815</v>
      </c>
      <c r="B3553" s="14">
        <v>1</v>
      </c>
      <c r="C3553" s="15" t="s">
        <v>2817</v>
      </c>
      <c r="D3553" s="14" t="s">
        <v>1745</v>
      </c>
      <c r="E3553" s="14" t="s">
        <v>1746</v>
      </c>
      <c r="F3553" s="17" t="s">
        <v>2993</v>
      </c>
      <c r="G3553" s="14">
        <v>14931</v>
      </c>
      <c r="H3553" s="14">
        <v>11944.8</v>
      </c>
      <c r="I3553" s="31">
        <f>IF(COUNTIFS(Addendum!C:C,A3553,Addendum!D:D,IF(ISNUMBER(B3553),TEXT(B3553,"0000"),B3553),Addendum!E:E,"X")&gt;0,4%,0)</f>
        <v>0</v>
      </c>
      <c r="J3553" s="31">
        <f>IF(COUNTIFS(Addendum!C:C,A3553,Addendum!D:D,IF(ISNUMBER(B3553),TEXT(B3553,"0000"),B3553),Addendum!F:F,"X")&gt;0,2.5%,0)</f>
        <v>0</v>
      </c>
      <c r="K3553" s="31">
        <f>IF(COUNTIFS(Addendum!C:C,A3553,Addendum!D:D,IF(ISNUMBER(B3553),TEXT(B3553,"0000"),B3553),Addendum!G:G,"X")&gt;0,7%,0)</f>
        <v>0</v>
      </c>
      <c r="L3553" s="31">
        <f>IF(COUNTIFS(Addendum!C:C,A3553,Addendum!D:D,IF(ISNUMBER(B3553),TEXT(B3553,"0000"),B3553),Addendum!I:I,"X")&gt;0,10%,0)</f>
        <v>0</v>
      </c>
      <c r="M3553" s="34">
        <f t="shared" si="110"/>
        <v>0</v>
      </c>
      <c r="N3553" s="17">
        <f t="shared" si="111"/>
        <v>11944.8</v>
      </c>
    </row>
    <row r="3554" spans="1:14" x14ac:dyDescent="0.25">
      <c r="A3554" s="14" t="s">
        <v>2815</v>
      </c>
      <c r="B3554" s="14">
        <v>2</v>
      </c>
      <c r="C3554" s="15" t="s">
        <v>2816</v>
      </c>
      <c r="D3554" s="14" t="s">
        <v>1745</v>
      </c>
      <c r="E3554" s="14" t="s">
        <v>1747</v>
      </c>
      <c r="F3554" s="17" t="s">
        <v>2993</v>
      </c>
      <c r="G3554" s="14">
        <v>7620</v>
      </c>
      <c r="H3554" s="14">
        <v>6096</v>
      </c>
      <c r="I3554" s="31">
        <f>IF(COUNTIFS(Addendum!C:C,A3554,Addendum!D:D,IF(ISNUMBER(B3554),TEXT(B3554,"0000"),B3554),Addendum!E:E,"X")&gt;0,4%,0)</f>
        <v>0</v>
      </c>
      <c r="J3554" s="31">
        <f>IF(COUNTIFS(Addendum!C:C,A3554,Addendum!D:D,IF(ISNUMBER(B3554),TEXT(B3554,"0000"),B3554),Addendum!F:F,"X")&gt;0,2.5%,0)</f>
        <v>0</v>
      </c>
      <c r="K3554" s="31">
        <f>IF(COUNTIFS(Addendum!C:C,A3554,Addendum!D:D,IF(ISNUMBER(B3554),TEXT(B3554,"0000"),B3554),Addendum!G:G,"X")&gt;0,7%,0)</f>
        <v>0</v>
      </c>
      <c r="L3554" s="31">
        <f>IF(COUNTIFS(Addendum!C:C,A3554,Addendum!D:D,IF(ISNUMBER(B3554),TEXT(B3554,"0000"),B3554),Addendum!I:I,"X")&gt;0,10%,0)</f>
        <v>0</v>
      </c>
      <c r="M3554" s="34">
        <f t="shared" si="110"/>
        <v>0</v>
      </c>
      <c r="N3554" s="17">
        <f t="shared" si="111"/>
        <v>6096</v>
      </c>
    </row>
    <row r="3555" spans="1:14" x14ac:dyDescent="0.25">
      <c r="A3555" s="14" t="s">
        <v>2815</v>
      </c>
      <c r="B3555" s="14">
        <v>4</v>
      </c>
      <c r="C3555" s="15" t="s">
        <v>2819</v>
      </c>
      <c r="D3555" s="14" t="s">
        <v>1745</v>
      </c>
      <c r="E3555" s="14" t="s">
        <v>1747</v>
      </c>
      <c r="F3555" s="17" t="s">
        <v>2993</v>
      </c>
      <c r="G3555" s="14">
        <v>7620</v>
      </c>
      <c r="H3555" s="14">
        <v>6096</v>
      </c>
      <c r="I3555" s="31">
        <f>IF(COUNTIFS(Addendum!C:C,A3555,Addendum!D:D,IF(ISNUMBER(B3555),TEXT(B3555,"0000"),B3555),Addendum!E:E,"X")&gt;0,4%,0)</f>
        <v>0</v>
      </c>
      <c r="J3555" s="31">
        <f>IF(COUNTIFS(Addendum!C:C,A3555,Addendum!D:D,IF(ISNUMBER(B3555),TEXT(B3555,"0000"),B3555),Addendum!F:F,"X")&gt;0,2.5%,0)</f>
        <v>0</v>
      </c>
      <c r="K3555" s="31">
        <f>IF(COUNTIFS(Addendum!C:C,A3555,Addendum!D:D,IF(ISNUMBER(B3555),TEXT(B3555,"0000"),B3555),Addendum!G:G,"X")&gt;0,7%,0)</f>
        <v>0</v>
      </c>
      <c r="L3555" s="31">
        <f>IF(COUNTIFS(Addendum!C:C,A3555,Addendum!D:D,IF(ISNUMBER(B3555),TEXT(B3555,"0000"),B3555),Addendum!I:I,"X")&gt;0,10%,0)</f>
        <v>0</v>
      </c>
      <c r="M3555" s="34">
        <f t="shared" si="110"/>
        <v>0</v>
      </c>
      <c r="N3555" s="17">
        <f t="shared" si="111"/>
        <v>6096</v>
      </c>
    </row>
    <row r="3556" spans="1:14" x14ac:dyDescent="0.25">
      <c r="A3556" s="14" t="s">
        <v>2820</v>
      </c>
      <c r="B3556" s="14" t="s">
        <v>73</v>
      </c>
      <c r="C3556" s="15" t="s">
        <v>2821</v>
      </c>
      <c r="D3556" s="14" t="s">
        <v>1749</v>
      </c>
      <c r="E3556" s="14" t="s">
        <v>1746</v>
      </c>
      <c r="F3556" s="17" t="s">
        <v>2995</v>
      </c>
      <c r="G3556" s="14">
        <v>384</v>
      </c>
      <c r="H3556" s="14">
        <v>345.6</v>
      </c>
      <c r="I3556" s="31">
        <f>IF(COUNTIFS(Addendum!C:C,A3556,Addendum!D:D,IF(ISNUMBER(B3556),TEXT(B3556,"0000"),B3556),Addendum!E:E,"X")&gt;0,4%,0)</f>
        <v>0</v>
      </c>
      <c r="J3556" s="31">
        <f>IF(COUNTIFS(Addendum!C:C,A3556,Addendum!D:D,IF(ISNUMBER(B3556),TEXT(B3556,"0000"),B3556),Addendum!F:F,"X")&gt;0,2.5%,0)</f>
        <v>0</v>
      </c>
      <c r="K3556" s="31">
        <f>IF(COUNTIFS(Addendum!C:C,A3556,Addendum!D:D,IF(ISNUMBER(B3556),TEXT(B3556,"0000"),B3556),Addendum!G:G,"X")&gt;0,7%,0)</f>
        <v>0</v>
      </c>
      <c r="L3556" s="31">
        <f>IF(COUNTIFS(Addendum!C:C,A3556,Addendum!D:D,IF(ISNUMBER(B3556),TEXT(B3556,"0000"),B3556),Addendum!I:I,"X")&gt;0,10%,0)</f>
        <v>0</v>
      </c>
      <c r="M3556" s="34">
        <f t="shared" si="110"/>
        <v>0</v>
      </c>
      <c r="N3556" s="17">
        <f t="shared" si="111"/>
        <v>345.6</v>
      </c>
    </row>
    <row r="3557" spans="1:14" x14ac:dyDescent="0.25">
      <c r="A3557" s="14" t="s">
        <v>2820</v>
      </c>
      <c r="B3557" s="14">
        <v>2</v>
      </c>
      <c r="C3557" s="15" t="s">
        <v>2822</v>
      </c>
      <c r="D3557" s="14" t="s">
        <v>1745</v>
      </c>
      <c r="E3557" s="14" t="s">
        <v>1747</v>
      </c>
      <c r="F3557" s="17" t="s">
        <v>2993</v>
      </c>
      <c r="G3557" s="14">
        <v>12780</v>
      </c>
      <c r="H3557" s="14">
        <v>10479.6</v>
      </c>
      <c r="I3557" s="31">
        <f>IF(COUNTIFS(Addendum!C:C,A3557,Addendum!D:D,IF(ISNUMBER(B3557),TEXT(B3557,"0000"),B3557),Addendum!E:E,"X")&gt;0,4%,0)</f>
        <v>0</v>
      </c>
      <c r="J3557" s="31">
        <f>IF(COUNTIFS(Addendum!C:C,A3557,Addendum!D:D,IF(ISNUMBER(B3557),TEXT(B3557,"0000"),B3557),Addendum!F:F,"X")&gt;0,2.5%,0)</f>
        <v>0</v>
      </c>
      <c r="K3557" s="31">
        <f>IF(COUNTIFS(Addendum!C:C,A3557,Addendum!D:D,IF(ISNUMBER(B3557),TEXT(B3557,"0000"),B3557),Addendum!G:G,"X")&gt;0,7%,0)</f>
        <v>0</v>
      </c>
      <c r="L3557" s="31">
        <f>IF(COUNTIFS(Addendum!C:C,A3557,Addendum!D:D,IF(ISNUMBER(B3557),TEXT(B3557,"0000"),B3557),Addendum!I:I,"X")&gt;0,10%,0)</f>
        <v>0</v>
      </c>
      <c r="M3557" s="34">
        <f t="shared" si="110"/>
        <v>0</v>
      </c>
      <c r="N3557" s="17">
        <f t="shared" si="111"/>
        <v>10479.6</v>
      </c>
    </row>
    <row r="3558" spans="1:14" x14ac:dyDescent="0.25">
      <c r="A3558" s="14" t="s">
        <v>2820</v>
      </c>
      <c r="B3558" s="14" t="s">
        <v>73</v>
      </c>
      <c r="C3558" s="15" t="s">
        <v>2821</v>
      </c>
      <c r="D3558" s="14" t="s">
        <v>1745</v>
      </c>
      <c r="E3558" s="14" t="s">
        <v>1746</v>
      </c>
      <c r="F3558" s="17" t="s">
        <v>2995</v>
      </c>
      <c r="G3558" s="14">
        <v>4032</v>
      </c>
      <c r="H3558" s="14">
        <v>3628.8</v>
      </c>
      <c r="I3558" s="31">
        <f>IF(COUNTIFS(Addendum!C:C,A3558,Addendum!D:D,IF(ISNUMBER(B3558),TEXT(B3558,"0000"),B3558),Addendum!E:E,"X")&gt;0,4%,0)</f>
        <v>0</v>
      </c>
      <c r="J3558" s="31">
        <f>IF(COUNTIFS(Addendum!C:C,A3558,Addendum!D:D,IF(ISNUMBER(B3558),TEXT(B3558,"0000"),B3558),Addendum!F:F,"X")&gt;0,2.5%,0)</f>
        <v>0</v>
      </c>
      <c r="K3558" s="31">
        <f>IF(COUNTIFS(Addendum!C:C,A3558,Addendum!D:D,IF(ISNUMBER(B3558),TEXT(B3558,"0000"),B3558),Addendum!G:G,"X")&gt;0,7%,0)</f>
        <v>0</v>
      </c>
      <c r="L3558" s="31">
        <f>IF(COUNTIFS(Addendum!C:C,A3558,Addendum!D:D,IF(ISNUMBER(B3558),TEXT(B3558,"0000"),B3558),Addendum!I:I,"X")&gt;0,10%,0)</f>
        <v>0</v>
      </c>
      <c r="M3558" s="34">
        <f t="shared" si="110"/>
        <v>0</v>
      </c>
      <c r="N3558" s="17">
        <f t="shared" si="111"/>
        <v>3628.8</v>
      </c>
    </row>
    <row r="3559" spans="1:14" x14ac:dyDescent="0.25">
      <c r="A3559" s="14" t="s">
        <v>2820</v>
      </c>
      <c r="B3559" s="14" t="s">
        <v>73</v>
      </c>
      <c r="C3559" s="15" t="s">
        <v>2821</v>
      </c>
      <c r="D3559" s="14" t="s">
        <v>1745</v>
      </c>
      <c r="E3559" s="14" t="s">
        <v>1747</v>
      </c>
      <c r="F3559" s="17" t="s">
        <v>2995</v>
      </c>
      <c r="G3559" s="14">
        <v>3840</v>
      </c>
      <c r="H3559" s="14">
        <v>3456</v>
      </c>
      <c r="I3559" s="31">
        <f>IF(COUNTIFS(Addendum!C:C,A3559,Addendum!D:D,IF(ISNUMBER(B3559),TEXT(B3559,"0000"),B3559),Addendum!E:E,"X")&gt;0,4%,0)</f>
        <v>0</v>
      </c>
      <c r="J3559" s="31">
        <f>IF(COUNTIFS(Addendum!C:C,A3559,Addendum!D:D,IF(ISNUMBER(B3559),TEXT(B3559,"0000"),B3559),Addendum!F:F,"X")&gt;0,2.5%,0)</f>
        <v>0</v>
      </c>
      <c r="K3559" s="31">
        <f>IF(COUNTIFS(Addendum!C:C,A3559,Addendum!D:D,IF(ISNUMBER(B3559),TEXT(B3559,"0000"),B3559),Addendum!G:G,"X")&gt;0,7%,0)</f>
        <v>0</v>
      </c>
      <c r="L3559" s="31">
        <f>IF(COUNTIFS(Addendum!C:C,A3559,Addendum!D:D,IF(ISNUMBER(B3559),TEXT(B3559,"0000"),B3559),Addendum!I:I,"X")&gt;0,10%,0)</f>
        <v>0</v>
      </c>
      <c r="M3559" s="34">
        <f t="shared" si="110"/>
        <v>0</v>
      </c>
      <c r="N3559" s="17">
        <f t="shared" si="111"/>
        <v>3456</v>
      </c>
    </row>
    <row r="3560" spans="1:14" x14ac:dyDescent="0.25">
      <c r="A3560" s="14" t="s">
        <v>2820</v>
      </c>
      <c r="B3560" s="14">
        <v>2</v>
      </c>
      <c r="C3560" s="15" t="s">
        <v>2822</v>
      </c>
      <c r="D3560" s="14" t="s">
        <v>1745</v>
      </c>
      <c r="E3560" s="14" t="s">
        <v>1746</v>
      </c>
      <c r="F3560" s="17" t="s">
        <v>2993</v>
      </c>
      <c r="G3560" s="14">
        <v>13419</v>
      </c>
      <c r="H3560" s="14">
        <v>11003.64</v>
      </c>
      <c r="I3560" s="31">
        <f>IF(COUNTIFS(Addendum!C:C,A3560,Addendum!D:D,IF(ISNUMBER(B3560),TEXT(B3560,"0000"),B3560),Addendum!E:E,"X")&gt;0,4%,0)</f>
        <v>0</v>
      </c>
      <c r="J3560" s="31">
        <f>IF(COUNTIFS(Addendum!C:C,A3560,Addendum!D:D,IF(ISNUMBER(B3560),TEXT(B3560,"0000"),B3560),Addendum!F:F,"X")&gt;0,2.5%,0)</f>
        <v>0</v>
      </c>
      <c r="K3560" s="31">
        <f>IF(COUNTIFS(Addendum!C:C,A3560,Addendum!D:D,IF(ISNUMBER(B3560),TEXT(B3560,"0000"),B3560),Addendum!G:G,"X")&gt;0,7%,0)</f>
        <v>0</v>
      </c>
      <c r="L3560" s="31">
        <f>IF(COUNTIFS(Addendum!C:C,A3560,Addendum!D:D,IF(ISNUMBER(B3560),TEXT(B3560,"0000"),B3560),Addendum!I:I,"X")&gt;0,10%,0)</f>
        <v>0</v>
      </c>
      <c r="M3560" s="34">
        <f t="shared" si="110"/>
        <v>0</v>
      </c>
      <c r="N3560" s="17">
        <f t="shared" si="111"/>
        <v>11003.64</v>
      </c>
    </row>
    <row r="3561" spans="1:14" x14ac:dyDescent="0.25">
      <c r="A3561" s="14" t="s">
        <v>2820</v>
      </c>
      <c r="B3561" s="14">
        <v>2</v>
      </c>
      <c r="C3561" s="15" t="s">
        <v>2822</v>
      </c>
      <c r="D3561" s="14" t="s">
        <v>1749</v>
      </c>
      <c r="E3561" s="14" t="s">
        <v>1746</v>
      </c>
      <c r="F3561" s="17" t="s">
        <v>2993</v>
      </c>
      <c r="G3561" s="14">
        <v>1278</v>
      </c>
      <c r="H3561" s="14">
        <v>1047.96</v>
      </c>
      <c r="I3561" s="31">
        <f>IF(COUNTIFS(Addendum!C:C,A3561,Addendum!D:D,IF(ISNUMBER(B3561),TEXT(B3561,"0000"),B3561),Addendum!E:E,"X")&gt;0,4%,0)</f>
        <v>0</v>
      </c>
      <c r="J3561" s="31">
        <f>IF(COUNTIFS(Addendum!C:C,A3561,Addendum!D:D,IF(ISNUMBER(B3561),TEXT(B3561,"0000"),B3561),Addendum!F:F,"X")&gt;0,2.5%,0)</f>
        <v>0</v>
      </c>
      <c r="K3561" s="31">
        <f>IF(COUNTIFS(Addendum!C:C,A3561,Addendum!D:D,IF(ISNUMBER(B3561),TEXT(B3561,"0000"),B3561),Addendum!G:G,"X")&gt;0,7%,0)</f>
        <v>0</v>
      </c>
      <c r="L3561" s="31">
        <f>IF(COUNTIFS(Addendum!C:C,A3561,Addendum!D:D,IF(ISNUMBER(B3561),TEXT(B3561,"0000"),B3561),Addendum!I:I,"X")&gt;0,10%,0)</f>
        <v>0</v>
      </c>
      <c r="M3561" s="34">
        <f t="shared" si="110"/>
        <v>0</v>
      </c>
      <c r="N3561" s="17">
        <f t="shared" si="111"/>
        <v>1047.96</v>
      </c>
    </row>
    <row r="3562" spans="1:14" x14ac:dyDescent="0.25">
      <c r="A3562" s="14" t="s">
        <v>2823</v>
      </c>
      <c r="B3562" s="14" t="s">
        <v>28</v>
      </c>
      <c r="C3562" s="15" t="s">
        <v>2824</v>
      </c>
      <c r="D3562" s="14" t="s">
        <v>1745</v>
      </c>
      <c r="E3562" s="14" t="s">
        <v>1746</v>
      </c>
      <c r="F3562" s="17" t="s">
        <v>2993</v>
      </c>
      <c r="G3562" s="14">
        <v>35891.160000000003</v>
      </c>
      <c r="H3562" s="14">
        <v>28712.880000000001</v>
      </c>
      <c r="I3562" s="31">
        <f>IF(COUNTIFS(Addendum!C:C,A3562,Addendum!D:D,IF(ISNUMBER(B3562),TEXT(B3562,"0000"),B3562),Addendum!E:E,"X")&gt;0,4%,0)</f>
        <v>0</v>
      </c>
      <c r="J3562" s="31">
        <f>IF(COUNTIFS(Addendum!C:C,A3562,Addendum!D:D,IF(ISNUMBER(B3562),TEXT(B3562,"0000"),B3562),Addendum!F:F,"X")&gt;0,2.5%,0)</f>
        <v>0</v>
      </c>
      <c r="K3562" s="31">
        <f>IF(COUNTIFS(Addendum!C:C,A3562,Addendum!D:D,IF(ISNUMBER(B3562),TEXT(B3562,"0000"),B3562),Addendum!G:G,"X")&gt;0,7%,0)</f>
        <v>0</v>
      </c>
      <c r="L3562" s="31">
        <f>IF(COUNTIFS(Addendum!C:C,A3562,Addendum!D:D,IF(ISNUMBER(B3562),TEXT(B3562,"0000"),B3562),Addendum!I:I,"X")&gt;0,10%,0)</f>
        <v>0</v>
      </c>
      <c r="M3562" s="34">
        <f t="shared" si="110"/>
        <v>0</v>
      </c>
      <c r="N3562" s="17">
        <f t="shared" si="111"/>
        <v>28712.880000000001</v>
      </c>
    </row>
    <row r="3563" spans="1:14" x14ac:dyDescent="0.25">
      <c r="A3563" s="14" t="s">
        <v>2823</v>
      </c>
      <c r="B3563" s="14" t="s">
        <v>122</v>
      </c>
      <c r="C3563" s="15" t="s">
        <v>2825</v>
      </c>
      <c r="D3563" s="14" t="s">
        <v>1745</v>
      </c>
      <c r="E3563" s="14" t="s">
        <v>1746</v>
      </c>
      <c r="F3563" s="17" t="s">
        <v>2993</v>
      </c>
      <c r="G3563" s="14">
        <v>43999.199999999997</v>
      </c>
      <c r="H3563" s="14">
        <v>35199.360000000001</v>
      </c>
      <c r="I3563" s="31">
        <f>IF(COUNTIFS(Addendum!C:C,A3563,Addendum!D:D,IF(ISNUMBER(B3563),TEXT(B3563,"0000"),B3563),Addendum!E:E,"X")&gt;0,4%,0)</f>
        <v>0</v>
      </c>
      <c r="J3563" s="31">
        <f>IF(COUNTIFS(Addendum!C:C,A3563,Addendum!D:D,IF(ISNUMBER(B3563),TEXT(B3563,"0000"),B3563),Addendum!F:F,"X")&gt;0,2.5%,0)</f>
        <v>0</v>
      </c>
      <c r="K3563" s="31">
        <f>IF(COUNTIFS(Addendum!C:C,A3563,Addendum!D:D,IF(ISNUMBER(B3563),TEXT(B3563,"0000"),B3563),Addendum!G:G,"X")&gt;0,7%,0)</f>
        <v>0</v>
      </c>
      <c r="L3563" s="31">
        <f>IF(COUNTIFS(Addendum!C:C,A3563,Addendum!D:D,IF(ISNUMBER(B3563),TEXT(B3563,"0000"),B3563),Addendum!I:I,"X")&gt;0,10%,0)</f>
        <v>0</v>
      </c>
      <c r="M3563" s="34">
        <f t="shared" si="110"/>
        <v>0</v>
      </c>
      <c r="N3563" s="17">
        <f t="shared" si="111"/>
        <v>35199.360000000001</v>
      </c>
    </row>
    <row r="3564" spans="1:14" x14ac:dyDescent="0.25">
      <c r="A3564" s="14" t="s">
        <v>2823</v>
      </c>
      <c r="B3564" s="14" t="s">
        <v>28</v>
      </c>
      <c r="C3564" s="15" t="s">
        <v>2824</v>
      </c>
      <c r="D3564" s="14" t="s">
        <v>1749</v>
      </c>
      <c r="E3564" s="14" t="s">
        <v>1746</v>
      </c>
      <c r="F3564" s="17" t="s">
        <v>2993</v>
      </c>
      <c r="G3564" s="14">
        <v>3165</v>
      </c>
      <c r="H3564" s="14">
        <v>2532</v>
      </c>
      <c r="I3564" s="31">
        <f>IF(COUNTIFS(Addendum!C:C,A3564,Addendum!D:D,IF(ISNUMBER(B3564),TEXT(B3564,"0000"),B3564),Addendum!E:E,"X")&gt;0,4%,0)</f>
        <v>0</v>
      </c>
      <c r="J3564" s="31">
        <f>IF(COUNTIFS(Addendum!C:C,A3564,Addendum!D:D,IF(ISNUMBER(B3564),TEXT(B3564,"0000"),B3564),Addendum!F:F,"X")&gt;0,2.5%,0)</f>
        <v>0</v>
      </c>
      <c r="K3564" s="31">
        <f>IF(COUNTIFS(Addendum!C:C,A3564,Addendum!D:D,IF(ISNUMBER(B3564),TEXT(B3564,"0000"),B3564),Addendum!G:G,"X")&gt;0,7%,0)</f>
        <v>0</v>
      </c>
      <c r="L3564" s="31">
        <f>IF(COUNTIFS(Addendum!C:C,A3564,Addendum!D:D,IF(ISNUMBER(B3564),TEXT(B3564,"0000"),B3564),Addendum!I:I,"X")&gt;0,10%,0)</f>
        <v>0</v>
      </c>
      <c r="M3564" s="34">
        <f t="shared" si="110"/>
        <v>0</v>
      </c>
      <c r="N3564" s="17">
        <f t="shared" si="111"/>
        <v>2532</v>
      </c>
    </row>
    <row r="3565" spans="1:14" x14ac:dyDescent="0.25">
      <c r="A3565" s="14" t="s">
        <v>2823</v>
      </c>
      <c r="B3565" s="14" t="s">
        <v>39</v>
      </c>
      <c r="C3565" s="15" t="s">
        <v>2826</v>
      </c>
      <c r="D3565" s="14" t="s">
        <v>1745</v>
      </c>
      <c r="E3565" s="14" t="s">
        <v>1746</v>
      </c>
      <c r="F3565" s="17" t="s">
        <v>2993</v>
      </c>
      <c r="G3565" s="14">
        <v>28520.16</v>
      </c>
      <c r="H3565" s="14">
        <v>22816.080000000002</v>
      </c>
      <c r="I3565" s="31">
        <f>IF(COUNTIFS(Addendum!C:C,A3565,Addendum!D:D,IF(ISNUMBER(B3565),TEXT(B3565,"0000"),B3565),Addendum!E:E,"X")&gt;0,4%,0)</f>
        <v>0</v>
      </c>
      <c r="J3565" s="31">
        <f>IF(COUNTIFS(Addendum!C:C,A3565,Addendum!D:D,IF(ISNUMBER(B3565),TEXT(B3565,"0000"),B3565),Addendum!F:F,"X")&gt;0,2.5%,0)</f>
        <v>0</v>
      </c>
      <c r="K3565" s="31">
        <f>IF(COUNTIFS(Addendum!C:C,A3565,Addendum!D:D,IF(ISNUMBER(B3565),TEXT(B3565,"0000"),B3565),Addendum!G:G,"X")&gt;0,7%,0)</f>
        <v>0</v>
      </c>
      <c r="L3565" s="31">
        <f>IF(COUNTIFS(Addendum!C:C,A3565,Addendum!D:D,IF(ISNUMBER(B3565),TEXT(B3565,"0000"),B3565),Addendum!I:I,"X")&gt;0,10%,0)</f>
        <v>0</v>
      </c>
      <c r="M3565" s="34">
        <f t="shared" si="110"/>
        <v>0</v>
      </c>
      <c r="N3565" s="17">
        <f t="shared" si="111"/>
        <v>22816.080000000002</v>
      </c>
    </row>
    <row r="3566" spans="1:14" x14ac:dyDescent="0.25">
      <c r="A3566" s="14" t="s">
        <v>2823</v>
      </c>
      <c r="B3566" s="14">
        <v>5</v>
      </c>
      <c r="C3566" s="15" t="s">
        <v>2827</v>
      </c>
      <c r="D3566" s="14" t="s">
        <v>1745</v>
      </c>
      <c r="E3566" s="14" t="s">
        <v>1747</v>
      </c>
      <c r="F3566" s="17" t="s">
        <v>2993</v>
      </c>
      <c r="G3566" s="14">
        <v>98604</v>
      </c>
      <c r="H3566" s="14">
        <v>78883.199999999997</v>
      </c>
      <c r="I3566" s="31">
        <f>IF(COUNTIFS(Addendum!C:C,A3566,Addendum!D:D,IF(ISNUMBER(B3566),TEXT(B3566,"0000"),B3566),Addendum!E:E,"X")&gt;0,4%,0)</f>
        <v>0</v>
      </c>
      <c r="J3566" s="31">
        <f>IF(COUNTIFS(Addendum!C:C,A3566,Addendum!D:D,IF(ISNUMBER(B3566),TEXT(B3566,"0000"),B3566),Addendum!F:F,"X")&gt;0,2.5%,0)</f>
        <v>0</v>
      </c>
      <c r="K3566" s="31">
        <f>IF(COUNTIFS(Addendum!C:C,A3566,Addendum!D:D,IF(ISNUMBER(B3566),TEXT(B3566,"0000"),B3566),Addendum!G:G,"X")&gt;0,7%,0)</f>
        <v>0</v>
      </c>
      <c r="L3566" s="31">
        <f>IF(COUNTIFS(Addendum!C:C,A3566,Addendum!D:D,IF(ISNUMBER(B3566),TEXT(B3566,"0000"),B3566),Addendum!I:I,"X")&gt;0,10%,0)</f>
        <v>0</v>
      </c>
      <c r="M3566" s="34">
        <f t="shared" si="110"/>
        <v>0</v>
      </c>
      <c r="N3566" s="17">
        <f t="shared" si="111"/>
        <v>78883.199999999997</v>
      </c>
    </row>
    <row r="3567" spans="1:14" x14ac:dyDescent="0.25">
      <c r="A3567" s="14" t="s">
        <v>2823</v>
      </c>
      <c r="B3567" s="14">
        <v>4</v>
      </c>
      <c r="C3567" s="15" t="s">
        <v>2828</v>
      </c>
      <c r="D3567" s="14" t="s">
        <v>1745</v>
      </c>
      <c r="E3567" s="14" t="s">
        <v>1746</v>
      </c>
      <c r="F3567" s="17" t="s">
        <v>2993</v>
      </c>
      <c r="G3567" s="14">
        <v>110848.6</v>
      </c>
      <c r="H3567" s="14">
        <v>88678.8</v>
      </c>
      <c r="I3567" s="31">
        <f>IF(COUNTIFS(Addendum!C:C,A3567,Addendum!D:D,IF(ISNUMBER(B3567),TEXT(B3567,"0000"),B3567),Addendum!E:E,"X")&gt;0,4%,0)</f>
        <v>0</v>
      </c>
      <c r="J3567" s="31">
        <f>IF(COUNTIFS(Addendum!C:C,A3567,Addendum!D:D,IF(ISNUMBER(B3567),TEXT(B3567,"0000"),B3567),Addendum!F:F,"X")&gt;0,2.5%,0)</f>
        <v>0</v>
      </c>
      <c r="K3567" s="31">
        <f>IF(COUNTIFS(Addendum!C:C,A3567,Addendum!D:D,IF(ISNUMBER(B3567),TEXT(B3567,"0000"),B3567),Addendum!G:G,"X")&gt;0,7%,0)</f>
        <v>0</v>
      </c>
      <c r="L3567" s="31">
        <f>IF(COUNTIFS(Addendum!C:C,A3567,Addendum!D:D,IF(ISNUMBER(B3567),TEXT(B3567,"0000"),B3567),Addendum!I:I,"X")&gt;0,10%,0)</f>
        <v>0</v>
      </c>
      <c r="M3567" s="34">
        <f t="shared" si="110"/>
        <v>0</v>
      </c>
      <c r="N3567" s="17">
        <f t="shared" si="111"/>
        <v>88678.8</v>
      </c>
    </row>
    <row r="3568" spans="1:14" x14ac:dyDescent="0.25">
      <c r="A3568" s="14" t="s">
        <v>2823</v>
      </c>
      <c r="B3568" s="14" t="s">
        <v>46</v>
      </c>
      <c r="C3568" s="15" t="s">
        <v>2829</v>
      </c>
      <c r="D3568" s="14" t="s">
        <v>1749</v>
      </c>
      <c r="E3568" s="14" t="s">
        <v>1746</v>
      </c>
      <c r="F3568" s="17" t="s">
        <v>2993</v>
      </c>
      <c r="G3568" s="14">
        <v>3235</v>
      </c>
      <c r="H3568" s="14">
        <v>2588</v>
      </c>
      <c r="I3568" s="31">
        <f>IF(COUNTIFS(Addendum!C:C,A3568,Addendum!D:D,IF(ISNUMBER(B3568),TEXT(B3568,"0000"),B3568),Addendum!E:E,"X")&gt;0,4%,0)</f>
        <v>0</v>
      </c>
      <c r="J3568" s="31">
        <f>IF(COUNTIFS(Addendum!C:C,A3568,Addendum!D:D,IF(ISNUMBER(B3568),TEXT(B3568,"0000"),B3568),Addendum!F:F,"X")&gt;0,2.5%,0)</f>
        <v>0</v>
      </c>
      <c r="K3568" s="31">
        <f>IF(COUNTIFS(Addendum!C:C,A3568,Addendum!D:D,IF(ISNUMBER(B3568),TEXT(B3568,"0000"),B3568),Addendum!G:G,"X")&gt;0,7%,0)</f>
        <v>0</v>
      </c>
      <c r="L3568" s="31">
        <f>IF(COUNTIFS(Addendum!C:C,A3568,Addendum!D:D,IF(ISNUMBER(B3568),TEXT(B3568,"0000"),B3568),Addendum!I:I,"X")&gt;0,10%,0)</f>
        <v>0</v>
      </c>
      <c r="M3568" s="34">
        <f t="shared" si="110"/>
        <v>0</v>
      </c>
      <c r="N3568" s="17">
        <f t="shared" si="111"/>
        <v>2588</v>
      </c>
    </row>
    <row r="3569" spans="1:14" x14ac:dyDescent="0.25">
      <c r="A3569" s="14" t="s">
        <v>2823</v>
      </c>
      <c r="B3569" s="14" t="s">
        <v>46</v>
      </c>
      <c r="C3569" s="15" t="s">
        <v>2829</v>
      </c>
      <c r="D3569" s="14" t="s">
        <v>1745</v>
      </c>
      <c r="E3569" s="14" t="s">
        <v>1747</v>
      </c>
      <c r="F3569" s="17" t="s">
        <v>2993</v>
      </c>
      <c r="G3569" s="14">
        <v>34938</v>
      </c>
      <c r="H3569" s="14">
        <v>27950.400000000001</v>
      </c>
      <c r="I3569" s="31">
        <f>IF(COUNTIFS(Addendum!C:C,A3569,Addendum!D:D,IF(ISNUMBER(B3569),TEXT(B3569,"0000"),B3569),Addendum!E:E,"X")&gt;0,4%,0)</f>
        <v>0</v>
      </c>
      <c r="J3569" s="31">
        <f>IF(COUNTIFS(Addendum!C:C,A3569,Addendum!D:D,IF(ISNUMBER(B3569),TEXT(B3569,"0000"),B3569),Addendum!F:F,"X")&gt;0,2.5%,0)</f>
        <v>0</v>
      </c>
      <c r="K3569" s="31">
        <f>IF(COUNTIFS(Addendum!C:C,A3569,Addendum!D:D,IF(ISNUMBER(B3569),TEXT(B3569,"0000"),B3569),Addendum!G:G,"X")&gt;0,7%,0)</f>
        <v>0</v>
      </c>
      <c r="L3569" s="31">
        <f>IF(COUNTIFS(Addendum!C:C,A3569,Addendum!D:D,IF(ISNUMBER(B3569),TEXT(B3569,"0000"),B3569),Addendum!I:I,"X")&gt;0,10%,0)</f>
        <v>0</v>
      </c>
      <c r="M3569" s="34">
        <f t="shared" si="110"/>
        <v>0</v>
      </c>
      <c r="N3569" s="17">
        <f t="shared" si="111"/>
        <v>27950.400000000001</v>
      </c>
    </row>
    <row r="3570" spans="1:14" x14ac:dyDescent="0.25">
      <c r="A3570" s="14" t="s">
        <v>2823</v>
      </c>
      <c r="B3570" s="14">
        <v>25</v>
      </c>
      <c r="C3570" s="15" t="s">
        <v>2830</v>
      </c>
      <c r="D3570" s="14" t="s">
        <v>1749</v>
      </c>
      <c r="E3570" s="14" t="s">
        <v>1746</v>
      </c>
      <c r="F3570" s="17" t="s">
        <v>2993</v>
      </c>
      <c r="G3570" s="14">
        <v>20200</v>
      </c>
      <c r="H3570" s="14">
        <v>16160</v>
      </c>
      <c r="I3570" s="31">
        <f>IF(COUNTIFS(Addendum!C:C,A3570,Addendum!D:D,IF(ISNUMBER(B3570),TEXT(B3570,"0000"),B3570),Addendum!E:E,"X")&gt;0,4%,0)</f>
        <v>0</v>
      </c>
      <c r="J3570" s="31">
        <f>IF(COUNTIFS(Addendum!C:C,A3570,Addendum!D:D,IF(ISNUMBER(B3570),TEXT(B3570,"0000"),B3570),Addendum!F:F,"X")&gt;0,2.5%,0)</f>
        <v>0</v>
      </c>
      <c r="K3570" s="31">
        <f>IF(COUNTIFS(Addendum!C:C,A3570,Addendum!D:D,IF(ISNUMBER(B3570),TEXT(B3570,"0000"),B3570),Addendum!G:G,"X")&gt;0,7%,0)</f>
        <v>0</v>
      </c>
      <c r="L3570" s="31">
        <f>IF(COUNTIFS(Addendum!C:C,A3570,Addendum!D:D,IF(ISNUMBER(B3570),TEXT(B3570,"0000"),B3570),Addendum!I:I,"X")&gt;0,10%,0)</f>
        <v>0</v>
      </c>
      <c r="M3570" s="34">
        <f t="shared" si="110"/>
        <v>0</v>
      </c>
      <c r="N3570" s="17">
        <f t="shared" si="111"/>
        <v>16160</v>
      </c>
    </row>
    <row r="3571" spans="1:14" x14ac:dyDescent="0.25">
      <c r="A3571" s="14" t="s">
        <v>2823</v>
      </c>
      <c r="B3571" s="14">
        <v>5</v>
      </c>
      <c r="C3571" s="15" t="s">
        <v>2827</v>
      </c>
      <c r="D3571" s="14" t="s">
        <v>1745</v>
      </c>
      <c r="E3571" s="14" t="s">
        <v>1746</v>
      </c>
      <c r="F3571" s="17" t="s">
        <v>2993</v>
      </c>
      <c r="G3571" s="14">
        <v>103534.2</v>
      </c>
      <c r="H3571" s="14">
        <v>82827.360000000001</v>
      </c>
      <c r="I3571" s="31">
        <f>IF(COUNTIFS(Addendum!C:C,A3571,Addendum!D:D,IF(ISNUMBER(B3571),TEXT(B3571,"0000"),B3571),Addendum!E:E,"X")&gt;0,4%,0)</f>
        <v>0</v>
      </c>
      <c r="J3571" s="31">
        <f>IF(COUNTIFS(Addendum!C:C,A3571,Addendum!D:D,IF(ISNUMBER(B3571),TEXT(B3571,"0000"),B3571),Addendum!F:F,"X")&gt;0,2.5%,0)</f>
        <v>0</v>
      </c>
      <c r="K3571" s="31">
        <f>IF(COUNTIFS(Addendum!C:C,A3571,Addendum!D:D,IF(ISNUMBER(B3571),TEXT(B3571,"0000"),B3571),Addendum!G:G,"X")&gt;0,7%,0)</f>
        <v>0</v>
      </c>
      <c r="L3571" s="31">
        <f>IF(COUNTIFS(Addendum!C:C,A3571,Addendum!D:D,IF(ISNUMBER(B3571),TEXT(B3571,"0000"),B3571),Addendum!I:I,"X")&gt;0,10%,0)</f>
        <v>0</v>
      </c>
      <c r="M3571" s="34">
        <f t="shared" si="110"/>
        <v>0</v>
      </c>
      <c r="N3571" s="17">
        <f t="shared" si="111"/>
        <v>82827.360000000001</v>
      </c>
    </row>
    <row r="3572" spans="1:14" x14ac:dyDescent="0.25">
      <c r="A3572" s="14" t="s">
        <v>2823</v>
      </c>
      <c r="B3572" s="14" t="s">
        <v>32</v>
      </c>
      <c r="C3572" s="15" t="s">
        <v>2831</v>
      </c>
      <c r="D3572" s="14" t="s">
        <v>1749</v>
      </c>
      <c r="E3572" s="14" t="s">
        <v>1746</v>
      </c>
      <c r="F3572" s="17" t="s">
        <v>2993</v>
      </c>
      <c r="G3572" s="14">
        <v>2300</v>
      </c>
      <c r="H3572" s="14">
        <v>1840</v>
      </c>
      <c r="I3572" s="31">
        <f>IF(COUNTIFS(Addendum!C:C,A3572,Addendum!D:D,IF(ISNUMBER(B3572),TEXT(B3572,"0000"),B3572),Addendum!E:E,"X")&gt;0,4%,0)</f>
        <v>0</v>
      </c>
      <c r="J3572" s="31">
        <f>IF(COUNTIFS(Addendum!C:C,A3572,Addendum!D:D,IF(ISNUMBER(B3572),TEXT(B3572,"0000"),B3572),Addendum!F:F,"X")&gt;0,2.5%,0)</f>
        <v>0</v>
      </c>
      <c r="K3572" s="31">
        <f>IF(COUNTIFS(Addendum!C:C,A3572,Addendum!D:D,IF(ISNUMBER(B3572),TEXT(B3572,"0000"),B3572),Addendum!G:G,"X")&gt;0,7%,0)</f>
        <v>0</v>
      </c>
      <c r="L3572" s="31">
        <f>IF(COUNTIFS(Addendum!C:C,A3572,Addendum!D:D,IF(ISNUMBER(B3572),TEXT(B3572,"0000"),B3572),Addendum!I:I,"X")&gt;0,10%,0)</f>
        <v>0</v>
      </c>
      <c r="M3572" s="34">
        <f t="shared" si="110"/>
        <v>0</v>
      </c>
      <c r="N3572" s="17">
        <f t="shared" si="111"/>
        <v>1840</v>
      </c>
    </row>
    <row r="3573" spans="1:14" x14ac:dyDescent="0.25">
      <c r="A3573" s="14" t="s">
        <v>2823</v>
      </c>
      <c r="B3573" s="14">
        <v>10</v>
      </c>
      <c r="C3573" s="15" t="s">
        <v>2829</v>
      </c>
      <c r="D3573" s="14" t="s">
        <v>1749</v>
      </c>
      <c r="E3573" s="14" t="s">
        <v>1766</v>
      </c>
      <c r="F3573" s="17" t="s">
        <v>2993</v>
      </c>
      <c r="G3573" s="14">
        <v>0</v>
      </c>
      <c r="H3573" s="14">
        <v>0</v>
      </c>
      <c r="I3573" s="31">
        <f>IF(COUNTIFS(Addendum!C:C,A3573,Addendum!D:D,IF(ISNUMBER(B3573),TEXT(B3573,"0000"),B3573),Addendum!E:E,"X")&gt;0,4%,0)</f>
        <v>0</v>
      </c>
      <c r="J3573" s="31">
        <f>IF(COUNTIFS(Addendum!C:C,A3573,Addendum!D:D,IF(ISNUMBER(B3573),TEXT(B3573,"0000"),B3573),Addendum!F:F,"X")&gt;0,2.5%,0)</f>
        <v>0</v>
      </c>
      <c r="K3573" s="31">
        <f>IF(COUNTIFS(Addendum!C:C,A3573,Addendum!D:D,IF(ISNUMBER(B3573),TEXT(B3573,"0000"),B3573),Addendum!G:G,"X")&gt;0,7%,0)</f>
        <v>0</v>
      </c>
      <c r="L3573" s="31">
        <f>IF(COUNTIFS(Addendum!C:C,A3573,Addendum!D:D,IF(ISNUMBER(B3573),TEXT(B3573,"0000"),B3573),Addendum!I:I,"X")&gt;0,10%,0)</f>
        <v>0</v>
      </c>
      <c r="M3573" s="34">
        <f t="shared" si="110"/>
        <v>0</v>
      </c>
      <c r="N3573" s="17">
        <f t="shared" si="111"/>
        <v>0</v>
      </c>
    </row>
    <row r="3574" spans="1:14" x14ac:dyDescent="0.25">
      <c r="A3574" s="14" t="s">
        <v>2823</v>
      </c>
      <c r="B3574" s="14" t="s">
        <v>122</v>
      </c>
      <c r="C3574" s="15" t="s">
        <v>2825</v>
      </c>
      <c r="D3574" s="14" t="s">
        <v>1745</v>
      </c>
      <c r="E3574" s="14" t="s">
        <v>1747</v>
      </c>
      <c r="F3574" s="17" t="s">
        <v>2993</v>
      </c>
      <c r="G3574" s="14">
        <v>41904</v>
      </c>
      <c r="H3574" s="14">
        <v>33523.199999999997</v>
      </c>
      <c r="I3574" s="31">
        <f>IF(COUNTIFS(Addendum!C:C,A3574,Addendum!D:D,IF(ISNUMBER(B3574),TEXT(B3574,"0000"),B3574),Addendum!E:E,"X")&gt;0,4%,0)</f>
        <v>0</v>
      </c>
      <c r="J3574" s="31">
        <f>IF(COUNTIFS(Addendum!C:C,A3574,Addendum!D:D,IF(ISNUMBER(B3574),TEXT(B3574,"0000"),B3574),Addendum!F:F,"X")&gt;0,2.5%,0)</f>
        <v>0</v>
      </c>
      <c r="K3574" s="31">
        <f>IF(COUNTIFS(Addendum!C:C,A3574,Addendum!D:D,IF(ISNUMBER(B3574),TEXT(B3574,"0000"),B3574),Addendum!G:G,"X")&gt;0,7%,0)</f>
        <v>0</v>
      </c>
      <c r="L3574" s="31">
        <f>IF(COUNTIFS(Addendum!C:C,A3574,Addendum!D:D,IF(ISNUMBER(B3574),TEXT(B3574,"0000"),B3574),Addendum!I:I,"X")&gt;0,10%,0)</f>
        <v>0</v>
      </c>
      <c r="M3574" s="34">
        <f t="shared" si="110"/>
        <v>0</v>
      </c>
      <c r="N3574" s="17">
        <f t="shared" si="111"/>
        <v>33523.199999999997</v>
      </c>
    </row>
    <row r="3575" spans="1:14" x14ac:dyDescent="0.25">
      <c r="A3575" s="14" t="s">
        <v>2823</v>
      </c>
      <c r="B3575" s="14" t="s">
        <v>39</v>
      </c>
      <c r="C3575" s="15" t="s">
        <v>2826</v>
      </c>
      <c r="D3575" s="14" t="s">
        <v>1745</v>
      </c>
      <c r="E3575" s="14" t="s">
        <v>1747</v>
      </c>
      <c r="F3575" s="17" t="s">
        <v>2993</v>
      </c>
      <c r="G3575" s="14">
        <v>27162</v>
      </c>
      <c r="H3575" s="14">
        <v>21729.599999999999</v>
      </c>
      <c r="I3575" s="31">
        <f>IF(COUNTIFS(Addendum!C:C,A3575,Addendum!D:D,IF(ISNUMBER(B3575),TEXT(B3575,"0000"),B3575),Addendum!E:E,"X")&gt;0,4%,0)</f>
        <v>0</v>
      </c>
      <c r="J3575" s="31">
        <f>IF(COUNTIFS(Addendum!C:C,A3575,Addendum!D:D,IF(ISNUMBER(B3575),TEXT(B3575,"0000"),B3575),Addendum!F:F,"X")&gt;0,2.5%,0)</f>
        <v>0</v>
      </c>
      <c r="K3575" s="31">
        <f>IF(COUNTIFS(Addendum!C:C,A3575,Addendum!D:D,IF(ISNUMBER(B3575),TEXT(B3575,"0000"),B3575),Addendum!G:G,"X")&gt;0,7%,0)</f>
        <v>0</v>
      </c>
      <c r="L3575" s="31">
        <f>IF(COUNTIFS(Addendum!C:C,A3575,Addendum!D:D,IF(ISNUMBER(B3575),TEXT(B3575,"0000"),B3575),Addendum!I:I,"X")&gt;0,10%,0)</f>
        <v>0</v>
      </c>
      <c r="M3575" s="34">
        <f t="shared" si="110"/>
        <v>0</v>
      </c>
      <c r="N3575" s="17">
        <f t="shared" si="111"/>
        <v>21729.599999999999</v>
      </c>
    </row>
    <row r="3576" spans="1:14" x14ac:dyDescent="0.25">
      <c r="A3576" s="14" t="s">
        <v>2823</v>
      </c>
      <c r="B3576" s="14" t="s">
        <v>36</v>
      </c>
      <c r="C3576" s="15" t="s">
        <v>2832</v>
      </c>
      <c r="D3576" s="14" t="s">
        <v>1745</v>
      </c>
      <c r="E3576" s="14" t="s">
        <v>1747</v>
      </c>
      <c r="F3576" s="17" t="s">
        <v>2993</v>
      </c>
      <c r="G3576" s="14">
        <v>61344</v>
      </c>
      <c r="H3576" s="14">
        <v>49075.199999999997</v>
      </c>
      <c r="I3576" s="31">
        <f>IF(COUNTIFS(Addendum!C:C,A3576,Addendum!D:D,IF(ISNUMBER(B3576),TEXT(B3576,"0000"),B3576),Addendum!E:E,"X")&gt;0,4%,0)</f>
        <v>0</v>
      </c>
      <c r="J3576" s="31">
        <f>IF(COUNTIFS(Addendum!C:C,A3576,Addendum!D:D,IF(ISNUMBER(B3576),TEXT(B3576,"0000"),B3576),Addendum!F:F,"X")&gt;0,2.5%,0)</f>
        <v>0</v>
      </c>
      <c r="K3576" s="31">
        <f>IF(COUNTIFS(Addendum!C:C,A3576,Addendum!D:D,IF(ISNUMBER(B3576),TEXT(B3576,"0000"),B3576),Addendum!G:G,"X")&gt;0,7%,0)</f>
        <v>0</v>
      </c>
      <c r="L3576" s="31">
        <f>IF(COUNTIFS(Addendum!C:C,A3576,Addendum!D:D,IF(ISNUMBER(B3576),TEXT(B3576,"0000"),B3576),Addendum!I:I,"X")&gt;0,10%,0)</f>
        <v>0</v>
      </c>
      <c r="M3576" s="34">
        <f t="shared" si="110"/>
        <v>0</v>
      </c>
      <c r="N3576" s="17">
        <f t="shared" si="111"/>
        <v>49075.199999999997</v>
      </c>
    </row>
    <row r="3577" spans="1:14" x14ac:dyDescent="0.25">
      <c r="A3577" s="14" t="s">
        <v>2823</v>
      </c>
      <c r="B3577" s="14">
        <v>24</v>
      </c>
      <c r="C3577" s="15" t="s">
        <v>2833</v>
      </c>
      <c r="D3577" s="14" t="s">
        <v>1745</v>
      </c>
      <c r="E3577" s="14" t="s">
        <v>1747</v>
      </c>
      <c r="F3577" s="17" t="s">
        <v>2993</v>
      </c>
      <c r="G3577" s="14">
        <v>247644</v>
      </c>
      <c r="H3577" s="14">
        <v>198115.20000000001</v>
      </c>
      <c r="I3577" s="31">
        <f>IF(COUNTIFS(Addendum!C:C,A3577,Addendum!D:D,IF(ISNUMBER(B3577),TEXT(B3577,"0000"),B3577),Addendum!E:E,"X")&gt;0,4%,0)</f>
        <v>0</v>
      </c>
      <c r="J3577" s="31">
        <f>IF(COUNTIFS(Addendum!C:C,A3577,Addendum!D:D,IF(ISNUMBER(B3577),TEXT(B3577,"0000"),B3577),Addendum!F:F,"X")&gt;0,2.5%,0)</f>
        <v>0</v>
      </c>
      <c r="K3577" s="31">
        <f>IF(COUNTIFS(Addendum!C:C,A3577,Addendum!D:D,IF(ISNUMBER(B3577),TEXT(B3577,"0000"),B3577),Addendum!G:G,"X")&gt;0,7%,0)</f>
        <v>0</v>
      </c>
      <c r="L3577" s="31">
        <f>IF(COUNTIFS(Addendum!C:C,A3577,Addendum!D:D,IF(ISNUMBER(B3577),TEXT(B3577,"0000"),B3577),Addendum!I:I,"X")&gt;0,10%,0)</f>
        <v>0</v>
      </c>
      <c r="M3577" s="34">
        <f t="shared" si="110"/>
        <v>0</v>
      </c>
      <c r="N3577" s="17">
        <f t="shared" si="111"/>
        <v>198115.20000000001</v>
      </c>
    </row>
    <row r="3578" spans="1:14" x14ac:dyDescent="0.25">
      <c r="A3578" s="14" t="s">
        <v>2823</v>
      </c>
      <c r="B3578" s="14">
        <v>1</v>
      </c>
      <c r="C3578" s="15" t="s">
        <v>2834</v>
      </c>
      <c r="D3578" s="14" t="s">
        <v>1745</v>
      </c>
      <c r="E3578" s="14" t="s">
        <v>1747</v>
      </c>
      <c r="F3578" s="17" t="s">
        <v>2993</v>
      </c>
      <c r="G3578" s="14">
        <v>81486</v>
      </c>
      <c r="H3578" s="14">
        <v>65188.800000000003</v>
      </c>
      <c r="I3578" s="31">
        <f>IF(COUNTIFS(Addendum!C:C,A3578,Addendum!D:D,IF(ISNUMBER(B3578),TEXT(B3578,"0000"),B3578),Addendum!E:E,"X")&gt;0,4%,0)</f>
        <v>0</v>
      </c>
      <c r="J3578" s="31">
        <f>IF(COUNTIFS(Addendum!C:C,A3578,Addendum!D:D,IF(ISNUMBER(B3578),TEXT(B3578,"0000"),B3578),Addendum!F:F,"X")&gt;0,2.5%,0)</f>
        <v>0</v>
      </c>
      <c r="K3578" s="31">
        <f>IF(COUNTIFS(Addendum!C:C,A3578,Addendum!D:D,IF(ISNUMBER(B3578),TEXT(B3578,"0000"),B3578),Addendum!G:G,"X")&gt;0,7%,0)</f>
        <v>0</v>
      </c>
      <c r="L3578" s="31">
        <f>IF(COUNTIFS(Addendum!C:C,A3578,Addendum!D:D,IF(ISNUMBER(B3578),TEXT(B3578,"0000"),B3578),Addendum!I:I,"X")&gt;0,10%,0)</f>
        <v>0</v>
      </c>
      <c r="M3578" s="34">
        <f t="shared" si="110"/>
        <v>0</v>
      </c>
      <c r="N3578" s="17">
        <f t="shared" si="111"/>
        <v>65188.800000000003</v>
      </c>
    </row>
    <row r="3579" spans="1:14" x14ac:dyDescent="0.25">
      <c r="A3579" s="14" t="s">
        <v>2823</v>
      </c>
      <c r="B3579" s="14">
        <v>1</v>
      </c>
      <c r="C3579" s="15" t="s">
        <v>2834</v>
      </c>
      <c r="D3579" s="14" t="s">
        <v>1749</v>
      </c>
      <c r="E3579" s="14" t="s">
        <v>1746</v>
      </c>
      <c r="F3579" s="17" t="s">
        <v>2993</v>
      </c>
      <c r="G3579" s="14">
        <v>7545</v>
      </c>
      <c r="H3579" s="14">
        <v>6036</v>
      </c>
      <c r="I3579" s="31">
        <f>IF(COUNTIFS(Addendum!C:C,A3579,Addendum!D:D,IF(ISNUMBER(B3579),TEXT(B3579,"0000"),B3579),Addendum!E:E,"X")&gt;0,4%,0)</f>
        <v>0</v>
      </c>
      <c r="J3579" s="31">
        <f>IF(COUNTIFS(Addendum!C:C,A3579,Addendum!D:D,IF(ISNUMBER(B3579),TEXT(B3579,"0000"),B3579),Addendum!F:F,"X")&gt;0,2.5%,0)</f>
        <v>0</v>
      </c>
      <c r="K3579" s="31">
        <f>IF(COUNTIFS(Addendum!C:C,A3579,Addendum!D:D,IF(ISNUMBER(B3579),TEXT(B3579,"0000"),B3579),Addendum!G:G,"X")&gt;0,7%,0)</f>
        <v>0</v>
      </c>
      <c r="L3579" s="31">
        <f>IF(COUNTIFS(Addendum!C:C,A3579,Addendum!D:D,IF(ISNUMBER(B3579),TEXT(B3579,"0000"),B3579),Addendum!I:I,"X")&gt;0,10%,0)</f>
        <v>0</v>
      </c>
      <c r="M3579" s="34">
        <f t="shared" si="110"/>
        <v>0</v>
      </c>
      <c r="N3579" s="17">
        <f t="shared" si="111"/>
        <v>6036</v>
      </c>
    </row>
    <row r="3580" spans="1:14" x14ac:dyDescent="0.25">
      <c r="A3580" s="14" t="s">
        <v>2823</v>
      </c>
      <c r="B3580" s="14">
        <v>2</v>
      </c>
      <c r="C3580" s="15" t="s">
        <v>2835</v>
      </c>
      <c r="D3580" s="14" t="s">
        <v>1749</v>
      </c>
      <c r="E3580" s="14" t="s">
        <v>1746</v>
      </c>
      <c r="F3580" s="17" t="s">
        <v>2993</v>
      </c>
      <c r="G3580" s="14">
        <v>11645</v>
      </c>
      <c r="H3580" s="14">
        <v>9316</v>
      </c>
      <c r="I3580" s="31">
        <f>IF(COUNTIFS(Addendum!C:C,A3580,Addendum!D:D,IF(ISNUMBER(B3580),TEXT(B3580,"0000"),B3580),Addendum!E:E,"X")&gt;0,4%,0)</f>
        <v>0</v>
      </c>
      <c r="J3580" s="31">
        <f>IF(COUNTIFS(Addendum!C:C,A3580,Addendum!D:D,IF(ISNUMBER(B3580),TEXT(B3580,"0000"),B3580),Addendum!F:F,"X")&gt;0,2.5%,0)</f>
        <v>0</v>
      </c>
      <c r="K3580" s="31">
        <f>IF(COUNTIFS(Addendum!C:C,A3580,Addendum!D:D,IF(ISNUMBER(B3580),TEXT(B3580,"0000"),B3580),Addendum!G:G,"X")&gt;0,7%,0)</f>
        <v>0</v>
      </c>
      <c r="L3580" s="31">
        <f>IF(COUNTIFS(Addendum!C:C,A3580,Addendum!D:D,IF(ISNUMBER(B3580),TEXT(B3580,"0000"),B3580),Addendum!I:I,"X")&gt;0,10%,0)</f>
        <v>0</v>
      </c>
      <c r="M3580" s="34">
        <f t="shared" si="110"/>
        <v>0</v>
      </c>
      <c r="N3580" s="17">
        <f t="shared" si="111"/>
        <v>9316</v>
      </c>
    </row>
    <row r="3581" spans="1:14" x14ac:dyDescent="0.25">
      <c r="A3581" s="14" t="s">
        <v>2823</v>
      </c>
      <c r="B3581" s="14">
        <v>2</v>
      </c>
      <c r="C3581" s="15" t="s">
        <v>2835</v>
      </c>
      <c r="D3581" s="14" t="s">
        <v>1745</v>
      </c>
      <c r="E3581" s="14" t="s">
        <v>1747</v>
      </c>
      <c r="F3581" s="17" t="s">
        <v>2993</v>
      </c>
      <c r="G3581" s="14">
        <v>125766</v>
      </c>
      <c r="H3581" s="14">
        <v>100612.8</v>
      </c>
      <c r="I3581" s="31">
        <f>IF(COUNTIFS(Addendum!C:C,A3581,Addendum!D:D,IF(ISNUMBER(B3581),TEXT(B3581,"0000"),B3581),Addendum!E:E,"X")&gt;0,4%,0)</f>
        <v>0</v>
      </c>
      <c r="J3581" s="31">
        <f>IF(COUNTIFS(Addendum!C:C,A3581,Addendum!D:D,IF(ISNUMBER(B3581),TEXT(B3581,"0000"),B3581),Addendum!F:F,"X")&gt;0,2.5%,0)</f>
        <v>0</v>
      </c>
      <c r="K3581" s="31">
        <f>IF(COUNTIFS(Addendum!C:C,A3581,Addendum!D:D,IF(ISNUMBER(B3581),TEXT(B3581,"0000"),B3581),Addendum!G:G,"X")&gt;0,7%,0)</f>
        <v>0</v>
      </c>
      <c r="L3581" s="31">
        <f>IF(COUNTIFS(Addendum!C:C,A3581,Addendum!D:D,IF(ISNUMBER(B3581),TEXT(B3581,"0000"),B3581),Addendum!I:I,"X")&gt;0,10%,0)</f>
        <v>0</v>
      </c>
      <c r="M3581" s="34">
        <f t="shared" si="110"/>
        <v>0</v>
      </c>
      <c r="N3581" s="17">
        <f t="shared" si="111"/>
        <v>100612.8</v>
      </c>
    </row>
    <row r="3582" spans="1:14" x14ac:dyDescent="0.25">
      <c r="A3582" s="14" t="s">
        <v>2823</v>
      </c>
      <c r="B3582" s="14" t="s">
        <v>29</v>
      </c>
      <c r="C3582" s="15" t="s">
        <v>2836</v>
      </c>
      <c r="D3582" s="14" t="s">
        <v>1745</v>
      </c>
      <c r="E3582" s="14" t="s">
        <v>1746</v>
      </c>
      <c r="F3582" s="17" t="s">
        <v>2993</v>
      </c>
      <c r="G3582" s="14">
        <v>57040.2</v>
      </c>
      <c r="H3582" s="14">
        <v>45632.160000000003</v>
      </c>
      <c r="I3582" s="31">
        <f>IF(COUNTIFS(Addendum!C:C,A3582,Addendum!D:D,IF(ISNUMBER(B3582),TEXT(B3582,"0000"),B3582),Addendum!E:E,"X")&gt;0,4%,0)</f>
        <v>0</v>
      </c>
      <c r="J3582" s="31">
        <f>IF(COUNTIFS(Addendum!C:C,A3582,Addendum!D:D,IF(ISNUMBER(B3582),TEXT(B3582,"0000"),B3582),Addendum!F:F,"X")&gt;0,2.5%,0)</f>
        <v>0</v>
      </c>
      <c r="K3582" s="31">
        <f>IF(COUNTIFS(Addendum!C:C,A3582,Addendum!D:D,IF(ISNUMBER(B3582),TEXT(B3582,"0000"),B3582),Addendum!G:G,"X")&gt;0,7%,0)</f>
        <v>0</v>
      </c>
      <c r="L3582" s="31">
        <f>IF(COUNTIFS(Addendum!C:C,A3582,Addendum!D:D,IF(ISNUMBER(B3582),TEXT(B3582,"0000"),B3582),Addendum!I:I,"X")&gt;0,10%,0)</f>
        <v>0</v>
      </c>
      <c r="M3582" s="34">
        <f t="shared" si="110"/>
        <v>0</v>
      </c>
      <c r="N3582" s="17">
        <f t="shared" si="111"/>
        <v>45632.160000000003</v>
      </c>
    </row>
    <row r="3583" spans="1:14" x14ac:dyDescent="0.25">
      <c r="A3583" s="14" t="s">
        <v>2823</v>
      </c>
      <c r="B3583" s="14">
        <v>1</v>
      </c>
      <c r="C3583" s="15" t="s">
        <v>2834</v>
      </c>
      <c r="D3583" s="14" t="s">
        <v>1745</v>
      </c>
      <c r="E3583" s="14" t="s">
        <v>1746</v>
      </c>
      <c r="F3583" s="17" t="s">
        <v>2993</v>
      </c>
      <c r="G3583" s="14">
        <v>85560.36</v>
      </c>
      <c r="H3583" s="14">
        <v>68448.240000000005</v>
      </c>
      <c r="I3583" s="31">
        <f>IF(COUNTIFS(Addendum!C:C,A3583,Addendum!D:D,IF(ISNUMBER(B3583),TEXT(B3583,"0000"),B3583),Addendum!E:E,"X")&gt;0,4%,0)</f>
        <v>0</v>
      </c>
      <c r="J3583" s="31">
        <f>IF(COUNTIFS(Addendum!C:C,A3583,Addendum!D:D,IF(ISNUMBER(B3583),TEXT(B3583,"0000"),B3583),Addendum!F:F,"X")&gt;0,2.5%,0)</f>
        <v>0</v>
      </c>
      <c r="K3583" s="31">
        <f>IF(COUNTIFS(Addendum!C:C,A3583,Addendum!D:D,IF(ISNUMBER(B3583),TEXT(B3583,"0000"),B3583),Addendum!G:G,"X")&gt;0,7%,0)</f>
        <v>0</v>
      </c>
      <c r="L3583" s="31">
        <f>IF(COUNTIFS(Addendum!C:C,A3583,Addendum!D:D,IF(ISNUMBER(B3583),TEXT(B3583,"0000"),B3583),Addendum!I:I,"X")&gt;0,10%,0)</f>
        <v>0</v>
      </c>
      <c r="M3583" s="34">
        <f t="shared" si="110"/>
        <v>0</v>
      </c>
      <c r="N3583" s="17">
        <f t="shared" si="111"/>
        <v>68448.240000000005</v>
      </c>
    </row>
    <row r="3584" spans="1:14" x14ac:dyDescent="0.25">
      <c r="A3584" s="14" t="s">
        <v>2823</v>
      </c>
      <c r="B3584" s="14">
        <v>24</v>
      </c>
      <c r="C3584" s="15" t="s">
        <v>2833</v>
      </c>
      <c r="D3584" s="14" t="s">
        <v>1749</v>
      </c>
      <c r="E3584" s="14" t="s">
        <v>1746</v>
      </c>
      <c r="F3584" s="17" t="s">
        <v>2993</v>
      </c>
      <c r="G3584" s="14">
        <v>22930</v>
      </c>
      <c r="H3584" s="14">
        <v>18344</v>
      </c>
      <c r="I3584" s="31">
        <f>IF(COUNTIFS(Addendum!C:C,A3584,Addendum!D:D,IF(ISNUMBER(B3584),TEXT(B3584,"0000"),B3584),Addendum!E:E,"X")&gt;0,4%,0)</f>
        <v>0</v>
      </c>
      <c r="J3584" s="31">
        <f>IF(COUNTIFS(Addendum!C:C,A3584,Addendum!D:D,IF(ISNUMBER(B3584),TEXT(B3584,"0000"),B3584),Addendum!F:F,"X")&gt;0,2.5%,0)</f>
        <v>0</v>
      </c>
      <c r="K3584" s="31">
        <f>IF(COUNTIFS(Addendum!C:C,A3584,Addendum!D:D,IF(ISNUMBER(B3584),TEXT(B3584,"0000"),B3584),Addendum!G:G,"X")&gt;0,7%,0)</f>
        <v>0</v>
      </c>
      <c r="L3584" s="31">
        <f>IF(COUNTIFS(Addendum!C:C,A3584,Addendum!D:D,IF(ISNUMBER(B3584),TEXT(B3584,"0000"),B3584),Addendum!I:I,"X")&gt;0,10%,0)</f>
        <v>0</v>
      </c>
      <c r="M3584" s="34">
        <f t="shared" si="110"/>
        <v>0</v>
      </c>
      <c r="N3584" s="17">
        <f t="shared" si="111"/>
        <v>18344</v>
      </c>
    </row>
    <row r="3585" spans="1:14" x14ac:dyDescent="0.25">
      <c r="A3585" s="14" t="s">
        <v>2823</v>
      </c>
      <c r="B3585" s="14" t="s">
        <v>36</v>
      </c>
      <c r="C3585" s="15" t="s">
        <v>2832</v>
      </c>
      <c r="D3585" s="14" t="s">
        <v>1749</v>
      </c>
      <c r="E3585" s="14" t="s">
        <v>1746</v>
      </c>
      <c r="F3585" s="17" t="s">
        <v>2993</v>
      </c>
      <c r="G3585" s="14">
        <v>5680</v>
      </c>
      <c r="H3585" s="14">
        <v>4544</v>
      </c>
      <c r="I3585" s="31">
        <f>IF(COUNTIFS(Addendum!C:C,A3585,Addendum!D:D,IF(ISNUMBER(B3585),TEXT(B3585,"0000"),B3585),Addendum!E:E,"X")&gt;0,4%,0)</f>
        <v>0</v>
      </c>
      <c r="J3585" s="31">
        <f>IF(COUNTIFS(Addendum!C:C,A3585,Addendum!D:D,IF(ISNUMBER(B3585),TEXT(B3585,"0000"),B3585),Addendum!F:F,"X")&gt;0,2.5%,0)</f>
        <v>0</v>
      </c>
      <c r="K3585" s="31">
        <f>IF(COUNTIFS(Addendum!C:C,A3585,Addendum!D:D,IF(ISNUMBER(B3585),TEXT(B3585,"0000"),B3585),Addendum!G:G,"X")&gt;0,7%,0)</f>
        <v>0</v>
      </c>
      <c r="L3585" s="31">
        <f>IF(COUNTIFS(Addendum!C:C,A3585,Addendum!D:D,IF(ISNUMBER(B3585),TEXT(B3585,"0000"),B3585),Addendum!I:I,"X")&gt;0,10%,0)</f>
        <v>0</v>
      </c>
      <c r="M3585" s="34">
        <f t="shared" si="110"/>
        <v>0</v>
      </c>
      <c r="N3585" s="17">
        <f t="shared" si="111"/>
        <v>4544</v>
      </c>
    </row>
    <row r="3586" spans="1:14" x14ac:dyDescent="0.25">
      <c r="A3586" s="14" t="s">
        <v>2823</v>
      </c>
      <c r="B3586" s="14" t="s">
        <v>32</v>
      </c>
      <c r="C3586" s="15" t="s">
        <v>2831</v>
      </c>
      <c r="D3586" s="14" t="s">
        <v>1745</v>
      </c>
      <c r="E3586" s="14" t="s">
        <v>1747</v>
      </c>
      <c r="F3586" s="17" t="s">
        <v>2993</v>
      </c>
      <c r="G3586" s="14">
        <v>24840</v>
      </c>
      <c r="H3586" s="14">
        <v>19872</v>
      </c>
      <c r="I3586" s="31">
        <f>IF(COUNTIFS(Addendum!C:C,A3586,Addendum!D:D,IF(ISNUMBER(B3586),TEXT(B3586,"0000"),B3586),Addendum!E:E,"X")&gt;0,4%,0)</f>
        <v>0</v>
      </c>
      <c r="J3586" s="31">
        <f>IF(COUNTIFS(Addendum!C:C,A3586,Addendum!D:D,IF(ISNUMBER(B3586),TEXT(B3586,"0000"),B3586),Addendum!F:F,"X")&gt;0,2.5%,0)</f>
        <v>0</v>
      </c>
      <c r="K3586" s="31">
        <f>IF(COUNTIFS(Addendum!C:C,A3586,Addendum!D:D,IF(ISNUMBER(B3586),TEXT(B3586,"0000"),B3586),Addendum!G:G,"X")&gt;0,7%,0)</f>
        <v>0</v>
      </c>
      <c r="L3586" s="31">
        <f>IF(COUNTIFS(Addendum!C:C,A3586,Addendum!D:D,IF(ISNUMBER(B3586),TEXT(B3586,"0000"),B3586),Addendum!I:I,"X")&gt;0,10%,0)</f>
        <v>0</v>
      </c>
      <c r="M3586" s="34">
        <f t="shared" si="110"/>
        <v>0</v>
      </c>
      <c r="N3586" s="17">
        <f t="shared" si="111"/>
        <v>19872</v>
      </c>
    </row>
    <row r="3587" spans="1:14" x14ac:dyDescent="0.25">
      <c r="A3587" s="14" t="s">
        <v>2823</v>
      </c>
      <c r="B3587" s="14">
        <v>25</v>
      </c>
      <c r="C3587" s="15" t="s">
        <v>2830</v>
      </c>
      <c r="D3587" s="14" t="s">
        <v>1745</v>
      </c>
      <c r="E3587" s="14" t="s">
        <v>1746</v>
      </c>
      <c r="F3587" s="17" t="s">
        <v>2993</v>
      </c>
      <c r="G3587" s="14">
        <v>229068</v>
      </c>
      <c r="H3587" s="14">
        <v>183254.39999999999</v>
      </c>
      <c r="I3587" s="31">
        <f>IF(COUNTIFS(Addendum!C:C,A3587,Addendum!D:D,IF(ISNUMBER(B3587),TEXT(B3587,"0000"),B3587),Addendum!E:E,"X")&gt;0,4%,0)</f>
        <v>0</v>
      </c>
      <c r="J3587" s="31">
        <f>IF(COUNTIFS(Addendum!C:C,A3587,Addendum!D:D,IF(ISNUMBER(B3587),TEXT(B3587,"0000"),B3587),Addendum!F:F,"X")&gt;0,2.5%,0)</f>
        <v>0</v>
      </c>
      <c r="K3587" s="31">
        <f>IF(COUNTIFS(Addendum!C:C,A3587,Addendum!D:D,IF(ISNUMBER(B3587),TEXT(B3587,"0000"),B3587),Addendum!G:G,"X")&gt;0,7%,0)</f>
        <v>0</v>
      </c>
      <c r="L3587" s="31">
        <f>IF(COUNTIFS(Addendum!C:C,A3587,Addendum!D:D,IF(ISNUMBER(B3587),TEXT(B3587,"0000"),B3587),Addendum!I:I,"X")&gt;0,10%,0)</f>
        <v>0</v>
      </c>
      <c r="M3587" s="34">
        <f t="shared" si="110"/>
        <v>0</v>
      </c>
      <c r="N3587" s="17">
        <f t="shared" si="111"/>
        <v>183254.39999999999</v>
      </c>
    </row>
    <row r="3588" spans="1:14" x14ac:dyDescent="0.25">
      <c r="A3588" s="14" t="s">
        <v>2823</v>
      </c>
      <c r="B3588" s="14" t="s">
        <v>39</v>
      </c>
      <c r="C3588" s="15" t="s">
        <v>2826</v>
      </c>
      <c r="D3588" s="14" t="s">
        <v>1749</v>
      </c>
      <c r="E3588" s="14" t="s">
        <v>1746</v>
      </c>
      <c r="F3588" s="17" t="s">
        <v>2993</v>
      </c>
      <c r="G3588" s="14">
        <v>2515</v>
      </c>
      <c r="H3588" s="14">
        <v>2012</v>
      </c>
      <c r="I3588" s="31">
        <f>IF(COUNTIFS(Addendum!C:C,A3588,Addendum!D:D,IF(ISNUMBER(B3588),TEXT(B3588,"0000"),B3588),Addendum!E:E,"X")&gt;0,4%,0)</f>
        <v>0</v>
      </c>
      <c r="J3588" s="31">
        <f>IF(COUNTIFS(Addendum!C:C,A3588,Addendum!D:D,IF(ISNUMBER(B3588),TEXT(B3588,"0000"),B3588),Addendum!F:F,"X")&gt;0,2.5%,0)</f>
        <v>0</v>
      </c>
      <c r="K3588" s="31">
        <f>IF(COUNTIFS(Addendum!C:C,A3588,Addendum!D:D,IF(ISNUMBER(B3588),TEXT(B3588,"0000"),B3588),Addendum!G:G,"X")&gt;0,7%,0)</f>
        <v>0</v>
      </c>
      <c r="L3588" s="31">
        <f>IF(COUNTIFS(Addendum!C:C,A3588,Addendum!D:D,IF(ISNUMBER(B3588),TEXT(B3588,"0000"),B3588),Addendum!I:I,"X")&gt;0,10%,0)</f>
        <v>0</v>
      </c>
      <c r="M3588" s="34">
        <f t="shared" ref="M3588:M3651" si="112">IF(AND(I3588=0%,J3588=0%,K3588=0%,L3588=0%),0%,
IF(OR(TRIM(E3588)="OneTime",TRIM(D3588)=""),0%,
IF(
OR(
TRIM(D3588)="P1M",
AND(TRIM(D3588)="P1Y",TRIM(E3588)="Monthly"),
AND(TRIM(D3588)="P3Y",TRIM(E3588)="Monthly")
),
IF(AND(I3588=4%,J3588=0%,K3588=0%,L3588=0%),1%,
IF(AND(I3588=4%,J3588=2.5%,K3588=0%,L3588=10%),2%,
IF(AND(I3588=4%,J3588=0%,K3588=7%,L3588=10%),3%,0%))),
IF(
OR(
AND(TRIM(D3588)="P1Y",TRIM(E3588)="Annual"),
AND(TRIM(D3588)="P3Y",TRIM(E3588)="Annual"),
AND(TRIM(D3588)="P3Y",TRIM(E3588)="Triennial")
),
IF(AND(I3588=4%,J3588=0%,K3588=0%,L3588=0%),3%,
IF(AND(I3588=4%,J3588=2.5%,K3588=0%,L3588=10%),10%,
IF(AND(I3588=4%,J3588=0%,K3588=7%,L3588=10%),14%,0%))),
0%
))))</f>
        <v>0</v>
      </c>
      <c r="N3588" s="17">
        <f t="shared" ref="N3588:N3651" si="113">H3588-(H3588*M3588)</f>
        <v>2012</v>
      </c>
    </row>
    <row r="3589" spans="1:14" x14ac:dyDescent="0.25">
      <c r="A3589" s="14" t="s">
        <v>2823</v>
      </c>
      <c r="B3589" s="14">
        <v>24</v>
      </c>
      <c r="C3589" s="15" t="s">
        <v>2833</v>
      </c>
      <c r="D3589" s="14" t="s">
        <v>1745</v>
      </c>
      <c r="E3589" s="14" t="s">
        <v>1746</v>
      </c>
      <c r="F3589" s="17" t="s">
        <v>2993</v>
      </c>
      <c r="G3589" s="14">
        <v>260026.2</v>
      </c>
      <c r="H3589" s="14">
        <v>208021</v>
      </c>
      <c r="I3589" s="31">
        <f>IF(COUNTIFS(Addendum!C:C,A3589,Addendum!D:D,IF(ISNUMBER(B3589),TEXT(B3589,"0000"),B3589),Addendum!E:E,"X")&gt;0,4%,0)</f>
        <v>0</v>
      </c>
      <c r="J3589" s="31">
        <f>IF(COUNTIFS(Addendum!C:C,A3589,Addendum!D:D,IF(ISNUMBER(B3589),TEXT(B3589,"0000"),B3589),Addendum!F:F,"X")&gt;0,2.5%,0)</f>
        <v>0</v>
      </c>
      <c r="K3589" s="31">
        <f>IF(COUNTIFS(Addendum!C:C,A3589,Addendum!D:D,IF(ISNUMBER(B3589),TEXT(B3589,"0000"),B3589),Addendum!G:G,"X")&gt;0,7%,0)</f>
        <v>0</v>
      </c>
      <c r="L3589" s="31">
        <f>IF(COUNTIFS(Addendum!C:C,A3589,Addendum!D:D,IF(ISNUMBER(B3589),TEXT(B3589,"0000"),B3589),Addendum!I:I,"X")&gt;0,10%,0)</f>
        <v>0</v>
      </c>
      <c r="M3589" s="34">
        <f t="shared" si="112"/>
        <v>0</v>
      </c>
      <c r="N3589" s="17">
        <f t="shared" si="113"/>
        <v>208021</v>
      </c>
    </row>
    <row r="3590" spans="1:14" x14ac:dyDescent="0.25">
      <c r="A3590" s="14" t="s">
        <v>2823</v>
      </c>
      <c r="B3590" s="14" t="s">
        <v>29</v>
      </c>
      <c r="C3590" s="15" t="s">
        <v>2836</v>
      </c>
      <c r="D3590" s="14" t="s">
        <v>1749</v>
      </c>
      <c r="E3590" s="14" t="s">
        <v>1746</v>
      </c>
      <c r="F3590" s="17" t="s">
        <v>2993</v>
      </c>
      <c r="G3590" s="14">
        <v>5030</v>
      </c>
      <c r="H3590" s="14">
        <v>4024</v>
      </c>
      <c r="I3590" s="31">
        <f>IF(COUNTIFS(Addendum!C:C,A3590,Addendum!D:D,IF(ISNUMBER(B3590),TEXT(B3590,"0000"),B3590),Addendum!E:E,"X")&gt;0,4%,0)</f>
        <v>0</v>
      </c>
      <c r="J3590" s="31">
        <f>IF(COUNTIFS(Addendum!C:C,A3590,Addendum!D:D,IF(ISNUMBER(B3590),TEXT(B3590,"0000"),B3590),Addendum!F:F,"X")&gt;0,2.5%,0)</f>
        <v>0</v>
      </c>
      <c r="K3590" s="31">
        <f>IF(COUNTIFS(Addendum!C:C,A3590,Addendum!D:D,IF(ISNUMBER(B3590),TEXT(B3590,"0000"),B3590),Addendum!G:G,"X")&gt;0,7%,0)</f>
        <v>0</v>
      </c>
      <c r="L3590" s="31">
        <f>IF(COUNTIFS(Addendum!C:C,A3590,Addendum!D:D,IF(ISNUMBER(B3590),TEXT(B3590,"0000"),B3590),Addendum!I:I,"X")&gt;0,10%,0)</f>
        <v>0</v>
      </c>
      <c r="M3590" s="34">
        <f t="shared" si="112"/>
        <v>0</v>
      </c>
      <c r="N3590" s="17">
        <f t="shared" si="113"/>
        <v>4024</v>
      </c>
    </row>
    <row r="3591" spans="1:14" x14ac:dyDescent="0.25">
      <c r="A3591" s="14" t="s">
        <v>2823</v>
      </c>
      <c r="B3591" s="14">
        <v>25</v>
      </c>
      <c r="C3591" s="15" t="s">
        <v>2830</v>
      </c>
      <c r="D3591" s="14" t="s">
        <v>1745</v>
      </c>
      <c r="E3591" s="14" t="s">
        <v>1747</v>
      </c>
      <c r="F3591" s="17" t="s">
        <v>2993</v>
      </c>
      <c r="G3591" s="14">
        <v>218160</v>
      </c>
      <c r="H3591" s="14">
        <v>174528</v>
      </c>
      <c r="I3591" s="31">
        <f>IF(COUNTIFS(Addendum!C:C,A3591,Addendum!D:D,IF(ISNUMBER(B3591),TEXT(B3591,"0000"),B3591),Addendum!E:E,"X")&gt;0,4%,0)</f>
        <v>0</v>
      </c>
      <c r="J3591" s="31">
        <f>IF(COUNTIFS(Addendum!C:C,A3591,Addendum!D:D,IF(ISNUMBER(B3591),TEXT(B3591,"0000"),B3591),Addendum!F:F,"X")&gt;0,2.5%,0)</f>
        <v>0</v>
      </c>
      <c r="K3591" s="31">
        <f>IF(COUNTIFS(Addendum!C:C,A3591,Addendum!D:D,IF(ISNUMBER(B3591),TEXT(B3591,"0000"),B3591),Addendum!G:G,"X")&gt;0,7%,0)</f>
        <v>0</v>
      </c>
      <c r="L3591" s="31">
        <f>IF(COUNTIFS(Addendum!C:C,A3591,Addendum!D:D,IF(ISNUMBER(B3591),TEXT(B3591,"0000"),B3591),Addendum!I:I,"X")&gt;0,10%,0)</f>
        <v>0</v>
      </c>
      <c r="M3591" s="34">
        <f t="shared" si="112"/>
        <v>0</v>
      </c>
      <c r="N3591" s="17">
        <f t="shared" si="113"/>
        <v>174528</v>
      </c>
    </row>
    <row r="3592" spans="1:14" x14ac:dyDescent="0.25">
      <c r="A3592" s="14" t="s">
        <v>2823</v>
      </c>
      <c r="B3592" s="14">
        <v>4</v>
      </c>
      <c r="C3592" s="15" t="s">
        <v>2828</v>
      </c>
      <c r="D3592" s="14" t="s">
        <v>1749</v>
      </c>
      <c r="E3592" s="14" t="s">
        <v>1746</v>
      </c>
      <c r="F3592" s="17" t="s">
        <v>2993</v>
      </c>
      <c r="G3592" s="14">
        <v>9775</v>
      </c>
      <c r="H3592" s="14">
        <v>7820</v>
      </c>
      <c r="I3592" s="31">
        <f>IF(COUNTIFS(Addendum!C:C,A3592,Addendum!D:D,IF(ISNUMBER(B3592),TEXT(B3592,"0000"),B3592),Addendum!E:E,"X")&gt;0,4%,0)</f>
        <v>0</v>
      </c>
      <c r="J3592" s="31">
        <f>IF(COUNTIFS(Addendum!C:C,A3592,Addendum!D:D,IF(ISNUMBER(B3592),TEXT(B3592,"0000"),B3592),Addendum!F:F,"X")&gt;0,2.5%,0)</f>
        <v>0</v>
      </c>
      <c r="K3592" s="31">
        <f>IF(COUNTIFS(Addendum!C:C,A3592,Addendum!D:D,IF(ISNUMBER(B3592),TEXT(B3592,"0000"),B3592),Addendum!G:G,"X")&gt;0,7%,0)</f>
        <v>0</v>
      </c>
      <c r="L3592" s="31">
        <f>IF(COUNTIFS(Addendum!C:C,A3592,Addendum!D:D,IF(ISNUMBER(B3592),TEXT(B3592,"0000"),B3592),Addendum!I:I,"X")&gt;0,10%,0)</f>
        <v>0</v>
      </c>
      <c r="M3592" s="34">
        <f t="shared" si="112"/>
        <v>0</v>
      </c>
      <c r="N3592" s="17">
        <f t="shared" si="113"/>
        <v>7820</v>
      </c>
    </row>
    <row r="3593" spans="1:14" x14ac:dyDescent="0.25">
      <c r="A3593" s="14" t="s">
        <v>2823</v>
      </c>
      <c r="B3593" s="14">
        <v>5</v>
      </c>
      <c r="C3593" s="15" t="s">
        <v>2827</v>
      </c>
      <c r="D3593" s="14" t="s">
        <v>1749</v>
      </c>
      <c r="E3593" s="14" t="s">
        <v>1746</v>
      </c>
      <c r="F3593" s="17" t="s">
        <v>2993</v>
      </c>
      <c r="G3593" s="14">
        <v>9130</v>
      </c>
      <c r="H3593" s="14">
        <v>7304</v>
      </c>
      <c r="I3593" s="31">
        <f>IF(COUNTIFS(Addendum!C:C,A3593,Addendum!D:D,IF(ISNUMBER(B3593),TEXT(B3593,"0000"),B3593),Addendum!E:E,"X")&gt;0,4%,0)</f>
        <v>0</v>
      </c>
      <c r="J3593" s="31">
        <f>IF(COUNTIFS(Addendum!C:C,A3593,Addendum!D:D,IF(ISNUMBER(B3593),TEXT(B3593,"0000"),B3593),Addendum!F:F,"X")&gt;0,2.5%,0)</f>
        <v>0</v>
      </c>
      <c r="K3593" s="31">
        <f>IF(COUNTIFS(Addendum!C:C,A3593,Addendum!D:D,IF(ISNUMBER(B3593),TEXT(B3593,"0000"),B3593),Addendum!G:G,"X")&gt;0,7%,0)</f>
        <v>0</v>
      </c>
      <c r="L3593" s="31">
        <f>IF(COUNTIFS(Addendum!C:C,A3593,Addendum!D:D,IF(ISNUMBER(B3593),TEXT(B3593,"0000"),B3593),Addendum!I:I,"X")&gt;0,10%,0)</f>
        <v>0</v>
      </c>
      <c r="M3593" s="34">
        <f t="shared" si="112"/>
        <v>0</v>
      </c>
      <c r="N3593" s="17">
        <f t="shared" si="113"/>
        <v>7304</v>
      </c>
    </row>
    <row r="3594" spans="1:14" x14ac:dyDescent="0.25">
      <c r="A3594" s="14" t="s">
        <v>2823</v>
      </c>
      <c r="B3594" s="14" t="s">
        <v>36</v>
      </c>
      <c r="C3594" s="15" t="s">
        <v>2832</v>
      </c>
      <c r="D3594" s="14" t="s">
        <v>1745</v>
      </c>
      <c r="E3594" s="14" t="s">
        <v>1746</v>
      </c>
      <c r="F3594" s="17" t="s">
        <v>2993</v>
      </c>
      <c r="G3594" s="14">
        <v>64411.199999999997</v>
      </c>
      <c r="H3594" s="14">
        <v>51528.959999999999</v>
      </c>
      <c r="I3594" s="31">
        <f>IF(COUNTIFS(Addendum!C:C,A3594,Addendum!D:D,IF(ISNUMBER(B3594),TEXT(B3594,"0000"),B3594),Addendum!E:E,"X")&gt;0,4%,0)</f>
        <v>0</v>
      </c>
      <c r="J3594" s="31">
        <f>IF(COUNTIFS(Addendum!C:C,A3594,Addendum!D:D,IF(ISNUMBER(B3594),TEXT(B3594,"0000"),B3594),Addendum!F:F,"X")&gt;0,2.5%,0)</f>
        <v>0</v>
      </c>
      <c r="K3594" s="31">
        <f>IF(COUNTIFS(Addendum!C:C,A3594,Addendum!D:D,IF(ISNUMBER(B3594),TEXT(B3594,"0000"),B3594),Addendum!G:G,"X")&gt;0,7%,0)</f>
        <v>0</v>
      </c>
      <c r="L3594" s="31">
        <f>IF(COUNTIFS(Addendum!C:C,A3594,Addendum!D:D,IF(ISNUMBER(B3594),TEXT(B3594,"0000"),B3594),Addendum!I:I,"X")&gt;0,10%,0)</f>
        <v>0</v>
      </c>
      <c r="M3594" s="34">
        <f t="shared" si="112"/>
        <v>0</v>
      </c>
      <c r="N3594" s="17">
        <f t="shared" si="113"/>
        <v>51528.959999999999</v>
      </c>
    </row>
    <row r="3595" spans="1:14" x14ac:dyDescent="0.25">
      <c r="A3595" s="14" t="s">
        <v>2823</v>
      </c>
      <c r="B3595" s="14" t="s">
        <v>32</v>
      </c>
      <c r="C3595" s="15" t="s">
        <v>2831</v>
      </c>
      <c r="D3595" s="14" t="s">
        <v>1745</v>
      </c>
      <c r="E3595" s="14" t="s">
        <v>1746</v>
      </c>
      <c r="F3595" s="17" t="s">
        <v>2993</v>
      </c>
      <c r="G3595" s="14">
        <v>26082</v>
      </c>
      <c r="H3595" s="14">
        <v>20865.599999999999</v>
      </c>
      <c r="I3595" s="31">
        <f>IF(COUNTIFS(Addendum!C:C,A3595,Addendum!D:D,IF(ISNUMBER(B3595),TEXT(B3595,"0000"),B3595),Addendum!E:E,"X")&gt;0,4%,0)</f>
        <v>0</v>
      </c>
      <c r="J3595" s="31">
        <f>IF(COUNTIFS(Addendum!C:C,A3595,Addendum!D:D,IF(ISNUMBER(B3595),TEXT(B3595,"0000"),B3595),Addendum!F:F,"X")&gt;0,2.5%,0)</f>
        <v>0</v>
      </c>
      <c r="K3595" s="31">
        <f>IF(COUNTIFS(Addendum!C:C,A3595,Addendum!D:D,IF(ISNUMBER(B3595),TEXT(B3595,"0000"),B3595),Addendum!G:G,"X")&gt;0,7%,0)</f>
        <v>0</v>
      </c>
      <c r="L3595" s="31">
        <f>IF(COUNTIFS(Addendum!C:C,A3595,Addendum!D:D,IF(ISNUMBER(B3595),TEXT(B3595,"0000"),B3595),Addendum!I:I,"X")&gt;0,10%,0)</f>
        <v>0</v>
      </c>
      <c r="M3595" s="34">
        <f t="shared" si="112"/>
        <v>0</v>
      </c>
      <c r="N3595" s="17">
        <f t="shared" si="113"/>
        <v>20865.599999999999</v>
      </c>
    </row>
    <row r="3596" spans="1:14" x14ac:dyDescent="0.25">
      <c r="A3596" s="14" t="s">
        <v>2823</v>
      </c>
      <c r="B3596" s="14" t="s">
        <v>29</v>
      </c>
      <c r="C3596" s="15" t="s">
        <v>2836</v>
      </c>
      <c r="D3596" s="14" t="s">
        <v>1745</v>
      </c>
      <c r="E3596" s="14" t="s">
        <v>1747</v>
      </c>
      <c r="F3596" s="17" t="s">
        <v>2993</v>
      </c>
      <c r="G3596" s="14">
        <v>54324</v>
      </c>
      <c r="H3596" s="14">
        <v>43459.199999999997</v>
      </c>
      <c r="I3596" s="31">
        <f>IF(COUNTIFS(Addendum!C:C,A3596,Addendum!D:D,IF(ISNUMBER(B3596),TEXT(B3596,"0000"),B3596),Addendum!E:E,"X")&gt;0,4%,0)</f>
        <v>0</v>
      </c>
      <c r="J3596" s="31">
        <f>IF(COUNTIFS(Addendum!C:C,A3596,Addendum!D:D,IF(ISNUMBER(B3596),TEXT(B3596,"0000"),B3596),Addendum!F:F,"X")&gt;0,2.5%,0)</f>
        <v>0</v>
      </c>
      <c r="K3596" s="31">
        <f>IF(COUNTIFS(Addendum!C:C,A3596,Addendum!D:D,IF(ISNUMBER(B3596),TEXT(B3596,"0000"),B3596),Addendum!G:G,"X")&gt;0,7%,0)</f>
        <v>0</v>
      </c>
      <c r="L3596" s="31">
        <f>IF(COUNTIFS(Addendum!C:C,A3596,Addendum!D:D,IF(ISNUMBER(B3596),TEXT(B3596,"0000"),B3596),Addendum!I:I,"X")&gt;0,10%,0)</f>
        <v>0</v>
      </c>
      <c r="M3596" s="34">
        <f t="shared" si="112"/>
        <v>0</v>
      </c>
      <c r="N3596" s="17">
        <f t="shared" si="113"/>
        <v>43459.199999999997</v>
      </c>
    </row>
    <row r="3597" spans="1:14" x14ac:dyDescent="0.25">
      <c r="A3597" s="14" t="s">
        <v>2823</v>
      </c>
      <c r="B3597" s="14" t="s">
        <v>122</v>
      </c>
      <c r="C3597" s="15" t="s">
        <v>2825</v>
      </c>
      <c r="D3597" s="14" t="s">
        <v>1749</v>
      </c>
      <c r="E3597" s="14" t="s">
        <v>1746</v>
      </c>
      <c r="F3597" s="17" t="s">
        <v>2993</v>
      </c>
      <c r="G3597" s="14">
        <v>3880</v>
      </c>
      <c r="H3597" s="14">
        <v>3104</v>
      </c>
      <c r="I3597" s="31">
        <f>IF(COUNTIFS(Addendum!C:C,A3597,Addendum!D:D,IF(ISNUMBER(B3597),TEXT(B3597,"0000"),B3597),Addendum!E:E,"X")&gt;0,4%,0)</f>
        <v>0</v>
      </c>
      <c r="J3597" s="31">
        <f>IF(COUNTIFS(Addendum!C:C,A3597,Addendum!D:D,IF(ISNUMBER(B3597),TEXT(B3597,"0000"),B3597),Addendum!F:F,"X")&gt;0,2.5%,0)</f>
        <v>0</v>
      </c>
      <c r="K3597" s="31">
        <f>IF(COUNTIFS(Addendum!C:C,A3597,Addendum!D:D,IF(ISNUMBER(B3597),TEXT(B3597,"0000"),B3597),Addendum!G:G,"X")&gt;0,7%,0)</f>
        <v>0</v>
      </c>
      <c r="L3597" s="31">
        <f>IF(COUNTIFS(Addendum!C:C,A3597,Addendum!D:D,IF(ISNUMBER(B3597),TEXT(B3597,"0000"),B3597),Addendum!I:I,"X")&gt;0,10%,0)</f>
        <v>0</v>
      </c>
      <c r="M3597" s="34">
        <f t="shared" si="112"/>
        <v>0</v>
      </c>
      <c r="N3597" s="17">
        <f t="shared" si="113"/>
        <v>3104</v>
      </c>
    </row>
    <row r="3598" spans="1:14" x14ac:dyDescent="0.25">
      <c r="A3598" s="14" t="s">
        <v>2823</v>
      </c>
      <c r="B3598" s="14">
        <v>2</v>
      </c>
      <c r="C3598" s="15" t="s">
        <v>2835</v>
      </c>
      <c r="D3598" s="14" t="s">
        <v>1745</v>
      </c>
      <c r="E3598" s="14" t="s">
        <v>1746</v>
      </c>
      <c r="F3598" s="17" t="s">
        <v>2993</v>
      </c>
      <c r="G3598" s="14">
        <v>132054.39999999999</v>
      </c>
      <c r="H3598" s="14">
        <v>105643.4</v>
      </c>
      <c r="I3598" s="31">
        <f>IF(COUNTIFS(Addendum!C:C,A3598,Addendum!D:D,IF(ISNUMBER(B3598),TEXT(B3598,"0000"),B3598),Addendum!E:E,"X")&gt;0,4%,0)</f>
        <v>0</v>
      </c>
      <c r="J3598" s="31">
        <f>IF(COUNTIFS(Addendum!C:C,A3598,Addendum!D:D,IF(ISNUMBER(B3598),TEXT(B3598,"0000"),B3598),Addendum!F:F,"X")&gt;0,2.5%,0)</f>
        <v>0</v>
      </c>
      <c r="K3598" s="31">
        <f>IF(COUNTIFS(Addendum!C:C,A3598,Addendum!D:D,IF(ISNUMBER(B3598),TEXT(B3598,"0000"),B3598),Addendum!G:G,"X")&gt;0,7%,0)</f>
        <v>0</v>
      </c>
      <c r="L3598" s="31">
        <f>IF(COUNTIFS(Addendum!C:C,A3598,Addendum!D:D,IF(ISNUMBER(B3598),TEXT(B3598,"0000"),B3598),Addendum!I:I,"X")&gt;0,10%,0)</f>
        <v>0</v>
      </c>
      <c r="M3598" s="34">
        <f t="shared" si="112"/>
        <v>0</v>
      </c>
      <c r="N3598" s="17">
        <f t="shared" si="113"/>
        <v>105643.4</v>
      </c>
    </row>
    <row r="3599" spans="1:14" x14ac:dyDescent="0.25">
      <c r="A3599" s="14" t="s">
        <v>2823</v>
      </c>
      <c r="B3599" s="14">
        <v>4</v>
      </c>
      <c r="C3599" s="15" t="s">
        <v>2828</v>
      </c>
      <c r="D3599" s="14" t="s">
        <v>1745</v>
      </c>
      <c r="E3599" s="14" t="s">
        <v>1747</v>
      </c>
      <c r="F3599" s="17" t="s">
        <v>2993</v>
      </c>
      <c r="G3599" s="14">
        <v>105570</v>
      </c>
      <c r="H3599" s="14">
        <v>84456</v>
      </c>
      <c r="I3599" s="31">
        <f>IF(COUNTIFS(Addendum!C:C,A3599,Addendum!D:D,IF(ISNUMBER(B3599),TEXT(B3599,"0000"),B3599),Addendum!E:E,"X")&gt;0,4%,0)</f>
        <v>0</v>
      </c>
      <c r="J3599" s="31">
        <f>IF(COUNTIFS(Addendum!C:C,A3599,Addendum!D:D,IF(ISNUMBER(B3599),TEXT(B3599,"0000"),B3599),Addendum!F:F,"X")&gt;0,2.5%,0)</f>
        <v>0</v>
      </c>
      <c r="K3599" s="31">
        <f>IF(COUNTIFS(Addendum!C:C,A3599,Addendum!D:D,IF(ISNUMBER(B3599),TEXT(B3599,"0000"),B3599),Addendum!G:G,"X")&gt;0,7%,0)</f>
        <v>0</v>
      </c>
      <c r="L3599" s="31">
        <f>IF(COUNTIFS(Addendum!C:C,A3599,Addendum!D:D,IF(ISNUMBER(B3599),TEXT(B3599,"0000"),B3599),Addendum!I:I,"X")&gt;0,10%,0)</f>
        <v>0</v>
      </c>
      <c r="M3599" s="34">
        <f t="shared" si="112"/>
        <v>0</v>
      </c>
      <c r="N3599" s="17">
        <f t="shared" si="113"/>
        <v>84456</v>
      </c>
    </row>
    <row r="3600" spans="1:14" x14ac:dyDescent="0.25">
      <c r="A3600" s="14" t="s">
        <v>2823</v>
      </c>
      <c r="B3600" s="14" t="s">
        <v>46</v>
      </c>
      <c r="C3600" s="15" t="s">
        <v>2829</v>
      </c>
      <c r="D3600" s="14" t="s">
        <v>1745</v>
      </c>
      <c r="E3600" s="14" t="s">
        <v>1746</v>
      </c>
      <c r="F3600" s="17" t="s">
        <v>2993</v>
      </c>
      <c r="G3600" s="14">
        <v>36684.959999999999</v>
      </c>
      <c r="H3600" s="14">
        <v>29347.919999999998</v>
      </c>
      <c r="I3600" s="31">
        <f>IF(COUNTIFS(Addendum!C:C,A3600,Addendum!D:D,IF(ISNUMBER(B3600),TEXT(B3600,"0000"),B3600),Addendum!E:E,"X")&gt;0,4%,0)</f>
        <v>0</v>
      </c>
      <c r="J3600" s="31">
        <f>IF(COUNTIFS(Addendum!C:C,A3600,Addendum!D:D,IF(ISNUMBER(B3600),TEXT(B3600,"0000"),B3600),Addendum!F:F,"X")&gt;0,2.5%,0)</f>
        <v>0</v>
      </c>
      <c r="K3600" s="31">
        <f>IF(COUNTIFS(Addendum!C:C,A3600,Addendum!D:D,IF(ISNUMBER(B3600),TEXT(B3600,"0000"),B3600),Addendum!G:G,"X")&gt;0,7%,0)</f>
        <v>0</v>
      </c>
      <c r="L3600" s="31">
        <f>IF(COUNTIFS(Addendum!C:C,A3600,Addendum!D:D,IF(ISNUMBER(B3600),TEXT(B3600,"0000"),B3600),Addendum!I:I,"X")&gt;0,10%,0)</f>
        <v>0</v>
      </c>
      <c r="M3600" s="34">
        <f t="shared" si="112"/>
        <v>0</v>
      </c>
      <c r="N3600" s="17">
        <f t="shared" si="113"/>
        <v>29347.919999999998</v>
      </c>
    </row>
    <row r="3601" spans="1:14" x14ac:dyDescent="0.25">
      <c r="A3601" s="14" t="s">
        <v>2823</v>
      </c>
      <c r="B3601" s="14" t="s">
        <v>28</v>
      </c>
      <c r="C3601" s="15" t="s">
        <v>2824</v>
      </c>
      <c r="D3601" s="14" t="s">
        <v>1745</v>
      </c>
      <c r="E3601" s="14" t="s">
        <v>1747</v>
      </c>
      <c r="F3601" s="17" t="s">
        <v>2993</v>
      </c>
      <c r="G3601" s="14">
        <v>34182</v>
      </c>
      <c r="H3601" s="14">
        <v>27345.599999999999</v>
      </c>
      <c r="I3601" s="31">
        <f>IF(COUNTIFS(Addendum!C:C,A3601,Addendum!D:D,IF(ISNUMBER(B3601),TEXT(B3601,"0000"),B3601),Addendum!E:E,"X")&gt;0,4%,0)</f>
        <v>0</v>
      </c>
      <c r="J3601" s="31">
        <f>IF(COUNTIFS(Addendum!C:C,A3601,Addendum!D:D,IF(ISNUMBER(B3601),TEXT(B3601,"0000"),B3601),Addendum!F:F,"X")&gt;0,2.5%,0)</f>
        <v>0</v>
      </c>
      <c r="K3601" s="31">
        <f>IF(COUNTIFS(Addendum!C:C,A3601,Addendum!D:D,IF(ISNUMBER(B3601),TEXT(B3601,"0000"),B3601),Addendum!G:G,"X")&gt;0,7%,0)</f>
        <v>0</v>
      </c>
      <c r="L3601" s="31">
        <f>IF(COUNTIFS(Addendum!C:C,A3601,Addendum!D:D,IF(ISNUMBER(B3601),TEXT(B3601,"0000"),B3601),Addendum!I:I,"X")&gt;0,10%,0)</f>
        <v>0</v>
      </c>
      <c r="M3601" s="34">
        <f t="shared" si="112"/>
        <v>0</v>
      </c>
      <c r="N3601" s="17">
        <f t="shared" si="113"/>
        <v>27345.599999999999</v>
      </c>
    </row>
    <row r="3602" spans="1:14" x14ac:dyDescent="0.25">
      <c r="A3602" s="14" t="s">
        <v>1433</v>
      </c>
      <c r="B3602" s="14">
        <v>1</v>
      </c>
      <c r="C3602" s="15" t="s">
        <v>1432</v>
      </c>
      <c r="D3602" s="14" t="s">
        <v>1749</v>
      </c>
      <c r="E3602" s="14" t="s">
        <v>1746</v>
      </c>
      <c r="F3602" s="17" t="s">
        <v>2993</v>
      </c>
      <c r="G3602" s="14">
        <v>450</v>
      </c>
      <c r="H3602" s="14">
        <v>360</v>
      </c>
      <c r="I3602" s="31">
        <f>IF(COUNTIFS(Addendum!C:C,A3602,Addendum!D:D,IF(ISNUMBER(B3602),TEXT(B3602,"0000"),B3602),Addendum!E:E,"X")&gt;0,4%,0)</f>
        <v>0.04</v>
      </c>
      <c r="J3602" s="31">
        <f>IF(COUNTIFS(Addendum!C:C,A3602,Addendum!D:D,IF(ISNUMBER(B3602),TEXT(B3602,"0000"),B3602),Addendum!F:F,"X")&gt;0,2.5%,0)</f>
        <v>0</v>
      </c>
      <c r="K3602" s="31">
        <f>IF(COUNTIFS(Addendum!C:C,A3602,Addendum!D:D,IF(ISNUMBER(B3602),TEXT(B3602,"0000"),B3602),Addendum!G:G,"X")&gt;0,7%,0)</f>
        <v>0</v>
      </c>
      <c r="L3602" s="31">
        <f>IF(COUNTIFS(Addendum!C:C,A3602,Addendum!D:D,IF(ISNUMBER(B3602),TEXT(B3602,"0000"),B3602),Addendum!I:I,"X")&gt;0,10%,0)</f>
        <v>0</v>
      </c>
      <c r="M3602" s="34">
        <f t="shared" si="112"/>
        <v>0.01</v>
      </c>
      <c r="N3602" s="17">
        <f t="shared" si="113"/>
        <v>356.4</v>
      </c>
    </row>
    <row r="3603" spans="1:14" x14ac:dyDescent="0.25">
      <c r="A3603" s="14" t="s">
        <v>1433</v>
      </c>
      <c r="B3603" s="14">
        <v>1</v>
      </c>
      <c r="C3603" s="15" t="s">
        <v>1432</v>
      </c>
      <c r="D3603" s="14" t="s">
        <v>1745</v>
      </c>
      <c r="E3603" s="14" t="s">
        <v>1747</v>
      </c>
      <c r="F3603" s="17" t="s">
        <v>2993</v>
      </c>
      <c r="G3603" s="14">
        <v>4860</v>
      </c>
      <c r="H3603" s="14">
        <v>3888</v>
      </c>
      <c r="I3603" s="31">
        <f>IF(COUNTIFS(Addendum!C:C,A3603,Addendum!D:D,IF(ISNUMBER(B3603),TEXT(B3603,"0000"),B3603),Addendum!E:E,"X")&gt;0,4%,0)</f>
        <v>0.04</v>
      </c>
      <c r="J3603" s="31">
        <f>IF(COUNTIFS(Addendum!C:C,A3603,Addendum!D:D,IF(ISNUMBER(B3603),TEXT(B3603,"0000"),B3603),Addendum!F:F,"X")&gt;0,2.5%,0)</f>
        <v>0</v>
      </c>
      <c r="K3603" s="31">
        <f>IF(COUNTIFS(Addendum!C:C,A3603,Addendum!D:D,IF(ISNUMBER(B3603),TEXT(B3603,"0000"),B3603),Addendum!G:G,"X")&gt;0,7%,0)</f>
        <v>0</v>
      </c>
      <c r="L3603" s="31">
        <f>IF(COUNTIFS(Addendum!C:C,A3603,Addendum!D:D,IF(ISNUMBER(B3603),TEXT(B3603,"0000"),B3603),Addendum!I:I,"X")&gt;0,10%,0)</f>
        <v>0</v>
      </c>
      <c r="M3603" s="34">
        <f t="shared" si="112"/>
        <v>0.03</v>
      </c>
      <c r="N3603" s="17">
        <f t="shared" si="113"/>
        <v>3771.36</v>
      </c>
    </row>
    <row r="3604" spans="1:14" x14ac:dyDescent="0.25">
      <c r="A3604" s="14" t="s">
        <v>1433</v>
      </c>
      <c r="B3604" s="14">
        <v>1</v>
      </c>
      <c r="C3604" s="15" t="s">
        <v>1432</v>
      </c>
      <c r="D3604" s="14" t="s">
        <v>1745</v>
      </c>
      <c r="E3604" s="14" t="s">
        <v>1746</v>
      </c>
      <c r="F3604" s="17" t="s">
        <v>2993</v>
      </c>
      <c r="G3604" s="14">
        <v>5103</v>
      </c>
      <c r="H3604" s="14">
        <v>4082.4</v>
      </c>
      <c r="I3604" s="31">
        <f>IF(COUNTIFS(Addendum!C:C,A3604,Addendum!D:D,IF(ISNUMBER(B3604),TEXT(B3604,"0000"),B3604),Addendum!E:E,"X")&gt;0,4%,0)</f>
        <v>0.04</v>
      </c>
      <c r="J3604" s="31">
        <f>IF(COUNTIFS(Addendum!C:C,A3604,Addendum!D:D,IF(ISNUMBER(B3604),TEXT(B3604,"0000"),B3604),Addendum!F:F,"X")&gt;0,2.5%,0)</f>
        <v>0</v>
      </c>
      <c r="K3604" s="31">
        <f>IF(COUNTIFS(Addendum!C:C,A3604,Addendum!D:D,IF(ISNUMBER(B3604),TEXT(B3604,"0000"),B3604),Addendum!G:G,"X")&gt;0,7%,0)</f>
        <v>0</v>
      </c>
      <c r="L3604" s="31">
        <f>IF(COUNTIFS(Addendum!C:C,A3604,Addendum!D:D,IF(ISNUMBER(B3604),TEXT(B3604,"0000"),B3604),Addendum!I:I,"X")&gt;0,10%,0)</f>
        <v>0</v>
      </c>
      <c r="M3604" s="34">
        <f t="shared" si="112"/>
        <v>0.01</v>
      </c>
      <c r="N3604" s="17">
        <f t="shared" si="113"/>
        <v>4041.576</v>
      </c>
    </row>
    <row r="3605" spans="1:14" x14ac:dyDescent="0.25">
      <c r="A3605" s="14" t="s">
        <v>1437</v>
      </c>
      <c r="B3605" s="14">
        <v>3</v>
      </c>
      <c r="C3605" s="15" t="s">
        <v>1439</v>
      </c>
      <c r="D3605" s="14" t="s">
        <v>1745</v>
      </c>
      <c r="E3605" s="14" t="s">
        <v>1747</v>
      </c>
      <c r="F3605" s="17" t="s">
        <v>2993</v>
      </c>
      <c r="G3605" s="14">
        <v>43686</v>
      </c>
      <c r="H3605" s="14">
        <v>34948.800000000003</v>
      </c>
      <c r="I3605" s="31">
        <f>IF(COUNTIFS(Addendum!C:C,A3605,Addendum!D:D,IF(ISNUMBER(B3605),TEXT(B3605,"0000"),B3605),Addendum!E:E,"X")&gt;0,4%,0)</f>
        <v>0.04</v>
      </c>
      <c r="J3605" s="31">
        <f>IF(COUNTIFS(Addendum!C:C,A3605,Addendum!D:D,IF(ISNUMBER(B3605),TEXT(B3605,"0000"),B3605),Addendum!F:F,"X")&gt;0,2.5%,0)</f>
        <v>0</v>
      </c>
      <c r="K3605" s="31">
        <f>IF(COUNTIFS(Addendum!C:C,A3605,Addendum!D:D,IF(ISNUMBER(B3605),TEXT(B3605,"0000"),B3605),Addendum!G:G,"X")&gt;0,7%,0)</f>
        <v>0</v>
      </c>
      <c r="L3605" s="31">
        <f>IF(COUNTIFS(Addendum!C:C,A3605,Addendum!D:D,IF(ISNUMBER(B3605),TEXT(B3605,"0000"),B3605),Addendum!I:I,"X")&gt;0,10%,0)</f>
        <v>0</v>
      </c>
      <c r="M3605" s="34">
        <f t="shared" si="112"/>
        <v>0.03</v>
      </c>
      <c r="N3605" s="17">
        <f t="shared" si="113"/>
        <v>33900.336000000003</v>
      </c>
    </row>
    <row r="3606" spans="1:14" x14ac:dyDescent="0.25">
      <c r="A3606" s="14" t="s">
        <v>1437</v>
      </c>
      <c r="B3606" s="14">
        <v>2</v>
      </c>
      <c r="C3606" s="15" t="s">
        <v>1441</v>
      </c>
      <c r="D3606" s="14" t="s">
        <v>1745</v>
      </c>
      <c r="E3606" s="14" t="s">
        <v>1747</v>
      </c>
      <c r="F3606" s="17" t="s">
        <v>2993</v>
      </c>
      <c r="G3606" s="14">
        <v>87318</v>
      </c>
      <c r="H3606" s="14">
        <v>69854.399999999994</v>
      </c>
      <c r="I3606" s="31">
        <f>IF(COUNTIFS(Addendum!C:C,A3606,Addendum!D:D,IF(ISNUMBER(B3606),TEXT(B3606,"0000"),B3606),Addendum!E:E,"X")&gt;0,4%,0)</f>
        <v>0.04</v>
      </c>
      <c r="J3606" s="31">
        <f>IF(COUNTIFS(Addendum!C:C,A3606,Addendum!D:D,IF(ISNUMBER(B3606),TEXT(B3606,"0000"),B3606),Addendum!F:F,"X")&gt;0,2.5%,0)</f>
        <v>0</v>
      </c>
      <c r="K3606" s="31">
        <f>IF(COUNTIFS(Addendum!C:C,A3606,Addendum!D:D,IF(ISNUMBER(B3606),TEXT(B3606,"0000"),B3606),Addendum!G:G,"X")&gt;0,7%,0)</f>
        <v>0</v>
      </c>
      <c r="L3606" s="31">
        <f>IF(COUNTIFS(Addendum!C:C,A3606,Addendum!D:D,IF(ISNUMBER(B3606),TEXT(B3606,"0000"),B3606),Addendum!I:I,"X")&gt;0,10%,0)</f>
        <v>0</v>
      </c>
      <c r="M3606" s="34">
        <f t="shared" si="112"/>
        <v>0.03</v>
      </c>
      <c r="N3606" s="17">
        <f t="shared" si="113"/>
        <v>67758.767999999996</v>
      </c>
    </row>
    <row r="3607" spans="1:14" x14ac:dyDescent="0.25">
      <c r="A3607" s="14" t="s">
        <v>1437</v>
      </c>
      <c r="B3607" s="14">
        <v>3</v>
      </c>
      <c r="C3607" s="15" t="s">
        <v>1439</v>
      </c>
      <c r="D3607" s="14" t="s">
        <v>1745</v>
      </c>
      <c r="E3607" s="14" t="s">
        <v>1746</v>
      </c>
      <c r="F3607" s="17" t="s">
        <v>2993</v>
      </c>
      <c r="G3607" s="14">
        <v>45870.36</v>
      </c>
      <c r="H3607" s="14">
        <v>36696.239999999998</v>
      </c>
      <c r="I3607" s="31">
        <f>IF(COUNTIFS(Addendum!C:C,A3607,Addendum!D:D,IF(ISNUMBER(B3607),TEXT(B3607,"0000"),B3607),Addendum!E:E,"X")&gt;0,4%,0)</f>
        <v>0.04</v>
      </c>
      <c r="J3607" s="31">
        <f>IF(COUNTIFS(Addendum!C:C,A3607,Addendum!D:D,IF(ISNUMBER(B3607),TEXT(B3607,"0000"),B3607),Addendum!F:F,"X")&gt;0,2.5%,0)</f>
        <v>0</v>
      </c>
      <c r="K3607" s="31">
        <f>IF(COUNTIFS(Addendum!C:C,A3607,Addendum!D:D,IF(ISNUMBER(B3607),TEXT(B3607,"0000"),B3607),Addendum!G:G,"X")&gt;0,7%,0)</f>
        <v>0</v>
      </c>
      <c r="L3607" s="31">
        <f>IF(COUNTIFS(Addendum!C:C,A3607,Addendum!D:D,IF(ISNUMBER(B3607),TEXT(B3607,"0000"),B3607),Addendum!I:I,"X")&gt;0,10%,0)</f>
        <v>0</v>
      </c>
      <c r="M3607" s="34">
        <f t="shared" si="112"/>
        <v>0.01</v>
      </c>
      <c r="N3607" s="17">
        <f t="shared" si="113"/>
        <v>36329.277600000001</v>
      </c>
    </row>
    <row r="3608" spans="1:14" x14ac:dyDescent="0.25">
      <c r="A3608" s="14" t="s">
        <v>1437</v>
      </c>
      <c r="B3608" s="14">
        <v>2</v>
      </c>
      <c r="C3608" s="15" t="s">
        <v>1441</v>
      </c>
      <c r="D3608" s="14" t="s">
        <v>1745</v>
      </c>
      <c r="E3608" s="14" t="s">
        <v>1746</v>
      </c>
      <c r="F3608" s="17" t="s">
        <v>2993</v>
      </c>
      <c r="G3608" s="14">
        <v>91683.96</v>
      </c>
      <c r="H3608" s="14">
        <v>73347.12</v>
      </c>
      <c r="I3608" s="31">
        <f>IF(COUNTIFS(Addendum!C:C,A3608,Addendum!D:D,IF(ISNUMBER(B3608),TEXT(B3608,"0000"),B3608),Addendum!E:E,"X")&gt;0,4%,0)</f>
        <v>0.04</v>
      </c>
      <c r="J3608" s="31">
        <f>IF(COUNTIFS(Addendum!C:C,A3608,Addendum!D:D,IF(ISNUMBER(B3608),TEXT(B3608,"0000"),B3608),Addendum!F:F,"X")&gt;0,2.5%,0)</f>
        <v>0</v>
      </c>
      <c r="K3608" s="31">
        <f>IF(COUNTIFS(Addendum!C:C,A3608,Addendum!D:D,IF(ISNUMBER(B3608),TEXT(B3608,"0000"),B3608),Addendum!G:G,"X")&gt;0,7%,0)</f>
        <v>0</v>
      </c>
      <c r="L3608" s="31">
        <f>IF(COUNTIFS(Addendum!C:C,A3608,Addendum!D:D,IF(ISNUMBER(B3608),TEXT(B3608,"0000"),B3608),Addendum!I:I,"X")&gt;0,10%,0)</f>
        <v>0</v>
      </c>
      <c r="M3608" s="34">
        <f t="shared" si="112"/>
        <v>0.01</v>
      </c>
      <c r="N3608" s="17">
        <f t="shared" si="113"/>
        <v>72613.648799999995</v>
      </c>
    </row>
    <row r="3609" spans="1:14" x14ac:dyDescent="0.25">
      <c r="A3609" s="14" t="s">
        <v>1437</v>
      </c>
      <c r="B3609" s="14">
        <v>4</v>
      </c>
      <c r="C3609" s="15" t="s">
        <v>1436</v>
      </c>
      <c r="D3609" s="14" t="s">
        <v>1745</v>
      </c>
      <c r="E3609" s="14" t="s">
        <v>1747</v>
      </c>
      <c r="F3609" s="17" t="s">
        <v>2993</v>
      </c>
      <c r="G3609" s="14">
        <v>174690</v>
      </c>
      <c r="H3609" s="14">
        <v>139752</v>
      </c>
      <c r="I3609" s="31">
        <f>IF(COUNTIFS(Addendum!C:C,A3609,Addendum!D:D,IF(ISNUMBER(B3609),TEXT(B3609,"0000"),B3609),Addendum!E:E,"X")&gt;0,4%,0)</f>
        <v>0.04</v>
      </c>
      <c r="J3609" s="31">
        <f>IF(COUNTIFS(Addendum!C:C,A3609,Addendum!D:D,IF(ISNUMBER(B3609),TEXT(B3609,"0000"),B3609),Addendum!F:F,"X")&gt;0,2.5%,0)</f>
        <v>0</v>
      </c>
      <c r="K3609" s="31">
        <f>IF(COUNTIFS(Addendum!C:C,A3609,Addendum!D:D,IF(ISNUMBER(B3609),TEXT(B3609,"0000"),B3609),Addendum!G:G,"X")&gt;0,7%,0)</f>
        <v>0</v>
      </c>
      <c r="L3609" s="31">
        <f>IF(COUNTIFS(Addendum!C:C,A3609,Addendum!D:D,IF(ISNUMBER(B3609),TEXT(B3609,"0000"),B3609),Addendum!I:I,"X")&gt;0,10%,0)</f>
        <v>0</v>
      </c>
      <c r="M3609" s="34">
        <f t="shared" si="112"/>
        <v>0.03</v>
      </c>
      <c r="N3609" s="17">
        <f t="shared" si="113"/>
        <v>135559.44</v>
      </c>
    </row>
    <row r="3610" spans="1:14" x14ac:dyDescent="0.25">
      <c r="A3610" s="14" t="s">
        <v>1437</v>
      </c>
      <c r="B3610" s="14">
        <v>3</v>
      </c>
      <c r="C3610" s="15" t="s">
        <v>1439</v>
      </c>
      <c r="D3610" s="14" t="s">
        <v>1749</v>
      </c>
      <c r="E3610" s="14" t="s">
        <v>1746</v>
      </c>
      <c r="F3610" s="17" t="s">
        <v>2993</v>
      </c>
      <c r="G3610" s="14">
        <v>4045</v>
      </c>
      <c r="H3610" s="14">
        <v>3236</v>
      </c>
      <c r="I3610" s="31">
        <f>IF(COUNTIFS(Addendum!C:C,A3610,Addendum!D:D,IF(ISNUMBER(B3610),TEXT(B3610,"0000"),B3610),Addendum!E:E,"X")&gt;0,4%,0)</f>
        <v>0.04</v>
      </c>
      <c r="J3610" s="31">
        <f>IF(COUNTIFS(Addendum!C:C,A3610,Addendum!D:D,IF(ISNUMBER(B3610),TEXT(B3610,"0000"),B3610),Addendum!F:F,"X")&gt;0,2.5%,0)</f>
        <v>0</v>
      </c>
      <c r="K3610" s="31">
        <f>IF(COUNTIFS(Addendum!C:C,A3610,Addendum!D:D,IF(ISNUMBER(B3610),TEXT(B3610,"0000"),B3610),Addendum!G:G,"X")&gt;0,7%,0)</f>
        <v>0</v>
      </c>
      <c r="L3610" s="31">
        <f>IF(COUNTIFS(Addendum!C:C,A3610,Addendum!D:D,IF(ISNUMBER(B3610),TEXT(B3610,"0000"),B3610),Addendum!I:I,"X")&gt;0,10%,0)</f>
        <v>0</v>
      </c>
      <c r="M3610" s="34">
        <f t="shared" si="112"/>
        <v>0.01</v>
      </c>
      <c r="N3610" s="17">
        <f t="shared" si="113"/>
        <v>3203.64</v>
      </c>
    </row>
    <row r="3611" spans="1:14" x14ac:dyDescent="0.25">
      <c r="A3611" s="14" t="s">
        <v>1437</v>
      </c>
      <c r="B3611" s="14">
        <v>4</v>
      </c>
      <c r="C3611" s="15" t="s">
        <v>1436</v>
      </c>
      <c r="D3611" s="14" t="s">
        <v>1749</v>
      </c>
      <c r="E3611" s="14" t="s">
        <v>1746</v>
      </c>
      <c r="F3611" s="17" t="s">
        <v>2993</v>
      </c>
      <c r="G3611" s="14">
        <v>16175</v>
      </c>
      <c r="H3611" s="14">
        <v>12940</v>
      </c>
      <c r="I3611" s="31">
        <f>IF(COUNTIFS(Addendum!C:C,A3611,Addendum!D:D,IF(ISNUMBER(B3611),TEXT(B3611,"0000"),B3611),Addendum!E:E,"X")&gt;0,4%,0)</f>
        <v>0.04</v>
      </c>
      <c r="J3611" s="31">
        <f>IF(COUNTIFS(Addendum!C:C,A3611,Addendum!D:D,IF(ISNUMBER(B3611),TEXT(B3611,"0000"),B3611),Addendum!F:F,"X")&gt;0,2.5%,0)</f>
        <v>0</v>
      </c>
      <c r="K3611" s="31">
        <f>IF(COUNTIFS(Addendum!C:C,A3611,Addendum!D:D,IF(ISNUMBER(B3611),TEXT(B3611,"0000"),B3611),Addendum!G:G,"X")&gt;0,7%,0)</f>
        <v>0</v>
      </c>
      <c r="L3611" s="31">
        <f>IF(COUNTIFS(Addendum!C:C,A3611,Addendum!D:D,IF(ISNUMBER(B3611),TEXT(B3611,"0000"),B3611),Addendum!I:I,"X")&gt;0,10%,0)</f>
        <v>0</v>
      </c>
      <c r="M3611" s="34">
        <f t="shared" si="112"/>
        <v>0.01</v>
      </c>
      <c r="N3611" s="17">
        <f t="shared" si="113"/>
        <v>12810.6</v>
      </c>
    </row>
    <row r="3612" spans="1:14" x14ac:dyDescent="0.25">
      <c r="A3612" s="14" t="s">
        <v>1437</v>
      </c>
      <c r="B3612" s="14">
        <v>2</v>
      </c>
      <c r="C3612" s="15" t="s">
        <v>1441</v>
      </c>
      <c r="D3612" s="14" t="s">
        <v>1749</v>
      </c>
      <c r="E3612" s="14" t="s">
        <v>1746</v>
      </c>
      <c r="F3612" s="17" t="s">
        <v>2993</v>
      </c>
      <c r="G3612" s="14">
        <v>8085</v>
      </c>
      <c r="H3612" s="14">
        <v>6468</v>
      </c>
      <c r="I3612" s="31">
        <f>IF(COUNTIFS(Addendum!C:C,A3612,Addendum!D:D,IF(ISNUMBER(B3612),TEXT(B3612,"0000"),B3612),Addendum!E:E,"X")&gt;0,4%,0)</f>
        <v>0.04</v>
      </c>
      <c r="J3612" s="31">
        <f>IF(COUNTIFS(Addendum!C:C,A3612,Addendum!D:D,IF(ISNUMBER(B3612),TEXT(B3612,"0000"),B3612),Addendum!F:F,"X")&gt;0,2.5%,0)</f>
        <v>0</v>
      </c>
      <c r="K3612" s="31">
        <f>IF(COUNTIFS(Addendum!C:C,A3612,Addendum!D:D,IF(ISNUMBER(B3612),TEXT(B3612,"0000"),B3612),Addendum!G:G,"X")&gt;0,7%,0)</f>
        <v>0</v>
      </c>
      <c r="L3612" s="31">
        <f>IF(COUNTIFS(Addendum!C:C,A3612,Addendum!D:D,IF(ISNUMBER(B3612),TEXT(B3612,"0000"),B3612),Addendum!I:I,"X")&gt;0,10%,0)</f>
        <v>0</v>
      </c>
      <c r="M3612" s="34">
        <f t="shared" si="112"/>
        <v>0.01</v>
      </c>
      <c r="N3612" s="17">
        <f t="shared" si="113"/>
        <v>6403.32</v>
      </c>
    </row>
    <row r="3613" spans="1:14" x14ac:dyDescent="0.25">
      <c r="A3613" s="14" t="s">
        <v>1437</v>
      </c>
      <c r="B3613" s="14">
        <v>4</v>
      </c>
      <c r="C3613" s="15" t="s">
        <v>1436</v>
      </c>
      <c r="D3613" s="14" t="s">
        <v>1745</v>
      </c>
      <c r="E3613" s="14" t="s">
        <v>1746</v>
      </c>
      <c r="F3613" s="17" t="s">
        <v>2993</v>
      </c>
      <c r="G3613" s="14">
        <v>183424.6</v>
      </c>
      <c r="H3613" s="14">
        <v>146739.6</v>
      </c>
      <c r="I3613" s="31">
        <f>IF(COUNTIFS(Addendum!C:C,A3613,Addendum!D:D,IF(ISNUMBER(B3613),TEXT(B3613,"0000"),B3613),Addendum!E:E,"X")&gt;0,4%,0)</f>
        <v>0.04</v>
      </c>
      <c r="J3613" s="31">
        <f>IF(COUNTIFS(Addendum!C:C,A3613,Addendum!D:D,IF(ISNUMBER(B3613),TEXT(B3613,"0000"),B3613),Addendum!F:F,"X")&gt;0,2.5%,0)</f>
        <v>0</v>
      </c>
      <c r="K3613" s="31">
        <f>IF(COUNTIFS(Addendum!C:C,A3613,Addendum!D:D,IF(ISNUMBER(B3613),TEXT(B3613,"0000"),B3613),Addendum!G:G,"X")&gt;0,7%,0)</f>
        <v>0</v>
      </c>
      <c r="L3613" s="31">
        <f>IF(COUNTIFS(Addendum!C:C,A3613,Addendum!D:D,IF(ISNUMBER(B3613),TEXT(B3613,"0000"),B3613),Addendum!I:I,"X")&gt;0,10%,0)</f>
        <v>0</v>
      </c>
      <c r="M3613" s="34">
        <f t="shared" si="112"/>
        <v>0.01</v>
      </c>
      <c r="N3613" s="17">
        <f t="shared" si="113"/>
        <v>145272.204</v>
      </c>
    </row>
    <row r="3614" spans="1:14" x14ac:dyDescent="0.25">
      <c r="A3614" s="14" t="s">
        <v>1445</v>
      </c>
      <c r="B3614" s="14">
        <v>13</v>
      </c>
      <c r="C3614" s="15" t="s">
        <v>1533</v>
      </c>
      <c r="D3614" s="14" t="s">
        <v>1745</v>
      </c>
      <c r="E3614" s="14" t="s">
        <v>1746</v>
      </c>
      <c r="F3614" s="17" t="s">
        <v>2993</v>
      </c>
      <c r="G3614" s="14">
        <v>31581.96</v>
      </c>
      <c r="H3614" s="14">
        <v>25265.52</v>
      </c>
      <c r="I3614" s="31">
        <f>IF(COUNTIFS(Addendum!C:C,A3614,Addendum!D:D,IF(ISNUMBER(B3614),TEXT(B3614,"0000"),B3614),Addendum!E:E,"X")&gt;0,4%,0)</f>
        <v>0.04</v>
      </c>
      <c r="J3614" s="31">
        <f>IF(COUNTIFS(Addendum!C:C,A3614,Addendum!D:D,IF(ISNUMBER(B3614),TEXT(B3614,"0000"),B3614),Addendum!F:F,"X")&gt;0,2.5%,0)</f>
        <v>0</v>
      </c>
      <c r="K3614" s="31">
        <f>IF(COUNTIFS(Addendum!C:C,A3614,Addendum!D:D,IF(ISNUMBER(B3614),TEXT(B3614,"0000"),B3614),Addendum!G:G,"X")&gt;0,7%,0)</f>
        <v>0</v>
      </c>
      <c r="L3614" s="31">
        <f>IF(COUNTIFS(Addendum!C:C,A3614,Addendum!D:D,IF(ISNUMBER(B3614),TEXT(B3614,"0000"),B3614),Addendum!I:I,"X")&gt;0,10%,0)</f>
        <v>0.1</v>
      </c>
      <c r="M3614" s="34">
        <f t="shared" si="112"/>
        <v>0</v>
      </c>
      <c r="N3614" s="17">
        <f t="shared" si="113"/>
        <v>25265.52</v>
      </c>
    </row>
    <row r="3615" spans="1:14" x14ac:dyDescent="0.25">
      <c r="A3615" s="14" t="s">
        <v>1445</v>
      </c>
      <c r="B3615" s="14">
        <v>15</v>
      </c>
      <c r="C3615" s="15" t="s">
        <v>1548</v>
      </c>
      <c r="D3615" s="14" t="s">
        <v>1749</v>
      </c>
      <c r="E3615" s="14" t="s">
        <v>1746</v>
      </c>
      <c r="F3615" s="17" t="s">
        <v>2993</v>
      </c>
      <c r="G3615" s="14">
        <v>3685</v>
      </c>
      <c r="H3615" s="14">
        <v>2948</v>
      </c>
      <c r="I3615" s="31">
        <f>IF(COUNTIFS(Addendum!C:C,A3615,Addendum!D:D,IF(ISNUMBER(B3615),TEXT(B3615,"0000"),B3615),Addendum!E:E,"X")&gt;0,4%,0)</f>
        <v>0.04</v>
      </c>
      <c r="J3615" s="31">
        <f>IF(COUNTIFS(Addendum!C:C,A3615,Addendum!D:D,IF(ISNUMBER(B3615),TEXT(B3615,"0000"),B3615),Addendum!F:F,"X")&gt;0,2.5%,0)</f>
        <v>0</v>
      </c>
      <c r="K3615" s="31">
        <f>IF(COUNTIFS(Addendum!C:C,A3615,Addendum!D:D,IF(ISNUMBER(B3615),TEXT(B3615,"0000"),B3615),Addendum!G:G,"X")&gt;0,7%,0)</f>
        <v>0</v>
      </c>
      <c r="L3615" s="31">
        <f>IF(COUNTIFS(Addendum!C:C,A3615,Addendum!D:D,IF(ISNUMBER(B3615),TEXT(B3615,"0000"),B3615),Addendum!I:I,"X")&gt;0,10%,0)</f>
        <v>0.1</v>
      </c>
      <c r="M3615" s="34">
        <f t="shared" si="112"/>
        <v>0</v>
      </c>
      <c r="N3615" s="17">
        <f t="shared" si="113"/>
        <v>2948</v>
      </c>
    </row>
    <row r="3616" spans="1:14" x14ac:dyDescent="0.25">
      <c r="A3616" s="14" t="s">
        <v>1445</v>
      </c>
      <c r="B3616" s="14" t="s">
        <v>465</v>
      </c>
      <c r="C3616" s="15" t="s">
        <v>1604</v>
      </c>
      <c r="D3616" s="14" t="s">
        <v>1745</v>
      </c>
      <c r="E3616" s="14" t="s">
        <v>1747</v>
      </c>
      <c r="F3616" s="17" t="s">
        <v>2993</v>
      </c>
      <c r="G3616" s="14">
        <v>998514</v>
      </c>
      <c r="H3616" s="14">
        <v>798811.2</v>
      </c>
      <c r="I3616" s="31">
        <f>IF(COUNTIFS(Addendum!C:C,A3616,Addendum!D:D,IF(ISNUMBER(B3616),TEXT(B3616,"0000"),B3616),Addendum!E:E,"X")&gt;0,4%,0)</f>
        <v>0.04</v>
      </c>
      <c r="J3616" s="31">
        <f>IF(COUNTIFS(Addendum!C:C,A3616,Addendum!D:D,IF(ISNUMBER(B3616),TEXT(B3616,"0000"),B3616),Addendum!F:F,"X")&gt;0,2.5%,0)</f>
        <v>0</v>
      </c>
      <c r="K3616" s="31">
        <f>IF(COUNTIFS(Addendum!C:C,A3616,Addendum!D:D,IF(ISNUMBER(B3616),TEXT(B3616,"0000"),B3616),Addendum!G:G,"X")&gt;0,7%,0)</f>
        <v>0</v>
      </c>
      <c r="L3616" s="31">
        <f>IF(COUNTIFS(Addendum!C:C,A3616,Addendum!D:D,IF(ISNUMBER(B3616),TEXT(B3616,"0000"),B3616),Addendum!I:I,"X")&gt;0,10%,0)</f>
        <v>0.1</v>
      </c>
      <c r="M3616" s="34">
        <f t="shared" si="112"/>
        <v>0</v>
      </c>
      <c r="N3616" s="17">
        <f t="shared" si="113"/>
        <v>798811.2</v>
      </c>
    </row>
    <row r="3617" spans="1:14" x14ac:dyDescent="0.25">
      <c r="A3617" s="14" t="s">
        <v>1445</v>
      </c>
      <c r="B3617" s="14">
        <v>15</v>
      </c>
      <c r="C3617" s="15" t="s">
        <v>1548</v>
      </c>
      <c r="D3617" s="14" t="s">
        <v>1745</v>
      </c>
      <c r="E3617" s="14" t="s">
        <v>1746</v>
      </c>
      <c r="F3617" s="17" t="s">
        <v>2993</v>
      </c>
      <c r="G3617" s="14">
        <v>41787.96</v>
      </c>
      <c r="H3617" s="14">
        <v>33430.32</v>
      </c>
      <c r="I3617" s="31">
        <f>IF(COUNTIFS(Addendum!C:C,A3617,Addendum!D:D,IF(ISNUMBER(B3617),TEXT(B3617,"0000"),B3617),Addendum!E:E,"X")&gt;0,4%,0)</f>
        <v>0.04</v>
      </c>
      <c r="J3617" s="31">
        <f>IF(COUNTIFS(Addendum!C:C,A3617,Addendum!D:D,IF(ISNUMBER(B3617),TEXT(B3617,"0000"),B3617),Addendum!F:F,"X")&gt;0,2.5%,0)</f>
        <v>0</v>
      </c>
      <c r="K3617" s="31">
        <f>IF(COUNTIFS(Addendum!C:C,A3617,Addendum!D:D,IF(ISNUMBER(B3617),TEXT(B3617,"0000"),B3617),Addendum!G:G,"X")&gt;0,7%,0)</f>
        <v>0</v>
      </c>
      <c r="L3617" s="31">
        <f>IF(COUNTIFS(Addendum!C:C,A3617,Addendum!D:D,IF(ISNUMBER(B3617),TEXT(B3617,"0000"),B3617),Addendum!I:I,"X")&gt;0,10%,0)</f>
        <v>0.1</v>
      </c>
      <c r="M3617" s="34">
        <f t="shared" si="112"/>
        <v>0</v>
      </c>
      <c r="N3617" s="17">
        <f t="shared" si="113"/>
        <v>33430.32</v>
      </c>
    </row>
    <row r="3618" spans="1:14" x14ac:dyDescent="0.25">
      <c r="A3618" s="14" t="s">
        <v>1445</v>
      </c>
      <c r="B3618" s="14">
        <v>12</v>
      </c>
      <c r="C3618" s="15" t="s">
        <v>1543</v>
      </c>
      <c r="D3618" s="14" t="s">
        <v>1745</v>
      </c>
      <c r="E3618" s="14" t="s">
        <v>1746</v>
      </c>
      <c r="F3618" s="17" t="s">
        <v>2993</v>
      </c>
      <c r="G3618" s="14">
        <v>28520.16</v>
      </c>
      <c r="H3618" s="14">
        <v>22816.080000000002</v>
      </c>
      <c r="I3618" s="31">
        <f>IF(COUNTIFS(Addendum!C:C,A3618,Addendum!D:D,IF(ISNUMBER(B3618),TEXT(B3618,"0000"),B3618),Addendum!E:E,"X")&gt;0,4%,0)</f>
        <v>0.04</v>
      </c>
      <c r="J3618" s="31">
        <f>IF(COUNTIFS(Addendum!C:C,A3618,Addendum!D:D,IF(ISNUMBER(B3618),TEXT(B3618,"0000"),B3618),Addendum!F:F,"X")&gt;0,2.5%,0)</f>
        <v>0</v>
      </c>
      <c r="K3618" s="31">
        <f>IF(COUNTIFS(Addendum!C:C,A3618,Addendum!D:D,IF(ISNUMBER(B3618),TEXT(B3618,"0000"),B3618),Addendum!G:G,"X")&gt;0,7%,0)</f>
        <v>0</v>
      </c>
      <c r="L3618" s="31">
        <f>IF(COUNTIFS(Addendum!C:C,A3618,Addendum!D:D,IF(ISNUMBER(B3618),TEXT(B3618,"0000"),B3618),Addendum!I:I,"X")&gt;0,10%,0)</f>
        <v>0.1</v>
      </c>
      <c r="M3618" s="34">
        <f t="shared" si="112"/>
        <v>0</v>
      </c>
      <c r="N3618" s="17">
        <f t="shared" si="113"/>
        <v>22816.080000000002</v>
      </c>
    </row>
    <row r="3619" spans="1:14" x14ac:dyDescent="0.25">
      <c r="A3619" s="14" t="s">
        <v>1445</v>
      </c>
      <c r="B3619" s="14" t="s">
        <v>1592</v>
      </c>
      <c r="C3619" s="15" t="s">
        <v>1591</v>
      </c>
      <c r="D3619" s="14" t="s">
        <v>1745</v>
      </c>
      <c r="E3619" s="14" t="s">
        <v>1746</v>
      </c>
      <c r="F3619" s="17" t="s">
        <v>2993</v>
      </c>
      <c r="G3619" s="14">
        <v>1950197</v>
      </c>
      <c r="H3619" s="14">
        <v>1560157</v>
      </c>
      <c r="I3619" s="31">
        <f>IF(COUNTIFS(Addendum!C:C,A3619,Addendum!D:D,IF(ISNUMBER(B3619),TEXT(B3619,"0000"),B3619),Addendum!E:E,"X")&gt;0,4%,0)</f>
        <v>0.04</v>
      </c>
      <c r="J3619" s="31">
        <f>IF(COUNTIFS(Addendum!C:C,A3619,Addendum!D:D,IF(ISNUMBER(B3619),TEXT(B3619,"0000"),B3619),Addendum!F:F,"X")&gt;0,2.5%,0)</f>
        <v>0</v>
      </c>
      <c r="K3619" s="31">
        <f>IF(COUNTIFS(Addendum!C:C,A3619,Addendum!D:D,IF(ISNUMBER(B3619),TEXT(B3619,"0000"),B3619),Addendum!G:G,"X")&gt;0,7%,0)</f>
        <v>0</v>
      </c>
      <c r="L3619" s="31">
        <f>IF(COUNTIFS(Addendum!C:C,A3619,Addendum!D:D,IF(ISNUMBER(B3619),TEXT(B3619,"0000"),B3619),Addendum!I:I,"X")&gt;0,10%,0)</f>
        <v>0.1</v>
      </c>
      <c r="M3619" s="34">
        <f t="shared" si="112"/>
        <v>0</v>
      </c>
      <c r="N3619" s="17">
        <f t="shared" si="113"/>
        <v>1560157</v>
      </c>
    </row>
    <row r="3620" spans="1:14" x14ac:dyDescent="0.25">
      <c r="A3620" s="14" t="s">
        <v>1445</v>
      </c>
      <c r="B3620" s="14">
        <v>48</v>
      </c>
      <c r="C3620" s="15" t="s">
        <v>1528</v>
      </c>
      <c r="D3620" s="14" t="s">
        <v>1749</v>
      </c>
      <c r="E3620" s="14" t="s">
        <v>1746</v>
      </c>
      <c r="F3620" s="17" t="s">
        <v>2993</v>
      </c>
      <c r="G3620" s="14">
        <v>24890</v>
      </c>
      <c r="H3620" s="14">
        <v>19912</v>
      </c>
      <c r="I3620" s="31">
        <f>IF(COUNTIFS(Addendum!C:C,A3620,Addendum!D:D,IF(ISNUMBER(B3620),TEXT(B3620,"0000"),B3620),Addendum!E:E,"X")&gt;0,4%,0)</f>
        <v>0.04</v>
      </c>
      <c r="J3620" s="31">
        <f>IF(COUNTIFS(Addendum!C:C,A3620,Addendum!D:D,IF(ISNUMBER(B3620),TEXT(B3620,"0000"),B3620),Addendum!F:F,"X")&gt;0,2.5%,0)</f>
        <v>0</v>
      </c>
      <c r="K3620" s="31">
        <f>IF(COUNTIFS(Addendum!C:C,A3620,Addendum!D:D,IF(ISNUMBER(B3620),TEXT(B3620,"0000"),B3620),Addendum!G:G,"X")&gt;0,7%,0)</f>
        <v>0</v>
      </c>
      <c r="L3620" s="31">
        <f>IF(COUNTIFS(Addendum!C:C,A3620,Addendum!D:D,IF(ISNUMBER(B3620),TEXT(B3620,"0000"),B3620),Addendum!I:I,"X")&gt;0,10%,0)</f>
        <v>0.1</v>
      </c>
      <c r="M3620" s="34">
        <f t="shared" si="112"/>
        <v>0</v>
      </c>
      <c r="N3620" s="17">
        <f t="shared" si="113"/>
        <v>19912</v>
      </c>
    </row>
    <row r="3621" spans="1:14" x14ac:dyDescent="0.25">
      <c r="A3621" s="14" t="s">
        <v>1445</v>
      </c>
      <c r="B3621" s="14" t="s">
        <v>488</v>
      </c>
      <c r="C3621" s="15" t="s">
        <v>1598</v>
      </c>
      <c r="D3621" s="14" t="s">
        <v>1749</v>
      </c>
      <c r="E3621" s="14" t="s">
        <v>1746</v>
      </c>
      <c r="F3621" s="17" t="s">
        <v>2993</v>
      </c>
      <c r="G3621" s="14">
        <v>48250</v>
      </c>
      <c r="H3621" s="14">
        <v>38600</v>
      </c>
      <c r="I3621" s="31">
        <f>IF(COUNTIFS(Addendum!C:C,A3621,Addendum!D:D,IF(ISNUMBER(B3621),TEXT(B3621,"0000"),B3621),Addendum!E:E,"X")&gt;0,4%,0)</f>
        <v>0.04</v>
      </c>
      <c r="J3621" s="31">
        <f>IF(COUNTIFS(Addendum!C:C,A3621,Addendum!D:D,IF(ISNUMBER(B3621),TEXT(B3621,"0000"),B3621),Addendum!F:F,"X")&gt;0,2.5%,0)</f>
        <v>0</v>
      </c>
      <c r="K3621" s="31">
        <f>IF(COUNTIFS(Addendum!C:C,A3621,Addendum!D:D,IF(ISNUMBER(B3621),TEXT(B3621,"0000"),B3621),Addendum!G:G,"X")&gt;0,7%,0)</f>
        <v>0</v>
      </c>
      <c r="L3621" s="31">
        <f>IF(COUNTIFS(Addendum!C:C,A3621,Addendum!D:D,IF(ISNUMBER(B3621),TEXT(B3621,"0000"),B3621),Addendum!I:I,"X")&gt;0,10%,0)</f>
        <v>0.1</v>
      </c>
      <c r="M3621" s="34">
        <f t="shared" si="112"/>
        <v>0</v>
      </c>
      <c r="N3621" s="17">
        <f t="shared" si="113"/>
        <v>38600</v>
      </c>
    </row>
    <row r="3622" spans="1:14" x14ac:dyDescent="0.25">
      <c r="A3622" s="14" t="s">
        <v>1445</v>
      </c>
      <c r="B3622" s="14">
        <v>14</v>
      </c>
      <c r="C3622" s="15" t="s">
        <v>1538</v>
      </c>
      <c r="D3622" s="14" t="s">
        <v>1745</v>
      </c>
      <c r="E3622" s="14" t="s">
        <v>1747</v>
      </c>
      <c r="F3622" s="17" t="s">
        <v>2993</v>
      </c>
      <c r="G3622" s="14">
        <v>38826</v>
      </c>
      <c r="H3622" s="14">
        <v>31060.799999999999</v>
      </c>
      <c r="I3622" s="31">
        <f>IF(COUNTIFS(Addendum!C:C,A3622,Addendum!D:D,IF(ISNUMBER(B3622),TEXT(B3622,"0000"),B3622),Addendum!E:E,"X")&gt;0,4%,0)</f>
        <v>0.04</v>
      </c>
      <c r="J3622" s="31">
        <f>IF(COUNTIFS(Addendum!C:C,A3622,Addendum!D:D,IF(ISNUMBER(B3622),TEXT(B3622,"0000"),B3622),Addendum!F:F,"X")&gt;0,2.5%,0)</f>
        <v>0</v>
      </c>
      <c r="K3622" s="31">
        <f>IF(COUNTIFS(Addendum!C:C,A3622,Addendum!D:D,IF(ISNUMBER(B3622),TEXT(B3622,"0000"),B3622),Addendum!G:G,"X")&gt;0,7%,0)</f>
        <v>0</v>
      </c>
      <c r="L3622" s="31">
        <f>IF(COUNTIFS(Addendum!C:C,A3622,Addendum!D:D,IF(ISNUMBER(B3622),TEXT(B3622,"0000"),B3622),Addendum!I:I,"X")&gt;0,10%,0)</f>
        <v>0.1</v>
      </c>
      <c r="M3622" s="34">
        <f t="shared" si="112"/>
        <v>0</v>
      </c>
      <c r="N3622" s="17">
        <f t="shared" si="113"/>
        <v>31060.799999999999</v>
      </c>
    </row>
    <row r="3623" spans="1:14" x14ac:dyDescent="0.25">
      <c r="A3623" s="14" t="s">
        <v>1445</v>
      </c>
      <c r="B3623" s="14" t="s">
        <v>118</v>
      </c>
      <c r="C3623" s="15" t="s">
        <v>1571</v>
      </c>
      <c r="D3623" s="14" t="s">
        <v>1745</v>
      </c>
      <c r="E3623" s="14" t="s">
        <v>1747</v>
      </c>
      <c r="F3623" s="17" t="s">
        <v>2993</v>
      </c>
      <c r="G3623" s="14">
        <v>98010</v>
      </c>
      <c r="H3623" s="14">
        <v>78408</v>
      </c>
      <c r="I3623" s="31">
        <f>IF(COUNTIFS(Addendum!C:C,A3623,Addendum!D:D,IF(ISNUMBER(B3623),TEXT(B3623,"0000"),B3623),Addendum!E:E,"X")&gt;0,4%,0)</f>
        <v>0.04</v>
      </c>
      <c r="J3623" s="31">
        <f>IF(COUNTIFS(Addendum!C:C,A3623,Addendum!D:D,IF(ISNUMBER(B3623),TEXT(B3623,"0000"),B3623),Addendum!F:F,"X")&gt;0,2.5%,0)</f>
        <v>0</v>
      </c>
      <c r="K3623" s="31">
        <f>IF(COUNTIFS(Addendum!C:C,A3623,Addendum!D:D,IF(ISNUMBER(B3623),TEXT(B3623,"0000"),B3623),Addendum!G:G,"X")&gt;0,7%,0)</f>
        <v>0</v>
      </c>
      <c r="L3623" s="31">
        <f>IF(COUNTIFS(Addendum!C:C,A3623,Addendum!D:D,IF(ISNUMBER(B3623),TEXT(B3623,"0000"),B3623),Addendum!I:I,"X")&gt;0,10%,0)</f>
        <v>0.1</v>
      </c>
      <c r="M3623" s="34">
        <f t="shared" si="112"/>
        <v>0</v>
      </c>
      <c r="N3623" s="17">
        <f t="shared" si="113"/>
        <v>78408</v>
      </c>
    </row>
    <row r="3624" spans="1:14" x14ac:dyDescent="0.25">
      <c r="A3624" s="14" t="s">
        <v>1445</v>
      </c>
      <c r="B3624" s="14" t="s">
        <v>118</v>
      </c>
      <c r="C3624" s="15" t="s">
        <v>1571</v>
      </c>
      <c r="D3624" s="14" t="s">
        <v>1749</v>
      </c>
      <c r="E3624" s="14" t="s">
        <v>1746</v>
      </c>
      <c r="F3624" s="17" t="s">
        <v>2993</v>
      </c>
      <c r="G3624" s="14">
        <v>9075</v>
      </c>
      <c r="H3624" s="14">
        <v>7260</v>
      </c>
      <c r="I3624" s="31">
        <f>IF(COUNTIFS(Addendum!C:C,A3624,Addendum!D:D,IF(ISNUMBER(B3624),TEXT(B3624,"0000"),B3624),Addendum!E:E,"X")&gt;0,4%,0)</f>
        <v>0.04</v>
      </c>
      <c r="J3624" s="31">
        <f>IF(COUNTIFS(Addendum!C:C,A3624,Addendum!D:D,IF(ISNUMBER(B3624),TEXT(B3624,"0000"),B3624),Addendum!F:F,"X")&gt;0,2.5%,0)</f>
        <v>0</v>
      </c>
      <c r="K3624" s="31">
        <f>IF(COUNTIFS(Addendum!C:C,A3624,Addendum!D:D,IF(ISNUMBER(B3624),TEXT(B3624,"0000"),B3624),Addendum!G:G,"X")&gt;0,7%,0)</f>
        <v>0</v>
      </c>
      <c r="L3624" s="31">
        <f>IF(COUNTIFS(Addendum!C:C,A3624,Addendum!D:D,IF(ISNUMBER(B3624),TEXT(B3624,"0000"),B3624),Addendum!I:I,"X")&gt;0,10%,0)</f>
        <v>0.1</v>
      </c>
      <c r="M3624" s="34">
        <f t="shared" si="112"/>
        <v>0</v>
      </c>
      <c r="N3624" s="17">
        <f t="shared" si="113"/>
        <v>7260</v>
      </c>
    </row>
    <row r="3625" spans="1:14" x14ac:dyDescent="0.25">
      <c r="A3625" s="14" t="s">
        <v>1445</v>
      </c>
      <c r="B3625" s="14">
        <v>15</v>
      </c>
      <c r="C3625" s="15" t="s">
        <v>1548</v>
      </c>
      <c r="D3625" s="14" t="s">
        <v>1745</v>
      </c>
      <c r="E3625" s="14" t="s">
        <v>1747</v>
      </c>
      <c r="F3625" s="17" t="s">
        <v>2993</v>
      </c>
      <c r="G3625" s="14">
        <v>39798</v>
      </c>
      <c r="H3625" s="14">
        <v>31838.400000000001</v>
      </c>
      <c r="I3625" s="31">
        <f>IF(COUNTIFS(Addendum!C:C,A3625,Addendum!D:D,IF(ISNUMBER(B3625),TEXT(B3625,"0000"),B3625),Addendum!E:E,"X")&gt;0,4%,0)</f>
        <v>0.04</v>
      </c>
      <c r="J3625" s="31">
        <f>IF(COUNTIFS(Addendum!C:C,A3625,Addendum!D:D,IF(ISNUMBER(B3625),TEXT(B3625,"0000"),B3625),Addendum!F:F,"X")&gt;0,2.5%,0)</f>
        <v>0</v>
      </c>
      <c r="K3625" s="31">
        <f>IF(COUNTIFS(Addendum!C:C,A3625,Addendum!D:D,IF(ISNUMBER(B3625),TEXT(B3625,"0000"),B3625),Addendum!G:G,"X")&gt;0,7%,0)</f>
        <v>0</v>
      </c>
      <c r="L3625" s="31">
        <f>IF(COUNTIFS(Addendum!C:C,A3625,Addendum!D:D,IF(ISNUMBER(B3625),TEXT(B3625,"0000"),B3625),Addendum!I:I,"X")&gt;0,10%,0)</f>
        <v>0.1</v>
      </c>
      <c r="M3625" s="34">
        <f t="shared" si="112"/>
        <v>0</v>
      </c>
      <c r="N3625" s="17">
        <f t="shared" si="113"/>
        <v>31838.400000000001</v>
      </c>
    </row>
    <row r="3626" spans="1:14" x14ac:dyDescent="0.25">
      <c r="A3626" s="14" t="s">
        <v>1445</v>
      </c>
      <c r="B3626" s="14" t="s">
        <v>2837</v>
      </c>
      <c r="C3626" s="15" t="s">
        <v>1610</v>
      </c>
      <c r="D3626" s="14" t="s">
        <v>1745</v>
      </c>
      <c r="E3626" s="14" t="s">
        <v>1747</v>
      </c>
      <c r="F3626" s="17" t="s">
        <v>2993</v>
      </c>
      <c r="G3626" s="14">
        <v>300834</v>
      </c>
      <c r="H3626" s="14">
        <v>240667.2</v>
      </c>
      <c r="I3626" s="31">
        <f>IF(COUNTIFS(Addendum!C:C,A3626,Addendum!D:D,IF(ISNUMBER(B3626),TEXT(B3626,"0000"),B3626),Addendum!E:E,"X")&gt;0,4%,0)</f>
        <v>0</v>
      </c>
      <c r="J3626" s="31">
        <f>IF(COUNTIFS(Addendum!C:C,A3626,Addendum!D:D,IF(ISNUMBER(B3626),TEXT(B3626,"0000"),B3626),Addendum!F:F,"X")&gt;0,2.5%,0)</f>
        <v>0</v>
      </c>
      <c r="K3626" s="31">
        <f>IF(COUNTIFS(Addendum!C:C,A3626,Addendum!D:D,IF(ISNUMBER(B3626),TEXT(B3626,"0000"),B3626),Addendum!G:G,"X")&gt;0,7%,0)</f>
        <v>0</v>
      </c>
      <c r="L3626" s="31">
        <f>IF(COUNTIFS(Addendum!C:C,A3626,Addendum!D:D,IF(ISNUMBER(B3626),TEXT(B3626,"0000"),B3626),Addendum!I:I,"X")&gt;0,10%,0)</f>
        <v>0</v>
      </c>
      <c r="M3626" s="34">
        <f t="shared" si="112"/>
        <v>0</v>
      </c>
      <c r="N3626" s="17">
        <f t="shared" si="113"/>
        <v>240667.2</v>
      </c>
    </row>
    <row r="3627" spans="1:14" x14ac:dyDescent="0.25">
      <c r="A3627" s="14" t="s">
        <v>1445</v>
      </c>
      <c r="B3627" s="14" t="s">
        <v>102</v>
      </c>
      <c r="C3627" s="15" t="s">
        <v>1562</v>
      </c>
      <c r="D3627" s="14" t="s">
        <v>1745</v>
      </c>
      <c r="E3627" s="14" t="s">
        <v>1747</v>
      </c>
      <c r="F3627" s="17" t="s">
        <v>2993</v>
      </c>
      <c r="G3627" s="14">
        <v>64044</v>
      </c>
      <c r="H3627" s="14">
        <v>51235.199999999997</v>
      </c>
      <c r="I3627" s="31">
        <f>IF(COUNTIFS(Addendum!C:C,A3627,Addendum!D:D,IF(ISNUMBER(B3627),TEXT(B3627,"0000"),B3627),Addendum!E:E,"X")&gt;0,4%,0)</f>
        <v>0.04</v>
      </c>
      <c r="J3627" s="31">
        <f>IF(COUNTIFS(Addendum!C:C,A3627,Addendum!D:D,IF(ISNUMBER(B3627),TEXT(B3627,"0000"),B3627),Addendum!F:F,"X")&gt;0,2.5%,0)</f>
        <v>0</v>
      </c>
      <c r="K3627" s="31">
        <f>IF(COUNTIFS(Addendum!C:C,A3627,Addendum!D:D,IF(ISNUMBER(B3627),TEXT(B3627,"0000"),B3627),Addendum!G:G,"X")&gt;0,7%,0)</f>
        <v>0</v>
      </c>
      <c r="L3627" s="31">
        <f>IF(COUNTIFS(Addendum!C:C,A3627,Addendum!D:D,IF(ISNUMBER(B3627),TEXT(B3627,"0000"),B3627),Addendum!I:I,"X")&gt;0,10%,0)</f>
        <v>0.1</v>
      </c>
      <c r="M3627" s="34">
        <f t="shared" si="112"/>
        <v>0</v>
      </c>
      <c r="N3627" s="17">
        <f t="shared" si="113"/>
        <v>51235.199999999997</v>
      </c>
    </row>
    <row r="3628" spans="1:14" x14ac:dyDescent="0.25">
      <c r="A3628" s="14" t="s">
        <v>1445</v>
      </c>
      <c r="B3628" s="14" t="s">
        <v>102</v>
      </c>
      <c r="C3628" s="15" t="s">
        <v>1562</v>
      </c>
      <c r="D3628" s="14" t="s">
        <v>1749</v>
      </c>
      <c r="E3628" s="14" t="s">
        <v>1746</v>
      </c>
      <c r="F3628" s="17" t="s">
        <v>2993</v>
      </c>
      <c r="G3628" s="14">
        <v>5930</v>
      </c>
      <c r="H3628" s="14">
        <v>4744</v>
      </c>
      <c r="I3628" s="31">
        <f>IF(COUNTIFS(Addendum!C:C,A3628,Addendum!D:D,IF(ISNUMBER(B3628),TEXT(B3628,"0000"),B3628),Addendum!E:E,"X")&gt;0,4%,0)</f>
        <v>0.04</v>
      </c>
      <c r="J3628" s="31">
        <f>IF(COUNTIFS(Addendum!C:C,A3628,Addendum!D:D,IF(ISNUMBER(B3628),TEXT(B3628,"0000"),B3628),Addendum!F:F,"X")&gt;0,2.5%,0)</f>
        <v>0</v>
      </c>
      <c r="K3628" s="31">
        <f>IF(COUNTIFS(Addendum!C:C,A3628,Addendum!D:D,IF(ISNUMBER(B3628),TEXT(B3628,"0000"),B3628),Addendum!G:G,"X")&gt;0,7%,0)</f>
        <v>0</v>
      </c>
      <c r="L3628" s="31">
        <f>IF(COUNTIFS(Addendum!C:C,A3628,Addendum!D:D,IF(ISNUMBER(B3628),TEXT(B3628,"0000"),B3628),Addendum!I:I,"X")&gt;0,10%,0)</f>
        <v>0.1</v>
      </c>
      <c r="M3628" s="34">
        <f t="shared" si="112"/>
        <v>0</v>
      </c>
      <c r="N3628" s="17">
        <f t="shared" si="113"/>
        <v>4744</v>
      </c>
    </row>
    <row r="3629" spans="1:14" x14ac:dyDescent="0.25">
      <c r="A3629" s="14" t="s">
        <v>1445</v>
      </c>
      <c r="B3629" s="14" t="s">
        <v>2837</v>
      </c>
      <c r="C3629" s="15" t="s">
        <v>1610</v>
      </c>
      <c r="D3629" s="14" t="s">
        <v>1749</v>
      </c>
      <c r="E3629" s="14" t="s">
        <v>1746</v>
      </c>
      <c r="F3629" s="17" t="s">
        <v>2993</v>
      </c>
      <c r="G3629" s="14">
        <v>27855</v>
      </c>
      <c r="H3629" s="14">
        <v>22284</v>
      </c>
      <c r="I3629" s="31">
        <f>IF(COUNTIFS(Addendum!C:C,A3629,Addendum!D:D,IF(ISNUMBER(B3629),TEXT(B3629,"0000"),B3629),Addendum!E:E,"X")&gt;0,4%,0)</f>
        <v>0</v>
      </c>
      <c r="J3629" s="31">
        <f>IF(COUNTIFS(Addendum!C:C,A3629,Addendum!D:D,IF(ISNUMBER(B3629),TEXT(B3629,"0000"),B3629),Addendum!F:F,"X")&gt;0,2.5%,0)</f>
        <v>0</v>
      </c>
      <c r="K3629" s="31">
        <f>IF(COUNTIFS(Addendum!C:C,A3629,Addendum!D:D,IF(ISNUMBER(B3629),TEXT(B3629,"0000"),B3629),Addendum!G:G,"X")&gt;0,7%,0)</f>
        <v>0</v>
      </c>
      <c r="L3629" s="31">
        <f>IF(COUNTIFS(Addendum!C:C,A3629,Addendum!D:D,IF(ISNUMBER(B3629),TEXT(B3629,"0000"),B3629),Addendum!I:I,"X")&gt;0,10%,0)</f>
        <v>0</v>
      </c>
      <c r="M3629" s="34">
        <f t="shared" si="112"/>
        <v>0</v>
      </c>
      <c r="N3629" s="17">
        <f t="shared" si="113"/>
        <v>22284</v>
      </c>
    </row>
    <row r="3630" spans="1:14" x14ac:dyDescent="0.25">
      <c r="A3630" s="14" t="s">
        <v>1445</v>
      </c>
      <c r="B3630" s="14" t="s">
        <v>1561</v>
      </c>
      <c r="C3630" s="15" t="s">
        <v>1560</v>
      </c>
      <c r="D3630" s="14" t="s">
        <v>1745</v>
      </c>
      <c r="E3630" s="14" t="s">
        <v>1746</v>
      </c>
      <c r="F3630" s="17" t="s">
        <v>2993</v>
      </c>
      <c r="G3630" s="14">
        <v>779455</v>
      </c>
      <c r="H3630" s="14">
        <v>623563.9</v>
      </c>
      <c r="I3630" s="31">
        <f>IF(COUNTIFS(Addendum!C:C,A3630,Addendum!D:D,IF(ISNUMBER(B3630),TEXT(B3630,"0000"),B3630),Addendum!E:E,"X")&gt;0,4%,0)</f>
        <v>0.04</v>
      </c>
      <c r="J3630" s="31">
        <f>IF(COUNTIFS(Addendum!C:C,A3630,Addendum!D:D,IF(ISNUMBER(B3630),TEXT(B3630,"0000"),B3630),Addendum!F:F,"X")&gt;0,2.5%,0)</f>
        <v>0</v>
      </c>
      <c r="K3630" s="31">
        <f>IF(COUNTIFS(Addendum!C:C,A3630,Addendum!D:D,IF(ISNUMBER(B3630),TEXT(B3630,"0000"),B3630),Addendum!G:G,"X")&gt;0,7%,0)</f>
        <v>0</v>
      </c>
      <c r="L3630" s="31">
        <f>IF(COUNTIFS(Addendum!C:C,A3630,Addendum!D:D,IF(ISNUMBER(B3630),TEXT(B3630,"0000"),B3630),Addendum!I:I,"X")&gt;0,10%,0)</f>
        <v>0.1</v>
      </c>
      <c r="M3630" s="34">
        <f t="shared" si="112"/>
        <v>0</v>
      </c>
      <c r="N3630" s="17">
        <f t="shared" si="113"/>
        <v>623563.9</v>
      </c>
    </row>
    <row r="3631" spans="1:14" x14ac:dyDescent="0.25">
      <c r="A3631" s="14" t="s">
        <v>1445</v>
      </c>
      <c r="B3631" s="14" t="s">
        <v>1592</v>
      </c>
      <c r="C3631" s="15" t="s">
        <v>1591</v>
      </c>
      <c r="D3631" s="14" t="s">
        <v>1749</v>
      </c>
      <c r="E3631" s="14" t="s">
        <v>1746</v>
      </c>
      <c r="F3631" s="17" t="s">
        <v>2993</v>
      </c>
      <c r="G3631" s="14">
        <v>171975</v>
      </c>
      <c r="H3631" s="14">
        <v>137580</v>
      </c>
      <c r="I3631" s="31">
        <f>IF(COUNTIFS(Addendum!C:C,A3631,Addendum!D:D,IF(ISNUMBER(B3631),TEXT(B3631,"0000"),B3631),Addendum!E:E,"X")&gt;0,4%,0)</f>
        <v>0.04</v>
      </c>
      <c r="J3631" s="31">
        <f>IF(COUNTIFS(Addendum!C:C,A3631,Addendum!D:D,IF(ISNUMBER(B3631),TEXT(B3631,"0000"),B3631),Addendum!F:F,"X")&gt;0,2.5%,0)</f>
        <v>0</v>
      </c>
      <c r="K3631" s="31">
        <f>IF(COUNTIFS(Addendum!C:C,A3631,Addendum!D:D,IF(ISNUMBER(B3631),TEXT(B3631,"0000"),B3631),Addendum!G:G,"X")&gt;0,7%,0)</f>
        <v>0</v>
      </c>
      <c r="L3631" s="31">
        <f>IF(COUNTIFS(Addendum!C:C,A3631,Addendum!D:D,IF(ISNUMBER(B3631),TEXT(B3631,"0000"),B3631),Addendum!I:I,"X")&gt;0,10%,0)</f>
        <v>0.1</v>
      </c>
      <c r="M3631" s="34">
        <f t="shared" si="112"/>
        <v>0</v>
      </c>
      <c r="N3631" s="17">
        <f t="shared" si="113"/>
        <v>137580</v>
      </c>
    </row>
    <row r="3632" spans="1:14" x14ac:dyDescent="0.25">
      <c r="A3632" s="14" t="s">
        <v>1445</v>
      </c>
      <c r="B3632" s="14" t="s">
        <v>295</v>
      </c>
      <c r="C3632" s="15" t="s">
        <v>1524</v>
      </c>
      <c r="D3632" s="14" t="s">
        <v>1745</v>
      </c>
      <c r="E3632" s="14" t="s">
        <v>1746</v>
      </c>
      <c r="F3632" s="17" t="s">
        <v>2993</v>
      </c>
      <c r="G3632" s="14">
        <v>320978.8</v>
      </c>
      <c r="H3632" s="14">
        <v>256783</v>
      </c>
      <c r="I3632" s="31">
        <f>IF(COUNTIFS(Addendum!C:C,A3632,Addendum!D:D,IF(ISNUMBER(B3632),TEXT(B3632,"0000"),B3632),Addendum!E:E,"X")&gt;0,4%,0)</f>
        <v>0.04</v>
      </c>
      <c r="J3632" s="31">
        <f>IF(COUNTIFS(Addendum!C:C,A3632,Addendum!D:D,IF(ISNUMBER(B3632),TEXT(B3632,"0000"),B3632),Addendum!F:F,"X")&gt;0,2.5%,0)</f>
        <v>0</v>
      </c>
      <c r="K3632" s="31">
        <f>IF(COUNTIFS(Addendum!C:C,A3632,Addendum!D:D,IF(ISNUMBER(B3632),TEXT(B3632,"0000"),B3632),Addendum!G:G,"X")&gt;0,7%,0)</f>
        <v>0</v>
      </c>
      <c r="L3632" s="31">
        <f>IF(COUNTIFS(Addendum!C:C,A3632,Addendum!D:D,IF(ISNUMBER(B3632),TEXT(B3632,"0000"),B3632),Addendum!I:I,"X")&gt;0,10%,0)</f>
        <v>0.1</v>
      </c>
      <c r="M3632" s="34">
        <f t="shared" si="112"/>
        <v>0</v>
      </c>
      <c r="N3632" s="17">
        <f t="shared" si="113"/>
        <v>256783</v>
      </c>
    </row>
    <row r="3633" spans="1:14" x14ac:dyDescent="0.25">
      <c r="A3633" s="14" t="s">
        <v>1445</v>
      </c>
      <c r="B3633" s="14" t="s">
        <v>243</v>
      </c>
      <c r="C3633" s="15" t="s">
        <v>1586</v>
      </c>
      <c r="D3633" s="14" t="s">
        <v>1749</v>
      </c>
      <c r="E3633" s="14" t="s">
        <v>1746</v>
      </c>
      <c r="F3633" s="17" t="s">
        <v>2993</v>
      </c>
      <c r="G3633" s="14">
        <v>14195</v>
      </c>
      <c r="H3633" s="14">
        <v>11356</v>
      </c>
      <c r="I3633" s="31">
        <f>IF(COUNTIFS(Addendum!C:C,A3633,Addendum!D:D,IF(ISNUMBER(B3633),TEXT(B3633,"0000"),B3633),Addendum!E:E,"X")&gt;0,4%,0)</f>
        <v>0.04</v>
      </c>
      <c r="J3633" s="31">
        <f>IF(COUNTIFS(Addendum!C:C,A3633,Addendum!D:D,IF(ISNUMBER(B3633),TEXT(B3633,"0000"),B3633),Addendum!F:F,"X")&gt;0,2.5%,0)</f>
        <v>0</v>
      </c>
      <c r="K3633" s="31">
        <f>IF(COUNTIFS(Addendum!C:C,A3633,Addendum!D:D,IF(ISNUMBER(B3633),TEXT(B3633,"0000"),B3633),Addendum!G:G,"X")&gt;0,7%,0)</f>
        <v>0</v>
      </c>
      <c r="L3633" s="31">
        <f>IF(COUNTIFS(Addendum!C:C,A3633,Addendum!D:D,IF(ISNUMBER(B3633),TEXT(B3633,"0000"),B3633),Addendum!I:I,"X")&gt;0,10%,0)</f>
        <v>0.1</v>
      </c>
      <c r="M3633" s="34">
        <f t="shared" si="112"/>
        <v>0</v>
      </c>
      <c r="N3633" s="17">
        <f t="shared" si="113"/>
        <v>11356</v>
      </c>
    </row>
    <row r="3634" spans="1:14" x14ac:dyDescent="0.25">
      <c r="A3634" s="14" t="s">
        <v>1445</v>
      </c>
      <c r="B3634" s="14">
        <v>48</v>
      </c>
      <c r="C3634" s="15" t="s">
        <v>1528</v>
      </c>
      <c r="D3634" s="14" t="s">
        <v>1745</v>
      </c>
      <c r="E3634" s="14" t="s">
        <v>1746</v>
      </c>
      <c r="F3634" s="17" t="s">
        <v>2993</v>
      </c>
      <c r="G3634" s="14">
        <v>282252.59999999998</v>
      </c>
      <c r="H3634" s="14">
        <v>225802.1</v>
      </c>
      <c r="I3634" s="31">
        <f>IF(COUNTIFS(Addendum!C:C,A3634,Addendum!D:D,IF(ISNUMBER(B3634),TEXT(B3634,"0000"),B3634),Addendum!E:E,"X")&gt;0,4%,0)</f>
        <v>0.04</v>
      </c>
      <c r="J3634" s="31">
        <f>IF(COUNTIFS(Addendum!C:C,A3634,Addendum!D:D,IF(ISNUMBER(B3634),TEXT(B3634,"0000"),B3634),Addendum!F:F,"X")&gt;0,2.5%,0)</f>
        <v>0</v>
      </c>
      <c r="K3634" s="31">
        <f>IF(COUNTIFS(Addendum!C:C,A3634,Addendum!D:D,IF(ISNUMBER(B3634),TEXT(B3634,"0000"),B3634),Addendum!G:G,"X")&gt;0,7%,0)</f>
        <v>0</v>
      </c>
      <c r="L3634" s="31">
        <f>IF(COUNTIFS(Addendum!C:C,A3634,Addendum!D:D,IF(ISNUMBER(B3634),TEXT(B3634,"0000"),B3634),Addendum!I:I,"X")&gt;0,10%,0)</f>
        <v>0.1</v>
      </c>
      <c r="M3634" s="34">
        <f t="shared" si="112"/>
        <v>0</v>
      </c>
      <c r="N3634" s="17">
        <f t="shared" si="113"/>
        <v>225802.1</v>
      </c>
    </row>
    <row r="3635" spans="1:14" x14ac:dyDescent="0.25">
      <c r="A3635" s="14" t="s">
        <v>1445</v>
      </c>
      <c r="B3635" s="14" t="s">
        <v>488</v>
      </c>
      <c r="C3635" s="15" t="s">
        <v>1598</v>
      </c>
      <c r="D3635" s="14" t="s">
        <v>1745</v>
      </c>
      <c r="E3635" s="14" t="s">
        <v>1746</v>
      </c>
      <c r="F3635" s="17" t="s">
        <v>2993</v>
      </c>
      <c r="G3635" s="14">
        <v>547155</v>
      </c>
      <c r="H3635" s="14">
        <v>437724</v>
      </c>
      <c r="I3635" s="31">
        <f>IF(COUNTIFS(Addendum!C:C,A3635,Addendum!D:D,IF(ISNUMBER(B3635),TEXT(B3635,"0000"),B3635),Addendum!E:E,"X")&gt;0,4%,0)</f>
        <v>0.04</v>
      </c>
      <c r="J3635" s="31">
        <f>IF(COUNTIFS(Addendum!C:C,A3635,Addendum!D:D,IF(ISNUMBER(B3635),TEXT(B3635,"0000"),B3635),Addendum!F:F,"X")&gt;0,2.5%,0)</f>
        <v>0</v>
      </c>
      <c r="K3635" s="31">
        <f>IF(COUNTIFS(Addendum!C:C,A3635,Addendum!D:D,IF(ISNUMBER(B3635),TEXT(B3635,"0000"),B3635),Addendum!G:G,"X")&gt;0,7%,0)</f>
        <v>0</v>
      </c>
      <c r="L3635" s="31">
        <f>IF(COUNTIFS(Addendum!C:C,A3635,Addendum!D:D,IF(ISNUMBER(B3635),TEXT(B3635,"0000"),B3635),Addendum!I:I,"X")&gt;0,10%,0)</f>
        <v>0.1</v>
      </c>
      <c r="M3635" s="34">
        <f t="shared" si="112"/>
        <v>0</v>
      </c>
      <c r="N3635" s="17">
        <f t="shared" si="113"/>
        <v>437724</v>
      </c>
    </row>
    <row r="3636" spans="1:14" x14ac:dyDescent="0.25">
      <c r="A3636" s="14" t="s">
        <v>1445</v>
      </c>
      <c r="B3636" s="14" t="s">
        <v>650</v>
      </c>
      <c r="C3636" s="15" t="s">
        <v>1581</v>
      </c>
      <c r="D3636" s="14" t="s">
        <v>1745</v>
      </c>
      <c r="E3636" s="14" t="s">
        <v>1747</v>
      </c>
      <c r="F3636" s="17" t="s">
        <v>2993</v>
      </c>
      <c r="G3636" s="14">
        <v>128088</v>
      </c>
      <c r="H3636" s="14">
        <v>102470.39999999999</v>
      </c>
      <c r="I3636" s="31">
        <f>IF(COUNTIFS(Addendum!C:C,A3636,Addendum!D:D,IF(ISNUMBER(B3636),TEXT(B3636,"0000"),B3636),Addendum!E:E,"X")&gt;0,4%,0)</f>
        <v>0.04</v>
      </c>
      <c r="J3636" s="31">
        <f>IF(COUNTIFS(Addendum!C:C,A3636,Addendum!D:D,IF(ISNUMBER(B3636),TEXT(B3636,"0000"),B3636),Addendum!F:F,"X")&gt;0,2.5%,0)</f>
        <v>0</v>
      </c>
      <c r="K3636" s="31">
        <f>IF(COUNTIFS(Addendum!C:C,A3636,Addendum!D:D,IF(ISNUMBER(B3636),TEXT(B3636,"0000"),B3636),Addendum!G:G,"X")&gt;0,7%,0)</f>
        <v>0</v>
      </c>
      <c r="L3636" s="31">
        <f>IF(COUNTIFS(Addendum!C:C,A3636,Addendum!D:D,IF(ISNUMBER(B3636),TEXT(B3636,"0000"),B3636),Addendum!I:I,"X")&gt;0,10%,0)</f>
        <v>0.1</v>
      </c>
      <c r="M3636" s="34">
        <f t="shared" si="112"/>
        <v>0</v>
      </c>
      <c r="N3636" s="17">
        <f t="shared" si="113"/>
        <v>102470.39999999999</v>
      </c>
    </row>
    <row r="3637" spans="1:14" x14ac:dyDescent="0.25">
      <c r="A3637" s="14" t="s">
        <v>1445</v>
      </c>
      <c r="B3637" s="14" t="s">
        <v>650</v>
      </c>
      <c r="C3637" s="15" t="s">
        <v>1581</v>
      </c>
      <c r="D3637" s="14" t="s">
        <v>1745</v>
      </c>
      <c r="E3637" s="14" t="s">
        <v>1746</v>
      </c>
      <c r="F3637" s="17" t="s">
        <v>2993</v>
      </c>
      <c r="G3637" s="14">
        <v>134492.4</v>
      </c>
      <c r="H3637" s="14">
        <v>107593.9</v>
      </c>
      <c r="I3637" s="31">
        <f>IF(COUNTIFS(Addendum!C:C,A3637,Addendum!D:D,IF(ISNUMBER(B3637),TEXT(B3637,"0000"),B3637),Addendum!E:E,"X")&gt;0,4%,0)</f>
        <v>0.04</v>
      </c>
      <c r="J3637" s="31">
        <f>IF(COUNTIFS(Addendum!C:C,A3637,Addendum!D:D,IF(ISNUMBER(B3637),TEXT(B3637,"0000"),B3637),Addendum!F:F,"X")&gt;0,2.5%,0)</f>
        <v>0</v>
      </c>
      <c r="K3637" s="31">
        <f>IF(COUNTIFS(Addendum!C:C,A3637,Addendum!D:D,IF(ISNUMBER(B3637),TEXT(B3637,"0000"),B3637),Addendum!G:G,"X")&gt;0,7%,0)</f>
        <v>0</v>
      </c>
      <c r="L3637" s="31">
        <f>IF(COUNTIFS(Addendum!C:C,A3637,Addendum!D:D,IF(ISNUMBER(B3637),TEXT(B3637,"0000"),B3637),Addendum!I:I,"X")&gt;0,10%,0)</f>
        <v>0.1</v>
      </c>
      <c r="M3637" s="34">
        <f t="shared" si="112"/>
        <v>0</v>
      </c>
      <c r="N3637" s="17">
        <f t="shared" si="113"/>
        <v>107593.9</v>
      </c>
    </row>
    <row r="3638" spans="1:14" x14ac:dyDescent="0.25">
      <c r="A3638" s="14" t="s">
        <v>1445</v>
      </c>
      <c r="B3638" s="14" t="s">
        <v>243</v>
      </c>
      <c r="C3638" s="15" t="s">
        <v>1586</v>
      </c>
      <c r="D3638" s="14" t="s">
        <v>1745</v>
      </c>
      <c r="E3638" s="14" t="s">
        <v>1746</v>
      </c>
      <c r="F3638" s="17" t="s">
        <v>2993</v>
      </c>
      <c r="G3638" s="14">
        <v>160971.4</v>
      </c>
      <c r="H3638" s="14">
        <v>128777</v>
      </c>
      <c r="I3638" s="31">
        <f>IF(COUNTIFS(Addendum!C:C,A3638,Addendum!D:D,IF(ISNUMBER(B3638),TEXT(B3638,"0000"),B3638),Addendum!E:E,"X")&gt;0,4%,0)</f>
        <v>0.04</v>
      </c>
      <c r="J3638" s="31">
        <f>IF(COUNTIFS(Addendum!C:C,A3638,Addendum!D:D,IF(ISNUMBER(B3638),TEXT(B3638,"0000"),B3638),Addendum!F:F,"X")&gt;0,2.5%,0)</f>
        <v>0</v>
      </c>
      <c r="K3638" s="31">
        <f>IF(COUNTIFS(Addendum!C:C,A3638,Addendum!D:D,IF(ISNUMBER(B3638),TEXT(B3638,"0000"),B3638),Addendum!G:G,"X")&gt;0,7%,0)</f>
        <v>0</v>
      </c>
      <c r="L3638" s="31">
        <f>IF(COUNTIFS(Addendum!C:C,A3638,Addendum!D:D,IF(ISNUMBER(B3638),TEXT(B3638,"0000"),B3638),Addendum!I:I,"X")&gt;0,10%,0)</f>
        <v>0.1</v>
      </c>
      <c r="M3638" s="34">
        <f t="shared" si="112"/>
        <v>0</v>
      </c>
      <c r="N3638" s="17">
        <f t="shared" si="113"/>
        <v>128777</v>
      </c>
    </row>
    <row r="3639" spans="1:14" x14ac:dyDescent="0.25">
      <c r="A3639" s="14" t="s">
        <v>1445</v>
      </c>
      <c r="B3639" s="14">
        <v>13</v>
      </c>
      <c r="C3639" s="15" t="s">
        <v>1533</v>
      </c>
      <c r="D3639" s="14" t="s">
        <v>1749</v>
      </c>
      <c r="E3639" s="14" t="s">
        <v>1746</v>
      </c>
      <c r="F3639" s="17" t="s">
        <v>2993</v>
      </c>
      <c r="G3639" s="14">
        <v>2785</v>
      </c>
      <c r="H3639" s="14">
        <v>2228</v>
      </c>
      <c r="I3639" s="31">
        <f>IF(COUNTIFS(Addendum!C:C,A3639,Addendum!D:D,IF(ISNUMBER(B3639),TEXT(B3639,"0000"),B3639),Addendum!E:E,"X")&gt;0,4%,0)</f>
        <v>0.04</v>
      </c>
      <c r="J3639" s="31">
        <f>IF(COUNTIFS(Addendum!C:C,A3639,Addendum!D:D,IF(ISNUMBER(B3639),TEXT(B3639,"0000"),B3639),Addendum!F:F,"X")&gt;0,2.5%,0)</f>
        <v>0</v>
      </c>
      <c r="K3639" s="31">
        <f>IF(COUNTIFS(Addendum!C:C,A3639,Addendum!D:D,IF(ISNUMBER(B3639),TEXT(B3639,"0000"),B3639),Addendum!G:G,"X")&gt;0,7%,0)</f>
        <v>0</v>
      </c>
      <c r="L3639" s="31">
        <f>IF(COUNTIFS(Addendum!C:C,A3639,Addendum!D:D,IF(ISNUMBER(B3639),TEXT(B3639,"0000"),B3639),Addendum!I:I,"X")&gt;0,10%,0)</f>
        <v>0.1</v>
      </c>
      <c r="M3639" s="34">
        <f t="shared" si="112"/>
        <v>0</v>
      </c>
      <c r="N3639" s="17">
        <f t="shared" si="113"/>
        <v>2228</v>
      </c>
    </row>
    <row r="3640" spans="1:14" x14ac:dyDescent="0.25">
      <c r="A3640" s="14" t="s">
        <v>1445</v>
      </c>
      <c r="B3640" s="14" t="s">
        <v>650</v>
      </c>
      <c r="C3640" s="15" t="s">
        <v>1581</v>
      </c>
      <c r="D3640" s="14" t="s">
        <v>1749</v>
      </c>
      <c r="E3640" s="14" t="s">
        <v>1746</v>
      </c>
      <c r="F3640" s="17" t="s">
        <v>2993</v>
      </c>
      <c r="G3640" s="14">
        <v>11860</v>
      </c>
      <c r="H3640" s="14">
        <v>9488</v>
      </c>
      <c r="I3640" s="31">
        <f>IF(COUNTIFS(Addendum!C:C,A3640,Addendum!D:D,IF(ISNUMBER(B3640),TEXT(B3640,"0000"),B3640),Addendum!E:E,"X")&gt;0,4%,0)</f>
        <v>0.04</v>
      </c>
      <c r="J3640" s="31">
        <f>IF(COUNTIFS(Addendum!C:C,A3640,Addendum!D:D,IF(ISNUMBER(B3640),TEXT(B3640,"0000"),B3640),Addendum!F:F,"X")&gt;0,2.5%,0)</f>
        <v>0</v>
      </c>
      <c r="K3640" s="31">
        <f>IF(COUNTIFS(Addendum!C:C,A3640,Addendum!D:D,IF(ISNUMBER(B3640),TEXT(B3640,"0000"),B3640),Addendum!G:G,"X")&gt;0,7%,0)</f>
        <v>0</v>
      </c>
      <c r="L3640" s="31">
        <f>IF(COUNTIFS(Addendum!C:C,A3640,Addendum!D:D,IF(ISNUMBER(B3640),TEXT(B3640,"0000"),B3640),Addendum!I:I,"X")&gt;0,10%,0)</f>
        <v>0.1</v>
      </c>
      <c r="M3640" s="34">
        <f t="shared" si="112"/>
        <v>0</v>
      </c>
      <c r="N3640" s="17">
        <f t="shared" si="113"/>
        <v>9488</v>
      </c>
    </row>
    <row r="3641" spans="1:14" x14ac:dyDescent="0.25">
      <c r="A3641" s="14" t="s">
        <v>1445</v>
      </c>
      <c r="B3641" s="14">
        <v>13</v>
      </c>
      <c r="C3641" s="15" t="s">
        <v>1533</v>
      </c>
      <c r="D3641" s="14" t="s">
        <v>1745</v>
      </c>
      <c r="E3641" s="14" t="s">
        <v>1747</v>
      </c>
      <c r="F3641" s="17" t="s">
        <v>2993</v>
      </c>
      <c r="G3641" s="14">
        <v>30078</v>
      </c>
      <c r="H3641" s="14">
        <v>24062.400000000001</v>
      </c>
      <c r="I3641" s="31">
        <f>IF(COUNTIFS(Addendum!C:C,A3641,Addendum!D:D,IF(ISNUMBER(B3641),TEXT(B3641,"0000"),B3641),Addendum!E:E,"X")&gt;0,4%,0)</f>
        <v>0.04</v>
      </c>
      <c r="J3641" s="31">
        <f>IF(COUNTIFS(Addendum!C:C,A3641,Addendum!D:D,IF(ISNUMBER(B3641),TEXT(B3641,"0000"),B3641),Addendum!F:F,"X")&gt;0,2.5%,0)</f>
        <v>0</v>
      </c>
      <c r="K3641" s="31">
        <f>IF(COUNTIFS(Addendum!C:C,A3641,Addendum!D:D,IF(ISNUMBER(B3641),TEXT(B3641,"0000"),B3641),Addendum!G:G,"X")&gt;0,7%,0)</f>
        <v>0</v>
      </c>
      <c r="L3641" s="31">
        <f>IF(COUNTIFS(Addendum!C:C,A3641,Addendum!D:D,IF(ISNUMBER(B3641),TEXT(B3641,"0000"),B3641),Addendum!I:I,"X")&gt;0,10%,0)</f>
        <v>0.1</v>
      </c>
      <c r="M3641" s="34">
        <f t="shared" si="112"/>
        <v>0</v>
      </c>
      <c r="N3641" s="17">
        <f t="shared" si="113"/>
        <v>24062.400000000001</v>
      </c>
    </row>
    <row r="3642" spans="1:14" x14ac:dyDescent="0.25">
      <c r="A3642" s="14" t="s">
        <v>1445</v>
      </c>
      <c r="B3642" s="14" t="s">
        <v>465</v>
      </c>
      <c r="C3642" s="15" t="s">
        <v>1604</v>
      </c>
      <c r="D3642" s="14" t="s">
        <v>1749</v>
      </c>
      <c r="E3642" s="14" t="s">
        <v>1746</v>
      </c>
      <c r="F3642" s="17" t="s">
        <v>2993</v>
      </c>
      <c r="G3642" s="14">
        <v>92455</v>
      </c>
      <c r="H3642" s="14">
        <v>73964</v>
      </c>
      <c r="I3642" s="31">
        <f>IF(COUNTIFS(Addendum!C:C,A3642,Addendum!D:D,IF(ISNUMBER(B3642),TEXT(B3642,"0000"),B3642),Addendum!E:E,"X")&gt;0,4%,0)</f>
        <v>0.04</v>
      </c>
      <c r="J3642" s="31">
        <f>IF(COUNTIFS(Addendum!C:C,A3642,Addendum!D:D,IF(ISNUMBER(B3642),TEXT(B3642,"0000"),B3642),Addendum!F:F,"X")&gt;0,2.5%,0)</f>
        <v>0</v>
      </c>
      <c r="K3642" s="31">
        <f>IF(COUNTIFS(Addendum!C:C,A3642,Addendum!D:D,IF(ISNUMBER(B3642),TEXT(B3642,"0000"),B3642),Addendum!G:G,"X")&gt;0,7%,0)</f>
        <v>0</v>
      </c>
      <c r="L3642" s="31">
        <f>IF(COUNTIFS(Addendum!C:C,A3642,Addendum!D:D,IF(ISNUMBER(B3642),TEXT(B3642,"0000"),B3642),Addendum!I:I,"X")&gt;0,10%,0)</f>
        <v>0.1</v>
      </c>
      <c r="M3642" s="34">
        <f t="shared" si="112"/>
        <v>0</v>
      </c>
      <c r="N3642" s="17">
        <f t="shared" si="113"/>
        <v>73964</v>
      </c>
    </row>
    <row r="3643" spans="1:14" x14ac:dyDescent="0.25">
      <c r="A3643" s="14" t="s">
        <v>1445</v>
      </c>
      <c r="B3643" s="14">
        <v>19</v>
      </c>
      <c r="C3643" s="15" t="s">
        <v>1548</v>
      </c>
      <c r="D3643" s="14" t="s">
        <v>1749</v>
      </c>
      <c r="E3643" s="14" t="s">
        <v>1766</v>
      </c>
      <c r="F3643" s="17" t="s">
        <v>2993</v>
      </c>
      <c r="G3643" s="14">
        <v>0</v>
      </c>
      <c r="H3643" s="14">
        <v>0</v>
      </c>
      <c r="I3643" s="31">
        <f>IF(COUNTIFS(Addendum!C:C,A3643,Addendum!D:D,IF(ISNUMBER(B3643),TEXT(B3643,"0000"),B3643),Addendum!E:E,"X")&gt;0,4%,0)</f>
        <v>0.04</v>
      </c>
      <c r="J3643" s="31">
        <f>IF(COUNTIFS(Addendum!C:C,A3643,Addendum!D:D,IF(ISNUMBER(B3643),TEXT(B3643,"0000"),B3643),Addendum!F:F,"X")&gt;0,2.5%,0)</f>
        <v>0</v>
      </c>
      <c r="K3643" s="31">
        <f>IF(COUNTIFS(Addendum!C:C,A3643,Addendum!D:D,IF(ISNUMBER(B3643),TEXT(B3643,"0000"),B3643),Addendum!G:G,"X")&gt;0,7%,0)</f>
        <v>0</v>
      </c>
      <c r="L3643" s="31">
        <f>IF(COUNTIFS(Addendum!C:C,A3643,Addendum!D:D,IF(ISNUMBER(B3643),TEXT(B3643,"0000"),B3643),Addendum!I:I,"X")&gt;0,10%,0)</f>
        <v>0.1</v>
      </c>
      <c r="M3643" s="34">
        <f t="shared" si="112"/>
        <v>0</v>
      </c>
      <c r="N3643" s="17">
        <f t="shared" si="113"/>
        <v>0</v>
      </c>
    </row>
    <row r="3644" spans="1:14" x14ac:dyDescent="0.25">
      <c r="A3644" s="14" t="s">
        <v>1445</v>
      </c>
      <c r="B3644" s="14" t="s">
        <v>1559</v>
      </c>
      <c r="C3644" s="15" t="s">
        <v>1558</v>
      </c>
      <c r="D3644" s="14" t="s">
        <v>1745</v>
      </c>
      <c r="E3644" s="14" t="s">
        <v>1746</v>
      </c>
      <c r="F3644" s="17" t="s">
        <v>2993</v>
      </c>
      <c r="G3644" s="14">
        <v>677565</v>
      </c>
      <c r="H3644" s="14">
        <v>542052</v>
      </c>
      <c r="I3644" s="31">
        <f>IF(COUNTIFS(Addendum!C:C,A3644,Addendum!D:D,IF(ISNUMBER(B3644),TEXT(B3644,"0000"),B3644),Addendum!E:E,"X")&gt;0,4%,0)</f>
        <v>0.04</v>
      </c>
      <c r="J3644" s="31">
        <f>IF(COUNTIFS(Addendum!C:C,A3644,Addendum!D:D,IF(ISNUMBER(B3644),TEXT(B3644,"0000"),B3644),Addendum!F:F,"X")&gt;0,2.5%,0)</f>
        <v>0</v>
      </c>
      <c r="K3644" s="31">
        <f>IF(COUNTIFS(Addendum!C:C,A3644,Addendum!D:D,IF(ISNUMBER(B3644),TEXT(B3644,"0000"),B3644),Addendum!G:G,"X")&gt;0,7%,0)</f>
        <v>0</v>
      </c>
      <c r="L3644" s="31">
        <f>IF(COUNTIFS(Addendum!C:C,A3644,Addendum!D:D,IF(ISNUMBER(B3644),TEXT(B3644,"0000"),B3644),Addendum!I:I,"X")&gt;0,10%,0)</f>
        <v>0.1</v>
      </c>
      <c r="M3644" s="34">
        <f t="shared" si="112"/>
        <v>0</v>
      </c>
      <c r="N3644" s="17">
        <f t="shared" si="113"/>
        <v>542052</v>
      </c>
    </row>
    <row r="3645" spans="1:14" x14ac:dyDescent="0.25">
      <c r="A3645" s="14" t="s">
        <v>1445</v>
      </c>
      <c r="B3645" s="14" t="s">
        <v>102</v>
      </c>
      <c r="C3645" s="15" t="s">
        <v>1562</v>
      </c>
      <c r="D3645" s="14" t="s">
        <v>1745</v>
      </c>
      <c r="E3645" s="14" t="s">
        <v>1746</v>
      </c>
      <c r="F3645" s="17" t="s">
        <v>2993</v>
      </c>
      <c r="G3645" s="14">
        <v>67246.2</v>
      </c>
      <c r="H3645" s="14">
        <v>53796.959999999999</v>
      </c>
      <c r="I3645" s="31">
        <f>IF(COUNTIFS(Addendum!C:C,A3645,Addendum!D:D,IF(ISNUMBER(B3645),TEXT(B3645,"0000"),B3645),Addendum!E:E,"X")&gt;0,4%,0)</f>
        <v>0.04</v>
      </c>
      <c r="J3645" s="31">
        <f>IF(COUNTIFS(Addendum!C:C,A3645,Addendum!D:D,IF(ISNUMBER(B3645),TEXT(B3645,"0000"),B3645),Addendum!F:F,"X")&gt;0,2.5%,0)</f>
        <v>0</v>
      </c>
      <c r="K3645" s="31">
        <f>IF(COUNTIFS(Addendum!C:C,A3645,Addendum!D:D,IF(ISNUMBER(B3645),TEXT(B3645,"0000"),B3645),Addendum!G:G,"X")&gt;0,7%,0)</f>
        <v>0</v>
      </c>
      <c r="L3645" s="31">
        <f>IF(COUNTIFS(Addendum!C:C,A3645,Addendum!D:D,IF(ISNUMBER(B3645),TEXT(B3645,"0000"),B3645),Addendum!I:I,"X")&gt;0,10%,0)</f>
        <v>0.1</v>
      </c>
      <c r="M3645" s="34">
        <f t="shared" si="112"/>
        <v>0</v>
      </c>
      <c r="N3645" s="17">
        <f t="shared" si="113"/>
        <v>53796.959999999999</v>
      </c>
    </row>
    <row r="3646" spans="1:14" x14ac:dyDescent="0.25">
      <c r="A3646" s="14" t="s">
        <v>1445</v>
      </c>
      <c r="B3646" s="14" t="s">
        <v>195</v>
      </c>
      <c r="C3646" s="15" t="s">
        <v>1567</v>
      </c>
      <c r="D3646" s="14" t="s">
        <v>1745</v>
      </c>
      <c r="E3646" s="14" t="s">
        <v>1746</v>
      </c>
      <c r="F3646" s="17" t="s">
        <v>2993</v>
      </c>
      <c r="G3646" s="14">
        <v>76431.600000000006</v>
      </c>
      <c r="H3646" s="14">
        <v>61145.279999999999</v>
      </c>
      <c r="I3646" s="31">
        <f>IF(COUNTIFS(Addendum!C:C,A3646,Addendum!D:D,IF(ISNUMBER(B3646),TEXT(B3646,"0000"),B3646),Addendum!E:E,"X")&gt;0,4%,0)</f>
        <v>0.04</v>
      </c>
      <c r="J3646" s="31">
        <f>IF(COUNTIFS(Addendum!C:C,A3646,Addendum!D:D,IF(ISNUMBER(B3646),TEXT(B3646,"0000"),B3646),Addendum!F:F,"X")&gt;0,2.5%,0)</f>
        <v>0</v>
      </c>
      <c r="K3646" s="31">
        <f>IF(COUNTIFS(Addendum!C:C,A3646,Addendum!D:D,IF(ISNUMBER(B3646),TEXT(B3646,"0000"),B3646),Addendum!G:G,"X")&gt;0,7%,0)</f>
        <v>0</v>
      </c>
      <c r="L3646" s="31">
        <f>IF(COUNTIFS(Addendum!C:C,A3646,Addendum!D:D,IF(ISNUMBER(B3646),TEXT(B3646,"0000"),B3646),Addendum!I:I,"X")&gt;0,10%,0)</f>
        <v>0.1</v>
      </c>
      <c r="M3646" s="34">
        <f t="shared" si="112"/>
        <v>0</v>
      </c>
      <c r="N3646" s="17">
        <f t="shared" si="113"/>
        <v>61145.279999999999</v>
      </c>
    </row>
    <row r="3647" spans="1:14" x14ac:dyDescent="0.25">
      <c r="A3647" s="14" t="s">
        <v>1445</v>
      </c>
      <c r="B3647" s="14" t="s">
        <v>1561</v>
      </c>
      <c r="C3647" s="15" t="s">
        <v>1560</v>
      </c>
      <c r="D3647" s="14" t="s">
        <v>1749</v>
      </c>
      <c r="E3647" s="14" t="s">
        <v>1746</v>
      </c>
      <c r="F3647" s="17" t="s">
        <v>2993</v>
      </c>
      <c r="G3647" s="14">
        <v>68735</v>
      </c>
      <c r="H3647" s="14">
        <v>54988</v>
      </c>
      <c r="I3647" s="31">
        <f>IF(COUNTIFS(Addendum!C:C,A3647,Addendum!D:D,IF(ISNUMBER(B3647),TEXT(B3647,"0000"),B3647),Addendum!E:E,"X")&gt;0,4%,0)</f>
        <v>0.04</v>
      </c>
      <c r="J3647" s="31">
        <f>IF(COUNTIFS(Addendum!C:C,A3647,Addendum!D:D,IF(ISNUMBER(B3647),TEXT(B3647,"0000"),B3647),Addendum!F:F,"X")&gt;0,2.5%,0)</f>
        <v>0</v>
      </c>
      <c r="K3647" s="31">
        <f>IF(COUNTIFS(Addendum!C:C,A3647,Addendum!D:D,IF(ISNUMBER(B3647),TEXT(B3647,"0000"),B3647),Addendum!G:G,"X")&gt;0,7%,0)</f>
        <v>0</v>
      </c>
      <c r="L3647" s="31">
        <f>IF(COUNTIFS(Addendum!C:C,A3647,Addendum!D:D,IF(ISNUMBER(B3647),TEXT(B3647,"0000"),B3647),Addendum!I:I,"X")&gt;0,10%,0)</f>
        <v>0.1</v>
      </c>
      <c r="M3647" s="34">
        <f t="shared" si="112"/>
        <v>0</v>
      </c>
      <c r="N3647" s="17">
        <f t="shared" si="113"/>
        <v>54988</v>
      </c>
    </row>
    <row r="3648" spans="1:14" x14ac:dyDescent="0.25">
      <c r="A3648" s="14" t="s">
        <v>1445</v>
      </c>
      <c r="B3648" s="14" t="s">
        <v>118</v>
      </c>
      <c r="C3648" s="15" t="s">
        <v>1571</v>
      </c>
      <c r="D3648" s="14" t="s">
        <v>1745</v>
      </c>
      <c r="E3648" s="14" t="s">
        <v>1746</v>
      </c>
      <c r="F3648" s="17" t="s">
        <v>2993</v>
      </c>
      <c r="G3648" s="14">
        <v>102910.6</v>
      </c>
      <c r="H3648" s="14">
        <v>82328.399999999994</v>
      </c>
      <c r="I3648" s="31">
        <f>IF(COUNTIFS(Addendum!C:C,A3648,Addendum!D:D,IF(ISNUMBER(B3648),TEXT(B3648,"0000"),B3648),Addendum!E:E,"X")&gt;0,4%,0)</f>
        <v>0.04</v>
      </c>
      <c r="J3648" s="31">
        <f>IF(COUNTIFS(Addendum!C:C,A3648,Addendum!D:D,IF(ISNUMBER(B3648),TEXT(B3648,"0000"),B3648),Addendum!F:F,"X")&gt;0,2.5%,0)</f>
        <v>0</v>
      </c>
      <c r="K3648" s="31">
        <f>IF(COUNTIFS(Addendum!C:C,A3648,Addendum!D:D,IF(ISNUMBER(B3648),TEXT(B3648,"0000"),B3648),Addendum!G:G,"X")&gt;0,7%,0)</f>
        <v>0</v>
      </c>
      <c r="L3648" s="31">
        <f>IF(COUNTIFS(Addendum!C:C,A3648,Addendum!D:D,IF(ISNUMBER(B3648),TEXT(B3648,"0000"),B3648),Addendum!I:I,"X")&gt;0,10%,0)</f>
        <v>0.1</v>
      </c>
      <c r="M3648" s="34">
        <f t="shared" si="112"/>
        <v>0</v>
      </c>
      <c r="N3648" s="17">
        <f t="shared" si="113"/>
        <v>82328.399999999994</v>
      </c>
    </row>
    <row r="3649" spans="1:14" x14ac:dyDescent="0.25">
      <c r="A3649" s="14" t="s">
        <v>1445</v>
      </c>
      <c r="B3649" s="14" t="s">
        <v>1561</v>
      </c>
      <c r="C3649" s="15" t="s">
        <v>1560</v>
      </c>
      <c r="D3649" s="14" t="s">
        <v>1745</v>
      </c>
      <c r="E3649" s="14" t="s">
        <v>1747</v>
      </c>
      <c r="F3649" s="17" t="s">
        <v>2993</v>
      </c>
      <c r="G3649" s="14">
        <v>742338</v>
      </c>
      <c r="H3649" s="14">
        <v>593870.4</v>
      </c>
      <c r="I3649" s="31">
        <f>IF(COUNTIFS(Addendum!C:C,A3649,Addendum!D:D,IF(ISNUMBER(B3649),TEXT(B3649,"0000"),B3649),Addendum!E:E,"X")&gt;0,4%,0)</f>
        <v>0.04</v>
      </c>
      <c r="J3649" s="31">
        <f>IF(COUNTIFS(Addendum!C:C,A3649,Addendum!D:D,IF(ISNUMBER(B3649),TEXT(B3649,"0000"),B3649),Addendum!F:F,"X")&gt;0,2.5%,0)</f>
        <v>0</v>
      </c>
      <c r="K3649" s="31">
        <f>IF(COUNTIFS(Addendum!C:C,A3649,Addendum!D:D,IF(ISNUMBER(B3649),TEXT(B3649,"0000"),B3649),Addendum!G:G,"X")&gt;0,7%,0)</f>
        <v>0</v>
      </c>
      <c r="L3649" s="31">
        <f>IF(COUNTIFS(Addendum!C:C,A3649,Addendum!D:D,IF(ISNUMBER(B3649),TEXT(B3649,"0000"),B3649),Addendum!I:I,"X")&gt;0,10%,0)</f>
        <v>0.1</v>
      </c>
      <c r="M3649" s="34">
        <f t="shared" si="112"/>
        <v>0</v>
      </c>
      <c r="N3649" s="17">
        <f t="shared" si="113"/>
        <v>593870.4</v>
      </c>
    </row>
    <row r="3650" spans="1:14" x14ac:dyDescent="0.25">
      <c r="A3650" s="14" t="s">
        <v>1445</v>
      </c>
      <c r="B3650" s="14" t="s">
        <v>1559</v>
      </c>
      <c r="C3650" s="15" t="s">
        <v>1558</v>
      </c>
      <c r="D3650" s="14" t="s">
        <v>1749</v>
      </c>
      <c r="E3650" s="14" t="s">
        <v>1746</v>
      </c>
      <c r="F3650" s="17" t="s">
        <v>2993</v>
      </c>
      <c r="G3650" s="14">
        <v>59750</v>
      </c>
      <c r="H3650" s="14">
        <v>47800</v>
      </c>
      <c r="I3650" s="31">
        <f>IF(COUNTIFS(Addendum!C:C,A3650,Addendum!D:D,IF(ISNUMBER(B3650),TEXT(B3650,"0000"),B3650),Addendum!E:E,"X")&gt;0,4%,0)</f>
        <v>0.04</v>
      </c>
      <c r="J3650" s="31">
        <f>IF(COUNTIFS(Addendum!C:C,A3650,Addendum!D:D,IF(ISNUMBER(B3650),TEXT(B3650,"0000"),B3650),Addendum!F:F,"X")&gt;0,2.5%,0)</f>
        <v>0</v>
      </c>
      <c r="K3650" s="31">
        <f>IF(COUNTIFS(Addendum!C:C,A3650,Addendum!D:D,IF(ISNUMBER(B3650),TEXT(B3650,"0000"),B3650),Addendum!G:G,"X")&gt;0,7%,0)</f>
        <v>0</v>
      </c>
      <c r="L3650" s="31">
        <f>IF(COUNTIFS(Addendum!C:C,A3650,Addendum!D:D,IF(ISNUMBER(B3650),TEXT(B3650,"0000"),B3650),Addendum!I:I,"X")&gt;0,10%,0)</f>
        <v>0.1</v>
      </c>
      <c r="M3650" s="34">
        <f t="shared" si="112"/>
        <v>0</v>
      </c>
      <c r="N3650" s="17">
        <f t="shared" si="113"/>
        <v>47800</v>
      </c>
    </row>
    <row r="3651" spans="1:14" x14ac:dyDescent="0.25">
      <c r="A3651" s="14" t="s">
        <v>1445</v>
      </c>
      <c r="B3651" s="14" t="s">
        <v>195</v>
      </c>
      <c r="C3651" s="15" t="s">
        <v>1567</v>
      </c>
      <c r="D3651" s="14" t="s">
        <v>1749</v>
      </c>
      <c r="E3651" s="14" t="s">
        <v>1746</v>
      </c>
      <c r="F3651" s="17" t="s">
        <v>2993</v>
      </c>
      <c r="G3651" s="14">
        <v>6740</v>
      </c>
      <c r="H3651" s="14">
        <v>5392</v>
      </c>
      <c r="I3651" s="31">
        <f>IF(COUNTIFS(Addendum!C:C,A3651,Addendum!D:D,IF(ISNUMBER(B3651),TEXT(B3651,"0000"),B3651),Addendum!E:E,"X")&gt;0,4%,0)</f>
        <v>0.04</v>
      </c>
      <c r="J3651" s="31">
        <f>IF(COUNTIFS(Addendum!C:C,A3651,Addendum!D:D,IF(ISNUMBER(B3651),TEXT(B3651,"0000"),B3651),Addendum!F:F,"X")&gt;0,2.5%,0)</f>
        <v>0</v>
      </c>
      <c r="K3651" s="31">
        <f>IF(COUNTIFS(Addendum!C:C,A3651,Addendum!D:D,IF(ISNUMBER(B3651),TEXT(B3651,"0000"),B3651),Addendum!G:G,"X")&gt;0,7%,0)</f>
        <v>0</v>
      </c>
      <c r="L3651" s="31">
        <f>IF(COUNTIFS(Addendum!C:C,A3651,Addendum!D:D,IF(ISNUMBER(B3651),TEXT(B3651,"0000"),B3651),Addendum!I:I,"X")&gt;0,10%,0)</f>
        <v>0.1</v>
      </c>
      <c r="M3651" s="34">
        <f t="shared" si="112"/>
        <v>0</v>
      </c>
      <c r="N3651" s="17">
        <f t="shared" si="113"/>
        <v>5392</v>
      </c>
    </row>
    <row r="3652" spans="1:14" x14ac:dyDescent="0.25">
      <c r="A3652" s="14" t="s">
        <v>1445</v>
      </c>
      <c r="B3652" s="14" t="s">
        <v>1613</v>
      </c>
      <c r="C3652" s="15" t="s">
        <v>1612</v>
      </c>
      <c r="D3652" s="14" t="s">
        <v>1745</v>
      </c>
      <c r="E3652" s="14" t="s">
        <v>1747</v>
      </c>
      <c r="F3652" s="17" t="s">
        <v>2993</v>
      </c>
      <c r="G3652" s="14">
        <v>325080</v>
      </c>
      <c r="H3652" s="14">
        <v>260064</v>
      </c>
      <c r="I3652" s="31">
        <f>IF(COUNTIFS(Addendum!C:C,A3652,Addendum!D:D,IF(ISNUMBER(B3652),TEXT(B3652,"0000"),B3652),Addendum!E:E,"X")&gt;0,4%,0)</f>
        <v>0.04</v>
      </c>
      <c r="J3652" s="31">
        <f>IF(COUNTIFS(Addendum!C:C,A3652,Addendum!D:D,IF(ISNUMBER(B3652),TEXT(B3652,"0000"),B3652),Addendum!F:F,"X")&gt;0,2.5%,0)</f>
        <v>0</v>
      </c>
      <c r="K3652" s="31">
        <f>IF(COUNTIFS(Addendum!C:C,A3652,Addendum!D:D,IF(ISNUMBER(B3652),TEXT(B3652,"0000"),B3652),Addendum!G:G,"X")&gt;0,7%,0)</f>
        <v>0</v>
      </c>
      <c r="L3652" s="31">
        <f>IF(COUNTIFS(Addendum!C:C,A3652,Addendum!D:D,IF(ISNUMBER(B3652),TEXT(B3652,"0000"),B3652),Addendum!I:I,"X")&gt;0,10%,0)</f>
        <v>0.1</v>
      </c>
      <c r="M3652" s="34">
        <f t="shared" ref="M3652:M3715" si="114">IF(AND(I3652=0%,J3652=0%,K3652=0%,L3652=0%),0%,
IF(OR(TRIM(E3652)="OneTime",TRIM(D3652)=""),0%,
IF(
OR(
TRIM(D3652)="P1M",
AND(TRIM(D3652)="P1Y",TRIM(E3652)="Monthly"),
AND(TRIM(D3652)="P3Y",TRIM(E3652)="Monthly")
),
IF(AND(I3652=4%,J3652=0%,K3652=0%,L3652=0%),1%,
IF(AND(I3652=4%,J3652=2.5%,K3652=0%,L3652=10%),2%,
IF(AND(I3652=4%,J3652=0%,K3652=7%,L3652=10%),3%,0%))),
IF(
OR(
AND(TRIM(D3652)="P1Y",TRIM(E3652)="Annual"),
AND(TRIM(D3652)="P3Y",TRIM(E3652)="Annual"),
AND(TRIM(D3652)="P3Y",TRIM(E3652)="Triennial")
),
IF(AND(I3652=4%,J3652=0%,K3652=0%,L3652=0%),3%,
IF(AND(I3652=4%,J3652=2.5%,K3652=0%,L3652=10%),10%,
IF(AND(I3652=4%,J3652=0%,K3652=7%,L3652=10%),14%,0%))),
0%
))))</f>
        <v>0</v>
      </c>
      <c r="N3652" s="17">
        <f t="shared" ref="N3652:N3715" si="115">H3652-(H3652*M3652)</f>
        <v>260064</v>
      </c>
    </row>
    <row r="3653" spans="1:14" x14ac:dyDescent="0.25">
      <c r="A3653" s="14" t="s">
        <v>1445</v>
      </c>
      <c r="B3653" s="14">
        <v>16</v>
      </c>
      <c r="C3653" s="15" t="s">
        <v>1553</v>
      </c>
      <c r="D3653" s="14" t="s">
        <v>1745</v>
      </c>
      <c r="E3653" s="14" t="s">
        <v>1746</v>
      </c>
      <c r="F3653" s="17" t="s">
        <v>2993</v>
      </c>
      <c r="G3653" s="14">
        <v>50973.36</v>
      </c>
      <c r="H3653" s="14">
        <v>40778.639999999999</v>
      </c>
      <c r="I3653" s="31">
        <f>IF(COUNTIFS(Addendum!C:C,A3653,Addendum!D:D,IF(ISNUMBER(B3653),TEXT(B3653,"0000"),B3653),Addendum!E:E,"X")&gt;0,4%,0)</f>
        <v>0.04</v>
      </c>
      <c r="J3653" s="31">
        <f>IF(COUNTIFS(Addendum!C:C,A3653,Addendum!D:D,IF(ISNUMBER(B3653),TEXT(B3653,"0000"),B3653),Addendum!F:F,"X")&gt;0,2.5%,0)</f>
        <v>0</v>
      </c>
      <c r="K3653" s="31">
        <f>IF(COUNTIFS(Addendum!C:C,A3653,Addendum!D:D,IF(ISNUMBER(B3653),TEXT(B3653,"0000"),B3653),Addendum!G:G,"X")&gt;0,7%,0)</f>
        <v>0</v>
      </c>
      <c r="L3653" s="31">
        <f>IF(COUNTIFS(Addendum!C:C,A3653,Addendum!D:D,IF(ISNUMBER(B3653),TEXT(B3653,"0000"),B3653),Addendum!I:I,"X")&gt;0,10%,0)</f>
        <v>0.1</v>
      </c>
      <c r="M3653" s="34">
        <f t="shared" si="114"/>
        <v>0</v>
      </c>
      <c r="N3653" s="17">
        <f t="shared" si="115"/>
        <v>40778.639999999999</v>
      </c>
    </row>
    <row r="3654" spans="1:14" x14ac:dyDescent="0.25">
      <c r="A3654" s="14" t="s">
        <v>1445</v>
      </c>
      <c r="B3654" s="14">
        <v>16</v>
      </c>
      <c r="C3654" s="15" t="s">
        <v>1553</v>
      </c>
      <c r="D3654" s="14" t="s">
        <v>1745</v>
      </c>
      <c r="E3654" s="14" t="s">
        <v>1747</v>
      </c>
      <c r="F3654" s="17" t="s">
        <v>2993</v>
      </c>
      <c r="G3654" s="14">
        <v>48546</v>
      </c>
      <c r="H3654" s="14">
        <v>38836.800000000003</v>
      </c>
      <c r="I3654" s="31">
        <f>IF(COUNTIFS(Addendum!C:C,A3654,Addendum!D:D,IF(ISNUMBER(B3654),TEXT(B3654,"0000"),B3654),Addendum!E:E,"X")&gt;0,4%,0)</f>
        <v>0.04</v>
      </c>
      <c r="J3654" s="31">
        <f>IF(COUNTIFS(Addendum!C:C,A3654,Addendum!D:D,IF(ISNUMBER(B3654),TEXT(B3654,"0000"),B3654),Addendum!F:F,"X")&gt;0,2.5%,0)</f>
        <v>0</v>
      </c>
      <c r="K3654" s="31">
        <f>IF(COUNTIFS(Addendum!C:C,A3654,Addendum!D:D,IF(ISNUMBER(B3654),TEXT(B3654,"0000"),B3654),Addendum!G:G,"X")&gt;0,7%,0)</f>
        <v>0</v>
      </c>
      <c r="L3654" s="31">
        <f>IF(COUNTIFS(Addendum!C:C,A3654,Addendum!D:D,IF(ISNUMBER(B3654),TEXT(B3654,"0000"),B3654),Addendum!I:I,"X")&gt;0,10%,0)</f>
        <v>0.1</v>
      </c>
      <c r="M3654" s="34">
        <f t="shared" si="114"/>
        <v>0</v>
      </c>
      <c r="N3654" s="17">
        <f t="shared" si="115"/>
        <v>38836.800000000003</v>
      </c>
    </row>
    <row r="3655" spans="1:14" x14ac:dyDescent="0.25">
      <c r="A3655" s="14" t="s">
        <v>1445</v>
      </c>
      <c r="B3655" s="14" t="s">
        <v>488</v>
      </c>
      <c r="C3655" s="15" t="s">
        <v>1598</v>
      </c>
      <c r="D3655" s="14" t="s">
        <v>1745</v>
      </c>
      <c r="E3655" s="14" t="s">
        <v>1747</v>
      </c>
      <c r="F3655" s="17" t="s">
        <v>2993</v>
      </c>
      <c r="G3655" s="14">
        <v>521100</v>
      </c>
      <c r="H3655" s="14">
        <v>416880</v>
      </c>
      <c r="I3655" s="31">
        <f>IF(COUNTIFS(Addendum!C:C,A3655,Addendum!D:D,IF(ISNUMBER(B3655),TEXT(B3655,"0000"),B3655),Addendum!E:E,"X")&gt;0,4%,0)</f>
        <v>0.04</v>
      </c>
      <c r="J3655" s="31">
        <f>IF(COUNTIFS(Addendum!C:C,A3655,Addendum!D:D,IF(ISNUMBER(B3655),TEXT(B3655,"0000"),B3655),Addendum!F:F,"X")&gt;0,2.5%,0)</f>
        <v>0</v>
      </c>
      <c r="K3655" s="31">
        <f>IF(COUNTIFS(Addendum!C:C,A3655,Addendum!D:D,IF(ISNUMBER(B3655),TEXT(B3655,"0000"),B3655),Addendum!G:G,"X")&gt;0,7%,0)</f>
        <v>0</v>
      </c>
      <c r="L3655" s="31">
        <f>IF(COUNTIFS(Addendum!C:C,A3655,Addendum!D:D,IF(ISNUMBER(B3655),TEXT(B3655,"0000"),B3655),Addendum!I:I,"X")&gt;0,10%,0)</f>
        <v>0.1</v>
      </c>
      <c r="M3655" s="34">
        <f t="shared" si="114"/>
        <v>0</v>
      </c>
      <c r="N3655" s="17">
        <f t="shared" si="115"/>
        <v>416880</v>
      </c>
    </row>
    <row r="3656" spans="1:14" x14ac:dyDescent="0.25">
      <c r="A3656" s="14" t="s">
        <v>1445</v>
      </c>
      <c r="B3656" s="14" t="s">
        <v>295</v>
      </c>
      <c r="C3656" s="15" t="s">
        <v>1524</v>
      </c>
      <c r="D3656" s="14" t="s">
        <v>1749</v>
      </c>
      <c r="E3656" s="14" t="s">
        <v>1746</v>
      </c>
      <c r="F3656" s="17" t="s">
        <v>2993</v>
      </c>
      <c r="G3656" s="14">
        <v>28305</v>
      </c>
      <c r="H3656" s="14">
        <v>22644</v>
      </c>
      <c r="I3656" s="31">
        <f>IF(COUNTIFS(Addendum!C:C,A3656,Addendum!D:D,IF(ISNUMBER(B3656),TEXT(B3656,"0000"),B3656),Addendum!E:E,"X")&gt;0,4%,0)</f>
        <v>0.04</v>
      </c>
      <c r="J3656" s="31">
        <f>IF(COUNTIFS(Addendum!C:C,A3656,Addendum!D:D,IF(ISNUMBER(B3656),TEXT(B3656,"0000"),B3656),Addendum!F:F,"X")&gt;0,2.5%,0)</f>
        <v>0</v>
      </c>
      <c r="K3656" s="31">
        <f>IF(COUNTIFS(Addendum!C:C,A3656,Addendum!D:D,IF(ISNUMBER(B3656),TEXT(B3656,"0000"),B3656),Addendum!G:G,"X")&gt;0,7%,0)</f>
        <v>0</v>
      </c>
      <c r="L3656" s="31">
        <f>IF(COUNTIFS(Addendum!C:C,A3656,Addendum!D:D,IF(ISNUMBER(B3656),TEXT(B3656,"0000"),B3656),Addendum!I:I,"X")&gt;0,10%,0)</f>
        <v>0.1</v>
      </c>
      <c r="M3656" s="34">
        <f t="shared" si="114"/>
        <v>0</v>
      </c>
      <c r="N3656" s="17">
        <f t="shared" si="115"/>
        <v>22644</v>
      </c>
    </row>
    <row r="3657" spans="1:14" x14ac:dyDescent="0.25">
      <c r="A3657" s="14" t="s">
        <v>1445</v>
      </c>
      <c r="B3657" s="14" t="s">
        <v>295</v>
      </c>
      <c r="C3657" s="15" t="s">
        <v>1524</v>
      </c>
      <c r="D3657" s="14" t="s">
        <v>1745</v>
      </c>
      <c r="E3657" s="14" t="s">
        <v>1747</v>
      </c>
      <c r="F3657" s="17" t="s">
        <v>2993</v>
      </c>
      <c r="G3657" s="14">
        <v>305694</v>
      </c>
      <c r="H3657" s="14">
        <v>244555.2</v>
      </c>
      <c r="I3657" s="31">
        <f>IF(COUNTIFS(Addendum!C:C,A3657,Addendum!D:D,IF(ISNUMBER(B3657),TEXT(B3657,"0000"),B3657),Addendum!E:E,"X")&gt;0,4%,0)</f>
        <v>0.04</v>
      </c>
      <c r="J3657" s="31">
        <f>IF(COUNTIFS(Addendum!C:C,A3657,Addendum!D:D,IF(ISNUMBER(B3657),TEXT(B3657,"0000"),B3657),Addendum!F:F,"X")&gt;0,2.5%,0)</f>
        <v>0</v>
      </c>
      <c r="K3657" s="31">
        <f>IF(COUNTIFS(Addendum!C:C,A3657,Addendum!D:D,IF(ISNUMBER(B3657),TEXT(B3657,"0000"),B3657),Addendum!G:G,"X")&gt;0,7%,0)</f>
        <v>0</v>
      </c>
      <c r="L3657" s="31">
        <f>IF(COUNTIFS(Addendum!C:C,A3657,Addendum!D:D,IF(ISNUMBER(B3657),TEXT(B3657,"0000"),B3657),Addendum!I:I,"X")&gt;0,10%,0)</f>
        <v>0.1</v>
      </c>
      <c r="M3657" s="34">
        <f t="shared" si="114"/>
        <v>0</v>
      </c>
      <c r="N3657" s="17">
        <f t="shared" si="115"/>
        <v>244555.2</v>
      </c>
    </row>
    <row r="3658" spans="1:14" x14ac:dyDescent="0.25">
      <c r="A3658" s="14" t="s">
        <v>1445</v>
      </c>
      <c r="B3658" s="14" t="s">
        <v>465</v>
      </c>
      <c r="C3658" s="15" t="s">
        <v>1604</v>
      </c>
      <c r="D3658" s="14" t="s">
        <v>1745</v>
      </c>
      <c r="E3658" s="14" t="s">
        <v>1746</v>
      </c>
      <c r="F3658" s="17" t="s">
        <v>2993</v>
      </c>
      <c r="G3658" s="14">
        <v>1048440</v>
      </c>
      <c r="H3658" s="14">
        <v>838751.8</v>
      </c>
      <c r="I3658" s="31">
        <f>IF(COUNTIFS(Addendum!C:C,A3658,Addendum!D:D,IF(ISNUMBER(B3658),TEXT(B3658,"0000"),B3658),Addendum!E:E,"X")&gt;0,4%,0)</f>
        <v>0.04</v>
      </c>
      <c r="J3658" s="31">
        <f>IF(COUNTIFS(Addendum!C:C,A3658,Addendum!D:D,IF(ISNUMBER(B3658),TEXT(B3658,"0000"),B3658),Addendum!F:F,"X")&gt;0,2.5%,0)</f>
        <v>0</v>
      </c>
      <c r="K3658" s="31">
        <f>IF(COUNTIFS(Addendum!C:C,A3658,Addendum!D:D,IF(ISNUMBER(B3658),TEXT(B3658,"0000"),B3658),Addendum!G:G,"X")&gt;0,7%,0)</f>
        <v>0</v>
      </c>
      <c r="L3658" s="31">
        <f>IF(COUNTIFS(Addendum!C:C,A3658,Addendum!D:D,IF(ISNUMBER(B3658),TEXT(B3658,"0000"),B3658),Addendum!I:I,"X")&gt;0,10%,0)</f>
        <v>0.1</v>
      </c>
      <c r="M3658" s="34">
        <f t="shared" si="114"/>
        <v>0</v>
      </c>
      <c r="N3658" s="17">
        <f t="shared" si="115"/>
        <v>838751.8</v>
      </c>
    </row>
    <row r="3659" spans="1:14" x14ac:dyDescent="0.25">
      <c r="A3659" s="14" t="s">
        <v>1445</v>
      </c>
      <c r="B3659" s="14">
        <v>10</v>
      </c>
      <c r="C3659" s="15" t="s">
        <v>1576</v>
      </c>
      <c r="D3659" s="14" t="s">
        <v>1749</v>
      </c>
      <c r="E3659" s="14" t="s">
        <v>1746</v>
      </c>
      <c r="F3659" s="17" t="s">
        <v>2993</v>
      </c>
      <c r="G3659" s="14">
        <v>11050</v>
      </c>
      <c r="H3659" s="14">
        <v>8840</v>
      </c>
      <c r="I3659" s="31">
        <f>IF(COUNTIFS(Addendum!C:C,A3659,Addendum!D:D,IF(ISNUMBER(B3659),TEXT(B3659,"0000"),B3659),Addendum!E:E,"X")&gt;0,4%,0)</f>
        <v>0.04</v>
      </c>
      <c r="J3659" s="31">
        <f>IF(COUNTIFS(Addendum!C:C,A3659,Addendum!D:D,IF(ISNUMBER(B3659),TEXT(B3659,"0000"),B3659),Addendum!F:F,"X")&gt;0,2.5%,0)</f>
        <v>0</v>
      </c>
      <c r="K3659" s="31">
        <f>IF(COUNTIFS(Addendum!C:C,A3659,Addendum!D:D,IF(ISNUMBER(B3659),TEXT(B3659,"0000"),B3659),Addendum!G:G,"X")&gt;0,7%,0)</f>
        <v>0</v>
      </c>
      <c r="L3659" s="31">
        <f>IF(COUNTIFS(Addendum!C:C,A3659,Addendum!D:D,IF(ISNUMBER(B3659),TEXT(B3659,"0000"),B3659),Addendum!I:I,"X")&gt;0,10%,0)</f>
        <v>0.1</v>
      </c>
      <c r="M3659" s="34">
        <f t="shared" si="114"/>
        <v>0</v>
      </c>
      <c r="N3659" s="17">
        <f t="shared" si="115"/>
        <v>8840</v>
      </c>
    </row>
    <row r="3660" spans="1:14" x14ac:dyDescent="0.25">
      <c r="A3660" s="14" t="s">
        <v>1445</v>
      </c>
      <c r="B3660" s="14" t="s">
        <v>195</v>
      </c>
      <c r="C3660" s="15" t="s">
        <v>1567</v>
      </c>
      <c r="D3660" s="14" t="s">
        <v>1745</v>
      </c>
      <c r="E3660" s="14" t="s">
        <v>1747</v>
      </c>
      <c r="F3660" s="17" t="s">
        <v>2993</v>
      </c>
      <c r="G3660" s="14">
        <v>72792</v>
      </c>
      <c r="H3660" s="14">
        <v>58233.599999999999</v>
      </c>
      <c r="I3660" s="31">
        <f>IF(COUNTIFS(Addendum!C:C,A3660,Addendum!D:D,IF(ISNUMBER(B3660),TEXT(B3660,"0000"),B3660),Addendum!E:E,"X")&gt;0,4%,0)</f>
        <v>0.04</v>
      </c>
      <c r="J3660" s="31">
        <f>IF(COUNTIFS(Addendum!C:C,A3660,Addendum!D:D,IF(ISNUMBER(B3660),TEXT(B3660,"0000"),B3660),Addendum!F:F,"X")&gt;0,2.5%,0)</f>
        <v>0</v>
      </c>
      <c r="K3660" s="31">
        <f>IF(COUNTIFS(Addendum!C:C,A3660,Addendum!D:D,IF(ISNUMBER(B3660),TEXT(B3660,"0000"),B3660),Addendum!G:G,"X")&gt;0,7%,0)</f>
        <v>0</v>
      </c>
      <c r="L3660" s="31">
        <f>IF(COUNTIFS(Addendum!C:C,A3660,Addendum!D:D,IF(ISNUMBER(B3660),TEXT(B3660,"0000"),B3660),Addendum!I:I,"X")&gt;0,10%,0)</f>
        <v>0.1</v>
      </c>
      <c r="M3660" s="34">
        <f t="shared" si="114"/>
        <v>0</v>
      </c>
      <c r="N3660" s="17">
        <f t="shared" si="115"/>
        <v>58233.599999999999</v>
      </c>
    </row>
    <row r="3661" spans="1:14" x14ac:dyDescent="0.25">
      <c r="A3661" s="14" t="s">
        <v>1445</v>
      </c>
      <c r="B3661" s="14">
        <v>12</v>
      </c>
      <c r="C3661" s="15" t="s">
        <v>1543</v>
      </c>
      <c r="D3661" s="14" t="s">
        <v>1745</v>
      </c>
      <c r="E3661" s="14" t="s">
        <v>1747</v>
      </c>
      <c r="F3661" s="17" t="s">
        <v>2993</v>
      </c>
      <c r="G3661" s="14">
        <v>27162</v>
      </c>
      <c r="H3661" s="14">
        <v>21729.599999999999</v>
      </c>
      <c r="I3661" s="31">
        <f>IF(COUNTIFS(Addendum!C:C,A3661,Addendum!D:D,IF(ISNUMBER(B3661),TEXT(B3661,"0000"),B3661),Addendum!E:E,"X")&gt;0,4%,0)</f>
        <v>0.04</v>
      </c>
      <c r="J3661" s="31">
        <f>IF(COUNTIFS(Addendum!C:C,A3661,Addendum!D:D,IF(ISNUMBER(B3661),TEXT(B3661,"0000"),B3661),Addendum!F:F,"X")&gt;0,2.5%,0)</f>
        <v>0</v>
      </c>
      <c r="K3661" s="31">
        <f>IF(COUNTIFS(Addendum!C:C,A3661,Addendum!D:D,IF(ISNUMBER(B3661),TEXT(B3661,"0000"),B3661),Addendum!G:G,"X")&gt;0,7%,0)</f>
        <v>0</v>
      </c>
      <c r="L3661" s="31">
        <f>IF(COUNTIFS(Addendum!C:C,A3661,Addendum!D:D,IF(ISNUMBER(B3661),TEXT(B3661,"0000"),B3661),Addendum!I:I,"X")&gt;0,10%,0)</f>
        <v>0.1</v>
      </c>
      <c r="M3661" s="34">
        <f t="shared" si="114"/>
        <v>0</v>
      </c>
      <c r="N3661" s="17">
        <f t="shared" si="115"/>
        <v>21729.599999999999</v>
      </c>
    </row>
    <row r="3662" spans="1:14" x14ac:dyDescent="0.25">
      <c r="A3662" s="14" t="s">
        <v>1445</v>
      </c>
      <c r="B3662" s="14">
        <v>16</v>
      </c>
      <c r="C3662" s="15" t="s">
        <v>1553</v>
      </c>
      <c r="D3662" s="14" t="s">
        <v>1749</v>
      </c>
      <c r="E3662" s="14" t="s">
        <v>1746</v>
      </c>
      <c r="F3662" s="17" t="s">
        <v>2993</v>
      </c>
      <c r="G3662" s="14">
        <v>4495</v>
      </c>
      <c r="H3662" s="14">
        <v>3596</v>
      </c>
      <c r="I3662" s="31">
        <f>IF(COUNTIFS(Addendum!C:C,A3662,Addendum!D:D,IF(ISNUMBER(B3662),TEXT(B3662,"0000"),B3662),Addendum!E:E,"X")&gt;0,4%,0)</f>
        <v>0.04</v>
      </c>
      <c r="J3662" s="31">
        <f>IF(COUNTIFS(Addendum!C:C,A3662,Addendum!D:D,IF(ISNUMBER(B3662),TEXT(B3662,"0000"),B3662),Addendum!F:F,"X")&gt;0,2.5%,0)</f>
        <v>0</v>
      </c>
      <c r="K3662" s="31">
        <f>IF(COUNTIFS(Addendum!C:C,A3662,Addendum!D:D,IF(ISNUMBER(B3662),TEXT(B3662,"0000"),B3662),Addendum!G:G,"X")&gt;0,7%,0)</f>
        <v>0</v>
      </c>
      <c r="L3662" s="31">
        <f>IF(COUNTIFS(Addendum!C:C,A3662,Addendum!D:D,IF(ISNUMBER(B3662),TEXT(B3662,"0000"),B3662),Addendum!I:I,"X")&gt;0,10%,0)</f>
        <v>0.1</v>
      </c>
      <c r="M3662" s="34">
        <f t="shared" si="114"/>
        <v>0</v>
      </c>
      <c r="N3662" s="17">
        <f t="shared" si="115"/>
        <v>3596</v>
      </c>
    </row>
    <row r="3663" spans="1:14" x14ac:dyDescent="0.25">
      <c r="A3663" s="14" t="s">
        <v>1445</v>
      </c>
      <c r="B3663" s="14" t="s">
        <v>1613</v>
      </c>
      <c r="C3663" s="15" t="s">
        <v>1612</v>
      </c>
      <c r="D3663" s="14" t="s">
        <v>1749</v>
      </c>
      <c r="E3663" s="14" t="s">
        <v>1746</v>
      </c>
      <c r="F3663" s="17" t="s">
        <v>2993</v>
      </c>
      <c r="G3663" s="14">
        <v>30100</v>
      </c>
      <c r="H3663" s="14">
        <v>24080</v>
      </c>
      <c r="I3663" s="31">
        <f>IF(COUNTIFS(Addendum!C:C,A3663,Addendum!D:D,IF(ISNUMBER(B3663),TEXT(B3663,"0000"),B3663),Addendum!E:E,"X")&gt;0,4%,0)</f>
        <v>0.04</v>
      </c>
      <c r="J3663" s="31">
        <f>IF(COUNTIFS(Addendum!C:C,A3663,Addendum!D:D,IF(ISNUMBER(B3663),TEXT(B3663,"0000"),B3663),Addendum!F:F,"X")&gt;0,2.5%,0)</f>
        <v>0</v>
      </c>
      <c r="K3663" s="31">
        <f>IF(COUNTIFS(Addendum!C:C,A3663,Addendum!D:D,IF(ISNUMBER(B3663),TEXT(B3663,"0000"),B3663),Addendum!G:G,"X")&gt;0,7%,0)</f>
        <v>0</v>
      </c>
      <c r="L3663" s="31">
        <f>IF(COUNTIFS(Addendum!C:C,A3663,Addendum!D:D,IF(ISNUMBER(B3663),TEXT(B3663,"0000"),B3663),Addendum!I:I,"X")&gt;0,10%,0)</f>
        <v>0.1</v>
      </c>
      <c r="M3663" s="34">
        <f t="shared" si="114"/>
        <v>0</v>
      </c>
      <c r="N3663" s="17">
        <f t="shared" si="115"/>
        <v>24080</v>
      </c>
    </row>
    <row r="3664" spans="1:14" x14ac:dyDescent="0.25">
      <c r="A3664" s="14" t="s">
        <v>1445</v>
      </c>
      <c r="B3664" s="14">
        <v>14</v>
      </c>
      <c r="C3664" s="15" t="s">
        <v>1538</v>
      </c>
      <c r="D3664" s="14" t="s">
        <v>1745</v>
      </c>
      <c r="E3664" s="14" t="s">
        <v>1746</v>
      </c>
      <c r="F3664" s="17" t="s">
        <v>2993</v>
      </c>
      <c r="G3664" s="14">
        <v>40767.360000000001</v>
      </c>
      <c r="H3664" s="14">
        <v>32613.84</v>
      </c>
      <c r="I3664" s="31">
        <f>IF(COUNTIFS(Addendum!C:C,A3664,Addendum!D:D,IF(ISNUMBER(B3664),TEXT(B3664,"0000"),B3664),Addendum!E:E,"X")&gt;0,4%,0)</f>
        <v>0.04</v>
      </c>
      <c r="J3664" s="31">
        <f>IF(COUNTIFS(Addendum!C:C,A3664,Addendum!D:D,IF(ISNUMBER(B3664),TEXT(B3664,"0000"),B3664),Addendum!F:F,"X")&gt;0,2.5%,0)</f>
        <v>0</v>
      </c>
      <c r="K3664" s="31">
        <f>IF(COUNTIFS(Addendum!C:C,A3664,Addendum!D:D,IF(ISNUMBER(B3664),TEXT(B3664,"0000"),B3664),Addendum!G:G,"X")&gt;0,7%,0)</f>
        <v>0</v>
      </c>
      <c r="L3664" s="31">
        <f>IF(COUNTIFS(Addendum!C:C,A3664,Addendum!D:D,IF(ISNUMBER(B3664),TEXT(B3664,"0000"),B3664),Addendum!I:I,"X")&gt;0,10%,0)</f>
        <v>0.1</v>
      </c>
      <c r="M3664" s="34">
        <f t="shared" si="114"/>
        <v>0</v>
      </c>
      <c r="N3664" s="17">
        <f t="shared" si="115"/>
        <v>32613.84</v>
      </c>
    </row>
    <row r="3665" spans="1:14" x14ac:dyDescent="0.25">
      <c r="A3665" s="14" t="s">
        <v>1445</v>
      </c>
      <c r="B3665" s="14">
        <v>48</v>
      </c>
      <c r="C3665" s="15" t="s">
        <v>1528</v>
      </c>
      <c r="D3665" s="14" t="s">
        <v>1745</v>
      </c>
      <c r="E3665" s="14" t="s">
        <v>1747</v>
      </c>
      <c r="F3665" s="17" t="s">
        <v>2993</v>
      </c>
      <c r="G3665" s="14">
        <v>268812</v>
      </c>
      <c r="H3665" s="14">
        <v>215049.60000000001</v>
      </c>
      <c r="I3665" s="31">
        <f>IF(COUNTIFS(Addendum!C:C,A3665,Addendum!D:D,IF(ISNUMBER(B3665),TEXT(B3665,"0000"),B3665),Addendum!E:E,"X")&gt;0,4%,0)</f>
        <v>0.04</v>
      </c>
      <c r="J3665" s="31">
        <f>IF(COUNTIFS(Addendum!C:C,A3665,Addendum!D:D,IF(ISNUMBER(B3665),TEXT(B3665,"0000"),B3665),Addendum!F:F,"X")&gt;0,2.5%,0)</f>
        <v>0</v>
      </c>
      <c r="K3665" s="31">
        <f>IF(COUNTIFS(Addendum!C:C,A3665,Addendum!D:D,IF(ISNUMBER(B3665),TEXT(B3665,"0000"),B3665),Addendum!G:G,"X")&gt;0,7%,0)</f>
        <v>0</v>
      </c>
      <c r="L3665" s="31">
        <f>IF(COUNTIFS(Addendum!C:C,A3665,Addendum!D:D,IF(ISNUMBER(B3665),TEXT(B3665,"0000"),B3665),Addendum!I:I,"X")&gt;0,10%,0)</f>
        <v>0.1</v>
      </c>
      <c r="M3665" s="34">
        <f t="shared" si="114"/>
        <v>0</v>
      </c>
      <c r="N3665" s="17">
        <f t="shared" si="115"/>
        <v>215049.60000000001</v>
      </c>
    </row>
    <row r="3666" spans="1:14" x14ac:dyDescent="0.25">
      <c r="A3666" s="14" t="s">
        <v>1445</v>
      </c>
      <c r="B3666" s="14" t="s">
        <v>1559</v>
      </c>
      <c r="C3666" s="15" t="s">
        <v>1558</v>
      </c>
      <c r="D3666" s="14" t="s">
        <v>1745</v>
      </c>
      <c r="E3666" s="14" t="s">
        <v>1747</v>
      </c>
      <c r="F3666" s="17" t="s">
        <v>2993</v>
      </c>
      <c r="G3666" s="14">
        <v>645300</v>
      </c>
      <c r="H3666" s="14">
        <v>516240</v>
      </c>
      <c r="I3666" s="31">
        <f>IF(COUNTIFS(Addendum!C:C,A3666,Addendum!D:D,IF(ISNUMBER(B3666),TEXT(B3666,"0000"),B3666),Addendum!E:E,"X")&gt;0,4%,0)</f>
        <v>0.04</v>
      </c>
      <c r="J3666" s="31">
        <f>IF(COUNTIFS(Addendum!C:C,A3666,Addendum!D:D,IF(ISNUMBER(B3666),TEXT(B3666,"0000"),B3666),Addendum!F:F,"X")&gt;0,2.5%,0)</f>
        <v>0</v>
      </c>
      <c r="K3666" s="31">
        <f>IF(COUNTIFS(Addendum!C:C,A3666,Addendum!D:D,IF(ISNUMBER(B3666),TEXT(B3666,"0000"),B3666),Addendum!G:G,"X")&gt;0,7%,0)</f>
        <v>0</v>
      </c>
      <c r="L3666" s="31">
        <f>IF(COUNTIFS(Addendum!C:C,A3666,Addendum!D:D,IF(ISNUMBER(B3666),TEXT(B3666,"0000"),B3666),Addendum!I:I,"X")&gt;0,10%,0)</f>
        <v>0.1</v>
      </c>
      <c r="M3666" s="34">
        <f t="shared" si="114"/>
        <v>0</v>
      </c>
      <c r="N3666" s="17">
        <f t="shared" si="115"/>
        <v>516240</v>
      </c>
    </row>
    <row r="3667" spans="1:14" x14ac:dyDescent="0.25">
      <c r="A3667" s="14" t="s">
        <v>1445</v>
      </c>
      <c r="B3667" s="14" t="s">
        <v>1613</v>
      </c>
      <c r="C3667" s="15" t="s">
        <v>1612</v>
      </c>
      <c r="D3667" s="14" t="s">
        <v>1745</v>
      </c>
      <c r="E3667" s="14" t="s">
        <v>1746</v>
      </c>
      <c r="F3667" s="17" t="s">
        <v>2993</v>
      </c>
      <c r="G3667" s="14">
        <v>341334</v>
      </c>
      <c r="H3667" s="14">
        <v>273067.2</v>
      </c>
      <c r="I3667" s="31">
        <f>IF(COUNTIFS(Addendum!C:C,A3667,Addendum!D:D,IF(ISNUMBER(B3667),TEXT(B3667,"0000"),B3667),Addendum!E:E,"X")&gt;0,4%,0)</f>
        <v>0.04</v>
      </c>
      <c r="J3667" s="31">
        <f>IF(COUNTIFS(Addendum!C:C,A3667,Addendum!D:D,IF(ISNUMBER(B3667),TEXT(B3667,"0000"),B3667),Addendum!F:F,"X")&gt;0,2.5%,0)</f>
        <v>0</v>
      </c>
      <c r="K3667" s="31">
        <f>IF(COUNTIFS(Addendum!C:C,A3667,Addendum!D:D,IF(ISNUMBER(B3667),TEXT(B3667,"0000"),B3667),Addendum!G:G,"X")&gt;0,7%,0)</f>
        <v>0</v>
      </c>
      <c r="L3667" s="31">
        <f>IF(COUNTIFS(Addendum!C:C,A3667,Addendum!D:D,IF(ISNUMBER(B3667),TEXT(B3667,"0000"),B3667),Addendum!I:I,"X")&gt;0,10%,0)</f>
        <v>0.1</v>
      </c>
      <c r="M3667" s="34">
        <f t="shared" si="114"/>
        <v>0</v>
      </c>
      <c r="N3667" s="17">
        <f t="shared" si="115"/>
        <v>273067.2</v>
      </c>
    </row>
    <row r="3668" spans="1:14" x14ac:dyDescent="0.25">
      <c r="A3668" s="14" t="s">
        <v>1445</v>
      </c>
      <c r="B3668" s="14" t="s">
        <v>1592</v>
      </c>
      <c r="C3668" s="15" t="s">
        <v>1591</v>
      </c>
      <c r="D3668" s="14" t="s">
        <v>1745</v>
      </c>
      <c r="E3668" s="14" t="s">
        <v>1747</v>
      </c>
      <c r="F3668" s="17" t="s">
        <v>2993</v>
      </c>
      <c r="G3668" s="14">
        <v>1857330</v>
      </c>
      <c r="H3668" s="14">
        <v>1485864</v>
      </c>
      <c r="I3668" s="31">
        <f>IF(COUNTIFS(Addendum!C:C,A3668,Addendum!D:D,IF(ISNUMBER(B3668),TEXT(B3668,"0000"),B3668),Addendum!E:E,"X")&gt;0,4%,0)</f>
        <v>0.04</v>
      </c>
      <c r="J3668" s="31">
        <f>IF(COUNTIFS(Addendum!C:C,A3668,Addendum!D:D,IF(ISNUMBER(B3668),TEXT(B3668,"0000"),B3668),Addendum!F:F,"X")&gt;0,2.5%,0)</f>
        <v>0</v>
      </c>
      <c r="K3668" s="31">
        <f>IF(COUNTIFS(Addendum!C:C,A3668,Addendum!D:D,IF(ISNUMBER(B3668),TEXT(B3668,"0000"),B3668),Addendum!G:G,"X")&gt;0,7%,0)</f>
        <v>0</v>
      </c>
      <c r="L3668" s="31">
        <f>IF(COUNTIFS(Addendum!C:C,A3668,Addendum!D:D,IF(ISNUMBER(B3668),TEXT(B3668,"0000"),B3668),Addendum!I:I,"X")&gt;0,10%,0)</f>
        <v>0.1</v>
      </c>
      <c r="M3668" s="34">
        <f t="shared" si="114"/>
        <v>0</v>
      </c>
      <c r="N3668" s="17">
        <f t="shared" si="115"/>
        <v>1485864</v>
      </c>
    </row>
    <row r="3669" spans="1:14" x14ac:dyDescent="0.25">
      <c r="A3669" s="14" t="s">
        <v>1445</v>
      </c>
      <c r="B3669" s="14">
        <v>10</v>
      </c>
      <c r="C3669" s="15" t="s">
        <v>1576</v>
      </c>
      <c r="D3669" s="14" t="s">
        <v>1745</v>
      </c>
      <c r="E3669" s="14" t="s">
        <v>1747</v>
      </c>
      <c r="F3669" s="17" t="s">
        <v>2993</v>
      </c>
      <c r="G3669" s="14">
        <v>119340</v>
      </c>
      <c r="H3669" s="14">
        <v>95472</v>
      </c>
      <c r="I3669" s="31">
        <f>IF(COUNTIFS(Addendum!C:C,A3669,Addendum!D:D,IF(ISNUMBER(B3669),TEXT(B3669,"0000"),B3669),Addendum!E:E,"X")&gt;0,4%,0)</f>
        <v>0.04</v>
      </c>
      <c r="J3669" s="31">
        <f>IF(COUNTIFS(Addendum!C:C,A3669,Addendum!D:D,IF(ISNUMBER(B3669),TEXT(B3669,"0000"),B3669),Addendum!F:F,"X")&gt;0,2.5%,0)</f>
        <v>0</v>
      </c>
      <c r="K3669" s="31">
        <f>IF(COUNTIFS(Addendum!C:C,A3669,Addendum!D:D,IF(ISNUMBER(B3669),TEXT(B3669,"0000"),B3669),Addendum!G:G,"X")&gt;0,7%,0)</f>
        <v>0</v>
      </c>
      <c r="L3669" s="31">
        <f>IF(COUNTIFS(Addendum!C:C,A3669,Addendum!D:D,IF(ISNUMBER(B3669),TEXT(B3669,"0000"),B3669),Addendum!I:I,"X")&gt;0,10%,0)</f>
        <v>0.1</v>
      </c>
      <c r="M3669" s="34">
        <f t="shared" si="114"/>
        <v>0</v>
      </c>
      <c r="N3669" s="17">
        <f t="shared" si="115"/>
        <v>95472</v>
      </c>
    </row>
    <row r="3670" spans="1:14" x14ac:dyDescent="0.25">
      <c r="A3670" s="14" t="s">
        <v>1445</v>
      </c>
      <c r="B3670" s="14">
        <v>14</v>
      </c>
      <c r="C3670" s="15" t="s">
        <v>1538</v>
      </c>
      <c r="D3670" s="14" t="s">
        <v>1749</v>
      </c>
      <c r="E3670" s="14" t="s">
        <v>1746</v>
      </c>
      <c r="F3670" s="17" t="s">
        <v>2993</v>
      </c>
      <c r="G3670" s="14">
        <v>3595</v>
      </c>
      <c r="H3670" s="14">
        <v>2876</v>
      </c>
      <c r="I3670" s="31">
        <f>IF(COUNTIFS(Addendum!C:C,A3670,Addendum!D:D,IF(ISNUMBER(B3670),TEXT(B3670,"0000"),B3670),Addendum!E:E,"X")&gt;0,4%,0)</f>
        <v>0.04</v>
      </c>
      <c r="J3670" s="31">
        <f>IF(COUNTIFS(Addendum!C:C,A3670,Addendum!D:D,IF(ISNUMBER(B3670),TEXT(B3670,"0000"),B3670),Addendum!F:F,"X")&gt;0,2.5%,0)</f>
        <v>0</v>
      </c>
      <c r="K3670" s="31">
        <f>IF(COUNTIFS(Addendum!C:C,A3670,Addendum!D:D,IF(ISNUMBER(B3670),TEXT(B3670,"0000"),B3670),Addendum!G:G,"X")&gt;0,7%,0)</f>
        <v>0</v>
      </c>
      <c r="L3670" s="31">
        <f>IF(COUNTIFS(Addendum!C:C,A3670,Addendum!D:D,IF(ISNUMBER(B3670),TEXT(B3670,"0000"),B3670),Addendum!I:I,"X")&gt;0,10%,0)</f>
        <v>0.1</v>
      </c>
      <c r="M3670" s="34">
        <f t="shared" si="114"/>
        <v>0</v>
      </c>
      <c r="N3670" s="17">
        <f t="shared" si="115"/>
        <v>2876</v>
      </c>
    </row>
    <row r="3671" spans="1:14" x14ac:dyDescent="0.25">
      <c r="A3671" s="14" t="s">
        <v>1445</v>
      </c>
      <c r="B3671" s="14">
        <v>12</v>
      </c>
      <c r="C3671" s="15" t="s">
        <v>1543</v>
      </c>
      <c r="D3671" s="14" t="s">
        <v>1749</v>
      </c>
      <c r="E3671" s="14" t="s">
        <v>1746</v>
      </c>
      <c r="F3671" s="17" t="s">
        <v>2993</v>
      </c>
      <c r="G3671" s="14">
        <v>2515</v>
      </c>
      <c r="H3671" s="14">
        <v>2012</v>
      </c>
      <c r="I3671" s="31">
        <f>IF(COUNTIFS(Addendum!C:C,A3671,Addendum!D:D,IF(ISNUMBER(B3671),TEXT(B3671,"0000"),B3671),Addendum!E:E,"X")&gt;0,4%,0)</f>
        <v>0.04</v>
      </c>
      <c r="J3671" s="31">
        <f>IF(COUNTIFS(Addendum!C:C,A3671,Addendum!D:D,IF(ISNUMBER(B3671),TEXT(B3671,"0000"),B3671),Addendum!F:F,"X")&gt;0,2.5%,0)</f>
        <v>0</v>
      </c>
      <c r="K3671" s="31">
        <f>IF(COUNTIFS(Addendum!C:C,A3671,Addendum!D:D,IF(ISNUMBER(B3671),TEXT(B3671,"0000"),B3671),Addendum!G:G,"X")&gt;0,7%,0)</f>
        <v>0</v>
      </c>
      <c r="L3671" s="31">
        <f>IF(COUNTIFS(Addendum!C:C,A3671,Addendum!D:D,IF(ISNUMBER(B3671),TEXT(B3671,"0000"),B3671),Addendum!I:I,"X")&gt;0,10%,0)</f>
        <v>0.1</v>
      </c>
      <c r="M3671" s="34">
        <f t="shared" si="114"/>
        <v>0</v>
      </c>
      <c r="N3671" s="17">
        <f t="shared" si="115"/>
        <v>2012</v>
      </c>
    </row>
    <row r="3672" spans="1:14" x14ac:dyDescent="0.25">
      <c r="A3672" s="14" t="s">
        <v>1445</v>
      </c>
      <c r="B3672" s="14">
        <v>10</v>
      </c>
      <c r="C3672" s="15" t="s">
        <v>1576</v>
      </c>
      <c r="D3672" s="14" t="s">
        <v>1745</v>
      </c>
      <c r="E3672" s="14" t="s">
        <v>1746</v>
      </c>
      <c r="F3672" s="17" t="s">
        <v>2993</v>
      </c>
      <c r="G3672" s="14">
        <v>125307</v>
      </c>
      <c r="H3672" s="14">
        <v>100245.6</v>
      </c>
      <c r="I3672" s="31">
        <f>IF(COUNTIFS(Addendum!C:C,A3672,Addendum!D:D,IF(ISNUMBER(B3672),TEXT(B3672,"0000"),B3672),Addendum!E:E,"X")&gt;0,4%,0)</f>
        <v>0.04</v>
      </c>
      <c r="J3672" s="31">
        <f>IF(COUNTIFS(Addendum!C:C,A3672,Addendum!D:D,IF(ISNUMBER(B3672),TEXT(B3672,"0000"),B3672),Addendum!F:F,"X")&gt;0,2.5%,0)</f>
        <v>0</v>
      </c>
      <c r="K3672" s="31">
        <f>IF(COUNTIFS(Addendum!C:C,A3672,Addendum!D:D,IF(ISNUMBER(B3672),TEXT(B3672,"0000"),B3672),Addendum!G:G,"X")&gt;0,7%,0)</f>
        <v>0</v>
      </c>
      <c r="L3672" s="31">
        <f>IF(COUNTIFS(Addendum!C:C,A3672,Addendum!D:D,IF(ISNUMBER(B3672),TEXT(B3672,"0000"),B3672),Addendum!I:I,"X")&gt;0,10%,0)</f>
        <v>0.1</v>
      </c>
      <c r="M3672" s="34">
        <f t="shared" si="114"/>
        <v>0</v>
      </c>
      <c r="N3672" s="17">
        <f t="shared" si="115"/>
        <v>100245.6</v>
      </c>
    </row>
    <row r="3673" spans="1:14" x14ac:dyDescent="0.25">
      <c r="A3673" s="14" t="s">
        <v>1445</v>
      </c>
      <c r="B3673" s="14" t="s">
        <v>2837</v>
      </c>
      <c r="C3673" s="15" t="s">
        <v>1610</v>
      </c>
      <c r="D3673" s="14" t="s">
        <v>1745</v>
      </c>
      <c r="E3673" s="14" t="s">
        <v>1746</v>
      </c>
      <c r="F3673" s="17" t="s">
        <v>2993</v>
      </c>
      <c r="G3673" s="14">
        <v>315875.8</v>
      </c>
      <c r="H3673" s="14">
        <v>252700.6</v>
      </c>
      <c r="I3673" s="31">
        <f>IF(COUNTIFS(Addendum!C:C,A3673,Addendum!D:D,IF(ISNUMBER(B3673),TEXT(B3673,"0000"),B3673),Addendum!E:E,"X")&gt;0,4%,0)</f>
        <v>0</v>
      </c>
      <c r="J3673" s="31">
        <f>IF(COUNTIFS(Addendum!C:C,A3673,Addendum!D:D,IF(ISNUMBER(B3673),TEXT(B3673,"0000"),B3673),Addendum!F:F,"X")&gt;0,2.5%,0)</f>
        <v>0</v>
      </c>
      <c r="K3673" s="31">
        <f>IF(COUNTIFS(Addendum!C:C,A3673,Addendum!D:D,IF(ISNUMBER(B3673),TEXT(B3673,"0000"),B3673),Addendum!G:G,"X")&gt;0,7%,0)</f>
        <v>0</v>
      </c>
      <c r="L3673" s="31">
        <f>IF(COUNTIFS(Addendum!C:C,A3673,Addendum!D:D,IF(ISNUMBER(B3673),TEXT(B3673,"0000"),B3673),Addendum!I:I,"X")&gt;0,10%,0)</f>
        <v>0</v>
      </c>
      <c r="M3673" s="34">
        <f t="shared" si="114"/>
        <v>0</v>
      </c>
      <c r="N3673" s="17">
        <f t="shared" si="115"/>
        <v>252700.6</v>
      </c>
    </row>
    <row r="3674" spans="1:14" x14ac:dyDescent="0.25">
      <c r="A3674" s="14" t="s">
        <v>1445</v>
      </c>
      <c r="B3674" s="14" t="s">
        <v>243</v>
      </c>
      <c r="C3674" s="15" t="s">
        <v>1586</v>
      </c>
      <c r="D3674" s="14" t="s">
        <v>1745</v>
      </c>
      <c r="E3674" s="14" t="s">
        <v>1747</v>
      </c>
      <c r="F3674" s="17" t="s">
        <v>2993</v>
      </c>
      <c r="G3674" s="14">
        <v>153306</v>
      </c>
      <c r="H3674" s="14">
        <v>122644.8</v>
      </c>
      <c r="I3674" s="31">
        <f>IF(COUNTIFS(Addendum!C:C,A3674,Addendum!D:D,IF(ISNUMBER(B3674),TEXT(B3674,"0000"),B3674),Addendum!E:E,"X")&gt;0,4%,0)</f>
        <v>0.04</v>
      </c>
      <c r="J3674" s="31">
        <f>IF(COUNTIFS(Addendum!C:C,A3674,Addendum!D:D,IF(ISNUMBER(B3674),TEXT(B3674,"0000"),B3674),Addendum!F:F,"X")&gt;0,2.5%,0)</f>
        <v>0</v>
      </c>
      <c r="K3674" s="31">
        <f>IF(COUNTIFS(Addendum!C:C,A3674,Addendum!D:D,IF(ISNUMBER(B3674),TEXT(B3674,"0000"),B3674),Addendum!G:G,"X")&gt;0,7%,0)</f>
        <v>0</v>
      </c>
      <c r="L3674" s="31">
        <f>IF(COUNTIFS(Addendum!C:C,A3674,Addendum!D:D,IF(ISNUMBER(B3674),TEXT(B3674,"0000"),B3674),Addendum!I:I,"X")&gt;0,10%,0)</f>
        <v>0.1</v>
      </c>
      <c r="M3674" s="34">
        <f t="shared" si="114"/>
        <v>0</v>
      </c>
      <c r="N3674" s="17">
        <f t="shared" si="115"/>
        <v>122644.8</v>
      </c>
    </row>
    <row r="3675" spans="1:14" x14ac:dyDescent="0.25">
      <c r="A3675" s="14" t="s">
        <v>1616</v>
      </c>
      <c r="B3675" s="14" t="s">
        <v>32</v>
      </c>
      <c r="C3675" s="15" t="s">
        <v>1721</v>
      </c>
      <c r="D3675" s="14" t="s">
        <v>1745</v>
      </c>
      <c r="E3675" s="14" t="s">
        <v>1746</v>
      </c>
      <c r="F3675" s="17" t="s">
        <v>2993</v>
      </c>
      <c r="G3675" s="14">
        <v>201738.6</v>
      </c>
      <c r="H3675" s="14">
        <v>161390.9</v>
      </c>
      <c r="I3675" s="31">
        <f>IF(COUNTIFS(Addendum!C:C,A3675,Addendum!D:D,IF(ISNUMBER(B3675),TEXT(B3675,"0000"),B3675),Addendum!E:E,"X")&gt;0,4%,0)</f>
        <v>0.04</v>
      </c>
      <c r="J3675" s="31">
        <f>IF(COUNTIFS(Addendum!C:C,A3675,Addendum!D:D,IF(ISNUMBER(B3675),TEXT(B3675,"0000"),B3675),Addendum!F:F,"X")&gt;0,2.5%,0)</f>
        <v>0</v>
      </c>
      <c r="K3675" s="31">
        <f>IF(COUNTIFS(Addendum!C:C,A3675,Addendum!D:D,IF(ISNUMBER(B3675),TEXT(B3675,"0000"),B3675),Addendum!G:G,"X")&gt;0,7%,0)</f>
        <v>0</v>
      </c>
      <c r="L3675" s="31">
        <f>IF(COUNTIFS(Addendum!C:C,A3675,Addendum!D:D,IF(ISNUMBER(B3675),TEXT(B3675,"0000"),B3675),Addendum!I:I,"X")&gt;0,10%,0)</f>
        <v>0.1</v>
      </c>
      <c r="M3675" s="34">
        <f t="shared" si="114"/>
        <v>0</v>
      </c>
      <c r="N3675" s="17">
        <f t="shared" si="115"/>
        <v>161390.9</v>
      </c>
    </row>
    <row r="3676" spans="1:14" x14ac:dyDescent="0.25">
      <c r="A3676" s="14" t="s">
        <v>1616</v>
      </c>
      <c r="B3676" s="14" t="s">
        <v>122</v>
      </c>
      <c r="C3676" s="15" t="s">
        <v>1709</v>
      </c>
      <c r="D3676" s="14" t="s">
        <v>1749</v>
      </c>
      <c r="E3676" s="14" t="s">
        <v>1746</v>
      </c>
      <c r="F3676" s="17" t="s">
        <v>2993</v>
      </c>
      <c r="G3676" s="14">
        <v>8895</v>
      </c>
      <c r="H3676" s="14">
        <v>7116</v>
      </c>
      <c r="I3676" s="31">
        <f>IF(COUNTIFS(Addendum!C:C,A3676,Addendum!D:D,IF(ISNUMBER(B3676),TEXT(B3676,"0000"),B3676),Addendum!E:E,"X")&gt;0,4%,0)</f>
        <v>0.04</v>
      </c>
      <c r="J3676" s="31">
        <f>IF(COUNTIFS(Addendum!C:C,A3676,Addendum!D:D,IF(ISNUMBER(B3676),TEXT(B3676,"0000"),B3676),Addendum!F:F,"X")&gt;0,2.5%,0)</f>
        <v>0</v>
      </c>
      <c r="K3676" s="31">
        <f>IF(COUNTIFS(Addendum!C:C,A3676,Addendum!D:D,IF(ISNUMBER(B3676),TEXT(B3676,"0000"),B3676),Addendum!G:G,"X")&gt;0,7%,0)</f>
        <v>0</v>
      </c>
      <c r="L3676" s="31">
        <f>IF(COUNTIFS(Addendum!C:C,A3676,Addendum!D:D,IF(ISNUMBER(B3676),TEXT(B3676,"0000"),B3676),Addendum!I:I,"X")&gt;0,10%,0)</f>
        <v>0.1</v>
      </c>
      <c r="M3676" s="34">
        <f t="shared" si="114"/>
        <v>0</v>
      </c>
      <c r="N3676" s="17">
        <f t="shared" si="115"/>
        <v>7116</v>
      </c>
    </row>
    <row r="3677" spans="1:14" x14ac:dyDescent="0.25">
      <c r="A3677" s="14" t="s">
        <v>1616</v>
      </c>
      <c r="B3677" s="14" t="s">
        <v>55</v>
      </c>
      <c r="C3677" s="15" t="s">
        <v>1702</v>
      </c>
      <c r="D3677" s="14" t="s">
        <v>1745</v>
      </c>
      <c r="E3677" s="14" t="s">
        <v>1747</v>
      </c>
      <c r="F3677" s="17" t="s">
        <v>2993</v>
      </c>
      <c r="G3677" s="14">
        <v>72792</v>
      </c>
      <c r="H3677" s="14">
        <v>58233.599999999999</v>
      </c>
      <c r="I3677" s="31">
        <f>IF(COUNTIFS(Addendum!C:C,A3677,Addendum!D:D,IF(ISNUMBER(B3677),TEXT(B3677,"0000"),B3677),Addendum!E:E,"X")&gt;0,4%,0)</f>
        <v>0.04</v>
      </c>
      <c r="J3677" s="31">
        <f>IF(COUNTIFS(Addendum!C:C,A3677,Addendum!D:D,IF(ISNUMBER(B3677),TEXT(B3677,"0000"),B3677),Addendum!F:F,"X")&gt;0,2.5%,0)</f>
        <v>0</v>
      </c>
      <c r="K3677" s="31">
        <f>IF(COUNTIFS(Addendum!C:C,A3677,Addendum!D:D,IF(ISNUMBER(B3677),TEXT(B3677,"0000"),B3677),Addendum!G:G,"X")&gt;0,7%,0)</f>
        <v>0</v>
      </c>
      <c r="L3677" s="31">
        <f>IF(COUNTIFS(Addendum!C:C,A3677,Addendum!D:D,IF(ISNUMBER(B3677),TEXT(B3677,"0000"),B3677),Addendum!I:I,"X")&gt;0,10%,0)</f>
        <v>0.1</v>
      </c>
      <c r="M3677" s="34">
        <f t="shared" si="114"/>
        <v>0</v>
      </c>
      <c r="N3677" s="17">
        <f t="shared" si="115"/>
        <v>58233.599999999999</v>
      </c>
    </row>
    <row r="3678" spans="1:14" x14ac:dyDescent="0.25">
      <c r="A3678" s="14" t="s">
        <v>1616</v>
      </c>
      <c r="B3678" s="14" t="s">
        <v>46</v>
      </c>
      <c r="C3678" s="15" t="s">
        <v>1712</v>
      </c>
      <c r="D3678" s="14" t="s">
        <v>1745</v>
      </c>
      <c r="E3678" s="14" t="s">
        <v>1746</v>
      </c>
      <c r="F3678" s="17" t="s">
        <v>2993</v>
      </c>
      <c r="G3678" s="14">
        <v>115157.8</v>
      </c>
      <c r="H3678" s="14">
        <v>92126.16</v>
      </c>
      <c r="I3678" s="31">
        <f>IF(COUNTIFS(Addendum!C:C,A3678,Addendum!D:D,IF(ISNUMBER(B3678),TEXT(B3678,"0000"),B3678),Addendum!E:E,"X")&gt;0,4%,0)</f>
        <v>0.04</v>
      </c>
      <c r="J3678" s="31">
        <f>IF(COUNTIFS(Addendum!C:C,A3678,Addendum!D:D,IF(ISNUMBER(B3678),TEXT(B3678,"0000"),B3678),Addendum!F:F,"X")&gt;0,2.5%,0)</f>
        <v>0</v>
      </c>
      <c r="K3678" s="31">
        <f>IF(COUNTIFS(Addendum!C:C,A3678,Addendum!D:D,IF(ISNUMBER(B3678),TEXT(B3678,"0000"),B3678),Addendum!G:G,"X")&gt;0,7%,0)</f>
        <v>0</v>
      </c>
      <c r="L3678" s="31">
        <f>IF(COUNTIFS(Addendum!C:C,A3678,Addendum!D:D,IF(ISNUMBER(B3678),TEXT(B3678,"0000"),B3678),Addendum!I:I,"X")&gt;0,10%,0)</f>
        <v>0.1</v>
      </c>
      <c r="M3678" s="34">
        <f t="shared" si="114"/>
        <v>0</v>
      </c>
      <c r="N3678" s="17">
        <f t="shared" si="115"/>
        <v>92126.16</v>
      </c>
    </row>
    <row r="3679" spans="1:14" x14ac:dyDescent="0.25">
      <c r="A3679" s="14" t="s">
        <v>1616</v>
      </c>
      <c r="B3679" s="14" t="s">
        <v>1735</v>
      </c>
      <c r="C3679" s="15" t="s">
        <v>1734</v>
      </c>
      <c r="D3679" s="14" t="s">
        <v>1745</v>
      </c>
      <c r="E3679" s="14" t="s">
        <v>1747</v>
      </c>
      <c r="F3679" s="17" t="s">
        <v>2993</v>
      </c>
      <c r="G3679" s="14">
        <v>451224</v>
      </c>
      <c r="H3679" s="14">
        <v>360979.20000000001</v>
      </c>
      <c r="I3679" s="31">
        <f>IF(COUNTIFS(Addendum!C:C,A3679,Addendum!D:D,IF(ISNUMBER(B3679),TEXT(B3679,"0000"),B3679),Addendum!E:E,"X")&gt;0,4%,0)</f>
        <v>0.04</v>
      </c>
      <c r="J3679" s="31">
        <f>IF(COUNTIFS(Addendum!C:C,A3679,Addendum!D:D,IF(ISNUMBER(B3679),TEXT(B3679,"0000"),B3679),Addendum!F:F,"X")&gt;0,2.5%,0)</f>
        <v>0</v>
      </c>
      <c r="K3679" s="31">
        <f>IF(COUNTIFS(Addendum!C:C,A3679,Addendum!D:D,IF(ISNUMBER(B3679),TEXT(B3679,"0000"),B3679),Addendum!G:G,"X")&gt;0,7%,0)</f>
        <v>0</v>
      </c>
      <c r="L3679" s="31">
        <f>IF(COUNTIFS(Addendum!C:C,A3679,Addendum!D:D,IF(ISNUMBER(B3679),TEXT(B3679,"0000"),B3679),Addendum!I:I,"X")&gt;0,10%,0)</f>
        <v>0.1</v>
      </c>
      <c r="M3679" s="34">
        <f t="shared" si="114"/>
        <v>0</v>
      </c>
      <c r="N3679" s="17">
        <f t="shared" si="115"/>
        <v>360979.20000000001</v>
      </c>
    </row>
    <row r="3680" spans="1:14" x14ac:dyDescent="0.25">
      <c r="A3680" s="14" t="s">
        <v>1616</v>
      </c>
      <c r="B3680" s="14">
        <v>15</v>
      </c>
      <c r="C3680" s="15" t="s">
        <v>1727</v>
      </c>
      <c r="D3680" s="14" t="s">
        <v>1749</v>
      </c>
      <c r="E3680" s="14" t="s">
        <v>1746</v>
      </c>
      <c r="F3680" s="17" t="s">
        <v>2993</v>
      </c>
      <c r="G3680" s="14">
        <v>257960</v>
      </c>
      <c r="H3680" s="14">
        <v>206368</v>
      </c>
      <c r="I3680" s="31">
        <f>IF(COUNTIFS(Addendum!C:C,A3680,Addendum!D:D,IF(ISNUMBER(B3680),TEXT(B3680,"0000"),B3680),Addendum!E:E,"X")&gt;0,4%,0)</f>
        <v>0.04</v>
      </c>
      <c r="J3680" s="31">
        <f>IF(COUNTIFS(Addendum!C:C,A3680,Addendum!D:D,IF(ISNUMBER(B3680),TEXT(B3680,"0000"),B3680),Addendum!F:F,"X")&gt;0,2.5%,0)</f>
        <v>0</v>
      </c>
      <c r="K3680" s="31">
        <f>IF(COUNTIFS(Addendum!C:C,A3680,Addendum!D:D,IF(ISNUMBER(B3680),TEXT(B3680,"0000"),B3680),Addendum!G:G,"X")&gt;0,7%,0)</f>
        <v>0</v>
      </c>
      <c r="L3680" s="31">
        <f>IF(COUNTIFS(Addendum!C:C,A3680,Addendum!D:D,IF(ISNUMBER(B3680),TEXT(B3680,"0000"),B3680),Addendum!I:I,"X")&gt;0,10%,0)</f>
        <v>0.1</v>
      </c>
      <c r="M3680" s="34">
        <f t="shared" si="114"/>
        <v>0</v>
      </c>
      <c r="N3680" s="17">
        <f t="shared" si="115"/>
        <v>206368</v>
      </c>
    </row>
    <row r="3681" spans="1:14" x14ac:dyDescent="0.25">
      <c r="A3681" s="14" t="s">
        <v>1616</v>
      </c>
      <c r="B3681" s="14" t="s">
        <v>39</v>
      </c>
      <c r="C3681" s="15" t="s">
        <v>1718</v>
      </c>
      <c r="D3681" s="14" t="s">
        <v>1745</v>
      </c>
      <c r="E3681" s="14" t="s">
        <v>1746</v>
      </c>
      <c r="F3681" s="17" t="s">
        <v>2993</v>
      </c>
      <c r="G3681" s="14">
        <v>188470.8</v>
      </c>
      <c r="H3681" s="14">
        <v>150776.6</v>
      </c>
      <c r="I3681" s="31">
        <f>IF(COUNTIFS(Addendum!C:C,A3681,Addendum!D:D,IF(ISNUMBER(B3681),TEXT(B3681,"0000"),B3681),Addendum!E:E,"X")&gt;0,4%,0)</f>
        <v>0.04</v>
      </c>
      <c r="J3681" s="31">
        <f>IF(COUNTIFS(Addendum!C:C,A3681,Addendum!D:D,IF(ISNUMBER(B3681),TEXT(B3681,"0000"),B3681),Addendum!F:F,"X")&gt;0,2.5%,0)</f>
        <v>0</v>
      </c>
      <c r="K3681" s="31">
        <f>IF(COUNTIFS(Addendum!C:C,A3681,Addendum!D:D,IF(ISNUMBER(B3681),TEXT(B3681,"0000"),B3681),Addendum!G:G,"X")&gt;0,7%,0)</f>
        <v>0</v>
      </c>
      <c r="L3681" s="31">
        <f>IF(COUNTIFS(Addendum!C:C,A3681,Addendum!D:D,IF(ISNUMBER(B3681),TEXT(B3681,"0000"),B3681),Addendum!I:I,"X")&gt;0,10%,0)</f>
        <v>0.1</v>
      </c>
      <c r="M3681" s="34">
        <f t="shared" si="114"/>
        <v>0</v>
      </c>
      <c r="N3681" s="17">
        <f t="shared" si="115"/>
        <v>150776.6</v>
      </c>
    </row>
    <row r="3682" spans="1:14" x14ac:dyDescent="0.25">
      <c r="A3682" s="14" t="s">
        <v>1616</v>
      </c>
      <c r="B3682" s="14" t="s">
        <v>1737</v>
      </c>
      <c r="C3682" s="15" t="s">
        <v>1736</v>
      </c>
      <c r="D3682" s="14" t="s">
        <v>1749</v>
      </c>
      <c r="E3682" s="14" t="s">
        <v>1746</v>
      </c>
      <c r="F3682" s="17" t="s">
        <v>2993</v>
      </c>
      <c r="G3682" s="14">
        <v>45150</v>
      </c>
      <c r="H3682" s="14">
        <v>36120</v>
      </c>
      <c r="I3682" s="31">
        <f>IF(COUNTIFS(Addendum!C:C,A3682,Addendum!D:D,IF(ISNUMBER(B3682),TEXT(B3682,"0000"),B3682),Addendum!E:E,"X")&gt;0,4%,0)</f>
        <v>0.04</v>
      </c>
      <c r="J3682" s="31">
        <f>IF(COUNTIFS(Addendum!C:C,A3682,Addendum!D:D,IF(ISNUMBER(B3682),TEXT(B3682,"0000"),B3682),Addendum!F:F,"X")&gt;0,2.5%,0)</f>
        <v>0</v>
      </c>
      <c r="K3682" s="31">
        <f>IF(COUNTIFS(Addendum!C:C,A3682,Addendum!D:D,IF(ISNUMBER(B3682),TEXT(B3682,"0000"),B3682),Addendum!G:G,"X")&gt;0,7%,0)</f>
        <v>0</v>
      </c>
      <c r="L3682" s="31">
        <f>IF(COUNTIFS(Addendum!C:C,A3682,Addendum!D:D,IF(ISNUMBER(B3682),TEXT(B3682,"0000"),B3682),Addendum!I:I,"X")&gt;0,10%,0)</f>
        <v>0.1</v>
      </c>
      <c r="M3682" s="34">
        <f t="shared" si="114"/>
        <v>0</v>
      </c>
      <c r="N3682" s="17">
        <f t="shared" si="115"/>
        <v>36120</v>
      </c>
    </row>
    <row r="3683" spans="1:14" x14ac:dyDescent="0.25">
      <c r="A3683" s="14" t="s">
        <v>1616</v>
      </c>
      <c r="B3683" s="14" t="s">
        <v>32</v>
      </c>
      <c r="C3683" s="15" t="s">
        <v>1721</v>
      </c>
      <c r="D3683" s="14" t="s">
        <v>1745</v>
      </c>
      <c r="E3683" s="14" t="s">
        <v>1747</v>
      </c>
      <c r="F3683" s="17" t="s">
        <v>2993</v>
      </c>
      <c r="G3683" s="14">
        <v>192132</v>
      </c>
      <c r="H3683" s="14">
        <v>153705.60000000001</v>
      </c>
      <c r="I3683" s="31">
        <f>IF(COUNTIFS(Addendum!C:C,A3683,Addendum!D:D,IF(ISNUMBER(B3683),TEXT(B3683,"0000"),B3683),Addendum!E:E,"X")&gt;0,4%,0)</f>
        <v>0.04</v>
      </c>
      <c r="J3683" s="31">
        <f>IF(COUNTIFS(Addendum!C:C,A3683,Addendum!D:D,IF(ISNUMBER(B3683),TEXT(B3683,"0000"),B3683),Addendum!F:F,"X")&gt;0,2.5%,0)</f>
        <v>0</v>
      </c>
      <c r="K3683" s="31">
        <f>IF(COUNTIFS(Addendum!C:C,A3683,Addendum!D:D,IF(ISNUMBER(B3683),TEXT(B3683,"0000"),B3683),Addendum!G:G,"X")&gt;0,7%,0)</f>
        <v>0</v>
      </c>
      <c r="L3683" s="31">
        <f>IF(COUNTIFS(Addendum!C:C,A3683,Addendum!D:D,IF(ISNUMBER(B3683),TEXT(B3683,"0000"),B3683),Addendum!I:I,"X")&gt;0,10%,0)</f>
        <v>0.1</v>
      </c>
      <c r="M3683" s="34">
        <f t="shared" si="114"/>
        <v>0</v>
      </c>
      <c r="N3683" s="17">
        <f t="shared" si="115"/>
        <v>153705.60000000001</v>
      </c>
    </row>
    <row r="3684" spans="1:14" x14ac:dyDescent="0.25">
      <c r="A3684" s="14" t="s">
        <v>1616</v>
      </c>
      <c r="B3684" s="14" t="s">
        <v>1708</v>
      </c>
      <c r="C3684" s="15" t="s">
        <v>1707</v>
      </c>
      <c r="D3684" s="14" t="s">
        <v>1745</v>
      </c>
      <c r="E3684" s="14" t="s">
        <v>1747</v>
      </c>
      <c r="F3684" s="17" t="s">
        <v>2993</v>
      </c>
      <c r="G3684" s="14">
        <v>1113534</v>
      </c>
      <c r="H3684" s="14">
        <v>890827.2</v>
      </c>
      <c r="I3684" s="31">
        <f>IF(COUNTIFS(Addendum!C:C,A3684,Addendum!D:D,IF(ISNUMBER(B3684),TEXT(B3684,"0000"),B3684),Addendum!E:E,"X")&gt;0,4%,0)</f>
        <v>0.04</v>
      </c>
      <c r="J3684" s="31">
        <f>IF(COUNTIFS(Addendum!C:C,A3684,Addendum!D:D,IF(ISNUMBER(B3684),TEXT(B3684,"0000"),B3684),Addendum!F:F,"X")&gt;0,2.5%,0)</f>
        <v>0</v>
      </c>
      <c r="K3684" s="31">
        <f>IF(COUNTIFS(Addendum!C:C,A3684,Addendum!D:D,IF(ISNUMBER(B3684),TEXT(B3684,"0000"),B3684),Addendum!G:G,"X")&gt;0,7%,0)</f>
        <v>0</v>
      </c>
      <c r="L3684" s="31">
        <f>IF(COUNTIFS(Addendum!C:C,A3684,Addendum!D:D,IF(ISNUMBER(B3684),TEXT(B3684,"0000"),B3684),Addendum!I:I,"X")&gt;0,10%,0)</f>
        <v>0.1</v>
      </c>
      <c r="M3684" s="34">
        <f t="shared" si="114"/>
        <v>0</v>
      </c>
      <c r="N3684" s="17">
        <f t="shared" si="115"/>
        <v>890827.2</v>
      </c>
    </row>
    <row r="3685" spans="1:14" x14ac:dyDescent="0.25">
      <c r="A3685" s="14" t="s">
        <v>1616</v>
      </c>
      <c r="B3685" s="14">
        <v>11</v>
      </c>
      <c r="C3685" s="15" t="s">
        <v>1684</v>
      </c>
      <c r="D3685" s="14" t="s">
        <v>1745</v>
      </c>
      <c r="E3685" s="14" t="s">
        <v>1747</v>
      </c>
      <c r="F3685" s="17" t="s">
        <v>2993</v>
      </c>
      <c r="G3685" s="14">
        <v>459000</v>
      </c>
      <c r="H3685" s="14">
        <v>367200</v>
      </c>
      <c r="I3685" s="31">
        <f>IF(COUNTIFS(Addendum!C:C,A3685,Addendum!D:D,IF(ISNUMBER(B3685),TEXT(B3685,"0000"),B3685),Addendum!E:E,"X")&gt;0,4%,0)</f>
        <v>0.04</v>
      </c>
      <c r="J3685" s="31">
        <f>IF(COUNTIFS(Addendum!C:C,A3685,Addendum!D:D,IF(ISNUMBER(B3685),TEXT(B3685,"0000"),B3685),Addendum!F:F,"X")&gt;0,2.5%,0)</f>
        <v>0</v>
      </c>
      <c r="K3685" s="31">
        <f>IF(COUNTIFS(Addendum!C:C,A3685,Addendum!D:D,IF(ISNUMBER(B3685),TEXT(B3685,"0000"),B3685),Addendum!G:G,"X")&gt;0,7%,0)</f>
        <v>0</v>
      </c>
      <c r="L3685" s="31">
        <f>IF(COUNTIFS(Addendum!C:C,A3685,Addendum!D:D,IF(ISNUMBER(B3685),TEXT(B3685,"0000"),B3685),Addendum!I:I,"X")&gt;0,10%,0)</f>
        <v>0.1</v>
      </c>
      <c r="M3685" s="34">
        <f t="shared" si="114"/>
        <v>0</v>
      </c>
      <c r="N3685" s="17">
        <f t="shared" si="115"/>
        <v>367200</v>
      </c>
    </row>
    <row r="3686" spans="1:14" x14ac:dyDescent="0.25">
      <c r="A3686" s="14" t="s">
        <v>1616</v>
      </c>
      <c r="B3686" s="14" t="s">
        <v>50</v>
      </c>
      <c r="C3686" s="15" t="s">
        <v>1724</v>
      </c>
      <c r="D3686" s="14" t="s">
        <v>1745</v>
      </c>
      <c r="E3686" s="14" t="s">
        <v>1746</v>
      </c>
      <c r="F3686" s="17" t="s">
        <v>2993</v>
      </c>
      <c r="G3686" s="14">
        <v>241485.4</v>
      </c>
      <c r="H3686" s="14">
        <v>193188.2</v>
      </c>
      <c r="I3686" s="31">
        <f>IF(COUNTIFS(Addendum!C:C,A3686,Addendum!D:D,IF(ISNUMBER(B3686),TEXT(B3686,"0000"),B3686),Addendum!E:E,"X")&gt;0,4%,0)</f>
        <v>0.04</v>
      </c>
      <c r="J3686" s="31">
        <f>IF(COUNTIFS(Addendum!C:C,A3686,Addendum!D:D,IF(ISNUMBER(B3686),TEXT(B3686,"0000"),B3686),Addendum!F:F,"X")&gt;0,2.5%,0)</f>
        <v>0</v>
      </c>
      <c r="K3686" s="31">
        <f>IF(COUNTIFS(Addendum!C:C,A3686,Addendum!D:D,IF(ISNUMBER(B3686),TEXT(B3686,"0000"),B3686),Addendum!G:G,"X")&gt;0,7%,0)</f>
        <v>0</v>
      </c>
      <c r="L3686" s="31">
        <f>IF(COUNTIFS(Addendum!C:C,A3686,Addendum!D:D,IF(ISNUMBER(B3686),TEXT(B3686,"0000"),B3686),Addendum!I:I,"X")&gt;0,10%,0)</f>
        <v>0.1</v>
      </c>
      <c r="M3686" s="34">
        <f t="shared" si="114"/>
        <v>0</v>
      </c>
      <c r="N3686" s="17">
        <f t="shared" si="115"/>
        <v>193188.2</v>
      </c>
    </row>
    <row r="3687" spans="1:14" x14ac:dyDescent="0.25">
      <c r="A3687" s="14" t="s">
        <v>1616</v>
      </c>
      <c r="B3687" s="14" t="s">
        <v>34</v>
      </c>
      <c r="C3687" s="15" t="s">
        <v>1693</v>
      </c>
      <c r="D3687" s="14" t="s">
        <v>1745</v>
      </c>
      <c r="E3687" s="14" t="s">
        <v>1746</v>
      </c>
      <c r="F3687" s="17" t="s">
        <v>2993</v>
      </c>
      <c r="G3687" s="14">
        <v>61122.6</v>
      </c>
      <c r="H3687" s="14">
        <v>48898.080000000002</v>
      </c>
      <c r="I3687" s="31">
        <f>IF(COUNTIFS(Addendum!C:C,A3687,Addendum!D:D,IF(ISNUMBER(B3687),TEXT(B3687,"0000"),B3687),Addendum!E:E,"X")&gt;0,4%,0)</f>
        <v>0.04</v>
      </c>
      <c r="J3687" s="31">
        <f>IF(COUNTIFS(Addendum!C:C,A3687,Addendum!D:D,IF(ISNUMBER(B3687),TEXT(B3687,"0000"),B3687),Addendum!F:F,"X")&gt;0,2.5%,0)</f>
        <v>0</v>
      </c>
      <c r="K3687" s="31">
        <f>IF(COUNTIFS(Addendum!C:C,A3687,Addendum!D:D,IF(ISNUMBER(B3687),TEXT(B3687,"0000"),B3687),Addendum!G:G,"X")&gt;0,7%,0)</f>
        <v>0</v>
      </c>
      <c r="L3687" s="31">
        <f>IF(COUNTIFS(Addendum!C:C,A3687,Addendum!D:D,IF(ISNUMBER(B3687),TEXT(B3687,"0000"),B3687),Addendum!I:I,"X")&gt;0,10%,0)</f>
        <v>0.1</v>
      </c>
      <c r="M3687" s="34">
        <f t="shared" si="114"/>
        <v>0</v>
      </c>
      <c r="N3687" s="17">
        <f t="shared" si="115"/>
        <v>48898.080000000002</v>
      </c>
    </row>
    <row r="3688" spans="1:14" x14ac:dyDescent="0.25">
      <c r="A3688" s="14" t="s">
        <v>1616</v>
      </c>
      <c r="B3688" s="14" t="s">
        <v>50</v>
      </c>
      <c r="C3688" s="15" t="s">
        <v>1724</v>
      </c>
      <c r="D3688" s="14" t="s">
        <v>1749</v>
      </c>
      <c r="E3688" s="14" t="s">
        <v>1746</v>
      </c>
      <c r="F3688" s="17" t="s">
        <v>2993</v>
      </c>
      <c r="G3688" s="14">
        <v>21295</v>
      </c>
      <c r="H3688" s="14">
        <v>17036</v>
      </c>
      <c r="I3688" s="31">
        <f>IF(COUNTIFS(Addendum!C:C,A3688,Addendum!D:D,IF(ISNUMBER(B3688),TEXT(B3688,"0000"),B3688),Addendum!E:E,"X")&gt;0,4%,0)</f>
        <v>0.04</v>
      </c>
      <c r="J3688" s="31">
        <f>IF(COUNTIFS(Addendum!C:C,A3688,Addendum!D:D,IF(ISNUMBER(B3688),TEXT(B3688,"0000"),B3688),Addendum!F:F,"X")&gt;0,2.5%,0)</f>
        <v>0</v>
      </c>
      <c r="K3688" s="31">
        <f>IF(COUNTIFS(Addendum!C:C,A3688,Addendum!D:D,IF(ISNUMBER(B3688),TEXT(B3688,"0000"),B3688),Addendum!G:G,"X")&gt;0,7%,0)</f>
        <v>0</v>
      </c>
      <c r="L3688" s="31">
        <f>IF(COUNTIFS(Addendum!C:C,A3688,Addendum!D:D,IF(ISNUMBER(B3688),TEXT(B3688,"0000"),B3688),Addendum!I:I,"X")&gt;0,10%,0)</f>
        <v>0.1</v>
      </c>
      <c r="M3688" s="34">
        <f t="shared" si="114"/>
        <v>0</v>
      </c>
      <c r="N3688" s="17">
        <f t="shared" si="115"/>
        <v>17036</v>
      </c>
    </row>
    <row r="3689" spans="1:14" x14ac:dyDescent="0.25">
      <c r="A3689" s="14" t="s">
        <v>1616</v>
      </c>
      <c r="B3689" s="14">
        <v>13</v>
      </c>
      <c r="C3689" s="15" t="s">
        <v>1687</v>
      </c>
      <c r="D3689" s="14" t="s">
        <v>1745</v>
      </c>
      <c r="E3689" s="14" t="s">
        <v>1747</v>
      </c>
      <c r="F3689" s="17" t="s">
        <v>2993</v>
      </c>
      <c r="G3689" s="14">
        <v>403704</v>
      </c>
      <c r="H3689" s="14">
        <v>322963.20000000001</v>
      </c>
      <c r="I3689" s="31">
        <f>IF(COUNTIFS(Addendum!C:C,A3689,Addendum!D:D,IF(ISNUMBER(B3689),TEXT(B3689,"0000"),B3689),Addendum!E:E,"X")&gt;0,4%,0)</f>
        <v>0.04</v>
      </c>
      <c r="J3689" s="31">
        <f>IF(COUNTIFS(Addendum!C:C,A3689,Addendum!D:D,IF(ISNUMBER(B3689),TEXT(B3689,"0000"),B3689),Addendum!F:F,"X")&gt;0,2.5%,0)</f>
        <v>0</v>
      </c>
      <c r="K3689" s="31">
        <f>IF(COUNTIFS(Addendum!C:C,A3689,Addendum!D:D,IF(ISNUMBER(B3689),TEXT(B3689,"0000"),B3689),Addendum!G:G,"X")&gt;0,7%,0)</f>
        <v>0</v>
      </c>
      <c r="L3689" s="31">
        <f>IF(COUNTIFS(Addendum!C:C,A3689,Addendum!D:D,IF(ISNUMBER(B3689),TEXT(B3689,"0000"),B3689),Addendum!I:I,"X")&gt;0,10%,0)</f>
        <v>0.1</v>
      </c>
      <c r="M3689" s="34">
        <f t="shared" si="114"/>
        <v>0</v>
      </c>
      <c r="N3689" s="17">
        <f t="shared" si="115"/>
        <v>322963.20000000001</v>
      </c>
    </row>
    <row r="3690" spans="1:14" x14ac:dyDescent="0.25">
      <c r="A3690" s="14" t="s">
        <v>1616</v>
      </c>
      <c r="B3690" s="14" t="s">
        <v>122</v>
      </c>
      <c r="C3690" s="15" t="s">
        <v>1709</v>
      </c>
      <c r="D3690" s="14" t="s">
        <v>1745</v>
      </c>
      <c r="E3690" s="14" t="s">
        <v>1747</v>
      </c>
      <c r="F3690" s="17" t="s">
        <v>2993</v>
      </c>
      <c r="G3690" s="14">
        <v>96066</v>
      </c>
      <c r="H3690" s="14">
        <v>76852.800000000003</v>
      </c>
      <c r="I3690" s="31">
        <f>IF(COUNTIFS(Addendum!C:C,A3690,Addendum!D:D,IF(ISNUMBER(B3690),TEXT(B3690,"0000"),B3690),Addendum!E:E,"X")&gt;0,4%,0)</f>
        <v>0.04</v>
      </c>
      <c r="J3690" s="31">
        <f>IF(COUNTIFS(Addendum!C:C,A3690,Addendum!D:D,IF(ISNUMBER(B3690),TEXT(B3690,"0000"),B3690),Addendum!F:F,"X")&gt;0,2.5%,0)</f>
        <v>0</v>
      </c>
      <c r="K3690" s="31">
        <f>IF(COUNTIFS(Addendum!C:C,A3690,Addendum!D:D,IF(ISNUMBER(B3690),TEXT(B3690,"0000"),B3690),Addendum!G:G,"X")&gt;0,7%,0)</f>
        <v>0</v>
      </c>
      <c r="L3690" s="31">
        <f>IF(COUNTIFS(Addendum!C:C,A3690,Addendum!D:D,IF(ISNUMBER(B3690),TEXT(B3690,"0000"),B3690),Addendum!I:I,"X")&gt;0,10%,0)</f>
        <v>0.1</v>
      </c>
      <c r="M3690" s="34">
        <f t="shared" si="114"/>
        <v>0</v>
      </c>
      <c r="N3690" s="17">
        <f t="shared" si="115"/>
        <v>76852.800000000003</v>
      </c>
    </row>
    <row r="3691" spans="1:14" x14ac:dyDescent="0.25">
      <c r="A3691" s="14" t="s">
        <v>1616</v>
      </c>
      <c r="B3691" s="14" t="s">
        <v>1708</v>
      </c>
      <c r="C3691" s="15" t="s">
        <v>1707</v>
      </c>
      <c r="D3691" s="14" t="s">
        <v>1749</v>
      </c>
      <c r="E3691" s="14" t="s">
        <v>1746</v>
      </c>
      <c r="F3691" s="17" t="s">
        <v>2993</v>
      </c>
      <c r="G3691" s="14">
        <v>103105</v>
      </c>
      <c r="H3691" s="14">
        <v>82484</v>
      </c>
      <c r="I3691" s="31">
        <f>IF(COUNTIFS(Addendum!C:C,A3691,Addendum!D:D,IF(ISNUMBER(B3691),TEXT(B3691,"0000"),B3691),Addendum!E:E,"X")&gt;0,4%,0)</f>
        <v>0.04</v>
      </c>
      <c r="J3691" s="31">
        <f>IF(COUNTIFS(Addendum!C:C,A3691,Addendum!D:D,IF(ISNUMBER(B3691),TEXT(B3691,"0000"),B3691),Addendum!F:F,"X")&gt;0,2.5%,0)</f>
        <v>0</v>
      </c>
      <c r="K3691" s="31">
        <f>IF(COUNTIFS(Addendum!C:C,A3691,Addendum!D:D,IF(ISNUMBER(B3691),TEXT(B3691,"0000"),B3691),Addendum!G:G,"X")&gt;0,7%,0)</f>
        <v>0</v>
      </c>
      <c r="L3691" s="31">
        <f>IF(COUNTIFS(Addendum!C:C,A3691,Addendum!D:D,IF(ISNUMBER(B3691),TEXT(B3691,"0000"),B3691),Addendum!I:I,"X")&gt;0,10%,0)</f>
        <v>0.1</v>
      </c>
      <c r="M3691" s="34">
        <f t="shared" si="114"/>
        <v>0</v>
      </c>
      <c r="N3691" s="17">
        <f t="shared" si="115"/>
        <v>82484</v>
      </c>
    </row>
    <row r="3692" spans="1:14" x14ac:dyDescent="0.25">
      <c r="A3692" s="14" t="s">
        <v>1616</v>
      </c>
      <c r="B3692" s="14">
        <v>17</v>
      </c>
      <c r="C3692" s="15" t="s">
        <v>1729</v>
      </c>
      <c r="D3692" s="14" t="s">
        <v>1749</v>
      </c>
      <c r="E3692" s="14" t="s">
        <v>1746</v>
      </c>
      <c r="F3692" s="17" t="s">
        <v>2993</v>
      </c>
      <c r="G3692" s="14">
        <v>72420</v>
      </c>
      <c r="H3692" s="14">
        <v>57936</v>
      </c>
      <c r="I3692" s="31">
        <f>IF(COUNTIFS(Addendum!C:C,A3692,Addendum!D:D,IF(ISNUMBER(B3692),TEXT(B3692,"0000"),B3692),Addendum!E:E,"X")&gt;0,4%,0)</f>
        <v>0.04</v>
      </c>
      <c r="J3692" s="31">
        <f>IF(COUNTIFS(Addendum!C:C,A3692,Addendum!D:D,IF(ISNUMBER(B3692),TEXT(B3692,"0000"),B3692),Addendum!F:F,"X")&gt;0,2.5%,0)</f>
        <v>0</v>
      </c>
      <c r="K3692" s="31">
        <f>IF(COUNTIFS(Addendum!C:C,A3692,Addendum!D:D,IF(ISNUMBER(B3692),TEXT(B3692,"0000"),B3692),Addendum!G:G,"X")&gt;0,7%,0)</f>
        <v>0</v>
      </c>
      <c r="L3692" s="31">
        <f>IF(COUNTIFS(Addendum!C:C,A3692,Addendum!D:D,IF(ISNUMBER(B3692),TEXT(B3692,"0000"),B3692),Addendum!I:I,"X")&gt;0,10%,0)</f>
        <v>0.1</v>
      </c>
      <c r="M3692" s="34">
        <f t="shared" si="114"/>
        <v>0</v>
      </c>
      <c r="N3692" s="17">
        <f t="shared" si="115"/>
        <v>57936</v>
      </c>
    </row>
    <row r="3693" spans="1:14" x14ac:dyDescent="0.25">
      <c r="A3693" s="14" t="s">
        <v>1616</v>
      </c>
      <c r="B3693" s="14" t="s">
        <v>34</v>
      </c>
      <c r="C3693" s="15" t="s">
        <v>1693</v>
      </c>
      <c r="D3693" s="14" t="s">
        <v>1745</v>
      </c>
      <c r="E3693" s="14" t="s">
        <v>1747</v>
      </c>
      <c r="F3693" s="17" t="s">
        <v>2993</v>
      </c>
      <c r="G3693" s="14">
        <v>58212</v>
      </c>
      <c r="H3693" s="14">
        <v>46569.599999999999</v>
      </c>
      <c r="I3693" s="31">
        <f>IF(COUNTIFS(Addendum!C:C,A3693,Addendum!D:D,IF(ISNUMBER(B3693),TEXT(B3693,"0000"),B3693),Addendum!E:E,"X")&gt;0,4%,0)</f>
        <v>0.04</v>
      </c>
      <c r="J3693" s="31">
        <f>IF(COUNTIFS(Addendum!C:C,A3693,Addendum!D:D,IF(ISNUMBER(B3693),TEXT(B3693,"0000"),B3693),Addendum!F:F,"X")&gt;0,2.5%,0)</f>
        <v>0</v>
      </c>
      <c r="K3693" s="31">
        <f>IF(COUNTIFS(Addendum!C:C,A3693,Addendum!D:D,IF(ISNUMBER(B3693),TEXT(B3693,"0000"),B3693),Addendum!G:G,"X")&gt;0,7%,0)</f>
        <v>0</v>
      </c>
      <c r="L3693" s="31">
        <f>IF(COUNTIFS(Addendum!C:C,A3693,Addendum!D:D,IF(ISNUMBER(B3693),TEXT(B3693,"0000"),B3693),Addendum!I:I,"X")&gt;0,10%,0)</f>
        <v>0.1</v>
      </c>
      <c r="M3693" s="34">
        <f t="shared" si="114"/>
        <v>0</v>
      </c>
      <c r="N3693" s="17">
        <f t="shared" si="115"/>
        <v>46569.599999999999</v>
      </c>
    </row>
    <row r="3694" spans="1:14" x14ac:dyDescent="0.25">
      <c r="A3694" s="14" t="s">
        <v>1616</v>
      </c>
      <c r="B3694" s="14">
        <v>11</v>
      </c>
      <c r="C3694" s="15" t="s">
        <v>1684</v>
      </c>
      <c r="D3694" s="14" t="s">
        <v>1749</v>
      </c>
      <c r="E3694" s="14" t="s">
        <v>1746</v>
      </c>
      <c r="F3694" s="17" t="s">
        <v>2993</v>
      </c>
      <c r="G3694" s="14">
        <v>42500</v>
      </c>
      <c r="H3694" s="14">
        <v>34000</v>
      </c>
      <c r="I3694" s="31">
        <f>IF(COUNTIFS(Addendum!C:C,A3694,Addendum!D:D,IF(ISNUMBER(B3694),TEXT(B3694,"0000"),B3694),Addendum!E:E,"X")&gt;0,4%,0)</f>
        <v>0.04</v>
      </c>
      <c r="J3694" s="31">
        <f>IF(COUNTIFS(Addendum!C:C,A3694,Addendum!D:D,IF(ISNUMBER(B3694),TEXT(B3694,"0000"),B3694),Addendum!F:F,"X")&gt;0,2.5%,0)</f>
        <v>0</v>
      </c>
      <c r="K3694" s="31">
        <f>IF(COUNTIFS(Addendum!C:C,A3694,Addendum!D:D,IF(ISNUMBER(B3694),TEXT(B3694,"0000"),B3694),Addendum!G:G,"X")&gt;0,7%,0)</f>
        <v>0</v>
      </c>
      <c r="L3694" s="31">
        <f>IF(COUNTIFS(Addendum!C:C,A3694,Addendum!D:D,IF(ISNUMBER(B3694),TEXT(B3694,"0000"),B3694),Addendum!I:I,"X")&gt;0,10%,0)</f>
        <v>0.1</v>
      </c>
      <c r="M3694" s="34">
        <f t="shared" si="114"/>
        <v>0</v>
      </c>
      <c r="N3694" s="17">
        <f t="shared" si="115"/>
        <v>34000</v>
      </c>
    </row>
    <row r="3695" spans="1:14" x14ac:dyDescent="0.25">
      <c r="A3695" s="14" t="s">
        <v>1616</v>
      </c>
      <c r="B3695" s="14" t="s">
        <v>122</v>
      </c>
      <c r="C3695" s="15" t="s">
        <v>1709</v>
      </c>
      <c r="D3695" s="14" t="s">
        <v>1745</v>
      </c>
      <c r="E3695" s="14" t="s">
        <v>1746</v>
      </c>
      <c r="F3695" s="17" t="s">
        <v>2993</v>
      </c>
      <c r="G3695" s="14">
        <v>100869.4</v>
      </c>
      <c r="H3695" s="14">
        <v>80695.44</v>
      </c>
      <c r="I3695" s="31">
        <f>IF(COUNTIFS(Addendum!C:C,A3695,Addendum!D:D,IF(ISNUMBER(B3695),TEXT(B3695,"0000"),B3695),Addendum!E:E,"X")&gt;0,4%,0)</f>
        <v>0.04</v>
      </c>
      <c r="J3695" s="31">
        <f>IF(COUNTIFS(Addendum!C:C,A3695,Addendum!D:D,IF(ISNUMBER(B3695),TEXT(B3695,"0000"),B3695),Addendum!F:F,"X")&gt;0,2.5%,0)</f>
        <v>0</v>
      </c>
      <c r="K3695" s="31">
        <f>IF(COUNTIFS(Addendum!C:C,A3695,Addendum!D:D,IF(ISNUMBER(B3695),TEXT(B3695,"0000"),B3695),Addendum!G:G,"X")&gt;0,7%,0)</f>
        <v>0</v>
      </c>
      <c r="L3695" s="31">
        <f>IF(COUNTIFS(Addendum!C:C,A3695,Addendum!D:D,IF(ISNUMBER(B3695),TEXT(B3695,"0000"),B3695),Addendum!I:I,"X")&gt;0,10%,0)</f>
        <v>0.1</v>
      </c>
      <c r="M3695" s="34">
        <f t="shared" si="114"/>
        <v>0</v>
      </c>
      <c r="N3695" s="17">
        <f t="shared" si="115"/>
        <v>80695.44</v>
      </c>
    </row>
    <row r="3696" spans="1:14" x14ac:dyDescent="0.25">
      <c r="A3696" s="14" t="s">
        <v>1616</v>
      </c>
      <c r="B3696" s="14" t="s">
        <v>1737</v>
      </c>
      <c r="C3696" s="15" t="s">
        <v>1736</v>
      </c>
      <c r="D3696" s="14" t="s">
        <v>1745</v>
      </c>
      <c r="E3696" s="14" t="s">
        <v>1747</v>
      </c>
      <c r="F3696" s="17" t="s">
        <v>2993</v>
      </c>
      <c r="G3696" s="14">
        <v>487620</v>
      </c>
      <c r="H3696" s="14">
        <v>390096</v>
      </c>
      <c r="I3696" s="31">
        <f>IF(COUNTIFS(Addendum!C:C,A3696,Addendum!D:D,IF(ISNUMBER(B3696),TEXT(B3696,"0000"),B3696),Addendum!E:E,"X")&gt;0,4%,0)</f>
        <v>0.04</v>
      </c>
      <c r="J3696" s="31">
        <f>IF(COUNTIFS(Addendum!C:C,A3696,Addendum!D:D,IF(ISNUMBER(B3696),TEXT(B3696,"0000"),B3696),Addendum!F:F,"X")&gt;0,2.5%,0)</f>
        <v>0</v>
      </c>
      <c r="K3696" s="31">
        <f>IF(COUNTIFS(Addendum!C:C,A3696,Addendum!D:D,IF(ISNUMBER(B3696),TEXT(B3696,"0000"),B3696),Addendum!G:G,"X")&gt;0,7%,0)</f>
        <v>0</v>
      </c>
      <c r="L3696" s="31">
        <f>IF(COUNTIFS(Addendum!C:C,A3696,Addendum!D:D,IF(ISNUMBER(B3696),TEXT(B3696,"0000"),B3696),Addendum!I:I,"X")&gt;0,10%,0)</f>
        <v>0.1</v>
      </c>
      <c r="M3696" s="34">
        <f t="shared" si="114"/>
        <v>0</v>
      </c>
      <c r="N3696" s="17">
        <f t="shared" si="115"/>
        <v>390096</v>
      </c>
    </row>
    <row r="3697" spans="1:14" x14ac:dyDescent="0.25">
      <c r="A3697" s="14" t="s">
        <v>1616</v>
      </c>
      <c r="B3697" s="14" t="s">
        <v>73</v>
      </c>
      <c r="C3697" s="15" t="s">
        <v>1699</v>
      </c>
      <c r="D3697" s="14" t="s">
        <v>1745</v>
      </c>
      <c r="E3697" s="14" t="s">
        <v>1747</v>
      </c>
      <c r="F3697" s="17" t="s">
        <v>2993</v>
      </c>
      <c r="G3697" s="14">
        <v>60156</v>
      </c>
      <c r="H3697" s="14">
        <v>48124.800000000003</v>
      </c>
      <c r="I3697" s="31">
        <f>IF(COUNTIFS(Addendum!C:C,A3697,Addendum!D:D,IF(ISNUMBER(B3697),TEXT(B3697,"0000"),B3697),Addendum!E:E,"X")&gt;0,4%,0)</f>
        <v>0.04</v>
      </c>
      <c r="J3697" s="31">
        <f>IF(COUNTIFS(Addendum!C:C,A3697,Addendum!D:D,IF(ISNUMBER(B3697),TEXT(B3697,"0000"),B3697),Addendum!F:F,"X")&gt;0,2.5%,0)</f>
        <v>0</v>
      </c>
      <c r="K3697" s="31">
        <f>IF(COUNTIFS(Addendum!C:C,A3697,Addendum!D:D,IF(ISNUMBER(B3697),TEXT(B3697,"0000"),B3697),Addendum!G:G,"X")&gt;0,7%,0)</f>
        <v>0</v>
      </c>
      <c r="L3697" s="31">
        <f>IF(COUNTIFS(Addendum!C:C,A3697,Addendum!D:D,IF(ISNUMBER(B3697),TEXT(B3697,"0000"),B3697),Addendum!I:I,"X")&gt;0,10%,0)</f>
        <v>0.1</v>
      </c>
      <c r="M3697" s="34">
        <f t="shared" si="114"/>
        <v>0</v>
      </c>
      <c r="N3697" s="17">
        <f t="shared" si="115"/>
        <v>48124.800000000003</v>
      </c>
    </row>
    <row r="3698" spans="1:14" x14ac:dyDescent="0.25">
      <c r="A3698" s="14" t="s">
        <v>1616</v>
      </c>
      <c r="B3698" s="14" t="s">
        <v>89</v>
      </c>
      <c r="C3698" s="15" t="s">
        <v>1690</v>
      </c>
      <c r="D3698" s="14" t="s">
        <v>1749</v>
      </c>
      <c r="E3698" s="14" t="s">
        <v>1746</v>
      </c>
      <c r="F3698" s="17" t="s">
        <v>2993</v>
      </c>
      <c r="G3698" s="14">
        <v>4225</v>
      </c>
      <c r="H3698" s="14">
        <v>3380</v>
      </c>
      <c r="I3698" s="31">
        <f>IF(COUNTIFS(Addendum!C:C,A3698,Addendum!D:D,IF(ISNUMBER(B3698),TEXT(B3698,"0000"),B3698),Addendum!E:E,"X")&gt;0,4%,0)</f>
        <v>0.04</v>
      </c>
      <c r="J3698" s="31">
        <f>IF(COUNTIFS(Addendum!C:C,A3698,Addendum!D:D,IF(ISNUMBER(B3698),TEXT(B3698,"0000"),B3698),Addendum!F:F,"X")&gt;0,2.5%,0)</f>
        <v>0</v>
      </c>
      <c r="K3698" s="31">
        <f>IF(COUNTIFS(Addendum!C:C,A3698,Addendum!D:D,IF(ISNUMBER(B3698),TEXT(B3698,"0000"),B3698),Addendum!G:G,"X")&gt;0,7%,0)</f>
        <v>0</v>
      </c>
      <c r="L3698" s="31">
        <f>IF(COUNTIFS(Addendum!C:C,A3698,Addendum!D:D,IF(ISNUMBER(B3698),TEXT(B3698,"0000"),B3698),Addendum!I:I,"X")&gt;0,10%,0)</f>
        <v>0.1</v>
      </c>
      <c r="M3698" s="34">
        <f t="shared" si="114"/>
        <v>0</v>
      </c>
      <c r="N3698" s="17">
        <f t="shared" si="115"/>
        <v>3380</v>
      </c>
    </row>
    <row r="3699" spans="1:14" x14ac:dyDescent="0.25">
      <c r="A3699" s="14" t="s">
        <v>1616</v>
      </c>
      <c r="B3699" s="14" t="s">
        <v>46</v>
      </c>
      <c r="C3699" s="15" t="s">
        <v>1712</v>
      </c>
      <c r="D3699" s="14" t="s">
        <v>1745</v>
      </c>
      <c r="E3699" s="14" t="s">
        <v>1747</v>
      </c>
      <c r="F3699" s="17" t="s">
        <v>2993</v>
      </c>
      <c r="G3699" s="14">
        <v>109674</v>
      </c>
      <c r="H3699" s="14">
        <v>87739.199999999997</v>
      </c>
      <c r="I3699" s="31">
        <f>IF(COUNTIFS(Addendum!C:C,A3699,Addendum!D:D,IF(ISNUMBER(B3699),TEXT(B3699,"0000"),B3699),Addendum!E:E,"X")&gt;0,4%,0)</f>
        <v>0.04</v>
      </c>
      <c r="J3699" s="31">
        <f>IF(COUNTIFS(Addendum!C:C,A3699,Addendum!D:D,IF(ISNUMBER(B3699),TEXT(B3699,"0000"),B3699),Addendum!F:F,"X")&gt;0,2.5%,0)</f>
        <v>0</v>
      </c>
      <c r="K3699" s="31">
        <f>IF(COUNTIFS(Addendum!C:C,A3699,Addendum!D:D,IF(ISNUMBER(B3699),TEXT(B3699,"0000"),B3699),Addendum!G:G,"X")&gt;0,7%,0)</f>
        <v>0</v>
      </c>
      <c r="L3699" s="31">
        <f>IF(COUNTIFS(Addendum!C:C,A3699,Addendum!D:D,IF(ISNUMBER(B3699),TEXT(B3699,"0000"),B3699),Addendum!I:I,"X")&gt;0,10%,0)</f>
        <v>0.1</v>
      </c>
      <c r="M3699" s="34">
        <f t="shared" si="114"/>
        <v>0</v>
      </c>
      <c r="N3699" s="17">
        <f t="shared" si="115"/>
        <v>87739.199999999997</v>
      </c>
    </row>
    <row r="3700" spans="1:14" x14ac:dyDescent="0.25">
      <c r="A3700" s="14" t="s">
        <v>1616</v>
      </c>
      <c r="B3700" s="14" t="s">
        <v>1708</v>
      </c>
      <c r="C3700" s="15" t="s">
        <v>1707</v>
      </c>
      <c r="D3700" s="14" t="s">
        <v>1745</v>
      </c>
      <c r="E3700" s="14" t="s">
        <v>1746</v>
      </c>
      <c r="F3700" s="17" t="s">
        <v>2993</v>
      </c>
      <c r="G3700" s="14">
        <v>1169211</v>
      </c>
      <c r="H3700" s="14">
        <v>935368.6</v>
      </c>
      <c r="I3700" s="31">
        <f>IF(COUNTIFS(Addendum!C:C,A3700,Addendum!D:D,IF(ISNUMBER(B3700),TEXT(B3700,"0000"),B3700),Addendum!E:E,"X")&gt;0,4%,0)</f>
        <v>0.04</v>
      </c>
      <c r="J3700" s="31">
        <f>IF(COUNTIFS(Addendum!C:C,A3700,Addendum!D:D,IF(ISNUMBER(B3700),TEXT(B3700,"0000"),B3700),Addendum!F:F,"X")&gt;0,2.5%,0)</f>
        <v>0</v>
      </c>
      <c r="K3700" s="31">
        <f>IF(COUNTIFS(Addendum!C:C,A3700,Addendum!D:D,IF(ISNUMBER(B3700),TEXT(B3700,"0000"),B3700),Addendum!G:G,"X")&gt;0,7%,0)</f>
        <v>0</v>
      </c>
      <c r="L3700" s="31">
        <f>IF(COUNTIFS(Addendum!C:C,A3700,Addendum!D:D,IF(ISNUMBER(B3700),TEXT(B3700,"0000"),B3700),Addendum!I:I,"X")&gt;0,10%,0)</f>
        <v>0.1</v>
      </c>
      <c r="M3700" s="34">
        <f t="shared" si="114"/>
        <v>0</v>
      </c>
      <c r="N3700" s="17">
        <f t="shared" si="115"/>
        <v>935368.6</v>
      </c>
    </row>
    <row r="3701" spans="1:14" x14ac:dyDescent="0.25">
      <c r="A3701" s="14" t="s">
        <v>1616</v>
      </c>
      <c r="B3701" s="14" t="s">
        <v>24</v>
      </c>
      <c r="C3701" s="15" t="s">
        <v>1696</v>
      </c>
      <c r="D3701" s="14" t="s">
        <v>1749</v>
      </c>
      <c r="E3701" s="14" t="s">
        <v>1746</v>
      </c>
      <c r="F3701" s="17" t="s">
        <v>2993</v>
      </c>
      <c r="G3701" s="14">
        <v>3775</v>
      </c>
      <c r="H3701" s="14">
        <v>3020</v>
      </c>
      <c r="I3701" s="31">
        <f>IF(COUNTIFS(Addendum!C:C,A3701,Addendum!D:D,IF(ISNUMBER(B3701),TEXT(B3701,"0000"),B3701),Addendum!E:E,"X")&gt;0,4%,0)</f>
        <v>0.04</v>
      </c>
      <c r="J3701" s="31">
        <f>IF(COUNTIFS(Addendum!C:C,A3701,Addendum!D:D,IF(ISNUMBER(B3701),TEXT(B3701,"0000"),B3701),Addendum!F:F,"X")&gt;0,2.5%,0)</f>
        <v>0</v>
      </c>
      <c r="K3701" s="31">
        <f>IF(COUNTIFS(Addendum!C:C,A3701,Addendum!D:D,IF(ISNUMBER(B3701),TEXT(B3701,"0000"),B3701),Addendum!G:G,"X")&gt;0,7%,0)</f>
        <v>0</v>
      </c>
      <c r="L3701" s="31">
        <f>IF(COUNTIFS(Addendum!C:C,A3701,Addendum!D:D,IF(ISNUMBER(B3701),TEXT(B3701,"0000"),B3701),Addendum!I:I,"X")&gt;0,10%,0)</f>
        <v>0.1</v>
      </c>
      <c r="M3701" s="34">
        <f t="shared" si="114"/>
        <v>0</v>
      </c>
      <c r="N3701" s="17">
        <f t="shared" si="115"/>
        <v>3020</v>
      </c>
    </row>
    <row r="3702" spans="1:14" x14ac:dyDescent="0.25">
      <c r="A3702" s="14" t="s">
        <v>1616</v>
      </c>
      <c r="B3702" s="14">
        <v>16</v>
      </c>
      <c r="C3702" s="15" t="s">
        <v>1732</v>
      </c>
      <c r="D3702" s="14" t="s">
        <v>1749</v>
      </c>
      <c r="E3702" s="14" t="s">
        <v>1746</v>
      </c>
      <c r="F3702" s="17" t="s">
        <v>2993</v>
      </c>
      <c r="G3702" s="14">
        <v>138730</v>
      </c>
      <c r="H3702" s="14">
        <v>110984</v>
      </c>
      <c r="I3702" s="31">
        <f>IF(COUNTIFS(Addendum!C:C,A3702,Addendum!D:D,IF(ISNUMBER(B3702),TEXT(B3702,"0000"),B3702),Addendum!E:E,"X")&gt;0,4%,0)</f>
        <v>0.04</v>
      </c>
      <c r="J3702" s="31">
        <f>IF(COUNTIFS(Addendum!C:C,A3702,Addendum!D:D,IF(ISNUMBER(B3702),TEXT(B3702,"0000"),B3702),Addendum!F:F,"X")&gt;0,2.5%,0)</f>
        <v>0</v>
      </c>
      <c r="K3702" s="31">
        <f>IF(COUNTIFS(Addendum!C:C,A3702,Addendum!D:D,IF(ISNUMBER(B3702),TEXT(B3702,"0000"),B3702),Addendum!G:G,"X")&gt;0,7%,0)</f>
        <v>0</v>
      </c>
      <c r="L3702" s="31">
        <f>IF(COUNTIFS(Addendum!C:C,A3702,Addendum!D:D,IF(ISNUMBER(B3702),TEXT(B3702,"0000"),B3702),Addendum!I:I,"X")&gt;0,10%,0)</f>
        <v>0.1</v>
      </c>
      <c r="M3702" s="34">
        <f t="shared" si="114"/>
        <v>0</v>
      </c>
      <c r="N3702" s="17">
        <f t="shared" si="115"/>
        <v>110984</v>
      </c>
    </row>
    <row r="3703" spans="1:14" x14ac:dyDescent="0.25">
      <c r="A3703" s="14" t="s">
        <v>1616</v>
      </c>
      <c r="B3703" s="14" t="s">
        <v>34</v>
      </c>
      <c r="C3703" s="15" t="s">
        <v>1693</v>
      </c>
      <c r="D3703" s="14" t="s">
        <v>1749</v>
      </c>
      <c r="E3703" s="14" t="s">
        <v>1746</v>
      </c>
      <c r="F3703" s="17" t="s">
        <v>2993</v>
      </c>
      <c r="G3703" s="14">
        <v>5390</v>
      </c>
      <c r="H3703" s="14">
        <v>4312</v>
      </c>
      <c r="I3703" s="31">
        <f>IF(COUNTIFS(Addendum!C:C,A3703,Addendum!D:D,IF(ISNUMBER(B3703),TEXT(B3703,"0000"),B3703),Addendum!E:E,"X")&gt;0,4%,0)</f>
        <v>0.04</v>
      </c>
      <c r="J3703" s="31">
        <f>IF(COUNTIFS(Addendum!C:C,A3703,Addendum!D:D,IF(ISNUMBER(B3703),TEXT(B3703,"0000"),B3703),Addendum!F:F,"X")&gt;0,2.5%,0)</f>
        <v>0</v>
      </c>
      <c r="K3703" s="31">
        <f>IF(COUNTIFS(Addendum!C:C,A3703,Addendum!D:D,IF(ISNUMBER(B3703),TEXT(B3703,"0000"),B3703),Addendum!G:G,"X")&gt;0,7%,0)</f>
        <v>0</v>
      </c>
      <c r="L3703" s="31">
        <f>IF(COUNTIFS(Addendum!C:C,A3703,Addendum!D:D,IF(ISNUMBER(B3703),TEXT(B3703,"0000"),B3703),Addendum!I:I,"X")&gt;0,10%,0)</f>
        <v>0.1</v>
      </c>
      <c r="M3703" s="34">
        <f t="shared" si="114"/>
        <v>0</v>
      </c>
      <c r="N3703" s="17">
        <f t="shared" si="115"/>
        <v>4312</v>
      </c>
    </row>
    <row r="3704" spans="1:14" x14ac:dyDescent="0.25">
      <c r="A3704" s="14" t="s">
        <v>1616</v>
      </c>
      <c r="B3704" s="14" t="s">
        <v>28</v>
      </c>
      <c r="C3704" s="15" t="s">
        <v>1715</v>
      </c>
      <c r="D3704" s="14" t="s">
        <v>1745</v>
      </c>
      <c r="E3704" s="14" t="s">
        <v>1746</v>
      </c>
      <c r="F3704" s="17" t="s">
        <v>2993</v>
      </c>
      <c r="G3704" s="14">
        <v>154847.79999999999</v>
      </c>
      <c r="H3704" s="14">
        <v>123878.2</v>
      </c>
      <c r="I3704" s="31">
        <f>IF(COUNTIFS(Addendum!C:C,A3704,Addendum!D:D,IF(ISNUMBER(B3704),TEXT(B3704,"0000"),B3704),Addendum!E:E,"X")&gt;0,4%,0)</f>
        <v>0.04</v>
      </c>
      <c r="J3704" s="31">
        <f>IF(COUNTIFS(Addendum!C:C,A3704,Addendum!D:D,IF(ISNUMBER(B3704),TEXT(B3704,"0000"),B3704),Addendum!F:F,"X")&gt;0,2.5%,0)</f>
        <v>0</v>
      </c>
      <c r="K3704" s="31">
        <f>IF(COUNTIFS(Addendum!C:C,A3704,Addendum!D:D,IF(ISNUMBER(B3704),TEXT(B3704,"0000"),B3704),Addendum!G:G,"X")&gt;0,7%,0)</f>
        <v>0</v>
      </c>
      <c r="L3704" s="31">
        <f>IF(COUNTIFS(Addendum!C:C,A3704,Addendum!D:D,IF(ISNUMBER(B3704),TEXT(B3704,"0000"),B3704),Addendum!I:I,"X")&gt;0,10%,0)</f>
        <v>0.1</v>
      </c>
      <c r="M3704" s="34">
        <f t="shared" si="114"/>
        <v>0</v>
      </c>
      <c r="N3704" s="17">
        <f t="shared" si="115"/>
        <v>123878.2</v>
      </c>
    </row>
    <row r="3705" spans="1:14" x14ac:dyDescent="0.25">
      <c r="A3705" s="14" t="s">
        <v>1616</v>
      </c>
      <c r="B3705" s="14" t="s">
        <v>1735</v>
      </c>
      <c r="C3705" s="15" t="s">
        <v>1734</v>
      </c>
      <c r="D3705" s="14" t="s">
        <v>1745</v>
      </c>
      <c r="E3705" s="14" t="s">
        <v>1746</v>
      </c>
      <c r="F3705" s="17" t="s">
        <v>2993</v>
      </c>
      <c r="G3705" s="14">
        <v>473785.2</v>
      </c>
      <c r="H3705" s="14">
        <v>379028.2</v>
      </c>
      <c r="I3705" s="31">
        <f>IF(COUNTIFS(Addendum!C:C,A3705,Addendum!D:D,IF(ISNUMBER(B3705),TEXT(B3705,"0000"),B3705),Addendum!E:E,"X")&gt;0,4%,0)</f>
        <v>0.04</v>
      </c>
      <c r="J3705" s="31">
        <f>IF(COUNTIFS(Addendum!C:C,A3705,Addendum!D:D,IF(ISNUMBER(B3705),TEXT(B3705,"0000"),B3705),Addendum!F:F,"X")&gt;0,2.5%,0)</f>
        <v>0</v>
      </c>
      <c r="K3705" s="31">
        <f>IF(COUNTIFS(Addendum!C:C,A3705,Addendum!D:D,IF(ISNUMBER(B3705),TEXT(B3705,"0000"),B3705),Addendum!G:G,"X")&gt;0,7%,0)</f>
        <v>0</v>
      </c>
      <c r="L3705" s="31">
        <f>IF(COUNTIFS(Addendum!C:C,A3705,Addendum!D:D,IF(ISNUMBER(B3705),TEXT(B3705,"0000"),B3705),Addendum!I:I,"X")&gt;0,10%,0)</f>
        <v>0.1</v>
      </c>
      <c r="M3705" s="34">
        <f t="shared" si="114"/>
        <v>0</v>
      </c>
      <c r="N3705" s="17">
        <f t="shared" si="115"/>
        <v>379028.2</v>
      </c>
    </row>
    <row r="3706" spans="1:14" x14ac:dyDescent="0.25">
      <c r="A3706" s="14" t="s">
        <v>1616</v>
      </c>
      <c r="B3706" s="14" t="s">
        <v>89</v>
      </c>
      <c r="C3706" s="15" t="s">
        <v>1690</v>
      </c>
      <c r="D3706" s="14" t="s">
        <v>1745</v>
      </c>
      <c r="E3706" s="14" t="s">
        <v>1747</v>
      </c>
      <c r="F3706" s="17" t="s">
        <v>2993</v>
      </c>
      <c r="G3706" s="14">
        <v>45630</v>
      </c>
      <c r="H3706" s="14">
        <v>36504</v>
      </c>
      <c r="I3706" s="31">
        <f>IF(COUNTIFS(Addendum!C:C,A3706,Addendum!D:D,IF(ISNUMBER(B3706),TEXT(B3706,"0000"),B3706),Addendum!E:E,"X")&gt;0,4%,0)</f>
        <v>0.04</v>
      </c>
      <c r="J3706" s="31">
        <f>IF(COUNTIFS(Addendum!C:C,A3706,Addendum!D:D,IF(ISNUMBER(B3706),TEXT(B3706,"0000"),B3706),Addendum!F:F,"X")&gt;0,2.5%,0)</f>
        <v>0</v>
      </c>
      <c r="K3706" s="31">
        <f>IF(COUNTIFS(Addendum!C:C,A3706,Addendum!D:D,IF(ISNUMBER(B3706),TEXT(B3706,"0000"),B3706),Addendum!G:G,"X")&gt;0,7%,0)</f>
        <v>0</v>
      </c>
      <c r="L3706" s="31">
        <f>IF(COUNTIFS(Addendum!C:C,A3706,Addendum!D:D,IF(ISNUMBER(B3706),TEXT(B3706,"0000"),B3706),Addendum!I:I,"X")&gt;0,10%,0)</f>
        <v>0.1</v>
      </c>
      <c r="M3706" s="34">
        <f t="shared" si="114"/>
        <v>0</v>
      </c>
      <c r="N3706" s="17">
        <f t="shared" si="115"/>
        <v>36504</v>
      </c>
    </row>
    <row r="3707" spans="1:14" x14ac:dyDescent="0.25">
      <c r="A3707" s="14" t="s">
        <v>1616</v>
      </c>
      <c r="B3707" s="14">
        <v>80</v>
      </c>
      <c r="C3707" s="15" t="s">
        <v>1705</v>
      </c>
      <c r="D3707" s="14" t="s">
        <v>1749</v>
      </c>
      <c r="E3707" s="14" t="s">
        <v>1746</v>
      </c>
      <c r="F3707" s="17" t="s">
        <v>2993</v>
      </c>
      <c r="G3707" s="14">
        <v>89625</v>
      </c>
      <c r="H3707" s="14">
        <v>71700</v>
      </c>
      <c r="I3707" s="31">
        <f>IF(COUNTIFS(Addendum!C:C,A3707,Addendum!D:D,IF(ISNUMBER(B3707),TEXT(B3707,"0000"),B3707),Addendum!E:E,"X")&gt;0,4%,0)</f>
        <v>0.04</v>
      </c>
      <c r="J3707" s="31">
        <f>IF(COUNTIFS(Addendum!C:C,A3707,Addendum!D:D,IF(ISNUMBER(B3707),TEXT(B3707,"0000"),B3707),Addendum!F:F,"X")&gt;0,2.5%,0)</f>
        <v>0</v>
      </c>
      <c r="K3707" s="31">
        <f>IF(COUNTIFS(Addendum!C:C,A3707,Addendum!D:D,IF(ISNUMBER(B3707),TEXT(B3707,"0000"),B3707),Addendum!G:G,"X")&gt;0,7%,0)</f>
        <v>0</v>
      </c>
      <c r="L3707" s="31">
        <f>IF(COUNTIFS(Addendum!C:C,A3707,Addendum!D:D,IF(ISNUMBER(B3707),TEXT(B3707,"0000"),B3707),Addendum!I:I,"X")&gt;0,10%,0)</f>
        <v>0.1</v>
      </c>
      <c r="M3707" s="34">
        <f t="shared" si="114"/>
        <v>0</v>
      </c>
      <c r="N3707" s="17">
        <f t="shared" si="115"/>
        <v>71700</v>
      </c>
    </row>
    <row r="3708" spans="1:14" x14ac:dyDescent="0.25">
      <c r="A3708" s="14" t="s">
        <v>1616</v>
      </c>
      <c r="B3708" s="14">
        <v>13</v>
      </c>
      <c r="C3708" s="15" t="s">
        <v>1687</v>
      </c>
      <c r="D3708" s="14" t="s">
        <v>1749</v>
      </c>
      <c r="E3708" s="14" t="s">
        <v>1746</v>
      </c>
      <c r="F3708" s="17" t="s">
        <v>2993</v>
      </c>
      <c r="G3708" s="14">
        <v>37380</v>
      </c>
      <c r="H3708" s="14">
        <v>29904</v>
      </c>
      <c r="I3708" s="31">
        <f>IF(COUNTIFS(Addendum!C:C,A3708,Addendum!D:D,IF(ISNUMBER(B3708),TEXT(B3708,"0000"),B3708),Addendum!E:E,"X")&gt;0,4%,0)</f>
        <v>0.04</v>
      </c>
      <c r="J3708" s="31">
        <f>IF(COUNTIFS(Addendum!C:C,A3708,Addendum!D:D,IF(ISNUMBER(B3708),TEXT(B3708,"0000"),B3708),Addendum!F:F,"X")&gt;0,2.5%,0)</f>
        <v>0</v>
      </c>
      <c r="K3708" s="31">
        <f>IF(COUNTIFS(Addendum!C:C,A3708,Addendum!D:D,IF(ISNUMBER(B3708),TEXT(B3708,"0000"),B3708),Addendum!G:G,"X")&gt;0,7%,0)</f>
        <v>0</v>
      </c>
      <c r="L3708" s="31">
        <f>IF(COUNTIFS(Addendum!C:C,A3708,Addendum!D:D,IF(ISNUMBER(B3708),TEXT(B3708,"0000"),B3708),Addendum!I:I,"X")&gt;0,10%,0)</f>
        <v>0.1</v>
      </c>
      <c r="M3708" s="34">
        <f t="shared" si="114"/>
        <v>0</v>
      </c>
      <c r="N3708" s="17">
        <f t="shared" si="115"/>
        <v>29904</v>
      </c>
    </row>
    <row r="3709" spans="1:14" x14ac:dyDescent="0.25">
      <c r="A3709" s="14" t="s">
        <v>1616</v>
      </c>
      <c r="B3709" s="14" t="s">
        <v>55</v>
      </c>
      <c r="C3709" s="15" t="s">
        <v>1702</v>
      </c>
      <c r="D3709" s="14" t="s">
        <v>1749</v>
      </c>
      <c r="E3709" s="14" t="s">
        <v>1746</v>
      </c>
      <c r="F3709" s="17" t="s">
        <v>2993</v>
      </c>
      <c r="G3709" s="14">
        <v>6740</v>
      </c>
      <c r="H3709" s="14">
        <v>5392</v>
      </c>
      <c r="I3709" s="31">
        <f>IF(COUNTIFS(Addendum!C:C,A3709,Addendum!D:D,IF(ISNUMBER(B3709),TEXT(B3709,"0000"),B3709),Addendum!E:E,"X")&gt;0,4%,0)</f>
        <v>0.04</v>
      </c>
      <c r="J3709" s="31">
        <f>IF(COUNTIFS(Addendum!C:C,A3709,Addendum!D:D,IF(ISNUMBER(B3709),TEXT(B3709,"0000"),B3709),Addendum!F:F,"X")&gt;0,2.5%,0)</f>
        <v>0</v>
      </c>
      <c r="K3709" s="31">
        <f>IF(COUNTIFS(Addendum!C:C,A3709,Addendum!D:D,IF(ISNUMBER(B3709),TEXT(B3709,"0000"),B3709),Addendum!G:G,"X")&gt;0,7%,0)</f>
        <v>0</v>
      </c>
      <c r="L3709" s="31">
        <f>IF(COUNTIFS(Addendum!C:C,A3709,Addendum!D:D,IF(ISNUMBER(B3709),TEXT(B3709,"0000"),B3709),Addendum!I:I,"X")&gt;0,10%,0)</f>
        <v>0.1</v>
      </c>
      <c r="M3709" s="34">
        <f t="shared" si="114"/>
        <v>0</v>
      </c>
      <c r="N3709" s="17">
        <f t="shared" si="115"/>
        <v>5392</v>
      </c>
    </row>
    <row r="3710" spans="1:14" x14ac:dyDescent="0.25">
      <c r="A3710" s="14" t="s">
        <v>1616</v>
      </c>
      <c r="B3710" s="14">
        <v>15</v>
      </c>
      <c r="C3710" s="15" t="s">
        <v>1727</v>
      </c>
      <c r="D3710" s="14" t="s">
        <v>1745</v>
      </c>
      <c r="E3710" s="14" t="s">
        <v>1747</v>
      </c>
      <c r="F3710" s="17" t="s">
        <v>2993</v>
      </c>
      <c r="G3710" s="14">
        <v>2785968</v>
      </c>
      <c r="H3710" s="14">
        <v>2228774</v>
      </c>
      <c r="I3710" s="31">
        <f>IF(COUNTIFS(Addendum!C:C,A3710,Addendum!D:D,IF(ISNUMBER(B3710),TEXT(B3710,"0000"),B3710),Addendum!E:E,"X")&gt;0,4%,0)</f>
        <v>0.04</v>
      </c>
      <c r="J3710" s="31">
        <f>IF(COUNTIFS(Addendum!C:C,A3710,Addendum!D:D,IF(ISNUMBER(B3710),TEXT(B3710,"0000"),B3710),Addendum!F:F,"X")&gt;0,2.5%,0)</f>
        <v>0</v>
      </c>
      <c r="K3710" s="31">
        <f>IF(COUNTIFS(Addendum!C:C,A3710,Addendum!D:D,IF(ISNUMBER(B3710),TEXT(B3710,"0000"),B3710),Addendum!G:G,"X")&gt;0,7%,0)</f>
        <v>0</v>
      </c>
      <c r="L3710" s="31">
        <f>IF(COUNTIFS(Addendum!C:C,A3710,Addendum!D:D,IF(ISNUMBER(B3710),TEXT(B3710,"0000"),B3710),Addendum!I:I,"X")&gt;0,10%,0)</f>
        <v>0.1</v>
      </c>
      <c r="M3710" s="34">
        <f t="shared" si="114"/>
        <v>0</v>
      </c>
      <c r="N3710" s="17">
        <f t="shared" si="115"/>
        <v>2228774</v>
      </c>
    </row>
    <row r="3711" spans="1:14" x14ac:dyDescent="0.25">
      <c r="A3711" s="14" t="s">
        <v>1616</v>
      </c>
      <c r="B3711" s="14" t="s">
        <v>1737</v>
      </c>
      <c r="C3711" s="15" t="s">
        <v>1736</v>
      </c>
      <c r="D3711" s="14" t="s">
        <v>1745</v>
      </c>
      <c r="E3711" s="14" t="s">
        <v>1746</v>
      </c>
      <c r="F3711" s="17" t="s">
        <v>2993</v>
      </c>
      <c r="G3711" s="14">
        <v>512001</v>
      </c>
      <c r="H3711" s="14">
        <v>409600.8</v>
      </c>
      <c r="I3711" s="31">
        <f>IF(COUNTIFS(Addendum!C:C,A3711,Addendum!D:D,IF(ISNUMBER(B3711),TEXT(B3711,"0000"),B3711),Addendum!E:E,"X")&gt;0,4%,0)</f>
        <v>0.04</v>
      </c>
      <c r="J3711" s="31">
        <f>IF(COUNTIFS(Addendum!C:C,A3711,Addendum!D:D,IF(ISNUMBER(B3711),TEXT(B3711,"0000"),B3711),Addendum!F:F,"X")&gt;0,2.5%,0)</f>
        <v>0</v>
      </c>
      <c r="K3711" s="31">
        <f>IF(COUNTIFS(Addendum!C:C,A3711,Addendum!D:D,IF(ISNUMBER(B3711),TEXT(B3711,"0000"),B3711),Addendum!G:G,"X")&gt;0,7%,0)</f>
        <v>0</v>
      </c>
      <c r="L3711" s="31">
        <f>IF(COUNTIFS(Addendum!C:C,A3711,Addendum!D:D,IF(ISNUMBER(B3711),TEXT(B3711,"0000"),B3711),Addendum!I:I,"X")&gt;0,10%,0)</f>
        <v>0.1</v>
      </c>
      <c r="M3711" s="34">
        <f t="shared" si="114"/>
        <v>0</v>
      </c>
      <c r="N3711" s="17">
        <f t="shared" si="115"/>
        <v>409600.8</v>
      </c>
    </row>
    <row r="3712" spans="1:14" x14ac:dyDescent="0.25">
      <c r="A3712" s="14" t="s">
        <v>1616</v>
      </c>
      <c r="B3712" s="14">
        <v>17</v>
      </c>
      <c r="C3712" s="15" t="s">
        <v>1729</v>
      </c>
      <c r="D3712" s="14" t="s">
        <v>1745</v>
      </c>
      <c r="E3712" s="14" t="s">
        <v>1747</v>
      </c>
      <c r="F3712" s="17" t="s">
        <v>2993</v>
      </c>
      <c r="G3712" s="14">
        <v>782136</v>
      </c>
      <c r="H3712" s="14">
        <v>625708.80000000005</v>
      </c>
      <c r="I3712" s="31">
        <f>IF(COUNTIFS(Addendum!C:C,A3712,Addendum!D:D,IF(ISNUMBER(B3712),TEXT(B3712,"0000"),B3712),Addendum!E:E,"X")&gt;0,4%,0)</f>
        <v>0.04</v>
      </c>
      <c r="J3712" s="31">
        <f>IF(COUNTIFS(Addendum!C:C,A3712,Addendum!D:D,IF(ISNUMBER(B3712),TEXT(B3712,"0000"),B3712),Addendum!F:F,"X")&gt;0,2.5%,0)</f>
        <v>0</v>
      </c>
      <c r="K3712" s="31">
        <f>IF(COUNTIFS(Addendum!C:C,A3712,Addendum!D:D,IF(ISNUMBER(B3712),TEXT(B3712,"0000"),B3712),Addendum!G:G,"X")&gt;0,7%,0)</f>
        <v>0</v>
      </c>
      <c r="L3712" s="31">
        <f>IF(COUNTIFS(Addendum!C:C,A3712,Addendum!D:D,IF(ISNUMBER(B3712),TEXT(B3712,"0000"),B3712),Addendum!I:I,"X")&gt;0,10%,0)</f>
        <v>0.1</v>
      </c>
      <c r="M3712" s="34">
        <f t="shared" si="114"/>
        <v>0</v>
      </c>
      <c r="N3712" s="17">
        <f t="shared" si="115"/>
        <v>625708.80000000005</v>
      </c>
    </row>
    <row r="3713" spans="1:14" x14ac:dyDescent="0.25">
      <c r="A3713" s="14" t="s">
        <v>1616</v>
      </c>
      <c r="B3713" s="14">
        <v>11</v>
      </c>
      <c r="C3713" s="15" t="s">
        <v>1684</v>
      </c>
      <c r="D3713" s="14" t="s">
        <v>1745</v>
      </c>
      <c r="E3713" s="14" t="s">
        <v>1746</v>
      </c>
      <c r="F3713" s="17" t="s">
        <v>2993</v>
      </c>
      <c r="G3713" s="14">
        <v>481950</v>
      </c>
      <c r="H3713" s="14">
        <v>385560</v>
      </c>
      <c r="I3713" s="31">
        <f>IF(COUNTIFS(Addendum!C:C,A3713,Addendum!D:D,IF(ISNUMBER(B3713),TEXT(B3713,"0000"),B3713),Addendum!E:E,"X")&gt;0,4%,0)</f>
        <v>0.04</v>
      </c>
      <c r="J3713" s="31">
        <f>IF(COUNTIFS(Addendum!C:C,A3713,Addendum!D:D,IF(ISNUMBER(B3713),TEXT(B3713,"0000"),B3713),Addendum!F:F,"X")&gt;0,2.5%,0)</f>
        <v>0</v>
      </c>
      <c r="K3713" s="31">
        <f>IF(COUNTIFS(Addendum!C:C,A3713,Addendum!D:D,IF(ISNUMBER(B3713),TEXT(B3713,"0000"),B3713),Addendum!G:G,"X")&gt;0,7%,0)</f>
        <v>0</v>
      </c>
      <c r="L3713" s="31">
        <f>IF(COUNTIFS(Addendum!C:C,A3713,Addendum!D:D,IF(ISNUMBER(B3713),TEXT(B3713,"0000"),B3713),Addendum!I:I,"X")&gt;0,10%,0)</f>
        <v>0.1</v>
      </c>
      <c r="M3713" s="34">
        <f t="shared" si="114"/>
        <v>0</v>
      </c>
      <c r="N3713" s="17">
        <f t="shared" si="115"/>
        <v>385560</v>
      </c>
    </row>
    <row r="3714" spans="1:14" x14ac:dyDescent="0.25">
      <c r="A3714" s="14" t="s">
        <v>1616</v>
      </c>
      <c r="B3714" s="14" t="s">
        <v>28</v>
      </c>
      <c r="C3714" s="15" t="s">
        <v>1715</v>
      </c>
      <c r="D3714" s="14" t="s">
        <v>1745</v>
      </c>
      <c r="E3714" s="14" t="s">
        <v>1747</v>
      </c>
      <c r="F3714" s="17" t="s">
        <v>2993</v>
      </c>
      <c r="G3714" s="14">
        <v>147474</v>
      </c>
      <c r="H3714" s="14">
        <v>117979.2</v>
      </c>
      <c r="I3714" s="31">
        <f>IF(COUNTIFS(Addendum!C:C,A3714,Addendum!D:D,IF(ISNUMBER(B3714),TEXT(B3714,"0000"),B3714),Addendum!E:E,"X")&gt;0,4%,0)</f>
        <v>0.04</v>
      </c>
      <c r="J3714" s="31">
        <f>IF(COUNTIFS(Addendum!C:C,A3714,Addendum!D:D,IF(ISNUMBER(B3714),TEXT(B3714,"0000"),B3714),Addendum!F:F,"X")&gt;0,2.5%,0)</f>
        <v>0</v>
      </c>
      <c r="K3714" s="31">
        <f>IF(COUNTIFS(Addendum!C:C,A3714,Addendum!D:D,IF(ISNUMBER(B3714),TEXT(B3714,"0000"),B3714),Addendum!G:G,"X")&gt;0,7%,0)</f>
        <v>0</v>
      </c>
      <c r="L3714" s="31">
        <f>IF(COUNTIFS(Addendum!C:C,A3714,Addendum!D:D,IF(ISNUMBER(B3714),TEXT(B3714,"0000"),B3714),Addendum!I:I,"X")&gt;0,10%,0)</f>
        <v>0.1</v>
      </c>
      <c r="M3714" s="34">
        <f t="shared" si="114"/>
        <v>0</v>
      </c>
      <c r="N3714" s="17">
        <f t="shared" si="115"/>
        <v>117979.2</v>
      </c>
    </row>
    <row r="3715" spans="1:14" x14ac:dyDescent="0.25">
      <c r="A3715" s="14" t="s">
        <v>1616</v>
      </c>
      <c r="B3715" s="14" t="s">
        <v>73</v>
      </c>
      <c r="C3715" s="15" t="s">
        <v>1699</v>
      </c>
      <c r="D3715" s="14" t="s">
        <v>1749</v>
      </c>
      <c r="E3715" s="14" t="s">
        <v>1746</v>
      </c>
      <c r="F3715" s="17" t="s">
        <v>2993</v>
      </c>
      <c r="G3715" s="14">
        <v>5570</v>
      </c>
      <c r="H3715" s="14">
        <v>4456</v>
      </c>
      <c r="I3715" s="31">
        <f>IF(COUNTIFS(Addendum!C:C,A3715,Addendum!D:D,IF(ISNUMBER(B3715),TEXT(B3715,"0000"),B3715),Addendum!E:E,"X")&gt;0,4%,0)</f>
        <v>0.04</v>
      </c>
      <c r="J3715" s="31">
        <f>IF(COUNTIFS(Addendum!C:C,A3715,Addendum!D:D,IF(ISNUMBER(B3715),TEXT(B3715,"0000"),B3715),Addendum!F:F,"X")&gt;0,2.5%,0)</f>
        <v>0</v>
      </c>
      <c r="K3715" s="31">
        <f>IF(COUNTIFS(Addendum!C:C,A3715,Addendum!D:D,IF(ISNUMBER(B3715),TEXT(B3715,"0000"),B3715),Addendum!G:G,"X")&gt;0,7%,0)</f>
        <v>0</v>
      </c>
      <c r="L3715" s="31">
        <f>IF(COUNTIFS(Addendum!C:C,A3715,Addendum!D:D,IF(ISNUMBER(B3715),TEXT(B3715,"0000"),B3715),Addendum!I:I,"X")&gt;0,10%,0)</f>
        <v>0.1</v>
      </c>
      <c r="M3715" s="34">
        <f t="shared" si="114"/>
        <v>0</v>
      </c>
      <c r="N3715" s="17">
        <f t="shared" si="115"/>
        <v>4456</v>
      </c>
    </row>
    <row r="3716" spans="1:14" x14ac:dyDescent="0.25">
      <c r="A3716" s="14" t="s">
        <v>1616</v>
      </c>
      <c r="B3716" s="14" t="s">
        <v>55</v>
      </c>
      <c r="C3716" s="15" t="s">
        <v>1702</v>
      </c>
      <c r="D3716" s="14" t="s">
        <v>1745</v>
      </c>
      <c r="E3716" s="14" t="s">
        <v>1746</v>
      </c>
      <c r="F3716" s="17" t="s">
        <v>2993</v>
      </c>
      <c r="G3716" s="14">
        <v>76431.600000000006</v>
      </c>
      <c r="H3716" s="14">
        <v>61145.279999999999</v>
      </c>
      <c r="I3716" s="31">
        <f>IF(COUNTIFS(Addendum!C:C,A3716,Addendum!D:D,IF(ISNUMBER(B3716),TEXT(B3716,"0000"),B3716),Addendum!E:E,"X")&gt;0,4%,0)</f>
        <v>0.04</v>
      </c>
      <c r="J3716" s="31">
        <f>IF(COUNTIFS(Addendum!C:C,A3716,Addendum!D:D,IF(ISNUMBER(B3716),TEXT(B3716,"0000"),B3716),Addendum!F:F,"X")&gt;0,2.5%,0)</f>
        <v>0</v>
      </c>
      <c r="K3716" s="31">
        <f>IF(COUNTIFS(Addendum!C:C,A3716,Addendum!D:D,IF(ISNUMBER(B3716),TEXT(B3716,"0000"),B3716),Addendum!G:G,"X")&gt;0,7%,0)</f>
        <v>0</v>
      </c>
      <c r="L3716" s="31">
        <f>IF(COUNTIFS(Addendum!C:C,A3716,Addendum!D:D,IF(ISNUMBER(B3716),TEXT(B3716,"0000"),B3716),Addendum!I:I,"X")&gt;0,10%,0)</f>
        <v>0.1</v>
      </c>
      <c r="M3716" s="34">
        <f t="shared" ref="M3716:M3779" si="116">IF(AND(I3716=0%,J3716=0%,K3716=0%,L3716=0%),0%,
IF(OR(TRIM(E3716)="OneTime",TRIM(D3716)=""),0%,
IF(
OR(
TRIM(D3716)="P1M",
AND(TRIM(D3716)="P1Y",TRIM(E3716)="Monthly"),
AND(TRIM(D3716)="P3Y",TRIM(E3716)="Monthly")
),
IF(AND(I3716=4%,J3716=0%,K3716=0%,L3716=0%),1%,
IF(AND(I3716=4%,J3716=2.5%,K3716=0%,L3716=10%),2%,
IF(AND(I3716=4%,J3716=0%,K3716=7%,L3716=10%),3%,0%))),
IF(
OR(
AND(TRIM(D3716)="P1Y",TRIM(E3716)="Annual"),
AND(TRIM(D3716)="P3Y",TRIM(E3716)="Annual"),
AND(TRIM(D3716)="P3Y",TRIM(E3716)="Triennial")
),
IF(AND(I3716=4%,J3716=0%,K3716=0%,L3716=0%),3%,
IF(AND(I3716=4%,J3716=2.5%,K3716=0%,L3716=10%),10%,
IF(AND(I3716=4%,J3716=0%,K3716=7%,L3716=10%),14%,0%))),
0%
))))</f>
        <v>0</v>
      </c>
      <c r="N3716" s="17">
        <f t="shared" ref="N3716:N3779" si="117">H3716-(H3716*M3716)</f>
        <v>61145.279999999999</v>
      </c>
    </row>
    <row r="3717" spans="1:14" x14ac:dyDescent="0.25">
      <c r="A3717" s="14" t="s">
        <v>1616</v>
      </c>
      <c r="B3717" s="14">
        <v>80</v>
      </c>
      <c r="C3717" s="15" t="s">
        <v>1705</v>
      </c>
      <c r="D3717" s="14" t="s">
        <v>1745</v>
      </c>
      <c r="E3717" s="14" t="s">
        <v>1747</v>
      </c>
      <c r="F3717" s="17" t="s">
        <v>2993</v>
      </c>
      <c r="G3717" s="14">
        <v>967950</v>
      </c>
      <c r="H3717" s="14">
        <v>774360</v>
      </c>
      <c r="I3717" s="31">
        <f>IF(COUNTIFS(Addendum!C:C,A3717,Addendum!D:D,IF(ISNUMBER(B3717),TEXT(B3717,"0000"),B3717),Addendum!E:E,"X")&gt;0,4%,0)</f>
        <v>0.04</v>
      </c>
      <c r="J3717" s="31">
        <f>IF(COUNTIFS(Addendum!C:C,A3717,Addendum!D:D,IF(ISNUMBER(B3717),TEXT(B3717,"0000"),B3717),Addendum!F:F,"X")&gt;0,2.5%,0)</f>
        <v>0</v>
      </c>
      <c r="K3717" s="31">
        <f>IF(COUNTIFS(Addendum!C:C,A3717,Addendum!D:D,IF(ISNUMBER(B3717),TEXT(B3717,"0000"),B3717),Addendum!G:G,"X")&gt;0,7%,0)</f>
        <v>0</v>
      </c>
      <c r="L3717" s="31">
        <f>IF(COUNTIFS(Addendum!C:C,A3717,Addendum!D:D,IF(ISNUMBER(B3717),TEXT(B3717,"0000"),B3717),Addendum!I:I,"X")&gt;0,10%,0)</f>
        <v>0.1</v>
      </c>
      <c r="M3717" s="34">
        <f t="shared" si="116"/>
        <v>0</v>
      </c>
      <c r="N3717" s="17">
        <f t="shared" si="117"/>
        <v>774360</v>
      </c>
    </row>
    <row r="3718" spans="1:14" x14ac:dyDescent="0.25">
      <c r="A3718" s="14" t="s">
        <v>1616</v>
      </c>
      <c r="B3718" s="14" t="s">
        <v>24</v>
      </c>
      <c r="C3718" s="15" t="s">
        <v>1696</v>
      </c>
      <c r="D3718" s="14" t="s">
        <v>1745</v>
      </c>
      <c r="E3718" s="14" t="s">
        <v>1747</v>
      </c>
      <c r="F3718" s="17" t="s">
        <v>2993</v>
      </c>
      <c r="G3718" s="14">
        <v>40770</v>
      </c>
      <c r="H3718" s="14">
        <v>32616</v>
      </c>
      <c r="I3718" s="31">
        <f>IF(COUNTIFS(Addendum!C:C,A3718,Addendum!D:D,IF(ISNUMBER(B3718),TEXT(B3718,"0000"),B3718),Addendum!E:E,"X")&gt;0,4%,0)</f>
        <v>0.04</v>
      </c>
      <c r="J3718" s="31">
        <f>IF(COUNTIFS(Addendum!C:C,A3718,Addendum!D:D,IF(ISNUMBER(B3718),TEXT(B3718,"0000"),B3718),Addendum!F:F,"X")&gt;0,2.5%,0)</f>
        <v>0</v>
      </c>
      <c r="K3718" s="31">
        <f>IF(COUNTIFS(Addendum!C:C,A3718,Addendum!D:D,IF(ISNUMBER(B3718),TEXT(B3718,"0000"),B3718),Addendum!G:G,"X")&gt;0,7%,0)</f>
        <v>0</v>
      </c>
      <c r="L3718" s="31">
        <f>IF(COUNTIFS(Addendum!C:C,A3718,Addendum!D:D,IF(ISNUMBER(B3718),TEXT(B3718,"0000"),B3718),Addendum!I:I,"X")&gt;0,10%,0)</f>
        <v>0.1</v>
      </c>
      <c r="M3718" s="34">
        <f t="shared" si="116"/>
        <v>0</v>
      </c>
      <c r="N3718" s="17">
        <f t="shared" si="117"/>
        <v>32616</v>
      </c>
    </row>
    <row r="3719" spans="1:14" x14ac:dyDescent="0.25">
      <c r="A3719" s="14" t="s">
        <v>1616</v>
      </c>
      <c r="B3719" s="14" t="s">
        <v>1735</v>
      </c>
      <c r="C3719" s="15" t="s">
        <v>1734</v>
      </c>
      <c r="D3719" s="14" t="s">
        <v>1749</v>
      </c>
      <c r="E3719" s="14" t="s">
        <v>1746</v>
      </c>
      <c r="F3719" s="17" t="s">
        <v>2993</v>
      </c>
      <c r="G3719" s="14">
        <v>41780</v>
      </c>
      <c r="H3719" s="14">
        <v>33424</v>
      </c>
      <c r="I3719" s="31">
        <f>IF(COUNTIFS(Addendum!C:C,A3719,Addendum!D:D,IF(ISNUMBER(B3719),TEXT(B3719,"0000"),B3719),Addendum!E:E,"X")&gt;0,4%,0)</f>
        <v>0.04</v>
      </c>
      <c r="J3719" s="31">
        <f>IF(COUNTIFS(Addendum!C:C,A3719,Addendum!D:D,IF(ISNUMBER(B3719),TEXT(B3719,"0000"),B3719),Addendum!F:F,"X")&gt;0,2.5%,0)</f>
        <v>0</v>
      </c>
      <c r="K3719" s="31">
        <f>IF(COUNTIFS(Addendum!C:C,A3719,Addendum!D:D,IF(ISNUMBER(B3719),TEXT(B3719,"0000"),B3719),Addendum!G:G,"X")&gt;0,7%,0)</f>
        <v>0</v>
      </c>
      <c r="L3719" s="31">
        <f>IF(COUNTIFS(Addendum!C:C,A3719,Addendum!D:D,IF(ISNUMBER(B3719),TEXT(B3719,"0000"),B3719),Addendum!I:I,"X")&gt;0,10%,0)</f>
        <v>0.1</v>
      </c>
      <c r="M3719" s="34">
        <f t="shared" si="116"/>
        <v>0</v>
      </c>
      <c r="N3719" s="17">
        <f t="shared" si="117"/>
        <v>33424</v>
      </c>
    </row>
    <row r="3720" spans="1:14" x14ac:dyDescent="0.25">
      <c r="A3720" s="14" t="s">
        <v>1616</v>
      </c>
      <c r="B3720" s="14" t="s">
        <v>89</v>
      </c>
      <c r="C3720" s="15" t="s">
        <v>1690</v>
      </c>
      <c r="D3720" s="14" t="s">
        <v>1745</v>
      </c>
      <c r="E3720" s="14" t="s">
        <v>1746</v>
      </c>
      <c r="F3720" s="17" t="s">
        <v>2993</v>
      </c>
      <c r="G3720" s="14">
        <v>47911.56</v>
      </c>
      <c r="H3720" s="14">
        <v>38329.199999999997</v>
      </c>
      <c r="I3720" s="31">
        <f>IF(COUNTIFS(Addendum!C:C,A3720,Addendum!D:D,IF(ISNUMBER(B3720),TEXT(B3720,"0000"),B3720),Addendum!E:E,"X")&gt;0,4%,0)</f>
        <v>0.04</v>
      </c>
      <c r="J3720" s="31">
        <f>IF(COUNTIFS(Addendum!C:C,A3720,Addendum!D:D,IF(ISNUMBER(B3720),TEXT(B3720,"0000"),B3720),Addendum!F:F,"X")&gt;0,2.5%,0)</f>
        <v>0</v>
      </c>
      <c r="K3720" s="31">
        <f>IF(COUNTIFS(Addendum!C:C,A3720,Addendum!D:D,IF(ISNUMBER(B3720),TEXT(B3720,"0000"),B3720),Addendum!G:G,"X")&gt;0,7%,0)</f>
        <v>0</v>
      </c>
      <c r="L3720" s="31">
        <f>IF(COUNTIFS(Addendum!C:C,A3720,Addendum!D:D,IF(ISNUMBER(B3720),TEXT(B3720,"0000"),B3720),Addendum!I:I,"X")&gt;0,10%,0)</f>
        <v>0.1</v>
      </c>
      <c r="M3720" s="34">
        <f t="shared" si="116"/>
        <v>0</v>
      </c>
      <c r="N3720" s="17">
        <f t="shared" si="117"/>
        <v>38329.199999999997</v>
      </c>
    </row>
    <row r="3721" spans="1:14" x14ac:dyDescent="0.25">
      <c r="A3721" s="14" t="s">
        <v>1616</v>
      </c>
      <c r="B3721" s="14" t="s">
        <v>39</v>
      </c>
      <c r="C3721" s="15" t="s">
        <v>1718</v>
      </c>
      <c r="D3721" s="14" t="s">
        <v>1749</v>
      </c>
      <c r="E3721" s="14" t="s">
        <v>1746</v>
      </c>
      <c r="F3721" s="17" t="s">
        <v>2993</v>
      </c>
      <c r="G3721" s="14">
        <v>16620</v>
      </c>
      <c r="H3721" s="14">
        <v>13296</v>
      </c>
      <c r="I3721" s="31">
        <f>IF(COUNTIFS(Addendum!C:C,A3721,Addendum!D:D,IF(ISNUMBER(B3721),TEXT(B3721,"0000"),B3721),Addendum!E:E,"X")&gt;0,4%,0)</f>
        <v>0.04</v>
      </c>
      <c r="J3721" s="31">
        <f>IF(COUNTIFS(Addendum!C:C,A3721,Addendum!D:D,IF(ISNUMBER(B3721),TEXT(B3721,"0000"),B3721),Addendum!F:F,"X")&gt;0,2.5%,0)</f>
        <v>0</v>
      </c>
      <c r="K3721" s="31">
        <f>IF(COUNTIFS(Addendum!C:C,A3721,Addendum!D:D,IF(ISNUMBER(B3721),TEXT(B3721,"0000"),B3721),Addendum!G:G,"X")&gt;0,7%,0)</f>
        <v>0</v>
      </c>
      <c r="L3721" s="31">
        <f>IF(COUNTIFS(Addendum!C:C,A3721,Addendum!D:D,IF(ISNUMBER(B3721),TEXT(B3721,"0000"),B3721),Addendum!I:I,"X")&gt;0,10%,0)</f>
        <v>0.1</v>
      </c>
      <c r="M3721" s="34">
        <f t="shared" si="116"/>
        <v>0</v>
      </c>
      <c r="N3721" s="17">
        <f t="shared" si="117"/>
        <v>13296</v>
      </c>
    </row>
    <row r="3722" spans="1:14" x14ac:dyDescent="0.25">
      <c r="A3722" s="14" t="s">
        <v>1616</v>
      </c>
      <c r="B3722" s="14">
        <v>16</v>
      </c>
      <c r="C3722" s="15" t="s">
        <v>1732</v>
      </c>
      <c r="D3722" s="14" t="s">
        <v>1745</v>
      </c>
      <c r="E3722" s="14" t="s">
        <v>1747</v>
      </c>
      <c r="F3722" s="17" t="s">
        <v>2993</v>
      </c>
      <c r="G3722" s="14">
        <v>1498284</v>
      </c>
      <c r="H3722" s="14">
        <v>1198627</v>
      </c>
      <c r="I3722" s="31">
        <f>IF(COUNTIFS(Addendum!C:C,A3722,Addendum!D:D,IF(ISNUMBER(B3722),TEXT(B3722,"0000"),B3722),Addendum!E:E,"X")&gt;0,4%,0)</f>
        <v>0.04</v>
      </c>
      <c r="J3722" s="31">
        <f>IF(COUNTIFS(Addendum!C:C,A3722,Addendum!D:D,IF(ISNUMBER(B3722),TEXT(B3722,"0000"),B3722),Addendum!F:F,"X")&gt;0,2.5%,0)</f>
        <v>0</v>
      </c>
      <c r="K3722" s="31">
        <f>IF(COUNTIFS(Addendum!C:C,A3722,Addendum!D:D,IF(ISNUMBER(B3722),TEXT(B3722,"0000"),B3722),Addendum!G:G,"X")&gt;0,7%,0)</f>
        <v>0</v>
      </c>
      <c r="L3722" s="31">
        <f>IF(COUNTIFS(Addendum!C:C,A3722,Addendum!D:D,IF(ISNUMBER(B3722),TEXT(B3722,"0000"),B3722),Addendum!I:I,"X")&gt;0,10%,0)</f>
        <v>0.1</v>
      </c>
      <c r="M3722" s="34">
        <f t="shared" si="116"/>
        <v>0</v>
      </c>
      <c r="N3722" s="17">
        <f t="shared" si="117"/>
        <v>1198627</v>
      </c>
    </row>
    <row r="3723" spans="1:14" x14ac:dyDescent="0.25">
      <c r="A3723" s="14" t="s">
        <v>1616</v>
      </c>
      <c r="B3723" s="14">
        <v>15</v>
      </c>
      <c r="C3723" s="15" t="s">
        <v>1727</v>
      </c>
      <c r="D3723" s="14" t="s">
        <v>1745</v>
      </c>
      <c r="E3723" s="14" t="s">
        <v>1746</v>
      </c>
      <c r="F3723" s="17" t="s">
        <v>2993</v>
      </c>
      <c r="G3723" s="14">
        <v>2925266</v>
      </c>
      <c r="H3723" s="14">
        <v>2340213</v>
      </c>
      <c r="I3723" s="31">
        <f>IF(COUNTIFS(Addendum!C:C,A3723,Addendum!D:D,IF(ISNUMBER(B3723),TEXT(B3723,"0000"),B3723),Addendum!E:E,"X")&gt;0,4%,0)</f>
        <v>0.04</v>
      </c>
      <c r="J3723" s="31">
        <f>IF(COUNTIFS(Addendum!C:C,A3723,Addendum!D:D,IF(ISNUMBER(B3723),TEXT(B3723,"0000"),B3723),Addendum!F:F,"X")&gt;0,2.5%,0)</f>
        <v>0</v>
      </c>
      <c r="K3723" s="31">
        <f>IF(COUNTIFS(Addendum!C:C,A3723,Addendum!D:D,IF(ISNUMBER(B3723),TEXT(B3723,"0000"),B3723),Addendum!G:G,"X")&gt;0,7%,0)</f>
        <v>0</v>
      </c>
      <c r="L3723" s="31">
        <f>IF(COUNTIFS(Addendum!C:C,A3723,Addendum!D:D,IF(ISNUMBER(B3723),TEXT(B3723,"0000"),B3723),Addendum!I:I,"X")&gt;0,10%,0)</f>
        <v>0.1</v>
      </c>
      <c r="M3723" s="34">
        <f t="shared" si="116"/>
        <v>0</v>
      </c>
      <c r="N3723" s="17">
        <f t="shared" si="117"/>
        <v>2340213</v>
      </c>
    </row>
    <row r="3724" spans="1:14" x14ac:dyDescent="0.25">
      <c r="A3724" s="14" t="s">
        <v>1616</v>
      </c>
      <c r="B3724" s="14" t="s">
        <v>28</v>
      </c>
      <c r="C3724" s="15" t="s">
        <v>1715</v>
      </c>
      <c r="D3724" s="14" t="s">
        <v>1749</v>
      </c>
      <c r="E3724" s="14" t="s">
        <v>1746</v>
      </c>
      <c r="F3724" s="17" t="s">
        <v>2993</v>
      </c>
      <c r="G3724" s="14">
        <v>13655</v>
      </c>
      <c r="H3724" s="14">
        <v>10924</v>
      </c>
      <c r="I3724" s="31">
        <f>IF(COUNTIFS(Addendum!C:C,A3724,Addendum!D:D,IF(ISNUMBER(B3724),TEXT(B3724,"0000"),B3724),Addendum!E:E,"X")&gt;0,4%,0)</f>
        <v>0.04</v>
      </c>
      <c r="J3724" s="31">
        <f>IF(COUNTIFS(Addendum!C:C,A3724,Addendum!D:D,IF(ISNUMBER(B3724),TEXT(B3724,"0000"),B3724),Addendum!F:F,"X")&gt;0,2.5%,0)</f>
        <v>0</v>
      </c>
      <c r="K3724" s="31">
        <f>IF(COUNTIFS(Addendum!C:C,A3724,Addendum!D:D,IF(ISNUMBER(B3724),TEXT(B3724,"0000"),B3724),Addendum!G:G,"X")&gt;0,7%,0)</f>
        <v>0</v>
      </c>
      <c r="L3724" s="31">
        <f>IF(COUNTIFS(Addendum!C:C,A3724,Addendum!D:D,IF(ISNUMBER(B3724),TEXT(B3724,"0000"),B3724),Addendum!I:I,"X")&gt;0,10%,0)</f>
        <v>0.1</v>
      </c>
      <c r="M3724" s="34">
        <f t="shared" si="116"/>
        <v>0</v>
      </c>
      <c r="N3724" s="17">
        <f t="shared" si="117"/>
        <v>10924</v>
      </c>
    </row>
    <row r="3725" spans="1:14" x14ac:dyDescent="0.25">
      <c r="A3725" s="14" t="s">
        <v>1616</v>
      </c>
      <c r="B3725" s="14" t="s">
        <v>39</v>
      </c>
      <c r="C3725" s="15" t="s">
        <v>1718</v>
      </c>
      <c r="D3725" s="14" t="s">
        <v>1745</v>
      </c>
      <c r="E3725" s="14" t="s">
        <v>1747</v>
      </c>
      <c r="F3725" s="17" t="s">
        <v>2993</v>
      </c>
      <c r="G3725" s="14">
        <v>179496</v>
      </c>
      <c r="H3725" s="14">
        <v>143596.79999999999</v>
      </c>
      <c r="I3725" s="31">
        <f>IF(COUNTIFS(Addendum!C:C,A3725,Addendum!D:D,IF(ISNUMBER(B3725),TEXT(B3725,"0000"),B3725),Addendum!E:E,"X")&gt;0,4%,0)</f>
        <v>0.04</v>
      </c>
      <c r="J3725" s="31">
        <f>IF(COUNTIFS(Addendum!C:C,A3725,Addendum!D:D,IF(ISNUMBER(B3725),TEXT(B3725,"0000"),B3725),Addendum!F:F,"X")&gt;0,2.5%,0)</f>
        <v>0</v>
      </c>
      <c r="K3725" s="31">
        <f>IF(COUNTIFS(Addendum!C:C,A3725,Addendum!D:D,IF(ISNUMBER(B3725),TEXT(B3725,"0000"),B3725),Addendum!G:G,"X")&gt;0,7%,0)</f>
        <v>0</v>
      </c>
      <c r="L3725" s="31">
        <f>IF(COUNTIFS(Addendum!C:C,A3725,Addendum!D:D,IF(ISNUMBER(B3725),TEXT(B3725,"0000"),B3725),Addendum!I:I,"X")&gt;0,10%,0)</f>
        <v>0.1</v>
      </c>
      <c r="M3725" s="34">
        <f t="shared" si="116"/>
        <v>0</v>
      </c>
      <c r="N3725" s="17">
        <f t="shared" si="117"/>
        <v>143596.79999999999</v>
      </c>
    </row>
    <row r="3726" spans="1:14" x14ac:dyDescent="0.25">
      <c r="A3726" s="14" t="s">
        <v>1616</v>
      </c>
      <c r="B3726" s="14" t="s">
        <v>73</v>
      </c>
      <c r="C3726" s="15" t="s">
        <v>1699</v>
      </c>
      <c r="D3726" s="14" t="s">
        <v>1745</v>
      </c>
      <c r="E3726" s="14" t="s">
        <v>1746</v>
      </c>
      <c r="F3726" s="17" t="s">
        <v>2993</v>
      </c>
      <c r="G3726" s="14">
        <v>63163.8</v>
      </c>
      <c r="H3726" s="14">
        <v>50531.040000000001</v>
      </c>
      <c r="I3726" s="31">
        <f>IF(COUNTIFS(Addendum!C:C,A3726,Addendum!D:D,IF(ISNUMBER(B3726),TEXT(B3726,"0000"),B3726),Addendum!E:E,"X")&gt;0,4%,0)</f>
        <v>0.04</v>
      </c>
      <c r="J3726" s="31">
        <f>IF(COUNTIFS(Addendum!C:C,A3726,Addendum!D:D,IF(ISNUMBER(B3726),TEXT(B3726,"0000"),B3726),Addendum!F:F,"X")&gt;0,2.5%,0)</f>
        <v>0</v>
      </c>
      <c r="K3726" s="31">
        <f>IF(COUNTIFS(Addendum!C:C,A3726,Addendum!D:D,IF(ISNUMBER(B3726),TEXT(B3726,"0000"),B3726),Addendum!G:G,"X")&gt;0,7%,0)</f>
        <v>0</v>
      </c>
      <c r="L3726" s="31">
        <f>IF(COUNTIFS(Addendum!C:C,A3726,Addendum!D:D,IF(ISNUMBER(B3726),TEXT(B3726,"0000"),B3726),Addendum!I:I,"X")&gt;0,10%,0)</f>
        <v>0.1</v>
      </c>
      <c r="M3726" s="34">
        <f t="shared" si="116"/>
        <v>0</v>
      </c>
      <c r="N3726" s="17">
        <f t="shared" si="117"/>
        <v>50531.040000000001</v>
      </c>
    </row>
    <row r="3727" spans="1:14" x14ac:dyDescent="0.25">
      <c r="A3727" s="14" t="s">
        <v>1616</v>
      </c>
      <c r="B3727" s="14">
        <v>17</v>
      </c>
      <c r="C3727" s="15" t="s">
        <v>1729</v>
      </c>
      <c r="D3727" s="14" t="s">
        <v>1745</v>
      </c>
      <c r="E3727" s="14" t="s">
        <v>1746</v>
      </c>
      <c r="F3727" s="17" t="s">
        <v>2993</v>
      </c>
      <c r="G3727" s="14">
        <v>821242.8</v>
      </c>
      <c r="H3727" s="14">
        <v>656994.19999999995</v>
      </c>
      <c r="I3727" s="31">
        <f>IF(COUNTIFS(Addendum!C:C,A3727,Addendum!D:D,IF(ISNUMBER(B3727),TEXT(B3727,"0000"),B3727),Addendum!E:E,"X")&gt;0,4%,0)</f>
        <v>0.04</v>
      </c>
      <c r="J3727" s="31">
        <f>IF(COUNTIFS(Addendum!C:C,A3727,Addendum!D:D,IF(ISNUMBER(B3727),TEXT(B3727,"0000"),B3727),Addendum!F:F,"X")&gt;0,2.5%,0)</f>
        <v>0</v>
      </c>
      <c r="K3727" s="31">
        <f>IF(COUNTIFS(Addendum!C:C,A3727,Addendum!D:D,IF(ISNUMBER(B3727),TEXT(B3727,"0000"),B3727),Addendum!G:G,"X")&gt;0,7%,0)</f>
        <v>0</v>
      </c>
      <c r="L3727" s="31">
        <f>IF(COUNTIFS(Addendum!C:C,A3727,Addendum!D:D,IF(ISNUMBER(B3727),TEXT(B3727,"0000"),B3727),Addendum!I:I,"X")&gt;0,10%,0)</f>
        <v>0.1</v>
      </c>
      <c r="M3727" s="34">
        <f t="shared" si="116"/>
        <v>0</v>
      </c>
      <c r="N3727" s="17">
        <f t="shared" si="117"/>
        <v>656994.19999999995</v>
      </c>
    </row>
    <row r="3728" spans="1:14" x14ac:dyDescent="0.25">
      <c r="A3728" s="14" t="s">
        <v>1616</v>
      </c>
      <c r="B3728" s="14">
        <v>80</v>
      </c>
      <c r="C3728" s="15" t="s">
        <v>1705</v>
      </c>
      <c r="D3728" s="14" t="s">
        <v>1745</v>
      </c>
      <c r="E3728" s="14" t="s">
        <v>1746</v>
      </c>
      <c r="F3728" s="17" t="s">
        <v>2993</v>
      </c>
      <c r="G3728" s="14">
        <v>1016348</v>
      </c>
      <c r="H3728" s="14">
        <v>813078</v>
      </c>
      <c r="I3728" s="31">
        <f>IF(COUNTIFS(Addendum!C:C,A3728,Addendum!D:D,IF(ISNUMBER(B3728),TEXT(B3728,"0000"),B3728),Addendum!E:E,"X")&gt;0,4%,0)</f>
        <v>0.04</v>
      </c>
      <c r="J3728" s="31">
        <f>IF(COUNTIFS(Addendum!C:C,A3728,Addendum!D:D,IF(ISNUMBER(B3728),TEXT(B3728,"0000"),B3728),Addendum!F:F,"X")&gt;0,2.5%,0)</f>
        <v>0</v>
      </c>
      <c r="K3728" s="31">
        <f>IF(COUNTIFS(Addendum!C:C,A3728,Addendum!D:D,IF(ISNUMBER(B3728),TEXT(B3728,"0000"),B3728),Addendum!G:G,"X")&gt;0,7%,0)</f>
        <v>0</v>
      </c>
      <c r="L3728" s="31">
        <f>IF(COUNTIFS(Addendum!C:C,A3728,Addendum!D:D,IF(ISNUMBER(B3728),TEXT(B3728,"0000"),B3728),Addendum!I:I,"X")&gt;0,10%,0)</f>
        <v>0.1</v>
      </c>
      <c r="M3728" s="34">
        <f t="shared" si="116"/>
        <v>0</v>
      </c>
      <c r="N3728" s="17">
        <f t="shared" si="117"/>
        <v>813078</v>
      </c>
    </row>
    <row r="3729" spans="1:14" x14ac:dyDescent="0.25">
      <c r="A3729" s="14" t="s">
        <v>1616</v>
      </c>
      <c r="B3729" s="14" t="s">
        <v>50</v>
      </c>
      <c r="C3729" s="15" t="s">
        <v>1724</v>
      </c>
      <c r="D3729" s="14" t="s">
        <v>1745</v>
      </c>
      <c r="E3729" s="14" t="s">
        <v>1747</v>
      </c>
      <c r="F3729" s="17" t="s">
        <v>2993</v>
      </c>
      <c r="G3729" s="14">
        <v>229986</v>
      </c>
      <c r="H3729" s="14">
        <v>183988.8</v>
      </c>
      <c r="I3729" s="31">
        <f>IF(COUNTIFS(Addendum!C:C,A3729,Addendum!D:D,IF(ISNUMBER(B3729),TEXT(B3729,"0000"),B3729),Addendum!E:E,"X")&gt;0,4%,0)</f>
        <v>0.04</v>
      </c>
      <c r="J3729" s="31">
        <f>IF(COUNTIFS(Addendum!C:C,A3729,Addendum!D:D,IF(ISNUMBER(B3729),TEXT(B3729,"0000"),B3729),Addendum!F:F,"X")&gt;0,2.5%,0)</f>
        <v>0</v>
      </c>
      <c r="K3729" s="31">
        <f>IF(COUNTIFS(Addendum!C:C,A3729,Addendum!D:D,IF(ISNUMBER(B3729),TEXT(B3729,"0000"),B3729),Addendum!G:G,"X")&gt;0,7%,0)</f>
        <v>0</v>
      </c>
      <c r="L3729" s="31">
        <f>IF(COUNTIFS(Addendum!C:C,A3729,Addendum!D:D,IF(ISNUMBER(B3729),TEXT(B3729,"0000"),B3729),Addendum!I:I,"X")&gt;0,10%,0)</f>
        <v>0.1</v>
      </c>
      <c r="M3729" s="34">
        <f t="shared" si="116"/>
        <v>0</v>
      </c>
      <c r="N3729" s="17">
        <f t="shared" si="117"/>
        <v>183988.8</v>
      </c>
    </row>
    <row r="3730" spans="1:14" x14ac:dyDescent="0.25">
      <c r="A3730" s="14" t="s">
        <v>1616</v>
      </c>
      <c r="B3730" s="14">
        <v>16</v>
      </c>
      <c r="C3730" s="15" t="s">
        <v>1732</v>
      </c>
      <c r="D3730" s="14" t="s">
        <v>1745</v>
      </c>
      <c r="E3730" s="14" t="s">
        <v>1746</v>
      </c>
      <c r="F3730" s="17" t="s">
        <v>2993</v>
      </c>
      <c r="G3730" s="14">
        <v>1573198</v>
      </c>
      <c r="H3730" s="14">
        <v>1258559</v>
      </c>
      <c r="I3730" s="31">
        <f>IF(COUNTIFS(Addendum!C:C,A3730,Addendum!D:D,IF(ISNUMBER(B3730),TEXT(B3730,"0000"),B3730),Addendum!E:E,"X")&gt;0,4%,0)</f>
        <v>0.04</v>
      </c>
      <c r="J3730" s="31">
        <f>IF(COUNTIFS(Addendum!C:C,A3730,Addendum!D:D,IF(ISNUMBER(B3730),TEXT(B3730,"0000"),B3730),Addendum!F:F,"X")&gt;0,2.5%,0)</f>
        <v>0</v>
      </c>
      <c r="K3730" s="31">
        <f>IF(COUNTIFS(Addendum!C:C,A3730,Addendum!D:D,IF(ISNUMBER(B3730),TEXT(B3730,"0000"),B3730),Addendum!G:G,"X")&gt;0,7%,0)</f>
        <v>0</v>
      </c>
      <c r="L3730" s="31">
        <f>IF(COUNTIFS(Addendum!C:C,A3730,Addendum!D:D,IF(ISNUMBER(B3730),TEXT(B3730,"0000"),B3730),Addendum!I:I,"X")&gt;0,10%,0)</f>
        <v>0.1</v>
      </c>
      <c r="M3730" s="34">
        <f t="shared" si="116"/>
        <v>0</v>
      </c>
      <c r="N3730" s="17">
        <f t="shared" si="117"/>
        <v>1258559</v>
      </c>
    </row>
    <row r="3731" spans="1:14" x14ac:dyDescent="0.25">
      <c r="A3731" s="14" t="s">
        <v>1616</v>
      </c>
      <c r="B3731" s="14" t="s">
        <v>32</v>
      </c>
      <c r="C3731" s="15" t="s">
        <v>1721</v>
      </c>
      <c r="D3731" s="14" t="s">
        <v>1749</v>
      </c>
      <c r="E3731" s="14" t="s">
        <v>1746</v>
      </c>
      <c r="F3731" s="17" t="s">
        <v>2993</v>
      </c>
      <c r="G3731" s="14">
        <v>17790</v>
      </c>
      <c r="H3731" s="14">
        <v>14232</v>
      </c>
      <c r="I3731" s="31">
        <f>IF(COUNTIFS(Addendum!C:C,A3731,Addendum!D:D,IF(ISNUMBER(B3731),TEXT(B3731,"0000"),B3731),Addendum!E:E,"X")&gt;0,4%,0)</f>
        <v>0.04</v>
      </c>
      <c r="J3731" s="31">
        <f>IF(COUNTIFS(Addendum!C:C,A3731,Addendum!D:D,IF(ISNUMBER(B3731),TEXT(B3731,"0000"),B3731),Addendum!F:F,"X")&gt;0,2.5%,0)</f>
        <v>0</v>
      </c>
      <c r="K3731" s="31">
        <f>IF(COUNTIFS(Addendum!C:C,A3731,Addendum!D:D,IF(ISNUMBER(B3731),TEXT(B3731,"0000"),B3731),Addendum!G:G,"X")&gt;0,7%,0)</f>
        <v>0</v>
      </c>
      <c r="L3731" s="31">
        <f>IF(COUNTIFS(Addendum!C:C,A3731,Addendum!D:D,IF(ISNUMBER(B3731),TEXT(B3731,"0000"),B3731),Addendum!I:I,"X")&gt;0,10%,0)</f>
        <v>0.1</v>
      </c>
      <c r="M3731" s="34">
        <f t="shared" si="116"/>
        <v>0</v>
      </c>
      <c r="N3731" s="17">
        <f t="shared" si="117"/>
        <v>14232</v>
      </c>
    </row>
    <row r="3732" spans="1:14" x14ac:dyDescent="0.25">
      <c r="A3732" s="14" t="s">
        <v>1616</v>
      </c>
      <c r="B3732" s="14" t="s">
        <v>24</v>
      </c>
      <c r="C3732" s="15" t="s">
        <v>1696</v>
      </c>
      <c r="D3732" s="14" t="s">
        <v>1745</v>
      </c>
      <c r="E3732" s="14" t="s">
        <v>1746</v>
      </c>
      <c r="F3732" s="17" t="s">
        <v>2993</v>
      </c>
      <c r="G3732" s="14">
        <v>42808.56</v>
      </c>
      <c r="H3732" s="14">
        <v>34246.800000000003</v>
      </c>
      <c r="I3732" s="31">
        <f>IF(COUNTIFS(Addendum!C:C,A3732,Addendum!D:D,IF(ISNUMBER(B3732),TEXT(B3732,"0000"),B3732),Addendum!E:E,"X")&gt;0,4%,0)</f>
        <v>0.04</v>
      </c>
      <c r="J3732" s="31">
        <f>IF(COUNTIFS(Addendum!C:C,A3732,Addendum!D:D,IF(ISNUMBER(B3732),TEXT(B3732,"0000"),B3732),Addendum!F:F,"X")&gt;0,2.5%,0)</f>
        <v>0</v>
      </c>
      <c r="K3732" s="31">
        <f>IF(COUNTIFS(Addendum!C:C,A3732,Addendum!D:D,IF(ISNUMBER(B3732),TEXT(B3732,"0000"),B3732),Addendum!G:G,"X")&gt;0,7%,0)</f>
        <v>0</v>
      </c>
      <c r="L3732" s="31">
        <f>IF(COUNTIFS(Addendum!C:C,A3732,Addendum!D:D,IF(ISNUMBER(B3732),TEXT(B3732,"0000"),B3732),Addendum!I:I,"X")&gt;0,10%,0)</f>
        <v>0.1</v>
      </c>
      <c r="M3732" s="34">
        <f t="shared" si="116"/>
        <v>0</v>
      </c>
      <c r="N3732" s="17">
        <f t="shared" si="117"/>
        <v>34246.800000000003</v>
      </c>
    </row>
    <row r="3733" spans="1:14" x14ac:dyDescent="0.25">
      <c r="A3733" s="14" t="s">
        <v>1616</v>
      </c>
      <c r="B3733" s="14">
        <v>13</v>
      </c>
      <c r="C3733" s="15" t="s">
        <v>1687</v>
      </c>
      <c r="D3733" s="14" t="s">
        <v>1745</v>
      </c>
      <c r="E3733" s="14" t="s">
        <v>1746</v>
      </c>
      <c r="F3733" s="17" t="s">
        <v>2993</v>
      </c>
      <c r="G3733" s="14">
        <v>423889.2</v>
      </c>
      <c r="H3733" s="14">
        <v>339111.4</v>
      </c>
      <c r="I3733" s="31">
        <f>IF(COUNTIFS(Addendum!C:C,A3733,Addendum!D:D,IF(ISNUMBER(B3733),TEXT(B3733,"0000"),B3733),Addendum!E:E,"X")&gt;0,4%,0)</f>
        <v>0.04</v>
      </c>
      <c r="J3733" s="31">
        <f>IF(COUNTIFS(Addendum!C:C,A3733,Addendum!D:D,IF(ISNUMBER(B3733),TEXT(B3733,"0000"),B3733),Addendum!F:F,"X")&gt;0,2.5%,0)</f>
        <v>0</v>
      </c>
      <c r="K3733" s="31">
        <f>IF(COUNTIFS(Addendum!C:C,A3733,Addendum!D:D,IF(ISNUMBER(B3733),TEXT(B3733,"0000"),B3733),Addendum!G:G,"X")&gt;0,7%,0)</f>
        <v>0</v>
      </c>
      <c r="L3733" s="31">
        <f>IF(COUNTIFS(Addendum!C:C,A3733,Addendum!D:D,IF(ISNUMBER(B3733),TEXT(B3733,"0000"),B3733),Addendum!I:I,"X")&gt;0,10%,0)</f>
        <v>0.1</v>
      </c>
      <c r="M3733" s="34">
        <f t="shared" si="116"/>
        <v>0</v>
      </c>
      <c r="N3733" s="17">
        <f t="shared" si="117"/>
        <v>339111.4</v>
      </c>
    </row>
    <row r="3734" spans="1:14" x14ac:dyDescent="0.25">
      <c r="A3734" s="14" t="s">
        <v>1616</v>
      </c>
      <c r="B3734" s="14" t="s">
        <v>46</v>
      </c>
      <c r="C3734" s="15" t="s">
        <v>1712</v>
      </c>
      <c r="D3734" s="14" t="s">
        <v>1749</v>
      </c>
      <c r="E3734" s="14" t="s">
        <v>1746</v>
      </c>
      <c r="F3734" s="17" t="s">
        <v>2993</v>
      </c>
      <c r="G3734" s="14">
        <v>10155</v>
      </c>
      <c r="H3734" s="14">
        <v>8124</v>
      </c>
      <c r="I3734" s="31">
        <f>IF(COUNTIFS(Addendum!C:C,A3734,Addendum!D:D,IF(ISNUMBER(B3734),TEXT(B3734,"0000"),B3734),Addendum!E:E,"X")&gt;0,4%,0)</f>
        <v>0.04</v>
      </c>
      <c r="J3734" s="31">
        <f>IF(COUNTIFS(Addendum!C:C,A3734,Addendum!D:D,IF(ISNUMBER(B3734),TEXT(B3734,"0000"),B3734),Addendum!F:F,"X")&gt;0,2.5%,0)</f>
        <v>0</v>
      </c>
      <c r="K3734" s="31">
        <f>IF(COUNTIFS(Addendum!C:C,A3734,Addendum!D:D,IF(ISNUMBER(B3734),TEXT(B3734,"0000"),B3734),Addendum!G:G,"X")&gt;0,7%,0)</f>
        <v>0</v>
      </c>
      <c r="L3734" s="31">
        <f>IF(COUNTIFS(Addendum!C:C,A3734,Addendum!D:D,IF(ISNUMBER(B3734),TEXT(B3734,"0000"),B3734),Addendum!I:I,"X")&gt;0,10%,0)</f>
        <v>0.1</v>
      </c>
      <c r="M3734" s="34">
        <f t="shared" si="116"/>
        <v>0</v>
      </c>
      <c r="N3734" s="17">
        <f t="shared" si="117"/>
        <v>8124</v>
      </c>
    </row>
    <row r="3735" spans="1:14" x14ac:dyDescent="0.25">
      <c r="A3735" s="14" t="s">
        <v>2838</v>
      </c>
      <c r="B3735" s="14">
        <v>1</v>
      </c>
      <c r="C3735" s="15" t="s">
        <v>2839</v>
      </c>
      <c r="D3735" s="14" t="s">
        <v>1745</v>
      </c>
      <c r="E3735" s="14" t="s">
        <v>1747</v>
      </c>
      <c r="F3735" s="17" t="s">
        <v>2993</v>
      </c>
      <c r="G3735" s="14">
        <v>1800</v>
      </c>
      <c r="H3735" s="14">
        <v>1440</v>
      </c>
      <c r="I3735" s="31">
        <f>IF(COUNTIFS(Addendum!C:C,A3735,Addendum!D:D,IF(ISNUMBER(B3735),TEXT(B3735,"0000"),B3735),Addendum!E:E,"X")&gt;0,4%,0)</f>
        <v>0</v>
      </c>
      <c r="J3735" s="31">
        <f>IF(COUNTIFS(Addendum!C:C,A3735,Addendum!D:D,IF(ISNUMBER(B3735),TEXT(B3735,"0000"),B3735),Addendum!F:F,"X")&gt;0,2.5%,0)</f>
        <v>0</v>
      </c>
      <c r="K3735" s="31">
        <f>IF(COUNTIFS(Addendum!C:C,A3735,Addendum!D:D,IF(ISNUMBER(B3735),TEXT(B3735,"0000"),B3735),Addendum!G:G,"X")&gt;0,7%,0)</f>
        <v>0</v>
      </c>
      <c r="L3735" s="31">
        <f>IF(COUNTIFS(Addendum!C:C,A3735,Addendum!D:D,IF(ISNUMBER(B3735),TEXT(B3735,"0000"),B3735),Addendum!I:I,"X")&gt;0,10%,0)</f>
        <v>0</v>
      </c>
      <c r="M3735" s="34">
        <f t="shared" si="116"/>
        <v>0</v>
      </c>
      <c r="N3735" s="17">
        <f t="shared" si="117"/>
        <v>1440</v>
      </c>
    </row>
    <row r="3736" spans="1:14" x14ac:dyDescent="0.25">
      <c r="A3736" s="17"/>
      <c r="B3736" s="17"/>
      <c r="C3736" s="15" t="s">
        <v>2840</v>
      </c>
      <c r="D3736" s="14"/>
      <c r="E3736" s="14" t="s">
        <v>2841</v>
      </c>
      <c r="F3736" s="17" t="s">
        <v>2994</v>
      </c>
      <c r="G3736" s="14">
        <v>1954</v>
      </c>
      <c r="H3736" s="14">
        <v>1911.989</v>
      </c>
      <c r="I3736" s="31">
        <f>IF(COUNTIFS(Addendum!C:C,A3736,Addendum!D:D,IF(ISNUMBER(B3736),TEXT(B3736,"0000"),B3736),Addendum!E:E,"X")&gt;0,4%,0)</f>
        <v>0</v>
      </c>
      <c r="J3736" s="31">
        <f>IF(COUNTIFS(Addendum!C:C,A3736,Addendum!D:D,IF(ISNUMBER(B3736),TEXT(B3736,"0000"),B3736),Addendum!F:F,"X")&gt;0,2.5%,0)</f>
        <v>0</v>
      </c>
      <c r="K3736" s="31">
        <f>IF(COUNTIFS(Addendum!C:C,A3736,Addendum!D:D,IF(ISNUMBER(B3736),TEXT(B3736,"0000"),B3736),Addendum!G:G,"X")&gt;0,7%,0)</f>
        <v>0</v>
      </c>
      <c r="L3736" s="31">
        <f>IF(COUNTIFS(Addendum!C:C,A3736,Addendum!D:D,IF(ISNUMBER(B3736),TEXT(B3736,"0000"),B3736),Addendum!I:I,"X")&gt;0,10%,0)</f>
        <v>0</v>
      </c>
      <c r="M3736" s="34">
        <f t="shared" si="116"/>
        <v>0</v>
      </c>
      <c r="N3736" s="17">
        <f t="shared" si="117"/>
        <v>1911.989</v>
      </c>
    </row>
    <row r="3737" spans="1:14" x14ac:dyDescent="0.25">
      <c r="A3737" s="17"/>
      <c r="B3737" s="17"/>
      <c r="C3737" s="15" t="s">
        <v>2840</v>
      </c>
      <c r="D3737" s="14"/>
      <c r="E3737" s="14" t="s">
        <v>2841</v>
      </c>
      <c r="F3737" s="17" t="s">
        <v>2995</v>
      </c>
      <c r="G3737" s="14">
        <v>3610</v>
      </c>
      <c r="H3737" s="14">
        <v>3532.3850000000002</v>
      </c>
      <c r="I3737" s="31">
        <f>IF(COUNTIFS(Addendum!C:C,A3737,Addendum!D:D,IF(ISNUMBER(B3737),TEXT(B3737,"0000"),B3737),Addendum!E:E,"X")&gt;0,4%,0)</f>
        <v>0</v>
      </c>
      <c r="J3737" s="31">
        <f>IF(COUNTIFS(Addendum!C:C,A3737,Addendum!D:D,IF(ISNUMBER(B3737),TEXT(B3737,"0000"),B3737),Addendum!F:F,"X")&gt;0,2.5%,0)</f>
        <v>0</v>
      </c>
      <c r="K3737" s="31">
        <f>IF(COUNTIFS(Addendum!C:C,A3737,Addendum!D:D,IF(ISNUMBER(B3737),TEXT(B3737,"0000"),B3737),Addendum!G:G,"X")&gt;0,7%,0)</f>
        <v>0</v>
      </c>
      <c r="L3737" s="31">
        <f>IF(COUNTIFS(Addendum!C:C,A3737,Addendum!D:D,IF(ISNUMBER(B3737),TEXT(B3737,"0000"),B3737),Addendum!I:I,"X")&gt;0,10%,0)</f>
        <v>0</v>
      </c>
      <c r="M3737" s="34">
        <f t="shared" si="116"/>
        <v>0</v>
      </c>
      <c r="N3737" s="17">
        <f t="shared" si="117"/>
        <v>3532.3850000000002</v>
      </c>
    </row>
    <row r="3738" spans="1:14" x14ac:dyDescent="0.25">
      <c r="A3738" s="17"/>
      <c r="B3738" s="17"/>
      <c r="C3738" s="15" t="s">
        <v>2840</v>
      </c>
      <c r="D3738" s="14"/>
      <c r="E3738" s="14" t="s">
        <v>2841</v>
      </c>
      <c r="F3738" s="17" t="s">
        <v>2993</v>
      </c>
      <c r="G3738" s="14">
        <v>14443</v>
      </c>
      <c r="H3738" s="14">
        <v>14132.4755</v>
      </c>
      <c r="I3738" s="31">
        <f>IF(COUNTIFS(Addendum!C:C,A3738,Addendum!D:D,IF(ISNUMBER(B3738),TEXT(B3738,"0000"),B3738),Addendum!E:E,"X")&gt;0,4%,0)</f>
        <v>0</v>
      </c>
      <c r="J3738" s="31">
        <f>IF(COUNTIFS(Addendum!C:C,A3738,Addendum!D:D,IF(ISNUMBER(B3738),TEXT(B3738,"0000"),B3738),Addendum!F:F,"X")&gt;0,2.5%,0)</f>
        <v>0</v>
      </c>
      <c r="K3738" s="31">
        <f>IF(COUNTIFS(Addendum!C:C,A3738,Addendum!D:D,IF(ISNUMBER(B3738),TEXT(B3738,"0000"),B3738),Addendum!G:G,"X")&gt;0,7%,0)</f>
        <v>0</v>
      </c>
      <c r="L3738" s="31">
        <f>IF(COUNTIFS(Addendum!C:C,A3738,Addendum!D:D,IF(ISNUMBER(B3738),TEXT(B3738,"0000"),B3738),Addendum!I:I,"X")&gt;0,10%,0)</f>
        <v>0</v>
      </c>
      <c r="M3738" s="34">
        <f t="shared" si="116"/>
        <v>0</v>
      </c>
      <c r="N3738" s="17">
        <f t="shared" si="117"/>
        <v>14132.4755</v>
      </c>
    </row>
    <row r="3739" spans="1:14" x14ac:dyDescent="0.25">
      <c r="A3739" s="17"/>
      <c r="B3739" s="17"/>
      <c r="C3739" s="15" t="s">
        <v>2842</v>
      </c>
      <c r="D3739" s="14" t="s">
        <v>1752</v>
      </c>
      <c r="E3739" s="14" t="s">
        <v>1747</v>
      </c>
      <c r="F3739" s="17" t="s">
        <v>2993</v>
      </c>
      <c r="G3739" s="14">
        <v>15293.01</v>
      </c>
      <c r="H3739" s="14">
        <v>13389.031799999999</v>
      </c>
      <c r="I3739" s="31">
        <f>IF(COUNTIFS(Addendum!C:C,A3739,Addendum!D:D,IF(ISNUMBER(B3739),TEXT(B3739,"0000"),B3739),Addendum!E:E,"X")&gt;0,4%,0)</f>
        <v>0</v>
      </c>
      <c r="J3739" s="31">
        <f>IF(COUNTIFS(Addendum!C:C,A3739,Addendum!D:D,IF(ISNUMBER(B3739),TEXT(B3739,"0000"),B3739),Addendum!F:F,"X")&gt;0,2.5%,0)</f>
        <v>0</v>
      </c>
      <c r="K3739" s="31">
        <f>IF(COUNTIFS(Addendum!C:C,A3739,Addendum!D:D,IF(ISNUMBER(B3739),TEXT(B3739,"0000"),B3739),Addendum!G:G,"X")&gt;0,7%,0)</f>
        <v>0</v>
      </c>
      <c r="L3739" s="31">
        <f>IF(COUNTIFS(Addendum!C:C,A3739,Addendum!D:D,IF(ISNUMBER(B3739),TEXT(B3739,"0000"),B3739),Addendum!I:I,"X")&gt;0,10%,0)</f>
        <v>0</v>
      </c>
      <c r="M3739" s="34">
        <f t="shared" si="116"/>
        <v>0</v>
      </c>
      <c r="N3739" s="17">
        <f t="shared" si="117"/>
        <v>13389.031799999999</v>
      </c>
    </row>
    <row r="3740" spans="1:14" x14ac:dyDescent="0.25">
      <c r="A3740" s="17"/>
      <c r="B3740" s="17"/>
      <c r="C3740" s="15" t="s">
        <v>2843</v>
      </c>
      <c r="D3740" s="14" t="s">
        <v>1745</v>
      </c>
      <c r="E3740" s="14" t="s">
        <v>1747</v>
      </c>
      <c r="F3740" s="17" t="s">
        <v>2993</v>
      </c>
      <c r="G3740" s="14">
        <v>8496</v>
      </c>
      <c r="H3740" s="14">
        <v>7438.2480000000005</v>
      </c>
      <c r="I3740" s="31">
        <f>IF(COUNTIFS(Addendum!C:C,A3740,Addendum!D:D,IF(ISNUMBER(B3740),TEXT(B3740,"0000"),B3740),Addendum!E:E,"X")&gt;0,4%,0)</f>
        <v>0</v>
      </c>
      <c r="J3740" s="31">
        <f>IF(COUNTIFS(Addendum!C:C,A3740,Addendum!D:D,IF(ISNUMBER(B3740),TEXT(B3740,"0000"),B3740),Addendum!F:F,"X")&gt;0,2.5%,0)</f>
        <v>0</v>
      </c>
      <c r="K3740" s="31">
        <f>IF(COUNTIFS(Addendum!C:C,A3740,Addendum!D:D,IF(ISNUMBER(B3740),TEXT(B3740,"0000"),B3740),Addendum!G:G,"X")&gt;0,7%,0)</f>
        <v>0</v>
      </c>
      <c r="L3740" s="31">
        <f>IF(COUNTIFS(Addendum!C:C,A3740,Addendum!D:D,IF(ISNUMBER(B3740),TEXT(B3740,"0000"),B3740),Addendum!I:I,"X")&gt;0,10%,0)</f>
        <v>0</v>
      </c>
      <c r="M3740" s="34">
        <f t="shared" si="116"/>
        <v>0</v>
      </c>
      <c r="N3740" s="17">
        <f t="shared" si="117"/>
        <v>7438.2480000000005</v>
      </c>
    </row>
    <row r="3741" spans="1:14" x14ac:dyDescent="0.25">
      <c r="A3741" s="17"/>
      <c r="B3741" s="17"/>
      <c r="C3741" s="15" t="s">
        <v>2842</v>
      </c>
      <c r="D3741" s="14" t="s">
        <v>1752</v>
      </c>
      <c r="E3741" s="14" t="s">
        <v>1753</v>
      </c>
      <c r="F3741" s="17" t="s">
        <v>2993</v>
      </c>
      <c r="G3741" s="14">
        <v>15293</v>
      </c>
      <c r="H3741" s="14">
        <v>13389.021499999999</v>
      </c>
      <c r="I3741" s="31">
        <f>IF(COUNTIFS(Addendum!C:C,A3741,Addendum!D:D,IF(ISNUMBER(B3741),TEXT(B3741,"0000"),B3741),Addendum!E:E,"X")&gt;0,4%,0)</f>
        <v>0</v>
      </c>
      <c r="J3741" s="31">
        <f>IF(COUNTIFS(Addendum!C:C,A3741,Addendum!D:D,IF(ISNUMBER(B3741),TEXT(B3741,"0000"),B3741),Addendum!F:F,"X")&gt;0,2.5%,0)</f>
        <v>0</v>
      </c>
      <c r="K3741" s="31">
        <f>IF(COUNTIFS(Addendum!C:C,A3741,Addendum!D:D,IF(ISNUMBER(B3741),TEXT(B3741,"0000"),B3741),Addendum!G:G,"X")&gt;0,7%,0)</f>
        <v>0</v>
      </c>
      <c r="L3741" s="31">
        <f>IF(COUNTIFS(Addendum!C:C,A3741,Addendum!D:D,IF(ISNUMBER(B3741),TEXT(B3741,"0000"),B3741),Addendum!I:I,"X")&gt;0,10%,0)</f>
        <v>0</v>
      </c>
      <c r="M3741" s="34">
        <f t="shared" si="116"/>
        <v>0</v>
      </c>
      <c r="N3741" s="17">
        <f t="shared" si="117"/>
        <v>13389.021499999999</v>
      </c>
    </row>
    <row r="3742" spans="1:14" x14ac:dyDescent="0.25">
      <c r="A3742" s="17"/>
      <c r="B3742" s="17"/>
      <c r="C3742" s="15" t="s">
        <v>2844</v>
      </c>
      <c r="D3742" s="14"/>
      <c r="E3742" s="14" t="s">
        <v>2841</v>
      </c>
      <c r="F3742" s="17" t="s">
        <v>2993</v>
      </c>
      <c r="G3742" s="14">
        <v>107391</v>
      </c>
      <c r="H3742" s="14">
        <v>94020.820500000002</v>
      </c>
      <c r="I3742" s="31">
        <f>IF(COUNTIFS(Addendum!C:C,A3742,Addendum!D:D,IF(ISNUMBER(B3742),TEXT(B3742,"0000"),B3742),Addendum!E:E,"X")&gt;0,4%,0)</f>
        <v>0</v>
      </c>
      <c r="J3742" s="31">
        <f>IF(COUNTIFS(Addendum!C:C,A3742,Addendum!D:D,IF(ISNUMBER(B3742),TEXT(B3742,"0000"),B3742),Addendum!F:F,"X")&gt;0,2.5%,0)</f>
        <v>0</v>
      </c>
      <c r="K3742" s="31">
        <f>IF(COUNTIFS(Addendum!C:C,A3742,Addendum!D:D,IF(ISNUMBER(B3742),TEXT(B3742,"0000"),B3742),Addendum!G:G,"X")&gt;0,7%,0)</f>
        <v>0</v>
      </c>
      <c r="L3742" s="31">
        <f>IF(COUNTIFS(Addendum!C:C,A3742,Addendum!D:D,IF(ISNUMBER(B3742),TEXT(B3742,"0000"),B3742),Addendum!I:I,"X")&gt;0,10%,0)</f>
        <v>0</v>
      </c>
      <c r="M3742" s="34">
        <f t="shared" si="116"/>
        <v>0</v>
      </c>
      <c r="N3742" s="17">
        <f t="shared" si="117"/>
        <v>94020.820500000002</v>
      </c>
    </row>
    <row r="3743" spans="1:14" x14ac:dyDescent="0.25">
      <c r="A3743" s="17"/>
      <c r="B3743" s="17"/>
      <c r="C3743" s="15" t="s">
        <v>2844</v>
      </c>
      <c r="D3743" s="14"/>
      <c r="E3743" s="14" t="s">
        <v>2841</v>
      </c>
      <c r="F3743" s="17" t="s">
        <v>2994</v>
      </c>
      <c r="G3743" s="14">
        <v>26847</v>
      </c>
      <c r="H3743" s="14">
        <v>23504.548500000001</v>
      </c>
      <c r="I3743" s="31">
        <f>IF(COUNTIFS(Addendum!C:C,A3743,Addendum!D:D,IF(ISNUMBER(B3743),TEXT(B3743,"0000"),B3743),Addendum!E:E,"X")&gt;0,4%,0)</f>
        <v>0</v>
      </c>
      <c r="J3743" s="31">
        <f>IF(COUNTIFS(Addendum!C:C,A3743,Addendum!D:D,IF(ISNUMBER(B3743),TEXT(B3743,"0000"),B3743),Addendum!F:F,"X")&gt;0,2.5%,0)</f>
        <v>0</v>
      </c>
      <c r="K3743" s="31">
        <f>IF(COUNTIFS(Addendum!C:C,A3743,Addendum!D:D,IF(ISNUMBER(B3743),TEXT(B3743,"0000"),B3743),Addendum!G:G,"X")&gt;0,7%,0)</f>
        <v>0</v>
      </c>
      <c r="L3743" s="31">
        <f>IF(COUNTIFS(Addendum!C:C,A3743,Addendum!D:D,IF(ISNUMBER(B3743),TEXT(B3743,"0000"),B3743),Addendum!I:I,"X")&gt;0,10%,0)</f>
        <v>0</v>
      </c>
      <c r="M3743" s="34">
        <f t="shared" si="116"/>
        <v>0</v>
      </c>
      <c r="N3743" s="17">
        <f t="shared" si="117"/>
        <v>23504.548500000001</v>
      </c>
    </row>
    <row r="3744" spans="1:14" x14ac:dyDescent="0.25">
      <c r="A3744" s="17"/>
      <c r="B3744" s="17"/>
      <c r="C3744" s="15" t="s">
        <v>2844</v>
      </c>
      <c r="D3744" s="14"/>
      <c r="E3744" s="14" t="s">
        <v>2841</v>
      </c>
      <c r="F3744" s="17" t="s">
        <v>2995</v>
      </c>
      <c r="G3744" s="14">
        <v>42956</v>
      </c>
      <c r="H3744" s="14">
        <v>37607.977999999996</v>
      </c>
      <c r="I3744" s="31">
        <f>IF(COUNTIFS(Addendum!C:C,A3744,Addendum!D:D,IF(ISNUMBER(B3744),TEXT(B3744,"0000"),B3744),Addendum!E:E,"X")&gt;0,4%,0)</f>
        <v>0</v>
      </c>
      <c r="J3744" s="31">
        <f>IF(COUNTIFS(Addendum!C:C,A3744,Addendum!D:D,IF(ISNUMBER(B3744),TEXT(B3744,"0000"),B3744),Addendum!F:F,"X")&gt;0,2.5%,0)</f>
        <v>0</v>
      </c>
      <c r="K3744" s="31">
        <f>IF(COUNTIFS(Addendum!C:C,A3744,Addendum!D:D,IF(ISNUMBER(B3744),TEXT(B3744,"0000"),B3744),Addendum!G:G,"X")&gt;0,7%,0)</f>
        <v>0</v>
      </c>
      <c r="L3744" s="31">
        <f>IF(COUNTIFS(Addendum!C:C,A3744,Addendum!D:D,IF(ISNUMBER(B3744),TEXT(B3744,"0000"),B3744),Addendum!I:I,"X")&gt;0,10%,0)</f>
        <v>0</v>
      </c>
      <c r="M3744" s="34">
        <f t="shared" si="116"/>
        <v>0</v>
      </c>
      <c r="N3744" s="17">
        <f t="shared" si="117"/>
        <v>37607.977999999996</v>
      </c>
    </row>
    <row r="3745" spans="1:14" x14ac:dyDescent="0.25">
      <c r="A3745" s="17"/>
      <c r="B3745" s="17"/>
      <c r="C3745" s="15" t="s">
        <v>2845</v>
      </c>
      <c r="D3745" s="14"/>
      <c r="E3745" s="14" t="s">
        <v>2841</v>
      </c>
      <c r="F3745" s="17" t="s">
        <v>2995</v>
      </c>
      <c r="G3745" s="14">
        <v>751537</v>
      </c>
      <c r="H3745" s="14">
        <v>657970.69499999995</v>
      </c>
      <c r="I3745" s="31">
        <f>IF(COUNTIFS(Addendum!C:C,A3745,Addendum!D:D,IF(ISNUMBER(B3745),TEXT(B3745,"0000"),B3745),Addendum!E:E,"X")&gt;0,4%,0)</f>
        <v>0</v>
      </c>
      <c r="J3745" s="31">
        <f>IF(COUNTIFS(Addendum!C:C,A3745,Addendum!D:D,IF(ISNUMBER(B3745),TEXT(B3745,"0000"),B3745),Addendum!F:F,"X")&gt;0,2.5%,0)</f>
        <v>0</v>
      </c>
      <c r="K3745" s="31">
        <f>IF(COUNTIFS(Addendum!C:C,A3745,Addendum!D:D,IF(ISNUMBER(B3745),TEXT(B3745,"0000"),B3745),Addendum!G:G,"X")&gt;0,7%,0)</f>
        <v>0</v>
      </c>
      <c r="L3745" s="31">
        <f>IF(COUNTIFS(Addendum!C:C,A3745,Addendum!D:D,IF(ISNUMBER(B3745),TEXT(B3745,"0000"),B3745),Addendum!I:I,"X")&gt;0,10%,0)</f>
        <v>0</v>
      </c>
      <c r="M3745" s="34">
        <f t="shared" si="116"/>
        <v>0</v>
      </c>
      <c r="N3745" s="17">
        <f t="shared" si="117"/>
        <v>657970.69499999995</v>
      </c>
    </row>
    <row r="3746" spans="1:14" x14ac:dyDescent="0.25">
      <c r="A3746" s="17"/>
      <c r="B3746" s="17"/>
      <c r="C3746" s="15" t="s">
        <v>2845</v>
      </c>
      <c r="D3746" s="14"/>
      <c r="E3746" s="14" t="s">
        <v>2841</v>
      </c>
      <c r="F3746" s="17" t="s">
        <v>2993</v>
      </c>
      <c r="G3746" s="14">
        <v>1878844</v>
      </c>
      <c r="H3746" s="14">
        <v>1644927.51</v>
      </c>
      <c r="I3746" s="31">
        <f>IF(COUNTIFS(Addendum!C:C,A3746,Addendum!D:D,IF(ISNUMBER(B3746),TEXT(B3746,"0000"),B3746),Addendum!E:E,"X")&gt;0,4%,0)</f>
        <v>0</v>
      </c>
      <c r="J3746" s="31">
        <f>IF(COUNTIFS(Addendum!C:C,A3746,Addendum!D:D,IF(ISNUMBER(B3746),TEXT(B3746,"0000"),B3746),Addendum!F:F,"X")&gt;0,2.5%,0)</f>
        <v>0</v>
      </c>
      <c r="K3746" s="31">
        <f>IF(COUNTIFS(Addendum!C:C,A3746,Addendum!D:D,IF(ISNUMBER(B3746),TEXT(B3746,"0000"),B3746),Addendum!G:G,"X")&gt;0,7%,0)</f>
        <v>0</v>
      </c>
      <c r="L3746" s="31">
        <f>IF(COUNTIFS(Addendum!C:C,A3746,Addendum!D:D,IF(ISNUMBER(B3746),TEXT(B3746,"0000"),B3746),Addendum!I:I,"X")&gt;0,10%,0)</f>
        <v>0</v>
      </c>
      <c r="M3746" s="34">
        <f t="shared" si="116"/>
        <v>0</v>
      </c>
      <c r="N3746" s="17">
        <f t="shared" si="117"/>
        <v>1644927.51</v>
      </c>
    </row>
    <row r="3747" spans="1:14" x14ac:dyDescent="0.25">
      <c r="A3747" s="17"/>
      <c r="B3747" s="17"/>
      <c r="C3747" s="15" t="s">
        <v>2845</v>
      </c>
      <c r="D3747" s="14"/>
      <c r="E3747" s="14" t="s">
        <v>2841</v>
      </c>
      <c r="F3747" s="17" t="s">
        <v>2994</v>
      </c>
      <c r="G3747" s="14">
        <v>469711</v>
      </c>
      <c r="H3747" s="14">
        <v>411232.03200000001</v>
      </c>
      <c r="I3747" s="31">
        <f>IF(COUNTIFS(Addendum!C:C,A3747,Addendum!D:D,IF(ISNUMBER(B3747),TEXT(B3747,"0000"),B3747),Addendum!E:E,"X")&gt;0,4%,0)</f>
        <v>0</v>
      </c>
      <c r="J3747" s="31">
        <f>IF(COUNTIFS(Addendum!C:C,A3747,Addendum!D:D,IF(ISNUMBER(B3747),TEXT(B3747,"0000"),B3747),Addendum!F:F,"X")&gt;0,2.5%,0)</f>
        <v>0</v>
      </c>
      <c r="K3747" s="31">
        <f>IF(COUNTIFS(Addendum!C:C,A3747,Addendum!D:D,IF(ISNUMBER(B3747),TEXT(B3747,"0000"),B3747),Addendum!G:G,"X")&gt;0,7%,0)</f>
        <v>0</v>
      </c>
      <c r="L3747" s="31">
        <f>IF(COUNTIFS(Addendum!C:C,A3747,Addendum!D:D,IF(ISNUMBER(B3747),TEXT(B3747,"0000"),B3747),Addendum!I:I,"X")&gt;0,10%,0)</f>
        <v>0</v>
      </c>
      <c r="M3747" s="34">
        <f t="shared" si="116"/>
        <v>0</v>
      </c>
      <c r="N3747" s="17">
        <f t="shared" si="117"/>
        <v>411232.03200000001</v>
      </c>
    </row>
    <row r="3748" spans="1:14" x14ac:dyDescent="0.25">
      <c r="A3748" s="17"/>
      <c r="B3748" s="17"/>
      <c r="C3748" s="15" t="s">
        <v>2846</v>
      </c>
      <c r="D3748" s="14"/>
      <c r="E3748" s="14" t="s">
        <v>2841</v>
      </c>
      <c r="F3748" s="17" t="s">
        <v>2993</v>
      </c>
      <c r="G3748" s="14">
        <v>430756</v>
      </c>
      <c r="H3748" s="14">
        <v>377126.87799999997</v>
      </c>
      <c r="I3748" s="31">
        <f>IF(COUNTIFS(Addendum!C:C,A3748,Addendum!D:D,IF(ISNUMBER(B3748),TEXT(B3748,"0000"),B3748),Addendum!E:E,"X")&gt;0,4%,0)</f>
        <v>0</v>
      </c>
      <c r="J3748" s="31">
        <f>IF(COUNTIFS(Addendum!C:C,A3748,Addendum!D:D,IF(ISNUMBER(B3748),TEXT(B3748,"0000"),B3748),Addendum!F:F,"X")&gt;0,2.5%,0)</f>
        <v>0</v>
      </c>
      <c r="K3748" s="31">
        <f>IF(COUNTIFS(Addendum!C:C,A3748,Addendum!D:D,IF(ISNUMBER(B3748),TEXT(B3748,"0000"),B3748),Addendum!G:G,"X")&gt;0,7%,0)</f>
        <v>0</v>
      </c>
      <c r="L3748" s="31">
        <f>IF(COUNTIFS(Addendum!C:C,A3748,Addendum!D:D,IF(ISNUMBER(B3748),TEXT(B3748,"0000"),B3748),Addendum!I:I,"X")&gt;0,10%,0)</f>
        <v>0</v>
      </c>
      <c r="M3748" s="34">
        <f t="shared" si="116"/>
        <v>0</v>
      </c>
      <c r="N3748" s="17">
        <f t="shared" si="117"/>
        <v>377126.87799999997</v>
      </c>
    </row>
    <row r="3749" spans="1:14" x14ac:dyDescent="0.25">
      <c r="A3749" s="17"/>
      <c r="B3749" s="17"/>
      <c r="C3749" s="15" t="s">
        <v>2846</v>
      </c>
      <c r="D3749" s="14"/>
      <c r="E3749" s="14" t="s">
        <v>2841</v>
      </c>
      <c r="F3749" s="17" t="s">
        <v>2994</v>
      </c>
      <c r="G3749" s="14">
        <v>107689</v>
      </c>
      <c r="H3749" s="14">
        <v>94281.719499999992</v>
      </c>
      <c r="I3749" s="31">
        <f>IF(COUNTIFS(Addendum!C:C,A3749,Addendum!D:D,IF(ISNUMBER(B3749),TEXT(B3749,"0000"),B3749),Addendum!E:E,"X")&gt;0,4%,0)</f>
        <v>0</v>
      </c>
      <c r="J3749" s="31">
        <f>IF(COUNTIFS(Addendum!C:C,A3749,Addendum!D:D,IF(ISNUMBER(B3749),TEXT(B3749,"0000"),B3749),Addendum!F:F,"X")&gt;0,2.5%,0)</f>
        <v>0</v>
      </c>
      <c r="K3749" s="31">
        <f>IF(COUNTIFS(Addendum!C:C,A3749,Addendum!D:D,IF(ISNUMBER(B3749),TEXT(B3749,"0000"),B3749),Addendum!G:G,"X")&gt;0,7%,0)</f>
        <v>0</v>
      </c>
      <c r="L3749" s="31">
        <f>IF(COUNTIFS(Addendum!C:C,A3749,Addendum!D:D,IF(ISNUMBER(B3749),TEXT(B3749,"0000"),B3749),Addendum!I:I,"X")&gt;0,10%,0)</f>
        <v>0</v>
      </c>
      <c r="M3749" s="34">
        <f t="shared" si="116"/>
        <v>0</v>
      </c>
      <c r="N3749" s="17">
        <f t="shared" si="117"/>
        <v>94281.719499999992</v>
      </c>
    </row>
    <row r="3750" spans="1:14" x14ac:dyDescent="0.25">
      <c r="A3750" s="17"/>
      <c r="B3750" s="17"/>
      <c r="C3750" s="15" t="s">
        <v>2846</v>
      </c>
      <c r="D3750" s="14"/>
      <c r="E3750" s="14" t="s">
        <v>2841</v>
      </c>
      <c r="F3750" s="17" t="s">
        <v>2995</v>
      </c>
      <c r="G3750" s="14">
        <v>172302</v>
      </c>
      <c r="H3750" s="14">
        <v>150850.40100000001</v>
      </c>
      <c r="I3750" s="31">
        <f>IF(COUNTIFS(Addendum!C:C,A3750,Addendum!D:D,IF(ISNUMBER(B3750),TEXT(B3750,"0000"),B3750),Addendum!E:E,"X")&gt;0,4%,0)</f>
        <v>0</v>
      </c>
      <c r="J3750" s="31">
        <f>IF(COUNTIFS(Addendum!C:C,A3750,Addendum!D:D,IF(ISNUMBER(B3750),TEXT(B3750,"0000"),B3750),Addendum!F:F,"X")&gt;0,2.5%,0)</f>
        <v>0</v>
      </c>
      <c r="K3750" s="31">
        <f>IF(COUNTIFS(Addendum!C:C,A3750,Addendum!D:D,IF(ISNUMBER(B3750),TEXT(B3750,"0000"),B3750),Addendum!G:G,"X")&gt;0,7%,0)</f>
        <v>0</v>
      </c>
      <c r="L3750" s="31">
        <f>IF(COUNTIFS(Addendum!C:C,A3750,Addendum!D:D,IF(ISNUMBER(B3750),TEXT(B3750,"0000"),B3750),Addendum!I:I,"X")&gt;0,10%,0)</f>
        <v>0</v>
      </c>
      <c r="M3750" s="34">
        <f t="shared" si="116"/>
        <v>0</v>
      </c>
      <c r="N3750" s="17">
        <f t="shared" si="117"/>
        <v>150850.40100000001</v>
      </c>
    </row>
    <row r="3751" spans="1:14" x14ac:dyDescent="0.25">
      <c r="A3751" s="17"/>
      <c r="B3751" s="17"/>
      <c r="C3751" s="15" t="s">
        <v>2847</v>
      </c>
      <c r="D3751" s="14"/>
      <c r="E3751" s="14" t="s">
        <v>2841</v>
      </c>
      <c r="F3751" s="17" t="s">
        <v>2995</v>
      </c>
      <c r="G3751" s="14">
        <v>3610</v>
      </c>
      <c r="H3751" s="14">
        <v>3532.3850000000002</v>
      </c>
      <c r="I3751" s="31">
        <f>IF(COUNTIFS(Addendum!C:C,A3751,Addendum!D:D,IF(ISNUMBER(B3751),TEXT(B3751,"0000"),B3751),Addendum!E:E,"X")&gt;0,4%,0)</f>
        <v>0</v>
      </c>
      <c r="J3751" s="31">
        <f>IF(COUNTIFS(Addendum!C:C,A3751,Addendum!D:D,IF(ISNUMBER(B3751),TEXT(B3751,"0000"),B3751),Addendum!F:F,"X")&gt;0,2.5%,0)</f>
        <v>0</v>
      </c>
      <c r="K3751" s="31">
        <f>IF(COUNTIFS(Addendum!C:C,A3751,Addendum!D:D,IF(ISNUMBER(B3751),TEXT(B3751,"0000"),B3751),Addendum!G:G,"X")&gt;0,7%,0)</f>
        <v>0</v>
      </c>
      <c r="L3751" s="31">
        <f>IF(COUNTIFS(Addendum!C:C,A3751,Addendum!D:D,IF(ISNUMBER(B3751),TEXT(B3751,"0000"),B3751),Addendum!I:I,"X")&gt;0,10%,0)</f>
        <v>0</v>
      </c>
      <c r="M3751" s="34">
        <f t="shared" si="116"/>
        <v>0</v>
      </c>
      <c r="N3751" s="17">
        <f t="shared" si="117"/>
        <v>3532.3850000000002</v>
      </c>
    </row>
    <row r="3752" spans="1:14" x14ac:dyDescent="0.25">
      <c r="A3752" s="17"/>
      <c r="B3752" s="17"/>
      <c r="C3752" s="15" t="s">
        <v>2847</v>
      </c>
      <c r="D3752" s="14"/>
      <c r="E3752" s="14" t="s">
        <v>2841</v>
      </c>
      <c r="F3752" s="17" t="s">
        <v>2993</v>
      </c>
      <c r="G3752" s="14">
        <v>14443</v>
      </c>
      <c r="H3752" s="14">
        <v>14132.4755</v>
      </c>
      <c r="I3752" s="31">
        <f>IF(COUNTIFS(Addendum!C:C,A3752,Addendum!D:D,IF(ISNUMBER(B3752),TEXT(B3752,"0000"),B3752),Addendum!E:E,"X")&gt;0,4%,0)</f>
        <v>0</v>
      </c>
      <c r="J3752" s="31">
        <f>IF(COUNTIFS(Addendum!C:C,A3752,Addendum!D:D,IF(ISNUMBER(B3752),TEXT(B3752,"0000"),B3752),Addendum!F:F,"X")&gt;0,2.5%,0)</f>
        <v>0</v>
      </c>
      <c r="K3752" s="31">
        <f>IF(COUNTIFS(Addendum!C:C,A3752,Addendum!D:D,IF(ISNUMBER(B3752),TEXT(B3752,"0000"),B3752),Addendum!G:G,"X")&gt;0,7%,0)</f>
        <v>0</v>
      </c>
      <c r="L3752" s="31">
        <f>IF(COUNTIFS(Addendum!C:C,A3752,Addendum!D:D,IF(ISNUMBER(B3752),TEXT(B3752,"0000"),B3752),Addendum!I:I,"X")&gt;0,10%,0)</f>
        <v>0</v>
      </c>
      <c r="M3752" s="34">
        <f t="shared" si="116"/>
        <v>0</v>
      </c>
      <c r="N3752" s="17">
        <f t="shared" si="117"/>
        <v>14132.4755</v>
      </c>
    </row>
    <row r="3753" spans="1:14" x14ac:dyDescent="0.25">
      <c r="A3753" s="17"/>
      <c r="B3753" s="17"/>
      <c r="C3753" s="15" t="s">
        <v>2847</v>
      </c>
      <c r="D3753" s="14"/>
      <c r="E3753" s="14" t="s">
        <v>2841</v>
      </c>
      <c r="F3753" s="17" t="s">
        <v>2994</v>
      </c>
      <c r="G3753" s="14">
        <v>1954</v>
      </c>
      <c r="H3753" s="14">
        <v>1911.989</v>
      </c>
      <c r="I3753" s="31">
        <f>IF(COUNTIFS(Addendum!C:C,A3753,Addendum!D:D,IF(ISNUMBER(B3753),TEXT(B3753,"0000"),B3753),Addendum!E:E,"X")&gt;0,4%,0)</f>
        <v>0</v>
      </c>
      <c r="J3753" s="31">
        <f>IF(COUNTIFS(Addendum!C:C,A3753,Addendum!D:D,IF(ISNUMBER(B3753),TEXT(B3753,"0000"),B3753),Addendum!F:F,"X")&gt;0,2.5%,0)</f>
        <v>0</v>
      </c>
      <c r="K3753" s="31">
        <f>IF(COUNTIFS(Addendum!C:C,A3753,Addendum!D:D,IF(ISNUMBER(B3753),TEXT(B3753,"0000"),B3753),Addendum!G:G,"X")&gt;0,7%,0)</f>
        <v>0</v>
      </c>
      <c r="L3753" s="31">
        <f>IF(COUNTIFS(Addendum!C:C,A3753,Addendum!D:D,IF(ISNUMBER(B3753),TEXT(B3753,"0000"),B3753),Addendum!I:I,"X")&gt;0,10%,0)</f>
        <v>0</v>
      </c>
      <c r="M3753" s="34">
        <f t="shared" si="116"/>
        <v>0</v>
      </c>
      <c r="N3753" s="17">
        <f t="shared" si="117"/>
        <v>1911.989</v>
      </c>
    </row>
    <row r="3754" spans="1:14" x14ac:dyDescent="0.25">
      <c r="A3754" s="17"/>
      <c r="B3754" s="17"/>
      <c r="C3754" s="15" t="s">
        <v>2848</v>
      </c>
      <c r="D3754" s="14"/>
      <c r="E3754" s="14" t="s">
        <v>2841</v>
      </c>
      <c r="F3754" s="17" t="s">
        <v>2993</v>
      </c>
      <c r="G3754" s="14">
        <v>14443</v>
      </c>
      <c r="H3754" s="14">
        <v>14132.4755</v>
      </c>
      <c r="I3754" s="31">
        <f>IF(COUNTIFS(Addendum!C:C,A3754,Addendum!D:D,IF(ISNUMBER(B3754),TEXT(B3754,"0000"),B3754),Addendum!E:E,"X")&gt;0,4%,0)</f>
        <v>0</v>
      </c>
      <c r="J3754" s="31">
        <f>IF(COUNTIFS(Addendum!C:C,A3754,Addendum!D:D,IF(ISNUMBER(B3754),TEXT(B3754,"0000"),B3754),Addendum!F:F,"X")&gt;0,2.5%,0)</f>
        <v>0</v>
      </c>
      <c r="K3754" s="31">
        <f>IF(COUNTIFS(Addendum!C:C,A3754,Addendum!D:D,IF(ISNUMBER(B3754),TEXT(B3754,"0000"),B3754),Addendum!G:G,"X")&gt;0,7%,0)</f>
        <v>0</v>
      </c>
      <c r="L3754" s="31">
        <f>IF(COUNTIFS(Addendum!C:C,A3754,Addendum!D:D,IF(ISNUMBER(B3754),TEXT(B3754,"0000"),B3754),Addendum!I:I,"X")&gt;0,10%,0)</f>
        <v>0</v>
      </c>
      <c r="M3754" s="34">
        <f t="shared" si="116"/>
        <v>0</v>
      </c>
      <c r="N3754" s="17">
        <f t="shared" si="117"/>
        <v>14132.4755</v>
      </c>
    </row>
    <row r="3755" spans="1:14" x14ac:dyDescent="0.25">
      <c r="A3755" s="17"/>
      <c r="B3755" s="17"/>
      <c r="C3755" s="15" t="s">
        <v>2848</v>
      </c>
      <c r="D3755" s="14"/>
      <c r="E3755" s="14" t="s">
        <v>2841</v>
      </c>
      <c r="F3755" s="17" t="s">
        <v>2995</v>
      </c>
      <c r="G3755" s="14">
        <v>3610</v>
      </c>
      <c r="H3755" s="14">
        <v>3532.3850000000002</v>
      </c>
      <c r="I3755" s="31">
        <f>IF(COUNTIFS(Addendum!C:C,A3755,Addendum!D:D,IF(ISNUMBER(B3755),TEXT(B3755,"0000"),B3755),Addendum!E:E,"X")&gt;0,4%,0)</f>
        <v>0</v>
      </c>
      <c r="J3755" s="31">
        <f>IF(COUNTIFS(Addendum!C:C,A3755,Addendum!D:D,IF(ISNUMBER(B3755),TEXT(B3755,"0000"),B3755),Addendum!F:F,"X")&gt;0,2.5%,0)</f>
        <v>0</v>
      </c>
      <c r="K3755" s="31">
        <f>IF(COUNTIFS(Addendum!C:C,A3755,Addendum!D:D,IF(ISNUMBER(B3755),TEXT(B3755,"0000"),B3755),Addendum!G:G,"X")&gt;0,7%,0)</f>
        <v>0</v>
      </c>
      <c r="L3755" s="31">
        <f>IF(COUNTIFS(Addendum!C:C,A3755,Addendum!D:D,IF(ISNUMBER(B3755),TEXT(B3755,"0000"),B3755),Addendum!I:I,"X")&gt;0,10%,0)</f>
        <v>0</v>
      </c>
      <c r="M3755" s="34">
        <f t="shared" si="116"/>
        <v>0</v>
      </c>
      <c r="N3755" s="17">
        <f t="shared" si="117"/>
        <v>3532.3850000000002</v>
      </c>
    </row>
    <row r="3756" spans="1:14" x14ac:dyDescent="0.25">
      <c r="A3756" s="17"/>
      <c r="B3756" s="17"/>
      <c r="C3756" s="15" t="s">
        <v>2848</v>
      </c>
      <c r="D3756" s="14"/>
      <c r="E3756" s="14" t="s">
        <v>2841</v>
      </c>
      <c r="F3756" s="17" t="s">
        <v>2994</v>
      </c>
      <c r="G3756" s="14">
        <v>1954</v>
      </c>
      <c r="H3756" s="14">
        <v>1911.989</v>
      </c>
      <c r="I3756" s="31">
        <f>IF(COUNTIFS(Addendum!C:C,A3756,Addendum!D:D,IF(ISNUMBER(B3756),TEXT(B3756,"0000"),B3756),Addendum!E:E,"X")&gt;0,4%,0)</f>
        <v>0</v>
      </c>
      <c r="J3756" s="31">
        <f>IF(COUNTIFS(Addendum!C:C,A3756,Addendum!D:D,IF(ISNUMBER(B3756),TEXT(B3756,"0000"),B3756),Addendum!F:F,"X")&gt;0,2.5%,0)</f>
        <v>0</v>
      </c>
      <c r="K3756" s="31">
        <f>IF(COUNTIFS(Addendum!C:C,A3756,Addendum!D:D,IF(ISNUMBER(B3756),TEXT(B3756,"0000"),B3756),Addendum!G:G,"X")&gt;0,7%,0)</f>
        <v>0</v>
      </c>
      <c r="L3756" s="31">
        <f>IF(COUNTIFS(Addendum!C:C,A3756,Addendum!D:D,IF(ISNUMBER(B3756),TEXT(B3756,"0000"),B3756),Addendum!I:I,"X")&gt;0,10%,0)</f>
        <v>0</v>
      </c>
      <c r="M3756" s="34">
        <f t="shared" si="116"/>
        <v>0</v>
      </c>
      <c r="N3756" s="17">
        <f t="shared" si="117"/>
        <v>1911.989</v>
      </c>
    </row>
    <row r="3757" spans="1:14" x14ac:dyDescent="0.25">
      <c r="A3757" s="17"/>
      <c r="B3757" s="17"/>
      <c r="C3757" s="15" t="s">
        <v>2849</v>
      </c>
      <c r="D3757" s="14"/>
      <c r="E3757" s="14" t="s">
        <v>2841</v>
      </c>
      <c r="F3757" s="17" t="s">
        <v>2995</v>
      </c>
      <c r="G3757" s="14">
        <v>1631</v>
      </c>
      <c r="H3757" s="14">
        <v>1427.9404999999999</v>
      </c>
      <c r="I3757" s="31">
        <f>IF(COUNTIFS(Addendum!C:C,A3757,Addendum!D:D,IF(ISNUMBER(B3757),TEXT(B3757,"0000"),B3757),Addendum!E:E,"X")&gt;0,4%,0)</f>
        <v>0</v>
      </c>
      <c r="J3757" s="31">
        <f>IF(COUNTIFS(Addendum!C:C,A3757,Addendum!D:D,IF(ISNUMBER(B3757),TEXT(B3757,"0000"),B3757),Addendum!F:F,"X")&gt;0,2.5%,0)</f>
        <v>0</v>
      </c>
      <c r="K3757" s="31">
        <f>IF(COUNTIFS(Addendum!C:C,A3757,Addendum!D:D,IF(ISNUMBER(B3757),TEXT(B3757,"0000"),B3757),Addendum!G:G,"X")&gt;0,7%,0)</f>
        <v>0</v>
      </c>
      <c r="L3757" s="31">
        <f>IF(COUNTIFS(Addendum!C:C,A3757,Addendum!D:D,IF(ISNUMBER(B3757),TEXT(B3757,"0000"),B3757),Addendum!I:I,"X")&gt;0,10%,0)</f>
        <v>0</v>
      </c>
      <c r="M3757" s="34">
        <f t="shared" si="116"/>
        <v>0</v>
      </c>
      <c r="N3757" s="17">
        <f t="shared" si="117"/>
        <v>1427.9404999999999</v>
      </c>
    </row>
    <row r="3758" spans="1:14" x14ac:dyDescent="0.25">
      <c r="A3758" s="17"/>
      <c r="B3758" s="17"/>
      <c r="C3758" s="15" t="s">
        <v>2850</v>
      </c>
      <c r="D3758" s="14"/>
      <c r="E3758" s="14" t="s">
        <v>2841</v>
      </c>
      <c r="F3758" s="17" t="s">
        <v>2993</v>
      </c>
      <c r="G3758" s="14">
        <v>3993</v>
      </c>
      <c r="H3758" s="14">
        <v>3495.8715000000002</v>
      </c>
      <c r="I3758" s="31">
        <f>IF(COUNTIFS(Addendum!C:C,A3758,Addendum!D:D,IF(ISNUMBER(B3758),TEXT(B3758,"0000"),B3758),Addendum!E:E,"X")&gt;0,4%,0)</f>
        <v>0</v>
      </c>
      <c r="J3758" s="31">
        <f>IF(COUNTIFS(Addendum!C:C,A3758,Addendum!D:D,IF(ISNUMBER(B3758),TEXT(B3758,"0000"),B3758),Addendum!F:F,"X")&gt;0,2.5%,0)</f>
        <v>0</v>
      </c>
      <c r="K3758" s="31">
        <f>IF(COUNTIFS(Addendum!C:C,A3758,Addendum!D:D,IF(ISNUMBER(B3758),TEXT(B3758,"0000"),B3758),Addendum!G:G,"X")&gt;0,7%,0)</f>
        <v>0</v>
      </c>
      <c r="L3758" s="31">
        <f>IF(COUNTIFS(Addendum!C:C,A3758,Addendum!D:D,IF(ISNUMBER(B3758),TEXT(B3758,"0000"),B3758),Addendum!I:I,"X")&gt;0,10%,0)</f>
        <v>0</v>
      </c>
      <c r="M3758" s="34">
        <f t="shared" si="116"/>
        <v>0</v>
      </c>
      <c r="N3758" s="17">
        <f t="shared" si="117"/>
        <v>3495.8715000000002</v>
      </c>
    </row>
    <row r="3759" spans="1:14" x14ac:dyDescent="0.25">
      <c r="A3759" s="17"/>
      <c r="B3759" s="17"/>
      <c r="C3759" s="15" t="s">
        <v>2850</v>
      </c>
      <c r="D3759" s="14"/>
      <c r="E3759" s="14" t="s">
        <v>2841</v>
      </c>
      <c r="F3759" s="17" t="s">
        <v>2994</v>
      </c>
      <c r="G3759" s="14">
        <v>998</v>
      </c>
      <c r="H3759" s="14">
        <v>873.74899999999991</v>
      </c>
      <c r="I3759" s="31">
        <f>IF(COUNTIFS(Addendum!C:C,A3759,Addendum!D:D,IF(ISNUMBER(B3759),TEXT(B3759,"0000"),B3759),Addendum!E:E,"X")&gt;0,4%,0)</f>
        <v>0</v>
      </c>
      <c r="J3759" s="31">
        <f>IF(COUNTIFS(Addendum!C:C,A3759,Addendum!D:D,IF(ISNUMBER(B3759),TEXT(B3759,"0000"),B3759),Addendum!F:F,"X")&gt;0,2.5%,0)</f>
        <v>0</v>
      </c>
      <c r="K3759" s="31">
        <f>IF(COUNTIFS(Addendum!C:C,A3759,Addendum!D:D,IF(ISNUMBER(B3759),TEXT(B3759,"0000"),B3759),Addendum!G:G,"X")&gt;0,7%,0)</f>
        <v>0</v>
      </c>
      <c r="L3759" s="31">
        <f>IF(COUNTIFS(Addendum!C:C,A3759,Addendum!D:D,IF(ISNUMBER(B3759),TEXT(B3759,"0000"),B3759),Addendum!I:I,"X")&gt;0,10%,0)</f>
        <v>0</v>
      </c>
      <c r="M3759" s="34">
        <f t="shared" si="116"/>
        <v>0</v>
      </c>
      <c r="N3759" s="17">
        <f t="shared" si="117"/>
        <v>873.74899999999991</v>
      </c>
    </row>
    <row r="3760" spans="1:14" x14ac:dyDescent="0.25">
      <c r="A3760" s="17"/>
      <c r="B3760" s="17"/>
      <c r="C3760" s="15" t="s">
        <v>2850</v>
      </c>
      <c r="D3760" s="14"/>
      <c r="E3760" s="14" t="s">
        <v>2841</v>
      </c>
      <c r="F3760" s="17" t="s">
        <v>2995</v>
      </c>
      <c r="G3760" s="14">
        <v>1597</v>
      </c>
      <c r="H3760" s="14">
        <v>1398.1735000000001</v>
      </c>
      <c r="I3760" s="31">
        <f>IF(COUNTIFS(Addendum!C:C,A3760,Addendum!D:D,IF(ISNUMBER(B3760),TEXT(B3760,"0000"),B3760),Addendum!E:E,"X")&gt;0,4%,0)</f>
        <v>0</v>
      </c>
      <c r="J3760" s="31">
        <f>IF(COUNTIFS(Addendum!C:C,A3760,Addendum!D:D,IF(ISNUMBER(B3760),TEXT(B3760,"0000"),B3760),Addendum!F:F,"X")&gt;0,2.5%,0)</f>
        <v>0</v>
      </c>
      <c r="K3760" s="31">
        <f>IF(COUNTIFS(Addendum!C:C,A3760,Addendum!D:D,IF(ISNUMBER(B3760),TEXT(B3760,"0000"),B3760),Addendum!G:G,"X")&gt;0,7%,0)</f>
        <v>0</v>
      </c>
      <c r="L3760" s="31">
        <f>IF(COUNTIFS(Addendum!C:C,A3760,Addendum!D:D,IF(ISNUMBER(B3760),TEXT(B3760,"0000"),B3760),Addendum!I:I,"X")&gt;0,10%,0)</f>
        <v>0</v>
      </c>
      <c r="M3760" s="34">
        <f t="shared" si="116"/>
        <v>0</v>
      </c>
      <c r="N3760" s="17">
        <f t="shared" si="117"/>
        <v>1398.1735000000001</v>
      </c>
    </row>
    <row r="3761" spans="1:14" x14ac:dyDescent="0.25">
      <c r="A3761" s="17"/>
      <c r="B3761" s="17"/>
      <c r="C3761" s="15" t="s">
        <v>2849</v>
      </c>
      <c r="D3761" s="14"/>
      <c r="E3761" s="14" t="s">
        <v>2841</v>
      </c>
      <c r="F3761" s="17" t="s">
        <v>2994</v>
      </c>
      <c r="G3761" s="14">
        <v>1019</v>
      </c>
      <c r="H3761" s="14">
        <v>892.1345</v>
      </c>
      <c r="I3761" s="31">
        <f>IF(COUNTIFS(Addendum!C:C,A3761,Addendum!D:D,IF(ISNUMBER(B3761),TEXT(B3761,"0000"),B3761),Addendum!E:E,"X")&gt;0,4%,0)</f>
        <v>0</v>
      </c>
      <c r="J3761" s="31">
        <f>IF(COUNTIFS(Addendum!C:C,A3761,Addendum!D:D,IF(ISNUMBER(B3761),TEXT(B3761,"0000"),B3761),Addendum!F:F,"X")&gt;0,2.5%,0)</f>
        <v>0</v>
      </c>
      <c r="K3761" s="31">
        <f>IF(COUNTIFS(Addendum!C:C,A3761,Addendum!D:D,IF(ISNUMBER(B3761),TEXT(B3761,"0000"),B3761),Addendum!G:G,"X")&gt;0,7%,0)</f>
        <v>0</v>
      </c>
      <c r="L3761" s="31">
        <f>IF(COUNTIFS(Addendum!C:C,A3761,Addendum!D:D,IF(ISNUMBER(B3761),TEXT(B3761,"0000"),B3761),Addendum!I:I,"X")&gt;0,10%,0)</f>
        <v>0</v>
      </c>
      <c r="M3761" s="34">
        <f t="shared" si="116"/>
        <v>0</v>
      </c>
      <c r="N3761" s="17">
        <f t="shared" si="117"/>
        <v>892.1345</v>
      </c>
    </row>
    <row r="3762" spans="1:14" x14ac:dyDescent="0.25">
      <c r="A3762" s="17"/>
      <c r="B3762" s="17"/>
      <c r="C3762" s="15" t="s">
        <v>2849</v>
      </c>
      <c r="D3762" s="14"/>
      <c r="E3762" s="14" t="s">
        <v>2841</v>
      </c>
      <c r="F3762" s="17" t="s">
        <v>2993</v>
      </c>
      <c r="G3762" s="14">
        <v>5097</v>
      </c>
      <c r="H3762" s="14">
        <v>4462.4234999999999</v>
      </c>
      <c r="I3762" s="31">
        <f>IF(COUNTIFS(Addendum!C:C,A3762,Addendum!D:D,IF(ISNUMBER(B3762),TEXT(B3762,"0000"),B3762),Addendum!E:E,"X")&gt;0,4%,0)</f>
        <v>0</v>
      </c>
      <c r="J3762" s="31">
        <f>IF(COUNTIFS(Addendum!C:C,A3762,Addendum!D:D,IF(ISNUMBER(B3762),TEXT(B3762,"0000"),B3762),Addendum!F:F,"X")&gt;0,2.5%,0)</f>
        <v>0</v>
      </c>
      <c r="K3762" s="31">
        <f>IF(COUNTIFS(Addendum!C:C,A3762,Addendum!D:D,IF(ISNUMBER(B3762),TEXT(B3762,"0000"),B3762),Addendum!G:G,"X")&gt;0,7%,0)</f>
        <v>0</v>
      </c>
      <c r="L3762" s="31">
        <f>IF(COUNTIFS(Addendum!C:C,A3762,Addendum!D:D,IF(ISNUMBER(B3762),TEXT(B3762,"0000"),B3762),Addendum!I:I,"X")&gt;0,10%,0)</f>
        <v>0</v>
      </c>
      <c r="M3762" s="34">
        <f t="shared" si="116"/>
        <v>0</v>
      </c>
      <c r="N3762" s="17">
        <f t="shared" si="117"/>
        <v>4462.4234999999999</v>
      </c>
    </row>
    <row r="3763" spans="1:14" x14ac:dyDescent="0.25">
      <c r="A3763" s="17"/>
      <c r="B3763" s="17"/>
      <c r="C3763" s="15" t="s">
        <v>2851</v>
      </c>
      <c r="D3763" s="14"/>
      <c r="E3763" s="14" t="s">
        <v>2841</v>
      </c>
      <c r="F3763" s="17" t="s">
        <v>2993</v>
      </c>
      <c r="G3763" s="14">
        <v>6372</v>
      </c>
      <c r="H3763" s="14">
        <v>5578.6859999999997</v>
      </c>
      <c r="I3763" s="31">
        <f>IF(COUNTIFS(Addendum!C:C,A3763,Addendum!D:D,IF(ISNUMBER(B3763),TEXT(B3763,"0000"),B3763),Addendum!E:E,"X")&gt;0,4%,0)</f>
        <v>0</v>
      </c>
      <c r="J3763" s="31">
        <f>IF(COUNTIFS(Addendum!C:C,A3763,Addendum!D:D,IF(ISNUMBER(B3763),TEXT(B3763,"0000"),B3763),Addendum!F:F,"X")&gt;0,2.5%,0)</f>
        <v>0</v>
      </c>
      <c r="K3763" s="31">
        <f>IF(COUNTIFS(Addendum!C:C,A3763,Addendum!D:D,IF(ISNUMBER(B3763),TEXT(B3763,"0000"),B3763),Addendum!G:G,"X")&gt;0,7%,0)</f>
        <v>0</v>
      </c>
      <c r="L3763" s="31">
        <f>IF(COUNTIFS(Addendum!C:C,A3763,Addendum!D:D,IF(ISNUMBER(B3763),TEXT(B3763,"0000"),B3763),Addendum!I:I,"X")&gt;0,10%,0)</f>
        <v>0</v>
      </c>
      <c r="M3763" s="34">
        <f t="shared" si="116"/>
        <v>0</v>
      </c>
      <c r="N3763" s="17">
        <f t="shared" si="117"/>
        <v>5578.6859999999997</v>
      </c>
    </row>
    <row r="3764" spans="1:14" x14ac:dyDescent="0.25">
      <c r="A3764" s="17"/>
      <c r="B3764" s="17"/>
      <c r="C3764" s="15" t="s">
        <v>2852</v>
      </c>
      <c r="D3764" s="14"/>
      <c r="E3764" s="14" t="s">
        <v>2841</v>
      </c>
      <c r="F3764" s="17" t="s">
        <v>2994</v>
      </c>
      <c r="G3764" s="14">
        <v>412</v>
      </c>
      <c r="H3764" s="14">
        <v>360.70599999999996</v>
      </c>
      <c r="I3764" s="31">
        <f>IF(COUNTIFS(Addendum!C:C,A3764,Addendum!D:D,IF(ISNUMBER(B3764),TEXT(B3764,"0000"),B3764),Addendum!E:E,"X")&gt;0,4%,0)</f>
        <v>0</v>
      </c>
      <c r="J3764" s="31">
        <f>IF(COUNTIFS(Addendum!C:C,A3764,Addendum!D:D,IF(ISNUMBER(B3764),TEXT(B3764,"0000"),B3764),Addendum!F:F,"X")&gt;0,2.5%,0)</f>
        <v>0</v>
      </c>
      <c r="K3764" s="31">
        <f>IF(COUNTIFS(Addendum!C:C,A3764,Addendum!D:D,IF(ISNUMBER(B3764),TEXT(B3764,"0000"),B3764),Addendum!G:G,"X")&gt;0,7%,0)</f>
        <v>0</v>
      </c>
      <c r="L3764" s="31">
        <f>IF(COUNTIFS(Addendum!C:C,A3764,Addendum!D:D,IF(ISNUMBER(B3764),TEXT(B3764,"0000"),B3764),Addendum!I:I,"X")&gt;0,10%,0)</f>
        <v>0</v>
      </c>
      <c r="M3764" s="34">
        <f t="shared" si="116"/>
        <v>0</v>
      </c>
      <c r="N3764" s="17">
        <f t="shared" si="117"/>
        <v>360.70599999999996</v>
      </c>
    </row>
    <row r="3765" spans="1:14" x14ac:dyDescent="0.25">
      <c r="A3765" s="17"/>
      <c r="B3765" s="17"/>
      <c r="C3765" s="15" t="s">
        <v>2852</v>
      </c>
      <c r="D3765" s="14"/>
      <c r="E3765" s="14" t="s">
        <v>2841</v>
      </c>
      <c r="F3765" s="17" t="s">
        <v>2993</v>
      </c>
      <c r="G3765" s="14">
        <v>8241</v>
      </c>
      <c r="H3765" s="14">
        <v>7214.9955</v>
      </c>
      <c r="I3765" s="31">
        <f>IF(COUNTIFS(Addendum!C:C,A3765,Addendum!D:D,IF(ISNUMBER(B3765),TEXT(B3765,"0000"),B3765),Addendum!E:E,"X")&gt;0,4%,0)</f>
        <v>0</v>
      </c>
      <c r="J3765" s="31">
        <f>IF(COUNTIFS(Addendum!C:C,A3765,Addendum!D:D,IF(ISNUMBER(B3765),TEXT(B3765,"0000"),B3765),Addendum!F:F,"X")&gt;0,2.5%,0)</f>
        <v>0</v>
      </c>
      <c r="K3765" s="31">
        <f>IF(COUNTIFS(Addendum!C:C,A3765,Addendum!D:D,IF(ISNUMBER(B3765),TEXT(B3765,"0000"),B3765),Addendum!G:G,"X")&gt;0,7%,0)</f>
        <v>0</v>
      </c>
      <c r="L3765" s="31">
        <f>IF(COUNTIFS(Addendum!C:C,A3765,Addendum!D:D,IF(ISNUMBER(B3765),TEXT(B3765,"0000"),B3765),Addendum!I:I,"X")&gt;0,10%,0)</f>
        <v>0</v>
      </c>
      <c r="M3765" s="34">
        <f t="shared" si="116"/>
        <v>0</v>
      </c>
      <c r="N3765" s="17">
        <f t="shared" si="117"/>
        <v>7214.9955</v>
      </c>
    </row>
    <row r="3766" spans="1:14" x14ac:dyDescent="0.25">
      <c r="A3766" s="17"/>
      <c r="B3766" s="17"/>
      <c r="C3766" s="15" t="s">
        <v>2851</v>
      </c>
      <c r="D3766" s="14"/>
      <c r="E3766" s="14" t="s">
        <v>2841</v>
      </c>
      <c r="F3766" s="17" t="s">
        <v>2994</v>
      </c>
      <c r="G3766" s="14">
        <v>318</v>
      </c>
      <c r="H3766" s="14">
        <v>278.40899999999999</v>
      </c>
      <c r="I3766" s="31">
        <f>IF(COUNTIFS(Addendum!C:C,A3766,Addendum!D:D,IF(ISNUMBER(B3766),TEXT(B3766,"0000"),B3766),Addendum!E:E,"X")&gt;0,4%,0)</f>
        <v>0</v>
      </c>
      <c r="J3766" s="31">
        <f>IF(COUNTIFS(Addendum!C:C,A3766,Addendum!D:D,IF(ISNUMBER(B3766),TEXT(B3766,"0000"),B3766),Addendum!F:F,"X")&gt;0,2.5%,0)</f>
        <v>0</v>
      </c>
      <c r="K3766" s="31">
        <f>IF(COUNTIFS(Addendum!C:C,A3766,Addendum!D:D,IF(ISNUMBER(B3766),TEXT(B3766,"0000"),B3766),Addendum!G:G,"X")&gt;0,7%,0)</f>
        <v>0</v>
      </c>
      <c r="L3766" s="31">
        <f>IF(COUNTIFS(Addendum!C:C,A3766,Addendum!D:D,IF(ISNUMBER(B3766),TEXT(B3766,"0000"),B3766),Addendum!I:I,"X")&gt;0,10%,0)</f>
        <v>0</v>
      </c>
      <c r="M3766" s="34">
        <f t="shared" si="116"/>
        <v>0</v>
      </c>
      <c r="N3766" s="17">
        <f t="shared" si="117"/>
        <v>278.40899999999999</v>
      </c>
    </row>
    <row r="3767" spans="1:14" x14ac:dyDescent="0.25">
      <c r="A3767" s="17"/>
      <c r="B3767" s="17"/>
      <c r="C3767" s="15" t="s">
        <v>2852</v>
      </c>
      <c r="D3767" s="14"/>
      <c r="E3767" s="14" t="s">
        <v>2841</v>
      </c>
      <c r="F3767" s="17" t="s">
        <v>2995</v>
      </c>
      <c r="G3767" s="14">
        <v>1648</v>
      </c>
      <c r="H3767" s="14">
        <v>1442.8239999999998</v>
      </c>
      <c r="I3767" s="31">
        <f>IF(COUNTIFS(Addendum!C:C,A3767,Addendum!D:D,IF(ISNUMBER(B3767),TEXT(B3767,"0000"),B3767),Addendum!E:E,"X")&gt;0,4%,0)</f>
        <v>0</v>
      </c>
      <c r="J3767" s="31">
        <f>IF(COUNTIFS(Addendum!C:C,A3767,Addendum!D:D,IF(ISNUMBER(B3767),TEXT(B3767,"0000"),B3767),Addendum!F:F,"X")&gt;0,2.5%,0)</f>
        <v>0</v>
      </c>
      <c r="K3767" s="31">
        <f>IF(COUNTIFS(Addendum!C:C,A3767,Addendum!D:D,IF(ISNUMBER(B3767),TEXT(B3767,"0000"),B3767),Addendum!G:G,"X")&gt;0,7%,0)</f>
        <v>0</v>
      </c>
      <c r="L3767" s="31">
        <f>IF(COUNTIFS(Addendum!C:C,A3767,Addendum!D:D,IF(ISNUMBER(B3767),TEXT(B3767,"0000"),B3767),Addendum!I:I,"X")&gt;0,10%,0)</f>
        <v>0</v>
      </c>
      <c r="M3767" s="34">
        <f t="shared" si="116"/>
        <v>0</v>
      </c>
      <c r="N3767" s="17">
        <f t="shared" si="117"/>
        <v>1442.8239999999998</v>
      </c>
    </row>
    <row r="3768" spans="1:14" x14ac:dyDescent="0.25">
      <c r="A3768" s="17"/>
      <c r="B3768" s="17"/>
      <c r="C3768" s="15" t="s">
        <v>2851</v>
      </c>
      <c r="D3768" s="14"/>
      <c r="E3768" s="14" t="s">
        <v>2841</v>
      </c>
      <c r="F3768" s="17" t="s">
        <v>2995</v>
      </c>
      <c r="G3768" s="14">
        <v>1593</v>
      </c>
      <c r="H3768" s="14">
        <v>1394.6714999999999</v>
      </c>
      <c r="I3768" s="31">
        <f>IF(COUNTIFS(Addendum!C:C,A3768,Addendum!D:D,IF(ISNUMBER(B3768),TEXT(B3768,"0000"),B3768),Addendum!E:E,"X")&gt;0,4%,0)</f>
        <v>0</v>
      </c>
      <c r="J3768" s="31">
        <f>IF(COUNTIFS(Addendum!C:C,A3768,Addendum!D:D,IF(ISNUMBER(B3768),TEXT(B3768,"0000"),B3768),Addendum!F:F,"X")&gt;0,2.5%,0)</f>
        <v>0</v>
      </c>
      <c r="K3768" s="31">
        <f>IF(COUNTIFS(Addendum!C:C,A3768,Addendum!D:D,IF(ISNUMBER(B3768),TEXT(B3768,"0000"),B3768),Addendum!G:G,"X")&gt;0,7%,0)</f>
        <v>0</v>
      </c>
      <c r="L3768" s="31">
        <f>IF(COUNTIFS(Addendum!C:C,A3768,Addendum!D:D,IF(ISNUMBER(B3768),TEXT(B3768,"0000"),B3768),Addendum!I:I,"X")&gt;0,10%,0)</f>
        <v>0</v>
      </c>
      <c r="M3768" s="34">
        <f t="shared" si="116"/>
        <v>0</v>
      </c>
      <c r="N3768" s="17">
        <f t="shared" si="117"/>
        <v>1394.6714999999999</v>
      </c>
    </row>
    <row r="3769" spans="1:14" x14ac:dyDescent="0.25">
      <c r="A3769" s="17"/>
      <c r="B3769" s="17"/>
      <c r="C3769" s="15" t="s">
        <v>2853</v>
      </c>
      <c r="D3769" s="14"/>
      <c r="E3769" s="14" t="s">
        <v>2841</v>
      </c>
      <c r="F3769" s="17" t="s">
        <v>2993</v>
      </c>
      <c r="G3769" s="14">
        <v>1284803</v>
      </c>
      <c r="H3769" s="14">
        <v>1124845.49</v>
      </c>
      <c r="I3769" s="31">
        <f>IF(COUNTIFS(Addendum!C:C,A3769,Addendum!D:D,IF(ISNUMBER(B3769),TEXT(B3769,"0000"),B3769),Addendum!E:E,"X")&gt;0,4%,0)</f>
        <v>0</v>
      </c>
      <c r="J3769" s="31">
        <f>IF(COUNTIFS(Addendum!C:C,A3769,Addendum!D:D,IF(ISNUMBER(B3769),TEXT(B3769,"0000"),B3769),Addendum!F:F,"X")&gt;0,2.5%,0)</f>
        <v>0</v>
      </c>
      <c r="K3769" s="31">
        <f>IF(COUNTIFS(Addendum!C:C,A3769,Addendum!D:D,IF(ISNUMBER(B3769),TEXT(B3769,"0000"),B3769),Addendum!G:G,"X")&gt;0,7%,0)</f>
        <v>0</v>
      </c>
      <c r="L3769" s="31">
        <f>IF(COUNTIFS(Addendum!C:C,A3769,Addendum!D:D,IF(ISNUMBER(B3769),TEXT(B3769,"0000"),B3769),Addendum!I:I,"X")&gt;0,10%,0)</f>
        <v>0</v>
      </c>
      <c r="M3769" s="34">
        <f t="shared" si="116"/>
        <v>0</v>
      </c>
      <c r="N3769" s="17">
        <f t="shared" si="117"/>
        <v>1124845.49</v>
      </c>
    </row>
    <row r="3770" spans="1:14" x14ac:dyDescent="0.25">
      <c r="A3770" s="17"/>
      <c r="B3770" s="17"/>
      <c r="C3770" s="15" t="s">
        <v>2854</v>
      </c>
      <c r="D3770" s="14"/>
      <c r="E3770" s="14" t="s">
        <v>2841</v>
      </c>
      <c r="F3770" s="17" t="s">
        <v>2993</v>
      </c>
      <c r="G3770" s="14">
        <v>83784</v>
      </c>
      <c r="H3770" s="14">
        <v>73352.891999999993</v>
      </c>
      <c r="I3770" s="31">
        <f>IF(COUNTIFS(Addendum!C:C,A3770,Addendum!D:D,IF(ISNUMBER(B3770),TEXT(B3770,"0000"),B3770),Addendum!E:E,"X")&gt;0,4%,0)</f>
        <v>0</v>
      </c>
      <c r="J3770" s="31">
        <f>IF(COUNTIFS(Addendum!C:C,A3770,Addendum!D:D,IF(ISNUMBER(B3770),TEXT(B3770,"0000"),B3770),Addendum!F:F,"X")&gt;0,2.5%,0)</f>
        <v>0</v>
      </c>
      <c r="K3770" s="31">
        <f>IF(COUNTIFS(Addendum!C:C,A3770,Addendum!D:D,IF(ISNUMBER(B3770),TEXT(B3770,"0000"),B3770),Addendum!G:G,"X")&gt;0,7%,0)</f>
        <v>0</v>
      </c>
      <c r="L3770" s="31">
        <f>IF(COUNTIFS(Addendum!C:C,A3770,Addendum!D:D,IF(ISNUMBER(B3770),TEXT(B3770,"0000"),B3770),Addendum!I:I,"X")&gt;0,10%,0)</f>
        <v>0</v>
      </c>
      <c r="M3770" s="34">
        <f t="shared" si="116"/>
        <v>0</v>
      </c>
      <c r="N3770" s="17">
        <f t="shared" si="117"/>
        <v>73352.891999999993</v>
      </c>
    </row>
    <row r="3771" spans="1:14" x14ac:dyDescent="0.25">
      <c r="A3771" s="17"/>
      <c r="B3771" s="17"/>
      <c r="C3771" s="15" t="s">
        <v>2855</v>
      </c>
      <c r="D3771" s="14"/>
      <c r="E3771" s="14" t="s">
        <v>2841</v>
      </c>
      <c r="F3771" s="17" t="s">
        <v>2993</v>
      </c>
      <c r="G3771" s="14">
        <v>802878</v>
      </c>
      <c r="H3771" s="14">
        <v>702919.68900000001</v>
      </c>
      <c r="I3771" s="31">
        <f>IF(COUNTIFS(Addendum!C:C,A3771,Addendum!D:D,IF(ISNUMBER(B3771),TEXT(B3771,"0000"),B3771),Addendum!E:E,"X")&gt;0,4%,0)</f>
        <v>0</v>
      </c>
      <c r="J3771" s="31">
        <f>IF(COUNTIFS(Addendum!C:C,A3771,Addendum!D:D,IF(ISNUMBER(B3771),TEXT(B3771,"0000"),B3771),Addendum!F:F,"X")&gt;0,2.5%,0)</f>
        <v>0</v>
      </c>
      <c r="K3771" s="31">
        <f>IF(COUNTIFS(Addendum!C:C,A3771,Addendum!D:D,IF(ISNUMBER(B3771),TEXT(B3771,"0000"),B3771),Addendum!G:G,"X")&gt;0,7%,0)</f>
        <v>0</v>
      </c>
      <c r="L3771" s="31">
        <f>IF(COUNTIFS(Addendum!C:C,A3771,Addendum!D:D,IF(ISNUMBER(B3771),TEXT(B3771,"0000"),B3771),Addendum!I:I,"X")&gt;0,10%,0)</f>
        <v>0</v>
      </c>
      <c r="M3771" s="34">
        <f t="shared" si="116"/>
        <v>0</v>
      </c>
      <c r="N3771" s="17">
        <f t="shared" si="117"/>
        <v>702919.68900000001</v>
      </c>
    </row>
    <row r="3772" spans="1:14" x14ac:dyDescent="0.25">
      <c r="A3772" s="17"/>
      <c r="B3772" s="17"/>
      <c r="C3772" s="15" t="s">
        <v>2854</v>
      </c>
      <c r="D3772" s="14" t="s">
        <v>1745</v>
      </c>
      <c r="E3772" s="14" t="s">
        <v>2841</v>
      </c>
      <c r="F3772" s="17" t="s">
        <v>2993</v>
      </c>
      <c r="G3772" s="14">
        <v>83784</v>
      </c>
      <c r="H3772" s="14">
        <v>73352.891999999993</v>
      </c>
      <c r="I3772" s="31">
        <f>IF(COUNTIFS(Addendum!C:C,A3772,Addendum!D:D,IF(ISNUMBER(B3772),TEXT(B3772,"0000"),B3772),Addendum!E:E,"X")&gt;0,4%,0)</f>
        <v>0</v>
      </c>
      <c r="J3772" s="31">
        <f>IF(COUNTIFS(Addendum!C:C,A3772,Addendum!D:D,IF(ISNUMBER(B3772),TEXT(B3772,"0000"),B3772),Addendum!F:F,"X")&gt;0,2.5%,0)</f>
        <v>0</v>
      </c>
      <c r="K3772" s="31">
        <f>IF(COUNTIFS(Addendum!C:C,A3772,Addendum!D:D,IF(ISNUMBER(B3772),TEXT(B3772,"0000"),B3772),Addendum!G:G,"X")&gt;0,7%,0)</f>
        <v>0</v>
      </c>
      <c r="L3772" s="31">
        <f>IF(COUNTIFS(Addendum!C:C,A3772,Addendum!D:D,IF(ISNUMBER(B3772),TEXT(B3772,"0000"),B3772),Addendum!I:I,"X")&gt;0,10%,0)</f>
        <v>0</v>
      </c>
      <c r="M3772" s="34">
        <f t="shared" si="116"/>
        <v>0</v>
      </c>
      <c r="N3772" s="17">
        <f t="shared" si="117"/>
        <v>73352.891999999993</v>
      </c>
    </row>
    <row r="3773" spans="1:14" x14ac:dyDescent="0.25">
      <c r="A3773" s="17"/>
      <c r="B3773" s="17"/>
      <c r="C3773" s="15" t="s">
        <v>2856</v>
      </c>
      <c r="D3773" s="14"/>
      <c r="E3773" s="14" t="s">
        <v>2841</v>
      </c>
      <c r="F3773" s="17" t="s">
        <v>2993</v>
      </c>
      <c r="G3773" s="14">
        <v>1284803</v>
      </c>
      <c r="H3773" s="14">
        <v>1124845.49</v>
      </c>
      <c r="I3773" s="31">
        <f>IF(COUNTIFS(Addendum!C:C,A3773,Addendum!D:D,IF(ISNUMBER(B3773),TEXT(B3773,"0000"),B3773),Addendum!E:E,"X")&gt;0,4%,0)</f>
        <v>0</v>
      </c>
      <c r="J3773" s="31">
        <f>IF(COUNTIFS(Addendum!C:C,A3773,Addendum!D:D,IF(ISNUMBER(B3773),TEXT(B3773,"0000"),B3773),Addendum!F:F,"X")&gt;0,2.5%,0)</f>
        <v>0</v>
      </c>
      <c r="K3773" s="31">
        <f>IF(COUNTIFS(Addendum!C:C,A3773,Addendum!D:D,IF(ISNUMBER(B3773),TEXT(B3773,"0000"),B3773),Addendum!G:G,"X")&gt;0,7%,0)</f>
        <v>0</v>
      </c>
      <c r="L3773" s="31">
        <f>IF(COUNTIFS(Addendum!C:C,A3773,Addendum!D:D,IF(ISNUMBER(B3773),TEXT(B3773,"0000"),B3773),Addendum!I:I,"X")&gt;0,10%,0)</f>
        <v>0</v>
      </c>
      <c r="M3773" s="34">
        <f t="shared" si="116"/>
        <v>0</v>
      </c>
      <c r="N3773" s="17">
        <f t="shared" si="117"/>
        <v>1124845.49</v>
      </c>
    </row>
    <row r="3774" spans="1:14" x14ac:dyDescent="0.25">
      <c r="A3774" s="17"/>
      <c r="B3774" s="17"/>
      <c r="C3774" s="15" t="s">
        <v>2857</v>
      </c>
      <c r="D3774" s="14"/>
      <c r="E3774" s="14" t="s">
        <v>2841</v>
      </c>
      <c r="F3774" s="17" t="s">
        <v>2993</v>
      </c>
      <c r="G3774" s="14">
        <v>83784</v>
      </c>
      <c r="H3774" s="14">
        <v>73352.891999999993</v>
      </c>
      <c r="I3774" s="31">
        <f>IF(COUNTIFS(Addendum!C:C,A3774,Addendum!D:D,IF(ISNUMBER(B3774),TEXT(B3774,"0000"),B3774),Addendum!E:E,"X")&gt;0,4%,0)</f>
        <v>0</v>
      </c>
      <c r="J3774" s="31">
        <f>IF(COUNTIFS(Addendum!C:C,A3774,Addendum!D:D,IF(ISNUMBER(B3774),TEXT(B3774,"0000"),B3774),Addendum!F:F,"X")&gt;0,2.5%,0)</f>
        <v>0</v>
      </c>
      <c r="K3774" s="31">
        <f>IF(COUNTIFS(Addendum!C:C,A3774,Addendum!D:D,IF(ISNUMBER(B3774),TEXT(B3774,"0000"),B3774),Addendum!G:G,"X")&gt;0,7%,0)</f>
        <v>0</v>
      </c>
      <c r="L3774" s="31">
        <f>IF(COUNTIFS(Addendum!C:C,A3774,Addendum!D:D,IF(ISNUMBER(B3774),TEXT(B3774,"0000"),B3774),Addendum!I:I,"X")&gt;0,10%,0)</f>
        <v>0</v>
      </c>
      <c r="M3774" s="34">
        <f t="shared" si="116"/>
        <v>0</v>
      </c>
      <c r="N3774" s="17">
        <f t="shared" si="117"/>
        <v>73352.891999999993</v>
      </c>
    </row>
    <row r="3775" spans="1:14" x14ac:dyDescent="0.25">
      <c r="A3775" s="17"/>
      <c r="B3775" s="17"/>
      <c r="C3775" s="15" t="s">
        <v>2858</v>
      </c>
      <c r="D3775" s="14"/>
      <c r="E3775" s="14" t="s">
        <v>2841</v>
      </c>
      <c r="F3775" s="17" t="s">
        <v>2993</v>
      </c>
      <c r="G3775" s="14">
        <v>802878</v>
      </c>
      <c r="H3775" s="14">
        <v>702919.68900000001</v>
      </c>
      <c r="I3775" s="31">
        <f>IF(COUNTIFS(Addendum!C:C,A3775,Addendum!D:D,IF(ISNUMBER(B3775),TEXT(B3775,"0000"),B3775),Addendum!E:E,"X")&gt;0,4%,0)</f>
        <v>0</v>
      </c>
      <c r="J3775" s="31">
        <f>IF(COUNTIFS(Addendum!C:C,A3775,Addendum!D:D,IF(ISNUMBER(B3775),TEXT(B3775,"0000"),B3775),Addendum!F:F,"X")&gt;0,2.5%,0)</f>
        <v>0</v>
      </c>
      <c r="K3775" s="31">
        <f>IF(COUNTIFS(Addendum!C:C,A3775,Addendum!D:D,IF(ISNUMBER(B3775),TEXT(B3775,"0000"),B3775),Addendum!G:G,"X")&gt;0,7%,0)</f>
        <v>0</v>
      </c>
      <c r="L3775" s="31">
        <f>IF(COUNTIFS(Addendum!C:C,A3775,Addendum!D:D,IF(ISNUMBER(B3775),TEXT(B3775,"0000"),B3775),Addendum!I:I,"X")&gt;0,10%,0)</f>
        <v>0</v>
      </c>
      <c r="M3775" s="34">
        <f t="shared" si="116"/>
        <v>0</v>
      </c>
      <c r="N3775" s="17">
        <f t="shared" si="117"/>
        <v>702919.68900000001</v>
      </c>
    </row>
    <row r="3776" spans="1:14" x14ac:dyDescent="0.25">
      <c r="A3776" s="17"/>
      <c r="B3776" s="17"/>
      <c r="C3776" s="15" t="s">
        <v>2859</v>
      </c>
      <c r="D3776" s="14"/>
      <c r="E3776" s="14" t="s">
        <v>2841</v>
      </c>
      <c r="F3776" s="17" t="s">
        <v>2993</v>
      </c>
      <c r="G3776" s="14">
        <v>83784</v>
      </c>
      <c r="H3776" s="14">
        <v>73352.891999999993</v>
      </c>
      <c r="I3776" s="31">
        <f>IF(COUNTIFS(Addendum!C:C,A3776,Addendum!D:D,IF(ISNUMBER(B3776),TEXT(B3776,"0000"),B3776),Addendum!E:E,"X")&gt;0,4%,0)</f>
        <v>0</v>
      </c>
      <c r="J3776" s="31">
        <f>IF(COUNTIFS(Addendum!C:C,A3776,Addendum!D:D,IF(ISNUMBER(B3776),TEXT(B3776,"0000"),B3776),Addendum!F:F,"X")&gt;0,2.5%,0)</f>
        <v>0</v>
      </c>
      <c r="K3776" s="31">
        <f>IF(COUNTIFS(Addendum!C:C,A3776,Addendum!D:D,IF(ISNUMBER(B3776),TEXT(B3776,"0000"),B3776),Addendum!G:G,"X")&gt;0,7%,0)</f>
        <v>0</v>
      </c>
      <c r="L3776" s="31">
        <f>IF(COUNTIFS(Addendum!C:C,A3776,Addendum!D:D,IF(ISNUMBER(B3776),TEXT(B3776,"0000"),B3776),Addendum!I:I,"X")&gt;0,10%,0)</f>
        <v>0</v>
      </c>
      <c r="M3776" s="34">
        <f t="shared" si="116"/>
        <v>0</v>
      </c>
      <c r="N3776" s="17">
        <f t="shared" si="117"/>
        <v>73352.891999999993</v>
      </c>
    </row>
    <row r="3777" spans="1:14" x14ac:dyDescent="0.25">
      <c r="A3777" s="17"/>
      <c r="B3777" s="17"/>
      <c r="C3777" s="15" t="s">
        <v>2860</v>
      </c>
      <c r="D3777" s="14"/>
      <c r="E3777" s="14" t="s">
        <v>2841</v>
      </c>
      <c r="F3777" s="17" t="s">
        <v>2993</v>
      </c>
      <c r="G3777" s="14">
        <v>335136</v>
      </c>
      <c r="H3777" s="14">
        <v>293411.56799999997</v>
      </c>
      <c r="I3777" s="31">
        <f>IF(COUNTIFS(Addendum!C:C,A3777,Addendum!D:D,IF(ISNUMBER(B3777),TEXT(B3777,"0000"),B3777),Addendum!E:E,"X")&gt;0,4%,0)</f>
        <v>0</v>
      </c>
      <c r="J3777" s="31">
        <f>IF(COUNTIFS(Addendum!C:C,A3777,Addendum!D:D,IF(ISNUMBER(B3777),TEXT(B3777,"0000"),B3777),Addendum!F:F,"X")&gt;0,2.5%,0)</f>
        <v>0</v>
      </c>
      <c r="K3777" s="31">
        <f>IF(COUNTIFS(Addendum!C:C,A3777,Addendum!D:D,IF(ISNUMBER(B3777),TEXT(B3777,"0000"),B3777),Addendum!G:G,"X")&gt;0,7%,0)</f>
        <v>0</v>
      </c>
      <c r="L3777" s="31">
        <f>IF(COUNTIFS(Addendum!C:C,A3777,Addendum!D:D,IF(ISNUMBER(B3777),TEXT(B3777,"0000"),B3777),Addendum!I:I,"X")&gt;0,10%,0)</f>
        <v>0</v>
      </c>
      <c r="M3777" s="34">
        <f t="shared" si="116"/>
        <v>0</v>
      </c>
      <c r="N3777" s="17">
        <f t="shared" si="117"/>
        <v>293411.56799999997</v>
      </c>
    </row>
    <row r="3778" spans="1:14" x14ac:dyDescent="0.25">
      <c r="A3778" s="17"/>
      <c r="B3778" s="17"/>
      <c r="C3778" s="15" t="s">
        <v>2853</v>
      </c>
      <c r="D3778" s="14" t="s">
        <v>1745</v>
      </c>
      <c r="E3778" s="14" t="s">
        <v>2841</v>
      </c>
      <c r="F3778" s="17" t="s">
        <v>2993</v>
      </c>
      <c r="G3778" s="14">
        <v>1284803</v>
      </c>
      <c r="H3778" s="14">
        <v>1124845.49</v>
      </c>
      <c r="I3778" s="31">
        <f>IF(COUNTIFS(Addendum!C:C,A3778,Addendum!D:D,IF(ISNUMBER(B3778),TEXT(B3778,"0000"),B3778),Addendum!E:E,"X")&gt;0,4%,0)</f>
        <v>0</v>
      </c>
      <c r="J3778" s="31">
        <f>IF(COUNTIFS(Addendum!C:C,A3778,Addendum!D:D,IF(ISNUMBER(B3778),TEXT(B3778,"0000"),B3778),Addendum!F:F,"X")&gt;0,2.5%,0)</f>
        <v>0</v>
      </c>
      <c r="K3778" s="31">
        <f>IF(COUNTIFS(Addendum!C:C,A3778,Addendum!D:D,IF(ISNUMBER(B3778),TEXT(B3778,"0000"),B3778),Addendum!G:G,"X")&gt;0,7%,0)</f>
        <v>0</v>
      </c>
      <c r="L3778" s="31">
        <f>IF(COUNTIFS(Addendum!C:C,A3778,Addendum!D:D,IF(ISNUMBER(B3778),TEXT(B3778,"0000"),B3778),Addendum!I:I,"X")&gt;0,10%,0)</f>
        <v>0</v>
      </c>
      <c r="M3778" s="34">
        <f t="shared" si="116"/>
        <v>0</v>
      </c>
      <c r="N3778" s="17">
        <f t="shared" si="117"/>
        <v>1124845.49</v>
      </c>
    </row>
    <row r="3779" spans="1:14" x14ac:dyDescent="0.25">
      <c r="A3779" s="17"/>
      <c r="B3779" s="17"/>
      <c r="C3779" s="15" t="s">
        <v>2861</v>
      </c>
      <c r="D3779" s="14" t="s">
        <v>1745</v>
      </c>
      <c r="E3779" s="14" t="s">
        <v>2841</v>
      </c>
      <c r="F3779" s="17" t="s">
        <v>2993</v>
      </c>
      <c r="G3779" s="14">
        <v>802878</v>
      </c>
      <c r="H3779" s="14">
        <v>702919.68900000001</v>
      </c>
      <c r="I3779" s="31">
        <f>IF(COUNTIFS(Addendum!C:C,A3779,Addendum!D:D,IF(ISNUMBER(B3779),TEXT(B3779,"0000"),B3779),Addendum!E:E,"X")&gt;0,4%,0)</f>
        <v>0</v>
      </c>
      <c r="J3779" s="31">
        <f>IF(COUNTIFS(Addendum!C:C,A3779,Addendum!D:D,IF(ISNUMBER(B3779),TEXT(B3779,"0000"),B3779),Addendum!F:F,"X")&gt;0,2.5%,0)</f>
        <v>0</v>
      </c>
      <c r="K3779" s="31">
        <f>IF(COUNTIFS(Addendum!C:C,A3779,Addendum!D:D,IF(ISNUMBER(B3779),TEXT(B3779,"0000"),B3779),Addendum!G:G,"X")&gt;0,7%,0)</f>
        <v>0</v>
      </c>
      <c r="L3779" s="31">
        <f>IF(COUNTIFS(Addendum!C:C,A3779,Addendum!D:D,IF(ISNUMBER(B3779),TEXT(B3779,"0000"),B3779),Addendum!I:I,"X")&gt;0,10%,0)</f>
        <v>0</v>
      </c>
      <c r="M3779" s="34">
        <f t="shared" si="116"/>
        <v>0</v>
      </c>
      <c r="N3779" s="17">
        <f t="shared" si="117"/>
        <v>702919.68900000001</v>
      </c>
    </row>
    <row r="3780" spans="1:14" x14ac:dyDescent="0.25">
      <c r="A3780" s="17"/>
      <c r="B3780" s="17"/>
      <c r="C3780" s="15" t="s">
        <v>2862</v>
      </c>
      <c r="D3780" s="14"/>
      <c r="E3780" s="14" t="s">
        <v>2841</v>
      </c>
      <c r="F3780" s="17" t="s">
        <v>2993</v>
      </c>
      <c r="G3780" s="14">
        <v>1284803</v>
      </c>
      <c r="H3780" s="14">
        <v>1124845.49</v>
      </c>
      <c r="I3780" s="31">
        <f>IF(COUNTIFS(Addendum!C:C,A3780,Addendum!D:D,IF(ISNUMBER(B3780),TEXT(B3780,"0000"),B3780),Addendum!E:E,"X")&gt;0,4%,0)</f>
        <v>0</v>
      </c>
      <c r="J3780" s="31">
        <f>IF(COUNTIFS(Addendum!C:C,A3780,Addendum!D:D,IF(ISNUMBER(B3780),TEXT(B3780,"0000"),B3780),Addendum!F:F,"X")&gt;0,2.5%,0)</f>
        <v>0</v>
      </c>
      <c r="K3780" s="31">
        <f>IF(COUNTIFS(Addendum!C:C,A3780,Addendum!D:D,IF(ISNUMBER(B3780),TEXT(B3780,"0000"),B3780),Addendum!G:G,"X")&gt;0,7%,0)</f>
        <v>0</v>
      </c>
      <c r="L3780" s="31">
        <f>IF(COUNTIFS(Addendum!C:C,A3780,Addendum!D:D,IF(ISNUMBER(B3780),TEXT(B3780,"0000"),B3780),Addendum!I:I,"X")&gt;0,10%,0)</f>
        <v>0</v>
      </c>
      <c r="M3780" s="34">
        <f t="shared" ref="M3780:M3843" si="118">IF(AND(I3780=0%,J3780=0%,K3780=0%,L3780=0%),0%,
IF(OR(TRIM(E3780)="OneTime",TRIM(D3780)=""),0%,
IF(
OR(
TRIM(D3780)="P1M",
AND(TRIM(D3780)="P1Y",TRIM(E3780)="Monthly"),
AND(TRIM(D3780)="P3Y",TRIM(E3780)="Monthly")
),
IF(AND(I3780=4%,J3780=0%,K3780=0%,L3780=0%),1%,
IF(AND(I3780=4%,J3780=2.5%,K3780=0%,L3780=10%),2%,
IF(AND(I3780=4%,J3780=0%,K3780=7%,L3780=10%),3%,0%))),
IF(
OR(
AND(TRIM(D3780)="P1Y",TRIM(E3780)="Annual"),
AND(TRIM(D3780)="P3Y",TRIM(E3780)="Annual"),
AND(TRIM(D3780)="P3Y",TRIM(E3780)="Triennial")
),
IF(AND(I3780=4%,J3780=0%,K3780=0%,L3780=0%),3%,
IF(AND(I3780=4%,J3780=2.5%,K3780=0%,L3780=10%),10%,
IF(AND(I3780=4%,J3780=0%,K3780=7%,L3780=10%),14%,0%))),
0%
))))</f>
        <v>0</v>
      </c>
      <c r="N3780" s="17">
        <f t="shared" ref="N3780:N3843" si="119">H3780-(H3780*M3780)</f>
        <v>1124845.49</v>
      </c>
    </row>
    <row r="3781" spans="1:14" x14ac:dyDescent="0.25">
      <c r="A3781" s="17"/>
      <c r="B3781" s="17"/>
      <c r="C3781" s="15" t="s">
        <v>2863</v>
      </c>
      <c r="D3781" s="14"/>
      <c r="E3781" s="14" t="s">
        <v>2841</v>
      </c>
      <c r="F3781" s="17" t="s">
        <v>2993</v>
      </c>
      <c r="G3781" s="14">
        <v>335136</v>
      </c>
      <c r="H3781" s="14">
        <v>293411.56799999997</v>
      </c>
      <c r="I3781" s="31">
        <f>IF(COUNTIFS(Addendum!C:C,A3781,Addendum!D:D,IF(ISNUMBER(B3781),TEXT(B3781,"0000"),B3781),Addendum!E:E,"X")&gt;0,4%,0)</f>
        <v>0</v>
      </c>
      <c r="J3781" s="31">
        <f>IF(COUNTIFS(Addendum!C:C,A3781,Addendum!D:D,IF(ISNUMBER(B3781),TEXT(B3781,"0000"),B3781),Addendum!F:F,"X")&gt;0,2.5%,0)</f>
        <v>0</v>
      </c>
      <c r="K3781" s="31">
        <f>IF(COUNTIFS(Addendum!C:C,A3781,Addendum!D:D,IF(ISNUMBER(B3781),TEXT(B3781,"0000"),B3781),Addendum!G:G,"X")&gt;0,7%,0)</f>
        <v>0</v>
      </c>
      <c r="L3781" s="31">
        <f>IF(COUNTIFS(Addendum!C:C,A3781,Addendum!D:D,IF(ISNUMBER(B3781),TEXT(B3781,"0000"),B3781),Addendum!I:I,"X")&gt;0,10%,0)</f>
        <v>0</v>
      </c>
      <c r="M3781" s="34">
        <f t="shared" si="118"/>
        <v>0</v>
      </c>
      <c r="N3781" s="17">
        <f t="shared" si="119"/>
        <v>293411.56799999997</v>
      </c>
    </row>
    <row r="3782" spans="1:14" x14ac:dyDescent="0.25">
      <c r="A3782" s="17"/>
      <c r="B3782" s="17"/>
      <c r="C3782" s="15" t="s">
        <v>2863</v>
      </c>
      <c r="D3782" s="14" t="s">
        <v>1745</v>
      </c>
      <c r="E3782" s="14" t="s">
        <v>2841</v>
      </c>
      <c r="F3782" s="17" t="s">
        <v>2993</v>
      </c>
      <c r="G3782" s="14">
        <v>335136</v>
      </c>
      <c r="H3782" s="14">
        <v>293411.56799999997</v>
      </c>
      <c r="I3782" s="31">
        <f>IF(COUNTIFS(Addendum!C:C,A3782,Addendum!D:D,IF(ISNUMBER(B3782),TEXT(B3782,"0000"),B3782),Addendum!E:E,"X")&gt;0,4%,0)</f>
        <v>0</v>
      </c>
      <c r="J3782" s="31">
        <f>IF(COUNTIFS(Addendum!C:C,A3782,Addendum!D:D,IF(ISNUMBER(B3782),TEXT(B3782,"0000"),B3782),Addendum!F:F,"X")&gt;0,2.5%,0)</f>
        <v>0</v>
      </c>
      <c r="K3782" s="31">
        <f>IF(COUNTIFS(Addendum!C:C,A3782,Addendum!D:D,IF(ISNUMBER(B3782),TEXT(B3782,"0000"),B3782),Addendum!G:G,"X")&gt;0,7%,0)</f>
        <v>0</v>
      </c>
      <c r="L3782" s="31">
        <f>IF(COUNTIFS(Addendum!C:C,A3782,Addendum!D:D,IF(ISNUMBER(B3782),TEXT(B3782,"0000"),B3782),Addendum!I:I,"X")&gt;0,10%,0)</f>
        <v>0</v>
      </c>
      <c r="M3782" s="34">
        <f t="shared" si="118"/>
        <v>0</v>
      </c>
      <c r="N3782" s="17">
        <f t="shared" si="119"/>
        <v>293411.56799999997</v>
      </c>
    </row>
    <row r="3783" spans="1:14" x14ac:dyDescent="0.25">
      <c r="A3783" s="17"/>
      <c r="B3783" s="17"/>
      <c r="C3783" s="15" t="s">
        <v>2864</v>
      </c>
      <c r="D3783" s="14"/>
      <c r="E3783" s="14" t="s">
        <v>2841</v>
      </c>
      <c r="F3783" s="17" t="s">
        <v>2993</v>
      </c>
      <c r="G3783" s="14">
        <v>802878</v>
      </c>
      <c r="H3783" s="14">
        <v>702919.68900000001</v>
      </c>
      <c r="I3783" s="31">
        <f>IF(COUNTIFS(Addendum!C:C,A3783,Addendum!D:D,IF(ISNUMBER(B3783),TEXT(B3783,"0000"),B3783),Addendum!E:E,"X")&gt;0,4%,0)</f>
        <v>0</v>
      </c>
      <c r="J3783" s="31">
        <f>IF(COUNTIFS(Addendum!C:C,A3783,Addendum!D:D,IF(ISNUMBER(B3783),TEXT(B3783,"0000"),B3783),Addendum!F:F,"X")&gt;0,2.5%,0)</f>
        <v>0</v>
      </c>
      <c r="K3783" s="31">
        <f>IF(COUNTIFS(Addendum!C:C,A3783,Addendum!D:D,IF(ISNUMBER(B3783),TEXT(B3783,"0000"),B3783),Addendum!G:G,"X")&gt;0,7%,0)</f>
        <v>0</v>
      </c>
      <c r="L3783" s="31">
        <f>IF(COUNTIFS(Addendum!C:C,A3783,Addendum!D:D,IF(ISNUMBER(B3783),TEXT(B3783,"0000"),B3783),Addendum!I:I,"X")&gt;0,10%,0)</f>
        <v>0</v>
      </c>
      <c r="M3783" s="34">
        <f t="shared" si="118"/>
        <v>0</v>
      </c>
      <c r="N3783" s="17">
        <f t="shared" si="119"/>
        <v>702919.68900000001</v>
      </c>
    </row>
    <row r="3784" spans="1:14" x14ac:dyDescent="0.25">
      <c r="A3784" s="17"/>
      <c r="B3784" s="17"/>
      <c r="C3784" s="15" t="s">
        <v>2865</v>
      </c>
      <c r="D3784" s="14"/>
      <c r="E3784" s="14" t="s">
        <v>2841</v>
      </c>
      <c r="F3784" s="17" t="s">
        <v>2993</v>
      </c>
      <c r="G3784" s="14">
        <v>335136</v>
      </c>
      <c r="H3784" s="14">
        <v>293411.56799999997</v>
      </c>
      <c r="I3784" s="31">
        <f>IF(COUNTIFS(Addendum!C:C,A3784,Addendum!D:D,IF(ISNUMBER(B3784),TEXT(B3784,"0000"),B3784),Addendum!E:E,"X")&gt;0,4%,0)</f>
        <v>0</v>
      </c>
      <c r="J3784" s="31">
        <f>IF(COUNTIFS(Addendum!C:C,A3784,Addendum!D:D,IF(ISNUMBER(B3784),TEXT(B3784,"0000"),B3784),Addendum!F:F,"X")&gt;0,2.5%,0)</f>
        <v>0</v>
      </c>
      <c r="K3784" s="31">
        <f>IF(COUNTIFS(Addendum!C:C,A3784,Addendum!D:D,IF(ISNUMBER(B3784),TEXT(B3784,"0000"),B3784),Addendum!G:G,"X")&gt;0,7%,0)</f>
        <v>0</v>
      </c>
      <c r="L3784" s="31">
        <f>IF(COUNTIFS(Addendum!C:C,A3784,Addendum!D:D,IF(ISNUMBER(B3784),TEXT(B3784,"0000"),B3784),Addendum!I:I,"X")&gt;0,10%,0)</f>
        <v>0</v>
      </c>
      <c r="M3784" s="34">
        <f t="shared" si="118"/>
        <v>0</v>
      </c>
      <c r="N3784" s="17">
        <f t="shared" si="119"/>
        <v>293411.56799999997</v>
      </c>
    </row>
    <row r="3785" spans="1:14" x14ac:dyDescent="0.25">
      <c r="A3785" s="17"/>
      <c r="B3785" s="17"/>
      <c r="C3785" s="15" t="s">
        <v>2866</v>
      </c>
      <c r="D3785" s="14" t="s">
        <v>1745</v>
      </c>
      <c r="E3785" s="14" t="s">
        <v>2841</v>
      </c>
      <c r="F3785" s="17" t="s">
        <v>2993</v>
      </c>
      <c r="G3785" s="14">
        <v>261512</v>
      </c>
      <c r="H3785" s="14">
        <v>228953.75600000002</v>
      </c>
      <c r="I3785" s="31">
        <f>IF(COUNTIFS(Addendum!C:C,A3785,Addendum!D:D,IF(ISNUMBER(B3785),TEXT(B3785,"0000"),B3785),Addendum!E:E,"X")&gt;0,4%,0)</f>
        <v>0</v>
      </c>
      <c r="J3785" s="31">
        <f>IF(COUNTIFS(Addendum!C:C,A3785,Addendum!D:D,IF(ISNUMBER(B3785),TEXT(B3785,"0000"),B3785),Addendum!F:F,"X")&gt;0,2.5%,0)</f>
        <v>0</v>
      </c>
      <c r="K3785" s="31">
        <f>IF(COUNTIFS(Addendum!C:C,A3785,Addendum!D:D,IF(ISNUMBER(B3785),TEXT(B3785,"0000"),B3785),Addendum!G:G,"X")&gt;0,7%,0)</f>
        <v>0</v>
      </c>
      <c r="L3785" s="31">
        <f>IF(COUNTIFS(Addendum!C:C,A3785,Addendum!D:D,IF(ISNUMBER(B3785),TEXT(B3785,"0000"),B3785),Addendum!I:I,"X")&gt;0,10%,0)</f>
        <v>0</v>
      </c>
      <c r="M3785" s="34">
        <f t="shared" si="118"/>
        <v>0</v>
      </c>
      <c r="N3785" s="17">
        <f t="shared" si="119"/>
        <v>228953.75600000002</v>
      </c>
    </row>
    <row r="3786" spans="1:14" x14ac:dyDescent="0.25">
      <c r="A3786" s="17"/>
      <c r="B3786" s="17"/>
      <c r="C3786" s="15" t="s">
        <v>2867</v>
      </c>
      <c r="D3786" s="14" t="s">
        <v>1745</v>
      </c>
      <c r="E3786" s="14" t="s">
        <v>2841</v>
      </c>
      <c r="F3786" s="17" t="s">
        <v>2993</v>
      </c>
      <c r="G3786" s="14">
        <v>65335</v>
      </c>
      <c r="H3786" s="14">
        <v>57200.792500000003</v>
      </c>
      <c r="I3786" s="31">
        <f>IF(COUNTIFS(Addendum!C:C,A3786,Addendum!D:D,IF(ISNUMBER(B3786),TEXT(B3786,"0000"),B3786),Addendum!E:E,"X")&gt;0,4%,0)</f>
        <v>0</v>
      </c>
      <c r="J3786" s="31">
        <f>IF(COUNTIFS(Addendum!C:C,A3786,Addendum!D:D,IF(ISNUMBER(B3786),TEXT(B3786,"0000"),B3786),Addendum!F:F,"X")&gt;0,2.5%,0)</f>
        <v>0</v>
      </c>
      <c r="K3786" s="31">
        <f>IF(COUNTIFS(Addendum!C:C,A3786,Addendum!D:D,IF(ISNUMBER(B3786),TEXT(B3786,"0000"),B3786),Addendum!G:G,"X")&gt;0,7%,0)</f>
        <v>0</v>
      </c>
      <c r="L3786" s="31">
        <f>IF(COUNTIFS(Addendum!C:C,A3786,Addendum!D:D,IF(ISNUMBER(B3786),TEXT(B3786,"0000"),B3786),Addendum!I:I,"X")&gt;0,10%,0)</f>
        <v>0</v>
      </c>
      <c r="M3786" s="34">
        <f t="shared" si="118"/>
        <v>0</v>
      </c>
      <c r="N3786" s="17">
        <f t="shared" si="119"/>
        <v>57200.792500000003</v>
      </c>
    </row>
    <row r="3787" spans="1:14" x14ac:dyDescent="0.25">
      <c r="A3787" s="17"/>
      <c r="B3787" s="17"/>
      <c r="C3787" s="15" t="s">
        <v>2868</v>
      </c>
      <c r="D3787" s="14"/>
      <c r="E3787" s="14" t="s">
        <v>2841</v>
      </c>
      <c r="F3787" s="17" t="s">
        <v>2993</v>
      </c>
      <c r="G3787" s="14">
        <v>261512</v>
      </c>
      <c r="H3787" s="14">
        <v>228953.75600000002</v>
      </c>
      <c r="I3787" s="31">
        <f>IF(COUNTIFS(Addendum!C:C,A3787,Addendum!D:D,IF(ISNUMBER(B3787),TEXT(B3787,"0000"),B3787),Addendum!E:E,"X")&gt;0,4%,0)</f>
        <v>0</v>
      </c>
      <c r="J3787" s="31">
        <f>IF(COUNTIFS(Addendum!C:C,A3787,Addendum!D:D,IF(ISNUMBER(B3787),TEXT(B3787,"0000"),B3787),Addendum!F:F,"X")&gt;0,2.5%,0)</f>
        <v>0</v>
      </c>
      <c r="K3787" s="31">
        <f>IF(COUNTIFS(Addendum!C:C,A3787,Addendum!D:D,IF(ISNUMBER(B3787),TEXT(B3787,"0000"),B3787),Addendum!G:G,"X")&gt;0,7%,0)</f>
        <v>0</v>
      </c>
      <c r="L3787" s="31">
        <f>IF(COUNTIFS(Addendum!C:C,A3787,Addendum!D:D,IF(ISNUMBER(B3787),TEXT(B3787,"0000"),B3787),Addendum!I:I,"X")&gt;0,10%,0)</f>
        <v>0</v>
      </c>
      <c r="M3787" s="34">
        <f t="shared" si="118"/>
        <v>0</v>
      </c>
      <c r="N3787" s="17">
        <f t="shared" si="119"/>
        <v>228953.75600000002</v>
      </c>
    </row>
    <row r="3788" spans="1:14" x14ac:dyDescent="0.25">
      <c r="A3788" s="17"/>
      <c r="B3788" s="17"/>
      <c r="C3788" s="15" t="s">
        <v>2869</v>
      </c>
      <c r="D3788" s="14"/>
      <c r="E3788" s="14" t="s">
        <v>2841</v>
      </c>
      <c r="F3788" s="17" t="s">
        <v>2993</v>
      </c>
      <c r="G3788" s="14">
        <v>65335</v>
      </c>
      <c r="H3788" s="14">
        <v>57200.792500000003</v>
      </c>
      <c r="I3788" s="31">
        <f>IF(COUNTIFS(Addendum!C:C,A3788,Addendum!D:D,IF(ISNUMBER(B3788),TEXT(B3788,"0000"),B3788),Addendum!E:E,"X")&gt;0,4%,0)</f>
        <v>0</v>
      </c>
      <c r="J3788" s="31">
        <f>IF(COUNTIFS(Addendum!C:C,A3788,Addendum!D:D,IF(ISNUMBER(B3788),TEXT(B3788,"0000"),B3788),Addendum!F:F,"X")&gt;0,2.5%,0)</f>
        <v>0</v>
      </c>
      <c r="K3788" s="31">
        <f>IF(COUNTIFS(Addendum!C:C,A3788,Addendum!D:D,IF(ISNUMBER(B3788),TEXT(B3788,"0000"),B3788),Addendum!G:G,"X")&gt;0,7%,0)</f>
        <v>0</v>
      </c>
      <c r="L3788" s="31">
        <f>IF(COUNTIFS(Addendum!C:C,A3788,Addendum!D:D,IF(ISNUMBER(B3788),TEXT(B3788,"0000"),B3788),Addendum!I:I,"X")&gt;0,10%,0)</f>
        <v>0</v>
      </c>
      <c r="M3788" s="34">
        <f t="shared" si="118"/>
        <v>0</v>
      </c>
      <c r="N3788" s="17">
        <f t="shared" si="119"/>
        <v>57200.792500000003</v>
      </c>
    </row>
    <row r="3789" spans="1:14" x14ac:dyDescent="0.25">
      <c r="A3789" s="17"/>
      <c r="B3789" s="17"/>
      <c r="C3789" s="15" t="s">
        <v>2870</v>
      </c>
      <c r="D3789" s="14"/>
      <c r="E3789" s="14" t="s">
        <v>2841</v>
      </c>
      <c r="F3789" s="17" t="s">
        <v>2993</v>
      </c>
      <c r="G3789" s="14">
        <v>261512</v>
      </c>
      <c r="H3789" s="14">
        <v>228953.75600000002</v>
      </c>
      <c r="I3789" s="31">
        <f>IF(COUNTIFS(Addendum!C:C,A3789,Addendum!D:D,IF(ISNUMBER(B3789),TEXT(B3789,"0000"),B3789),Addendum!E:E,"X")&gt;0,4%,0)</f>
        <v>0</v>
      </c>
      <c r="J3789" s="31">
        <f>IF(COUNTIFS(Addendum!C:C,A3789,Addendum!D:D,IF(ISNUMBER(B3789),TEXT(B3789,"0000"),B3789),Addendum!F:F,"X")&gt;0,2.5%,0)</f>
        <v>0</v>
      </c>
      <c r="K3789" s="31">
        <f>IF(COUNTIFS(Addendum!C:C,A3789,Addendum!D:D,IF(ISNUMBER(B3789),TEXT(B3789,"0000"),B3789),Addendum!G:G,"X")&gt;0,7%,0)</f>
        <v>0</v>
      </c>
      <c r="L3789" s="31">
        <f>IF(COUNTIFS(Addendum!C:C,A3789,Addendum!D:D,IF(ISNUMBER(B3789),TEXT(B3789,"0000"),B3789),Addendum!I:I,"X")&gt;0,10%,0)</f>
        <v>0</v>
      </c>
      <c r="M3789" s="34">
        <f t="shared" si="118"/>
        <v>0</v>
      </c>
      <c r="N3789" s="17">
        <f t="shared" si="119"/>
        <v>228953.75600000002</v>
      </c>
    </row>
    <row r="3790" spans="1:14" x14ac:dyDescent="0.25">
      <c r="A3790" s="17"/>
      <c r="B3790" s="17"/>
      <c r="C3790" s="15" t="s">
        <v>2871</v>
      </c>
      <c r="D3790" s="14"/>
      <c r="E3790" s="14" t="s">
        <v>2841</v>
      </c>
      <c r="F3790" s="17" t="s">
        <v>2993</v>
      </c>
      <c r="G3790" s="14">
        <v>65335</v>
      </c>
      <c r="H3790" s="14">
        <v>57200.792500000003</v>
      </c>
      <c r="I3790" s="31">
        <f>IF(COUNTIFS(Addendum!C:C,A3790,Addendum!D:D,IF(ISNUMBER(B3790),TEXT(B3790,"0000"),B3790),Addendum!E:E,"X")&gt;0,4%,0)</f>
        <v>0</v>
      </c>
      <c r="J3790" s="31">
        <f>IF(COUNTIFS(Addendum!C:C,A3790,Addendum!D:D,IF(ISNUMBER(B3790),TEXT(B3790,"0000"),B3790),Addendum!F:F,"X")&gt;0,2.5%,0)</f>
        <v>0</v>
      </c>
      <c r="K3790" s="31">
        <f>IF(COUNTIFS(Addendum!C:C,A3790,Addendum!D:D,IF(ISNUMBER(B3790),TEXT(B3790,"0000"),B3790),Addendum!G:G,"X")&gt;0,7%,0)</f>
        <v>0</v>
      </c>
      <c r="L3790" s="31">
        <f>IF(COUNTIFS(Addendum!C:C,A3790,Addendum!D:D,IF(ISNUMBER(B3790),TEXT(B3790,"0000"),B3790),Addendum!I:I,"X")&gt;0,10%,0)</f>
        <v>0</v>
      </c>
      <c r="M3790" s="34">
        <f t="shared" si="118"/>
        <v>0</v>
      </c>
      <c r="N3790" s="17">
        <f t="shared" si="119"/>
        <v>57200.792500000003</v>
      </c>
    </row>
    <row r="3791" spans="1:14" x14ac:dyDescent="0.25">
      <c r="A3791" s="17"/>
      <c r="B3791" s="17"/>
      <c r="C3791" s="15" t="s">
        <v>2872</v>
      </c>
      <c r="D3791" s="14"/>
      <c r="E3791" s="14" t="s">
        <v>2841</v>
      </c>
      <c r="F3791" s="17" t="s">
        <v>2993</v>
      </c>
      <c r="G3791" s="14">
        <v>45369</v>
      </c>
      <c r="H3791" s="14">
        <v>39720.559500000003</v>
      </c>
      <c r="I3791" s="31">
        <f>IF(COUNTIFS(Addendum!C:C,A3791,Addendum!D:D,IF(ISNUMBER(B3791),TEXT(B3791,"0000"),B3791),Addendum!E:E,"X")&gt;0,4%,0)</f>
        <v>0</v>
      </c>
      <c r="J3791" s="31">
        <f>IF(COUNTIFS(Addendum!C:C,A3791,Addendum!D:D,IF(ISNUMBER(B3791),TEXT(B3791,"0000"),B3791),Addendum!F:F,"X")&gt;0,2.5%,0)</f>
        <v>0</v>
      </c>
      <c r="K3791" s="31">
        <f>IF(COUNTIFS(Addendum!C:C,A3791,Addendum!D:D,IF(ISNUMBER(B3791),TEXT(B3791,"0000"),B3791),Addendum!G:G,"X")&gt;0,7%,0)</f>
        <v>0</v>
      </c>
      <c r="L3791" s="31">
        <f>IF(COUNTIFS(Addendum!C:C,A3791,Addendum!D:D,IF(ISNUMBER(B3791),TEXT(B3791,"0000"),B3791),Addendum!I:I,"X")&gt;0,10%,0)</f>
        <v>0</v>
      </c>
      <c r="M3791" s="34">
        <f t="shared" si="118"/>
        <v>0</v>
      </c>
      <c r="N3791" s="17">
        <f t="shared" si="119"/>
        <v>39720.559500000003</v>
      </c>
    </row>
    <row r="3792" spans="1:14" x14ac:dyDescent="0.25">
      <c r="A3792" s="17"/>
      <c r="B3792" s="17"/>
      <c r="C3792" s="15" t="s">
        <v>2873</v>
      </c>
      <c r="D3792" s="14" t="s">
        <v>1745</v>
      </c>
      <c r="E3792" s="14" t="s">
        <v>2841</v>
      </c>
      <c r="F3792" s="17" t="s">
        <v>2993</v>
      </c>
      <c r="G3792" s="14">
        <v>11384</v>
      </c>
      <c r="H3792" s="14">
        <v>9966.6919999999991</v>
      </c>
      <c r="I3792" s="31">
        <f>IF(COUNTIFS(Addendum!C:C,A3792,Addendum!D:D,IF(ISNUMBER(B3792),TEXT(B3792,"0000"),B3792),Addendum!E:E,"X")&gt;0,4%,0)</f>
        <v>0</v>
      </c>
      <c r="J3792" s="31">
        <f>IF(COUNTIFS(Addendum!C:C,A3792,Addendum!D:D,IF(ISNUMBER(B3792),TEXT(B3792,"0000"),B3792),Addendum!F:F,"X")&gt;0,2.5%,0)</f>
        <v>0</v>
      </c>
      <c r="K3792" s="31">
        <f>IF(COUNTIFS(Addendum!C:C,A3792,Addendum!D:D,IF(ISNUMBER(B3792),TEXT(B3792,"0000"),B3792),Addendum!G:G,"X")&gt;0,7%,0)</f>
        <v>0</v>
      </c>
      <c r="L3792" s="31">
        <f>IF(COUNTIFS(Addendum!C:C,A3792,Addendum!D:D,IF(ISNUMBER(B3792),TEXT(B3792,"0000"),B3792),Addendum!I:I,"X")&gt;0,10%,0)</f>
        <v>0</v>
      </c>
      <c r="M3792" s="34">
        <f t="shared" si="118"/>
        <v>0</v>
      </c>
      <c r="N3792" s="17">
        <f t="shared" si="119"/>
        <v>9966.6919999999991</v>
      </c>
    </row>
    <row r="3793" spans="1:14" x14ac:dyDescent="0.25">
      <c r="A3793" s="17"/>
      <c r="B3793" s="17"/>
      <c r="C3793" s="15" t="s">
        <v>2874</v>
      </c>
      <c r="D3793" s="14"/>
      <c r="E3793" s="14" t="s">
        <v>2841</v>
      </c>
      <c r="F3793" s="17" t="s">
        <v>2993</v>
      </c>
      <c r="G3793" s="14">
        <v>45369</v>
      </c>
      <c r="H3793" s="14">
        <v>39720.559500000003</v>
      </c>
      <c r="I3793" s="31">
        <f>IF(COUNTIFS(Addendum!C:C,A3793,Addendum!D:D,IF(ISNUMBER(B3793),TEXT(B3793,"0000"),B3793),Addendum!E:E,"X")&gt;0,4%,0)</f>
        <v>0</v>
      </c>
      <c r="J3793" s="31">
        <f>IF(COUNTIFS(Addendum!C:C,A3793,Addendum!D:D,IF(ISNUMBER(B3793),TEXT(B3793,"0000"),B3793),Addendum!F:F,"X")&gt;0,2.5%,0)</f>
        <v>0</v>
      </c>
      <c r="K3793" s="31">
        <f>IF(COUNTIFS(Addendum!C:C,A3793,Addendum!D:D,IF(ISNUMBER(B3793),TEXT(B3793,"0000"),B3793),Addendum!G:G,"X")&gt;0,7%,0)</f>
        <v>0</v>
      </c>
      <c r="L3793" s="31">
        <f>IF(COUNTIFS(Addendum!C:C,A3793,Addendum!D:D,IF(ISNUMBER(B3793),TEXT(B3793,"0000"),B3793),Addendum!I:I,"X")&gt;0,10%,0)</f>
        <v>0</v>
      </c>
      <c r="M3793" s="34">
        <f t="shared" si="118"/>
        <v>0</v>
      </c>
      <c r="N3793" s="17">
        <f t="shared" si="119"/>
        <v>39720.559500000003</v>
      </c>
    </row>
    <row r="3794" spans="1:14" x14ac:dyDescent="0.25">
      <c r="A3794" s="17"/>
      <c r="B3794" s="17"/>
      <c r="C3794" s="15" t="s">
        <v>2875</v>
      </c>
      <c r="D3794" s="14"/>
      <c r="E3794" s="14" t="s">
        <v>2841</v>
      </c>
      <c r="F3794" s="17" t="s">
        <v>2993</v>
      </c>
      <c r="G3794" s="14">
        <v>11384</v>
      </c>
      <c r="H3794" s="14">
        <v>9966.6919999999991</v>
      </c>
      <c r="I3794" s="31">
        <f>IF(COUNTIFS(Addendum!C:C,A3794,Addendum!D:D,IF(ISNUMBER(B3794),TEXT(B3794,"0000"),B3794),Addendum!E:E,"X")&gt;0,4%,0)</f>
        <v>0</v>
      </c>
      <c r="J3794" s="31">
        <f>IF(COUNTIFS(Addendum!C:C,A3794,Addendum!D:D,IF(ISNUMBER(B3794),TEXT(B3794,"0000"),B3794),Addendum!F:F,"X")&gt;0,2.5%,0)</f>
        <v>0</v>
      </c>
      <c r="K3794" s="31">
        <f>IF(COUNTIFS(Addendum!C:C,A3794,Addendum!D:D,IF(ISNUMBER(B3794),TEXT(B3794,"0000"),B3794),Addendum!G:G,"X")&gt;0,7%,0)</f>
        <v>0</v>
      </c>
      <c r="L3794" s="31">
        <f>IF(COUNTIFS(Addendum!C:C,A3794,Addendum!D:D,IF(ISNUMBER(B3794),TEXT(B3794,"0000"),B3794),Addendum!I:I,"X")&gt;0,10%,0)</f>
        <v>0</v>
      </c>
      <c r="M3794" s="34">
        <f t="shared" si="118"/>
        <v>0</v>
      </c>
      <c r="N3794" s="17">
        <f t="shared" si="119"/>
        <v>9966.6919999999991</v>
      </c>
    </row>
    <row r="3795" spans="1:14" x14ac:dyDescent="0.25">
      <c r="A3795" s="17"/>
      <c r="B3795" s="17"/>
      <c r="C3795" s="15" t="s">
        <v>2876</v>
      </c>
      <c r="D3795" s="14" t="s">
        <v>1745</v>
      </c>
      <c r="E3795" s="14" t="s">
        <v>2841</v>
      </c>
      <c r="F3795" s="17" t="s">
        <v>2993</v>
      </c>
      <c r="G3795" s="14">
        <v>45369</v>
      </c>
      <c r="H3795" s="14">
        <v>39720.559500000003</v>
      </c>
      <c r="I3795" s="31">
        <f>IF(COUNTIFS(Addendum!C:C,A3795,Addendum!D:D,IF(ISNUMBER(B3795),TEXT(B3795,"0000"),B3795),Addendum!E:E,"X")&gt;0,4%,0)</f>
        <v>0</v>
      </c>
      <c r="J3795" s="31">
        <f>IF(COUNTIFS(Addendum!C:C,A3795,Addendum!D:D,IF(ISNUMBER(B3795),TEXT(B3795,"0000"),B3795),Addendum!F:F,"X")&gt;0,2.5%,0)</f>
        <v>0</v>
      </c>
      <c r="K3795" s="31">
        <f>IF(COUNTIFS(Addendum!C:C,A3795,Addendum!D:D,IF(ISNUMBER(B3795),TEXT(B3795,"0000"),B3795),Addendum!G:G,"X")&gt;0,7%,0)</f>
        <v>0</v>
      </c>
      <c r="L3795" s="31">
        <f>IF(COUNTIFS(Addendum!C:C,A3795,Addendum!D:D,IF(ISNUMBER(B3795),TEXT(B3795,"0000"),B3795),Addendum!I:I,"X")&gt;0,10%,0)</f>
        <v>0</v>
      </c>
      <c r="M3795" s="34">
        <f t="shared" si="118"/>
        <v>0</v>
      </c>
      <c r="N3795" s="17">
        <f t="shared" si="119"/>
        <v>39720.559500000003</v>
      </c>
    </row>
    <row r="3796" spans="1:14" x14ac:dyDescent="0.25">
      <c r="A3796" s="17"/>
      <c r="B3796" s="17"/>
      <c r="C3796" s="15" t="s">
        <v>2877</v>
      </c>
      <c r="D3796" s="14"/>
      <c r="E3796" s="14" t="s">
        <v>2841</v>
      </c>
      <c r="F3796" s="17" t="s">
        <v>2993</v>
      </c>
      <c r="G3796" s="14">
        <v>11384</v>
      </c>
      <c r="H3796" s="14">
        <v>9966.6919999999991</v>
      </c>
      <c r="I3796" s="31">
        <f>IF(COUNTIFS(Addendum!C:C,A3796,Addendum!D:D,IF(ISNUMBER(B3796),TEXT(B3796,"0000"),B3796),Addendum!E:E,"X")&gt;0,4%,0)</f>
        <v>0</v>
      </c>
      <c r="J3796" s="31">
        <f>IF(COUNTIFS(Addendum!C:C,A3796,Addendum!D:D,IF(ISNUMBER(B3796),TEXT(B3796,"0000"),B3796),Addendum!F:F,"X")&gt;0,2.5%,0)</f>
        <v>0</v>
      </c>
      <c r="K3796" s="31">
        <f>IF(COUNTIFS(Addendum!C:C,A3796,Addendum!D:D,IF(ISNUMBER(B3796),TEXT(B3796,"0000"),B3796),Addendum!G:G,"X")&gt;0,7%,0)</f>
        <v>0</v>
      </c>
      <c r="L3796" s="31">
        <f>IF(COUNTIFS(Addendum!C:C,A3796,Addendum!D:D,IF(ISNUMBER(B3796),TEXT(B3796,"0000"),B3796),Addendum!I:I,"X")&gt;0,10%,0)</f>
        <v>0</v>
      </c>
      <c r="M3796" s="34">
        <f t="shared" si="118"/>
        <v>0</v>
      </c>
      <c r="N3796" s="17">
        <f t="shared" si="119"/>
        <v>9966.6919999999991</v>
      </c>
    </row>
    <row r="3797" spans="1:14" x14ac:dyDescent="0.25">
      <c r="A3797" s="17"/>
      <c r="B3797" s="17"/>
      <c r="C3797" s="15" t="s">
        <v>2878</v>
      </c>
      <c r="D3797" s="14"/>
      <c r="E3797" s="14" t="s">
        <v>2841</v>
      </c>
      <c r="F3797" s="17" t="s">
        <v>2993</v>
      </c>
      <c r="G3797" s="14">
        <v>57349</v>
      </c>
      <c r="H3797" s="14">
        <v>50209.049500000001</v>
      </c>
      <c r="I3797" s="31">
        <f>IF(COUNTIFS(Addendum!C:C,A3797,Addendum!D:D,IF(ISNUMBER(B3797),TEXT(B3797,"0000"),B3797),Addendum!E:E,"X")&gt;0,4%,0)</f>
        <v>0</v>
      </c>
      <c r="J3797" s="31">
        <f>IF(COUNTIFS(Addendum!C:C,A3797,Addendum!D:D,IF(ISNUMBER(B3797),TEXT(B3797,"0000"),B3797),Addendum!F:F,"X")&gt;0,2.5%,0)</f>
        <v>0</v>
      </c>
      <c r="K3797" s="31">
        <f>IF(COUNTIFS(Addendum!C:C,A3797,Addendum!D:D,IF(ISNUMBER(B3797),TEXT(B3797,"0000"),B3797),Addendum!G:G,"X")&gt;0,7%,0)</f>
        <v>0</v>
      </c>
      <c r="L3797" s="31">
        <f>IF(COUNTIFS(Addendum!C:C,A3797,Addendum!D:D,IF(ISNUMBER(B3797),TEXT(B3797,"0000"),B3797),Addendum!I:I,"X")&gt;0,10%,0)</f>
        <v>0</v>
      </c>
      <c r="M3797" s="34">
        <f t="shared" si="118"/>
        <v>0</v>
      </c>
      <c r="N3797" s="17">
        <f t="shared" si="119"/>
        <v>50209.049500000001</v>
      </c>
    </row>
    <row r="3798" spans="1:14" x14ac:dyDescent="0.25">
      <c r="A3798" s="17"/>
      <c r="B3798" s="17"/>
      <c r="C3798" s="15" t="s">
        <v>2878</v>
      </c>
      <c r="D3798" s="14"/>
      <c r="E3798" s="14" t="s">
        <v>2841</v>
      </c>
      <c r="F3798" s="17" t="s">
        <v>2995</v>
      </c>
      <c r="G3798" s="14">
        <v>14337</v>
      </c>
      <c r="H3798" s="14">
        <v>12552.043500000002</v>
      </c>
      <c r="I3798" s="31">
        <f>IF(COUNTIFS(Addendum!C:C,A3798,Addendum!D:D,IF(ISNUMBER(B3798),TEXT(B3798,"0000"),B3798),Addendum!E:E,"X")&gt;0,4%,0)</f>
        <v>0</v>
      </c>
      <c r="J3798" s="31">
        <f>IF(COUNTIFS(Addendum!C:C,A3798,Addendum!D:D,IF(ISNUMBER(B3798),TEXT(B3798,"0000"),B3798),Addendum!F:F,"X")&gt;0,2.5%,0)</f>
        <v>0</v>
      </c>
      <c r="K3798" s="31">
        <f>IF(COUNTIFS(Addendum!C:C,A3798,Addendum!D:D,IF(ISNUMBER(B3798),TEXT(B3798,"0000"),B3798),Addendum!G:G,"X")&gt;0,7%,0)</f>
        <v>0</v>
      </c>
      <c r="L3798" s="31">
        <f>IF(COUNTIFS(Addendum!C:C,A3798,Addendum!D:D,IF(ISNUMBER(B3798),TEXT(B3798,"0000"),B3798),Addendum!I:I,"X")&gt;0,10%,0)</f>
        <v>0</v>
      </c>
      <c r="M3798" s="34">
        <f t="shared" si="118"/>
        <v>0</v>
      </c>
      <c r="N3798" s="17">
        <f t="shared" si="119"/>
        <v>12552.043500000002</v>
      </c>
    </row>
    <row r="3799" spans="1:14" x14ac:dyDescent="0.25">
      <c r="A3799" s="17"/>
      <c r="B3799" s="17"/>
      <c r="C3799" s="15" t="s">
        <v>2878</v>
      </c>
      <c r="D3799" s="14"/>
      <c r="E3799" s="14" t="s">
        <v>2841</v>
      </c>
      <c r="F3799" s="17" t="s">
        <v>2994</v>
      </c>
      <c r="G3799" s="14">
        <v>7816</v>
      </c>
      <c r="H3799" s="14">
        <v>6842.9080000000004</v>
      </c>
      <c r="I3799" s="31">
        <f>IF(COUNTIFS(Addendum!C:C,A3799,Addendum!D:D,IF(ISNUMBER(B3799),TEXT(B3799,"0000"),B3799),Addendum!E:E,"X")&gt;0,4%,0)</f>
        <v>0</v>
      </c>
      <c r="J3799" s="31">
        <f>IF(COUNTIFS(Addendum!C:C,A3799,Addendum!D:D,IF(ISNUMBER(B3799),TEXT(B3799,"0000"),B3799),Addendum!F:F,"X")&gt;0,2.5%,0)</f>
        <v>0</v>
      </c>
      <c r="K3799" s="31">
        <f>IF(COUNTIFS(Addendum!C:C,A3799,Addendum!D:D,IF(ISNUMBER(B3799),TEXT(B3799,"0000"),B3799),Addendum!G:G,"X")&gt;0,7%,0)</f>
        <v>0</v>
      </c>
      <c r="L3799" s="31">
        <f>IF(COUNTIFS(Addendum!C:C,A3799,Addendum!D:D,IF(ISNUMBER(B3799),TEXT(B3799,"0000"),B3799),Addendum!I:I,"X")&gt;0,10%,0)</f>
        <v>0</v>
      </c>
      <c r="M3799" s="34">
        <f t="shared" si="118"/>
        <v>0</v>
      </c>
      <c r="N3799" s="17">
        <f t="shared" si="119"/>
        <v>6842.9080000000004</v>
      </c>
    </row>
    <row r="3800" spans="1:14" x14ac:dyDescent="0.25">
      <c r="A3800" s="17"/>
      <c r="B3800" s="17"/>
      <c r="C3800" s="15" t="s">
        <v>2879</v>
      </c>
      <c r="D3800" s="14"/>
      <c r="E3800" s="14" t="s">
        <v>2841</v>
      </c>
      <c r="F3800" s="17" t="s">
        <v>2993</v>
      </c>
      <c r="G3800" s="14">
        <v>42056</v>
      </c>
      <c r="H3800" s="14">
        <v>36820.027999999998</v>
      </c>
      <c r="I3800" s="31">
        <f>IF(COUNTIFS(Addendum!C:C,A3800,Addendum!D:D,IF(ISNUMBER(B3800),TEXT(B3800,"0000"),B3800),Addendum!E:E,"X")&gt;0,4%,0)</f>
        <v>0</v>
      </c>
      <c r="J3800" s="31">
        <f>IF(COUNTIFS(Addendum!C:C,A3800,Addendum!D:D,IF(ISNUMBER(B3800),TEXT(B3800,"0000"),B3800),Addendum!F:F,"X")&gt;0,2.5%,0)</f>
        <v>0</v>
      </c>
      <c r="K3800" s="31">
        <f>IF(COUNTIFS(Addendum!C:C,A3800,Addendum!D:D,IF(ISNUMBER(B3800),TEXT(B3800,"0000"),B3800),Addendum!G:G,"X")&gt;0,7%,0)</f>
        <v>0</v>
      </c>
      <c r="L3800" s="31">
        <f>IF(COUNTIFS(Addendum!C:C,A3800,Addendum!D:D,IF(ISNUMBER(B3800),TEXT(B3800,"0000"),B3800),Addendum!I:I,"X")&gt;0,10%,0)</f>
        <v>0</v>
      </c>
      <c r="M3800" s="34">
        <f t="shared" si="118"/>
        <v>0</v>
      </c>
      <c r="N3800" s="17">
        <f t="shared" si="119"/>
        <v>36820.027999999998</v>
      </c>
    </row>
    <row r="3801" spans="1:14" x14ac:dyDescent="0.25">
      <c r="A3801" s="17"/>
      <c r="B3801" s="17"/>
      <c r="C3801" s="15" t="s">
        <v>2879</v>
      </c>
      <c r="D3801" s="14"/>
      <c r="E3801" s="14" t="s">
        <v>2841</v>
      </c>
      <c r="F3801" s="17" t="s">
        <v>2995</v>
      </c>
      <c r="G3801" s="14">
        <v>10514</v>
      </c>
      <c r="H3801" s="14">
        <v>9205.0069999999996</v>
      </c>
      <c r="I3801" s="31">
        <f>IF(COUNTIFS(Addendum!C:C,A3801,Addendum!D:D,IF(ISNUMBER(B3801),TEXT(B3801,"0000"),B3801),Addendum!E:E,"X")&gt;0,4%,0)</f>
        <v>0</v>
      </c>
      <c r="J3801" s="31">
        <f>IF(COUNTIFS(Addendum!C:C,A3801,Addendum!D:D,IF(ISNUMBER(B3801),TEXT(B3801,"0000"),B3801),Addendum!F:F,"X")&gt;0,2.5%,0)</f>
        <v>0</v>
      </c>
      <c r="K3801" s="31">
        <f>IF(COUNTIFS(Addendum!C:C,A3801,Addendum!D:D,IF(ISNUMBER(B3801),TEXT(B3801,"0000"),B3801),Addendum!G:G,"X")&gt;0,7%,0)</f>
        <v>0</v>
      </c>
      <c r="L3801" s="31">
        <f>IF(COUNTIFS(Addendum!C:C,A3801,Addendum!D:D,IF(ISNUMBER(B3801),TEXT(B3801,"0000"),B3801),Addendum!I:I,"X")&gt;0,10%,0)</f>
        <v>0</v>
      </c>
      <c r="M3801" s="34">
        <f t="shared" si="118"/>
        <v>0</v>
      </c>
      <c r="N3801" s="17">
        <f t="shared" si="119"/>
        <v>9205.0069999999996</v>
      </c>
    </row>
    <row r="3802" spans="1:14" x14ac:dyDescent="0.25">
      <c r="A3802" s="17"/>
      <c r="B3802" s="17"/>
      <c r="C3802" s="15" t="s">
        <v>2879</v>
      </c>
      <c r="D3802" s="14"/>
      <c r="E3802" s="14" t="s">
        <v>2841</v>
      </c>
      <c r="F3802" s="17" t="s">
        <v>2994</v>
      </c>
      <c r="G3802" s="14">
        <v>5694</v>
      </c>
      <c r="H3802" s="14">
        <v>4985.0969999999998</v>
      </c>
      <c r="I3802" s="31">
        <f>IF(COUNTIFS(Addendum!C:C,A3802,Addendum!D:D,IF(ISNUMBER(B3802),TEXT(B3802,"0000"),B3802),Addendum!E:E,"X")&gt;0,4%,0)</f>
        <v>0</v>
      </c>
      <c r="J3802" s="31">
        <f>IF(COUNTIFS(Addendum!C:C,A3802,Addendum!D:D,IF(ISNUMBER(B3802),TEXT(B3802,"0000"),B3802),Addendum!F:F,"X")&gt;0,2.5%,0)</f>
        <v>0</v>
      </c>
      <c r="K3802" s="31">
        <f>IF(COUNTIFS(Addendum!C:C,A3802,Addendum!D:D,IF(ISNUMBER(B3802),TEXT(B3802,"0000"),B3802),Addendum!G:G,"X")&gt;0,7%,0)</f>
        <v>0</v>
      </c>
      <c r="L3802" s="31">
        <f>IF(COUNTIFS(Addendum!C:C,A3802,Addendum!D:D,IF(ISNUMBER(B3802),TEXT(B3802,"0000"),B3802),Addendum!I:I,"X")&gt;0,10%,0)</f>
        <v>0</v>
      </c>
      <c r="M3802" s="34">
        <f t="shared" si="118"/>
        <v>0</v>
      </c>
      <c r="N3802" s="17">
        <f t="shared" si="119"/>
        <v>4985.0969999999998</v>
      </c>
    </row>
    <row r="3803" spans="1:14" x14ac:dyDescent="0.25">
      <c r="A3803" s="17"/>
      <c r="B3803" s="17"/>
      <c r="C3803" s="15" t="s">
        <v>2880</v>
      </c>
      <c r="D3803" s="14"/>
      <c r="E3803" s="14" t="s">
        <v>2841</v>
      </c>
      <c r="F3803" s="17" t="s">
        <v>2993</v>
      </c>
      <c r="G3803" s="14">
        <v>42056</v>
      </c>
      <c r="H3803" s="14">
        <v>36820.027999999998</v>
      </c>
      <c r="I3803" s="31">
        <f>IF(COUNTIFS(Addendum!C:C,A3803,Addendum!D:D,IF(ISNUMBER(B3803),TEXT(B3803,"0000"),B3803),Addendum!E:E,"X")&gt;0,4%,0)</f>
        <v>0</v>
      </c>
      <c r="J3803" s="31">
        <f>IF(COUNTIFS(Addendum!C:C,A3803,Addendum!D:D,IF(ISNUMBER(B3803),TEXT(B3803,"0000"),B3803),Addendum!F:F,"X")&gt;0,2.5%,0)</f>
        <v>0</v>
      </c>
      <c r="K3803" s="31">
        <f>IF(COUNTIFS(Addendum!C:C,A3803,Addendum!D:D,IF(ISNUMBER(B3803),TEXT(B3803,"0000"),B3803),Addendum!G:G,"X")&gt;0,7%,0)</f>
        <v>0</v>
      </c>
      <c r="L3803" s="31">
        <f>IF(COUNTIFS(Addendum!C:C,A3803,Addendum!D:D,IF(ISNUMBER(B3803),TEXT(B3803,"0000"),B3803),Addendum!I:I,"X")&gt;0,10%,0)</f>
        <v>0</v>
      </c>
      <c r="M3803" s="34">
        <f t="shared" si="118"/>
        <v>0</v>
      </c>
      <c r="N3803" s="17">
        <f t="shared" si="119"/>
        <v>36820.027999999998</v>
      </c>
    </row>
    <row r="3804" spans="1:14" x14ac:dyDescent="0.25">
      <c r="A3804" s="17"/>
      <c r="B3804" s="17"/>
      <c r="C3804" s="15" t="s">
        <v>2880</v>
      </c>
      <c r="D3804" s="14"/>
      <c r="E3804" s="14" t="s">
        <v>2841</v>
      </c>
      <c r="F3804" s="17" t="s">
        <v>2994</v>
      </c>
      <c r="G3804" s="14">
        <v>5694</v>
      </c>
      <c r="H3804" s="14">
        <v>4985.0969999999998</v>
      </c>
      <c r="I3804" s="31">
        <f>IF(COUNTIFS(Addendum!C:C,A3804,Addendum!D:D,IF(ISNUMBER(B3804),TEXT(B3804,"0000"),B3804),Addendum!E:E,"X")&gt;0,4%,0)</f>
        <v>0</v>
      </c>
      <c r="J3804" s="31">
        <f>IF(COUNTIFS(Addendum!C:C,A3804,Addendum!D:D,IF(ISNUMBER(B3804),TEXT(B3804,"0000"),B3804),Addendum!F:F,"X")&gt;0,2.5%,0)</f>
        <v>0</v>
      </c>
      <c r="K3804" s="31">
        <f>IF(COUNTIFS(Addendum!C:C,A3804,Addendum!D:D,IF(ISNUMBER(B3804),TEXT(B3804,"0000"),B3804),Addendum!G:G,"X")&gt;0,7%,0)</f>
        <v>0</v>
      </c>
      <c r="L3804" s="31">
        <f>IF(COUNTIFS(Addendum!C:C,A3804,Addendum!D:D,IF(ISNUMBER(B3804),TEXT(B3804,"0000"),B3804),Addendum!I:I,"X")&gt;0,10%,0)</f>
        <v>0</v>
      </c>
      <c r="M3804" s="34">
        <f t="shared" si="118"/>
        <v>0</v>
      </c>
      <c r="N3804" s="17">
        <f t="shared" si="119"/>
        <v>4985.0969999999998</v>
      </c>
    </row>
    <row r="3805" spans="1:14" x14ac:dyDescent="0.25">
      <c r="A3805" s="17"/>
      <c r="B3805" s="17"/>
      <c r="C3805" s="15" t="s">
        <v>2880</v>
      </c>
      <c r="D3805" s="14"/>
      <c r="E3805" s="14" t="s">
        <v>2841</v>
      </c>
      <c r="F3805" s="17" t="s">
        <v>2995</v>
      </c>
      <c r="G3805" s="14">
        <v>10514</v>
      </c>
      <c r="H3805" s="14">
        <v>9205.0069999999996</v>
      </c>
      <c r="I3805" s="31">
        <f>IF(COUNTIFS(Addendum!C:C,A3805,Addendum!D:D,IF(ISNUMBER(B3805),TEXT(B3805,"0000"),B3805),Addendum!E:E,"X")&gt;0,4%,0)</f>
        <v>0</v>
      </c>
      <c r="J3805" s="31">
        <f>IF(COUNTIFS(Addendum!C:C,A3805,Addendum!D:D,IF(ISNUMBER(B3805),TEXT(B3805,"0000"),B3805),Addendum!F:F,"X")&gt;0,2.5%,0)</f>
        <v>0</v>
      </c>
      <c r="K3805" s="31">
        <f>IF(COUNTIFS(Addendum!C:C,A3805,Addendum!D:D,IF(ISNUMBER(B3805),TEXT(B3805,"0000"),B3805),Addendum!G:G,"X")&gt;0,7%,0)</f>
        <v>0</v>
      </c>
      <c r="L3805" s="31">
        <f>IF(COUNTIFS(Addendum!C:C,A3805,Addendum!D:D,IF(ISNUMBER(B3805),TEXT(B3805,"0000"),B3805),Addendum!I:I,"X")&gt;0,10%,0)</f>
        <v>0</v>
      </c>
      <c r="M3805" s="34">
        <f t="shared" si="118"/>
        <v>0</v>
      </c>
      <c r="N3805" s="17">
        <f t="shared" si="119"/>
        <v>9205.0069999999996</v>
      </c>
    </row>
    <row r="3806" spans="1:14" x14ac:dyDescent="0.25">
      <c r="A3806" s="17"/>
      <c r="B3806" s="17"/>
      <c r="C3806" s="15" t="s">
        <v>2881</v>
      </c>
      <c r="D3806" s="14"/>
      <c r="E3806" s="14" t="s">
        <v>2841</v>
      </c>
      <c r="F3806" s="17" t="s">
        <v>2994</v>
      </c>
      <c r="G3806" s="14">
        <v>1954</v>
      </c>
      <c r="H3806" s="14">
        <v>1911.989</v>
      </c>
      <c r="I3806" s="31">
        <f>IF(COUNTIFS(Addendum!C:C,A3806,Addendum!D:D,IF(ISNUMBER(B3806),TEXT(B3806,"0000"),B3806),Addendum!E:E,"X")&gt;0,4%,0)</f>
        <v>0</v>
      </c>
      <c r="J3806" s="31">
        <f>IF(COUNTIFS(Addendum!C:C,A3806,Addendum!D:D,IF(ISNUMBER(B3806),TEXT(B3806,"0000"),B3806),Addendum!F:F,"X")&gt;0,2.5%,0)</f>
        <v>0</v>
      </c>
      <c r="K3806" s="31">
        <f>IF(COUNTIFS(Addendum!C:C,A3806,Addendum!D:D,IF(ISNUMBER(B3806),TEXT(B3806,"0000"),B3806),Addendum!G:G,"X")&gt;0,7%,0)</f>
        <v>0</v>
      </c>
      <c r="L3806" s="31">
        <f>IF(COUNTIFS(Addendum!C:C,A3806,Addendum!D:D,IF(ISNUMBER(B3806),TEXT(B3806,"0000"),B3806),Addendum!I:I,"X")&gt;0,10%,0)</f>
        <v>0</v>
      </c>
      <c r="M3806" s="34">
        <f t="shared" si="118"/>
        <v>0</v>
      </c>
      <c r="N3806" s="17">
        <f t="shared" si="119"/>
        <v>1911.989</v>
      </c>
    </row>
    <row r="3807" spans="1:14" x14ac:dyDescent="0.25">
      <c r="A3807" s="17"/>
      <c r="B3807" s="17"/>
      <c r="C3807" s="15" t="s">
        <v>2881</v>
      </c>
      <c r="D3807" s="14"/>
      <c r="E3807" s="14" t="s">
        <v>2841</v>
      </c>
      <c r="F3807" s="17" t="s">
        <v>2993</v>
      </c>
      <c r="G3807" s="14">
        <v>14443</v>
      </c>
      <c r="H3807" s="14">
        <v>14132.4755</v>
      </c>
      <c r="I3807" s="31">
        <f>IF(COUNTIFS(Addendum!C:C,A3807,Addendum!D:D,IF(ISNUMBER(B3807),TEXT(B3807,"0000"),B3807),Addendum!E:E,"X")&gt;0,4%,0)</f>
        <v>0</v>
      </c>
      <c r="J3807" s="31">
        <f>IF(COUNTIFS(Addendum!C:C,A3807,Addendum!D:D,IF(ISNUMBER(B3807),TEXT(B3807,"0000"),B3807),Addendum!F:F,"X")&gt;0,2.5%,0)</f>
        <v>0</v>
      </c>
      <c r="K3807" s="31">
        <f>IF(COUNTIFS(Addendum!C:C,A3807,Addendum!D:D,IF(ISNUMBER(B3807),TEXT(B3807,"0000"),B3807),Addendum!G:G,"X")&gt;0,7%,0)</f>
        <v>0</v>
      </c>
      <c r="L3807" s="31">
        <f>IF(COUNTIFS(Addendum!C:C,A3807,Addendum!D:D,IF(ISNUMBER(B3807),TEXT(B3807,"0000"),B3807),Addendum!I:I,"X")&gt;0,10%,0)</f>
        <v>0</v>
      </c>
      <c r="M3807" s="34">
        <f t="shared" si="118"/>
        <v>0</v>
      </c>
      <c r="N3807" s="17">
        <f t="shared" si="119"/>
        <v>14132.4755</v>
      </c>
    </row>
    <row r="3808" spans="1:14" x14ac:dyDescent="0.25">
      <c r="A3808" s="17"/>
      <c r="B3808" s="17"/>
      <c r="C3808" s="15" t="s">
        <v>2881</v>
      </c>
      <c r="D3808" s="14"/>
      <c r="E3808" s="14" t="s">
        <v>2841</v>
      </c>
      <c r="F3808" s="17" t="s">
        <v>2995</v>
      </c>
      <c r="G3808" s="14">
        <v>3610</v>
      </c>
      <c r="H3808" s="14">
        <v>3532.3850000000002</v>
      </c>
      <c r="I3808" s="31">
        <f>IF(COUNTIFS(Addendum!C:C,A3808,Addendum!D:D,IF(ISNUMBER(B3808),TEXT(B3808,"0000"),B3808),Addendum!E:E,"X")&gt;0,4%,0)</f>
        <v>0</v>
      </c>
      <c r="J3808" s="31">
        <f>IF(COUNTIFS(Addendum!C:C,A3808,Addendum!D:D,IF(ISNUMBER(B3808),TEXT(B3808,"0000"),B3808),Addendum!F:F,"X")&gt;0,2.5%,0)</f>
        <v>0</v>
      </c>
      <c r="K3808" s="31">
        <f>IF(COUNTIFS(Addendum!C:C,A3808,Addendum!D:D,IF(ISNUMBER(B3808),TEXT(B3808,"0000"),B3808),Addendum!G:G,"X")&gt;0,7%,0)</f>
        <v>0</v>
      </c>
      <c r="L3808" s="31">
        <f>IF(COUNTIFS(Addendum!C:C,A3808,Addendum!D:D,IF(ISNUMBER(B3808),TEXT(B3808,"0000"),B3808),Addendum!I:I,"X")&gt;0,10%,0)</f>
        <v>0</v>
      </c>
      <c r="M3808" s="34">
        <f t="shared" si="118"/>
        <v>0</v>
      </c>
      <c r="N3808" s="17">
        <f t="shared" si="119"/>
        <v>3532.3850000000002</v>
      </c>
    </row>
    <row r="3809" spans="1:14" x14ac:dyDescent="0.25">
      <c r="A3809" s="17"/>
      <c r="B3809" s="17"/>
      <c r="C3809" s="15" t="s">
        <v>2882</v>
      </c>
      <c r="D3809" s="14"/>
      <c r="E3809" s="14" t="s">
        <v>2841</v>
      </c>
      <c r="F3809" s="17" t="s">
        <v>2994</v>
      </c>
      <c r="G3809" s="14">
        <v>1954</v>
      </c>
      <c r="H3809" s="14">
        <v>1911.989</v>
      </c>
      <c r="I3809" s="31">
        <f>IF(COUNTIFS(Addendum!C:C,A3809,Addendum!D:D,IF(ISNUMBER(B3809),TEXT(B3809,"0000"),B3809),Addendum!E:E,"X")&gt;0,4%,0)</f>
        <v>0</v>
      </c>
      <c r="J3809" s="31">
        <f>IF(COUNTIFS(Addendum!C:C,A3809,Addendum!D:D,IF(ISNUMBER(B3809),TEXT(B3809,"0000"),B3809),Addendum!F:F,"X")&gt;0,2.5%,0)</f>
        <v>0</v>
      </c>
      <c r="K3809" s="31">
        <f>IF(COUNTIFS(Addendum!C:C,A3809,Addendum!D:D,IF(ISNUMBER(B3809),TEXT(B3809,"0000"),B3809),Addendum!G:G,"X")&gt;0,7%,0)</f>
        <v>0</v>
      </c>
      <c r="L3809" s="31">
        <f>IF(COUNTIFS(Addendum!C:C,A3809,Addendum!D:D,IF(ISNUMBER(B3809),TEXT(B3809,"0000"),B3809),Addendum!I:I,"X")&gt;0,10%,0)</f>
        <v>0</v>
      </c>
      <c r="M3809" s="34">
        <f t="shared" si="118"/>
        <v>0</v>
      </c>
      <c r="N3809" s="17">
        <f t="shared" si="119"/>
        <v>1911.989</v>
      </c>
    </row>
    <row r="3810" spans="1:14" x14ac:dyDescent="0.25">
      <c r="A3810" s="17"/>
      <c r="B3810" s="17"/>
      <c r="C3810" s="15" t="s">
        <v>2882</v>
      </c>
      <c r="D3810" s="14"/>
      <c r="E3810" s="14" t="s">
        <v>2841</v>
      </c>
      <c r="F3810" s="17" t="s">
        <v>2995</v>
      </c>
      <c r="G3810" s="14">
        <v>3610</v>
      </c>
      <c r="H3810" s="14">
        <v>3532.3850000000002</v>
      </c>
      <c r="I3810" s="31">
        <f>IF(COUNTIFS(Addendum!C:C,A3810,Addendum!D:D,IF(ISNUMBER(B3810),TEXT(B3810,"0000"),B3810),Addendum!E:E,"X")&gt;0,4%,0)</f>
        <v>0</v>
      </c>
      <c r="J3810" s="31">
        <f>IF(COUNTIFS(Addendum!C:C,A3810,Addendum!D:D,IF(ISNUMBER(B3810),TEXT(B3810,"0000"),B3810),Addendum!F:F,"X")&gt;0,2.5%,0)</f>
        <v>0</v>
      </c>
      <c r="K3810" s="31">
        <f>IF(COUNTIFS(Addendum!C:C,A3810,Addendum!D:D,IF(ISNUMBER(B3810),TEXT(B3810,"0000"),B3810),Addendum!G:G,"X")&gt;0,7%,0)</f>
        <v>0</v>
      </c>
      <c r="L3810" s="31">
        <f>IF(COUNTIFS(Addendum!C:C,A3810,Addendum!D:D,IF(ISNUMBER(B3810),TEXT(B3810,"0000"),B3810),Addendum!I:I,"X")&gt;0,10%,0)</f>
        <v>0</v>
      </c>
      <c r="M3810" s="34">
        <f t="shared" si="118"/>
        <v>0</v>
      </c>
      <c r="N3810" s="17">
        <f t="shared" si="119"/>
        <v>3532.3850000000002</v>
      </c>
    </row>
    <row r="3811" spans="1:14" x14ac:dyDescent="0.25">
      <c r="A3811" s="17"/>
      <c r="B3811" s="17"/>
      <c r="C3811" s="15" t="s">
        <v>2882</v>
      </c>
      <c r="D3811" s="14"/>
      <c r="E3811" s="14" t="s">
        <v>2841</v>
      </c>
      <c r="F3811" s="17" t="s">
        <v>2993</v>
      </c>
      <c r="G3811" s="14">
        <v>14443</v>
      </c>
      <c r="H3811" s="14">
        <v>14132.4755</v>
      </c>
      <c r="I3811" s="31">
        <f>IF(COUNTIFS(Addendum!C:C,A3811,Addendum!D:D,IF(ISNUMBER(B3811),TEXT(B3811,"0000"),B3811),Addendum!E:E,"X")&gt;0,4%,0)</f>
        <v>0</v>
      </c>
      <c r="J3811" s="31">
        <f>IF(COUNTIFS(Addendum!C:C,A3811,Addendum!D:D,IF(ISNUMBER(B3811),TEXT(B3811,"0000"),B3811),Addendum!F:F,"X")&gt;0,2.5%,0)</f>
        <v>0</v>
      </c>
      <c r="K3811" s="31">
        <f>IF(COUNTIFS(Addendum!C:C,A3811,Addendum!D:D,IF(ISNUMBER(B3811),TEXT(B3811,"0000"),B3811),Addendum!G:G,"X")&gt;0,7%,0)</f>
        <v>0</v>
      </c>
      <c r="L3811" s="31">
        <f>IF(COUNTIFS(Addendum!C:C,A3811,Addendum!D:D,IF(ISNUMBER(B3811),TEXT(B3811,"0000"),B3811),Addendum!I:I,"X")&gt;0,10%,0)</f>
        <v>0</v>
      </c>
      <c r="M3811" s="34">
        <f t="shared" si="118"/>
        <v>0</v>
      </c>
      <c r="N3811" s="17">
        <f t="shared" si="119"/>
        <v>14132.4755</v>
      </c>
    </row>
    <row r="3812" spans="1:14" x14ac:dyDescent="0.25">
      <c r="A3812" s="17"/>
      <c r="B3812" s="17"/>
      <c r="C3812" s="15" t="s">
        <v>2883</v>
      </c>
      <c r="D3812" s="14"/>
      <c r="E3812" s="14" t="s">
        <v>2841</v>
      </c>
      <c r="F3812" s="17" t="s">
        <v>2995</v>
      </c>
      <c r="G3812" s="14">
        <v>3610</v>
      </c>
      <c r="H3812" s="14">
        <v>3532.3850000000002</v>
      </c>
      <c r="I3812" s="31">
        <f>IF(COUNTIFS(Addendum!C:C,A3812,Addendum!D:D,IF(ISNUMBER(B3812),TEXT(B3812,"0000"),B3812),Addendum!E:E,"X")&gt;0,4%,0)</f>
        <v>0</v>
      </c>
      <c r="J3812" s="31">
        <f>IF(COUNTIFS(Addendum!C:C,A3812,Addendum!D:D,IF(ISNUMBER(B3812),TEXT(B3812,"0000"),B3812),Addendum!F:F,"X")&gt;0,2.5%,0)</f>
        <v>0</v>
      </c>
      <c r="K3812" s="31">
        <f>IF(COUNTIFS(Addendum!C:C,A3812,Addendum!D:D,IF(ISNUMBER(B3812),TEXT(B3812,"0000"),B3812),Addendum!G:G,"X")&gt;0,7%,0)</f>
        <v>0</v>
      </c>
      <c r="L3812" s="31">
        <f>IF(COUNTIFS(Addendum!C:C,A3812,Addendum!D:D,IF(ISNUMBER(B3812),TEXT(B3812,"0000"),B3812),Addendum!I:I,"X")&gt;0,10%,0)</f>
        <v>0</v>
      </c>
      <c r="M3812" s="34">
        <f t="shared" si="118"/>
        <v>0</v>
      </c>
      <c r="N3812" s="17">
        <f t="shared" si="119"/>
        <v>3532.3850000000002</v>
      </c>
    </row>
    <row r="3813" spans="1:14" x14ac:dyDescent="0.25">
      <c r="A3813" s="17"/>
      <c r="B3813" s="17"/>
      <c r="C3813" s="15" t="s">
        <v>2883</v>
      </c>
      <c r="D3813" s="14"/>
      <c r="E3813" s="14" t="s">
        <v>2841</v>
      </c>
      <c r="F3813" s="17" t="s">
        <v>2994</v>
      </c>
      <c r="G3813" s="14">
        <v>1954</v>
      </c>
      <c r="H3813" s="14">
        <v>1911.989</v>
      </c>
      <c r="I3813" s="31">
        <f>IF(COUNTIFS(Addendum!C:C,A3813,Addendum!D:D,IF(ISNUMBER(B3813),TEXT(B3813,"0000"),B3813),Addendum!E:E,"X")&gt;0,4%,0)</f>
        <v>0</v>
      </c>
      <c r="J3813" s="31">
        <f>IF(COUNTIFS(Addendum!C:C,A3813,Addendum!D:D,IF(ISNUMBER(B3813),TEXT(B3813,"0000"),B3813),Addendum!F:F,"X")&gt;0,2.5%,0)</f>
        <v>0</v>
      </c>
      <c r="K3813" s="31">
        <f>IF(COUNTIFS(Addendum!C:C,A3813,Addendum!D:D,IF(ISNUMBER(B3813),TEXT(B3813,"0000"),B3813),Addendum!G:G,"X")&gt;0,7%,0)</f>
        <v>0</v>
      </c>
      <c r="L3813" s="31">
        <f>IF(COUNTIFS(Addendum!C:C,A3813,Addendum!D:D,IF(ISNUMBER(B3813),TEXT(B3813,"0000"),B3813),Addendum!I:I,"X")&gt;0,10%,0)</f>
        <v>0</v>
      </c>
      <c r="M3813" s="34">
        <f t="shared" si="118"/>
        <v>0</v>
      </c>
      <c r="N3813" s="17">
        <f t="shared" si="119"/>
        <v>1911.989</v>
      </c>
    </row>
    <row r="3814" spans="1:14" x14ac:dyDescent="0.25">
      <c r="A3814" s="17"/>
      <c r="B3814" s="17"/>
      <c r="C3814" s="15" t="s">
        <v>2883</v>
      </c>
      <c r="D3814" s="14"/>
      <c r="E3814" s="14" t="s">
        <v>2841</v>
      </c>
      <c r="F3814" s="17" t="s">
        <v>2993</v>
      </c>
      <c r="G3814" s="14">
        <v>14443</v>
      </c>
      <c r="H3814" s="14">
        <v>14132.4755</v>
      </c>
      <c r="I3814" s="31">
        <f>IF(COUNTIFS(Addendum!C:C,A3814,Addendum!D:D,IF(ISNUMBER(B3814),TEXT(B3814,"0000"),B3814),Addendum!E:E,"X")&gt;0,4%,0)</f>
        <v>0</v>
      </c>
      <c r="J3814" s="31">
        <f>IF(COUNTIFS(Addendum!C:C,A3814,Addendum!D:D,IF(ISNUMBER(B3814),TEXT(B3814,"0000"),B3814),Addendum!F:F,"X")&gt;0,2.5%,0)</f>
        <v>0</v>
      </c>
      <c r="K3814" s="31">
        <f>IF(COUNTIFS(Addendum!C:C,A3814,Addendum!D:D,IF(ISNUMBER(B3814),TEXT(B3814,"0000"),B3814),Addendum!G:G,"X")&gt;0,7%,0)</f>
        <v>0</v>
      </c>
      <c r="L3814" s="31">
        <f>IF(COUNTIFS(Addendum!C:C,A3814,Addendum!D:D,IF(ISNUMBER(B3814),TEXT(B3814,"0000"),B3814),Addendum!I:I,"X")&gt;0,10%,0)</f>
        <v>0</v>
      </c>
      <c r="M3814" s="34">
        <f t="shared" si="118"/>
        <v>0</v>
      </c>
      <c r="N3814" s="17">
        <f t="shared" si="119"/>
        <v>14132.4755</v>
      </c>
    </row>
    <row r="3815" spans="1:14" x14ac:dyDescent="0.25">
      <c r="A3815" s="17"/>
      <c r="B3815" s="17"/>
      <c r="C3815" s="15" t="s">
        <v>2884</v>
      </c>
      <c r="D3815" s="14"/>
      <c r="E3815" s="14" t="s">
        <v>2841</v>
      </c>
      <c r="F3815" s="17" t="s">
        <v>2994</v>
      </c>
      <c r="G3815" s="14">
        <v>1954</v>
      </c>
      <c r="H3815" s="14">
        <v>1911.989</v>
      </c>
      <c r="I3815" s="31">
        <f>IF(COUNTIFS(Addendum!C:C,A3815,Addendum!D:D,IF(ISNUMBER(B3815),TEXT(B3815,"0000"),B3815),Addendum!E:E,"X")&gt;0,4%,0)</f>
        <v>0</v>
      </c>
      <c r="J3815" s="31">
        <f>IF(COUNTIFS(Addendum!C:C,A3815,Addendum!D:D,IF(ISNUMBER(B3815),TEXT(B3815,"0000"),B3815),Addendum!F:F,"X")&gt;0,2.5%,0)</f>
        <v>0</v>
      </c>
      <c r="K3815" s="31">
        <f>IF(COUNTIFS(Addendum!C:C,A3815,Addendum!D:D,IF(ISNUMBER(B3815),TEXT(B3815,"0000"),B3815),Addendum!G:G,"X")&gt;0,7%,0)</f>
        <v>0</v>
      </c>
      <c r="L3815" s="31">
        <f>IF(COUNTIFS(Addendum!C:C,A3815,Addendum!D:D,IF(ISNUMBER(B3815),TEXT(B3815,"0000"),B3815),Addendum!I:I,"X")&gt;0,10%,0)</f>
        <v>0</v>
      </c>
      <c r="M3815" s="34">
        <f t="shared" si="118"/>
        <v>0</v>
      </c>
      <c r="N3815" s="17">
        <f t="shared" si="119"/>
        <v>1911.989</v>
      </c>
    </row>
    <row r="3816" spans="1:14" x14ac:dyDescent="0.25">
      <c r="A3816" s="17"/>
      <c r="B3816" s="17"/>
      <c r="C3816" s="15" t="s">
        <v>2884</v>
      </c>
      <c r="D3816" s="14"/>
      <c r="E3816" s="14" t="s">
        <v>2841</v>
      </c>
      <c r="F3816" s="17" t="s">
        <v>2995</v>
      </c>
      <c r="G3816" s="14">
        <v>3610</v>
      </c>
      <c r="H3816" s="14">
        <v>3532.3850000000002</v>
      </c>
      <c r="I3816" s="31">
        <f>IF(COUNTIFS(Addendum!C:C,A3816,Addendum!D:D,IF(ISNUMBER(B3816),TEXT(B3816,"0000"),B3816),Addendum!E:E,"X")&gt;0,4%,0)</f>
        <v>0</v>
      </c>
      <c r="J3816" s="31">
        <f>IF(COUNTIFS(Addendum!C:C,A3816,Addendum!D:D,IF(ISNUMBER(B3816),TEXT(B3816,"0000"),B3816),Addendum!F:F,"X")&gt;0,2.5%,0)</f>
        <v>0</v>
      </c>
      <c r="K3816" s="31">
        <f>IF(COUNTIFS(Addendum!C:C,A3816,Addendum!D:D,IF(ISNUMBER(B3816),TEXT(B3816,"0000"),B3816),Addendum!G:G,"X")&gt;0,7%,0)</f>
        <v>0</v>
      </c>
      <c r="L3816" s="31">
        <f>IF(COUNTIFS(Addendum!C:C,A3816,Addendum!D:D,IF(ISNUMBER(B3816),TEXT(B3816,"0000"),B3816),Addendum!I:I,"X")&gt;0,10%,0)</f>
        <v>0</v>
      </c>
      <c r="M3816" s="34">
        <f t="shared" si="118"/>
        <v>0</v>
      </c>
      <c r="N3816" s="17">
        <f t="shared" si="119"/>
        <v>3532.3850000000002</v>
      </c>
    </row>
    <row r="3817" spans="1:14" x14ac:dyDescent="0.25">
      <c r="A3817" s="17"/>
      <c r="B3817" s="17"/>
      <c r="C3817" s="15" t="s">
        <v>2884</v>
      </c>
      <c r="D3817" s="14"/>
      <c r="E3817" s="14" t="s">
        <v>2841</v>
      </c>
      <c r="F3817" s="17" t="s">
        <v>2993</v>
      </c>
      <c r="G3817" s="14">
        <v>14443</v>
      </c>
      <c r="H3817" s="14">
        <v>14132.4755</v>
      </c>
      <c r="I3817" s="31">
        <f>IF(COUNTIFS(Addendum!C:C,A3817,Addendum!D:D,IF(ISNUMBER(B3817),TEXT(B3817,"0000"),B3817),Addendum!E:E,"X")&gt;0,4%,0)</f>
        <v>0</v>
      </c>
      <c r="J3817" s="31">
        <f>IF(COUNTIFS(Addendum!C:C,A3817,Addendum!D:D,IF(ISNUMBER(B3817),TEXT(B3817,"0000"),B3817),Addendum!F:F,"X")&gt;0,2.5%,0)</f>
        <v>0</v>
      </c>
      <c r="K3817" s="31">
        <f>IF(COUNTIFS(Addendum!C:C,A3817,Addendum!D:D,IF(ISNUMBER(B3817),TEXT(B3817,"0000"),B3817),Addendum!G:G,"X")&gt;0,7%,0)</f>
        <v>0</v>
      </c>
      <c r="L3817" s="31">
        <f>IF(COUNTIFS(Addendum!C:C,A3817,Addendum!D:D,IF(ISNUMBER(B3817),TEXT(B3817,"0000"),B3817),Addendum!I:I,"X")&gt;0,10%,0)</f>
        <v>0</v>
      </c>
      <c r="M3817" s="34">
        <f t="shared" si="118"/>
        <v>0</v>
      </c>
      <c r="N3817" s="17">
        <f t="shared" si="119"/>
        <v>14132.4755</v>
      </c>
    </row>
    <row r="3818" spans="1:14" x14ac:dyDescent="0.25">
      <c r="A3818" s="17"/>
      <c r="B3818" s="17"/>
      <c r="C3818" s="15" t="s">
        <v>2885</v>
      </c>
      <c r="D3818" s="14"/>
      <c r="E3818" s="14" t="s">
        <v>2841</v>
      </c>
      <c r="F3818" s="17" t="s">
        <v>2995</v>
      </c>
      <c r="G3818" s="14">
        <v>24001</v>
      </c>
      <c r="H3818" s="14">
        <v>21012.875499999998</v>
      </c>
      <c r="I3818" s="31">
        <f>IF(COUNTIFS(Addendum!C:C,A3818,Addendum!D:D,IF(ISNUMBER(B3818),TEXT(B3818,"0000"),B3818),Addendum!E:E,"X")&gt;0,4%,0)</f>
        <v>0</v>
      </c>
      <c r="J3818" s="31">
        <f>IF(COUNTIFS(Addendum!C:C,A3818,Addendum!D:D,IF(ISNUMBER(B3818),TEXT(B3818,"0000"),B3818),Addendum!F:F,"X")&gt;0,2.5%,0)</f>
        <v>0</v>
      </c>
      <c r="K3818" s="31">
        <f>IF(COUNTIFS(Addendum!C:C,A3818,Addendum!D:D,IF(ISNUMBER(B3818),TEXT(B3818,"0000"),B3818),Addendum!G:G,"X")&gt;0,7%,0)</f>
        <v>0</v>
      </c>
      <c r="L3818" s="31">
        <f>IF(COUNTIFS(Addendum!C:C,A3818,Addendum!D:D,IF(ISNUMBER(B3818),TEXT(B3818,"0000"),B3818),Addendum!I:I,"X")&gt;0,10%,0)</f>
        <v>0</v>
      </c>
      <c r="M3818" s="34">
        <f t="shared" si="118"/>
        <v>0</v>
      </c>
      <c r="N3818" s="17">
        <f t="shared" si="119"/>
        <v>21012.875499999998</v>
      </c>
    </row>
    <row r="3819" spans="1:14" x14ac:dyDescent="0.25">
      <c r="A3819" s="17"/>
      <c r="B3819" s="17"/>
      <c r="C3819" s="15" t="s">
        <v>2885</v>
      </c>
      <c r="D3819" s="14"/>
      <c r="E3819" s="14" t="s">
        <v>2841</v>
      </c>
      <c r="F3819" s="17" t="s">
        <v>2993</v>
      </c>
      <c r="G3819" s="14">
        <v>96006</v>
      </c>
      <c r="H3819" s="14">
        <v>84053.253000000012</v>
      </c>
      <c r="I3819" s="31">
        <f>IF(COUNTIFS(Addendum!C:C,A3819,Addendum!D:D,IF(ISNUMBER(B3819),TEXT(B3819,"0000"),B3819),Addendum!E:E,"X")&gt;0,4%,0)</f>
        <v>0</v>
      </c>
      <c r="J3819" s="31">
        <f>IF(COUNTIFS(Addendum!C:C,A3819,Addendum!D:D,IF(ISNUMBER(B3819),TEXT(B3819,"0000"),B3819),Addendum!F:F,"X")&gt;0,2.5%,0)</f>
        <v>0</v>
      </c>
      <c r="K3819" s="31">
        <f>IF(COUNTIFS(Addendum!C:C,A3819,Addendum!D:D,IF(ISNUMBER(B3819),TEXT(B3819,"0000"),B3819),Addendum!G:G,"X")&gt;0,7%,0)</f>
        <v>0</v>
      </c>
      <c r="L3819" s="31">
        <f>IF(COUNTIFS(Addendum!C:C,A3819,Addendum!D:D,IF(ISNUMBER(B3819),TEXT(B3819,"0000"),B3819),Addendum!I:I,"X")&gt;0,10%,0)</f>
        <v>0</v>
      </c>
      <c r="M3819" s="34">
        <f t="shared" si="118"/>
        <v>0</v>
      </c>
      <c r="N3819" s="17">
        <f t="shared" si="119"/>
        <v>84053.253000000012</v>
      </c>
    </row>
    <row r="3820" spans="1:14" x14ac:dyDescent="0.25">
      <c r="A3820" s="17"/>
      <c r="B3820" s="17"/>
      <c r="C3820" s="15" t="s">
        <v>2885</v>
      </c>
      <c r="D3820" s="14"/>
      <c r="E3820" s="14" t="s">
        <v>2841</v>
      </c>
      <c r="F3820" s="17" t="s">
        <v>2994</v>
      </c>
      <c r="G3820" s="14">
        <v>14362</v>
      </c>
      <c r="H3820" s="14">
        <v>12573.931</v>
      </c>
      <c r="I3820" s="31">
        <f>IF(COUNTIFS(Addendum!C:C,A3820,Addendum!D:D,IF(ISNUMBER(B3820),TEXT(B3820,"0000"),B3820),Addendum!E:E,"X")&gt;0,4%,0)</f>
        <v>0</v>
      </c>
      <c r="J3820" s="31">
        <f>IF(COUNTIFS(Addendum!C:C,A3820,Addendum!D:D,IF(ISNUMBER(B3820),TEXT(B3820,"0000"),B3820),Addendum!F:F,"X")&gt;0,2.5%,0)</f>
        <v>0</v>
      </c>
      <c r="K3820" s="31">
        <f>IF(COUNTIFS(Addendum!C:C,A3820,Addendum!D:D,IF(ISNUMBER(B3820),TEXT(B3820,"0000"),B3820),Addendum!G:G,"X")&gt;0,7%,0)</f>
        <v>0</v>
      </c>
      <c r="L3820" s="31">
        <f>IF(COUNTIFS(Addendum!C:C,A3820,Addendum!D:D,IF(ISNUMBER(B3820),TEXT(B3820,"0000"),B3820),Addendum!I:I,"X")&gt;0,10%,0)</f>
        <v>0</v>
      </c>
      <c r="M3820" s="34">
        <f t="shared" si="118"/>
        <v>0</v>
      </c>
      <c r="N3820" s="17">
        <f t="shared" si="119"/>
        <v>12573.931</v>
      </c>
    </row>
    <row r="3821" spans="1:14" x14ac:dyDescent="0.25">
      <c r="A3821" s="17"/>
      <c r="B3821" s="17"/>
      <c r="C3821" s="15" t="s">
        <v>2886</v>
      </c>
      <c r="D3821" s="14"/>
      <c r="E3821" s="14" t="s">
        <v>2841</v>
      </c>
      <c r="F3821" s="17" t="s">
        <v>2995</v>
      </c>
      <c r="G3821" s="14">
        <v>211792</v>
      </c>
      <c r="H3821" s="14">
        <v>185423.89600000001</v>
      </c>
      <c r="I3821" s="31">
        <f>IF(COUNTIFS(Addendum!C:C,A3821,Addendum!D:D,IF(ISNUMBER(B3821),TEXT(B3821,"0000"),B3821),Addendum!E:E,"X")&gt;0,4%,0)</f>
        <v>0</v>
      </c>
      <c r="J3821" s="31">
        <f>IF(COUNTIFS(Addendum!C:C,A3821,Addendum!D:D,IF(ISNUMBER(B3821),TEXT(B3821,"0000"),B3821),Addendum!F:F,"X")&gt;0,2.5%,0)</f>
        <v>0</v>
      </c>
      <c r="K3821" s="31">
        <f>IF(COUNTIFS(Addendum!C:C,A3821,Addendum!D:D,IF(ISNUMBER(B3821),TEXT(B3821,"0000"),B3821),Addendum!G:G,"X")&gt;0,7%,0)</f>
        <v>0</v>
      </c>
      <c r="L3821" s="31">
        <f>IF(COUNTIFS(Addendum!C:C,A3821,Addendum!D:D,IF(ISNUMBER(B3821),TEXT(B3821,"0000"),B3821),Addendum!I:I,"X")&gt;0,10%,0)</f>
        <v>0</v>
      </c>
      <c r="M3821" s="34">
        <f t="shared" si="118"/>
        <v>0</v>
      </c>
      <c r="N3821" s="17">
        <f t="shared" si="119"/>
        <v>185423.89600000001</v>
      </c>
    </row>
    <row r="3822" spans="1:14" x14ac:dyDescent="0.25">
      <c r="A3822" s="17"/>
      <c r="B3822" s="17"/>
      <c r="C3822" s="15" t="s">
        <v>2886</v>
      </c>
      <c r="D3822" s="14"/>
      <c r="E3822" s="14" t="s">
        <v>2841</v>
      </c>
      <c r="F3822" s="17" t="s">
        <v>2994</v>
      </c>
      <c r="G3822" s="14">
        <v>132370</v>
      </c>
      <c r="H3822" s="14">
        <v>115889.935</v>
      </c>
      <c r="I3822" s="31">
        <f>IF(COUNTIFS(Addendum!C:C,A3822,Addendum!D:D,IF(ISNUMBER(B3822),TEXT(B3822,"0000"),B3822),Addendum!E:E,"X")&gt;0,4%,0)</f>
        <v>0</v>
      </c>
      <c r="J3822" s="31">
        <f>IF(COUNTIFS(Addendum!C:C,A3822,Addendum!D:D,IF(ISNUMBER(B3822),TEXT(B3822,"0000"),B3822),Addendum!F:F,"X")&gt;0,2.5%,0)</f>
        <v>0</v>
      </c>
      <c r="K3822" s="31">
        <f>IF(COUNTIFS(Addendum!C:C,A3822,Addendum!D:D,IF(ISNUMBER(B3822),TEXT(B3822,"0000"),B3822),Addendum!G:G,"X")&gt;0,7%,0)</f>
        <v>0</v>
      </c>
      <c r="L3822" s="31">
        <f>IF(COUNTIFS(Addendum!C:C,A3822,Addendum!D:D,IF(ISNUMBER(B3822),TEXT(B3822,"0000"),B3822),Addendum!I:I,"X")&gt;0,10%,0)</f>
        <v>0</v>
      </c>
      <c r="M3822" s="34">
        <f t="shared" si="118"/>
        <v>0</v>
      </c>
      <c r="N3822" s="17">
        <f t="shared" si="119"/>
        <v>115889.935</v>
      </c>
    </row>
    <row r="3823" spans="1:14" x14ac:dyDescent="0.25">
      <c r="A3823" s="17"/>
      <c r="B3823" s="17"/>
      <c r="C3823" s="15" t="s">
        <v>2886</v>
      </c>
      <c r="D3823" s="14"/>
      <c r="E3823" s="14" t="s">
        <v>2841</v>
      </c>
      <c r="F3823" s="17" t="s">
        <v>2993</v>
      </c>
      <c r="G3823" s="14">
        <v>529481</v>
      </c>
      <c r="H3823" s="14">
        <v>463560.66700000002</v>
      </c>
      <c r="I3823" s="31">
        <f>IF(COUNTIFS(Addendum!C:C,A3823,Addendum!D:D,IF(ISNUMBER(B3823),TEXT(B3823,"0000"),B3823),Addendum!E:E,"X")&gt;0,4%,0)</f>
        <v>0</v>
      </c>
      <c r="J3823" s="31">
        <f>IF(COUNTIFS(Addendum!C:C,A3823,Addendum!D:D,IF(ISNUMBER(B3823),TEXT(B3823,"0000"),B3823),Addendum!F:F,"X")&gt;0,2.5%,0)</f>
        <v>0</v>
      </c>
      <c r="K3823" s="31">
        <f>IF(COUNTIFS(Addendum!C:C,A3823,Addendum!D:D,IF(ISNUMBER(B3823),TEXT(B3823,"0000"),B3823),Addendum!G:G,"X")&gt;0,7%,0)</f>
        <v>0</v>
      </c>
      <c r="L3823" s="31">
        <f>IF(COUNTIFS(Addendum!C:C,A3823,Addendum!D:D,IF(ISNUMBER(B3823),TEXT(B3823,"0000"),B3823),Addendum!I:I,"X")&gt;0,10%,0)</f>
        <v>0</v>
      </c>
      <c r="M3823" s="34">
        <f t="shared" si="118"/>
        <v>0</v>
      </c>
      <c r="N3823" s="17">
        <f t="shared" si="119"/>
        <v>463560.66700000002</v>
      </c>
    </row>
    <row r="3824" spans="1:14" x14ac:dyDescent="0.25">
      <c r="A3824" s="17"/>
      <c r="B3824" s="17"/>
      <c r="C3824" s="15" t="s">
        <v>2887</v>
      </c>
      <c r="D3824" s="14"/>
      <c r="E3824" s="14" t="s">
        <v>2841</v>
      </c>
      <c r="F3824" s="17" t="s">
        <v>2994</v>
      </c>
      <c r="G3824" s="14">
        <v>3906</v>
      </c>
      <c r="H3824" s="14">
        <v>3419.703</v>
      </c>
      <c r="I3824" s="31">
        <f>IF(COUNTIFS(Addendum!C:C,A3824,Addendum!D:D,IF(ISNUMBER(B3824),TEXT(B3824,"0000"),B3824),Addendum!E:E,"X")&gt;0,4%,0)</f>
        <v>0</v>
      </c>
      <c r="J3824" s="31">
        <f>IF(COUNTIFS(Addendum!C:C,A3824,Addendum!D:D,IF(ISNUMBER(B3824),TEXT(B3824,"0000"),B3824),Addendum!F:F,"X")&gt;0,2.5%,0)</f>
        <v>0</v>
      </c>
      <c r="K3824" s="31">
        <f>IF(COUNTIFS(Addendum!C:C,A3824,Addendum!D:D,IF(ISNUMBER(B3824),TEXT(B3824,"0000"),B3824),Addendum!G:G,"X")&gt;0,7%,0)</f>
        <v>0</v>
      </c>
      <c r="L3824" s="31">
        <f>IF(COUNTIFS(Addendum!C:C,A3824,Addendum!D:D,IF(ISNUMBER(B3824),TEXT(B3824,"0000"),B3824),Addendum!I:I,"X")&gt;0,10%,0)</f>
        <v>0</v>
      </c>
      <c r="M3824" s="34">
        <f t="shared" si="118"/>
        <v>0</v>
      </c>
      <c r="N3824" s="17">
        <f t="shared" si="119"/>
        <v>3419.703</v>
      </c>
    </row>
    <row r="3825" spans="1:14" x14ac:dyDescent="0.25">
      <c r="A3825" s="17"/>
      <c r="B3825" s="17"/>
      <c r="C3825" s="15" t="s">
        <v>2888</v>
      </c>
      <c r="D3825" s="14"/>
      <c r="E3825" s="14" t="s">
        <v>2841</v>
      </c>
      <c r="F3825" s="17" t="s">
        <v>2993</v>
      </c>
      <c r="G3825" s="14">
        <v>15802</v>
      </c>
      <c r="H3825" s="14">
        <v>13834.651000000002</v>
      </c>
      <c r="I3825" s="31">
        <f>IF(COUNTIFS(Addendum!C:C,A3825,Addendum!D:D,IF(ISNUMBER(B3825),TEXT(B3825,"0000"),B3825),Addendum!E:E,"X")&gt;0,4%,0)</f>
        <v>0</v>
      </c>
      <c r="J3825" s="31">
        <f>IF(COUNTIFS(Addendum!C:C,A3825,Addendum!D:D,IF(ISNUMBER(B3825),TEXT(B3825,"0000"),B3825),Addendum!F:F,"X")&gt;0,2.5%,0)</f>
        <v>0</v>
      </c>
      <c r="K3825" s="31">
        <f>IF(COUNTIFS(Addendum!C:C,A3825,Addendum!D:D,IF(ISNUMBER(B3825),TEXT(B3825,"0000"),B3825),Addendum!G:G,"X")&gt;0,7%,0)</f>
        <v>0</v>
      </c>
      <c r="L3825" s="31">
        <f>IF(COUNTIFS(Addendum!C:C,A3825,Addendum!D:D,IF(ISNUMBER(B3825),TEXT(B3825,"0000"),B3825),Addendum!I:I,"X")&gt;0,10%,0)</f>
        <v>0</v>
      </c>
      <c r="M3825" s="34">
        <f t="shared" si="118"/>
        <v>0</v>
      </c>
      <c r="N3825" s="17">
        <f t="shared" si="119"/>
        <v>13834.651000000002</v>
      </c>
    </row>
    <row r="3826" spans="1:14" x14ac:dyDescent="0.25">
      <c r="A3826" s="17"/>
      <c r="B3826" s="17"/>
      <c r="C3826" s="15" t="s">
        <v>2887</v>
      </c>
      <c r="D3826" s="14"/>
      <c r="E3826" s="14" t="s">
        <v>2841</v>
      </c>
      <c r="F3826" s="17" t="s">
        <v>2993</v>
      </c>
      <c r="G3826" s="14">
        <v>20560</v>
      </c>
      <c r="H3826" s="14">
        <v>18000.28</v>
      </c>
      <c r="I3826" s="31">
        <f>IF(COUNTIFS(Addendum!C:C,A3826,Addendum!D:D,IF(ISNUMBER(B3826),TEXT(B3826,"0000"),B3826),Addendum!E:E,"X")&gt;0,4%,0)</f>
        <v>0</v>
      </c>
      <c r="J3826" s="31">
        <f>IF(COUNTIFS(Addendum!C:C,A3826,Addendum!D:D,IF(ISNUMBER(B3826),TEXT(B3826,"0000"),B3826),Addendum!F:F,"X")&gt;0,2.5%,0)</f>
        <v>0</v>
      </c>
      <c r="K3826" s="31">
        <f>IF(COUNTIFS(Addendum!C:C,A3826,Addendum!D:D,IF(ISNUMBER(B3826),TEXT(B3826,"0000"),B3826),Addendum!G:G,"X")&gt;0,7%,0)</f>
        <v>0</v>
      </c>
      <c r="L3826" s="31">
        <f>IF(COUNTIFS(Addendum!C:C,A3826,Addendum!D:D,IF(ISNUMBER(B3826),TEXT(B3826,"0000"),B3826),Addendum!I:I,"X")&gt;0,10%,0)</f>
        <v>0</v>
      </c>
      <c r="M3826" s="34">
        <f t="shared" si="118"/>
        <v>0</v>
      </c>
      <c r="N3826" s="17">
        <f t="shared" si="119"/>
        <v>18000.28</v>
      </c>
    </row>
    <row r="3827" spans="1:14" x14ac:dyDescent="0.25">
      <c r="A3827" s="17"/>
      <c r="B3827" s="17"/>
      <c r="C3827" s="15" t="s">
        <v>2887</v>
      </c>
      <c r="D3827" s="14"/>
      <c r="E3827" s="14" t="s">
        <v>2841</v>
      </c>
      <c r="F3827" s="17" t="s">
        <v>2995</v>
      </c>
      <c r="G3827" s="14">
        <v>6373</v>
      </c>
      <c r="H3827" s="14">
        <v>5579.5614999999998</v>
      </c>
      <c r="I3827" s="31">
        <f>IF(COUNTIFS(Addendum!C:C,A3827,Addendum!D:D,IF(ISNUMBER(B3827),TEXT(B3827,"0000"),B3827),Addendum!E:E,"X")&gt;0,4%,0)</f>
        <v>0</v>
      </c>
      <c r="J3827" s="31">
        <f>IF(COUNTIFS(Addendum!C:C,A3827,Addendum!D:D,IF(ISNUMBER(B3827),TEXT(B3827,"0000"),B3827),Addendum!F:F,"X")&gt;0,2.5%,0)</f>
        <v>0</v>
      </c>
      <c r="K3827" s="31">
        <f>IF(COUNTIFS(Addendum!C:C,A3827,Addendum!D:D,IF(ISNUMBER(B3827),TEXT(B3827,"0000"),B3827),Addendum!G:G,"X")&gt;0,7%,0)</f>
        <v>0</v>
      </c>
      <c r="L3827" s="31">
        <f>IF(COUNTIFS(Addendum!C:C,A3827,Addendum!D:D,IF(ISNUMBER(B3827),TEXT(B3827,"0000"),B3827),Addendum!I:I,"X")&gt;0,10%,0)</f>
        <v>0</v>
      </c>
      <c r="M3827" s="34">
        <f t="shared" si="118"/>
        <v>0</v>
      </c>
      <c r="N3827" s="17">
        <f t="shared" si="119"/>
        <v>5579.5614999999998</v>
      </c>
    </row>
    <row r="3828" spans="1:14" x14ac:dyDescent="0.25">
      <c r="A3828" s="17"/>
      <c r="B3828" s="17"/>
      <c r="C3828" s="15" t="s">
        <v>2888</v>
      </c>
      <c r="D3828" s="14"/>
      <c r="E3828" s="14" t="s">
        <v>2841</v>
      </c>
      <c r="F3828" s="17" t="s">
        <v>2994</v>
      </c>
      <c r="G3828" s="14">
        <v>3950</v>
      </c>
      <c r="H3828" s="14">
        <v>3458.2249999999999</v>
      </c>
      <c r="I3828" s="31">
        <f>IF(COUNTIFS(Addendum!C:C,A3828,Addendum!D:D,IF(ISNUMBER(B3828),TEXT(B3828,"0000"),B3828),Addendum!E:E,"X")&gt;0,4%,0)</f>
        <v>0</v>
      </c>
      <c r="J3828" s="31">
        <f>IF(COUNTIFS(Addendum!C:C,A3828,Addendum!D:D,IF(ISNUMBER(B3828),TEXT(B3828,"0000"),B3828),Addendum!F:F,"X")&gt;0,2.5%,0)</f>
        <v>0</v>
      </c>
      <c r="K3828" s="31">
        <f>IF(COUNTIFS(Addendum!C:C,A3828,Addendum!D:D,IF(ISNUMBER(B3828),TEXT(B3828,"0000"),B3828),Addendum!G:G,"X")&gt;0,7%,0)</f>
        <v>0</v>
      </c>
      <c r="L3828" s="31">
        <f>IF(COUNTIFS(Addendum!C:C,A3828,Addendum!D:D,IF(ISNUMBER(B3828),TEXT(B3828,"0000"),B3828),Addendum!I:I,"X")&gt;0,10%,0)</f>
        <v>0</v>
      </c>
      <c r="M3828" s="34">
        <f t="shared" si="118"/>
        <v>0</v>
      </c>
      <c r="N3828" s="17">
        <f t="shared" si="119"/>
        <v>3458.2249999999999</v>
      </c>
    </row>
    <row r="3829" spans="1:14" x14ac:dyDescent="0.25">
      <c r="A3829" s="17"/>
      <c r="B3829" s="17"/>
      <c r="C3829" s="15" t="s">
        <v>2888</v>
      </c>
      <c r="D3829" s="14"/>
      <c r="E3829" s="14" t="s">
        <v>2841</v>
      </c>
      <c r="F3829" s="17" t="s">
        <v>2995</v>
      </c>
      <c r="G3829" s="14">
        <v>6321</v>
      </c>
      <c r="H3829" s="14">
        <v>5534.0355</v>
      </c>
      <c r="I3829" s="31">
        <f>IF(COUNTIFS(Addendum!C:C,A3829,Addendum!D:D,IF(ISNUMBER(B3829),TEXT(B3829,"0000"),B3829),Addendum!E:E,"X")&gt;0,4%,0)</f>
        <v>0</v>
      </c>
      <c r="J3829" s="31">
        <f>IF(COUNTIFS(Addendum!C:C,A3829,Addendum!D:D,IF(ISNUMBER(B3829),TEXT(B3829,"0000"),B3829),Addendum!F:F,"X")&gt;0,2.5%,0)</f>
        <v>0</v>
      </c>
      <c r="K3829" s="31">
        <f>IF(COUNTIFS(Addendum!C:C,A3829,Addendum!D:D,IF(ISNUMBER(B3829),TEXT(B3829,"0000"),B3829),Addendum!G:G,"X")&gt;0,7%,0)</f>
        <v>0</v>
      </c>
      <c r="L3829" s="31">
        <f>IF(COUNTIFS(Addendum!C:C,A3829,Addendum!D:D,IF(ISNUMBER(B3829),TEXT(B3829,"0000"),B3829),Addendum!I:I,"X")&gt;0,10%,0)</f>
        <v>0</v>
      </c>
      <c r="M3829" s="34">
        <f t="shared" si="118"/>
        <v>0</v>
      </c>
      <c r="N3829" s="17">
        <f t="shared" si="119"/>
        <v>5534.0355</v>
      </c>
    </row>
    <row r="3830" spans="1:14" x14ac:dyDescent="0.25">
      <c r="A3830" s="17"/>
      <c r="B3830" s="17"/>
      <c r="C3830" s="15" t="s">
        <v>2889</v>
      </c>
      <c r="D3830" s="14"/>
      <c r="E3830" s="14" t="s">
        <v>2841</v>
      </c>
      <c r="F3830" s="17" t="s">
        <v>2995</v>
      </c>
      <c r="G3830" s="14">
        <v>23109</v>
      </c>
      <c r="H3830" s="14">
        <v>20231.929500000002</v>
      </c>
      <c r="I3830" s="31">
        <f>IF(COUNTIFS(Addendum!C:C,A3830,Addendum!D:D,IF(ISNUMBER(B3830),TEXT(B3830,"0000"),B3830),Addendum!E:E,"X")&gt;0,4%,0)</f>
        <v>0</v>
      </c>
      <c r="J3830" s="31">
        <f>IF(COUNTIFS(Addendum!C:C,A3830,Addendum!D:D,IF(ISNUMBER(B3830),TEXT(B3830,"0000"),B3830),Addendum!F:F,"X")&gt;0,2.5%,0)</f>
        <v>0</v>
      </c>
      <c r="K3830" s="31">
        <f>IF(COUNTIFS(Addendum!C:C,A3830,Addendum!D:D,IF(ISNUMBER(B3830),TEXT(B3830,"0000"),B3830),Addendum!G:G,"X")&gt;0,7%,0)</f>
        <v>0</v>
      </c>
      <c r="L3830" s="31">
        <f>IF(COUNTIFS(Addendum!C:C,A3830,Addendum!D:D,IF(ISNUMBER(B3830),TEXT(B3830,"0000"),B3830),Addendum!I:I,"X")&gt;0,10%,0)</f>
        <v>0</v>
      </c>
      <c r="M3830" s="34">
        <f t="shared" si="118"/>
        <v>0</v>
      </c>
      <c r="N3830" s="17">
        <f t="shared" si="119"/>
        <v>20231.929500000002</v>
      </c>
    </row>
    <row r="3831" spans="1:14" x14ac:dyDescent="0.25">
      <c r="A3831" s="17"/>
      <c r="B3831" s="17"/>
      <c r="C3831" s="15" t="s">
        <v>2889</v>
      </c>
      <c r="D3831" s="14"/>
      <c r="E3831" s="14" t="s">
        <v>2841</v>
      </c>
      <c r="F3831" s="17" t="s">
        <v>2993</v>
      </c>
      <c r="G3831" s="14">
        <v>57774</v>
      </c>
      <c r="H3831" s="14">
        <v>50581.137000000002</v>
      </c>
      <c r="I3831" s="31">
        <f>IF(COUNTIFS(Addendum!C:C,A3831,Addendum!D:D,IF(ISNUMBER(B3831),TEXT(B3831,"0000"),B3831),Addendum!E:E,"X")&gt;0,4%,0)</f>
        <v>0</v>
      </c>
      <c r="J3831" s="31">
        <f>IF(COUNTIFS(Addendum!C:C,A3831,Addendum!D:D,IF(ISNUMBER(B3831),TEXT(B3831,"0000"),B3831),Addendum!F:F,"X")&gt;0,2.5%,0)</f>
        <v>0</v>
      </c>
      <c r="K3831" s="31">
        <f>IF(COUNTIFS(Addendum!C:C,A3831,Addendum!D:D,IF(ISNUMBER(B3831),TEXT(B3831,"0000"),B3831),Addendum!G:G,"X")&gt;0,7%,0)</f>
        <v>0</v>
      </c>
      <c r="L3831" s="31">
        <f>IF(COUNTIFS(Addendum!C:C,A3831,Addendum!D:D,IF(ISNUMBER(B3831),TEXT(B3831,"0000"),B3831),Addendum!I:I,"X")&gt;0,10%,0)</f>
        <v>0</v>
      </c>
      <c r="M3831" s="34">
        <f t="shared" si="118"/>
        <v>0</v>
      </c>
      <c r="N3831" s="17">
        <f t="shared" si="119"/>
        <v>50581.137000000002</v>
      </c>
    </row>
    <row r="3832" spans="1:14" x14ac:dyDescent="0.25">
      <c r="A3832" s="17"/>
      <c r="B3832" s="17"/>
      <c r="C3832" s="15" t="s">
        <v>2889</v>
      </c>
      <c r="D3832" s="14"/>
      <c r="E3832" s="14" t="s">
        <v>2841</v>
      </c>
      <c r="F3832" s="17" t="s">
        <v>2994</v>
      </c>
      <c r="G3832" s="14">
        <v>8666</v>
      </c>
      <c r="H3832" s="14">
        <v>7587.0830000000005</v>
      </c>
      <c r="I3832" s="31">
        <f>IF(COUNTIFS(Addendum!C:C,A3832,Addendum!D:D,IF(ISNUMBER(B3832),TEXT(B3832,"0000"),B3832),Addendum!E:E,"X")&gt;0,4%,0)</f>
        <v>0</v>
      </c>
      <c r="J3832" s="31">
        <f>IF(COUNTIFS(Addendum!C:C,A3832,Addendum!D:D,IF(ISNUMBER(B3832),TEXT(B3832,"0000"),B3832),Addendum!F:F,"X")&gt;0,2.5%,0)</f>
        <v>0</v>
      </c>
      <c r="K3832" s="31">
        <f>IF(COUNTIFS(Addendum!C:C,A3832,Addendum!D:D,IF(ISNUMBER(B3832),TEXT(B3832,"0000"),B3832),Addendum!G:G,"X")&gt;0,7%,0)</f>
        <v>0</v>
      </c>
      <c r="L3832" s="31">
        <f>IF(COUNTIFS(Addendum!C:C,A3832,Addendum!D:D,IF(ISNUMBER(B3832),TEXT(B3832,"0000"),B3832),Addendum!I:I,"X")&gt;0,10%,0)</f>
        <v>0</v>
      </c>
      <c r="M3832" s="34">
        <f t="shared" si="118"/>
        <v>0</v>
      </c>
      <c r="N3832" s="17">
        <f t="shared" si="119"/>
        <v>7587.0830000000005</v>
      </c>
    </row>
    <row r="3833" spans="1:14" x14ac:dyDescent="0.25">
      <c r="A3833" s="17"/>
      <c r="B3833" s="17"/>
      <c r="C3833" s="15" t="s">
        <v>2890</v>
      </c>
      <c r="D3833" s="14"/>
      <c r="E3833" s="14" t="s">
        <v>2841</v>
      </c>
      <c r="F3833" s="17" t="s">
        <v>2995</v>
      </c>
      <c r="G3833" s="14">
        <v>3126</v>
      </c>
      <c r="H3833" s="14">
        <v>2736.8130000000001</v>
      </c>
      <c r="I3833" s="31">
        <f>IF(COUNTIFS(Addendum!C:C,A3833,Addendum!D:D,IF(ISNUMBER(B3833),TEXT(B3833,"0000"),B3833),Addendum!E:E,"X")&gt;0,4%,0)</f>
        <v>0</v>
      </c>
      <c r="J3833" s="31">
        <f>IF(COUNTIFS(Addendum!C:C,A3833,Addendum!D:D,IF(ISNUMBER(B3833),TEXT(B3833,"0000"),B3833),Addendum!F:F,"X")&gt;0,2.5%,0)</f>
        <v>0</v>
      </c>
      <c r="K3833" s="31">
        <f>IF(COUNTIFS(Addendum!C:C,A3833,Addendum!D:D,IF(ISNUMBER(B3833),TEXT(B3833,"0000"),B3833),Addendum!G:G,"X")&gt;0,7%,0)</f>
        <v>0</v>
      </c>
      <c r="L3833" s="31">
        <f>IF(COUNTIFS(Addendum!C:C,A3833,Addendum!D:D,IF(ISNUMBER(B3833),TEXT(B3833,"0000"),B3833),Addendum!I:I,"X")&gt;0,10%,0)</f>
        <v>0</v>
      </c>
      <c r="M3833" s="34">
        <f t="shared" si="118"/>
        <v>0</v>
      </c>
      <c r="N3833" s="17">
        <f t="shared" si="119"/>
        <v>2736.8130000000001</v>
      </c>
    </row>
    <row r="3834" spans="1:14" x14ac:dyDescent="0.25">
      <c r="A3834" s="17"/>
      <c r="B3834" s="17"/>
      <c r="C3834" s="15" t="s">
        <v>2890</v>
      </c>
      <c r="D3834" s="14"/>
      <c r="E3834" s="14" t="s">
        <v>2841</v>
      </c>
      <c r="F3834" s="17" t="s">
        <v>2993</v>
      </c>
      <c r="G3834" s="14">
        <v>7816</v>
      </c>
      <c r="H3834" s="14">
        <v>6842.9080000000004</v>
      </c>
      <c r="I3834" s="31">
        <f>IF(COUNTIFS(Addendum!C:C,A3834,Addendum!D:D,IF(ISNUMBER(B3834),TEXT(B3834,"0000"),B3834),Addendum!E:E,"X")&gt;0,4%,0)</f>
        <v>0</v>
      </c>
      <c r="J3834" s="31">
        <f>IF(COUNTIFS(Addendum!C:C,A3834,Addendum!D:D,IF(ISNUMBER(B3834),TEXT(B3834,"0000"),B3834),Addendum!F:F,"X")&gt;0,2.5%,0)</f>
        <v>0</v>
      </c>
      <c r="K3834" s="31">
        <f>IF(COUNTIFS(Addendum!C:C,A3834,Addendum!D:D,IF(ISNUMBER(B3834),TEXT(B3834,"0000"),B3834),Addendum!G:G,"X")&gt;0,7%,0)</f>
        <v>0</v>
      </c>
      <c r="L3834" s="31">
        <f>IF(COUNTIFS(Addendum!C:C,A3834,Addendum!D:D,IF(ISNUMBER(B3834),TEXT(B3834,"0000"),B3834),Addendum!I:I,"X")&gt;0,10%,0)</f>
        <v>0</v>
      </c>
      <c r="M3834" s="34">
        <f t="shared" si="118"/>
        <v>0</v>
      </c>
      <c r="N3834" s="17">
        <f t="shared" si="119"/>
        <v>6842.9080000000004</v>
      </c>
    </row>
    <row r="3835" spans="1:14" x14ac:dyDescent="0.25">
      <c r="A3835" s="17"/>
      <c r="B3835" s="17"/>
      <c r="C3835" s="15" t="s">
        <v>2891</v>
      </c>
      <c r="D3835" s="14"/>
      <c r="E3835" s="14" t="s">
        <v>2841</v>
      </c>
      <c r="F3835" s="17" t="s">
        <v>2995</v>
      </c>
      <c r="G3835" s="14">
        <v>3058</v>
      </c>
      <c r="H3835" s="14">
        <v>2677.279</v>
      </c>
      <c r="I3835" s="31">
        <f>IF(COUNTIFS(Addendum!C:C,A3835,Addendum!D:D,IF(ISNUMBER(B3835),TEXT(B3835,"0000"),B3835),Addendum!E:E,"X")&gt;0,4%,0)</f>
        <v>0</v>
      </c>
      <c r="J3835" s="31">
        <f>IF(COUNTIFS(Addendum!C:C,A3835,Addendum!D:D,IF(ISNUMBER(B3835),TEXT(B3835,"0000"),B3835),Addendum!F:F,"X")&gt;0,2.5%,0)</f>
        <v>0</v>
      </c>
      <c r="K3835" s="31">
        <f>IF(COUNTIFS(Addendum!C:C,A3835,Addendum!D:D,IF(ISNUMBER(B3835),TEXT(B3835,"0000"),B3835),Addendum!G:G,"X")&gt;0,7%,0)</f>
        <v>0</v>
      </c>
      <c r="L3835" s="31">
        <f>IF(COUNTIFS(Addendum!C:C,A3835,Addendum!D:D,IF(ISNUMBER(B3835),TEXT(B3835,"0000"),B3835),Addendum!I:I,"X")&gt;0,10%,0)</f>
        <v>0</v>
      </c>
      <c r="M3835" s="34">
        <f t="shared" si="118"/>
        <v>0</v>
      </c>
      <c r="N3835" s="17">
        <f t="shared" si="119"/>
        <v>2677.279</v>
      </c>
    </row>
    <row r="3836" spans="1:14" x14ac:dyDescent="0.25">
      <c r="A3836" s="17"/>
      <c r="B3836" s="17"/>
      <c r="C3836" s="15" t="s">
        <v>2891</v>
      </c>
      <c r="D3836" s="14"/>
      <c r="E3836" s="14" t="s">
        <v>2841</v>
      </c>
      <c r="F3836" s="17" t="s">
        <v>2994</v>
      </c>
      <c r="G3836" s="14">
        <v>1937</v>
      </c>
      <c r="H3836" s="14">
        <v>1695.8434999999999</v>
      </c>
      <c r="I3836" s="31">
        <f>IF(COUNTIFS(Addendum!C:C,A3836,Addendum!D:D,IF(ISNUMBER(B3836),TEXT(B3836,"0000"),B3836),Addendum!E:E,"X")&gt;0,4%,0)</f>
        <v>0</v>
      </c>
      <c r="J3836" s="31">
        <f>IF(COUNTIFS(Addendum!C:C,A3836,Addendum!D:D,IF(ISNUMBER(B3836),TEXT(B3836,"0000"),B3836),Addendum!F:F,"X")&gt;0,2.5%,0)</f>
        <v>0</v>
      </c>
      <c r="K3836" s="31">
        <f>IF(COUNTIFS(Addendum!C:C,A3836,Addendum!D:D,IF(ISNUMBER(B3836),TEXT(B3836,"0000"),B3836),Addendum!G:G,"X")&gt;0,7%,0)</f>
        <v>0</v>
      </c>
      <c r="L3836" s="31">
        <f>IF(COUNTIFS(Addendum!C:C,A3836,Addendum!D:D,IF(ISNUMBER(B3836),TEXT(B3836,"0000"),B3836),Addendum!I:I,"X")&gt;0,10%,0)</f>
        <v>0</v>
      </c>
      <c r="M3836" s="34">
        <f t="shared" si="118"/>
        <v>0</v>
      </c>
      <c r="N3836" s="17">
        <f t="shared" si="119"/>
        <v>1695.8434999999999</v>
      </c>
    </row>
    <row r="3837" spans="1:14" x14ac:dyDescent="0.25">
      <c r="A3837" s="17"/>
      <c r="B3837" s="17"/>
      <c r="C3837" s="15" t="s">
        <v>2890</v>
      </c>
      <c r="D3837" s="14"/>
      <c r="E3837" s="14" t="s">
        <v>2841</v>
      </c>
      <c r="F3837" s="17" t="s">
        <v>2994</v>
      </c>
      <c r="G3837" s="14">
        <v>1954</v>
      </c>
      <c r="H3837" s="14">
        <v>1710.7270000000001</v>
      </c>
      <c r="I3837" s="31">
        <f>IF(COUNTIFS(Addendum!C:C,A3837,Addendum!D:D,IF(ISNUMBER(B3837),TEXT(B3837,"0000"),B3837),Addendum!E:E,"X")&gt;0,4%,0)</f>
        <v>0</v>
      </c>
      <c r="J3837" s="31">
        <f>IF(COUNTIFS(Addendum!C:C,A3837,Addendum!D:D,IF(ISNUMBER(B3837),TEXT(B3837,"0000"),B3837),Addendum!F:F,"X")&gt;0,2.5%,0)</f>
        <v>0</v>
      </c>
      <c r="K3837" s="31">
        <f>IF(COUNTIFS(Addendum!C:C,A3837,Addendum!D:D,IF(ISNUMBER(B3837),TEXT(B3837,"0000"),B3837),Addendum!G:G,"X")&gt;0,7%,0)</f>
        <v>0</v>
      </c>
      <c r="L3837" s="31">
        <f>IF(COUNTIFS(Addendum!C:C,A3837,Addendum!D:D,IF(ISNUMBER(B3837),TEXT(B3837,"0000"),B3837),Addendum!I:I,"X")&gt;0,10%,0)</f>
        <v>0</v>
      </c>
      <c r="M3837" s="34">
        <f t="shared" si="118"/>
        <v>0</v>
      </c>
      <c r="N3837" s="17">
        <f t="shared" si="119"/>
        <v>1710.7270000000001</v>
      </c>
    </row>
    <row r="3838" spans="1:14" x14ac:dyDescent="0.25">
      <c r="A3838" s="17"/>
      <c r="B3838" s="17"/>
      <c r="C3838" s="15" t="s">
        <v>2891</v>
      </c>
      <c r="D3838" s="14"/>
      <c r="E3838" s="14" t="s">
        <v>2841</v>
      </c>
      <c r="F3838" s="17" t="s">
        <v>2993</v>
      </c>
      <c r="G3838" s="14">
        <v>10195</v>
      </c>
      <c r="H3838" s="14">
        <v>8925.7224999999999</v>
      </c>
      <c r="I3838" s="31">
        <f>IF(COUNTIFS(Addendum!C:C,A3838,Addendum!D:D,IF(ISNUMBER(B3838),TEXT(B3838,"0000"),B3838),Addendum!E:E,"X")&gt;0,4%,0)</f>
        <v>0</v>
      </c>
      <c r="J3838" s="31">
        <f>IF(COUNTIFS(Addendum!C:C,A3838,Addendum!D:D,IF(ISNUMBER(B3838),TEXT(B3838,"0000"),B3838),Addendum!F:F,"X")&gt;0,2.5%,0)</f>
        <v>0</v>
      </c>
      <c r="K3838" s="31">
        <f>IF(COUNTIFS(Addendum!C:C,A3838,Addendum!D:D,IF(ISNUMBER(B3838),TEXT(B3838,"0000"),B3838),Addendum!G:G,"X")&gt;0,7%,0)</f>
        <v>0</v>
      </c>
      <c r="L3838" s="31">
        <f>IF(COUNTIFS(Addendum!C:C,A3838,Addendum!D:D,IF(ISNUMBER(B3838),TEXT(B3838,"0000"),B3838),Addendum!I:I,"X")&gt;0,10%,0)</f>
        <v>0</v>
      </c>
      <c r="M3838" s="34">
        <f t="shared" si="118"/>
        <v>0</v>
      </c>
      <c r="N3838" s="17">
        <f t="shared" si="119"/>
        <v>8925.7224999999999</v>
      </c>
    </row>
    <row r="3839" spans="1:14" x14ac:dyDescent="0.25">
      <c r="A3839" s="17"/>
      <c r="B3839" s="17"/>
      <c r="C3839" s="15" t="s">
        <v>2892</v>
      </c>
      <c r="D3839" s="14"/>
      <c r="E3839" s="14" t="s">
        <v>2841</v>
      </c>
      <c r="F3839" s="17" t="s">
        <v>2994</v>
      </c>
      <c r="G3839" s="14">
        <v>2293</v>
      </c>
      <c r="H3839" s="14">
        <v>2007.5215000000001</v>
      </c>
      <c r="I3839" s="31">
        <f>IF(COUNTIFS(Addendum!C:C,A3839,Addendum!D:D,IF(ISNUMBER(B3839),TEXT(B3839,"0000"),B3839),Addendum!E:E,"X")&gt;0,4%,0)</f>
        <v>0</v>
      </c>
      <c r="J3839" s="31">
        <f>IF(COUNTIFS(Addendum!C:C,A3839,Addendum!D:D,IF(ISNUMBER(B3839),TEXT(B3839,"0000"),B3839),Addendum!F:F,"X")&gt;0,2.5%,0)</f>
        <v>0</v>
      </c>
      <c r="K3839" s="31">
        <f>IF(COUNTIFS(Addendum!C:C,A3839,Addendum!D:D,IF(ISNUMBER(B3839),TEXT(B3839,"0000"),B3839),Addendum!G:G,"X")&gt;0,7%,0)</f>
        <v>0</v>
      </c>
      <c r="L3839" s="31">
        <f>IF(COUNTIFS(Addendum!C:C,A3839,Addendum!D:D,IF(ISNUMBER(B3839),TEXT(B3839,"0000"),B3839),Addendum!I:I,"X")&gt;0,10%,0)</f>
        <v>0</v>
      </c>
      <c r="M3839" s="34">
        <f t="shared" si="118"/>
        <v>0</v>
      </c>
      <c r="N3839" s="17">
        <f t="shared" si="119"/>
        <v>2007.5215000000001</v>
      </c>
    </row>
    <row r="3840" spans="1:14" x14ac:dyDescent="0.25">
      <c r="A3840" s="17"/>
      <c r="B3840" s="17"/>
      <c r="C3840" s="15" t="s">
        <v>2892</v>
      </c>
      <c r="D3840" s="14"/>
      <c r="E3840" s="14" t="s">
        <v>2841</v>
      </c>
      <c r="F3840" s="17" t="s">
        <v>2995</v>
      </c>
      <c r="G3840" s="14">
        <v>2293</v>
      </c>
      <c r="H3840" s="14">
        <v>2007.5215000000001</v>
      </c>
      <c r="I3840" s="31">
        <f>IF(COUNTIFS(Addendum!C:C,A3840,Addendum!D:D,IF(ISNUMBER(B3840),TEXT(B3840,"0000"),B3840),Addendum!E:E,"X")&gt;0,4%,0)</f>
        <v>0</v>
      </c>
      <c r="J3840" s="31">
        <f>IF(COUNTIFS(Addendum!C:C,A3840,Addendum!D:D,IF(ISNUMBER(B3840),TEXT(B3840,"0000"),B3840),Addendum!F:F,"X")&gt;0,2.5%,0)</f>
        <v>0</v>
      </c>
      <c r="K3840" s="31">
        <f>IF(COUNTIFS(Addendum!C:C,A3840,Addendum!D:D,IF(ISNUMBER(B3840),TEXT(B3840,"0000"),B3840),Addendum!G:G,"X")&gt;0,7%,0)</f>
        <v>0</v>
      </c>
      <c r="L3840" s="31">
        <f>IF(COUNTIFS(Addendum!C:C,A3840,Addendum!D:D,IF(ISNUMBER(B3840),TEXT(B3840,"0000"),B3840),Addendum!I:I,"X")&gt;0,10%,0)</f>
        <v>0</v>
      </c>
      <c r="M3840" s="34">
        <f t="shared" si="118"/>
        <v>0</v>
      </c>
      <c r="N3840" s="17">
        <f t="shared" si="119"/>
        <v>2007.5215000000001</v>
      </c>
    </row>
    <row r="3841" spans="1:14" x14ac:dyDescent="0.25">
      <c r="A3841" s="17"/>
      <c r="B3841" s="17"/>
      <c r="C3841" s="15" t="s">
        <v>2893</v>
      </c>
      <c r="D3841" s="14"/>
      <c r="E3841" s="14" t="s">
        <v>2841</v>
      </c>
      <c r="F3841" s="17" t="s">
        <v>2993</v>
      </c>
      <c r="G3841" s="14">
        <v>9005</v>
      </c>
      <c r="H3841" s="14">
        <v>7883.8774999999996</v>
      </c>
      <c r="I3841" s="31">
        <f>IF(COUNTIFS(Addendum!C:C,A3841,Addendum!D:D,IF(ISNUMBER(B3841),TEXT(B3841,"0000"),B3841),Addendum!E:E,"X")&gt;0,4%,0)</f>
        <v>0</v>
      </c>
      <c r="J3841" s="31">
        <f>IF(COUNTIFS(Addendum!C:C,A3841,Addendum!D:D,IF(ISNUMBER(B3841),TEXT(B3841,"0000"),B3841),Addendum!F:F,"X")&gt;0,2.5%,0)</f>
        <v>0</v>
      </c>
      <c r="K3841" s="31">
        <f>IF(COUNTIFS(Addendum!C:C,A3841,Addendum!D:D,IF(ISNUMBER(B3841),TEXT(B3841,"0000"),B3841),Addendum!G:G,"X")&gt;0,7%,0)</f>
        <v>0</v>
      </c>
      <c r="L3841" s="31">
        <f>IF(COUNTIFS(Addendum!C:C,A3841,Addendum!D:D,IF(ISNUMBER(B3841),TEXT(B3841,"0000"),B3841),Addendum!I:I,"X")&gt;0,10%,0)</f>
        <v>0</v>
      </c>
      <c r="M3841" s="34">
        <f t="shared" si="118"/>
        <v>0</v>
      </c>
      <c r="N3841" s="17">
        <f t="shared" si="119"/>
        <v>7883.8774999999996</v>
      </c>
    </row>
    <row r="3842" spans="1:14" x14ac:dyDescent="0.25">
      <c r="A3842" s="17"/>
      <c r="B3842" s="17"/>
      <c r="C3842" s="15" t="s">
        <v>2893</v>
      </c>
      <c r="D3842" s="14"/>
      <c r="E3842" s="14" t="s">
        <v>2841</v>
      </c>
      <c r="F3842" s="17" t="s">
        <v>2995</v>
      </c>
      <c r="G3842" s="14">
        <v>2251</v>
      </c>
      <c r="H3842" s="14">
        <v>1970.7504999999999</v>
      </c>
      <c r="I3842" s="31">
        <f>IF(COUNTIFS(Addendum!C:C,A3842,Addendum!D:D,IF(ISNUMBER(B3842),TEXT(B3842,"0000"),B3842),Addendum!E:E,"X")&gt;0,4%,0)</f>
        <v>0</v>
      </c>
      <c r="J3842" s="31">
        <f>IF(COUNTIFS(Addendum!C:C,A3842,Addendum!D:D,IF(ISNUMBER(B3842),TEXT(B3842,"0000"),B3842),Addendum!F:F,"X")&gt;0,2.5%,0)</f>
        <v>0</v>
      </c>
      <c r="K3842" s="31">
        <f>IF(COUNTIFS(Addendum!C:C,A3842,Addendum!D:D,IF(ISNUMBER(B3842),TEXT(B3842,"0000"),B3842),Addendum!G:G,"X")&gt;0,7%,0)</f>
        <v>0</v>
      </c>
      <c r="L3842" s="31">
        <f>IF(COUNTIFS(Addendum!C:C,A3842,Addendum!D:D,IF(ISNUMBER(B3842),TEXT(B3842,"0000"),B3842),Addendum!I:I,"X")&gt;0,10%,0)</f>
        <v>0</v>
      </c>
      <c r="M3842" s="34">
        <f t="shared" si="118"/>
        <v>0</v>
      </c>
      <c r="N3842" s="17">
        <f t="shared" si="119"/>
        <v>1970.7504999999999</v>
      </c>
    </row>
    <row r="3843" spans="1:14" x14ac:dyDescent="0.25">
      <c r="A3843" s="17"/>
      <c r="B3843" s="17"/>
      <c r="C3843" s="15" t="s">
        <v>2893</v>
      </c>
      <c r="D3843" s="14"/>
      <c r="E3843" s="14" t="s">
        <v>2841</v>
      </c>
      <c r="F3843" s="17" t="s">
        <v>2994</v>
      </c>
      <c r="G3843" s="14">
        <v>2251</v>
      </c>
      <c r="H3843" s="14">
        <v>1970.7504999999999</v>
      </c>
      <c r="I3843" s="31">
        <f>IF(COUNTIFS(Addendum!C:C,A3843,Addendum!D:D,IF(ISNUMBER(B3843),TEXT(B3843,"0000"),B3843),Addendum!E:E,"X")&gt;0,4%,0)</f>
        <v>0</v>
      </c>
      <c r="J3843" s="31">
        <f>IF(COUNTIFS(Addendum!C:C,A3843,Addendum!D:D,IF(ISNUMBER(B3843),TEXT(B3843,"0000"),B3843),Addendum!F:F,"X")&gt;0,2.5%,0)</f>
        <v>0</v>
      </c>
      <c r="K3843" s="31">
        <f>IF(COUNTIFS(Addendum!C:C,A3843,Addendum!D:D,IF(ISNUMBER(B3843),TEXT(B3843,"0000"),B3843),Addendum!G:G,"X")&gt;0,7%,0)</f>
        <v>0</v>
      </c>
      <c r="L3843" s="31">
        <f>IF(COUNTIFS(Addendum!C:C,A3843,Addendum!D:D,IF(ISNUMBER(B3843),TEXT(B3843,"0000"),B3843),Addendum!I:I,"X")&gt;0,10%,0)</f>
        <v>0</v>
      </c>
      <c r="M3843" s="34">
        <f t="shared" si="118"/>
        <v>0</v>
      </c>
      <c r="N3843" s="17">
        <f t="shared" si="119"/>
        <v>1970.7504999999999</v>
      </c>
    </row>
    <row r="3844" spans="1:14" x14ac:dyDescent="0.25">
      <c r="A3844" s="17"/>
      <c r="B3844" s="17"/>
      <c r="C3844" s="15" t="s">
        <v>2892</v>
      </c>
      <c r="D3844" s="14"/>
      <c r="E3844" s="14" t="s">
        <v>2841</v>
      </c>
      <c r="F3844" s="17" t="s">
        <v>2993</v>
      </c>
      <c r="G3844" s="14">
        <v>11469</v>
      </c>
      <c r="H3844" s="14">
        <v>10041.1095</v>
      </c>
      <c r="I3844" s="31">
        <f>IF(COUNTIFS(Addendum!C:C,A3844,Addendum!D:D,IF(ISNUMBER(B3844),TEXT(B3844,"0000"),B3844),Addendum!E:E,"X")&gt;0,4%,0)</f>
        <v>0</v>
      </c>
      <c r="J3844" s="31">
        <f>IF(COUNTIFS(Addendum!C:C,A3844,Addendum!D:D,IF(ISNUMBER(B3844),TEXT(B3844,"0000"),B3844),Addendum!F:F,"X")&gt;0,2.5%,0)</f>
        <v>0</v>
      </c>
      <c r="K3844" s="31">
        <f>IF(COUNTIFS(Addendum!C:C,A3844,Addendum!D:D,IF(ISNUMBER(B3844),TEXT(B3844,"0000"),B3844),Addendum!G:G,"X")&gt;0,7%,0)</f>
        <v>0</v>
      </c>
      <c r="L3844" s="31">
        <f>IF(COUNTIFS(Addendum!C:C,A3844,Addendum!D:D,IF(ISNUMBER(B3844),TEXT(B3844,"0000"),B3844),Addendum!I:I,"X")&gt;0,10%,0)</f>
        <v>0</v>
      </c>
      <c r="M3844" s="34">
        <f t="shared" ref="M3844:M3907" si="120">IF(AND(I3844=0%,J3844=0%,K3844=0%,L3844=0%),0%,
IF(OR(TRIM(E3844)="OneTime",TRIM(D3844)=""),0%,
IF(
OR(
TRIM(D3844)="P1M",
AND(TRIM(D3844)="P1Y",TRIM(E3844)="Monthly"),
AND(TRIM(D3844)="P3Y",TRIM(E3844)="Monthly")
),
IF(AND(I3844=4%,J3844=0%,K3844=0%,L3844=0%),1%,
IF(AND(I3844=4%,J3844=2.5%,K3844=0%,L3844=10%),2%,
IF(AND(I3844=4%,J3844=0%,K3844=7%,L3844=10%),3%,0%))),
IF(
OR(
AND(TRIM(D3844)="P1Y",TRIM(E3844)="Annual"),
AND(TRIM(D3844)="P3Y",TRIM(E3844)="Annual"),
AND(TRIM(D3844)="P3Y",TRIM(E3844)="Triennial")
),
IF(AND(I3844=4%,J3844=0%,K3844=0%,L3844=0%),3%,
IF(AND(I3844=4%,J3844=2.5%,K3844=0%,L3844=10%),10%,
IF(AND(I3844=4%,J3844=0%,K3844=7%,L3844=10%),14%,0%))),
0%
))))</f>
        <v>0</v>
      </c>
      <c r="N3844" s="17">
        <f t="shared" ref="N3844:N3907" si="121">H3844-(H3844*M3844)</f>
        <v>10041.1095</v>
      </c>
    </row>
    <row r="3845" spans="1:14" x14ac:dyDescent="0.25">
      <c r="A3845" s="17"/>
      <c r="B3845" s="17"/>
      <c r="C3845" s="15" t="s">
        <v>2894</v>
      </c>
      <c r="D3845" s="14"/>
      <c r="E3845" s="14" t="s">
        <v>2841</v>
      </c>
      <c r="F3845" s="17" t="s">
        <v>2994</v>
      </c>
      <c r="G3845" s="14">
        <v>2548</v>
      </c>
      <c r="H3845" s="14">
        <v>2230.7740000000003</v>
      </c>
      <c r="I3845" s="31">
        <f>IF(COUNTIFS(Addendum!C:C,A3845,Addendum!D:D,IF(ISNUMBER(B3845),TEXT(B3845,"0000"),B3845),Addendum!E:E,"X")&gt;0,4%,0)</f>
        <v>0</v>
      </c>
      <c r="J3845" s="31">
        <f>IF(COUNTIFS(Addendum!C:C,A3845,Addendum!D:D,IF(ISNUMBER(B3845),TEXT(B3845,"0000"),B3845),Addendum!F:F,"X")&gt;0,2.5%,0)</f>
        <v>0</v>
      </c>
      <c r="K3845" s="31">
        <f>IF(COUNTIFS(Addendum!C:C,A3845,Addendum!D:D,IF(ISNUMBER(B3845),TEXT(B3845,"0000"),B3845),Addendum!G:G,"X")&gt;0,7%,0)</f>
        <v>0</v>
      </c>
      <c r="L3845" s="31">
        <f>IF(COUNTIFS(Addendum!C:C,A3845,Addendum!D:D,IF(ISNUMBER(B3845),TEXT(B3845,"0000"),B3845),Addendum!I:I,"X")&gt;0,10%,0)</f>
        <v>0</v>
      </c>
      <c r="M3845" s="34">
        <f t="shared" si="120"/>
        <v>0</v>
      </c>
      <c r="N3845" s="17">
        <f t="shared" si="121"/>
        <v>2230.7740000000003</v>
      </c>
    </row>
    <row r="3846" spans="1:14" x14ac:dyDescent="0.25">
      <c r="A3846" s="17"/>
      <c r="B3846" s="17"/>
      <c r="C3846" s="15" t="s">
        <v>2894</v>
      </c>
      <c r="D3846" s="14"/>
      <c r="E3846" s="14" t="s">
        <v>2841</v>
      </c>
      <c r="F3846" s="17" t="s">
        <v>2995</v>
      </c>
      <c r="G3846" s="14">
        <v>4078</v>
      </c>
      <c r="H3846" s="14">
        <v>3570.2890000000002</v>
      </c>
      <c r="I3846" s="31">
        <f>IF(COUNTIFS(Addendum!C:C,A3846,Addendum!D:D,IF(ISNUMBER(B3846),TEXT(B3846,"0000"),B3846),Addendum!E:E,"X")&gt;0,4%,0)</f>
        <v>0</v>
      </c>
      <c r="J3846" s="31">
        <f>IF(COUNTIFS(Addendum!C:C,A3846,Addendum!D:D,IF(ISNUMBER(B3846),TEXT(B3846,"0000"),B3846),Addendum!F:F,"X")&gt;0,2.5%,0)</f>
        <v>0</v>
      </c>
      <c r="K3846" s="31">
        <f>IF(COUNTIFS(Addendum!C:C,A3846,Addendum!D:D,IF(ISNUMBER(B3846),TEXT(B3846,"0000"),B3846),Addendum!G:G,"X")&gt;0,7%,0)</f>
        <v>0</v>
      </c>
      <c r="L3846" s="31">
        <f>IF(COUNTIFS(Addendum!C:C,A3846,Addendum!D:D,IF(ISNUMBER(B3846),TEXT(B3846,"0000"),B3846),Addendum!I:I,"X")&gt;0,10%,0)</f>
        <v>0</v>
      </c>
      <c r="M3846" s="34">
        <f t="shared" si="120"/>
        <v>0</v>
      </c>
      <c r="N3846" s="17">
        <f t="shared" si="121"/>
        <v>3570.2890000000002</v>
      </c>
    </row>
    <row r="3847" spans="1:14" x14ac:dyDescent="0.25">
      <c r="A3847" s="17"/>
      <c r="B3847" s="17"/>
      <c r="C3847" s="15" t="s">
        <v>2894</v>
      </c>
      <c r="D3847" s="14"/>
      <c r="E3847" s="14" t="s">
        <v>2841</v>
      </c>
      <c r="F3847" s="17" t="s">
        <v>2993</v>
      </c>
      <c r="G3847" s="14">
        <v>10195</v>
      </c>
      <c r="H3847" s="14">
        <v>8925.7224999999999</v>
      </c>
      <c r="I3847" s="31">
        <f>IF(COUNTIFS(Addendum!C:C,A3847,Addendum!D:D,IF(ISNUMBER(B3847),TEXT(B3847,"0000"),B3847),Addendum!E:E,"X")&gt;0,4%,0)</f>
        <v>0</v>
      </c>
      <c r="J3847" s="31">
        <f>IF(COUNTIFS(Addendum!C:C,A3847,Addendum!D:D,IF(ISNUMBER(B3847),TEXT(B3847,"0000"),B3847),Addendum!F:F,"X")&gt;0,2.5%,0)</f>
        <v>0</v>
      </c>
      <c r="K3847" s="31">
        <f>IF(COUNTIFS(Addendum!C:C,A3847,Addendum!D:D,IF(ISNUMBER(B3847),TEXT(B3847,"0000"),B3847),Addendum!G:G,"X")&gt;0,7%,0)</f>
        <v>0</v>
      </c>
      <c r="L3847" s="31">
        <f>IF(COUNTIFS(Addendum!C:C,A3847,Addendum!D:D,IF(ISNUMBER(B3847),TEXT(B3847,"0000"),B3847),Addendum!I:I,"X")&gt;0,10%,0)</f>
        <v>0</v>
      </c>
      <c r="M3847" s="34">
        <f t="shared" si="120"/>
        <v>0</v>
      </c>
      <c r="N3847" s="17">
        <f t="shared" si="121"/>
        <v>8925.7224999999999</v>
      </c>
    </row>
    <row r="3848" spans="1:14" x14ac:dyDescent="0.25">
      <c r="A3848" s="17"/>
      <c r="B3848" s="17"/>
      <c r="C3848" s="15" t="s">
        <v>2895</v>
      </c>
      <c r="D3848" s="14"/>
      <c r="E3848" s="14" t="s">
        <v>2841</v>
      </c>
      <c r="F3848" s="17" t="s">
        <v>2994</v>
      </c>
      <c r="G3848" s="14">
        <v>2502</v>
      </c>
      <c r="H3848" s="14">
        <v>2190.5009999999997</v>
      </c>
      <c r="I3848" s="31">
        <f>IF(COUNTIFS(Addendum!C:C,A3848,Addendum!D:D,IF(ISNUMBER(B3848),TEXT(B3848,"0000"),B3848),Addendum!E:E,"X")&gt;0,4%,0)</f>
        <v>0</v>
      </c>
      <c r="J3848" s="31">
        <f>IF(COUNTIFS(Addendum!C:C,A3848,Addendum!D:D,IF(ISNUMBER(B3848),TEXT(B3848,"0000"),B3848),Addendum!F:F,"X")&gt;0,2.5%,0)</f>
        <v>0</v>
      </c>
      <c r="K3848" s="31">
        <f>IF(COUNTIFS(Addendum!C:C,A3848,Addendum!D:D,IF(ISNUMBER(B3848),TEXT(B3848,"0000"),B3848),Addendum!G:G,"X")&gt;0,7%,0)</f>
        <v>0</v>
      </c>
      <c r="L3848" s="31">
        <f>IF(COUNTIFS(Addendum!C:C,A3848,Addendum!D:D,IF(ISNUMBER(B3848),TEXT(B3848,"0000"),B3848),Addendum!I:I,"X")&gt;0,10%,0)</f>
        <v>0</v>
      </c>
      <c r="M3848" s="34">
        <f t="shared" si="120"/>
        <v>0</v>
      </c>
      <c r="N3848" s="17">
        <f t="shared" si="121"/>
        <v>2190.5009999999997</v>
      </c>
    </row>
    <row r="3849" spans="1:14" x14ac:dyDescent="0.25">
      <c r="A3849" s="17"/>
      <c r="B3849" s="17"/>
      <c r="C3849" s="15" t="s">
        <v>2895</v>
      </c>
      <c r="D3849" s="14"/>
      <c r="E3849" s="14" t="s">
        <v>2841</v>
      </c>
      <c r="F3849" s="17" t="s">
        <v>2995</v>
      </c>
      <c r="G3849" s="14">
        <v>3950</v>
      </c>
      <c r="H3849" s="14">
        <v>3458.2249999999999</v>
      </c>
      <c r="I3849" s="31">
        <f>IF(COUNTIFS(Addendum!C:C,A3849,Addendum!D:D,IF(ISNUMBER(B3849),TEXT(B3849,"0000"),B3849),Addendum!E:E,"X")&gt;0,4%,0)</f>
        <v>0</v>
      </c>
      <c r="J3849" s="31">
        <f>IF(COUNTIFS(Addendum!C:C,A3849,Addendum!D:D,IF(ISNUMBER(B3849),TEXT(B3849,"0000"),B3849),Addendum!F:F,"X")&gt;0,2.5%,0)</f>
        <v>0</v>
      </c>
      <c r="K3849" s="31">
        <f>IF(COUNTIFS(Addendum!C:C,A3849,Addendum!D:D,IF(ISNUMBER(B3849),TEXT(B3849,"0000"),B3849),Addendum!G:G,"X")&gt;0,7%,0)</f>
        <v>0</v>
      </c>
      <c r="L3849" s="31">
        <f>IF(COUNTIFS(Addendum!C:C,A3849,Addendum!D:D,IF(ISNUMBER(B3849),TEXT(B3849,"0000"),B3849),Addendum!I:I,"X")&gt;0,10%,0)</f>
        <v>0</v>
      </c>
      <c r="M3849" s="34">
        <f t="shared" si="120"/>
        <v>0</v>
      </c>
      <c r="N3849" s="17">
        <f t="shared" si="121"/>
        <v>3458.2249999999999</v>
      </c>
    </row>
    <row r="3850" spans="1:14" x14ac:dyDescent="0.25">
      <c r="A3850" s="17"/>
      <c r="B3850" s="17"/>
      <c r="C3850" s="15" t="s">
        <v>2895</v>
      </c>
      <c r="D3850" s="14"/>
      <c r="E3850" s="14" t="s">
        <v>2841</v>
      </c>
      <c r="F3850" s="17" t="s">
        <v>2993</v>
      </c>
      <c r="G3850" s="14">
        <v>13169</v>
      </c>
      <c r="H3850" s="14">
        <v>11529.459499999999</v>
      </c>
      <c r="I3850" s="31">
        <f>IF(COUNTIFS(Addendum!C:C,A3850,Addendum!D:D,IF(ISNUMBER(B3850),TEXT(B3850,"0000"),B3850),Addendum!E:E,"X")&gt;0,4%,0)</f>
        <v>0</v>
      </c>
      <c r="J3850" s="31">
        <f>IF(COUNTIFS(Addendum!C:C,A3850,Addendum!D:D,IF(ISNUMBER(B3850),TEXT(B3850,"0000"),B3850),Addendum!F:F,"X")&gt;0,2.5%,0)</f>
        <v>0</v>
      </c>
      <c r="K3850" s="31">
        <f>IF(COUNTIFS(Addendum!C:C,A3850,Addendum!D:D,IF(ISNUMBER(B3850),TEXT(B3850,"0000"),B3850),Addendum!G:G,"X")&gt;0,7%,0)</f>
        <v>0</v>
      </c>
      <c r="L3850" s="31">
        <f>IF(COUNTIFS(Addendum!C:C,A3850,Addendum!D:D,IF(ISNUMBER(B3850),TEXT(B3850,"0000"),B3850),Addendum!I:I,"X")&gt;0,10%,0)</f>
        <v>0</v>
      </c>
      <c r="M3850" s="34">
        <f t="shared" si="120"/>
        <v>0</v>
      </c>
      <c r="N3850" s="17">
        <f t="shared" si="121"/>
        <v>11529.459499999999</v>
      </c>
    </row>
    <row r="3851" spans="1:14" x14ac:dyDescent="0.25">
      <c r="A3851" s="17"/>
      <c r="B3851" s="17"/>
      <c r="C3851" s="15" t="s">
        <v>2896</v>
      </c>
      <c r="D3851" s="14"/>
      <c r="E3851" s="14" t="s">
        <v>2841</v>
      </c>
      <c r="F3851" s="17" t="s">
        <v>2993</v>
      </c>
      <c r="G3851" s="14">
        <v>13169</v>
      </c>
      <c r="H3851" s="14">
        <v>11529.459499999999</v>
      </c>
      <c r="I3851" s="31">
        <f>IF(COUNTIFS(Addendum!C:C,A3851,Addendum!D:D,IF(ISNUMBER(B3851),TEXT(B3851,"0000"),B3851),Addendum!E:E,"X")&gt;0,4%,0)</f>
        <v>0</v>
      </c>
      <c r="J3851" s="31">
        <f>IF(COUNTIFS(Addendum!C:C,A3851,Addendum!D:D,IF(ISNUMBER(B3851),TEXT(B3851,"0000"),B3851),Addendum!F:F,"X")&gt;0,2.5%,0)</f>
        <v>0</v>
      </c>
      <c r="K3851" s="31">
        <f>IF(COUNTIFS(Addendum!C:C,A3851,Addendum!D:D,IF(ISNUMBER(B3851),TEXT(B3851,"0000"),B3851),Addendum!G:G,"X")&gt;0,7%,0)</f>
        <v>0</v>
      </c>
      <c r="L3851" s="31">
        <f>IF(COUNTIFS(Addendum!C:C,A3851,Addendum!D:D,IF(ISNUMBER(B3851),TEXT(B3851,"0000"),B3851),Addendum!I:I,"X")&gt;0,10%,0)</f>
        <v>0</v>
      </c>
      <c r="M3851" s="34">
        <f t="shared" si="120"/>
        <v>0</v>
      </c>
      <c r="N3851" s="17">
        <f t="shared" si="121"/>
        <v>11529.459499999999</v>
      </c>
    </row>
    <row r="3852" spans="1:14" x14ac:dyDescent="0.25">
      <c r="A3852" s="17"/>
      <c r="B3852" s="17"/>
      <c r="C3852" s="15" t="s">
        <v>2897</v>
      </c>
      <c r="D3852" s="14"/>
      <c r="E3852" s="14" t="s">
        <v>2841</v>
      </c>
      <c r="F3852" s="17" t="s">
        <v>2993</v>
      </c>
      <c r="G3852" s="14">
        <v>10195</v>
      </c>
      <c r="H3852" s="14">
        <v>8925.7224999999999</v>
      </c>
      <c r="I3852" s="31">
        <f>IF(COUNTIFS(Addendum!C:C,A3852,Addendum!D:D,IF(ISNUMBER(B3852),TEXT(B3852,"0000"),B3852),Addendum!E:E,"X")&gt;0,4%,0)</f>
        <v>0</v>
      </c>
      <c r="J3852" s="31">
        <f>IF(COUNTIFS(Addendum!C:C,A3852,Addendum!D:D,IF(ISNUMBER(B3852),TEXT(B3852,"0000"),B3852),Addendum!F:F,"X")&gt;0,2.5%,0)</f>
        <v>0</v>
      </c>
      <c r="K3852" s="31">
        <f>IF(COUNTIFS(Addendum!C:C,A3852,Addendum!D:D,IF(ISNUMBER(B3852),TEXT(B3852,"0000"),B3852),Addendum!G:G,"X")&gt;0,7%,0)</f>
        <v>0</v>
      </c>
      <c r="L3852" s="31">
        <f>IF(COUNTIFS(Addendum!C:C,A3852,Addendum!D:D,IF(ISNUMBER(B3852),TEXT(B3852,"0000"),B3852),Addendum!I:I,"X")&gt;0,10%,0)</f>
        <v>0</v>
      </c>
      <c r="M3852" s="34">
        <f t="shared" si="120"/>
        <v>0</v>
      </c>
      <c r="N3852" s="17">
        <f t="shared" si="121"/>
        <v>8925.7224999999999</v>
      </c>
    </row>
    <row r="3853" spans="1:14" x14ac:dyDescent="0.25">
      <c r="A3853" s="17"/>
      <c r="B3853" s="17"/>
      <c r="C3853" s="15" t="s">
        <v>2896</v>
      </c>
      <c r="D3853" s="14"/>
      <c r="E3853" s="14" t="s">
        <v>2841</v>
      </c>
      <c r="F3853" s="17" t="s">
        <v>2994</v>
      </c>
      <c r="G3853" s="14">
        <v>2502</v>
      </c>
      <c r="H3853" s="14">
        <v>2190.5009999999997</v>
      </c>
      <c r="I3853" s="31">
        <f>IF(COUNTIFS(Addendum!C:C,A3853,Addendum!D:D,IF(ISNUMBER(B3853),TEXT(B3853,"0000"),B3853),Addendum!E:E,"X")&gt;0,4%,0)</f>
        <v>0</v>
      </c>
      <c r="J3853" s="31">
        <f>IF(COUNTIFS(Addendum!C:C,A3853,Addendum!D:D,IF(ISNUMBER(B3853),TEXT(B3853,"0000"),B3853),Addendum!F:F,"X")&gt;0,2.5%,0)</f>
        <v>0</v>
      </c>
      <c r="K3853" s="31">
        <f>IF(COUNTIFS(Addendum!C:C,A3853,Addendum!D:D,IF(ISNUMBER(B3853),TEXT(B3853,"0000"),B3853),Addendum!G:G,"X")&gt;0,7%,0)</f>
        <v>0</v>
      </c>
      <c r="L3853" s="31">
        <f>IF(COUNTIFS(Addendum!C:C,A3853,Addendum!D:D,IF(ISNUMBER(B3853),TEXT(B3853,"0000"),B3853),Addendum!I:I,"X")&gt;0,10%,0)</f>
        <v>0</v>
      </c>
      <c r="M3853" s="34">
        <f t="shared" si="120"/>
        <v>0</v>
      </c>
      <c r="N3853" s="17">
        <f t="shared" si="121"/>
        <v>2190.5009999999997</v>
      </c>
    </row>
    <row r="3854" spans="1:14" x14ac:dyDescent="0.25">
      <c r="A3854" s="17"/>
      <c r="B3854" s="17"/>
      <c r="C3854" s="15" t="s">
        <v>2897</v>
      </c>
      <c r="D3854" s="14"/>
      <c r="E3854" s="14" t="s">
        <v>2841</v>
      </c>
      <c r="F3854" s="17" t="s">
        <v>2995</v>
      </c>
      <c r="G3854" s="14">
        <v>2548</v>
      </c>
      <c r="H3854" s="14">
        <v>2230.7740000000003</v>
      </c>
      <c r="I3854" s="31">
        <f>IF(COUNTIFS(Addendum!C:C,A3854,Addendum!D:D,IF(ISNUMBER(B3854),TEXT(B3854,"0000"),B3854),Addendum!E:E,"X")&gt;0,4%,0)</f>
        <v>0</v>
      </c>
      <c r="J3854" s="31">
        <f>IF(COUNTIFS(Addendum!C:C,A3854,Addendum!D:D,IF(ISNUMBER(B3854),TEXT(B3854,"0000"),B3854),Addendum!F:F,"X")&gt;0,2.5%,0)</f>
        <v>0</v>
      </c>
      <c r="K3854" s="31">
        <f>IF(COUNTIFS(Addendum!C:C,A3854,Addendum!D:D,IF(ISNUMBER(B3854),TEXT(B3854,"0000"),B3854),Addendum!G:G,"X")&gt;0,7%,0)</f>
        <v>0</v>
      </c>
      <c r="L3854" s="31">
        <f>IF(COUNTIFS(Addendum!C:C,A3854,Addendum!D:D,IF(ISNUMBER(B3854),TEXT(B3854,"0000"),B3854),Addendum!I:I,"X")&gt;0,10%,0)</f>
        <v>0</v>
      </c>
      <c r="M3854" s="34">
        <f t="shared" si="120"/>
        <v>0</v>
      </c>
      <c r="N3854" s="17">
        <f t="shared" si="121"/>
        <v>2230.7740000000003</v>
      </c>
    </row>
    <row r="3855" spans="1:14" x14ac:dyDescent="0.25">
      <c r="A3855" s="17"/>
      <c r="B3855" s="17"/>
      <c r="C3855" s="15" t="s">
        <v>2897</v>
      </c>
      <c r="D3855" s="14"/>
      <c r="E3855" s="14" t="s">
        <v>2841</v>
      </c>
      <c r="F3855" s="17" t="s">
        <v>2994</v>
      </c>
      <c r="G3855" s="14">
        <v>2548</v>
      </c>
      <c r="H3855" s="14">
        <v>2230.7740000000003</v>
      </c>
      <c r="I3855" s="31">
        <f>IF(COUNTIFS(Addendum!C:C,A3855,Addendum!D:D,IF(ISNUMBER(B3855),TEXT(B3855,"0000"),B3855),Addendum!E:E,"X")&gt;0,4%,0)</f>
        <v>0</v>
      </c>
      <c r="J3855" s="31">
        <f>IF(COUNTIFS(Addendum!C:C,A3855,Addendum!D:D,IF(ISNUMBER(B3855),TEXT(B3855,"0000"),B3855),Addendum!F:F,"X")&gt;0,2.5%,0)</f>
        <v>0</v>
      </c>
      <c r="K3855" s="31">
        <f>IF(COUNTIFS(Addendum!C:C,A3855,Addendum!D:D,IF(ISNUMBER(B3855),TEXT(B3855,"0000"),B3855),Addendum!G:G,"X")&gt;0,7%,0)</f>
        <v>0</v>
      </c>
      <c r="L3855" s="31">
        <f>IF(COUNTIFS(Addendum!C:C,A3855,Addendum!D:D,IF(ISNUMBER(B3855),TEXT(B3855,"0000"),B3855),Addendum!I:I,"X")&gt;0,10%,0)</f>
        <v>0</v>
      </c>
      <c r="M3855" s="34">
        <f t="shared" si="120"/>
        <v>0</v>
      </c>
      <c r="N3855" s="17">
        <f t="shared" si="121"/>
        <v>2230.7740000000003</v>
      </c>
    </row>
    <row r="3856" spans="1:14" x14ac:dyDescent="0.25">
      <c r="A3856" s="17"/>
      <c r="B3856" s="17"/>
      <c r="C3856" s="15" t="s">
        <v>2896</v>
      </c>
      <c r="D3856" s="14"/>
      <c r="E3856" s="14" t="s">
        <v>2841</v>
      </c>
      <c r="F3856" s="17" t="s">
        <v>2995</v>
      </c>
      <c r="G3856" s="14">
        <v>2502</v>
      </c>
      <c r="H3856" s="14">
        <v>2190.5009999999997</v>
      </c>
      <c r="I3856" s="31">
        <f>IF(COUNTIFS(Addendum!C:C,A3856,Addendum!D:D,IF(ISNUMBER(B3856),TEXT(B3856,"0000"),B3856),Addendum!E:E,"X")&gt;0,4%,0)</f>
        <v>0</v>
      </c>
      <c r="J3856" s="31">
        <f>IF(COUNTIFS(Addendum!C:C,A3856,Addendum!D:D,IF(ISNUMBER(B3856),TEXT(B3856,"0000"),B3856),Addendum!F:F,"X")&gt;0,2.5%,0)</f>
        <v>0</v>
      </c>
      <c r="K3856" s="31">
        <f>IF(COUNTIFS(Addendum!C:C,A3856,Addendum!D:D,IF(ISNUMBER(B3856),TEXT(B3856,"0000"),B3856),Addendum!G:G,"X")&gt;0,7%,0)</f>
        <v>0</v>
      </c>
      <c r="L3856" s="31">
        <f>IF(COUNTIFS(Addendum!C:C,A3856,Addendum!D:D,IF(ISNUMBER(B3856),TEXT(B3856,"0000"),B3856),Addendum!I:I,"X")&gt;0,10%,0)</f>
        <v>0</v>
      </c>
      <c r="M3856" s="34">
        <f t="shared" si="120"/>
        <v>0</v>
      </c>
      <c r="N3856" s="17">
        <f t="shared" si="121"/>
        <v>2190.5009999999997</v>
      </c>
    </row>
    <row r="3857" spans="1:14" x14ac:dyDescent="0.25">
      <c r="A3857" s="17"/>
      <c r="B3857" s="17"/>
      <c r="C3857" s="15" t="s">
        <v>2898</v>
      </c>
      <c r="D3857" s="14"/>
      <c r="E3857" s="14" t="s">
        <v>2841</v>
      </c>
      <c r="F3857" s="17" t="s">
        <v>2993</v>
      </c>
      <c r="G3857" s="14">
        <v>3058</v>
      </c>
      <c r="H3857" s="14">
        <v>2677.279</v>
      </c>
      <c r="I3857" s="31">
        <f>IF(COUNTIFS(Addendum!C:C,A3857,Addendum!D:D,IF(ISNUMBER(B3857),TEXT(B3857,"0000"),B3857),Addendum!E:E,"X")&gt;0,4%,0)</f>
        <v>0</v>
      </c>
      <c r="J3857" s="31">
        <f>IF(COUNTIFS(Addendum!C:C,A3857,Addendum!D:D,IF(ISNUMBER(B3857),TEXT(B3857,"0000"),B3857),Addendum!F:F,"X")&gt;0,2.5%,0)</f>
        <v>0</v>
      </c>
      <c r="K3857" s="31">
        <f>IF(COUNTIFS(Addendum!C:C,A3857,Addendum!D:D,IF(ISNUMBER(B3857),TEXT(B3857,"0000"),B3857),Addendum!G:G,"X")&gt;0,7%,0)</f>
        <v>0</v>
      </c>
      <c r="L3857" s="31">
        <f>IF(COUNTIFS(Addendum!C:C,A3857,Addendum!D:D,IF(ISNUMBER(B3857),TEXT(B3857,"0000"),B3857),Addendum!I:I,"X")&gt;0,10%,0)</f>
        <v>0</v>
      </c>
      <c r="M3857" s="34">
        <f t="shared" si="120"/>
        <v>0</v>
      </c>
      <c r="N3857" s="17">
        <f t="shared" si="121"/>
        <v>2677.279</v>
      </c>
    </row>
    <row r="3858" spans="1:14" x14ac:dyDescent="0.25">
      <c r="A3858" s="17"/>
      <c r="B3858" s="17"/>
      <c r="C3858" s="15" t="s">
        <v>2898</v>
      </c>
      <c r="D3858" s="14"/>
      <c r="E3858" s="14" t="s">
        <v>2841</v>
      </c>
      <c r="F3858" s="17" t="s">
        <v>2995</v>
      </c>
      <c r="G3858" s="14">
        <v>764</v>
      </c>
      <c r="H3858" s="14">
        <v>668.88199999999995</v>
      </c>
      <c r="I3858" s="31">
        <f>IF(COUNTIFS(Addendum!C:C,A3858,Addendum!D:D,IF(ISNUMBER(B3858),TEXT(B3858,"0000"),B3858),Addendum!E:E,"X")&gt;0,4%,0)</f>
        <v>0</v>
      </c>
      <c r="J3858" s="31">
        <f>IF(COUNTIFS(Addendum!C:C,A3858,Addendum!D:D,IF(ISNUMBER(B3858),TEXT(B3858,"0000"),B3858),Addendum!F:F,"X")&gt;0,2.5%,0)</f>
        <v>0</v>
      </c>
      <c r="K3858" s="31">
        <f>IF(COUNTIFS(Addendum!C:C,A3858,Addendum!D:D,IF(ISNUMBER(B3858),TEXT(B3858,"0000"),B3858),Addendum!G:G,"X")&gt;0,7%,0)</f>
        <v>0</v>
      </c>
      <c r="L3858" s="31">
        <f>IF(COUNTIFS(Addendum!C:C,A3858,Addendum!D:D,IF(ISNUMBER(B3858),TEXT(B3858,"0000"),B3858),Addendum!I:I,"X")&gt;0,10%,0)</f>
        <v>0</v>
      </c>
      <c r="M3858" s="34">
        <f t="shared" si="120"/>
        <v>0</v>
      </c>
      <c r="N3858" s="17">
        <f t="shared" si="121"/>
        <v>668.88199999999995</v>
      </c>
    </row>
    <row r="3859" spans="1:14" x14ac:dyDescent="0.25">
      <c r="A3859" s="17"/>
      <c r="B3859" s="17"/>
      <c r="C3859" s="15" t="s">
        <v>2898</v>
      </c>
      <c r="D3859" s="14"/>
      <c r="E3859" s="14" t="s">
        <v>2841</v>
      </c>
      <c r="F3859" s="17" t="s">
        <v>2994</v>
      </c>
      <c r="G3859" s="14">
        <v>764</v>
      </c>
      <c r="H3859" s="14">
        <v>668.88199999999995</v>
      </c>
      <c r="I3859" s="31">
        <f>IF(COUNTIFS(Addendum!C:C,A3859,Addendum!D:D,IF(ISNUMBER(B3859),TEXT(B3859,"0000"),B3859),Addendum!E:E,"X")&gt;0,4%,0)</f>
        <v>0</v>
      </c>
      <c r="J3859" s="31">
        <f>IF(COUNTIFS(Addendum!C:C,A3859,Addendum!D:D,IF(ISNUMBER(B3859),TEXT(B3859,"0000"),B3859),Addendum!F:F,"X")&gt;0,2.5%,0)</f>
        <v>0</v>
      </c>
      <c r="K3859" s="31">
        <f>IF(COUNTIFS(Addendum!C:C,A3859,Addendum!D:D,IF(ISNUMBER(B3859),TEXT(B3859,"0000"),B3859),Addendum!G:G,"X")&gt;0,7%,0)</f>
        <v>0</v>
      </c>
      <c r="L3859" s="31">
        <f>IF(COUNTIFS(Addendum!C:C,A3859,Addendum!D:D,IF(ISNUMBER(B3859),TEXT(B3859,"0000"),B3859),Addendum!I:I,"X")&gt;0,10%,0)</f>
        <v>0</v>
      </c>
      <c r="M3859" s="34">
        <f t="shared" si="120"/>
        <v>0</v>
      </c>
      <c r="N3859" s="17">
        <f t="shared" si="121"/>
        <v>668.88199999999995</v>
      </c>
    </row>
    <row r="3860" spans="1:14" x14ac:dyDescent="0.25">
      <c r="A3860" s="17"/>
      <c r="B3860" s="17"/>
      <c r="C3860" s="15" t="s">
        <v>2899</v>
      </c>
      <c r="D3860" s="14"/>
      <c r="E3860" s="14" t="s">
        <v>2841</v>
      </c>
      <c r="F3860" s="17" t="s">
        <v>2995</v>
      </c>
      <c r="G3860" s="14">
        <v>742</v>
      </c>
      <c r="H3860" s="14">
        <v>649.62100000000009</v>
      </c>
      <c r="I3860" s="31">
        <f>IF(COUNTIFS(Addendum!C:C,A3860,Addendum!D:D,IF(ISNUMBER(B3860),TEXT(B3860,"0000"),B3860),Addendum!E:E,"X")&gt;0,4%,0)</f>
        <v>0</v>
      </c>
      <c r="J3860" s="31">
        <f>IF(COUNTIFS(Addendum!C:C,A3860,Addendum!D:D,IF(ISNUMBER(B3860),TEXT(B3860,"0000"),B3860),Addendum!F:F,"X")&gt;0,2.5%,0)</f>
        <v>0</v>
      </c>
      <c r="K3860" s="31">
        <f>IF(COUNTIFS(Addendum!C:C,A3860,Addendum!D:D,IF(ISNUMBER(B3860),TEXT(B3860,"0000"),B3860),Addendum!G:G,"X")&gt;0,7%,0)</f>
        <v>0</v>
      </c>
      <c r="L3860" s="31">
        <f>IF(COUNTIFS(Addendum!C:C,A3860,Addendum!D:D,IF(ISNUMBER(B3860),TEXT(B3860,"0000"),B3860),Addendum!I:I,"X")&gt;0,10%,0)</f>
        <v>0</v>
      </c>
      <c r="M3860" s="34">
        <f t="shared" si="120"/>
        <v>0</v>
      </c>
      <c r="N3860" s="17">
        <f t="shared" si="121"/>
        <v>649.62100000000009</v>
      </c>
    </row>
    <row r="3861" spans="1:14" x14ac:dyDescent="0.25">
      <c r="A3861" s="17"/>
      <c r="B3861" s="17"/>
      <c r="C3861" s="15" t="s">
        <v>2899</v>
      </c>
      <c r="D3861" s="14"/>
      <c r="E3861" s="14" t="s">
        <v>2841</v>
      </c>
      <c r="F3861" s="17" t="s">
        <v>2994</v>
      </c>
      <c r="G3861" s="14">
        <v>742</v>
      </c>
      <c r="H3861" s="14">
        <v>649.62100000000009</v>
      </c>
      <c r="I3861" s="31">
        <f>IF(COUNTIFS(Addendum!C:C,A3861,Addendum!D:D,IF(ISNUMBER(B3861),TEXT(B3861,"0000"),B3861),Addendum!E:E,"X")&gt;0,4%,0)</f>
        <v>0</v>
      </c>
      <c r="J3861" s="31">
        <f>IF(COUNTIFS(Addendum!C:C,A3861,Addendum!D:D,IF(ISNUMBER(B3861),TEXT(B3861,"0000"),B3861),Addendum!F:F,"X")&gt;0,2.5%,0)</f>
        <v>0</v>
      </c>
      <c r="K3861" s="31">
        <f>IF(COUNTIFS(Addendum!C:C,A3861,Addendum!D:D,IF(ISNUMBER(B3861),TEXT(B3861,"0000"),B3861),Addendum!G:G,"X")&gt;0,7%,0)</f>
        <v>0</v>
      </c>
      <c r="L3861" s="31">
        <f>IF(COUNTIFS(Addendum!C:C,A3861,Addendum!D:D,IF(ISNUMBER(B3861),TEXT(B3861,"0000"),B3861),Addendum!I:I,"X")&gt;0,10%,0)</f>
        <v>0</v>
      </c>
      <c r="M3861" s="34">
        <f t="shared" si="120"/>
        <v>0</v>
      </c>
      <c r="N3861" s="17">
        <f t="shared" si="121"/>
        <v>649.62100000000009</v>
      </c>
    </row>
    <row r="3862" spans="1:14" x14ac:dyDescent="0.25">
      <c r="A3862" s="17"/>
      <c r="B3862" s="17"/>
      <c r="C3862" s="15" t="s">
        <v>2899</v>
      </c>
      <c r="D3862" s="14"/>
      <c r="E3862" s="14" t="s">
        <v>2841</v>
      </c>
      <c r="F3862" s="17" t="s">
        <v>2993</v>
      </c>
      <c r="G3862" s="14">
        <v>3908</v>
      </c>
      <c r="H3862" s="14">
        <v>3421.4540000000002</v>
      </c>
      <c r="I3862" s="31">
        <f>IF(COUNTIFS(Addendum!C:C,A3862,Addendum!D:D,IF(ISNUMBER(B3862),TEXT(B3862,"0000"),B3862),Addendum!E:E,"X")&gt;0,4%,0)</f>
        <v>0</v>
      </c>
      <c r="J3862" s="31">
        <f>IF(COUNTIFS(Addendum!C:C,A3862,Addendum!D:D,IF(ISNUMBER(B3862),TEXT(B3862,"0000"),B3862),Addendum!F:F,"X")&gt;0,2.5%,0)</f>
        <v>0</v>
      </c>
      <c r="K3862" s="31">
        <f>IF(COUNTIFS(Addendum!C:C,A3862,Addendum!D:D,IF(ISNUMBER(B3862),TEXT(B3862,"0000"),B3862),Addendum!G:G,"X")&gt;0,7%,0)</f>
        <v>0</v>
      </c>
      <c r="L3862" s="31">
        <f>IF(COUNTIFS(Addendum!C:C,A3862,Addendum!D:D,IF(ISNUMBER(B3862),TEXT(B3862,"0000"),B3862),Addendum!I:I,"X")&gt;0,10%,0)</f>
        <v>0</v>
      </c>
      <c r="M3862" s="34">
        <f t="shared" si="120"/>
        <v>0</v>
      </c>
      <c r="N3862" s="17">
        <f t="shared" si="121"/>
        <v>3421.4540000000002</v>
      </c>
    </row>
    <row r="3863" spans="1:14" x14ac:dyDescent="0.25">
      <c r="A3863" s="17"/>
      <c r="B3863" s="17"/>
      <c r="C3863" s="15" t="s">
        <v>2900</v>
      </c>
      <c r="D3863" s="14"/>
      <c r="E3863" s="14" t="s">
        <v>2841</v>
      </c>
      <c r="F3863" s="17" t="s">
        <v>2993</v>
      </c>
      <c r="G3863" s="14">
        <v>83784</v>
      </c>
      <c r="H3863" s="14">
        <v>73352.891999999993</v>
      </c>
      <c r="I3863" s="31">
        <f>IF(COUNTIFS(Addendum!C:C,A3863,Addendum!D:D,IF(ISNUMBER(B3863),TEXT(B3863,"0000"),B3863),Addendum!E:E,"X")&gt;0,4%,0)</f>
        <v>0</v>
      </c>
      <c r="J3863" s="31">
        <f>IF(COUNTIFS(Addendum!C:C,A3863,Addendum!D:D,IF(ISNUMBER(B3863),TEXT(B3863,"0000"),B3863),Addendum!F:F,"X")&gt;0,2.5%,0)</f>
        <v>0</v>
      </c>
      <c r="K3863" s="31">
        <f>IF(COUNTIFS(Addendum!C:C,A3863,Addendum!D:D,IF(ISNUMBER(B3863),TEXT(B3863,"0000"),B3863),Addendum!G:G,"X")&gt;0,7%,0)</f>
        <v>0</v>
      </c>
      <c r="L3863" s="31">
        <f>IF(COUNTIFS(Addendum!C:C,A3863,Addendum!D:D,IF(ISNUMBER(B3863),TEXT(B3863,"0000"),B3863),Addendum!I:I,"X")&gt;0,10%,0)</f>
        <v>0</v>
      </c>
      <c r="M3863" s="34">
        <f t="shared" si="120"/>
        <v>0</v>
      </c>
      <c r="N3863" s="17">
        <f t="shared" si="121"/>
        <v>73352.891999999993</v>
      </c>
    </row>
    <row r="3864" spans="1:14" x14ac:dyDescent="0.25">
      <c r="A3864" s="17"/>
      <c r="B3864" s="17"/>
      <c r="C3864" s="15" t="s">
        <v>2901</v>
      </c>
      <c r="D3864" s="14"/>
      <c r="E3864" s="14" t="s">
        <v>2841</v>
      </c>
      <c r="F3864" s="17" t="s">
        <v>2993</v>
      </c>
      <c r="G3864" s="14">
        <v>335136</v>
      </c>
      <c r="H3864" s="14">
        <v>293411.56799999997</v>
      </c>
      <c r="I3864" s="31">
        <f>IF(COUNTIFS(Addendum!C:C,A3864,Addendum!D:D,IF(ISNUMBER(B3864),TEXT(B3864,"0000"),B3864),Addendum!E:E,"X")&gt;0,4%,0)</f>
        <v>0</v>
      </c>
      <c r="J3864" s="31">
        <f>IF(COUNTIFS(Addendum!C:C,A3864,Addendum!D:D,IF(ISNUMBER(B3864),TEXT(B3864,"0000"),B3864),Addendum!F:F,"X")&gt;0,2.5%,0)</f>
        <v>0</v>
      </c>
      <c r="K3864" s="31">
        <f>IF(COUNTIFS(Addendum!C:C,A3864,Addendum!D:D,IF(ISNUMBER(B3864),TEXT(B3864,"0000"),B3864),Addendum!G:G,"X")&gt;0,7%,0)</f>
        <v>0</v>
      </c>
      <c r="L3864" s="31">
        <f>IF(COUNTIFS(Addendum!C:C,A3864,Addendum!D:D,IF(ISNUMBER(B3864),TEXT(B3864,"0000"),B3864),Addendum!I:I,"X")&gt;0,10%,0)</f>
        <v>0</v>
      </c>
      <c r="M3864" s="34">
        <f t="shared" si="120"/>
        <v>0</v>
      </c>
      <c r="N3864" s="17">
        <f t="shared" si="121"/>
        <v>293411.56799999997</v>
      </c>
    </row>
    <row r="3865" spans="1:14" x14ac:dyDescent="0.25">
      <c r="A3865" s="17"/>
      <c r="B3865" s="17"/>
      <c r="C3865" s="15" t="s">
        <v>2902</v>
      </c>
      <c r="D3865" s="14"/>
      <c r="E3865" s="14" t="s">
        <v>2841</v>
      </c>
      <c r="F3865" s="17" t="s">
        <v>2993</v>
      </c>
      <c r="G3865" s="14">
        <v>1284803</v>
      </c>
      <c r="H3865" s="14">
        <v>1124845.49</v>
      </c>
      <c r="I3865" s="31">
        <f>IF(COUNTIFS(Addendum!C:C,A3865,Addendum!D:D,IF(ISNUMBER(B3865),TEXT(B3865,"0000"),B3865),Addendum!E:E,"X")&gt;0,4%,0)</f>
        <v>0</v>
      </c>
      <c r="J3865" s="31">
        <f>IF(COUNTIFS(Addendum!C:C,A3865,Addendum!D:D,IF(ISNUMBER(B3865),TEXT(B3865,"0000"),B3865),Addendum!F:F,"X")&gt;0,2.5%,0)</f>
        <v>0</v>
      </c>
      <c r="K3865" s="31">
        <f>IF(COUNTIFS(Addendum!C:C,A3865,Addendum!D:D,IF(ISNUMBER(B3865),TEXT(B3865,"0000"),B3865),Addendum!G:G,"X")&gt;0,7%,0)</f>
        <v>0</v>
      </c>
      <c r="L3865" s="31">
        <f>IF(COUNTIFS(Addendum!C:C,A3865,Addendum!D:D,IF(ISNUMBER(B3865),TEXT(B3865,"0000"),B3865),Addendum!I:I,"X")&gt;0,10%,0)</f>
        <v>0</v>
      </c>
      <c r="M3865" s="34">
        <f t="shared" si="120"/>
        <v>0</v>
      </c>
      <c r="N3865" s="17">
        <f t="shared" si="121"/>
        <v>1124845.49</v>
      </c>
    </row>
    <row r="3866" spans="1:14" x14ac:dyDescent="0.25">
      <c r="A3866" s="17"/>
      <c r="B3866" s="17"/>
      <c r="C3866" s="15" t="s">
        <v>2903</v>
      </c>
      <c r="D3866" s="14"/>
      <c r="E3866" s="14" t="s">
        <v>2841</v>
      </c>
      <c r="F3866" s="17" t="s">
        <v>2993</v>
      </c>
      <c r="G3866" s="14">
        <v>802878</v>
      </c>
      <c r="H3866" s="14">
        <v>702919.68900000001</v>
      </c>
      <c r="I3866" s="31">
        <f>IF(COUNTIFS(Addendum!C:C,A3866,Addendum!D:D,IF(ISNUMBER(B3866),TEXT(B3866,"0000"),B3866),Addendum!E:E,"X")&gt;0,4%,0)</f>
        <v>0</v>
      </c>
      <c r="J3866" s="31">
        <f>IF(COUNTIFS(Addendum!C:C,A3866,Addendum!D:D,IF(ISNUMBER(B3866),TEXT(B3866,"0000"),B3866),Addendum!F:F,"X")&gt;0,2.5%,0)</f>
        <v>0</v>
      </c>
      <c r="K3866" s="31">
        <f>IF(COUNTIFS(Addendum!C:C,A3866,Addendum!D:D,IF(ISNUMBER(B3866),TEXT(B3866,"0000"),B3866),Addendum!G:G,"X")&gt;0,7%,0)</f>
        <v>0</v>
      </c>
      <c r="L3866" s="31">
        <f>IF(COUNTIFS(Addendum!C:C,A3866,Addendum!D:D,IF(ISNUMBER(B3866),TEXT(B3866,"0000"),B3866),Addendum!I:I,"X")&gt;0,10%,0)</f>
        <v>0</v>
      </c>
      <c r="M3866" s="34">
        <f t="shared" si="120"/>
        <v>0</v>
      </c>
      <c r="N3866" s="17">
        <f t="shared" si="121"/>
        <v>702919.68900000001</v>
      </c>
    </row>
    <row r="3867" spans="1:14" x14ac:dyDescent="0.25">
      <c r="A3867" s="17"/>
      <c r="B3867" s="17"/>
      <c r="C3867" s="15" t="s">
        <v>2904</v>
      </c>
      <c r="D3867" s="14"/>
      <c r="E3867" s="14" t="s">
        <v>2841</v>
      </c>
      <c r="F3867" s="17" t="s">
        <v>2993</v>
      </c>
      <c r="G3867" s="14">
        <v>83784</v>
      </c>
      <c r="H3867" s="14">
        <v>73352.891999999993</v>
      </c>
      <c r="I3867" s="31">
        <f>IF(COUNTIFS(Addendum!C:C,A3867,Addendum!D:D,IF(ISNUMBER(B3867),TEXT(B3867,"0000"),B3867),Addendum!E:E,"X")&gt;0,4%,0)</f>
        <v>0</v>
      </c>
      <c r="J3867" s="31">
        <f>IF(COUNTIFS(Addendum!C:C,A3867,Addendum!D:D,IF(ISNUMBER(B3867),TEXT(B3867,"0000"),B3867),Addendum!F:F,"X")&gt;0,2.5%,0)</f>
        <v>0</v>
      </c>
      <c r="K3867" s="31">
        <f>IF(COUNTIFS(Addendum!C:C,A3867,Addendum!D:D,IF(ISNUMBER(B3867),TEXT(B3867,"0000"),B3867),Addendum!G:G,"X")&gt;0,7%,0)</f>
        <v>0</v>
      </c>
      <c r="L3867" s="31">
        <f>IF(COUNTIFS(Addendum!C:C,A3867,Addendum!D:D,IF(ISNUMBER(B3867),TEXT(B3867,"0000"),B3867),Addendum!I:I,"X")&gt;0,10%,0)</f>
        <v>0</v>
      </c>
      <c r="M3867" s="34">
        <f t="shared" si="120"/>
        <v>0</v>
      </c>
      <c r="N3867" s="17">
        <f t="shared" si="121"/>
        <v>73352.891999999993</v>
      </c>
    </row>
    <row r="3868" spans="1:14" x14ac:dyDescent="0.25">
      <c r="A3868" s="17"/>
      <c r="B3868" s="17"/>
      <c r="C3868" s="15" t="s">
        <v>2905</v>
      </c>
      <c r="D3868" s="14"/>
      <c r="E3868" s="14" t="s">
        <v>2841</v>
      </c>
      <c r="F3868" s="17" t="s">
        <v>2993</v>
      </c>
      <c r="G3868" s="14">
        <v>802878</v>
      </c>
      <c r="H3868" s="14">
        <v>702919.68900000001</v>
      </c>
      <c r="I3868" s="31">
        <f>IF(COUNTIFS(Addendum!C:C,A3868,Addendum!D:D,IF(ISNUMBER(B3868),TEXT(B3868,"0000"),B3868),Addendum!E:E,"X")&gt;0,4%,0)</f>
        <v>0</v>
      </c>
      <c r="J3868" s="31">
        <f>IF(COUNTIFS(Addendum!C:C,A3868,Addendum!D:D,IF(ISNUMBER(B3868),TEXT(B3868,"0000"),B3868),Addendum!F:F,"X")&gt;0,2.5%,0)</f>
        <v>0</v>
      </c>
      <c r="K3868" s="31">
        <f>IF(COUNTIFS(Addendum!C:C,A3868,Addendum!D:D,IF(ISNUMBER(B3868),TEXT(B3868,"0000"),B3868),Addendum!G:G,"X")&gt;0,7%,0)</f>
        <v>0</v>
      </c>
      <c r="L3868" s="31">
        <f>IF(COUNTIFS(Addendum!C:C,A3868,Addendum!D:D,IF(ISNUMBER(B3868),TEXT(B3868,"0000"),B3868),Addendum!I:I,"X")&gt;0,10%,0)</f>
        <v>0</v>
      </c>
      <c r="M3868" s="34">
        <f t="shared" si="120"/>
        <v>0</v>
      </c>
      <c r="N3868" s="17">
        <f t="shared" si="121"/>
        <v>702919.68900000001</v>
      </c>
    </row>
    <row r="3869" spans="1:14" x14ac:dyDescent="0.25">
      <c r="A3869" s="17"/>
      <c r="B3869" s="17"/>
      <c r="C3869" s="15" t="s">
        <v>2906</v>
      </c>
      <c r="D3869" s="14"/>
      <c r="E3869" s="14" t="s">
        <v>2841</v>
      </c>
      <c r="F3869" s="17" t="s">
        <v>2993</v>
      </c>
      <c r="G3869" s="14">
        <v>335136</v>
      </c>
      <c r="H3869" s="14">
        <v>293411.56799999997</v>
      </c>
      <c r="I3869" s="31">
        <f>IF(COUNTIFS(Addendum!C:C,A3869,Addendum!D:D,IF(ISNUMBER(B3869),TEXT(B3869,"0000"),B3869),Addendum!E:E,"X")&gt;0,4%,0)</f>
        <v>0</v>
      </c>
      <c r="J3869" s="31">
        <f>IF(COUNTIFS(Addendum!C:C,A3869,Addendum!D:D,IF(ISNUMBER(B3869),TEXT(B3869,"0000"),B3869),Addendum!F:F,"X")&gt;0,2.5%,0)</f>
        <v>0</v>
      </c>
      <c r="K3869" s="31">
        <f>IF(COUNTIFS(Addendum!C:C,A3869,Addendum!D:D,IF(ISNUMBER(B3869),TEXT(B3869,"0000"),B3869),Addendum!G:G,"X")&gt;0,7%,0)</f>
        <v>0</v>
      </c>
      <c r="L3869" s="31">
        <f>IF(COUNTIFS(Addendum!C:C,A3869,Addendum!D:D,IF(ISNUMBER(B3869),TEXT(B3869,"0000"),B3869),Addendum!I:I,"X")&gt;0,10%,0)</f>
        <v>0</v>
      </c>
      <c r="M3869" s="34">
        <f t="shared" si="120"/>
        <v>0</v>
      </c>
      <c r="N3869" s="17">
        <f t="shared" si="121"/>
        <v>293411.56799999997</v>
      </c>
    </row>
    <row r="3870" spans="1:14" x14ac:dyDescent="0.25">
      <c r="A3870" s="17"/>
      <c r="B3870" s="17"/>
      <c r="C3870" s="15" t="s">
        <v>2907</v>
      </c>
      <c r="D3870" s="14"/>
      <c r="E3870" s="14" t="s">
        <v>2841</v>
      </c>
      <c r="F3870" s="17" t="s">
        <v>2993</v>
      </c>
      <c r="G3870" s="14">
        <v>335136</v>
      </c>
      <c r="H3870" s="14">
        <v>293411.56799999997</v>
      </c>
      <c r="I3870" s="31">
        <f>IF(COUNTIFS(Addendum!C:C,A3870,Addendum!D:D,IF(ISNUMBER(B3870),TEXT(B3870,"0000"),B3870),Addendum!E:E,"X")&gt;0,4%,0)</f>
        <v>0</v>
      </c>
      <c r="J3870" s="31">
        <f>IF(COUNTIFS(Addendum!C:C,A3870,Addendum!D:D,IF(ISNUMBER(B3870),TEXT(B3870,"0000"),B3870),Addendum!F:F,"X")&gt;0,2.5%,0)</f>
        <v>0</v>
      </c>
      <c r="K3870" s="31">
        <f>IF(COUNTIFS(Addendum!C:C,A3870,Addendum!D:D,IF(ISNUMBER(B3870),TEXT(B3870,"0000"),B3870),Addendum!G:G,"X")&gt;0,7%,0)</f>
        <v>0</v>
      </c>
      <c r="L3870" s="31">
        <f>IF(COUNTIFS(Addendum!C:C,A3870,Addendum!D:D,IF(ISNUMBER(B3870),TEXT(B3870,"0000"),B3870),Addendum!I:I,"X")&gt;0,10%,0)</f>
        <v>0</v>
      </c>
      <c r="M3870" s="34">
        <f t="shared" si="120"/>
        <v>0</v>
      </c>
      <c r="N3870" s="17">
        <f t="shared" si="121"/>
        <v>293411.56799999997</v>
      </c>
    </row>
    <row r="3871" spans="1:14" x14ac:dyDescent="0.25">
      <c r="A3871" s="17"/>
      <c r="B3871" s="17"/>
      <c r="C3871" s="15" t="s">
        <v>2908</v>
      </c>
      <c r="D3871" s="14"/>
      <c r="E3871" s="14" t="s">
        <v>2841</v>
      </c>
      <c r="F3871" s="17" t="s">
        <v>2993</v>
      </c>
      <c r="G3871" s="14">
        <v>1284803</v>
      </c>
      <c r="H3871" s="14">
        <v>1124845.49</v>
      </c>
      <c r="I3871" s="31">
        <f>IF(COUNTIFS(Addendum!C:C,A3871,Addendum!D:D,IF(ISNUMBER(B3871),TEXT(B3871,"0000"),B3871),Addendum!E:E,"X")&gt;0,4%,0)</f>
        <v>0</v>
      </c>
      <c r="J3871" s="31">
        <f>IF(COUNTIFS(Addendum!C:C,A3871,Addendum!D:D,IF(ISNUMBER(B3871),TEXT(B3871,"0000"),B3871),Addendum!F:F,"X")&gt;0,2.5%,0)</f>
        <v>0</v>
      </c>
      <c r="K3871" s="31">
        <f>IF(COUNTIFS(Addendum!C:C,A3871,Addendum!D:D,IF(ISNUMBER(B3871),TEXT(B3871,"0000"),B3871),Addendum!G:G,"X")&gt;0,7%,0)</f>
        <v>0</v>
      </c>
      <c r="L3871" s="31">
        <f>IF(COUNTIFS(Addendum!C:C,A3871,Addendum!D:D,IF(ISNUMBER(B3871),TEXT(B3871,"0000"),B3871),Addendum!I:I,"X")&gt;0,10%,0)</f>
        <v>0</v>
      </c>
      <c r="M3871" s="34">
        <f t="shared" si="120"/>
        <v>0</v>
      </c>
      <c r="N3871" s="17">
        <f t="shared" si="121"/>
        <v>1124845.49</v>
      </c>
    </row>
    <row r="3872" spans="1:14" x14ac:dyDescent="0.25">
      <c r="A3872" s="17"/>
      <c r="B3872" s="17"/>
      <c r="C3872" s="15" t="s">
        <v>2909</v>
      </c>
      <c r="D3872" s="14"/>
      <c r="E3872" s="14" t="s">
        <v>2841</v>
      </c>
      <c r="F3872" s="17" t="s">
        <v>2993</v>
      </c>
      <c r="G3872" s="14">
        <v>1284803</v>
      </c>
      <c r="H3872" s="14">
        <v>1124845.49</v>
      </c>
      <c r="I3872" s="31">
        <f>IF(COUNTIFS(Addendum!C:C,A3872,Addendum!D:D,IF(ISNUMBER(B3872),TEXT(B3872,"0000"),B3872),Addendum!E:E,"X")&gt;0,4%,0)</f>
        <v>0</v>
      </c>
      <c r="J3872" s="31">
        <f>IF(COUNTIFS(Addendum!C:C,A3872,Addendum!D:D,IF(ISNUMBER(B3872),TEXT(B3872,"0000"),B3872),Addendum!F:F,"X")&gt;0,2.5%,0)</f>
        <v>0</v>
      </c>
      <c r="K3872" s="31">
        <f>IF(COUNTIFS(Addendum!C:C,A3872,Addendum!D:D,IF(ISNUMBER(B3872),TEXT(B3872,"0000"),B3872),Addendum!G:G,"X")&gt;0,7%,0)</f>
        <v>0</v>
      </c>
      <c r="L3872" s="31">
        <f>IF(COUNTIFS(Addendum!C:C,A3872,Addendum!D:D,IF(ISNUMBER(B3872),TEXT(B3872,"0000"),B3872),Addendum!I:I,"X")&gt;0,10%,0)</f>
        <v>0</v>
      </c>
      <c r="M3872" s="34">
        <f t="shared" si="120"/>
        <v>0</v>
      </c>
      <c r="N3872" s="17">
        <f t="shared" si="121"/>
        <v>1124845.49</v>
      </c>
    </row>
    <row r="3873" spans="1:14" x14ac:dyDescent="0.25">
      <c r="A3873" s="17"/>
      <c r="B3873" s="17"/>
      <c r="C3873" s="15" t="s">
        <v>2910</v>
      </c>
      <c r="D3873" s="14"/>
      <c r="E3873" s="14" t="s">
        <v>2841</v>
      </c>
      <c r="F3873" s="17" t="s">
        <v>2993</v>
      </c>
      <c r="G3873" s="14">
        <v>83784</v>
      </c>
      <c r="H3873" s="14">
        <v>73352.891999999993</v>
      </c>
      <c r="I3873" s="31">
        <f>IF(COUNTIFS(Addendum!C:C,A3873,Addendum!D:D,IF(ISNUMBER(B3873),TEXT(B3873,"0000"),B3873),Addendum!E:E,"X")&gt;0,4%,0)</f>
        <v>0</v>
      </c>
      <c r="J3873" s="31">
        <f>IF(COUNTIFS(Addendum!C:C,A3873,Addendum!D:D,IF(ISNUMBER(B3873),TEXT(B3873,"0000"),B3873),Addendum!F:F,"X")&gt;0,2.5%,0)</f>
        <v>0</v>
      </c>
      <c r="K3873" s="31">
        <f>IF(COUNTIFS(Addendum!C:C,A3873,Addendum!D:D,IF(ISNUMBER(B3873),TEXT(B3873,"0000"),B3873),Addendum!G:G,"X")&gt;0,7%,0)</f>
        <v>0</v>
      </c>
      <c r="L3873" s="31">
        <f>IF(COUNTIFS(Addendum!C:C,A3873,Addendum!D:D,IF(ISNUMBER(B3873),TEXT(B3873,"0000"),B3873),Addendum!I:I,"X")&gt;0,10%,0)</f>
        <v>0</v>
      </c>
      <c r="M3873" s="34">
        <f t="shared" si="120"/>
        <v>0</v>
      </c>
      <c r="N3873" s="17">
        <f t="shared" si="121"/>
        <v>73352.891999999993</v>
      </c>
    </row>
    <row r="3874" spans="1:14" x14ac:dyDescent="0.25">
      <c r="A3874" s="17"/>
      <c r="B3874" s="17"/>
      <c r="C3874" s="15" t="s">
        <v>2911</v>
      </c>
      <c r="D3874" s="14"/>
      <c r="E3874" s="14" t="s">
        <v>2841</v>
      </c>
      <c r="F3874" s="17" t="s">
        <v>2993</v>
      </c>
      <c r="G3874" s="14">
        <v>802878</v>
      </c>
      <c r="H3874" s="14">
        <v>702919.68900000001</v>
      </c>
      <c r="I3874" s="31">
        <f>IF(COUNTIFS(Addendum!C:C,A3874,Addendum!D:D,IF(ISNUMBER(B3874),TEXT(B3874,"0000"),B3874),Addendum!E:E,"X")&gt;0,4%,0)</f>
        <v>0</v>
      </c>
      <c r="J3874" s="31">
        <f>IF(COUNTIFS(Addendum!C:C,A3874,Addendum!D:D,IF(ISNUMBER(B3874),TEXT(B3874,"0000"),B3874),Addendum!F:F,"X")&gt;0,2.5%,0)</f>
        <v>0</v>
      </c>
      <c r="K3874" s="31">
        <f>IF(COUNTIFS(Addendum!C:C,A3874,Addendum!D:D,IF(ISNUMBER(B3874),TEXT(B3874,"0000"),B3874),Addendum!G:G,"X")&gt;0,7%,0)</f>
        <v>0</v>
      </c>
      <c r="L3874" s="31">
        <f>IF(COUNTIFS(Addendum!C:C,A3874,Addendum!D:D,IF(ISNUMBER(B3874),TEXT(B3874,"0000"),B3874),Addendum!I:I,"X")&gt;0,10%,0)</f>
        <v>0</v>
      </c>
      <c r="M3874" s="34">
        <f t="shared" si="120"/>
        <v>0</v>
      </c>
      <c r="N3874" s="17">
        <f t="shared" si="121"/>
        <v>702919.68900000001</v>
      </c>
    </row>
    <row r="3875" spans="1:14" x14ac:dyDescent="0.25">
      <c r="A3875" s="17"/>
      <c r="B3875" s="17"/>
      <c r="C3875" s="15" t="s">
        <v>2912</v>
      </c>
      <c r="D3875" s="14"/>
      <c r="E3875" s="14" t="s">
        <v>2841</v>
      </c>
      <c r="F3875" s="17" t="s">
        <v>2994</v>
      </c>
      <c r="G3875" s="14">
        <v>4883</v>
      </c>
      <c r="H3875" s="14">
        <v>4275.0664999999999</v>
      </c>
      <c r="I3875" s="31">
        <f>IF(COUNTIFS(Addendum!C:C,A3875,Addendum!D:D,IF(ISNUMBER(B3875),TEXT(B3875,"0000"),B3875),Addendum!E:E,"X")&gt;0,4%,0)</f>
        <v>0</v>
      </c>
      <c r="J3875" s="31">
        <f>IF(COUNTIFS(Addendum!C:C,A3875,Addendum!D:D,IF(ISNUMBER(B3875),TEXT(B3875,"0000"),B3875),Addendum!F:F,"X")&gt;0,2.5%,0)</f>
        <v>0</v>
      </c>
      <c r="K3875" s="31">
        <f>IF(COUNTIFS(Addendum!C:C,A3875,Addendum!D:D,IF(ISNUMBER(B3875),TEXT(B3875,"0000"),B3875),Addendum!G:G,"X")&gt;0,7%,0)</f>
        <v>0</v>
      </c>
      <c r="L3875" s="31">
        <f>IF(COUNTIFS(Addendum!C:C,A3875,Addendum!D:D,IF(ISNUMBER(B3875),TEXT(B3875,"0000"),B3875),Addendum!I:I,"X")&gt;0,10%,0)</f>
        <v>0</v>
      </c>
      <c r="M3875" s="34">
        <f t="shared" si="120"/>
        <v>0</v>
      </c>
      <c r="N3875" s="17">
        <f t="shared" si="121"/>
        <v>4275.0664999999999</v>
      </c>
    </row>
    <row r="3876" spans="1:14" x14ac:dyDescent="0.25">
      <c r="A3876" s="17"/>
      <c r="B3876" s="17"/>
      <c r="C3876" s="15" t="s">
        <v>2913</v>
      </c>
      <c r="D3876" s="14"/>
      <c r="E3876" s="14" t="s">
        <v>2841</v>
      </c>
      <c r="F3876" s="17" t="s">
        <v>2995</v>
      </c>
      <c r="G3876" s="14">
        <v>7813</v>
      </c>
      <c r="H3876" s="14">
        <v>6840.2815000000001</v>
      </c>
      <c r="I3876" s="31">
        <f>IF(COUNTIFS(Addendum!C:C,A3876,Addendum!D:D,IF(ISNUMBER(B3876),TEXT(B3876,"0000"),B3876),Addendum!E:E,"X")&gt;0,4%,0)</f>
        <v>0</v>
      </c>
      <c r="J3876" s="31">
        <f>IF(COUNTIFS(Addendum!C:C,A3876,Addendum!D:D,IF(ISNUMBER(B3876),TEXT(B3876,"0000"),B3876),Addendum!F:F,"X")&gt;0,2.5%,0)</f>
        <v>0</v>
      </c>
      <c r="K3876" s="31">
        <f>IF(COUNTIFS(Addendum!C:C,A3876,Addendum!D:D,IF(ISNUMBER(B3876),TEXT(B3876,"0000"),B3876),Addendum!G:G,"X")&gt;0,7%,0)</f>
        <v>0</v>
      </c>
      <c r="L3876" s="31">
        <f>IF(COUNTIFS(Addendum!C:C,A3876,Addendum!D:D,IF(ISNUMBER(B3876),TEXT(B3876,"0000"),B3876),Addendum!I:I,"X")&gt;0,10%,0)</f>
        <v>0</v>
      </c>
      <c r="M3876" s="34">
        <f t="shared" si="120"/>
        <v>0</v>
      </c>
      <c r="N3876" s="17">
        <f t="shared" si="121"/>
        <v>6840.2815000000001</v>
      </c>
    </row>
    <row r="3877" spans="1:14" x14ac:dyDescent="0.25">
      <c r="A3877" s="17"/>
      <c r="B3877" s="17"/>
      <c r="C3877" s="15" t="s">
        <v>2913</v>
      </c>
      <c r="D3877" s="14"/>
      <c r="E3877" s="14" t="s">
        <v>2841</v>
      </c>
      <c r="F3877" s="17" t="s">
        <v>2993</v>
      </c>
      <c r="G3877" s="14">
        <v>19532</v>
      </c>
      <c r="H3877" s="14">
        <v>17100.266</v>
      </c>
      <c r="I3877" s="31">
        <f>IF(COUNTIFS(Addendum!C:C,A3877,Addendum!D:D,IF(ISNUMBER(B3877),TEXT(B3877,"0000"),B3877),Addendum!E:E,"X")&gt;0,4%,0)</f>
        <v>0</v>
      </c>
      <c r="J3877" s="31">
        <f>IF(COUNTIFS(Addendum!C:C,A3877,Addendum!D:D,IF(ISNUMBER(B3877),TEXT(B3877,"0000"),B3877),Addendum!F:F,"X")&gt;0,2.5%,0)</f>
        <v>0</v>
      </c>
      <c r="K3877" s="31">
        <f>IF(COUNTIFS(Addendum!C:C,A3877,Addendum!D:D,IF(ISNUMBER(B3877),TEXT(B3877,"0000"),B3877),Addendum!G:G,"X")&gt;0,7%,0)</f>
        <v>0</v>
      </c>
      <c r="L3877" s="31">
        <f>IF(COUNTIFS(Addendum!C:C,A3877,Addendum!D:D,IF(ISNUMBER(B3877),TEXT(B3877,"0000"),B3877),Addendum!I:I,"X")&gt;0,10%,0)</f>
        <v>0</v>
      </c>
      <c r="M3877" s="34">
        <f t="shared" si="120"/>
        <v>0</v>
      </c>
      <c r="N3877" s="17">
        <f t="shared" si="121"/>
        <v>17100.266</v>
      </c>
    </row>
    <row r="3878" spans="1:14" x14ac:dyDescent="0.25">
      <c r="A3878" s="17"/>
      <c r="B3878" s="17"/>
      <c r="C3878" s="15" t="s">
        <v>2912</v>
      </c>
      <c r="D3878" s="14"/>
      <c r="E3878" s="14" t="s">
        <v>2841</v>
      </c>
      <c r="F3878" s="17" t="s">
        <v>2995</v>
      </c>
      <c r="G3878" s="14">
        <v>7813</v>
      </c>
      <c r="H3878" s="14">
        <v>6840.2815000000001</v>
      </c>
      <c r="I3878" s="31">
        <f>IF(COUNTIFS(Addendum!C:C,A3878,Addendum!D:D,IF(ISNUMBER(B3878),TEXT(B3878,"0000"),B3878),Addendum!E:E,"X")&gt;0,4%,0)</f>
        <v>0</v>
      </c>
      <c r="J3878" s="31">
        <f>IF(COUNTIFS(Addendum!C:C,A3878,Addendum!D:D,IF(ISNUMBER(B3878),TEXT(B3878,"0000"),B3878),Addendum!F:F,"X")&gt;0,2.5%,0)</f>
        <v>0</v>
      </c>
      <c r="K3878" s="31">
        <f>IF(COUNTIFS(Addendum!C:C,A3878,Addendum!D:D,IF(ISNUMBER(B3878),TEXT(B3878,"0000"),B3878),Addendum!G:G,"X")&gt;0,7%,0)</f>
        <v>0</v>
      </c>
      <c r="L3878" s="31">
        <f>IF(COUNTIFS(Addendum!C:C,A3878,Addendum!D:D,IF(ISNUMBER(B3878),TEXT(B3878,"0000"),B3878),Addendum!I:I,"X")&gt;0,10%,0)</f>
        <v>0</v>
      </c>
      <c r="M3878" s="34">
        <f t="shared" si="120"/>
        <v>0</v>
      </c>
      <c r="N3878" s="17">
        <f t="shared" si="121"/>
        <v>6840.2815000000001</v>
      </c>
    </row>
    <row r="3879" spans="1:14" x14ac:dyDescent="0.25">
      <c r="A3879" s="17"/>
      <c r="B3879" s="17"/>
      <c r="C3879" s="15" t="s">
        <v>2913</v>
      </c>
      <c r="D3879" s="14"/>
      <c r="E3879" s="14" t="s">
        <v>2841</v>
      </c>
      <c r="F3879" s="17" t="s">
        <v>2994</v>
      </c>
      <c r="G3879" s="14">
        <v>4883</v>
      </c>
      <c r="H3879" s="14">
        <v>4275.0664999999999</v>
      </c>
      <c r="I3879" s="31">
        <f>IF(COUNTIFS(Addendum!C:C,A3879,Addendum!D:D,IF(ISNUMBER(B3879),TEXT(B3879,"0000"),B3879),Addendum!E:E,"X")&gt;0,4%,0)</f>
        <v>0</v>
      </c>
      <c r="J3879" s="31">
        <f>IF(COUNTIFS(Addendum!C:C,A3879,Addendum!D:D,IF(ISNUMBER(B3879),TEXT(B3879,"0000"),B3879),Addendum!F:F,"X")&gt;0,2.5%,0)</f>
        <v>0</v>
      </c>
      <c r="K3879" s="31">
        <f>IF(COUNTIFS(Addendum!C:C,A3879,Addendum!D:D,IF(ISNUMBER(B3879),TEXT(B3879,"0000"),B3879),Addendum!G:G,"X")&gt;0,7%,0)</f>
        <v>0</v>
      </c>
      <c r="L3879" s="31">
        <f>IF(COUNTIFS(Addendum!C:C,A3879,Addendum!D:D,IF(ISNUMBER(B3879),TEXT(B3879,"0000"),B3879),Addendum!I:I,"X")&gt;0,10%,0)</f>
        <v>0</v>
      </c>
      <c r="M3879" s="34">
        <f t="shared" si="120"/>
        <v>0</v>
      </c>
      <c r="N3879" s="17">
        <f t="shared" si="121"/>
        <v>4275.0664999999999</v>
      </c>
    </row>
    <row r="3880" spans="1:14" x14ac:dyDescent="0.25">
      <c r="A3880" s="17"/>
      <c r="B3880" s="17"/>
      <c r="C3880" s="15" t="s">
        <v>2912</v>
      </c>
      <c r="D3880" s="14"/>
      <c r="E3880" s="14" t="s">
        <v>2841</v>
      </c>
      <c r="F3880" s="17" t="s">
        <v>2993</v>
      </c>
      <c r="G3880" s="14">
        <v>19532</v>
      </c>
      <c r="H3880" s="14">
        <v>17100.266</v>
      </c>
      <c r="I3880" s="31">
        <f>IF(COUNTIFS(Addendum!C:C,A3880,Addendum!D:D,IF(ISNUMBER(B3880),TEXT(B3880,"0000"),B3880),Addendum!E:E,"X")&gt;0,4%,0)</f>
        <v>0</v>
      </c>
      <c r="J3880" s="31">
        <f>IF(COUNTIFS(Addendum!C:C,A3880,Addendum!D:D,IF(ISNUMBER(B3880),TEXT(B3880,"0000"),B3880),Addendum!F:F,"X")&gt;0,2.5%,0)</f>
        <v>0</v>
      </c>
      <c r="K3880" s="31">
        <f>IF(COUNTIFS(Addendum!C:C,A3880,Addendum!D:D,IF(ISNUMBER(B3880),TEXT(B3880,"0000"),B3880),Addendum!G:G,"X")&gt;0,7%,0)</f>
        <v>0</v>
      </c>
      <c r="L3880" s="31">
        <f>IF(COUNTIFS(Addendum!C:C,A3880,Addendum!D:D,IF(ISNUMBER(B3880),TEXT(B3880,"0000"),B3880),Addendum!I:I,"X")&gt;0,10%,0)</f>
        <v>0</v>
      </c>
      <c r="M3880" s="34">
        <f t="shared" si="120"/>
        <v>0</v>
      </c>
      <c r="N3880" s="17">
        <f t="shared" si="121"/>
        <v>17100.266</v>
      </c>
    </row>
    <row r="3881" spans="1:14" x14ac:dyDescent="0.25">
      <c r="A3881" s="17"/>
      <c r="B3881" s="17"/>
      <c r="C3881" s="15" t="s">
        <v>2914</v>
      </c>
      <c r="D3881" s="14"/>
      <c r="E3881" s="14" t="s">
        <v>2841</v>
      </c>
      <c r="F3881" s="17" t="s">
        <v>2995</v>
      </c>
      <c r="G3881" s="14">
        <v>513943</v>
      </c>
      <c r="H3881" s="14">
        <v>449957.14799999999</v>
      </c>
      <c r="I3881" s="31">
        <f>IF(COUNTIFS(Addendum!C:C,A3881,Addendum!D:D,IF(ISNUMBER(B3881),TEXT(B3881,"0000"),B3881),Addendum!E:E,"X")&gt;0,4%,0)</f>
        <v>0</v>
      </c>
      <c r="J3881" s="31">
        <f>IF(COUNTIFS(Addendum!C:C,A3881,Addendum!D:D,IF(ISNUMBER(B3881),TEXT(B3881,"0000"),B3881),Addendum!F:F,"X")&gt;0,2.5%,0)</f>
        <v>0</v>
      </c>
      <c r="K3881" s="31">
        <f>IF(COUNTIFS(Addendum!C:C,A3881,Addendum!D:D,IF(ISNUMBER(B3881),TEXT(B3881,"0000"),B3881),Addendum!G:G,"X")&gt;0,7%,0)</f>
        <v>0</v>
      </c>
      <c r="L3881" s="31">
        <f>IF(COUNTIFS(Addendum!C:C,A3881,Addendum!D:D,IF(ISNUMBER(B3881),TEXT(B3881,"0000"),B3881),Addendum!I:I,"X")&gt;0,10%,0)</f>
        <v>0</v>
      </c>
      <c r="M3881" s="34">
        <f t="shared" si="120"/>
        <v>0</v>
      </c>
      <c r="N3881" s="17">
        <f t="shared" si="121"/>
        <v>449957.14799999999</v>
      </c>
    </row>
    <row r="3882" spans="1:14" x14ac:dyDescent="0.25">
      <c r="A3882" s="17"/>
      <c r="B3882" s="17"/>
      <c r="C3882" s="15" t="s">
        <v>2915</v>
      </c>
      <c r="D3882" s="14" t="s">
        <v>1752</v>
      </c>
      <c r="E3882" s="14" t="s">
        <v>1747</v>
      </c>
      <c r="F3882" s="17" t="s">
        <v>2993</v>
      </c>
      <c r="G3882" s="14">
        <v>1523551</v>
      </c>
      <c r="H3882" s="14">
        <v>1333868.54</v>
      </c>
      <c r="I3882" s="31">
        <f>IF(COUNTIFS(Addendum!C:C,A3882,Addendum!D:D,IF(ISNUMBER(B3882),TEXT(B3882,"0000"),B3882),Addendum!E:E,"X")&gt;0,4%,0)</f>
        <v>0</v>
      </c>
      <c r="J3882" s="31">
        <f>IF(COUNTIFS(Addendum!C:C,A3882,Addendum!D:D,IF(ISNUMBER(B3882),TEXT(B3882,"0000"),B3882),Addendum!F:F,"X")&gt;0,2.5%,0)</f>
        <v>0</v>
      </c>
      <c r="K3882" s="31">
        <f>IF(COUNTIFS(Addendum!C:C,A3882,Addendum!D:D,IF(ISNUMBER(B3882),TEXT(B3882,"0000"),B3882),Addendum!G:G,"X")&gt;0,7%,0)</f>
        <v>0</v>
      </c>
      <c r="L3882" s="31">
        <f>IF(COUNTIFS(Addendum!C:C,A3882,Addendum!D:D,IF(ISNUMBER(B3882),TEXT(B3882,"0000"),B3882),Addendum!I:I,"X")&gt;0,10%,0)</f>
        <v>0</v>
      </c>
      <c r="M3882" s="34">
        <f t="shared" si="120"/>
        <v>0</v>
      </c>
      <c r="N3882" s="17">
        <f t="shared" si="121"/>
        <v>1333868.54</v>
      </c>
    </row>
    <row r="3883" spans="1:14" x14ac:dyDescent="0.25">
      <c r="A3883" s="17"/>
      <c r="B3883" s="17"/>
      <c r="C3883" s="15" t="s">
        <v>2916</v>
      </c>
      <c r="D3883" s="14" t="s">
        <v>1745</v>
      </c>
      <c r="E3883" s="14" t="s">
        <v>1746</v>
      </c>
      <c r="F3883" s="17" t="s">
        <v>2993</v>
      </c>
      <c r="G3883" s="14">
        <v>606841</v>
      </c>
      <c r="H3883" s="14">
        <v>531289.24399999995</v>
      </c>
      <c r="I3883" s="31">
        <f>IF(COUNTIFS(Addendum!C:C,A3883,Addendum!D:D,IF(ISNUMBER(B3883),TEXT(B3883,"0000"),B3883),Addendum!E:E,"X")&gt;0,4%,0)</f>
        <v>0</v>
      </c>
      <c r="J3883" s="31">
        <f>IF(COUNTIFS(Addendum!C:C,A3883,Addendum!D:D,IF(ISNUMBER(B3883),TEXT(B3883,"0000"),B3883),Addendum!F:F,"X")&gt;0,2.5%,0)</f>
        <v>0</v>
      </c>
      <c r="K3883" s="31">
        <f>IF(COUNTIFS(Addendum!C:C,A3883,Addendum!D:D,IF(ISNUMBER(B3883),TEXT(B3883,"0000"),B3883),Addendum!G:G,"X")&gt;0,7%,0)</f>
        <v>0</v>
      </c>
      <c r="L3883" s="31">
        <f>IF(COUNTIFS(Addendum!C:C,A3883,Addendum!D:D,IF(ISNUMBER(B3883),TEXT(B3883,"0000"),B3883),Addendum!I:I,"X")&gt;0,10%,0)</f>
        <v>0</v>
      </c>
      <c r="M3883" s="34">
        <f t="shared" si="120"/>
        <v>0</v>
      </c>
      <c r="N3883" s="17">
        <f t="shared" si="121"/>
        <v>531289.24399999995</v>
      </c>
    </row>
    <row r="3884" spans="1:14" x14ac:dyDescent="0.25">
      <c r="A3884" s="17"/>
      <c r="B3884" s="17"/>
      <c r="C3884" s="15" t="s">
        <v>2914</v>
      </c>
      <c r="D3884" s="14"/>
      <c r="E3884" s="14" t="s">
        <v>2841</v>
      </c>
      <c r="F3884" s="17" t="s">
        <v>2993</v>
      </c>
      <c r="G3884" s="14">
        <v>1284859</v>
      </c>
      <c r="H3884" s="14">
        <v>1124893.8999999999</v>
      </c>
      <c r="I3884" s="31">
        <f>IF(COUNTIFS(Addendum!C:C,A3884,Addendum!D:D,IF(ISNUMBER(B3884),TEXT(B3884,"0000"),B3884),Addendum!E:E,"X")&gt;0,4%,0)</f>
        <v>0</v>
      </c>
      <c r="J3884" s="31">
        <f>IF(COUNTIFS(Addendum!C:C,A3884,Addendum!D:D,IF(ISNUMBER(B3884),TEXT(B3884,"0000"),B3884),Addendum!F:F,"X")&gt;0,2.5%,0)</f>
        <v>0</v>
      </c>
      <c r="K3884" s="31">
        <f>IF(COUNTIFS(Addendum!C:C,A3884,Addendum!D:D,IF(ISNUMBER(B3884),TEXT(B3884,"0000"),B3884),Addendum!G:G,"X")&gt;0,7%,0)</f>
        <v>0</v>
      </c>
      <c r="L3884" s="31">
        <f>IF(COUNTIFS(Addendum!C:C,A3884,Addendum!D:D,IF(ISNUMBER(B3884),TEXT(B3884,"0000"),B3884),Addendum!I:I,"X")&gt;0,10%,0)</f>
        <v>0</v>
      </c>
      <c r="M3884" s="34">
        <f t="shared" si="120"/>
        <v>0</v>
      </c>
      <c r="N3884" s="17">
        <f t="shared" si="121"/>
        <v>1124893.8999999999</v>
      </c>
    </row>
    <row r="3885" spans="1:14" x14ac:dyDescent="0.25">
      <c r="A3885" s="17"/>
      <c r="B3885" s="17"/>
      <c r="C3885" s="15" t="s">
        <v>2916</v>
      </c>
      <c r="D3885" s="14" t="s">
        <v>1745</v>
      </c>
      <c r="E3885" s="14" t="s">
        <v>1747</v>
      </c>
      <c r="F3885" s="17" t="s">
        <v>2993</v>
      </c>
      <c r="G3885" s="14">
        <v>606841</v>
      </c>
      <c r="H3885" s="14">
        <v>531289.34700000007</v>
      </c>
      <c r="I3885" s="31">
        <f>IF(COUNTIFS(Addendum!C:C,A3885,Addendum!D:D,IF(ISNUMBER(B3885),TEXT(B3885,"0000"),B3885),Addendum!E:E,"X")&gt;0,4%,0)</f>
        <v>0</v>
      </c>
      <c r="J3885" s="31">
        <f>IF(COUNTIFS(Addendum!C:C,A3885,Addendum!D:D,IF(ISNUMBER(B3885),TEXT(B3885,"0000"),B3885),Addendum!F:F,"X")&gt;0,2.5%,0)</f>
        <v>0</v>
      </c>
      <c r="K3885" s="31">
        <f>IF(COUNTIFS(Addendum!C:C,A3885,Addendum!D:D,IF(ISNUMBER(B3885),TEXT(B3885,"0000"),B3885),Addendum!G:G,"X")&gt;0,7%,0)</f>
        <v>0</v>
      </c>
      <c r="L3885" s="31">
        <f>IF(COUNTIFS(Addendum!C:C,A3885,Addendum!D:D,IF(ISNUMBER(B3885),TEXT(B3885,"0000"),B3885),Addendum!I:I,"X")&gt;0,10%,0)</f>
        <v>0</v>
      </c>
      <c r="M3885" s="34">
        <f t="shared" si="120"/>
        <v>0</v>
      </c>
      <c r="N3885" s="17">
        <f t="shared" si="121"/>
        <v>531289.34700000007</v>
      </c>
    </row>
    <row r="3886" spans="1:14" x14ac:dyDescent="0.25">
      <c r="A3886" s="17"/>
      <c r="B3886" s="17"/>
      <c r="C3886" s="15" t="s">
        <v>2914</v>
      </c>
      <c r="D3886" s="14"/>
      <c r="E3886" s="14" t="s">
        <v>2841</v>
      </c>
      <c r="F3886" s="17" t="s">
        <v>2994</v>
      </c>
      <c r="G3886" s="14">
        <v>321214</v>
      </c>
      <c r="H3886" s="14">
        <v>281222.85700000002</v>
      </c>
      <c r="I3886" s="31">
        <f>IF(COUNTIFS(Addendum!C:C,A3886,Addendum!D:D,IF(ISNUMBER(B3886),TEXT(B3886,"0000"),B3886),Addendum!E:E,"X")&gt;0,4%,0)</f>
        <v>0</v>
      </c>
      <c r="J3886" s="31">
        <f>IF(COUNTIFS(Addendum!C:C,A3886,Addendum!D:D,IF(ISNUMBER(B3886),TEXT(B3886,"0000"),B3886),Addendum!F:F,"X")&gt;0,2.5%,0)</f>
        <v>0</v>
      </c>
      <c r="K3886" s="31">
        <f>IF(COUNTIFS(Addendum!C:C,A3886,Addendum!D:D,IF(ISNUMBER(B3886),TEXT(B3886,"0000"),B3886),Addendum!G:G,"X")&gt;0,7%,0)</f>
        <v>0</v>
      </c>
      <c r="L3886" s="31">
        <f>IF(COUNTIFS(Addendum!C:C,A3886,Addendum!D:D,IF(ISNUMBER(B3886),TEXT(B3886,"0000"),B3886),Addendum!I:I,"X")&gt;0,10%,0)</f>
        <v>0</v>
      </c>
      <c r="M3886" s="34">
        <f t="shared" si="120"/>
        <v>0</v>
      </c>
      <c r="N3886" s="17">
        <f t="shared" si="121"/>
        <v>281222.85700000002</v>
      </c>
    </row>
    <row r="3887" spans="1:14" x14ac:dyDescent="0.25">
      <c r="A3887" s="17"/>
      <c r="B3887" s="17"/>
      <c r="C3887" s="15" t="s">
        <v>2915</v>
      </c>
      <c r="D3887" s="14" t="s">
        <v>1752</v>
      </c>
      <c r="E3887" s="14" t="s">
        <v>1753</v>
      </c>
      <c r="F3887" s="17" t="s">
        <v>2993</v>
      </c>
      <c r="G3887" s="14">
        <v>1523551</v>
      </c>
      <c r="H3887" s="14">
        <v>1333868.54</v>
      </c>
      <c r="I3887" s="31">
        <f>IF(COUNTIFS(Addendum!C:C,A3887,Addendum!D:D,IF(ISNUMBER(B3887),TEXT(B3887,"0000"),B3887),Addendum!E:E,"X")&gt;0,4%,0)</f>
        <v>0</v>
      </c>
      <c r="J3887" s="31">
        <f>IF(COUNTIFS(Addendum!C:C,A3887,Addendum!D:D,IF(ISNUMBER(B3887),TEXT(B3887,"0000"),B3887),Addendum!F:F,"X")&gt;0,2.5%,0)</f>
        <v>0</v>
      </c>
      <c r="K3887" s="31">
        <f>IF(COUNTIFS(Addendum!C:C,A3887,Addendum!D:D,IF(ISNUMBER(B3887),TEXT(B3887,"0000"),B3887),Addendum!G:G,"X")&gt;0,7%,0)</f>
        <v>0</v>
      </c>
      <c r="L3887" s="31">
        <f>IF(COUNTIFS(Addendum!C:C,A3887,Addendum!D:D,IF(ISNUMBER(B3887),TEXT(B3887,"0000"),B3887),Addendum!I:I,"X")&gt;0,10%,0)</f>
        <v>0</v>
      </c>
      <c r="M3887" s="34">
        <f t="shared" si="120"/>
        <v>0</v>
      </c>
      <c r="N3887" s="17">
        <f t="shared" si="121"/>
        <v>1333868.54</v>
      </c>
    </row>
    <row r="3888" spans="1:14" x14ac:dyDescent="0.25">
      <c r="A3888" s="17"/>
      <c r="B3888" s="17"/>
      <c r="C3888" s="15" t="s">
        <v>2917</v>
      </c>
      <c r="D3888" s="14"/>
      <c r="E3888" s="14" t="s">
        <v>2841</v>
      </c>
      <c r="F3888" s="17" t="s">
        <v>2994</v>
      </c>
      <c r="G3888" s="14">
        <v>83785</v>
      </c>
      <c r="H3888" s="14">
        <v>73353.767500000002</v>
      </c>
      <c r="I3888" s="31">
        <f>IF(COUNTIFS(Addendum!C:C,A3888,Addendum!D:D,IF(ISNUMBER(B3888),TEXT(B3888,"0000"),B3888),Addendum!E:E,"X")&gt;0,4%,0)</f>
        <v>0</v>
      </c>
      <c r="J3888" s="31">
        <f>IF(COUNTIFS(Addendum!C:C,A3888,Addendum!D:D,IF(ISNUMBER(B3888),TEXT(B3888,"0000"),B3888),Addendum!F:F,"X")&gt;0,2.5%,0)</f>
        <v>0</v>
      </c>
      <c r="K3888" s="31">
        <f>IF(COUNTIFS(Addendum!C:C,A3888,Addendum!D:D,IF(ISNUMBER(B3888),TEXT(B3888,"0000"),B3888),Addendum!G:G,"X")&gt;0,7%,0)</f>
        <v>0</v>
      </c>
      <c r="L3888" s="31">
        <f>IF(COUNTIFS(Addendum!C:C,A3888,Addendum!D:D,IF(ISNUMBER(B3888),TEXT(B3888,"0000"),B3888),Addendum!I:I,"X")&gt;0,10%,0)</f>
        <v>0</v>
      </c>
      <c r="M3888" s="34">
        <f t="shared" si="120"/>
        <v>0</v>
      </c>
      <c r="N3888" s="17">
        <f t="shared" si="121"/>
        <v>73353.767500000002</v>
      </c>
    </row>
    <row r="3889" spans="1:14" x14ac:dyDescent="0.25">
      <c r="A3889" s="17"/>
      <c r="B3889" s="17"/>
      <c r="C3889" s="15" t="s">
        <v>2918</v>
      </c>
      <c r="D3889" s="14" t="s">
        <v>1752</v>
      </c>
      <c r="E3889" s="14" t="s">
        <v>1753</v>
      </c>
      <c r="F3889" s="17" t="s">
        <v>2993</v>
      </c>
      <c r="G3889" s="14">
        <v>397570</v>
      </c>
      <c r="H3889" s="14">
        <v>348072.53499999997</v>
      </c>
      <c r="I3889" s="31">
        <f>IF(COUNTIFS(Addendum!C:C,A3889,Addendum!D:D,IF(ISNUMBER(B3889),TEXT(B3889,"0000"),B3889),Addendum!E:E,"X")&gt;0,4%,0)</f>
        <v>0</v>
      </c>
      <c r="J3889" s="31">
        <f>IF(COUNTIFS(Addendum!C:C,A3889,Addendum!D:D,IF(ISNUMBER(B3889),TEXT(B3889,"0000"),B3889),Addendum!F:F,"X")&gt;0,2.5%,0)</f>
        <v>0</v>
      </c>
      <c r="K3889" s="31">
        <f>IF(COUNTIFS(Addendum!C:C,A3889,Addendum!D:D,IF(ISNUMBER(B3889),TEXT(B3889,"0000"),B3889),Addendum!G:G,"X")&gt;0,7%,0)</f>
        <v>0</v>
      </c>
      <c r="L3889" s="31">
        <f>IF(COUNTIFS(Addendum!C:C,A3889,Addendum!D:D,IF(ISNUMBER(B3889),TEXT(B3889,"0000"),B3889),Addendum!I:I,"X")&gt;0,10%,0)</f>
        <v>0</v>
      </c>
      <c r="M3889" s="34">
        <f t="shared" si="120"/>
        <v>0</v>
      </c>
      <c r="N3889" s="17">
        <f t="shared" si="121"/>
        <v>348072.53499999997</v>
      </c>
    </row>
    <row r="3890" spans="1:14" x14ac:dyDescent="0.25">
      <c r="A3890" s="17"/>
      <c r="B3890" s="17"/>
      <c r="C3890" s="15" t="s">
        <v>2917</v>
      </c>
      <c r="D3890" s="14"/>
      <c r="E3890" s="14" t="s">
        <v>2841</v>
      </c>
      <c r="F3890" s="17" t="s">
        <v>2993</v>
      </c>
      <c r="G3890" s="14">
        <v>335140</v>
      </c>
      <c r="H3890" s="14">
        <v>293415.07</v>
      </c>
      <c r="I3890" s="31">
        <f>IF(COUNTIFS(Addendum!C:C,A3890,Addendum!D:D,IF(ISNUMBER(B3890),TEXT(B3890,"0000"),B3890),Addendum!E:E,"X")&gt;0,4%,0)</f>
        <v>0</v>
      </c>
      <c r="J3890" s="31">
        <f>IF(COUNTIFS(Addendum!C:C,A3890,Addendum!D:D,IF(ISNUMBER(B3890),TEXT(B3890,"0000"),B3890),Addendum!F:F,"X")&gt;0,2.5%,0)</f>
        <v>0</v>
      </c>
      <c r="K3890" s="31">
        <f>IF(COUNTIFS(Addendum!C:C,A3890,Addendum!D:D,IF(ISNUMBER(B3890),TEXT(B3890,"0000"),B3890),Addendum!G:G,"X")&gt;0,7%,0)</f>
        <v>0</v>
      </c>
      <c r="L3890" s="31">
        <f>IF(COUNTIFS(Addendum!C:C,A3890,Addendum!D:D,IF(ISNUMBER(B3890),TEXT(B3890,"0000"),B3890),Addendum!I:I,"X")&gt;0,10%,0)</f>
        <v>0</v>
      </c>
      <c r="M3890" s="34">
        <f t="shared" si="120"/>
        <v>0</v>
      </c>
      <c r="N3890" s="17">
        <f t="shared" si="121"/>
        <v>293415.07</v>
      </c>
    </row>
    <row r="3891" spans="1:14" x14ac:dyDescent="0.25">
      <c r="A3891" s="17"/>
      <c r="B3891" s="17"/>
      <c r="C3891" s="15" t="s">
        <v>2917</v>
      </c>
      <c r="D3891" s="14"/>
      <c r="E3891" s="14" t="s">
        <v>2841</v>
      </c>
      <c r="F3891" s="17" t="s">
        <v>2995</v>
      </c>
      <c r="G3891" s="14">
        <v>134056</v>
      </c>
      <c r="H3891" s="14">
        <v>117366.02800000001</v>
      </c>
      <c r="I3891" s="31">
        <f>IF(COUNTIFS(Addendum!C:C,A3891,Addendum!D:D,IF(ISNUMBER(B3891),TEXT(B3891,"0000"),B3891),Addendum!E:E,"X")&gt;0,4%,0)</f>
        <v>0</v>
      </c>
      <c r="J3891" s="31">
        <f>IF(COUNTIFS(Addendum!C:C,A3891,Addendum!D:D,IF(ISNUMBER(B3891),TEXT(B3891,"0000"),B3891),Addendum!F:F,"X")&gt;0,2.5%,0)</f>
        <v>0</v>
      </c>
      <c r="K3891" s="31">
        <f>IF(COUNTIFS(Addendum!C:C,A3891,Addendum!D:D,IF(ISNUMBER(B3891),TEXT(B3891,"0000"),B3891),Addendum!G:G,"X")&gt;0,7%,0)</f>
        <v>0</v>
      </c>
      <c r="L3891" s="31">
        <f>IF(COUNTIFS(Addendum!C:C,A3891,Addendum!D:D,IF(ISNUMBER(B3891),TEXT(B3891,"0000"),B3891),Addendum!I:I,"X")&gt;0,10%,0)</f>
        <v>0</v>
      </c>
      <c r="M3891" s="34">
        <f t="shared" si="120"/>
        <v>0</v>
      </c>
      <c r="N3891" s="17">
        <f t="shared" si="121"/>
        <v>117366.02800000001</v>
      </c>
    </row>
    <row r="3892" spans="1:14" x14ac:dyDescent="0.25">
      <c r="A3892" s="17"/>
      <c r="B3892" s="17"/>
      <c r="C3892" s="15" t="s">
        <v>2919</v>
      </c>
      <c r="D3892" s="14" t="s">
        <v>1745</v>
      </c>
      <c r="E3892" s="14" t="s">
        <v>1747</v>
      </c>
      <c r="F3892" s="17" t="s">
        <v>2993</v>
      </c>
      <c r="G3892" s="14">
        <v>158284</v>
      </c>
      <c r="H3892" s="14">
        <v>138577.64199999999</v>
      </c>
      <c r="I3892" s="31">
        <f>IF(COUNTIFS(Addendum!C:C,A3892,Addendum!D:D,IF(ISNUMBER(B3892),TEXT(B3892,"0000"),B3892),Addendum!E:E,"X")&gt;0,4%,0)</f>
        <v>0</v>
      </c>
      <c r="J3892" s="31">
        <f>IF(COUNTIFS(Addendum!C:C,A3892,Addendum!D:D,IF(ISNUMBER(B3892),TEXT(B3892,"0000"),B3892),Addendum!F:F,"X")&gt;0,2.5%,0)</f>
        <v>0</v>
      </c>
      <c r="K3892" s="31">
        <f>IF(COUNTIFS(Addendum!C:C,A3892,Addendum!D:D,IF(ISNUMBER(B3892),TEXT(B3892,"0000"),B3892),Addendum!G:G,"X")&gt;0,7%,0)</f>
        <v>0</v>
      </c>
      <c r="L3892" s="31">
        <f>IF(COUNTIFS(Addendum!C:C,A3892,Addendum!D:D,IF(ISNUMBER(B3892),TEXT(B3892,"0000"),B3892),Addendum!I:I,"X")&gt;0,10%,0)</f>
        <v>0</v>
      </c>
      <c r="M3892" s="34">
        <f t="shared" si="120"/>
        <v>0</v>
      </c>
      <c r="N3892" s="17">
        <f t="shared" si="121"/>
        <v>138577.64199999999</v>
      </c>
    </row>
    <row r="3893" spans="1:14" x14ac:dyDescent="0.25">
      <c r="A3893" s="17"/>
      <c r="B3893" s="17"/>
      <c r="C3893" s="15" t="s">
        <v>2919</v>
      </c>
      <c r="D3893" s="14" t="s">
        <v>1745</v>
      </c>
      <c r="E3893" s="14" t="s">
        <v>1746</v>
      </c>
      <c r="F3893" s="17" t="s">
        <v>2993</v>
      </c>
      <c r="G3893" s="14">
        <v>158284</v>
      </c>
      <c r="H3893" s="14">
        <v>138577.64199999999</v>
      </c>
      <c r="I3893" s="31">
        <f>IF(COUNTIFS(Addendum!C:C,A3893,Addendum!D:D,IF(ISNUMBER(B3893),TEXT(B3893,"0000"),B3893),Addendum!E:E,"X")&gt;0,4%,0)</f>
        <v>0</v>
      </c>
      <c r="J3893" s="31">
        <f>IF(COUNTIFS(Addendum!C:C,A3893,Addendum!D:D,IF(ISNUMBER(B3893),TEXT(B3893,"0000"),B3893),Addendum!F:F,"X")&gt;0,2.5%,0)</f>
        <v>0</v>
      </c>
      <c r="K3893" s="31">
        <f>IF(COUNTIFS(Addendum!C:C,A3893,Addendum!D:D,IF(ISNUMBER(B3893),TEXT(B3893,"0000"),B3893),Addendum!G:G,"X")&gt;0,7%,0)</f>
        <v>0</v>
      </c>
      <c r="L3893" s="31">
        <f>IF(COUNTIFS(Addendum!C:C,A3893,Addendum!D:D,IF(ISNUMBER(B3893),TEXT(B3893,"0000"),B3893),Addendum!I:I,"X")&gt;0,10%,0)</f>
        <v>0</v>
      </c>
      <c r="M3893" s="34">
        <f t="shared" si="120"/>
        <v>0</v>
      </c>
      <c r="N3893" s="17">
        <f t="shared" si="121"/>
        <v>138577.64199999999</v>
      </c>
    </row>
    <row r="3894" spans="1:14" x14ac:dyDescent="0.25">
      <c r="A3894" s="17"/>
      <c r="B3894" s="17"/>
      <c r="C3894" s="15" t="s">
        <v>2918</v>
      </c>
      <c r="D3894" s="14" t="s">
        <v>1752</v>
      </c>
      <c r="E3894" s="14" t="s">
        <v>1747</v>
      </c>
      <c r="F3894" s="17" t="s">
        <v>2993</v>
      </c>
      <c r="G3894" s="14">
        <v>397570</v>
      </c>
      <c r="H3894" s="14">
        <v>348072.53499999997</v>
      </c>
      <c r="I3894" s="31">
        <f>IF(COUNTIFS(Addendum!C:C,A3894,Addendum!D:D,IF(ISNUMBER(B3894),TEXT(B3894,"0000"),B3894),Addendum!E:E,"X")&gt;0,4%,0)</f>
        <v>0</v>
      </c>
      <c r="J3894" s="31">
        <f>IF(COUNTIFS(Addendum!C:C,A3894,Addendum!D:D,IF(ISNUMBER(B3894),TEXT(B3894,"0000"),B3894),Addendum!F:F,"X")&gt;0,2.5%,0)</f>
        <v>0</v>
      </c>
      <c r="K3894" s="31">
        <f>IF(COUNTIFS(Addendum!C:C,A3894,Addendum!D:D,IF(ISNUMBER(B3894),TEXT(B3894,"0000"),B3894),Addendum!G:G,"X")&gt;0,7%,0)</f>
        <v>0</v>
      </c>
      <c r="L3894" s="31">
        <f>IF(COUNTIFS(Addendum!C:C,A3894,Addendum!D:D,IF(ISNUMBER(B3894),TEXT(B3894,"0000"),B3894),Addendum!I:I,"X")&gt;0,10%,0)</f>
        <v>0</v>
      </c>
      <c r="M3894" s="34">
        <f t="shared" si="120"/>
        <v>0</v>
      </c>
      <c r="N3894" s="17">
        <f t="shared" si="121"/>
        <v>348072.53499999997</v>
      </c>
    </row>
    <row r="3895" spans="1:14" x14ac:dyDescent="0.25">
      <c r="A3895" s="17"/>
      <c r="B3895" s="17"/>
      <c r="C3895" s="15" t="s">
        <v>2920</v>
      </c>
      <c r="D3895" s="14"/>
      <c r="E3895" s="14" t="s">
        <v>2841</v>
      </c>
      <c r="F3895" s="17" t="s">
        <v>2993</v>
      </c>
      <c r="G3895" s="14">
        <v>83925</v>
      </c>
      <c r="H3895" s="14">
        <v>73476.337499999994</v>
      </c>
      <c r="I3895" s="31">
        <f>IF(COUNTIFS(Addendum!C:C,A3895,Addendum!D:D,IF(ISNUMBER(B3895),TEXT(B3895,"0000"),B3895),Addendum!E:E,"X")&gt;0,4%,0)</f>
        <v>0</v>
      </c>
      <c r="J3895" s="31">
        <f>IF(COUNTIFS(Addendum!C:C,A3895,Addendum!D:D,IF(ISNUMBER(B3895),TEXT(B3895,"0000"),B3895),Addendum!F:F,"X")&gt;0,2.5%,0)</f>
        <v>0</v>
      </c>
      <c r="K3895" s="31">
        <f>IF(COUNTIFS(Addendum!C:C,A3895,Addendum!D:D,IF(ISNUMBER(B3895),TEXT(B3895,"0000"),B3895),Addendum!G:G,"X")&gt;0,7%,0)</f>
        <v>0</v>
      </c>
      <c r="L3895" s="31">
        <f>IF(COUNTIFS(Addendum!C:C,A3895,Addendum!D:D,IF(ISNUMBER(B3895),TEXT(B3895,"0000"),B3895),Addendum!I:I,"X")&gt;0,10%,0)</f>
        <v>0</v>
      </c>
      <c r="M3895" s="34">
        <f t="shared" si="120"/>
        <v>0</v>
      </c>
      <c r="N3895" s="17">
        <f t="shared" si="121"/>
        <v>73476.337499999994</v>
      </c>
    </row>
    <row r="3896" spans="1:14" x14ac:dyDescent="0.25">
      <c r="A3896" s="17"/>
      <c r="B3896" s="17"/>
      <c r="C3896" s="15" t="s">
        <v>2920</v>
      </c>
      <c r="D3896" s="14"/>
      <c r="E3896" s="14" t="s">
        <v>2841</v>
      </c>
      <c r="F3896" s="17" t="s">
        <v>2994</v>
      </c>
      <c r="G3896" s="14">
        <v>20981</v>
      </c>
      <c r="H3896" s="14">
        <v>18368.8655</v>
      </c>
      <c r="I3896" s="31">
        <f>IF(COUNTIFS(Addendum!C:C,A3896,Addendum!D:D,IF(ISNUMBER(B3896),TEXT(B3896,"0000"),B3896),Addendum!E:E,"X")&gt;0,4%,0)</f>
        <v>0</v>
      </c>
      <c r="J3896" s="31">
        <f>IF(COUNTIFS(Addendum!C:C,A3896,Addendum!D:D,IF(ISNUMBER(B3896),TEXT(B3896,"0000"),B3896),Addendum!F:F,"X")&gt;0,2.5%,0)</f>
        <v>0</v>
      </c>
      <c r="K3896" s="31">
        <f>IF(COUNTIFS(Addendum!C:C,A3896,Addendum!D:D,IF(ISNUMBER(B3896),TEXT(B3896,"0000"),B3896),Addendum!G:G,"X")&gt;0,7%,0)</f>
        <v>0</v>
      </c>
      <c r="L3896" s="31">
        <f>IF(COUNTIFS(Addendum!C:C,A3896,Addendum!D:D,IF(ISNUMBER(B3896),TEXT(B3896,"0000"),B3896),Addendum!I:I,"X")&gt;0,10%,0)</f>
        <v>0</v>
      </c>
      <c r="M3896" s="34">
        <f t="shared" si="120"/>
        <v>0</v>
      </c>
      <c r="N3896" s="17">
        <f t="shared" si="121"/>
        <v>18368.8655</v>
      </c>
    </row>
    <row r="3897" spans="1:14" x14ac:dyDescent="0.25">
      <c r="A3897" s="17"/>
      <c r="B3897" s="17"/>
      <c r="C3897" s="15" t="s">
        <v>2920</v>
      </c>
      <c r="D3897" s="14"/>
      <c r="E3897" s="14" t="s">
        <v>2841</v>
      </c>
      <c r="F3897" s="17" t="s">
        <v>2995</v>
      </c>
      <c r="G3897" s="14">
        <v>33570</v>
      </c>
      <c r="H3897" s="14">
        <v>29390.535</v>
      </c>
      <c r="I3897" s="31">
        <f>IF(COUNTIFS(Addendum!C:C,A3897,Addendum!D:D,IF(ISNUMBER(B3897),TEXT(B3897,"0000"),B3897),Addendum!E:E,"X")&gt;0,4%,0)</f>
        <v>0</v>
      </c>
      <c r="J3897" s="31">
        <f>IF(COUNTIFS(Addendum!C:C,A3897,Addendum!D:D,IF(ISNUMBER(B3897),TEXT(B3897,"0000"),B3897),Addendum!F:F,"X")&gt;0,2.5%,0)</f>
        <v>0</v>
      </c>
      <c r="K3897" s="31">
        <f>IF(COUNTIFS(Addendum!C:C,A3897,Addendum!D:D,IF(ISNUMBER(B3897),TEXT(B3897,"0000"),B3897),Addendum!G:G,"X")&gt;0,7%,0)</f>
        <v>0</v>
      </c>
      <c r="L3897" s="31">
        <f>IF(COUNTIFS(Addendum!C:C,A3897,Addendum!D:D,IF(ISNUMBER(B3897),TEXT(B3897,"0000"),B3897),Addendum!I:I,"X")&gt;0,10%,0)</f>
        <v>0</v>
      </c>
      <c r="M3897" s="34">
        <f t="shared" si="120"/>
        <v>0</v>
      </c>
      <c r="N3897" s="17">
        <f t="shared" si="121"/>
        <v>29390.535</v>
      </c>
    </row>
    <row r="3898" spans="1:14" x14ac:dyDescent="0.25">
      <c r="A3898" s="17"/>
      <c r="B3898" s="17"/>
      <c r="C3898" s="15" t="s">
        <v>2921</v>
      </c>
      <c r="D3898" s="14" t="s">
        <v>1745</v>
      </c>
      <c r="E3898" s="14" t="s">
        <v>1747</v>
      </c>
      <c r="F3898" s="17" t="s">
        <v>2993</v>
      </c>
      <c r="G3898" s="14">
        <v>31775</v>
      </c>
      <c r="H3898" s="14">
        <v>27819.012500000001</v>
      </c>
      <c r="I3898" s="31">
        <f>IF(COUNTIFS(Addendum!C:C,A3898,Addendum!D:D,IF(ISNUMBER(B3898),TEXT(B3898,"0000"),B3898),Addendum!E:E,"X")&gt;0,4%,0)</f>
        <v>0</v>
      </c>
      <c r="J3898" s="31">
        <f>IF(COUNTIFS(Addendum!C:C,A3898,Addendum!D:D,IF(ISNUMBER(B3898),TEXT(B3898,"0000"),B3898),Addendum!F:F,"X")&gt;0,2.5%,0)</f>
        <v>0</v>
      </c>
      <c r="K3898" s="31">
        <f>IF(COUNTIFS(Addendum!C:C,A3898,Addendum!D:D,IF(ISNUMBER(B3898),TEXT(B3898,"0000"),B3898),Addendum!G:G,"X")&gt;0,7%,0)</f>
        <v>0</v>
      </c>
      <c r="L3898" s="31">
        <f>IF(COUNTIFS(Addendum!C:C,A3898,Addendum!D:D,IF(ISNUMBER(B3898),TEXT(B3898,"0000"),B3898),Addendum!I:I,"X")&gt;0,10%,0)</f>
        <v>0</v>
      </c>
      <c r="M3898" s="34">
        <f t="shared" si="120"/>
        <v>0</v>
      </c>
      <c r="N3898" s="17">
        <f t="shared" si="121"/>
        <v>27819.012500000001</v>
      </c>
    </row>
    <row r="3899" spans="1:14" x14ac:dyDescent="0.25">
      <c r="A3899" s="17"/>
      <c r="B3899" s="17"/>
      <c r="C3899" s="15" t="s">
        <v>2922</v>
      </c>
      <c r="D3899" s="14" t="s">
        <v>1745</v>
      </c>
      <c r="E3899" s="14" t="s">
        <v>1746</v>
      </c>
      <c r="F3899" s="17" t="s">
        <v>2993</v>
      </c>
      <c r="G3899" s="14">
        <v>13272</v>
      </c>
      <c r="H3899" s="14">
        <v>11619.636</v>
      </c>
      <c r="I3899" s="31">
        <f>IF(COUNTIFS(Addendum!C:C,A3899,Addendum!D:D,IF(ISNUMBER(B3899),TEXT(B3899,"0000"),B3899),Addendum!E:E,"X")&gt;0,4%,0)</f>
        <v>0</v>
      </c>
      <c r="J3899" s="31">
        <f>IF(COUNTIFS(Addendum!C:C,A3899,Addendum!D:D,IF(ISNUMBER(B3899),TEXT(B3899,"0000"),B3899),Addendum!F:F,"X")&gt;0,2.5%,0)</f>
        <v>0</v>
      </c>
      <c r="K3899" s="31">
        <f>IF(COUNTIFS(Addendum!C:C,A3899,Addendum!D:D,IF(ISNUMBER(B3899),TEXT(B3899,"0000"),B3899),Addendum!G:G,"X")&gt;0,7%,0)</f>
        <v>0</v>
      </c>
      <c r="L3899" s="31">
        <f>IF(COUNTIFS(Addendum!C:C,A3899,Addendum!D:D,IF(ISNUMBER(B3899),TEXT(B3899,"0000"),B3899),Addendum!I:I,"X")&gt;0,10%,0)</f>
        <v>0</v>
      </c>
      <c r="M3899" s="34">
        <f t="shared" si="120"/>
        <v>0</v>
      </c>
      <c r="N3899" s="17">
        <f t="shared" si="121"/>
        <v>11619.636</v>
      </c>
    </row>
    <row r="3900" spans="1:14" x14ac:dyDescent="0.25">
      <c r="A3900" s="17"/>
      <c r="B3900" s="17"/>
      <c r="C3900" s="15" t="s">
        <v>2922</v>
      </c>
      <c r="D3900" s="14" t="s">
        <v>1745</v>
      </c>
      <c r="E3900" s="14" t="s">
        <v>1747</v>
      </c>
      <c r="F3900" s="17" t="s">
        <v>2993</v>
      </c>
      <c r="G3900" s="14">
        <v>13272</v>
      </c>
      <c r="H3900" s="14">
        <v>11619.636</v>
      </c>
      <c r="I3900" s="31">
        <f>IF(COUNTIFS(Addendum!C:C,A3900,Addendum!D:D,IF(ISNUMBER(B3900),TEXT(B3900,"0000"),B3900),Addendum!E:E,"X")&gt;0,4%,0)</f>
        <v>0</v>
      </c>
      <c r="J3900" s="31">
        <f>IF(COUNTIFS(Addendum!C:C,A3900,Addendum!D:D,IF(ISNUMBER(B3900),TEXT(B3900,"0000"),B3900),Addendum!F:F,"X")&gt;0,2.5%,0)</f>
        <v>0</v>
      </c>
      <c r="K3900" s="31">
        <f>IF(COUNTIFS(Addendum!C:C,A3900,Addendum!D:D,IF(ISNUMBER(B3900),TEXT(B3900,"0000"),B3900),Addendum!G:G,"X")&gt;0,7%,0)</f>
        <v>0</v>
      </c>
      <c r="L3900" s="31">
        <f>IF(COUNTIFS(Addendum!C:C,A3900,Addendum!D:D,IF(ISNUMBER(B3900),TEXT(B3900,"0000"),B3900),Addendum!I:I,"X")&gt;0,10%,0)</f>
        <v>0</v>
      </c>
      <c r="M3900" s="34">
        <f t="shared" si="120"/>
        <v>0</v>
      </c>
      <c r="N3900" s="17">
        <f t="shared" si="121"/>
        <v>11619.636</v>
      </c>
    </row>
    <row r="3901" spans="1:14" x14ac:dyDescent="0.25">
      <c r="A3901" s="17"/>
      <c r="B3901" s="17"/>
      <c r="C3901" s="15" t="s">
        <v>2923</v>
      </c>
      <c r="D3901" s="14" t="s">
        <v>1752</v>
      </c>
      <c r="E3901" s="14" t="s">
        <v>1753</v>
      </c>
      <c r="F3901" s="17" t="s">
        <v>2993</v>
      </c>
      <c r="G3901" s="14">
        <v>33169</v>
      </c>
      <c r="H3901" s="14">
        <v>29039.459500000001</v>
      </c>
      <c r="I3901" s="31">
        <f>IF(COUNTIFS(Addendum!C:C,A3901,Addendum!D:D,IF(ISNUMBER(B3901),TEXT(B3901,"0000"),B3901),Addendum!E:E,"X")&gt;0,4%,0)</f>
        <v>0</v>
      </c>
      <c r="J3901" s="31">
        <f>IF(COUNTIFS(Addendum!C:C,A3901,Addendum!D:D,IF(ISNUMBER(B3901),TEXT(B3901,"0000"),B3901),Addendum!F:F,"X")&gt;0,2.5%,0)</f>
        <v>0</v>
      </c>
      <c r="K3901" s="31">
        <f>IF(COUNTIFS(Addendum!C:C,A3901,Addendum!D:D,IF(ISNUMBER(B3901),TEXT(B3901,"0000"),B3901),Addendum!G:G,"X")&gt;0,7%,0)</f>
        <v>0</v>
      </c>
      <c r="L3901" s="31">
        <f>IF(COUNTIFS(Addendum!C:C,A3901,Addendum!D:D,IF(ISNUMBER(B3901),TEXT(B3901,"0000"),B3901),Addendum!I:I,"X")&gt;0,10%,0)</f>
        <v>0</v>
      </c>
      <c r="M3901" s="34">
        <f t="shared" si="120"/>
        <v>0</v>
      </c>
      <c r="N3901" s="17">
        <f t="shared" si="121"/>
        <v>29039.459500000001</v>
      </c>
    </row>
    <row r="3902" spans="1:14" x14ac:dyDescent="0.25">
      <c r="A3902" s="17"/>
      <c r="B3902" s="17"/>
      <c r="C3902" s="15" t="s">
        <v>2923</v>
      </c>
      <c r="D3902" s="14" t="s">
        <v>1752</v>
      </c>
      <c r="E3902" s="14" t="s">
        <v>1747</v>
      </c>
      <c r="F3902" s="17" t="s">
        <v>2993</v>
      </c>
      <c r="G3902" s="14">
        <v>33168.99</v>
      </c>
      <c r="H3902" s="14">
        <v>29039.449199999999</v>
      </c>
      <c r="I3902" s="31">
        <f>IF(COUNTIFS(Addendum!C:C,A3902,Addendum!D:D,IF(ISNUMBER(B3902),TEXT(B3902,"0000"),B3902),Addendum!E:E,"X")&gt;0,4%,0)</f>
        <v>0</v>
      </c>
      <c r="J3902" s="31">
        <f>IF(COUNTIFS(Addendum!C:C,A3902,Addendum!D:D,IF(ISNUMBER(B3902),TEXT(B3902,"0000"),B3902),Addendum!F:F,"X")&gt;0,2.5%,0)</f>
        <v>0</v>
      </c>
      <c r="K3902" s="31">
        <f>IF(COUNTIFS(Addendum!C:C,A3902,Addendum!D:D,IF(ISNUMBER(B3902),TEXT(B3902,"0000"),B3902),Addendum!G:G,"X")&gt;0,7%,0)</f>
        <v>0</v>
      </c>
      <c r="L3902" s="31">
        <f>IF(COUNTIFS(Addendum!C:C,A3902,Addendum!D:D,IF(ISNUMBER(B3902),TEXT(B3902,"0000"),B3902),Addendum!I:I,"X")&gt;0,10%,0)</f>
        <v>0</v>
      </c>
      <c r="M3902" s="34">
        <f t="shared" si="120"/>
        <v>0</v>
      </c>
      <c r="N3902" s="17">
        <f t="shared" si="121"/>
        <v>29039.449199999999</v>
      </c>
    </row>
    <row r="3903" spans="1:14" x14ac:dyDescent="0.25">
      <c r="A3903" s="17"/>
      <c r="B3903" s="17"/>
      <c r="C3903" s="15" t="s">
        <v>2924</v>
      </c>
      <c r="D3903" s="14" t="s">
        <v>1745</v>
      </c>
      <c r="E3903" s="14" t="s">
        <v>1747</v>
      </c>
      <c r="F3903" s="17" t="s">
        <v>2993</v>
      </c>
      <c r="G3903" s="14">
        <v>4868</v>
      </c>
      <c r="H3903" s="14">
        <v>4261.9340000000002</v>
      </c>
      <c r="I3903" s="31">
        <f>IF(COUNTIFS(Addendum!C:C,A3903,Addendum!D:D,IF(ISNUMBER(B3903),TEXT(B3903,"0000"),B3903),Addendum!E:E,"X")&gt;0,4%,0)</f>
        <v>0</v>
      </c>
      <c r="J3903" s="31">
        <f>IF(COUNTIFS(Addendum!C:C,A3903,Addendum!D:D,IF(ISNUMBER(B3903),TEXT(B3903,"0000"),B3903),Addendum!F:F,"X")&gt;0,2.5%,0)</f>
        <v>0</v>
      </c>
      <c r="K3903" s="31">
        <f>IF(COUNTIFS(Addendum!C:C,A3903,Addendum!D:D,IF(ISNUMBER(B3903),TEXT(B3903,"0000"),B3903),Addendum!G:G,"X")&gt;0,7%,0)</f>
        <v>0</v>
      </c>
      <c r="L3903" s="31">
        <f>IF(COUNTIFS(Addendum!C:C,A3903,Addendum!D:D,IF(ISNUMBER(B3903),TEXT(B3903,"0000"),B3903),Addendum!I:I,"X")&gt;0,10%,0)</f>
        <v>0</v>
      </c>
      <c r="M3903" s="34">
        <f t="shared" si="120"/>
        <v>0</v>
      </c>
      <c r="N3903" s="17">
        <f t="shared" si="121"/>
        <v>4261.9340000000002</v>
      </c>
    </row>
    <row r="3904" spans="1:14" x14ac:dyDescent="0.25">
      <c r="A3904" s="17"/>
      <c r="B3904" s="17"/>
      <c r="C3904" s="15" t="s">
        <v>2925</v>
      </c>
      <c r="D3904" s="14" t="s">
        <v>1752</v>
      </c>
      <c r="E3904" s="14" t="s">
        <v>1747</v>
      </c>
      <c r="F3904" s="17" t="s">
        <v>2993</v>
      </c>
      <c r="G3904" s="14">
        <v>12150.99</v>
      </c>
      <c r="H3904" s="14">
        <v>10638.190200000001</v>
      </c>
      <c r="I3904" s="31">
        <f>IF(COUNTIFS(Addendum!C:C,A3904,Addendum!D:D,IF(ISNUMBER(B3904),TEXT(B3904,"0000"),B3904),Addendum!E:E,"X")&gt;0,4%,0)</f>
        <v>0</v>
      </c>
      <c r="J3904" s="31">
        <f>IF(COUNTIFS(Addendum!C:C,A3904,Addendum!D:D,IF(ISNUMBER(B3904),TEXT(B3904,"0000"),B3904),Addendum!F:F,"X")&gt;0,2.5%,0)</f>
        <v>0</v>
      </c>
      <c r="K3904" s="31">
        <f>IF(COUNTIFS(Addendum!C:C,A3904,Addendum!D:D,IF(ISNUMBER(B3904),TEXT(B3904,"0000"),B3904),Addendum!G:G,"X")&gt;0,7%,0)</f>
        <v>0</v>
      </c>
      <c r="L3904" s="31">
        <f>IF(COUNTIFS(Addendum!C:C,A3904,Addendum!D:D,IF(ISNUMBER(B3904),TEXT(B3904,"0000"),B3904),Addendum!I:I,"X")&gt;0,10%,0)</f>
        <v>0</v>
      </c>
      <c r="M3904" s="34">
        <f t="shared" si="120"/>
        <v>0</v>
      </c>
      <c r="N3904" s="17">
        <f t="shared" si="121"/>
        <v>10638.190200000001</v>
      </c>
    </row>
    <row r="3905" spans="1:14" x14ac:dyDescent="0.25">
      <c r="A3905" s="17"/>
      <c r="B3905" s="17"/>
      <c r="C3905" s="15" t="s">
        <v>2924</v>
      </c>
      <c r="D3905" s="14" t="s">
        <v>1745</v>
      </c>
      <c r="E3905" s="14" t="s">
        <v>1746</v>
      </c>
      <c r="F3905" s="17" t="s">
        <v>2993</v>
      </c>
      <c r="G3905" s="14">
        <v>4868.04</v>
      </c>
      <c r="H3905" s="14">
        <v>4261.9751999999999</v>
      </c>
      <c r="I3905" s="31">
        <f>IF(COUNTIFS(Addendum!C:C,A3905,Addendum!D:D,IF(ISNUMBER(B3905),TEXT(B3905,"0000"),B3905),Addendum!E:E,"X")&gt;0,4%,0)</f>
        <v>0</v>
      </c>
      <c r="J3905" s="31">
        <f>IF(COUNTIFS(Addendum!C:C,A3905,Addendum!D:D,IF(ISNUMBER(B3905),TEXT(B3905,"0000"),B3905),Addendum!F:F,"X")&gt;0,2.5%,0)</f>
        <v>0</v>
      </c>
      <c r="K3905" s="31">
        <f>IF(COUNTIFS(Addendum!C:C,A3905,Addendum!D:D,IF(ISNUMBER(B3905),TEXT(B3905,"0000"),B3905),Addendum!G:G,"X")&gt;0,7%,0)</f>
        <v>0</v>
      </c>
      <c r="L3905" s="31">
        <f>IF(COUNTIFS(Addendum!C:C,A3905,Addendum!D:D,IF(ISNUMBER(B3905),TEXT(B3905,"0000"),B3905),Addendum!I:I,"X")&gt;0,10%,0)</f>
        <v>0</v>
      </c>
      <c r="M3905" s="34">
        <f t="shared" si="120"/>
        <v>0</v>
      </c>
      <c r="N3905" s="17">
        <f t="shared" si="121"/>
        <v>4261.9751999999999</v>
      </c>
    </row>
    <row r="3906" spans="1:14" x14ac:dyDescent="0.25">
      <c r="A3906" s="17"/>
      <c r="B3906" s="17"/>
      <c r="C3906" s="15" t="s">
        <v>2925</v>
      </c>
      <c r="D3906" s="14" t="s">
        <v>1752</v>
      </c>
      <c r="E3906" s="14" t="s">
        <v>1753</v>
      </c>
      <c r="F3906" s="17" t="s">
        <v>2993</v>
      </c>
      <c r="G3906" s="14">
        <v>12151</v>
      </c>
      <c r="H3906" s="14">
        <v>10638.200500000001</v>
      </c>
      <c r="I3906" s="31">
        <f>IF(COUNTIFS(Addendum!C:C,A3906,Addendum!D:D,IF(ISNUMBER(B3906),TEXT(B3906,"0000"),B3906),Addendum!E:E,"X")&gt;0,4%,0)</f>
        <v>0</v>
      </c>
      <c r="J3906" s="31">
        <f>IF(COUNTIFS(Addendum!C:C,A3906,Addendum!D:D,IF(ISNUMBER(B3906),TEXT(B3906,"0000"),B3906),Addendum!F:F,"X")&gt;0,2.5%,0)</f>
        <v>0</v>
      </c>
      <c r="K3906" s="31">
        <f>IF(COUNTIFS(Addendum!C:C,A3906,Addendum!D:D,IF(ISNUMBER(B3906),TEXT(B3906,"0000"),B3906),Addendum!G:G,"X")&gt;0,7%,0)</f>
        <v>0</v>
      </c>
      <c r="L3906" s="31">
        <f>IF(COUNTIFS(Addendum!C:C,A3906,Addendum!D:D,IF(ISNUMBER(B3906),TEXT(B3906,"0000"),B3906),Addendum!I:I,"X")&gt;0,10%,0)</f>
        <v>0</v>
      </c>
      <c r="M3906" s="34">
        <f t="shared" si="120"/>
        <v>0</v>
      </c>
      <c r="N3906" s="17">
        <f t="shared" si="121"/>
        <v>10638.200500000001</v>
      </c>
    </row>
    <row r="3907" spans="1:14" x14ac:dyDescent="0.25">
      <c r="A3907" s="17"/>
      <c r="B3907" s="17"/>
      <c r="C3907" s="15" t="s">
        <v>2926</v>
      </c>
      <c r="D3907" s="14"/>
      <c r="E3907" s="14" t="s">
        <v>2841</v>
      </c>
      <c r="F3907" s="17" t="s">
        <v>2995</v>
      </c>
      <c r="G3907" s="14">
        <v>19711</v>
      </c>
      <c r="H3907" s="14">
        <v>17256.980499999998</v>
      </c>
      <c r="I3907" s="31">
        <f>IF(COUNTIFS(Addendum!C:C,A3907,Addendum!D:D,IF(ISNUMBER(B3907),TEXT(B3907,"0000"),B3907),Addendum!E:E,"X")&gt;0,4%,0)</f>
        <v>0</v>
      </c>
      <c r="J3907" s="31">
        <f>IF(COUNTIFS(Addendum!C:C,A3907,Addendum!D:D,IF(ISNUMBER(B3907),TEXT(B3907,"0000"),B3907),Addendum!F:F,"X")&gt;0,2.5%,0)</f>
        <v>0</v>
      </c>
      <c r="K3907" s="31">
        <f>IF(COUNTIFS(Addendum!C:C,A3907,Addendum!D:D,IF(ISNUMBER(B3907),TEXT(B3907,"0000"),B3907),Addendum!G:G,"X")&gt;0,7%,0)</f>
        <v>0</v>
      </c>
      <c r="L3907" s="31">
        <f>IF(COUNTIFS(Addendum!C:C,A3907,Addendum!D:D,IF(ISNUMBER(B3907),TEXT(B3907,"0000"),B3907),Addendum!I:I,"X")&gt;0,10%,0)</f>
        <v>0</v>
      </c>
      <c r="M3907" s="34">
        <f t="shared" si="120"/>
        <v>0</v>
      </c>
      <c r="N3907" s="17">
        <f t="shared" si="121"/>
        <v>17256.980499999998</v>
      </c>
    </row>
    <row r="3908" spans="1:14" x14ac:dyDescent="0.25">
      <c r="A3908" s="17"/>
      <c r="B3908" s="17"/>
      <c r="C3908" s="15" t="s">
        <v>2926</v>
      </c>
      <c r="D3908" s="14"/>
      <c r="E3908" s="14" t="s">
        <v>2841</v>
      </c>
      <c r="F3908" s="17" t="s">
        <v>2993</v>
      </c>
      <c r="G3908" s="14">
        <v>49277</v>
      </c>
      <c r="H3908" s="14">
        <v>43142.013499999994</v>
      </c>
      <c r="I3908" s="31">
        <f>IF(COUNTIFS(Addendum!C:C,A3908,Addendum!D:D,IF(ISNUMBER(B3908),TEXT(B3908,"0000"),B3908),Addendum!E:E,"X")&gt;0,4%,0)</f>
        <v>0</v>
      </c>
      <c r="J3908" s="31">
        <f>IF(COUNTIFS(Addendum!C:C,A3908,Addendum!D:D,IF(ISNUMBER(B3908),TEXT(B3908,"0000"),B3908),Addendum!F:F,"X")&gt;0,2.5%,0)</f>
        <v>0</v>
      </c>
      <c r="K3908" s="31">
        <f>IF(COUNTIFS(Addendum!C:C,A3908,Addendum!D:D,IF(ISNUMBER(B3908),TEXT(B3908,"0000"),B3908),Addendum!G:G,"X")&gt;0,7%,0)</f>
        <v>0</v>
      </c>
      <c r="L3908" s="31">
        <f>IF(COUNTIFS(Addendum!C:C,A3908,Addendum!D:D,IF(ISNUMBER(B3908),TEXT(B3908,"0000"),B3908),Addendum!I:I,"X")&gt;0,10%,0)</f>
        <v>0</v>
      </c>
      <c r="M3908" s="34">
        <f t="shared" ref="M3908:M3971" si="122">IF(AND(I3908=0%,J3908=0%,K3908=0%,L3908=0%),0%,
IF(OR(TRIM(E3908)="OneTime",TRIM(D3908)=""),0%,
IF(
OR(
TRIM(D3908)="P1M",
AND(TRIM(D3908)="P1Y",TRIM(E3908)="Monthly"),
AND(TRIM(D3908)="P3Y",TRIM(E3908)="Monthly")
),
IF(AND(I3908=4%,J3908=0%,K3908=0%,L3908=0%),1%,
IF(AND(I3908=4%,J3908=2.5%,K3908=0%,L3908=10%),2%,
IF(AND(I3908=4%,J3908=0%,K3908=7%,L3908=10%),3%,0%))),
IF(
OR(
AND(TRIM(D3908)="P1Y",TRIM(E3908)="Annual"),
AND(TRIM(D3908)="P3Y",TRIM(E3908)="Annual"),
AND(TRIM(D3908)="P3Y",TRIM(E3908)="Triennial")
),
IF(AND(I3908=4%,J3908=0%,K3908=0%,L3908=0%),3%,
IF(AND(I3908=4%,J3908=2.5%,K3908=0%,L3908=10%),10%,
IF(AND(I3908=4%,J3908=0%,K3908=7%,L3908=10%),14%,0%))),
0%
))))</f>
        <v>0</v>
      </c>
      <c r="N3908" s="17">
        <f t="shared" ref="N3908:N3971" si="123">H3908-(H3908*M3908)</f>
        <v>43142.013499999994</v>
      </c>
    </row>
    <row r="3909" spans="1:14" x14ac:dyDescent="0.25">
      <c r="A3909" s="17"/>
      <c r="B3909" s="17"/>
      <c r="C3909" s="15" t="s">
        <v>2926</v>
      </c>
      <c r="D3909" s="14"/>
      <c r="E3909" s="14" t="s">
        <v>2841</v>
      </c>
      <c r="F3909" s="17" t="s">
        <v>2994</v>
      </c>
      <c r="G3909" s="14">
        <v>7391</v>
      </c>
      <c r="H3909" s="14">
        <v>6470.8205000000007</v>
      </c>
      <c r="I3909" s="31">
        <f>IF(COUNTIFS(Addendum!C:C,A3909,Addendum!D:D,IF(ISNUMBER(B3909),TEXT(B3909,"0000"),B3909),Addendum!E:E,"X")&gt;0,4%,0)</f>
        <v>0</v>
      </c>
      <c r="J3909" s="31">
        <f>IF(COUNTIFS(Addendum!C:C,A3909,Addendum!D:D,IF(ISNUMBER(B3909),TEXT(B3909,"0000"),B3909),Addendum!F:F,"X")&gt;0,2.5%,0)</f>
        <v>0</v>
      </c>
      <c r="K3909" s="31">
        <f>IF(COUNTIFS(Addendum!C:C,A3909,Addendum!D:D,IF(ISNUMBER(B3909),TEXT(B3909,"0000"),B3909),Addendum!G:G,"X")&gt;0,7%,0)</f>
        <v>0</v>
      </c>
      <c r="L3909" s="31">
        <f>IF(COUNTIFS(Addendum!C:C,A3909,Addendum!D:D,IF(ISNUMBER(B3909),TEXT(B3909,"0000"),B3909),Addendum!I:I,"X")&gt;0,10%,0)</f>
        <v>0</v>
      </c>
      <c r="M3909" s="34">
        <f t="shared" si="122"/>
        <v>0</v>
      </c>
      <c r="N3909" s="17">
        <f t="shared" si="123"/>
        <v>6470.8205000000007</v>
      </c>
    </row>
    <row r="3910" spans="1:14" x14ac:dyDescent="0.25">
      <c r="A3910" s="17"/>
      <c r="B3910" s="17"/>
      <c r="C3910" s="15" t="s">
        <v>2927</v>
      </c>
      <c r="D3910" s="14"/>
      <c r="E3910" s="14" t="s">
        <v>2841</v>
      </c>
      <c r="F3910" s="17" t="s">
        <v>2994</v>
      </c>
      <c r="G3910" s="14">
        <v>3908</v>
      </c>
      <c r="H3910" s="14">
        <v>3421.4540000000002</v>
      </c>
      <c r="I3910" s="31">
        <f>IF(COUNTIFS(Addendum!C:C,A3910,Addendum!D:D,IF(ISNUMBER(B3910),TEXT(B3910,"0000"),B3910),Addendum!E:E,"X")&gt;0,4%,0)</f>
        <v>0</v>
      </c>
      <c r="J3910" s="31">
        <f>IF(COUNTIFS(Addendum!C:C,A3910,Addendum!D:D,IF(ISNUMBER(B3910),TEXT(B3910,"0000"),B3910),Addendum!F:F,"X")&gt;0,2.5%,0)</f>
        <v>0</v>
      </c>
      <c r="K3910" s="31">
        <f>IF(COUNTIFS(Addendum!C:C,A3910,Addendum!D:D,IF(ISNUMBER(B3910),TEXT(B3910,"0000"),B3910),Addendum!G:G,"X")&gt;0,7%,0)</f>
        <v>0</v>
      </c>
      <c r="L3910" s="31">
        <f>IF(COUNTIFS(Addendum!C:C,A3910,Addendum!D:D,IF(ISNUMBER(B3910),TEXT(B3910,"0000"),B3910),Addendum!I:I,"X")&gt;0,10%,0)</f>
        <v>0</v>
      </c>
      <c r="M3910" s="34">
        <f t="shared" si="122"/>
        <v>0</v>
      </c>
      <c r="N3910" s="17">
        <f t="shared" si="123"/>
        <v>3421.4540000000002</v>
      </c>
    </row>
    <row r="3911" spans="1:14" x14ac:dyDescent="0.25">
      <c r="A3911" s="17"/>
      <c r="B3911" s="17"/>
      <c r="C3911" s="15" t="s">
        <v>2927</v>
      </c>
      <c r="D3911" s="14"/>
      <c r="E3911" s="14" t="s">
        <v>2841</v>
      </c>
      <c r="F3911" s="17" t="s">
        <v>2993</v>
      </c>
      <c r="G3911" s="14">
        <v>26338</v>
      </c>
      <c r="H3911" s="14">
        <v>23058.918999999998</v>
      </c>
      <c r="I3911" s="31">
        <f>IF(COUNTIFS(Addendum!C:C,A3911,Addendum!D:D,IF(ISNUMBER(B3911),TEXT(B3911,"0000"),B3911),Addendum!E:E,"X")&gt;0,4%,0)</f>
        <v>0</v>
      </c>
      <c r="J3911" s="31">
        <f>IF(COUNTIFS(Addendum!C:C,A3911,Addendum!D:D,IF(ISNUMBER(B3911),TEXT(B3911,"0000"),B3911),Addendum!F:F,"X")&gt;0,2.5%,0)</f>
        <v>0</v>
      </c>
      <c r="K3911" s="31">
        <f>IF(COUNTIFS(Addendum!C:C,A3911,Addendum!D:D,IF(ISNUMBER(B3911),TEXT(B3911,"0000"),B3911),Addendum!G:G,"X")&gt;0,7%,0)</f>
        <v>0</v>
      </c>
      <c r="L3911" s="31">
        <f>IF(COUNTIFS(Addendum!C:C,A3911,Addendum!D:D,IF(ISNUMBER(B3911),TEXT(B3911,"0000"),B3911),Addendum!I:I,"X")&gt;0,10%,0)</f>
        <v>0</v>
      </c>
      <c r="M3911" s="34">
        <f t="shared" si="122"/>
        <v>0</v>
      </c>
      <c r="N3911" s="17">
        <f t="shared" si="123"/>
        <v>23058.918999999998</v>
      </c>
    </row>
    <row r="3912" spans="1:14" x14ac:dyDescent="0.25">
      <c r="A3912" s="17"/>
      <c r="B3912" s="17"/>
      <c r="C3912" s="15" t="s">
        <v>2927</v>
      </c>
      <c r="D3912" s="14"/>
      <c r="E3912" s="14" t="s">
        <v>2841</v>
      </c>
      <c r="F3912" s="17" t="s">
        <v>2995</v>
      </c>
      <c r="G3912" s="14">
        <v>10535</v>
      </c>
      <c r="H3912" s="14">
        <v>9223.3924999999999</v>
      </c>
      <c r="I3912" s="31">
        <f>IF(COUNTIFS(Addendum!C:C,A3912,Addendum!D:D,IF(ISNUMBER(B3912),TEXT(B3912,"0000"),B3912),Addendum!E:E,"X")&gt;0,4%,0)</f>
        <v>0</v>
      </c>
      <c r="J3912" s="31">
        <f>IF(COUNTIFS(Addendum!C:C,A3912,Addendum!D:D,IF(ISNUMBER(B3912),TEXT(B3912,"0000"),B3912),Addendum!F:F,"X")&gt;0,2.5%,0)</f>
        <v>0</v>
      </c>
      <c r="K3912" s="31">
        <f>IF(COUNTIFS(Addendum!C:C,A3912,Addendum!D:D,IF(ISNUMBER(B3912),TEXT(B3912,"0000"),B3912),Addendum!G:G,"X")&gt;0,7%,0)</f>
        <v>0</v>
      </c>
      <c r="L3912" s="31">
        <f>IF(COUNTIFS(Addendum!C:C,A3912,Addendum!D:D,IF(ISNUMBER(B3912),TEXT(B3912,"0000"),B3912),Addendum!I:I,"X")&gt;0,10%,0)</f>
        <v>0</v>
      </c>
      <c r="M3912" s="34">
        <f t="shared" si="122"/>
        <v>0</v>
      </c>
      <c r="N3912" s="17">
        <f t="shared" si="123"/>
        <v>9223.3924999999999</v>
      </c>
    </row>
    <row r="3913" spans="1:14" x14ac:dyDescent="0.25">
      <c r="A3913" s="17"/>
      <c r="B3913" s="17"/>
      <c r="C3913" s="15" t="s">
        <v>2928</v>
      </c>
      <c r="D3913" s="14"/>
      <c r="E3913" s="14" t="s">
        <v>2841</v>
      </c>
      <c r="F3913" s="17" t="s">
        <v>2993</v>
      </c>
      <c r="G3913" s="14">
        <v>42395</v>
      </c>
      <c r="H3913" s="14">
        <v>37116.822500000002</v>
      </c>
      <c r="I3913" s="31">
        <f>IF(COUNTIFS(Addendum!C:C,A3913,Addendum!D:D,IF(ISNUMBER(B3913),TEXT(B3913,"0000"),B3913),Addendum!E:E,"X")&gt;0,4%,0)</f>
        <v>0</v>
      </c>
      <c r="J3913" s="31">
        <f>IF(COUNTIFS(Addendum!C:C,A3913,Addendum!D:D,IF(ISNUMBER(B3913),TEXT(B3913,"0000"),B3913),Addendum!F:F,"X")&gt;0,2.5%,0)</f>
        <v>0</v>
      </c>
      <c r="K3913" s="31">
        <f>IF(COUNTIFS(Addendum!C:C,A3913,Addendum!D:D,IF(ISNUMBER(B3913),TEXT(B3913,"0000"),B3913),Addendum!G:G,"X")&gt;0,7%,0)</f>
        <v>0</v>
      </c>
      <c r="L3913" s="31">
        <f>IF(COUNTIFS(Addendum!C:C,A3913,Addendum!D:D,IF(ISNUMBER(B3913),TEXT(B3913,"0000"),B3913),Addendum!I:I,"X")&gt;0,10%,0)</f>
        <v>0</v>
      </c>
      <c r="M3913" s="34">
        <f t="shared" si="122"/>
        <v>0</v>
      </c>
      <c r="N3913" s="17">
        <f t="shared" si="123"/>
        <v>37116.822500000002</v>
      </c>
    </row>
    <row r="3914" spans="1:14" x14ac:dyDescent="0.25">
      <c r="A3914" s="17"/>
      <c r="B3914" s="17"/>
      <c r="C3914" s="15" t="s">
        <v>2928</v>
      </c>
      <c r="D3914" s="14"/>
      <c r="E3914" s="14" t="s">
        <v>2841</v>
      </c>
      <c r="F3914" s="17" t="s">
        <v>2995</v>
      </c>
      <c r="G3914" s="14">
        <v>16958</v>
      </c>
      <c r="H3914" s="14">
        <v>14846.728999999999</v>
      </c>
      <c r="I3914" s="31">
        <f>IF(COUNTIFS(Addendum!C:C,A3914,Addendum!D:D,IF(ISNUMBER(B3914),TEXT(B3914,"0000"),B3914),Addendum!E:E,"X")&gt;0,4%,0)</f>
        <v>0</v>
      </c>
      <c r="J3914" s="31">
        <f>IF(COUNTIFS(Addendum!C:C,A3914,Addendum!D:D,IF(ISNUMBER(B3914),TEXT(B3914,"0000"),B3914),Addendum!F:F,"X")&gt;0,2.5%,0)</f>
        <v>0</v>
      </c>
      <c r="K3914" s="31">
        <f>IF(COUNTIFS(Addendum!C:C,A3914,Addendum!D:D,IF(ISNUMBER(B3914),TEXT(B3914,"0000"),B3914),Addendum!G:G,"X")&gt;0,7%,0)</f>
        <v>0</v>
      </c>
      <c r="L3914" s="31">
        <f>IF(COUNTIFS(Addendum!C:C,A3914,Addendum!D:D,IF(ISNUMBER(B3914),TEXT(B3914,"0000"),B3914),Addendum!I:I,"X")&gt;0,10%,0)</f>
        <v>0</v>
      </c>
      <c r="M3914" s="34">
        <f t="shared" si="122"/>
        <v>0</v>
      </c>
      <c r="N3914" s="17">
        <f t="shared" si="123"/>
        <v>14846.728999999999</v>
      </c>
    </row>
    <row r="3915" spans="1:14" x14ac:dyDescent="0.25">
      <c r="A3915" s="17"/>
      <c r="B3915" s="17"/>
      <c r="C3915" s="15" t="s">
        <v>2928</v>
      </c>
      <c r="D3915" s="14"/>
      <c r="E3915" s="14" t="s">
        <v>2841</v>
      </c>
      <c r="F3915" s="17" t="s">
        <v>2994</v>
      </c>
      <c r="G3915" s="14">
        <v>6359</v>
      </c>
      <c r="H3915" s="14">
        <v>5567.3044999999993</v>
      </c>
      <c r="I3915" s="31">
        <f>IF(COUNTIFS(Addendum!C:C,A3915,Addendum!D:D,IF(ISNUMBER(B3915),TEXT(B3915,"0000"),B3915),Addendum!E:E,"X")&gt;0,4%,0)</f>
        <v>0</v>
      </c>
      <c r="J3915" s="31">
        <f>IF(COUNTIFS(Addendum!C:C,A3915,Addendum!D:D,IF(ISNUMBER(B3915),TEXT(B3915,"0000"),B3915),Addendum!F:F,"X")&gt;0,2.5%,0)</f>
        <v>0</v>
      </c>
      <c r="K3915" s="31">
        <f>IF(COUNTIFS(Addendum!C:C,A3915,Addendum!D:D,IF(ISNUMBER(B3915),TEXT(B3915,"0000"),B3915),Addendum!G:G,"X")&gt;0,7%,0)</f>
        <v>0</v>
      </c>
      <c r="L3915" s="31">
        <f>IF(COUNTIFS(Addendum!C:C,A3915,Addendum!D:D,IF(ISNUMBER(B3915),TEXT(B3915,"0000"),B3915),Addendum!I:I,"X")&gt;0,10%,0)</f>
        <v>0</v>
      </c>
      <c r="M3915" s="34">
        <f t="shared" si="122"/>
        <v>0</v>
      </c>
      <c r="N3915" s="17">
        <f t="shared" si="123"/>
        <v>5567.3044999999993</v>
      </c>
    </row>
    <row r="3916" spans="1:14" x14ac:dyDescent="0.25">
      <c r="A3916" s="17"/>
      <c r="B3916" s="17"/>
      <c r="C3916" s="15" t="s">
        <v>2929</v>
      </c>
      <c r="D3916" s="14"/>
      <c r="E3916" s="14" t="s">
        <v>2841</v>
      </c>
      <c r="F3916" s="17" t="s">
        <v>2993</v>
      </c>
      <c r="G3916" s="14">
        <v>10365</v>
      </c>
      <c r="H3916" s="14">
        <v>9074.5575000000008</v>
      </c>
      <c r="I3916" s="31">
        <f>IF(COUNTIFS(Addendum!C:C,A3916,Addendum!D:D,IF(ISNUMBER(B3916),TEXT(B3916,"0000"),B3916),Addendum!E:E,"X")&gt;0,4%,0)</f>
        <v>0</v>
      </c>
      <c r="J3916" s="31">
        <f>IF(COUNTIFS(Addendum!C:C,A3916,Addendum!D:D,IF(ISNUMBER(B3916),TEXT(B3916,"0000"),B3916),Addendum!F:F,"X")&gt;0,2.5%,0)</f>
        <v>0</v>
      </c>
      <c r="K3916" s="31">
        <f>IF(COUNTIFS(Addendum!C:C,A3916,Addendum!D:D,IF(ISNUMBER(B3916),TEXT(B3916,"0000"),B3916),Addendum!G:G,"X")&gt;0,7%,0)</f>
        <v>0</v>
      </c>
      <c r="L3916" s="31">
        <f>IF(COUNTIFS(Addendum!C:C,A3916,Addendum!D:D,IF(ISNUMBER(B3916),TEXT(B3916,"0000"),B3916),Addendum!I:I,"X")&gt;0,10%,0)</f>
        <v>0</v>
      </c>
      <c r="M3916" s="34">
        <f t="shared" si="122"/>
        <v>0</v>
      </c>
      <c r="N3916" s="17">
        <f t="shared" si="123"/>
        <v>9074.5575000000008</v>
      </c>
    </row>
    <row r="3917" spans="1:14" x14ac:dyDescent="0.25">
      <c r="A3917" s="17"/>
      <c r="B3917" s="17"/>
      <c r="C3917" s="15" t="s">
        <v>2930</v>
      </c>
      <c r="D3917" s="14"/>
      <c r="E3917" s="14" t="s">
        <v>2841</v>
      </c>
      <c r="F3917" s="17" t="s">
        <v>2995</v>
      </c>
      <c r="G3917" s="14">
        <v>20730</v>
      </c>
      <c r="H3917" s="14">
        <v>18149.115000000002</v>
      </c>
      <c r="I3917" s="31">
        <f>IF(COUNTIFS(Addendum!C:C,A3917,Addendum!D:D,IF(ISNUMBER(B3917),TEXT(B3917,"0000"),B3917),Addendum!E:E,"X")&gt;0,4%,0)</f>
        <v>0</v>
      </c>
      <c r="J3917" s="31">
        <f>IF(COUNTIFS(Addendum!C:C,A3917,Addendum!D:D,IF(ISNUMBER(B3917),TEXT(B3917,"0000"),B3917),Addendum!F:F,"X")&gt;0,2.5%,0)</f>
        <v>0</v>
      </c>
      <c r="K3917" s="31">
        <f>IF(COUNTIFS(Addendum!C:C,A3917,Addendum!D:D,IF(ISNUMBER(B3917),TEXT(B3917,"0000"),B3917),Addendum!G:G,"X")&gt;0,7%,0)</f>
        <v>0</v>
      </c>
      <c r="L3917" s="31">
        <f>IF(COUNTIFS(Addendum!C:C,A3917,Addendum!D:D,IF(ISNUMBER(B3917),TEXT(B3917,"0000"),B3917),Addendum!I:I,"X")&gt;0,10%,0)</f>
        <v>0</v>
      </c>
      <c r="M3917" s="34">
        <f t="shared" si="122"/>
        <v>0</v>
      </c>
      <c r="N3917" s="17">
        <f t="shared" si="123"/>
        <v>18149.115000000002</v>
      </c>
    </row>
    <row r="3918" spans="1:14" x14ac:dyDescent="0.25">
      <c r="A3918" s="17"/>
      <c r="B3918" s="17"/>
      <c r="C3918" s="15" t="s">
        <v>2931</v>
      </c>
      <c r="D3918" s="14"/>
      <c r="E3918" s="14" t="s">
        <v>2841</v>
      </c>
      <c r="F3918" s="17" t="s">
        <v>2995</v>
      </c>
      <c r="G3918" s="14">
        <v>5182</v>
      </c>
      <c r="H3918" s="14">
        <v>4536.8409999999994</v>
      </c>
      <c r="I3918" s="31">
        <f>IF(COUNTIFS(Addendum!C:C,A3918,Addendum!D:D,IF(ISNUMBER(B3918),TEXT(B3918,"0000"),B3918),Addendum!E:E,"X")&gt;0,4%,0)</f>
        <v>0</v>
      </c>
      <c r="J3918" s="31">
        <f>IF(COUNTIFS(Addendum!C:C,A3918,Addendum!D:D,IF(ISNUMBER(B3918),TEXT(B3918,"0000"),B3918),Addendum!F:F,"X")&gt;0,2.5%,0)</f>
        <v>0</v>
      </c>
      <c r="K3918" s="31">
        <f>IF(COUNTIFS(Addendum!C:C,A3918,Addendum!D:D,IF(ISNUMBER(B3918),TEXT(B3918,"0000"),B3918),Addendum!G:G,"X")&gt;0,7%,0)</f>
        <v>0</v>
      </c>
      <c r="L3918" s="31">
        <f>IF(COUNTIFS(Addendum!C:C,A3918,Addendum!D:D,IF(ISNUMBER(B3918),TEXT(B3918,"0000"),B3918),Addendum!I:I,"X")&gt;0,10%,0)</f>
        <v>0</v>
      </c>
      <c r="M3918" s="34">
        <f t="shared" si="122"/>
        <v>0</v>
      </c>
      <c r="N3918" s="17">
        <f t="shared" si="123"/>
        <v>4536.8409999999994</v>
      </c>
    </row>
    <row r="3919" spans="1:14" x14ac:dyDescent="0.25">
      <c r="A3919" s="17"/>
      <c r="B3919" s="17"/>
      <c r="C3919" s="15" t="s">
        <v>2929</v>
      </c>
      <c r="D3919" s="14"/>
      <c r="E3919" s="14" t="s">
        <v>2841</v>
      </c>
      <c r="F3919" s="17" t="s">
        <v>2995</v>
      </c>
      <c r="G3919" s="14">
        <v>10365</v>
      </c>
      <c r="H3919" s="14">
        <v>9074.5575000000008</v>
      </c>
      <c r="I3919" s="31">
        <f>IF(COUNTIFS(Addendum!C:C,A3919,Addendum!D:D,IF(ISNUMBER(B3919),TEXT(B3919,"0000"),B3919),Addendum!E:E,"X")&gt;0,4%,0)</f>
        <v>0</v>
      </c>
      <c r="J3919" s="31">
        <f>IF(COUNTIFS(Addendum!C:C,A3919,Addendum!D:D,IF(ISNUMBER(B3919),TEXT(B3919,"0000"),B3919),Addendum!F:F,"X")&gt;0,2.5%,0)</f>
        <v>0</v>
      </c>
      <c r="K3919" s="31">
        <f>IF(COUNTIFS(Addendum!C:C,A3919,Addendum!D:D,IF(ISNUMBER(B3919),TEXT(B3919,"0000"),B3919),Addendum!G:G,"X")&gt;0,7%,0)</f>
        <v>0</v>
      </c>
      <c r="L3919" s="31">
        <f>IF(COUNTIFS(Addendum!C:C,A3919,Addendum!D:D,IF(ISNUMBER(B3919),TEXT(B3919,"0000"),B3919),Addendum!I:I,"X")&gt;0,10%,0)</f>
        <v>0</v>
      </c>
      <c r="M3919" s="34">
        <f t="shared" si="122"/>
        <v>0</v>
      </c>
      <c r="N3919" s="17">
        <f t="shared" si="123"/>
        <v>9074.5575000000008</v>
      </c>
    </row>
    <row r="3920" spans="1:14" x14ac:dyDescent="0.25">
      <c r="A3920" s="17"/>
      <c r="B3920" s="17"/>
      <c r="C3920" s="15" t="s">
        <v>2930</v>
      </c>
      <c r="D3920" s="14"/>
      <c r="E3920" s="14" t="s">
        <v>2841</v>
      </c>
      <c r="F3920" s="17" t="s">
        <v>2993</v>
      </c>
      <c r="G3920" s="14">
        <v>20730</v>
      </c>
      <c r="H3920" s="14">
        <v>18149.115000000002</v>
      </c>
      <c r="I3920" s="31">
        <f>IF(COUNTIFS(Addendum!C:C,A3920,Addendum!D:D,IF(ISNUMBER(B3920),TEXT(B3920,"0000"),B3920),Addendum!E:E,"X")&gt;0,4%,0)</f>
        <v>0</v>
      </c>
      <c r="J3920" s="31">
        <f>IF(COUNTIFS(Addendum!C:C,A3920,Addendum!D:D,IF(ISNUMBER(B3920),TEXT(B3920,"0000"),B3920),Addendum!F:F,"X")&gt;0,2.5%,0)</f>
        <v>0</v>
      </c>
      <c r="K3920" s="31">
        <f>IF(COUNTIFS(Addendum!C:C,A3920,Addendum!D:D,IF(ISNUMBER(B3920),TEXT(B3920,"0000"),B3920),Addendum!G:G,"X")&gt;0,7%,0)</f>
        <v>0</v>
      </c>
      <c r="L3920" s="31">
        <f>IF(COUNTIFS(Addendum!C:C,A3920,Addendum!D:D,IF(ISNUMBER(B3920),TEXT(B3920,"0000"),B3920),Addendum!I:I,"X")&gt;0,10%,0)</f>
        <v>0</v>
      </c>
      <c r="M3920" s="34">
        <f t="shared" si="122"/>
        <v>0</v>
      </c>
      <c r="N3920" s="17">
        <f t="shared" si="123"/>
        <v>18149.115000000002</v>
      </c>
    </row>
    <row r="3921" spans="1:14" x14ac:dyDescent="0.25">
      <c r="A3921" s="17"/>
      <c r="B3921" s="17"/>
      <c r="C3921" s="15" t="s">
        <v>2931</v>
      </c>
      <c r="D3921" s="14"/>
      <c r="E3921" s="14" t="s">
        <v>2841</v>
      </c>
      <c r="F3921" s="17" t="s">
        <v>2993</v>
      </c>
      <c r="G3921" s="14">
        <v>5182</v>
      </c>
      <c r="H3921" s="14">
        <v>4536.8409999999994</v>
      </c>
      <c r="I3921" s="31">
        <f>IF(COUNTIFS(Addendum!C:C,A3921,Addendum!D:D,IF(ISNUMBER(B3921),TEXT(B3921,"0000"),B3921),Addendum!E:E,"X")&gt;0,4%,0)</f>
        <v>0</v>
      </c>
      <c r="J3921" s="31">
        <f>IF(COUNTIFS(Addendum!C:C,A3921,Addendum!D:D,IF(ISNUMBER(B3921),TEXT(B3921,"0000"),B3921),Addendum!F:F,"X")&gt;0,2.5%,0)</f>
        <v>0</v>
      </c>
      <c r="K3921" s="31">
        <f>IF(COUNTIFS(Addendum!C:C,A3921,Addendum!D:D,IF(ISNUMBER(B3921),TEXT(B3921,"0000"),B3921),Addendum!G:G,"X")&gt;0,7%,0)</f>
        <v>0</v>
      </c>
      <c r="L3921" s="31">
        <f>IF(COUNTIFS(Addendum!C:C,A3921,Addendum!D:D,IF(ISNUMBER(B3921),TEXT(B3921,"0000"),B3921),Addendum!I:I,"X")&gt;0,10%,0)</f>
        <v>0</v>
      </c>
      <c r="M3921" s="34">
        <f t="shared" si="122"/>
        <v>0</v>
      </c>
      <c r="N3921" s="17">
        <f t="shared" si="123"/>
        <v>4536.8409999999994</v>
      </c>
    </row>
    <row r="3922" spans="1:14" x14ac:dyDescent="0.25">
      <c r="A3922" s="17"/>
      <c r="B3922" s="17"/>
      <c r="C3922" s="15" t="s">
        <v>2932</v>
      </c>
      <c r="D3922" s="14"/>
      <c r="E3922" s="14" t="s">
        <v>2841</v>
      </c>
      <c r="F3922" s="17" t="s">
        <v>2995</v>
      </c>
      <c r="G3922" s="14">
        <v>6265</v>
      </c>
      <c r="H3922" s="14">
        <v>5485.0074999999997</v>
      </c>
      <c r="I3922" s="31">
        <f>IF(COUNTIFS(Addendum!C:C,A3922,Addendum!D:D,IF(ISNUMBER(B3922),TEXT(B3922,"0000"),B3922),Addendum!E:E,"X")&gt;0,4%,0)</f>
        <v>0</v>
      </c>
      <c r="J3922" s="31">
        <f>IF(COUNTIFS(Addendum!C:C,A3922,Addendum!D:D,IF(ISNUMBER(B3922),TEXT(B3922,"0000"),B3922),Addendum!F:F,"X")&gt;0,2.5%,0)</f>
        <v>0</v>
      </c>
      <c r="K3922" s="31">
        <f>IF(COUNTIFS(Addendum!C:C,A3922,Addendum!D:D,IF(ISNUMBER(B3922),TEXT(B3922,"0000"),B3922),Addendum!G:G,"X")&gt;0,7%,0)</f>
        <v>0</v>
      </c>
      <c r="L3922" s="31">
        <f>IF(COUNTIFS(Addendum!C:C,A3922,Addendum!D:D,IF(ISNUMBER(B3922),TEXT(B3922,"0000"),B3922),Addendum!I:I,"X")&gt;0,10%,0)</f>
        <v>0</v>
      </c>
      <c r="M3922" s="34">
        <f t="shared" si="122"/>
        <v>0</v>
      </c>
      <c r="N3922" s="17">
        <f t="shared" si="123"/>
        <v>5485.0074999999997</v>
      </c>
    </row>
    <row r="3923" spans="1:14" x14ac:dyDescent="0.25">
      <c r="A3923" s="17"/>
      <c r="B3923" s="17"/>
      <c r="C3923" s="15" t="s">
        <v>2932</v>
      </c>
      <c r="D3923" s="14"/>
      <c r="E3923" s="14" t="s">
        <v>2841</v>
      </c>
      <c r="F3923" s="17" t="s">
        <v>2993</v>
      </c>
      <c r="G3923" s="14">
        <v>25063</v>
      </c>
      <c r="H3923" s="14">
        <v>21942.656500000001</v>
      </c>
      <c r="I3923" s="31">
        <f>IF(COUNTIFS(Addendum!C:C,A3923,Addendum!D:D,IF(ISNUMBER(B3923),TEXT(B3923,"0000"),B3923),Addendum!E:E,"X")&gt;0,4%,0)</f>
        <v>0</v>
      </c>
      <c r="J3923" s="31">
        <f>IF(COUNTIFS(Addendum!C:C,A3923,Addendum!D:D,IF(ISNUMBER(B3923),TEXT(B3923,"0000"),B3923),Addendum!F:F,"X")&gt;0,2.5%,0)</f>
        <v>0</v>
      </c>
      <c r="K3923" s="31">
        <f>IF(COUNTIFS(Addendum!C:C,A3923,Addendum!D:D,IF(ISNUMBER(B3923),TEXT(B3923,"0000"),B3923),Addendum!G:G,"X")&gt;0,7%,0)</f>
        <v>0</v>
      </c>
      <c r="L3923" s="31">
        <f>IF(COUNTIFS(Addendum!C:C,A3923,Addendum!D:D,IF(ISNUMBER(B3923),TEXT(B3923,"0000"),B3923),Addendum!I:I,"X")&gt;0,10%,0)</f>
        <v>0</v>
      </c>
      <c r="M3923" s="34">
        <f t="shared" si="122"/>
        <v>0</v>
      </c>
      <c r="N3923" s="17">
        <f t="shared" si="123"/>
        <v>21942.656500000001</v>
      </c>
    </row>
    <row r="3924" spans="1:14" x14ac:dyDescent="0.25">
      <c r="A3924" s="17"/>
      <c r="B3924" s="17"/>
      <c r="C3924" s="15" t="s">
        <v>2933</v>
      </c>
      <c r="D3924" s="14"/>
      <c r="E3924" s="14" t="s">
        <v>2841</v>
      </c>
      <c r="F3924" s="17" t="s">
        <v>2995</v>
      </c>
      <c r="G3924" s="14">
        <v>6265</v>
      </c>
      <c r="H3924" s="14">
        <v>5485.0074999999997</v>
      </c>
      <c r="I3924" s="31">
        <f>IF(COUNTIFS(Addendum!C:C,A3924,Addendum!D:D,IF(ISNUMBER(B3924),TEXT(B3924,"0000"),B3924),Addendum!E:E,"X")&gt;0,4%,0)</f>
        <v>0</v>
      </c>
      <c r="J3924" s="31">
        <f>IF(COUNTIFS(Addendum!C:C,A3924,Addendum!D:D,IF(ISNUMBER(B3924),TEXT(B3924,"0000"),B3924),Addendum!F:F,"X")&gt;0,2.5%,0)</f>
        <v>0</v>
      </c>
      <c r="K3924" s="31">
        <f>IF(COUNTIFS(Addendum!C:C,A3924,Addendum!D:D,IF(ISNUMBER(B3924),TEXT(B3924,"0000"),B3924),Addendum!G:G,"X")&gt;0,7%,0)</f>
        <v>0</v>
      </c>
      <c r="L3924" s="31">
        <f>IF(COUNTIFS(Addendum!C:C,A3924,Addendum!D:D,IF(ISNUMBER(B3924),TEXT(B3924,"0000"),B3924),Addendum!I:I,"X")&gt;0,10%,0)</f>
        <v>0</v>
      </c>
      <c r="M3924" s="34">
        <f t="shared" si="122"/>
        <v>0</v>
      </c>
      <c r="N3924" s="17">
        <f t="shared" si="123"/>
        <v>5485.0074999999997</v>
      </c>
    </row>
    <row r="3925" spans="1:14" x14ac:dyDescent="0.25">
      <c r="A3925" s="17"/>
      <c r="B3925" s="17"/>
      <c r="C3925" s="15" t="s">
        <v>2933</v>
      </c>
      <c r="D3925" s="14"/>
      <c r="E3925" s="14" t="s">
        <v>2841</v>
      </c>
      <c r="F3925" s="17" t="s">
        <v>2993</v>
      </c>
      <c r="G3925" s="14">
        <v>25063</v>
      </c>
      <c r="H3925" s="14">
        <v>21942.656500000001</v>
      </c>
      <c r="I3925" s="31">
        <f>IF(COUNTIFS(Addendum!C:C,A3925,Addendum!D:D,IF(ISNUMBER(B3925),TEXT(B3925,"0000"),B3925),Addendum!E:E,"X")&gt;0,4%,0)</f>
        <v>0</v>
      </c>
      <c r="J3925" s="31">
        <f>IF(COUNTIFS(Addendum!C:C,A3925,Addendum!D:D,IF(ISNUMBER(B3925),TEXT(B3925,"0000"),B3925),Addendum!F:F,"X")&gt;0,2.5%,0)</f>
        <v>0</v>
      </c>
      <c r="K3925" s="31">
        <f>IF(COUNTIFS(Addendum!C:C,A3925,Addendum!D:D,IF(ISNUMBER(B3925),TEXT(B3925,"0000"),B3925),Addendum!G:G,"X")&gt;0,7%,0)</f>
        <v>0</v>
      </c>
      <c r="L3925" s="31">
        <f>IF(COUNTIFS(Addendum!C:C,A3925,Addendum!D:D,IF(ISNUMBER(B3925),TEXT(B3925,"0000"),B3925),Addendum!I:I,"X")&gt;0,10%,0)</f>
        <v>0</v>
      </c>
      <c r="M3925" s="34">
        <f t="shared" si="122"/>
        <v>0</v>
      </c>
      <c r="N3925" s="17">
        <f t="shared" si="123"/>
        <v>21942.656500000001</v>
      </c>
    </row>
    <row r="3926" spans="1:14" x14ac:dyDescent="0.25">
      <c r="A3926" s="17"/>
      <c r="B3926" s="17"/>
      <c r="C3926" s="15" t="s">
        <v>2934</v>
      </c>
      <c r="D3926" s="14"/>
      <c r="E3926" s="14" t="s">
        <v>2841</v>
      </c>
      <c r="F3926" s="17" t="s">
        <v>2994</v>
      </c>
      <c r="G3926" s="14">
        <v>170</v>
      </c>
      <c r="H3926" s="14">
        <v>148.83500000000001</v>
      </c>
      <c r="I3926" s="31">
        <f>IF(COUNTIFS(Addendum!C:C,A3926,Addendum!D:D,IF(ISNUMBER(B3926),TEXT(B3926,"0000"),B3926),Addendum!E:E,"X")&gt;0,4%,0)</f>
        <v>0</v>
      </c>
      <c r="J3926" s="31">
        <f>IF(COUNTIFS(Addendum!C:C,A3926,Addendum!D:D,IF(ISNUMBER(B3926),TEXT(B3926,"0000"),B3926),Addendum!F:F,"X")&gt;0,2.5%,0)</f>
        <v>0</v>
      </c>
      <c r="K3926" s="31">
        <f>IF(COUNTIFS(Addendum!C:C,A3926,Addendum!D:D,IF(ISNUMBER(B3926),TEXT(B3926,"0000"),B3926),Addendum!G:G,"X")&gt;0,7%,0)</f>
        <v>0</v>
      </c>
      <c r="L3926" s="31">
        <f>IF(COUNTIFS(Addendum!C:C,A3926,Addendum!D:D,IF(ISNUMBER(B3926),TEXT(B3926,"0000"),B3926),Addendum!I:I,"X")&gt;0,10%,0)</f>
        <v>0</v>
      </c>
      <c r="M3926" s="34">
        <f t="shared" si="122"/>
        <v>0</v>
      </c>
      <c r="N3926" s="17">
        <f t="shared" si="123"/>
        <v>148.83500000000001</v>
      </c>
    </row>
    <row r="3927" spans="1:14" x14ac:dyDescent="0.25">
      <c r="A3927" s="17"/>
      <c r="B3927" s="17"/>
      <c r="C3927" s="15" t="s">
        <v>2935</v>
      </c>
      <c r="D3927" s="14"/>
      <c r="E3927" s="14" t="s">
        <v>2841</v>
      </c>
      <c r="F3927" s="17" t="s">
        <v>2993</v>
      </c>
      <c r="G3927" s="14">
        <v>20730</v>
      </c>
      <c r="H3927" s="14">
        <v>18149.115000000002</v>
      </c>
      <c r="I3927" s="31">
        <f>IF(COUNTIFS(Addendum!C:C,A3927,Addendum!D:D,IF(ISNUMBER(B3927),TEXT(B3927,"0000"),B3927),Addendum!E:E,"X")&gt;0,4%,0)</f>
        <v>0</v>
      </c>
      <c r="J3927" s="31">
        <f>IF(COUNTIFS(Addendum!C:C,A3927,Addendum!D:D,IF(ISNUMBER(B3927),TEXT(B3927,"0000"),B3927),Addendum!F:F,"X")&gt;0,2.5%,0)</f>
        <v>0</v>
      </c>
      <c r="K3927" s="31">
        <f>IF(COUNTIFS(Addendum!C:C,A3927,Addendum!D:D,IF(ISNUMBER(B3927),TEXT(B3927,"0000"),B3927),Addendum!G:G,"X")&gt;0,7%,0)</f>
        <v>0</v>
      </c>
      <c r="L3927" s="31">
        <f>IF(COUNTIFS(Addendum!C:C,A3927,Addendum!D:D,IF(ISNUMBER(B3927),TEXT(B3927,"0000"),B3927),Addendum!I:I,"X")&gt;0,10%,0)</f>
        <v>0</v>
      </c>
      <c r="M3927" s="34">
        <f t="shared" si="122"/>
        <v>0</v>
      </c>
      <c r="N3927" s="17">
        <f t="shared" si="123"/>
        <v>18149.115000000002</v>
      </c>
    </row>
    <row r="3928" spans="1:14" x14ac:dyDescent="0.25">
      <c r="A3928" s="17"/>
      <c r="B3928" s="17"/>
      <c r="C3928" s="15" t="s">
        <v>2934</v>
      </c>
      <c r="D3928" s="14"/>
      <c r="E3928" s="14" t="s">
        <v>2841</v>
      </c>
      <c r="F3928" s="17" t="s">
        <v>2995</v>
      </c>
      <c r="G3928" s="14">
        <v>170</v>
      </c>
      <c r="H3928" s="14">
        <v>148.83500000000001</v>
      </c>
      <c r="I3928" s="31">
        <f>IF(COUNTIFS(Addendum!C:C,A3928,Addendum!D:D,IF(ISNUMBER(B3928),TEXT(B3928,"0000"),B3928),Addendum!E:E,"X")&gt;0,4%,0)</f>
        <v>0</v>
      </c>
      <c r="J3928" s="31">
        <f>IF(COUNTIFS(Addendum!C:C,A3928,Addendum!D:D,IF(ISNUMBER(B3928),TEXT(B3928,"0000"),B3928),Addendum!F:F,"X")&gt;0,2.5%,0)</f>
        <v>0</v>
      </c>
      <c r="K3928" s="31">
        <f>IF(COUNTIFS(Addendum!C:C,A3928,Addendum!D:D,IF(ISNUMBER(B3928),TEXT(B3928,"0000"),B3928),Addendum!G:G,"X")&gt;0,7%,0)</f>
        <v>0</v>
      </c>
      <c r="L3928" s="31">
        <f>IF(COUNTIFS(Addendum!C:C,A3928,Addendum!D:D,IF(ISNUMBER(B3928),TEXT(B3928,"0000"),B3928),Addendum!I:I,"X")&gt;0,10%,0)</f>
        <v>0</v>
      </c>
      <c r="M3928" s="34">
        <f t="shared" si="122"/>
        <v>0</v>
      </c>
      <c r="N3928" s="17">
        <f t="shared" si="123"/>
        <v>148.83500000000001</v>
      </c>
    </row>
    <row r="3929" spans="1:14" x14ac:dyDescent="0.25">
      <c r="A3929" s="17"/>
      <c r="B3929" s="17"/>
      <c r="C3929" s="15" t="s">
        <v>2934</v>
      </c>
      <c r="D3929" s="14"/>
      <c r="E3929" s="14" t="s">
        <v>2841</v>
      </c>
      <c r="F3929" s="17" t="s">
        <v>2993</v>
      </c>
      <c r="G3929" s="14">
        <v>10365</v>
      </c>
      <c r="H3929" s="14">
        <v>9074.5575000000008</v>
      </c>
      <c r="I3929" s="31">
        <f>IF(COUNTIFS(Addendum!C:C,A3929,Addendum!D:D,IF(ISNUMBER(B3929),TEXT(B3929,"0000"),B3929),Addendum!E:E,"X")&gt;0,4%,0)</f>
        <v>0</v>
      </c>
      <c r="J3929" s="31">
        <f>IF(COUNTIFS(Addendum!C:C,A3929,Addendum!D:D,IF(ISNUMBER(B3929),TEXT(B3929,"0000"),B3929),Addendum!F:F,"X")&gt;0,2.5%,0)</f>
        <v>0</v>
      </c>
      <c r="K3929" s="31">
        <f>IF(COUNTIFS(Addendum!C:C,A3929,Addendum!D:D,IF(ISNUMBER(B3929),TEXT(B3929,"0000"),B3929),Addendum!G:G,"X")&gt;0,7%,0)</f>
        <v>0</v>
      </c>
      <c r="L3929" s="31">
        <f>IF(COUNTIFS(Addendum!C:C,A3929,Addendum!D:D,IF(ISNUMBER(B3929),TEXT(B3929,"0000"),B3929),Addendum!I:I,"X")&gt;0,10%,0)</f>
        <v>0</v>
      </c>
      <c r="M3929" s="34">
        <f t="shared" si="122"/>
        <v>0</v>
      </c>
      <c r="N3929" s="17">
        <f t="shared" si="123"/>
        <v>9074.5575000000008</v>
      </c>
    </row>
    <row r="3930" spans="1:14" x14ac:dyDescent="0.25">
      <c r="A3930" s="17"/>
      <c r="B3930" s="17"/>
      <c r="C3930" s="15" t="s">
        <v>2936</v>
      </c>
      <c r="D3930" s="14"/>
      <c r="E3930" s="14" t="s">
        <v>2841</v>
      </c>
      <c r="F3930" s="17" t="s">
        <v>2994</v>
      </c>
      <c r="G3930" s="14">
        <v>85</v>
      </c>
      <c r="H3930" s="14">
        <v>74.417500000000004</v>
      </c>
      <c r="I3930" s="31">
        <f>IF(COUNTIFS(Addendum!C:C,A3930,Addendum!D:D,IF(ISNUMBER(B3930),TEXT(B3930,"0000"),B3930),Addendum!E:E,"X")&gt;0,4%,0)</f>
        <v>0</v>
      </c>
      <c r="J3930" s="31">
        <f>IF(COUNTIFS(Addendum!C:C,A3930,Addendum!D:D,IF(ISNUMBER(B3930),TEXT(B3930,"0000"),B3930),Addendum!F:F,"X")&gt;0,2.5%,0)</f>
        <v>0</v>
      </c>
      <c r="K3930" s="31">
        <f>IF(COUNTIFS(Addendum!C:C,A3930,Addendum!D:D,IF(ISNUMBER(B3930),TEXT(B3930,"0000"),B3930),Addendum!G:G,"X")&gt;0,7%,0)</f>
        <v>0</v>
      </c>
      <c r="L3930" s="31">
        <f>IF(COUNTIFS(Addendum!C:C,A3930,Addendum!D:D,IF(ISNUMBER(B3930),TEXT(B3930,"0000"),B3930),Addendum!I:I,"X")&gt;0,10%,0)</f>
        <v>0</v>
      </c>
      <c r="M3930" s="34">
        <f t="shared" si="122"/>
        <v>0</v>
      </c>
      <c r="N3930" s="17">
        <f t="shared" si="123"/>
        <v>74.417500000000004</v>
      </c>
    </row>
    <row r="3931" spans="1:14" x14ac:dyDescent="0.25">
      <c r="A3931" s="17"/>
      <c r="B3931" s="17"/>
      <c r="C3931" s="15" t="s">
        <v>2936</v>
      </c>
      <c r="D3931" s="14"/>
      <c r="E3931" s="14" t="s">
        <v>2841</v>
      </c>
      <c r="F3931" s="17" t="s">
        <v>2995</v>
      </c>
      <c r="G3931" s="14">
        <v>85</v>
      </c>
      <c r="H3931" s="14">
        <v>74.417500000000004</v>
      </c>
      <c r="I3931" s="31">
        <f>IF(COUNTIFS(Addendum!C:C,A3931,Addendum!D:D,IF(ISNUMBER(B3931),TEXT(B3931,"0000"),B3931),Addendum!E:E,"X")&gt;0,4%,0)</f>
        <v>0</v>
      </c>
      <c r="J3931" s="31">
        <f>IF(COUNTIFS(Addendum!C:C,A3931,Addendum!D:D,IF(ISNUMBER(B3931),TEXT(B3931,"0000"),B3931),Addendum!F:F,"X")&gt;0,2.5%,0)</f>
        <v>0</v>
      </c>
      <c r="K3931" s="31">
        <f>IF(COUNTIFS(Addendum!C:C,A3931,Addendum!D:D,IF(ISNUMBER(B3931),TEXT(B3931,"0000"),B3931),Addendum!G:G,"X")&gt;0,7%,0)</f>
        <v>0</v>
      </c>
      <c r="L3931" s="31">
        <f>IF(COUNTIFS(Addendum!C:C,A3931,Addendum!D:D,IF(ISNUMBER(B3931),TEXT(B3931,"0000"),B3931),Addendum!I:I,"X")&gt;0,10%,0)</f>
        <v>0</v>
      </c>
      <c r="M3931" s="34">
        <f t="shared" si="122"/>
        <v>0</v>
      </c>
      <c r="N3931" s="17">
        <f t="shared" si="123"/>
        <v>74.417500000000004</v>
      </c>
    </row>
    <row r="3932" spans="1:14" x14ac:dyDescent="0.25">
      <c r="A3932" s="17"/>
      <c r="B3932" s="17"/>
      <c r="C3932" s="15" t="s">
        <v>2936</v>
      </c>
      <c r="D3932" s="14"/>
      <c r="E3932" s="14" t="s">
        <v>2841</v>
      </c>
      <c r="F3932" s="17" t="s">
        <v>2993</v>
      </c>
      <c r="G3932" s="14">
        <v>5182</v>
      </c>
      <c r="H3932" s="14">
        <v>4536.8409999999994</v>
      </c>
      <c r="I3932" s="31">
        <f>IF(COUNTIFS(Addendum!C:C,A3932,Addendum!D:D,IF(ISNUMBER(B3932),TEXT(B3932,"0000"),B3932),Addendum!E:E,"X")&gt;0,4%,0)</f>
        <v>0</v>
      </c>
      <c r="J3932" s="31">
        <f>IF(COUNTIFS(Addendum!C:C,A3932,Addendum!D:D,IF(ISNUMBER(B3932),TEXT(B3932,"0000"),B3932),Addendum!F:F,"X")&gt;0,2.5%,0)</f>
        <v>0</v>
      </c>
      <c r="K3932" s="31">
        <f>IF(COUNTIFS(Addendum!C:C,A3932,Addendum!D:D,IF(ISNUMBER(B3932),TEXT(B3932,"0000"),B3932),Addendum!G:G,"X")&gt;0,7%,0)</f>
        <v>0</v>
      </c>
      <c r="L3932" s="31">
        <f>IF(COUNTIFS(Addendum!C:C,A3932,Addendum!D:D,IF(ISNUMBER(B3932),TEXT(B3932,"0000"),B3932),Addendum!I:I,"X")&gt;0,10%,0)</f>
        <v>0</v>
      </c>
      <c r="M3932" s="34">
        <f t="shared" si="122"/>
        <v>0</v>
      </c>
      <c r="N3932" s="17">
        <f t="shared" si="123"/>
        <v>4536.8409999999994</v>
      </c>
    </row>
    <row r="3933" spans="1:14" x14ac:dyDescent="0.25">
      <c r="A3933" s="17"/>
      <c r="B3933" s="17"/>
      <c r="C3933" s="15" t="s">
        <v>2935</v>
      </c>
      <c r="D3933" s="14"/>
      <c r="E3933" s="14" t="s">
        <v>2841</v>
      </c>
      <c r="F3933" s="17" t="s">
        <v>2995</v>
      </c>
      <c r="G3933" s="14">
        <v>340</v>
      </c>
      <c r="H3933" s="14">
        <v>297.67</v>
      </c>
      <c r="I3933" s="31">
        <f>IF(COUNTIFS(Addendum!C:C,A3933,Addendum!D:D,IF(ISNUMBER(B3933),TEXT(B3933,"0000"),B3933),Addendum!E:E,"X")&gt;0,4%,0)</f>
        <v>0</v>
      </c>
      <c r="J3933" s="31">
        <f>IF(COUNTIFS(Addendum!C:C,A3933,Addendum!D:D,IF(ISNUMBER(B3933),TEXT(B3933,"0000"),B3933),Addendum!F:F,"X")&gt;0,2.5%,0)</f>
        <v>0</v>
      </c>
      <c r="K3933" s="31">
        <f>IF(COUNTIFS(Addendum!C:C,A3933,Addendum!D:D,IF(ISNUMBER(B3933),TEXT(B3933,"0000"),B3933),Addendum!G:G,"X")&gt;0,7%,0)</f>
        <v>0</v>
      </c>
      <c r="L3933" s="31">
        <f>IF(COUNTIFS(Addendum!C:C,A3933,Addendum!D:D,IF(ISNUMBER(B3933),TEXT(B3933,"0000"),B3933),Addendum!I:I,"X")&gt;0,10%,0)</f>
        <v>0</v>
      </c>
      <c r="M3933" s="34">
        <f t="shared" si="122"/>
        <v>0</v>
      </c>
      <c r="N3933" s="17">
        <f t="shared" si="123"/>
        <v>297.67</v>
      </c>
    </row>
    <row r="3934" spans="1:14" x14ac:dyDescent="0.25">
      <c r="A3934" s="17"/>
      <c r="B3934" s="17"/>
      <c r="C3934" s="15" t="s">
        <v>2935</v>
      </c>
      <c r="D3934" s="14"/>
      <c r="E3934" s="14" t="s">
        <v>2841</v>
      </c>
      <c r="F3934" s="17" t="s">
        <v>2994</v>
      </c>
      <c r="G3934" s="14">
        <v>340</v>
      </c>
      <c r="H3934" s="14">
        <v>297.67</v>
      </c>
      <c r="I3934" s="31">
        <f>IF(COUNTIFS(Addendum!C:C,A3934,Addendum!D:D,IF(ISNUMBER(B3934),TEXT(B3934,"0000"),B3934),Addendum!E:E,"X")&gt;0,4%,0)</f>
        <v>0</v>
      </c>
      <c r="J3934" s="31">
        <f>IF(COUNTIFS(Addendum!C:C,A3934,Addendum!D:D,IF(ISNUMBER(B3934),TEXT(B3934,"0000"),B3934),Addendum!F:F,"X")&gt;0,2.5%,0)</f>
        <v>0</v>
      </c>
      <c r="K3934" s="31">
        <f>IF(COUNTIFS(Addendum!C:C,A3934,Addendum!D:D,IF(ISNUMBER(B3934),TEXT(B3934,"0000"),B3934),Addendum!G:G,"X")&gt;0,7%,0)</f>
        <v>0</v>
      </c>
      <c r="L3934" s="31">
        <f>IF(COUNTIFS(Addendum!C:C,A3934,Addendum!D:D,IF(ISNUMBER(B3934),TEXT(B3934,"0000"),B3934),Addendum!I:I,"X")&gt;0,10%,0)</f>
        <v>0</v>
      </c>
      <c r="M3934" s="34">
        <f t="shared" si="122"/>
        <v>0</v>
      </c>
      <c r="N3934" s="17">
        <f t="shared" si="123"/>
        <v>297.67</v>
      </c>
    </row>
    <row r="3935" spans="1:14" x14ac:dyDescent="0.25">
      <c r="A3935" s="17"/>
      <c r="B3935" s="17"/>
      <c r="C3935" s="15" t="s">
        <v>2937</v>
      </c>
      <c r="D3935" s="14"/>
      <c r="E3935" s="14" t="s">
        <v>2841</v>
      </c>
      <c r="F3935" s="17" t="s">
        <v>2993</v>
      </c>
      <c r="G3935" s="14">
        <v>25063</v>
      </c>
      <c r="H3935" s="14">
        <v>21942.656500000001</v>
      </c>
      <c r="I3935" s="31">
        <f>IF(COUNTIFS(Addendum!C:C,A3935,Addendum!D:D,IF(ISNUMBER(B3935),TEXT(B3935,"0000"),B3935),Addendum!E:E,"X")&gt;0,4%,0)</f>
        <v>0</v>
      </c>
      <c r="J3935" s="31">
        <f>IF(COUNTIFS(Addendum!C:C,A3935,Addendum!D:D,IF(ISNUMBER(B3935),TEXT(B3935,"0000"),B3935),Addendum!F:F,"X")&gt;0,2.5%,0)</f>
        <v>0</v>
      </c>
      <c r="K3935" s="31">
        <f>IF(COUNTIFS(Addendum!C:C,A3935,Addendum!D:D,IF(ISNUMBER(B3935),TEXT(B3935,"0000"),B3935),Addendum!G:G,"X")&gt;0,7%,0)</f>
        <v>0</v>
      </c>
      <c r="L3935" s="31">
        <f>IF(COUNTIFS(Addendum!C:C,A3935,Addendum!D:D,IF(ISNUMBER(B3935),TEXT(B3935,"0000"),B3935),Addendum!I:I,"X")&gt;0,10%,0)</f>
        <v>0</v>
      </c>
      <c r="M3935" s="34">
        <f t="shared" si="122"/>
        <v>0</v>
      </c>
      <c r="N3935" s="17">
        <f t="shared" si="123"/>
        <v>21942.656500000001</v>
      </c>
    </row>
    <row r="3936" spans="1:14" x14ac:dyDescent="0.25">
      <c r="A3936" s="17"/>
      <c r="B3936" s="17"/>
      <c r="C3936" s="15" t="s">
        <v>2938</v>
      </c>
      <c r="D3936" s="14"/>
      <c r="E3936" s="14" t="s">
        <v>2841</v>
      </c>
      <c r="F3936" s="17" t="s">
        <v>2993</v>
      </c>
      <c r="G3936" s="14">
        <v>25063</v>
      </c>
      <c r="H3936" s="14">
        <v>21942.656500000001</v>
      </c>
      <c r="I3936" s="31">
        <f>IF(COUNTIFS(Addendum!C:C,A3936,Addendum!D:D,IF(ISNUMBER(B3936),TEXT(B3936,"0000"),B3936),Addendum!E:E,"X")&gt;0,4%,0)</f>
        <v>0</v>
      </c>
      <c r="J3936" s="31">
        <f>IF(COUNTIFS(Addendum!C:C,A3936,Addendum!D:D,IF(ISNUMBER(B3936),TEXT(B3936,"0000"),B3936),Addendum!F:F,"X")&gt;0,2.5%,0)</f>
        <v>0</v>
      </c>
      <c r="K3936" s="31">
        <f>IF(COUNTIFS(Addendum!C:C,A3936,Addendum!D:D,IF(ISNUMBER(B3936),TEXT(B3936,"0000"),B3936),Addendum!G:G,"X")&gt;0,7%,0)</f>
        <v>0</v>
      </c>
      <c r="L3936" s="31">
        <f>IF(COUNTIFS(Addendum!C:C,A3936,Addendum!D:D,IF(ISNUMBER(B3936),TEXT(B3936,"0000"),B3936),Addendum!I:I,"X")&gt;0,10%,0)</f>
        <v>0</v>
      </c>
      <c r="M3936" s="34">
        <f t="shared" si="122"/>
        <v>0</v>
      </c>
      <c r="N3936" s="17">
        <f t="shared" si="123"/>
        <v>21942.656500000001</v>
      </c>
    </row>
    <row r="3937" spans="1:14" x14ac:dyDescent="0.25">
      <c r="A3937" s="17"/>
      <c r="B3937" s="17"/>
      <c r="C3937" s="15" t="s">
        <v>2938</v>
      </c>
      <c r="D3937" s="14"/>
      <c r="E3937" s="14" t="s">
        <v>2841</v>
      </c>
      <c r="F3937" s="17" t="s">
        <v>2995</v>
      </c>
      <c r="G3937" s="14">
        <v>6265</v>
      </c>
      <c r="H3937" s="14">
        <v>5485.0074999999997</v>
      </c>
      <c r="I3937" s="31">
        <f>IF(COUNTIFS(Addendum!C:C,A3937,Addendum!D:D,IF(ISNUMBER(B3937),TEXT(B3937,"0000"),B3937),Addendum!E:E,"X")&gt;0,4%,0)</f>
        <v>0</v>
      </c>
      <c r="J3937" s="31">
        <f>IF(COUNTIFS(Addendum!C:C,A3937,Addendum!D:D,IF(ISNUMBER(B3937),TEXT(B3937,"0000"),B3937),Addendum!F:F,"X")&gt;0,2.5%,0)</f>
        <v>0</v>
      </c>
      <c r="K3937" s="31">
        <f>IF(COUNTIFS(Addendum!C:C,A3937,Addendum!D:D,IF(ISNUMBER(B3937),TEXT(B3937,"0000"),B3937),Addendum!G:G,"X")&gt;0,7%,0)</f>
        <v>0</v>
      </c>
      <c r="L3937" s="31">
        <f>IF(COUNTIFS(Addendum!C:C,A3937,Addendum!D:D,IF(ISNUMBER(B3937),TEXT(B3937,"0000"),B3937),Addendum!I:I,"X")&gt;0,10%,0)</f>
        <v>0</v>
      </c>
      <c r="M3937" s="34">
        <f t="shared" si="122"/>
        <v>0</v>
      </c>
      <c r="N3937" s="17">
        <f t="shared" si="123"/>
        <v>5485.0074999999997</v>
      </c>
    </row>
    <row r="3938" spans="1:14" x14ac:dyDescent="0.25">
      <c r="A3938" s="17"/>
      <c r="B3938" s="17"/>
      <c r="C3938" s="15" t="s">
        <v>2939</v>
      </c>
      <c r="D3938" s="14"/>
      <c r="E3938" s="14" t="s">
        <v>2841</v>
      </c>
      <c r="F3938" s="17" t="s">
        <v>2995</v>
      </c>
      <c r="G3938" s="14">
        <v>6265</v>
      </c>
      <c r="H3938" s="14">
        <v>5485.0074999999997</v>
      </c>
      <c r="I3938" s="31">
        <f>IF(COUNTIFS(Addendum!C:C,A3938,Addendum!D:D,IF(ISNUMBER(B3938),TEXT(B3938,"0000"),B3938),Addendum!E:E,"X")&gt;0,4%,0)</f>
        <v>0</v>
      </c>
      <c r="J3938" s="31">
        <f>IF(COUNTIFS(Addendum!C:C,A3938,Addendum!D:D,IF(ISNUMBER(B3938),TEXT(B3938,"0000"),B3938),Addendum!F:F,"X")&gt;0,2.5%,0)</f>
        <v>0</v>
      </c>
      <c r="K3938" s="31">
        <f>IF(COUNTIFS(Addendum!C:C,A3938,Addendum!D:D,IF(ISNUMBER(B3938),TEXT(B3938,"0000"),B3938),Addendum!G:G,"X")&gt;0,7%,0)</f>
        <v>0</v>
      </c>
      <c r="L3938" s="31">
        <f>IF(COUNTIFS(Addendum!C:C,A3938,Addendum!D:D,IF(ISNUMBER(B3938),TEXT(B3938,"0000"),B3938),Addendum!I:I,"X")&gt;0,10%,0)</f>
        <v>0</v>
      </c>
      <c r="M3938" s="34">
        <f t="shared" si="122"/>
        <v>0</v>
      </c>
      <c r="N3938" s="17">
        <f t="shared" si="123"/>
        <v>5485.0074999999997</v>
      </c>
    </row>
    <row r="3939" spans="1:14" x14ac:dyDescent="0.25">
      <c r="A3939" s="17"/>
      <c r="B3939" s="17"/>
      <c r="C3939" s="15" t="s">
        <v>2939</v>
      </c>
      <c r="D3939" s="14"/>
      <c r="E3939" s="14" t="s">
        <v>2841</v>
      </c>
      <c r="F3939" s="17" t="s">
        <v>2993</v>
      </c>
      <c r="G3939" s="14">
        <v>25063</v>
      </c>
      <c r="H3939" s="14">
        <v>21942.656500000001</v>
      </c>
      <c r="I3939" s="31">
        <f>IF(COUNTIFS(Addendum!C:C,A3939,Addendum!D:D,IF(ISNUMBER(B3939),TEXT(B3939,"0000"),B3939),Addendum!E:E,"X")&gt;0,4%,0)</f>
        <v>0</v>
      </c>
      <c r="J3939" s="31">
        <f>IF(COUNTIFS(Addendum!C:C,A3939,Addendum!D:D,IF(ISNUMBER(B3939),TEXT(B3939,"0000"),B3939),Addendum!F:F,"X")&gt;0,2.5%,0)</f>
        <v>0</v>
      </c>
      <c r="K3939" s="31">
        <f>IF(COUNTIFS(Addendum!C:C,A3939,Addendum!D:D,IF(ISNUMBER(B3939),TEXT(B3939,"0000"),B3939),Addendum!G:G,"X")&gt;0,7%,0)</f>
        <v>0</v>
      </c>
      <c r="L3939" s="31">
        <f>IF(COUNTIFS(Addendum!C:C,A3939,Addendum!D:D,IF(ISNUMBER(B3939),TEXT(B3939,"0000"),B3939),Addendum!I:I,"X")&gt;0,10%,0)</f>
        <v>0</v>
      </c>
      <c r="M3939" s="34">
        <f t="shared" si="122"/>
        <v>0</v>
      </c>
      <c r="N3939" s="17">
        <f t="shared" si="123"/>
        <v>21942.656500000001</v>
      </c>
    </row>
    <row r="3940" spans="1:14" x14ac:dyDescent="0.25">
      <c r="A3940" s="17"/>
      <c r="B3940" s="17"/>
      <c r="C3940" s="15" t="s">
        <v>2940</v>
      </c>
      <c r="D3940" s="14"/>
      <c r="E3940" s="14" t="s">
        <v>2841</v>
      </c>
      <c r="F3940" s="17" t="s">
        <v>2993</v>
      </c>
      <c r="G3940" s="14">
        <v>15972</v>
      </c>
      <c r="H3940" s="14">
        <v>13983.486000000001</v>
      </c>
      <c r="I3940" s="31">
        <f>IF(COUNTIFS(Addendum!C:C,A3940,Addendum!D:D,IF(ISNUMBER(B3940),TEXT(B3940,"0000"),B3940),Addendum!E:E,"X")&gt;0,4%,0)</f>
        <v>0</v>
      </c>
      <c r="J3940" s="31">
        <f>IF(COUNTIFS(Addendum!C:C,A3940,Addendum!D:D,IF(ISNUMBER(B3940),TEXT(B3940,"0000"),B3940),Addendum!F:F,"X")&gt;0,2.5%,0)</f>
        <v>0</v>
      </c>
      <c r="K3940" s="31">
        <f>IF(COUNTIFS(Addendum!C:C,A3940,Addendum!D:D,IF(ISNUMBER(B3940),TEXT(B3940,"0000"),B3940),Addendum!G:G,"X")&gt;0,7%,0)</f>
        <v>0</v>
      </c>
      <c r="L3940" s="31">
        <f>IF(COUNTIFS(Addendum!C:C,A3940,Addendum!D:D,IF(ISNUMBER(B3940),TEXT(B3940,"0000"),B3940),Addendum!I:I,"X")&gt;0,10%,0)</f>
        <v>0</v>
      </c>
      <c r="M3940" s="34">
        <f t="shared" si="122"/>
        <v>0</v>
      </c>
      <c r="N3940" s="17">
        <f t="shared" si="123"/>
        <v>13983.486000000001</v>
      </c>
    </row>
    <row r="3941" spans="1:14" x14ac:dyDescent="0.25">
      <c r="A3941" s="17"/>
      <c r="B3941" s="17"/>
      <c r="C3941" s="15" t="s">
        <v>2941</v>
      </c>
      <c r="D3941" s="14"/>
      <c r="E3941" s="14" t="s">
        <v>2841</v>
      </c>
      <c r="F3941" s="17" t="s">
        <v>2994</v>
      </c>
      <c r="G3941" s="14">
        <v>11724</v>
      </c>
      <c r="H3941" s="14">
        <v>9660.5760000000009</v>
      </c>
      <c r="I3941" s="31">
        <f>IF(COUNTIFS(Addendum!C:C,A3941,Addendum!D:D,IF(ISNUMBER(B3941),TEXT(B3941,"0000"),B3941),Addendum!E:E,"X")&gt;0,4%,0)</f>
        <v>0</v>
      </c>
      <c r="J3941" s="31">
        <f>IF(COUNTIFS(Addendum!C:C,A3941,Addendum!D:D,IF(ISNUMBER(B3941),TEXT(B3941,"0000"),B3941),Addendum!F:F,"X")&gt;0,2.5%,0)</f>
        <v>0</v>
      </c>
      <c r="K3941" s="31">
        <f>IF(COUNTIFS(Addendum!C:C,A3941,Addendum!D:D,IF(ISNUMBER(B3941),TEXT(B3941,"0000"),B3941),Addendum!G:G,"X")&gt;0,7%,0)</f>
        <v>0</v>
      </c>
      <c r="L3941" s="31">
        <f>IF(COUNTIFS(Addendum!C:C,A3941,Addendum!D:D,IF(ISNUMBER(B3941),TEXT(B3941,"0000"),B3941),Addendum!I:I,"X")&gt;0,10%,0)</f>
        <v>0</v>
      </c>
      <c r="M3941" s="34">
        <f t="shared" si="122"/>
        <v>0</v>
      </c>
      <c r="N3941" s="17">
        <f t="shared" si="123"/>
        <v>9660.5760000000009</v>
      </c>
    </row>
    <row r="3942" spans="1:14" x14ac:dyDescent="0.25">
      <c r="A3942" s="17"/>
      <c r="B3942" s="17"/>
      <c r="C3942" s="15" t="s">
        <v>2942</v>
      </c>
      <c r="D3942" s="14"/>
      <c r="E3942" s="14" t="s">
        <v>2841</v>
      </c>
      <c r="F3942" s="17" t="s">
        <v>2993</v>
      </c>
      <c r="G3942" s="14">
        <v>15972</v>
      </c>
      <c r="H3942" s="14">
        <v>13983.486000000001</v>
      </c>
      <c r="I3942" s="31">
        <f>IF(COUNTIFS(Addendum!C:C,A3942,Addendum!D:D,IF(ISNUMBER(B3942),TEXT(B3942,"0000"),B3942),Addendum!E:E,"X")&gt;0,4%,0)</f>
        <v>0</v>
      </c>
      <c r="J3942" s="31">
        <f>IF(COUNTIFS(Addendum!C:C,A3942,Addendum!D:D,IF(ISNUMBER(B3942),TEXT(B3942,"0000"),B3942),Addendum!F:F,"X")&gt;0,2.5%,0)</f>
        <v>0</v>
      </c>
      <c r="K3942" s="31">
        <f>IF(COUNTIFS(Addendum!C:C,A3942,Addendum!D:D,IF(ISNUMBER(B3942),TEXT(B3942,"0000"),B3942),Addendum!G:G,"X")&gt;0,7%,0)</f>
        <v>0</v>
      </c>
      <c r="L3942" s="31">
        <f>IF(COUNTIFS(Addendum!C:C,A3942,Addendum!D:D,IF(ISNUMBER(B3942),TEXT(B3942,"0000"),B3942),Addendum!I:I,"X")&gt;0,10%,0)</f>
        <v>0</v>
      </c>
      <c r="M3942" s="34">
        <f t="shared" si="122"/>
        <v>0</v>
      </c>
      <c r="N3942" s="17">
        <f t="shared" si="123"/>
        <v>13983.486000000001</v>
      </c>
    </row>
    <row r="3943" spans="1:14" x14ac:dyDescent="0.25">
      <c r="A3943" s="17"/>
      <c r="B3943" s="17"/>
      <c r="C3943" s="15" t="s">
        <v>2943</v>
      </c>
      <c r="D3943" s="14"/>
      <c r="E3943" s="14" t="s">
        <v>2841</v>
      </c>
      <c r="F3943" s="17" t="s">
        <v>2993</v>
      </c>
      <c r="G3943" s="14">
        <v>25063</v>
      </c>
      <c r="H3943" s="14">
        <v>21942.656500000001</v>
      </c>
      <c r="I3943" s="31">
        <f>IF(COUNTIFS(Addendum!C:C,A3943,Addendum!D:D,IF(ISNUMBER(B3943),TEXT(B3943,"0000"),B3943),Addendum!E:E,"X")&gt;0,4%,0)</f>
        <v>0</v>
      </c>
      <c r="J3943" s="31">
        <f>IF(COUNTIFS(Addendum!C:C,A3943,Addendum!D:D,IF(ISNUMBER(B3943),TEXT(B3943,"0000"),B3943),Addendum!F:F,"X")&gt;0,2.5%,0)</f>
        <v>0</v>
      </c>
      <c r="K3943" s="31">
        <f>IF(COUNTIFS(Addendum!C:C,A3943,Addendum!D:D,IF(ISNUMBER(B3943),TEXT(B3943,"0000"),B3943),Addendum!G:G,"X")&gt;0,7%,0)</f>
        <v>0</v>
      </c>
      <c r="L3943" s="31">
        <f>IF(COUNTIFS(Addendum!C:C,A3943,Addendum!D:D,IF(ISNUMBER(B3943),TEXT(B3943,"0000"),B3943),Addendum!I:I,"X")&gt;0,10%,0)</f>
        <v>0</v>
      </c>
      <c r="M3943" s="34">
        <f t="shared" si="122"/>
        <v>0</v>
      </c>
      <c r="N3943" s="17">
        <f t="shared" si="123"/>
        <v>21942.656500000001</v>
      </c>
    </row>
    <row r="3944" spans="1:14" x14ac:dyDescent="0.25">
      <c r="A3944" s="17"/>
      <c r="B3944" s="17"/>
      <c r="C3944" s="15" t="s">
        <v>2944</v>
      </c>
      <c r="D3944" s="14"/>
      <c r="E3944" s="14" t="s">
        <v>2841</v>
      </c>
      <c r="F3944" s="17" t="s">
        <v>2993</v>
      </c>
      <c r="G3944" s="14">
        <v>4163</v>
      </c>
      <c r="H3944" s="14">
        <v>3644.7065000000002</v>
      </c>
      <c r="I3944" s="31">
        <f>IF(COUNTIFS(Addendum!C:C,A3944,Addendum!D:D,IF(ISNUMBER(B3944),TEXT(B3944,"0000"),B3944),Addendum!E:E,"X")&gt;0,4%,0)</f>
        <v>0</v>
      </c>
      <c r="J3944" s="31">
        <f>IF(COUNTIFS(Addendum!C:C,A3944,Addendum!D:D,IF(ISNUMBER(B3944),TEXT(B3944,"0000"),B3944),Addendum!F:F,"X")&gt;0,2.5%,0)</f>
        <v>0</v>
      </c>
      <c r="K3944" s="31">
        <f>IF(COUNTIFS(Addendum!C:C,A3944,Addendum!D:D,IF(ISNUMBER(B3944),TEXT(B3944,"0000"),B3944),Addendum!G:G,"X")&gt;0,7%,0)</f>
        <v>0</v>
      </c>
      <c r="L3944" s="31">
        <f>IF(COUNTIFS(Addendum!C:C,A3944,Addendum!D:D,IF(ISNUMBER(B3944),TEXT(B3944,"0000"),B3944),Addendum!I:I,"X")&gt;0,10%,0)</f>
        <v>0</v>
      </c>
      <c r="M3944" s="34">
        <f t="shared" si="122"/>
        <v>0</v>
      </c>
      <c r="N3944" s="17">
        <f t="shared" si="123"/>
        <v>3644.7065000000002</v>
      </c>
    </row>
    <row r="3945" spans="1:14" x14ac:dyDescent="0.25">
      <c r="A3945" s="17"/>
      <c r="B3945" s="17"/>
      <c r="C3945" s="15" t="s">
        <v>2945</v>
      </c>
      <c r="D3945" s="14"/>
      <c r="E3945" s="14" t="s">
        <v>2841</v>
      </c>
      <c r="F3945" s="17" t="s">
        <v>2995</v>
      </c>
      <c r="G3945" s="14">
        <v>4226</v>
      </c>
      <c r="H3945" s="14">
        <v>3699.8629999999998</v>
      </c>
      <c r="I3945" s="31">
        <f>IF(COUNTIFS(Addendum!C:C,A3945,Addendum!D:D,IF(ISNUMBER(B3945),TEXT(B3945,"0000"),B3945),Addendum!E:E,"X")&gt;0,4%,0)</f>
        <v>0</v>
      </c>
      <c r="J3945" s="31">
        <f>IF(COUNTIFS(Addendum!C:C,A3945,Addendum!D:D,IF(ISNUMBER(B3945),TEXT(B3945,"0000"),B3945),Addendum!F:F,"X")&gt;0,2.5%,0)</f>
        <v>0</v>
      </c>
      <c r="K3945" s="31">
        <f>IF(COUNTIFS(Addendum!C:C,A3945,Addendum!D:D,IF(ISNUMBER(B3945),TEXT(B3945,"0000"),B3945),Addendum!G:G,"X")&gt;0,7%,0)</f>
        <v>0</v>
      </c>
      <c r="L3945" s="31">
        <f>IF(COUNTIFS(Addendum!C:C,A3945,Addendum!D:D,IF(ISNUMBER(B3945),TEXT(B3945,"0000"),B3945),Addendum!I:I,"X")&gt;0,10%,0)</f>
        <v>0</v>
      </c>
      <c r="M3945" s="34">
        <f t="shared" si="122"/>
        <v>0</v>
      </c>
      <c r="N3945" s="17">
        <f t="shared" si="123"/>
        <v>3699.8629999999998</v>
      </c>
    </row>
    <row r="3946" spans="1:14" x14ac:dyDescent="0.25">
      <c r="A3946" s="17"/>
      <c r="B3946" s="17"/>
      <c r="C3946" s="15" t="s">
        <v>2946</v>
      </c>
      <c r="D3946" s="14"/>
      <c r="E3946" s="14" t="s">
        <v>2841</v>
      </c>
      <c r="F3946" s="17" t="s">
        <v>2993</v>
      </c>
      <c r="G3946" s="14">
        <v>15887</v>
      </c>
      <c r="H3946" s="14">
        <v>13909.068500000001</v>
      </c>
      <c r="I3946" s="31">
        <f>IF(COUNTIFS(Addendum!C:C,A3946,Addendum!D:D,IF(ISNUMBER(B3946),TEXT(B3946,"0000"),B3946),Addendum!E:E,"X")&gt;0,4%,0)</f>
        <v>0</v>
      </c>
      <c r="J3946" s="31">
        <f>IF(COUNTIFS(Addendum!C:C,A3946,Addendum!D:D,IF(ISNUMBER(B3946),TEXT(B3946,"0000"),B3946),Addendum!F:F,"X")&gt;0,2.5%,0)</f>
        <v>0</v>
      </c>
      <c r="K3946" s="31">
        <f>IF(COUNTIFS(Addendum!C:C,A3946,Addendum!D:D,IF(ISNUMBER(B3946),TEXT(B3946,"0000"),B3946),Addendum!G:G,"X")&gt;0,7%,0)</f>
        <v>0</v>
      </c>
      <c r="L3946" s="31">
        <f>IF(COUNTIFS(Addendum!C:C,A3946,Addendum!D:D,IF(ISNUMBER(B3946),TEXT(B3946,"0000"),B3946),Addendum!I:I,"X")&gt;0,10%,0)</f>
        <v>0</v>
      </c>
      <c r="M3946" s="34">
        <f t="shared" si="122"/>
        <v>0</v>
      </c>
      <c r="N3946" s="17">
        <f t="shared" si="123"/>
        <v>13909.068500000001</v>
      </c>
    </row>
    <row r="3947" spans="1:14" x14ac:dyDescent="0.25">
      <c r="A3947" s="17"/>
      <c r="B3947" s="17"/>
      <c r="C3947" s="15" t="s">
        <v>2946</v>
      </c>
      <c r="D3947" s="14"/>
      <c r="E3947" s="14" t="s">
        <v>2841</v>
      </c>
      <c r="F3947" s="17" t="s">
        <v>2994</v>
      </c>
      <c r="G3947" s="14">
        <v>5560</v>
      </c>
      <c r="H3947" s="14">
        <v>4867.78</v>
      </c>
      <c r="I3947" s="31">
        <f>IF(COUNTIFS(Addendum!C:C,A3947,Addendum!D:D,IF(ISNUMBER(B3947),TEXT(B3947,"0000"),B3947),Addendum!E:E,"X")&gt;0,4%,0)</f>
        <v>0</v>
      </c>
      <c r="J3947" s="31">
        <f>IF(COUNTIFS(Addendum!C:C,A3947,Addendum!D:D,IF(ISNUMBER(B3947),TEXT(B3947,"0000"),B3947),Addendum!F:F,"X")&gt;0,2.5%,0)</f>
        <v>0</v>
      </c>
      <c r="K3947" s="31">
        <f>IF(COUNTIFS(Addendum!C:C,A3947,Addendum!D:D,IF(ISNUMBER(B3947),TEXT(B3947,"0000"),B3947),Addendum!G:G,"X")&gt;0,7%,0)</f>
        <v>0</v>
      </c>
      <c r="L3947" s="31">
        <f>IF(COUNTIFS(Addendum!C:C,A3947,Addendum!D:D,IF(ISNUMBER(B3947),TEXT(B3947,"0000"),B3947),Addendum!I:I,"X")&gt;0,10%,0)</f>
        <v>0</v>
      </c>
      <c r="M3947" s="34">
        <f t="shared" si="122"/>
        <v>0</v>
      </c>
      <c r="N3947" s="17">
        <f t="shared" si="123"/>
        <v>4867.78</v>
      </c>
    </row>
    <row r="3948" spans="1:14" x14ac:dyDescent="0.25">
      <c r="A3948" s="17"/>
      <c r="B3948" s="17"/>
      <c r="C3948" s="15" t="s">
        <v>2947</v>
      </c>
      <c r="D3948" s="14"/>
      <c r="E3948" s="14" t="s">
        <v>2841</v>
      </c>
      <c r="F3948" s="17" t="s">
        <v>2993</v>
      </c>
      <c r="G3948" s="14">
        <v>15887</v>
      </c>
      <c r="H3948" s="14">
        <v>13909.068500000001</v>
      </c>
      <c r="I3948" s="31">
        <f>IF(COUNTIFS(Addendum!C:C,A3948,Addendum!D:D,IF(ISNUMBER(B3948),TEXT(B3948,"0000"),B3948),Addendum!E:E,"X")&gt;0,4%,0)</f>
        <v>0</v>
      </c>
      <c r="J3948" s="31">
        <f>IF(COUNTIFS(Addendum!C:C,A3948,Addendum!D:D,IF(ISNUMBER(B3948),TEXT(B3948,"0000"),B3948),Addendum!F:F,"X")&gt;0,2.5%,0)</f>
        <v>0</v>
      </c>
      <c r="K3948" s="31">
        <f>IF(COUNTIFS(Addendum!C:C,A3948,Addendum!D:D,IF(ISNUMBER(B3948),TEXT(B3948,"0000"),B3948),Addendum!G:G,"X")&gt;0,7%,0)</f>
        <v>0</v>
      </c>
      <c r="L3948" s="31">
        <f>IF(COUNTIFS(Addendum!C:C,A3948,Addendum!D:D,IF(ISNUMBER(B3948),TEXT(B3948,"0000"),B3948),Addendum!I:I,"X")&gt;0,10%,0)</f>
        <v>0</v>
      </c>
      <c r="M3948" s="34">
        <f t="shared" si="122"/>
        <v>0</v>
      </c>
      <c r="N3948" s="17">
        <f t="shared" si="123"/>
        <v>13909.068500000001</v>
      </c>
    </row>
    <row r="3949" spans="1:14" x14ac:dyDescent="0.25">
      <c r="A3949" s="17"/>
      <c r="B3949" s="17"/>
      <c r="C3949" s="15" t="s">
        <v>2947</v>
      </c>
      <c r="D3949" s="14"/>
      <c r="E3949" s="14" t="s">
        <v>2841</v>
      </c>
      <c r="F3949" s="17" t="s">
        <v>2994</v>
      </c>
      <c r="G3949" s="14">
        <v>5560</v>
      </c>
      <c r="H3949" s="14">
        <v>4867.78</v>
      </c>
      <c r="I3949" s="31">
        <f>IF(COUNTIFS(Addendum!C:C,A3949,Addendum!D:D,IF(ISNUMBER(B3949),TEXT(B3949,"0000"),B3949),Addendum!E:E,"X")&gt;0,4%,0)</f>
        <v>0</v>
      </c>
      <c r="J3949" s="31">
        <f>IF(COUNTIFS(Addendum!C:C,A3949,Addendum!D:D,IF(ISNUMBER(B3949),TEXT(B3949,"0000"),B3949),Addendum!F:F,"X")&gt;0,2.5%,0)</f>
        <v>0</v>
      </c>
      <c r="K3949" s="31">
        <f>IF(COUNTIFS(Addendum!C:C,A3949,Addendum!D:D,IF(ISNUMBER(B3949),TEXT(B3949,"0000"),B3949),Addendum!G:G,"X")&gt;0,7%,0)</f>
        <v>0</v>
      </c>
      <c r="L3949" s="31">
        <f>IF(COUNTIFS(Addendum!C:C,A3949,Addendum!D:D,IF(ISNUMBER(B3949),TEXT(B3949,"0000"),B3949),Addendum!I:I,"X")&gt;0,10%,0)</f>
        <v>0</v>
      </c>
      <c r="M3949" s="34">
        <f t="shared" si="122"/>
        <v>0</v>
      </c>
      <c r="N3949" s="17">
        <f t="shared" si="123"/>
        <v>4867.78</v>
      </c>
    </row>
    <row r="3950" spans="1:14" x14ac:dyDescent="0.25">
      <c r="A3950" s="17"/>
      <c r="B3950" s="17"/>
      <c r="C3950" s="15" t="s">
        <v>2948</v>
      </c>
      <c r="D3950" s="14"/>
      <c r="E3950" s="14" t="s">
        <v>2841</v>
      </c>
      <c r="F3950" s="17" t="s">
        <v>2993</v>
      </c>
      <c r="G3950" s="14">
        <v>4163</v>
      </c>
      <c r="H3950" s="14">
        <v>3644.7065000000002</v>
      </c>
      <c r="I3950" s="31">
        <f>IF(COUNTIFS(Addendum!C:C,A3950,Addendum!D:D,IF(ISNUMBER(B3950),TEXT(B3950,"0000"),B3950),Addendum!E:E,"X")&gt;0,4%,0)</f>
        <v>0</v>
      </c>
      <c r="J3950" s="31">
        <f>IF(COUNTIFS(Addendum!C:C,A3950,Addendum!D:D,IF(ISNUMBER(B3950),TEXT(B3950,"0000"),B3950),Addendum!F:F,"X")&gt;0,2.5%,0)</f>
        <v>0</v>
      </c>
      <c r="K3950" s="31">
        <f>IF(COUNTIFS(Addendum!C:C,A3950,Addendum!D:D,IF(ISNUMBER(B3950),TEXT(B3950,"0000"),B3950),Addendum!G:G,"X")&gt;0,7%,0)</f>
        <v>0</v>
      </c>
      <c r="L3950" s="31">
        <f>IF(COUNTIFS(Addendum!C:C,A3950,Addendum!D:D,IF(ISNUMBER(B3950),TEXT(B3950,"0000"),B3950),Addendum!I:I,"X")&gt;0,10%,0)</f>
        <v>0</v>
      </c>
      <c r="M3950" s="34">
        <f t="shared" si="122"/>
        <v>0</v>
      </c>
      <c r="N3950" s="17">
        <f t="shared" si="123"/>
        <v>3644.7065000000002</v>
      </c>
    </row>
    <row r="3951" spans="1:14" x14ac:dyDescent="0.25">
      <c r="A3951" s="17"/>
      <c r="B3951" s="17"/>
      <c r="C3951" s="15" t="s">
        <v>2949</v>
      </c>
      <c r="D3951" s="14"/>
      <c r="E3951" s="14" t="s">
        <v>2841</v>
      </c>
      <c r="F3951" s="17" t="s">
        <v>2995</v>
      </c>
      <c r="G3951" s="14">
        <v>4226</v>
      </c>
      <c r="H3951" s="14">
        <v>3699.8629999999998</v>
      </c>
      <c r="I3951" s="31">
        <f>IF(COUNTIFS(Addendum!C:C,A3951,Addendum!D:D,IF(ISNUMBER(B3951),TEXT(B3951,"0000"),B3951),Addendum!E:E,"X")&gt;0,4%,0)</f>
        <v>0</v>
      </c>
      <c r="J3951" s="31">
        <f>IF(COUNTIFS(Addendum!C:C,A3951,Addendum!D:D,IF(ISNUMBER(B3951),TEXT(B3951,"0000"),B3951),Addendum!F:F,"X")&gt;0,2.5%,0)</f>
        <v>0</v>
      </c>
      <c r="K3951" s="31">
        <f>IF(COUNTIFS(Addendum!C:C,A3951,Addendum!D:D,IF(ISNUMBER(B3951),TEXT(B3951,"0000"),B3951),Addendum!G:G,"X")&gt;0,7%,0)</f>
        <v>0</v>
      </c>
      <c r="L3951" s="31">
        <f>IF(COUNTIFS(Addendum!C:C,A3951,Addendum!D:D,IF(ISNUMBER(B3951),TEXT(B3951,"0000"),B3951),Addendum!I:I,"X")&gt;0,10%,0)</f>
        <v>0</v>
      </c>
      <c r="M3951" s="34">
        <f t="shared" si="122"/>
        <v>0</v>
      </c>
      <c r="N3951" s="17">
        <f t="shared" si="123"/>
        <v>3699.8629999999998</v>
      </c>
    </row>
    <row r="3952" spans="1:14" x14ac:dyDescent="0.25">
      <c r="A3952" s="17"/>
      <c r="B3952" s="17"/>
      <c r="C3952" s="15" t="s">
        <v>2950</v>
      </c>
      <c r="D3952" s="14"/>
      <c r="E3952" s="14" t="s">
        <v>2841</v>
      </c>
      <c r="F3952" s="17" t="s">
        <v>2993</v>
      </c>
      <c r="G3952" s="14">
        <v>1484146</v>
      </c>
      <c r="H3952" s="14">
        <v>1299369.72</v>
      </c>
      <c r="I3952" s="31">
        <f>IF(COUNTIFS(Addendum!C:C,A3952,Addendum!D:D,IF(ISNUMBER(B3952),TEXT(B3952,"0000"),B3952),Addendum!E:E,"X")&gt;0,4%,0)</f>
        <v>0</v>
      </c>
      <c r="J3952" s="31">
        <f>IF(COUNTIFS(Addendum!C:C,A3952,Addendum!D:D,IF(ISNUMBER(B3952),TEXT(B3952,"0000"),B3952),Addendum!F:F,"X")&gt;0,2.5%,0)</f>
        <v>0</v>
      </c>
      <c r="K3952" s="31">
        <f>IF(COUNTIFS(Addendum!C:C,A3952,Addendum!D:D,IF(ISNUMBER(B3952),TEXT(B3952,"0000"),B3952),Addendum!G:G,"X")&gt;0,7%,0)</f>
        <v>0</v>
      </c>
      <c r="L3952" s="31">
        <f>IF(COUNTIFS(Addendum!C:C,A3952,Addendum!D:D,IF(ISNUMBER(B3952),TEXT(B3952,"0000"),B3952),Addendum!I:I,"X")&gt;0,10%,0)</f>
        <v>0</v>
      </c>
      <c r="M3952" s="34">
        <f t="shared" si="122"/>
        <v>0</v>
      </c>
      <c r="N3952" s="17">
        <f t="shared" si="123"/>
        <v>1299369.72</v>
      </c>
    </row>
    <row r="3953" spans="1:14" x14ac:dyDescent="0.25">
      <c r="A3953" s="17"/>
      <c r="B3953" s="17"/>
      <c r="C3953" s="15" t="s">
        <v>2950</v>
      </c>
      <c r="D3953" s="14"/>
      <c r="E3953" s="14" t="s">
        <v>2841</v>
      </c>
      <c r="F3953" s="17" t="s">
        <v>2994</v>
      </c>
      <c r="G3953" s="14">
        <v>371036</v>
      </c>
      <c r="H3953" s="14">
        <v>324842.01799999998</v>
      </c>
      <c r="I3953" s="31">
        <f>IF(COUNTIFS(Addendum!C:C,A3953,Addendum!D:D,IF(ISNUMBER(B3953),TEXT(B3953,"0000"),B3953),Addendum!E:E,"X")&gt;0,4%,0)</f>
        <v>0</v>
      </c>
      <c r="J3953" s="31">
        <f>IF(COUNTIFS(Addendum!C:C,A3953,Addendum!D:D,IF(ISNUMBER(B3953),TEXT(B3953,"0000"),B3953),Addendum!F:F,"X")&gt;0,2.5%,0)</f>
        <v>0</v>
      </c>
      <c r="K3953" s="31">
        <f>IF(COUNTIFS(Addendum!C:C,A3953,Addendum!D:D,IF(ISNUMBER(B3953),TEXT(B3953,"0000"),B3953),Addendum!G:G,"X")&gt;0,7%,0)</f>
        <v>0</v>
      </c>
      <c r="L3953" s="31">
        <f>IF(COUNTIFS(Addendum!C:C,A3953,Addendum!D:D,IF(ISNUMBER(B3953),TEXT(B3953,"0000"),B3953),Addendum!I:I,"X")&gt;0,10%,0)</f>
        <v>0</v>
      </c>
      <c r="M3953" s="34">
        <f t="shared" si="122"/>
        <v>0</v>
      </c>
      <c r="N3953" s="17">
        <f t="shared" si="123"/>
        <v>324842.01799999998</v>
      </c>
    </row>
    <row r="3954" spans="1:14" x14ac:dyDescent="0.25">
      <c r="A3954" s="17"/>
      <c r="B3954" s="17"/>
      <c r="C3954" s="15" t="s">
        <v>2950</v>
      </c>
      <c r="D3954" s="14"/>
      <c r="E3954" s="14" t="s">
        <v>2841</v>
      </c>
      <c r="F3954" s="17" t="s">
        <v>2995</v>
      </c>
      <c r="G3954" s="14">
        <v>371036</v>
      </c>
      <c r="H3954" s="14">
        <v>324842.01799999998</v>
      </c>
      <c r="I3954" s="31">
        <f>IF(COUNTIFS(Addendum!C:C,A3954,Addendum!D:D,IF(ISNUMBER(B3954),TEXT(B3954,"0000"),B3954),Addendum!E:E,"X")&gt;0,4%,0)</f>
        <v>0</v>
      </c>
      <c r="J3954" s="31">
        <f>IF(COUNTIFS(Addendum!C:C,A3954,Addendum!D:D,IF(ISNUMBER(B3954),TEXT(B3954,"0000"),B3954),Addendum!F:F,"X")&gt;0,2.5%,0)</f>
        <v>0</v>
      </c>
      <c r="K3954" s="31">
        <f>IF(COUNTIFS(Addendum!C:C,A3954,Addendum!D:D,IF(ISNUMBER(B3954),TEXT(B3954,"0000"),B3954),Addendum!G:G,"X")&gt;0,7%,0)</f>
        <v>0</v>
      </c>
      <c r="L3954" s="31">
        <f>IF(COUNTIFS(Addendum!C:C,A3954,Addendum!D:D,IF(ISNUMBER(B3954),TEXT(B3954,"0000"),B3954),Addendum!I:I,"X")&gt;0,10%,0)</f>
        <v>0</v>
      </c>
      <c r="M3954" s="34">
        <f t="shared" si="122"/>
        <v>0</v>
      </c>
      <c r="N3954" s="17">
        <f t="shared" si="123"/>
        <v>324842.01799999998</v>
      </c>
    </row>
    <row r="3955" spans="1:14" x14ac:dyDescent="0.25">
      <c r="A3955" s="17"/>
      <c r="B3955" s="17"/>
      <c r="C3955" s="15" t="s">
        <v>2951</v>
      </c>
      <c r="D3955" s="14"/>
      <c r="E3955" s="14" t="s">
        <v>2841</v>
      </c>
      <c r="F3955" s="17" t="s">
        <v>2993</v>
      </c>
      <c r="G3955" s="14">
        <v>4205</v>
      </c>
      <c r="H3955" s="14">
        <v>3681.4775</v>
      </c>
      <c r="I3955" s="31">
        <f>IF(COUNTIFS(Addendum!C:C,A3955,Addendum!D:D,IF(ISNUMBER(B3955),TEXT(B3955,"0000"),B3955),Addendum!E:E,"X")&gt;0,4%,0)</f>
        <v>0</v>
      </c>
      <c r="J3955" s="31">
        <f>IF(COUNTIFS(Addendum!C:C,A3955,Addendum!D:D,IF(ISNUMBER(B3955),TEXT(B3955,"0000"),B3955),Addendum!F:F,"X")&gt;0,2.5%,0)</f>
        <v>0</v>
      </c>
      <c r="K3955" s="31">
        <f>IF(COUNTIFS(Addendum!C:C,A3955,Addendum!D:D,IF(ISNUMBER(B3955),TEXT(B3955,"0000"),B3955),Addendum!G:G,"X")&gt;0,7%,0)</f>
        <v>0</v>
      </c>
      <c r="L3955" s="31">
        <f>IF(COUNTIFS(Addendum!C:C,A3955,Addendum!D:D,IF(ISNUMBER(B3955),TEXT(B3955,"0000"),B3955),Addendum!I:I,"X")&gt;0,10%,0)</f>
        <v>0</v>
      </c>
      <c r="M3955" s="34">
        <f t="shared" si="122"/>
        <v>0</v>
      </c>
      <c r="N3955" s="17">
        <f t="shared" si="123"/>
        <v>3681.4775</v>
      </c>
    </row>
    <row r="3956" spans="1:14" x14ac:dyDescent="0.25">
      <c r="A3956" s="17"/>
      <c r="B3956" s="17"/>
      <c r="C3956" s="15" t="s">
        <v>2952</v>
      </c>
      <c r="D3956" s="14"/>
      <c r="E3956" s="14" t="s">
        <v>2841</v>
      </c>
      <c r="F3956" s="17" t="s">
        <v>2995</v>
      </c>
      <c r="G3956" s="14">
        <v>2168</v>
      </c>
      <c r="H3956" s="14">
        <v>1898.0840000000001</v>
      </c>
      <c r="I3956" s="31">
        <f>IF(COUNTIFS(Addendum!C:C,A3956,Addendum!D:D,IF(ISNUMBER(B3956),TEXT(B3956,"0000"),B3956),Addendum!E:E,"X")&gt;0,4%,0)</f>
        <v>0</v>
      </c>
      <c r="J3956" s="31">
        <f>IF(COUNTIFS(Addendum!C:C,A3956,Addendum!D:D,IF(ISNUMBER(B3956),TEXT(B3956,"0000"),B3956),Addendum!F:F,"X")&gt;0,2.5%,0)</f>
        <v>0</v>
      </c>
      <c r="K3956" s="31">
        <f>IF(COUNTIFS(Addendum!C:C,A3956,Addendum!D:D,IF(ISNUMBER(B3956),TEXT(B3956,"0000"),B3956),Addendum!G:G,"X")&gt;0,7%,0)</f>
        <v>0</v>
      </c>
      <c r="L3956" s="31">
        <f>IF(COUNTIFS(Addendum!C:C,A3956,Addendum!D:D,IF(ISNUMBER(B3956),TEXT(B3956,"0000"),B3956),Addendum!I:I,"X")&gt;0,10%,0)</f>
        <v>0</v>
      </c>
      <c r="M3956" s="34">
        <f t="shared" si="122"/>
        <v>0</v>
      </c>
      <c r="N3956" s="17">
        <f t="shared" si="123"/>
        <v>1898.0840000000001</v>
      </c>
    </row>
    <row r="3957" spans="1:14" x14ac:dyDescent="0.25">
      <c r="A3957" s="17"/>
      <c r="B3957" s="17"/>
      <c r="C3957" s="15" t="s">
        <v>2953</v>
      </c>
      <c r="D3957" s="14" t="s">
        <v>1745</v>
      </c>
      <c r="E3957" s="14" t="s">
        <v>1747</v>
      </c>
      <c r="F3957" s="17" t="s">
        <v>2993</v>
      </c>
      <c r="G3957" s="14">
        <v>1775</v>
      </c>
      <c r="H3957" s="14">
        <v>1554.0125</v>
      </c>
      <c r="I3957" s="31">
        <f>IF(COUNTIFS(Addendum!C:C,A3957,Addendum!D:D,IF(ISNUMBER(B3957),TEXT(B3957,"0000"),B3957),Addendum!E:E,"X")&gt;0,4%,0)</f>
        <v>0</v>
      </c>
      <c r="J3957" s="31">
        <f>IF(COUNTIFS(Addendum!C:C,A3957,Addendum!D:D,IF(ISNUMBER(B3957),TEXT(B3957,"0000"),B3957),Addendum!F:F,"X")&gt;0,2.5%,0)</f>
        <v>0</v>
      </c>
      <c r="K3957" s="31">
        <f>IF(COUNTIFS(Addendum!C:C,A3957,Addendum!D:D,IF(ISNUMBER(B3957),TEXT(B3957,"0000"),B3957),Addendum!G:G,"X")&gt;0,7%,0)</f>
        <v>0</v>
      </c>
      <c r="L3957" s="31">
        <f>IF(COUNTIFS(Addendum!C:C,A3957,Addendum!D:D,IF(ISNUMBER(B3957),TEXT(B3957,"0000"),B3957),Addendum!I:I,"X")&gt;0,10%,0)</f>
        <v>0</v>
      </c>
      <c r="M3957" s="34">
        <f t="shared" si="122"/>
        <v>0</v>
      </c>
      <c r="N3957" s="17">
        <f t="shared" si="123"/>
        <v>1554.0125</v>
      </c>
    </row>
    <row r="3958" spans="1:14" x14ac:dyDescent="0.25">
      <c r="A3958" s="17"/>
      <c r="B3958" s="17"/>
      <c r="C3958" s="15" t="s">
        <v>2953</v>
      </c>
      <c r="D3958" s="14" t="s">
        <v>1745</v>
      </c>
      <c r="E3958" s="14" t="s">
        <v>1746</v>
      </c>
      <c r="F3958" s="17" t="s">
        <v>2993</v>
      </c>
      <c r="G3958" s="14">
        <v>1775.04</v>
      </c>
      <c r="H3958" s="14">
        <v>1554.0228</v>
      </c>
      <c r="I3958" s="31">
        <f>IF(COUNTIFS(Addendum!C:C,A3958,Addendum!D:D,IF(ISNUMBER(B3958),TEXT(B3958,"0000"),B3958),Addendum!E:E,"X")&gt;0,4%,0)</f>
        <v>0</v>
      </c>
      <c r="J3958" s="31">
        <f>IF(COUNTIFS(Addendum!C:C,A3958,Addendum!D:D,IF(ISNUMBER(B3958),TEXT(B3958,"0000"),B3958),Addendum!F:F,"X")&gt;0,2.5%,0)</f>
        <v>0</v>
      </c>
      <c r="K3958" s="31">
        <f>IF(COUNTIFS(Addendum!C:C,A3958,Addendum!D:D,IF(ISNUMBER(B3958),TEXT(B3958,"0000"),B3958),Addendum!G:G,"X")&gt;0,7%,0)</f>
        <v>0</v>
      </c>
      <c r="L3958" s="31">
        <f>IF(COUNTIFS(Addendum!C:C,A3958,Addendum!D:D,IF(ISNUMBER(B3958),TEXT(B3958,"0000"),B3958),Addendum!I:I,"X")&gt;0,10%,0)</f>
        <v>0</v>
      </c>
      <c r="M3958" s="34">
        <f t="shared" si="122"/>
        <v>0</v>
      </c>
      <c r="N3958" s="17">
        <f t="shared" si="123"/>
        <v>1554.0228</v>
      </c>
    </row>
    <row r="3959" spans="1:14" x14ac:dyDescent="0.25">
      <c r="A3959" s="17"/>
      <c r="B3959" s="17"/>
      <c r="C3959" s="15" t="s">
        <v>2954</v>
      </c>
      <c r="D3959" s="14" t="s">
        <v>1752</v>
      </c>
      <c r="E3959" s="14" t="s">
        <v>1753</v>
      </c>
      <c r="F3959" s="17" t="s">
        <v>2993</v>
      </c>
      <c r="G3959" s="14">
        <v>6448</v>
      </c>
      <c r="H3959" s="14">
        <v>5645.2240000000002</v>
      </c>
      <c r="I3959" s="31">
        <f>IF(COUNTIFS(Addendum!C:C,A3959,Addendum!D:D,IF(ISNUMBER(B3959),TEXT(B3959,"0000"),B3959),Addendum!E:E,"X")&gt;0,4%,0)</f>
        <v>0</v>
      </c>
      <c r="J3959" s="31">
        <f>IF(COUNTIFS(Addendum!C:C,A3959,Addendum!D:D,IF(ISNUMBER(B3959),TEXT(B3959,"0000"),B3959),Addendum!F:F,"X")&gt;0,2.5%,0)</f>
        <v>0</v>
      </c>
      <c r="K3959" s="31">
        <f>IF(COUNTIFS(Addendum!C:C,A3959,Addendum!D:D,IF(ISNUMBER(B3959),TEXT(B3959,"0000"),B3959),Addendum!G:G,"X")&gt;0,7%,0)</f>
        <v>0</v>
      </c>
      <c r="L3959" s="31">
        <f>IF(COUNTIFS(Addendum!C:C,A3959,Addendum!D:D,IF(ISNUMBER(B3959),TEXT(B3959,"0000"),B3959),Addendum!I:I,"X")&gt;0,10%,0)</f>
        <v>0</v>
      </c>
      <c r="M3959" s="34">
        <f t="shared" si="122"/>
        <v>0</v>
      </c>
      <c r="N3959" s="17">
        <f t="shared" si="123"/>
        <v>5645.2240000000002</v>
      </c>
    </row>
    <row r="3960" spans="1:14" x14ac:dyDescent="0.25">
      <c r="A3960" s="17"/>
      <c r="B3960" s="17"/>
      <c r="C3960" s="15" t="s">
        <v>2955</v>
      </c>
      <c r="D3960" s="14" t="s">
        <v>1745</v>
      </c>
      <c r="E3960" s="14" t="s">
        <v>1746</v>
      </c>
      <c r="F3960" s="17" t="s">
        <v>2993</v>
      </c>
      <c r="G3960" s="14">
        <v>2148.96</v>
      </c>
      <c r="H3960" s="14">
        <v>1881.4392</v>
      </c>
      <c r="I3960" s="31">
        <f>IF(COUNTIFS(Addendum!C:C,A3960,Addendum!D:D,IF(ISNUMBER(B3960),TEXT(B3960,"0000"),B3960),Addendum!E:E,"X")&gt;0,4%,0)</f>
        <v>0</v>
      </c>
      <c r="J3960" s="31">
        <f>IF(COUNTIFS(Addendum!C:C,A3960,Addendum!D:D,IF(ISNUMBER(B3960),TEXT(B3960,"0000"),B3960),Addendum!F:F,"X")&gt;0,2.5%,0)</f>
        <v>0</v>
      </c>
      <c r="K3960" s="31">
        <f>IF(COUNTIFS(Addendum!C:C,A3960,Addendum!D:D,IF(ISNUMBER(B3960),TEXT(B3960,"0000"),B3960),Addendum!G:G,"X")&gt;0,7%,0)</f>
        <v>0</v>
      </c>
      <c r="L3960" s="31">
        <f>IF(COUNTIFS(Addendum!C:C,A3960,Addendum!D:D,IF(ISNUMBER(B3960),TEXT(B3960,"0000"),B3960),Addendum!I:I,"X")&gt;0,10%,0)</f>
        <v>0</v>
      </c>
      <c r="M3960" s="34">
        <f t="shared" si="122"/>
        <v>0</v>
      </c>
      <c r="N3960" s="17">
        <f t="shared" si="123"/>
        <v>1881.4392</v>
      </c>
    </row>
    <row r="3961" spans="1:14" x14ac:dyDescent="0.25">
      <c r="A3961" s="17"/>
      <c r="B3961" s="17"/>
      <c r="C3961" s="15" t="s">
        <v>2952</v>
      </c>
      <c r="D3961" s="14"/>
      <c r="E3961" s="14" t="s">
        <v>2841</v>
      </c>
      <c r="F3961" s="17" t="s">
        <v>2993</v>
      </c>
      <c r="G3961" s="14">
        <v>5420</v>
      </c>
      <c r="H3961" s="14">
        <v>4745.21</v>
      </c>
      <c r="I3961" s="31">
        <f>IF(COUNTIFS(Addendum!C:C,A3961,Addendum!D:D,IF(ISNUMBER(B3961),TEXT(B3961,"0000"),B3961),Addendum!E:E,"X")&gt;0,4%,0)</f>
        <v>0</v>
      </c>
      <c r="J3961" s="31">
        <f>IF(COUNTIFS(Addendum!C:C,A3961,Addendum!D:D,IF(ISNUMBER(B3961),TEXT(B3961,"0000"),B3961),Addendum!F:F,"X")&gt;0,2.5%,0)</f>
        <v>0</v>
      </c>
      <c r="K3961" s="31">
        <f>IF(COUNTIFS(Addendum!C:C,A3961,Addendum!D:D,IF(ISNUMBER(B3961),TEXT(B3961,"0000"),B3961),Addendum!G:G,"X")&gt;0,7%,0)</f>
        <v>0</v>
      </c>
      <c r="L3961" s="31">
        <f>IF(COUNTIFS(Addendum!C:C,A3961,Addendum!D:D,IF(ISNUMBER(B3961),TEXT(B3961,"0000"),B3961),Addendum!I:I,"X")&gt;0,10%,0)</f>
        <v>0</v>
      </c>
      <c r="M3961" s="34">
        <f t="shared" si="122"/>
        <v>0</v>
      </c>
      <c r="N3961" s="17">
        <f t="shared" si="123"/>
        <v>4745.21</v>
      </c>
    </row>
    <row r="3962" spans="1:14" x14ac:dyDescent="0.25">
      <c r="A3962" s="17"/>
      <c r="B3962" s="17"/>
      <c r="C3962" s="15" t="s">
        <v>2951</v>
      </c>
      <c r="D3962" s="14"/>
      <c r="E3962" s="14" t="s">
        <v>2841</v>
      </c>
      <c r="F3962" s="17" t="s">
        <v>2994</v>
      </c>
      <c r="G3962" s="14">
        <v>1051</v>
      </c>
      <c r="H3962" s="14">
        <v>920.15049999999997</v>
      </c>
      <c r="I3962" s="31">
        <f>IF(COUNTIFS(Addendum!C:C,A3962,Addendum!D:D,IF(ISNUMBER(B3962),TEXT(B3962,"0000"),B3962),Addendum!E:E,"X")&gt;0,4%,0)</f>
        <v>0</v>
      </c>
      <c r="J3962" s="31">
        <f>IF(COUNTIFS(Addendum!C:C,A3962,Addendum!D:D,IF(ISNUMBER(B3962),TEXT(B3962,"0000"),B3962),Addendum!F:F,"X")&gt;0,2.5%,0)</f>
        <v>0</v>
      </c>
      <c r="K3962" s="31">
        <f>IF(COUNTIFS(Addendum!C:C,A3962,Addendum!D:D,IF(ISNUMBER(B3962),TEXT(B3962,"0000"),B3962),Addendum!G:G,"X")&gt;0,7%,0)</f>
        <v>0</v>
      </c>
      <c r="L3962" s="31">
        <f>IF(COUNTIFS(Addendum!C:C,A3962,Addendum!D:D,IF(ISNUMBER(B3962),TEXT(B3962,"0000"),B3962),Addendum!I:I,"X")&gt;0,10%,0)</f>
        <v>0</v>
      </c>
      <c r="M3962" s="34">
        <f t="shared" si="122"/>
        <v>0</v>
      </c>
      <c r="N3962" s="17">
        <f t="shared" si="123"/>
        <v>920.15049999999997</v>
      </c>
    </row>
    <row r="3963" spans="1:14" x14ac:dyDescent="0.25">
      <c r="A3963" s="17"/>
      <c r="B3963" s="17"/>
      <c r="C3963" s="15" t="s">
        <v>2956</v>
      </c>
      <c r="D3963" s="14" t="s">
        <v>1752</v>
      </c>
      <c r="E3963" s="14" t="s">
        <v>1753</v>
      </c>
      <c r="F3963" s="17" t="s">
        <v>2993</v>
      </c>
      <c r="G3963" s="14">
        <v>5233</v>
      </c>
      <c r="H3963" s="14">
        <v>4581.4915000000001</v>
      </c>
      <c r="I3963" s="31">
        <f>IF(COUNTIFS(Addendum!C:C,A3963,Addendum!D:D,IF(ISNUMBER(B3963),TEXT(B3963,"0000"),B3963),Addendum!E:E,"X")&gt;0,4%,0)</f>
        <v>0</v>
      </c>
      <c r="J3963" s="31">
        <f>IF(COUNTIFS(Addendum!C:C,A3963,Addendum!D:D,IF(ISNUMBER(B3963),TEXT(B3963,"0000"),B3963),Addendum!F:F,"X")&gt;0,2.5%,0)</f>
        <v>0</v>
      </c>
      <c r="K3963" s="31">
        <f>IF(COUNTIFS(Addendum!C:C,A3963,Addendum!D:D,IF(ISNUMBER(B3963),TEXT(B3963,"0000"),B3963),Addendum!G:G,"X")&gt;0,7%,0)</f>
        <v>0</v>
      </c>
      <c r="L3963" s="31">
        <f>IF(COUNTIFS(Addendum!C:C,A3963,Addendum!D:D,IF(ISNUMBER(B3963),TEXT(B3963,"0000"),B3963),Addendum!I:I,"X")&gt;0,10%,0)</f>
        <v>0</v>
      </c>
      <c r="M3963" s="34">
        <f t="shared" si="122"/>
        <v>0</v>
      </c>
      <c r="N3963" s="17">
        <f t="shared" si="123"/>
        <v>4581.4915000000001</v>
      </c>
    </row>
    <row r="3964" spans="1:14" x14ac:dyDescent="0.25">
      <c r="A3964" s="17"/>
      <c r="B3964" s="17"/>
      <c r="C3964" s="15" t="s">
        <v>2956</v>
      </c>
      <c r="D3964" s="14" t="s">
        <v>1752</v>
      </c>
      <c r="E3964" s="14" t="s">
        <v>1747</v>
      </c>
      <c r="F3964" s="17" t="s">
        <v>2993</v>
      </c>
      <c r="G3964" s="14">
        <v>5232.99</v>
      </c>
      <c r="H3964" s="14">
        <v>4581.4812000000002</v>
      </c>
      <c r="I3964" s="31">
        <f>IF(COUNTIFS(Addendum!C:C,A3964,Addendum!D:D,IF(ISNUMBER(B3964),TEXT(B3964,"0000"),B3964),Addendum!E:E,"X")&gt;0,4%,0)</f>
        <v>0</v>
      </c>
      <c r="J3964" s="31">
        <f>IF(COUNTIFS(Addendum!C:C,A3964,Addendum!D:D,IF(ISNUMBER(B3964),TEXT(B3964,"0000"),B3964),Addendum!F:F,"X")&gt;0,2.5%,0)</f>
        <v>0</v>
      </c>
      <c r="K3964" s="31">
        <f>IF(COUNTIFS(Addendum!C:C,A3964,Addendum!D:D,IF(ISNUMBER(B3964),TEXT(B3964,"0000"),B3964),Addendum!G:G,"X")&gt;0,7%,0)</f>
        <v>0</v>
      </c>
      <c r="L3964" s="31">
        <f>IF(COUNTIFS(Addendum!C:C,A3964,Addendum!D:D,IF(ISNUMBER(B3964),TEXT(B3964,"0000"),B3964),Addendum!I:I,"X")&gt;0,10%,0)</f>
        <v>0</v>
      </c>
      <c r="M3964" s="34">
        <f t="shared" si="122"/>
        <v>0</v>
      </c>
      <c r="N3964" s="17">
        <f t="shared" si="123"/>
        <v>4581.4812000000002</v>
      </c>
    </row>
    <row r="3965" spans="1:14" x14ac:dyDescent="0.25">
      <c r="A3965" s="17"/>
      <c r="B3965" s="17"/>
      <c r="C3965" s="15" t="s">
        <v>2951</v>
      </c>
      <c r="D3965" s="14"/>
      <c r="E3965" s="14" t="s">
        <v>2841</v>
      </c>
      <c r="F3965" s="17" t="s">
        <v>2995</v>
      </c>
      <c r="G3965" s="14">
        <v>1682</v>
      </c>
      <c r="H3965" s="14">
        <v>1472.5910000000001</v>
      </c>
      <c r="I3965" s="31">
        <f>IF(COUNTIFS(Addendum!C:C,A3965,Addendum!D:D,IF(ISNUMBER(B3965),TEXT(B3965,"0000"),B3965),Addendum!E:E,"X")&gt;0,4%,0)</f>
        <v>0</v>
      </c>
      <c r="J3965" s="31">
        <f>IF(COUNTIFS(Addendum!C:C,A3965,Addendum!D:D,IF(ISNUMBER(B3965),TEXT(B3965,"0000"),B3965),Addendum!F:F,"X")&gt;0,2.5%,0)</f>
        <v>0</v>
      </c>
      <c r="K3965" s="31">
        <f>IF(COUNTIFS(Addendum!C:C,A3965,Addendum!D:D,IF(ISNUMBER(B3965),TEXT(B3965,"0000"),B3965),Addendum!G:G,"X")&gt;0,7%,0)</f>
        <v>0</v>
      </c>
      <c r="L3965" s="31">
        <f>IF(COUNTIFS(Addendum!C:C,A3965,Addendum!D:D,IF(ISNUMBER(B3965),TEXT(B3965,"0000"),B3965),Addendum!I:I,"X")&gt;0,10%,0)</f>
        <v>0</v>
      </c>
      <c r="M3965" s="34">
        <f t="shared" si="122"/>
        <v>0</v>
      </c>
      <c r="N3965" s="17">
        <f t="shared" si="123"/>
        <v>1472.5910000000001</v>
      </c>
    </row>
    <row r="3966" spans="1:14" x14ac:dyDescent="0.25">
      <c r="A3966" s="17"/>
      <c r="B3966" s="17"/>
      <c r="C3966" s="15" t="s">
        <v>2955</v>
      </c>
      <c r="D3966" s="14" t="s">
        <v>1745</v>
      </c>
      <c r="E3966" s="14" t="s">
        <v>1747</v>
      </c>
      <c r="F3966" s="17" t="s">
        <v>2993</v>
      </c>
      <c r="G3966" s="14">
        <v>2149</v>
      </c>
      <c r="H3966" s="14">
        <v>1881.4495000000002</v>
      </c>
      <c r="I3966" s="31">
        <f>IF(COUNTIFS(Addendum!C:C,A3966,Addendum!D:D,IF(ISNUMBER(B3966),TEXT(B3966,"0000"),B3966),Addendum!E:E,"X")&gt;0,4%,0)</f>
        <v>0</v>
      </c>
      <c r="J3966" s="31">
        <f>IF(COUNTIFS(Addendum!C:C,A3966,Addendum!D:D,IF(ISNUMBER(B3966),TEXT(B3966,"0000"),B3966),Addendum!F:F,"X")&gt;0,2.5%,0)</f>
        <v>0</v>
      </c>
      <c r="K3966" s="31">
        <f>IF(COUNTIFS(Addendum!C:C,A3966,Addendum!D:D,IF(ISNUMBER(B3966),TEXT(B3966,"0000"),B3966),Addendum!G:G,"X")&gt;0,7%,0)</f>
        <v>0</v>
      </c>
      <c r="L3966" s="31">
        <f>IF(COUNTIFS(Addendum!C:C,A3966,Addendum!D:D,IF(ISNUMBER(B3966),TEXT(B3966,"0000"),B3966),Addendum!I:I,"X")&gt;0,10%,0)</f>
        <v>0</v>
      </c>
      <c r="M3966" s="34">
        <f t="shared" si="122"/>
        <v>0</v>
      </c>
      <c r="N3966" s="17">
        <f t="shared" si="123"/>
        <v>1881.4495000000002</v>
      </c>
    </row>
    <row r="3967" spans="1:14" x14ac:dyDescent="0.25">
      <c r="A3967" s="17"/>
      <c r="B3967" s="17"/>
      <c r="C3967" s="15" t="s">
        <v>2952</v>
      </c>
      <c r="D3967" s="14"/>
      <c r="E3967" s="14" t="s">
        <v>2841</v>
      </c>
      <c r="F3967" s="17" t="s">
        <v>2994</v>
      </c>
      <c r="G3967" s="14">
        <v>1355</v>
      </c>
      <c r="H3967" s="14">
        <v>1186.3025</v>
      </c>
      <c r="I3967" s="31">
        <f>IF(COUNTIFS(Addendum!C:C,A3967,Addendum!D:D,IF(ISNUMBER(B3967),TEXT(B3967,"0000"),B3967),Addendum!E:E,"X")&gt;0,4%,0)</f>
        <v>0</v>
      </c>
      <c r="J3967" s="31">
        <f>IF(COUNTIFS(Addendum!C:C,A3967,Addendum!D:D,IF(ISNUMBER(B3967),TEXT(B3967,"0000"),B3967),Addendum!F:F,"X")&gt;0,2.5%,0)</f>
        <v>0</v>
      </c>
      <c r="K3967" s="31">
        <f>IF(COUNTIFS(Addendum!C:C,A3967,Addendum!D:D,IF(ISNUMBER(B3967),TEXT(B3967,"0000"),B3967),Addendum!G:G,"X")&gt;0,7%,0)</f>
        <v>0</v>
      </c>
      <c r="L3967" s="31">
        <f>IF(COUNTIFS(Addendum!C:C,A3967,Addendum!D:D,IF(ISNUMBER(B3967),TEXT(B3967,"0000"),B3967),Addendum!I:I,"X")&gt;0,10%,0)</f>
        <v>0</v>
      </c>
      <c r="M3967" s="34">
        <f t="shared" si="122"/>
        <v>0</v>
      </c>
      <c r="N3967" s="17">
        <f t="shared" si="123"/>
        <v>1186.3025</v>
      </c>
    </row>
    <row r="3968" spans="1:14" x14ac:dyDescent="0.25">
      <c r="A3968" s="17"/>
      <c r="B3968" s="17"/>
      <c r="C3968" s="15" t="s">
        <v>2954</v>
      </c>
      <c r="D3968" s="14" t="s">
        <v>1752</v>
      </c>
      <c r="E3968" s="14" t="s">
        <v>1747</v>
      </c>
      <c r="F3968" s="17" t="s">
        <v>2993</v>
      </c>
      <c r="G3968" s="14">
        <v>6447.99</v>
      </c>
      <c r="H3968" s="14">
        <v>5645.2137000000002</v>
      </c>
      <c r="I3968" s="31">
        <f>IF(COUNTIFS(Addendum!C:C,A3968,Addendum!D:D,IF(ISNUMBER(B3968),TEXT(B3968,"0000"),B3968),Addendum!E:E,"X")&gt;0,4%,0)</f>
        <v>0</v>
      </c>
      <c r="J3968" s="31">
        <f>IF(COUNTIFS(Addendum!C:C,A3968,Addendum!D:D,IF(ISNUMBER(B3968),TEXT(B3968,"0000"),B3968),Addendum!F:F,"X")&gt;0,2.5%,0)</f>
        <v>0</v>
      </c>
      <c r="K3968" s="31">
        <f>IF(COUNTIFS(Addendum!C:C,A3968,Addendum!D:D,IF(ISNUMBER(B3968),TEXT(B3968,"0000"),B3968),Addendum!G:G,"X")&gt;0,7%,0)</f>
        <v>0</v>
      </c>
      <c r="L3968" s="31">
        <f>IF(COUNTIFS(Addendum!C:C,A3968,Addendum!D:D,IF(ISNUMBER(B3968),TEXT(B3968,"0000"),B3968),Addendum!I:I,"X")&gt;0,10%,0)</f>
        <v>0</v>
      </c>
      <c r="M3968" s="34">
        <f t="shared" si="122"/>
        <v>0</v>
      </c>
      <c r="N3968" s="17">
        <f t="shared" si="123"/>
        <v>5645.2137000000002</v>
      </c>
    </row>
    <row r="3969" spans="1:14" x14ac:dyDescent="0.25">
      <c r="A3969" s="17"/>
      <c r="B3969" s="17"/>
      <c r="C3969" s="15" t="s">
        <v>2957</v>
      </c>
      <c r="D3969" s="14"/>
      <c r="E3969" s="14" t="s">
        <v>2841</v>
      </c>
      <c r="F3969" s="17" t="s">
        <v>2993</v>
      </c>
      <c r="G3969" s="14">
        <v>207570</v>
      </c>
      <c r="H3969" s="14">
        <v>181727.535</v>
      </c>
      <c r="I3969" s="31">
        <f>IF(COUNTIFS(Addendum!C:C,A3969,Addendum!D:D,IF(ISNUMBER(B3969),TEXT(B3969,"0000"),B3969),Addendum!E:E,"X")&gt;0,4%,0)</f>
        <v>0</v>
      </c>
      <c r="J3969" s="31">
        <f>IF(COUNTIFS(Addendum!C:C,A3969,Addendum!D:D,IF(ISNUMBER(B3969),TEXT(B3969,"0000"),B3969),Addendum!F:F,"X")&gt;0,2.5%,0)</f>
        <v>0</v>
      </c>
      <c r="K3969" s="31">
        <f>IF(COUNTIFS(Addendum!C:C,A3969,Addendum!D:D,IF(ISNUMBER(B3969),TEXT(B3969,"0000"),B3969),Addendum!G:G,"X")&gt;0,7%,0)</f>
        <v>0</v>
      </c>
      <c r="L3969" s="31">
        <f>IF(COUNTIFS(Addendum!C:C,A3969,Addendum!D:D,IF(ISNUMBER(B3969),TEXT(B3969,"0000"),B3969),Addendum!I:I,"X")&gt;0,10%,0)</f>
        <v>0</v>
      </c>
      <c r="M3969" s="34">
        <f t="shared" si="122"/>
        <v>0</v>
      </c>
      <c r="N3969" s="17">
        <f t="shared" si="123"/>
        <v>181727.535</v>
      </c>
    </row>
    <row r="3970" spans="1:14" x14ac:dyDescent="0.25">
      <c r="A3970" s="17"/>
      <c r="B3970" s="17"/>
      <c r="C3970" s="15" t="s">
        <v>2957</v>
      </c>
      <c r="D3970" s="14"/>
      <c r="E3970" s="14" t="s">
        <v>2841</v>
      </c>
      <c r="F3970" s="17" t="s">
        <v>2995</v>
      </c>
      <c r="G3970" s="14">
        <v>51892</v>
      </c>
      <c r="H3970" s="14">
        <v>45431.445999999996</v>
      </c>
      <c r="I3970" s="31">
        <f>IF(COUNTIFS(Addendum!C:C,A3970,Addendum!D:D,IF(ISNUMBER(B3970),TEXT(B3970,"0000"),B3970),Addendum!E:E,"X")&gt;0,4%,0)</f>
        <v>0</v>
      </c>
      <c r="J3970" s="31">
        <f>IF(COUNTIFS(Addendum!C:C,A3970,Addendum!D:D,IF(ISNUMBER(B3970),TEXT(B3970,"0000"),B3970),Addendum!F:F,"X")&gt;0,2.5%,0)</f>
        <v>0</v>
      </c>
      <c r="K3970" s="31">
        <f>IF(COUNTIFS(Addendum!C:C,A3970,Addendum!D:D,IF(ISNUMBER(B3970),TEXT(B3970,"0000"),B3970),Addendum!G:G,"X")&gt;0,7%,0)</f>
        <v>0</v>
      </c>
      <c r="L3970" s="31">
        <f>IF(COUNTIFS(Addendum!C:C,A3970,Addendum!D:D,IF(ISNUMBER(B3970),TEXT(B3970,"0000"),B3970),Addendum!I:I,"X")&gt;0,10%,0)</f>
        <v>0</v>
      </c>
      <c r="M3970" s="34">
        <f t="shared" si="122"/>
        <v>0</v>
      </c>
      <c r="N3970" s="17">
        <f t="shared" si="123"/>
        <v>45431.445999999996</v>
      </c>
    </row>
    <row r="3971" spans="1:14" x14ac:dyDescent="0.25">
      <c r="A3971" s="17"/>
      <c r="B3971" s="17"/>
      <c r="C3971" s="15" t="s">
        <v>2957</v>
      </c>
      <c r="D3971" s="14"/>
      <c r="E3971" s="14" t="s">
        <v>2841</v>
      </c>
      <c r="F3971" s="17" t="s">
        <v>2994</v>
      </c>
      <c r="G3971" s="14">
        <v>51892</v>
      </c>
      <c r="H3971" s="14">
        <v>45431.445999999996</v>
      </c>
      <c r="I3971" s="31">
        <f>IF(COUNTIFS(Addendum!C:C,A3971,Addendum!D:D,IF(ISNUMBER(B3971),TEXT(B3971,"0000"),B3971),Addendum!E:E,"X")&gt;0,4%,0)</f>
        <v>0</v>
      </c>
      <c r="J3971" s="31">
        <f>IF(COUNTIFS(Addendum!C:C,A3971,Addendum!D:D,IF(ISNUMBER(B3971),TEXT(B3971,"0000"),B3971),Addendum!F:F,"X")&gt;0,2.5%,0)</f>
        <v>0</v>
      </c>
      <c r="K3971" s="31">
        <f>IF(COUNTIFS(Addendum!C:C,A3971,Addendum!D:D,IF(ISNUMBER(B3971),TEXT(B3971,"0000"),B3971),Addendum!G:G,"X")&gt;0,7%,0)</f>
        <v>0</v>
      </c>
      <c r="L3971" s="31">
        <f>IF(COUNTIFS(Addendum!C:C,A3971,Addendum!D:D,IF(ISNUMBER(B3971),TEXT(B3971,"0000"),B3971),Addendum!I:I,"X")&gt;0,10%,0)</f>
        <v>0</v>
      </c>
      <c r="M3971" s="34">
        <f t="shared" si="122"/>
        <v>0</v>
      </c>
      <c r="N3971" s="17">
        <f t="shared" si="123"/>
        <v>45431.445999999996</v>
      </c>
    </row>
    <row r="3972" spans="1:14" x14ac:dyDescent="0.25">
      <c r="A3972" s="17"/>
      <c r="B3972" s="17"/>
      <c r="C3972" s="15" t="s">
        <v>2958</v>
      </c>
      <c r="D3972" s="14"/>
      <c r="E3972" s="14" t="s">
        <v>2841</v>
      </c>
      <c r="F3972" s="17" t="s">
        <v>2995</v>
      </c>
      <c r="G3972" s="14">
        <v>2956</v>
      </c>
      <c r="H3972" s="14">
        <v>2587.9780000000001</v>
      </c>
      <c r="I3972" s="31">
        <f>IF(COUNTIFS(Addendum!C:C,A3972,Addendum!D:D,IF(ISNUMBER(B3972),TEXT(B3972,"0000"),B3972),Addendum!E:E,"X")&gt;0,4%,0)</f>
        <v>0</v>
      </c>
      <c r="J3972" s="31">
        <f>IF(COUNTIFS(Addendum!C:C,A3972,Addendum!D:D,IF(ISNUMBER(B3972),TEXT(B3972,"0000"),B3972),Addendum!F:F,"X")&gt;0,2.5%,0)</f>
        <v>0</v>
      </c>
      <c r="K3972" s="31">
        <f>IF(COUNTIFS(Addendum!C:C,A3972,Addendum!D:D,IF(ISNUMBER(B3972),TEXT(B3972,"0000"),B3972),Addendum!G:G,"X")&gt;0,7%,0)</f>
        <v>0</v>
      </c>
      <c r="L3972" s="31">
        <f>IF(COUNTIFS(Addendum!C:C,A3972,Addendum!D:D,IF(ISNUMBER(B3972),TEXT(B3972,"0000"),B3972),Addendum!I:I,"X")&gt;0,10%,0)</f>
        <v>0</v>
      </c>
      <c r="M3972" s="34">
        <f t="shared" ref="M3972:M4032" si="124">IF(AND(I3972=0%,J3972=0%,K3972=0%,L3972=0%),0%,
IF(OR(TRIM(E3972)="OneTime",TRIM(D3972)=""),0%,
IF(
OR(
TRIM(D3972)="P1M",
AND(TRIM(D3972)="P1Y",TRIM(E3972)="Monthly"),
AND(TRIM(D3972)="P3Y",TRIM(E3972)="Monthly")
),
IF(AND(I3972=4%,J3972=0%,K3972=0%,L3972=0%),1%,
IF(AND(I3972=4%,J3972=2.5%,K3972=0%,L3972=10%),2%,
IF(AND(I3972=4%,J3972=0%,K3972=7%,L3972=10%),3%,0%))),
IF(
OR(
AND(TRIM(D3972)="P1Y",TRIM(E3972)="Annual"),
AND(TRIM(D3972)="P3Y",TRIM(E3972)="Annual"),
AND(TRIM(D3972)="P3Y",TRIM(E3972)="Triennial")
),
IF(AND(I3972=4%,J3972=0%,K3972=0%,L3972=0%),3%,
IF(AND(I3972=4%,J3972=2.5%,K3972=0%,L3972=10%),10%,
IF(AND(I3972=4%,J3972=0%,K3972=7%,L3972=10%),14%,0%))),
0%
))))</f>
        <v>0</v>
      </c>
      <c r="N3972" s="17">
        <f t="shared" ref="N3972:N4032" si="125">H3972-(H3972*M3972)</f>
        <v>2587.9780000000001</v>
      </c>
    </row>
    <row r="3973" spans="1:14" x14ac:dyDescent="0.25">
      <c r="A3973" s="17"/>
      <c r="B3973" s="17"/>
      <c r="C3973" s="15" t="s">
        <v>2958</v>
      </c>
      <c r="D3973" s="14"/>
      <c r="E3973" s="14" t="s">
        <v>2841</v>
      </c>
      <c r="F3973" s="17" t="s">
        <v>2993</v>
      </c>
      <c r="G3973" s="14">
        <v>14783</v>
      </c>
      <c r="H3973" s="14">
        <v>12942.5165</v>
      </c>
      <c r="I3973" s="31">
        <f>IF(COUNTIFS(Addendum!C:C,A3973,Addendum!D:D,IF(ISNUMBER(B3973),TEXT(B3973,"0000"),B3973),Addendum!E:E,"X")&gt;0,4%,0)</f>
        <v>0</v>
      </c>
      <c r="J3973" s="31">
        <f>IF(COUNTIFS(Addendum!C:C,A3973,Addendum!D:D,IF(ISNUMBER(B3973),TEXT(B3973,"0000"),B3973),Addendum!F:F,"X")&gt;0,2.5%,0)</f>
        <v>0</v>
      </c>
      <c r="K3973" s="31">
        <f>IF(COUNTIFS(Addendum!C:C,A3973,Addendum!D:D,IF(ISNUMBER(B3973),TEXT(B3973,"0000"),B3973),Addendum!G:G,"X")&gt;0,7%,0)</f>
        <v>0</v>
      </c>
      <c r="L3973" s="31">
        <f>IF(COUNTIFS(Addendum!C:C,A3973,Addendum!D:D,IF(ISNUMBER(B3973),TEXT(B3973,"0000"),B3973),Addendum!I:I,"X")&gt;0,10%,0)</f>
        <v>0</v>
      </c>
      <c r="M3973" s="34">
        <f t="shared" si="124"/>
        <v>0</v>
      </c>
      <c r="N3973" s="17">
        <f t="shared" si="125"/>
        <v>12942.5165</v>
      </c>
    </row>
    <row r="3974" spans="1:14" x14ac:dyDescent="0.25">
      <c r="A3974" s="17"/>
      <c r="B3974" s="17"/>
      <c r="C3974" s="15" t="s">
        <v>2959</v>
      </c>
      <c r="D3974" s="14"/>
      <c r="E3974" s="14" t="s">
        <v>2841</v>
      </c>
      <c r="F3974" s="17" t="s">
        <v>2993</v>
      </c>
      <c r="G3974" s="14">
        <v>14783</v>
      </c>
      <c r="H3974" s="14">
        <v>12942.5165</v>
      </c>
      <c r="I3974" s="31">
        <f>IF(COUNTIFS(Addendum!C:C,A3974,Addendum!D:D,IF(ISNUMBER(B3974),TEXT(B3974,"0000"),B3974),Addendum!E:E,"X")&gt;0,4%,0)</f>
        <v>0</v>
      </c>
      <c r="J3974" s="31">
        <f>IF(COUNTIFS(Addendum!C:C,A3974,Addendum!D:D,IF(ISNUMBER(B3974),TEXT(B3974,"0000"),B3974),Addendum!F:F,"X")&gt;0,2.5%,0)</f>
        <v>0</v>
      </c>
      <c r="K3974" s="31">
        <f>IF(COUNTIFS(Addendum!C:C,A3974,Addendum!D:D,IF(ISNUMBER(B3974),TEXT(B3974,"0000"),B3974),Addendum!G:G,"X")&gt;0,7%,0)</f>
        <v>0</v>
      </c>
      <c r="L3974" s="31">
        <f>IF(COUNTIFS(Addendum!C:C,A3974,Addendum!D:D,IF(ISNUMBER(B3974),TEXT(B3974,"0000"),B3974),Addendum!I:I,"X")&gt;0,10%,0)</f>
        <v>0</v>
      </c>
      <c r="M3974" s="34">
        <f t="shared" si="124"/>
        <v>0</v>
      </c>
      <c r="N3974" s="17">
        <f t="shared" si="125"/>
        <v>12942.5165</v>
      </c>
    </row>
    <row r="3975" spans="1:14" x14ac:dyDescent="0.25">
      <c r="A3975" s="17"/>
      <c r="B3975" s="17"/>
      <c r="C3975" s="15" t="s">
        <v>2960</v>
      </c>
      <c r="D3975" s="14" t="s">
        <v>1752</v>
      </c>
      <c r="E3975" s="14" t="s">
        <v>1747</v>
      </c>
      <c r="F3975" s="17" t="s">
        <v>2993</v>
      </c>
      <c r="G3975" s="14">
        <v>17127.990000000002</v>
      </c>
      <c r="H3975" s="14">
        <v>14995.5537</v>
      </c>
      <c r="I3975" s="31">
        <f>IF(COUNTIFS(Addendum!C:C,A3975,Addendum!D:D,IF(ISNUMBER(B3975),TEXT(B3975,"0000"),B3975),Addendum!E:E,"X")&gt;0,4%,0)</f>
        <v>0</v>
      </c>
      <c r="J3975" s="31">
        <f>IF(COUNTIFS(Addendum!C:C,A3975,Addendum!D:D,IF(ISNUMBER(B3975),TEXT(B3975,"0000"),B3975),Addendum!F:F,"X")&gt;0,2.5%,0)</f>
        <v>0</v>
      </c>
      <c r="K3975" s="31">
        <f>IF(COUNTIFS(Addendum!C:C,A3975,Addendum!D:D,IF(ISNUMBER(B3975),TEXT(B3975,"0000"),B3975),Addendum!G:G,"X")&gt;0,7%,0)</f>
        <v>0</v>
      </c>
      <c r="L3975" s="31">
        <f>IF(COUNTIFS(Addendum!C:C,A3975,Addendum!D:D,IF(ISNUMBER(B3975),TEXT(B3975,"0000"),B3975),Addendum!I:I,"X")&gt;0,10%,0)</f>
        <v>0</v>
      </c>
      <c r="M3975" s="34">
        <f t="shared" si="124"/>
        <v>0</v>
      </c>
      <c r="N3975" s="17">
        <f t="shared" si="125"/>
        <v>14995.5537</v>
      </c>
    </row>
    <row r="3976" spans="1:14" x14ac:dyDescent="0.25">
      <c r="A3976" s="17"/>
      <c r="B3976" s="17"/>
      <c r="C3976" s="15" t="s">
        <v>2958</v>
      </c>
      <c r="D3976" s="14"/>
      <c r="E3976" s="14" t="s">
        <v>2841</v>
      </c>
      <c r="F3976" s="17" t="s">
        <v>2994</v>
      </c>
      <c r="G3976" s="14">
        <v>2956</v>
      </c>
      <c r="H3976" s="14">
        <v>2587.9780000000001</v>
      </c>
      <c r="I3976" s="31">
        <f>IF(COUNTIFS(Addendum!C:C,A3976,Addendum!D:D,IF(ISNUMBER(B3976),TEXT(B3976,"0000"),B3976),Addendum!E:E,"X")&gt;0,4%,0)</f>
        <v>0</v>
      </c>
      <c r="J3976" s="31">
        <f>IF(COUNTIFS(Addendum!C:C,A3976,Addendum!D:D,IF(ISNUMBER(B3976),TEXT(B3976,"0000"),B3976),Addendum!F:F,"X")&gt;0,2.5%,0)</f>
        <v>0</v>
      </c>
      <c r="K3976" s="31">
        <f>IF(COUNTIFS(Addendum!C:C,A3976,Addendum!D:D,IF(ISNUMBER(B3976),TEXT(B3976,"0000"),B3976),Addendum!G:G,"X")&gt;0,7%,0)</f>
        <v>0</v>
      </c>
      <c r="L3976" s="31">
        <f>IF(COUNTIFS(Addendum!C:C,A3976,Addendum!D:D,IF(ISNUMBER(B3976),TEXT(B3976,"0000"),B3976),Addendum!I:I,"X")&gt;0,10%,0)</f>
        <v>0</v>
      </c>
      <c r="M3976" s="34">
        <f t="shared" si="124"/>
        <v>0</v>
      </c>
      <c r="N3976" s="17">
        <f t="shared" si="125"/>
        <v>2587.9780000000001</v>
      </c>
    </row>
    <row r="3977" spans="1:14" x14ac:dyDescent="0.25">
      <c r="A3977" s="17"/>
      <c r="B3977" s="17"/>
      <c r="C3977" s="15" t="s">
        <v>2959</v>
      </c>
      <c r="D3977" s="14"/>
      <c r="E3977" s="14" t="s">
        <v>2841</v>
      </c>
      <c r="F3977" s="17" t="s">
        <v>2994</v>
      </c>
      <c r="G3977" s="14">
        <v>2956</v>
      </c>
      <c r="H3977" s="14">
        <v>2587.9780000000001</v>
      </c>
      <c r="I3977" s="31">
        <f>IF(COUNTIFS(Addendum!C:C,A3977,Addendum!D:D,IF(ISNUMBER(B3977),TEXT(B3977,"0000"),B3977),Addendum!E:E,"X")&gt;0,4%,0)</f>
        <v>0</v>
      </c>
      <c r="J3977" s="31">
        <f>IF(COUNTIFS(Addendum!C:C,A3977,Addendum!D:D,IF(ISNUMBER(B3977),TEXT(B3977,"0000"),B3977),Addendum!F:F,"X")&gt;0,2.5%,0)</f>
        <v>0</v>
      </c>
      <c r="K3977" s="31">
        <f>IF(COUNTIFS(Addendum!C:C,A3977,Addendum!D:D,IF(ISNUMBER(B3977),TEXT(B3977,"0000"),B3977),Addendum!G:G,"X")&gt;0,7%,0)</f>
        <v>0</v>
      </c>
      <c r="L3977" s="31">
        <f>IF(COUNTIFS(Addendum!C:C,A3977,Addendum!D:D,IF(ISNUMBER(B3977),TEXT(B3977,"0000"),B3977),Addendum!I:I,"X")&gt;0,10%,0)</f>
        <v>0</v>
      </c>
      <c r="M3977" s="34">
        <f t="shared" si="124"/>
        <v>0</v>
      </c>
      <c r="N3977" s="17">
        <f t="shared" si="125"/>
        <v>2587.9780000000001</v>
      </c>
    </row>
    <row r="3978" spans="1:14" x14ac:dyDescent="0.25">
      <c r="A3978" s="17"/>
      <c r="B3978" s="17"/>
      <c r="C3978" s="15" t="s">
        <v>2959</v>
      </c>
      <c r="D3978" s="14"/>
      <c r="E3978" s="14" t="s">
        <v>2841</v>
      </c>
      <c r="F3978" s="17" t="s">
        <v>2995</v>
      </c>
      <c r="G3978" s="14">
        <v>2956</v>
      </c>
      <c r="H3978" s="14">
        <v>2587.9780000000001</v>
      </c>
      <c r="I3978" s="31">
        <f>IF(COUNTIFS(Addendum!C:C,A3978,Addendum!D:D,IF(ISNUMBER(B3978),TEXT(B3978,"0000"),B3978),Addendum!E:E,"X")&gt;0,4%,0)</f>
        <v>0</v>
      </c>
      <c r="J3978" s="31">
        <f>IF(COUNTIFS(Addendum!C:C,A3978,Addendum!D:D,IF(ISNUMBER(B3978),TEXT(B3978,"0000"),B3978),Addendum!F:F,"X")&gt;0,2.5%,0)</f>
        <v>0</v>
      </c>
      <c r="K3978" s="31">
        <f>IF(COUNTIFS(Addendum!C:C,A3978,Addendum!D:D,IF(ISNUMBER(B3978),TEXT(B3978,"0000"),B3978),Addendum!G:G,"X")&gt;0,7%,0)</f>
        <v>0</v>
      </c>
      <c r="L3978" s="31">
        <f>IF(COUNTIFS(Addendum!C:C,A3978,Addendum!D:D,IF(ISNUMBER(B3978),TEXT(B3978,"0000"),B3978),Addendum!I:I,"X")&gt;0,10%,0)</f>
        <v>0</v>
      </c>
      <c r="M3978" s="34">
        <f t="shared" si="124"/>
        <v>0</v>
      </c>
      <c r="N3978" s="17">
        <f t="shared" si="125"/>
        <v>2587.9780000000001</v>
      </c>
    </row>
    <row r="3979" spans="1:14" x14ac:dyDescent="0.25">
      <c r="A3979" s="17"/>
      <c r="B3979" s="17"/>
      <c r="C3979" s="15" t="s">
        <v>2961</v>
      </c>
      <c r="D3979" s="14" t="s">
        <v>1745</v>
      </c>
      <c r="E3979" s="14" t="s">
        <v>1747</v>
      </c>
      <c r="F3979" s="17" t="s">
        <v>2993</v>
      </c>
      <c r="G3979" s="14">
        <v>7700</v>
      </c>
      <c r="H3979" s="14">
        <v>6741.35</v>
      </c>
      <c r="I3979" s="31">
        <f>IF(COUNTIFS(Addendum!C:C,A3979,Addendum!D:D,IF(ISNUMBER(B3979),TEXT(B3979,"0000"),B3979),Addendum!E:E,"X")&gt;0,4%,0)</f>
        <v>0</v>
      </c>
      <c r="J3979" s="31">
        <f>IF(COUNTIFS(Addendum!C:C,A3979,Addendum!D:D,IF(ISNUMBER(B3979),TEXT(B3979,"0000"),B3979),Addendum!F:F,"X")&gt;0,2.5%,0)</f>
        <v>0</v>
      </c>
      <c r="K3979" s="31">
        <f>IF(COUNTIFS(Addendum!C:C,A3979,Addendum!D:D,IF(ISNUMBER(B3979),TEXT(B3979,"0000"),B3979),Addendum!G:G,"X")&gt;0,7%,0)</f>
        <v>0</v>
      </c>
      <c r="L3979" s="31">
        <f>IF(COUNTIFS(Addendum!C:C,A3979,Addendum!D:D,IF(ISNUMBER(B3979),TEXT(B3979,"0000"),B3979),Addendum!I:I,"X")&gt;0,10%,0)</f>
        <v>0</v>
      </c>
      <c r="M3979" s="34">
        <f t="shared" si="124"/>
        <v>0</v>
      </c>
      <c r="N3979" s="17">
        <f t="shared" si="125"/>
        <v>6741.35</v>
      </c>
    </row>
    <row r="3980" spans="1:14" x14ac:dyDescent="0.25">
      <c r="A3980" s="17"/>
      <c r="B3980" s="17"/>
      <c r="C3980" s="15" t="s">
        <v>2961</v>
      </c>
      <c r="D3980" s="14" t="s">
        <v>1745</v>
      </c>
      <c r="E3980" s="14" t="s">
        <v>1746</v>
      </c>
      <c r="F3980" s="17" t="s">
        <v>2993</v>
      </c>
      <c r="G3980" s="14">
        <v>7700.04</v>
      </c>
      <c r="H3980" s="14">
        <v>6741.3912</v>
      </c>
      <c r="I3980" s="31">
        <f>IF(COUNTIFS(Addendum!C:C,A3980,Addendum!D:D,IF(ISNUMBER(B3980),TEXT(B3980,"0000"),B3980),Addendum!E:E,"X")&gt;0,4%,0)</f>
        <v>0</v>
      </c>
      <c r="J3980" s="31">
        <f>IF(COUNTIFS(Addendum!C:C,A3980,Addendum!D:D,IF(ISNUMBER(B3980),TEXT(B3980,"0000"),B3980),Addendum!F:F,"X")&gt;0,2.5%,0)</f>
        <v>0</v>
      </c>
      <c r="K3980" s="31">
        <f>IF(COUNTIFS(Addendum!C:C,A3980,Addendum!D:D,IF(ISNUMBER(B3980),TEXT(B3980,"0000"),B3980),Addendum!G:G,"X")&gt;0,7%,0)</f>
        <v>0</v>
      </c>
      <c r="L3980" s="31">
        <f>IF(COUNTIFS(Addendum!C:C,A3980,Addendum!D:D,IF(ISNUMBER(B3980),TEXT(B3980,"0000"),B3980),Addendum!I:I,"X")&gt;0,10%,0)</f>
        <v>0</v>
      </c>
      <c r="M3980" s="34">
        <f t="shared" si="124"/>
        <v>0</v>
      </c>
      <c r="N3980" s="17">
        <f t="shared" si="125"/>
        <v>6741.3912</v>
      </c>
    </row>
    <row r="3981" spans="1:14" x14ac:dyDescent="0.25">
      <c r="A3981" s="17"/>
      <c r="B3981" s="17"/>
      <c r="C3981" s="15" t="s">
        <v>2960</v>
      </c>
      <c r="D3981" s="14" t="s">
        <v>1752</v>
      </c>
      <c r="E3981" s="14" t="s">
        <v>1753</v>
      </c>
      <c r="F3981" s="17" t="s">
        <v>2993</v>
      </c>
      <c r="G3981" s="14">
        <v>17128</v>
      </c>
      <c r="H3981" s="14">
        <v>14995.563999999998</v>
      </c>
      <c r="I3981" s="31">
        <f>IF(COUNTIFS(Addendum!C:C,A3981,Addendum!D:D,IF(ISNUMBER(B3981),TEXT(B3981,"0000"),B3981),Addendum!E:E,"X")&gt;0,4%,0)</f>
        <v>0</v>
      </c>
      <c r="J3981" s="31">
        <f>IF(COUNTIFS(Addendum!C:C,A3981,Addendum!D:D,IF(ISNUMBER(B3981),TEXT(B3981,"0000"),B3981),Addendum!F:F,"X")&gt;0,2.5%,0)</f>
        <v>0</v>
      </c>
      <c r="K3981" s="31">
        <f>IF(COUNTIFS(Addendum!C:C,A3981,Addendum!D:D,IF(ISNUMBER(B3981),TEXT(B3981,"0000"),B3981),Addendum!G:G,"X")&gt;0,7%,0)</f>
        <v>0</v>
      </c>
      <c r="L3981" s="31">
        <f>IF(COUNTIFS(Addendum!C:C,A3981,Addendum!D:D,IF(ISNUMBER(B3981),TEXT(B3981,"0000"),B3981),Addendum!I:I,"X")&gt;0,10%,0)</f>
        <v>0</v>
      </c>
      <c r="M3981" s="34">
        <f t="shared" si="124"/>
        <v>0</v>
      </c>
      <c r="N3981" s="17">
        <f t="shared" si="125"/>
        <v>14995.563999999998</v>
      </c>
    </row>
    <row r="3982" spans="1:14" x14ac:dyDescent="0.25">
      <c r="A3982" s="17"/>
      <c r="B3982" s="17"/>
      <c r="C3982" s="15" t="s">
        <v>2962</v>
      </c>
      <c r="D3982" s="14" t="s">
        <v>1745</v>
      </c>
      <c r="E3982" s="14" t="s">
        <v>1747</v>
      </c>
      <c r="F3982" s="17" t="s">
        <v>2993</v>
      </c>
      <c r="G3982" s="14">
        <v>1028</v>
      </c>
      <c r="H3982" s="14">
        <v>900.0139999999999</v>
      </c>
      <c r="I3982" s="31">
        <f>IF(COUNTIFS(Addendum!C:C,A3982,Addendum!D:D,IF(ISNUMBER(B3982),TEXT(B3982,"0000"),B3982),Addendum!E:E,"X")&gt;0,4%,0)</f>
        <v>0</v>
      </c>
      <c r="J3982" s="31">
        <f>IF(COUNTIFS(Addendum!C:C,A3982,Addendum!D:D,IF(ISNUMBER(B3982),TEXT(B3982,"0000"),B3982),Addendum!F:F,"X")&gt;0,2.5%,0)</f>
        <v>0</v>
      </c>
      <c r="K3982" s="31">
        <f>IF(COUNTIFS(Addendum!C:C,A3982,Addendum!D:D,IF(ISNUMBER(B3982),TEXT(B3982,"0000"),B3982),Addendum!G:G,"X")&gt;0,7%,0)</f>
        <v>0</v>
      </c>
      <c r="L3982" s="31">
        <f>IF(COUNTIFS(Addendum!C:C,A3982,Addendum!D:D,IF(ISNUMBER(B3982),TEXT(B3982,"0000"),B3982),Addendum!I:I,"X")&gt;0,10%,0)</f>
        <v>0</v>
      </c>
      <c r="M3982" s="34">
        <f t="shared" si="124"/>
        <v>0</v>
      </c>
      <c r="N3982" s="17">
        <f t="shared" si="125"/>
        <v>900.0139999999999</v>
      </c>
    </row>
    <row r="3983" spans="1:14" x14ac:dyDescent="0.25">
      <c r="A3983" s="17"/>
      <c r="B3983" s="17"/>
      <c r="C3983" s="15" t="s">
        <v>2963</v>
      </c>
      <c r="D3983" s="14"/>
      <c r="E3983" s="14" t="s">
        <v>2841</v>
      </c>
      <c r="F3983" s="17" t="s">
        <v>2995</v>
      </c>
      <c r="G3983" s="14">
        <v>1345</v>
      </c>
      <c r="H3983" s="14">
        <v>1177.5474999999999</v>
      </c>
      <c r="I3983" s="31">
        <f>IF(COUNTIFS(Addendum!C:C,A3983,Addendum!D:D,IF(ISNUMBER(B3983),TEXT(B3983,"0000"),B3983),Addendum!E:E,"X")&gt;0,4%,0)</f>
        <v>0</v>
      </c>
      <c r="J3983" s="31">
        <f>IF(COUNTIFS(Addendum!C:C,A3983,Addendum!D:D,IF(ISNUMBER(B3983),TEXT(B3983,"0000"),B3983),Addendum!F:F,"X")&gt;0,2.5%,0)</f>
        <v>0</v>
      </c>
      <c r="K3983" s="31">
        <f>IF(COUNTIFS(Addendum!C:C,A3983,Addendum!D:D,IF(ISNUMBER(B3983),TEXT(B3983,"0000"),B3983),Addendum!G:G,"X")&gt;0,7%,0)</f>
        <v>0</v>
      </c>
      <c r="L3983" s="31">
        <f>IF(COUNTIFS(Addendum!C:C,A3983,Addendum!D:D,IF(ISNUMBER(B3983),TEXT(B3983,"0000"),B3983),Addendum!I:I,"X")&gt;0,10%,0)</f>
        <v>0</v>
      </c>
      <c r="M3983" s="34">
        <f t="shared" si="124"/>
        <v>0</v>
      </c>
      <c r="N3983" s="17">
        <f t="shared" si="125"/>
        <v>1177.5474999999999</v>
      </c>
    </row>
    <row r="3984" spans="1:14" x14ac:dyDescent="0.25">
      <c r="A3984" s="17"/>
      <c r="B3984" s="17"/>
      <c r="C3984" s="15" t="s">
        <v>2962</v>
      </c>
      <c r="D3984" s="14" t="s">
        <v>1745</v>
      </c>
      <c r="E3984" s="14" t="s">
        <v>1746</v>
      </c>
      <c r="F3984" s="17" t="s">
        <v>2993</v>
      </c>
      <c r="G3984" s="14">
        <v>1028.04</v>
      </c>
      <c r="H3984" s="14">
        <v>900.05520000000001</v>
      </c>
      <c r="I3984" s="31">
        <f>IF(COUNTIFS(Addendum!C:C,A3984,Addendum!D:D,IF(ISNUMBER(B3984),TEXT(B3984,"0000"),B3984),Addendum!E:E,"X")&gt;0,4%,0)</f>
        <v>0</v>
      </c>
      <c r="J3984" s="31">
        <f>IF(COUNTIFS(Addendum!C:C,A3984,Addendum!D:D,IF(ISNUMBER(B3984),TEXT(B3984,"0000"),B3984),Addendum!F:F,"X")&gt;0,2.5%,0)</f>
        <v>0</v>
      </c>
      <c r="K3984" s="31">
        <f>IF(COUNTIFS(Addendum!C:C,A3984,Addendum!D:D,IF(ISNUMBER(B3984),TEXT(B3984,"0000"),B3984),Addendum!G:G,"X")&gt;0,7%,0)</f>
        <v>0</v>
      </c>
      <c r="L3984" s="31">
        <f>IF(COUNTIFS(Addendum!C:C,A3984,Addendum!D:D,IF(ISNUMBER(B3984),TEXT(B3984,"0000"),B3984),Addendum!I:I,"X")&gt;0,10%,0)</f>
        <v>0</v>
      </c>
      <c r="M3984" s="34">
        <f t="shared" si="124"/>
        <v>0</v>
      </c>
      <c r="N3984" s="17">
        <f t="shared" si="125"/>
        <v>900.05520000000001</v>
      </c>
    </row>
    <row r="3985" spans="1:14" x14ac:dyDescent="0.25">
      <c r="A3985" s="17"/>
      <c r="B3985" s="17"/>
      <c r="C3985" s="15" t="s">
        <v>2964</v>
      </c>
      <c r="D3985" s="14" t="s">
        <v>1745</v>
      </c>
      <c r="E3985" s="14" t="s">
        <v>1747</v>
      </c>
      <c r="F3985" s="17" t="s">
        <v>2993</v>
      </c>
      <c r="G3985" s="14">
        <v>1214</v>
      </c>
      <c r="H3985" s="14">
        <v>1062.8570000000002</v>
      </c>
      <c r="I3985" s="31">
        <f>IF(COUNTIFS(Addendum!C:C,A3985,Addendum!D:D,IF(ISNUMBER(B3985),TEXT(B3985,"0000"),B3985),Addendum!E:E,"X")&gt;0,4%,0)</f>
        <v>0</v>
      </c>
      <c r="J3985" s="31">
        <f>IF(COUNTIFS(Addendum!C:C,A3985,Addendum!D:D,IF(ISNUMBER(B3985),TEXT(B3985,"0000"),B3985),Addendum!F:F,"X")&gt;0,2.5%,0)</f>
        <v>0</v>
      </c>
      <c r="K3985" s="31">
        <f>IF(COUNTIFS(Addendum!C:C,A3985,Addendum!D:D,IF(ISNUMBER(B3985),TEXT(B3985,"0000"),B3985),Addendum!G:G,"X")&gt;0,7%,0)</f>
        <v>0</v>
      </c>
      <c r="L3985" s="31">
        <f>IF(COUNTIFS(Addendum!C:C,A3985,Addendum!D:D,IF(ISNUMBER(B3985),TEXT(B3985,"0000"),B3985),Addendum!I:I,"X")&gt;0,10%,0)</f>
        <v>0</v>
      </c>
      <c r="M3985" s="34">
        <f t="shared" si="124"/>
        <v>0</v>
      </c>
      <c r="N3985" s="17">
        <f t="shared" si="125"/>
        <v>1062.8570000000002</v>
      </c>
    </row>
    <row r="3986" spans="1:14" x14ac:dyDescent="0.25">
      <c r="A3986" s="17"/>
      <c r="B3986" s="17"/>
      <c r="C3986" s="15" t="s">
        <v>2965</v>
      </c>
      <c r="D3986" s="14"/>
      <c r="E3986" s="14" t="s">
        <v>2841</v>
      </c>
      <c r="F3986" s="17" t="s">
        <v>2995</v>
      </c>
      <c r="G3986" s="14">
        <v>1719</v>
      </c>
      <c r="H3986" s="14">
        <v>1504.9845</v>
      </c>
      <c r="I3986" s="31">
        <f>IF(COUNTIFS(Addendum!C:C,A3986,Addendum!D:D,IF(ISNUMBER(B3986),TEXT(B3986,"0000"),B3986),Addendum!E:E,"X")&gt;0,4%,0)</f>
        <v>0</v>
      </c>
      <c r="J3986" s="31">
        <f>IF(COUNTIFS(Addendum!C:C,A3986,Addendum!D:D,IF(ISNUMBER(B3986),TEXT(B3986,"0000"),B3986),Addendum!F:F,"X")&gt;0,2.5%,0)</f>
        <v>0</v>
      </c>
      <c r="K3986" s="31">
        <f>IF(COUNTIFS(Addendum!C:C,A3986,Addendum!D:D,IF(ISNUMBER(B3986),TEXT(B3986,"0000"),B3986),Addendum!G:G,"X")&gt;0,7%,0)</f>
        <v>0</v>
      </c>
      <c r="L3986" s="31">
        <f>IF(COUNTIFS(Addendum!C:C,A3986,Addendum!D:D,IF(ISNUMBER(B3986),TEXT(B3986,"0000"),B3986),Addendum!I:I,"X")&gt;0,10%,0)</f>
        <v>0</v>
      </c>
      <c r="M3986" s="34">
        <f t="shared" si="124"/>
        <v>0</v>
      </c>
      <c r="N3986" s="17">
        <f t="shared" si="125"/>
        <v>1504.9845</v>
      </c>
    </row>
    <row r="3987" spans="1:14" x14ac:dyDescent="0.25">
      <c r="A3987" s="17"/>
      <c r="B3987" s="17"/>
      <c r="C3987" s="15" t="s">
        <v>2965</v>
      </c>
      <c r="D3987" s="14"/>
      <c r="E3987" s="14" t="s">
        <v>2841</v>
      </c>
      <c r="F3987" s="17" t="s">
        <v>2994</v>
      </c>
      <c r="G3987" s="14">
        <v>1074</v>
      </c>
      <c r="H3987" s="14">
        <v>940.28699999999992</v>
      </c>
      <c r="I3987" s="31">
        <f>IF(COUNTIFS(Addendum!C:C,A3987,Addendum!D:D,IF(ISNUMBER(B3987),TEXT(B3987,"0000"),B3987),Addendum!E:E,"X")&gt;0,4%,0)</f>
        <v>0</v>
      </c>
      <c r="J3987" s="31">
        <f>IF(COUNTIFS(Addendum!C:C,A3987,Addendum!D:D,IF(ISNUMBER(B3987),TEXT(B3987,"0000"),B3987),Addendum!F:F,"X")&gt;0,2.5%,0)</f>
        <v>0</v>
      </c>
      <c r="K3987" s="31">
        <f>IF(COUNTIFS(Addendum!C:C,A3987,Addendum!D:D,IF(ISNUMBER(B3987),TEXT(B3987,"0000"),B3987),Addendum!G:G,"X")&gt;0,7%,0)</f>
        <v>0</v>
      </c>
      <c r="L3987" s="31">
        <f>IF(COUNTIFS(Addendum!C:C,A3987,Addendum!D:D,IF(ISNUMBER(B3987),TEXT(B3987,"0000"),B3987),Addendum!I:I,"X")&gt;0,10%,0)</f>
        <v>0</v>
      </c>
      <c r="M3987" s="34">
        <f t="shared" si="124"/>
        <v>0</v>
      </c>
      <c r="N3987" s="17">
        <f t="shared" si="125"/>
        <v>940.28699999999992</v>
      </c>
    </row>
    <row r="3988" spans="1:14" x14ac:dyDescent="0.25">
      <c r="A3988" s="17"/>
      <c r="B3988" s="17"/>
      <c r="C3988" s="15" t="s">
        <v>2965</v>
      </c>
      <c r="D3988" s="14"/>
      <c r="E3988" s="14" t="s">
        <v>2841</v>
      </c>
      <c r="F3988" s="17" t="s">
        <v>2993</v>
      </c>
      <c r="G3988" s="14">
        <v>4299</v>
      </c>
      <c r="H3988" s="14">
        <v>3763.7745</v>
      </c>
      <c r="I3988" s="31">
        <f>IF(COUNTIFS(Addendum!C:C,A3988,Addendum!D:D,IF(ISNUMBER(B3988),TEXT(B3988,"0000"),B3988),Addendum!E:E,"X")&gt;0,4%,0)</f>
        <v>0</v>
      </c>
      <c r="J3988" s="31">
        <f>IF(COUNTIFS(Addendum!C:C,A3988,Addendum!D:D,IF(ISNUMBER(B3988),TEXT(B3988,"0000"),B3988),Addendum!F:F,"X")&gt;0,2.5%,0)</f>
        <v>0</v>
      </c>
      <c r="K3988" s="31">
        <f>IF(COUNTIFS(Addendum!C:C,A3988,Addendum!D:D,IF(ISNUMBER(B3988),TEXT(B3988,"0000"),B3988),Addendum!G:G,"X")&gt;0,7%,0)</f>
        <v>0</v>
      </c>
      <c r="L3988" s="31">
        <f>IF(COUNTIFS(Addendum!C:C,A3988,Addendum!D:D,IF(ISNUMBER(B3988),TEXT(B3988,"0000"),B3988),Addendum!I:I,"X")&gt;0,10%,0)</f>
        <v>0</v>
      </c>
      <c r="M3988" s="34">
        <f t="shared" si="124"/>
        <v>0</v>
      </c>
      <c r="N3988" s="17">
        <f t="shared" si="125"/>
        <v>3763.7745</v>
      </c>
    </row>
    <row r="3989" spans="1:14" x14ac:dyDescent="0.25">
      <c r="A3989" s="17"/>
      <c r="B3989" s="17"/>
      <c r="C3989" s="15" t="s">
        <v>2966</v>
      </c>
      <c r="D3989" s="14" t="s">
        <v>1752</v>
      </c>
      <c r="E3989" s="14" t="s">
        <v>1753</v>
      </c>
      <c r="F3989" s="17" t="s">
        <v>2993</v>
      </c>
      <c r="G3989" s="14">
        <v>3084</v>
      </c>
      <c r="H3989" s="14">
        <v>2700.0419999999999</v>
      </c>
      <c r="I3989" s="31">
        <f>IF(COUNTIFS(Addendum!C:C,A3989,Addendum!D:D,IF(ISNUMBER(B3989),TEXT(B3989,"0000"),B3989),Addendum!E:E,"X")&gt;0,4%,0)</f>
        <v>0</v>
      </c>
      <c r="J3989" s="31">
        <f>IF(COUNTIFS(Addendum!C:C,A3989,Addendum!D:D,IF(ISNUMBER(B3989),TEXT(B3989,"0000"),B3989),Addendum!F:F,"X")&gt;0,2.5%,0)</f>
        <v>0</v>
      </c>
      <c r="K3989" s="31">
        <f>IF(COUNTIFS(Addendum!C:C,A3989,Addendum!D:D,IF(ISNUMBER(B3989),TEXT(B3989,"0000"),B3989),Addendum!G:G,"X")&gt;0,7%,0)</f>
        <v>0</v>
      </c>
      <c r="L3989" s="31">
        <f>IF(COUNTIFS(Addendum!C:C,A3989,Addendum!D:D,IF(ISNUMBER(B3989),TEXT(B3989,"0000"),B3989),Addendum!I:I,"X")&gt;0,10%,0)</f>
        <v>0</v>
      </c>
      <c r="M3989" s="34">
        <f t="shared" si="124"/>
        <v>0</v>
      </c>
      <c r="N3989" s="17">
        <f t="shared" si="125"/>
        <v>2700.0419999999999</v>
      </c>
    </row>
    <row r="3990" spans="1:14" x14ac:dyDescent="0.25">
      <c r="A3990" s="17"/>
      <c r="B3990" s="17"/>
      <c r="C3990" s="15" t="s">
        <v>2967</v>
      </c>
      <c r="D3990" s="14" t="s">
        <v>1752</v>
      </c>
      <c r="E3990" s="14" t="s">
        <v>1747</v>
      </c>
      <c r="F3990" s="17" t="s">
        <v>2993</v>
      </c>
      <c r="G3990" s="14">
        <v>3653.01</v>
      </c>
      <c r="H3990" s="14">
        <v>3198.2118</v>
      </c>
      <c r="I3990" s="31">
        <f>IF(COUNTIFS(Addendum!C:C,A3990,Addendum!D:D,IF(ISNUMBER(B3990),TEXT(B3990,"0000"),B3990),Addendum!E:E,"X")&gt;0,4%,0)</f>
        <v>0</v>
      </c>
      <c r="J3990" s="31">
        <f>IF(COUNTIFS(Addendum!C:C,A3990,Addendum!D:D,IF(ISNUMBER(B3990),TEXT(B3990,"0000"),B3990),Addendum!F:F,"X")&gt;0,2.5%,0)</f>
        <v>0</v>
      </c>
      <c r="K3990" s="31">
        <f>IF(COUNTIFS(Addendum!C:C,A3990,Addendum!D:D,IF(ISNUMBER(B3990),TEXT(B3990,"0000"),B3990),Addendum!G:G,"X")&gt;0,7%,0)</f>
        <v>0</v>
      </c>
      <c r="L3990" s="31">
        <f>IF(COUNTIFS(Addendum!C:C,A3990,Addendum!D:D,IF(ISNUMBER(B3990),TEXT(B3990,"0000"),B3990),Addendum!I:I,"X")&gt;0,10%,0)</f>
        <v>0</v>
      </c>
      <c r="M3990" s="34">
        <f t="shared" si="124"/>
        <v>0</v>
      </c>
      <c r="N3990" s="17">
        <f t="shared" si="125"/>
        <v>3198.2118</v>
      </c>
    </row>
    <row r="3991" spans="1:14" x14ac:dyDescent="0.25">
      <c r="A3991" s="17"/>
      <c r="B3991" s="17"/>
      <c r="C3991" s="15" t="s">
        <v>2964</v>
      </c>
      <c r="D3991" s="14" t="s">
        <v>1745</v>
      </c>
      <c r="E3991" s="14" t="s">
        <v>1746</v>
      </c>
      <c r="F3991" s="17" t="s">
        <v>2993</v>
      </c>
      <c r="G3991" s="14">
        <v>1214.04</v>
      </c>
      <c r="H3991" s="14">
        <v>1062.8364000000001</v>
      </c>
      <c r="I3991" s="31">
        <f>IF(COUNTIFS(Addendum!C:C,A3991,Addendum!D:D,IF(ISNUMBER(B3991),TEXT(B3991,"0000"),B3991),Addendum!E:E,"X")&gt;0,4%,0)</f>
        <v>0</v>
      </c>
      <c r="J3991" s="31">
        <f>IF(COUNTIFS(Addendum!C:C,A3991,Addendum!D:D,IF(ISNUMBER(B3991),TEXT(B3991,"0000"),B3991),Addendum!F:F,"X")&gt;0,2.5%,0)</f>
        <v>0</v>
      </c>
      <c r="K3991" s="31">
        <f>IF(COUNTIFS(Addendum!C:C,A3991,Addendum!D:D,IF(ISNUMBER(B3991),TEXT(B3991,"0000"),B3991),Addendum!G:G,"X")&gt;0,7%,0)</f>
        <v>0</v>
      </c>
      <c r="L3991" s="31">
        <f>IF(COUNTIFS(Addendum!C:C,A3991,Addendum!D:D,IF(ISNUMBER(B3991),TEXT(B3991,"0000"),B3991),Addendum!I:I,"X")&gt;0,10%,0)</f>
        <v>0</v>
      </c>
      <c r="M3991" s="34">
        <f t="shared" si="124"/>
        <v>0</v>
      </c>
      <c r="N3991" s="17">
        <f t="shared" si="125"/>
        <v>1062.8364000000001</v>
      </c>
    </row>
    <row r="3992" spans="1:14" x14ac:dyDescent="0.25">
      <c r="A3992" s="17"/>
      <c r="B3992" s="17"/>
      <c r="C3992" s="15" t="s">
        <v>2963</v>
      </c>
      <c r="D3992" s="14"/>
      <c r="E3992" s="14" t="s">
        <v>2841</v>
      </c>
      <c r="F3992" s="17" t="s">
        <v>2993</v>
      </c>
      <c r="G3992" s="14">
        <v>3364</v>
      </c>
      <c r="H3992" s="14">
        <v>2945.1820000000002</v>
      </c>
      <c r="I3992" s="31">
        <f>IF(COUNTIFS(Addendum!C:C,A3992,Addendum!D:D,IF(ISNUMBER(B3992),TEXT(B3992,"0000"),B3992),Addendum!E:E,"X")&gt;0,4%,0)</f>
        <v>0</v>
      </c>
      <c r="J3992" s="31">
        <f>IF(COUNTIFS(Addendum!C:C,A3992,Addendum!D:D,IF(ISNUMBER(B3992),TEXT(B3992,"0000"),B3992),Addendum!F:F,"X")&gt;0,2.5%,0)</f>
        <v>0</v>
      </c>
      <c r="K3992" s="31">
        <f>IF(COUNTIFS(Addendum!C:C,A3992,Addendum!D:D,IF(ISNUMBER(B3992),TEXT(B3992,"0000"),B3992),Addendum!G:G,"X")&gt;0,7%,0)</f>
        <v>0</v>
      </c>
      <c r="L3992" s="31">
        <f>IF(COUNTIFS(Addendum!C:C,A3992,Addendum!D:D,IF(ISNUMBER(B3992),TEXT(B3992,"0000"),B3992),Addendum!I:I,"X")&gt;0,10%,0)</f>
        <v>0</v>
      </c>
      <c r="M3992" s="34">
        <f t="shared" si="124"/>
        <v>0</v>
      </c>
      <c r="N3992" s="17">
        <f t="shared" si="125"/>
        <v>2945.1820000000002</v>
      </c>
    </row>
    <row r="3993" spans="1:14" x14ac:dyDescent="0.25">
      <c r="A3993" s="17"/>
      <c r="B3993" s="17"/>
      <c r="C3993" s="15" t="s">
        <v>2966</v>
      </c>
      <c r="D3993" s="14" t="s">
        <v>1752</v>
      </c>
      <c r="E3993" s="14" t="s">
        <v>1747</v>
      </c>
      <c r="F3993" s="17" t="s">
        <v>2993</v>
      </c>
      <c r="G3993" s="14">
        <v>3084</v>
      </c>
      <c r="H3993" s="14">
        <v>2700.0419999999999</v>
      </c>
      <c r="I3993" s="31">
        <f>IF(COUNTIFS(Addendum!C:C,A3993,Addendum!D:D,IF(ISNUMBER(B3993),TEXT(B3993,"0000"),B3993),Addendum!E:E,"X")&gt;0,4%,0)</f>
        <v>0</v>
      </c>
      <c r="J3993" s="31">
        <f>IF(COUNTIFS(Addendum!C:C,A3993,Addendum!D:D,IF(ISNUMBER(B3993),TEXT(B3993,"0000"),B3993),Addendum!F:F,"X")&gt;0,2.5%,0)</f>
        <v>0</v>
      </c>
      <c r="K3993" s="31">
        <f>IF(COUNTIFS(Addendum!C:C,A3993,Addendum!D:D,IF(ISNUMBER(B3993),TEXT(B3993,"0000"),B3993),Addendum!G:G,"X")&gt;0,7%,0)</f>
        <v>0</v>
      </c>
      <c r="L3993" s="31">
        <f>IF(COUNTIFS(Addendum!C:C,A3993,Addendum!D:D,IF(ISNUMBER(B3993),TEXT(B3993,"0000"),B3993),Addendum!I:I,"X")&gt;0,10%,0)</f>
        <v>0</v>
      </c>
      <c r="M3993" s="34">
        <f t="shared" si="124"/>
        <v>0</v>
      </c>
      <c r="N3993" s="17">
        <f t="shared" si="125"/>
        <v>2700.0419999999999</v>
      </c>
    </row>
    <row r="3994" spans="1:14" x14ac:dyDescent="0.25">
      <c r="A3994" s="17"/>
      <c r="B3994" s="17"/>
      <c r="C3994" s="15" t="s">
        <v>2963</v>
      </c>
      <c r="D3994" s="14"/>
      <c r="E3994" s="14" t="s">
        <v>2841</v>
      </c>
      <c r="F3994" s="17" t="s">
        <v>2994</v>
      </c>
      <c r="G3994" s="14">
        <v>841</v>
      </c>
      <c r="H3994" s="14">
        <v>736.29550000000006</v>
      </c>
      <c r="I3994" s="31">
        <f>IF(COUNTIFS(Addendum!C:C,A3994,Addendum!D:D,IF(ISNUMBER(B3994),TEXT(B3994,"0000"),B3994),Addendum!E:E,"X")&gt;0,4%,0)</f>
        <v>0</v>
      </c>
      <c r="J3994" s="31">
        <f>IF(COUNTIFS(Addendum!C:C,A3994,Addendum!D:D,IF(ISNUMBER(B3994),TEXT(B3994,"0000"),B3994),Addendum!F:F,"X")&gt;0,2.5%,0)</f>
        <v>0</v>
      </c>
      <c r="K3994" s="31">
        <f>IF(COUNTIFS(Addendum!C:C,A3994,Addendum!D:D,IF(ISNUMBER(B3994),TEXT(B3994,"0000"),B3994),Addendum!G:G,"X")&gt;0,7%,0)</f>
        <v>0</v>
      </c>
      <c r="L3994" s="31">
        <f>IF(COUNTIFS(Addendum!C:C,A3994,Addendum!D:D,IF(ISNUMBER(B3994),TEXT(B3994,"0000"),B3994),Addendum!I:I,"X")&gt;0,10%,0)</f>
        <v>0</v>
      </c>
      <c r="M3994" s="34">
        <f t="shared" si="124"/>
        <v>0</v>
      </c>
      <c r="N3994" s="17">
        <f t="shared" si="125"/>
        <v>736.29550000000006</v>
      </c>
    </row>
    <row r="3995" spans="1:14" x14ac:dyDescent="0.25">
      <c r="A3995" s="17"/>
      <c r="B3995" s="17"/>
      <c r="C3995" s="15" t="s">
        <v>2967</v>
      </c>
      <c r="D3995" s="14" t="s">
        <v>1752</v>
      </c>
      <c r="E3995" s="14" t="s">
        <v>1753</v>
      </c>
      <c r="F3995" s="17" t="s">
        <v>2993</v>
      </c>
      <c r="G3995" s="14">
        <v>3653</v>
      </c>
      <c r="H3995" s="14">
        <v>3198.2015000000001</v>
      </c>
      <c r="I3995" s="31">
        <f>IF(COUNTIFS(Addendum!C:C,A3995,Addendum!D:D,IF(ISNUMBER(B3995),TEXT(B3995,"0000"),B3995),Addendum!E:E,"X")&gt;0,4%,0)</f>
        <v>0</v>
      </c>
      <c r="J3995" s="31">
        <f>IF(COUNTIFS(Addendum!C:C,A3995,Addendum!D:D,IF(ISNUMBER(B3995),TEXT(B3995,"0000"),B3995),Addendum!F:F,"X")&gt;0,2.5%,0)</f>
        <v>0</v>
      </c>
      <c r="K3995" s="31">
        <f>IF(COUNTIFS(Addendum!C:C,A3995,Addendum!D:D,IF(ISNUMBER(B3995),TEXT(B3995,"0000"),B3995),Addendum!G:G,"X")&gt;0,7%,0)</f>
        <v>0</v>
      </c>
      <c r="L3995" s="31">
        <f>IF(COUNTIFS(Addendum!C:C,A3995,Addendum!D:D,IF(ISNUMBER(B3995),TEXT(B3995,"0000"),B3995),Addendum!I:I,"X")&gt;0,10%,0)</f>
        <v>0</v>
      </c>
      <c r="M3995" s="34">
        <f t="shared" si="124"/>
        <v>0</v>
      </c>
      <c r="N3995" s="17">
        <f t="shared" si="125"/>
        <v>3198.2015000000001</v>
      </c>
    </row>
    <row r="3996" spans="1:14" x14ac:dyDescent="0.25">
      <c r="A3996" s="17"/>
      <c r="B3996" s="17"/>
      <c r="C3996" s="15" t="s">
        <v>2968</v>
      </c>
      <c r="D3996" s="14" t="s">
        <v>1745</v>
      </c>
      <c r="E3996" s="14" t="s">
        <v>1747</v>
      </c>
      <c r="F3996" s="17" t="s">
        <v>2993</v>
      </c>
      <c r="G3996" s="14">
        <v>40651</v>
      </c>
      <c r="H3996" s="14">
        <v>35589.950499999999</v>
      </c>
      <c r="I3996" s="31">
        <f>IF(COUNTIFS(Addendum!C:C,A3996,Addendum!D:D,IF(ISNUMBER(B3996),TEXT(B3996,"0000"),B3996),Addendum!E:E,"X")&gt;0,4%,0)</f>
        <v>0</v>
      </c>
      <c r="J3996" s="31">
        <f>IF(COUNTIFS(Addendum!C:C,A3996,Addendum!D:D,IF(ISNUMBER(B3996),TEXT(B3996,"0000"),B3996),Addendum!F:F,"X")&gt;0,2.5%,0)</f>
        <v>0</v>
      </c>
      <c r="K3996" s="31">
        <f>IF(COUNTIFS(Addendum!C:C,A3996,Addendum!D:D,IF(ISNUMBER(B3996),TEXT(B3996,"0000"),B3996),Addendum!G:G,"X")&gt;0,7%,0)</f>
        <v>0</v>
      </c>
      <c r="L3996" s="31">
        <f>IF(COUNTIFS(Addendum!C:C,A3996,Addendum!D:D,IF(ISNUMBER(B3996),TEXT(B3996,"0000"),B3996),Addendum!I:I,"X")&gt;0,10%,0)</f>
        <v>0</v>
      </c>
      <c r="M3996" s="34">
        <f t="shared" si="124"/>
        <v>0</v>
      </c>
      <c r="N3996" s="17">
        <f t="shared" si="125"/>
        <v>35589.950499999999</v>
      </c>
    </row>
    <row r="3997" spans="1:14" x14ac:dyDescent="0.25">
      <c r="A3997" s="17"/>
      <c r="B3997" s="17"/>
      <c r="C3997" s="15" t="s">
        <v>2969</v>
      </c>
      <c r="D3997" s="14" t="s">
        <v>1752</v>
      </c>
      <c r="E3997" s="14" t="s">
        <v>1753</v>
      </c>
      <c r="F3997" s="17" t="s">
        <v>2993</v>
      </c>
      <c r="G3997" s="14">
        <v>84961</v>
      </c>
      <c r="H3997" s="14">
        <v>74383.355500000005</v>
      </c>
      <c r="I3997" s="31">
        <f>IF(COUNTIFS(Addendum!C:C,A3997,Addendum!D:D,IF(ISNUMBER(B3997),TEXT(B3997,"0000"),B3997),Addendum!E:E,"X")&gt;0,4%,0)</f>
        <v>0</v>
      </c>
      <c r="J3997" s="31">
        <f>IF(COUNTIFS(Addendum!C:C,A3997,Addendum!D:D,IF(ISNUMBER(B3997),TEXT(B3997,"0000"),B3997),Addendum!F:F,"X")&gt;0,2.5%,0)</f>
        <v>0</v>
      </c>
      <c r="K3997" s="31">
        <f>IF(COUNTIFS(Addendum!C:C,A3997,Addendum!D:D,IF(ISNUMBER(B3997),TEXT(B3997,"0000"),B3997),Addendum!G:G,"X")&gt;0,7%,0)</f>
        <v>0</v>
      </c>
      <c r="L3997" s="31">
        <f>IF(COUNTIFS(Addendum!C:C,A3997,Addendum!D:D,IF(ISNUMBER(B3997),TEXT(B3997,"0000"),B3997),Addendum!I:I,"X")&gt;0,10%,0)</f>
        <v>0</v>
      </c>
      <c r="M3997" s="34">
        <f t="shared" si="124"/>
        <v>0</v>
      </c>
      <c r="N3997" s="17">
        <f t="shared" si="125"/>
        <v>74383.355500000005</v>
      </c>
    </row>
    <row r="3998" spans="1:14" x14ac:dyDescent="0.25">
      <c r="A3998" s="17"/>
      <c r="B3998" s="17"/>
      <c r="C3998" s="15" t="s">
        <v>2970</v>
      </c>
      <c r="D3998" s="14" t="s">
        <v>1745</v>
      </c>
      <c r="E3998" s="14" t="s">
        <v>1746</v>
      </c>
      <c r="F3998" s="17" t="s">
        <v>2993</v>
      </c>
      <c r="G3998" s="14">
        <v>162606</v>
      </c>
      <c r="H3998" s="14">
        <v>142361.45000000001</v>
      </c>
      <c r="I3998" s="31">
        <f>IF(COUNTIFS(Addendum!C:C,A3998,Addendum!D:D,IF(ISNUMBER(B3998),TEXT(B3998,"0000"),B3998),Addendum!E:E,"X")&gt;0,4%,0)</f>
        <v>0</v>
      </c>
      <c r="J3998" s="31">
        <f>IF(COUNTIFS(Addendum!C:C,A3998,Addendum!D:D,IF(ISNUMBER(B3998),TEXT(B3998,"0000"),B3998),Addendum!F:F,"X")&gt;0,2.5%,0)</f>
        <v>0</v>
      </c>
      <c r="K3998" s="31">
        <f>IF(COUNTIFS(Addendum!C:C,A3998,Addendum!D:D,IF(ISNUMBER(B3998),TEXT(B3998,"0000"),B3998),Addendum!G:G,"X")&gt;0,7%,0)</f>
        <v>0</v>
      </c>
      <c r="L3998" s="31">
        <f>IF(COUNTIFS(Addendum!C:C,A3998,Addendum!D:D,IF(ISNUMBER(B3998),TEXT(B3998,"0000"),B3998),Addendum!I:I,"X")&gt;0,10%,0)</f>
        <v>0</v>
      </c>
      <c r="M3998" s="34">
        <f t="shared" si="124"/>
        <v>0</v>
      </c>
      <c r="N3998" s="17">
        <f t="shared" si="125"/>
        <v>142361.45000000001</v>
      </c>
    </row>
    <row r="3999" spans="1:14" x14ac:dyDescent="0.25">
      <c r="A3999" s="17"/>
      <c r="B3999" s="17"/>
      <c r="C3999" s="15" t="s">
        <v>2971</v>
      </c>
      <c r="D3999" s="14" t="s">
        <v>1752</v>
      </c>
      <c r="E3999" s="14" t="s">
        <v>1747</v>
      </c>
      <c r="F3999" s="17" t="s">
        <v>2993</v>
      </c>
      <c r="G3999" s="14">
        <v>339847</v>
      </c>
      <c r="H3999" s="14">
        <v>297535.99700000003</v>
      </c>
      <c r="I3999" s="31">
        <f>IF(COUNTIFS(Addendum!C:C,A3999,Addendum!D:D,IF(ISNUMBER(B3999),TEXT(B3999,"0000"),B3999),Addendum!E:E,"X")&gt;0,4%,0)</f>
        <v>0</v>
      </c>
      <c r="J3999" s="31">
        <f>IF(COUNTIFS(Addendum!C:C,A3999,Addendum!D:D,IF(ISNUMBER(B3999),TEXT(B3999,"0000"),B3999),Addendum!F:F,"X")&gt;0,2.5%,0)</f>
        <v>0</v>
      </c>
      <c r="K3999" s="31">
        <f>IF(COUNTIFS(Addendum!C:C,A3999,Addendum!D:D,IF(ISNUMBER(B3999),TEXT(B3999,"0000"),B3999),Addendum!G:G,"X")&gt;0,7%,0)</f>
        <v>0</v>
      </c>
      <c r="L3999" s="31">
        <f>IF(COUNTIFS(Addendum!C:C,A3999,Addendum!D:D,IF(ISNUMBER(B3999),TEXT(B3999,"0000"),B3999),Addendum!I:I,"X")&gt;0,10%,0)</f>
        <v>0</v>
      </c>
      <c r="M3999" s="34">
        <f t="shared" si="124"/>
        <v>0</v>
      </c>
      <c r="N3999" s="17">
        <f t="shared" si="125"/>
        <v>297535.99700000003</v>
      </c>
    </row>
    <row r="4000" spans="1:14" x14ac:dyDescent="0.25">
      <c r="A4000" s="17"/>
      <c r="B4000" s="17"/>
      <c r="C4000" s="15" t="s">
        <v>2971</v>
      </c>
      <c r="D4000" s="14" t="s">
        <v>1752</v>
      </c>
      <c r="E4000" s="14" t="s">
        <v>1753</v>
      </c>
      <c r="F4000" s="17" t="s">
        <v>2993</v>
      </c>
      <c r="G4000" s="14">
        <v>339847</v>
      </c>
      <c r="H4000" s="14">
        <v>297536.09999999998</v>
      </c>
      <c r="I4000" s="31">
        <f>IF(COUNTIFS(Addendum!C:C,A4000,Addendum!D:D,IF(ISNUMBER(B4000),TEXT(B4000,"0000"),B4000),Addendum!E:E,"X")&gt;0,4%,0)</f>
        <v>0</v>
      </c>
      <c r="J4000" s="31">
        <f>IF(COUNTIFS(Addendum!C:C,A4000,Addendum!D:D,IF(ISNUMBER(B4000),TEXT(B4000,"0000"),B4000),Addendum!F:F,"X")&gt;0,2.5%,0)</f>
        <v>0</v>
      </c>
      <c r="K4000" s="31">
        <f>IF(COUNTIFS(Addendum!C:C,A4000,Addendum!D:D,IF(ISNUMBER(B4000),TEXT(B4000,"0000"),B4000),Addendum!G:G,"X")&gt;0,7%,0)</f>
        <v>0</v>
      </c>
      <c r="L4000" s="31">
        <f>IF(COUNTIFS(Addendum!C:C,A4000,Addendum!D:D,IF(ISNUMBER(B4000),TEXT(B4000,"0000"),B4000),Addendum!I:I,"X")&gt;0,10%,0)</f>
        <v>0</v>
      </c>
      <c r="M4000" s="34">
        <f t="shared" si="124"/>
        <v>0</v>
      </c>
      <c r="N4000" s="17">
        <f t="shared" si="125"/>
        <v>297536.09999999998</v>
      </c>
    </row>
    <row r="4001" spans="1:14" x14ac:dyDescent="0.25">
      <c r="A4001" s="17"/>
      <c r="B4001" s="17"/>
      <c r="C4001" s="15" t="s">
        <v>2972</v>
      </c>
      <c r="D4001" s="14"/>
      <c r="E4001" s="14" t="s">
        <v>2841</v>
      </c>
      <c r="F4001" s="17" t="s">
        <v>2995</v>
      </c>
      <c r="G4001" s="14">
        <v>230076</v>
      </c>
      <c r="H4001" s="14">
        <v>201431.538</v>
      </c>
      <c r="I4001" s="31">
        <f>IF(COUNTIFS(Addendum!C:C,A4001,Addendum!D:D,IF(ISNUMBER(B4001),TEXT(B4001,"0000"),B4001),Addendum!E:E,"X")&gt;0,4%,0)</f>
        <v>0</v>
      </c>
      <c r="J4001" s="31">
        <f>IF(COUNTIFS(Addendum!C:C,A4001,Addendum!D:D,IF(ISNUMBER(B4001),TEXT(B4001,"0000"),B4001),Addendum!F:F,"X")&gt;0,2.5%,0)</f>
        <v>0</v>
      </c>
      <c r="K4001" s="31">
        <f>IF(COUNTIFS(Addendum!C:C,A4001,Addendum!D:D,IF(ISNUMBER(B4001),TEXT(B4001,"0000"),B4001),Addendum!G:G,"X")&gt;0,7%,0)</f>
        <v>0</v>
      </c>
      <c r="L4001" s="31">
        <f>IF(COUNTIFS(Addendum!C:C,A4001,Addendum!D:D,IF(ISNUMBER(B4001),TEXT(B4001,"0000"),B4001),Addendum!I:I,"X")&gt;0,10%,0)</f>
        <v>0</v>
      </c>
      <c r="M4001" s="34">
        <f t="shared" si="124"/>
        <v>0</v>
      </c>
      <c r="N4001" s="17">
        <f t="shared" si="125"/>
        <v>201431.538</v>
      </c>
    </row>
    <row r="4002" spans="1:14" x14ac:dyDescent="0.25">
      <c r="A4002" s="17"/>
      <c r="B4002" s="17"/>
      <c r="C4002" s="15" t="s">
        <v>2973</v>
      </c>
      <c r="D4002" s="14"/>
      <c r="E4002" s="14" t="s">
        <v>2841</v>
      </c>
      <c r="F4002" s="17" t="s">
        <v>2995</v>
      </c>
      <c r="G4002" s="14">
        <v>28759</v>
      </c>
      <c r="H4002" s="14">
        <v>25178.504500000003</v>
      </c>
      <c r="I4002" s="31">
        <f>IF(COUNTIFS(Addendum!C:C,A4002,Addendum!D:D,IF(ISNUMBER(B4002),TEXT(B4002,"0000"),B4002),Addendum!E:E,"X")&gt;0,4%,0)</f>
        <v>0</v>
      </c>
      <c r="J4002" s="31">
        <f>IF(COUNTIFS(Addendum!C:C,A4002,Addendum!D:D,IF(ISNUMBER(B4002),TEXT(B4002,"0000"),B4002),Addendum!F:F,"X")&gt;0,2.5%,0)</f>
        <v>0</v>
      </c>
      <c r="K4002" s="31">
        <f>IF(COUNTIFS(Addendum!C:C,A4002,Addendum!D:D,IF(ISNUMBER(B4002),TEXT(B4002,"0000"),B4002),Addendum!G:G,"X")&gt;0,7%,0)</f>
        <v>0</v>
      </c>
      <c r="L4002" s="31">
        <f>IF(COUNTIFS(Addendum!C:C,A4002,Addendum!D:D,IF(ISNUMBER(B4002),TEXT(B4002,"0000"),B4002),Addendum!I:I,"X")&gt;0,10%,0)</f>
        <v>0</v>
      </c>
      <c r="M4002" s="34">
        <f t="shared" si="124"/>
        <v>0</v>
      </c>
      <c r="N4002" s="17">
        <f t="shared" si="125"/>
        <v>25178.504500000003</v>
      </c>
    </row>
    <row r="4003" spans="1:14" x14ac:dyDescent="0.25">
      <c r="A4003" s="17"/>
      <c r="B4003" s="17"/>
      <c r="C4003" s="15" t="s">
        <v>2970</v>
      </c>
      <c r="D4003" s="14" t="s">
        <v>1745</v>
      </c>
      <c r="E4003" s="14" t="s">
        <v>1747</v>
      </c>
      <c r="F4003" s="17" t="s">
        <v>2993</v>
      </c>
      <c r="G4003" s="14">
        <v>162606</v>
      </c>
      <c r="H4003" s="14">
        <v>142361.55300000001</v>
      </c>
      <c r="I4003" s="31">
        <f>IF(COUNTIFS(Addendum!C:C,A4003,Addendum!D:D,IF(ISNUMBER(B4003),TEXT(B4003,"0000"),B4003),Addendum!E:E,"X")&gt;0,4%,0)</f>
        <v>0</v>
      </c>
      <c r="J4003" s="31">
        <f>IF(COUNTIFS(Addendum!C:C,A4003,Addendum!D:D,IF(ISNUMBER(B4003),TEXT(B4003,"0000"),B4003),Addendum!F:F,"X")&gt;0,2.5%,0)</f>
        <v>0</v>
      </c>
      <c r="K4003" s="31">
        <f>IF(COUNTIFS(Addendum!C:C,A4003,Addendum!D:D,IF(ISNUMBER(B4003),TEXT(B4003,"0000"),B4003),Addendum!G:G,"X")&gt;0,7%,0)</f>
        <v>0</v>
      </c>
      <c r="L4003" s="31">
        <f>IF(COUNTIFS(Addendum!C:C,A4003,Addendum!D:D,IF(ISNUMBER(B4003),TEXT(B4003,"0000"),B4003),Addendum!I:I,"X")&gt;0,10%,0)</f>
        <v>0</v>
      </c>
      <c r="M4003" s="34">
        <f t="shared" si="124"/>
        <v>0</v>
      </c>
      <c r="N4003" s="17">
        <f t="shared" si="125"/>
        <v>142361.55300000001</v>
      </c>
    </row>
    <row r="4004" spans="1:14" x14ac:dyDescent="0.25">
      <c r="A4004" s="17"/>
      <c r="B4004" s="17"/>
      <c r="C4004" s="15" t="s">
        <v>2969</v>
      </c>
      <c r="D4004" s="14" t="s">
        <v>1752</v>
      </c>
      <c r="E4004" s="14" t="s">
        <v>1747</v>
      </c>
      <c r="F4004" s="17" t="s">
        <v>2993</v>
      </c>
      <c r="G4004" s="14">
        <v>84960.99</v>
      </c>
      <c r="H4004" s="14">
        <v>74383.345199999996</v>
      </c>
      <c r="I4004" s="31">
        <f>IF(COUNTIFS(Addendum!C:C,A4004,Addendum!D:D,IF(ISNUMBER(B4004),TEXT(B4004,"0000"),B4004),Addendum!E:E,"X")&gt;0,4%,0)</f>
        <v>0</v>
      </c>
      <c r="J4004" s="31">
        <f>IF(COUNTIFS(Addendum!C:C,A4004,Addendum!D:D,IF(ISNUMBER(B4004),TEXT(B4004,"0000"),B4004),Addendum!F:F,"X")&gt;0,2.5%,0)</f>
        <v>0</v>
      </c>
      <c r="K4004" s="31">
        <f>IF(COUNTIFS(Addendum!C:C,A4004,Addendum!D:D,IF(ISNUMBER(B4004),TEXT(B4004,"0000"),B4004),Addendum!G:G,"X")&gt;0,7%,0)</f>
        <v>0</v>
      </c>
      <c r="L4004" s="31">
        <f>IF(COUNTIFS(Addendum!C:C,A4004,Addendum!D:D,IF(ISNUMBER(B4004),TEXT(B4004,"0000"),B4004),Addendum!I:I,"X")&gt;0,10%,0)</f>
        <v>0</v>
      </c>
      <c r="M4004" s="34">
        <f t="shared" si="124"/>
        <v>0</v>
      </c>
      <c r="N4004" s="17">
        <f t="shared" si="125"/>
        <v>74383.345199999996</v>
      </c>
    </row>
    <row r="4005" spans="1:14" x14ac:dyDescent="0.25">
      <c r="A4005" s="17"/>
      <c r="B4005" s="17"/>
      <c r="C4005" s="15" t="s">
        <v>2973</v>
      </c>
      <c r="D4005" s="14"/>
      <c r="E4005" s="14" t="s">
        <v>2841</v>
      </c>
      <c r="F4005" s="17" t="s">
        <v>2994</v>
      </c>
      <c r="G4005" s="14">
        <v>17974</v>
      </c>
      <c r="H4005" s="14">
        <v>15736.236999999999</v>
      </c>
      <c r="I4005" s="31">
        <f>IF(COUNTIFS(Addendum!C:C,A4005,Addendum!D:D,IF(ISNUMBER(B4005),TEXT(B4005,"0000"),B4005),Addendum!E:E,"X")&gt;0,4%,0)</f>
        <v>0</v>
      </c>
      <c r="J4005" s="31">
        <f>IF(COUNTIFS(Addendum!C:C,A4005,Addendum!D:D,IF(ISNUMBER(B4005),TEXT(B4005,"0000"),B4005),Addendum!F:F,"X")&gt;0,2.5%,0)</f>
        <v>0</v>
      </c>
      <c r="K4005" s="31">
        <f>IF(COUNTIFS(Addendum!C:C,A4005,Addendum!D:D,IF(ISNUMBER(B4005),TEXT(B4005,"0000"),B4005),Addendum!G:G,"X")&gt;0,7%,0)</f>
        <v>0</v>
      </c>
      <c r="L4005" s="31">
        <f>IF(COUNTIFS(Addendum!C:C,A4005,Addendum!D:D,IF(ISNUMBER(B4005),TEXT(B4005,"0000"),B4005),Addendum!I:I,"X")&gt;0,10%,0)</f>
        <v>0</v>
      </c>
      <c r="M4005" s="34">
        <f t="shared" si="124"/>
        <v>0</v>
      </c>
      <c r="N4005" s="17">
        <f t="shared" si="125"/>
        <v>15736.236999999999</v>
      </c>
    </row>
    <row r="4006" spans="1:14" x14ac:dyDescent="0.25">
      <c r="A4006" s="17"/>
      <c r="B4006" s="17"/>
      <c r="C4006" s="15" t="s">
        <v>2968</v>
      </c>
      <c r="D4006" s="14" t="s">
        <v>1745</v>
      </c>
      <c r="E4006" s="14" t="s">
        <v>1746</v>
      </c>
      <c r="F4006" s="17" t="s">
        <v>2993</v>
      </c>
      <c r="G4006" s="14">
        <v>40650.959999999999</v>
      </c>
      <c r="H4006" s="14">
        <v>35590.002</v>
      </c>
      <c r="I4006" s="31">
        <f>IF(COUNTIFS(Addendum!C:C,A4006,Addendum!D:D,IF(ISNUMBER(B4006),TEXT(B4006,"0000"),B4006),Addendum!E:E,"X")&gt;0,4%,0)</f>
        <v>0</v>
      </c>
      <c r="J4006" s="31">
        <f>IF(COUNTIFS(Addendum!C:C,A4006,Addendum!D:D,IF(ISNUMBER(B4006),TEXT(B4006,"0000"),B4006),Addendum!F:F,"X")&gt;0,2.5%,0)</f>
        <v>0</v>
      </c>
      <c r="K4006" s="31">
        <f>IF(COUNTIFS(Addendum!C:C,A4006,Addendum!D:D,IF(ISNUMBER(B4006),TEXT(B4006,"0000"),B4006),Addendum!G:G,"X")&gt;0,7%,0)</f>
        <v>0</v>
      </c>
      <c r="L4006" s="31">
        <f>IF(COUNTIFS(Addendum!C:C,A4006,Addendum!D:D,IF(ISNUMBER(B4006),TEXT(B4006,"0000"),B4006),Addendum!I:I,"X")&gt;0,10%,0)</f>
        <v>0</v>
      </c>
      <c r="M4006" s="34">
        <f t="shared" si="124"/>
        <v>0</v>
      </c>
      <c r="N4006" s="17">
        <f t="shared" si="125"/>
        <v>35590.002</v>
      </c>
    </row>
    <row r="4007" spans="1:14" x14ac:dyDescent="0.25">
      <c r="A4007" s="17"/>
      <c r="B4007" s="17"/>
      <c r="C4007" s="15" t="s">
        <v>2973</v>
      </c>
      <c r="D4007" s="14"/>
      <c r="E4007" s="14" t="s">
        <v>2841</v>
      </c>
      <c r="F4007" s="17" t="s">
        <v>2993</v>
      </c>
      <c r="G4007" s="14">
        <v>71898</v>
      </c>
      <c r="H4007" s="14">
        <v>62946.699000000001</v>
      </c>
      <c r="I4007" s="31">
        <f>IF(COUNTIFS(Addendum!C:C,A4007,Addendum!D:D,IF(ISNUMBER(B4007),TEXT(B4007,"0000"),B4007),Addendum!E:E,"X")&gt;0,4%,0)</f>
        <v>0</v>
      </c>
      <c r="J4007" s="31">
        <f>IF(COUNTIFS(Addendum!C:C,A4007,Addendum!D:D,IF(ISNUMBER(B4007),TEXT(B4007,"0000"),B4007),Addendum!F:F,"X")&gt;0,2.5%,0)</f>
        <v>0</v>
      </c>
      <c r="K4007" s="31">
        <f>IF(COUNTIFS(Addendum!C:C,A4007,Addendum!D:D,IF(ISNUMBER(B4007),TEXT(B4007,"0000"),B4007),Addendum!G:G,"X")&gt;0,7%,0)</f>
        <v>0</v>
      </c>
      <c r="L4007" s="31">
        <f>IF(COUNTIFS(Addendum!C:C,A4007,Addendum!D:D,IF(ISNUMBER(B4007),TEXT(B4007,"0000"),B4007),Addendum!I:I,"X")&gt;0,10%,0)</f>
        <v>0</v>
      </c>
      <c r="M4007" s="34">
        <f t="shared" si="124"/>
        <v>0</v>
      </c>
      <c r="N4007" s="17">
        <f t="shared" si="125"/>
        <v>62946.699000000001</v>
      </c>
    </row>
    <row r="4008" spans="1:14" x14ac:dyDescent="0.25">
      <c r="A4008" s="17"/>
      <c r="B4008" s="17"/>
      <c r="C4008" s="15" t="s">
        <v>2972</v>
      </c>
      <c r="D4008" s="14"/>
      <c r="E4008" s="14" t="s">
        <v>2841</v>
      </c>
      <c r="F4008" s="17" t="s">
        <v>2994</v>
      </c>
      <c r="G4008" s="14">
        <v>143797</v>
      </c>
      <c r="H4008" s="14">
        <v>125894.325</v>
      </c>
      <c r="I4008" s="31">
        <f>IF(COUNTIFS(Addendum!C:C,A4008,Addendum!D:D,IF(ISNUMBER(B4008),TEXT(B4008,"0000"),B4008),Addendum!E:E,"X")&gt;0,4%,0)</f>
        <v>0</v>
      </c>
      <c r="J4008" s="31">
        <f>IF(COUNTIFS(Addendum!C:C,A4008,Addendum!D:D,IF(ISNUMBER(B4008),TEXT(B4008,"0000"),B4008),Addendum!F:F,"X")&gt;0,2.5%,0)</f>
        <v>0</v>
      </c>
      <c r="K4008" s="31">
        <f>IF(COUNTIFS(Addendum!C:C,A4008,Addendum!D:D,IF(ISNUMBER(B4008),TEXT(B4008,"0000"),B4008),Addendum!G:G,"X")&gt;0,7%,0)</f>
        <v>0</v>
      </c>
      <c r="L4008" s="31">
        <f>IF(COUNTIFS(Addendum!C:C,A4008,Addendum!D:D,IF(ISNUMBER(B4008),TEXT(B4008,"0000"),B4008),Addendum!I:I,"X")&gt;0,10%,0)</f>
        <v>0</v>
      </c>
      <c r="M4008" s="34">
        <f t="shared" si="124"/>
        <v>0</v>
      </c>
      <c r="N4008" s="17">
        <f t="shared" si="125"/>
        <v>125894.325</v>
      </c>
    </row>
    <row r="4009" spans="1:14" x14ac:dyDescent="0.25">
      <c r="A4009" s="17"/>
      <c r="B4009" s="17"/>
      <c r="C4009" s="15" t="s">
        <v>2972</v>
      </c>
      <c r="D4009" s="14"/>
      <c r="E4009" s="14" t="s">
        <v>2841</v>
      </c>
      <c r="F4009" s="17" t="s">
        <v>2993</v>
      </c>
      <c r="G4009" s="14">
        <v>575191</v>
      </c>
      <c r="H4009" s="14">
        <v>503579.772</v>
      </c>
      <c r="I4009" s="31">
        <f>IF(COUNTIFS(Addendum!C:C,A4009,Addendum!D:D,IF(ISNUMBER(B4009),TEXT(B4009,"0000"),B4009),Addendum!E:E,"X")&gt;0,4%,0)</f>
        <v>0</v>
      </c>
      <c r="J4009" s="31">
        <f>IF(COUNTIFS(Addendum!C:C,A4009,Addendum!D:D,IF(ISNUMBER(B4009),TEXT(B4009,"0000"),B4009),Addendum!F:F,"X")&gt;0,2.5%,0)</f>
        <v>0</v>
      </c>
      <c r="K4009" s="31">
        <f>IF(COUNTIFS(Addendum!C:C,A4009,Addendum!D:D,IF(ISNUMBER(B4009),TEXT(B4009,"0000"),B4009),Addendum!G:G,"X")&gt;0,7%,0)</f>
        <v>0</v>
      </c>
      <c r="L4009" s="31">
        <f>IF(COUNTIFS(Addendum!C:C,A4009,Addendum!D:D,IF(ISNUMBER(B4009),TEXT(B4009,"0000"),B4009),Addendum!I:I,"X")&gt;0,10%,0)</f>
        <v>0</v>
      </c>
      <c r="M4009" s="34">
        <f t="shared" si="124"/>
        <v>0</v>
      </c>
      <c r="N4009" s="17">
        <f t="shared" si="125"/>
        <v>503579.772</v>
      </c>
    </row>
    <row r="4010" spans="1:14" x14ac:dyDescent="0.25">
      <c r="A4010" s="17"/>
      <c r="B4010" s="17"/>
      <c r="C4010" s="15" t="s">
        <v>2974</v>
      </c>
      <c r="D4010" s="14"/>
      <c r="E4010" s="14" t="s">
        <v>2841</v>
      </c>
      <c r="F4010" s="17" t="s">
        <v>2995</v>
      </c>
      <c r="G4010" s="14">
        <v>425849</v>
      </c>
      <c r="H4010" s="14">
        <v>372830.85100000002</v>
      </c>
      <c r="I4010" s="31">
        <f>IF(COUNTIFS(Addendum!C:C,A4010,Addendum!D:D,IF(ISNUMBER(B4010),TEXT(B4010,"0000"),B4010),Addendum!E:E,"X")&gt;0,4%,0)</f>
        <v>0</v>
      </c>
      <c r="J4010" s="31">
        <f>IF(COUNTIFS(Addendum!C:C,A4010,Addendum!D:D,IF(ISNUMBER(B4010),TEXT(B4010,"0000"),B4010),Addendum!F:F,"X")&gt;0,2.5%,0)</f>
        <v>0</v>
      </c>
      <c r="K4010" s="31">
        <f>IF(COUNTIFS(Addendum!C:C,A4010,Addendum!D:D,IF(ISNUMBER(B4010),TEXT(B4010,"0000"),B4010),Addendum!G:G,"X")&gt;0,7%,0)</f>
        <v>0</v>
      </c>
      <c r="L4010" s="31">
        <f>IF(COUNTIFS(Addendum!C:C,A4010,Addendum!D:D,IF(ISNUMBER(B4010),TEXT(B4010,"0000"),B4010),Addendum!I:I,"X")&gt;0,10%,0)</f>
        <v>0</v>
      </c>
      <c r="M4010" s="34">
        <f t="shared" si="124"/>
        <v>0</v>
      </c>
      <c r="N4010" s="17">
        <f t="shared" si="125"/>
        <v>372830.85100000002</v>
      </c>
    </row>
    <row r="4011" spans="1:14" x14ac:dyDescent="0.25">
      <c r="A4011" s="17"/>
      <c r="B4011" s="17"/>
      <c r="C4011" s="15" t="s">
        <v>2974</v>
      </c>
      <c r="D4011" s="14"/>
      <c r="E4011" s="14" t="s">
        <v>2841</v>
      </c>
      <c r="F4011" s="17" t="s">
        <v>2993</v>
      </c>
      <c r="G4011" s="14">
        <v>1703398</v>
      </c>
      <c r="H4011" s="14">
        <v>1491324.64</v>
      </c>
      <c r="I4011" s="31">
        <f>IF(COUNTIFS(Addendum!C:C,A4011,Addendum!D:D,IF(ISNUMBER(B4011),TEXT(B4011,"0000"),B4011),Addendum!E:E,"X")&gt;0,4%,0)</f>
        <v>0</v>
      </c>
      <c r="J4011" s="31">
        <f>IF(COUNTIFS(Addendum!C:C,A4011,Addendum!D:D,IF(ISNUMBER(B4011),TEXT(B4011,"0000"),B4011),Addendum!F:F,"X")&gt;0,2.5%,0)</f>
        <v>0</v>
      </c>
      <c r="K4011" s="31">
        <f>IF(COUNTIFS(Addendum!C:C,A4011,Addendum!D:D,IF(ISNUMBER(B4011),TEXT(B4011,"0000"),B4011),Addendum!G:G,"X")&gt;0,7%,0)</f>
        <v>0</v>
      </c>
      <c r="L4011" s="31">
        <f>IF(COUNTIFS(Addendum!C:C,A4011,Addendum!D:D,IF(ISNUMBER(B4011),TEXT(B4011,"0000"),B4011),Addendum!I:I,"X")&gt;0,10%,0)</f>
        <v>0</v>
      </c>
      <c r="M4011" s="34">
        <f t="shared" si="124"/>
        <v>0</v>
      </c>
      <c r="N4011" s="17">
        <f t="shared" si="125"/>
        <v>1491324.64</v>
      </c>
    </row>
    <row r="4012" spans="1:14" x14ac:dyDescent="0.25">
      <c r="A4012" s="17"/>
      <c r="B4012" s="17"/>
      <c r="C4012" s="15" t="s">
        <v>2974</v>
      </c>
      <c r="D4012" s="14"/>
      <c r="E4012" s="14" t="s">
        <v>2841</v>
      </c>
      <c r="F4012" s="17" t="s">
        <v>2994</v>
      </c>
      <c r="G4012" s="14">
        <v>425849</v>
      </c>
      <c r="H4012" s="14">
        <v>372830.85100000002</v>
      </c>
      <c r="I4012" s="31">
        <f>IF(COUNTIFS(Addendum!C:C,A4012,Addendum!D:D,IF(ISNUMBER(B4012),TEXT(B4012,"0000"),B4012),Addendum!E:E,"X")&gt;0,4%,0)</f>
        <v>0</v>
      </c>
      <c r="J4012" s="31">
        <f>IF(COUNTIFS(Addendum!C:C,A4012,Addendum!D:D,IF(ISNUMBER(B4012),TEXT(B4012,"0000"),B4012),Addendum!F:F,"X")&gt;0,2.5%,0)</f>
        <v>0</v>
      </c>
      <c r="K4012" s="31">
        <f>IF(COUNTIFS(Addendum!C:C,A4012,Addendum!D:D,IF(ISNUMBER(B4012),TEXT(B4012,"0000"),B4012),Addendum!G:G,"X")&gt;0,7%,0)</f>
        <v>0</v>
      </c>
      <c r="L4012" s="31">
        <f>IF(COUNTIFS(Addendum!C:C,A4012,Addendum!D:D,IF(ISNUMBER(B4012),TEXT(B4012,"0000"),B4012),Addendum!I:I,"X")&gt;0,10%,0)</f>
        <v>0</v>
      </c>
      <c r="M4012" s="34">
        <f t="shared" si="124"/>
        <v>0</v>
      </c>
      <c r="N4012" s="17">
        <f t="shared" si="125"/>
        <v>372830.85100000002</v>
      </c>
    </row>
    <row r="4013" spans="1:14" x14ac:dyDescent="0.25">
      <c r="A4013" s="17"/>
      <c r="B4013" s="17"/>
      <c r="C4013" s="15" t="s">
        <v>2975</v>
      </c>
      <c r="D4013" s="14"/>
      <c r="E4013" s="14" t="s">
        <v>2841</v>
      </c>
      <c r="F4013" s="17" t="s">
        <v>2994</v>
      </c>
      <c r="G4013" s="14">
        <v>3130</v>
      </c>
      <c r="H4013" s="14">
        <v>2740.3150000000001</v>
      </c>
      <c r="I4013" s="31">
        <f>IF(COUNTIFS(Addendum!C:C,A4013,Addendum!D:D,IF(ISNUMBER(B4013),TEXT(B4013,"0000"),B4013),Addendum!E:E,"X")&gt;0,4%,0)</f>
        <v>0</v>
      </c>
      <c r="J4013" s="31">
        <f>IF(COUNTIFS(Addendum!C:C,A4013,Addendum!D:D,IF(ISNUMBER(B4013),TEXT(B4013,"0000"),B4013),Addendum!F:F,"X")&gt;0,2.5%,0)</f>
        <v>0</v>
      </c>
      <c r="K4013" s="31">
        <f>IF(COUNTIFS(Addendum!C:C,A4013,Addendum!D:D,IF(ISNUMBER(B4013),TEXT(B4013,"0000"),B4013),Addendum!G:G,"X")&gt;0,7%,0)</f>
        <v>0</v>
      </c>
      <c r="L4013" s="31">
        <f>IF(COUNTIFS(Addendum!C:C,A4013,Addendum!D:D,IF(ISNUMBER(B4013),TEXT(B4013,"0000"),B4013),Addendum!I:I,"X")&gt;0,10%,0)</f>
        <v>0</v>
      </c>
      <c r="M4013" s="34">
        <f t="shared" si="124"/>
        <v>0</v>
      </c>
      <c r="N4013" s="17">
        <f t="shared" si="125"/>
        <v>2740.3150000000001</v>
      </c>
    </row>
    <row r="4014" spans="1:14" x14ac:dyDescent="0.25">
      <c r="A4014" s="17"/>
      <c r="B4014" s="17"/>
      <c r="C4014" s="15" t="s">
        <v>2976</v>
      </c>
      <c r="D4014" s="14" t="s">
        <v>1752</v>
      </c>
      <c r="E4014" s="14" t="s">
        <v>1747</v>
      </c>
      <c r="F4014" s="17" t="s">
        <v>2993</v>
      </c>
      <c r="G4014" s="14">
        <v>59813.01</v>
      </c>
      <c r="H4014" s="14">
        <v>52366.291799999999</v>
      </c>
      <c r="I4014" s="31">
        <f>IF(COUNTIFS(Addendum!C:C,A4014,Addendum!D:D,IF(ISNUMBER(B4014),TEXT(B4014,"0000"),B4014),Addendum!E:E,"X")&gt;0,4%,0)</f>
        <v>0</v>
      </c>
      <c r="J4014" s="31">
        <f>IF(COUNTIFS(Addendum!C:C,A4014,Addendum!D:D,IF(ISNUMBER(B4014),TEXT(B4014,"0000"),B4014),Addendum!F:F,"X")&gt;0,2.5%,0)</f>
        <v>0</v>
      </c>
      <c r="K4014" s="31">
        <f>IF(COUNTIFS(Addendum!C:C,A4014,Addendum!D:D,IF(ISNUMBER(B4014),TEXT(B4014,"0000"),B4014),Addendum!G:G,"X")&gt;0,7%,0)</f>
        <v>0</v>
      </c>
      <c r="L4014" s="31">
        <f>IF(COUNTIFS(Addendum!C:C,A4014,Addendum!D:D,IF(ISNUMBER(B4014),TEXT(B4014,"0000"),B4014),Addendum!I:I,"X")&gt;0,10%,0)</f>
        <v>0</v>
      </c>
      <c r="M4014" s="34">
        <f t="shared" si="124"/>
        <v>0</v>
      </c>
      <c r="N4014" s="17">
        <f t="shared" si="125"/>
        <v>52366.291799999999</v>
      </c>
    </row>
    <row r="4015" spans="1:14" x14ac:dyDescent="0.25">
      <c r="A4015" s="17"/>
      <c r="B4015" s="17"/>
      <c r="C4015" s="15" t="s">
        <v>2977</v>
      </c>
      <c r="D4015" s="14"/>
      <c r="E4015" s="14" t="s">
        <v>2841</v>
      </c>
      <c r="F4015" s="17" t="s">
        <v>2993</v>
      </c>
      <c r="G4015" s="14">
        <v>99915</v>
      </c>
      <c r="H4015" s="14">
        <v>87475.582500000004</v>
      </c>
      <c r="I4015" s="31">
        <f>IF(COUNTIFS(Addendum!C:C,A4015,Addendum!D:D,IF(ISNUMBER(B4015),TEXT(B4015,"0000"),B4015),Addendum!E:E,"X")&gt;0,4%,0)</f>
        <v>0</v>
      </c>
      <c r="J4015" s="31">
        <f>IF(COUNTIFS(Addendum!C:C,A4015,Addendum!D:D,IF(ISNUMBER(B4015),TEXT(B4015,"0000"),B4015),Addendum!F:F,"X")&gt;0,2.5%,0)</f>
        <v>0</v>
      </c>
      <c r="K4015" s="31">
        <f>IF(COUNTIFS(Addendum!C:C,A4015,Addendum!D:D,IF(ISNUMBER(B4015),TEXT(B4015,"0000"),B4015),Addendum!G:G,"X")&gt;0,7%,0)</f>
        <v>0</v>
      </c>
      <c r="L4015" s="31">
        <f>IF(COUNTIFS(Addendum!C:C,A4015,Addendum!D:D,IF(ISNUMBER(B4015),TEXT(B4015,"0000"),B4015),Addendum!I:I,"X")&gt;0,10%,0)</f>
        <v>0</v>
      </c>
      <c r="M4015" s="34">
        <f t="shared" si="124"/>
        <v>0</v>
      </c>
      <c r="N4015" s="17">
        <f t="shared" si="125"/>
        <v>87475.582500000004</v>
      </c>
    </row>
    <row r="4016" spans="1:14" x14ac:dyDescent="0.25">
      <c r="A4016" s="17"/>
      <c r="B4016" s="17"/>
      <c r="C4016" s="15" t="s">
        <v>2978</v>
      </c>
      <c r="D4016" s="14" t="s">
        <v>1745</v>
      </c>
      <c r="E4016" s="14" t="s">
        <v>1746</v>
      </c>
      <c r="F4016" s="17" t="s">
        <v>2993</v>
      </c>
      <c r="G4016" s="14">
        <v>23364</v>
      </c>
      <c r="H4016" s="14">
        <v>20455.182000000001</v>
      </c>
      <c r="I4016" s="31">
        <f>IF(COUNTIFS(Addendum!C:C,A4016,Addendum!D:D,IF(ISNUMBER(B4016),TEXT(B4016,"0000"),B4016),Addendum!E:E,"X")&gt;0,4%,0)</f>
        <v>0</v>
      </c>
      <c r="J4016" s="31">
        <f>IF(COUNTIFS(Addendum!C:C,A4016,Addendum!D:D,IF(ISNUMBER(B4016),TEXT(B4016,"0000"),B4016),Addendum!F:F,"X")&gt;0,2.5%,0)</f>
        <v>0</v>
      </c>
      <c r="K4016" s="31">
        <f>IF(COUNTIFS(Addendum!C:C,A4016,Addendum!D:D,IF(ISNUMBER(B4016),TEXT(B4016,"0000"),B4016),Addendum!G:G,"X")&gt;0,7%,0)</f>
        <v>0</v>
      </c>
      <c r="L4016" s="31">
        <f>IF(COUNTIFS(Addendum!C:C,A4016,Addendum!D:D,IF(ISNUMBER(B4016),TEXT(B4016,"0000"),B4016),Addendum!I:I,"X")&gt;0,10%,0)</f>
        <v>0</v>
      </c>
      <c r="M4016" s="34">
        <f t="shared" si="124"/>
        <v>0</v>
      </c>
      <c r="N4016" s="17">
        <f t="shared" si="125"/>
        <v>20455.182000000001</v>
      </c>
    </row>
    <row r="4017" spans="1:14" x14ac:dyDescent="0.25">
      <c r="A4017" s="17"/>
      <c r="B4017" s="17"/>
      <c r="C4017" s="15" t="s">
        <v>2979</v>
      </c>
      <c r="D4017" s="14" t="s">
        <v>1745</v>
      </c>
      <c r="E4017" s="14" t="s">
        <v>1747</v>
      </c>
      <c r="F4017" s="17" t="s">
        <v>2993</v>
      </c>
      <c r="G4017" s="14">
        <v>5841</v>
      </c>
      <c r="H4017" s="14">
        <v>5113.7955000000002</v>
      </c>
      <c r="I4017" s="31">
        <f>IF(COUNTIFS(Addendum!C:C,A4017,Addendum!D:D,IF(ISNUMBER(B4017),TEXT(B4017,"0000"),B4017),Addendum!E:E,"X")&gt;0,4%,0)</f>
        <v>0</v>
      </c>
      <c r="J4017" s="31">
        <f>IF(COUNTIFS(Addendum!C:C,A4017,Addendum!D:D,IF(ISNUMBER(B4017),TEXT(B4017,"0000"),B4017),Addendum!F:F,"X")&gt;0,2.5%,0)</f>
        <v>0</v>
      </c>
      <c r="K4017" s="31">
        <f>IF(COUNTIFS(Addendum!C:C,A4017,Addendum!D:D,IF(ISNUMBER(B4017),TEXT(B4017,"0000"),B4017),Addendum!G:G,"X")&gt;0,7%,0)</f>
        <v>0</v>
      </c>
      <c r="L4017" s="31">
        <f>IF(COUNTIFS(Addendum!C:C,A4017,Addendum!D:D,IF(ISNUMBER(B4017),TEXT(B4017,"0000"),B4017),Addendum!I:I,"X")&gt;0,10%,0)</f>
        <v>0</v>
      </c>
      <c r="M4017" s="34">
        <f t="shared" si="124"/>
        <v>0</v>
      </c>
      <c r="N4017" s="17">
        <f t="shared" si="125"/>
        <v>5113.7955000000002</v>
      </c>
    </row>
    <row r="4018" spans="1:14" x14ac:dyDescent="0.25">
      <c r="A4018" s="17"/>
      <c r="B4018" s="17"/>
      <c r="C4018" s="15" t="s">
        <v>2980</v>
      </c>
      <c r="D4018" s="14" t="s">
        <v>1752</v>
      </c>
      <c r="E4018" s="14" t="s">
        <v>1753</v>
      </c>
      <c r="F4018" s="17" t="s">
        <v>2993</v>
      </c>
      <c r="G4018" s="14">
        <v>14929</v>
      </c>
      <c r="H4018" s="14">
        <v>13070.3395</v>
      </c>
      <c r="I4018" s="31">
        <f>IF(COUNTIFS(Addendum!C:C,A4018,Addendum!D:D,IF(ISNUMBER(B4018),TEXT(B4018,"0000"),B4018),Addendum!E:E,"X")&gt;0,4%,0)</f>
        <v>0</v>
      </c>
      <c r="J4018" s="31">
        <f>IF(COUNTIFS(Addendum!C:C,A4018,Addendum!D:D,IF(ISNUMBER(B4018),TEXT(B4018,"0000"),B4018),Addendum!F:F,"X")&gt;0,2.5%,0)</f>
        <v>0</v>
      </c>
      <c r="K4018" s="31">
        <f>IF(COUNTIFS(Addendum!C:C,A4018,Addendum!D:D,IF(ISNUMBER(B4018),TEXT(B4018,"0000"),B4018),Addendum!G:G,"X")&gt;0,7%,0)</f>
        <v>0</v>
      </c>
      <c r="L4018" s="31">
        <f>IF(COUNTIFS(Addendum!C:C,A4018,Addendum!D:D,IF(ISNUMBER(B4018),TEXT(B4018,"0000"),B4018),Addendum!I:I,"X")&gt;0,10%,0)</f>
        <v>0</v>
      </c>
      <c r="M4018" s="34">
        <f t="shared" si="124"/>
        <v>0</v>
      </c>
      <c r="N4018" s="17">
        <f t="shared" si="125"/>
        <v>13070.3395</v>
      </c>
    </row>
    <row r="4019" spans="1:14" x14ac:dyDescent="0.25">
      <c r="A4019" s="17"/>
      <c r="B4019" s="17"/>
      <c r="C4019" s="15" t="s">
        <v>2978</v>
      </c>
      <c r="D4019" s="14" t="s">
        <v>1745</v>
      </c>
      <c r="E4019" s="14" t="s">
        <v>1747</v>
      </c>
      <c r="F4019" s="17" t="s">
        <v>2993</v>
      </c>
      <c r="G4019" s="14">
        <v>23364</v>
      </c>
      <c r="H4019" s="14">
        <v>20455.182000000001</v>
      </c>
      <c r="I4019" s="31">
        <f>IF(COUNTIFS(Addendum!C:C,A4019,Addendum!D:D,IF(ISNUMBER(B4019),TEXT(B4019,"0000"),B4019),Addendum!E:E,"X")&gt;0,4%,0)</f>
        <v>0</v>
      </c>
      <c r="J4019" s="31">
        <f>IF(COUNTIFS(Addendum!C:C,A4019,Addendum!D:D,IF(ISNUMBER(B4019),TEXT(B4019,"0000"),B4019),Addendum!F:F,"X")&gt;0,2.5%,0)</f>
        <v>0</v>
      </c>
      <c r="K4019" s="31">
        <f>IF(COUNTIFS(Addendum!C:C,A4019,Addendum!D:D,IF(ISNUMBER(B4019),TEXT(B4019,"0000"),B4019),Addendum!G:G,"X")&gt;0,7%,0)</f>
        <v>0</v>
      </c>
      <c r="L4019" s="31">
        <f>IF(COUNTIFS(Addendum!C:C,A4019,Addendum!D:D,IF(ISNUMBER(B4019),TEXT(B4019,"0000"),B4019),Addendum!I:I,"X")&gt;0,10%,0)</f>
        <v>0</v>
      </c>
      <c r="M4019" s="34">
        <f t="shared" si="124"/>
        <v>0</v>
      </c>
      <c r="N4019" s="17">
        <f t="shared" si="125"/>
        <v>20455.182000000001</v>
      </c>
    </row>
    <row r="4020" spans="1:14" x14ac:dyDescent="0.25">
      <c r="A4020" s="17"/>
      <c r="B4020" s="17"/>
      <c r="C4020" s="15" t="s">
        <v>2980</v>
      </c>
      <c r="D4020" s="14" t="s">
        <v>1752</v>
      </c>
      <c r="E4020" s="14" t="s">
        <v>1747</v>
      </c>
      <c r="F4020" s="17" t="s">
        <v>2993</v>
      </c>
      <c r="G4020" s="14">
        <v>14928.99</v>
      </c>
      <c r="H4020" s="14">
        <v>13070.3292</v>
      </c>
      <c r="I4020" s="31">
        <f>IF(COUNTIFS(Addendum!C:C,A4020,Addendum!D:D,IF(ISNUMBER(B4020),TEXT(B4020,"0000"),B4020),Addendum!E:E,"X")&gt;0,4%,0)</f>
        <v>0</v>
      </c>
      <c r="J4020" s="31">
        <f>IF(COUNTIFS(Addendum!C:C,A4020,Addendum!D:D,IF(ISNUMBER(B4020),TEXT(B4020,"0000"),B4020),Addendum!F:F,"X")&gt;0,2.5%,0)</f>
        <v>0</v>
      </c>
      <c r="K4020" s="31">
        <f>IF(COUNTIFS(Addendum!C:C,A4020,Addendum!D:D,IF(ISNUMBER(B4020),TEXT(B4020,"0000"),B4020),Addendum!G:G,"X")&gt;0,7%,0)</f>
        <v>0</v>
      </c>
      <c r="L4020" s="31">
        <f>IF(COUNTIFS(Addendum!C:C,A4020,Addendum!D:D,IF(ISNUMBER(B4020),TEXT(B4020,"0000"),B4020),Addendum!I:I,"X")&gt;0,10%,0)</f>
        <v>0</v>
      </c>
      <c r="M4020" s="34">
        <f t="shared" si="124"/>
        <v>0</v>
      </c>
      <c r="N4020" s="17">
        <f t="shared" si="125"/>
        <v>13070.3292</v>
      </c>
    </row>
    <row r="4021" spans="1:14" x14ac:dyDescent="0.25">
      <c r="A4021" s="17"/>
      <c r="B4021" s="17"/>
      <c r="C4021" s="15" t="s">
        <v>2977</v>
      </c>
      <c r="D4021" s="14"/>
      <c r="E4021" s="14" t="s">
        <v>2841</v>
      </c>
      <c r="F4021" s="17" t="s">
        <v>2994</v>
      </c>
      <c r="G4021" s="14">
        <v>24978</v>
      </c>
      <c r="H4021" s="14">
        <v>21868.238999999998</v>
      </c>
      <c r="I4021" s="31">
        <f>IF(COUNTIFS(Addendum!C:C,A4021,Addendum!D:D,IF(ISNUMBER(B4021),TEXT(B4021,"0000"),B4021),Addendum!E:E,"X")&gt;0,4%,0)</f>
        <v>0</v>
      </c>
      <c r="J4021" s="31">
        <f>IF(COUNTIFS(Addendum!C:C,A4021,Addendum!D:D,IF(ISNUMBER(B4021),TEXT(B4021,"0000"),B4021),Addendum!F:F,"X")&gt;0,2.5%,0)</f>
        <v>0</v>
      </c>
      <c r="K4021" s="31">
        <f>IF(COUNTIFS(Addendum!C:C,A4021,Addendum!D:D,IF(ISNUMBER(B4021),TEXT(B4021,"0000"),B4021),Addendum!G:G,"X")&gt;0,7%,0)</f>
        <v>0</v>
      </c>
      <c r="L4021" s="31">
        <f>IF(COUNTIFS(Addendum!C:C,A4021,Addendum!D:D,IF(ISNUMBER(B4021),TEXT(B4021,"0000"),B4021),Addendum!I:I,"X")&gt;0,10%,0)</f>
        <v>0</v>
      </c>
      <c r="M4021" s="34">
        <f t="shared" si="124"/>
        <v>0</v>
      </c>
      <c r="N4021" s="17">
        <f t="shared" si="125"/>
        <v>21868.238999999998</v>
      </c>
    </row>
    <row r="4022" spans="1:14" x14ac:dyDescent="0.25">
      <c r="A4022" s="17"/>
      <c r="B4022" s="17"/>
      <c r="C4022" s="15" t="s">
        <v>2975</v>
      </c>
      <c r="D4022" s="14"/>
      <c r="E4022" s="14" t="s">
        <v>2841</v>
      </c>
      <c r="F4022" s="17" t="s">
        <v>2995</v>
      </c>
      <c r="G4022" s="14">
        <v>5009</v>
      </c>
      <c r="H4022" s="14">
        <v>4385.3795</v>
      </c>
      <c r="I4022" s="31">
        <f>IF(COUNTIFS(Addendum!C:C,A4022,Addendum!D:D,IF(ISNUMBER(B4022),TEXT(B4022,"0000"),B4022),Addendum!E:E,"X")&gt;0,4%,0)</f>
        <v>0</v>
      </c>
      <c r="J4022" s="31">
        <f>IF(COUNTIFS(Addendum!C:C,A4022,Addendum!D:D,IF(ISNUMBER(B4022),TEXT(B4022,"0000"),B4022),Addendum!F:F,"X")&gt;0,2.5%,0)</f>
        <v>0</v>
      </c>
      <c r="K4022" s="31">
        <f>IF(COUNTIFS(Addendum!C:C,A4022,Addendum!D:D,IF(ISNUMBER(B4022),TEXT(B4022,"0000"),B4022),Addendum!G:G,"X")&gt;0,7%,0)</f>
        <v>0</v>
      </c>
      <c r="L4022" s="31">
        <f>IF(COUNTIFS(Addendum!C:C,A4022,Addendum!D:D,IF(ISNUMBER(B4022),TEXT(B4022,"0000"),B4022),Addendum!I:I,"X")&gt;0,10%,0)</f>
        <v>0</v>
      </c>
      <c r="M4022" s="34">
        <f t="shared" si="124"/>
        <v>0</v>
      </c>
      <c r="N4022" s="17">
        <f t="shared" si="125"/>
        <v>4385.3795</v>
      </c>
    </row>
    <row r="4023" spans="1:14" x14ac:dyDescent="0.25">
      <c r="A4023" s="17"/>
      <c r="B4023" s="17"/>
      <c r="C4023" s="15" t="s">
        <v>2975</v>
      </c>
      <c r="D4023" s="14"/>
      <c r="E4023" s="14" t="s">
        <v>2841</v>
      </c>
      <c r="F4023" s="17" t="s">
        <v>2993</v>
      </c>
      <c r="G4023" s="14">
        <v>12523</v>
      </c>
      <c r="H4023" s="14">
        <v>10963.886499999999</v>
      </c>
      <c r="I4023" s="31">
        <f>IF(COUNTIFS(Addendum!C:C,A4023,Addendum!D:D,IF(ISNUMBER(B4023),TEXT(B4023,"0000"),B4023),Addendum!E:E,"X")&gt;0,4%,0)</f>
        <v>0</v>
      </c>
      <c r="J4023" s="31">
        <f>IF(COUNTIFS(Addendum!C:C,A4023,Addendum!D:D,IF(ISNUMBER(B4023),TEXT(B4023,"0000"),B4023),Addendum!F:F,"X")&gt;0,2.5%,0)</f>
        <v>0</v>
      </c>
      <c r="K4023" s="31">
        <f>IF(COUNTIFS(Addendum!C:C,A4023,Addendum!D:D,IF(ISNUMBER(B4023),TEXT(B4023,"0000"),B4023),Addendum!G:G,"X")&gt;0,7%,0)</f>
        <v>0</v>
      </c>
      <c r="L4023" s="31">
        <f>IF(COUNTIFS(Addendum!C:C,A4023,Addendum!D:D,IF(ISNUMBER(B4023),TEXT(B4023,"0000"),B4023),Addendum!I:I,"X")&gt;0,10%,0)</f>
        <v>0</v>
      </c>
      <c r="M4023" s="34">
        <f t="shared" si="124"/>
        <v>0</v>
      </c>
      <c r="N4023" s="17">
        <f t="shared" si="125"/>
        <v>10963.886499999999</v>
      </c>
    </row>
    <row r="4024" spans="1:14" x14ac:dyDescent="0.25">
      <c r="A4024" s="17"/>
      <c r="B4024" s="17"/>
      <c r="C4024" s="15" t="s">
        <v>2977</v>
      </c>
      <c r="D4024" s="14"/>
      <c r="E4024" s="14" t="s">
        <v>2841</v>
      </c>
      <c r="F4024" s="17" t="s">
        <v>2995</v>
      </c>
      <c r="G4024" s="14">
        <v>39966</v>
      </c>
      <c r="H4024" s="14">
        <v>34990.233</v>
      </c>
      <c r="I4024" s="31">
        <f>IF(COUNTIFS(Addendum!C:C,A4024,Addendum!D:D,IF(ISNUMBER(B4024),TEXT(B4024,"0000"),B4024),Addendum!E:E,"X")&gt;0,4%,0)</f>
        <v>0</v>
      </c>
      <c r="J4024" s="31">
        <f>IF(COUNTIFS(Addendum!C:C,A4024,Addendum!D:D,IF(ISNUMBER(B4024),TEXT(B4024,"0000"),B4024),Addendum!F:F,"X")&gt;0,2.5%,0)</f>
        <v>0</v>
      </c>
      <c r="K4024" s="31">
        <f>IF(COUNTIFS(Addendum!C:C,A4024,Addendum!D:D,IF(ISNUMBER(B4024),TEXT(B4024,"0000"),B4024),Addendum!G:G,"X")&gt;0,7%,0)</f>
        <v>0</v>
      </c>
      <c r="L4024" s="31">
        <f>IF(COUNTIFS(Addendum!C:C,A4024,Addendum!D:D,IF(ISNUMBER(B4024),TEXT(B4024,"0000"),B4024),Addendum!I:I,"X")&gt;0,10%,0)</f>
        <v>0</v>
      </c>
      <c r="M4024" s="34">
        <f t="shared" si="124"/>
        <v>0</v>
      </c>
      <c r="N4024" s="17">
        <f t="shared" si="125"/>
        <v>34990.233</v>
      </c>
    </row>
    <row r="4025" spans="1:14" x14ac:dyDescent="0.25">
      <c r="A4025" s="17"/>
      <c r="B4025" s="17"/>
      <c r="C4025" s="15" t="s">
        <v>2976</v>
      </c>
      <c r="D4025" s="14" t="s">
        <v>1752</v>
      </c>
      <c r="E4025" s="14" t="s">
        <v>1753</v>
      </c>
      <c r="F4025" s="17" t="s">
        <v>2993</v>
      </c>
      <c r="G4025" s="14">
        <v>59813</v>
      </c>
      <c r="H4025" s="14">
        <v>52366.281500000005</v>
      </c>
      <c r="I4025" s="31">
        <f>IF(COUNTIFS(Addendum!C:C,A4025,Addendum!D:D,IF(ISNUMBER(B4025),TEXT(B4025,"0000"),B4025),Addendum!E:E,"X")&gt;0,4%,0)</f>
        <v>0</v>
      </c>
      <c r="J4025" s="31">
        <f>IF(COUNTIFS(Addendum!C:C,A4025,Addendum!D:D,IF(ISNUMBER(B4025),TEXT(B4025,"0000"),B4025),Addendum!F:F,"X")&gt;0,2.5%,0)</f>
        <v>0</v>
      </c>
      <c r="K4025" s="31">
        <f>IF(COUNTIFS(Addendum!C:C,A4025,Addendum!D:D,IF(ISNUMBER(B4025),TEXT(B4025,"0000"),B4025),Addendum!G:G,"X")&gt;0,7%,0)</f>
        <v>0</v>
      </c>
      <c r="L4025" s="31">
        <f>IF(COUNTIFS(Addendum!C:C,A4025,Addendum!D:D,IF(ISNUMBER(B4025),TEXT(B4025,"0000"),B4025),Addendum!I:I,"X")&gt;0,10%,0)</f>
        <v>0</v>
      </c>
      <c r="M4025" s="34">
        <f t="shared" si="124"/>
        <v>0</v>
      </c>
      <c r="N4025" s="17">
        <f t="shared" si="125"/>
        <v>52366.281500000005</v>
      </c>
    </row>
    <row r="4026" spans="1:14" x14ac:dyDescent="0.25">
      <c r="A4026" s="17"/>
      <c r="B4026" s="17"/>
      <c r="C4026" s="15" t="s">
        <v>2979</v>
      </c>
      <c r="D4026" s="14" t="s">
        <v>1745</v>
      </c>
      <c r="E4026" s="14" t="s">
        <v>1746</v>
      </c>
      <c r="F4026" s="17" t="s">
        <v>2993</v>
      </c>
      <c r="G4026" s="14">
        <v>5841</v>
      </c>
      <c r="H4026" s="14">
        <v>5113.8263999999999</v>
      </c>
      <c r="I4026" s="31">
        <f>IF(COUNTIFS(Addendum!C:C,A4026,Addendum!D:D,IF(ISNUMBER(B4026),TEXT(B4026,"0000"),B4026),Addendum!E:E,"X")&gt;0,4%,0)</f>
        <v>0</v>
      </c>
      <c r="J4026" s="31">
        <f>IF(COUNTIFS(Addendum!C:C,A4026,Addendum!D:D,IF(ISNUMBER(B4026),TEXT(B4026,"0000"),B4026),Addendum!F:F,"X")&gt;0,2.5%,0)</f>
        <v>0</v>
      </c>
      <c r="K4026" s="31">
        <f>IF(COUNTIFS(Addendum!C:C,A4026,Addendum!D:D,IF(ISNUMBER(B4026),TEXT(B4026,"0000"),B4026),Addendum!G:G,"X")&gt;0,7%,0)</f>
        <v>0</v>
      </c>
      <c r="L4026" s="31">
        <f>IF(COUNTIFS(Addendum!C:C,A4026,Addendum!D:D,IF(ISNUMBER(B4026),TEXT(B4026,"0000"),B4026),Addendum!I:I,"X")&gt;0,10%,0)</f>
        <v>0</v>
      </c>
      <c r="M4026" s="34">
        <f t="shared" si="124"/>
        <v>0</v>
      </c>
      <c r="N4026" s="17">
        <f t="shared" si="125"/>
        <v>5113.8263999999999</v>
      </c>
    </row>
    <row r="4027" spans="1:14" x14ac:dyDescent="0.25">
      <c r="A4027" s="17"/>
      <c r="B4027" s="17"/>
      <c r="C4027" s="15" t="s">
        <v>2981</v>
      </c>
      <c r="D4027" s="14"/>
      <c r="E4027" s="14" t="s">
        <v>2841</v>
      </c>
      <c r="F4027" s="17" t="s">
        <v>2995</v>
      </c>
      <c r="G4027" s="14">
        <v>3610</v>
      </c>
      <c r="H4027" s="14">
        <v>3532.3850000000002</v>
      </c>
      <c r="I4027" s="31">
        <f>IF(COUNTIFS(Addendum!C:C,A4027,Addendum!D:D,IF(ISNUMBER(B4027),TEXT(B4027,"0000"),B4027),Addendum!E:E,"X")&gt;0,4%,0)</f>
        <v>0</v>
      </c>
      <c r="J4027" s="31">
        <f>IF(COUNTIFS(Addendum!C:C,A4027,Addendum!D:D,IF(ISNUMBER(B4027),TEXT(B4027,"0000"),B4027),Addendum!F:F,"X")&gt;0,2.5%,0)</f>
        <v>0</v>
      </c>
      <c r="K4027" s="31">
        <f>IF(COUNTIFS(Addendum!C:C,A4027,Addendum!D:D,IF(ISNUMBER(B4027),TEXT(B4027,"0000"),B4027),Addendum!G:G,"X")&gt;0,7%,0)</f>
        <v>0</v>
      </c>
      <c r="L4027" s="31">
        <f>IF(COUNTIFS(Addendum!C:C,A4027,Addendum!D:D,IF(ISNUMBER(B4027),TEXT(B4027,"0000"),B4027),Addendum!I:I,"X")&gt;0,10%,0)</f>
        <v>0</v>
      </c>
      <c r="M4027" s="34">
        <f t="shared" si="124"/>
        <v>0</v>
      </c>
      <c r="N4027" s="17">
        <f t="shared" si="125"/>
        <v>3532.3850000000002</v>
      </c>
    </row>
    <row r="4028" spans="1:14" x14ac:dyDescent="0.25">
      <c r="A4028" s="17"/>
      <c r="B4028" s="17"/>
      <c r="C4028" s="15" t="s">
        <v>2981</v>
      </c>
      <c r="D4028" s="14"/>
      <c r="E4028" s="14" t="s">
        <v>2841</v>
      </c>
      <c r="F4028" s="17" t="s">
        <v>2994</v>
      </c>
      <c r="G4028" s="14">
        <v>1954</v>
      </c>
      <c r="H4028" s="14">
        <v>1911.989</v>
      </c>
      <c r="I4028" s="31">
        <f>IF(COUNTIFS(Addendum!C:C,A4028,Addendum!D:D,IF(ISNUMBER(B4028),TEXT(B4028,"0000"),B4028),Addendum!E:E,"X")&gt;0,4%,0)</f>
        <v>0</v>
      </c>
      <c r="J4028" s="31">
        <f>IF(COUNTIFS(Addendum!C:C,A4028,Addendum!D:D,IF(ISNUMBER(B4028),TEXT(B4028,"0000"),B4028),Addendum!F:F,"X")&gt;0,2.5%,0)</f>
        <v>0</v>
      </c>
      <c r="K4028" s="31">
        <f>IF(COUNTIFS(Addendum!C:C,A4028,Addendum!D:D,IF(ISNUMBER(B4028),TEXT(B4028,"0000"),B4028),Addendum!G:G,"X")&gt;0,7%,0)</f>
        <v>0</v>
      </c>
      <c r="L4028" s="31">
        <f>IF(COUNTIFS(Addendum!C:C,A4028,Addendum!D:D,IF(ISNUMBER(B4028),TEXT(B4028,"0000"),B4028),Addendum!I:I,"X")&gt;0,10%,0)</f>
        <v>0</v>
      </c>
      <c r="M4028" s="34">
        <f t="shared" si="124"/>
        <v>0</v>
      </c>
      <c r="N4028" s="17">
        <f t="shared" si="125"/>
        <v>1911.989</v>
      </c>
    </row>
    <row r="4029" spans="1:14" x14ac:dyDescent="0.25">
      <c r="A4029" s="17"/>
      <c r="B4029" s="17"/>
      <c r="C4029" s="15" t="s">
        <v>2981</v>
      </c>
      <c r="D4029" s="14"/>
      <c r="E4029" s="14" t="s">
        <v>2841</v>
      </c>
      <c r="F4029" s="17" t="s">
        <v>2993</v>
      </c>
      <c r="G4029" s="14">
        <v>14443</v>
      </c>
      <c r="H4029" s="14">
        <v>14132.4755</v>
      </c>
      <c r="I4029" s="31">
        <f>IF(COUNTIFS(Addendum!C:C,A4029,Addendum!D:D,IF(ISNUMBER(B4029),TEXT(B4029,"0000"),B4029),Addendum!E:E,"X")&gt;0,4%,0)</f>
        <v>0</v>
      </c>
      <c r="J4029" s="31">
        <f>IF(COUNTIFS(Addendum!C:C,A4029,Addendum!D:D,IF(ISNUMBER(B4029),TEXT(B4029,"0000"),B4029),Addendum!F:F,"X")&gt;0,2.5%,0)</f>
        <v>0</v>
      </c>
      <c r="K4029" s="31">
        <f>IF(COUNTIFS(Addendum!C:C,A4029,Addendum!D:D,IF(ISNUMBER(B4029),TEXT(B4029,"0000"),B4029),Addendum!G:G,"X")&gt;0,7%,0)</f>
        <v>0</v>
      </c>
      <c r="L4029" s="31">
        <f>IF(COUNTIFS(Addendum!C:C,A4029,Addendum!D:D,IF(ISNUMBER(B4029),TEXT(B4029,"0000"),B4029),Addendum!I:I,"X")&gt;0,10%,0)</f>
        <v>0</v>
      </c>
      <c r="M4029" s="34">
        <f t="shared" si="124"/>
        <v>0</v>
      </c>
      <c r="N4029" s="17">
        <f t="shared" si="125"/>
        <v>14132.4755</v>
      </c>
    </row>
    <row r="4030" spans="1:14" x14ac:dyDescent="0.25">
      <c r="A4030" s="17"/>
      <c r="B4030" s="17"/>
      <c r="C4030" s="15" t="s">
        <v>2982</v>
      </c>
      <c r="D4030" s="14"/>
      <c r="E4030" s="14" t="s">
        <v>2841</v>
      </c>
      <c r="F4030" s="17" t="s">
        <v>2995</v>
      </c>
      <c r="G4030" s="14">
        <v>3610</v>
      </c>
      <c r="H4030" s="14">
        <v>3532.3850000000002</v>
      </c>
      <c r="I4030" s="31">
        <f>IF(COUNTIFS(Addendum!C:C,A4030,Addendum!D:D,IF(ISNUMBER(B4030),TEXT(B4030,"0000"),B4030),Addendum!E:E,"X")&gt;0,4%,0)</f>
        <v>0</v>
      </c>
      <c r="J4030" s="31">
        <f>IF(COUNTIFS(Addendum!C:C,A4030,Addendum!D:D,IF(ISNUMBER(B4030),TEXT(B4030,"0000"),B4030),Addendum!F:F,"X")&gt;0,2.5%,0)</f>
        <v>0</v>
      </c>
      <c r="K4030" s="31">
        <f>IF(COUNTIFS(Addendum!C:C,A4030,Addendum!D:D,IF(ISNUMBER(B4030),TEXT(B4030,"0000"),B4030),Addendum!G:G,"X")&gt;0,7%,0)</f>
        <v>0</v>
      </c>
      <c r="L4030" s="31">
        <f>IF(COUNTIFS(Addendum!C:C,A4030,Addendum!D:D,IF(ISNUMBER(B4030),TEXT(B4030,"0000"),B4030),Addendum!I:I,"X")&gt;0,10%,0)</f>
        <v>0</v>
      </c>
      <c r="M4030" s="34">
        <f t="shared" si="124"/>
        <v>0</v>
      </c>
      <c r="N4030" s="17">
        <f t="shared" si="125"/>
        <v>3532.3850000000002</v>
      </c>
    </row>
    <row r="4031" spans="1:14" x14ac:dyDescent="0.25">
      <c r="A4031" s="17"/>
      <c r="B4031" s="17"/>
      <c r="C4031" s="15" t="s">
        <v>2982</v>
      </c>
      <c r="D4031" s="14"/>
      <c r="E4031" s="14" t="s">
        <v>2841</v>
      </c>
      <c r="F4031" s="17" t="s">
        <v>2993</v>
      </c>
      <c r="G4031" s="14">
        <v>14443</v>
      </c>
      <c r="H4031" s="14">
        <v>14132.4755</v>
      </c>
      <c r="I4031" s="31">
        <f>IF(COUNTIFS(Addendum!C:C,A4031,Addendum!D:D,IF(ISNUMBER(B4031),TEXT(B4031,"0000"),B4031),Addendum!E:E,"X")&gt;0,4%,0)</f>
        <v>0</v>
      </c>
      <c r="J4031" s="31">
        <f>IF(COUNTIFS(Addendum!C:C,A4031,Addendum!D:D,IF(ISNUMBER(B4031),TEXT(B4031,"0000"),B4031),Addendum!F:F,"X")&gt;0,2.5%,0)</f>
        <v>0</v>
      </c>
      <c r="K4031" s="31">
        <f>IF(COUNTIFS(Addendum!C:C,A4031,Addendum!D:D,IF(ISNUMBER(B4031),TEXT(B4031,"0000"),B4031),Addendum!G:G,"X")&gt;0,7%,0)</f>
        <v>0</v>
      </c>
      <c r="L4031" s="31">
        <f>IF(COUNTIFS(Addendum!C:C,A4031,Addendum!D:D,IF(ISNUMBER(B4031),TEXT(B4031,"0000"),B4031),Addendum!I:I,"X")&gt;0,10%,0)</f>
        <v>0</v>
      </c>
      <c r="M4031" s="34">
        <f t="shared" si="124"/>
        <v>0</v>
      </c>
      <c r="N4031" s="17">
        <f t="shared" si="125"/>
        <v>14132.4755</v>
      </c>
    </row>
    <row r="4032" spans="1:14" ht="15.75" thickBot="1" x14ac:dyDescent="0.3">
      <c r="A4032" s="18"/>
      <c r="B4032" s="18"/>
      <c r="C4032" s="19" t="s">
        <v>2982</v>
      </c>
      <c r="D4032" s="20"/>
      <c r="E4032" s="20" t="s">
        <v>2841</v>
      </c>
      <c r="F4032" s="18" t="s">
        <v>2994</v>
      </c>
      <c r="G4032" s="20">
        <v>1954</v>
      </c>
      <c r="H4032" s="20">
        <v>1911.989</v>
      </c>
      <c r="I4032" s="32">
        <f>IF(COUNTIFS(Addendum!C:C,A4032,Addendum!D:D,IF(ISNUMBER(B4032),TEXT(B4032,"0000"),B4032),Addendum!E:E,"X")&gt;0,4%,0)</f>
        <v>0</v>
      </c>
      <c r="J4032" s="32">
        <f>IF(COUNTIFS(Addendum!C:C,A4032,Addendum!D:D,IF(ISNUMBER(B4032),TEXT(B4032,"0000"),B4032),Addendum!F:F,"X")&gt;0,2.5%,0)</f>
        <v>0</v>
      </c>
      <c r="K4032" s="32">
        <f>IF(COUNTIFS(Addendum!C:C,A4032,Addendum!D:D,IF(ISNUMBER(B4032),TEXT(B4032,"0000"),B4032),Addendum!G:G,"X")&gt;0,7%,0)</f>
        <v>0</v>
      </c>
      <c r="L4032" s="32">
        <f>IF(COUNTIFS(Addendum!C:C,A4032,Addendum!D:D,IF(ISNUMBER(B4032),TEXT(B4032,"0000"),B4032),Addendum!I:I,"X")&gt;0,10%,0)</f>
        <v>0</v>
      </c>
      <c r="M4032" s="34">
        <f t="shared" si="124"/>
        <v>0</v>
      </c>
      <c r="N4032" s="18">
        <f t="shared" si="125"/>
        <v>1911.989</v>
      </c>
    </row>
  </sheetData>
  <autoFilter ref="A2:M4032" xr:uid="{CBC2D6D2-D656-4D3E-AE06-96B424145B83}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FAAB-4890-4C5E-8630-D27190AE7C4C}">
  <dimension ref="A1:H4032"/>
  <sheetViews>
    <sheetView tabSelected="1" workbookViewId="0">
      <selection activeCell="P21" sqref="P21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9" style="21" customWidth="1"/>
    <col min="4" max="4" width="18.140625" bestFit="1" customWidth="1"/>
    <col min="5" max="5" width="15" bestFit="1" customWidth="1"/>
    <col min="6" max="6" width="14.140625" bestFit="1" customWidth="1"/>
    <col min="7" max="7" width="13.85546875" bestFit="1" customWidth="1"/>
    <col min="8" max="8" width="18.7109375" style="36" bestFit="1" customWidth="1"/>
  </cols>
  <sheetData>
    <row r="1" spans="1:8" ht="15.75" thickBot="1" x14ac:dyDescent="0.3"/>
    <row r="2" spans="1:8" ht="30" x14ac:dyDescent="0.25">
      <c r="A2" s="12" t="s">
        <v>1738</v>
      </c>
      <c r="B2" s="12" t="s">
        <v>1739</v>
      </c>
      <c r="C2" s="13" t="s">
        <v>1740</v>
      </c>
      <c r="D2" s="12" t="s">
        <v>1741</v>
      </c>
      <c r="E2" s="12" t="s">
        <v>1742</v>
      </c>
      <c r="F2" s="12" t="s">
        <v>1743</v>
      </c>
      <c r="G2" s="12" t="s">
        <v>1744</v>
      </c>
      <c r="H2" s="22" t="s">
        <v>2998</v>
      </c>
    </row>
    <row r="3" spans="1:8" x14ac:dyDescent="0.25">
      <c r="A3" s="14" t="s">
        <v>12</v>
      </c>
      <c r="B3" s="14">
        <v>1</v>
      </c>
      <c r="C3" s="15" t="s">
        <v>11</v>
      </c>
      <c r="D3" s="14" t="s">
        <v>1745</v>
      </c>
      <c r="E3" s="14" t="s">
        <v>1746</v>
      </c>
      <c r="F3" s="14">
        <v>2079</v>
      </c>
      <c r="G3" s="14">
        <v>1663.2</v>
      </c>
      <c r="H3" s="37">
        <f>'Calculation Sheet'!N3</f>
        <v>1646.568</v>
      </c>
    </row>
    <row r="4" spans="1:8" x14ac:dyDescent="0.25">
      <c r="A4" s="14" t="s">
        <v>12</v>
      </c>
      <c r="B4" s="14">
        <v>1</v>
      </c>
      <c r="C4" s="15" t="s">
        <v>11</v>
      </c>
      <c r="D4" s="14" t="s">
        <v>1745</v>
      </c>
      <c r="E4" s="14" t="s">
        <v>1747</v>
      </c>
      <c r="F4" s="14">
        <v>1980</v>
      </c>
      <c r="G4" s="14">
        <v>1584</v>
      </c>
      <c r="H4" s="37">
        <f>'Calculation Sheet'!N4</f>
        <v>1536.48</v>
      </c>
    </row>
    <row r="5" spans="1:8" x14ac:dyDescent="0.25">
      <c r="A5" s="14" t="s">
        <v>12</v>
      </c>
      <c r="B5" s="14">
        <v>5</v>
      </c>
      <c r="C5" s="15" t="s">
        <v>21</v>
      </c>
      <c r="D5" s="14" t="s">
        <v>1745</v>
      </c>
      <c r="E5" s="14" t="s">
        <v>1746</v>
      </c>
      <c r="F5" s="14">
        <v>1386</v>
      </c>
      <c r="G5" s="14">
        <v>1108.8</v>
      </c>
      <c r="H5" s="37">
        <f>'Calculation Sheet'!N5</f>
        <v>1097.712</v>
      </c>
    </row>
    <row r="6" spans="1:8" x14ac:dyDescent="0.25">
      <c r="A6" s="14" t="s">
        <v>12</v>
      </c>
      <c r="B6" s="14">
        <v>4</v>
      </c>
      <c r="C6" s="15" t="s">
        <v>1748</v>
      </c>
      <c r="D6" s="14" t="s">
        <v>1745</v>
      </c>
      <c r="E6" s="14" t="s">
        <v>1747</v>
      </c>
      <c r="F6" s="14">
        <v>1980</v>
      </c>
      <c r="G6" s="14">
        <v>1584</v>
      </c>
      <c r="H6" s="37">
        <f>'Calculation Sheet'!N6</f>
        <v>1536.48</v>
      </c>
    </row>
    <row r="7" spans="1:8" x14ac:dyDescent="0.25">
      <c r="A7" s="14" t="s">
        <v>12</v>
      </c>
      <c r="B7" s="14">
        <v>5</v>
      </c>
      <c r="C7" s="15" t="s">
        <v>21</v>
      </c>
      <c r="D7" s="14" t="s">
        <v>1745</v>
      </c>
      <c r="E7" s="14" t="s">
        <v>1747</v>
      </c>
      <c r="F7" s="14">
        <v>1320</v>
      </c>
      <c r="G7" s="14">
        <v>1056</v>
      </c>
      <c r="H7" s="37">
        <f>'Calculation Sheet'!N7</f>
        <v>1024.32</v>
      </c>
    </row>
    <row r="8" spans="1:8" x14ac:dyDescent="0.25">
      <c r="A8" s="14" t="s">
        <v>12</v>
      </c>
      <c r="B8" s="14">
        <v>1</v>
      </c>
      <c r="C8" s="15" t="s">
        <v>11</v>
      </c>
      <c r="D8" s="14" t="s">
        <v>1749</v>
      </c>
      <c r="E8" s="14" t="s">
        <v>1746</v>
      </c>
      <c r="F8" s="14">
        <v>198</v>
      </c>
      <c r="G8" s="14">
        <v>158.4</v>
      </c>
      <c r="H8" s="37">
        <f>'Calculation Sheet'!N8</f>
        <v>156.816</v>
      </c>
    </row>
    <row r="9" spans="1:8" x14ac:dyDescent="0.25">
      <c r="A9" s="14" t="s">
        <v>12</v>
      </c>
      <c r="B9" s="14">
        <v>4</v>
      </c>
      <c r="C9" s="15" t="s">
        <v>1748</v>
      </c>
      <c r="D9" s="14" t="s">
        <v>1749</v>
      </c>
      <c r="E9" s="14" t="s">
        <v>1746</v>
      </c>
      <c r="F9" s="14">
        <v>198</v>
      </c>
      <c r="G9" s="14">
        <v>158.4</v>
      </c>
      <c r="H9" s="37">
        <f>'Calculation Sheet'!N9</f>
        <v>156.816</v>
      </c>
    </row>
    <row r="10" spans="1:8" x14ac:dyDescent="0.25">
      <c r="A10" s="14" t="s">
        <v>12</v>
      </c>
      <c r="B10" s="14">
        <v>5</v>
      </c>
      <c r="C10" s="15" t="s">
        <v>21</v>
      </c>
      <c r="D10" s="14" t="s">
        <v>1749</v>
      </c>
      <c r="E10" s="14" t="s">
        <v>1746</v>
      </c>
      <c r="F10" s="14">
        <v>132</v>
      </c>
      <c r="G10" s="14">
        <v>105.6</v>
      </c>
      <c r="H10" s="37">
        <f>'Calculation Sheet'!N10</f>
        <v>104.544</v>
      </c>
    </row>
    <row r="11" spans="1:8" x14ac:dyDescent="0.25">
      <c r="A11" s="14" t="s">
        <v>12</v>
      </c>
      <c r="B11" s="14">
        <v>4</v>
      </c>
      <c r="C11" s="15" t="s">
        <v>1748</v>
      </c>
      <c r="D11" s="14" t="s">
        <v>1745</v>
      </c>
      <c r="E11" s="14" t="s">
        <v>1746</v>
      </c>
      <c r="F11" s="14">
        <v>2079</v>
      </c>
      <c r="G11" s="14">
        <v>1663.2</v>
      </c>
      <c r="H11" s="37">
        <f>'Calculation Sheet'!N11</f>
        <v>1646.568</v>
      </c>
    </row>
    <row r="12" spans="1:8" x14ac:dyDescent="0.25">
      <c r="A12" s="14" t="s">
        <v>1750</v>
      </c>
      <c r="B12" s="14">
        <v>1</v>
      </c>
      <c r="C12" s="15" t="s">
        <v>1751</v>
      </c>
      <c r="D12" s="14" t="s">
        <v>1745</v>
      </c>
      <c r="E12" s="14" t="s">
        <v>1746</v>
      </c>
      <c r="F12" s="14">
        <v>2079</v>
      </c>
      <c r="G12" s="14">
        <v>1663.2</v>
      </c>
      <c r="H12" s="37">
        <f>'Calculation Sheet'!N12</f>
        <v>1663.2</v>
      </c>
    </row>
    <row r="13" spans="1:8" x14ac:dyDescent="0.25">
      <c r="A13" s="14" t="s">
        <v>1750</v>
      </c>
      <c r="B13" s="14">
        <v>1</v>
      </c>
      <c r="C13" s="15" t="s">
        <v>1751</v>
      </c>
      <c r="D13" s="14" t="s">
        <v>1752</v>
      </c>
      <c r="E13" s="14" t="s">
        <v>1753</v>
      </c>
      <c r="F13" s="14">
        <v>5940</v>
      </c>
      <c r="G13" s="14">
        <v>4752</v>
      </c>
      <c r="H13" s="37">
        <f>'Calculation Sheet'!N13</f>
        <v>4752</v>
      </c>
    </row>
    <row r="14" spans="1:8" x14ac:dyDescent="0.25">
      <c r="A14" s="14" t="s">
        <v>1750</v>
      </c>
      <c r="B14" s="14">
        <v>1</v>
      </c>
      <c r="C14" s="15" t="s">
        <v>1751</v>
      </c>
      <c r="D14" s="14" t="s">
        <v>1745</v>
      </c>
      <c r="E14" s="14" t="s">
        <v>1747</v>
      </c>
      <c r="F14" s="14">
        <v>1980</v>
      </c>
      <c r="G14" s="14">
        <v>1584</v>
      </c>
      <c r="H14" s="37">
        <f>'Calculation Sheet'!N14</f>
        <v>1584</v>
      </c>
    </row>
    <row r="15" spans="1:8" x14ac:dyDescent="0.25">
      <c r="A15" s="14" t="s">
        <v>1750</v>
      </c>
      <c r="B15" s="14">
        <v>1</v>
      </c>
      <c r="C15" s="15" t="s">
        <v>1751</v>
      </c>
      <c r="D15" s="14" t="s">
        <v>1752</v>
      </c>
      <c r="E15" s="14" t="s">
        <v>1747</v>
      </c>
      <c r="F15" s="14">
        <v>5940</v>
      </c>
      <c r="G15" s="14">
        <v>4752</v>
      </c>
      <c r="H15" s="37">
        <f>'Calculation Sheet'!N15</f>
        <v>4752</v>
      </c>
    </row>
    <row r="16" spans="1:8" x14ac:dyDescent="0.25">
      <c r="A16" s="14" t="s">
        <v>26</v>
      </c>
      <c r="B16" s="14" t="s">
        <v>16</v>
      </c>
      <c r="C16" s="15" t="s">
        <v>1754</v>
      </c>
      <c r="D16" s="14" t="s">
        <v>1745</v>
      </c>
      <c r="E16" s="14" t="s">
        <v>1746</v>
      </c>
      <c r="F16" s="14">
        <v>5040</v>
      </c>
      <c r="G16" s="14">
        <v>4536</v>
      </c>
      <c r="H16" s="37">
        <f>'Calculation Sheet'!N16</f>
        <v>4490.6400000000003</v>
      </c>
    </row>
    <row r="17" spans="1:8" x14ac:dyDescent="0.25">
      <c r="A17" s="14" t="s">
        <v>26</v>
      </c>
      <c r="B17" s="14" t="s">
        <v>24</v>
      </c>
      <c r="C17" s="15" t="s">
        <v>1755</v>
      </c>
      <c r="D17" s="14" t="s">
        <v>1745</v>
      </c>
      <c r="E17" s="14" t="s">
        <v>1746</v>
      </c>
      <c r="F17" s="14">
        <v>1890</v>
      </c>
      <c r="G17" s="14">
        <v>1512</v>
      </c>
      <c r="H17" s="37">
        <f>'Calculation Sheet'!N17</f>
        <v>1496.88</v>
      </c>
    </row>
    <row r="18" spans="1:8" x14ac:dyDescent="0.25">
      <c r="A18" s="14" t="s">
        <v>26</v>
      </c>
      <c r="B18" s="14" t="s">
        <v>20</v>
      </c>
      <c r="C18" s="15" t="s">
        <v>1756</v>
      </c>
      <c r="D18" s="14" t="s">
        <v>1745</v>
      </c>
      <c r="E18" s="14" t="s">
        <v>1746</v>
      </c>
      <c r="F18" s="14">
        <v>2520</v>
      </c>
      <c r="G18" s="14">
        <v>2016</v>
      </c>
      <c r="H18" s="37">
        <f>'Calculation Sheet'!N18</f>
        <v>1995.84</v>
      </c>
    </row>
    <row r="19" spans="1:8" x14ac:dyDescent="0.25">
      <c r="A19" s="14" t="s">
        <v>26</v>
      </c>
      <c r="B19" s="14" t="s">
        <v>20</v>
      </c>
      <c r="C19" s="15" t="s">
        <v>1756</v>
      </c>
      <c r="D19" s="14" t="s">
        <v>1745</v>
      </c>
      <c r="E19" s="14" t="s">
        <v>1747</v>
      </c>
      <c r="F19" s="14">
        <v>2400</v>
      </c>
      <c r="G19" s="14">
        <v>1920</v>
      </c>
      <c r="H19" s="37">
        <f>'Calculation Sheet'!N19</f>
        <v>1862.4</v>
      </c>
    </row>
    <row r="20" spans="1:8" x14ac:dyDescent="0.25">
      <c r="A20" s="14" t="s">
        <v>26</v>
      </c>
      <c r="B20" s="14" t="s">
        <v>16</v>
      </c>
      <c r="C20" s="15" t="s">
        <v>1754</v>
      </c>
      <c r="D20" s="14" t="s">
        <v>1749</v>
      </c>
      <c r="E20" s="14" t="s">
        <v>1746</v>
      </c>
      <c r="F20" s="14">
        <v>480</v>
      </c>
      <c r="G20" s="14">
        <v>432</v>
      </c>
      <c r="H20" s="37">
        <f>'Calculation Sheet'!N20</f>
        <v>427.68</v>
      </c>
    </row>
    <row r="21" spans="1:8" x14ac:dyDescent="0.25">
      <c r="A21" s="14" t="s">
        <v>26</v>
      </c>
      <c r="B21" s="14" t="s">
        <v>24</v>
      </c>
      <c r="C21" s="15" t="s">
        <v>1755</v>
      </c>
      <c r="D21" s="14" t="s">
        <v>1749</v>
      </c>
      <c r="E21" s="14" t="s">
        <v>1746</v>
      </c>
      <c r="F21" s="14">
        <v>180</v>
      </c>
      <c r="G21" s="14">
        <v>144</v>
      </c>
      <c r="H21" s="37">
        <f>'Calculation Sheet'!N21</f>
        <v>142.56</v>
      </c>
    </row>
    <row r="22" spans="1:8" x14ac:dyDescent="0.25">
      <c r="A22" s="14" t="s">
        <v>26</v>
      </c>
      <c r="B22" s="14">
        <v>1</v>
      </c>
      <c r="C22" s="15" t="s">
        <v>25</v>
      </c>
      <c r="D22" s="14" t="s">
        <v>1749</v>
      </c>
      <c r="E22" s="14" t="s">
        <v>1746</v>
      </c>
      <c r="F22" s="14">
        <v>1200</v>
      </c>
      <c r="G22" s="14">
        <v>960</v>
      </c>
      <c r="H22" s="37">
        <f>'Calculation Sheet'!N22</f>
        <v>950.4</v>
      </c>
    </row>
    <row r="23" spans="1:8" x14ac:dyDescent="0.25">
      <c r="A23" s="14" t="s">
        <v>26</v>
      </c>
      <c r="B23" s="14" t="s">
        <v>16</v>
      </c>
      <c r="C23" s="15" t="s">
        <v>1754</v>
      </c>
      <c r="D23" s="14" t="s">
        <v>1745</v>
      </c>
      <c r="E23" s="14" t="s">
        <v>1747</v>
      </c>
      <c r="F23" s="14">
        <v>4800</v>
      </c>
      <c r="G23" s="14">
        <v>4320</v>
      </c>
      <c r="H23" s="37">
        <f>'Calculation Sheet'!N23</f>
        <v>4190.3999999999996</v>
      </c>
    </row>
    <row r="24" spans="1:8" x14ac:dyDescent="0.25">
      <c r="A24" s="14" t="s">
        <v>26</v>
      </c>
      <c r="B24" s="14">
        <v>1</v>
      </c>
      <c r="C24" s="15" t="s">
        <v>25</v>
      </c>
      <c r="D24" s="14" t="s">
        <v>1745</v>
      </c>
      <c r="E24" s="14" t="s">
        <v>1747</v>
      </c>
      <c r="F24" s="14">
        <v>12000</v>
      </c>
      <c r="G24" s="14">
        <v>9600</v>
      </c>
      <c r="H24" s="37">
        <f>'Calculation Sheet'!N24</f>
        <v>9312</v>
      </c>
    </row>
    <row r="25" spans="1:8" x14ac:dyDescent="0.25">
      <c r="A25" s="14" t="s">
        <v>26</v>
      </c>
      <c r="B25" s="14">
        <v>1</v>
      </c>
      <c r="C25" s="15" t="s">
        <v>25</v>
      </c>
      <c r="D25" s="14" t="s">
        <v>1745</v>
      </c>
      <c r="E25" s="14" t="s">
        <v>1746</v>
      </c>
      <c r="F25" s="14">
        <v>12600</v>
      </c>
      <c r="G25" s="14">
        <v>10080</v>
      </c>
      <c r="H25" s="37">
        <f>'Calculation Sheet'!N25</f>
        <v>9979.2000000000007</v>
      </c>
    </row>
    <row r="26" spans="1:8" x14ac:dyDescent="0.25">
      <c r="A26" s="14" t="s">
        <v>26</v>
      </c>
      <c r="B26" s="14" t="s">
        <v>24</v>
      </c>
      <c r="C26" s="15" t="s">
        <v>1755</v>
      </c>
      <c r="D26" s="14" t="s">
        <v>1745</v>
      </c>
      <c r="E26" s="14" t="s">
        <v>1747</v>
      </c>
      <c r="F26" s="14">
        <v>1800</v>
      </c>
      <c r="G26" s="14">
        <v>1440</v>
      </c>
      <c r="H26" s="37">
        <f>'Calculation Sheet'!N26</f>
        <v>1396.8</v>
      </c>
    </row>
    <row r="27" spans="1:8" x14ac:dyDescent="0.25">
      <c r="A27" s="14" t="s">
        <v>26</v>
      </c>
      <c r="B27" s="14" t="s">
        <v>20</v>
      </c>
      <c r="C27" s="15" t="s">
        <v>1756</v>
      </c>
      <c r="D27" s="14" t="s">
        <v>1749</v>
      </c>
      <c r="E27" s="14" t="s">
        <v>1746</v>
      </c>
      <c r="F27" s="14">
        <v>240</v>
      </c>
      <c r="G27" s="14">
        <v>192</v>
      </c>
      <c r="H27" s="37">
        <f>'Calculation Sheet'!N27</f>
        <v>190.08</v>
      </c>
    </row>
    <row r="28" spans="1:8" x14ac:dyDescent="0.25">
      <c r="A28" s="14" t="s">
        <v>1757</v>
      </c>
      <c r="B28" s="14">
        <v>4</v>
      </c>
      <c r="C28" s="15" t="s">
        <v>1758</v>
      </c>
      <c r="D28" s="14" t="s">
        <v>1749</v>
      </c>
      <c r="E28" s="14" t="s">
        <v>1746</v>
      </c>
      <c r="F28" s="14">
        <v>1998</v>
      </c>
      <c r="G28" s="14">
        <v>1598.4</v>
      </c>
      <c r="H28" s="37">
        <f>'Calculation Sheet'!N28</f>
        <v>1598.4</v>
      </c>
    </row>
    <row r="29" spans="1:8" x14ac:dyDescent="0.25">
      <c r="A29" s="14" t="s">
        <v>1757</v>
      </c>
      <c r="B29" s="14">
        <v>4</v>
      </c>
      <c r="C29" s="15" t="s">
        <v>1758</v>
      </c>
      <c r="D29" s="14" t="s">
        <v>1745</v>
      </c>
      <c r="E29" s="14" t="s">
        <v>1746</v>
      </c>
      <c r="F29" s="14">
        <v>20979</v>
      </c>
      <c r="G29" s="14">
        <v>16783.2</v>
      </c>
      <c r="H29" s="37">
        <f>'Calculation Sheet'!N29</f>
        <v>16783.2</v>
      </c>
    </row>
    <row r="30" spans="1:8" x14ac:dyDescent="0.25">
      <c r="A30" s="14" t="s">
        <v>1757</v>
      </c>
      <c r="B30" s="14">
        <v>4</v>
      </c>
      <c r="C30" s="15" t="s">
        <v>1758</v>
      </c>
      <c r="D30" s="14" t="s">
        <v>1745</v>
      </c>
      <c r="E30" s="14" t="s">
        <v>1747</v>
      </c>
      <c r="F30" s="14">
        <v>19980</v>
      </c>
      <c r="G30" s="14">
        <v>15984</v>
      </c>
      <c r="H30" s="37">
        <f>'Calculation Sheet'!N30</f>
        <v>15984</v>
      </c>
    </row>
    <row r="31" spans="1:8" x14ac:dyDescent="0.25">
      <c r="A31" s="14" t="s">
        <v>1757</v>
      </c>
      <c r="B31" s="14">
        <v>1</v>
      </c>
      <c r="C31" s="15" t="s">
        <v>1759</v>
      </c>
      <c r="D31" s="14" t="s">
        <v>1745</v>
      </c>
      <c r="E31" s="14" t="s">
        <v>1746</v>
      </c>
      <c r="F31" s="14">
        <v>104832</v>
      </c>
      <c r="G31" s="14">
        <v>83865.600000000006</v>
      </c>
      <c r="H31" s="37">
        <f>'Calculation Sheet'!N31</f>
        <v>83865.600000000006</v>
      </c>
    </row>
    <row r="32" spans="1:8" x14ac:dyDescent="0.25">
      <c r="A32" s="14" t="s">
        <v>1757</v>
      </c>
      <c r="B32" s="14">
        <v>5</v>
      </c>
      <c r="C32" s="15" t="s">
        <v>1760</v>
      </c>
      <c r="D32" s="14" t="s">
        <v>1745</v>
      </c>
      <c r="E32" s="14" t="s">
        <v>1746</v>
      </c>
      <c r="F32" s="14">
        <v>41958</v>
      </c>
      <c r="G32" s="14">
        <v>37762.199999999997</v>
      </c>
      <c r="H32" s="37">
        <f>'Calculation Sheet'!N32</f>
        <v>37762.199999999997</v>
      </c>
    </row>
    <row r="33" spans="1:8" x14ac:dyDescent="0.25">
      <c r="A33" s="14" t="s">
        <v>1757</v>
      </c>
      <c r="B33" s="14">
        <v>1</v>
      </c>
      <c r="C33" s="15" t="s">
        <v>1759</v>
      </c>
      <c r="D33" s="14" t="s">
        <v>1745</v>
      </c>
      <c r="E33" s="14" t="s">
        <v>1747</v>
      </c>
      <c r="F33" s="14">
        <v>99840</v>
      </c>
      <c r="G33" s="14">
        <v>79872</v>
      </c>
      <c r="H33" s="37">
        <f>'Calculation Sheet'!N33</f>
        <v>79872</v>
      </c>
    </row>
    <row r="34" spans="1:8" x14ac:dyDescent="0.25">
      <c r="A34" s="14" t="s">
        <v>1757</v>
      </c>
      <c r="B34" s="14">
        <v>5</v>
      </c>
      <c r="C34" s="15" t="s">
        <v>1760</v>
      </c>
      <c r="D34" s="14" t="s">
        <v>1749</v>
      </c>
      <c r="E34" s="14" t="s">
        <v>1746</v>
      </c>
      <c r="F34" s="14">
        <v>3996</v>
      </c>
      <c r="G34" s="14">
        <v>3596.4</v>
      </c>
      <c r="H34" s="37">
        <f>'Calculation Sheet'!N34</f>
        <v>3596.4</v>
      </c>
    </row>
    <row r="35" spans="1:8" x14ac:dyDescent="0.25">
      <c r="A35" s="14" t="s">
        <v>1757</v>
      </c>
      <c r="B35" s="14">
        <v>5</v>
      </c>
      <c r="C35" s="15" t="s">
        <v>1760</v>
      </c>
      <c r="D35" s="14" t="s">
        <v>1745</v>
      </c>
      <c r="E35" s="14" t="s">
        <v>1747</v>
      </c>
      <c r="F35" s="14">
        <v>39960</v>
      </c>
      <c r="G35" s="14">
        <v>35964</v>
      </c>
      <c r="H35" s="37">
        <f>'Calculation Sheet'!N35</f>
        <v>35964</v>
      </c>
    </row>
    <row r="36" spans="1:8" x14ac:dyDescent="0.25">
      <c r="A36" s="14" t="s">
        <v>1757</v>
      </c>
      <c r="B36" s="14">
        <v>1</v>
      </c>
      <c r="C36" s="15" t="s">
        <v>1759</v>
      </c>
      <c r="D36" s="14" t="s">
        <v>1749</v>
      </c>
      <c r="E36" s="14" t="s">
        <v>1746</v>
      </c>
      <c r="F36" s="14">
        <v>9984</v>
      </c>
      <c r="G36" s="14">
        <v>7987.2</v>
      </c>
      <c r="H36" s="37">
        <f>'Calculation Sheet'!N36</f>
        <v>7987.2</v>
      </c>
    </row>
    <row r="37" spans="1:8" x14ac:dyDescent="0.25">
      <c r="A37" s="14" t="s">
        <v>42</v>
      </c>
      <c r="B37" s="14">
        <v>3</v>
      </c>
      <c r="C37" s="15" t="s">
        <v>372</v>
      </c>
      <c r="D37" s="14" t="s">
        <v>1745</v>
      </c>
      <c r="E37" s="14" t="s">
        <v>1746</v>
      </c>
      <c r="F37" s="14">
        <v>15750</v>
      </c>
      <c r="G37" s="14">
        <v>12600</v>
      </c>
      <c r="H37" s="37">
        <f>'Calculation Sheet'!N37</f>
        <v>12348</v>
      </c>
    </row>
    <row r="38" spans="1:8" x14ac:dyDescent="0.25">
      <c r="A38" s="14" t="s">
        <v>42</v>
      </c>
      <c r="B38" s="14">
        <v>1</v>
      </c>
      <c r="C38" s="15" t="s">
        <v>373</v>
      </c>
      <c r="D38" s="14" t="s">
        <v>1745</v>
      </c>
      <c r="E38" s="14" t="s">
        <v>1746</v>
      </c>
      <c r="F38" s="14">
        <v>10458</v>
      </c>
      <c r="G38" s="14">
        <v>8366.4</v>
      </c>
      <c r="H38" s="37">
        <f>'Calculation Sheet'!N38</f>
        <v>8199.0720000000001</v>
      </c>
    </row>
    <row r="39" spans="1:8" x14ac:dyDescent="0.25">
      <c r="A39" s="14" t="s">
        <v>42</v>
      </c>
      <c r="B39" s="14">
        <v>7</v>
      </c>
      <c r="C39" s="15" t="s">
        <v>1761</v>
      </c>
      <c r="D39" s="14" t="s">
        <v>1745</v>
      </c>
      <c r="E39" s="14" t="s">
        <v>1746</v>
      </c>
      <c r="F39" s="14">
        <v>4221</v>
      </c>
      <c r="G39" s="14">
        <v>3798.96</v>
      </c>
      <c r="H39" s="37">
        <f>'Calculation Sheet'!N39</f>
        <v>3722.9807999999998</v>
      </c>
    </row>
    <row r="40" spans="1:8" ht="30" x14ac:dyDescent="0.25">
      <c r="A40" s="14" t="s">
        <v>42</v>
      </c>
      <c r="B40" s="14">
        <v>9</v>
      </c>
      <c r="C40" s="15" t="s">
        <v>1762</v>
      </c>
      <c r="D40" s="14" t="s">
        <v>1749</v>
      </c>
      <c r="E40" s="14" t="s">
        <v>1746</v>
      </c>
      <c r="F40" s="14">
        <v>600</v>
      </c>
      <c r="G40" s="14">
        <v>540</v>
      </c>
      <c r="H40" s="37">
        <f>'Calculation Sheet'!N40</f>
        <v>529.20000000000005</v>
      </c>
    </row>
    <row r="41" spans="1:8" ht="30" x14ac:dyDescent="0.25">
      <c r="A41" s="14" t="s">
        <v>42</v>
      </c>
      <c r="B41" s="14">
        <v>9</v>
      </c>
      <c r="C41" s="15" t="s">
        <v>1762</v>
      </c>
      <c r="D41" s="14" t="s">
        <v>1745</v>
      </c>
      <c r="E41" s="14" t="s">
        <v>1746</v>
      </c>
      <c r="F41" s="14">
        <v>6300</v>
      </c>
      <c r="G41" s="14">
        <v>5670</v>
      </c>
      <c r="H41" s="37">
        <f>'Calculation Sheet'!N41</f>
        <v>5556.6</v>
      </c>
    </row>
    <row r="42" spans="1:8" x14ac:dyDescent="0.25">
      <c r="A42" s="14" t="s">
        <v>42</v>
      </c>
      <c r="B42" s="14">
        <v>3</v>
      </c>
      <c r="C42" s="15" t="s">
        <v>372</v>
      </c>
      <c r="D42" s="14" t="s">
        <v>1745</v>
      </c>
      <c r="E42" s="14" t="s">
        <v>1747</v>
      </c>
      <c r="F42" s="14">
        <v>15000</v>
      </c>
      <c r="G42" s="14">
        <v>12000</v>
      </c>
      <c r="H42" s="37">
        <f>'Calculation Sheet'!N42</f>
        <v>10800</v>
      </c>
    </row>
    <row r="43" spans="1:8" x14ac:dyDescent="0.25">
      <c r="A43" s="14" t="s">
        <v>42</v>
      </c>
      <c r="B43" s="14">
        <v>8</v>
      </c>
      <c r="C43" s="15" t="s">
        <v>1763</v>
      </c>
      <c r="D43" s="14" t="s">
        <v>1745</v>
      </c>
      <c r="E43" s="14" t="s">
        <v>1747</v>
      </c>
      <c r="F43" s="14">
        <v>4020</v>
      </c>
      <c r="G43" s="14">
        <v>3618</v>
      </c>
      <c r="H43" s="37">
        <f>'Calculation Sheet'!N43</f>
        <v>3256.2</v>
      </c>
    </row>
    <row r="44" spans="1:8" x14ac:dyDescent="0.25">
      <c r="A44" s="14" t="s">
        <v>42</v>
      </c>
      <c r="B44" s="14">
        <v>2</v>
      </c>
      <c r="C44" s="15" t="s">
        <v>374</v>
      </c>
      <c r="D44" s="14" t="s">
        <v>1745</v>
      </c>
      <c r="E44" s="14" t="s">
        <v>1747</v>
      </c>
      <c r="F44" s="14">
        <v>9960</v>
      </c>
      <c r="G44" s="14">
        <v>7968</v>
      </c>
      <c r="H44" s="37">
        <f>'Calculation Sheet'!N44</f>
        <v>7171.2</v>
      </c>
    </row>
    <row r="45" spans="1:8" x14ac:dyDescent="0.25">
      <c r="A45" s="14" t="s">
        <v>42</v>
      </c>
      <c r="B45" s="14">
        <v>8</v>
      </c>
      <c r="C45" s="15" t="s">
        <v>1763</v>
      </c>
      <c r="D45" s="14" t="s">
        <v>1745</v>
      </c>
      <c r="E45" s="14" t="s">
        <v>1746</v>
      </c>
      <c r="F45" s="14">
        <v>4221</v>
      </c>
      <c r="G45" s="14">
        <v>3798.96</v>
      </c>
      <c r="H45" s="37">
        <f>'Calculation Sheet'!N45</f>
        <v>3722.9807999999998</v>
      </c>
    </row>
    <row r="46" spans="1:8" x14ac:dyDescent="0.25">
      <c r="A46" s="14" t="s">
        <v>42</v>
      </c>
      <c r="B46" s="14">
        <v>1</v>
      </c>
      <c r="C46" s="15" t="s">
        <v>373</v>
      </c>
      <c r="D46" s="14" t="s">
        <v>1749</v>
      </c>
      <c r="E46" s="14" t="s">
        <v>1746</v>
      </c>
      <c r="F46" s="14">
        <v>996</v>
      </c>
      <c r="G46" s="14">
        <v>796.8</v>
      </c>
      <c r="H46" s="37">
        <f>'Calculation Sheet'!N46</f>
        <v>780.86399999999992</v>
      </c>
    </row>
    <row r="47" spans="1:8" x14ac:dyDescent="0.25">
      <c r="A47" s="14" t="s">
        <v>42</v>
      </c>
      <c r="B47" s="14">
        <v>1</v>
      </c>
      <c r="C47" s="15" t="s">
        <v>373</v>
      </c>
      <c r="D47" s="14" t="s">
        <v>1745</v>
      </c>
      <c r="E47" s="14" t="s">
        <v>1747</v>
      </c>
      <c r="F47" s="14">
        <v>9960</v>
      </c>
      <c r="G47" s="14">
        <v>7968</v>
      </c>
      <c r="H47" s="37">
        <f>'Calculation Sheet'!N47</f>
        <v>7171.2</v>
      </c>
    </row>
    <row r="48" spans="1:8" x14ac:dyDescent="0.25">
      <c r="A48" s="14" t="s">
        <v>42</v>
      </c>
      <c r="B48" s="14">
        <v>8</v>
      </c>
      <c r="C48" s="15" t="s">
        <v>1763</v>
      </c>
      <c r="D48" s="14" t="s">
        <v>1749</v>
      </c>
      <c r="E48" s="14" t="s">
        <v>1746</v>
      </c>
      <c r="F48" s="14">
        <v>402</v>
      </c>
      <c r="G48" s="14">
        <v>361.8</v>
      </c>
      <c r="H48" s="37">
        <f>'Calculation Sheet'!N48</f>
        <v>354.56400000000002</v>
      </c>
    </row>
    <row r="49" spans="1:8" x14ac:dyDescent="0.25">
      <c r="A49" s="14" t="s">
        <v>42</v>
      </c>
      <c r="B49" s="14">
        <v>2</v>
      </c>
      <c r="C49" s="15" t="s">
        <v>374</v>
      </c>
      <c r="D49" s="14" t="s">
        <v>1745</v>
      </c>
      <c r="E49" s="14" t="s">
        <v>1746</v>
      </c>
      <c r="F49" s="14">
        <v>10458</v>
      </c>
      <c r="G49" s="14">
        <v>8366.4</v>
      </c>
      <c r="H49" s="37">
        <f>'Calculation Sheet'!N49</f>
        <v>8199.0720000000001</v>
      </c>
    </row>
    <row r="50" spans="1:8" ht="30" x14ac:dyDescent="0.25">
      <c r="A50" s="14" t="s">
        <v>42</v>
      </c>
      <c r="B50" s="14">
        <v>9</v>
      </c>
      <c r="C50" s="15" t="s">
        <v>1762</v>
      </c>
      <c r="D50" s="14" t="s">
        <v>1745</v>
      </c>
      <c r="E50" s="14" t="s">
        <v>1747</v>
      </c>
      <c r="F50" s="14">
        <v>6000</v>
      </c>
      <c r="G50" s="14">
        <v>5400</v>
      </c>
      <c r="H50" s="37">
        <f>'Calculation Sheet'!N50</f>
        <v>4860</v>
      </c>
    </row>
    <row r="51" spans="1:8" x14ac:dyDescent="0.25">
      <c r="A51" s="14" t="s">
        <v>42</v>
      </c>
      <c r="B51" s="14">
        <v>7</v>
      </c>
      <c r="C51" s="15" t="s">
        <v>1761</v>
      </c>
      <c r="D51" s="14" t="s">
        <v>1749</v>
      </c>
      <c r="E51" s="14" t="s">
        <v>1746</v>
      </c>
      <c r="F51" s="14">
        <v>402</v>
      </c>
      <c r="G51" s="14">
        <v>361.8</v>
      </c>
      <c r="H51" s="37">
        <f>'Calculation Sheet'!N51</f>
        <v>354.56400000000002</v>
      </c>
    </row>
    <row r="52" spans="1:8" x14ac:dyDescent="0.25">
      <c r="A52" s="14" t="s">
        <v>42</v>
      </c>
      <c r="B52" s="14">
        <v>3</v>
      </c>
      <c r="C52" s="15" t="s">
        <v>372</v>
      </c>
      <c r="D52" s="14" t="s">
        <v>1749</v>
      </c>
      <c r="E52" s="14" t="s">
        <v>1746</v>
      </c>
      <c r="F52" s="14">
        <v>1500</v>
      </c>
      <c r="G52" s="14">
        <v>1200</v>
      </c>
      <c r="H52" s="37">
        <f>'Calculation Sheet'!N52</f>
        <v>1176</v>
      </c>
    </row>
    <row r="53" spans="1:8" x14ac:dyDescent="0.25">
      <c r="A53" s="14" t="s">
        <v>42</v>
      </c>
      <c r="B53" s="14">
        <v>7</v>
      </c>
      <c r="C53" s="15" t="s">
        <v>1761</v>
      </c>
      <c r="D53" s="14" t="s">
        <v>1745</v>
      </c>
      <c r="E53" s="14" t="s">
        <v>1747</v>
      </c>
      <c r="F53" s="14">
        <v>4020</v>
      </c>
      <c r="G53" s="14">
        <v>3618</v>
      </c>
      <c r="H53" s="37">
        <f>'Calculation Sheet'!N53</f>
        <v>3256.2</v>
      </c>
    </row>
    <row r="54" spans="1:8" x14ac:dyDescent="0.25">
      <c r="A54" s="14" t="s">
        <v>42</v>
      </c>
      <c r="B54" s="14">
        <v>2</v>
      </c>
      <c r="C54" s="15" t="s">
        <v>374</v>
      </c>
      <c r="D54" s="14" t="s">
        <v>1749</v>
      </c>
      <c r="E54" s="14" t="s">
        <v>1746</v>
      </c>
      <c r="F54" s="14">
        <v>996</v>
      </c>
      <c r="G54" s="14">
        <v>796.8</v>
      </c>
      <c r="H54" s="37">
        <f>'Calculation Sheet'!N54</f>
        <v>780.86399999999992</v>
      </c>
    </row>
    <row r="55" spans="1:8" x14ac:dyDescent="0.25">
      <c r="A55" s="14" t="s">
        <v>57</v>
      </c>
      <c r="B55" s="14">
        <v>6</v>
      </c>
      <c r="C55" s="15" t="s">
        <v>1764</v>
      </c>
      <c r="D55" s="14" t="s">
        <v>1745</v>
      </c>
      <c r="E55" s="14" t="s">
        <v>1747</v>
      </c>
      <c r="F55" s="14">
        <v>15000</v>
      </c>
      <c r="G55" s="14">
        <v>13800</v>
      </c>
      <c r="H55" s="37">
        <f>'Calculation Sheet'!N55</f>
        <v>11868</v>
      </c>
    </row>
    <row r="56" spans="1:8" x14ac:dyDescent="0.25">
      <c r="A56" s="14" t="s">
        <v>57</v>
      </c>
      <c r="B56" s="14">
        <v>9</v>
      </c>
      <c r="C56" s="15" t="s">
        <v>1765</v>
      </c>
      <c r="D56" s="14" t="s">
        <v>1749</v>
      </c>
      <c r="E56" s="14" t="s">
        <v>1766</v>
      </c>
      <c r="F56" s="14">
        <v>0</v>
      </c>
      <c r="G56" s="14">
        <v>0</v>
      </c>
      <c r="H56" s="37">
        <f>'Calculation Sheet'!N56</f>
        <v>0</v>
      </c>
    </row>
    <row r="57" spans="1:8" x14ac:dyDescent="0.25">
      <c r="A57" s="14" t="s">
        <v>57</v>
      </c>
      <c r="B57" s="14">
        <v>4</v>
      </c>
      <c r="C57" s="15" t="s">
        <v>1765</v>
      </c>
      <c r="D57" s="14" t="s">
        <v>1745</v>
      </c>
      <c r="E57" s="14" t="s">
        <v>1746</v>
      </c>
      <c r="F57" s="14">
        <v>15750</v>
      </c>
      <c r="G57" s="14">
        <v>14490</v>
      </c>
      <c r="H57" s="37">
        <f>'Calculation Sheet'!N57</f>
        <v>14055.3</v>
      </c>
    </row>
    <row r="58" spans="1:8" x14ac:dyDescent="0.25">
      <c r="A58" s="14" t="s">
        <v>57</v>
      </c>
      <c r="B58" s="14">
        <v>2</v>
      </c>
      <c r="C58" s="15" t="s">
        <v>56</v>
      </c>
      <c r="D58" s="14" t="s">
        <v>1745</v>
      </c>
      <c r="E58" s="14" t="s">
        <v>1747</v>
      </c>
      <c r="F58" s="14">
        <v>15000</v>
      </c>
      <c r="G58" s="14">
        <v>12000</v>
      </c>
      <c r="H58" s="37">
        <f>'Calculation Sheet'!N58</f>
        <v>10320</v>
      </c>
    </row>
    <row r="59" spans="1:8" x14ac:dyDescent="0.25">
      <c r="A59" s="14" t="s">
        <v>57</v>
      </c>
      <c r="B59" s="14">
        <v>2</v>
      </c>
      <c r="C59" s="15" t="s">
        <v>56</v>
      </c>
      <c r="D59" s="14" t="s">
        <v>1749</v>
      </c>
      <c r="E59" s="14" t="s">
        <v>1746</v>
      </c>
      <c r="F59" s="14">
        <v>1500</v>
      </c>
      <c r="G59" s="14">
        <v>1200</v>
      </c>
      <c r="H59" s="37">
        <f>'Calculation Sheet'!N59</f>
        <v>1164</v>
      </c>
    </row>
    <row r="60" spans="1:8" x14ac:dyDescent="0.25">
      <c r="A60" s="14" t="s">
        <v>57</v>
      </c>
      <c r="B60" s="14">
        <v>5</v>
      </c>
      <c r="C60" s="15" t="s">
        <v>1764</v>
      </c>
      <c r="D60" s="14" t="s">
        <v>1749</v>
      </c>
      <c r="E60" s="14" t="s">
        <v>1766</v>
      </c>
      <c r="F60" s="14">
        <v>0</v>
      </c>
      <c r="G60" s="14">
        <v>0</v>
      </c>
      <c r="H60" s="37">
        <f>'Calculation Sheet'!N60</f>
        <v>0</v>
      </c>
    </row>
    <row r="61" spans="1:8" x14ac:dyDescent="0.25">
      <c r="A61" s="14" t="s">
        <v>57</v>
      </c>
      <c r="B61" s="14">
        <v>6</v>
      </c>
      <c r="C61" s="15" t="s">
        <v>1764</v>
      </c>
      <c r="D61" s="14" t="s">
        <v>1745</v>
      </c>
      <c r="E61" s="14" t="s">
        <v>1746</v>
      </c>
      <c r="F61" s="14">
        <v>15750</v>
      </c>
      <c r="G61" s="14">
        <v>14490</v>
      </c>
      <c r="H61" s="37">
        <f>'Calculation Sheet'!N61</f>
        <v>14055.3</v>
      </c>
    </row>
    <row r="62" spans="1:8" x14ac:dyDescent="0.25">
      <c r="A62" s="14" t="s">
        <v>57</v>
      </c>
      <c r="B62" s="14">
        <v>4</v>
      </c>
      <c r="C62" s="15" t="s">
        <v>1765</v>
      </c>
      <c r="D62" s="14" t="s">
        <v>1745</v>
      </c>
      <c r="E62" s="14" t="s">
        <v>1747</v>
      </c>
      <c r="F62" s="14">
        <v>15000</v>
      </c>
      <c r="G62" s="14">
        <v>13800</v>
      </c>
      <c r="H62" s="37">
        <f>'Calculation Sheet'!N62</f>
        <v>11868</v>
      </c>
    </row>
    <row r="63" spans="1:8" x14ac:dyDescent="0.25">
      <c r="A63" s="14" t="s">
        <v>57</v>
      </c>
      <c r="B63" s="14">
        <v>2</v>
      </c>
      <c r="C63" s="15" t="s">
        <v>56</v>
      </c>
      <c r="D63" s="14" t="s">
        <v>1745</v>
      </c>
      <c r="E63" s="14" t="s">
        <v>1746</v>
      </c>
      <c r="F63" s="14">
        <v>15750</v>
      </c>
      <c r="G63" s="14">
        <v>12600</v>
      </c>
      <c r="H63" s="37">
        <f>'Calculation Sheet'!N63</f>
        <v>12222</v>
      </c>
    </row>
    <row r="64" spans="1:8" x14ac:dyDescent="0.25">
      <c r="A64" s="14" t="s">
        <v>1767</v>
      </c>
      <c r="B64" s="14">
        <v>1</v>
      </c>
      <c r="C64" s="15" t="s">
        <v>1768</v>
      </c>
      <c r="D64" s="14" t="s">
        <v>1745</v>
      </c>
      <c r="E64" s="14" t="s">
        <v>1746</v>
      </c>
      <c r="F64" s="14">
        <v>1048.32</v>
      </c>
      <c r="G64" s="14">
        <v>838.68</v>
      </c>
      <c r="H64" s="37">
        <f>'Calculation Sheet'!N64</f>
        <v>838.68</v>
      </c>
    </row>
    <row r="65" spans="1:8" x14ac:dyDescent="0.25">
      <c r="A65" s="14" t="s">
        <v>1767</v>
      </c>
      <c r="B65" s="14">
        <v>1</v>
      </c>
      <c r="C65" s="15" t="s">
        <v>1768</v>
      </c>
      <c r="D65" s="14" t="s">
        <v>1745</v>
      </c>
      <c r="E65" s="14" t="s">
        <v>1747</v>
      </c>
      <c r="F65" s="14">
        <v>998.4</v>
      </c>
      <c r="G65" s="14">
        <v>798.72</v>
      </c>
      <c r="H65" s="37">
        <f>'Calculation Sheet'!N65</f>
        <v>798.72</v>
      </c>
    </row>
    <row r="66" spans="1:8" x14ac:dyDescent="0.25">
      <c r="A66" s="14" t="s">
        <v>1767</v>
      </c>
      <c r="B66" s="14">
        <v>1</v>
      </c>
      <c r="C66" s="15" t="s">
        <v>1768</v>
      </c>
      <c r="D66" s="14" t="s">
        <v>1749</v>
      </c>
      <c r="E66" s="14" t="s">
        <v>1746</v>
      </c>
      <c r="F66" s="14">
        <v>99.84</v>
      </c>
      <c r="G66" s="14">
        <v>79.87</v>
      </c>
      <c r="H66" s="37">
        <f>'Calculation Sheet'!N66</f>
        <v>79.87</v>
      </c>
    </row>
    <row r="67" spans="1:8" x14ac:dyDescent="0.25">
      <c r="A67" s="14" t="s">
        <v>1769</v>
      </c>
      <c r="B67" s="14">
        <v>1</v>
      </c>
      <c r="C67" s="15" t="s">
        <v>1770</v>
      </c>
      <c r="D67" s="14" t="s">
        <v>1749</v>
      </c>
      <c r="E67" s="14" t="s">
        <v>1746</v>
      </c>
      <c r="F67" s="14">
        <v>0</v>
      </c>
      <c r="G67" s="14">
        <v>0</v>
      </c>
      <c r="H67" s="37">
        <f>'Calculation Sheet'!N67</f>
        <v>0</v>
      </c>
    </row>
    <row r="68" spans="1:8" x14ac:dyDescent="0.25">
      <c r="A68" s="14" t="s">
        <v>1769</v>
      </c>
      <c r="B68" s="14">
        <v>1</v>
      </c>
      <c r="C68" s="15" t="s">
        <v>1770</v>
      </c>
      <c r="D68" s="14" t="s">
        <v>1745</v>
      </c>
      <c r="E68" s="14" t="s">
        <v>1747</v>
      </c>
      <c r="F68" s="14">
        <v>0</v>
      </c>
      <c r="G68" s="14">
        <v>0</v>
      </c>
      <c r="H68" s="37">
        <f>'Calculation Sheet'!N68</f>
        <v>0</v>
      </c>
    </row>
    <row r="69" spans="1:8" x14ac:dyDescent="0.25">
      <c r="A69" s="14" t="s">
        <v>1769</v>
      </c>
      <c r="B69" s="14">
        <v>1</v>
      </c>
      <c r="C69" s="15" t="s">
        <v>1770</v>
      </c>
      <c r="D69" s="14" t="s">
        <v>1745</v>
      </c>
      <c r="E69" s="14" t="s">
        <v>1746</v>
      </c>
      <c r="F69" s="14">
        <v>0</v>
      </c>
      <c r="G69" s="14">
        <v>0</v>
      </c>
      <c r="H69" s="37">
        <f>'Calculation Sheet'!N69</f>
        <v>0</v>
      </c>
    </row>
    <row r="70" spans="1:8" x14ac:dyDescent="0.25">
      <c r="A70" s="14" t="s">
        <v>1771</v>
      </c>
      <c r="B70" s="14">
        <v>2</v>
      </c>
      <c r="C70" s="15" t="s">
        <v>1772</v>
      </c>
      <c r="D70" s="14" t="s">
        <v>1745</v>
      </c>
      <c r="E70" s="14" t="s">
        <v>1746</v>
      </c>
      <c r="F70" s="14">
        <v>4221</v>
      </c>
      <c r="G70" s="14">
        <v>3376.8</v>
      </c>
      <c r="H70" s="37">
        <f>'Calculation Sheet'!N70</f>
        <v>3376.8</v>
      </c>
    </row>
    <row r="71" spans="1:8" x14ac:dyDescent="0.25">
      <c r="A71" s="14" t="s">
        <v>1771</v>
      </c>
      <c r="B71" s="14">
        <v>2</v>
      </c>
      <c r="C71" s="15" t="s">
        <v>1772</v>
      </c>
      <c r="D71" s="14" t="s">
        <v>1745</v>
      </c>
      <c r="E71" s="14" t="s">
        <v>1747</v>
      </c>
      <c r="F71" s="14">
        <v>4020</v>
      </c>
      <c r="G71" s="14">
        <v>3216</v>
      </c>
      <c r="H71" s="37">
        <f>'Calculation Sheet'!N71</f>
        <v>3216</v>
      </c>
    </row>
    <row r="72" spans="1:8" x14ac:dyDescent="0.25">
      <c r="A72" s="14" t="s">
        <v>1773</v>
      </c>
      <c r="B72" s="14">
        <v>5</v>
      </c>
      <c r="C72" s="15" t="s">
        <v>1774</v>
      </c>
      <c r="D72" s="14" t="s">
        <v>1745</v>
      </c>
      <c r="E72" s="14" t="s">
        <v>1747</v>
      </c>
      <c r="F72" s="14">
        <v>1260</v>
      </c>
      <c r="G72" s="14">
        <v>1008</v>
      </c>
      <c r="H72" s="37">
        <f>'Calculation Sheet'!N72</f>
        <v>1008</v>
      </c>
    </row>
    <row r="73" spans="1:8" x14ac:dyDescent="0.25">
      <c r="A73" s="14" t="s">
        <v>1775</v>
      </c>
      <c r="B73" s="14">
        <v>2</v>
      </c>
      <c r="C73" s="15" t="s">
        <v>1776</v>
      </c>
      <c r="D73" s="14" t="s">
        <v>1745</v>
      </c>
      <c r="E73" s="14" t="s">
        <v>1747</v>
      </c>
      <c r="F73" s="14">
        <v>39960</v>
      </c>
      <c r="G73" s="14">
        <v>29970</v>
      </c>
      <c r="H73" s="37">
        <f>'Calculation Sheet'!N73</f>
        <v>29970</v>
      </c>
    </row>
    <row r="74" spans="1:8" x14ac:dyDescent="0.25">
      <c r="A74" s="14" t="s">
        <v>1775</v>
      </c>
      <c r="B74" s="14" t="s">
        <v>89</v>
      </c>
      <c r="C74" s="15" t="s">
        <v>1777</v>
      </c>
      <c r="D74" s="14" t="s">
        <v>1749</v>
      </c>
      <c r="E74" s="14" t="s">
        <v>1746</v>
      </c>
      <c r="F74" s="14">
        <v>2796</v>
      </c>
      <c r="G74" s="14">
        <v>2097</v>
      </c>
      <c r="H74" s="37">
        <f>'Calculation Sheet'!N74</f>
        <v>2097</v>
      </c>
    </row>
    <row r="75" spans="1:8" x14ac:dyDescent="0.25">
      <c r="A75" s="14" t="s">
        <v>1775</v>
      </c>
      <c r="B75" s="14">
        <v>2</v>
      </c>
      <c r="C75" s="15" t="s">
        <v>1776</v>
      </c>
      <c r="D75" s="14" t="s">
        <v>1749</v>
      </c>
      <c r="E75" s="14" t="s">
        <v>1746</v>
      </c>
      <c r="F75" s="14">
        <v>3996</v>
      </c>
      <c r="G75" s="14">
        <v>2997</v>
      </c>
      <c r="H75" s="37">
        <f>'Calculation Sheet'!N75</f>
        <v>2997</v>
      </c>
    </row>
    <row r="76" spans="1:8" x14ac:dyDescent="0.25">
      <c r="A76" s="14" t="s">
        <v>1775</v>
      </c>
      <c r="B76" s="14" t="s">
        <v>55</v>
      </c>
      <c r="C76" s="15" t="s">
        <v>1778</v>
      </c>
      <c r="D76" s="14" t="s">
        <v>1745</v>
      </c>
      <c r="E76" s="14" t="s">
        <v>1746</v>
      </c>
      <c r="F76" s="14">
        <v>29358</v>
      </c>
      <c r="G76" s="14">
        <v>26422.2</v>
      </c>
      <c r="H76" s="37">
        <f>'Calculation Sheet'!N76</f>
        <v>26422.2</v>
      </c>
    </row>
    <row r="77" spans="1:8" x14ac:dyDescent="0.25">
      <c r="A77" s="14" t="s">
        <v>1775</v>
      </c>
      <c r="B77" s="14">
        <v>2</v>
      </c>
      <c r="C77" s="15" t="s">
        <v>1776</v>
      </c>
      <c r="D77" s="14" t="s">
        <v>1745</v>
      </c>
      <c r="E77" s="14" t="s">
        <v>1746</v>
      </c>
      <c r="F77" s="14">
        <v>41958</v>
      </c>
      <c r="G77" s="14">
        <v>31468.560000000001</v>
      </c>
      <c r="H77" s="37">
        <f>'Calculation Sheet'!N77</f>
        <v>31468.560000000001</v>
      </c>
    </row>
    <row r="78" spans="1:8" x14ac:dyDescent="0.25">
      <c r="A78" s="14" t="s">
        <v>1775</v>
      </c>
      <c r="B78" s="14" t="s">
        <v>89</v>
      </c>
      <c r="C78" s="15" t="s">
        <v>1777</v>
      </c>
      <c r="D78" s="14" t="s">
        <v>1745</v>
      </c>
      <c r="E78" s="14" t="s">
        <v>1746</v>
      </c>
      <c r="F78" s="14">
        <v>29358</v>
      </c>
      <c r="G78" s="14">
        <v>22018.560000000001</v>
      </c>
      <c r="H78" s="37">
        <f>'Calculation Sheet'!N78</f>
        <v>22018.560000000001</v>
      </c>
    </row>
    <row r="79" spans="1:8" x14ac:dyDescent="0.25">
      <c r="A79" s="14" t="s">
        <v>1775</v>
      </c>
      <c r="B79" s="14" t="s">
        <v>55</v>
      </c>
      <c r="C79" s="15" t="s">
        <v>1778</v>
      </c>
      <c r="D79" s="14" t="s">
        <v>1749</v>
      </c>
      <c r="E79" s="14" t="s">
        <v>1746</v>
      </c>
      <c r="F79" s="14">
        <v>2796</v>
      </c>
      <c r="G79" s="14">
        <v>2516.4</v>
      </c>
      <c r="H79" s="37">
        <f>'Calculation Sheet'!N79</f>
        <v>2516.4</v>
      </c>
    </row>
    <row r="80" spans="1:8" x14ac:dyDescent="0.25">
      <c r="A80" s="14" t="s">
        <v>1775</v>
      </c>
      <c r="B80" s="14" t="s">
        <v>89</v>
      </c>
      <c r="C80" s="15" t="s">
        <v>1777</v>
      </c>
      <c r="D80" s="14" t="s">
        <v>1745</v>
      </c>
      <c r="E80" s="14" t="s">
        <v>1747</v>
      </c>
      <c r="F80" s="14">
        <v>27960</v>
      </c>
      <c r="G80" s="14">
        <v>20970</v>
      </c>
      <c r="H80" s="37">
        <f>'Calculation Sheet'!N80</f>
        <v>20970</v>
      </c>
    </row>
    <row r="81" spans="1:8" x14ac:dyDescent="0.25">
      <c r="A81" s="14" t="s">
        <v>1775</v>
      </c>
      <c r="B81" s="14" t="s">
        <v>55</v>
      </c>
      <c r="C81" s="15" t="s">
        <v>1778</v>
      </c>
      <c r="D81" s="14" t="s">
        <v>1745</v>
      </c>
      <c r="E81" s="14" t="s">
        <v>1747</v>
      </c>
      <c r="F81" s="14">
        <v>27960</v>
      </c>
      <c r="G81" s="14">
        <v>25164</v>
      </c>
      <c r="H81" s="37">
        <f>'Calculation Sheet'!N81</f>
        <v>25164</v>
      </c>
    </row>
    <row r="82" spans="1:8" x14ac:dyDescent="0.25">
      <c r="A82" s="14" t="s">
        <v>1779</v>
      </c>
      <c r="B82" s="14">
        <v>3</v>
      </c>
      <c r="C82" s="15" t="s">
        <v>1780</v>
      </c>
      <c r="D82" s="14" t="s">
        <v>1749</v>
      </c>
      <c r="E82" s="14" t="s">
        <v>1746</v>
      </c>
      <c r="F82" s="14">
        <v>2994</v>
      </c>
      <c r="G82" s="14">
        <v>2245.5</v>
      </c>
      <c r="H82" s="37">
        <f>'Calculation Sheet'!N82</f>
        <v>2245.5</v>
      </c>
    </row>
    <row r="83" spans="1:8" x14ac:dyDescent="0.25">
      <c r="A83" s="14" t="s">
        <v>1779</v>
      </c>
      <c r="B83" s="14">
        <v>3</v>
      </c>
      <c r="C83" s="15" t="s">
        <v>1780</v>
      </c>
      <c r="D83" s="14" t="s">
        <v>1745</v>
      </c>
      <c r="E83" s="14" t="s">
        <v>1747</v>
      </c>
      <c r="F83" s="14">
        <v>29940</v>
      </c>
      <c r="G83" s="14">
        <v>22455</v>
      </c>
      <c r="H83" s="37">
        <f>'Calculation Sheet'!N83</f>
        <v>22455</v>
      </c>
    </row>
    <row r="84" spans="1:8" x14ac:dyDescent="0.25">
      <c r="A84" s="14" t="s">
        <v>1779</v>
      </c>
      <c r="B84" s="14">
        <v>3</v>
      </c>
      <c r="C84" s="15" t="s">
        <v>1780</v>
      </c>
      <c r="D84" s="14" t="s">
        <v>1745</v>
      </c>
      <c r="E84" s="14" t="s">
        <v>1746</v>
      </c>
      <c r="F84" s="14">
        <v>31437</v>
      </c>
      <c r="G84" s="14">
        <v>23577.72</v>
      </c>
      <c r="H84" s="37">
        <f>'Calculation Sheet'!N84</f>
        <v>23577.72</v>
      </c>
    </row>
    <row r="85" spans="1:8" x14ac:dyDescent="0.25">
      <c r="A85" s="14" t="s">
        <v>1779</v>
      </c>
      <c r="B85" s="14">
        <v>2</v>
      </c>
      <c r="C85" s="15" t="s">
        <v>1780</v>
      </c>
      <c r="D85" s="14" t="s">
        <v>1749</v>
      </c>
      <c r="E85" s="14" t="s">
        <v>1766</v>
      </c>
      <c r="F85" s="14">
        <v>0</v>
      </c>
      <c r="G85" s="14">
        <v>0</v>
      </c>
      <c r="H85" s="37">
        <f>'Calculation Sheet'!N85</f>
        <v>0</v>
      </c>
    </row>
    <row r="86" spans="1:8" x14ac:dyDescent="0.25">
      <c r="A86" s="14" t="s">
        <v>1781</v>
      </c>
      <c r="B86" s="14">
        <v>1</v>
      </c>
      <c r="C86" s="15" t="s">
        <v>1782</v>
      </c>
      <c r="D86" s="14" t="s">
        <v>1745</v>
      </c>
      <c r="E86" s="14" t="s">
        <v>1746</v>
      </c>
      <c r="F86" s="14">
        <v>2079</v>
      </c>
      <c r="G86" s="14">
        <v>1559.28</v>
      </c>
      <c r="H86" s="37">
        <f>'Calculation Sheet'!N86</f>
        <v>1559.28</v>
      </c>
    </row>
    <row r="87" spans="1:8" x14ac:dyDescent="0.25">
      <c r="A87" s="14" t="s">
        <v>1781</v>
      </c>
      <c r="B87" s="14" t="s">
        <v>73</v>
      </c>
      <c r="C87" s="15" t="s">
        <v>1783</v>
      </c>
      <c r="D87" s="14" t="s">
        <v>1745</v>
      </c>
      <c r="E87" s="14" t="s">
        <v>1746</v>
      </c>
      <c r="F87" s="14">
        <v>1449</v>
      </c>
      <c r="G87" s="14">
        <v>1304.1600000000001</v>
      </c>
      <c r="H87" s="37">
        <f>'Calculation Sheet'!N87</f>
        <v>1304.1600000000001</v>
      </c>
    </row>
    <row r="88" spans="1:8" x14ac:dyDescent="0.25">
      <c r="A88" s="14" t="s">
        <v>1781</v>
      </c>
      <c r="B88" s="14">
        <v>1</v>
      </c>
      <c r="C88" s="15" t="s">
        <v>1782</v>
      </c>
      <c r="D88" s="14" t="s">
        <v>1745</v>
      </c>
      <c r="E88" s="14" t="s">
        <v>1747</v>
      </c>
      <c r="F88" s="14">
        <v>1980</v>
      </c>
      <c r="G88" s="14">
        <v>1485</v>
      </c>
      <c r="H88" s="37">
        <f>'Calculation Sheet'!N88</f>
        <v>1485</v>
      </c>
    </row>
    <row r="89" spans="1:8" x14ac:dyDescent="0.25">
      <c r="A89" s="14" t="s">
        <v>1781</v>
      </c>
      <c r="B89" s="14" t="s">
        <v>73</v>
      </c>
      <c r="C89" s="15" t="s">
        <v>1783</v>
      </c>
      <c r="D89" s="14" t="s">
        <v>1745</v>
      </c>
      <c r="E89" s="14" t="s">
        <v>1747</v>
      </c>
      <c r="F89" s="14">
        <v>1380</v>
      </c>
      <c r="G89" s="14">
        <v>1242</v>
      </c>
      <c r="H89" s="37">
        <f>'Calculation Sheet'!N89</f>
        <v>1242</v>
      </c>
    </row>
    <row r="90" spans="1:8" x14ac:dyDescent="0.25">
      <c r="A90" s="14" t="s">
        <v>1781</v>
      </c>
      <c r="B90" s="14" t="s">
        <v>89</v>
      </c>
      <c r="C90" s="15" t="s">
        <v>1784</v>
      </c>
      <c r="D90" s="14" t="s">
        <v>1745</v>
      </c>
      <c r="E90" s="14" t="s">
        <v>1747</v>
      </c>
      <c r="F90" s="14">
        <v>1380</v>
      </c>
      <c r="G90" s="14">
        <v>1035</v>
      </c>
      <c r="H90" s="37">
        <f>'Calculation Sheet'!N90</f>
        <v>1035</v>
      </c>
    </row>
    <row r="91" spans="1:8" x14ac:dyDescent="0.25">
      <c r="A91" s="14" t="s">
        <v>1781</v>
      </c>
      <c r="B91" s="14" t="s">
        <v>89</v>
      </c>
      <c r="C91" s="15" t="s">
        <v>1784</v>
      </c>
      <c r="D91" s="14" t="s">
        <v>1745</v>
      </c>
      <c r="E91" s="14" t="s">
        <v>1746</v>
      </c>
      <c r="F91" s="14">
        <v>1449</v>
      </c>
      <c r="G91" s="14">
        <v>1086.72</v>
      </c>
      <c r="H91" s="37">
        <f>'Calculation Sheet'!N91</f>
        <v>1086.72</v>
      </c>
    </row>
    <row r="92" spans="1:8" x14ac:dyDescent="0.25">
      <c r="A92" s="14" t="s">
        <v>1781</v>
      </c>
      <c r="B92" s="14">
        <v>1</v>
      </c>
      <c r="C92" s="15" t="s">
        <v>1782</v>
      </c>
      <c r="D92" s="14" t="s">
        <v>1749</v>
      </c>
      <c r="E92" s="14" t="s">
        <v>1746</v>
      </c>
      <c r="F92" s="14">
        <v>198</v>
      </c>
      <c r="G92" s="14">
        <v>148.5</v>
      </c>
      <c r="H92" s="37">
        <f>'Calculation Sheet'!N92</f>
        <v>148.5</v>
      </c>
    </row>
    <row r="93" spans="1:8" x14ac:dyDescent="0.25">
      <c r="A93" s="14" t="s">
        <v>1781</v>
      </c>
      <c r="B93" s="14" t="s">
        <v>73</v>
      </c>
      <c r="C93" s="15" t="s">
        <v>1783</v>
      </c>
      <c r="D93" s="14" t="s">
        <v>1749</v>
      </c>
      <c r="E93" s="14" t="s">
        <v>1746</v>
      </c>
      <c r="F93" s="14">
        <v>138</v>
      </c>
      <c r="G93" s="14">
        <v>124.2</v>
      </c>
      <c r="H93" s="37">
        <f>'Calculation Sheet'!N93</f>
        <v>124.2</v>
      </c>
    </row>
    <row r="94" spans="1:8" x14ac:dyDescent="0.25">
      <c r="A94" s="14" t="s">
        <v>1781</v>
      </c>
      <c r="B94" s="14" t="s">
        <v>89</v>
      </c>
      <c r="C94" s="15" t="s">
        <v>1784</v>
      </c>
      <c r="D94" s="14" t="s">
        <v>1749</v>
      </c>
      <c r="E94" s="14" t="s">
        <v>1746</v>
      </c>
      <c r="F94" s="14">
        <v>138</v>
      </c>
      <c r="G94" s="14">
        <v>103.5</v>
      </c>
      <c r="H94" s="37">
        <f>'Calculation Sheet'!N94</f>
        <v>103.5</v>
      </c>
    </row>
    <row r="95" spans="1:8" x14ac:dyDescent="0.25">
      <c r="A95" s="14" t="s">
        <v>1785</v>
      </c>
      <c r="B95" s="14" t="s">
        <v>73</v>
      </c>
      <c r="C95" s="15" t="s">
        <v>1786</v>
      </c>
      <c r="D95" s="14" t="s">
        <v>1745</v>
      </c>
      <c r="E95" s="14" t="s">
        <v>1746</v>
      </c>
      <c r="F95" s="14">
        <v>7308</v>
      </c>
      <c r="G95" s="14">
        <v>6577.2</v>
      </c>
      <c r="H95" s="37">
        <f>'Calculation Sheet'!N95</f>
        <v>6577.2</v>
      </c>
    </row>
    <row r="96" spans="1:8" x14ac:dyDescent="0.25">
      <c r="A96" s="14" t="s">
        <v>1785</v>
      </c>
      <c r="B96" s="14">
        <v>1</v>
      </c>
      <c r="C96" s="15" t="s">
        <v>1787</v>
      </c>
      <c r="D96" s="14" t="s">
        <v>1749</v>
      </c>
      <c r="E96" s="14" t="s">
        <v>1746</v>
      </c>
      <c r="F96" s="14">
        <v>996</v>
      </c>
      <c r="G96" s="14">
        <v>747</v>
      </c>
      <c r="H96" s="37">
        <f>'Calculation Sheet'!N96</f>
        <v>747</v>
      </c>
    </row>
    <row r="97" spans="1:8" x14ac:dyDescent="0.25">
      <c r="A97" s="14" t="s">
        <v>1785</v>
      </c>
      <c r="B97" s="14">
        <v>1</v>
      </c>
      <c r="C97" s="15" t="s">
        <v>1787</v>
      </c>
      <c r="D97" s="14" t="s">
        <v>1745</v>
      </c>
      <c r="E97" s="14" t="s">
        <v>1746</v>
      </c>
      <c r="F97" s="14">
        <v>10458</v>
      </c>
      <c r="G97" s="14">
        <v>7843.56</v>
      </c>
      <c r="H97" s="37">
        <f>'Calculation Sheet'!N97</f>
        <v>7843.56</v>
      </c>
    </row>
    <row r="98" spans="1:8" x14ac:dyDescent="0.25">
      <c r="A98" s="14" t="s">
        <v>1785</v>
      </c>
      <c r="B98" s="14">
        <v>1</v>
      </c>
      <c r="C98" s="15" t="s">
        <v>1787</v>
      </c>
      <c r="D98" s="14" t="s">
        <v>1745</v>
      </c>
      <c r="E98" s="14" t="s">
        <v>1747</v>
      </c>
      <c r="F98" s="14">
        <v>9960</v>
      </c>
      <c r="G98" s="14">
        <v>7470</v>
      </c>
      <c r="H98" s="37">
        <f>'Calculation Sheet'!N98</f>
        <v>7470</v>
      </c>
    </row>
    <row r="99" spans="1:8" x14ac:dyDescent="0.25">
      <c r="A99" s="14" t="s">
        <v>1785</v>
      </c>
      <c r="B99" s="14" t="s">
        <v>73</v>
      </c>
      <c r="C99" s="15" t="s">
        <v>1786</v>
      </c>
      <c r="D99" s="14" t="s">
        <v>1745</v>
      </c>
      <c r="E99" s="14" t="s">
        <v>1747</v>
      </c>
      <c r="F99" s="14">
        <v>6960</v>
      </c>
      <c r="G99" s="14">
        <v>6264</v>
      </c>
      <c r="H99" s="37">
        <f>'Calculation Sheet'!N99</f>
        <v>6264</v>
      </c>
    </row>
    <row r="100" spans="1:8" x14ac:dyDescent="0.25">
      <c r="A100" s="14" t="s">
        <v>1785</v>
      </c>
      <c r="B100" s="14" t="s">
        <v>89</v>
      </c>
      <c r="C100" s="15" t="s">
        <v>1788</v>
      </c>
      <c r="D100" s="14" t="s">
        <v>1745</v>
      </c>
      <c r="E100" s="14" t="s">
        <v>1746</v>
      </c>
      <c r="F100" s="14">
        <v>7308</v>
      </c>
      <c r="G100" s="14">
        <v>5481</v>
      </c>
      <c r="H100" s="37">
        <f>'Calculation Sheet'!N100</f>
        <v>5481</v>
      </c>
    </row>
    <row r="101" spans="1:8" x14ac:dyDescent="0.25">
      <c r="A101" s="14" t="s">
        <v>1785</v>
      </c>
      <c r="B101" s="14" t="s">
        <v>89</v>
      </c>
      <c r="C101" s="15" t="s">
        <v>1788</v>
      </c>
      <c r="D101" s="14" t="s">
        <v>1745</v>
      </c>
      <c r="E101" s="14" t="s">
        <v>1747</v>
      </c>
      <c r="F101" s="14">
        <v>6960</v>
      </c>
      <c r="G101" s="14">
        <v>5220</v>
      </c>
      <c r="H101" s="37">
        <f>'Calculation Sheet'!N101</f>
        <v>5220</v>
      </c>
    </row>
    <row r="102" spans="1:8" x14ac:dyDescent="0.25">
      <c r="A102" s="14" t="s">
        <v>1785</v>
      </c>
      <c r="B102" s="14" t="s">
        <v>73</v>
      </c>
      <c r="C102" s="15" t="s">
        <v>1786</v>
      </c>
      <c r="D102" s="14" t="s">
        <v>1749</v>
      </c>
      <c r="E102" s="14" t="s">
        <v>1746</v>
      </c>
      <c r="F102" s="14">
        <v>696</v>
      </c>
      <c r="G102" s="14">
        <v>626.4</v>
      </c>
      <c r="H102" s="37">
        <f>'Calculation Sheet'!N102</f>
        <v>626.4</v>
      </c>
    </row>
    <row r="103" spans="1:8" x14ac:dyDescent="0.25">
      <c r="A103" s="14" t="s">
        <v>1785</v>
      </c>
      <c r="B103" s="14" t="s">
        <v>89</v>
      </c>
      <c r="C103" s="15" t="s">
        <v>1788</v>
      </c>
      <c r="D103" s="14" t="s">
        <v>1749</v>
      </c>
      <c r="E103" s="14" t="s">
        <v>1746</v>
      </c>
      <c r="F103" s="14">
        <v>696</v>
      </c>
      <c r="G103" s="14">
        <v>522</v>
      </c>
      <c r="H103" s="37">
        <f>'Calculation Sheet'!N103</f>
        <v>522</v>
      </c>
    </row>
    <row r="104" spans="1:8" x14ac:dyDescent="0.25">
      <c r="A104" s="14" t="s">
        <v>1789</v>
      </c>
      <c r="B104" s="14" t="s">
        <v>16</v>
      </c>
      <c r="C104" s="15" t="s">
        <v>1790</v>
      </c>
      <c r="D104" s="14" t="s">
        <v>1749</v>
      </c>
      <c r="E104" s="14" t="s">
        <v>1746</v>
      </c>
      <c r="F104" s="14">
        <v>34944</v>
      </c>
      <c r="G104" s="14">
        <v>24460.799999999999</v>
      </c>
      <c r="H104" s="37">
        <f>'Calculation Sheet'!N104</f>
        <v>24460.799999999999</v>
      </c>
    </row>
    <row r="105" spans="1:8" x14ac:dyDescent="0.25">
      <c r="A105" s="14" t="s">
        <v>1789</v>
      </c>
      <c r="B105" s="14">
        <v>1</v>
      </c>
      <c r="C105" s="15" t="s">
        <v>1791</v>
      </c>
      <c r="D105" s="14" t="s">
        <v>1749</v>
      </c>
      <c r="E105" s="14" t="s">
        <v>1746</v>
      </c>
      <c r="F105" s="14">
        <v>49914</v>
      </c>
      <c r="G105" s="14">
        <v>34939.800000000003</v>
      </c>
      <c r="H105" s="37">
        <f>'Calculation Sheet'!N105</f>
        <v>34939.800000000003</v>
      </c>
    </row>
    <row r="106" spans="1:8" x14ac:dyDescent="0.25">
      <c r="A106" s="14" t="s">
        <v>1789</v>
      </c>
      <c r="B106" s="14">
        <v>1</v>
      </c>
      <c r="C106" s="15" t="s">
        <v>1791</v>
      </c>
      <c r="D106" s="14" t="s">
        <v>1745</v>
      </c>
      <c r="E106" s="14" t="s">
        <v>1747</v>
      </c>
      <c r="F106" s="14">
        <v>499140</v>
      </c>
      <c r="G106" s="14">
        <v>349398</v>
      </c>
      <c r="H106" s="37">
        <f>'Calculation Sheet'!N106</f>
        <v>349398</v>
      </c>
    </row>
    <row r="107" spans="1:8" x14ac:dyDescent="0.25">
      <c r="A107" s="14" t="s">
        <v>1789</v>
      </c>
      <c r="B107" s="14">
        <v>1</v>
      </c>
      <c r="C107" s="15" t="s">
        <v>1791</v>
      </c>
      <c r="D107" s="14" t="s">
        <v>1745</v>
      </c>
      <c r="E107" s="14" t="s">
        <v>1746</v>
      </c>
      <c r="F107" s="14">
        <v>524097</v>
      </c>
      <c r="G107" s="14">
        <v>366868</v>
      </c>
      <c r="H107" s="37">
        <f>'Calculation Sheet'!N107</f>
        <v>366868</v>
      </c>
    </row>
    <row r="108" spans="1:8" x14ac:dyDescent="0.25">
      <c r="A108" s="14" t="s">
        <v>1789</v>
      </c>
      <c r="B108" s="14" t="s">
        <v>73</v>
      </c>
      <c r="C108" s="15" t="s">
        <v>1792</v>
      </c>
      <c r="D108" s="14" t="s">
        <v>1745</v>
      </c>
      <c r="E108" s="14" t="s">
        <v>1746</v>
      </c>
      <c r="F108" s="14">
        <v>131040</v>
      </c>
      <c r="G108" s="14">
        <v>117936</v>
      </c>
      <c r="H108" s="37">
        <f>'Calculation Sheet'!N108</f>
        <v>117936</v>
      </c>
    </row>
    <row r="109" spans="1:8" x14ac:dyDescent="0.25">
      <c r="A109" s="14" t="s">
        <v>1789</v>
      </c>
      <c r="B109" s="14" t="s">
        <v>16</v>
      </c>
      <c r="C109" s="15" t="s">
        <v>1790</v>
      </c>
      <c r="D109" s="14" t="s">
        <v>1745</v>
      </c>
      <c r="E109" s="14" t="s">
        <v>1746</v>
      </c>
      <c r="F109" s="14">
        <v>366912</v>
      </c>
      <c r="G109" s="14">
        <v>256838.39999999999</v>
      </c>
      <c r="H109" s="37">
        <f>'Calculation Sheet'!N109</f>
        <v>256838.39999999999</v>
      </c>
    </row>
    <row r="110" spans="1:8" x14ac:dyDescent="0.25">
      <c r="A110" s="14" t="s">
        <v>1789</v>
      </c>
      <c r="B110" s="14" t="s">
        <v>16</v>
      </c>
      <c r="C110" s="15" t="s">
        <v>1790</v>
      </c>
      <c r="D110" s="14" t="s">
        <v>1745</v>
      </c>
      <c r="E110" s="14" t="s">
        <v>1747</v>
      </c>
      <c r="F110" s="14">
        <v>349440</v>
      </c>
      <c r="G110" s="14">
        <v>244608</v>
      </c>
      <c r="H110" s="37">
        <f>'Calculation Sheet'!N110</f>
        <v>244608</v>
      </c>
    </row>
    <row r="111" spans="1:8" x14ac:dyDescent="0.25">
      <c r="A111" s="14" t="s">
        <v>1789</v>
      </c>
      <c r="B111" s="14" t="s">
        <v>73</v>
      </c>
      <c r="C111" s="15" t="s">
        <v>1792</v>
      </c>
      <c r="D111" s="14" t="s">
        <v>1749</v>
      </c>
      <c r="E111" s="14" t="s">
        <v>1746</v>
      </c>
      <c r="F111" s="14">
        <v>12480</v>
      </c>
      <c r="G111" s="14">
        <v>11232</v>
      </c>
      <c r="H111" s="37">
        <f>'Calculation Sheet'!N111</f>
        <v>11232</v>
      </c>
    </row>
    <row r="112" spans="1:8" x14ac:dyDescent="0.25">
      <c r="A112" s="14" t="s">
        <v>1789</v>
      </c>
      <c r="B112" s="14" t="s">
        <v>73</v>
      </c>
      <c r="C112" s="15" t="s">
        <v>1792</v>
      </c>
      <c r="D112" s="14" t="s">
        <v>1745</v>
      </c>
      <c r="E112" s="14" t="s">
        <v>1747</v>
      </c>
      <c r="F112" s="14">
        <v>124800</v>
      </c>
      <c r="G112" s="14">
        <v>112320</v>
      </c>
      <c r="H112" s="37">
        <f>'Calculation Sheet'!N112</f>
        <v>112320</v>
      </c>
    </row>
    <row r="113" spans="1:8" x14ac:dyDescent="0.25">
      <c r="A113" s="14" t="s">
        <v>1793</v>
      </c>
      <c r="B113" s="14">
        <v>1</v>
      </c>
      <c r="C113" s="15" t="s">
        <v>1794</v>
      </c>
      <c r="D113" s="14" t="s">
        <v>1749</v>
      </c>
      <c r="E113" s="14" t="s">
        <v>1746</v>
      </c>
      <c r="F113" s="14">
        <v>9984</v>
      </c>
      <c r="G113" s="14">
        <v>6988.8</v>
      </c>
      <c r="H113" s="37">
        <f>'Calculation Sheet'!N113</f>
        <v>6988.8</v>
      </c>
    </row>
    <row r="114" spans="1:8" x14ac:dyDescent="0.25">
      <c r="A114" s="14" t="s">
        <v>1793</v>
      </c>
      <c r="B114" s="14">
        <v>1</v>
      </c>
      <c r="C114" s="15" t="s">
        <v>1794</v>
      </c>
      <c r="D114" s="14" t="s">
        <v>1752</v>
      </c>
      <c r="E114" s="14" t="s">
        <v>1746</v>
      </c>
      <c r="F114" s="14">
        <v>314496</v>
      </c>
      <c r="G114" s="14">
        <v>220147.20000000001</v>
      </c>
      <c r="H114" s="37">
        <f>'Calculation Sheet'!N114</f>
        <v>220147.20000000001</v>
      </c>
    </row>
    <row r="115" spans="1:8" x14ac:dyDescent="0.25">
      <c r="A115" s="14" t="s">
        <v>1793</v>
      </c>
      <c r="B115" s="14" t="s">
        <v>20</v>
      </c>
      <c r="C115" s="15" t="s">
        <v>1795</v>
      </c>
      <c r="D115" s="14" t="s">
        <v>1745</v>
      </c>
      <c r="E115" s="14" t="s">
        <v>1746</v>
      </c>
      <c r="F115" s="14">
        <v>73395</v>
      </c>
      <c r="G115" s="14">
        <v>51376.56</v>
      </c>
      <c r="H115" s="37">
        <f>'Calculation Sheet'!N115</f>
        <v>51376.56</v>
      </c>
    </row>
    <row r="116" spans="1:8" x14ac:dyDescent="0.25">
      <c r="A116" s="14" t="s">
        <v>1793</v>
      </c>
      <c r="B116" s="14">
        <v>1</v>
      </c>
      <c r="C116" s="15" t="s">
        <v>1794</v>
      </c>
      <c r="D116" s="14" t="s">
        <v>1745</v>
      </c>
      <c r="E116" s="14" t="s">
        <v>1747</v>
      </c>
      <c r="F116" s="14">
        <v>99840</v>
      </c>
      <c r="G116" s="14">
        <v>69888</v>
      </c>
      <c r="H116" s="37">
        <f>'Calculation Sheet'!N116</f>
        <v>69888</v>
      </c>
    </row>
    <row r="117" spans="1:8" x14ac:dyDescent="0.25">
      <c r="A117" s="14" t="s">
        <v>1793</v>
      </c>
      <c r="B117" s="14" t="s">
        <v>20</v>
      </c>
      <c r="C117" s="15" t="s">
        <v>1795</v>
      </c>
      <c r="D117" s="14" t="s">
        <v>1745</v>
      </c>
      <c r="E117" s="14" t="s">
        <v>1747</v>
      </c>
      <c r="F117" s="14">
        <v>69900</v>
      </c>
      <c r="G117" s="14">
        <v>48930</v>
      </c>
      <c r="H117" s="37">
        <f>'Calculation Sheet'!N117</f>
        <v>48930</v>
      </c>
    </row>
    <row r="118" spans="1:8" x14ac:dyDescent="0.25">
      <c r="A118" s="14" t="s">
        <v>1793</v>
      </c>
      <c r="B118" s="14" t="s">
        <v>16</v>
      </c>
      <c r="C118" s="15" t="s">
        <v>1796</v>
      </c>
      <c r="D118" s="14" t="s">
        <v>1745</v>
      </c>
      <c r="E118" s="14" t="s">
        <v>1747</v>
      </c>
      <c r="F118" s="14">
        <v>69900</v>
      </c>
      <c r="G118" s="14">
        <v>62910</v>
      </c>
      <c r="H118" s="37">
        <f>'Calculation Sheet'!N118</f>
        <v>62910</v>
      </c>
    </row>
    <row r="119" spans="1:8" x14ac:dyDescent="0.25">
      <c r="A119" s="14" t="s">
        <v>1793</v>
      </c>
      <c r="B119" s="14" t="s">
        <v>16</v>
      </c>
      <c r="C119" s="15" t="s">
        <v>1796</v>
      </c>
      <c r="D119" s="14" t="s">
        <v>1749</v>
      </c>
      <c r="E119" s="14" t="s">
        <v>1746</v>
      </c>
      <c r="F119" s="14">
        <v>6990</v>
      </c>
      <c r="G119" s="14">
        <v>6291</v>
      </c>
      <c r="H119" s="37">
        <f>'Calculation Sheet'!N119</f>
        <v>6291</v>
      </c>
    </row>
    <row r="120" spans="1:8" x14ac:dyDescent="0.25">
      <c r="A120" s="14" t="s">
        <v>1793</v>
      </c>
      <c r="B120" s="14" t="s">
        <v>20</v>
      </c>
      <c r="C120" s="15" t="s">
        <v>1795</v>
      </c>
      <c r="D120" s="14" t="s">
        <v>1749</v>
      </c>
      <c r="E120" s="14" t="s">
        <v>1746</v>
      </c>
      <c r="F120" s="14">
        <v>6990</v>
      </c>
      <c r="G120" s="14">
        <v>4893</v>
      </c>
      <c r="H120" s="37">
        <f>'Calculation Sheet'!N120</f>
        <v>4893</v>
      </c>
    </row>
    <row r="121" spans="1:8" x14ac:dyDescent="0.25">
      <c r="A121" s="14" t="s">
        <v>1793</v>
      </c>
      <c r="B121" s="14">
        <v>1</v>
      </c>
      <c r="C121" s="15" t="s">
        <v>1794</v>
      </c>
      <c r="D121" s="14" t="s">
        <v>1752</v>
      </c>
      <c r="E121" s="14" t="s">
        <v>1753</v>
      </c>
      <c r="F121" s="14">
        <v>299520</v>
      </c>
      <c r="G121" s="14">
        <v>209664</v>
      </c>
      <c r="H121" s="37">
        <f>'Calculation Sheet'!N121</f>
        <v>209664</v>
      </c>
    </row>
    <row r="122" spans="1:8" x14ac:dyDescent="0.25">
      <c r="A122" s="14" t="s">
        <v>1793</v>
      </c>
      <c r="B122" s="14" t="s">
        <v>16</v>
      </c>
      <c r="C122" s="15" t="s">
        <v>1796</v>
      </c>
      <c r="D122" s="14" t="s">
        <v>1745</v>
      </c>
      <c r="E122" s="14" t="s">
        <v>1746</v>
      </c>
      <c r="F122" s="14">
        <v>73395</v>
      </c>
      <c r="G122" s="14">
        <v>66055.56</v>
      </c>
      <c r="H122" s="37">
        <f>'Calculation Sheet'!N122</f>
        <v>66055.56</v>
      </c>
    </row>
    <row r="123" spans="1:8" x14ac:dyDescent="0.25">
      <c r="A123" s="14" t="s">
        <v>1793</v>
      </c>
      <c r="B123" s="14">
        <v>1</v>
      </c>
      <c r="C123" s="15" t="s">
        <v>1794</v>
      </c>
      <c r="D123" s="14" t="s">
        <v>1752</v>
      </c>
      <c r="E123" s="14" t="s">
        <v>1747</v>
      </c>
      <c r="F123" s="14">
        <v>299520</v>
      </c>
      <c r="G123" s="14">
        <v>209664</v>
      </c>
      <c r="H123" s="37">
        <f>'Calculation Sheet'!N123</f>
        <v>209664</v>
      </c>
    </row>
    <row r="124" spans="1:8" x14ac:dyDescent="0.25">
      <c r="A124" s="14" t="s">
        <v>1793</v>
      </c>
      <c r="B124" s="14">
        <v>1</v>
      </c>
      <c r="C124" s="15" t="s">
        <v>1794</v>
      </c>
      <c r="D124" s="14" t="s">
        <v>1745</v>
      </c>
      <c r="E124" s="14" t="s">
        <v>1746</v>
      </c>
      <c r="F124" s="14">
        <v>104832</v>
      </c>
      <c r="G124" s="14">
        <v>73382.399999999994</v>
      </c>
      <c r="H124" s="37">
        <f>'Calculation Sheet'!N124</f>
        <v>73382.399999999994</v>
      </c>
    </row>
    <row r="125" spans="1:8" ht="30" x14ac:dyDescent="0.25">
      <c r="A125" s="14" t="s">
        <v>1797</v>
      </c>
      <c r="B125" s="14">
        <v>3</v>
      </c>
      <c r="C125" s="15" t="s">
        <v>1798</v>
      </c>
      <c r="D125" s="14" t="s">
        <v>1745</v>
      </c>
      <c r="E125" s="14" t="s">
        <v>1747</v>
      </c>
      <c r="F125" s="14">
        <v>164700</v>
      </c>
      <c r="G125" s="14">
        <v>115290</v>
      </c>
      <c r="H125" s="37">
        <f>'Calculation Sheet'!N125</f>
        <v>115290</v>
      </c>
    </row>
    <row r="126" spans="1:8" x14ac:dyDescent="0.25">
      <c r="A126" s="14" t="s">
        <v>1797</v>
      </c>
      <c r="B126" s="14">
        <v>1</v>
      </c>
      <c r="C126" s="15" t="s">
        <v>1799</v>
      </c>
      <c r="D126" s="14" t="s">
        <v>1749</v>
      </c>
      <c r="E126" s="14" t="s">
        <v>1746</v>
      </c>
      <c r="F126" s="14">
        <v>29952</v>
      </c>
      <c r="G126" s="14">
        <v>20966.400000000001</v>
      </c>
      <c r="H126" s="37">
        <f>'Calculation Sheet'!N126</f>
        <v>20966.400000000001</v>
      </c>
    </row>
    <row r="127" spans="1:8" x14ac:dyDescent="0.25">
      <c r="A127" s="14" t="s">
        <v>1797</v>
      </c>
      <c r="B127" s="14">
        <v>4</v>
      </c>
      <c r="C127" s="15" t="s">
        <v>1800</v>
      </c>
      <c r="D127" s="14" t="s">
        <v>1745</v>
      </c>
      <c r="E127" s="14" t="s">
        <v>1747</v>
      </c>
      <c r="F127" s="14">
        <v>119820</v>
      </c>
      <c r="G127" s="14">
        <v>107838</v>
      </c>
      <c r="H127" s="37">
        <f>'Calculation Sheet'!N127</f>
        <v>107838</v>
      </c>
    </row>
    <row r="128" spans="1:8" ht="30" x14ac:dyDescent="0.25">
      <c r="A128" s="14" t="s">
        <v>1797</v>
      </c>
      <c r="B128" s="14">
        <v>3</v>
      </c>
      <c r="C128" s="15" t="s">
        <v>1798</v>
      </c>
      <c r="D128" s="14" t="s">
        <v>1749</v>
      </c>
      <c r="E128" s="14" t="s">
        <v>1746</v>
      </c>
      <c r="F128" s="14">
        <v>16470</v>
      </c>
      <c r="G128" s="14">
        <v>11529</v>
      </c>
      <c r="H128" s="37">
        <f>'Calculation Sheet'!N128</f>
        <v>11529</v>
      </c>
    </row>
    <row r="129" spans="1:8" x14ac:dyDescent="0.25">
      <c r="A129" s="14" t="s">
        <v>1797</v>
      </c>
      <c r="B129" s="14">
        <v>1</v>
      </c>
      <c r="C129" s="15" t="s">
        <v>1799</v>
      </c>
      <c r="D129" s="14" t="s">
        <v>1745</v>
      </c>
      <c r="E129" s="14" t="s">
        <v>1746</v>
      </c>
      <c r="F129" s="14">
        <v>314496</v>
      </c>
      <c r="G129" s="14">
        <v>220147.20000000001</v>
      </c>
      <c r="H129" s="37">
        <f>'Calculation Sheet'!N129</f>
        <v>220147.20000000001</v>
      </c>
    </row>
    <row r="130" spans="1:8" x14ac:dyDescent="0.25">
      <c r="A130" s="14" t="s">
        <v>1797</v>
      </c>
      <c r="B130" s="14">
        <v>4</v>
      </c>
      <c r="C130" s="15" t="s">
        <v>1800</v>
      </c>
      <c r="D130" s="14" t="s">
        <v>1745</v>
      </c>
      <c r="E130" s="14" t="s">
        <v>1746</v>
      </c>
      <c r="F130" s="14">
        <v>125811</v>
      </c>
      <c r="G130" s="14">
        <v>113230</v>
      </c>
      <c r="H130" s="37">
        <f>'Calculation Sheet'!N130</f>
        <v>113230</v>
      </c>
    </row>
    <row r="131" spans="1:8" x14ac:dyDescent="0.25">
      <c r="A131" s="14" t="s">
        <v>1797</v>
      </c>
      <c r="B131" s="14">
        <v>1</v>
      </c>
      <c r="C131" s="15" t="s">
        <v>1799</v>
      </c>
      <c r="D131" s="14" t="s">
        <v>1745</v>
      </c>
      <c r="E131" s="14" t="s">
        <v>1747</v>
      </c>
      <c r="F131" s="14">
        <v>299520</v>
      </c>
      <c r="G131" s="14">
        <v>209664</v>
      </c>
      <c r="H131" s="37">
        <f>'Calculation Sheet'!N131</f>
        <v>209664</v>
      </c>
    </row>
    <row r="132" spans="1:8" x14ac:dyDescent="0.25">
      <c r="A132" s="14" t="s">
        <v>1797</v>
      </c>
      <c r="B132" s="14">
        <v>4</v>
      </c>
      <c r="C132" s="15" t="s">
        <v>1800</v>
      </c>
      <c r="D132" s="14" t="s">
        <v>1749</v>
      </c>
      <c r="E132" s="14" t="s">
        <v>1746</v>
      </c>
      <c r="F132" s="14">
        <v>11982</v>
      </c>
      <c r="G132" s="14">
        <v>10783.8</v>
      </c>
      <c r="H132" s="37">
        <f>'Calculation Sheet'!N132</f>
        <v>10783.8</v>
      </c>
    </row>
    <row r="133" spans="1:8" ht="30" x14ac:dyDescent="0.25">
      <c r="A133" s="14" t="s">
        <v>1797</v>
      </c>
      <c r="B133" s="14">
        <v>3</v>
      </c>
      <c r="C133" s="15" t="s">
        <v>1798</v>
      </c>
      <c r="D133" s="14" t="s">
        <v>1745</v>
      </c>
      <c r="E133" s="14" t="s">
        <v>1746</v>
      </c>
      <c r="F133" s="14">
        <v>172935</v>
      </c>
      <c r="G133" s="14">
        <v>121054.6</v>
      </c>
      <c r="H133" s="37">
        <f>'Calculation Sheet'!N133</f>
        <v>121054.6</v>
      </c>
    </row>
    <row r="134" spans="1:8" x14ac:dyDescent="0.25">
      <c r="A134" s="14" t="s">
        <v>1801</v>
      </c>
      <c r="B134" s="14">
        <v>7</v>
      </c>
      <c r="C134" s="15" t="s">
        <v>1802</v>
      </c>
      <c r="D134" s="14" t="s">
        <v>1749</v>
      </c>
      <c r="E134" s="14" t="s">
        <v>1746</v>
      </c>
      <c r="F134" s="14">
        <v>552</v>
      </c>
      <c r="G134" s="14">
        <v>386.4</v>
      </c>
      <c r="H134" s="37">
        <f>'Calculation Sheet'!N134</f>
        <v>386.4</v>
      </c>
    </row>
    <row r="135" spans="1:8" x14ac:dyDescent="0.25">
      <c r="A135" s="14" t="s">
        <v>1801</v>
      </c>
      <c r="B135" s="14" t="s">
        <v>24</v>
      </c>
      <c r="C135" s="15" t="s">
        <v>1803</v>
      </c>
      <c r="D135" s="14" t="s">
        <v>1745</v>
      </c>
      <c r="E135" s="14" t="s">
        <v>1746</v>
      </c>
      <c r="F135" s="14">
        <v>2898</v>
      </c>
      <c r="G135" s="14">
        <v>2028.6</v>
      </c>
      <c r="H135" s="37">
        <f>'Calculation Sheet'!N135</f>
        <v>2028.6</v>
      </c>
    </row>
    <row r="136" spans="1:8" x14ac:dyDescent="0.25">
      <c r="A136" s="14" t="s">
        <v>1801</v>
      </c>
      <c r="B136" s="14">
        <v>5</v>
      </c>
      <c r="C136" s="15" t="s">
        <v>1804</v>
      </c>
      <c r="D136" s="14" t="s">
        <v>1745</v>
      </c>
      <c r="E136" s="14" t="s">
        <v>1747</v>
      </c>
      <c r="F136" s="14">
        <v>4020</v>
      </c>
      <c r="G136" s="14">
        <v>3618</v>
      </c>
      <c r="H136" s="37">
        <f>'Calculation Sheet'!N136</f>
        <v>3618</v>
      </c>
    </row>
    <row r="137" spans="1:8" x14ac:dyDescent="0.25">
      <c r="A137" s="14" t="s">
        <v>1801</v>
      </c>
      <c r="B137" s="14" t="s">
        <v>16</v>
      </c>
      <c r="C137" s="15" t="s">
        <v>1805</v>
      </c>
      <c r="D137" s="14" t="s">
        <v>1745</v>
      </c>
      <c r="E137" s="14" t="s">
        <v>1746</v>
      </c>
      <c r="F137" s="14">
        <v>209664</v>
      </c>
      <c r="G137" s="14">
        <v>146764.79999999999</v>
      </c>
      <c r="H137" s="37">
        <f>'Calculation Sheet'!N137</f>
        <v>146764.79999999999</v>
      </c>
    </row>
    <row r="138" spans="1:8" x14ac:dyDescent="0.25">
      <c r="A138" s="14" t="s">
        <v>1801</v>
      </c>
      <c r="B138" s="14">
        <v>7</v>
      </c>
      <c r="C138" s="15" t="s">
        <v>1802</v>
      </c>
      <c r="D138" s="14" t="s">
        <v>1745</v>
      </c>
      <c r="E138" s="14" t="s">
        <v>1746</v>
      </c>
      <c r="F138" s="14">
        <v>5796</v>
      </c>
      <c r="G138" s="14">
        <v>4057.2</v>
      </c>
      <c r="H138" s="37">
        <f>'Calculation Sheet'!N138</f>
        <v>4057.2</v>
      </c>
    </row>
    <row r="139" spans="1:8" x14ac:dyDescent="0.25">
      <c r="A139" s="14" t="s">
        <v>1801</v>
      </c>
      <c r="B139" s="14">
        <v>8</v>
      </c>
      <c r="C139" s="15" t="s">
        <v>1806</v>
      </c>
      <c r="D139" s="14" t="s">
        <v>1745</v>
      </c>
      <c r="E139" s="14" t="s">
        <v>1746</v>
      </c>
      <c r="F139" s="14">
        <v>2079</v>
      </c>
      <c r="G139" s="14">
        <v>1871.16</v>
      </c>
      <c r="H139" s="37">
        <f>'Calculation Sheet'!N139</f>
        <v>1871.16</v>
      </c>
    </row>
    <row r="140" spans="1:8" x14ac:dyDescent="0.25">
      <c r="A140" s="14" t="s">
        <v>1801</v>
      </c>
      <c r="B140" s="14" t="s">
        <v>24</v>
      </c>
      <c r="C140" s="15" t="s">
        <v>1803</v>
      </c>
      <c r="D140" s="14" t="s">
        <v>1749</v>
      </c>
      <c r="E140" s="14" t="s">
        <v>1746</v>
      </c>
      <c r="F140" s="14">
        <v>276</v>
      </c>
      <c r="G140" s="14">
        <v>193.2</v>
      </c>
      <c r="H140" s="37">
        <f>'Calculation Sheet'!N140</f>
        <v>193.2</v>
      </c>
    </row>
    <row r="141" spans="1:8" x14ac:dyDescent="0.25">
      <c r="A141" s="14" t="s">
        <v>1801</v>
      </c>
      <c r="B141" s="14">
        <v>8</v>
      </c>
      <c r="C141" s="15" t="s">
        <v>1806</v>
      </c>
      <c r="D141" s="14" t="s">
        <v>1745</v>
      </c>
      <c r="E141" s="14" t="s">
        <v>1747</v>
      </c>
      <c r="F141" s="14">
        <v>1980</v>
      </c>
      <c r="G141" s="14">
        <v>1782</v>
      </c>
      <c r="H141" s="37">
        <f>'Calculation Sheet'!N141</f>
        <v>1782</v>
      </c>
    </row>
    <row r="142" spans="1:8" x14ac:dyDescent="0.25">
      <c r="A142" s="14" t="s">
        <v>1801</v>
      </c>
      <c r="B142" s="14" t="s">
        <v>34</v>
      </c>
      <c r="C142" s="15" t="s">
        <v>1807</v>
      </c>
      <c r="D142" s="14" t="s">
        <v>1745</v>
      </c>
      <c r="E142" s="14" t="s">
        <v>1746</v>
      </c>
      <c r="F142" s="14">
        <v>288288</v>
      </c>
      <c r="G142" s="14">
        <v>201801.60000000001</v>
      </c>
      <c r="H142" s="37">
        <f>'Calculation Sheet'!N142</f>
        <v>201801.60000000001</v>
      </c>
    </row>
    <row r="143" spans="1:8" x14ac:dyDescent="0.25">
      <c r="A143" s="14" t="s">
        <v>1801</v>
      </c>
      <c r="B143" s="14">
        <v>2</v>
      </c>
      <c r="C143" s="15" t="s">
        <v>1808</v>
      </c>
      <c r="D143" s="14" t="s">
        <v>1745</v>
      </c>
      <c r="E143" s="14" t="s">
        <v>1746</v>
      </c>
      <c r="F143" s="14">
        <v>524097</v>
      </c>
      <c r="G143" s="14">
        <v>366868</v>
      </c>
      <c r="H143" s="37">
        <f>'Calculation Sheet'!N143</f>
        <v>366868</v>
      </c>
    </row>
    <row r="144" spans="1:8" x14ac:dyDescent="0.25">
      <c r="A144" s="14" t="s">
        <v>1801</v>
      </c>
      <c r="B144" s="14" t="s">
        <v>16</v>
      </c>
      <c r="C144" s="15" t="s">
        <v>1805</v>
      </c>
      <c r="D144" s="14" t="s">
        <v>1749</v>
      </c>
      <c r="E144" s="14" t="s">
        <v>1746</v>
      </c>
      <c r="F144" s="14">
        <v>19968</v>
      </c>
      <c r="G144" s="14">
        <v>13977.6</v>
      </c>
      <c r="H144" s="37">
        <f>'Calculation Sheet'!N144</f>
        <v>13977.6</v>
      </c>
    </row>
    <row r="145" spans="1:8" ht="30" x14ac:dyDescent="0.25">
      <c r="A145" s="14" t="s">
        <v>1801</v>
      </c>
      <c r="B145" s="14">
        <v>9</v>
      </c>
      <c r="C145" s="15" t="s">
        <v>1809</v>
      </c>
      <c r="D145" s="14" t="s">
        <v>1749</v>
      </c>
      <c r="E145" s="14" t="s">
        <v>1746</v>
      </c>
      <c r="F145" s="14">
        <v>198</v>
      </c>
      <c r="G145" s="14">
        <v>138.6</v>
      </c>
      <c r="H145" s="37">
        <f>'Calculation Sheet'!N145</f>
        <v>138.6</v>
      </c>
    </row>
    <row r="146" spans="1:8" ht="30" x14ac:dyDescent="0.25">
      <c r="A146" s="14" t="s">
        <v>1801</v>
      </c>
      <c r="B146" s="14">
        <v>9</v>
      </c>
      <c r="C146" s="15" t="s">
        <v>1809</v>
      </c>
      <c r="D146" s="14" t="s">
        <v>1745</v>
      </c>
      <c r="E146" s="14" t="s">
        <v>1746</v>
      </c>
      <c r="F146" s="14">
        <v>2079</v>
      </c>
      <c r="G146" s="14">
        <v>1455.36</v>
      </c>
      <c r="H146" s="37">
        <f>'Calculation Sheet'!N146</f>
        <v>1455.36</v>
      </c>
    </row>
    <row r="147" spans="1:8" x14ac:dyDescent="0.25">
      <c r="A147" s="14" t="s">
        <v>1801</v>
      </c>
      <c r="B147" s="14" t="s">
        <v>20</v>
      </c>
      <c r="C147" s="15" t="s">
        <v>1810</v>
      </c>
      <c r="D147" s="14" t="s">
        <v>1749</v>
      </c>
      <c r="E147" s="14" t="s">
        <v>1746</v>
      </c>
      <c r="F147" s="14">
        <v>402</v>
      </c>
      <c r="G147" s="14">
        <v>281.39999999999998</v>
      </c>
      <c r="H147" s="37">
        <f>'Calculation Sheet'!N147</f>
        <v>281.39999999999998</v>
      </c>
    </row>
    <row r="148" spans="1:8" x14ac:dyDescent="0.25">
      <c r="A148" s="14" t="s">
        <v>1801</v>
      </c>
      <c r="B148" s="14" t="s">
        <v>16</v>
      </c>
      <c r="C148" s="15" t="s">
        <v>1805</v>
      </c>
      <c r="D148" s="14" t="s">
        <v>1745</v>
      </c>
      <c r="E148" s="14" t="s">
        <v>1747</v>
      </c>
      <c r="F148" s="14">
        <v>199680</v>
      </c>
      <c r="G148" s="14">
        <v>139776</v>
      </c>
      <c r="H148" s="37">
        <f>'Calculation Sheet'!N148</f>
        <v>139776</v>
      </c>
    </row>
    <row r="149" spans="1:8" x14ac:dyDescent="0.25">
      <c r="A149" s="14" t="s">
        <v>1801</v>
      </c>
      <c r="B149" s="14">
        <v>7</v>
      </c>
      <c r="C149" s="15" t="s">
        <v>1802</v>
      </c>
      <c r="D149" s="14" t="s">
        <v>1745</v>
      </c>
      <c r="E149" s="14" t="s">
        <v>1747</v>
      </c>
      <c r="F149" s="14">
        <v>5520</v>
      </c>
      <c r="G149" s="14">
        <v>3864</v>
      </c>
      <c r="H149" s="37">
        <f>'Calculation Sheet'!N149</f>
        <v>3864</v>
      </c>
    </row>
    <row r="150" spans="1:8" x14ac:dyDescent="0.25">
      <c r="A150" s="14" t="s">
        <v>1801</v>
      </c>
      <c r="B150" s="14" t="s">
        <v>34</v>
      </c>
      <c r="C150" s="15" t="s">
        <v>1807</v>
      </c>
      <c r="D150" s="14" t="s">
        <v>1749</v>
      </c>
      <c r="E150" s="14" t="s">
        <v>1746</v>
      </c>
      <c r="F150" s="14">
        <v>27456</v>
      </c>
      <c r="G150" s="14">
        <v>19219.2</v>
      </c>
      <c r="H150" s="37">
        <f>'Calculation Sheet'!N150</f>
        <v>19219.2</v>
      </c>
    </row>
    <row r="151" spans="1:8" x14ac:dyDescent="0.25">
      <c r="A151" s="14" t="s">
        <v>1801</v>
      </c>
      <c r="B151" s="14">
        <v>1</v>
      </c>
      <c r="C151" s="15" t="s">
        <v>1811</v>
      </c>
      <c r="D151" s="14" t="s">
        <v>1749</v>
      </c>
      <c r="E151" s="14" t="s">
        <v>1746</v>
      </c>
      <c r="F151" s="14">
        <v>996</v>
      </c>
      <c r="G151" s="14">
        <v>697.2</v>
      </c>
      <c r="H151" s="37">
        <f>'Calculation Sheet'!N151</f>
        <v>697.2</v>
      </c>
    </row>
    <row r="152" spans="1:8" x14ac:dyDescent="0.25">
      <c r="A152" s="14" t="s">
        <v>1801</v>
      </c>
      <c r="B152" s="14" t="s">
        <v>20</v>
      </c>
      <c r="C152" s="15" t="s">
        <v>1810</v>
      </c>
      <c r="D152" s="14" t="s">
        <v>1745</v>
      </c>
      <c r="E152" s="14" t="s">
        <v>1747</v>
      </c>
      <c r="F152" s="14">
        <v>4020</v>
      </c>
      <c r="G152" s="14">
        <v>2814</v>
      </c>
      <c r="H152" s="37">
        <f>'Calculation Sheet'!N152</f>
        <v>2814</v>
      </c>
    </row>
    <row r="153" spans="1:8" x14ac:dyDescent="0.25">
      <c r="A153" s="14" t="s">
        <v>1801</v>
      </c>
      <c r="B153" s="14">
        <v>1</v>
      </c>
      <c r="C153" s="15" t="s">
        <v>1811</v>
      </c>
      <c r="D153" s="14" t="s">
        <v>1745</v>
      </c>
      <c r="E153" s="14" t="s">
        <v>1746</v>
      </c>
      <c r="F153" s="14">
        <v>10458</v>
      </c>
      <c r="G153" s="14">
        <v>7320.6</v>
      </c>
      <c r="H153" s="37">
        <f>'Calculation Sheet'!N153</f>
        <v>7320.6</v>
      </c>
    </row>
    <row r="154" spans="1:8" x14ac:dyDescent="0.25">
      <c r="A154" s="14" t="s">
        <v>1801</v>
      </c>
      <c r="B154" s="14">
        <v>2</v>
      </c>
      <c r="C154" s="15" t="s">
        <v>1808</v>
      </c>
      <c r="D154" s="14" t="s">
        <v>1745</v>
      </c>
      <c r="E154" s="14" t="s">
        <v>1747</v>
      </c>
      <c r="F154" s="14">
        <v>499140</v>
      </c>
      <c r="G154" s="14">
        <v>349398</v>
      </c>
      <c r="H154" s="37">
        <f>'Calculation Sheet'!N154</f>
        <v>349398</v>
      </c>
    </row>
    <row r="155" spans="1:8" ht="30" x14ac:dyDescent="0.25">
      <c r="A155" s="14" t="s">
        <v>1801</v>
      </c>
      <c r="B155" s="14">
        <v>9</v>
      </c>
      <c r="C155" s="15" t="s">
        <v>1809</v>
      </c>
      <c r="D155" s="14" t="s">
        <v>1745</v>
      </c>
      <c r="E155" s="14" t="s">
        <v>1747</v>
      </c>
      <c r="F155" s="14">
        <v>1980</v>
      </c>
      <c r="G155" s="14">
        <v>1386</v>
      </c>
      <c r="H155" s="37">
        <f>'Calculation Sheet'!N155</f>
        <v>1386</v>
      </c>
    </row>
    <row r="156" spans="1:8" x14ac:dyDescent="0.25">
      <c r="A156" s="14" t="s">
        <v>1801</v>
      </c>
      <c r="B156" s="14">
        <v>1</v>
      </c>
      <c r="C156" s="15" t="s">
        <v>1811</v>
      </c>
      <c r="D156" s="14" t="s">
        <v>1745</v>
      </c>
      <c r="E156" s="14" t="s">
        <v>1747</v>
      </c>
      <c r="F156" s="14">
        <v>9960</v>
      </c>
      <c r="G156" s="14">
        <v>6972</v>
      </c>
      <c r="H156" s="37">
        <f>'Calculation Sheet'!N156</f>
        <v>6972</v>
      </c>
    </row>
    <row r="157" spans="1:8" x14ac:dyDescent="0.25">
      <c r="A157" s="14" t="s">
        <v>1801</v>
      </c>
      <c r="B157" s="14" t="s">
        <v>34</v>
      </c>
      <c r="C157" s="15" t="s">
        <v>1807</v>
      </c>
      <c r="D157" s="14" t="s">
        <v>1745</v>
      </c>
      <c r="E157" s="14" t="s">
        <v>1747</v>
      </c>
      <c r="F157" s="14">
        <v>274560</v>
      </c>
      <c r="G157" s="14">
        <v>192192</v>
      </c>
      <c r="H157" s="37">
        <f>'Calculation Sheet'!N157</f>
        <v>192192</v>
      </c>
    </row>
    <row r="158" spans="1:8" x14ac:dyDescent="0.25">
      <c r="A158" s="14" t="s">
        <v>1801</v>
      </c>
      <c r="B158" s="14">
        <v>5</v>
      </c>
      <c r="C158" s="15" t="s">
        <v>1804</v>
      </c>
      <c r="D158" s="14" t="s">
        <v>1745</v>
      </c>
      <c r="E158" s="14" t="s">
        <v>1746</v>
      </c>
      <c r="F158" s="14">
        <v>4221</v>
      </c>
      <c r="G158" s="14">
        <v>3798.96</v>
      </c>
      <c r="H158" s="37">
        <f>'Calculation Sheet'!N158</f>
        <v>3798.96</v>
      </c>
    </row>
    <row r="159" spans="1:8" x14ac:dyDescent="0.25">
      <c r="A159" s="14" t="s">
        <v>1801</v>
      </c>
      <c r="B159" s="14">
        <v>3</v>
      </c>
      <c r="C159" s="15" t="s">
        <v>1812</v>
      </c>
      <c r="D159" s="14" t="s">
        <v>1745</v>
      </c>
      <c r="E159" s="14" t="s">
        <v>1746</v>
      </c>
      <c r="F159" s="14">
        <v>5229</v>
      </c>
      <c r="G159" s="14">
        <v>3660.36</v>
      </c>
      <c r="H159" s="37">
        <f>'Calculation Sheet'!N159</f>
        <v>3660.36</v>
      </c>
    </row>
    <row r="160" spans="1:8" x14ac:dyDescent="0.25">
      <c r="A160" s="14" t="s">
        <v>1801</v>
      </c>
      <c r="B160" s="14" t="s">
        <v>20</v>
      </c>
      <c r="C160" s="15" t="s">
        <v>1810</v>
      </c>
      <c r="D160" s="14" t="s">
        <v>1745</v>
      </c>
      <c r="E160" s="14" t="s">
        <v>1746</v>
      </c>
      <c r="F160" s="14">
        <v>4221</v>
      </c>
      <c r="G160" s="14">
        <v>2954.76</v>
      </c>
      <c r="H160" s="37">
        <f>'Calculation Sheet'!N160</f>
        <v>2954.76</v>
      </c>
    </row>
    <row r="161" spans="1:8" x14ac:dyDescent="0.25">
      <c r="A161" s="14" t="s">
        <v>1801</v>
      </c>
      <c r="B161" s="14">
        <v>8</v>
      </c>
      <c r="C161" s="15" t="s">
        <v>1806</v>
      </c>
      <c r="D161" s="14" t="s">
        <v>1749</v>
      </c>
      <c r="E161" s="14" t="s">
        <v>1746</v>
      </c>
      <c r="F161" s="14">
        <v>198</v>
      </c>
      <c r="G161" s="14">
        <v>178.2</v>
      </c>
      <c r="H161" s="37">
        <f>'Calculation Sheet'!N161</f>
        <v>178.2</v>
      </c>
    </row>
    <row r="162" spans="1:8" x14ac:dyDescent="0.25">
      <c r="A162" s="14" t="s">
        <v>1801</v>
      </c>
      <c r="B162" s="14">
        <v>3</v>
      </c>
      <c r="C162" s="15" t="s">
        <v>1812</v>
      </c>
      <c r="D162" s="14" t="s">
        <v>1745</v>
      </c>
      <c r="E162" s="14" t="s">
        <v>1747</v>
      </c>
      <c r="F162" s="14">
        <v>4980</v>
      </c>
      <c r="G162" s="14">
        <v>3486</v>
      </c>
      <c r="H162" s="37">
        <f>'Calculation Sheet'!N162</f>
        <v>3486</v>
      </c>
    </row>
    <row r="163" spans="1:8" x14ac:dyDescent="0.25">
      <c r="A163" s="14" t="s">
        <v>1801</v>
      </c>
      <c r="B163" s="14">
        <v>5</v>
      </c>
      <c r="C163" s="15" t="s">
        <v>1804</v>
      </c>
      <c r="D163" s="14" t="s">
        <v>1749</v>
      </c>
      <c r="E163" s="14" t="s">
        <v>1746</v>
      </c>
      <c r="F163" s="14">
        <v>402</v>
      </c>
      <c r="G163" s="14">
        <v>361.8</v>
      </c>
      <c r="H163" s="37">
        <f>'Calculation Sheet'!N163</f>
        <v>361.8</v>
      </c>
    </row>
    <row r="164" spans="1:8" x14ac:dyDescent="0.25">
      <c r="A164" s="14" t="s">
        <v>1801</v>
      </c>
      <c r="B164" s="14">
        <v>2</v>
      </c>
      <c r="C164" s="15" t="s">
        <v>1808</v>
      </c>
      <c r="D164" s="14" t="s">
        <v>1749</v>
      </c>
      <c r="E164" s="14" t="s">
        <v>1746</v>
      </c>
      <c r="F164" s="14">
        <v>49914</v>
      </c>
      <c r="G164" s="14">
        <v>34939.800000000003</v>
      </c>
      <c r="H164" s="37">
        <f>'Calculation Sheet'!N164</f>
        <v>34939.800000000003</v>
      </c>
    </row>
    <row r="165" spans="1:8" x14ac:dyDescent="0.25">
      <c r="A165" s="14" t="s">
        <v>1801</v>
      </c>
      <c r="B165" s="14">
        <v>6</v>
      </c>
      <c r="C165" s="15" t="s">
        <v>1813</v>
      </c>
      <c r="D165" s="14" t="s">
        <v>1745</v>
      </c>
      <c r="E165" s="14" t="s">
        <v>1746</v>
      </c>
      <c r="F165" s="14">
        <v>209664</v>
      </c>
      <c r="G165" s="14">
        <v>188697.60000000001</v>
      </c>
      <c r="H165" s="37">
        <f>'Calculation Sheet'!N165</f>
        <v>188697.60000000001</v>
      </c>
    </row>
    <row r="166" spans="1:8" x14ac:dyDescent="0.25">
      <c r="A166" s="14" t="s">
        <v>1801</v>
      </c>
      <c r="B166" s="14">
        <v>3</v>
      </c>
      <c r="C166" s="15" t="s">
        <v>1812</v>
      </c>
      <c r="D166" s="14" t="s">
        <v>1749</v>
      </c>
      <c r="E166" s="14" t="s">
        <v>1746</v>
      </c>
      <c r="F166" s="14">
        <v>498</v>
      </c>
      <c r="G166" s="14">
        <v>348.6</v>
      </c>
      <c r="H166" s="37">
        <f>'Calculation Sheet'!N166</f>
        <v>348.6</v>
      </c>
    </row>
    <row r="167" spans="1:8" x14ac:dyDescent="0.25">
      <c r="A167" s="14" t="s">
        <v>1801</v>
      </c>
      <c r="B167" s="14" t="s">
        <v>24</v>
      </c>
      <c r="C167" s="15" t="s">
        <v>1803</v>
      </c>
      <c r="D167" s="14" t="s">
        <v>1745</v>
      </c>
      <c r="E167" s="14" t="s">
        <v>1747</v>
      </c>
      <c r="F167" s="14">
        <v>2760</v>
      </c>
      <c r="G167" s="14">
        <v>1932</v>
      </c>
      <c r="H167" s="37">
        <f>'Calculation Sheet'!N167</f>
        <v>1932</v>
      </c>
    </row>
    <row r="168" spans="1:8" x14ac:dyDescent="0.25">
      <c r="A168" s="14" t="s">
        <v>1801</v>
      </c>
      <c r="B168" s="14">
        <v>6</v>
      </c>
      <c r="C168" s="15" t="s">
        <v>1813</v>
      </c>
      <c r="D168" s="14" t="s">
        <v>1749</v>
      </c>
      <c r="E168" s="14" t="s">
        <v>1746</v>
      </c>
      <c r="F168" s="14">
        <v>19968</v>
      </c>
      <c r="G168" s="14">
        <v>17971.2</v>
      </c>
      <c r="H168" s="37">
        <f>'Calculation Sheet'!N168</f>
        <v>17971.2</v>
      </c>
    </row>
    <row r="169" spans="1:8" x14ac:dyDescent="0.25">
      <c r="A169" s="14" t="s">
        <v>1801</v>
      </c>
      <c r="B169" s="14">
        <v>6</v>
      </c>
      <c r="C169" s="15" t="s">
        <v>1813</v>
      </c>
      <c r="D169" s="14" t="s">
        <v>1745</v>
      </c>
      <c r="E169" s="14" t="s">
        <v>1747</v>
      </c>
      <c r="F169" s="14">
        <v>199680</v>
      </c>
      <c r="G169" s="14">
        <v>179712</v>
      </c>
      <c r="H169" s="37">
        <f>'Calculation Sheet'!N169</f>
        <v>179712</v>
      </c>
    </row>
    <row r="170" spans="1:8" x14ac:dyDescent="0.25">
      <c r="A170" s="14" t="s">
        <v>1814</v>
      </c>
      <c r="B170" s="14">
        <v>4</v>
      </c>
      <c r="C170" s="15" t="s">
        <v>1815</v>
      </c>
      <c r="D170" s="14" t="s">
        <v>1752</v>
      </c>
      <c r="E170" s="14" t="s">
        <v>1747</v>
      </c>
      <c r="F170" s="14">
        <v>54000</v>
      </c>
      <c r="G170" s="14">
        <v>48600</v>
      </c>
      <c r="H170" s="37">
        <f>'Calculation Sheet'!N170</f>
        <v>48600</v>
      </c>
    </row>
    <row r="171" spans="1:8" x14ac:dyDescent="0.25">
      <c r="A171" s="14" t="s">
        <v>1814</v>
      </c>
      <c r="B171" s="14">
        <v>6</v>
      </c>
      <c r="C171" s="15" t="s">
        <v>1816</v>
      </c>
      <c r="D171" s="14" t="s">
        <v>1752</v>
      </c>
      <c r="E171" s="14" t="s">
        <v>1746</v>
      </c>
      <c r="F171" s="14">
        <v>77868</v>
      </c>
      <c r="G171" s="14">
        <v>54507.6</v>
      </c>
      <c r="H171" s="37">
        <f>'Calculation Sheet'!N171</f>
        <v>54507.6</v>
      </c>
    </row>
    <row r="172" spans="1:8" x14ac:dyDescent="0.25">
      <c r="A172" s="14" t="s">
        <v>1814</v>
      </c>
      <c r="B172" s="14">
        <v>4</v>
      </c>
      <c r="C172" s="15" t="s">
        <v>1815</v>
      </c>
      <c r="D172" s="14" t="s">
        <v>1745</v>
      </c>
      <c r="E172" s="14" t="s">
        <v>1747</v>
      </c>
      <c r="F172" s="14">
        <v>18000</v>
      </c>
      <c r="G172" s="14">
        <v>16200</v>
      </c>
      <c r="H172" s="37">
        <f>'Calculation Sheet'!N172</f>
        <v>16200</v>
      </c>
    </row>
    <row r="173" spans="1:8" x14ac:dyDescent="0.25">
      <c r="A173" s="14" t="s">
        <v>1814</v>
      </c>
      <c r="B173" s="14">
        <v>6</v>
      </c>
      <c r="C173" s="15" t="s">
        <v>1816</v>
      </c>
      <c r="D173" s="14" t="s">
        <v>1752</v>
      </c>
      <c r="E173" s="14" t="s">
        <v>1747</v>
      </c>
      <c r="F173" s="14">
        <v>74160</v>
      </c>
      <c r="G173" s="14">
        <v>51912</v>
      </c>
      <c r="H173" s="37">
        <f>'Calculation Sheet'!N173</f>
        <v>51912</v>
      </c>
    </row>
    <row r="174" spans="1:8" x14ac:dyDescent="0.25">
      <c r="A174" s="14" t="s">
        <v>1814</v>
      </c>
      <c r="B174" s="14">
        <v>5</v>
      </c>
      <c r="C174" s="15" t="s">
        <v>1817</v>
      </c>
      <c r="D174" s="14" t="s">
        <v>1752</v>
      </c>
      <c r="E174" s="14" t="s">
        <v>1746</v>
      </c>
      <c r="F174" s="14">
        <v>56700</v>
      </c>
      <c r="G174" s="14">
        <v>39690</v>
      </c>
      <c r="H174" s="37">
        <f>'Calculation Sheet'!N174</f>
        <v>39690</v>
      </c>
    </row>
    <row r="175" spans="1:8" x14ac:dyDescent="0.25">
      <c r="A175" s="14" t="s">
        <v>1814</v>
      </c>
      <c r="B175" s="14">
        <v>6</v>
      </c>
      <c r="C175" s="15" t="s">
        <v>1816</v>
      </c>
      <c r="D175" s="14" t="s">
        <v>1749</v>
      </c>
      <c r="E175" s="14" t="s">
        <v>1746</v>
      </c>
      <c r="F175" s="14">
        <v>2472</v>
      </c>
      <c r="G175" s="14">
        <v>1730.4</v>
      </c>
      <c r="H175" s="37">
        <f>'Calculation Sheet'!N175</f>
        <v>1730.4</v>
      </c>
    </row>
    <row r="176" spans="1:8" x14ac:dyDescent="0.25">
      <c r="A176" s="14" t="s">
        <v>1814</v>
      </c>
      <c r="B176" s="14">
        <v>2</v>
      </c>
      <c r="C176" s="15" t="s">
        <v>1818</v>
      </c>
      <c r="D176" s="14" t="s">
        <v>1752</v>
      </c>
      <c r="E176" s="14" t="s">
        <v>1747</v>
      </c>
      <c r="F176" s="14">
        <v>134820</v>
      </c>
      <c r="G176" s="14">
        <v>94374</v>
      </c>
      <c r="H176" s="37">
        <f>'Calculation Sheet'!N176</f>
        <v>94374</v>
      </c>
    </row>
    <row r="177" spans="1:8" x14ac:dyDescent="0.25">
      <c r="A177" s="14" t="s">
        <v>1814</v>
      </c>
      <c r="B177" s="14">
        <v>4</v>
      </c>
      <c r="C177" s="15" t="s">
        <v>1815</v>
      </c>
      <c r="D177" s="14" t="s">
        <v>1749</v>
      </c>
      <c r="E177" s="14" t="s">
        <v>1746</v>
      </c>
      <c r="F177" s="14">
        <v>1800</v>
      </c>
      <c r="G177" s="14">
        <v>1620</v>
      </c>
      <c r="H177" s="37">
        <f>'Calculation Sheet'!N177</f>
        <v>1620</v>
      </c>
    </row>
    <row r="178" spans="1:8" x14ac:dyDescent="0.25">
      <c r="A178" s="14" t="s">
        <v>1814</v>
      </c>
      <c r="B178" s="14">
        <v>8</v>
      </c>
      <c r="C178" s="15" t="s">
        <v>1819</v>
      </c>
      <c r="D178" s="14" t="s">
        <v>1752</v>
      </c>
      <c r="E178" s="14" t="s">
        <v>1747</v>
      </c>
      <c r="F178" s="14">
        <v>104760</v>
      </c>
      <c r="G178" s="14">
        <v>73332</v>
      </c>
      <c r="H178" s="37">
        <f>'Calculation Sheet'!N178</f>
        <v>73332</v>
      </c>
    </row>
    <row r="179" spans="1:8" x14ac:dyDescent="0.25">
      <c r="A179" s="14" t="s">
        <v>1814</v>
      </c>
      <c r="B179" s="14">
        <v>2</v>
      </c>
      <c r="C179" s="15" t="s">
        <v>1818</v>
      </c>
      <c r="D179" s="14" t="s">
        <v>1752</v>
      </c>
      <c r="E179" s="14" t="s">
        <v>1746</v>
      </c>
      <c r="F179" s="14">
        <v>141561</v>
      </c>
      <c r="G179" s="14">
        <v>99092.88</v>
      </c>
      <c r="H179" s="37">
        <f>'Calculation Sheet'!N179</f>
        <v>99092.88</v>
      </c>
    </row>
    <row r="180" spans="1:8" x14ac:dyDescent="0.25">
      <c r="A180" s="14" t="s">
        <v>1814</v>
      </c>
      <c r="B180" s="14">
        <v>4</v>
      </c>
      <c r="C180" s="15" t="s">
        <v>1815</v>
      </c>
      <c r="D180" s="14" t="s">
        <v>1752</v>
      </c>
      <c r="E180" s="14" t="s">
        <v>1746</v>
      </c>
      <c r="F180" s="14">
        <v>56700</v>
      </c>
      <c r="G180" s="14">
        <v>51030</v>
      </c>
      <c r="H180" s="37">
        <f>'Calculation Sheet'!N180</f>
        <v>51030</v>
      </c>
    </row>
    <row r="181" spans="1:8" x14ac:dyDescent="0.25">
      <c r="A181" s="14" t="s">
        <v>1814</v>
      </c>
      <c r="B181" s="14">
        <v>8</v>
      </c>
      <c r="C181" s="15" t="s">
        <v>1819</v>
      </c>
      <c r="D181" s="14" t="s">
        <v>1752</v>
      </c>
      <c r="E181" s="14" t="s">
        <v>1753</v>
      </c>
      <c r="F181" s="14">
        <v>104760</v>
      </c>
      <c r="G181" s="14">
        <v>73332</v>
      </c>
      <c r="H181" s="37">
        <f>'Calculation Sheet'!N181</f>
        <v>73332</v>
      </c>
    </row>
    <row r="182" spans="1:8" x14ac:dyDescent="0.25">
      <c r="A182" s="14" t="s">
        <v>1814</v>
      </c>
      <c r="B182" s="14">
        <v>8</v>
      </c>
      <c r="C182" s="15" t="s">
        <v>1819</v>
      </c>
      <c r="D182" s="14" t="s">
        <v>1745</v>
      </c>
      <c r="E182" s="14" t="s">
        <v>1746</v>
      </c>
      <c r="F182" s="14">
        <v>36666</v>
      </c>
      <c r="G182" s="14">
        <v>25666.2</v>
      </c>
      <c r="H182" s="37">
        <f>'Calculation Sheet'!N182</f>
        <v>25666.2</v>
      </c>
    </row>
    <row r="183" spans="1:8" x14ac:dyDescent="0.25">
      <c r="A183" s="14" t="s">
        <v>1814</v>
      </c>
      <c r="B183" s="14">
        <v>2</v>
      </c>
      <c r="C183" s="15" t="s">
        <v>1818</v>
      </c>
      <c r="D183" s="14" t="s">
        <v>1749</v>
      </c>
      <c r="E183" s="14" t="s">
        <v>1746</v>
      </c>
      <c r="F183" s="14">
        <v>4494</v>
      </c>
      <c r="G183" s="14">
        <v>3145.8</v>
      </c>
      <c r="H183" s="37">
        <f>'Calculation Sheet'!N183</f>
        <v>3145.8</v>
      </c>
    </row>
    <row r="184" spans="1:8" x14ac:dyDescent="0.25">
      <c r="A184" s="14" t="s">
        <v>1814</v>
      </c>
      <c r="B184" s="14">
        <v>6</v>
      </c>
      <c r="C184" s="15" t="s">
        <v>1816</v>
      </c>
      <c r="D184" s="14" t="s">
        <v>1745</v>
      </c>
      <c r="E184" s="14" t="s">
        <v>1746</v>
      </c>
      <c r="F184" s="14">
        <v>25956</v>
      </c>
      <c r="G184" s="14">
        <v>18169.2</v>
      </c>
      <c r="H184" s="37">
        <f>'Calculation Sheet'!N184</f>
        <v>18169.2</v>
      </c>
    </row>
    <row r="185" spans="1:8" x14ac:dyDescent="0.25">
      <c r="A185" s="14" t="s">
        <v>1814</v>
      </c>
      <c r="B185" s="14">
        <v>2</v>
      </c>
      <c r="C185" s="15" t="s">
        <v>1818</v>
      </c>
      <c r="D185" s="14" t="s">
        <v>1745</v>
      </c>
      <c r="E185" s="14" t="s">
        <v>1746</v>
      </c>
      <c r="F185" s="14">
        <v>47187</v>
      </c>
      <c r="G185" s="14">
        <v>33030.959999999999</v>
      </c>
      <c r="H185" s="37">
        <f>'Calculation Sheet'!N185</f>
        <v>33030.959999999999</v>
      </c>
    </row>
    <row r="186" spans="1:8" x14ac:dyDescent="0.25">
      <c r="A186" s="14" t="s">
        <v>1814</v>
      </c>
      <c r="B186" s="14">
        <v>2</v>
      </c>
      <c r="C186" s="15" t="s">
        <v>1818</v>
      </c>
      <c r="D186" s="14" t="s">
        <v>1752</v>
      </c>
      <c r="E186" s="14" t="s">
        <v>1753</v>
      </c>
      <c r="F186" s="14">
        <v>134820</v>
      </c>
      <c r="G186" s="14">
        <v>94374</v>
      </c>
      <c r="H186" s="37">
        <f>'Calculation Sheet'!N186</f>
        <v>94374</v>
      </c>
    </row>
    <row r="187" spans="1:8" x14ac:dyDescent="0.25">
      <c r="A187" s="14" t="s">
        <v>1814</v>
      </c>
      <c r="B187" s="14">
        <v>8</v>
      </c>
      <c r="C187" s="15" t="s">
        <v>1819</v>
      </c>
      <c r="D187" s="14" t="s">
        <v>1749</v>
      </c>
      <c r="E187" s="14" t="s">
        <v>1746</v>
      </c>
      <c r="F187" s="14">
        <v>3492</v>
      </c>
      <c r="G187" s="14">
        <v>2444.4</v>
      </c>
      <c r="H187" s="37">
        <f>'Calculation Sheet'!N187</f>
        <v>2444.4</v>
      </c>
    </row>
    <row r="188" spans="1:8" x14ac:dyDescent="0.25">
      <c r="A188" s="14" t="s">
        <v>1814</v>
      </c>
      <c r="B188" s="14">
        <v>5</v>
      </c>
      <c r="C188" s="15" t="s">
        <v>1817</v>
      </c>
      <c r="D188" s="14" t="s">
        <v>1752</v>
      </c>
      <c r="E188" s="14" t="s">
        <v>1747</v>
      </c>
      <c r="F188" s="14">
        <v>54000</v>
      </c>
      <c r="G188" s="14">
        <v>37800</v>
      </c>
      <c r="H188" s="37">
        <f>'Calculation Sheet'!N188</f>
        <v>37800</v>
      </c>
    </row>
    <row r="189" spans="1:8" x14ac:dyDescent="0.25">
      <c r="A189" s="14" t="s">
        <v>1814</v>
      </c>
      <c r="B189" s="14">
        <v>4</v>
      </c>
      <c r="C189" s="15" t="s">
        <v>1815</v>
      </c>
      <c r="D189" s="14" t="s">
        <v>1745</v>
      </c>
      <c r="E189" s="14" t="s">
        <v>1746</v>
      </c>
      <c r="F189" s="14">
        <v>18900</v>
      </c>
      <c r="G189" s="14">
        <v>17010</v>
      </c>
      <c r="H189" s="37">
        <f>'Calculation Sheet'!N189</f>
        <v>17010</v>
      </c>
    </row>
    <row r="190" spans="1:8" x14ac:dyDescent="0.25">
      <c r="A190" s="14" t="s">
        <v>1814</v>
      </c>
      <c r="B190" s="14">
        <v>5</v>
      </c>
      <c r="C190" s="15" t="s">
        <v>1817</v>
      </c>
      <c r="D190" s="14" t="s">
        <v>1745</v>
      </c>
      <c r="E190" s="14" t="s">
        <v>1746</v>
      </c>
      <c r="F190" s="14">
        <v>18900</v>
      </c>
      <c r="G190" s="14">
        <v>13230</v>
      </c>
      <c r="H190" s="37">
        <f>'Calculation Sheet'!N190</f>
        <v>13230</v>
      </c>
    </row>
    <row r="191" spans="1:8" x14ac:dyDescent="0.25">
      <c r="A191" s="14" t="s">
        <v>1814</v>
      </c>
      <c r="B191" s="14">
        <v>2</v>
      </c>
      <c r="C191" s="15" t="s">
        <v>1818</v>
      </c>
      <c r="D191" s="14" t="s">
        <v>1745</v>
      </c>
      <c r="E191" s="14" t="s">
        <v>1747</v>
      </c>
      <c r="F191" s="14">
        <v>44940</v>
      </c>
      <c r="G191" s="14">
        <v>31458</v>
      </c>
      <c r="H191" s="37">
        <f>'Calculation Sheet'!N191</f>
        <v>31458</v>
      </c>
    </row>
    <row r="192" spans="1:8" x14ac:dyDescent="0.25">
      <c r="A192" s="14" t="s">
        <v>1814</v>
      </c>
      <c r="B192" s="14">
        <v>6</v>
      </c>
      <c r="C192" s="15" t="s">
        <v>1816</v>
      </c>
      <c r="D192" s="14" t="s">
        <v>1745</v>
      </c>
      <c r="E192" s="14" t="s">
        <v>1747</v>
      </c>
      <c r="F192" s="14">
        <v>24720</v>
      </c>
      <c r="G192" s="14">
        <v>17304</v>
      </c>
      <c r="H192" s="37">
        <f>'Calculation Sheet'!N192</f>
        <v>17304</v>
      </c>
    </row>
    <row r="193" spans="1:8" x14ac:dyDescent="0.25">
      <c r="A193" s="14" t="s">
        <v>1814</v>
      </c>
      <c r="B193" s="14">
        <v>5</v>
      </c>
      <c r="C193" s="15" t="s">
        <v>1817</v>
      </c>
      <c r="D193" s="14" t="s">
        <v>1749</v>
      </c>
      <c r="E193" s="14" t="s">
        <v>1746</v>
      </c>
      <c r="F193" s="14">
        <v>1800</v>
      </c>
      <c r="G193" s="14">
        <v>1260</v>
      </c>
      <c r="H193" s="37">
        <f>'Calculation Sheet'!N193</f>
        <v>1260</v>
      </c>
    </row>
    <row r="194" spans="1:8" x14ac:dyDescent="0.25">
      <c r="A194" s="14" t="s">
        <v>1814</v>
      </c>
      <c r="B194" s="14">
        <v>5</v>
      </c>
      <c r="C194" s="15" t="s">
        <v>1817</v>
      </c>
      <c r="D194" s="14" t="s">
        <v>1745</v>
      </c>
      <c r="E194" s="14" t="s">
        <v>1747</v>
      </c>
      <c r="F194" s="14">
        <v>18000</v>
      </c>
      <c r="G194" s="14">
        <v>12600</v>
      </c>
      <c r="H194" s="37">
        <f>'Calculation Sheet'!N194</f>
        <v>12600</v>
      </c>
    </row>
    <row r="195" spans="1:8" x14ac:dyDescent="0.25">
      <c r="A195" s="14" t="s">
        <v>1814</v>
      </c>
      <c r="B195" s="14">
        <v>8</v>
      </c>
      <c r="C195" s="15" t="s">
        <v>1819</v>
      </c>
      <c r="D195" s="14" t="s">
        <v>1752</v>
      </c>
      <c r="E195" s="14" t="s">
        <v>1746</v>
      </c>
      <c r="F195" s="14">
        <v>109998</v>
      </c>
      <c r="G195" s="14">
        <v>76998.600000000006</v>
      </c>
      <c r="H195" s="37">
        <f>'Calculation Sheet'!N195</f>
        <v>76998.600000000006</v>
      </c>
    </row>
    <row r="196" spans="1:8" x14ac:dyDescent="0.25">
      <c r="A196" s="14" t="s">
        <v>1814</v>
      </c>
      <c r="B196" s="14">
        <v>8</v>
      </c>
      <c r="C196" s="15" t="s">
        <v>1819</v>
      </c>
      <c r="D196" s="14" t="s">
        <v>1745</v>
      </c>
      <c r="E196" s="14" t="s">
        <v>1747</v>
      </c>
      <c r="F196" s="14">
        <v>34920</v>
      </c>
      <c r="G196" s="14">
        <v>24444</v>
      </c>
      <c r="H196" s="37">
        <f>'Calculation Sheet'!N196</f>
        <v>24444</v>
      </c>
    </row>
    <row r="197" spans="1:8" x14ac:dyDescent="0.25">
      <c r="A197" s="14" t="s">
        <v>1820</v>
      </c>
      <c r="B197" s="14">
        <v>1</v>
      </c>
      <c r="C197" s="15" t="s">
        <v>1821</v>
      </c>
      <c r="D197" s="14" t="s">
        <v>1752</v>
      </c>
      <c r="E197" s="14" t="s">
        <v>1753</v>
      </c>
      <c r="F197" s="14">
        <v>239580</v>
      </c>
      <c r="G197" s="14">
        <v>167706</v>
      </c>
      <c r="H197" s="37">
        <f>'Calculation Sheet'!N197</f>
        <v>167706</v>
      </c>
    </row>
    <row r="198" spans="1:8" x14ac:dyDescent="0.25">
      <c r="A198" s="14" t="s">
        <v>1820</v>
      </c>
      <c r="B198" s="14">
        <v>1</v>
      </c>
      <c r="C198" s="15" t="s">
        <v>1821</v>
      </c>
      <c r="D198" s="14" t="s">
        <v>1745</v>
      </c>
      <c r="E198" s="14" t="s">
        <v>1747</v>
      </c>
      <c r="F198" s="14">
        <v>79860</v>
      </c>
      <c r="G198" s="14">
        <v>55902</v>
      </c>
      <c r="H198" s="37">
        <f>'Calculation Sheet'!N198</f>
        <v>55902</v>
      </c>
    </row>
    <row r="199" spans="1:8" x14ac:dyDescent="0.25">
      <c r="A199" s="14" t="s">
        <v>1820</v>
      </c>
      <c r="B199" s="14">
        <v>5</v>
      </c>
      <c r="C199" s="15" t="s">
        <v>1822</v>
      </c>
      <c r="D199" s="14" t="s">
        <v>1745</v>
      </c>
      <c r="E199" s="14" t="s">
        <v>1747</v>
      </c>
      <c r="F199" s="14">
        <v>31920</v>
      </c>
      <c r="G199" s="14">
        <v>22344</v>
      </c>
      <c r="H199" s="37">
        <f>'Calculation Sheet'!N199</f>
        <v>22344</v>
      </c>
    </row>
    <row r="200" spans="1:8" x14ac:dyDescent="0.25">
      <c r="A200" s="14" t="s">
        <v>1820</v>
      </c>
      <c r="B200" s="14">
        <v>5</v>
      </c>
      <c r="C200" s="15" t="s">
        <v>1822</v>
      </c>
      <c r="D200" s="14" t="s">
        <v>1745</v>
      </c>
      <c r="E200" s="14" t="s">
        <v>1746</v>
      </c>
      <c r="F200" s="14">
        <v>33516</v>
      </c>
      <c r="G200" s="14">
        <v>23461.200000000001</v>
      </c>
      <c r="H200" s="37">
        <f>'Calculation Sheet'!N200</f>
        <v>23461.200000000001</v>
      </c>
    </row>
    <row r="201" spans="1:8" x14ac:dyDescent="0.25">
      <c r="A201" s="14" t="s">
        <v>1820</v>
      </c>
      <c r="B201" s="14">
        <v>6</v>
      </c>
      <c r="C201" s="15" t="s">
        <v>1823</v>
      </c>
      <c r="D201" s="14" t="s">
        <v>1749</v>
      </c>
      <c r="E201" s="14" t="s">
        <v>1746</v>
      </c>
      <c r="F201" s="14">
        <v>4392</v>
      </c>
      <c r="G201" s="14">
        <v>3074.4</v>
      </c>
      <c r="H201" s="37">
        <f>'Calculation Sheet'!N201</f>
        <v>3074.4</v>
      </c>
    </row>
    <row r="202" spans="1:8" x14ac:dyDescent="0.25">
      <c r="A202" s="14" t="s">
        <v>1820</v>
      </c>
      <c r="B202" s="14">
        <v>7</v>
      </c>
      <c r="C202" s="15" t="s">
        <v>1824</v>
      </c>
      <c r="D202" s="14" t="s">
        <v>1749</v>
      </c>
      <c r="E202" s="14" t="s">
        <v>1746</v>
      </c>
      <c r="F202" s="14">
        <v>3192</v>
      </c>
      <c r="G202" s="14">
        <v>2872.8</v>
      </c>
      <c r="H202" s="37">
        <f>'Calculation Sheet'!N202</f>
        <v>2872.8</v>
      </c>
    </row>
    <row r="203" spans="1:8" x14ac:dyDescent="0.25">
      <c r="A203" s="14" t="s">
        <v>1820</v>
      </c>
      <c r="B203" s="14">
        <v>6</v>
      </c>
      <c r="C203" s="15" t="s">
        <v>1823</v>
      </c>
      <c r="D203" s="14" t="s">
        <v>1745</v>
      </c>
      <c r="E203" s="14" t="s">
        <v>1747</v>
      </c>
      <c r="F203" s="14">
        <v>43920</v>
      </c>
      <c r="G203" s="14">
        <v>30744</v>
      </c>
      <c r="H203" s="37">
        <f>'Calculation Sheet'!N203</f>
        <v>30744</v>
      </c>
    </row>
    <row r="204" spans="1:8" x14ac:dyDescent="0.25">
      <c r="A204" s="14" t="s">
        <v>1820</v>
      </c>
      <c r="B204" s="14">
        <v>1</v>
      </c>
      <c r="C204" s="15" t="s">
        <v>1821</v>
      </c>
      <c r="D204" s="14" t="s">
        <v>1752</v>
      </c>
      <c r="E204" s="14" t="s">
        <v>1746</v>
      </c>
      <c r="F204" s="14">
        <v>251559</v>
      </c>
      <c r="G204" s="14">
        <v>176091.5</v>
      </c>
      <c r="H204" s="37">
        <f>'Calculation Sheet'!N204</f>
        <v>176091.5</v>
      </c>
    </row>
    <row r="205" spans="1:8" x14ac:dyDescent="0.25">
      <c r="A205" s="14" t="s">
        <v>1820</v>
      </c>
      <c r="B205" s="14">
        <v>5</v>
      </c>
      <c r="C205" s="15" t="s">
        <v>1822</v>
      </c>
      <c r="D205" s="14" t="s">
        <v>1749</v>
      </c>
      <c r="E205" s="14" t="s">
        <v>1746</v>
      </c>
      <c r="F205" s="14">
        <v>3192</v>
      </c>
      <c r="G205" s="14">
        <v>2234.4</v>
      </c>
      <c r="H205" s="37">
        <f>'Calculation Sheet'!N205</f>
        <v>2234.4</v>
      </c>
    </row>
    <row r="206" spans="1:8" x14ac:dyDescent="0.25">
      <c r="A206" s="14" t="s">
        <v>1820</v>
      </c>
      <c r="B206" s="14">
        <v>1</v>
      </c>
      <c r="C206" s="15" t="s">
        <v>1821</v>
      </c>
      <c r="D206" s="14" t="s">
        <v>1749</v>
      </c>
      <c r="E206" s="14" t="s">
        <v>1746</v>
      </c>
      <c r="F206" s="14">
        <v>7986</v>
      </c>
      <c r="G206" s="14">
        <v>5590.2</v>
      </c>
      <c r="H206" s="37">
        <f>'Calculation Sheet'!N206</f>
        <v>5590.2</v>
      </c>
    </row>
    <row r="207" spans="1:8" x14ac:dyDescent="0.25">
      <c r="A207" s="14" t="s">
        <v>1820</v>
      </c>
      <c r="B207" s="14">
        <v>1</v>
      </c>
      <c r="C207" s="15" t="s">
        <v>1821</v>
      </c>
      <c r="D207" s="14" t="s">
        <v>1752</v>
      </c>
      <c r="E207" s="14" t="s">
        <v>1747</v>
      </c>
      <c r="F207" s="14">
        <v>239580</v>
      </c>
      <c r="G207" s="14">
        <v>167706</v>
      </c>
      <c r="H207" s="37">
        <f>'Calculation Sheet'!N207</f>
        <v>167706</v>
      </c>
    </row>
    <row r="208" spans="1:8" x14ac:dyDescent="0.25">
      <c r="A208" s="14" t="s">
        <v>1820</v>
      </c>
      <c r="B208" s="14">
        <v>6</v>
      </c>
      <c r="C208" s="15" t="s">
        <v>1823</v>
      </c>
      <c r="D208" s="14" t="s">
        <v>1745</v>
      </c>
      <c r="E208" s="14" t="s">
        <v>1746</v>
      </c>
      <c r="F208" s="14">
        <v>46116</v>
      </c>
      <c r="G208" s="14">
        <v>32281.200000000001</v>
      </c>
      <c r="H208" s="37">
        <f>'Calculation Sheet'!N208</f>
        <v>32281.200000000001</v>
      </c>
    </row>
    <row r="209" spans="1:8" x14ac:dyDescent="0.25">
      <c r="A209" s="14" t="s">
        <v>1820</v>
      </c>
      <c r="B209" s="14">
        <v>1</v>
      </c>
      <c r="C209" s="15" t="s">
        <v>1821</v>
      </c>
      <c r="D209" s="14" t="s">
        <v>1745</v>
      </c>
      <c r="E209" s="14" t="s">
        <v>1746</v>
      </c>
      <c r="F209" s="14">
        <v>83853</v>
      </c>
      <c r="G209" s="14">
        <v>58697.16</v>
      </c>
      <c r="H209" s="37">
        <f>'Calculation Sheet'!N209</f>
        <v>58697.16</v>
      </c>
    </row>
    <row r="210" spans="1:8" x14ac:dyDescent="0.25">
      <c r="A210" s="14" t="s">
        <v>1820</v>
      </c>
      <c r="B210" s="14">
        <v>7</v>
      </c>
      <c r="C210" s="15" t="s">
        <v>1824</v>
      </c>
      <c r="D210" s="14" t="s">
        <v>1745</v>
      </c>
      <c r="E210" s="14" t="s">
        <v>1746</v>
      </c>
      <c r="F210" s="14">
        <v>33516</v>
      </c>
      <c r="G210" s="14">
        <v>30164.400000000001</v>
      </c>
      <c r="H210" s="37">
        <f>'Calculation Sheet'!N210</f>
        <v>30164.400000000001</v>
      </c>
    </row>
    <row r="211" spans="1:8" x14ac:dyDescent="0.25">
      <c r="A211" s="14" t="s">
        <v>1820</v>
      </c>
      <c r="B211" s="14">
        <v>7</v>
      </c>
      <c r="C211" s="15" t="s">
        <v>1824</v>
      </c>
      <c r="D211" s="14" t="s">
        <v>1745</v>
      </c>
      <c r="E211" s="14" t="s">
        <v>1747</v>
      </c>
      <c r="F211" s="14">
        <v>31920</v>
      </c>
      <c r="G211" s="14">
        <v>28728</v>
      </c>
      <c r="H211" s="37">
        <f>'Calculation Sheet'!N211</f>
        <v>28728</v>
      </c>
    </row>
    <row r="212" spans="1:8" x14ac:dyDescent="0.25">
      <c r="A212" s="14" t="s">
        <v>1825</v>
      </c>
      <c r="B212" s="14">
        <v>7</v>
      </c>
      <c r="C212" s="15" t="s">
        <v>1826</v>
      </c>
      <c r="D212" s="14" t="s">
        <v>1749</v>
      </c>
      <c r="E212" s="14" t="s">
        <v>1746</v>
      </c>
      <c r="F212" s="14">
        <v>402</v>
      </c>
      <c r="G212" s="14">
        <v>301.5</v>
      </c>
      <c r="H212" s="37">
        <f>'Calculation Sheet'!N212</f>
        <v>301.5</v>
      </c>
    </row>
    <row r="213" spans="1:8" x14ac:dyDescent="0.25">
      <c r="A213" s="14" t="s">
        <v>1825</v>
      </c>
      <c r="B213" s="14">
        <v>2</v>
      </c>
      <c r="C213" s="15" t="s">
        <v>1827</v>
      </c>
      <c r="D213" s="14" t="s">
        <v>1752</v>
      </c>
      <c r="E213" s="14" t="s">
        <v>1746</v>
      </c>
      <c r="F213" s="14">
        <v>62937</v>
      </c>
      <c r="G213" s="14">
        <v>47202.84</v>
      </c>
      <c r="H213" s="37">
        <f>'Calculation Sheet'!N213</f>
        <v>47202.84</v>
      </c>
    </row>
    <row r="214" spans="1:8" x14ac:dyDescent="0.25">
      <c r="A214" s="14" t="s">
        <v>1825</v>
      </c>
      <c r="B214" s="14">
        <v>5</v>
      </c>
      <c r="C214" s="15" t="s">
        <v>1828</v>
      </c>
      <c r="D214" s="14" t="s">
        <v>1749</v>
      </c>
      <c r="E214" s="14" t="s">
        <v>1746</v>
      </c>
      <c r="F214" s="14">
        <v>798</v>
      </c>
      <c r="G214" s="14">
        <v>718.2</v>
      </c>
      <c r="H214" s="37">
        <f>'Calculation Sheet'!N214</f>
        <v>718.2</v>
      </c>
    </row>
    <row r="215" spans="1:8" x14ac:dyDescent="0.25">
      <c r="A215" s="14" t="s">
        <v>1825</v>
      </c>
      <c r="B215" s="14">
        <v>5</v>
      </c>
      <c r="C215" s="15" t="s">
        <v>1828</v>
      </c>
      <c r="D215" s="14" t="s">
        <v>1745</v>
      </c>
      <c r="E215" s="14" t="s">
        <v>1747</v>
      </c>
      <c r="F215" s="14">
        <v>7980</v>
      </c>
      <c r="G215" s="14">
        <v>7182</v>
      </c>
      <c r="H215" s="37">
        <f>'Calculation Sheet'!N215</f>
        <v>7182</v>
      </c>
    </row>
    <row r="216" spans="1:8" x14ac:dyDescent="0.25">
      <c r="A216" s="14" t="s">
        <v>1825</v>
      </c>
      <c r="B216" s="14">
        <v>2</v>
      </c>
      <c r="C216" s="15" t="s">
        <v>1827</v>
      </c>
      <c r="D216" s="14" t="s">
        <v>1752</v>
      </c>
      <c r="E216" s="14" t="s">
        <v>1753</v>
      </c>
      <c r="F216" s="14">
        <v>59940</v>
      </c>
      <c r="G216" s="14">
        <v>44955</v>
      </c>
      <c r="H216" s="37">
        <f>'Calculation Sheet'!N216</f>
        <v>44955</v>
      </c>
    </row>
    <row r="217" spans="1:8" x14ac:dyDescent="0.25">
      <c r="A217" s="14" t="s">
        <v>1825</v>
      </c>
      <c r="B217" s="14">
        <v>5</v>
      </c>
      <c r="C217" s="15" t="s">
        <v>1828</v>
      </c>
      <c r="D217" s="14" t="s">
        <v>1745</v>
      </c>
      <c r="E217" s="14" t="s">
        <v>1746</v>
      </c>
      <c r="F217" s="14">
        <v>8379</v>
      </c>
      <c r="G217" s="14">
        <v>7541.16</v>
      </c>
      <c r="H217" s="37">
        <f>'Calculation Sheet'!N217</f>
        <v>7541.16</v>
      </c>
    </row>
    <row r="218" spans="1:8" x14ac:dyDescent="0.25">
      <c r="A218" s="14" t="s">
        <v>1825</v>
      </c>
      <c r="B218" s="14">
        <v>2</v>
      </c>
      <c r="C218" s="15" t="s">
        <v>1827</v>
      </c>
      <c r="D218" s="14" t="s">
        <v>1752</v>
      </c>
      <c r="E218" s="14" t="s">
        <v>1747</v>
      </c>
      <c r="F218" s="14">
        <v>59940</v>
      </c>
      <c r="G218" s="14">
        <v>44955</v>
      </c>
      <c r="H218" s="37">
        <f>'Calculation Sheet'!N218</f>
        <v>44955</v>
      </c>
    </row>
    <row r="219" spans="1:8" x14ac:dyDescent="0.25">
      <c r="A219" s="14" t="s">
        <v>1825</v>
      </c>
      <c r="B219" s="14">
        <v>7</v>
      </c>
      <c r="C219" s="15" t="s">
        <v>1826</v>
      </c>
      <c r="D219" s="14" t="s">
        <v>1745</v>
      </c>
      <c r="E219" s="14" t="s">
        <v>1746</v>
      </c>
      <c r="F219" s="14">
        <v>4221</v>
      </c>
      <c r="G219" s="14">
        <v>3165.72</v>
      </c>
      <c r="H219" s="37">
        <f>'Calculation Sheet'!N219</f>
        <v>3165.72</v>
      </c>
    </row>
    <row r="220" spans="1:8" x14ac:dyDescent="0.25">
      <c r="A220" s="14" t="s">
        <v>1825</v>
      </c>
      <c r="B220" s="14">
        <v>7</v>
      </c>
      <c r="C220" s="15" t="s">
        <v>1826</v>
      </c>
      <c r="D220" s="14" t="s">
        <v>1745</v>
      </c>
      <c r="E220" s="14" t="s">
        <v>1747</v>
      </c>
      <c r="F220" s="14">
        <v>4020</v>
      </c>
      <c r="G220" s="14">
        <v>3015</v>
      </c>
      <c r="H220" s="37">
        <f>'Calculation Sheet'!N220</f>
        <v>3015</v>
      </c>
    </row>
    <row r="221" spans="1:8" x14ac:dyDescent="0.25">
      <c r="A221" s="14" t="s">
        <v>1825</v>
      </c>
      <c r="B221" s="14">
        <v>6</v>
      </c>
      <c r="C221" s="15" t="s">
        <v>1829</v>
      </c>
      <c r="D221" s="14" t="s">
        <v>1745</v>
      </c>
      <c r="E221" s="14" t="s">
        <v>1746</v>
      </c>
      <c r="F221" s="14">
        <v>3150</v>
      </c>
      <c r="G221" s="14">
        <v>2362.56</v>
      </c>
      <c r="H221" s="37">
        <f>'Calculation Sheet'!N221</f>
        <v>2362.56</v>
      </c>
    </row>
    <row r="222" spans="1:8" x14ac:dyDescent="0.25">
      <c r="A222" s="14" t="s">
        <v>1825</v>
      </c>
      <c r="B222" s="14">
        <v>6</v>
      </c>
      <c r="C222" s="15" t="s">
        <v>1829</v>
      </c>
      <c r="D222" s="14" t="s">
        <v>1749</v>
      </c>
      <c r="E222" s="14" t="s">
        <v>1746</v>
      </c>
      <c r="F222" s="14">
        <v>300</v>
      </c>
      <c r="G222" s="14">
        <v>225</v>
      </c>
      <c r="H222" s="37">
        <f>'Calculation Sheet'!N222</f>
        <v>225</v>
      </c>
    </row>
    <row r="223" spans="1:8" x14ac:dyDescent="0.25">
      <c r="A223" s="14" t="s">
        <v>1825</v>
      </c>
      <c r="B223" s="14">
        <v>2</v>
      </c>
      <c r="C223" s="15" t="s">
        <v>1827</v>
      </c>
      <c r="D223" s="14" t="s">
        <v>1745</v>
      </c>
      <c r="E223" s="14" t="s">
        <v>1746</v>
      </c>
      <c r="F223" s="14">
        <v>20979</v>
      </c>
      <c r="G223" s="14">
        <v>15734.28</v>
      </c>
      <c r="H223" s="37">
        <f>'Calculation Sheet'!N223</f>
        <v>15734.28</v>
      </c>
    </row>
    <row r="224" spans="1:8" x14ac:dyDescent="0.25">
      <c r="A224" s="14" t="s">
        <v>1825</v>
      </c>
      <c r="B224" s="14">
        <v>2</v>
      </c>
      <c r="C224" s="15" t="s">
        <v>1827</v>
      </c>
      <c r="D224" s="14" t="s">
        <v>1745</v>
      </c>
      <c r="E224" s="14" t="s">
        <v>1747</v>
      </c>
      <c r="F224" s="14">
        <v>19980</v>
      </c>
      <c r="G224" s="14">
        <v>14985</v>
      </c>
      <c r="H224" s="37">
        <f>'Calculation Sheet'!N224</f>
        <v>14985</v>
      </c>
    </row>
    <row r="225" spans="1:8" x14ac:dyDescent="0.25">
      <c r="A225" s="14" t="s">
        <v>1825</v>
      </c>
      <c r="B225" s="14">
        <v>2</v>
      </c>
      <c r="C225" s="15" t="s">
        <v>1827</v>
      </c>
      <c r="D225" s="14" t="s">
        <v>1749</v>
      </c>
      <c r="E225" s="14" t="s">
        <v>1746</v>
      </c>
      <c r="F225" s="14">
        <v>1998</v>
      </c>
      <c r="G225" s="14">
        <v>1498.5</v>
      </c>
      <c r="H225" s="37">
        <f>'Calculation Sheet'!N225</f>
        <v>1498.5</v>
      </c>
    </row>
    <row r="226" spans="1:8" x14ac:dyDescent="0.25">
      <c r="A226" s="14" t="s">
        <v>1825</v>
      </c>
      <c r="B226" s="14">
        <v>6</v>
      </c>
      <c r="C226" s="15" t="s">
        <v>1829</v>
      </c>
      <c r="D226" s="14" t="s">
        <v>1745</v>
      </c>
      <c r="E226" s="14" t="s">
        <v>1747</v>
      </c>
      <c r="F226" s="14">
        <v>3000</v>
      </c>
      <c r="G226" s="14">
        <v>2250</v>
      </c>
      <c r="H226" s="37">
        <f>'Calculation Sheet'!N226</f>
        <v>2250</v>
      </c>
    </row>
    <row r="227" spans="1:8" x14ac:dyDescent="0.25">
      <c r="A227" s="14" t="s">
        <v>1830</v>
      </c>
      <c r="B227" s="14">
        <v>5</v>
      </c>
      <c r="C227" s="15" t="s">
        <v>1831</v>
      </c>
      <c r="D227" s="14" t="s">
        <v>1745</v>
      </c>
      <c r="E227" s="14" t="s">
        <v>1747</v>
      </c>
      <c r="F227" s="14">
        <v>0</v>
      </c>
      <c r="G227" s="14">
        <v>0</v>
      </c>
      <c r="H227" s="37">
        <f>'Calculation Sheet'!N227</f>
        <v>0</v>
      </c>
    </row>
    <row r="228" spans="1:8" x14ac:dyDescent="0.25">
      <c r="A228" s="14" t="s">
        <v>1830</v>
      </c>
      <c r="B228" s="14">
        <v>1</v>
      </c>
      <c r="C228" s="15" t="s">
        <v>1832</v>
      </c>
      <c r="D228" s="14" t="s">
        <v>1749</v>
      </c>
      <c r="E228" s="14" t="s">
        <v>1746</v>
      </c>
      <c r="F228" s="14">
        <v>0</v>
      </c>
      <c r="G228" s="14">
        <v>0</v>
      </c>
      <c r="H228" s="37">
        <f>'Calculation Sheet'!N228</f>
        <v>0</v>
      </c>
    </row>
    <row r="229" spans="1:8" x14ac:dyDescent="0.25">
      <c r="A229" s="14" t="s">
        <v>1830</v>
      </c>
      <c r="B229" s="14">
        <v>4</v>
      </c>
      <c r="C229" s="15" t="s">
        <v>1833</v>
      </c>
      <c r="D229" s="14" t="s">
        <v>1749</v>
      </c>
      <c r="E229" s="14" t="s">
        <v>1746</v>
      </c>
      <c r="F229" s="14">
        <v>0</v>
      </c>
      <c r="G229" s="14">
        <v>0</v>
      </c>
      <c r="H229" s="37">
        <f>'Calculation Sheet'!N229</f>
        <v>0</v>
      </c>
    </row>
    <row r="230" spans="1:8" x14ac:dyDescent="0.25">
      <c r="A230" s="14" t="s">
        <v>1830</v>
      </c>
      <c r="B230" s="14">
        <v>4</v>
      </c>
      <c r="C230" s="15" t="s">
        <v>1833</v>
      </c>
      <c r="D230" s="14" t="s">
        <v>1745</v>
      </c>
      <c r="E230" s="14" t="s">
        <v>1747</v>
      </c>
      <c r="F230" s="14">
        <v>0</v>
      </c>
      <c r="G230" s="14">
        <v>0</v>
      </c>
      <c r="H230" s="37">
        <f>'Calculation Sheet'!N230</f>
        <v>0</v>
      </c>
    </row>
    <row r="231" spans="1:8" x14ac:dyDescent="0.25">
      <c r="A231" s="14" t="s">
        <v>1830</v>
      </c>
      <c r="B231" s="14">
        <v>5</v>
      </c>
      <c r="C231" s="15" t="s">
        <v>1831</v>
      </c>
      <c r="D231" s="14" t="s">
        <v>1749</v>
      </c>
      <c r="E231" s="14" t="s">
        <v>1746</v>
      </c>
      <c r="F231" s="14">
        <v>0</v>
      </c>
      <c r="G231" s="14">
        <v>0</v>
      </c>
      <c r="H231" s="37">
        <f>'Calculation Sheet'!N231</f>
        <v>0</v>
      </c>
    </row>
    <row r="232" spans="1:8" x14ac:dyDescent="0.25">
      <c r="A232" s="14" t="s">
        <v>1830</v>
      </c>
      <c r="B232" s="14">
        <v>3</v>
      </c>
      <c r="C232" s="15" t="s">
        <v>1834</v>
      </c>
      <c r="D232" s="14" t="s">
        <v>1745</v>
      </c>
      <c r="E232" s="14" t="s">
        <v>1746</v>
      </c>
      <c r="F232" s="14">
        <v>0</v>
      </c>
      <c r="G232" s="14">
        <v>0</v>
      </c>
      <c r="H232" s="37">
        <f>'Calculation Sheet'!N232</f>
        <v>0</v>
      </c>
    </row>
    <row r="233" spans="1:8" x14ac:dyDescent="0.25">
      <c r="A233" s="14" t="s">
        <v>1830</v>
      </c>
      <c r="B233" s="14">
        <v>3</v>
      </c>
      <c r="C233" s="15" t="s">
        <v>1834</v>
      </c>
      <c r="D233" s="14" t="s">
        <v>1745</v>
      </c>
      <c r="E233" s="14" t="s">
        <v>1747</v>
      </c>
      <c r="F233" s="14">
        <v>0</v>
      </c>
      <c r="G233" s="14">
        <v>0</v>
      </c>
      <c r="H233" s="37">
        <f>'Calculation Sheet'!N233</f>
        <v>0</v>
      </c>
    </row>
    <row r="234" spans="1:8" x14ac:dyDescent="0.25">
      <c r="A234" s="14" t="s">
        <v>1830</v>
      </c>
      <c r="B234" s="14">
        <v>3</v>
      </c>
      <c r="C234" s="15" t="s">
        <v>1834</v>
      </c>
      <c r="D234" s="14" t="s">
        <v>1749</v>
      </c>
      <c r="E234" s="14" t="s">
        <v>1746</v>
      </c>
      <c r="F234" s="14">
        <v>0</v>
      </c>
      <c r="G234" s="14">
        <v>0</v>
      </c>
      <c r="H234" s="37">
        <f>'Calculation Sheet'!N234</f>
        <v>0</v>
      </c>
    </row>
    <row r="235" spans="1:8" x14ac:dyDescent="0.25">
      <c r="A235" s="14" t="s">
        <v>1830</v>
      </c>
      <c r="B235" s="14">
        <v>4</v>
      </c>
      <c r="C235" s="15" t="s">
        <v>1833</v>
      </c>
      <c r="D235" s="14" t="s">
        <v>1752</v>
      </c>
      <c r="E235" s="14" t="s">
        <v>1747</v>
      </c>
      <c r="F235" s="14">
        <v>0</v>
      </c>
      <c r="G235" s="14">
        <v>0</v>
      </c>
      <c r="H235" s="37">
        <f>'Calculation Sheet'!N235</f>
        <v>0</v>
      </c>
    </row>
    <row r="236" spans="1:8" x14ac:dyDescent="0.25">
      <c r="A236" s="14" t="s">
        <v>1830</v>
      </c>
      <c r="B236" s="14">
        <v>4</v>
      </c>
      <c r="C236" s="15" t="s">
        <v>1833</v>
      </c>
      <c r="D236" s="14" t="s">
        <v>1752</v>
      </c>
      <c r="E236" s="14" t="s">
        <v>1746</v>
      </c>
      <c r="F236" s="14">
        <v>0</v>
      </c>
      <c r="G236" s="14">
        <v>0</v>
      </c>
      <c r="H236" s="37">
        <f>'Calculation Sheet'!N236</f>
        <v>0</v>
      </c>
    </row>
    <row r="237" spans="1:8" x14ac:dyDescent="0.25">
      <c r="A237" s="14" t="s">
        <v>1830</v>
      </c>
      <c r="B237" s="14">
        <v>1</v>
      </c>
      <c r="C237" s="15" t="s">
        <v>1832</v>
      </c>
      <c r="D237" s="14" t="s">
        <v>1752</v>
      </c>
      <c r="E237" s="14" t="s">
        <v>1747</v>
      </c>
      <c r="F237" s="14">
        <v>0</v>
      </c>
      <c r="G237" s="14">
        <v>0</v>
      </c>
      <c r="H237" s="37">
        <f>'Calculation Sheet'!N237</f>
        <v>0</v>
      </c>
    </row>
    <row r="238" spans="1:8" x14ac:dyDescent="0.25">
      <c r="A238" s="14" t="s">
        <v>1830</v>
      </c>
      <c r="B238" s="14">
        <v>1</v>
      </c>
      <c r="C238" s="15" t="s">
        <v>1832</v>
      </c>
      <c r="D238" s="14" t="s">
        <v>1752</v>
      </c>
      <c r="E238" s="14" t="s">
        <v>1746</v>
      </c>
      <c r="F238" s="14">
        <v>0</v>
      </c>
      <c r="G238" s="14">
        <v>0</v>
      </c>
      <c r="H238" s="37">
        <f>'Calculation Sheet'!N238</f>
        <v>0</v>
      </c>
    </row>
    <row r="239" spans="1:8" x14ac:dyDescent="0.25">
      <c r="A239" s="14" t="s">
        <v>1830</v>
      </c>
      <c r="B239" s="14">
        <v>1</v>
      </c>
      <c r="C239" s="15" t="s">
        <v>1832</v>
      </c>
      <c r="D239" s="14" t="s">
        <v>1745</v>
      </c>
      <c r="E239" s="14" t="s">
        <v>1746</v>
      </c>
      <c r="F239" s="14">
        <v>0</v>
      </c>
      <c r="G239" s="14">
        <v>0</v>
      </c>
      <c r="H239" s="37">
        <f>'Calculation Sheet'!N239</f>
        <v>0</v>
      </c>
    </row>
    <row r="240" spans="1:8" x14ac:dyDescent="0.25">
      <c r="A240" s="14" t="s">
        <v>1830</v>
      </c>
      <c r="B240" s="14">
        <v>1</v>
      </c>
      <c r="C240" s="15" t="s">
        <v>1832</v>
      </c>
      <c r="D240" s="14" t="s">
        <v>1752</v>
      </c>
      <c r="E240" s="14" t="s">
        <v>1753</v>
      </c>
      <c r="F240" s="14">
        <v>0</v>
      </c>
      <c r="G240" s="14">
        <v>0</v>
      </c>
      <c r="H240" s="37">
        <f>'Calculation Sheet'!N240</f>
        <v>0</v>
      </c>
    </row>
    <row r="241" spans="1:8" x14ac:dyDescent="0.25">
      <c r="A241" s="14" t="s">
        <v>1830</v>
      </c>
      <c r="B241" s="14">
        <v>5</v>
      </c>
      <c r="C241" s="15" t="s">
        <v>1831</v>
      </c>
      <c r="D241" s="14" t="s">
        <v>1745</v>
      </c>
      <c r="E241" s="14" t="s">
        <v>1746</v>
      </c>
      <c r="F241" s="14">
        <v>0</v>
      </c>
      <c r="G241" s="14">
        <v>0</v>
      </c>
      <c r="H241" s="37">
        <f>'Calculation Sheet'!N241</f>
        <v>0</v>
      </c>
    </row>
    <row r="242" spans="1:8" x14ac:dyDescent="0.25">
      <c r="A242" s="14" t="s">
        <v>1830</v>
      </c>
      <c r="B242" s="14">
        <v>1</v>
      </c>
      <c r="C242" s="15" t="s">
        <v>1832</v>
      </c>
      <c r="D242" s="14" t="s">
        <v>1745</v>
      </c>
      <c r="E242" s="14" t="s">
        <v>1747</v>
      </c>
      <c r="F242" s="14">
        <v>0</v>
      </c>
      <c r="G242" s="14">
        <v>0</v>
      </c>
      <c r="H242" s="37">
        <f>'Calculation Sheet'!N242</f>
        <v>0</v>
      </c>
    </row>
    <row r="243" spans="1:8" x14ac:dyDescent="0.25">
      <c r="A243" s="14" t="s">
        <v>1830</v>
      </c>
      <c r="B243" s="14">
        <v>4</v>
      </c>
      <c r="C243" s="15" t="s">
        <v>1833</v>
      </c>
      <c r="D243" s="14" t="s">
        <v>1745</v>
      </c>
      <c r="E243" s="14" t="s">
        <v>1746</v>
      </c>
      <c r="F243" s="14">
        <v>0</v>
      </c>
      <c r="G243" s="14">
        <v>0</v>
      </c>
      <c r="H243" s="37">
        <f>'Calculation Sheet'!N243</f>
        <v>0</v>
      </c>
    </row>
    <row r="244" spans="1:8" x14ac:dyDescent="0.25">
      <c r="A244" s="14" t="s">
        <v>1835</v>
      </c>
      <c r="B244" s="14">
        <v>9</v>
      </c>
      <c r="C244" s="15" t="s">
        <v>1836</v>
      </c>
      <c r="D244" s="14" t="s">
        <v>1745</v>
      </c>
      <c r="E244" s="14" t="s">
        <v>1747</v>
      </c>
      <c r="F244" s="14">
        <v>43920</v>
      </c>
      <c r="G244" s="14">
        <v>30744</v>
      </c>
      <c r="H244" s="37">
        <f>'Calculation Sheet'!N244</f>
        <v>30744</v>
      </c>
    </row>
    <row r="245" spans="1:8" x14ac:dyDescent="0.25">
      <c r="A245" s="14" t="s">
        <v>1835</v>
      </c>
      <c r="B245" s="14">
        <v>7</v>
      </c>
      <c r="C245" s="15" t="s">
        <v>1837</v>
      </c>
      <c r="D245" s="14" t="s">
        <v>1745</v>
      </c>
      <c r="E245" s="14" t="s">
        <v>1746</v>
      </c>
      <c r="F245" s="14">
        <v>46116</v>
      </c>
      <c r="G245" s="14">
        <v>41504.400000000001</v>
      </c>
      <c r="H245" s="37">
        <f>'Calculation Sheet'!N245</f>
        <v>41504.400000000001</v>
      </c>
    </row>
    <row r="246" spans="1:8" x14ac:dyDescent="0.25">
      <c r="A246" s="14" t="s">
        <v>1835</v>
      </c>
      <c r="B246" s="14">
        <v>1</v>
      </c>
      <c r="C246" s="15" t="s">
        <v>1838</v>
      </c>
      <c r="D246" s="14" t="s">
        <v>1745</v>
      </c>
      <c r="E246" s="14" t="s">
        <v>1747</v>
      </c>
      <c r="F246" s="14">
        <v>109800</v>
      </c>
      <c r="G246" s="14">
        <v>76860</v>
      </c>
      <c r="H246" s="37">
        <f>'Calculation Sheet'!N246</f>
        <v>76860</v>
      </c>
    </row>
    <row r="247" spans="1:8" x14ac:dyDescent="0.25">
      <c r="A247" s="14" t="s">
        <v>1835</v>
      </c>
      <c r="B247" s="14">
        <v>7</v>
      </c>
      <c r="C247" s="15" t="s">
        <v>1837</v>
      </c>
      <c r="D247" s="14" t="s">
        <v>1745</v>
      </c>
      <c r="E247" s="14" t="s">
        <v>1747</v>
      </c>
      <c r="F247" s="14">
        <v>43920</v>
      </c>
      <c r="G247" s="14">
        <v>39528</v>
      </c>
      <c r="H247" s="37">
        <f>'Calculation Sheet'!N247</f>
        <v>39528</v>
      </c>
    </row>
    <row r="248" spans="1:8" x14ac:dyDescent="0.25">
      <c r="A248" s="14" t="s">
        <v>1835</v>
      </c>
      <c r="B248" s="14">
        <v>8</v>
      </c>
      <c r="C248" s="15" t="s">
        <v>1839</v>
      </c>
      <c r="D248" s="14" t="s">
        <v>1745</v>
      </c>
      <c r="E248" s="14" t="s">
        <v>1747</v>
      </c>
      <c r="F248" s="14">
        <v>60420</v>
      </c>
      <c r="G248" s="14">
        <v>42294</v>
      </c>
      <c r="H248" s="37">
        <f>'Calculation Sheet'!N248</f>
        <v>42294</v>
      </c>
    </row>
    <row r="249" spans="1:8" x14ac:dyDescent="0.25">
      <c r="A249" s="14" t="s">
        <v>1835</v>
      </c>
      <c r="B249" s="14">
        <v>8</v>
      </c>
      <c r="C249" s="15" t="s">
        <v>1839</v>
      </c>
      <c r="D249" s="14" t="s">
        <v>1749</v>
      </c>
      <c r="E249" s="14" t="s">
        <v>1746</v>
      </c>
      <c r="F249" s="14">
        <v>6042</v>
      </c>
      <c r="G249" s="14">
        <v>4229.3999999999996</v>
      </c>
      <c r="H249" s="37">
        <f>'Calculation Sheet'!N249</f>
        <v>4229.3999999999996</v>
      </c>
    </row>
    <row r="250" spans="1:8" x14ac:dyDescent="0.25">
      <c r="A250" s="14" t="s">
        <v>1835</v>
      </c>
      <c r="B250" s="14">
        <v>1</v>
      </c>
      <c r="C250" s="15" t="s">
        <v>1838</v>
      </c>
      <c r="D250" s="14" t="s">
        <v>1752</v>
      </c>
      <c r="E250" s="14" t="s">
        <v>1753</v>
      </c>
      <c r="F250" s="14">
        <v>329400</v>
      </c>
      <c r="G250" s="14">
        <v>230580</v>
      </c>
      <c r="H250" s="37">
        <f>'Calculation Sheet'!N250</f>
        <v>230580</v>
      </c>
    </row>
    <row r="251" spans="1:8" x14ac:dyDescent="0.25">
      <c r="A251" s="14" t="s">
        <v>1835</v>
      </c>
      <c r="B251" s="14">
        <v>1</v>
      </c>
      <c r="C251" s="15" t="s">
        <v>1838</v>
      </c>
      <c r="D251" s="14" t="s">
        <v>1752</v>
      </c>
      <c r="E251" s="14" t="s">
        <v>1746</v>
      </c>
      <c r="F251" s="14">
        <v>345870</v>
      </c>
      <c r="G251" s="14">
        <v>242109</v>
      </c>
      <c r="H251" s="37">
        <f>'Calculation Sheet'!N251</f>
        <v>242109</v>
      </c>
    </row>
    <row r="252" spans="1:8" x14ac:dyDescent="0.25">
      <c r="A252" s="14" t="s">
        <v>1835</v>
      </c>
      <c r="B252" s="14">
        <v>1</v>
      </c>
      <c r="C252" s="15" t="s">
        <v>1838</v>
      </c>
      <c r="D252" s="14" t="s">
        <v>1745</v>
      </c>
      <c r="E252" s="14" t="s">
        <v>1746</v>
      </c>
      <c r="F252" s="14">
        <v>115290</v>
      </c>
      <c r="G252" s="14">
        <v>80703</v>
      </c>
      <c r="H252" s="37">
        <f>'Calculation Sheet'!N252</f>
        <v>80703</v>
      </c>
    </row>
    <row r="253" spans="1:8" x14ac:dyDescent="0.25">
      <c r="A253" s="14" t="s">
        <v>1835</v>
      </c>
      <c r="B253" s="14">
        <v>1</v>
      </c>
      <c r="C253" s="15" t="s">
        <v>1838</v>
      </c>
      <c r="D253" s="14" t="s">
        <v>1749</v>
      </c>
      <c r="E253" s="14" t="s">
        <v>1746</v>
      </c>
      <c r="F253" s="14">
        <v>10980</v>
      </c>
      <c r="G253" s="14">
        <v>7686</v>
      </c>
      <c r="H253" s="37">
        <f>'Calculation Sheet'!N253</f>
        <v>7686</v>
      </c>
    </row>
    <row r="254" spans="1:8" x14ac:dyDescent="0.25">
      <c r="A254" s="14" t="s">
        <v>1835</v>
      </c>
      <c r="B254" s="14">
        <v>8</v>
      </c>
      <c r="C254" s="15" t="s">
        <v>1839</v>
      </c>
      <c r="D254" s="14" t="s">
        <v>1745</v>
      </c>
      <c r="E254" s="14" t="s">
        <v>1746</v>
      </c>
      <c r="F254" s="14">
        <v>63441</v>
      </c>
      <c r="G254" s="14">
        <v>44408.76</v>
      </c>
      <c r="H254" s="37">
        <f>'Calculation Sheet'!N254</f>
        <v>44408.76</v>
      </c>
    </row>
    <row r="255" spans="1:8" x14ac:dyDescent="0.25">
      <c r="A255" s="14" t="s">
        <v>1835</v>
      </c>
      <c r="B255" s="14">
        <v>9</v>
      </c>
      <c r="C255" s="15" t="s">
        <v>1836</v>
      </c>
      <c r="D255" s="14" t="s">
        <v>1745</v>
      </c>
      <c r="E255" s="14" t="s">
        <v>1746</v>
      </c>
      <c r="F255" s="14">
        <v>46116</v>
      </c>
      <c r="G255" s="14">
        <v>32281.200000000001</v>
      </c>
      <c r="H255" s="37">
        <f>'Calculation Sheet'!N255</f>
        <v>32281.200000000001</v>
      </c>
    </row>
    <row r="256" spans="1:8" x14ac:dyDescent="0.25">
      <c r="A256" s="14" t="s">
        <v>1835</v>
      </c>
      <c r="B256" s="14">
        <v>3</v>
      </c>
      <c r="C256" s="15" t="s">
        <v>1838</v>
      </c>
      <c r="D256" s="14" t="s">
        <v>1749</v>
      </c>
      <c r="E256" s="14" t="s">
        <v>1766</v>
      </c>
      <c r="F256" s="14">
        <v>0</v>
      </c>
      <c r="G256" s="14">
        <v>0</v>
      </c>
      <c r="H256" s="37">
        <f>'Calculation Sheet'!N256</f>
        <v>0</v>
      </c>
    </row>
    <row r="257" spans="1:8" x14ac:dyDescent="0.25">
      <c r="A257" s="14" t="s">
        <v>1835</v>
      </c>
      <c r="B257" s="14">
        <v>7</v>
      </c>
      <c r="C257" s="15" t="s">
        <v>1837</v>
      </c>
      <c r="D257" s="14" t="s">
        <v>1749</v>
      </c>
      <c r="E257" s="14" t="s">
        <v>1746</v>
      </c>
      <c r="F257" s="14">
        <v>4392</v>
      </c>
      <c r="G257" s="14">
        <v>3952.8</v>
      </c>
      <c r="H257" s="37">
        <f>'Calculation Sheet'!N257</f>
        <v>3952.8</v>
      </c>
    </row>
    <row r="258" spans="1:8" x14ac:dyDescent="0.25">
      <c r="A258" s="14" t="s">
        <v>1835</v>
      </c>
      <c r="B258" s="14">
        <v>9</v>
      </c>
      <c r="C258" s="15" t="s">
        <v>1836</v>
      </c>
      <c r="D258" s="14" t="s">
        <v>1749</v>
      </c>
      <c r="E258" s="14" t="s">
        <v>1746</v>
      </c>
      <c r="F258" s="14">
        <v>4392</v>
      </c>
      <c r="G258" s="14">
        <v>3074.4</v>
      </c>
      <c r="H258" s="37">
        <f>'Calculation Sheet'!N258</f>
        <v>3074.4</v>
      </c>
    </row>
    <row r="259" spans="1:8" x14ac:dyDescent="0.25">
      <c r="A259" s="14" t="s">
        <v>1835</v>
      </c>
      <c r="B259" s="14">
        <v>1</v>
      </c>
      <c r="C259" s="15" t="s">
        <v>1838</v>
      </c>
      <c r="D259" s="14" t="s">
        <v>1752</v>
      </c>
      <c r="E259" s="14" t="s">
        <v>1747</v>
      </c>
      <c r="F259" s="14">
        <v>329400</v>
      </c>
      <c r="G259" s="14">
        <v>230580</v>
      </c>
      <c r="H259" s="37">
        <f>'Calculation Sheet'!N259</f>
        <v>230580</v>
      </c>
    </row>
    <row r="260" spans="1:8" x14ac:dyDescent="0.25">
      <c r="A260" s="14" t="s">
        <v>1840</v>
      </c>
      <c r="B260" s="14">
        <v>2</v>
      </c>
      <c r="C260" s="15" t="s">
        <v>1841</v>
      </c>
      <c r="D260" s="14" t="s">
        <v>1752</v>
      </c>
      <c r="E260" s="14" t="s">
        <v>1747</v>
      </c>
      <c r="F260" s="14">
        <v>23940</v>
      </c>
      <c r="G260" s="14">
        <v>16758</v>
      </c>
      <c r="H260" s="37">
        <f>'Calculation Sheet'!N260</f>
        <v>16758</v>
      </c>
    </row>
    <row r="261" spans="1:8" x14ac:dyDescent="0.25">
      <c r="A261" s="14" t="s">
        <v>1840</v>
      </c>
      <c r="B261" s="14">
        <v>4</v>
      </c>
      <c r="C261" s="15" t="s">
        <v>1842</v>
      </c>
      <c r="D261" s="14" t="s">
        <v>1749</v>
      </c>
      <c r="E261" s="14" t="s">
        <v>1746</v>
      </c>
      <c r="F261" s="14">
        <v>318</v>
      </c>
      <c r="G261" s="14">
        <v>286.2</v>
      </c>
      <c r="H261" s="37">
        <f>'Calculation Sheet'!N261</f>
        <v>286.2</v>
      </c>
    </row>
    <row r="262" spans="1:8" x14ac:dyDescent="0.25">
      <c r="A262" s="14" t="s">
        <v>1840</v>
      </c>
      <c r="B262" s="14">
        <v>2</v>
      </c>
      <c r="C262" s="15" t="s">
        <v>1841</v>
      </c>
      <c r="D262" s="14" t="s">
        <v>1752</v>
      </c>
      <c r="E262" s="14" t="s">
        <v>1746</v>
      </c>
      <c r="F262" s="14">
        <v>25137</v>
      </c>
      <c r="G262" s="14">
        <v>17596.080000000002</v>
      </c>
      <c r="H262" s="37">
        <f>'Calculation Sheet'!N262</f>
        <v>17596.080000000002</v>
      </c>
    </row>
    <row r="263" spans="1:8" x14ac:dyDescent="0.25">
      <c r="A263" s="14" t="s">
        <v>1840</v>
      </c>
      <c r="B263" s="14">
        <v>2</v>
      </c>
      <c r="C263" s="15" t="s">
        <v>1841</v>
      </c>
      <c r="D263" s="14" t="s">
        <v>1752</v>
      </c>
      <c r="E263" s="14" t="s">
        <v>1753</v>
      </c>
      <c r="F263" s="14">
        <v>23940</v>
      </c>
      <c r="G263" s="14">
        <v>16758</v>
      </c>
      <c r="H263" s="37">
        <f>'Calculation Sheet'!N263</f>
        <v>16758</v>
      </c>
    </row>
    <row r="264" spans="1:8" x14ac:dyDescent="0.25">
      <c r="A264" s="14" t="s">
        <v>1840</v>
      </c>
      <c r="B264" s="14">
        <v>6</v>
      </c>
      <c r="C264" s="15" t="s">
        <v>1843</v>
      </c>
      <c r="D264" s="14" t="s">
        <v>1745</v>
      </c>
      <c r="E264" s="14" t="s">
        <v>1747</v>
      </c>
      <c r="F264" s="14">
        <v>3180</v>
      </c>
      <c r="G264" s="14">
        <v>2226</v>
      </c>
      <c r="H264" s="37">
        <f>'Calculation Sheet'!N264</f>
        <v>2226</v>
      </c>
    </row>
    <row r="265" spans="1:8" x14ac:dyDescent="0.25">
      <c r="A265" s="14" t="s">
        <v>1840</v>
      </c>
      <c r="B265" s="14">
        <v>6</v>
      </c>
      <c r="C265" s="15" t="s">
        <v>1843</v>
      </c>
      <c r="D265" s="14" t="s">
        <v>1749</v>
      </c>
      <c r="E265" s="14" t="s">
        <v>1746</v>
      </c>
      <c r="F265" s="14">
        <v>318</v>
      </c>
      <c r="G265" s="14">
        <v>222.6</v>
      </c>
      <c r="H265" s="37">
        <f>'Calculation Sheet'!N265</f>
        <v>222.6</v>
      </c>
    </row>
    <row r="266" spans="1:8" x14ac:dyDescent="0.25">
      <c r="A266" s="14" t="s">
        <v>1840</v>
      </c>
      <c r="B266" s="14">
        <v>4</v>
      </c>
      <c r="C266" s="15" t="s">
        <v>1842</v>
      </c>
      <c r="D266" s="14" t="s">
        <v>1745</v>
      </c>
      <c r="E266" s="14" t="s">
        <v>1746</v>
      </c>
      <c r="F266" s="14">
        <v>3339</v>
      </c>
      <c r="G266" s="14">
        <v>3005.16</v>
      </c>
      <c r="H266" s="37">
        <f>'Calculation Sheet'!N266</f>
        <v>3005.16</v>
      </c>
    </row>
    <row r="267" spans="1:8" x14ac:dyDescent="0.25">
      <c r="A267" s="14" t="s">
        <v>1840</v>
      </c>
      <c r="B267" s="14">
        <v>2</v>
      </c>
      <c r="C267" s="15" t="s">
        <v>1841</v>
      </c>
      <c r="D267" s="14" t="s">
        <v>1745</v>
      </c>
      <c r="E267" s="14" t="s">
        <v>1747</v>
      </c>
      <c r="F267" s="14">
        <v>7980</v>
      </c>
      <c r="G267" s="14">
        <v>5586</v>
      </c>
      <c r="H267" s="37">
        <f>'Calculation Sheet'!N267</f>
        <v>5586</v>
      </c>
    </row>
    <row r="268" spans="1:8" x14ac:dyDescent="0.25">
      <c r="A268" s="14" t="s">
        <v>1840</v>
      </c>
      <c r="B268" s="14">
        <v>4</v>
      </c>
      <c r="C268" s="15" t="s">
        <v>1842</v>
      </c>
      <c r="D268" s="14" t="s">
        <v>1745</v>
      </c>
      <c r="E268" s="14" t="s">
        <v>1747</v>
      </c>
      <c r="F268" s="14">
        <v>3180</v>
      </c>
      <c r="G268" s="14">
        <v>2862</v>
      </c>
      <c r="H268" s="37">
        <f>'Calculation Sheet'!N268</f>
        <v>2862</v>
      </c>
    </row>
    <row r="269" spans="1:8" x14ac:dyDescent="0.25">
      <c r="A269" s="14" t="s">
        <v>1840</v>
      </c>
      <c r="B269" s="14">
        <v>6</v>
      </c>
      <c r="C269" s="15" t="s">
        <v>1843</v>
      </c>
      <c r="D269" s="14" t="s">
        <v>1745</v>
      </c>
      <c r="E269" s="14" t="s">
        <v>1746</v>
      </c>
      <c r="F269" s="14">
        <v>3339</v>
      </c>
      <c r="G269" s="14">
        <v>2337.36</v>
      </c>
      <c r="H269" s="37">
        <f>'Calculation Sheet'!N269</f>
        <v>2337.36</v>
      </c>
    </row>
    <row r="270" spans="1:8" x14ac:dyDescent="0.25">
      <c r="A270" s="14" t="s">
        <v>1840</v>
      </c>
      <c r="B270" s="14">
        <v>5</v>
      </c>
      <c r="C270" s="15" t="s">
        <v>1844</v>
      </c>
      <c r="D270" s="14" t="s">
        <v>1749</v>
      </c>
      <c r="E270" s="14" t="s">
        <v>1746</v>
      </c>
      <c r="F270" s="14">
        <v>438</v>
      </c>
      <c r="G270" s="14">
        <v>306.60000000000002</v>
      </c>
      <c r="H270" s="37">
        <f>'Calculation Sheet'!N270</f>
        <v>306.60000000000002</v>
      </c>
    </row>
    <row r="271" spans="1:8" x14ac:dyDescent="0.25">
      <c r="A271" s="14" t="s">
        <v>1840</v>
      </c>
      <c r="B271" s="14">
        <v>5</v>
      </c>
      <c r="C271" s="15" t="s">
        <v>1844</v>
      </c>
      <c r="D271" s="14" t="s">
        <v>1745</v>
      </c>
      <c r="E271" s="14" t="s">
        <v>1747</v>
      </c>
      <c r="F271" s="14">
        <v>4380</v>
      </c>
      <c r="G271" s="14">
        <v>3066</v>
      </c>
      <c r="H271" s="37">
        <f>'Calculation Sheet'!N271</f>
        <v>3066</v>
      </c>
    </row>
    <row r="272" spans="1:8" x14ac:dyDescent="0.25">
      <c r="A272" s="14" t="s">
        <v>1840</v>
      </c>
      <c r="B272" s="14">
        <v>2</v>
      </c>
      <c r="C272" s="15" t="s">
        <v>1841</v>
      </c>
      <c r="D272" s="14" t="s">
        <v>1745</v>
      </c>
      <c r="E272" s="14" t="s">
        <v>1746</v>
      </c>
      <c r="F272" s="14">
        <v>8379</v>
      </c>
      <c r="G272" s="14">
        <v>5865.36</v>
      </c>
      <c r="H272" s="37">
        <f>'Calculation Sheet'!N272</f>
        <v>5865.36</v>
      </c>
    </row>
    <row r="273" spans="1:8" x14ac:dyDescent="0.25">
      <c r="A273" s="14" t="s">
        <v>1840</v>
      </c>
      <c r="B273" s="14">
        <v>5</v>
      </c>
      <c r="C273" s="15" t="s">
        <v>1844</v>
      </c>
      <c r="D273" s="14" t="s">
        <v>1745</v>
      </c>
      <c r="E273" s="14" t="s">
        <v>1746</v>
      </c>
      <c r="F273" s="14">
        <v>4599</v>
      </c>
      <c r="G273" s="14">
        <v>3219.36</v>
      </c>
      <c r="H273" s="37">
        <f>'Calculation Sheet'!N273</f>
        <v>3219.36</v>
      </c>
    </row>
    <row r="274" spans="1:8" x14ac:dyDescent="0.25">
      <c r="A274" s="14" t="s">
        <v>1840</v>
      </c>
      <c r="B274" s="14">
        <v>2</v>
      </c>
      <c r="C274" s="15" t="s">
        <v>1841</v>
      </c>
      <c r="D274" s="14" t="s">
        <v>1749</v>
      </c>
      <c r="E274" s="14" t="s">
        <v>1746</v>
      </c>
      <c r="F274" s="14">
        <v>798</v>
      </c>
      <c r="G274" s="14">
        <v>558.6</v>
      </c>
      <c r="H274" s="37">
        <f>'Calculation Sheet'!N274</f>
        <v>558.6</v>
      </c>
    </row>
    <row r="275" spans="1:8" x14ac:dyDescent="0.25">
      <c r="A275" s="14" t="s">
        <v>1845</v>
      </c>
      <c r="B275" s="14">
        <v>2</v>
      </c>
      <c r="C275" s="15" t="s">
        <v>1846</v>
      </c>
      <c r="D275" s="14" t="s">
        <v>1749</v>
      </c>
      <c r="E275" s="14" t="s">
        <v>1746</v>
      </c>
      <c r="F275" s="14">
        <v>600</v>
      </c>
      <c r="G275" s="14">
        <v>450</v>
      </c>
      <c r="H275" s="37">
        <f>'Calculation Sheet'!N275</f>
        <v>450</v>
      </c>
    </row>
    <row r="276" spans="1:8" x14ac:dyDescent="0.25">
      <c r="A276" s="14" t="s">
        <v>1845</v>
      </c>
      <c r="B276" s="14">
        <v>4</v>
      </c>
      <c r="C276" s="15" t="s">
        <v>1847</v>
      </c>
      <c r="D276" s="14" t="s">
        <v>1749</v>
      </c>
      <c r="E276" s="14" t="s">
        <v>1746</v>
      </c>
      <c r="F276" s="14">
        <v>372</v>
      </c>
      <c r="G276" s="14">
        <v>334.8</v>
      </c>
      <c r="H276" s="37">
        <f>'Calculation Sheet'!N276</f>
        <v>334.8</v>
      </c>
    </row>
    <row r="277" spans="1:8" x14ac:dyDescent="0.25">
      <c r="A277" s="14" t="s">
        <v>1845</v>
      </c>
      <c r="B277" s="14">
        <v>1</v>
      </c>
      <c r="C277" s="15" t="s">
        <v>1848</v>
      </c>
      <c r="D277" s="14" t="s">
        <v>1749</v>
      </c>
      <c r="E277" s="14" t="s">
        <v>1746</v>
      </c>
      <c r="F277" s="14">
        <v>1500</v>
      </c>
      <c r="G277" s="14">
        <v>1125</v>
      </c>
      <c r="H277" s="37">
        <f>'Calculation Sheet'!N277</f>
        <v>1125</v>
      </c>
    </row>
    <row r="278" spans="1:8" x14ac:dyDescent="0.25">
      <c r="A278" s="14" t="s">
        <v>1845</v>
      </c>
      <c r="B278" s="14">
        <v>3</v>
      </c>
      <c r="C278" s="15" t="s">
        <v>1849</v>
      </c>
      <c r="D278" s="14" t="s">
        <v>1745</v>
      </c>
      <c r="E278" s="14" t="s">
        <v>1747</v>
      </c>
      <c r="F278" s="14">
        <v>8220</v>
      </c>
      <c r="G278" s="14">
        <v>6165</v>
      </c>
      <c r="H278" s="37">
        <f>'Calculation Sheet'!N278</f>
        <v>6165</v>
      </c>
    </row>
    <row r="279" spans="1:8" x14ac:dyDescent="0.25">
      <c r="A279" s="14" t="s">
        <v>1845</v>
      </c>
      <c r="B279" s="14">
        <v>3</v>
      </c>
      <c r="C279" s="15" t="s">
        <v>1849</v>
      </c>
      <c r="D279" s="14" t="s">
        <v>1745</v>
      </c>
      <c r="E279" s="14" t="s">
        <v>1746</v>
      </c>
      <c r="F279" s="14">
        <v>8631</v>
      </c>
      <c r="G279" s="14">
        <v>6473.28</v>
      </c>
      <c r="H279" s="37">
        <f>'Calculation Sheet'!N279</f>
        <v>6473.28</v>
      </c>
    </row>
    <row r="280" spans="1:8" x14ac:dyDescent="0.25">
      <c r="A280" s="14" t="s">
        <v>1845</v>
      </c>
      <c r="B280" s="14">
        <v>1</v>
      </c>
      <c r="C280" s="15" t="s">
        <v>1848</v>
      </c>
      <c r="D280" s="14" t="s">
        <v>1745</v>
      </c>
      <c r="E280" s="14" t="s">
        <v>1746</v>
      </c>
      <c r="F280" s="14">
        <v>15750</v>
      </c>
      <c r="G280" s="14">
        <v>11812.56</v>
      </c>
      <c r="H280" s="37">
        <f>'Calculation Sheet'!N280</f>
        <v>11812.56</v>
      </c>
    </row>
    <row r="281" spans="1:8" x14ac:dyDescent="0.25">
      <c r="A281" s="14" t="s">
        <v>1845</v>
      </c>
      <c r="B281" s="14">
        <v>2</v>
      </c>
      <c r="C281" s="15" t="s">
        <v>1846</v>
      </c>
      <c r="D281" s="14" t="s">
        <v>1745</v>
      </c>
      <c r="E281" s="14" t="s">
        <v>1746</v>
      </c>
      <c r="F281" s="14">
        <v>6300</v>
      </c>
      <c r="G281" s="14">
        <v>4725</v>
      </c>
      <c r="H281" s="37">
        <f>'Calculation Sheet'!N281</f>
        <v>4725</v>
      </c>
    </row>
    <row r="282" spans="1:8" x14ac:dyDescent="0.25">
      <c r="A282" s="14" t="s">
        <v>1845</v>
      </c>
      <c r="B282" s="14">
        <v>4</v>
      </c>
      <c r="C282" s="15" t="s">
        <v>1847</v>
      </c>
      <c r="D282" s="14" t="s">
        <v>1745</v>
      </c>
      <c r="E282" s="14" t="s">
        <v>1747</v>
      </c>
      <c r="F282" s="14">
        <v>3720</v>
      </c>
      <c r="G282" s="14">
        <v>3348</v>
      </c>
      <c r="H282" s="37">
        <f>'Calculation Sheet'!N282</f>
        <v>3348</v>
      </c>
    </row>
    <row r="283" spans="1:8" x14ac:dyDescent="0.25">
      <c r="A283" s="14" t="s">
        <v>1845</v>
      </c>
      <c r="B283" s="14">
        <v>4</v>
      </c>
      <c r="C283" s="15" t="s">
        <v>1847</v>
      </c>
      <c r="D283" s="14" t="s">
        <v>1745</v>
      </c>
      <c r="E283" s="14" t="s">
        <v>1746</v>
      </c>
      <c r="F283" s="14">
        <v>3906</v>
      </c>
      <c r="G283" s="14">
        <v>3515.4</v>
      </c>
      <c r="H283" s="37">
        <f>'Calculation Sheet'!N283</f>
        <v>3515.4</v>
      </c>
    </row>
    <row r="284" spans="1:8" x14ac:dyDescent="0.25">
      <c r="A284" s="14" t="s">
        <v>1845</v>
      </c>
      <c r="B284" s="14">
        <v>2</v>
      </c>
      <c r="C284" s="15" t="s">
        <v>1846</v>
      </c>
      <c r="D284" s="14" t="s">
        <v>1745</v>
      </c>
      <c r="E284" s="14" t="s">
        <v>1747</v>
      </c>
      <c r="F284" s="14">
        <v>6000</v>
      </c>
      <c r="G284" s="14">
        <v>4500</v>
      </c>
      <c r="H284" s="37">
        <f>'Calculation Sheet'!N284</f>
        <v>4500</v>
      </c>
    </row>
    <row r="285" spans="1:8" x14ac:dyDescent="0.25">
      <c r="A285" s="14" t="s">
        <v>1845</v>
      </c>
      <c r="B285" s="14">
        <v>3</v>
      </c>
      <c r="C285" s="15" t="s">
        <v>1849</v>
      </c>
      <c r="D285" s="14" t="s">
        <v>1749</v>
      </c>
      <c r="E285" s="14" t="s">
        <v>1746</v>
      </c>
      <c r="F285" s="14">
        <v>822</v>
      </c>
      <c r="G285" s="14">
        <v>616.5</v>
      </c>
      <c r="H285" s="37">
        <f>'Calculation Sheet'!N285</f>
        <v>616.5</v>
      </c>
    </row>
    <row r="286" spans="1:8" x14ac:dyDescent="0.25">
      <c r="A286" s="14" t="s">
        <v>1845</v>
      </c>
      <c r="B286" s="14">
        <v>1</v>
      </c>
      <c r="C286" s="15" t="s">
        <v>1848</v>
      </c>
      <c r="D286" s="14" t="s">
        <v>1745</v>
      </c>
      <c r="E286" s="14" t="s">
        <v>1747</v>
      </c>
      <c r="F286" s="14">
        <v>15000</v>
      </c>
      <c r="G286" s="14">
        <v>11250</v>
      </c>
      <c r="H286" s="37">
        <f>'Calculation Sheet'!N286</f>
        <v>11250</v>
      </c>
    </row>
    <row r="287" spans="1:8" x14ac:dyDescent="0.25">
      <c r="A287" s="14" t="s">
        <v>1850</v>
      </c>
      <c r="B287" s="14">
        <v>1</v>
      </c>
      <c r="C287" s="15" t="s">
        <v>1851</v>
      </c>
      <c r="D287" s="14" t="s">
        <v>1745</v>
      </c>
      <c r="E287" s="14" t="s">
        <v>1746</v>
      </c>
      <c r="F287" s="14">
        <v>31437</v>
      </c>
      <c r="G287" s="14">
        <v>22005.96</v>
      </c>
      <c r="H287" s="37">
        <f>'Calculation Sheet'!N287</f>
        <v>22005.96</v>
      </c>
    </row>
    <row r="288" spans="1:8" x14ac:dyDescent="0.25">
      <c r="A288" s="14" t="s">
        <v>1852</v>
      </c>
      <c r="B288" s="14" t="s">
        <v>1643</v>
      </c>
      <c r="C288" s="15" t="s">
        <v>1853</v>
      </c>
      <c r="D288" s="14" t="s">
        <v>1745</v>
      </c>
      <c r="E288" s="14" t="s">
        <v>1746</v>
      </c>
      <c r="F288" s="14">
        <v>157248</v>
      </c>
      <c r="G288" s="14">
        <v>141523.20000000001</v>
      </c>
      <c r="H288" s="37">
        <f>'Calculation Sheet'!N288</f>
        <v>141523.20000000001</v>
      </c>
    </row>
    <row r="289" spans="1:8" ht="30" x14ac:dyDescent="0.25">
      <c r="A289" s="14" t="s">
        <v>1850</v>
      </c>
      <c r="B289" s="14" t="s">
        <v>39</v>
      </c>
      <c r="C289" s="15" t="s">
        <v>1854</v>
      </c>
      <c r="D289" s="14" t="s">
        <v>1745</v>
      </c>
      <c r="E289" s="14" t="s">
        <v>1746</v>
      </c>
      <c r="F289" s="14">
        <v>12600</v>
      </c>
      <c r="G289" s="14">
        <v>8820</v>
      </c>
      <c r="H289" s="37">
        <f>'Calculation Sheet'!N289</f>
        <v>8820</v>
      </c>
    </row>
    <row r="290" spans="1:8" x14ac:dyDescent="0.25">
      <c r="A290" s="14" t="s">
        <v>1852</v>
      </c>
      <c r="B290" s="14">
        <v>52</v>
      </c>
      <c r="C290" s="15" t="s">
        <v>1855</v>
      </c>
      <c r="D290" s="14" t="s">
        <v>1749</v>
      </c>
      <c r="E290" s="14" t="s">
        <v>1746</v>
      </c>
      <c r="F290" s="14">
        <v>19968</v>
      </c>
      <c r="G290" s="14">
        <v>13977.6</v>
      </c>
      <c r="H290" s="37">
        <f>'Calculation Sheet'!N290</f>
        <v>13977.6</v>
      </c>
    </row>
    <row r="291" spans="1:8" x14ac:dyDescent="0.25">
      <c r="A291" s="14" t="s">
        <v>1852</v>
      </c>
      <c r="B291" s="14" t="s">
        <v>1578</v>
      </c>
      <c r="C291" s="15" t="s">
        <v>1856</v>
      </c>
      <c r="D291" s="14" t="s">
        <v>1745</v>
      </c>
      <c r="E291" s="14" t="s">
        <v>1747</v>
      </c>
      <c r="F291" s="14">
        <v>149760</v>
      </c>
      <c r="G291" s="14">
        <v>134784</v>
      </c>
      <c r="H291" s="37">
        <f>'Calculation Sheet'!N291</f>
        <v>134784</v>
      </c>
    </row>
    <row r="292" spans="1:8" x14ac:dyDescent="0.25">
      <c r="A292" s="14" t="s">
        <v>1852</v>
      </c>
      <c r="B292" s="14">
        <v>76</v>
      </c>
      <c r="C292" s="15" t="s">
        <v>1857</v>
      </c>
      <c r="D292" s="14" t="s">
        <v>1749</v>
      </c>
      <c r="E292" s="14" t="s">
        <v>1746</v>
      </c>
      <c r="F292" s="14">
        <v>928452</v>
      </c>
      <c r="G292" s="14">
        <v>835606.8</v>
      </c>
      <c r="H292" s="37">
        <f>'Calculation Sheet'!N292</f>
        <v>835606.8</v>
      </c>
    </row>
    <row r="293" spans="1:8" x14ac:dyDescent="0.25">
      <c r="A293" s="14" t="s">
        <v>1852</v>
      </c>
      <c r="B293" s="14" t="s">
        <v>1647</v>
      </c>
      <c r="C293" s="15" t="s">
        <v>1858</v>
      </c>
      <c r="D293" s="14" t="s">
        <v>1745</v>
      </c>
      <c r="E293" s="14" t="s">
        <v>1747</v>
      </c>
      <c r="F293" s="14">
        <v>199680</v>
      </c>
      <c r="G293" s="14">
        <v>139776</v>
      </c>
      <c r="H293" s="37">
        <f>'Calculation Sheet'!N293</f>
        <v>139776</v>
      </c>
    </row>
    <row r="294" spans="1:8" x14ac:dyDescent="0.25">
      <c r="A294" s="14" t="s">
        <v>1852</v>
      </c>
      <c r="B294" s="14" t="s">
        <v>1595</v>
      </c>
      <c r="C294" s="15" t="s">
        <v>1859</v>
      </c>
      <c r="D294" s="14" t="s">
        <v>1745</v>
      </c>
      <c r="E294" s="14" t="s">
        <v>1746</v>
      </c>
      <c r="F294" s="14">
        <v>288288</v>
      </c>
      <c r="G294" s="14">
        <v>201801.60000000001</v>
      </c>
      <c r="H294" s="37">
        <f>'Calculation Sheet'!N294</f>
        <v>201801.60000000001</v>
      </c>
    </row>
    <row r="295" spans="1:8" x14ac:dyDescent="0.25">
      <c r="A295" s="14" t="s">
        <v>1852</v>
      </c>
      <c r="B295" s="14" t="s">
        <v>1708</v>
      </c>
      <c r="C295" s="15" t="s">
        <v>1860</v>
      </c>
      <c r="D295" s="14" t="s">
        <v>1745</v>
      </c>
      <c r="E295" s="14" t="s">
        <v>1746</v>
      </c>
      <c r="F295" s="14">
        <v>4559877</v>
      </c>
      <c r="G295" s="14">
        <v>4103889</v>
      </c>
      <c r="H295" s="37">
        <f>'Calculation Sheet'!N295</f>
        <v>4103889</v>
      </c>
    </row>
    <row r="296" spans="1:8" x14ac:dyDescent="0.25">
      <c r="A296" s="14" t="s">
        <v>1852</v>
      </c>
      <c r="B296" s="14" t="s">
        <v>1583</v>
      </c>
      <c r="C296" s="15" t="s">
        <v>1861</v>
      </c>
      <c r="D296" s="14" t="s">
        <v>1749</v>
      </c>
      <c r="E296" s="14" t="s">
        <v>1746</v>
      </c>
      <c r="F296" s="14">
        <v>1237938</v>
      </c>
      <c r="G296" s="14">
        <v>866556.6</v>
      </c>
      <c r="H296" s="37">
        <f>'Calculation Sheet'!N296</f>
        <v>866556.6</v>
      </c>
    </row>
    <row r="297" spans="1:8" x14ac:dyDescent="0.25">
      <c r="A297" s="14" t="s">
        <v>1852</v>
      </c>
      <c r="B297" s="14" t="s">
        <v>118</v>
      </c>
      <c r="C297" s="15" t="s">
        <v>1862</v>
      </c>
      <c r="D297" s="14" t="s">
        <v>1749</v>
      </c>
      <c r="E297" s="14" t="s">
        <v>1746</v>
      </c>
      <c r="F297" s="14">
        <v>1447590</v>
      </c>
      <c r="G297" s="14">
        <v>1013313</v>
      </c>
      <c r="H297" s="37">
        <f>'Calculation Sheet'!N297</f>
        <v>1013313</v>
      </c>
    </row>
    <row r="298" spans="1:8" x14ac:dyDescent="0.25">
      <c r="A298" s="14" t="s">
        <v>1852</v>
      </c>
      <c r="B298" s="14">
        <v>13</v>
      </c>
      <c r="C298" s="15" t="s">
        <v>1863</v>
      </c>
      <c r="D298" s="14" t="s">
        <v>1745</v>
      </c>
      <c r="E298" s="14" t="s">
        <v>1747</v>
      </c>
      <c r="F298" s="14">
        <v>3993360</v>
      </c>
      <c r="G298" s="14">
        <v>2795352</v>
      </c>
      <c r="H298" s="37">
        <f>'Calculation Sheet'!N298</f>
        <v>2795352</v>
      </c>
    </row>
    <row r="299" spans="1:8" x14ac:dyDescent="0.25">
      <c r="A299" s="14" t="s">
        <v>1852</v>
      </c>
      <c r="B299" s="14">
        <v>67</v>
      </c>
      <c r="C299" s="15" t="s">
        <v>1864</v>
      </c>
      <c r="D299" s="14" t="s">
        <v>1745</v>
      </c>
      <c r="E299" s="14" t="s">
        <v>1746</v>
      </c>
      <c r="F299" s="14">
        <v>209664</v>
      </c>
      <c r="G299" s="14">
        <v>146764.79999999999</v>
      </c>
      <c r="H299" s="37">
        <f>'Calculation Sheet'!N299</f>
        <v>146764.79999999999</v>
      </c>
    </row>
    <row r="300" spans="1:8" x14ac:dyDescent="0.25">
      <c r="A300" s="14" t="s">
        <v>1852</v>
      </c>
      <c r="B300" s="14">
        <v>64</v>
      </c>
      <c r="C300" s="15" t="s">
        <v>1865</v>
      </c>
      <c r="D300" s="14" t="s">
        <v>1745</v>
      </c>
      <c r="E300" s="14" t="s">
        <v>1746</v>
      </c>
      <c r="F300" s="14">
        <v>209664</v>
      </c>
      <c r="G300" s="14">
        <v>146764.79999999999</v>
      </c>
      <c r="H300" s="37">
        <f>'Calculation Sheet'!N300</f>
        <v>146764.79999999999</v>
      </c>
    </row>
    <row r="301" spans="1:8" x14ac:dyDescent="0.25">
      <c r="A301" s="14" t="s">
        <v>1852</v>
      </c>
      <c r="B301" s="14" t="s">
        <v>46</v>
      </c>
      <c r="C301" s="15" t="s">
        <v>1866</v>
      </c>
      <c r="D301" s="14" t="s">
        <v>1745</v>
      </c>
      <c r="E301" s="14" t="s">
        <v>1746</v>
      </c>
      <c r="F301" s="14">
        <v>15199695</v>
      </c>
      <c r="G301" s="14">
        <v>10639787</v>
      </c>
      <c r="H301" s="37">
        <f>'Calculation Sheet'!N301</f>
        <v>10639787</v>
      </c>
    </row>
    <row r="302" spans="1:8" x14ac:dyDescent="0.25">
      <c r="A302" s="14" t="s">
        <v>1852</v>
      </c>
      <c r="B302" s="14">
        <v>87</v>
      </c>
      <c r="C302" s="15" t="s">
        <v>1867</v>
      </c>
      <c r="D302" s="14" t="s">
        <v>1745</v>
      </c>
      <c r="E302" s="14" t="s">
        <v>1747</v>
      </c>
      <c r="F302" s="14">
        <v>1198020</v>
      </c>
      <c r="G302" s="14">
        <v>1078218</v>
      </c>
      <c r="H302" s="37">
        <f>'Calculation Sheet'!N302</f>
        <v>1078218</v>
      </c>
    </row>
    <row r="303" spans="1:8" x14ac:dyDescent="0.25">
      <c r="A303" s="14" t="s">
        <v>1852</v>
      </c>
      <c r="B303" s="14" t="s">
        <v>417</v>
      </c>
      <c r="C303" s="15" t="s">
        <v>1868</v>
      </c>
      <c r="D303" s="14" t="s">
        <v>1749</v>
      </c>
      <c r="E303" s="14" t="s">
        <v>1746</v>
      </c>
      <c r="F303" s="14">
        <v>434274</v>
      </c>
      <c r="G303" s="14">
        <v>390846.6</v>
      </c>
      <c r="H303" s="37">
        <f>'Calculation Sheet'!N303</f>
        <v>390846.6</v>
      </c>
    </row>
    <row r="304" spans="1:8" x14ac:dyDescent="0.25">
      <c r="A304" s="14" t="s">
        <v>1852</v>
      </c>
      <c r="B304" s="14" t="s">
        <v>1634</v>
      </c>
      <c r="C304" s="15" t="s">
        <v>1869</v>
      </c>
      <c r="D304" s="14" t="s">
        <v>1745</v>
      </c>
      <c r="E304" s="14" t="s">
        <v>1747</v>
      </c>
      <c r="F304" s="14">
        <v>199680</v>
      </c>
      <c r="G304" s="14">
        <v>139776</v>
      </c>
      <c r="H304" s="37">
        <f>'Calculation Sheet'!N304</f>
        <v>139776</v>
      </c>
    </row>
    <row r="305" spans="1:8" x14ac:dyDescent="0.25">
      <c r="A305" s="14" t="s">
        <v>1852</v>
      </c>
      <c r="B305" s="14">
        <v>5</v>
      </c>
      <c r="C305" s="15" t="s">
        <v>1870</v>
      </c>
      <c r="D305" s="14" t="s">
        <v>1745</v>
      </c>
      <c r="E305" s="14" t="s">
        <v>1747</v>
      </c>
      <c r="F305" s="14">
        <v>30948420</v>
      </c>
      <c r="G305" s="14">
        <v>21663894</v>
      </c>
      <c r="H305" s="37">
        <f>'Calculation Sheet'!N305</f>
        <v>21663894</v>
      </c>
    </row>
    <row r="306" spans="1:8" x14ac:dyDescent="0.25">
      <c r="A306" s="14" t="s">
        <v>1852</v>
      </c>
      <c r="B306" s="14">
        <v>68</v>
      </c>
      <c r="C306" s="15" t="s">
        <v>1871</v>
      </c>
      <c r="D306" s="14" t="s">
        <v>1745</v>
      </c>
      <c r="E306" s="14" t="s">
        <v>1747</v>
      </c>
      <c r="F306" s="14">
        <v>274560</v>
      </c>
      <c r="G306" s="14">
        <v>192192</v>
      </c>
      <c r="H306" s="37">
        <f>'Calculation Sheet'!N306</f>
        <v>192192</v>
      </c>
    </row>
    <row r="307" spans="1:8" x14ac:dyDescent="0.25">
      <c r="A307" s="14" t="s">
        <v>1852</v>
      </c>
      <c r="B307" s="14">
        <v>76</v>
      </c>
      <c r="C307" s="15" t="s">
        <v>1857</v>
      </c>
      <c r="D307" s="14" t="s">
        <v>1745</v>
      </c>
      <c r="E307" s="14" t="s">
        <v>1747</v>
      </c>
      <c r="F307" s="14">
        <v>9284520</v>
      </c>
      <c r="G307" s="14">
        <v>8356068</v>
      </c>
      <c r="H307" s="37">
        <f>'Calculation Sheet'!N307</f>
        <v>8356068</v>
      </c>
    </row>
    <row r="308" spans="1:8" x14ac:dyDescent="0.25">
      <c r="A308" s="14" t="s">
        <v>1852</v>
      </c>
      <c r="B308" s="14">
        <v>3</v>
      </c>
      <c r="C308" s="15" t="s">
        <v>1872</v>
      </c>
      <c r="D308" s="14" t="s">
        <v>1745</v>
      </c>
      <c r="E308" s="14" t="s">
        <v>1747</v>
      </c>
      <c r="F308" s="14">
        <v>499140</v>
      </c>
      <c r="G308" s="14">
        <v>349398</v>
      </c>
      <c r="H308" s="37">
        <f>'Calculation Sheet'!N308</f>
        <v>349398</v>
      </c>
    </row>
    <row r="309" spans="1:8" x14ac:dyDescent="0.25">
      <c r="A309" s="14" t="s">
        <v>1852</v>
      </c>
      <c r="B309" s="14">
        <v>9</v>
      </c>
      <c r="C309" s="15" t="s">
        <v>1873</v>
      </c>
      <c r="D309" s="14" t="s">
        <v>1749</v>
      </c>
      <c r="E309" s="14" t="s">
        <v>1746</v>
      </c>
      <c r="F309" s="14">
        <v>3094842</v>
      </c>
      <c r="G309" s="14">
        <v>2166389</v>
      </c>
      <c r="H309" s="37">
        <f>'Calculation Sheet'!N309</f>
        <v>2166389</v>
      </c>
    </row>
    <row r="310" spans="1:8" x14ac:dyDescent="0.25">
      <c r="A310" s="14" t="s">
        <v>1852</v>
      </c>
      <c r="B310" s="14">
        <v>84</v>
      </c>
      <c r="C310" s="15" t="s">
        <v>1874</v>
      </c>
      <c r="D310" s="14" t="s">
        <v>1749</v>
      </c>
      <c r="E310" s="14" t="s">
        <v>1746</v>
      </c>
      <c r="F310" s="14">
        <v>119802</v>
      </c>
      <c r="G310" s="14">
        <v>107821.8</v>
      </c>
      <c r="H310" s="37">
        <f>'Calculation Sheet'!N310</f>
        <v>107821.8</v>
      </c>
    </row>
    <row r="311" spans="1:8" x14ac:dyDescent="0.25">
      <c r="A311" s="14" t="s">
        <v>1852</v>
      </c>
      <c r="B311" s="14" t="s">
        <v>1875</v>
      </c>
      <c r="C311" s="15" t="s">
        <v>1876</v>
      </c>
      <c r="D311" s="14" t="s">
        <v>1745</v>
      </c>
      <c r="E311" s="14" t="s">
        <v>1747</v>
      </c>
      <c r="F311" s="14">
        <v>7961760</v>
      </c>
      <c r="G311" s="14">
        <v>5573232</v>
      </c>
      <c r="H311" s="37">
        <f>'Calculation Sheet'!N311</f>
        <v>5573232</v>
      </c>
    </row>
    <row r="312" spans="1:8" x14ac:dyDescent="0.25">
      <c r="A312" s="14" t="s">
        <v>1852</v>
      </c>
      <c r="B312" s="14" t="s">
        <v>1877</v>
      </c>
      <c r="C312" s="15" t="s">
        <v>1878</v>
      </c>
      <c r="D312" s="14" t="s">
        <v>1749</v>
      </c>
      <c r="E312" s="14" t="s">
        <v>1746</v>
      </c>
      <c r="F312" s="14">
        <v>434274</v>
      </c>
      <c r="G312" s="14">
        <v>390846.6</v>
      </c>
      <c r="H312" s="37">
        <f>'Calculation Sheet'!N312</f>
        <v>390846.6</v>
      </c>
    </row>
    <row r="313" spans="1:8" x14ac:dyDescent="0.25">
      <c r="A313" s="14" t="s">
        <v>1852</v>
      </c>
      <c r="B313" s="14" t="s">
        <v>1669</v>
      </c>
      <c r="C313" s="15" t="s">
        <v>1879</v>
      </c>
      <c r="D313" s="14" t="s">
        <v>1749</v>
      </c>
      <c r="E313" s="14" t="s">
        <v>1746</v>
      </c>
      <c r="F313" s="14">
        <v>19968</v>
      </c>
      <c r="G313" s="14">
        <v>13977.6</v>
      </c>
      <c r="H313" s="37">
        <f>'Calculation Sheet'!N313</f>
        <v>13977.6</v>
      </c>
    </row>
    <row r="314" spans="1:8" x14ac:dyDescent="0.25">
      <c r="A314" s="14" t="s">
        <v>1852</v>
      </c>
      <c r="B314" s="14" t="s">
        <v>1647</v>
      </c>
      <c r="C314" s="15" t="s">
        <v>1858</v>
      </c>
      <c r="D314" s="14" t="s">
        <v>1745</v>
      </c>
      <c r="E314" s="14" t="s">
        <v>1746</v>
      </c>
      <c r="F314" s="14">
        <v>209664</v>
      </c>
      <c r="G314" s="14">
        <v>146764.79999999999</v>
      </c>
      <c r="H314" s="37">
        <f>'Calculation Sheet'!N314</f>
        <v>146764.79999999999</v>
      </c>
    </row>
    <row r="315" spans="1:8" x14ac:dyDescent="0.25">
      <c r="A315" s="14" t="s">
        <v>1852</v>
      </c>
      <c r="B315" s="14">
        <v>79</v>
      </c>
      <c r="C315" s="15" t="s">
        <v>1880</v>
      </c>
      <c r="D315" s="14" t="s">
        <v>1745</v>
      </c>
      <c r="E315" s="14" t="s">
        <v>1747</v>
      </c>
      <c r="F315" s="14">
        <v>12379380</v>
      </c>
      <c r="G315" s="14">
        <v>8665566</v>
      </c>
      <c r="H315" s="37">
        <f>'Calculation Sheet'!N315</f>
        <v>8665566</v>
      </c>
    </row>
    <row r="316" spans="1:8" x14ac:dyDescent="0.25">
      <c r="A316" s="14" t="s">
        <v>1852</v>
      </c>
      <c r="B316" s="14" t="s">
        <v>1881</v>
      </c>
      <c r="C316" s="15" t="s">
        <v>1882</v>
      </c>
      <c r="D316" s="14" t="s">
        <v>1745</v>
      </c>
      <c r="E316" s="14" t="s">
        <v>1746</v>
      </c>
      <c r="F316" s="14">
        <v>288288</v>
      </c>
      <c r="G316" s="14">
        <v>201801.60000000001</v>
      </c>
      <c r="H316" s="37">
        <f>'Calculation Sheet'!N316</f>
        <v>201801.60000000001</v>
      </c>
    </row>
    <row r="317" spans="1:8" x14ac:dyDescent="0.25">
      <c r="A317" s="14" t="s">
        <v>1852</v>
      </c>
      <c r="B317" s="14" t="s">
        <v>1737</v>
      </c>
      <c r="C317" s="15" t="s">
        <v>1883</v>
      </c>
      <c r="D317" s="14" t="s">
        <v>1745</v>
      </c>
      <c r="E317" s="14" t="s">
        <v>1747</v>
      </c>
      <c r="F317" s="14">
        <v>4342740</v>
      </c>
      <c r="G317" s="14">
        <v>3908466</v>
      </c>
      <c r="H317" s="37">
        <f>'Calculation Sheet'!N317</f>
        <v>3908466</v>
      </c>
    </row>
    <row r="318" spans="1:8" ht="30" x14ac:dyDescent="0.25">
      <c r="A318" s="14" t="s">
        <v>1850</v>
      </c>
      <c r="B318" s="14" t="s">
        <v>32</v>
      </c>
      <c r="C318" s="15" t="s">
        <v>1884</v>
      </c>
      <c r="D318" s="14" t="s">
        <v>1749</v>
      </c>
      <c r="E318" s="14" t="s">
        <v>1746</v>
      </c>
      <c r="F318" s="14">
        <v>1650</v>
      </c>
      <c r="G318" s="14">
        <v>1155</v>
      </c>
      <c r="H318" s="37">
        <f>'Calculation Sheet'!N318</f>
        <v>1155</v>
      </c>
    </row>
    <row r="319" spans="1:8" x14ac:dyDescent="0.25">
      <c r="A319" s="14" t="s">
        <v>1852</v>
      </c>
      <c r="B319" s="14">
        <v>68</v>
      </c>
      <c r="C319" s="15" t="s">
        <v>1871</v>
      </c>
      <c r="D319" s="14" t="s">
        <v>1749</v>
      </c>
      <c r="E319" s="14" t="s">
        <v>1746</v>
      </c>
      <c r="F319" s="14">
        <v>27456</v>
      </c>
      <c r="G319" s="14">
        <v>19219.2</v>
      </c>
      <c r="H319" s="37">
        <f>'Calculation Sheet'!N319</f>
        <v>19219.2</v>
      </c>
    </row>
    <row r="320" spans="1:8" x14ac:dyDescent="0.25">
      <c r="A320" s="14" t="s">
        <v>1852</v>
      </c>
      <c r="B320" s="14" t="s">
        <v>55</v>
      </c>
      <c r="C320" s="15" t="s">
        <v>1885</v>
      </c>
      <c r="D320" s="14" t="s">
        <v>1749</v>
      </c>
      <c r="E320" s="14" t="s">
        <v>1746</v>
      </c>
      <c r="F320" s="14">
        <v>49914</v>
      </c>
      <c r="G320" s="14">
        <v>34939.800000000003</v>
      </c>
      <c r="H320" s="37">
        <f>'Calculation Sheet'!N320</f>
        <v>34939.800000000003</v>
      </c>
    </row>
    <row r="321" spans="1:8" x14ac:dyDescent="0.25">
      <c r="A321" s="14" t="s">
        <v>1852</v>
      </c>
      <c r="B321" s="14">
        <v>3</v>
      </c>
      <c r="C321" s="15" t="s">
        <v>1872</v>
      </c>
      <c r="D321" s="14" t="s">
        <v>1745</v>
      </c>
      <c r="E321" s="14" t="s">
        <v>1746</v>
      </c>
      <c r="F321" s="14">
        <v>524097</v>
      </c>
      <c r="G321" s="14">
        <v>366868</v>
      </c>
      <c r="H321" s="37">
        <f>'Calculation Sheet'!N321</f>
        <v>366868</v>
      </c>
    </row>
    <row r="322" spans="1:8" x14ac:dyDescent="0.25">
      <c r="A322" s="14" t="s">
        <v>1852</v>
      </c>
      <c r="B322" s="14">
        <v>4</v>
      </c>
      <c r="C322" s="15" t="s">
        <v>1886</v>
      </c>
      <c r="D322" s="14" t="s">
        <v>1745</v>
      </c>
      <c r="E322" s="14" t="s">
        <v>1747</v>
      </c>
      <c r="F322" s="14">
        <v>499140</v>
      </c>
      <c r="G322" s="14">
        <v>349398</v>
      </c>
      <c r="H322" s="37">
        <f>'Calculation Sheet'!N322</f>
        <v>349398</v>
      </c>
    </row>
    <row r="323" spans="1:8" x14ac:dyDescent="0.25">
      <c r="A323" s="14" t="s">
        <v>1852</v>
      </c>
      <c r="B323" s="14" t="s">
        <v>1601</v>
      </c>
      <c r="C323" s="15" t="s">
        <v>1887</v>
      </c>
      <c r="D323" s="14" t="s">
        <v>1749</v>
      </c>
      <c r="E323" s="14" t="s">
        <v>1746</v>
      </c>
      <c r="F323" s="14">
        <v>14976</v>
      </c>
      <c r="G323" s="14">
        <v>13478.4</v>
      </c>
      <c r="H323" s="37">
        <f>'Calculation Sheet'!N323</f>
        <v>13478.4</v>
      </c>
    </row>
    <row r="324" spans="1:8" x14ac:dyDescent="0.25">
      <c r="A324" s="14" t="s">
        <v>1852</v>
      </c>
      <c r="B324" s="14">
        <v>71</v>
      </c>
      <c r="C324" s="15" t="s">
        <v>1888</v>
      </c>
      <c r="D324" s="14" t="s">
        <v>1749</v>
      </c>
      <c r="E324" s="14" t="s">
        <v>1746</v>
      </c>
      <c r="F324" s="14">
        <v>119802</v>
      </c>
      <c r="G324" s="14">
        <v>107821.8</v>
      </c>
      <c r="H324" s="37">
        <f>'Calculation Sheet'!N324</f>
        <v>107821.8</v>
      </c>
    </row>
    <row r="325" spans="1:8" x14ac:dyDescent="0.25">
      <c r="A325" s="14" t="s">
        <v>1852</v>
      </c>
      <c r="B325" s="14" t="s">
        <v>16</v>
      </c>
      <c r="C325" s="15" t="s">
        <v>1889</v>
      </c>
      <c r="D325" s="14" t="s">
        <v>1749</v>
      </c>
      <c r="E325" s="14" t="s">
        <v>1746</v>
      </c>
      <c r="F325" s="14">
        <v>49914</v>
      </c>
      <c r="G325" s="14">
        <v>34939.800000000003</v>
      </c>
      <c r="H325" s="37">
        <f>'Calculation Sheet'!N325</f>
        <v>34939.800000000003</v>
      </c>
    </row>
    <row r="326" spans="1:8" ht="30" x14ac:dyDescent="0.25">
      <c r="A326" s="14" t="s">
        <v>1850</v>
      </c>
      <c r="B326" s="14" t="s">
        <v>39</v>
      </c>
      <c r="C326" s="15" t="s">
        <v>1854</v>
      </c>
      <c r="D326" s="14" t="s">
        <v>1749</v>
      </c>
      <c r="E326" s="14" t="s">
        <v>1746</v>
      </c>
      <c r="F326" s="14">
        <v>1200</v>
      </c>
      <c r="G326" s="14">
        <v>840</v>
      </c>
      <c r="H326" s="37">
        <f>'Calculation Sheet'!N326</f>
        <v>840</v>
      </c>
    </row>
    <row r="327" spans="1:8" x14ac:dyDescent="0.25">
      <c r="A327" s="14" t="s">
        <v>1852</v>
      </c>
      <c r="B327" s="14">
        <v>77</v>
      </c>
      <c r="C327" s="15" t="s">
        <v>1890</v>
      </c>
      <c r="D327" s="14" t="s">
        <v>1745</v>
      </c>
      <c r="E327" s="14" t="s">
        <v>1747</v>
      </c>
      <c r="F327" s="14">
        <v>17021640</v>
      </c>
      <c r="G327" s="14">
        <v>11915148</v>
      </c>
      <c r="H327" s="37">
        <f>'Calculation Sheet'!N327</f>
        <v>11915148</v>
      </c>
    </row>
    <row r="328" spans="1:8" x14ac:dyDescent="0.25">
      <c r="A328" s="14" t="s">
        <v>1852</v>
      </c>
      <c r="B328" s="14" t="s">
        <v>1634</v>
      </c>
      <c r="C328" s="15" t="s">
        <v>1869</v>
      </c>
      <c r="D328" s="14" t="s">
        <v>1749</v>
      </c>
      <c r="E328" s="14" t="s">
        <v>1746</v>
      </c>
      <c r="F328" s="14">
        <v>19968</v>
      </c>
      <c r="G328" s="14">
        <v>13977.6</v>
      </c>
      <c r="H328" s="37">
        <f>'Calculation Sheet'!N328</f>
        <v>13977.6</v>
      </c>
    </row>
    <row r="329" spans="1:8" x14ac:dyDescent="0.25">
      <c r="A329" s="14" t="s">
        <v>1852</v>
      </c>
      <c r="B329" s="14" t="s">
        <v>1566</v>
      </c>
      <c r="C329" s="15" t="s">
        <v>1891</v>
      </c>
      <c r="D329" s="14" t="s">
        <v>1749</v>
      </c>
      <c r="E329" s="14" t="s">
        <v>1746</v>
      </c>
      <c r="F329" s="14">
        <v>219636</v>
      </c>
      <c r="G329" s="14">
        <v>153745.20000000001</v>
      </c>
      <c r="H329" s="37">
        <f>'Calculation Sheet'!N329</f>
        <v>153745.20000000001</v>
      </c>
    </row>
    <row r="330" spans="1:8" x14ac:dyDescent="0.25">
      <c r="A330" s="14" t="s">
        <v>1852</v>
      </c>
      <c r="B330" s="14" t="s">
        <v>1535</v>
      </c>
      <c r="C330" s="15" t="s">
        <v>1892</v>
      </c>
      <c r="D330" s="14" t="s">
        <v>1745</v>
      </c>
      <c r="E330" s="14" t="s">
        <v>1746</v>
      </c>
      <c r="F330" s="14">
        <v>288288</v>
      </c>
      <c r="G330" s="14">
        <v>201801.60000000001</v>
      </c>
      <c r="H330" s="37">
        <f>'Calculation Sheet'!N330</f>
        <v>201801.60000000001</v>
      </c>
    </row>
    <row r="331" spans="1:8" x14ac:dyDescent="0.25">
      <c r="A331" s="14" t="s">
        <v>1852</v>
      </c>
      <c r="B331" s="14">
        <v>88</v>
      </c>
      <c r="C331" s="15" t="s">
        <v>1893</v>
      </c>
      <c r="D331" s="14" t="s">
        <v>1745</v>
      </c>
      <c r="E331" s="14" t="s">
        <v>1746</v>
      </c>
      <c r="F331" s="14">
        <v>6079878</v>
      </c>
      <c r="G331" s="14">
        <v>4255915</v>
      </c>
      <c r="H331" s="37">
        <f>'Calculation Sheet'!N331</f>
        <v>4255915</v>
      </c>
    </row>
    <row r="332" spans="1:8" x14ac:dyDescent="0.25">
      <c r="A332" s="14" t="s">
        <v>1852</v>
      </c>
      <c r="B332" s="14">
        <v>62</v>
      </c>
      <c r="C332" s="15" t="s">
        <v>1894</v>
      </c>
      <c r="D332" s="14" t="s">
        <v>1749</v>
      </c>
      <c r="E332" s="14" t="s">
        <v>1746</v>
      </c>
      <c r="F332" s="14">
        <v>27456</v>
      </c>
      <c r="G332" s="14">
        <v>19219.2</v>
      </c>
      <c r="H332" s="37">
        <f>'Calculation Sheet'!N332</f>
        <v>19219.2</v>
      </c>
    </row>
    <row r="333" spans="1:8" x14ac:dyDescent="0.25">
      <c r="A333" s="14" t="s">
        <v>1852</v>
      </c>
      <c r="B333" s="14" t="s">
        <v>32</v>
      </c>
      <c r="C333" s="15" t="s">
        <v>1895</v>
      </c>
      <c r="D333" s="14" t="s">
        <v>1745</v>
      </c>
      <c r="E333" s="14" t="s">
        <v>1746</v>
      </c>
      <c r="F333" s="14">
        <v>524097</v>
      </c>
      <c r="G333" s="14">
        <v>366868</v>
      </c>
      <c r="H333" s="37">
        <f>'Calculation Sheet'!N333</f>
        <v>366868</v>
      </c>
    </row>
    <row r="334" spans="1:8" x14ac:dyDescent="0.25">
      <c r="A334" s="14" t="s">
        <v>1852</v>
      </c>
      <c r="B334" s="14" t="s">
        <v>407</v>
      </c>
      <c r="C334" s="15" t="s">
        <v>1896</v>
      </c>
      <c r="D334" s="14" t="s">
        <v>1745</v>
      </c>
      <c r="E334" s="14" t="s">
        <v>1746</v>
      </c>
      <c r="F334" s="14">
        <v>6079878</v>
      </c>
      <c r="G334" s="14">
        <v>4255915</v>
      </c>
      <c r="H334" s="37">
        <f>'Calculation Sheet'!N334</f>
        <v>4255915</v>
      </c>
    </row>
    <row r="335" spans="1:8" x14ac:dyDescent="0.25">
      <c r="A335" s="14" t="s">
        <v>1852</v>
      </c>
      <c r="B335" s="14" t="s">
        <v>1569</v>
      </c>
      <c r="C335" s="15" t="s">
        <v>1897</v>
      </c>
      <c r="D335" s="14" t="s">
        <v>1745</v>
      </c>
      <c r="E335" s="14" t="s">
        <v>1746</v>
      </c>
      <c r="F335" s="14">
        <v>157248</v>
      </c>
      <c r="G335" s="14">
        <v>141523.20000000001</v>
      </c>
      <c r="H335" s="37">
        <f>'Calculation Sheet'!N335</f>
        <v>141523.20000000001</v>
      </c>
    </row>
    <row r="336" spans="1:8" x14ac:dyDescent="0.25">
      <c r="A336" s="14" t="s">
        <v>1850</v>
      </c>
      <c r="B336" s="14">
        <v>1</v>
      </c>
      <c r="C336" s="15" t="s">
        <v>1851</v>
      </c>
      <c r="D336" s="14" t="s">
        <v>1745</v>
      </c>
      <c r="E336" s="14" t="s">
        <v>1747</v>
      </c>
      <c r="F336" s="14">
        <v>29940</v>
      </c>
      <c r="G336" s="14">
        <v>20958</v>
      </c>
      <c r="H336" s="37">
        <f>'Calculation Sheet'!N336</f>
        <v>20958</v>
      </c>
    </row>
    <row r="337" spans="1:8" x14ac:dyDescent="0.25">
      <c r="A337" s="14" t="s">
        <v>1852</v>
      </c>
      <c r="B337" s="14" t="s">
        <v>1898</v>
      </c>
      <c r="C337" s="15" t="s">
        <v>1899</v>
      </c>
      <c r="D337" s="14" t="s">
        <v>1745</v>
      </c>
      <c r="E337" s="14" t="s">
        <v>1746</v>
      </c>
      <c r="F337" s="14">
        <v>2306178</v>
      </c>
      <c r="G337" s="14">
        <v>1614325</v>
      </c>
      <c r="H337" s="37">
        <f>'Calculation Sheet'!N337</f>
        <v>1614325</v>
      </c>
    </row>
    <row r="338" spans="1:8" x14ac:dyDescent="0.25">
      <c r="A338" s="14" t="s">
        <v>1852</v>
      </c>
      <c r="B338" s="14" t="s">
        <v>1900</v>
      </c>
      <c r="C338" s="15" t="s">
        <v>1901</v>
      </c>
      <c r="D338" s="14" t="s">
        <v>1745</v>
      </c>
      <c r="E338" s="14" t="s">
        <v>1747</v>
      </c>
      <c r="F338" s="14">
        <v>1597320</v>
      </c>
      <c r="G338" s="14">
        <v>1118124</v>
      </c>
      <c r="H338" s="37">
        <f>'Calculation Sheet'!N338</f>
        <v>1118124</v>
      </c>
    </row>
    <row r="339" spans="1:8" x14ac:dyDescent="0.25">
      <c r="A339" s="14" t="s">
        <v>1852</v>
      </c>
      <c r="B339" s="14">
        <v>1</v>
      </c>
      <c r="C339" s="15" t="s">
        <v>1902</v>
      </c>
      <c r="D339" s="14" t="s">
        <v>1745</v>
      </c>
      <c r="E339" s="14" t="s">
        <v>1746</v>
      </c>
      <c r="F339" s="14">
        <v>4193028</v>
      </c>
      <c r="G339" s="14">
        <v>2935120</v>
      </c>
      <c r="H339" s="37">
        <f>'Calculation Sheet'!N339</f>
        <v>2935120</v>
      </c>
    </row>
    <row r="340" spans="1:8" x14ac:dyDescent="0.25">
      <c r="A340" s="14" t="s">
        <v>1852</v>
      </c>
      <c r="B340" s="14">
        <v>11</v>
      </c>
      <c r="C340" s="15" t="s">
        <v>1903</v>
      </c>
      <c r="D340" s="14" t="s">
        <v>1749</v>
      </c>
      <c r="E340" s="14" t="s">
        <v>1746</v>
      </c>
      <c r="F340" s="14">
        <v>399336</v>
      </c>
      <c r="G340" s="14">
        <v>279535.2</v>
      </c>
      <c r="H340" s="37">
        <f>'Calculation Sheet'!N340</f>
        <v>279535.2</v>
      </c>
    </row>
    <row r="341" spans="1:8" x14ac:dyDescent="0.25">
      <c r="A341" s="14" t="s">
        <v>1852</v>
      </c>
      <c r="B341" s="14" t="s">
        <v>1904</v>
      </c>
      <c r="C341" s="15" t="s">
        <v>1905</v>
      </c>
      <c r="D341" s="14" t="s">
        <v>1745</v>
      </c>
      <c r="E341" s="14" t="s">
        <v>1746</v>
      </c>
      <c r="F341" s="14">
        <v>157248</v>
      </c>
      <c r="G341" s="14">
        <v>141523.20000000001</v>
      </c>
      <c r="H341" s="37">
        <f>'Calculation Sheet'!N341</f>
        <v>141523.20000000001</v>
      </c>
    </row>
    <row r="342" spans="1:8" x14ac:dyDescent="0.25">
      <c r="A342" s="14" t="s">
        <v>1852</v>
      </c>
      <c r="B342" s="14" t="s">
        <v>39</v>
      </c>
      <c r="C342" s="15" t="s">
        <v>1906</v>
      </c>
      <c r="D342" s="14" t="s">
        <v>1745</v>
      </c>
      <c r="E342" s="14" t="s">
        <v>1747</v>
      </c>
      <c r="F342" s="14">
        <v>14475900</v>
      </c>
      <c r="G342" s="14">
        <v>10133130</v>
      </c>
      <c r="H342" s="37">
        <f>'Calculation Sheet'!N342</f>
        <v>10133130</v>
      </c>
    </row>
    <row r="343" spans="1:8" x14ac:dyDescent="0.25">
      <c r="A343" s="14" t="s">
        <v>1852</v>
      </c>
      <c r="B343" s="14" t="s">
        <v>1737</v>
      </c>
      <c r="C343" s="15" t="s">
        <v>1883</v>
      </c>
      <c r="D343" s="14" t="s">
        <v>1745</v>
      </c>
      <c r="E343" s="14" t="s">
        <v>1746</v>
      </c>
      <c r="F343" s="14">
        <v>4559877</v>
      </c>
      <c r="G343" s="14">
        <v>4103889</v>
      </c>
      <c r="H343" s="37">
        <f>'Calculation Sheet'!N343</f>
        <v>4103889</v>
      </c>
    </row>
    <row r="344" spans="1:8" x14ac:dyDescent="0.25">
      <c r="A344" s="14" t="s">
        <v>1852</v>
      </c>
      <c r="B344" s="14" t="s">
        <v>1907</v>
      </c>
      <c r="C344" s="15" t="s">
        <v>1908</v>
      </c>
      <c r="D344" s="14" t="s">
        <v>1749</v>
      </c>
      <c r="E344" s="14" t="s">
        <v>1746</v>
      </c>
      <c r="F344" s="14">
        <v>14976</v>
      </c>
      <c r="G344" s="14">
        <v>13478.4</v>
      </c>
      <c r="H344" s="37">
        <f>'Calculation Sheet'!N344</f>
        <v>13478.4</v>
      </c>
    </row>
    <row r="345" spans="1:8" x14ac:dyDescent="0.25">
      <c r="A345" s="14" t="s">
        <v>1852</v>
      </c>
      <c r="B345" s="14">
        <v>61</v>
      </c>
      <c r="C345" s="15" t="s">
        <v>1909</v>
      </c>
      <c r="D345" s="14" t="s">
        <v>1745</v>
      </c>
      <c r="E345" s="14" t="s">
        <v>1746</v>
      </c>
      <c r="F345" s="14">
        <v>209664</v>
      </c>
      <c r="G345" s="14">
        <v>146764.79999999999</v>
      </c>
      <c r="H345" s="37">
        <f>'Calculation Sheet'!N345</f>
        <v>146764.79999999999</v>
      </c>
    </row>
    <row r="346" spans="1:8" x14ac:dyDescent="0.25">
      <c r="A346" s="14" t="s">
        <v>1852</v>
      </c>
      <c r="B346" s="14" t="s">
        <v>36</v>
      </c>
      <c r="C346" s="15" t="s">
        <v>1910</v>
      </c>
      <c r="D346" s="14" t="s">
        <v>1749</v>
      </c>
      <c r="E346" s="14" t="s">
        <v>1746</v>
      </c>
      <c r="F346" s="14">
        <v>49914</v>
      </c>
      <c r="G346" s="14">
        <v>34939.800000000003</v>
      </c>
      <c r="H346" s="37">
        <f>'Calculation Sheet'!N346</f>
        <v>34939.800000000003</v>
      </c>
    </row>
    <row r="347" spans="1:8" x14ac:dyDescent="0.25">
      <c r="A347" s="14" t="s">
        <v>1852</v>
      </c>
      <c r="B347" s="14" t="s">
        <v>50</v>
      </c>
      <c r="C347" s="15" t="s">
        <v>1911</v>
      </c>
      <c r="D347" s="14" t="s">
        <v>1745</v>
      </c>
      <c r="E347" s="14" t="s">
        <v>1746</v>
      </c>
      <c r="F347" s="14">
        <v>32495841</v>
      </c>
      <c r="G347" s="14">
        <v>22747089</v>
      </c>
      <c r="H347" s="37">
        <f>'Calculation Sheet'!N347</f>
        <v>22747089</v>
      </c>
    </row>
    <row r="348" spans="1:8" x14ac:dyDescent="0.25">
      <c r="A348" s="14" t="s">
        <v>1852</v>
      </c>
      <c r="B348" s="14">
        <v>89</v>
      </c>
      <c r="C348" s="15" t="s">
        <v>1912</v>
      </c>
      <c r="D348" s="14" t="s">
        <v>1745</v>
      </c>
      <c r="E348" s="14" t="s">
        <v>1747</v>
      </c>
      <c r="F348" s="14">
        <v>1597320</v>
      </c>
      <c r="G348" s="14">
        <v>1118124</v>
      </c>
      <c r="H348" s="37">
        <f>'Calculation Sheet'!N348</f>
        <v>1118124</v>
      </c>
    </row>
    <row r="349" spans="1:8" x14ac:dyDescent="0.25">
      <c r="A349" s="14" t="s">
        <v>1852</v>
      </c>
      <c r="B349" s="14" t="s">
        <v>1671</v>
      </c>
      <c r="C349" s="15" t="s">
        <v>1913</v>
      </c>
      <c r="D349" s="14" t="s">
        <v>1749</v>
      </c>
      <c r="E349" s="14" t="s">
        <v>1746</v>
      </c>
      <c r="F349" s="14">
        <v>14976</v>
      </c>
      <c r="G349" s="14">
        <v>13478.4</v>
      </c>
      <c r="H349" s="37">
        <f>'Calculation Sheet'!N349</f>
        <v>13478.4</v>
      </c>
    </row>
    <row r="350" spans="1:8" x14ac:dyDescent="0.25">
      <c r="A350" s="14" t="s">
        <v>1852</v>
      </c>
      <c r="B350" s="14" t="s">
        <v>417</v>
      </c>
      <c r="C350" s="15" t="s">
        <v>1868</v>
      </c>
      <c r="D350" s="14" t="s">
        <v>1745</v>
      </c>
      <c r="E350" s="14" t="s">
        <v>1746</v>
      </c>
      <c r="F350" s="14">
        <v>4559877</v>
      </c>
      <c r="G350" s="14">
        <v>4103889</v>
      </c>
      <c r="H350" s="37">
        <f>'Calculation Sheet'!N350</f>
        <v>4103889</v>
      </c>
    </row>
    <row r="351" spans="1:8" x14ac:dyDescent="0.25">
      <c r="A351" s="14" t="s">
        <v>1852</v>
      </c>
      <c r="B351" s="14">
        <v>57</v>
      </c>
      <c r="C351" s="15" t="s">
        <v>1914</v>
      </c>
      <c r="D351" s="14" t="s">
        <v>1745</v>
      </c>
      <c r="E351" s="14" t="s">
        <v>1747</v>
      </c>
      <c r="F351" s="14">
        <v>199680</v>
      </c>
      <c r="G351" s="14">
        <v>139776</v>
      </c>
      <c r="H351" s="37">
        <f>'Calculation Sheet'!N351</f>
        <v>139776</v>
      </c>
    </row>
    <row r="352" spans="1:8" x14ac:dyDescent="0.25">
      <c r="A352" s="14" t="s">
        <v>1852</v>
      </c>
      <c r="B352" s="14" t="s">
        <v>34</v>
      </c>
      <c r="C352" s="15" t="s">
        <v>1915</v>
      </c>
      <c r="D352" s="14" t="s">
        <v>1745</v>
      </c>
      <c r="E352" s="14" t="s">
        <v>1746</v>
      </c>
      <c r="F352" s="14">
        <v>32495841</v>
      </c>
      <c r="G352" s="14">
        <v>22747089</v>
      </c>
      <c r="H352" s="37">
        <f>'Calculation Sheet'!N352</f>
        <v>22747089</v>
      </c>
    </row>
    <row r="353" spans="1:8" x14ac:dyDescent="0.25">
      <c r="A353" s="14" t="s">
        <v>1852</v>
      </c>
      <c r="B353" s="14">
        <v>83</v>
      </c>
      <c r="C353" s="15" t="s">
        <v>1916</v>
      </c>
      <c r="D353" s="14" t="s">
        <v>1745</v>
      </c>
      <c r="E353" s="14" t="s">
        <v>1746</v>
      </c>
      <c r="F353" s="14">
        <v>8359848</v>
      </c>
      <c r="G353" s="14">
        <v>5851894</v>
      </c>
      <c r="H353" s="37">
        <f>'Calculation Sheet'!N353</f>
        <v>5851894</v>
      </c>
    </row>
    <row r="354" spans="1:8" x14ac:dyDescent="0.25">
      <c r="A354" s="14" t="s">
        <v>1852</v>
      </c>
      <c r="B354" s="14" t="s">
        <v>122</v>
      </c>
      <c r="C354" s="15" t="s">
        <v>1917</v>
      </c>
      <c r="D354" s="14" t="s">
        <v>1745</v>
      </c>
      <c r="E354" s="14" t="s">
        <v>1746</v>
      </c>
      <c r="F354" s="14">
        <v>524097</v>
      </c>
      <c r="G354" s="14">
        <v>366868</v>
      </c>
      <c r="H354" s="37">
        <f>'Calculation Sheet'!N354</f>
        <v>366868</v>
      </c>
    </row>
    <row r="355" spans="1:8" x14ac:dyDescent="0.25">
      <c r="A355" s="14" t="s">
        <v>1850</v>
      </c>
      <c r="B355" s="14" t="s">
        <v>122</v>
      </c>
      <c r="C355" s="15" t="s">
        <v>1918</v>
      </c>
      <c r="D355" s="14" t="s">
        <v>1745</v>
      </c>
      <c r="E355" s="14" t="s">
        <v>1747</v>
      </c>
      <c r="F355" s="14">
        <v>83880</v>
      </c>
      <c r="G355" s="14">
        <v>58716</v>
      </c>
      <c r="H355" s="37">
        <f>'Calculation Sheet'!N355</f>
        <v>58716</v>
      </c>
    </row>
    <row r="356" spans="1:8" x14ac:dyDescent="0.25">
      <c r="A356" s="14" t="s">
        <v>1852</v>
      </c>
      <c r="B356" s="14" t="s">
        <v>1595</v>
      </c>
      <c r="C356" s="15" t="s">
        <v>1859</v>
      </c>
      <c r="D356" s="14" t="s">
        <v>1745</v>
      </c>
      <c r="E356" s="14" t="s">
        <v>1747</v>
      </c>
      <c r="F356" s="14">
        <v>274560</v>
      </c>
      <c r="G356" s="14">
        <v>192192</v>
      </c>
      <c r="H356" s="37">
        <f>'Calculation Sheet'!N356</f>
        <v>192192</v>
      </c>
    </row>
    <row r="357" spans="1:8" x14ac:dyDescent="0.25">
      <c r="A357" s="14" t="s">
        <v>1852</v>
      </c>
      <c r="B357" s="14">
        <v>50</v>
      </c>
      <c r="C357" s="15" t="s">
        <v>1919</v>
      </c>
      <c r="D357" s="14" t="s">
        <v>1745</v>
      </c>
      <c r="E357" s="14" t="s">
        <v>1746</v>
      </c>
      <c r="F357" s="14">
        <v>17872722</v>
      </c>
      <c r="G357" s="14">
        <v>12510905</v>
      </c>
      <c r="H357" s="37">
        <f>'Calculation Sheet'!N357</f>
        <v>12510905</v>
      </c>
    </row>
    <row r="358" spans="1:8" x14ac:dyDescent="0.25">
      <c r="A358" s="14" t="s">
        <v>1852</v>
      </c>
      <c r="B358" s="14" t="s">
        <v>1550</v>
      </c>
      <c r="C358" s="15" t="s">
        <v>1920</v>
      </c>
      <c r="D358" s="14" t="s">
        <v>1749</v>
      </c>
      <c r="E358" s="14" t="s">
        <v>1746</v>
      </c>
      <c r="F358" s="14">
        <v>14976</v>
      </c>
      <c r="G358" s="14">
        <v>13478.4</v>
      </c>
      <c r="H358" s="37">
        <f>'Calculation Sheet'!N358</f>
        <v>13478.4</v>
      </c>
    </row>
    <row r="359" spans="1:8" x14ac:dyDescent="0.25">
      <c r="A359" s="14" t="s">
        <v>1852</v>
      </c>
      <c r="B359" s="14">
        <v>56</v>
      </c>
      <c r="C359" s="15" t="s">
        <v>1921</v>
      </c>
      <c r="D359" s="14" t="s">
        <v>1745</v>
      </c>
      <c r="E359" s="14" t="s">
        <v>1747</v>
      </c>
      <c r="F359" s="14">
        <v>12379380</v>
      </c>
      <c r="G359" s="14">
        <v>8665566</v>
      </c>
      <c r="H359" s="37">
        <f>'Calculation Sheet'!N359</f>
        <v>8665566</v>
      </c>
    </row>
    <row r="360" spans="1:8" x14ac:dyDescent="0.25">
      <c r="A360" s="14" t="s">
        <v>1852</v>
      </c>
      <c r="B360" s="14" t="s">
        <v>1552</v>
      </c>
      <c r="C360" s="15" t="s">
        <v>1922</v>
      </c>
      <c r="D360" s="14" t="s">
        <v>1749</v>
      </c>
      <c r="E360" s="14" t="s">
        <v>1746</v>
      </c>
      <c r="F360" s="14">
        <v>219636</v>
      </c>
      <c r="G360" s="14">
        <v>153745.20000000001</v>
      </c>
      <c r="H360" s="37">
        <f>'Calculation Sheet'!N360</f>
        <v>153745.20000000001</v>
      </c>
    </row>
    <row r="361" spans="1:8" x14ac:dyDescent="0.25">
      <c r="A361" s="14" t="s">
        <v>1852</v>
      </c>
      <c r="B361" s="14">
        <v>6</v>
      </c>
      <c r="C361" s="15" t="s">
        <v>1923</v>
      </c>
      <c r="D361" s="14" t="s">
        <v>1745</v>
      </c>
      <c r="E361" s="14" t="s">
        <v>1747</v>
      </c>
      <c r="F361" s="14">
        <v>30948420</v>
      </c>
      <c r="G361" s="14">
        <v>21663894</v>
      </c>
      <c r="H361" s="37">
        <f>'Calculation Sheet'!N361</f>
        <v>21663894</v>
      </c>
    </row>
    <row r="362" spans="1:8" x14ac:dyDescent="0.25">
      <c r="A362" s="14" t="s">
        <v>1852</v>
      </c>
      <c r="B362" s="14" t="s">
        <v>1924</v>
      </c>
      <c r="C362" s="15" t="s">
        <v>1925</v>
      </c>
      <c r="D362" s="14" t="s">
        <v>1749</v>
      </c>
      <c r="E362" s="14" t="s">
        <v>1746</v>
      </c>
      <c r="F362" s="14">
        <v>27456</v>
      </c>
      <c r="G362" s="14">
        <v>19219.2</v>
      </c>
      <c r="H362" s="37">
        <f>'Calculation Sheet'!N362</f>
        <v>19219.2</v>
      </c>
    </row>
    <row r="363" spans="1:8" x14ac:dyDescent="0.25">
      <c r="A363" s="14" t="s">
        <v>1852</v>
      </c>
      <c r="B363" s="14" t="s">
        <v>1566</v>
      </c>
      <c r="C363" s="15" t="s">
        <v>1891</v>
      </c>
      <c r="D363" s="14" t="s">
        <v>1745</v>
      </c>
      <c r="E363" s="14" t="s">
        <v>1747</v>
      </c>
      <c r="F363" s="14">
        <v>2196360</v>
      </c>
      <c r="G363" s="14">
        <v>1537452</v>
      </c>
      <c r="H363" s="37">
        <f>'Calculation Sheet'!N363</f>
        <v>1537452</v>
      </c>
    </row>
    <row r="364" spans="1:8" x14ac:dyDescent="0.25">
      <c r="A364" s="14" t="s">
        <v>1852</v>
      </c>
      <c r="B364" s="14" t="s">
        <v>1881</v>
      </c>
      <c r="C364" s="15" t="s">
        <v>1882</v>
      </c>
      <c r="D364" s="14" t="s">
        <v>1749</v>
      </c>
      <c r="E364" s="14" t="s">
        <v>1746</v>
      </c>
      <c r="F364" s="14">
        <v>27456</v>
      </c>
      <c r="G364" s="14">
        <v>19219.2</v>
      </c>
      <c r="H364" s="37">
        <f>'Calculation Sheet'!N364</f>
        <v>19219.2</v>
      </c>
    </row>
    <row r="365" spans="1:8" x14ac:dyDescent="0.25">
      <c r="A365" s="14" t="s">
        <v>1852</v>
      </c>
      <c r="B365" s="14" t="s">
        <v>1904</v>
      </c>
      <c r="C365" s="15" t="s">
        <v>1905</v>
      </c>
      <c r="D365" s="14" t="s">
        <v>1745</v>
      </c>
      <c r="E365" s="14" t="s">
        <v>1747</v>
      </c>
      <c r="F365" s="14">
        <v>149760</v>
      </c>
      <c r="G365" s="14">
        <v>134784</v>
      </c>
      <c r="H365" s="37">
        <f>'Calculation Sheet'!N365</f>
        <v>134784</v>
      </c>
    </row>
    <row r="366" spans="1:8" x14ac:dyDescent="0.25">
      <c r="A366" s="14" t="s">
        <v>1852</v>
      </c>
      <c r="B366" s="14">
        <v>65</v>
      </c>
      <c r="C366" s="15" t="s">
        <v>1926</v>
      </c>
      <c r="D366" s="14" t="s">
        <v>1749</v>
      </c>
      <c r="E366" s="14" t="s">
        <v>1746</v>
      </c>
      <c r="F366" s="14">
        <v>27456</v>
      </c>
      <c r="G366" s="14">
        <v>19219.2</v>
      </c>
      <c r="H366" s="37">
        <f>'Calculation Sheet'!N366</f>
        <v>19219.2</v>
      </c>
    </row>
    <row r="367" spans="1:8" x14ac:dyDescent="0.25">
      <c r="A367" s="14" t="s">
        <v>1852</v>
      </c>
      <c r="B367" s="14" t="s">
        <v>1545</v>
      </c>
      <c r="C367" s="15" t="s">
        <v>1927</v>
      </c>
      <c r="D367" s="14" t="s">
        <v>1745</v>
      </c>
      <c r="E367" s="14" t="s">
        <v>1747</v>
      </c>
      <c r="F367" s="14">
        <v>274560</v>
      </c>
      <c r="G367" s="14">
        <v>192192</v>
      </c>
      <c r="H367" s="37">
        <f>'Calculation Sheet'!N367</f>
        <v>192192</v>
      </c>
    </row>
    <row r="368" spans="1:8" x14ac:dyDescent="0.25">
      <c r="A368" s="14" t="s">
        <v>1852</v>
      </c>
      <c r="B368" s="14">
        <v>67</v>
      </c>
      <c r="C368" s="15" t="s">
        <v>1864</v>
      </c>
      <c r="D368" s="14" t="s">
        <v>1745</v>
      </c>
      <c r="E368" s="14" t="s">
        <v>1747</v>
      </c>
      <c r="F368" s="14">
        <v>199680</v>
      </c>
      <c r="G368" s="14">
        <v>139776</v>
      </c>
      <c r="H368" s="37">
        <f>'Calculation Sheet'!N368</f>
        <v>139776</v>
      </c>
    </row>
    <row r="369" spans="1:8" x14ac:dyDescent="0.25">
      <c r="A369" s="14" t="s">
        <v>1852</v>
      </c>
      <c r="B369" s="14" t="s">
        <v>28</v>
      </c>
      <c r="C369" s="15" t="s">
        <v>1928</v>
      </c>
      <c r="D369" s="14" t="s">
        <v>1745</v>
      </c>
      <c r="E369" s="14" t="s">
        <v>1746</v>
      </c>
      <c r="F369" s="14">
        <v>524097</v>
      </c>
      <c r="G369" s="14">
        <v>366868</v>
      </c>
      <c r="H369" s="37">
        <f>'Calculation Sheet'!N369</f>
        <v>366868</v>
      </c>
    </row>
    <row r="370" spans="1:8" x14ac:dyDescent="0.25">
      <c r="A370" s="14" t="s">
        <v>1852</v>
      </c>
      <c r="B370" s="14">
        <v>13</v>
      </c>
      <c r="C370" s="15" t="s">
        <v>1863</v>
      </c>
      <c r="D370" s="14" t="s">
        <v>1749</v>
      </c>
      <c r="E370" s="14" t="s">
        <v>1746</v>
      </c>
      <c r="F370" s="14">
        <v>399336</v>
      </c>
      <c r="G370" s="14">
        <v>279535.2</v>
      </c>
      <c r="H370" s="37">
        <f>'Calculation Sheet'!N370</f>
        <v>279535.2</v>
      </c>
    </row>
    <row r="371" spans="1:8" x14ac:dyDescent="0.25">
      <c r="A371" s="14" t="s">
        <v>1852</v>
      </c>
      <c r="B371" s="14" t="s">
        <v>1583</v>
      </c>
      <c r="C371" s="15" t="s">
        <v>1861</v>
      </c>
      <c r="D371" s="14" t="s">
        <v>1745</v>
      </c>
      <c r="E371" s="14" t="s">
        <v>1747</v>
      </c>
      <c r="F371" s="14">
        <v>12379380</v>
      </c>
      <c r="G371" s="14">
        <v>8665566</v>
      </c>
      <c r="H371" s="37">
        <f>'Calculation Sheet'!N371</f>
        <v>8665566</v>
      </c>
    </row>
    <row r="372" spans="1:8" x14ac:dyDescent="0.25">
      <c r="A372" s="14" t="s">
        <v>1852</v>
      </c>
      <c r="B372" s="14" t="s">
        <v>89</v>
      </c>
      <c r="C372" s="15" t="s">
        <v>1929</v>
      </c>
      <c r="D372" s="14" t="s">
        <v>1749</v>
      </c>
      <c r="E372" s="14" t="s">
        <v>1746</v>
      </c>
      <c r="F372" s="14">
        <v>3094842</v>
      </c>
      <c r="G372" s="14">
        <v>2166389</v>
      </c>
      <c r="H372" s="37">
        <f>'Calculation Sheet'!N372</f>
        <v>2166389</v>
      </c>
    </row>
    <row r="373" spans="1:8" x14ac:dyDescent="0.25">
      <c r="A373" s="14" t="s">
        <v>1852</v>
      </c>
      <c r="B373" s="14" t="s">
        <v>1573</v>
      </c>
      <c r="C373" s="15" t="s">
        <v>1930</v>
      </c>
      <c r="D373" s="14" t="s">
        <v>1749</v>
      </c>
      <c r="E373" s="14" t="s">
        <v>1746</v>
      </c>
      <c r="F373" s="14">
        <v>27456</v>
      </c>
      <c r="G373" s="14">
        <v>19219.2</v>
      </c>
      <c r="H373" s="37">
        <f>'Calculation Sheet'!N373</f>
        <v>19219.2</v>
      </c>
    </row>
    <row r="374" spans="1:8" x14ac:dyDescent="0.25">
      <c r="A374" s="14" t="s">
        <v>1852</v>
      </c>
      <c r="B374" s="14" t="s">
        <v>1649</v>
      </c>
      <c r="C374" s="15" t="s">
        <v>1931</v>
      </c>
      <c r="D374" s="14" t="s">
        <v>1745</v>
      </c>
      <c r="E374" s="14" t="s">
        <v>1746</v>
      </c>
      <c r="F374" s="14">
        <v>288288</v>
      </c>
      <c r="G374" s="14">
        <v>201801.60000000001</v>
      </c>
      <c r="H374" s="37">
        <f>'Calculation Sheet'!N374</f>
        <v>201801.60000000001</v>
      </c>
    </row>
    <row r="375" spans="1:8" x14ac:dyDescent="0.25">
      <c r="A375" s="14" t="s">
        <v>1852</v>
      </c>
      <c r="B375" s="14" t="s">
        <v>402</v>
      </c>
      <c r="C375" s="15" t="s">
        <v>1932</v>
      </c>
      <c r="D375" s="14" t="s">
        <v>1749</v>
      </c>
      <c r="E375" s="14" t="s">
        <v>1746</v>
      </c>
      <c r="F375" s="14">
        <v>796176</v>
      </c>
      <c r="G375" s="14">
        <v>557323.19999999995</v>
      </c>
      <c r="H375" s="37">
        <f>'Calculation Sheet'!N375</f>
        <v>557323.19999999995</v>
      </c>
    </row>
    <row r="376" spans="1:8" x14ac:dyDescent="0.25">
      <c r="A376" s="14" t="s">
        <v>1852</v>
      </c>
      <c r="B376" s="14" t="s">
        <v>1898</v>
      </c>
      <c r="C376" s="15" t="s">
        <v>1899</v>
      </c>
      <c r="D376" s="14" t="s">
        <v>1749</v>
      </c>
      <c r="E376" s="14" t="s">
        <v>1746</v>
      </c>
      <c r="F376" s="14">
        <v>219636</v>
      </c>
      <c r="G376" s="14">
        <v>153745.20000000001</v>
      </c>
      <c r="H376" s="37">
        <f>'Calculation Sheet'!N376</f>
        <v>153745.20000000001</v>
      </c>
    </row>
    <row r="377" spans="1:8" x14ac:dyDescent="0.25">
      <c r="A377" s="14" t="s">
        <v>1852</v>
      </c>
      <c r="B377" s="14" t="s">
        <v>1655</v>
      </c>
      <c r="C377" s="15" t="s">
        <v>1933</v>
      </c>
      <c r="D377" s="14" t="s">
        <v>1745</v>
      </c>
      <c r="E377" s="14" t="s">
        <v>1746</v>
      </c>
      <c r="F377" s="14">
        <v>209664</v>
      </c>
      <c r="G377" s="14">
        <v>146764.79999999999</v>
      </c>
      <c r="H377" s="37">
        <f>'Calculation Sheet'!N377</f>
        <v>146764.79999999999</v>
      </c>
    </row>
    <row r="378" spans="1:8" x14ac:dyDescent="0.25">
      <c r="A378" s="14" t="s">
        <v>1852</v>
      </c>
      <c r="B378" s="14">
        <v>80</v>
      </c>
      <c r="C378" s="15" t="s">
        <v>1934</v>
      </c>
      <c r="D378" s="14" t="s">
        <v>1745</v>
      </c>
      <c r="E378" s="14" t="s">
        <v>1746</v>
      </c>
      <c r="F378" s="14">
        <v>6079878</v>
      </c>
      <c r="G378" s="14">
        <v>4255915</v>
      </c>
      <c r="H378" s="37">
        <f>'Calculation Sheet'!N378</f>
        <v>4255915</v>
      </c>
    </row>
    <row r="379" spans="1:8" x14ac:dyDescent="0.25">
      <c r="A379" s="14" t="s">
        <v>1852</v>
      </c>
      <c r="B379" s="14">
        <v>7</v>
      </c>
      <c r="C379" s="15" t="s">
        <v>1935</v>
      </c>
      <c r="D379" s="14" t="s">
        <v>1745</v>
      </c>
      <c r="E379" s="14" t="s">
        <v>1747</v>
      </c>
      <c r="F379" s="14">
        <v>3993360</v>
      </c>
      <c r="G379" s="14">
        <v>2795352</v>
      </c>
      <c r="H379" s="37">
        <f>'Calculation Sheet'!N379</f>
        <v>2795352</v>
      </c>
    </row>
    <row r="380" spans="1:8" x14ac:dyDescent="0.25">
      <c r="A380" s="14" t="s">
        <v>1850</v>
      </c>
      <c r="B380" s="14">
        <v>1</v>
      </c>
      <c r="C380" s="15" t="s">
        <v>1851</v>
      </c>
      <c r="D380" s="14" t="s">
        <v>1749</v>
      </c>
      <c r="E380" s="14" t="s">
        <v>1746</v>
      </c>
      <c r="F380" s="14">
        <v>2994</v>
      </c>
      <c r="G380" s="14">
        <v>2095.8000000000002</v>
      </c>
      <c r="H380" s="37">
        <f>'Calculation Sheet'!N380</f>
        <v>2095.8000000000002</v>
      </c>
    </row>
    <row r="381" spans="1:8" x14ac:dyDescent="0.25">
      <c r="A381" s="14" t="s">
        <v>1852</v>
      </c>
      <c r="B381" s="14">
        <v>52</v>
      </c>
      <c r="C381" s="15" t="s">
        <v>1855</v>
      </c>
      <c r="D381" s="14" t="s">
        <v>1745</v>
      </c>
      <c r="E381" s="14" t="s">
        <v>1746</v>
      </c>
      <c r="F381" s="14">
        <v>209664</v>
      </c>
      <c r="G381" s="14">
        <v>146764.79999999999</v>
      </c>
      <c r="H381" s="37">
        <f>'Calculation Sheet'!N381</f>
        <v>146764.79999999999</v>
      </c>
    </row>
    <row r="382" spans="1:8" x14ac:dyDescent="0.25">
      <c r="A382" s="14" t="s">
        <v>1852</v>
      </c>
      <c r="B382" s="14" t="s">
        <v>1564</v>
      </c>
      <c r="C382" s="15" t="s">
        <v>1936</v>
      </c>
      <c r="D382" s="14" t="s">
        <v>1745</v>
      </c>
      <c r="E382" s="14" t="s">
        <v>1747</v>
      </c>
      <c r="F382" s="14">
        <v>274560</v>
      </c>
      <c r="G382" s="14">
        <v>192192</v>
      </c>
      <c r="H382" s="37">
        <f>'Calculation Sheet'!N382</f>
        <v>192192</v>
      </c>
    </row>
    <row r="383" spans="1:8" x14ac:dyDescent="0.25">
      <c r="A383" s="14" t="s">
        <v>1852</v>
      </c>
      <c r="B383" s="14" t="s">
        <v>414</v>
      </c>
      <c r="C383" s="15" t="s">
        <v>1937</v>
      </c>
      <c r="D383" s="14" t="s">
        <v>1745</v>
      </c>
      <c r="E383" s="14" t="s">
        <v>1747</v>
      </c>
      <c r="F383" s="14">
        <v>5790360</v>
      </c>
      <c r="G383" s="14">
        <v>4053252</v>
      </c>
      <c r="H383" s="37">
        <f>'Calculation Sheet'!N383</f>
        <v>4053252</v>
      </c>
    </row>
    <row r="384" spans="1:8" x14ac:dyDescent="0.25">
      <c r="A384" s="14" t="s">
        <v>1852</v>
      </c>
      <c r="B384" s="14">
        <v>7</v>
      </c>
      <c r="C384" s="15" t="s">
        <v>1935</v>
      </c>
      <c r="D384" s="14" t="s">
        <v>1749</v>
      </c>
      <c r="E384" s="14" t="s">
        <v>1746</v>
      </c>
      <c r="F384" s="14">
        <v>399336</v>
      </c>
      <c r="G384" s="14">
        <v>279535.2</v>
      </c>
      <c r="H384" s="37">
        <f>'Calculation Sheet'!N384</f>
        <v>279535.2</v>
      </c>
    </row>
    <row r="385" spans="1:8" x14ac:dyDescent="0.25">
      <c r="A385" s="14" t="s">
        <v>1852</v>
      </c>
      <c r="B385" s="14">
        <v>63</v>
      </c>
      <c r="C385" s="15" t="s">
        <v>1938</v>
      </c>
      <c r="D385" s="14" t="s">
        <v>1745</v>
      </c>
      <c r="E385" s="14" t="s">
        <v>1746</v>
      </c>
      <c r="F385" s="14">
        <v>157248</v>
      </c>
      <c r="G385" s="14">
        <v>141523.20000000001</v>
      </c>
      <c r="H385" s="37">
        <f>'Calculation Sheet'!N385</f>
        <v>141523.20000000001</v>
      </c>
    </row>
    <row r="386" spans="1:8" x14ac:dyDescent="0.25">
      <c r="A386" s="14" t="s">
        <v>1852</v>
      </c>
      <c r="B386" s="14" t="s">
        <v>1939</v>
      </c>
      <c r="C386" s="15" t="s">
        <v>1940</v>
      </c>
      <c r="D386" s="14" t="s">
        <v>1745</v>
      </c>
      <c r="E386" s="14" t="s">
        <v>1746</v>
      </c>
      <c r="F386" s="14">
        <v>1257921</v>
      </c>
      <c r="G386" s="14">
        <v>1132129</v>
      </c>
      <c r="H386" s="37">
        <f>'Calculation Sheet'!N386</f>
        <v>1132129</v>
      </c>
    </row>
    <row r="387" spans="1:8" x14ac:dyDescent="0.25">
      <c r="A387" s="14" t="s">
        <v>1852</v>
      </c>
      <c r="B387" s="14">
        <v>79</v>
      </c>
      <c r="C387" s="15" t="s">
        <v>1880</v>
      </c>
      <c r="D387" s="14" t="s">
        <v>1749</v>
      </c>
      <c r="E387" s="14" t="s">
        <v>1746</v>
      </c>
      <c r="F387" s="14">
        <v>1237938</v>
      </c>
      <c r="G387" s="14">
        <v>866556.6</v>
      </c>
      <c r="H387" s="37">
        <f>'Calculation Sheet'!N387</f>
        <v>866556.6</v>
      </c>
    </row>
    <row r="388" spans="1:8" x14ac:dyDescent="0.25">
      <c r="A388" s="14" t="s">
        <v>1852</v>
      </c>
      <c r="B388" s="14" t="s">
        <v>1941</v>
      </c>
      <c r="C388" s="15" t="s">
        <v>1942</v>
      </c>
      <c r="D388" s="14" t="s">
        <v>1745</v>
      </c>
      <c r="E388" s="14" t="s">
        <v>1747</v>
      </c>
      <c r="F388" s="14">
        <v>1597320</v>
      </c>
      <c r="G388" s="14">
        <v>1118124</v>
      </c>
      <c r="H388" s="37">
        <f>'Calculation Sheet'!N388</f>
        <v>1118124</v>
      </c>
    </row>
    <row r="389" spans="1:8" x14ac:dyDescent="0.25">
      <c r="A389" s="14" t="s">
        <v>1852</v>
      </c>
      <c r="B389" s="14" t="s">
        <v>29</v>
      </c>
      <c r="C389" s="15" t="s">
        <v>1943</v>
      </c>
      <c r="D389" s="14" t="s">
        <v>1745</v>
      </c>
      <c r="E389" s="14" t="s">
        <v>1746</v>
      </c>
      <c r="F389" s="14">
        <v>15199695</v>
      </c>
      <c r="G389" s="14">
        <v>10639787</v>
      </c>
      <c r="H389" s="37">
        <f>'Calculation Sheet'!N389</f>
        <v>10639787</v>
      </c>
    </row>
    <row r="390" spans="1:8" x14ac:dyDescent="0.25">
      <c r="A390" s="14" t="s">
        <v>1852</v>
      </c>
      <c r="B390" s="14" t="s">
        <v>1550</v>
      </c>
      <c r="C390" s="15" t="s">
        <v>1920</v>
      </c>
      <c r="D390" s="14" t="s">
        <v>1745</v>
      </c>
      <c r="E390" s="14" t="s">
        <v>1747</v>
      </c>
      <c r="F390" s="14">
        <v>149760</v>
      </c>
      <c r="G390" s="14">
        <v>134784</v>
      </c>
      <c r="H390" s="37">
        <f>'Calculation Sheet'!N390</f>
        <v>134784</v>
      </c>
    </row>
    <row r="391" spans="1:8" x14ac:dyDescent="0.25">
      <c r="A391" s="14" t="s">
        <v>1852</v>
      </c>
      <c r="B391" s="14" t="s">
        <v>1601</v>
      </c>
      <c r="C391" s="15" t="s">
        <v>1887</v>
      </c>
      <c r="D391" s="14" t="s">
        <v>1745</v>
      </c>
      <c r="E391" s="14" t="s">
        <v>1746</v>
      </c>
      <c r="F391" s="14">
        <v>157248</v>
      </c>
      <c r="G391" s="14">
        <v>141523.20000000001</v>
      </c>
      <c r="H391" s="37">
        <f>'Calculation Sheet'!N391</f>
        <v>141523.20000000001</v>
      </c>
    </row>
    <row r="392" spans="1:8" x14ac:dyDescent="0.25">
      <c r="A392" s="14" t="s">
        <v>1852</v>
      </c>
      <c r="B392" s="14" t="s">
        <v>410</v>
      </c>
      <c r="C392" s="15" t="s">
        <v>1944</v>
      </c>
      <c r="D392" s="14" t="s">
        <v>1745</v>
      </c>
      <c r="E392" s="14" t="s">
        <v>1746</v>
      </c>
      <c r="F392" s="14">
        <v>6079878</v>
      </c>
      <c r="G392" s="14">
        <v>4255915</v>
      </c>
      <c r="H392" s="37">
        <f>'Calculation Sheet'!N392</f>
        <v>4255915</v>
      </c>
    </row>
    <row r="393" spans="1:8" x14ac:dyDescent="0.25">
      <c r="A393" s="14" t="s">
        <v>1852</v>
      </c>
      <c r="B393" s="14" t="s">
        <v>1945</v>
      </c>
      <c r="C393" s="15" t="s">
        <v>1946</v>
      </c>
      <c r="D393" s="14" t="s">
        <v>1745</v>
      </c>
      <c r="E393" s="14" t="s">
        <v>1746</v>
      </c>
      <c r="F393" s="14">
        <v>1257921</v>
      </c>
      <c r="G393" s="14">
        <v>1132129</v>
      </c>
      <c r="H393" s="37">
        <f>'Calculation Sheet'!N393</f>
        <v>1132129</v>
      </c>
    </row>
    <row r="394" spans="1:8" ht="30" x14ac:dyDescent="0.25">
      <c r="A394" s="14" t="s">
        <v>1850</v>
      </c>
      <c r="B394" s="14" t="s">
        <v>50</v>
      </c>
      <c r="C394" s="15" t="s">
        <v>1947</v>
      </c>
      <c r="D394" s="14" t="s">
        <v>1745</v>
      </c>
      <c r="E394" s="14" t="s">
        <v>1746</v>
      </c>
      <c r="F394" s="14">
        <v>15750</v>
      </c>
      <c r="G394" s="14">
        <v>14175</v>
      </c>
      <c r="H394" s="37">
        <f>'Calculation Sheet'!N394</f>
        <v>14175</v>
      </c>
    </row>
    <row r="395" spans="1:8" x14ac:dyDescent="0.25">
      <c r="A395" s="14" t="s">
        <v>1850</v>
      </c>
      <c r="B395" s="14">
        <v>2</v>
      </c>
      <c r="C395" s="15" t="s">
        <v>1948</v>
      </c>
      <c r="D395" s="14" t="s">
        <v>1749</v>
      </c>
      <c r="E395" s="14" t="s">
        <v>1746</v>
      </c>
      <c r="F395" s="14">
        <v>20964</v>
      </c>
      <c r="G395" s="14">
        <v>14674.8</v>
      </c>
      <c r="H395" s="37">
        <f>'Calculation Sheet'!N395</f>
        <v>14674.8</v>
      </c>
    </row>
    <row r="396" spans="1:8" x14ac:dyDescent="0.25">
      <c r="A396" s="14" t="s">
        <v>1852</v>
      </c>
      <c r="B396" s="14" t="s">
        <v>118</v>
      </c>
      <c r="C396" s="15" t="s">
        <v>1862</v>
      </c>
      <c r="D396" s="14" t="s">
        <v>1745</v>
      </c>
      <c r="E396" s="14" t="s">
        <v>1746</v>
      </c>
      <c r="F396" s="14">
        <v>15199695</v>
      </c>
      <c r="G396" s="14">
        <v>10639787</v>
      </c>
      <c r="H396" s="37">
        <f>'Calculation Sheet'!N396</f>
        <v>10639787</v>
      </c>
    </row>
    <row r="397" spans="1:8" x14ac:dyDescent="0.25">
      <c r="A397" s="14" t="s">
        <v>1852</v>
      </c>
      <c r="B397" s="14" t="s">
        <v>1949</v>
      </c>
      <c r="C397" s="15" t="s">
        <v>1950</v>
      </c>
      <c r="D397" s="14" t="s">
        <v>1749</v>
      </c>
      <c r="E397" s="14" t="s">
        <v>1746</v>
      </c>
      <c r="F397" s="14">
        <v>19968</v>
      </c>
      <c r="G397" s="14">
        <v>13977.6</v>
      </c>
      <c r="H397" s="37">
        <f>'Calculation Sheet'!N397</f>
        <v>13977.6</v>
      </c>
    </row>
    <row r="398" spans="1:8" x14ac:dyDescent="0.25">
      <c r="A398" s="14" t="s">
        <v>1852</v>
      </c>
      <c r="B398" s="14" t="s">
        <v>50</v>
      </c>
      <c r="C398" s="15" t="s">
        <v>1911</v>
      </c>
      <c r="D398" s="14" t="s">
        <v>1745</v>
      </c>
      <c r="E398" s="14" t="s">
        <v>1747</v>
      </c>
      <c r="F398" s="14">
        <v>30948420</v>
      </c>
      <c r="G398" s="14">
        <v>21663894</v>
      </c>
      <c r="H398" s="37">
        <f>'Calculation Sheet'!N398</f>
        <v>21663894</v>
      </c>
    </row>
    <row r="399" spans="1:8" x14ac:dyDescent="0.25">
      <c r="A399" s="14" t="s">
        <v>1852</v>
      </c>
      <c r="B399" s="14">
        <v>85</v>
      </c>
      <c r="C399" s="15" t="s">
        <v>1951</v>
      </c>
      <c r="D399" s="14" t="s">
        <v>1749</v>
      </c>
      <c r="E399" s="14" t="s">
        <v>1746</v>
      </c>
      <c r="F399" s="14">
        <v>434274</v>
      </c>
      <c r="G399" s="14">
        <v>390846.6</v>
      </c>
      <c r="H399" s="37">
        <f>'Calculation Sheet'!N399</f>
        <v>390846.6</v>
      </c>
    </row>
    <row r="400" spans="1:8" x14ac:dyDescent="0.25">
      <c r="A400" s="14" t="s">
        <v>1852</v>
      </c>
      <c r="B400" s="14" t="s">
        <v>1671</v>
      </c>
      <c r="C400" s="15" t="s">
        <v>1913</v>
      </c>
      <c r="D400" s="14" t="s">
        <v>1745</v>
      </c>
      <c r="E400" s="14" t="s">
        <v>1747</v>
      </c>
      <c r="F400" s="14">
        <v>149760</v>
      </c>
      <c r="G400" s="14">
        <v>134784</v>
      </c>
      <c r="H400" s="37">
        <f>'Calculation Sheet'!N400</f>
        <v>134784</v>
      </c>
    </row>
    <row r="401" spans="1:8" x14ac:dyDescent="0.25">
      <c r="A401" s="14" t="s">
        <v>1852</v>
      </c>
      <c r="B401" s="14" t="s">
        <v>1545</v>
      </c>
      <c r="C401" s="15" t="s">
        <v>1927</v>
      </c>
      <c r="D401" s="14" t="s">
        <v>1749</v>
      </c>
      <c r="E401" s="14" t="s">
        <v>1746</v>
      </c>
      <c r="F401" s="14">
        <v>27456</v>
      </c>
      <c r="G401" s="14">
        <v>19219.2</v>
      </c>
      <c r="H401" s="37">
        <f>'Calculation Sheet'!N401</f>
        <v>19219.2</v>
      </c>
    </row>
    <row r="402" spans="1:8" x14ac:dyDescent="0.25">
      <c r="A402" s="14" t="s">
        <v>1852</v>
      </c>
      <c r="B402" s="14">
        <v>16</v>
      </c>
      <c r="C402" s="15" t="s">
        <v>1952</v>
      </c>
      <c r="D402" s="14" t="s">
        <v>1745</v>
      </c>
      <c r="E402" s="14" t="s">
        <v>1747</v>
      </c>
      <c r="F402" s="14">
        <v>499140</v>
      </c>
      <c r="G402" s="14">
        <v>349398</v>
      </c>
      <c r="H402" s="37">
        <f>'Calculation Sheet'!N402</f>
        <v>349398</v>
      </c>
    </row>
    <row r="403" spans="1:8" x14ac:dyDescent="0.25">
      <c r="A403" s="14" t="s">
        <v>1852</v>
      </c>
      <c r="B403" s="14">
        <v>70</v>
      </c>
      <c r="C403" s="15" t="s">
        <v>1953</v>
      </c>
      <c r="D403" s="14" t="s">
        <v>1745</v>
      </c>
      <c r="E403" s="14" t="s">
        <v>1746</v>
      </c>
      <c r="F403" s="14">
        <v>157248</v>
      </c>
      <c r="G403" s="14">
        <v>141523.20000000001</v>
      </c>
      <c r="H403" s="37">
        <f>'Calculation Sheet'!N403</f>
        <v>141523.20000000001</v>
      </c>
    </row>
    <row r="404" spans="1:8" x14ac:dyDescent="0.25">
      <c r="A404" s="14" t="s">
        <v>1852</v>
      </c>
      <c r="B404" s="14" t="s">
        <v>32</v>
      </c>
      <c r="C404" s="15" t="s">
        <v>1895</v>
      </c>
      <c r="D404" s="14" t="s">
        <v>1745</v>
      </c>
      <c r="E404" s="14" t="s">
        <v>1747</v>
      </c>
      <c r="F404" s="14">
        <v>499140</v>
      </c>
      <c r="G404" s="14">
        <v>349398</v>
      </c>
      <c r="H404" s="37">
        <f>'Calculation Sheet'!N404</f>
        <v>349398</v>
      </c>
    </row>
    <row r="405" spans="1:8" x14ac:dyDescent="0.25">
      <c r="A405" s="14" t="s">
        <v>1852</v>
      </c>
      <c r="B405" s="14">
        <v>73</v>
      </c>
      <c r="C405" s="15" t="s">
        <v>1954</v>
      </c>
      <c r="D405" s="14" t="s">
        <v>1745</v>
      </c>
      <c r="E405" s="14" t="s">
        <v>1746</v>
      </c>
      <c r="F405" s="14">
        <v>12998349</v>
      </c>
      <c r="G405" s="14">
        <v>9098844</v>
      </c>
      <c r="H405" s="37">
        <f>'Calculation Sheet'!N405</f>
        <v>9098844</v>
      </c>
    </row>
    <row r="406" spans="1:8" x14ac:dyDescent="0.25">
      <c r="A406" s="14" t="s">
        <v>1850</v>
      </c>
      <c r="B406" s="14">
        <v>2</v>
      </c>
      <c r="C406" s="15" t="s">
        <v>1948</v>
      </c>
      <c r="D406" s="14" t="s">
        <v>1752</v>
      </c>
      <c r="E406" s="14" t="s">
        <v>1746</v>
      </c>
      <c r="F406" s="14">
        <v>660366</v>
      </c>
      <c r="G406" s="14">
        <v>462256.2</v>
      </c>
      <c r="H406" s="37">
        <f>'Calculation Sheet'!N406</f>
        <v>462256.2</v>
      </c>
    </row>
    <row r="407" spans="1:8" x14ac:dyDescent="0.25">
      <c r="A407" s="14" t="s">
        <v>1852</v>
      </c>
      <c r="B407" s="14">
        <v>6</v>
      </c>
      <c r="C407" s="15" t="s">
        <v>1923</v>
      </c>
      <c r="D407" s="14" t="s">
        <v>1745</v>
      </c>
      <c r="E407" s="14" t="s">
        <v>1746</v>
      </c>
      <c r="F407" s="14">
        <v>32495841</v>
      </c>
      <c r="G407" s="14">
        <v>22747089</v>
      </c>
      <c r="H407" s="37">
        <f>'Calculation Sheet'!N407</f>
        <v>22747089</v>
      </c>
    </row>
    <row r="408" spans="1:8" x14ac:dyDescent="0.25">
      <c r="A408" s="14" t="s">
        <v>1852</v>
      </c>
      <c r="B408" s="14">
        <v>6</v>
      </c>
      <c r="C408" s="15" t="s">
        <v>1923</v>
      </c>
      <c r="D408" s="14" t="s">
        <v>1749</v>
      </c>
      <c r="E408" s="14" t="s">
        <v>1746</v>
      </c>
      <c r="F408" s="14">
        <v>3094842</v>
      </c>
      <c r="G408" s="14">
        <v>2166389</v>
      </c>
      <c r="H408" s="37">
        <f>'Calculation Sheet'!N408</f>
        <v>2166389</v>
      </c>
    </row>
    <row r="409" spans="1:8" x14ac:dyDescent="0.25">
      <c r="A409" s="14" t="s">
        <v>1852</v>
      </c>
      <c r="B409" s="14">
        <v>58</v>
      </c>
      <c r="C409" s="15" t="s">
        <v>1955</v>
      </c>
      <c r="D409" s="14" t="s">
        <v>1745</v>
      </c>
      <c r="E409" s="14" t="s">
        <v>1746</v>
      </c>
      <c r="F409" s="14">
        <v>288288</v>
      </c>
      <c r="G409" s="14">
        <v>201801.60000000001</v>
      </c>
      <c r="H409" s="37">
        <f>'Calculation Sheet'!N409</f>
        <v>201801.60000000001</v>
      </c>
    </row>
    <row r="410" spans="1:8" x14ac:dyDescent="0.25">
      <c r="A410" s="14" t="s">
        <v>1852</v>
      </c>
      <c r="B410" s="14">
        <v>69</v>
      </c>
      <c r="C410" s="15" t="s">
        <v>1956</v>
      </c>
      <c r="D410" s="14" t="s">
        <v>1745</v>
      </c>
      <c r="E410" s="14" t="s">
        <v>1746</v>
      </c>
      <c r="F410" s="14">
        <v>157248</v>
      </c>
      <c r="G410" s="14">
        <v>141523.20000000001</v>
      </c>
      <c r="H410" s="37">
        <f>'Calculation Sheet'!N410</f>
        <v>141523.20000000001</v>
      </c>
    </row>
    <row r="411" spans="1:8" x14ac:dyDescent="0.25">
      <c r="A411" s="14" t="s">
        <v>1852</v>
      </c>
      <c r="B411" s="14" t="s">
        <v>1957</v>
      </c>
      <c r="C411" s="15" t="s">
        <v>1958</v>
      </c>
      <c r="D411" s="14" t="s">
        <v>1745</v>
      </c>
      <c r="E411" s="14" t="s">
        <v>1746</v>
      </c>
      <c r="F411" s="14">
        <v>209664</v>
      </c>
      <c r="G411" s="14">
        <v>146764.79999999999</v>
      </c>
      <c r="H411" s="37">
        <f>'Calculation Sheet'!N411</f>
        <v>146764.79999999999</v>
      </c>
    </row>
    <row r="412" spans="1:8" x14ac:dyDescent="0.25">
      <c r="A412" s="14" t="s">
        <v>1852</v>
      </c>
      <c r="B412" s="14">
        <v>5</v>
      </c>
      <c r="C412" s="15" t="s">
        <v>1870</v>
      </c>
      <c r="D412" s="14" t="s">
        <v>1749</v>
      </c>
      <c r="E412" s="14" t="s">
        <v>1746</v>
      </c>
      <c r="F412" s="14">
        <v>3094842</v>
      </c>
      <c r="G412" s="14">
        <v>2166389</v>
      </c>
      <c r="H412" s="37">
        <f>'Calculation Sheet'!N412</f>
        <v>2166389</v>
      </c>
    </row>
    <row r="413" spans="1:8" x14ac:dyDescent="0.25">
      <c r="A413" s="14" t="s">
        <v>1852</v>
      </c>
      <c r="B413" s="14" t="s">
        <v>1639</v>
      </c>
      <c r="C413" s="15" t="s">
        <v>1959</v>
      </c>
      <c r="D413" s="14" t="s">
        <v>1745</v>
      </c>
      <c r="E413" s="14" t="s">
        <v>1747</v>
      </c>
      <c r="F413" s="14">
        <v>7961760</v>
      </c>
      <c r="G413" s="14">
        <v>5573232</v>
      </c>
      <c r="H413" s="37">
        <f>'Calculation Sheet'!N413</f>
        <v>5573232</v>
      </c>
    </row>
    <row r="414" spans="1:8" x14ac:dyDescent="0.25">
      <c r="A414" s="14" t="s">
        <v>1852</v>
      </c>
      <c r="B414" s="14" t="s">
        <v>46</v>
      </c>
      <c r="C414" s="15" t="s">
        <v>1866</v>
      </c>
      <c r="D414" s="14" t="s">
        <v>1745</v>
      </c>
      <c r="E414" s="14" t="s">
        <v>1747</v>
      </c>
      <c r="F414" s="14">
        <v>14475900</v>
      </c>
      <c r="G414" s="14">
        <v>10133130</v>
      </c>
      <c r="H414" s="37">
        <f>'Calculation Sheet'!N414</f>
        <v>10133130</v>
      </c>
    </row>
    <row r="415" spans="1:8" x14ac:dyDescent="0.25">
      <c r="A415" s="14" t="s">
        <v>1852</v>
      </c>
      <c r="B415" s="14">
        <v>51</v>
      </c>
      <c r="C415" s="15" t="s">
        <v>1960</v>
      </c>
      <c r="D415" s="14" t="s">
        <v>1745</v>
      </c>
      <c r="E415" s="14" t="s">
        <v>1747</v>
      </c>
      <c r="F415" s="14">
        <v>12379380</v>
      </c>
      <c r="G415" s="14">
        <v>8665566</v>
      </c>
      <c r="H415" s="37">
        <f>'Calculation Sheet'!N415</f>
        <v>8665566</v>
      </c>
    </row>
    <row r="416" spans="1:8" x14ac:dyDescent="0.25">
      <c r="A416" s="14" t="s">
        <v>1852</v>
      </c>
      <c r="B416" s="14" t="s">
        <v>1904</v>
      </c>
      <c r="C416" s="15" t="s">
        <v>1905</v>
      </c>
      <c r="D416" s="14" t="s">
        <v>1749</v>
      </c>
      <c r="E416" s="14" t="s">
        <v>1746</v>
      </c>
      <c r="F416" s="14">
        <v>14976</v>
      </c>
      <c r="G416" s="14">
        <v>13478.4</v>
      </c>
      <c r="H416" s="37">
        <f>'Calculation Sheet'!N416</f>
        <v>13478.4</v>
      </c>
    </row>
    <row r="417" spans="1:8" x14ac:dyDescent="0.25">
      <c r="A417" s="14" t="s">
        <v>1852</v>
      </c>
      <c r="B417" s="14" t="s">
        <v>1961</v>
      </c>
      <c r="C417" s="15" t="s">
        <v>1962</v>
      </c>
      <c r="D417" s="14" t="s">
        <v>1745</v>
      </c>
      <c r="E417" s="14" t="s">
        <v>1747</v>
      </c>
      <c r="F417" s="14">
        <v>5790360</v>
      </c>
      <c r="G417" s="14">
        <v>4053252</v>
      </c>
      <c r="H417" s="37">
        <f>'Calculation Sheet'!N417</f>
        <v>4053252</v>
      </c>
    </row>
    <row r="418" spans="1:8" x14ac:dyDescent="0.25">
      <c r="A418" s="14" t="s">
        <v>1850</v>
      </c>
      <c r="B418" s="14">
        <v>1</v>
      </c>
      <c r="C418" s="15" t="s">
        <v>1851</v>
      </c>
      <c r="D418" s="14" t="s">
        <v>1752</v>
      </c>
      <c r="E418" s="14" t="s">
        <v>1753</v>
      </c>
      <c r="F418" s="14">
        <v>89820</v>
      </c>
      <c r="G418" s="14">
        <v>62874</v>
      </c>
      <c r="H418" s="37">
        <f>'Calculation Sheet'!N418</f>
        <v>62874</v>
      </c>
    </row>
    <row r="419" spans="1:8" x14ac:dyDescent="0.25">
      <c r="A419" s="14" t="s">
        <v>1852</v>
      </c>
      <c r="B419" s="14" t="s">
        <v>1907</v>
      </c>
      <c r="C419" s="15" t="s">
        <v>1908</v>
      </c>
      <c r="D419" s="14" t="s">
        <v>1745</v>
      </c>
      <c r="E419" s="14" t="s">
        <v>1746</v>
      </c>
      <c r="F419" s="14">
        <v>157248</v>
      </c>
      <c r="G419" s="14">
        <v>141523.20000000001</v>
      </c>
      <c r="H419" s="37">
        <f>'Calculation Sheet'!N419</f>
        <v>141523.20000000001</v>
      </c>
    </row>
    <row r="420" spans="1:8" x14ac:dyDescent="0.25">
      <c r="A420" s="14" t="s">
        <v>1852</v>
      </c>
      <c r="B420" s="14" t="s">
        <v>1963</v>
      </c>
      <c r="C420" s="15" t="s">
        <v>1964</v>
      </c>
      <c r="D420" s="14" t="s">
        <v>1749</v>
      </c>
      <c r="E420" s="14" t="s">
        <v>1746</v>
      </c>
      <c r="F420" s="14">
        <v>27456</v>
      </c>
      <c r="G420" s="14">
        <v>19219.2</v>
      </c>
      <c r="H420" s="37">
        <f>'Calculation Sheet'!N420</f>
        <v>19219.2</v>
      </c>
    </row>
    <row r="421" spans="1:8" x14ac:dyDescent="0.25">
      <c r="A421" s="14" t="s">
        <v>1852</v>
      </c>
      <c r="B421" s="14" t="s">
        <v>405</v>
      </c>
      <c r="C421" s="15" t="s">
        <v>1965</v>
      </c>
      <c r="D421" s="14" t="s">
        <v>1745</v>
      </c>
      <c r="E421" s="14" t="s">
        <v>1747</v>
      </c>
      <c r="F421" s="14">
        <v>7961760</v>
      </c>
      <c r="G421" s="14">
        <v>5573232</v>
      </c>
      <c r="H421" s="37">
        <f>'Calculation Sheet'!N421</f>
        <v>5573232</v>
      </c>
    </row>
    <row r="422" spans="1:8" x14ac:dyDescent="0.25">
      <c r="A422" s="14" t="s">
        <v>1852</v>
      </c>
      <c r="B422" s="14" t="s">
        <v>1966</v>
      </c>
      <c r="C422" s="15" t="s">
        <v>1967</v>
      </c>
      <c r="D422" s="14" t="s">
        <v>1745</v>
      </c>
      <c r="E422" s="14" t="s">
        <v>1746</v>
      </c>
      <c r="F422" s="14">
        <v>4559877</v>
      </c>
      <c r="G422" s="14">
        <v>4103889</v>
      </c>
      <c r="H422" s="37">
        <f>'Calculation Sheet'!N422</f>
        <v>4103889</v>
      </c>
    </row>
    <row r="423" spans="1:8" x14ac:dyDescent="0.25">
      <c r="A423" s="14" t="s">
        <v>1852</v>
      </c>
      <c r="B423" s="14" t="s">
        <v>1968</v>
      </c>
      <c r="C423" s="15" t="s">
        <v>1969</v>
      </c>
      <c r="D423" s="14" t="s">
        <v>1749</v>
      </c>
      <c r="E423" s="14" t="s">
        <v>1746</v>
      </c>
      <c r="F423" s="14">
        <v>928452</v>
      </c>
      <c r="G423" s="14">
        <v>835606.8</v>
      </c>
      <c r="H423" s="37">
        <f>'Calculation Sheet'!N423</f>
        <v>835606.8</v>
      </c>
    </row>
    <row r="424" spans="1:8" x14ac:dyDescent="0.25">
      <c r="A424" s="14" t="s">
        <v>1852</v>
      </c>
      <c r="B424" s="14" t="s">
        <v>243</v>
      </c>
      <c r="C424" s="15" t="s">
        <v>1970</v>
      </c>
      <c r="D424" s="14" t="s">
        <v>1745</v>
      </c>
      <c r="E424" s="14" t="s">
        <v>1747</v>
      </c>
      <c r="F424" s="14">
        <v>499140</v>
      </c>
      <c r="G424" s="14">
        <v>349398</v>
      </c>
      <c r="H424" s="37">
        <f>'Calculation Sheet'!N424</f>
        <v>349398</v>
      </c>
    </row>
    <row r="425" spans="1:8" x14ac:dyDescent="0.25">
      <c r="A425" s="14" t="s">
        <v>1852</v>
      </c>
      <c r="B425" s="14">
        <v>85</v>
      </c>
      <c r="C425" s="15" t="s">
        <v>1951</v>
      </c>
      <c r="D425" s="14" t="s">
        <v>1745</v>
      </c>
      <c r="E425" s="14" t="s">
        <v>1746</v>
      </c>
      <c r="F425" s="14">
        <v>4559877</v>
      </c>
      <c r="G425" s="14">
        <v>4103889</v>
      </c>
      <c r="H425" s="37">
        <f>'Calculation Sheet'!N425</f>
        <v>4103889</v>
      </c>
    </row>
    <row r="426" spans="1:8" x14ac:dyDescent="0.25">
      <c r="A426" s="14" t="s">
        <v>1852</v>
      </c>
      <c r="B426" s="14">
        <v>7</v>
      </c>
      <c r="C426" s="15" t="s">
        <v>1935</v>
      </c>
      <c r="D426" s="14" t="s">
        <v>1745</v>
      </c>
      <c r="E426" s="14" t="s">
        <v>1746</v>
      </c>
      <c r="F426" s="14">
        <v>4193028</v>
      </c>
      <c r="G426" s="14">
        <v>2935120</v>
      </c>
      <c r="H426" s="37">
        <f>'Calculation Sheet'!N426</f>
        <v>2935120</v>
      </c>
    </row>
    <row r="427" spans="1:8" x14ac:dyDescent="0.25">
      <c r="A427" s="14" t="s">
        <v>1852</v>
      </c>
      <c r="B427" s="14" t="s">
        <v>1877</v>
      </c>
      <c r="C427" s="15" t="s">
        <v>1878</v>
      </c>
      <c r="D427" s="14" t="s">
        <v>1745</v>
      </c>
      <c r="E427" s="14" t="s">
        <v>1746</v>
      </c>
      <c r="F427" s="14">
        <v>4559877</v>
      </c>
      <c r="G427" s="14">
        <v>4103889</v>
      </c>
      <c r="H427" s="37">
        <f>'Calculation Sheet'!N427</f>
        <v>4103889</v>
      </c>
    </row>
    <row r="428" spans="1:8" x14ac:dyDescent="0.25">
      <c r="A428" s="14" t="s">
        <v>1852</v>
      </c>
      <c r="B428" s="14" t="s">
        <v>1651</v>
      </c>
      <c r="C428" s="15" t="s">
        <v>1971</v>
      </c>
      <c r="D428" s="14" t="s">
        <v>1749</v>
      </c>
      <c r="E428" s="14" t="s">
        <v>1746</v>
      </c>
      <c r="F428" s="14">
        <v>19968</v>
      </c>
      <c r="G428" s="14">
        <v>13977.6</v>
      </c>
      <c r="H428" s="37">
        <f>'Calculation Sheet'!N428</f>
        <v>13977.6</v>
      </c>
    </row>
    <row r="429" spans="1:8" x14ac:dyDescent="0.25">
      <c r="A429" s="14" t="s">
        <v>1852</v>
      </c>
      <c r="B429" s="14" t="s">
        <v>1595</v>
      </c>
      <c r="C429" s="15" t="s">
        <v>1859</v>
      </c>
      <c r="D429" s="14" t="s">
        <v>1749</v>
      </c>
      <c r="E429" s="14" t="s">
        <v>1746</v>
      </c>
      <c r="F429" s="14">
        <v>27456</v>
      </c>
      <c r="G429" s="14">
        <v>19219.2</v>
      </c>
      <c r="H429" s="37">
        <f>'Calculation Sheet'!N429</f>
        <v>19219.2</v>
      </c>
    </row>
    <row r="430" spans="1:8" x14ac:dyDescent="0.25">
      <c r="A430" s="14" t="s">
        <v>1852</v>
      </c>
      <c r="B430" s="14" t="s">
        <v>407</v>
      </c>
      <c r="C430" s="15" t="s">
        <v>1896</v>
      </c>
      <c r="D430" s="14" t="s">
        <v>1745</v>
      </c>
      <c r="E430" s="14" t="s">
        <v>1747</v>
      </c>
      <c r="F430" s="14">
        <v>5790360</v>
      </c>
      <c r="G430" s="14">
        <v>4053252</v>
      </c>
      <c r="H430" s="37">
        <f>'Calculation Sheet'!N430</f>
        <v>4053252</v>
      </c>
    </row>
    <row r="431" spans="1:8" x14ac:dyDescent="0.25">
      <c r="A431" s="14" t="s">
        <v>1852</v>
      </c>
      <c r="B431" s="14" t="s">
        <v>1573</v>
      </c>
      <c r="C431" s="15" t="s">
        <v>1930</v>
      </c>
      <c r="D431" s="14" t="s">
        <v>1745</v>
      </c>
      <c r="E431" s="14" t="s">
        <v>1747</v>
      </c>
      <c r="F431" s="14">
        <v>274560</v>
      </c>
      <c r="G431" s="14">
        <v>192192</v>
      </c>
      <c r="H431" s="37">
        <f>'Calculation Sheet'!N431</f>
        <v>192192</v>
      </c>
    </row>
    <row r="432" spans="1:8" x14ac:dyDescent="0.25">
      <c r="A432" s="14" t="s">
        <v>1852</v>
      </c>
      <c r="B432" s="14" t="s">
        <v>1653</v>
      </c>
      <c r="C432" s="15" t="s">
        <v>1972</v>
      </c>
      <c r="D432" s="14" t="s">
        <v>1745</v>
      </c>
      <c r="E432" s="14" t="s">
        <v>1747</v>
      </c>
      <c r="F432" s="14">
        <v>149760</v>
      </c>
      <c r="G432" s="14">
        <v>134784</v>
      </c>
      <c r="H432" s="37">
        <f>'Calculation Sheet'!N432</f>
        <v>134784</v>
      </c>
    </row>
    <row r="433" spans="1:8" x14ac:dyDescent="0.25">
      <c r="A433" s="14" t="s">
        <v>1852</v>
      </c>
      <c r="B433" s="14" t="s">
        <v>34</v>
      </c>
      <c r="C433" s="15" t="s">
        <v>1915</v>
      </c>
      <c r="D433" s="14" t="s">
        <v>1749</v>
      </c>
      <c r="E433" s="14" t="s">
        <v>1746</v>
      </c>
      <c r="F433" s="14">
        <v>3094842</v>
      </c>
      <c r="G433" s="14">
        <v>2166389</v>
      </c>
      <c r="H433" s="37">
        <f>'Calculation Sheet'!N433</f>
        <v>2166389</v>
      </c>
    </row>
    <row r="434" spans="1:8" x14ac:dyDescent="0.25">
      <c r="A434" s="14" t="s">
        <v>1852</v>
      </c>
      <c r="B434" s="14" t="s">
        <v>1973</v>
      </c>
      <c r="C434" s="15" t="s">
        <v>1974</v>
      </c>
      <c r="D434" s="14" t="s">
        <v>1749</v>
      </c>
      <c r="E434" s="14" t="s">
        <v>1746</v>
      </c>
      <c r="F434" s="14">
        <v>928452</v>
      </c>
      <c r="G434" s="14">
        <v>835606.8</v>
      </c>
      <c r="H434" s="37">
        <f>'Calculation Sheet'!N434</f>
        <v>835606.8</v>
      </c>
    </row>
    <row r="435" spans="1:8" x14ac:dyDescent="0.25">
      <c r="A435" s="14" t="s">
        <v>1852</v>
      </c>
      <c r="B435" s="14" t="s">
        <v>650</v>
      </c>
      <c r="C435" s="15" t="s">
        <v>1975</v>
      </c>
      <c r="D435" s="14" t="s">
        <v>1749</v>
      </c>
      <c r="E435" s="14" t="s">
        <v>1746</v>
      </c>
      <c r="F435" s="14">
        <v>49914</v>
      </c>
      <c r="G435" s="14">
        <v>34939.800000000003</v>
      </c>
      <c r="H435" s="37">
        <f>'Calculation Sheet'!N435</f>
        <v>34939.800000000003</v>
      </c>
    </row>
    <row r="436" spans="1:8" x14ac:dyDescent="0.25">
      <c r="A436" s="14" t="s">
        <v>1852</v>
      </c>
      <c r="B436" s="14" t="s">
        <v>1976</v>
      </c>
      <c r="C436" s="15" t="s">
        <v>1977</v>
      </c>
      <c r="D436" s="14" t="s">
        <v>1749</v>
      </c>
      <c r="E436" s="14" t="s">
        <v>1746</v>
      </c>
      <c r="F436" s="14">
        <v>1702164</v>
      </c>
      <c r="G436" s="14">
        <v>1191515</v>
      </c>
      <c r="H436" s="37">
        <f>'Calculation Sheet'!N436</f>
        <v>1191515</v>
      </c>
    </row>
    <row r="437" spans="1:8" x14ac:dyDescent="0.25">
      <c r="A437" s="14" t="s">
        <v>1852</v>
      </c>
      <c r="B437" s="14" t="s">
        <v>1647</v>
      </c>
      <c r="C437" s="15" t="s">
        <v>1858</v>
      </c>
      <c r="D437" s="14" t="s">
        <v>1749</v>
      </c>
      <c r="E437" s="14" t="s">
        <v>1746</v>
      </c>
      <c r="F437" s="14">
        <v>19968</v>
      </c>
      <c r="G437" s="14">
        <v>13977.6</v>
      </c>
      <c r="H437" s="37">
        <f>'Calculation Sheet'!N437</f>
        <v>13977.6</v>
      </c>
    </row>
    <row r="438" spans="1:8" x14ac:dyDescent="0.25">
      <c r="A438" s="14" t="s">
        <v>1852</v>
      </c>
      <c r="B438" s="14" t="s">
        <v>410</v>
      </c>
      <c r="C438" s="15" t="s">
        <v>1944</v>
      </c>
      <c r="D438" s="14" t="s">
        <v>1745</v>
      </c>
      <c r="E438" s="14" t="s">
        <v>1747</v>
      </c>
      <c r="F438" s="14">
        <v>5790360</v>
      </c>
      <c r="G438" s="14">
        <v>4053252</v>
      </c>
      <c r="H438" s="37">
        <f>'Calculation Sheet'!N438</f>
        <v>4053252</v>
      </c>
    </row>
    <row r="439" spans="1:8" x14ac:dyDescent="0.25">
      <c r="A439" s="14" t="s">
        <v>1852</v>
      </c>
      <c r="B439" s="14" t="s">
        <v>20</v>
      </c>
      <c r="C439" s="15" t="s">
        <v>1978</v>
      </c>
      <c r="D439" s="14" t="s">
        <v>1745</v>
      </c>
      <c r="E439" s="14" t="s">
        <v>1747</v>
      </c>
      <c r="F439" s="14">
        <v>3993360</v>
      </c>
      <c r="G439" s="14">
        <v>2795352</v>
      </c>
      <c r="H439" s="37">
        <f>'Calculation Sheet'!N439</f>
        <v>2795352</v>
      </c>
    </row>
    <row r="440" spans="1:8" x14ac:dyDescent="0.25">
      <c r="A440" s="14" t="s">
        <v>1852</v>
      </c>
      <c r="B440" s="14" t="s">
        <v>55</v>
      </c>
      <c r="C440" s="15" t="s">
        <v>1885</v>
      </c>
      <c r="D440" s="14" t="s">
        <v>1745</v>
      </c>
      <c r="E440" s="14" t="s">
        <v>1747</v>
      </c>
      <c r="F440" s="14">
        <v>499140</v>
      </c>
      <c r="G440" s="14">
        <v>349398</v>
      </c>
      <c r="H440" s="37">
        <f>'Calculation Sheet'!N440</f>
        <v>349398</v>
      </c>
    </row>
    <row r="441" spans="1:8" x14ac:dyDescent="0.25">
      <c r="A441" s="14" t="s">
        <v>1852</v>
      </c>
      <c r="B441" s="14" t="s">
        <v>1875</v>
      </c>
      <c r="C441" s="15" t="s">
        <v>1876</v>
      </c>
      <c r="D441" s="14" t="s">
        <v>1745</v>
      </c>
      <c r="E441" s="14" t="s">
        <v>1746</v>
      </c>
      <c r="F441" s="14">
        <v>8359848</v>
      </c>
      <c r="G441" s="14">
        <v>5851894</v>
      </c>
      <c r="H441" s="37">
        <f>'Calculation Sheet'!N441</f>
        <v>5851894</v>
      </c>
    </row>
    <row r="442" spans="1:8" x14ac:dyDescent="0.25">
      <c r="A442" s="14" t="s">
        <v>1852</v>
      </c>
      <c r="B442" s="14">
        <v>54</v>
      </c>
      <c r="C442" s="15" t="s">
        <v>1979</v>
      </c>
      <c r="D442" s="14" t="s">
        <v>1745</v>
      </c>
      <c r="E442" s="14" t="s">
        <v>1747</v>
      </c>
      <c r="F442" s="14">
        <v>9284520</v>
      </c>
      <c r="G442" s="14">
        <v>8356068</v>
      </c>
      <c r="H442" s="37">
        <f>'Calculation Sheet'!N442</f>
        <v>8356068</v>
      </c>
    </row>
    <row r="443" spans="1:8" x14ac:dyDescent="0.25">
      <c r="A443" s="14" t="s">
        <v>1852</v>
      </c>
      <c r="B443" s="14" t="s">
        <v>1673</v>
      </c>
      <c r="C443" s="15" t="s">
        <v>1980</v>
      </c>
      <c r="D443" s="14" t="s">
        <v>1745</v>
      </c>
      <c r="E443" s="14" t="s">
        <v>1746</v>
      </c>
      <c r="F443" s="14">
        <v>209664</v>
      </c>
      <c r="G443" s="14">
        <v>146764.79999999999</v>
      </c>
      <c r="H443" s="37">
        <f>'Calculation Sheet'!N443</f>
        <v>146764.79999999999</v>
      </c>
    </row>
    <row r="444" spans="1:8" x14ac:dyDescent="0.25">
      <c r="A444" s="14" t="s">
        <v>1852</v>
      </c>
      <c r="B444" s="14" t="s">
        <v>1875</v>
      </c>
      <c r="C444" s="15" t="s">
        <v>1876</v>
      </c>
      <c r="D444" s="14" t="s">
        <v>1749</v>
      </c>
      <c r="E444" s="14" t="s">
        <v>1746</v>
      </c>
      <c r="F444" s="14">
        <v>796176</v>
      </c>
      <c r="G444" s="14">
        <v>557323.19999999995</v>
      </c>
      <c r="H444" s="37">
        <f>'Calculation Sheet'!N444</f>
        <v>557323.19999999995</v>
      </c>
    </row>
    <row r="445" spans="1:8" x14ac:dyDescent="0.25">
      <c r="A445" s="14" t="s">
        <v>1852</v>
      </c>
      <c r="B445" s="14" t="s">
        <v>1545</v>
      </c>
      <c r="C445" s="15" t="s">
        <v>1927</v>
      </c>
      <c r="D445" s="14" t="s">
        <v>1745</v>
      </c>
      <c r="E445" s="14" t="s">
        <v>1746</v>
      </c>
      <c r="F445" s="14">
        <v>288288</v>
      </c>
      <c r="G445" s="14">
        <v>201801.60000000001</v>
      </c>
      <c r="H445" s="37">
        <f>'Calculation Sheet'!N445</f>
        <v>201801.60000000001</v>
      </c>
    </row>
    <row r="446" spans="1:8" x14ac:dyDescent="0.25">
      <c r="A446" s="14" t="s">
        <v>1852</v>
      </c>
      <c r="B446" s="14">
        <v>80</v>
      </c>
      <c r="C446" s="15" t="s">
        <v>1934</v>
      </c>
      <c r="D446" s="14" t="s">
        <v>1749</v>
      </c>
      <c r="E446" s="14" t="s">
        <v>1746</v>
      </c>
      <c r="F446" s="14">
        <v>579036</v>
      </c>
      <c r="G446" s="14">
        <v>405325.2</v>
      </c>
      <c r="H446" s="37">
        <f>'Calculation Sheet'!N446</f>
        <v>405325.2</v>
      </c>
    </row>
    <row r="447" spans="1:8" x14ac:dyDescent="0.25">
      <c r="A447" s="14" t="s">
        <v>1852</v>
      </c>
      <c r="B447" s="14">
        <v>8</v>
      </c>
      <c r="C447" s="15" t="s">
        <v>1981</v>
      </c>
      <c r="D447" s="14" t="s">
        <v>1749</v>
      </c>
      <c r="E447" s="14" t="s">
        <v>1746</v>
      </c>
      <c r="F447" s="14">
        <v>49914</v>
      </c>
      <c r="G447" s="14">
        <v>34939.800000000003</v>
      </c>
      <c r="H447" s="37">
        <f>'Calculation Sheet'!N447</f>
        <v>34939.800000000003</v>
      </c>
    </row>
    <row r="448" spans="1:8" ht="30" x14ac:dyDescent="0.25">
      <c r="A448" s="14" t="s">
        <v>1850</v>
      </c>
      <c r="B448" s="14" t="s">
        <v>32</v>
      </c>
      <c r="C448" s="15" t="s">
        <v>1884</v>
      </c>
      <c r="D448" s="14" t="s">
        <v>1745</v>
      </c>
      <c r="E448" s="14" t="s">
        <v>1747</v>
      </c>
      <c r="F448" s="14">
        <v>16500</v>
      </c>
      <c r="G448" s="14">
        <v>11550</v>
      </c>
      <c r="H448" s="37">
        <f>'Calculation Sheet'!N448</f>
        <v>11550</v>
      </c>
    </row>
    <row r="449" spans="1:8" x14ac:dyDescent="0.25">
      <c r="A449" s="14" t="s">
        <v>1852</v>
      </c>
      <c r="B449" s="14" t="s">
        <v>1645</v>
      </c>
      <c r="C449" s="15" t="s">
        <v>1982</v>
      </c>
      <c r="D449" s="14" t="s">
        <v>1745</v>
      </c>
      <c r="E449" s="14" t="s">
        <v>1747</v>
      </c>
      <c r="F449" s="14">
        <v>274560</v>
      </c>
      <c r="G449" s="14">
        <v>192192</v>
      </c>
      <c r="H449" s="37">
        <f>'Calculation Sheet'!N449</f>
        <v>192192</v>
      </c>
    </row>
    <row r="450" spans="1:8" x14ac:dyDescent="0.25">
      <c r="A450" s="14" t="s">
        <v>1852</v>
      </c>
      <c r="B450" s="14" t="s">
        <v>407</v>
      </c>
      <c r="C450" s="15" t="s">
        <v>1896</v>
      </c>
      <c r="D450" s="14" t="s">
        <v>1749</v>
      </c>
      <c r="E450" s="14" t="s">
        <v>1746</v>
      </c>
      <c r="F450" s="14">
        <v>579036</v>
      </c>
      <c r="G450" s="14">
        <v>405325.2</v>
      </c>
      <c r="H450" s="37">
        <f>'Calculation Sheet'!N450</f>
        <v>405325.2</v>
      </c>
    </row>
    <row r="451" spans="1:8" x14ac:dyDescent="0.25">
      <c r="A451" s="14" t="s">
        <v>1852</v>
      </c>
      <c r="B451" s="14" t="s">
        <v>420</v>
      </c>
      <c r="C451" s="15" t="s">
        <v>1983</v>
      </c>
      <c r="D451" s="14" t="s">
        <v>1745</v>
      </c>
      <c r="E451" s="14" t="s">
        <v>1746</v>
      </c>
      <c r="F451" s="14">
        <v>17872722</v>
      </c>
      <c r="G451" s="14">
        <v>12510905</v>
      </c>
      <c r="H451" s="37">
        <f>'Calculation Sheet'!N451</f>
        <v>12510905</v>
      </c>
    </row>
    <row r="452" spans="1:8" x14ac:dyDescent="0.25">
      <c r="A452" s="14" t="s">
        <v>1852</v>
      </c>
      <c r="B452" s="14">
        <v>71</v>
      </c>
      <c r="C452" s="15" t="s">
        <v>1888</v>
      </c>
      <c r="D452" s="14" t="s">
        <v>1745</v>
      </c>
      <c r="E452" s="14" t="s">
        <v>1746</v>
      </c>
      <c r="F452" s="14">
        <v>1257921</v>
      </c>
      <c r="G452" s="14">
        <v>1132129</v>
      </c>
      <c r="H452" s="37">
        <f>'Calculation Sheet'!N452</f>
        <v>1132129</v>
      </c>
    </row>
    <row r="453" spans="1:8" x14ac:dyDescent="0.25">
      <c r="A453" s="14" t="s">
        <v>1852</v>
      </c>
      <c r="B453" s="14">
        <v>88</v>
      </c>
      <c r="C453" s="15" t="s">
        <v>1893</v>
      </c>
      <c r="D453" s="14" t="s">
        <v>1745</v>
      </c>
      <c r="E453" s="14" t="s">
        <v>1747</v>
      </c>
      <c r="F453" s="14">
        <v>5790360</v>
      </c>
      <c r="G453" s="14">
        <v>4053252</v>
      </c>
      <c r="H453" s="37">
        <f>'Calculation Sheet'!N453</f>
        <v>4053252</v>
      </c>
    </row>
    <row r="454" spans="1:8" x14ac:dyDescent="0.25">
      <c r="A454" s="14" t="s">
        <v>1852</v>
      </c>
      <c r="B454" s="14" t="s">
        <v>1731</v>
      </c>
      <c r="C454" s="15" t="s">
        <v>1984</v>
      </c>
      <c r="D454" s="14" t="s">
        <v>1749</v>
      </c>
      <c r="E454" s="14" t="s">
        <v>1746</v>
      </c>
      <c r="F454" s="14">
        <v>27456</v>
      </c>
      <c r="G454" s="14">
        <v>19219.2</v>
      </c>
      <c r="H454" s="37">
        <f>'Calculation Sheet'!N454</f>
        <v>19219.2</v>
      </c>
    </row>
    <row r="455" spans="1:8" x14ac:dyDescent="0.25">
      <c r="A455" s="14" t="s">
        <v>1852</v>
      </c>
      <c r="B455" s="14" t="s">
        <v>1949</v>
      </c>
      <c r="C455" s="15" t="s">
        <v>1950</v>
      </c>
      <c r="D455" s="14" t="s">
        <v>1745</v>
      </c>
      <c r="E455" s="14" t="s">
        <v>1746</v>
      </c>
      <c r="F455" s="14">
        <v>209664</v>
      </c>
      <c r="G455" s="14">
        <v>146764.79999999999</v>
      </c>
      <c r="H455" s="37">
        <f>'Calculation Sheet'!N455</f>
        <v>146764.79999999999</v>
      </c>
    </row>
    <row r="456" spans="1:8" x14ac:dyDescent="0.25">
      <c r="A456" s="14" t="s">
        <v>1852</v>
      </c>
      <c r="B456" s="14" t="s">
        <v>1636</v>
      </c>
      <c r="C456" s="15" t="s">
        <v>1985</v>
      </c>
      <c r="D456" s="14" t="s">
        <v>1749</v>
      </c>
      <c r="E456" s="14" t="s">
        <v>1746</v>
      </c>
      <c r="F456" s="14">
        <v>27456</v>
      </c>
      <c r="G456" s="14">
        <v>19219.2</v>
      </c>
      <c r="H456" s="37">
        <f>'Calculation Sheet'!N456</f>
        <v>19219.2</v>
      </c>
    </row>
    <row r="457" spans="1:8" x14ac:dyDescent="0.25">
      <c r="A457" s="14" t="s">
        <v>1852</v>
      </c>
      <c r="B457" s="14">
        <v>61</v>
      </c>
      <c r="C457" s="15" t="s">
        <v>1909</v>
      </c>
      <c r="D457" s="14" t="s">
        <v>1749</v>
      </c>
      <c r="E457" s="14" t="s">
        <v>1746</v>
      </c>
      <c r="F457" s="14">
        <v>19968</v>
      </c>
      <c r="G457" s="14">
        <v>13977.6</v>
      </c>
      <c r="H457" s="37">
        <f>'Calculation Sheet'!N457</f>
        <v>13977.6</v>
      </c>
    </row>
    <row r="458" spans="1:8" x14ac:dyDescent="0.25">
      <c r="A458" s="14" t="s">
        <v>1852</v>
      </c>
      <c r="B458" s="14">
        <v>81</v>
      </c>
      <c r="C458" s="15" t="s">
        <v>1986</v>
      </c>
      <c r="D458" s="14" t="s">
        <v>1745</v>
      </c>
      <c r="E458" s="14" t="s">
        <v>1747</v>
      </c>
      <c r="F458" s="14">
        <v>1597320</v>
      </c>
      <c r="G458" s="14">
        <v>1118124</v>
      </c>
      <c r="H458" s="37">
        <f>'Calculation Sheet'!N458</f>
        <v>1118124</v>
      </c>
    </row>
    <row r="459" spans="1:8" x14ac:dyDescent="0.25">
      <c r="A459" s="14" t="s">
        <v>1852</v>
      </c>
      <c r="B459" s="14" t="s">
        <v>1632</v>
      </c>
      <c r="C459" s="15" t="s">
        <v>1987</v>
      </c>
      <c r="D459" s="14" t="s">
        <v>1745</v>
      </c>
      <c r="E459" s="14" t="s">
        <v>1747</v>
      </c>
      <c r="F459" s="14">
        <v>149760</v>
      </c>
      <c r="G459" s="14">
        <v>134784</v>
      </c>
      <c r="H459" s="37">
        <f>'Calculation Sheet'!N459</f>
        <v>134784</v>
      </c>
    </row>
    <row r="460" spans="1:8" x14ac:dyDescent="0.25">
      <c r="A460" s="14" t="s">
        <v>1852</v>
      </c>
      <c r="B460" s="14" t="s">
        <v>1651</v>
      </c>
      <c r="C460" s="15" t="s">
        <v>1971</v>
      </c>
      <c r="D460" s="14" t="s">
        <v>1745</v>
      </c>
      <c r="E460" s="14" t="s">
        <v>1747</v>
      </c>
      <c r="F460" s="14">
        <v>199680</v>
      </c>
      <c r="G460" s="14">
        <v>139776</v>
      </c>
      <c r="H460" s="37">
        <f>'Calculation Sheet'!N460</f>
        <v>139776</v>
      </c>
    </row>
    <row r="461" spans="1:8" x14ac:dyDescent="0.25">
      <c r="A461" s="14" t="s">
        <v>1852</v>
      </c>
      <c r="B461" s="14" t="s">
        <v>195</v>
      </c>
      <c r="C461" s="15" t="s">
        <v>1988</v>
      </c>
      <c r="D461" s="14" t="s">
        <v>1745</v>
      </c>
      <c r="E461" s="14" t="s">
        <v>1746</v>
      </c>
      <c r="F461" s="14">
        <v>15199695</v>
      </c>
      <c r="G461" s="14">
        <v>10639787</v>
      </c>
      <c r="H461" s="37">
        <f>'Calculation Sheet'!N461</f>
        <v>10639787</v>
      </c>
    </row>
    <row r="462" spans="1:8" x14ac:dyDescent="0.25">
      <c r="A462" s="14" t="s">
        <v>1852</v>
      </c>
      <c r="B462" s="14">
        <v>69</v>
      </c>
      <c r="C462" s="15" t="s">
        <v>1956</v>
      </c>
      <c r="D462" s="14" t="s">
        <v>1749</v>
      </c>
      <c r="E462" s="14" t="s">
        <v>1746</v>
      </c>
      <c r="F462" s="14">
        <v>14976</v>
      </c>
      <c r="G462" s="14">
        <v>13478.4</v>
      </c>
      <c r="H462" s="37">
        <f>'Calculation Sheet'!N462</f>
        <v>13478.4</v>
      </c>
    </row>
    <row r="463" spans="1:8" x14ac:dyDescent="0.25">
      <c r="A463" s="14" t="s">
        <v>1850</v>
      </c>
      <c r="B463" s="14">
        <v>2</v>
      </c>
      <c r="C463" s="15" t="s">
        <v>1948</v>
      </c>
      <c r="D463" s="14" t="s">
        <v>1752</v>
      </c>
      <c r="E463" s="14" t="s">
        <v>1753</v>
      </c>
      <c r="F463" s="14">
        <v>628920</v>
      </c>
      <c r="G463" s="14">
        <v>440244</v>
      </c>
      <c r="H463" s="37">
        <f>'Calculation Sheet'!N463</f>
        <v>440244</v>
      </c>
    </row>
    <row r="464" spans="1:8" x14ac:dyDescent="0.25">
      <c r="A464" s="14" t="s">
        <v>1852</v>
      </c>
      <c r="B464" s="14" t="s">
        <v>1639</v>
      </c>
      <c r="C464" s="15" t="s">
        <v>1959</v>
      </c>
      <c r="D464" s="14" t="s">
        <v>1745</v>
      </c>
      <c r="E464" s="14" t="s">
        <v>1746</v>
      </c>
      <c r="F464" s="14">
        <v>8359848</v>
      </c>
      <c r="G464" s="14">
        <v>5851894</v>
      </c>
      <c r="H464" s="37">
        <f>'Calculation Sheet'!N464</f>
        <v>5851894</v>
      </c>
    </row>
    <row r="465" spans="1:8" x14ac:dyDescent="0.25">
      <c r="A465" s="14" t="s">
        <v>1852</v>
      </c>
      <c r="B465" s="14">
        <v>14</v>
      </c>
      <c r="C465" s="15" t="s">
        <v>1989</v>
      </c>
      <c r="D465" s="14" t="s">
        <v>1749</v>
      </c>
      <c r="E465" s="14" t="s">
        <v>1746</v>
      </c>
      <c r="F465" s="14">
        <v>49914</v>
      </c>
      <c r="G465" s="14">
        <v>34939.800000000003</v>
      </c>
      <c r="H465" s="37">
        <f>'Calculation Sheet'!N465</f>
        <v>34939.800000000003</v>
      </c>
    </row>
    <row r="466" spans="1:8" x14ac:dyDescent="0.25">
      <c r="A466" s="14" t="s">
        <v>1852</v>
      </c>
      <c r="B466" s="14" t="s">
        <v>1628</v>
      </c>
      <c r="C466" s="15" t="s">
        <v>1990</v>
      </c>
      <c r="D466" s="14" t="s">
        <v>1745</v>
      </c>
      <c r="E466" s="14" t="s">
        <v>1746</v>
      </c>
      <c r="F466" s="14">
        <v>288288</v>
      </c>
      <c r="G466" s="14">
        <v>201801.60000000001</v>
      </c>
      <c r="H466" s="37">
        <f>'Calculation Sheet'!N466</f>
        <v>201801.60000000001</v>
      </c>
    </row>
    <row r="467" spans="1:8" x14ac:dyDescent="0.25">
      <c r="A467" s="14" t="s">
        <v>1852</v>
      </c>
      <c r="B467" s="14" t="s">
        <v>1991</v>
      </c>
      <c r="C467" s="15" t="s">
        <v>1992</v>
      </c>
      <c r="D467" s="14" t="s">
        <v>1745</v>
      </c>
      <c r="E467" s="14" t="s">
        <v>1747</v>
      </c>
      <c r="F467" s="14">
        <v>7961760</v>
      </c>
      <c r="G467" s="14">
        <v>5573232</v>
      </c>
      <c r="H467" s="37">
        <f>'Calculation Sheet'!N467</f>
        <v>5573232</v>
      </c>
    </row>
    <row r="468" spans="1:8" x14ac:dyDescent="0.25">
      <c r="A468" s="14" t="s">
        <v>1852</v>
      </c>
      <c r="B468" s="14">
        <v>51</v>
      </c>
      <c r="C468" s="15" t="s">
        <v>1960</v>
      </c>
      <c r="D468" s="14" t="s">
        <v>1745</v>
      </c>
      <c r="E468" s="14" t="s">
        <v>1746</v>
      </c>
      <c r="F468" s="14">
        <v>12998349</v>
      </c>
      <c r="G468" s="14">
        <v>9098844</v>
      </c>
      <c r="H468" s="37">
        <f>'Calculation Sheet'!N468</f>
        <v>9098844</v>
      </c>
    </row>
    <row r="469" spans="1:8" x14ac:dyDescent="0.25">
      <c r="A469" s="14" t="s">
        <v>1852</v>
      </c>
      <c r="B469" s="14" t="s">
        <v>1634</v>
      </c>
      <c r="C469" s="15" t="s">
        <v>1869</v>
      </c>
      <c r="D469" s="14" t="s">
        <v>1745</v>
      </c>
      <c r="E469" s="14" t="s">
        <v>1746</v>
      </c>
      <c r="F469" s="14">
        <v>209664</v>
      </c>
      <c r="G469" s="14">
        <v>146764.79999999999</v>
      </c>
      <c r="H469" s="37">
        <f>'Calculation Sheet'!N469</f>
        <v>146764.79999999999</v>
      </c>
    </row>
    <row r="470" spans="1:8" x14ac:dyDescent="0.25">
      <c r="A470" s="14" t="s">
        <v>1852</v>
      </c>
      <c r="B470" s="14" t="s">
        <v>24</v>
      </c>
      <c r="C470" s="15" t="s">
        <v>1993</v>
      </c>
      <c r="D470" s="14" t="s">
        <v>1749</v>
      </c>
      <c r="E470" s="14" t="s">
        <v>1746</v>
      </c>
      <c r="F470" s="14">
        <v>49914</v>
      </c>
      <c r="G470" s="14">
        <v>34939.800000000003</v>
      </c>
      <c r="H470" s="37">
        <f>'Calculation Sheet'!N470</f>
        <v>34939.800000000003</v>
      </c>
    </row>
    <row r="471" spans="1:8" x14ac:dyDescent="0.25">
      <c r="A471" s="14" t="s">
        <v>1852</v>
      </c>
      <c r="B471" s="14" t="s">
        <v>20</v>
      </c>
      <c r="C471" s="15" t="s">
        <v>1978</v>
      </c>
      <c r="D471" s="14" t="s">
        <v>1749</v>
      </c>
      <c r="E471" s="14" t="s">
        <v>1746</v>
      </c>
      <c r="F471" s="14">
        <v>399336</v>
      </c>
      <c r="G471" s="14">
        <v>279535.2</v>
      </c>
      <c r="H471" s="37">
        <f>'Calculation Sheet'!N471</f>
        <v>279535.2</v>
      </c>
    </row>
    <row r="472" spans="1:8" x14ac:dyDescent="0.25">
      <c r="A472" s="14" t="s">
        <v>1850</v>
      </c>
      <c r="B472" s="14">
        <v>1</v>
      </c>
      <c r="C472" s="15" t="s">
        <v>1851</v>
      </c>
      <c r="D472" s="14" t="s">
        <v>1752</v>
      </c>
      <c r="E472" s="14" t="s">
        <v>1746</v>
      </c>
      <c r="F472" s="14">
        <v>94311</v>
      </c>
      <c r="G472" s="14">
        <v>66017.88</v>
      </c>
      <c r="H472" s="37">
        <f>'Calculation Sheet'!N472</f>
        <v>66017.88</v>
      </c>
    </row>
    <row r="473" spans="1:8" x14ac:dyDescent="0.25">
      <c r="A473" s="14" t="s">
        <v>1852</v>
      </c>
      <c r="B473" s="14">
        <v>64</v>
      </c>
      <c r="C473" s="15" t="s">
        <v>1865</v>
      </c>
      <c r="D473" s="14" t="s">
        <v>1749</v>
      </c>
      <c r="E473" s="14" t="s">
        <v>1746</v>
      </c>
      <c r="F473" s="14">
        <v>19968</v>
      </c>
      <c r="G473" s="14">
        <v>13977.6</v>
      </c>
      <c r="H473" s="37">
        <f>'Calculation Sheet'!N473</f>
        <v>13977.6</v>
      </c>
    </row>
    <row r="474" spans="1:8" ht="30" x14ac:dyDescent="0.25">
      <c r="A474" s="14" t="s">
        <v>1850</v>
      </c>
      <c r="B474" s="14" t="s">
        <v>39</v>
      </c>
      <c r="C474" s="15" t="s">
        <v>1854</v>
      </c>
      <c r="D474" s="14" t="s">
        <v>1745</v>
      </c>
      <c r="E474" s="14" t="s">
        <v>1747</v>
      </c>
      <c r="F474" s="14">
        <v>12000</v>
      </c>
      <c r="G474" s="14">
        <v>8400</v>
      </c>
      <c r="H474" s="37">
        <f>'Calculation Sheet'!N474</f>
        <v>8400</v>
      </c>
    </row>
    <row r="475" spans="1:8" x14ac:dyDescent="0.25">
      <c r="A475" s="14" t="s">
        <v>1852</v>
      </c>
      <c r="B475" s="14">
        <v>13</v>
      </c>
      <c r="C475" s="15" t="s">
        <v>1863</v>
      </c>
      <c r="D475" s="14" t="s">
        <v>1745</v>
      </c>
      <c r="E475" s="14" t="s">
        <v>1746</v>
      </c>
      <c r="F475" s="14">
        <v>4193028</v>
      </c>
      <c r="G475" s="14">
        <v>2935120</v>
      </c>
      <c r="H475" s="37">
        <f>'Calculation Sheet'!N475</f>
        <v>2935120</v>
      </c>
    </row>
    <row r="476" spans="1:8" x14ac:dyDescent="0.25">
      <c r="A476" s="14" t="s">
        <v>1852</v>
      </c>
      <c r="B476" s="14" t="s">
        <v>417</v>
      </c>
      <c r="C476" s="15" t="s">
        <v>1868</v>
      </c>
      <c r="D476" s="14" t="s">
        <v>1745</v>
      </c>
      <c r="E476" s="14" t="s">
        <v>1747</v>
      </c>
      <c r="F476" s="14">
        <v>4342740</v>
      </c>
      <c r="G476" s="14">
        <v>3908466</v>
      </c>
      <c r="H476" s="37">
        <f>'Calculation Sheet'!N476</f>
        <v>3908466</v>
      </c>
    </row>
    <row r="477" spans="1:8" x14ac:dyDescent="0.25">
      <c r="A477" s="14" t="s">
        <v>1852</v>
      </c>
      <c r="B477" s="14" t="s">
        <v>195</v>
      </c>
      <c r="C477" s="15" t="s">
        <v>1988</v>
      </c>
      <c r="D477" s="14" t="s">
        <v>1745</v>
      </c>
      <c r="E477" s="14" t="s">
        <v>1747</v>
      </c>
      <c r="F477" s="14">
        <v>14475900</v>
      </c>
      <c r="G477" s="14">
        <v>10133130</v>
      </c>
      <c r="H477" s="37">
        <f>'Calculation Sheet'!N477</f>
        <v>10133130</v>
      </c>
    </row>
    <row r="478" spans="1:8" x14ac:dyDescent="0.25">
      <c r="A478" s="14" t="s">
        <v>1852</v>
      </c>
      <c r="B478" s="14" t="s">
        <v>1735</v>
      </c>
      <c r="C478" s="15" t="s">
        <v>1994</v>
      </c>
      <c r="D478" s="14" t="s">
        <v>1749</v>
      </c>
      <c r="E478" s="14" t="s">
        <v>1746</v>
      </c>
      <c r="F478" s="14">
        <v>119802</v>
      </c>
      <c r="G478" s="14">
        <v>107821.8</v>
      </c>
      <c r="H478" s="37">
        <f>'Calculation Sheet'!N478</f>
        <v>107821.8</v>
      </c>
    </row>
    <row r="479" spans="1:8" x14ac:dyDescent="0.25">
      <c r="A479" s="14" t="s">
        <v>1852</v>
      </c>
      <c r="B479" s="14">
        <v>74</v>
      </c>
      <c r="C479" s="15" t="s">
        <v>1995</v>
      </c>
      <c r="D479" s="14" t="s">
        <v>1745</v>
      </c>
      <c r="E479" s="14" t="s">
        <v>1746</v>
      </c>
      <c r="F479" s="14">
        <v>9748746</v>
      </c>
      <c r="G479" s="14">
        <v>8773871</v>
      </c>
      <c r="H479" s="37">
        <f>'Calculation Sheet'!N479</f>
        <v>8773871</v>
      </c>
    </row>
    <row r="480" spans="1:8" x14ac:dyDescent="0.25">
      <c r="A480" s="14" t="s">
        <v>1852</v>
      </c>
      <c r="B480" s="14">
        <v>74</v>
      </c>
      <c r="C480" s="15" t="s">
        <v>1995</v>
      </c>
      <c r="D480" s="14" t="s">
        <v>1749</v>
      </c>
      <c r="E480" s="14" t="s">
        <v>1746</v>
      </c>
      <c r="F480" s="14">
        <v>928452</v>
      </c>
      <c r="G480" s="14">
        <v>835606.8</v>
      </c>
      <c r="H480" s="37">
        <f>'Calculation Sheet'!N480</f>
        <v>835606.8</v>
      </c>
    </row>
    <row r="481" spans="1:8" x14ac:dyDescent="0.25">
      <c r="A481" s="14" t="s">
        <v>1852</v>
      </c>
      <c r="B481" s="14" t="s">
        <v>1976</v>
      </c>
      <c r="C481" s="15" t="s">
        <v>1977</v>
      </c>
      <c r="D481" s="14" t="s">
        <v>1745</v>
      </c>
      <c r="E481" s="14" t="s">
        <v>1746</v>
      </c>
      <c r="F481" s="14">
        <v>17872722</v>
      </c>
      <c r="G481" s="14">
        <v>12510905</v>
      </c>
      <c r="H481" s="37">
        <f>'Calculation Sheet'!N481</f>
        <v>12510905</v>
      </c>
    </row>
    <row r="482" spans="1:8" x14ac:dyDescent="0.25">
      <c r="A482" s="14" t="s">
        <v>1852</v>
      </c>
      <c r="B482" s="14">
        <v>87</v>
      </c>
      <c r="C482" s="15" t="s">
        <v>1867</v>
      </c>
      <c r="D482" s="14" t="s">
        <v>1749</v>
      </c>
      <c r="E482" s="14" t="s">
        <v>1746</v>
      </c>
      <c r="F482" s="14">
        <v>119802</v>
      </c>
      <c r="G482" s="14">
        <v>107821.8</v>
      </c>
      <c r="H482" s="37">
        <f>'Calculation Sheet'!N482</f>
        <v>107821.8</v>
      </c>
    </row>
    <row r="483" spans="1:8" x14ac:dyDescent="0.25">
      <c r="A483" s="14" t="s">
        <v>1852</v>
      </c>
      <c r="B483" s="14">
        <v>89</v>
      </c>
      <c r="C483" s="15" t="s">
        <v>1912</v>
      </c>
      <c r="D483" s="14" t="s">
        <v>1745</v>
      </c>
      <c r="E483" s="14" t="s">
        <v>1746</v>
      </c>
      <c r="F483" s="14">
        <v>1677186</v>
      </c>
      <c r="G483" s="14">
        <v>1174030</v>
      </c>
      <c r="H483" s="37">
        <f>'Calculation Sheet'!N483</f>
        <v>1174030</v>
      </c>
    </row>
    <row r="484" spans="1:8" x14ac:dyDescent="0.25">
      <c r="A484" s="14" t="s">
        <v>1852</v>
      </c>
      <c r="B484" s="14" t="s">
        <v>1641</v>
      </c>
      <c r="C484" s="15" t="s">
        <v>1996</v>
      </c>
      <c r="D484" s="14" t="s">
        <v>1749</v>
      </c>
      <c r="E484" s="14" t="s">
        <v>1746</v>
      </c>
      <c r="F484" s="14">
        <v>14976</v>
      </c>
      <c r="G484" s="14">
        <v>13478.4</v>
      </c>
      <c r="H484" s="37">
        <f>'Calculation Sheet'!N484</f>
        <v>13478.4</v>
      </c>
    </row>
    <row r="485" spans="1:8" x14ac:dyDescent="0.25">
      <c r="A485" s="14" t="s">
        <v>1850</v>
      </c>
      <c r="B485" s="14" t="s">
        <v>36</v>
      </c>
      <c r="C485" s="15" t="s">
        <v>1997</v>
      </c>
      <c r="D485" s="14" t="s">
        <v>1749</v>
      </c>
      <c r="E485" s="14" t="s">
        <v>1746</v>
      </c>
      <c r="F485" s="14">
        <v>8388</v>
      </c>
      <c r="G485" s="14">
        <v>7549.2</v>
      </c>
      <c r="H485" s="37">
        <f>'Calculation Sheet'!N485</f>
        <v>7549.2</v>
      </c>
    </row>
    <row r="486" spans="1:8" x14ac:dyDescent="0.25">
      <c r="A486" s="14" t="s">
        <v>1852</v>
      </c>
      <c r="B486" s="14" t="s">
        <v>1628</v>
      </c>
      <c r="C486" s="15" t="s">
        <v>1990</v>
      </c>
      <c r="D486" s="14" t="s">
        <v>1749</v>
      </c>
      <c r="E486" s="14" t="s">
        <v>1746</v>
      </c>
      <c r="F486" s="14">
        <v>27456</v>
      </c>
      <c r="G486" s="14">
        <v>19219.2</v>
      </c>
      <c r="H486" s="37">
        <f>'Calculation Sheet'!N486</f>
        <v>19219.2</v>
      </c>
    </row>
    <row r="487" spans="1:8" x14ac:dyDescent="0.25">
      <c r="A487" s="14" t="s">
        <v>1852</v>
      </c>
      <c r="B487" s="14">
        <v>12</v>
      </c>
      <c r="C487" s="15" t="s">
        <v>1998</v>
      </c>
      <c r="D487" s="14" t="s">
        <v>1745</v>
      </c>
      <c r="E487" s="14" t="s">
        <v>1746</v>
      </c>
      <c r="F487" s="14">
        <v>524097</v>
      </c>
      <c r="G487" s="14">
        <v>366868</v>
      </c>
      <c r="H487" s="37">
        <f>'Calculation Sheet'!N487</f>
        <v>366868</v>
      </c>
    </row>
    <row r="488" spans="1:8" x14ac:dyDescent="0.25">
      <c r="A488" s="14" t="s">
        <v>1852</v>
      </c>
      <c r="B488" s="14" t="s">
        <v>29</v>
      </c>
      <c r="C488" s="15" t="s">
        <v>1943</v>
      </c>
      <c r="D488" s="14" t="s">
        <v>1749</v>
      </c>
      <c r="E488" s="14" t="s">
        <v>1746</v>
      </c>
      <c r="F488" s="14">
        <v>1447590</v>
      </c>
      <c r="G488" s="14">
        <v>1013313</v>
      </c>
      <c r="H488" s="37">
        <f>'Calculation Sheet'!N488</f>
        <v>1013313</v>
      </c>
    </row>
    <row r="489" spans="1:8" x14ac:dyDescent="0.25">
      <c r="A489" s="14" t="s">
        <v>1850</v>
      </c>
      <c r="B489" s="14">
        <v>2</v>
      </c>
      <c r="C489" s="15" t="s">
        <v>1948</v>
      </c>
      <c r="D489" s="14" t="s">
        <v>1745</v>
      </c>
      <c r="E489" s="14" t="s">
        <v>1746</v>
      </c>
      <c r="F489" s="14">
        <v>220122</v>
      </c>
      <c r="G489" s="14">
        <v>154085.4</v>
      </c>
      <c r="H489" s="37">
        <f>'Calculation Sheet'!N489</f>
        <v>154085.4</v>
      </c>
    </row>
    <row r="490" spans="1:8" x14ac:dyDescent="0.25">
      <c r="A490" s="14" t="s">
        <v>1852</v>
      </c>
      <c r="B490" s="14" t="s">
        <v>1651</v>
      </c>
      <c r="C490" s="15" t="s">
        <v>1971</v>
      </c>
      <c r="D490" s="14" t="s">
        <v>1745</v>
      </c>
      <c r="E490" s="14" t="s">
        <v>1746</v>
      </c>
      <c r="F490" s="14">
        <v>209664</v>
      </c>
      <c r="G490" s="14">
        <v>146764.79999999999</v>
      </c>
      <c r="H490" s="37">
        <f>'Calculation Sheet'!N490</f>
        <v>146764.79999999999</v>
      </c>
    </row>
    <row r="491" spans="1:8" x14ac:dyDescent="0.25">
      <c r="A491" s="14" t="s">
        <v>1852</v>
      </c>
      <c r="B491" s="14" t="s">
        <v>401</v>
      </c>
      <c r="C491" s="15" t="s">
        <v>1999</v>
      </c>
      <c r="D491" s="14" t="s">
        <v>1749</v>
      </c>
      <c r="E491" s="14" t="s">
        <v>1746</v>
      </c>
      <c r="F491" s="14">
        <v>219636</v>
      </c>
      <c r="G491" s="14">
        <v>153745.20000000001</v>
      </c>
      <c r="H491" s="37">
        <f>'Calculation Sheet'!N491</f>
        <v>153745.20000000001</v>
      </c>
    </row>
    <row r="492" spans="1:8" x14ac:dyDescent="0.25">
      <c r="A492" s="14" t="s">
        <v>1852</v>
      </c>
      <c r="B492" s="14">
        <v>89</v>
      </c>
      <c r="C492" s="15" t="s">
        <v>1912</v>
      </c>
      <c r="D492" s="14" t="s">
        <v>1749</v>
      </c>
      <c r="E492" s="14" t="s">
        <v>1746</v>
      </c>
      <c r="F492" s="14">
        <v>159732</v>
      </c>
      <c r="G492" s="14">
        <v>111812.4</v>
      </c>
      <c r="H492" s="37">
        <f>'Calculation Sheet'!N492</f>
        <v>111812.4</v>
      </c>
    </row>
    <row r="493" spans="1:8" x14ac:dyDescent="0.25">
      <c r="A493" s="14" t="s">
        <v>1852</v>
      </c>
      <c r="B493" s="14">
        <v>56</v>
      </c>
      <c r="C493" s="15" t="s">
        <v>1921</v>
      </c>
      <c r="D493" s="14" t="s">
        <v>1749</v>
      </c>
      <c r="E493" s="14" t="s">
        <v>1746</v>
      </c>
      <c r="F493" s="14">
        <v>1237938</v>
      </c>
      <c r="G493" s="14">
        <v>866556.6</v>
      </c>
      <c r="H493" s="37">
        <f>'Calculation Sheet'!N493</f>
        <v>866556.6</v>
      </c>
    </row>
    <row r="494" spans="1:8" x14ac:dyDescent="0.25">
      <c r="A494" s="14" t="s">
        <v>1852</v>
      </c>
      <c r="B494" s="14" t="s">
        <v>118</v>
      </c>
      <c r="C494" s="15" t="s">
        <v>1862</v>
      </c>
      <c r="D494" s="14" t="s">
        <v>1745</v>
      </c>
      <c r="E494" s="14" t="s">
        <v>1747</v>
      </c>
      <c r="F494" s="14">
        <v>14475900</v>
      </c>
      <c r="G494" s="14">
        <v>10133130</v>
      </c>
      <c r="H494" s="37">
        <f>'Calculation Sheet'!N494</f>
        <v>10133130</v>
      </c>
    </row>
    <row r="495" spans="1:8" x14ac:dyDescent="0.25">
      <c r="A495" s="14" t="s">
        <v>1852</v>
      </c>
      <c r="B495" s="14">
        <v>59</v>
      </c>
      <c r="C495" s="15" t="s">
        <v>2000</v>
      </c>
      <c r="D495" s="14" t="s">
        <v>1745</v>
      </c>
      <c r="E495" s="14" t="s">
        <v>1747</v>
      </c>
      <c r="F495" s="14">
        <v>149760</v>
      </c>
      <c r="G495" s="14">
        <v>134784</v>
      </c>
      <c r="H495" s="37">
        <f>'Calculation Sheet'!N495</f>
        <v>134784</v>
      </c>
    </row>
    <row r="496" spans="1:8" x14ac:dyDescent="0.25">
      <c r="A496" s="14" t="s">
        <v>1852</v>
      </c>
      <c r="B496" s="14" t="s">
        <v>1735</v>
      </c>
      <c r="C496" s="15" t="s">
        <v>1994</v>
      </c>
      <c r="D496" s="14" t="s">
        <v>1745</v>
      </c>
      <c r="E496" s="14" t="s">
        <v>1746</v>
      </c>
      <c r="F496" s="14">
        <v>1257921</v>
      </c>
      <c r="G496" s="14">
        <v>1132129</v>
      </c>
      <c r="H496" s="37">
        <f>'Calculation Sheet'!N496</f>
        <v>1132129</v>
      </c>
    </row>
    <row r="497" spans="1:8" x14ac:dyDescent="0.25">
      <c r="A497" s="14" t="s">
        <v>1852</v>
      </c>
      <c r="B497" s="14" t="s">
        <v>102</v>
      </c>
      <c r="C497" s="15" t="s">
        <v>2001</v>
      </c>
      <c r="D497" s="14" t="s">
        <v>1745</v>
      </c>
      <c r="E497" s="14" t="s">
        <v>1746</v>
      </c>
      <c r="F497" s="14">
        <v>15199695</v>
      </c>
      <c r="G497" s="14">
        <v>10639787</v>
      </c>
      <c r="H497" s="37">
        <f>'Calculation Sheet'!N497</f>
        <v>10639787</v>
      </c>
    </row>
    <row r="498" spans="1:8" x14ac:dyDescent="0.25">
      <c r="A498" s="14" t="s">
        <v>1852</v>
      </c>
      <c r="B498" s="14" t="s">
        <v>1900</v>
      </c>
      <c r="C498" s="15" t="s">
        <v>1901</v>
      </c>
      <c r="D498" s="14" t="s">
        <v>1749</v>
      </c>
      <c r="E498" s="14" t="s">
        <v>1746</v>
      </c>
      <c r="F498" s="14">
        <v>159732</v>
      </c>
      <c r="G498" s="14">
        <v>111812.4</v>
      </c>
      <c r="H498" s="37">
        <f>'Calculation Sheet'!N498</f>
        <v>111812.4</v>
      </c>
    </row>
    <row r="499" spans="1:8" x14ac:dyDescent="0.25">
      <c r="A499" s="14" t="s">
        <v>1852</v>
      </c>
      <c r="B499" s="14" t="s">
        <v>401</v>
      </c>
      <c r="C499" s="15" t="s">
        <v>1999</v>
      </c>
      <c r="D499" s="14" t="s">
        <v>1745</v>
      </c>
      <c r="E499" s="14" t="s">
        <v>1746</v>
      </c>
      <c r="F499" s="14">
        <v>2306178</v>
      </c>
      <c r="G499" s="14">
        <v>1614325</v>
      </c>
      <c r="H499" s="37">
        <f>'Calculation Sheet'!N499</f>
        <v>1614325</v>
      </c>
    </row>
    <row r="500" spans="1:8" x14ac:dyDescent="0.25">
      <c r="A500" s="14" t="s">
        <v>1852</v>
      </c>
      <c r="B500" s="14" t="s">
        <v>1924</v>
      </c>
      <c r="C500" s="15" t="s">
        <v>1925</v>
      </c>
      <c r="D500" s="14" t="s">
        <v>1745</v>
      </c>
      <c r="E500" s="14" t="s">
        <v>1747</v>
      </c>
      <c r="F500" s="14">
        <v>274560</v>
      </c>
      <c r="G500" s="14">
        <v>192192</v>
      </c>
      <c r="H500" s="37">
        <f>'Calculation Sheet'!N500</f>
        <v>192192</v>
      </c>
    </row>
    <row r="501" spans="1:8" x14ac:dyDescent="0.25">
      <c r="A501" s="14" t="s">
        <v>1852</v>
      </c>
      <c r="B501" s="14" t="s">
        <v>1735</v>
      </c>
      <c r="C501" s="15" t="s">
        <v>1994</v>
      </c>
      <c r="D501" s="14" t="s">
        <v>1745</v>
      </c>
      <c r="E501" s="14" t="s">
        <v>1747</v>
      </c>
      <c r="F501" s="14">
        <v>1198020</v>
      </c>
      <c r="G501" s="14">
        <v>1078218</v>
      </c>
      <c r="H501" s="37">
        <f>'Calculation Sheet'!N501</f>
        <v>1078218</v>
      </c>
    </row>
    <row r="502" spans="1:8" x14ac:dyDescent="0.25">
      <c r="A502" s="14" t="s">
        <v>1852</v>
      </c>
      <c r="B502" s="14">
        <v>68</v>
      </c>
      <c r="C502" s="15" t="s">
        <v>1871</v>
      </c>
      <c r="D502" s="14" t="s">
        <v>1745</v>
      </c>
      <c r="E502" s="14" t="s">
        <v>1746</v>
      </c>
      <c r="F502" s="14">
        <v>288288</v>
      </c>
      <c r="G502" s="14">
        <v>201801.60000000001</v>
      </c>
      <c r="H502" s="37">
        <f>'Calculation Sheet'!N502</f>
        <v>201801.60000000001</v>
      </c>
    </row>
    <row r="503" spans="1:8" x14ac:dyDescent="0.25">
      <c r="A503" s="14" t="s">
        <v>1852</v>
      </c>
      <c r="B503" s="14">
        <v>82</v>
      </c>
      <c r="C503" s="15" t="s">
        <v>2002</v>
      </c>
      <c r="D503" s="14" t="s">
        <v>1745</v>
      </c>
      <c r="E503" s="14" t="s">
        <v>1747</v>
      </c>
      <c r="F503" s="14">
        <v>2196360</v>
      </c>
      <c r="G503" s="14">
        <v>1537452</v>
      </c>
      <c r="H503" s="37">
        <f>'Calculation Sheet'!N503</f>
        <v>1537452</v>
      </c>
    </row>
    <row r="504" spans="1:8" ht="30" x14ac:dyDescent="0.25">
      <c r="A504" s="14" t="s">
        <v>1850</v>
      </c>
      <c r="B504" s="14" t="s">
        <v>50</v>
      </c>
      <c r="C504" s="15" t="s">
        <v>1947</v>
      </c>
      <c r="D504" s="14" t="s">
        <v>1745</v>
      </c>
      <c r="E504" s="14" t="s">
        <v>1747</v>
      </c>
      <c r="F504" s="14">
        <v>15000</v>
      </c>
      <c r="G504" s="14">
        <v>13500</v>
      </c>
      <c r="H504" s="37">
        <f>'Calculation Sheet'!N504</f>
        <v>13500</v>
      </c>
    </row>
    <row r="505" spans="1:8" x14ac:dyDescent="0.25">
      <c r="A505" s="14" t="s">
        <v>1852</v>
      </c>
      <c r="B505" s="14">
        <v>51</v>
      </c>
      <c r="C505" s="15" t="s">
        <v>1960</v>
      </c>
      <c r="D505" s="14" t="s">
        <v>1749</v>
      </c>
      <c r="E505" s="14" t="s">
        <v>1746</v>
      </c>
      <c r="F505" s="14">
        <v>1237938</v>
      </c>
      <c r="G505" s="14">
        <v>866556.6</v>
      </c>
      <c r="H505" s="37">
        <f>'Calculation Sheet'!N505</f>
        <v>866556.6</v>
      </c>
    </row>
    <row r="506" spans="1:8" x14ac:dyDescent="0.25">
      <c r="A506" s="14" t="s">
        <v>1852</v>
      </c>
      <c r="B506" s="14" t="s">
        <v>73</v>
      </c>
      <c r="C506" s="15" t="s">
        <v>2003</v>
      </c>
      <c r="D506" s="14" t="s">
        <v>1745</v>
      </c>
      <c r="E506" s="14" t="s">
        <v>1746</v>
      </c>
      <c r="F506" s="14">
        <v>524097</v>
      </c>
      <c r="G506" s="14">
        <v>366868</v>
      </c>
      <c r="H506" s="37">
        <f>'Calculation Sheet'!N506</f>
        <v>366868</v>
      </c>
    </row>
    <row r="507" spans="1:8" x14ac:dyDescent="0.25">
      <c r="A507" s="14" t="s">
        <v>1852</v>
      </c>
      <c r="B507" s="14" t="s">
        <v>402</v>
      </c>
      <c r="C507" s="15" t="s">
        <v>1932</v>
      </c>
      <c r="D507" s="14" t="s">
        <v>1745</v>
      </c>
      <c r="E507" s="14" t="s">
        <v>1746</v>
      </c>
      <c r="F507" s="14">
        <v>8359848</v>
      </c>
      <c r="G507" s="14">
        <v>5851894</v>
      </c>
      <c r="H507" s="37">
        <f>'Calculation Sheet'!N507</f>
        <v>5851894</v>
      </c>
    </row>
    <row r="508" spans="1:8" x14ac:dyDescent="0.25">
      <c r="A508" s="14" t="s">
        <v>1852</v>
      </c>
      <c r="B508" s="14">
        <v>73</v>
      </c>
      <c r="C508" s="15" t="s">
        <v>1954</v>
      </c>
      <c r="D508" s="14" t="s">
        <v>1745</v>
      </c>
      <c r="E508" s="14" t="s">
        <v>1747</v>
      </c>
      <c r="F508" s="14">
        <v>12379380</v>
      </c>
      <c r="G508" s="14">
        <v>8665566</v>
      </c>
      <c r="H508" s="37">
        <f>'Calculation Sheet'!N508</f>
        <v>8665566</v>
      </c>
    </row>
    <row r="509" spans="1:8" x14ac:dyDescent="0.25">
      <c r="A509" s="14" t="s">
        <v>1852</v>
      </c>
      <c r="B509" s="14">
        <v>87</v>
      </c>
      <c r="C509" s="15" t="s">
        <v>1867</v>
      </c>
      <c r="D509" s="14" t="s">
        <v>1745</v>
      </c>
      <c r="E509" s="14" t="s">
        <v>1746</v>
      </c>
      <c r="F509" s="14">
        <v>1257921</v>
      </c>
      <c r="G509" s="14">
        <v>1132129</v>
      </c>
      <c r="H509" s="37">
        <f>'Calculation Sheet'!N509</f>
        <v>1132129</v>
      </c>
    </row>
    <row r="510" spans="1:8" x14ac:dyDescent="0.25">
      <c r="A510" s="14" t="s">
        <v>1852</v>
      </c>
      <c r="B510" s="14" t="s">
        <v>16</v>
      </c>
      <c r="C510" s="15" t="s">
        <v>1889</v>
      </c>
      <c r="D510" s="14" t="s">
        <v>1745</v>
      </c>
      <c r="E510" s="14" t="s">
        <v>1747</v>
      </c>
      <c r="F510" s="14">
        <v>499140</v>
      </c>
      <c r="G510" s="14">
        <v>349398</v>
      </c>
      <c r="H510" s="37">
        <f>'Calculation Sheet'!N510</f>
        <v>349398</v>
      </c>
    </row>
    <row r="511" spans="1:8" x14ac:dyDescent="0.25">
      <c r="A511" s="14" t="s">
        <v>1852</v>
      </c>
      <c r="B511" s="14" t="s">
        <v>1945</v>
      </c>
      <c r="C511" s="15" t="s">
        <v>1946</v>
      </c>
      <c r="D511" s="14" t="s">
        <v>1749</v>
      </c>
      <c r="E511" s="14" t="s">
        <v>1746</v>
      </c>
      <c r="F511" s="14">
        <v>119802</v>
      </c>
      <c r="G511" s="14">
        <v>107821.8</v>
      </c>
      <c r="H511" s="37">
        <f>'Calculation Sheet'!N511</f>
        <v>107821.8</v>
      </c>
    </row>
    <row r="512" spans="1:8" x14ac:dyDescent="0.25">
      <c r="A512" s="14" t="s">
        <v>1852</v>
      </c>
      <c r="B512" s="14" t="s">
        <v>89</v>
      </c>
      <c r="C512" s="15" t="s">
        <v>1929</v>
      </c>
      <c r="D512" s="14" t="s">
        <v>1745</v>
      </c>
      <c r="E512" s="14" t="s">
        <v>1747</v>
      </c>
      <c r="F512" s="14">
        <v>30948420</v>
      </c>
      <c r="G512" s="14">
        <v>21663894</v>
      </c>
      <c r="H512" s="37">
        <f>'Calculation Sheet'!N512</f>
        <v>21663894</v>
      </c>
    </row>
    <row r="513" spans="1:8" x14ac:dyDescent="0.25">
      <c r="A513" s="14" t="s">
        <v>1852</v>
      </c>
      <c r="B513" s="14" t="s">
        <v>34</v>
      </c>
      <c r="C513" s="15" t="s">
        <v>1915</v>
      </c>
      <c r="D513" s="14" t="s">
        <v>1745</v>
      </c>
      <c r="E513" s="14" t="s">
        <v>1747</v>
      </c>
      <c r="F513" s="14">
        <v>30948420</v>
      </c>
      <c r="G513" s="14">
        <v>21663894</v>
      </c>
      <c r="H513" s="37">
        <f>'Calculation Sheet'!N513</f>
        <v>21663894</v>
      </c>
    </row>
    <row r="514" spans="1:8" x14ac:dyDescent="0.25">
      <c r="A514" s="14" t="s">
        <v>1852</v>
      </c>
      <c r="B514" s="14">
        <v>57</v>
      </c>
      <c r="C514" s="15" t="s">
        <v>1914</v>
      </c>
      <c r="D514" s="14" t="s">
        <v>1749</v>
      </c>
      <c r="E514" s="14" t="s">
        <v>1746</v>
      </c>
      <c r="F514" s="14">
        <v>19968</v>
      </c>
      <c r="G514" s="14">
        <v>13977.6</v>
      </c>
      <c r="H514" s="37">
        <f>'Calculation Sheet'!N514</f>
        <v>13977.6</v>
      </c>
    </row>
    <row r="515" spans="1:8" x14ac:dyDescent="0.25">
      <c r="A515" s="14" t="s">
        <v>1852</v>
      </c>
      <c r="B515" s="14">
        <v>14</v>
      </c>
      <c r="C515" s="15" t="s">
        <v>1989</v>
      </c>
      <c r="D515" s="14" t="s">
        <v>1745</v>
      </c>
      <c r="E515" s="14" t="s">
        <v>1747</v>
      </c>
      <c r="F515" s="14">
        <v>499140</v>
      </c>
      <c r="G515" s="14">
        <v>349398</v>
      </c>
      <c r="H515" s="37">
        <f>'Calculation Sheet'!N515</f>
        <v>349398</v>
      </c>
    </row>
    <row r="516" spans="1:8" x14ac:dyDescent="0.25">
      <c r="A516" s="14" t="s">
        <v>1852</v>
      </c>
      <c r="B516" s="14">
        <v>75</v>
      </c>
      <c r="C516" s="15" t="s">
        <v>2004</v>
      </c>
      <c r="D516" s="14" t="s">
        <v>1749</v>
      </c>
      <c r="E516" s="14" t="s">
        <v>1746</v>
      </c>
      <c r="F516" s="14">
        <v>1702164</v>
      </c>
      <c r="G516" s="14">
        <v>1191515</v>
      </c>
      <c r="H516" s="37">
        <f>'Calculation Sheet'!N516</f>
        <v>1191515</v>
      </c>
    </row>
    <row r="517" spans="1:8" x14ac:dyDescent="0.25">
      <c r="A517" s="14" t="s">
        <v>1852</v>
      </c>
      <c r="B517" s="14">
        <v>53</v>
      </c>
      <c r="C517" s="15" t="s">
        <v>2005</v>
      </c>
      <c r="D517" s="14" t="s">
        <v>1745</v>
      </c>
      <c r="E517" s="14" t="s">
        <v>1747</v>
      </c>
      <c r="F517" s="14">
        <v>149760</v>
      </c>
      <c r="G517" s="14">
        <v>134784</v>
      </c>
      <c r="H517" s="37">
        <f>'Calculation Sheet'!N517</f>
        <v>134784</v>
      </c>
    </row>
    <row r="518" spans="1:8" x14ac:dyDescent="0.25">
      <c r="A518" s="14" t="s">
        <v>1852</v>
      </c>
      <c r="B518" s="14" t="s">
        <v>1641</v>
      </c>
      <c r="C518" s="15" t="s">
        <v>1996</v>
      </c>
      <c r="D518" s="14" t="s">
        <v>1745</v>
      </c>
      <c r="E518" s="14" t="s">
        <v>1747</v>
      </c>
      <c r="F518" s="14">
        <v>149760</v>
      </c>
      <c r="G518" s="14">
        <v>134784</v>
      </c>
      <c r="H518" s="37">
        <f>'Calculation Sheet'!N518</f>
        <v>134784</v>
      </c>
    </row>
    <row r="519" spans="1:8" x14ac:dyDescent="0.25">
      <c r="A519" s="14" t="s">
        <v>1852</v>
      </c>
      <c r="B519" s="14">
        <v>1</v>
      </c>
      <c r="C519" s="15" t="s">
        <v>1902</v>
      </c>
      <c r="D519" s="14" t="s">
        <v>1745</v>
      </c>
      <c r="E519" s="14" t="s">
        <v>1747</v>
      </c>
      <c r="F519" s="14">
        <v>3993360</v>
      </c>
      <c r="G519" s="14">
        <v>2795352</v>
      </c>
      <c r="H519" s="37">
        <f>'Calculation Sheet'!N519</f>
        <v>2795352</v>
      </c>
    </row>
    <row r="520" spans="1:8" x14ac:dyDescent="0.25">
      <c r="A520" s="14" t="s">
        <v>1852</v>
      </c>
      <c r="B520" s="14" t="s">
        <v>39</v>
      </c>
      <c r="C520" s="15" t="s">
        <v>1906</v>
      </c>
      <c r="D520" s="14" t="s">
        <v>1745</v>
      </c>
      <c r="E520" s="14" t="s">
        <v>1746</v>
      </c>
      <c r="F520" s="14">
        <v>15199695</v>
      </c>
      <c r="G520" s="14">
        <v>10639787</v>
      </c>
      <c r="H520" s="37">
        <f>'Calculation Sheet'!N520</f>
        <v>10639787</v>
      </c>
    </row>
    <row r="521" spans="1:8" x14ac:dyDescent="0.25">
      <c r="A521" s="14" t="s">
        <v>1852</v>
      </c>
      <c r="B521" s="14">
        <v>55</v>
      </c>
      <c r="C521" s="15" t="s">
        <v>2006</v>
      </c>
      <c r="D521" s="14" t="s">
        <v>1745</v>
      </c>
      <c r="E521" s="14" t="s">
        <v>1746</v>
      </c>
      <c r="F521" s="14">
        <v>17872722</v>
      </c>
      <c r="G521" s="14">
        <v>12510905</v>
      </c>
      <c r="H521" s="37">
        <f>'Calculation Sheet'!N521</f>
        <v>12510905</v>
      </c>
    </row>
    <row r="522" spans="1:8" x14ac:dyDescent="0.25">
      <c r="A522" s="14" t="s">
        <v>1852</v>
      </c>
      <c r="B522" s="14" t="s">
        <v>1991</v>
      </c>
      <c r="C522" s="15" t="s">
        <v>1992</v>
      </c>
      <c r="D522" s="14" t="s">
        <v>1745</v>
      </c>
      <c r="E522" s="14" t="s">
        <v>1746</v>
      </c>
      <c r="F522" s="14">
        <v>8359848</v>
      </c>
      <c r="G522" s="14">
        <v>5851894</v>
      </c>
      <c r="H522" s="37">
        <f>'Calculation Sheet'!N522</f>
        <v>5851894</v>
      </c>
    </row>
    <row r="523" spans="1:8" x14ac:dyDescent="0.25">
      <c r="A523" s="14" t="s">
        <v>1852</v>
      </c>
      <c r="B523" s="14" t="s">
        <v>122</v>
      </c>
      <c r="C523" s="15" t="s">
        <v>1917</v>
      </c>
      <c r="D523" s="14" t="s">
        <v>1745</v>
      </c>
      <c r="E523" s="14" t="s">
        <v>1747</v>
      </c>
      <c r="F523" s="14">
        <v>499140</v>
      </c>
      <c r="G523" s="14">
        <v>349398</v>
      </c>
      <c r="H523" s="37">
        <f>'Calculation Sheet'!N523</f>
        <v>349398</v>
      </c>
    </row>
    <row r="524" spans="1:8" x14ac:dyDescent="0.25">
      <c r="A524" s="14" t="s">
        <v>1850</v>
      </c>
      <c r="B524" s="14" t="s">
        <v>36</v>
      </c>
      <c r="C524" s="15" t="s">
        <v>1997</v>
      </c>
      <c r="D524" s="14" t="s">
        <v>1745</v>
      </c>
      <c r="E524" s="14" t="s">
        <v>1746</v>
      </c>
      <c r="F524" s="14">
        <v>88074</v>
      </c>
      <c r="G524" s="14">
        <v>79266.600000000006</v>
      </c>
      <c r="H524" s="37">
        <f>'Calculation Sheet'!N524</f>
        <v>79266.600000000006</v>
      </c>
    </row>
    <row r="525" spans="1:8" x14ac:dyDescent="0.25">
      <c r="A525" s="14" t="s">
        <v>1852</v>
      </c>
      <c r="B525" s="14" t="s">
        <v>1569</v>
      </c>
      <c r="C525" s="15" t="s">
        <v>1897</v>
      </c>
      <c r="D525" s="14" t="s">
        <v>1745</v>
      </c>
      <c r="E525" s="14" t="s">
        <v>1747</v>
      </c>
      <c r="F525" s="14">
        <v>149760</v>
      </c>
      <c r="G525" s="14">
        <v>134784</v>
      </c>
      <c r="H525" s="37">
        <f>'Calculation Sheet'!N525</f>
        <v>134784</v>
      </c>
    </row>
    <row r="526" spans="1:8" x14ac:dyDescent="0.25">
      <c r="A526" s="14" t="s">
        <v>1852</v>
      </c>
      <c r="B526" s="14" t="s">
        <v>1939</v>
      </c>
      <c r="C526" s="15" t="s">
        <v>1940</v>
      </c>
      <c r="D526" s="14" t="s">
        <v>1749</v>
      </c>
      <c r="E526" s="14" t="s">
        <v>1746</v>
      </c>
      <c r="F526" s="14">
        <v>119802</v>
      </c>
      <c r="G526" s="14">
        <v>107821.8</v>
      </c>
      <c r="H526" s="37">
        <f>'Calculation Sheet'!N526</f>
        <v>107821.8</v>
      </c>
    </row>
    <row r="527" spans="1:8" x14ac:dyDescent="0.25">
      <c r="A527" s="14" t="s">
        <v>1852</v>
      </c>
      <c r="B527" s="14">
        <v>83</v>
      </c>
      <c r="C527" s="15" t="s">
        <v>1916</v>
      </c>
      <c r="D527" s="14" t="s">
        <v>1745</v>
      </c>
      <c r="E527" s="14" t="s">
        <v>1747</v>
      </c>
      <c r="F527" s="14">
        <v>7961760</v>
      </c>
      <c r="G527" s="14">
        <v>5573232</v>
      </c>
      <c r="H527" s="37">
        <f>'Calculation Sheet'!N527</f>
        <v>5573232</v>
      </c>
    </row>
    <row r="528" spans="1:8" x14ac:dyDescent="0.25">
      <c r="A528" s="14" t="s">
        <v>1852</v>
      </c>
      <c r="B528" s="14">
        <v>63</v>
      </c>
      <c r="C528" s="15" t="s">
        <v>1938</v>
      </c>
      <c r="D528" s="14" t="s">
        <v>1745</v>
      </c>
      <c r="E528" s="14" t="s">
        <v>1747</v>
      </c>
      <c r="F528" s="14">
        <v>149760</v>
      </c>
      <c r="G528" s="14">
        <v>134784</v>
      </c>
      <c r="H528" s="37">
        <f>'Calculation Sheet'!N528</f>
        <v>134784</v>
      </c>
    </row>
    <row r="529" spans="1:8" x14ac:dyDescent="0.25">
      <c r="A529" s="14" t="s">
        <v>1852</v>
      </c>
      <c r="B529" s="14">
        <v>60</v>
      </c>
      <c r="C529" s="15" t="s">
        <v>2007</v>
      </c>
      <c r="D529" s="14" t="s">
        <v>1749</v>
      </c>
      <c r="E529" s="14" t="s">
        <v>1746</v>
      </c>
      <c r="F529" s="14">
        <v>27456</v>
      </c>
      <c r="G529" s="14">
        <v>19219.2</v>
      </c>
      <c r="H529" s="37">
        <f>'Calculation Sheet'!N529</f>
        <v>19219.2</v>
      </c>
    </row>
    <row r="530" spans="1:8" x14ac:dyDescent="0.25">
      <c r="A530" s="14" t="s">
        <v>1852</v>
      </c>
      <c r="B530" s="14" t="s">
        <v>1649</v>
      </c>
      <c r="C530" s="15" t="s">
        <v>1931</v>
      </c>
      <c r="D530" s="14" t="s">
        <v>1749</v>
      </c>
      <c r="E530" s="14" t="s">
        <v>1746</v>
      </c>
      <c r="F530" s="14">
        <v>27456</v>
      </c>
      <c r="G530" s="14">
        <v>19219.2</v>
      </c>
      <c r="H530" s="37">
        <f>'Calculation Sheet'!N530</f>
        <v>19219.2</v>
      </c>
    </row>
    <row r="531" spans="1:8" x14ac:dyDescent="0.25">
      <c r="A531" s="14" t="s">
        <v>1852</v>
      </c>
      <c r="B531" s="14" t="s">
        <v>1671</v>
      </c>
      <c r="C531" s="15" t="s">
        <v>1913</v>
      </c>
      <c r="D531" s="14" t="s">
        <v>1745</v>
      </c>
      <c r="E531" s="14" t="s">
        <v>1746</v>
      </c>
      <c r="F531" s="14">
        <v>157248</v>
      </c>
      <c r="G531" s="14">
        <v>141523.20000000001</v>
      </c>
      <c r="H531" s="37">
        <f>'Calculation Sheet'!N531</f>
        <v>141523.20000000001</v>
      </c>
    </row>
    <row r="532" spans="1:8" x14ac:dyDescent="0.25">
      <c r="A532" s="14" t="s">
        <v>1852</v>
      </c>
      <c r="B532" s="14" t="s">
        <v>650</v>
      </c>
      <c r="C532" s="15" t="s">
        <v>1975</v>
      </c>
      <c r="D532" s="14" t="s">
        <v>1745</v>
      </c>
      <c r="E532" s="14" t="s">
        <v>1747</v>
      </c>
      <c r="F532" s="14">
        <v>499140</v>
      </c>
      <c r="G532" s="14">
        <v>349398</v>
      </c>
      <c r="H532" s="37">
        <f>'Calculation Sheet'!N532</f>
        <v>349398</v>
      </c>
    </row>
    <row r="533" spans="1:8" x14ac:dyDescent="0.25">
      <c r="A533" s="14" t="s">
        <v>1852</v>
      </c>
      <c r="B533" s="14">
        <v>78</v>
      </c>
      <c r="C533" s="15" t="s">
        <v>2008</v>
      </c>
      <c r="D533" s="14" t="s">
        <v>1749</v>
      </c>
      <c r="E533" s="14" t="s">
        <v>1746</v>
      </c>
      <c r="F533" s="14">
        <v>928452</v>
      </c>
      <c r="G533" s="14">
        <v>835606.8</v>
      </c>
      <c r="H533" s="37">
        <f>'Calculation Sheet'!N533</f>
        <v>835606.8</v>
      </c>
    </row>
    <row r="534" spans="1:8" x14ac:dyDescent="0.25">
      <c r="A534" s="14" t="s">
        <v>1852</v>
      </c>
      <c r="B534" s="14" t="s">
        <v>1655</v>
      </c>
      <c r="C534" s="15" t="s">
        <v>1933</v>
      </c>
      <c r="D534" s="14" t="s">
        <v>1745</v>
      </c>
      <c r="E534" s="14" t="s">
        <v>1747</v>
      </c>
      <c r="F534" s="14">
        <v>199680</v>
      </c>
      <c r="G534" s="14">
        <v>139776</v>
      </c>
      <c r="H534" s="37">
        <f>'Calculation Sheet'!N534</f>
        <v>139776</v>
      </c>
    </row>
    <row r="535" spans="1:8" x14ac:dyDescent="0.25">
      <c r="A535" s="14" t="s">
        <v>1852</v>
      </c>
      <c r="B535" s="14">
        <v>61</v>
      </c>
      <c r="C535" s="15" t="s">
        <v>1909</v>
      </c>
      <c r="D535" s="14" t="s">
        <v>1745</v>
      </c>
      <c r="E535" s="14" t="s">
        <v>1747</v>
      </c>
      <c r="F535" s="14">
        <v>199680</v>
      </c>
      <c r="G535" s="14">
        <v>139776</v>
      </c>
      <c r="H535" s="37">
        <f>'Calculation Sheet'!N535</f>
        <v>139776</v>
      </c>
    </row>
    <row r="536" spans="1:8" x14ac:dyDescent="0.25">
      <c r="A536" s="14" t="s">
        <v>1852</v>
      </c>
      <c r="B536" s="14" t="s">
        <v>243</v>
      </c>
      <c r="C536" s="15" t="s">
        <v>1970</v>
      </c>
      <c r="D536" s="14" t="s">
        <v>1749</v>
      </c>
      <c r="E536" s="14" t="s">
        <v>1746</v>
      </c>
      <c r="F536" s="14">
        <v>49914</v>
      </c>
      <c r="G536" s="14">
        <v>34939.800000000003</v>
      </c>
      <c r="H536" s="37">
        <f>'Calculation Sheet'!N536</f>
        <v>34939.800000000003</v>
      </c>
    </row>
    <row r="537" spans="1:8" x14ac:dyDescent="0.25">
      <c r="A537" s="14" t="s">
        <v>1852</v>
      </c>
      <c r="B537" s="14" t="s">
        <v>1973</v>
      </c>
      <c r="C537" s="15" t="s">
        <v>1974</v>
      </c>
      <c r="D537" s="14" t="s">
        <v>1745</v>
      </c>
      <c r="E537" s="14" t="s">
        <v>1747</v>
      </c>
      <c r="F537" s="14">
        <v>9284520</v>
      </c>
      <c r="G537" s="14">
        <v>8356068</v>
      </c>
      <c r="H537" s="37">
        <f>'Calculation Sheet'!N537</f>
        <v>8356068</v>
      </c>
    </row>
    <row r="538" spans="1:8" x14ac:dyDescent="0.25">
      <c r="A538" s="14" t="s">
        <v>1852</v>
      </c>
      <c r="B538" s="14" t="s">
        <v>1708</v>
      </c>
      <c r="C538" s="15" t="s">
        <v>1860</v>
      </c>
      <c r="D538" s="14" t="s">
        <v>1745</v>
      </c>
      <c r="E538" s="14" t="s">
        <v>1747</v>
      </c>
      <c r="F538" s="14">
        <v>4342740</v>
      </c>
      <c r="G538" s="14">
        <v>3908466</v>
      </c>
      <c r="H538" s="37">
        <f>'Calculation Sheet'!N538</f>
        <v>3908466</v>
      </c>
    </row>
    <row r="539" spans="1:8" x14ac:dyDescent="0.25">
      <c r="A539" s="14" t="s">
        <v>1852</v>
      </c>
      <c r="B539" s="14">
        <v>81</v>
      </c>
      <c r="C539" s="15" t="s">
        <v>1986</v>
      </c>
      <c r="D539" s="14" t="s">
        <v>1745</v>
      </c>
      <c r="E539" s="14" t="s">
        <v>1746</v>
      </c>
      <c r="F539" s="14">
        <v>1677186</v>
      </c>
      <c r="G539" s="14">
        <v>1174030</v>
      </c>
      <c r="H539" s="37">
        <f>'Calculation Sheet'!N539</f>
        <v>1174030</v>
      </c>
    </row>
    <row r="540" spans="1:8" x14ac:dyDescent="0.25">
      <c r="A540" s="14" t="s">
        <v>1852</v>
      </c>
      <c r="B540" s="14" t="s">
        <v>1679</v>
      </c>
      <c r="C540" s="15" t="s">
        <v>2009</v>
      </c>
      <c r="D540" s="14" t="s">
        <v>1749</v>
      </c>
      <c r="E540" s="14" t="s">
        <v>1746</v>
      </c>
      <c r="F540" s="14">
        <v>19968</v>
      </c>
      <c r="G540" s="14">
        <v>13977.6</v>
      </c>
      <c r="H540" s="37">
        <f>'Calculation Sheet'!N540</f>
        <v>13977.6</v>
      </c>
    </row>
    <row r="541" spans="1:8" x14ac:dyDescent="0.25">
      <c r="A541" s="14" t="s">
        <v>1852</v>
      </c>
      <c r="B541" s="14" t="s">
        <v>1630</v>
      </c>
      <c r="C541" s="15" t="s">
        <v>2010</v>
      </c>
      <c r="D541" s="14" t="s">
        <v>1749</v>
      </c>
      <c r="E541" s="14" t="s">
        <v>1746</v>
      </c>
      <c r="F541" s="14">
        <v>159732</v>
      </c>
      <c r="G541" s="14">
        <v>111812.4</v>
      </c>
      <c r="H541" s="37">
        <f>'Calculation Sheet'!N541</f>
        <v>111812.4</v>
      </c>
    </row>
    <row r="542" spans="1:8" x14ac:dyDescent="0.25">
      <c r="A542" s="14" t="s">
        <v>1852</v>
      </c>
      <c r="B542" s="14">
        <v>2</v>
      </c>
      <c r="C542" s="15" t="s">
        <v>2011</v>
      </c>
      <c r="D542" s="14" t="s">
        <v>1745</v>
      </c>
      <c r="E542" s="14" t="s">
        <v>1747</v>
      </c>
      <c r="F542" s="14">
        <v>3993360</v>
      </c>
      <c r="G542" s="14">
        <v>2795352</v>
      </c>
      <c r="H542" s="37">
        <f>'Calculation Sheet'!N542</f>
        <v>2795352</v>
      </c>
    </row>
    <row r="543" spans="1:8" x14ac:dyDescent="0.25">
      <c r="A543" s="14" t="s">
        <v>1852</v>
      </c>
      <c r="B543" s="14" t="s">
        <v>1941</v>
      </c>
      <c r="C543" s="15" t="s">
        <v>1942</v>
      </c>
      <c r="D543" s="14" t="s">
        <v>1745</v>
      </c>
      <c r="E543" s="14" t="s">
        <v>1746</v>
      </c>
      <c r="F543" s="14">
        <v>1677186</v>
      </c>
      <c r="G543" s="14">
        <v>1174030</v>
      </c>
      <c r="H543" s="37">
        <f>'Calculation Sheet'!N543</f>
        <v>1174030</v>
      </c>
    </row>
    <row r="544" spans="1:8" x14ac:dyDescent="0.25">
      <c r="A544" s="14" t="s">
        <v>1852</v>
      </c>
      <c r="B544" s="14" t="s">
        <v>2012</v>
      </c>
      <c r="C544" s="15" t="s">
        <v>2013</v>
      </c>
      <c r="D544" s="14" t="s">
        <v>1745</v>
      </c>
      <c r="E544" s="14" t="s">
        <v>1747</v>
      </c>
      <c r="F544" s="14">
        <v>2196360</v>
      </c>
      <c r="G544" s="14">
        <v>1537452</v>
      </c>
      <c r="H544" s="37">
        <f>'Calculation Sheet'!N544</f>
        <v>1537452</v>
      </c>
    </row>
    <row r="545" spans="1:8" x14ac:dyDescent="0.25">
      <c r="A545" s="14" t="s">
        <v>1852</v>
      </c>
      <c r="B545" s="14" t="s">
        <v>2012</v>
      </c>
      <c r="C545" s="15" t="s">
        <v>2013</v>
      </c>
      <c r="D545" s="14" t="s">
        <v>1745</v>
      </c>
      <c r="E545" s="14" t="s">
        <v>1746</v>
      </c>
      <c r="F545" s="14">
        <v>2306178</v>
      </c>
      <c r="G545" s="14">
        <v>1614325</v>
      </c>
      <c r="H545" s="37">
        <f>'Calculation Sheet'!N545</f>
        <v>1614325</v>
      </c>
    </row>
    <row r="546" spans="1:8" x14ac:dyDescent="0.25">
      <c r="A546" s="14" t="s">
        <v>1852</v>
      </c>
      <c r="B546" s="14" t="s">
        <v>1669</v>
      </c>
      <c r="C546" s="15" t="s">
        <v>1879</v>
      </c>
      <c r="D546" s="14" t="s">
        <v>1745</v>
      </c>
      <c r="E546" s="14" t="s">
        <v>1747</v>
      </c>
      <c r="F546" s="14">
        <v>199680</v>
      </c>
      <c r="G546" s="14">
        <v>139776</v>
      </c>
      <c r="H546" s="37">
        <f>'Calculation Sheet'!N546</f>
        <v>139776</v>
      </c>
    </row>
    <row r="547" spans="1:8" x14ac:dyDescent="0.25">
      <c r="A547" s="14" t="s">
        <v>1852</v>
      </c>
      <c r="B547" s="14">
        <v>4</v>
      </c>
      <c r="C547" s="15" t="s">
        <v>1886</v>
      </c>
      <c r="D547" s="14" t="s">
        <v>1745</v>
      </c>
      <c r="E547" s="14" t="s">
        <v>1746</v>
      </c>
      <c r="F547" s="14">
        <v>524097</v>
      </c>
      <c r="G547" s="14">
        <v>366868</v>
      </c>
      <c r="H547" s="37">
        <f>'Calculation Sheet'!N547</f>
        <v>366868</v>
      </c>
    </row>
    <row r="548" spans="1:8" x14ac:dyDescent="0.25">
      <c r="A548" s="14" t="s">
        <v>1852</v>
      </c>
      <c r="B548" s="14" t="s">
        <v>102</v>
      </c>
      <c r="C548" s="15" t="s">
        <v>2001</v>
      </c>
      <c r="D548" s="14" t="s">
        <v>1745</v>
      </c>
      <c r="E548" s="14" t="s">
        <v>1747</v>
      </c>
      <c r="F548" s="14">
        <v>14475900</v>
      </c>
      <c r="G548" s="14">
        <v>10133130</v>
      </c>
      <c r="H548" s="37">
        <f>'Calculation Sheet'!N548</f>
        <v>10133130</v>
      </c>
    </row>
    <row r="549" spans="1:8" x14ac:dyDescent="0.25">
      <c r="A549" s="14" t="s">
        <v>1852</v>
      </c>
      <c r="B549" s="14">
        <v>2</v>
      </c>
      <c r="C549" s="15" t="s">
        <v>2011</v>
      </c>
      <c r="D549" s="14" t="s">
        <v>1745</v>
      </c>
      <c r="E549" s="14" t="s">
        <v>1746</v>
      </c>
      <c r="F549" s="14">
        <v>4193028</v>
      </c>
      <c r="G549" s="14">
        <v>2935120</v>
      </c>
      <c r="H549" s="37">
        <f>'Calculation Sheet'!N549</f>
        <v>2935120</v>
      </c>
    </row>
    <row r="550" spans="1:8" x14ac:dyDescent="0.25">
      <c r="A550" s="14" t="s">
        <v>1852</v>
      </c>
      <c r="B550" s="14" t="s">
        <v>401</v>
      </c>
      <c r="C550" s="15" t="s">
        <v>1999</v>
      </c>
      <c r="D550" s="14" t="s">
        <v>1745</v>
      </c>
      <c r="E550" s="14" t="s">
        <v>1747</v>
      </c>
      <c r="F550" s="14">
        <v>2196360</v>
      </c>
      <c r="G550" s="14">
        <v>1537452</v>
      </c>
      <c r="H550" s="37">
        <f>'Calculation Sheet'!N550</f>
        <v>1537452</v>
      </c>
    </row>
    <row r="551" spans="1:8" x14ac:dyDescent="0.25">
      <c r="A551" s="14" t="s">
        <v>1852</v>
      </c>
      <c r="B551" s="14" t="s">
        <v>1583</v>
      </c>
      <c r="C551" s="15" t="s">
        <v>1861</v>
      </c>
      <c r="D551" s="14" t="s">
        <v>1745</v>
      </c>
      <c r="E551" s="14" t="s">
        <v>1746</v>
      </c>
      <c r="F551" s="14">
        <v>12998349</v>
      </c>
      <c r="G551" s="14">
        <v>9098844</v>
      </c>
      <c r="H551" s="37">
        <f>'Calculation Sheet'!N551</f>
        <v>9098844</v>
      </c>
    </row>
    <row r="552" spans="1:8" x14ac:dyDescent="0.25">
      <c r="A552" s="14" t="s">
        <v>1852</v>
      </c>
      <c r="B552" s="14" t="s">
        <v>1550</v>
      </c>
      <c r="C552" s="15" t="s">
        <v>1920</v>
      </c>
      <c r="D552" s="14" t="s">
        <v>1745</v>
      </c>
      <c r="E552" s="14" t="s">
        <v>1746</v>
      </c>
      <c r="F552" s="14">
        <v>157248</v>
      </c>
      <c r="G552" s="14">
        <v>141523.20000000001</v>
      </c>
      <c r="H552" s="37">
        <f>'Calculation Sheet'!N552</f>
        <v>141523.20000000001</v>
      </c>
    </row>
    <row r="553" spans="1:8" x14ac:dyDescent="0.25">
      <c r="A553" s="14" t="s">
        <v>1852</v>
      </c>
      <c r="B553" s="14" t="s">
        <v>1881</v>
      </c>
      <c r="C553" s="15" t="s">
        <v>1882</v>
      </c>
      <c r="D553" s="14" t="s">
        <v>1745</v>
      </c>
      <c r="E553" s="14" t="s">
        <v>1747</v>
      </c>
      <c r="F553" s="14">
        <v>274560</v>
      </c>
      <c r="G553" s="14">
        <v>192192</v>
      </c>
      <c r="H553" s="37">
        <f>'Calculation Sheet'!N553</f>
        <v>192192</v>
      </c>
    </row>
    <row r="554" spans="1:8" x14ac:dyDescent="0.25">
      <c r="A554" s="14" t="s">
        <v>1852</v>
      </c>
      <c r="B554" s="14" t="s">
        <v>32</v>
      </c>
      <c r="C554" s="15" t="s">
        <v>1895</v>
      </c>
      <c r="D554" s="14" t="s">
        <v>1749</v>
      </c>
      <c r="E554" s="14" t="s">
        <v>1746</v>
      </c>
      <c r="F554" s="14">
        <v>49914</v>
      </c>
      <c r="G554" s="14">
        <v>34939.800000000003</v>
      </c>
      <c r="H554" s="37">
        <f>'Calculation Sheet'!N554</f>
        <v>34939.800000000003</v>
      </c>
    </row>
    <row r="555" spans="1:8" x14ac:dyDescent="0.25">
      <c r="A555" s="14" t="s">
        <v>1852</v>
      </c>
      <c r="B555" s="14">
        <v>58</v>
      </c>
      <c r="C555" s="15" t="s">
        <v>1955</v>
      </c>
      <c r="D555" s="14" t="s">
        <v>1749</v>
      </c>
      <c r="E555" s="14" t="s">
        <v>1746</v>
      </c>
      <c r="F555" s="14">
        <v>27456</v>
      </c>
      <c r="G555" s="14">
        <v>19219.2</v>
      </c>
      <c r="H555" s="37">
        <f>'Calculation Sheet'!N555</f>
        <v>19219.2</v>
      </c>
    </row>
    <row r="556" spans="1:8" x14ac:dyDescent="0.25">
      <c r="A556" s="14" t="s">
        <v>1852</v>
      </c>
      <c r="B556" s="14" t="s">
        <v>1957</v>
      </c>
      <c r="C556" s="15" t="s">
        <v>1958</v>
      </c>
      <c r="D556" s="14" t="s">
        <v>1745</v>
      </c>
      <c r="E556" s="14" t="s">
        <v>1747</v>
      </c>
      <c r="F556" s="14">
        <v>199680</v>
      </c>
      <c r="G556" s="14">
        <v>139776</v>
      </c>
      <c r="H556" s="37">
        <f>'Calculation Sheet'!N556</f>
        <v>139776</v>
      </c>
    </row>
    <row r="557" spans="1:8" x14ac:dyDescent="0.25">
      <c r="A557" s="14" t="s">
        <v>1852</v>
      </c>
      <c r="B557" s="14" t="s">
        <v>1607</v>
      </c>
      <c r="C557" s="15" t="s">
        <v>2014</v>
      </c>
      <c r="D557" s="14" t="s">
        <v>1745</v>
      </c>
      <c r="E557" s="14" t="s">
        <v>1747</v>
      </c>
      <c r="F557" s="14">
        <v>199680</v>
      </c>
      <c r="G557" s="14">
        <v>139776</v>
      </c>
      <c r="H557" s="37">
        <f>'Calculation Sheet'!N557</f>
        <v>139776</v>
      </c>
    </row>
    <row r="558" spans="1:8" x14ac:dyDescent="0.25">
      <c r="A558" s="14" t="s">
        <v>1852</v>
      </c>
      <c r="B558" s="14" t="s">
        <v>1607</v>
      </c>
      <c r="C558" s="15" t="s">
        <v>2014</v>
      </c>
      <c r="D558" s="14" t="s">
        <v>1745</v>
      </c>
      <c r="E558" s="14" t="s">
        <v>1746</v>
      </c>
      <c r="F558" s="14">
        <v>209664</v>
      </c>
      <c r="G558" s="14">
        <v>146764.79999999999</v>
      </c>
      <c r="H558" s="37">
        <f>'Calculation Sheet'!N558</f>
        <v>146764.79999999999</v>
      </c>
    </row>
    <row r="559" spans="1:8" x14ac:dyDescent="0.25">
      <c r="A559" s="14" t="s">
        <v>1852</v>
      </c>
      <c r="B559" s="14">
        <v>78</v>
      </c>
      <c r="C559" s="15" t="s">
        <v>2008</v>
      </c>
      <c r="D559" s="14" t="s">
        <v>1745</v>
      </c>
      <c r="E559" s="14" t="s">
        <v>1746</v>
      </c>
      <c r="F559" s="14">
        <v>9748746</v>
      </c>
      <c r="G559" s="14">
        <v>8773871</v>
      </c>
      <c r="H559" s="37">
        <f>'Calculation Sheet'!N559</f>
        <v>8773871</v>
      </c>
    </row>
    <row r="560" spans="1:8" x14ac:dyDescent="0.25">
      <c r="A560" s="14" t="s">
        <v>1852</v>
      </c>
      <c r="B560" s="14" t="s">
        <v>89</v>
      </c>
      <c r="C560" s="15" t="s">
        <v>1929</v>
      </c>
      <c r="D560" s="14" t="s">
        <v>1745</v>
      </c>
      <c r="E560" s="14" t="s">
        <v>1746</v>
      </c>
      <c r="F560" s="14">
        <v>32495841</v>
      </c>
      <c r="G560" s="14">
        <v>22747089</v>
      </c>
      <c r="H560" s="37">
        <f>'Calculation Sheet'!N560</f>
        <v>22747089</v>
      </c>
    </row>
    <row r="561" spans="1:8" x14ac:dyDescent="0.25">
      <c r="A561" s="14" t="s">
        <v>1852</v>
      </c>
      <c r="B561" s="14" t="s">
        <v>243</v>
      </c>
      <c r="C561" s="15" t="s">
        <v>1970</v>
      </c>
      <c r="D561" s="14" t="s">
        <v>1745</v>
      </c>
      <c r="E561" s="14" t="s">
        <v>1746</v>
      </c>
      <c r="F561" s="14">
        <v>524097</v>
      </c>
      <c r="G561" s="14">
        <v>366868</v>
      </c>
      <c r="H561" s="37">
        <f>'Calculation Sheet'!N561</f>
        <v>366868</v>
      </c>
    </row>
    <row r="562" spans="1:8" x14ac:dyDescent="0.25">
      <c r="A562" s="14" t="s">
        <v>1852</v>
      </c>
      <c r="B562" s="14">
        <v>86</v>
      </c>
      <c r="C562" s="15" t="s">
        <v>2015</v>
      </c>
      <c r="D562" s="14" t="s">
        <v>1745</v>
      </c>
      <c r="E562" s="14" t="s">
        <v>1747</v>
      </c>
      <c r="F562" s="14">
        <v>1597320</v>
      </c>
      <c r="G562" s="14">
        <v>1118124</v>
      </c>
      <c r="H562" s="37">
        <f>'Calculation Sheet'!N562</f>
        <v>1118124</v>
      </c>
    </row>
    <row r="563" spans="1:8" x14ac:dyDescent="0.25">
      <c r="A563" s="14" t="s">
        <v>1852</v>
      </c>
      <c r="B563" s="14">
        <v>58</v>
      </c>
      <c r="C563" s="15" t="s">
        <v>1955</v>
      </c>
      <c r="D563" s="14" t="s">
        <v>1745</v>
      </c>
      <c r="E563" s="14" t="s">
        <v>1747</v>
      </c>
      <c r="F563" s="14">
        <v>274560</v>
      </c>
      <c r="G563" s="14">
        <v>192192</v>
      </c>
      <c r="H563" s="37">
        <f>'Calculation Sheet'!N563</f>
        <v>192192</v>
      </c>
    </row>
    <row r="564" spans="1:8" x14ac:dyDescent="0.25">
      <c r="A564" s="14" t="s">
        <v>1852</v>
      </c>
      <c r="B564" s="14" t="s">
        <v>1632</v>
      </c>
      <c r="C564" s="15" t="s">
        <v>1987</v>
      </c>
      <c r="D564" s="14" t="s">
        <v>1745</v>
      </c>
      <c r="E564" s="14" t="s">
        <v>1746</v>
      </c>
      <c r="F564" s="14">
        <v>157248</v>
      </c>
      <c r="G564" s="14">
        <v>141523.20000000001</v>
      </c>
      <c r="H564" s="37">
        <f>'Calculation Sheet'!N564</f>
        <v>141523.20000000001</v>
      </c>
    </row>
    <row r="565" spans="1:8" x14ac:dyDescent="0.25">
      <c r="A565" s="14" t="s">
        <v>1852</v>
      </c>
      <c r="B565" s="14" t="s">
        <v>1564</v>
      </c>
      <c r="C565" s="15" t="s">
        <v>1936</v>
      </c>
      <c r="D565" s="14" t="s">
        <v>1749</v>
      </c>
      <c r="E565" s="14" t="s">
        <v>1746</v>
      </c>
      <c r="F565" s="14">
        <v>27456</v>
      </c>
      <c r="G565" s="14">
        <v>19219.2</v>
      </c>
      <c r="H565" s="37">
        <f>'Calculation Sheet'!N565</f>
        <v>19219.2</v>
      </c>
    </row>
    <row r="566" spans="1:8" x14ac:dyDescent="0.25">
      <c r="A566" s="14" t="s">
        <v>1852</v>
      </c>
      <c r="B566" s="14" t="s">
        <v>29</v>
      </c>
      <c r="C566" s="15" t="s">
        <v>1943</v>
      </c>
      <c r="D566" s="14" t="s">
        <v>1745</v>
      </c>
      <c r="E566" s="14" t="s">
        <v>1747</v>
      </c>
      <c r="F566" s="14">
        <v>14475900</v>
      </c>
      <c r="G566" s="14">
        <v>10133130</v>
      </c>
      <c r="H566" s="37">
        <f>'Calculation Sheet'!N566</f>
        <v>10133130</v>
      </c>
    </row>
    <row r="567" spans="1:8" x14ac:dyDescent="0.25">
      <c r="A567" s="14" t="s">
        <v>1852</v>
      </c>
      <c r="B567" s="14">
        <v>64</v>
      </c>
      <c r="C567" s="15" t="s">
        <v>1865</v>
      </c>
      <c r="D567" s="14" t="s">
        <v>1745</v>
      </c>
      <c r="E567" s="14" t="s">
        <v>1747</v>
      </c>
      <c r="F567" s="14">
        <v>199680</v>
      </c>
      <c r="G567" s="14">
        <v>139776</v>
      </c>
      <c r="H567" s="37">
        <f>'Calculation Sheet'!N567</f>
        <v>139776</v>
      </c>
    </row>
    <row r="568" spans="1:8" x14ac:dyDescent="0.25">
      <c r="A568" s="14" t="s">
        <v>1850</v>
      </c>
      <c r="B568" s="14">
        <v>1</v>
      </c>
      <c r="C568" s="15" t="s">
        <v>1851</v>
      </c>
      <c r="D568" s="14" t="s">
        <v>1752</v>
      </c>
      <c r="E568" s="14" t="s">
        <v>1747</v>
      </c>
      <c r="F568" s="14">
        <v>89820</v>
      </c>
      <c r="G568" s="14">
        <v>62874</v>
      </c>
      <c r="H568" s="37">
        <f>'Calculation Sheet'!N568</f>
        <v>62874</v>
      </c>
    </row>
    <row r="569" spans="1:8" x14ac:dyDescent="0.25">
      <c r="A569" s="14" t="s">
        <v>1852</v>
      </c>
      <c r="B569" s="14" t="s">
        <v>1607</v>
      </c>
      <c r="C569" s="15" t="s">
        <v>2014</v>
      </c>
      <c r="D569" s="14" t="s">
        <v>1749</v>
      </c>
      <c r="E569" s="14" t="s">
        <v>1746</v>
      </c>
      <c r="F569" s="14">
        <v>19968</v>
      </c>
      <c r="G569" s="14">
        <v>13977.6</v>
      </c>
      <c r="H569" s="37">
        <f>'Calculation Sheet'!N569</f>
        <v>13977.6</v>
      </c>
    </row>
    <row r="570" spans="1:8" x14ac:dyDescent="0.25">
      <c r="A570" s="14" t="s">
        <v>1852</v>
      </c>
      <c r="B570" s="14">
        <v>62</v>
      </c>
      <c r="C570" s="15" t="s">
        <v>1894</v>
      </c>
      <c r="D570" s="14" t="s">
        <v>1745</v>
      </c>
      <c r="E570" s="14" t="s">
        <v>1746</v>
      </c>
      <c r="F570" s="14">
        <v>288288</v>
      </c>
      <c r="G570" s="14">
        <v>201801.60000000001</v>
      </c>
      <c r="H570" s="37">
        <f>'Calculation Sheet'!N570</f>
        <v>201801.60000000001</v>
      </c>
    </row>
    <row r="571" spans="1:8" x14ac:dyDescent="0.25">
      <c r="A571" s="14" t="s">
        <v>1852</v>
      </c>
      <c r="B571" s="14" t="s">
        <v>2012</v>
      </c>
      <c r="C571" s="15" t="s">
        <v>2013</v>
      </c>
      <c r="D571" s="14" t="s">
        <v>1749</v>
      </c>
      <c r="E571" s="14" t="s">
        <v>1746</v>
      </c>
      <c r="F571" s="14">
        <v>219636</v>
      </c>
      <c r="G571" s="14">
        <v>153745.20000000001</v>
      </c>
      <c r="H571" s="37">
        <f>'Calculation Sheet'!N571</f>
        <v>153745.20000000001</v>
      </c>
    </row>
    <row r="572" spans="1:8" x14ac:dyDescent="0.25">
      <c r="A572" s="14" t="s">
        <v>1852</v>
      </c>
      <c r="B572" s="14" t="s">
        <v>1679</v>
      </c>
      <c r="C572" s="15" t="s">
        <v>2009</v>
      </c>
      <c r="D572" s="14" t="s">
        <v>1745</v>
      </c>
      <c r="E572" s="14" t="s">
        <v>1747</v>
      </c>
      <c r="F572" s="14">
        <v>199680</v>
      </c>
      <c r="G572" s="14">
        <v>139776</v>
      </c>
      <c r="H572" s="37">
        <f>'Calculation Sheet'!N572</f>
        <v>139776</v>
      </c>
    </row>
    <row r="573" spans="1:8" x14ac:dyDescent="0.25">
      <c r="A573" s="14" t="s">
        <v>1852</v>
      </c>
      <c r="B573" s="14" t="s">
        <v>405</v>
      </c>
      <c r="C573" s="15" t="s">
        <v>1965</v>
      </c>
      <c r="D573" s="14" t="s">
        <v>1745</v>
      </c>
      <c r="E573" s="14" t="s">
        <v>1746</v>
      </c>
      <c r="F573" s="14">
        <v>8359848</v>
      </c>
      <c r="G573" s="14">
        <v>5851894</v>
      </c>
      <c r="H573" s="37">
        <f>'Calculation Sheet'!N573</f>
        <v>5851894</v>
      </c>
    </row>
    <row r="574" spans="1:8" x14ac:dyDescent="0.25">
      <c r="A574" s="14" t="s">
        <v>1852</v>
      </c>
      <c r="B574" s="14" t="s">
        <v>1945</v>
      </c>
      <c r="C574" s="15" t="s">
        <v>1946</v>
      </c>
      <c r="D574" s="14" t="s">
        <v>1745</v>
      </c>
      <c r="E574" s="14" t="s">
        <v>1747</v>
      </c>
      <c r="F574" s="14">
        <v>1198020</v>
      </c>
      <c r="G574" s="14">
        <v>1078218</v>
      </c>
      <c r="H574" s="37">
        <f>'Calculation Sheet'!N574</f>
        <v>1078218</v>
      </c>
    </row>
    <row r="575" spans="1:8" x14ac:dyDescent="0.25">
      <c r="A575" s="14" t="s">
        <v>1852</v>
      </c>
      <c r="B575" s="14">
        <v>11</v>
      </c>
      <c r="C575" s="15" t="s">
        <v>1903</v>
      </c>
      <c r="D575" s="14" t="s">
        <v>1745</v>
      </c>
      <c r="E575" s="14" t="s">
        <v>1747</v>
      </c>
      <c r="F575" s="14">
        <v>3993360</v>
      </c>
      <c r="G575" s="14">
        <v>2795352</v>
      </c>
      <c r="H575" s="37">
        <f>'Calculation Sheet'!N575</f>
        <v>2795352</v>
      </c>
    </row>
    <row r="576" spans="1:8" x14ac:dyDescent="0.25">
      <c r="A576" s="14" t="s">
        <v>1852</v>
      </c>
      <c r="B576" s="14">
        <v>15</v>
      </c>
      <c r="C576" s="15" t="s">
        <v>2016</v>
      </c>
      <c r="D576" s="14" t="s">
        <v>1745</v>
      </c>
      <c r="E576" s="14" t="s">
        <v>1746</v>
      </c>
      <c r="F576" s="14">
        <v>524097</v>
      </c>
      <c r="G576" s="14">
        <v>366868</v>
      </c>
      <c r="H576" s="37">
        <f>'Calculation Sheet'!N576</f>
        <v>366868</v>
      </c>
    </row>
    <row r="577" spans="1:8" x14ac:dyDescent="0.25">
      <c r="A577" s="14" t="s">
        <v>1850</v>
      </c>
      <c r="B577" s="14" t="s">
        <v>29</v>
      </c>
      <c r="C577" s="15" t="s">
        <v>2017</v>
      </c>
      <c r="D577" s="14" t="s">
        <v>1745</v>
      </c>
      <c r="E577" s="14" t="s">
        <v>1746</v>
      </c>
      <c r="F577" s="14">
        <v>121086</v>
      </c>
      <c r="G577" s="14">
        <v>84760.2</v>
      </c>
      <c r="H577" s="37">
        <f>'Calculation Sheet'!N577</f>
        <v>84760.2</v>
      </c>
    </row>
    <row r="578" spans="1:8" x14ac:dyDescent="0.25">
      <c r="A578" s="14" t="s">
        <v>1852</v>
      </c>
      <c r="B578" s="14" t="s">
        <v>1973</v>
      </c>
      <c r="C578" s="15" t="s">
        <v>1974</v>
      </c>
      <c r="D578" s="14" t="s">
        <v>1745</v>
      </c>
      <c r="E578" s="14" t="s">
        <v>1746</v>
      </c>
      <c r="F578" s="14">
        <v>9748746</v>
      </c>
      <c r="G578" s="14">
        <v>8773871</v>
      </c>
      <c r="H578" s="37">
        <f>'Calculation Sheet'!N578</f>
        <v>8773871</v>
      </c>
    </row>
    <row r="579" spans="1:8" x14ac:dyDescent="0.25">
      <c r="A579" s="14" t="s">
        <v>1850</v>
      </c>
      <c r="B579" s="14">
        <v>2</v>
      </c>
      <c r="C579" s="15" t="s">
        <v>1948</v>
      </c>
      <c r="D579" s="14" t="s">
        <v>1752</v>
      </c>
      <c r="E579" s="14" t="s">
        <v>1747</v>
      </c>
      <c r="F579" s="14">
        <v>628920</v>
      </c>
      <c r="G579" s="14">
        <v>440244</v>
      </c>
      <c r="H579" s="37">
        <f>'Calculation Sheet'!N579</f>
        <v>440244</v>
      </c>
    </row>
    <row r="580" spans="1:8" x14ac:dyDescent="0.25">
      <c r="A580" s="14" t="s">
        <v>1852</v>
      </c>
      <c r="B580" s="14" t="s">
        <v>1555</v>
      </c>
      <c r="C580" s="15" t="s">
        <v>2018</v>
      </c>
      <c r="D580" s="14" t="s">
        <v>1749</v>
      </c>
      <c r="E580" s="14" t="s">
        <v>1746</v>
      </c>
      <c r="F580" s="14">
        <v>19968</v>
      </c>
      <c r="G580" s="14">
        <v>13977.6</v>
      </c>
      <c r="H580" s="37">
        <f>'Calculation Sheet'!N580</f>
        <v>13977.6</v>
      </c>
    </row>
    <row r="581" spans="1:8" x14ac:dyDescent="0.25">
      <c r="A581" s="14" t="s">
        <v>1852</v>
      </c>
      <c r="B581" s="14" t="s">
        <v>2019</v>
      </c>
      <c r="C581" s="15" t="s">
        <v>2020</v>
      </c>
      <c r="D581" s="14" t="s">
        <v>1749</v>
      </c>
      <c r="E581" s="14" t="s">
        <v>1746</v>
      </c>
      <c r="F581" s="14">
        <v>19968</v>
      </c>
      <c r="G581" s="14">
        <v>13977.6</v>
      </c>
      <c r="H581" s="37">
        <f>'Calculation Sheet'!N581</f>
        <v>13977.6</v>
      </c>
    </row>
    <row r="582" spans="1:8" x14ac:dyDescent="0.25">
      <c r="A582" s="14" t="s">
        <v>1852</v>
      </c>
      <c r="B582" s="14">
        <v>84</v>
      </c>
      <c r="C582" s="15" t="s">
        <v>1874</v>
      </c>
      <c r="D582" s="14" t="s">
        <v>1745</v>
      </c>
      <c r="E582" s="14" t="s">
        <v>1747</v>
      </c>
      <c r="F582" s="14">
        <v>1198020</v>
      </c>
      <c r="G582" s="14">
        <v>1078218</v>
      </c>
      <c r="H582" s="37">
        <f>'Calculation Sheet'!N582</f>
        <v>1078218</v>
      </c>
    </row>
    <row r="583" spans="1:8" x14ac:dyDescent="0.25">
      <c r="A583" s="14" t="s">
        <v>1852</v>
      </c>
      <c r="B583" s="14">
        <v>70</v>
      </c>
      <c r="C583" s="15" t="s">
        <v>1953</v>
      </c>
      <c r="D583" s="14" t="s">
        <v>1745</v>
      </c>
      <c r="E583" s="14" t="s">
        <v>1747</v>
      </c>
      <c r="F583" s="14">
        <v>149760</v>
      </c>
      <c r="G583" s="14">
        <v>134784</v>
      </c>
      <c r="H583" s="37">
        <f>'Calculation Sheet'!N583</f>
        <v>134784</v>
      </c>
    </row>
    <row r="584" spans="1:8" x14ac:dyDescent="0.25">
      <c r="A584" s="14" t="s">
        <v>1852</v>
      </c>
      <c r="B584" s="14">
        <v>59</v>
      </c>
      <c r="C584" s="15" t="s">
        <v>2000</v>
      </c>
      <c r="D584" s="14" t="s">
        <v>1745</v>
      </c>
      <c r="E584" s="14" t="s">
        <v>1746</v>
      </c>
      <c r="F584" s="14">
        <v>157248</v>
      </c>
      <c r="G584" s="14">
        <v>141523.20000000001</v>
      </c>
      <c r="H584" s="37">
        <f>'Calculation Sheet'!N584</f>
        <v>141523.20000000001</v>
      </c>
    </row>
    <row r="585" spans="1:8" x14ac:dyDescent="0.25">
      <c r="A585" s="14" t="s">
        <v>1852</v>
      </c>
      <c r="B585" s="14" t="s">
        <v>2019</v>
      </c>
      <c r="C585" s="15" t="s">
        <v>2020</v>
      </c>
      <c r="D585" s="14" t="s">
        <v>1745</v>
      </c>
      <c r="E585" s="14" t="s">
        <v>1746</v>
      </c>
      <c r="F585" s="14">
        <v>209664</v>
      </c>
      <c r="G585" s="14">
        <v>146764.79999999999</v>
      </c>
      <c r="H585" s="37">
        <f>'Calculation Sheet'!N585</f>
        <v>146764.79999999999</v>
      </c>
    </row>
    <row r="586" spans="1:8" x14ac:dyDescent="0.25">
      <c r="A586" s="14" t="s">
        <v>1852</v>
      </c>
      <c r="B586" s="14">
        <v>86</v>
      </c>
      <c r="C586" s="15" t="s">
        <v>2015</v>
      </c>
      <c r="D586" s="14" t="s">
        <v>1745</v>
      </c>
      <c r="E586" s="14" t="s">
        <v>1746</v>
      </c>
      <c r="F586" s="14">
        <v>1677186</v>
      </c>
      <c r="G586" s="14">
        <v>1174030</v>
      </c>
      <c r="H586" s="37">
        <f>'Calculation Sheet'!N586</f>
        <v>1174030</v>
      </c>
    </row>
    <row r="587" spans="1:8" x14ac:dyDescent="0.25">
      <c r="A587" s="14" t="s">
        <v>1852</v>
      </c>
      <c r="B587" s="14" t="s">
        <v>1630</v>
      </c>
      <c r="C587" s="15" t="s">
        <v>2010</v>
      </c>
      <c r="D587" s="14" t="s">
        <v>1745</v>
      </c>
      <c r="E587" s="14" t="s">
        <v>1746</v>
      </c>
      <c r="F587" s="14">
        <v>1677186</v>
      </c>
      <c r="G587" s="14">
        <v>1174030</v>
      </c>
      <c r="H587" s="37">
        <f>'Calculation Sheet'!N587</f>
        <v>1174030</v>
      </c>
    </row>
    <row r="588" spans="1:8" x14ac:dyDescent="0.25">
      <c r="A588" s="14" t="s">
        <v>1852</v>
      </c>
      <c r="B588" s="14" t="s">
        <v>1877</v>
      </c>
      <c r="C588" s="15" t="s">
        <v>1878</v>
      </c>
      <c r="D588" s="14" t="s">
        <v>1745</v>
      </c>
      <c r="E588" s="14" t="s">
        <v>1747</v>
      </c>
      <c r="F588" s="14">
        <v>4342740</v>
      </c>
      <c r="G588" s="14">
        <v>3908466</v>
      </c>
      <c r="H588" s="37">
        <f>'Calculation Sheet'!N588</f>
        <v>3908466</v>
      </c>
    </row>
    <row r="589" spans="1:8" x14ac:dyDescent="0.25">
      <c r="A589" s="14" t="s">
        <v>1852</v>
      </c>
      <c r="B589" s="14">
        <v>12</v>
      </c>
      <c r="C589" s="15" t="s">
        <v>1998</v>
      </c>
      <c r="D589" s="14" t="s">
        <v>1749</v>
      </c>
      <c r="E589" s="14" t="s">
        <v>1746</v>
      </c>
      <c r="F589" s="14">
        <v>49914</v>
      </c>
      <c r="G589" s="14">
        <v>34939.800000000003</v>
      </c>
      <c r="H589" s="37">
        <f>'Calculation Sheet'!N589</f>
        <v>34939.800000000003</v>
      </c>
    </row>
    <row r="590" spans="1:8" x14ac:dyDescent="0.25">
      <c r="A590" s="14" t="s">
        <v>1852</v>
      </c>
      <c r="B590" s="14" t="s">
        <v>1578</v>
      </c>
      <c r="C590" s="15" t="s">
        <v>1856</v>
      </c>
      <c r="D590" s="14" t="s">
        <v>1749</v>
      </c>
      <c r="E590" s="14" t="s">
        <v>1746</v>
      </c>
      <c r="F590" s="14">
        <v>14976</v>
      </c>
      <c r="G590" s="14">
        <v>13478.4</v>
      </c>
      <c r="H590" s="37">
        <f>'Calculation Sheet'!N590</f>
        <v>13478.4</v>
      </c>
    </row>
    <row r="591" spans="1:8" x14ac:dyDescent="0.25">
      <c r="A591" s="14" t="s">
        <v>1852</v>
      </c>
      <c r="B591" s="14">
        <v>86</v>
      </c>
      <c r="C591" s="15" t="s">
        <v>2015</v>
      </c>
      <c r="D591" s="14" t="s">
        <v>1749</v>
      </c>
      <c r="E591" s="14" t="s">
        <v>1746</v>
      </c>
      <c r="F591" s="14">
        <v>159732</v>
      </c>
      <c r="G591" s="14">
        <v>111812.4</v>
      </c>
      <c r="H591" s="37">
        <f>'Calculation Sheet'!N591</f>
        <v>111812.4</v>
      </c>
    </row>
    <row r="592" spans="1:8" x14ac:dyDescent="0.25">
      <c r="A592" s="14" t="s">
        <v>1852</v>
      </c>
      <c r="B592" s="14" t="s">
        <v>1991</v>
      </c>
      <c r="C592" s="15" t="s">
        <v>1992</v>
      </c>
      <c r="D592" s="14" t="s">
        <v>1749</v>
      </c>
      <c r="E592" s="14" t="s">
        <v>1746</v>
      </c>
      <c r="F592" s="14">
        <v>796176</v>
      </c>
      <c r="G592" s="14">
        <v>557323.19999999995</v>
      </c>
      <c r="H592" s="37">
        <f>'Calculation Sheet'!N592</f>
        <v>557323.19999999995</v>
      </c>
    </row>
    <row r="593" spans="1:8" x14ac:dyDescent="0.25">
      <c r="A593" s="14" t="s">
        <v>1852</v>
      </c>
      <c r="B593" s="14">
        <v>10</v>
      </c>
      <c r="C593" s="15" t="s">
        <v>2021</v>
      </c>
      <c r="D593" s="14" t="s">
        <v>1745</v>
      </c>
      <c r="E593" s="14" t="s">
        <v>1746</v>
      </c>
      <c r="F593" s="14">
        <v>524097</v>
      </c>
      <c r="G593" s="14">
        <v>366868</v>
      </c>
      <c r="H593" s="37">
        <f>'Calculation Sheet'!N593</f>
        <v>366868</v>
      </c>
    </row>
    <row r="594" spans="1:8" x14ac:dyDescent="0.25">
      <c r="A594" s="14" t="s">
        <v>1852</v>
      </c>
      <c r="B594" s="14">
        <v>11</v>
      </c>
      <c r="C594" s="15" t="s">
        <v>1903</v>
      </c>
      <c r="D594" s="14" t="s">
        <v>1745</v>
      </c>
      <c r="E594" s="14" t="s">
        <v>1746</v>
      </c>
      <c r="F594" s="14">
        <v>4193028</v>
      </c>
      <c r="G594" s="14">
        <v>2935120</v>
      </c>
      <c r="H594" s="37">
        <f>'Calculation Sheet'!N594</f>
        <v>2935120</v>
      </c>
    </row>
    <row r="595" spans="1:8" x14ac:dyDescent="0.25">
      <c r="A595" s="14" t="s">
        <v>1852</v>
      </c>
      <c r="B595" s="14" t="s">
        <v>1966</v>
      </c>
      <c r="C595" s="15" t="s">
        <v>1967</v>
      </c>
      <c r="D595" s="14" t="s">
        <v>1745</v>
      </c>
      <c r="E595" s="14" t="s">
        <v>1747</v>
      </c>
      <c r="F595" s="14">
        <v>4342740</v>
      </c>
      <c r="G595" s="14">
        <v>3908466</v>
      </c>
      <c r="H595" s="37">
        <f>'Calculation Sheet'!N595</f>
        <v>3908466</v>
      </c>
    </row>
    <row r="596" spans="1:8" x14ac:dyDescent="0.25">
      <c r="A596" s="14" t="s">
        <v>1852</v>
      </c>
      <c r="B596" s="14">
        <v>9</v>
      </c>
      <c r="C596" s="15" t="s">
        <v>1873</v>
      </c>
      <c r="D596" s="14" t="s">
        <v>1745</v>
      </c>
      <c r="E596" s="14" t="s">
        <v>1747</v>
      </c>
      <c r="F596" s="14">
        <v>30948420</v>
      </c>
      <c r="G596" s="14">
        <v>21663894</v>
      </c>
      <c r="H596" s="37">
        <f>'Calculation Sheet'!N596</f>
        <v>21663894</v>
      </c>
    </row>
    <row r="597" spans="1:8" x14ac:dyDescent="0.25">
      <c r="A597" s="14" t="s">
        <v>1850</v>
      </c>
      <c r="B597" s="14" t="s">
        <v>36</v>
      </c>
      <c r="C597" s="15" t="s">
        <v>1997</v>
      </c>
      <c r="D597" s="14" t="s">
        <v>1745</v>
      </c>
      <c r="E597" s="14" t="s">
        <v>1747</v>
      </c>
      <c r="F597" s="14">
        <v>83880</v>
      </c>
      <c r="G597" s="14">
        <v>75492</v>
      </c>
      <c r="H597" s="37">
        <f>'Calculation Sheet'!N597</f>
        <v>75492</v>
      </c>
    </row>
    <row r="598" spans="1:8" x14ac:dyDescent="0.25">
      <c r="A598" s="14" t="s">
        <v>1852</v>
      </c>
      <c r="B598" s="14" t="s">
        <v>1540</v>
      </c>
      <c r="C598" s="15" t="s">
        <v>2022</v>
      </c>
      <c r="D598" s="14" t="s">
        <v>1745</v>
      </c>
      <c r="E598" s="14" t="s">
        <v>1747</v>
      </c>
      <c r="F598" s="14">
        <v>199680</v>
      </c>
      <c r="G598" s="14">
        <v>139776</v>
      </c>
      <c r="H598" s="37">
        <f>'Calculation Sheet'!N598</f>
        <v>139776</v>
      </c>
    </row>
    <row r="599" spans="1:8" x14ac:dyDescent="0.25">
      <c r="A599" s="14" t="s">
        <v>1852</v>
      </c>
      <c r="B599" s="14" t="s">
        <v>39</v>
      </c>
      <c r="C599" s="15" t="s">
        <v>1906</v>
      </c>
      <c r="D599" s="14" t="s">
        <v>1749</v>
      </c>
      <c r="E599" s="14" t="s">
        <v>1746</v>
      </c>
      <c r="F599" s="14">
        <v>1447590</v>
      </c>
      <c r="G599" s="14">
        <v>1013313</v>
      </c>
      <c r="H599" s="37">
        <f>'Calculation Sheet'!N599</f>
        <v>1013313</v>
      </c>
    </row>
    <row r="600" spans="1:8" x14ac:dyDescent="0.25">
      <c r="A600" s="14" t="s">
        <v>1852</v>
      </c>
      <c r="B600" s="14" t="s">
        <v>1900</v>
      </c>
      <c r="C600" s="15" t="s">
        <v>1901</v>
      </c>
      <c r="D600" s="14" t="s">
        <v>1745</v>
      </c>
      <c r="E600" s="14" t="s">
        <v>1746</v>
      </c>
      <c r="F600" s="14">
        <v>1677186</v>
      </c>
      <c r="G600" s="14">
        <v>1174030</v>
      </c>
      <c r="H600" s="37">
        <f>'Calculation Sheet'!N600</f>
        <v>1174030</v>
      </c>
    </row>
    <row r="601" spans="1:8" x14ac:dyDescent="0.25">
      <c r="A601" s="14" t="s">
        <v>1852</v>
      </c>
      <c r="B601" s="14">
        <v>77</v>
      </c>
      <c r="C601" s="15" t="s">
        <v>1890</v>
      </c>
      <c r="D601" s="14" t="s">
        <v>1749</v>
      </c>
      <c r="E601" s="14" t="s">
        <v>1746</v>
      </c>
      <c r="F601" s="14">
        <v>1702164</v>
      </c>
      <c r="G601" s="14">
        <v>1191515</v>
      </c>
      <c r="H601" s="37">
        <f>'Calculation Sheet'!N601</f>
        <v>1191515</v>
      </c>
    </row>
    <row r="602" spans="1:8" x14ac:dyDescent="0.25">
      <c r="A602" s="14" t="s">
        <v>1852</v>
      </c>
      <c r="B602" s="14">
        <v>67</v>
      </c>
      <c r="C602" s="15" t="s">
        <v>1864</v>
      </c>
      <c r="D602" s="14" t="s">
        <v>1749</v>
      </c>
      <c r="E602" s="14" t="s">
        <v>1746</v>
      </c>
      <c r="F602" s="14">
        <v>19968</v>
      </c>
      <c r="G602" s="14">
        <v>13977.6</v>
      </c>
      <c r="H602" s="37">
        <f>'Calculation Sheet'!N602</f>
        <v>13977.6</v>
      </c>
    </row>
    <row r="603" spans="1:8" x14ac:dyDescent="0.25">
      <c r="A603" s="14" t="s">
        <v>1852</v>
      </c>
      <c r="B603" s="14" t="s">
        <v>1535</v>
      </c>
      <c r="C603" s="15" t="s">
        <v>1892</v>
      </c>
      <c r="D603" s="14" t="s">
        <v>1745</v>
      </c>
      <c r="E603" s="14" t="s">
        <v>1747</v>
      </c>
      <c r="F603" s="14">
        <v>274560</v>
      </c>
      <c r="G603" s="14">
        <v>192192</v>
      </c>
      <c r="H603" s="37">
        <f>'Calculation Sheet'!N603</f>
        <v>192192</v>
      </c>
    </row>
    <row r="604" spans="1:8" x14ac:dyDescent="0.25">
      <c r="A604" s="14" t="s">
        <v>1852</v>
      </c>
      <c r="B604" s="14">
        <v>85</v>
      </c>
      <c r="C604" s="15" t="s">
        <v>1951</v>
      </c>
      <c r="D604" s="14" t="s">
        <v>1745</v>
      </c>
      <c r="E604" s="14" t="s">
        <v>1747</v>
      </c>
      <c r="F604" s="14">
        <v>4342740</v>
      </c>
      <c r="G604" s="14">
        <v>3908466</v>
      </c>
      <c r="H604" s="37">
        <f>'Calculation Sheet'!N604</f>
        <v>3908466</v>
      </c>
    </row>
    <row r="605" spans="1:8" x14ac:dyDescent="0.25">
      <c r="A605" s="14" t="s">
        <v>1852</v>
      </c>
      <c r="B605" s="14">
        <v>76</v>
      </c>
      <c r="C605" s="15" t="s">
        <v>1857</v>
      </c>
      <c r="D605" s="14" t="s">
        <v>1745</v>
      </c>
      <c r="E605" s="14" t="s">
        <v>1746</v>
      </c>
      <c r="F605" s="14">
        <v>9748746</v>
      </c>
      <c r="G605" s="14">
        <v>8773871</v>
      </c>
      <c r="H605" s="37">
        <f>'Calculation Sheet'!N605</f>
        <v>8773871</v>
      </c>
    </row>
    <row r="606" spans="1:8" ht="30" x14ac:dyDescent="0.25">
      <c r="A606" s="14" t="s">
        <v>1850</v>
      </c>
      <c r="B606" s="14" t="s">
        <v>50</v>
      </c>
      <c r="C606" s="15" t="s">
        <v>1947</v>
      </c>
      <c r="D606" s="14" t="s">
        <v>1749</v>
      </c>
      <c r="E606" s="14" t="s">
        <v>1746</v>
      </c>
      <c r="F606" s="14">
        <v>1500</v>
      </c>
      <c r="G606" s="14">
        <v>1350</v>
      </c>
      <c r="H606" s="37">
        <f>'Calculation Sheet'!N606</f>
        <v>1350</v>
      </c>
    </row>
    <row r="607" spans="1:8" x14ac:dyDescent="0.25">
      <c r="A607" s="14" t="s">
        <v>1852</v>
      </c>
      <c r="B607" s="14" t="s">
        <v>1673</v>
      </c>
      <c r="C607" s="15" t="s">
        <v>1980</v>
      </c>
      <c r="D607" s="14" t="s">
        <v>1745</v>
      </c>
      <c r="E607" s="14" t="s">
        <v>1747</v>
      </c>
      <c r="F607" s="14">
        <v>199680</v>
      </c>
      <c r="G607" s="14">
        <v>139776</v>
      </c>
      <c r="H607" s="37">
        <f>'Calculation Sheet'!N607</f>
        <v>139776</v>
      </c>
    </row>
    <row r="608" spans="1:8" x14ac:dyDescent="0.25">
      <c r="A608" s="14" t="s">
        <v>1850</v>
      </c>
      <c r="B608" s="14">
        <v>2</v>
      </c>
      <c r="C608" s="15" t="s">
        <v>1948</v>
      </c>
      <c r="D608" s="14" t="s">
        <v>1745</v>
      </c>
      <c r="E608" s="14" t="s">
        <v>1747</v>
      </c>
      <c r="F608" s="14">
        <v>209640</v>
      </c>
      <c r="G608" s="14">
        <v>146748</v>
      </c>
      <c r="H608" s="37">
        <f>'Calculation Sheet'!N608</f>
        <v>146748</v>
      </c>
    </row>
    <row r="609" spans="1:8" x14ac:dyDescent="0.25">
      <c r="A609" s="14" t="s">
        <v>1852</v>
      </c>
      <c r="B609" s="14">
        <v>10</v>
      </c>
      <c r="C609" s="15" t="s">
        <v>2021</v>
      </c>
      <c r="D609" s="14" t="s">
        <v>1749</v>
      </c>
      <c r="E609" s="14" t="s">
        <v>1746</v>
      </c>
      <c r="F609" s="14">
        <v>49914</v>
      </c>
      <c r="G609" s="14">
        <v>34939.800000000003</v>
      </c>
      <c r="H609" s="37">
        <f>'Calculation Sheet'!N609</f>
        <v>34939.800000000003</v>
      </c>
    </row>
    <row r="610" spans="1:8" x14ac:dyDescent="0.25">
      <c r="A610" s="14" t="s">
        <v>1852</v>
      </c>
      <c r="B610" s="14">
        <v>62</v>
      </c>
      <c r="C610" s="15" t="s">
        <v>1894</v>
      </c>
      <c r="D610" s="14" t="s">
        <v>1745</v>
      </c>
      <c r="E610" s="14" t="s">
        <v>1747</v>
      </c>
      <c r="F610" s="14">
        <v>274560</v>
      </c>
      <c r="G610" s="14">
        <v>192192</v>
      </c>
      <c r="H610" s="37">
        <f>'Calculation Sheet'!N610</f>
        <v>192192</v>
      </c>
    </row>
    <row r="611" spans="1:8" x14ac:dyDescent="0.25">
      <c r="A611" s="14" t="s">
        <v>1852</v>
      </c>
      <c r="B611" s="14">
        <v>56</v>
      </c>
      <c r="C611" s="15" t="s">
        <v>1921</v>
      </c>
      <c r="D611" s="14" t="s">
        <v>1745</v>
      </c>
      <c r="E611" s="14" t="s">
        <v>1746</v>
      </c>
      <c r="F611" s="14">
        <v>12998349</v>
      </c>
      <c r="G611" s="14">
        <v>9098844</v>
      </c>
      <c r="H611" s="37">
        <f>'Calculation Sheet'!N611</f>
        <v>9098844</v>
      </c>
    </row>
    <row r="612" spans="1:8" x14ac:dyDescent="0.25">
      <c r="A612" s="14" t="s">
        <v>1852</v>
      </c>
      <c r="B612" s="14" t="s">
        <v>195</v>
      </c>
      <c r="C612" s="15" t="s">
        <v>1988</v>
      </c>
      <c r="D612" s="14" t="s">
        <v>1749</v>
      </c>
      <c r="E612" s="14" t="s">
        <v>1746</v>
      </c>
      <c r="F612" s="14">
        <v>1447590</v>
      </c>
      <c r="G612" s="14">
        <v>1013313</v>
      </c>
      <c r="H612" s="37">
        <f>'Calculation Sheet'!N612</f>
        <v>1013313</v>
      </c>
    </row>
    <row r="613" spans="1:8" x14ac:dyDescent="0.25">
      <c r="A613" s="14" t="s">
        <v>1852</v>
      </c>
      <c r="B613" s="14">
        <v>16</v>
      </c>
      <c r="C613" s="15" t="s">
        <v>1952</v>
      </c>
      <c r="D613" s="14" t="s">
        <v>1745</v>
      </c>
      <c r="E613" s="14" t="s">
        <v>1746</v>
      </c>
      <c r="F613" s="14">
        <v>524097</v>
      </c>
      <c r="G613" s="14">
        <v>366868</v>
      </c>
      <c r="H613" s="37">
        <f>'Calculation Sheet'!N613</f>
        <v>366868</v>
      </c>
    </row>
    <row r="614" spans="1:8" x14ac:dyDescent="0.25">
      <c r="A614" s="14" t="s">
        <v>1852</v>
      </c>
      <c r="B614" s="14">
        <v>1</v>
      </c>
      <c r="C614" s="15" t="s">
        <v>1902</v>
      </c>
      <c r="D614" s="14" t="s">
        <v>1749</v>
      </c>
      <c r="E614" s="14" t="s">
        <v>1746</v>
      </c>
      <c r="F614" s="14">
        <v>399336</v>
      </c>
      <c r="G614" s="14">
        <v>279535.2</v>
      </c>
      <c r="H614" s="37">
        <f>'Calculation Sheet'!N614</f>
        <v>279535.2</v>
      </c>
    </row>
    <row r="615" spans="1:8" x14ac:dyDescent="0.25">
      <c r="A615" s="14" t="s">
        <v>1852</v>
      </c>
      <c r="B615" s="14">
        <v>8</v>
      </c>
      <c r="C615" s="15" t="s">
        <v>1981</v>
      </c>
      <c r="D615" s="14" t="s">
        <v>1745</v>
      </c>
      <c r="E615" s="14" t="s">
        <v>1746</v>
      </c>
      <c r="F615" s="14">
        <v>524097</v>
      </c>
      <c r="G615" s="14">
        <v>366868</v>
      </c>
      <c r="H615" s="37">
        <f>'Calculation Sheet'!N615</f>
        <v>366868</v>
      </c>
    </row>
    <row r="616" spans="1:8" x14ac:dyDescent="0.25">
      <c r="A616" s="14" t="s">
        <v>1852</v>
      </c>
      <c r="B616" s="14">
        <v>15</v>
      </c>
      <c r="C616" s="15" t="s">
        <v>2016</v>
      </c>
      <c r="D616" s="14" t="s">
        <v>1745</v>
      </c>
      <c r="E616" s="14" t="s">
        <v>1747</v>
      </c>
      <c r="F616" s="14">
        <v>499140</v>
      </c>
      <c r="G616" s="14">
        <v>349398</v>
      </c>
      <c r="H616" s="37">
        <f>'Calculation Sheet'!N616</f>
        <v>349398</v>
      </c>
    </row>
    <row r="617" spans="1:8" x14ac:dyDescent="0.25">
      <c r="A617" s="14" t="s">
        <v>1852</v>
      </c>
      <c r="B617" s="14" t="s">
        <v>16</v>
      </c>
      <c r="C617" s="15" t="s">
        <v>1889</v>
      </c>
      <c r="D617" s="14" t="s">
        <v>1745</v>
      </c>
      <c r="E617" s="14" t="s">
        <v>1746</v>
      </c>
      <c r="F617" s="14">
        <v>524097</v>
      </c>
      <c r="G617" s="14">
        <v>366868</v>
      </c>
      <c r="H617" s="37">
        <f>'Calculation Sheet'!N617</f>
        <v>366868</v>
      </c>
    </row>
    <row r="618" spans="1:8" x14ac:dyDescent="0.25">
      <c r="A618" s="14" t="s">
        <v>1852</v>
      </c>
      <c r="B618" s="14" t="s">
        <v>28</v>
      </c>
      <c r="C618" s="15" t="s">
        <v>1928</v>
      </c>
      <c r="D618" s="14" t="s">
        <v>1745</v>
      </c>
      <c r="E618" s="14" t="s">
        <v>1747</v>
      </c>
      <c r="F618" s="14">
        <v>499140</v>
      </c>
      <c r="G618" s="14">
        <v>349398</v>
      </c>
      <c r="H618" s="37">
        <f>'Calculation Sheet'!N618</f>
        <v>349398</v>
      </c>
    </row>
    <row r="619" spans="1:8" x14ac:dyDescent="0.25">
      <c r="A619" s="14" t="s">
        <v>1852</v>
      </c>
      <c r="B619" s="14">
        <v>2</v>
      </c>
      <c r="C619" s="15" t="s">
        <v>2011</v>
      </c>
      <c r="D619" s="14" t="s">
        <v>1749</v>
      </c>
      <c r="E619" s="14" t="s">
        <v>1746</v>
      </c>
      <c r="F619" s="14">
        <v>399336</v>
      </c>
      <c r="G619" s="14">
        <v>279535.2</v>
      </c>
      <c r="H619" s="37">
        <f>'Calculation Sheet'!N619</f>
        <v>279535.2</v>
      </c>
    </row>
    <row r="620" spans="1:8" x14ac:dyDescent="0.25">
      <c r="A620" s="14" t="s">
        <v>1852</v>
      </c>
      <c r="B620" s="14">
        <v>69</v>
      </c>
      <c r="C620" s="15" t="s">
        <v>1956</v>
      </c>
      <c r="D620" s="14" t="s">
        <v>1745</v>
      </c>
      <c r="E620" s="14" t="s">
        <v>1747</v>
      </c>
      <c r="F620" s="14">
        <v>149760</v>
      </c>
      <c r="G620" s="14">
        <v>134784</v>
      </c>
      <c r="H620" s="37">
        <f>'Calculation Sheet'!N620</f>
        <v>134784</v>
      </c>
    </row>
    <row r="621" spans="1:8" x14ac:dyDescent="0.25">
      <c r="A621" s="14" t="s">
        <v>1852</v>
      </c>
      <c r="B621" s="14">
        <v>52</v>
      </c>
      <c r="C621" s="15" t="s">
        <v>1855</v>
      </c>
      <c r="D621" s="14" t="s">
        <v>1745</v>
      </c>
      <c r="E621" s="14" t="s">
        <v>1747</v>
      </c>
      <c r="F621" s="14">
        <v>199680</v>
      </c>
      <c r="G621" s="14">
        <v>139776</v>
      </c>
      <c r="H621" s="37">
        <f>'Calculation Sheet'!N621</f>
        <v>139776</v>
      </c>
    </row>
    <row r="622" spans="1:8" x14ac:dyDescent="0.25">
      <c r="A622" s="14" t="s">
        <v>1852</v>
      </c>
      <c r="B622" s="14" t="s">
        <v>1636</v>
      </c>
      <c r="C622" s="15" t="s">
        <v>1985</v>
      </c>
      <c r="D622" s="14" t="s">
        <v>1745</v>
      </c>
      <c r="E622" s="14" t="s">
        <v>1747</v>
      </c>
      <c r="F622" s="14">
        <v>274560</v>
      </c>
      <c r="G622" s="14">
        <v>192192</v>
      </c>
      <c r="H622" s="37">
        <f>'Calculation Sheet'!N622</f>
        <v>192192</v>
      </c>
    </row>
    <row r="623" spans="1:8" x14ac:dyDescent="0.25">
      <c r="A623" s="14" t="s">
        <v>1852</v>
      </c>
      <c r="B623" s="14" t="s">
        <v>55</v>
      </c>
      <c r="C623" s="15" t="s">
        <v>1885</v>
      </c>
      <c r="D623" s="14" t="s">
        <v>1745</v>
      </c>
      <c r="E623" s="14" t="s">
        <v>1746</v>
      </c>
      <c r="F623" s="14">
        <v>524097</v>
      </c>
      <c r="G623" s="14">
        <v>366868</v>
      </c>
      <c r="H623" s="37">
        <f>'Calculation Sheet'!N623</f>
        <v>366868</v>
      </c>
    </row>
    <row r="624" spans="1:8" x14ac:dyDescent="0.25">
      <c r="A624" s="14" t="s">
        <v>1852</v>
      </c>
      <c r="B624" s="14" t="s">
        <v>1636</v>
      </c>
      <c r="C624" s="15" t="s">
        <v>1985</v>
      </c>
      <c r="D624" s="14" t="s">
        <v>1745</v>
      </c>
      <c r="E624" s="14" t="s">
        <v>1746</v>
      </c>
      <c r="F624" s="14">
        <v>288288</v>
      </c>
      <c r="G624" s="14">
        <v>201801.60000000001</v>
      </c>
      <c r="H624" s="37">
        <f>'Calculation Sheet'!N624</f>
        <v>201801.60000000001</v>
      </c>
    </row>
    <row r="625" spans="1:8" x14ac:dyDescent="0.25">
      <c r="A625" s="14" t="s">
        <v>1852</v>
      </c>
      <c r="B625" s="14" t="s">
        <v>1708</v>
      </c>
      <c r="C625" s="15" t="s">
        <v>1860</v>
      </c>
      <c r="D625" s="14" t="s">
        <v>1749</v>
      </c>
      <c r="E625" s="14" t="s">
        <v>1746</v>
      </c>
      <c r="F625" s="14">
        <v>434274</v>
      </c>
      <c r="G625" s="14">
        <v>390846.6</v>
      </c>
      <c r="H625" s="37">
        <f>'Calculation Sheet'!N625</f>
        <v>390846.6</v>
      </c>
    </row>
    <row r="626" spans="1:8" x14ac:dyDescent="0.25">
      <c r="A626" s="14" t="s">
        <v>1852</v>
      </c>
      <c r="B626" s="14" t="s">
        <v>1573</v>
      </c>
      <c r="C626" s="15" t="s">
        <v>1930</v>
      </c>
      <c r="D626" s="14" t="s">
        <v>1745</v>
      </c>
      <c r="E626" s="14" t="s">
        <v>1746</v>
      </c>
      <c r="F626" s="14">
        <v>288288</v>
      </c>
      <c r="G626" s="14">
        <v>201801.60000000001</v>
      </c>
      <c r="H626" s="37">
        <f>'Calculation Sheet'!N626</f>
        <v>201801.60000000001</v>
      </c>
    </row>
    <row r="627" spans="1:8" x14ac:dyDescent="0.25">
      <c r="A627" s="14" t="s">
        <v>1852</v>
      </c>
      <c r="B627" s="14" t="s">
        <v>1535</v>
      </c>
      <c r="C627" s="15" t="s">
        <v>1892</v>
      </c>
      <c r="D627" s="14" t="s">
        <v>1749</v>
      </c>
      <c r="E627" s="14" t="s">
        <v>1746</v>
      </c>
      <c r="F627" s="14">
        <v>27456</v>
      </c>
      <c r="G627" s="14">
        <v>19219.2</v>
      </c>
      <c r="H627" s="37">
        <f>'Calculation Sheet'!N627</f>
        <v>19219.2</v>
      </c>
    </row>
    <row r="628" spans="1:8" x14ac:dyDescent="0.25">
      <c r="A628" s="14" t="s">
        <v>1852</v>
      </c>
      <c r="B628" s="14" t="s">
        <v>1924</v>
      </c>
      <c r="C628" s="15" t="s">
        <v>1925</v>
      </c>
      <c r="D628" s="14" t="s">
        <v>1745</v>
      </c>
      <c r="E628" s="14" t="s">
        <v>1746</v>
      </c>
      <c r="F628" s="14">
        <v>288288</v>
      </c>
      <c r="G628" s="14">
        <v>201801.60000000001</v>
      </c>
      <c r="H628" s="37">
        <f>'Calculation Sheet'!N628</f>
        <v>201801.60000000001</v>
      </c>
    </row>
    <row r="629" spans="1:8" x14ac:dyDescent="0.25">
      <c r="A629" s="14" t="s">
        <v>1852</v>
      </c>
      <c r="B629" s="14">
        <v>3</v>
      </c>
      <c r="C629" s="15" t="s">
        <v>1872</v>
      </c>
      <c r="D629" s="14" t="s">
        <v>1749</v>
      </c>
      <c r="E629" s="14" t="s">
        <v>1746</v>
      </c>
      <c r="F629" s="14">
        <v>49914</v>
      </c>
      <c r="G629" s="14">
        <v>34939.800000000003</v>
      </c>
      <c r="H629" s="37">
        <f>'Calculation Sheet'!N629</f>
        <v>34939.800000000003</v>
      </c>
    </row>
    <row r="630" spans="1:8" x14ac:dyDescent="0.25">
      <c r="A630" s="14" t="s">
        <v>1852</v>
      </c>
      <c r="B630" s="14" t="s">
        <v>1552</v>
      </c>
      <c r="C630" s="15" t="s">
        <v>1922</v>
      </c>
      <c r="D630" s="14" t="s">
        <v>1745</v>
      </c>
      <c r="E630" s="14" t="s">
        <v>1746</v>
      </c>
      <c r="F630" s="14">
        <v>2306178</v>
      </c>
      <c r="G630" s="14">
        <v>1614325</v>
      </c>
      <c r="H630" s="37">
        <f>'Calculation Sheet'!N630</f>
        <v>1614325</v>
      </c>
    </row>
    <row r="631" spans="1:8" x14ac:dyDescent="0.25">
      <c r="A631" s="14" t="s">
        <v>1852</v>
      </c>
      <c r="B631" s="14">
        <v>10</v>
      </c>
      <c r="C631" s="15" t="s">
        <v>2021</v>
      </c>
      <c r="D631" s="14" t="s">
        <v>1745</v>
      </c>
      <c r="E631" s="14" t="s">
        <v>1747</v>
      </c>
      <c r="F631" s="14">
        <v>499140</v>
      </c>
      <c r="G631" s="14">
        <v>349398</v>
      </c>
      <c r="H631" s="37">
        <f>'Calculation Sheet'!N631</f>
        <v>349398</v>
      </c>
    </row>
    <row r="632" spans="1:8" x14ac:dyDescent="0.25">
      <c r="A632" s="14" t="s">
        <v>1852</v>
      </c>
      <c r="B632" s="14">
        <v>65</v>
      </c>
      <c r="C632" s="15" t="s">
        <v>1926</v>
      </c>
      <c r="D632" s="14" t="s">
        <v>1745</v>
      </c>
      <c r="E632" s="14" t="s">
        <v>1747</v>
      </c>
      <c r="F632" s="14">
        <v>274560</v>
      </c>
      <c r="G632" s="14">
        <v>192192</v>
      </c>
      <c r="H632" s="37">
        <f>'Calculation Sheet'!N632</f>
        <v>192192</v>
      </c>
    </row>
    <row r="633" spans="1:8" x14ac:dyDescent="0.25">
      <c r="A633" s="14" t="s">
        <v>1852</v>
      </c>
      <c r="B633" s="14" t="s">
        <v>1941</v>
      </c>
      <c r="C633" s="15" t="s">
        <v>1942</v>
      </c>
      <c r="D633" s="14" t="s">
        <v>1749</v>
      </c>
      <c r="E633" s="14" t="s">
        <v>1746</v>
      </c>
      <c r="F633" s="14">
        <v>159732</v>
      </c>
      <c r="G633" s="14">
        <v>111812.4</v>
      </c>
      <c r="H633" s="37">
        <f>'Calculation Sheet'!N633</f>
        <v>111812.4</v>
      </c>
    </row>
    <row r="634" spans="1:8" x14ac:dyDescent="0.25">
      <c r="A634" s="14" t="s">
        <v>1852</v>
      </c>
      <c r="B634" s="14">
        <v>5</v>
      </c>
      <c r="C634" s="15" t="s">
        <v>1870</v>
      </c>
      <c r="D634" s="14" t="s">
        <v>1745</v>
      </c>
      <c r="E634" s="14" t="s">
        <v>1746</v>
      </c>
      <c r="F634" s="14">
        <v>32495841</v>
      </c>
      <c r="G634" s="14">
        <v>22747089</v>
      </c>
      <c r="H634" s="37">
        <f>'Calculation Sheet'!N634</f>
        <v>22747089</v>
      </c>
    </row>
    <row r="635" spans="1:8" x14ac:dyDescent="0.25">
      <c r="A635" s="14" t="s">
        <v>1852</v>
      </c>
      <c r="B635" s="14" t="s">
        <v>1645</v>
      </c>
      <c r="C635" s="15" t="s">
        <v>1982</v>
      </c>
      <c r="D635" s="14" t="s">
        <v>1745</v>
      </c>
      <c r="E635" s="14" t="s">
        <v>1746</v>
      </c>
      <c r="F635" s="14">
        <v>288288</v>
      </c>
      <c r="G635" s="14">
        <v>201801.60000000001</v>
      </c>
      <c r="H635" s="37">
        <f>'Calculation Sheet'!N635</f>
        <v>201801.60000000001</v>
      </c>
    </row>
    <row r="636" spans="1:8" x14ac:dyDescent="0.25">
      <c r="A636" s="14" t="s">
        <v>1852</v>
      </c>
      <c r="B636" s="14" t="s">
        <v>1963</v>
      </c>
      <c r="C636" s="15" t="s">
        <v>1964</v>
      </c>
      <c r="D636" s="14" t="s">
        <v>1745</v>
      </c>
      <c r="E636" s="14" t="s">
        <v>1747</v>
      </c>
      <c r="F636" s="14">
        <v>274560</v>
      </c>
      <c r="G636" s="14">
        <v>192192</v>
      </c>
      <c r="H636" s="37">
        <f>'Calculation Sheet'!N636</f>
        <v>192192</v>
      </c>
    </row>
    <row r="637" spans="1:8" x14ac:dyDescent="0.25">
      <c r="A637" s="14" t="s">
        <v>1852</v>
      </c>
      <c r="B637" s="14">
        <v>14</v>
      </c>
      <c r="C637" s="15" t="s">
        <v>1989</v>
      </c>
      <c r="D637" s="14" t="s">
        <v>1745</v>
      </c>
      <c r="E637" s="14" t="s">
        <v>1746</v>
      </c>
      <c r="F637" s="14">
        <v>524097</v>
      </c>
      <c r="G637" s="14">
        <v>366868</v>
      </c>
      <c r="H637" s="37">
        <f>'Calculation Sheet'!N637</f>
        <v>366868</v>
      </c>
    </row>
    <row r="638" spans="1:8" x14ac:dyDescent="0.25">
      <c r="A638" s="14" t="s">
        <v>1852</v>
      </c>
      <c r="B638" s="14">
        <v>74</v>
      </c>
      <c r="C638" s="15" t="s">
        <v>1995</v>
      </c>
      <c r="D638" s="14" t="s">
        <v>1745</v>
      </c>
      <c r="E638" s="14" t="s">
        <v>1747</v>
      </c>
      <c r="F638" s="14">
        <v>9284520</v>
      </c>
      <c r="G638" s="14">
        <v>8356068</v>
      </c>
      <c r="H638" s="37">
        <f>'Calculation Sheet'!N638</f>
        <v>8356068</v>
      </c>
    </row>
    <row r="639" spans="1:8" x14ac:dyDescent="0.25">
      <c r="A639" s="14" t="s">
        <v>1852</v>
      </c>
      <c r="B639" s="14">
        <v>77</v>
      </c>
      <c r="C639" s="15" t="s">
        <v>1890</v>
      </c>
      <c r="D639" s="14" t="s">
        <v>1745</v>
      </c>
      <c r="E639" s="14" t="s">
        <v>1746</v>
      </c>
      <c r="F639" s="14">
        <v>17872722</v>
      </c>
      <c r="G639" s="14">
        <v>12510905</v>
      </c>
      <c r="H639" s="37">
        <f>'Calculation Sheet'!N639</f>
        <v>12510905</v>
      </c>
    </row>
    <row r="640" spans="1:8" x14ac:dyDescent="0.25">
      <c r="A640" s="14" t="s">
        <v>1852</v>
      </c>
      <c r="B640" s="14">
        <v>82</v>
      </c>
      <c r="C640" s="15" t="s">
        <v>2002</v>
      </c>
      <c r="D640" s="14" t="s">
        <v>1745</v>
      </c>
      <c r="E640" s="14" t="s">
        <v>1746</v>
      </c>
      <c r="F640" s="14">
        <v>2306178</v>
      </c>
      <c r="G640" s="14">
        <v>1614325</v>
      </c>
      <c r="H640" s="37">
        <f>'Calculation Sheet'!N640</f>
        <v>1614325</v>
      </c>
    </row>
    <row r="641" spans="1:8" x14ac:dyDescent="0.25">
      <c r="A641" s="14" t="s">
        <v>1852</v>
      </c>
      <c r="B641" s="14">
        <v>15</v>
      </c>
      <c r="C641" s="15" t="s">
        <v>2016</v>
      </c>
      <c r="D641" s="14" t="s">
        <v>1749</v>
      </c>
      <c r="E641" s="14" t="s">
        <v>1746</v>
      </c>
      <c r="F641" s="14">
        <v>49914</v>
      </c>
      <c r="G641" s="14">
        <v>34939.800000000003</v>
      </c>
      <c r="H641" s="37">
        <f>'Calculation Sheet'!N641</f>
        <v>34939.800000000003</v>
      </c>
    </row>
    <row r="642" spans="1:8" x14ac:dyDescent="0.25">
      <c r="A642" s="14" t="s">
        <v>1852</v>
      </c>
      <c r="B642" s="14">
        <v>66</v>
      </c>
      <c r="C642" s="15" t="s">
        <v>2023</v>
      </c>
      <c r="D642" s="14" t="s">
        <v>1749</v>
      </c>
      <c r="E642" s="14" t="s">
        <v>1746</v>
      </c>
      <c r="F642" s="14">
        <v>14976</v>
      </c>
      <c r="G642" s="14">
        <v>13478.4</v>
      </c>
      <c r="H642" s="37">
        <f>'Calculation Sheet'!N642</f>
        <v>13478.4</v>
      </c>
    </row>
    <row r="643" spans="1:8" x14ac:dyDescent="0.25">
      <c r="A643" s="14" t="s">
        <v>1852</v>
      </c>
      <c r="B643" s="14" t="s">
        <v>1643</v>
      </c>
      <c r="C643" s="15" t="s">
        <v>1853</v>
      </c>
      <c r="D643" s="14" t="s">
        <v>1749</v>
      </c>
      <c r="E643" s="14" t="s">
        <v>1746</v>
      </c>
      <c r="F643" s="14">
        <v>14976</v>
      </c>
      <c r="G643" s="14">
        <v>13478.4</v>
      </c>
      <c r="H643" s="37">
        <f>'Calculation Sheet'!N643</f>
        <v>13478.4</v>
      </c>
    </row>
    <row r="644" spans="1:8" x14ac:dyDescent="0.25">
      <c r="A644" s="14" t="s">
        <v>1852</v>
      </c>
      <c r="B644" s="14">
        <v>8</v>
      </c>
      <c r="C644" s="15" t="s">
        <v>1981</v>
      </c>
      <c r="D644" s="14" t="s">
        <v>1745</v>
      </c>
      <c r="E644" s="14" t="s">
        <v>1747</v>
      </c>
      <c r="F644" s="14">
        <v>499140</v>
      </c>
      <c r="G644" s="14">
        <v>349398</v>
      </c>
      <c r="H644" s="37">
        <f>'Calculation Sheet'!N644</f>
        <v>349398</v>
      </c>
    </row>
    <row r="645" spans="1:8" x14ac:dyDescent="0.25">
      <c r="A645" s="14" t="s">
        <v>1852</v>
      </c>
      <c r="B645" s="14">
        <v>84</v>
      </c>
      <c r="C645" s="15" t="s">
        <v>1874</v>
      </c>
      <c r="D645" s="14" t="s">
        <v>1745</v>
      </c>
      <c r="E645" s="14" t="s">
        <v>1746</v>
      </c>
      <c r="F645" s="14">
        <v>1257921</v>
      </c>
      <c r="G645" s="14">
        <v>1132129</v>
      </c>
      <c r="H645" s="37">
        <f>'Calculation Sheet'!N645</f>
        <v>1132129</v>
      </c>
    </row>
    <row r="646" spans="1:8" x14ac:dyDescent="0.25">
      <c r="A646" s="14" t="s">
        <v>1852</v>
      </c>
      <c r="B646" s="14">
        <v>55</v>
      </c>
      <c r="C646" s="15" t="s">
        <v>2006</v>
      </c>
      <c r="D646" s="14" t="s">
        <v>1749</v>
      </c>
      <c r="E646" s="14" t="s">
        <v>1746</v>
      </c>
      <c r="F646" s="14">
        <v>1702164</v>
      </c>
      <c r="G646" s="14">
        <v>1191515</v>
      </c>
      <c r="H646" s="37">
        <f>'Calculation Sheet'!N646</f>
        <v>1191515</v>
      </c>
    </row>
    <row r="647" spans="1:8" x14ac:dyDescent="0.25">
      <c r="A647" s="14" t="s">
        <v>1852</v>
      </c>
      <c r="B647" s="14">
        <v>50</v>
      </c>
      <c r="C647" s="15" t="s">
        <v>1919</v>
      </c>
      <c r="D647" s="14" t="s">
        <v>1749</v>
      </c>
      <c r="E647" s="14" t="s">
        <v>1746</v>
      </c>
      <c r="F647" s="14">
        <v>1702164</v>
      </c>
      <c r="G647" s="14">
        <v>1191515</v>
      </c>
      <c r="H647" s="37">
        <f>'Calculation Sheet'!N647</f>
        <v>1191515</v>
      </c>
    </row>
    <row r="648" spans="1:8" x14ac:dyDescent="0.25">
      <c r="A648" s="14" t="s">
        <v>1852</v>
      </c>
      <c r="B648" s="14" t="s">
        <v>1653</v>
      </c>
      <c r="C648" s="15" t="s">
        <v>1972</v>
      </c>
      <c r="D648" s="14" t="s">
        <v>1745</v>
      </c>
      <c r="E648" s="14" t="s">
        <v>1746</v>
      </c>
      <c r="F648" s="14">
        <v>157248</v>
      </c>
      <c r="G648" s="14">
        <v>141523.20000000001</v>
      </c>
      <c r="H648" s="37">
        <f>'Calculation Sheet'!N648</f>
        <v>141523.20000000001</v>
      </c>
    </row>
    <row r="649" spans="1:8" x14ac:dyDescent="0.25">
      <c r="A649" s="14" t="s">
        <v>1852</v>
      </c>
      <c r="B649" s="14">
        <v>78</v>
      </c>
      <c r="C649" s="15" t="s">
        <v>2008</v>
      </c>
      <c r="D649" s="14" t="s">
        <v>1745</v>
      </c>
      <c r="E649" s="14" t="s">
        <v>1747</v>
      </c>
      <c r="F649" s="14">
        <v>9284520</v>
      </c>
      <c r="G649" s="14">
        <v>8356068</v>
      </c>
      <c r="H649" s="37">
        <f>'Calculation Sheet'!N649</f>
        <v>8356068</v>
      </c>
    </row>
    <row r="650" spans="1:8" x14ac:dyDescent="0.25">
      <c r="A650" s="14" t="s">
        <v>1852</v>
      </c>
      <c r="B650" s="14" t="s">
        <v>1649</v>
      </c>
      <c r="C650" s="15" t="s">
        <v>1931</v>
      </c>
      <c r="D650" s="14" t="s">
        <v>1745</v>
      </c>
      <c r="E650" s="14" t="s">
        <v>1747</v>
      </c>
      <c r="F650" s="14">
        <v>274560</v>
      </c>
      <c r="G650" s="14">
        <v>192192</v>
      </c>
      <c r="H650" s="37">
        <f>'Calculation Sheet'!N650</f>
        <v>192192</v>
      </c>
    </row>
    <row r="651" spans="1:8" x14ac:dyDescent="0.25">
      <c r="A651" s="14" t="s">
        <v>1850</v>
      </c>
      <c r="B651" s="14" t="s">
        <v>29</v>
      </c>
      <c r="C651" s="15" t="s">
        <v>2017</v>
      </c>
      <c r="D651" s="14" t="s">
        <v>1749</v>
      </c>
      <c r="E651" s="14" t="s">
        <v>1746</v>
      </c>
      <c r="F651" s="14">
        <v>11532</v>
      </c>
      <c r="G651" s="14">
        <v>8072.4</v>
      </c>
      <c r="H651" s="37">
        <f>'Calculation Sheet'!N651</f>
        <v>8072.4</v>
      </c>
    </row>
    <row r="652" spans="1:8" x14ac:dyDescent="0.25">
      <c r="A652" s="14" t="s">
        <v>1852</v>
      </c>
      <c r="B652" s="14" t="s">
        <v>1957</v>
      </c>
      <c r="C652" s="15" t="s">
        <v>1958</v>
      </c>
      <c r="D652" s="14" t="s">
        <v>1749</v>
      </c>
      <c r="E652" s="14" t="s">
        <v>1746</v>
      </c>
      <c r="F652" s="14">
        <v>19968</v>
      </c>
      <c r="G652" s="14">
        <v>13977.6</v>
      </c>
      <c r="H652" s="37">
        <f>'Calculation Sheet'!N652</f>
        <v>13977.6</v>
      </c>
    </row>
    <row r="653" spans="1:8" x14ac:dyDescent="0.25">
      <c r="A653" s="14" t="s">
        <v>1852</v>
      </c>
      <c r="B653" s="14">
        <v>60</v>
      </c>
      <c r="C653" s="15" t="s">
        <v>2007</v>
      </c>
      <c r="D653" s="14" t="s">
        <v>1745</v>
      </c>
      <c r="E653" s="14" t="s">
        <v>1746</v>
      </c>
      <c r="F653" s="14">
        <v>288288</v>
      </c>
      <c r="G653" s="14">
        <v>201801.60000000001</v>
      </c>
      <c r="H653" s="37">
        <f>'Calculation Sheet'!N653</f>
        <v>201801.60000000001</v>
      </c>
    </row>
    <row r="654" spans="1:8" x14ac:dyDescent="0.25">
      <c r="A654" s="14" t="s">
        <v>1852</v>
      </c>
      <c r="B654" s="14">
        <v>72</v>
      </c>
      <c r="C654" s="15" t="s">
        <v>2024</v>
      </c>
      <c r="D654" s="14" t="s">
        <v>1749</v>
      </c>
      <c r="E654" s="14" t="s">
        <v>1746</v>
      </c>
      <c r="F654" s="14">
        <v>1237938</v>
      </c>
      <c r="G654" s="14">
        <v>866556.6</v>
      </c>
      <c r="H654" s="37">
        <f>'Calculation Sheet'!N654</f>
        <v>866556.6</v>
      </c>
    </row>
    <row r="655" spans="1:8" x14ac:dyDescent="0.25">
      <c r="A655" s="14" t="s">
        <v>1852</v>
      </c>
      <c r="B655" s="14">
        <v>72</v>
      </c>
      <c r="C655" s="15" t="s">
        <v>2024</v>
      </c>
      <c r="D655" s="14" t="s">
        <v>1745</v>
      </c>
      <c r="E655" s="14" t="s">
        <v>1746</v>
      </c>
      <c r="F655" s="14">
        <v>12998349</v>
      </c>
      <c r="G655" s="14">
        <v>9098844</v>
      </c>
      <c r="H655" s="37">
        <f>'Calculation Sheet'!N655</f>
        <v>9098844</v>
      </c>
    </row>
    <row r="656" spans="1:8" x14ac:dyDescent="0.25">
      <c r="A656" s="14" t="s">
        <v>1852</v>
      </c>
      <c r="B656" s="14" t="s">
        <v>46</v>
      </c>
      <c r="C656" s="15" t="s">
        <v>1866</v>
      </c>
      <c r="D656" s="14" t="s">
        <v>1749</v>
      </c>
      <c r="E656" s="14" t="s">
        <v>1746</v>
      </c>
      <c r="F656" s="14">
        <v>1447590</v>
      </c>
      <c r="G656" s="14">
        <v>1013313</v>
      </c>
      <c r="H656" s="37">
        <f>'Calculation Sheet'!N656</f>
        <v>1013313</v>
      </c>
    </row>
    <row r="657" spans="1:8" x14ac:dyDescent="0.25">
      <c r="A657" s="14" t="s">
        <v>1852</v>
      </c>
      <c r="B657" s="14" t="s">
        <v>1643</v>
      </c>
      <c r="C657" s="15" t="s">
        <v>1853</v>
      </c>
      <c r="D657" s="14" t="s">
        <v>1745</v>
      </c>
      <c r="E657" s="14" t="s">
        <v>1747</v>
      </c>
      <c r="F657" s="14">
        <v>149760</v>
      </c>
      <c r="G657" s="14">
        <v>134784</v>
      </c>
      <c r="H657" s="37">
        <f>'Calculation Sheet'!N657</f>
        <v>134784</v>
      </c>
    </row>
    <row r="658" spans="1:8" x14ac:dyDescent="0.25">
      <c r="A658" s="14" t="s">
        <v>1852</v>
      </c>
      <c r="B658" s="14" t="s">
        <v>1555</v>
      </c>
      <c r="C658" s="15" t="s">
        <v>2018</v>
      </c>
      <c r="D658" s="14" t="s">
        <v>1745</v>
      </c>
      <c r="E658" s="14" t="s">
        <v>1747</v>
      </c>
      <c r="F658" s="14">
        <v>199680</v>
      </c>
      <c r="G658" s="14">
        <v>139776</v>
      </c>
      <c r="H658" s="37">
        <f>'Calculation Sheet'!N658</f>
        <v>139776</v>
      </c>
    </row>
    <row r="659" spans="1:8" x14ac:dyDescent="0.25">
      <c r="A659" s="14" t="s">
        <v>1852</v>
      </c>
      <c r="B659" s="14">
        <v>4</v>
      </c>
      <c r="C659" s="15" t="s">
        <v>1886</v>
      </c>
      <c r="D659" s="14" t="s">
        <v>1749</v>
      </c>
      <c r="E659" s="14" t="s">
        <v>1746</v>
      </c>
      <c r="F659" s="14">
        <v>49914</v>
      </c>
      <c r="G659" s="14">
        <v>34939.800000000003</v>
      </c>
      <c r="H659" s="37">
        <f>'Calculation Sheet'!N659</f>
        <v>34939.800000000003</v>
      </c>
    </row>
    <row r="660" spans="1:8" x14ac:dyDescent="0.25">
      <c r="A660" s="14" t="s">
        <v>1852</v>
      </c>
      <c r="B660" s="14">
        <v>53</v>
      </c>
      <c r="C660" s="15" t="s">
        <v>2005</v>
      </c>
      <c r="D660" s="14" t="s">
        <v>1745</v>
      </c>
      <c r="E660" s="14" t="s">
        <v>1746</v>
      </c>
      <c r="F660" s="14">
        <v>157248</v>
      </c>
      <c r="G660" s="14">
        <v>141523.20000000001</v>
      </c>
      <c r="H660" s="37">
        <f>'Calculation Sheet'!N660</f>
        <v>141523.20000000001</v>
      </c>
    </row>
    <row r="661" spans="1:8" x14ac:dyDescent="0.25">
      <c r="A661" s="14" t="s">
        <v>1850</v>
      </c>
      <c r="B661" s="14" t="s">
        <v>29</v>
      </c>
      <c r="C661" s="15" t="s">
        <v>2017</v>
      </c>
      <c r="D661" s="14" t="s">
        <v>1745</v>
      </c>
      <c r="E661" s="14" t="s">
        <v>1747</v>
      </c>
      <c r="F661" s="14">
        <v>115320</v>
      </c>
      <c r="G661" s="14">
        <v>80724</v>
      </c>
      <c r="H661" s="37">
        <f>'Calculation Sheet'!N661</f>
        <v>80724</v>
      </c>
    </row>
    <row r="662" spans="1:8" x14ac:dyDescent="0.25">
      <c r="A662" s="14" t="s">
        <v>1852</v>
      </c>
      <c r="B662" s="14" t="s">
        <v>1639</v>
      </c>
      <c r="C662" s="15" t="s">
        <v>1959</v>
      </c>
      <c r="D662" s="14" t="s">
        <v>1749</v>
      </c>
      <c r="E662" s="14" t="s">
        <v>1746</v>
      </c>
      <c r="F662" s="14">
        <v>796176</v>
      </c>
      <c r="G662" s="14">
        <v>557323.19999999995</v>
      </c>
      <c r="H662" s="37">
        <f>'Calculation Sheet'!N662</f>
        <v>557323.19999999995</v>
      </c>
    </row>
    <row r="663" spans="1:8" x14ac:dyDescent="0.25">
      <c r="A663" s="14" t="s">
        <v>1852</v>
      </c>
      <c r="B663" s="14" t="s">
        <v>1961</v>
      </c>
      <c r="C663" s="15" t="s">
        <v>1962</v>
      </c>
      <c r="D663" s="14" t="s">
        <v>1749</v>
      </c>
      <c r="E663" s="14" t="s">
        <v>1746</v>
      </c>
      <c r="F663" s="14">
        <v>579036</v>
      </c>
      <c r="G663" s="14">
        <v>405325.2</v>
      </c>
      <c r="H663" s="37">
        <f>'Calculation Sheet'!N663</f>
        <v>405325.2</v>
      </c>
    </row>
    <row r="664" spans="1:8" x14ac:dyDescent="0.25">
      <c r="A664" s="14" t="s">
        <v>1852</v>
      </c>
      <c r="B664" s="14" t="s">
        <v>1655</v>
      </c>
      <c r="C664" s="15" t="s">
        <v>1933</v>
      </c>
      <c r="D664" s="14" t="s">
        <v>1749</v>
      </c>
      <c r="E664" s="14" t="s">
        <v>1746</v>
      </c>
      <c r="F664" s="14">
        <v>19968</v>
      </c>
      <c r="G664" s="14">
        <v>13977.6</v>
      </c>
      <c r="H664" s="37">
        <f>'Calculation Sheet'!N664</f>
        <v>13977.6</v>
      </c>
    </row>
    <row r="665" spans="1:8" x14ac:dyDescent="0.25">
      <c r="A665" s="14" t="s">
        <v>1852</v>
      </c>
      <c r="B665" s="14" t="s">
        <v>405</v>
      </c>
      <c r="C665" s="15" t="s">
        <v>1965</v>
      </c>
      <c r="D665" s="14" t="s">
        <v>1749</v>
      </c>
      <c r="E665" s="14" t="s">
        <v>1746</v>
      </c>
      <c r="F665" s="14">
        <v>796176</v>
      </c>
      <c r="G665" s="14">
        <v>557323.19999999995</v>
      </c>
      <c r="H665" s="37">
        <f>'Calculation Sheet'!N665</f>
        <v>557323.19999999995</v>
      </c>
    </row>
    <row r="666" spans="1:8" x14ac:dyDescent="0.25">
      <c r="A666" s="14" t="s">
        <v>1852</v>
      </c>
      <c r="B666" s="14" t="s">
        <v>1540</v>
      </c>
      <c r="C666" s="15" t="s">
        <v>2022</v>
      </c>
      <c r="D666" s="14" t="s">
        <v>1745</v>
      </c>
      <c r="E666" s="14" t="s">
        <v>1746</v>
      </c>
      <c r="F666" s="14">
        <v>209664</v>
      </c>
      <c r="G666" s="14">
        <v>146764.79999999999</v>
      </c>
      <c r="H666" s="37">
        <f>'Calculation Sheet'!N666</f>
        <v>146764.79999999999</v>
      </c>
    </row>
    <row r="667" spans="1:8" x14ac:dyDescent="0.25">
      <c r="A667" s="14" t="s">
        <v>1852</v>
      </c>
      <c r="B667" s="14" t="s">
        <v>1683</v>
      </c>
      <c r="C667" s="15" t="s">
        <v>2025</v>
      </c>
      <c r="D667" s="14" t="s">
        <v>1745</v>
      </c>
      <c r="E667" s="14" t="s">
        <v>1746</v>
      </c>
      <c r="F667" s="14">
        <v>157248</v>
      </c>
      <c r="G667" s="14">
        <v>141523.20000000001</v>
      </c>
      <c r="H667" s="37">
        <f>'Calculation Sheet'!N667</f>
        <v>141523.20000000001</v>
      </c>
    </row>
    <row r="668" spans="1:8" x14ac:dyDescent="0.25">
      <c r="A668" s="14" t="s">
        <v>1852</v>
      </c>
      <c r="B668" s="14">
        <v>60</v>
      </c>
      <c r="C668" s="15" t="s">
        <v>2007</v>
      </c>
      <c r="D668" s="14" t="s">
        <v>1745</v>
      </c>
      <c r="E668" s="14" t="s">
        <v>1747</v>
      </c>
      <c r="F668" s="14">
        <v>274560</v>
      </c>
      <c r="G668" s="14">
        <v>192192</v>
      </c>
      <c r="H668" s="37">
        <f>'Calculation Sheet'!N668</f>
        <v>192192</v>
      </c>
    </row>
    <row r="669" spans="1:8" x14ac:dyDescent="0.25">
      <c r="A669" s="14" t="s">
        <v>1852</v>
      </c>
      <c r="B669" s="14" t="s">
        <v>1966</v>
      </c>
      <c r="C669" s="15" t="s">
        <v>1967</v>
      </c>
      <c r="D669" s="14" t="s">
        <v>1749</v>
      </c>
      <c r="E669" s="14" t="s">
        <v>1746</v>
      </c>
      <c r="F669" s="14">
        <v>434274</v>
      </c>
      <c r="G669" s="14">
        <v>390846.6</v>
      </c>
      <c r="H669" s="37">
        <f>'Calculation Sheet'!N669</f>
        <v>390846.6</v>
      </c>
    </row>
    <row r="670" spans="1:8" x14ac:dyDescent="0.25">
      <c r="A670" s="14" t="s">
        <v>1852</v>
      </c>
      <c r="B670" s="14" t="s">
        <v>1569</v>
      </c>
      <c r="C670" s="15" t="s">
        <v>1897</v>
      </c>
      <c r="D670" s="14" t="s">
        <v>1749</v>
      </c>
      <c r="E670" s="14" t="s">
        <v>1746</v>
      </c>
      <c r="F670" s="14">
        <v>14976</v>
      </c>
      <c r="G670" s="14">
        <v>13478.4</v>
      </c>
      <c r="H670" s="37">
        <f>'Calculation Sheet'!N670</f>
        <v>13478.4</v>
      </c>
    </row>
    <row r="671" spans="1:8" x14ac:dyDescent="0.25">
      <c r="A671" s="14" t="s">
        <v>1852</v>
      </c>
      <c r="B671" s="14" t="s">
        <v>1976</v>
      </c>
      <c r="C671" s="15" t="s">
        <v>1977</v>
      </c>
      <c r="D671" s="14" t="s">
        <v>1745</v>
      </c>
      <c r="E671" s="14" t="s">
        <v>1747</v>
      </c>
      <c r="F671" s="14">
        <v>17021640</v>
      </c>
      <c r="G671" s="14">
        <v>11915148</v>
      </c>
      <c r="H671" s="37">
        <f>'Calculation Sheet'!N671</f>
        <v>11915148</v>
      </c>
    </row>
    <row r="672" spans="1:8" x14ac:dyDescent="0.25">
      <c r="A672" s="14" t="s">
        <v>1852</v>
      </c>
      <c r="B672" s="14" t="s">
        <v>420</v>
      </c>
      <c r="C672" s="15" t="s">
        <v>1983</v>
      </c>
      <c r="D672" s="14" t="s">
        <v>1749</v>
      </c>
      <c r="E672" s="14" t="s">
        <v>1746</v>
      </c>
      <c r="F672" s="14">
        <v>1702164</v>
      </c>
      <c r="G672" s="14">
        <v>1191515</v>
      </c>
      <c r="H672" s="37">
        <f>'Calculation Sheet'!N672</f>
        <v>1191515</v>
      </c>
    </row>
    <row r="673" spans="1:8" x14ac:dyDescent="0.25">
      <c r="A673" s="14" t="s">
        <v>1852</v>
      </c>
      <c r="B673" s="14" t="s">
        <v>1669</v>
      </c>
      <c r="C673" s="15" t="s">
        <v>1879</v>
      </c>
      <c r="D673" s="14" t="s">
        <v>1745</v>
      </c>
      <c r="E673" s="14" t="s">
        <v>1746</v>
      </c>
      <c r="F673" s="14">
        <v>209664</v>
      </c>
      <c r="G673" s="14">
        <v>146764.79999999999</v>
      </c>
      <c r="H673" s="37">
        <f>'Calculation Sheet'!N673</f>
        <v>146764.79999999999</v>
      </c>
    </row>
    <row r="674" spans="1:8" x14ac:dyDescent="0.25">
      <c r="A674" s="14" t="s">
        <v>1852</v>
      </c>
      <c r="B674" s="14" t="s">
        <v>36</v>
      </c>
      <c r="C674" s="15" t="s">
        <v>1910</v>
      </c>
      <c r="D674" s="14" t="s">
        <v>1745</v>
      </c>
      <c r="E674" s="14" t="s">
        <v>1747</v>
      </c>
      <c r="F674" s="14">
        <v>499140</v>
      </c>
      <c r="G674" s="14">
        <v>349398</v>
      </c>
      <c r="H674" s="37">
        <f>'Calculation Sheet'!N674</f>
        <v>349398</v>
      </c>
    </row>
    <row r="675" spans="1:8" x14ac:dyDescent="0.25">
      <c r="A675" s="14" t="s">
        <v>1852</v>
      </c>
      <c r="B675" s="14">
        <v>83</v>
      </c>
      <c r="C675" s="15" t="s">
        <v>1916</v>
      </c>
      <c r="D675" s="14" t="s">
        <v>1749</v>
      </c>
      <c r="E675" s="14" t="s">
        <v>1746</v>
      </c>
      <c r="F675" s="14">
        <v>796176</v>
      </c>
      <c r="G675" s="14">
        <v>557323.19999999995</v>
      </c>
      <c r="H675" s="37">
        <f>'Calculation Sheet'!N675</f>
        <v>557323.19999999995</v>
      </c>
    </row>
    <row r="676" spans="1:8" x14ac:dyDescent="0.25">
      <c r="A676" s="14" t="s">
        <v>1852</v>
      </c>
      <c r="B676" s="14" t="s">
        <v>122</v>
      </c>
      <c r="C676" s="15" t="s">
        <v>1917</v>
      </c>
      <c r="D676" s="14" t="s">
        <v>1749</v>
      </c>
      <c r="E676" s="14" t="s">
        <v>1746</v>
      </c>
      <c r="F676" s="14">
        <v>49914</v>
      </c>
      <c r="G676" s="14">
        <v>34939.800000000003</v>
      </c>
      <c r="H676" s="37">
        <f>'Calculation Sheet'!N676</f>
        <v>34939.800000000003</v>
      </c>
    </row>
    <row r="677" spans="1:8" x14ac:dyDescent="0.25">
      <c r="A677" s="14" t="s">
        <v>1852</v>
      </c>
      <c r="B677" s="14" t="s">
        <v>1679</v>
      </c>
      <c r="C677" s="15" t="s">
        <v>2009</v>
      </c>
      <c r="D677" s="14" t="s">
        <v>1745</v>
      </c>
      <c r="E677" s="14" t="s">
        <v>1746</v>
      </c>
      <c r="F677" s="14">
        <v>209664</v>
      </c>
      <c r="G677" s="14">
        <v>146764.79999999999</v>
      </c>
      <c r="H677" s="37">
        <f>'Calculation Sheet'!N677</f>
        <v>146764.79999999999</v>
      </c>
    </row>
    <row r="678" spans="1:8" x14ac:dyDescent="0.25">
      <c r="A678" s="14" t="s">
        <v>1852</v>
      </c>
      <c r="B678" s="14" t="s">
        <v>1939</v>
      </c>
      <c r="C678" s="15" t="s">
        <v>1940</v>
      </c>
      <c r="D678" s="14" t="s">
        <v>1745</v>
      </c>
      <c r="E678" s="14" t="s">
        <v>1747</v>
      </c>
      <c r="F678" s="14">
        <v>1198020</v>
      </c>
      <c r="G678" s="14">
        <v>1078218</v>
      </c>
      <c r="H678" s="37">
        <f>'Calculation Sheet'!N678</f>
        <v>1078218</v>
      </c>
    </row>
    <row r="679" spans="1:8" x14ac:dyDescent="0.25">
      <c r="A679" s="14" t="s">
        <v>1852</v>
      </c>
      <c r="B679" s="14" t="s">
        <v>1641</v>
      </c>
      <c r="C679" s="15" t="s">
        <v>1996</v>
      </c>
      <c r="D679" s="14" t="s">
        <v>1745</v>
      </c>
      <c r="E679" s="14" t="s">
        <v>1746</v>
      </c>
      <c r="F679" s="14">
        <v>157248</v>
      </c>
      <c r="G679" s="14">
        <v>141523.20000000001</v>
      </c>
      <c r="H679" s="37">
        <f>'Calculation Sheet'!N679</f>
        <v>141523.20000000001</v>
      </c>
    </row>
    <row r="680" spans="1:8" x14ac:dyDescent="0.25">
      <c r="A680" s="14" t="s">
        <v>1852</v>
      </c>
      <c r="B680" s="14" t="s">
        <v>410</v>
      </c>
      <c r="C680" s="15" t="s">
        <v>1944</v>
      </c>
      <c r="D680" s="14" t="s">
        <v>1749</v>
      </c>
      <c r="E680" s="14" t="s">
        <v>1746</v>
      </c>
      <c r="F680" s="14">
        <v>579036</v>
      </c>
      <c r="G680" s="14">
        <v>405325.2</v>
      </c>
      <c r="H680" s="37">
        <f>'Calculation Sheet'!N680</f>
        <v>405325.2</v>
      </c>
    </row>
    <row r="681" spans="1:8" x14ac:dyDescent="0.25">
      <c r="A681" s="14" t="s">
        <v>1852</v>
      </c>
      <c r="B681" s="14" t="s">
        <v>1731</v>
      </c>
      <c r="C681" s="15" t="s">
        <v>1984</v>
      </c>
      <c r="D681" s="14" t="s">
        <v>1745</v>
      </c>
      <c r="E681" s="14" t="s">
        <v>1747</v>
      </c>
      <c r="F681" s="14">
        <v>274560</v>
      </c>
      <c r="G681" s="14">
        <v>192192</v>
      </c>
      <c r="H681" s="37">
        <f>'Calculation Sheet'!N681</f>
        <v>192192</v>
      </c>
    </row>
    <row r="682" spans="1:8" x14ac:dyDescent="0.25">
      <c r="A682" s="14" t="s">
        <v>1852</v>
      </c>
      <c r="B682" s="14" t="s">
        <v>650</v>
      </c>
      <c r="C682" s="15" t="s">
        <v>1975</v>
      </c>
      <c r="D682" s="14" t="s">
        <v>1745</v>
      </c>
      <c r="E682" s="14" t="s">
        <v>1746</v>
      </c>
      <c r="F682" s="14">
        <v>524097</v>
      </c>
      <c r="G682" s="14">
        <v>366868</v>
      </c>
      <c r="H682" s="37">
        <f>'Calculation Sheet'!N682</f>
        <v>366868</v>
      </c>
    </row>
    <row r="683" spans="1:8" x14ac:dyDescent="0.25">
      <c r="A683" s="14" t="s">
        <v>1852</v>
      </c>
      <c r="B683" s="14" t="s">
        <v>420</v>
      </c>
      <c r="C683" s="15" t="s">
        <v>1983</v>
      </c>
      <c r="D683" s="14" t="s">
        <v>1745</v>
      </c>
      <c r="E683" s="14" t="s">
        <v>1747</v>
      </c>
      <c r="F683" s="14">
        <v>17021640</v>
      </c>
      <c r="G683" s="14">
        <v>11915148</v>
      </c>
      <c r="H683" s="37">
        <f>'Calculation Sheet'!N683</f>
        <v>11915148</v>
      </c>
    </row>
    <row r="684" spans="1:8" x14ac:dyDescent="0.25">
      <c r="A684" s="14" t="s">
        <v>1852</v>
      </c>
      <c r="B684" s="14">
        <v>66</v>
      </c>
      <c r="C684" s="15" t="s">
        <v>2023</v>
      </c>
      <c r="D684" s="14" t="s">
        <v>1745</v>
      </c>
      <c r="E684" s="14" t="s">
        <v>1746</v>
      </c>
      <c r="F684" s="14">
        <v>157248</v>
      </c>
      <c r="G684" s="14">
        <v>141523.20000000001</v>
      </c>
      <c r="H684" s="37">
        <f>'Calculation Sheet'!N684</f>
        <v>141523.20000000001</v>
      </c>
    </row>
    <row r="685" spans="1:8" x14ac:dyDescent="0.25">
      <c r="A685" s="14" t="s">
        <v>1852</v>
      </c>
      <c r="B685" s="14" t="s">
        <v>102</v>
      </c>
      <c r="C685" s="15" t="s">
        <v>2001</v>
      </c>
      <c r="D685" s="14" t="s">
        <v>1749</v>
      </c>
      <c r="E685" s="14" t="s">
        <v>1746</v>
      </c>
      <c r="F685" s="14">
        <v>1447590</v>
      </c>
      <c r="G685" s="14">
        <v>1013313</v>
      </c>
      <c r="H685" s="37">
        <f>'Calculation Sheet'!N685</f>
        <v>1013313</v>
      </c>
    </row>
    <row r="686" spans="1:8" x14ac:dyDescent="0.25">
      <c r="A686" s="14" t="s">
        <v>1852</v>
      </c>
      <c r="B686" s="14" t="s">
        <v>1653</v>
      </c>
      <c r="C686" s="15" t="s">
        <v>1972</v>
      </c>
      <c r="D686" s="14" t="s">
        <v>1749</v>
      </c>
      <c r="E686" s="14" t="s">
        <v>1746</v>
      </c>
      <c r="F686" s="14">
        <v>14976</v>
      </c>
      <c r="G686" s="14">
        <v>13478.4</v>
      </c>
      <c r="H686" s="37">
        <f>'Calculation Sheet'!N686</f>
        <v>13478.4</v>
      </c>
    </row>
    <row r="687" spans="1:8" x14ac:dyDescent="0.25">
      <c r="A687" s="14" t="s">
        <v>1852</v>
      </c>
      <c r="B687" s="14" t="s">
        <v>1961</v>
      </c>
      <c r="C687" s="15" t="s">
        <v>1962</v>
      </c>
      <c r="D687" s="14" t="s">
        <v>1745</v>
      </c>
      <c r="E687" s="14" t="s">
        <v>1746</v>
      </c>
      <c r="F687" s="14">
        <v>6079878</v>
      </c>
      <c r="G687" s="14">
        <v>4255915</v>
      </c>
      <c r="H687" s="37">
        <f>'Calculation Sheet'!N687</f>
        <v>4255915</v>
      </c>
    </row>
    <row r="688" spans="1:8" x14ac:dyDescent="0.25">
      <c r="A688" s="14" t="s">
        <v>1852</v>
      </c>
      <c r="B688" s="14" t="s">
        <v>28</v>
      </c>
      <c r="C688" s="15" t="s">
        <v>1928</v>
      </c>
      <c r="D688" s="14" t="s">
        <v>1749</v>
      </c>
      <c r="E688" s="14" t="s">
        <v>1746</v>
      </c>
      <c r="F688" s="14">
        <v>49914</v>
      </c>
      <c r="G688" s="14">
        <v>34939.800000000003</v>
      </c>
      <c r="H688" s="37">
        <f>'Calculation Sheet'!N688</f>
        <v>34939.800000000003</v>
      </c>
    </row>
    <row r="689" spans="1:8" x14ac:dyDescent="0.25">
      <c r="A689" s="14" t="s">
        <v>1852</v>
      </c>
      <c r="B689" s="14" t="s">
        <v>1949</v>
      </c>
      <c r="C689" s="15" t="s">
        <v>1950</v>
      </c>
      <c r="D689" s="14" t="s">
        <v>1745</v>
      </c>
      <c r="E689" s="14" t="s">
        <v>1747</v>
      </c>
      <c r="F689" s="14">
        <v>199680</v>
      </c>
      <c r="G689" s="14">
        <v>139776</v>
      </c>
      <c r="H689" s="37">
        <f>'Calculation Sheet'!N689</f>
        <v>139776</v>
      </c>
    </row>
    <row r="690" spans="1:8" x14ac:dyDescent="0.25">
      <c r="A690" s="14" t="s">
        <v>1852</v>
      </c>
      <c r="B690" s="14">
        <v>72</v>
      </c>
      <c r="C690" s="15" t="s">
        <v>2024</v>
      </c>
      <c r="D690" s="14" t="s">
        <v>1745</v>
      </c>
      <c r="E690" s="14" t="s">
        <v>1747</v>
      </c>
      <c r="F690" s="14">
        <v>12379380</v>
      </c>
      <c r="G690" s="14">
        <v>8665566</v>
      </c>
      <c r="H690" s="37">
        <f>'Calculation Sheet'!N690</f>
        <v>8665566</v>
      </c>
    </row>
    <row r="691" spans="1:8" x14ac:dyDescent="0.25">
      <c r="A691" s="14" t="s">
        <v>1852</v>
      </c>
      <c r="B691" s="14">
        <v>65</v>
      </c>
      <c r="C691" s="15" t="s">
        <v>1926</v>
      </c>
      <c r="D691" s="14" t="s">
        <v>1745</v>
      </c>
      <c r="E691" s="14" t="s">
        <v>1746</v>
      </c>
      <c r="F691" s="14">
        <v>288288</v>
      </c>
      <c r="G691" s="14">
        <v>201801.60000000001</v>
      </c>
      <c r="H691" s="37">
        <f>'Calculation Sheet'!N691</f>
        <v>201801.60000000001</v>
      </c>
    </row>
    <row r="692" spans="1:8" x14ac:dyDescent="0.25">
      <c r="A692" s="14" t="s">
        <v>1852</v>
      </c>
      <c r="B692" s="14">
        <v>82</v>
      </c>
      <c r="C692" s="15" t="s">
        <v>2002</v>
      </c>
      <c r="D692" s="14" t="s">
        <v>1749</v>
      </c>
      <c r="E692" s="14" t="s">
        <v>1746</v>
      </c>
      <c r="F692" s="14">
        <v>219636</v>
      </c>
      <c r="G692" s="14">
        <v>153745.20000000001</v>
      </c>
      <c r="H692" s="37">
        <f>'Calculation Sheet'!N692</f>
        <v>153745.20000000001</v>
      </c>
    </row>
    <row r="693" spans="1:8" x14ac:dyDescent="0.25">
      <c r="A693" s="14" t="s">
        <v>1850</v>
      </c>
      <c r="B693" s="14" t="s">
        <v>122</v>
      </c>
      <c r="C693" s="15" t="s">
        <v>1918</v>
      </c>
      <c r="D693" s="14" t="s">
        <v>1745</v>
      </c>
      <c r="E693" s="14" t="s">
        <v>1746</v>
      </c>
      <c r="F693" s="14">
        <v>88074</v>
      </c>
      <c r="G693" s="14">
        <v>61651.8</v>
      </c>
      <c r="H693" s="37">
        <f>'Calculation Sheet'!N693</f>
        <v>61651.8</v>
      </c>
    </row>
    <row r="694" spans="1:8" x14ac:dyDescent="0.25">
      <c r="A694" s="14" t="s">
        <v>1852</v>
      </c>
      <c r="B694" s="14" t="s">
        <v>1963</v>
      </c>
      <c r="C694" s="15" t="s">
        <v>1964</v>
      </c>
      <c r="D694" s="14" t="s">
        <v>1745</v>
      </c>
      <c r="E694" s="14" t="s">
        <v>1746</v>
      </c>
      <c r="F694" s="14">
        <v>288288</v>
      </c>
      <c r="G694" s="14">
        <v>201801.60000000001</v>
      </c>
      <c r="H694" s="37">
        <f>'Calculation Sheet'!N694</f>
        <v>201801.60000000001</v>
      </c>
    </row>
    <row r="695" spans="1:8" x14ac:dyDescent="0.25">
      <c r="A695" s="14" t="s">
        <v>1852</v>
      </c>
      <c r="B695" s="14">
        <v>57</v>
      </c>
      <c r="C695" s="15" t="s">
        <v>1914</v>
      </c>
      <c r="D695" s="14" t="s">
        <v>1745</v>
      </c>
      <c r="E695" s="14" t="s">
        <v>1746</v>
      </c>
      <c r="F695" s="14">
        <v>209664</v>
      </c>
      <c r="G695" s="14">
        <v>146764.79999999999</v>
      </c>
      <c r="H695" s="37">
        <f>'Calculation Sheet'!N695</f>
        <v>146764.79999999999</v>
      </c>
    </row>
    <row r="696" spans="1:8" x14ac:dyDescent="0.25">
      <c r="A696" s="14" t="s">
        <v>1852</v>
      </c>
      <c r="B696" s="14">
        <v>54</v>
      </c>
      <c r="C696" s="15" t="s">
        <v>1979</v>
      </c>
      <c r="D696" s="14" t="s">
        <v>1749</v>
      </c>
      <c r="E696" s="14" t="s">
        <v>1746</v>
      </c>
      <c r="F696" s="14">
        <v>928452</v>
      </c>
      <c r="G696" s="14">
        <v>835606.8</v>
      </c>
      <c r="H696" s="37">
        <f>'Calculation Sheet'!N696</f>
        <v>835606.8</v>
      </c>
    </row>
    <row r="697" spans="1:8" x14ac:dyDescent="0.25">
      <c r="A697" s="14" t="s">
        <v>1852</v>
      </c>
      <c r="B697" s="14" t="s">
        <v>20</v>
      </c>
      <c r="C697" s="15" t="s">
        <v>1978</v>
      </c>
      <c r="D697" s="14" t="s">
        <v>1745</v>
      </c>
      <c r="E697" s="14" t="s">
        <v>1746</v>
      </c>
      <c r="F697" s="14">
        <v>4193028</v>
      </c>
      <c r="G697" s="14">
        <v>2935120</v>
      </c>
      <c r="H697" s="37">
        <f>'Calculation Sheet'!N697</f>
        <v>2935120</v>
      </c>
    </row>
    <row r="698" spans="1:8" x14ac:dyDescent="0.25">
      <c r="A698" s="14" t="s">
        <v>1852</v>
      </c>
      <c r="B698" s="14" t="s">
        <v>1731</v>
      </c>
      <c r="C698" s="15" t="s">
        <v>1984</v>
      </c>
      <c r="D698" s="14" t="s">
        <v>1745</v>
      </c>
      <c r="E698" s="14" t="s">
        <v>1746</v>
      </c>
      <c r="F698" s="14">
        <v>288288</v>
      </c>
      <c r="G698" s="14">
        <v>201801.60000000001</v>
      </c>
      <c r="H698" s="37">
        <f>'Calculation Sheet'!N698</f>
        <v>201801.60000000001</v>
      </c>
    </row>
    <row r="699" spans="1:8" x14ac:dyDescent="0.25">
      <c r="A699" s="14" t="s">
        <v>1852</v>
      </c>
      <c r="B699" s="14" t="s">
        <v>1628</v>
      </c>
      <c r="C699" s="15" t="s">
        <v>1990</v>
      </c>
      <c r="D699" s="14" t="s">
        <v>1745</v>
      </c>
      <c r="E699" s="14" t="s">
        <v>1747</v>
      </c>
      <c r="F699" s="14">
        <v>274560</v>
      </c>
      <c r="G699" s="14">
        <v>192192</v>
      </c>
      <c r="H699" s="37">
        <f>'Calculation Sheet'!N699</f>
        <v>192192</v>
      </c>
    </row>
    <row r="700" spans="1:8" x14ac:dyDescent="0.25">
      <c r="A700" s="14" t="s">
        <v>1852</v>
      </c>
      <c r="B700" s="14">
        <v>63</v>
      </c>
      <c r="C700" s="15" t="s">
        <v>1938</v>
      </c>
      <c r="D700" s="14" t="s">
        <v>1749</v>
      </c>
      <c r="E700" s="14" t="s">
        <v>1746</v>
      </c>
      <c r="F700" s="14">
        <v>14976</v>
      </c>
      <c r="G700" s="14">
        <v>13478.4</v>
      </c>
      <c r="H700" s="37">
        <f>'Calculation Sheet'!N700</f>
        <v>13478.4</v>
      </c>
    </row>
    <row r="701" spans="1:8" x14ac:dyDescent="0.25">
      <c r="A701" s="14" t="s">
        <v>1852</v>
      </c>
      <c r="B701" s="14">
        <v>71</v>
      </c>
      <c r="C701" s="15" t="s">
        <v>1888</v>
      </c>
      <c r="D701" s="14" t="s">
        <v>1745</v>
      </c>
      <c r="E701" s="14" t="s">
        <v>1747</v>
      </c>
      <c r="F701" s="14">
        <v>1198020</v>
      </c>
      <c r="G701" s="14">
        <v>1078218</v>
      </c>
      <c r="H701" s="37">
        <f>'Calculation Sheet'!N701</f>
        <v>1078218</v>
      </c>
    </row>
    <row r="702" spans="1:8" x14ac:dyDescent="0.25">
      <c r="A702" s="14" t="s">
        <v>1852</v>
      </c>
      <c r="B702" s="14">
        <v>12</v>
      </c>
      <c r="C702" s="15" t="s">
        <v>1998</v>
      </c>
      <c r="D702" s="14" t="s">
        <v>1745</v>
      </c>
      <c r="E702" s="14" t="s">
        <v>1747</v>
      </c>
      <c r="F702" s="14">
        <v>499140</v>
      </c>
      <c r="G702" s="14">
        <v>349398</v>
      </c>
      <c r="H702" s="37">
        <f>'Calculation Sheet'!N702</f>
        <v>349398</v>
      </c>
    </row>
    <row r="703" spans="1:8" x14ac:dyDescent="0.25">
      <c r="A703" s="14" t="s">
        <v>1852</v>
      </c>
      <c r="B703" s="14">
        <v>79</v>
      </c>
      <c r="C703" s="15" t="s">
        <v>1880</v>
      </c>
      <c r="D703" s="14" t="s">
        <v>1745</v>
      </c>
      <c r="E703" s="14" t="s">
        <v>1746</v>
      </c>
      <c r="F703" s="14">
        <v>12998349</v>
      </c>
      <c r="G703" s="14">
        <v>9098844</v>
      </c>
      <c r="H703" s="37">
        <f>'Calculation Sheet'!N703</f>
        <v>9098844</v>
      </c>
    </row>
    <row r="704" spans="1:8" x14ac:dyDescent="0.25">
      <c r="A704" s="14" t="s">
        <v>1852</v>
      </c>
      <c r="B704" s="14" t="s">
        <v>24</v>
      </c>
      <c r="C704" s="15" t="s">
        <v>1993</v>
      </c>
      <c r="D704" s="14" t="s">
        <v>1745</v>
      </c>
      <c r="E704" s="14" t="s">
        <v>1746</v>
      </c>
      <c r="F704" s="14">
        <v>524097</v>
      </c>
      <c r="G704" s="14">
        <v>366868</v>
      </c>
      <c r="H704" s="37">
        <f>'Calculation Sheet'!N704</f>
        <v>366868</v>
      </c>
    </row>
    <row r="705" spans="1:8" x14ac:dyDescent="0.25">
      <c r="A705" s="14" t="s">
        <v>1850</v>
      </c>
      <c r="B705" s="14" t="s">
        <v>122</v>
      </c>
      <c r="C705" s="15" t="s">
        <v>1918</v>
      </c>
      <c r="D705" s="14" t="s">
        <v>1749</v>
      </c>
      <c r="E705" s="14" t="s">
        <v>1746</v>
      </c>
      <c r="F705" s="14">
        <v>8388</v>
      </c>
      <c r="G705" s="14">
        <v>5871.6</v>
      </c>
      <c r="H705" s="37">
        <f>'Calculation Sheet'!N705</f>
        <v>5871.6</v>
      </c>
    </row>
    <row r="706" spans="1:8" x14ac:dyDescent="0.25">
      <c r="A706" s="14" t="s">
        <v>1852</v>
      </c>
      <c r="B706" s="14" t="s">
        <v>1630</v>
      </c>
      <c r="C706" s="15" t="s">
        <v>2010</v>
      </c>
      <c r="D706" s="14" t="s">
        <v>1745</v>
      </c>
      <c r="E706" s="14" t="s">
        <v>1747</v>
      </c>
      <c r="F706" s="14">
        <v>1597320</v>
      </c>
      <c r="G706" s="14">
        <v>1118124</v>
      </c>
      <c r="H706" s="37">
        <f>'Calculation Sheet'!N706</f>
        <v>1118124</v>
      </c>
    </row>
    <row r="707" spans="1:8" x14ac:dyDescent="0.25">
      <c r="A707" s="14" t="s">
        <v>1852</v>
      </c>
      <c r="B707" s="14" t="s">
        <v>1552</v>
      </c>
      <c r="C707" s="15" t="s">
        <v>1922</v>
      </c>
      <c r="D707" s="14" t="s">
        <v>1745</v>
      </c>
      <c r="E707" s="14" t="s">
        <v>1747</v>
      </c>
      <c r="F707" s="14">
        <v>2196360</v>
      </c>
      <c r="G707" s="14">
        <v>1537452</v>
      </c>
      <c r="H707" s="37">
        <f>'Calculation Sheet'!N707</f>
        <v>1537452</v>
      </c>
    </row>
    <row r="708" spans="1:8" x14ac:dyDescent="0.25">
      <c r="A708" s="14" t="s">
        <v>1852</v>
      </c>
      <c r="B708" s="14">
        <v>88</v>
      </c>
      <c r="C708" s="15" t="s">
        <v>1893</v>
      </c>
      <c r="D708" s="14" t="s">
        <v>1749</v>
      </c>
      <c r="E708" s="14" t="s">
        <v>1746</v>
      </c>
      <c r="F708" s="14">
        <v>579036</v>
      </c>
      <c r="G708" s="14">
        <v>405325.2</v>
      </c>
      <c r="H708" s="37">
        <f>'Calculation Sheet'!N708</f>
        <v>405325.2</v>
      </c>
    </row>
    <row r="709" spans="1:8" x14ac:dyDescent="0.25">
      <c r="A709" s="14" t="s">
        <v>1852</v>
      </c>
      <c r="B709" s="14" t="s">
        <v>1673</v>
      </c>
      <c r="C709" s="15" t="s">
        <v>1980</v>
      </c>
      <c r="D709" s="14" t="s">
        <v>1749</v>
      </c>
      <c r="E709" s="14" t="s">
        <v>1746</v>
      </c>
      <c r="F709" s="14">
        <v>19968</v>
      </c>
      <c r="G709" s="14">
        <v>13977.6</v>
      </c>
      <c r="H709" s="37">
        <f>'Calculation Sheet'!N709</f>
        <v>13977.6</v>
      </c>
    </row>
    <row r="710" spans="1:8" x14ac:dyDescent="0.25">
      <c r="A710" s="14" t="s">
        <v>1852</v>
      </c>
      <c r="B710" s="14" t="s">
        <v>1564</v>
      </c>
      <c r="C710" s="15" t="s">
        <v>1936</v>
      </c>
      <c r="D710" s="14" t="s">
        <v>1745</v>
      </c>
      <c r="E710" s="14" t="s">
        <v>1746</v>
      </c>
      <c r="F710" s="14">
        <v>288288</v>
      </c>
      <c r="G710" s="14">
        <v>201801.60000000001</v>
      </c>
      <c r="H710" s="37">
        <f>'Calculation Sheet'!N710</f>
        <v>201801.60000000001</v>
      </c>
    </row>
    <row r="711" spans="1:8" x14ac:dyDescent="0.25">
      <c r="A711" s="14" t="s">
        <v>1852</v>
      </c>
      <c r="B711" s="14" t="s">
        <v>1968</v>
      </c>
      <c r="C711" s="15" t="s">
        <v>1969</v>
      </c>
      <c r="D711" s="14" t="s">
        <v>1745</v>
      </c>
      <c r="E711" s="14" t="s">
        <v>1746</v>
      </c>
      <c r="F711" s="14">
        <v>9748746</v>
      </c>
      <c r="G711" s="14">
        <v>8773871</v>
      </c>
      <c r="H711" s="37">
        <f>'Calculation Sheet'!N711</f>
        <v>8773871</v>
      </c>
    </row>
    <row r="712" spans="1:8" x14ac:dyDescent="0.25">
      <c r="A712" s="14" t="s">
        <v>1852</v>
      </c>
      <c r="B712" s="14" t="s">
        <v>1683</v>
      </c>
      <c r="C712" s="15" t="s">
        <v>2025</v>
      </c>
      <c r="D712" s="14" t="s">
        <v>1745</v>
      </c>
      <c r="E712" s="14" t="s">
        <v>1747</v>
      </c>
      <c r="F712" s="14">
        <v>149760</v>
      </c>
      <c r="G712" s="14">
        <v>134784</v>
      </c>
      <c r="H712" s="37">
        <f>'Calculation Sheet'!N712</f>
        <v>134784</v>
      </c>
    </row>
    <row r="713" spans="1:8" x14ac:dyDescent="0.25">
      <c r="A713" s="14" t="s">
        <v>1852</v>
      </c>
      <c r="B713" s="14">
        <v>73</v>
      </c>
      <c r="C713" s="15" t="s">
        <v>1954</v>
      </c>
      <c r="D713" s="14" t="s">
        <v>1749</v>
      </c>
      <c r="E713" s="14" t="s">
        <v>1746</v>
      </c>
      <c r="F713" s="14">
        <v>1237938</v>
      </c>
      <c r="G713" s="14">
        <v>866556.6</v>
      </c>
      <c r="H713" s="37">
        <f>'Calculation Sheet'!N713</f>
        <v>866556.6</v>
      </c>
    </row>
    <row r="714" spans="1:8" x14ac:dyDescent="0.25">
      <c r="A714" s="14" t="s">
        <v>1852</v>
      </c>
      <c r="B714" s="14" t="s">
        <v>414</v>
      </c>
      <c r="C714" s="15" t="s">
        <v>1937</v>
      </c>
      <c r="D714" s="14" t="s">
        <v>1749</v>
      </c>
      <c r="E714" s="14" t="s">
        <v>1746</v>
      </c>
      <c r="F714" s="14">
        <v>579036</v>
      </c>
      <c r="G714" s="14">
        <v>405325.2</v>
      </c>
      <c r="H714" s="37">
        <f>'Calculation Sheet'!N714</f>
        <v>405325.2</v>
      </c>
    </row>
    <row r="715" spans="1:8" x14ac:dyDescent="0.25">
      <c r="A715" s="14" t="s">
        <v>1852</v>
      </c>
      <c r="B715" s="14">
        <v>80</v>
      </c>
      <c r="C715" s="15" t="s">
        <v>1934</v>
      </c>
      <c r="D715" s="14" t="s">
        <v>1745</v>
      </c>
      <c r="E715" s="14" t="s">
        <v>1747</v>
      </c>
      <c r="F715" s="14">
        <v>5790360</v>
      </c>
      <c r="G715" s="14">
        <v>4053252</v>
      </c>
      <c r="H715" s="37">
        <f>'Calculation Sheet'!N715</f>
        <v>4053252</v>
      </c>
    </row>
    <row r="716" spans="1:8" x14ac:dyDescent="0.25">
      <c r="A716" s="14" t="s">
        <v>1852</v>
      </c>
      <c r="B716" s="14">
        <v>53</v>
      </c>
      <c r="C716" s="15" t="s">
        <v>2005</v>
      </c>
      <c r="D716" s="14" t="s">
        <v>1749</v>
      </c>
      <c r="E716" s="14" t="s">
        <v>1746</v>
      </c>
      <c r="F716" s="14">
        <v>14976</v>
      </c>
      <c r="G716" s="14">
        <v>13478.4</v>
      </c>
      <c r="H716" s="37">
        <f>'Calculation Sheet'!N716</f>
        <v>13478.4</v>
      </c>
    </row>
    <row r="717" spans="1:8" x14ac:dyDescent="0.25">
      <c r="A717" s="14" t="s">
        <v>1852</v>
      </c>
      <c r="B717" s="14" t="s">
        <v>36</v>
      </c>
      <c r="C717" s="15" t="s">
        <v>1910</v>
      </c>
      <c r="D717" s="14" t="s">
        <v>1745</v>
      </c>
      <c r="E717" s="14" t="s">
        <v>1746</v>
      </c>
      <c r="F717" s="14">
        <v>524097</v>
      </c>
      <c r="G717" s="14">
        <v>366868</v>
      </c>
      <c r="H717" s="37">
        <f>'Calculation Sheet'!N717</f>
        <v>366868</v>
      </c>
    </row>
    <row r="718" spans="1:8" x14ac:dyDescent="0.25">
      <c r="A718" s="14" t="s">
        <v>1852</v>
      </c>
      <c r="B718" s="14" t="s">
        <v>50</v>
      </c>
      <c r="C718" s="15" t="s">
        <v>1911</v>
      </c>
      <c r="D718" s="14" t="s">
        <v>1749</v>
      </c>
      <c r="E718" s="14" t="s">
        <v>1746</v>
      </c>
      <c r="F718" s="14">
        <v>3094842</v>
      </c>
      <c r="G718" s="14">
        <v>2166389</v>
      </c>
      <c r="H718" s="37">
        <f>'Calculation Sheet'!N718</f>
        <v>2166389</v>
      </c>
    </row>
    <row r="719" spans="1:8" x14ac:dyDescent="0.25">
      <c r="A719" s="14" t="s">
        <v>1852</v>
      </c>
      <c r="B719" s="14" t="s">
        <v>1645</v>
      </c>
      <c r="C719" s="15" t="s">
        <v>1982</v>
      </c>
      <c r="D719" s="14" t="s">
        <v>1749</v>
      </c>
      <c r="E719" s="14" t="s">
        <v>1746</v>
      </c>
      <c r="F719" s="14">
        <v>27456</v>
      </c>
      <c r="G719" s="14">
        <v>19219.2</v>
      </c>
      <c r="H719" s="37">
        <f>'Calculation Sheet'!N719</f>
        <v>19219.2</v>
      </c>
    </row>
    <row r="720" spans="1:8" x14ac:dyDescent="0.25">
      <c r="A720" s="14" t="s">
        <v>1852</v>
      </c>
      <c r="B720" s="14" t="s">
        <v>1601</v>
      </c>
      <c r="C720" s="15" t="s">
        <v>1887</v>
      </c>
      <c r="D720" s="14" t="s">
        <v>1745</v>
      </c>
      <c r="E720" s="14" t="s">
        <v>1747</v>
      </c>
      <c r="F720" s="14">
        <v>149760</v>
      </c>
      <c r="G720" s="14">
        <v>134784</v>
      </c>
      <c r="H720" s="37">
        <f>'Calculation Sheet'!N720</f>
        <v>134784</v>
      </c>
    </row>
    <row r="721" spans="1:8" x14ac:dyDescent="0.25">
      <c r="A721" s="14" t="s">
        <v>1852</v>
      </c>
      <c r="B721" s="14" t="s">
        <v>1566</v>
      </c>
      <c r="C721" s="15" t="s">
        <v>1891</v>
      </c>
      <c r="D721" s="14" t="s">
        <v>1745</v>
      </c>
      <c r="E721" s="14" t="s">
        <v>1746</v>
      </c>
      <c r="F721" s="14">
        <v>2306178</v>
      </c>
      <c r="G721" s="14">
        <v>1614325</v>
      </c>
      <c r="H721" s="37">
        <f>'Calculation Sheet'!N721</f>
        <v>1614325</v>
      </c>
    </row>
    <row r="722" spans="1:8" x14ac:dyDescent="0.25">
      <c r="A722" s="14" t="s">
        <v>1852</v>
      </c>
      <c r="B722" s="14" t="s">
        <v>73</v>
      </c>
      <c r="C722" s="15" t="s">
        <v>2003</v>
      </c>
      <c r="D722" s="14" t="s">
        <v>1745</v>
      </c>
      <c r="E722" s="14" t="s">
        <v>1747</v>
      </c>
      <c r="F722" s="14">
        <v>499140</v>
      </c>
      <c r="G722" s="14">
        <v>349398</v>
      </c>
      <c r="H722" s="37">
        <f>'Calculation Sheet'!N722</f>
        <v>349398</v>
      </c>
    </row>
    <row r="723" spans="1:8" x14ac:dyDescent="0.25">
      <c r="A723" s="14" t="s">
        <v>1852</v>
      </c>
      <c r="B723" s="14" t="s">
        <v>1540</v>
      </c>
      <c r="C723" s="15" t="s">
        <v>2022</v>
      </c>
      <c r="D723" s="14" t="s">
        <v>1749</v>
      </c>
      <c r="E723" s="14" t="s">
        <v>1746</v>
      </c>
      <c r="F723" s="14">
        <v>19968</v>
      </c>
      <c r="G723" s="14">
        <v>13977.6</v>
      </c>
      <c r="H723" s="37">
        <f>'Calculation Sheet'!N723</f>
        <v>13977.6</v>
      </c>
    </row>
    <row r="724" spans="1:8" x14ac:dyDescent="0.25">
      <c r="A724" s="14" t="s">
        <v>1852</v>
      </c>
      <c r="B724" s="14" t="s">
        <v>1555</v>
      </c>
      <c r="C724" s="15" t="s">
        <v>2018</v>
      </c>
      <c r="D724" s="14" t="s">
        <v>1745</v>
      </c>
      <c r="E724" s="14" t="s">
        <v>1746</v>
      </c>
      <c r="F724" s="14">
        <v>209664</v>
      </c>
      <c r="G724" s="14">
        <v>146764.79999999999</v>
      </c>
      <c r="H724" s="37">
        <f>'Calculation Sheet'!N724</f>
        <v>146764.79999999999</v>
      </c>
    </row>
    <row r="725" spans="1:8" x14ac:dyDescent="0.25">
      <c r="A725" s="14" t="s">
        <v>1852</v>
      </c>
      <c r="B725" s="14">
        <v>75</v>
      </c>
      <c r="C725" s="15" t="s">
        <v>2004</v>
      </c>
      <c r="D725" s="14" t="s">
        <v>1745</v>
      </c>
      <c r="E725" s="14" t="s">
        <v>1746</v>
      </c>
      <c r="F725" s="14">
        <v>17872722</v>
      </c>
      <c r="G725" s="14">
        <v>12510905</v>
      </c>
      <c r="H725" s="37">
        <f>'Calculation Sheet'!N725</f>
        <v>12510905</v>
      </c>
    </row>
    <row r="726" spans="1:8" x14ac:dyDescent="0.25">
      <c r="A726" s="14" t="s">
        <v>1852</v>
      </c>
      <c r="B726" s="14" t="s">
        <v>1898</v>
      </c>
      <c r="C726" s="15" t="s">
        <v>1899</v>
      </c>
      <c r="D726" s="14" t="s">
        <v>1745</v>
      </c>
      <c r="E726" s="14" t="s">
        <v>1747</v>
      </c>
      <c r="F726" s="14">
        <v>2196360</v>
      </c>
      <c r="G726" s="14">
        <v>1537452</v>
      </c>
      <c r="H726" s="37">
        <f>'Calculation Sheet'!N726</f>
        <v>1537452</v>
      </c>
    </row>
    <row r="727" spans="1:8" x14ac:dyDescent="0.25">
      <c r="A727" s="14" t="s">
        <v>1852</v>
      </c>
      <c r="B727" s="14">
        <v>50</v>
      </c>
      <c r="C727" s="15" t="s">
        <v>1919</v>
      </c>
      <c r="D727" s="14" t="s">
        <v>1745</v>
      </c>
      <c r="E727" s="14" t="s">
        <v>1747</v>
      </c>
      <c r="F727" s="14">
        <v>17021640</v>
      </c>
      <c r="G727" s="14">
        <v>11915148</v>
      </c>
      <c r="H727" s="37">
        <f>'Calculation Sheet'!N727</f>
        <v>11915148</v>
      </c>
    </row>
    <row r="728" spans="1:8" x14ac:dyDescent="0.25">
      <c r="A728" s="14" t="s">
        <v>1852</v>
      </c>
      <c r="B728" s="14">
        <v>75</v>
      </c>
      <c r="C728" s="15" t="s">
        <v>2004</v>
      </c>
      <c r="D728" s="14" t="s">
        <v>1745</v>
      </c>
      <c r="E728" s="14" t="s">
        <v>1747</v>
      </c>
      <c r="F728" s="14">
        <v>17021640</v>
      </c>
      <c r="G728" s="14">
        <v>11915148</v>
      </c>
      <c r="H728" s="37">
        <f>'Calculation Sheet'!N728</f>
        <v>11915148</v>
      </c>
    </row>
    <row r="729" spans="1:8" x14ac:dyDescent="0.25">
      <c r="A729" s="14" t="s">
        <v>1852</v>
      </c>
      <c r="B729" s="14" t="s">
        <v>414</v>
      </c>
      <c r="C729" s="15" t="s">
        <v>1937</v>
      </c>
      <c r="D729" s="14" t="s">
        <v>1745</v>
      </c>
      <c r="E729" s="14" t="s">
        <v>1746</v>
      </c>
      <c r="F729" s="14">
        <v>6079878</v>
      </c>
      <c r="G729" s="14">
        <v>4255915</v>
      </c>
      <c r="H729" s="37">
        <f>'Calculation Sheet'!N729</f>
        <v>4255915</v>
      </c>
    </row>
    <row r="730" spans="1:8" x14ac:dyDescent="0.25">
      <c r="A730" s="14" t="s">
        <v>1852</v>
      </c>
      <c r="B730" s="14">
        <v>54</v>
      </c>
      <c r="C730" s="15" t="s">
        <v>1979</v>
      </c>
      <c r="D730" s="14" t="s">
        <v>1745</v>
      </c>
      <c r="E730" s="14" t="s">
        <v>1746</v>
      </c>
      <c r="F730" s="14">
        <v>9748746</v>
      </c>
      <c r="G730" s="14">
        <v>8773871</v>
      </c>
      <c r="H730" s="37">
        <f>'Calculation Sheet'!N730</f>
        <v>8773871</v>
      </c>
    </row>
    <row r="731" spans="1:8" x14ac:dyDescent="0.25">
      <c r="A731" s="14" t="s">
        <v>1852</v>
      </c>
      <c r="B731" s="14">
        <v>81</v>
      </c>
      <c r="C731" s="15" t="s">
        <v>1986</v>
      </c>
      <c r="D731" s="14" t="s">
        <v>1749</v>
      </c>
      <c r="E731" s="14" t="s">
        <v>1746</v>
      </c>
      <c r="F731" s="14">
        <v>159732</v>
      </c>
      <c r="G731" s="14">
        <v>111812.4</v>
      </c>
      <c r="H731" s="37">
        <f>'Calculation Sheet'!N731</f>
        <v>111812.4</v>
      </c>
    </row>
    <row r="732" spans="1:8" x14ac:dyDescent="0.25">
      <c r="A732" s="14" t="s">
        <v>1852</v>
      </c>
      <c r="B732" s="14" t="s">
        <v>1632</v>
      </c>
      <c r="C732" s="15" t="s">
        <v>1987</v>
      </c>
      <c r="D732" s="14" t="s">
        <v>1749</v>
      </c>
      <c r="E732" s="14" t="s">
        <v>1746</v>
      </c>
      <c r="F732" s="14">
        <v>14976</v>
      </c>
      <c r="G732" s="14">
        <v>13478.4</v>
      </c>
      <c r="H732" s="37">
        <f>'Calculation Sheet'!N732</f>
        <v>13478.4</v>
      </c>
    </row>
    <row r="733" spans="1:8" x14ac:dyDescent="0.25">
      <c r="A733" s="14" t="s">
        <v>1852</v>
      </c>
      <c r="B733" s="14" t="s">
        <v>1737</v>
      </c>
      <c r="C733" s="15" t="s">
        <v>1883</v>
      </c>
      <c r="D733" s="14" t="s">
        <v>1749</v>
      </c>
      <c r="E733" s="14" t="s">
        <v>1746</v>
      </c>
      <c r="F733" s="14">
        <v>434274</v>
      </c>
      <c r="G733" s="14">
        <v>390846.6</v>
      </c>
      <c r="H733" s="37">
        <f>'Calculation Sheet'!N733</f>
        <v>390846.6</v>
      </c>
    </row>
    <row r="734" spans="1:8" x14ac:dyDescent="0.25">
      <c r="A734" s="14" t="s">
        <v>1852</v>
      </c>
      <c r="B734" s="14">
        <v>59</v>
      </c>
      <c r="C734" s="15" t="s">
        <v>2000</v>
      </c>
      <c r="D734" s="14" t="s">
        <v>1749</v>
      </c>
      <c r="E734" s="14" t="s">
        <v>1746</v>
      </c>
      <c r="F734" s="14">
        <v>14976</v>
      </c>
      <c r="G734" s="14">
        <v>13478.4</v>
      </c>
      <c r="H734" s="37">
        <f>'Calculation Sheet'!N734</f>
        <v>13478.4</v>
      </c>
    </row>
    <row r="735" spans="1:8" x14ac:dyDescent="0.25">
      <c r="A735" s="14" t="s">
        <v>1852</v>
      </c>
      <c r="B735" s="14" t="s">
        <v>402</v>
      </c>
      <c r="C735" s="15" t="s">
        <v>1932</v>
      </c>
      <c r="D735" s="14" t="s">
        <v>1745</v>
      </c>
      <c r="E735" s="14" t="s">
        <v>1747</v>
      </c>
      <c r="F735" s="14">
        <v>7961760</v>
      </c>
      <c r="G735" s="14">
        <v>5573232</v>
      </c>
      <c r="H735" s="37">
        <f>'Calculation Sheet'!N735</f>
        <v>5573232</v>
      </c>
    </row>
    <row r="736" spans="1:8" x14ac:dyDescent="0.25">
      <c r="A736" s="14" t="s">
        <v>1852</v>
      </c>
      <c r="B736" s="14">
        <v>9</v>
      </c>
      <c r="C736" s="15" t="s">
        <v>1873</v>
      </c>
      <c r="D736" s="14" t="s">
        <v>1745</v>
      </c>
      <c r="E736" s="14" t="s">
        <v>1746</v>
      </c>
      <c r="F736" s="14">
        <v>32495841</v>
      </c>
      <c r="G736" s="14">
        <v>22747089</v>
      </c>
      <c r="H736" s="37">
        <f>'Calculation Sheet'!N736</f>
        <v>22747089</v>
      </c>
    </row>
    <row r="737" spans="1:8" x14ac:dyDescent="0.25">
      <c r="A737" s="14" t="s">
        <v>1852</v>
      </c>
      <c r="B737" s="14">
        <v>55</v>
      </c>
      <c r="C737" s="15" t="s">
        <v>2006</v>
      </c>
      <c r="D737" s="14" t="s">
        <v>1745</v>
      </c>
      <c r="E737" s="14" t="s">
        <v>1747</v>
      </c>
      <c r="F737" s="14">
        <v>17021640</v>
      </c>
      <c r="G737" s="14">
        <v>11915148</v>
      </c>
      <c r="H737" s="37">
        <f>'Calculation Sheet'!N737</f>
        <v>11915148</v>
      </c>
    </row>
    <row r="738" spans="1:8" x14ac:dyDescent="0.25">
      <c r="A738" s="14" t="s">
        <v>1852</v>
      </c>
      <c r="B738" s="14" t="s">
        <v>24</v>
      </c>
      <c r="C738" s="15" t="s">
        <v>1993</v>
      </c>
      <c r="D738" s="14" t="s">
        <v>1745</v>
      </c>
      <c r="E738" s="14" t="s">
        <v>1747</v>
      </c>
      <c r="F738" s="14">
        <v>499140</v>
      </c>
      <c r="G738" s="14">
        <v>349398</v>
      </c>
      <c r="H738" s="37">
        <f>'Calculation Sheet'!N738</f>
        <v>349398</v>
      </c>
    </row>
    <row r="739" spans="1:8" ht="30" x14ac:dyDescent="0.25">
      <c r="A739" s="14" t="s">
        <v>1850</v>
      </c>
      <c r="B739" s="14" t="s">
        <v>32</v>
      </c>
      <c r="C739" s="15" t="s">
        <v>1884</v>
      </c>
      <c r="D739" s="14" t="s">
        <v>1745</v>
      </c>
      <c r="E739" s="14" t="s">
        <v>1746</v>
      </c>
      <c r="F739" s="14">
        <v>17325</v>
      </c>
      <c r="G739" s="14">
        <v>12127.56</v>
      </c>
      <c r="H739" s="37">
        <f>'Calculation Sheet'!N739</f>
        <v>12127.56</v>
      </c>
    </row>
    <row r="740" spans="1:8" x14ac:dyDescent="0.25">
      <c r="A740" s="14" t="s">
        <v>1852</v>
      </c>
      <c r="B740" s="14" t="s">
        <v>73</v>
      </c>
      <c r="C740" s="15" t="s">
        <v>2003</v>
      </c>
      <c r="D740" s="14" t="s">
        <v>1749</v>
      </c>
      <c r="E740" s="14" t="s">
        <v>1746</v>
      </c>
      <c r="F740" s="14">
        <v>49914</v>
      </c>
      <c r="G740" s="14">
        <v>34939.800000000003</v>
      </c>
      <c r="H740" s="37">
        <f>'Calculation Sheet'!N740</f>
        <v>34939.800000000003</v>
      </c>
    </row>
    <row r="741" spans="1:8" x14ac:dyDescent="0.25">
      <c r="A741" s="14" t="s">
        <v>1852</v>
      </c>
      <c r="B741" s="14">
        <v>70</v>
      </c>
      <c r="C741" s="15" t="s">
        <v>1953</v>
      </c>
      <c r="D741" s="14" t="s">
        <v>1749</v>
      </c>
      <c r="E741" s="14" t="s">
        <v>1746</v>
      </c>
      <c r="F741" s="14">
        <v>14976</v>
      </c>
      <c r="G741" s="14">
        <v>13478.4</v>
      </c>
      <c r="H741" s="37">
        <f>'Calculation Sheet'!N741</f>
        <v>13478.4</v>
      </c>
    </row>
    <row r="742" spans="1:8" x14ac:dyDescent="0.25">
      <c r="A742" s="14" t="s">
        <v>1852</v>
      </c>
      <c r="B742" s="14">
        <v>66</v>
      </c>
      <c r="C742" s="15" t="s">
        <v>2023</v>
      </c>
      <c r="D742" s="14" t="s">
        <v>1745</v>
      </c>
      <c r="E742" s="14" t="s">
        <v>1747</v>
      </c>
      <c r="F742" s="14">
        <v>149760</v>
      </c>
      <c r="G742" s="14">
        <v>134784</v>
      </c>
      <c r="H742" s="37">
        <f>'Calculation Sheet'!N742</f>
        <v>134784</v>
      </c>
    </row>
    <row r="743" spans="1:8" x14ac:dyDescent="0.25">
      <c r="A743" s="14" t="s">
        <v>1852</v>
      </c>
      <c r="B743" s="14" t="s">
        <v>1907</v>
      </c>
      <c r="C743" s="15" t="s">
        <v>1908</v>
      </c>
      <c r="D743" s="14" t="s">
        <v>1745</v>
      </c>
      <c r="E743" s="14" t="s">
        <v>1747</v>
      </c>
      <c r="F743" s="14">
        <v>149760</v>
      </c>
      <c r="G743" s="14">
        <v>134784</v>
      </c>
      <c r="H743" s="37">
        <f>'Calculation Sheet'!N743</f>
        <v>134784</v>
      </c>
    </row>
    <row r="744" spans="1:8" x14ac:dyDescent="0.25">
      <c r="A744" s="14" t="s">
        <v>1852</v>
      </c>
      <c r="B744" s="14" t="s">
        <v>1968</v>
      </c>
      <c r="C744" s="15" t="s">
        <v>1969</v>
      </c>
      <c r="D744" s="14" t="s">
        <v>1745</v>
      </c>
      <c r="E744" s="14" t="s">
        <v>1747</v>
      </c>
      <c r="F744" s="14">
        <v>9284520</v>
      </c>
      <c r="G744" s="14">
        <v>8356068</v>
      </c>
      <c r="H744" s="37">
        <f>'Calculation Sheet'!N744</f>
        <v>8356068</v>
      </c>
    </row>
    <row r="745" spans="1:8" x14ac:dyDescent="0.25">
      <c r="A745" s="14" t="s">
        <v>1852</v>
      </c>
      <c r="B745" s="14">
        <v>16</v>
      </c>
      <c r="C745" s="15" t="s">
        <v>1952</v>
      </c>
      <c r="D745" s="14" t="s">
        <v>1749</v>
      </c>
      <c r="E745" s="14" t="s">
        <v>1746</v>
      </c>
      <c r="F745" s="14">
        <v>49914</v>
      </c>
      <c r="G745" s="14">
        <v>34939.800000000003</v>
      </c>
      <c r="H745" s="37">
        <f>'Calculation Sheet'!N745</f>
        <v>34939.800000000003</v>
      </c>
    </row>
    <row r="746" spans="1:8" x14ac:dyDescent="0.25">
      <c r="A746" s="14" t="s">
        <v>1852</v>
      </c>
      <c r="B746" s="14" t="s">
        <v>1683</v>
      </c>
      <c r="C746" s="15" t="s">
        <v>2025</v>
      </c>
      <c r="D746" s="14" t="s">
        <v>1749</v>
      </c>
      <c r="E746" s="14" t="s">
        <v>1746</v>
      </c>
      <c r="F746" s="14">
        <v>14976</v>
      </c>
      <c r="G746" s="14">
        <v>13478.4</v>
      </c>
      <c r="H746" s="37">
        <f>'Calculation Sheet'!N746</f>
        <v>13478.4</v>
      </c>
    </row>
    <row r="747" spans="1:8" x14ac:dyDescent="0.25">
      <c r="A747" s="14" t="s">
        <v>1852</v>
      </c>
      <c r="B747" s="14" t="s">
        <v>2019</v>
      </c>
      <c r="C747" s="15" t="s">
        <v>2020</v>
      </c>
      <c r="D747" s="14" t="s">
        <v>1745</v>
      </c>
      <c r="E747" s="14" t="s">
        <v>1747</v>
      </c>
      <c r="F747" s="14">
        <v>199680</v>
      </c>
      <c r="G747" s="14">
        <v>139776</v>
      </c>
      <c r="H747" s="37">
        <f>'Calculation Sheet'!N747</f>
        <v>139776</v>
      </c>
    </row>
    <row r="748" spans="1:8" x14ac:dyDescent="0.25">
      <c r="A748" s="14" t="s">
        <v>1852</v>
      </c>
      <c r="B748" s="14" t="s">
        <v>1578</v>
      </c>
      <c r="C748" s="15" t="s">
        <v>1856</v>
      </c>
      <c r="D748" s="14" t="s">
        <v>1745</v>
      </c>
      <c r="E748" s="14" t="s">
        <v>1746</v>
      </c>
      <c r="F748" s="14">
        <v>157248</v>
      </c>
      <c r="G748" s="14">
        <v>141523.20000000001</v>
      </c>
      <c r="H748" s="37">
        <f>'Calculation Sheet'!N748</f>
        <v>141523.20000000001</v>
      </c>
    </row>
    <row r="749" spans="1:8" x14ac:dyDescent="0.25">
      <c r="A749" s="14" t="s">
        <v>2026</v>
      </c>
      <c r="B749" s="14">
        <v>7</v>
      </c>
      <c r="C749" s="15" t="s">
        <v>2027</v>
      </c>
      <c r="D749" s="14" t="s">
        <v>1745</v>
      </c>
      <c r="E749" s="14" t="s">
        <v>1746</v>
      </c>
      <c r="F749" s="14">
        <v>63441</v>
      </c>
      <c r="G749" s="14">
        <v>47580.72</v>
      </c>
      <c r="H749" s="37">
        <f>'Calculation Sheet'!N749</f>
        <v>47580.72</v>
      </c>
    </row>
    <row r="750" spans="1:8" ht="30" x14ac:dyDescent="0.25">
      <c r="A750" s="14" t="s">
        <v>2026</v>
      </c>
      <c r="B750" s="14">
        <v>8</v>
      </c>
      <c r="C750" s="15" t="s">
        <v>2028</v>
      </c>
      <c r="D750" s="14" t="s">
        <v>1745</v>
      </c>
      <c r="E750" s="14" t="s">
        <v>1747</v>
      </c>
      <c r="F750" s="14">
        <v>49440</v>
      </c>
      <c r="G750" s="14">
        <v>37080</v>
      </c>
      <c r="H750" s="37">
        <f>'Calculation Sheet'!N750</f>
        <v>37080</v>
      </c>
    </row>
    <row r="751" spans="1:8" ht="30" x14ac:dyDescent="0.25">
      <c r="A751" s="14" t="s">
        <v>2026</v>
      </c>
      <c r="B751" s="14">
        <v>8</v>
      </c>
      <c r="C751" s="15" t="s">
        <v>2028</v>
      </c>
      <c r="D751" s="14" t="s">
        <v>1745</v>
      </c>
      <c r="E751" s="14" t="s">
        <v>1746</v>
      </c>
      <c r="F751" s="14">
        <v>51912</v>
      </c>
      <c r="G751" s="14">
        <v>38934</v>
      </c>
      <c r="H751" s="37">
        <f>'Calculation Sheet'!N751</f>
        <v>38934</v>
      </c>
    </row>
    <row r="752" spans="1:8" x14ac:dyDescent="0.25">
      <c r="A752" s="14" t="s">
        <v>2026</v>
      </c>
      <c r="B752" s="14">
        <v>9</v>
      </c>
      <c r="C752" s="15" t="s">
        <v>2029</v>
      </c>
      <c r="D752" s="14" t="s">
        <v>1749</v>
      </c>
      <c r="E752" s="14" t="s">
        <v>1746</v>
      </c>
      <c r="F752" s="14">
        <v>8988</v>
      </c>
      <c r="G752" s="14">
        <v>6741</v>
      </c>
      <c r="H752" s="37">
        <f>'Calculation Sheet'!N752</f>
        <v>6741</v>
      </c>
    </row>
    <row r="753" spans="1:8" ht="30" x14ac:dyDescent="0.25">
      <c r="A753" s="14" t="s">
        <v>2026</v>
      </c>
      <c r="B753" s="14">
        <v>5</v>
      </c>
      <c r="C753" s="15" t="s">
        <v>2030</v>
      </c>
      <c r="D753" s="14" t="s">
        <v>1749</v>
      </c>
      <c r="E753" s="14" t="s">
        <v>1746</v>
      </c>
      <c r="F753" s="14">
        <v>3594</v>
      </c>
      <c r="G753" s="14">
        <v>2695.5</v>
      </c>
      <c r="H753" s="37">
        <f>'Calculation Sheet'!N753</f>
        <v>2695.5</v>
      </c>
    </row>
    <row r="754" spans="1:8" x14ac:dyDescent="0.25">
      <c r="A754" s="14" t="s">
        <v>2026</v>
      </c>
      <c r="B754" s="14">
        <v>9</v>
      </c>
      <c r="C754" s="15" t="s">
        <v>2029</v>
      </c>
      <c r="D754" s="14" t="s">
        <v>1745</v>
      </c>
      <c r="E754" s="14" t="s">
        <v>1746</v>
      </c>
      <c r="F754" s="14">
        <v>94374</v>
      </c>
      <c r="G754" s="14">
        <v>70780.56</v>
      </c>
      <c r="H754" s="37">
        <f>'Calculation Sheet'!N754</f>
        <v>70780.56</v>
      </c>
    </row>
    <row r="755" spans="1:8" x14ac:dyDescent="0.25">
      <c r="A755" s="14" t="s">
        <v>2026</v>
      </c>
      <c r="B755" s="14">
        <v>2</v>
      </c>
      <c r="C755" s="15" t="s">
        <v>2031</v>
      </c>
      <c r="D755" s="14" t="s">
        <v>1745</v>
      </c>
      <c r="E755" s="14" t="s">
        <v>1746</v>
      </c>
      <c r="F755" s="14">
        <v>28854</v>
      </c>
      <c r="G755" s="14">
        <v>25968.6</v>
      </c>
      <c r="H755" s="37">
        <f>'Calculation Sheet'!N755</f>
        <v>25968.6</v>
      </c>
    </row>
    <row r="756" spans="1:8" ht="30" x14ac:dyDescent="0.25">
      <c r="A756" s="14" t="s">
        <v>2026</v>
      </c>
      <c r="B756" s="14">
        <v>8</v>
      </c>
      <c r="C756" s="15" t="s">
        <v>2028</v>
      </c>
      <c r="D756" s="14" t="s">
        <v>1749</v>
      </c>
      <c r="E756" s="14" t="s">
        <v>1746</v>
      </c>
      <c r="F756" s="14">
        <v>4944</v>
      </c>
      <c r="G756" s="14">
        <v>3708</v>
      </c>
      <c r="H756" s="37">
        <f>'Calculation Sheet'!N756</f>
        <v>3708</v>
      </c>
    </row>
    <row r="757" spans="1:8" x14ac:dyDescent="0.25">
      <c r="A757" s="14" t="s">
        <v>2026</v>
      </c>
      <c r="B757" s="14">
        <v>6</v>
      </c>
      <c r="C757" s="15" t="s">
        <v>2032</v>
      </c>
      <c r="D757" s="14" t="s">
        <v>1745</v>
      </c>
      <c r="E757" s="14" t="s">
        <v>1746</v>
      </c>
      <c r="F757" s="14">
        <v>115290</v>
      </c>
      <c r="G757" s="14">
        <v>86467.56</v>
      </c>
      <c r="H757" s="37">
        <f>'Calculation Sheet'!N757</f>
        <v>86467.56</v>
      </c>
    </row>
    <row r="758" spans="1:8" x14ac:dyDescent="0.25">
      <c r="A758" s="14" t="s">
        <v>2026</v>
      </c>
      <c r="B758" s="14">
        <v>9</v>
      </c>
      <c r="C758" s="15" t="s">
        <v>2029</v>
      </c>
      <c r="D758" s="14" t="s">
        <v>1745</v>
      </c>
      <c r="E758" s="14" t="s">
        <v>1747</v>
      </c>
      <c r="F758" s="14">
        <v>89880</v>
      </c>
      <c r="G758" s="14">
        <v>67410</v>
      </c>
      <c r="H758" s="37">
        <f>'Calculation Sheet'!N758</f>
        <v>67410</v>
      </c>
    </row>
    <row r="759" spans="1:8" x14ac:dyDescent="0.25">
      <c r="A759" s="14" t="s">
        <v>2026</v>
      </c>
      <c r="B759" s="14">
        <v>6</v>
      </c>
      <c r="C759" s="15" t="s">
        <v>2032</v>
      </c>
      <c r="D759" s="14" t="s">
        <v>1749</v>
      </c>
      <c r="E759" s="14" t="s">
        <v>1746</v>
      </c>
      <c r="F759" s="14">
        <v>10980</v>
      </c>
      <c r="G759" s="14">
        <v>8235</v>
      </c>
      <c r="H759" s="37">
        <f>'Calculation Sheet'!N759</f>
        <v>8235</v>
      </c>
    </row>
    <row r="760" spans="1:8" ht="30" x14ac:dyDescent="0.25">
      <c r="A760" s="14" t="s">
        <v>2026</v>
      </c>
      <c r="B760" s="14">
        <v>4</v>
      </c>
      <c r="C760" s="15" t="s">
        <v>2033</v>
      </c>
      <c r="D760" s="14" t="s">
        <v>1745</v>
      </c>
      <c r="E760" s="14" t="s">
        <v>1747</v>
      </c>
      <c r="F760" s="14">
        <v>22440</v>
      </c>
      <c r="G760" s="14">
        <v>20196</v>
      </c>
      <c r="H760" s="37">
        <f>'Calculation Sheet'!N760</f>
        <v>20196</v>
      </c>
    </row>
    <row r="761" spans="1:8" x14ac:dyDescent="0.25">
      <c r="A761" s="14" t="s">
        <v>2026</v>
      </c>
      <c r="B761" s="14">
        <v>1</v>
      </c>
      <c r="C761" s="15" t="s">
        <v>2034</v>
      </c>
      <c r="D761" s="14" t="s">
        <v>1745</v>
      </c>
      <c r="E761" s="14" t="s">
        <v>1747</v>
      </c>
      <c r="F761" s="14">
        <v>43920</v>
      </c>
      <c r="G761" s="14">
        <v>32940</v>
      </c>
      <c r="H761" s="37">
        <f>'Calculation Sheet'!N761</f>
        <v>32940</v>
      </c>
    </row>
    <row r="762" spans="1:8" x14ac:dyDescent="0.25">
      <c r="A762" s="14" t="s">
        <v>2026</v>
      </c>
      <c r="B762" s="14">
        <v>2</v>
      </c>
      <c r="C762" s="15" t="s">
        <v>2031</v>
      </c>
      <c r="D762" s="14" t="s">
        <v>1745</v>
      </c>
      <c r="E762" s="14" t="s">
        <v>1747</v>
      </c>
      <c r="F762" s="14">
        <v>27480</v>
      </c>
      <c r="G762" s="14">
        <v>24732</v>
      </c>
      <c r="H762" s="37">
        <f>'Calculation Sheet'!N762</f>
        <v>24732</v>
      </c>
    </row>
    <row r="763" spans="1:8" x14ac:dyDescent="0.25">
      <c r="A763" s="14" t="s">
        <v>2026</v>
      </c>
      <c r="B763" s="14">
        <v>6</v>
      </c>
      <c r="C763" s="15" t="s">
        <v>2032</v>
      </c>
      <c r="D763" s="14" t="s">
        <v>1745</v>
      </c>
      <c r="E763" s="14" t="s">
        <v>1747</v>
      </c>
      <c r="F763" s="14">
        <v>109800</v>
      </c>
      <c r="G763" s="14">
        <v>82350</v>
      </c>
      <c r="H763" s="37">
        <f>'Calculation Sheet'!N763</f>
        <v>82350</v>
      </c>
    </row>
    <row r="764" spans="1:8" x14ac:dyDescent="0.25">
      <c r="A764" s="14" t="s">
        <v>2026</v>
      </c>
      <c r="B764" s="14">
        <v>7</v>
      </c>
      <c r="C764" s="15" t="s">
        <v>2027</v>
      </c>
      <c r="D764" s="14" t="s">
        <v>1749</v>
      </c>
      <c r="E764" s="14" t="s">
        <v>1746</v>
      </c>
      <c r="F764" s="14">
        <v>6042</v>
      </c>
      <c r="G764" s="14">
        <v>4531.5</v>
      </c>
      <c r="H764" s="37">
        <f>'Calculation Sheet'!N764</f>
        <v>4531.5</v>
      </c>
    </row>
    <row r="765" spans="1:8" ht="30" x14ac:dyDescent="0.25">
      <c r="A765" s="14" t="s">
        <v>2026</v>
      </c>
      <c r="B765" s="14">
        <v>4</v>
      </c>
      <c r="C765" s="15" t="s">
        <v>2033</v>
      </c>
      <c r="D765" s="14" t="s">
        <v>1749</v>
      </c>
      <c r="E765" s="14" t="s">
        <v>1746</v>
      </c>
      <c r="F765" s="14">
        <v>2244</v>
      </c>
      <c r="G765" s="14">
        <v>2019.6</v>
      </c>
      <c r="H765" s="37">
        <f>'Calculation Sheet'!N765</f>
        <v>2019.6</v>
      </c>
    </row>
    <row r="766" spans="1:8" ht="30" x14ac:dyDescent="0.25">
      <c r="A766" s="14" t="s">
        <v>2026</v>
      </c>
      <c r="B766" s="14">
        <v>5</v>
      </c>
      <c r="C766" s="15" t="s">
        <v>2030</v>
      </c>
      <c r="D766" s="14" t="s">
        <v>1745</v>
      </c>
      <c r="E766" s="14" t="s">
        <v>1747</v>
      </c>
      <c r="F766" s="14">
        <v>35940</v>
      </c>
      <c r="G766" s="14">
        <v>26955</v>
      </c>
      <c r="H766" s="37">
        <f>'Calculation Sheet'!N766</f>
        <v>26955</v>
      </c>
    </row>
    <row r="767" spans="1:8" x14ac:dyDescent="0.25">
      <c r="A767" s="14" t="s">
        <v>2026</v>
      </c>
      <c r="B767" s="14">
        <v>1</v>
      </c>
      <c r="C767" s="15" t="s">
        <v>2034</v>
      </c>
      <c r="D767" s="14" t="s">
        <v>1745</v>
      </c>
      <c r="E767" s="14" t="s">
        <v>1746</v>
      </c>
      <c r="F767" s="14">
        <v>46116</v>
      </c>
      <c r="G767" s="14">
        <v>34587</v>
      </c>
      <c r="H767" s="37">
        <f>'Calculation Sheet'!N767</f>
        <v>34587</v>
      </c>
    </row>
    <row r="768" spans="1:8" x14ac:dyDescent="0.25">
      <c r="A768" s="14" t="s">
        <v>2026</v>
      </c>
      <c r="B768" s="14">
        <v>9</v>
      </c>
      <c r="C768" s="15" t="s">
        <v>2029</v>
      </c>
      <c r="D768" s="14" t="s">
        <v>1752</v>
      </c>
      <c r="E768" s="14" t="s">
        <v>1746</v>
      </c>
      <c r="F768" s="14">
        <v>283122</v>
      </c>
      <c r="G768" s="14">
        <v>212341.7</v>
      </c>
      <c r="H768" s="37">
        <f>'Calculation Sheet'!N768</f>
        <v>212341.7</v>
      </c>
    </row>
    <row r="769" spans="1:8" x14ac:dyDescent="0.25">
      <c r="A769" s="14" t="s">
        <v>2026</v>
      </c>
      <c r="B769" s="14">
        <v>7</v>
      </c>
      <c r="C769" s="15" t="s">
        <v>2027</v>
      </c>
      <c r="D769" s="14" t="s">
        <v>1745</v>
      </c>
      <c r="E769" s="14" t="s">
        <v>1747</v>
      </c>
      <c r="F769" s="14">
        <v>60420</v>
      </c>
      <c r="G769" s="14">
        <v>45315</v>
      </c>
      <c r="H769" s="37">
        <f>'Calculation Sheet'!N769</f>
        <v>45315</v>
      </c>
    </row>
    <row r="770" spans="1:8" x14ac:dyDescent="0.25">
      <c r="A770" s="14" t="s">
        <v>2026</v>
      </c>
      <c r="B770" s="14">
        <v>1</v>
      </c>
      <c r="C770" s="15" t="s">
        <v>2034</v>
      </c>
      <c r="D770" s="14" t="s">
        <v>1749</v>
      </c>
      <c r="E770" s="14" t="s">
        <v>1746</v>
      </c>
      <c r="F770" s="14">
        <v>4392</v>
      </c>
      <c r="G770" s="14">
        <v>3294</v>
      </c>
      <c r="H770" s="37">
        <f>'Calculation Sheet'!N770</f>
        <v>3294</v>
      </c>
    </row>
    <row r="771" spans="1:8" ht="30" x14ac:dyDescent="0.25">
      <c r="A771" s="14" t="s">
        <v>2026</v>
      </c>
      <c r="B771" s="14">
        <v>5</v>
      </c>
      <c r="C771" s="15" t="s">
        <v>2030</v>
      </c>
      <c r="D771" s="14" t="s">
        <v>1745</v>
      </c>
      <c r="E771" s="14" t="s">
        <v>1746</v>
      </c>
      <c r="F771" s="14">
        <v>37737</v>
      </c>
      <c r="G771" s="14">
        <v>28302.720000000001</v>
      </c>
      <c r="H771" s="37">
        <f>'Calculation Sheet'!N771</f>
        <v>28302.720000000001</v>
      </c>
    </row>
    <row r="772" spans="1:8" x14ac:dyDescent="0.25">
      <c r="A772" s="14" t="s">
        <v>2026</v>
      </c>
      <c r="B772" s="14">
        <v>9</v>
      </c>
      <c r="C772" s="15" t="s">
        <v>2029</v>
      </c>
      <c r="D772" s="14" t="s">
        <v>1752</v>
      </c>
      <c r="E772" s="14" t="s">
        <v>1753</v>
      </c>
      <c r="F772" s="14">
        <v>269640</v>
      </c>
      <c r="G772" s="14">
        <v>202230</v>
      </c>
      <c r="H772" s="37">
        <f>'Calculation Sheet'!N772</f>
        <v>202230</v>
      </c>
    </row>
    <row r="773" spans="1:8" ht="30" x14ac:dyDescent="0.25">
      <c r="A773" s="14" t="s">
        <v>2026</v>
      </c>
      <c r="B773" s="14">
        <v>4</v>
      </c>
      <c r="C773" s="15" t="s">
        <v>2033</v>
      </c>
      <c r="D773" s="14" t="s">
        <v>1745</v>
      </c>
      <c r="E773" s="14" t="s">
        <v>1746</v>
      </c>
      <c r="F773" s="14">
        <v>23562</v>
      </c>
      <c r="G773" s="14">
        <v>21205.8</v>
      </c>
      <c r="H773" s="37">
        <f>'Calculation Sheet'!N773</f>
        <v>21205.8</v>
      </c>
    </row>
    <row r="774" spans="1:8" x14ac:dyDescent="0.25">
      <c r="A774" s="14" t="s">
        <v>2026</v>
      </c>
      <c r="B774" s="14">
        <v>9</v>
      </c>
      <c r="C774" s="15" t="s">
        <v>2029</v>
      </c>
      <c r="D774" s="14" t="s">
        <v>1752</v>
      </c>
      <c r="E774" s="14" t="s">
        <v>1747</v>
      </c>
      <c r="F774" s="14">
        <v>269640</v>
      </c>
      <c r="G774" s="14">
        <v>202230</v>
      </c>
      <c r="H774" s="37">
        <f>'Calculation Sheet'!N774</f>
        <v>202230</v>
      </c>
    </row>
    <row r="775" spans="1:8" x14ac:dyDescent="0.25">
      <c r="A775" s="14" t="s">
        <v>2026</v>
      </c>
      <c r="B775" s="14">
        <v>2</v>
      </c>
      <c r="C775" s="15" t="s">
        <v>2031</v>
      </c>
      <c r="D775" s="14" t="s">
        <v>1749</v>
      </c>
      <c r="E775" s="14" t="s">
        <v>1746</v>
      </c>
      <c r="F775" s="14">
        <v>2748</v>
      </c>
      <c r="G775" s="14">
        <v>2473.1999999999998</v>
      </c>
      <c r="H775" s="37">
        <f>'Calculation Sheet'!N775</f>
        <v>2473.1999999999998</v>
      </c>
    </row>
    <row r="776" spans="1:8" ht="30" x14ac:dyDescent="0.25">
      <c r="A776" s="14" t="s">
        <v>2035</v>
      </c>
      <c r="B776" s="14">
        <v>3</v>
      </c>
      <c r="C776" s="15" t="s">
        <v>2036</v>
      </c>
      <c r="D776" s="14" t="s">
        <v>1749</v>
      </c>
      <c r="E776" s="14" t="s">
        <v>1746</v>
      </c>
      <c r="F776" s="14">
        <v>2994</v>
      </c>
      <c r="G776" s="14">
        <v>2245.5</v>
      </c>
      <c r="H776" s="37">
        <f>'Calculation Sheet'!N776</f>
        <v>2245.5</v>
      </c>
    </row>
    <row r="777" spans="1:8" x14ac:dyDescent="0.25">
      <c r="A777" s="14" t="s">
        <v>2035</v>
      </c>
      <c r="B777" s="14">
        <v>4</v>
      </c>
      <c r="C777" s="15" t="s">
        <v>2037</v>
      </c>
      <c r="D777" s="14" t="s">
        <v>1745</v>
      </c>
      <c r="E777" s="14" t="s">
        <v>1747</v>
      </c>
      <c r="F777" s="14">
        <v>37920</v>
      </c>
      <c r="G777" s="14">
        <v>28440</v>
      </c>
      <c r="H777" s="37">
        <f>'Calculation Sheet'!N777</f>
        <v>28440</v>
      </c>
    </row>
    <row r="778" spans="1:8" x14ac:dyDescent="0.25">
      <c r="A778" s="14" t="s">
        <v>2035</v>
      </c>
      <c r="B778" s="14">
        <v>9</v>
      </c>
      <c r="C778" s="15" t="s">
        <v>2038</v>
      </c>
      <c r="D778" s="14" t="s">
        <v>1745</v>
      </c>
      <c r="E778" s="14" t="s">
        <v>1747</v>
      </c>
      <c r="F778" s="14">
        <v>74880</v>
      </c>
      <c r="G778" s="14">
        <v>56160</v>
      </c>
      <c r="H778" s="37">
        <f>'Calculation Sheet'!N778</f>
        <v>56160</v>
      </c>
    </row>
    <row r="779" spans="1:8" x14ac:dyDescent="0.25">
      <c r="A779" s="14" t="s">
        <v>2035</v>
      </c>
      <c r="B779" s="14">
        <v>7</v>
      </c>
      <c r="C779" s="15" t="s">
        <v>2039</v>
      </c>
      <c r="D779" s="14" t="s">
        <v>1745</v>
      </c>
      <c r="E779" s="14" t="s">
        <v>1746</v>
      </c>
      <c r="F779" s="14">
        <v>99603</v>
      </c>
      <c r="G779" s="14">
        <v>74702.28</v>
      </c>
      <c r="H779" s="37">
        <f>'Calculation Sheet'!N779</f>
        <v>74702.28</v>
      </c>
    </row>
    <row r="780" spans="1:8" x14ac:dyDescent="0.25">
      <c r="A780" s="14" t="s">
        <v>2035</v>
      </c>
      <c r="B780" s="14">
        <v>8</v>
      </c>
      <c r="C780" s="15" t="s">
        <v>2040</v>
      </c>
      <c r="D780" s="14" t="s">
        <v>1745</v>
      </c>
      <c r="E780" s="14" t="s">
        <v>1747</v>
      </c>
      <c r="F780" s="14">
        <v>52140</v>
      </c>
      <c r="G780" s="14">
        <v>39105</v>
      </c>
      <c r="H780" s="37">
        <f>'Calculation Sheet'!N780</f>
        <v>39105</v>
      </c>
    </row>
    <row r="781" spans="1:8" x14ac:dyDescent="0.25">
      <c r="A781" s="14" t="s">
        <v>2035</v>
      </c>
      <c r="B781" s="14">
        <v>9</v>
      </c>
      <c r="C781" s="15" t="s">
        <v>2038</v>
      </c>
      <c r="D781" s="14" t="s">
        <v>1749</v>
      </c>
      <c r="E781" s="14" t="s">
        <v>1746</v>
      </c>
      <c r="F781" s="14">
        <v>7488</v>
      </c>
      <c r="G781" s="14">
        <v>5616</v>
      </c>
      <c r="H781" s="37">
        <f>'Calculation Sheet'!N781</f>
        <v>5616</v>
      </c>
    </row>
    <row r="782" spans="1:8" x14ac:dyDescent="0.25">
      <c r="A782" s="14" t="s">
        <v>2035</v>
      </c>
      <c r="B782" s="14">
        <v>4</v>
      </c>
      <c r="C782" s="15" t="s">
        <v>2037</v>
      </c>
      <c r="D782" s="14" t="s">
        <v>1749</v>
      </c>
      <c r="E782" s="14" t="s">
        <v>1746</v>
      </c>
      <c r="F782" s="14">
        <v>3792</v>
      </c>
      <c r="G782" s="14">
        <v>2844</v>
      </c>
      <c r="H782" s="37">
        <f>'Calculation Sheet'!N782</f>
        <v>2844</v>
      </c>
    </row>
    <row r="783" spans="1:8" x14ac:dyDescent="0.25">
      <c r="A783" s="14" t="s">
        <v>2035</v>
      </c>
      <c r="B783" s="14">
        <v>6</v>
      </c>
      <c r="C783" s="15" t="s">
        <v>2041</v>
      </c>
      <c r="D783" s="14" t="s">
        <v>1749</v>
      </c>
      <c r="E783" s="14" t="s">
        <v>1746</v>
      </c>
      <c r="F783" s="14">
        <v>2370</v>
      </c>
      <c r="G783" s="14">
        <v>2133</v>
      </c>
      <c r="H783" s="37">
        <f>'Calculation Sheet'!N783</f>
        <v>2133</v>
      </c>
    </row>
    <row r="784" spans="1:8" ht="30" x14ac:dyDescent="0.25">
      <c r="A784" s="14" t="s">
        <v>2035</v>
      </c>
      <c r="B784" s="14">
        <v>3</v>
      </c>
      <c r="C784" s="15" t="s">
        <v>2036</v>
      </c>
      <c r="D784" s="14" t="s">
        <v>1745</v>
      </c>
      <c r="E784" s="14" t="s">
        <v>1747</v>
      </c>
      <c r="F784" s="14">
        <v>29940</v>
      </c>
      <c r="G784" s="14">
        <v>22455</v>
      </c>
      <c r="H784" s="37">
        <f>'Calculation Sheet'!N784</f>
        <v>22455</v>
      </c>
    </row>
    <row r="785" spans="1:8" ht="30" x14ac:dyDescent="0.25">
      <c r="A785" s="14" t="s">
        <v>2035</v>
      </c>
      <c r="B785" s="14">
        <v>5</v>
      </c>
      <c r="C785" s="15" t="s">
        <v>2042</v>
      </c>
      <c r="D785" s="14" t="s">
        <v>1749</v>
      </c>
      <c r="E785" s="14" t="s">
        <v>1746</v>
      </c>
      <c r="F785" s="14">
        <v>1872</v>
      </c>
      <c r="G785" s="14">
        <v>1684.8</v>
      </c>
      <c r="H785" s="37">
        <f>'Calculation Sheet'!N785</f>
        <v>1684.8</v>
      </c>
    </row>
    <row r="786" spans="1:8" ht="30" x14ac:dyDescent="0.25">
      <c r="A786" s="14" t="s">
        <v>2035</v>
      </c>
      <c r="B786" s="14" t="s">
        <v>16</v>
      </c>
      <c r="C786" s="15" t="s">
        <v>2043</v>
      </c>
      <c r="D786" s="14" t="s">
        <v>1745</v>
      </c>
      <c r="E786" s="14" t="s">
        <v>1746</v>
      </c>
      <c r="F786" s="14">
        <v>43218</v>
      </c>
      <c r="G786" s="14">
        <v>32413.56</v>
      </c>
      <c r="H786" s="37">
        <f>'Calculation Sheet'!N786</f>
        <v>32413.56</v>
      </c>
    </row>
    <row r="787" spans="1:8" x14ac:dyDescent="0.25">
      <c r="A787" s="14" t="s">
        <v>2035</v>
      </c>
      <c r="B787" s="14">
        <v>6</v>
      </c>
      <c r="C787" s="15" t="s">
        <v>2041</v>
      </c>
      <c r="D787" s="14" t="s">
        <v>1745</v>
      </c>
      <c r="E787" s="14" t="s">
        <v>1747</v>
      </c>
      <c r="F787" s="14">
        <v>23700</v>
      </c>
      <c r="G787" s="14">
        <v>21330</v>
      </c>
      <c r="H787" s="37">
        <f>'Calculation Sheet'!N787</f>
        <v>21330</v>
      </c>
    </row>
    <row r="788" spans="1:8" x14ac:dyDescent="0.25">
      <c r="A788" s="14" t="s">
        <v>2035</v>
      </c>
      <c r="B788" s="14">
        <v>7</v>
      </c>
      <c r="C788" s="15" t="s">
        <v>2039</v>
      </c>
      <c r="D788" s="14" t="s">
        <v>1745</v>
      </c>
      <c r="E788" s="14" t="s">
        <v>1747</v>
      </c>
      <c r="F788" s="14">
        <v>94860</v>
      </c>
      <c r="G788" s="14">
        <v>71145</v>
      </c>
      <c r="H788" s="37">
        <f>'Calculation Sheet'!N788</f>
        <v>71145</v>
      </c>
    </row>
    <row r="789" spans="1:8" x14ac:dyDescent="0.25">
      <c r="A789" s="14" t="s">
        <v>2035</v>
      </c>
      <c r="B789" s="14">
        <v>9</v>
      </c>
      <c r="C789" s="15" t="s">
        <v>2038</v>
      </c>
      <c r="D789" s="14" t="s">
        <v>1745</v>
      </c>
      <c r="E789" s="14" t="s">
        <v>1746</v>
      </c>
      <c r="F789" s="14">
        <v>78624</v>
      </c>
      <c r="G789" s="14">
        <v>58968</v>
      </c>
      <c r="H789" s="37">
        <f>'Calculation Sheet'!N789</f>
        <v>58968</v>
      </c>
    </row>
    <row r="790" spans="1:8" ht="30" x14ac:dyDescent="0.25">
      <c r="A790" s="14" t="s">
        <v>2035</v>
      </c>
      <c r="B790" s="14" t="s">
        <v>16</v>
      </c>
      <c r="C790" s="15" t="s">
        <v>2043</v>
      </c>
      <c r="D790" s="14" t="s">
        <v>1745</v>
      </c>
      <c r="E790" s="14" t="s">
        <v>1747</v>
      </c>
      <c r="F790" s="14">
        <v>41160</v>
      </c>
      <c r="G790" s="14">
        <v>30870</v>
      </c>
      <c r="H790" s="37">
        <f>'Calculation Sheet'!N790</f>
        <v>30870</v>
      </c>
    </row>
    <row r="791" spans="1:8" x14ac:dyDescent="0.25">
      <c r="A791" s="14" t="s">
        <v>2035</v>
      </c>
      <c r="B791" s="14">
        <v>6</v>
      </c>
      <c r="C791" s="15" t="s">
        <v>2041</v>
      </c>
      <c r="D791" s="14" t="s">
        <v>1745</v>
      </c>
      <c r="E791" s="14" t="s">
        <v>1746</v>
      </c>
      <c r="F791" s="14">
        <v>24885</v>
      </c>
      <c r="G791" s="14">
        <v>22396.560000000001</v>
      </c>
      <c r="H791" s="37">
        <f>'Calculation Sheet'!N791</f>
        <v>22396.560000000001</v>
      </c>
    </row>
    <row r="792" spans="1:8" x14ac:dyDescent="0.25">
      <c r="A792" s="14" t="s">
        <v>2035</v>
      </c>
      <c r="B792" s="14">
        <v>8</v>
      </c>
      <c r="C792" s="15" t="s">
        <v>2040</v>
      </c>
      <c r="D792" s="14" t="s">
        <v>1745</v>
      </c>
      <c r="E792" s="14" t="s">
        <v>1746</v>
      </c>
      <c r="F792" s="14">
        <v>54747</v>
      </c>
      <c r="G792" s="14">
        <v>41060.28</v>
      </c>
      <c r="H792" s="37">
        <f>'Calculation Sheet'!N792</f>
        <v>41060.28</v>
      </c>
    </row>
    <row r="793" spans="1:8" x14ac:dyDescent="0.25">
      <c r="A793" s="14" t="s">
        <v>2035</v>
      </c>
      <c r="B793" s="14">
        <v>7</v>
      </c>
      <c r="C793" s="15" t="s">
        <v>2039</v>
      </c>
      <c r="D793" s="14" t="s">
        <v>1749</v>
      </c>
      <c r="E793" s="14" t="s">
        <v>1746</v>
      </c>
      <c r="F793" s="14">
        <v>9486</v>
      </c>
      <c r="G793" s="14">
        <v>7114.5</v>
      </c>
      <c r="H793" s="37">
        <f>'Calculation Sheet'!N793</f>
        <v>7114.5</v>
      </c>
    </row>
    <row r="794" spans="1:8" ht="30" x14ac:dyDescent="0.25">
      <c r="A794" s="14" t="s">
        <v>2035</v>
      </c>
      <c r="B794" s="14">
        <v>5</v>
      </c>
      <c r="C794" s="15" t="s">
        <v>2042</v>
      </c>
      <c r="D794" s="14" t="s">
        <v>1745</v>
      </c>
      <c r="E794" s="14" t="s">
        <v>1746</v>
      </c>
      <c r="F794" s="14">
        <v>19656</v>
      </c>
      <c r="G794" s="14">
        <v>17690.400000000001</v>
      </c>
      <c r="H794" s="37">
        <f>'Calculation Sheet'!N794</f>
        <v>17690.400000000001</v>
      </c>
    </row>
    <row r="795" spans="1:8" x14ac:dyDescent="0.25">
      <c r="A795" s="14" t="s">
        <v>2035</v>
      </c>
      <c r="B795" s="14">
        <v>8</v>
      </c>
      <c r="C795" s="15" t="s">
        <v>2040</v>
      </c>
      <c r="D795" s="14" t="s">
        <v>1749</v>
      </c>
      <c r="E795" s="14" t="s">
        <v>1746</v>
      </c>
      <c r="F795" s="14">
        <v>5214</v>
      </c>
      <c r="G795" s="14">
        <v>3910.5</v>
      </c>
      <c r="H795" s="37">
        <f>'Calculation Sheet'!N795</f>
        <v>3910.5</v>
      </c>
    </row>
    <row r="796" spans="1:8" x14ac:dyDescent="0.25">
      <c r="A796" s="14" t="s">
        <v>2035</v>
      </c>
      <c r="B796" s="14">
        <v>4</v>
      </c>
      <c r="C796" s="15" t="s">
        <v>2037</v>
      </c>
      <c r="D796" s="14" t="s">
        <v>1745</v>
      </c>
      <c r="E796" s="14" t="s">
        <v>1746</v>
      </c>
      <c r="F796" s="14">
        <v>39816</v>
      </c>
      <c r="G796" s="14">
        <v>29862</v>
      </c>
      <c r="H796" s="37">
        <f>'Calculation Sheet'!N796</f>
        <v>29862</v>
      </c>
    </row>
    <row r="797" spans="1:8" ht="30" x14ac:dyDescent="0.25">
      <c r="A797" s="14" t="s">
        <v>2035</v>
      </c>
      <c r="B797" s="14" t="s">
        <v>16</v>
      </c>
      <c r="C797" s="15" t="s">
        <v>2043</v>
      </c>
      <c r="D797" s="14" t="s">
        <v>1749</v>
      </c>
      <c r="E797" s="14" t="s">
        <v>1746</v>
      </c>
      <c r="F797" s="14">
        <v>4116</v>
      </c>
      <c r="G797" s="14">
        <v>3087</v>
      </c>
      <c r="H797" s="37">
        <f>'Calculation Sheet'!N797</f>
        <v>3087</v>
      </c>
    </row>
    <row r="798" spans="1:8" ht="30" x14ac:dyDescent="0.25">
      <c r="A798" s="14" t="s">
        <v>2035</v>
      </c>
      <c r="B798" s="14">
        <v>5</v>
      </c>
      <c r="C798" s="15" t="s">
        <v>2042</v>
      </c>
      <c r="D798" s="14" t="s">
        <v>1745</v>
      </c>
      <c r="E798" s="14" t="s">
        <v>1747</v>
      </c>
      <c r="F798" s="14">
        <v>18720</v>
      </c>
      <c r="G798" s="14">
        <v>16848</v>
      </c>
      <c r="H798" s="37">
        <f>'Calculation Sheet'!N798</f>
        <v>16848</v>
      </c>
    </row>
    <row r="799" spans="1:8" ht="30" x14ac:dyDescent="0.25">
      <c r="A799" s="14" t="s">
        <v>2035</v>
      </c>
      <c r="B799" s="14">
        <v>3</v>
      </c>
      <c r="C799" s="15" t="s">
        <v>2036</v>
      </c>
      <c r="D799" s="14" t="s">
        <v>1745</v>
      </c>
      <c r="E799" s="14" t="s">
        <v>1746</v>
      </c>
      <c r="F799" s="14">
        <v>31437</v>
      </c>
      <c r="G799" s="14">
        <v>23577.72</v>
      </c>
      <c r="H799" s="37">
        <f>'Calculation Sheet'!N799</f>
        <v>23577.72</v>
      </c>
    </row>
    <row r="800" spans="1:8" x14ac:dyDescent="0.25">
      <c r="A800" s="14" t="s">
        <v>2044</v>
      </c>
      <c r="B800" s="14">
        <v>8</v>
      </c>
      <c r="C800" s="15" t="s">
        <v>2045</v>
      </c>
      <c r="D800" s="14" t="s">
        <v>1749</v>
      </c>
      <c r="E800" s="14" t="s">
        <v>1746</v>
      </c>
      <c r="F800" s="14">
        <v>7488</v>
      </c>
      <c r="G800" s="14">
        <v>5616</v>
      </c>
      <c r="H800" s="37">
        <f>'Calculation Sheet'!N800</f>
        <v>5616</v>
      </c>
    </row>
    <row r="801" spans="1:8" x14ac:dyDescent="0.25">
      <c r="A801" s="14" t="s">
        <v>2044</v>
      </c>
      <c r="B801" s="14">
        <v>7</v>
      </c>
      <c r="C801" s="15" t="s">
        <v>2046</v>
      </c>
      <c r="D801" s="14" t="s">
        <v>1745</v>
      </c>
      <c r="E801" s="14" t="s">
        <v>1746</v>
      </c>
      <c r="F801" s="14">
        <v>54747</v>
      </c>
      <c r="G801" s="14">
        <v>41060.28</v>
      </c>
      <c r="H801" s="37">
        <f>'Calculation Sheet'!N801</f>
        <v>41060.28</v>
      </c>
    </row>
    <row r="802" spans="1:8" ht="30" x14ac:dyDescent="0.25">
      <c r="A802" s="14" t="s">
        <v>2044</v>
      </c>
      <c r="B802" s="14">
        <v>9</v>
      </c>
      <c r="C802" s="15" t="s">
        <v>2047</v>
      </c>
      <c r="D802" s="14" t="s">
        <v>1745</v>
      </c>
      <c r="E802" s="14" t="s">
        <v>1747</v>
      </c>
      <c r="F802" s="14">
        <v>41160</v>
      </c>
      <c r="G802" s="14">
        <v>30870</v>
      </c>
      <c r="H802" s="37">
        <f>'Calculation Sheet'!N802</f>
        <v>30870</v>
      </c>
    </row>
    <row r="803" spans="1:8" x14ac:dyDescent="0.25">
      <c r="A803" s="14" t="s">
        <v>2044</v>
      </c>
      <c r="B803" s="14" t="s">
        <v>16</v>
      </c>
      <c r="C803" s="15" t="s">
        <v>2048</v>
      </c>
      <c r="D803" s="14" t="s">
        <v>1749</v>
      </c>
      <c r="E803" s="14" t="s">
        <v>1746</v>
      </c>
      <c r="F803" s="14">
        <v>9486</v>
      </c>
      <c r="G803" s="14">
        <v>7114.5</v>
      </c>
      <c r="H803" s="37">
        <f>'Calculation Sheet'!N803</f>
        <v>7114.5</v>
      </c>
    </row>
    <row r="804" spans="1:8" ht="30" x14ac:dyDescent="0.25">
      <c r="A804" s="14" t="s">
        <v>2044</v>
      </c>
      <c r="B804" s="14">
        <v>1</v>
      </c>
      <c r="C804" s="15" t="s">
        <v>2049</v>
      </c>
      <c r="D804" s="14" t="s">
        <v>1749</v>
      </c>
      <c r="E804" s="14" t="s">
        <v>1746</v>
      </c>
      <c r="F804" s="14">
        <v>2994</v>
      </c>
      <c r="G804" s="14">
        <v>2245.5</v>
      </c>
      <c r="H804" s="37">
        <f>'Calculation Sheet'!N804</f>
        <v>2245.5</v>
      </c>
    </row>
    <row r="805" spans="1:8" ht="30" x14ac:dyDescent="0.25">
      <c r="A805" s="14" t="s">
        <v>2044</v>
      </c>
      <c r="B805" s="14">
        <v>9</v>
      </c>
      <c r="C805" s="15" t="s">
        <v>2047</v>
      </c>
      <c r="D805" s="14" t="s">
        <v>1749</v>
      </c>
      <c r="E805" s="14" t="s">
        <v>1746</v>
      </c>
      <c r="F805" s="14">
        <v>4116</v>
      </c>
      <c r="G805" s="14">
        <v>3087</v>
      </c>
      <c r="H805" s="37">
        <f>'Calculation Sheet'!N805</f>
        <v>3087</v>
      </c>
    </row>
    <row r="806" spans="1:8" ht="30" x14ac:dyDescent="0.25">
      <c r="A806" s="14" t="s">
        <v>2044</v>
      </c>
      <c r="B806" s="14">
        <v>1</v>
      </c>
      <c r="C806" s="15" t="s">
        <v>2049</v>
      </c>
      <c r="D806" s="14" t="s">
        <v>1745</v>
      </c>
      <c r="E806" s="14" t="s">
        <v>1747</v>
      </c>
      <c r="F806" s="14">
        <v>29940</v>
      </c>
      <c r="G806" s="14">
        <v>22455</v>
      </c>
      <c r="H806" s="37">
        <f>'Calculation Sheet'!N806</f>
        <v>22455</v>
      </c>
    </row>
    <row r="807" spans="1:8" x14ac:dyDescent="0.25">
      <c r="A807" s="14" t="s">
        <v>2044</v>
      </c>
      <c r="B807" s="14">
        <v>2</v>
      </c>
      <c r="C807" s="15" t="s">
        <v>2050</v>
      </c>
      <c r="D807" s="14" t="s">
        <v>1745</v>
      </c>
      <c r="E807" s="14" t="s">
        <v>1746</v>
      </c>
      <c r="F807" s="14">
        <v>24885</v>
      </c>
      <c r="G807" s="14">
        <v>22396.560000000001</v>
      </c>
      <c r="H807" s="37">
        <f>'Calculation Sheet'!N807</f>
        <v>22396.560000000001</v>
      </c>
    </row>
    <row r="808" spans="1:8" ht="30" x14ac:dyDescent="0.25">
      <c r="A808" s="14" t="s">
        <v>2044</v>
      </c>
      <c r="B808" s="14">
        <v>9</v>
      </c>
      <c r="C808" s="15" t="s">
        <v>2047</v>
      </c>
      <c r="D808" s="14" t="s">
        <v>1745</v>
      </c>
      <c r="E808" s="14" t="s">
        <v>1746</v>
      </c>
      <c r="F808" s="14">
        <v>43218</v>
      </c>
      <c r="G808" s="14">
        <v>32413.56</v>
      </c>
      <c r="H808" s="37">
        <f>'Calculation Sheet'!N808</f>
        <v>32413.56</v>
      </c>
    </row>
    <row r="809" spans="1:8" x14ac:dyDescent="0.25">
      <c r="A809" s="14" t="s">
        <v>2044</v>
      </c>
      <c r="B809" s="14">
        <v>4</v>
      </c>
      <c r="C809" s="15" t="s">
        <v>2051</v>
      </c>
      <c r="D809" s="14" t="s">
        <v>1745</v>
      </c>
      <c r="E809" s="14" t="s">
        <v>1746</v>
      </c>
      <c r="F809" s="14">
        <v>39816</v>
      </c>
      <c r="G809" s="14">
        <v>29862</v>
      </c>
      <c r="H809" s="37">
        <f>'Calculation Sheet'!N809</f>
        <v>29862</v>
      </c>
    </row>
    <row r="810" spans="1:8" ht="30" x14ac:dyDescent="0.25">
      <c r="A810" s="14" t="s">
        <v>2044</v>
      </c>
      <c r="B810" s="14">
        <v>6</v>
      </c>
      <c r="C810" s="15" t="s">
        <v>2052</v>
      </c>
      <c r="D810" s="14" t="s">
        <v>1745</v>
      </c>
      <c r="E810" s="14" t="s">
        <v>1746</v>
      </c>
      <c r="F810" s="14">
        <v>19656</v>
      </c>
      <c r="G810" s="14">
        <v>17690.400000000001</v>
      </c>
      <c r="H810" s="37">
        <f>'Calculation Sheet'!N810</f>
        <v>17690.400000000001</v>
      </c>
    </row>
    <row r="811" spans="1:8" x14ac:dyDescent="0.25">
      <c r="A811" s="14" t="s">
        <v>2044</v>
      </c>
      <c r="B811" s="14">
        <v>2</v>
      </c>
      <c r="C811" s="15" t="s">
        <v>2050</v>
      </c>
      <c r="D811" s="14" t="s">
        <v>1745</v>
      </c>
      <c r="E811" s="14" t="s">
        <v>1747</v>
      </c>
      <c r="F811" s="14">
        <v>23700</v>
      </c>
      <c r="G811" s="14">
        <v>21330</v>
      </c>
      <c r="H811" s="37">
        <f>'Calculation Sheet'!N811</f>
        <v>21330</v>
      </c>
    </row>
    <row r="812" spans="1:8" ht="30" x14ac:dyDescent="0.25">
      <c r="A812" s="14" t="s">
        <v>2044</v>
      </c>
      <c r="B812" s="14">
        <v>1</v>
      </c>
      <c r="C812" s="15" t="s">
        <v>2049</v>
      </c>
      <c r="D812" s="14" t="s">
        <v>1745</v>
      </c>
      <c r="E812" s="14" t="s">
        <v>1746</v>
      </c>
      <c r="F812" s="14">
        <v>31437</v>
      </c>
      <c r="G812" s="14">
        <v>23577.72</v>
      </c>
      <c r="H812" s="37">
        <f>'Calculation Sheet'!N812</f>
        <v>23577.72</v>
      </c>
    </row>
    <row r="813" spans="1:8" x14ac:dyDescent="0.25">
      <c r="A813" s="14" t="s">
        <v>2044</v>
      </c>
      <c r="B813" s="14">
        <v>8</v>
      </c>
      <c r="C813" s="15" t="s">
        <v>2045</v>
      </c>
      <c r="D813" s="14" t="s">
        <v>1745</v>
      </c>
      <c r="E813" s="14" t="s">
        <v>1747</v>
      </c>
      <c r="F813" s="14">
        <v>74880</v>
      </c>
      <c r="G813" s="14">
        <v>56160</v>
      </c>
      <c r="H813" s="37">
        <f>'Calculation Sheet'!N813</f>
        <v>56160</v>
      </c>
    </row>
    <row r="814" spans="1:8" x14ac:dyDescent="0.25">
      <c r="A814" s="14" t="s">
        <v>2044</v>
      </c>
      <c r="B814" s="14">
        <v>2</v>
      </c>
      <c r="C814" s="15" t="s">
        <v>2050</v>
      </c>
      <c r="D814" s="14" t="s">
        <v>1749</v>
      </c>
      <c r="E814" s="14" t="s">
        <v>1746</v>
      </c>
      <c r="F814" s="14">
        <v>2370</v>
      </c>
      <c r="G814" s="14">
        <v>2133</v>
      </c>
      <c r="H814" s="37">
        <f>'Calculation Sheet'!N814</f>
        <v>2133</v>
      </c>
    </row>
    <row r="815" spans="1:8" x14ac:dyDescent="0.25">
      <c r="A815" s="14" t="s">
        <v>2044</v>
      </c>
      <c r="B815" s="14">
        <v>8</v>
      </c>
      <c r="C815" s="15" t="s">
        <v>2045</v>
      </c>
      <c r="D815" s="14" t="s">
        <v>1745</v>
      </c>
      <c r="E815" s="14" t="s">
        <v>1746</v>
      </c>
      <c r="F815" s="14">
        <v>78624</v>
      </c>
      <c r="G815" s="14">
        <v>58968</v>
      </c>
      <c r="H815" s="37">
        <f>'Calculation Sheet'!N815</f>
        <v>58968</v>
      </c>
    </row>
    <row r="816" spans="1:8" x14ac:dyDescent="0.25">
      <c r="A816" s="14" t="s">
        <v>2044</v>
      </c>
      <c r="B816" s="14">
        <v>4</v>
      </c>
      <c r="C816" s="15" t="s">
        <v>2051</v>
      </c>
      <c r="D816" s="14" t="s">
        <v>1745</v>
      </c>
      <c r="E816" s="14" t="s">
        <v>1747</v>
      </c>
      <c r="F816" s="14">
        <v>37920</v>
      </c>
      <c r="G816" s="14">
        <v>28440</v>
      </c>
      <c r="H816" s="37">
        <f>'Calculation Sheet'!N816</f>
        <v>28440</v>
      </c>
    </row>
    <row r="817" spans="1:8" x14ac:dyDescent="0.25">
      <c r="A817" s="14" t="s">
        <v>2044</v>
      </c>
      <c r="B817" s="14" t="s">
        <v>16</v>
      </c>
      <c r="C817" s="15" t="s">
        <v>2048</v>
      </c>
      <c r="D817" s="14" t="s">
        <v>1745</v>
      </c>
      <c r="E817" s="14" t="s">
        <v>1746</v>
      </c>
      <c r="F817" s="14">
        <v>99603</v>
      </c>
      <c r="G817" s="14">
        <v>74702.28</v>
      </c>
      <c r="H817" s="37">
        <f>'Calculation Sheet'!N817</f>
        <v>74702.28</v>
      </c>
    </row>
    <row r="818" spans="1:8" x14ac:dyDescent="0.25">
      <c r="A818" s="14" t="s">
        <v>2044</v>
      </c>
      <c r="B818" s="14">
        <v>7</v>
      </c>
      <c r="C818" s="15" t="s">
        <v>2046</v>
      </c>
      <c r="D818" s="14" t="s">
        <v>1749</v>
      </c>
      <c r="E818" s="14" t="s">
        <v>1746</v>
      </c>
      <c r="F818" s="14">
        <v>5214</v>
      </c>
      <c r="G818" s="14">
        <v>3910.5</v>
      </c>
      <c r="H818" s="37">
        <f>'Calculation Sheet'!N818</f>
        <v>3910.5</v>
      </c>
    </row>
    <row r="819" spans="1:8" ht="30" x14ac:dyDescent="0.25">
      <c r="A819" s="14" t="s">
        <v>2044</v>
      </c>
      <c r="B819" s="14">
        <v>6</v>
      </c>
      <c r="C819" s="15" t="s">
        <v>2052</v>
      </c>
      <c r="D819" s="14" t="s">
        <v>1749</v>
      </c>
      <c r="E819" s="14" t="s">
        <v>1746</v>
      </c>
      <c r="F819" s="14">
        <v>1872</v>
      </c>
      <c r="G819" s="14">
        <v>1684.8</v>
      </c>
      <c r="H819" s="37">
        <f>'Calculation Sheet'!N819</f>
        <v>1684.8</v>
      </c>
    </row>
    <row r="820" spans="1:8" x14ac:dyDescent="0.25">
      <c r="A820" s="14" t="s">
        <v>2044</v>
      </c>
      <c r="B820" s="14">
        <v>7</v>
      </c>
      <c r="C820" s="15" t="s">
        <v>2046</v>
      </c>
      <c r="D820" s="14" t="s">
        <v>1745</v>
      </c>
      <c r="E820" s="14" t="s">
        <v>1747</v>
      </c>
      <c r="F820" s="14">
        <v>52140</v>
      </c>
      <c r="G820" s="14">
        <v>39105</v>
      </c>
      <c r="H820" s="37">
        <f>'Calculation Sheet'!N820</f>
        <v>39105</v>
      </c>
    </row>
    <row r="821" spans="1:8" ht="30" x14ac:dyDescent="0.25">
      <c r="A821" s="14" t="s">
        <v>2044</v>
      </c>
      <c r="B821" s="14">
        <v>6</v>
      </c>
      <c r="C821" s="15" t="s">
        <v>2052</v>
      </c>
      <c r="D821" s="14" t="s">
        <v>1745</v>
      </c>
      <c r="E821" s="14" t="s">
        <v>1747</v>
      </c>
      <c r="F821" s="14">
        <v>18720</v>
      </c>
      <c r="G821" s="14">
        <v>16848</v>
      </c>
      <c r="H821" s="37">
        <f>'Calculation Sheet'!N821</f>
        <v>16848</v>
      </c>
    </row>
    <row r="822" spans="1:8" x14ac:dyDescent="0.25">
      <c r="A822" s="14" t="s">
        <v>2044</v>
      </c>
      <c r="B822" s="14" t="s">
        <v>16</v>
      </c>
      <c r="C822" s="15" t="s">
        <v>2048</v>
      </c>
      <c r="D822" s="14" t="s">
        <v>1745</v>
      </c>
      <c r="E822" s="14" t="s">
        <v>1747</v>
      </c>
      <c r="F822" s="14">
        <v>94860</v>
      </c>
      <c r="G822" s="14">
        <v>71145</v>
      </c>
      <c r="H822" s="37">
        <f>'Calculation Sheet'!N822</f>
        <v>71145</v>
      </c>
    </row>
    <row r="823" spans="1:8" x14ac:dyDescent="0.25">
      <c r="A823" s="14" t="s">
        <v>2044</v>
      </c>
      <c r="B823" s="14">
        <v>4</v>
      </c>
      <c r="C823" s="15" t="s">
        <v>2051</v>
      </c>
      <c r="D823" s="14" t="s">
        <v>1749</v>
      </c>
      <c r="E823" s="14" t="s">
        <v>1746</v>
      </c>
      <c r="F823" s="14">
        <v>3792</v>
      </c>
      <c r="G823" s="14">
        <v>2844</v>
      </c>
      <c r="H823" s="37">
        <f>'Calculation Sheet'!N823</f>
        <v>2844</v>
      </c>
    </row>
    <row r="824" spans="1:8" x14ac:dyDescent="0.25">
      <c r="A824" s="14" t="s">
        <v>2053</v>
      </c>
      <c r="B824" s="14">
        <v>3</v>
      </c>
      <c r="C824" s="15" t="s">
        <v>2054</v>
      </c>
      <c r="D824" s="14" t="s">
        <v>1749</v>
      </c>
      <c r="E824" s="14" t="s">
        <v>1766</v>
      </c>
      <c r="F824" s="14">
        <v>0</v>
      </c>
      <c r="G824" s="14">
        <v>0</v>
      </c>
      <c r="H824" s="37">
        <f>'Calculation Sheet'!N824</f>
        <v>0</v>
      </c>
    </row>
    <row r="825" spans="1:8" x14ac:dyDescent="0.25">
      <c r="A825" s="14" t="s">
        <v>2055</v>
      </c>
      <c r="B825" s="14">
        <v>4</v>
      </c>
      <c r="C825" s="15" t="s">
        <v>2056</v>
      </c>
      <c r="D825" s="14" t="s">
        <v>1745</v>
      </c>
      <c r="E825" s="14" t="s">
        <v>1746</v>
      </c>
      <c r="F825" s="14">
        <v>314496</v>
      </c>
      <c r="G825" s="14">
        <v>251596.79999999999</v>
      </c>
      <c r="H825" s="37">
        <f>'Calculation Sheet'!N825</f>
        <v>251596.79999999999</v>
      </c>
    </row>
    <row r="826" spans="1:8" x14ac:dyDescent="0.25">
      <c r="A826" s="14" t="s">
        <v>2055</v>
      </c>
      <c r="B826" s="14" t="s">
        <v>583</v>
      </c>
      <c r="C826" s="15" t="s">
        <v>2057</v>
      </c>
      <c r="D826" s="14" t="s">
        <v>1752</v>
      </c>
      <c r="E826" s="14" t="s">
        <v>1746</v>
      </c>
      <c r="F826" s="14">
        <v>0</v>
      </c>
      <c r="G826" s="14">
        <v>0</v>
      </c>
      <c r="H826" s="37">
        <f>'Calculation Sheet'!N826</f>
        <v>0</v>
      </c>
    </row>
    <row r="827" spans="1:8" x14ac:dyDescent="0.25">
      <c r="A827" s="14" t="s">
        <v>2055</v>
      </c>
      <c r="B827" s="14" t="s">
        <v>73</v>
      </c>
      <c r="C827" s="15" t="s">
        <v>2058</v>
      </c>
      <c r="D827" s="14" t="s">
        <v>1752</v>
      </c>
      <c r="E827" s="14" t="s">
        <v>1746</v>
      </c>
      <c r="F827" s="14">
        <v>3144771</v>
      </c>
      <c r="G827" s="14">
        <v>2358578</v>
      </c>
      <c r="H827" s="37">
        <f>'Calculation Sheet'!N827</f>
        <v>2358578</v>
      </c>
    </row>
    <row r="828" spans="1:8" x14ac:dyDescent="0.25">
      <c r="A828" s="14" t="s">
        <v>2055</v>
      </c>
      <c r="B828" s="14">
        <v>17</v>
      </c>
      <c r="C828" s="15" t="s">
        <v>2059</v>
      </c>
      <c r="D828" s="14" t="s">
        <v>1745</v>
      </c>
      <c r="E828" s="14" t="s">
        <v>1747</v>
      </c>
      <c r="F828" s="14">
        <v>549060</v>
      </c>
      <c r="G828" s="14">
        <v>411795</v>
      </c>
      <c r="H828" s="37">
        <f>'Calculation Sheet'!N828</f>
        <v>411795</v>
      </c>
    </row>
    <row r="829" spans="1:8" x14ac:dyDescent="0.25">
      <c r="A829" s="14" t="s">
        <v>2055</v>
      </c>
      <c r="B829" s="14" t="s">
        <v>73</v>
      </c>
      <c r="C829" s="15" t="s">
        <v>2058</v>
      </c>
      <c r="D829" s="14" t="s">
        <v>1745</v>
      </c>
      <c r="E829" s="14" t="s">
        <v>1747</v>
      </c>
      <c r="F829" s="14">
        <v>998340</v>
      </c>
      <c r="G829" s="14">
        <v>748755</v>
      </c>
      <c r="H829" s="37">
        <f>'Calculation Sheet'!N829</f>
        <v>748755</v>
      </c>
    </row>
    <row r="830" spans="1:8" ht="30" x14ac:dyDescent="0.25">
      <c r="A830" s="14" t="s">
        <v>2055</v>
      </c>
      <c r="B830" s="14" t="s">
        <v>118</v>
      </c>
      <c r="C830" s="15" t="s">
        <v>2060</v>
      </c>
      <c r="D830" s="14" t="s">
        <v>1752</v>
      </c>
      <c r="E830" s="14" t="s">
        <v>1753</v>
      </c>
      <c r="F830" s="14">
        <v>411840</v>
      </c>
      <c r="G830" s="14">
        <v>308880</v>
      </c>
      <c r="H830" s="37">
        <f>'Calculation Sheet'!N830</f>
        <v>308880</v>
      </c>
    </row>
    <row r="831" spans="1:8" ht="30" x14ac:dyDescent="0.25">
      <c r="A831" s="14" t="s">
        <v>2055</v>
      </c>
      <c r="B831" s="14">
        <v>18</v>
      </c>
      <c r="C831" s="15" t="s">
        <v>2061</v>
      </c>
      <c r="D831" s="14" t="s">
        <v>1752</v>
      </c>
      <c r="E831" s="14" t="s">
        <v>1753</v>
      </c>
      <c r="F831" s="14">
        <v>599040</v>
      </c>
      <c r="G831" s="14">
        <v>449280</v>
      </c>
      <c r="H831" s="37">
        <f>'Calculation Sheet'!N831</f>
        <v>449280</v>
      </c>
    </row>
    <row r="832" spans="1:8" ht="30" x14ac:dyDescent="0.25">
      <c r="A832" s="14" t="s">
        <v>2055</v>
      </c>
      <c r="B832" s="14" t="s">
        <v>28</v>
      </c>
      <c r="C832" s="15" t="s">
        <v>2062</v>
      </c>
      <c r="D832" s="14" t="s">
        <v>1749</v>
      </c>
      <c r="E832" s="14" t="s">
        <v>1746</v>
      </c>
      <c r="F832" s="14">
        <v>9984</v>
      </c>
      <c r="G832" s="14">
        <v>7488</v>
      </c>
      <c r="H832" s="37">
        <f>'Calculation Sheet'!N832</f>
        <v>7488</v>
      </c>
    </row>
    <row r="833" spans="1:8" x14ac:dyDescent="0.25">
      <c r="A833" s="14" t="s">
        <v>2055</v>
      </c>
      <c r="B833" s="14" t="s">
        <v>73</v>
      </c>
      <c r="C833" s="15" t="s">
        <v>2058</v>
      </c>
      <c r="D833" s="14" t="s">
        <v>1752</v>
      </c>
      <c r="E833" s="14" t="s">
        <v>1753</v>
      </c>
      <c r="F833" s="14">
        <v>2995020</v>
      </c>
      <c r="G833" s="14">
        <v>2246265</v>
      </c>
      <c r="H833" s="37">
        <f>'Calculation Sheet'!N833</f>
        <v>2246265</v>
      </c>
    </row>
    <row r="834" spans="1:8" x14ac:dyDescent="0.25">
      <c r="A834" s="14" t="s">
        <v>2055</v>
      </c>
      <c r="B834" s="14" t="s">
        <v>608</v>
      </c>
      <c r="C834" s="15" t="s">
        <v>2063</v>
      </c>
      <c r="D834" s="14" t="s">
        <v>1752</v>
      </c>
      <c r="E834" s="14" t="s">
        <v>1746</v>
      </c>
      <c r="F834" s="14">
        <v>0</v>
      </c>
      <c r="G834" s="14">
        <v>0</v>
      </c>
      <c r="H834" s="37">
        <f>'Calculation Sheet'!N834</f>
        <v>0</v>
      </c>
    </row>
    <row r="835" spans="1:8" ht="30" x14ac:dyDescent="0.25">
      <c r="A835" s="14" t="s">
        <v>2055</v>
      </c>
      <c r="B835" s="14" t="s">
        <v>118</v>
      </c>
      <c r="C835" s="15" t="s">
        <v>2060</v>
      </c>
      <c r="D835" s="14" t="s">
        <v>1752</v>
      </c>
      <c r="E835" s="14" t="s">
        <v>1747</v>
      </c>
      <c r="F835" s="14">
        <v>411840</v>
      </c>
      <c r="G835" s="14">
        <v>308880</v>
      </c>
      <c r="H835" s="37">
        <f>'Calculation Sheet'!N835</f>
        <v>308880</v>
      </c>
    </row>
    <row r="836" spans="1:8" ht="30" x14ac:dyDescent="0.25">
      <c r="A836" s="14" t="s">
        <v>2055</v>
      </c>
      <c r="B836" s="14" t="s">
        <v>470</v>
      </c>
      <c r="C836" s="15" t="s">
        <v>2064</v>
      </c>
      <c r="D836" s="14" t="s">
        <v>1752</v>
      </c>
      <c r="E836" s="14" t="s">
        <v>1753</v>
      </c>
      <c r="F836" s="14">
        <v>823680</v>
      </c>
      <c r="G836" s="14">
        <v>617760</v>
      </c>
      <c r="H836" s="37">
        <f>'Calculation Sheet'!N836</f>
        <v>617760</v>
      </c>
    </row>
    <row r="837" spans="1:8" ht="30" x14ac:dyDescent="0.25">
      <c r="A837" s="14" t="s">
        <v>2055</v>
      </c>
      <c r="B837" s="14">
        <v>18</v>
      </c>
      <c r="C837" s="15" t="s">
        <v>2061</v>
      </c>
      <c r="D837" s="14" t="s">
        <v>1745</v>
      </c>
      <c r="E837" s="14" t="s">
        <v>1746</v>
      </c>
      <c r="F837" s="14">
        <v>209664</v>
      </c>
      <c r="G837" s="14">
        <v>157248</v>
      </c>
      <c r="H837" s="37">
        <f>'Calculation Sheet'!N837</f>
        <v>157248</v>
      </c>
    </row>
    <row r="838" spans="1:8" x14ac:dyDescent="0.25">
      <c r="A838" s="14" t="s">
        <v>2055</v>
      </c>
      <c r="B838" s="14">
        <v>16</v>
      </c>
      <c r="C838" s="15" t="s">
        <v>2065</v>
      </c>
      <c r="D838" s="14" t="s">
        <v>1745</v>
      </c>
      <c r="E838" s="14" t="s">
        <v>1746</v>
      </c>
      <c r="F838" s="14">
        <v>262080</v>
      </c>
      <c r="G838" s="14">
        <v>235872</v>
      </c>
      <c r="H838" s="37">
        <f>'Calculation Sheet'!N838</f>
        <v>235872</v>
      </c>
    </row>
    <row r="839" spans="1:8" ht="30" x14ac:dyDescent="0.25">
      <c r="A839" s="14" t="s">
        <v>2055</v>
      </c>
      <c r="B839" s="14" t="s">
        <v>195</v>
      </c>
      <c r="C839" s="15" t="s">
        <v>2066</v>
      </c>
      <c r="D839" s="14" t="s">
        <v>1749</v>
      </c>
      <c r="E839" s="14" t="s">
        <v>1746</v>
      </c>
      <c r="F839" s="14">
        <v>16470</v>
      </c>
      <c r="G839" s="14">
        <v>13176</v>
      </c>
      <c r="H839" s="37">
        <f>'Calculation Sheet'!N839</f>
        <v>13176</v>
      </c>
    </row>
    <row r="840" spans="1:8" x14ac:dyDescent="0.25">
      <c r="A840" s="14" t="s">
        <v>2055</v>
      </c>
      <c r="B840" s="14">
        <v>1</v>
      </c>
      <c r="C840" s="15" t="s">
        <v>2067</v>
      </c>
      <c r="D840" s="14" t="s">
        <v>1745</v>
      </c>
      <c r="E840" s="14" t="s">
        <v>1746</v>
      </c>
      <c r="F840" s="14">
        <v>0</v>
      </c>
      <c r="G840" s="14">
        <v>0</v>
      </c>
      <c r="H840" s="37">
        <f>'Calculation Sheet'!N840</f>
        <v>0</v>
      </c>
    </row>
    <row r="841" spans="1:8" x14ac:dyDescent="0.25">
      <c r="A841" s="14" t="s">
        <v>2055</v>
      </c>
      <c r="B841" s="14">
        <v>7</v>
      </c>
      <c r="C841" s="15" t="s">
        <v>2068</v>
      </c>
      <c r="D841" s="14" t="s">
        <v>1745</v>
      </c>
      <c r="E841" s="14" t="s">
        <v>1747</v>
      </c>
      <c r="F841" s="14">
        <v>1697160</v>
      </c>
      <c r="G841" s="14">
        <v>1272870</v>
      </c>
      <c r="H841" s="37">
        <f>'Calculation Sheet'!N841</f>
        <v>1272870</v>
      </c>
    </row>
    <row r="842" spans="1:8" x14ac:dyDescent="0.25">
      <c r="A842" s="14" t="s">
        <v>2055</v>
      </c>
      <c r="B842" s="14">
        <v>19</v>
      </c>
      <c r="C842" s="15" t="s">
        <v>2069</v>
      </c>
      <c r="D842" s="14" t="s">
        <v>1749</v>
      </c>
      <c r="E842" s="14" t="s">
        <v>1746</v>
      </c>
      <c r="F842" s="14">
        <v>12480</v>
      </c>
      <c r="G842" s="14">
        <v>11232</v>
      </c>
      <c r="H842" s="37">
        <f>'Calculation Sheet'!N842</f>
        <v>11232</v>
      </c>
    </row>
    <row r="843" spans="1:8" x14ac:dyDescent="0.25">
      <c r="A843" s="14" t="s">
        <v>2055</v>
      </c>
      <c r="B843" s="14" t="s">
        <v>325</v>
      </c>
      <c r="C843" s="15" t="s">
        <v>2070</v>
      </c>
      <c r="D843" s="14" t="s">
        <v>1745</v>
      </c>
      <c r="E843" s="14" t="s">
        <v>1746</v>
      </c>
      <c r="F843" s="14">
        <v>419328</v>
      </c>
      <c r="G843" s="14">
        <v>314496</v>
      </c>
      <c r="H843" s="37">
        <f>'Calculation Sheet'!N843</f>
        <v>314496</v>
      </c>
    </row>
    <row r="844" spans="1:8" ht="30" x14ac:dyDescent="0.25">
      <c r="A844" s="14" t="s">
        <v>2055</v>
      </c>
      <c r="B844" s="14" t="s">
        <v>28</v>
      </c>
      <c r="C844" s="15" t="s">
        <v>2062</v>
      </c>
      <c r="D844" s="14" t="s">
        <v>1745</v>
      </c>
      <c r="E844" s="14" t="s">
        <v>1746</v>
      </c>
      <c r="F844" s="14">
        <v>104832</v>
      </c>
      <c r="G844" s="14">
        <v>78624</v>
      </c>
      <c r="H844" s="37">
        <f>'Calculation Sheet'!N844</f>
        <v>78624</v>
      </c>
    </row>
    <row r="845" spans="1:8" x14ac:dyDescent="0.25">
      <c r="A845" s="14" t="s">
        <v>2055</v>
      </c>
      <c r="B845" s="14" t="s">
        <v>173</v>
      </c>
      <c r="C845" s="15" t="s">
        <v>2071</v>
      </c>
      <c r="D845" s="14" t="s">
        <v>1752</v>
      </c>
      <c r="E845" s="14" t="s">
        <v>1746</v>
      </c>
      <c r="F845" s="14">
        <v>786240</v>
      </c>
      <c r="G845" s="14">
        <v>707616</v>
      </c>
      <c r="H845" s="37">
        <f>'Calculation Sheet'!N845</f>
        <v>707616</v>
      </c>
    </row>
    <row r="846" spans="1:8" ht="30" x14ac:dyDescent="0.25">
      <c r="A846" s="14" t="s">
        <v>2055</v>
      </c>
      <c r="B846" s="14" t="s">
        <v>470</v>
      </c>
      <c r="C846" s="15" t="s">
        <v>2064</v>
      </c>
      <c r="D846" s="14" t="s">
        <v>1752</v>
      </c>
      <c r="E846" s="14" t="s">
        <v>1746</v>
      </c>
      <c r="F846" s="14">
        <v>864864</v>
      </c>
      <c r="G846" s="14">
        <v>648648</v>
      </c>
      <c r="H846" s="37">
        <f>'Calculation Sheet'!N846</f>
        <v>648648</v>
      </c>
    </row>
    <row r="847" spans="1:8" ht="30" x14ac:dyDescent="0.25">
      <c r="A847" s="14" t="s">
        <v>2055</v>
      </c>
      <c r="B847" s="14" t="s">
        <v>118</v>
      </c>
      <c r="C847" s="15" t="s">
        <v>2060</v>
      </c>
      <c r="D847" s="14" t="s">
        <v>1745</v>
      </c>
      <c r="E847" s="14" t="s">
        <v>1746</v>
      </c>
      <c r="F847" s="14">
        <v>144144</v>
      </c>
      <c r="G847" s="14">
        <v>108108</v>
      </c>
      <c r="H847" s="37">
        <f>'Calculation Sheet'!N847</f>
        <v>108108</v>
      </c>
    </row>
    <row r="848" spans="1:8" x14ac:dyDescent="0.25">
      <c r="A848" s="14" t="s">
        <v>2055</v>
      </c>
      <c r="B848" s="14">
        <v>15</v>
      </c>
      <c r="C848" s="15" t="s">
        <v>2072</v>
      </c>
      <c r="D848" s="14" t="s">
        <v>1752</v>
      </c>
      <c r="E848" s="14" t="s">
        <v>1747</v>
      </c>
      <c r="F848" s="14">
        <v>1198080</v>
      </c>
      <c r="G848" s="14">
        <v>898560</v>
      </c>
      <c r="H848" s="37">
        <f>'Calculation Sheet'!N848</f>
        <v>898560</v>
      </c>
    </row>
    <row r="849" spans="1:8" x14ac:dyDescent="0.25">
      <c r="A849" s="14" t="s">
        <v>2055</v>
      </c>
      <c r="B849" s="14" t="s">
        <v>173</v>
      </c>
      <c r="C849" s="15" t="s">
        <v>2071</v>
      </c>
      <c r="D849" s="14" t="s">
        <v>1745</v>
      </c>
      <c r="E849" s="14" t="s">
        <v>1747</v>
      </c>
      <c r="F849" s="14">
        <v>249600</v>
      </c>
      <c r="G849" s="14">
        <v>224640</v>
      </c>
      <c r="H849" s="37">
        <f>'Calculation Sheet'!N849</f>
        <v>224640</v>
      </c>
    </row>
    <row r="850" spans="1:8" x14ac:dyDescent="0.25">
      <c r="A850" s="14" t="s">
        <v>2055</v>
      </c>
      <c r="B850" s="14" t="s">
        <v>97</v>
      </c>
      <c r="C850" s="15" t="s">
        <v>2073</v>
      </c>
      <c r="D850" s="14" t="s">
        <v>1752</v>
      </c>
      <c r="E850" s="14" t="s">
        <v>1753</v>
      </c>
      <c r="F850" s="14">
        <v>1497420</v>
      </c>
      <c r="G850" s="14">
        <v>1347678</v>
      </c>
      <c r="H850" s="37">
        <f>'Calculation Sheet'!N850</f>
        <v>1347678</v>
      </c>
    </row>
    <row r="851" spans="1:8" x14ac:dyDescent="0.25">
      <c r="A851" s="14" t="s">
        <v>2055</v>
      </c>
      <c r="B851" s="14">
        <v>14</v>
      </c>
      <c r="C851" s="15" t="s">
        <v>2074</v>
      </c>
      <c r="D851" s="14" t="s">
        <v>1749</v>
      </c>
      <c r="E851" s="14" t="s">
        <v>1746</v>
      </c>
      <c r="F851" s="14">
        <v>37440</v>
      </c>
      <c r="G851" s="14">
        <v>33696</v>
      </c>
      <c r="H851" s="37">
        <f>'Calculation Sheet'!N851</f>
        <v>33696</v>
      </c>
    </row>
    <row r="852" spans="1:8" x14ac:dyDescent="0.25">
      <c r="A852" s="14" t="s">
        <v>2055</v>
      </c>
      <c r="B852" s="14">
        <v>3</v>
      </c>
      <c r="C852" s="15" t="s">
        <v>2075</v>
      </c>
      <c r="D852" s="14" t="s">
        <v>1745</v>
      </c>
      <c r="E852" s="14" t="s">
        <v>1747</v>
      </c>
      <c r="F852" s="14">
        <v>249600</v>
      </c>
      <c r="G852" s="14">
        <v>187200</v>
      </c>
      <c r="H852" s="37">
        <f>'Calculation Sheet'!N852</f>
        <v>187200</v>
      </c>
    </row>
    <row r="853" spans="1:8" x14ac:dyDescent="0.25">
      <c r="A853" s="14" t="s">
        <v>2055</v>
      </c>
      <c r="B853" s="14">
        <v>14</v>
      </c>
      <c r="C853" s="15" t="s">
        <v>2074</v>
      </c>
      <c r="D853" s="14" t="s">
        <v>1752</v>
      </c>
      <c r="E853" s="14" t="s">
        <v>1753</v>
      </c>
      <c r="F853" s="14">
        <v>1123200</v>
      </c>
      <c r="G853" s="14">
        <v>1010880</v>
      </c>
      <c r="H853" s="37">
        <f>'Calculation Sheet'!N853</f>
        <v>1010880</v>
      </c>
    </row>
    <row r="854" spans="1:8" x14ac:dyDescent="0.25">
      <c r="A854" s="14" t="s">
        <v>2055</v>
      </c>
      <c r="B854" s="14">
        <v>13</v>
      </c>
      <c r="C854" s="15" t="s">
        <v>2076</v>
      </c>
      <c r="D854" s="14" t="s">
        <v>1752</v>
      </c>
      <c r="E854" s="14" t="s">
        <v>1753</v>
      </c>
      <c r="F854" s="14">
        <v>2470860</v>
      </c>
      <c r="G854" s="14">
        <v>1853145</v>
      </c>
      <c r="H854" s="37">
        <f>'Calculation Sheet'!N854</f>
        <v>1853145</v>
      </c>
    </row>
    <row r="855" spans="1:8" x14ac:dyDescent="0.25">
      <c r="A855" s="14" t="s">
        <v>2055</v>
      </c>
      <c r="B855" s="14" t="s">
        <v>29</v>
      </c>
      <c r="C855" s="15" t="s">
        <v>2077</v>
      </c>
      <c r="D855" s="14" t="s">
        <v>1745</v>
      </c>
      <c r="E855" s="14" t="s">
        <v>1747</v>
      </c>
      <c r="F855" s="14">
        <v>933420</v>
      </c>
      <c r="G855" s="14">
        <v>700065</v>
      </c>
      <c r="H855" s="37">
        <f>'Calculation Sheet'!N855</f>
        <v>700065</v>
      </c>
    </row>
    <row r="856" spans="1:8" ht="30" x14ac:dyDescent="0.25">
      <c r="A856" s="14" t="s">
        <v>2055</v>
      </c>
      <c r="B856" s="14" t="s">
        <v>195</v>
      </c>
      <c r="C856" s="15" t="s">
        <v>2066</v>
      </c>
      <c r="D856" s="14" t="s">
        <v>1745</v>
      </c>
      <c r="E856" s="14" t="s">
        <v>1746</v>
      </c>
      <c r="F856" s="14">
        <v>172935</v>
      </c>
      <c r="G856" s="14">
        <v>138348</v>
      </c>
      <c r="H856" s="37">
        <f>'Calculation Sheet'!N856</f>
        <v>138348</v>
      </c>
    </row>
    <row r="857" spans="1:8" x14ac:dyDescent="0.25">
      <c r="A857" s="14" t="s">
        <v>2055</v>
      </c>
      <c r="B857" s="14" t="s">
        <v>583</v>
      </c>
      <c r="C857" s="15" t="s">
        <v>2057</v>
      </c>
      <c r="D857" s="14" t="s">
        <v>1752</v>
      </c>
      <c r="E857" s="14" t="s">
        <v>1753</v>
      </c>
      <c r="F857" s="14">
        <v>0</v>
      </c>
      <c r="G857" s="14">
        <v>0</v>
      </c>
      <c r="H857" s="37">
        <f>'Calculation Sheet'!N857</f>
        <v>0</v>
      </c>
    </row>
    <row r="858" spans="1:8" x14ac:dyDescent="0.25">
      <c r="A858" s="14" t="s">
        <v>2055</v>
      </c>
      <c r="B858" s="14" t="s">
        <v>608</v>
      </c>
      <c r="C858" s="15" t="s">
        <v>2063</v>
      </c>
      <c r="D858" s="14" t="s">
        <v>1749</v>
      </c>
      <c r="E858" s="14" t="s">
        <v>1746</v>
      </c>
      <c r="F858" s="14">
        <v>0</v>
      </c>
      <c r="G858" s="14">
        <v>0</v>
      </c>
      <c r="H858" s="37">
        <f>'Calculation Sheet'!N858</f>
        <v>0</v>
      </c>
    </row>
    <row r="859" spans="1:8" x14ac:dyDescent="0.25">
      <c r="A859" s="14" t="s">
        <v>2055</v>
      </c>
      <c r="B859" s="14">
        <v>15</v>
      </c>
      <c r="C859" s="15" t="s">
        <v>2072</v>
      </c>
      <c r="D859" s="14" t="s">
        <v>1752</v>
      </c>
      <c r="E859" s="14" t="s">
        <v>1753</v>
      </c>
      <c r="F859" s="14">
        <v>1198080</v>
      </c>
      <c r="G859" s="14">
        <v>898560</v>
      </c>
      <c r="H859" s="37">
        <f>'Calculation Sheet'!N859</f>
        <v>898560</v>
      </c>
    </row>
    <row r="860" spans="1:8" ht="30" x14ac:dyDescent="0.25">
      <c r="A860" s="14" t="s">
        <v>2055</v>
      </c>
      <c r="B860" s="14" t="s">
        <v>122</v>
      </c>
      <c r="C860" s="15" t="s">
        <v>2078</v>
      </c>
      <c r="D860" s="14" t="s">
        <v>1745</v>
      </c>
      <c r="E860" s="14" t="s">
        <v>1746</v>
      </c>
      <c r="F860" s="14">
        <v>125811</v>
      </c>
      <c r="G860" s="14">
        <v>100648.8</v>
      </c>
      <c r="H860" s="37">
        <f>'Calculation Sheet'!N860</f>
        <v>100648.8</v>
      </c>
    </row>
    <row r="861" spans="1:8" x14ac:dyDescent="0.25">
      <c r="A861" s="14" t="s">
        <v>2055</v>
      </c>
      <c r="B861" s="14">
        <v>16</v>
      </c>
      <c r="C861" s="15" t="s">
        <v>2065</v>
      </c>
      <c r="D861" s="14" t="s">
        <v>1752</v>
      </c>
      <c r="E861" s="14" t="s">
        <v>1753</v>
      </c>
      <c r="F861" s="14">
        <v>748800</v>
      </c>
      <c r="G861" s="14">
        <v>673920</v>
      </c>
      <c r="H861" s="37">
        <f>'Calculation Sheet'!N861</f>
        <v>673920</v>
      </c>
    </row>
    <row r="862" spans="1:8" x14ac:dyDescent="0.25">
      <c r="A862" s="14" t="s">
        <v>2055</v>
      </c>
      <c r="B862" s="14" t="s">
        <v>36</v>
      </c>
      <c r="C862" s="15" t="s">
        <v>2079</v>
      </c>
      <c r="D862" s="14" t="s">
        <v>1752</v>
      </c>
      <c r="E862" s="14" t="s">
        <v>1746</v>
      </c>
      <c r="F862" s="14">
        <v>1336608</v>
      </c>
      <c r="G862" s="14">
        <v>1202947</v>
      </c>
      <c r="H862" s="37">
        <f>'Calculation Sheet'!N862</f>
        <v>1202947</v>
      </c>
    </row>
    <row r="863" spans="1:8" x14ac:dyDescent="0.25">
      <c r="A863" s="14" t="s">
        <v>2055</v>
      </c>
      <c r="B863" s="14" t="s">
        <v>243</v>
      </c>
      <c r="C863" s="15" t="s">
        <v>2080</v>
      </c>
      <c r="D863" s="14" t="s">
        <v>1749</v>
      </c>
      <c r="E863" s="14" t="s">
        <v>1746</v>
      </c>
      <c r="F863" s="14">
        <v>6240</v>
      </c>
      <c r="G863" s="14">
        <v>5616</v>
      </c>
      <c r="H863" s="37">
        <f>'Calculation Sheet'!N863</f>
        <v>5616</v>
      </c>
    </row>
    <row r="864" spans="1:8" x14ac:dyDescent="0.25">
      <c r="A864" s="14" t="s">
        <v>2055</v>
      </c>
      <c r="B864" s="14" t="s">
        <v>46</v>
      </c>
      <c r="C864" s="15" t="s">
        <v>2081</v>
      </c>
      <c r="D864" s="14" t="s">
        <v>1745</v>
      </c>
      <c r="E864" s="14" t="s">
        <v>1747</v>
      </c>
      <c r="F864" s="14">
        <v>678840</v>
      </c>
      <c r="G864" s="14">
        <v>509130</v>
      </c>
      <c r="H864" s="37">
        <f>'Calculation Sheet'!N864</f>
        <v>509130</v>
      </c>
    </row>
    <row r="865" spans="1:8" x14ac:dyDescent="0.25">
      <c r="A865" s="14" t="s">
        <v>2055</v>
      </c>
      <c r="B865" s="14">
        <v>4</v>
      </c>
      <c r="C865" s="15" t="s">
        <v>2056</v>
      </c>
      <c r="D865" s="14" t="s">
        <v>1752</v>
      </c>
      <c r="E865" s="14" t="s">
        <v>1753</v>
      </c>
      <c r="F865" s="14">
        <v>898560</v>
      </c>
      <c r="G865" s="14">
        <v>718848</v>
      </c>
      <c r="H865" s="37">
        <f>'Calculation Sheet'!N865</f>
        <v>718848</v>
      </c>
    </row>
    <row r="866" spans="1:8" x14ac:dyDescent="0.25">
      <c r="A866" s="14" t="s">
        <v>2055</v>
      </c>
      <c r="B866" s="14" t="s">
        <v>263</v>
      </c>
      <c r="C866" s="15" t="s">
        <v>2082</v>
      </c>
      <c r="D866" s="14" t="s">
        <v>1752</v>
      </c>
      <c r="E866" s="14" t="s">
        <v>1753</v>
      </c>
      <c r="F866" s="14">
        <v>0</v>
      </c>
      <c r="G866" s="14">
        <v>0</v>
      </c>
      <c r="H866" s="37">
        <f>'Calculation Sheet'!N866</f>
        <v>0</v>
      </c>
    </row>
    <row r="867" spans="1:8" x14ac:dyDescent="0.25">
      <c r="A867" s="14" t="s">
        <v>2055</v>
      </c>
      <c r="B867" s="14">
        <v>15</v>
      </c>
      <c r="C867" s="15" t="s">
        <v>2072</v>
      </c>
      <c r="D867" s="14" t="s">
        <v>1749</v>
      </c>
      <c r="E867" s="14" t="s">
        <v>1746</v>
      </c>
      <c r="F867" s="14">
        <v>39936</v>
      </c>
      <c r="G867" s="14">
        <v>29952</v>
      </c>
      <c r="H867" s="37">
        <f>'Calculation Sheet'!N867</f>
        <v>29952</v>
      </c>
    </row>
    <row r="868" spans="1:8" x14ac:dyDescent="0.25">
      <c r="A868" s="14" t="s">
        <v>2055</v>
      </c>
      <c r="B868" s="14">
        <v>14</v>
      </c>
      <c r="C868" s="15" t="s">
        <v>2074</v>
      </c>
      <c r="D868" s="14" t="s">
        <v>1752</v>
      </c>
      <c r="E868" s="14" t="s">
        <v>1746</v>
      </c>
      <c r="F868" s="14">
        <v>1179360</v>
      </c>
      <c r="G868" s="14">
        <v>1061424</v>
      </c>
      <c r="H868" s="37">
        <f>'Calculation Sheet'!N868</f>
        <v>1061424</v>
      </c>
    </row>
    <row r="869" spans="1:8" x14ac:dyDescent="0.25">
      <c r="A869" s="14" t="s">
        <v>2055</v>
      </c>
      <c r="B869" s="14" t="s">
        <v>173</v>
      </c>
      <c r="C869" s="15" t="s">
        <v>2071</v>
      </c>
      <c r="D869" s="14" t="s">
        <v>1752</v>
      </c>
      <c r="E869" s="14" t="s">
        <v>1747</v>
      </c>
      <c r="F869" s="14">
        <v>748800</v>
      </c>
      <c r="G869" s="14">
        <v>673920</v>
      </c>
      <c r="H869" s="37">
        <f>'Calculation Sheet'!N869</f>
        <v>673920</v>
      </c>
    </row>
    <row r="870" spans="1:8" x14ac:dyDescent="0.25">
      <c r="A870" s="14" t="s">
        <v>2055</v>
      </c>
      <c r="B870" s="14" t="s">
        <v>73</v>
      </c>
      <c r="C870" s="15" t="s">
        <v>2058</v>
      </c>
      <c r="D870" s="14" t="s">
        <v>1745</v>
      </c>
      <c r="E870" s="14" t="s">
        <v>1746</v>
      </c>
      <c r="F870" s="14">
        <v>1048257</v>
      </c>
      <c r="G870" s="14">
        <v>786192.7</v>
      </c>
      <c r="H870" s="37">
        <f>'Calculation Sheet'!N870</f>
        <v>786192.7</v>
      </c>
    </row>
    <row r="871" spans="1:8" x14ac:dyDescent="0.25">
      <c r="A871" s="14" t="s">
        <v>2055</v>
      </c>
      <c r="B871" s="14" t="s">
        <v>583</v>
      </c>
      <c r="C871" s="15" t="s">
        <v>2057</v>
      </c>
      <c r="D871" s="14" t="s">
        <v>1745</v>
      </c>
      <c r="E871" s="14" t="s">
        <v>1747</v>
      </c>
      <c r="F871" s="14">
        <v>0</v>
      </c>
      <c r="G871" s="14">
        <v>0</v>
      </c>
      <c r="H871" s="37">
        <f>'Calculation Sheet'!N871</f>
        <v>0</v>
      </c>
    </row>
    <row r="872" spans="1:8" x14ac:dyDescent="0.25">
      <c r="A872" s="14" t="s">
        <v>2055</v>
      </c>
      <c r="B872" s="14">
        <v>4</v>
      </c>
      <c r="C872" s="15" t="s">
        <v>2056</v>
      </c>
      <c r="D872" s="14" t="s">
        <v>1752</v>
      </c>
      <c r="E872" s="14" t="s">
        <v>1746</v>
      </c>
      <c r="F872" s="14">
        <v>943488</v>
      </c>
      <c r="G872" s="14">
        <v>754790.40000000002</v>
      </c>
      <c r="H872" s="37">
        <f>'Calculation Sheet'!N872</f>
        <v>754790.40000000002</v>
      </c>
    </row>
    <row r="873" spans="1:8" x14ac:dyDescent="0.25">
      <c r="A873" s="14" t="s">
        <v>2055</v>
      </c>
      <c r="B873" s="14" t="s">
        <v>36</v>
      </c>
      <c r="C873" s="15" t="s">
        <v>2079</v>
      </c>
      <c r="D873" s="14" t="s">
        <v>1752</v>
      </c>
      <c r="E873" s="14" t="s">
        <v>1753</v>
      </c>
      <c r="F873" s="14">
        <v>1272960</v>
      </c>
      <c r="G873" s="14">
        <v>1145664</v>
      </c>
      <c r="H873" s="37">
        <f>'Calculation Sheet'!N873</f>
        <v>1145664</v>
      </c>
    </row>
    <row r="874" spans="1:8" x14ac:dyDescent="0.25">
      <c r="A874" s="14" t="s">
        <v>2055</v>
      </c>
      <c r="B874" s="14" t="s">
        <v>325</v>
      </c>
      <c r="C874" s="15" t="s">
        <v>2070</v>
      </c>
      <c r="D874" s="14" t="s">
        <v>1745</v>
      </c>
      <c r="E874" s="14" t="s">
        <v>1747</v>
      </c>
      <c r="F874" s="14">
        <v>399360</v>
      </c>
      <c r="G874" s="14">
        <v>299520</v>
      </c>
      <c r="H874" s="37">
        <f>'Calculation Sheet'!N874</f>
        <v>299520</v>
      </c>
    </row>
    <row r="875" spans="1:8" x14ac:dyDescent="0.25">
      <c r="A875" s="14" t="s">
        <v>2055</v>
      </c>
      <c r="B875" s="14">
        <v>1</v>
      </c>
      <c r="C875" s="15" t="s">
        <v>2067</v>
      </c>
      <c r="D875" s="14" t="s">
        <v>1752</v>
      </c>
      <c r="E875" s="14" t="s">
        <v>1747</v>
      </c>
      <c r="F875" s="14">
        <v>0</v>
      </c>
      <c r="G875" s="14">
        <v>0</v>
      </c>
      <c r="H875" s="37">
        <f>'Calculation Sheet'!N875</f>
        <v>0</v>
      </c>
    </row>
    <row r="876" spans="1:8" x14ac:dyDescent="0.25">
      <c r="A876" s="14" t="s">
        <v>2055</v>
      </c>
      <c r="B876" s="14" t="s">
        <v>97</v>
      </c>
      <c r="C876" s="15" t="s">
        <v>2073</v>
      </c>
      <c r="D876" s="14" t="s">
        <v>1745</v>
      </c>
      <c r="E876" s="14" t="s">
        <v>1746</v>
      </c>
      <c r="F876" s="14">
        <v>524097</v>
      </c>
      <c r="G876" s="14">
        <v>471687.4</v>
      </c>
      <c r="H876" s="37">
        <f>'Calculation Sheet'!N876</f>
        <v>471687.4</v>
      </c>
    </row>
    <row r="877" spans="1:8" x14ac:dyDescent="0.25">
      <c r="A877" s="14" t="s">
        <v>2055</v>
      </c>
      <c r="B877" s="14">
        <v>4</v>
      </c>
      <c r="C877" s="15" t="s">
        <v>2056</v>
      </c>
      <c r="D877" s="14" t="s">
        <v>1745</v>
      </c>
      <c r="E877" s="14" t="s">
        <v>1747</v>
      </c>
      <c r="F877" s="14">
        <v>299520</v>
      </c>
      <c r="G877" s="14">
        <v>239616</v>
      </c>
      <c r="H877" s="37">
        <f>'Calculation Sheet'!N877</f>
        <v>239616</v>
      </c>
    </row>
    <row r="878" spans="1:8" x14ac:dyDescent="0.25">
      <c r="A878" s="14" t="s">
        <v>2055</v>
      </c>
      <c r="B878" s="14" t="s">
        <v>297</v>
      </c>
      <c r="C878" s="15" t="s">
        <v>2083</v>
      </c>
      <c r="D878" s="14" t="s">
        <v>1745</v>
      </c>
      <c r="E878" s="14" t="s">
        <v>1746</v>
      </c>
      <c r="F878" s="14">
        <v>838593</v>
      </c>
      <c r="G878" s="14">
        <v>628944.69999999995</v>
      </c>
      <c r="H878" s="37">
        <f>'Calculation Sheet'!N878</f>
        <v>628944.69999999995</v>
      </c>
    </row>
    <row r="879" spans="1:8" x14ac:dyDescent="0.25">
      <c r="A879" s="14" t="s">
        <v>2055</v>
      </c>
      <c r="B879" s="14">
        <v>12</v>
      </c>
      <c r="C879" s="15" t="s">
        <v>2084</v>
      </c>
      <c r="D879" s="14" t="s">
        <v>1745</v>
      </c>
      <c r="E879" s="14" t="s">
        <v>1746</v>
      </c>
      <c r="F879" s="14">
        <v>628929</v>
      </c>
      <c r="G879" s="14">
        <v>471696.7</v>
      </c>
      <c r="H879" s="37">
        <f>'Calculation Sheet'!N879</f>
        <v>471696.7</v>
      </c>
    </row>
    <row r="880" spans="1:8" ht="30" x14ac:dyDescent="0.25">
      <c r="A880" s="14" t="s">
        <v>2055</v>
      </c>
      <c r="B880" s="14" t="s">
        <v>195</v>
      </c>
      <c r="C880" s="15" t="s">
        <v>2066</v>
      </c>
      <c r="D880" s="14" t="s">
        <v>1745</v>
      </c>
      <c r="E880" s="14" t="s">
        <v>1747</v>
      </c>
      <c r="F880" s="14">
        <v>164700</v>
      </c>
      <c r="G880" s="14">
        <v>131760</v>
      </c>
      <c r="H880" s="37">
        <f>'Calculation Sheet'!N880</f>
        <v>131760</v>
      </c>
    </row>
    <row r="881" spans="1:8" x14ac:dyDescent="0.25">
      <c r="A881" s="14" t="s">
        <v>2055</v>
      </c>
      <c r="B881" s="14" t="s">
        <v>89</v>
      </c>
      <c r="C881" s="15" t="s">
        <v>2085</v>
      </c>
      <c r="D881" s="14" t="s">
        <v>1752</v>
      </c>
      <c r="E881" s="14" t="s">
        <v>1746</v>
      </c>
      <c r="F881" s="14">
        <v>3144771</v>
      </c>
      <c r="G881" s="14">
        <v>2358578</v>
      </c>
      <c r="H881" s="37">
        <f>'Calculation Sheet'!N881</f>
        <v>2358578</v>
      </c>
    </row>
    <row r="882" spans="1:8" x14ac:dyDescent="0.25">
      <c r="A882" s="14" t="s">
        <v>2055</v>
      </c>
      <c r="B882" s="14">
        <v>1</v>
      </c>
      <c r="C882" s="15" t="s">
        <v>2067</v>
      </c>
      <c r="D882" s="14" t="s">
        <v>1752</v>
      </c>
      <c r="E882" s="14" t="s">
        <v>1746</v>
      </c>
      <c r="F882" s="14">
        <v>0</v>
      </c>
      <c r="G882" s="14">
        <v>0</v>
      </c>
      <c r="H882" s="37">
        <f>'Calculation Sheet'!N882</f>
        <v>0</v>
      </c>
    </row>
    <row r="883" spans="1:8" x14ac:dyDescent="0.25">
      <c r="A883" s="14" t="s">
        <v>2055</v>
      </c>
      <c r="B883" s="14" t="s">
        <v>173</v>
      </c>
      <c r="C883" s="15" t="s">
        <v>2071</v>
      </c>
      <c r="D883" s="14" t="s">
        <v>1749</v>
      </c>
      <c r="E883" s="14" t="s">
        <v>1746</v>
      </c>
      <c r="F883" s="14">
        <v>24960</v>
      </c>
      <c r="G883" s="14">
        <v>22464</v>
      </c>
      <c r="H883" s="37">
        <f>'Calculation Sheet'!N883</f>
        <v>22464</v>
      </c>
    </row>
    <row r="884" spans="1:8" x14ac:dyDescent="0.25">
      <c r="A884" s="14" t="s">
        <v>2055</v>
      </c>
      <c r="B884" s="14" t="s">
        <v>297</v>
      </c>
      <c r="C884" s="15" t="s">
        <v>2083</v>
      </c>
      <c r="D884" s="14" t="s">
        <v>1749</v>
      </c>
      <c r="E884" s="14" t="s">
        <v>1746</v>
      </c>
      <c r="F884" s="14">
        <v>79866</v>
      </c>
      <c r="G884" s="14">
        <v>59899.5</v>
      </c>
      <c r="H884" s="37">
        <f>'Calculation Sheet'!N884</f>
        <v>59899.5</v>
      </c>
    </row>
    <row r="885" spans="1:8" x14ac:dyDescent="0.25">
      <c r="A885" s="14" t="s">
        <v>2055</v>
      </c>
      <c r="B885" s="14">
        <v>5</v>
      </c>
      <c r="C885" s="15" t="s">
        <v>2086</v>
      </c>
      <c r="D885" s="14" t="s">
        <v>1745</v>
      </c>
      <c r="E885" s="14" t="s">
        <v>1747</v>
      </c>
      <c r="F885" s="14">
        <v>1497480</v>
      </c>
      <c r="G885" s="14">
        <v>1123110</v>
      </c>
      <c r="H885" s="37">
        <f>'Calculation Sheet'!N885</f>
        <v>1123110</v>
      </c>
    </row>
    <row r="886" spans="1:8" x14ac:dyDescent="0.25">
      <c r="A886" s="14" t="s">
        <v>2055</v>
      </c>
      <c r="B886" s="14" t="s">
        <v>36</v>
      </c>
      <c r="C886" s="15" t="s">
        <v>2079</v>
      </c>
      <c r="D886" s="14" t="s">
        <v>1745</v>
      </c>
      <c r="E886" s="14" t="s">
        <v>1746</v>
      </c>
      <c r="F886" s="14">
        <v>445536</v>
      </c>
      <c r="G886" s="14">
        <v>400982.4</v>
      </c>
      <c r="H886" s="37">
        <f>'Calculation Sheet'!N886</f>
        <v>400982.4</v>
      </c>
    </row>
    <row r="887" spans="1:8" x14ac:dyDescent="0.25">
      <c r="A887" s="14" t="s">
        <v>2055</v>
      </c>
      <c r="B887" s="14">
        <v>14</v>
      </c>
      <c r="C887" s="15" t="s">
        <v>2074</v>
      </c>
      <c r="D887" s="14" t="s">
        <v>1745</v>
      </c>
      <c r="E887" s="14" t="s">
        <v>1746</v>
      </c>
      <c r="F887" s="14">
        <v>393120</v>
      </c>
      <c r="G887" s="14">
        <v>353808</v>
      </c>
      <c r="H887" s="37">
        <f>'Calculation Sheet'!N887</f>
        <v>353808</v>
      </c>
    </row>
    <row r="888" spans="1:8" x14ac:dyDescent="0.25">
      <c r="A888" s="14" t="s">
        <v>2055</v>
      </c>
      <c r="B888" s="14">
        <v>3</v>
      </c>
      <c r="C888" s="15" t="s">
        <v>2075</v>
      </c>
      <c r="D888" s="14" t="s">
        <v>1745</v>
      </c>
      <c r="E888" s="14" t="s">
        <v>1746</v>
      </c>
      <c r="F888" s="14">
        <v>262080</v>
      </c>
      <c r="G888" s="14">
        <v>196560</v>
      </c>
      <c r="H888" s="37">
        <f>'Calculation Sheet'!N888</f>
        <v>196560</v>
      </c>
    </row>
    <row r="889" spans="1:8" x14ac:dyDescent="0.25">
      <c r="A889" s="14" t="s">
        <v>2055</v>
      </c>
      <c r="B889" s="14">
        <v>7</v>
      </c>
      <c r="C889" s="15" t="s">
        <v>2068</v>
      </c>
      <c r="D889" s="14" t="s">
        <v>1752</v>
      </c>
      <c r="E889" s="14" t="s">
        <v>1746</v>
      </c>
      <c r="F889" s="14">
        <v>5346054</v>
      </c>
      <c r="G889" s="14">
        <v>4009541</v>
      </c>
      <c r="H889" s="37">
        <f>'Calculation Sheet'!N889</f>
        <v>4009541</v>
      </c>
    </row>
    <row r="890" spans="1:8" x14ac:dyDescent="0.25">
      <c r="A890" s="14" t="s">
        <v>2055</v>
      </c>
      <c r="B890" s="14">
        <v>16</v>
      </c>
      <c r="C890" s="15" t="s">
        <v>2065</v>
      </c>
      <c r="D890" s="14" t="s">
        <v>1749</v>
      </c>
      <c r="E890" s="14" t="s">
        <v>1746</v>
      </c>
      <c r="F890" s="14">
        <v>24960</v>
      </c>
      <c r="G890" s="14">
        <v>22464</v>
      </c>
      <c r="H890" s="37">
        <f>'Calculation Sheet'!N890</f>
        <v>22464</v>
      </c>
    </row>
    <row r="891" spans="1:8" x14ac:dyDescent="0.25">
      <c r="A891" s="14" t="s">
        <v>2055</v>
      </c>
      <c r="B891" s="14" t="s">
        <v>243</v>
      </c>
      <c r="C891" s="15" t="s">
        <v>2080</v>
      </c>
      <c r="D891" s="14" t="s">
        <v>1745</v>
      </c>
      <c r="E891" s="14" t="s">
        <v>1746</v>
      </c>
      <c r="F891" s="14">
        <v>65520</v>
      </c>
      <c r="G891" s="14">
        <v>58968</v>
      </c>
      <c r="H891" s="37">
        <f>'Calculation Sheet'!N891</f>
        <v>58968</v>
      </c>
    </row>
    <row r="892" spans="1:8" x14ac:dyDescent="0.25">
      <c r="A892" s="14" t="s">
        <v>2055</v>
      </c>
      <c r="B892" s="14">
        <v>7</v>
      </c>
      <c r="C892" s="15" t="s">
        <v>2068</v>
      </c>
      <c r="D892" s="14" t="s">
        <v>1745</v>
      </c>
      <c r="E892" s="14" t="s">
        <v>1746</v>
      </c>
      <c r="F892" s="14">
        <v>1782018</v>
      </c>
      <c r="G892" s="14">
        <v>1336514</v>
      </c>
      <c r="H892" s="37">
        <f>'Calculation Sheet'!N892</f>
        <v>1336514</v>
      </c>
    </row>
    <row r="893" spans="1:8" x14ac:dyDescent="0.25">
      <c r="A893" s="14" t="s">
        <v>2055</v>
      </c>
      <c r="B893" s="14" t="s">
        <v>243</v>
      </c>
      <c r="C893" s="15" t="s">
        <v>2080</v>
      </c>
      <c r="D893" s="14" t="s">
        <v>1745</v>
      </c>
      <c r="E893" s="14" t="s">
        <v>1747</v>
      </c>
      <c r="F893" s="14">
        <v>62400</v>
      </c>
      <c r="G893" s="14">
        <v>56160</v>
      </c>
      <c r="H893" s="37">
        <f>'Calculation Sheet'!N893</f>
        <v>56160</v>
      </c>
    </row>
    <row r="894" spans="1:8" x14ac:dyDescent="0.25">
      <c r="A894" s="14" t="s">
        <v>2055</v>
      </c>
      <c r="B894" s="14" t="s">
        <v>263</v>
      </c>
      <c r="C894" s="15" t="s">
        <v>2082</v>
      </c>
      <c r="D894" s="14" t="s">
        <v>1745</v>
      </c>
      <c r="E894" s="14" t="s">
        <v>1746</v>
      </c>
      <c r="F894" s="14">
        <v>0</v>
      </c>
      <c r="G894" s="14">
        <v>0</v>
      </c>
      <c r="H894" s="37">
        <f>'Calculation Sheet'!N894</f>
        <v>0</v>
      </c>
    </row>
    <row r="895" spans="1:8" x14ac:dyDescent="0.25">
      <c r="A895" s="14" t="s">
        <v>2055</v>
      </c>
      <c r="B895" s="14">
        <v>5</v>
      </c>
      <c r="C895" s="15" t="s">
        <v>2086</v>
      </c>
      <c r="D895" s="14" t="s">
        <v>1752</v>
      </c>
      <c r="E895" s="14" t="s">
        <v>1746</v>
      </c>
      <c r="F895" s="14">
        <v>4717062</v>
      </c>
      <c r="G895" s="14">
        <v>3537797</v>
      </c>
      <c r="H895" s="37">
        <f>'Calculation Sheet'!N895</f>
        <v>3537797</v>
      </c>
    </row>
    <row r="896" spans="1:8" x14ac:dyDescent="0.25">
      <c r="A896" s="14" t="s">
        <v>2055</v>
      </c>
      <c r="B896" s="14" t="s">
        <v>608</v>
      </c>
      <c r="C896" s="15" t="s">
        <v>2063</v>
      </c>
      <c r="D896" s="14" t="s">
        <v>1752</v>
      </c>
      <c r="E896" s="14" t="s">
        <v>1747</v>
      </c>
      <c r="F896" s="14">
        <v>0</v>
      </c>
      <c r="G896" s="14">
        <v>0</v>
      </c>
      <c r="H896" s="37">
        <f>'Calculation Sheet'!N896</f>
        <v>0</v>
      </c>
    </row>
    <row r="897" spans="1:8" ht="30" x14ac:dyDescent="0.25">
      <c r="A897" s="14" t="s">
        <v>2055</v>
      </c>
      <c r="B897" s="14" t="s">
        <v>118</v>
      </c>
      <c r="C897" s="15" t="s">
        <v>2060</v>
      </c>
      <c r="D897" s="14" t="s">
        <v>1749</v>
      </c>
      <c r="E897" s="14" t="s">
        <v>1746</v>
      </c>
      <c r="F897" s="14">
        <v>13728</v>
      </c>
      <c r="G897" s="14">
        <v>10296</v>
      </c>
      <c r="H897" s="37">
        <f>'Calculation Sheet'!N897</f>
        <v>10296</v>
      </c>
    </row>
    <row r="898" spans="1:8" ht="30" x14ac:dyDescent="0.25">
      <c r="A898" s="14" t="s">
        <v>2055</v>
      </c>
      <c r="B898" s="14" t="s">
        <v>28</v>
      </c>
      <c r="C898" s="15" t="s">
        <v>2062</v>
      </c>
      <c r="D898" s="14" t="s">
        <v>1752</v>
      </c>
      <c r="E898" s="14" t="s">
        <v>1746</v>
      </c>
      <c r="F898" s="14">
        <v>314496</v>
      </c>
      <c r="G898" s="14">
        <v>235872</v>
      </c>
      <c r="H898" s="37">
        <f>'Calculation Sheet'!N898</f>
        <v>235872</v>
      </c>
    </row>
    <row r="899" spans="1:8" x14ac:dyDescent="0.25">
      <c r="A899" s="14" t="s">
        <v>2055</v>
      </c>
      <c r="B899" s="14" t="s">
        <v>46</v>
      </c>
      <c r="C899" s="15" t="s">
        <v>2081</v>
      </c>
      <c r="D899" s="14" t="s">
        <v>1752</v>
      </c>
      <c r="E899" s="14" t="s">
        <v>1753</v>
      </c>
      <c r="F899" s="14">
        <v>2036520</v>
      </c>
      <c r="G899" s="14">
        <v>1527390</v>
      </c>
      <c r="H899" s="37">
        <f>'Calculation Sheet'!N899</f>
        <v>1527390</v>
      </c>
    </row>
    <row r="900" spans="1:8" x14ac:dyDescent="0.25">
      <c r="A900" s="14" t="s">
        <v>2055</v>
      </c>
      <c r="B900" s="14">
        <v>17</v>
      </c>
      <c r="C900" s="15" t="s">
        <v>2059</v>
      </c>
      <c r="D900" s="14" t="s">
        <v>1749</v>
      </c>
      <c r="E900" s="14" t="s">
        <v>1746</v>
      </c>
      <c r="F900" s="14">
        <v>54906</v>
      </c>
      <c r="G900" s="14">
        <v>41179.5</v>
      </c>
      <c r="H900" s="37">
        <f>'Calculation Sheet'!N900</f>
        <v>41179.5</v>
      </c>
    </row>
    <row r="901" spans="1:8" x14ac:dyDescent="0.25">
      <c r="A901" s="14" t="s">
        <v>2055</v>
      </c>
      <c r="B901" s="14" t="s">
        <v>29</v>
      </c>
      <c r="C901" s="15" t="s">
        <v>2077</v>
      </c>
      <c r="D901" s="14" t="s">
        <v>1749</v>
      </c>
      <c r="E901" s="14" t="s">
        <v>1746</v>
      </c>
      <c r="F901" s="14">
        <v>93342</v>
      </c>
      <c r="G901" s="14">
        <v>70006.5</v>
      </c>
      <c r="H901" s="37">
        <f>'Calculation Sheet'!N901</f>
        <v>70006.5</v>
      </c>
    </row>
    <row r="902" spans="1:8" x14ac:dyDescent="0.25">
      <c r="A902" s="14" t="s">
        <v>2055</v>
      </c>
      <c r="B902" s="14" t="s">
        <v>108</v>
      </c>
      <c r="C902" s="15" t="s">
        <v>2087</v>
      </c>
      <c r="D902" s="14" t="s">
        <v>1749</v>
      </c>
      <c r="E902" s="14" t="s">
        <v>1746</v>
      </c>
      <c r="F902" s="14">
        <v>109818</v>
      </c>
      <c r="G902" s="14">
        <v>82363.5</v>
      </c>
      <c r="H902" s="37">
        <f>'Calculation Sheet'!N902</f>
        <v>82363.5</v>
      </c>
    </row>
    <row r="903" spans="1:8" x14ac:dyDescent="0.25">
      <c r="A903" s="14" t="s">
        <v>2055</v>
      </c>
      <c r="B903" s="14" t="s">
        <v>97</v>
      </c>
      <c r="C903" s="15" t="s">
        <v>2073</v>
      </c>
      <c r="D903" s="14" t="s">
        <v>1752</v>
      </c>
      <c r="E903" s="14" t="s">
        <v>1746</v>
      </c>
      <c r="F903" s="14">
        <v>1572291</v>
      </c>
      <c r="G903" s="14">
        <v>1415062</v>
      </c>
      <c r="H903" s="37">
        <f>'Calculation Sheet'!N903</f>
        <v>1415062</v>
      </c>
    </row>
    <row r="904" spans="1:8" x14ac:dyDescent="0.25">
      <c r="A904" s="14" t="s">
        <v>2055</v>
      </c>
      <c r="B904" s="14" t="s">
        <v>333</v>
      </c>
      <c r="C904" s="15" t="s">
        <v>2088</v>
      </c>
      <c r="D904" s="14" t="s">
        <v>1752</v>
      </c>
      <c r="E904" s="14" t="s">
        <v>1747</v>
      </c>
      <c r="F904" s="14">
        <v>1647180</v>
      </c>
      <c r="G904" s="14">
        <v>1235385</v>
      </c>
      <c r="H904" s="37">
        <f>'Calculation Sheet'!N904</f>
        <v>1235385</v>
      </c>
    </row>
    <row r="905" spans="1:8" x14ac:dyDescent="0.25">
      <c r="A905" s="14" t="s">
        <v>2055</v>
      </c>
      <c r="B905" s="14" t="s">
        <v>89</v>
      </c>
      <c r="C905" s="15" t="s">
        <v>2085</v>
      </c>
      <c r="D905" s="14" t="s">
        <v>1749</v>
      </c>
      <c r="E905" s="14" t="s">
        <v>1746</v>
      </c>
      <c r="F905" s="14">
        <v>99834</v>
      </c>
      <c r="G905" s="14">
        <v>74875.5</v>
      </c>
      <c r="H905" s="37">
        <f>'Calculation Sheet'!N905</f>
        <v>74875.5</v>
      </c>
    </row>
    <row r="906" spans="1:8" x14ac:dyDescent="0.25">
      <c r="A906" s="14" t="s">
        <v>2055</v>
      </c>
      <c r="B906" s="14" t="s">
        <v>608</v>
      </c>
      <c r="C906" s="15" t="s">
        <v>2063</v>
      </c>
      <c r="D906" s="14" t="s">
        <v>1745</v>
      </c>
      <c r="E906" s="14" t="s">
        <v>1747</v>
      </c>
      <c r="F906" s="14">
        <v>0</v>
      </c>
      <c r="G906" s="14">
        <v>0</v>
      </c>
      <c r="H906" s="37">
        <f>'Calculation Sheet'!N906</f>
        <v>0</v>
      </c>
    </row>
    <row r="907" spans="1:8" x14ac:dyDescent="0.25">
      <c r="A907" s="14" t="s">
        <v>2055</v>
      </c>
      <c r="B907" s="14" t="s">
        <v>29</v>
      </c>
      <c r="C907" s="15" t="s">
        <v>2077</v>
      </c>
      <c r="D907" s="14" t="s">
        <v>1745</v>
      </c>
      <c r="E907" s="14" t="s">
        <v>1746</v>
      </c>
      <c r="F907" s="14">
        <v>980091</v>
      </c>
      <c r="G907" s="14">
        <v>735068.3</v>
      </c>
      <c r="H907" s="37">
        <f>'Calculation Sheet'!N907</f>
        <v>735068.3</v>
      </c>
    </row>
    <row r="908" spans="1:8" x14ac:dyDescent="0.25">
      <c r="A908" s="14" t="s">
        <v>2055</v>
      </c>
      <c r="B908" s="14">
        <v>6</v>
      </c>
      <c r="C908" s="15" t="s">
        <v>2089</v>
      </c>
      <c r="D908" s="14" t="s">
        <v>1752</v>
      </c>
      <c r="E908" s="14" t="s">
        <v>1753</v>
      </c>
      <c r="F908" s="14">
        <v>1497420</v>
      </c>
      <c r="G908" s="14">
        <v>1123065</v>
      </c>
      <c r="H908" s="37">
        <f>'Calculation Sheet'!N908</f>
        <v>1123065</v>
      </c>
    </row>
    <row r="909" spans="1:8" x14ac:dyDescent="0.25">
      <c r="A909" s="14" t="s">
        <v>2055</v>
      </c>
      <c r="B909" s="14" t="s">
        <v>29</v>
      </c>
      <c r="C909" s="15" t="s">
        <v>2077</v>
      </c>
      <c r="D909" s="14" t="s">
        <v>1752</v>
      </c>
      <c r="E909" s="14" t="s">
        <v>1746</v>
      </c>
      <c r="F909" s="14">
        <v>2940273</v>
      </c>
      <c r="G909" s="14">
        <v>2205205</v>
      </c>
      <c r="H909" s="37">
        <f>'Calculation Sheet'!N909</f>
        <v>2205205</v>
      </c>
    </row>
    <row r="910" spans="1:8" x14ac:dyDescent="0.25">
      <c r="A910" s="14" t="s">
        <v>2055</v>
      </c>
      <c r="B910" s="14">
        <v>7</v>
      </c>
      <c r="C910" s="15" t="s">
        <v>2068</v>
      </c>
      <c r="D910" s="14" t="s">
        <v>1749</v>
      </c>
      <c r="E910" s="14" t="s">
        <v>1746</v>
      </c>
      <c r="F910" s="14">
        <v>169716</v>
      </c>
      <c r="G910" s="14">
        <v>127287</v>
      </c>
      <c r="H910" s="37">
        <f>'Calculation Sheet'!N910</f>
        <v>127287</v>
      </c>
    </row>
    <row r="911" spans="1:8" x14ac:dyDescent="0.25">
      <c r="A911" s="14" t="s">
        <v>2055</v>
      </c>
      <c r="B911" s="14">
        <v>5</v>
      </c>
      <c r="C911" s="15" t="s">
        <v>2086</v>
      </c>
      <c r="D911" s="14" t="s">
        <v>1752</v>
      </c>
      <c r="E911" s="14" t="s">
        <v>1747</v>
      </c>
      <c r="F911" s="14">
        <v>4492440</v>
      </c>
      <c r="G911" s="14">
        <v>3369330</v>
      </c>
      <c r="H911" s="37">
        <f>'Calculation Sheet'!N911</f>
        <v>3369330</v>
      </c>
    </row>
    <row r="912" spans="1:8" x14ac:dyDescent="0.25">
      <c r="A912" s="14" t="s">
        <v>2055</v>
      </c>
      <c r="B912" s="14" t="s">
        <v>89</v>
      </c>
      <c r="C912" s="15" t="s">
        <v>2085</v>
      </c>
      <c r="D912" s="14" t="s">
        <v>1752</v>
      </c>
      <c r="E912" s="14" t="s">
        <v>1753</v>
      </c>
      <c r="F912" s="14">
        <v>2995020</v>
      </c>
      <c r="G912" s="14">
        <v>2246265</v>
      </c>
      <c r="H912" s="37">
        <f>'Calculation Sheet'!N912</f>
        <v>2246265</v>
      </c>
    </row>
    <row r="913" spans="1:8" x14ac:dyDescent="0.25">
      <c r="A913" s="14" t="s">
        <v>2055</v>
      </c>
      <c r="B913" s="14" t="s">
        <v>583</v>
      </c>
      <c r="C913" s="15" t="s">
        <v>2057</v>
      </c>
      <c r="D913" s="14" t="s">
        <v>1752</v>
      </c>
      <c r="E913" s="14" t="s">
        <v>1747</v>
      </c>
      <c r="F913" s="14">
        <v>0</v>
      </c>
      <c r="G913" s="14">
        <v>0</v>
      </c>
      <c r="H913" s="37">
        <f>'Calculation Sheet'!N913</f>
        <v>0</v>
      </c>
    </row>
    <row r="914" spans="1:8" x14ac:dyDescent="0.25">
      <c r="A914" s="14" t="s">
        <v>2055</v>
      </c>
      <c r="B914" s="14">
        <v>3</v>
      </c>
      <c r="C914" s="15" t="s">
        <v>2075</v>
      </c>
      <c r="D914" s="14" t="s">
        <v>1752</v>
      </c>
      <c r="E914" s="14" t="s">
        <v>1747</v>
      </c>
      <c r="F914" s="14">
        <v>748800</v>
      </c>
      <c r="G914" s="14">
        <v>561600</v>
      </c>
      <c r="H914" s="37">
        <f>'Calculation Sheet'!N914</f>
        <v>561600</v>
      </c>
    </row>
    <row r="915" spans="1:8" x14ac:dyDescent="0.25">
      <c r="A915" s="14" t="s">
        <v>2055</v>
      </c>
      <c r="B915" s="14">
        <v>1</v>
      </c>
      <c r="C915" s="15" t="s">
        <v>2067</v>
      </c>
      <c r="D915" s="14" t="s">
        <v>1745</v>
      </c>
      <c r="E915" s="14" t="s">
        <v>1747</v>
      </c>
      <c r="F915" s="14">
        <v>0</v>
      </c>
      <c r="G915" s="14">
        <v>0</v>
      </c>
      <c r="H915" s="37">
        <f>'Calculation Sheet'!N915</f>
        <v>0</v>
      </c>
    </row>
    <row r="916" spans="1:8" x14ac:dyDescent="0.25">
      <c r="A916" s="14" t="s">
        <v>2055</v>
      </c>
      <c r="B916" s="14">
        <v>12</v>
      </c>
      <c r="C916" s="15" t="s">
        <v>2084</v>
      </c>
      <c r="D916" s="14" t="s">
        <v>1745</v>
      </c>
      <c r="E916" s="14" t="s">
        <v>1747</v>
      </c>
      <c r="F916" s="14">
        <v>598980</v>
      </c>
      <c r="G916" s="14">
        <v>449235</v>
      </c>
      <c r="H916" s="37">
        <f>'Calculation Sheet'!N916</f>
        <v>449235</v>
      </c>
    </row>
    <row r="917" spans="1:8" ht="30" x14ac:dyDescent="0.25">
      <c r="A917" s="14" t="s">
        <v>2055</v>
      </c>
      <c r="B917" s="14" t="s">
        <v>470</v>
      </c>
      <c r="C917" s="15" t="s">
        <v>2064</v>
      </c>
      <c r="D917" s="14" t="s">
        <v>1749</v>
      </c>
      <c r="E917" s="14" t="s">
        <v>1746</v>
      </c>
      <c r="F917" s="14">
        <v>27456</v>
      </c>
      <c r="G917" s="14">
        <v>20592</v>
      </c>
      <c r="H917" s="37">
        <f>'Calculation Sheet'!N917</f>
        <v>20592</v>
      </c>
    </row>
    <row r="918" spans="1:8" x14ac:dyDescent="0.25">
      <c r="A918" s="14" t="s">
        <v>2055</v>
      </c>
      <c r="B918" s="14" t="s">
        <v>108</v>
      </c>
      <c r="C918" s="15" t="s">
        <v>2087</v>
      </c>
      <c r="D918" s="14" t="s">
        <v>1752</v>
      </c>
      <c r="E918" s="14" t="s">
        <v>1746</v>
      </c>
      <c r="F918" s="14">
        <v>3459267</v>
      </c>
      <c r="G918" s="14">
        <v>2594450</v>
      </c>
      <c r="H918" s="37">
        <f>'Calculation Sheet'!N918</f>
        <v>2594450</v>
      </c>
    </row>
    <row r="919" spans="1:8" x14ac:dyDescent="0.25">
      <c r="A919" s="14" t="s">
        <v>2055</v>
      </c>
      <c r="B919" s="14" t="s">
        <v>97</v>
      </c>
      <c r="C919" s="15" t="s">
        <v>2073</v>
      </c>
      <c r="D919" s="14" t="s">
        <v>1749</v>
      </c>
      <c r="E919" s="14" t="s">
        <v>1746</v>
      </c>
      <c r="F919" s="14">
        <v>49914</v>
      </c>
      <c r="G919" s="14">
        <v>44922.6</v>
      </c>
      <c r="H919" s="37">
        <f>'Calculation Sheet'!N919</f>
        <v>44922.6</v>
      </c>
    </row>
    <row r="920" spans="1:8" x14ac:dyDescent="0.25">
      <c r="A920" s="14" t="s">
        <v>2055</v>
      </c>
      <c r="B920" s="14">
        <v>7</v>
      </c>
      <c r="C920" s="15" t="s">
        <v>2068</v>
      </c>
      <c r="D920" s="14" t="s">
        <v>1752</v>
      </c>
      <c r="E920" s="14" t="s">
        <v>1753</v>
      </c>
      <c r="F920" s="14">
        <v>5091480</v>
      </c>
      <c r="G920" s="14">
        <v>3818610</v>
      </c>
      <c r="H920" s="37">
        <f>'Calculation Sheet'!N920</f>
        <v>3818610</v>
      </c>
    </row>
    <row r="921" spans="1:8" x14ac:dyDescent="0.25">
      <c r="A921" s="14" t="s">
        <v>2055</v>
      </c>
      <c r="B921" s="14" t="s">
        <v>333</v>
      </c>
      <c r="C921" s="15" t="s">
        <v>2088</v>
      </c>
      <c r="D921" s="14" t="s">
        <v>1749</v>
      </c>
      <c r="E921" s="14" t="s">
        <v>1746</v>
      </c>
      <c r="F921" s="14">
        <v>54906</v>
      </c>
      <c r="G921" s="14">
        <v>41179.5</v>
      </c>
      <c r="H921" s="37">
        <f>'Calculation Sheet'!N921</f>
        <v>41179.5</v>
      </c>
    </row>
    <row r="922" spans="1:8" x14ac:dyDescent="0.25">
      <c r="A922" s="14" t="s">
        <v>2055</v>
      </c>
      <c r="B922" s="14">
        <v>16</v>
      </c>
      <c r="C922" s="15" t="s">
        <v>2065</v>
      </c>
      <c r="D922" s="14" t="s">
        <v>1752</v>
      </c>
      <c r="E922" s="14" t="s">
        <v>1746</v>
      </c>
      <c r="F922" s="14">
        <v>786240</v>
      </c>
      <c r="G922" s="14">
        <v>707616</v>
      </c>
      <c r="H922" s="37">
        <f>'Calculation Sheet'!N922</f>
        <v>707616</v>
      </c>
    </row>
    <row r="923" spans="1:8" x14ac:dyDescent="0.25">
      <c r="A923" s="14" t="s">
        <v>2055</v>
      </c>
      <c r="B923" s="14" t="s">
        <v>108</v>
      </c>
      <c r="C923" s="15" t="s">
        <v>2087</v>
      </c>
      <c r="D923" s="14" t="s">
        <v>1752</v>
      </c>
      <c r="E923" s="14" t="s">
        <v>1747</v>
      </c>
      <c r="F923" s="14">
        <v>3294540</v>
      </c>
      <c r="G923" s="14">
        <v>2470905</v>
      </c>
      <c r="H923" s="37">
        <f>'Calculation Sheet'!N923</f>
        <v>2470905</v>
      </c>
    </row>
    <row r="924" spans="1:8" x14ac:dyDescent="0.25">
      <c r="A924" s="14" t="s">
        <v>2055</v>
      </c>
      <c r="B924" s="14">
        <v>17</v>
      </c>
      <c r="C924" s="15" t="s">
        <v>2059</v>
      </c>
      <c r="D924" s="14" t="s">
        <v>1745</v>
      </c>
      <c r="E924" s="14" t="s">
        <v>1746</v>
      </c>
      <c r="F924" s="14">
        <v>576513</v>
      </c>
      <c r="G924" s="14">
        <v>432384.7</v>
      </c>
      <c r="H924" s="37">
        <f>'Calculation Sheet'!N924</f>
        <v>432384.7</v>
      </c>
    </row>
    <row r="925" spans="1:8" x14ac:dyDescent="0.25">
      <c r="A925" s="14" t="s">
        <v>2055</v>
      </c>
      <c r="B925" s="14">
        <v>19</v>
      </c>
      <c r="C925" s="15" t="s">
        <v>2069</v>
      </c>
      <c r="D925" s="14" t="s">
        <v>1745</v>
      </c>
      <c r="E925" s="14" t="s">
        <v>1747</v>
      </c>
      <c r="F925" s="14">
        <v>124800</v>
      </c>
      <c r="G925" s="14">
        <v>112320</v>
      </c>
      <c r="H925" s="37">
        <f>'Calculation Sheet'!N925</f>
        <v>112320</v>
      </c>
    </row>
    <row r="926" spans="1:8" x14ac:dyDescent="0.25">
      <c r="A926" s="14" t="s">
        <v>2055</v>
      </c>
      <c r="B926" s="14" t="s">
        <v>297</v>
      </c>
      <c r="C926" s="15" t="s">
        <v>2083</v>
      </c>
      <c r="D926" s="14" t="s">
        <v>1752</v>
      </c>
      <c r="E926" s="14" t="s">
        <v>1753</v>
      </c>
      <c r="F926" s="14">
        <v>2395980</v>
      </c>
      <c r="G926" s="14">
        <v>1796985</v>
      </c>
      <c r="H926" s="37">
        <f>'Calculation Sheet'!N926</f>
        <v>1796985</v>
      </c>
    </row>
    <row r="927" spans="1:8" x14ac:dyDescent="0.25">
      <c r="A927" s="14" t="s">
        <v>2055</v>
      </c>
      <c r="B927" s="14" t="s">
        <v>325</v>
      </c>
      <c r="C927" s="15" t="s">
        <v>2070</v>
      </c>
      <c r="D927" s="14" t="s">
        <v>1752</v>
      </c>
      <c r="E927" s="14" t="s">
        <v>1747</v>
      </c>
      <c r="F927" s="14">
        <v>1198080</v>
      </c>
      <c r="G927" s="14">
        <v>898560</v>
      </c>
      <c r="H927" s="37">
        <f>'Calculation Sheet'!N927</f>
        <v>898560</v>
      </c>
    </row>
    <row r="928" spans="1:8" ht="30" x14ac:dyDescent="0.25">
      <c r="A928" s="14" t="s">
        <v>2055</v>
      </c>
      <c r="B928" s="14" t="s">
        <v>118</v>
      </c>
      <c r="C928" s="15" t="s">
        <v>2060</v>
      </c>
      <c r="D928" s="14" t="s">
        <v>1745</v>
      </c>
      <c r="E928" s="14" t="s">
        <v>1747</v>
      </c>
      <c r="F928" s="14">
        <v>137280</v>
      </c>
      <c r="G928" s="14">
        <v>102960</v>
      </c>
      <c r="H928" s="37">
        <f>'Calculation Sheet'!N928</f>
        <v>102960</v>
      </c>
    </row>
    <row r="929" spans="1:8" x14ac:dyDescent="0.25">
      <c r="A929" s="14" t="s">
        <v>2055</v>
      </c>
      <c r="B929" s="14">
        <v>12</v>
      </c>
      <c r="C929" s="15" t="s">
        <v>2084</v>
      </c>
      <c r="D929" s="14" t="s">
        <v>1752</v>
      </c>
      <c r="E929" s="14" t="s">
        <v>1753</v>
      </c>
      <c r="F929" s="14">
        <v>1796940</v>
      </c>
      <c r="G929" s="14">
        <v>1347705</v>
      </c>
      <c r="H929" s="37">
        <f>'Calculation Sheet'!N929</f>
        <v>1347705</v>
      </c>
    </row>
    <row r="930" spans="1:8" x14ac:dyDescent="0.25">
      <c r="A930" s="14" t="s">
        <v>2055</v>
      </c>
      <c r="B930" s="14">
        <v>14</v>
      </c>
      <c r="C930" s="15" t="s">
        <v>2074</v>
      </c>
      <c r="D930" s="14" t="s">
        <v>1745</v>
      </c>
      <c r="E930" s="14" t="s">
        <v>1747</v>
      </c>
      <c r="F930" s="14">
        <v>374400</v>
      </c>
      <c r="G930" s="14">
        <v>336960</v>
      </c>
      <c r="H930" s="37">
        <f>'Calculation Sheet'!N930</f>
        <v>336960</v>
      </c>
    </row>
    <row r="931" spans="1:8" x14ac:dyDescent="0.25">
      <c r="A931" s="14" t="s">
        <v>2055</v>
      </c>
      <c r="B931" s="14" t="s">
        <v>297</v>
      </c>
      <c r="C931" s="15" t="s">
        <v>2083</v>
      </c>
      <c r="D931" s="14" t="s">
        <v>1752</v>
      </c>
      <c r="E931" s="14" t="s">
        <v>1747</v>
      </c>
      <c r="F931" s="14">
        <v>2395980</v>
      </c>
      <c r="G931" s="14">
        <v>1796985</v>
      </c>
      <c r="H931" s="37">
        <f>'Calculation Sheet'!N931</f>
        <v>1796985</v>
      </c>
    </row>
    <row r="932" spans="1:8" x14ac:dyDescent="0.25">
      <c r="A932" s="14" t="s">
        <v>2055</v>
      </c>
      <c r="B932" s="14" t="s">
        <v>108</v>
      </c>
      <c r="C932" s="15" t="s">
        <v>2087</v>
      </c>
      <c r="D932" s="14" t="s">
        <v>1752</v>
      </c>
      <c r="E932" s="14" t="s">
        <v>1753</v>
      </c>
      <c r="F932" s="14">
        <v>3294540</v>
      </c>
      <c r="G932" s="14">
        <v>2470905</v>
      </c>
      <c r="H932" s="37">
        <f>'Calculation Sheet'!N932</f>
        <v>2470905</v>
      </c>
    </row>
    <row r="933" spans="1:8" x14ac:dyDescent="0.25">
      <c r="A933" s="14" t="s">
        <v>2055</v>
      </c>
      <c r="B933" s="14">
        <v>15</v>
      </c>
      <c r="C933" s="15" t="s">
        <v>2072</v>
      </c>
      <c r="D933" s="14" t="s">
        <v>1745</v>
      </c>
      <c r="E933" s="14" t="s">
        <v>1747</v>
      </c>
      <c r="F933" s="14">
        <v>399360</v>
      </c>
      <c r="G933" s="14">
        <v>299520</v>
      </c>
      <c r="H933" s="37">
        <f>'Calculation Sheet'!N933</f>
        <v>299520</v>
      </c>
    </row>
    <row r="934" spans="1:8" x14ac:dyDescent="0.25">
      <c r="A934" s="14" t="s">
        <v>2055</v>
      </c>
      <c r="B934" s="14" t="s">
        <v>608</v>
      </c>
      <c r="C934" s="15" t="s">
        <v>2063</v>
      </c>
      <c r="D934" s="14" t="s">
        <v>1752</v>
      </c>
      <c r="E934" s="14" t="s">
        <v>1753</v>
      </c>
      <c r="F934" s="14">
        <v>0</v>
      </c>
      <c r="G934" s="14">
        <v>0</v>
      </c>
      <c r="H934" s="37">
        <f>'Calculation Sheet'!N934</f>
        <v>0</v>
      </c>
    </row>
    <row r="935" spans="1:8" ht="30" x14ac:dyDescent="0.25">
      <c r="A935" s="14" t="s">
        <v>2055</v>
      </c>
      <c r="B935" s="14" t="s">
        <v>470</v>
      </c>
      <c r="C935" s="15" t="s">
        <v>2064</v>
      </c>
      <c r="D935" s="14" t="s">
        <v>1752</v>
      </c>
      <c r="E935" s="14" t="s">
        <v>1747</v>
      </c>
      <c r="F935" s="14">
        <v>823680</v>
      </c>
      <c r="G935" s="14">
        <v>617760</v>
      </c>
      <c r="H935" s="37">
        <f>'Calculation Sheet'!N935</f>
        <v>617760</v>
      </c>
    </row>
    <row r="936" spans="1:8" x14ac:dyDescent="0.25">
      <c r="A936" s="14" t="s">
        <v>2055</v>
      </c>
      <c r="B936" s="14" t="s">
        <v>297</v>
      </c>
      <c r="C936" s="15" t="s">
        <v>2083</v>
      </c>
      <c r="D936" s="14" t="s">
        <v>1745</v>
      </c>
      <c r="E936" s="14" t="s">
        <v>1747</v>
      </c>
      <c r="F936" s="14">
        <v>798660</v>
      </c>
      <c r="G936" s="14">
        <v>598995</v>
      </c>
      <c r="H936" s="37">
        <f>'Calculation Sheet'!N936</f>
        <v>598995</v>
      </c>
    </row>
    <row r="937" spans="1:8" x14ac:dyDescent="0.25">
      <c r="A937" s="14" t="s">
        <v>2055</v>
      </c>
      <c r="B937" s="14" t="s">
        <v>89</v>
      </c>
      <c r="C937" s="15" t="s">
        <v>2085</v>
      </c>
      <c r="D937" s="14" t="s">
        <v>1745</v>
      </c>
      <c r="E937" s="14" t="s">
        <v>1746</v>
      </c>
      <c r="F937" s="14">
        <v>1048257</v>
      </c>
      <c r="G937" s="14">
        <v>786192.7</v>
      </c>
      <c r="H937" s="37">
        <f>'Calculation Sheet'!N937</f>
        <v>786192.7</v>
      </c>
    </row>
    <row r="938" spans="1:8" x14ac:dyDescent="0.25">
      <c r="A938" s="14" t="s">
        <v>2055</v>
      </c>
      <c r="B938" s="14" t="s">
        <v>97</v>
      </c>
      <c r="C938" s="15" t="s">
        <v>2073</v>
      </c>
      <c r="D938" s="14" t="s">
        <v>1752</v>
      </c>
      <c r="E938" s="14" t="s">
        <v>1747</v>
      </c>
      <c r="F938" s="14">
        <v>1497420</v>
      </c>
      <c r="G938" s="14">
        <v>1347678</v>
      </c>
      <c r="H938" s="37">
        <f>'Calculation Sheet'!N938</f>
        <v>1347678</v>
      </c>
    </row>
    <row r="939" spans="1:8" x14ac:dyDescent="0.25">
      <c r="A939" s="14" t="s">
        <v>2055</v>
      </c>
      <c r="B939" s="14">
        <v>12</v>
      </c>
      <c r="C939" s="15" t="s">
        <v>2084</v>
      </c>
      <c r="D939" s="14" t="s">
        <v>1752</v>
      </c>
      <c r="E939" s="14" t="s">
        <v>1746</v>
      </c>
      <c r="F939" s="14">
        <v>1886787</v>
      </c>
      <c r="G939" s="14">
        <v>1415090</v>
      </c>
      <c r="H939" s="37">
        <f>'Calculation Sheet'!N939</f>
        <v>1415090</v>
      </c>
    </row>
    <row r="940" spans="1:8" x14ac:dyDescent="0.25">
      <c r="A940" s="14" t="s">
        <v>2055</v>
      </c>
      <c r="B940" s="14" t="s">
        <v>73</v>
      </c>
      <c r="C940" s="15" t="s">
        <v>2058</v>
      </c>
      <c r="D940" s="14" t="s">
        <v>1749</v>
      </c>
      <c r="E940" s="14" t="s">
        <v>1746</v>
      </c>
      <c r="F940" s="14">
        <v>99834</v>
      </c>
      <c r="G940" s="14">
        <v>74875.5</v>
      </c>
      <c r="H940" s="37">
        <f>'Calculation Sheet'!N940</f>
        <v>74875.5</v>
      </c>
    </row>
    <row r="941" spans="1:8" x14ac:dyDescent="0.25">
      <c r="A941" s="14" t="s">
        <v>2055</v>
      </c>
      <c r="B941" s="14" t="s">
        <v>46</v>
      </c>
      <c r="C941" s="15" t="s">
        <v>2081</v>
      </c>
      <c r="D941" s="14" t="s">
        <v>1752</v>
      </c>
      <c r="E941" s="14" t="s">
        <v>1747</v>
      </c>
      <c r="F941" s="14">
        <v>2036520</v>
      </c>
      <c r="G941" s="14">
        <v>1527390</v>
      </c>
      <c r="H941" s="37">
        <f>'Calculation Sheet'!N941</f>
        <v>1527390</v>
      </c>
    </row>
    <row r="942" spans="1:8" x14ac:dyDescent="0.25">
      <c r="A942" s="14" t="s">
        <v>2055</v>
      </c>
      <c r="B942" s="14">
        <v>9</v>
      </c>
      <c r="C942" s="15" t="s">
        <v>2090</v>
      </c>
      <c r="D942" s="14" t="s">
        <v>1749</v>
      </c>
      <c r="E942" s="14" t="s">
        <v>1746</v>
      </c>
      <c r="F942" s="14">
        <v>199668</v>
      </c>
      <c r="G942" s="14">
        <v>149751</v>
      </c>
      <c r="H942" s="37">
        <f>'Calculation Sheet'!N942</f>
        <v>149751</v>
      </c>
    </row>
    <row r="943" spans="1:8" x14ac:dyDescent="0.25">
      <c r="A943" s="14" t="s">
        <v>2055</v>
      </c>
      <c r="B943" s="14">
        <v>13</v>
      </c>
      <c r="C943" s="15" t="s">
        <v>2076</v>
      </c>
      <c r="D943" s="14" t="s">
        <v>1745</v>
      </c>
      <c r="E943" s="14" t="s">
        <v>1747</v>
      </c>
      <c r="F943" s="14">
        <v>823620</v>
      </c>
      <c r="G943" s="14">
        <v>617715</v>
      </c>
      <c r="H943" s="37">
        <f>'Calculation Sheet'!N943</f>
        <v>617715</v>
      </c>
    </row>
    <row r="944" spans="1:8" ht="30" x14ac:dyDescent="0.25">
      <c r="A944" s="14" t="s">
        <v>2055</v>
      </c>
      <c r="B944" s="14" t="s">
        <v>28</v>
      </c>
      <c r="C944" s="15" t="s">
        <v>2062</v>
      </c>
      <c r="D944" s="14" t="s">
        <v>1745</v>
      </c>
      <c r="E944" s="14" t="s">
        <v>1747</v>
      </c>
      <c r="F944" s="14">
        <v>99840</v>
      </c>
      <c r="G944" s="14">
        <v>74880</v>
      </c>
      <c r="H944" s="37">
        <f>'Calculation Sheet'!N944</f>
        <v>74880</v>
      </c>
    </row>
    <row r="945" spans="1:8" x14ac:dyDescent="0.25">
      <c r="A945" s="14" t="s">
        <v>2055</v>
      </c>
      <c r="B945" s="14">
        <v>19</v>
      </c>
      <c r="C945" s="15" t="s">
        <v>2069</v>
      </c>
      <c r="D945" s="14" t="s">
        <v>1752</v>
      </c>
      <c r="E945" s="14" t="s">
        <v>1747</v>
      </c>
      <c r="F945" s="14">
        <v>374400</v>
      </c>
      <c r="G945" s="14">
        <v>336960</v>
      </c>
      <c r="H945" s="37">
        <f>'Calculation Sheet'!N945</f>
        <v>336960</v>
      </c>
    </row>
    <row r="946" spans="1:8" x14ac:dyDescent="0.25">
      <c r="A946" s="14" t="s">
        <v>2055</v>
      </c>
      <c r="B946" s="14" t="s">
        <v>325</v>
      </c>
      <c r="C946" s="15" t="s">
        <v>2070</v>
      </c>
      <c r="D946" s="14" t="s">
        <v>1752</v>
      </c>
      <c r="E946" s="14" t="s">
        <v>1753</v>
      </c>
      <c r="F946" s="14">
        <v>1198080</v>
      </c>
      <c r="G946" s="14">
        <v>898560</v>
      </c>
      <c r="H946" s="37">
        <f>'Calculation Sheet'!N946</f>
        <v>898560</v>
      </c>
    </row>
    <row r="947" spans="1:8" x14ac:dyDescent="0.25">
      <c r="A947" s="14" t="s">
        <v>2055</v>
      </c>
      <c r="B947" s="14" t="s">
        <v>333</v>
      </c>
      <c r="C947" s="15" t="s">
        <v>2088</v>
      </c>
      <c r="D947" s="14" t="s">
        <v>1752</v>
      </c>
      <c r="E947" s="14" t="s">
        <v>1746</v>
      </c>
      <c r="F947" s="14">
        <v>1729539</v>
      </c>
      <c r="G947" s="14">
        <v>1297154</v>
      </c>
      <c r="H947" s="37">
        <f>'Calculation Sheet'!N947</f>
        <v>1297154</v>
      </c>
    </row>
    <row r="948" spans="1:8" x14ac:dyDescent="0.25">
      <c r="A948" s="14" t="s">
        <v>2055</v>
      </c>
      <c r="B948" s="14" t="s">
        <v>243</v>
      </c>
      <c r="C948" s="15" t="s">
        <v>2080</v>
      </c>
      <c r="D948" s="14" t="s">
        <v>1752</v>
      </c>
      <c r="E948" s="14" t="s">
        <v>1747</v>
      </c>
      <c r="F948" s="14">
        <v>187200</v>
      </c>
      <c r="G948" s="14">
        <v>168480</v>
      </c>
      <c r="H948" s="37">
        <f>'Calculation Sheet'!N948</f>
        <v>168480</v>
      </c>
    </row>
    <row r="949" spans="1:8" x14ac:dyDescent="0.25">
      <c r="A949" s="14" t="s">
        <v>2055</v>
      </c>
      <c r="B949" s="14">
        <v>9</v>
      </c>
      <c r="C949" s="15" t="s">
        <v>2090</v>
      </c>
      <c r="D949" s="14" t="s">
        <v>1752</v>
      </c>
      <c r="E949" s="14" t="s">
        <v>1753</v>
      </c>
      <c r="F949" s="14">
        <v>5990040</v>
      </c>
      <c r="G949" s="14">
        <v>4492530</v>
      </c>
      <c r="H949" s="37">
        <f>'Calculation Sheet'!N949</f>
        <v>4492530</v>
      </c>
    </row>
    <row r="950" spans="1:8" x14ac:dyDescent="0.25">
      <c r="A950" s="14" t="s">
        <v>2055</v>
      </c>
      <c r="B950" s="14" t="s">
        <v>29</v>
      </c>
      <c r="C950" s="15" t="s">
        <v>2077</v>
      </c>
      <c r="D950" s="14" t="s">
        <v>1752</v>
      </c>
      <c r="E950" s="14" t="s">
        <v>1747</v>
      </c>
      <c r="F950" s="14">
        <v>2800260</v>
      </c>
      <c r="G950" s="14">
        <v>2100195</v>
      </c>
      <c r="H950" s="37">
        <f>'Calculation Sheet'!N950</f>
        <v>2100195</v>
      </c>
    </row>
    <row r="951" spans="1:8" x14ac:dyDescent="0.25">
      <c r="A951" s="14" t="s">
        <v>2055</v>
      </c>
      <c r="B951" s="14" t="s">
        <v>333</v>
      </c>
      <c r="C951" s="15" t="s">
        <v>2088</v>
      </c>
      <c r="D951" s="14" t="s">
        <v>1745</v>
      </c>
      <c r="E951" s="14" t="s">
        <v>1746</v>
      </c>
      <c r="F951" s="14">
        <v>576513</v>
      </c>
      <c r="G951" s="14">
        <v>432384.7</v>
      </c>
      <c r="H951" s="37">
        <f>'Calculation Sheet'!N951</f>
        <v>432384.7</v>
      </c>
    </row>
    <row r="952" spans="1:8" ht="30" x14ac:dyDescent="0.25">
      <c r="A952" s="14" t="s">
        <v>2055</v>
      </c>
      <c r="B952" s="14">
        <v>18</v>
      </c>
      <c r="C952" s="15" t="s">
        <v>2061</v>
      </c>
      <c r="D952" s="14" t="s">
        <v>1752</v>
      </c>
      <c r="E952" s="14" t="s">
        <v>1746</v>
      </c>
      <c r="F952" s="14">
        <v>628992</v>
      </c>
      <c r="G952" s="14">
        <v>471744</v>
      </c>
      <c r="H952" s="37">
        <f>'Calculation Sheet'!N952</f>
        <v>471744</v>
      </c>
    </row>
    <row r="953" spans="1:8" x14ac:dyDescent="0.25">
      <c r="A953" s="14" t="s">
        <v>2055</v>
      </c>
      <c r="B953" s="14">
        <v>17</v>
      </c>
      <c r="C953" s="15" t="s">
        <v>2059</v>
      </c>
      <c r="D953" s="14" t="s">
        <v>1752</v>
      </c>
      <c r="E953" s="14" t="s">
        <v>1747</v>
      </c>
      <c r="F953" s="14">
        <v>1647180</v>
      </c>
      <c r="G953" s="14">
        <v>1235385</v>
      </c>
      <c r="H953" s="37">
        <f>'Calculation Sheet'!N953</f>
        <v>1235385</v>
      </c>
    </row>
    <row r="954" spans="1:8" x14ac:dyDescent="0.25">
      <c r="A954" s="14" t="s">
        <v>2055</v>
      </c>
      <c r="B954" s="14" t="s">
        <v>297</v>
      </c>
      <c r="C954" s="15" t="s">
        <v>2083</v>
      </c>
      <c r="D954" s="14" t="s">
        <v>1752</v>
      </c>
      <c r="E954" s="14" t="s">
        <v>1746</v>
      </c>
      <c r="F954" s="14">
        <v>2515779</v>
      </c>
      <c r="G954" s="14">
        <v>1886834</v>
      </c>
      <c r="H954" s="37">
        <f>'Calculation Sheet'!N954</f>
        <v>1886834</v>
      </c>
    </row>
    <row r="955" spans="1:8" x14ac:dyDescent="0.25">
      <c r="A955" s="14" t="s">
        <v>2055</v>
      </c>
      <c r="B955" s="14">
        <v>7</v>
      </c>
      <c r="C955" s="15" t="s">
        <v>2068</v>
      </c>
      <c r="D955" s="14" t="s">
        <v>1752</v>
      </c>
      <c r="E955" s="14" t="s">
        <v>1747</v>
      </c>
      <c r="F955" s="14">
        <v>5091480</v>
      </c>
      <c r="G955" s="14">
        <v>3818610</v>
      </c>
      <c r="H955" s="37">
        <f>'Calculation Sheet'!N955</f>
        <v>3818610</v>
      </c>
    </row>
    <row r="956" spans="1:8" x14ac:dyDescent="0.25">
      <c r="A956" s="14" t="s">
        <v>2055</v>
      </c>
      <c r="B956" s="14" t="s">
        <v>46</v>
      </c>
      <c r="C956" s="15" t="s">
        <v>2081</v>
      </c>
      <c r="D956" s="14" t="s">
        <v>1745</v>
      </c>
      <c r="E956" s="14" t="s">
        <v>1746</v>
      </c>
      <c r="F956" s="14">
        <v>712782</v>
      </c>
      <c r="G956" s="14">
        <v>534586.6</v>
      </c>
      <c r="H956" s="37">
        <f>'Calculation Sheet'!N956</f>
        <v>534586.6</v>
      </c>
    </row>
    <row r="957" spans="1:8" x14ac:dyDescent="0.25">
      <c r="A957" s="14" t="s">
        <v>2055</v>
      </c>
      <c r="B957" s="14">
        <v>6</v>
      </c>
      <c r="C957" s="15" t="s">
        <v>2089</v>
      </c>
      <c r="D957" s="14" t="s">
        <v>1752</v>
      </c>
      <c r="E957" s="14" t="s">
        <v>1747</v>
      </c>
      <c r="F957" s="14">
        <v>1497420</v>
      </c>
      <c r="G957" s="14">
        <v>1123065</v>
      </c>
      <c r="H957" s="37">
        <f>'Calculation Sheet'!N957</f>
        <v>1123065</v>
      </c>
    </row>
    <row r="958" spans="1:8" x14ac:dyDescent="0.25">
      <c r="A958" s="14" t="s">
        <v>2055</v>
      </c>
      <c r="B958" s="14">
        <v>9</v>
      </c>
      <c r="C958" s="15" t="s">
        <v>2090</v>
      </c>
      <c r="D958" s="14" t="s">
        <v>1745</v>
      </c>
      <c r="E958" s="14" t="s">
        <v>1747</v>
      </c>
      <c r="F958" s="14">
        <v>1996680</v>
      </c>
      <c r="G958" s="14">
        <v>1497510</v>
      </c>
      <c r="H958" s="37">
        <f>'Calculation Sheet'!N958</f>
        <v>1497510</v>
      </c>
    </row>
    <row r="959" spans="1:8" x14ac:dyDescent="0.25">
      <c r="A959" s="14" t="s">
        <v>2055</v>
      </c>
      <c r="B959" s="14" t="s">
        <v>46</v>
      </c>
      <c r="C959" s="15" t="s">
        <v>2081</v>
      </c>
      <c r="D959" s="14" t="s">
        <v>1749</v>
      </c>
      <c r="E959" s="14" t="s">
        <v>1746</v>
      </c>
      <c r="F959" s="14">
        <v>67884</v>
      </c>
      <c r="G959" s="14">
        <v>50913</v>
      </c>
      <c r="H959" s="37">
        <f>'Calculation Sheet'!N959</f>
        <v>50913</v>
      </c>
    </row>
    <row r="960" spans="1:8" x14ac:dyDescent="0.25">
      <c r="A960" s="14" t="s">
        <v>2055</v>
      </c>
      <c r="B960" s="14" t="s">
        <v>263</v>
      </c>
      <c r="C960" s="15" t="s">
        <v>2082</v>
      </c>
      <c r="D960" s="14" t="s">
        <v>1749</v>
      </c>
      <c r="E960" s="14" t="s">
        <v>1746</v>
      </c>
      <c r="F960" s="14">
        <v>0</v>
      </c>
      <c r="G960" s="14">
        <v>0</v>
      </c>
      <c r="H960" s="37">
        <f>'Calculation Sheet'!N960</f>
        <v>0</v>
      </c>
    </row>
    <row r="961" spans="1:8" ht="30" x14ac:dyDescent="0.25">
      <c r="A961" s="14" t="s">
        <v>2055</v>
      </c>
      <c r="B961" s="14" t="s">
        <v>470</v>
      </c>
      <c r="C961" s="15" t="s">
        <v>2064</v>
      </c>
      <c r="D961" s="14" t="s">
        <v>1745</v>
      </c>
      <c r="E961" s="14" t="s">
        <v>1746</v>
      </c>
      <c r="F961" s="14">
        <v>288288</v>
      </c>
      <c r="G961" s="14">
        <v>216216</v>
      </c>
      <c r="H961" s="37">
        <f>'Calculation Sheet'!N961</f>
        <v>216216</v>
      </c>
    </row>
    <row r="962" spans="1:8" x14ac:dyDescent="0.25">
      <c r="A962" s="14" t="s">
        <v>2055</v>
      </c>
      <c r="B962" s="14" t="s">
        <v>108</v>
      </c>
      <c r="C962" s="15" t="s">
        <v>2087</v>
      </c>
      <c r="D962" s="14" t="s">
        <v>1745</v>
      </c>
      <c r="E962" s="14" t="s">
        <v>1746</v>
      </c>
      <c r="F962" s="14">
        <v>1153089</v>
      </c>
      <c r="G962" s="14">
        <v>864816.7</v>
      </c>
      <c r="H962" s="37">
        <f>'Calculation Sheet'!N962</f>
        <v>864816.7</v>
      </c>
    </row>
    <row r="963" spans="1:8" x14ac:dyDescent="0.25">
      <c r="A963" s="14" t="s">
        <v>2055</v>
      </c>
      <c r="B963" s="14" t="s">
        <v>36</v>
      </c>
      <c r="C963" s="15" t="s">
        <v>2079</v>
      </c>
      <c r="D963" s="14" t="s">
        <v>1745</v>
      </c>
      <c r="E963" s="14" t="s">
        <v>1747</v>
      </c>
      <c r="F963" s="14">
        <v>424320</v>
      </c>
      <c r="G963" s="14">
        <v>381888</v>
      </c>
      <c r="H963" s="37">
        <f>'Calculation Sheet'!N963</f>
        <v>381888</v>
      </c>
    </row>
    <row r="964" spans="1:8" x14ac:dyDescent="0.25">
      <c r="A964" s="14" t="s">
        <v>2055</v>
      </c>
      <c r="B964" s="14" t="s">
        <v>307</v>
      </c>
      <c r="C964" s="15" t="s">
        <v>2091</v>
      </c>
      <c r="D964" s="14" t="s">
        <v>1745</v>
      </c>
      <c r="E964" s="14" t="s">
        <v>1747</v>
      </c>
      <c r="F964" s="14">
        <v>74880</v>
      </c>
      <c r="G964" s="14">
        <v>67392</v>
      </c>
      <c r="H964" s="37">
        <f>'Calculation Sheet'!N964</f>
        <v>67392</v>
      </c>
    </row>
    <row r="965" spans="1:8" ht="30" x14ac:dyDescent="0.25">
      <c r="A965" s="14" t="s">
        <v>2055</v>
      </c>
      <c r="B965" s="14">
        <v>18</v>
      </c>
      <c r="C965" s="15" t="s">
        <v>2061</v>
      </c>
      <c r="D965" s="14" t="s">
        <v>1749</v>
      </c>
      <c r="E965" s="14" t="s">
        <v>1746</v>
      </c>
      <c r="F965" s="14">
        <v>19968</v>
      </c>
      <c r="G965" s="14">
        <v>14976</v>
      </c>
      <c r="H965" s="37">
        <f>'Calculation Sheet'!N965</f>
        <v>14976</v>
      </c>
    </row>
    <row r="966" spans="1:8" x14ac:dyDescent="0.25">
      <c r="A966" s="14" t="s">
        <v>2055</v>
      </c>
      <c r="B966" s="14" t="s">
        <v>333</v>
      </c>
      <c r="C966" s="15" t="s">
        <v>2088</v>
      </c>
      <c r="D966" s="14" t="s">
        <v>1752</v>
      </c>
      <c r="E966" s="14" t="s">
        <v>1753</v>
      </c>
      <c r="F966" s="14">
        <v>1647180</v>
      </c>
      <c r="G966" s="14">
        <v>1235385</v>
      </c>
      <c r="H966" s="37">
        <f>'Calculation Sheet'!N966</f>
        <v>1235385</v>
      </c>
    </row>
    <row r="967" spans="1:8" x14ac:dyDescent="0.25">
      <c r="A967" s="14" t="s">
        <v>2055</v>
      </c>
      <c r="B967" s="14" t="s">
        <v>608</v>
      </c>
      <c r="C967" s="15" t="s">
        <v>2063</v>
      </c>
      <c r="D967" s="14" t="s">
        <v>1745</v>
      </c>
      <c r="E967" s="14" t="s">
        <v>1746</v>
      </c>
      <c r="F967" s="14">
        <v>0</v>
      </c>
      <c r="G967" s="14">
        <v>0</v>
      </c>
      <c r="H967" s="37">
        <f>'Calculation Sheet'!N967</f>
        <v>0</v>
      </c>
    </row>
    <row r="968" spans="1:8" x14ac:dyDescent="0.25">
      <c r="A968" s="14" t="s">
        <v>2055</v>
      </c>
      <c r="B968" s="14">
        <v>19</v>
      </c>
      <c r="C968" s="15" t="s">
        <v>2069</v>
      </c>
      <c r="D968" s="14" t="s">
        <v>1752</v>
      </c>
      <c r="E968" s="14" t="s">
        <v>1746</v>
      </c>
      <c r="F968" s="14">
        <v>393120</v>
      </c>
      <c r="G968" s="14">
        <v>353808</v>
      </c>
      <c r="H968" s="37">
        <f>'Calculation Sheet'!N968</f>
        <v>353808</v>
      </c>
    </row>
    <row r="969" spans="1:8" ht="30" x14ac:dyDescent="0.25">
      <c r="A969" s="14" t="s">
        <v>2055</v>
      </c>
      <c r="B969" s="14">
        <v>18</v>
      </c>
      <c r="C969" s="15" t="s">
        <v>2061</v>
      </c>
      <c r="D969" s="14" t="s">
        <v>1752</v>
      </c>
      <c r="E969" s="14" t="s">
        <v>1747</v>
      </c>
      <c r="F969" s="14">
        <v>599040</v>
      </c>
      <c r="G969" s="14">
        <v>449280</v>
      </c>
      <c r="H969" s="37">
        <f>'Calculation Sheet'!N969</f>
        <v>449280</v>
      </c>
    </row>
    <row r="970" spans="1:8" x14ac:dyDescent="0.25">
      <c r="A970" s="14" t="s">
        <v>2055</v>
      </c>
      <c r="B970" s="14" t="s">
        <v>307</v>
      </c>
      <c r="C970" s="15" t="s">
        <v>2091</v>
      </c>
      <c r="D970" s="14" t="s">
        <v>1749</v>
      </c>
      <c r="E970" s="14" t="s">
        <v>1746</v>
      </c>
      <c r="F970" s="14">
        <v>7488</v>
      </c>
      <c r="G970" s="14">
        <v>6739.2</v>
      </c>
      <c r="H970" s="37">
        <f>'Calculation Sheet'!N970</f>
        <v>6739.2</v>
      </c>
    </row>
    <row r="971" spans="1:8" x14ac:dyDescent="0.25">
      <c r="A971" s="14" t="s">
        <v>2055</v>
      </c>
      <c r="B971" s="14">
        <v>6</v>
      </c>
      <c r="C971" s="15" t="s">
        <v>2089</v>
      </c>
      <c r="D971" s="14" t="s">
        <v>1745</v>
      </c>
      <c r="E971" s="14" t="s">
        <v>1747</v>
      </c>
      <c r="F971" s="14">
        <v>499140</v>
      </c>
      <c r="G971" s="14">
        <v>374355</v>
      </c>
      <c r="H971" s="37">
        <f>'Calculation Sheet'!N971</f>
        <v>374355</v>
      </c>
    </row>
    <row r="972" spans="1:8" x14ac:dyDescent="0.25">
      <c r="A972" s="14" t="s">
        <v>2055</v>
      </c>
      <c r="B972" s="14">
        <v>17</v>
      </c>
      <c r="C972" s="15" t="s">
        <v>2059</v>
      </c>
      <c r="D972" s="14" t="s">
        <v>1752</v>
      </c>
      <c r="E972" s="14" t="s">
        <v>1753</v>
      </c>
      <c r="F972" s="14">
        <v>1647180</v>
      </c>
      <c r="G972" s="14">
        <v>1235385</v>
      </c>
      <c r="H972" s="37">
        <f>'Calculation Sheet'!N972</f>
        <v>1235385</v>
      </c>
    </row>
    <row r="973" spans="1:8" x14ac:dyDescent="0.25">
      <c r="A973" s="14" t="s">
        <v>2055</v>
      </c>
      <c r="B973" s="14">
        <v>3</v>
      </c>
      <c r="C973" s="15" t="s">
        <v>2075</v>
      </c>
      <c r="D973" s="14" t="s">
        <v>1752</v>
      </c>
      <c r="E973" s="14" t="s">
        <v>1746</v>
      </c>
      <c r="F973" s="14">
        <v>786240</v>
      </c>
      <c r="G973" s="14">
        <v>589680</v>
      </c>
      <c r="H973" s="37">
        <f>'Calculation Sheet'!N973</f>
        <v>589680</v>
      </c>
    </row>
    <row r="974" spans="1:8" x14ac:dyDescent="0.25">
      <c r="A974" s="14" t="s">
        <v>2055</v>
      </c>
      <c r="B974" s="14" t="s">
        <v>325</v>
      </c>
      <c r="C974" s="15" t="s">
        <v>2070</v>
      </c>
      <c r="D974" s="14" t="s">
        <v>1749</v>
      </c>
      <c r="E974" s="14" t="s">
        <v>1746</v>
      </c>
      <c r="F974" s="14">
        <v>39936</v>
      </c>
      <c r="G974" s="14">
        <v>29952</v>
      </c>
      <c r="H974" s="37">
        <f>'Calculation Sheet'!N974</f>
        <v>29952</v>
      </c>
    </row>
    <row r="975" spans="1:8" x14ac:dyDescent="0.25">
      <c r="A975" s="14" t="s">
        <v>2055</v>
      </c>
      <c r="B975" s="14">
        <v>5</v>
      </c>
      <c r="C975" s="15" t="s">
        <v>2086</v>
      </c>
      <c r="D975" s="14" t="s">
        <v>1745</v>
      </c>
      <c r="E975" s="14" t="s">
        <v>1746</v>
      </c>
      <c r="F975" s="14">
        <v>1572354</v>
      </c>
      <c r="G975" s="14">
        <v>1179266</v>
      </c>
      <c r="H975" s="37">
        <f>'Calculation Sheet'!N975</f>
        <v>1179266</v>
      </c>
    </row>
    <row r="976" spans="1:8" x14ac:dyDescent="0.25">
      <c r="A976" s="14" t="s">
        <v>2055</v>
      </c>
      <c r="B976" s="14" t="s">
        <v>583</v>
      </c>
      <c r="C976" s="15" t="s">
        <v>2057</v>
      </c>
      <c r="D976" s="14" t="s">
        <v>1745</v>
      </c>
      <c r="E976" s="14" t="s">
        <v>1746</v>
      </c>
      <c r="F976" s="14">
        <v>0</v>
      </c>
      <c r="G976" s="14">
        <v>0</v>
      </c>
      <c r="H976" s="37">
        <f>'Calculation Sheet'!N976</f>
        <v>0</v>
      </c>
    </row>
    <row r="977" spans="1:8" x14ac:dyDescent="0.25">
      <c r="A977" s="14" t="s">
        <v>2055</v>
      </c>
      <c r="B977" s="14">
        <v>4</v>
      </c>
      <c r="C977" s="15" t="s">
        <v>2056</v>
      </c>
      <c r="D977" s="14" t="s">
        <v>1752</v>
      </c>
      <c r="E977" s="14" t="s">
        <v>1747</v>
      </c>
      <c r="F977" s="14">
        <v>898560</v>
      </c>
      <c r="G977" s="14">
        <v>718848</v>
      </c>
      <c r="H977" s="37">
        <f>'Calculation Sheet'!N977</f>
        <v>718848</v>
      </c>
    </row>
    <row r="978" spans="1:8" x14ac:dyDescent="0.25">
      <c r="A978" s="14" t="s">
        <v>2055</v>
      </c>
      <c r="B978" s="14" t="s">
        <v>263</v>
      </c>
      <c r="C978" s="15" t="s">
        <v>2082</v>
      </c>
      <c r="D978" s="14" t="s">
        <v>1752</v>
      </c>
      <c r="E978" s="14" t="s">
        <v>1747</v>
      </c>
      <c r="F978" s="14">
        <v>0</v>
      </c>
      <c r="G978" s="14">
        <v>0</v>
      </c>
      <c r="H978" s="37">
        <f>'Calculation Sheet'!N978</f>
        <v>0</v>
      </c>
    </row>
    <row r="979" spans="1:8" x14ac:dyDescent="0.25">
      <c r="A979" s="14" t="s">
        <v>2055</v>
      </c>
      <c r="B979" s="14" t="s">
        <v>97</v>
      </c>
      <c r="C979" s="15" t="s">
        <v>2073</v>
      </c>
      <c r="D979" s="14" t="s">
        <v>1745</v>
      </c>
      <c r="E979" s="14" t="s">
        <v>1747</v>
      </c>
      <c r="F979" s="14">
        <v>499140</v>
      </c>
      <c r="G979" s="14">
        <v>449226</v>
      </c>
      <c r="H979" s="37">
        <f>'Calculation Sheet'!N979</f>
        <v>449226</v>
      </c>
    </row>
    <row r="980" spans="1:8" x14ac:dyDescent="0.25">
      <c r="A980" s="14" t="s">
        <v>2055</v>
      </c>
      <c r="B980" s="14">
        <v>3</v>
      </c>
      <c r="C980" s="15" t="s">
        <v>2075</v>
      </c>
      <c r="D980" s="14" t="s">
        <v>1752</v>
      </c>
      <c r="E980" s="14" t="s">
        <v>1753</v>
      </c>
      <c r="F980" s="14">
        <v>748800</v>
      </c>
      <c r="G980" s="14">
        <v>561600</v>
      </c>
      <c r="H980" s="37">
        <f>'Calculation Sheet'!N980</f>
        <v>561600</v>
      </c>
    </row>
    <row r="981" spans="1:8" x14ac:dyDescent="0.25">
      <c r="A981" s="14" t="s">
        <v>2055</v>
      </c>
      <c r="B981" s="14">
        <v>13</v>
      </c>
      <c r="C981" s="15" t="s">
        <v>2076</v>
      </c>
      <c r="D981" s="14" t="s">
        <v>1745</v>
      </c>
      <c r="E981" s="14" t="s">
        <v>1746</v>
      </c>
      <c r="F981" s="14">
        <v>864801</v>
      </c>
      <c r="G981" s="14">
        <v>648600.69999999995</v>
      </c>
      <c r="H981" s="37">
        <f>'Calculation Sheet'!N981</f>
        <v>648600.69999999995</v>
      </c>
    </row>
    <row r="982" spans="1:8" x14ac:dyDescent="0.25">
      <c r="A982" s="14" t="s">
        <v>2055</v>
      </c>
      <c r="B982" s="14">
        <v>13</v>
      </c>
      <c r="C982" s="15" t="s">
        <v>2076</v>
      </c>
      <c r="D982" s="14" t="s">
        <v>1749</v>
      </c>
      <c r="E982" s="14" t="s">
        <v>1746</v>
      </c>
      <c r="F982" s="14">
        <v>82362</v>
      </c>
      <c r="G982" s="14">
        <v>61771.5</v>
      </c>
      <c r="H982" s="37">
        <f>'Calculation Sheet'!N982</f>
        <v>61771.5</v>
      </c>
    </row>
    <row r="983" spans="1:8" x14ac:dyDescent="0.25">
      <c r="A983" s="14" t="s">
        <v>2055</v>
      </c>
      <c r="B983" s="14">
        <v>12</v>
      </c>
      <c r="C983" s="15" t="s">
        <v>2084</v>
      </c>
      <c r="D983" s="14" t="s">
        <v>1749</v>
      </c>
      <c r="E983" s="14" t="s">
        <v>1746</v>
      </c>
      <c r="F983" s="14">
        <v>59898</v>
      </c>
      <c r="G983" s="14">
        <v>44923.5</v>
      </c>
      <c r="H983" s="37">
        <f>'Calculation Sheet'!N983</f>
        <v>44923.5</v>
      </c>
    </row>
    <row r="984" spans="1:8" x14ac:dyDescent="0.25">
      <c r="A984" s="14" t="s">
        <v>2055</v>
      </c>
      <c r="B984" s="14" t="s">
        <v>36</v>
      </c>
      <c r="C984" s="15" t="s">
        <v>2079</v>
      </c>
      <c r="D984" s="14" t="s">
        <v>1752</v>
      </c>
      <c r="E984" s="14" t="s">
        <v>1747</v>
      </c>
      <c r="F984" s="14">
        <v>1272960</v>
      </c>
      <c r="G984" s="14">
        <v>1145664</v>
      </c>
      <c r="H984" s="37">
        <f>'Calculation Sheet'!N984</f>
        <v>1145664</v>
      </c>
    </row>
    <row r="985" spans="1:8" x14ac:dyDescent="0.25">
      <c r="A985" s="14" t="s">
        <v>2055</v>
      </c>
      <c r="B985" s="14">
        <v>15</v>
      </c>
      <c r="C985" s="15" t="s">
        <v>2072</v>
      </c>
      <c r="D985" s="14" t="s">
        <v>1752</v>
      </c>
      <c r="E985" s="14" t="s">
        <v>1746</v>
      </c>
      <c r="F985" s="14">
        <v>1257984</v>
      </c>
      <c r="G985" s="14">
        <v>943488</v>
      </c>
      <c r="H985" s="37">
        <f>'Calculation Sheet'!N985</f>
        <v>943488</v>
      </c>
    </row>
    <row r="986" spans="1:8" x14ac:dyDescent="0.25">
      <c r="A986" s="14" t="s">
        <v>2055</v>
      </c>
      <c r="B986" s="14">
        <v>15</v>
      </c>
      <c r="C986" s="15" t="s">
        <v>2072</v>
      </c>
      <c r="D986" s="14" t="s">
        <v>1745</v>
      </c>
      <c r="E986" s="14" t="s">
        <v>1746</v>
      </c>
      <c r="F986" s="14">
        <v>419328</v>
      </c>
      <c r="G986" s="14">
        <v>314496</v>
      </c>
      <c r="H986" s="37">
        <f>'Calculation Sheet'!N986</f>
        <v>314496</v>
      </c>
    </row>
    <row r="987" spans="1:8" x14ac:dyDescent="0.25">
      <c r="A987" s="14" t="s">
        <v>2055</v>
      </c>
      <c r="B987" s="14">
        <v>19</v>
      </c>
      <c r="C987" s="15" t="s">
        <v>2069</v>
      </c>
      <c r="D987" s="14" t="s">
        <v>1745</v>
      </c>
      <c r="E987" s="14" t="s">
        <v>1746</v>
      </c>
      <c r="F987" s="14">
        <v>131040</v>
      </c>
      <c r="G987" s="14">
        <v>117936</v>
      </c>
      <c r="H987" s="37">
        <f>'Calculation Sheet'!N987</f>
        <v>117936</v>
      </c>
    </row>
    <row r="988" spans="1:8" ht="30" x14ac:dyDescent="0.25">
      <c r="A988" s="14" t="s">
        <v>2055</v>
      </c>
      <c r="B988" s="14" t="s">
        <v>122</v>
      </c>
      <c r="C988" s="15" t="s">
        <v>2078</v>
      </c>
      <c r="D988" s="14" t="s">
        <v>1745</v>
      </c>
      <c r="E988" s="14" t="s">
        <v>1747</v>
      </c>
      <c r="F988" s="14">
        <v>119820</v>
      </c>
      <c r="G988" s="14">
        <v>95856</v>
      </c>
      <c r="H988" s="37">
        <f>'Calculation Sheet'!N988</f>
        <v>95856</v>
      </c>
    </row>
    <row r="989" spans="1:8" ht="30" x14ac:dyDescent="0.25">
      <c r="A989" s="14" t="s">
        <v>2055</v>
      </c>
      <c r="B989" s="14" t="s">
        <v>28</v>
      </c>
      <c r="C989" s="15" t="s">
        <v>2062</v>
      </c>
      <c r="D989" s="14" t="s">
        <v>1752</v>
      </c>
      <c r="E989" s="14" t="s">
        <v>1753</v>
      </c>
      <c r="F989" s="14">
        <v>299520</v>
      </c>
      <c r="G989" s="14">
        <v>224640</v>
      </c>
      <c r="H989" s="37">
        <f>'Calculation Sheet'!N989</f>
        <v>224640</v>
      </c>
    </row>
    <row r="990" spans="1:8" x14ac:dyDescent="0.25">
      <c r="A990" s="14" t="s">
        <v>2055</v>
      </c>
      <c r="B990" s="14" t="s">
        <v>46</v>
      </c>
      <c r="C990" s="15" t="s">
        <v>2081</v>
      </c>
      <c r="D990" s="14" t="s">
        <v>1752</v>
      </c>
      <c r="E990" s="14" t="s">
        <v>1746</v>
      </c>
      <c r="F990" s="14">
        <v>2138346</v>
      </c>
      <c r="G990" s="14">
        <v>1603760</v>
      </c>
      <c r="H990" s="37">
        <f>'Calculation Sheet'!N990</f>
        <v>1603760</v>
      </c>
    </row>
    <row r="991" spans="1:8" x14ac:dyDescent="0.25">
      <c r="A991" s="14" t="s">
        <v>2055</v>
      </c>
      <c r="B991" s="14">
        <v>6</v>
      </c>
      <c r="C991" s="15" t="s">
        <v>2089</v>
      </c>
      <c r="D991" s="14" t="s">
        <v>1749</v>
      </c>
      <c r="E991" s="14" t="s">
        <v>1746</v>
      </c>
      <c r="F991" s="14">
        <v>49914</v>
      </c>
      <c r="G991" s="14">
        <v>37435.5</v>
      </c>
      <c r="H991" s="37">
        <f>'Calculation Sheet'!N991</f>
        <v>37435.5</v>
      </c>
    </row>
    <row r="992" spans="1:8" x14ac:dyDescent="0.25">
      <c r="A992" s="14" t="s">
        <v>2055</v>
      </c>
      <c r="B992" s="14">
        <v>16</v>
      </c>
      <c r="C992" s="15" t="s">
        <v>2065</v>
      </c>
      <c r="D992" s="14" t="s">
        <v>1745</v>
      </c>
      <c r="E992" s="14" t="s">
        <v>1747</v>
      </c>
      <c r="F992" s="14">
        <v>249600</v>
      </c>
      <c r="G992" s="14">
        <v>224640</v>
      </c>
      <c r="H992" s="37">
        <f>'Calculation Sheet'!N992</f>
        <v>224640</v>
      </c>
    </row>
    <row r="993" spans="1:8" x14ac:dyDescent="0.25">
      <c r="A993" s="14" t="s">
        <v>2055</v>
      </c>
      <c r="B993" s="14" t="s">
        <v>263</v>
      </c>
      <c r="C993" s="15" t="s">
        <v>2082</v>
      </c>
      <c r="D993" s="14" t="s">
        <v>1745</v>
      </c>
      <c r="E993" s="14" t="s">
        <v>1747</v>
      </c>
      <c r="F993" s="14">
        <v>0</v>
      </c>
      <c r="G993" s="14">
        <v>0</v>
      </c>
      <c r="H993" s="37">
        <f>'Calculation Sheet'!N993</f>
        <v>0</v>
      </c>
    </row>
    <row r="994" spans="1:8" x14ac:dyDescent="0.25">
      <c r="A994" s="14" t="s">
        <v>2055</v>
      </c>
      <c r="B994" s="14" t="s">
        <v>89</v>
      </c>
      <c r="C994" s="15" t="s">
        <v>2085</v>
      </c>
      <c r="D994" s="14" t="s">
        <v>1745</v>
      </c>
      <c r="E994" s="14" t="s">
        <v>1747</v>
      </c>
      <c r="F994" s="14">
        <v>998340</v>
      </c>
      <c r="G994" s="14">
        <v>748755</v>
      </c>
      <c r="H994" s="37">
        <f>'Calculation Sheet'!N994</f>
        <v>748755</v>
      </c>
    </row>
    <row r="995" spans="1:8" x14ac:dyDescent="0.25">
      <c r="A995" s="14" t="s">
        <v>2055</v>
      </c>
      <c r="B995" s="14">
        <v>6</v>
      </c>
      <c r="C995" s="15" t="s">
        <v>2089</v>
      </c>
      <c r="D995" s="14" t="s">
        <v>1745</v>
      </c>
      <c r="E995" s="14" t="s">
        <v>1746</v>
      </c>
      <c r="F995" s="14">
        <v>524097</v>
      </c>
      <c r="G995" s="14">
        <v>393072.7</v>
      </c>
      <c r="H995" s="37">
        <f>'Calculation Sheet'!N995</f>
        <v>393072.7</v>
      </c>
    </row>
    <row r="996" spans="1:8" x14ac:dyDescent="0.25">
      <c r="A996" s="14" t="s">
        <v>2055</v>
      </c>
      <c r="B996" s="14">
        <v>9</v>
      </c>
      <c r="C996" s="15" t="s">
        <v>2090</v>
      </c>
      <c r="D996" s="14" t="s">
        <v>1745</v>
      </c>
      <c r="E996" s="14" t="s">
        <v>1746</v>
      </c>
      <c r="F996" s="14">
        <v>2096514</v>
      </c>
      <c r="G996" s="14">
        <v>1572386</v>
      </c>
      <c r="H996" s="37">
        <f>'Calculation Sheet'!N996</f>
        <v>1572386</v>
      </c>
    </row>
    <row r="997" spans="1:8" ht="30" x14ac:dyDescent="0.25">
      <c r="A997" s="14" t="s">
        <v>2055</v>
      </c>
      <c r="B997" s="14" t="s">
        <v>122</v>
      </c>
      <c r="C997" s="15" t="s">
        <v>2078</v>
      </c>
      <c r="D997" s="14" t="s">
        <v>1749</v>
      </c>
      <c r="E997" s="14" t="s">
        <v>1746</v>
      </c>
      <c r="F997" s="14">
        <v>11982</v>
      </c>
      <c r="G997" s="14">
        <v>9585.6</v>
      </c>
      <c r="H997" s="37">
        <f>'Calculation Sheet'!N997</f>
        <v>9585.6</v>
      </c>
    </row>
    <row r="998" spans="1:8" x14ac:dyDescent="0.25">
      <c r="A998" s="14" t="s">
        <v>2055</v>
      </c>
      <c r="B998" s="14">
        <v>13</v>
      </c>
      <c r="C998" s="15" t="s">
        <v>2076</v>
      </c>
      <c r="D998" s="14" t="s">
        <v>1752</v>
      </c>
      <c r="E998" s="14" t="s">
        <v>1746</v>
      </c>
      <c r="F998" s="14">
        <v>2594403</v>
      </c>
      <c r="G998" s="14">
        <v>1945802</v>
      </c>
      <c r="H998" s="37">
        <f>'Calculation Sheet'!N998</f>
        <v>1945802</v>
      </c>
    </row>
    <row r="999" spans="1:8" x14ac:dyDescent="0.25">
      <c r="A999" s="14" t="s">
        <v>2055</v>
      </c>
      <c r="B999" s="14">
        <v>5</v>
      </c>
      <c r="C999" s="15" t="s">
        <v>2086</v>
      </c>
      <c r="D999" s="14" t="s">
        <v>1752</v>
      </c>
      <c r="E999" s="14" t="s">
        <v>1753</v>
      </c>
      <c r="F999" s="14">
        <v>4492440</v>
      </c>
      <c r="G999" s="14">
        <v>3369330</v>
      </c>
      <c r="H999" s="37">
        <f>'Calculation Sheet'!N999</f>
        <v>3369330</v>
      </c>
    </row>
    <row r="1000" spans="1:8" x14ac:dyDescent="0.25">
      <c r="A1000" s="14" t="s">
        <v>2055</v>
      </c>
      <c r="B1000" s="14" t="s">
        <v>89</v>
      </c>
      <c r="C1000" s="15" t="s">
        <v>2085</v>
      </c>
      <c r="D1000" s="14" t="s">
        <v>1752</v>
      </c>
      <c r="E1000" s="14" t="s">
        <v>1747</v>
      </c>
      <c r="F1000" s="14">
        <v>2995020</v>
      </c>
      <c r="G1000" s="14">
        <v>2246265</v>
      </c>
      <c r="H1000" s="37">
        <f>'Calculation Sheet'!N1000</f>
        <v>2246265</v>
      </c>
    </row>
    <row r="1001" spans="1:8" x14ac:dyDescent="0.25">
      <c r="A1001" s="14" t="s">
        <v>2055</v>
      </c>
      <c r="B1001" s="14">
        <v>19</v>
      </c>
      <c r="C1001" s="15" t="s">
        <v>2069</v>
      </c>
      <c r="D1001" s="14" t="s">
        <v>1752</v>
      </c>
      <c r="E1001" s="14" t="s">
        <v>1753</v>
      </c>
      <c r="F1001" s="14">
        <v>374400</v>
      </c>
      <c r="G1001" s="14">
        <v>336960</v>
      </c>
      <c r="H1001" s="37">
        <f>'Calculation Sheet'!N1001</f>
        <v>336960</v>
      </c>
    </row>
    <row r="1002" spans="1:8" x14ac:dyDescent="0.25">
      <c r="A1002" s="14" t="s">
        <v>2055</v>
      </c>
      <c r="B1002" s="14">
        <v>12</v>
      </c>
      <c r="C1002" s="15" t="s">
        <v>2084</v>
      </c>
      <c r="D1002" s="14" t="s">
        <v>1752</v>
      </c>
      <c r="E1002" s="14" t="s">
        <v>1747</v>
      </c>
      <c r="F1002" s="14">
        <v>1796940</v>
      </c>
      <c r="G1002" s="14">
        <v>1347705</v>
      </c>
      <c r="H1002" s="37">
        <f>'Calculation Sheet'!N1002</f>
        <v>1347705</v>
      </c>
    </row>
    <row r="1003" spans="1:8" x14ac:dyDescent="0.25">
      <c r="A1003" s="14" t="s">
        <v>2055</v>
      </c>
      <c r="B1003" s="14" t="s">
        <v>263</v>
      </c>
      <c r="C1003" s="15" t="s">
        <v>2082</v>
      </c>
      <c r="D1003" s="14" t="s">
        <v>1752</v>
      </c>
      <c r="E1003" s="14" t="s">
        <v>1746</v>
      </c>
      <c r="F1003" s="14">
        <v>0</v>
      </c>
      <c r="G1003" s="14">
        <v>0</v>
      </c>
      <c r="H1003" s="37">
        <f>'Calculation Sheet'!N1003</f>
        <v>0</v>
      </c>
    </row>
    <row r="1004" spans="1:8" x14ac:dyDescent="0.25">
      <c r="A1004" s="14" t="s">
        <v>2055</v>
      </c>
      <c r="B1004" s="14">
        <v>13</v>
      </c>
      <c r="C1004" s="15" t="s">
        <v>2076</v>
      </c>
      <c r="D1004" s="14" t="s">
        <v>1752</v>
      </c>
      <c r="E1004" s="14" t="s">
        <v>1747</v>
      </c>
      <c r="F1004" s="14">
        <v>2470860</v>
      </c>
      <c r="G1004" s="14">
        <v>1853145</v>
      </c>
      <c r="H1004" s="37">
        <f>'Calculation Sheet'!N1004</f>
        <v>1853145</v>
      </c>
    </row>
    <row r="1005" spans="1:8" x14ac:dyDescent="0.25">
      <c r="A1005" s="14" t="s">
        <v>2055</v>
      </c>
      <c r="B1005" s="14">
        <v>9</v>
      </c>
      <c r="C1005" s="15" t="s">
        <v>2090</v>
      </c>
      <c r="D1005" s="14" t="s">
        <v>1752</v>
      </c>
      <c r="E1005" s="14" t="s">
        <v>1747</v>
      </c>
      <c r="F1005" s="14">
        <v>5990040</v>
      </c>
      <c r="G1005" s="14">
        <v>4492530</v>
      </c>
      <c r="H1005" s="37">
        <f>'Calculation Sheet'!N1005</f>
        <v>4492530</v>
      </c>
    </row>
    <row r="1006" spans="1:8" x14ac:dyDescent="0.25">
      <c r="A1006" s="14" t="s">
        <v>2055</v>
      </c>
      <c r="B1006" s="14">
        <v>4</v>
      </c>
      <c r="C1006" s="15" t="s">
        <v>2056</v>
      </c>
      <c r="D1006" s="14" t="s">
        <v>1749</v>
      </c>
      <c r="E1006" s="14" t="s">
        <v>1746</v>
      </c>
      <c r="F1006" s="14">
        <v>29952</v>
      </c>
      <c r="G1006" s="14">
        <v>23961.599999999999</v>
      </c>
      <c r="H1006" s="37">
        <f>'Calculation Sheet'!N1006</f>
        <v>23961.599999999999</v>
      </c>
    </row>
    <row r="1007" spans="1:8" x14ac:dyDescent="0.25">
      <c r="A1007" s="14" t="s">
        <v>2055</v>
      </c>
      <c r="B1007" s="14" t="s">
        <v>325</v>
      </c>
      <c r="C1007" s="15" t="s">
        <v>2070</v>
      </c>
      <c r="D1007" s="14" t="s">
        <v>1752</v>
      </c>
      <c r="E1007" s="14" t="s">
        <v>1746</v>
      </c>
      <c r="F1007" s="14">
        <v>1257984</v>
      </c>
      <c r="G1007" s="14">
        <v>943488</v>
      </c>
      <c r="H1007" s="37">
        <f>'Calculation Sheet'!N1007</f>
        <v>943488</v>
      </c>
    </row>
    <row r="1008" spans="1:8" x14ac:dyDescent="0.25">
      <c r="A1008" s="14" t="s">
        <v>2055</v>
      </c>
      <c r="B1008" s="14" t="s">
        <v>173</v>
      </c>
      <c r="C1008" s="15" t="s">
        <v>2071</v>
      </c>
      <c r="D1008" s="14" t="s">
        <v>1752</v>
      </c>
      <c r="E1008" s="14" t="s">
        <v>1753</v>
      </c>
      <c r="F1008" s="14">
        <v>748800</v>
      </c>
      <c r="G1008" s="14">
        <v>673920</v>
      </c>
      <c r="H1008" s="37">
        <f>'Calculation Sheet'!N1008</f>
        <v>673920</v>
      </c>
    </row>
    <row r="1009" spans="1:8" x14ac:dyDescent="0.25">
      <c r="A1009" s="14" t="s">
        <v>2055</v>
      </c>
      <c r="B1009" s="14" t="s">
        <v>333</v>
      </c>
      <c r="C1009" s="15" t="s">
        <v>2088</v>
      </c>
      <c r="D1009" s="14" t="s">
        <v>1745</v>
      </c>
      <c r="E1009" s="14" t="s">
        <v>1747</v>
      </c>
      <c r="F1009" s="14">
        <v>549060</v>
      </c>
      <c r="G1009" s="14">
        <v>411795</v>
      </c>
      <c r="H1009" s="37">
        <f>'Calculation Sheet'!N1009</f>
        <v>411795</v>
      </c>
    </row>
    <row r="1010" spans="1:8" x14ac:dyDescent="0.25">
      <c r="A1010" s="14" t="s">
        <v>2055</v>
      </c>
      <c r="B1010" s="14">
        <v>1</v>
      </c>
      <c r="C1010" s="15" t="s">
        <v>2067</v>
      </c>
      <c r="D1010" s="14" t="s">
        <v>1752</v>
      </c>
      <c r="E1010" s="14" t="s">
        <v>1753</v>
      </c>
      <c r="F1010" s="14">
        <v>0</v>
      </c>
      <c r="G1010" s="14">
        <v>0</v>
      </c>
      <c r="H1010" s="37">
        <f>'Calculation Sheet'!N1010</f>
        <v>0</v>
      </c>
    </row>
    <row r="1011" spans="1:8" x14ac:dyDescent="0.25">
      <c r="A1011" s="14" t="s">
        <v>2055</v>
      </c>
      <c r="B1011" s="14" t="s">
        <v>243</v>
      </c>
      <c r="C1011" s="15" t="s">
        <v>2080</v>
      </c>
      <c r="D1011" s="14" t="s">
        <v>1752</v>
      </c>
      <c r="E1011" s="14" t="s">
        <v>1753</v>
      </c>
      <c r="F1011" s="14">
        <v>187200</v>
      </c>
      <c r="G1011" s="14">
        <v>168480</v>
      </c>
      <c r="H1011" s="37">
        <f>'Calculation Sheet'!N1011</f>
        <v>168480</v>
      </c>
    </row>
    <row r="1012" spans="1:8" x14ac:dyDescent="0.25">
      <c r="A1012" s="14" t="s">
        <v>2055</v>
      </c>
      <c r="B1012" s="14">
        <v>1</v>
      </c>
      <c r="C1012" s="15" t="s">
        <v>2067</v>
      </c>
      <c r="D1012" s="14" t="s">
        <v>1749</v>
      </c>
      <c r="E1012" s="14" t="s">
        <v>1746</v>
      </c>
      <c r="F1012" s="14">
        <v>0</v>
      </c>
      <c r="G1012" s="14">
        <v>0</v>
      </c>
      <c r="H1012" s="37">
        <f>'Calculation Sheet'!N1012</f>
        <v>0</v>
      </c>
    </row>
    <row r="1013" spans="1:8" x14ac:dyDescent="0.25">
      <c r="A1013" s="14" t="s">
        <v>2055</v>
      </c>
      <c r="B1013" s="14" t="s">
        <v>583</v>
      </c>
      <c r="C1013" s="15" t="s">
        <v>2057</v>
      </c>
      <c r="D1013" s="14" t="s">
        <v>1749</v>
      </c>
      <c r="E1013" s="14" t="s">
        <v>1746</v>
      </c>
      <c r="F1013" s="14">
        <v>0</v>
      </c>
      <c r="G1013" s="14">
        <v>0</v>
      </c>
      <c r="H1013" s="37">
        <f>'Calculation Sheet'!N1013</f>
        <v>0</v>
      </c>
    </row>
    <row r="1014" spans="1:8" x14ac:dyDescent="0.25">
      <c r="A1014" s="14" t="s">
        <v>2055</v>
      </c>
      <c r="B1014" s="14" t="s">
        <v>36</v>
      </c>
      <c r="C1014" s="15" t="s">
        <v>2079</v>
      </c>
      <c r="D1014" s="14" t="s">
        <v>1749</v>
      </c>
      <c r="E1014" s="14" t="s">
        <v>1746</v>
      </c>
      <c r="F1014" s="14">
        <v>42432</v>
      </c>
      <c r="G1014" s="14">
        <v>38188.800000000003</v>
      </c>
      <c r="H1014" s="37">
        <f>'Calculation Sheet'!N1014</f>
        <v>38188.800000000003</v>
      </c>
    </row>
    <row r="1015" spans="1:8" x14ac:dyDescent="0.25">
      <c r="A1015" s="14" t="s">
        <v>2055</v>
      </c>
      <c r="B1015" s="14" t="s">
        <v>29</v>
      </c>
      <c r="C1015" s="15" t="s">
        <v>2077</v>
      </c>
      <c r="D1015" s="14" t="s">
        <v>1752</v>
      </c>
      <c r="E1015" s="14" t="s">
        <v>1753</v>
      </c>
      <c r="F1015" s="14">
        <v>2800260</v>
      </c>
      <c r="G1015" s="14">
        <v>2100195</v>
      </c>
      <c r="H1015" s="37">
        <f>'Calculation Sheet'!N1015</f>
        <v>2100195</v>
      </c>
    </row>
    <row r="1016" spans="1:8" x14ac:dyDescent="0.25">
      <c r="A1016" s="14" t="s">
        <v>2055</v>
      </c>
      <c r="B1016" s="14">
        <v>5</v>
      </c>
      <c r="C1016" s="15" t="s">
        <v>2086</v>
      </c>
      <c r="D1016" s="14" t="s">
        <v>1749</v>
      </c>
      <c r="E1016" s="14" t="s">
        <v>1746</v>
      </c>
      <c r="F1016" s="14">
        <v>149748</v>
      </c>
      <c r="G1016" s="14">
        <v>112311</v>
      </c>
      <c r="H1016" s="37">
        <f>'Calculation Sheet'!N1016</f>
        <v>112311</v>
      </c>
    </row>
    <row r="1017" spans="1:8" ht="30" x14ac:dyDescent="0.25">
      <c r="A1017" s="14" t="s">
        <v>2055</v>
      </c>
      <c r="B1017" s="14">
        <v>18</v>
      </c>
      <c r="C1017" s="15" t="s">
        <v>2061</v>
      </c>
      <c r="D1017" s="14" t="s">
        <v>1745</v>
      </c>
      <c r="E1017" s="14" t="s">
        <v>1747</v>
      </c>
      <c r="F1017" s="14">
        <v>199680</v>
      </c>
      <c r="G1017" s="14">
        <v>149760</v>
      </c>
      <c r="H1017" s="37">
        <f>'Calculation Sheet'!N1017</f>
        <v>149760</v>
      </c>
    </row>
    <row r="1018" spans="1:8" x14ac:dyDescent="0.25">
      <c r="A1018" s="14" t="s">
        <v>2055</v>
      </c>
      <c r="B1018" s="14" t="s">
        <v>108</v>
      </c>
      <c r="C1018" s="15" t="s">
        <v>2087</v>
      </c>
      <c r="D1018" s="14" t="s">
        <v>1745</v>
      </c>
      <c r="E1018" s="14" t="s">
        <v>1747</v>
      </c>
      <c r="F1018" s="14">
        <v>1098180</v>
      </c>
      <c r="G1018" s="14">
        <v>823635</v>
      </c>
      <c r="H1018" s="37">
        <f>'Calculation Sheet'!N1018</f>
        <v>823635</v>
      </c>
    </row>
    <row r="1019" spans="1:8" x14ac:dyDescent="0.25">
      <c r="A1019" s="14" t="s">
        <v>2055</v>
      </c>
      <c r="B1019" s="14" t="s">
        <v>173</v>
      </c>
      <c r="C1019" s="15" t="s">
        <v>2071</v>
      </c>
      <c r="D1019" s="14" t="s">
        <v>1745</v>
      </c>
      <c r="E1019" s="14" t="s">
        <v>1746</v>
      </c>
      <c r="F1019" s="14">
        <v>262080</v>
      </c>
      <c r="G1019" s="14">
        <v>235872</v>
      </c>
      <c r="H1019" s="37">
        <f>'Calculation Sheet'!N1019</f>
        <v>235872</v>
      </c>
    </row>
    <row r="1020" spans="1:8" x14ac:dyDescent="0.25">
      <c r="A1020" s="14" t="s">
        <v>2055</v>
      </c>
      <c r="B1020" s="14" t="s">
        <v>243</v>
      </c>
      <c r="C1020" s="15" t="s">
        <v>2080</v>
      </c>
      <c r="D1020" s="14" t="s">
        <v>1752</v>
      </c>
      <c r="E1020" s="14" t="s">
        <v>1746</v>
      </c>
      <c r="F1020" s="14">
        <v>196560</v>
      </c>
      <c r="G1020" s="14">
        <v>176904</v>
      </c>
      <c r="H1020" s="37">
        <f>'Calculation Sheet'!N1020</f>
        <v>176904</v>
      </c>
    </row>
    <row r="1021" spans="1:8" x14ac:dyDescent="0.25">
      <c r="A1021" s="14" t="s">
        <v>2055</v>
      </c>
      <c r="B1021" s="14" t="s">
        <v>307</v>
      </c>
      <c r="C1021" s="15" t="s">
        <v>2091</v>
      </c>
      <c r="D1021" s="14" t="s">
        <v>1745</v>
      </c>
      <c r="E1021" s="14" t="s">
        <v>1746</v>
      </c>
      <c r="F1021" s="14">
        <v>78624</v>
      </c>
      <c r="G1021" s="14">
        <v>70761.600000000006</v>
      </c>
      <c r="H1021" s="37">
        <f>'Calculation Sheet'!N1021</f>
        <v>70761.600000000006</v>
      </c>
    </row>
    <row r="1022" spans="1:8" ht="30" x14ac:dyDescent="0.25">
      <c r="A1022" s="14" t="s">
        <v>2055</v>
      </c>
      <c r="B1022" s="14" t="s">
        <v>28</v>
      </c>
      <c r="C1022" s="15" t="s">
        <v>2062</v>
      </c>
      <c r="D1022" s="14" t="s">
        <v>1752</v>
      </c>
      <c r="E1022" s="14" t="s">
        <v>1747</v>
      </c>
      <c r="F1022" s="14">
        <v>299520</v>
      </c>
      <c r="G1022" s="14">
        <v>224640</v>
      </c>
      <c r="H1022" s="37">
        <f>'Calculation Sheet'!N1022</f>
        <v>224640</v>
      </c>
    </row>
    <row r="1023" spans="1:8" x14ac:dyDescent="0.25">
      <c r="A1023" s="14" t="s">
        <v>2055</v>
      </c>
      <c r="B1023" s="14">
        <v>14</v>
      </c>
      <c r="C1023" s="15" t="s">
        <v>2074</v>
      </c>
      <c r="D1023" s="14" t="s">
        <v>1752</v>
      </c>
      <c r="E1023" s="14" t="s">
        <v>1747</v>
      </c>
      <c r="F1023" s="14">
        <v>1123200</v>
      </c>
      <c r="G1023" s="14">
        <v>1010880</v>
      </c>
      <c r="H1023" s="37">
        <f>'Calculation Sheet'!N1023</f>
        <v>1010880</v>
      </c>
    </row>
    <row r="1024" spans="1:8" x14ac:dyDescent="0.25">
      <c r="A1024" s="14" t="s">
        <v>2055</v>
      </c>
      <c r="B1024" s="14">
        <v>9</v>
      </c>
      <c r="C1024" s="15" t="s">
        <v>2090</v>
      </c>
      <c r="D1024" s="14" t="s">
        <v>1752</v>
      </c>
      <c r="E1024" s="14" t="s">
        <v>1746</v>
      </c>
      <c r="F1024" s="14">
        <v>6289542</v>
      </c>
      <c r="G1024" s="14">
        <v>4717157</v>
      </c>
      <c r="H1024" s="37">
        <f>'Calculation Sheet'!N1024</f>
        <v>4717157</v>
      </c>
    </row>
    <row r="1025" spans="1:8" x14ac:dyDescent="0.25">
      <c r="A1025" s="14" t="s">
        <v>2055</v>
      </c>
      <c r="B1025" s="14">
        <v>17</v>
      </c>
      <c r="C1025" s="15" t="s">
        <v>2059</v>
      </c>
      <c r="D1025" s="14" t="s">
        <v>1752</v>
      </c>
      <c r="E1025" s="14" t="s">
        <v>1746</v>
      </c>
      <c r="F1025" s="14">
        <v>1729539</v>
      </c>
      <c r="G1025" s="14">
        <v>1297154</v>
      </c>
      <c r="H1025" s="37">
        <f>'Calculation Sheet'!N1025</f>
        <v>1297154</v>
      </c>
    </row>
    <row r="1026" spans="1:8" x14ac:dyDescent="0.25">
      <c r="A1026" s="14" t="s">
        <v>2055</v>
      </c>
      <c r="B1026" s="14">
        <v>3</v>
      </c>
      <c r="C1026" s="15" t="s">
        <v>2075</v>
      </c>
      <c r="D1026" s="14" t="s">
        <v>1749</v>
      </c>
      <c r="E1026" s="14" t="s">
        <v>1746</v>
      </c>
      <c r="F1026" s="14">
        <v>24960</v>
      </c>
      <c r="G1026" s="14">
        <v>18720</v>
      </c>
      <c r="H1026" s="37">
        <f>'Calculation Sheet'!N1026</f>
        <v>18720</v>
      </c>
    </row>
    <row r="1027" spans="1:8" ht="30" x14ac:dyDescent="0.25">
      <c r="A1027" s="14" t="s">
        <v>2055</v>
      </c>
      <c r="B1027" s="14" t="s">
        <v>470</v>
      </c>
      <c r="C1027" s="15" t="s">
        <v>2064</v>
      </c>
      <c r="D1027" s="14" t="s">
        <v>1745</v>
      </c>
      <c r="E1027" s="14" t="s">
        <v>1747</v>
      </c>
      <c r="F1027" s="14">
        <v>274560</v>
      </c>
      <c r="G1027" s="14">
        <v>205920</v>
      </c>
      <c r="H1027" s="37">
        <f>'Calculation Sheet'!N1027</f>
        <v>205920</v>
      </c>
    </row>
    <row r="1028" spans="1:8" x14ac:dyDescent="0.25">
      <c r="A1028" s="14" t="s">
        <v>2055</v>
      </c>
      <c r="B1028" s="14">
        <v>6</v>
      </c>
      <c r="C1028" s="15" t="s">
        <v>2089</v>
      </c>
      <c r="D1028" s="14" t="s">
        <v>1752</v>
      </c>
      <c r="E1028" s="14" t="s">
        <v>1746</v>
      </c>
      <c r="F1028" s="14">
        <v>1572291</v>
      </c>
      <c r="G1028" s="14">
        <v>1179218</v>
      </c>
      <c r="H1028" s="37">
        <f>'Calculation Sheet'!N1028</f>
        <v>1179218</v>
      </c>
    </row>
    <row r="1029" spans="1:8" ht="30" x14ac:dyDescent="0.25">
      <c r="A1029" s="14" t="s">
        <v>2055</v>
      </c>
      <c r="B1029" s="14" t="s">
        <v>118</v>
      </c>
      <c r="C1029" s="15" t="s">
        <v>2060</v>
      </c>
      <c r="D1029" s="14" t="s">
        <v>1752</v>
      </c>
      <c r="E1029" s="14" t="s">
        <v>1746</v>
      </c>
      <c r="F1029" s="14">
        <v>432432</v>
      </c>
      <c r="G1029" s="14">
        <v>324324</v>
      </c>
      <c r="H1029" s="37">
        <f>'Calculation Sheet'!N1029</f>
        <v>324324</v>
      </c>
    </row>
    <row r="1030" spans="1:8" x14ac:dyDescent="0.25">
      <c r="A1030" s="14" t="s">
        <v>2055</v>
      </c>
      <c r="B1030" s="14" t="s">
        <v>73</v>
      </c>
      <c r="C1030" s="15" t="s">
        <v>2058</v>
      </c>
      <c r="D1030" s="14" t="s">
        <v>1752</v>
      </c>
      <c r="E1030" s="14" t="s">
        <v>1747</v>
      </c>
      <c r="F1030" s="14">
        <v>2995020</v>
      </c>
      <c r="G1030" s="14">
        <v>2246265</v>
      </c>
      <c r="H1030" s="37">
        <f>'Calculation Sheet'!N1030</f>
        <v>2246265</v>
      </c>
    </row>
    <row r="1031" spans="1:8" x14ac:dyDescent="0.25">
      <c r="A1031" s="14" t="s">
        <v>2055</v>
      </c>
      <c r="B1031" s="14">
        <v>16</v>
      </c>
      <c r="C1031" s="15" t="s">
        <v>2065</v>
      </c>
      <c r="D1031" s="14" t="s">
        <v>1752</v>
      </c>
      <c r="E1031" s="14" t="s">
        <v>1747</v>
      </c>
      <c r="F1031" s="14">
        <v>748800</v>
      </c>
      <c r="G1031" s="14">
        <v>673920</v>
      </c>
      <c r="H1031" s="37">
        <f>'Calculation Sheet'!N1031</f>
        <v>673920</v>
      </c>
    </row>
    <row r="1032" spans="1:8" ht="30" x14ac:dyDescent="0.25">
      <c r="A1032" s="14" t="s">
        <v>2092</v>
      </c>
      <c r="B1032" s="14" t="s">
        <v>97</v>
      </c>
      <c r="C1032" s="15" t="s">
        <v>2093</v>
      </c>
      <c r="D1032" s="14" t="s">
        <v>1745</v>
      </c>
      <c r="E1032" s="14" t="s">
        <v>1746</v>
      </c>
      <c r="F1032" s="14">
        <v>8379</v>
      </c>
      <c r="G1032" s="14">
        <v>6284.28</v>
      </c>
      <c r="H1032" s="37">
        <f>'Calculation Sheet'!N1032</f>
        <v>6284.28</v>
      </c>
    </row>
    <row r="1033" spans="1:8" x14ac:dyDescent="0.25">
      <c r="A1033" s="14" t="s">
        <v>2092</v>
      </c>
      <c r="B1033" s="14">
        <v>23</v>
      </c>
      <c r="C1033" s="15" t="s">
        <v>2094</v>
      </c>
      <c r="D1033" s="14" t="s">
        <v>1745</v>
      </c>
      <c r="E1033" s="14" t="s">
        <v>1747</v>
      </c>
      <c r="F1033" s="14">
        <v>159720</v>
      </c>
      <c r="G1033" s="14">
        <v>119790</v>
      </c>
      <c r="H1033" s="37">
        <f>'Calculation Sheet'!N1033</f>
        <v>119790</v>
      </c>
    </row>
    <row r="1034" spans="1:8" ht="30" x14ac:dyDescent="0.25">
      <c r="A1034" s="14" t="s">
        <v>2092</v>
      </c>
      <c r="B1034" s="14">
        <v>3</v>
      </c>
      <c r="C1034" s="15" t="s">
        <v>2095</v>
      </c>
      <c r="D1034" s="14" t="s">
        <v>1752</v>
      </c>
      <c r="E1034" s="14" t="s">
        <v>1746</v>
      </c>
      <c r="F1034" s="14">
        <v>62937</v>
      </c>
      <c r="G1034" s="14">
        <v>47202.84</v>
      </c>
      <c r="H1034" s="37">
        <f>'Calculation Sheet'!N1034</f>
        <v>47202.84</v>
      </c>
    </row>
    <row r="1035" spans="1:8" ht="30" x14ac:dyDescent="0.25">
      <c r="A1035" s="14" t="s">
        <v>2092</v>
      </c>
      <c r="B1035" s="14" t="s">
        <v>108</v>
      </c>
      <c r="C1035" s="15" t="s">
        <v>2096</v>
      </c>
      <c r="D1035" s="14" t="s">
        <v>1745</v>
      </c>
      <c r="E1035" s="14" t="s">
        <v>1747</v>
      </c>
      <c r="F1035" s="14">
        <v>10980</v>
      </c>
      <c r="G1035" s="14">
        <v>8235</v>
      </c>
      <c r="H1035" s="37">
        <f>'Calculation Sheet'!N1035</f>
        <v>8235</v>
      </c>
    </row>
    <row r="1036" spans="1:8" x14ac:dyDescent="0.25">
      <c r="A1036" s="14" t="s">
        <v>2092</v>
      </c>
      <c r="B1036" s="14">
        <v>21</v>
      </c>
      <c r="C1036" s="15" t="s">
        <v>2097</v>
      </c>
      <c r="D1036" s="14" t="s">
        <v>1745</v>
      </c>
      <c r="E1036" s="14" t="s">
        <v>1746</v>
      </c>
      <c r="F1036" s="14">
        <v>125811</v>
      </c>
      <c r="G1036" s="14">
        <v>94358.28</v>
      </c>
      <c r="H1036" s="37">
        <f>'Calculation Sheet'!N1036</f>
        <v>94358.28</v>
      </c>
    </row>
    <row r="1037" spans="1:8" ht="30" x14ac:dyDescent="0.25">
      <c r="A1037" s="14" t="s">
        <v>2092</v>
      </c>
      <c r="B1037" s="14" t="s">
        <v>297</v>
      </c>
      <c r="C1037" s="15" t="s">
        <v>2098</v>
      </c>
      <c r="D1037" s="14" t="s">
        <v>1745</v>
      </c>
      <c r="E1037" s="14" t="s">
        <v>1746</v>
      </c>
      <c r="F1037" s="14">
        <v>5229</v>
      </c>
      <c r="G1037" s="14">
        <v>4706.16</v>
      </c>
      <c r="H1037" s="37">
        <f>'Calculation Sheet'!N1037</f>
        <v>4706.16</v>
      </c>
    </row>
    <row r="1038" spans="1:8" x14ac:dyDescent="0.25">
      <c r="A1038" s="14" t="s">
        <v>2092</v>
      </c>
      <c r="B1038" s="14">
        <v>6</v>
      </c>
      <c r="C1038" s="15" t="s">
        <v>2099</v>
      </c>
      <c r="D1038" s="14" t="s">
        <v>1745</v>
      </c>
      <c r="E1038" s="14" t="s">
        <v>1747</v>
      </c>
      <c r="F1038" s="14">
        <v>159720</v>
      </c>
      <c r="G1038" s="14">
        <v>119790</v>
      </c>
      <c r="H1038" s="37">
        <f>'Calculation Sheet'!N1038</f>
        <v>119790</v>
      </c>
    </row>
    <row r="1039" spans="1:8" ht="30" x14ac:dyDescent="0.25">
      <c r="A1039" s="14" t="s">
        <v>2092</v>
      </c>
      <c r="B1039" s="14" t="s">
        <v>97</v>
      </c>
      <c r="C1039" s="15" t="s">
        <v>2093</v>
      </c>
      <c r="D1039" s="14" t="s">
        <v>1745</v>
      </c>
      <c r="E1039" s="14" t="s">
        <v>1747</v>
      </c>
      <c r="F1039" s="14">
        <v>7980</v>
      </c>
      <c r="G1039" s="14">
        <v>5985</v>
      </c>
      <c r="H1039" s="37">
        <f>'Calculation Sheet'!N1039</f>
        <v>5985</v>
      </c>
    </row>
    <row r="1040" spans="1:8" x14ac:dyDescent="0.25">
      <c r="A1040" s="14" t="s">
        <v>2092</v>
      </c>
      <c r="B1040" s="14">
        <v>6</v>
      </c>
      <c r="C1040" s="15" t="s">
        <v>2099</v>
      </c>
      <c r="D1040" s="14" t="s">
        <v>1752</v>
      </c>
      <c r="E1040" s="14" t="s">
        <v>1746</v>
      </c>
      <c r="F1040" s="14">
        <v>503118</v>
      </c>
      <c r="G1040" s="14">
        <v>377338.7</v>
      </c>
      <c r="H1040" s="37">
        <f>'Calculation Sheet'!N1040</f>
        <v>377338.7</v>
      </c>
    </row>
    <row r="1041" spans="1:8" x14ac:dyDescent="0.25">
      <c r="A1041" s="14" t="s">
        <v>2092</v>
      </c>
      <c r="B1041" s="14" t="s">
        <v>875</v>
      </c>
      <c r="C1041" s="15" t="s">
        <v>2100</v>
      </c>
      <c r="D1041" s="14" t="s">
        <v>1745</v>
      </c>
      <c r="E1041" s="14" t="s">
        <v>1747</v>
      </c>
      <c r="F1041" s="14">
        <v>39960</v>
      </c>
      <c r="G1041" s="14">
        <v>35964</v>
      </c>
      <c r="H1041" s="37">
        <f>'Calculation Sheet'!N1041</f>
        <v>35964</v>
      </c>
    </row>
    <row r="1042" spans="1:8" x14ac:dyDescent="0.25">
      <c r="A1042" s="14" t="s">
        <v>2092</v>
      </c>
      <c r="B1042" s="14">
        <v>22</v>
      </c>
      <c r="C1042" s="15" t="s">
        <v>2101</v>
      </c>
      <c r="D1042" s="14" t="s">
        <v>1745</v>
      </c>
      <c r="E1042" s="14" t="s">
        <v>1747</v>
      </c>
      <c r="F1042" s="14">
        <v>319440</v>
      </c>
      <c r="G1042" s="14">
        <v>287496</v>
      </c>
      <c r="H1042" s="37">
        <f>'Calculation Sheet'!N1042</f>
        <v>287496</v>
      </c>
    </row>
    <row r="1043" spans="1:8" x14ac:dyDescent="0.25">
      <c r="A1043" s="14" t="s">
        <v>2092</v>
      </c>
      <c r="B1043" s="14">
        <v>1</v>
      </c>
      <c r="C1043" s="15" t="s">
        <v>2102</v>
      </c>
      <c r="D1043" s="14" t="s">
        <v>1745</v>
      </c>
      <c r="E1043" s="14" t="s">
        <v>1747</v>
      </c>
      <c r="F1043" s="14">
        <v>104820</v>
      </c>
      <c r="G1043" s="14">
        <v>78615</v>
      </c>
      <c r="H1043" s="37">
        <f>'Calculation Sheet'!N1043</f>
        <v>78615</v>
      </c>
    </row>
    <row r="1044" spans="1:8" ht="30" x14ac:dyDescent="0.25">
      <c r="A1044" s="14" t="s">
        <v>2092</v>
      </c>
      <c r="B1044" s="14">
        <v>3</v>
      </c>
      <c r="C1044" s="15" t="s">
        <v>2095</v>
      </c>
      <c r="D1044" s="14" t="s">
        <v>1745</v>
      </c>
      <c r="E1044" s="14" t="s">
        <v>1747</v>
      </c>
      <c r="F1044" s="14">
        <v>19980</v>
      </c>
      <c r="G1044" s="14">
        <v>14985</v>
      </c>
      <c r="H1044" s="37">
        <f>'Calculation Sheet'!N1044</f>
        <v>14985</v>
      </c>
    </row>
    <row r="1045" spans="1:8" x14ac:dyDescent="0.25">
      <c r="A1045" s="14" t="s">
        <v>2092</v>
      </c>
      <c r="B1045" s="14">
        <v>6</v>
      </c>
      <c r="C1045" s="15" t="s">
        <v>2099</v>
      </c>
      <c r="D1045" s="14" t="s">
        <v>1752</v>
      </c>
      <c r="E1045" s="14" t="s">
        <v>1747</v>
      </c>
      <c r="F1045" s="14">
        <v>479160</v>
      </c>
      <c r="G1045" s="14">
        <v>359370</v>
      </c>
      <c r="H1045" s="37">
        <f>'Calculation Sheet'!N1045</f>
        <v>359370</v>
      </c>
    </row>
    <row r="1046" spans="1:8" ht="30" x14ac:dyDescent="0.25">
      <c r="A1046" s="14" t="s">
        <v>2092</v>
      </c>
      <c r="B1046" s="14" t="s">
        <v>297</v>
      </c>
      <c r="C1046" s="15" t="s">
        <v>2098</v>
      </c>
      <c r="D1046" s="14" t="s">
        <v>1749</v>
      </c>
      <c r="E1046" s="14" t="s">
        <v>1746</v>
      </c>
      <c r="F1046" s="14">
        <v>498</v>
      </c>
      <c r="G1046" s="14">
        <v>448.2</v>
      </c>
      <c r="H1046" s="37">
        <f>'Calculation Sheet'!N1046</f>
        <v>448.2</v>
      </c>
    </row>
    <row r="1047" spans="1:8" x14ac:dyDescent="0.25">
      <c r="A1047" s="14" t="s">
        <v>2092</v>
      </c>
      <c r="B1047" s="14">
        <v>1</v>
      </c>
      <c r="C1047" s="15" t="s">
        <v>2102</v>
      </c>
      <c r="D1047" s="14" t="s">
        <v>1749</v>
      </c>
      <c r="E1047" s="14" t="s">
        <v>1746</v>
      </c>
      <c r="F1047" s="14">
        <v>10482</v>
      </c>
      <c r="G1047" s="14">
        <v>7861.5</v>
      </c>
      <c r="H1047" s="37">
        <f>'Calculation Sheet'!N1047</f>
        <v>7861.5</v>
      </c>
    </row>
    <row r="1048" spans="1:8" x14ac:dyDescent="0.25">
      <c r="A1048" s="14" t="s">
        <v>2092</v>
      </c>
      <c r="B1048" s="14" t="s">
        <v>809</v>
      </c>
      <c r="C1048" s="15" t="s">
        <v>2103</v>
      </c>
      <c r="D1048" s="14" t="s">
        <v>1749</v>
      </c>
      <c r="E1048" s="14" t="s">
        <v>1746</v>
      </c>
      <c r="F1048" s="14">
        <v>6390</v>
      </c>
      <c r="G1048" s="14">
        <v>4792.5</v>
      </c>
      <c r="H1048" s="37">
        <f>'Calculation Sheet'!N1048</f>
        <v>4792.5</v>
      </c>
    </row>
    <row r="1049" spans="1:8" ht="30" x14ac:dyDescent="0.25">
      <c r="A1049" s="14" t="s">
        <v>2092</v>
      </c>
      <c r="B1049" s="14">
        <v>3</v>
      </c>
      <c r="C1049" s="15" t="s">
        <v>2095</v>
      </c>
      <c r="D1049" s="14" t="s">
        <v>1749</v>
      </c>
      <c r="E1049" s="14" t="s">
        <v>1746</v>
      </c>
      <c r="F1049" s="14">
        <v>1998</v>
      </c>
      <c r="G1049" s="14">
        <v>1498.5</v>
      </c>
      <c r="H1049" s="37">
        <f>'Calculation Sheet'!N1049</f>
        <v>1498.5</v>
      </c>
    </row>
    <row r="1050" spans="1:8" x14ac:dyDescent="0.25">
      <c r="A1050" s="14" t="s">
        <v>2092</v>
      </c>
      <c r="B1050" s="14" t="s">
        <v>307</v>
      </c>
      <c r="C1050" s="15" t="s">
        <v>2104</v>
      </c>
      <c r="D1050" s="14" t="s">
        <v>1749</v>
      </c>
      <c r="E1050" s="14" t="s">
        <v>1746</v>
      </c>
      <c r="F1050" s="14">
        <v>5766</v>
      </c>
      <c r="G1050" s="14">
        <v>4324.5</v>
      </c>
      <c r="H1050" s="37">
        <f>'Calculation Sheet'!N1050</f>
        <v>4324.5</v>
      </c>
    </row>
    <row r="1051" spans="1:8" x14ac:dyDescent="0.25">
      <c r="A1051" s="14" t="s">
        <v>2092</v>
      </c>
      <c r="B1051" s="14" t="s">
        <v>809</v>
      </c>
      <c r="C1051" s="15" t="s">
        <v>2103</v>
      </c>
      <c r="D1051" s="14" t="s">
        <v>1745</v>
      </c>
      <c r="E1051" s="14" t="s">
        <v>1747</v>
      </c>
      <c r="F1051" s="14">
        <v>63900</v>
      </c>
      <c r="G1051" s="14">
        <v>47925</v>
      </c>
      <c r="H1051" s="37">
        <f>'Calculation Sheet'!N1051</f>
        <v>47925</v>
      </c>
    </row>
    <row r="1052" spans="1:8" x14ac:dyDescent="0.25">
      <c r="A1052" s="14" t="s">
        <v>2092</v>
      </c>
      <c r="B1052" s="14" t="s">
        <v>875</v>
      </c>
      <c r="C1052" s="15" t="s">
        <v>2100</v>
      </c>
      <c r="D1052" s="14" t="s">
        <v>1745</v>
      </c>
      <c r="E1052" s="14" t="s">
        <v>1746</v>
      </c>
      <c r="F1052" s="14">
        <v>41958</v>
      </c>
      <c r="G1052" s="14">
        <v>37762.199999999997</v>
      </c>
      <c r="H1052" s="37">
        <f>'Calculation Sheet'!N1052</f>
        <v>37762.199999999997</v>
      </c>
    </row>
    <row r="1053" spans="1:8" x14ac:dyDescent="0.25">
      <c r="A1053" s="14" t="s">
        <v>2092</v>
      </c>
      <c r="B1053" s="14">
        <v>21</v>
      </c>
      <c r="C1053" s="15" t="s">
        <v>2097</v>
      </c>
      <c r="D1053" s="14" t="s">
        <v>1745</v>
      </c>
      <c r="E1053" s="14" t="s">
        <v>1747</v>
      </c>
      <c r="F1053" s="14">
        <v>119820</v>
      </c>
      <c r="G1053" s="14">
        <v>89865</v>
      </c>
      <c r="H1053" s="37">
        <f>'Calculation Sheet'!N1053</f>
        <v>89865</v>
      </c>
    </row>
    <row r="1054" spans="1:8" x14ac:dyDescent="0.25">
      <c r="A1054" s="14" t="s">
        <v>2092</v>
      </c>
      <c r="B1054" s="14">
        <v>6</v>
      </c>
      <c r="C1054" s="15" t="s">
        <v>2099</v>
      </c>
      <c r="D1054" s="14" t="s">
        <v>1752</v>
      </c>
      <c r="E1054" s="14" t="s">
        <v>1753</v>
      </c>
      <c r="F1054" s="14">
        <v>479160</v>
      </c>
      <c r="G1054" s="14">
        <v>359370</v>
      </c>
      <c r="H1054" s="37">
        <f>'Calculation Sheet'!N1054</f>
        <v>359370</v>
      </c>
    </row>
    <row r="1055" spans="1:8" ht="30" x14ac:dyDescent="0.25">
      <c r="A1055" s="14" t="s">
        <v>2092</v>
      </c>
      <c r="B1055" s="14">
        <v>3</v>
      </c>
      <c r="C1055" s="15" t="s">
        <v>2095</v>
      </c>
      <c r="D1055" s="14" t="s">
        <v>1752</v>
      </c>
      <c r="E1055" s="14" t="s">
        <v>1747</v>
      </c>
      <c r="F1055" s="14">
        <v>59940</v>
      </c>
      <c r="G1055" s="14">
        <v>44955</v>
      </c>
      <c r="H1055" s="37">
        <f>'Calculation Sheet'!N1055</f>
        <v>44955</v>
      </c>
    </row>
    <row r="1056" spans="1:8" x14ac:dyDescent="0.25">
      <c r="A1056" s="14" t="s">
        <v>2092</v>
      </c>
      <c r="B1056" s="14">
        <v>22</v>
      </c>
      <c r="C1056" s="15" t="s">
        <v>2101</v>
      </c>
      <c r="D1056" s="14" t="s">
        <v>1745</v>
      </c>
      <c r="E1056" s="14" t="s">
        <v>1746</v>
      </c>
      <c r="F1056" s="14">
        <v>335412</v>
      </c>
      <c r="G1056" s="14">
        <v>301870.8</v>
      </c>
      <c r="H1056" s="37">
        <f>'Calculation Sheet'!N1056</f>
        <v>301870.8</v>
      </c>
    </row>
    <row r="1057" spans="1:8" x14ac:dyDescent="0.25">
      <c r="A1057" s="14" t="s">
        <v>2092</v>
      </c>
      <c r="B1057" s="14" t="s">
        <v>258</v>
      </c>
      <c r="C1057" s="15" t="s">
        <v>2105</v>
      </c>
      <c r="D1057" s="14" t="s">
        <v>1749</v>
      </c>
      <c r="E1057" s="14" t="s">
        <v>1746</v>
      </c>
      <c r="F1057" s="14">
        <v>2622</v>
      </c>
      <c r="G1057" s="14">
        <v>2359.8000000000002</v>
      </c>
      <c r="H1057" s="37">
        <f>'Calculation Sheet'!N1057</f>
        <v>2359.8000000000002</v>
      </c>
    </row>
    <row r="1058" spans="1:8" x14ac:dyDescent="0.25">
      <c r="A1058" s="14" t="s">
        <v>2092</v>
      </c>
      <c r="B1058" s="14">
        <v>22</v>
      </c>
      <c r="C1058" s="15" t="s">
        <v>2101</v>
      </c>
      <c r="D1058" s="14" t="s">
        <v>1749</v>
      </c>
      <c r="E1058" s="14" t="s">
        <v>1746</v>
      </c>
      <c r="F1058" s="14">
        <v>31944</v>
      </c>
      <c r="G1058" s="14">
        <v>28749.599999999999</v>
      </c>
      <c r="H1058" s="37">
        <f>'Calculation Sheet'!N1058</f>
        <v>28749.599999999999</v>
      </c>
    </row>
    <row r="1059" spans="1:8" x14ac:dyDescent="0.25">
      <c r="A1059" s="14" t="s">
        <v>2092</v>
      </c>
      <c r="B1059" s="14">
        <v>7</v>
      </c>
      <c r="C1059" s="15" t="s">
        <v>2106</v>
      </c>
      <c r="D1059" s="14" t="s">
        <v>1745</v>
      </c>
      <c r="E1059" s="14" t="s">
        <v>1747</v>
      </c>
      <c r="F1059" s="14">
        <v>798660</v>
      </c>
      <c r="G1059" s="14">
        <v>598995</v>
      </c>
      <c r="H1059" s="37">
        <f>'Calculation Sheet'!N1059</f>
        <v>598995</v>
      </c>
    </row>
    <row r="1060" spans="1:8" x14ac:dyDescent="0.25">
      <c r="A1060" s="14" t="s">
        <v>2092</v>
      </c>
      <c r="B1060" s="14">
        <v>1</v>
      </c>
      <c r="C1060" s="15" t="s">
        <v>2102</v>
      </c>
      <c r="D1060" s="14" t="s">
        <v>1752</v>
      </c>
      <c r="E1060" s="14" t="s">
        <v>1753</v>
      </c>
      <c r="F1060" s="14">
        <v>314460</v>
      </c>
      <c r="G1060" s="14">
        <v>235845</v>
      </c>
      <c r="H1060" s="37">
        <f>'Calculation Sheet'!N1060</f>
        <v>235845</v>
      </c>
    </row>
    <row r="1061" spans="1:8" ht="30" x14ac:dyDescent="0.25">
      <c r="A1061" s="14" t="s">
        <v>2092</v>
      </c>
      <c r="B1061" s="14">
        <v>3</v>
      </c>
      <c r="C1061" s="15" t="s">
        <v>2095</v>
      </c>
      <c r="D1061" s="14" t="s">
        <v>1745</v>
      </c>
      <c r="E1061" s="14" t="s">
        <v>1746</v>
      </c>
      <c r="F1061" s="14">
        <v>20979</v>
      </c>
      <c r="G1061" s="14">
        <v>15734.28</v>
      </c>
      <c r="H1061" s="37">
        <f>'Calculation Sheet'!N1061</f>
        <v>15734.28</v>
      </c>
    </row>
    <row r="1062" spans="1:8" x14ac:dyDescent="0.25">
      <c r="A1062" s="14" t="s">
        <v>2092</v>
      </c>
      <c r="B1062" s="14">
        <v>6</v>
      </c>
      <c r="C1062" s="15" t="s">
        <v>2099</v>
      </c>
      <c r="D1062" s="14" t="s">
        <v>1749</v>
      </c>
      <c r="E1062" s="14" t="s">
        <v>1746</v>
      </c>
      <c r="F1062" s="14">
        <v>15972</v>
      </c>
      <c r="G1062" s="14">
        <v>11979</v>
      </c>
      <c r="H1062" s="37">
        <f>'Calculation Sheet'!N1062</f>
        <v>11979</v>
      </c>
    </row>
    <row r="1063" spans="1:8" x14ac:dyDescent="0.25">
      <c r="A1063" s="14" t="s">
        <v>2092</v>
      </c>
      <c r="B1063" s="14" t="s">
        <v>1274</v>
      </c>
      <c r="C1063" s="15" t="s">
        <v>2107</v>
      </c>
      <c r="D1063" s="14" t="s">
        <v>1745</v>
      </c>
      <c r="E1063" s="14" t="s">
        <v>1747</v>
      </c>
      <c r="F1063" s="14">
        <v>87840</v>
      </c>
      <c r="G1063" s="14">
        <v>65880</v>
      </c>
      <c r="H1063" s="37">
        <f>'Calculation Sheet'!N1063</f>
        <v>65880</v>
      </c>
    </row>
    <row r="1064" spans="1:8" x14ac:dyDescent="0.25">
      <c r="A1064" s="14" t="s">
        <v>2092</v>
      </c>
      <c r="B1064" s="14" t="s">
        <v>325</v>
      </c>
      <c r="C1064" s="15" t="s">
        <v>2108</v>
      </c>
      <c r="D1064" s="14" t="s">
        <v>1745</v>
      </c>
      <c r="E1064" s="14" t="s">
        <v>1747</v>
      </c>
      <c r="F1064" s="14">
        <v>41940</v>
      </c>
      <c r="G1064" s="14">
        <v>31455</v>
      </c>
      <c r="H1064" s="37">
        <f>'Calculation Sheet'!N1064</f>
        <v>31455</v>
      </c>
    </row>
    <row r="1065" spans="1:8" x14ac:dyDescent="0.25">
      <c r="A1065" s="14" t="s">
        <v>2092</v>
      </c>
      <c r="B1065" s="14" t="s">
        <v>307</v>
      </c>
      <c r="C1065" s="15" t="s">
        <v>2104</v>
      </c>
      <c r="D1065" s="14" t="s">
        <v>1745</v>
      </c>
      <c r="E1065" s="14" t="s">
        <v>1747</v>
      </c>
      <c r="F1065" s="14">
        <v>57660</v>
      </c>
      <c r="G1065" s="14">
        <v>43245</v>
      </c>
      <c r="H1065" s="37">
        <f>'Calculation Sheet'!N1065</f>
        <v>43245</v>
      </c>
    </row>
    <row r="1066" spans="1:8" x14ac:dyDescent="0.25">
      <c r="A1066" s="14" t="s">
        <v>2092</v>
      </c>
      <c r="B1066" s="14">
        <v>6</v>
      </c>
      <c r="C1066" s="15" t="s">
        <v>2099</v>
      </c>
      <c r="D1066" s="14" t="s">
        <v>1745</v>
      </c>
      <c r="E1066" s="14" t="s">
        <v>1746</v>
      </c>
      <c r="F1066" s="14">
        <v>167706</v>
      </c>
      <c r="G1066" s="14">
        <v>125779.6</v>
      </c>
      <c r="H1066" s="37">
        <f>'Calculation Sheet'!N1066</f>
        <v>125779.6</v>
      </c>
    </row>
    <row r="1067" spans="1:8" ht="30" x14ac:dyDescent="0.25">
      <c r="A1067" s="14" t="s">
        <v>2092</v>
      </c>
      <c r="B1067" s="14">
        <v>3</v>
      </c>
      <c r="C1067" s="15" t="s">
        <v>2095</v>
      </c>
      <c r="D1067" s="14" t="s">
        <v>1752</v>
      </c>
      <c r="E1067" s="14" t="s">
        <v>1753</v>
      </c>
      <c r="F1067" s="14">
        <v>59940</v>
      </c>
      <c r="G1067" s="14">
        <v>44955</v>
      </c>
      <c r="H1067" s="37">
        <f>'Calculation Sheet'!N1067</f>
        <v>44955</v>
      </c>
    </row>
    <row r="1068" spans="1:8" x14ac:dyDescent="0.25">
      <c r="A1068" s="14" t="s">
        <v>2092</v>
      </c>
      <c r="B1068" s="14">
        <v>7</v>
      </c>
      <c r="C1068" s="15" t="s">
        <v>2106</v>
      </c>
      <c r="D1068" s="14" t="s">
        <v>1745</v>
      </c>
      <c r="E1068" s="14" t="s">
        <v>1746</v>
      </c>
      <c r="F1068" s="14">
        <v>838593</v>
      </c>
      <c r="G1068" s="14">
        <v>628944.69999999995</v>
      </c>
      <c r="H1068" s="37">
        <f>'Calculation Sheet'!N1068</f>
        <v>628944.69999999995</v>
      </c>
    </row>
    <row r="1069" spans="1:8" x14ac:dyDescent="0.25">
      <c r="A1069" s="14" t="s">
        <v>2092</v>
      </c>
      <c r="B1069" s="14" t="s">
        <v>307</v>
      </c>
      <c r="C1069" s="15" t="s">
        <v>2104</v>
      </c>
      <c r="D1069" s="14" t="s">
        <v>1745</v>
      </c>
      <c r="E1069" s="14" t="s">
        <v>1746</v>
      </c>
      <c r="F1069" s="14">
        <v>60543</v>
      </c>
      <c r="G1069" s="14">
        <v>45407.28</v>
      </c>
      <c r="H1069" s="37">
        <f>'Calculation Sheet'!N1069</f>
        <v>45407.28</v>
      </c>
    </row>
    <row r="1070" spans="1:8" ht="30" x14ac:dyDescent="0.25">
      <c r="A1070" s="14" t="s">
        <v>2092</v>
      </c>
      <c r="B1070" s="14" t="s">
        <v>97</v>
      </c>
      <c r="C1070" s="15" t="s">
        <v>2093</v>
      </c>
      <c r="D1070" s="14" t="s">
        <v>1749</v>
      </c>
      <c r="E1070" s="14" t="s">
        <v>1746</v>
      </c>
      <c r="F1070" s="14">
        <v>798</v>
      </c>
      <c r="G1070" s="14">
        <v>598.5</v>
      </c>
      <c r="H1070" s="37">
        <f>'Calculation Sheet'!N1070</f>
        <v>598.5</v>
      </c>
    </row>
    <row r="1071" spans="1:8" x14ac:dyDescent="0.25">
      <c r="A1071" s="14" t="s">
        <v>2092</v>
      </c>
      <c r="B1071" s="14" t="s">
        <v>1274</v>
      </c>
      <c r="C1071" s="15" t="s">
        <v>2107</v>
      </c>
      <c r="D1071" s="14" t="s">
        <v>1745</v>
      </c>
      <c r="E1071" s="14" t="s">
        <v>1746</v>
      </c>
      <c r="F1071" s="14">
        <v>92232</v>
      </c>
      <c r="G1071" s="14">
        <v>69174</v>
      </c>
      <c r="H1071" s="37">
        <f>'Calculation Sheet'!N1071</f>
        <v>69174</v>
      </c>
    </row>
    <row r="1072" spans="1:8" x14ac:dyDescent="0.25">
      <c r="A1072" s="14" t="s">
        <v>2092</v>
      </c>
      <c r="B1072" s="14">
        <v>1</v>
      </c>
      <c r="C1072" s="15" t="s">
        <v>2102</v>
      </c>
      <c r="D1072" s="14" t="s">
        <v>1745</v>
      </c>
      <c r="E1072" s="14" t="s">
        <v>1746</v>
      </c>
      <c r="F1072" s="14">
        <v>110061</v>
      </c>
      <c r="G1072" s="14">
        <v>82545.72</v>
      </c>
      <c r="H1072" s="37">
        <f>'Calculation Sheet'!N1072</f>
        <v>82545.72</v>
      </c>
    </row>
    <row r="1073" spans="1:8" x14ac:dyDescent="0.25">
      <c r="A1073" s="14" t="s">
        <v>2092</v>
      </c>
      <c r="B1073" s="14" t="s">
        <v>258</v>
      </c>
      <c r="C1073" s="15" t="s">
        <v>2105</v>
      </c>
      <c r="D1073" s="14" t="s">
        <v>1745</v>
      </c>
      <c r="E1073" s="14" t="s">
        <v>1746</v>
      </c>
      <c r="F1073" s="14">
        <v>27531</v>
      </c>
      <c r="G1073" s="14">
        <v>24777.96</v>
      </c>
      <c r="H1073" s="37">
        <f>'Calculation Sheet'!N1073</f>
        <v>24777.96</v>
      </c>
    </row>
    <row r="1074" spans="1:8" x14ac:dyDescent="0.25">
      <c r="A1074" s="14" t="s">
        <v>2092</v>
      </c>
      <c r="B1074" s="14">
        <v>1</v>
      </c>
      <c r="C1074" s="15" t="s">
        <v>2102</v>
      </c>
      <c r="D1074" s="14" t="s">
        <v>1752</v>
      </c>
      <c r="E1074" s="14" t="s">
        <v>1746</v>
      </c>
      <c r="F1074" s="14">
        <v>330183</v>
      </c>
      <c r="G1074" s="14">
        <v>247637.2</v>
      </c>
      <c r="H1074" s="37">
        <f>'Calculation Sheet'!N1074</f>
        <v>247637.2</v>
      </c>
    </row>
    <row r="1075" spans="1:8" ht="30" x14ac:dyDescent="0.25">
      <c r="A1075" s="14" t="s">
        <v>2092</v>
      </c>
      <c r="B1075" s="14" t="s">
        <v>297</v>
      </c>
      <c r="C1075" s="15" t="s">
        <v>2098</v>
      </c>
      <c r="D1075" s="14" t="s">
        <v>1745</v>
      </c>
      <c r="E1075" s="14" t="s">
        <v>1747</v>
      </c>
      <c r="F1075" s="14">
        <v>4980</v>
      </c>
      <c r="G1075" s="14">
        <v>4482</v>
      </c>
      <c r="H1075" s="37">
        <f>'Calculation Sheet'!N1075</f>
        <v>4482</v>
      </c>
    </row>
    <row r="1076" spans="1:8" x14ac:dyDescent="0.25">
      <c r="A1076" s="14" t="s">
        <v>2092</v>
      </c>
      <c r="B1076" s="14">
        <v>7</v>
      </c>
      <c r="C1076" s="15" t="s">
        <v>2106</v>
      </c>
      <c r="D1076" s="14" t="s">
        <v>1749</v>
      </c>
      <c r="E1076" s="14" t="s">
        <v>1746</v>
      </c>
      <c r="F1076" s="14">
        <v>79866</v>
      </c>
      <c r="G1076" s="14">
        <v>59899.5</v>
      </c>
      <c r="H1076" s="37">
        <f>'Calculation Sheet'!N1076</f>
        <v>59899.5</v>
      </c>
    </row>
    <row r="1077" spans="1:8" x14ac:dyDescent="0.25">
      <c r="A1077" s="14" t="s">
        <v>2092</v>
      </c>
      <c r="B1077" s="14" t="s">
        <v>325</v>
      </c>
      <c r="C1077" s="15" t="s">
        <v>2108</v>
      </c>
      <c r="D1077" s="14" t="s">
        <v>1745</v>
      </c>
      <c r="E1077" s="14" t="s">
        <v>1746</v>
      </c>
      <c r="F1077" s="14">
        <v>44037</v>
      </c>
      <c r="G1077" s="14">
        <v>33027.72</v>
      </c>
      <c r="H1077" s="37">
        <f>'Calculation Sheet'!N1077</f>
        <v>33027.72</v>
      </c>
    </row>
    <row r="1078" spans="1:8" x14ac:dyDescent="0.25">
      <c r="A1078" s="14" t="s">
        <v>2092</v>
      </c>
      <c r="B1078" s="14" t="s">
        <v>809</v>
      </c>
      <c r="C1078" s="15" t="s">
        <v>2103</v>
      </c>
      <c r="D1078" s="14" t="s">
        <v>1745</v>
      </c>
      <c r="E1078" s="14" t="s">
        <v>1746</v>
      </c>
      <c r="F1078" s="14">
        <v>67095</v>
      </c>
      <c r="G1078" s="14">
        <v>50321.279999999999</v>
      </c>
      <c r="H1078" s="37">
        <f>'Calculation Sheet'!N1078</f>
        <v>50321.279999999999</v>
      </c>
    </row>
    <row r="1079" spans="1:8" x14ac:dyDescent="0.25">
      <c r="A1079" s="14" t="s">
        <v>2092</v>
      </c>
      <c r="B1079" s="14">
        <v>23</v>
      </c>
      <c r="C1079" s="15" t="s">
        <v>2094</v>
      </c>
      <c r="D1079" s="14" t="s">
        <v>1745</v>
      </c>
      <c r="E1079" s="14" t="s">
        <v>1746</v>
      </c>
      <c r="F1079" s="14">
        <v>167706</v>
      </c>
      <c r="G1079" s="14">
        <v>125779.6</v>
      </c>
      <c r="H1079" s="37">
        <f>'Calculation Sheet'!N1079</f>
        <v>125779.6</v>
      </c>
    </row>
    <row r="1080" spans="1:8" x14ac:dyDescent="0.25">
      <c r="A1080" s="14" t="s">
        <v>2092</v>
      </c>
      <c r="B1080" s="14">
        <v>23</v>
      </c>
      <c r="C1080" s="15" t="s">
        <v>2094</v>
      </c>
      <c r="D1080" s="14" t="s">
        <v>1749</v>
      </c>
      <c r="E1080" s="14" t="s">
        <v>1746</v>
      </c>
      <c r="F1080" s="14">
        <v>15972</v>
      </c>
      <c r="G1080" s="14">
        <v>11979</v>
      </c>
      <c r="H1080" s="37">
        <f>'Calculation Sheet'!N1080</f>
        <v>11979</v>
      </c>
    </row>
    <row r="1081" spans="1:8" x14ac:dyDescent="0.25">
      <c r="A1081" s="14" t="s">
        <v>2092</v>
      </c>
      <c r="B1081" s="14" t="s">
        <v>325</v>
      </c>
      <c r="C1081" s="15" t="s">
        <v>2108</v>
      </c>
      <c r="D1081" s="14" t="s">
        <v>1749</v>
      </c>
      <c r="E1081" s="14" t="s">
        <v>1746</v>
      </c>
      <c r="F1081" s="14">
        <v>4194</v>
      </c>
      <c r="G1081" s="14">
        <v>3145.5</v>
      </c>
      <c r="H1081" s="37">
        <f>'Calculation Sheet'!N1081</f>
        <v>3145.5</v>
      </c>
    </row>
    <row r="1082" spans="1:8" x14ac:dyDescent="0.25">
      <c r="A1082" s="14" t="s">
        <v>2092</v>
      </c>
      <c r="B1082" s="14" t="s">
        <v>258</v>
      </c>
      <c r="C1082" s="15" t="s">
        <v>2105</v>
      </c>
      <c r="D1082" s="14" t="s">
        <v>1745</v>
      </c>
      <c r="E1082" s="14" t="s">
        <v>1747</v>
      </c>
      <c r="F1082" s="14">
        <v>26220</v>
      </c>
      <c r="G1082" s="14">
        <v>23598</v>
      </c>
      <c r="H1082" s="37">
        <f>'Calculation Sheet'!N1082</f>
        <v>23598</v>
      </c>
    </row>
    <row r="1083" spans="1:8" ht="30" x14ac:dyDescent="0.25">
      <c r="A1083" s="14" t="s">
        <v>2092</v>
      </c>
      <c r="B1083" s="14" t="s">
        <v>108</v>
      </c>
      <c r="C1083" s="15" t="s">
        <v>2096</v>
      </c>
      <c r="D1083" s="14" t="s">
        <v>1749</v>
      </c>
      <c r="E1083" s="14" t="s">
        <v>1746</v>
      </c>
      <c r="F1083" s="14">
        <v>1098</v>
      </c>
      <c r="G1083" s="14">
        <v>823.5</v>
      </c>
      <c r="H1083" s="37">
        <f>'Calculation Sheet'!N1083</f>
        <v>823.5</v>
      </c>
    </row>
    <row r="1084" spans="1:8" x14ac:dyDescent="0.25">
      <c r="A1084" s="14" t="s">
        <v>2092</v>
      </c>
      <c r="B1084" s="14" t="s">
        <v>1274</v>
      </c>
      <c r="C1084" s="15" t="s">
        <v>2107</v>
      </c>
      <c r="D1084" s="14" t="s">
        <v>1749</v>
      </c>
      <c r="E1084" s="14" t="s">
        <v>1746</v>
      </c>
      <c r="F1084" s="14">
        <v>8784</v>
      </c>
      <c r="G1084" s="14">
        <v>6588</v>
      </c>
      <c r="H1084" s="37">
        <f>'Calculation Sheet'!N1084</f>
        <v>6588</v>
      </c>
    </row>
    <row r="1085" spans="1:8" x14ac:dyDescent="0.25">
      <c r="A1085" s="14" t="s">
        <v>2092</v>
      </c>
      <c r="B1085" s="14" t="s">
        <v>875</v>
      </c>
      <c r="C1085" s="15" t="s">
        <v>2100</v>
      </c>
      <c r="D1085" s="14" t="s">
        <v>1749</v>
      </c>
      <c r="E1085" s="14" t="s">
        <v>1746</v>
      </c>
      <c r="F1085" s="14">
        <v>3996</v>
      </c>
      <c r="G1085" s="14">
        <v>3596.4</v>
      </c>
      <c r="H1085" s="37">
        <f>'Calculation Sheet'!N1085</f>
        <v>3596.4</v>
      </c>
    </row>
    <row r="1086" spans="1:8" x14ac:dyDescent="0.25">
      <c r="A1086" s="14" t="s">
        <v>2092</v>
      </c>
      <c r="B1086" s="14">
        <v>21</v>
      </c>
      <c r="C1086" s="15" t="s">
        <v>2097</v>
      </c>
      <c r="D1086" s="14" t="s">
        <v>1749</v>
      </c>
      <c r="E1086" s="14" t="s">
        <v>1746</v>
      </c>
      <c r="F1086" s="14">
        <v>11982</v>
      </c>
      <c r="G1086" s="14">
        <v>8986.5</v>
      </c>
      <c r="H1086" s="37">
        <f>'Calculation Sheet'!N1086</f>
        <v>8986.5</v>
      </c>
    </row>
    <row r="1087" spans="1:8" ht="30" x14ac:dyDescent="0.25">
      <c r="A1087" s="14" t="s">
        <v>2092</v>
      </c>
      <c r="B1087" s="14" t="s">
        <v>108</v>
      </c>
      <c r="C1087" s="15" t="s">
        <v>2096</v>
      </c>
      <c r="D1087" s="14" t="s">
        <v>1745</v>
      </c>
      <c r="E1087" s="14" t="s">
        <v>1746</v>
      </c>
      <c r="F1087" s="14">
        <v>11529</v>
      </c>
      <c r="G1087" s="14">
        <v>8646.7199999999993</v>
      </c>
      <c r="H1087" s="37">
        <f>'Calculation Sheet'!N1087</f>
        <v>8646.7199999999993</v>
      </c>
    </row>
    <row r="1088" spans="1:8" x14ac:dyDescent="0.25">
      <c r="A1088" s="14" t="s">
        <v>2092</v>
      </c>
      <c r="B1088" s="14">
        <v>1</v>
      </c>
      <c r="C1088" s="15" t="s">
        <v>2102</v>
      </c>
      <c r="D1088" s="14" t="s">
        <v>1752</v>
      </c>
      <c r="E1088" s="14" t="s">
        <v>1747</v>
      </c>
      <c r="F1088" s="14">
        <v>314460</v>
      </c>
      <c r="G1088" s="14">
        <v>235845</v>
      </c>
      <c r="H1088" s="37">
        <f>'Calculation Sheet'!N1088</f>
        <v>235845</v>
      </c>
    </row>
    <row r="1089" spans="1:8" x14ac:dyDescent="0.25">
      <c r="A1089" s="14" t="s">
        <v>2109</v>
      </c>
      <c r="B1089" s="14">
        <v>5</v>
      </c>
      <c r="C1089" s="15" t="s">
        <v>2110</v>
      </c>
      <c r="D1089" s="14" t="s">
        <v>1752</v>
      </c>
      <c r="E1089" s="14" t="s">
        <v>1746</v>
      </c>
      <c r="F1089" s="14">
        <v>613305</v>
      </c>
      <c r="G1089" s="14">
        <v>459978.8</v>
      </c>
      <c r="H1089" s="37">
        <f>'Calculation Sheet'!N1089</f>
        <v>459978.8</v>
      </c>
    </row>
    <row r="1090" spans="1:8" x14ac:dyDescent="0.25">
      <c r="A1090" s="14" t="s">
        <v>2109</v>
      </c>
      <c r="B1090" s="14">
        <v>5</v>
      </c>
      <c r="C1090" s="15" t="s">
        <v>2110</v>
      </c>
      <c r="D1090" s="14" t="s">
        <v>1752</v>
      </c>
      <c r="E1090" s="14" t="s">
        <v>1753</v>
      </c>
      <c r="F1090" s="14">
        <v>584100</v>
      </c>
      <c r="G1090" s="14">
        <v>438075</v>
      </c>
      <c r="H1090" s="37">
        <f>'Calculation Sheet'!N1090</f>
        <v>438075</v>
      </c>
    </row>
    <row r="1091" spans="1:8" x14ac:dyDescent="0.25">
      <c r="A1091" s="14" t="s">
        <v>2109</v>
      </c>
      <c r="B1091" s="14">
        <v>4</v>
      </c>
      <c r="C1091" s="15" t="s">
        <v>2111</v>
      </c>
      <c r="D1091" s="14" t="s">
        <v>1745</v>
      </c>
      <c r="E1091" s="14" t="s">
        <v>1746</v>
      </c>
      <c r="F1091" s="14">
        <v>112455</v>
      </c>
      <c r="G1091" s="14">
        <v>84341.28</v>
      </c>
      <c r="H1091" s="37">
        <f>'Calculation Sheet'!N1091</f>
        <v>84341.28</v>
      </c>
    </row>
    <row r="1092" spans="1:8" x14ac:dyDescent="0.25">
      <c r="A1092" s="14" t="s">
        <v>2109</v>
      </c>
      <c r="B1092" s="14">
        <v>4</v>
      </c>
      <c r="C1092" s="15" t="s">
        <v>2111</v>
      </c>
      <c r="D1092" s="14" t="s">
        <v>1745</v>
      </c>
      <c r="E1092" s="14" t="s">
        <v>1747</v>
      </c>
      <c r="F1092" s="14">
        <v>107100</v>
      </c>
      <c r="G1092" s="14">
        <v>80325</v>
      </c>
      <c r="H1092" s="37">
        <f>'Calculation Sheet'!N1092</f>
        <v>80325</v>
      </c>
    </row>
    <row r="1093" spans="1:8" x14ac:dyDescent="0.25">
      <c r="A1093" s="14" t="s">
        <v>2109</v>
      </c>
      <c r="B1093" s="14">
        <v>3</v>
      </c>
      <c r="C1093" s="15" t="s">
        <v>2112</v>
      </c>
      <c r="D1093" s="14" t="s">
        <v>1749</v>
      </c>
      <c r="E1093" s="14" t="s">
        <v>1746</v>
      </c>
      <c r="F1093" s="14">
        <v>4866</v>
      </c>
      <c r="G1093" s="14">
        <v>4379.3999999999996</v>
      </c>
      <c r="H1093" s="37">
        <f>'Calculation Sheet'!N1093</f>
        <v>4379.3999999999996</v>
      </c>
    </row>
    <row r="1094" spans="1:8" x14ac:dyDescent="0.25">
      <c r="A1094" s="14" t="s">
        <v>2109</v>
      </c>
      <c r="B1094" s="14">
        <v>4</v>
      </c>
      <c r="C1094" s="15" t="s">
        <v>2111</v>
      </c>
      <c r="D1094" s="14" t="s">
        <v>1749</v>
      </c>
      <c r="E1094" s="14" t="s">
        <v>1746</v>
      </c>
      <c r="F1094" s="14">
        <v>10710</v>
      </c>
      <c r="G1094" s="14">
        <v>8032.5</v>
      </c>
      <c r="H1094" s="37">
        <f>'Calculation Sheet'!N1094</f>
        <v>8032.5</v>
      </c>
    </row>
    <row r="1095" spans="1:8" x14ac:dyDescent="0.25">
      <c r="A1095" s="14" t="s">
        <v>2109</v>
      </c>
      <c r="B1095" s="14">
        <v>2</v>
      </c>
      <c r="C1095" s="15" t="s">
        <v>2113</v>
      </c>
      <c r="D1095" s="14" t="s">
        <v>1745</v>
      </c>
      <c r="E1095" s="14" t="s">
        <v>1746</v>
      </c>
      <c r="F1095" s="14">
        <v>81774</v>
      </c>
      <c r="G1095" s="14">
        <v>61330.559999999998</v>
      </c>
      <c r="H1095" s="37">
        <f>'Calculation Sheet'!N1095</f>
        <v>61330.559999999998</v>
      </c>
    </row>
    <row r="1096" spans="1:8" x14ac:dyDescent="0.25">
      <c r="A1096" s="14" t="s">
        <v>2109</v>
      </c>
      <c r="B1096" s="14">
        <v>5</v>
      </c>
      <c r="C1096" s="15" t="s">
        <v>2110</v>
      </c>
      <c r="D1096" s="14" t="s">
        <v>1752</v>
      </c>
      <c r="E1096" s="14" t="s">
        <v>1747</v>
      </c>
      <c r="F1096" s="14">
        <v>584100</v>
      </c>
      <c r="G1096" s="14">
        <v>438075</v>
      </c>
      <c r="H1096" s="37">
        <f>'Calculation Sheet'!N1096</f>
        <v>438075</v>
      </c>
    </row>
    <row r="1097" spans="1:8" x14ac:dyDescent="0.25">
      <c r="A1097" s="14" t="s">
        <v>2109</v>
      </c>
      <c r="B1097" s="14">
        <v>5</v>
      </c>
      <c r="C1097" s="15" t="s">
        <v>2110</v>
      </c>
      <c r="D1097" s="14" t="s">
        <v>1745</v>
      </c>
      <c r="E1097" s="14" t="s">
        <v>1747</v>
      </c>
      <c r="F1097" s="14">
        <v>194700</v>
      </c>
      <c r="G1097" s="14">
        <v>146025</v>
      </c>
      <c r="H1097" s="37">
        <f>'Calculation Sheet'!N1097</f>
        <v>146025</v>
      </c>
    </row>
    <row r="1098" spans="1:8" x14ac:dyDescent="0.25">
      <c r="A1098" s="14" t="s">
        <v>2109</v>
      </c>
      <c r="B1098" s="14">
        <v>5</v>
      </c>
      <c r="C1098" s="15" t="s">
        <v>2110</v>
      </c>
      <c r="D1098" s="14" t="s">
        <v>1749</v>
      </c>
      <c r="E1098" s="14" t="s">
        <v>1746</v>
      </c>
      <c r="F1098" s="14">
        <v>19470</v>
      </c>
      <c r="G1098" s="14">
        <v>14602.5</v>
      </c>
      <c r="H1098" s="37">
        <f>'Calculation Sheet'!N1098</f>
        <v>14602.5</v>
      </c>
    </row>
    <row r="1099" spans="1:8" x14ac:dyDescent="0.25">
      <c r="A1099" s="14" t="s">
        <v>2109</v>
      </c>
      <c r="B1099" s="14">
        <v>5</v>
      </c>
      <c r="C1099" s="15" t="s">
        <v>2110</v>
      </c>
      <c r="D1099" s="14" t="s">
        <v>1745</v>
      </c>
      <c r="E1099" s="14" t="s">
        <v>1746</v>
      </c>
      <c r="F1099" s="14">
        <v>204435</v>
      </c>
      <c r="G1099" s="14">
        <v>153326.29999999999</v>
      </c>
      <c r="H1099" s="37">
        <f>'Calculation Sheet'!N1099</f>
        <v>153326.29999999999</v>
      </c>
    </row>
    <row r="1100" spans="1:8" x14ac:dyDescent="0.25">
      <c r="A1100" s="14" t="s">
        <v>2109</v>
      </c>
      <c r="B1100" s="14">
        <v>3</v>
      </c>
      <c r="C1100" s="15" t="s">
        <v>2112</v>
      </c>
      <c r="D1100" s="14" t="s">
        <v>1745</v>
      </c>
      <c r="E1100" s="14" t="s">
        <v>1747</v>
      </c>
      <c r="F1100" s="14">
        <v>48660</v>
      </c>
      <c r="G1100" s="14">
        <v>43794</v>
      </c>
      <c r="H1100" s="37">
        <f>'Calculation Sheet'!N1100</f>
        <v>43794</v>
      </c>
    </row>
    <row r="1101" spans="1:8" x14ac:dyDescent="0.25">
      <c r="A1101" s="14" t="s">
        <v>2109</v>
      </c>
      <c r="B1101" s="14">
        <v>2</v>
      </c>
      <c r="C1101" s="15" t="s">
        <v>2113</v>
      </c>
      <c r="D1101" s="14" t="s">
        <v>1749</v>
      </c>
      <c r="E1101" s="14" t="s">
        <v>1746</v>
      </c>
      <c r="F1101" s="14">
        <v>7788</v>
      </c>
      <c r="G1101" s="14">
        <v>5841</v>
      </c>
      <c r="H1101" s="37">
        <f>'Calculation Sheet'!N1101</f>
        <v>5841</v>
      </c>
    </row>
    <row r="1102" spans="1:8" x14ac:dyDescent="0.25">
      <c r="A1102" s="14" t="s">
        <v>2109</v>
      </c>
      <c r="B1102" s="14">
        <v>3</v>
      </c>
      <c r="C1102" s="15" t="s">
        <v>2112</v>
      </c>
      <c r="D1102" s="14" t="s">
        <v>1745</v>
      </c>
      <c r="E1102" s="14" t="s">
        <v>1746</v>
      </c>
      <c r="F1102" s="14">
        <v>51093</v>
      </c>
      <c r="G1102" s="14">
        <v>45983.76</v>
      </c>
      <c r="H1102" s="37">
        <f>'Calculation Sheet'!N1102</f>
        <v>45983.76</v>
      </c>
    </row>
    <row r="1103" spans="1:8" x14ac:dyDescent="0.25">
      <c r="A1103" s="14" t="s">
        <v>2109</v>
      </c>
      <c r="B1103" s="14">
        <v>2</v>
      </c>
      <c r="C1103" s="15" t="s">
        <v>2113</v>
      </c>
      <c r="D1103" s="14" t="s">
        <v>1745</v>
      </c>
      <c r="E1103" s="14" t="s">
        <v>1747</v>
      </c>
      <c r="F1103" s="14">
        <v>77880</v>
      </c>
      <c r="G1103" s="14">
        <v>58410</v>
      </c>
      <c r="H1103" s="37">
        <f>'Calculation Sheet'!N1103</f>
        <v>58410</v>
      </c>
    </row>
    <row r="1104" spans="1:8" ht="30" x14ac:dyDescent="0.25">
      <c r="A1104" s="14" t="s">
        <v>2114</v>
      </c>
      <c r="B1104" s="14">
        <v>14</v>
      </c>
      <c r="C1104" s="15" t="s">
        <v>2115</v>
      </c>
      <c r="D1104" s="14" t="s">
        <v>1745</v>
      </c>
      <c r="E1104" s="14" t="s">
        <v>1746</v>
      </c>
      <c r="F1104" s="14">
        <v>11529</v>
      </c>
      <c r="G1104" s="14">
        <v>8646.7199999999993</v>
      </c>
      <c r="H1104" s="37">
        <f>'Calculation Sheet'!N1104</f>
        <v>8646.7199999999993</v>
      </c>
    </row>
    <row r="1105" spans="1:8" ht="30" x14ac:dyDescent="0.25">
      <c r="A1105" s="14" t="s">
        <v>2114</v>
      </c>
      <c r="B1105" s="14">
        <v>3</v>
      </c>
      <c r="C1105" s="15" t="s">
        <v>2116</v>
      </c>
      <c r="D1105" s="14" t="s">
        <v>1752</v>
      </c>
      <c r="E1105" s="14" t="s">
        <v>1746</v>
      </c>
      <c r="F1105" s="14">
        <v>62937</v>
      </c>
      <c r="G1105" s="14">
        <v>47202.84</v>
      </c>
      <c r="H1105" s="37">
        <f>'Calculation Sheet'!N1105</f>
        <v>47202.84</v>
      </c>
    </row>
    <row r="1106" spans="1:8" ht="30" x14ac:dyDescent="0.25">
      <c r="A1106" s="14" t="s">
        <v>2114</v>
      </c>
      <c r="B1106" s="14">
        <v>17</v>
      </c>
      <c r="C1106" s="15" t="s">
        <v>2117</v>
      </c>
      <c r="D1106" s="14" t="s">
        <v>1749</v>
      </c>
      <c r="E1106" s="14" t="s">
        <v>1746</v>
      </c>
      <c r="F1106" s="14">
        <v>798</v>
      </c>
      <c r="G1106" s="14">
        <v>598.5</v>
      </c>
      <c r="H1106" s="37">
        <f>'Calculation Sheet'!N1106</f>
        <v>598.5</v>
      </c>
    </row>
    <row r="1107" spans="1:8" x14ac:dyDescent="0.25">
      <c r="A1107" s="14" t="s">
        <v>2114</v>
      </c>
      <c r="B1107" s="14" t="s">
        <v>243</v>
      </c>
      <c r="C1107" s="15" t="s">
        <v>2118</v>
      </c>
      <c r="D1107" s="14" t="s">
        <v>1745</v>
      </c>
      <c r="E1107" s="14" t="s">
        <v>1747</v>
      </c>
      <c r="F1107" s="14">
        <v>12480</v>
      </c>
      <c r="G1107" s="14">
        <v>11232</v>
      </c>
      <c r="H1107" s="37">
        <f>'Calculation Sheet'!N1107</f>
        <v>11232</v>
      </c>
    </row>
    <row r="1108" spans="1:8" ht="30" x14ac:dyDescent="0.25">
      <c r="A1108" s="14" t="s">
        <v>2114</v>
      </c>
      <c r="B1108" s="14">
        <v>3</v>
      </c>
      <c r="C1108" s="15" t="s">
        <v>2116</v>
      </c>
      <c r="D1108" s="14" t="s">
        <v>1749</v>
      </c>
      <c r="E1108" s="14" t="s">
        <v>1746</v>
      </c>
      <c r="F1108" s="14">
        <v>1998</v>
      </c>
      <c r="G1108" s="14">
        <v>1498.5</v>
      </c>
      <c r="H1108" s="37">
        <f>'Calculation Sheet'!N1108</f>
        <v>1498.5</v>
      </c>
    </row>
    <row r="1109" spans="1:8" x14ac:dyDescent="0.25">
      <c r="A1109" s="14" t="s">
        <v>2114</v>
      </c>
      <c r="B1109" s="14">
        <v>1</v>
      </c>
      <c r="C1109" s="15" t="s">
        <v>2119</v>
      </c>
      <c r="D1109" s="14" t="s">
        <v>1752</v>
      </c>
      <c r="E1109" s="14" t="s">
        <v>1746</v>
      </c>
      <c r="F1109" s="14">
        <v>157248</v>
      </c>
      <c r="G1109" s="14">
        <v>117936</v>
      </c>
      <c r="H1109" s="37">
        <f>'Calculation Sheet'!N1109</f>
        <v>117936</v>
      </c>
    </row>
    <row r="1110" spans="1:8" ht="30" x14ac:dyDescent="0.25">
      <c r="A1110" s="14" t="s">
        <v>2114</v>
      </c>
      <c r="B1110" s="14">
        <v>15</v>
      </c>
      <c r="C1110" s="15" t="s">
        <v>2120</v>
      </c>
      <c r="D1110" s="14" t="s">
        <v>1745</v>
      </c>
      <c r="E1110" s="14" t="s">
        <v>1746</v>
      </c>
      <c r="F1110" s="14">
        <v>5229</v>
      </c>
      <c r="G1110" s="14">
        <v>4706.16</v>
      </c>
      <c r="H1110" s="37">
        <f>'Calculation Sheet'!N1110</f>
        <v>4706.16</v>
      </c>
    </row>
    <row r="1111" spans="1:8" x14ac:dyDescent="0.25">
      <c r="A1111" s="14" t="s">
        <v>2114</v>
      </c>
      <c r="B1111" s="14">
        <v>1</v>
      </c>
      <c r="C1111" s="15" t="s">
        <v>2119</v>
      </c>
      <c r="D1111" s="14" t="s">
        <v>1745</v>
      </c>
      <c r="E1111" s="14" t="s">
        <v>1746</v>
      </c>
      <c r="F1111" s="14">
        <v>52416</v>
      </c>
      <c r="G1111" s="14">
        <v>39312</v>
      </c>
      <c r="H1111" s="37">
        <f>'Calculation Sheet'!N1111</f>
        <v>39312</v>
      </c>
    </row>
    <row r="1112" spans="1:8" ht="30" x14ac:dyDescent="0.25">
      <c r="A1112" s="14" t="s">
        <v>2114</v>
      </c>
      <c r="B1112" s="14">
        <v>3</v>
      </c>
      <c r="C1112" s="15" t="s">
        <v>2116</v>
      </c>
      <c r="D1112" s="14" t="s">
        <v>1752</v>
      </c>
      <c r="E1112" s="14" t="s">
        <v>1747</v>
      </c>
      <c r="F1112" s="14">
        <v>59940</v>
      </c>
      <c r="G1112" s="14">
        <v>44955</v>
      </c>
      <c r="H1112" s="37">
        <f>'Calculation Sheet'!N1112</f>
        <v>44955</v>
      </c>
    </row>
    <row r="1113" spans="1:8" x14ac:dyDescent="0.25">
      <c r="A1113" s="14" t="s">
        <v>2114</v>
      </c>
      <c r="B1113" s="14" t="s">
        <v>243</v>
      </c>
      <c r="C1113" s="15" t="s">
        <v>2118</v>
      </c>
      <c r="D1113" s="14" t="s">
        <v>1745</v>
      </c>
      <c r="E1113" s="14" t="s">
        <v>1746</v>
      </c>
      <c r="F1113" s="14">
        <v>13104</v>
      </c>
      <c r="G1113" s="14">
        <v>11793.6</v>
      </c>
      <c r="H1113" s="37">
        <f>'Calculation Sheet'!N1113</f>
        <v>11793.6</v>
      </c>
    </row>
    <row r="1114" spans="1:8" x14ac:dyDescent="0.25">
      <c r="A1114" s="14" t="s">
        <v>2114</v>
      </c>
      <c r="B1114" s="14">
        <v>1</v>
      </c>
      <c r="C1114" s="15" t="s">
        <v>2119</v>
      </c>
      <c r="D1114" s="14" t="s">
        <v>1752</v>
      </c>
      <c r="E1114" s="14" t="s">
        <v>1747</v>
      </c>
      <c r="F1114" s="14">
        <v>149760</v>
      </c>
      <c r="G1114" s="14">
        <v>112320</v>
      </c>
      <c r="H1114" s="37">
        <f>'Calculation Sheet'!N1114</f>
        <v>112320</v>
      </c>
    </row>
    <row r="1115" spans="1:8" ht="30" x14ac:dyDescent="0.25">
      <c r="A1115" s="14" t="s">
        <v>2114</v>
      </c>
      <c r="B1115" s="14">
        <v>15</v>
      </c>
      <c r="C1115" s="15" t="s">
        <v>2120</v>
      </c>
      <c r="D1115" s="14" t="s">
        <v>1749</v>
      </c>
      <c r="E1115" s="14" t="s">
        <v>1746</v>
      </c>
      <c r="F1115" s="14">
        <v>498</v>
      </c>
      <c r="G1115" s="14">
        <v>448.2</v>
      </c>
      <c r="H1115" s="37">
        <f>'Calculation Sheet'!N1115</f>
        <v>448.2</v>
      </c>
    </row>
    <row r="1116" spans="1:8" x14ac:dyDescent="0.25">
      <c r="A1116" s="14" t="s">
        <v>2114</v>
      </c>
      <c r="B1116" s="14">
        <v>10</v>
      </c>
      <c r="C1116" s="15" t="s">
        <v>2121</v>
      </c>
      <c r="D1116" s="14" t="s">
        <v>1749</v>
      </c>
      <c r="E1116" s="14" t="s">
        <v>1746</v>
      </c>
      <c r="F1116" s="14">
        <v>1998</v>
      </c>
      <c r="G1116" s="14">
        <v>1498.5</v>
      </c>
      <c r="H1116" s="37">
        <f>'Calculation Sheet'!N1116</f>
        <v>1498.5</v>
      </c>
    </row>
    <row r="1117" spans="1:8" x14ac:dyDescent="0.25">
      <c r="A1117" s="14" t="s">
        <v>2114</v>
      </c>
      <c r="B1117" s="14">
        <v>1</v>
      </c>
      <c r="C1117" s="15" t="s">
        <v>2119</v>
      </c>
      <c r="D1117" s="14" t="s">
        <v>1749</v>
      </c>
      <c r="E1117" s="14" t="s">
        <v>1746</v>
      </c>
      <c r="F1117" s="14">
        <v>4992</v>
      </c>
      <c r="G1117" s="14">
        <v>3744</v>
      </c>
      <c r="H1117" s="37">
        <f>'Calculation Sheet'!N1117</f>
        <v>3744</v>
      </c>
    </row>
    <row r="1118" spans="1:8" x14ac:dyDescent="0.25">
      <c r="A1118" s="14" t="s">
        <v>2114</v>
      </c>
      <c r="B1118" s="14">
        <v>10</v>
      </c>
      <c r="C1118" s="15" t="s">
        <v>2121</v>
      </c>
      <c r="D1118" s="14" t="s">
        <v>1745</v>
      </c>
      <c r="E1118" s="14" t="s">
        <v>1747</v>
      </c>
      <c r="F1118" s="14">
        <v>19980</v>
      </c>
      <c r="G1118" s="14">
        <v>14985</v>
      </c>
      <c r="H1118" s="37">
        <f>'Calculation Sheet'!N1118</f>
        <v>14985</v>
      </c>
    </row>
    <row r="1119" spans="1:8" x14ac:dyDescent="0.25">
      <c r="A1119" s="14" t="s">
        <v>2114</v>
      </c>
      <c r="B1119" s="14">
        <v>1</v>
      </c>
      <c r="C1119" s="15" t="s">
        <v>2119</v>
      </c>
      <c r="D1119" s="14" t="s">
        <v>1752</v>
      </c>
      <c r="E1119" s="14" t="s">
        <v>1753</v>
      </c>
      <c r="F1119" s="14">
        <v>149760</v>
      </c>
      <c r="G1119" s="14">
        <v>112320</v>
      </c>
      <c r="H1119" s="37">
        <f>'Calculation Sheet'!N1119</f>
        <v>112320</v>
      </c>
    </row>
    <row r="1120" spans="1:8" x14ac:dyDescent="0.25">
      <c r="A1120" s="14" t="s">
        <v>2114</v>
      </c>
      <c r="B1120" s="14" t="s">
        <v>102</v>
      </c>
      <c r="C1120" s="15" t="s">
        <v>2122</v>
      </c>
      <c r="D1120" s="14" t="s">
        <v>1745</v>
      </c>
      <c r="E1120" s="14" t="s">
        <v>1746</v>
      </c>
      <c r="F1120" s="14">
        <v>28854</v>
      </c>
      <c r="G1120" s="14">
        <v>21640.560000000001</v>
      </c>
      <c r="H1120" s="37">
        <f>'Calculation Sheet'!N1120</f>
        <v>21640.560000000001</v>
      </c>
    </row>
    <row r="1121" spans="1:8" ht="30" x14ac:dyDescent="0.25">
      <c r="A1121" s="14" t="s">
        <v>2114</v>
      </c>
      <c r="B1121" s="14">
        <v>15</v>
      </c>
      <c r="C1121" s="15" t="s">
        <v>2120</v>
      </c>
      <c r="D1121" s="14" t="s">
        <v>1745</v>
      </c>
      <c r="E1121" s="14" t="s">
        <v>1747</v>
      </c>
      <c r="F1121" s="14">
        <v>4980</v>
      </c>
      <c r="G1121" s="14">
        <v>4482</v>
      </c>
      <c r="H1121" s="37">
        <f>'Calculation Sheet'!N1121</f>
        <v>4482</v>
      </c>
    </row>
    <row r="1122" spans="1:8" x14ac:dyDescent="0.25">
      <c r="A1122" s="14" t="s">
        <v>2114</v>
      </c>
      <c r="B1122" s="14">
        <v>1</v>
      </c>
      <c r="C1122" s="15" t="s">
        <v>2119</v>
      </c>
      <c r="D1122" s="14" t="s">
        <v>1745</v>
      </c>
      <c r="E1122" s="14" t="s">
        <v>1747</v>
      </c>
      <c r="F1122" s="14">
        <v>49920</v>
      </c>
      <c r="G1122" s="14">
        <v>37440</v>
      </c>
      <c r="H1122" s="37">
        <f>'Calculation Sheet'!N1122</f>
        <v>37440</v>
      </c>
    </row>
    <row r="1123" spans="1:8" ht="30" x14ac:dyDescent="0.25">
      <c r="A1123" s="14" t="s">
        <v>2114</v>
      </c>
      <c r="B1123" s="14">
        <v>17</v>
      </c>
      <c r="C1123" s="15" t="s">
        <v>2117</v>
      </c>
      <c r="D1123" s="14" t="s">
        <v>1745</v>
      </c>
      <c r="E1123" s="14" t="s">
        <v>1747</v>
      </c>
      <c r="F1123" s="14">
        <v>7980</v>
      </c>
      <c r="G1123" s="14">
        <v>5985</v>
      </c>
      <c r="H1123" s="37">
        <f>'Calculation Sheet'!N1123</f>
        <v>5985</v>
      </c>
    </row>
    <row r="1124" spans="1:8" x14ac:dyDescent="0.25">
      <c r="A1124" s="14" t="s">
        <v>2114</v>
      </c>
      <c r="B1124" s="14" t="s">
        <v>243</v>
      </c>
      <c r="C1124" s="15" t="s">
        <v>2118</v>
      </c>
      <c r="D1124" s="14" t="s">
        <v>1749</v>
      </c>
      <c r="E1124" s="14" t="s">
        <v>1746</v>
      </c>
      <c r="F1124" s="14">
        <v>1248</v>
      </c>
      <c r="G1124" s="14">
        <v>1123.2</v>
      </c>
      <c r="H1124" s="37">
        <f>'Calculation Sheet'!N1124</f>
        <v>1123.2</v>
      </c>
    </row>
    <row r="1125" spans="1:8" x14ac:dyDescent="0.25">
      <c r="A1125" s="14" t="s">
        <v>2114</v>
      </c>
      <c r="B1125" s="14" t="s">
        <v>102</v>
      </c>
      <c r="C1125" s="15" t="s">
        <v>2122</v>
      </c>
      <c r="D1125" s="14" t="s">
        <v>1749</v>
      </c>
      <c r="E1125" s="14" t="s">
        <v>1746</v>
      </c>
      <c r="F1125" s="14">
        <v>2748</v>
      </c>
      <c r="G1125" s="14">
        <v>2061</v>
      </c>
      <c r="H1125" s="37">
        <f>'Calculation Sheet'!N1125</f>
        <v>2061</v>
      </c>
    </row>
    <row r="1126" spans="1:8" ht="30" x14ac:dyDescent="0.25">
      <c r="A1126" s="14" t="s">
        <v>2114</v>
      </c>
      <c r="B1126" s="14">
        <v>3</v>
      </c>
      <c r="C1126" s="15" t="s">
        <v>2116</v>
      </c>
      <c r="D1126" s="14" t="s">
        <v>1745</v>
      </c>
      <c r="E1126" s="14" t="s">
        <v>1747</v>
      </c>
      <c r="F1126" s="14">
        <v>19980</v>
      </c>
      <c r="G1126" s="14">
        <v>14985</v>
      </c>
      <c r="H1126" s="37">
        <f>'Calculation Sheet'!N1126</f>
        <v>14985</v>
      </c>
    </row>
    <row r="1127" spans="1:8" ht="30" x14ac:dyDescent="0.25">
      <c r="A1127" s="14" t="s">
        <v>2114</v>
      </c>
      <c r="B1127" s="14">
        <v>14</v>
      </c>
      <c r="C1127" s="15" t="s">
        <v>2115</v>
      </c>
      <c r="D1127" s="14" t="s">
        <v>1749</v>
      </c>
      <c r="E1127" s="14" t="s">
        <v>1746</v>
      </c>
      <c r="F1127" s="14">
        <v>1098</v>
      </c>
      <c r="G1127" s="14">
        <v>823.5</v>
      </c>
      <c r="H1127" s="37">
        <f>'Calculation Sheet'!N1127</f>
        <v>823.5</v>
      </c>
    </row>
    <row r="1128" spans="1:8" ht="30" x14ac:dyDescent="0.25">
      <c r="A1128" s="14" t="s">
        <v>2114</v>
      </c>
      <c r="B1128" s="14">
        <v>17</v>
      </c>
      <c r="C1128" s="15" t="s">
        <v>2117</v>
      </c>
      <c r="D1128" s="14" t="s">
        <v>1745</v>
      </c>
      <c r="E1128" s="14" t="s">
        <v>1746</v>
      </c>
      <c r="F1128" s="14">
        <v>8379</v>
      </c>
      <c r="G1128" s="14">
        <v>6284.28</v>
      </c>
      <c r="H1128" s="37">
        <f>'Calculation Sheet'!N1128</f>
        <v>6284.28</v>
      </c>
    </row>
    <row r="1129" spans="1:8" ht="30" x14ac:dyDescent="0.25">
      <c r="A1129" s="14" t="s">
        <v>2114</v>
      </c>
      <c r="B1129" s="14">
        <v>3</v>
      </c>
      <c r="C1129" s="15" t="s">
        <v>2116</v>
      </c>
      <c r="D1129" s="14" t="s">
        <v>1745</v>
      </c>
      <c r="E1129" s="14" t="s">
        <v>1746</v>
      </c>
      <c r="F1129" s="14">
        <v>20979</v>
      </c>
      <c r="G1129" s="14">
        <v>15734.28</v>
      </c>
      <c r="H1129" s="37">
        <f>'Calculation Sheet'!N1129</f>
        <v>15734.28</v>
      </c>
    </row>
    <row r="1130" spans="1:8" x14ac:dyDescent="0.25">
      <c r="A1130" s="14" t="s">
        <v>2114</v>
      </c>
      <c r="B1130" s="14" t="s">
        <v>102</v>
      </c>
      <c r="C1130" s="15" t="s">
        <v>2122</v>
      </c>
      <c r="D1130" s="14" t="s">
        <v>1745</v>
      </c>
      <c r="E1130" s="14" t="s">
        <v>1747</v>
      </c>
      <c r="F1130" s="14">
        <v>27480</v>
      </c>
      <c r="G1130" s="14">
        <v>20610</v>
      </c>
      <c r="H1130" s="37">
        <f>'Calculation Sheet'!N1130</f>
        <v>20610</v>
      </c>
    </row>
    <row r="1131" spans="1:8" x14ac:dyDescent="0.25">
      <c r="A1131" s="14" t="s">
        <v>2114</v>
      </c>
      <c r="B1131" s="14">
        <v>10</v>
      </c>
      <c r="C1131" s="15" t="s">
        <v>2121</v>
      </c>
      <c r="D1131" s="14" t="s">
        <v>1745</v>
      </c>
      <c r="E1131" s="14" t="s">
        <v>1746</v>
      </c>
      <c r="F1131" s="14">
        <v>20979</v>
      </c>
      <c r="G1131" s="14">
        <v>15734.28</v>
      </c>
      <c r="H1131" s="37">
        <f>'Calculation Sheet'!N1131</f>
        <v>15734.28</v>
      </c>
    </row>
    <row r="1132" spans="1:8" ht="30" x14ac:dyDescent="0.25">
      <c r="A1132" s="14" t="s">
        <v>2114</v>
      </c>
      <c r="B1132" s="14">
        <v>3</v>
      </c>
      <c r="C1132" s="15" t="s">
        <v>2116</v>
      </c>
      <c r="D1132" s="14" t="s">
        <v>1752</v>
      </c>
      <c r="E1132" s="14" t="s">
        <v>1753</v>
      </c>
      <c r="F1132" s="14">
        <v>59940</v>
      </c>
      <c r="G1132" s="14">
        <v>44955</v>
      </c>
      <c r="H1132" s="37">
        <f>'Calculation Sheet'!N1132</f>
        <v>44955</v>
      </c>
    </row>
    <row r="1133" spans="1:8" ht="30" x14ac:dyDescent="0.25">
      <c r="A1133" s="14" t="s">
        <v>2114</v>
      </c>
      <c r="B1133" s="14">
        <v>14</v>
      </c>
      <c r="C1133" s="15" t="s">
        <v>2115</v>
      </c>
      <c r="D1133" s="14" t="s">
        <v>1745</v>
      </c>
      <c r="E1133" s="14" t="s">
        <v>1747</v>
      </c>
      <c r="F1133" s="14">
        <v>10980</v>
      </c>
      <c r="G1133" s="14">
        <v>8235</v>
      </c>
      <c r="H1133" s="37">
        <f>'Calculation Sheet'!N1133</f>
        <v>8235</v>
      </c>
    </row>
    <row r="1134" spans="1:8" x14ac:dyDescent="0.25">
      <c r="A1134" s="14" t="s">
        <v>2123</v>
      </c>
      <c r="B1134" s="14">
        <v>7</v>
      </c>
      <c r="C1134" s="15" t="s">
        <v>2124</v>
      </c>
      <c r="D1134" s="14" t="s">
        <v>1749</v>
      </c>
      <c r="E1134" s="14" t="s">
        <v>1746</v>
      </c>
      <c r="F1134" s="14">
        <v>3996</v>
      </c>
      <c r="G1134" s="14">
        <v>2997</v>
      </c>
      <c r="H1134" s="37">
        <f>'Calculation Sheet'!N1134</f>
        <v>2997</v>
      </c>
    </row>
    <row r="1135" spans="1:8" x14ac:dyDescent="0.25">
      <c r="A1135" s="14" t="s">
        <v>2123</v>
      </c>
      <c r="B1135" s="14">
        <v>5</v>
      </c>
      <c r="C1135" s="15" t="s">
        <v>2125</v>
      </c>
      <c r="D1135" s="14" t="s">
        <v>1745</v>
      </c>
      <c r="E1135" s="14" t="s">
        <v>1747</v>
      </c>
      <c r="F1135" s="14">
        <v>79860</v>
      </c>
      <c r="G1135" s="14">
        <v>71874</v>
      </c>
      <c r="H1135" s="37">
        <f>'Calculation Sheet'!N1135</f>
        <v>71874</v>
      </c>
    </row>
    <row r="1136" spans="1:8" x14ac:dyDescent="0.25">
      <c r="A1136" s="14" t="s">
        <v>2123</v>
      </c>
      <c r="B1136" s="14">
        <v>1</v>
      </c>
      <c r="C1136" s="15" t="s">
        <v>2126</v>
      </c>
      <c r="D1136" s="14" t="s">
        <v>1745</v>
      </c>
      <c r="E1136" s="14" t="s">
        <v>1746</v>
      </c>
      <c r="F1136" s="14">
        <v>209664</v>
      </c>
      <c r="G1136" s="14">
        <v>157248</v>
      </c>
      <c r="H1136" s="37">
        <f>'Calculation Sheet'!N1136</f>
        <v>157248</v>
      </c>
    </row>
    <row r="1137" spans="1:8" x14ac:dyDescent="0.25">
      <c r="A1137" s="14" t="s">
        <v>2123</v>
      </c>
      <c r="B1137" s="14">
        <v>7</v>
      </c>
      <c r="C1137" s="15" t="s">
        <v>2124</v>
      </c>
      <c r="D1137" s="14" t="s">
        <v>1745</v>
      </c>
      <c r="E1137" s="14" t="s">
        <v>1746</v>
      </c>
      <c r="F1137" s="14">
        <v>41958</v>
      </c>
      <c r="G1137" s="14">
        <v>31468.560000000001</v>
      </c>
      <c r="H1137" s="37">
        <f>'Calculation Sheet'!N1137</f>
        <v>31468.560000000001</v>
      </c>
    </row>
    <row r="1138" spans="1:8" x14ac:dyDescent="0.25">
      <c r="A1138" s="14" t="s">
        <v>2123</v>
      </c>
      <c r="B1138" s="14">
        <v>1</v>
      </c>
      <c r="C1138" s="15" t="s">
        <v>2126</v>
      </c>
      <c r="D1138" s="14" t="s">
        <v>1749</v>
      </c>
      <c r="E1138" s="14" t="s">
        <v>1746</v>
      </c>
      <c r="F1138" s="14">
        <v>19968</v>
      </c>
      <c r="G1138" s="14">
        <v>14976</v>
      </c>
      <c r="H1138" s="37">
        <f>'Calculation Sheet'!N1138</f>
        <v>14976</v>
      </c>
    </row>
    <row r="1139" spans="1:8" x14ac:dyDescent="0.25">
      <c r="A1139" s="14" t="s">
        <v>2123</v>
      </c>
      <c r="B1139" s="14">
        <v>5</v>
      </c>
      <c r="C1139" s="15" t="s">
        <v>2125</v>
      </c>
      <c r="D1139" s="14" t="s">
        <v>1749</v>
      </c>
      <c r="E1139" s="14" t="s">
        <v>1746</v>
      </c>
      <c r="F1139" s="14">
        <v>7986</v>
      </c>
      <c r="G1139" s="14">
        <v>7187.4</v>
      </c>
      <c r="H1139" s="37">
        <f>'Calculation Sheet'!N1139</f>
        <v>7187.4</v>
      </c>
    </row>
    <row r="1140" spans="1:8" x14ac:dyDescent="0.25">
      <c r="A1140" s="14" t="s">
        <v>2123</v>
      </c>
      <c r="B1140" s="14">
        <v>7</v>
      </c>
      <c r="C1140" s="15" t="s">
        <v>2124</v>
      </c>
      <c r="D1140" s="14" t="s">
        <v>1745</v>
      </c>
      <c r="E1140" s="14" t="s">
        <v>1747</v>
      </c>
      <c r="F1140" s="14">
        <v>39960</v>
      </c>
      <c r="G1140" s="14">
        <v>29970</v>
      </c>
      <c r="H1140" s="37">
        <f>'Calculation Sheet'!N1140</f>
        <v>29970</v>
      </c>
    </row>
    <row r="1141" spans="1:8" x14ac:dyDescent="0.25">
      <c r="A1141" s="14" t="s">
        <v>2123</v>
      </c>
      <c r="B1141" s="14">
        <v>5</v>
      </c>
      <c r="C1141" s="15" t="s">
        <v>2125</v>
      </c>
      <c r="D1141" s="14" t="s">
        <v>1745</v>
      </c>
      <c r="E1141" s="14" t="s">
        <v>1746</v>
      </c>
      <c r="F1141" s="14">
        <v>83853</v>
      </c>
      <c r="G1141" s="14">
        <v>75467.759999999995</v>
      </c>
      <c r="H1141" s="37">
        <f>'Calculation Sheet'!N1141</f>
        <v>75467.759999999995</v>
      </c>
    </row>
    <row r="1142" spans="1:8" x14ac:dyDescent="0.25">
      <c r="A1142" s="14" t="s">
        <v>2123</v>
      </c>
      <c r="B1142" s="14">
        <v>1</v>
      </c>
      <c r="C1142" s="15" t="s">
        <v>2126</v>
      </c>
      <c r="D1142" s="14" t="s">
        <v>1745</v>
      </c>
      <c r="E1142" s="14" t="s">
        <v>1747</v>
      </c>
      <c r="F1142" s="14">
        <v>199680</v>
      </c>
      <c r="G1142" s="14">
        <v>149760</v>
      </c>
      <c r="H1142" s="37">
        <f>'Calculation Sheet'!N1142</f>
        <v>149760</v>
      </c>
    </row>
    <row r="1143" spans="1:8" x14ac:dyDescent="0.25">
      <c r="A1143" s="14" t="s">
        <v>2127</v>
      </c>
      <c r="B1143" s="14">
        <v>6</v>
      </c>
      <c r="C1143" s="15" t="s">
        <v>2128</v>
      </c>
      <c r="D1143" s="14" t="s">
        <v>1745</v>
      </c>
      <c r="E1143" s="14" t="s">
        <v>1747</v>
      </c>
      <c r="F1143" s="14">
        <v>24960</v>
      </c>
      <c r="G1143" s="14">
        <v>22464</v>
      </c>
      <c r="H1143" s="37">
        <f>'Calculation Sheet'!N1143</f>
        <v>22464</v>
      </c>
    </row>
    <row r="1144" spans="1:8" x14ac:dyDescent="0.25">
      <c r="A1144" s="14" t="s">
        <v>2127</v>
      </c>
      <c r="B1144" s="14">
        <v>1</v>
      </c>
      <c r="C1144" s="15" t="s">
        <v>2129</v>
      </c>
      <c r="D1144" s="14" t="s">
        <v>1749</v>
      </c>
      <c r="E1144" s="14" t="s">
        <v>1746</v>
      </c>
      <c r="F1144" s="14">
        <v>9984</v>
      </c>
      <c r="G1144" s="14">
        <v>7488</v>
      </c>
      <c r="H1144" s="37">
        <f>'Calculation Sheet'!N1144</f>
        <v>7488</v>
      </c>
    </row>
    <row r="1145" spans="1:8" x14ac:dyDescent="0.25">
      <c r="A1145" s="14" t="s">
        <v>2127</v>
      </c>
      <c r="B1145" s="14">
        <v>5</v>
      </c>
      <c r="C1145" s="15" t="s">
        <v>2130</v>
      </c>
      <c r="D1145" s="14" t="s">
        <v>1745</v>
      </c>
      <c r="E1145" s="14" t="s">
        <v>1747</v>
      </c>
      <c r="F1145" s="14">
        <v>54900</v>
      </c>
      <c r="G1145" s="14">
        <v>41175</v>
      </c>
      <c r="H1145" s="37">
        <f>'Calculation Sheet'!N1145</f>
        <v>41175</v>
      </c>
    </row>
    <row r="1146" spans="1:8" x14ac:dyDescent="0.25">
      <c r="A1146" s="14" t="s">
        <v>2127</v>
      </c>
      <c r="B1146" s="14">
        <v>6</v>
      </c>
      <c r="C1146" s="15" t="s">
        <v>2128</v>
      </c>
      <c r="D1146" s="14" t="s">
        <v>1749</v>
      </c>
      <c r="E1146" s="14" t="s">
        <v>1746</v>
      </c>
      <c r="F1146" s="14">
        <v>2496</v>
      </c>
      <c r="G1146" s="14">
        <v>2246.4</v>
      </c>
      <c r="H1146" s="37">
        <f>'Calculation Sheet'!N1146</f>
        <v>2246.4</v>
      </c>
    </row>
    <row r="1147" spans="1:8" x14ac:dyDescent="0.25">
      <c r="A1147" s="14" t="s">
        <v>2127</v>
      </c>
      <c r="B1147" s="14">
        <v>1</v>
      </c>
      <c r="C1147" s="15" t="s">
        <v>2129</v>
      </c>
      <c r="D1147" s="14" t="s">
        <v>1745</v>
      </c>
      <c r="E1147" s="14" t="s">
        <v>1747</v>
      </c>
      <c r="F1147" s="14">
        <v>99840</v>
      </c>
      <c r="G1147" s="14">
        <v>74880</v>
      </c>
      <c r="H1147" s="37">
        <f>'Calculation Sheet'!N1147</f>
        <v>74880</v>
      </c>
    </row>
    <row r="1148" spans="1:8" x14ac:dyDescent="0.25">
      <c r="A1148" s="14" t="s">
        <v>2127</v>
      </c>
      <c r="B1148" s="14">
        <v>5</v>
      </c>
      <c r="C1148" s="15" t="s">
        <v>2130</v>
      </c>
      <c r="D1148" s="14" t="s">
        <v>1745</v>
      </c>
      <c r="E1148" s="14" t="s">
        <v>1746</v>
      </c>
      <c r="F1148" s="14">
        <v>57645</v>
      </c>
      <c r="G1148" s="14">
        <v>43233.72</v>
      </c>
      <c r="H1148" s="37">
        <f>'Calculation Sheet'!N1148</f>
        <v>43233.72</v>
      </c>
    </row>
    <row r="1149" spans="1:8" x14ac:dyDescent="0.25">
      <c r="A1149" s="14" t="s">
        <v>2127</v>
      </c>
      <c r="B1149" s="14">
        <v>1</v>
      </c>
      <c r="C1149" s="15" t="s">
        <v>2129</v>
      </c>
      <c r="D1149" s="14" t="s">
        <v>1745</v>
      </c>
      <c r="E1149" s="14" t="s">
        <v>1746</v>
      </c>
      <c r="F1149" s="14">
        <v>104832</v>
      </c>
      <c r="G1149" s="14">
        <v>78624</v>
      </c>
      <c r="H1149" s="37">
        <f>'Calculation Sheet'!N1149</f>
        <v>78624</v>
      </c>
    </row>
    <row r="1150" spans="1:8" x14ac:dyDescent="0.25">
      <c r="A1150" s="14" t="s">
        <v>2127</v>
      </c>
      <c r="B1150" s="14">
        <v>5</v>
      </c>
      <c r="C1150" s="15" t="s">
        <v>2130</v>
      </c>
      <c r="D1150" s="14" t="s">
        <v>1749</v>
      </c>
      <c r="E1150" s="14" t="s">
        <v>1746</v>
      </c>
      <c r="F1150" s="14">
        <v>5490</v>
      </c>
      <c r="G1150" s="14">
        <v>4117.5</v>
      </c>
      <c r="H1150" s="37">
        <f>'Calculation Sheet'!N1150</f>
        <v>4117.5</v>
      </c>
    </row>
    <row r="1151" spans="1:8" x14ac:dyDescent="0.25">
      <c r="A1151" s="14" t="s">
        <v>2127</v>
      </c>
      <c r="B1151" s="14">
        <v>6</v>
      </c>
      <c r="C1151" s="15" t="s">
        <v>2128</v>
      </c>
      <c r="D1151" s="14" t="s">
        <v>1745</v>
      </c>
      <c r="E1151" s="14" t="s">
        <v>1746</v>
      </c>
      <c r="F1151" s="14">
        <v>26208</v>
      </c>
      <c r="G1151" s="14">
        <v>23587.200000000001</v>
      </c>
      <c r="H1151" s="37">
        <f>'Calculation Sheet'!N1151</f>
        <v>23587.200000000001</v>
      </c>
    </row>
    <row r="1152" spans="1:8" x14ac:dyDescent="0.25">
      <c r="A1152" s="14" t="s">
        <v>2131</v>
      </c>
      <c r="B1152" s="14">
        <v>1</v>
      </c>
      <c r="C1152" s="15" t="s">
        <v>2132</v>
      </c>
      <c r="D1152" s="14" t="s">
        <v>1745</v>
      </c>
      <c r="E1152" s="14" t="s">
        <v>1747</v>
      </c>
      <c r="F1152" s="14">
        <v>0</v>
      </c>
      <c r="G1152" s="14">
        <v>0</v>
      </c>
      <c r="H1152" s="37">
        <f>'Calculation Sheet'!N1152</f>
        <v>0</v>
      </c>
    </row>
    <row r="1153" spans="1:8" x14ac:dyDescent="0.25">
      <c r="A1153" s="14" t="s">
        <v>2131</v>
      </c>
      <c r="B1153" s="14">
        <v>4</v>
      </c>
      <c r="C1153" s="15" t="s">
        <v>2133</v>
      </c>
      <c r="D1153" s="14" t="s">
        <v>1745</v>
      </c>
      <c r="E1153" s="14" t="s">
        <v>1747</v>
      </c>
      <c r="F1153" s="14">
        <v>0</v>
      </c>
      <c r="G1153" s="14">
        <v>0</v>
      </c>
      <c r="H1153" s="37">
        <f>'Calculation Sheet'!N1153</f>
        <v>0</v>
      </c>
    </row>
    <row r="1154" spans="1:8" x14ac:dyDescent="0.25">
      <c r="A1154" s="14" t="s">
        <v>2131</v>
      </c>
      <c r="B1154" s="14">
        <v>1</v>
      </c>
      <c r="C1154" s="15" t="s">
        <v>2132</v>
      </c>
      <c r="D1154" s="14" t="s">
        <v>1749</v>
      </c>
      <c r="E1154" s="14" t="s">
        <v>1746</v>
      </c>
      <c r="F1154" s="14">
        <v>0</v>
      </c>
      <c r="G1154" s="14">
        <v>0</v>
      </c>
      <c r="H1154" s="37">
        <f>'Calculation Sheet'!N1154</f>
        <v>0</v>
      </c>
    </row>
    <row r="1155" spans="1:8" x14ac:dyDescent="0.25">
      <c r="A1155" s="14" t="s">
        <v>2131</v>
      </c>
      <c r="B1155" s="14">
        <v>4</v>
      </c>
      <c r="C1155" s="15" t="s">
        <v>2133</v>
      </c>
      <c r="D1155" s="14" t="s">
        <v>1749</v>
      </c>
      <c r="E1155" s="14" t="s">
        <v>1746</v>
      </c>
      <c r="F1155" s="14">
        <v>0</v>
      </c>
      <c r="G1155" s="14">
        <v>0</v>
      </c>
      <c r="H1155" s="37">
        <f>'Calculation Sheet'!N1155</f>
        <v>0</v>
      </c>
    </row>
    <row r="1156" spans="1:8" x14ac:dyDescent="0.25">
      <c r="A1156" s="14" t="s">
        <v>2131</v>
      </c>
      <c r="B1156" s="14">
        <v>4</v>
      </c>
      <c r="C1156" s="15" t="s">
        <v>2133</v>
      </c>
      <c r="D1156" s="14" t="s">
        <v>1745</v>
      </c>
      <c r="E1156" s="14" t="s">
        <v>1746</v>
      </c>
      <c r="F1156" s="14">
        <v>0</v>
      </c>
      <c r="G1156" s="14">
        <v>0</v>
      </c>
      <c r="H1156" s="37">
        <f>'Calculation Sheet'!N1156</f>
        <v>0</v>
      </c>
    </row>
    <row r="1157" spans="1:8" x14ac:dyDescent="0.25">
      <c r="A1157" s="14" t="s">
        <v>2131</v>
      </c>
      <c r="B1157" s="14">
        <v>1</v>
      </c>
      <c r="C1157" s="15" t="s">
        <v>2132</v>
      </c>
      <c r="D1157" s="14" t="s">
        <v>1745</v>
      </c>
      <c r="E1157" s="14" t="s">
        <v>1746</v>
      </c>
      <c r="F1157" s="14">
        <v>0</v>
      </c>
      <c r="G1157" s="14">
        <v>0</v>
      </c>
      <c r="H1157" s="37">
        <f>'Calculation Sheet'!N1157</f>
        <v>0</v>
      </c>
    </row>
    <row r="1158" spans="1:8" x14ac:dyDescent="0.25">
      <c r="A1158" s="14" t="s">
        <v>2131</v>
      </c>
      <c r="B1158" s="14">
        <v>3</v>
      </c>
      <c r="C1158" s="15" t="s">
        <v>2134</v>
      </c>
      <c r="D1158" s="14" t="s">
        <v>1749</v>
      </c>
      <c r="E1158" s="14" t="s">
        <v>1746</v>
      </c>
      <c r="F1158" s="14">
        <v>0</v>
      </c>
      <c r="G1158" s="14">
        <v>0</v>
      </c>
      <c r="H1158" s="37">
        <f>'Calculation Sheet'!N1158</f>
        <v>0</v>
      </c>
    </row>
    <row r="1159" spans="1:8" x14ac:dyDescent="0.25">
      <c r="A1159" s="14" t="s">
        <v>2131</v>
      </c>
      <c r="B1159" s="14">
        <v>3</v>
      </c>
      <c r="C1159" s="15" t="s">
        <v>2134</v>
      </c>
      <c r="D1159" s="14" t="s">
        <v>1745</v>
      </c>
      <c r="E1159" s="14" t="s">
        <v>1747</v>
      </c>
      <c r="F1159" s="14">
        <v>0</v>
      </c>
      <c r="G1159" s="14">
        <v>0</v>
      </c>
      <c r="H1159" s="37">
        <f>'Calculation Sheet'!N1159</f>
        <v>0</v>
      </c>
    </row>
    <row r="1160" spans="1:8" x14ac:dyDescent="0.25">
      <c r="A1160" s="14" t="s">
        <v>2131</v>
      </c>
      <c r="B1160" s="14">
        <v>3</v>
      </c>
      <c r="C1160" s="15" t="s">
        <v>2134</v>
      </c>
      <c r="D1160" s="14" t="s">
        <v>1745</v>
      </c>
      <c r="E1160" s="14" t="s">
        <v>1746</v>
      </c>
      <c r="F1160" s="14">
        <v>0</v>
      </c>
      <c r="G1160" s="14">
        <v>0</v>
      </c>
      <c r="H1160" s="37">
        <f>'Calculation Sheet'!N1160</f>
        <v>0</v>
      </c>
    </row>
    <row r="1161" spans="1:8" x14ac:dyDescent="0.25">
      <c r="A1161" s="14" t="s">
        <v>2135</v>
      </c>
      <c r="B1161" s="14">
        <v>1</v>
      </c>
      <c r="C1161" s="15" t="s">
        <v>2136</v>
      </c>
      <c r="D1161" s="14" t="s">
        <v>1752</v>
      </c>
      <c r="E1161" s="14" t="s">
        <v>1747</v>
      </c>
      <c r="F1161" s="14">
        <v>898560</v>
      </c>
      <c r="G1161" s="14">
        <v>628992</v>
      </c>
      <c r="H1161" s="37">
        <f>'Calculation Sheet'!N1161</f>
        <v>628992</v>
      </c>
    </row>
    <row r="1162" spans="1:8" x14ac:dyDescent="0.25">
      <c r="A1162" s="14" t="s">
        <v>2135</v>
      </c>
      <c r="B1162" s="14">
        <v>6</v>
      </c>
      <c r="C1162" s="15" t="s">
        <v>2137</v>
      </c>
      <c r="D1162" s="14" t="s">
        <v>1752</v>
      </c>
      <c r="E1162" s="14" t="s">
        <v>1746</v>
      </c>
      <c r="F1162" s="14">
        <v>141561</v>
      </c>
      <c r="G1162" s="14">
        <v>99092.88</v>
      </c>
      <c r="H1162" s="37">
        <f>'Calculation Sheet'!N1162</f>
        <v>99092.88</v>
      </c>
    </row>
    <row r="1163" spans="1:8" x14ac:dyDescent="0.25">
      <c r="A1163" s="14" t="s">
        <v>2135</v>
      </c>
      <c r="B1163" s="14">
        <v>7</v>
      </c>
      <c r="C1163" s="15" t="s">
        <v>2138</v>
      </c>
      <c r="D1163" s="14" t="s">
        <v>1745</v>
      </c>
      <c r="E1163" s="14" t="s">
        <v>1747</v>
      </c>
      <c r="F1163" s="14">
        <v>119820</v>
      </c>
      <c r="G1163" s="14">
        <v>107838</v>
      </c>
      <c r="H1163" s="37">
        <f>'Calculation Sheet'!N1163</f>
        <v>107838</v>
      </c>
    </row>
    <row r="1164" spans="1:8" x14ac:dyDescent="0.25">
      <c r="A1164" s="14" t="s">
        <v>2135</v>
      </c>
      <c r="B1164" s="14">
        <v>6</v>
      </c>
      <c r="C1164" s="15" t="s">
        <v>2137</v>
      </c>
      <c r="D1164" s="14" t="s">
        <v>1752</v>
      </c>
      <c r="E1164" s="14" t="s">
        <v>1747</v>
      </c>
      <c r="F1164" s="14">
        <v>134820</v>
      </c>
      <c r="G1164" s="14">
        <v>94374</v>
      </c>
      <c r="H1164" s="37">
        <f>'Calculation Sheet'!N1164</f>
        <v>94374</v>
      </c>
    </row>
    <row r="1165" spans="1:8" x14ac:dyDescent="0.25">
      <c r="A1165" s="14" t="s">
        <v>2135</v>
      </c>
      <c r="B1165" s="14">
        <v>5</v>
      </c>
      <c r="C1165" s="15" t="s">
        <v>2139</v>
      </c>
      <c r="D1165" s="14" t="s">
        <v>1752</v>
      </c>
      <c r="E1165" s="14" t="s">
        <v>1746</v>
      </c>
      <c r="F1165" s="14">
        <v>188622</v>
      </c>
      <c r="G1165" s="14">
        <v>132035.4</v>
      </c>
      <c r="H1165" s="37">
        <f>'Calculation Sheet'!N1165</f>
        <v>132035.4</v>
      </c>
    </row>
    <row r="1166" spans="1:8" x14ac:dyDescent="0.25">
      <c r="A1166" s="14" t="s">
        <v>2135</v>
      </c>
      <c r="B1166" s="14">
        <v>7</v>
      </c>
      <c r="C1166" s="15" t="s">
        <v>2138</v>
      </c>
      <c r="D1166" s="14" t="s">
        <v>1749</v>
      </c>
      <c r="E1166" s="14" t="s">
        <v>1746</v>
      </c>
      <c r="F1166" s="14">
        <v>11982</v>
      </c>
      <c r="G1166" s="14">
        <v>10783.8</v>
      </c>
      <c r="H1166" s="37">
        <f>'Calculation Sheet'!N1166</f>
        <v>10783.8</v>
      </c>
    </row>
    <row r="1167" spans="1:8" x14ac:dyDescent="0.25">
      <c r="A1167" s="14" t="s">
        <v>2135</v>
      </c>
      <c r="B1167" s="14">
        <v>1</v>
      </c>
      <c r="C1167" s="15" t="s">
        <v>2136</v>
      </c>
      <c r="D1167" s="14" t="s">
        <v>1749</v>
      </c>
      <c r="E1167" s="14" t="s">
        <v>1746</v>
      </c>
      <c r="F1167" s="14">
        <v>29952</v>
      </c>
      <c r="G1167" s="14">
        <v>20966.400000000001</v>
      </c>
      <c r="H1167" s="37">
        <f>'Calculation Sheet'!N1167</f>
        <v>20966.400000000001</v>
      </c>
    </row>
    <row r="1168" spans="1:8" x14ac:dyDescent="0.25">
      <c r="A1168" s="14" t="s">
        <v>2135</v>
      </c>
      <c r="B1168" s="14">
        <v>6</v>
      </c>
      <c r="C1168" s="15" t="s">
        <v>2137</v>
      </c>
      <c r="D1168" s="14" t="s">
        <v>1752</v>
      </c>
      <c r="E1168" s="14" t="s">
        <v>1753</v>
      </c>
      <c r="F1168" s="14">
        <v>134820</v>
      </c>
      <c r="G1168" s="14">
        <v>94374</v>
      </c>
      <c r="H1168" s="37">
        <f>'Calculation Sheet'!N1168</f>
        <v>94374</v>
      </c>
    </row>
    <row r="1169" spans="1:8" x14ac:dyDescent="0.25">
      <c r="A1169" s="14" t="s">
        <v>2135</v>
      </c>
      <c r="B1169" s="14">
        <v>5</v>
      </c>
      <c r="C1169" s="15" t="s">
        <v>2139</v>
      </c>
      <c r="D1169" s="14" t="s">
        <v>1745</v>
      </c>
      <c r="E1169" s="14" t="s">
        <v>1747</v>
      </c>
      <c r="F1169" s="14">
        <v>59880</v>
      </c>
      <c r="G1169" s="14">
        <v>41916</v>
      </c>
      <c r="H1169" s="37">
        <f>'Calculation Sheet'!N1169</f>
        <v>41916</v>
      </c>
    </row>
    <row r="1170" spans="1:8" x14ac:dyDescent="0.25">
      <c r="A1170" s="14" t="s">
        <v>2135</v>
      </c>
      <c r="B1170" s="14">
        <v>5</v>
      </c>
      <c r="C1170" s="15" t="s">
        <v>2139</v>
      </c>
      <c r="D1170" s="14" t="s">
        <v>1752</v>
      </c>
      <c r="E1170" s="14" t="s">
        <v>1747</v>
      </c>
      <c r="F1170" s="14">
        <v>179640</v>
      </c>
      <c r="G1170" s="14">
        <v>125748</v>
      </c>
      <c r="H1170" s="37">
        <f>'Calculation Sheet'!N1170</f>
        <v>125748</v>
      </c>
    </row>
    <row r="1171" spans="1:8" x14ac:dyDescent="0.25">
      <c r="A1171" s="14" t="s">
        <v>2135</v>
      </c>
      <c r="B1171" s="14">
        <v>7</v>
      </c>
      <c r="C1171" s="15" t="s">
        <v>2138</v>
      </c>
      <c r="D1171" s="14" t="s">
        <v>1752</v>
      </c>
      <c r="E1171" s="14" t="s">
        <v>1753</v>
      </c>
      <c r="F1171" s="14">
        <v>359460</v>
      </c>
      <c r="G1171" s="14">
        <v>323514</v>
      </c>
      <c r="H1171" s="37">
        <f>'Calculation Sheet'!N1171</f>
        <v>323514</v>
      </c>
    </row>
    <row r="1172" spans="1:8" x14ac:dyDescent="0.25">
      <c r="A1172" s="14" t="s">
        <v>2135</v>
      </c>
      <c r="B1172" s="14">
        <v>6</v>
      </c>
      <c r="C1172" s="15" t="s">
        <v>2137</v>
      </c>
      <c r="D1172" s="14" t="s">
        <v>1749</v>
      </c>
      <c r="E1172" s="14" t="s">
        <v>1746</v>
      </c>
      <c r="F1172" s="14">
        <v>4494</v>
      </c>
      <c r="G1172" s="14">
        <v>3145.8</v>
      </c>
      <c r="H1172" s="37">
        <f>'Calculation Sheet'!N1172</f>
        <v>3145.8</v>
      </c>
    </row>
    <row r="1173" spans="1:8" x14ac:dyDescent="0.25">
      <c r="A1173" s="14" t="s">
        <v>2135</v>
      </c>
      <c r="B1173" s="14">
        <v>1</v>
      </c>
      <c r="C1173" s="15" t="s">
        <v>2136</v>
      </c>
      <c r="D1173" s="14" t="s">
        <v>1752</v>
      </c>
      <c r="E1173" s="14" t="s">
        <v>1753</v>
      </c>
      <c r="F1173" s="14">
        <v>898560</v>
      </c>
      <c r="G1173" s="14">
        <v>628992</v>
      </c>
      <c r="H1173" s="37">
        <f>'Calculation Sheet'!N1173</f>
        <v>628992</v>
      </c>
    </row>
    <row r="1174" spans="1:8" x14ac:dyDescent="0.25">
      <c r="A1174" s="14" t="s">
        <v>2135</v>
      </c>
      <c r="B1174" s="14">
        <v>5</v>
      </c>
      <c r="C1174" s="15" t="s">
        <v>2139</v>
      </c>
      <c r="D1174" s="14" t="s">
        <v>1749</v>
      </c>
      <c r="E1174" s="14" t="s">
        <v>1746</v>
      </c>
      <c r="F1174" s="14">
        <v>5988</v>
      </c>
      <c r="G1174" s="14">
        <v>4191.6000000000004</v>
      </c>
      <c r="H1174" s="37">
        <f>'Calculation Sheet'!N1174</f>
        <v>4191.6000000000004</v>
      </c>
    </row>
    <row r="1175" spans="1:8" x14ac:dyDescent="0.25">
      <c r="A1175" s="14" t="s">
        <v>2135</v>
      </c>
      <c r="B1175" s="14">
        <v>5</v>
      </c>
      <c r="C1175" s="15" t="s">
        <v>2139</v>
      </c>
      <c r="D1175" s="14" t="s">
        <v>1745</v>
      </c>
      <c r="E1175" s="14" t="s">
        <v>1746</v>
      </c>
      <c r="F1175" s="14">
        <v>62874</v>
      </c>
      <c r="G1175" s="14">
        <v>44011.8</v>
      </c>
      <c r="H1175" s="37">
        <f>'Calculation Sheet'!N1175</f>
        <v>44011.8</v>
      </c>
    </row>
    <row r="1176" spans="1:8" x14ac:dyDescent="0.25">
      <c r="A1176" s="14" t="s">
        <v>2135</v>
      </c>
      <c r="B1176" s="14">
        <v>5</v>
      </c>
      <c r="C1176" s="15" t="s">
        <v>2139</v>
      </c>
      <c r="D1176" s="14" t="s">
        <v>1752</v>
      </c>
      <c r="E1176" s="14" t="s">
        <v>1753</v>
      </c>
      <c r="F1176" s="14">
        <v>179640</v>
      </c>
      <c r="G1176" s="14">
        <v>125748</v>
      </c>
      <c r="H1176" s="37">
        <f>'Calculation Sheet'!N1176</f>
        <v>125748</v>
      </c>
    </row>
    <row r="1177" spans="1:8" x14ac:dyDescent="0.25">
      <c r="A1177" s="14" t="s">
        <v>2135</v>
      </c>
      <c r="B1177" s="14">
        <v>1</v>
      </c>
      <c r="C1177" s="15" t="s">
        <v>2136</v>
      </c>
      <c r="D1177" s="14" t="s">
        <v>1745</v>
      </c>
      <c r="E1177" s="14" t="s">
        <v>1747</v>
      </c>
      <c r="F1177" s="14">
        <v>299520</v>
      </c>
      <c r="G1177" s="14">
        <v>209664</v>
      </c>
      <c r="H1177" s="37">
        <f>'Calculation Sheet'!N1177</f>
        <v>209664</v>
      </c>
    </row>
    <row r="1178" spans="1:8" x14ac:dyDescent="0.25">
      <c r="A1178" s="14" t="s">
        <v>2135</v>
      </c>
      <c r="B1178" s="14">
        <v>6</v>
      </c>
      <c r="C1178" s="15" t="s">
        <v>2137</v>
      </c>
      <c r="D1178" s="14" t="s">
        <v>1745</v>
      </c>
      <c r="E1178" s="14" t="s">
        <v>1747</v>
      </c>
      <c r="F1178" s="14">
        <v>44940</v>
      </c>
      <c r="G1178" s="14">
        <v>31458</v>
      </c>
      <c r="H1178" s="37">
        <f>'Calculation Sheet'!N1178</f>
        <v>31458</v>
      </c>
    </row>
    <row r="1179" spans="1:8" x14ac:dyDescent="0.25">
      <c r="A1179" s="14" t="s">
        <v>2135</v>
      </c>
      <c r="B1179" s="14">
        <v>7</v>
      </c>
      <c r="C1179" s="15" t="s">
        <v>2138</v>
      </c>
      <c r="D1179" s="14" t="s">
        <v>1752</v>
      </c>
      <c r="E1179" s="14" t="s">
        <v>1747</v>
      </c>
      <c r="F1179" s="14">
        <v>359460</v>
      </c>
      <c r="G1179" s="14">
        <v>323514</v>
      </c>
      <c r="H1179" s="37">
        <f>'Calculation Sheet'!N1179</f>
        <v>323514</v>
      </c>
    </row>
    <row r="1180" spans="1:8" x14ac:dyDescent="0.25">
      <c r="A1180" s="14" t="s">
        <v>2135</v>
      </c>
      <c r="B1180" s="14">
        <v>1</v>
      </c>
      <c r="C1180" s="15" t="s">
        <v>2136</v>
      </c>
      <c r="D1180" s="14" t="s">
        <v>1745</v>
      </c>
      <c r="E1180" s="14" t="s">
        <v>1746</v>
      </c>
      <c r="F1180" s="14">
        <v>314496</v>
      </c>
      <c r="G1180" s="14">
        <v>220147.20000000001</v>
      </c>
      <c r="H1180" s="37">
        <f>'Calculation Sheet'!N1180</f>
        <v>220147.20000000001</v>
      </c>
    </row>
    <row r="1181" spans="1:8" x14ac:dyDescent="0.25">
      <c r="A1181" s="14" t="s">
        <v>2135</v>
      </c>
      <c r="B1181" s="14">
        <v>1</v>
      </c>
      <c r="C1181" s="15" t="s">
        <v>2136</v>
      </c>
      <c r="D1181" s="14" t="s">
        <v>1752</v>
      </c>
      <c r="E1181" s="14" t="s">
        <v>1746</v>
      </c>
      <c r="F1181" s="14">
        <v>943488</v>
      </c>
      <c r="G1181" s="14">
        <v>660441.59999999998</v>
      </c>
      <c r="H1181" s="37">
        <f>'Calculation Sheet'!N1181</f>
        <v>660441.59999999998</v>
      </c>
    </row>
    <row r="1182" spans="1:8" x14ac:dyDescent="0.25">
      <c r="A1182" s="14" t="s">
        <v>2135</v>
      </c>
      <c r="B1182" s="14">
        <v>6</v>
      </c>
      <c r="C1182" s="15" t="s">
        <v>2137</v>
      </c>
      <c r="D1182" s="14" t="s">
        <v>1745</v>
      </c>
      <c r="E1182" s="14" t="s">
        <v>1746</v>
      </c>
      <c r="F1182" s="14">
        <v>47187</v>
      </c>
      <c r="G1182" s="14">
        <v>33030.959999999999</v>
      </c>
      <c r="H1182" s="37">
        <f>'Calculation Sheet'!N1182</f>
        <v>33030.959999999999</v>
      </c>
    </row>
    <row r="1183" spans="1:8" x14ac:dyDescent="0.25">
      <c r="A1183" s="14" t="s">
        <v>2135</v>
      </c>
      <c r="B1183" s="14">
        <v>7</v>
      </c>
      <c r="C1183" s="15" t="s">
        <v>2138</v>
      </c>
      <c r="D1183" s="14" t="s">
        <v>1745</v>
      </c>
      <c r="E1183" s="14" t="s">
        <v>1746</v>
      </c>
      <c r="F1183" s="14">
        <v>125811</v>
      </c>
      <c r="G1183" s="14">
        <v>113230</v>
      </c>
      <c r="H1183" s="37">
        <f>'Calculation Sheet'!N1183</f>
        <v>113230</v>
      </c>
    </row>
    <row r="1184" spans="1:8" x14ac:dyDescent="0.25">
      <c r="A1184" s="14" t="s">
        <v>2135</v>
      </c>
      <c r="B1184" s="14">
        <v>7</v>
      </c>
      <c r="C1184" s="15" t="s">
        <v>2138</v>
      </c>
      <c r="D1184" s="14" t="s">
        <v>1752</v>
      </c>
      <c r="E1184" s="14" t="s">
        <v>1746</v>
      </c>
      <c r="F1184" s="14">
        <v>377433</v>
      </c>
      <c r="G1184" s="14">
        <v>339689.9</v>
      </c>
      <c r="H1184" s="37">
        <f>'Calculation Sheet'!N1184</f>
        <v>339689.9</v>
      </c>
    </row>
    <row r="1185" spans="1:8" x14ac:dyDescent="0.25">
      <c r="A1185" s="14" t="s">
        <v>2140</v>
      </c>
      <c r="B1185" s="14" t="s">
        <v>371</v>
      </c>
      <c r="C1185" s="15" t="s">
        <v>2141</v>
      </c>
      <c r="D1185" s="14" t="s">
        <v>1745</v>
      </c>
      <c r="E1185" s="14" t="s">
        <v>1747</v>
      </c>
      <c r="F1185" s="14">
        <v>39960</v>
      </c>
      <c r="G1185" s="14">
        <v>35964</v>
      </c>
      <c r="H1185" s="37">
        <f>'Calculation Sheet'!N1185</f>
        <v>35964</v>
      </c>
    </row>
    <row r="1186" spans="1:8" x14ac:dyDescent="0.25">
      <c r="A1186" s="14" t="s">
        <v>2140</v>
      </c>
      <c r="B1186" s="14">
        <v>1</v>
      </c>
      <c r="C1186" s="15" t="s">
        <v>2142</v>
      </c>
      <c r="D1186" s="14" t="s">
        <v>1752</v>
      </c>
      <c r="E1186" s="14" t="s">
        <v>1753</v>
      </c>
      <c r="F1186" s="14">
        <v>314460</v>
      </c>
      <c r="G1186" s="14">
        <v>235845</v>
      </c>
      <c r="H1186" s="37">
        <f>'Calculation Sheet'!N1186</f>
        <v>235845</v>
      </c>
    </row>
    <row r="1187" spans="1:8" x14ac:dyDescent="0.25">
      <c r="A1187" s="14" t="s">
        <v>2140</v>
      </c>
      <c r="B1187" s="14">
        <v>6</v>
      </c>
      <c r="C1187" s="15" t="s">
        <v>2143</v>
      </c>
      <c r="D1187" s="14" t="s">
        <v>1749</v>
      </c>
      <c r="E1187" s="14" t="s">
        <v>1746</v>
      </c>
      <c r="F1187" s="14">
        <v>1998</v>
      </c>
      <c r="G1187" s="14">
        <v>1498.5</v>
      </c>
      <c r="H1187" s="37">
        <f>'Calculation Sheet'!N1187</f>
        <v>1498.5</v>
      </c>
    </row>
    <row r="1188" spans="1:8" x14ac:dyDescent="0.25">
      <c r="A1188" s="14" t="s">
        <v>2140</v>
      </c>
      <c r="B1188" s="14" t="s">
        <v>371</v>
      </c>
      <c r="C1188" s="15" t="s">
        <v>2141</v>
      </c>
      <c r="D1188" s="14" t="s">
        <v>1749</v>
      </c>
      <c r="E1188" s="14" t="s">
        <v>1746</v>
      </c>
      <c r="F1188" s="14">
        <v>3996</v>
      </c>
      <c r="G1188" s="14">
        <v>3596.4</v>
      </c>
      <c r="H1188" s="37">
        <f>'Calculation Sheet'!N1188</f>
        <v>3596.4</v>
      </c>
    </row>
    <row r="1189" spans="1:8" ht="30" x14ac:dyDescent="0.25">
      <c r="A1189" s="14" t="s">
        <v>2140</v>
      </c>
      <c r="B1189" s="14">
        <v>18</v>
      </c>
      <c r="C1189" s="15" t="s">
        <v>2144</v>
      </c>
      <c r="D1189" s="14" t="s">
        <v>1749</v>
      </c>
      <c r="E1189" s="14" t="s">
        <v>1746</v>
      </c>
      <c r="F1189" s="14">
        <v>1098</v>
      </c>
      <c r="G1189" s="14">
        <v>823.5</v>
      </c>
      <c r="H1189" s="37">
        <f>'Calculation Sheet'!N1189</f>
        <v>823.5</v>
      </c>
    </row>
    <row r="1190" spans="1:8" x14ac:dyDescent="0.25">
      <c r="A1190" s="14" t="s">
        <v>2140</v>
      </c>
      <c r="B1190" s="14" t="s">
        <v>177</v>
      </c>
      <c r="C1190" s="15" t="s">
        <v>2145</v>
      </c>
      <c r="D1190" s="14" t="s">
        <v>1745</v>
      </c>
      <c r="E1190" s="14" t="s">
        <v>1746</v>
      </c>
      <c r="F1190" s="14">
        <v>67095</v>
      </c>
      <c r="G1190" s="14">
        <v>50321.279999999999</v>
      </c>
      <c r="H1190" s="37">
        <f>'Calculation Sheet'!N1190</f>
        <v>50321.279999999999</v>
      </c>
    </row>
    <row r="1191" spans="1:8" ht="30" x14ac:dyDescent="0.25">
      <c r="A1191" s="14" t="s">
        <v>2140</v>
      </c>
      <c r="B1191" s="14" t="s">
        <v>263</v>
      </c>
      <c r="C1191" s="15" t="s">
        <v>2146</v>
      </c>
      <c r="D1191" s="14" t="s">
        <v>1745</v>
      </c>
      <c r="E1191" s="14" t="s">
        <v>1747</v>
      </c>
      <c r="F1191" s="14">
        <v>7980</v>
      </c>
      <c r="G1191" s="14">
        <v>5985</v>
      </c>
      <c r="H1191" s="37">
        <f>'Calculation Sheet'!N1191</f>
        <v>5985</v>
      </c>
    </row>
    <row r="1192" spans="1:8" x14ac:dyDescent="0.25">
      <c r="A1192" s="14" t="s">
        <v>2140</v>
      </c>
      <c r="B1192" s="14">
        <v>1</v>
      </c>
      <c r="C1192" s="15" t="s">
        <v>2142</v>
      </c>
      <c r="D1192" s="14" t="s">
        <v>1752</v>
      </c>
      <c r="E1192" s="14" t="s">
        <v>1746</v>
      </c>
      <c r="F1192" s="14">
        <v>330183</v>
      </c>
      <c r="G1192" s="14">
        <v>247637.2</v>
      </c>
      <c r="H1192" s="37">
        <f>'Calculation Sheet'!N1192</f>
        <v>247637.2</v>
      </c>
    </row>
    <row r="1193" spans="1:8" x14ac:dyDescent="0.25">
      <c r="A1193" s="14" t="s">
        <v>2140</v>
      </c>
      <c r="B1193" s="14" t="s">
        <v>177</v>
      </c>
      <c r="C1193" s="15" t="s">
        <v>2145</v>
      </c>
      <c r="D1193" s="14" t="s">
        <v>1745</v>
      </c>
      <c r="E1193" s="14" t="s">
        <v>1747</v>
      </c>
      <c r="F1193" s="14">
        <v>63900</v>
      </c>
      <c r="G1193" s="14">
        <v>47925</v>
      </c>
      <c r="H1193" s="37">
        <f>'Calculation Sheet'!N1193</f>
        <v>47925</v>
      </c>
    </row>
    <row r="1194" spans="1:8" x14ac:dyDescent="0.25">
      <c r="A1194" s="14" t="s">
        <v>2140</v>
      </c>
      <c r="B1194" s="14">
        <v>1</v>
      </c>
      <c r="C1194" s="15" t="s">
        <v>2142</v>
      </c>
      <c r="D1194" s="14" t="s">
        <v>1749</v>
      </c>
      <c r="E1194" s="14" t="s">
        <v>1746</v>
      </c>
      <c r="F1194" s="14">
        <v>10482</v>
      </c>
      <c r="G1194" s="14">
        <v>7861.5</v>
      </c>
      <c r="H1194" s="37">
        <f>'Calculation Sheet'!N1194</f>
        <v>7861.5</v>
      </c>
    </row>
    <row r="1195" spans="1:8" x14ac:dyDescent="0.25">
      <c r="A1195" s="14" t="s">
        <v>2140</v>
      </c>
      <c r="B1195" s="14">
        <v>17</v>
      </c>
      <c r="C1195" s="15" t="s">
        <v>2147</v>
      </c>
      <c r="D1195" s="14" t="s">
        <v>1749</v>
      </c>
      <c r="E1195" s="14" t="s">
        <v>1746</v>
      </c>
      <c r="F1195" s="14">
        <v>5766</v>
      </c>
      <c r="G1195" s="14">
        <v>4324.5</v>
      </c>
      <c r="H1195" s="37">
        <f>'Calculation Sheet'!N1195</f>
        <v>4324.5</v>
      </c>
    </row>
    <row r="1196" spans="1:8" ht="30" x14ac:dyDescent="0.25">
      <c r="A1196" s="14" t="s">
        <v>2140</v>
      </c>
      <c r="B1196" s="14">
        <v>16</v>
      </c>
      <c r="C1196" s="15" t="s">
        <v>2148</v>
      </c>
      <c r="D1196" s="14" t="s">
        <v>1749</v>
      </c>
      <c r="E1196" s="14" t="s">
        <v>1746</v>
      </c>
      <c r="F1196" s="14">
        <v>498</v>
      </c>
      <c r="G1196" s="14">
        <v>448.2</v>
      </c>
      <c r="H1196" s="37">
        <f>'Calculation Sheet'!N1196</f>
        <v>448.2</v>
      </c>
    </row>
    <row r="1197" spans="1:8" x14ac:dyDescent="0.25">
      <c r="A1197" s="14" t="s">
        <v>2140</v>
      </c>
      <c r="B1197" s="14" t="s">
        <v>177</v>
      </c>
      <c r="C1197" s="15" t="s">
        <v>2145</v>
      </c>
      <c r="D1197" s="14" t="s">
        <v>1749</v>
      </c>
      <c r="E1197" s="14" t="s">
        <v>1746</v>
      </c>
      <c r="F1197" s="14">
        <v>6390</v>
      </c>
      <c r="G1197" s="14">
        <v>4792.5</v>
      </c>
      <c r="H1197" s="37">
        <f>'Calculation Sheet'!N1197</f>
        <v>4792.5</v>
      </c>
    </row>
    <row r="1198" spans="1:8" x14ac:dyDescent="0.25">
      <c r="A1198" s="14" t="s">
        <v>2140</v>
      </c>
      <c r="B1198" s="14">
        <v>1</v>
      </c>
      <c r="C1198" s="15" t="s">
        <v>2142</v>
      </c>
      <c r="D1198" s="14" t="s">
        <v>1745</v>
      </c>
      <c r="E1198" s="14" t="s">
        <v>1746</v>
      </c>
      <c r="F1198" s="14">
        <v>110061</v>
      </c>
      <c r="G1198" s="14">
        <v>82545.72</v>
      </c>
      <c r="H1198" s="37">
        <f>'Calculation Sheet'!N1198</f>
        <v>82545.72</v>
      </c>
    </row>
    <row r="1199" spans="1:8" x14ac:dyDescent="0.25">
      <c r="A1199" s="14" t="s">
        <v>2140</v>
      </c>
      <c r="B1199" s="14">
        <v>1</v>
      </c>
      <c r="C1199" s="15" t="s">
        <v>2142</v>
      </c>
      <c r="D1199" s="14" t="s">
        <v>1752</v>
      </c>
      <c r="E1199" s="14" t="s">
        <v>1747</v>
      </c>
      <c r="F1199" s="14">
        <v>314460</v>
      </c>
      <c r="G1199" s="14">
        <v>235845</v>
      </c>
      <c r="H1199" s="37">
        <f>'Calculation Sheet'!N1199</f>
        <v>235845</v>
      </c>
    </row>
    <row r="1200" spans="1:8" x14ac:dyDescent="0.25">
      <c r="A1200" s="14" t="s">
        <v>2140</v>
      </c>
      <c r="B1200" s="14">
        <v>6</v>
      </c>
      <c r="C1200" s="15" t="s">
        <v>2143</v>
      </c>
      <c r="D1200" s="14" t="s">
        <v>1752</v>
      </c>
      <c r="E1200" s="14" t="s">
        <v>1746</v>
      </c>
      <c r="F1200" s="14">
        <v>62937</v>
      </c>
      <c r="G1200" s="14">
        <v>47202.84</v>
      </c>
      <c r="H1200" s="37">
        <f>'Calculation Sheet'!N1200</f>
        <v>47202.84</v>
      </c>
    </row>
    <row r="1201" spans="1:8" ht="30" x14ac:dyDescent="0.25">
      <c r="A1201" s="14" t="s">
        <v>2140</v>
      </c>
      <c r="B1201" s="14">
        <v>18</v>
      </c>
      <c r="C1201" s="15" t="s">
        <v>2144</v>
      </c>
      <c r="D1201" s="14" t="s">
        <v>1745</v>
      </c>
      <c r="E1201" s="14" t="s">
        <v>1747</v>
      </c>
      <c r="F1201" s="14">
        <v>10980</v>
      </c>
      <c r="G1201" s="14">
        <v>8235</v>
      </c>
      <c r="H1201" s="37">
        <f>'Calculation Sheet'!N1201</f>
        <v>8235</v>
      </c>
    </row>
    <row r="1202" spans="1:8" x14ac:dyDescent="0.25">
      <c r="A1202" s="14" t="s">
        <v>2140</v>
      </c>
      <c r="B1202" s="14" t="s">
        <v>241</v>
      </c>
      <c r="C1202" s="15" t="s">
        <v>2149</v>
      </c>
      <c r="D1202" s="14" t="s">
        <v>1745</v>
      </c>
      <c r="E1202" s="14" t="s">
        <v>1746</v>
      </c>
      <c r="F1202" s="14">
        <v>92232</v>
      </c>
      <c r="G1202" s="14">
        <v>69174</v>
      </c>
      <c r="H1202" s="37">
        <f>'Calculation Sheet'!N1202</f>
        <v>69174</v>
      </c>
    </row>
    <row r="1203" spans="1:8" x14ac:dyDescent="0.25">
      <c r="A1203" s="14" t="s">
        <v>2140</v>
      </c>
      <c r="B1203" s="14">
        <v>19</v>
      </c>
      <c r="C1203" s="15" t="s">
        <v>2150</v>
      </c>
      <c r="D1203" s="14" t="s">
        <v>1745</v>
      </c>
      <c r="E1203" s="14" t="s">
        <v>1747</v>
      </c>
      <c r="F1203" s="14">
        <v>41940</v>
      </c>
      <c r="G1203" s="14">
        <v>31455</v>
      </c>
      <c r="H1203" s="37">
        <f>'Calculation Sheet'!N1203</f>
        <v>31455</v>
      </c>
    </row>
    <row r="1204" spans="1:8" x14ac:dyDescent="0.25">
      <c r="A1204" s="14" t="s">
        <v>2140</v>
      </c>
      <c r="B1204" s="14">
        <v>19</v>
      </c>
      <c r="C1204" s="15" t="s">
        <v>2150</v>
      </c>
      <c r="D1204" s="14" t="s">
        <v>1745</v>
      </c>
      <c r="E1204" s="14" t="s">
        <v>1746</v>
      </c>
      <c r="F1204" s="14">
        <v>44037</v>
      </c>
      <c r="G1204" s="14">
        <v>33027.72</v>
      </c>
      <c r="H1204" s="37">
        <f>'Calculation Sheet'!N1204</f>
        <v>33027.72</v>
      </c>
    </row>
    <row r="1205" spans="1:8" x14ac:dyDescent="0.25">
      <c r="A1205" s="14" t="s">
        <v>2140</v>
      </c>
      <c r="B1205" s="14">
        <v>7</v>
      </c>
      <c r="C1205" s="15" t="s">
        <v>2151</v>
      </c>
      <c r="D1205" s="14" t="s">
        <v>1745</v>
      </c>
      <c r="E1205" s="14" t="s">
        <v>1747</v>
      </c>
      <c r="F1205" s="14">
        <v>159720</v>
      </c>
      <c r="G1205" s="14">
        <v>119790</v>
      </c>
      <c r="H1205" s="37">
        <f>'Calculation Sheet'!N1205</f>
        <v>119790</v>
      </c>
    </row>
    <row r="1206" spans="1:8" x14ac:dyDescent="0.25">
      <c r="A1206" s="14" t="s">
        <v>2140</v>
      </c>
      <c r="B1206" s="14">
        <v>6</v>
      </c>
      <c r="C1206" s="15" t="s">
        <v>2143</v>
      </c>
      <c r="D1206" s="14" t="s">
        <v>1745</v>
      </c>
      <c r="E1206" s="14" t="s">
        <v>1746</v>
      </c>
      <c r="F1206" s="14">
        <v>20979</v>
      </c>
      <c r="G1206" s="14">
        <v>15734.28</v>
      </c>
      <c r="H1206" s="37">
        <f>'Calculation Sheet'!N1206</f>
        <v>15734.28</v>
      </c>
    </row>
    <row r="1207" spans="1:8" ht="30" x14ac:dyDescent="0.25">
      <c r="A1207" s="14" t="s">
        <v>2140</v>
      </c>
      <c r="B1207" s="14" t="s">
        <v>263</v>
      </c>
      <c r="C1207" s="15" t="s">
        <v>2146</v>
      </c>
      <c r="D1207" s="14" t="s">
        <v>1749</v>
      </c>
      <c r="E1207" s="14" t="s">
        <v>1746</v>
      </c>
      <c r="F1207" s="14">
        <v>798</v>
      </c>
      <c r="G1207" s="14">
        <v>598.5</v>
      </c>
      <c r="H1207" s="37">
        <f>'Calculation Sheet'!N1207</f>
        <v>598.5</v>
      </c>
    </row>
    <row r="1208" spans="1:8" x14ac:dyDescent="0.25">
      <c r="A1208" s="14" t="s">
        <v>2140</v>
      </c>
      <c r="B1208" s="14" t="s">
        <v>371</v>
      </c>
      <c r="C1208" s="15" t="s">
        <v>2141</v>
      </c>
      <c r="D1208" s="14" t="s">
        <v>1745</v>
      </c>
      <c r="E1208" s="14" t="s">
        <v>1746</v>
      </c>
      <c r="F1208" s="14">
        <v>41958</v>
      </c>
      <c r="G1208" s="14">
        <v>37762.199999999997</v>
      </c>
      <c r="H1208" s="37">
        <f>'Calculation Sheet'!N1208</f>
        <v>37762.199999999997</v>
      </c>
    </row>
    <row r="1209" spans="1:8" ht="30" x14ac:dyDescent="0.25">
      <c r="A1209" s="14" t="s">
        <v>2140</v>
      </c>
      <c r="B1209" s="14">
        <v>16</v>
      </c>
      <c r="C1209" s="15" t="s">
        <v>2148</v>
      </c>
      <c r="D1209" s="14" t="s">
        <v>1745</v>
      </c>
      <c r="E1209" s="14" t="s">
        <v>1746</v>
      </c>
      <c r="F1209" s="14">
        <v>5229</v>
      </c>
      <c r="G1209" s="14">
        <v>4706.16</v>
      </c>
      <c r="H1209" s="37">
        <f>'Calculation Sheet'!N1209</f>
        <v>4706.16</v>
      </c>
    </row>
    <row r="1210" spans="1:8" ht="30" x14ac:dyDescent="0.25">
      <c r="A1210" s="14" t="s">
        <v>2140</v>
      </c>
      <c r="B1210" s="14" t="s">
        <v>263</v>
      </c>
      <c r="C1210" s="15" t="s">
        <v>2146</v>
      </c>
      <c r="D1210" s="14" t="s">
        <v>1745</v>
      </c>
      <c r="E1210" s="14" t="s">
        <v>1746</v>
      </c>
      <c r="F1210" s="14">
        <v>8379</v>
      </c>
      <c r="G1210" s="14">
        <v>6284.28</v>
      </c>
      <c r="H1210" s="37">
        <f>'Calculation Sheet'!N1210</f>
        <v>6284.28</v>
      </c>
    </row>
    <row r="1211" spans="1:8" ht="30" x14ac:dyDescent="0.25">
      <c r="A1211" s="14" t="s">
        <v>2140</v>
      </c>
      <c r="B1211" s="14">
        <v>18</v>
      </c>
      <c r="C1211" s="15" t="s">
        <v>2144</v>
      </c>
      <c r="D1211" s="14" t="s">
        <v>1745</v>
      </c>
      <c r="E1211" s="14" t="s">
        <v>1746</v>
      </c>
      <c r="F1211" s="14">
        <v>11529</v>
      </c>
      <c r="G1211" s="14">
        <v>8646.7199999999993</v>
      </c>
      <c r="H1211" s="37">
        <f>'Calculation Sheet'!N1211</f>
        <v>8646.7199999999993</v>
      </c>
    </row>
    <row r="1212" spans="1:8" x14ac:dyDescent="0.25">
      <c r="A1212" s="14" t="s">
        <v>2140</v>
      </c>
      <c r="B1212" s="14">
        <v>7</v>
      </c>
      <c r="C1212" s="15" t="s">
        <v>2151</v>
      </c>
      <c r="D1212" s="14" t="s">
        <v>1749</v>
      </c>
      <c r="E1212" s="14" t="s">
        <v>1746</v>
      </c>
      <c r="F1212" s="14">
        <v>15972</v>
      </c>
      <c r="G1212" s="14">
        <v>11979</v>
      </c>
      <c r="H1212" s="37">
        <f>'Calculation Sheet'!N1212</f>
        <v>11979</v>
      </c>
    </row>
    <row r="1213" spans="1:8" x14ac:dyDescent="0.25">
      <c r="A1213" s="14" t="s">
        <v>2140</v>
      </c>
      <c r="B1213" s="14">
        <v>19</v>
      </c>
      <c r="C1213" s="15" t="s">
        <v>2150</v>
      </c>
      <c r="D1213" s="14" t="s">
        <v>1749</v>
      </c>
      <c r="E1213" s="14" t="s">
        <v>1746</v>
      </c>
      <c r="F1213" s="14">
        <v>4194</v>
      </c>
      <c r="G1213" s="14">
        <v>3145.5</v>
      </c>
      <c r="H1213" s="37">
        <f>'Calculation Sheet'!N1213</f>
        <v>3145.5</v>
      </c>
    </row>
    <row r="1214" spans="1:8" x14ac:dyDescent="0.25">
      <c r="A1214" s="14" t="s">
        <v>2140</v>
      </c>
      <c r="B1214" s="14">
        <v>7</v>
      </c>
      <c r="C1214" s="15" t="s">
        <v>2151</v>
      </c>
      <c r="D1214" s="14" t="s">
        <v>1745</v>
      </c>
      <c r="E1214" s="14" t="s">
        <v>1746</v>
      </c>
      <c r="F1214" s="14">
        <v>167706</v>
      </c>
      <c r="G1214" s="14">
        <v>125779.6</v>
      </c>
      <c r="H1214" s="37">
        <f>'Calculation Sheet'!N1214</f>
        <v>125779.6</v>
      </c>
    </row>
    <row r="1215" spans="1:8" x14ac:dyDescent="0.25">
      <c r="A1215" s="14" t="s">
        <v>2140</v>
      </c>
      <c r="B1215" s="14" t="s">
        <v>241</v>
      </c>
      <c r="C1215" s="15" t="s">
        <v>2149</v>
      </c>
      <c r="D1215" s="14" t="s">
        <v>1745</v>
      </c>
      <c r="E1215" s="14" t="s">
        <v>1747</v>
      </c>
      <c r="F1215" s="14">
        <v>87840</v>
      </c>
      <c r="G1215" s="14">
        <v>65880</v>
      </c>
      <c r="H1215" s="37">
        <f>'Calculation Sheet'!N1215</f>
        <v>65880</v>
      </c>
    </row>
    <row r="1216" spans="1:8" x14ac:dyDescent="0.25">
      <c r="A1216" s="14" t="s">
        <v>2140</v>
      </c>
      <c r="B1216" s="14" t="s">
        <v>241</v>
      </c>
      <c r="C1216" s="15" t="s">
        <v>2149</v>
      </c>
      <c r="D1216" s="14" t="s">
        <v>1749</v>
      </c>
      <c r="E1216" s="14" t="s">
        <v>1746</v>
      </c>
      <c r="F1216" s="14">
        <v>8784</v>
      </c>
      <c r="G1216" s="14">
        <v>6588</v>
      </c>
      <c r="H1216" s="37">
        <f>'Calculation Sheet'!N1216</f>
        <v>6588</v>
      </c>
    </row>
    <row r="1217" spans="1:8" x14ac:dyDescent="0.25">
      <c r="A1217" s="14" t="s">
        <v>2140</v>
      </c>
      <c r="B1217" s="14">
        <v>6</v>
      </c>
      <c r="C1217" s="15" t="s">
        <v>2143</v>
      </c>
      <c r="D1217" s="14" t="s">
        <v>1752</v>
      </c>
      <c r="E1217" s="14" t="s">
        <v>1747</v>
      </c>
      <c r="F1217" s="14">
        <v>59940</v>
      </c>
      <c r="G1217" s="14">
        <v>44955</v>
      </c>
      <c r="H1217" s="37">
        <f>'Calculation Sheet'!N1217</f>
        <v>44955</v>
      </c>
    </row>
    <row r="1218" spans="1:8" x14ac:dyDescent="0.25">
      <c r="A1218" s="14" t="s">
        <v>2140</v>
      </c>
      <c r="B1218" s="14">
        <v>1</v>
      </c>
      <c r="C1218" s="15" t="s">
        <v>2142</v>
      </c>
      <c r="D1218" s="14" t="s">
        <v>1745</v>
      </c>
      <c r="E1218" s="14" t="s">
        <v>1747</v>
      </c>
      <c r="F1218" s="14">
        <v>104820</v>
      </c>
      <c r="G1218" s="14">
        <v>78615</v>
      </c>
      <c r="H1218" s="37">
        <f>'Calculation Sheet'!N1218</f>
        <v>78615</v>
      </c>
    </row>
    <row r="1219" spans="1:8" x14ac:dyDescent="0.25">
      <c r="A1219" s="14" t="s">
        <v>2140</v>
      </c>
      <c r="B1219" s="14">
        <v>15</v>
      </c>
      <c r="C1219" s="15" t="s">
        <v>2152</v>
      </c>
      <c r="D1219" s="14" t="s">
        <v>1745</v>
      </c>
      <c r="E1219" s="14" t="s">
        <v>1747</v>
      </c>
      <c r="F1219" s="14">
        <v>26220</v>
      </c>
      <c r="G1219" s="14">
        <v>23598</v>
      </c>
      <c r="H1219" s="37">
        <f>'Calculation Sheet'!N1219</f>
        <v>23598</v>
      </c>
    </row>
    <row r="1220" spans="1:8" x14ac:dyDescent="0.25">
      <c r="A1220" s="14" t="s">
        <v>2140</v>
      </c>
      <c r="B1220" s="14">
        <v>6</v>
      </c>
      <c r="C1220" s="15" t="s">
        <v>2143</v>
      </c>
      <c r="D1220" s="14" t="s">
        <v>1752</v>
      </c>
      <c r="E1220" s="14" t="s">
        <v>1753</v>
      </c>
      <c r="F1220" s="14">
        <v>59940</v>
      </c>
      <c r="G1220" s="14">
        <v>44955</v>
      </c>
      <c r="H1220" s="37">
        <f>'Calculation Sheet'!N1220</f>
        <v>44955</v>
      </c>
    </row>
    <row r="1221" spans="1:8" x14ac:dyDescent="0.25">
      <c r="A1221" s="14" t="s">
        <v>2140</v>
      </c>
      <c r="B1221" s="14">
        <v>6</v>
      </c>
      <c r="C1221" s="15" t="s">
        <v>2143</v>
      </c>
      <c r="D1221" s="14" t="s">
        <v>1745</v>
      </c>
      <c r="E1221" s="14" t="s">
        <v>1747</v>
      </c>
      <c r="F1221" s="14">
        <v>19980</v>
      </c>
      <c r="G1221" s="14">
        <v>14985</v>
      </c>
      <c r="H1221" s="37">
        <f>'Calculation Sheet'!N1221</f>
        <v>14985</v>
      </c>
    </row>
    <row r="1222" spans="1:8" ht="30" x14ac:dyDescent="0.25">
      <c r="A1222" s="14" t="s">
        <v>2140</v>
      </c>
      <c r="B1222" s="14">
        <v>16</v>
      </c>
      <c r="C1222" s="15" t="s">
        <v>2148</v>
      </c>
      <c r="D1222" s="14" t="s">
        <v>1745</v>
      </c>
      <c r="E1222" s="14" t="s">
        <v>1747</v>
      </c>
      <c r="F1222" s="14">
        <v>4980</v>
      </c>
      <c r="G1222" s="14">
        <v>4482</v>
      </c>
      <c r="H1222" s="37">
        <f>'Calculation Sheet'!N1222</f>
        <v>4482</v>
      </c>
    </row>
    <row r="1223" spans="1:8" x14ac:dyDescent="0.25">
      <c r="A1223" s="14" t="s">
        <v>2140</v>
      </c>
      <c r="B1223" s="14">
        <v>15</v>
      </c>
      <c r="C1223" s="15" t="s">
        <v>2152</v>
      </c>
      <c r="D1223" s="14" t="s">
        <v>1745</v>
      </c>
      <c r="E1223" s="14" t="s">
        <v>1746</v>
      </c>
      <c r="F1223" s="14">
        <v>27531</v>
      </c>
      <c r="G1223" s="14">
        <v>24777.96</v>
      </c>
      <c r="H1223" s="37">
        <f>'Calculation Sheet'!N1223</f>
        <v>24777.96</v>
      </c>
    </row>
    <row r="1224" spans="1:8" x14ac:dyDescent="0.25">
      <c r="A1224" s="14" t="s">
        <v>2140</v>
      </c>
      <c r="B1224" s="14">
        <v>15</v>
      </c>
      <c r="C1224" s="15" t="s">
        <v>2152</v>
      </c>
      <c r="D1224" s="14" t="s">
        <v>1749</v>
      </c>
      <c r="E1224" s="14" t="s">
        <v>1746</v>
      </c>
      <c r="F1224" s="14">
        <v>2622</v>
      </c>
      <c r="G1224" s="14">
        <v>2359.8000000000002</v>
      </c>
      <c r="H1224" s="37">
        <f>'Calculation Sheet'!N1224</f>
        <v>2359.8000000000002</v>
      </c>
    </row>
    <row r="1225" spans="1:8" x14ac:dyDescent="0.25">
      <c r="A1225" s="14" t="s">
        <v>2140</v>
      </c>
      <c r="B1225" s="14">
        <v>17</v>
      </c>
      <c r="C1225" s="15" t="s">
        <v>2147</v>
      </c>
      <c r="D1225" s="14" t="s">
        <v>1745</v>
      </c>
      <c r="E1225" s="14" t="s">
        <v>1746</v>
      </c>
      <c r="F1225" s="14">
        <v>60543</v>
      </c>
      <c r="G1225" s="14">
        <v>45407.28</v>
      </c>
      <c r="H1225" s="37">
        <f>'Calculation Sheet'!N1225</f>
        <v>45407.28</v>
      </c>
    </row>
    <row r="1226" spans="1:8" x14ac:dyDescent="0.25">
      <c r="A1226" s="14" t="s">
        <v>2140</v>
      </c>
      <c r="B1226" s="14">
        <v>17</v>
      </c>
      <c r="C1226" s="15" t="s">
        <v>2147</v>
      </c>
      <c r="D1226" s="14" t="s">
        <v>1745</v>
      </c>
      <c r="E1226" s="14" t="s">
        <v>1747</v>
      </c>
      <c r="F1226" s="14">
        <v>57660</v>
      </c>
      <c r="G1226" s="14">
        <v>43245</v>
      </c>
      <c r="H1226" s="37">
        <f>'Calculation Sheet'!N1226</f>
        <v>43245</v>
      </c>
    </row>
    <row r="1227" spans="1:8" x14ac:dyDescent="0.25">
      <c r="A1227" s="14" t="s">
        <v>2153</v>
      </c>
      <c r="B1227" s="14">
        <v>1</v>
      </c>
      <c r="C1227" s="15" t="s">
        <v>2154</v>
      </c>
      <c r="D1227" s="14" t="s">
        <v>1745</v>
      </c>
      <c r="E1227" s="14" t="s">
        <v>1747</v>
      </c>
      <c r="F1227" s="14">
        <v>29940</v>
      </c>
      <c r="G1227" s="14">
        <v>22455</v>
      </c>
      <c r="H1227" s="37">
        <f>'Calculation Sheet'!N1227</f>
        <v>22455</v>
      </c>
    </row>
    <row r="1228" spans="1:8" x14ac:dyDescent="0.25">
      <c r="A1228" s="14" t="s">
        <v>2153</v>
      </c>
      <c r="B1228" s="14" t="s">
        <v>16</v>
      </c>
      <c r="C1228" s="15" t="s">
        <v>2155</v>
      </c>
      <c r="D1228" s="14" t="s">
        <v>1749</v>
      </c>
      <c r="E1228" s="14" t="s">
        <v>1746</v>
      </c>
      <c r="F1228" s="14">
        <v>2094</v>
      </c>
      <c r="G1228" s="14">
        <v>1884.6</v>
      </c>
      <c r="H1228" s="37">
        <f>'Calculation Sheet'!N1228</f>
        <v>1884.6</v>
      </c>
    </row>
    <row r="1229" spans="1:8" x14ac:dyDescent="0.25">
      <c r="A1229" s="14" t="s">
        <v>2153</v>
      </c>
      <c r="B1229" s="14" t="s">
        <v>16</v>
      </c>
      <c r="C1229" s="15" t="s">
        <v>2155</v>
      </c>
      <c r="D1229" s="14" t="s">
        <v>1745</v>
      </c>
      <c r="E1229" s="14" t="s">
        <v>1747</v>
      </c>
      <c r="F1229" s="14">
        <v>20940</v>
      </c>
      <c r="G1229" s="14">
        <v>18846</v>
      </c>
      <c r="H1229" s="37">
        <f>'Calculation Sheet'!N1229</f>
        <v>18846</v>
      </c>
    </row>
    <row r="1230" spans="1:8" x14ac:dyDescent="0.25">
      <c r="A1230" s="14" t="s">
        <v>2153</v>
      </c>
      <c r="B1230" s="14">
        <v>1</v>
      </c>
      <c r="C1230" s="15" t="s">
        <v>2154</v>
      </c>
      <c r="D1230" s="14" t="s">
        <v>1749</v>
      </c>
      <c r="E1230" s="14" t="s">
        <v>1746</v>
      </c>
      <c r="F1230" s="14">
        <v>2994</v>
      </c>
      <c r="G1230" s="14">
        <v>2245.5</v>
      </c>
      <c r="H1230" s="37">
        <f>'Calculation Sheet'!N1230</f>
        <v>2245.5</v>
      </c>
    </row>
    <row r="1231" spans="1:8" x14ac:dyDescent="0.25">
      <c r="A1231" s="14" t="s">
        <v>2153</v>
      </c>
      <c r="B1231" s="14" t="s">
        <v>16</v>
      </c>
      <c r="C1231" s="15" t="s">
        <v>2155</v>
      </c>
      <c r="D1231" s="14" t="s">
        <v>1745</v>
      </c>
      <c r="E1231" s="14" t="s">
        <v>1746</v>
      </c>
      <c r="F1231" s="14">
        <v>21987</v>
      </c>
      <c r="G1231" s="14">
        <v>19788.36</v>
      </c>
      <c r="H1231" s="37">
        <f>'Calculation Sheet'!N1231</f>
        <v>19788.36</v>
      </c>
    </row>
    <row r="1232" spans="1:8" x14ac:dyDescent="0.25">
      <c r="A1232" s="14" t="s">
        <v>2153</v>
      </c>
      <c r="B1232" s="14">
        <v>1</v>
      </c>
      <c r="C1232" s="15" t="s">
        <v>2154</v>
      </c>
      <c r="D1232" s="14" t="s">
        <v>1745</v>
      </c>
      <c r="E1232" s="14" t="s">
        <v>1746</v>
      </c>
      <c r="F1232" s="14">
        <v>31437</v>
      </c>
      <c r="G1232" s="14">
        <v>23577.72</v>
      </c>
      <c r="H1232" s="37">
        <f>'Calculation Sheet'!N1232</f>
        <v>23577.72</v>
      </c>
    </row>
    <row r="1233" spans="1:8" x14ac:dyDescent="0.25">
      <c r="A1233" s="14" t="s">
        <v>2156</v>
      </c>
      <c r="B1233" s="14">
        <v>19</v>
      </c>
      <c r="C1233" s="15" t="s">
        <v>2157</v>
      </c>
      <c r="D1233" s="14" t="s">
        <v>1752</v>
      </c>
      <c r="E1233" s="14" t="s">
        <v>1746</v>
      </c>
      <c r="F1233" s="14">
        <v>264222</v>
      </c>
      <c r="G1233" s="14">
        <v>237799.8</v>
      </c>
      <c r="H1233" s="37">
        <f>'Calculation Sheet'!N1233</f>
        <v>237799.8</v>
      </c>
    </row>
    <row r="1234" spans="1:8" x14ac:dyDescent="0.25">
      <c r="A1234" s="14" t="s">
        <v>2156</v>
      </c>
      <c r="B1234" s="14" t="s">
        <v>307</v>
      </c>
      <c r="C1234" s="15" t="s">
        <v>2158</v>
      </c>
      <c r="D1234" s="14" t="s">
        <v>1749</v>
      </c>
      <c r="E1234" s="14" t="s">
        <v>1746</v>
      </c>
      <c r="F1234" s="14">
        <v>8388</v>
      </c>
      <c r="G1234" s="14">
        <v>5871.6</v>
      </c>
      <c r="H1234" s="37">
        <f>'Calculation Sheet'!N1234</f>
        <v>5871.6</v>
      </c>
    </row>
    <row r="1235" spans="1:8" ht="30" x14ac:dyDescent="0.25">
      <c r="A1235" s="14" t="s">
        <v>2156</v>
      </c>
      <c r="B1235" s="14" t="s">
        <v>325</v>
      </c>
      <c r="C1235" s="15" t="s">
        <v>2159</v>
      </c>
      <c r="D1235" s="14" t="s">
        <v>1749</v>
      </c>
      <c r="E1235" s="14" t="s">
        <v>1746</v>
      </c>
      <c r="F1235" s="14">
        <v>1200</v>
      </c>
      <c r="G1235" s="14">
        <v>840</v>
      </c>
      <c r="H1235" s="37">
        <f>'Calculation Sheet'!N1235</f>
        <v>840</v>
      </c>
    </row>
    <row r="1236" spans="1:8" x14ac:dyDescent="0.25">
      <c r="A1236" s="14" t="s">
        <v>2156</v>
      </c>
      <c r="B1236" s="14">
        <v>19</v>
      </c>
      <c r="C1236" s="15" t="s">
        <v>2157</v>
      </c>
      <c r="D1236" s="14" t="s">
        <v>1745</v>
      </c>
      <c r="E1236" s="14" t="s">
        <v>1746</v>
      </c>
      <c r="F1236" s="14">
        <v>88074</v>
      </c>
      <c r="G1236" s="14">
        <v>79266.600000000006</v>
      </c>
      <c r="H1236" s="37">
        <f>'Calculation Sheet'!N1236</f>
        <v>79266.600000000006</v>
      </c>
    </row>
    <row r="1237" spans="1:8" x14ac:dyDescent="0.25">
      <c r="A1237" s="14" t="s">
        <v>2156</v>
      </c>
      <c r="B1237" s="14">
        <v>1</v>
      </c>
      <c r="C1237" s="15" t="s">
        <v>2160</v>
      </c>
      <c r="D1237" s="14" t="s">
        <v>1752</v>
      </c>
      <c r="E1237" s="14" t="s">
        <v>1746</v>
      </c>
      <c r="F1237" s="14">
        <v>660366</v>
      </c>
      <c r="G1237" s="14">
        <v>462256.2</v>
      </c>
      <c r="H1237" s="37">
        <f>'Calculation Sheet'!N1237</f>
        <v>462256.2</v>
      </c>
    </row>
    <row r="1238" spans="1:8" ht="30" x14ac:dyDescent="0.25">
      <c r="A1238" s="14" t="s">
        <v>2156</v>
      </c>
      <c r="B1238" s="14" t="s">
        <v>470</v>
      </c>
      <c r="C1238" s="15" t="s">
        <v>2161</v>
      </c>
      <c r="D1238" s="14" t="s">
        <v>1752</v>
      </c>
      <c r="E1238" s="14" t="s">
        <v>1746</v>
      </c>
      <c r="F1238" s="14">
        <v>47250</v>
      </c>
      <c r="G1238" s="14">
        <v>42525</v>
      </c>
      <c r="H1238" s="37">
        <f>'Calculation Sheet'!N1238</f>
        <v>42525</v>
      </c>
    </row>
    <row r="1239" spans="1:8" x14ac:dyDescent="0.25">
      <c r="A1239" s="14" t="s">
        <v>2156</v>
      </c>
      <c r="B1239" s="14" t="s">
        <v>307</v>
      </c>
      <c r="C1239" s="15" t="s">
        <v>2158</v>
      </c>
      <c r="D1239" s="14" t="s">
        <v>1745</v>
      </c>
      <c r="E1239" s="14" t="s">
        <v>1747</v>
      </c>
      <c r="F1239" s="14">
        <v>83880</v>
      </c>
      <c r="G1239" s="14">
        <v>58716</v>
      </c>
      <c r="H1239" s="37">
        <f>'Calculation Sheet'!N1239</f>
        <v>58716</v>
      </c>
    </row>
    <row r="1240" spans="1:8" x14ac:dyDescent="0.25">
      <c r="A1240" s="14" t="s">
        <v>2156</v>
      </c>
      <c r="B1240" s="14" t="s">
        <v>583</v>
      </c>
      <c r="C1240" s="15" t="s">
        <v>2162</v>
      </c>
      <c r="D1240" s="14" t="s">
        <v>1749</v>
      </c>
      <c r="E1240" s="14" t="s">
        <v>1746</v>
      </c>
      <c r="F1240" s="14">
        <v>11532</v>
      </c>
      <c r="G1240" s="14">
        <v>8072.4</v>
      </c>
      <c r="H1240" s="37">
        <f>'Calculation Sheet'!N1240</f>
        <v>8072.4</v>
      </c>
    </row>
    <row r="1241" spans="1:8" ht="30" x14ac:dyDescent="0.25">
      <c r="A1241" s="14" t="s">
        <v>2156</v>
      </c>
      <c r="B1241" s="14" t="s">
        <v>470</v>
      </c>
      <c r="C1241" s="15" t="s">
        <v>2161</v>
      </c>
      <c r="D1241" s="14" t="s">
        <v>1745</v>
      </c>
      <c r="E1241" s="14" t="s">
        <v>1746</v>
      </c>
      <c r="F1241" s="14">
        <v>15750</v>
      </c>
      <c r="G1241" s="14">
        <v>14175</v>
      </c>
      <c r="H1241" s="37">
        <f>'Calculation Sheet'!N1241</f>
        <v>14175</v>
      </c>
    </row>
    <row r="1242" spans="1:8" x14ac:dyDescent="0.25">
      <c r="A1242" s="14" t="s">
        <v>2156</v>
      </c>
      <c r="B1242" s="14">
        <v>19</v>
      </c>
      <c r="C1242" s="15" t="s">
        <v>2157</v>
      </c>
      <c r="D1242" s="14" t="s">
        <v>1749</v>
      </c>
      <c r="E1242" s="14" t="s">
        <v>1746</v>
      </c>
      <c r="F1242" s="14">
        <v>8388</v>
      </c>
      <c r="G1242" s="14">
        <v>7549.2</v>
      </c>
      <c r="H1242" s="37">
        <f>'Calculation Sheet'!N1242</f>
        <v>7549.2</v>
      </c>
    </row>
    <row r="1243" spans="1:8" x14ac:dyDescent="0.25">
      <c r="A1243" s="14" t="s">
        <v>2156</v>
      </c>
      <c r="B1243" s="14">
        <v>2</v>
      </c>
      <c r="C1243" s="15" t="s">
        <v>2163</v>
      </c>
      <c r="D1243" s="14" t="s">
        <v>1752</v>
      </c>
      <c r="E1243" s="14" t="s">
        <v>1753</v>
      </c>
      <c r="F1243" s="14">
        <v>89820</v>
      </c>
      <c r="G1243" s="14">
        <v>62874</v>
      </c>
      <c r="H1243" s="37">
        <f>'Calculation Sheet'!N1243</f>
        <v>62874</v>
      </c>
    </row>
    <row r="1244" spans="1:8" ht="30" x14ac:dyDescent="0.25">
      <c r="A1244" s="14" t="s">
        <v>2156</v>
      </c>
      <c r="B1244" s="14" t="s">
        <v>470</v>
      </c>
      <c r="C1244" s="15" t="s">
        <v>2161</v>
      </c>
      <c r="D1244" s="14" t="s">
        <v>1745</v>
      </c>
      <c r="E1244" s="14" t="s">
        <v>1747</v>
      </c>
      <c r="F1244" s="14">
        <v>15000</v>
      </c>
      <c r="G1244" s="14">
        <v>13500</v>
      </c>
      <c r="H1244" s="37">
        <f>'Calculation Sheet'!N1244</f>
        <v>13500</v>
      </c>
    </row>
    <row r="1245" spans="1:8" ht="30" x14ac:dyDescent="0.25">
      <c r="A1245" s="14" t="s">
        <v>2156</v>
      </c>
      <c r="B1245" s="14" t="s">
        <v>263</v>
      </c>
      <c r="C1245" s="15" t="s">
        <v>2164</v>
      </c>
      <c r="D1245" s="14" t="s">
        <v>1745</v>
      </c>
      <c r="E1245" s="14" t="s">
        <v>1747</v>
      </c>
      <c r="F1245" s="14">
        <v>16500</v>
      </c>
      <c r="G1245" s="14">
        <v>11550</v>
      </c>
      <c r="H1245" s="37">
        <f>'Calculation Sheet'!N1245</f>
        <v>11550</v>
      </c>
    </row>
    <row r="1246" spans="1:8" x14ac:dyDescent="0.25">
      <c r="A1246" s="14" t="s">
        <v>2156</v>
      </c>
      <c r="B1246" s="14">
        <v>19</v>
      </c>
      <c r="C1246" s="15" t="s">
        <v>2157</v>
      </c>
      <c r="D1246" s="14" t="s">
        <v>1752</v>
      </c>
      <c r="E1246" s="14" t="s">
        <v>1747</v>
      </c>
      <c r="F1246" s="14">
        <v>251640</v>
      </c>
      <c r="G1246" s="14">
        <v>226476</v>
      </c>
      <c r="H1246" s="37">
        <f>'Calculation Sheet'!N1246</f>
        <v>226476</v>
      </c>
    </row>
    <row r="1247" spans="1:8" x14ac:dyDescent="0.25">
      <c r="A1247" s="14" t="s">
        <v>2156</v>
      </c>
      <c r="B1247" s="14">
        <v>1</v>
      </c>
      <c r="C1247" s="15" t="s">
        <v>2160</v>
      </c>
      <c r="D1247" s="14" t="s">
        <v>1745</v>
      </c>
      <c r="E1247" s="14" t="s">
        <v>1746</v>
      </c>
      <c r="F1247" s="14">
        <v>220122</v>
      </c>
      <c r="G1247" s="14">
        <v>154085.4</v>
      </c>
      <c r="H1247" s="37">
        <f>'Calculation Sheet'!N1247</f>
        <v>154085.4</v>
      </c>
    </row>
    <row r="1248" spans="1:8" ht="30" x14ac:dyDescent="0.25">
      <c r="A1248" s="14" t="s">
        <v>2156</v>
      </c>
      <c r="B1248" s="14" t="s">
        <v>325</v>
      </c>
      <c r="C1248" s="15" t="s">
        <v>2159</v>
      </c>
      <c r="D1248" s="14" t="s">
        <v>1745</v>
      </c>
      <c r="E1248" s="14" t="s">
        <v>1746</v>
      </c>
      <c r="F1248" s="14">
        <v>12600</v>
      </c>
      <c r="G1248" s="14">
        <v>8820</v>
      </c>
      <c r="H1248" s="37">
        <f>'Calculation Sheet'!N1248</f>
        <v>8820</v>
      </c>
    </row>
    <row r="1249" spans="1:8" x14ac:dyDescent="0.25">
      <c r="A1249" s="14" t="s">
        <v>2156</v>
      </c>
      <c r="B1249" s="14">
        <v>2</v>
      </c>
      <c r="C1249" s="15" t="s">
        <v>2163</v>
      </c>
      <c r="D1249" s="14" t="s">
        <v>1752</v>
      </c>
      <c r="E1249" s="14" t="s">
        <v>1746</v>
      </c>
      <c r="F1249" s="14">
        <v>94311</v>
      </c>
      <c r="G1249" s="14">
        <v>66017.88</v>
      </c>
      <c r="H1249" s="37">
        <f>'Calculation Sheet'!N1249</f>
        <v>66017.88</v>
      </c>
    </row>
    <row r="1250" spans="1:8" ht="30" x14ac:dyDescent="0.25">
      <c r="A1250" s="14" t="s">
        <v>2156</v>
      </c>
      <c r="B1250" s="14" t="s">
        <v>263</v>
      </c>
      <c r="C1250" s="15" t="s">
        <v>2164</v>
      </c>
      <c r="D1250" s="14" t="s">
        <v>1749</v>
      </c>
      <c r="E1250" s="14" t="s">
        <v>1746</v>
      </c>
      <c r="F1250" s="14">
        <v>1650</v>
      </c>
      <c r="G1250" s="14">
        <v>1155</v>
      </c>
      <c r="H1250" s="37">
        <f>'Calculation Sheet'!N1250</f>
        <v>1155</v>
      </c>
    </row>
    <row r="1251" spans="1:8" x14ac:dyDescent="0.25">
      <c r="A1251" s="14" t="s">
        <v>2156</v>
      </c>
      <c r="B1251" s="14">
        <v>1</v>
      </c>
      <c r="C1251" s="15" t="s">
        <v>2160</v>
      </c>
      <c r="D1251" s="14" t="s">
        <v>1749</v>
      </c>
      <c r="E1251" s="14" t="s">
        <v>1746</v>
      </c>
      <c r="F1251" s="14">
        <v>20964</v>
      </c>
      <c r="G1251" s="14">
        <v>14674.8</v>
      </c>
      <c r="H1251" s="37">
        <f>'Calculation Sheet'!N1251</f>
        <v>14674.8</v>
      </c>
    </row>
    <row r="1252" spans="1:8" x14ac:dyDescent="0.25">
      <c r="A1252" s="14" t="s">
        <v>2156</v>
      </c>
      <c r="B1252" s="14">
        <v>2</v>
      </c>
      <c r="C1252" s="15" t="s">
        <v>2163</v>
      </c>
      <c r="D1252" s="14" t="s">
        <v>1752</v>
      </c>
      <c r="E1252" s="14" t="s">
        <v>1747</v>
      </c>
      <c r="F1252" s="14">
        <v>89820</v>
      </c>
      <c r="G1252" s="14">
        <v>62874</v>
      </c>
      <c r="H1252" s="37">
        <f>'Calculation Sheet'!N1252</f>
        <v>62874</v>
      </c>
    </row>
    <row r="1253" spans="1:8" x14ac:dyDescent="0.25">
      <c r="A1253" s="14" t="s">
        <v>2156</v>
      </c>
      <c r="B1253" s="14" t="s">
        <v>583</v>
      </c>
      <c r="C1253" s="15" t="s">
        <v>2162</v>
      </c>
      <c r="D1253" s="14" t="s">
        <v>1745</v>
      </c>
      <c r="E1253" s="14" t="s">
        <v>1747</v>
      </c>
      <c r="F1253" s="14">
        <v>115320</v>
      </c>
      <c r="G1253" s="14">
        <v>80724</v>
      </c>
      <c r="H1253" s="37">
        <f>'Calculation Sheet'!N1253</f>
        <v>80724</v>
      </c>
    </row>
    <row r="1254" spans="1:8" x14ac:dyDescent="0.25">
      <c r="A1254" s="14" t="s">
        <v>2156</v>
      </c>
      <c r="B1254" s="14">
        <v>1</v>
      </c>
      <c r="C1254" s="15" t="s">
        <v>2160</v>
      </c>
      <c r="D1254" s="14" t="s">
        <v>1745</v>
      </c>
      <c r="E1254" s="14" t="s">
        <v>1747</v>
      </c>
      <c r="F1254" s="14">
        <v>209640</v>
      </c>
      <c r="G1254" s="14">
        <v>146748</v>
      </c>
      <c r="H1254" s="37">
        <f>'Calculation Sheet'!N1254</f>
        <v>146748</v>
      </c>
    </row>
    <row r="1255" spans="1:8" ht="30" x14ac:dyDescent="0.25">
      <c r="A1255" s="14" t="s">
        <v>2156</v>
      </c>
      <c r="B1255" s="14" t="s">
        <v>470</v>
      </c>
      <c r="C1255" s="15" t="s">
        <v>2161</v>
      </c>
      <c r="D1255" s="14" t="s">
        <v>1752</v>
      </c>
      <c r="E1255" s="14" t="s">
        <v>1747</v>
      </c>
      <c r="F1255" s="14">
        <v>45000</v>
      </c>
      <c r="G1255" s="14">
        <v>40500</v>
      </c>
      <c r="H1255" s="37">
        <f>'Calculation Sheet'!N1255</f>
        <v>40500</v>
      </c>
    </row>
    <row r="1256" spans="1:8" x14ac:dyDescent="0.25">
      <c r="A1256" s="14" t="s">
        <v>2156</v>
      </c>
      <c r="B1256" s="14">
        <v>1</v>
      </c>
      <c r="C1256" s="15" t="s">
        <v>2160</v>
      </c>
      <c r="D1256" s="14" t="s">
        <v>1752</v>
      </c>
      <c r="E1256" s="14" t="s">
        <v>1753</v>
      </c>
      <c r="F1256" s="14">
        <v>628920</v>
      </c>
      <c r="G1256" s="14">
        <v>440244</v>
      </c>
      <c r="H1256" s="37">
        <f>'Calculation Sheet'!N1256</f>
        <v>440244</v>
      </c>
    </row>
    <row r="1257" spans="1:8" x14ac:dyDescent="0.25">
      <c r="A1257" s="14" t="s">
        <v>2156</v>
      </c>
      <c r="B1257" s="14">
        <v>2</v>
      </c>
      <c r="C1257" s="15" t="s">
        <v>2163</v>
      </c>
      <c r="D1257" s="14" t="s">
        <v>1745</v>
      </c>
      <c r="E1257" s="14" t="s">
        <v>1746</v>
      </c>
      <c r="F1257" s="14">
        <v>31437</v>
      </c>
      <c r="G1257" s="14">
        <v>22005.96</v>
      </c>
      <c r="H1257" s="37">
        <f>'Calculation Sheet'!N1257</f>
        <v>22005.96</v>
      </c>
    </row>
    <row r="1258" spans="1:8" x14ac:dyDescent="0.25">
      <c r="A1258" s="14" t="s">
        <v>2156</v>
      </c>
      <c r="B1258" s="14" t="s">
        <v>583</v>
      </c>
      <c r="C1258" s="15" t="s">
        <v>2162</v>
      </c>
      <c r="D1258" s="14" t="s">
        <v>1745</v>
      </c>
      <c r="E1258" s="14" t="s">
        <v>1746</v>
      </c>
      <c r="F1258" s="14">
        <v>121086</v>
      </c>
      <c r="G1258" s="14">
        <v>84760.2</v>
      </c>
      <c r="H1258" s="37">
        <f>'Calculation Sheet'!N1258</f>
        <v>84760.2</v>
      </c>
    </row>
    <row r="1259" spans="1:8" x14ac:dyDescent="0.25">
      <c r="A1259" s="14" t="s">
        <v>2156</v>
      </c>
      <c r="B1259" s="14" t="s">
        <v>307</v>
      </c>
      <c r="C1259" s="15" t="s">
        <v>2158</v>
      </c>
      <c r="D1259" s="14" t="s">
        <v>1745</v>
      </c>
      <c r="E1259" s="14" t="s">
        <v>1746</v>
      </c>
      <c r="F1259" s="14">
        <v>88074</v>
      </c>
      <c r="G1259" s="14">
        <v>61651.8</v>
      </c>
      <c r="H1259" s="37">
        <f>'Calculation Sheet'!N1259</f>
        <v>61651.8</v>
      </c>
    </row>
    <row r="1260" spans="1:8" ht="30" x14ac:dyDescent="0.25">
      <c r="A1260" s="14" t="s">
        <v>2156</v>
      </c>
      <c r="B1260" s="14" t="s">
        <v>470</v>
      </c>
      <c r="C1260" s="15" t="s">
        <v>2161</v>
      </c>
      <c r="D1260" s="14" t="s">
        <v>1749</v>
      </c>
      <c r="E1260" s="14" t="s">
        <v>1746</v>
      </c>
      <c r="F1260" s="14">
        <v>1500</v>
      </c>
      <c r="G1260" s="14">
        <v>1350</v>
      </c>
      <c r="H1260" s="37">
        <f>'Calculation Sheet'!N1260</f>
        <v>1350</v>
      </c>
    </row>
    <row r="1261" spans="1:8" x14ac:dyDescent="0.25">
      <c r="A1261" s="14" t="s">
        <v>2156</v>
      </c>
      <c r="B1261" s="14">
        <v>1</v>
      </c>
      <c r="C1261" s="15" t="s">
        <v>2160</v>
      </c>
      <c r="D1261" s="14" t="s">
        <v>1752</v>
      </c>
      <c r="E1261" s="14" t="s">
        <v>1747</v>
      </c>
      <c r="F1261" s="14">
        <v>628920</v>
      </c>
      <c r="G1261" s="14">
        <v>440244</v>
      </c>
      <c r="H1261" s="37">
        <f>'Calculation Sheet'!N1261</f>
        <v>440244</v>
      </c>
    </row>
    <row r="1262" spans="1:8" ht="30" x14ac:dyDescent="0.25">
      <c r="A1262" s="14" t="s">
        <v>2156</v>
      </c>
      <c r="B1262" s="14" t="s">
        <v>263</v>
      </c>
      <c r="C1262" s="15" t="s">
        <v>2164</v>
      </c>
      <c r="D1262" s="14" t="s">
        <v>1745</v>
      </c>
      <c r="E1262" s="14" t="s">
        <v>1746</v>
      </c>
      <c r="F1262" s="14">
        <v>17325</v>
      </c>
      <c r="G1262" s="14">
        <v>12127.56</v>
      </c>
      <c r="H1262" s="37">
        <f>'Calculation Sheet'!N1262</f>
        <v>12127.56</v>
      </c>
    </row>
    <row r="1263" spans="1:8" x14ac:dyDescent="0.25">
      <c r="A1263" s="14" t="s">
        <v>2156</v>
      </c>
      <c r="B1263" s="14">
        <v>2</v>
      </c>
      <c r="C1263" s="15" t="s">
        <v>2163</v>
      </c>
      <c r="D1263" s="14" t="s">
        <v>1749</v>
      </c>
      <c r="E1263" s="14" t="s">
        <v>1746</v>
      </c>
      <c r="F1263" s="14">
        <v>2994</v>
      </c>
      <c r="G1263" s="14">
        <v>2095.8000000000002</v>
      </c>
      <c r="H1263" s="37">
        <f>'Calculation Sheet'!N1263</f>
        <v>2095.8000000000002</v>
      </c>
    </row>
    <row r="1264" spans="1:8" x14ac:dyDescent="0.25">
      <c r="A1264" s="14" t="s">
        <v>2156</v>
      </c>
      <c r="B1264" s="14">
        <v>19</v>
      </c>
      <c r="C1264" s="15" t="s">
        <v>2157</v>
      </c>
      <c r="D1264" s="14" t="s">
        <v>1745</v>
      </c>
      <c r="E1264" s="14" t="s">
        <v>1747</v>
      </c>
      <c r="F1264" s="14">
        <v>83880</v>
      </c>
      <c r="G1264" s="14">
        <v>75492</v>
      </c>
      <c r="H1264" s="37">
        <f>'Calculation Sheet'!N1264</f>
        <v>75492</v>
      </c>
    </row>
    <row r="1265" spans="1:8" ht="30" x14ac:dyDescent="0.25">
      <c r="A1265" s="14" t="s">
        <v>2156</v>
      </c>
      <c r="B1265" s="14" t="s">
        <v>325</v>
      </c>
      <c r="C1265" s="15" t="s">
        <v>2159</v>
      </c>
      <c r="D1265" s="14" t="s">
        <v>1745</v>
      </c>
      <c r="E1265" s="14" t="s">
        <v>1747</v>
      </c>
      <c r="F1265" s="14">
        <v>12000</v>
      </c>
      <c r="G1265" s="14">
        <v>8400</v>
      </c>
      <c r="H1265" s="37">
        <f>'Calculation Sheet'!N1265</f>
        <v>8400</v>
      </c>
    </row>
    <row r="1266" spans="1:8" x14ac:dyDescent="0.25">
      <c r="A1266" s="14" t="s">
        <v>2156</v>
      </c>
      <c r="B1266" s="14">
        <v>2</v>
      </c>
      <c r="C1266" s="15" t="s">
        <v>2163</v>
      </c>
      <c r="D1266" s="14" t="s">
        <v>1745</v>
      </c>
      <c r="E1266" s="14" t="s">
        <v>1747</v>
      </c>
      <c r="F1266" s="14">
        <v>29940</v>
      </c>
      <c r="G1266" s="14">
        <v>20958</v>
      </c>
      <c r="H1266" s="37">
        <f>'Calculation Sheet'!N1266</f>
        <v>20958</v>
      </c>
    </row>
    <row r="1267" spans="1:8" x14ac:dyDescent="0.25">
      <c r="A1267" s="14" t="s">
        <v>2165</v>
      </c>
      <c r="B1267" s="14">
        <v>2</v>
      </c>
      <c r="C1267" s="15" t="s">
        <v>2166</v>
      </c>
      <c r="D1267" s="14" t="s">
        <v>1745</v>
      </c>
      <c r="E1267" s="14" t="s">
        <v>1746</v>
      </c>
      <c r="F1267" s="14">
        <v>314496</v>
      </c>
      <c r="G1267" s="14">
        <v>220147.20000000001</v>
      </c>
      <c r="H1267" s="37">
        <f>'Calculation Sheet'!N1267</f>
        <v>220147.20000000001</v>
      </c>
    </row>
    <row r="1268" spans="1:8" x14ac:dyDescent="0.25">
      <c r="A1268" s="14" t="s">
        <v>2165</v>
      </c>
      <c r="B1268" s="14">
        <v>2</v>
      </c>
      <c r="C1268" s="15" t="s">
        <v>2166</v>
      </c>
      <c r="D1268" s="14" t="s">
        <v>1745</v>
      </c>
      <c r="E1268" s="14" t="s">
        <v>1747</v>
      </c>
      <c r="F1268" s="14">
        <v>299520</v>
      </c>
      <c r="G1268" s="14">
        <v>209664</v>
      </c>
      <c r="H1268" s="37">
        <f>'Calculation Sheet'!N1268</f>
        <v>209664</v>
      </c>
    </row>
    <row r="1269" spans="1:8" x14ac:dyDescent="0.25">
      <c r="A1269" s="14" t="s">
        <v>2165</v>
      </c>
      <c r="B1269" s="14">
        <v>8</v>
      </c>
      <c r="C1269" s="15" t="s">
        <v>2167</v>
      </c>
      <c r="D1269" s="14" t="s">
        <v>1749</v>
      </c>
      <c r="E1269" s="14" t="s">
        <v>1766</v>
      </c>
      <c r="F1269" s="14">
        <v>0</v>
      </c>
      <c r="G1269" s="14">
        <v>0</v>
      </c>
      <c r="H1269" s="37">
        <f>'Calculation Sheet'!N1269</f>
        <v>0</v>
      </c>
    </row>
    <row r="1270" spans="1:8" x14ac:dyDescent="0.25">
      <c r="A1270" s="14" t="s">
        <v>2165</v>
      </c>
      <c r="B1270" s="14">
        <v>3</v>
      </c>
      <c r="C1270" s="15" t="s">
        <v>2167</v>
      </c>
      <c r="D1270" s="14" t="s">
        <v>1745</v>
      </c>
      <c r="E1270" s="14" t="s">
        <v>1746</v>
      </c>
      <c r="F1270" s="14">
        <v>125811</v>
      </c>
      <c r="G1270" s="14">
        <v>113230</v>
      </c>
      <c r="H1270" s="37">
        <f>'Calculation Sheet'!N1270</f>
        <v>113230</v>
      </c>
    </row>
    <row r="1271" spans="1:8" x14ac:dyDescent="0.25">
      <c r="A1271" s="14" t="s">
        <v>2165</v>
      </c>
      <c r="B1271" s="14">
        <v>4</v>
      </c>
      <c r="C1271" s="15" t="s">
        <v>2168</v>
      </c>
      <c r="D1271" s="14" t="s">
        <v>1745</v>
      </c>
      <c r="E1271" s="14" t="s">
        <v>1747</v>
      </c>
      <c r="F1271" s="14">
        <v>119820</v>
      </c>
      <c r="G1271" s="14">
        <v>83874</v>
      </c>
      <c r="H1271" s="37">
        <f>'Calculation Sheet'!N1271</f>
        <v>83874</v>
      </c>
    </row>
    <row r="1272" spans="1:8" x14ac:dyDescent="0.25">
      <c r="A1272" s="14" t="s">
        <v>2165</v>
      </c>
      <c r="B1272" s="14">
        <v>4</v>
      </c>
      <c r="C1272" s="15" t="s">
        <v>2168</v>
      </c>
      <c r="D1272" s="14" t="s">
        <v>1749</v>
      </c>
      <c r="E1272" s="14" t="s">
        <v>1746</v>
      </c>
      <c r="F1272" s="14">
        <v>11982</v>
      </c>
      <c r="G1272" s="14">
        <v>8387.4</v>
      </c>
      <c r="H1272" s="37">
        <f>'Calculation Sheet'!N1272</f>
        <v>8387.4</v>
      </c>
    </row>
    <row r="1273" spans="1:8" x14ac:dyDescent="0.25">
      <c r="A1273" s="14" t="s">
        <v>2165</v>
      </c>
      <c r="B1273" s="14">
        <v>5</v>
      </c>
      <c r="C1273" s="15" t="s">
        <v>2169</v>
      </c>
      <c r="D1273" s="14" t="s">
        <v>1745</v>
      </c>
      <c r="E1273" s="14" t="s">
        <v>1746</v>
      </c>
      <c r="F1273" s="14">
        <v>172935</v>
      </c>
      <c r="G1273" s="14">
        <v>121054.6</v>
      </c>
      <c r="H1273" s="37">
        <f>'Calculation Sheet'!N1273</f>
        <v>121054.6</v>
      </c>
    </row>
    <row r="1274" spans="1:8" x14ac:dyDescent="0.25">
      <c r="A1274" s="14" t="s">
        <v>2165</v>
      </c>
      <c r="B1274" s="14">
        <v>5</v>
      </c>
      <c r="C1274" s="15" t="s">
        <v>2169</v>
      </c>
      <c r="D1274" s="14" t="s">
        <v>1749</v>
      </c>
      <c r="E1274" s="14" t="s">
        <v>1746</v>
      </c>
      <c r="F1274" s="14">
        <v>16470</v>
      </c>
      <c r="G1274" s="14">
        <v>11529</v>
      </c>
      <c r="H1274" s="37">
        <f>'Calculation Sheet'!N1274</f>
        <v>11529</v>
      </c>
    </row>
    <row r="1275" spans="1:8" x14ac:dyDescent="0.25">
      <c r="A1275" s="14" t="s">
        <v>2165</v>
      </c>
      <c r="B1275" s="14">
        <v>2</v>
      </c>
      <c r="C1275" s="15" t="s">
        <v>2166</v>
      </c>
      <c r="D1275" s="14" t="s">
        <v>1749</v>
      </c>
      <c r="E1275" s="14" t="s">
        <v>1746</v>
      </c>
      <c r="F1275" s="14">
        <v>29952</v>
      </c>
      <c r="G1275" s="14">
        <v>20966.400000000001</v>
      </c>
      <c r="H1275" s="37">
        <f>'Calculation Sheet'!N1275</f>
        <v>20966.400000000001</v>
      </c>
    </row>
    <row r="1276" spans="1:8" x14ac:dyDescent="0.25">
      <c r="A1276" s="14" t="s">
        <v>2165</v>
      </c>
      <c r="B1276" s="14">
        <v>2</v>
      </c>
      <c r="C1276" s="15" t="s">
        <v>2166</v>
      </c>
      <c r="D1276" s="14" t="s">
        <v>1752</v>
      </c>
      <c r="E1276" s="14" t="s">
        <v>1746</v>
      </c>
      <c r="F1276" s="14">
        <v>943488</v>
      </c>
      <c r="G1276" s="14">
        <v>660441.59999999998</v>
      </c>
      <c r="H1276" s="37">
        <f>'Calculation Sheet'!N1276</f>
        <v>660441.59999999998</v>
      </c>
    </row>
    <row r="1277" spans="1:8" x14ac:dyDescent="0.25">
      <c r="A1277" s="14" t="s">
        <v>2165</v>
      </c>
      <c r="B1277" s="14">
        <v>7</v>
      </c>
      <c r="C1277" s="15" t="s">
        <v>2168</v>
      </c>
      <c r="D1277" s="14" t="s">
        <v>1749</v>
      </c>
      <c r="E1277" s="14" t="s">
        <v>1766</v>
      </c>
      <c r="F1277" s="14">
        <v>0</v>
      </c>
      <c r="G1277" s="14">
        <v>0</v>
      </c>
      <c r="H1277" s="37">
        <f>'Calculation Sheet'!N1277</f>
        <v>0</v>
      </c>
    </row>
    <row r="1278" spans="1:8" x14ac:dyDescent="0.25">
      <c r="A1278" s="14" t="s">
        <v>2165</v>
      </c>
      <c r="B1278" s="14">
        <v>3</v>
      </c>
      <c r="C1278" s="15" t="s">
        <v>2167</v>
      </c>
      <c r="D1278" s="14" t="s">
        <v>1749</v>
      </c>
      <c r="E1278" s="14" t="s">
        <v>1746</v>
      </c>
      <c r="F1278" s="14">
        <v>11982</v>
      </c>
      <c r="G1278" s="14">
        <v>10783.8</v>
      </c>
      <c r="H1278" s="37">
        <f>'Calculation Sheet'!N1278</f>
        <v>10783.8</v>
      </c>
    </row>
    <row r="1279" spans="1:8" x14ac:dyDescent="0.25">
      <c r="A1279" s="14" t="s">
        <v>2165</v>
      </c>
      <c r="B1279" s="14">
        <v>3</v>
      </c>
      <c r="C1279" s="15" t="s">
        <v>2167</v>
      </c>
      <c r="D1279" s="14" t="s">
        <v>1745</v>
      </c>
      <c r="E1279" s="14" t="s">
        <v>1747</v>
      </c>
      <c r="F1279" s="14">
        <v>119820</v>
      </c>
      <c r="G1279" s="14">
        <v>107838</v>
      </c>
      <c r="H1279" s="37">
        <f>'Calculation Sheet'!N1279</f>
        <v>107838</v>
      </c>
    </row>
    <row r="1280" spans="1:8" x14ac:dyDescent="0.25">
      <c r="A1280" s="14" t="s">
        <v>2165</v>
      </c>
      <c r="B1280" s="14">
        <v>2</v>
      </c>
      <c r="C1280" s="15" t="s">
        <v>2166</v>
      </c>
      <c r="D1280" s="14" t="s">
        <v>1752</v>
      </c>
      <c r="E1280" s="14" t="s">
        <v>1753</v>
      </c>
      <c r="F1280" s="14">
        <v>898560</v>
      </c>
      <c r="G1280" s="14">
        <v>628992</v>
      </c>
      <c r="H1280" s="37">
        <f>'Calculation Sheet'!N1280</f>
        <v>628992</v>
      </c>
    </row>
    <row r="1281" spans="1:8" x14ac:dyDescent="0.25">
      <c r="A1281" s="14" t="s">
        <v>2165</v>
      </c>
      <c r="B1281" s="14">
        <v>2</v>
      </c>
      <c r="C1281" s="15" t="s">
        <v>2166</v>
      </c>
      <c r="D1281" s="14" t="s">
        <v>1752</v>
      </c>
      <c r="E1281" s="14" t="s">
        <v>1747</v>
      </c>
      <c r="F1281" s="14">
        <v>898560</v>
      </c>
      <c r="G1281" s="14">
        <v>628992</v>
      </c>
      <c r="H1281" s="37">
        <f>'Calculation Sheet'!N1281</f>
        <v>628992</v>
      </c>
    </row>
    <row r="1282" spans="1:8" x14ac:dyDescent="0.25">
      <c r="A1282" s="14" t="s">
        <v>2165</v>
      </c>
      <c r="B1282" s="14">
        <v>4</v>
      </c>
      <c r="C1282" s="15" t="s">
        <v>2168</v>
      </c>
      <c r="D1282" s="14" t="s">
        <v>1745</v>
      </c>
      <c r="E1282" s="14" t="s">
        <v>1746</v>
      </c>
      <c r="F1282" s="14">
        <v>125811</v>
      </c>
      <c r="G1282" s="14">
        <v>88067.76</v>
      </c>
      <c r="H1282" s="37">
        <f>'Calculation Sheet'!N1282</f>
        <v>88067.76</v>
      </c>
    </row>
    <row r="1283" spans="1:8" x14ac:dyDescent="0.25">
      <c r="A1283" s="14" t="s">
        <v>2165</v>
      </c>
      <c r="B1283" s="14">
        <v>6</v>
      </c>
      <c r="C1283" s="15" t="s">
        <v>2169</v>
      </c>
      <c r="D1283" s="14" t="s">
        <v>1749</v>
      </c>
      <c r="E1283" s="14" t="s">
        <v>1766</v>
      </c>
      <c r="F1283" s="14">
        <v>0</v>
      </c>
      <c r="G1283" s="14">
        <v>0</v>
      </c>
      <c r="H1283" s="37">
        <f>'Calculation Sheet'!N1283</f>
        <v>0</v>
      </c>
    </row>
    <row r="1284" spans="1:8" x14ac:dyDescent="0.25">
      <c r="A1284" s="14" t="s">
        <v>2165</v>
      </c>
      <c r="B1284" s="14">
        <v>1</v>
      </c>
      <c r="C1284" s="15" t="s">
        <v>2166</v>
      </c>
      <c r="D1284" s="14" t="s">
        <v>1749</v>
      </c>
      <c r="E1284" s="14" t="s">
        <v>1766</v>
      </c>
      <c r="F1284" s="14">
        <v>0</v>
      </c>
      <c r="G1284" s="14">
        <v>0</v>
      </c>
      <c r="H1284" s="37">
        <f>'Calculation Sheet'!N1284</f>
        <v>0</v>
      </c>
    </row>
    <row r="1285" spans="1:8" x14ac:dyDescent="0.25">
      <c r="A1285" s="14" t="s">
        <v>2165</v>
      </c>
      <c r="B1285" s="14">
        <v>5</v>
      </c>
      <c r="C1285" s="15" t="s">
        <v>2169</v>
      </c>
      <c r="D1285" s="14" t="s">
        <v>1745</v>
      </c>
      <c r="E1285" s="14" t="s">
        <v>1747</v>
      </c>
      <c r="F1285" s="14">
        <v>164700</v>
      </c>
      <c r="G1285" s="14">
        <v>115290</v>
      </c>
      <c r="H1285" s="37">
        <f>'Calculation Sheet'!N1285</f>
        <v>115290</v>
      </c>
    </row>
    <row r="1286" spans="1:8" x14ac:dyDescent="0.25">
      <c r="A1286" s="14" t="s">
        <v>2170</v>
      </c>
      <c r="B1286" s="14">
        <v>2</v>
      </c>
      <c r="C1286" s="15" t="s">
        <v>2171</v>
      </c>
      <c r="D1286" s="14" t="s">
        <v>1749</v>
      </c>
      <c r="E1286" s="14" t="s">
        <v>1746</v>
      </c>
      <c r="F1286" s="14">
        <v>402</v>
      </c>
      <c r="G1286" s="14">
        <v>281.39999999999998</v>
      </c>
      <c r="H1286" s="37">
        <f>'Calculation Sheet'!N1286</f>
        <v>281.39999999999998</v>
      </c>
    </row>
    <row r="1287" spans="1:8" x14ac:dyDescent="0.25">
      <c r="A1287" s="14" t="s">
        <v>2170</v>
      </c>
      <c r="B1287" s="14">
        <v>4</v>
      </c>
      <c r="C1287" s="15" t="s">
        <v>2172</v>
      </c>
      <c r="D1287" s="14" t="s">
        <v>1752</v>
      </c>
      <c r="E1287" s="14" t="s">
        <v>1747</v>
      </c>
      <c r="F1287" s="14">
        <v>4193100</v>
      </c>
      <c r="G1287" s="14">
        <v>2935170</v>
      </c>
      <c r="H1287" s="37">
        <f>'Calculation Sheet'!N1287</f>
        <v>2935170</v>
      </c>
    </row>
    <row r="1288" spans="1:8" ht="30" x14ac:dyDescent="0.25">
      <c r="A1288" s="14" t="s">
        <v>2170</v>
      </c>
      <c r="B1288" s="14">
        <v>15</v>
      </c>
      <c r="C1288" s="15" t="s">
        <v>2173</v>
      </c>
      <c r="D1288" s="14" t="s">
        <v>1749</v>
      </c>
      <c r="E1288" s="14" t="s">
        <v>1746</v>
      </c>
      <c r="F1288" s="14">
        <v>1650</v>
      </c>
      <c r="G1288" s="14">
        <v>1155</v>
      </c>
      <c r="H1288" s="37">
        <f>'Calculation Sheet'!N1288</f>
        <v>1155</v>
      </c>
    </row>
    <row r="1289" spans="1:8" x14ac:dyDescent="0.25">
      <c r="A1289" s="14" t="s">
        <v>2170</v>
      </c>
      <c r="B1289" s="14">
        <v>3</v>
      </c>
      <c r="C1289" s="15" t="s">
        <v>2174</v>
      </c>
      <c r="D1289" s="14" t="s">
        <v>1752</v>
      </c>
      <c r="E1289" s="14" t="s">
        <v>1747</v>
      </c>
      <c r="F1289" s="14">
        <v>89820</v>
      </c>
      <c r="G1289" s="14">
        <v>62874</v>
      </c>
      <c r="H1289" s="37">
        <f>'Calculation Sheet'!N1289</f>
        <v>62874</v>
      </c>
    </row>
    <row r="1290" spans="1:8" x14ac:dyDescent="0.25">
      <c r="A1290" s="14" t="s">
        <v>2170</v>
      </c>
      <c r="B1290" s="14">
        <v>3</v>
      </c>
      <c r="C1290" s="15" t="s">
        <v>2174</v>
      </c>
      <c r="D1290" s="14" t="s">
        <v>1752</v>
      </c>
      <c r="E1290" s="14" t="s">
        <v>1746</v>
      </c>
      <c r="F1290" s="14">
        <v>94311</v>
      </c>
      <c r="G1290" s="14">
        <v>66017.88</v>
      </c>
      <c r="H1290" s="37">
        <f>'Calculation Sheet'!N1290</f>
        <v>66017.88</v>
      </c>
    </row>
    <row r="1291" spans="1:8" x14ac:dyDescent="0.25">
      <c r="A1291" s="14" t="s">
        <v>2170</v>
      </c>
      <c r="B1291" s="14">
        <v>4</v>
      </c>
      <c r="C1291" s="15" t="s">
        <v>2172</v>
      </c>
      <c r="D1291" s="14" t="s">
        <v>1749</v>
      </c>
      <c r="E1291" s="14" t="s">
        <v>1746</v>
      </c>
      <c r="F1291" s="14">
        <v>139770</v>
      </c>
      <c r="G1291" s="14">
        <v>97839</v>
      </c>
      <c r="H1291" s="37">
        <f>'Calculation Sheet'!N1291</f>
        <v>97839</v>
      </c>
    </row>
    <row r="1292" spans="1:8" x14ac:dyDescent="0.25">
      <c r="A1292" s="14" t="s">
        <v>2170</v>
      </c>
      <c r="B1292" s="14">
        <v>2</v>
      </c>
      <c r="C1292" s="15" t="s">
        <v>2171</v>
      </c>
      <c r="D1292" s="14" t="s">
        <v>1745</v>
      </c>
      <c r="E1292" s="14" t="s">
        <v>1747</v>
      </c>
      <c r="F1292" s="14">
        <v>4020</v>
      </c>
      <c r="G1292" s="14">
        <v>2814</v>
      </c>
      <c r="H1292" s="37">
        <f>'Calculation Sheet'!N1292</f>
        <v>2814</v>
      </c>
    </row>
    <row r="1293" spans="1:8" x14ac:dyDescent="0.25">
      <c r="A1293" s="14" t="s">
        <v>2170</v>
      </c>
      <c r="B1293" s="14">
        <v>2</v>
      </c>
      <c r="C1293" s="15" t="s">
        <v>2171</v>
      </c>
      <c r="D1293" s="14" t="s">
        <v>1752</v>
      </c>
      <c r="E1293" s="14" t="s">
        <v>1746</v>
      </c>
      <c r="F1293" s="14">
        <v>12663</v>
      </c>
      <c r="G1293" s="14">
        <v>8864.2800000000007</v>
      </c>
      <c r="H1293" s="37">
        <f>'Calculation Sheet'!N1293</f>
        <v>8864.2800000000007</v>
      </c>
    </row>
    <row r="1294" spans="1:8" x14ac:dyDescent="0.25">
      <c r="A1294" s="14" t="s">
        <v>2170</v>
      </c>
      <c r="B1294" s="14" t="s">
        <v>583</v>
      </c>
      <c r="C1294" s="15" t="s">
        <v>2175</v>
      </c>
      <c r="D1294" s="14" t="s">
        <v>1745</v>
      </c>
      <c r="E1294" s="14" t="s">
        <v>1746</v>
      </c>
      <c r="F1294" s="14">
        <v>587034</v>
      </c>
      <c r="G1294" s="14">
        <v>528330.6</v>
      </c>
      <c r="H1294" s="37">
        <f>'Calculation Sheet'!N1294</f>
        <v>528330.6</v>
      </c>
    </row>
    <row r="1295" spans="1:8" ht="30" x14ac:dyDescent="0.25">
      <c r="A1295" s="14" t="s">
        <v>2170</v>
      </c>
      <c r="B1295" s="14" t="s">
        <v>470</v>
      </c>
      <c r="C1295" s="15" t="s">
        <v>2176</v>
      </c>
      <c r="D1295" s="14" t="s">
        <v>1745</v>
      </c>
      <c r="E1295" s="14" t="s">
        <v>1747</v>
      </c>
      <c r="F1295" s="14">
        <v>12000</v>
      </c>
      <c r="G1295" s="14">
        <v>8400</v>
      </c>
      <c r="H1295" s="37">
        <f>'Calculation Sheet'!N1295</f>
        <v>8400</v>
      </c>
    </row>
    <row r="1296" spans="1:8" ht="30" x14ac:dyDescent="0.25">
      <c r="A1296" s="14" t="s">
        <v>2170</v>
      </c>
      <c r="B1296" s="14">
        <v>15</v>
      </c>
      <c r="C1296" s="15" t="s">
        <v>2173</v>
      </c>
      <c r="D1296" s="14" t="s">
        <v>1745</v>
      </c>
      <c r="E1296" s="14" t="s">
        <v>1746</v>
      </c>
      <c r="F1296" s="14">
        <v>17325</v>
      </c>
      <c r="G1296" s="14">
        <v>12127.56</v>
      </c>
      <c r="H1296" s="37">
        <f>'Calculation Sheet'!N1296</f>
        <v>12127.56</v>
      </c>
    </row>
    <row r="1297" spans="1:8" x14ac:dyDescent="0.25">
      <c r="A1297" s="14" t="s">
        <v>2170</v>
      </c>
      <c r="B1297" s="14">
        <v>11</v>
      </c>
      <c r="C1297" s="15" t="s">
        <v>2177</v>
      </c>
      <c r="D1297" s="14" t="s">
        <v>1749</v>
      </c>
      <c r="E1297" s="14" t="s">
        <v>1746</v>
      </c>
      <c r="F1297" s="14">
        <v>5394</v>
      </c>
      <c r="G1297" s="14">
        <v>4854.6000000000004</v>
      </c>
      <c r="H1297" s="37">
        <f>'Calculation Sheet'!N1297</f>
        <v>4854.6000000000004</v>
      </c>
    </row>
    <row r="1298" spans="1:8" x14ac:dyDescent="0.25">
      <c r="A1298" s="14" t="s">
        <v>2170</v>
      </c>
      <c r="B1298" s="14">
        <v>1</v>
      </c>
      <c r="C1298" s="15" t="s">
        <v>2178</v>
      </c>
      <c r="D1298" s="14" t="s">
        <v>1752</v>
      </c>
      <c r="E1298" s="14" t="s">
        <v>1747</v>
      </c>
      <c r="F1298" s="14">
        <v>404280</v>
      </c>
      <c r="G1298" s="14">
        <v>282996</v>
      </c>
      <c r="H1298" s="37">
        <f>'Calculation Sheet'!N1298</f>
        <v>282996</v>
      </c>
    </row>
    <row r="1299" spans="1:8" x14ac:dyDescent="0.25">
      <c r="A1299" s="14" t="s">
        <v>2170</v>
      </c>
      <c r="B1299" s="14">
        <v>3</v>
      </c>
      <c r="C1299" s="15" t="s">
        <v>2174</v>
      </c>
      <c r="D1299" s="14" t="s">
        <v>1745</v>
      </c>
      <c r="E1299" s="14" t="s">
        <v>1746</v>
      </c>
      <c r="F1299" s="14">
        <v>31437</v>
      </c>
      <c r="G1299" s="14">
        <v>22005.96</v>
      </c>
      <c r="H1299" s="37">
        <f>'Calculation Sheet'!N1299</f>
        <v>22005.96</v>
      </c>
    </row>
    <row r="1300" spans="1:8" x14ac:dyDescent="0.25">
      <c r="A1300" s="14" t="s">
        <v>2170</v>
      </c>
      <c r="B1300" s="14">
        <v>19</v>
      </c>
      <c r="C1300" s="15" t="s">
        <v>2179</v>
      </c>
      <c r="D1300" s="14" t="s">
        <v>1745</v>
      </c>
      <c r="E1300" s="14" t="s">
        <v>1746</v>
      </c>
      <c r="F1300" s="14">
        <v>1701</v>
      </c>
      <c r="G1300" s="14">
        <v>1190.76</v>
      </c>
      <c r="H1300" s="37">
        <f>'Calculation Sheet'!N1300</f>
        <v>1190.76</v>
      </c>
    </row>
    <row r="1301" spans="1:8" x14ac:dyDescent="0.25">
      <c r="A1301" s="14" t="s">
        <v>2170</v>
      </c>
      <c r="B1301" s="14">
        <v>17</v>
      </c>
      <c r="C1301" s="15" t="s">
        <v>2180</v>
      </c>
      <c r="D1301" s="14" t="s">
        <v>1749</v>
      </c>
      <c r="E1301" s="14" t="s">
        <v>1746</v>
      </c>
      <c r="F1301" s="14">
        <v>162</v>
      </c>
      <c r="G1301" s="14">
        <v>145.80000000000001</v>
      </c>
      <c r="H1301" s="37">
        <f>'Calculation Sheet'!N1301</f>
        <v>145.80000000000001</v>
      </c>
    </row>
    <row r="1302" spans="1:8" x14ac:dyDescent="0.25">
      <c r="A1302" s="14" t="s">
        <v>2170</v>
      </c>
      <c r="B1302" s="14">
        <v>2</v>
      </c>
      <c r="C1302" s="15" t="s">
        <v>2171</v>
      </c>
      <c r="D1302" s="14" t="s">
        <v>1752</v>
      </c>
      <c r="E1302" s="14" t="s">
        <v>1747</v>
      </c>
      <c r="F1302" s="14">
        <v>12060</v>
      </c>
      <c r="G1302" s="14">
        <v>8442</v>
      </c>
      <c r="H1302" s="37">
        <f>'Calculation Sheet'!N1302</f>
        <v>8442</v>
      </c>
    </row>
    <row r="1303" spans="1:8" x14ac:dyDescent="0.25">
      <c r="A1303" s="14" t="s">
        <v>2170</v>
      </c>
      <c r="B1303" s="14">
        <v>4</v>
      </c>
      <c r="C1303" s="15" t="s">
        <v>2172</v>
      </c>
      <c r="D1303" s="14" t="s">
        <v>1745</v>
      </c>
      <c r="E1303" s="14" t="s">
        <v>1747</v>
      </c>
      <c r="F1303" s="14">
        <v>1397700</v>
      </c>
      <c r="G1303" s="14">
        <v>978390</v>
      </c>
      <c r="H1303" s="37">
        <f>'Calculation Sheet'!N1303</f>
        <v>978390</v>
      </c>
    </row>
    <row r="1304" spans="1:8" ht="30" x14ac:dyDescent="0.25">
      <c r="A1304" s="14" t="s">
        <v>2170</v>
      </c>
      <c r="B1304" s="14" t="s">
        <v>470</v>
      </c>
      <c r="C1304" s="15" t="s">
        <v>2176</v>
      </c>
      <c r="D1304" s="14" t="s">
        <v>1745</v>
      </c>
      <c r="E1304" s="14" t="s">
        <v>1746</v>
      </c>
      <c r="F1304" s="14">
        <v>12600</v>
      </c>
      <c r="G1304" s="14">
        <v>8820</v>
      </c>
      <c r="H1304" s="37">
        <f>'Calculation Sheet'!N1304</f>
        <v>8820</v>
      </c>
    </row>
    <row r="1305" spans="1:8" x14ac:dyDescent="0.25">
      <c r="A1305" s="14" t="s">
        <v>2170</v>
      </c>
      <c r="B1305" s="14">
        <v>11</v>
      </c>
      <c r="C1305" s="15" t="s">
        <v>2177</v>
      </c>
      <c r="D1305" s="14" t="s">
        <v>1745</v>
      </c>
      <c r="E1305" s="14" t="s">
        <v>1746</v>
      </c>
      <c r="F1305" s="14">
        <v>56637</v>
      </c>
      <c r="G1305" s="14">
        <v>50973.36</v>
      </c>
      <c r="H1305" s="37">
        <f>'Calculation Sheet'!N1305</f>
        <v>50973.36</v>
      </c>
    </row>
    <row r="1306" spans="1:8" x14ac:dyDescent="0.25">
      <c r="A1306" s="14" t="s">
        <v>2170</v>
      </c>
      <c r="B1306" s="14">
        <v>16</v>
      </c>
      <c r="C1306" s="15" t="s">
        <v>2181</v>
      </c>
      <c r="D1306" s="14" t="s">
        <v>1745</v>
      </c>
      <c r="E1306" s="14" t="s">
        <v>1746</v>
      </c>
      <c r="F1306" s="14">
        <v>2331</v>
      </c>
      <c r="G1306" s="14">
        <v>1631.76</v>
      </c>
      <c r="H1306" s="37">
        <f>'Calculation Sheet'!N1306</f>
        <v>1631.76</v>
      </c>
    </row>
    <row r="1307" spans="1:8" x14ac:dyDescent="0.25">
      <c r="A1307" s="14" t="s">
        <v>2170</v>
      </c>
      <c r="B1307" s="14">
        <v>2</v>
      </c>
      <c r="C1307" s="15" t="s">
        <v>2171</v>
      </c>
      <c r="D1307" s="14" t="s">
        <v>1745</v>
      </c>
      <c r="E1307" s="14" t="s">
        <v>1746</v>
      </c>
      <c r="F1307" s="14">
        <v>4221</v>
      </c>
      <c r="G1307" s="14">
        <v>2954.76</v>
      </c>
      <c r="H1307" s="37">
        <f>'Calculation Sheet'!N1307</f>
        <v>2954.76</v>
      </c>
    </row>
    <row r="1308" spans="1:8" ht="30" x14ac:dyDescent="0.25">
      <c r="A1308" s="14" t="s">
        <v>2170</v>
      </c>
      <c r="B1308" s="14" t="s">
        <v>470</v>
      </c>
      <c r="C1308" s="15" t="s">
        <v>2176</v>
      </c>
      <c r="D1308" s="14" t="s">
        <v>1749</v>
      </c>
      <c r="E1308" s="14" t="s">
        <v>1746</v>
      </c>
      <c r="F1308" s="14">
        <v>1200</v>
      </c>
      <c r="G1308" s="14">
        <v>840</v>
      </c>
      <c r="H1308" s="37">
        <f>'Calculation Sheet'!N1308</f>
        <v>840</v>
      </c>
    </row>
    <row r="1309" spans="1:8" ht="30" x14ac:dyDescent="0.25">
      <c r="A1309" s="14" t="s">
        <v>2170</v>
      </c>
      <c r="B1309" s="14">
        <v>14</v>
      </c>
      <c r="C1309" s="15" t="s">
        <v>2182</v>
      </c>
      <c r="D1309" s="14" t="s">
        <v>1752</v>
      </c>
      <c r="E1309" s="14" t="s">
        <v>1747</v>
      </c>
      <c r="F1309" s="14">
        <v>36000</v>
      </c>
      <c r="G1309" s="14">
        <v>32400</v>
      </c>
      <c r="H1309" s="37">
        <f>'Calculation Sheet'!N1309</f>
        <v>32400</v>
      </c>
    </row>
    <row r="1310" spans="1:8" x14ac:dyDescent="0.25">
      <c r="A1310" s="14" t="s">
        <v>2170</v>
      </c>
      <c r="B1310" s="14">
        <v>11</v>
      </c>
      <c r="C1310" s="15" t="s">
        <v>2177</v>
      </c>
      <c r="D1310" s="14" t="s">
        <v>1752</v>
      </c>
      <c r="E1310" s="14" t="s">
        <v>1747</v>
      </c>
      <c r="F1310" s="14">
        <v>161820</v>
      </c>
      <c r="G1310" s="14">
        <v>145638</v>
      </c>
      <c r="H1310" s="37">
        <f>'Calculation Sheet'!N1310</f>
        <v>145638</v>
      </c>
    </row>
    <row r="1311" spans="1:8" x14ac:dyDescent="0.25">
      <c r="A1311" s="14" t="s">
        <v>2170</v>
      </c>
      <c r="B1311" s="14">
        <v>17</v>
      </c>
      <c r="C1311" s="15" t="s">
        <v>2180</v>
      </c>
      <c r="D1311" s="14" t="s">
        <v>1745</v>
      </c>
      <c r="E1311" s="14" t="s">
        <v>1747</v>
      </c>
      <c r="F1311" s="14">
        <v>1620</v>
      </c>
      <c r="G1311" s="14">
        <v>1458</v>
      </c>
      <c r="H1311" s="37">
        <f>'Calculation Sheet'!N1311</f>
        <v>1458</v>
      </c>
    </row>
    <row r="1312" spans="1:8" x14ac:dyDescent="0.25">
      <c r="A1312" s="14" t="s">
        <v>2170</v>
      </c>
      <c r="B1312" s="14" t="s">
        <v>263</v>
      </c>
      <c r="C1312" s="15" t="s">
        <v>2183</v>
      </c>
      <c r="D1312" s="14" t="s">
        <v>1745</v>
      </c>
      <c r="E1312" s="14" t="s">
        <v>1746</v>
      </c>
      <c r="F1312" s="14">
        <v>587034</v>
      </c>
      <c r="G1312" s="14">
        <v>410923.8</v>
      </c>
      <c r="H1312" s="37">
        <f>'Calculation Sheet'!N1312</f>
        <v>410923.8</v>
      </c>
    </row>
    <row r="1313" spans="1:8" x14ac:dyDescent="0.25">
      <c r="A1313" s="14" t="s">
        <v>2170</v>
      </c>
      <c r="B1313" s="14" t="s">
        <v>583</v>
      </c>
      <c r="C1313" s="15" t="s">
        <v>2175</v>
      </c>
      <c r="D1313" s="14" t="s">
        <v>1752</v>
      </c>
      <c r="E1313" s="14" t="s">
        <v>1747</v>
      </c>
      <c r="F1313" s="14">
        <v>1677240</v>
      </c>
      <c r="G1313" s="14">
        <v>1509516</v>
      </c>
      <c r="H1313" s="37">
        <f>'Calculation Sheet'!N1313</f>
        <v>1509516</v>
      </c>
    </row>
    <row r="1314" spans="1:8" x14ac:dyDescent="0.25">
      <c r="A1314" s="14" t="s">
        <v>2170</v>
      </c>
      <c r="B1314" s="14">
        <v>18</v>
      </c>
      <c r="C1314" s="15" t="s">
        <v>2184</v>
      </c>
      <c r="D1314" s="14" t="s">
        <v>1745</v>
      </c>
      <c r="E1314" s="14" t="s">
        <v>1746</v>
      </c>
      <c r="F1314" s="14">
        <v>56637</v>
      </c>
      <c r="G1314" s="14">
        <v>39645.96</v>
      </c>
      <c r="H1314" s="37">
        <f>'Calculation Sheet'!N1314</f>
        <v>39645.96</v>
      </c>
    </row>
    <row r="1315" spans="1:8" ht="30" x14ac:dyDescent="0.25">
      <c r="A1315" s="14" t="s">
        <v>2170</v>
      </c>
      <c r="B1315" s="14">
        <v>14</v>
      </c>
      <c r="C1315" s="15" t="s">
        <v>2182</v>
      </c>
      <c r="D1315" s="14" t="s">
        <v>1749</v>
      </c>
      <c r="E1315" s="14" t="s">
        <v>1746</v>
      </c>
      <c r="F1315" s="14">
        <v>1200</v>
      </c>
      <c r="G1315" s="14">
        <v>1080</v>
      </c>
      <c r="H1315" s="37">
        <f>'Calculation Sheet'!N1315</f>
        <v>1080</v>
      </c>
    </row>
    <row r="1316" spans="1:8" x14ac:dyDescent="0.25">
      <c r="A1316" s="14" t="s">
        <v>2170</v>
      </c>
      <c r="B1316" s="14" t="s">
        <v>583</v>
      </c>
      <c r="C1316" s="15" t="s">
        <v>2175</v>
      </c>
      <c r="D1316" s="14" t="s">
        <v>1745</v>
      </c>
      <c r="E1316" s="14" t="s">
        <v>1747</v>
      </c>
      <c r="F1316" s="14">
        <v>559080</v>
      </c>
      <c r="G1316" s="14">
        <v>503172</v>
      </c>
      <c r="H1316" s="37">
        <f>'Calculation Sheet'!N1316</f>
        <v>503172</v>
      </c>
    </row>
    <row r="1317" spans="1:8" x14ac:dyDescent="0.25">
      <c r="A1317" s="14" t="s">
        <v>2170</v>
      </c>
      <c r="B1317" s="14" t="s">
        <v>583</v>
      </c>
      <c r="C1317" s="15" t="s">
        <v>2175</v>
      </c>
      <c r="D1317" s="14" t="s">
        <v>1749</v>
      </c>
      <c r="E1317" s="14" t="s">
        <v>1746</v>
      </c>
      <c r="F1317" s="14">
        <v>55908</v>
      </c>
      <c r="G1317" s="14">
        <v>50317.2</v>
      </c>
      <c r="H1317" s="37">
        <f>'Calculation Sheet'!N1317</f>
        <v>50317.2</v>
      </c>
    </row>
    <row r="1318" spans="1:8" x14ac:dyDescent="0.25">
      <c r="A1318" s="14" t="s">
        <v>2170</v>
      </c>
      <c r="B1318" s="14">
        <v>3</v>
      </c>
      <c r="C1318" s="15" t="s">
        <v>2174</v>
      </c>
      <c r="D1318" s="14" t="s">
        <v>1745</v>
      </c>
      <c r="E1318" s="14" t="s">
        <v>1747</v>
      </c>
      <c r="F1318" s="14">
        <v>29940</v>
      </c>
      <c r="G1318" s="14">
        <v>20958</v>
      </c>
      <c r="H1318" s="37">
        <f>'Calculation Sheet'!N1318</f>
        <v>20958</v>
      </c>
    </row>
    <row r="1319" spans="1:8" x14ac:dyDescent="0.25">
      <c r="A1319" s="14" t="s">
        <v>2170</v>
      </c>
      <c r="B1319" s="14" t="s">
        <v>263</v>
      </c>
      <c r="C1319" s="15" t="s">
        <v>2183</v>
      </c>
      <c r="D1319" s="14" t="s">
        <v>1745</v>
      </c>
      <c r="E1319" s="14" t="s">
        <v>1747</v>
      </c>
      <c r="F1319" s="14">
        <v>559080</v>
      </c>
      <c r="G1319" s="14">
        <v>391356</v>
      </c>
      <c r="H1319" s="37">
        <f>'Calculation Sheet'!N1319</f>
        <v>391356</v>
      </c>
    </row>
    <row r="1320" spans="1:8" x14ac:dyDescent="0.25">
      <c r="A1320" s="14" t="s">
        <v>2170</v>
      </c>
      <c r="B1320" s="14" t="s">
        <v>263</v>
      </c>
      <c r="C1320" s="15" t="s">
        <v>2183</v>
      </c>
      <c r="D1320" s="14" t="s">
        <v>1749</v>
      </c>
      <c r="E1320" s="14" t="s">
        <v>1746</v>
      </c>
      <c r="F1320" s="14">
        <v>55908</v>
      </c>
      <c r="G1320" s="14">
        <v>39135.599999999999</v>
      </c>
      <c r="H1320" s="37">
        <f>'Calculation Sheet'!N1320</f>
        <v>39135.599999999999</v>
      </c>
    </row>
    <row r="1321" spans="1:8" x14ac:dyDescent="0.25">
      <c r="A1321" s="14" t="s">
        <v>2170</v>
      </c>
      <c r="B1321" s="14">
        <v>16</v>
      </c>
      <c r="C1321" s="15" t="s">
        <v>2181</v>
      </c>
      <c r="D1321" s="14" t="s">
        <v>1745</v>
      </c>
      <c r="E1321" s="14" t="s">
        <v>1747</v>
      </c>
      <c r="F1321" s="14">
        <v>2220</v>
      </c>
      <c r="G1321" s="14">
        <v>1554</v>
      </c>
      <c r="H1321" s="37">
        <f>'Calculation Sheet'!N1321</f>
        <v>1554</v>
      </c>
    </row>
    <row r="1322" spans="1:8" x14ac:dyDescent="0.25">
      <c r="A1322" s="14" t="s">
        <v>2170</v>
      </c>
      <c r="B1322" s="14">
        <v>1</v>
      </c>
      <c r="C1322" s="15" t="s">
        <v>2178</v>
      </c>
      <c r="D1322" s="14" t="s">
        <v>1745</v>
      </c>
      <c r="E1322" s="14" t="s">
        <v>1746</v>
      </c>
      <c r="F1322" s="14">
        <v>141498</v>
      </c>
      <c r="G1322" s="14">
        <v>99048.6</v>
      </c>
      <c r="H1322" s="37">
        <f>'Calculation Sheet'!N1322</f>
        <v>99048.6</v>
      </c>
    </row>
    <row r="1323" spans="1:8" x14ac:dyDescent="0.25">
      <c r="A1323" s="14" t="s">
        <v>2170</v>
      </c>
      <c r="B1323" s="14">
        <v>3</v>
      </c>
      <c r="C1323" s="15" t="s">
        <v>2174</v>
      </c>
      <c r="D1323" s="14" t="s">
        <v>1752</v>
      </c>
      <c r="E1323" s="14" t="s">
        <v>1753</v>
      </c>
      <c r="F1323" s="14">
        <v>89820</v>
      </c>
      <c r="G1323" s="14">
        <v>62874</v>
      </c>
      <c r="H1323" s="37">
        <f>'Calculation Sheet'!N1323</f>
        <v>62874</v>
      </c>
    </row>
    <row r="1324" spans="1:8" x14ac:dyDescent="0.25">
      <c r="A1324" s="14" t="s">
        <v>2170</v>
      </c>
      <c r="B1324" s="14">
        <v>4</v>
      </c>
      <c r="C1324" s="15" t="s">
        <v>2172</v>
      </c>
      <c r="D1324" s="14" t="s">
        <v>1745</v>
      </c>
      <c r="E1324" s="14" t="s">
        <v>1746</v>
      </c>
      <c r="F1324" s="14">
        <v>1467585</v>
      </c>
      <c r="G1324" s="14">
        <v>1027310</v>
      </c>
      <c r="H1324" s="37">
        <f>'Calculation Sheet'!N1324</f>
        <v>1027310</v>
      </c>
    </row>
    <row r="1325" spans="1:8" x14ac:dyDescent="0.25">
      <c r="A1325" s="14" t="s">
        <v>2170</v>
      </c>
      <c r="B1325" s="14">
        <v>16</v>
      </c>
      <c r="C1325" s="15" t="s">
        <v>2181</v>
      </c>
      <c r="D1325" s="14" t="s">
        <v>1749</v>
      </c>
      <c r="E1325" s="14" t="s">
        <v>1746</v>
      </c>
      <c r="F1325" s="14">
        <v>222</v>
      </c>
      <c r="G1325" s="14">
        <v>155.4</v>
      </c>
      <c r="H1325" s="37">
        <f>'Calculation Sheet'!N1325</f>
        <v>155.4</v>
      </c>
    </row>
    <row r="1326" spans="1:8" x14ac:dyDescent="0.25">
      <c r="A1326" s="14" t="s">
        <v>2170</v>
      </c>
      <c r="B1326" s="14">
        <v>19</v>
      </c>
      <c r="C1326" s="15" t="s">
        <v>2179</v>
      </c>
      <c r="D1326" s="14" t="s">
        <v>1745</v>
      </c>
      <c r="E1326" s="14" t="s">
        <v>1747</v>
      </c>
      <c r="F1326" s="14">
        <v>1620</v>
      </c>
      <c r="G1326" s="14">
        <v>1134</v>
      </c>
      <c r="H1326" s="37">
        <f>'Calculation Sheet'!N1326</f>
        <v>1134</v>
      </c>
    </row>
    <row r="1327" spans="1:8" x14ac:dyDescent="0.25">
      <c r="A1327" s="14" t="s">
        <v>2170</v>
      </c>
      <c r="B1327" s="14">
        <v>19</v>
      </c>
      <c r="C1327" s="15" t="s">
        <v>2179</v>
      </c>
      <c r="D1327" s="14" t="s">
        <v>1749</v>
      </c>
      <c r="E1327" s="14" t="s">
        <v>1746</v>
      </c>
      <c r="F1327" s="14">
        <v>162</v>
      </c>
      <c r="G1327" s="14">
        <v>113.4</v>
      </c>
      <c r="H1327" s="37">
        <f>'Calculation Sheet'!N1327</f>
        <v>113.4</v>
      </c>
    </row>
    <row r="1328" spans="1:8" x14ac:dyDescent="0.25">
      <c r="A1328" s="14" t="s">
        <v>2170</v>
      </c>
      <c r="B1328" s="14">
        <v>13</v>
      </c>
      <c r="C1328" s="15" t="s">
        <v>2185</v>
      </c>
      <c r="D1328" s="14" t="s">
        <v>1749</v>
      </c>
      <c r="E1328" s="14" t="s">
        <v>1746</v>
      </c>
      <c r="F1328" s="14">
        <v>76872</v>
      </c>
      <c r="G1328" s="14">
        <v>53810.400000000001</v>
      </c>
      <c r="H1328" s="37">
        <f>'Calculation Sheet'!N1328</f>
        <v>53810.400000000001</v>
      </c>
    </row>
    <row r="1329" spans="1:8" x14ac:dyDescent="0.25">
      <c r="A1329" s="14" t="s">
        <v>2170</v>
      </c>
      <c r="B1329" s="14">
        <v>3</v>
      </c>
      <c r="C1329" s="15" t="s">
        <v>2174</v>
      </c>
      <c r="D1329" s="14" t="s">
        <v>1749</v>
      </c>
      <c r="E1329" s="14" t="s">
        <v>1746</v>
      </c>
      <c r="F1329" s="14">
        <v>2994</v>
      </c>
      <c r="G1329" s="14">
        <v>2095.8000000000002</v>
      </c>
      <c r="H1329" s="37">
        <f>'Calculation Sheet'!N1329</f>
        <v>2095.8000000000002</v>
      </c>
    </row>
    <row r="1330" spans="1:8" ht="30" x14ac:dyDescent="0.25">
      <c r="A1330" s="14" t="s">
        <v>2170</v>
      </c>
      <c r="B1330" s="14">
        <v>14</v>
      </c>
      <c r="C1330" s="15" t="s">
        <v>2182</v>
      </c>
      <c r="D1330" s="14" t="s">
        <v>1752</v>
      </c>
      <c r="E1330" s="14" t="s">
        <v>1746</v>
      </c>
      <c r="F1330" s="14">
        <v>37800</v>
      </c>
      <c r="G1330" s="14">
        <v>34020</v>
      </c>
      <c r="H1330" s="37">
        <f>'Calculation Sheet'!N1330</f>
        <v>34020</v>
      </c>
    </row>
    <row r="1331" spans="1:8" x14ac:dyDescent="0.25">
      <c r="A1331" s="14" t="s">
        <v>2170</v>
      </c>
      <c r="B1331" s="14">
        <v>4</v>
      </c>
      <c r="C1331" s="15" t="s">
        <v>2172</v>
      </c>
      <c r="D1331" s="14" t="s">
        <v>1752</v>
      </c>
      <c r="E1331" s="14" t="s">
        <v>1753</v>
      </c>
      <c r="F1331" s="14">
        <v>4193100</v>
      </c>
      <c r="G1331" s="14">
        <v>2935170</v>
      </c>
      <c r="H1331" s="37">
        <f>'Calculation Sheet'!N1331</f>
        <v>2935170</v>
      </c>
    </row>
    <row r="1332" spans="1:8" x14ac:dyDescent="0.25">
      <c r="A1332" s="14" t="s">
        <v>2170</v>
      </c>
      <c r="B1332" s="14">
        <v>12</v>
      </c>
      <c r="C1332" s="15" t="s">
        <v>2186</v>
      </c>
      <c r="D1332" s="14" t="s">
        <v>1745</v>
      </c>
      <c r="E1332" s="14" t="s">
        <v>1746</v>
      </c>
      <c r="F1332" s="14">
        <v>77805</v>
      </c>
      <c r="G1332" s="14">
        <v>54463.56</v>
      </c>
      <c r="H1332" s="37">
        <f>'Calculation Sheet'!N1332</f>
        <v>54463.56</v>
      </c>
    </row>
    <row r="1333" spans="1:8" x14ac:dyDescent="0.25">
      <c r="A1333" s="14" t="s">
        <v>2170</v>
      </c>
      <c r="B1333" s="14">
        <v>1</v>
      </c>
      <c r="C1333" s="15" t="s">
        <v>2178</v>
      </c>
      <c r="D1333" s="14" t="s">
        <v>1752</v>
      </c>
      <c r="E1333" s="14" t="s">
        <v>1746</v>
      </c>
      <c r="F1333" s="14">
        <v>424494</v>
      </c>
      <c r="G1333" s="14">
        <v>297145.8</v>
      </c>
      <c r="H1333" s="37">
        <f>'Calculation Sheet'!N1333</f>
        <v>297145.8</v>
      </c>
    </row>
    <row r="1334" spans="1:8" x14ac:dyDescent="0.25">
      <c r="A1334" s="14" t="s">
        <v>2170</v>
      </c>
      <c r="B1334" s="14">
        <v>13</v>
      </c>
      <c r="C1334" s="15" t="s">
        <v>2185</v>
      </c>
      <c r="D1334" s="14" t="s">
        <v>1745</v>
      </c>
      <c r="E1334" s="14" t="s">
        <v>1747</v>
      </c>
      <c r="F1334" s="14">
        <v>768720</v>
      </c>
      <c r="G1334" s="14">
        <v>538104</v>
      </c>
      <c r="H1334" s="37">
        <f>'Calculation Sheet'!N1334</f>
        <v>538104</v>
      </c>
    </row>
    <row r="1335" spans="1:8" x14ac:dyDescent="0.25">
      <c r="A1335" s="14" t="s">
        <v>2170</v>
      </c>
      <c r="B1335" s="14">
        <v>13</v>
      </c>
      <c r="C1335" s="15" t="s">
        <v>2185</v>
      </c>
      <c r="D1335" s="14" t="s">
        <v>1745</v>
      </c>
      <c r="E1335" s="14" t="s">
        <v>1746</v>
      </c>
      <c r="F1335" s="14">
        <v>807156</v>
      </c>
      <c r="G1335" s="14">
        <v>565009.19999999995</v>
      </c>
      <c r="H1335" s="37">
        <f>'Calculation Sheet'!N1335</f>
        <v>565009.19999999995</v>
      </c>
    </row>
    <row r="1336" spans="1:8" x14ac:dyDescent="0.25">
      <c r="A1336" s="14" t="s">
        <v>2170</v>
      </c>
      <c r="B1336" s="14">
        <v>17</v>
      </c>
      <c r="C1336" s="15" t="s">
        <v>2180</v>
      </c>
      <c r="D1336" s="14" t="s">
        <v>1745</v>
      </c>
      <c r="E1336" s="14" t="s">
        <v>1746</v>
      </c>
      <c r="F1336" s="14">
        <v>1701</v>
      </c>
      <c r="G1336" s="14">
        <v>1530.96</v>
      </c>
      <c r="H1336" s="37">
        <f>'Calculation Sheet'!N1336</f>
        <v>1530.96</v>
      </c>
    </row>
    <row r="1337" spans="1:8" x14ac:dyDescent="0.25">
      <c r="A1337" s="14" t="s">
        <v>2170</v>
      </c>
      <c r="B1337" s="14">
        <v>12</v>
      </c>
      <c r="C1337" s="15" t="s">
        <v>2186</v>
      </c>
      <c r="D1337" s="14" t="s">
        <v>1749</v>
      </c>
      <c r="E1337" s="14" t="s">
        <v>1746</v>
      </c>
      <c r="F1337" s="14">
        <v>7410</v>
      </c>
      <c r="G1337" s="14">
        <v>5187</v>
      </c>
      <c r="H1337" s="37">
        <f>'Calculation Sheet'!N1337</f>
        <v>5187</v>
      </c>
    </row>
    <row r="1338" spans="1:8" x14ac:dyDescent="0.25">
      <c r="A1338" s="14" t="s">
        <v>2170</v>
      </c>
      <c r="B1338" s="14" t="s">
        <v>583</v>
      </c>
      <c r="C1338" s="15" t="s">
        <v>2175</v>
      </c>
      <c r="D1338" s="14" t="s">
        <v>1752</v>
      </c>
      <c r="E1338" s="14" t="s">
        <v>1746</v>
      </c>
      <c r="F1338" s="14">
        <v>1761102</v>
      </c>
      <c r="G1338" s="14">
        <v>1584992</v>
      </c>
      <c r="H1338" s="37">
        <f>'Calculation Sheet'!N1338</f>
        <v>1584992</v>
      </c>
    </row>
    <row r="1339" spans="1:8" x14ac:dyDescent="0.25">
      <c r="A1339" s="14" t="s">
        <v>2170</v>
      </c>
      <c r="B1339" s="14">
        <v>17</v>
      </c>
      <c r="C1339" s="15" t="s">
        <v>2180</v>
      </c>
      <c r="D1339" s="14" t="s">
        <v>1752</v>
      </c>
      <c r="E1339" s="14" t="s">
        <v>1747</v>
      </c>
      <c r="F1339" s="14">
        <v>4860</v>
      </c>
      <c r="G1339" s="14">
        <v>4374</v>
      </c>
      <c r="H1339" s="37">
        <f>'Calculation Sheet'!N1339</f>
        <v>4374</v>
      </c>
    </row>
    <row r="1340" spans="1:8" x14ac:dyDescent="0.25">
      <c r="A1340" s="14" t="s">
        <v>2170</v>
      </c>
      <c r="B1340" s="14">
        <v>18</v>
      </c>
      <c r="C1340" s="15" t="s">
        <v>2184</v>
      </c>
      <c r="D1340" s="14" t="s">
        <v>1749</v>
      </c>
      <c r="E1340" s="14" t="s">
        <v>1746</v>
      </c>
      <c r="F1340" s="14">
        <v>5394</v>
      </c>
      <c r="G1340" s="14">
        <v>3775.8</v>
      </c>
      <c r="H1340" s="37">
        <f>'Calculation Sheet'!N1340</f>
        <v>3775.8</v>
      </c>
    </row>
    <row r="1341" spans="1:8" x14ac:dyDescent="0.25">
      <c r="A1341" s="14" t="s">
        <v>2170</v>
      </c>
      <c r="B1341" s="14">
        <v>11</v>
      </c>
      <c r="C1341" s="15" t="s">
        <v>2177</v>
      </c>
      <c r="D1341" s="14" t="s">
        <v>1745</v>
      </c>
      <c r="E1341" s="14" t="s">
        <v>1747</v>
      </c>
      <c r="F1341" s="14">
        <v>53940</v>
      </c>
      <c r="G1341" s="14">
        <v>48546</v>
      </c>
      <c r="H1341" s="37">
        <f>'Calculation Sheet'!N1341</f>
        <v>48546</v>
      </c>
    </row>
    <row r="1342" spans="1:8" x14ac:dyDescent="0.25">
      <c r="A1342" s="14" t="s">
        <v>2170</v>
      </c>
      <c r="B1342" s="14">
        <v>18</v>
      </c>
      <c r="C1342" s="15" t="s">
        <v>2184</v>
      </c>
      <c r="D1342" s="14" t="s">
        <v>1745</v>
      </c>
      <c r="E1342" s="14" t="s">
        <v>1747</v>
      </c>
      <c r="F1342" s="14">
        <v>53940</v>
      </c>
      <c r="G1342" s="14">
        <v>37758</v>
      </c>
      <c r="H1342" s="37">
        <f>'Calculation Sheet'!N1342</f>
        <v>37758</v>
      </c>
    </row>
    <row r="1343" spans="1:8" ht="30" x14ac:dyDescent="0.25">
      <c r="A1343" s="14" t="s">
        <v>2170</v>
      </c>
      <c r="B1343" s="14">
        <v>14</v>
      </c>
      <c r="C1343" s="15" t="s">
        <v>2182</v>
      </c>
      <c r="D1343" s="14" t="s">
        <v>1745</v>
      </c>
      <c r="E1343" s="14" t="s">
        <v>1746</v>
      </c>
      <c r="F1343" s="14">
        <v>12600</v>
      </c>
      <c r="G1343" s="14">
        <v>11340</v>
      </c>
      <c r="H1343" s="37">
        <f>'Calculation Sheet'!N1343</f>
        <v>11340</v>
      </c>
    </row>
    <row r="1344" spans="1:8" ht="30" x14ac:dyDescent="0.25">
      <c r="A1344" s="14" t="s">
        <v>2170</v>
      </c>
      <c r="B1344" s="14">
        <v>15</v>
      </c>
      <c r="C1344" s="15" t="s">
        <v>2173</v>
      </c>
      <c r="D1344" s="14" t="s">
        <v>1745</v>
      </c>
      <c r="E1344" s="14" t="s">
        <v>1747</v>
      </c>
      <c r="F1344" s="14">
        <v>16500</v>
      </c>
      <c r="G1344" s="14">
        <v>11550</v>
      </c>
      <c r="H1344" s="37">
        <f>'Calculation Sheet'!N1344</f>
        <v>11550</v>
      </c>
    </row>
    <row r="1345" spans="1:8" x14ac:dyDescent="0.25">
      <c r="A1345" s="14" t="s">
        <v>2170</v>
      </c>
      <c r="B1345" s="14">
        <v>12</v>
      </c>
      <c r="C1345" s="15" t="s">
        <v>2186</v>
      </c>
      <c r="D1345" s="14" t="s">
        <v>1745</v>
      </c>
      <c r="E1345" s="14" t="s">
        <v>1747</v>
      </c>
      <c r="F1345" s="14">
        <v>74100</v>
      </c>
      <c r="G1345" s="14">
        <v>51870</v>
      </c>
      <c r="H1345" s="37">
        <f>'Calculation Sheet'!N1345</f>
        <v>51870</v>
      </c>
    </row>
    <row r="1346" spans="1:8" x14ac:dyDescent="0.25">
      <c r="A1346" s="14" t="s">
        <v>2170</v>
      </c>
      <c r="B1346" s="14">
        <v>1</v>
      </c>
      <c r="C1346" s="15" t="s">
        <v>2178</v>
      </c>
      <c r="D1346" s="14" t="s">
        <v>1752</v>
      </c>
      <c r="E1346" s="14" t="s">
        <v>1753</v>
      </c>
      <c r="F1346" s="14">
        <v>404280</v>
      </c>
      <c r="G1346" s="14">
        <v>282996</v>
      </c>
      <c r="H1346" s="37">
        <f>'Calculation Sheet'!N1346</f>
        <v>282996</v>
      </c>
    </row>
    <row r="1347" spans="1:8" x14ac:dyDescent="0.25">
      <c r="A1347" s="14" t="s">
        <v>2170</v>
      </c>
      <c r="B1347" s="14">
        <v>1</v>
      </c>
      <c r="C1347" s="15" t="s">
        <v>2178</v>
      </c>
      <c r="D1347" s="14" t="s">
        <v>1745</v>
      </c>
      <c r="E1347" s="14" t="s">
        <v>1747</v>
      </c>
      <c r="F1347" s="14">
        <v>134760</v>
      </c>
      <c r="G1347" s="14">
        <v>94332</v>
      </c>
      <c r="H1347" s="37">
        <f>'Calculation Sheet'!N1347</f>
        <v>94332</v>
      </c>
    </row>
    <row r="1348" spans="1:8" ht="30" x14ac:dyDescent="0.25">
      <c r="A1348" s="14" t="s">
        <v>2170</v>
      </c>
      <c r="B1348" s="14">
        <v>14</v>
      </c>
      <c r="C1348" s="15" t="s">
        <v>2182</v>
      </c>
      <c r="D1348" s="14" t="s">
        <v>1745</v>
      </c>
      <c r="E1348" s="14" t="s">
        <v>1747</v>
      </c>
      <c r="F1348" s="14">
        <v>12000</v>
      </c>
      <c r="G1348" s="14">
        <v>10800</v>
      </c>
      <c r="H1348" s="37">
        <f>'Calculation Sheet'!N1348</f>
        <v>10800</v>
      </c>
    </row>
    <row r="1349" spans="1:8" x14ac:dyDescent="0.25">
      <c r="A1349" s="14" t="s">
        <v>2170</v>
      </c>
      <c r="B1349" s="14">
        <v>2</v>
      </c>
      <c r="C1349" s="15" t="s">
        <v>2171</v>
      </c>
      <c r="D1349" s="14" t="s">
        <v>1752</v>
      </c>
      <c r="E1349" s="14" t="s">
        <v>1753</v>
      </c>
      <c r="F1349" s="14">
        <v>12060</v>
      </c>
      <c r="G1349" s="14">
        <v>8442</v>
      </c>
      <c r="H1349" s="37">
        <f>'Calculation Sheet'!N1349</f>
        <v>8442</v>
      </c>
    </row>
    <row r="1350" spans="1:8" x14ac:dyDescent="0.25">
      <c r="A1350" s="14" t="s">
        <v>2170</v>
      </c>
      <c r="B1350" s="14">
        <v>4</v>
      </c>
      <c r="C1350" s="15" t="s">
        <v>2172</v>
      </c>
      <c r="D1350" s="14" t="s">
        <v>1752</v>
      </c>
      <c r="E1350" s="14" t="s">
        <v>1746</v>
      </c>
      <c r="F1350" s="14">
        <v>4402755</v>
      </c>
      <c r="G1350" s="14">
        <v>3081929</v>
      </c>
      <c r="H1350" s="37">
        <f>'Calculation Sheet'!N1350</f>
        <v>3081929</v>
      </c>
    </row>
    <row r="1351" spans="1:8" x14ac:dyDescent="0.25">
      <c r="A1351" s="14" t="s">
        <v>2170</v>
      </c>
      <c r="B1351" s="14">
        <v>11</v>
      </c>
      <c r="C1351" s="15" t="s">
        <v>2177</v>
      </c>
      <c r="D1351" s="14" t="s">
        <v>1752</v>
      </c>
      <c r="E1351" s="14" t="s">
        <v>1746</v>
      </c>
      <c r="F1351" s="14">
        <v>169911</v>
      </c>
      <c r="G1351" s="14">
        <v>152920.1</v>
      </c>
      <c r="H1351" s="37">
        <f>'Calculation Sheet'!N1351</f>
        <v>152920.1</v>
      </c>
    </row>
    <row r="1352" spans="1:8" x14ac:dyDescent="0.25">
      <c r="A1352" s="14" t="s">
        <v>2170</v>
      </c>
      <c r="B1352" s="14">
        <v>1</v>
      </c>
      <c r="C1352" s="15" t="s">
        <v>2178</v>
      </c>
      <c r="D1352" s="14" t="s">
        <v>1749</v>
      </c>
      <c r="E1352" s="14" t="s">
        <v>1746</v>
      </c>
      <c r="F1352" s="14">
        <v>13476</v>
      </c>
      <c r="G1352" s="14">
        <v>9433.2000000000007</v>
      </c>
      <c r="H1352" s="37">
        <f>'Calculation Sheet'!N1352</f>
        <v>9433.2000000000007</v>
      </c>
    </row>
    <row r="1353" spans="1:8" x14ac:dyDescent="0.25">
      <c r="A1353" s="14" t="s">
        <v>2170</v>
      </c>
      <c r="B1353" s="14">
        <v>17</v>
      </c>
      <c r="C1353" s="15" t="s">
        <v>2180</v>
      </c>
      <c r="D1353" s="14" t="s">
        <v>1752</v>
      </c>
      <c r="E1353" s="14" t="s">
        <v>1746</v>
      </c>
      <c r="F1353" s="14">
        <v>5103</v>
      </c>
      <c r="G1353" s="14">
        <v>4592.88</v>
      </c>
      <c r="H1353" s="37">
        <f>'Calculation Sheet'!N1353</f>
        <v>4592.88</v>
      </c>
    </row>
    <row r="1354" spans="1:8" x14ac:dyDescent="0.25">
      <c r="A1354" s="14" t="s">
        <v>2187</v>
      </c>
      <c r="B1354" s="14" t="s">
        <v>73</v>
      </c>
      <c r="C1354" s="15" t="s">
        <v>2188</v>
      </c>
      <c r="D1354" s="14" t="s">
        <v>1749</v>
      </c>
      <c r="E1354" s="14" t="s">
        <v>1746</v>
      </c>
      <c r="F1354" s="14">
        <v>11982</v>
      </c>
      <c r="G1354" s="14">
        <v>10783.8</v>
      </c>
      <c r="H1354" s="37">
        <f>'Calculation Sheet'!N1354</f>
        <v>10783.8</v>
      </c>
    </row>
    <row r="1355" spans="1:8" x14ac:dyDescent="0.25">
      <c r="A1355" s="14" t="s">
        <v>2187</v>
      </c>
      <c r="B1355" s="14" t="s">
        <v>24</v>
      </c>
      <c r="C1355" s="15" t="s">
        <v>2189</v>
      </c>
      <c r="D1355" s="14" t="s">
        <v>1749</v>
      </c>
      <c r="E1355" s="14" t="s">
        <v>1746</v>
      </c>
      <c r="F1355" s="14">
        <v>0</v>
      </c>
      <c r="G1355" s="14">
        <v>0</v>
      </c>
      <c r="H1355" s="37">
        <f>'Calculation Sheet'!N1355</f>
        <v>0</v>
      </c>
    </row>
    <row r="1356" spans="1:8" x14ac:dyDescent="0.25">
      <c r="A1356" s="14" t="s">
        <v>2187</v>
      </c>
      <c r="B1356" s="14" t="s">
        <v>20</v>
      </c>
      <c r="C1356" s="15" t="s">
        <v>2190</v>
      </c>
      <c r="D1356" s="14" t="s">
        <v>1745</v>
      </c>
      <c r="E1356" s="14" t="s">
        <v>1747</v>
      </c>
      <c r="F1356" s="14">
        <v>0</v>
      </c>
      <c r="G1356" s="14">
        <v>0</v>
      </c>
      <c r="H1356" s="37">
        <f>'Calculation Sheet'!N1356</f>
        <v>0</v>
      </c>
    </row>
    <row r="1357" spans="1:8" x14ac:dyDescent="0.25">
      <c r="A1357" s="14" t="s">
        <v>2187</v>
      </c>
      <c r="B1357" s="14" t="s">
        <v>55</v>
      </c>
      <c r="C1357" s="15" t="s">
        <v>2191</v>
      </c>
      <c r="D1357" s="14" t="s">
        <v>1745</v>
      </c>
      <c r="E1357" s="14" t="s">
        <v>1746</v>
      </c>
      <c r="F1357" s="14">
        <v>125811</v>
      </c>
      <c r="G1357" s="14">
        <v>88067.76</v>
      </c>
      <c r="H1357" s="37">
        <f>'Calculation Sheet'!N1357</f>
        <v>88067.76</v>
      </c>
    </row>
    <row r="1358" spans="1:8" x14ac:dyDescent="0.25">
      <c r="A1358" s="14" t="s">
        <v>2187</v>
      </c>
      <c r="B1358" s="14">
        <v>4</v>
      </c>
      <c r="C1358" s="15" t="s">
        <v>2192</v>
      </c>
      <c r="D1358" s="14" t="s">
        <v>1745</v>
      </c>
      <c r="E1358" s="14" t="s">
        <v>1747</v>
      </c>
      <c r="F1358" s="14">
        <v>0</v>
      </c>
      <c r="G1358" s="14">
        <v>0</v>
      </c>
      <c r="H1358" s="37">
        <f>'Calculation Sheet'!N1358</f>
        <v>0</v>
      </c>
    </row>
    <row r="1359" spans="1:8" x14ac:dyDescent="0.25">
      <c r="A1359" s="14" t="s">
        <v>2187</v>
      </c>
      <c r="B1359" s="14" t="s">
        <v>34</v>
      </c>
      <c r="C1359" s="15" t="s">
        <v>2193</v>
      </c>
      <c r="D1359" s="14" t="s">
        <v>1745</v>
      </c>
      <c r="E1359" s="14" t="s">
        <v>1746</v>
      </c>
      <c r="F1359" s="14">
        <v>0</v>
      </c>
      <c r="G1359" s="14">
        <v>0</v>
      </c>
      <c r="H1359" s="37">
        <f>'Calculation Sheet'!N1359</f>
        <v>0</v>
      </c>
    </row>
    <row r="1360" spans="1:8" x14ac:dyDescent="0.25">
      <c r="A1360" s="14" t="s">
        <v>2187</v>
      </c>
      <c r="B1360" s="14" t="s">
        <v>89</v>
      </c>
      <c r="C1360" s="15" t="s">
        <v>2194</v>
      </c>
      <c r="D1360" s="14" t="s">
        <v>1749</v>
      </c>
      <c r="E1360" s="14" t="s">
        <v>1746</v>
      </c>
      <c r="F1360" s="14">
        <v>16470</v>
      </c>
      <c r="G1360" s="14">
        <v>11529</v>
      </c>
      <c r="H1360" s="37">
        <f>'Calculation Sheet'!N1360</f>
        <v>11529</v>
      </c>
    </row>
    <row r="1361" spans="1:8" x14ac:dyDescent="0.25">
      <c r="A1361" s="14" t="s">
        <v>2187</v>
      </c>
      <c r="B1361" s="14" t="s">
        <v>34</v>
      </c>
      <c r="C1361" s="15" t="s">
        <v>2193</v>
      </c>
      <c r="D1361" s="14" t="s">
        <v>1749</v>
      </c>
      <c r="E1361" s="14" t="s">
        <v>1746</v>
      </c>
      <c r="F1361" s="14">
        <v>0</v>
      </c>
      <c r="G1361" s="14">
        <v>0</v>
      </c>
      <c r="H1361" s="37">
        <f>'Calculation Sheet'!N1361</f>
        <v>0</v>
      </c>
    </row>
    <row r="1362" spans="1:8" x14ac:dyDescent="0.25">
      <c r="A1362" s="14" t="s">
        <v>2187</v>
      </c>
      <c r="B1362" s="14" t="s">
        <v>55</v>
      </c>
      <c r="C1362" s="15" t="s">
        <v>2191</v>
      </c>
      <c r="D1362" s="14" t="s">
        <v>1749</v>
      </c>
      <c r="E1362" s="14" t="s">
        <v>1746</v>
      </c>
      <c r="F1362" s="14">
        <v>11982</v>
      </c>
      <c r="G1362" s="14">
        <v>8387.4</v>
      </c>
      <c r="H1362" s="37">
        <f>'Calculation Sheet'!N1362</f>
        <v>8387.4</v>
      </c>
    </row>
    <row r="1363" spans="1:8" x14ac:dyDescent="0.25">
      <c r="A1363" s="14" t="s">
        <v>2187</v>
      </c>
      <c r="B1363" s="14" t="s">
        <v>73</v>
      </c>
      <c r="C1363" s="15" t="s">
        <v>2188</v>
      </c>
      <c r="D1363" s="14" t="s">
        <v>1745</v>
      </c>
      <c r="E1363" s="14" t="s">
        <v>1746</v>
      </c>
      <c r="F1363" s="14">
        <v>125811</v>
      </c>
      <c r="G1363" s="14">
        <v>113230</v>
      </c>
      <c r="H1363" s="37">
        <f>'Calculation Sheet'!N1363</f>
        <v>113230</v>
      </c>
    </row>
    <row r="1364" spans="1:8" x14ac:dyDescent="0.25">
      <c r="A1364" s="14" t="s">
        <v>2187</v>
      </c>
      <c r="B1364" s="14" t="s">
        <v>34</v>
      </c>
      <c r="C1364" s="15" t="s">
        <v>2193</v>
      </c>
      <c r="D1364" s="14" t="s">
        <v>1745</v>
      </c>
      <c r="E1364" s="14" t="s">
        <v>1747</v>
      </c>
      <c r="F1364" s="14">
        <v>0</v>
      </c>
      <c r="G1364" s="14">
        <v>0</v>
      </c>
      <c r="H1364" s="37">
        <f>'Calculation Sheet'!N1364</f>
        <v>0</v>
      </c>
    </row>
    <row r="1365" spans="1:8" x14ac:dyDescent="0.25">
      <c r="A1365" s="14" t="s">
        <v>2187</v>
      </c>
      <c r="B1365" s="14">
        <v>4</v>
      </c>
      <c r="C1365" s="15" t="s">
        <v>2192</v>
      </c>
      <c r="D1365" s="14" t="s">
        <v>1745</v>
      </c>
      <c r="E1365" s="14" t="s">
        <v>1746</v>
      </c>
      <c r="F1365" s="14">
        <v>0</v>
      </c>
      <c r="G1365" s="14">
        <v>0</v>
      </c>
      <c r="H1365" s="37">
        <f>'Calculation Sheet'!N1365</f>
        <v>0</v>
      </c>
    </row>
    <row r="1366" spans="1:8" x14ac:dyDescent="0.25">
      <c r="A1366" s="14" t="s">
        <v>2187</v>
      </c>
      <c r="B1366" s="14" t="s">
        <v>20</v>
      </c>
      <c r="C1366" s="15" t="s">
        <v>2190</v>
      </c>
      <c r="D1366" s="14" t="s">
        <v>1745</v>
      </c>
      <c r="E1366" s="14" t="s">
        <v>1746</v>
      </c>
      <c r="F1366" s="14">
        <v>0</v>
      </c>
      <c r="G1366" s="14">
        <v>0</v>
      </c>
      <c r="H1366" s="37">
        <f>'Calculation Sheet'!N1366</f>
        <v>0</v>
      </c>
    </row>
    <row r="1367" spans="1:8" x14ac:dyDescent="0.25">
      <c r="A1367" s="14" t="s">
        <v>2187</v>
      </c>
      <c r="B1367" s="14">
        <v>3</v>
      </c>
      <c r="C1367" s="15" t="s">
        <v>2195</v>
      </c>
      <c r="D1367" s="14" t="s">
        <v>1745</v>
      </c>
      <c r="E1367" s="14" t="s">
        <v>1747</v>
      </c>
      <c r="F1367" s="14">
        <v>299520</v>
      </c>
      <c r="G1367" s="14">
        <v>209664</v>
      </c>
      <c r="H1367" s="37">
        <f>'Calculation Sheet'!N1367</f>
        <v>209664</v>
      </c>
    </row>
    <row r="1368" spans="1:8" x14ac:dyDescent="0.25">
      <c r="A1368" s="14" t="s">
        <v>2187</v>
      </c>
      <c r="B1368" s="14" t="s">
        <v>24</v>
      </c>
      <c r="C1368" s="15" t="s">
        <v>2189</v>
      </c>
      <c r="D1368" s="14" t="s">
        <v>1745</v>
      </c>
      <c r="E1368" s="14" t="s">
        <v>1747</v>
      </c>
      <c r="F1368" s="14">
        <v>0</v>
      </c>
      <c r="G1368" s="14">
        <v>0</v>
      </c>
      <c r="H1368" s="37">
        <f>'Calculation Sheet'!N1368</f>
        <v>0</v>
      </c>
    </row>
    <row r="1369" spans="1:8" x14ac:dyDescent="0.25">
      <c r="A1369" s="14" t="s">
        <v>2187</v>
      </c>
      <c r="B1369" s="14" t="s">
        <v>24</v>
      </c>
      <c r="C1369" s="15" t="s">
        <v>2189</v>
      </c>
      <c r="D1369" s="14" t="s">
        <v>1745</v>
      </c>
      <c r="E1369" s="14" t="s">
        <v>1746</v>
      </c>
      <c r="F1369" s="14">
        <v>0</v>
      </c>
      <c r="G1369" s="14">
        <v>0</v>
      </c>
      <c r="H1369" s="37">
        <f>'Calculation Sheet'!N1369</f>
        <v>0</v>
      </c>
    </row>
    <row r="1370" spans="1:8" x14ac:dyDescent="0.25">
      <c r="A1370" s="14" t="s">
        <v>2187</v>
      </c>
      <c r="B1370" s="14" t="s">
        <v>89</v>
      </c>
      <c r="C1370" s="15" t="s">
        <v>2194</v>
      </c>
      <c r="D1370" s="14" t="s">
        <v>1745</v>
      </c>
      <c r="E1370" s="14" t="s">
        <v>1747</v>
      </c>
      <c r="F1370" s="14">
        <v>164700</v>
      </c>
      <c r="G1370" s="14">
        <v>115290</v>
      </c>
      <c r="H1370" s="37">
        <f>'Calculation Sheet'!N1370</f>
        <v>115290</v>
      </c>
    </row>
    <row r="1371" spans="1:8" x14ac:dyDescent="0.25">
      <c r="A1371" s="14" t="s">
        <v>2187</v>
      </c>
      <c r="B1371" s="14">
        <v>4</v>
      </c>
      <c r="C1371" s="15" t="s">
        <v>2192</v>
      </c>
      <c r="D1371" s="14" t="s">
        <v>1749</v>
      </c>
      <c r="E1371" s="14" t="s">
        <v>1746</v>
      </c>
      <c r="F1371" s="14">
        <v>0</v>
      </c>
      <c r="G1371" s="14">
        <v>0</v>
      </c>
      <c r="H1371" s="37">
        <f>'Calculation Sheet'!N1371</f>
        <v>0</v>
      </c>
    </row>
    <row r="1372" spans="1:8" x14ac:dyDescent="0.25">
      <c r="A1372" s="14" t="s">
        <v>2187</v>
      </c>
      <c r="B1372" s="14">
        <v>3</v>
      </c>
      <c r="C1372" s="15" t="s">
        <v>2195</v>
      </c>
      <c r="D1372" s="14" t="s">
        <v>1745</v>
      </c>
      <c r="E1372" s="14" t="s">
        <v>1746</v>
      </c>
      <c r="F1372" s="14">
        <v>314496</v>
      </c>
      <c r="G1372" s="14">
        <v>220147.20000000001</v>
      </c>
      <c r="H1372" s="37">
        <f>'Calculation Sheet'!N1372</f>
        <v>220147.20000000001</v>
      </c>
    </row>
    <row r="1373" spans="1:8" x14ac:dyDescent="0.25">
      <c r="A1373" s="14" t="s">
        <v>2187</v>
      </c>
      <c r="B1373" s="14" t="s">
        <v>20</v>
      </c>
      <c r="C1373" s="15" t="s">
        <v>2190</v>
      </c>
      <c r="D1373" s="14" t="s">
        <v>1749</v>
      </c>
      <c r="E1373" s="14" t="s">
        <v>1746</v>
      </c>
      <c r="F1373" s="14">
        <v>0</v>
      </c>
      <c r="G1373" s="14">
        <v>0</v>
      </c>
      <c r="H1373" s="37">
        <f>'Calculation Sheet'!N1373</f>
        <v>0</v>
      </c>
    </row>
    <row r="1374" spans="1:8" x14ac:dyDescent="0.25">
      <c r="A1374" s="14" t="s">
        <v>2187</v>
      </c>
      <c r="B1374" s="14" t="s">
        <v>55</v>
      </c>
      <c r="C1374" s="15" t="s">
        <v>2191</v>
      </c>
      <c r="D1374" s="14" t="s">
        <v>1745</v>
      </c>
      <c r="E1374" s="14" t="s">
        <v>1747</v>
      </c>
      <c r="F1374" s="14">
        <v>119820</v>
      </c>
      <c r="G1374" s="14">
        <v>83874</v>
      </c>
      <c r="H1374" s="37">
        <f>'Calculation Sheet'!N1374</f>
        <v>83874</v>
      </c>
    </row>
    <row r="1375" spans="1:8" x14ac:dyDescent="0.25">
      <c r="A1375" s="14" t="s">
        <v>2187</v>
      </c>
      <c r="B1375" s="14" t="s">
        <v>89</v>
      </c>
      <c r="C1375" s="15" t="s">
        <v>2194</v>
      </c>
      <c r="D1375" s="14" t="s">
        <v>1745</v>
      </c>
      <c r="E1375" s="14" t="s">
        <v>1746</v>
      </c>
      <c r="F1375" s="14">
        <v>172935</v>
      </c>
      <c r="G1375" s="14">
        <v>121054.6</v>
      </c>
      <c r="H1375" s="37">
        <f>'Calculation Sheet'!N1375</f>
        <v>121054.6</v>
      </c>
    </row>
    <row r="1376" spans="1:8" x14ac:dyDescent="0.25">
      <c r="A1376" s="14" t="s">
        <v>2187</v>
      </c>
      <c r="B1376" s="14" t="s">
        <v>73</v>
      </c>
      <c r="C1376" s="15" t="s">
        <v>2188</v>
      </c>
      <c r="D1376" s="14" t="s">
        <v>1745</v>
      </c>
      <c r="E1376" s="14" t="s">
        <v>1747</v>
      </c>
      <c r="F1376" s="14">
        <v>119820</v>
      </c>
      <c r="G1376" s="14">
        <v>107838</v>
      </c>
      <c r="H1376" s="37">
        <f>'Calculation Sheet'!N1376</f>
        <v>107838</v>
      </c>
    </row>
    <row r="1377" spans="1:8" x14ac:dyDescent="0.25">
      <c r="A1377" s="14" t="s">
        <v>2187</v>
      </c>
      <c r="B1377" s="14">
        <v>3</v>
      </c>
      <c r="C1377" s="15" t="s">
        <v>2195</v>
      </c>
      <c r="D1377" s="14" t="s">
        <v>1749</v>
      </c>
      <c r="E1377" s="14" t="s">
        <v>1746</v>
      </c>
      <c r="F1377" s="14">
        <v>29952</v>
      </c>
      <c r="G1377" s="14">
        <v>20966.400000000001</v>
      </c>
      <c r="H1377" s="37">
        <f>'Calculation Sheet'!N1377</f>
        <v>20966.400000000001</v>
      </c>
    </row>
    <row r="1378" spans="1:8" x14ac:dyDescent="0.25">
      <c r="A1378" s="14" t="s">
        <v>2196</v>
      </c>
      <c r="B1378" s="14">
        <v>4</v>
      </c>
      <c r="C1378" s="15" t="s">
        <v>2197</v>
      </c>
      <c r="D1378" s="14" t="s">
        <v>1749</v>
      </c>
      <c r="E1378" s="14" t="s">
        <v>1746</v>
      </c>
      <c r="F1378" s="14">
        <v>4992</v>
      </c>
      <c r="G1378" s="14">
        <v>3744</v>
      </c>
      <c r="H1378" s="37">
        <f>'Calculation Sheet'!N1378</f>
        <v>3744</v>
      </c>
    </row>
    <row r="1379" spans="1:8" x14ac:dyDescent="0.25">
      <c r="A1379" s="14" t="s">
        <v>2196</v>
      </c>
      <c r="B1379" s="14">
        <v>1</v>
      </c>
      <c r="C1379" s="15" t="s">
        <v>2198</v>
      </c>
      <c r="D1379" s="14" t="s">
        <v>1749</v>
      </c>
      <c r="E1379" s="14" t="s">
        <v>1746</v>
      </c>
      <c r="F1379" s="14">
        <v>12480</v>
      </c>
      <c r="G1379" s="14">
        <v>9360</v>
      </c>
      <c r="H1379" s="37">
        <f>'Calculation Sheet'!N1379</f>
        <v>9360</v>
      </c>
    </row>
    <row r="1380" spans="1:8" x14ac:dyDescent="0.25">
      <c r="A1380" s="14" t="s">
        <v>2196</v>
      </c>
      <c r="B1380" s="14">
        <v>4</v>
      </c>
      <c r="C1380" s="15" t="s">
        <v>2197</v>
      </c>
      <c r="D1380" s="14" t="s">
        <v>1745</v>
      </c>
      <c r="E1380" s="14" t="s">
        <v>1747</v>
      </c>
      <c r="F1380" s="14">
        <v>49920</v>
      </c>
      <c r="G1380" s="14">
        <v>37440</v>
      </c>
      <c r="H1380" s="37">
        <f>'Calculation Sheet'!N1380</f>
        <v>37440</v>
      </c>
    </row>
    <row r="1381" spans="1:8" x14ac:dyDescent="0.25">
      <c r="A1381" s="14" t="s">
        <v>2196</v>
      </c>
      <c r="B1381" s="14">
        <v>2</v>
      </c>
      <c r="C1381" s="15" t="s">
        <v>2199</v>
      </c>
      <c r="D1381" s="14" t="s">
        <v>1745</v>
      </c>
      <c r="E1381" s="14" t="s">
        <v>1746</v>
      </c>
      <c r="F1381" s="14">
        <v>72072</v>
      </c>
      <c r="G1381" s="14">
        <v>54054</v>
      </c>
      <c r="H1381" s="37">
        <f>'Calculation Sheet'!N1381</f>
        <v>54054</v>
      </c>
    </row>
    <row r="1382" spans="1:8" x14ac:dyDescent="0.25">
      <c r="A1382" s="14" t="s">
        <v>2196</v>
      </c>
      <c r="B1382" s="14">
        <v>3</v>
      </c>
      <c r="C1382" s="15" t="s">
        <v>2200</v>
      </c>
      <c r="D1382" s="14" t="s">
        <v>1745</v>
      </c>
      <c r="E1382" s="14" t="s">
        <v>1746</v>
      </c>
      <c r="F1382" s="14">
        <v>32760</v>
      </c>
      <c r="G1382" s="14">
        <v>29484</v>
      </c>
      <c r="H1382" s="37">
        <f>'Calculation Sheet'!N1382</f>
        <v>29484</v>
      </c>
    </row>
    <row r="1383" spans="1:8" x14ac:dyDescent="0.25">
      <c r="A1383" s="14" t="s">
        <v>2196</v>
      </c>
      <c r="B1383" s="14">
        <v>1</v>
      </c>
      <c r="C1383" s="15" t="s">
        <v>2198</v>
      </c>
      <c r="D1383" s="14" t="s">
        <v>1745</v>
      </c>
      <c r="E1383" s="14" t="s">
        <v>1747</v>
      </c>
      <c r="F1383" s="14">
        <v>124800</v>
      </c>
      <c r="G1383" s="14">
        <v>93600</v>
      </c>
      <c r="H1383" s="37">
        <f>'Calculation Sheet'!N1383</f>
        <v>93600</v>
      </c>
    </row>
    <row r="1384" spans="1:8" x14ac:dyDescent="0.25">
      <c r="A1384" s="14" t="s">
        <v>2196</v>
      </c>
      <c r="B1384" s="14">
        <v>2</v>
      </c>
      <c r="C1384" s="15" t="s">
        <v>2199</v>
      </c>
      <c r="D1384" s="14" t="s">
        <v>1749</v>
      </c>
      <c r="E1384" s="14" t="s">
        <v>1746</v>
      </c>
      <c r="F1384" s="14">
        <v>6864</v>
      </c>
      <c r="G1384" s="14">
        <v>5148</v>
      </c>
      <c r="H1384" s="37">
        <f>'Calculation Sheet'!N1384</f>
        <v>5148</v>
      </c>
    </row>
    <row r="1385" spans="1:8" x14ac:dyDescent="0.25">
      <c r="A1385" s="14" t="s">
        <v>2196</v>
      </c>
      <c r="B1385" s="14">
        <v>3</v>
      </c>
      <c r="C1385" s="15" t="s">
        <v>2200</v>
      </c>
      <c r="D1385" s="14" t="s">
        <v>1749</v>
      </c>
      <c r="E1385" s="14" t="s">
        <v>1746</v>
      </c>
      <c r="F1385" s="14">
        <v>3120</v>
      </c>
      <c r="G1385" s="14">
        <v>2808</v>
      </c>
      <c r="H1385" s="37">
        <f>'Calculation Sheet'!N1385</f>
        <v>2808</v>
      </c>
    </row>
    <row r="1386" spans="1:8" x14ac:dyDescent="0.25">
      <c r="A1386" s="14" t="s">
        <v>2196</v>
      </c>
      <c r="B1386" s="14">
        <v>4</v>
      </c>
      <c r="C1386" s="15" t="s">
        <v>2197</v>
      </c>
      <c r="D1386" s="14" t="s">
        <v>1745</v>
      </c>
      <c r="E1386" s="14" t="s">
        <v>1746</v>
      </c>
      <c r="F1386" s="14">
        <v>52416</v>
      </c>
      <c r="G1386" s="14">
        <v>39312</v>
      </c>
      <c r="H1386" s="37">
        <f>'Calculation Sheet'!N1386</f>
        <v>39312</v>
      </c>
    </row>
    <row r="1387" spans="1:8" x14ac:dyDescent="0.25">
      <c r="A1387" s="14" t="s">
        <v>2196</v>
      </c>
      <c r="B1387" s="14">
        <v>3</v>
      </c>
      <c r="C1387" s="15" t="s">
        <v>2200</v>
      </c>
      <c r="D1387" s="14" t="s">
        <v>1745</v>
      </c>
      <c r="E1387" s="14" t="s">
        <v>1747</v>
      </c>
      <c r="F1387" s="14">
        <v>31200</v>
      </c>
      <c r="G1387" s="14">
        <v>28080</v>
      </c>
      <c r="H1387" s="37">
        <f>'Calculation Sheet'!N1387</f>
        <v>28080</v>
      </c>
    </row>
    <row r="1388" spans="1:8" x14ac:dyDescent="0.25">
      <c r="A1388" s="14" t="s">
        <v>2196</v>
      </c>
      <c r="B1388" s="14">
        <v>1</v>
      </c>
      <c r="C1388" s="15" t="s">
        <v>2198</v>
      </c>
      <c r="D1388" s="14" t="s">
        <v>1745</v>
      </c>
      <c r="E1388" s="14" t="s">
        <v>1746</v>
      </c>
      <c r="F1388" s="14">
        <v>131040</v>
      </c>
      <c r="G1388" s="14">
        <v>98280</v>
      </c>
      <c r="H1388" s="37">
        <f>'Calculation Sheet'!N1388</f>
        <v>98280</v>
      </c>
    </row>
    <row r="1389" spans="1:8" x14ac:dyDescent="0.25">
      <c r="A1389" s="14" t="s">
        <v>2196</v>
      </c>
      <c r="B1389" s="14">
        <v>2</v>
      </c>
      <c r="C1389" s="15" t="s">
        <v>2199</v>
      </c>
      <c r="D1389" s="14" t="s">
        <v>1745</v>
      </c>
      <c r="E1389" s="14" t="s">
        <v>1747</v>
      </c>
      <c r="F1389" s="14">
        <v>68640</v>
      </c>
      <c r="G1389" s="14">
        <v>51480</v>
      </c>
      <c r="H1389" s="37">
        <f>'Calculation Sheet'!N1389</f>
        <v>51480</v>
      </c>
    </row>
    <row r="1390" spans="1:8" x14ac:dyDescent="0.25">
      <c r="A1390" s="14" t="s">
        <v>2201</v>
      </c>
      <c r="B1390" s="14">
        <v>1</v>
      </c>
      <c r="C1390" s="15" t="s">
        <v>2202</v>
      </c>
      <c r="D1390" s="14" t="s">
        <v>1749</v>
      </c>
      <c r="E1390" s="14" t="s">
        <v>1746</v>
      </c>
      <c r="F1390" s="14">
        <v>3996</v>
      </c>
      <c r="G1390" s="14">
        <v>2797.2</v>
      </c>
      <c r="H1390" s="37">
        <f>'Calculation Sheet'!N1390</f>
        <v>2797.2</v>
      </c>
    </row>
    <row r="1391" spans="1:8" x14ac:dyDescent="0.25">
      <c r="A1391" s="14" t="s">
        <v>2201</v>
      </c>
      <c r="B1391" s="14">
        <v>1</v>
      </c>
      <c r="C1391" s="15" t="s">
        <v>2202</v>
      </c>
      <c r="D1391" s="14" t="s">
        <v>1745</v>
      </c>
      <c r="E1391" s="14" t="s">
        <v>1746</v>
      </c>
      <c r="F1391" s="14">
        <v>41958</v>
      </c>
      <c r="G1391" s="14">
        <v>29370.6</v>
      </c>
      <c r="H1391" s="37">
        <f>'Calculation Sheet'!N1391</f>
        <v>29370.6</v>
      </c>
    </row>
    <row r="1392" spans="1:8" x14ac:dyDescent="0.25">
      <c r="A1392" s="14" t="s">
        <v>2201</v>
      </c>
      <c r="B1392" s="14" t="s">
        <v>28</v>
      </c>
      <c r="C1392" s="15" t="s">
        <v>2203</v>
      </c>
      <c r="D1392" s="14" t="s">
        <v>1745</v>
      </c>
      <c r="E1392" s="14" t="s">
        <v>1747</v>
      </c>
      <c r="F1392" s="14">
        <v>27960</v>
      </c>
      <c r="G1392" s="14">
        <v>19572</v>
      </c>
      <c r="H1392" s="37">
        <f>'Calculation Sheet'!N1392</f>
        <v>19572</v>
      </c>
    </row>
    <row r="1393" spans="1:8" x14ac:dyDescent="0.25">
      <c r="A1393" s="14" t="s">
        <v>2201</v>
      </c>
      <c r="B1393" s="14" t="s">
        <v>28</v>
      </c>
      <c r="C1393" s="15" t="s">
        <v>2203</v>
      </c>
      <c r="D1393" s="14" t="s">
        <v>1745</v>
      </c>
      <c r="E1393" s="14" t="s">
        <v>1746</v>
      </c>
      <c r="F1393" s="14">
        <v>29358</v>
      </c>
      <c r="G1393" s="14">
        <v>20550.599999999999</v>
      </c>
      <c r="H1393" s="37">
        <f>'Calculation Sheet'!N1393</f>
        <v>20550.599999999999</v>
      </c>
    </row>
    <row r="1394" spans="1:8" x14ac:dyDescent="0.25">
      <c r="A1394" s="14" t="s">
        <v>2201</v>
      </c>
      <c r="B1394" s="14" t="s">
        <v>39</v>
      </c>
      <c r="C1394" s="15" t="s">
        <v>2204</v>
      </c>
      <c r="D1394" s="14" t="s">
        <v>1745</v>
      </c>
      <c r="E1394" s="14" t="s">
        <v>1746</v>
      </c>
      <c r="F1394" s="14">
        <v>29358</v>
      </c>
      <c r="G1394" s="14">
        <v>20550.599999999999</v>
      </c>
      <c r="H1394" s="37">
        <f>'Calculation Sheet'!N1394</f>
        <v>20550.599999999999</v>
      </c>
    </row>
    <row r="1395" spans="1:8" x14ac:dyDescent="0.25">
      <c r="A1395" s="14" t="s">
        <v>2201</v>
      </c>
      <c r="B1395" s="14">
        <v>8</v>
      </c>
      <c r="C1395" s="15" t="s">
        <v>2205</v>
      </c>
      <c r="D1395" s="14" t="s">
        <v>1745</v>
      </c>
      <c r="E1395" s="14" t="s">
        <v>1747</v>
      </c>
      <c r="F1395" s="14">
        <v>27960</v>
      </c>
      <c r="G1395" s="14">
        <v>19572</v>
      </c>
      <c r="H1395" s="37">
        <f>'Calculation Sheet'!N1395</f>
        <v>19572</v>
      </c>
    </row>
    <row r="1396" spans="1:8" x14ac:dyDescent="0.25">
      <c r="A1396" s="14" t="s">
        <v>2201</v>
      </c>
      <c r="B1396" s="14" t="s">
        <v>39</v>
      </c>
      <c r="C1396" s="15" t="s">
        <v>2204</v>
      </c>
      <c r="D1396" s="14" t="s">
        <v>1749</v>
      </c>
      <c r="E1396" s="14" t="s">
        <v>1746</v>
      </c>
      <c r="F1396" s="14">
        <v>2796</v>
      </c>
      <c r="G1396" s="14">
        <v>1957.2</v>
      </c>
      <c r="H1396" s="37">
        <f>'Calculation Sheet'!N1396</f>
        <v>1957.2</v>
      </c>
    </row>
    <row r="1397" spans="1:8" x14ac:dyDescent="0.25">
      <c r="A1397" s="14" t="s">
        <v>2201</v>
      </c>
      <c r="B1397" s="14">
        <v>9</v>
      </c>
      <c r="C1397" s="15" t="s">
        <v>2206</v>
      </c>
      <c r="D1397" s="14" t="s">
        <v>1745</v>
      </c>
      <c r="E1397" s="14" t="s">
        <v>1747</v>
      </c>
      <c r="F1397" s="14">
        <v>27960</v>
      </c>
      <c r="G1397" s="14">
        <v>25164</v>
      </c>
      <c r="H1397" s="37">
        <f>'Calculation Sheet'!N1397</f>
        <v>25164</v>
      </c>
    </row>
    <row r="1398" spans="1:8" x14ac:dyDescent="0.25">
      <c r="A1398" s="14" t="s">
        <v>2201</v>
      </c>
      <c r="B1398" s="14">
        <v>9</v>
      </c>
      <c r="C1398" s="15" t="s">
        <v>2206</v>
      </c>
      <c r="D1398" s="14" t="s">
        <v>1749</v>
      </c>
      <c r="E1398" s="14" t="s">
        <v>1746</v>
      </c>
      <c r="F1398" s="14">
        <v>2796</v>
      </c>
      <c r="G1398" s="14">
        <v>2516.4</v>
      </c>
      <c r="H1398" s="37">
        <f>'Calculation Sheet'!N1398</f>
        <v>2516.4</v>
      </c>
    </row>
    <row r="1399" spans="1:8" x14ac:dyDescent="0.25">
      <c r="A1399" s="14" t="s">
        <v>2201</v>
      </c>
      <c r="B1399" s="14">
        <v>8</v>
      </c>
      <c r="C1399" s="15" t="s">
        <v>2205</v>
      </c>
      <c r="D1399" s="14" t="s">
        <v>1749</v>
      </c>
      <c r="E1399" s="14" t="s">
        <v>1746</v>
      </c>
      <c r="F1399" s="14">
        <v>2796</v>
      </c>
      <c r="G1399" s="14">
        <v>1957.2</v>
      </c>
      <c r="H1399" s="37">
        <f>'Calculation Sheet'!N1399</f>
        <v>1957.2</v>
      </c>
    </row>
    <row r="1400" spans="1:8" x14ac:dyDescent="0.25">
      <c r="A1400" s="14" t="s">
        <v>2201</v>
      </c>
      <c r="B1400" s="14" t="s">
        <v>28</v>
      </c>
      <c r="C1400" s="15" t="s">
        <v>2203</v>
      </c>
      <c r="D1400" s="14" t="s">
        <v>1749</v>
      </c>
      <c r="E1400" s="14" t="s">
        <v>1746</v>
      </c>
      <c r="F1400" s="14">
        <v>2796</v>
      </c>
      <c r="G1400" s="14">
        <v>1957.2</v>
      </c>
      <c r="H1400" s="37">
        <f>'Calculation Sheet'!N1400</f>
        <v>1957.2</v>
      </c>
    </row>
    <row r="1401" spans="1:8" x14ac:dyDescent="0.25">
      <c r="A1401" s="14" t="s">
        <v>2201</v>
      </c>
      <c r="B1401" s="14">
        <v>1</v>
      </c>
      <c r="C1401" s="15" t="s">
        <v>2202</v>
      </c>
      <c r="D1401" s="14" t="s">
        <v>1745</v>
      </c>
      <c r="E1401" s="14" t="s">
        <v>1747</v>
      </c>
      <c r="F1401" s="14">
        <v>39960</v>
      </c>
      <c r="G1401" s="14">
        <v>27972</v>
      </c>
      <c r="H1401" s="37">
        <f>'Calculation Sheet'!N1401</f>
        <v>27972</v>
      </c>
    </row>
    <row r="1402" spans="1:8" x14ac:dyDescent="0.25">
      <c r="A1402" s="14" t="s">
        <v>2201</v>
      </c>
      <c r="B1402" s="14">
        <v>8</v>
      </c>
      <c r="C1402" s="15" t="s">
        <v>2205</v>
      </c>
      <c r="D1402" s="14" t="s">
        <v>1745</v>
      </c>
      <c r="E1402" s="14" t="s">
        <v>1746</v>
      </c>
      <c r="F1402" s="14">
        <v>29358</v>
      </c>
      <c r="G1402" s="14">
        <v>20550.599999999999</v>
      </c>
      <c r="H1402" s="37">
        <f>'Calculation Sheet'!N1402</f>
        <v>20550.599999999999</v>
      </c>
    </row>
    <row r="1403" spans="1:8" x14ac:dyDescent="0.25">
      <c r="A1403" s="14" t="s">
        <v>2201</v>
      </c>
      <c r="B1403" s="14" t="s">
        <v>39</v>
      </c>
      <c r="C1403" s="15" t="s">
        <v>2204</v>
      </c>
      <c r="D1403" s="14" t="s">
        <v>1745</v>
      </c>
      <c r="E1403" s="14" t="s">
        <v>1747</v>
      </c>
      <c r="F1403" s="14">
        <v>27960</v>
      </c>
      <c r="G1403" s="14">
        <v>19572</v>
      </c>
      <c r="H1403" s="37">
        <f>'Calculation Sheet'!N1403</f>
        <v>19572</v>
      </c>
    </row>
    <row r="1404" spans="1:8" x14ac:dyDescent="0.25">
      <c r="A1404" s="14" t="s">
        <v>2201</v>
      </c>
      <c r="B1404" s="14">
        <v>9</v>
      </c>
      <c r="C1404" s="15" t="s">
        <v>2206</v>
      </c>
      <c r="D1404" s="14" t="s">
        <v>1745</v>
      </c>
      <c r="E1404" s="14" t="s">
        <v>1746</v>
      </c>
      <c r="F1404" s="14">
        <v>29358</v>
      </c>
      <c r="G1404" s="14">
        <v>26422.2</v>
      </c>
      <c r="H1404" s="37">
        <f>'Calculation Sheet'!N1404</f>
        <v>26422.2</v>
      </c>
    </row>
    <row r="1405" spans="1:8" x14ac:dyDescent="0.25">
      <c r="A1405" s="14" t="s">
        <v>2207</v>
      </c>
      <c r="B1405" s="14">
        <v>3</v>
      </c>
      <c r="C1405" s="15" t="s">
        <v>2208</v>
      </c>
      <c r="D1405" s="14" t="s">
        <v>1745</v>
      </c>
      <c r="E1405" s="14" t="s">
        <v>1747</v>
      </c>
      <c r="F1405" s="14">
        <v>29940</v>
      </c>
      <c r="G1405" s="14">
        <v>20958</v>
      </c>
      <c r="H1405" s="37">
        <f>'Calculation Sheet'!N1405</f>
        <v>20958</v>
      </c>
    </row>
    <row r="1406" spans="1:8" x14ac:dyDescent="0.25">
      <c r="A1406" s="14" t="s">
        <v>2207</v>
      </c>
      <c r="B1406" s="14">
        <v>3</v>
      </c>
      <c r="C1406" s="15" t="s">
        <v>2208</v>
      </c>
      <c r="D1406" s="14" t="s">
        <v>1745</v>
      </c>
      <c r="E1406" s="14" t="s">
        <v>1746</v>
      </c>
      <c r="F1406" s="14">
        <v>31437</v>
      </c>
      <c r="G1406" s="14">
        <v>22005.96</v>
      </c>
      <c r="H1406" s="37">
        <f>'Calculation Sheet'!N1406</f>
        <v>22005.96</v>
      </c>
    </row>
    <row r="1407" spans="1:8" x14ac:dyDescent="0.25">
      <c r="A1407" s="14" t="s">
        <v>2207</v>
      </c>
      <c r="B1407" s="14">
        <v>3</v>
      </c>
      <c r="C1407" s="15" t="s">
        <v>2208</v>
      </c>
      <c r="D1407" s="14" t="s">
        <v>1749</v>
      </c>
      <c r="E1407" s="14" t="s">
        <v>1746</v>
      </c>
      <c r="F1407" s="14">
        <v>2994</v>
      </c>
      <c r="G1407" s="14">
        <v>2095.8000000000002</v>
      </c>
      <c r="H1407" s="37">
        <f>'Calculation Sheet'!N1407</f>
        <v>2095.8000000000002</v>
      </c>
    </row>
    <row r="1408" spans="1:8" x14ac:dyDescent="0.25">
      <c r="A1408" s="14" t="s">
        <v>2209</v>
      </c>
      <c r="B1408" s="14">
        <v>8</v>
      </c>
      <c r="C1408" s="15" t="s">
        <v>2210</v>
      </c>
      <c r="D1408" s="14" t="s">
        <v>1745</v>
      </c>
      <c r="E1408" s="14" t="s">
        <v>1747</v>
      </c>
      <c r="F1408" s="14">
        <v>1380</v>
      </c>
      <c r="G1408" s="14">
        <v>966</v>
      </c>
      <c r="H1408" s="37">
        <f>'Calculation Sheet'!N1408</f>
        <v>966</v>
      </c>
    </row>
    <row r="1409" spans="1:8" x14ac:dyDescent="0.25">
      <c r="A1409" s="14" t="s">
        <v>2209</v>
      </c>
      <c r="B1409" s="14">
        <v>9</v>
      </c>
      <c r="C1409" s="15" t="s">
        <v>2211</v>
      </c>
      <c r="D1409" s="14" t="s">
        <v>1749</v>
      </c>
      <c r="E1409" s="14" t="s">
        <v>1746</v>
      </c>
      <c r="F1409" s="14">
        <v>138</v>
      </c>
      <c r="G1409" s="14">
        <v>124.2</v>
      </c>
      <c r="H1409" s="37">
        <f>'Calculation Sheet'!N1409</f>
        <v>124.2</v>
      </c>
    </row>
    <row r="1410" spans="1:8" x14ac:dyDescent="0.25">
      <c r="A1410" s="14" t="s">
        <v>2209</v>
      </c>
      <c r="B1410" s="14">
        <v>8</v>
      </c>
      <c r="C1410" s="15" t="s">
        <v>2210</v>
      </c>
      <c r="D1410" s="14" t="s">
        <v>1745</v>
      </c>
      <c r="E1410" s="14" t="s">
        <v>1746</v>
      </c>
      <c r="F1410" s="14">
        <v>1449</v>
      </c>
      <c r="G1410" s="14">
        <v>1014.36</v>
      </c>
      <c r="H1410" s="37">
        <f>'Calculation Sheet'!N1410</f>
        <v>1014.36</v>
      </c>
    </row>
    <row r="1411" spans="1:8" x14ac:dyDescent="0.25">
      <c r="A1411" s="14" t="s">
        <v>2209</v>
      </c>
      <c r="B1411" s="14">
        <v>9</v>
      </c>
      <c r="C1411" s="15" t="s">
        <v>2211</v>
      </c>
      <c r="D1411" s="14" t="s">
        <v>1745</v>
      </c>
      <c r="E1411" s="14" t="s">
        <v>1747</v>
      </c>
      <c r="F1411" s="14">
        <v>1380</v>
      </c>
      <c r="G1411" s="14">
        <v>1242</v>
      </c>
      <c r="H1411" s="37">
        <f>'Calculation Sheet'!N1411</f>
        <v>1242</v>
      </c>
    </row>
    <row r="1412" spans="1:8" x14ac:dyDescent="0.25">
      <c r="A1412" s="14" t="s">
        <v>2209</v>
      </c>
      <c r="B1412" s="14">
        <v>1</v>
      </c>
      <c r="C1412" s="15" t="s">
        <v>2212</v>
      </c>
      <c r="D1412" s="14" t="s">
        <v>1749</v>
      </c>
      <c r="E1412" s="14" t="s">
        <v>1746</v>
      </c>
      <c r="F1412" s="14">
        <v>198</v>
      </c>
      <c r="G1412" s="14">
        <v>138.6</v>
      </c>
      <c r="H1412" s="37">
        <f>'Calculation Sheet'!N1412</f>
        <v>138.6</v>
      </c>
    </row>
    <row r="1413" spans="1:8" x14ac:dyDescent="0.25">
      <c r="A1413" s="14" t="s">
        <v>2209</v>
      </c>
      <c r="B1413" s="14">
        <v>1</v>
      </c>
      <c r="C1413" s="15" t="s">
        <v>2212</v>
      </c>
      <c r="D1413" s="14" t="s">
        <v>1745</v>
      </c>
      <c r="E1413" s="14" t="s">
        <v>1746</v>
      </c>
      <c r="F1413" s="14">
        <v>2079</v>
      </c>
      <c r="G1413" s="14">
        <v>1455.36</v>
      </c>
      <c r="H1413" s="37">
        <f>'Calculation Sheet'!N1413</f>
        <v>1455.36</v>
      </c>
    </row>
    <row r="1414" spans="1:8" x14ac:dyDescent="0.25">
      <c r="A1414" s="14" t="s">
        <v>2209</v>
      </c>
      <c r="B1414" s="14">
        <v>8</v>
      </c>
      <c r="C1414" s="15" t="s">
        <v>2210</v>
      </c>
      <c r="D1414" s="14" t="s">
        <v>1749</v>
      </c>
      <c r="E1414" s="14" t="s">
        <v>1746</v>
      </c>
      <c r="F1414" s="14">
        <v>138</v>
      </c>
      <c r="G1414" s="14">
        <v>96.6</v>
      </c>
      <c r="H1414" s="37">
        <f>'Calculation Sheet'!N1414</f>
        <v>96.6</v>
      </c>
    </row>
    <row r="1415" spans="1:8" x14ac:dyDescent="0.25">
      <c r="A1415" s="14" t="s">
        <v>2209</v>
      </c>
      <c r="B1415" s="14">
        <v>1</v>
      </c>
      <c r="C1415" s="15" t="s">
        <v>2212</v>
      </c>
      <c r="D1415" s="14" t="s">
        <v>1745</v>
      </c>
      <c r="E1415" s="14" t="s">
        <v>1747</v>
      </c>
      <c r="F1415" s="14">
        <v>1980</v>
      </c>
      <c r="G1415" s="14">
        <v>1386</v>
      </c>
      <c r="H1415" s="37">
        <f>'Calculation Sheet'!N1415</f>
        <v>1386</v>
      </c>
    </row>
    <row r="1416" spans="1:8" x14ac:dyDescent="0.25">
      <c r="A1416" s="14" t="s">
        <v>2209</v>
      </c>
      <c r="B1416" s="14">
        <v>9</v>
      </c>
      <c r="C1416" s="15" t="s">
        <v>2211</v>
      </c>
      <c r="D1416" s="14" t="s">
        <v>1745</v>
      </c>
      <c r="E1416" s="14" t="s">
        <v>1746</v>
      </c>
      <c r="F1416" s="14">
        <v>1449</v>
      </c>
      <c r="G1416" s="14">
        <v>1304.1600000000001</v>
      </c>
      <c r="H1416" s="37">
        <f>'Calculation Sheet'!N1416</f>
        <v>1304.1600000000001</v>
      </c>
    </row>
    <row r="1417" spans="1:8" ht="30" x14ac:dyDescent="0.25">
      <c r="A1417" s="14" t="s">
        <v>2213</v>
      </c>
      <c r="B1417" s="14">
        <v>9</v>
      </c>
      <c r="C1417" s="15" t="s">
        <v>2214</v>
      </c>
      <c r="D1417" s="14" t="s">
        <v>1752</v>
      </c>
      <c r="E1417" s="14" t="s">
        <v>1746</v>
      </c>
      <c r="F1417" s="14">
        <v>2122659</v>
      </c>
      <c r="G1417" s="14">
        <v>1910393</v>
      </c>
      <c r="H1417" s="37">
        <f>'Calculation Sheet'!N1417</f>
        <v>1910393</v>
      </c>
    </row>
    <row r="1418" spans="1:8" ht="30" x14ac:dyDescent="0.25">
      <c r="A1418" s="14" t="s">
        <v>2213</v>
      </c>
      <c r="B1418" s="14">
        <v>8</v>
      </c>
      <c r="C1418" s="15" t="s">
        <v>2215</v>
      </c>
      <c r="D1418" s="14" t="s">
        <v>1749</v>
      </c>
      <c r="E1418" s="14" t="s">
        <v>1746</v>
      </c>
      <c r="F1418" s="14">
        <v>74124</v>
      </c>
      <c r="G1418" s="14">
        <v>51886.8</v>
      </c>
      <c r="H1418" s="37">
        <f>'Calculation Sheet'!N1418</f>
        <v>51886.8</v>
      </c>
    </row>
    <row r="1419" spans="1:8" ht="30" x14ac:dyDescent="0.25">
      <c r="A1419" s="14" t="s">
        <v>2213</v>
      </c>
      <c r="B1419" s="14">
        <v>8</v>
      </c>
      <c r="C1419" s="15" t="s">
        <v>2215</v>
      </c>
      <c r="D1419" s="14" t="s">
        <v>1745</v>
      </c>
      <c r="E1419" s="14" t="s">
        <v>1747</v>
      </c>
      <c r="F1419" s="14">
        <v>741240</v>
      </c>
      <c r="G1419" s="14">
        <v>518868</v>
      </c>
      <c r="H1419" s="37">
        <f>'Calculation Sheet'!N1419</f>
        <v>518868</v>
      </c>
    </row>
    <row r="1420" spans="1:8" ht="30" x14ac:dyDescent="0.25">
      <c r="A1420" s="14" t="s">
        <v>2213</v>
      </c>
      <c r="B1420" s="14">
        <v>9</v>
      </c>
      <c r="C1420" s="15" t="s">
        <v>2214</v>
      </c>
      <c r="D1420" s="14" t="s">
        <v>1745</v>
      </c>
      <c r="E1420" s="14" t="s">
        <v>1746</v>
      </c>
      <c r="F1420" s="14">
        <v>707553</v>
      </c>
      <c r="G1420" s="14">
        <v>636797.80000000005</v>
      </c>
      <c r="H1420" s="37">
        <f>'Calculation Sheet'!N1420</f>
        <v>636797.80000000005</v>
      </c>
    </row>
    <row r="1421" spans="1:8" x14ac:dyDescent="0.25">
      <c r="A1421" s="14" t="s">
        <v>2213</v>
      </c>
      <c r="B1421" s="14">
        <v>1</v>
      </c>
      <c r="C1421" s="15" t="s">
        <v>2216</v>
      </c>
      <c r="D1421" s="14" t="s">
        <v>1749</v>
      </c>
      <c r="E1421" s="14" t="s">
        <v>1746</v>
      </c>
      <c r="F1421" s="14">
        <v>134778</v>
      </c>
      <c r="G1421" s="14">
        <v>94344.6</v>
      </c>
      <c r="H1421" s="37">
        <f>'Calculation Sheet'!N1421</f>
        <v>94344.6</v>
      </c>
    </row>
    <row r="1422" spans="1:8" ht="30" x14ac:dyDescent="0.25">
      <c r="A1422" s="14" t="s">
        <v>2213</v>
      </c>
      <c r="B1422" s="14">
        <v>8</v>
      </c>
      <c r="C1422" s="15" t="s">
        <v>2215</v>
      </c>
      <c r="D1422" s="14" t="s">
        <v>1745</v>
      </c>
      <c r="E1422" s="14" t="s">
        <v>1746</v>
      </c>
      <c r="F1422" s="14">
        <v>778302</v>
      </c>
      <c r="G1422" s="14">
        <v>544811.4</v>
      </c>
      <c r="H1422" s="37">
        <f>'Calculation Sheet'!N1422</f>
        <v>544811.4</v>
      </c>
    </row>
    <row r="1423" spans="1:8" x14ac:dyDescent="0.25">
      <c r="A1423" s="14" t="s">
        <v>2213</v>
      </c>
      <c r="B1423" s="14">
        <v>1</v>
      </c>
      <c r="C1423" s="15" t="s">
        <v>2216</v>
      </c>
      <c r="D1423" s="14" t="s">
        <v>1745</v>
      </c>
      <c r="E1423" s="14" t="s">
        <v>1746</v>
      </c>
      <c r="F1423" s="14">
        <v>1415169</v>
      </c>
      <c r="G1423" s="14">
        <v>990618.4</v>
      </c>
      <c r="H1423" s="37">
        <f>'Calculation Sheet'!N1423</f>
        <v>990618.4</v>
      </c>
    </row>
    <row r="1424" spans="1:8" ht="30" x14ac:dyDescent="0.25">
      <c r="A1424" s="14" t="s">
        <v>2213</v>
      </c>
      <c r="B1424" s="14">
        <v>9</v>
      </c>
      <c r="C1424" s="15" t="s">
        <v>2214</v>
      </c>
      <c r="D1424" s="14" t="s">
        <v>1749</v>
      </c>
      <c r="E1424" s="14" t="s">
        <v>1746</v>
      </c>
      <c r="F1424" s="14">
        <v>67386</v>
      </c>
      <c r="G1424" s="14">
        <v>60647.4</v>
      </c>
      <c r="H1424" s="37">
        <f>'Calculation Sheet'!N1424</f>
        <v>60647.4</v>
      </c>
    </row>
    <row r="1425" spans="1:8" x14ac:dyDescent="0.25">
      <c r="A1425" s="14" t="s">
        <v>2213</v>
      </c>
      <c r="B1425" s="14">
        <v>1</v>
      </c>
      <c r="C1425" s="15" t="s">
        <v>2216</v>
      </c>
      <c r="D1425" s="14" t="s">
        <v>1745</v>
      </c>
      <c r="E1425" s="14" t="s">
        <v>1747</v>
      </c>
      <c r="F1425" s="14">
        <v>1347780</v>
      </c>
      <c r="G1425" s="14">
        <v>943446</v>
      </c>
      <c r="H1425" s="37">
        <f>'Calculation Sheet'!N1425</f>
        <v>943446</v>
      </c>
    </row>
    <row r="1426" spans="1:8" x14ac:dyDescent="0.25">
      <c r="A1426" s="14" t="s">
        <v>2213</v>
      </c>
      <c r="B1426" s="14">
        <v>1</v>
      </c>
      <c r="C1426" s="15" t="s">
        <v>2216</v>
      </c>
      <c r="D1426" s="14" t="s">
        <v>1752</v>
      </c>
      <c r="E1426" s="14" t="s">
        <v>1747</v>
      </c>
      <c r="F1426" s="14">
        <v>4043340</v>
      </c>
      <c r="G1426" s="14">
        <v>2830338</v>
      </c>
      <c r="H1426" s="37">
        <f>'Calculation Sheet'!N1426</f>
        <v>2830338</v>
      </c>
    </row>
    <row r="1427" spans="1:8" ht="30" x14ac:dyDescent="0.25">
      <c r="A1427" s="14" t="s">
        <v>2213</v>
      </c>
      <c r="B1427" s="14">
        <v>9</v>
      </c>
      <c r="C1427" s="15" t="s">
        <v>2214</v>
      </c>
      <c r="D1427" s="14" t="s">
        <v>1745</v>
      </c>
      <c r="E1427" s="14" t="s">
        <v>1747</v>
      </c>
      <c r="F1427" s="14">
        <v>673860</v>
      </c>
      <c r="G1427" s="14">
        <v>606474</v>
      </c>
      <c r="H1427" s="37">
        <f>'Calculation Sheet'!N1427</f>
        <v>606474</v>
      </c>
    </row>
    <row r="1428" spans="1:8" ht="30" x14ac:dyDescent="0.25">
      <c r="A1428" s="14" t="s">
        <v>2213</v>
      </c>
      <c r="B1428" s="14">
        <v>9</v>
      </c>
      <c r="C1428" s="15" t="s">
        <v>2214</v>
      </c>
      <c r="D1428" s="14" t="s">
        <v>1752</v>
      </c>
      <c r="E1428" s="14" t="s">
        <v>1747</v>
      </c>
      <c r="F1428" s="14">
        <v>2021580</v>
      </c>
      <c r="G1428" s="14">
        <v>1819422</v>
      </c>
      <c r="H1428" s="37">
        <f>'Calculation Sheet'!N1428</f>
        <v>1819422</v>
      </c>
    </row>
    <row r="1429" spans="1:8" x14ac:dyDescent="0.25">
      <c r="A1429" s="14" t="s">
        <v>2213</v>
      </c>
      <c r="B1429" s="14">
        <v>1</v>
      </c>
      <c r="C1429" s="15" t="s">
        <v>2216</v>
      </c>
      <c r="D1429" s="14" t="s">
        <v>1752</v>
      </c>
      <c r="E1429" s="14" t="s">
        <v>1753</v>
      </c>
      <c r="F1429" s="14">
        <v>4043340</v>
      </c>
      <c r="G1429" s="14">
        <v>2830338</v>
      </c>
      <c r="H1429" s="37">
        <f>'Calculation Sheet'!N1429</f>
        <v>2830338</v>
      </c>
    </row>
    <row r="1430" spans="1:8" x14ac:dyDescent="0.25">
      <c r="A1430" s="14" t="s">
        <v>2213</v>
      </c>
      <c r="B1430" s="14">
        <v>1</v>
      </c>
      <c r="C1430" s="15" t="s">
        <v>2216</v>
      </c>
      <c r="D1430" s="14" t="s">
        <v>1752</v>
      </c>
      <c r="E1430" s="14" t="s">
        <v>1746</v>
      </c>
      <c r="F1430" s="14">
        <v>4245507</v>
      </c>
      <c r="G1430" s="14">
        <v>2971855</v>
      </c>
      <c r="H1430" s="37">
        <f>'Calculation Sheet'!N1430</f>
        <v>2971855</v>
      </c>
    </row>
    <row r="1431" spans="1:8" ht="30" x14ac:dyDescent="0.25">
      <c r="A1431" s="14" t="s">
        <v>2217</v>
      </c>
      <c r="B1431" s="14">
        <v>9</v>
      </c>
      <c r="C1431" s="15" t="s">
        <v>2218</v>
      </c>
      <c r="D1431" s="14" t="s">
        <v>1749</v>
      </c>
      <c r="E1431" s="14" t="s">
        <v>1746</v>
      </c>
      <c r="F1431" s="14">
        <v>202164</v>
      </c>
      <c r="G1431" s="14">
        <v>181947.6</v>
      </c>
      <c r="H1431" s="37">
        <f>'Calculation Sheet'!N1431</f>
        <v>181947.6</v>
      </c>
    </row>
    <row r="1432" spans="1:8" ht="30" x14ac:dyDescent="0.25">
      <c r="A1432" s="14" t="s">
        <v>2217</v>
      </c>
      <c r="B1432" s="14">
        <v>9</v>
      </c>
      <c r="C1432" s="15" t="s">
        <v>2218</v>
      </c>
      <c r="D1432" s="14" t="s">
        <v>1745</v>
      </c>
      <c r="E1432" s="14" t="s">
        <v>1747</v>
      </c>
      <c r="F1432" s="14">
        <v>2021640</v>
      </c>
      <c r="G1432" s="14">
        <v>1819476</v>
      </c>
      <c r="H1432" s="37">
        <f>'Calculation Sheet'!N1432</f>
        <v>1819476</v>
      </c>
    </row>
    <row r="1433" spans="1:8" x14ac:dyDescent="0.25">
      <c r="A1433" s="14" t="s">
        <v>2217</v>
      </c>
      <c r="B1433" s="14">
        <v>1</v>
      </c>
      <c r="C1433" s="15" t="s">
        <v>2219</v>
      </c>
      <c r="D1433" s="14" t="s">
        <v>1752</v>
      </c>
      <c r="E1433" s="14" t="s">
        <v>1753</v>
      </c>
      <c r="F1433" s="14">
        <v>12129840</v>
      </c>
      <c r="G1433" s="14">
        <v>8490888</v>
      </c>
      <c r="H1433" s="37">
        <f>'Calculation Sheet'!N1433</f>
        <v>8490888</v>
      </c>
    </row>
    <row r="1434" spans="1:8" x14ac:dyDescent="0.25">
      <c r="A1434" s="14" t="s">
        <v>2217</v>
      </c>
      <c r="B1434" s="14">
        <v>1</v>
      </c>
      <c r="C1434" s="15" t="s">
        <v>2219</v>
      </c>
      <c r="D1434" s="14" t="s">
        <v>1752</v>
      </c>
      <c r="E1434" s="14" t="s">
        <v>1747</v>
      </c>
      <c r="F1434" s="14">
        <v>12129840</v>
      </c>
      <c r="G1434" s="14">
        <v>8490888</v>
      </c>
      <c r="H1434" s="37">
        <f>'Calculation Sheet'!N1434</f>
        <v>8490888</v>
      </c>
    </row>
    <row r="1435" spans="1:8" x14ac:dyDescent="0.25">
      <c r="A1435" s="14" t="s">
        <v>2217</v>
      </c>
      <c r="B1435" s="14">
        <v>1</v>
      </c>
      <c r="C1435" s="15" t="s">
        <v>2219</v>
      </c>
      <c r="D1435" s="14" t="s">
        <v>1745</v>
      </c>
      <c r="E1435" s="14" t="s">
        <v>1746</v>
      </c>
      <c r="F1435" s="14">
        <v>4245444</v>
      </c>
      <c r="G1435" s="14">
        <v>2971811</v>
      </c>
      <c r="H1435" s="37">
        <f>'Calculation Sheet'!N1435</f>
        <v>2971811</v>
      </c>
    </row>
    <row r="1436" spans="1:8" ht="30" x14ac:dyDescent="0.25">
      <c r="A1436" s="14" t="s">
        <v>2217</v>
      </c>
      <c r="B1436" s="14">
        <v>9</v>
      </c>
      <c r="C1436" s="15" t="s">
        <v>2218</v>
      </c>
      <c r="D1436" s="14" t="s">
        <v>1745</v>
      </c>
      <c r="E1436" s="14" t="s">
        <v>1746</v>
      </c>
      <c r="F1436" s="14">
        <v>2122722</v>
      </c>
      <c r="G1436" s="14">
        <v>1910450</v>
      </c>
      <c r="H1436" s="37">
        <f>'Calculation Sheet'!N1436</f>
        <v>1910450</v>
      </c>
    </row>
    <row r="1437" spans="1:8" ht="30" x14ac:dyDescent="0.25">
      <c r="A1437" s="14" t="s">
        <v>2217</v>
      </c>
      <c r="B1437" s="14">
        <v>8</v>
      </c>
      <c r="C1437" s="15" t="s">
        <v>2220</v>
      </c>
      <c r="D1437" s="14" t="s">
        <v>1745</v>
      </c>
      <c r="E1437" s="14" t="s">
        <v>1747</v>
      </c>
      <c r="F1437" s="14">
        <v>2223780</v>
      </c>
      <c r="G1437" s="14">
        <v>1556646</v>
      </c>
      <c r="H1437" s="37">
        <f>'Calculation Sheet'!N1437</f>
        <v>1556646</v>
      </c>
    </row>
    <row r="1438" spans="1:8" x14ac:dyDescent="0.25">
      <c r="A1438" s="14" t="s">
        <v>2217</v>
      </c>
      <c r="B1438" s="14">
        <v>1</v>
      </c>
      <c r="C1438" s="15" t="s">
        <v>2219</v>
      </c>
      <c r="D1438" s="14" t="s">
        <v>1749</v>
      </c>
      <c r="E1438" s="14" t="s">
        <v>1746</v>
      </c>
      <c r="F1438" s="14">
        <v>404328</v>
      </c>
      <c r="G1438" s="14">
        <v>283029.59999999998</v>
      </c>
      <c r="H1438" s="37">
        <f>'Calculation Sheet'!N1438</f>
        <v>283029.59999999998</v>
      </c>
    </row>
    <row r="1439" spans="1:8" x14ac:dyDescent="0.25">
      <c r="A1439" s="14" t="s">
        <v>2217</v>
      </c>
      <c r="B1439" s="14">
        <v>1</v>
      </c>
      <c r="C1439" s="15" t="s">
        <v>2219</v>
      </c>
      <c r="D1439" s="14" t="s">
        <v>1745</v>
      </c>
      <c r="E1439" s="14" t="s">
        <v>1747</v>
      </c>
      <c r="F1439" s="14">
        <v>4043280</v>
      </c>
      <c r="G1439" s="14">
        <v>2830296</v>
      </c>
      <c r="H1439" s="37">
        <f>'Calculation Sheet'!N1439</f>
        <v>2830296</v>
      </c>
    </row>
    <row r="1440" spans="1:8" x14ac:dyDescent="0.25">
      <c r="A1440" s="14" t="s">
        <v>2217</v>
      </c>
      <c r="B1440" s="14">
        <v>1</v>
      </c>
      <c r="C1440" s="15" t="s">
        <v>2219</v>
      </c>
      <c r="D1440" s="14" t="s">
        <v>1752</v>
      </c>
      <c r="E1440" s="14" t="s">
        <v>1746</v>
      </c>
      <c r="F1440" s="14">
        <v>12736332</v>
      </c>
      <c r="G1440" s="14">
        <v>8915432</v>
      </c>
      <c r="H1440" s="37">
        <f>'Calculation Sheet'!N1440</f>
        <v>8915432</v>
      </c>
    </row>
    <row r="1441" spans="1:8" ht="30" x14ac:dyDescent="0.25">
      <c r="A1441" s="14" t="s">
        <v>2217</v>
      </c>
      <c r="B1441" s="14">
        <v>8</v>
      </c>
      <c r="C1441" s="15" t="s">
        <v>2220</v>
      </c>
      <c r="D1441" s="14" t="s">
        <v>1745</v>
      </c>
      <c r="E1441" s="14" t="s">
        <v>1746</v>
      </c>
      <c r="F1441" s="14">
        <v>2334969</v>
      </c>
      <c r="G1441" s="14">
        <v>1634478</v>
      </c>
      <c r="H1441" s="37">
        <f>'Calculation Sheet'!N1441</f>
        <v>1634478</v>
      </c>
    </row>
    <row r="1442" spans="1:8" ht="30" x14ac:dyDescent="0.25">
      <c r="A1442" s="14" t="s">
        <v>2217</v>
      </c>
      <c r="B1442" s="14">
        <v>8</v>
      </c>
      <c r="C1442" s="15" t="s">
        <v>2220</v>
      </c>
      <c r="D1442" s="14" t="s">
        <v>1749</v>
      </c>
      <c r="E1442" s="14" t="s">
        <v>1746</v>
      </c>
      <c r="F1442" s="14">
        <v>222378</v>
      </c>
      <c r="G1442" s="14">
        <v>155664.6</v>
      </c>
      <c r="H1442" s="37">
        <f>'Calculation Sheet'!N1442</f>
        <v>155664.6</v>
      </c>
    </row>
    <row r="1443" spans="1:8" ht="30" x14ac:dyDescent="0.25">
      <c r="A1443" s="14" t="s">
        <v>2217</v>
      </c>
      <c r="B1443" s="14">
        <v>9</v>
      </c>
      <c r="C1443" s="15" t="s">
        <v>2218</v>
      </c>
      <c r="D1443" s="14" t="s">
        <v>1752</v>
      </c>
      <c r="E1443" s="14" t="s">
        <v>1747</v>
      </c>
      <c r="F1443" s="14">
        <v>6064920</v>
      </c>
      <c r="G1443" s="14">
        <v>5458428</v>
      </c>
      <c r="H1443" s="37">
        <f>'Calculation Sheet'!N1443</f>
        <v>5458428</v>
      </c>
    </row>
    <row r="1444" spans="1:8" ht="30" x14ac:dyDescent="0.25">
      <c r="A1444" s="14" t="s">
        <v>2217</v>
      </c>
      <c r="B1444" s="14">
        <v>9</v>
      </c>
      <c r="C1444" s="15" t="s">
        <v>2218</v>
      </c>
      <c r="D1444" s="14" t="s">
        <v>1752</v>
      </c>
      <c r="E1444" s="14" t="s">
        <v>1746</v>
      </c>
      <c r="F1444" s="14">
        <v>6368166</v>
      </c>
      <c r="G1444" s="14">
        <v>5731349</v>
      </c>
      <c r="H1444" s="37">
        <f>'Calculation Sheet'!N1444</f>
        <v>5731349</v>
      </c>
    </row>
    <row r="1445" spans="1:8" ht="30" x14ac:dyDescent="0.25">
      <c r="A1445" s="14" t="s">
        <v>2221</v>
      </c>
      <c r="B1445" s="14">
        <v>9</v>
      </c>
      <c r="C1445" s="15" t="s">
        <v>2222</v>
      </c>
      <c r="D1445" s="14" t="s">
        <v>1749</v>
      </c>
      <c r="E1445" s="14" t="s">
        <v>1746</v>
      </c>
      <c r="F1445" s="14">
        <v>433776</v>
      </c>
      <c r="G1445" s="14">
        <v>303643.2</v>
      </c>
      <c r="H1445" s="37">
        <f>'Calculation Sheet'!N1445</f>
        <v>303643.2</v>
      </c>
    </row>
    <row r="1446" spans="1:8" x14ac:dyDescent="0.25">
      <c r="A1446" s="14" t="s">
        <v>2221</v>
      </c>
      <c r="B1446" s="14">
        <v>1</v>
      </c>
      <c r="C1446" s="15" t="s">
        <v>2223</v>
      </c>
      <c r="D1446" s="14" t="s">
        <v>1745</v>
      </c>
      <c r="E1446" s="14" t="s">
        <v>1746</v>
      </c>
      <c r="F1446" s="14">
        <v>8281224</v>
      </c>
      <c r="G1446" s="14">
        <v>5796857</v>
      </c>
      <c r="H1446" s="37">
        <f>'Calculation Sheet'!N1446</f>
        <v>5796857</v>
      </c>
    </row>
    <row r="1447" spans="1:8" x14ac:dyDescent="0.25">
      <c r="A1447" s="14" t="s">
        <v>2221</v>
      </c>
      <c r="B1447" s="14">
        <v>1</v>
      </c>
      <c r="C1447" s="15" t="s">
        <v>2223</v>
      </c>
      <c r="D1447" s="14" t="s">
        <v>1752</v>
      </c>
      <c r="E1447" s="14" t="s">
        <v>1753</v>
      </c>
      <c r="F1447" s="14">
        <v>23660640</v>
      </c>
      <c r="G1447" s="14">
        <v>16562448</v>
      </c>
      <c r="H1447" s="37">
        <f>'Calculation Sheet'!N1447</f>
        <v>16562448</v>
      </c>
    </row>
    <row r="1448" spans="1:8" ht="30" x14ac:dyDescent="0.25">
      <c r="A1448" s="14" t="s">
        <v>2221</v>
      </c>
      <c r="B1448" s="14">
        <v>9</v>
      </c>
      <c r="C1448" s="15" t="s">
        <v>2222</v>
      </c>
      <c r="D1448" s="14" t="s">
        <v>1745</v>
      </c>
      <c r="E1448" s="14" t="s">
        <v>1747</v>
      </c>
      <c r="F1448" s="14">
        <v>4337760</v>
      </c>
      <c r="G1448" s="14">
        <v>3036432</v>
      </c>
      <c r="H1448" s="37">
        <f>'Calculation Sheet'!N1448</f>
        <v>3036432</v>
      </c>
    </row>
    <row r="1449" spans="1:8" x14ac:dyDescent="0.25">
      <c r="A1449" s="14" t="s">
        <v>2221</v>
      </c>
      <c r="B1449" s="14">
        <v>1</v>
      </c>
      <c r="C1449" s="15" t="s">
        <v>2223</v>
      </c>
      <c r="D1449" s="14" t="s">
        <v>1745</v>
      </c>
      <c r="E1449" s="14" t="s">
        <v>1747</v>
      </c>
      <c r="F1449" s="14">
        <v>7886880</v>
      </c>
      <c r="G1449" s="14">
        <v>5520816</v>
      </c>
      <c r="H1449" s="37">
        <f>'Calculation Sheet'!N1449</f>
        <v>5520816</v>
      </c>
    </row>
    <row r="1450" spans="1:8" ht="30" x14ac:dyDescent="0.25">
      <c r="A1450" s="14" t="s">
        <v>2221</v>
      </c>
      <c r="B1450" s="14">
        <v>8</v>
      </c>
      <c r="C1450" s="15" t="s">
        <v>2224</v>
      </c>
      <c r="D1450" s="14" t="s">
        <v>1749</v>
      </c>
      <c r="E1450" s="14" t="s">
        <v>1746</v>
      </c>
      <c r="F1450" s="14">
        <v>394344</v>
      </c>
      <c r="G1450" s="14">
        <v>354909.6</v>
      </c>
      <c r="H1450" s="37">
        <f>'Calculation Sheet'!N1450</f>
        <v>354909.6</v>
      </c>
    </row>
    <row r="1451" spans="1:8" x14ac:dyDescent="0.25">
      <c r="A1451" s="14" t="s">
        <v>2221</v>
      </c>
      <c r="B1451" s="14">
        <v>1</v>
      </c>
      <c r="C1451" s="15" t="s">
        <v>2223</v>
      </c>
      <c r="D1451" s="14" t="s">
        <v>1752</v>
      </c>
      <c r="E1451" s="14" t="s">
        <v>1747</v>
      </c>
      <c r="F1451" s="14">
        <v>23660640</v>
      </c>
      <c r="G1451" s="14">
        <v>16562448</v>
      </c>
      <c r="H1451" s="37">
        <f>'Calculation Sheet'!N1451</f>
        <v>16562448</v>
      </c>
    </row>
    <row r="1452" spans="1:8" ht="30" x14ac:dyDescent="0.25">
      <c r="A1452" s="14" t="s">
        <v>2221</v>
      </c>
      <c r="B1452" s="14">
        <v>8</v>
      </c>
      <c r="C1452" s="15" t="s">
        <v>2224</v>
      </c>
      <c r="D1452" s="14" t="s">
        <v>1752</v>
      </c>
      <c r="E1452" s="14" t="s">
        <v>1746</v>
      </c>
      <c r="F1452" s="14">
        <v>12421836</v>
      </c>
      <c r="G1452" s="14">
        <v>11179652</v>
      </c>
      <c r="H1452" s="37">
        <f>'Calculation Sheet'!N1452</f>
        <v>11179652</v>
      </c>
    </row>
    <row r="1453" spans="1:8" ht="30" x14ac:dyDescent="0.25">
      <c r="A1453" s="14" t="s">
        <v>2221</v>
      </c>
      <c r="B1453" s="14">
        <v>8</v>
      </c>
      <c r="C1453" s="15" t="s">
        <v>2224</v>
      </c>
      <c r="D1453" s="14" t="s">
        <v>1752</v>
      </c>
      <c r="E1453" s="14" t="s">
        <v>1747</v>
      </c>
      <c r="F1453" s="14">
        <v>11830320</v>
      </c>
      <c r="G1453" s="14">
        <v>10647288</v>
      </c>
      <c r="H1453" s="37">
        <f>'Calculation Sheet'!N1453</f>
        <v>10647288</v>
      </c>
    </row>
    <row r="1454" spans="1:8" ht="30" x14ac:dyDescent="0.25">
      <c r="A1454" s="14" t="s">
        <v>2221</v>
      </c>
      <c r="B1454" s="14">
        <v>8</v>
      </c>
      <c r="C1454" s="15" t="s">
        <v>2224</v>
      </c>
      <c r="D1454" s="14" t="s">
        <v>1745</v>
      </c>
      <c r="E1454" s="14" t="s">
        <v>1746</v>
      </c>
      <c r="F1454" s="14">
        <v>4140612</v>
      </c>
      <c r="G1454" s="14">
        <v>3726551</v>
      </c>
      <c r="H1454" s="37">
        <f>'Calculation Sheet'!N1454</f>
        <v>3726551</v>
      </c>
    </row>
    <row r="1455" spans="1:8" ht="30" x14ac:dyDescent="0.25">
      <c r="A1455" s="14" t="s">
        <v>2221</v>
      </c>
      <c r="B1455" s="14">
        <v>9</v>
      </c>
      <c r="C1455" s="15" t="s">
        <v>2222</v>
      </c>
      <c r="D1455" s="14" t="s">
        <v>1745</v>
      </c>
      <c r="E1455" s="14" t="s">
        <v>1746</v>
      </c>
      <c r="F1455" s="14">
        <v>4554648</v>
      </c>
      <c r="G1455" s="14">
        <v>3188254</v>
      </c>
      <c r="H1455" s="37">
        <f>'Calculation Sheet'!N1455</f>
        <v>3188254</v>
      </c>
    </row>
    <row r="1456" spans="1:8" x14ac:dyDescent="0.25">
      <c r="A1456" s="14" t="s">
        <v>2221</v>
      </c>
      <c r="B1456" s="14">
        <v>1</v>
      </c>
      <c r="C1456" s="15" t="s">
        <v>2223</v>
      </c>
      <c r="D1456" s="14" t="s">
        <v>1749</v>
      </c>
      <c r="E1456" s="14" t="s">
        <v>1746</v>
      </c>
      <c r="F1456" s="14">
        <v>788688</v>
      </c>
      <c r="G1456" s="14">
        <v>552081.6</v>
      </c>
      <c r="H1456" s="37">
        <f>'Calculation Sheet'!N1456</f>
        <v>552081.6</v>
      </c>
    </row>
    <row r="1457" spans="1:8" ht="30" x14ac:dyDescent="0.25">
      <c r="A1457" s="14" t="s">
        <v>2221</v>
      </c>
      <c r="B1457" s="14">
        <v>8</v>
      </c>
      <c r="C1457" s="15" t="s">
        <v>2224</v>
      </c>
      <c r="D1457" s="14" t="s">
        <v>1745</v>
      </c>
      <c r="E1457" s="14" t="s">
        <v>1747</v>
      </c>
      <c r="F1457" s="14">
        <v>3943440</v>
      </c>
      <c r="G1457" s="14">
        <v>3549096</v>
      </c>
      <c r="H1457" s="37">
        <f>'Calculation Sheet'!N1457</f>
        <v>3549096</v>
      </c>
    </row>
    <row r="1458" spans="1:8" x14ac:dyDescent="0.25">
      <c r="A1458" s="14" t="s">
        <v>2221</v>
      </c>
      <c r="B1458" s="14">
        <v>1</v>
      </c>
      <c r="C1458" s="15" t="s">
        <v>2223</v>
      </c>
      <c r="D1458" s="14" t="s">
        <v>1752</v>
      </c>
      <c r="E1458" s="14" t="s">
        <v>1746</v>
      </c>
      <c r="F1458" s="14">
        <v>24843672</v>
      </c>
      <c r="G1458" s="14">
        <v>17390570</v>
      </c>
      <c r="H1458" s="37">
        <f>'Calculation Sheet'!N1458</f>
        <v>17390570</v>
      </c>
    </row>
    <row r="1459" spans="1:8" ht="30" x14ac:dyDescent="0.25">
      <c r="A1459" s="14" t="s">
        <v>2225</v>
      </c>
      <c r="B1459" s="14">
        <v>9</v>
      </c>
      <c r="C1459" s="15" t="s">
        <v>2226</v>
      </c>
      <c r="D1459" s="14" t="s">
        <v>1745</v>
      </c>
      <c r="E1459" s="14" t="s">
        <v>1747</v>
      </c>
      <c r="F1459" s="14">
        <v>5990040</v>
      </c>
      <c r="G1459" s="14">
        <v>5391036</v>
      </c>
      <c r="H1459" s="37">
        <f>'Calculation Sheet'!N1459</f>
        <v>5391036</v>
      </c>
    </row>
    <row r="1460" spans="1:8" x14ac:dyDescent="0.25">
      <c r="A1460" s="14" t="s">
        <v>2225</v>
      </c>
      <c r="B1460" s="14">
        <v>1</v>
      </c>
      <c r="C1460" s="15" t="s">
        <v>2227</v>
      </c>
      <c r="D1460" s="14" t="s">
        <v>1749</v>
      </c>
      <c r="E1460" s="14" t="s">
        <v>1746</v>
      </c>
      <c r="F1460" s="14">
        <v>1198002</v>
      </c>
      <c r="G1460" s="14">
        <v>838601.4</v>
      </c>
      <c r="H1460" s="37">
        <f>'Calculation Sheet'!N1460</f>
        <v>838601.4</v>
      </c>
    </row>
    <row r="1461" spans="1:8" ht="30" x14ac:dyDescent="0.25">
      <c r="A1461" s="14" t="s">
        <v>2225</v>
      </c>
      <c r="B1461" s="14">
        <v>9</v>
      </c>
      <c r="C1461" s="15" t="s">
        <v>2226</v>
      </c>
      <c r="D1461" s="14" t="s">
        <v>1752</v>
      </c>
      <c r="E1461" s="14" t="s">
        <v>1747</v>
      </c>
      <c r="F1461" s="14">
        <v>17970120</v>
      </c>
      <c r="G1461" s="14">
        <v>16173108</v>
      </c>
      <c r="H1461" s="37">
        <f>'Calculation Sheet'!N1461</f>
        <v>16173108</v>
      </c>
    </row>
    <row r="1462" spans="1:8" x14ac:dyDescent="0.25">
      <c r="A1462" s="14" t="s">
        <v>2225</v>
      </c>
      <c r="B1462" s="14">
        <v>1</v>
      </c>
      <c r="C1462" s="15" t="s">
        <v>2227</v>
      </c>
      <c r="D1462" s="14" t="s">
        <v>1745</v>
      </c>
      <c r="E1462" s="14" t="s">
        <v>1747</v>
      </c>
      <c r="F1462" s="14">
        <v>11980020</v>
      </c>
      <c r="G1462" s="14">
        <v>8386014</v>
      </c>
      <c r="H1462" s="37">
        <f>'Calculation Sheet'!N1462</f>
        <v>8386014</v>
      </c>
    </row>
    <row r="1463" spans="1:8" x14ac:dyDescent="0.25">
      <c r="A1463" s="14" t="s">
        <v>2225</v>
      </c>
      <c r="B1463" s="14">
        <v>1</v>
      </c>
      <c r="C1463" s="15" t="s">
        <v>2227</v>
      </c>
      <c r="D1463" s="14" t="s">
        <v>1752</v>
      </c>
      <c r="E1463" s="14" t="s">
        <v>1746</v>
      </c>
      <c r="F1463" s="14">
        <v>37737063</v>
      </c>
      <c r="G1463" s="14">
        <v>26415944</v>
      </c>
      <c r="H1463" s="37">
        <f>'Calculation Sheet'!N1463</f>
        <v>26415944</v>
      </c>
    </row>
    <row r="1464" spans="1:8" ht="30" x14ac:dyDescent="0.25">
      <c r="A1464" s="14" t="s">
        <v>2225</v>
      </c>
      <c r="B1464" s="14">
        <v>9</v>
      </c>
      <c r="C1464" s="15" t="s">
        <v>2226</v>
      </c>
      <c r="D1464" s="14" t="s">
        <v>1752</v>
      </c>
      <c r="E1464" s="14" t="s">
        <v>1746</v>
      </c>
      <c r="F1464" s="14">
        <v>18868626</v>
      </c>
      <c r="G1464" s="14">
        <v>16981763</v>
      </c>
      <c r="H1464" s="37">
        <f>'Calculation Sheet'!N1464</f>
        <v>16981763</v>
      </c>
    </row>
    <row r="1465" spans="1:8" ht="30" x14ac:dyDescent="0.25">
      <c r="A1465" s="14" t="s">
        <v>2225</v>
      </c>
      <c r="B1465" s="14">
        <v>8</v>
      </c>
      <c r="C1465" s="15" t="s">
        <v>2228</v>
      </c>
      <c r="D1465" s="14" t="s">
        <v>1745</v>
      </c>
      <c r="E1465" s="14" t="s">
        <v>1746</v>
      </c>
      <c r="F1465" s="14">
        <v>6918471</v>
      </c>
      <c r="G1465" s="14">
        <v>4842930</v>
      </c>
      <c r="H1465" s="37">
        <f>'Calculation Sheet'!N1465</f>
        <v>4842930</v>
      </c>
    </row>
    <row r="1466" spans="1:8" x14ac:dyDescent="0.25">
      <c r="A1466" s="14" t="s">
        <v>2225</v>
      </c>
      <c r="B1466" s="14">
        <v>1</v>
      </c>
      <c r="C1466" s="15" t="s">
        <v>2227</v>
      </c>
      <c r="D1466" s="14" t="s">
        <v>1752</v>
      </c>
      <c r="E1466" s="14" t="s">
        <v>1753</v>
      </c>
      <c r="F1466" s="14">
        <v>35940060</v>
      </c>
      <c r="G1466" s="14">
        <v>25158042</v>
      </c>
      <c r="H1466" s="37">
        <f>'Calculation Sheet'!N1466</f>
        <v>25158042</v>
      </c>
    </row>
    <row r="1467" spans="1:8" x14ac:dyDescent="0.25">
      <c r="A1467" s="14" t="s">
        <v>2225</v>
      </c>
      <c r="B1467" s="14">
        <v>1</v>
      </c>
      <c r="C1467" s="15" t="s">
        <v>2227</v>
      </c>
      <c r="D1467" s="14" t="s">
        <v>1752</v>
      </c>
      <c r="E1467" s="14" t="s">
        <v>1747</v>
      </c>
      <c r="F1467" s="14">
        <v>35940060</v>
      </c>
      <c r="G1467" s="14">
        <v>25158042</v>
      </c>
      <c r="H1467" s="37">
        <f>'Calculation Sheet'!N1467</f>
        <v>25158042</v>
      </c>
    </row>
    <row r="1468" spans="1:8" ht="30" x14ac:dyDescent="0.25">
      <c r="A1468" s="14" t="s">
        <v>2225</v>
      </c>
      <c r="B1468" s="14">
        <v>9</v>
      </c>
      <c r="C1468" s="15" t="s">
        <v>2226</v>
      </c>
      <c r="D1468" s="14" t="s">
        <v>1749</v>
      </c>
      <c r="E1468" s="14" t="s">
        <v>1746</v>
      </c>
      <c r="F1468" s="14">
        <v>599004</v>
      </c>
      <c r="G1468" s="14">
        <v>539103.6</v>
      </c>
      <c r="H1468" s="37">
        <f>'Calculation Sheet'!N1468</f>
        <v>539103.6</v>
      </c>
    </row>
    <row r="1469" spans="1:8" x14ac:dyDescent="0.25">
      <c r="A1469" s="14" t="s">
        <v>2225</v>
      </c>
      <c r="B1469" s="14">
        <v>1</v>
      </c>
      <c r="C1469" s="15" t="s">
        <v>2227</v>
      </c>
      <c r="D1469" s="14" t="s">
        <v>1745</v>
      </c>
      <c r="E1469" s="14" t="s">
        <v>1746</v>
      </c>
      <c r="F1469" s="14">
        <v>12579021</v>
      </c>
      <c r="G1469" s="14">
        <v>8805315</v>
      </c>
      <c r="H1469" s="37">
        <f>'Calculation Sheet'!N1469</f>
        <v>8805315</v>
      </c>
    </row>
    <row r="1470" spans="1:8" ht="30" x14ac:dyDescent="0.25">
      <c r="A1470" s="14" t="s">
        <v>2225</v>
      </c>
      <c r="B1470" s="14">
        <v>8</v>
      </c>
      <c r="C1470" s="15" t="s">
        <v>2228</v>
      </c>
      <c r="D1470" s="14" t="s">
        <v>1745</v>
      </c>
      <c r="E1470" s="14" t="s">
        <v>1747</v>
      </c>
      <c r="F1470" s="14">
        <v>6589020</v>
      </c>
      <c r="G1470" s="14">
        <v>4612314</v>
      </c>
      <c r="H1470" s="37">
        <f>'Calculation Sheet'!N1470</f>
        <v>4612314</v>
      </c>
    </row>
    <row r="1471" spans="1:8" ht="30" x14ac:dyDescent="0.25">
      <c r="A1471" s="14" t="s">
        <v>2225</v>
      </c>
      <c r="B1471" s="14">
        <v>9</v>
      </c>
      <c r="C1471" s="15" t="s">
        <v>2226</v>
      </c>
      <c r="D1471" s="14" t="s">
        <v>1745</v>
      </c>
      <c r="E1471" s="14" t="s">
        <v>1746</v>
      </c>
      <c r="F1471" s="14">
        <v>6289542</v>
      </c>
      <c r="G1471" s="14">
        <v>5660588</v>
      </c>
      <c r="H1471" s="37">
        <f>'Calculation Sheet'!N1471</f>
        <v>5660588</v>
      </c>
    </row>
    <row r="1472" spans="1:8" ht="30" x14ac:dyDescent="0.25">
      <c r="A1472" s="14" t="s">
        <v>2225</v>
      </c>
      <c r="B1472" s="14">
        <v>8</v>
      </c>
      <c r="C1472" s="15" t="s">
        <v>2228</v>
      </c>
      <c r="D1472" s="14" t="s">
        <v>1749</v>
      </c>
      <c r="E1472" s="14" t="s">
        <v>1746</v>
      </c>
      <c r="F1472" s="14">
        <v>658902</v>
      </c>
      <c r="G1472" s="14">
        <v>461231.4</v>
      </c>
      <c r="H1472" s="37">
        <f>'Calculation Sheet'!N1472</f>
        <v>461231.4</v>
      </c>
    </row>
    <row r="1473" spans="1:8" x14ac:dyDescent="0.25">
      <c r="A1473" s="14" t="s">
        <v>2229</v>
      </c>
      <c r="B1473" s="14" t="s">
        <v>55</v>
      </c>
      <c r="C1473" s="15" t="s">
        <v>2230</v>
      </c>
      <c r="D1473" s="14" t="s">
        <v>1749</v>
      </c>
      <c r="E1473" s="14" t="s">
        <v>1746</v>
      </c>
      <c r="F1473" s="14">
        <v>2748</v>
      </c>
      <c r="G1473" s="14">
        <v>1923.6</v>
      </c>
      <c r="H1473" s="37">
        <f>'Calculation Sheet'!N1473</f>
        <v>1923.6</v>
      </c>
    </row>
    <row r="1474" spans="1:8" x14ac:dyDescent="0.25">
      <c r="A1474" s="14" t="s">
        <v>2229</v>
      </c>
      <c r="B1474" s="14" t="s">
        <v>89</v>
      </c>
      <c r="C1474" s="15" t="s">
        <v>2231</v>
      </c>
      <c r="D1474" s="14" t="s">
        <v>1745</v>
      </c>
      <c r="E1474" s="14" t="s">
        <v>1746</v>
      </c>
      <c r="F1474" s="14">
        <v>13104</v>
      </c>
      <c r="G1474" s="14">
        <v>11793.6</v>
      </c>
      <c r="H1474" s="37">
        <f>'Calculation Sheet'!N1474</f>
        <v>11793.6</v>
      </c>
    </row>
    <row r="1475" spans="1:8" x14ac:dyDescent="0.25">
      <c r="A1475" s="14" t="s">
        <v>2229</v>
      </c>
      <c r="B1475" s="14">
        <v>1</v>
      </c>
      <c r="C1475" s="15" t="s">
        <v>2232</v>
      </c>
      <c r="D1475" s="14" t="s">
        <v>1745</v>
      </c>
      <c r="E1475" s="14" t="s">
        <v>1747</v>
      </c>
      <c r="F1475" s="14">
        <v>49920</v>
      </c>
      <c r="G1475" s="14">
        <v>34944</v>
      </c>
      <c r="H1475" s="37">
        <f>'Calculation Sheet'!N1475</f>
        <v>34944</v>
      </c>
    </row>
    <row r="1476" spans="1:8" x14ac:dyDescent="0.25">
      <c r="A1476" s="14" t="s">
        <v>2229</v>
      </c>
      <c r="B1476" s="14" t="s">
        <v>73</v>
      </c>
      <c r="C1476" s="15" t="s">
        <v>2233</v>
      </c>
      <c r="D1476" s="14" t="s">
        <v>1749</v>
      </c>
      <c r="E1476" s="14" t="s">
        <v>1746</v>
      </c>
      <c r="F1476" s="14">
        <v>1998</v>
      </c>
      <c r="G1476" s="14">
        <v>1398.6</v>
      </c>
      <c r="H1476" s="37">
        <f>'Calculation Sheet'!N1476</f>
        <v>1398.6</v>
      </c>
    </row>
    <row r="1477" spans="1:8" x14ac:dyDescent="0.25">
      <c r="A1477" s="14" t="s">
        <v>2229</v>
      </c>
      <c r="B1477" s="14" t="s">
        <v>73</v>
      </c>
      <c r="C1477" s="15" t="s">
        <v>2233</v>
      </c>
      <c r="D1477" s="14" t="s">
        <v>1745</v>
      </c>
      <c r="E1477" s="14" t="s">
        <v>1747</v>
      </c>
      <c r="F1477" s="14">
        <v>19980</v>
      </c>
      <c r="G1477" s="14">
        <v>13986</v>
      </c>
      <c r="H1477" s="37">
        <f>'Calculation Sheet'!N1477</f>
        <v>13986</v>
      </c>
    </row>
    <row r="1478" spans="1:8" x14ac:dyDescent="0.25">
      <c r="A1478" s="14" t="s">
        <v>2229</v>
      </c>
      <c r="B1478" s="14">
        <v>1</v>
      </c>
      <c r="C1478" s="15" t="s">
        <v>2232</v>
      </c>
      <c r="D1478" s="14" t="s">
        <v>1752</v>
      </c>
      <c r="E1478" s="14" t="s">
        <v>1747</v>
      </c>
      <c r="F1478" s="14">
        <v>149760</v>
      </c>
      <c r="G1478" s="14">
        <v>104832</v>
      </c>
      <c r="H1478" s="37">
        <f>'Calculation Sheet'!N1478</f>
        <v>104832</v>
      </c>
    </row>
    <row r="1479" spans="1:8" x14ac:dyDescent="0.25">
      <c r="A1479" s="14" t="s">
        <v>2229</v>
      </c>
      <c r="B1479" s="14">
        <v>1</v>
      </c>
      <c r="C1479" s="15" t="s">
        <v>2232</v>
      </c>
      <c r="D1479" s="14" t="s">
        <v>1752</v>
      </c>
      <c r="E1479" s="14" t="s">
        <v>1753</v>
      </c>
      <c r="F1479" s="14">
        <v>149760</v>
      </c>
      <c r="G1479" s="14">
        <v>104832</v>
      </c>
      <c r="H1479" s="37">
        <f>'Calculation Sheet'!N1479</f>
        <v>104832</v>
      </c>
    </row>
    <row r="1480" spans="1:8" x14ac:dyDescent="0.25">
      <c r="A1480" s="14" t="s">
        <v>2229</v>
      </c>
      <c r="B1480" s="14">
        <v>1</v>
      </c>
      <c r="C1480" s="15" t="s">
        <v>2232</v>
      </c>
      <c r="D1480" s="14" t="s">
        <v>1745</v>
      </c>
      <c r="E1480" s="14" t="s">
        <v>1746</v>
      </c>
      <c r="F1480" s="14">
        <v>52416</v>
      </c>
      <c r="G1480" s="14">
        <v>36691.199999999997</v>
      </c>
      <c r="H1480" s="37">
        <f>'Calculation Sheet'!N1480</f>
        <v>36691.199999999997</v>
      </c>
    </row>
    <row r="1481" spans="1:8" x14ac:dyDescent="0.25">
      <c r="A1481" s="14" t="s">
        <v>2229</v>
      </c>
      <c r="B1481" s="14" t="s">
        <v>89</v>
      </c>
      <c r="C1481" s="15" t="s">
        <v>2231</v>
      </c>
      <c r="D1481" s="14" t="s">
        <v>1749</v>
      </c>
      <c r="E1481" s="14" t="s">
        <v>1746</v>
      </c>
      <c r="F1481" s="14">
        <v>1248</v>
      </c>
      <c r="G1481" s="14">
        <v>1123.2</v>
      </c>
      <c r="H1481" s="37">
        <f>'Calculation Sheet'!N1481</f>
        <v>1123.2</v>
      </c>
    </row>
    <row r="1482" spans="1:8" x14ac:dyDescent="0.25">
      <c r="A1482" s="14" t="s">
        <v>2229</v>
      </c>
      <c r="B1482" s="14" t="s">
        <v>89</v>
      </c>
      <c r="C1482" s="15" t="s">
        <v>2231</v>
      </c>
      <c r="D1482" s="14" t="s">
        <v>1752</v>
      </c>
      <c r="E1482" s="14" t="s">
        <v>1747</v>
      </c>
      <c r="F1482" s="14">
        <v>37440</v>
      </c>
      <c r="G1482" s="14">
        <v>33696</v>
      </c>
      <c r="H1482" s="37">
        <f>'Calculation Sheet'!N1482</f>
        <v>33696</v>
      </c>
    </row>
    <row r="1483" spans="1:8" x14ac:dyDescent="0.25">
      <c r="A1483" s="14" t="s">
        <v>2229</v>
      </c>
      <c r="B1483" s="14">
        <v>1</v>
      </c>
      <c r="C1483" s="15" t="s">
        <v>2232</v>
      </c>
      <c r="D1483" s="14" t="s">
        <v>1749</v>
      </c>
      <c r="E1483" s="14" t="s">
        <v>1746</v>
      </c>
      <c r="F1483" s="14">
        <v>4992</v>
      </c>
      <c r="G1483" s="14">
        <v>3494.4</v>
      </c>
      <c r="H1483" s="37">
        <f>'Calculation Sheet'!N1483</f>
        <v>3494.4</v>
      </c>
    </row>
    <row r="1484" spans="1:8" x14ac:dyDescent="0.25">
      <c r="A1484" s="14" t="s">
        <v>2229</v>
      </c>
      <c r="B1484" s="14" t="s">
        <v>73</v>
      </c>
      <c r="C1484" s="15" t="s">
        <v>2233</v>
      </c>
      <c r="D1484" s="14" t="s">
        <v>1745</v>
      </c>
      <c r="E1484" s="14" t="s">
        <v>1746</v>
      </c>
      <c r="F1484" s="14">
        <v>20979</v>
      </c>
      <c r="G1484" s="14">
        <v>14685.36</v>
      </c>
      <c r="H1484" s="37">
        <f>'Calculation Sheet'!N1484</f>
        <v>14685.36</v>
      </c>
    </row>
    <row r="1485" spans="1:8" x14ac:dyDescent="0.25">
      <c r="A1485" s="14" t="s">
        <v>2229</v>
      </c>
      <c r="B1485" s="14" t="s">
        <v>89</v>
      </c>
      <c r="C1485" s="15" t="s">
        <v>2231</v>
      </c>
      <c r="D1485" s="14" t="s">
        <v>1745</v>
      </c>
      <c r="E1485" s="14" t="s">
        <v>1747</v>
      </c>
      <c r="F1485" s="14">
        <v>12480</v>
      </c>
      <c r="G1485" s="14">
        <v>11232</v>
      </c>
      <c r="H1485" s="37">
        <f>'Calculation Sheet'!N1485</f>
        <v>11232</v>
      </c>
    </row>
    <row r="1486" spans="1:8" x14ac:dyDescent="0.25">
      <c r="A1486" s="14" t="s">
        <v>2229</v>
      </c>
      <c r="B1486" s="14" t="s">
        <v>89</v>
      </c>
      <c r="C1486" s="15" t="s">
        <v>2231</v>
      </c>
      <c r="D1486" s="14" t="s">
        <v>1752</v>
      </c>
      <c r="E1486" s="14" t="s">
        <v>1746</v>
      </c>
      <c r="F1486" s="14">
        <v>39312</v>
      </c>
      <c r="G1486" s="14">
        <v>35380.800000000003</v>
      </c>
      <c r="H1486" s="37">
        <f>'Calculation Sheet'!N1486</f>
        <v>35380.800000000003</v>
      </c>
    </row>
    <row r="1487" spans="1:8" x14ac:dyDescent="0.25">
      <c r="A1487" s="14" t="s">
        <v>2229</v>
      </c>
      <c r="B1487" s="14">
        <v>1</v>
      </c>
      <c r="C1487" s="15" t="s">
        <v>2232</v>
      </c>
      <c r="D1487" s="14" t="s">
        <v>1752</v>
      </c>
      <c r="E1487" s="14" t="s">
        <v>1746</v>
      </c>
      <c r="F1487" s="14">
        <v>157248</v>
      </c>
      <c r="G1487" s="14">
        <v>110073.60000000001</v>
      </c>
      <c r="H1487" s="37">
        <f>'Calculation Sheet'!N1487</f>
        <v>110073.60000000001</v>
      </c>
    </row>
    <row r="1488" spans="1:8" x14ac:dyDescent="0.25">
      <c r="A1488" s="14" t="s">
        <v>2229</v>
      </c>
      <c r="B1488" s="14" t="s">
        <v>55</v>
      </c>
      <c r="C1488" s="15" t="s">
        <v>2230</v>
      </c>
      <c r="D1488" s="14" t="s">
        <v>1745</v>
      </c>
      <c r="E1488" s="14" t="s">
        <v>1747</v>
      </c>
      <c r="F1488" s="14">
        <v>27480</v>
      </c>
      <c r="G1488" s="14">
        <v>19236</v>
      </c>
      <c r="H1488" s="37">
        <f>'Calculation Sheet'!N1488</f>
        <v>19236</v>
      </c>
    </row>
    <row r="1489" spans="1:8" x14ac:dyDescent="0.25">
      <c r="A1489" s="14" t="s">
        <v>2229</v>
      </c>
      <c r="B1489" s="14" t="s">
        <v>55</v>
      </c>
      <c r="C1489" s="15" t="s">
        <v>2230</v>
      </c>
      <c r="D1489" s="14" t="s">
        <v>1745</v>
      </c>
      <c r="E1489" s="14" t="s">
        <v>1746</v>
      </c>
      <c r="F1489" s="14">
        <v>28854</v>
      </c>
      <c r="G1489" s="14">
        <v>20197.8</v>
      </c>
      <c r="H1489" s="37">
        <f>'Calculation Sheet'!N1489</f>
        <v>20197.8</v>
      </c>
    </row>
    <row r="1490" spans="1:8" x14ac:dyDescent="0.25">
      <c r="A1490" s="14" t="s">
        <v>2234</v>
      </c>
      <c r="B1490" s="14" t="s">
        <v>20</v>
      </c>
      <c r="C1490" s="15" t="s">
        <v>2235</v>
      </c>
      <c r="D1490" s="14" t="s">
        <v>1749</v>
      </c>
      <c r="E1490" s="14" t="s">
        <v>1746</v>
      </c>
      <c r="F1490" s="14">
        <v>4668</v>
      </c>
      <c r="G1490" s="14">
        <v>3267.6</v>
      </c>
      <c r="H1490" s="37">
        <f>'Calculation Sheet'!N1490</f>
        <v>3267.6</v>
      </c>
    </row>
    <row r="1491" spans="1:8" x14ac:dyDescent="0.25">
      <c r="A1491" s="14" t="s">
        <v>2234</v>
      </c>
      <c r="B1491" s="14">
        <v>1</v>
      </c>
      <c r="C1491" s="15" t="s">
        <v>2236</v>
      </c>
      <c r="D1491" s="14" t="s">
        <v>1749</v>
      </c>
      <c r="E1491" s="14" t="s">
        <v>1746</v>
      </c>
      <c r="F1491" s="14">
        <v>8484</v>
      </c>
      <c r="G1491" s="14">
        <v>5938.8</v>
      </c>
      <c r="H1491" s="37">
        <f>'Calculation Sheet'!N1491</f>
        <v>5938.8</v>
      </c>
    </row>
    <row r="1492" spans="1:8" x14ac:dyDescent="0.25">
      <c r="A1492" s="14" t="s">
        <v>2234</v>
      </c>
      <c r="B1492" s="14">
        <v>1</v>
      </c>
      <c r="C1492" s="15" t="s">
        <v>2236</v>
      </c>
      <c r="D1492" s="14" t="s">
        <v>1745</v>
      </c>
      <c r="E1492" s="14" t="s">
        <v>1747</v>
      </c>
      <c r="F1492" s="14">
        <v>84840</v>
      </c>
      <c r="G1492" s="14">
        <v>59388</v>
      </c>
      <c r="H1492" s="37">
        <f>'Calculation Sheet'!N1492</f>
        <v>59388</v>
      </c>
    </row>
    <row r="1493" spans="1:8" x14ac:dyDescent="0.25">
      <c r="A1493" s="14" t="s">
        <v>2234</v>
      </c>
      <c r="B1493" s="14" t="s">
        <v>20</v>
      </c>
      <c r="C1493" s="15" t="s">
        <v>2235</v>
      </c>
      <c r="D1493" s="14" t="s">
        <v>1745</v>
      </c>
      <c r="E1493" s="14" t="s">
        <v>1746</v>
      </c>
      <c r="F1493" s="14">
        <v>49014</v>
      </c>
      <c r="G1493" s="14">
        <v>34309.800000000003</v>
      </c>
      <c r="H1493" s="37">
        <f>'Calculation Sheet'!N1493</f>
        <v>34309.800000000003</v>
      </c>
    </row>
    <row r="1494" spans="1:8" x14ac:dyDescent="0.25">
      <c r="A1494" s="14" t="s">
        <v>2234</v>
      </c>
      <c r="B1494" s="14">
        <v>9</v>
      </c>
      <c r="C1494" s="15" t="s">
        <v>2237</v>
      </c>
      <c r="D1494" s="14" t="s">
        <v>1752</v>
      </c>
      <c r="E1494" s="14" t="s">
        <v>1746</v>
      </c>
      <c r="F1494" s="14">
        <v>66906</v>
      </c>
      <c r="G1494" s="14">
        <v>60215.4</v>
      </c>
      <c r="H1494" s="37">
        <f>'Calculation Sheet'!N1494</f>
        <v>60215.4</v>
      </c>
    </row>
    <row r="1495" spans="1:8" x14ac:dyDescent="0.25">
      <c r="A1495" s="14" t="s">
        <v>2234</v>
      </c>
      <c r="B1495" s="14" t="s">
        <v>16</v>
      </c>
      <c r="C1495" s="15" t="s">
        <v>2238</v>
      </c>
      <c r="D1495" s="14" t="s">
        <v>1745</v>
      </c>
      <c r="E1495" s="14" t="s">
        <v>1747</v>
      </c>
      <c r="F1495" s="14">
        <v>33960</v>
      </c>
      <c r="G1495" s="14">
        <v>23772</v>
      </c>
      <c r="H1495" s="37">
        <f>'Calculation Sheet'!N1495</f>
        <v>23772</v>
      </c>
    </row>
    <row r="1496" spans="1:8" x14ac:dyDescent="0.25">
      <c r="A1496" s="14" t="s">
        <v>2234</v>
      </c>
      <c r="B1496" s="14">
        <v>9</v>
      </c>
      <c r="C1496" s="15" t="s">
        <v>2237</v>
      </c>
      <c r="D1496" s="14" t="s">
        <v>1752</v>
      </c>
      <c r="E1496" s="14" t="s">
        <v>1747</v>
      </c>
      <c r="F1496" s="14">
        <v>63720</v>
      </c>
      <c r="G1496" s="14">
        <v>57348</v>
      </c>
      <c r="H1496" s="37">
        <f>'Calculation Sheet'!N1496</f>
        <v>57348</v>
      </c>
    </row>
    <row r="1497" spans="1:8" x14ac:dyDescent="0.25">
      <c r="A1497" s="14" t="s">
        <v>2234</v>
      </c>
      <c r="B1497" s="14">
        <v>1</v>
      </c>
      <c r="C1497" s="15" t="s">
        <v>2236</v>
      </c>
      <c r="D1497" s="14" t="s">
        <v>1745</v>
      </c>
      <c r="E1497" s="14" t="s">
        <v>1746</v>
      </c>
      <c r="F1497" s="14">
        <v>89082</v>
      </c>
      <c r="G1497" s="14">
        <v>62357.4</v>
      </c>
      <c r="H1497" s="37">
        <f>'Calculation Sheet'!N1497</f>
        <v>62357.4</v>
      </c>
    </row>
    <row r="1498" spans="1:8" x14ac:dyDescent="0.25">
      <c r="A1498" s="14" t="s">
        <v>2234</v>
      </c>
      <c r="B1498" s="14">
        <v>9</v>
      </c>
      <c r="C1498" s="15" t="s">
        <v>2237</v>
      </c>
      <c r="D1498" s="14" t="s">
        <v>1745</v>
      </c>
      <c r="E1498" s="14" t="s">
        <v>1746</v>
      </c>
      <c r="F1498" s="14">
        <v>22302</v>
      </c>
      <c r="G1498" s="14">
        <v>20071.8</v>
      </c>
      <c r="H1498" s="37">
        <f>'Calculation Sheet'!N1498</f>
        <v>20071.8</v>
      </c>
    </row>
    <row r="1499" spans="1:8" x14ac:dyDescent="0.25">
      <c r="A1499" s="14" t="s">
        <v>2234</v>
      </c>
      <c r="B1499" s="14">
        <v>9</v>
      </c>
      <c r="C1499" s="15" t="s">
        <v>2237</v>
      </c>
      <c r="D1499" s="14" t="s">
        <v>1745</v>
      </c>
      <c r="E1499" s="14" t="s">
        <v>1747</v>
      </c>
      <c r="F1499" s="14">
        <v>21240</v>
      </c>
      <c r="G1499" s="14">
        <v>19116</v>
      </c>
      <c r="H1499" s="37">
        <f>'Calculation Sheet'!N1499</f>
        <v>19116</v>
      </c>
    </row>
    <row r="1500" spans="1:8" x14ac:dyDescent="0.25">
      <c r="A1500" s="14" t="s">
        <v>2234</v>
      </c>
      <c r="B1500" s="14" t="s">
        <v>16</v>
      </c>
      <c r="C1500" s="15" t="s">
        <v>2238</v>
      </c>
      <c r="D1500" s="14" t="s">
        <v>1749</v>
      </c>
      <c r="E1500" s="14" t="s">
        <v>1746</v>
      </c>
      <c r="F1500" s="14">
        <v>3396</v>
      </c>
      <c r="G1500" s="14">
        <v>2377.1999999999998</v>
      </c>
      <c r="H1500" s="37">
        <f>'Calculation Sheet'!N1500</f>
        <v>2377.1999999999998</v>
      </c>
    </row>
    <row r="1501" spans="1:8" x14ac:dyDescent="0.25">
      <c r="A1501" s="14" t="s">
        <v>2234</v>
      </c>
      <c r="B1501" s="14" t="s">
        <v>16</v>
      </c>
      <c r="C1501" s="15" t="s">
        <v>2238</v>
      </c>
      <c r="D1501" s="14" t="s">
        <v>1745</v>
      </c>
      <c r="E1501" s="14" t="s">
        <v>1746</v>
      </c>
      <c r="F1501" s="14">
        <v>35658</v>
      </c>
      <c r="G1501" s="14">
        <v>24960.6</v>
      </c>
      <c r="H1501" s="37">
        <f>'Calculation Sheet'!N1501</f>
        <v>24960.6</v>
      </c>
    </row>
    <row r="1502" spans="1:8" x14ac:dyDescent="0.25">
      <c r="A1502" s="14" t="s">
        <v>2234</v>
      </c>
      <c r="B1502" s="14">
        <v>1</v>
      </c>
      <c r="C1502" s="15" t="s">
        <v>2236</v>
      </c>
      <c r="D1502" s="14" t="s">
        <v>1752</v>
      </c>
      <c r="E1502" s="14" t="s">
        <v>1753</v>
      </c>
      <c r="F1502" s="14">
        <v>254520</v>
      </c>
      <c r="G1502" s="14">
        <v>178164</v>
      </c>
      <c r="H1502" s="37">
        <f>'Calculation Sheet'!N1502</f>
        <v>178164</v>
      </c>
    </row>
    <row r="1503" spans="1:8" x14ac:dyDescent="0.25">
      <c r="A1503" s="14" t="s">
        <v>2234</v>
      </c>
      <c r="B1503" s="14">
        <v>9</v>
      </c>
      <c r="C1503" s="15" t="s">
        <v>2237</v>
      </c>
      <c r="D1503" s="14" t="s">
        <v>1749</v>
      </c>
      <c r="E1503" s="14" t="s">
        <v>1746</v>
      </c>
      <c r="F1503" s="14">
        <v>2124</v>
      </c>
      <c r="G1503" s="14">
        <v>1911.6</v>
      </c>
      <c r="H1503" s="37">
        <f>'Calculation Sheet'!N1503</f>
        <v>1911.6</v>
      </c>
    </row>
    <row r="1504" spans="1:8" x14ac:dyDescent="0.25">
      <c r="A1504" s="14" t="s">
        <v>2234</v>
      </c>
      <c r="B1504" s="14">
        <v>1</v>
      </c>
      <c r="C1504" s="15" t="s">
        <v>2236</v>
      </c>
      <c r="D1504" s="14" t="s">
        <v>1752</v>
      </c>
      <c r="E1504" s="14" t="s">
        <v>1746</v>
      </c>
      <c r="F1504" s="14">
        <v>267246</v>
      </c>
      <c r="G1504" s="14">
        <v>187072.2</v>
      </c>
      <c r="H1504" s="37">
        <f>'Calculation Sheet'!N1504</f>
        <v>187072.2</v>
      </c>
    </row>
    <row r="1505" spans="1:8" x14ac:dyDescent="0.25">
      <c r="A1505" s="14" t="s">
        <v>2234</v>
      </c>
      <c r="B1505" s="14">
        <v>1</v>
      </c>
      <c r="C1505" s="15" t="s">
        <v>2236</v>
      </c>
      <c r="D1505" s="14" t="s">
        <v>1752</v>
      </c>
      <c r="E1505" s="14" t="s">
        <v>1747</v>
      </c>
      <c r="F1505" s="14">
        <v>254520</v>
      </c>
      <c r="G1505" s="14">
        <v>178164</v>
      </c>
      <c r="H1505" s="37">
        <f>'Calculation Sheet'!N1505</f>
        <v>178164</v>
      </c>
    </row>
    <row r="1506" spans="1:8" x14ac:dyDescent="0.25">
      <c r="A1506" s="14" t="s">
        <v>2234</v>
      </c>
      <c r="B1506" s="14" t="s">
        <v>20</v>
      </c>
      <c r="C1506" s="15" t="s">
        <v>2235</v>
      </c>
      <c r="D1506" s="14" t="s">
        <v>1745</v>
      </c>
      <c r="E1506" s="14" t="s">
        <v>1747</v>
      </c>
      <c r="F1506" s="14">
        <v>46680</v>
      </c>
      <c r="G1506" s="14">
        <v>32676</v>
      </c>
      <c r="H1506" s="37">
        <f>'Calculation Sheet'!N1506</f>
        <v>32676</v>
      </c>
    </row>
    <row r="1507" spans="1:8" x14ac:dyDescent="0.25">
      <c r="A1507" s="14" t="s">
        <v>2239</v>
      </c>
      <c r="B1507" s="14">
        <v>1</v>
      </c>
      <c r="C1507" s="15" t="s">
        <v>2240</v>
      </c>
      <c r="D1507" s="14" t="s">
        <v>1749</v>
      </c>
      <c r="E1507" s="14" t="s">
        <v>1746</v>
      </c>
      <c r="F1507" s="14">
        <v>13476</v>
      </c>
      <c r="G1507" s="14">
        <v>9433.2000000000007</v>
      </c>
      <c r="H1507" s="37">
        <f>'Calculation Sheet'!N1507</f>
        <v>9433.2000000000007</v>
      </c>
    </row>
    <row r="1508" spans="1:8" x14ac:dyDescent="0.25">
      <c r="A1508" s="14" t="s">
        <v>2239</v>
      </c>
      <c r="B1508" s="14" t="s">
        <v>195</v>
      </c>
      <c r="C1508" s="15" t="s">
        <v>2241</v>
      </c>
      <c r="D1508" s="14" t="s">
        <v>1745</v>
      </c>
      <c r="E1508" s="14" t="s">
        <v>1746</v>
      </c>
      <c r="F1508" s="14">
        <v>12600</v>
      </c>
      <c r="G1508" s="14">
        <v>8820</v>
      </c>
      <c r="H1508" s="37">
        <f>'Calculation Sheet'!N1508</f>
        <v>8820</v>
      </c>
    </row>
    <row r="1509" spans="1:8" x14ac:dyDescent="0.25">
      <c r="A1509" s="14" t="s">
        <v>2239</v>
      </c>
      <c r="B1509" s="14" t="s">
        <v>32</v>
      </c>
      <c r="C1509" s="15" t="s">
        <v>2242</v>
      </c>
      <c r="D1509" s="14" t="s">
        <v>1749</v>
      </c>
      <c r="E1509" s="14" t="s">
        <v>1746</v>
      </c>
      <c r="F1509" s="14">
        <v>1500</v>
      </c>
      <c r="G1509" s="14">
        <v>1350</v>
      </c>
      <c r="H1509" s="37">
        <f>'Calculation Sheet'!N1509</f>
        <v>1350</v>
      </c>
    </row>
    <row r="1510" spans="1:8" x14ac:dyDescent="0.25">
      <c r="A1510" s="14" t="s">
        <v>2239</v>
      </c>
      <c r="B1510" s="14" t="s">
        <v>32</v>
      </c>
      <c r="C1510" s="15" t="s">
        <v>2242</v>
      </c>
      <c r="D1510" s="14" t="s">
        <v>1745</v>
      </c>
      <c r="E1510" s="14" t="s">
        <v>1747</v>
      </c>
      <c r="F1510" s="14">
        <v>15000</v>
      </c>
      <c r="G1510" s="14">
        <v>13500</v>
      </c>
      <c r="H1510" s="37">
        <f>'Calculation Sheet'!N1510</f>
        <v>13500</v>
      </c>
    </row>
    <row r="1511" spans="1:8" x14ac:dyDescent="0.25">
      <c r="A1511" s="14" t="s">
        <v>2239</v>
      </c>
      <c r="B1511" s="14" t="s">
        <v>195</v>
      </c>
      <c r="C1511" s="15" t="s">
        <v>2241</v>
      </c>
      <c r="D1511" s="14" t="s">
        <v>1749</v>
      </c>
      <c r="E1511" s="14" t="s">
        <v>1746</v>
      </c>
      <c r="F1511" s="14">
        <v>1200</v>
      </c>
      <c r="G1511" s="14">
        <v>840</v>
      </c>
      <c r="H1511" s="37">
        <f>'Calculation Sheet'!N1511</f>
        <v>840</v>
      </c>
    </row>
    <row r="1512" spans="1:8" x14ac:dyDescent="0.25">
      <c r="A1512" s="14" t="s">
        <v>2239</v>
      </c>
      <c r="B1512" s="14" t="s">
        <v>39</v>
      </c>
      <c r="C1512" s="15" t="s">
        <v>2243</v>
      </c>
      <c r="D1512" s="14" t="s">
        <v>1745</v>
      </c>
      <c r="E1512" s="14" t="s">
        <v>1747</v>
      </c>
      <c r="F1512" s="14">
        <v>53940</v>
      </c>
      <c r="G1512" s="14">
        <v>48546</v>
      </c>
      <c r="H1512" s="37">
        <f>'Calculation Sheet'!N1512</f>
        <v>48546</v>
      </c>
    </row>
    <row r="1513" spans="1:8" x14ac:dyDescent="0.25">
      <c r="A1513" s="14" t="s">
        <v>2239</v>
      </c>
      <c r="B1513" s="14" t="s">
        <v>32</v>
      </c>
      <c r="C1513" s="15" t="s">
        <v>2242</v>
      </c>
      <c r="D1513" s="14" t="s">
        <v>1752</v>
      </c>
      <c r="E1513" s="14" t="s">
        <v>1746</v>
      </c>
      <c r="F1513" s="14">
        <v>47250</v>
      </c>
      <c r="G1513" s="14">
        <v>42525</v>
      </c>
      <c r="H1513" s="37">
        <f>'Calculation Sheet'!N1513</f>
        <v>42525</v>
      </c>
    </row>
    <row r="1514" spans="1:8" x14ac:dyDescent="0.25">
      <c r="A1514" s="14" t="s">
        <v>2239</v>
      </c>
      <c r="B1514" s="14" t="s">
        <v>39</v>
      </c>
      <c r="C1514" s="15" t="s">
        <v>2243</v>
      </c>
      <c r="D1514" s="14" t="s">
        <v>1752</v>
      </c>
      <c r="E1514" s="14" t="s">
        <v>1746</v>
      </c>
      <c r="F1514" s="14">
        <v>169911</v>
      </c>
      <c r="G1514" s="14">
        <v>152920.1</v>
      </c>
      <c r="H1514" s="37">
        <f>'Calculation Sheet'!N1514</f>
        <v>152920.1</v>
      </c>
    </row>
    <row r="1515" spans="1:8" x14ac:dyDescent="0.25">
      <c r="A1515" s="14" t="s">
        <v>2239</v>
      </c>
      <c r="B1515" s="14">
        <v>1</v>
      </c>
      <c r="C1515" s="15" t="s">
        <v>2240</v>
      </c>
      <c r="D1515" s="14" t="s">
        <v>1745</v>
      </c>
      <c r="E1515" s="14" t="s">
        <v>1747</v>
      </c>
      <c r="F1515" s="14">
        <v>134760</v>
      </c>
      <c r="G1515" s="14">
        <v>94332</v>
      </c>
      <c r="H1515" s="37">
        <f>'Calculation Sheet'!N1515</f>
        <v>94332</v>
      </c>
    </row>
    <row r="1516" spans="1:8" x14ac:dyDescent="0.25">
      <c r="A1516" s="14" t="s">
        <v>2239</v>
      </c>
      <c r="B1516" s="14" t="s">
        <v>122</v>
      </c>
      <c r="C1516" s="15" t="s">
        <v>2244</v>
      </c>
      <c r="D1516" s="14" t="s">
        <v>1745</v>
      </c>
      <c r="E1516" s="14" t="s">
        <v>1746</v>
      </c>
      <c r="F1516" s="14">
        <v>56637</v>
      </c>
      <c r="G1516" s="14">
        <v>39645.96</v>
      </c>
      <c r="H1516" s="37">
        <f>'Calculation Sheet'!N1516</f>
        <v>39645.96</v>
      </c>
    </row>
    <row r="1517" spans="1:8" x14ac:dyDescent="0.25">
      <c r="A1517" s="14" t="s">
        <v>2239</v>
      </c>
      <c r="B1517" s="14">
        <v>1</v>
      </c>
      <c r="C1517" s="15" t="s">
        <v>2240</v>
      </c>
      <c r="D1517" s="14" t="s">
        <v>1745</v>
      </c>
      <c r="E1517" s="14" t="s">
        <v>1746</v>
      </c>
      <c r="F1517" s="14">
        <v>141498</v>
      </c>
      <c r="G1517" s="14">
        <v>99048.6</v>
      </c>
      <c r="H1517" s="37">
        <f>'Calculation Sheet'!N1517</f>
        <v>99048.6</v>
      </c>
    </row>
    <row r="1518" spans="1:8" x14ac:dyDescent="0.25">
      <c r="A1518" s="14" t="s">
        <v>2239</v>
      </c>
      <c r="B1518" s="14" t="s">
        <v>28</v>
      </c>
      <c r="C1518" s="15" t="s">
        <v>2245</v>
      </c>
      <c r="D1518" s="14" t="s">
        <v>1745</v>
      </c>
      <c r="E1518" s="14" t="s">
        <v>1746</v>
      </c>
      <c r="F1518" s="14">
        <v>17325</v>
      </c>
      <c r="G1518" s="14">
        <v>12127.56</v>
      </c>
      <c r="H1518" s="37">
        <f>'Calculation Sheet'!N1518</f>
        <v>12127.56</v>
      </c>
    </row>
    <row r="1519" spans="1:8" x14ac:dyDescent="0.25">
      <c r="A1519" s="14" t="s">
        <v>2239</v>
      </c>
      <c r="B1519" s="14">
        <v>1</v>
      </c>
      <c r="C1519" s="15" t="s">
        <v>2240</v>
      </c>
      <c r="D1519" s="14" t="s">
        <v>1752</v>
      </c>
      <c r="E1519" s="14" t="s">
        <v>1753</v>
      </c>
      <c r="F1519" s="14">
        <v>404280</v>
      </c>
      <c r="G1519" s="14">
        <v>282996</v>
      </c>
      <c r="H1519" s="37">
        <f>'Calculation Sheet'!N1519</f>
        <v>282996</v>
      </c>
    </row>
    <row r="1520" spans="1:8" x14ac:dyDescent="0.25">
      <c r="A1520" s="14" t="s">
        <v>2239</v>
      </c>
      <c r="B1520" s="14" t="s">
        <v>28</v>
      </c>
      <c r="C1520" s="15" t="s">
        <v>2245</v>
      </c>
      <c r="D1520" s="14" t="s">
        <v>1749</v>
      </c>
      <c r="E1520" s="14" t="s">
        <v>1746</v>
      </c>
      <c r="F1520" s="14">
        <v>1650</v>
      </c>
      <c r="G1520" s="14">
        <v>1155</v>
      </c>
      <c r="H1520" s="37">
        <f>'Calculation Sheet'!N1520</f>
        <v>1155</v>
      </c>
    </row>
    <row r="1521" spans="1:8" x14ac:dyDescent="0.25">
      <c r="A1521" s="14" t="s">
        <v>2239</v>
      </c>
      <c r="B1521" s="14">
        <v>1</v>
      </c>
      <c r="C1521" s="15" t="s">
        <v>2240</v>
      </c>
      <c r="D1521" s="14" t="s">
        <v>1752</v>
      </c>
      <c r="E1521" s="14" t="s">
        <v>1747</v>
      </c>
      <c r="F1521" s="14">
        <v>404280</v>
      </c>
      <c r="G1521" s="14">
        <v>282996</v>
      </c>
      <c r="H1521" s="37">
        <f>'Calculation Sheet'!N1521</f>
        <v>282996</v>
      </c>
    </row>
    <row r="1522" spans="1:8" x14ac:dyDescent="0.25">
      <c r="A1522" s="14" t="s">
        <v>2239</v>
      </c>
      <c r="B1522" s="14">
        <v>2</v>
      </c>
      <c r="C1522" s="15" t="s">
        <v>2246</v>
      </c>
      <c r="D1522" s="14" t="s">
        <v>1745</v>
      </c>
      <c r="E1522" s="14" t="s">
        <v>1746</v>
      </c>
      <c r="F1522" s="14">
        <v>31437</v>
      </c>
      <c r="G1522" s="14">
        <v>22005.96</v>
      </c>
      <c r="H1522" s="37">
        <f>'Calculation Sheet'!N1522</f>
        <v>22005.96</v>
      </c>
    </row>
    <row r="1523" spans="1:8" x14ac:dyDescent="0.25">
      <c r="A1523" s="14" t="s">
        <v>2239</v>
      </c>
      <c r="B1523" s="14" t="s">
        <v>46</v>
      </c>
      <c r="C1523" s="15" t="s">
        <v>2247</v>
      </c>
      <c r="D1523" s="14" t="s">
        <v>1745</v>
      </c>
      <c r="E1523" s="14" t="s">
        <v>1746</v>
      </c>
      <c r="F1523" s="14">
        <v>77805</v>
      </c>
      <c r="G1523" s="14">
        <v>54463.56</v>
      </c>
      <c r="H1523" s="37">
        <f>'Calculation Sheet'!N1523</f>
        <v>54463.56</v>
      </c>
    </row>
    <row r="1524" spans="1:8" x14ac:dyDescent="0.25">
      <c r="A1524" s="14" t="s">
        <v>2239</v>
      </c>
      <c r="B1524" s="14" t="s">
        <v>195</v>
      </c>
      <c r="C1524" s="15" t="s">
        <v>2241</v>
      </c>
      <c r="D1524" s="14" t="s">
        <v>1745</v>
      </c>
      <c r="E1524" s="14" t="s">
        <v>1747</v>
      </c>
      <c r="F1524" s="14">
        <v>12000</v>
      </c>
      <c r="G1524" s="14">
        <v>8400</v>
      </c>
      <c r="H1524" s="37">
        <f>'Calculation Sheet'!N1524</f>
        <v>8400</v>
      </c>
    </row>
    <row r="1525" spans="1:8" x14ac:dyDescent="0.25">
      <c r="A1525" s="14" t="s">
        <v>2239</v>
      </c>
      <c r="B1525" s="14" t="s">
        <v>28</v>
      </c>
      <c r="C1525" s="15" t="s">
        <v>2245</v>
      </c>
      <c r="D1525" s="14" t="s">
        <v>1745</v>
      </c>
      <c r="E1525" s="14" t="s">
        <v>1747</v>
      </c>
      <c r="F1525" s="14">
        <v>16500</v>
      </c>
      <c r="G1525" s="14">
        <v>11550</v>
      </c>
      <c r="H1525" s="37">
        <f>'Calculation Sheet'!N1525</f>
        <v>11550</v>
      </c>
    </row>
    <row r="1526" spans="1:8" x14ac:dyDescent="0.25">
      <c r="A1526" s="14" t="s">
        <v>2239</v>
      </c>
      <c r="B1526" s="14" t="s">
        <v>46</v>
      </c>
      <c r="C1526" s="15" t="s">
        <v>2247</v>
      </c>
      <c r="D1526" s="14" t="s">
        <v>1745</v>
      </c>
      <c r="E1526" s="14" t="s">
        <v>1747</v>
      </c>
      <c r="F1526" s="14">
        <v>74100</v>
      </c>
      <c r="G1526" s="14">
        <v>51870</v>
      </c>
      <c r="H1526" s="37">
        <f>'Calculation Sheet'!N1526</f>
        <v>51870</v>
      </c>
    </row>
    <row r="1527" spans="1:8" x14ac:dyDescent="0.25">
      <c r="A1527" s="14" t="s">
        <v>2239</v>
      </c>
      <c r="B1527" s="14">
        <v>2</v>
      </c>
      <c r="C1527" s="15" t="s">
        <v>2246</v>
      </c>
      <c r="D1527" s="14" t="s">
        <v>1752</v>
      </c>
      <c r="E1527" s="14" t="s">
        <v>1747</v>
      </c>
      <c r="F1527" s="14">
        <v>89820</v>
      </c>
      <c r="G1527" s="14">
        <v>62874</v>
      </c>
      <c r="H1527" s="37">
        <f>'Calculation Sheet'!N1527</f>
        <v>62874</v>
      </c>
    </row>
    <row r="1528" spans="1:8" x14ac:dyDescent="0.25">
      <c r="A1528" s="14" t="s">
        <v>2239</v>
      </c>
      <c r="B1528" s="14" t="s">
        <v>46</v>
      </c>
      <c r="C1528" s="15" t="s">
        <v>2247</v>
      </c>
      <c r="D1528" s="14" t="s">
        <v>1749</v>
      </c>
      <c r="E1528" s="14" t="s">
        <v>1746</v>
      </c>
      <c r="F1528" s="14">
        <v>7410</v>
      </c>
      <c r="G1528" s="14">
        <v>5187</v>
      </c>
      <c r="H1528" s="37">
        <f>'Calculation Sheet'!N1528</f>
        <v>5187</v>
      </c>
    </row>
    <row r="1529" spans="1:8" x14ac:dyDescent="0.25">
      <c r="A1529" s="14" t="s">
        <v>2239</v>
      </c>
      <c r="B1529" s="14" t="s">
        <v>32</v>
      </c>
      <c r="C1529" s="15" t="s">
        <v>2242</v>
      </c>
      <c r="D1529" s="14" t="s">
        <v>1745</v>
      </c>
      <c r="E1529" s="14" t="s">
        <v>1746</v>
      </c>
      <c r="F1529" s="14">
        <v>15750</v>
      </c>
      <c r="G1529" s="14">
        <v>14175</v>
      </c>
      <c r="H1529" s="37">
        <f>'Calculation Sheet'!N1529</f>
        <v>14175</v>
      </c>
    </row>
    <row r="1530" spans="1:8" x14ac:dyDescent="0.25">
      <c r="A1530" s="14" t="s">
        <v>2239</v>
      </c>
      <c r="B1530" s="14" t="s">
        <v>122</v>
      </c>
      <c r="C1530" s="15" t="s">
        <v>2244</v>
      </c>
      <c r="D1530" s="14" t="s">
        <v>1745</v>
      </c>
      <c r="E1530" s="14" t="s">
        <v>1747</v>
      </c>
      <c r="F1530" s="14">
        <v>53940</v>
      </c>
      <c r="G1530" s="14">
        <v>37758</v>
      </c>
      <c r="H1530" s="37">
        <f>'Calculation Sheet'!N1530</f>
        <v>37758</v>
      </c>
    </row>
    <row r="1531" spans="1:8" x14ac:dyDescent="0.25">
      <c r="A1531" s="14" t="s">
        <v>2239</v>
      </c>
      <c r="B1531" s="14" t="s">
        <v>39</v>
      </c>
      <c r="C1531" s="15" t="s">
        <v>2243</v>
      </c>
      <c r="D1531" s="14" t="s">
        <v>1749</v>
      </c>
      <c r="E1531" s="14" t="s">
        <v>1746</v>
      </c>
      <c r="F1531" s="14">
        <v>5394</v>
      </c>
      <c r="G1531" s="14">
        <v>4854.6000000000004</v>
      </c>
      <c r="H1531" s="37">
        <f>'Calculation Sheet'!N1531</f>
        <v>4854.6000000000004</v>
      </c>
    </row>
    <row r="1532" spans="1:8" x14ac:dyDescent="0.25">
      <c r="A1532" s="14" t="s">
        <v>2239</v>
      </c>
      <c r="B1532" s="14" t="s">
        <v>39</v>
      </c>
      <c r="C1532" s="15" t="s">
        <v>2243</v>
      </c>
      <c r="D1532" s="14" t="s">
        <v>1752</v>
      </c>
      <c r="E1532" s="14" t="s">
        <v>1747</v>
      </c>
      <c r="F1532" s="14">
        <v>161820</v>
      </c>
      <c r="G1532" s="14">
        <v>145638</v>
      </c>
      <c r="H1532" s="37">
        <f>'Calculation Sheet'!N1532</f>
        <v>145638</v>
      </c>
    </row>
    <row r="1533" spans="1:8" x14ac:dyDescent="0.25">
      <c r="A1533" s="14" t="s">
        <v>2239</v>
      </c>
      <c r="B1533" s="14">
        <v>1</v>
      </c>
      <c r="C1533" s="15" t="s">
        <v>2240</v>
      </c>
      <c r="D1533" s="14" t="s">
        <v>1752</v>
      </c>
      <c r="E1533" s="14" t="s">
        <v>1746</v>
      </c>
      <c r="F1533" s="14">
        <v>424494</v>
      </c>
      <c r="G1533" s="14">
        <v>297145.8</v>
      </c>
      <c r="H1533" s="37">
        <f>'Calculation Sheet'!N1533</f>
        <v>297145.8</v>
      </c>
    </row>
    <row r="1534" spans="1:8" x14ac:dyDescent="0.25">
      <c r="A1534" s="14" t="s">
        <v>2239</v>
      </c>
      <c r="B1534" s="14" t="s">
        <v>32</v>
      </c>
      <c r="C1534" s="15" t="s">
        <v>2242</v>
      </c>
      <c r="D1534" s="14" t="s">
        <v>1752</v>
      </c>
      <c r="E1534" s="14" t="s">
        <v>1747</v>
      </c>
      <c r="F1534" s="14">
        <v>45000</v>
      </c>
      <c r="G1534" s="14">
        <v>40500</v>
      </c>
      <c r="H1534" s="37">
        <f>'Calculation Sheet'!N1534</f>
        <v>40500</v>
      </c>
    </row>
    <row r="1535" spans="1:8" x14ac:dyDescent="0.25">
      <c r="A1535" s="14" t="s">
        <v>2239</v>
      </c>
      <c r="B1535" s="14">
        <v>2</v>
      </c>
      <c r="C1535" s="15" t="s">
        <v>2246</v>
      </c>
      <c r="D1535" s="14" t="s">
        <v>1752</v>
      </c>
      <c r="E1535" s="14" t="s">
        <v>1753</v>
      </c>
      <c r="F1535" s="14">
        <v>89820</v>
      </c>
      <c r="G1535" s="14">
        <v>62874</v>
      </c>
      <c r="H1535" s="37">
        <f>'Calculation Sheet'!N1535</f>
        <v>62874</v>
      </c>
    </row>
    <row r="1536" spans="1:8" x14ac:dyDescent="0.25">
      <c r="A1536" s="14" t="s">
        <v>2239</v>
      </c>
      <c r="B1536" s="14">
        <v>2</v>
      </c>
      <c r="C1536" s="15" t="s">
        <v>2246</v>
      </c>
      <c r="D1536" s="14" t="s">
        <v>1749</v>
      </c>
      <c r="E1536" s="14" t="s">
        <v>1746</v>
      </c>
      <c r="F1536" s="14">
        <v>2994</v>
      </c>
      <c r="G1536" s="14">
        <v>2095.8000000000002</v>
      </c>
      <c r="H1536" s="37">
        <f>'Calculation Sheet'!N1536</f>
        <v>2095.8000000000002</v>
      </c>
    </row>
    <row r="1537" spans="1:8" x14ac:dyDescent="0.25">
      <c r="A1537" s="14" t="s">
        <v>2239</v>
      </c>
      <c r="B1537" s="14">
        <v>2</v>
      </c>
      <c r="C1537" s="15" t="s">
        <v>2246</v>
      </c>
      <c r="D1537" s="14" t="s">
        <v>1752</v>
      </c>
      <c r="E1537" s="14" t="s">
        <v>1746</v>
      </c>
      <c r="F1537" s="14">
        <v>94311</v>
      </c>
      <c r="G1537" s="14">
        <v>66017.88</v>
      </c>
      <c r="H1537" s="37">
        <f>'Calculation Sheet'!N1537</f>
        <v>66017.88</v>
      </c>
    </row>
    <row r="1538" spans="1:8" x14ac:dyDescent="0.25">
      <c r="A1538" s="14" t="s">
        <v>2239</v>
      </c>
      <c r="B1538" s="14">
        <v>2</v>
      </c>
      <c r="C1538" s="15" t="s">
        <v>2246</v>
      </c>
      <c r="D1538" s="14" t="s">
        <v>1745</v>
      </c>
      <c r="E1538" s="14" t="s">
        <v>1747</v>
      </c>
      <c r="F1538" s="14">
        <v>29940</v>
      </c>
      <c r="G1538" s="14">
        <v>20958</v>
      </c>
      <c r="H1538" s="37">
        <f>'Calculation Sheet'!N1538</f>
        <v>20958</v>
      </c>
    </row>
    <row r="1539" spans="1:8" x14ac:dyDescent="0.25">
      <c r="A1539" s="14" t="s">
        <v>2239</v>
      </c>
      <c r="B1539" s="14" t="s">
        <v>39</v>
      </c>
      <c r="C1539" s="15" t="s">
        <v>2243</v>
      </c>
      <c r="D1539" s="14" t="s">
        <v>1745</v>
      </c>
      <c r="E1539" s="14" t="s">
        <v>1746</v>
      </c>
      <c r="F1539" s="14">
        <v>56637</v>
      </c>
      <c r="G1539" s="14">
        <v>50973.36</v>
      </c>
      <c r="H1539" s="37">
        <f>'Calculation Sheet'!N1539</f>
        <v>50973.36</v>
      </c>
    </row>
    <row r="1540" spans="1:8" x14ac:dyDescent="0.25">
      <c r="A1540" s="14" t="s">
        <v>2239</v>
      </c>
      <c r="B1540" s="14" t="s">
        <v>122</v>
      </c>
      <c r="C1540" s="15" t="s">
        <v>2244</v>
      </c>
      <c r="D1540" s="14" t="s">
        <v>1749</v>
      </c>
      <c r="E1540" s="14" t="s">
        <v>1746</v>
      </c>
      <c r="F1540" s="14">
        <v>5394</v>
      </c>
      <c r="G1540" s="14">
        <v>3775.8</v>
      </c>
      <c r="H1540" s="37">
        <f>'Calculation Sheet'!N1540</f>
        <v>3775.8</v>
      </c>
    </row>
    <row r="1541" spans="1:8" x14ac:dyDescent="0.25">
      <c r="A1541" s="14" t="s">
        <v>2248</v>
      </c>
      <c r="B1541" s="14">
        <v>6</v>
      </c>
      <c r="C1541" s="15" t="s">
        <v>2249</v>
      </c>
      <c r="D1541" s="14" t="s">
        <v>1745</v>
      </c>
      <c r="E1541" s="14" t="s">
        <v>1746</v>
      </c>
      <c r="F1541" s="14">
        <v>167706</v>
      </c>
      <c r="G1541" s="14">
        <v>125779.6</v>
      </c>
      <c r="H1541" s="37">
        <f>'Calculation Sheet'!N1541</f>
        <v>125779.6</v>
      </c>
    </row>
    <row r="1542" spans="1:8" x14ac:dyDescent="0.25">
      <c r="A1542" s="14" t="s">
        <v>2248</v>
      </c>
      <c r="B1542" s="14">
        <v>6</v>
      </c>
      <c r="C1542" s="15" t="s">
        <v>2249</v>
      </c>
      <c r="D1542" s="14" t="s">
        <v>1752</v>
      </c>
      <c r="E1542" s="14" t="s">
        <v>1747</v>
      </c>
      <c r="F1542" s="14">
        <v>479160</v>
      </c>
      <c r="G1542" s="14">
        <v>359370</v>
      </c>
      <c r="H1542" s="37">
        <f>'Calculation Sheet'!N1542</f>
        <v>359370</v>
      </c>
    </row>
    <row r="1543" spans="1:8" x14ac:dyDescent="0.25">
      <c r="A1543" s="14" t="s">
        <v>2248</v>
      </c>
      <c r="B1543" s="14">
        <v>1</v>
      </c>
      <c r="C1543" s="15" t="s">
        <v>2250</v>
      </c>
      <c r="D1543" s="14" t="s">
        <v>1745</v>
      </c>
      <c r="E1543" s="14" t="s">
        <v>1746</v>
      </c>
      <c r="F1543" s="14">
        <v>110061</v>
      </c>
      <c r="G1543" s="14">
        <v>82545.72</v>
      </c>
      <c r="H1543" s="37">
        <f>'Calculation Sheet'!N1543</f>
        <v>82545.72</v>
      </c>
    </row>
    <row r="1544" spans="1:8" x14ac:dyDescent="0.25">
      <c r="A1544" s="14" t="s">
        <v>2248</v>
      </c>
      <c r="B1544" s="14">
        <v>6</v>
      </c>
      <c r="C1544" s="15" t="s">
        <v>2249</v>
      </c>
      <c r="D1544" s="14" t="s">
        <v>1752</v>
      </c>
      <c r="E1544" s="14" t="s">
        <v>1753</v>
      </c>
      <c r="F1544" s="14">
        <v>479160</v>
      </c>
      <c r="G1544" s="14">
        <v>359370</v>
      </c>
      <c r="H1544" s="37">
        <f>'Calculation Sheet'!N1544</f>
        <v>359370</v>
      </c>
    </row>
    <row r="1545" spans="1:8" ht="30" x14ac:dyDescent="0.25">
      <c r="A1545" s="14" t="s">
        <v>2248</v>
      </c>
      <c r="B1545" s="14" t="s">
        <v>583</v>
      </c>
      <c r="C1545" s="15" t="s">
        <v>2251</v>
      </c>
      <c r="D1545" s="14" t="s">
        <v>1745</v>
      </c>
      <c r="E1545" s="14" t="s">
        <v>1747</v>
      </c>
      <c r="F1545" s="14">
        <v>7980</v>
      </c>
      <c r="G1545" s="14">
        <v>5985</v>
      </c>
      <c r="H1545" s="37">
        <f>'Calculation Sheet'!N1545</f>
        <v>5985</v>
      </c>
    </row>
    <row r="1546" spans="1:8" x14ac:dyDescent="0.25">
      <c r="A1546" s="14" t="s">
        <v>2248</v>
      </c>
      <c r="B1546" s="14">
        <v>3</v>
      </c>
      <c r="C1546" s="15" t="s">
        <v>2252</v>
      </c>
      <c r="D1546" s="14" t="s">
        <v>1752</v>
      </c>
      <c r="E1546" s="14" t="s">
        <v>1753</v>
      </c>
      <c r="F1546" s="14">
        <v>59940</v>
      </c>
      <c r="G1546" s="14">
        <v>44955</v>
      </c>
      <c r="H1546" s="37">
        <f>'Calculation Sheet'!N1546</f>
        <v>44955</v>
      </c>
    </row>
    <row r="1547" spans="1:8" ht="30" x14ac:dyDescent="0.25">
      <c r="A1547" s="14" t="s">
        <v>2248</v>
      </c>
      <c r="B1547" s="14" t="s">
        <v>583</v>
      </c>
      <c r="C1547" s="15" t="s">
        <v>2251</v>
      </c>
      <c r="D1547" s="14" t="s">
        <v>1745</v>
      </c>
      <c r="E1547" s="14" t="s">
        <v>1746</v>
      </c>
      <c r="F1547" s="14">
        <v>8379</v>
      </c>
      <c r="G1547" s="14">
        <v>6284.28</v>
      </c>
      <c r="H1547" s="37">
        <f>'Calculation Sheet'!N1547</f>
        <v>6284.28</v>
      </c>
    </row>
    <row r="1548" spans="1:8" ht="30" x14ac:dyDescent="0.25">
      <c r="A1548" s="14" t="s">
        <v>2248</v>
      </c>
      <c r="B1548" s="14" t="s">
        <v>263</v>
      </c>
      <c r="C1548" s="15" t="s">
        <v>2253</v>
      </c>
      <c r="D1548" s="14" t="s">
        <v>1745</v>
      </c>
      <c r="E1548" s="14" t="s">
        <v>1746</v>
      </c>
      <c r="F1548" s="14">
        <v>5229</v>
      </c>
      <c r="G1548" s="14">
        <v>4706.16</v>
      </c>
      <c r="H1548" s="37">
        <f>'Calculation Sheet'!N1548</f>
        <v>4706.16</v>
      </c>
    </row>
    <row r="1549" spans="1:8" x14ac:dyDescent="0.25">
      <c r="A1549" s="14" t="s">
        <v>2248</v>
      </c>
      <c r="B1549" s="14" t="s">
        <v>371</v>
      </c>
      <c r="C1549" s="15" t="s">
        <v>2254</v>
      </c>
      <c r="D1549" s="14" t="s">
        <v>1745</v>
      </c>
      <c r="E1549" s="14" t="s">
        <v>1747</v>
      </c>
      <c r="F1549" s="14">
        <v>39960</v>
      </c>
      <c r="G1549" s="14">
        <v>35964</v>
      </c>
      <c r="H1549" s="37">
        <f>'Calculation Sheet'!N1549</f>
        <v>35964</v>
      </c>
    </row>
    <row r="1550" spans="1:8" x14ac:dyDescent="0.25">
      <c r="A1550" s="14" t="s">
        <v>2248</v>
      </c>
      <c r="B1550" s="14" t="s">
        <v>177</v>
      </c>
      <c r="C1550" s="15" t="s">
        <v>2255</v>
      </c>
      <c r="D1550" s="14" t="s">
        <v>1749</v>
      </c>
      <c r="E1550" s="14" t="s">
        <v>1746</v>
      </c>
      <c r="F1550" s="14">
        <v>6390</v>
      </c>
      <c r="G1550" s="14">
        <v>4792.5</v>
      </c>
      <c r="H1550" s="37">
        <f>'Calculation Sheet'!N1550</f>
        <v>4792.5</v>
      </c>
    </row>
    <row r="1551" spans="1:8" x14ac:dyDescent="0.25">
      <c r="A1551" s="14" t="s">
        <v>2248</v>
      </c>
      <c r="B1551" s="14">
        <v>18</v>
      </c>
      <c r="C1551" s="15" t="s">
        <v>2256</v>
      </c>
      <c r="D1551" s="14" t="s">
        <v>1749</v>
      </c>
      <c r="E1551" s="14" t="s">
        <v>1746</v>
      </c>
      <c r="F1551" s="14">
        <v>2622</v>
      </c>
      <c r="G1551" s="14">
        <v>2359.8000000000002</v>
      </c>
      <c r="H1551" s="37">
        <f>'Calculation Sheet'!N1551</f>
        <v>2359.8000000000002</v>
      </c>
    </row>
    <row r="1552" spans="1:8" ht="30" x14ac:dyDescent="0.25">
      <c r="A1552" s="14" t="s">
        <v>2248</v>
      </c>
      <c r="B1552" s="14" t="s">
        <v>608</v>
      </c>
      <c r="C1552" s="15" t="s">
        <v>2257</v>
      </c>
      <c r="D1552" s="14" t="s">
        <v>1749</v>
      </c>
      <c r="E1552" s="14" t="s">
        <v>1746</v>
      </c>
      <c r="F1552" s="14">
        <v>1098</v>
      </c>
      <c r="G1552" s="14">
        <v>823.5</v>
      </c>
      <c r="H1552" s="37">
        <f>'Calculation Sheet'!N1552</f>
        <v>823.5</v>
      </c>
    </row>
    <row r="1553" spans="1:8" x14ac:dyDescent="0.25">
      <c r="A1553" s="14" t="s">
        <v>2248</v>
      </c>
      <c r="B1553" s="14">
        <v>1</v>
      </c>
      <c r="C1553" s="15" t="s">
        <v>2250</v>
      </c>
      <c r="D1553" s="14" t="s">
        <v>1752</v>
      </c>
      <c r="E1553" s="14" t="s">
        <v>1747</v>
      </c>
      <c r="F1553" s="14">
        <v>314460</v>
      </c>
      <c r="G1553" s="14">
        <v>235845</v>
      </c>
      <c r="H1553" s="37">
        <f>'Calculation Sheet'!N1553</f>
        <v>235845</v>
      </c>
    </row>
    <row r="1554" spans="1:8" ht="30" x14ac:dyDescent="0.25">
      <c r="A1554" s="14" t="s">
        <v>2248</v>
      </c>
      <c r="B1554" s="14" t="s">
        <v>608</v>
      </c>
      <c r="C1554" s="15" t="s">
        <v>2257</v>
      </c>
      <c r="D1554" s="14" t="s">
        <v>1745</v>
      </c>
      <c r="E1554" s="14" t="s">
        <v>1747</v>
      </c>
      <c r="F1554" s="14">
        <v>10980</v>
      </c>
      <c r="G1554" s="14">
        <v>8235</v>
      </c>
      <c r="H1554" s="37">
        <f>'Calculation Sheet'!N1554</f>
        <v>8235</v>
      </c>
    </row>
    <row r="1555" spans="1:8" x14ac:dyDescent="0.25">
      <c r="A1555" s="14" t="s">
        <v>2248</v>
      </c>
      <c r="B1555" s="14" t="s">
        <v>241</v>
      </c>
      <c r="C1555" s="15" t="s">
        <v>2258</v>
      </c>
      <c r="D1555" s="14" t="s">
        <v>1745</v>
      </c>
      <c r="E1555" s="14" t="s">
        <v>1746</v>
      </c>
      <c r="F1555" s="14">
        <v>92232</v>
      </c>
      <c r="G1555" s="14">
        <v>69174</v>
      </c>
      <c r="H1555" s="37">
        <f>'Calculation Sheet'!N1555</f>
        <v>69174</v>
      </c>
    </row>
    <row r="1556" spans="1:8" x14ac:dyDescent="0.25">
      <c r="A1556" s="14" t="s">
        <v>2248</v>
      </c>
      <c r="B1556" s="14" t="s">
        <v>470</v>
      </c>
      <c r="C1556" s="15" t="s">
        <v>2259</v>
      </c>
      <c r="D1556" s="14" t="s">
        <v>1745</v>
      </c>
      <c r="E1556" s="14" t="s">
        <v>1746</v>
      </c>
      <c r="F1556" s="14">
        <v>44037</v>
      </c>
      <c r="G1556" s="14">
        <v>33027.72</v>
      </c>
      <c r="H1556" s="37">
        <f>'Calculation Sheet'!N1556</f>
        <v>33027.72</v>
      </c>
    </row>
    <row r="1557" spans="1:8" x14ac:dyDescent="0.25">
      <c r="A1557" s="14" t="s">
        <v>2248</v>
      </c>
      <c r="B1557" s="14" t="s">
        <v>371</v>
      </c>
      <c r="C1557" s="15" t="s">
        <v>2254</v>
      </c>
      <c r="D1557" s="14" t="s">
        <v>1749</v>
      </c>
      <c r="E1557" s="14" t="s">
        <v>1746</v>
      </c>
      <c r="F1557" s="14">
        <v>3996</v>
      </c>
      <c r="G1557" s="14">
        <v>3596.4</v>
      </c>
      <c r="H1557" s="37">
        <f>'Calculation Sheet'!N1557</f>
        <v>3596.4</v>
      </c>
    </row>
    <row r="1558" spans="1:8" x14ac:dyDescent="0.25">
      <c r="A1558" s="14" t="s">
        <v>2248</v>
      </c>
      <c r="B1558" s="14">
        <v>3</v>
      </c>
      <c r="C1558" s="15" t="s">
        <v>2252</v>
      </c>
      <c r="D1558" s="14" t="s">
        <v>1745</v>
      </c>
      <c r="E1558" s="14" t="s">
        <v>1747</v>
      </c>
      <c r="F1558" s="14">
        <v>19980</v>
      </c>
      <c r="G1558" s="14">
        <v>14985</v>
      </c>
      <c r="H1558" s="37">
        <f>'Calculation Sheet'!N1558</f>
        <v>14985</v>
      </c>
    </row>
    <row r="1559" spans="1:8" x14ac:dyDescent="0.25">
      <c r="A1559" s="14" t="s">
        <v>2248</v>
      </c>
      <c r="B1559" s="14" t="s">
        <v>371</v>
      </c>
      <c r="C1559" s="15" t="s">
        <v>2254</v>
      </c>
      <c r="D1559" s="14" t="s">
        <v>1745</v>
      </c>
      <c r="E1559" s="14" t="s">
        <v>1746</v>
      </c>
      <c r="F1559" s="14">
        <v>41958</v>
      </c>
      <c r="G1559" s="14">
        <v>37762.199999999997</v>
      </c>
      <c r="H1559" s="37">
        <f>'Calculation Sheet'!N1559</f>
        <v>37762.199999999997</v>
      </c>
    </row>
    <row r="1560" spans="1:8" x14ac:dyDescent="0.25">
      <c r="A1560" s="14" t="s">
        <v>2248</v>
      </c>
      <c r="B1560" s="14">
        <v>3</v>
      </c>
      <c r="C1560" s="15" t="s">
        <v>2252</v>
      </c>
      <c r="D1560" s="14" t="s">
        <v>1752</v>
      </c>
      <c r="E1560" s="14" t="s">
        <v>1746</v>
      </c>
      <c r="F1560" s="14">
        <v>62937</v>
      </c>
      <c r="G1560" s="14">
        <v>47202.84</v>
      </c>
      <c r="H1560" s="37">
        <f>'Calculation Sheet'!N1560</f>
        <v>47202.84</v>
      </c>
    </row>
    <row r="1561" spans="1:8" ht="30" x14ac:dyDescent="0.25">
      <c r="A1561" s="14" t="s">
        <v>2248</v>
      </c>
      <c r="B1561" s="14" t="s">
        <v>608</v>
      </c>
      <c r="C1561" s="15" t="s">
        <v>2257</v>
      </c>
      <c r="D1561" s="14" t="s">
        <v>1745</v>
      </c>
      <c r="E1561" s="14" t="s">
        <v>1746</v>
      </c>
      <c r="F1561" s="14">
        <v>11529</v>
      </c>
      <c r="G1561" s="14">
        <v>8646.7199999999993</v>
      </c>
      <c r="H1561" s="37">
        <f>'Calculation Sheet'!N1561</f>
        <v>8646.7199999999993</v>
      </c>
    </row>
    <row r="1562" spans="1:8" ht="30" x14ac:dyDescent="0.25">
      <c r="A1562" s="14" t="s">
        <v>2248</v>
      </c>
      <c r="B1562" s="14" t="s">
        <v>583</v>
      </c>
      <c r="C1562" s="15" t="s">
        <v>2251</v>
      </c>
      <c r="D1562" s="14" t="s">
        <v>1749</v>
      </c>
      <c r="E1562" s="14" t="s">
        <v>1746</v>
      </c>
      <c r="F1562" s="14">
        <v>798</v>
      </c>
      <c r="G1562" s="14">
        <v>598.5</v>
      </c>
      <c r="H1562" s="37">
        <f>'Calculation Sheet'!N1562</f>
        <v>598.5</v>
      </c>
    </row>
    <row r="1563" spans="1:8" x14ac:dyDescent="0.25">
      <c r="A1563" s="14" t="s">
        <v>2248</v>
      </c>
      <c r="B1563" s="14">
        <v>3</v>
      </c>
      <c r="C1563" s="15" t="s">
        <v>2252</v>
      </c>
      <c r="D1563" s="14" t="s">
        <v>1745</v>
      </c>
      <c r="E1563" s="14" t="s">
        <v>1746</v>
      </c>
      <c r="F1563" s="14">
        <v>20979</v>
      </c>
      <c r="G1563" s="14">
        <v>15734.28</v>
      </c>
      <c r="H1563" s="37">
        <f>'Calculation Sheet'!N1563</f>
        <v>15734.28</v>
      </c>
    </row>
    <row r="1564" spans="1:8" x14ac:dyDescent="0.25">
      <c r="A1564" s="14" t="s">
        <v>2248</v>
      </c>
      <c r="B1564" s="14">
        <v>18</v>
      </c>
      <c r="C1564" s="15" t="s">
        <v>2256</v>
      </c>
      <c r="D1564" s="14" t="s">
        <v>1745</v>
      </c>
      <c r="E1564" s="14" t="s">
        <v>1746</v>
      </c>
      <c r="F1564" s="14">
        <v>27531</v>
      </c>
      <c r="G1564" s="14">
        <v>24777.96</v>
      </c>
      <c r="H1564" s="37">
        <f>'Calculation Sheet'!N1564</f>
        <v>24777.96</v>
      </c>
    </row>
    <row r="1565" spans="1:8" x14ac:dyDescent="0.25">
      <c r="A1565" s="14" t="s">
        <v>2248</v>
      </c>
      <c r="B1565" s="14">
        <v>18</v>
      </c>
      <c r="C1565" s="15" t="s">
        <v>2256</v>
      </c>
      <c r="D1565" s="14" t="s">
        <v>1745</v>
      </c>
      <c r="E1565" s="14" t="s">
        <v>1747</v>
      </c>
      <c r="F1565" s="14">
        <v>26220</v>
      </c>
      <c r="G1565" s="14">
        <v>23598</v>
      </c>
      <c r="H1565" s="37">
        <f>'Calculation Sheet'!N1565</f>
        <v>23598</v>
      </c>
    </row>
    <row r="1566" spans="1:8" x14ac:dyDescent="0.25">
      <c r="A1566" s="14" t="s">
        <v>2248</v>
      </c>
      <c r="B1566" s="14" t="s">
        <v>241</v>
      </c>
      <c r="C1566" s="15" t="s">
        <v>2258</v>
      </c>
      <c r="D1566" s="14" t="s">
        <v>1745</v>
      </c>
      <c r="E1566" s="14" t="s">
        <v>1747</v>
      </c>
      <c r="F1566" s="14">
        <v>87840</v>
      </c>
      <c r="G1566" s="14">
        <v>65880</v>
      </c>
      <c r="H1566" s="37">
        <f>'Calculation Sheet'!N1566</f>
        <v>65880</v>
      </c>
    </row>
    <row r="1567" spans="1:8" x14ac:dyDescent="0.25">
      <c r="A1567" s="14" t="s">
        <v>2248</v>
      </c>
      <c r="B1567" s="14">
        <v>6</v>
      </c>
      <c r="C1567" s="15" t="s">
        <v>2249</v>
      </c>
      <c r="D1567" s="14" t="s">
        <v>1749</v>
      </c>
      <c r="E1567" s="14" t="s">
        <v>1746</v>
      </c>
      <c r="F1567" s="14">
        <v>15972</v>
      </c>
      <c r="G1567" s="14">
        <v>11979</v>
      </c>
      <c r="H1567" s="37">
        <f>'Calculation Sheet'!N1567</f>
        <v>11979</v>
      </c>
    </row>
    <row r="1568" spans="1:8" x14ac:dyDescent="0.25">
      <c r="A1568" s="14" t="s">
        <v>2248</v>
      </c>
      <c r="B1568" s="14" t="s">
        <v>470</v>
      </c>
      <c r="C1568" s="15" t="s">
        <v>2259</v>
      </c>
      <c r="D1568" s="14" t="s">
        <v>1749</v>
      </c>
      <c r="E1568" s="14" t="s">
        <v>1746</v>
      </c>
      <c r="F1568" s="14">
        <v>4194</v>
      </c>
      <c r="G1568" s="14">
        <v>3145.5</v>
      </c>
      <c r="H1568" s="37">
        <f>'Calculation Sheet'!N1568</f>
        <v>3145.5</v>
      </c>
    </row>
    <row r="1569" spans="1:8" x14ac:dyDescent="0.25">
      <c r="A1569" s="14" t="s">
        <v>2248</v>
      </c>
      <c r="B1569" s="14" t="s">
        <v>470</v>
      </c>
      <c r="C1569" s="15" t="s">
        <v>2259</v>
      </c>
      <c r="D1569" s="14" t="s">
        <v>1745</v>
      </c>
      <c r="E1569" s="14" t="s">
        <v>1747</v>
      </c>
      <c r="F1569" s="14">
        <v>41940</v>
      </c>
      <c r="G1569" s="14">
        <v>31455</v>
      </c>
      <c r="H1569" s="37">
        <f>'Calculation Sheet'!N1569</f>
        <v>31455</v>
      </c>
    </row>
    <row r="1570" spans="1:8" x14ac:dyDescent="0.25">
      <c r="A1570" s="14" t="s">
        <v>2248</v>
      </c>
      <c r="B1570" s="14">
        <v>1</v>
      </c>
      <c r="C1570" s="15" t="s">
        <v>2250</v>
      </c>
      <c r="D1570" s="14" t="s">
        <v>1745</v>
      </c>
      <c r="E1570" s="14" t="s">
        <v>1747</v>
      </c>
      <c r="F1570" s="14">
        <v>104820</v>
      </c>
      <c r="G1570" s="14">
        <v>78615</v>
      </c>
      <c r="H1570" s="37">
        <f>'Calculation Sheet'!N1570</f>
        <v>78615</v>
      </c>
    </row>
    <row r="1571" spans="1:8" x14ac:dyDescent="0.25">
      <c r="A1571" s="14" t="s">
        <v>2248</v>
      </c>
      <c r="B1571" s="14">
        <v>19</v>
      </c>
      <c r="C1571" s="15" t="s">
        <v>2260</v>
      </c>
      <c r="D1571" s="14" t="s">
        <v>1749</v>
      </c>
      <c r="E1571" s="14" t="s">
        <v>1746</v>
      </c>
      <c r="F1571" s="14">
        <v>5766</v>
      </c>
      <c r="G1571" s="14">
        <v>4324.5</v>
      </c>
      <c r="H1571" s="37">
        <f>'Calculation Sheet'!N1571</f>
        <v>4324.5</v>
      </c>
    </row>
    <row r="1572" spans="1:8" ht="30" x14ac:dyDescent="0.25">
      <c r="A1572" s="14" t="s">
        <v>2248</v>
      </c>
      <c r="B1572" s="14" t="s">
        <v>263</v>
      </c>
      <c r="C1572" s="15" t="s">
        <v>2253</v>
      </c>
      <c r="D1572" s="14" t="s">
        <v>1745</v>
      </c>
      <c r="E1572" s="14" t="s">
        <v>1747</v>
      </c>
      <c r="F1572" s="14">
        <v>4980</v>
      </c>
      <c r="G1572" s="14">
        <v>4482</v>
      </c>
      <c r="H1572" s="37">
        <f>'Calculation Sheet'!N1572</f>
        <v>4482</v>
      </c>
    </row>
    <row r="1573" spans="1:8" x14ac:dyDescent="0.25">
      <c r="A1573" s="14" t="s">
        <v>2248</v>
      </c>
      <c r="B1573" s="14">
        <v>19</v>
      </c>
      <c r="C1573" s="15" t="s">
        <v>2260</v>
      </c>
      <c r="D1573" s="14" t="s">
        <v>1745</v>
      </c>
      <c r="E1573" s="14" t="s">
        <v>1746</v>
      </c>
      <c r="F1573" s="14">
        <v>60543</v>
      </c>
      <c r="G1573" s="14">
        <v>45407.28</v>
      </c>
      <c r="H1573" s="37">
        <f>'Calculation Sheet'!N1573</f>
        <v>45407.28</v>
      </c>
    </row>
    <row r="1574" spans="1:8" x14ac:dyDescent="0.25">
      <c r="A1574" s="14" t="s">
        <v>2248</v>
      </c>
      <c r="B1574" s="14">
        <v>6</v>
      </c>
      <c r="C1574" s="15" t="s">
        <v>2249</v>
      </c>
      <c r="D1574" s="14" t="s">
        <v>1745</v>
      </c>
      <c r="E1574" s="14" t="s">
        <v>1747</v>
      </c>
      <c r="F1574" s="14">
        <v>159720</v>
      </c>
      <c r="G1574" s="14">
        <v>119790</v>
      </c>
      <c r="H1574" s="37">
        <f>'Calculation Sheet'!N1574</f>
        <v>119790</v>
      </c>
    </row>
    <row r="1575" spans="1:8" x14ac:dyDescent="0.25">
      <c r="A1575" s="14" t="s">
        <v>2248</v>
      </c>
      <c r="B1575" s="14">
        <v>3</v>
      </c>
      <c r="C1575" s="15" t="s">
        <v>2252</v>
      </c>
      <c r="D1575" s="14" t="s">
        <v>1749</v>
      </c>
      <c r="E1575" s="14" t="s">
        <v>1746</v>
      </c>
      <c r="F1575" s="14">
        <v>1998</v>
      </c>
      <c r="G1575" s="14">
        <v>1498.5</v>
      </c>
      <c r="H1575" s="37">
        <f>'Calculation Sheet'!N1575</f>
        <v>1498.5</v>
      </c>
    </row>
    <row r="1576" spans="1:8" x14ac:dyDescent="0.25">
      <c r="A1576" s="14" t="s">
        <v>2248</v>
      </c>
      <c r="B1576" s="14">
        <v>6</v>
      </c>
      <c r="C1576" s="15" t="s">
        <v>2249</v>
      </c>
      <c r="D1576" s="14" t="s">
        <v>1752</v>
      </c>
      <c r="E1576" s="14" t="s">
        <v>1746</v>
      </c>
      <c r="F1576" s="14">
        <v>503118</v>
      </c>
      <c r="G1576" s="14">
        <v>377338.7</v>
      </c>
      <c r="H1576" s="37">
        <f>'Calculation Sheet'!N1576</f>
        <v>377338.7</v>
      </c>
    </row>
    <row r="1577" spans="1:8" x14ac:dyDescent="0.25">
      <c r="A1577" s="14" t="s">
        <v>2248</v>
      </c>
      <c r="B1577" s="14">
        <v>1</v>
      </c>
      <c r="C1577" s="15" t="s">
        <v>2250</v>
      </c>
      <c r="D1577" s="14" t="s">
        <v>1752</v>
      </c>
      <c r="E1577" s="14" t="s">
        <v>1746</v>
      </c>
      <c r="F1577" s="14">
        <v>330183</v>
      </c>
      <c r="G1577" s="14">
        <v>247637.2</v>
      </c>
      <c r="H1577" s="37">
        <f>'Calculation Sheet'!N1577</f>
        <v>247637.2</v>
      </c>
    </row>
    <row r="1578" spans="1:8" x14ac:dyDescent="0.25">
      <c r="A1578" s="14" t="s">
        <v>2248</v>
      </c>
      <c r="B1578" s="14" t="s">
        <v>177</v>
      </c>
      <c r="C1578" s="15" t="s">
        <v>2255</v>
      </c>
      <c r="D1578" s="14" t="s">
        <v>1745</v>
      </c>
      <c r="E1578" s="14" t="s">
        <v>1747</v>
      </c>
      <c r="F1578" s="14">
        <v>63900</v>
      </c>
      <c r="G1578" s="14">
        <v>47925</v>
      </c>
      <c r="H1578" s="37">
        <f>'Calculation Sheet'!N1578</f>
        <v>47925</v>
      </c>
    </row>
    <row r="1579" spans="1:8" x14ac:dyDescent="0.25">
      <c r="A1579" s="14" t="s">
        <v>2248</v>
      </c>
      <c r="B1579" s="14">
        <v>3</v>
      </c>
      <c r="C1579" s="15" t="s">
        <v>2252</v>
      </c>
      <c r="D1579" s="14" t="s">
        <v>1752</v>
      </c>
      <c r="E1579" s="14" t="s">
        <v>1747</v>
      </c>
      <c r="F1579" s="14">
        <v>59940</v>
      </c>
      <c r="G1579" s="14">
        <v>44955</v>
      </c>
      <c r="H1579" s="37">
        <f>'Calculation Sheet'!N1579</f>
        <v>44955</v>
      </c>
    </row>
    <row r="1580" spans="1:8" x14ac:dyDescent="0.25">
      <c r="A1580" s="14" t="s">
        <v>2248</v>
      </c>
      <c r="B1580" s="14">
        <v>1</v>
      </c>
      <c r="C1580" s="15" t="s">
        <v>2250</v>
      </c>
      <c r="D1580" s="14" t="s">
        <v>1752</v>
      </c>
      <c r="E1580" s="14" t="s">
        <v>1753</v>
      </c>
      <c r="F1580" s="14">
        <v>314460</v>
      </c>
      <c r="G1580" s="14">
        <v>235845</v>
      </c>
      <c r="H1580" s="37">
        <f>'Calculation Sheet'!N1580</f>
        <v>235845</v>
      </c>
    </row>
    <row r="1581" spans="1:8" x14ac:dyDescent="0.25">
      <c r="A1581" s="14" t="s">
        <v>2248</v>
      </c>
      <c r="B1581" s="14">
        <v>1</v>
      </c>
      <c r="C1581" s="15" t="s">
        <v>2250</v>
      </c>
      <c r="D1581" s="14" t="s">
        <v>1749</v>
      </c>
      <c r="E1581" s="14" t="s">
        <v>1746</v>
      </c>
      <c r="F1581" s="14">
        <v>10482</v>
      </c>
      <c r="G1581" s="14">
        <v>7861.5</v>
      </c>
      <c r="H1581" s="37">
        <f>'Calculation Sheet'!N1581</f>
        <v>7861.5</v>
      </c>
    </row>
    <row r="1582" spans="1:8" x14ac:dyDescent="0.25">
      <c r="A1582" s="14" t="s">
        <v>2248</v>
      </c>
      <c r="B1582" s="14" t="s">
        <v>177</v>
      </c>
      <c r="C1582" s="15" t="s">
        <v>2255</v>
      </c>
      <c r="D1582" s="14" t="s">
        <v>1745</v>
      </c>
      <c r="E1582" s="14" t="s">
        <v>1746</v>
      </c>
      <c r="F1582" s="14">
        <v>67095</v>
      </c>
      <c r="G1582" s="14">
        <v>50321.279999999999</v>
      </c>
      <c r="H1582" s="37">
        <f>'Calculation Sheet'!N1582</f>
        <v>50321.279999999999</v>
      </c>
    </row>
    <row r="1583" spans="1:8" x14ac:dyDescent="0.25">
      <c r="A1583" s="14" t="s">
        <v>2248</v>
      </c>
      <c r="B1583" s="14" t="s">
        <v>241</v>
      </c>
      <c r="C1583" s="15" t="s">
        <v>2258</v>
      </c>
      <c r="D1583" s="14" t="s">
        <v>1749</v>
      </c>
      <c r="E1583" s="14" t="s">
        <v>1746</v>
      </c>
      <c r="F1583" s="14">
        <v>8784</v>
      </c>
      <c r="G1583" s="14">
        <v>6588</v>
      </c>
      <c r="H1583" s="37">
        <f>'Calculation Sheet'!N1583</f>
        <v>6588</v>
      </c>
    </row>
    <row r="1584" spans="1:8" ht="30" x14ac:dyDescent="0.25">
      <c r="A1584" s="14" t="s">
        <v>2248</v>
      </c>
      <c r="B1584" s="14" t="s">
        <v>263</v>
      </c>
      <c r="C1584" s="15" t="s">
        <v>2253</v>
      </c>
      <c r="D1584" s="14" t="s">
        <v>1749</v>
      </c>
      <c r="E1584" s="14" t="s">
        <v>1746</v>
      </c>
      <c r="F1584" s="14">
        <v>498</v>
      </c>
      <c r="G1584" s="14">
        <v>448.2</v>
      </c>
      <c r="H1584" s="37">
        <f>'Calculation Sheet'!N1584</f>
        <v>448.2</v>
      </c>
    </row>
    <row r="1585" spans="1:8" x14ac:dyDescent="0.25">
      <c r="A1585" s="14" t="s">
        <v>2248</v>
      </c>
      <c r="B1585" s="14">
        <v>19</v>
      </c>
      <c r="C1585" s="15" t="s">
        <v>2260</v>
      </c>
      <c r="D1585" s="14" t="s">
        <v>1745</v>
      </c>
      <c r="E1585" s="14" t="s">
        <v>1747</v>
      </c>
      <c r="F1585" s="14">
        <v>57660</v>
      </c>
      <c r="G1585" s="14">
        <v>43245</v>
      </c>
      <c r="H1585" s="37">
        <f>'Calculation Sheet'!N1585</f>
        <v>43245</v>
      </c>
    </row>
    <row r="1586" spans="1:8" x14ac:dyDescent="0.25">
      <c r="A1586" s="14" t="s">
        <v>2261</v>
      </c>
      <c r="B1586" s="14">
        <v>4</v>
      </c>
      <c r="C1586" s="15" t="s">
        <v>2262</v>
      </c>
      <c r="D1586" s="14" t="s">
        <v>1745</v>
      </c>
      <c r="E1586" s="14" t="s">
        <v>1746</v>
      </c>
      <c r="F1586" s="14">
        <v>28854</v>
      </c>
      <c r="G1586" s="14">
        <v>21640.560000000001</v>
      </c>
      <c r="H1586" s="37">
        <f>'Calculation Sheet'!N1586</f>
        <v>21640.560000000001</v>
      </c>
    </row>
    <row r="1587" spans="1:8" x14ac:dyDescent="0.25">
      <c r="A1587" s="14" t="s">
        <v>2261</v>
      </c>
      <c r="B1587" s="14">
        <v>6</v>
      </c>
      <c r="C1587" s="15" t="s">
        <v>2263</v>
      </c>
      <c r="D1587" s="14" t="s">
        <v>1749</v>
      </c>
      <c r="E1587" s="14" t="s">
        <v>1746</v>
      </c>
      <c r="F1587" s="14">
        <v>1998</v>
      </c>
      <c r="G1587" s="14">
        <v>1498.5</v>
      </c>
      <c r="H1587" s="37">
        <f>'Calculation Sheet'!N1587</f>
        <v>1498.5</v>
      </c>
    </row>
    <row r="1588" spans="1:8" x14ac:dyDescent="0.25">
      <c r="A1588" s="14" t="s">
        <v>2261</v>
      </c>
      <c r="B1588" s="14">
        <v>5</v>
      </c>
      <c r="C1588" s="15" t="s">
        <v>2264</v>
      </c>
      <c r="D1588" s="14" t="s">
        <v>1749</v>
      </c>
      <c r="E1588" s="14" t="s">
        <v>1746</v>
      </c>
      <c r="F1588" s="14">
        <v>1248</v>
      </c>
      <c r="G1588" s="14">
        <v>1123.2</v>
      </c>
      <c r="H1588" s="37">
        <f>'Calculation Sheet'!N1588</f>
        <v>1123.2</v>
      </c>
    </row>
    <row r="1589" spans="1:8" x14ac:dyDescent="0.25">
      <c r="A1589" s="14" t="s">
        <v>2261</v>
      </c>
      <c r="B1589" s="14">
        <v>6</v>
      </c>
      <c r="C1589" s="15" t="s">
        <v>2263</v>
      </c>
      <c r="D1589" s="14" t="s">
        <v>1745</v>
      </c>
      <c r="E1589" s="14" t="s">
        <v>1747</v>
      </c>
      <c r="F1589" s="14">
        <v>19980</v>
      </c>
      <c r="G1589" s="14">
        <v>14985</v>
      </c>
      <c r="H1589" s="37">
        <f>'Calculation Sheet'!N1589</f>
        <v>14985</v>
      </c>
    </row>
    <row r="1590" spans="1:8" x14ac:dyDescent="0.25">
      <c r="A1590" s="14" t="s">
        <v>2261</v>
      </c>
      <c r="B1590" s="14">
        <v>1</v>
      </c>
      <c r="C1590" s="15" t="s">
        <v>2265</v>
      </c>
      <c r="D1590" s="14" t="s">
        <v>1752</v>
      </c>
      <c r="E1590" s="14" t="s">
        <v>1746</v>
      </c>
      <c r="F1590" s="14">
        <v>157248</v>
      </c>
      <c r="G1590" s="14">
        <v>117936</v>
      </c>
      <c r="H1590" s="37">
        <f>'Calculation Sheet'!N1590</f>
        <v>117936</v>
      </c>
    </row>
    <row r="1591" spans="1:8" x14ac:dyDescent="0.25">
      <c r="A1591" s="14" t="s">
        <v>2261</v>
      </c>
      <c r="B1591" s="14">
        <v>4</v>
      </c>
      <c r="C1591" s="15" t="s">
        <v>2262</v>
      </c>
      <c r="D1591" s="14" t="s">
        <v>1749</v>
      </c>
      <c r="E1591" s="14" t="s">
        <v>1746</v>
      </c>
      <c r="F1591" s="14">
        <v>2748</v>
      </c>
      <c r="G1591" s="14">
        <v>2061</v>
      </c>
      <c r="H1591" s="37">
        <f>'Calculation Sheet'!N1591</f>
        <v>2061</v>
      </c>
    </row>
    <row r="1592" spans="1:8" x14ac:dyDescent="0.25">
      <c r="A1592" s="14" t="s">
        <v>2261</v>
      </c>
      <c r="B1592" s="14">
        <v>5</v>
      </c>
      <c r="C1592" s="15" t="s">
        <v>2264</v>
      </c>
      <c r="D1592" s="14" t="s">
        <v>1745</v>
      </c>
      <c r="E1592" s="14" t="s">
        <v>1746</v>
      </c>
      <c r="F1592" s="14">
        <v>13104</v>
      </c>
      <c r="G1592" s="14">
        <v>11793.6</v>
      </c>
      <c r="H1592" s="37">
        <f>'Calculation Sheet'!N1592</f>
        <v>11793.6</v>
      </c>
    </row>
    <row r="1593" spans="1:8" x14ac:dyDescent="0.25">
      <c r="A1593" s="14" t="s">
        <v>2261</v>
      </c>
      <c r="B1593" s="14">
        <v>4</v>
      </c>
      <c r="C1593" s="15" t="s">
        <v>2262</v>
      </c>
      <c r="D1593" s="14" t="s">
        <v>1745</v>
      </c>
      <c r="E1593" s="14" t="s">
        <v>1747</v>
      </c>
      <c r="F1593" s="14">
        <v>27480</v>
      </c>
      <c r="G1593" s="14">
        <v>20610</v>
      </c>
      <c r="H1593" s="37">
        <f>'Calculation Sheet'!N1593</f>
        <v>20610</v>
      </c>
    </row>
    <row r="1594" spans="1:8" x14ac:dyDescent="0.25">
      <c r="A1594" s="14" t="s">
        <v>2261</v>
      </c>
      <c r="B1594" s="14">
        <v>1</v>
      </c>
      <c r="C1594" s="15" t="s">
        <v>2265</v>
      </c>
      <c r="D1594" s="14" t="s">
        <v>1752</v>
      </c>
      <c r="E1594" s="14" t="s">
        <v>1747</v>
      </c>
      <c r="F1594" s="14">
        <v>149760</v>
      </c>
      <c r="G1594" s="14">
        <v>112320</v>
      </c>
      <c r="H1594" s="37">
        <f>'Calculation Sheet'!N1594</f>
        <v>112320</v>
      </c>
    </row>
    <row r="1595" spans="1:8" x14ac:dyDescent="0.25">
      <c r="A1595" s="14" t="s">
        <v>2261</v>
      </c>
      <c r="B1595" s="14">
        <v>6</v>
      </c>
      <c r="C1595" s="15" t="s">
        <v>2263</v>
      </c>
      <c r="D1595" s="14" t="s">
        <v>1745</v>
      </c>
      <c r="E1595" s="14" t="s">
        <v>1746</v>
      </c>
      <c r="F1595" s="14">
        <v>20979</v>
      </c>
      <c r="G1595" s="14">
        <v>15734.28</v>
      </c>
      <c r="H1595" s="37">
        <f>'Calculation Sheet'!N1595</f>
        <v>15734.28</v>
      </c>
    </row>
    <row r="1596" spans="1:8" x14ac:dyDescent="0.25">
      <c r="A1596" s="14" t="s">
        <v>2261</v>
      </c>
      <c r="B1596" s="14">
        <v>1</v>
      </c>
      <c r="C1596" s="15" t="s">
        <v>2265</v>
      </c>
      <c r="D1596" s="14" t="s">
        <v>1745</v>
      </c>
      <c r="E1596" s="14" t="s">
        <v>1747</v>
      </c>
      <c r="F1596" s="14">
        <v>49920</v>
      </c>
      <c r="G1596" s="14">
        <v>37440</v>
      </c>
      <c r="H1596" s="37">
        <f>'Calculation Sheet'!N1596</f>
        <v>37440</v>
      </c>
    </row>
    <row r="1597" spans="1:8" x14ac:dyDescent="0.25">
      <c r="A1597" s="14" t="s">
        <v>2261</v>
      </c>
      <c r="B1597" s="14">
        <v>5</v>
      </c>
      <c r="C1597" s="15" t="s">
        <v>2264</v>
      </c>
      <c r="D1597" s="14" t="s">
        <v>1745</v>
      </c>
      <c r="E1597" s="14" t="s">
        <v>1747</v>
      </c>
      <c r="F1597" s="14">
        <v>12480</v>
      </c>
      <c r="G1597" s="14">
        <v>11232</v>
      </c>
      <c r="H1597" s="37">
        <f>'Calculation Sheet'!N1597</f>
        <v>11232</v>
      </c>
    </row>
    <row r="1598" spans="1:8" x14ac:dyDescent="0.25">
      <c r="A1598" s="14" t="s">
        <v>2261</v>
      </c>
      <c r="B1598" s="14">
        <v>1</v>
      </c>
      <c r="C1598" s="15" t="s">
        <v>2265</v>
      </c>
      <c r="D1598" s="14" t="s">
        <v>1749</v>
      </c>
      <c r="E1598" s="14" t="s">
        <v>1746</v>
      </c>
      <c r="F1598" s="14">
        <v>4992</v>
      </c>
      <c r="G1598" s="14">
        <v>3744</v>
      </c>
      <c r="H1598" s="37">
        <f>'Calculation Sheet'!N1598</f>
        <v>3744</v>
      </c>
    </row>
    <row r="1599" spans="1:8" x14ac:dyDescent="0.25">
      <c r="A1599" s="14" t="s">
        <v>2261</v>
      </c>
      <c r="B1599" s="14">
        <v>1</v>
      </c>
      <c r="C1599" s="15" t="s">
        <v>2265</v>
      </c>
      <c r="D1599" s="14" t="s">
        <v>1745</v>
      </c>
      <c r="E1599" s="14" t="s">
        <v>1746</v>
      </c>
      <c r="F1599" s="14">
        <v>52416</v>
      </c>
      <c r="G1599" s="14">
        <v>39312</v>
      </c>
      <c r="H1599" s="37">
        <f>'Calculation Sheet'!N1599</f>
        <v>39312</v>
      </c>
    </row>
    <row r="1600" spans="1:8" x14ac:dyDescent="0.25">
      <c r="A1600" s="14" t="s">
        <v>2261</v>
      </c>
      <c r="B1600" s="14">
        <v>1</v>
      </c>
      <c r="C1600" s="15" t="s">
        <v>2265</v>
      </c>
      <c r="D1600" s="14" t="s">
        <v>1752</v>
      </c>
      <c r="E1600" s="14" t="s">
        <v>1753</v>
      </c>
      <c r="F1600" s="14">
        <v>149760</v>
      </c>
      <c r="G1600" s="14">
        <v>112320</v>
      </c>
      <c r="H1600" s="37">
        <f>'Calculation Sheet'!N1600</f>
        <v>112320</v>
      </c>
    </row>
    <row r="1601" spans="1:8" x14ac:dyDescent="0.25">
      <c r="A1601" s="14" t="s">
        <v>2266</v>
      </c>
      <c r="B1601" s="14">
        <v>8</v>
      </c>
      <c r="C1601" s="15" t="s">
        <v>2267</v>
      </c>
      <c r="D1601" s="14" t="s">
        <v>1745</v>
      </c>
      <c r="E1601" s="14" t="s">
        <v>1746</v>
      </c>
      <c r="F1601" s="14">
        <v>86499</v>
      </c>
      <c r="G1601" s="14">
        <v>64874.28</v>
      </c>
      <c r="H1601" s="37">
        <f>'Calculation Sheet'!N1601</f>
        <v>64874.28</v>
      </c>
    </row>
    <row r="1602" spans="1:8" x14ac:dyDescent="0.25">
      <c r="A1602" s="14" t="s">
        <v>2266</v>
      </c>
      <c r="B1602" s="14">
        <v>7</v>
      </c>
      <c r="C1602" s="15" t="s">
        <v>2268</v>
      </c>
      <c r="D1602" s="14" t="s">
        <v>1745</v>
      </c>
      <c r="E1602" s="14" t="s">
        <v>1746</v>
      </c>
      <c r="F1602" s="14">
        <v>62874</v>
      </c>
      <c r="G1602" s="14">
        <v>47155.56</v>
      </c>
      <c r="H1602" s="37">
        <f>'Calculation Sheet'!N1602</f>
        <v>47155.56</v>
      </c>
    </row>
    <row r="1603" spans="1:8" x14ac:dyDescent="0.25">
      <c r="A1603" s="14" t="s">
        <v>2266</v>
      </c>
      <c r="B1603" s="14">
        <v>8</v>
      </c>
      <c r="C1603" s="15" t="s">
        <v>2267</v>
      </c>
      <c r="D1603" s="14" t="s">
        <v>1749</v>
      </c>
      <c r="E1603" s="14" t="s">
        <v>1746</v>
      </c>
      <c r="F1603" s="14">
        <v>8238</v>
      </c>
      <c r="G1603" s="14">
        <v>6178.5</v>
      </c>
      <c r="H1603" s="37">
        <f>'Calculation Sheet'!N1603</f>
        <v>6178.5</v>
      </c>
    </row>
    <row r="1604" spans="1:8" x14ac:dyDescent="0.25">
      <c r="A1604" s="14" t="s">
        <v>2266</v>
      </c>
      <c r="B1604" s="14">
        <v>7</v>
      </c>
      <c r="C1604" s="15" t="s">
        <v>2268</v>
      </c>
      <c r="D1604" s="14" t="s">
        <v>1745</v>
      </c>
      <c r="E1604" s="14" t="s">
        <v>1747</v>
      </c>
      <c r="F1604" s="14">
        <v>59880</v>
      </c>
      <c r="G1604" s="14">
        <v>44910</v>
      </c>
      <c r="H1604" s="37">
        <f>'Calculation Sheet'!N1604</f>
        <v>44910</v>
      </c>
    </row>
    <row r="1605" spans="1:8" x14ac:dyDescent="0.25">
      <c r="A1605" s="14" t="s">
        <v>2266</v>
      </c>
      <c r="B1605" s="14">
        <v>8</v>
      </c>
      <c r="C1605" s="15" t="s">
        <v>2267</v>
      </c>
      <c r="D1605" s="14" t="s">
        <v>1745</v>
      </c>
      <c r="E1605" s="14" t="s">
        <v>1747</v>
      </c>
      <c r="F1605" s="14">
        <v>82380</v>
      </c>
      <c r="G1605" s="14">
        <v>61785</v>
      </c>
      <c r="H1605" s="37">
        <f>'Calculation Sheet'!N1605</f>
        <v>61785</v>
      </c>
    </row>
    <row r="1606" spans="1:8" x14ac:dyDescent="0.25">
      <c r="A1606" s="14" t="s">
        <v>2266</v>
      </c>
      <c r="B1606" s="14">
        <v>1</v>
      </c>
      <c r="C1606" s="15" t="s">
        <v>2269</v>
      </c>
      <c r="D1606" s="14" t="s">
        <v>1745</v>
      </c>
      <c r="E1606" s="14" t="s">
        <v>1747</v>
      </c>
      <c r="F1606" s="14">
        <v>149760</v>
      </c>
      <c r="G1606" s="14">
        <v>112320</v>
      </c>
      <c r="H1606" s="37">
        <f>'Calculation Sheet'!N1606</f>
        <v>112320</v>
      </c>
    </row>
    <row r="1607" spans="1:8" x14ac:dyDescent="0.25">
      <c r="A1607" s="14" t="s">
        <v>2266</v>
      </c>
      <c r="B1607" s="14">
        <v>6</v>
      </c>
      <c r="C1607" s="15" t="s">
        <v>2270</v>
      </c>
      <c r="D1607" s="14" t="s">
        <v>1745</v>
      </c>
      <c r="E1607" s="14" t="s">
        <v>1747</v>
      </c>
      <c r="F1607" s="14">
        <v>37440</v>
      </c>
      <c r="G1607" s="14">
        <v>33696</v>
      </c>
      <c r="H1607" s="37">
        <f>'Calculation Sheet'!N1607</f>
        <v>33696</v>
      </c>
    </row>
    <row r="1608" spans="1:8" x14ac:dyDescent="0.25">
      <c r="A1608" s="14" t="s">
        <v>2266</v>
      </c>
      <c r="B1608" s="14">
        <v>6</v>
      </c>
      <c r="C1608" s="15" t="s">
        <v>2270</v>
      </c>
      <c r="D1608" s="14" t="s">
        <v>1745</v>
      </c>
      <c r="E1608" s="14" t="s">
        <v>1746</v>
      </c>
      <c r="F1608" s="14">
        <v>39312</v>
      </c>
      <c r="G1608" s="14">
        <v>35380.800000000003</v>
      </c>
      <c r="H1608" s="37">
        <f>'Calculation Sheet'!N1608</f>
        <v>35380.800000000003</v>
      </c>
    </row>
    <row r="1609" spans="1:8" x14ac:dyDescent="0.25">
      <c r="A1609" s="14" t="s">
        <v>2266</v>
      </c>
      <c r="B1609" s="14">
        <v>1</v>
      </c>
      <c r="C1609" s="15" t="s">
        <v>2269</v>
      </c>
      <c r="D1609" s="14" t="s">
        <v>1749</v>
      </c>
      <c r="E1609" s="14" t="s">
        <v>1746</v>
      </c>
      <c r="F1609" s="14">
        <v>14976</v>
      </c>
      <c r="G1609" s="14">
        <v>11232</v>
      </c>
      <c r="H1609" s="37">
        <f>'Calculation Sheet'!N1609</f>
        <v>11232</v>
      </c>
    </row>
    <row r="1610" spans="1:8" x14ac:dyDescent="0.25">
      <c r="A1610" s="14" t="s">
        <v>2266</v>
      </c>
      <c r="B1610" s="14">
        <v>1</v>
      </c>
      <c r="C1610" s="15" t="s">
        <v>2269</v>
      </c>
      <c r="D1610" s="14" t="s">
        <v>1745</v>
      </c>
      <c r="E1610" s="14" t="s">
        <v>1746</v>
      </c>
      <c r="F1610" s="14">
        <v>157248</v>
      </c>
      <c r="G1610" s="14">
        <v>117936</v>
      </c>
      <c r="H1610" s="37">
        <f>'Calculation Sheet'!N1610</f>
        <v>117936</v>
      </c>
    </row>
    <row r="1611" spans="1:8" x14ac:dyDescent="0.25">
      <c r="A1611" s="14" t="s">
        <v>2266</v>
      </c>
      <c r="B1611" s="14">
        <v>7</v>
      </c>
      <c r="C1611" s="15" t="s">
        <v>2268</v>
      </c>
      <c r="D1611" s="14" t="s">
        <v>1749</v>
      </c>
      <c r="E1611" s="14" t="s">
        <v>1746</v>
      </c>
      <c r="F1611" s="14">
        <v>5988</v>
      </c>
      <c r="G1611" s="14">
        <v>4491</v>
      </c>
      <c r="H1611" s="37">
        <f>'Calculation Sheet'!N1611</f>
        <v>4491</v>
      </c>
    </row>
    <row r="1612" spans="1:8" x14ac:dyDescent="0.25">
      <c r="A1612" s="14" t="s">
        <v>2266</v>
      </c>
      <c r="B1612" s="14">
        <v>6</v>
      </c>
      <c r="C1612" s="15" t="s">
        <v>2270</v>
      </c>
      <c r="D1612" s="14" t="s">
        <v>1749</v>
      </c>
      <c r="E1612" s="14" t="s">
        <v>1746</v>
      </c>
      <c r="F1612" s="14">
        <v>3744</v>
      </c>
      <c r="G1612" s="14">
        <v>3369.6</v>
      </c>
      <c r="H1612" s="37">
        <f>'Calculation Sheet'!N1612</f>
        <v>3369.6</v>
      </c>
    </row>
    <row r="1613" spans="1:8" x14ac:dyDescent="0.25">
      <c r="A1613" s="14" t="s">
        <v>2271</v>
      </c>
      <c r="B1613" s="14">
        <v>4</v>
      </c>
      <c r="C1613" s="15" t="s">
        <v>2272</v>
      </c>
      <c r="D1613" s="14" t="s">
        <v>1752</v>
      </c>
      <c r="E1613" s="14" t="s">
        <v>1753</v>
      </c>
      <c r="F1613" s="14">
        <v>59940</v>
      </c>
      <c r="G1613" s="14">
        <v>44955</v>
      </c>
      <c r="H1613" s="37">
        <f>'Calculation Sheet'!N1613</f>
        <v>44955</v>
      </c>
    </row>
    <row r="1614" spans="1:8" x14ac:dyDescent="0.25">
      <c r="A1614" s="14" t="s">
        <v>2271</v>
      </c>
      <c r="B1614" s="14">
        <v>2</v>
      </c>
      <c r="C1614" s="15" t="s">
        <v>2273</v>
      </c>
      <c r="D1614" s="14" t="s">
        <v>1745</v>
      </c>
      <c r="E1614" s="14" t="s">
        <v>1747</v>
      </c>
      <c r="F1614" s="14">
        <v>64920</v>
      </c>
      <c r="G1614" s="14">
        <v>48690</v>
      </c>
      <c r="H1614" s="37">
        <f>'Calculation Sheet'!N1614</f>
        <v>48690</v>
      </c>
    </row>
    <row r="1615" spans="1:8" x14ac:dyDescent="0.25">
      <c r="A1615" s="14" t="s">
        <v>2271</v>
      </c>
      <c r="B1615" s="14">
        <v>14</v>
      </c>
      <c r="C1615" s="15" t="s">
        <v>2274</v>
      </c>
      <c r="D1615" s="14" t="s">
        <v>1745</v>
      </c>
      <c r="E1615" s="14" t="s">
        <v>1747</v>
      </c>
      <c r="F1615" s="14">
        <v>35700</v>
      </c>
      <c r="G1615" s="14">
        <v>26775</v>
      </c>
      <c r="H1615" s="37">
        <f>'Calculation Sheet'!N1615</f>
        <v>26775</v>
      </c>
    </row>
    <row r="1616" spans="1:8" ht="30" x14ac:dyDescent="0.25">
      <c r="A1616" s="14" t="s">
        <v>2271</v>
      </c>
      <c r="B1616" s="14">
        <v>19</v>
      </c>
      <c r="C1616" s="15" t="s">
        <v>2275</v>
      </c>
      <c r="D1616" s="14" t="s">
        <v>1749</v>
      </c>
      <c r="E1616" s="14" t="s">
        <v>1746</v>
      </c>
      <c r="F1616" s="14">
        <v>1098</v>
      </c>
      <c r="G1616" s="14">
        <v>823.5</v>
      </c>
      <c r="H1616" s="37">
        <f>'Calculation Sheet'!N1616</f>
        <v>823.5</v>
      </c>
    </row>
    <row r="1617" spans="1:8" x14ac:dyDescent="0.25">
      <c r="A1617" s="14" t="s">
        <v>2271</v>
      </c>
      <c r="B1617" s="14">
        <v>14</v>
      </c>
      <c r="C1617" s="15" t="s">
        <v>2274</v>
      </c>
      <c r="D1617" s="14" t="s">
        <v>1745</v>
      </c>
      <c r="E1617" s="14" t="s">
        <v>1746</v>
      </c>
      <c r="F1617" s="14">
        <v>37485</v>
      </c>
      <c r="G1617" s="14">
        <v>28113.72</v>
      </c>
      <c r="H1617" s="37">
        <f>'Calculation Sheet'!N1617</f>
        <v>28113.72</v>
      </c>
    </row>
    <row r="1618" spans="1:8" ht="30" x14ac:dyDescent="0.25">
      <c r="A1618" s="14" t="s">
        <v>2271</v>
      </c>
      <c r="B1618" s="14" t="s">
        <v>470</v>
      </c>
      <c r="C1618" s="15" t="s">
        <v>2276</v>
      </c>
      <c r="D1618" s="14" t="s">
        <v>1745</v>
      </c>
      <c r="E1618" s="14" t="s">
        <v>1747</v>
      </c>
      <c r="F1618" s="14">
        <v>4980</v>
      </c>
      <c r="G1618" s="14">
        <v>4482</v>
      </c>
      <c r="H1618" s="37">
        <f>'Calculation Sheet'!N1618</f>
        <v>4482</v>
      </c>
    </row>
    <row r="1619" spans="1:8" x14ac:dyDescent="0.25">
      <c r="A1619" s="14" t="s">
        <v>2271</v>
      </c>
      <c r="B1619" s="14">
        <v>4</v>
      </c>
      <c r="C1619" s="15" t="s">
        <v>2272</v>
      </c>
      <c r="D1619" s="14" t="s">
        <v>1745</v>
      </c>
      <c r="E1619" s="14" t="s">
        <v>1747</v>
      </c>
      <c r="F1619" s="14">
        <v>19980</v>
      </c>
      <c r="G1619" s="14">
        <v>14985</v>
      </c>
      <c r="H1619" s="37">
        <f>'Calculation Sheet'!N1619</f>
        <v>14985</v>
      </c>
    </row>
    <row r="1620" spans="1:8" x14ac:dyDescent="0.25">
      <c r="A1620" s="14" t="s">
        <v>2271</v>
      </c>
      <c r="B1620" s="14">
        <v>16</v>
      </c>
      <c r="C1620" s="15" t="s">
        <v>2277</v>
      </c>
      <c r="D1620" s="14" t="s">
        <v>1745</v>
      </c>
      <c r="E1620" s="14" t="s">
        <v>1747</v>
      </c>
      <c r="F1620" s="14">
        <v>25980</v>
      </c>
      <c r="G1620" s="14">
        <v>19485</v>
      </c>
      <c r="H1620" s="37">
        <f>'Calculation Sheet'!N1620</f>
        <v>19485</v>
      </c>
    </row>
    <row r="1621" spans="1:8" x14ac:dyDescent="0.25">
      <c r="A1621" s="14" t="s">
        <v>2271</v>
      </c>
      <c r="B1621" s="14">
        <v>2</v>
      </c>
      <c r="C1621" s="15" t="s">
        <v>2273</v>
      </c>
      <c r="D1621" s="14" t="s">
        <v>1745</v>
      </c>
      <c r="E1621" s="14" t="s">
        <v>1746</v>
      </c>
      <c r="F1621" s="14">
        <v>68166</v>
      </c>
      <c r="G1621" s="14">
        <v>51124.56</v>
      </c>
      <c r="H1621" s="37">
        <f>'Calculation Sheet'!N1621</f>
        <v>51124.56</v>
      </c>
    </row>
    <row r="1622" spans="1:8" x14ac:dyDescent="0.25">
      <c r="A1622" s="14" t="s">
        <v>2271</v>
      </c>
      <c r="B1622" s="14">
        <v>14</v>
      </c>
      <c r="C1622" s="15" t="s">
        <v>2274</v>
      </c>
      <c r="D1622" s="14" t="s">
        <v>1749</v>
      </c>
      <c r="E1622" s="14" t="s">
        <v>1746</v>
      </c>
      <c r="F1622" s="14">
        <v>3570</v>
      </c>
      <c r="G1622" s="14">
        <v>2677.5</v>
      </c>
      <c r="H1622" s="37">
        <f>'Calculation Sheet'!N1622</f>
        <v>2677.5</v>
      </c>
    </row>
    <row r="1623" spans="1:8" x14ac:dyDescent="0.25">
      <c r="A1623" s="14" t="s">
        <v>2271</v>
      </c>
      <c r="B1623" s="14">
        <v>2</v>
      </c>
      <c r="C1623" s="15" t="s">
        <v>2273</v>
      </c>
      <c r="D1623" s="14" t="s">
        <v>1752</v>
      </c>
      <c r="E1623" s="14" t="s">
        <v>1746</v>
      </c>
      <c r="F1623" s="14">
        <v>204498</v>
      </c>
      <c r="G1623" s="14">
        <v>153373.70000000001</v>
      </c>
      <c r="H1623" s="37">
        <f>'Calculation Sheet'!N1623</f>
        <v>153373.70000000001</v>
      </c>
    </row>
    <row r="1624" spans="1:8" ht="30" x14ac:dyDescent="0.25">
      <c r="A1624" s="14" t="s">
        <v>2271</v>
      </c>
      <c r="B1624" s="14" t="s">
        <v>583</v>
      </c>
      <c r="C1624" s="15" t="s">
        <v>2278</v>
      </c>
      <c r="D1624" s="14" t="s">
        <v>1745</v>
      </c>
      <c r="E1624" s="14" t="s">
        <v>1746</v>
      </c>
      <c r="F1624" s="14">
        <v>8379</v>
      </c>
      <c r="G1624" s="14">
        <v>6284.28</v>
      </c>
      <c r="H1624" s="37">
        <f>'Calculation Sheet'!N1624</f>
        <v>6284.28</v>
      </c>
    </row>
    <row r="1625" spans="1:8" x14ac:dyDescent="0.25">
      <c r="A1625" s="14" t="s">
        <v>2271</v>
      </c>
      <c r="B1625" s="14">
        <v>15</v>
      </c>
      <c r="C1625" s="15" t="s">
        <v>2279</v>
      </c>
      <c r="D1625" s="14" t="s">
        <v>1749</v>
      </c>
      <c r="E1625" s="14" t="s">
        <v>1746</v>
      </c>
      <c r="F1625" s="14">
        <v>1620</v>
      </c>
      <c r="G1625" s="14">
        <v>1458</v>
      </c>
      <c r="H1625" s="37">
        <f>'Calculation Sheet'!N1625</f>
        <v>1458</v>
      </c>
    </row>
    <row r="1626" spans="1:8" ht="30" x14ac:dyDescent="0.25">
      <c r="A1626" s="14" t="s">
        <v>2271</v>
      </c>
      <c r="B1626" s="14" t="s">
        <v>470</v>
      </c>
      <c r="C1626" s="15" t="s">
        <v>2276</v>
      </c>
      <c r="D1626" s="14" t="s">
        <v>1749</v>
      </c>
      <c r="E1626" s="14" t="s">
        <v>1746</v>
      </c>
      <c r="F1626" s="14">
        <v>498</v>
      </c>
      <c r="G1626" s="14">
        <v>448.2</v>
      </c>
      <c r="H1626" s="37">
        <f>'Calculation Sheet'!N1626</f>
        <v>448.2</v>
      </c>
    </row>
    <row r="1627" spans="1:8" ht="30" x14ac:dyDescent="0.25">
      <c r="A1627" s="14" t="s">
        <v>2271</v>
      </c>
      <c r="B1627" s="14" t="s">
        <v>470</v>
      </c>
      <c r="C1627" s="15" t="s">
        <v>2276</v>
      </c>
      <c r="D1627" s="14" t="s">
        <v>1745</v>
      </c>
      <c r="E1627" s="14" t="s">
        <v>1746</v>
      </c>
      <c r="F1627" s="14">
        <v>5229</v>
      </c>
      <c r="G1627" s="14">
        <v>4706.16</v>
      </c>
      <c r="H1627" s="37">
        <f>'Calculation Sheet'!N1627</f>
        <v>4706.16</v>
      </c>
    </row>
    <row r="1628" spans="1:8" x14ac:dyDescent="0.25">
      <c r="A1628" s="14" t="s">
        <v>2271</v>
      </c>
      <c r="B1628" s="14">
        <v>4</v>
      </c>
      <c r="C1628" s="15" t="s">
        <v>2272</v>
      </c>
      <c r="D1628" s="14" t="s">
        <v>1752</v>
      </c>
      <c r="E1628" s="14" t="s">
        <v>1746</v>
      </c>
      <c r="F1628" s="14">
        <v>62937</v>
      </c>
      <c r="G1628" s="14">
        <v>47202.84</v>
      </c>
      <c r="H1628" s="37">
        <f>'Calculation Sheet'!N1628</f>
        <v>47202.84</v>
      </c>
    </row>
    <row r="1629" spans="1:8" x14ac:dyDescent="0.25">
      <c r="A1629" s="14" t="s">
        <v>2271</v>
      </c>
      <c r="B1629" s="14">
        <v>2</v>
      </c>
      <c r="C1629" s="15" t="s">
        <v>2273</v>
      </c>
      <c r="D1629" s="14" t="s">
        <v>1752</v>
      </c>
      <c r="E1629" s="14" t="s">
        <v>1753</v>
      </c>
      <c r="F1629" s="14">
        <v>194760</v>
      </c>
      <c r="G1629" s="14">
        <v>146070</v>
      </c>
      <c r="H1629" s="37">
        <f>'Calculation Sheet'!N1629</f>
        <v>146070</v>
      </c>
    </row>
    <row r="1630" spans="1:8" x14ac:dyDescent="0.25">
      <c r="A1630" s="14" t="s">
        <v>2271</v>
      </c>
      <c r="B1630" s="14">
        <v>15</v>
      </c>
      <c r="C1630" s="15" t="s">
        <v>2279</v>
      </c>
      <c r="D1630" s="14" t="s">
        <v>1745</v>
      </c>
      <c r="E1630" s="14" t="s">
        <v>1747</v>
      </c>
      <c r="F1630" s="14">
        <v>16200</v>
      </c>
      <c r="G1630" s="14">
        <v>14580</v>
      </c>
      <c r="H1630" s="37">
        <f>'Calculation Sheet'!N1630</f>
        <v>14580</v>
      </c>
    </row>
    <row r="1631" spans="1:8" x14ac:dyDescent="0.25">
      <c r="A1631" s="14" t="s">
        <v>2271</v>
      </c>
      <c r="B1631" s="14">
        <v>4</v>
      </c>
      <c r="C1631" s="15" t="s">
        <v>2272</v>
      </c>
      <c r="D1631" s="14" t="s">
        <v>1745</v>
      </c>
      <c r="E1631" s="14" t="s">
        <v>1746</v>
      </c>
      <c r="F1631" s="14">
        <v>20979</v>
      </c>
      <c r="G1631" s="14">
        <v>15734.28</v>
      </c>
      <c r="H1631" s="37">
        <f>'Calculation Sheet'!N1631</f>
        <v>15734.28</v>
      </c>
    </row>
    <row r="1632" spans="1:8" x14ac:dyDescent="0.25">
      <c r="A1632" s="14" t="s">
        <v>2271</v>
      </c>
      <c r="B1632" s="14">
        <v>16</v>
      </c>
      <c r="C1632" s="15" t="s">
        <v>2277</v>
      </c>
      <c r="D1632" s="14" t="s">
        <v>1749</v>
      </c>
      <c r="E1632" s="14" t="s">
        <v>1746</v>
      </c>
      <c r="F1632" s="14">
        <v>2598</v>
      </c>
      <c r="G1632" s="14">
        <v>1948.5</v>
      </c>
      <c r="H1632" s="37">
        <f>'Calculation Sheet'!N1632</f>
        <v>1948.5</v>
      </c>
    </row>
    <row r="1633" spans="1:8" ht="30" x14ac:dyDescent="0.25">
      <c r="A1633" s="14" t="s">
        <v>2271</v>
      </c>
      <c r="B1633" s="14" t="s">
        <v>583</v>
      </c>
      <c r="C1633" s="15" t="s">
        <v>2278</v>
      </c>
      <c r="D1633" s="14" t="s">
        <v>1749</v>
      </c>
      <c r="E1633" s="14" t="s">
        <v>1746</v>
      </c>
      <c r="F1633" s="14">
        <v>798</v>
      </c>
      <c r="G1633" s="14">
        <v>598.5</v>
      </c>
      <c r="H1633" s="37">
        <f>'Calculation Sheet'!N1633</f>
        <v>598.5</v>
      </c>
    </row>
    <row r="1634" spans="1:8" ht="30" x14ac:dyDescent="0.25">
      <c r="A1634" s="14" t="s">
        <v>2271</v>
      </c>
      <c r="B1634" s="14" t="s">
        <v>583</v>
      </c>
      <c r="C1634" s="15" t="s">
        <v>2278</v>
      </c>
      <c r="D1634" s="14" t="s">
        <v>1745</v>
      </c>
      <c r="E1634" s="14" t="s">
        <v>1747</v>
      </c>
      <c r="F1634" s="14">
        <v>7980</v>
      </c>
      <c r="G1634" s="14">
        <v>5985</v>
      </c>
      <c r="H1634" s="37">
        <f>'Calculation Sheet'!N1634</f>
        <v>5985</v>
      </c>
    </row>
    <row r="1635" spans="1:8" x14ac:dyDescent="0.25">
      <c r="A1635" s="14" t="s">
        <v>2271</v>
      </c>
      <c r="B1635" s="14">
        <v>4</v>
      </c>
      <c r="C1635" s="15" t="s">
        <v>2272</v>
      </c>
      <c r="D1635" s="14" t="s">
        <v>1752</v>
      </c>
      <c r="E1635" s="14" t="s">
        <v>1747</v>
      </c>
      <c r="F1635" s="14">
        <v>59940</v>
      </c>
      <c r="G1635" s="14">
        <v>44955</v>
      </c>
      <c r="H1635" s="37">
        <f>'Calculation Sheet'!N1635</f>
        <v>44955</v>
      </c>
    </row>
    <row r="1636" spans="1:8" x14ac:dyDescent="0.25">
      <c r="A1636" s="14" t="s">
        <v>2271</v>
      </c>
      <c r="B1636" s="14">
        <v>2</v>
      </c>
      <c r="C1636" s="15" t="s">
        <v>2273</v>
      </c>
      <c r="D1636" s="14" t="s">
        <v>1749</v>
      </c>
      <c r="E1636" s="14" t="s">
        <v>1746</v>
      </c>
      <c r="F1636" s="14">
        <v>6492</v>
      </c>
      <c r="G1636" s="14">
        <v>4869</v>
      </c>
      <c r="H1636" s="37">
        <f>'Calculation Sheet'!N1636</f>
        <v>4869</v>
      </c>
    </row>
    <row r="1637" spans="1:8" x14ac:dyDescent="0.25">
      <c r="A1637" s="14" t="s">
        <v>2271</v>
      </c>
      <c r="B1637" s="14">
        <v>4</v>
      </c>
      <c r="C1637" s="15" t="s">
        <v>2272</v>
      </c>
      <c r="D1637" s="14" t="s">
        <v>1749</v>
      </c>
      <c r="E1637" s="14" t="s">
        <v>1746</v>
      </c>
      <c r="F1637" s="14">
        <v>1998</v>
      </c>
      <c r="G1637" s="14">
        <v>1498.5</v>
      </c>
      <c r="H1637" s="37">
        <f>'Calculation Sheet'!N1637</f>
        <v>1498.5</v>
      </c>
    </row>
    <row r="1638" spans="1:8" x14ac:dyDescent="0.25">
      <c r="A1638" s="14" t="s">
        <v>2271</v>
      </c>
      <c r="B1638" s="14">
        <v>2</v>
      </c>
      <c r="C1638" s="15" t="s">
        <v>2273</v>
      </c>
      <c r="D1638" s="14" t="s">
        <v>1752</v>
      </c>
      <c r="E1638" s="14" t="s">
        <v>1747</v>
      </c>
      <c r="F1638" s="14">
        <v>194760</v>
      </c>
      <c r="G1638" s="14">
        <v>146070</v>
      </c>
      <c r="H1638" s="37">
        <f>'Calculation Sheet'!N1638</f>
        <v>146070</v>
      </c>
    </row>
    <row r="1639" spans="1:8" x14ac:dyDescent="0.25">
      <c r="A1639" s="14" t="s">
        <v>2271</v>
      </c>
      <c r="B1639" s="14">
        <v>16</v>
      </c>
      <c r="C1639" s="15" t="s">
        <v>2277</v>
      </c>
      <c r="D1639" s="14" t="s">
        <v>1745</v>
      </c>
      <c r="E1639" s="14" t="s">
        <v>1746</v>
      </c>
      <c r="F1639" s="14">
        <v>27279</v>
      </c>
      <c r="G1639" s="14">
        <v>20459.28</v>
      </c>
      <c r="H1639" s="37">
        <f>'Calculation Sheet'!N1639</f>
        <v>20459.28</v>
      </c>
    </row>
    <row r="1640" spans="1:8" ht="30" x14ac:dyDescent="0.25">
      <c r="A1640" s="14" t="s">
        <v>2271</v>
      </c>
      <c r="B1640" s="14">
        <v>19</v>
      </c>
      <c r="C1640" s="15" t="s">
        <v>2275</v>
      </c>
      <c r="D1640" s="14" t="s">
        <v>1745</v>
      </c>
      <c r="E1640" s="14" t="s">
        <v>1746</v>
      </c>
      <c r="F1640" s="14">
        <v>11529</v>
      </c>
      <c r="G1640" s="14">
        <v>8646.7199999999993</v>
      </c>
      <c r="H1640" s="37">
        <f>'Calculation Sheet'!N1640</f>
        <v>8646.7199999999993</v>
      </c>
    </row>
    <row r="1641" spans="1:8" x14ac:dyDescent="0.25">
      <c r="A1641" s="14" t="s">
        <v>2271</v>
      </c>
      <c r="B1641" s="14">
        <v>15</v>
      </c>
      <c r="C1641" s="15" t="s">
        <v>2279</v>
      </c>
      <c r="D1641" s="14" t="s">
        <v>1745</v>
      </c>
      <c r="E1641" s="14" t="s">
        <v>1746</v>
      </c>
      <c r="F1641" s="14">
        <v>17010</v>
      </c>
      <c r="G1641" s="14">
        <v>15309</v>
      </c>
      <c r="H1641" s="37">
        <f>'Calculation Sheet'!N1641</f>
        <v>15309</v>
      </c>
    </row>
    <row r="1642" spans="1:8" ht="30" x14ac:dyDescent="0.25">
      <c r="A1642" s="14" t="s">
        <v>2271</v>
      </c>
      <c r="B1642" s="14">
        <v>19</v>
      </c>
      <c r="C1642" s="15" t="s">
        <v>2275</v>
      </c>
      <c r="D1642" s="14" t="s">
        <v>1745</v>
      </c>
      <c r="E1642" s="14" t="s">
        <v>1747</v>
      </c>
      <c r="F1642" s="14">
        <v>10980</v>
      </c>
      <c r="G1642" s="14">
        <v>8235</v>
      </c>
      <c r="H1642" s="37">
        <f>'Calculation Sheet'!N1642</f>
        <v>8235</v>
      </c>
    </row>
    <row r="1643" spans="1:8" ht="30" x14ac:dyDescent="0.25">
      <c r="A1643" s="14" t="s">
        <v>2280</v>
      </c>
      <c r="B1643" s="14" t="s">
        <v>307</v>
      </c>
      <c r="C1643" s="15" t="s">
        <v>2281</v>
      </c>
      <c r="D1643" s="14" t="s">
        <v>1752</v>
      </c>
      <c r="E1643" s="14" t="s">
        <v>1747</v>
      </c>
      <c r="F1643" s="14">
        <v>45000</v>
      </c>
      <c r="G1643" s="14">
        <v>40500</v>
      </c>
      <c r="H1643" s="37">
        <f>'Calculation Sheet'!N1643</f>
        <v>40500</v>
      </c>
    </row>
    <row r="1644" spans="1:8" x14ac:dyDescent="0.25">
      <c r="A1644" s="14" t="s">
        <v>2280</v>
      </c>
      <c r="B1644" s="14" t="s">
        <v>97</v>
      </c>
      <c r="C1644" s="15" t="s">
        <v>2282</v>
      </c>
      <c r="D1644" s="14" t="s">
        <v>1745</v>
      </c>
      <c r="E1644" s="14" t="s">
        <v>1747</v>
      </c>
      <c r="F1644" s="14">
        <v>83880</v>
      </c>
      <c r="G1644" s="14">
        <v>58716</v>
      </c>
      <c r="H1644" s="37">
        <f>'Calculation Sheet'!N1644</f>
        <v>58716</v>
      </c>
    </row>
    <row r="1645" spans="1:8" ht="30" x14ac:dyDescent="0.25">
      <c r="A1645" s="14" t="s">
        <v>2280</v>
      </c>
      <c r="B1645" s="14" t="s">
        <v>307</v>
      </c>
      <c r="C1645" s="15" t="s">
        <v>2281</v>
      </c>
      <c r="D1645" s="14" t="s">
        <v>1745</v>
      </c>
      <c r="E1645" s="14" t="s">
        <v>1746</v>
      </c>
      <c r="F1645" s="14">
        <v>15750</v>
      </c>
      <c r="G1645" s="14">
        <v>14175</v>
      </c>
      <c r="H1645" s="37">
        <f>'Calculation Sheet'!N1645</f>
        <v>14175</v>
      </c>
    </row>
    <row r="1646" spans="1:8" x14ac:dyDescent="0.25">
      <c r="A1646" s="14" t="s">
        <v>2280</v>
      </c>
      <c r="B1646" s="14">
        <v>1</v>
      </c>
      <c r="C1646" s="15" t="s">
        <v>2283</v>
      </c>
      <c r="D1646" s="14" t="s">
        <v>1752</v>
      </c>
      <c r="E1646" s="14" t="s">
        <v>1753</v>
      </c>
      <c r="F1646" s="14">
        <v>628920</v>
      </c>
      <c r="G1646" s="14">
        <v>440244</v>
      </c>
      <c r="H1646" s="37">
        <f>'Calculation Sheet'!N1646</f>
        <v>440244</v>
      </c>
    </row>
    <row r="1647" spans="1:8" x14ac:dyDescent="0.25">
      <c r="A1647" s="14" t="s">
        <v>2280</v>
      </c>
      <c r="B1647" s="14" t="s">
        <v>97</v>
      </c>
      <c r="C1647" s="15" t="s">
        <v>2282</v>
      </c>
      <c r="D1647" s="14" t="s">
        <v>1745</v>
      </c>
      <c r="E1647" s="14" t="s">
        <v>1746</v>
      </c>
      <c r="F1647" s="14">
        <v>88074</v>
      </c>
      <c r="G1647" s="14">
        <v>61651.8</v>
      </c>
      <c r="H1647" s="37">
        <f>'Calculation Sheet'!N1647</f>
        <v>61651.8</v>
      </c>
    </row>
    <row r="1648" spans="1:8" ht="30" x14ac:dyDescent="0.25">
      <c r="A1648" s="14" t="s">
        <v>2280</v>
      </c>
      <c r="B1648" s="14" t="s">
        <v>307</v>
      </c>
      <c r="C1648" s="15" t="s">
        <v>2281</v>
      </c>
      <c r="D1648" s="14" t="s">
        <v>1749</v>
      </c>
      <c r="E1648" s="14" t="s">
        <v>1746</v>
      </c>
      <c r="F1648" s="14">
        <v>1500</v>
      </c>
      <c r="G1648" s="14">
        <v>1350</v>
      </c>
      <c r="H1648" s="37">
        <f>'Calculation Sheet'!N1648</f>
        <v>1350</v>
      </c>
    </row>
    <row r="1649" spans="1:8" x14ac:dyDescent="0.25">
      <c r="A1649" s="14" t="s">
        <v>2280</v>
      </c>
      <c r="B1649" s="14" t="s">
        <v>97</v>
      </c>
      <c r="C1649" s="15" t="s">
        <v>2282</v>
      </c>
      <c r="D1649" s="14" t="s">
        <v>1749</v>
      </c>
      <c r="E1649" s="14" t="s">
        <v>1746</v>
      </c>
      <c r="F1649" s="14">
        <v>8388</v>
      </c>
      <c r="G1649" s="14">
        <v>5871.6</v>
      </c>
      <c r="H1649" s="37">
        <f>'Calculation Sheet'!N1649</f>
        <v>5871.6</v>
      </c>
    </row>
    <row r="1650" spans="1:8" ht="30" x14ac:dyDescent="0.25">
      <c r="A1650" s="14" t="s">
        <v>2280</v>
      </c>
      <c r="B1650" s="14" t="s">
        <v>333</v>
      </c>
      <c r="C1650" s="15" t="s">
        <v>2284</v>
      </c>
      <c r="D1650" s="14" t="s">
        <v>1749</v>
      </c>
      <c r="E1650" s="14" t="s">
        <v>1746</v>
      </c>
      <c r="F1650" s="14">
        <v>1650</v>
      </c>
      <c r="G1650" s="14">
        <v>1155</v>
      </c>
      <c r="H1650" s="37">
        <f>'Calculation Sheet'!N1650</f>
        <v>1155</v>
      </c>
    </row>
    <row r="1651" spans="1:8" ht="30" x14ac:dyDescent="0.25">
      <c r="A1651" s="14" t="s">
        <v>2280</v>
      </c>
      <c r="B1651" s="14" t="s">
        <v>333</v>
      </c>
      <c r="C1651" s="15" t="s">
        <v>2284</v>
      </c>
      <c r="D1651" s="14" t="s">
        <v>1745</v>
      </c>
      <c r="E1651" s="14" t="s">
        <v>1747</v>
      </c>
      <c r="F1651" s="14">
        <v>16500</v>
      </c>
      <c r="G1651" s="14">
        <v>11550</v>
      </c>
      <c r="H1651" s="37">
        <f>'Calculation Sheet'!N1651</f>
        <v>11550</v>
      </c>
    </row>
    <row r="1652" spans="1:8" x14ac:dyDescent="0.25">
      <c r="A1652" s="14" t="s">
        <v>2280</v>
      </c>
      <c r="B1652" s="14">
        <v>2</v>
      </c>
      <c r="C1652" s="15" t="s">
        <v>2285</v>
      </c>
      <c r="D1652" s="14" t="s">
        <v>1745</v>
      </c>
      <c r="E1652" s="14" t="s">
        <v>1747</v>
      </c>
      <c r="F1652" s="14">
        <v>29940</v>
      </c>
      <c r="G1652" s="14">
        <v>20958</v>
      </c>
      <c r="H1652" s="37">
        <f>'Calculation Sheet'!N1652</f>
        <v>20958</v>
      </c>
    </row>
    <row r="1653" spans="1:8" x14ac:dyDescent="0.25">
      <c r="A1653" s="14" t="s">
        <v>2280</v>
      </c>
      <c r="B1653" s="14" t="s">
        <v>258</v>
      </c>
      <c r="C1653" s="15" t="s">
        <v>2286</v>
      </c>
      <c r="D1653" s="14" t="s">
        <v>1745</v>
      </c>
      <c r="E1653" s="14" t="s">
        <v>1747</v>
      </c>
      <c r="F1653" s="14">
        <v>83880</v>
      </c>
      <c r="G1653" s="14">
        <v>75492</v>
      </c>
      <c r="H1653" s="37">
        <f>'Calculation Sheet'!N1653</f>
        <v>75492</v>
      </c>
    </row>
    <row r="1654" spans="1:8" x14ac:dyDescent="0.25">
      <c r="A1654" s="14" t="s">
        <v>2280</v>
      </c>
      <c r="B1654" s="14" t="s">
        <v>258</v>
      </c>
      <c r="C1654" s="15" t="s">
        <v>2286</v>
      </c>
      <c r="D1654" s="14" t="s">
        <v>1752</v>
      </c>
      <c r="E1654" s="14" t="s">
        <v>1746</v>
      </c>
      <c r="F1654" s="14">
        <v>264222</v>
      </c>
      <c r="G1654" s="14">
        <v>237799.8</v>
      </c>
      <c r="H1654" s="37">
        <f>'Calculation Sheet'!N1654</f>
        <v>237799.8</v>
      </c>
    </row>
    <row r="1655" spans="1:8" x14ac:dyDescent="0.25">
      <c r="A1655" s="14" t="s">
        <v>2280</v>
      </c>
      <c r="B1655" s="14" t="s">
        <v>325</v>
      </c>
      <c r="C1655" s="15" t="s">
        <v>2287</v>
      </c>
      <c r="D1655" s="14" t="s">
        <v>1745</v>
      </c>
      <c r="E1655" s="14" t="s">
        <v>1746</v>
      </c>
      <c r="F1655" s="14">
        <v>121086</v>
      </c>
      <c r="G1655" s="14">
        <v>84760.2</v>
      </c>
      <c r="H1655" s="37">
        <f>'Calculation Sheet'!N1655</f>
        <v>84760.2</v>
      </c>
    </row>
    <row r="1656" spans="1:8" x14ac:dyDescent="0.25">
      <c r="A1656" s="14" t="s">
        <v>2280</v>
      </c>
      <c r="B1656" s="14" t="s">
        <v>325</v>
      </c>
      <c r="C1656" s="15" t="s">
        <v>2287</v>
      </c>
      <c r="D1656" s="14" t="s">
        <v>1749</v>
      </c>
      <c r="E1656" s="14" t="s">
        <v>1746</v>
      </c>
      <c r="F1656" s="14">
        <v>11532</v>
      </c>
      <c r="G1656" s="14">
        <v>8072.4</v>
      </c>
      <c r="H1656" s="37">
        <f>'Calculation Sheet'!N1656</f>
        <v>8072.4</v>
      </c>
    </row>
    <row r="1657" spans="1:8" ht="30" x14ac:dyDescent="0.25">
      <c r="A1657" s="14" t="s">
        <v>2280</v>
      </c>
      <c r="B1657" s="14" t="s">
        <v>307</v>
      </c>
      <c r="C1657" s="15" t="s">
        <v>2281</v>
      </c>
      <c r="D1657" s="14" t="s">
        <v>1752</v>
      </c>
      <c r="E1657" s="14" t="s">
        <v>1746</v>
      </c>
      <c r="F1657" s="14">
        <v>47250</v>
      </c>
      <c r="G1657" s="14">
        <v>42525</v>
      </c>
      <c r="H1657" s="37">
        <f>'Calculation Sheet'!N1657</f>
        <v>42525</v>
      </c>
    </row>
    <row r="1658" spans="1:8" ht="30" x14ac:dyDescent="0.25">
      <c r="A1658" s="14" t="s">
        <v>2280</v>
      </c>
      <c r="B1658" s="14" t="s">
        <v>333</v>
      </c>
      <c r="C1658" s="15" t="s">
        <v>2284</v>
      </c>
      <c r="D1658" s="14" t="s">
        <v>1745</v>
      </c>
      <c r="E1658" s="14" t="s">
        <v>1746</v>
      </c>
      <c r="F1658" s="14">
        <v>17325</v>
      </c>
      <c r="G1658" s="14">
        <v>12127.56</v>
      </c>
      <c r="H1658" s="37">
        <f>'Calculation Sheet'!N1658</f>
        <v>12127.56</v>
      </c>
    </row>
    <row r="1659" spans="1:8" ht="30" x14ac:dyDescent="0.25">
      <c r="A1659" s="14" t="s">
        <v>2280</v>
      </c>
      <c r="B1659" s="14" t="s">
        <v>307</v>
      </c>
      <c r="C1659" s="15" t="s">
        <v>2281</v>
      </c>
      <c r="D1659" s="14" t="s">
        <v>1745</v>
      </c>
      <c r="E1659" s="14" t="s">
        <v>1747</v>
      </c>
      <c r="F1659" s="14">
        <v>15000</v>
      </c>
      <c r="G1659" s="14">
        <v>13500</v>
      </c>
      <c r="H1659" s="37">
        <f>'Calculation Sheet'!N1659</f>
        <v>13500</v>
      </c>
    </row>
    <row r="1660" spans="1:8" x14ac:dyDescent="0.25">
      <c r="A1660" s="14" t="s">
        <v>2280</v>
      </c>
      <c r="B1660" s="14" t="s">
        <v>258</v>
      </c>
      <c r="C1660" s="15" t="s">
        <v>2286</v>
      </c>
      <c r="D1660" s="14" t="s">
        <v>1752</v>
      </c>
      <c r="E1660" s="14" t="s">
        <v>1747</v>
      </c>
      <c r="F1660" s="14">
        <v>251640</v>
      </c>
      <c r="G1660" s="14">
        <v>226476</v>
      </c>
      <c r="H1660" s="37">
        <f>'Calculation Sheet'!N1660</f>
        <v>226476</v>
      </c>
    </row>
    <row r="1661" spans="1:8" ht="30" x14ac:dyDescent="0.25">
      <c r="A1661" s="14" t="s">
        <v>2280</v>
      </c>
      <c r="B1661" s="14" t="s">
        <v>98</v>
      </c>
      <c r="C1661" s="15" t="s">
        <v>2288</v>
      </c>
      <c r="D1661" s="14" t="s">
        <v>1745</v>
      </c>
      <c r="E1661" s="14" t="s">
        <v>1747</v>
      </c>
      <c r="F1661" s="14">
        <v>12000</v>
      </c>
      <c r="G1661" s="14">
        <v>8400</v>
      </c>
      <c r="H1661" s="37">
        <f>'Calculation Sheet'!N1661</f>
        <v>8400</v>
      </c>
    </row>
    <row r="1662" spans="1:8" x14ac:dyDescent="0.25">
      <c r="A1662" s="14" t="s">
        <v>2280</v>
      </c>
      <c r="B1662" s="14">
        <v>1</v>
      </c>
      <c r="C1662" s="15" t="s">
        <v>2283</v>
      </c>
      <c r="D1662" s="14" t="s">
        <v>1752</v>
      </c>
      <c r="E1662" s="14" t="s">
        <v>1746</v>
      </c>
      <c r="F1662" s="14">
        <v>660366</v>
      </c>
      <c r="G1662" s="14">
        <v>462256.2</v>
      </c>
      <c r="H1662" s="37">
        <f>'Calculation Sheet'!N1662</f>
        <v>462256.2</v>
      </c>
    </row>
    <row r="1663" spans="1:8" x14ac:dyDescent="0.25">
      <c r="A1663" s="14" t="s">
        <v>2280</v>
      </c>
      <c r="B1663" s="14">
        <v>2</v>
      </c>
      <c r="C1663" s="15" t="s">
        <v>2285</v>
      </c>
      <c r="D1663" s="14" t="s">
        <v>1749</v>
      </c>
      <c r="E1663" s="14" t="s">
        <v>1746</v>
      </c>
      <c r="F1663" s="14">
        <v>2994</v>
      </c>
      <c r="G1663" s="14">
        <v>2095.8000000000002</v>
      </c>
      <c r="H1663" s="37">
        <f>'Calculation Sheet'!N1663</f>
        <v>2095.8000000000002</v>
      </c>
    </row>
    <row r="1664" spans="1:8" ht="30" x14ac:dyDescent="0.25">
      <c r="A1664" s="14" t="s">
        <v>2280</v>
      </c>
      <c r="B1664" s="14" t="s">
        <v>98</v>
      </c>
      <c r="C1664" s="15" t="s">
        <v>2288</v>
      </c>
      <c r="D1664" s="14" t="s">
        <v>1749</v>
      </c>
      <c r="E1664" s="14" t="s">
        <v>1746</v>
      </c>
      <c r="F1664" s="14">
        <v>1200</v>
      </c>
      <c r="G1664" s="14">
        <v>840</v>
      </c>
      <c r="H1664" s="37">
        <f>'Calculation Sheet'!N1664</f>
        <v>840</v>
      </c>
    </row>
    <row r="1665" spans="1:8" x14ac:dyDescent="0.25">
      <c r="A1665" s="14" t="s">
        <v>2280</v>
      </c>
      <c r="B1665" s="14" t="s">
        <v>258</v>
      </c>
      <c r="C1665" s="15" t="s">
        <v>2286</v>
      </c>
      <c r="D1665" s="14" t="s">
        <v>1749</v>
      </c>
      <c r="E1665" s="14" t="s">
        <v>1746</v>
      </c>
      <c r="F1665" s="14">
        <v>8388</v>
      </c>
      <c r="G1665" s="14">
        <v>7549.2</v>
      </c>
      <c r="H1665" s="37">
        <f>'Calculation Sheet'!N1665</f>
        <v>7549.2</v>
      </c>
    </row>
    <row r="1666" spans="1:8" x14ac:dyDescent="0.25">
      <c r="A1666" s="14" t="s">
        <v>2280</v>
      </c>
      <c r="B1666" s="14">
        <v>1</v>
      </c>
      <c r="C1666" s="15" t="s">
        <v>2283</v>
      </c>
      <c r="D1666" s="14" t="s">
        <v>1752</v>
      </c>
      <c r="E1666" s="14" t="s">
        <v>1747</v>
      </c>
      <c r="F1666" s="14">
        <v>628920</v>
      </c>
      <c r="G1666" s="14">
        <v>440244</v>
      </c>
      <c r="H1666" s="37">
        <f>'Calculation Sheet'!N1666</f>
        <v>440244</v>
      </c>
    </row>
    <row r="1667" spans="1:8" x14ac:dyDescent="0.25">
      <c r="A1667" s="14" t="s">
        <v>2280</v>
      </c>
      <c r="B1667" s="14" t="s">
        <v>325</v>
      </c>
      <c r="C1667" s="15" t="s">
        <v>2287</v>
      </c>
      <c r="D1667" s="14" t="s">
        <v>1745</v>
      </c>
      <c r="E1667" s="14" t="s">
        <v>1747</v>
      </c>
      <c r="F1667" s="14">
        <v>115320</v>
      </c>
      <c r="G1667" s="14">
        <v>80724</v>
      </c>
      <c r="H1667" s="37">
        <f>'Calculation Sheet'!N1667</f>
        <v>80724</v>
      </c>
    </row>
    <row r="1668" spans="1:8" ht="30" x14ac:dyDescent="0.25">
      <c r="A1668" s="14" t="s">
        <v>2280</v>
      </c>
      <c r="B1668" s="14" t="s">
        <v>98</v>
      </c>
      <c r="C1668" s="15" t="s">
        <v>2288</v>
      </c>
      <c r="D1668" s="14" t="s">
        <v>1745</v>
      </c>
      <c r="E1668" s="14" t="s">
        <v>1746</v>
      </c>
      <c r="F1668" s="14">
        <v>12600</v>
      </c>
      <c r="G1668" s="14">
        <v>8820</v>
      </c>
      <c r="H1668" s="37">
        <f>'Calculation Sheet'!N1668</f>
        <v>8820</v>
      </c>
    </row>
    <row r="1669" spans="1:8" x14ac:dyDescent="0.25">
      <c r="A1669" s="14" t="s">
        <v>2280</v>
      </c>
      <c r="B1669" s="14">
        <v>2</v>
      </c>
      <c r="C1669" s="15" t="s">
        <v>2285</v>
      </c>
      <c r="D1669" s="14" t="s">
        <v>1752</v>
      </c>
      <c r="E1669" s="14" t="s">
        <v>1746</v>
      </c>
      <c r="F1669" s="14">
        <v>94311</v>
      </c>
      <c r="G1669" s="14">
        <v>66017.88</v>
      </c>
      <c r="H1669" s="37">
        <f>'Calculation Sheet'!N1669</f>
        <v>66017.88</v>
      </c>
    </row>
    <row r="1670" spans="1:8" x14ac:dyDescent="0.25">
      <c r="A1670" s="14" t="s">
        <v>2280</v>
      </c>
      <c r="B1670" s="14">
        <v>2</v>
      </c>
      <c r="C1670" s="15" t="s">
        <v>2285</v>
      </c>
      <c r="D1670" s="14" t="s">
        <v>1745</v>
      </c>
      <c r="E1670" s="14" t="s">
        <v>1746</v>
      </c>
      <c r="F1670" s="14">
        <v>31437</v>
      </c>
      <c r="G1670" s="14">
        <v>22005.96</v>
      </c>
      <c r="H1670" s="37">
        <f>'Calculation Sheet'!N1670</f>
        <v>22005.96</v>
      </c>
    </row>
    <row r="1671" spans="1:8" x14ac:dyDescent="0.25">
      <c r="A1671" s="14" t="s">
        <v>2280</v>
      </c>
      <c r="B1671" s="14">
        <v>2</v>
      </c>
      <c r="C1671" s="15" t="s">
        <v>2285</v>
      </c>
      <c r="D1671" s="14" t="s">
        <v>1752</v>
      </c>
      <c r="E1671" s="14" t="s">
        <v>1753</v>
      </c>
      <c r="F1671" s="14">
        <v>89820</v>
      </c>
      <c r="G1671" s="14">
        <v>62874</v>
      </c>
      <c r="H1671" s="37">
        <f>'Calculation Sheet'!N1671</f>
        <v>62874</v>
      </c>
    </row>
    <row r="1672" spans="1:8" x14ac:dyDescent="0.25">
      <c r="A1672" s="14" t="s">
        <v>2280</v>
      </c>
      <c r="B1672" s="14">
        <v>1</v>
      </c>
      <c r="C1672" s="15" t="s">
        <v>2283</v>
      </c>
      <c r="D1672" s="14" t="s">
        <v>1745</v>
      </c>
      <c r="E1672" s="14" t="s">
        <v>1747</v>
      </c>
      <c r="F1672" s="14">
        <v>209640</v>
      </c>
      <c r="G1672" s="14">
        <v>146748</v>
      </c>
      <c r="H1672" s="37">
        <f>'Calculation Sheet'!N1672</f>
        <v>146748</v>
      </c>
    </row>
    <row r="1673" spans="1:8" x14ac:dyDescent="0.25">
      <c r="A1673" s="14" t="s">
        <v>2280</v>
      </c>
      <c r="B1673" s="14">
        <v>1</v>
      </c>
      <c r="C1673" s="15" t="s">
        <v>2283</v>
      </c>
      <c r="D1673" s="14" t="s">
        <v>1749</v>
      </c>
      <c r="E1673" s="14" t="s">
        <v>1746</v>
      </c>
      <c r="F1673" s="14">
        <v>20964</v>
      </c>
      <c r="G1673" s="14">
        <v>14674.8</v>
      </c>
      <c r="H1673" s="37">
        <f>'Calculation Sheet'!N1673</f>
        <v>14674.8</v>
      </c>
    </row>
    <row r="1674" spans="1:8" x14ac:dyDescent="0.25">
      <c r="A1674" s="14" t="s">
        <v>2280</v>
      </c>
      <c r="B1674" s="14">
        <v>1</v>
      </c>
      <c r="C1674" s="15" t="s">
        <v>2283</v>
      </c>
      <c r="D1674" s="14" t="s">
        <v>1745</v>
      </c>
      <c r="E1674" s="14" t="s">
        <v>1746</v>
      </c>
      <c r="F1674" s="14">
        <v>220122</v>
      </c>
      <c r="G1674" s="14">
        <v>154085.4</v>
      </c>
      <c r="H1674" s="37">
        <f>'Calculation Sheet'!N1674</f>
        <v>154085.4</v>
      </c>
    </row>
    <row r="1675" spans="1:8" x14ac:dyDescent="0.25">
      <c r="A1675" s="14" t="s">
        <v>2280</v>
      </c>
      <c r="B1675" s="14" t="s">
        <v>258</v>
      </c>
      <c r="C1675" s="15" t="s">
        <v>2286</v>
      </c>
      <c r="D1675" s="14" t="s">
        <v>1745</v>
      </c>
      <c r="E1675" s="14" t="s">
        <v>1746</v>
      </c>
      <c r="F1675" s="14">
        <v>88074</v>
      </c>
      <c r="G1675" s="14">
        <v>79266.600000000006</v>
      </c>
      <c r="H1675" s="37">
        <f>'Calculation Sheet'!N1675</f>
        <v>79266.600000000006</v>
      </c>
    </row>
    <row r="1676" spans="1:8" x14ac:dyDescent="0.25">
      <c r="A1676" s="14" t="s">
        <v>2280</v>
      </c>
      <c r="B1676" s="14">
        <v>2</v>
      </c>
      <c r="C1676" s="15" t="s">
        <v>2285</v>
      </c>
      <c r="D1676" s="14" t="s">
        <v>1752</v>
      </c>
      <c r="E1676" s="14" t="s">
        <v>1747</v>
      </c>
      <c r="F1676" s="14">
        <v>89820</v>
      </c>
      <c r="G1676" s="14">
        <v>62874</v>
      </c>
      <c r="H1676" s="37">
        <f>'Calculation Sheet'!N1676</f>
        <v>62874</v>
      </c>
    </row>
    <row r="1677" spans="1:8" x14ac:dyDescent="0.25">
      <c r="A1677" s="14" t="s">
        <v>2289</v>
      </c>
      <c r="B1677" s="14">
        <v>4</v>
      </c>
      <c r="C1677" s="15" t="s">
        <v>2290</v>
      </c>
      <c r="D1677" s="14" t="s">
        <v>1749</v>
      </c>
      <c r="E1677" s="14" t="s">
        <v>1746</v>
      </c>
      <c r="F1677" s="14">
        <v>11982</v>
      </c>
      <c r="G1677" s="14">
        <v>10783.8</v>
      </c>
      <c r="H1677" s="37">
        <f>'Calculation Sheet'!N1677</f>
        <v>10783.8</v>
      </c>
    </row>
    <row r="1678" spans="1:8" x14ac:dyDescent="0.25">
      <c r="A1678" s="14" t="s">
        <v>2289</v>
      </c>
      <c r="B1678" s="14">
        <v>1</v>
      </c>
      <c r="C1678" s="15" t="s">
        <v>2291</v>
      </c>
      <c r="D1678" s="14" t="s">
        <v>1752</v>
      </c>
      <c r="E1678" s="14" t="s">
        <v>1753</v>
      </c>
      <c r="F1678" s="14">
        <v>898560</v>
      </c>
      <c r="G1678" s="14">
        <v>628992</v>
      </c>
      <c r="H1678" s="37">
        <f>'Calculation Sheet'!N1678</f>
        <v>628992</v>
      </c>
    </row>
    <row r="1679" spans="1:8" x14ac:dyDescent="0.25">
      <c r="A1679" s="14" t="s">
        <v>2289</v>
      </c>
      <c r="B1679" s="14">
        <v>3</v>
      </c>
      <c r="C1679" s="15" t="s">
        <v>2292</v>
      </c>
      <c r="D1679" s="14" t="s">
        <v>1749</v>
      </c>
      <c r="E1679" s="14" t="s">
        <v>1746</v>
      </c>
      <c r="F1679" s="14">
        <v>16470</v>
      </c>
      <c r="G1679" s="14">
        <v>11529</v>
      </c>
      <c r="H1679" s="37">
        <f>'Calculation Sheet'!N1679</f>
        <v>11529</v>
      </c>
    </row>
    <row r="1680" spans="1:8" x14ac:dyDescent="0.25">
      <c r="A1680" s="14" t="s">
        <v>2289</v>
      </c>
      <c r="B1680" s="14">
        <v>1</v>
      </c>
      <c r="C1680" s="15" t="s">
        <v>2291</v>
      </c>
      <c r="D1680" s="14" t="s">
        <v>1745</v>
      </c>
      <c r="E1680" s="14" t="s">
        <v>1746</v>
      </c>
      <c r="F1680" s="14">
        <v>314496</v>
      </c>
      <c r="G1680" s="14">
        <v>220147.20000000001</v>
      </c>
      <c r="H1680" s="37">
        <f>'Calculation Sheet'!N1680</f>
        <v>220147.20000000001</v>
      </c>
    </row>
    <row r="1681" spans="1:8" x14ac:dyDescent="0.25">
      <c r="A1681" s="14" t="s">
        <v>2289</v>
      </c>
      <c r="B1681" s="14">
        <v>2</v>
      </c>
      <c r="C1681" s="15" t="s">
        <v>2293</v>
      </c>
      <c r="D1681" s="14" t="s">
        <v>1745</v>
      </c>
      <c r="E1681" s="14" t="s">
        <v>1747</v>
      </c>
      <c r="F1681" s="14">
        <v>119820</v>
      </c>
      <c r="G1681" s="14">
        <v>83874</v>
      </c>
      <c r="H1681" s="37">
        <f>'Calculation Sheet'!N1681</f>
        <v>83874</v>
      </c>
    </row>
    <row r="1682" spans="1:8" x14ac:dyDescent="0.25">
      <c r="A1682" s="14" t="s">
        <v>2289</v>
      </c>
      <c r="B1682" s="14">
        <v>1</v>
      </c>
      <c r="C1682" s="15" t="s">
        <v>2291</v>
      </c>
      <c r="D1682" s="14" t="s">
        <v>1745</v>
      </c>
      <c r="E1682" s="14" t="s">
        <v>1747</v>
      </c>
      <c r="F1682" s="14">
        <v>299520</v>
      </c>
      <c r="G1682" s="14">
        <v>209664</v>
      </c>
      <c r="H1682" s="37">
        <f>'Calculation Sheet'!N1682</f>
        <v>209664</v>
      </c>
    </row>
    <row r="1683" spans="1:8" x14ac:dyDescent="0.25">
      <c r="A1683" s="14" t="s">
        <v>2289</v>
      </c>
      <c r="B1683" s="14">
        <v>4</v>
      </c>
      <c r="C1683" s="15" t="s">
        <v>2290</v>
      </c>
      <c r="D1683" s="14" t="s">
        <v>1745</v>
      </c>
      <c r="E1683" s="14" t="s">
        <v>1746</v>
      </c>
      <c r="F1683" s="14">
        <v>125811</v>
      </c>
      <c r="G1683" s="14">
        <v>113230</v>
      </c>
      <c r="H1683" s="37">
        <f>'Calculation Sheet'!N1683</f>
        <v>113230</v>
      </c>
    </row>
    <row r="1684" spans="1:8" x14ac:dyDescent="0.25">
      <c r="A1684" s="14" t="s">
        <v>2289</v>
      </c>
      <c r="B1684" s="14">
        <v>1</v>
      </c>
      <c r="C1684" s="15" t="s">
        <v>2291</v>
      </c>
      <c r="D1684" s="14" t="s">
        <v>1752</v>
      </c>
      <c r="E1684" s="14" t="s">
        <v>1746</v>
      </c>
      <c r="F1684" s="14">
        <v>943488</v>
      </c>
      <c r="G1684" s="14">
        <v>660441.59999999998</v>
      </c>
      <c r="H1684" s="37">
        <f>'Calculation Sheet'!N1684</f>
        <v>660441.59999999998</v>
      </c>
    </row>
    <row r="1685" spans="1:8" x14ac:dyDescent="0.25">
      <c r="A1685" s="14" t="s">
        <v>2289</v>
      </c>
      <c r="B1685" s="14">
        <v>2</v>
      </c>
      <c r="C1685" s="15" t="s">
        <v>2293</v>
      </c>
      <c r="D1685" s="14" t="s">
        <v>1745</v>
      </c>
      <c r="E1685" s="14" t="s">
        <v>1746</v>
      </c>
      <c r="F1685" s="14">
        <v>125811</v>
      </c>
      <c r="G1685" s="14">
        <v>88067.76</v>
      </c>
      <c r="H1685" s="37">
        <f>'Calculation Sheet'!N1685</f>
        <v>88067.76</v>
      </c>
    </row>
    <row r="1686" spans="1:8" x14ac:dyDescent="0.25">
      <c r="A1686" s="14" t="s">
        <v>2289</v>
      </c>
      <c r="B1686" s="14">
        <v>1</v>
      </c>
      <c r="C1686" s="15" t="s">
        <v>2291</v>
      </c>
      <c r="D1686" s="14" t="s">
        <v>1749</v>
      </c>
      <c r="E1686" s="14" t="s">
        <v>1746</v>
      </c>
      <c r="F1686" s="14">
        <v>29952</v>
      </c>
      <c r="G1686" s="14">
        <v>20966.400000000001</v>
      </c>
      <c r="H1686" s="37">
        <f>'Calculation Sheet'!N1686</f>
        <v>20966.400000000001</v>
      </c>
    </row>
    <row r="1687" spans="1:8" x14ac:dyDescent="0.25">
      <c r="A1687" s="14" t="s">
        <v>2289</v>
      </c>
      <c r="B1687" s="14">
        <v>4</v>
      </c>
      <c r="C1687" s="15" t="s">
        <v>2290</v>
      </c>
      <c r="D1687" s="14" t="s">
        <v>1745</v>
      </c>
      <c r="E1687" s="14" t="s">
        <v>1747</v>
      </c>
      <c r="F1687" s="14">
        <v>119820</v>
      </c>
      <c r="G1687" s="14">
        <v>107838</v>
      </c>
      <c r="H1687" s="37">
        <f>'Calculation Sheet'!N1687</f>
        <v>107838</v>
      </c>
    </row>
    <row r="1688" spans="1:8" x14ac:dyDescent="0.25">
      <c r="A1688" s="14" t="s">
        <v>2289</v>
      </c>
      <c r="B1688" s="14">
        <v>3</v>
      </c>
      <c r="C1688" s="15" t="s">
        <v>2292</v>
      </c>
      <c r="D1688" s="14" t="s">
        <v>1745</v>
      </c>
      <c r="E1688" s="14" t="s">
        <v>1746</v>
      </c>
      <c r="F1688" s="14">
        <v>172935</v>
      </c>
      <c r="G1688" s="14">
        <v>121054.6</v>
      </c>
      <c r="H1688" s="37">
        <f>'Calculation Sheet'!N1688</f>
        <v>121054.6</v>
      </c>
    </row>
    <row r="1689" spans="1:8" x14ac:dyDescent="0.25">
      <c r="A1689" s="14" t="s">
        <v>2289</v>
      </c>
      <c r="B1689" s="14">
        <v>2</v>
      </c>
      <c r="C1689" s="15" t="s">
        <v>2293</v>
      </c>
      <c r="D1689" s="14" t="s">
        <v>1749</v>
      </c>
      <c r="E1689" s="14" t="s">
        <v>1746</v>
      </c>
      <c r="F1689" s="14">
        <v>11982</v>
      </c>
      <c r="G1689" s="14">
        <v>8387.4</v>
      </c>
      <c r="H1689" s="37">
        <f>'Calculation Sheet'!N1689</f>
        <v>8387.4</v>
      </c>
    </row>
    <row r="1690" spans="1:8" x14ac:dyDescent="0.25">
      <c r="A1690" s="14" t="s">
        <v>2289</v>
      </c>
      <c r="B1690" s="14">
        <v>3</v>
      </c>
      <c r="C1690" s="15" t="s">
        <v>2292</v>
      </c>
      <c r="D1690" s="14" t="s">
        <v>1745</v>
      </c>
      <c r="E1690" s="14" t="s">
        <v>1747</v>
      </c>
      <c r="F1690" s="14">
        <v>164700</v>
      </c>
      <c r="G1690" s="14">
        <v>115290</v>
      </c>
      <c r="H1690" s="37">
        <f>'Calculation Sheet'!N1690</f>
        <v>115290</v>
      </c>
    </row>
    <row r="1691" spans="1:8" x14ac:dyDescent="0.25">
      <c r="A1691" s="14" t="s">
        <v>2289</v>
      </c>
      <c r="B1691" s="14">
        <v>1</v>
      </c>
      <c r="C1691" s="15" t="s">
        <v>2291</v>
      </c>
      <c r="D1691" s="14" t="s">
        <v>1752</v>
      </c>
      <c r="E1691" s="14" t="s">
        <v>1747</v>
      </c>
      <c r="F1691" s="14">
        <v>898560</v>
      </c>
      <c r="G1691" s="14">
        <v>628992</v>
      </c>
      <c r="H1691" s="37">
        <f>'Calculation Sheet'!N1691</f>
        <v>628992</v>
      </c>
    </row>
    <row r="1692" spans="1:8" x14ac:dyDescent="0.25">
      <c r="A1692" s="14" t="s">
        <v>2294</v>
      </c>
      <c r="B1692" s="14" t="s">
        <v>36</v>
      </c>
      <c r="C1692" s="15" t="s">
        <v>2295</v>
      </c>
      <c r="D1692" s="14" t="s">
        <v>1745</v>
      </c>
      <c r="E1692" s="14" t="s">
        <v>1747</v>
      </c>
      <c r="F1692" s="14">
        <v>3180</v>
      </c>
      <c r="G1692" s="14">
        <v>2385</v>
      </c>
      <c r="H1692" s="37">
        <f>'Calculation Sheet'!N1692</f>
        <v>2385</v>
      </c>
    </row>
    <row r="1693" spans="1:8" x14ac:dyDescent="0.25">
      <c r="A1693" s="14" t="s">
        <v>2294</v>
      </c>
      <c r="B1693" s="14" t="s">
        <v>36</v>
      </c>
      <c r="C1693" s="15" t="s">
        <v>2295</v>
      </c>
      <c r="D1693" s="14" t="s">
        <v>1745</v>
      </c>
      <c r="E1693" s="14" t="s">
        <v>1746</v>
      </c>
      <c r="F1693" s="14">
        <v>3339</v>
      </c>
      <c r="G1693" s="14">
        <v>2504.2800000000002</v>
      </c>
      <c r="H1693" s="37">
        <f>'Calculation Sheet'!N1693</f>
        <v>2504.2800000000002</v>
      </c>
    </row>
    <row r="1694" spans="1:8" x14ac:dyDescent="0.25">
      <c r="A1694" s="14" t="s">
        <v>2294</v>
      </c>
      <c r="B1694" s="14">
        <v>1</v>
      </c>
      <c r="C1694" s="15" t="s">
        <v>2296</v>
      </c>
      <c r="D1694" s="14" t="s">
        <v>1752</v>
      </c>
      <c r="E1694" s="14" t="s">
        <v>1753</v>
      </c>
      <c r="F1694" s="14">
        <v>23940</v>
      </c>
      <c r="G1694" s="14">
        <v>17955</v>
      </c>
      <c r="H1694" s="37">
        <f>'Calculation Sheet'!N1694</f>
        <v>17955</v>
      </c>
    </row>
    <row r="1695" spans="1:8" x14ac:dyDescent="0.25">
      <c r="A1695" s="14" t="s">
        <v>2294</v>
      </c>
      <c r="B1695" s="14">
        <v>1</v>
      </c>
      <c r="C1695" s="15" t="s">
        <v>2296</v>
      </c>
      <c r="D1695" s="14" t="s">
        <v>1745</v>
      </c>
      <c r="E1695" s="14" t="s">
        <v>1746</v>
      </c>
      <c r="F1695" s="14">
        <v>8379</v>
      </c>
      <c r="G1695" s="14">
        <v>6284.28</v>
      </c>
      <c r="H1695" s="37">
        <f>'Calculation Sheet'!N1695</f>
        <v>6284.28</v>
      </c>
    </row>
    <row r="1696" spans="1:8" x14ac:dyDescent="0.25">
      <c r="A1696" s="14" t="s">
        <v>2294</v>
      </c>
      <c r="B1696" s="14" t="s">
        <v>36</v>
      </c>
      <c r="C1696" s="15" t="s">
        <v>2295</v>
      </c>
      <c r="D1696" s="14" t="s">
        <v>1749</v>
      </c>
      <c r="E1696" s="14" t="s">
        <v>1746</v>
      </c>
      <c r="F1696" s="14">
        <v>318</v>
      </c>
      <c r="G1696" s="14">
        <v>238.5</v>
      </c>
      <c r="H1696" s="37">
        <f>'Calculation Sheet'!N1696</f>
        <v>238.5</v>
      </c>
    </row>
    <row r="1697" spans="1:8" x14ac:dyDescent="0.25">
      <c r="A1697" s="14" t="s">
        <v>2294</v>
      </c>
      <c r="B1697" s="14">
        <v>4</v>
      </c>
      <c r="C1697" s="15" t="s">
        <v>2297</v>
      </c>
      <c r="D1697" s="14" t="s">
        <v>1752</v>
      </c>
      <c r="E1697" s="14" t="s">
        <v>1746</v>
      </c>
      <c r="F1697" s="14">
        <v>15120</v>
      </c>
      <c r="G1697" s="14">
        <v>10584</v>
      </c>
      <c r="H1697" s="37">
        <f>'Calculation Sheet'!N1697</f>
        <v>10584</v>
      </c>
    </row>
    <row r="1698" spans="1:8" x14ac:dyDescent="0.25">
      <c r="A1698" s="14" t="s">
        <v>2294</v>
      </c>
      <c r="B1698" s="14">
        <v>1</v>
      </c>
      <c r="C1698" s="15" t="s">
        <v>2296</v>
      </c>
      <c r="D1698" s="14" t="s">
        <v>1752</v>
      </c>
      <c r="E1698" s="14" t="s">
        <v>1746</v>
      </c>
      <c r="F1698" s="14">
        <v>25137</v>
      </c>
      <c r="G1698" s="14">
        <v>18852.84</v>
      </c>
      <c r="H1698" s="37">
        <f>'Calculation Sheet'!N1698</f>
        <v>18852.84</v>
      </c>
    </row>
    <row r="1699" spans="1:8" x14ac:dyDescent="0.25">
      <c r="A1699" s="14" t="s">
        <v>2294</v>
      </c>
      <c r="B1699" s="14">
        <v>1</v>
      </c>
      <c r="C1699" s="15" t="s">
        <v>2296</v>
      </c>
      <c r="D1699" s="14" t="s">
        <v>1749</v>
      </c>
      <c r="E1699" s="14" t="s">
        <v>1746</v>
      </c>
      <c r="F1699" s="14">
        <v>798</v>
      </c>
      <c r="G1699" s="14">
        <v>598.5</v>
      </c>
      <c r="H1699" s="37">
        <f>'Calculation Sheet'!N1699</f>
        <v>598.5</v>
      </c>
    </row>
    <row r="1700" spans="1:8" x14ac:dyDescent="0.25">
      <c r="A1700" s="14" t="s">
        <v>2294</v>
      </c>
      <c r="B1700" s="14" t="s">
        <v>122</v>
      </c>
      <c r="C1700" s="15" t="s">
        <v>2298</v>
      </c>
      <c r="D1700" s="14" t="s">
        <v>1745</v>
      </c>
      <c r="E1700" s="14" t="s">
        <v>1746</v>
      </c>
      <c r="F1700" s="14">
        <v>2079</v>
      </c>
      <c r="G1700" s="14">
        <v>1871.16</v>
      </c>
      <c r="H1700" s="37">
        <f>'Calculation Sheet'!N1700</f>
        <v>1871.16</v>
      </c>
    </row>
    <row r="1701" spans="1:8" x14ac:dyDescent="0.25">
      <c r="A1701" s="14" t="s">
        <v>2294</v>
      </c>
      <c r="B1701" s="14">
        <v>1</v>
      </c>
      <c r="C1701" s="15" t="s">
        <v>2296</v>
      </c>
      <c r="D1701" s="14" t="s">
        <v>1752</v>
      </c>
      <c r="E1701" s="14" t="s">
        <v>1747</v>
      </c>
      <c r="F1701" s="14">
        <v>23940</v>
      </c>
      <c r="G1701" s="14">
        <v>17955</v>
      </c>
      <c r="H1701" s="37">
        <f>'Calculation Sheet'!N1701</f>
        <v>17955</v>
      </c>
    </row>
    <row r="1702" spans="1:8" x14ac:dyDescent="0.25">
      <c r="A1702" s="14" t="s">
        <v>2294</v>
      </c>
      <c r="B1702" s="14">
        <v>1</v>
      </c>
      <c r="C1702" s="15" t="s">
        <v>2296</v>
      </c>
      <c r="D1702" s="14" t="s">
        <v>1745</v>
      </c>
      <c r="E1702" s="14" t="s">
        <v>1747</v>
      </c>
      <c r="F1702" s="14">
        <v>7980</v>
      </c>
      <c r="G1702" s="14">
        <v>5985</v>
      </c>
      <c r="H1702" s="37">
        <f>'Calculation Sheet'!N1702</f>
        <v>5985</v>
      </c>
    </row>
    <row r="1703" spans="1:8" x14ac:dyDescent="0.25">
      <c r="A1703" s="14" t="s">
        <v>2294</v>
      </c>
      <c r="B1703" s="14" t="s">
        <v>29</v>
      </c>
      <c r="C1703" s="15" t="s">
        <v>2299</v>
      </c>
      <c r="D1703" s="14" t="s">
        <v>1745</v>
      </c>
      <c r="E1703" s="14" t="s">
        <v>1746</v>
      </c>
      <c r="F1703" s="14">
        <v>4599</v>
      </c>
      <c r="G1703" s="14">
        <v>3449.28</v>
      </c>
      <c r="H1703" s="37">
        <f>'Calculation Sheet'!N1703</f>
        <v>3449.28</v>
      </c>
    </row>
    <row r="1704" spans="1:8" x14ac:dyDescent="0.25">
      <c r="A1704" s="14" t="s">
        <v>2294</v>
      </c>
      <c r="B1704" s="14" t="s">
        <v>122</v>
      </c>
      <c r="C1704" s="15" t="s">
        <v>2298</v>
      </c>
      <c r="D1704" s="14" t="s">
        <v>1749</v>
      </c>
      <c r="E1704" s="14" t="s">
        <v>1746</v>
      </c>
      <c r="F1704" s="14">
        <v>198</v>
      </c>
      <c r="G1704" s="14">
        <v>178.2</v>
      </c>
      <c r="H1704" s="37">
        <f>'Calculation Sheet'!N1704</f>
        <v>178.2</v>
      </c>
    </row>
    <row r="1705" spans="1:8" x14ac:dyDescent="0.25">
      <c r="A1705" s="14" t="s">
        <v>2294</v>
      </c>
      <c r="B1705" s="14">
        <v>4</v>
      </c>
      <c r="C1705" s="15" t="s">
        <v>2297</v>
      </c>
      <c r="D1705" s="14" t="s">
        <v>1752</v>
      </c>
      <c r="E1705" s="14" t="s">
        <v>1747</v>
      </c>
      <c r="F1705" s="14">
        <v>14400</v>
      </c>
      <c r="G1705" s="14">
        <v>10080</v>
      </c>
      <c r="H1705" s="37">
        <f>'Calculation Sheet'!N1705</f>
        <v>10080</v>
      </c>
    </row>
    <row r="1706" spans="1:8" x14ac:dyDescent="0.25">
      <c r="A1706" s="14" t="s">
        <v>2294</v>
      </c>
      <c r="B1706" s="14" t="s">
        <v>29</v>
      </c>
      <c r="C1706" s="15" t="s">
        <v>2299</v>
      </c>
      <c r="D1706" s="14" t="s">
        <v>1745</v>
      </c>
      <c r="E1706" s="14" t="s">
        <v>1747</v>
      </c>
      <c r="F1706" s="14">
        <v>4380</v>
      </c>
      <c r="G1706" s="14">
        <v>3285</v>
      </c>
      <c r="H1706" s="37">
        <f>'Calculation Sheet'!N1706</f>
        <v>3285</v>
      </c>
    </row>
    <row r="1707" spans="1:8" x14ac:dyDescent="0.25">
      <c r="A1707" s="14" t="s">
        <v>2294</v>
      </c>
      <c r="B1707" s="14">
        <v>4</v>
      </c>
      <c r="C1707" s="15" t="s">
        <v>2297</v>
      </c>
      <c r="D1707" s="14" t="s">
        <v>1749</v>
      </c>
      <c r="E1707" s="14" t="s">
        <v>1746</v>
      </c>
      <c r="F1707" s="14">
        <v>480</v>
      </c>
      <c r="G1707" s="14">
        <v>336</v>
      </c>
      <c r="H1707" s="37">
        <f>'Calculation Sheet'!N1707</f>
        <v>336</v>
      </c>
    </row>
    <row r="1708" spans="1:8" x14ac:dyDescent="0.25">
      <c r="A1708" s="14" t="s">
        <v>2294</v>
      </c>
      <c r="B1708" s="14" t="s">
        <v>29</v>
      </c>
      <c r="C1708" s="15" t="s">
        <v>2299</v>
      </c>
      <c r="D1708" s="14" t="s">
        <v>1749</v>
      </c>
      <c r="E1708" s="14" t="s">
        <v>1746</v>
      </c>
      <c r="F1708" s="14">
        <v>438</v>
      </c>
      <c r="G1708" s="14">
        <v>328.5</v>
      </c>
      <c r="H1708" s="37">
        <f>'Calculation Sheet'!N1708</f>
        <v>328.5</v>
      </c>
    </row>
    <row r="1709" spans="1:8" x14ac:dyDescent="0.25">
      <c r="A1709" s="14" t="s">
        <v>2294</v>
      </c>
      <c r="B1709" s="14" t="s">
        <v>122</v>
      </c>
      <c r="C1709" s="15" t="s">
        <v>2298</v>
      </c>
      <c r="D1709" s="14" t="s">
        <v>1745</v>
      </c>
      <c r="E1709" s="14" t="s">
        <v>1747</v>
      </c>
      <c r="F1709" s="14">
        <v>1980</v>
      </c>
      <c r="G1709" s="14">
        <v>1782</v>
      </c>
      <c r="H1709" s="37">
        <f>'Calculation Sheet'!N1709</f>
        <v>1782</v>
      </c>
    </row>
    <row r="1710" spans="1:8" x14ac:dyDescent="0.25">
      <c r="A1710" s="14" t="s">
        <v>142</v>
      </c>
      <c r="B1710" s="14">
        <v>2</v>
      </c>
      <c r="C1710" s="15" t="s">
        <v>141</v>
      </c>
      <c r="D1710" s="14" t="s">
        <v>1752</v>
      </c>
      <c r="E1710" s="14" t="s">
        <v>1747</v>
      </c>
      <c r="F1710" s="14">
        <v>1497.6</v>
      </c>
      <c r="G1710" s="14">
        <v>1198.08</v>
      </c>
      <c r="H1710" s="37">
        <f>'Calculation Sheet'!N1710</f>
        <v>1162.1376</v>
      </c>
    </row>
    <row r="1711" spans="1:8" x14ac:dyDescent="0.25">
      <c r="A1711" s="14" t="s">
        <v>142</v>
      </c>
      <c r="B1711" s="14">
        <v>2</v>
      </c>
      <c r="C1711" s="15" t="s">
        <v>141</v>
      </c>
      <c r="D1711" s="14" t="s">
        <v>1745</v>
      </c>
      <c r="E1711" s="14" t="s">
        <v>1747</v>
      </c>
      <c r="F1711" s="14">
        <v>499.2</v>
      </c>
      <c r="G1711" s="14">
        <v>399.36</v>
      </c>
      <c r="H1711" s="37">
        <f>'Calculation Sheet'!N1711</f>
        <v>387.37920000000003</v>
      </c>
    </row>
    <row r="1712" spans="1:8" x14ac:dyDescent="0.25">
      <c r="A1712" s="14" t="s">
        <v>142</v>
      </c>
      <c r="B1712" s="14">
        <v>2</v>
      </c>
      <c r="C1712" s="15" t="s">
        <v>141</v>
      </c>
      <c r="D1712" s="14" t="s">
        <v>1752</v>
      </c>
      <c r="E1712" s="14" t="s">
        <v>1753</v>
      </c>
      <c r="F1712" s="14">
        <v>1497.6</v>
      </c>
      <c r="G1712" s="14">
        <v>1198.08</v>
      </c>
      <c r="H1712" s="37">
        <f>'Calculation Sheet'!N1712</f>
        <v>1162.1376</v>
      </c>
    </row>
    <row r="1713" spans="1:8" x14ac:dyDescent="0.25">
      <c r="A1713" s="14" t="s">
        <v>142</v>
      </c>
      <c r="B1713" s="14">
        <v>2</v>
      </c>
      <c r="C1713" s="15" t="s">
        <v>141</v>
      </c>
      <c r="D1713" s="14" t="s">
        <v>1749</v>
      </c>
      <c r="E1713" s="14" t="s">
        <v>1746</v>
      </c>
      <c r="F1713" s="14">
        <v>49.92</v>
      </c>
      <c r="G1713" s="14">
        <v>39.94</v>
      </c>
      <c r="H1713" s="37">
        <f>'Calculation Sheet'!N1713</f>
        <v>39.540599999999998</v>
      </c>
    </row>
    <row r="1714" spans="1:8" x14ac:dyDescent="0.25">
      <c r="A1714" s="14" t="s">
        <v>142</v>
      </c>
      <c r="B1714" s="14">
        <v>2</v>
      </c>
      <c r="C1714" s="15" t="s">
        <v>141</v>
      </c>
      <c r="D1714" s="14" t="s">
        <v>1745</v>
      </c>
      <c r="E1714" s="14" t="s">
        <v>1746</v>
      </c>
      <c r="F1714" s="14">
        <v>524.16</v>
      </c>
      <c r="G1714" s="14">
        <v>419.28</v>
      </c>
      <c r="H1714" s="37">
        <f>'Calculation Sheet'!N1714</f>
        <v>415.0872</v>
      </c>
    </row>
    <row r="1715" spans="1:8" x14ac:dyDescent="0.25">
      <c r="A1715" s="14" t="s">
        <v>2300</v>
      </c>
      <c r="B1715" s="14" t="s">
        <v>256</v>
      </c>
      <c r="C1715" s="15" t="s">
        <v>2301</v>
      </c>
      <c r="D1715" s="14" t="s">
        <v>1749</v>
      </c>
      <c r="E1715" s="14" t="s">
        <v>1746</v>
      </c>
      <c r="F1715" s="14">
        <v>239598</v>
      </c>
      <c r="G1715" s="14">
        <v>167718.6</v>
      </c>
      <c r="H1715" s="37">
        <f>'Calculation Sheet'!N1715</f>
        <v>167718.6</v>
      </c>
    </row>
    <row r="1716" spans="1:8" x14ac:dyDescent="0.25">
      <c r="A1716" s="14" t="s">
        <v>2300</v>
      </c>
      <c r="B1716" s="14" t="s">
        <v>570</v>
      </c>
      <c r="C1716" s="15" t="s">
        <v>2302</v>
      </c>
      <c r="D1716" s="14" t="s">
        <v>1752</v>
      </c>
      <c r="E1716" s="14" t="s">
        <v>1747</v>
      </c>
      <c r="F1716" s="14">
        <v>12728700</v>
      </c>
      <c r="G1716" s="14">
        <v>11455830</v>
      </c>
      <c r="H1716" s="37">
        <f>'Calculation Sheet'!N1716</f>
        <v>11455830</v>
      </c>
    </row>
    <row r="1717" spans="1:8" x14ac:dyDescent="0.25">
      <c r="A1717" s="14" t="s">
        <v>2300</v>
      </c>
      <c r="B1717" s="14" t="s">
        <v>253</v>
      </c>
      <c r="C1717" s="15" t="s">
        <v>2303</v>
      </c>
      <c r="D1717" s="14" t="s">
        <v>1752</v>
      </c>
      <c r="E1717" s="14" t="s">
        <v>1746</v>
      </c>
      <c r="F1717" s="14">
        <v>4717062</v>
      </c>
      <c r="G1717" s="14">
        <v>4245356</v>
      </c>
      <c r="H1717" s="37">
        <f>'Calculation Sheet'!N1717</f>
        <v>4245356</v>
      </c>
    </row>
    <row r="1718" spans="1:8" x14ac:dyDescent="0.25">
      <c r="A1718" s="14" t="s">
        <v>2300</v>
      </c>
      <c r="B1718" s="14" t="s">
        <v>253</v>
      </c>
      <c r="C1718" s="15" t="s">
        <v>2303</v>
      </c>
      <c r="D1718" s="14" t="s">
        <v>1745</v>
      </c>
      <c r="E1718" s="14" t="s">
        <v>1747</v>
      </c>
      <c r="F1718" s="14">
        <v>1497480</v>
      </c>
      <c r="G1718" s="14">
        <v>1347732</v>
      </c>
      <c r="H1718" s="37">
        <f>'Calculation Sheet'!N1718</f>
        <v>1347732</v>
      </c>
    </row>
    <row r="1719" spans="1:8" x14ac:dyDescent="0.25">
      <c r="A1719" s="14" t="s">
        <v>2300</v>
      </c>
      <c r="B1719" s="14" t="s">
        <v>260</v>
      </c>
      <c r="C1719" s="15" t="s">
        <v>2304</v>
      </c>
      <c r="D1719" s="14" t="s">
        <v>1749</v>
      </c>
      <c r="E1719" s="14" t="s">
        <v>1746</v>
      </c>
      <c r="F1719" s="14">
        <v>933444</v>
      </c>
      <c r="G1719" s="14">
        <v>653410.80000000005</v>
      </c>
      <c r="H1719" s="37">
        <f>'Calculation Sheet'!N1719</f>
        <v>653410.80000000005</v>
      </c>
    </row>
    <row r="1720" spans="1:8" x14ac:dyDescent="0.25">
      <c r="A1720" s="14" t="s">
        <v>2300</v>
      </c>
      <c r="B1720" s="14">
        <v>8</v>
      </c>
      <c r="C1720" s="15" t="s">
        <v>2305</v>
      </c>
      <c r="D1720" s="14" t="s">
        <v>1749</v>
      </c>
      <c r="E1720" s="14" t="s">
        <v>1746</v>
      </c>
      <c r="F1720" s="14">
        <v>3693846</v>
      </c>
      <c r="G1720" s="14">
        <v>2585692</v>
      </c>
      <c r="H1720" s="37">
        <f>'Calculation Sheet'!N1720</f>
        <v>2585692</v>
      </c>
    </row>
    <row r="1721" spans="1:8" x14ac:dyDescent="0.25">
      <c r="A1721" s="14" t="s">
        <v>2300</v>
      </c>
      <c r="B1721" s="14">
        <v>9</v>
      </c>
      <c r="C1721" s="15" t="s">
        <v>2306</v>
      </c>
      <c r="D1721" s="14" t="s">
        <v>1749</v>
      </c>
      <c r="E1721" s="14" t="s">
        <v>1746</v>
      </c>
      <c r="F1721" s="14">
        <v>1697172</v>
      </c>
      <c r="G1721" s="14">
        <v>1188020</v>
      </c>
      <c r="H1721" s="37">
        <f>'Calculation Sheet'!N1721</f>
        <v>1188020</v>
      </c>
    </row>
    <row r="1722" spans="1:8" x14ac:dyDescent="0.25">
      <c r="A1722" s="14" t="s">
        <v>2300</v>
      </c>
      <c r="B1722" s="14">
        <v>9</v>
      </c>
      <c r="C1722" s="15" t="s">
        <v>2306</v>
      </c>
      <c r="D1722" s="14" t="s">
        <v>1745</v>
      </c>
      <c r="E1722" s="14" t="s">
        <v>1747</v>
      </c>
      <c r="F1722" s="14">
        <v>16971720</v>
      </c>
      <c r="G1722" s="14">
        <v>11880204</v>
      </c>
      <c r="H1722" s="37">
        <f>'Calculation Sheet'!N1722</f>
        <v>11880204</v>
      </c>
    </row>
    <row r="1723" spans="1:8" x14ac:dyDescent="0.25">
      <c r="A1723" s="14" t="s">
        <v>2300</v>
      </c>
      <c r="B1723" s="14" t="s">
        <v>260</v>
      </c>
      <c r="C1723" s="15" t="s">
        <v>2304</v>
      </c>
      <c r="D1723" s="14" t="s">
        <v>1745</v>
      </c>
      <c r="E1723" s="14" t="s">
        <v>1747</v>
      </c>
      <c r="F1723" s="14">
        <v>9334440</v>
      </c>
      <c r="G1723" s="14">
        <v>6534108</v>
      </c>
      <c r="H1723" s="37">
        <f>'Calculation Sheet'!N1723</f>
        <v>6534108</v>
      </c>
    </row>
    <row r="1724" spans="1:8" x14ac:dyDescent="0.25">
      <c r="A1724" s="14" t="s">
        <v>2300</v>
      </c>
      <c r="B1724" s="14">
        <v>9</v>
      </c>
      <c r="C1724" s="15" t="s">
        <v>2306</v>
      </c>
      <c r="D1724" s="14" t="s">
        <v>1752</v>
      </c>
      <c r="E1724" s="14" t="s">
        <v>1747</v>
      </c>
      <c r="F1724" s="14">
        <v>50915160</v>
      </c>
      <c r="G1724" s="14">
        <v>35640612</v>
      </c>
      <c r="H1724" s="37">
        <f>'Calculation Sheet'!N1724</f>
        <v>35640612</v>
      </c>
    </row>
    <row r="1725" spans="1:8" x14ac:dyDescent="0.25">
      <c r="A1725" s="14" t="s">
        <v>2300</v>
      </c>
      <c r="B1725" s="14" t="s">
        <v>269</v>
      </c>
      <c r="C1725" s="15" t="s">
        <v>2307</v>
      </c>
      <c r="D1725" s="14" t="s">
        <v>1752</v>
      </c>
      <c r="E1725" s="14" t="s">
        <v>1746</v>
      </c>
      <c r="F1725" s="14">
        <v>29088990</v>
      </c>
      <c r="G1725" s="14">
        <v>26180091</v>
      </c>
      <c r="H1725" s="37">
        <f>'Calculation Sheet'!N1725</f>
        <v>26180091</v>
      </c>
    </row>
    <row r="1726" spans="1:8" x14ac:dyDescent="0.25">
      <c r="A1726" s="14" t="s">
        <v>2300</v>
      </c>
      <c r="B1726" s="14" t="s">
        <v>16</v>
      </c>
      <c r="C1726" s="15" t="s">
        <v>2308</v>
      </c>
      <c r="D1726" s="14" t="s">
        <v>1752</v>
      </c>
      <c r="E1726" s="14" t="s">
        <v>1747</v>
      </c>
      <c r="F1726" s="14">
        <v>17970120</v>
      </c>
      <c r="G1726" s="14">
        <v>12579084</v>
      </c>
      <c r="H1726" s="37">
        <f>'Calculation Sheet'!N1726</f>
        <v>12579084</v>
      </c>
    </row>
    <row r="1727" spans="1:8" x14ac:dyDescent="0.25">
      <c r="A1727" s="14" t="s">
        <v>2300</v>
      </c>
      <c r="B1727" s="14" t="s">
        <v>260</v>
      </c>
      <c r="C1727" s="15" t="s">
        <v>2304</v>
      </c>
      <c r="D1727" s="14" t="s">
        <v>1745</v>
      </c>
      <c r="E1727" s="14" t="s">
        <v>1746</v>
      </c>
      <c r="F1727" s="14">
        <v>9801162</v>
      </c>
      <c r="G1727" s="14">
        <v>6860813</v>
      </c>
      <c r="H1727" s="37">
        <f>'Calculation Sheet'!N1727</f>
        <v>6860813</v>
      </c>
    </row>
    <row r="1728" spans="1:8" x14ac:dyDescent="0.25">
      <c r="A1728" s="14" t="s">
        <v>2300</v>
      </c>
      <c r="B1728" s="14" t="s">
        <v>256</v>
      </c>
      <c r="C1728" s="15" t="s">
        <v>2301</v>
      </c>
      <c r="D1728" s="14" t="s">
        <v>1745</v>
      </c>
      <c r="E1728" s="14" t="s">
        <v>1746</v>
      </c>
      <c r="F1728" s="14">
        <v>2515779</v>
      </c>
      <c r="G1728" s="14">
        <v>1761045</v>
      </c>
      <c r="H1728" s="37">
        <f>'Calculation Sheet'!N1728</f>
        <v>1761045</v>
      </c>
    </row>
    <row r="1729" spans="1:8" x14ac:dyDescent="0.25">
      <c r="A1729" s="14" t="s">
        <v>2300</v>
      </c>
      <c r="B1729" s="14">
        <v>8</v>
      </c>
      <c r="C1729" s="15" t="s">
        <v>2305</v>
      </c>
      <c r="D1729" s="14" t="s">
        <v>1752</v>
      </c>
      <c r="E1729" s="14" t="s">
        <v>1747</v>
      </c>
      <c r="F1729" s="16">
        <v>111000000</v>
      </c>
      <c r="G1729" s="14">
        <v>77570766</v>
      </c>
      <c r="H1729" s="37">
        <f>'Calculation Sheet'!N1729</f>
        <v>77570766</v>
      </c>
    </row>
    <row r="1730" spans="1:8" x14ac:dyDescent="0.25">
      <c r="A1730" s="14" t="s">
        <v>2300</v>
      </c>
      <c r="B1730" s="14" t="s">
        <v>805</v>
      </c>
      <c r="C1730" s="15" t="s">
        <v>2309</v>
      </c>
      <c r="D1730" s="14" t="s">
        <v>1745</v>
      </c>
      <c r="E1730" s="14" t="s">
        <v>1746</v>
      </c>
      <c r="F1730" s="14">
        <v>3459204</v>
      </c>
      <c r="G1730" s="14">
        <v>2421443</v>
      </c>
      <c r="H1730" s="37">
        <f>'Calculation Sheet'!N1730</f>
        <v>2421443</v>
      </c>
    </row>
    <row r="1731" spans="1:8" x14ac:dyDescent="0.25">
      <c r="A1731" s="14" t="s">
        <v>2300</v>
      </c>
      <c r="B1731" s="14">
        <v>8</v>
      </c>
      <c r="C1731" s="15" t="s">
        <v>2305</v>
      </c>
      <c r="D1731" s="14" t="s">
        <v>1745</v>
      </c>
      <c r="E1731" s="14" t="s">
        <v>1746</v>
      </c>
      <c r="F1731" s="14">
        <v>38785383</v>
      </c>
      <c r="G1731" s="14">
        <v>27149768</v>
      </c>
      <c r="H1731" s="37">
        <f>'Calculation Sheet'!N1731</f>
        <v>27149768</v>
      </c>
    </row>
    <row r="1732" spans="1:8" x14ac:dyDescent="0.25">
      <c r="A1732" s="14" t="s">
        <v>2300</v>
      </c>
      <c r="B1732" s="14" t="s">
        <v>570</v>
      </c>
      <c r="C1732" s="15" t="s">
        <v>2302</v>
      </c>
      <c r="D1732" s="14" t="s">
        <v>1752</v>
      </c>
      <c r="E1732" s="14" t="s">
        <v>1746</v>
      </c>
      <c r="F1732" s="14">
        <v>13365135</v>
      </c>
      <c r="G1732" s="14">
        <v>12028622</v>
      </c>
      <c r="H1732" s="37">
        <f>'Calculation Sheet'!N1732</f>
        <v>12028622</v>
      </c>
    </row>
    <row r="1733" spans="1:8" x14ac:dyDescent="0.25">
      <c r="A1733" s="14" t="s">
        <v>2300</v>
      </c>
      <c r="B1733" s="14" t="s">
        <v>570</v>
      </c>
      <c r="C1733" s="15" t="s">
        <v>2302</v>
      </c>
      <c r="D1733" s="14" t="s">
        <v>1745</v>
      </c>
      <c r="E1733" s="14" t="s">
        <v>1747</v>
      </c>
      <c r="F1733" s="14">
        <v>4242900</v>
      </c>
      <c r="G1733" s="14">
        <v>3818610</v>
      </c>
      <c r="H1733" s="37">
        <f>'Calculation Sheet'!N1733</f>
        <v>3818610</v>
      </c>
    </row>
    <row r="1734" spans="1:8" x14ac:dyDescent="0.25">
      <c r="A1734" s="14" t="s">
        <v>2300</v>
      </c>
      <c r="B1734" s="14" t="s">
        <v>570</v>
      </c>
      <c r="C1734" s="15" t="s">
        <v>2302</v>
      </c>
      <c r="D1734" s="14" t="s">
        <v>1749</v>
      </c>
      <c r="E1734" s="14" t="s">
        <v>1746</v>
      </c>
      <c r="F1734" s="14">
        <v>424290</v>
      </c>
      <c r="G1734" s="14">
        <v>381861</v>
      </c>
      <c r="H1734" s="37">
        <f>'Calculation Sheet'!N1734</f>
        <v>381861</v>
      </c>
    </row>
    <row r="1735" spans="1:8" x14ac:dyDescent="0.25">
      <c r="A1735" s="14" t="s">
        <v>2300</v>
      </c>
      <c r="B1735" s="14" t="s">
        <v>269</v>
      </c>
      <c r="C1735" s="15" t="s">
        <v>2307</v>
      </c>
      <c r="D1735" s="14" t="s">
        <v>1749</v>
      </c>
      <c r="E1735" s="14" t="s">
        <v>1746</v>
      </c>
      <c r="F1735" s="14">
        <v>923460</v>
      </c>
      <c r="G1735" s="14">
        <v>831114</v>
      </c>
      <c r="H1735" s="37">
        <f>'Calculation Sheet'!N1735</f>
        <v>831114</v>
      </c>
    </row>
    <row r="1736" spans="1:8" x14ac:dyDescent="0.25">
      <c r="A1736" s="14" t="s">
        <v>2300</v>
      </c>
      <c r="B1736" s="14" t="s">
        <v>253</v>
      </c>
      <c r="C1736" s="15" t="s">
        <v>2303</v>
      </c>
      <c r="D1736" s="14" t="s">
        <v>1749</v>
      </c>
      <c r="E1736" s="14" t="s">
        <v>1746</v>
      </c>
      <c r="F1736" s="14">
        <v>149748</v>
      </c>
      <c r="G1736" s="14">
        <v>134773.20000000001</v>
      </c>
      <c r="H1736" s="37">
        <f>'Calculation Sheet'!N1736</f>
        <v>134773.20000000001</v>
      </c>
    </row>
    <row r="1737" spans="1:8" x14ac:dyDescent="0.25">
      <c r="A1737" s="14" t="s">
        <v>2300</v>
      </c>
      <c r="B1737" s="14" t="s">
        <v>16</v>
      </c>
      <c r="C1737" s="15" t="s">
        <v>2308</v>
      </c>
      <c r="D1737" s="14" t="s">
        <v>1745</v>
      </c>
      <c r="E1737" s="14" t="s">
        <v>1747</v>
      </c>
      <c r="F1737" s="14">
        <v>5990040</v>
      </c>
      <c r="G1737" s="14">
        <v>4193028</v>
      </c>
      <c r="H1737" s="37">
        <f>'Calculation Sheet'!N1737</f>
        <v>4193028</v>
      </c>
    </row>
    <row r="1738" spans="1:8" x14ac:dyDescent="0.25">
      <c r="A1738" s="14" t="s">
        <v>2300</v>
      </c>
      <c r="B1738" s="14" t="s">
        <v>577</v>
      </c>
      <c r="C1738" s="15" t="s">
        <v>2310</v>
      </c>
      <c r="D1738" s="14" t="s">
        <v>1749</v>
      </c>
      <c r="E1738" s="14" t="s">
        <v>1746</v>
      </c>
      <c r="F1738" s="14">
        <v>1477536</v>
      </c>
      <c r="G1738" s="14">
        <v>1034275</v>
      </c>
      <c r="H1738" s="37">
        <f>'Calculation Sheet'!N1738</f>
        <v>1034275</v>
      </c>
    </row>
    <row r="1739" spans="1:8" x14ac:dyDescent="0.25">
      <c r="A1739" s="14" t="s">
        <v>2300</v>
      </c>
      <c r="B1739" s="14" t="s">
        <v>805</v>
      </c>
      <c r="C1739" s="15" t="s">
        <v>2309</v>
      </c>
      <c r="D1739" s="14" t="s">
        <v>1749</v>
      </c>
      <c r="E1739" s="14" t="s">
        <v>1746</v>
      </c>
      <c r="F1739" s="14">
        <v>329448</v>
      </c>
      <c r="G1739" s="14">
        <v>230613.6</v>
      </c>
      <c r="H1739" s="37">
        <f>'Calculation Sheet'!N1739</f>
        <v>230613.6</v>
      </c>
    </row>
    <row r="1740" spans="1:8" x14ac:dyDescent="0.25">
      <c r="A1740" s="14" t="s">
        <v>2300</v>
      </c>
      <c r="B1740" s="14" t="s">
        <v>16</v>
      </c>
      <c r="C1740" s="15" t="s">
        <v>2308</v>
      </c>
      <c r="D1740" s="14" t="s">
        <v>1749</v>
      </c>
      <c r="E1740" s="14" t="s">
        <v>1746</v>
      </c>
      <c r="F1740" s="14">
        <v>599004</v>
      </c>
      <c r="G1740" s="14">
        <v>419302.8</v>
      </c>
      <c r="H1740" s="37">
        <f>'Calculation Sheet'!N1740</f>
        <v>419302.8</v>
      </c>
    </row>
    <row r="1741" spans="1:8" x14ac:dyDescent="0.25">
      <c r="A1741" s="14" t="s">
        <v>2300</v>
      </c>
      <c r="B1741" s="14" t="s">
        <v>269</v>
      </c>
      <c r="C1741" s="15" t="s">
        <v>2307</v>
      </c>
      <c r="D1741" s="14" t="s">
        <v>1752</v>
      </c>
      <c r="E1741" s="14" t="s">
        <v>1753</v>
      </c>
      <c r="F1741" s="14">
        <v>27703800</v>
      </c>
      <c r="G1741" s="14">
        <v>24933420</v>
      </c>
      <c r="H1741" s="37">
        <f>'Calculation Sheet'!N1741</f>
        <v>24933420</v>
      </c>
    </row>
    <row r="1742" spans="1:8" x14ac:dyDescent="0.25">
      <c r="A1742" s="14" t="s">
        <v>2300</v>
      </c>
      <c r="B1742" s="14" t="s">
        <v>570</v>
      </c>
      <c r="C1742" s="15" t="s">
        <v>2302</v>
      </c>
      <c r="D1742" s="14" t="s">
        <v>1752</v>
      </c>
      <c r="E1742" s="14" t="s">
        <v>1753</v>
      </c>
      <c r="F1742" s="14">
        <v>12728700</v>
      </c>
      <c r="G1742" s="14">
        <v>11455830</v>
      </c>
      <c r="H1742" s="37">
        <f>'Calculation Sheet'!N1742</f>
        <v>11455830</v>
      </c>
    </row>
    <row r="1743" spans="1:8" x14ac:dyDescent="0.25">
      <c r="A1743" s="14" t="s">
        <v>2300</v>
      </c>
      <c r="B1743" s="14" t="s">
        <v>577</v>
      </c>
      <c r="C1743" s="15" t="s">
        <v>2310</v>
      </c>
      <c r="D1743" s="14" t="s">
        <v>1745</v>
      </c>
      <c r="E1743" s="14" t="s">
        <v>1746</v>
      </c>
      <c r="F1743" s="14">
        <v>15514128</v>
      </c>
      <c r="G1743" s="14">
        <v>10859890</v>
      </c>
      <c r="H1743" s="37">
        <f>'Calculation Sheet'!N1743</f>
        <v>10859890</v>
      </c>
    </row>
    <row r="1744" spans="1:8" x14ac:dyDescent="0.25">
      <c r="A1744" s="14" t="s">
        <v>2300</v>
      </c>
      <c r="B1744" s="14" t="s">
        <v>269</v>
      </c>
      <c r="C1744" s="15" t="s">
        <v>2307</v>
      </c>
      <c r="D1744" s="14" t="s">
        <v>1752</v>
      </c>
      <c r="E1744" s="14" t="s">
        <v>1747</v>
      </c>
      <c r="F1744" s="14">
        <v>27703800</v>
      </c>
      <c r="G1744" s="14">
        <v>24933420</v>
      </c>
      <c r="H1744" s="37">
        <f>'Calculation Sheet'!N1744</f>
        <v>24933420</v>
      </c>
    </row>
    <row r="1745" spans="1:8" x14ac:dyDescent="0.25">
      <c r="A1745" s="14" t="s">
        <v>2300</v>
      </c>
      <c r="B1745" s="14" t="s">
        <v>20</v>
      </c>
      <c r="C1745" s="15" t="s">
        <v>2311</v>
      </c>
      <c r="D1745" s="14" t="s">
        <v>1749</v>
      </c>
      <c r="E1745" s="14" t="s">
        <v>1746</v>
      </c>
      <c r="F1745" s="14">
        <v>74874</v>
      </c>
      <c r="G1745" s="14">
        <v>52411.8</v>
      </c>
      <c r="H1745" s="37">
        <f>'Calculation Sheet'!N1745</f>
        <v>52411.8</v>
      </c>
    </row>
    <row r="1746" spans="1:8" x14ac:dyDescent="0.25">
      <c r="A1746" s="14" t="s">
        <v>2300</v>
      </c>
      <c r="B1746" s="14">
        <v>9</v>
      </c>
      <c r="C1746" s="15" t="s">
        <v>2306</v>
      </c>
      <c r="D1746" s="14" t="s">
        <v>1752</v>
      </c>
      <c r="E1746" s="14" t="s">
        <v>1746</v>
      </c>
      <c r="F1746" s="14">
        <v>53460918</v>
      </c>
      <c r="G1746" s="14">
        <v>37422643</v>
      </c>
      <c r="H1746" s="37">
        <f>'Calculation Sheet'!N1746</f>
        <v>37422643</v>
      </c>
    </row>
    <row r="1747" spans="1:8" x14ac:dyDescent="0.25">
      <c r="A1747" s="14" t="s">
        <v>2300</v>
      </c>
      <c r="B1747" s="14" t="s">
        <v>253</v>
      </c>
      <c r="C1747" s="15" t="s">
        <v>2303</v>
      </c>
      <c r="D1747" s="14" t="s">
        <v>1745</v>
      </c>
      <c r="E1747" s="14" t="s">
        <v>1746</v>
      </c>
      <c r="F1747" s="14">
        <v>1572354</v>
      </c>
      <c r="G1747" s="14">
        <v>1415119</v>
      </c>
      <c r="H1747" s="37">
        <f>'Calculation Sheet'!N1747</f>
        <v>1415119</v>
      </c>
    </row>
    <row r="1748" spans="1:8" x14ac:dyDescent="0.25">
      <c r="A1748" s="14" t="s">
        <v>2300</v>
      </c>
      <c r="B1748" s="14" t="s">
        <v>253</v>
      </c>
      <c r="C1748" s="15" t="s">
        <v>2303</v>
      </c>
      <c r="D1748" s="14" t="s">
        <v>1752</v>
      </c>
      <c r="E1748" s="14" t="s">
        <v>1747</v>
      </c>
      <c r="F1748" s="14">
        <v>4492440</v>
      </c>
      <c r="G1748" s="14">
        <v>4043196</v>
      </c>
      <c r="H1748" s="37">
        <f>'Calculation Sheet'!N1748</f>
        <v>4043196</v>
      </c>
    </row>
    <row r="1749" spans="1:8" x14ac:dyDescent="0.25">
      <c r="A1749" s="14" t="s">
        <v>2300</v>
      </c>
      <c r="B1749" s="14" t="s">
        <v>269</v>
      </c>
      <c r="C1749" s="15" t="s">
        <v>2307</v>
      </c>
      <c r="D1749" s="14" t="s">
        <v>1745</v>
      </c>
      <c r="E1749" s="14" t="s">
        <v>1746</v>
      </c>
      <c r="F1749" s="14">
        <v>9696330</v>
      </c>
      <c r="G1749" s="14">
        <v>8726697</v>
      </c>
      <c r="H1749" s="37">
        <f>'Calculation Sheet'!N1749</f>
        <v>8726697</v>
      </c>
    </row>
    <row r="1750" spans="1:8" x14ac:dyDescent="0.25">
      <c r="A1750" s="14" t="s">
        <v>2300</v>
      </c>
      <c r="B1750" s="14" t="s">
        <v>16</v>
      </c>
      <c r="C1750" s="15" t="s">
        <v>2308</v>
      </c>
      <c r="D1750" s="14" t="s">
        <v>1752</v>
      </c>
      <c r="E1750" s="14" t="s">
        <v>1746</v>
      </c>
      <c r="F1750" s="14">
        <v>18868626</v>
      </c>
      <c r="G1750" s="14">
        <v>13208038</v>
      </c>
      <c r="H1750" s="37">
        <f>'Calculation Sheet'!N1750</f>
        <v>13208038</v>
      </c>
    </row>
    <row r="1751" spans="1:8" x14ac:dyDescent="0.25">
      <c r="A1751" s="14" t="s">
        <v>2300</v>
      </c>
      <c r="B1751" s="14" t="s">
        <v>265</v>
      </c>
      <c r="C1751" s="15" t="s">
        <v>2312</v>
      </c>
      <c r="D1751" s="14" t="s">
        <v>1745</v>
      </c>
      <c r="E1751" s="14" t="s">
        <v>1746</v>
      </c>
      <c r="F1751" s="14">
        <v>21331926</v>
      </c>
      <c r="G1751" s="14">
        <v>14932348</v>
      </c>
      <c r="H1751" s="37">
        <f>'Calculation Sheet'!N1751</f>
        <v>14932348</v>
      </c>
    </row>
    <row r="1752" spans="1:8" x14ac:dyDescent="0.25">
      <c r="A1752" s="14" t="s">
        <v>2300</v>
      </c>
      <c r="B1752" s="14" t="s">
        <v>356</v>
      </c>
      <c r="C1752" s="15" t="s">
        <v>2313</v>
      </c>
      <c r="D1752" s="14" t="s">
        <v>1745</v>
      </c>
      <c r="E1752" s="14" t="s">
        <v>1747</v>
      </c>
      <c r="F1752" s="14">
        <v>6788700</v>
      </c>
      <c r="G1752" s="14">
        <v>4752090</v>
      </c>
      <c r="H1752" s="37">
        <f>'Calculation Sheet'!N1752</f>
        <v>4752090</v>
      </c>
    </row>
    <row r="1753" spans="1:8" x14ac:dyDescent="0.25">
      <c r="A1753" s="14" t="s">
        <v>2300</v>
      </c>
      <c r="B1753" s="14">
        <v>8</v>
      </c>
      <c r="C1753" s="15" t="s">
        <v>2305</v>
      </c>
      <c r="D1753" s="14" t="s">
        <v>1745</v>
      </c>
      <c r="E1753" s="14" t="s">
        <v>1747</v>
      </c>
      <c r="F1753" s="14">
        <v>36938460</v>
      </c>
      <c r="G1753" s="14">
        <v>25856922</v>
      </c>
      <c r="H1753" s="37">
        <f>'Calculation Sheet'!N1753</f>
        <v>25856922</v>
      </c>
    </row>
    <row r="1754" spans="1:8" x14ac:dyDescent="0.25">
      <c r="A1754" s="14" t="s">
        <v>2300</v>
      </c>
      <c r="B1754" s="14" t="s">
        <v>356</v>
      </c>
      <c r="C1754" s="15" t="s">
        <v>2313</v>
      </c>
      <c r="D1754" s="14" t="s">
        <v>1745</v>
      </c>
      <c r="E1754" s="14" t="s">
        <v>1746</v>
      </c>
      <c r="F1754" s="14">
        <v>7128135</v>
      </c>
      <c r="G1754" s="14">
        <v>4989695</v>
      </c>
      <c r="H1754" s="37">
        <f>'Calculation Sheet'!N1754</f>
        <v>4989695</v>
      </c>
    </row>
    <row r="1755" spans="1:8" x14ac:dyDescent="0.25">
      <c r="A1755" s="14" t="s">
        <v>2300</v>
      </c>
      <c r="B1755" s="14" t="s">
        <v>577</v>
      </c>
      <c r="C1755" s="15" t="s">
        <v>2310</v>
      </c>
      <c r="D1755" s="14" t="s">
        <v>1745</v>
      </c>
      <c r="E1755" s="14" t="s">
        <v>1747</v>
      </c>
      <c r="F1755" s="14">
        <v>14775360</v>
      </c>
      <c r="G1755" s="14">
        <v>10342752</v>
      </c>
      <c r="H1755" s="37">
        <f>'Calculation Sheet'!N1755</f>
        <v>10342752</v>
      </c>
    </row>
    <row r="1756" spans="1:8" x14ac:dyDescent="0.25">
      <c r="A1756" s="14" t="s">
        <v>2300</v>
      </c>
      <c r="B1756" s="14" t="s">
        <v>805</v>
      </c>
      <c r="C1756" s="15" t="s">
        <v>2309</v>
      </c>
      <c r="D1756" s="14" t="s">
        <v>1745</v>
      </c>
      <c r="E1756" s="14" t="s">
        <v>1747</v>
      </c>
      <c r="F1756" s="14">
        <v>3294480</v>
      </c>
      <c r="G1756" s="14">
        <v>2306136</v>
      </c>
      <c r="H1756" s="37">
        <f>'Calculation Sheet'!N1756</f>
        <v>2306136</v>
      </c>
    </row>
    <row r="1757" spans="1:8" x14ac:dyDescent="0.25">
      <c r="A1757" s="14" t="s">
        <v>2300</v>
      </c>
      <c r="B1757" s="14" t="s">
        <v>16</v>
      </c>
      <c r="C1757" s="15" t="s">
        <v>2308</v>
      </c>
      <c r="D1757" s="14" t="s">
        <v>1752</v>
      </c>
      <c r="E1757" s="14" t="s">
        <v>1753</v>
      </c>
      <c r="F1757" s="14">
        <v>17970120</v>
      </c>
      <c r="G1757" s="14">
        <v>12579084</v>
      </c>
      <c r="H1757" s="37">
        <f>'Calculation Sheet'!N1757</f>
        <v>12579084</v>
      </c>
    </row>
    <row r="1758" spans="1:8" x14ac:dyDescent="0.25">
      <c r="A1758" s="14" t="s">
        <v>2300</v>
      </c>
      <c r="B1758" s="14" t="s">
        <v>269</v>
      </c>
      <c r="C1758" s="15" t="s">
        <v>2307</v>
      </c>
      <c r="D1758" s="14" t="s">
        <v>1745</v>
      </c>
      <c r="E1758" s="14" t="s">
        <v>1747</v>
      </c>
      <c r="F1758" s="14">
        <v>9234600</v>
      </c>
      <c r="G1758" s="14">
        <v>8311140</v>
      </c>
      <c r="H1758" s="37">
        <f>'Calculation Sheet'!N1758</f>
        <v>8311140</v>
      </c>
    </row>
    <row r="1759" spans="1:8" x14ac:dyDescent="0.25">
      <c r="A1759" s="14" t="s">
        <v>2300</v>
      </c>
      <c r="B1759" s="14" t="s">
        <v>253</v>
      </c>
      <c r="C1759" s="15" t="s">
        <v>2303</v>
      </c>
      <c r="D1759" s="14" t="s">
        <v>1752</v>
      </c>
      <c r="E1759" s="14" t="s">
        <v>1753</v>
      </c>
      <c r="F1759" s="14">
        <v>4492440</v>
      </c>
      <c r="G1759" s="14">
        <v>4043196</v>
      </c>
      <c r="H1759" s="37">
        <f>'Calculation Sheet'!N1759</f>
        <v>4043196</v>
      </c>
    </row>
    <row r="1760" spans="1:8" x14ac:dyDescent="0.25">
      <c r="A1760" s="14" t="s">
        <v>2300</v>
      </c>
      <c r="B1760" s="14">
        <v>8</v>
      </c>
      <c r="C1760" s="15" t="s">
        <v>2305</v>
      </c>
      <c r="D1760" s="14" t="s">
        <v>1752</v>
      </c>
      <c r="E1760" s="14" t="s">
        <v>1746</v>
      </c>
      <c r="F1760" s="16">
        <v>116000000</v>
      </c>
      <c r="G1760" s="14">
        <v>81449304</v>
      </c>
      <c r="H1760" s="37">
        <f>'Calculation Sheet'!N1760</f>
        <v>81449304</v>
      </c>
    </row>
    <row r="1761" spans="1:8" x14ac:dyDescent="0.25">
      <c r="A1761" s="14" t="s">
        <v>2300</v>
      </c>
      <c r="B1761" s="14" t="s">
        <v>16</v>
      </c>
      <c r="C1761" s="15" t="s">
        <v>2308</v>
      </c>
      <c r="D1761" s="14" t="s">
        <v>1745</v>
      </c>
      <c r="E1761" s="14" t="s">
        <v>1746</v>
      </c>
      <c r="F1761" s="14">
        <v>6289542</v>
      </c>
      <c r="G1761" s="14">
        <v>4402679</v>
      </c>
      <c r="H1761" s="37">
        <f>'Calculation Sheet'!N1761</f>
        <v>4402679</v>
      </c>
    </row>
    <row r="1762" spans="1:8" x14ac:dyDescent="0.25">
      <c r="A1762" s="14" t="s">
        <v>2300</v>
      </c>
      <c r="B1762" s="14" t="s">
        <v>256</v>
      </c>
      <c r="C1762" s="15" t="s">
        <v>2301</v>
      </c>
      <c r="D1762" s="14" t="s">
        <v>1745</v>
      </c>
      <c r="E1762" s="14" t="s">
        <v>1747</v>
      </c>
      <c r="F1762" s="14">
        <v>2395980</v>
      </c>
      <c r="G1762" s="14">
        <v>1677186</v>
      </c>
      <c r="H1762" s="37">
        <f>'Calculation Sheet'!N1762</f>
        <v>1677186</v>
      </c>
    </row>
    <row r="1763" spans="1:8" x14ac:dyDescent="0.25">
      <c r="A1763" s="14" t="s">
        <v>2300</v>
      </c>
      <c r="B1763" s="14">
        <v>8</v>
      </c>
      <c r="C1763" s="15" t="s">
        <v>2305</v>
      </c>
      <c r="D1763" s="14" t="s">
        <v>1752</v>
      </c>
      <c r="E1763" s="14" t="s">
        <v>1753</v>
      </c>
      <c r="F1763" s="16">
        <v>111000000</v>
      </c>
      <c r="G1763" s="14">
        <v>77570766</v>
      </c>
      <c r="H1763" s="37">
        <f>'Calculation Sheet'!N1763</f>
        <v>77570766</v>
      </c>
    </row>
    <row r="1764" spans="1:8" x14ac:dyDescent="0.25">
      <c r="A1764" s="14" t="s">
        <v>2300</v>
      </c>
      <c r="B1764" s="14">
        <v>9</v>
      </c>
      <c r="C1764" s="15" t="s">
        <v>2306</v>
      </c>
      <c r="D1764" s="14" t="s">
        <v>1745</v>
      </c>
      <c r="E1764" s="14" t="s">
        <v>1746</v>
      </c>
      <c r="F1764" s="14">
        <v>17820306</v>
      </c>
      <c r="G1764" s="14">
        <v>12474214</v>
      </c>
      <c r="H1764" s="37">
        <f>'Calculation Sheet'!N1764</f>
        <v>12474214</v>
      </c>
    </row>
    <row r="1765" spans="1:8" x14ac:dyDescent="0.25">
      <c r="A1765" s="14" t="s">
        <v>2300</v>
      </c>
      <c r="B1765" s="14" t="s">
        <v>265</v>
      </c>
      <c r="C1765" s="15" t="s">
        <v>2312</v>
      </c>
      <c r="D1765" s="14" t="s">
        <v>1749</v>
      </c>
      <c r="E1765" s="14" t="s">
        <v>1746</v>
      </c>
      <c r="F1765" s="14">
        <v>2031612</v>
      </c>
      <c r="G1765" s="14">
        <v>1422128</v>
      </c>
      <c r="H1765" s="37">
        <f>'Calculation Sheet'!N1765</f>
        <v>1422128</v>
      </c>
    </row>
    <row r="1766" spans="1:8" x14ac:dyDescent="0.25">
      <c r="A1766" s="14" t="s">
        <v>2300</v>
      </c>
      <c r="B1766" s="14" t="s">
        <v>356</v>
      </c>
      <c r="C1766" s="15" t="s">
        <v>2313</v>
      </c>
      <c r="D1766" s="14" t="s">
        <v>1749</v>
      </c>
      <c r="E1766" s="14" t="s">
        <v>1746</v>
      </c>
      <c r="F1766" s="14">
        <v>678870</v>
      </c>
      <c r="G1766" s="14">
        <v>475209</v>
      </c>
      <c r="H1766" s="37">
        <f>'Calculation Sheet'!N1766</f>
        <v>475209</v>
      </c>
    </row>
    <row r="1767" spans="1:8" x14ac:dyDescent="0.25">
      <c r="A1767" s="14" t="s">
        <v>2300</v>
      </c>
      <c r="B1767" s="14">
        <v>9</v>
      </c>
      <c r="C1767" s="15" t="s">
        <v>2306</v>
      </c>
      <c r="D1767" s="14" t="s">
        <v>1752</v>
      </c>
      <c r="E1767" s="14" t="s">
        <v>1753</v>
      </c>
      <c r="F1767" s="14">
        <v>50915160</v>
      </c>
      <c r="G1767" s="14">
        <v>35640612</v>
      </c>
      <c r="H1767" s="37">
        <f>'Calculation Sheet'!N1767</f>
        <v>35640612</v>
      </c>
    </row>
    <row r="1768" spans="1:8" x14ac:dyDescent="0.25">
      <c r="A1768" s="14" t="s">
        <v>2300</v>
      </c>
      <c r="B1768" s="14" t="s">
        <v>570</v>
      </c>
      <c r="C1768" s="15" t="s">
        <v>2302</v>
      </c>
      <c r="D1768" s="14" t="s">
        <v>1745</v>
      </c>
      <c r="E1768" s="14" t="s">
        <v>1746</v>
      </c>
      <c r="F1768" s="14">
        <v>4455045</v>
      </c>
      <c r="G1768" s="14">
        <v>4009541</v>
      </c>
      <c r="H1768" s="37">
        <f>'Calculation Sheet'!N1768</f>
        <v>4009541</v>
      </c>
    </row>
    <row r="1769" spans="1:8" x14ac:dyDescent="0.25">
      <c r="A1769" s="14" t="s">
        <v>2300</v>
      </c>
      <c r="B1769" s="14" t="s">
        <v>265</v>
      </c>
      <c r="C1769" s="15" t="s">
        <v>2312</v>
      </c>
      <c r="D1769" s="14" t="s">
        <v>1745</v>
      </c>
      <c r="E1769" s="14" t="s">
        <v>1747</v>
      </c>
      <c r="F1769" s="14">
        <v>20316120</v>
      </c>
      <c r="G1769" s="14">
        <v>14221284</v>
      </c>
      <c r="H1769" s="37">
        <f>'Calculation Sheet'!N1769</f>
        <v>14221284</v>
      </c>
    </row>
    <row r="1770" spans="1:8" x14ac:dyDescent="0.25">
      <c r="A1770" s="14" t="s">
        <v>148</v>
      </c>
      <c r="B1770" s="14">
        <v>7</v>
      </c>
      <c r="C1770" s="15" t="s">
        <v>2314</v>
      </c>
      <c r="D1770" s="14" t="s">
        <v>1745</v>
      </c>
      <c r="E1770" s="14" t="s">
        <v>1746</v>
      </c>
      <c r="F1770" s="14">
        <v>2016</v>
      </c>
      <c r="G1770" s="14">
        <v>1612.8</v>
      </c>
      <c r="H1770" s="37">
        <f>'Calculation Sheet'!N1770</f>
        <v>1596.672</v>
      </c>
    </row>
    <row r="1771" spans="1:8" x14ac:dyDescent="0.25">
      <c r="A1771" s="14" t="s">
        <v>148</v>
      </c>
      <c r="B1771" s="14">
        <v>6</v>
      </c>
      <c r="C1771" s="15" t="s">
        <v>2315</v>
      </c>
      <c r="D1771" s="14" t="s">
        <v>1749</v>
      </c>
      <c r="E1771" s="14" t="s">
        <v>1746</v>
      </c>
      <c r="F1771" s="14">
        <v>192</v>
      </c>
      <c r="G1771" s="14">
        <v>153.6</v>
      </c>
      <c r="H1771" s="37">
        <f>'Calculation Sheet'!N1771</f>
        <v>152.06399999999999</v>
      </c>
    </row>
    <row r="1772" spans="1:8" x14ac:dyDescent="0.25">
      <c r="A1772" s="14" t="s">
        <v>148</v>
      </c>
      <c r="B1772" s="14">
        <v>8</v>
      </c>
      <c r="C1772" s="15" t="s">
        <v>2316</v>
      </c>
      <c r="D1772" s="14" t="s">
        <v>1749</v>
      </c>
      <c r="E1772" s="14" t="s">
        <v>1746</v>
      </c>
      <c r="F1772" s="14">
        <v>0</v>
      </c>
      <c r="G1772" s="14">
        <v>0</v>
      </c>
      <c r="H1772" s="37">
        <f>'Calculation Sheet'!N1772</f>
        <v>0</v>
      </c>
    </row>
    <row r="1773" spans="1:8" x14ac:dyDescent="0.25">
      <c r="A1773" s="14" t="s">
        <v>148</v>
      </c>
      <c r="B1773" s="14">
        <v>6</v>
      </c>
      <c r="C1773" s="15" t="s">
        <v>2315</v>
      </c>
      <c r="D1773" s="14" t="s">
        <v>1745</v>
      </c>
      <c r="E1773" s="14" t="s">
        <v>1747</v>
      </c>
      <c r="F1773" s="14">
        <v>1920</v>
      </c>
      <c r="G1773" s="14">
        <v>1536</v>
      </c>
      <c r="H1773" s="37">
        <f>'Calculation Sheet'!N1773</f>
        <v>1489.92</v>
      </c>
    </row>
    <row r="1774" spans="1:8" x14ac:dyDescent="0.25">
      <c r="A1774" s="14" t="s">
        <v>148</v>
      </c>
      <c r="B1774" s="14">
        <v>7</v>
      </c>
      <c r="C1774" s="15" t="s">
        <v>2314</v>
      </c>
      <c r="D1774" s="14" t="s">
        <v>1749</v>
      </c>
      <c r="E1774" s="14" t="s">
        <v>1746</v>
      </c>
      <c r="F1774" s="14">
        <v>192</v>
      </c>
      <c r="G1774" s="14">
        <v>153.6</v>
      </c>
      <c r="H1774" s="37">
        <f>'Calculation Sheet'!N1774</f>
        <v>152.06399999999999</v>
      </c>
    </row>
    <row r="1775" spans="1:8" x14ac:dyDescent="0.25">
      <c r="A1775" s="14" t="s">
        <v>148</v>
      </c>
      <c r="B1775" s="14">
        <v>6</v>
      </c>
      <c r="C1775" s="15" t="s">
        <v>2315</v>
      </c>
      <c r="D1775" s="14" t="s">
        <v>1745</v>
      </c>
      <c r="E1775" s="14" t="s">
        <v>1746</v>
      </c>
      <c r="F1775" s="14">
        <v>2016</v>
      </c>
      <c r="G1775" s="14">
        <v>1612.8</v>
      </c>
      <c r="H1775" s="37">
        <f>'Calculation Sheet'!N1775</f>
        <v>1596.672</v>
      </c>
    </row>
    <row r="1776" spans="1:8" x14ac:dyDescent="0.25">
      <c r="A1776" s="14" t="s">
        <v>148</v>
      </c>
      <c r="B1776" s="14">
        <v>8</v>
      </c>
      <c r="C1776" s="15" t="s">
        <v>2316</v>
      </c>
      <c r="D1776" s="14" t="s">
        <v>1745</v>
      </c>
      <c r="E1776" s="14" t="s">
        <v>1746</v>
      </c>
      <c r="F1776" s="14">
        <v>0</v>
      </c>
      <c r="G1776" s="14">
        <v>0</v>
      </c>
      <c r="H1776" s="37">
        <f>'Calculation Sheet'!N1776</f>
        <v>0</v>
      </c>
    </row>
    <row r="1777" spans="1:8" x14ac:dyDescent="0.25">
      <c r="A1777" s="14" t="s">
        <v>148</v>
      </c>
      <c r="B1777" s="14">
        <v>8</v>
      </c>
      <c r="C1777" s="15" t="s">
        <v>2316</v>
      </c>
      <c r="D1777" s="14" t="s">
        <v>1745</v>
      </c>
      <c r="E1777" s="14" t="s">
        <v>1747</v>
      </c>
      <c r="F1777" s="14">
        <v>0</v>
      </c>
      <c r="G1777" s="14">
        <v>0</v>
      </c>
      <c r="H1777" s="37">
        <f>'Calculation Sheet'!N1777</f>
        <v>0</v>
      </c>
    </row>
    <row r="1778" spans="1:8" x14ac:dyDescent="0.25">
      <c r="A1778" s="14" t="s">
        <v>148</v>
      </c>
      <c r="B1778" s="14">
        <v>7</v>
      </c>
      <c r="C1778" s="15" t="s">
        <v>2314</v>
      </c>
      <c r="D1778" s="14" t="s">
        <v>1745</v>
      </c>
      <c r="E1778" s="14" t="s">
        <v>1747</v>
      </c>
      <c r="F1778" s="14">
        <v>1920</v>
      </c>
      <c r="G1778" s="14">
        <v>1536</v>
      </c>
      <c r="H1778" s="37">
        <f>'Calculation Sheet'!N1778</f>
        <v>1489.92</v>
      </c>
    </row>
    <row r="1779" spans="1:8" x14ac:dyDescent="0.25">
      <c r="A1779" s="14" t="s">
        <v>156</v>
      </c>
      <c r="B1779" s="14">
        <v>4</v>
      </c>
      <c r="C1779" s="15" t="s">
        <v>2317</v>
      </c>
      <c r="D1779" s="14" t="s">
        <v>1745</v>
      </c>
      <c r="E1779" s="14" t="s">
        <v>1746</v>
      </c>
      <c r="F1779" s="14">
        <v>3402</v>
      </c>
      <c r="G1779" s="14">
        <v>2721.6</v>
      </c>
      <c r="H1779" s="37">
        <f>'Calculation Sheet'!N1779</f>
        <v>2694.384</v>
      </c>
    </row>
    <row r="1780" spans="1:8" x14ac:dyDescent="0.25">
      <c r="A1780" s="14" t="s">
        <v>156</v>
      </c>
      <c r="B1780" s="14">
        <v>5</v>
      </c>
      <c r="C1780" s="15" t="s">
        <v>2318</v>
      </c>
      <c r="D1780" s="14" t="s">
        <v>1745</v>
      </c>
      <c r="E1780" s="14" t="s">
        <v>1746</v>
      </c>
      <c r="F1780" s="14">
        <v>3402</v>
      </c>
      <c r="G1780" s="14">
        <v>2721.6</v>
      </c>
      <c r="H1780" s="37">
        <f>'Calculation Sheet'!N1780</f>
        <v>2694.384</v>
      </c>
    </row>
    <row r="1781" spans="1:8" x14ac:dyDescent="0.25">
      <c r="A1781" s="14" t="s">
        <v>156</v>
      </c>
      <c r="B1781" s="14">
        <v>4</v>
      </c>
      <c r="C1781" s="15" t="s">
        <v>2317</v>
      </c>
      <c r="D1781" s="14" t="s">
        <v>1745</v>
      </c>
      <c r="E1781" s="14" t="s">
        <v>1747</v>
      </c>
      <c r="F1781" s="14">
        <v>3240</v>
      </c>
      <c r="G1781" s="14">
        <v>2592</v>
      </c>
      <c r="H1781" s="37">
        <f>'Calculation Sheet'!N1781</f>
        <v>2514.2399999999998</v>
      </c>
    </row>
    <row r="1782" spans="1:8" x14ac:dyDescent="0.25">
      <c r="A1782" s="14" t="s">
        <v>156</v>
      </c>
      <c r="B1782" s="14">
        <v>5</v>
      </c>
      <c r="C1782" s="15" t="s">
        <v>2318</v>
      </c>
      <c r="D1782" s="14" t="s">
        <v>1745</v>
      </c>
      <c r="E1782" s="14" t="s">
        <v>1747</v>
      </c>
      <c r="F1782" s="14">
        <v>3240</v>
      </c>
      <c r="G1782" s="14">
        <v>2592</v>
      </c>
      <c r="H1782" s="37">
        <f>'Calculation Sheet'!N1782</f>
        <v>2514.2399999999998</v>
      </c>
    </row>
    <row r="1783" spans="1:8" x14ac:dyDescent="0.25">
      <c r="A1783" s="14" t="s">
        <v>156</v>
      </c>
      <c r="B1783" s="14">
        <v>5</v>
      </c>
      <c r="C1783" s="15" t="s">
        <v>2318</v>
      </c>
      <c r="D1783" s="14" t="s">
        <v>1749</v>
      </c>
      <c r="E1783" s="14" t="s">
        <v>1746</v>
      </c>
      <c r="F1783" s="14">
        <v>324</v>
      </c>
      <c r="G1783" s="14">
        <v>259.2</v>
      </c>
      <c r="H1783" s="37">
        <f>'Calculation Sheet'!N1783</f>
        <v>256.608</v>
      </c>
    </row>
    <row r="1784" spans="1:8" x14ac:dyDescent="0.25">
      <c r="A1784" s="14" t="s">
        <v>156</v>
      </c>
      <c r="B1784" s="14">
        <v>6</v>
      </c>
      <c r="C1784" s="15" t="s">
        <v>2319</v>
      </c>
      <c r="D1784" s="14" t="s">
        <v>1745</v>
      </c>
      <c r="E1784" s="14" t="s">
        <v>1747</v>
      </c>
      <c r="F1784" s="14">
        <v>0</v>
      </c>
      <c r="G1784" s="14">
        <v>0</v>
      </c>
      <c r="H1784" s="37">
        <f>'Calculation Sheet'!N1784</f>
        <v>0</v>
      </c>
    </row>
    <row r="1785" spans="1:8" x14ac:dyDescent="0.25">
      <c r="A1785" s="14" t="s">
        <v>156</v>
      </c>
      <c r="B1785" s="14">
        <v>4</v>
      </c>
      <c r="C1785" s="15" t="s">
        <v>2317</v>
      </c>
      <c r="D1785" s="14" t="s">
        <v>1749</v>
      </c>
      <c r="E1785" s="14" t="s">
        <v>1746</v>
      </c>
      <c r="F1785" s="14">
        <v>324</v>
      </c>
      <c r="G1785" s="14">
        <v>259.2</v>
      </c>
      <c r="H1785" s="37">
        <f>'Calculation Sheet'!N1785</f>
        <v>256.608</v>
      </c>
    </row>
    <row r="1786" spans="1:8" x14ac:dyDescent="0.25">
      <c r="A1786" s="14" t="s">
        <v>156</v>
      </c>
      <c r="B1786" s="14">
        <v>6</v>
      </c>
      <c r="C1786" s="15" t="s">
        <v>2319</v>
      </c>
      <c r="D1786" s="14" t="s">
        <v>1745</v>
      </c>
      <c r="E1786" s="14" t="s">
        <v>1746</v>
      </c>
      <c r="F1786" s="14">
        <v>0</v>
      </c>
      <c r="G1786" s="14">
        <v>0</v>
      </c>
      <c r="H1786" s="37">
        <f>'Calculation Sheet'!N1786</f>
        <v>0</v>
      </c>
    </row>
    <row r="1787" spans="1:8" x14ac:dyDescent="0.25">
      <c r="A1787" s="14" t="s">
        <v>156</v>
      </c>
      <c r="B1787" s="14">
        <v>6</v>
      </c>
      <c r="C1787" s="15" t="s">
        <v>2319</v>
      </c>
      <c r="D1787" s="14" t="s">
        <v>1749</v>
      </c>
      <c r="E1787" s="14" t="s">
        <v>1746</v>
      </c>
      <c r="F1787" s="14">
        <v>0</v>
      </c>
      <c r="G1787" s="14">
        <v>0</v>
      </c>
      <c r="H1787" s="37">
        <f>'Calculation Sheet'!N1787</f>
        <v>0</v>
      </c>
    </row>
    <row r="1788" spans="1:8" x14ac:dyDescent="0.25">
      <c r="A1788" s="14" t="s">
        <v>164</v>
      </c>
      <c r="B1788" s="14">
        <v>1</v>
      </c>
      <c r="C1788" s="15" t="s">
        <v>162</v>
      </c>
      <c r="D1788" s="14" t="s">
        <v>1745</v>
      </c>
      <c r="E1788" s="14" t="s">
        <v>1747</v>
      </c>
      <c r="F1788" s="14">
        <v>11940</v>
      </c>
      <c r="G1788" s="14">
        <v>9552</v>
      </c>
      <c r="H1788" s="37">
        <f>'Calculation Sheet'!N1788</f>
        <v>9265.44</v>
      </c>
    </row>
    <row r="1789" spans="1:8" x14ac:dyDescent="0.25">
      <c r="A1789" s="14" t="s">
        <v>164</v>
      </c>
      <c r="B1789" s="14">
        <v>1</v>
      </c>
      <c r="C1789" s="15" t="s">
        <v>162</v>
      </c>
      <c r="D1789" s="14" t="s">
        <v>1745</v>
      </c>
      <c r="E1789" s="14" t="s">
        <v>1746</v>
      </c>
      <c r="F1789" s="14">
        <v>12537</v>
      </c>
      <c r="G1789" s="14">
        <v>10029.6</v>
      </c>
      <c r="H1789" s="37">
        <f>'Calculation Sheet'!N1789</f>
        <v>9929.3040000000001</v>
      </c>
    </row>
    <row r="1790" spans="1:8" x14ac:dyDescent="0.25">
      <c r="A1790" s="14" t="s">
        <v>163</v>
      </c>
      <c r="B1790" s="14" t="s">
        <v>28</v>
      </c>
      <c r="C1790" s="15" t="s">
        <v>2320</v>
      </c>
      <c r="D1790" s="14" t="s">
        <v>1745</v>
      </c>
      <c r="E1790" s="14" t="s">
        <v>1747</v>
      </c>
      <c r="F1790" s="14">
        <v>3000</v>
      </c>
      <c r="G1790" s="14">
        <v>2700</v>
      </c>
      <c r="H1790" s="37">
        <f>'Calculation Sheet'!N1790</f>
        <v>2619</v>
      </c>
    </row>
    <row r="1791" spans="1:8" x14ac:dyDescent="0.25">
      <c r="A1791" s="14" t="s">
        <v>163</v>
      </c>
      <c r="B1791" s="14" t="s">
        <v>28</v>
      </c>
      <c r="C1791" s="15" t="s">
        <v>2320</v>
      </c>
      <c r="D1791" s="14" t="s">
        <v>1745</v>
      </c>
      <c r="E1791" s="14" t="s">
        <v>1746</v>
      </c>
      <c r="F1791" s="14">
        <v>3150</v>
      </c>
      <c r="G1791" s="14">
        <v>2835</v>
      </c>
      <c r="H1791" s="37">
        <f>'Calculation Sheet'!N1791</f>
        <v>2806.65</v>
      </c>
    </row>
    <row r="1792" spans="1:8" x14ac:dyDescent="0.25">
      <c r="A1792" s="14" t="s">
        <v>163</v>
      </c>
      <c r="B1792" s="14" t="s">
        <v>28</v>
      </c>
      <c r="C1792" s="15" t="s">
        <v>2320</v>
      </c>
      <c r="D1792" s="14" t="s">
        <v>1749</v>
      </c>
      <c r="E1792" s="14" t="s">
        <v>1746</v>
      </c>
      <c r="F1792" s="14">
        <v>300</v>
      </c>
      <c r="G1792" s="14">
        <v>270</v>
      </c>
      <c r="H1792" s="37">
        <f>'Calculation Sheet'!N1792</f>
        <v>267.3</v>
      </c>
    </row>
    <row r="1793" spans="1:8" x14ac:dyDescent="0.25">
      <c r="A1793" s="14" t="s">
        <v>164</v>
      </c>
      <c r="B1793" s="14">
        <v>1</v>
      </c>
      <c r="C1793" s="15" t="s">
        <v>162</v>
      </c>
      <c r="D1793" s="14" t="s">
        <v>1749</v>
      </c>
      <c r="E1793" s="14" t="s">
        <v>1746</v>
      </c>
      <c r="F1793" s="14">
        <v>1194</v>
      </c>
      <c r="G1793" s="14">
        <v>955.2</v>
      </c>
      <c r="H1793" s="37">
        <f>'Calculation Sheet'!N1793</f>
        <v>945.64800000000002</v>
      </c>
    </row>
    <row r="1794" spans="1:8" x14ac:dyDescent="0.25">
      <c r="A1794" s="14" t="s">
        <v>175</v>
      </c>
      <c r="B1794" s="14">
        <v>9</v>
      </c>
      <c r="C1794" s="15" t="s">
        <v>174</v>
      </c>
      <c r="D1794" s="14" t="s">
        <v>1749</v>
      </c>
      <c r="E1794" s="14" t="s">
        <v>1766</v>
      </c>
      <c r="F1794" s="14">
        <v>0</v>
      </c>
      <c r="G1794" s="14">
        <v>0</v>
      </c>
      <c r="H1794" s="37">
        <f>'Calculation Sheet'!N1794</f>
        <v>0</v>
      </c>
    </row>
    <row r="1795" spans="1:8" x14ac:dyDescent="0.25">
      <c r="A1795" s="14" t="s">
        <v>175</v>
      </c>
      <c r="B1795" s="14">
        <v>1</v>
      </c>
      <c r="C1795" s="15" t="s">
        <v>174</v>
      </c>
      <c r="D1795" s="14" t="s">
        <v>1745</v>
      </c>
      <c r="E1795" s="14" t="s">
        <v>1747</v>
      </c>
      <c r="F1795" s="14">
        <v>18000</v>
      </c>
      <c r="G1795" s="14">
        <v>14400</v>
      </c>
      <c r="H1795" s="37">
        <f>'Calculation Sheet'!N1795</f>
        <v>13968</v>
      </c>
    </row>
    <row r="1796" spans="1:8" x14ac:dyDescent="0.25">
      <c r="A1796" s="14" t="s">
        <v>175</v>
      </c>
      <c r="B1796" s="14" t="s">
        <v>32</v>
      </c>
      <c r="C1796" s="15" t="s">
        <v>2321</v>
      </c>
      <c r="D1796" s="14" t="s">
        <v>1745</v>
      </c>
      <c r="E1796" s="14" t="s">
        <v>1746</v>
      </c>
      <c r="F1796" s="14">
        <v>7560</v>
      </c>
      <c r="G1796" s="14">
        <v>6804</v>
      </c>
      <c r="H1796" s="37">
        <f>'Calculation Sheet'!N1796</f>
        <v>6735.96</v>
      </c>
    </row>
    <row r="1797" spans="1:8" x14ac:dyDescent="0.25">
      <c r="A1797" s="14" t="s">
        <v>175</v>
      </c>
      <c r="B1797" s="14">
        <v>1</v>
      </c>
      <c r="C1797" s="15" t="s">
        <v>174</v>
      </c>
      <c r="D1797" s="14" t="s">
        <v>1745</v>
      </c>
      <c r="E1797" s="14" t="s">
        <v>1746</v>
      </c>
      <c r="F1797" s="14">
        <v>18900</v>
      </c>
      <c r="G1797" s="14">
        <v>15120</v>
      </c>
      <c r="H1797" s="37">
        <f>'Calculation Sheet'!N1797</f>
        <v>14968.8</v>
      </c>
    </row>
    <row r="1798" spans="1:8" x14ac:dyDescent="0.25">
      <c r="A1798" s="14" t="s">
        <v>175</v>
      </c>
      <c r="B1798" s="14" t="s">
        <v>32</v>
      </c>
      <c r="C1798" s="15" t="s">
        <v>2321</v>
      </c>
      <c r="D1798" s="14" t="s">
        <v>1745</v>
      </c>
      <c r="E1798" s="14" t="s">
        <v>1747</v>
      </c>
      <c r="F1798" s="14">
        <v>7200</v>
      </c>
      <c r="G1798" s="14">
        <v>6480</v>
      </c>
      <c r="H1798" s="37">
        <f>'Calculation Sheet'!N1798</f>
        <v>6285.6</v>
      </c>
    </row>
    <row r="1799" spans="1:8" x14ac:dyDescent="0.25">
      <c r="A1799" s="14" t="s">
        <v>175</v>
      </c>
      <c r="B1799" s="14">
        <v>1</v>
      </c>
      <c r="C1799" s="15" t="s">
        <v>174</v>
      </c>
      <c r="D1799" s="14" t="s">
        <v>1749</v>
      </c>
      <c r="E1799" s="14" t="s">
        <v>1746</v>
      </c>
      <c r="F1799" s="14">
        <v>1800</v>
      </c>
      <c r="G1799" s="14">
        <v>1440</v>
      </c>
      <c r="H1799" s="37">
        <f>'Calculation Sheet'!N1799</f>
        <v>1425.6</v>
      </c>
    </row>
    <row r="1800" spans="1:8" x14ac:dyDescent="0.25">
      <c r="A1800" s="14" t="s">
        <v>175</v>
      </c>
      <c r="B1800" s="14" t="s">
        <v>32</v>
      </c>
      <c r="C1800" s="15" t="s">
        <v>2321</v>
      </c>
      <c r="D1800" s="14" t="s">
        <v>1749</v>
      </c>
      <c r="E1800" s="14" t="s">
        <v>1746</v>
      </c>
      <c r="F1800" s="14">
        <v>720</v>
      </c>
      <c r="G1800" s="14">
        <v>648</v>
      </c>
      <c r="H1800" s="37">
        <f>'Calculation Sheet'!N1800</f>
        <v>641.52</v>
      </c>
    </row>
    <row r="1801" spans="1:8" x14ac:dyDescent="0.25">
      <c r="A1801" s="14" t="s">
        <v>2322</v>
      </c>
      <c r="B1801" s="14">
        <v>1</v>
      </c>
      <c r="C1801" s="15" t="s">
        <v>2323</v>
      </c>
      <c r="D1801" s="14" t="s">
        <v>1745</v>
      </c>
      <c r="E1801" s="14" t="s">
        <v>1747</v>
      </c>
      <c r="F1801" s="14">
        <v>4020</v>
      </c>
      <c r="G1801" s="14">
        <v>3216</v>
      </c>
      <c r="H1801" s="37">
        <f>'Calculation Sheet'!N1801</f>
        <v>3216</v>
      </c>
    </row>
    <row r="1802" spans="1:8" x14ac:dyDescent="0.25">
      <c r="A1802" s="14" t="s">
        <v>2322</v>
      </c>
      <c r="B1802" s="14">
        <v>1</v>
      </c>
      <c r="C1802" s="15" t="s">
        <v>2323</v>
      </c>
      <c r="D1802" s="14" t="s">
        <v>1749</v>
      </c>
      <c r="E1802" s="14" t="s">
        <v>1746</v>
      </c>
      <c r="F1802" s="14">
        <v>402</v>
      </c>
      <c r="G1802" s="14">
        <v>321.60000000000002</v>
      </c>
      <c r="H1802" s="37">
        <f>'Calculation Sheet'!N1802</f>
        <v>321.60000000000002</v>
      </c>
    </row>
    <row r="1803" spans="1:8" x14ac:dyDescent="0.25">
      <c r="A1803" s="14" t="s">
        <v>2322</v>
      </c>
      <c r="B1803" s="14">
        <v>1</v>
      </c>
      <c r="C1803" s="15" t="s">
        <v>2323</v>
      </c>
      <c r="D1803" s="14" t="s">
        <v>1745</v>
      </c>
      <c r="E1803" s="14" t="s">
        <v>1746</v>
      </c>
      <c r="F1803" s="14">
        <v>4221</v>
      </c>
      <c r="G1803" s="14">
        <v>3376.8</v>
      </c>
      <c r="H1803" s="37">
        <f>'Calculation Sheet'!N1803</f>
        <v>3376.8</v>
      </c>
    </row>
    <row r="1804" spans="1:8" x14ac:dyDescent="0.25">
      <c r="A1804" s="14" t="s">
        <v>2324</v>
      </c>
      <c r="B1804" s="14">
        <v>1</v>
      </c>
      <c r="C1804" s="15" t="s">
        <v>2325</v>
      </c>
      <c r="D1804" s="14" t="s">
        <v>1749</v>
      </c>
      <c r="E1804" s="14" t="s">
        <v>1746</v>
      </c>
      <c r="F1804" s="14">
        <v>798</v>
      </c>
      <c r="G1804" s="14">
        <v>638.4</v>
      </c>
      <c r="H1804" s="37">
        <f>'Calculation Sheet'!N1804</f>
        <v>638.4</v>
      </c>
    </row>
    <row r="1805" spans="1:8" x14ac:dyDescent="0.25">
      <c r="A1805" s="14" t="s">
        <v>2324</v>
      </c>
      <c r="B1805" s="14">
        <v>1</v>
      </c>
      <c r="C1805" s="15" t="s">
        <v>2325</v>
      </c>
      <c r="D1805" s="14" t="s">
        <v>1745</v>
      </c>
      <c r="E1805" s="14" t="s">
        <v>1746</v>
      </c>
      <c r="F1805" s="14">
        <v>8379</v>
      </c>
      <c r="G1805" s="14">
        <v>6703.2</v>
      </c>
      <c r="H1805" s="37">
        <f>'Calculation Sheet'!N1805</f>
        <v>6703.2</v>
      </c>
    </row>
    <row r="1806" spans="1:8" x14ac:dyDescent="0.25">
      <c r="A1806" s="14" t="s">
        <v>2324</v>
      </c>
      <c r="B1806" s="14">
        <v>1</v>
      </c>
      <c r="C1806" s="15" t="s">
        <v>2325</v>
      </c>
      <c r="D1806" s="14" t="s">
        <v>1745</v>
      </c>
      <c r="E1806" s="14" t="s">
        <v>1747</v>
      </c>
      <c r="F1806" s="14">
        <v>7980</v>
      </c>
      <c r="G1806" s="14">
        <v>6384</v>
      </c>
      <c r="H1806" s="37">
        <f>'Calculation Sheet'!N1806</f>
        <v>6384</v>
      </c>
    </row>
    <row r="1807" spans="1:8" x14ac:dyDescent="0.25">
      <c r="A1807" s="14" t="s">
        <v>2326</v>
      </c>
      <c r="B1807" s="14" t="s">
        <v>39</v>
      </c>
      <c r="C1807" s="15" t="s">
        <v>2327</v>
      </c>
      <c r="D1807" s="14" t="s">
        <v>1749</v>
      </c>
      <c r="E1807" s="14" t="s">
        <v>1746</v>
      </c>
      <c r="F1807" s="14">
        <v>74.88</v>
      </c>
      <c r="G1807" s="14">
        <v>67.39</v>
      </c>
      <c r="H1807" s="37">
        <f>'Calculation Sheet'!N1807</f>
        <v>67.39</v>
      </c>
    </row>
    <row r="1808" spans="1:8" x14ac:dyDescent="0.25">
      <c r="A1808" s="14" t="s">
        <v>2326</v>
      </c>
      <c r="B1808" s="14">
        <v>1</v>
      </c>
      <c r="C1808" s="15" t="s">
        <v>2328</v>
      </c>
      <c r="D1808" s="14" t="s">
        <v>1745</v>
      </c>
      <c r="E1808" s="14" t="s">
        <v>1747</v>
      </c>
      <c r="F1808" s="14">
        <v>3000</v>
      </c>
      <c r="G1808" s="14">
        <v>2400</v>
      </c>
      <c r="H1808" s="37">
        <f>'Calculation Sheet'!N1808</f>
        <v>2400</v>
      </c>
    </row>
    <row r="1809" spans="1:8" x14ac:dyDescent="0.25">
      <c r="A1809" s="14" t="s">
        <v>2326</v>
      </c>
      <c r="B1809" s="14" t="s">
        <v>39</v>
      </c>
      <c r="C1809" s="15" t="s">
        <v>2327</v>
      </c>
      <c r="D1809" s="14" t="s">
        <v>1745</v>
      </c>
      <c r="E1809" s="14" t="s">
        <v>1746</v>
      </c>
      <c r="F1809" s="14">
        <v>786.24</v>
      </c>
      <c r="G1809" s="14">
        <v>707.64</v>
      </c>
      <c r="H1809" s="37">
        <f>'Calculation Sheet'!N1809</f>
        <v>707.64</v>
      </c>
    </row>
    <row r="1810" spans="1:8" x14ac:dyDescent="0.25">
      <c r="A1810" s="14" t="s">
        <v>2326</v>
      </c>
      <c r="B1810" s="14">
        <v>1</v>
      </c>
      <c r="C1810" s="15" t="s">
        <v>2328</v>
      </c>
      <c r="D1810" s="14" t="s">
        <v>1745</v>
      </c>
      <c r="E1810" s="14" t="s">
        <v>1746</v>
      </c>
      <c r="F1810" s="14">
        <v>3150</v>
      </c>
      <c r="G1810" s="14">
        <v>2520</v>
      </c>
      <c r="H1810" s="37">
        <f>'Calculation Sheet'!N1810</f>
        <v>2520</v>
      </c>
    </row>
    <row r="1811" spans="1:8" x14ac:dyDescent="0.25">
      <c r="A1811" s="14" t="s">
        <v>2326</v>
      </c>
      <c r="B1811" s="14" t="s">
        <v>39</v>
      </c>
      <c r="C1811" s="15" t="s">
        <v>2327</v>
      </c>
      <c r="D1811" s="14" t="s">
        <v>1745</v>
      </c>
      <c r="E1811" s="14" t="s">
        <v>1747</v>
      </c>
      <c r="F1811" s="14">
        <v>748.8</v>
      </c>
      <c r="G1811" s="14">
        <v>673.92</v>
      </c>
      <c r="H1811" s="37">
        <f>'Calculation Sheet'!N1811</f>
        <v>673.92</v>
      </c>
    </row>
    <row r="1812" spans="1:8" x14ac:dyDescent="0.25">
      <c r="A1812" s="14" t="s">
        <v>2326</v>
      </c>
      <c r="B1812" s="14">
        <v>1</v>
      </c>
      <c r="C1812" s="15" t="s">
        <v>2328</v>
      </c>
      <c r="D1812" s="14" t="s">
        <v>1749</v>
      </c>
      <c r="E1812" s="14" t="s">
        <v>1746</v>
      </c>
      <c r="F1812" s="14">
        <v>300</v>
      </c>
      <c r="G1812" s="14">
        <v>240</v>
      </c>
      <c r="H1812" s="37">
        <f>'Calculation Sheet'!N1812</f>
        <v>240</v>
      </c>
    </row>
    <row r="1813" spans="1:8" x14ac:dyDescent="0.25">
      <c r="A1813" s="14" t="s">
        <v>2329</v>
      </c>
      <c r="B1813" s="14">
        <v>1</v>
      </c>
      <c r="C1813" s="15" t="s">
        <v>2330</v>
      </c>
      <c r="D1813" s="14" t="s">
        <v>1745</v>
      </c>
      <c r="E1813" s="14" t="s">
        <v>1746</v>
      </c>
      <c r="F1813" s="14">
        <v>3150</v>
      </c>
      <c r="G1813" s="14">
        <v>2520</v>
      </c>
      <c r="H1813" s="37">
        <f>'Calculation Sheet'!N1813</f>
        <v>2520</v>
      </c>
    </row>
    <row r="1814" spans="1:8" x14ac:dyDescent="0.25">
      <c r="A1814" s="14" t="s">
        <v>2329</v>
      </c>
      <c r="B1814" s="14">
        <v>1</v>
      </c>
      <c r="C1814" s="15" t="s">
        <v>2330</v>
      </c>
      <c r="D1814" s="14" t="s">
        <v>1749</v>
      </c>
      <c r="E1814" s="14" t="s">
        <v>1746</v>
      </c>
      <c r="F1814" s="14">
        <v>300</v>
      </c>
      <c r="G1814" s="14">
        <v>240</v>
      </c>
      <c r="H1814" s="37">
        <f>'Calculation Sheet'!N1814</f>
        <v>240</v>
      </c>
    </row>
    <row r="1815" spans="1:8" x14ac:dyDescent="0.25">
      <c r="A1815" s="14" t="s">
        <v>2329</v>
      </c>
      <c r="B1815" s="14">
        <v>1</v>
      </c>
      <c r="C1815" s="15" t="s">
        <v>2330</v>
      </c>
      <c r="D1815" s="14" t="s">
        <v>1745</v>
      </c>
      <c r="E1815" s="14" t="s">
        <v>1747</v>
      </c>
      <c r="F1815" s="14">
        <v>3000</v>
      </c>
      <c r="G1815" s="14">
        <v>2400</v>
      </c>
      <c r="H1815" s="37">
        <f>'Calculation Sheet'!N1815</f>
        <v>2400</v>
      </c>
    </row>
    <row r="1816" spans="1:8" x14ac:dyDescent="0.25">
      <c r="A1816" s="14" t="s">
        <v>2331</v>
      </c>
      <c r="B1816" s="14">
        <v>1</v>
      </c>
      <c r="C1816" s="15" t="s">
        <v>2332</v>
      </c>
      <c r="D1816" s="14" t="s">
        <v>1749</v>
      </c>
      <c r="E1816" s="14" t="s">
        <v>1746</v>
      </c>
      <c r="F1816" s="14">
        <v>198</v>
      </c>
      <c r="G1816" s="14">
        <v>158.4</v>
      </c>
      <c r="H1816" s="37">
        <f>'Calculation Sheet'!N1816</f>
        <v>158.4</v>
      </c>
    </row>
    <row r="1817" spans="1:8" x14ac:dyDescent="0.25">
      <c r="A1817" s="14" t="s">
        <v>2331</v>
      </c>
      <c r="B1817" s="14">
        <v>1</v>
      </c>
      <c r="C1817" s="15" t="s">
        <v>2332</v>
      </c>
      <c r="D1817" s="14" t="s">
        <v>1745</v>
      </c>
      <c r="E1817" s="14" t="s">
        <v>1746</v>
      </c>
      <c r="F1817" s="14">
        <v>2079</v>
      </c>
      <c r="G1817" s="14">
        <v>1663.2</v>
      </c>
      <c r="H1817" s="37">
        <f>'Calculation Sheet'!N1817</f>
        <v>1663.2</v>
      </c>
    </row>
    <row r="1818" spans="1:8" x14ac:dyDescent="0.25">
      <c r="A1818" s="14" t="s">
        <v>2331</v>
      </c>
      <c r="B1818" s="14">
        <v>1</v>
      </c>
      <c r="C1818" s="15" t="s">
        <v>2332</v>
      </c>
      <c r="D1818" s="14" t="s">
        <v>1745</v>
      </c>
      <c r="E1818" s="14" t="s">
        <v>1747</v>
      </c>
      <c r="F1818" s="14">
        <v>1980</v>
      </c>
      <c r="G1818" s="14">
        <v>1584</v>
      </c>
      <c r="H1818" s="37">
        <f>'Calculation Sheet'!N1818</f>
        <v>1584</v>
      </c>
    </row>
    <row r="1819" spans="1:8" x14ac:dyDescent="0.25">
      <c r="A1819" s="14" t="s">
        <v>204</v>
      </c>
      <c r="B1819" s="14">
        <v>1</v>
      </c>
      <c r="C1819" s="15" t="s">
        <v>203</v>
      </c>
      <c r="D1819" s="14" t="s">
        <v>1749</v>
      </c>
      <c r="E1819" s="14" t="s">
        <v>1746</v>
      </c>
      <c r="F1819" s="14">
        <v>7488</v>
      </c>
      <c r="G1819" s="14">
        <v>5990.4</v>
      </c>
      <c r="H1819" s="37">
        <f>'Calculation Sheet'!N1819</f>
        <v>5930.4959999999992</v>
      </c>
    </row>
    <row r="1820" spans="1:8" x14ac:dyDescent="0.25">
      <c r="A1820" s="14" t="s">
        <v>204</v>
      </c>
      <c r="B1820" s="14">
        <v>1</v>
      </c>
      <c r="C1820" s="15" t="s">
        <v>203</v>
      </c>
      <c r="D1820" s="14" t="s">
        <v>1752</v>
      </c>
      <c r="E1820" s="14" t="s">
        <v>1747</v>
      </c>
      <c r="F1820" s="14">
        <v>224640</v>
      </c>
      <c r="G1820" s="14">
        <v>179712</v>
      </c>
      <c r="H1820" s="37">
        <f>'Calculation Sheet'!N1820</f>
        <v>174320.64000000001</v>
      </c>
    </row>
    <row r="1821" spans="1:8" x14ac:dyDescent="0.25">
      <c r="A1821" s="14" t="s">
        <v>204</v>
      </c>
      <c r="B1821" s="14">
        <v>1</v>
      </c>
      <c r="C1821" s="15" t="s">
        <v>203</v>
      </c>
      <c r="D1821" s="14" t="s">
        <v>1745</v>
      </c>
      <c r="E1821" s="14" t="s">
        <v>1747</v>
      </c>
      <c r="F1821" s="14">
        <v>74880</v>
      </c>
      <c r="G1821" s="14">
        <v>59904</v>
      </c>
      <c r="H1821" s="37">
        <f>'Calculation Sheet'!N1821</f>
        <v>58106.879999999997</v>
      </c>
    </row>
    <row r="1822" spans="1:8" x14ac:dyDescent="0.25">
      <c r="A1822" s="14" t="s">
        <v>204</v>
      </c>
      <c r="B1822" s="14">
        <v>1</v>
      </c>
      <c r="C1822" s="15" t="s">
        <v>203</v>
      </c>
      <c r="D1822" s="14" t="s">
        <v>1745</v>
      </c>
      <c r="E1822" s="14" t="s">
        <v>1746</v>
      </c>
      <c r="F1822" s="14">
        <v>78624</v>
      </c>
      <c r="G1822" s="14">
        <v>62899.199999999997</v>
      </c>
      <c r="H1822" s="37">
        <f>'Calculation Sheet'!N1822</f>
        <v>62270.207999999999</v>
      </c>
    </row>
    <row r="1823" spans="1:8" x14ac:dyDescent="0.25">
      <c r="A1823" s="14" t="s">
        <v>204</v>
      </c>
      <c r="B1823" s="14">
        <v>1</v>
      </c>
      <c r="C1823" s="15" t="s">
        <v>203</v>
      </c>
      <c r="D1823" s="14" t="s">
        <v>1752</v>
      </c>
      <c r="E1823" s="14" t="s">
        <v>1753</v>
      </c>
      <c r="F1823" s="14">
        <v>224640</v>
      </c>
      <c r="G1823" s="14">
        <v>179712</v>
      </c>
      <c r="H1823" s="37">
        <f>'Calculation Sheet'!N1823</f>
        <v>174320.64000000001</v>
      </c>
    </row>
    <row r="1824" spans="1:8" x14ac:dyDescent="0.25">
      <c r="A1824" s="14" t="s">
        <v>2333</v>
      </c>
      <c r="B1824" s="14">
        <v>1</v>
      </c>
      <c r="C1824" s="15" t="s">
        <v>2334</v>
      </c>
      <c r="D1824" s="14" t="s">
        <v>1745</v>
      </c>
      <c r="E1824" s="14" t="s">
        <v>1746</v>
      </c>
      <c r="F1824" s="14">
        <v>1572354</v>
      </c>
      <c r="G1824" s="14">
        <v>1100648</v>
      </c>
      <c r="H1824" s="37">
        <f>'Calculation Sheet'!N1824</f>
        <v>1100648</v>
      </c>
    </row>
    <row r="1825" spans="1:8" x14ac:dyDescent="0.25">
      <c r="A1825" s="14" t="s">
        <v>2333</v>
      </c>
      <c r="B1825" s="14">
        <v>1</v>
      </c>
      <c r="C1825" s="15" t="s">
        <v>2334</v>
      </c>
      <c r="D1825" s="14" t="s">
        <v>1752</v>
      </c>
      <c r="E1825" s="14" t="s">
        <v>1746</v>
      </c>
      <c r="F1825" s="14">
        <v>4717062</v>
      </c>
      <c r="G1825" s="14">
        <v>3301943</v>
      </c>
      <c r="H1825" s="37">
        <f>'Calculation Sheet'!N1825</f>
        <v>3301943</v>
      </c>
    </row>
    <row r="1826" spans="1:8" x14ac:dyDescent="0.25">
      <c r="A1826" s="14" t="s">
        <v>2333</v>
      </c>
      <c r="B1826" s="14">
        <v>1</v>
      </c>
      <c r="C1826" s="15" t="s">
        <v>2334</v>
      </c>
      <c r="D1826" s="14" t="s">
        <v>1752</v>
      </c>
      <c r="E1826" s="14" t="s">
        <v>1747</v>
      </c>
      <c r="F1826" s="14">
        <v>4492440</v>
      </c>
      <c r="G1826" s="14">
        <v>3144708</v>
      </c>
      <c r="H1826" s="37">
        <f>'Calculation Sheet'!N1826</f>
        <v>3144708</v>
      </c>
    </row>
    <row r="1827" spans="1:8" ht="30" x14ac:dyDescent="0.25">
      <c r="A1827" s="14" t="s">
        <v>2333</v>
      </c>
      <c r="B1827" s="14">
        <v>2</v>
      </c>
      <c r="C1827" s="15" t="s">
        <v>2335</v>
      </c>
      <c r="D1827" s="14" t="s">
        <v>1745</v>
      </c>
      <c r="E1827" s="14" t="s">
        <v>1746</v>
      </c>
      <c r="F1827" s="14">
        <v>262080</v>
      </c>
      <c r="G1827" s="14">
        <v>183456</v>
      </c>
      <c r="H1827" s="37">
        <f>'Calculation Sheet'!N1827</f>
        <v>183456</v>
      </c>
    </row>
    <row r="1828" spans="1:8" x14ac:dyDescent="0.25">
      <c r="A1828" s="14" t="s">
        <v>2333</v>
      </c>
      <c r="B1828" s="14">
        <v>1</v>
      </c>
      <c r="C1828" s="15" t="s">
        <v>2334</v>
      </c>
      <c r="D1828" s="14" t="s">
        <v>1745</v>
      </c>
      <c r="E1828" s="14" t="s">
        <v>1747</v>
      </c>
      <c r="F1828" s="14">
        <v>1497480</v>
      </c>
      <c r="G1828" s="14">
        <v>1048236</v>
      </c>
      <c r="H1828" s="37">
        <f>'Calculation Sheet'!N1828</f>
        <v>1048236</v>
      </c>
    </row>
    <row r="1829" spans="1:8" ht="30" x14ac:dyDescent="0.25">
      <c r="A1829" s="14" t="s">
        <v>2333</v>
      </c>
      <c r="B1829" s="14">
        <v>2</v>
      </c>
      <c r="C1829" s="15" t="s">
        <v>2335</v>
      </c>
      <c r="D1829" s="14" t="s">
        <v>1749</v>
      </c>
      <c r="E1829" s="14" t="s">
        <v>1746</v>
      </c>
      <c r="F1829" s="14">
        <v>24960</v>
      </c>
      <c r="G1829" s="14">
        <v>17472</v>
      </c>
      <c r="H1829" s="37">
        <f>'Calculation Sheet'!N1829</f>
        <v>17472</v>
      </c>
    </row>
    <row r="1830" spans="1:8" ht="30" x14ac:dyDescent="0.25">
      <c r="A1830" s="14" t="s">
        <v>2333</v>
      </c>
      <c r="B1830" s="14">
        <v>2</v>
      </c>
      <c r="C1830" s="15" t="s">
        <v>2335</v>
      </c>
      <c r="D1830" s="14" t="s">
        <v>1752</v>
      </c>
      <c r="E1830" s="14" t="s">
        <v>1753</v>
      </c>
      <c r="F1830" s="14">
        <v>748800</v>
      </c>
      <c r="G1830" s="14">
        <v>524160</v>
      </c>
      <c r="H1830" s="37">
        <f>'Calculation Sheet'!N1830</f>
        <v>524160</v>
      </c>
    </row>
    <row r="1831" spans="1:8" ht="30" x14ac:dyDescent="0.25">
      <c r="A1831" s="14" t="s">
        <v>2333</v>
      </c>
      <c r="B1831" s="14">
        <v>2</v>
      </c>
      <c r="C1831" s="15" t="s">
        <v>2335</v>
      </c>
      <c r="D1831" s="14" t="s">
        <v>1752</v>
      </c>
      <c r="E1831" s="14" t="s">
        <v>1746</v>
      </c>
      <c r="F1831" s="14">
        <v>786240</v>
      </c>
      <c r="G1831" s="14">
        <v>550368</v>
      </c>
      <c r="H1831" s="37">
        <f>'Calculation Sheet'!N1831</f>
        <v>550368</v>
      </c>
    </row>
    <row r="1832" spans="1:8" x14ac:dyDescent="0.25">
      <c r="A1832" s="14" t="s">
        <v>2333</v>
      </c>
      <c r="B1832" s="14">
        <v>1</v>
      </c>
      <c r="C1832" s="15" t="s">
        <v>2334</v>
      </c>
      <c r="D1832" s="14" t="s">
        <v>1752</v>
      </c>
      <c r="E1832" s="14" t="s">
        <v>1753</v>
      </c>
      <c r="F1832" s="14">
        <v>4492440</v>
      </c>
      <c r="G1832" s="14">
        <v>3144708</v>
      </c>
      <c r="H1832" s="37">
        <f>'Calculation Sheet'!N1832</f>
        <v>3144708</v>
      </c>
    </row>
    <row r="1833" spans="1:8" x14ac:dyDescent="0.25">
      <c r="A1833" s="14" t="s">
        <v>2333</v>
      </c>
      <c r="B1833" s="14">
        <v>1</v>
      </c>
      <c r="C1833" s="15" t="s">
        <v>2334</v>
      </c>
      <c r="D1833" s="14" t="s">
        <v>1749</v>
      </c>
      <c r="E1833" s="14" t="s">
        <v>1746</v>
      </c>
      <c r="F1833" s="14">
        <v>149748</v>
      </c>
      <c r="G1833" s="14">
        <v>104823.6</v>
      </c>
      <c r="H1833" s="37">
        <f>'Calculation Sheet'!N1833</f>
        <v>104823.6</v>
      </c>
    </row>
    <row r="1834" spans="1:8" ht="30" x14ac:dyDescent="0.25">
      <c r="A1834" s="14" t="s">
        <v>2333</v>
      </c>
      <c r="B1834" s="14">
        <v>2</v>
      </c>
      <c r="C1834" s="15" t="s">
        <v>2335</v>
      </c>
      <c r="D1834" s="14" t="s">
        <v>1752</v>
      </c>
      <c r="E1834" s="14" t="s">
        <v>1747</v>
      </c>
      <c r="F1834" s="14">
        <v>748800</v>
      </c>
      <c r="G1834" s="14">
        <v>524160</v>
      </c>
      <c r="H1834" s="37">
        <f>'Calculation Sheet'!N1834</f>
        <v>524160</v>
      </c>
    </row>
    <row r="1835" spans="1:8" ht="30" x14ac:dyDescent="0.25">
      <c r="A1835" s="14" t="s">
        <v>2333</v>
      </c>
      <c r="B1835" s="14">
        <v>2</v>
      </c>
      <c r="C1835" s="15" t="s">
        <v>2335</v>
      </c>
      <c r="D1835" s="14" t="s">
        <v>1745</v>
      </c>
      <c r="E1835" s="14" t="s">
        <v>1747</v>
      </c>
      <c r="F1835" s="14">
        <v>249600</v>
      </c>
      <c r="G1835" s="14">
        <v>174720</v>
      </c>
      <c r="H1835" s="37">
        <f>'Calculation Sheet'!N1835</f>
        <v>174720</v>
      </c>
    </row>
    <row r="1836" spans="1:8" x14ac:dyDescent="0.25">
      <c r="A1836" s="14" t="s">
        <v>219</v>
      </c>
      <c r="B1836" s="14">
        <v>1</v>
      </c>
      <c r="C1836" s="15" t="s">
        <v>218</v>
      </c>
      <c r="D1836" s="14" t="s">
        <v>1745</v>
      </c>
      <c r="E1836" s="14" t="s">
        <v>1747</v>
      </c>
      <c r="F1836" s="14">
        <v>4020</v>
      </c>
      <c r="G1836" s="14">
        <v>3216</v>
      </c>
      <c r="H1836" s="37">
        <f>'Calculation Sheet'!N1836</f>
        <v>3119.52</v>
      </c>
    </row>
    <row r="1837" spans="1:8" x14ac:dyDescent="0.25">
      <c r="A1837" s="14" t="s">
        <v>219</v>
      </c>
      <c r="B1837" s="14">
        <v>1</v>
      </c>
      <c r="C1837" s="15" t="s">
        <v>218</v>
      </c>
      <c r="D1837" s="14" t="s">
        <v>1749</v>
      </c>
      <c r="E1837" s="14" t="s">
        <v>1746</v>
      </c>
      <c r="F1837" s="14">
        <v>402</v>
      </c>
      <c r="G1837" s="14">
        <v>321.60000000000002</v>
      </c>
      <c r="H1837" s="37">
        <f>'Calculation Sheet'!N1837</f>
        <v>318.38400000000001</v>
      </c>
    </row>
    <row r="1838" spans="1:8" x14ac:dyDescent="0.25">
      <c r="A1838" s="14" t="s">
        <v>219</v>
      </c>
      <c r="B1838" s="14">
        <v>1</v>
      </c>
      <c r="C1838" s="15" t="s">
        <v>218</v>
      </c>
      <c r="D1838" s="14" t="s">
        <v>1745</v>
      </c>
      <c r="E1838" s="14" t="s">
        <v>1746</v>
      </c>
      <c r="F1838" s="14">
        <v>4221</v>
      </c>
      <c r="G1838" s="14">
        <v>3376.8</v>
      </c>
      <c r="H1838" s="37">
        <f>'Calculation Sheet'!N1838</f>
        <v>3343.0320000000002</v>
      </c>
    </row>
    <row r="1839" spans="1:8" x14ac:dyDescent="0.25">
      <c r="A1839" s="14" t="s">
        <v>222</v>
      </c>
      <c r="B1839" s="14">
        <v>1</v>
      </c>
      <c r="C1839" s="15" t="s">
        <v>221</v>
      </c>
      <c r="D1839" s="14" t="s">
        <v>1749</v>
      </c>
      <c r="E1839" s="14" t="s">
        <v>1746</v>
      </c>
      <c r="F1839" s="14">
        <v>498</v>
      </c>
      <c r="G1839" s="14">
        <v>398.4</v>
      </c>
      <c r="H1839" s="37">
        <f>'Calculation Sheet'!N1839</f>
        <v>394.416</v>
      </c>
    </row>
    <row r="1840" spans="1:8" x14ac:dyDescent="0.25">
      <c r="A1840" s="14" t="s">
        <v>222</v>
      </c>
      <c r="B1840" s="14">
        <v>1</v>
      </c>
      <c r="C1840" s="15" t="s">
        <v>221</v>
      </c>
      <c r="D1840" s="14" t="s">
        <v>1745</v>
      </c>
      <c r="E1840" s="14" t="s">
        <v>1746</v>
      </c>
      <c r="F1840" s="14">
        <v>5229</v>
      </c>
      <c r="G1840" s="14">
        <v>4183.2</v>
      </c>
      <c r="H1840" s="37">
        <f>'Calculation Sheet'!N1840</f>
        <v>4141.3679999999995</v>
      </c>
    </row>
    <row r="1841" spans="1:8" x14ac:dyDescent="0.25">
      <c r="A1841" s="14" t="s">
        <v>222</v>
      </c>
      <c r="B1841" s="14">
        <v>1</v>
      </c>
      <c r="C1841" s="15" t="s">
        <v>221</v>
      </c>
      <c r="D1841" s="14" t="s">
        <v>1745</v>
      </c>
      <c r="E1841" s="14" t="s">
        <v>1747</v>
      </c>
      <c r="F1841" s="14">
        <v>4980</v>
      </c>
      <c r="G1841" s="14">
        <v>3984</v>
      </c>
      <c r="H1841" s="37">
        <f>'Calculation Sheet'!N1841</f>
        <v>3864.48</v>
      </c>
    </row>
    <row r="1842" spans="1:8" x14ac:dyDescent="0.25">
      <c r="A1842" s="14" t="s">
        <v>225</v>
      </c>
      <c r="B1842" s="14">
        <v>1</v>
      </c>
      <c r="C1842" s="15" t="s">
        <v>224</v>
      </c>
      <c r="D1842" s="14" t="s">
        <v>1745</v>
      </c>
      <c r="E1842" s="14" t="s">
        <v>1747</v>
      </c>
      <c r="F1842" s="14">
        <v>4020</v>
      </c>
      <c r="G1842" s="14">
        <v>3216</v>
      </c>
      <c r="H1842" s="37">
        <f>'Calculation Sheet'!N1842</f>
        <v>3119.52</v>
      </c>
    </row>
    <row r="1843" spans="1:8" x14ac:dyDescent="0.25">
      <c r="A1843" s="14" t="s">
        <v>225</v>
      </c>
      <c r="B1843" s="14">
        <v>1</v>
      </c>
      <c r="C1843" s="15" t="s">
        <v>224</v>
      </c>
      <c r="D1843" s="14" t="s">
        <v>1745</v>
      </c>
      <c r="E1843" s="14" t="s">
        <v>1746</v>
      </c>
      <c r="F1843" s="14">
        <v>4221</v>
      </c>
      <c r="G1843" s="14">
        <v>3376.8</v>
      </c>
      <c r="H1843" s="37">
        <f>'Calculation Sheet'!N1843</f>
        <v>3343.0320000000002</v>
      </c>
    </row>
    <row r="1844" spans="1:8" x14ac:dyDescent="0.25">
      <c r="A1844" s="14" t="s">
        <v>225</v>
      </c>
      <c r="B1844" s="14">
        <v>1</v>
      </c>
      <c r="C1844" s="15" t="s">
        <v>224</v>
      </c>
      <c r="D1844" s="14" t="s">
        <v>1749</v>
      </c>
      <c r="E1844" s="14" t="s">
        <v>1746</v>
      </c>
      <c r="F1844" s="14">
        <v>402</v>
      </c>
      <c r="G1844" s="14">
        <v>321.60000000000002</v>
      </c>
      <c r="H1844" s="37">
        <f>'Calculation Sheet'!N1844</f>
        <v>318.38400000000001</v>
      </c>
    </row>
    <row r="1845" spans="1:8" x14ac:dyDescent="0.25">
      <c r="A1845" s="14" t="s">
        <v>233</v>
      </c>
      <c r="B1845" s="14" t="s">
        <v>243</v>
      </c>
      <c r="C1845" s="15" t="s">
        <v>2336</v>
      </c>
      <c r="D1845" s="14" t="s">
        <v>1745</v>
      </c>
      <c r="E1845" s="14" t="s">
        <v>1746</v>
      </c>
      <c r="F1845" s="14">
        <v>4473</v>
      </c>
      <c r="G1845" s="14">
        <v>3578.4</v>
      </c>
      <c r="H1845" s="37">
        <f>'Calculation Sheet'!N1845</f>
        <v>3506.8319999999999</v>
      </c>
    </row>
    <row r="1846" spans="1:8" x14ac:dyDescent="0.25">
      <c r="A1846" s="14" t="s">
        <v>233</v>
      </c>
      <c r="B1846" s="14">
        <v>12</v>
      </c>
      <c r="C1846" s="15" t="s">
        <v>2337</v>
      </c>
      <c r="D1846" s="14" t="s">
        <v>1745</v>
      </c>
      <c r="E1846" s="14" t="s">
        <v>1747</v>
      </c>
      <c r="F1846" s="14">
        <v>5760</v>
      </c>
      <c r="G1846" s="14">
        <v>4608</v>
      </c>
      <c r="H1846" s="37">
        <f>'Calculation Sheet'!N1846</f>
        <v>4147.2</v>
      </c>
    </row>
    <row r="1847" spans="1:8" x14ac:dyDescent="0.25">
      <c r="A1847" s="14" t="s">
        <v>233</v>
      </c>
      <c r="B1847" s="14" t="s">
        <v>118</v>
      </c>
      <c r="C1847" s="15" t="s">
        <v>2338</v>
      </c>
      <c r="D1847" s="14" t="s">
        <v>1749</v>
      </c>
      <c r="E1847" s="14" t="s">
        <v>1746</v>
      </c>
      <c r="F1847" s="14">
        <v>576</v>
      </c>
      <c r="G1847" s="14">
        <v>460.8</v>
      </c>
      <c r="H1847" s="37">
        <f>'Calculation Sheet'!N1847</f>
        <v>451.584</v>
      </c>
    </row>
    <row r="1848" spans="1:8" x14ac:dyDescent="0.25">
      <c r="A1848" s="14" t="s">
        <v>233</v>
      </c>
      <c r="B1848" s="14">
        <v>13</v>
      </c>
      <c r="C1848" s="15" t="s">
        <v>2339</v>
      </c>
      <c r="D1848" s="14" t="s">
        <v>1745</v>
      </c>
      <c r="E1848" s="14" t="s">
        <v>1747</v>
      </c>
      <c r="F1848" s="14">
        <v>4260</v>
      </c>
      <c r="G1848" s="14">
        <v>3408</v>
      </c>
      <c r="H1848" s="37">
        <f>'Calculation Sheet'!N1848</f>
        <v>3067.2</v>
      </c>
    </row>
    <row r="1849" spans="1:8" x14ac:dyDescent="0.25">
      <c r="A1849" s="14" t="s">
        <v>233</v>
      </c>
      <c r="B1849" s="14" t="s">
        <v>243</v>
      </c>
      <c r="C1849" s="15" t="s">
        <v>2336</v>
      </c>
      <c r="D1849" s="14" t="s">
        <v>1749</v>
      </c>
      <c r="E1849" s="14" t="s">
        <v>1746</v>
      </c>
      <c r="F1849" s="14">
        <v>426</v>
      </c>
      <c r="G1849" s="14">
        <v>340.8</v>
      </c>
      <c r="H1849" s="37">
        <f>'Calculation Sheet'!N1849</f>
        <v>333.98400000000004</v>
      </c>
    </row>
    <row r="1850" spans="1:8" x14ac:dyDescent="0.25">
      <c r="A1850" s="14" t="s">
        <v>233</v>
      </c>
      <c r="B1850" s="14">
        <v>13</v>
      </c>
      <c r="C1850" s="15" t="s">
        <v>2339</v>
      </c>
      <c r="D1850" s="14" t="s">
        <v>1749</v>
      </c>
      <c r="E1850" s="14" t="s">
        <v>1746</v>
      </c>
      <c r="F1850" s="14">
        <v>426</v>
      </c>
      <c r="G1850" s="14">
        <v>340.8</v>
      </c>
      <c r="H1850" s="37">
        <f>'Calculation Sheet'!N1850</f>
        <v>333.98400000000004</v>
      </c>
    </row>
    <row r="1851" spans="1:8" x14ac:dyDescent="0.25">
      <c r="A1851" s="14" t="s">
        <v>233</v>
      </c>
      <c r="B1851" s="14">
        <v>13</v>
      </c>
      <c r="C1851" s="15" t="s">
        <v>2339</v>
      </c>
      <c r="D1851" s="14" t="s">
        <v>1745</v>
      </c>
      <c r="E1851" s="14" t="s">
        <v>1746</v>
      </c>
      <c r="F1851" s="14">
        <v>4473</v>
      </c>
      <c r="G1851" s="14">
        <v>3578.4</v>
      </c>
      <c r="H1851" s="37">
        <f>'Calculation Sheet'!N1851</f>
        <v>3506.8319999999999</v>
      </c>
    </row>
    <row r="1852" spans="1:8" x14ac:dyDescent="0.25">
      <c r="A1852" s="14" t="s">
        <v>233</v>
      </c>
      <c r="B1852" s="14">
        <v>12</v>
      </c>
      <c r="C1852" s="15" t="s">
        <v>2337</v>
      </c>
      <c r="D1852" s="14" t="s">
        <v>1749</v>
      </c>
      <c r="E1852" s="14" t="s">
        <v>1746</v>
      </c>
      <c r="F1852" s="14">
        <v>576</v>
      </c>
      <c r="G1852" s="14">
        <v>460.8</v>
      </c>
      <c r="H1852" s="37">
        <f>'Calculation Sheet'!N1852</f>
        <v>451.584</v>
      </c>
    </row>
    <row r="1853" spans="1:8" x14ac:dyDescent="0.25">
      <c r="A1853" s="14" t="s">
        <v>233</v>
      </c>
      <c r="B1853" s="14" t="s">
        <v>118</v>
      </c>
      <c r="C1853" s="15" t="s">
        <v>2338</v>
      </c>
      <c r="D1853" s="14" t="s">
        <v>1745</v>
      </c>
      <c r="E1853" s="14" t="s">
        <v>1746</v>
      </c>
      <c r="F1853" s="14">
        <v>6048</v>
      </c>
      <c r="G1853" s="14">
        <v>4838.3999999999996</v>
      </c>
      <c r="H1853" s="37">
        <f>'Calculation Sheet'!N1853</f>
        <v>4741.6319999999996</v>
      </c>
    </row>
    <row r="1854" spans="1:8" x14ac:dyDescent="0.25">
      <c r="A1854" s="14" t="s">
        <v>233</v>
      </c>
      <c r="B1854" s="14" t="s">
        <v>102</v>
      </c>
      <c r="C1854" s="15" t="s">
        <v>2340</v>
      </c>
      <c r="D1854" s="14" t="s">
        <v>1749</v>
      </c>
      <c r="E1854" s="14" t="s">
        <v>1746</v>
      </c>
      <c r="F1854" s="14">
        <v>0</v>
      </c>
      <c r="G1854" s="14">
        <v>0</v>
      </c>
      <c r="H1854" s="37">
        <f>'Calculation Sheet'!N1854</f>
        <v>0</v>
      </c>
    </row>
    <row r="1855" spans="1:8" x14ac:dyDescent="0.25">
      <c r="A1855" s="14" t="s">
        <v>233</v>
      </c>
      <c r="B1855" s="14" t="s">
        <v>243</v>
      </c>
      <c r="C1855" s="15" t="s">
        <v>2336</v>
      </c>
      <c r="D1855" s="14" t="s">
        <v>1745</v>
      </c>
      <c r="E1855" s="14" t="s">
        <v>1747</v>
      </c>
      <c r="F1855" s="14">
        <v>4260</v>
      </c>
      <c r="G1855" s="14">
        <v>3408</v>
      </c>
      <c r="H1855" s="37">
        <f>'Calculation Sheet'!N1855</f>
        <v>3067.2</v>
      </c>
    </row>
    <row r="1856" spans="1:8" x14ac:dyDescent="0.25">
      <c r="A1856" s="14" t="s">
        <v>233</v>
      </c>
      <c r="B1856" s="14">
        <v>12</v>
      </c>
      <c r="C1856" s="15" t="s">
        <v>2337</v>
      </c>
      <c r="D1856" s="14" t="s">
        <v>1745</v>
      </c>
      <c r="E1856" s="14" t="s">
        <v>1746</v>
      </c>
      <c r="F1856" s="14">
        <v>6048</v>
      </c>
      <c r="G1856" s="14">
        <v>4838.3999999999996</v>
      </c>
      <c r="H1856" s="37">
        <f>'Calculation Sheet'!N1856</f>
        <v>4741.6319999999996</v>
      </c>
    </row>
    <row r="1857" spans="1:8" x14ac:dyDescent="0.25">
      <c r="A1857" s="14" t="s">
        <v>233</v>
      </c>
      <c r="B1857" s="14" t="s">
        <v>102</v>
      </c>
      <c r="C1857" s="15" t="s">
        <v>2340</v>
      </c>
      <c r="D1857" s="14" t="s">
        <v>1745</v>
      </c>
      <c r="E1857" s="14" t="s">
        <v>1747</v>
      </c>
      <c r="F1857" s="14">
        <v>0</v>
      </c>
      <c r="G1857" s="14">
        <v>0</v>
      </c>
      <c r="H1857" s="37">
        <f>'Calculation Sheet'!N1857</f>
        <v>0</v>
      </c>
    </row>
    <row r="1858" spans="1:8" x14ac:dyDescent="0.25">
      <c r="A1858" s="14" t="s">
        <v>233</v>
      </c>
      <c r="B1858" s="14" t="s">
        <v>118</v>
      </c>
      <c r="C1858" s="15" t="s">
        <v>2338</v>
      </c>
      <c r="D1858" s="14" t="s">
        <v>1745</v>
      </c>
      <c r="E1858" s="14" t="s">
        <v>1747</v>
      </c>
      <c r="F1858" s="14">
        <v>5760</v>
      </c>
      <c r="G1858" s="14">
        <v>4608</v>
      </c>
      <c r="H1858" s="37">
        <f>'Calculation Sheet'!N1858</f>
        <v>4147.2</v>
      </c>
    </row>
    <row r="1859" spans="1:8" x14ac:dyDescent="0.25">
      <c r="A1859" s="14" t="s">
        <v>233</v>
      </c>
      <c r="B1859" s="14" t="s">
        <v>102</v>
      </c>
      <c r="C1859" s="15" t="s">
        <v>2340</v>
      </c>
      <c r="D1859" s="14" t="s">
        <v>1745</v>
      </c>
      <c r="E1859" s="14" t="s">
        <v>1746</v>
      </c>
      <c r="F1859" s="14">
        <v>0</v>
      </c>
      <c r="G1859" s="14">
        <v>0</v>
      </c>
      <c r="H1859" s="37">
        <f>'Calculation Sheet'!N1859</f>
        <v>0</v>
      </c>
    </row>
    <row r="1860" spans="1:8" x14ac:dyDescent="0.25">
      <c r="A1860" s="14" t="s">
        <v>250</v>
      </c>
      <c r="B1860" s="14">
        <v>19</v>
      </c>
      <c r="C1860" s="15" t="s">
        <v>2341</v>
      </c>
      <c r="D1860" s="14" t="s">
        <v>1745</v>
      </c>
      <c r="E1860" s="14" t="s">
        <v>1747</v>
      </c>
      <c r="F1860" s="14">
        <v>10740</v>
      </c>
      <c r="G1860" s="14">
        <v>8592</v>
      </c>
      <c r="H1860" s="37">
        <f>'Calculation Sheet'!N1860</f>
        <v>7389.12</v>
      </c>
    </row>
    <row r="1861" spans="1:8" ht="30" x14ac:dyDescent="0.25">
      <c r="A1861" s="14" t="s">
        <v>250</v>
      </c>
      <c r="B1861" s="14">
        <v>14</v>
      </c>
      <c r="C1861" s="15" t="s">
        <v>2342</v>
      </c>
      <c r="D1861" s="14" t="s">
        <v>1745</v>
      </c>
      <c r="E1861" s="14" t="s">
        <v>1747</v>
      </c>
      <c r="F1861" s="14">
        <v>0</v>
      </c>
      <c r="G1861" s="14">
        <v>0</v>
      </c>
      <c r="H1861" s="37">
        <f>'Calculation Sheet'!N1861</f>
        <v>0</v>
      </c>
    </row>
    <row r="1862" spans="1:8" x14ac:dyDescent="0.25">
      <c r="A1862" s="14" t="s">
        <v>250</v>
      </c>
      <c r="B1862" s="14">
        <v>19</v>
      </c>
      <c r="C1862" s="15" t="s">
        <v>2341</v>
      </c>
      <c r="D1862" s="14" t="s">
        <v>1745</v>
      </c>
      <c r="E1862" s="14" t="s">
        <v>1746</v>
      </c>
      <c r="F1862" s="14">
        <v>11277</v>
      </c>
      <c r="G1862" s="14">
        <v>9021.6</v>
      </c>
      <c r="H1862" s="37">
        <f>'Calculation Sheet'!N1862</f>
        <v>8750.9520000000011</v>
      </c>
    </row>
    <row r="1863" spans="1:8" x14ac:dyDescent="0.25">
      <c r="A1863" s="14" t="s">
        <v>250</v>
      </c>
      <c r="B1863" s="14">
        <v>18</v>
      </c>
      <c r="C1863" s="15" t="s">
        <v>2343</v>
      </c>
      <c r="D1863" s="14" t="s">
        <v>1745</v>
      </c>
      <c r="E1863" s="14" t="s">
        <v>1747</v>
      </c>
      <c r="F1863" s="14">
        <v>7980</v>
      </c>
      <c r="G1863" s="14">
        <v>6384</v>
      </c>
      <c r="H1863" s="37">
        <f>'Calculation Sheet'!N1863</f>
        <v>5490.24</v>
      </c>
    </row>
    <row r="1864" spans="1:8" x14ac:dyDescent="0.25">
      <c r="A1864" s="14" t="s">
        <v>250</v>
      </c>
      <c r="B1864" s="14">
        <v>16</v>
      </c>
      <c r="C1864" s="15" t="s">
        <v>2344</v>
      </c>
      <c r="D1864" s="14" t="s">
        <v>1745</v>
      </c>
      <c r="E1864" s="14" t="s">
        <v>1747</v>
      </c>
      <c r="F1864" s="14">
        <v>7980</v>
      </c>
      <c r="G1864" s="14">
        <v>6384</v>
      </c>
      <c r="H1864" s="37">
        <f>'Calculation Sheet'!N1864</f>
        <v>5490.24</v>
      </c>
    </row>
    <row r="1865" spans="1:8" x14ac:dyDescent="0.25">
      <c r="A1865" s="14" t="s">
        <v>250</v>
      </c>
      <c r="B1865" s="14">
        <v>18</v>
      </c>
      <c r="C1865" s="15" t="s">
        <v>2343</v>
      </c>
      <c r="D1865" s="14" t="s">
        <v>1745</v>
      </c>
      <c r="E1865" s="14" t="s">
        <v>1746</v>
      </c>
      <c r="F1865" s="14">
        <v>8379</v>
      </c>
      <c r="G1865" s="14">
        <v>6703.2</v>
      </c>
      <c r="H1865" s="37">
        <f>'Calculation Sheet'!N1865</f>
        <v>6502.1040000000003</v>
      </c>
    </row>
    <row r="1866" spans="1:8" x14ac:dyDescent="0.25">
      <c r="A1866" s="14" t="s">
        <v>250</v>
      </c>
      <c r="B1866" s="14" t="s">
        <v>258</v>
      </c>
      <c r="C1866" s="15" t="s">
        <v>2345</v>
      </c>
      <c r="D1866" s="14" t="s">
        <v>1749</v>
      </c>
      <c r="E1866" s="14" t="s">
        <v>1766</v>
      </c>
      <c r="F1866" s="14">
        <v>0</v>
      </c>
      <c r="G1866" s="14">
        <v>0</v>
      </c>
      <c r="H1866" s="37">
        <f>'Calculation Sheet'!N1866</f>
        <v>0</v>
      </c>
    </row>
    <row r="1867" spans="1:8" x14ac:dyDescent="0.25">
      <c r="A1867" s="14" t="s">
        <v>250</v>
      </c>
      <c r="B1867" s="14">
        <v>12</v>
      </c>
      <c r="C1867" s="15" t="s">
        <v>2345</v>
      </c>
      <c r="D1867" s="14" t="s">
        <v>1745</v>
      </c>
      <c r="E1867" s="14" t="s">
        <v>1747</v>
      </c>
      <c r="F1867" s="14">
        <v>10740</v>
      </c>
      <c r="G1867" s="14">
        <v>8592</v>
      </c>
      <c r="H1867" s="37">
        <f>'Calculation Sheet'!N1867</f>
        <v>7389.12</v>
      </c>
    </row>
    <row r="1868" spans="1:8" x14ac:dyDescent="0.25">
      <c r="A1868" s="14" t="s">
        <v>250</v>
      </c>
      <c r="B1868" s="14">
        <v>12</v>
      </c>
      <c r="C1868" s="15" t="s">
        <v>2345</v>
      </c>
      <c r="D1868" s="14" t="s">
        <v>1749</v>
      </c>
      <c r="E1868" s="14" t="s">
        <v>1746</v>
      </c>
      <c r="F1868" s="14">
        <v>1074</v>
      </c>
      <c r="G1868" s="14">
        <v>859.2</v>
      </c>
      <c r="H1868" s="37">
        <f>'Calculation Sheet'!N1868</f>
        <v>833.42400000000009</v>
      </c>
    </row>
    <row r="1869" spans="1:8" x14ac:dyDescent="0.25">
      <c r="A1869" s="14" t="s">
        <v>250</v>
      </c>
      <c r="B1869" s="14">
        <v>16</v>
      </c>
      <c r="C1869" s="15" t="s">
        <v>2344</v>
      </c>
      <c r="D1869" s="14" t="s">
        <v>1745</v>
      </c>
      <c r="E1869" s="14" t="s">
        <v>1746</v>
      </c>
      <c r="F1869" s="14">
        <v>8379</v>
      </c>
      <c r="G1869" s="14">
        <v>6703.2</v>
      </c>
      <c r="H1869" s="37">
        <f>'Calculation Sheet'!N1869</f>
        <v>6502.1040000000003</v>
      </c>
    </row>
    <row r="1870" spans="1:8" ht="30" x14ac:dyDescent="0.25">
      <c r="A1870" s="14" t="s">
        <v>250</v>
      </c>
      <c r="B1870" s="14">
        <v>14</v>
      </c>
      <c r="C1870" s="15" t="s">
        <v>2342</v>
      </c>
      <c r="D1870" s="14" t="s">
        <v>1745</v>
      </c>
      <c r="E1870" s="14" t="s">
        <v>1746</v>
      </c>
      <c r="F1870" s="14">
        <v>0</v>
      </c>
      <c r="G1870" s="14">
        <v>0</v>
      </c>
      <c r="H1870" s="37">
        <f>'Calculation Sheet'!N1870</f>
        <v>0</v>
      </c>
    </row>
    <row r="1871" spans="1:8" x14ac:dyDescent="0.25">
      <c r="A1871" s="14" t="s">
        <v>250</v>
      </c>
      <c r="B1871" s="14">
        <v>19</v>
      </c>
      <c r="C1871" s="15" t="s">
        <v>2341</v>
      </c>
      <c r="D1871" s="14" t="s">
        <v>1749</v>
      </c>
      <c r="E1871" s="14" t="s">
        <v>1746</v>
      </c>
      <c r="F1871" s="14">
        <v>1074</v>
      </c>
      <c r="G1871" s="14">
        <v>859.2</v>
      </c>
      <c r="H1871" s="37">
        <f>'Calculation Sheet'!N1871</f>
        <v>833.42400000000009</v>
      </c>
    </row>
    <row r="1872" spans="1:8" x14ac:dyDescent="0.25">
      <c r="A1872" s="14" t="s">
        <v>250</v>
      </c>
      <c r="B1872" s="14">
        <v>12</v>
      </c>
      <c r="C1872" s="15" t="s">
        <v>2345</v>
      </c>
      <c r="D1872" s="14" t="s">
        <v>1745</v>
      </c>
      <c r="E1872" s="14" t="s">
        <v>1746</v>
      </c>
      <c r="F1872" s="14">
        <v>11277</v>
      </c>
      <c r="G1872" s="14">
        <v>9021.6</v>
      </c>
      <c r="H1872" s="37">
        <f>'Calculation Sheet'!N1872</f>
        <v>8750.9520000000011</v>
      </c>
    </row>
    <row r="1873" spans="1:8" x14ac:dyDescent="0.25">
      <c r="A1873" s="14" t="s">
        <v>250</v>
      </c>
      <c r="B1873" s="14">
        <v>18</v>
      </c>
      <c r="C1873" s="15" t="s">
        <v>2343</v>
      </c>
      <c r="D1873" s="14" t="s">
        <v>1749</v>
      </c>
      <c r="E1873" s="14" t="s">
        <v>1746</v>
      </c>
      <c r="F1873" s="14">
        <v>798</v>
      </c>
      <c r="G1873" s="14">
        <v>638.4</v>
      </c>
      <c r="H1873" s="37">
        <f>'Calculation Sheet'!N1873</f>
        <v>619.24799999999993</v>
      </c>
    </row>
    <row r="1874" spans="1:8" x14ac:dyDescent="0.25">
      <c r="A1874" s="14" t="s">
        <v>250</v>
      </c>
      <c r="B1874" s="14">
        <v>16</v>
      </c>
      <c r="C1874" s="15" t="s">
        <v>2344</v>
      </c>
      <c r="D1874" s="14" t="s">
        <v>1749</v>
      </c>
      <c r="E1874" s="14" t="s">
        <v>1746</v>
      </c>
      <c r="F1874" s="14">
        <v>798</v>
      </c>
      <c r="G1874" s="14">
        <v>638.4</v>
      </c>
      <c r="H1874" s="37">
        <f>'Calculation Sheet'!N1874</f>
        <v>619.24799999999993</v>
      </c>
    </row>
    <row r="1875" spans="1:8" x14ac:dyDescent="0.25">
      <c r="A1875" s="14" t="s">
        <v>250</v>
      </c>
      <c r="B1875" s="14" t="s">
        <v>263</v>
      </c>
      <c r="C1875" s="15" t="s">
        <v>2344</v>
      </c>
      <c r="D1875" s="14" t="s">
        <v>1749</v>
      </c>
      <c r="E1875" s="14" t="s">
        <v>1766</v>
      </c>
      <c r="F1875" s="14">
        <v>0</v>
      </c>
      <c r="G1875" s="14">
        <v>0</v>
      </c>
      <c r="H1875" s="37">
        <f>'Calculation Sheet'!N1875</f>
        <v>0</v>
      </c>
    </row>
    <row r="1876" spans="1:8" ht="30" x14ac:dyDescent="0.25">
      <c r="A1876" s="14" t="s">
        <v>250</v>
      </c>
      <c r="B1876" s="14">
        <v>14</v>
      </c>
      <c r="C1876" s="15" t="s">
        <v>2342</v>
      </c>
      <c r="D1876" s="14" t="s">
        <v>1749</v>
      </c>
      <c r="E1876" s="14" t="s">
        <v>1746</v>
      </c>
      <c r="F1876" s="14">
        <v>0</v>
      </c>
      <c r="G1876" s="14">
        <v>0</v>
      </c>
      <c r="H1876" s="37">
        <f>'Calculation Sheet'!N1876</f>
        <v>0</v>
      </c>
    </row>
    <row r="1877" spans="1:8" x14ac:dyDescent="0.25">
      <c r="A1877" s="14" t="s">
        <v>287</v>
      </c>
      <c r="B1877" s="14">
        <v>5</v>
      </c>
      <c r="C1877" s="15" t="s">
        <v>2346</v>
      </c>
      <c r="D1877" s="14" t="s">
        <v>1745</v>
      </c>
      <c r="E1877" s="14" t="s">
        <v>1747</v>
      </c>
      <c r="F1877" s="14">
        <v>0</v>
      </c>
      <c r="G1877" s="14">
        <v>0</v>
      </c>
      <c r="H1877" s="37">
        <f>'Calculation Sheet'!N1877</f>
        <v>0</v>
      </c>
    </row>
    <row r="1878" spans="1:8" x14ac:dyDescent="0.25">
      <c r="A1878" s="14" t="s">
        <v>287</v>
      </c>
      <c r="B1878" s="14">
        <v>5</v>
      </c>
      <c r="C1878" s="15" t="s">
        <v>2346</v>
      </c>
      <c r="D1878" s="14" t="s">
        <v>1745</v>
      </c>
      <c r="E1878" s="14" t="s">
        <v>1746</v>
      </c>
      <c r="F1878" s="14">
        <v>0</v>
      </c>
      <c r="G1878" s="14">
        <v>0</v>
      </c>
      <c r="H1878" s="37">
        <f>'Calculation Sheet'!N1878</f>
        <v>0</v>
      </c>
    </row>
    <row r="1879" spans="1:8" x14ac:dyDescent="0.25">
      <c r="A1879" s="14" t="s">
        <v>287</v>
      </c>
      <c r="B1879" s="14">
        <v>5</v>
      </c>
      <c r="C1879" s="15" t="s">
        <v>2346</v>
      </c>
      <c r="D1879" s="14" t="s">
        <v>1749</v>
      </c>
      <c r="E1879" s="14" t="s">
        <v>1746</v>
      </c>
      <c r="F1879" s="14">
        <v>0</v>
      </c>
      <c r="G1879" s="14">
        <v>0</v>
      </c>
      <c r="H1879" s="37">
        <f>'Calculation Sheet'!N1879</f>
        <v>0</v>
      </c>
    </row>
    <row r="1880" spans="1:8" x14ac:dyDescent="0.25">
      <c r="A1880" s="14" t="s">
        <v>2347</v>
      </c>
      <c r="B1880" s="14">
        <v>1</v>
      </c>
      <c r="C1880" s="15" t="s">
        <v>2348</v>
      </c>
      <c r="D1880" s="14" t="s">
        <v>1749</v>
      </c>
      <c r="E1880" s="14" t="s">
        <v>1746</v>
      </c>
      <c r="F1880" s="14">
        <v>906</v>
      </c>
      <c r="G1880" s="14">
        <v>724.8</v>
      </c>
      <c r="H1880" s="37">
        <f>'Calculation Sheet'!N1880</f>
        <v>724.8</v>
      </c>
    </row>
    <row r="1881" spans="1:8" x14ac:dyDescent="0.25">
      <c r="A1881" s="14" t="s">
        <v>2347</v>
      </c>
      <c r="B1881" s="14">
        <v>1</v>
      </c>
      <c r="C1881" s="15" t="s">
        <v>2348</v>
      </c>
      <c r="D1881" s="14" t="s">
        <v>1745</v>
      </c>
      <c r="E1881" s="14" t="s">
        <v>1746</v>
      </c>
      <c r="F1881" s="14">
        <v>9513</v>
      </c>
      <c r="G1881" s="14">
        <v>7610.4</v>
      </c>
      <c r="H1881" s="37">
        <f>'Calculation Sheet'!N1881</f>
        <v>7610.4</v>
      </c>
    </row>
    <row r="1882" spans="1:8" x14ac:dyDescent="0.25">
      <c r="A1882" s="14" t="s">
        <v>2347</v>
      </c>
      <c r="B1882" s="14">
        <v>1</v>
      </c>
      <c r="C1882" s="15" t="s">
        <v>2348</v>
      </c>
      <c r="D1882" s="14" t="s">
        <v>1745</v>
      </c>
      <c r="E1882" s="14" t="s">
        <v>1747</v>
      </c>
      <c r="F1882" s="14">
        <v>9060</v>
      </c>
      <c r="G1882" s="14">
        <v>7248</v>
      </c>
      <c r="H1882" s="37">
        <f>'Calculation Sheet'!N1882</f>
        <v>7248</v>
      </c>
    </row>
    <row r="1883" spans="1:8" x14ac:dyDescent="0.25">
      <c r="A1883" s="14" t="s">
        <v>2349</v>
      </c>
      <c r="B1883" s="14" t="s">
        <v>235</v>
      </c>
      <c r="C1883" s="15" t="s">
        <v>2350</v>
      </c>
      <c r="D1883" s="14" t="s">
        <v>1745</v>
      </c>
      <c r="E1883" s="14" t="s">
        <v>1747</v>
      </c>
      <c r="F1883" s="14">
        <v>0</v>
      </c>
      <c r="G1883" s="14">
        <v>0</v>
      </c>
      <c r="H1883" s="37">
        <f>'Calculation Sheet'!N1883</f>
        <v>0</v>
      </c>
    </row>
    <row r="1884" spans="1:8" x14ac:dyDescent="0.25">
      <c r="A1884" s="14" t="s">
        <v>2349</v>
      </c>
      <c r="B1884" s="14" t="s">
        <v>608</v>
      </c>
      <c r="C1884" s="15" t="s">
        <v>2351</v>
      </c>
      <c r="D1884" s="14" t="s">
        <v>1749</v>
      </c>
      <c r="E1884" s="14" t="s">
        <v>1746</v>
      </c>
      <c r="F1884" s="14">
        <v>174</v>
      </c>
      <c r="G1884" s="14">
        <v>139.19999999999999</v>
      </c>
      <c r="H1884" s="37">
        <f>'Calculation Sheet'!N1884</f>
        <v>139.19999999999999</v>
      </c>
    </row>
    <row r="1885" spans="1:8" x14ac:dyDescent="0.25">
      <c r="A1885" s="14" t="s">
        <v>2349</v>
      </c>
      <c r="B1885" s="14" t="s">
        <v>608</v>
      </c>
      <c r="C1885" s="15" t="s">
        <v>2351</v>
      </c>
      <c r="D1885" s="14" t="s">
        <v>1745</v>
      </c>
      <c r="E1885" s="14" t="s">
        <v>1747</v>
      </c>
      <c r="F1885" s="14">
        <v>1740</v>
      </c>
      <c r="G1885" s="14">
        <v>1392</v>
      </c>
      <c r="H1885" s="37">
        <f>'Calculation Sheet'!N1885</f>
        <v>1392</v>
      </c>
    </row>
    <row r="1886" spans="1:8" x14ac:dyDescent="0.25">
      <c r="A1886" s="14" t="s">
        <v>2349</v>
      </c>
      <c r="B1886" s="14">
        <v>1</v>
      </c>
      <c r="C1886" s="15" t="s">
        <v>2352</v>
      </c>
      <c r="D1886" s="14" t="s">
        <v>1745</v>
      </c>
      <c r="E1886" s="14" t="s">
        <v>1746</v>
      </c>
      <c r="F1886" s="14">
        <v>14679</v>
      </c>
      <c r="G1886" s="14">
        <v>11743.2</v>
      </c>
      <c r="H1886" s="37">
        <f>'Calculation Sheet'!N1886</f>
        <v>11743.2</v>
      </c>
    </row>
    <row r="1887" spans="1:8" x14ac:dyDescent="0.25">
      <c r="A1887" s="14" t="s">
        <v>2349</v>
      </c>
      <c r="B1887" s="14" t="s">
        <v>263</v>
      </c>
      <c r="C1887" s="15" t="s">
        <v>2353</v>
      </c>
      <c r="D1887" s="14" t="s">
        <v>1745</v>
      </c>
      <c r="E1887" s="14" t="s">
        <v>1747</v>
      </c>
      <c r="F1887" s="14">
        <v>2220</v>
      </c>
      <c r="G1887" s="14">
        <v>1776</v>
      </c>
      <c r="H1887" s="37">
        <f>'Calculation Sheet'!N1887</f>
        <v>1776</v>
      </c>
    </row>
    <row r="1888" spans="1:8" x14ac:dyDescent="0.25">
      <c r="A1888" s="14" t="s">
        <v>2349</v>
      </c>
      <c r="B1888" s="14" t="s">
        <v>470</v>
      </c>
      <c r="C1888" s="15" t="s">
        <v>2354</v>
      </c>
      <c r="D1888" s="14" t="s">
        <v>1745</v>
      </c>
      <c r="E1888" s="14" t="s">
        <v>1746</v>
      </c>
      <c r="F1888" s="14">
        <v>3654</v>
      </c>
      <c r="G1888" s="14">
        <v>3288.6</v>
      </c>
      <c r="H1888" s="37">
        <f>'Calculation Sheet'!N1888</f>
        <v>3288.6</v>
      </c>
    </row>
    <row r="1889" spans="1:8" x14ac:dyDescent="0.25">
      <c r="A1889" s="14" t="s">
        <v>2349</v>
      </c>
      <c r="B1889" s="14" t="s">
        <v>235</v>
      </c>
      <c r="C1889" s="15" t="s">
        <v>2350</v>
      </c>
      <c r="D1889" s="14" t="s">
        <v>1745</v>
      </c>
      <c r="E1889" s="14" t="s">
        <v>1746</v>
      </c>
      <c r="F1889" s="14">
        <v>0</v>
      </c>
      <c r="G1889" s="14">
        <v>0</v>
      </c>
      <c r="H1889" s="37">
        <f>'Calculation Sheet'!N1889</f>
        <v>0</v>
      </c>
    </row>
    <row r="1890" spans="1:8" x14ac:dyDescent="0.25">
      <c r="A1890" s="14" t="s">
        <v>2349</v>
      </c>
      <c r="B1890" s="14" t="s">
        <v>608</v>
      </c>
      <c r="C1890" s="15" t="s">
        <v>2351</v>
      </c>
      <c r="D1890" s="14" t="s">
        <v>1745</v>
      </c>
      <c r="E1890" s="14" t="s">
        <v>1746</v>
      </c>
      <c r="F1890" s="14">
        <v>1827</v>
      </c>
      <c r="G1890" s="14">
        <v>1461.6</v>
      </c>
      <c r="H1890" s="37">
        <f>'Calculation Sheet'!N1890</f>
        <v>1461.6</v>
      </c>
    </row>
    <row r="1891" spans="1:8" x14ac:dyDescent="0.25">
      <c r="A1891" s="14" t="s">
        <v>2349</v>
      </c>
      <c r="B1891" s="14">
        <v>24</v>
      </c>
      <c r="C1891" s="15" t="s">
        <v>2354</v>
      </c>
      <c r="D1891" s="14" t="s">
        <v>1749</v>
      </c>
      <c r="E1891" s="14" t="s">
        <v>1766</v>
      </c>
      <c r="F1891" s="14">
        <v>0</v>
      </c>
      <c r="G1891" s="14">
        <v>0</v>
      </c>
      <c r="H1891" s="37">
        <f>'Calculation Sheet'!N1891</f>
        <v>0</v>
      </c>
    </row>
    <row r="1892" spans="1:8" x14ac:dyDescent="0.25">
      <c r="A1892" s="14" t="s">
        <v>2349</v>
      </c>
      <c r="B1892" s="14">
        <v>1</v>
      </c>
      <c r="C1892" s="15" t="s">
        <v>2352</v>
      </c>
      <c r="D1892" s="14" t="s">
        <v>1749</v>
      </c>
      <c r="E1892" s="14" t="s">
        <v>1746</v>
      </c>
      <c r="F1892" s="14">
        <v>1398</v>
      </c>
      <c r="G1892" s="14">
        <v>1118.4000000000001</v>
      </c>
      <c r="H1892" s="37">
        <f>'Calculation Sheet'!N1892</f>
        <v>1118.4000000000001</v>
      </c>
    </row>
    <row r="1893" spans="1:8" x14ac:dyDescent="0.25">
      <c r="A1893" s="14" t="s">
        <v>2349</v>
      </c>
      <c r="B1893" s="14" t="s">
        <v>263</v>
      </c>
      <c r="C1893" s="15" t="s">
        <v>2353</v>
      </c>
      <c r="D1893" s="14" t="s">
        <v>1745</v>
      </c>
      <c r="E1893" s="14" t="s">
        <v>1746</v>
      </c>
      <c r="F1893" s="14">
        <v>2331</v>
      </c>
      <c r="G1893" s="14">
        <v>1864.8</v>
      </c>
      <c r="H1893" s="37">
        <f>'Calculation Sheet'!N1893</f>
        <v>1864.8</v>
      </c>
    </row>
    <row r="1894" spans="1:8" x14ac:dyDescent="0.25">
      <c r="A1894" s="14" t="s">
        <v>2349</v>
      </c>
      <c r="B1894" s="14" t="s">
        <v>263</v>
      </c>
      <c r="C1894" s="15" t="s">
        <v>2353</v>
      </c>
      <c r="D1894" s="14" t="s">
        <v>1749</v>
      </c>
      <c r="E1894" s="14" t="s">
        <v>1746</v>
      </c>
      <c r="F1894" s="14">
        <v>222</v>
      </c>
      <c r="G1894" s="14">
        <v>177.6</v>
      </c>
      <c r="H1894" s="37">
        <f>'Calculation Sheet'!N1894</f>
        <v>177.6</v>
      </c>
    </row>
    <row r="1895" spans="1:8" x14ac:dyDescent="0.25">
      <c r="A1895" s="14" t="s">
        <v>2349</v>
      </c>
      <c r="B1895" s="14">
        <v>1</v>
      </c>
      <c r="C1895" s="15" t="s">
        <v>2352</v>
      </c>
      <c r="D1895" s="14" t="s">
        <v>1745</v>
      </c>
      <c r="E1895" s="14" t="s">
        <v>1747</v>
      </c>
      <c r="F1895" s="14">
        <v>13980</v>
      </c>
      <c r="G1895" s="14">
        <v>11184</v>
      </c>
      <c r="H1895" s="37">
        <f>'Calculation Sheet'!N1895</f>
        <v>11184</v>
      </c>
    </row>
    <row r="1896" spans="1:8" x14ac:dyDescent="0.25">
      <c r="A1896" s="14" t="s">
        <v>2349</v>
      </c>
      <c r="B1896" s="14" t="s">
        <v>470</v>
      </c>
      <c r="C1896" s="15" t="s">
        <v>2354</v>
      </c>
      <c r="D1896" s="14" t="s">
        <v>1745</v>
      </c>
      <c r="E1896" s="14" t="s">
        <v>1747</v>
      </c>
      <c r="F1896" s="14">
        <v>3480</v>
      </c>
      <c r="G1896" s="14">
        <v>3132</v>
      </c>
      <c r="H1896" s="37">
        <f>'Calculation Sheet'!N1896</f>
        <v>3132</v>
      </c>
    </row>
    <row r="1897" spans="1:8" x14ac:dyDescent="0.25">
      <c r="A1897" s="14" t="s">
        <v>2349</v>
      </c>
      <c r="B1897" s="14" t="s">
        <v>470</v>
      </c>
      <c r="C1897" s="15" t="s">
        <v>2354</v>
      </c>
      <c r="D1897" s="14" t="s">
        <v>1749</v>
      </c>
      <c r="E1897" s="14" t="s">
        <v>1746</v>
      </c>
      <c r="F1897" s="14">
        <v>348</v>
      </c>
      <c r="G1897" s="14">
        <v>313.2</v>
      </c>
      <c r="H1897" s="37">
        <f>'Calculation Sheet'!N1897</f>
        <v>313.2</v>
      </c>
    </row>
    <row r="1898" spans="1:8" x14ac:dyDescent="0.25">
      <c r="A1898" s="14" t="s">
        <v>2349</v>
      </c>
      <c r="B1898" s="14" t="s">
        <v>235</v>
      </c>
      <c r="C1898" s="15" t="s">
        <v>2350</v>
      </c>
      <c r="D1898" s="14" t="s">
        <v>1749</v>
      </c>
      <c r="E1898" s="14" t="s">
        <v>1746</v>
      </c>
      <c r="F1898" s="14">
        <v>0</v>
      </c>
      <c r="G1898" s="14">
        <v>0</v>
      </c>
      <c r="H1898" s="37">
        <f>'Calculation Sheet'!N1898</f>
        <v>0</v>
      </c>
    </row>
    <row r="1899" spans="1:8" x14ac:dyDescent="0.25">
      <c r="A1899" s="14" t="s">
        <v>291</v>
      </c>
      <c r="B1899" s="14" t="s">
        <v>333</v>
      </c>
      <c r="C1899" s="15" t="s">
        <v>2355</v>
      </c>
      <c r="D1899" s="14" t="s">
        <v>1745</v>
      </c>
      <c r="E1899" s="14" t="s">
        <v>1747</v>
      </c>
      <c r="F1899" s="14">
        <v>0</v>
      </c>
      <c r="G1899" s="14">
        <v>0</v>
      </c>
      <c r="H1899" s="37">
        <f>'Calculation Sheet'!N1899</f>
        <v>0</v>
      </c>
    </row>
    <row r="1900" spans="1:8" x14ac:dyDescent="0.25">
      <c r="A1900" s="14" t="s">
        <v>291</v>
      </c>
      <c r="B1900" s="14" t="s">
        <v>325</v>
      </c>
      <c r="C1900" s="15" t="s">
        <v>2356</v>
      </c>
      <c r="D1900" s="14" t="s">
        <v>1749</v>
      </c>
      <c r="E1900" s="14" t="s">
        <v>1746</v>
      </c>
      <c r="F1900" s="14">
        <v>0</v>
      </c>
      <c r="G1900" s="14">
        <v>0</v>
      </c>
      <c r="H1900" s="37">
        <f>'Calculation Sheet'!N1900</f>
        <v>0</v>
      </c>
    </row>
    <row r="1901" spans="1:8" x14ac:dyDescent="0.25">
      <c r="A1901" s="14" t="s">
        <v>291</v>
      </c>
      <c r="B1901" s="14" t="s">
        <v>333</v>
      </c>
      <c r="C1901" s="15" t="s">
        <v>2355</v>
      </c>
      <c r="D1901" s="14" t="s">
        <v>1745</v>
      </c>
      <c r="E1901" s="14" t="s">
        <v>1746</v>
      </c>
      <c r="F1901" s="14">
        <v>0</v>
      </c>
      <c r="G1901" s="14">
        <v>0</v>
      </c>
      <c r="H1901" s="37">
        <f>'Calculation Sheet'!N1901</f>
        <v>0</v>
      </c>
    </row>
    <row r="1902" spans="1:8" x14ac:dyDescent="0.25">
      <c r="A1902" s="14" t="s">
        <v>291</v>
      </c>
      <c r="B1902" s="14" t="s">
        <v>333</v>
      </c>
      <c r="C1902" s="15" t="s">
        <v>2355</v>
      </c>
      <c r="D1902" s="14" t="s">
        <v>1749</v>
      </c>
      <c r="E1902" s="14" t="s">
        <v>1746</v>
      </c>
      <c r="F1902" s="14">
        <v>0</v>
      </c>
      <c r="G1902" s="14">
        <v>0</v>
      </c>
      <c r="H1902" s="37">
        <f>'Calculation Sheet'!N1902</f>
        <v>0</v>
      </c>
    </row>
    <row r="1903" spans="1:8" x14ac:dyDescent="0.25">
      <c r="A1903" s="14" t="s">
        <v>291</v>
      </c>
      <c r="B1903" s="14" t="s">
        <v>297</v>
      </c>
      <c r="C1903" s="15" t="s">
        <v>2357</v>
      </c>
      <c r="D1903" s="14" t="s">
        <v>1745</v>
      </c>
      <c r="E1903" s="14" t="s">
        <v>1746</v>
      </c>
      <c r="F1903" s="14">
        <v>1575</v>
      </c>
      <c r="G1903" s="14">
        <v>1260</v>
      </c>
      <c r="H1903" s="37">
        <f>'Calculation Sheet'!N1903</f>
        <v>1247.4000000000001</v>
      </c>
    </row>
    <row r="1904" spans="1:8" x14ac:dyDescent="0.25">
      <c r="A1904" s="14" t="s">
        <v>291</v>
      </c>
      <c r="B1904" s="14" t="s">
        <v>297</v>
      </c>
      <c r="C1904" s="15" t="s">
        <v>2357</v>
      </c>
      <c r="D1904" s="14" t="s">
        <v>1745</v>
      </c>
      <c r="E1904" s="14" t="s">
        <v>1747</v>
      </c>
      <c r="F1904" s="14">
        <v>1500</v>
      </c>
      <c r="G1904" s="14">
        <v>1200</v>
      </c>
      <c r="H1904" s="37">
        <f>'Calculation Sheet'!N1904</f>
        <v>1164</v>
      </c>
    </row>
    <row r="1905" spans="1:8" x14ac:dyDescent="0.25">
      <c r="A1905" s="14" t="s">
        <v>291</v>
      </c>
      <c r="B1905" s="14">
        <v>8</v>
      </c>
      <c r="C1905" s="15" t="s">
        <v>321</v>
      </c>
      <c r="D1905" s="14" t="s">
        <v>1745</v>
      </c>
      <c r="E1905" s="14" t="s">
        <v>1747</v>
      </c>
      <c r="F1905" s="14">
        <v>0</v>
      </c>
      <c r="G1905" s="14">
        <v>0</v>
      </c>
      <c r="H1905" s="37">
        <f>'Calculation Sheet'!N1905</f>
        <v>0</v>
      </c>
    </row>
    <row r="1906" spans="1:8" x14ac:dyDescent="0.25">
      <c r="A1906" s="14" t="s">
        <v>291</v>
      </c>
      <c r="B1906" s="14">
        <v>8</v>
      </c>
      <c r="C1906" s="15" t="s">
        <v>321</v>
      </c>
      <c r="D1906" s="14" t="s">
        <v>1745</v>
      </c>
      <c r="E1906" s="14" t="s">
        <v>1746</v>
      </c>
      <c r="F1906" s="14">
        <v>0</v>
      </c>
      <c r="G1906" s="14">
        <v>0</v>
      </c>
      <c r="H1906" s="37">
        <f>'Calculation Sheet'!N1906</f>
        <v>0</v>
      </c>
    </row>
    <row r="1907" spans="1:8" x14ac:dyDescent="0.25">
      <c r="A1907" s="14" t="s">
        <v>291</v>
      </c>
      <c r="B1907" s="14" t="s">
        <v>173</v>
      </c>
      <c r="C1907" s="15" t="s">
        <v>2358</v>
      </c>
      <c r="D1907" s="14" t="s">
        <v>1749</v>
      </c>
      <c r="E1907" s="14" t="s">
        <v>1746</v>
      </c>
      <c r="F1907" s="14">
        <v>112.8</v>
      </c>
      <c r="G1907" s="14">
        <v>90.24</v>
      </c>
      <c r="H1907" s="37">
        <f>'Calculation Sheet'!N1907</f>
        <v>89.337599999999995</v>
      </c>
    </row>
    <row r="1908" spans="1:8" x14ac:dyDescent="0.25">
      <c r="A1908" s="14" t="s">
        <v>291</v>
      </c>
      <c r="B1908" s="14" t="s">
        <v>297</v>
      </c>
      <c r="C1908" s="15" t="s">
        <v>2357</v>
      </c>
      <c r="D1908" s="14" t="s">
        <v>1749</v>
      </c>
      <c r="E1908" s="14" t="s">
        <v>1746</v>
      </c>
      <c r="F1908" s="14">
        <v>150</v>
      </c>
      <c r="G1908" s="14">
        <v>120</v>
      </c>
      <c r="H1908" s="37">
        <f>'Calculation Sheet'!N1908</f>
        <v>118.8</v>
      </c>
    </row>
    <row r="1909" spans="1:8" x14ac:dyDescent="0.25">
      <c r="A1909" s="14" t="s">
        <v>291</v>
      </c>
      <c r="B1909" s="14" t="s">
        <v>173</v>
      </c>
      <c r="C1909" s="15" t="s">
        <v>2358</v>
      </c>
      <c r="D1909" s="14" t="s">
        <v>1745</v>
      </c>
      <c r="E1909" s="14" t="s">
        <v>1746</v>
      </c>
      <c r="F1909" s="14">
        <v>1184.4000000000001</v>
      </c>
      <c r="G1909" s="14">
        <v>947.52</v>
      </c>
      <c r="H1909" s="37">
        <f>'Calculation Sheet'!N1909</f>
        <v>938.04480000000001</v>
      </c>
    </row>
    <row r="1910" spans="1:8" x14ac:dyDescent="0.25">
      <c r="A1910" s="14" t="s">
        <v>291</v>
      </c>
      <c r="B1910" s="14" t="s">
        <v>325</v>
      </c>
      <c r="C1910" s="15" t="s">
        <v>2356</v>
      </c>
      <c r="D1910" s="14" t="s">
        <v>1745</v>
      </c>
      <c r="E1910" s="14" t="s">
        <v>1747</v>
      </c>
      <c r="F1910" s="14">
        <v>0</v>
      </c>
      <c r="G1910" s="14">
        <v>0</v>
      </c>
      <c r="H1910" s="37">
        <f>'Calculation Sheet'!N1910</f>
        <v>0</v>
      </c>
    </row>
    <row r="1911" spans="1:8" x14ac:dyDescent="0.25">
      <c r="A1911" s="14" t="s">
        <v>291</v>
      </c>
      <c r="B1911" s="14" t="s">
        <v>173</v>
      </c>
      <c r="C1911" s="15" t="s">
        <v>2358</v>
      </c>
      <c r="D1911" s="14" t="s">
        <v>1745</v>
      </c>
      <c r="E1911" s="14" t="s">
        <v>1747</v>
      </c>
      <c r="F1911" s="14">
        <v>1128</v>
      </c>
      <c r="G1911" s="14">
        <v>902.4</v>
      </c>
      <c r="H1911" s="37">
        <f>'Calculation Sheet'!N1911</f>
        <v>875.32799999999997</v>
      </c>
    </row>
    <row r="1912" spans="1:8" x14ac:dyDescent="0.25">
      <c r="A1912" s="14" t="s">
        <v>291</v>
      </c>
      <c r="B1912" s="14" t="s">
        <v>325</v>
      </c>
      <c r="C1912" s="15" t="s">
        <v>2356</v>
      </c>
      <c r="D1912" s="14" t="s">
        <v>1745</v>
      </c>
      <c r="E1912" s="14" t="s">
        <v>1746</v>
      </c>
      <c r="F1912" s="14">
        <v>0</v>
      </c>
      <c r="G1912" s="14">
        <v>0</v>
      </c>
      <c r="H1912" s="37">
        <f>'Calculation Sheet'!N1912</f>
        <v>0</v>
      </c>
    </row>
    <row r="1913" spans="1:8" x14ac:dyDescent="0.25">
      <c r="A1913" s="14" t="s">
        <v>291</v>
      </c>
      <c r="B1913" s="14">
        <v>8</v>
      </c>
      <c r="C1913" s="15" t="s">
        <v>321</v>
      </c>
      <c r="D1913" s="14" t="s">
        <v>1749</v>
      </c>
      <c r="E1913" s="14" t="s">
        <v>1746</v>
      </c>
      <c r="F1913" s="14">
        <v>0</v>
      </c>
      <c r="G1913" s="14">
        <v>0</v>
      </c>
      <c r="H1913" s="37">
        <f>'Calculation Sheet'!N1913</f>
        <v>0</v>
      </c>
    </row>
    <row r="1914" spans="1:8" x14ac:dyDescent="0.25">
      <c r="A1914" s="14" t="s">
        <v>337</v>
      </c>
      <c r="B1914" s="14">
        <v>1</v>
      </c>
      <c r="C1914" s="15" t="s">
        <v>336</v>
      </c>
      <c r="D1914" s="14" t="s">
        <v>1745</v>
      </c>
      <c r="E1914" s="14" t="s">
        <v>1746</v>
      </c>
      <c r="F1914" s="14">
        <v>2142</v>
      </c>
      <c r="G1914" s="14">
        <v>1713.6</v>
      </c>
      <c r="H1914" s="37">
        <f>'Calculation Sheet'!N1914</f>
        <v>1696.4639999999999</v>
      </c>
    </row>
    <row r="1915" spans="1:8" x14ac:dyDescent="0.25">
      <c r="A1915" s="14" t="s">
        <v>337</v>
      </c>
      <c r="B1915" s="14" t="s">
        <v>325</v>
      </c>
      <c r="C1915" s="15" t="s">
        <v>345</v>
      </c>
      <c r="D1915" s="14" t="s">
        <v>1749</v>
      </c>
      <c r="E1915" s="14" t="s">
        <v>1746</v>
      </c>
      <c r="F1915" s="14">
        <v>2796</v>
      </c>
      <c r="G1915" s="14">
        <v>2236.8000000000002</v>
      </c>
      <c r="H1915" s="37">
        <f>'Calculation Sheet'!N1915</f>
        <v>2192.0640000000003</v>
      </c>
    </row>
    <row r="1916" spans="1:8" x14ac:dyDescent="0.25">
      <c r="A1916" s="14" t="s">
        <v>337</v>
      </c>
      <c r="B1916" s="14" t="s">
        <v>333</v>
      </c>
      <c r="C1916" s="15" t="s">
        <v>342</v>
      </c>
      <c r="D1916" s="14" t="s">
        <v>1745</v>
      </c>
      <c r="E1916" s="14" t="s">
        <v>1746</v>
      </c>
      <c r="F1916" s="14">
        <v>27657</v>
      </c>
      <c r="G1916" s="14">
        <v>22125.599999999999</v>
      </c>
      <c r="H1916" s="37">
        <f>'Calculation Sheet'!N1916</f>
        <v>21683.088</v>
      </c>
    </row>
    <row r="1917" spans="1:8" x14ac:dyDescent="0.25">
      <c r="A1917" s="14" t="s">
        <v>337</v>
      </c>
      <c r="B1917" s="14" t="s">
        <v>325</v>
      </c>
      <c r="C1917" s="15" t="s">
        <v>345</v>
      </c>
      <c r="D1917" s="14" t="s">
        <v>1745</v>
      </c>
      <c r="E1917" s="14" t="s">
        <v>1746</v>
      </c>
      <c r="F1917" s="14">
        <v>29358</v>
      </c>
      <c r="G1917" s="14">
        <v>23486.400000000001</v>
      </c>
      <c r="H1917" s="37">
        <f>'Calculation Sheet'!N1917</f>
        <v>23016.672000000002</v>
      </c>
    </row>
    <row r="1918" spans="1:8" x14ac:dyDescent="0.25">
      <c r="A1918" s="14" t="s">
        <v>337</v>
      </c>
      <c r="B1918" s="14">
        <v>1</v>
      </c>
      <c r="C1918" s="15" t="s">
        <v>336</v>
      </c>
      <c r="D1918" s="14" t="s">
        <v>1749</v>
      </c>
      <c r="E1918" s="14" t="s">
        <v>1746</v>
      </c>
      <c r="F1918" s="14">
        <v>204</v>
      </c>
      <c r="G1918" s="14">
        <v>163.19999999999999</v>
      </c>
      <c r="H1918" s="37">
        <f>'Calculation Sheet'!N1918</f>
        <v>161.56799999999998</v>
      </c>
    </row>
    <row r="1919" spans="1:8" x14ac:dyDescent="0.25">
      <c r="A1919" s="14" t="s">
        <v>337</v>
      </c>
      <c r="B1919" s="14" t="s">
        <v>46</v>
      </c>
      <c r="C1919" s="15" t="s">
        <v>340</v>
      </c>
      <c r="D1919" s="14" t="s">
        <v>1745</v>
      </c>
      <c r="E1919" s="14" t="s">
        <v>1747</v>
      </c>
      <c r="F1919" s="14">
        <v>1560</v>
      </c>
      <c r="G1919" s="14">
        <v>1248</v>
      </c>
      <c r="H1919" s="37">
        <f>'Calculation Sheet'!N1919</f>
        <v>1210.56</v>
      </c>
    </row>
    <row r="1920" spans="1:8" x14ac:dyDescent="0.25">
      <c r="A1920" s="14" t="s">
        <v>337</v>
      </c>
      <c r="B1920" s="14" t="s">
        <v>333</v>
      </c>
      <c r="C1920" s="15" t="s">
        <v>342</v>
      </c>
      <c r="D1920" s="14" t="s">
        <v>1749</v>
      </c>
      <c r="E1920" s="14" t="s">
        <v>1746</v>
      </c>
      <c r="F1920" s="14">
        <v>2634</v>
      </c>
      <c r="G1920" s="14">
        <v>2107.1999999999998</v>
      </c>
      <c r="H1920" s="37">
        <f>'Calculation Sheet'!N1920</f>
        <v>2065.056</v>
      </c>
    </row>
    <row r="1921" spans="1:8" x14ac:dyDescent="0.25">
      <c r="A1921" s="14" t="s">
        <v>337</v>
      </c>
      <c r="B1921" s="14" t="s">
        <v>32</v>
      </c>
      <c r="C1921" s="15" t="s">
        <v>2359</v>
      </c>
      <c r="D1921" s="14" t="s">
        <v>1745</v>
      </c>
      <c r="E1921" s="14" t="s">
        <v>1747</v>
      </c>
      <c r="F1921" s="14">
        <v>0</v>
      </c>
      <c r="G1921" s="14">
        <v>0</v>
      </c>
      <c r="H1921" s="37">
        <f>'Calculation Sheet'!N1921</f>
        <v>0</v>
      </c>
    </row>
    <row r="1922" spans="1:8" x14ac:dyDescent="0.25">
      <c r="A1922" s="14" t="s">
        <v>337</v>
      </c>
      <c r="B1922" s="14" t="s">
        <v>32</v>
      </c>
      <c r="C1922" s="15" t="s">
        <v>2359</v>
      </c>
      <c r="D1922" s="14" t="s">
        <v>1749</v>
      </c>
      <c r="E1922" s="14" t="s">
        <v>1746</v>
      </c>
      <c r="F1922" s="14">
        <v>0</v>
      </c>
      <c r="G1922" s="14">
        <v>0</v>
      </c>
      <c r="H1922" s="37">
        <f>'Calculation Sheet'!N1922</f>
        <v>0</v>
      </c>
    </row>
    <row r="1923" spans="1:8" x14ac:dyDescent="0.25">
      <c r="A1923" s="14" t="s">
        <v>337</v>
      </c>
      <c r="B1923" s="14" t="s">
        <v>46</v>
      </c>
      <c r="C1923" s="15" t="s">
        <v>340</v>
      </c>
      <c r="D1923" s="14" t="s">
        <v>1749</v>
      </c>
      <c r="E1923" s="14" t="s">
        <v>1746</v>
      </c>
      <c r="F1923" s="14">
        <v>156</v>
      </c>
      <c r="G1923" s="14">
        <v>124.8</v>
      </c>
      <c r="H1923" s="37">
        <f>'Calculation Sheet'!N1923</f>
        <v>123.55199999999999</v>
      </c>
    </row>
    <row r="1924" spans="1:8" x14ac:dyDescent="0.25">
      <c r="A1924" s="14" t="s">
        <v>337</v>
      </c>
      <c r="B1924" s="14" t="s">
        <v>333</v>
      </c>
      <c r="C1924" s="15" t="s">
        <v>342</v>
      </c>
      <c r="D1924" s="14" t="s">
        <v>1745</v>
      </c>
      <c r="E1924" s="14" t="s">
        <v>1747</v>
      </c>
      <c r="F1924" s="14">
        <v>26340</v>
      </c>
      <c r="G1924" s="14">
        <v>21072</v>
      </c>
      <c r="H1924" s="37">
        <f>'Calculation Sheet'!N1924</f>
        <v>18964.8</v>
      </c>
    </row>
    <row r="1925" spans="1:8" x14ac:dyDescent="0.25">
      <c r="A1925" s="14" t="s">
        <v>337</v>
      </c>
      <c r="B1925" s="14">
        <v>1</v>
      </c>
      <c r="C1925" s="15" t="s">
        <v>336</v>
      </c>
      <c r="D1925" s="14" t="s">
        <v>1745</v>
      </c>
      <c r="E1925" s="14" t="s">
        <v>1747</v>
      </c>
      <c r="F1925" s="14">
        <v>2040</v>
      </c>
      <c r="G1925" s="14">
        <v>1632</v>
      </c>
      <c r="H1925" s="37">
        <f>'Calculation Sheet'!N1925</f>
        <v>1583.04</v>
      </c>
    </row>
    <row r="1926" spans="1:8" x14ac:dyDescent="0.25">
      <c r="A1926" s="14" t="s">
        <v>337</v>
      </c>
      <c r="B1926" s="14" t="s">
        <v>32</v>
      </c>
      <c r="C1926" s="15" t="s">
        <v>2359</v>
      </c>
      <c r="D1926" s="14" t="s">
        <v>1745</v>
      </c>
      <c r="E1926" s="14" t="s">
        <v>1746</v>
      </c>
      <c r="F1926" s="14">
        <v>0</v>
      </c>
      <c r="G1926" s="14">
        <v>0</v>
      </c>
      <c r="H1926" s="37">
        <f>'Calculation Sheet'!N1926</f>
        <v>0</v>
      </c>
    </row>
    <row r="1927" spans="1:8" x14ac:dyDescent="0.25">
      <c r="A1927" s="14" t="s">
        <v>337</v>
      </c>
      <c r="B1927" s="14" t="s">
        <v>325</v>
      </c>
      <c r="C1927" s="15" t="s">
        <v>345</v>
      </c>
      <c r="D1927" s="14" t="s">
        <v>1745</v>
      </c>
      <c r="E1927" s="14" t="s">
        <v>1747</v>
      </c>
      <c r="F1927" s="14">
        <v>27960</v>
      </c>
      <c r="G1927" s="14">
        <v>22368</v>
      </c>
      <c r="H1927" s="37">
        <f>'Calculation Sheet'!N1927</f>
        <v>20131.2</v>
      </c>
    </row>
    <row r="1928" spans="1:8" x14ac:dyDescent="0.25">
      <c r="A1928" s="14" t="s">
        <v>337</v>
      </c>
      <c r="B1928" s="14" t="s">
        <v>46</v>
      </c>
      <c r="C1928" s="15" t="s">
        <v>340</v>
      </c>
      <c r="D1928" s="14" t="s">
        <v>1745</v>
      </c>
      <c r="E1928" s="14" t="s">
        <v>1746</v>
      </c>
      <c r="F1928" s="14">
        <v>1638</v>
      </c>
      <c r="G1928" s="14">
        <v>1310.4000000000001</v>
      </c>
      <c r="H1928" s="37">
        <f>'Calculation Sheet'!N1928</f>
        <v>1297.296</v>
      </c>
    </row>
    <row r="1929" spans="1:8" x14ac:dyDescent="0.25">
      <c r="A1929" s="14" t="s">
        <v>354</v>
      </c>
      <c r="B1929" s="14" t="s">
        <v>28</v>
      </c>
      <c r="C1929" s="15" t="s">
        <v>357</v>
      </c>
      <c r="D1929" s="14" t="s">
        <v>1745</v>
      </c>
      <c r="E1929" s="14" t="s">
        <v>1747</v>
      </c>
      <c r="F1929" s="14">
        <v>18780</v>
      </c>
      <c r="G1929" s="14">
        <v>15024</v>
      </c>
      <c r="H1929" s="37">
        <f>'Calculation Sheet'!N1929</f>
        <v>13521.6</v>
      </c>
    </row>
    <row r="1930" spans="1:8" x14ac:dyDescent="0.25">
      <c r="A1930" s="14" t="s">
        <v>354</v>
      </c>
      <c r="B1930" s="14">
        <v>2</v>
      </c>
      <c r="C1930" s="15" t="s">
        <v>353</v>
      </c>
      <c r="D1930" s="14" t="s">
        <v>1745</v>
      </c>
      <c r="E1930" s="14" t="s">
        <v>1746</v>
      </c>
      <c r="F1930" s="14">
        <v>23058</v>
      </c>
      <c r="G1930" s="14">
        <v>18446.400000000001</v>
      </c>
      <c r="H1930" s="37">
        <f>'Calculation Sheet'!N1930</f>
        <v>18077.472000000002</v>
      </c>
    </row>
    <row r="1931" spans="1:8" x14ac:dyDescent="0.25">
      <c r="A1931" s="14" t="s">
        <v>354</v>
      </c>
      <c r="B1931" s="14" t="s">
        <v>98</v>
      </c>
      <c r="C1931" s="15" t="s">
        <v>2360</v>
      </c>
      <c r="D1931" s="14" t="s">
        <v>1749</v>
      </c>
      <c r="E1931" s="14" t="s">
        <v>1746</v>
      </c>
      <c r="F1931" s="14">
        <v>2874</v>
      </c>
      <c r="G1931" s="14">
        <v>2299.1999999999998</v>
      </c>
      <c r="H1931" s="37">
        <f>'Calculation Sheet'!N1931</f>
        <v>2253.2159999999999</v>
      </c>
    </row>
    <row r="1932" spans="1:8" x14ac:dyDescent="0.25">
      <c r="A1932" s="14" t="s">
        <v>354</v>
      </c>
      <c r="B1932" s="14" t="s">
        <v>55</v>
      </c>
      <c r="C1932" s="15" t="s">
        <v>2361</v>
      </c>
      <c r="D1932" s="14" t="s">
        <v>1745</v>
      </c>
      <c r="E1932" s="14" t="s">
        <v>1747</v>
      </c>
      <c r="F1932" s="14">
        <v>5520</v>
      </c>
      <c r="G1932" s="14">
        <v>4968</v>
      </c>
      <c r="H1932" s="37">
        <f>'Calculation Sheet'!N1932</f>
        <v>4471.2</v>
      </c>
    </row>
    <row r="1933" spans="1:8" x14ac:dyDescent="0.25">
      <c r="A1933" s="14" t="s">
        <v>354</v>
      </c>
      <c r="B1933" s="14" t="s">
        <v>98</v>
      </c>
      <c r="C1933" s="15" t="s">
        <v>2360</v>
      </c>
      <c r="D1933" s="14" t="s">
        <v>1745</v>
      </c>
      <c r="E1933" s="14" t="s">
        <v>1747</v>
      </c>
      <c r="F1933" s="14">
        <v>28740</v>
      </c>
      <c r="G1933" s="14">
        <v>22992</v>
      </c>
      <c r="H1933" s="37">
        <f>'Calculation Sheet'!N1933</f>
        <v>20692.8</v>
      </c>
    </row>
    <row r="1934" spans="1:8" x14ac:dyDescent="0.25">
      <c r="A1934" s="14" t="s">
        <v>354</v>
      </c>
      <c r="B1934" s="14" t="s">
        <v>55</v>
      </c>
      <c r="C1934" s="15" t="s">
        <v>2361</v>
      </c>
      <c r="D1934" s="14" t="s">
        <v>1745</v>
      </c>
      <c r="E1934" s="14" t="s">
        <v>1746</v>
      </c>
      <c r="F1934" s="14">
        <v>5796</v>
      </c>
      <c r="G1934" s="14">
        <v>5216.3999999999996</v>
      </c>
      <c r="H1934" s="37">
        <f>'Calculation Sheet'!N1934</f>
        <v>5112.0719999999992</v>
      </c>
    </row>
    <row r="1935" spans="1:8" x14ac:dyDescent="0.25">
      <c r="A1935" s="14" t="s">
        <v>354</v>
      </c>
      <c r="B1935" s="14">
        <v>2</v>
      </c>
      <c r="C1935" s="15" t="s">
        <v>353</v>
      </c>
      <c r="D1935" s="14" t="s">
        <v>1745</v>
      </c>
      <c r="E1935" s="14" t="s">
        <v>1747</v>
      </c>
      <c r="F1935" s="14">
        <v>21960</v>
      </c>
      <c r="G1935" s="14">
        <v>17568</v>
      </c>
      <c r="H1935" s="37">
        <f>'Calculation Sheet'!N1935</f>
        <v>15811.2</v>
      </c>
    </row>
    <row r="1936" spans="1:8" x14ac:dyDescent="0.25">
      <c r="A1936" s="14" t="s">
        <v>354</v>
      </c>
      <c r="B1936" s="14" t="s">
        <v>97</v>
      </c>
      <c r="C1936" s="15" t="s">
        <v>2362</v>
      </c>
      <c r="D1936" s="14" t="s">
        <v>1745</v>
      </c>
      <c r="E1936" s="14" t="s">
        <v>1746</v>
      </c>
      <c r="F1936" s="14">
        <v>33516</v>
      </c>
      <c r="G1936" s="14">
        <v>26812.799999999999</v>
      </c>
      <c r="H1936" s="37">
        <f>'Calculation Sheet'!N1936</f>
        <v>26276.543999999998</v>
      </c>
    </row>
    <row r="1937" spans="1:8" x14ac:dyDescent="0.25">
      <c r="A1937" s="14" t="s">
        <v>354</v>
      </c>
      <c r="B1937" s="14">
        <v>2</v>
      </c>
      <c r="C1937" s="15" t="s">
        <v>353</v>
      </c>
      <c r="D1937" s="14" t="s">
        <v>1749</v>
      </c>
      <c r="E1937" s="14" t="s">
        <v>1746</v>
      </c>
      <c r="F1937" s="14">
        <v>2196</v>
      </c>
      <c r="G1937" s="14">
        <v>1756.8</v>
      </c>
      <c r="H1937" s="37">
        <f>'Calculation Sheet'!N1937</f>
        <v>1721.664</v>
      </c>
    </row>
    <row r="1938" spans="1:8" x14ac:dyDescent="0.25">
      <c r="A1938" s="14" t="s">
        <v>354</v>
      </c>
      <c r="B1938" s="14" t="s">
        <v>55</v>
      </c>
      <c r="C1938" s="15" t="s">
        <v>2361</v>
      </c>
      <c r="D1938" s="14" t="s">
        <v>1749</v>
      </c>
      <c r="E1938" s="14" t="s">
        <v>1746</v>
      </c>
      <c r="F1938" s="14">
        <v>552</v>
      </c>
      <c r="G1938" s="14">
        <v>496.8</v>
      </c>
      <c r="H1938" s="37">
        <f>'Calculation Sheet'!N1938</f>
        <v>486.86400000000003</v>
      </c>
    </row>
    <row r="1939" spans="1:8" x14ac:dyDescent="0.25">
      <c r="A1939" s="14" t="s">
        <v>354</v>
      </c>
      <c r="B1939" s="14">
        <v>3</v>
      </c>
      <c r="C1939" s="15" t="s">
        <v>353</v>
      </c>
      <c r="D1939" s="14" t="s">
        <v>1749</v>
      </c>
      <c r="E1939" s="14" t="s">
        <v>1766</v>
      </c>
      <c r="F1939" s="14">
        <v>0</v>
      </c>
      <c r="G1939" s="14">
        <v>0</v>
      </c>
      <c r="H1939" s="37">
        <f>'Calculation Sheet'!N1939</f>
        <v>0</v>
      </c>
    </row>
    <row r="1940" spans="1:8" x14ac:dyDescent="0.25">
      <c r="A1940" s="14" t="s">
        <v>354</v>
      </c>
      <c r="B1940" s="14" t="s">
        <v>98</v>
      </c>
      <c r="C1940" s="15" t="s">
        <v>2360</v>
      </c>
      <c r="D1940" s="14" t="s">
        <v>1745</v>
      </c>
      <c r="E1940" s="14" t="s">
        <v>1746</v>
      </c>
      <c r="F1940" s="14">
        <v>30177</v>
      </c>
      <c r="G1940" s="14">
        <v>24141.599999999999</v>
      </c>
      <c r="H1940" s="37">
        <f>'Calculation Sheet'!N1940</f>
        <v>23658.768</v>
      </c>
    </row>
    <row r="1941" spans="1:8" x14ac:dyDescent="0.25">
      <c r="A1941" s="14" t="s">
        <v>354</v>
      </c>
      <c r="B1941" s="14" t="s">
        <v>39</v>
      </c>
      <c r="C1941" s="15" t="s">
        <v>2361</v>
      </c>
      <c r="D1941" s="14" t="s">
        <v>1749</v>
      </c>
      <c r="E1941" s="14" t="s">
        <v>1766</v>
      </c>
      <c r="F1941" s="14">
        <v>0</v>
      </c>
      <c r="G1941" s="14">
        <v>0</v>
      </c>
      <c r="H1941" s="37">
        <f>'Calculation Sheet'!N1941</f>
        <v>0</v>
      </c>
    </row>
    <row r="1942" spans="1:8" x14ac:dyDescent="0.25">
      <c r="A1942" s="14" t="s">
        <v>354</v>
      </c>
      <c r="B1942" s="14" t="s">
        <v>97</v>
      </c>
      <c r="C1942" s="15" t="s">
        <v>2362</v>
      </c>
      <c r="D1942" s="14" t="s">
        <v>1745</v>
      </c>
      <c r="E1942" s="14" t="s">
        <v>1747</v>
      </c>
      <c r="F1942" s="14">
        <v>31920</v>
      </c>
      <c r="G1942" s="14">
        <v>25536</v>
      </c>
      <c r="H1942" s="37">
        <f>'Calculation Sheet'!N1942</f>
        <v>22982.400000000001</v>
      </c>
    </row>
    <row r="1943" spans="1:8" x14ac:dyDescent="0.25">
      <c r="A1943" s="14" t="s">
        <v>354</v>
      </c>
      <c r="B1943" s="14" t="s">
        <v>97</v>
      </c>
      <c r="C1943" s="15" t="s">
        <v>2362</v>
      </c>
      <c r="D1943" s="14" t="s">
        <v>1749</v>
      </c>
      <c r="E1943" s="14" t="s">
        <v>1746</v>
      </c>
      <c r="F1943" s="14">
        <v>3192</v>
      </c>
      <c r="G1943" s="14">
        <v>2553.6</v>
      </c>
      <c r="H1943" s="37">
        <f>'Calculation Sheet'!N1943</f>
        <v>2502.5279999999998</v>
      </c>
    </row>
    <row r="1944" spans="1:8" x14ac:dyDescent="0.25">
      <c r="A1944" s="14" t="s">
        <v>354</v>
      </c>
      <c r="B1944" s="14" t="s">
        <v>46</v>
      </c>
      <c r="C1944" s="15" t="s">
        <v>357</v>
      </c>
      <c r="D1944" s="14" t="s">
        <v>1749</v>
      </c>
      <c r="E1944" s="14" t="s">
        <v>1766</v>
      </c>
      <c r="F1944" s="14">
        <v>0</v>
      </c>
      <c r="G1944" s="14">
        <v>0</v>
      </c>
      <c r="H1944" s="37">
        <f>'Calculation Sheet'!N1944</f>
        <v>0</v>
      </c>
    </row>
    <row r="1945" spans="1:8" x14ac:dyDescent="0.25">
      <c r="A1945" s="14" t="s">
        <v>354</v>
      </c>
      <c r="B1945" s="14" t="s">
        <v>28</v>
      </c>
      <c r="C1945" s="15" t="s">
        <v>357</v>
      </c>
      <c r="D1945" s="14" t="s">
        <v>1745</v>
      </c>
      <c r="E1945" s="14" t="s">
        <v>1746</v>
      </c>
      <c r="F1945" s="14">
        <v>19719</v>
      </c>
      <c r="G1945" s="14">
        <v>15775.2</v>
      </c>
      <c r="H1945" s="37">
        <f>'Calculation Sheet'!N1945</f>
        <v>15459.696</v>
      </c>
    </row>
    <row r="1946" spans="1:8" x14ac:dyDescent="0.25">
      <c r="A1946" s="14" t="s">
        <v>354</v>
      </c>
      <c r="B1946" s="14" t="s">
        <v>28</v>
      </c>
      <c r="C1946" s="15" t="s">
        <v>357</v>
      </c>
      <c r="D1946" s="14" t="s">
        <v>1749</v>
      </c>
      <c r="E1946" s="14" t="s">
        <v>1746</v>
      </c>
      <c r="F1946" s="14">
        <v>1878</v>
      </c>
      <c r="G1946" s="14">
        <v>1502.4</v>
      </c>
      <c r="H1946" s="37">
        <f>'Calculation Sheet'!N1946</f>
        <v>1472.3520000000001</v>
      </c>
    </row>
    <row r="1947" spans="1:8" x14ac:dyDescent="0.25">
      <c r="A1947" s="14" t="s">
        <v>376</v>
      </c>
      <c r="B1947" s="14">
        <v>1</v>
      </c>
      <c r="C1947" s="15" t="s">
        <v>375</v>
      </c>
      <c r="D1947" s="14" t="s">
        <v>1745</v>
      </c>
      <c r="E1947" s="14" t="s">
        <v>1747</v>
      </c>
      <c r="F1947" s="14">
        <v>10320</v>
      </c>
      <c r="G1947" s="14">
        <v>8256</v>
      </c>
      <c r="H1947" s="37">
        <f>'Calculation Sheet'!N1947</f>
        <v>8008.32</v>
      </c>
    </row>
    <row r="1948" spans="1:8" x14ac:dyDescent="0.25">
      <c r="A1948" s="14" t="s">
        <v>376</v>
      </c>
      <c r="B1948" s="14">
        <v>1</v>
      </c>
      <c r="C1948" s="15" t="s">
        <v>375</v>
      </c>
      <c r="D1948" s="14" t="s">
        <v>1749</v>
      </c>
      <c r="E1948" s="14" t="s">
        <v>1746</v>
      </c>
      <c r="F1948" s="14">
        <v>1032</v>
      </c>
      <c r="G1948" s="14">
        <v>825.6</v>
      </c>
      <c r="H1948" s="37">
        <f>'Calculation Sheet'!N1948</f>
        <v>817.34400000000005</v>
      </c>
    </row>
    <row r="1949" spans="1:8" x14ac:dyDescent="0.25">
      <c r="A1949" s="14" t="s">
        <v>376</v>
      </c>
      <c r="B1949" s="14">
        <v>12</v>
      </c>
      <c r="C1949" s="15" t="s">
        <v>378</v>
      </c>
      <c r="D1949" s="14" t="s">
        <v>1749</v>
      </c>
      <c r="E1949" s="14" t="s">
        <v>1766</v>
      </c>
      <c r="F1949" s="14">
        <v>0</v>
      </c>
      <c r="G1949" s="14">
        <v>0</v>
      </c>
      <c r="H1949" s="37">
        <f>'Calculation Sheet'!N1949</f>
        <v>0</v>
      </c>
    </row>
    <row r="1950" spans="1:8" x14ac:dyDescent="0.25">
      <c r="A1950" s="14" t="s">
        <v>376</v>
      </c>
      <c r="B1950" s="14" t="s">
        <v>112</v>
      </c>
      <c r="C1950" s="15" t="s">
        <v>2363</v>
      </c>
      <c r="D1950" s="14" t="s">
        <v>1745</v>
      </c>
      <c r="E1950" s="14" t="s">
        <v>1747</v>
      </c>
      <c r="F1950" s="14">
        <v>20280</v>
      </c>
      <c r="G1950" s="14">
        <v>16224</v>
      </c>
      <c r="H1950" s="37">
        <f>'Calculation Sheet'!N1950</f>
        <v>14601.6</v>
      </c>
    </row>
    <row r="1951" spans="1:8" x14ac:dyDescent="0.25">
      <c r="A1951" s="14" t="s">
        <v>376</v>
      </c>
      <c r="B1951" s="14" t="s">
        <v>39</v>
      </c>
      <c r="C1951" s="15" t="s">
        <v>2364</v>
      </c>
      <c r="D1951" s="14" t="s">
        <v>1745</v>
      </c>
      <c r="E1951" s="14" t="s">
        <v>1747</v>
      </c>
      <c r="F1951" s="14">
        <v>2460</v>
      </c>
      <c r="G1951" s="14">
        <v>2214</v>
      </c>
      <c r="H1951" s="37">
        <f>'Calculation Sheet'!N1951</f>
        <v>2147.58</v>
      </c>
    </row>
    <row r="1952" spans="1:8" x14ac:dyDescent="0.25">
      <c r="A1952" s="14" t="s">
        <v>376</v>
      </c>
      <c r="B1952" s="14">
        <v>5</v>
      </c>
      <c r="C1952" s="15" t="s">
        <v>375</v>
      </c>
      <c r="D1952" s="14" t="s">
        <v>1749</v>
      </c>
      <c r="E1952" s="14" t="s">
        <v>1766</v>
      </c>
      <c r="F1952" s="14">
        <v>0</v>
      </c>
      <c r="G1952" s="14">
        <v>0</v>
      </c>
      <c r="H1952" s="37">
        <f>'Calculation Sheet'!N1952</f>
        <v>0</v>
      </c>
    </row>
    <row r="1953" spans="1:8" x14ac:dyDescent="0.25">
      <c r="A1953" s="14" t="s">
        <v>376</v>
      </c>
      <c r="B1953" s="14" t="s">
        <v>112</v>
      </c>
      <c r="C1953" s="15" t="s">
        <v>2363</v>
      </c>
      <c r="D1953" s="14" t="s">
        <v>1745</v>
      </c>
      <c r="E1953" s="14" t="s">
        <v>1746</v>
      </c>
      <c r="F1953" s="14">
        <v>21294</v>
      </c>
      <c r="G1953" s="14">
        <v>17035.2</v>
      </c>
      <c r="H1953" s="37">
        <f>'Calculation Sheet'!N1953</f>
        <v>16694.495999999999</v>
      </c>
    </row>
    <row r="1954" spans="1:8" x14ac:dyDescent="0.25">
      <c r="A1954" s="14" t="s">
        <v>376</v>
      </c>
      <c r="B1954" s="14" t="s">
        <v>112</v>
      </c>
      <c r="C1954" s="15" t="s">
        <v>2363</v>
      </c>
      <c r="D1954" s="14" t="s">
        <v>1749</v>
      </c>
      <c r="E1954" s="14" t="s">
        <v>1746</v>
      </c>
      <c r="F1954" s="14">
        <v>2028</v>
      </c>
      <c r="G1954" s="14">
        <v>1622.4</v>
      </c>
      <c r="H1954" s="37">
        <f>'Calculation Sheet'!N1954</f>
        <v>1589.952</v>
      </c>
    </row>
    <row r="1955" spans="1:8" x14ac:dyDescent="0.25">
      <c r="A1955" s="14" t="s">
        <v>376</v>
      </c>
      <c r="B1955" s="14" t="s">
        <v>122</v>
      </c>
      <c r="C1955" s="15" t="s">
        <v>2364</v>
      </c>
      <c r="D1955" s="14" t="s">
        <v>1749</v>
      </c>
      <c r="E1955" s="14" t="s">
        <v>1766</v>
      </c>
      <c r="F1955" s="14">
        <v>0</v>
      </c>
      <c r="G1955" s="14">
        <v>0</v>
      </c>
      <c r="H1955" s="37">
        <f>'Calculation Sheet'!N1955</f>
        <v>0</v>
      </c>
    </row>
    <row r="1956" spans="1:8" x14ac:dyDescent="0.25">
      <c r="A1956" s="14" t="s">
        <v>376</v>
      </c>
      <c r="B1956" s="14">
        <v>1</v>
      </c>
      <c r="C1956" s="15" t="s">
        <v>375</v>
      </c>
      <c r="D1956" s="14" t="s">
        <v>1745</v>
      </c>
      <c r="E1956" s="14" t="s">
        <v>1746</v>
      </c>
      <c r="F1956" s="14">
        <v>10836</v>
      </c>
      <c r="G1956" s="14">
        <v>8668.7999999999993</v>
      </c>
      <c r="H1956" s="37">
        <f>'Calculation Sheet'!N1956</f>
        <v>8582.1119999999992</v>
      </c>
    </row>
    <row r="1957" spans="1:8" x14ac:dyDescent="0.25">
      <c r="A1957" s="14" t="s">
        <v>376</v>
      </c>
      <c r="B1957" s="14">
        <v>11</v>
      </c>
      <c r="C1957" s="15" t="s">
        <v>378</v>
      </c>
      <c r="D1957" s="14" t="s">
        <v>1749</v>
      </c>
      <c r="E1957" s="14" t="s">
        <v>1746</v>
      </c>
      <c r="F1957" s="14">
        <v>798</v>
      </c>
      <c r="G1957" s="14">
        <v>638.4</v>
      </c>
      <c r="H1957" s="37">
        <f>'Calculation Sheet'!N1957</f>
        <v>632.01599999999996</v>
      </c>
    </row>
    <row r="1958" spans="1:8" x14ac:dyDescent="0.25">
      <c r="A1958" s="14" t="s">
        <v>376</v>
      </c>
      <c r="B1958" s="14" t="s">
        <v>329</v>
      </c>
      <c r="C1958" s="15" t="s">
        <v>2365</v>
      </c>
      <c r="D1958" s="14" t="s">
        <v>1745</v>
      </c>
      <c r="E1958" s="14" t="s">
        <v>1747</v>
      </c>
      <c r="F1958" s="14">
        <v>23460</v>
      </c>
      <c r="G1958" s="14">
        <v>18768</v>
      </c>
      <c r="H1958" s="37">
        <f>'Calculation Sheet'!N1958</f>
        <v>16891.2</v>
      </c>
    </row>
    <row r="1959" spans="1:8" x14ac:dyDescent="0.25">
      <c r="A1959" s="14" t="s">
        <v>376</v>
      </c>
      <c r="B1959" s="14" t="s">
        <v>329</v>
      </c>
      <c r="C1959" s="15" t="s">
        <v>2365</v>
      </c>
      <c r="D1959" s="14" t="s">
        <v>1749</v>
      </c>
      <c r="E1959" s="14" t="s">
        <v>1746</v>
      </c>
      <c r="F1959" s="14">
        <v>2346</v>
      </c>
      <c r="G1959" s="14">
        <v>1876.8</v>
      </c>
      <c r="H1959" s="37">
        <f>'Calculation Sheet'!N1959</f>
        <v>1839.2639999999999</v>
      </c>
    </row>
    <row r="1960" spans="1:8" x14ac:dyDescent="0.25">
      <c r="A1960" s="14" t="s">
        <v>376</v>
      </c>
      <c r="B1960" s="14">
        <v>11</v>
      </c>
      <c r="C1960" s="15" t="s">
        <v>378</v>
      </c>
      <c r="D1960" s="14" t="s">
        <v>1745</v>
      </c>
      <c r="E1960" s="14" t="s">
        <v>1746</v>
      </c>
      <c r="F1960" s="14">
        <v>8379</v>
      </c>
      <c r="G1960" s="14">
        <v>6703.2</v>
      </c>
      <c r="H1960" s="37">
        <f>'Calculation Sheet'!N1960</f>
        <v>6636.1679999999997</v>
      </c>
    </row>
    <row r="1961" spans="1:8" x14ac:dyDescent="0.25">
      <c r="A1961" s="14" t="s">
        <v>376</v>
      </c>
      <c r="B1961" s="14" t="s">
        <v>39</v>
      </c>
      <c r="C1961" s="15" t="s">
        <v>2364</v>
      </c>
      <c r="D1961" s="14" t="s">
        <v>1749</v>
      </c>
      <c r="E1961" s="14" t="s">
        <v>1746</v>
      </c>
      <c r="F1961" s="14">
        <v>246</v>
      </c>
      <c r="G1961" s="14">
        <v>221.4</v>
      </c>
      <c r="H1961" s="37">
        <f>'Calculation Sheet'!N1961</f>
        <v>219.18600000000001</v>
      </c>
    </row>
    <row r="1962" spans="1:8" x14ac:dyDescent="0.25">
      <c r="A1962" s="14" t="s">
        <v>376</v>
      </c>
      <c r="B1962" s="14" t="s">
        <v>329</v>
      </c>
      <c r="C1962" s="15" t="s">
        <v>2365</v>
      </c>
      <c r="D1962" s="14" t="s">
        <v>1745</v>
      </c>
      <c r="E1962" s="14" t="s">
        <v>1746</v>
      </c>
      <c r="F1962" s="14">
        <v>24633</v>
      </c>
      <c r="G1962" s="14">
        <v>19706.400000000001</v>
      </c>
      <c r="H1962" s="37">
        <f>'Calculation Sheet'!N1962</f>
        <v>19312.272000000001</v>
      </c>
    </row>
    <row r="1963" spans="1:8" x14ac:dyDescent="0.25">
      <c r="A1963" s="14" t="s">
        <v>376</v>
      </c>
      <c r="B1963" s="14" t="s">
        <v>39</v>
      </c>
      <c r="C1963" s="15" t="s">
        <v>2364</v>
      </c>
      <c r="D1963" s="14" t="s">
        <v>1745</v>
      </c>
      <c r="E1963" s="14" t="s">
        <v>1746</v>
      </c>
      <c r="F1963" s="14">
        <v>2583</v>
      </c>
      <c r="G1963" s="14">
        <v>2324.7600000000002</v>
      </c>
      <c r="H1963" s="37">
        <f>'Calculation Sheet'!N1963</f>
        <v>2301.5124000000001</v>
      </c>
    </row>
    <row r="1964" spans="1:8" x14ac:dyDescent="0.25">
      <c r="A1964" s="14" t="s">
        <v>376</v>
      </c>
      <c r="B1964" s="14">
        <v>11</v>
      </c>
      <c r="C1964" s="15" t="s">
        <v>378</v>
      </c>
      <c r="D1964" s="14" t="s">
        <v>1745</v>
      </c>
      <c r="E1964" s="14" t="s">
        <v>1747</v>
      </c>
      <c r="F1964" s="14">
        <v>7980</v>
      </c>
      <c r="G1964" s="14">
        <v>6384</v>
      </c>
      <c r="H1964" s="37">
        <f>'Calculation Sheet'!N1964</f>
        <v>6192.48</v>
      </c>
    </row>
    <row r="1965" spans="1:8" x14ac:dyDescent="0.25">
      <c r="A1965" s="14" t="s">
        <v>395</v>
      </c>
      <c r="B1965" s="14">
        <v>2</v>
      </c>
      <c r="C1965" s="15" t="s">
        <v>394</v>
      </c>
      <c r="D1965" s="14" t="s">
        <v>1745</v>
      </c>
      <c r="E1965" s="14" t="s">
        <v>1747</v>
      </c>
      <c r="F1965" s="14">
        <v>29940</v>
      </c>
      <c r="G1965" s="14">
        <v>23952</v>
      </c>
      <c r="H1965" s="37">
        <f>'Calculation Sheet'!N1965</f>
        <v>20598.72</v>
      </c>
    </row>
    <row r="1966" spans="1:8" x14ac:dyDescent="0.25">
      <c r="A1966" s="14" t="s">
        <v>395</v>
      </c>
      <c r="B1966" s="14" t="s">
        <v>195</v>
      </c>
      <c r="C1966" s="15" t="s">
        <v>2366</v>
      </c>
      <c r="D1966" s="14" t="s">
        <v>1745</v>
      </c>
      <c r="E1966" s="14" t="s">
        <v>1746</v>
      </c>
      <c r="F1966" s="14">
        <v>26712</v>
      </c>
      <c r="G1966" s="14">
        <v>26712</v>
      </c>
      <c r="H1966" s="37">
        <f>'Calculation Sheet'!N1966</f>
        <v>25910.639999999999</v>
      </c>
    </row>
    <row r="1967" spans="1:8" x14ac:dyDescent="0.25">
      <c r="A1967" s="14" t="s">
        <v>395</v>
      </c>
      <c r="B1967" s="14" t="s">
        <v>108</v>
      </c>
      <c r="C1967" s="15" t="s">
        <v>2367</v>
      </c>
      <c r="D1967" s="14" t="s">
        <v>1749</v>
      </c>
      <c r="E1967" s="14" t="s">
        <v>1746</v>
      </c>
      <c r="F1967" s="14">
        <v>2094</v>
      </c>
      <c r="G1967" s="14">
        <v>1675.2</v>
      </c>
      <c r="H1967" s="37">
        <f>'Calculation Sheet'!N1967</f>
        <v>1641.6960000000001</v>
      </c>
    </row>
    <row r="1968" spans="1:8" x14ac:dyDescent="0.25">
      <c r="A1968" s="14" t="s">
        <v>395</v>
      </c>
      <c r="B1968" s="14" t="s">
        <v>397</v>
      </c>
      <c r="C1968" s="15" t="s">
        <v>396</v>
      </c>
      <c r="D1968" s="14" t="s">
        <v>1752</v>
      </c>
      <c r="E1968" s="14" t="s">
        <v>1753</v>
      </c>
      <c r="F1968" s="14">
        <v>89820</v>
      </c>
      <c r="G1968" s="14">
        <v>71856</v>
      </c>
      <c r="H1968" s="37">
        <f>'Calculation Sheet'!N1968</f>
        <v>61796.160000000003</v>
      </c>
    </row>
    <row r="1969" spans="1:8" x14ac:dyDescent="0.25">
      <c r="A1969" s="14" t="s">
        <v>395</v>
      </c>
      <c r="B1969" s="14" t="s">
        <v>39</v>
      </c>
      <c r="C1969" s="15" t="s">
        <v>2368</v>
      </c>
      <c r="D1969" s="14" t="s">
        <v>1745</v>
      </c>
      <c r="E1969" s="14" t="s">
        <v>1746</v>
      </c>
      <c r="F1969" s="14">
        <v>18900</v>
      </c>
      <c r="G1969" s="14">
        <v>17388</v>
      </c>
      <c r="H1969" s="37">
        <f>'Calculation Sheet'!N1969</f>
        <v>16866.36</v>
      </c>
    </row>
    <row r="1970" spans="1:8" x14ac:dyDescent="0.25">
      <c r="A1970" s="14" t="s">
        <v>395</v>
      </c>
      <c r="B1970" s="14" t="s">
        <v>397</v>
      </c>
      <c r="C1970" s="15" t="s">
        <v>396</v>
      </c>
      <c r="D1970" s="14" t="s">
        <v>1752</v>
      </c>
      <c r="E1970" s="14" t="s">
        <v>1747</v>
      </c>
      <c r="F1970" s="14">
        <v>89820</v>
      </c>
      <c r="G1970" s="14">
        <v>71856</v>
      </c>
      <c r="H1970" s="37">
        <f>'Calculation Sheet'!N1970</f>
        <v>61796.160000000003</v>
      </c>
    </row>
    <row r="1971" spans="1:8" x14ac:dyDescent="0.25">
      <c r="A1971" s="14" t="s">
        <v>395</v>
      </c>
      <c r="B1971" s="14" t="s">
        <v>50</v>
      </c>
      <c r="C1971" s="15" t="s">
        <v>2369</v>
      </c>
      <c r="D1971" s="14" t="s">
        <v>1745</v>
      </c>
      <c r="E1971" s="14" t="s">
        <v>1747</v>
      </c>
      <c r="F1971" s="14">
        <v>18000</v>
      </c>
      <c r="G1971" s="14">
        <v>16560</v>
      </c>
      <c r="H1971" s="37">
        <f>'Calculation Sheet'!N1971</f>
        <v>14241.6</v>
      </c>
    </row>
    <row r="1972" spans="1:8" x14ac:dyDescent="0.25">
      <c r="A1972" s="14" t="s">
        <v>395</v>
      </c>
      <c r="B1972" s="14" t="s">
        <v>108</v>
      </c>
      <c r="C1972" s="15" t="s">
        <v>2367</v>
      </c>
      <c r="D1972" s="14" t="s">
        <v>1745</v>
      </c>
      <c r="E1972" s="14" t="s">
        <v>1747</v>
      </c>
      <c r="F1972" s="14">
        <v>20940</v>
      </c>
      <c r="G1972" s="14">
        <v>16752</v>
      </c>
      <c r="H1972" s="37">
        <f>'Calculation Sheet'!N1972</f>
        <v>15076.8</v>
      </c>
    </row>
    <row r="1973" spans="1:8" x14ac:dyDescent="0.25">
      <c r="A1973" s="14" t="s">
        <v>395</v>
      </c>
      <c r="B1973" s="14" t="s">
        <v>39</v>
      </c>
      <c r="C1973" s="15" t="s">
        <v>2368</v>
      </c>
      <c r="D1973" s="14" t="s">
        <v>1745</v>
      </c>
      <c r="E1973" s="14" t="s">
        <v>1747</v>
      </c>
      <c r="F1973" s="14">
        <v>18000</v>
      </c>
      <c r="G1973" s="14">
        <v>16560</v>
      </c>
      <c r="H1973" s="37">
        <f>'Calculation Sheet'!N1973</f>
        <v>14241.6</v>
      </c>
    </row>
    <row r="1974" spans="1:8" x14ac:dyDescent="0.25">
      <c r="A1974" s="14" t="s">
        <v>395</v>
      </c>
      <c r="B1974" s="14">
        <v>2</v>
      </c>
      <c r="C1974" s="15" t="s">
        <v>394</v>
      </c>
      <c r="D1974" s="14" t="s">
        <v>1745</v>
      </c>
      <c r="E1974" s="14" t="s">
        <v>1746</v>
      </c>
      <c r="F1974" s="14">
        <v>31437</v>
      </c>
      <c r="G1974" s="14">
        <v>25149.599999999999</v>
      </c>
      <c r="H1974" s="37">
        <f>'Calculation Sheet'!N1974</f>
        <v>24395.111999999997</v>
      </c>
    </row>
    <row r="1975" spans="1:8" x14ac:dyDescent="0.25">
      <c r="A1975" s="14" t="s">
        <v>395</v>
      </c>
      <c r="B1975" s="14" t="s">
        <v>108</v>
      </c>
      <c r="C1975" s="15" t="s">
        <v>2367</v>
      </c>
      <c r="D1975" s="14" t="s">
        <v>1745</v>
      </c>
      <c r="E1975" s="14" t="s">
        <v>1746</v>
      </c>
      <c r="F1975" s="14">
        <v>21987</v>
      </c>
      <c r="G1975" s="14">
        <v>17589.599999999999</v>
      </c>
      <c r="H1975" s="37">
        <f>'Calculation Sheet'!N1975</f>
        <v>17237.807999999997</v>
      </c>
    </row>
    <row r="1976" spans="1:8" x14ac:dyDescent="0.25">
      <c r="A1976" s="14" t="s">
        <v>395</v>
      </c>
      <c r="B1976" s="14" t="s">
        <v>50</v>
      </c>
      <c r="C1976" s="15" t="s">
        <v>2369</v>
      </c>
      <c r="D1976" s="14" t="s">
        <v>1745</v>
      </c>
      <c r="E1976" s="14" t="s">
        <v>1746</v>
      </c>
      <c r="F1976" s="14">
        <v>18900</v>
      </c>
      <c r="G1976" s="14">
        <v>17388</v>
      </c>
      <c r="H1976" s="37">
        <f>'Calculation Sheet'!N1976</f>
        <v>16866.36</v>
      </c>
    </row>
    <row r="1977" spans="1:8" x14ac:dyDescent="0.25">
      <c r="A1977" s="14" t="s">
        <v>395</v>
      </c>
      <c r="B1977" s="14" t="s">
        <v>195</v>
      </c>
      <c r="C1977" s="15" t="s">
        <v>2366</v>
      </c>
      <c r="D1977" s="14" t="s">
        <v>1745</v>
      </c>
      <c r="E1977" s="14" t="s">
        <v>1747</v>
      </c>
      <c r="F1977" s="14">
        <v>25440</v>
      </c>
      <c r="G1977" s="14">
        <v>25440</v>
      </c>
      <c r="H1977" s="37">
        <f>'Calculation Sheet'!N1977</f>
        <v>21878.400000000001</v>
      </c>
    </row>
    <row r="1978" spans="1:8" x14ac:dyDescent="0.25">
      <c r="A1978" s="14" t="s">
        <v>493</v>
      </c>
      <c r="B1978" s="14">
        <v>3</v>
      </c>
      <c r="C1978" s="15" t="s">
        <v>508</v>
      </c>
      <c r="D1978" s="14" t="s">
        <v>1745</v>
      </c>
      <c r="E1978" s="14" t="s">
        <v>1746</v>
      </c>
      <c r="F1978" s="14">
        <v>40887</v>
      </c>
      <c r="G1978" s="14">
        <v>32709.599999999999</v>
      </c>
      <c r="H1978" s="37">
        <f>'Calculation Sheet'!N1978</f>
        <v>32055.407999999999</v>
      </c>
    </row>
    <row r="1979" spans="1:8" x14ac:dyDescent="0.25">
      <c r="A1979" s="14" t="s">
        <v>493</v>
      </c>
      <c r="B1979" s="14">
        <v>1</v>
      </c>
      <c r="C1979" s="15" t="s">
        <v>491</v>
      </c>
      <c r="D1979" s="14" t="s">
        <v>1745</v>
      </c>
      <c r="E1979" s="14" t="s">
        <v>1747</v>
      </c>
      <c r="F1979" s="14">
        <v>38940</v>
      </c>
      <c r="G1979" s="14">
        <v>31152</v>
      </c>
      <c r="H1979" s="37">
        <f>'Calculation Sheet'!N1979</f>
        <v>28036.799999999999</v>
      </c>
    </row>
    <row r="1980" spans="1:8" x14ac:dyDescent="0.25">
      <c r="A1980" s="14" t="s">
        <v>493</v>
      </c>
      <c r="B1980" s="14">
        <v>114</v>
      </c>
      <c r="C1980" s="15" t="s">
        <v>2370</v>
      </c>
      <c r="D1980" s="14" t="s">
        <v>1752</v>
      </c>
      <c r="E1980" s="14" t="s">
        <v>1747</v>
      </c>
      <c r="F1980" s="14">
        <v>29160</v>
      </c>
      <c r="G1980" s="14">
        <v>26244</v>
      </c>
      <c r="H1980" s="37">
        <f>'Calculation Sheet'!N1980</f>
        <v>23619.599999999999</v>
      </c>
    </row>
    <row r="1981" spans="1:8" x14ac:dyDescent="0.25">
      <c r="A1981" s="14" t="s">
        <v>493</v>
      </c>
      <c r="B1981" s="14" t="s">
        <v>269</v>
      </c>
      <c r="C1981" s="15" t="s">
        <v>499</v>
      </c>
      <c r="D1981" s="14" t="s">
        <v>1752</v>
      </c>
      <c r="E1981" s="14" t="s">
        <v>1747</v>
      </c>
      <c r="F1981" s="14">
        <v>116820</v>
      </c>
      <c r="G1981" s="14">
        <v>93456</v>
      </c>
      <c r="H1981" s="37">
        <f>'Calculation Sheet'!N1981</f>
        <v>84110.399999999994</v>
      </c>
    </row>
    <row r="1982" spans="1:8" x14ac:dyDescent="0.25">
      <c r="A1982" s="14" t="s">
        <v>493</v>
      </c>
      <c r="B1982" s="14" t="s">
        <v>317</v>
      </c>
      <c r="C1982" s="15" t="s">
        <v>2371</v>
      </c>
      <c r="D1982" s="14" t="s">
        <v>1749</v>
      </c>
      <c r="E1982" s="14" t="s">
        <v>1746</v>
      </c>
      <c r="F1982" s="14">
        <v>972</v>
      </c>
      <c r="G1982" s="14">
        <v>874.8</v>
      </c>
      <c r="H1982" s="37">
        <f>'Calculation Sheet'!N1982</f>
        <v>857.30399999999997</v>
      </c>
    </row>
    <row r="1983" spans="1:8" x14ac:dyDescent="0.25">
      <c r="A1983" s="14" t="s">
        <v>493</v>
      </c>
      <c r="B1983" s="14">
        <v>20</v>
      </c>
      <c r="C1983" s="15" t="s">
        <v>520</v>
      </c>
      <c r="D1983" s="14" t="s">
        <v>1745</v>
      </c>
      <c r="E1983" s="14" t="s">
        <v>1746</v>
      </c>
      <c r="F1983" s="14">
        <v>31941</v>
      </c>
      <c r="G1983" s="14">
        <v>25552.799999999999</v>
      </c>
      <c r="H1983" s="37">
        <f>'Calculation Sheet'!N1983</f>
        <v>25041.743999999999</v>
      </c>
    </row>
    <row r="1984" spans="1:8" x14ac:dyDescent="0.25">
      <c r="A1984" s="14" t="s">
        <v>493</v>
      </c>
      <c r="B1984" s="14" t="s">
        <v>498</v>
      </c>
      <c r="C1984" s="15" t="s">
        <v>2372</v>
      </c>
      <c r="D1984" s="14" t="s">
        <v>1749</v>
      </c>
      <c r="E1984" s="14" t="s">
        <v>1746</v>
      </c>
      <c r="F1984" s="14">
        <v>300</v>
      </c>
      <c r="G1984" s="14">
        <v>240</v>
      </c>
      <c r="H1984" s="37">
        <f>'Calculation Sheet'!N1984</f>
        <v>235.2</v>
      </c>
    </row>
    <row r="1985" spans="1:8" x14ac:dyDescent="0.25">
      <c r="A1985" s="14" t="s">
        <v>493</v>
      </c>
      <c r="B1985" s="14" t="s">
        <v>494</v>
      </c>
      <c r="C1985" s="15" t="s">
        <v>492</v>
      </c>
      <c r="D1985" s="14" t="s">
        <v>1749</v>
      </c>
      <c r="E1985" s="14" t="s">
        <v>1746</v>
      </c>
      <c r="F1985" s="14">
        <v>300</v>
      </c>
      <c r="G1985" s="14">
        <v>240</v>
      </c>
      <c r="H1985" s="37">
        <f>'Calculation Sheet'!N1985</f>
        <v>235.2</v>
      </c>
    </row>
    <row r="1986" spans="1:8" x14ac:dyDescent="0.25">
      <c r="A1986" s="14" t="s">
        <v>493</v>
      </c>
      <c r="B1986" s="14">
        <v>1</v>
      </c>
      <c r="C1986" s="15" t="s">
        <v>491</v>
      </c>
      <c r="D1986" s="14" t="s">
        <v>1745</v>
      </c>
      <c r="E1986" s="14" t="s">
        <v>1746</v>
      </c>
      <c r="F1986" s="14">
        <v>40887</v>
      </c>
      <c r="G1986" s="14">
        <v>32709.599999999999</v>
      </c>
      <c r="H1986" s="37">
        <f>'Calculation Sheet'!N1986</f>
        <v>32055.407999999999</v>
      </c>
    </row>
    <row r="1987" spans="1:8" x14ac:dyDescent="0.25">
      <c r="A1987" s="14" t="s">
        <v>493</v>
      </c>
      <c r="B1987" s="14" t="s">
        <v>356</v>
      </c>
      <c r="C1987" s="15" t="s">
        <v>2373</v>
      </c>
      <c r="D1987" s="14" t="s">
        <v>1752</v>
      </c>
      <c r="E1987" s="14" t="s">
        <v>1747</v>
      </c>
      <c r="F1987" s="14">
        <v>116820</v>
      </c>
      <c r="G1987" s="14">
        <v>93456</v>
      </c>
      <c r="H1987" s="37">
        <f>'Calculation Sheet'!N1987</f>
        <v>84110.399999999994</v>
      </c>
    </row>
    <row r="1988" spans="1:8" x14ac:dyDescent="0.25">
      <c r="A1988" s="14" t="s">
        <v>493</v>
      </c>
      <c r="B1988" s="14" t="s">
        <v>498</v>
      </c>
      <c r="C1988" s="15" t="s">
        <v>2372</v>
      </c>
      <c r="D1988" s="14" t="s">
        <v>1745</v>
      </c>
      <c r="E1988" s="14" t="s">
        <v>1746</v>
      </c>
      <c r="F1988" s="14">
        <v>3150</v>
      </c>
      <c r="G1988" s="14">
        <v>2520</v>
      </c>
      <c r="H1988" s="37">
        <f>'Calculation Sheet'!N1988</f>
        <v>2469.6</v>
      </c>
    </row>
    <row r="1989" spans="1:8" x14ac:dyDescent="0.25">
      <c r="A1989" s="14" t="s">
        <v>493</v>
      </c>
      <c r="B1989" s="14" t="s">
        <v>317</v>
      </c>
      <c r="C1989" s="15" t="s">
        <v>2371</v>
      </c>
      <c r="D1989" s="14" t="s">
        <v>1745</v>
      </c>
      <c r="E1989" s="14" t="s">
        <v>1746</v>
      </c>
      <c r="F1989" s="14">
        <v>10206</v>
      </c>
      <c r="G1989" s="14">
        <v>9185.4</v>
      </c>
      <c r="H1989" s="37">
        <f>'Calculation Sheet'!N1989</f>
        <v>9001.6919999999991</v>
      </c>
    </row>
    <row r="1990" spans="1:8" x14ac:dyDescent="0.25">
      <c r="A1990" s="14" t="s">
        <v>493</v>
      </c>
      <c r="B1990" s="14" t="s">
        <v>238</v>
      </c>
      <c r="C1990" s="15" t="s">
        <v>2374</v>
      </c>
      <c r="D1990" s="14" t="s">
        <v>1752</v>
      </c>
      <c r="E1990" s="14" t="s">
        <v>1747</v>
      </c>
      <c r="F1990" s="14">
        <v>91260</v>
      </c>
      <c r="G1990" s="14">
        <v>73008</v>
      </c>
      <c r="H1990" s="37">
        <f>'Calculation Sheet'!N1990</f>
        <v>65707.199999999997</v>
      </c>
    </row>
    <row r="1991" spans="1:8" x14ac:dyDescent="0.25">
      <c r="A1991" s="14" t="s">
        <v>493</v>
      </c>
      <c r="B1991" s="14">
        <v>21</v>
      </c>
      <c r="C1991" s="15" t="s">
        <v>514</v>
      </c>
      <c r="D1991" s="14" t="s">
        <v>1745</v>
      </c>
      <c r="E1991" s="14" t="s">
        <v>1746</v>
      </c>
      <c r="F1991" s="14">
        <v>31941</v>
      </c>
      <c r="G1991" s="14">
        <v>25552.799999999999</v>
      </c>
      <c r="H1991" s="37">
        <f>'Calculation Sheet'!N1991</f>
        <v>25041.743999999999</v>
      </c>
    </row>
    <row r="1992" spans="1:8" x14ac:dyDescent="0.25">
      <c r="A1992" s="14" t="s">
        <v>493</v>
      </c>
      <c r="B1992" s="14">
        <v>3</v>
      </c>
      <c r="C1992" s="15" t="s">
        <v>508</v>
      </c>
      <c r="D1992" s="14" t="s">
        <v>1749</v>
      </c>
      <c r="E1992" s="14" t="s">
        <v>1746</v>
      </c>
      <c r="F1992" s="14">
        <v>3894</v>
      </c>
      <c r="G1992" s="14">
        <v>3115.2</v>
      </c>
      <c r="H1992" s="37">
        <f>'Calculation Sheet'!N1992</f>
        <v>3052.8959999999997</v>
      </c>
    </row>
    <row r="1993" spans="1:8" x14ac:dyDescent="0.25">
      <c r="A1993" s="14" t="s">
        <v>493</v>
      </c>
      <c r="B1993" s="14">
        <v>20</v>
      </c>
      <c r="C1993" s="15" t="s">
        <v>520</v>
      </c>
      <c r="D1993" s="14" t="s">
        <v>1749</v>
      </c>
      <c r="E1993" s="14" t="s">
        <v>1746</v>
      </c>
      <c r="F1993" s="14">
        <v>3042</v>
      </c>
      <c r="G1993" s="14">
        <v>2433.6</v>
      </c>
      <c r="H1993" s="37">
        <f>'Calculation Sheet'!N1993</f>
        <v>2384.9279999999999</v>
      </c>
    </row>
    <row r="1994" spans="1:8" x14ac:dyDescent="0.25">
      <c r="A1994" s="14" t="s">
        <v>493</v>
      </c>
      <c r="B1994" s="14" t="s">
        <v>238</v>
      </c>
      <c r="C1994" s="15" t="s">
        <v>2374</v>
      </c>
      <c r="D1994" s="14" t="s">
        <v>1752</v>
      </c>
      <c r="E1994" s="14" t="s">
        <v>1753</v>
      </c>
      <c r="F1994" s="14">
        <v>91260</v>
      </c>
      <c r="G1994" s="14">
        <v>73008</v>
      </c>
      <c r="H1994" s="37">
        <f>'Calculation Sheet'!N1994</f>
        <v>65707.199999999997</v>
      </c>
    </row>
    <row r="1995" spans="1:8" x14ac:dyDescent="0.25">
      <c r="A1995" s="14" t="s">
        <v>493</v>
      </c>
      <c r="B1995" s="14" t="s">
        <v>494</v>
      </c>
      <c r="C1995" s="15" t="s">
        <v>492</v>
      </c>
      <c r="D1995" s="14" t="s">
        <v>1745</v>
      </c>
      <c r="E1995" s="14" t="s">
        <v>1747</v>
      </c>
      <c r="F1995" s="14">
        <v>3000</v>
      </c>
      <c r="G1995" s="14">
        <v>2400</v>
      </c>
      <c r="H1995" s="37">
        <f>'Calculation Sheet'!N1995</f>
        <v>2160</v>
      </c>
    </row>
    <row r="1996" spans="1:8" x14ac:dyDescent="0.25">
      <c r="A1996" s="14" t="s">
        <v>493</v>
      </c>
      <c r="B1996" s="14" t="s">
        <v>356</v>
      </c>
      <c r="C1996" s="15" t="s">
        <v>2373</v>
      </c>
      <c r="D1996" s="14" t="s">
        <v>1752</v>
      </c>
      <c r="E1996" s="14" t="s">
        <v>1753</v>
      </c>
      <c r="F1996" s="14">
        <v>116820</v>
      </c>
      <c r="G1996" s="14">
        <v>93456</v>
      </c>
      <c r="H1996" s="37">
        <f>'Calculation Sheet'!N1996</f>
        <v>84110.399999999994</v>
      </c>
    </row>
    <row r="1997" spans="1:8" x14ac:dyDescent="0.25">
      <c r="A1997" s="14" t="s">
        <v>493</v>
      </c>
      <c r="B1997" s="14" t="s">
        <v>497</v>
      </c>
      <c r="C1997" s="15" t="s">
        <v>2372</v>
      </c>
      <c r="D1997" s="14" t="s">
        <v>1749</v>
      </c>
      <c r="E1997" s="14" t="s">
        <v>1766</v>
      </c>
      <c r="F1997" s="14">
        <v>0</v>
      </c>
      <c r="G1997" s="14">
        <v>0</v>
      </c>
      <c r="H1997" s="37">
        <f>'Calculation Sheet'!N1997</f>
        <v>0</v>
      </c>
    </row>
    <row r="1998" spans="1:8" x14ac:dyDescent="0.25">
      <c r="A1998" s="14" t="s">
        <v>493</v>
      </c>
      <c r="B1998" s="14" t="s">
        <v>498</v>
      </c>
      <c r="C1998" s="15" t="s">
        <v>2372</v>
      </c>
      <c r="D1998" s="14" t="s">
        <v>1752</v>
      </c>
      <c r="E1998" s="14" t="s">
        <v>1753</v>
      </c>
      <c r="F1998" s="14">
        <v>9000</v>
      </c>
      <c r="G1998" s="14">
        <v>7200</v>
      </c>
      <c r="H1998" s="37">
        <f>'Calculation Sheet'!N1998</f>
        <v>6480</v>
      </c>
    </row>
    <row r="1999" spans="1:8" x14ac:dyDescent="0.25">
      <c r="A1999" s="14" t="s">
        <v>493</v>
      </c>
      <c r="B1999" s="14">
        <v>21</v>
      </c>
      <c r="C1999" s="15" t="s">
        <v>514</v>
      </c>
      <c r="D1999" s="14" t="s">
        <v>1745</v>
      </c>
      <c r="E1999" s="14" t="s">
        <v>1747</v>
      </c>
      <c r="F1999" s="14">
        <v>30420</v>
      </c>
      <c r="G1999" s="14">
        <v>24336</v>
      </c>
      <c r="H1999" s="37">
        <f>'Calculation Sheet'!N1999</f>
        <v>21902.400000000001</v>
      </c>
    </row>
    <row r="2000" spans="1:8" x14ac:dyDescent="0.25">
      <c r="A2000" s="14" t="s">
        <v>493</v>
      </c>
      <c r="B2000" s="14">
        <v>1</v>
      </c>
      <c r="C2000" s="15" t="s">
        <v>491</v>
      </c>
      <c r="D2000" s="14" t="s">
        <v>1749</v>
      </c>
      <c r="E2000" s="14" t="s">
        <v>1746</v>
      </c>
      <c r="F2000" s="14">
        <v>3894</v>
      </c>
      <c r="G2000" s="14">
        <v>3115.2</v>
      </c>
      <c r="H2000" s="37">
        <f>'Calculation Sheet'!N2000</f>
        <v>3052.8959999999997</v>
      </c>
    </row>
    <row r="2001" spans="1:8" x14ac:dyDescent="0.25">
      <c r="A2001" s="14" t="s">
        <v>493</v>
      </c>
      <c r="B2001" s="14" t="s">
        <v>494</v>
      </c>
      <c r="C2001" s="15" t="s">
        <v>492</v>
      </c>
      <c r="D2001" s="14" t="s">
        <v>1752</v>
      </c>
      <c r="E2001" s="14" t="s">
        <v>1753</v>
      </c>
      <c r="F2001" s="14">
        <v>9000</v>
      </c>
      <c r="G2001" s="14">
        <v>7200</v>
      </c>
      <c r="H2001" s="37">
        <f>'Calculation Sheet'!N2001</f>
        <v>6480</v>
      </c>
    </row>
    <row r="2002" spans="1:8" x14ac:dyDescent="0.25">
      <c r="A2002" s="14" t="s">
        <v>493</v>
      </c>
      <c r="B2002" s="14" t="s">
        <v>275</v>
      </c>
      <c r="C2002" s="15" t="s">
        <v>2375</v>
      </c>
      <c r="D2002" s="14" t="s">
        <v>1752</v>
      </c>
      <c r="E2002" s="14" t="s">
        <v>1747</v>
      </c>
      <c r="F2002" s="14">
        <v>91260</v>
      </c>
      <c r="G2002" s="14">
        <v>73008</v>
      </c>
      <c r="H2002" s="37">
        <f>'Calculation Sheet'!N2002</f>
        <v>65707.199999999997</v>
      </c>
    </row>
    <row r="2003" spans="1:8" x14ac:dyDescent="0.25">
      <c r="A2003" s="14" t="s">
        <v>493</v>
      </c>
      <c r="B2003" s="14">
        <v>114</v>
      </c>
      <c r="C2003" s="15" t="s">
        <v>2370</v>
      </c>
      <c r="D2003" s="14" t="s">
        <v>1752</v>
      </c>
      <c r="E2003" s="14" t="s">
        <v>1753</v>
      </c>
      <c r="F2003" s="14">
        <v>29160</v>
      </c>
      <c r="G2003" s="14">
        <v>26244</v>
      </c>
      <c r="H2003" s="37">
        <f>'Calculation Sheet'!N2003</f>
        <v>23619.599999999999</v>
      </c>
    </row>
    <row r="2004" spans="1:8" x14ac:dyDescent="0.25">
      <c r="A2004" s="14" t="s">
        <v>493</v>
      </c>
      <c r="B2004" s="14" t="s">
        <v>275</v>
      </c>
      <c r="C2004" s="15" t="s">
        <v>2375</v>
      </c>
      <c r="D2004" s="14" t="s">
        <v>1752</v>
      </c>
      <c r="E2004" s="14" t="s">
        <v>1753</v>
      </c>
      <c r="F2004" s="14">
        <v>91260</v>
      </c>
      <c r="G2004" s="14">
        <v>73008</v>
      </c>
      <c r="H2004" s="37">
        <f>'Calculation Sheet'!N2004</f>
        <v>65707.199999999997</v>
      </c>
    </row>
    <row r="2005" spans="1:8" x14ac:dyDescent="0.25">
      <c r="A2005" s="14" t="s">
        <v>493</v>
      </c>
      <c r="B2005" s="14" t="s">
        <v>269</v>
      </c>
      <c r="C2005" s="15" t="s">
        <v>499</v>
      </c>
      <c r="D2005" s="14" t="s">
        <v>1752</v>
      </c>
      <c r="E2005" s="14" t="s">
        <v>1753</v>
      </c>
      <c r="F2005" s="14">
        <v>116820</v>
      </c>
      <c r="G2005" s="14">
        <v>93456</v>
      </c>
      <c r="H2005" s="37">
        <f>'Calculation Sheet'!N2005</f>
        <v>84110.399999999994</v>
      </c>
    </row>
    <row r="2006" spans="1:8" x14ac:dyDescent="0.25">
      <c r="A2006" s="14" t="s">
        <v>493</v>
      </c>
      <c r="B2006" s="14" t="s">
        <v>317</v>
      </c>
      <c r="C2006" s="15" t="s">
        <v>2371</v>
      </c>
      <c r="D2006" s="14" t="s">
        <v>1745</v>
      </c>
      <c r="E2006" s="14" t="s">
        <v>1747</v>
      </c>
      <c r="F2006" s="14">
        <v>9720</v>
      </c>
      <c r="G2006" s="14">
        <v>8748</v>
      </c>
      <c r="H2006" s="37">
        <f>'Calculation Sheet'!N2006</f>
        <v>7873.2</v>
      </c>
    </row>
    <row r="2007" spans="1:8" x14ac:dyDescent="0.25">
      <c r="A2007" s="14" t="s">
        <v>493</v>
      </c>
      <c r="B2007" s="14" t="s">
        <v>495</v>
      </c>
      <c r="C2007" s="15" t="s">
        <v>492</v>
      </c>
      <c r="D2007" s="14" t="s">
        <v>1749</v>
      </c>
      <c r="E2007" s="14" t="s">
        <v>1766</v>
      </c>
      <c r="F2007" s="14">
        <v>0</v>
      </c>
      <c r="G2007" s="14">
        <v>0</v>
      </c>
      <c r="H2007" s="37">
        <f>'Calculation Sheet'!N2007</f>
        <v>0</v>
      </c>
    </row>
    <row r="2008" spans="1:8" x14ac:dyDescent="0.25">
      <c r="A2008" s="14" t="s">
        <v>493</v>
      </c>
      <c r="B2008" s="14">
        <v>3</v>
      </c>
      <c r="C2008" s="15" t="s">
        <v>508</v>
      </c>
      <c r="D2008" s="14" t="s">
        <v>1745</v>
      </c>
      <c r="E2008" s="14" t="s">
        <v>1747</v>
      </c>
      <c r="F2008" s="14">
        <v>38940</v>
      </c>
      <c r="G2008" s="14">
        <v>31152</v>
      </c>
      <c r="H2008" s="37">
        <f>'Calculation Sheet'!N2008</f>
        <v>28036.799999999999</v>
      </c>
    </row>
    <row r="2009" spans="1:8" x14ac:dyDescent="0.25">
      <c r="A2009" s="14" t="s">
        <v>493</v>
      </c>
      <c r="B2009" s="14">
        <v>20</v>
      </c>
      <c r="C2009" s="15" t="s">
        <v>520</v>
      </c>
      <c r="D2009" s="14" t="s">
        <v>1745</v>
      </c>
      <c r="E2009" s="14" t="s">
        <v>1747</v>
      </c>
      <c r="F2009" s="14">
        <v>30420</v>
      </c>
      <c r="G2009" s="14">
        <v>24336</v>
      </c>
      <c r="H2009" s="37">
        <f>'Calculation Sheet'!N2009</f>
        <v>21902.400000000001</v>
      </c>
    </row>
    <row r="2010" spans="1:8" x14ac:dyDescent="0.25">
      <c r="A2010" s="14" t="s">
        <v>493</v>
      </c>
      <c r="B2010" s="14" t="s">
        <v>498</v>
      </c>
      <c r="C2010" s="15" t="s">
        <v>2372</v>
      </c>
      <c r="D2010" s="14" t="s">
        <v>1745</v>
      </c>
      <c r="E2010" s="14" t="s">
        <v>1747</v>
      </c>
      <c r="F2010" s="14">
        <v>3000</v>
      </c>
      <c r="G2010" s="14">
        <v>2400</v>
      </c>
      <c r="H2010" s="37">
        <f>'Calculation Sheet'!N2010</f>
        <v>2160</v>
      </c>
    </row>
    <row r="2011" spans="1:8" x14ac:dyDescent="0.25">
      <c r="A2011" s="14" t="s">
        <v>493</v>
      </c>
      <c r="B2011" s="14" t="s">
        <v>494</v>
      </c>
      <c r="C2011" s="15" t="s">
        <v>492</v>
      </c>
      <c r="D2011" s="14" t="s">
        <v>1745</v>
      </c>
      <c r="E2011" s="14" t="s">
        <v>1746</v>
      </c>
      <c r="F2011" s="14">
        <v>3150</v>
      </c>
      <c r="G2011" s="14">
        <v>2520</v>
      </c>
      <c r="H2011" s="37">
        <f>'Calculation Sheet'!N2011</f>
        <v>2469.6</v>
      </c>
    </row>
    <row r="2012" spans="1:8" x14ac:dyDescent="0.25">
      <c r="A2012" s="14" t="s">
        <v>493</v>
      </c>
      <c r="B2012" s="14">
        <v>21</v>
      </c>
      <c r="C2012" s="15" t="s">
        <v>514</v>
      </c>
      <c r="D2012" s="14" t="s">
        <v>1749</v>
      </c>
      <c r="E2012" s="14" t="s">
        <v>1746</v>
      </c>
      <c r="F2012" s="14">
        <v>3042</v>
      </c>
      <c r="G2012" s="14">
        <v>2433.6</v>
      </c>
      <c r="H2012" s="37">
        <f>'Calculation Sheet'!N2012</f>
        <v>2384.9279999999999</v>
      </c>
    </row>
    <row r="2013" spans="1:8" x14ac:dyDescent="0.25">
      <c r="A2013" s="14" t="s">
        <v>543</v>
      </c>
      <c r="B2013" s="14" t="s">
        <v>260</v>
      </c>
      <c r="C2013" s="15" t="s">
        <v>2376</v>
      </c>
      <c r="D2013" s="14" t="s">
        <v>1752</v>
      </c>
      <c r="E2013" s="14" t="s">
        <v>1747</v>
      </c>
      <c r="F2013" s="14">
        <v>179640</v>
      </c>
      <c r="G2013" s="14">
        <v>143712</v>
      </c>
      <c r="H2013" s="37">
        <f>'Calculation Sheet'!N2013</f>
        <v>123592.32000000001</v>
      </c>
    </row>
    <row r="2014" spans="1:8" x14ac:dyDescent="0.25">
      <c r="A2014" s="14" t="s">
        <v>543</v>
      </c>
      <c r="B2014" s="14" t="s">
        <v>583</v>
      </c>
      <c r="C2014" s="15" t="s">
        <v>2377</v>
      </c>
      <c r="D2014" s="14" t="s">
        <v>1749</v>
      </c>
      <c r="E2014" s="14" t="s">
        <v>1746</v>
      </c>
      <c r="F2014" s="14">
        <v>2394</v>
      </c>
      <c r="G2014" s="14">
        <v>2154.6</v>
      </c>
      <c r="H2014" s="37">
        <f>'Calculation Sheet'!N2014</f>
        <v>2089.962</v>
      </c>
    </row>
    <row r="2015" spans="1:8" x14ac:dyDescent="0.25">
      <c r="A2015" s="14" t="s">
        <v>543</v>
      </c>
      <c r="B2015" s="14" t="s">
        <v>269</v>
      </c>
      <c r="C2015" s="15" t="s">
        <v>2378</v>
      </c>
      <c r="D2015" s="14" t="s">
        <v>1752</v>
      </c>
      <c r="E2015" s="14" t="s">
        <v>1753</v>
      </c>
      <c r="F2015" s="14">
        <v>154080</v>
      </c>
      <c r="G2015" s="14">
        <v>123264</v>
      </c>
      <c r="H2015" s="37">
        <f>'Calculation Sheet'!N2015</f>
        <v>106007.03999999999</v>
      </c>
    </row>
    <row r="2016" spans="1:8" x14ac:dyDescent="0.25">
      <c r="A2016" s="14" t="s">
        <v>543</v>
      </c>
      <c r="B2016" s="14">
        <v>3</v>
      </c>
      <c r="C2016" s="15" t="s">
        <v>582</v>
      </c>
      <c r="D2016" s="14" t="s">
        <v>1745</v>
      </c>
      <c r="E2016" s="14" t="s">
        <v>1746</v>
      </c>
      <c r="F2016" s="14">
        <v>62874</v>
      </c>
      <c r="G2016" s="14">
        <v>50299.199999999997</v>
      </c>
      <c r="H2016" s="37">
        <f>'Calculation Sheet'!N2016</f>
        <v>48790.223999999995</v>
      </c>
    </row>
    <row r="2017" spans="1:8" x14ac:dyDescent="0.25">
      <c r="A2017" s="14" t="s">
        <v>543</v>
      </c>
      <c r="B2017" s="14" t="s">
        <v>269</v>
      </c>
      <c r="C2017" s="15" t="s">
        <v>2378</v>
      </c>
      <c r="D2017" s="14" t="s">
        <v>1752</v>
      </c>
      <c r="E2017" s="14" t="s">
        <v>1747</v>
      </c>
      <c r="F2017" s="14">
        <v>154080</v>
      </c>
      <c r="G2017" s="14">
        <v>123264</v>
      </c>
      <c r="H2017" s="37">
        <f>'Calculation Sheet'!N2017</f>
        <v>106007.03999999999</v>
      </c>
    </row>
    <row r="2018" spans="1:8" x14ac:dyDescent="0.25">
      <c r="A2018" s="14" t="s">
        <v>543</v>
      </c>
      <c r="B2018" s="14" t="s">
        <v>260</v>
      </c>
      <c r="C2018" s="15" t="s">
        <v>2376</v>
      </c>
      <c r="D2018" s="14" t="s">
        <v>1752</v>
      </c>
      <c r="E2018" s="14" t="s">
        <v>1753</v>
      </c>
      <c r="F2018" s="14">
        <v>179640</v>
      </c>
      <c r="G2018" s="14">
        <v>143712</v>
      </c>
      <c r="H2018" s="37">
        <f>'Calculation Sheet'!N2018</f>
        <v>123592.32000000001</v>
      </c>
    </row>
    <row r="2019" spans="1:8" x14ac:dyDescent="0.25">
      <c r="A2019" s="14" t="s">
        <v>543</v>
      </c>
      <c r="B2019" s="14" t="s">
        <v>583</v>
      </c>
      <c r="C2019" s="15" t="s">
        <v>2377</v>
      </c>
      <c r="D2019" s="14" t="s">
        <v>1745</v>
      </c>
      <c r="E2019" s="14" t="s">
        <v>1747</v>
      </c>
      <c r="F2019" s="14">
        <v>23940</v>
      </c>
      <c r="G2019" s="14">
        <v>21546</v>
      </c>
      <c r="H2019" s="37">
        <f>'Calculation Sheet'!N2019</f>
        <v>18529.559999999998</v>
      </c>
    </row>
    <row r="2020" spans="1:8" x14ac:dyDescent="0.25">
      <c r="A2020" s="14" t="s">
        <v>543</v>
      </c>
      <c r="B2020" s="14">
        <v>3</v>
      </c>
      <c r="C2020" s="15" t="s">
        <v>582</v>
      </c>
      <c r="D2020" s="14" t="s">
        <v>1749</v>
      </c>
      <c r="E2020" s="14" t="s">
        <v>1746</v>
      </c>
      <c r="F2020" s="14">
        <v>5988</v>
      </c>
      <c r="G2020" s="14">
        <v>4790.3999999999996</v>
      </c>
      <c r="H2020" s="37">
        <f>'Calculation Sheet'!N2020</f>
        <v>4646.6880000000001</v>
      </c>
    </row>
    <row r="2021" spans="1:8" x14ac:dyDescent="0.25">
      <c r="A2021" s="14" t="s">
        <v>543</v>
      </c>
      <c r="B2021" s="14" t="s">
        <v>108</v>
      </c>
      <c r="C2021" s="15" t="s">
        <v>560</v>
      </c>
      <c r="D2021" s="14" t="s">
        <v>1745</v>
      </c>
      <c r="E2021" s="14" t="s">
        <v>1747</v>
      </c>
      <c r="F2021" s="14">
        <v>51360</v>
      </c>
      <c r="G2021" s="14">
        <v>41088</v>
      </c>
      <c r="H2021" s="37">
        <f>'Calculation Sheet'!N2021</f>
        <v>35335.68</v>
      </c>
    </row>
    <row r="2022" spans="1:8" x14ac:dyDescent="0.25">
      <c r="A2022" s="14" t="s">
        <v>543</v>
      </c>
      <c r="B2022" s="14">
        <v>3</v>
      </c>
      <c r="C2022" s="15" t="s">
        <v>582</v>
      </c>
      <c r="D2022" s="14" t="s">
        <v>1745</v>
      </c>
      <c r="E2022" s="14" t="s">
        <v>1747</v>
      </c>
      <c r="F2022" s="14">
        <v>59880</v>
      </c>
      <c r="G2022" s="14">
        <v>47904</v>
      </c>
      <c r="H2022" s="37">
        <f>'Calculation Sheet'!N2022</f>
        <v>41197.440000000002</v>
      </c>
    </row>
    <row r="2023" spans="1:8" x14ac:dyDescent="0.25">
      <c r="A2023" s="14" t="s">
        <v>543</v>
      </c>
      <c r="B2023" s="14" t="s">
        <v>108</v>
      </c>
      <c r="C2023" s="15" t="s">
        <v>560</v>
      </c>
      <c r="D2023" s="14" t="s">
        <v>1749</v>
      </c>
      <c r="E2023" s="14" t="s">
        <v>1746</v>
      </c>
      <c r="F2023" s="14">
        <v>5136</v>
      </c>
      <c r="G2023" s="14">
        <v>4108.8</v>
      </c>
      <c r="H2023" s="37">
        <f>'Calculation Sheet'!N2023</f>
        <v>3985.5360000000001</v>
      </c>
    </row>
    <row r="2024" spans="1:8" x14ac:dyDescent="0.25">
      <c r="A2024" s="14" t="s">
        <v>543</v>
      </c>
      <c r="B2024" s="14" t="s">
        <v>583</v>
      </c>
      <c r="C2024" s="15" t="s">
        <v>2377</v>
      </c>
      <c r="D2024" s="14" t="s">
        <v>1745</v>
      </c>
      <c r="E2024" s="14" t="s">
        <v>1746</v>
      </c>
      <c r="F2024" s="14">
        <v>25137</v>
      </c>
      <c r="G2024" s="14">
        <v>22623.360000000001</v>
      </c>
      <c r="H2024" s="37">
        <f>'Calculation Sheet'!N2024</f>
        <v>21944.659200000002</v>
      </c>
    </row>
    <row r="2025" spans="1:8" x14ac:dyDescent="0.25">
      <c r="A2025" s="14" t="s">
        <v>543</v>
      </c>
      <c r="B2025" s="14" t="s">
        <v>108</v>
      </c>
      <c r="C2025" s="15" t="s">
        <v>560</v>
      </c>
      <c r="D2025" s="14" t="s">
        <v>1745</v>
      </c>
      <c r="E2025" s="14" t="s">
        <v>1746</v>
      </c>
      <c r="F2025" s="14">
        <v>53928</v>
      </c>
      <c r="G2025" s="14">
        <v>43142.400000000001</v>
      </c>
      <c r="H2025" s="37">
        <f>'Calculation Sheet'!N2025</f>
        <v>41848.128000000004</v>
      </c>
    </row>
    <row r="2026" spans="1:8" x14ac:dyDescent="0.25">
      <c r="A2026" s="14" t="s">
        <v>601</v>
      </c>
      <c r="B2026" s="14" t="s">
        <v>55</v>
      </c>
      <c r="C2026" s="15" t="s">
        <v>2379</v>
      </c>
      <c r="D2026" s="14" t="s">
        <v>1749</v>
      </c>
      <c r="E2026" s="14" t="s">
        <v>1746</v>
      </c>
      <c r="F2026" s="14">
        <v>168</v>
      </c>
      <c r="G2026" s="14">
        <v>134.4</v>
      </c>
      <c r="H2026" s="37">
        <f>'Calculation Sheet'!N2026</f>
        <v>133.05600000000001</v>
      </c>
    </row>
    <row r="2027" spans="1:8" x14ac:dyDescent="0.25">
      <c r="A2027" s="14" t="s">
        <v>601</v>
      </c>
      <c r="B2027" s="14" t="s">
        <v>118</v>
      </c>
      <c r="C2027" s="15" t="s">
        <v>2380</v>
      </c>
      <c r="D2027" s="14" t="s">
        <v>1745</v>
      </c>
      <c r="E2027" s="14" t="s">
        <v>1747</v>
      </c>
      <c r="F2027" s="14">
        <v>788.4</v>
      </c>
      <c r="G2027" s="14">
        <v>630.72</v>
      </c>
      <c r="H2027" s="37">
        <f>'Calculation Sheet'!N2027</f>
        <v>611.79840000000002</v>
      </c>
    </row>
    <row r="2028" spans="1:8" x14ac:dyDescent="0.25">
      <c r="A2028" s="14" t="s">
        <v>601</v>
      </c>
      <c r="B2028" s="14" t="s">
        <v>55</v>
      </c>
      <c r="C2028" s="15" t="s">
        <v>2379</v>
      </c>
      <c r="D2028" s="14" t="s">
        <v>1745</v>
      </c>
      <c r="E2028" s="14" t="s">
        <v>1746</v>
      </c>
      <c r="F2028" s="14">
        <v>1764</v>
      </c>
      <c r="G2028" s="14">
        <v>1411.2</v>
      </c>
      <c r="H2028" s="37">
        <f>'Calculation Sheet'!N2028</f>
        <v>1397.088</v>
      </c>
    </row>
    <row r="2029" spans="1:8" x14ac:dyDescent="0.25">
      <c r="A2029" s="14" t="s">
        <v>601</v>
      </c>
      <c r="B2029" s="14" t="s">
        <v>118</v>
      </c>
      <c r="C2029" s="15" t="s">
        <v>2380</v>
      </c>
      <c r="D2029" s="14" t="s">
        <v>1745</v>
      </c>
      <c r="E2029" s="14" t="s">
        <v>1746</v>
      </c>
      <c r="F2029" s="14">
        <v>827.88</v>
      </c>
      <c r="G2029" s="14">
        <v>662.28</v>
      </c>
      <c r="H2029" s="37">
        <f>'Calculation Sheet'!N2029</f>
        <v>655.65719999999999</v>
      </c>
    </row>
    <row r="2030" spans="1:8" x14ac:dyDescent="0.25">
      <c r="A2030" s="14" t="s">
        <v>601</v>
      </c>
      <c r="B2030" s="14" t="s">
        <v>50</v>
      </c>
      <c r="C2030" s="15" t="s">
        <v>2381</v>
      </c>
      <c r="D2030" s="14" t="s">
        <v>1745</v>
      </c>
      <c r="E2030" s="14" t="s">
        <v>1746</v>
      </c>
      <c r="F2030" s="14">
        <v>1449</v>
      </c>
      <c r="G2030" s="14">
        <v>1159.2</v>
      </c>
      <c r="H2030" s="37">
        <f>'Calculation Sheet'!N2030</f>
        <v>1147.6079999999999</v>
      </c>
    </row>
    <row r="2031" spans="1:8" x14ac:dyDescent="0.25">
      <c r="A2031" s="14" t="s">
        <v>601</v>
      </c>
      <c r="B2031" s="14" t="s">
        <v>55</v>
      </c>
      <c r="C2031" s="15" t="s">
        <v>2379</v>
      </c>
      <c r="D2031" s="14" t="s">
        <v>1745</v>
      </c>
      <c r="E2031" s="14" t="s">
        <v>1747</v>
      </c>
      <c r="F2031" s="14">
        <v>1680</v>
      </c>
      <c r="G2031" s="14">
        <v>1344</v>
      </c>
      <c r="H2031" s="37">
        <f>'Calculation Sheet'!N2031</f>
        <v>1303.68</v>
      </c>
    </row>
    <row r="2032" spans="1:8" x14ac:dyDescent="0.25">
      <c r="A2032" s="14" t="s">
        <v>601</v>
      </c>
      <c r="B2032" s="14" t="s">
        <v>32</v>
      </c>
      <c r="C2032" s="15" t="s">
        <v>2382</v>
      </c>
      <c r="D2032" s="14" t="s">
        <v>1749</v>
      </c>
      <c r="E2032" s="14" t="s">
        <v>1746</v>
      </c>
      <c r="F2032" s="14">
        <v>240</v>
      </c>
      <c r="G2032" s="14">
        <v>216</v>
      </c>
      <c r="H2032" s="37">
        <f>'Calculation Sheet'!N2032</f>
        <v>213.84</v>
      </c>
    </row>
    <row r="2033" spans="1:8" x14ac:dyDescent="0.25">
      <c r="A2033" s="14" t="s">
        <v>601</v>
      </c>
      <c r="B2033" s="14">
        <v>1</v>
      </c>
      <c r="C2033" s="15" t="s">
        <v>599</v>
      </c>
      <c r="D2033" s="14" t="s">
        <v>1745</v>
      </c>
      <c r="E2033" s="14" t="s">
        <v>1746</v>
      </c>
      <c r="F2033" s="14">
        <v>6300</v>
      </c>
      <c r="G2033" s="14">
        <v>5040</v>
      </c>
      <c r="H2033" s="37">
        <f>'Calculation Sheet'!N2033</f>
        <v>4989.6000000000004</v>
      </c>
    </row>
    <row r="2034" spans="1:8" x14ac:dyDescent="0.25">
      <c r="A2034" s="14" t="s">
        <v>601</v>
      </c>
      <c r="B2034" s="14" t="s">
        <v>50</v>
      </c>
      <c r="C2034" s="15" t="s">
        <v>2381</v>
      </c>
      <c r="D2034" s="14" t="s">
        <v>1745</v>
      </c>
      <c r="E2034" s="14" t="s">
        <v>1747</v>
      </c>
      <c r="F2034" s="14">
        <v>1380</v>
      </c>
      <c r="G2034" s="14">
        <v>1104</v>
      </c>
      <c r="H2034" s="37">
        <f>'Calculation Sheet'!N2034</f>
        <v>1070.8800000000001</v>
      </c>
    </row>
    <row r="2035" spans="1:8" x14ac:dyDescent="0.25">
      <c r="A2035" s="14" t="s">
        <v>601</v>
      </c>
      <c r="B2035" s="14" t="s">
        <v>32</v>
      </c>
      <c r="C2035" s="15" t="s">
        <v>2382</v>
      </c>
      <c r="D2035" s="14" t="s">
        <v>1745</v>
      </c>
      <c r="E2035" s="14" t="s">
        <v>1747</v>
      </c>
      <c r="F2035" s="14">
        <v>2400</v>
      </c>
      <c r="G2035" s="14">
        <v>2160</v>
      </c>
      <c r="H2035" s="37">
        <f>'Calculation Sheet'!N2035</f>
        <v>2095.1999999999998</v>
      </c>
    </row>
    <row r="2036" spans="1:8" x14ac:dyDescent="0.25">
      <c r="A2036" s="14" t="s">
        <v>601</v>
      </c>
      <c r="B2036" s="14" t="s">
        <v>118</v>
      </c>
      <c r="C2036" s="15" t="s">
        <v>2380</v>
      </c>
      <c r="D2036" s="14" t="s">
        <v>1749</v>
      </c>
      <c r="E2036" s="14" t="s">
        <v>1746</v>
      </c>
      <c r="F2036" s="14">
        <v>78.84</v>
      </c>
      <c r="G2036" s="14">
        <v>63.07</v>
      </c>
      <c r="H2036" s="37">
        <f>'Calculation Sheet'!N2036</f>
        <v>62.439300000000003</v>
      </c>
    </row>
    <row r="2037" spans="1:8" x14ac:dyDescent="0.25">
      <c r="A2037" s="14" t="s">
        <v>601</v>
      </c>
      <c r="B2037" s="14" t="s">
        <v>50</v>
      </c>
      <c r="C2037" s="15" t="s">
        <v>2381</v>
      </c>
      <c r="D2037" s="14" t="s">
        <v>1749</v>
      </c>
      <c r="E2037" s="14" t="s">
        <v>1746</v>
      </c>
      <c r="F2037" s="14">
        <v>138</v>
      </c>
      <c r="G2037" s="14">
        <v>110.4</v>
      </c>
      <c r="H2037" s="37">
        <f>'Calculation Sheet'!N2037</f>
        <v>109.29600000000001</v>
      </c>
    </row>
    <row r="2038" spans="1:8" x14ac:dyDescent="0.25">
      <c r="A2038" s="14" t="s">
        <v>601</v>
      </c>
      <c r="B2038" s="14" t="s">
        <v>32</v>
      </c>
      <c r="C2038" s="15" t="s">
        <v>2382</v>
      </c>
      <c r="D2038" s="14" t="s">
        <v>1745</v>
      </c>
      <c r="E2038" s="14" t="s">
        <v>1746</v>
      </c>
      <c r="F2038" s="14">
        <v>2520</v>
      </c>
      <c r="G2038" s="14">
        <v>2268</v>
      </c>
      <c r="H2038" s="37">
        <f>'Calculation Sheet'!N2038</f>
        <v>2245.3200000000002</v>
      </c>
    </row>
    <row r="2039" spans="1:8" x14ac:dyDescent="0.25">
      <c r="A2039" s="14" t="s">
        <v>601</v>
      </c>
      <c r="B2039" s="14">
        <v>1</v>
      </c>
      <c r="C2039" s="15" t="s">
        <v>599</v>
      </c>
      <c r="D2039" s="14" t="s">
        <v>1749</v>
      </c>
      <c r="E2039" s="14" t="s">
        <v>1746</v>
      </c>
      <c r="F2039" s="14">
        <v>600</v>
      </c>
      <c r="G2039" s="14">
        <v>480</v>
      </c>
      <c r="H2039" s="37">
        <f>'Calculation Sheet'!N2039</f>
        <v>475.2</v>
      </c>
    </row>
    <row r="2040" spans="1:8" x14ac:dyDescent="0.25">
      <c r="A2040" s="14" t="s">
        <v>601</v>
      </c>
      <c r="B2040" s="14">
        <v>1</v>
      </c>
      <c r="C2040" s="15" t="s">
        <v>599</v>
      </c>
      <c r="D2040" s="14" t="s">
        <v>1745</v>
      </c>
      <c r="E2040" s="14" t="s">
        <v>1747</v>
      </c>
      <c r="F2040" s="14">
        <v>6000</v>
      </c>
      <c r="G2040" s="14">
        <v>4800</v>
      </c>
      <c r="H2040" s="37">
        <f>'Calculation Sheet'!N2040</f>
        <v>4656</v>
      </c>
    </row>
    <row r="2041" spans="1:8" x14ac:dyDescent="0.25">
      <c r="A2041" s="14" t="s">
        <v>622</v>
      </c>
      <c r="B2041" s="14" t="s">
        <v>32</v>
      </c>
      <c r="C2041" s="15" t="s">
        <v>2383</v>
      </c>
      <c r="D2041" s="14" t="s">
        <v>1745</v>
      </c>
      <c r="E2041" s="14" t="s">
        <v>1747</v>
      </c>
      <c r="F2041" s="14">
        <v>2820</v>
      </c>
      <c r="G2041" s="14">
        <v>2538</v>
      </c>
      <c r="H2041" s="37">
        <f>'Calculation Sheet'!N2041</f>
        <v>2461.86</v>
      </c>
    </row>
    <row r="2042" spans="1:8" x14ac:dyDescent="0.25">
      <c r="A2042" s="14" t="s">
        <v>622</v>
      </c>
      <c r="B2042" s="14" t="s">
        <v>39</v>
      </c>
      <c r="C2042" s="15" t="s">
        <v>2384</v>
      </c>
      <c r="D2042" s="14" t="s">
        <v>1745</v>
      </c>
      <c r="E2042" s="14" t="s">
        <v>1746</v>
      </c>
      <c r="F2042" s="14">
        <v>1701</v>
      </c>
      <c r="G2042" s="14">
        <v>1360.8</v>
      </c>
      <c r="H2042" s="37">
        <f>'Calculation Sheet'!N2042</f>
        <v>1347.192</v>
      </c>
    </row>
    <row r="2043" spans="1:8" x14ac:dyDescent="0.25">
      <c r="A2043" s="14" t="s">
        <v>622</v>
      </c>
      <c r="B2043" s="14">
        <v>1</v>
      </c>
      <c r="C2043" s="15" t="s">
        <v>620</v>
      </c>
      <c r="D2043" s="14" t="s">
        <v>1745</v>
      </c>
      <c r="E2043" s="14" t="s">
        <v>1747</v>
      </c>
      <c r="F2043" s="14">
        <v>6960</v>
      </c>
      <c r="G2043" s="14">
        <v>5568</v>
      </c>
      <c r="H2043" s="37">
        <f>'Calculation Sheet'!N2043</f>
        <v>5400.96</v>
      </c>
    </row>
    <row r="2044" spans="1:8" x14ac:dyDescent="0.25">
      <c r="A2044" s="14" t="s">
        <v>622</v>
      </c>
      <c r="B2044" s="14" t="s">
        <v>118</v>
      </c>
      <c r="C2044" s="15" t="s">
        <v>2385</v>
      </c>
      <c r="D2044" s="14" t="s">
        <v>1745</v>
      </c>
      <c r="E2044" s="14" t="s">
        <v>1746</v>
      </c>
      <c r="F2044" s="14">
        <v>975.24</v>
      </c>
      <c r="G2044" s="14">
        <v>780.24</v>
      </c>
      <c r="H2044" s="37">
        <f>'Calculation Sheet'!N2044</f>
        <v>772.43759999999997</v>
      </c>
    </row>
    <row r="2045" spans="1:8" x14ac:dyDescent="0.25">
      <c r="A2045" s="14" t="s">
        <v>622</v>
      </c>
      <c r="B2045" s="14" t="s">
        <v>55</v>
      </c>
      <c r="C2045" s="15" t="s">
        <v>624</v>
      </c>
      <c r="D2045" s="14" t="s">
        <v>1749</v>
      </c>
      <c r="E2045" s="14" t="s">
        <v>1746</v>
      </c>
      <c r="F2045" s="14">
        <v>198</v>
      </c>
      <c r="G2045" s="14">
        <v>158.4</v>
      </c>
      <c r="H2045" s="37">
        <f>'Calculation Sheet'!N2045</f>
        <v>156.816</v>
      </c>
    </row>
    <row r="2046" spans="1:8" x14ac:dyDescent="0.25">
      <c r="A2046" s="14" t="s">
        <v>622</v>
      </c>
      <c r="B2046" s="14" t="s">
        <v>55</v>
      </c>
      <c r="C2046" s="15" t="s">
        <v>624</v>
      </c>
      <c r="D2046" s="14" t="s">
        <v>1745</v>
      </c>
      <c r="E2046" s="14" t="s">
        <v>1746</v>
      </c>
      <c r="F2046" s="14">
        <v>2079</v>
      </c>
      <c r="G2046" s="14">
        <v>1663.2</v>
      </c>
      <c r="H2046" s="37">
        <f>'Calculation Sheet'!N2046</f>
        <v>1646.568</v>
      </c>
    </row>
    <row r="2047" spans="1:8" x14ac:dyDescent="0.25">
      <c r="A2047" s="14" t="s">
        <v>622</v>
      </c>
      <c r="B2047" s="14" t="s">
        <v>32</v>
      </c>
      <c r="C2047" s="15" t="s">
        <v>2383</v>
      </c>
      <c r="D2047" s="14" t="s">
        <v>1749</v>
      </c>
      <c r="E2047" s="14" t="s">
        <v>1746</v>
      </c>
      <c r="F2047" s="14">
        <v>282</v>
      </c>
      <c r="G2047" s="14">
        <v>253.8</v>
      </c>
      <c r="H2047" s="37">
        <f>'Calculation Sheet'!N2047</f>
        <v>251.262</v>
      </c>
    </row>
    <row r="2048" spans="1:8" x14ac:dyDescent="0.25">
      <c r="A2048" s="14" t="s">
        <v>622</v>
      </c>
      <c r="B2048" s="14">
        <v>1</v>
      </c>
      <c r="C2048" s="15" t="s">
        <v>620</v>
      </c>
      <c r="D2048" s="14" t="s">
        <v>1749</v>
      </c>
      <c r="E2048" s="14" t="s">
        <v>1746</v>
      </c>
      <c r="F2048" s="14">
        <v>696</v>
      </c>
      <c r="G2048" s="14">
        <v>556.79999999999995</v>
      </c>
      <c r="H2048" s="37">
        <f>'Calculation Sheet'!N2048</f>
        <v>551.23199999999997</v>
      </c>
    </row>
    <row r="2049" spans="1:8" x14ac:dyDescent="0.25">
      <c r="A2049" s="14" t="s">
        <v>622</v>
      </c>
      <c r="B2049" s="14" t="s">
        <v>118</v>
      </c>
      <c r="C2049" s="15" t="s">
        <v>2385</v>
      </c>
      <c r="D2049" s="14" t="s">
        <v>1745</v>
      </c>
      <c r="E2049" s="14" t="s">
        <v>1747</v>
      </c>
      <c r="F2049" s="14">
        <v>928.8</v>
      </c>
      <c r="G2049" s="14">
        <v>743.04</v>
      </c>
      <c r="H2049" s="37">
        <f>'Calculation Sheet'!N2049</f>
        <v>720.74879999999996</v>
      </c>
    </row>
    <row r="2050" spans="1:8" x14ac:dyDescent="0.25">
      <c r="A2050" s="14" t="s">
        <v>622</v>
      </c>
      <c r="B2050" s="14" t="s">
        <v>32</v>
      </c>
      <c r="C2050" s="15" t="s">
        <v>2383</v>
      </c>
      <c r="D2050" s="14" t="s">
        <v>1745</v>
      </c>
      <c r="E2050" s="14" t="s">
        <v>1746</v>
      </c>
      <c r="F2050" s="14">
        <v>2961</v>
      </c>
      <c r="G2050" s="14">
        <v>2664.96</v>
      </c>
      <c r="H2050" s="37">
        <f>'Calculation Sheet'!N2050</f>
        <v>2638.3103999999998</v>
      </c>
    </row>
    <row r="2051" spans="1:8" x14ac:dyDescent="0.25">
      <c r="A2051" s="14" t="s">
        <v>622</v>
      </c>
      <c r="B2051" s="14">
        <v>1</v>
      </c>
      <c r="C2051" s="15" t="s">
        <v>620</v>
      </c>
      <c r="D2051" s="14" t="s">
        <v>1745</v>
      </c>
      <c r="E2051" s="14" t="s">
        <v>1746</v>
      </c>
      <c r="F2051" s="14">
        <v>7308</v>
      </c>
      <c r="G2051" s="14">
        <v>5846.4</v>
      </c>
      <c r="H2051" s="37">
        <f>'Calculation Sheet'!N2051</f>
        <v>5787.9359999999997</v>
      </c>
    </row>
    <row r="2052" spans="1:8" x14ac:dyDescent="0.25">
      <c r="A2052" s="14" t="s">
        <v>622</v>
      </c>
      <c r="B2052" s="14" t="s">
        <v>55</v>
      </c>
      <c r="C2052" s="15" t="s">
        <v>624</v>
      </c>
      <c r="D2052" s="14" t="s">
        <v>1745</v>
      </c>
      <c r="E2052" s="14" t="s">
        <v>1747</v>
      </c>
      <c r="F2052" s="14">
        <v>1980</v>
      </c>
      <c r="G2052" s="14">
        <v>1584</v>
      </c>
      <c r="H2052" s="37">
        <f>'Calculation Sheet'!N2052</f>
        <v>1536.48</v>
      </c>
    </row>
    <row r="2053" spans="1:8" x14ac:dyDescent="0.25">
      <c r="A2053" s="14" t="s">
        <v>622</v>
      </c>
      <c r="B2053" s="14" t="s">
        <v>39</v>
      </c>
      <c r="C2053" s="15" t="s">
        <v>2384</v>
      </c>
      <c r="D2053" s="14" t="s">
        <v>1745</v>
      </c>
      <c r="E2053" s="14" t="s">
        <v>1747</v>
      </c>
      <c r="F2053" s="14">
        <v>1620</v>
      </c>
      <c r="G2053" s="14">
        <v>1296</v>
      </c>
      <c r="H2053" s="37">
        <f>'Calculation Sheet'!N2053</f>
        <v>1257.1199999999999</v>
      </c>
    </row>
    <row r="2054" spans="1:8" x14ac:dyDescent="0.25">
      <c r="A2054" s="14" t="s">
        <v>622</v>
      </c>
      <c r="B2054" s="14" t="s">
        <v>118</v>
      </c>
      <c r="C2054" s="15" t="s">
        <v>2385</v>
      </c>
      <c r="D2054" s="14" t="s">
        <v>1749</v>
      </c>
      <c r="E2054" s="14" t="s">
        <v>1746</v>
      </c>
      <c r="F2054" s="14">
        <v>92.88</v>
      </c>
      <c r="G2054" s="14">
        <v>74.3</v>
      </c>
      <c r="H2054" s="37">
        <f>'Calculation Sheet'!N2054</f>
        <v>73.557000000000002</v>
      </c>
    </row>
    <row r="2055" spans="1:8" x14ac:dyDescent="0.25">
      <c r="A2055" s="14" t="s">
        <v>622</v>
      </c>
      <c r="B2055" s="14" t="s">
        <v>39</v>
      </c>
      <c r="C2055" s="15" t="s">
        <v>2384</v>
      </c>
      <c r="D2055" s="14" t="s">
        <v>1749</v>
      </c>
      <c r="E2055" s="14" t="s">
        <v>1746</v>
      </c>
      <c r="F2055" s="14">
        <v>162</v>
      </c>
      <c r="G2055" s="14">
        <v>129.6</v>
      </c>
      <c r="H2055" s="37">
        <f>'Calculation Sheet'!N2055</f>
        <v>128.304</v>
      </c>
    </row>
    <row r="2056" spans="1:8" x14ac:dyDescent="0.25">
      <c r="A2056" s="14" t="s">
        <v>633</v>
      </c>
      <c r="B2056" s="14" t="s">
        <v>55</v>
      </c>
      <c r="C2056" s="15" t="s">
        <v>2386</v>
      </c>
      <c r="D2056" s="14" t="s">
        <v>1745</v>
      </c>
      <c r="E2056" s="14" t="s">
        <v>1747</v>
      </c>
      <c r="F2056" s="14">
        <v>1380</v>
      </c>
      <c r="G2056" s="14">
        <v>1104</v>
      </c>
      <c r="H2056" s="37">
        <f>'Calculation Sheet'!N2056</f>
        <v>1070.8800000000001</v>
      </c>
    </row>
    <row r="2057" spans="1:8" x14ac:dyDescent="0.25">
      <c r="A2057" s="14" t="s">
        <v>633</v>
      </c>
      <c r="B2057" s="14">
        <v>1</v>
      </c>
      <c r="C2057" s="15" t="s">
        <v>631</v>
      </c>
      <c r="D2057" s="14" t="s">
        <v>1749</v>
      </c>
      <c r="E2057" s="14" t="s">
        <v>1746</v>
      </c>
      <c r="F2057" s="14">
        <v>600</v>
      </c>
      <c r="G2057" s="14">
        <v>480</v>
      </c>
      <c r="H2057" s="37">
        <f>'Calculation Sheet'!N2057</f>
        <v>475.2</v>
      </c>
    </row>
    <row r="2058" spans="1:8" x14ac:dyDescent="0.25">
      <c r="A2058" s="14" t="s">
        <v>633</v>
      </c>
      <c r="B2058" s="14" t="s">
        <v>55</v>
      </c>
      <c r="C2058" s="15" t="s">
        <v>2386</v>
      </c>
      <c r="D2058" s="14" t="s">
        <v>1745</v>
      </c>
      <c r="E2058" s="14" t="s">
        <v>1746</v>
      </c>
      <c r="F2058" s="14">
        <v>1449</v>
      </c>
      <c r="G2058" s="14">
        <v>1159.2</v>
      </c>
      <c r="H2058" s="37">
        <f>'Calculation Sheet'!N2058</f>
        <v>1147.6079999999999</v>
      </c>
    </row>
    <row r="2059" spans="1:8" x14ac:dyDescent="0.25">
      <c r="A2059" s="14" t="s">
        <v>633</v>
      </c>
      <c r="B2059" s="14" t="s">
        <v>118</v>
      </c>
      <c r="C2059" s="15" t="s">
        <v>2387</v>
      </c>
      <c r="D2059" s="14" t="s">
        <v>1745</v>
      </c>
      <c r="E2059" s="14" t="s">
        <v>1747</v>
      </c>
      <c r="F2059" s="14">
        <v>788.4</v>
      </c>
      <c r="G2059" s="14">
        <v>630.72</v>
      </c>
      <c r="H2059" s="37">
        <f>'Calculation Sheet'!N2059</f>
        <v>611.79840000000002</v>
      </c>
    </row>
    <row r="2060" spans="1:8" x14ac:dyDescent="0.25">
      <c r="A2060" s="14" t="s">
        <v>633</v>
      </c>
      <c r="B2060" s="14" t="s">
        <v>50</v>
      </c>
      <c r="C2060" s="15" t="s">
        <v>2388</v>
      </c>
      <c r="D2060" s="14" t="s">
        <v>1745</v>
      </c>
      <c r="E2060" s="14" t="s">
        <v>1746</v>
      </c>
      <c r="F2060" s="14">
        <v>1764</v>
      </c>
      <c r="G2060" s="14">
        <v>1411.2</v>
      </c>
      <c r="H2060" s="37">
        <f>'Calculation Sheet'!N2060</f>
        <v>1397.088</v>
      </c>
    </row>
    <row r="2061" spans="1:8" x14ac:dyDescent="0.25">
      <c r="A2061" s="14" t="s">
        <v>633</v>
      </c>
      <c r="B2061" s="14" t="s">
        <v>50</v>
      </c>
      <c r="C2061" s="15" t="s">
        <v>2388</v>
      </c>
      <c r="D2061" s="14" t="s">
        <v>1745</v>
      </c>
      <c r="E2061" s="14" t="s">
        <v>1747</v>
      </c>
      <c r="F2061" s="14">
        <v>1680</v>
      </c>
      <c r="G2061" s="14">
        <v>1344</v>
      </c>
      <c r="H2061" s="37">
        <f>'Calculation Sheet'!N2061</f>
        <v>1303.68</v>
      </c>
    </row>
    <row r="2062" spans="1:8" x14ac:dyDescent="0.25">
      <c r="A2062" s="14" t="s">
        <v>633</v>
      </c>
      <c r="B2062" s="14">
        <v>1</v>
      </c>
      <c r="C2062" s="15" t="s">
        <v>631</v>
      </c>
      <c r="D2062" s="14" t="s">
        <v>1745</v>
      </c>
      <c r="E2062" s="14" t="s">
        <v>1747</v>
      </c>
      <c r="F2062" s="14">
        <v>6000</v>
      </c>
      <c r="G2062" s="14">
        <v>4800</v>
      </c>
      <c r="H2062" s="37">
        <f>'Calculation Sheet'!N2062</f>
        <v>4656</v>
      </c>
    </row>
    <row r="2063" spans="1:8" x14ac:dyDescent="0.25">
      <c r="A2063" s="14" t="s">
        <v>633</v>
      </c>
      <c r="B2063" s="14" t="s">
        <v>118</v>
      </c>
      <c r="C2063" s="15" t="s">
        <v>2387</v>
      </c>
      <c r="D2063" s="14" t="s">
        <v>1749</v>
      </c>
      <c r="E2063" s="14" t="s">
        <v>1746</v>
      </c>
      <c r="F2063" s="14">
        <v>78.84</v>
      </c>
      <c r="G2063" s="14">
        <v>63.07</v>
      </c>
      <c r="H2063" s="37">
        <f>'Calculation Sheet'!N2063</f>
        <v>62.439300000000003</v>
      </c>
    </row>
    <row r="2064" spans="1:8" x14ac:dyDescent="0.25">
      <c r="A2064" s="14" t="s">
        <v>633</v>
      </c>
      <c r="B2064" s="14" t="s">
        <v>32</v>
      </c>
      <c r="C2064" s="15" t="s">
        <v>2389</v>
      </c>
      <c r="D2064" s="14" t="s">
        <v>1745</v>
      </c>
      <c r="E2064" s="14" t="s">
        <v>1746</v>
      </c>
      <c r="F2064" s="14">
        <v>2520</v>
      </c>
      <c r="G2064" s="14">
        <v>2268</v>
      </c>
      <c r="H2064" s="37">
        <f>'Calculation Sheet'!N2064</f>
        <v>2245.3200000000002</v>
      </c>
    </row>
    <row r="2065" spans="1:8" x14ac:dyDescent="0.25">
      <c r="A2065" s="14" t="s">
        <v>633</v>
      </c>
      <c r="B2065" s="14" t="s">
        <v>55</v>
      </c>
      <c r="C2065" s="15" t="s">
        <v>2386</v>
      </c>
      <c r="D2065" s="14" t="s">
        <v>1749</v>
      </c>
      <c r="E2065" s="14" t="s">
        <v>1746</v>
      </c>
      <c r="F2065" s="14">
        <v>138</v>
      </c>
      <c r="G2065" s="14">
        <v>110.4</v>
      </c>
      <c r="H2065" s="37">
        <f>'Calculation Sheet'!N2065</f>
        <v>109.29600000000001</v>
      </c>
    </row>
    <row r="2066" spans="1:8" x14ac:dyDescent="0.25">
      <c r="A2066" s="14" t="s">
        <v>633</v>
      </c>
      <c r="B2066" s="14" t="s">
        <v>50</v>
      </c>
      <c r="C2066" s="15" t="s">
        <v>2388</v>
      </c>
      <c r="D2066" s="14" t="s">
        <v>1749</v>
      </c>
      <c r="E2066" s="14" t="s">
        <v>1746</v>
      </c>
      <c r="F2066" s="14">
        <v>168</v>
      </c>
      <c r="G2066" s="14">
        <v>134.4</v>
      </c>
      <c r="H2066" s="37">
        <f>'Calculation Sheet'!N2066</f>
        <v>133.05600000000001</v>
      </c>
    </row>
    <row r="2067" spans="1:8" x14ac:dyDescent="0.25">
      <c r="A2067" s="14" t="s">
        <v>633</v>
      </c>
      <c r="B2067" s="14" t="s">
        <v>32</v>
      </c>
      <c r="C2067" s="15" t="s">
        <v>2389</v>
      </c>
      <c r="D2067" s="14" t="s">
        <v>1749</v>
      </c>
      <c r="E2067" s="14" t="s">
        <v>1746</v>
      </c>
      <c r="F2067" s="14">
        <v>240</v>
      </c>
      <c r="G2067" s="14">
        <v>216</v>
      </c>
      <c r="H2067" s="37">
        <f>'Calculation Sheet'!N2067</f>
        <v>213.84</v>
      </c>
    </row>
    <row r="2068" spans="1:8" x14ac:dyDescent="0.25">
      <c r="A2068" s="14" t="s">
        <v>633</v>
      </c>
      <c r="B2068" s="14">
        <v>1</v>
      </c>
      <c r="C2068" s="15" t="s">
        <v>631</v>
      </c>
      <c r="D2068" s="14" t="s">
        <v>1745</v>
      </c>
      <c r="E2068" s="14" t="s">
        <v>1746</v>
      </c>
      <c r="F2068" s="14">
        <v>6300</v>
      </c>
      <c r="G2068" s="14">
        <v>5040</v>
      </c>
      <c r="H2068" s="37">
        <f>'Calculation Sheet'!N2068</f>
        <v>4989.6000000000004</v>
      </c>
    </row>
    <row r="2069" spans="1:8" x14ac:dyDescent="0.25">
      <c r="A2069" s="14" t="s">
        <v>633</v>
      </c>
      <c r="B2069" s="14" t="s">
        <v>32</v>
      </c>
      <c r="C2069" s="15" t="s">
        <v>2389</v>
      </c>
      <c r="D2069" s="14" t="s">
        <v>1745</v>
      </c>
      <c r="E2069" s="14" t="s">
        <v>1747</v>
      </c>
      <c r="F2069" s="14">
        <v>2400</v>
      </c>
      <c r="G2069" s="14">
        <v>2160</v>
      </c>
      <c r="H2069" s="37">
        <f>'Calculation Sheet'!N2069</f>
        <v>2095.1999999999998</v>
      </c>
    </row>
    <row r="2070" spans="1:8" x14ac:dyDescent="0.25">
      <c r="A2070" s="14" t="s">
        <v>633</v>
      </c>
      <c r="B2070" s="14" t="s">
        <v>118</v>
      </c>
      <c r="C2070" s="15" t="s">
        <v>2387</v>
      </c>
      <c r="D2070" s="14" t="s">
        <v>1745</v>
      </c>
      <c r="E2070" s="14" t="s">
        <v>1746</v>
      </c>
      <c r="F2070" s="14">
        <v>827.88</v>
      </c>
      <c r="G2070" s="14">
        <v>662.28</v>
      </c>
      <c r="H2070" s="37">
        <f>'Calculation Sheet'!N2070</f>
        <v>655.65719999999999</v>
      </c>
    </row>
    <row r="2071" spans="1:8" x14ac:dyDescent="0.25">
      <c r="A2071" s="14" t="s">
        <v>646</v>
      </c>
      <c r="B2071" s="14">
        <v>17</v>
      </c>
      <c r="C2071" s="15" t="s">
        <v>657</v>
      </c>
      <c r="D2071" s="14" t="s">
        <v>1752</v>
      </c>
      <c r="E2071" s="14" t="s">
        <v>1753</v>
      </c>
      <c r="F2071" s="14">
        <v>270900</v>
      </c>
      <c r="G2071" s="14">
        <v>216720</v>
      </c>
      <c r="H2071" s="37">
        <f>'Calculation Sheet'!N2071</f>
        <v>186379.2</v>
      </c>
    </row>
    <row r="2072" spans="1:8" x14ac:dyDescent="0.25">
      <c r="A2072" s="14" t="s">
        <v>646</v>
      </c>
      <c r="B2072" s="14" t="s">
        <v>36</v>
      </c>
      <c r="C2072" s="15" t="s">
        <v>2390</v>
      </c>
      <c r="D2072" s="14" t="s">
        <v>1745</v>
      </c>
      <c r="E2072" s="14" t="s">
        <v>1746</v>
      </c>
      <c r="F2072" s="14">
        <v>94815</v>
      </c>
      <c r="G2072" s="14">
        <v>75852</v>
      </c>
      <c r="H2072" s="37">
        <f>'Calculation Sheet'!N2072</f>
        <v>73576.44</v>
      </c>
    </row>
    <row r="2073" spans="1:8" x14ac:dyDescent="0.25">
      <c r="A2073" s="14" t="s">
        <v>646</v>
      </c>
      <c r="B2073" s="14" t="s">
        <v>102</v>
      </c>
      <c r="C2073" s="15" t="s">
        <v>2391</v>
      </c>
      <c r="D2073" s="14" t="s">
        <v>1749</v>
      </c>
      <c r="E2073" s="14" t="s">
        <v>1746</v>
      </c>
      <c r="F2073" s="14">
        <v>9882</v>
      </c>
      <c r="G2073" s="14">
        <v>7905.6</v>
      </c>
      <c r="H2073" s="37">
        <f>'Calculation Sheet'!N2073</f>
        <v>7668.4320000000007</v>
      </c>
    </row>
    <row r="2074" spans="1:8" x14ac:dyDescent="0.25">
      <c r="A2074" s="14" t="s">
        <v>646</v>
      </c>
      <c r="B2074" s="14">
        <v>17</v>
      </c>
      <c r="C2074" s="15" t="s">
        <v>657</v>
      </c>
      <c r="D2074" s="14" t="s">
        <v>1752</v>
      </c>
      <c r="E2074" s="14" t="s">
        <v>1747</v>
      </c>
      <c r="F2074" s="14">
        <v>270900</v>
      </c>
      <c r="G2074" s="14">
        <v>216720</v>
      </c>
      <c r="H2074" s="37">
        <f>'Calculation Sheet'!N2074</f>
        <v>186379.2</v>
      </c>
    </row>
    <row r="2075" spans="1:8" x14ac:dyDescent="0.25">
      <c r="A2075" s="14" t="s">
        <v>646</v>
      </c>
      <c r="B2075" s="14" t="s">
        <v>325</v>
      </c>
      <c r="C2075" s="15" t="s">
        <v>669</v>
      </c>
      <c r="D2075" s="14" t="s">
        <v>1752</v>
      </c>
      <c r="E2075" s="14" t="s">
        <v>1753</v>
      </c>
      <c r="F2075" s="14">
        <v>296460</v>
      </c>
      <c r="G2075" s="14">
        <v>237168</v>
      </c>
      <c r="H2075" s="37">
        <f>'Calculation Sheet'!N2075</f>
        <v>203964.47999999998</v>
      </c>
    </row>
    <row r="2076" spans="1:8" x14ac:dyDescent="0.25">
      <c r="A2076" s="14" t="s">
        <v>646</v>
      </c>
      <c r="B2076" s="14" t="s">
        <v>325</v>
      </c>
      <c r="C2076" s="15" t="s">
        <v>669</v>
      </c>
      <c r="D2076" s="14" t="s">
        <v>1752</v>
      </c>
      <c r="E2076" s="14" t="s">
        <v>1747</v>
      </c>
      <c r="F2076" s="14">
        <v>296460</v>
      </c>
      <c r="G2076" s="14">
        <v>237168</v>
      </c>
      <c r="H2076" s="37">
        <f>'Calculation Sheet'!N2076</f>
        <v>203964.47999999998</v>
      </c>
    </row>
    <row r="2077" spans="1:8" x14ac:dyDescent="0.25">
      <c r="A2077" s="14" t="s">
        <v>646</v>
      </c>
      <c r="B2077" s="14" t="s">
        <v>102</v>
      </c>
      <c r="C2077" s="15" t="s">
        <v>2391</v>
      </c>
      <c r="D2077" s="14" t="s">
        <v>1745</v>
      </c>
      <c r="E2077" s="14" t="s">
        <v>1747</v>
      </c>
      <c r="F2077" s="14">
        <v>98820</v>
      </c>
      <c r="G2077" s="14">
        <v>79056</v>
      </c>
      <c r="H2077" s="37">
        <f>'Calculation Sheet'!N2077</f>
        <v>67988.160000000003</v>
      </c>
    </row>
    <row r="2078" spans="1:8" x14ac:dyDescent="0.25">
      <c r="A2078" s="14" t="s">
        <v>646</v>
      </c>
      <c r="B2078" s="14" t="s">
        <v>102</v>
      </c>
      <c r="C2078" s="15" t="s">
        <v>2391</v>
      </c>
      <c r="D2078" s="14" t="s">
        <v>1745</v>
      </c>
      <c r="E2078" s="14" t="s">
        <v>1746</v>
      </c>
      <c r="F2078" s="14">
        <v>103761</v>
      </c>
      <c r="G2078" s="14">
        <v>83008.800000000003</v>
      </c>
      <c r="H2078" s="37">
        <f>'Calculation Sheet'!N2078</f>
        <v>80518.536000000007</v>
      </c>
    </row>
    <row r="2079" spans="1:8" x14ac:dyDescent="0.25">
      <c r="A2079" s="14" t="s">
        <v>646</v>
      </c>
      <c r="B2079" s="14" t="s">
        <v>36</v>
      </c>
      <c r="C2079" s="15" t="s">
        <v>2390</v>
      </c>
      <c r="D2079" s="14" t="s">
        <v>1745</v>
      </c>
      <c r="E2079" s="14" t="s">
        <v>1747</v>
      </c>
      <c r="F2079" s="14">
        <v>90300</v>
      </c>
      <c r="G2079" s="14">
        <v>72240</v>
      </c>
      <c r="H2079" s="37">
        <f>'Calculation Sheet'!N2079</f>
        <v>62126.400000000001</v>
      </c>
    </row>
    <row r="2080" spans="1:8" x14ac:dyDescent="0.25">
      <c r="A2080" s="14" t="s">
        <v>646</v>
      </c>
      <c r="B2080" s="14" t="s">
        <v>36</v>
      </c>
      <c r="C2080" s="15" t="s">
        <v>2390</v>
      </c>
      <c r="D2080" s="14" t="s">
        <v>1749</v>
      </c>
      <c r="E2080" s="14" t="s">
        <v>1746</v>
      </c>
      <c r="F2080" s="14">
        <v>9030</v>
      </c>
      <c r="G2080" s="14">
        <v>7224</v>
      </c>
      <c r="H2080" s="37">
        <f>'Calculation Sheet'!N2080</f>
        <v>7007.28</v>
      </c>
    </row>
    <row r="2081" spans="1:8" x14ac:dyDescent="0.25">
      <c r="A2081" s="14" t="s">
        <v>2392</v>
      </c>
      <c r="B2081" s="14">
        <v>6</v>
      </c>
      <c r="C2081" s="15" t="s">
        <v>2393</v>
      </c>
      <c r="D2081" s="14" t="s">
        <v>1749</v>
      </c>
      <c r="E2081" s="14" t="s">
        <v>1746</v>
      </c>
      <c r="F2081" s="14">
        <v>29952</v>
      </c>
      <c r="G2081" s="14">
        <v>23961.599999999999</v>
      </c>
      <c r="H2081" s="37">
        <f>'Calculation Sheet'!N2081</f>
        <v>23961.599999999999</v>
      </c>
    </row>
    <row r="2082" spans="1:8" x14ac:dyDescent="0.25">
      <c r="A2082" s="14" t="s">
        <v>2392</v>
      </c>
      <c r="B2082" s="14">
        <v>6</v>
      </c>
      <c r="C2082" s="15" t="s">
        <v>2393</v>
      </c>
      <c r="D2082" s="14" t="s">
        <v>1745</v>
      </c>
      <c r="E2082" s="14" t="s">
        <v>1746</v>
      </c>
      <c r="F2082" s="14">
        <v>314496</v>
      </c>
      <c r="G2082" s="14">
        <v>251596.79999999999</v>
      </c>
      <c r="H2082" s="37">
        <f>'Calculation Sheet'!N2082</f>
        <v>251596.79999999999</v>
      </c>
    </row>
    <row r="2083" spans="1:8" x14ac:dyDescent="0.25">
      <c r="A2083" s="14" t="s">
        <v>2392</v>
      </c>
      <c r="B2083" s="14">
        <v>6</v>
      </c>
      <c r="C2083" s="15" t="s">
        <v>2393</v>
      </c>
      <c r="D2083" s="14" t="s">
        <v>1745</v>
      </c>
      <c r="E2083" s="14" t="s">
        <v>1747</v>
      </c>
      <c r="F2083" s="14">
        <v>299520</v>
      </c>
      <c r="G2083" s="14">
        <v>239616</v>
      </c>
      <c r="H2083" s="37">
        <f>'Calculation Sheet'!N2083</f>
        <v>239616</v>
      </c>
    </row>
    <row r="2084" spans="1:8" x14ac:dyDescent="0.25">
      <c r="A2084" s="14" t="s">
        <v>676</v>
      </c>
      <c r="B2084" s="14" t="s">
        <v>39</v>
      </c>
      <c r="C2084" s="15" t="s">
        <v>2394</v>
      </c>
      <c r="D2084" s="14" t="s">
        <v>1745</v>
      </c>
      <c r="E2084" s="14" t="s">
        <v>1746</v>
      </c>
      <c r="F2084" s="14">
        <v>0</v>
      </c>
      <c r="G2084" s="14">
        <v>0</v>
      </c>
      <c r="H2084" s="37">
        <f>'Calculation Sheet'!N2084</f>
        <v>0</v>
      </c>
    </row>
    <row r="2085" spans="1:8" x14ac:dyDescent="0.25">
      <c r="A2085" s="14" t="s">
        <v>676</v>
      </c>
      <c r="B2085" s="14" t="s">
        <v>28</v>
      </c>
      <c r="C2085" s="15" t="s">
        <v>2395</v>
      </c>
      <c r="D2085" s="14" t="s">
        <v>1749</v>
      </c>
      <c r="E2085" s="14" t="s">
        <v>1746</v>
      </c>
      <c r="F2085" s="14">
        <v>0</v>
      </c>
      <c r="G2085" s="14">
        <v>0</v>
      </c>
      <c r="H2085" s="37">
        <f>'Calculation Sheet'!N2085</f>
        <v>0</v>
      </c>
    </row>
    <row r="2086" spans="1:8" x14ac:dyDescent="0.25">
      <c r="A2086" s="14" t="s">
        <v>676</v>
      </c>
      <c r="B2086" s="14" t="s">
        <v>39</v>
      </c>
      <c r="C2086" s="15" t="s">
        <v>2394</v>
      </c>
      <c r="D2086" s="14" t="s">
        <v>1745</v>
      </c>
      <c r="E2086" s="14" t="s">
        <v>1747</v>
      </c>
      <c r="F2086" s="14">
        <v>0</v>
      </c>
      <c r="G2086" s="14">
        <v>0</v>
      </c>
      <c r="H2086" s="37">
        <f>'Calculation Sheet'!N2086</f>
        <v>0</v>
      </c>
    </row>
    <row r="2087" spans="1:8" x14ac:dyDescent="0.25">
      <c r="A2087" s="14" t="s">
        <v>676</v>
      </c>
      <c r="B2087" s="14" t="s">
        <v>28</v>
      </c>
      <c r="C2087" s="15" t="s">
        <v>2395</v>
      </c>
      <c r="D2087" s="14" t="s">
        <v>1745</v>
      </c>
      <c r="E2087" s="14" t="s">
        <v>1747</v>
      </c>
      <c r="F2087" s="14">
        <v>0</v>
      </c>
      <c r="G2087" s="14">
        <v>0</v>
      </c>
      <c r="H2087" s="37">
        <f>'Calculation Sheet'!N2087</f>
        <v>0</v>
      </c>
    </row>
    <row r="2088" spans="1:8" x14ac:dyDescent="0.25">
      <c r="A2088" s="14" t="s">
        <v>676</v>
      </c>
      <c r="B2088" s="14" t="s">
        <v>28</v>
      </c>
      <c r="C2088" s="15" t="s">
        <v>2395</v>
      </c>
      <c r="D2088" s="14" t="s">
        <v>1745</v>
      </c>
      <c r="E2088" s="14" t="s">
        <v>1746</v>
      </c>
      <c r="F2088" s="14">
        <v>0</v>
      </c>
      <c r="G2088" s="14">
        <v>0</v>
      </c>
      <c r="H2088" s="37">
        <f>'Calculation Sheet'!N2088</f>
        <v>0</v>
      </c>
    </row>
    <row r="2089" spans="1:8" x14ac:dyDescent="0.25">
      <c r="A2089" s="14" t="s">
        <v>676</v>
      </c>
      <c r="B2089" s="14" t="s">
        <v>39</v>
      </c>
      <c r="C2089" s="15" t="s">
        <v>2394</v>
      </c>
      <c r="D2089" s="14" t="s">
        <v>1749</v>
      </c>
      <c r="E2089" s="14" t="s">
        <v>1746</v>
      </c>
      <c r="F2089" s="14">
        <v>0</v>
      </c>
      <c r="G2089" s="14">
        <v>0</v>
      </c>
      <c r="H2089" s="37">
        <f>'Calculation Sheet'!N2089</f>
        <v>0</v>
      </c>
    </row>
    <row r="2090" spans="1:8" x14ac:dyDescent="0.25">
      <c r="A2090" s="14" t="s">
        <v>682</v>
      </c>
      <c r="B2090" s="14">
        <v>25</v>
      </c>
      <c r="C2090" s="15" t="s">
        <v>2396</v>
      </c>
      <c r="D2090" s="14" t="s">
        <v>1745</v>
      </c>
      <c r="E2090" s="14" t="s">
        <v>1746</v>
      </c>
      <c r="F2090" s="14">
        <v>3339</v>
      </c>
      <c r="G2090" s="14">
        <v>3005.16</v>
      </c>
      <c r="H2090" s="37">
        <f>'Calculation Sheet'!N2090</f>
        <v>2975.1084000000001</v>
      </c>
    </row>
    <row r="2091" spans="1:8" x14ac:dyDescent="0.25">
      <c r="A2091" s="14" t="s">
        <v>682</v>
      </c>
      <c r="B2091" s="14">
        <v>5</v>
      </c>
      <c r="C2091" s="15" t="s">
        <v>2397</v>
      </c>
      <c r="D2091" s="14" t="s">
        <v>1749</v>
      </c>
      <c r="E2091" s="14" t="s">
        <v>1746</v>
      </c>
      <c r="F2091" s="14">
        <v>798</v>
      </c>
      <c r="G2091" s="14">
        <v>638.4</v>
      </c>
      <c r="H2091" s="37">
        <f>'Calculation Sheet'!N2091</f>
        <v>632.01599999999996</v>
      </c>
    </row>
    <row r="2092" spans="1:8" x14ac:dyDescent="0.25">
      <c r="A2092" s="14" t="s">
        <v>682</v>
      </c>
      <c r="B2092" s="14">
        <v>5</v>
      </c>
      <c r="C2092" s="15" t="s">
        <v>2397</v>
      </c>
      <c r="D2092" s="14" t="s">
        <v>1745</v>
      </c>
      <c r="E2092" s="14" t="s">
        <v>1746</v>
      </c>
      <c r="F2092" s="14">
        <v>8379</v>
      </c>
      <c r="G2092" s="14">
        <v>6703.2</v>
      </c>
      <c r="H2092" s="37">
        <f>'Calculation Sheet'!N2092</f>
        <v>6636.1679999999997</v>
      </c>
    </row>
    <row r="2093" spans="1:8" x14ac:dyDescent="0.25">
      <c r="A2093" s="14" t="s">
        <v>682</v>
      </c>
      <c r="B2093" s="14">
        <v>3</v>
      </c>
      <c r="C2093" s="15" t="s">
        <v>680</v>
      </c>
      <c r="D2093" s="14" t="s">
        <v>1749</v>
      </c>
      <c r="E2093" s="14" t="s">
        <v>1766</v>
      </c>
      <c r="F2093" s="14">
        <v>0</v>
      </c>
      <c r="G2093" s="14">
        <v>0</v>
      </c>
      <c r="H2093" s="37">
        <f>'Calculation Sheet'!N2093</f>
        <v>0</v>
      </c>
    </row>
    <row r="2094" spans="1:8" x14ac:dyDescent="0.25">
      <c r="A2094" s="14" t="s">
        <v>682</v>
      </c>
      <c r="B2094" s="14">
        <v>5</v>
      </c>
      <c r="C2094" s="15" t="s">
        <v>2397</v>
      </c>
      <c r="D2094" s="14" t="s">
        <v>1745</v>
      </c>
      <c r="E2094" s="14" t="s">
        <v>1747</v>
      </c>
      <c r="F2094" s="14">
        <v>7980</v>
      </c>
      <c r="G2094" s="14">
        <v>6384</v>
      </c>
      <c r="H2094" s="37">
        <f>'Calculation Sheet'!N2094</f>
        <v>6192.48</v>
      </c>
    </row>
    <row r="2095" spans="1:8" x14ac:dyDescent="0.25">
      <c r="A2095" s="14" t="s">
        <v>682</v>
      </c>
      <c r="B2095" s="14" t="s">
        <v>260</v>
      </c>
      <c r="C2095" s="15" t="s">
        <v>2398</v>
      </c>
      <c r="D2095" s="14" t="s">
        <v>1749</v>
      </c>
      <c r="E2095" s="14" t="s">
        <v>1766</v>
      </c>
      <c r="F2095" s="14">
        <v>0</v>
      </c>
      <c r="G2095" s="14">
        <v>0</v>
      </c>
      <c r="H2095" s="37">
        <f>'Calculation Sheet'!N2095</f>
        <v>0</v>
      </c>
    </row>
    <row r="2096" spans="1:8" x14ac:dyDescent="0.25">
      <c r="A2096" s="14" t="s">
        <v>682</v>
      </c>
      <c r="B2096" s="14">
        <v>6</v>
      </c>
      <c r="C2096" s="15" t="s">
        <v>2399</v>
      </c>
      <c r="D2096" s="14" t="s">
        <v>1749</v>
      </c>
      <c r="E2096" s="14" t="s">
        <v>1746</v>
      </c>
      <c r="F2096" s="14">
        <v>798</v>
      </c>
      <c r="G2096" s="14">
        <v>638.4</v>
      </c>
      <c r="H2096" s="37">
        <f>'Calculation Sheet'!N2096</f>
        <v>632.01599999999996</v>
      </c>
    </row>
    <row r="2097" spans="1:8" x14ac:dyDescent="0.25">
      <c r="A2097" s="14" t="s">
        <v>682</v>
      </c>
      <c r="B2097" s="14">
        <v>6</v>
      </c>
      <c r="C2097" s="15" t="s">
        <v>2399</v>
      </c>
      <c r="D2097" s="14" t="s">
        <v>1745</v>
      </c>
      <c r="E2097" s="14" t="s">
        <v>1747</v>
      </c>
      <c r="F2097" s="14">
        <v>7980</v>
      </c>
      <c r="G2097" s="14">
        <v>6384</v>
      </c>
      <c r="H2097" s="37">
        <f>'Calculation Sheet'!N2097</f>
        <v>6192.48</v>
      </c>
    </row>
    <row r="2098" spans="1:8" x14ac:dyDescent="0.25">
      <c r="A2098" s="14" t="s">
        <v>682</v>
      </c>
      <c r="B2098" s="14">
        <v>7</v>
      </c>
      <c r="C2098" s="15" t="s">
        <v>2400</v>
      </c>
      <c r="D2098" s="14" t="s">
        <v>1745</v>
      </c>
      <c r="E2098" s="14" t="s">
        <v>1747</v>
      </c>
      <c r="F2098" s="14">
        <v>12960</v>
      </c>
      <c r="G2098" s="14">
        <v>10368</v>
      </c>
      <c r="H2098" s="37">
        <f>'Calculation Sheet'!N2098</f>
        <v>10056.959999999999</v>
      </c>
    </row>
    <row r="2099" spans="1:8" x14ac:dyDescent="0.25">
      <c r="A2099" s="14" t="s">
        <v>682</v>
      </c>
      <c r="B2099" s="14">
        <v>7</v>
      </c>
      <c r="C2099" s="15" t="s">
        <v>2400</v>
      </c>
      <c r="D2099" s="14" t="s">
        <v>1749</v>
      </c>
      <c r="E2099" s="14" t="s">
        <v>1746</v>
      </c>
      <c r="F2099" s="14">
        <v>1296</v>
      </c>
      <c r="G2099" s="14">
        <v>1036.8</v>
      </c>
      <c r="H2099" s="37">
        <f>'Calculation Sheet'!N2099</f>
        <v>1026.432</v>
      </c>
    </row>
    <row r="2100" spans="1:8" x14ac:dyDescent="0.25">
      <c r="A2100" s="14" t="s">
        <v>682</v>
      </c>
      <c r="B2100" s="14">
        <v>2</v>
      </c>
      <c r="C2100" s="15" t="s">
        <v>680</v>
      </c>
      <c r="D2100" s="14" t="s">
        <v>1749</v>
      </c>
      <c r="E2100" s="14" t="s">
        <v>1746</v>
      </c>
      <c r="F2100" s="14">
        <v>300</v>
      </c>
      <c r="G2100" s="14">
        <v>240</v>
      </c>
      <c r="H2100" s="37">
        <f>'Calculation Sheet'!N2100</f>
        <v>240</v>
      </c>
    </row>
    <row r="2101" spans="1:8" x14ac:dyDescent="0.25">
      <c r="A2101" s="14" t="s">
        <v>682</v>
      </c>
      <c r="B2101" s="14" t="s">
        <v>113</v>
      </c>
      <c r="C2101" s="15" t="s">
        <v>2401</v>
      </c>
      <c r="D2101" s="14" t="s">
        <v>1745</v>
      </c>
      <c r="E2101" s="14" t="s">
        <v>1746</v>
      </c>
      <c r="F2101" s="14">
        <v>1257.48</v>
      </c>
      <c r="G2101" s="14">
        <v>1131.72</v>
      </c>
      <c r="H2101" s="37">
        <f>'Calculation Sheet'!N2101</f>
        <v>1131.72</v>
      </c>
    </row>
    <row r="2102" spans="1:8" x14ac:dyDescent="0.25">
      <c r="A2102" s="14" t="s">
        <v>682</v>
      </c>
      <c r="B2102" s="14" t="s">
        <v>265</v>
      </c>
      <c r="C2102" s="15" t="s">
        <v>2402</v>
      </c>
      <c r="D2102" s="14" t="s">
        <v>1745</v>
      </c>
      <c r="E2102" s="14" t="s">
        <v>1747</v>
      </c>
      <c r="F2102" s="14">
        <v>3180</v>
      </c>
      <c r="G2102" s="14">
        <v>2862</v>
      </c>
      <c r="H2102" s="37">
        <f>'Calculation Sheet'!N2102</f>
        <v>2776.14</v>
      </c>
    </row>
    <row r="2103" spans="1:8" x14ac:dyDescent="0.25">
      <c r="A2103" s="14" t="s">
        <v>682</v>
      </c>
      <c r="B2103" s="14">
        <v>24</v>
      </c>
      <c r="C2103" s="15" t="s">
        <v>2403</v>
      </c>
      <c r="D2103" s="14" t="s">
        <v>1745</v>
      </c>
      <c r="E2103" s="14" t="s">
        <v>1746</v>
      </c>
      <c r="F2103" s="14">
        <v>5481</v>
      </c>
      <c r="G2103" s="14">
        <v>4932.96</v>
      </c>
      <c r="H2103" s="37">
        <f>'Calculation Sheet'!N2103</f>
        <v>4883.6304</v>
      </c>
    </row>
    <row r="2104" spans="1:8" x14ac:dyDescent="0.25">
      <c r="A2104" s="14" t="s">
        <v>682</v>
      </c>
      <c r="B2104" s="14" t="s">
        <v>265</v>
      </c>
      <c r="C2104" s="15" t="s">
        <v>2402</v>
      </c>
      <c r="D2104" s="14" t="s">
        <v>1749</v>
      </c>
      <c r="E2104" s="14" t="s">
        <v>1746</v>
      </c>
      <c r="F2104" s="14">
        <v>318</v>
      </c>
      <c r="G2104" s="14">
        <v>286.2</v>
      </c>
      <c r="H2104" s="37">
        <f>'Calculation Sheet'!N2104</f>
        <v>283.33799999999997</v>
      </c>
    </row>
    <row r="2105" spans="1:8" x14ac:dyDescent="0.25">
      <c r="A2105" s="14" t="s">
        <v>682</v>
      </c>
      <c r="B2105" s="14">
        <v>6</v>
      </c>
      <c r="C2105" s="15" t="s">
        <v>2399</v>
      </c>
      <c r="D2105" s="14" t="s">
        <v>1745</v>
      </c>
      <c r="E2105" s="14" t="s">
        <v>1746</v>
      </c>
      <c r="F2105" s="14">
        <v>8379</v>
      </c>
      <c r="G2105" s="14">
        <v>6703.2</v>
      </c>
      <c r="H2105" s="37">
        <f>'Calculation Sheet'!N2105</f>
        <v>6636.1679999999997</v>
      </c>
    </row>
    <row r="2106" spans="1:8" x14ac:dyDescent="0.25">
      <c r="A2106" s="14" t="s">
        <v>682</v>
      </c>
      <c r="B2106" s="14">
        <v>25</v>
      </c>
      <c r="C2106" s="15" t="s">
        <v>2396</v>
      </c>
      <c r="D2106" s="14" t="s">
        <v>1745</v>
      </c>
      <c r="E2106" s="14" t="s">
        <v>1747</v>
      </c>
      <c r="F2106" s="14">
        <v>3180</v>
      </c>
      <c r="G2106" s="14">
        <v>2862</v>
      </c>
      <c r="H2106" s="37">
        <f>'Calculation Sheet'!N2106</f>
        <v>2776.14</v>
      </c>
    </row>
    <row r="2107" spans="1:8" x14ac:dyDescent="0.25">
      <c r="A2107" s="14" t="s">
        <v>682</v>
      </c>
      <c r="B2107" s="14">
        <v>2</v>
      </c>
      <c r="C2107" s="15" t="s">
        <v>680</v>
      </c>
      <c r="D2107" s="14" t="s">
        <v>1745</v>
      </c>
      <c r="E2107" s="14" t="s">
        <v>1746</v>
      </c>
      <c r="F2107" s="14">
        <v>3150</v>
      </c>
      <c r="G2107" s="14">
        <v>2520</v>
      </c>
      <c r="H2107" s="37">
        <f>'Calculation Sheet'!N2107</f>
        <v>2520</v>
      </c>
    </row>
    <row r="2108" spans="1:8" x14ac:dyDescent="0.25">
      <c r="A2108" s="14" t="s">
        <v>682</v>
      </c>
      <c r="B2108" s="14">
        <v>24</v>
      </c>
      <c r="C2108" s="15" t="s">
        <v>2403</v>
      </c>
      <c r="D2108" s="14" t="s">
        <v>1745</v>
      </c>
      <c r="E2108" s="14" t="s">
        <v>1747</v>
      </c>
      <c r="F2108" s="14">
        <v>5220</v>
      </c>
      <c r="G2108" s="14">
        <v>4698</v>
      </c>
      <c r="H2108" s="37">
        <f>'Calculation Sheet'!N2108</f>
        <v>4557.0600000000004</v>
      </c>
    </row>
    <row r="2109" spans="1:8" x14ac:dyDescent="0.25">
      <c r="A2109" s="14" t="s">
        <v>682</v>
      </c>
      <c r="B2109" s="14">
        <v>25</v>
      </c>
      <c r="C2109" s="15" t="s">
        <v>2396</v>
      </c>
      <c r="D2109" s="14" t="s">
        <v>1749</v>
      </c>
      <c r="E2109" s="14" t="s">
        <v>1746</v>
      </c>
      <c r="F2109" s="14">
        <v>318</v>
      </c>
      <c r="G2109" s="14">
        <v>286.2</v>
      </c>
      <c r="H2109" s="37">
        <f>'Calculation Sheet'!N2109</f>
        <v>283.33799999999997</v>
      </c>
    </row>
    <row r="2110" spans="1:8" x14ac:dyDescent="0.25">
      <c r="A2110" s="14" t="s">
        <v>682</v>
      </c>
      <c r="B2110" s="14" t="s">
        <v>265</v>
      </c>
      <c r="C2110" s="15" t="s">
        <v>2402</v>
      </c>
      <c r="D2110" s="14" t="s">
        <v>1745</v>
      </c>
      <c r="E2110" s="14" t="s">
        <v>1746</v>
      </c>
      <c r="F2110" s="14">
        <v>3339</v>
      </c>
      <c r="G2110" s="14">
        <v>3005.16</v>
      </c>
      <c r="H2110" s="37">
        <f>'Calculation Sheet'!N2110</f>
        <v>2975.1084000000001</v>
      </c>
    </row>
    <row r="2111" spans="1:8" x14ac:dyDescent="0.25">
      <c r="A2111" s="14" t="s">
        <v>682</v>
      </c>
      <c r="B2111" s="14">
        <v>7</v>
      </c>
      <c r="C2111" s="15" t="s">
        <v>2400</v>
      </c>
      <c r="D2111" s="14" t="s">
        <v>1745</v>
      </c>
      <c r="E2111" s="14" t="s">
        <v>1746</v>
      </c>
      <c r="F2111" s="14">
        <v>13608</v>
      </c>
      <c r="G2111" s="14">
        <v>10886.4</v>
      </c>
      <c r="H2111" s="37">
        <f>'Calculation Sheet'!N2111</f>
        <v>10777.536</v>
      </c>
    </row>
    <row r="2112" spans="1:8" x14ac:dyDescent="0.25">
      <c r="A2112" s="14" t="s">
        <v>682</v>
      </c>
      <c r="B2112" s="14" t="s">
        <v>570</v>
      </c>
      <c r="C2112" s="15" t="s">
        <v>2398</v>
      </c>
      <c r="D2112" s="14" t="s">
        <v>1745</v>
      </c>
      <c r="E2112" s="14" t="s">
        <v>1746</v>
      </c>
      <c r="F2112" s="14">
        <v>2646</v>
      </c>
      <c r="G2112" s="14">
        <v>2116.8000000000002</v>
      </c>
      <c r="H2112" s="37">
        <f>'Calculation Sheet'!N2112</f>
        <v>2116.8000000000002</v>
      </c>
    </row>
    <row r="2113" spans="1:8" x14ac:dyDescent="0.25">
      <c r="A2113" s="14" t="s">
        <v>682</v>
      </c>
      <c r="B2113" s="14" t="s">
        <v>570</v>
      </c>
      <c r="C2113" s="15" t="s">
        <v>2398</v>
      </c>
      <c r="D2113" s="14" t="s">
        <v>1745</v>
      </c>
      <c r="E2113" s="14" t="s">
        <v>1747</v>
      </c>
      <c r="F2113" s="14">
        <v>2520</v>
      </c>
      <c r="G2113" s="14">
        <v>2016</v>
      </c>
      <c r="H2113" s="37">
        <f>'Calculation Sheet'!N2113</f>
        <v>2016</v>
      </c>
    </row>
    <row r="2114" spans="1:8" x14ac:dyDescent="0.25">
      <c r="A2114" s="14" t="s">
        <v>682</v>
      </c>
      <c r="B2114" s="14" t="s">
        <v>113</v>
      </c>
      <c r="C2114" s="15" t="s">
        <v>2401</v>
      </c>
      <c r="D2114" s="14" t="s">
        <v>1745</v>
      </c>
      <c r="E2114" s="14" t="s">
        <v>1747</v>
      </c>
      <c r="F2114" s="14">
        <v>1197.5999999999999</v>
      </c>
      <c r="G2114" s="14">
        <v>1077.8399999999999</v>
      </c>
      <c r="H2114" s="37">
        <f>'Calculation Sheet'!N2114</f>
        <v>1077.8399999999999</v>
      </c>
    </row>
    <row r="2115" spans="1:8" x14ac:dyDescent="0.25">
      <c r="A2115" s="14" t="s">
        <v>682</v>
      </c>
      <c r="B2115" s="14" t="s">
        <v>570</v>
      </c>
      <c r="C2115" s="15" t="s">
        <v>2398</v>
      </c>
      <c r="D2115" s="14" t="s">
        <v>1749</v>
      </c>
      <c r="E2115" s="14" t="s">
        <v>1746</v>
      </c>
      <c r="F2115" s="14">
        <v>252</v>
      </c>
      <c r="G2115" s="14">
        <v>201.6</v>
      </c>
      <c r="H2115" s="37">
        <f>'Calculation Sheet'!N2115</f>
        <v>201.6</v>
      </c>
    </row>
    <row r="2116" spans="1:8" x14ac:dyDescent="0.25">
      <c r="A2116" s="14" t="s">
        <v>682</v>
      </c>
      <c r="B2116" s="14">
        <v>2</v>
      </c>
      <c r="C2116" s="15" t="s">
        <v>680</v>
      </c>
      <c r="D2116" s="14" t="s">
        <v>1745</v>
      </c>
      <c r="E2116" s="14" t="s">
        <v>1747</v>
      </c>
      <c r="F2116" s="14">
        <v>3000</v>
      </c>
      <c r="G2116" s="14">
        <v>2400</v>
      </c>
      <c r="H2116" s="37">
        <f>'Calculation Sheet'!N2116</f>
        <v>2400</v>
      </c>
    </row>
    <row r="2117" spans="1:8" x14ac:dyDescent="0.25">
      <c r="A2117" s="14" t="s">
        <v>682</v>
      </c>
      <c r="B2117" s="14">
        <v>24</v>
      </c>
      <c r="C2117" s="15" t="s">
        <v>2403</v>
      </c>
      <c r="D2117" s="14" t="s">
        <v>1749</v>
      </c>
      <c r="E2117" s="14" t="s">
        <v>1746</v>
      </c>
      <c r="F2117" s="14">
        <v>522</v>
      </c>
      <c r="G2117" s="14">
        <v>469.8</v>
      </c>
      <c r="H2117" s="37">
        <f>'Calculation Sheet'!N2117</f>
        <v>465.10200000000003</v>
      </c>
    </row>
    <row r="2118" spans="1:8" x14ac:dyDescent="0.25">
      <c r="A2118" s="14" t="s">
        <v>682</v>
      </c>
      <c r="B2118" s="14" t="s">
        <v>113</v>
      </c>
      <c r="C2118" s="15" t="s">
        <v>2401</v>
      </c>
      <c r="D2118" s="14" t="s">
        <v>1749</v>
      </c>
      <c r="E2118" s="14" t="s">
        <v>1746</v>
      </c>
      <c r="F2118" s="14">
        <v>119.76</v>
      </c>
      <c r="G2118" s="14">
        <v>107.78</v>
      </c>
      <c r="H2118" s="37">
        <f>'Calculation Sheet'!N2118</f>
        <v>107.78</v>
      </c>
    </row>
    <row r="2119" spans="1:8" x14ac:dyDescent="0.25">
      <c r="A2119" s="14" t="s">
        <v>2404</v>
      </c>
      <c r="B2119" s="14">
        <v>13</v>
      </c>
      <c r="C2119" s="15" t="s">
        <v>2405</v>
      </c>
      <c r="D2119" s="14" t="s">
        <v>1745</v>
      </c>
      <c r="E2119" s="14" t="s">
        <v>1747</v>
      </c>
      <c r="F2119" s="14">
        <v>8940</v>
      </c>
      <c r="G2119" s="14">
        <v>7152</v>
      </c>
      <c r="H2119" s="37">
        <f>'Calculation Sheet'!N2119</f>
        <v>7152</v>
      </c>
    </row>
    <row r="2120" spans="1:8" x14ac:dyDescent="0.25">
      <c r="A2120" s="14" t="s">
        <v>2404</v>
      </c>
      <c r="B2120" s="14">
        <v>1</v>
      </c>
      <c r="C2120" s="15" t="s">
        <v>2406</v>
      </c>
      <c r="D2120" s="14" t="s">
        <v>1749</v>
      </c>
      <c r="E2120" s="14" t="s">
        <v>1746</v>
      </c>
      <c r="F2120" s="14">
        <v>996</v>
      </c>
      <c r="G2120" s="14">
        <v>796.8</v>
      </c>
      <c r="H2120" s="37">
        <f>'Calculation Sheet'!N2120</f>
        <v>796.8</v>
      </c>
    </row>
    <row r="2121" spans="1:8" x14ac:dyDescent="0.25">
      <c r="A2121" s="14" t="s">
        <v>2404</v>
      </c>
      <c r="B2121" s="14" t="s">
        <v>118</v>
      </c>
      <c r="C2121" s="15" t="s">
        <v>2407</v>
      </c>
      <c r="D2121" s="14" t="s">
        <v>1745</v>
      </c>
      <c r="E2121" s="14" t="s">
        <v>1747</v>
      </c>
      <c r="F2121" s="14">
        <v>2520</v>
      </c>
      <c r="G2121" s="14">
        <v>2268</v>
      </c>
      <c r="H2121" s="37">
        <f>'Calculation Sheet'!N2121</f>
        <v>2268</v>
      </c>
    </row>
    <row r="2122" spans="1:8" x14ac:dyDescent="0.25">
      <c r="A2122" s="14" t="s">
        <v>2404</v>
      </c>
      <c r="B2122" s="14">
        <v>13</v>
      </c>
      <c r="C2122" s="15" t="s">
        <v>2405</v>
      </c>
      <c r="D2122" s="14" t="s">
        <v>1745</v>
      </c>
      <c r="E2122" s="14" t="s">
        <v>1746</v>
      </c>
      <c r="F2122" s="14">
        <v>9387</v>
      </c>
      <c r="G2122" s="14">
        <v>7509.6</v>
      </c>
      <c r="H2122" s="37">
        <f>'Calculation Sheet'!N2122</f>
        <v>7509.6</v>
      </c>
    </row>
    <row r="2123" spans="1:8" x14ac:dyDescent="0.25">
      <c r="A2123" s="14" t="s">
        <v>2404</v>
      </c>
      <c r="B2123" s="14">
        <v>1</v>
      </c>
      <c r="C2123" s="15" t="s">
        <v>2406</v>
      </c>
      <c r="D2123" s="14" t="s">
        <v>1745</v>
      </c>
      <c r="E2123" s="14" t="s">
        <v>1746</v>
      </c>
      <c r="F2123" s="14">
        <v>10458</v>
      </c>
      <c r="G2123" s="14">
        <v>8366.4</v>
      </c>
      <c r="H2123" s="37">
        <f>'Calculation Sheet'!N2123</f>
        <v>8366.4</v>
      </c>
    </row>
    <row r="2124" spans="1:8" x14ac:dyDescent="0.25">
      <c r="A2124" s="14" t="s">
        <v>2404</v>
      </c>
      <c r="B2124" s="14">
        <v>13</v>
      </c>
      <c r="C2124" s="15" t="s">
        <v>2405</v>
      </c>
      <c r="D2124" s="14" t="s">
        <v>1749</v>
      </c>
      <c r="E2124" s="14" t="s">
        <v>1746</v>
      </c>
      <c r="F2124" s="14">
        <v>894</v>
      </c>
      <c r="G2124" s="14">
        <v>715.2</v>
      </c>
      <c r="H2124" s="37">
        <f>'Calculation Sheet'!N2124</f>
        <v>715.2</v>
      </c>
    </row>
    <row r="2125" spans="1:8" x14ac:dyDescent="0.25">
      <c r="A2125" s="14" t="s">
        <v>2404</v>
      </c>
      <c r="B2125" s="14" t="s">
        <v>118</v>
      </c>
      <c r="C2125" s="15" t="s">
        <v>2407</v>
      </c>
      <c r="D2125" s="14" t="s">
        <v>1749</v>
      </c>
      <c r="E2125" s="14" t="s">
        <v>1746</v>
      </c>
      <c r="F2125" s="14">
        <v>252</v>
      </c>
      <c r="G2125" s="14">
        <v>226.8</v>
      </c>
      <c r="H2125" s="37">
        <f>'Calculation Sheet'!N2125</f>
        <v>226.8</v>
      </c>
    </row>
    <row r="2126" spans="1:8" x14ac:dyDescent="0.25">
      <c r="A2126" s="14" t="s">
        <v>2404</v>
      </c>
      <c r="B2126" s="14" t="s">
        <v>118</v>
      </c>
      <c r="C2126" s="15" t="s">
        <v>2407</v>
      </c>
      <c r="D2126" s="14" t="s">
        <v>1745</v>
      </c>
      <c r="E2126" s="14" t="s">
        <v>1746</v>
      </c>
      <c r="F2126" s="14">
        <v>2646</v>
      </c>
      <c r="G2126" s="14">
        <v>2381.4</v>
      </c>
      <c r="H2126" s="37">
        <f>'Calculation Sheet'!N2126</f>
        <v>2381.4</v>
      </c>
    </row>
    <row r="2127" spans="1:8" x14ac:dyDescent="0.25">
      <c r="A2127" s="14" t="s">
        <v>2404</v>
      </c>
      <c r="B2127" s="14">
        <v>1</v>
      </c>
      <c r="C2127" s="15" t="s">
        <v>2406</v>
      </c>
      <c r="D2127" s="14" t="s">
        <v>1745</v>
      </c>
      <c r="E2127" s="14" t="s">
        <v>1747</v>
      </c>
      <c r="F2127" s="14">
        <v>9960</v>
      </c>
      <c r="G2127" s="14">
        <v>7968</v>
      </c>
      <c r="H2127" s="37">
        <f>'Calculation Sheet'!N2127</f>
        <v>7968</v>
      </c>
    </row>
    <row r="2128" spans="1:8" x14ac:dyDescent="0.25">
      <c r="A2128" s="14" t="s">
        <v>749</v>
      </c>
      <c r="B2128" s="14" t="s">
        <v>16</v>
      </c>
      <c r="C2128" s="15" t="s">
        <v>2408</v>
      </c>
      <c r="D2128" s="14" t="s">
        <v>1745</v>
      </c>
      <c r="E2128" s="14" t="s">
        <v>1746</v>
      </c>
      <c r="F2128" s="14">
        <v>1257.48</v>
      </c>
      <c r="G2128" s="14">
        <v>1131.72</v>
      </c>
      <c r="H2128" s="37">
        <f>'Calculation Sheet'!N2128</f>
        <v>1120.4028000000001</v>
      </c>
    </row>
    <row r="2129" spans="1:8" x14ac:dyDescent="0.25">
      <c r="A2129" s="14" t="s">
        <v>749</v>
      </c>
      <c r="B2129" s="14">
        <v>9</v>
      </c>
      <c r="C2129" s="15" t="s">
        <v>751</v>
      </c>
      <c r="D2129" s="14" t="s">
        <v>1745</v>
      </c>
      <c r="E2129" s="14" t="s">
        <v>1746</v>
      </c>
      <c r="F2129" s="14">
        <v>5229</v>
      </c>
      <c r="G2129" s="14">
        <v>4183.2</v>
      </c>
      <c r="H2129" s="37">
        <f>'Calculation Sheet'!N2129</f>
        <v>4141.3679999999995</v>
      </c>
    </row>
    <row r="2130" spans="1:8" x14ac:dyDescent="0.25">
      <c r="A2130" s="14" t="s">
        <v>749</v>
      </c>
      <c r="B2130" s="14">
        <v>7</v>
      </c>
      <c r="C2130" s="15" t="s">
        <v>753</v>
      </c>
      <c r="D2130" s="14" t="s">
        <v>1745</v>
      </c>
      <c r="E2130" s="14" t="s">
        <v>1747</v>
      </c>
      <c r="F2130" s="14">
        <v>3000</v>
      </c>
      <c r="G2130" s="14">
        <v>2400</v>
      </c>
      <c r="H2130" s="37">
        <f>'Calculation Sheet'!N2130</f>
        <v>2328</v>
      </c>
    </row>
    <row r="2131" spans="1:8" x14ac:dyDescent="0.25">
      <c r="A2131" s="14" t="s">
        <v>749</v>
      </c>
      <c r="B2131" s="14">
        <v>7</v>
      </c>
      <c r="C2131" s="15" t="s">
        <v>753</v>
      </c>
      <c r="D2131" s="14" t="s">
        <v>1745</v>
      </c>
      <c r="E2131" s="14" t="s">
        <v>1746</v>
      </c>
      <c r="F2131" s="14">
        <v>3150</v>
      </c>
      <c r="G2131" s="14">
        <v>2520</v>
      </c>
      <c r="H2131" s="37">
        <f>'Calculation Sheet'!N2131</f>
        <v>2494.8000000000002</v>
      </c>
    </row>
    <row r="2132" spans="1:8" x14ac:dyDescent="0.25">
      <c r="A2132" s="14" t="s">
        <v>749</v>
      </c>
      <c r="B2132" s="14" t="s">
        <v>16</v>
      </c>
      <c r="C2132" s="15" t="s">
        <v>2408</v>
      </c>
      <c r="D2132" s="14" t="s">
        <v>1745</v>
      </c>
      <c r="E2132" s="14" t="s">
        <v>1747</v>
      </c>
      <c r="F2132" s="14">
        <v>1197.5999999999999</v>
      </c>
      <c r="G2132" s="14">
        <v>1077.8399999999999</v>
      </c>
      <c r="H2132" s="37">
        <f>'Calculation Sheet'!N2132</f>
        <v>1045.5047999999999</v>
      </c>
    </row>
    <row r="2133" spans="1:8" x14ac:dyDescent="0.25">
      <c r="A2133" s="14" t="s">
        <v>749</v>
      </c>
      <c r="B2133" s="14">
        <v>5</v>
      </c>
      <c r="C2133" s="15" t="s">
        <v>748</v>
      </c>
      <c r="D2133" s="14" t="s">
        <v>1749</v>
      </c>
      <c r="E2133" s="14" t="s">
        <v>1766</v>
      </c>
      <c r="F2133" s="14">
        <v>0</v>
      </c>
      <c r="G2133" s="14">
        <v>0</v>
      </c>
      <c r="H2133" s="37">
        <f>'Calculation Sheet'!N2133</f>
        <v>0</v>
      </c>
    </row>
    <row r="2134" spans="1:8" x14ac:dyDescent="0.25">
      <c r="A2134" s="14" t="s">
        <v>749</v>
      </c>
      <c r="B2134" s="14">
        <v>8</v>
      </c>
      <c r="C2134" s="15" t="s">
        <v>748</v>
      </c>
      <c r="D2134" s="14" t="s">
        <v>1749</v>
      </c>
      <c r="E2134" s="14" t="s">
        <v>1746</v>
      </c>
      <c r="F2134" s="14">
        <v>696</v>
      </c>
      <c r="G2134" s="14">
        <v>556.79999999999995</v>
      </c>
      <c r="H2134" s="37">
        <f>'Calculation Sheet'!N2134</f>
        <v>551.23199999999997</v>
      </c>
    </row>
    <row r="2135" spans="1:8" x14ac:dyDescent="0.25">
      <c r="A2135" s="14" t="s">
        <v>749</v>
      </c>
      <c r="B2135" s="14">
        <v>8</v>
      </c>
      <c r="C2135" s="15" t="s">
        <v>748</v>
      </c>
      <c r="D2135" s="14" t="s">
        <v>1745</v>
      </c>
      <c r="E2135" s="14" t="s">
        <v>1746</v>
      </c>
      <c r="F2135" s="14">
        <v>7308</v>
      </c>
      <c r="G2135" s="14">
        <v>5846.4</v>
      </c>
      <c r="H2135" s="37">
        <f>'Calculation Sheet'!N2135</f>
        <v>5787.9359999999997</v>
      </c>
    </row>
    <row r="2136" spans="1:8" x14ac:dyDescent="0.25">
      <c r="A2136" s="14" t="s">
        <v>749</v>
      </c>
      <c r="B2136" s="14" t="s">
        <v>24</v>
      </c>
      <c r="C2136" s="15" t="s">
        <v>2409</v>
      </c>
      <c r="D2136" s="14" t="s">
        <v>1749</v>
      </c>
      <c r="E2136" s="14" t="s">
        <v>1746</v>
      </c>
      <c r="F2136" s="14">
        <v>282</v>
      </c>
      <c r="G2136" s="14">
        <v>253.8</v>
      </c>
      <c r="H2136" s="37">
        <f>'Calculation Sheet'!N2136</f>
        <v>251.262</v>
      </c>
    </row>
    <row r="2137" spans="1:8" x14ac:dyDescent="0.25">
      <c r="A2137" s="14" t="s">
        <v>749</v>
      </c>
      <c r="B2137" s="14" t="s">
        <v>16</v>
      </c>
      <c r="C2137" s="15" t="s">
        <v>2408</v>
      </c>
      <c r="D2137" s="14" t="s">
        <v>1749</v>
      </c>
      <c r="E2137" s="14" t="s">
        <v>1746</v>
      </c>
      <c r="F2137" s="14">
        <v>119.76</v>
      </c>
      <c r="G2137" s="14">
        <v>107.78</v>
      </c>
      <c r="H2137" s="37">
        <f>'Calculation Sheet'!N2137</f>
        <v>106.7022</v>
      </c>
    </row>
    <row r="2138" spans="1:8" x14ac:dyDescent="0.25">
      <c r="A2138" s="14" t="s">
        <v>749</v>
      </c>
      <c r="B2138" s="14" t="s">
        <v>20</v>
      </c>
      <c r="C2138" s="15" t="s">
        <v>2410</v>
      </c>
      <c r="D2138" s="14" t="s">
        <v>1745</v>
      </c>
      <c r="E2138" s="14" t="s">
        <v>1746</v>
      </c>
      <c r="F2138" s="14">
        <v>2079</v>
      </c>
      <c r="G2138" s="14">
        <v>1871.16</v>
      </c>
      <c r="H2138" s="37">
        <f>'Calculation Sheet'!N2138</f>
        <v>1852.4484</v>
      </c>
    </row>
    <row r="2139" spans="1:8" x14ac:dyDescent="0.25">
      <c r="A2139" s="14" t="s">
        <v>749</v>
      </c>
      <c r="B2139" s="14" t="s">
        <v>20</v>
      </c>
      <c r="C2139" s="15" t="s">
        <v>2410</v>
      </c>
      <c r="D2139" s="14" t="s">
        <v>1749</v>
      </c>
      <c r="E2139" s="14" t="s">
        <v>1746</v>
      </c>
      <c r="F2139" s="14">
        <v>198</v>
      </c>
      <c r="G2139" s="14">
        <v>178.2</v>
      </c>
      <c r="H2139" s="37">
        <f>'Calculation Sheet'!N2139</f>
        <v>176.41799999999998</v>
      </c>
    </row>
    <row r="2140" spans="1:8" x14ac:dyDescent="0.25">
      <c r="A2140" s="14" t="s">
        <v>749</v>
      </c>
      <c r="B2140" s="14" t="s">
        <v>24</v>
      </c>
      <c r="C2140" s="15" t="s">
        <v>2409</v>
      </c>
      <c r="D2140" s="14" t="s">
        <v>1745</v>
      </c>
      <c r="E2140" s="14" t="s">
        <v>1746</v>
      </c>
      <c r="F2140" s="14">
        <v>2961</v>
      </c>
      <c r="G2140" s="14">
        <v>2664.96</v>
      </c>
      <c r="H2140" s="37">
        <f>'Calculation Sheet'!N2140</f>
        <v>2638.3103999999998</v>
      </c>
    </row>
    <row r="2141" spans="1:8" x14ac:dyDescent="0.25">
      <c r="A2141" s="14" t="s">
        <v>749</v>
      </c>
      <c r="B2141" s="14">
        <v>7</v>
      </c>
      <c r="C2141" s="15" t="s">
        <v>753</v>
      </c>
      <c r="D2141" s="14" t="s">
        <v>1749</v>
      </c>
      <c r="E2141" s="14" t="s">
        <v>1746</v>
      </c>
      <c r="F2141" s="14">
        <v>300</v>
      </c>
      <c r="G2141" s="14">
        <v>240</v>
      </c>
      <c r="H2141" s="37">
        <f>'Calculation Sheet'!N2141</f>
        <v>237.6</v>
      </c>
    </row>
    <row r="2142" spans="1:8" x14ac:dyDescent="0.25">
      <c r="A2142" s="14" t="s">
        <v>749</v>
      </c>
      <c r="B2142" s="14" t="s">
        <v>24</v>
      </c>
      <c r="C2142" s="15" t="s">
        <v>2409</v>
      </c>
      <c r="D2142" s="14" t="s">
        <v>1745</v>
      </c>
      <c r="E2142" s="14" t="s">
        <v>1747</v>
      </c>
      <c r="F2142" s="14">
        <v>2820</v>
      </c>
      <c r="G2142" s="14">
        <v>2538</v>
      </c>
      <c r="H2142" s="37">
        <f>'Calculation Sheet'!N2142</f>
        <v>2461.86</v>
      </c>
    </row>
    <row r="2143" spans="1:8" x14ac:dyDescent="0.25">
      <c r="A2143" s="14" t="s">
        <v>749</v>
      </c>
      <c r="B2143" s="14" t="s">
        <v>20</v>
      </c>
      <c r="C2143" s="15" t="s">
        <v>2410</v>
      </c>
      <c r="D2143" s="14" t="s">
        <v>1745</v>
      </c>
      <c r="E2143" s="14" t="s">
        <v>1747</v>
      </c>
      <c r="F2143" s="14">
        <v>1980</v>
      </c>
      <c r="G2143" s="14">
        <v>1782</v>
      </c>
      <c r="H2143" s="37">
        <f>'Calculation Sheet'!N2143</f>
        <v>1728.54</v>
      </c>
    </row>
    <row r="2144" spans="1:8" x14ac:dyDescent="0.25">
      <c r="A2144" s="14" t="s">
        <v>749</v>
      </c>
      <c r="B2144" s="14">
        <v>9</v>
      </c>
      <c r="C2144" s="15" t="s">
        <v>751</v>
      </c>
      <c r="D2144" s="14" t="s">
        <v>1745</v>
      </c>
      <c r="E2144" s="14" t="s">
        <v>1747</v>
      </c>
      <c r="F2144" s="14">
        <v>4980</v>
      </c>
      <c r="G2144" s="14">
        <v>3984</v>
      </c>
      <c r="H2144" s="37">
        <f>'Calculation Sheet'!N2144</f>
        <v>3864.48</v>
      </c>
    </row>
    <row r="2145" spans="1:8" x14ac:dyDescent="0.25">
      <c r="A2145" s="14" t="s">
        <v>749</v>
      </c>
      <c r="B2145" s="14">
        <v>8</v>
      </c>
      <c r="C2145" s="15" t="s">
        <v>748</v>
      </c>
      <c r="D2145" s="14" t="s">
        <v>1745</v>
      </c>
      <c r="E2145" s="14" t="s">
        <v>1747</v>
      </c>
      <c r="F2145" s="14">
        <v>6960</v>
      </c>
      <c r="G2145" s="14">
        <v>5568</v>
      </c>
      <c r="H2145" s="37">
        <f>'Calculation Sheet'!N2145</f>
        <v>5400.96</v>
      </c>
    </row>
    <row r="2146" spans="1:8" x14ac:dyDescent="0.25">
      <c r="A2146" s="14" t="s">
        <v>749</v>
      </c>
      <c r="B2146" s="14">
        <v>9</v>
      </c>
      <c r="C2146" s="15" t="s">
        <v>751</v>
      </c>
      <c r="D2146" s="14" t="s">
        <v>1749</v>
      </c>
      <c r="E2146" s="14" t="s">
        <v>1746</v>
      </c>
      <c r="F2146" s="14">
        <v>498</v>
      </c>
      <c r="G2146" s="14">
        <v>398.4</v>
      </c>
      <c r="H2146" s="37">
        <f>'Calculation Sheet'!N2146</f>
        <v>394.416</v>
      </c>
    </row>
    <row r="2147" spans="1:8" x14ac:dyDescent="0.25">
      <c r="A2147" s="14" t="s">
        <v>2411</v>
      </c>
      <c r="B2147" s="14">
        <v>1</v>
      </c>
      <c r="C2147" s="15" t="s">
        <v>2412</v>
      </c>
      <c r="D2147" s="14" t="s">
        <v>1745</v>
      </c>
      <c r="E2147" s="14" t="s">
        <v>1747</v>
      </c>
      <c r="F2147" s="14">
        <v>1320</v>
      </c>
      <c r="G2147" s="14">
        <v>1056</v>
      </c>
      <c r="H2147" s="37">
        <f>'Calculation Sheet'!N2147</f>
        <v>1056</v>
      </c>
    </row>
    <row r="2148" spans="1:8" x14ac:dyDescent="0.25">
      <c r="A2148" s="14" t="s">
        <v>2411</v>
      </c>
      <c r="B2148" s="14">
        <v>5</v>
      </c>
      <c r="C2148" s="15" t="s">
        <v>2413</v>
      </c>
      <c r="D2148" s="14" t="s">
        <v>1749</v>
      </c>
      <c r="E2148" s="14" t="s">
        <v>1746</v>
      </c>
      <c r="F2148" s="14">
        <v>198</v>
      </c>
      <c r="G2148" s="14">
        <v>158.4</v>
      </c>
      <c r="H2148" s="37">
        <f>'Calculation Sheet'!N2148</f>
        <v>158.4</v>
      </c>
    </row>
    <row r="2149" spans="1:8" x14ac:dyDescent="0.25">
      <c r="A2149" s="14" t="s">
        <v>2411</v>
      </c>
      <c r="B2149" s="14" t="s">
        <v>20</v>
      </c>
      <c r="C2149" s="15" t="s">
        <v>2414</v>
      </c>
      <c r="D2149" s="14" t="s">
        <v>1745</v>
      </c>
      <c r="E2149" s="14" t="s">
        <v>1746</v>
      </c>
      <c r="F2149" s="14">
        <v>838.68</v>
      </c>
      <c r="G2149" s="14">
        <v>754.8</v>
      </c>
      <c r="H2149" s="37">
        <f>'Calculation Sheet'!N2149</f>
        <v>754.8</v>
      </c>
    </row>
    <row r="2150" spans="1:8" x14ac:dyDescent="0.25">
      <c r="A2150" s="14" t="s">
        <v>2411</v>
      </c>
      <c r="B2150" s="14">
        <v>1</v>
      </c>
      <c r="C2150" s="15" t="s">
        <v>2412</v>
      </c>
      <c r="D2150" s="14" t="s">
        <v>1749</v>
      </c>
      <c r="E2150" s="14" t="s">
        <v>1746</v>
      </c>
      <c r="F2150" s="14">
        <v>132</v>
      </c>
      <c r="G2150" s="14">
        <v>105.6</v>
      </c>
      <c r="H2150" s="37">
        <f>'Calculation Sheet'!N2150</f>
        <v>105.6</v>
      </c>
    </row>
    <row r="2151" spans="1:8" x14ac:dyDescent="0.25">
      <c r="A2151" s="14" t="s">
        <v>2411</v>
      </c>
      <c r="B2151" s="14" t="s">
        <v>20</v>
      </c>
      <c r="C2151" s="15" t="s">
        <v>2414</v>
      </c>
      <c r="D2151" s="14" t="s">
        <v>1745</v>
      </c>
      <c r="E2151" s="14" t="s">
        <v>1747</v>
      </c>
      <c r="F2151" s="14">
        <v>798.72</v>
      </c>
      <c r="G2151" s="14">
        <v>718.85</v>
      </c>
      <c r="H2151" s="37">
        <f>'Calculation Sheet'!N2151</f>
        <v>718.85</v>
      </c>
    </row>
    <row r="2152" spans="1:8" x14ac:dyDescent="0.25">
      <c r="A2152" s="14" t="s">
        <v>2411</v>
      </c>
      <c r="B2152" s="14">
        <v>5</v>
      </c>
      <c r="C2152" s="15" t="s">
        <v>2413</v>
      </c>
      <c r="D2152" s="14" t="s">
        <v>1745</v>
      </c>
      <c r="E2152" s="14" t="s">
        <v>1746</v>
      </c>
      <c r="F2152" s="14">
        <v>2079</v>
      </c>
      <c r="G2152" s="14">
        <v>1663.2</v>
      </c>
      <c r="H2152" s="37">
        <f>'Calculation Sheet'!N2152</f>
        <v>1663.2</v>
      </c>
    </row>
    <row r="2153" spans="1:8" x14ac:dyDescent="0.25">
      <c r="A2153" s="14" t="s">
        <v>2411</v>
      </c>
      <c r="B2153" s="14">
        <v>1</v>
      </c>
      <c r="C2153" s="15" t="s">
        <v>2412</v>
      </c>
      <c r="D2153" s="14" t="s">
        <v>1745</v>
      </c>
      <c r="E2153" s="14" t="s">
        <v>1746</v>
      </c>
      <c r="F2153" s="14">
        <v>1386</v>
      </c>
      <c r="G2153" s="14">
        <v>1108.8</v>
      </c>
      <c r="H2153" s="37">
        <f>'Calculation Sheet'!N2153</f>
        <v>1108.8</v>
      </c>
    </row>
    <row r="2154" spans="1:8" x14ac:dyDescent="0.25">
      <c r="A2154" s="14" t="s">
        <v>2411</v>
      </c>
      <c r="B2154" s="14">
        <v>9</v>
      </c>
      <c r="C2154" s="15" t="s">
        <v>2415</v>
      </c>
      <c r="D2154" s="14" t="s">
        <v>1745</v>
      </c>
      <c r="E2154" s="14" t="s">
        <v>1747</v>
      </c>
      <c r="F2154" s="14">
        <v>299.52</v>
      </c>
      <c r="G2154" s="14">
        <v>239.62</v>
      </c>
      <c r="H2154" s="37">
        <f>'Calculation Sheet'!N2154</f>
        <v>239.62</v>
      </c>
    </row>
    <row r="2155" spans="1:8" x14ac:dyDescent="0.25">
      <c r="A2155" s="14" t="s">
        <v>2411</v>
      </c>
      <c r="B2155" s="14" t="s">
        <v>20</v>
      </c>
      <c r="C2155" s="15" t="s">
        <v>2414</v>
      </c>
      <c r="D2155" s="14" t="s">
        <v>1749</v>
      </c>
      <c r="E2155" s="14" t="s">
        <v>1746</v>
      </c>
      <c r="F2155" s="14">
        <v>79.87</v>
      </c>
      <c r="G2155" s="14">
        <v>71.88</v>
      </c>
      <c r="H2155" s="37">
        <f>'Calculation Sheet'!N2155</f>
        <v>71.88</v>
      </c>
    </row>
    <row r="2156" spans="1:8" x14ac:dyDescent="0.25">
      <c r="A2156" s="14" t="s">
        <v>2411</v>
      </c>
      <c r="B2156" s="14">
        <v>5</v>
      </c>
      <c r="C2156" s="15" t="s">
        <v>2413</v>
      </c>
      <c r="D2156" s="14" t="s">
        <v>1745</v>
      </c>
      <c r="E2156" s="14" t="s">
        <v>1747</v>
      </c>
      <c r="F2156" s="14">
        <v>1980</v>
      </c>
      <c r="G2156" s="14">
        <v>1584</v>
      </c>
      <c r="H2156" s="37">
        <f>'Calculation Sheet'!N2156</f>
        <v>1584</v>
      </c>
    </row>
    <row r="2157" spans="1:8" x14ac:dyDescent="0.25">
      <c r="A2157" s="14" t="s">
        <v>2411</v>
      </c>
      <c r="B2157" s="14">
        <v>9</v>
      </c>
      <c r="C2157" s="15" t="s">
        <v>2415</v>
      </c>
      <c r="D2157" s="14" t="s">
        <v>1745</v>
      </c>
      <c r="E2157" s="14" t="s">
        <v>1746</v>
      </c>
      <c r="F2157" s="14">
        <v>314.52</v>
      </c>
      <c r="G2157" s="14">
        <v>251.64</v>
      </c>
      <c r="H2157" s="37">
        <f>'Calculation Sheet'!N2157</f>
        <v>251.64</v>
      </c>
    </row>
    <row r="2158" spans="1:8" x14ac:dyDescent="0.25">
      <c r="A2158" s="14" t="s">
        <v>2411</v>
      </c>
      <c r="B2158" s="14" t="s">
        <v>16</v>
      </c>
      <c r="C2158" s="15" t="s">
        <v>2416</v>
      </c>
      <c r="D2158" s="14" t="s">
        <v>1745</v>
      </c>
      <c r="E2158" s="14" t="s">
        <v>1746</v>
      </c>
      <c r="F2158" s="14">
        <v>419.28</v>
      </c>
      <c r="G2158" s="14">
        <v>335.52</v>
      </c>
      <c r="H2158" s="37">
        <f>'Calculation Sheet'!N2158</f>
        <v>335.52</v>
      </c>
    </row>
    <row r="2159" spans="1:8" x14ac:dyDescent="0.25">
      <c r="A2159" s="14" t="s">
        <v>2411</v>
      </c>
      <c r="B2159" s="14">
        <v>9</v>
      </c>
      <c r="C2159" s="15" t="s">
        <v>2415</v>
      </c>
      <c r="D2159" s="14" t="s">
        <v>1749</v>
      </c>
      <c r="E2159" s="14" t="s">
        <v>1746</v>
      </c>
      <c r="F2159" s="14">
        <v>29.95</v>
      </c>
      <c r="G2159" s="14">
        <v>23.96</v>
      </c>
      <c r="H2159" s="37">
        <f>'Calculation Sheet'!N2159</f>
        <v>23.96</v>
      </c>
    </row>
    <row r="2160" spans="1:8" x14ac:dyDescent="0.25">
      <c r="A2160" s="14" t="s">
        <v>2411</v>
      </c>
      <c r="B2160" s="14" t="s">
        <v>16</v>
      </c>
      <c r="C2160" s="15" t="s">
        <v>2416</v>
      </c>
      <c r="D2160" s="14" t="s">
        <v>1749</v>
      </c>
      <c r="E2160" s="14" t="s">
        <v>1746</v>
      </c>
      <c r="F2160" s="14">
        <v>39.94</v>
      </c>
      <c r="G2160" s="14">
        <v>31.95</v>
      </c>
      <c r="H2160" s="37">
        <f>'Calculation Sheet'!N2160</f>
        <v>31.95</v>
      </c>
    </row>
    <row r="2161" spans="1:8" x14ac:dyDescent="0.25">
      <c r="A2161" s="14" t="s">
        <v>2411</v>
      </c>
      <c r="B2161" s="14" t="s">
        <v>16</v>
      </c>
      <c r="C2161" s="15" t="s">
        <v>2416</v>
      </c>
      <c r="D2161" s="14" t="s">
        <v>1745</v>
      </c>
      <c r="E2161" s="14" t="s">
        <v>1747</v>
      </c>
      <c r="F2161" s="14">
        <v>399.36</v>
      </c>
      <c r="G2161" s="14">
        <v>319.49</v>
      </c>
      <c r="H2161" s="37">
        <f>'Calculation Sheet'!N2161</f>
        <v>319.49</v>
      </c>
    </row>
    <row r="2162" spans="1:8" x14ac:dyDescent="0.25">
      <c r="A2162" s="14" t="s">
        <v>756</v>
      </c>
      <c r="B2162" s="14">
        <v>1</v>
      </c>
      <c r="C2162" s="15" t="s">
        <v>760</v>
      </c>
      <c r="D2162" s="14" t="s">
        <v>1745</v>
      </c>
      <c r="E2162" s="14" t="s">
        <v>1746</v>
      </c>
      <c r="F2162" s="14">
        <v>0</v>
      </c>
      <c r="G2162" s="14">
        <v>0</v>
      </c>
      <c r="H2162" s="37">
        <f>'Calculation Sheet'!N2162</f>
        <v>0</v>
      </c>
    </row>
    <row r="2163" spans="1:8" x14ac:dyDescent="0.25">
      <c r="A2163" s="14" t="s">
        <v>756</v>
      </c>
      <c r="B2163" s="14" t="s">
        <v>195</v>
      </c>
      <c r="C2163" s="15" t="s">
        <v>2417</v>
      </c>
      <c r="D2163" s="14" t="s">
        <v>1749</v>
      </c>
      <c r="E2163" s="14" t="s">
        <v>1746</v>
      </c>
      <c r="F2163" s="14">
        <v>0</v>
      </c>
      <c r="G2163" s="14">
        <v>0</v>
      </c>
      <c r="H2163" s="37">
        <f>'Calculation Sheet'!N2163</f>
        <v>0</v>
      </c>
    </row>
    <row r="2164" spans="1:8" x14ac:dyDescent="0.25">
      <c r="A2164" s="14" t="s">
        <v>756</v>
      </c>
      <c r="B2164" s="14" t="s">
        <v>195</v>
      </c>
      <c r="C2164" s="15" t="s">
        <v>2417</v>
      </c>
      <c r="D2164" s="14" t="s">
        <v>1745</v>
      </c>
      <c r="E2164" s="14" t="s">
        <v>1747</v>
      </c>
      <c r="F2164" s="14">
        <v>0</v>
      </c>
      <c r="G2164" s="14">
        <v>0</v>
      </c>
      <c r="H2164" s="37">
        <f>'Calculation Sheet'!N2164</f>
        <v>0</v>
      </c>
    </row>
    <row r="2165" spans="1:8" x14ac:dyDescent="0.25">
      <c r="A2165" s="14" t="s">
        <v>756</v>
      </c>
      <c r="B2165" s="14" t="s">
        <v>46</v>
      </c>
      <c r="C2165" s="15" t="s">
        <v>755</v>
      </c>
      <c r="D2165" s="14" t="s">
        <v>1749</v>
      </c>
      <c r="E2165" s="14" t="s">
        <v>1746</v>
      </c>
      <c r="F2165" s="14">
        <v>19968</v>
      </c>
      <c r="G2165" s="14">
        <v>17971.2</v>
      </c>
      <c r="H2165" s="37">
        <f>'Calculation Sheet'!N2165</f>
        <v>17432.064000000002</v>
      </c>
    </row>
    <row r="2166" spans="1:8" x14ac:dyDescent="0.25">
      <c r="A2166" s="14" t="s">
        <v>756</v>
      </c>
      <c r="B2166" s="14">
        <v>11</v>
      </c>
      <c r="C2166" s="15" t="s">
        <v>2418</v>
      </c>
      <c r="D2166" s="14" t="s">
        <v>1745</v>
      </c>
      <c r="E2166" s="14" t="s">
        <v>1747</v>
      </c>
      <c r="F2166" s="14">
        <v>109800</v>
      </c>
      <c r="G2166" s="14">
        <v>98820</v>
      </c>
      <c r="H2166" s="37">
        <f>'Calculation Sheet'!N2166</f>
        <v>84985.2</v>
      </c>
    </row>
    <row r="2167" spans="1:8" x14ac:dyDescent="0.25">
      <c r="A2167" s="14" t="s">
        <v>756</v>
      </c>
      <c r="B2167" s="14" t="s">
        <v>102</v>
      </c>
      <c r="C2167" s="15" t="s">
        <v>2419</v>
      </c>
      <c r="D2167" s="14" t="s">
        <v>1745</v>
      </c>
      <c r="E2167" s="14" t="s">
        <v>1747</v>
      </c>
      <c r="F2167" s="14">
        <v>0</v>
      </c>
      <c r="G2167" s="14">
        <v>0</v>
      </c>
      <c r="H2167" s="37">
        <f>'Calculation Sheet'!N2167</f>
        <v>0</v>
      </c>
    </row>
    <row r="2168" spans="1:8" x14ac:dyDescent="0.25">
      <c r="A2168" s="14" t="s">
        <v>756</v>
      </c>
      <c r="B2168" s="14">
        <v>1</v>
      </c>
      <c r="C2168" s="15" t="s">
        <v>760</v>
      </c>
      <c r="D2168" s="14" t="s">
        <v>1745</v>
      </c>
      <c r="E2168" s="14" t="s">
        <v>1747</v>
      </c>
      <c r="F2168" s="14">
        <v>0</v>
      </c>
      <c r="G2168" s="14">
        <v>0</v>
      </c>
      <c r="H2168" s="37">
        <f>'Calculation Sheet'!N2168</f>
        <v>0</v>
      </c>
    </row>
    <row r="2169" spans="1:8" x14ac:dyDescent="0.25">
      <c r="A2169" s="14" t="s">
        <v>756</v>
      </c>
      <c r="B2169" s="14">
        <v>1</v>
      </c>
      <c r="C2169" s="15" t="s">
        <v>760</v>
      </c>
      <c r="D2169" s="14" t="s">
        <v>1749</v>
      </c>
      <c r="E2169" s="14" t="s">
        <v>1746</v>
      </c>
      <c r="F2169" s="14">
        <v>0</v>
      </c>
      <c r="G2169" s="14">
        <v>0</v>
      </c>
      <c r="H2169" s="37">
        <f>'Calculation Sheet'!N2169</f>
        <v>0</v>
      </c>
    </row>
    <row r="2170" spans="1:8" x14ac:dyDescent="0.25">
      <c r="A2170" s="14" t="s">
        <v>756</v>
      </c>
      <c r="B2170" s="14" t="s">
        <v>46</v>
      </c>
      <c r="C2170" s="15" t="s">
        <v>755</v>
      </c>
      <c r="D2170" s="14" t="s">
        <v>1745</v>
      </c>
      <c r="E2170" s="14" t="s">
        <v>1746</v>
      </c>
      <c r="F2170" s="14">
        <v>209664</v>
      </c>
      <c r="G2170" s="14">
        <v>188697.60000000001</v>
      </c>
      <c r="H2170" s="37">
        <f>'Calculation Sheet'!N2170</f>
        <v>183036.67200000002</v>
      </c>
    </row>
    <row r="2171" spans="1:8" x14ac:dyDescent="0.25">
      <c r="A2171" s="14" t="s">
        <v>756</v>
      </c>
      <c r="B2171" s="14" t="s">
        <v>102</v>
      </c>
      <c r="C2171" s="15" t="s">
        <v>2419</v>
      </c>
      <c r="D2171" s="14" t="s">
        <v>1749</v>
      </c>
      <c r="E2171" s="14" t="s">
        <v>1746</v>
      </c>
      <c r="F2171" s="14">
        <v>0</v>
      </c>
      <c r="G2171" s="14">
        <v>0</v>
      </c>
      <c r="H2171" s="37">
        <f>'Calculation Sheet'!N2171</f>
        <v>0</v>
      </c>
    </row>
    <row r="2172" spans="1:8" x14ac:dyDescent="0.25">
      <c r="A2172" s="14" t="s">
        <v>756</v>
      </c>
      <c r="B2172" s="14" t="s">
        <v>46</v>
      </c>
      <c r="C2172" s="15" t="s">
        <v>755</v>
      </c>
      <c r="D2172" s="14" t="s">
        <v>1745</v>
      </c>
      <c r="E2172" s="14" t="s">
        <v>1747</v>
      </c>
      <c r="F2172" s="14">
        <v>199680</v>
      </c>
      <c r="G2172" s="14">
        <v>179712</v>
      </c>
      <c r="H2172" s="37">
        <f>'Calculation Sheet'!N2172</f>
        <v>154552.32000000001</v>
      </c>
    </row>
    <row r="2173" spans="1:8" x14ac:dyDescent="0.25">
      <c r="A2173" s="14" t="s">
        <v>756</v>
      </c>
      <c r="B2173" s="14" t="s">
        <v>195</v>
      </c>
      <c r="C2173" s="15" t="s">
        <v>2417</v>
      </c>
      <c r="D2173" s="14" t="s">
        <v>1745</v>
      </c>
      <c r="E2173" s="14" t="s">
        <v>1746</v>
      </c>
      <c r="F2173" s="14">
        <v>0</v>
      </c>
      <c r="G2173" s="14">
        <v>0</v>
      </c>
      <c r="H2173" s="37">
        <f>'Calculation Sheet'!N2173</f>
        <v>0</v>
      </c>
    </row>
    <row r="2174" spans="1:8" x14ac:dyDescent="0.25">
      <c r="A2174" s="14" t="s">
        <v>756</v>
      </c>
      <c r="B2174" s="14" t="s">
        <v>102</v>
      </c>
      <c r="C2174" s="15" t="s">
        <v>2419</v>
      </c>
      <c r="D2174" s="14" t="s">
        <v>1745</v>
      </c>
      <c r="E2174" s="14" t="s">
        <v>1746</v>
      </c>
      <c r="F2174" s="14">
        <v>0</v>
      </c>
      <c r="G2174" s="14">
        <v>0</v>
      </c>
      <c r="H2174" s="37">
        <f>'Calculation Sheet'!N2174</f>
        <v>0</v>
      </c>
    </row>
    <row r="2175" spans="1:8" x14ac:dyDescent="0.25">
      <c r="A2175" s="14" t="s">
        <v>756</v>
      </c>
      <c r="B2175" s="14">
        <v>11</v>
      </c>
      <c r="C2175" s="15" t="s">
        <v>2418</v>
      </c>
      <c r="D2175" s="14" t="s">
        <v>1745</v>
      </c>
      <c r="E2175" s="14" t="s">
        <v>1746</v>
      </c>
      <c r="F2175" s="14">
        <v>115290</v>
      </c>
      <c r="G2175" s="14">
        <v>103761</v>
      </c>
      <c r="H2175" s="37">
        <f>'Calculation Sheet'!N2175</f>
        <v>100648.17</v>
      </c>
    </row>
    <row r="2176" spans="1:8" x14ac:dyDescent="0.25">
      <c r="A2176" s="14" t="s">
        <v>773</v>
      </c>
      <c r="B2176" s="14">
        <v>3</v>
      </c>
      <c r="C2176" s="15" t="s">
        <v>2420</v>
      </c>
      <c r="D2176" s="14" t="s">
        <v>1745</v>
      </c>
      <c r="E2176" s="14" t="s">
        <v>1747</v>
      </c>
      <c r="F2176" s="14">
        <v>1197.5999999999999</v>
      </c>
      <c r="G2176" s="14">
        <v>1077.8399999999999</v>
      </c>
      <c r="H2176" s="37">
        <f>'Calculation Sheet'!N2176</f>
        <v>970.05599999999993</v>
      </c>
    </row>
    <row r="2177" spans="1:8" x14ac:dyDescent="0.25">
      <c r="A2177" s="14" t="s">
        <v>773</v>
      </c>
      <c r="B2177" s="14">
        <v>3</v>
      </c>
      <c r="C2177" s="15" t="s">
        <v>2420</v>
      </c>
      <c r="D2177" s="14" t="s">
        <v>1745</v>
      </c>
      <c r="E2177" s="14" t="s">
        <v>1746</v>
      </c>
      <c r="F2177" s="14">
        <v>1257.48</v>
      </c>
      <c r="G2177" s="14">
        <v>1131.72</v>
      </c>
      <c r="H2177" s="37">
        <f>'Calculation Sheet'!N2177</f>
        <v>1109.0856000000001</v>
      </c>
    </row>
    <row r="2178" spans="1:8" x14ac:dyDescent="0.25">
      <c r="A2178" s="14" t="s">
        <v>773</v>
      </c>
      <c r="B2178" s="14">
        <v>3</v>
      </c>
      <c r="C2178" s="15" t="s">
        <v>2420</v>
      </c>
      <c r="D2178" s="14" t="s">
        <v>1749</v>
      </c>
      <c r="E2178" s="14" t="s">
        <v>1746</v>
      </c>
      <c r="F2178" s="14">
        <v>119.76</v>
      </c>
      <c r="G2178" s="14">
        <v>107.78</v>
      </c>
      <c r="H2178" s="37">
        <f>'Calculation Sheet'!N2178</f>
        <v>105.62439999999999</v>
      </c>
    </row>
    <row r="2179" spans="1:8" x14ac:dyDescent="0.25">
      <c r="A2179" s="14" t="s">
        <v>773</v>
      </c>
      <c r="B2179" s="14">
        <v>2</v>
      </c>
      <c r="C2179" s="15" t="s">
        <v>772</v>
      </c>
      <c r="D2179" s="14" t="s">
        <v>1745</v>
      </c>
      <c r="E2179" s="14" t="s">
        <v>1746</v>
      </c>
      <c r="F2179" s="14">
        <v>3150</v>
      </c>
      <c r="G2179" s="14">
        <v>2520</v>
      </c>
      <c r="H2179" s="37">
        <f>'Calculation Sheet'!N2179</f>
        <v>2469.6</v>
      </c>
    </row>
    <row r="2180" spans="1:8" x14ac:dyDescent="0.25">
      <c r="A2180" s="14" t="s">
        <v>773</v>
      </c>
      <c r="B2180" s="14">
        <v>2</v>
      </c>
      <c r="C2180" s="15" t="s">
        <v>772</v>
      </c>
      <c r="D2180" s="14" t="s">
        <v>1745</v>
      </c>
      <c r="E2180" s="14" t="s">
        <v>1747</v>
      </c>
      <c r="F2180" s="14">
        <v>3000</v>
      </c>
      <c r="G2180" s="14">
        <v>2400</v>
      </c>
      <c r="H2180" s="37">
        <f>'Calculation Sheet'!N2180</f>
        <v>2160</v>
      </c>
    </row>
    <row r="2181" spans="1:8" x14ac:dyDescent="0.25">
      <c r="A2181" s="14" t="s">
        <v>773</v>
      </c>
      <c r="B2181" s="14">
        <v>2</v>
      </c>
      <c r="C2181" s="15" t="s">
        <v>772</v>
      </c>
      <c r="D2181" s="14" t="s">
        <v>1749</v>
      </c>
      <c r="E2181" s="14" t="s">
        <v>1746</v>
      </c>
      <c r="F2181" s="14">
        <v>300</v>
      </c>
      <c r="G2181" s="14">
        <v>240</v>
      </c>
      <c r="H2181" s="37">
        <f>'Calculation Sheet'!N2181</f>
        <v>235.2</v>
      </c>
    </row>
    <row r="2182" spans="1:8" x14ac:dyDescent="0.25">
      <c r="A2182" s="14" t="s">
        <v>776</v>
      </c>
      <c r="B2182" s="14">
        <v>5</v>
      </c>
      <c r="C2182" s="15" t="s">
        <v>775</v>
      </c>
      <c r="D2182" s="14" t="s">
        <v>1752</v>
      </c>
      <c r="E2182" s="14" t="s">
        <v>1747</v>
      </c>
      <c r="F2182" s="14">
        <v>9000</v>
      </c>
      <c r="G2182" s="14">
        <v>7200</v>
      </c>
      <c r="H2182" s="37">
        <f>'Calculation Sheet'!N2182</f>
        <v>6480</v>
      </c>
    </row>
    <row r="2183" spans="1:8" x14ac:dyDescent="0.25">
      <c r="A2183" s="14" t="s">
        <v>776</v>
      </c>
      <c r="B2183" s="14">
        <v>7</v>
      </c>
      <c r="C2183" s="15" t="s">
        <v>2421</v>
      </c>
      <c r="D2183" s="14" t="s">
        <v>1745</v>
      </c>
      <c r="E2183" s="14" t="s">
        <v>1747</v>
      </c>
      <c r="F2183" s="14">
        <v>1197.5999999999999</v>
      </c>
      <c r="G2183" s="14">
        <v>1077.8399999999999</v>
      </c>
      <c r="H2183" s="37">
        <f>'Calculation Sheet'!N2183</f>
        <v>970.05599999999993</v>
      </c>
    </row>
    <row r="2184" spans="1:8" x14ac:dyDescent="0.25">
      <c r="A2184" s="14" t="s">
        <v>776</v>
      </c>
      <c r="B2184" s="14">
        <v>6</v>
      </c>
      <c r="C2184" s="15" t="s">
        <v>775</v>
      </c>
      <c r="D2184" s="14" t="s">
        <v>1749</v>
      </c>
      <c r="E2184" s="14" t="s">
        <v>1766</v>
      </c>
      <c r="F2184" s="14">
        <v>0</v>
      </c>
      <c r="G2184" s="14">
        <v>0</v>
      </c>
      <c r="H2184" s="37">
        <f>'Calculation Sheet'!N2184</f>
        <v>0</v>
      </c>
    </row>
    <row r="2185" spans="1:8" x14ac:dyDescent="0.25">
      <c r="A2185" s="14" t="s">
        <v>776</v>
      </c>
      <c r="B2185" s="14">
        <v>5</v>
      </c>
      <c r="C2185" s="15" t="s">
        <v>775</v>
      </c>
      <c r="D2185" s="14" t="s">
        <v>1745</v>
      </c>
      <c r="E2185" s="14" t="s">
        <v>1746</v>
      </c>
      <c r="F2185" s="14">
        <v>3150</v>
      </c>
      <c r="G2185" s="14">
        <v>2520</v>
      </c>
      <c r="H2185" s="37">
        <f>'Calculation Sheet'!N2185</f>
        <v>2469.6</v>
      </c>
    </row>
    <row r="2186" spans="1:8" x14ac:dyDescent="0.25">
      <c r="A2186" s="14" t="s">
        <v>776</v>
      </c>
      <c r="B2186" s="14">
        <v>7</v>
      </c>
      <c r="C2186" s="15" t="s">
        <v>2421</v>
      </c>
      <c r="D2186" s="14" t="s">
        <v>1749</v>
      </c>
      <c r="E2186" s="14" t="s">
        <v>1746</v>
      </c>
      <c r="F2186" s="14">
        <v>119.76</v>
      </c>
      <c r="G2186" s="14">
        <v>107.78</v>
      </c>
      <c r="H2186" s="37">
        <f>'Calculation Sheet'!N2186</f>
        <v>105.62439999999999</v>
      </c>
    </row>
    <row r="2187" spans="1:8" x14ac:dyDescent="0.25">
      <c r="A2187" s="14" t="s">
        <v>776</v>
      </c>
      <c r="B2187" s="14">
        <v>5</v>
      </c>
      <c r="C2187" s="15" t="s">
        <v>775</v>
      </c>
      <c r="D2187" s="14" t="s">
        <v>1752</v>
      </c>
      <c r="E2187" s="14" t="s">
        <v>1753</v>
      </c>
      <c r="F2187" s="14">
        <v>9000</v>
      </c>
      <c r="G2187" s="14">
        <v>7200</v>
      </c>
      <c r="H2187" s="37">
        <f>'Calculation Sheet'!N2187</f>
        <v>6480</v>
      </c>
    </row>
    <row r="2188" spans="1:8" x14ac:dyDescent="0.25">
      <c r="A2188" s="14" t="s">
        <v>776</v>
      </c>
      <c r="B2188" s="14">
        <v>7</v>
      </c>
      <c r="C2188" s="15" t="s">
        <v>2421</v>
      </c>
      <c r="D2188" s="14" t="s">
        <v>1745</v>
      </c>
      <c r="E2188" s="14" t="s">
        <v>1746</v>
      </c>
      <c r="F2188" s="14">
        <v>1257.48</v>
      </c>
      <c r="G2188" s="14">
        <v>1131.72</v>
      </c>
      <c r="H2188" s="37">
        <f>'Calculation Sheet'!N2188</f>
        <v>1109.0856000000001</v>
      </c>
    </row>
    <row r="2189" spans="1:8" x14ac:dyDescent="0.25">
      <c r="A2189" s="14" t="s">
        <v>776</v>
      </c>
      <c r="B2189" s="14">
        <v>5</v>
      </c>
      <c r="C2189" s="15" t="s">
        <v>775</v>
      </c>
      <c r="D2189" s="14" t="s">
        <v>1749</v>
      </c>
      <c r="E2189" s="14" t="s">
        <v>1746</v>
      </c>
      <c r="F2189" s="14">
        <v>300</v>
      </c>
      <c r="G2189" s="14">
        <v>240</v>
      </c>
      <c r="H2189" s="37">
        <f>'Calculation Sheet'!N2189</f>
        <v>235.2</v>
      </c>
    </row>
    <row r="2190" spans="1:8" x14ac:dyDescent="0.25">
      <c r="A2190" s="14" t="s">
        <v>776</v>
      </c>
      <c r="B2190" s="14">
        <v>5</v>
      </c>
      <c r="C2190" s="15" t="s">
        <v>775</v>
      </c>
      <c r="D2190" s="14" t="s">
        <v>1745</v>
      </c>
      <c r="E2190" s="14" t="s">
        <v>1747</v>
      </c>
      <c r="F2190" s="14">
        <v>3000</v>
      </c>
      <c r="G2190" s="14">
        <v>2400</v>
      </c>
      <c r="H2190" s="37">
        <f>'Calculation Sheet'!N2190</f>
        <v>2160</v>
      </c>
    </row>
    <row r="2191" spans="1:8" x14ac:dyDescent="0.25">
      <c r="A2191" s="14" t="s">
        <v>782</v>
      </c>
      <c r="B2191" s="14" t="s">
        <v>29</v>
      </c>
      <c r="C2191" s="15" t="s">
        <v>2422</v>
      </c>
      <c r="D2191" s="14" t="s">
        <v>1745</v>
      </c>
      <c r="E2191" s="14" t="s">
        <v>1746</v>
      </c>
      <c r="F2191" s="14">
        <v>917.28</v>
      </c>
      <c r="G2191" s="14">
        <v>825.6</v>
      </c>
      <c r="H2191" s="37">
        <f>'Calculation Sheet'!N2191</f>
        <v>817.34400000000005</v>
      </c>
    </row>
    <row r="2192" spans="1:8" x14ac:dyDescent="0.25">
      <c r="A2192" s="14" t="s">
        <v>782</v>
      </c>
      <c r="B2192" s="14" t="s">
        <v>36</v>
      </c>
      <c r="C2192" s="15" t="s">
        <v>2423</v>
      </c>
      <c r="D2192" s="14" t="s">
        <v>1745</v>
      </c>
      <c r="E2192" s="14" t="s">
        <v>1746</v>
      </c>
      <c r="F2192" s="14">
        <v>733.8</v>
      </c>
      <c r="G2192" s="14">
        <v>587.04</v>
      </c>
      <c r="H2192" s="37">
        <f>'Calculation Sheet'!N2192</f>
        <v>581.16959999999995</v>
      </c>
    </row>
    <row r="2193" spans="1:8" x14ac:dyDescent="0.25">
      <c r="A2193" s="14" t="s">
        <v>782</v>
      </c>
      <c r="B2193" s="14" t="s">
        <v>122</v>
      </c>
      <c r="C2193" s="15" t="s">
        <v>2424</v>
      </c>
      <c r="D2193" s="14" t="s">
        <v>1749</v>
      </c>
      <c r="E2193" s="14" t="s">
        <v>1746</v>
      </c>
      <c r="F2193" s="14">
        <v>69.89</v>
      </c>
      <c r="G2193" s="14">
        <v>55.91</v>
      </c>
      <c r="H2193" s="37">
        <f>'Calculation Sheet'!N2193</f>
        <v>55.350899999999996</v>
      </c>
    </row>
    <row r="2194" spans="1:8" x14ac:dyDescent="0.25">
      <c r="A2194" s="14" t="s">
        <v>782</v>
      </c>
      <c r="B2194" s="14" t="s">
        <v>46</v>
      </c>
      <c r="C2194" s="15" t="s">
        <v>783</v>
      </c>
      <c r="D2194" s="14" t="s">
        <v>1745</v>
      </c>
      <c r="E2194" s="14" t="s">
        <v>1746</v>
      </c>
      <c r="F2194" s="14">
        <v>2520</v>
      </c>
      <c r="G2194" s="14">
        <v>2016</v>
      </c>
      <c r="H2194" s="37">
        <f>'Calculation Sheet'!N2194</f>
        <v>1995.84</v>
      </c>
    </row>
    <row r="2195" spans="1:8" x14ac:dyDescent="0.25">
      <c r="A2195" s="14" t="s">
        <v>782</v>
      </c>
      <c r="B2195" s="14">
        <v>1</v>
      </c>
      <c r="C2195" s="15" t="s">
        <v>786</v>
      </c>
      <c r="D2195" s="14" t="s">
        <v>1749</v>
      </c>
      <c r="E2195" s="14" t="s">
        <v>1746</v>
      </c>
      <c r="F2195" s="14">
        <v>348</v>
      </c>
      <c r="G2195" s="14">
        <v>278.39999999999998</v>
      </c>
      <c r="H2195" s="37">
        <f>'Calculation Sheet'!N2195</f>
        <v>275.61599999999999</v>
      </c>
    </row>
    <row r="2196" spans="1:8" x14ac:dyDescent="0.25">
      <c r="A2196" s="14" t="s">
        <v>782</v>
      </c>
      <c r="B2196" s="14" t="s">
        <v>46</v>
      </c>
      <c r="C2196" s="15" t="s">
        <v>783</v>
      </c>
      <c r="D2196" s="14" t="s">
        <v>1745</v>
      </c>
      <c r="E2196" s="14" t="s">
        <v>1747</v>
      </c>
      <c r="F2196" s="14">
        <v>2400</v>
      </c>
      <c r="G2196" s="14">
        <v>1920</v>
      </c>
      <c r="H2196" s="37">
        <f>'Calculation Sheet'!N2196</f>
        <v>1862.4</v>
      </c>
    </row>
    <row r="2197" spans="1:8" x14ac:dyDescent="0.25">
      <c r="A2197" s="14" t="s">
        <v>782</v>
      </c>
      <c r="B2197" s="14" t="s">
        <v>122</v>
      </c>
      <c r="C2197" s="15" t="s">
        <v>2424</v>
      </c>
      <c r="D2197" s="14" t="s">
        <v>1745</v>
      </c>
      <c r="E2197" s="14" t="s">
        <v>1747</v>
      </c>
      <c r="F2197" s="14">
        <v>698.88</v>
      </c>
      <c r="G2197" s="14">
        <v>559.1</v>
      </c>
      <c r="H2197" s="37">
        <f>'Calculation Sheet'!N2197</f>
        <v>542.327</v>
      </c>
    </row>
    <row r="2198" spans="1:8" x14ac:dyDescent="0.25">
      <c r="A2198" s="14" t="s">
        <v>782</v>
      </c>
      <c r="B2198" s="14" t="s">
        <v>36</v>
      </c>
      <c r="C2198" s="15" t="s">
        <v>2423</v>
      </c>
      <c r="D2198" s="14" t="s">
        <v>1745</v>
      </c>
      <c r="E2198" s="14" t="s">
        <v>1747</v>
      </c>
      <c r="F2198" s="14">
        <v>698.88</v>
      </c>
      <c r="G2198" s="14">
        <v>559.1</v>
      </c>
      <c r="H2198" s="37">
        <f>'Calculation Sheet'!N2198</f>
        <v>542.327</v>
      </c>
    </row>
    <row r="2199" spans="1:8" x14ac:dyDescent="0.25">
      <c r="A2199" s="14" t="s">
        <v>782</v>
      </c>
      <c r="B2199" s="14">
        <v>1</v>
      </c>
      <c r="C2199" s="15" t="s">
        <v>786</v>
      </c>
      <c r="D2199" s="14" t="s">
        <v>1745</v>
      </c>
      <c r="E2199" s="14" t="s">
        <v>1746</v>
      </c>
      <c r="F2199" s="14">
        <v>3654</v>
      </c>
      <c r="G2199" s="14">
        <v>2923.2</v>
      </c>
      <c r="H2199" s="37">
        <f>'Calculation Sheet'!N2199</f>
        <v>2893.9679999999998</v>
      </c>
    </row>
    <row r="2200" spans="1:8" x14ac:dyDescent="0.25">
      <c r="A2200" s="14" t="s">
        <v>782</v>
      </c>
      <c r="B2200" s="14" t="s">
        <v>29</v>
      </c>
      <c r="C2200" s="15" t="s">
        <v>2422</v>
      </c>
      <c r="D2200" s="14" t="s">
        <v>1745</v>
      </c>
      <c r="E2200" s="14" t="s">
        <v>1747</v>
      </c>
      <c r="F2200" s="14">
        <v>873.6</v>
      </c>
      <c r="G2200" s="14">
        <v>786.24</v>
      </c>
      <c r="H2200" s="37">
        <f>'Calculation Sheet'!N2200</f>
        <v>762.65279999999996</v>
      </c>
    </row>
    <row r="2201" spans="1:8" x14ac:dyDescent="0.25">
      <c r="A2201" s="14" t="s">
        <v>782</v>
      </c>
      <c r="B2201" s="14" t="s">
        <v>46</v>
      </c>
      <c r="C2201" s="15" t="s">
        <v>783</v>
      </c>
      <c r="D2201" s="14" t="s">
        <v>1749</v>
      </c>
      <c r="E2201" s="14" t="s">
        <v>1746</v>
      </c>
      <c r="F2201" s="14">
        <v>240</v>
      </c>
      <c r="G2201" s="14">
        <v>192</v>
      </c>
      <c r="H2201" s="37">
        <f>'Calculation Sheet'!N2201</f>
        <v>190.08</v>
      </c>
    </row>
    <row r="2202" spans="1:8" x14ac:dyDescent="0.25">
      <c r="A2202" s="14" t="s">
        <v>782</v>
      </c>
      <c r="B2202" s="14">
        <v>1</v>
      </c>
      <c r="C2202" s="15" t="s">
        <v>786</v>
      </c>
      <c r="D2202" s="14" t="s">
        <v>1745</v>
      </c>
      <c r="E2202" s="14" t="s">
        <v>1747</v>
      </c>
      <c r="F2202" s="14">
        <v>3480</v>
      </c>
      <c r="G2202" s="14">
        <v>2784</v>
      </c>
      <c r="H2202" s="37">
        <f>'Calculation Sheet'!N2202</f>
        <v>2700.48</v>
      </c>
    </row>
    <row r="2203" spans="1:8" x14ac:dyDescent="0.25">
      <c r="A2203" s="14" t="s">
        <v>782</v>
      </c>
      <c r="B2203" s="14" t="s">
        <v>29</v>
      </c>
      <c r="C2203" s="15" t="s">
        <v>2422</v>
      </c>
      <c r="D2203" s="14" t="s">
        <v>1749</v>
      </c>
      <c r="E2203" s="14" t="s">
        <v>1746</v>
      </c>
      <c r="F2203" s="14">
        <v>87.36</v>
      </c>
      <c r="G2203" s="14">
        <v>78.62</v>
      </c>
      <c r="H2203" s="37">
        <f>'Calculation Sheet'!N2203</f>
        <v>77.833800000000011</v>
      </c>
    </row>
    <row r="2204" spans="1:8" x14ac:dyDescent="0.25">
      <c r="A2204" s="14" t="s">
        <v>782</v>
      </c>
      <c r="B2204" s="14" t="s">
        <v>122</v>
      </c>
      <c r="C2204" s="15" t="s">
        <v>2424</v>
      </c>
      <c r="D2204" s="14" t="s">
        <v>1745</v>
      </c>
      <c r="E2204" s="14" t="s">
        <v>1746</v>
      </c>
      <c r="F2204" s="14">
        <v>733.8</v>
      </c>
      <c r="G2204" s="14">
        <v>587.04</v>
      </c>
      <c r="H2204" s="37">
        <f>'Calculation Sheet'!N2204</f>
        <v>581.16959999999995</v>
      </c>
    </row>
    <row r="2205" spans="1:8" x14ac:dyDescent="0.25">
      <c r="A2205" s="14" t="s">
        <v>782</v>
      </c>
      <c r="B2205" s="14" t="s">
        <v>36</v>
      </c>
      <c r="C2205" s="15" t="s">
        <v>2423</v>
      </c>
      <c r="D2205" s="14" t="s">
        <v>1749</v>
      </c>
      <c r="E2205" s="14" t="s">
        <v>1746</v>
      </c>
      <c r="F2205" s="14">
        <v>69.89</v>
      </c>
      <c r="G2205" s="14">
        <v>55.91</v>
      </c>
      <c r="H2205" s="37">
        <f>'Calculation Sheet'!N2205</f>
        <v>55.350899999999996</v>
      </c>
    </row>
    <row r="2206" spans="1:8" x14ac:dyDescent="0.25">
      <c r="A2206" s="14" t="s">
        <v>789</v>
      </c>
      <c r="B2206" s="14">
        <v>7</v>
      </c>
      <c r="C2206" s="15" t="s">
        <v>2425</v>
      </c>
      <c r="D2206" s="14" t="s">
        <v>1745</v>
      </c>
      <c r="E2206" s="14" t="s">
        <v>1746</v>
      </c>
      <c r="F2206" s="14">
        <v>628.79999999999995</v>
      </c>
      <c r="G2206" s="14">
        <v>503.04</v>
      </c>
      <c r="H2206" s="37">
        <f>'Calculation Sheet'!N2206</f>
        <v>498.00960000000003</v>
      </c>
    </row>
    <row r="2207" spans="1:8" x14ac:dyDescent="0.25">
      <c r="A2207" s="14" t="s">
        <v>789</v>
      </c>
      <c r="B2207" s="14">
        <v>3</v>
      </c>
      <c r="C2207" s="15" t="s">
        <v>788</v>
      </c>
      <c r="D2207" s="14" t="s">
        <v>1745</v>
      </c>
      <c r="E2207" s="14" t="s">
        <v>1746</v>
      </c>
      <c r="F2207" s="14">
        <v>3150</v>
      </c>
      <c r="G2207" s="14">
        <v>2520</v>
      </c>
      <c r="H2207" s="37">
        <f>'Calculation Sheet'!N2207</f>
        <v>2494.8000000000002</v>
      </c>
    </row>
    <row r="2208" spans="1:8" x14ac:dyDescent="0.25">
      <c r="A2208" s="14" t="s">
        <v>789</v>
      </c>
      <c r="B2208" s="14" t="s">
        <v>20</v>
      </c>
      <c r="C2208" s="15" t="s">
        <v>2426</v>
      </c>
      <c r="D2208" s="14" t="s">
        <v>1749</v>
      </c>
      <c r="E2208" s="14" t="s">
        <v>1746</v>
      </c>
      <c r="F2208" s="14">
        <v>59.88</v>
      </c>
      <c r="G2208" s="14">
        <v>47.9</v>
      </c>
      <c r="H2208" s="37">
        <f>'Calculation Sheet'!N2208</f>
        <v>47.420999999999999</v>
      </c>
    </row>
    <row r="2209" spans="1:8" x14ac:dyDescent="0.25">
      <c r="A2209" s="14" t="s">
        <v>789</v>
      </c>
      <c r="B2209" s="14">
        <v>7</v>
      </c>
      <c r="C2209" s="15" t="s">
        <v>2425</v>
      </c>
      <c r="D2209" s="14" t="s">
        <v>1745</v>
      </c>
      <c r="E2209" s="14" t="s">
        <v>1747</v>
      </c>
      <c r="F2209" s="14">
        <v>598.79999999999995</v>
      </c>
      <c r="G2209" s="14">
        <v>479.04</v>
      </c>
      <c r="H2209" s="37">
        <f>'Calculation Sheet'!N2209</f>
        <v>464.66880000000003</v>
      </c>
    </row>
    <row r="2210" spans="1:8" x14ac:dyDescent="0.25">
      <c r="A2210" s="14" t="s">
        <v>789</v>
      </c>
      <c r="B2210" s="14">
        <v>5</v>
      </c>
      <c r="C2210" s="15" t="s">
        <v>2427</v>
      </c>
      <c r="D2210" s="14" t="s">
        <v>1745</v>
      </c>
      <c r="E2210" s="14" t="s">
        <v>1747</v>
      </c>
      <c r="F2210" s="14">
        <v>1980</v>
      </c>
      <c r="G2210" s="14">
        <v>1584</v>
      </c>
      <c r="H2210" s="37">
        <f>'Calculation Sheet'!N2210</f>
        <v>1584</v>
      </c>
    </row>
    <row r="2211" spans="1:8" x14ac:dyDescent="0.25">
      <c r="A2211" s="14" t="s">
        <v>789</v>
      </c>
      <c r="B2211" s="14" t="s">
        <v>20</v>
      </c>
      <c r="C2211" s="15" t="s">
        <v>2426</v>
      </c>
      <c r="D2211" s="14" t="s">
        <v>1745</v>
      </c>
      <c r="E2211" s="14" t="s">
        <v>1746</v>
      </c>
      <c r="F2211" s="14">
        <v>628.79999999999995</v>
      </c>
      <c r="G2211" s="14">
        <v>503.04</v>
      </c>
      <c r="H2211" s="37">
        <f>'Calculation Sheet'!N2211</f>
        <v>498.00960000000003</v>
      </c>
    </row>
    <row r="2212" spans="1:8" x14ac:dyDescent="0.25">
      <c r="A2212" s="14" t="s">
        <v>789</v>
      </c>
      <c r="B2212" s="14">
        <v>3</v>
      </c>
      <c r="C2212" s="15" t="s">
        <v>788</v>
      </c>
      <c r="D2212" s="14" t="s">
        <v>1749</v>
      </c>
      <c r="E2212" s="14" t="s">
        <v>1746</v>
      </c>
      <c r="F2212" s="14">
        <v>300</v>
      </c>
      <c r="G2212" s="14">
        <v>240</v>
      </c>
      <c r="H2212" s="37">
        <f>'Calculation Sheet'!N2212</f>
        <v>237.6</v>
      </c>
    </row>
    <row r="2213" spans="1:8" x14ac:dyDescent="0.25">
      <c r="A2213" s="14" t="s">
        <v>789</v>
      </c>
      <c r="B2213" s="14">
        <v>5</v>
      </c>
      <c r="C2213" s="15" t="s">
        <v>2427</v>
      </c>
      <c r="D2213" s="14" t="s">
        <v>1745</v>
      </c>
      <c r="E2213" s="14" t="s">
        <v>1746</v>
      </c>
      <c r="F2213" s="14">
        <v>2079</v>
      </c>
      <c r="G2213" s="14">
        <v>1663.2</v>
      </c>
      <c r="H2213" s="37">
        <f>'Calculation Sheet'!N2213</f>
        <v>1663.2</v>
      </c>
    </row>
    <row r="2214" spans="1:8" x14ac:dyDescent="0.25">
      <c r="A2214" s="14" t="s">
        <v>789</v>
      </c>
      <c r="B2214" s="14">
        <v>3</v>
      </c>
      <c r="C2214" s="15" t="s">
        <v>788</v>
      </c>
      <c r="D2214" s="14" t="s">
        <v>1745</v>
      </c>
      <c r="E2214" s="14" t="s">
        <v>1747</v>
      </c>
      <c r="F2214" s="14">
        <v>3000</v>
      </c>
      <c r="G2214" s="14">
        <v>2400</v>
      </c>
      <c r="H2214" s="37">
        <f>'Calculation Sheet'!N2214</f>
        <v>2328</v>
      </c>
    </row>
    <row r="2215" spans="1:8" x14ac:dyDescent="0.25">
      <c r="A2215" s="14" t="s">
        <v>789</v>
      </c>
      <c r="B2215" s="14">
        <v>5</v>
      </c>
      <c r="C2215" s="15" t="s">
        <v>2427</v>
      </c>
      <c r="D2215" s="14" t="s">
        <v>1749</v>
      </c>
      <c r="E2215" s="14" t="s">
        <v>1746</v>
      </c>
      <c r="F2215" s="14">
        <v>198</v>
      </c>
      <c r="G2215" s="14">
        <v>158.4</v>
      </c>
      <c r="H2215" s="37">
        <f>'Calculation Sheet'!N2215</f>
        <v>158.4</v>
      </c>
    </row>
    <row r="2216" spans="1:8" x14ac:dyDescent="0.25">
      <c r="A2216" s="14" t="s">
        <v>789</v>
      </c>
      <c r="B2216" s="14">
        <v>9</v>
      </c>
      <c r="C2216" s="15" t="s">
        <v>2428</v>
      </c>
      <c r="D2216" s="14" t="s">
        <v>1749</v>
      </c>
      <c r="E2216" s="14" t="s">
        <v>1746</v>
      </c>
      <c r="F2216" s="14">
        <v>74.88</v>
      </c>
      <c r="G2216" s="14">
        <v>67.39</v>
      </c>
      <c r="H2216" s="37">
        <f>'Calculation Sheet'!N2216</f>
        <v>66.716099999999997</v>
      </c>
    </row>
    <row r="2217" spans="1:8" x14ac:dyDescent="0.25">
      <c r="A2217" s="14" t="s">
        <v>789</v>
      </c>
      <c r="B2217" s="14">
        <v>9</v>
      </c>
      <c r="C2217" s="15" t="s">
        <v>2428</v>
      </c>
      <c r="D2217" s="14" t="s">
        <v>1745</v>
      </c>
      <c r="E2217" s="14" t="s">
        <v>1746</v>
      </c>
      <c r="F2217" s="14">
        <v>786.24</v>
      </c>
      <c r="G2217" s="14">
        <v>707.64</v>
      </c>
      <c r="H2217" s="37">
        <f>'Calculation Sheet'!N2217</f>
        <v>700.56359999999995</v>
      </c>
    </row>
    <row r="2218" spans="1:8" x14ac:dyDescent="0.25">
      <c r="A2218" s="14" t="s">
        <v>789</v>
      </c>
      <c r="B2218" s="14">
        <v>7</v>
      </c>
      <c r="C2218" s="15" t="s">
        <v>2425</v>
      </c>
      <c r="D2218" s="14" t="s">
        <v>1749</v>
      </c>
      <c r="E2218" s="14" t="s">
        <v>1746</v>
      </c>
      <c r="F2218" s="14">
        <v>59.88</v>
      </c>
      <c r="G2218" s="14">
        <v>47.9</v>
      </c>
      <c r="H2218" s="37">
        <f>'Calculation Sheet'!N2218</f>
        <v>47.420999999999999</v>
      </c>
    </row>
    <row r="2219" spans="1:8" x14ac:dyDescent="0.25">
      <c r="A2219" s="14" t="s">
        <v>789</v>
      </c>
      <c r="B2219" s="14" t="s">
        <v>20</v>
      </c>
      <c r="C2219" s="15" t="s">
        <v>2426</v>
      </c>
      <c r="D2219" s="14" t="s">
        <v>1745</v>
      </c>
      <c r="E2219" s="14" t="s">
        <v>1747</v>
      </c>
      <c r="F2219" s="14">
        <v>598.79999999999995</v>
      </c>
      <c r="G2219" s="14">
        <v>479.04</v>
      </c>
      <c r="H2219" s="37">
        <f>'Calculation Sheet'!N2219</f>
        <v>464.66880000000003</v>
      </c>
    </row>
    <row r="2220" spans="1:8" x14ac:dyDescent="0.25">
      <c r="A2220" s="14" t="s">
        <v>789</v>
      </c>
      <c r="B2220" s="14">
        <v>9</v>
      </c>
      <c r="C2220" s="15" t="s">
        <v>2428</v>
      </c>
      <c r="D2220" s="14" t="s">
        <v>1745</v>
      </c>
      <c r="E2220" s="14" t="s">
        <v>1747</v>
      </c>
      <c r="F2220" s="14">
        <v>748.8</v>
      </c>
      <c r="G2220" s="14">
        <v>673.92</v>
      </c>
      <c r="H2220" s="37">
        <f>'Calculation Sheet'!N2220</f>
        <v>653.70240000000001</v>
      </c>
    </row>
    <row r="2221" spans="1:8" x14ac:dyDescent="0.25">
      <c r="A2221" s="14" t="s">
        <v>798</v>
      </c>
      <c r="B2221" s="14" t="s">
        <v>650</v>
      </c>
      <c r="C2221" s="15" t="s">
        <v>2429</v>
      </c>
      <c r="D2221" s="14" t="s">
        <v>1745</v>
      </c>
      <c r="E2221" s="14" t="s">
        <v>1747</v>
      </c>
      <c r="F2221" s="14">
        <v>3480</v>
      </c>
      <c r="G2221" s="14">
        <v>2784</v>
      </c>
      <c r="H2221" s="37">
        <f>'Calculation Sheet'!N2221</f>
        <v>2784</v>
      </c>
    </row>
    <row r="2222" spans="1:8" x14ac:dyDescent="0.25">
      <c r="A2222" s="14" t="s">
        <v>798</v>
      </c>
      <c r="B2222" s="14" t="s">
        <v>243</v>
      </c>
      <c r="C2222" s="15" t="s">
        <v>2430</v>
      </c>
      <c r="D2222" s="14" t="s">
        <v>1749</v>
      </c>
      <c r="E2222" s="14" t="s">
        <v>1746</v>
      </c>
      <c r="F2222" s="14">
        <v>252</v>
      </c>
      <c r="G2222" s="14">
        <v>201.6</v>
      </c>
      <c r="H2222" s="37">
        <f>'Calculation Sheet'!N2222</f>
        <v>199.584</v>
      </c>
    </row>
    <row r="2223" spans="1:8" x14ac:dyDescent="0.25">
      <c r="A2223" s="14" t="s">
        <v>798</v>
      </c>
      <c r="B2223" s="14" t="s">
        <v>650</v>
      </c>
      <c r="C2223" s="15" t="s">
        <v>2429</v>
      </c>
      <c r="D2223" s="14" t="s">
        <v>1745</v>
      </c>
      <c r="E2223" s="14" t="s">
        <v>1746</v>
      </c>
      <c r="F2223" s="14">
        <v>3654</v>
      </c>
      <c r="G2223" s="14">
        <v>2923.2</v>
      </c>
      <c r="H2223" s="37">
        <f>'Calculation Sheet'!N2223</f>
        <v>2923.2</v>
      </c>
    </row>
    <row r="2224" spans="1:8" x14ac:dyDescent="0.25">
      <c r="A2224" s="14" t="s">
        <v>798</v>
      </c>
      <c r="B2224" s="14" t="s">
        <v>118</v>
      </c>
      <c r="C2224" s="15" t="s">
        <v>2431</v>
      </c>
      <c r="D2224" s="14" t="s">
        <v>1749</v>
      </c>
      <c r="E2224" s="14" t="s">
        <v>1746</v>
      </c>
      <c r="F2224" s="14">
        <v>210</v>
      </c>
      <c r="G2224" s="14">
        <v>189</v>
      </c>
      <c r="H2224" s="37">
        <f>'Calculation Sheet'!N2224</f>
        <v>187.11</v>
      </c>
    </row>
    <row r="2225" spans="1:8" x14ac:dyDescent="0.25">
      <c r="A2225" s="14" t="s">
        <v>798</v>
      </c>
      <c r="B2225" s="14" t="s">
        <v>120</v>
      </c>
      <c r="C2225" s="15" t="s">
        <v>2432</v>
      </c>
      <c r="D2225" s="14" t="s">
        <v>1749</v>
      </c>
      <c r="E2225" s="14" t="s">
        <v>1766</v>
      </c>
      <c r="F2225" s="14">
        <v>0</v>
      </c>
      <c r="G2225" s="14">
        <v>0</v>
      </c>
      <c r="H2225" s="37">
        <f>'Calculation Sheet'!N2225</f>
        <v>0</v>
      </c>
    </row>
    <row r="2226" spans="1:8" x14ac:dyDescent="0.25">
      <c r="A2226" s="14" t="s">
        <v>798</v>
      </c>
      <c r="B2226" s="14">
        <v>3</v>
      </c>
      <c r="C2226" s="15" t="s">
        <v>813</v>
      </c>
      <c r="D2226" s="14" t="s">
        <v>1745</v>
      </c>
      <c r="E2226" s="14" t="s">
        <v>1746</v>
      </c>
      <c r="F2226" s="14">
        <v>5481</v>
      </c>
      <c r="G2226" s="14">
        <v>4384.8</v>
      </c>
      <c r="H2226" s="37">
        <f>'Calculation Sheet'!N2226</f>
        <v>4340.9520000000002</v>
      </c>
    </row>
    <row r="2227" spans="1:8" x14ac:dyDescent="0.25">
      <c r="A2227" s="14" t="s">
        <v>798</v>
      </c>
      <c r="B2227" s="14" t="s">
        <v>173</v>
      </c>
      <c r="C2227" s="15" t="s">
        <v>2433</v>
      </c>
      <c r="D2227" s="14" t="s">
        <v>1749</v>
      </c>
      <c r="E2227" s="14" t="s">
        <v>1746</v>
      </c>
      <c r="F2227" s="14">
        <v>522</v>
      </c>
      <c r="G2227" s="14">
        <v>417.6</v>
      </c>
      <c r="H2227" s="37">
        <f>'Calculation Sheet'!N2227</f>
        <v>413.42400000000004</v>
      </c>
    </row>
    <row r="2228" spans="1:8" x14ac:dyDescent="0.25">
      <c r="A2228" s="14" t="s">
        <v>798</v>
      </c>
      <c r="B2228" s="14" t="s">
        <v>102</v>
      </c>
      <c r="C2228" s="15" t="s">
        <v>2434</v>
      </c>
      <c r="D2228" s="14" t="s">
        <v>1745</v>
      </c>
      <c r="E2228" s="14" t="s">
        <v>1747</v>
      </c>
      <c r="F2228" s="14">
        <v>2100</v>
      </c>
      <c r="G2228" s="14">
        <v>1890</v>
      </c>
      <c r="H2228" s="37">
        <f>'Calculation Sheet'!N2228</f>
        <v>1833.3</v>
      </c>
    </row>
    <row r="2229" spans="1:8" x14ac:dyDescent="0.25">
      <c r="A2229" s="14" t="s">
        <v>798</v>
      </c>
      <c r="B2229" s="14" t="s">
        <v>98</v>
      </c>
      <c r="C2229" s="15" t="s">
        <v>2432</v>
      </c>
      <c r="D2229" s="14" t="s">
        <v>1749</v>
      </c>
      <c r="E2229" s="14" t="s">
        <v>1746</v>
      </c>
      <c r="F2229" s="14">
        <v>107.82</v>
      </c>
      <c r="G2229" s="14">
        <v>86.26</v>
      </c>
      <c r="H2229" s="37">
        <f>'Calculation Sheet'!N2229</f>
        <v>85.397400000000005</v>
      </c>
    </row>
    <row r="2230" spans="1:8" x14ac:dyDescent="0.25">
      <c r="A2230" s="14" t="s">
        <v>798</v>
      </c>
      <c r="B2230" s="14">
        <v>1</v>
      </c>
      <c r="C2230" s="15" t="s">
        <v>796</v>
      </c>
      <c r="D2230" s="14" t="s">
        <v>1745</v>
      </c>
      <c r="E2230" s="14" t="s">
        <v>1746</v>
      </c>
      <c r="F2230" s="14">
        <v>5481</v>
      </c>
      <c r="G2230" s="14">
        <v>4384.8</v>
      </c>
      <c r="H2230" s="37">
        <f>'Calculation Sheet'!N2230</f>
        <v>4340.9520000000002</v>
      </c>
    </row>
    <row r="2231" spans="1:8" x14ac:dyDescent="0.25">
      <c r="A2231" s="14" t="s">
        <v>798</v>
      </c>
      <c r="B2231" s="14" t="s">
        <v>243</v>
      </c>
      <c r="C2231" s="15" t="s">
        <v>2430</v>
      </c>
      <c r="D2231" s="14" t="s">
        <v>1745</v>
      </c>
      <c r="E2231" s="14" t="s">
        <v>1747</v>
      </c>
      <c r="F2231" s="14">
        <v>2520</v>
      </c>
      <c r="G2231" s="14">
        <v>2016</v>
      </c>
      <c r="H2231" s="37">
        <f>'Calculation Sheet'!N2231</f>
        <v>1955.52</v>
      </c>
    </row>
    <row r="2232" spans="1:8" x14ac:dyDescent="0.25">
      <c r="A2232" s="14" t="s">
        <v>798</v>
      </c>
      <c r="B2232" s="14" t="s">
        <v>118</v>
      </c>
      <c r="C2232" s="15" t="s">
        <v>2431</v>
      </c>
      <c r="D2232" s="14" t="s">
        <v>1745</v>
      </c>
      <c r="E2232" s="14" t="s">
        <v>1746</v>
      </c>
      <c r="F2232" s="14">
        <v>2205</v>
      </c>
      <c r="G2232" s="14">
        <v>1984.56</v>
      </c>
      <c r="H2232" s="37">
        <f>'Calculation Sheet'!N2232</f>
        <v>1964.7143999999998</v>
      </c>
    </row>
    <row r="2233" spans="1:8" x14ac:dyDescent="0.25">
      <c r="A2233" s="14" t="s">
        <v>798</v>
      </c>
      <c r="B2233" s="14" t="s">
        <v>98</v>
      </c>
      <c r="C2233" s="15" t="s">
        <v>2432</v>
      </c>
      <c r="D2233" s="14" t="s">
        <v>1745</v>
      </c>
      <c r="E2233" s="14" t="s">
        <v>1747</v>
      </c>
      <c r="F2233" s="14">
        <v>1078.2</v>
      </c>
      <c r="G2233" s="14">
        <v>862.56</v>
      </c>
      <c r="H2233" s="37">
        <f>'Calculation Sheet'!N2233</f>
        <v>836.68319999999994</v>
      </c>
    </row>
    <row r="2234" spans="1:8" x14ac:dyDescent="0.25">
      <c r="A2234" s="14" t="s">
        <v>798</v>
      </c>
      <c r="B2234" s="14" t="s">
        <v>243</v>
      </c>
      <c r="C2234" s="15" t="s">
        <v>2430</v>
      </c>
      <c r="D2234" s="14" t="s">
        <v>1745</v>
      </c>
      <c r="E2234" s="14" t="s">
        <v>1746</v>
      </c>
      <c r="F2234" s="14">
        <v>2646</v>
      </c>
      <c r="G2234" s="14">
        <v>2116.8000000000002</v>
      </c>
      <c r="H2234" s="37">
        <f>'Calculation Sheet'!N2234</f>
        <v>2095.6320000000001</v>
      </c>
    </row>
    <row r="2235" spans="1:8" x14ac:dyDescent="0.25">
      <c r="A2235" s="14" t="s">
        <v>798</v>
      </c>
      <c r="B2235" s="14" t="s">
        <v>102</v>
      </c>
      <c r="C2235" s="15" t="s">
        <v>2434</v>
      </c>
      <c r="D2235" s="14" t="s">
        <v>1745</v>
      </c>
      <c r="E2235" s="14" t="s">
        <v>1746</v>
      </c>
      <c r="F2235" s="14">
        <v>2205</v>
      </c>
      <c r="G2235" s="14">
        <v>1984.56</v>
      </c>
      <c r="H2235" s="37">
        <f>'Calculation Sheet'!N2235</f>
        <v>1964.7143999999998</v>
      </c>
    </row>
    <row r="2236" spans="1:8" x14ac:dyDescent="0.25">
      <c r="A2236" s="14" t="s">
        <v>798</v>
      </c>
      <c r="B2236" s="14">
        <v>3</v>
      </c>
      <c r="C2236" s="15" t="s">
        <v>813</v>
      </c>
      <c r="D2236" s="14" t="s">
        <v>1745</v>
      </c>
      <c r="E2236" s="14" t="s">
        <v>1747</v>
      </c>
      <c r="F2236" s="14">
        <v>5220</v>
      </c>
      <c r="G2236" s="14">
        <v>4176</v>
      </c>
      <c r="H2236" s="37">
        <f>'Calculation Sheet'!N2236</f>
        <v>4050.72</v>
      </c>
    </row>
    <row r="2237" spans="1:8" x14ac:dyDescent="0.25">
      <c r="A2237" s="14" t="s">
        <v>798</v>
      </c>
      <c r="B2237" s="14" t="s">
        <v>173</v>
      </c>
      <c r="C2237" s="15" t="s">
        <v>2433</v>
      </c>
      <c r="D2237" s="14" t="s">
        <v>1745</v>
      </c>
      <c r="E2237" s="14" t="s">
        <v>1746</v>
      </c>
      <c r="F2237" s="14">
        <v>5481</v>
      </c>
      <c r="G2237" s="14">
        <v>4384.8</v>
      </c>
      <c r="H2237" s="37">
        <f>'Calculation Sheet'!N2237</f>
        <v>4340.9520000000002</v>
      </c>
    </row>
    <row r="2238" spans="1:8" x14ac:dyDescent="0.25">
      <c r="A2238" s="14" t="s">
        <v>798</v>
      </c>
      <c r="B2238" s="14">
        <v>3</v>
      </c>
      <c r="C2238" s="15" t="s">
        <v>813</v>
      </c>
      <c r="D2238" s="14" t="s">
        <v>1749</v>
      </c>
      <c r="E2238" s="14" t="s">
        <v>1746</v>
      </c>
      <c r="F2238" s="14">
        <v>522</v>
      </c>
      <c r="G2238" s="14">
        <v>417.6</v>
      </c>
      <c r="H2238" s="37">
        <f>'Calculation Sheet'!N2238</f>
        <v>413.42400000000004</v>
      </c>
    </row>
    <row r="2239" spans="1:8" x14ac:dyDescent="0.25">
      <c r="A2239" s="14" t="s">
        <v>798</v>
      </c>
      <c r="B2239" s="14" t="s">
        <v>102</v>
      </c>
      <c r="C2239" s="15" t="s">
        <v>2434</v>
      </c>
      <c r="D2239" s="14" t="s">
        <v>1749</v>
      </c>
      <c r="E2239" s="14" t="s">
        <v>1746</v>
      </c>
      <c r="F2239" s="14">
        <v>210</v>
      </c>
      <c r="G2239" s="14">
        <v>189</v>
      </c>
      <c r="H2239" s="37">
        <f>'Calculation Sheet'!N2239</f>
        <v>187.11</v>
      </c>
    </row>
    <row r="2240" spans="1:8" x14ac:dyDescent="0.25">
      <c r="A2240" s="14" t="s">
        <v>798</v>
      </c>
      <c r="B2240" s="14">
        <v>1</v>
      </c>
      <c r="C2240" s="15" t="s">
        <v>796</v>
      </c>
      <c r="D2240" s="14" t="s">
        <v>1745</v>
      </c>
      <c r="E2240" s="14" t="s">
        <v>1747</v>
      </c>
      <c r="F2240" s="14">
        <v>5220</v>
      </c>
      <c r="G2240" s="14">
        <v>4176</v>
      </c>
      <c r="H2240" s="37">
        <f>'Calculation Sheet'!N2240</f>
        <v>4050.72</v>
      </c>
    </row>
    <row r="2241" spans="1:8" x14ac:dyDescent="0.25">
      <c r="A2241" s="14" t="s">
        <v>798</v>
      </c>
      <c r="B2241" s="14" t="s">
        <v>650</v>
      </c>
      <c r="C2241" s="15" t="s">
        <v>2429</v>
      </c>
      <c r="D2241" s="14" t="s">
        <v>1749</v>
      </c>
      <c r="E2241" s="14" t="s">
        <v>1746</v>
      </c>
      <c r="F2241" s="14">
        <v>348</v>
      </c>
      <c r="G2241" s="14">
        <v>278.39999999999998</v>
      </c>
      <c r="H2241" s="37">
        <f>'Calculation Sheet'!N2241</f>
        <v>278.39999999999998</v>
      </c>
    </row>
    <row r="2242" spans="1:8" x14ac:dyDescent="0.25">
      <c r="A2242" s="14" t="s">
        <v>798</v>
      </c>
      <c r="B2242" s="14">
        <v>1</v>
      </c>
      <c r="C2242" s="15" t="s">
        <v>796</v>
      </c>
      <c r="D2242" s="14" t="s">
        <v>1749</v>
      </c>
      <c r="E2242" s="14" t="s">
        <v>1746</v>
      </c>
      <c r="F2242" s="14">
        <v>522</v>
      </c>
      <c r="G2242" s="14">
        <v>417.6</v>
      </c>
      <c r="H2242" s="37">
        <f>'Calculation Sheet'!N2242</f>
        <v>413.42400000000004</v>
      </c>
    </row>
    <row r="2243" spans="1:8" x14ac:dyDescent="0.25">
      <c r="A2243" s="14" t="s">
        <v>798</v>
      </c>
      <c r="B2243" s="14" t="s">
        <v>98</v>
      </c>
      <c r="C2243" s="15" t="s">
        <v>2432</v>
      </c>
      <c r="D2243" s="14" t="s">
        <v>1745</v>
      </c>
      <c r="E2243" s="14" t="s">
        <v>1746</v>
      </c>
      <c r="F2243" s="14">
        <v>1132.08</v>
      </c>
      <c r="G2243" s="14">
        <v>905.64</v>
      </c>
      <c r="H2243" s="37">
        <f>'Calculation Sheet'!N2243</f>
        <v>896.58359999999993</v>
      </c>
    </row>
    <row r="2244" spans="1:8" x14ac:dyDescent="0.25">
      <c r="A2244" s="14" t="s">
        <v>798</v>
      </c>
      <c r="B2244" s="14" t="s">
        <v>173</v>
      </c>
      <c r="C2244" s="15" t="s">
        <v>2433</v>
      </c>
      <c r="D2244" s="14" t="s">
        <v>1745</v>
      </c>
      <c r="E2244" s="14" t="s">
        <v>1747</v>
      </c>
      <c r="F2244" s="14">
        <v>5220</v>
      </c>
      <c r="G2244" s="14">
        <v>4176</v>
      </c>
      <c r="H2244" s="37">
        <f>'Calculation Sheet'!N2244</f>
        <v>4050.72</v>
      </c>
    </row>
    <row r="2245" spans="1:8" x14ac:dyDescent="0.25">
      <c r="A2245" s="14" t="s">
        <v>798</v>
      </c>
      <c r="B2245" s="14" t="s">
        <v>118</v>
      </c>
      <c r="C2245" s="15" t="s">
        <v>2431</v>
      </c>
      <c r="D2245" s="14" t="s">
        <v>1745</v>
      </c>
      <c r="E2245" s="14" t="s">
        <v>1747</v>
      </c>
      <c r="F2245" s="14">
        <v>2100</v>
      </c>
      <c r="G2245" s="14">
        <v>1890</v>
      </c>
      <c r="H2245" s="37">
        <f>'Calculation Sheet'!N2245</f>
        <v>1833.3</v>
      </c>
    </row>
    <row r="2246" spans="1:8" x14ac:dyDescent="0.25">
      <c r="A2246" s="14" t="s">
        <v>819</v>
      </c>
      <c r="B2246" s="14">
        <v>1</v>
      </c>
      <c r="C2246" s="15" t="s">
        <v>818</v>
      </c>
      <c r="D2246" s="14" t="s">
        <v>1745</v>
      </c>
      <c r="E2246" s="14" t="s">
        <v>1746</v>
      </c>
      <c r="F2246" s="14">
        <v>5796</v>
      </c>
      <c r="G2246" s="14">
        <v>4636.8</v>
      </c>
      <c r="H2246" s="37">
        <f>'Calculation Sheet'!N2246</f>
        <v>4590.4319999999998</v>
      </c>
    </row>
    <row r="2247" spans="1:8" x14ac:dyDescent="0.25">
      <c r="A2247" s="14" t="s">
        <v>819</v>
      </c>
      <c r="B2247" s="14">
        <v>1</v>
      </c>
      <c r="C2247" s="15" t="s">
        <v>818</v>
      </c>
      <c r="D2247" s="14" t="s">
        <v>1749</v>
      </c>
      <c r="E2247" s="14" t="s">
        <v>1746</v>
      </c>
      <c r="F2247" s="14">
        <v>552</v>
      </c>
      <c r="G2247" s="14">
        <v>441.6</v>
      </c>
      <c r="H2247" s="37">
        <f>'Calculation Sheet'!N2247</f>
        <v>437.18400000000003</v>
      </c>
    </row>
    <row r="2248" spans="1:8" x14ac:dyDescent="0.25">
      <c r="A2248" s="14" t="s">
        <v>819</v>
      </c>
      <c r="B2248" s="14" t="s">
        <v>28</v>
      </c>
      <c r="C2248" s="15" t="s">
        <v>2435</v>
      </c>
      <c r="D2248" s="14" t="s">
        <v>1745</v>
      </c>
      <c r="E2248" s="14" t="s">
        <v>1746</v>
      </c>
      <c r="F2248" s="14">
        <v>1153.08</v>
      </c>
      <c r="G2248" s="14">
        <v>922.44</v>
      </c>
      <c r="H2248" s="37">
        <f>'Calculation Sheet'!N2248</f>
        <v>913.21560000000011</v>
      </c>
    </row>
    <row r="2249" spans="1:8" x14ac:dyDescent="0.25">
      <c r="A2249" s="14" t="s">
        <v>819</v>
      </c>
      <c r="B2249" s="14" t="s">
        <v>46</v>
      </c>
      <c r="C2249" s="15" t="s">
        <v>2436</v>
      </c>
      <c r="D2249" s="14" t="s">
        <v>1745</v>
      </c>
      <c r="E2249" s="14" t="s">
        <v>1746</v>
      </c>
      <c r="F2249" s="14">
        <v>2331</v>
      </c>
      <c r="G2249" s="14">
        <v>2097.96</v>
      </c>
      <c r="H2249" s="37">
        <f>'Calculation Sheet'!N2249</f>
        <v>2076.9803999999999</v>
      </c>
    </row>
    <row r="2250" spans="1:8" x14ac:dyDescent="0.25">
      <c r="A2250" s="14" t="s">
        <v>819</v>
      </c>
      <c r="B2250" s="14">
        <v>1</v>
      </c>
      <c r="C2250" s="15" t="s">
        <v>818</v>
      </c>
      <c r="D2250" s="14" t="s">
        <v>1745</v>
      </c>
      <c r="E2250" s="14" t="s">
        <v>1747</v>
      </c>
      <c r="F2250" s="14">
        <v>5520</v>
      </c>
      <c r="G2250" s="14">
        <v>4416</v>
      </c>
      <c r="H2250" s="37">
        <f>'Calculation Sheet'!N2250</f>
        <v>4283.5200000000004</v>
      </c>
    </row>
    <row r="2251" spans="1:8" x14ac:dyDescent="0.25">
      <c r="A2251" s="14" t="s">
        <v>819</v>
      </c>
      <c r="B2251" s="14" t="s">
        <v>46</v>
      </c>
      <c r="C2251" s="15" t="s">
        <v>2436</v>
      </c>
      <c r="D2251" s="14" t="s">
        <v>1745</v>
      </c>
      <c r="E2251" s="14" t="s">
        <v>1747</v>
      </c>
      <c r="F2251" s="14">
        <v>2220</v>
      </c>
      <c r="G2251" s="14">
        <v>1998</v>
      </c>
      <c r="H2251" s="37">
        <f>'Calculation Sheet'!N2251</f>
        <v>1938.06</v>
      </c>
    </row>
    <row r="2252" spans="1:8" x14ac:dyDescent="0.25">
      <c r="A2252" s="14" t="s">
        <v>819</v>
      </c>
      <c r="B2252" s="14" t="s">
        <v>28</v>
      </c>
      <c r="C2252" s="15" t="s">
        <v>2435</v>
      </c>
      <c r="D2252" s="14" t="s">
        <v>1745</v>
      </c>
      <c r="E2252" s="14" t="s">
        <v>1747</v>
      </c>
      <c r="F2252" s="14">
        <v>1098.1199999999999</v>
      </c>
      <c r="G2252" s="14">
        <v>878.5</v>
      </c>
      <c r="H2252" s="37">
        <f>'Calculation Sheet'!N2252</f>
        <v>852.14499999999998</v>
      </c>
    </row>
    <row r="2253" spans="1:8" x14ac:dyDescent="0.25">
      <c r="A2253" s="14" t="s">
        <v>819</v>
      </c>
      <c r="B2253" s="14" t="s">
        <v>39</v>
      </c>
      <c r="C2253" s="15" t="s">
        <v>821</v>
      </c>
      <c r="D2253" s="14" t="s">
        <v>1745</v>
      </c>
      <c r="E2253" s="14" t="s">
        <v>1747</v>
      </c>
      <c r="F2253" s="14">
        <v>3720</v>
      </c>
      <c r="G2253" s="14">
        <v>2976</v>
      </c>
      <c r="H2253" s="37">
        <f>'Calculation Sheet'!N2253</f>
        <v>2886.72</v>
      </c>
    </row>
    <row r="2254" spans="1:8" x14ac:dyDescent="0.25">
      <c r="A2254" s="14" t="s">
        <v>819</v>
      </c>
      <c r="B2254" s="14" t="s">
        <v>39</v>
      </c>
      <c r="C2254" s="15" t="s">
        <v>821</v>
      </c>
      <c r="D2254" s="14" t="s">
        <v>1749</v>
      </c>
      <c r="E2254" s="14" t="s">
        <v>1746</v>
      </c>
      <c r="F2254" s="14">
        <v>372</v>
      </c>
      <c r="G2254" s="14">
        <v>297.60000000000002</v>
      </c>
      <c r="H2254" s="37">
        <f>'Calculation Sheet'!N2254</f>
        <v>294.62400000000002</v>
      </c>
    </row>
    <row r="2255" spans="1:8" x14ac:dyDescent="0.25">
      <c r="A2255" s="14" t="s">
        <v>819</v>
      </c>
      <c r="B2255" s="14" t="s">
        <v>122</v>
      </c>
      <c r="C2255" s="15" t="s">
        <v>2437</v>
      </c>
      <c r="D2255" s="14" t="s">
        <v>1749</v>
      </c>
      <c r="E2255" s="14" t="s">
        <v>1746</v>
      </c>
      <c r="F2255" s="14">
        <v>109.81</v>
      </c>
      <c r="G2255" s="14">
        <v>87.85</v>
      </c>
      <c r="H2255" s="37">
        <f>'Calculation Sheet'!N2255</f>
        <v>86.971499999999992</v>
      </c>
    </row>
    <row r="2256" spans="1:8" x14ac:dyDescent="0.25">
      <c r="A2256" s="14" t="s">
        <v>819</v>
      </c>
      <c r="B2256" s="14" t="s">
        <v>39</v>
      </c>
      <c r="C2256" s="15" t="s">
        <v>821</v>
      </c>
      <c r="D2256" s="14" t="s">
        <v>1745</v>
      </c>
      <c r="E2256" s="14" t="s">
        <v>1746</v>
      </c>
      <c r="F2256" s="14">
        <v>3906</v>
      </c>
      <c r="G2256" s="14">
        <v>3124.8</v>
      </c>
      <c r="H2256" s="37">
        <f>'Calculation Sheet'!N2256</f>
        <v>3093.5520000000001</v>
      </c>
    </row>
    <row r="2257" spans="1:8" x14ac:dyDescent="0.25">
      <c r="A2257" s="14" t="s">
        <v>819</v>
      </c>
      <c r="B2257" s="14" t="s">
        <v>122</v>
      </c>
      <c r="C2257" s="15" t="s">
        <v>2437</v>
      </c>
      <c r="D2257" s="14" t="s">
        <v>1745</v>
      </c>
      <c r="E2257" s="14" t="s">
        <v>1746</v>
      </c>
      <c r="F2257" s="14">
        <v>1153.08</v>
      </c>
      <c r="G2257" s="14">
        <v>922.44</v>
      </c>
      <c r="H2257" s="37">
        <f>'Calculation Sheet'!N2257</f>
        <v>913.21560000000011</v>
      </c>
    </row>
    <row r="2258" spans="1:8" x14ac:dyDescent="0.25">
      <c r="A2258" s="14" t="s">
        <v>819</v>
      </c>
      <c r="B2258" s="14" t="s">
        <v>46</v>
      </c>
      <c r="C2258" s="15" t="s">
        <v>2436</v>
      </c>
      <c r="D2258" s="14" t="s">
        <v>1749</v>
      </c>
      <c r="E2258" s="14" t="s">
        <v>1746</v>
      </c>
      <c r="F2258" s="14">
        <v>222</v>
      </c>
      <c r="G2258" s="14">
        <v>199.8</v>
      </c>
      <c r="H2258" s="37">
        <f>'Calculation Sheet'!N2258</f>
        <v>197.80200000000002</v>
      </c>
    </row>
    <row r="2259" spans="1:8" x14ac:dyDescent="0.25">
      <c r="A2259" s="14" t="s">
        <v>819</v>
      </c>
      <c r="B2259" s="14" t="s">
        <v>28</v>
      </c>
      <c r="C2259" s="15" t="s">
        <v>2435</v>
      </c>
      <c r="D2259" s="14" t="s">
        <v>1749</v>
      </c>
      <c r="E2259" s="14" t="s">
        <v>1746</v>
      </c>
      <c r="F2259" s="14">
        <v>109.81</v>
      </c>
      <c r="G2259" s="14">
        <v>87.85</v>
      </c>
      <c r="H2259" s="37">
        <f>'Calculation Sheet'!N2259</f>
        <v>86.971499999999992</v>
      </c>
    </row>
    <row r="2260" spans="1:8" x14ac:dyDescent="0.25">
      <c r="A2260" s="14" t="s">
        <v>819</v>
      </c>
      <c r="B2260" s="14" t="s">
        <v>122</v>
      </c>
      <c r="C2260" s="15" t="s">
        <v>2437</v>
      </c>
      <c r="D2260" s="14" t="s">
        <v>1745</v>
      </c>
      <c r="E2260" s="14" t="s">
        <v>1747</v>
      </c>
      <c r="F2260" s="14">
        <v>1098.1199999999999</v>
      </c>
      <c r="G2260" s="14">
        <v>878.5</v>
      </c>
      <c r="H2260" s="37">
        <f>'Calculation Sheet'!N2260</f>
        <v>852.14499999999998</v>
      </c>
    </row>
    <row r="2261" spans="1:8" x14ac:dyDescent="0.25">
      <c r="A2261" s="14" t="s">
        <v>824</v>
      </c>
      <c r="B2261" s="14">
        <v>2</v>
      </c>
      <c r="C2261" s="15" t="s">
        <v>823</v>
      </c>
      <c r="D2261" s="14" t="s">
        <v>1749</v>
      </c>
      <c r="E2261" s="14" t="s">
        <v>1746</v>
      </c>
      <c r="F2261" s="14">
        <v>84.86</v>
      </c>
      <c r="G2261" s="14">
        <v>67.89</v>
      </c>
      <c r="H2261" s="37">
        <f>'Calculation Sheet'!N2261</f>
        <v>67.211100000000002</v>
      </c>
    </row>
    <row r="2262" spans="1:8" x14ac:dyDescent="0.25">
      <c r="A2262" s="14" t="s">
        <v>824</v>
      </c>
      <c r="B2262" s="14">
        <v>5</v>
      </c>
      <c r="C2262" s="15" t="s">
        <v>2438</v>
      </c>
      <c r="D2262" s="14" t="s">
        <v>1745</v>
      </c>
      <c r="E2262" s="14" t="s">
        <v>1746</v>
      </c>
      <c r="F2262" s="14">
        <v>891.12</v>
      </c>
      <c r="G2262" s="14">
        <v>712.8</v>
      </c>
      <c r="H2262" s="37">
        <f>'Calculation Sheet'!N2262</f>
        <v>705.67199999999991</v>
      </c>
    </row>
    <row r="2263" spans="1:8" x14ac:dyDescent="0.25">
      <c r="A2263" s="14" t="s">
        <v>824</v>
      </c>
      <c r="B2263" s="14">
        <v>5</v>
      </c>
      <c r="C2263" s="15" t="s">
        <v>2438</v>
      </c>
      <c r="D2263" s="14" t="s">
        <v>1749</v>
      </c>
      <c r="E2263" s="14" t="s">
        <v>1746</v>
      </c>
      <c r="F2263" s="14">
        <v>84.86</v>
      </c>
      <c r="G2263" s="14">
        <v>67.89</v>
      </c>
      <c r="H2263" s="37">
        <f>'Calculation Sheet'!N2263</f>
        <v>67.211100000000002</v>
      </c>
    </row>
    <row r="2264" spans="1:8" x14ac:dyDescent="0.25">
      <c r="A2264" s="14" t="s">
        <v>824</v>
      </c>
      <c r="B2264" s="14">
        <v>3</v>
      </c>
      <c r="C2264" s="15" t="s">
        <v>2439</v>
      </c>
      <c r="D2264" s="14" t="s">
        <v>1745</v>
      </c>
      <c r="E2264" s="14" t="s">
        <v>1746</v>
      </c>
      <c r="F2264" s="14">
        <v>891.12</v>
      </c>
      <c r="G2264" s="14">
        <v>712.8</v>
      </c>
      <c r="H2264" s="37">
        <f>'Calculation Sheet'!N2264</f>
        <v>705.67199999999991</v>
      </c>
    </row>
    <row r="2265" spans="1:8" x14ac:dyDescent="0.25">
      <c r="A2265" s="14" t="s">
        <v>824</v>
      </c>
      <c r="B2265" s="14">
        <v>3</v>
      </c>
      <c r="C2265" s="15" t="s">
        <v>2439</v>
      </c>
      <c r="D2265" s="14" t="s">
        <v>1745</v>
      </c>
      <c r="E2265" s="14" t="s">
        <v>1747</v>
      </c>
      <c r="F2265" s="14">
        <v>848.64</v>
      </c>
      <c r="G2265" s="14">
        <v>678.91</v>
      </c>
      <c r="H2265" s="37">
        <f>'Calculation Sheet'!N2265</f>
        <v>658.54269999999997</v>
      </c>
    </row>
    <row r="2266" spans="1:8" x14ac:dyDescent="0.25">
      <c r="A2266" s="14" t="s">
        <v>824</v>
      </c>
      <c r="B2266" s="14">
        <v>2</v>
      </c>
      <c r="C2266" s="15" t="s">
        <v>823</v>
      </c>
      <c r="D2266" s="14" t="s">
        <v>1745</v>
      </c>
      <c r="E2266" s="14" t="s">
        <v>1747</v>
      </c>
      <c r="F2266" s="14">
        <v>848.64</v>
      </c>
      <c r="G2266" s="14">
        <v>678.91</v>
      </c>
      <c r="H2266" s="37">
        <f>'Calculation Sheet'!N2266</f>
        <v>658.54269999999997</v>
      </c>
    </row>
    <row r="2267" spans="1:8" x14ac:dyDescent="0.25">
      <c r="A2267" s="14" t="s">
        <v>824</v>
      </c>
      <c r="B2267" s="14">
        <v>5</v>
      </c>
      <c r="C2267" s="15" t="s">
        <v>2438</v>
      </c>
      <c r="D2267" s="14" t="s">
        <v>1745</v>
      </c>
      <c r="E2267" s="14" t="s">
        <v>1747</v>
      </c>
      <c r="F2267" s="14">
        <v>848.64</v>
      </c>
      <c r="G2267" s="14">
        <v>678.91</v>
      </c>
      <c r="H2267" s="37">
        <f>'Calculation Sheet'!N2267</f>
        <v>658.54269999999997</v>
      </c>
    </row>
    <row r="2268" spans="1:8" x14ac:dyDescent="0.25">
      <c r="A2268" s="14" t="s">
        <v>824</v>
      </c>
      <c r="B2268" s="14">
        <v>3</v>
      </c>
      <c r="C2268" s="15" t="s">
        <v>2439</v>
      </c>
      <c r="D2268" s="14" t="s">
        <v>1749</v>
      </c>
      <c r="E2268" s="14" t="s">
        <v>1746</v>
      </c>
      <c r="F2268" s="14">
        <v>84.86</v>
      </c>
      <c r="G2268" s="14">
        <v>67.89</v>
      </c>
      <c r="H2268" s="37">
        <f>'Calculation Sheet'!N2268</f>
        <v>67.211100000000002</v>
      </c>
    </row>
    <row r="2269" spans="1:8" x14ac:dyDescent="0.25">
      <c r="A2269" s="14" t="s">
        <v>824</v>
      </c>
      <c r="B2269" s="14">
        <v>2</v>
      </c>
      <c r="C2269" s="15" t="s">
        <v>823</v>
      </c>
      <c r="D2269" s="14" t="s">
        <v>1745</v>
      </c>
      <c r="E2269" s="14" t="s">
        <v>1746</v>
      </c>
      <c r="F2269" s="14">
        <v>891.12</v>
      </c>
      <c r="G2269" s="14">
        <v>712.8</v>
      </c>
      <c r="H2269" s="37">
        <f>'Calculation Sheet'!N2269</f>
        <v>705.67199999999991</v>
      </c>
    </row>
    <row r="2270" spans="1:8" x14ac:dyDescent="0.25">
      <c r="A2270" s="14" t="s">
        <v>828</v>
      </c>
      <c r="B2270" s="14" t="s">
        <v>50</v>
      </c>
      <c r="C2270" s="15" t="s">
        <v>2440</v>
      </c>
      <c r="D2270" s="14" t="s">
        <v>1745</v>
      </c>
      <c r="E2270" s="14" t="s">
        <v>1747</v>
      </c>
      <c r="F2270" s="14">
        <v>149760</v>
      </c>
      <c r="G2270" s="14">
        <v>119808</v>
      </c>
      <c r="H2270" s="37">
        <f>'Calculation Sheet'!N2270</f>
        <v>116213.75999999999</v>
      </c>
    </row>
    <row r="2271" spans="1:8" x14ac:dyDescent="0.25">
      <c r="A2271" s="14" t="s">
        <v>828</v>
      </c>
      <c r="B2271" s="14">
        <v>8</v>
      </c>
      <c r="C2271" s="15" t="s">
        <v>2441</v>
      </c>
      <c r="D2271" s="14" t="s">
        <v>1745</v>
      </c>
      <c r="E2271" s="14" t="s">
        <v>1746</v>
      </c>
      <c r="F2271" s="14">
        <v>262080</v>
      </c>
      <c r="G2271" s="14">
        <v>209664</v>
      </c>
      <c r="H2271" s="37">
        <f>'Calculation Sheet'!N2271</f>
        <v>207567.35999999999</v>
      </c>
    </row>
    <row r="2272" spans="1:8" x14ac:dyDescent="0.25">
      <c r="A2272" s="14" t="s">
        <v>828</v>
      </c>
      <c r="B2272" s="14" t="s">
        <v>55</v>
      </c>
      <c r="C2272" s="15" t="s">
        <v>2442</v>
      </c>
      <c r="D2272" s="14" t="s">
        <v>1745</v>
      </c>
      <c r="E2272" s="14" t="s">
        <v>1746</v>
      </c>
      <c r="F2272" s="14">
        <v>1572354</v>
      </c>
      <c r="G2272" s="14">
        <v>1257883</v>
      </c>
      <c r="H2272" s="37">
        <f>'Calculation Sheet'!N2272</f>
        <v>1245304.17</v>
      </c>
    </row>
    <row r="2273" spans="1:8" x14ac:dyDescent="0.25">
      <c r="A2273" s="14" t="s">
        <v>828</v>
      </c>
      <c r="B2273" s="14">
        <v>2</v>
      </c>
      <c r="C2273" s="15" t="s">
        <v>834</v>
      </c>
      <c r="D2273" s="14" t="s">
        <v>1745</v>
      </c>
      <c r="E2273" s="14" t="s">
        <v>1747</v>
      </c>
      <c r="F2273" s="14">
        <v>1497480</v>
      </c>
      <c r="G2273" s="14">
        <v>1197984</v>
      </c>
      <c r="H2273" s="37">
        <f>'Calculation Sheet'!N2273</f>
        <v>1162044.48</v>
      </c>
    </row>
    <row r="2274" spans="1:8" x14ac:dyDescent="0.25">
      <c r="A2274" s="14" t="s">
        <v>828</v>
      </c>
      <c r="B2274" s="14">
        <v>4</v>
      </c>
      <c r="C2274" s="15" t="s">
        <v>836</v>
      </c>
      <c r="D2274" s="14" t="s">
        <v>1745</v>
      </c>
      <c r="E2274" s="14" t="s">
        <v>1747</v>
      </c>
      <c r="F2274" s="14">
        <v>69900</v>
      </c>
      <c r="G2274" s="14">
        <v>55920</v>
      </c>
      <c r="H2274" s="37">
        <f>'Calculation Sheet'!N2274</f>
        <v>54242.400000000001</v>
      </c>
    </row>
    <row r="2275" spans="1:8" x14ac:dyDescent="0.25">
      <c r="A2275" s="14" t="s">
        <v>828</v>
      </c>
      <c r="B2275" s="14" t="s">
        <v>16</v>
      </c>
      <c r="C2275" s="15" t="s">
        <v>2443</v>
      </c>
      <c r="D2275" s="14" t="s">
        <v>1745</v>
      </c>
      <c r="E2275" s="14" t="s">
        <v>1747</v>
      </c>
      <c r="F2275" s="14">
        <v>1497480</v>
      </c>
      <c r="G2275" s="14">
        <v>1197984</v>
      </c>
      <c r="H2275" s="37">
        <f>'Calculation Sheet'!N2275</f>
        <v>1162044.48</v>
      </c>
    </row>
    <row r="2276" spans="1:8" x14ac:dyDescent="0.25">
      <c r="A2276" s="14" t="s">
        <v>828</v>
      </c>
      <c r="B2276" s="14">
        <v>3</v>
      </c>
      <c r="C2276" s="15" t="s">
        <v>830</v>
      </c>
      <c r="D2276" s="14" t="s">
        <v>1745</v>
      </c>
      <c r="E2276" s="14" t="s">
        <v>1747</v>
      </c>
      <c r="F2276" s="14">
        <v>249600</v>
      </c>
      <c r="G2276" s="14">
        <v>199680</v>
      </c>
      <c r="H2276" s="37">
        <f>'Calculation Sheet'!N2276</f>
        <v>193689.60000000001</v>
      </c>
    </row>
    <row r="2277" spans="1:8" x14ac:dyDescent="0.25">
      <c r="A2277" s="14" t="s">
        <v>828</v>
      </c>
      <c r="B2277" s="14" t="s">
        <v>34</v>
      </c>
      <c r="C2277" s="15" t="s">
        <v>2444</v>
      </c>
      <c r="D2277" s="14" t="s">
        <v>1745</v>
      </c>
      <c r="E2277" s="14" t="s">
        <v>1747</v>
      </c>
      <c r="F2277" s="14">
        <v>249600</v>
      </c>
      <c r="G2277" s="14">
        <v>199680</v>
      </c>
      <c r="H2277" s="37">
        <f>'Calculation Sheet'!N2277</f>
        <v>193689.60000000001</v>
      </c>
    </row>
    <row r="2278" spans="1:8" x14ac:dyDescent="0.25">
      <c r="A2278" s="14" t="s">
        <v>828</v>
      </c>
      <c r="B2278" s="14">
        <v>5</v>
      </c>
      <c r="C2278" s="15" t="s">
        <v>827</v>
      </c>
      <c r="D2278" s="14" t="s">
        <v>1745</v>
      </c>
      <c r="E2278" s="14" t="s">
        <v>1746</v>
      </c>
      <c r="F2278" s="14">
        <v>419328</v>
      </c>
      <c r="G2278" s="14">
        <v>335462.40000000002</v>
      </c>
      <c r="H2278" s="37">
        <f>'Calculation Sheet'!N2278</f>
        <v>332107.77600000001</v>
      </c>
    </row>
    <row r="2279" spans="1:8" x14ac:dyDescent="0.25">
      <c r="A2279" s="14" t="s">
        <v>828</v>
      </c>
      <c r="B2279" s="14" t="s">
        <v>20</v>
      </c>
      <c r="C2279" s="15" t="s">
        <v>2445</v>
      </c>
      <c r="D2279" s="14" t="s">
        <v>1745</v>
      </c>
      <c r="E2279" s="14" t="s">
        <v>1747</v>
      </c>
      <c r="F2279" s="14">
        <v>149760</v>
      </c>
      <c r="G2279" s="14">
        <v>119808</v>
      </c>
      <c r="H2279" s="37">
        <f>'Calculation Sheet'!N2279</f>
        <v>116213.75999999999</v>
      </c>
    </row>
    <row r="2280" spans="1:8" x14ac:dyDescent="0.25">
      <c r="A2280" s="14" t="s">
        <v>828</v>
      </c>
      <c r="B2280" s="14">
        <v>1</v>
      </c>
      <c r="C2280" s="15" t="s">
        <v>832</v>
      </c>
      <c r="D2280" s="14" t="s">
        <v>1745</v>
      </c>
      <c r="E2280" s="14" t="s">
        <v>1747</v>
      </c>
      <c r="F2280" s="14">
        <v>149760</v>
      </c>
      <c r="G2280" s="14">
        <v>119808</v>
      </c>
      <c r="H2280" s="37">
        <f>'Calculation Sheet'!N2280</f>
        <v>116213.75999999999</v>
      </c>
    </row>
    <row r="2281" spans="1:8" x14ac:dyDescent="0.25">
      <c r="A2281" s="14" t="s">
        <v>828</v>
      </c>
      <c r="B2281" s="14" t="s">
        <v>55</v>
      </c>
      <c r="C2281" s="15" t="s">
        <v>2442</v>
      </c>
      <c r="D2281" s="14" t="s">
        <v>1745</v>
      </c>
      <c r="E2281" s="14" t="s">
        <v>1747</v>
      </c>
      <c r="F2281" s="14">
        <v>1497480</v>
      </c>
      <c r="G2281" s="14">
        <v>1197984</v>
      </c>
      <c r="H2281" s="37">
        <f>'Calculation Sheet'!N2281</f>
        <v>1162044.48</v>
      </c>
    </row>
    <row r="2282" spans="1:8" x14ac:dyDescent="0.25">
      <c r="A2282" s="14" t="s">
        <v>828</v>
      </c>
      <c r="B2282" s="14" t="s">
        <v>50</v>
      </c>
      <c r="C2282" s="15" t="s">
        <v>2440</v>
      </c>
      <c r="D2282" s="14" t="s">
        <v>1745</v>
      </c>
      <c r="E2282" s="14" t="s">
        <v>1746</v>
      </c>
      <c r="F2282" s="14">
        <v>157248</v>
      </c>
      <c r="G2282" s="14">
        <v>125798.39999999999</v>
      </c>
      <c r="H2282" s="37">
        <f>'Calculation Sheet'!N2282</f>
        <v>124540.416</v>
      </c>
    </row>
    <row r="2283" spans="1:8" x14ac:dyDescent="0.25">
      <c r="A2283" s="14" t="s">
        <v>828</v>
      </c>
      <c r="B2283" s="14">
        <v>3</v>
      </c>
      <c r="C2283" s="15" t="s">
        <v>830</v>
      </c>
      <c r="D2283" s="14" t="s">
        <v>1745</v>
      </c>
      <c r="E2283" s="14" t="s">
        <v>1746</v>
      </c>
      <c r="F2283" s="14">
        <v>262080</v>
      </c>
      <c r="G2283" s="14">
        <v>209664</v>
      </c>
      <c r="H2283" s="37">
        <f>'Calculation Sheet'!N2283</f>
        <v>207567.35999999999</v>
      </c>
    </row>
    <row r="2284" spans="1:8" x14ac:dyDescent="0.25">
      <c r="A2284" s="14" t="s">
        <v>828</v>
      </c>
      <c r="B2284" s="14" t="s">
        <v>16</v>
      </c>
      <c r="C2284" s="15" t="s">
        <v>2443</v>
      </c>
      <c r="D2284" s="14" t="s">
        <v>1745</v>
      </c>
      <c r="E2284" s="14" t="s">
        <v>1746</v>
      </c>
      <c r="F2284" s="14">
        <v>1572354</v>
      </c>
      <c r="G2284" s="14">
        <v>1257883</v>
      </c>
      <c r="H2284" s="37">
        <f>'Calculation Sheet'!N2284</f>
        <v>1245304.17</v>
      </c>
    </row>
    <row r="2285" spans="1:8" x14ac:dyDescent="0.25">
      <c r="A2285" s="14" t="s">
        <v>828</v>
      </c>
      <c r="B2285" s="14" t="s">
        <v>34</v>
      </c>
      <c r="C2285" s="15" t="s">
        <v>2444</v>
      </c>
      <c r="D2285" s="14" t="s">
        <v>1745</v>
      </c>
      <c r="E2285" s="14" t="s">
        <v>1746</v>
      </c>
      <c r="F2285" s="14">
        <v>262080</v>
      </c>
      <c r="G2285" s="14">
        <v>209664</v>
      </c>
      <c r="H2285" s="37">
        <f>'Calculation Sheet'!N2285</f>
        <v>207567.35999999999</v>
      </c>
    </row>
    <row r="2286" spans="1:8" x14ac:dyDescent="0.25">
      <c r="A2286" s="14" t="s">
        <v>828</v>
      </c>
      <c r="B2286" s="14">
        <v>1</v>
      </c>
      <c r="C2286" s="15" t="s">
        <v>832</v>
      </c>
      <c r="D2286" s="14" t="s">
        <v>1745</v>
      </c>
      <c r="E2286" s="14" t="s">
        <v>1746</v>
      </c>
      <c r="F2286" s="14">
        <v>157248</v>
      </c>
      <c r="G2286" s="14">
        <v>125798.39999999999</v>
      </c>
      <c r="H2286" s="37">
        <f>'Calculation Sheet'!N2286</f>
        <v>124540.416</v>
      </c>
    </row>
    <row r="2287" spans="1:8" x14ac:dyDescent="0.25">
      <c r="A2287" s="14" t="s">
        <v>828</v>
      </c>
      <c r="B2287" s="14" t="s">
        <v>73</v>
      </c>
      <c r="C2287" s="15" t="s">
        <v>2446</v>
      </c>
      <c r="D2287" s="14" t="s">
        <v>1745</v>
      </c>
      <c r="E2287" s="14" t="s">
        <v>1747</v>
      </c>
      <c r="F2287" s="14">
        <v>399360</v>
      </c>
      <c r="G2287" s="14">
        <v>319488</v>
      </c>
      <c r="H2287" s="37">
        <f>'Calculation Sheet'!N2287</f>
        <v>309903.35999999999</v>
      </c>
    </row>
    <row r="2288" spans="1:8" x14ac:dyDescent="0.25">
      <c r="A2288" s="14" t="s">
        <v>828</v>
      </c>
      <c r="B2288" s="14" t="s">
        <v>73</v>
      </c>
      <c r="C2288" s="15" t="s">
        <v>2446</v>
      </c>
      <c r="D2288" s="14" t="s">
        <v>1745</v>
      </c>
      <c r="E2288" s="14" t="s">
        <v>1746</v>
      </c>
      <c r="F2288" s="14">
        <v>419328</v>
      </c>
      <c r="G2288" s="14">
        <v>335462.40000000002</v>
      </c>
      <c r="H2288" s="37">
        <f>'Calculation Sheet'!N2288</f>
        <v>332107.77600000001</v>
      </c>
    </row>
    <row r="2289" spans="1:8" x14ac:dyDescent="0.25">
      <c r="A2289" s="14" t="s">
        <v>828</v>
      </c>
      <c r="B2289" s="14">
        <v>9</v>
      </c>
      <c r="C2289" s="15" t="s">
        <v>2447</v>
      </c>
      <c r="D2289" s="14" t="s">
        <v>1745</v>
      </c>
      <c r="E2289" s="14" t="s">
        <v>1747</v>
      </c>
      <c r="F2289" s="14">
        <v>69900</v>
      </c>
      <c r="G2289" s="14">
        <v>55920</v>
      </c>
      <c r="H2289" s="37">
        <f>'Calculation Sheet'!N2289</f>
        <v>54242.400000000001</v>
      </c>
    </row>
    <row r="2290" spans="1:8" x14ac:dyDescent="0.25">
      <c r="A2290" s="14" t="s">
        <v>828</v>
      </c>
      <c r="B2290" s="14" t="s">
        <v>20</v>
      </c>
      <c r="C2290" s="15" t="s">
        <v>2445</v>
      </c>
      <c r="D2290" s="14" t="s">
        <v>1745</v>
      </c>
      <c r="E2290" s="14" t="s">
        <v>1746</v>
      </c>
      <c r="F2290" s="14">
        <v>157248</v>
      </c>
      <c r="G2290" s="14">
        <v>125798.39999999999</v>
      </c>
      <c r="H2290" s="37">
        <f>'Calculation Sheet'!N2290</f>
        <v>124540.416</v>
      </c>
    </row>
    <row r="2291" spans="1:8" x14ac:dyDescent="0.25">
      <c r="A2291" s="14" t="s">
        <v>828</v>
      </c>
      <c r="B2291" s="14">
        <v>8</v>
      </c>
      <c r="C2291" s="15" t="s">
        <v>2441</v>
      </c>
      <c r="D2291" s="14" t="s">
        <v>1745</v>
      </c>
      <c r="E2291" s="14" t="s">
        <v>1747</v>
      </c>
      <c r="F2291" s="14">
        <v>249600</v>
      </c>
      <c r="G2291" s="14">
        <v>199680</v>
      </c>
      <c r="H2291" s="37">
        <f>'Calculation Sheet'!N2291</f>
        <v>193689.60000000001</v>
      </c>
    </row>
    <row r="2292" spans="1:8" x14ac:dyDescent="0.25">
      <c r="A2292" s="14" t="s">
        <v>828</v>
      </c>
      <c r="B2292" s="14">
        <v>2</v>
      </c>
      <c r="C2292" s="15" t="s">
        <v>834</v>
      </c>
      <c r="D2292" s="14" t="s">
        <v>1745</v>
      </c>
      <c r="E2292" s="14" t="s">
        <v>1746</v>
      </c>
      <c r="F2292" s="14">
        <v>1572354</v>
      </c>
      <c r="G2292" s="14">
        <v>1257883</v>
      </c>
      <c r="H2292" s="37">
        <f>'Calculation Sheet'!N2292</f>
        <v>1245304.17</v>
      </c>
    </row>
    <row r="2293" spans="1:8" x14ac:dyDescent="0.25">
      <c r="A2293" s="14" t="s">
        <v>828</v>
      </c>
      <c r="B2293" s="14" t="s">
        <v>89</v>
      </c>
      <c r="C2293" s="15" t="s">
        <v>2448</v>
      </c>
      <c r="D2293" s="14" t="s">
        <v>1745</v>
      </c>
      <c r="E2293" s="14" t="s">
        <v>1746</v>
      </c>
      <c r="F2293" s="14">
        <v>73395</v>
      </c>
      <c r="G2293" s="14">
        <v>58716</v>
      </c>
      <c r="H2293" s="37">
        <f>'Calculation Sheet'!N2293</f>
        <v>58128.84</v>
      </c>
    </row>
    <row r="2294" spans="1:8" x14ac:dyDescent="0.25">
      <c r="A2294" s="14" t="s">
        <v>828</v>
      </c>
      <c r="B2294" s="14" t="s">
        <v>24</v>
      </c>
      <c r="C2294" s="15" t="s">
        <v>2449</v>
      </c>
      <c r="D2294" s="14" t="s">
        <v>1745</v>
      </c>
      <c r="E2294" s="14" t="s">
        <v>1747</v>
      </c>
      <c r="F2294" s="14">
        <v>399360</v>
      </c>
      <c r="G2294" s="14">
        <v>319488</v>
      </c>
      <c r="H2294" s="37">
        <f>'Calculation Sheet'!N2294</f>
        <v>309903.35999999999</v>
      </c>
    </row>
    <row r="2295" spans="1:8" x14ac:dyDescent="0.25">
      <c r="A2295" s="14" t="s">
        <v>828</v>
      </c>
      <c r="B2295" s="14" t="s">
        <v>24</v>
      </c>
      <c r="C2295" s="15" t="s">
        <v>2449</v>
      </c>
      <c r="D2295" s="14" t="s">
        <v>1745</v>
      </c>
      <c r="E2295" s="14" t="s">
        <v>1746</v>
      </c>
      <c r="F2295" s="14">
        <v>419328</v>
      </c>
      <c r="G2295" s="14">
        <v>335462.40000000002</v>
      </c>
      <c r="H2295" s="37">
        <f>'Calculation Sheet'!N2295</f>
        <v>332107.77600000001</v>
      </c>
    </row>
    <row r="2296" spans="1:8" x14ac:dyDescent="0.25">
      <c r="A2296" s="14" t="s">
        <v>828</v>
      </c>
      <c r="B2296" s="14">
        <v>5</v>
      </c>
      <c r="C2296" s="15" t="s">
        <v>827</v>
      </c>
      <c r="D2296" s="14" t="s">
        <v>1745</v>
      </c>
      <c r="E2296" s="14" t="s">
        <v>1747</v>
      </c>
      <c r="F2296" s="14">
        <v>399360</v>
      </c>
      <c r="G2296" s="14">
        <v>319488</v>
      </c>
      <c r="H2296" s="37">
        <f>'Calculation Sheet'!N2296</f>
        <v>309903.35999999999</v>
      </c>
    </row>
    <row r="2297" spans="1:8" x14ac:dyDescent="0.25">
      <c r="A2297" s="14" t="s">
        <v>828</v>
      </c>
      <c r="B2297" s="14">
        <v>9</v>
      </c>
      <c r="C2297" s="15" t="s">
        <v>2447</v>
      </c>
      <c r="D2297" s="14" t="s">
        <v>1745</v>
      </c>
      <c r="E2297" s="14" t="s">
        <v>1746</v>
      </c>
      <c r="F2297" s="14">
        <v>73395</v>
      </c>
      <c r="G2297" s="14">
        <v>58716</v>
      </c>
      <c r="H2297" s="37">
        <f>'Calculation Sheet'!N2297</f>
        <v>58128.84</v>
      </c>
    </row>
    <row r="2298" spans="1:8" x14ac:dyDescent="0.25">
      <c r="A2298" s="14" t="s">
        <v>828</v>
      </c>
      <c r="B2298" s="14">
        <v>4</v>
      </c>
      <c r="C2298" s="15" t="s">
        <v>836</v>
      </c>
      <c r="D2298" s="14" t="s">
        <v>1745</v>
      </c>
      <c r="E2298" s="14" t="s">
        <v>1746</v>
      </c>
      <c r="F2298" s="14">
        <v>73395</v>
      </c>
      <c r="G2298" s="14">
        <v>58716</v>
      </c>
      <c r="H2298" s="37">
        <f>'Calculation Sheet'!N2298</f>
        <v>58128.84</v>
      </c>
    </row>
    <row r="2299" spans="1:8" x14ac:dyDescent="0.25">
      <c r="A2299" s="14" t="s">
        <v>828</v>
      </c>
      <c r="B2299" s="14" t="s">
        <v>89</v>
      </c>
      <c r="C2299" s="15" t="s">
        <v>2448</v>
      </c>
      <c r="D2299" s="14" t="s">
        <v>1745</v>
      </c>
      <c r="E2299" s="14" t="s">
        <v>1747</v>
      </c>
      <c r="F2299" s="14">
        <v>69900</v>
      </c>
      <c r="G2299" s="14">
        <v>55920</v>
      </c>
      <c r="H2299" s="37">
        <f>'Calculation Sheet'!N2299</f>
        <v>54242.400000000001</v>
      </c>
    </row>
    <row r="2300" spans="1:8" x14ac:dyDescent="0.25">
      <c r="A2300" s="14" t="s">
        <v>2450</v>
      </c>
      <c r="B2300" s="14" t="s">
        <v>243</v>
      </c>
      <c r="C2300" s="15" t="s">
        <v>2451</v>
      </c>
      <c r="D2300" s="14" t="s">
        <v>1745</v>
      </c>
      <c r="E2300" s="14" t="s">
        <v>1746</v>
      </c>
      <c r="F2300" s="14">
        <v>1449</v>
      </c>
      <c r="G2300" s="14">
        <v>1159.2</v>
      </c>
      <c r="H2300" s="37">
        <f>'Calculation Sheet'!N2300</f>
        <v>1159.2</v>
      </c>
    </row>
    <row r="2301" spans="1:8" x14ac:dyDescent="0.25">
      <c r="A2301" s="14" t="s">
        <v>2450</v>
      </c>
      <c r="B2301" s="14" t="s">
        <v>118</v>
      </c>
      <c r="C2301" s="15" t="s">
        <v>2452</v>
      </c>
      <c r="D2301" s="14" t="s">
        <v>1745</v>
      </c>
      <c r="E2301" s="14" t="s">
        <v>1747</v>
      </c>
      <c r="F2301" s="14">
        <v>698.4</v>
      </c>
      <c r="G2301" s="14">
        <v>558.72</v>
      </c>
      <c r="H2301" s="37">
        <f>'Calculation Sheet'!N2301</f>
        <v>558.72</v>
      </c>
    </row>
    <row r="2302" spans="1:8" x14ac:dyDescent="0.25">
      <c r="A2302" s="14" t="s">
        <v>2450</v>
      </c>
      <c r="B2302" s="14" t="s">
        <v>650</v>
      </c>
      <c r="C2302" s="15" t="s">
        <v>2453</v>
      </c>
      <c r="D2302" s="14" t="s">
        <v>1745</v>
      </c>
      <c r="E2302" s="14" t="s">
        <v>1746</v>
      </c>
      <c r="F2302" s="14">
        <v>839.16</v>
      </c>
      <c r="G2302" s="14">
        <v>755.28</v>
      </c>
      <c r="H2302" s="37">
        <f>'Calculation Sheet'!N2302</f>
        <v>755.28</v>
      </c>
    </row>
    <row r="2303" spans="1:8" ht="30" x14ac:dyDescent="0.25">
      <c r="A2303" s="14" t="s">
        <v>2450</v>
      </c>
      <c r="B2303" s="14" t="s">
        <v>583</v>
      </c>
      <c r="C2303" s="15" t="s">
        <v>2454</v>
      </c>
      <c r="D2303" s="14" t="s">
        <v>1749</v>
      </c>
      <c r="E2303" s="14" t="s">
        <v>1746</v>
      </c>
      <c r="F2303" s="14">
        <v>0</v>
      </c>
      <c r="G2303" s="14">
        <v>0</v>
      </c>
      <c r="H2303" s="37">
        <f>'Calculation Sheet'!N2303</f>
        <v>0</v>
      </c>
    </row>
    <row r="2304" spans="1:8" x14ac:dyDescent="0.25">
      <c r="A2304" s="14" t="s">
        <v>2450</v>
      </c>
      <c r="B2304" s="14" t="s">
        <v>243</v>
      </c>
      <c r="C2304" s="15" t="s">
        <v>2451</v>
      </c>
      <c r="D2304" s="14" t="s">
        <v>1749</v>
      </c>
      <c r="E2304" s="14" t="s">
        <v>1746</v>
      </c>
      <c r="F2304" s="14">
        <v>138</v>
      </c>
      <c r="G2304" s="14">
        <v>110.4</v>
      </c>
      <c r="H2304" s="37">
        <f>'Calculation Sheet'!N2304</f>
        <v>110.4</v>
      </c>
    </row>
    <row r="2305" spans="1:8" x14ac:dyDescent="0.25">
      <c r="A2305" s="14" t="s">
        <v>2450</v>
      </c>
      <c r="B2305" s="14" t="s">
        <v>118</v>
      </c>
      <c r="C2305" s="15" t="s">
        <v>2452</v>
      </c>
      <c r="D2305" s="14" t="s">
        <v>1745</v>
      </c>
      <c r="E2305" s="14" t="s">
        <v>1746</v>
      </c>
      <c r="F2305" s="14">
        <v>733.32</v>
      </c>
      <c r="G2305" s="14">
        <v>586.67999999999995</v>
      </c>
      <c r="H2305" s="37">
        <f>'Calculation Sheet'!N2305</f>
        <v>586.67999999999995</v>
      </c>
    </row>
    <row r="2306" spans="1:8" x14ac:dyDescent="0.25">
      <c r="A2306" s="14" t="s">
        <v>2450</v>
      </c>
      <c r="B2306" s="14" t="s">
        <v>29</v>
      </c>
      <c r="C2306" s="15" t="s">
        <v>2455</v>
      </c>
      <c r="D2306" s="14" t="s">
        <v>1745</v>
      </c>
      <c r="E2306" s="14" t="s">
        <v>1747</v>
      </c>
      <c r="F2306" s="14">
        <v>1320</v>
      </c>
      <c r="G2306" s="14">
        <v>1056</v>
      </c>
      <c r="H2306" s="37">
        <f>'Calculation Sheet'!N2306</f>
        <v>1056</v>
      </c>
    </row>
    <row r="2307" spans="1:8" x14ac:dyDescent="0.25">
      <c r="A2307" s="14" t="s">
        <v>2450</v>
      </c>
      <c r="B2307" s="14" t="s">
        <v>650</v>
      </c>
      <c r="C2307" s="15" t="s">
        <v>2453</v>
      </c>
      <c r="D2307" s="14" t="s">
        <v>1745</v>
      </c>
      <c r="E2307" s="14" t="s">
        <v>1747</v>
      </c>
      <c r="F2307" s="14">
        <v>799.2</v>
      </c>
      <c r="G2307" s="14">
        <v>719.28</v>
      </c>
      <c r="H2307" s="37">
        <f>'Calculation Sheet'!N2307</f>
        <v>719.28</v>
      </c>
    </row>
    <row r="2308" spans="1:8" x14ac:dyDescent="0.25">
      <c r="A2308" s="14" t="s">
        <v>2450</v>
      </c>
      <c r="B2308" s="14">
        <v>1</v>
      </c>
      <c r="C2308" s="15" t="s">
        <v>2456</v>
      </c>
      <c r="D2308" s="14" t="s">
        <v>1749</v>
      </c>
      <c r="E2308" s="14" t="s">
        <v>1746</v>
      </c>
      <c r="F2308" s="14">
        <v>198</v>
      </c>
      <c r="G2308" s="14">
        <v>158.4</v>
      </c>
      <c r="H2308" s="37">
        <f>'Calculation Sheet'!N2308</f>
        <v>158.4</v>
      </c>
    </row>
    <row r="2309" spans="1:8" x14ac:dyDescent="0.25">
      <c r="A2309" s="14" t="s">
        <v>2450</v>
      </c>
      <c r="B2309" s="14" t="s">
        <v>650</v>
      </c>
      <c r="C2309" s="15" t="s">
        <v>2453</v>
      </c>
      <c r="D2309" s="14" t="s">
        <v>1749</v>
      </c>
      <c r="E2309" s="14" t="s">
        <v>1746</v>
      </c>
      <c r="F2309" s="14">
        <v>79.92</v>
      </c>
      <c r="G2309" s="14">
        <v>71.930000000000007</v>
      </c>
      <c r="H2309" s="37">
        <f>'Calculation Sheet'!N2309</f>
        <v>71.930000000000007</v>
      </c>
    </row>
    <row r="2310" spans="1:8" x14ac:dyDescent="0.25">
      <c r="A2310" s="14" t="s">
        <v>2450</v>
      </c>
      <c r="B2310" s="14" t="s">
        <v>243</v>
      </c>
      <c r="C2310" s="15" t="s">
        <v>2451</v>
      </c>
      <c r="D2310" s="14" t="s">
        <v>1745</v>
      </c>
      <c r="E2310" s="14" t="s">
        <v>1747</v>
      </c>
      <c r="F2310" s="14">
        <v>1380</v>
      </c>
      <c r="G2310" s="14">
        <v>1104</v>
      </c>
      <c r="H2310" s="37">
        <f>'Calculation Sheet'!N2310</f>
        <v>1104</v>
      </c>
    </row>
    <row r="2311" spans="1:8" x14ac:dyDescent="0.25">
      <c r="A2311" s="14" t="s">
        <v>2450</v>
      </c>
      <c r="B2311" s="14" t="s">
        <v>29</v>
      </c>
      <c r="C2311" s="15" t="s">
        <v>2455</v>
      </c>
      <c r="D2311" s="14" t="s">
        <v>1749</v>
      </c>
      <c r="E2311" s="14" t="s">
        <v>1746</v>
      </c>
      <c r="F2311" s="14">
        <v>132</v>
      </c>
      <c r="G2311" s="14">
        <v>105.6</v>
      </c>
      <c r="H2311" s="37">
        <f>'Calculation Sheet'!N2311</f>
        <v>105.6</v>
      </c>
    </row>
    <row r="2312" spans="1:8" ht="30" x14ac:dyDescent="0.25">
      <c r="A2312" s="14" t="s">
        <v>2450</v>
      </c>
      <c r="B2312" s="14" t="s">
        <v>583</v>
      </c>
      <c r="C2312" s="15" t="s">
        <v>2454</v>
      </c>
      <c r="D2312" s="14" t="s">
        <v>1745</v>
      </c>
      <c r="E2312" s="14" t="s">
        <v>1746</v>
      </c>
      <c r="F2312" s="14">
        <v>0</v>
      </c>
      <c r="G2312" s="14">
        <v>0</v>
      </c>
      <c r="H2312" s="37">
        <f>'Calculation Sheet'!N2312</f>
        <v>0</v>
      </c>
    </row>
    <row r="2313" spans="1:8" x14ac:dyDescent="0.25">
      <c r="A2313" s="14" t="s">
        <v>2450</v>
      </c>
      <c r="B2313" s="14" t="s">
        <v>29</v>
      </c>
      <c r="C2313" s="15" t="s">
        <v>2455</v>
      </c>
      <c r="D2313" s="14" t="s">
        <v>1745</v>
      </c>
      <c r="E2313" s="14" t="s">
        <v>1746</v>
      </c>
      <c r="F2313" s="14">
        <v>1386</v>
      </c>
      <c r="G2313" s="14">
        <v>1108.8</v>
      </c>
      <c r="H2313" s="37">
        <f>'Calculation Sheet'!N2313</f>
        <v>1108.8</v>
      </c>
    </row>
    <row r="2314" spans="1:8" x14ac:dyDescent="0.25">
      <c r="A2314" s="14" t="s">
        <v>2450</v>
      </c>
      <c r="B2314" s="14" t="s">
        <v>118</v>
      </c>
      <c r="C2314" s="15" t="s">
        <v>2452</v>
      </c>
      <c r="D2314" s="14" t="s">
        <v>1749</v>
      </c>
      <c r="E2314" s="14" t="s">
        <v>1746</v>
      </c>
      <c r="F2314" s="14">
        <v>69.84</v>
      </c>
      <c r="G2314" s="14">
        <v>55.87</v>
      </c>
      <c r="H2314" s="37">
        <f>'Calculation Sheet'!N2314</f>
        <v>55.87</v>
      </c>
    </row>
    <row r="2315" spans="1:8" ht="30" x14ac:dyDescent="0.25">
      <c r="A2315" s="14" t="s">
        <v>2450</v>
      </c>
      <c r="B2315" s="14" t="s">
        <v>583</v>
      </c>
      <c r="C2315" s="15" t="s">
        <v>2454</v>
      </c>
      <c r="D2315" s="14" t="s">
        <v>1745</v>
      </c>
      <c r="E2315" s="14" t="s">
        <v>1747</v>
      </c>
      <c r="F2315" s="14">
        <v>0</v>
      </c>
      <c r="G2315" s="14">
        <v>0</v>
      </c>
      <c r="H2315" s="37">
        <f>'Calculation Sheet'!N2315</f>
        <v>0</v>
      </c>
    </row>
    <row r="2316" spans="1:8" x14ac:dyDescent="0.25">
      <c r="A2316" s="14" t="s">
        <v>2450</v>
      </c>
      <c r="B2316" s="14">
        <v>1</v>
      </c>
      <c r="C2316" s="15" t="s">
        <v>2456</v>
      </c>
      <c r="D2316" s="14" t="s">
        <v>1745</v>
      </c>
      <c r="E2316" s="14" t="s">
        <v>1747</v>
      </c>
      <c r="F2316" s="14">
        <v>1980</v>
      </c>
      <c r="G2316" s="14">
        <v>1584</v>
      </c>
      <c r="H2316" s="37">
        <f>'Calculation Sheet'!N2316</f>
        <v>1584</v>
      </c>
    </row>
    <row r="2317" spans="1:8" x14ac:dyDescent="0.25">
      <c r="A2317" s="14" t="s">
        <v>2450</v>
      </c>
      <c r="B2317" s="14">
        <v>1</v>
      </c>
      <c r="C2317" s="15" t="s">
        <v>2456</v>
      </c>
      <c r="D2317" s="14" t="s">
        <v>1745</v>
      </c>
      <c r="E2317" s="14" t="s">
        <v>1746</v>
      </c>
      <c r="F2317" s="14">
        <v>2079</v>
      </c>
      <c r="G2317" s="14">
        <v>1663.2</v>
      </c>
      <c r="H2317" s="37">
        <f>'Calculation Sheet'!N2317</f>
        <v>1663.2</v>
      </c>
    </row>
    <row r="2318" spans="1:8" x14ac:dyDescent="0.25">
      <c r="A2318" s="14" t="s">
        <v>2457</v>
      </c>
      <c r="B2318" s="14">
        <v>1</v>
      </c>
      <c r="C2318" s="15" t="s">
        <v>2458</v>
      </c>
      <c r="D2318" s="14" t="s">
        <v>1749</v>
      </c>
      <c r="E2318" s="14" t="s">
        <v>1746</v>
      </c>
      <c r="F2318" s="14">
        <v>498</v>
      </c>
      <c r="G2318" s="14">
        <v>398.4</v>
      </c>
      <c r="H2318" s="37">
        <f>'Calculation Sheet'!N2318</f>
        <v>398.4</v>
      </c>
    </row>
    <row r="2319" spans="1:8" x14ac:dyDescent="0.25">
      <c r="A2319" s="14" t="s">
        <v>2457</v>
      </c>
      <c r="B2319" s="14" t="s">
        <v>122</v>
      </c>
      <c r="C2319" s="15" t="s">
        <v>2459</v>
      </c>
      <c r="D2319" s="14" t="s">
        <v>1749</v>
      </c>
      <c r="E2319" s="14" t="s">
        <v>1746</v>
      </c>
      <c r="F2319" s="14">
        <v>150</v>
      </c>
      <c r="G2319" s="14">
        <v>120</v>
      </c>
      <c r="H2319" s="37">
        <f>'Calculation Sheet'!N2319</f>
        <v>120</v>
      </c>
    </row>
    <row r="2320" spans="1:8" x14ac:dyDescent="0.25">
      <c r="A2320" s="14" t="s">
        <v>2457</v>
      </c>
      <c r="B2320" s="14" t="s">
        <v>39</v>
      </c>
      <c r="C2320" s="15" t="s">
        <v>2460</v>
      </c>
      <c r="D2320" s="14" t="s">
        <v>1749</v>
      </c>
      <c r="E2320" s="14" t="s">
        <v>1746</v>
      </c>
      <c r="F2320" s="14">
        <v>342</v>
      </c>
      <c r="G2320" s="14">
        <v>273.60000000000002</v>
      </c>
      <c r="H2320" s="37">
        <f>'Calculation Sheet'!N2320</f>
        <v>273.60000000000002</v>
      </c>
    </row>
    <row r="2321" spans="1:8" x14ac:dyDescent="0.25">
      <c r="A2321" s="14" t="s">
        <v>2457</v>
      </c>
      <c r="B2321" s="14" t="s">
        <v>363</v>
      </c>
      <c r="C2321" s="15" t="s">
        <v>2461</v>
      </c>
      <c r="D2321" s="14" t="s">
        <v>1745</v>
      </c>
      <c r="E2321" s="14" t="s">
        <v>1746</v>
      </c>
      <c r="F2321" s="14">
        <v>3150</v>
      </c>
      <c r="G2321" s="14">
        <v>2520</v>
      </c>
      <c r="H2321" s="37">
        <f>'Calculation Sheet'!N2321</f>
        <v>2520</v>
      </c>
    </row>
    <row r="2322" spans="1:8" x14ac:dyDescent="0.25">
      <c r="A2322" s="14" t="s">
        <v>2457</v>
      </c>
      <c r="B2322" s="14" t="s">
        <v>363</v>
      </c>
      <c r="C2322" s="15" t="s">
        <v>2461</v>
      </c>
      <c r="D2322" s="14" t="s">
        <v>1752</v>
      </c>
      <c r="E2322" s="14" t="s">
        <v>1753</v>
      </c>
      <c r="F2322" s="14">
        <v>9000</v>
      </c>
      <c r="G2322" s="14">
        <v>7200</v>
      </c>
      <c r="H2322" s="37">
        <f>'Calculation Sheet'!N2322</f>
        <v>7200</v>
      </c>
    </row>
    <row r="2323" spans="1:8" x14ac:dyDescent="0.25">
      <c r="A2323" s="14" t="s">
        <v>2457</v>
      </c>
      <c r="B2323" s="14" t="s">
        <v>46</v>
      </c>
      <c r="C2323" s="15" t="s">
        <v>2462</v>
      </c>
      <c r="D2323" s="14" t="s">
        <v>1745</v>
      </c>
      <c r="E2323" s="14" t="s">
        <v>1746</v>
      </c>
      <c r="F2323" s="14">
        <v>2079</v>
      </c>
      <c r="G2323" s="14">
        <v>1871.16</v>
      </c>
      <c r="H2323" s="37">
        <f>'Calculation Sheet'!N2323</f>
        <v>1871.16</v>
      </c>
    </row>
    <row r="2324" spans="1:8" x14ac:dyDescent="0.25">
      <c r="A2324" s="14" t="s">
        <v>2457</v>
      </c>
      <c r="B2324" s="14" t="s">
        <v>29</v>
      </c>
      <c r="C2324" s="15" t="s">
        <v>2463</v>
      </c>
      <c r="D2324" s="14" t="s">
        <v>1749</v>
      </c>
      <c r="E2324" s="14" t="s">
        <v>1746</v>
      </c>
      <c r="F2324" s="14">
        <v>222</v>
      </c>
      <c r="G2324" s="14">
        <v>177.6</v>
      </c>
      <c r="H2324" s="37">
        <f>'Calculation Sheet'!N2324</f>
        <v>177.6</v>
      </c>
    </row>
    <row r="2325" spans="1:8" x14ac:dyDescent="0.25">
      <c r="A2325" s="14" t="s">
        <v>2457</v>
      </c>
      <c r="B2325" s="14" t="s">
        <v>46</v>
      </c>
      <c r="C2325" s="15" t="s">
        <v>2462</v>
      </c>
      <c r="D2325" s="14" t="s">
        <v>1749</v>
      </c>
      <c r="E2325" s="14" t="s">
        <v>1746</v>
      </c>
      <c r="F2325" s="14">
        <v>198</v>
      </c>
      <c r="G2325" s="14">
        <v>178.2</v>
      </c>
      <c r="H2325" s="37">
        <f>'Calculation Sheet'!N2325</f>
        <v>178.2</v>
      </c>
    </row>
    <row r="2326" spans="1:8" x14ac:dyDescent="0.25">
      <c r="A2326" s="14" t="s">
        <v>2457</v>
      </c>
      <c r="B2326" s="14">
        <v>1</v>
      </c>
      <c r="C2326" s="15" t="s">
        <v>2458</v>
      </c>
      <c r="D2326" s="14" t="s">
        <v>1745</v>
      </c>
      <c r="E2326" s="14" t="s">
        <v>1747</v>
      </c>
      <c r="F2326" s="14">
        <v>4980</v>
      </c>
      <c r="G2326" s="14">
        <v>3984</v>
      </c>
      <c r="H2326" s="37">
        <f>'Calculation Sheet'!N2326</f>
        <v>3984</v>
      </c>
    </row>
    <row r="2327" spans="1:8" x14ac:dyDescent="0.25">
      <c r="A2327" s="14" t="s">
        <v>2457</v>
      </c>
      <c r="B2327" s="14" t="s">
        <v>29</v>
      </c>
      <c r="C2327" s="15" t="s">
        <v>2463</v>
      </c>
      <c r="D2327" s="14" t="s">
        <v>1745</v>
      </c>
      <c r="E2327" s="14" t="s">
        <v>1746</v>
      </c>
      <c r="F2327" s="14">
        <v>2331</v>
      </c>
      <c r="G2327" s="14">
        <v>1864.8</v>
      </c>
      <c r="H2327" s="37">
        <f>'Calculation Sheet'!N2327</f>
        <v>1864.8</v>
      </c>
    </row>
    <row r="2328" spans="1:8" x14ac:dyDescent="0.25">
      <c r="A2328" s="14" t="s">
        <v>2457</v>
      </c>
      <c r="B2328" s="14" t="s">
        <v>29</v>
      </c>
      <c r="C2328" s="15" t="s">
        <v>2463</v>
      </c>
      <c r="D2328" s="14" t="s">
        <v>1745</v>
      </c>
      <c r="E2328" s="14" t="s">
        <v>1747</v>
      </c>
      <c r="F2328" s="14">
        <v>2220</v>
      </c>
      <c r="G2328" s="14">
        <v>1776</v>
      </c>
      <c r="H2328" s="37">
        <f>'Calculation Sheet'!N2328</f>
        <v>1776</v>
      </c>
    </row>
    <row r="2329" spans="1:8" x14ac:dyDescent="0.25">
      <c r="A2329" s="14" t="s">
        <v>2457</v>
      </c>
      <c r="B2329" s="14" t="s">
        <v>122</v>
      </c>
      <c r="C2329" s="15" t="s">
        <v>2459</v>
      </c>
      <c r="D2329" s="14" t="s">
        <v>1745</v>
      </c>
      <c r="E2329" s="14" t="s">
        <v>1747</v>
      </c>
      <c r="F2329" s="14">
        <v>1500</v>
      </c>
      <c r="G2329" s="14">
        <v>1200</v>
      </c>
      <c r="H2329" s="37">
        <f>'Calculation Sheet'!N2329</f>
        <v>1200</v>
      </c>
    </row>
    <row r="2330" spans="1:8" x14ac:dyDescent="0.25">
      <c r="A2330" s="14" t="s">
        <v>2457</v>
      </c>
      <c r="B2330" s="14" t="s">
        <v>363</v>
      </c>
      <c r="C2330" s="15" t="s">
        <v>2461</v>
      </c>
      <c r="D2330" s="14" t="s">
        <v>1749</v>
      </c>
      <c r="E2330" s="14" t="s">
        <v>1746</v>
      </c>
      <c r="F2330" s="14">
        <v>300</v>
      </c>
      <c r="G2330" s="14">
        <v>240</v>
      </c>
      <c r="H2330" s="37">
        <f>'Calculation Sheet'!N2330</f>
        <v>240</v>
      </c>
    </row>
    <row r="2331" spans="1:8" x14ac:dyDescent="0.25">
      <c r="A2331" s="14" t="s">
        <v>2457</v>
      </c>
      <c r="B2331" s="14" t="s">
        <v>39</v>
      </c>
      <c r="C2331" s="15" t="s">
        <v>2460</v>
      </c>
      <c r="D2331" s="14" t="s">
        <v>1745</v>
      </c>
      <c r="E2331" s="14" t="s">
        <v>1747</v>
      </c>
      <c r="F2331" s="14">
        <v>3420</v>
      </c>
      <c r="G2331" s="14">
        <v>2736</v>
      </c>
      <c r="H2331" s="37">
        <f>'Calculation Sheet'!N2331</f>
        <v>2736</v>
      </c>
    </row>
    <row r="2332" spans="1:8" x14ac:dyDescent="0.25">
      <c r="A2332" s="14" t="s">
        <v>2457</v>
      </c>
      <c r="B2332" s="14" t="s">
        <v>39</v>
      </c>
      <c r="C2332" s="15" t="s">
        <v>2460</v>
      </c>
      <c r="D2332" s="14" t="s">
        <v>1745</v>
      </c>
      <c r="E2332" s="14" t="s">
        <v>1746</v>
      </c>
      <c r="F2332" s="14">
        <v>3591</v>
      </c>
      <c r="G2332" s="14">
        <v>2872.8</v>
      </c>
      <c r="H2332" s="37">
        <f>'Calculation Sheet'!N2332</f>
        <v>2872.8</v>
      </c>
    </row>
    <row r="2333" spans="1:8" x14ac:dyDescent="0.25">
      <c r="A2333" s="14" t="s">
        <v>2457</v>
      </c>
      <c r="B2333" s="14">
        <v>1</v>
      </c>
      <c r="C2333" s="15" t="s">
        <v>2458</v>
      </c>
      <c r="D2333" s="14" t="s">
        <v>1745</v>
      </c>
      <c r="E2333" s="14" t="s">
        <v>1746</v>
      </c>
      <c r="F2333" s="14">
        <v>5229</v>
      </c>
      <c r="G2333" s="14">
        <v>4183.2</v>
      </c>
      <c r="H2333" s="37">
        <f>'Calculation Sheet'!N2333</f>
        <v>4183.2</v>
      </c>
    </row>
    <row r="2334" spans="1:8" x14ac:dyDescent="0.25">
      <c r="A2334" s="14" t="s">
        <v>2457</v>
      </c>
      <c r="B2334" s="14" t="s">
        <v>363</v>
      </c>
      <c r="C2334" s="15" t="s">
        <v>2461</v>
      </c>
      <c r="D2334" s="14" t="s">
        <v>1745</v>
      </c>
      <c r="E2334" s="14" t="s">
        <v>1747</v>
      </c>
      <c r="F2334" s="14">
        <v>3000</v>
      </c>
      <c r="G2334" s="14">
        <v>2400</v>
      </c>
      <c r="H2334" s="37">
        <f>'Calculation Sheet'!N2334</f>
        <v>2400</v>
      </c>
    </row>
    <row r="2335" spans="1:8" x14ac:dyDescent="0.25">
      <c r="A2335" s="14" t="s">
        <v>2457</v>
      </c>
      <c r="B2335" s="14" t="s">
        <v>363</v>
      </c>
      <c r="C2335" s="15" t="s">
        <v>2461</v>
      </c>
      <c r="D2335" s="14" t="s">
        <v>1752</v>
      </c>
      <c r="E2335" s="14" t="s">
        <v>1747</v>
      </c>
      <c r="F2335" s="14">
        <v>9000</v>
      </c>
      <c r="G2335" s="14">
        <v>7200</v>
      </c>
      <c r="H2335" s="37">
        <f>'Calculation Sheet'!N2335</f>
        <v>7200</v>
      </c>
    </row>
    <row r="2336" spans="1:8" x14ac:dyDescent="0.25">
      <c r="A2336" s="14" t="s">
        <v>2457</v>
      </c>
      <c r="B2336" s="14" t="s">
        <v>122</v>
      </c>
      <c r="C2336" s="15" t="s">
        <v>2459</v>
      </c>
      <c r="D2336" s="14" t="s">
        <v>1745</v>
      </c>
      <c r="E2336" s="14" t="s">
        <v>1746</v>
      </c>
      <c r="F2336" s="14">
        <v>1575</v>
      </c>
      <c r="G2336" s="14">
        <v>1260</v>
      </c>
      <c r="H2336" s="37">
        <f>'Calculation Sheet'!N2336</f>
        <v>1260</v>
      </c>
    </row>
    <row r="2337" spans="1:8" x14ac:dyDescent="0.25">
      <c r="A2337" s="14" t="s">
        <v>2457</v>
      </c>
      <c r="B2337" s="14" t="s">
        <v>46</v>
      </c>
      <c r="C2337" s="15" t="s">
        <v>2462</v>
      </c>
      <c r="D2337" s="14" t="s">
        <v>1745</v>
      </c>
      <c r="E2337" s="14" t="s">
        <v>1747</v>
      </c>
      <c r="F2337" s="14">
        <v>1980</v>
      </c>
      <c r="G2337" s="14">
        <v>1782</v>
      </c>
      <c r="H2337" s="37">
        <f>'Calculation Sheet'!N2337</f>
        <v>1782</v>
      </c>
    </row>
    <row r="2338" spans="1:8" x14ac:dyDescent="0.25">
      <c r="A2338" s="14" t="s">
        <v>643</v>
      </c>
      <c r="B2338" s="14">
        <v>7</v>
      </c>
      <c r="C2338" s="15" t="s">
        <v>2464</v>
      </c>
      <c r="D2338" s="14" t="s">
        <v>1749</v>
      </c>
      <c r="E2338" s="14" t="s">
        <v>1746</v>
      </c>
      <c r="F2338" s="14">
        <v>480</v>
      </c>
      <c r="G2338" s="14">
        <v>432</v>
      </c>
      <c r="H2338" s="37">
        <f>'Calculation Sheet'!N2338</f>
        <v>419.04</v>
      </c>
    </row>
    <row r="2339" spans="1:8" x14ac:dyDescent="0.25">
      <c r="A2339" s="14" t="s">
        <v>643</v>
      </c>
      <c r="B2339" s="14">
        <v>1</v>
      </c>
      <c r="C2339" s="15" t="s">
        <v>838</v>
      </c>
      <c r="D2339" s="14" t="s">
        <v>1745</v>
      </c>
      <c r="E2339" s="14" t="s">
        <v>1747</v>
      </c>
      <c r="F2339" s="14">
        <v>12000</v>
      </c>
      <c r="G2339" s="14">
        <v>9600</v>
      </c>
      <c r="H2339" s="37">
        <f>'Calculation Sheet'!N2339</f>
        <v>8256</v>
      </c>
    </row>
    <row r="2340" spans="1:8" x14ac:dyDescent="0.25">
      <c r="A2340" s="14" t="s">
        <v>643</v>
      </c>
      <c r="B2340" s="14" t="s">
        <v>20</v>
      </c>
      <c r="C2340" s="15" t="s">
        <v>2465</v>
      </c>
      <c r="D2340" s="14" t="s">
        <v>1752</v>
      </c>
      <c r="E2340" s="14" t="s">
        <v>1753</v>
      </c>
      <c r="F2340" s="14">
        <v>36000</v>
      </c>
      <c r="G2340" s="14">
        <v>28800</v>
      </c>
      <c r="H2340" s="37">
        <f>'Calculation Sheet'!N2340</f>
        <v>24768</v>
      </c>
    </row>
    <row r="2341" spans="1:8" x14ac:dyDescent="0.25">
      <c r="A2341" s="14" t="s">
        <v>643</v>
      </c>
      <c r="B2341" s="14">
        <v>1</v>
      </c>
      <c r="C2341" s="15" t="s">
        <v>838</v>
      </c>
      <c r="D2341" s="14" t="s">
        <v>1745</v>
      </c>
      <c r="E2341" s="14" t="s">
        <v>1746</v>
      </c>
      <c r="F2341" s="14">
        <v>12600</v>
      </c>
      <c r="G2341" s="14">
        <v>10080</v>
      </c>
      <c r="H2341" s="37">
        <f>'Calculation Sheet'!N2341</f>
        <v>9777.6</v>
      </c>
    </row>
    <row r="2342" spans="1:8" x14ac:dyDescent="0.25">
      <c r="A2342" s="14" t="s">
        <v>643</v>
      </c>
      <c r="B2342" s="14">
        <v>7</v>
      </c>
      <c r="C2342" s="15" t="s">
        <v>2464</v>
      </c>
      <c r="D2342" s="14" t="s">
        <v>1745</v>
      </c>
      <c r="E2342" s="14" t="s">
        <v>1747</v>
      </c>
      <c r="F2342" s="14">
        <v>4800</v>
      </c>
      <c r="G2342" s="14">
        <v>4320</v>
      </c>
      <c r="H2342" s="37">
        <f>'Calculation Sheet'!N2342</f>
        <v>3715.2</v>
      </c>
    </row>
    <row r="2343" spans="1:8" x14ac:dyDescent="0.25">
      <c r="A2343" s="14" t="s">
        <v>643</v>
      </c>
      <c r="B2343" s="14">
        <v>7</v>
      </c>
      <c r="C2343" s="15" t="s">
        <v>2464</v>
      </c>
      <c r="D2343" s="14" t="s">
        <v>1745</v>
      </c>
      <c r="E2343" s="14" t="s">
        <v>1746</v>
      </c>
      <c r="F2343" s="14">
        <v>5040</v>
      </c>
      <c r="G2343" s="14">
        <v>4536</v>
      </c>
      <c r="H2343" s="37">
        <f>'Calculation Sheet'!N2343</f>
        <v>4399.92</v>
      </c>
    </row>
    <row r="2344" spans="1:8" x14ac:dyDescent="0.25">
      <c r="A2344" s="14" t="s">
        <v>643</v>
      </c>
      <c r="B2344" s="14">
        <v>1</v>
      </c>
      <c r="C2344" s="15" t="s">
        <v>838</v>
      </c>
      <c r="D2344" s="14" t="s">
        <v>1749</v>
      </c>
      <c r="E2344" s="14" t="s">
        <v>1746</v>
      </c>
      <c r="F2344" s="14">
        <v>1200</v>
      </c>
      <c r="G2344" s="14">
        <v>960</v>
      </c>
      <c r="H2344" s="37">
        <f>'Calculation Sheet'!N2344</f>
        <v>931.2</v>
      </c>
    </row>
    <row r="2345" spans="1:8" x14ac:dyDescent="0.25">
      <c r="A2345" s="14" t="s">
        <v>643</v>
      </c>
      <c r="B2345" s="14">
        <v>7</v>
      </c>
      <c r="C2345" s="15" t="s">
        <v>2464</v>
      </c>
      <c r="D2345" s="14" t="s">
        <v>1752</v>
      </c>
      <c r="E2345" s="14" t="s">
        <v>1753</v>
      </c>
      <c r="F2345" s="14">
        <v>14400</v>
      </c>
      <c r="G2345" s="14">
        <v>12960</v>
      </c>
      <c r="H2345" s="37">
        <f>'Calculation Sheet'!N2345</f>
        <v>11145.6</v>
      </c>
    </row>
    <row r="2346" spans="1:8" x14ac:dyDescent="0.25">
      <c r="A2346" s="14" t="s">
        <v>643</v>
      </c>
      <c r="B2346" s="14" t="s">
        <v>20</v>
      </c>
      <c r="C2346" s="15" t="s">
        <v>2465</v>
      </c>
      <c r="D2346" s="14" t="s">
        <v>1752</v>
      </c>
      <c r="E2346" s="14" t="s">
        <v>1747</v>
      </c>
      <c r="F2346" s="14">
        <v>36000</v>
      </c>
      <c r="G2346" s="14">
        <v>28800</v>
      </c>
      <c r="H2346" s="37">
        <f>'Calculation Sheet'!N2346</f>
        <v>24768</v>
      </c>
    </row>
    <row r="2347" spans="1:8" x14ac:dyDescent="0.25">
      <c r="A2347" s="14" t="s">
        <v>283</v>
      </c>
      <c r="B2347" s="14">
        <v>8</v>
      </c>
      <c r="C2347" s="15" t="s">
        <v>2466</v>
      </c>
      <c r="D2347" s="14" t="s">
        <v>1745</v>
      </c>
      <c r="E2347" s="14" t="s">
        <v>1746</v>
      </c>
      <c r="F2347" s="14">
        <v>3465</v>
      </c>
      <c r="G2347" s="14">
        <v>2772</v>
      </c>
      <c r="H2347" s="37">
        <f>'Calculation Sheet'!N2347</f>
        <v>2688.84</v>
      </c>
    </row>
    <row r="2348" spans="1:8" x14ac:dyDescent="0.25">
      <c r="A2348" s="14" t="s">
        <v>283</v>
      </c>
      <c r="B2348" s="14">
        <v>9</v>
      </c>
      <c r="C2348" s="15" t="s">
        <v>2467</v>
      </c>
      <c r="D2348" s="14" t="s">
        <v>1749</v>
      </c>
      <c r="E2348" s="14" t="s">
        <v>1746</v>
      </c>
      <c r="F2348" s="14">
        <v>282</v>
      </c>
      <c r="G2348" s="14">
        <v>225.6</v>
      </c>
      <c r="H2348" s="37">
        <f>'Calculation Sheet'!N2348</f>
        <v>218.83199999999999</v>
      </c>
    </row>
    <row r="2349" spans="1:8" x14ac:dyDescent="0.25">
      <c r="A2349" s="14" t="s">
        <v>283</v>
      </c>
      <c r="B2349" s="14">
        <v>7</v>
      </c>
      <c r="C2349" s="15" t="s">
        <v>2468</v>
      </c>
      <c r="D2349" s="14" t="s">
        <v>1745</v>
      </c>
      <c r="E2349" s="14" t="s">
        <v>1747</v>
      </c>
      <c r="F2349" s="14">
        <v>0</v>
      </c>
      <c r="G2349" s="14">
        <v>0</v>
      </c>
      <c r="H2349" s="37">
        <f>'Calculation Sheet'!N2349</f>
        <v>0</v>
      </c>
    </row>
    <row r="2350" spans="1:8" x14ac:dyDescent="0.25">
      <c r="A2350" s="14" t="s">
        <v>283</v>
      </c>
      <c r="B2350" s="14">
        <v>8</v>
      </c>
      <c r="C2350" s="15" t="s">
        <v>2466</v>
      </c>
      <c r="D2350" s="14" t="s">
        <v>1745</v>
      </c>
      <c r="E2350" s="14" t="s">
        <v>1747</v>
      </c>
      <c r="F2350" s="14">
        <v>3300</v>
      </c>
      <c r="G2350" s="14">
        <v>2640</v>
      </c>
      <c r="H2350" s="37">
        <f>'Calculation Sheet'!N2350</f>
        <v>2270.4</v>
      </c>
    </row>
    <row r="2351" spans="1:8" x14ac:dyDescent="0.25">
      <c r="A2351" s="14" t="s">
        <v>283</v>
      </c>
      <c r="B2351" s="14">
        <v>7</v>
      </c>
      <c r="C2351" s="15" t="s">
        <v>2468</v>
      </c>
      <c r="D2351" s="14" t="s">
        <v>1745</v>
      </c>
      <c r="E2351" s="14" t="s">
        <v>1746</v>
      </c>
      <c r="F2351" s="14">
        <v>0</v>
      </c>
      <c r="G2351" s="14">
        <v>0</v>
      </c>
      <c r="H2351" s="37">
        <f>'Calculation Sheet'!N2351</f>
        <v>0</v>
      </c>
    </row>
    <row r="2352" spans="1:8" x14ac:dyDescent="0.25">
      <c r="A2352" s="14" t="s">
        <v>283</v>
      </c>
      <c r="B2352" s="14">
        <v>9</v>
      </c>
      <c r="C2352" s="15" t="s">
        <v>2467</v>
      </c>
      <c r="D2352" s="14" t="s">
        <v>1745</v>
      </c>
      <c r="E2352" s="14" t="s">
        <v>1746</v>
      </c>
      <c r="F2352" s="14">
        <v>2961</v>
      </c>
      <c r="G2352" s="14">
        <v>2368.8000000000002</v>
      </c>
      <c r="H2352" s="37">
        <f>'Calculation Sheet'!N2352</f>
        <v>2297.7360000000003</v>
      </c>
    </row>
    <row r="2353" spans="1:8" x14ac:dyDescent="0.25">
      <c r="A2353" s="14" t="s">
        <v>283</v>
      </c>
      <c r="B2353" s="14">
        <v>9</v>
      </c>
      <c r="C2353" s="15" t="s">
        <v>2467</v>
      </c>
      <c r="D2353" s="14" t="s">
        <v>1745</v>
      </c>
      <c r="E2353" s="14" t="s">
        <v>1747</v>
      </c>
      <c r="F2353" s="14">
        <v>2820</v>
      </c>
      <c r="G2353" s="14">
        <v>2256</v>
      </c>
      <c r="H2353" s="37">
        <f>'Calculation Sheet'!N2353</f>
        <v>1940.1599999999999</v>
      </c>
    </row>
    <row r="2354" spans="1:8" x14ac:dyDescent="0.25">
      <c r="A2354" s="14" t="s">
        <v>283</v>
      </c>
      <c r="B2354" s="14">
        <v>7</v>
      </c>
      <c r="C2354" s="15" t="s">
        <v>2468</v>
      </c>
      <c r="D2354" s="14" t="s">
        <v>1749</v>
      </c>
      <c r="E2354" s="14" t="s">
        <v>1746</v>
      </c>
      <c r="F2354" s="14">
        <v>0</v>
      </c>
      <c r="G2354" s="14">
        <v>0</v>
      </c>
      <c r="H2354" s="37">
        <f>'Calculation Sheet'!N2354</f>
        <v>0</v>
      </c>
    </row>
    <row r="2355" spans="1:8" x14ac:dyDescent="0.25">
      <c r="A2355" s="14" t="s">
        <v>283</v>
      </c>
      <c r="B2355" s="14">
        <v>8</v>
      </c>
      <c r="C2355" s="15" t="s">
        <v>2466</v>
      </c>
      <c r="D2355" s="14" t="s">
        <v>1749</v>
      </c>
      <c r="E2355" s="14" t="s">
        <v>1746</v>
      </c>
      <c r="F2355" s="14">
        <v>330</v>
      </c>
      <c r="G2355" s="14">
        <v>264</v>
      </c>
      <c r="H2355" s="37">
        <f>'Calculation Sheet'!N2355</f>
        <v>256.08</v>
      </c>
    </row>
    <row r="2356" spans="1:8" x14ac:dyDescent="0.25">
      <c r="A2356" s="14" t="s">
        <v>860</v>
      </c>
      <c r="B2356" s="14">
        <v>16</v>
      </c>
      <c r="C2356" s="15" t="s">
        <v>873</v>
      </c>
      <c r="D2356" s="14" t="s">
        <v>1745</v>
      </c>
      <c r="E2356" s="14" t="s">
        <v>1746</v>
      </c>
      <c r="F2356" s="14">
        <v>2079</v>
      </c>
      <c r="G2356" s="14">
        <v>1663.2</v>
      </c>
      <c r="H2356" s="37">
        <f>'Calculation Sheet'!N2356</f>
        <v>1646.568</v>
      </c>
    </row>
    <row r="2357" spans="1:8" x14ac:dyDescent="0.25">
      <c r="A2357" s="14" t="s">
        <v>860</v>
      </c>
      <c r="B2357" s="14">
        <v>6</v>
      </c>
      <c r="C2357" s="15" t="s">
        <v>2469</v>
      </c>
      <c r="D2357" s="14" t="s">
        <v>1745</v>
      </c>
      <c r="E2357" s="14" t="s">
        <v>1747</v>
      </c>
      <c r="F2357" s="14">
        <v>499.2</v>
      </c>
      <c r="G2357" s="14">
        <v>449.28</v>
      </c>
      <c r="H2357" s="37">
        <f>'Calculation Sheet'!N2357</f>
        <v>435.80159999999995</v>
      </c>
    </row>
    <row r="2358" spans="1:8" x14ac:dyDescent="0.25">
      <c r="A2358" s="14" t="s">
        <v>860</v>
      </c>
      <c r="B2358" s="14">
        <v>5</v>
      </c>
      <c r="C2358" s="15" t="s">
        <v>869</v>
      </c>
      <c r="D2358" s="14" t="s">
        <v>1745</v>
      </c>
      <c r="E2358" s="14" t="s">
        <v>1746</v>
      </c>
      <c r="F2358" s="14">
        <v>2079</v>
      </c>
      <c r="G2358" s="14">
        <v>1663.2</v>
      </c>
      <c r="H2358" s="37">
        <f>'Calculation Sheet'!N2358</f>
        <v>1646.568</v>
      </c>
    </row>
    <row r="2359" spans="1:8" x14ac:dyDescent="0.25">
      <c r="A2359" s="14" t="s">
        <v>860</v>
      </c>
      <c r="B2359" s="14">
        <v>9</v>
      </c>
      <c r="C2359" s="15" t="s">
        <v>2470</v>
      </c>
      <c r="D2359" s="14" t="s">
        <v>1745</v>
      </c>
      <c r="E2359" s="14" t="s">
        <v>1746</v>
      </c>
      <c r="F2359" s="14">
        <v>471.72</v>
      </c>
      <c r="G2359" s="14">
        <v>377.4</v>
      </c>
      <c r="H2359" s="37">
        <f>'Calculation Sheet'!N2359</f>
        <v>373.62599999999998</v>
      </c>
    </row>
    <row r="2360" spans="1:8" x14ac:dyDescent="0.25">
      <c r="A2360" s="14" t="s">
        <v>860</v>
      </c>
      <c r="B2360" s="14">
        <v>9</v>
      </c>
      <c r="C2360" s="15" t="s">
        <v>2470</v>
      </c>
      <c r="D2360" s="14" t="s">
        <v>1749</v>
      </c>
      <c r="E2360" s="14" t="s">
        <v>1746</v>
      </c>
      <c r="F2360" s="14">
        <v>44.93</v>
      </c>
      <c r="G2360" s="14">
        <v>35.94</v>
      </c>
      <c r="H2360" s="37">
        <f>'Calculation Sheet'!N2360</f>
        <v>35.580599999999997</v>
      </c>
    </row>
    <row r="2361" spans="1:8" x14ac:dyDescent="0.25">
      <c r="A2361" s="14" t="s">
        <v>860</v>
      </c>
      <c r="B2361" s="14">
        <v>8</v>
      </c>
      <c r="C2361" s="15" t="s">
        <v>2471</v>
      </c>
      <c r="D2361" s="14" t="s">
        <v>1749</v>
      </c>
      <c r="E2361" s="14" t="s">
        <v>1746</v>
      </c>
      <c r="F2361" s="14">
        <v>59.9</v>
      </c>
      <c r="G2361" s="14">
        <v>47.92</v>
      </c>
      <c r="H2361" s="37">
        <f>'Calculation Sheet'!N2361</f>
        <v>47.440800000000003</v>
      </c>
    </row>
    <row r="2362" spans="1:8" x14ac:dyDescent="0.25">
      <c r="A2362" s="14" t="s">
        <v>860</v>
      </c>
      <c r="B2362" s="14" t="s">
        <v>16</v>
      </c>
      <c r="C2362" s="15" t="s">
        <v>2472</v>
      </c>
      <c r="D2362" s="14" t="s">
        <v>1749</v>
      </c>
      <c r="E2362" s="14" t="s">
        <v>1746</v>
      </c>
      <c r="F2362" s="14">
        <v>29.95</v>
      </c>
      <c r="G2362" s="14">
        <v>23.96</v>
      </c>
      <c r="H2362" s="37">
        <f>'Calculation Sheet'!N2362</f>
        <v>23.720400000000001</v>
      </c>
    </row>
    <row r="2363" spans="1:8" x14ac:dyDescent="0.25">
      <c r="A2363" s="14" t="s">
        <v>860</v>
      </c>
      <c r="B2363" s="14">
        <v>7</v>
      </c>
      <c r="C2363" s="15" t="s">
        <v>2473</v>
      </c>
      <c r="D2363" s="14" t="s">
        <v>1749</v>
      </c>
      <c r="E2363" s="14" t="s">
        <v>1746</v>
      </c>
      <c r="F2363" s="14">
        <v>39.94</v>
      </c>
      <c r="G2363" s="14">
        <v>31.95</v>
      </c>
      <c r="H2363" s="37">
        <f>'Calculation Sheet'!N2363</f>
        <v>31.630499999999998</v>
      </c>
    </row>
    <row r="2364" spans="1:8" x14ac:dyDescent="0.25">
      <c r="A2364" s="14" t="s">
        <v>860</v>
      </c>
      <c r="B2364" s="14">
        <v>16</v>
      </c>
      <c r="C2364" s="15" t="s">
        <v>873</v>
      </c>
      <c r="D2364" s="14" t="s">
        <v>1749</v>
      </c>
      <c r="E2364" s="14" t="s">
        <v>1746</v>
      </c>
      <c r="F2364" s="14">
        <v>198</v>
      </c>
      <c r="G2364" s="14">
        <v>158.4</v>
      </c>
      <c r="H2364" s="37">
        <f>'Calculation Sheet'!N2364</f>
        <v>156.816</v>
      </c>
    </row>
    <row r="2365" spans="1:8" x14ac:dyDescent="0.25">
      <c r="A2365" s="14" t="s">
        <v>860</v>
      </c>
      <c r="B2365" s="14">
        <v>5</v>
      </c>
      <c r="C2365" s="15" t="s">
        <v>869</v>
      </c>
      <c r="D2365" s="14" t="s">
        <v>1745</v>
      </c>
      <c r="E2365" s="14" t="s">
        <v>1747</v>
      </c>
      <c r="F2365" s="14">
        <v>1980</v>
      </c>
      <c r="G2365" s="14">
        <v>1584</v>
      </c>
      <c r="H2365" s="37">
        <f>'Calculation Sheet'!N2365</f>
        <v>1536.48</v>
      </c>
    </row>
    <row r="2366" spans="1:8" x14ac:dyDescent="0.25">
      <c r="A2366" s="14" t="s">
        <v>860</v>
      </c>
      <c r="B2366" s="14">
        <v>15</v>
      </c>
      <c r="C2366" s="15" t="s">
        <v>873</v>
      </c>
      <c r="D2366" s="14" t="s">
        <v>1749</v>
      </c>
      <c r="E2366" s="14" t="s">
        <v>1766</v>
      </c>
      <c r="F2366" s="14">
        <v>0</v>
      </c>
      <c r="G2366" s="14">
        <v>0</v>
      </c>
      <c r="H2366" s="37">
        <f>'Calculation Sheet'!N2366</f>
        <v>0</v>
      </c>
    </row>
    <row r="2367" spans="1:8" x14ac:dyDescent="0.25">
      <c r="A2367" s="14" t="s">
        <v>860</v>
      </c>
      <c r="B2367" s="14">
        <v>1</v>
      </c>
      <c r="C2367" s="15" t="s">
        <v>859</v>
      </c>
      <c r="D2367" s="14" t="s">
        <v>1745</v>
      </c>
      <c r="E2367" s="14" t="s">
        <v>1746</v>
      </c>
      <c r="F2367" s="14">
        <v>3150</v>
      </c>
      <c r="G2367" s="14">
        <v>2520</v>
      </c>
      <c r="H2367" s="37">
        <f>'Calculation Sheet'!N2367</f>
        <v>2494.8000000000002</v>
      </c>
    </row>
    <row r="2368" spans="1:8" x14ac:dyDescent="0.25">
      <c r="A2368" s="14" t="s">
        <v>860</v>
      </c>
      <c r="B2368" s="14">
        <v>6</v>
      </c>
      <c r="C2368" s="15" t="s">
        <v>2469</v>
      </c>
      <c r="D2368" s="14" t="s">
        <v>1745</v>
      </c>
      <c r="E2368" s="14" t="s">
        <v>1746</v>
      </c>
      <c r="F2368" s="14">
        <v>524.16</v>
      </c>
      <c r="G2368" s="14">
        <v>471.72</v>
      </c>
      <c r="H2368" s="37">
        <f>'Calculation Sheet'!N2368</f>
        <v>467.00280000000004</v>
      </c>
    </row>
    <row r="2369" spans="1:8" x14ac:dyDescent="0.25">
      <c r="A2369" s="14" t="s">
        <v>860</v>
      </c>
      <c r="B2369" s="14">
        <v>16</v>
      </c>
      <c r="C2369" s="15" t="s">
        <v>873</v>
      </c>
      <c r="D2369" s="14" t="s">
        <v>1745</v>
      </c>
      <c r="E2369" s="14" t="s">
        <v>1747</v>
      </c>
      <c r="F2369" s="14">
        <v>1980</v>
      </c>
      <c r="G2369" s="14">
        <v>1584</v>
      </c>
      <c r="H2369" s="37">
        <f>'Calculation Sheet'!N2369</f>
        <v>1536.48</v>
      </c>
    </row>
    <row r="2370" spans="1:8" x14ac:dyDescent="0.25">
      <c r="A2370" s="14" t="s">
        <v>860</v>
      </c>
      <c r="B2370" s="14">
        <v>1</v>
      </c>
      <c r="C2370" s="15" t="s">
        <v>859</v>
      </c>
      <c r="D2370" s="14" t="s">
        <v>1749</v>
      </c>
      <c r="E2370" s="14" t="s">
        <v>1746</v>
      </c>
      <c r="F2370" s="14">
        <v>300</v>
      </c>
      <c r="G2370" s="14">
        <v>240</v>
      </c>
      <c r="H2370" s="37">
        <f>'Calculation Sheet'!N2370</f>
        <v>237.6</v>
      </c>
    </row>
    <row r="2371" spans="1:8" ht="30" x14ac:dyDescent="0.25">
      <c r="A2371" s="14" t="s">
        <v>860</v>
      </c>
      <c r="B2371" s="14" t="s">
        <v>20</v>
      </c>
      <c r="C2371" s="15" t="s">
        <v>2474</v>
      </c>
      <c r="D2371" s="14" t="s">
        <v>1745</v>
      </c>
      <c r="E2371" s="14" t="s">
        <v>1746</v>
      </c>
      <c r="F2371" s="14">
        <v>2079</v>
      </c>
      <c r="G2371" s="14">
        <v>1663.2</v>
      </c>
      <c r="H2371" s="37">
        <f>'Calculation Sheet'!N2371</f>
        <v>1646.568</v>
      </c>
    </row>
    <row r="2372" spans="1:8" x14ac:dyDescent="0.25">
      <c r="A2372" s="14" t="s">
        <v>860</v>
      </c>
      <c r="B2372" s="14">
        <v>1</v>
      </c>
      <c r="C2372" s="15" t="s">
        <v>859</v>
      </c>
      <c r="D2372" s="14" t="s">
        <v>1745</v>
      </c>
      <c r="E2372" s="14" t="s">
        <v>1747</v>
      </c>
      <c r="F2372" s="14">
        <v>3000</v>
      </c>
      <c r="G2372" s="14">
        <v>2400</v>
      </c>
      <c r="H2372" s="37">
        <f>'Calculation Sheet'!N2372</f>
        <v>2328</v>
      </c>
    </row>
    <row r="2373" spans="1:8" x14ac:dyDescent="0.25">
      <c r="A2373" s="14" t="s">
        <v>860</v>
      </c>
      <c r="B2373" s="14">
        <v>7</v>
      </c>
      <c r="C2373" s="15" t="s">
        <v>2473</v>
      </c>
      <c r="D2373" s="14" t="s">
        <v>1745</v>
      </c>
      <c r="E2373" s="14" t="s">
        <v>1746</v>
      </c>
      <c r="F2373" s="14">
        <v>419.28</v>
      </c>
      <c r="G2373" s="14">
        <v>335.52</v>
      </c>
      <c r="H2373" s="37">
        <f>'Calculation Sheet'!N2373</f>
        <v>332.16479999999996</v>
      </c>
    </row>
    <row r="2374" spans="1:8" x14ac:dyDescent="0.25">
      <c r="A2374" s="14" t="s">
        <v>860</v>
      </c>
      <c r="B2374" s="14">
        <v>7</v>
      </c>
      <c r="C2374" s="15" t="s">
        <v>2473</v>
      </c>
      <c r="D2374" s="14" t="s">
        <v>1745</v>
      </c>
      <c r="E2374" s="14" t="s">
        <v>1747</v>
      </c>
      <c r="F2374" s="14">
        <v>399.36</v>
      </c>
      <c r="G2374" s="14">
        <v>319.49</v>
      </c>
      <c r="H2374" s="37">
        <f>'Calculation Sheet'!N2374</f>
        <v>309.90530000000001</v>
      </c>
    </row>
    <row r="2375" spans="1:8" x14ac:dyDescent="0.25">
      <c r="A2375" s="14" t="s">
        <v>860</v>
      </c>
      <c r="B2375" s="14" t="s">
        <v>16</v>
      </c>
      <c r="C2375" s="15" t="s">
        <v>2472</v>
      </c>
      <c r="D2375" s="14" t="s">
        <v>1745</v>
      </c>
      <c r="E2375" s="14" t="s">
        <v>1746</v>
      </c>
      <c r="F2375" s="14">
        <v>314.52</v>
      </c>
      <c r="G2375" s="14">
        <v>251.64</v>
      </c>
      <c r="H2375" s="37">
        <f>'Calculation Sheet'!N2375</f>
        <v>249.12359999999998</v>
      </c>
    </row>
    <row r="2376" spans="1:8" x14ac:dyDescent="0.25">
      <c r="A2376" s="14" t="s">
        <v>860</v>
      </c>
      <c r="B2376" s="14">
        <v>2</v>
      </c>
      <c r="C2376" s="15" t="s">
        <v>862</v>
      </c>
      <c r="D2376" s="14" t="s">
        <v>1749</v>
      </c>
      <c r="E2376" s="14" t="s">
        <v>1746</v>
      </c>
      <c r="F2376" s="14">
        <v>198</v>
      </c>
      <c r="G2376" s="14">
        <v>158.4</v>
      </c>
      <c r="H2376" s="37">
        <f>'Calculation Sheet'!N2376</f>
        <v>156.816</v>
      </c>
    </row>
    <row r="2377" spans="1:8" ht="30" x14ac:dyDescent="0.25">
      <c r="A2377" s="14" t="s">
        <v>860</v>
      </c>
      <c r="B2377" s="14" t="s">
        <v>20</v>
      </c>
      <c r="C2377" s="15" t="s">
        <v>2474</v>
      </c>
      <c r="D2377" s="14" t="s">
        <v>1749</v>
      </c>
      <c r="E2377" s="14" t="s">
        <v>1746</v>
      </c>
      <c r="F2377" s="14">
        <v>198</v>
      </c>
      <c r="G2377" s="14">
        <v>158.4</v>
      </c>
      <c r="H2377" s="37">
        <f>'Calculation Sheet'!N2377</f>
        <v>156.816</v>
      </c>
    </row>
    <row r="2378" spans="1:8" x14ac:dyDescent="0.25">
      <c r="A2378" s="14" t="s">
        <v>860</v>
      </c>
      <c r="B2378" s="14">
        <v>6</v>
      </c>
      <c r="C2378" s="15" t="s">
        <v>2469</v>
      </c>
      <c r="D2378" s="14" t="s">
        <v>1749</v>
      </c>
      <c r="E2378" s="14" t="s">
        <v>1746</v>
      </c>
      <c r="F2378" s="14">
        <v>49.92</v>
      </c>
      <c r="G2378" s="14">
        <v>44.93</v>
      </c>
      <c r="H2378" s="37">
        <f>'Calculation Sheet'!N2378</f>
        <v>44.480699999999999</v>
      </c>
    </row>
    <row r="2379" spans="1:8" x14ac:dyDescent="0.25">
      <c r="A2379" s="14" t="s">
        <v>860</v>
      </c>
      <c r="B2379" s="14">
        <v>5</v>
      </c>
      <c r="C2379" s="15" t="s">
        <v>869</v>
      </c>
      <c r="D2379" s="14" t="s">
        <v>1749</v>
      </c>
      <c r="E2379" s="14" t="s">
        <v>1746</v>
      </c>
      <c r="F2379" s="14">
        <v>198</v>
      </c>
      <c r="G2379" s="14">
        <v>158.4</v>
      </c>
      <c r="H2379" s="37">
        <f>'Calculation Sheet'!N2379</f>
        <v>156.816</v>
      </c>
    </row>
    <row r="2380" spans="1:8" ht="30" x14ac:dyDescent="0.25">
      <c r="A2380" s="14" t="s">
        <v>860</v>
      </c>
      <c r="B2380" s="14" t="s">
        <v>20</v>
      </c>
      <c r="C2380" s="15" t="s">
        <v>2474</v>
      </c>
      <c r="D2380" s="14" t="s">
        <v>1745</v>
      </c>
      <c r="E2380" s="14" t="s">
        <v>1747</v>
      </c>
      <c r="F2380" s="14">
        <v>1980</v>
      </c>
      <c r="G2380" s="14">
        <v>1584</v>
      </c>
      <c r="H2380" s="37">
        <f>'Calculation Sheet'!N2380</f>
        <v>1536.48</v>
      </c>
    </row>
    <row r="2381" spans="1:8" x14ac:dyDescent="0.25">
      <c r="A2381" s="14" t="s">
        <v>860</v>
      </c>
      <c r="B2381" s="14">
        <v>9</v>
      </c>
      <c r="C2381" s="15" t="s">
        <v>2470</v>
      </c>
      <c r="D2381" s="14" t="s">
        <v>1745</v>
      </c>
      <c r="E2381" s="14" t="s">
        <v>1747</v>
      </c>
      <c r="F2381" s="14">
        <v>449.28</v>
      </c>
      <c r="G2381" s="14">
        <v>359.42</v>
      </c>
      <c r="H2381" s="37">
        <f>'Calculation Sheet'!N2381</f>
        <v>348.63740000000001</v>
      </c>
    </row>
    <row r="2382" spans="1:8" x14ac:dyDescent="0.25">
      <c r="A2382" s="14" t="s">
        <v>860</v>
      </c>
      <c r="B2382" s="14">
        <v>8</v>
      </c>
      <c r="C2382" s="15" t="s">
        <v>2471</v>
      </c>
      <c r="D2382" s="14" t="s">
        <v>1745</v>
      </c>
      <c r="E2382" s="14" t="s">
        <v>1746</v>
      </c>
      <c r="F2382" s="14">
        <v>629.04</v>
      </c>
      <c r="G2382" s="14">
        <v>503.16</v>
      </c>
      <c r="H2382" s="37">
        <f>'Calculation Sheet'!N2382</f>
        <v>498.1284</v>
      </c>
    </row>
    <row r="2383" spans="1:8" x14ac:dyDescent="0.25">
      <c r="A2383" s="14" t="s">
        <v>860</v>
      </c>
      <c r="B2383" s="14">
        <v>8</v>
      </c>
      <c r="C2383" s="15" t="s">
        <v>2471</v>
      </c>
      <c r="D2383" s="14" t="s">
        <v>1745</v>
      </c>
      <c r="E2383" s="14" t="s">
        <v>1747</v>
      </c>
      <c r="F2383" s="14">
        <v>599.04</v>
      </c>
      <c r="G2383" s="14">
        <v>479.23</v>
      </c>
      <c r="H2383" s="37">
        <f>'Calculation Sheet'!N2383</f>
        <v>464.85310000000004</v>
      </c>
    </row>
    <row r="2384" spans="1:8" x14ac:dyDescent="0.25">
      <c r="A2384" s="14" t="s">
        <v>860</v>
      </c>
      <c r="B2384" s="14">
        <v>2</v>
      </c>
      <c r="C2384" s="15" t="s">
        <v>862</v>
      </c>
      <c r="D2384" s="14" t="s">
        <v>1745</v>
      </c>
      <c r="E2384" s="14" t="s">
        <v>1746</v>
      </c>
      <c r="F2384" s="14">
        <v>2079</v>
      </c>
      <c r="G2384" s="14">
        <v>1663.2</v>
      </c>
      <c r="H2384" s="37">
        <f>'Calculation Sheet'!N2384</f>
        <v>1646.568</v>
      </c>
    </row>
    <row r="2385" spans="1:8" x14ac:dyDescent="0.25">
      <c r="A2385" s="14" t="s">
        <v>860</v>
      </c>
      <c r="B2385" s="14" t="s">
        <v>16</v>
      </c>
      <c r="C2385" s="15" t="s">
        <v>2472</v>
      </c>
      <c r="D2385" s="14" t="s">
        <v>1745</v>
      </c>
      <c r="E2385" s="14" t="s">
        <v>1747</v>
      </c>
      <c r="F2385" s="14">
        <v>299.52</v>
      </c>
      <c r="G2385" s="14">
        <v>239.62</v>
      </c>
      <c r="H2385" s="37">
        <f>'Calculation Sheet'!N2385</f>
        <v>232.4314</v>
      </c>
    </row>
    <row r="2386" spans="1:8" x14ac:dyDescent="0.25">
      <c r="A2386" s="14" t="s">
        <v>860</v>
      </c>
      <c r="B2386" s="14">
        <v>2</v>
      </c>
      <c r="C2386" s="15" t="s">
        <v>862</v>
      </c>
      <c r="D2386" s="14" t="s">
        <v>1745</v>
      </c>
      <c r="E2386" s="14" t="s">
        <v>1747</v>
      </c>
      <c r="F2386" s="14">
        <v>1980</v>
      </c>
      <c r="G2386" s="14">
        <v>1584</v>
      </c>
      <c r="H2386" s="37">
        <f>'Calculation Sheet'!N2386</f>
        <v>1536.48</v>
      </c>
    </row>
    <row r="2387" spans="1:8" x14ac:dyDescent="0.25">
      <c r="A2387" s="14" t="s">
        <v>879</v>
      </c>
      <c r="B2387" s="14">
        <v>3</v>
      </c>
      <c r="C2387" s="15" t="s">
        <v>883</v>
      </c>
      <c r="D2387" s="14" t="s">
        <v>1749</v>
      </c>
      <c r="E2387" s="14" t="s">
        <v>1766</v>
      </c>
      <c r="F2387" s="14">
        <v>0</v>
      </c>
      <c r="G2387" s="14">
        <v>0</v>
      </c>
      <c r="H2387" s="37">
        <f>'Calculation Sheet'!N2387</f>
        <v>0</v>
      </c>
    </row>
    <row r="2388" spans="1:8" ht="30" x14ac:dyDescent="0.25">
      <c r="A2388" s="14" t="s">
        <v>879</v>
      </c>
      <c r="B2388" s="14" t="s">
        <v>24</v>
      </c>
      <c r="C2388" s="15" t="s">
        <v>2475</v>
      </c>
      <c r="D2388" s="14" t="s">
        <v>1749</v>
      </c>
      <c r="E2388" s="14" t="s">
        <v>1746</v>
      </c>
      <c r="F2388" s="14">
        <v>79.87</v>
      </c>
      <c r="G2388" s="14">
        <v>63.9</v>
      </c>
      <c r="H2388" s="37">
        <f>'Calculation Sheet'!N2388</f>
        <v>63.260999999999996</v>
      </c>
    </row>
    <row r="2389" spans="1:8" x14ac:dyDescent="0.25">
      <c r="A2389" s="14" t="s">
        <v>879</v>
      </c>
      <c r="B2389" s="14">
        <v>4</v>
      </c>
      <c r="C2389" s="15" t="s">
        <v>883</v>
      </c>
      <c r="D2389" s="14" t="s">
        <v>1745</v>
      </c>
      <c r="E2389" s="14" t="s">
        <v>1747</v>
      </c>
      <c r="F2389" s="14">
        <v>4020</v>
      </c>
      <c r="G2389" s="14">
        <v>3216</v>
      </c>
      <c r="H2389" s="37">
        <f>'Calculation Sheet'!N2389</f>
        <v>3119.52</v>
      </c>
    </row>
    <row r="2390" spans="1:8" x14ac:dyDescent="0.25">
      <c r="A2390" s="14" t="s">
        <v>879</v>
      </c>
      <c r="B2390" s="14" t="s">
        <v>89</v>
      </c>
      <c r="C2390" s="15" t="s">
        <v>881</v>
      </c>
      <c r="D2390" s="14" t="s">
        <v>1749</v>
      </c>
      <c r="E2390" s="14" t="s">
        <v>1746</v>
      </c>
      <c r="F2390" s="14">
        <v>270</v>
      </c>
      <c r="G2390" s="14">
        <v>216</v>
      </c>
      <c r="H2390" s="37">
        <f>'Calculation Sheet'!N2390</f>
        <v>213.84</v>
      </c>
    </row>
    <row r="2391" spans="1:8" x14ac:dyDescent="0.25">
      <c r="A2391" s="14" t="s">
        <v>879</v>
      </c>
      <c r="B2391" s="14">
        <v>1</v>
      </c>
      <c r="C2391" s="15" t="s">
        <v>878</v>
      </c>
      <c r="D2391" s="14" t="s">
        <v>1749</v>
      </c>
      <c r="E2391" s="14" t="s">
        <v>1746</v>
      </c>
      <c r="F2391" s="14">
        <v>696</v>
      </c>
      <c r="G2391" s="14">
        <v>556.79999999999995</v>
      </c>
      <c r="H2391" s="37">
        <f>'Calculation Sheet'!N2391</f>
        <v>551.23199999999997</v>
      </c>
    </row>
    <row r="2392" spans="1:8" x14ac:dyDescent="0.25">
      <c r="A2392" s="14" t="s">
        <v>879</v>
      </c>
      <c r="B2392" s="14">
        <v>4</v>
      </c>
      <c r="C2392" s="15" t="s">
        <v>883</v>
      </c>
      <c r="D2392" s="14" t="s">
        <v>1745</v>
      </c>
      <c r="E2392" s="14" t="s">
        <v>1746</v>
      </c>
      <c r="F2392" s="14">
        <v>4221</v>
      </c>
      <c r="G2392" s="14">
        <v>3376.8</v>
      </c>
      <c r="H2392" s="37">
        <f>'Calculation Sheet'!N2392</f>
        <v>3343.0320000000002</v>
      </c>
    </row>
    <row r="2393" spans="1:8" ht="30" x14ac:dyDescent="0.25">
      <c r="A2393" s="14" t="s">
        <v>879</v>
      </c>
      <c r="B2393" s="14" t="s">
        <v>24</v>
      </c>
      <c r="C2393" s="15" t="s">
        <v>2475</v>
      </c>
      <c r="D2393" s="14" t="s">
        <v>1745</v>
      </c>
      <c r="E2393" s="14" t="s">
        <v>1746</v>
      </c>
      <c r="F2393" s="14">
        <v>838.68</v>
      </c>
      <c r="G2393" s="14">
        <v>670.92</v>
      </c>
      <c r="H2393" s="37">
        <f>'Calculation Sheet'!N2393</f>
        <v>664.21079999999995</v>
      </c>
    </row>
    <row r="2394" spans="1:8" ht="30" x14ac:dyDescent="0.25">
      <c r="A2394" s="14" t="s">
        <v>879</v>
      </c>
      <c r="B2394" s="14" t="s">
        <v>24</v>
      </c>
      <c r="C2394" s="15" t="s">
        <v>2475</v>
      </c>
      <c r="D2394" s="14" t="s">
        <v>1745</v>
      </c>
      <c r="E2394" s="14" t="s">
        <v>1747</v>
      </c>
      <c r="F2394" s="14">
        <v>798.72</v>
      </c>
      <c r="G2394" s="14">
        <v>638.98</v>
      </c>
      <c r="H2394" s="37">
        <f>'Calculation Sheet'!N2394</f>
        <v>619.81060000000002</v>
      </c>
    </row>
    <row r="2395" spans="1:8" ht="30" x14ac:dyDescent="0.25">
      <c r="A2395" s="14" t="s">
        <v>879</v>
      </c>
      <c r="B2395" s="14">
        <v>9</v>
      </c>
      <c r="C2395" s="15" t="s">
        <v>2476</v>
      </c>
      <c r="D2395" s="14" t="s">
        <v>1749</v>
      </c>
      <c r="E2395" s="14" t="s">
        <v>1746</v>
      </c>
      <c r="F2395" s="14">
        <v>59.9</v>
      </c>
      <c r="G2395" s="14">
        <v>47.92</v>
      </c>
      <c r="H2395" s="37">
        <f>'Calculation Sheet'!N2395</f>
        <v>47.440800000000003</v>
      </c>
    </row>
    <row r="2396" spans="1:8" x14ac:dyDescent="0.25">
      <c r="A2396" s="14" t="s">
        <v>879</v>
      </c>
      <c r="B2396" s="14">
        <v>2</v>
      </c>
      <c r="C2396" s="15" t="s">
        <v>878</v>
      </c>
      <c r="D2396" s="14" t="s">
        <v>1749</v>
      </c>
      <c r="E2396" s="14" t="s">
        <v>1766</v>
      </c>
      <c r="F2396" s="14">
        <v>0</v>
      </c>
      <c r="G2396" s="14">
        <v>0</v>
      </c>
      <c r="H2396" s="37">
        <f>'Calculation Sheet'!N2396</f>
        <v>0</v>
      </c>
    </row>
    <row r="2397" spans="1:8" x14ac:dyDescent="0.25">
      <c r="A2397" s="14" t="s">
        <v>879</v>
      </c>
      <c r="B2397" s="14" t="s">
        <v>55</v>
      </c>
      <c r="C2397" s="15" t="s">
        <v>887</v>
      </c>
      <c r="D2397" s="14" t="s">
        <v>1745</v>
      </c>
      <c r="E2397" s="14" t="s">
        <v>1746</v>
      </c>
      <c r="F2397" s="14">
        <v>4914</v>
      </c>
      <c r="G2397" s="14">
        <v>3931.2</v>
      </c>
      <c r="H2397" s="37">
        <f>'Calculation Sheet'!N2397</f>
        <v>3891.8879999999999</v>
      </c>
    </row>
    <row r="2398" spans="1:8" x14ac:dyDescent="0.25">
      <c r="A2398" s="14" t="s">
        <v>879</v>
      </c>
      <c r="B2398" s="14" t="s">
        <v>89</v>
      </c>
      <c r="C2398" s="15" t="s">
        <v>881</v>
      </c>
      <c r="D2398" s="14" t="s">
        <v>1745</v>
      </c>
      <c r="E2398" s="14" t="s">
        <v>1746</v>
      </c>
      <c r="F2398" s="14">
        <v>2835</v>
      </c>
      <c r="G2398" s="14">
        <v>2268</v>
      </c>
      <c r="H2398" s="37">
        <f>'Calculation Sheet'!N2398</f>
        <v>2245.3200000000002</v>
      </c>
    </row>
    <row r="2399" spans="1:8" x14ac:dyDescent="0.25">
      <c r="A2399" s="14" t="s">
        <v>879</v>
      </c>
      <c r="B2399" s="14" t="s">
        <v>73</v>
      </c>
      <c r="C2399" s="15" t="s">
        <v>2477</v>
      </c>
      <c r="D2399" s="14" t="s">
        <v>1745</v>
      </c>
      <c r="E2399" s="14" t="s">
        <v>1746</v>
      </c>
      <c r="F2399" s="14">
        <v>1449</v>
      </c>
      <c r="G2399" s="14">
        <v>1159.2</v>
      </c>
      <c r="H2399" s="37">
        <f>'Calculation Sheet'!N2399</f>
        <v>1147.6079999999999</v>
      </c>
    </row>
    <row r="2400" spans="1:8" x14ac:dyDescent="0.25">
      <c r="A2400" s="14" t="s">
        <v>879</v>
      </c>
      <c r="B2400" s="14" t="s">
        <v>16</v>
      </c>
      <c r="C2400" s="15" t="s">
        <v>2478</v>
      </c>
      <c r="D2400" s="14" t="s">
        <v>1749</v>
      </c>
      <c r="E2400" s="14" t="s">
        <v>1746</v>
      </c>
      <c r="F2400" s="14">
        <v>104.82</v>
      </c>
      <c r="G2400" s="14">
        <v>83.86</v>
      </c>
      <c r="H2400" s="37">
        <f>'Calculation Sheet'!N2400</f>
        <v>83.0214</v>
      </c>
    </row>
    <row r="2401" spans="1:8" x14ac:dyDescent="0.25">
      <c r="A2401" s="14" t="s">
        <v>879</v>
      </c>
      <c r="B2401" s="14" t="s">
        <v>16</v>
      </c>
      <c r="C2401" s="15" t="s">
        <v>2478</v>
      </c>
      <c r="D2401" s="14" t="s">
        <v>1745</v>
      </c>
      <c r="E2401" s="14" t="s">
        <v>1746</v>
      </c>
      <c r="F2401" s="14">
        <v>1100.6400000000001</v>
      </c>
      <c r="G2401" s="14">
        <v>880.44</v>
      </c>
      <c r="H2401" s="37">
        <f>'Calculation Sheet'!N2401</f>
        <v>871.63560000000007</v>
      </c>
    </row>
    <row r="2402" spans="1:8" ht="30" x14ac:dyDescent="0.25">
      <c r="A2402" s="14" t="s">
        <v>879</v>
      </c>
      <c r="B2402" s="14">
        <v>9</v>
      </c>
      <c r="C2402" s="15" t="s">
        <v>2476</v>
      </c>
      <c r="D2402" s="14" t="s">
        <v>1745</v>
      </c>
      <c r="E2402" s="14" t="s">
        <v>1746</v>
      </c>
      <c r="F2402" s="14">
        <v>629.04</v>
      </c>
      <c r="G2402" s="14">
        <v>503.16</v>
      </c>
      <c r="H2402" s="37">
        <f>'Calculation Sheet'!N2402</f>
        <v>498.1284</v>
      </c>
    </row>
    <row r="2403" spans="1:8" x14ac:dyDescent="0.25">
      <c r="A2403" s="14" t="s">
        <v>879</v>
      </c>
      <c r="B2403" s="14">
        <v>1</v>
      </c>
      <c r="C2403" s="15" t="s">
        <v>878</v>
      </c>
      <c r="D2403" s="14" t="s">
        <v>1745</v>
      </c>
      <c r="E2403" s="14" t="s">
        <v>1747</v>
      </c>
      <c r="F2403" s="14">
        <v>6960</v>
      </c>
      <c r="G2403" s="14">
        <v>5568</v>
      </c>
      <c r="H2403" s="37">
        <f>'Calculation Sheet'!N2403</f>
        <v>5400.96</v>
      </c>
    </row>
    <row r="2404" spans="1:8" x14ac:dyDescent="0.25">
      <c r="A2404" s="14" t="s">
        <v>879</v>
      </c>
      <c r="B2404" s="14" t="s">
        <v>55</v>
      </c>
      <c r="C2404" s="15" t="s">
        <v>887</v>
      </c>
      <c r="D2404" s="14" t="s">
        <v>1749</v>
      </c>
      <c r="E2404" s="14" t="s">
        <v>1746</v>
      </c>
      <c r="F2404" s="14">
        <v>468</v>
      </c>
      <c r="G2404" s="14">
        <v>374.4</v>
      </c>
      <c r="H2404" s="37">
        <f>'Calculation Sheet'!N2404</f>
        <v>370.65599999999995</v>
      </c>
    </row>
    <row r="2405" spans="1:8" x14ac:dyDescent="0.25">
      <c r="A2405" s="14" t="s">
        <v>879</v>
      </c>
      <c r="B2405" s="14">
        <v>4</v>
      </c>
      <c r="C2405" s="15" t="s">
        <v>883</v>
      </c>
      <c r="D2405" s="14" t="s">
        <v>1749</v>
      </c>
      <c r="E2405" s="14" t="s">
        <v>1746</v>
      </c>
      <c r="F2405" s="14">
        <v>402</v>
      </c>
      <c r="G2405" s="14">
        <v>321.60000000000002</v>
      </c>
      <c r="H2405" s="37">
        <f>'Calculation Sheet'!N2405</f>
        <v>318.38400000000001</v>
      </c>
    </row>
    <row r="2406" spans="1:8" x14ac:dyDescent="0.25">
      <c r="A2406" s="14" t="s">
        <v>879</v>
      </c>
      <c r="B2406" s="14">
        <v>1</v>
      </c>
      <c r="C2406" s="15" t="s">
        <v>878</v>
      </c>
      <c r="D2406" s="14" t="s">
        <v>1745</v>
      </c>
      <c r="E2406" s="14" t="s">
        <v>1746</v>
      </c>
      <c r="F2406" s="14">
        <v>7308</v>
      </c>
      <c r="G2406" s="14">
        <v>5846.4</v>
      </c>
      <c r="H2406" s="37">
        <f>'Calculation Sheet'!N2406</f>
        <v>5787.9359999999997</v>
      </c>
    </row>
    <row r="2407" spans="1:8" x14ac:dyDescent="0.25">
      <c r="A2407" s="14" t="s">
        <v>879</v>
      </c>
      <c r="B2407" s="14" t="s">
        <v>89</v>
      </c>
      <c r="C2407" s="15" t="s">
        <v>881</v>
      </c>
      <c r="D2407" s="14" t="s">
        <v>1745</v>
      </c>
      <c r="E2407" s="14" t="s">
        <v>1747</v>
      </c>
      <c r="F2407" s="14">
        <v>2700</v>
      </c>
      <c r="G2407" s="14">
        <v>2160</v>
      </c>
      <c r="H2407" s="37">
        <f>'Calculation Sheet'!N2407</f>
        <v>2095.1999999999998</v>
      </c>
    </row>
    <row r="2408" spans="1:8" x14ac:dyDescent="0.25">
      <c r="A2408" s="14" t="s">
        <v>879</v>
      </c>
      <c r="B2408" s="14" t="s">
        <v>16</v>
      </c>
      <c r="C2408" s="15" t="s">
        <v>2478</v>
      </c>
      <c r="D2408" s="14" t="s">
        <v>1745</v>
      </c>
      <c r="E2408" s="14" t="s">
        <v>1747</v>
      </c>
      <c r="F2408" s="14">
        <v>1048.2</v>
      </c>
      <c r="G2408" s="14">
        <v>838.56</v>
      </c>
      <c r="H2408" s="37">
        <f>'Calculation Sheet'!N2408</f>
        <v>813.40319999999997</v>
      </c>
    </row>
    <row r="2409" spans="1:8" ht="30" x14ac:dyDescent="0.25">
      <c r="A2409" s="14" t="s">
        <v>879</v>
      </c>
      <c r="B2409" s="14">
        <v>9</v>
      </c>
      <c r="C2409" s="15" t="s">
        <v>2476</v>
      </c>
      <c r="D2409" s="14" t="s">
        <v>1745</v>
      </c>
      <c r="E2409" s="14" t="s">
        <v>1747</v>
      </c>
      <c r="F2409" s="14">
        <v>599.04</v>
      </c>
      <c r="G2409" s="14">
        <v>479.23</v>
      </c>
      <c r="H2409" s="37">
        <f>'Calculation Sheet'!N2409</f>
        <v>464.85310000000004</v>
      </c>
    </row>
    <row r="2410" spans="1:8" x14ac:dyDescent="0.25">
      <c r="A2410" s="14" t="s">
        <v>879</v>
      </c>
      <c r="B2410" s="14" t="s">
        <v>73</v>
      </c>
      <c r="C2410" s="15" t="s">
        <v>2477</v>
      </c>
      <c r="D2410" s="14" t="s">
        <v>1749</v>
      </c>
      <c r="E2410" s="14" t="s">
        <v>1746</v>
      </c>
      <c r="F2410" s="14">
        <v>138</v>
      </c>
      <c r="G2410" s="14">
        <v>110.4</v>
      </c>
      <c r="H2410" s="37">
        <f>'Calculation Sheet'!N2410</f>
        <v>109.29600000000001</v>
      </c>
    </row>
    <row r="2411" spans="1:8" x14ac:dyDescent="0.25">
      <c r="A2411" s="14" t="s">
        <v>879</v>
      </c>
      <c r="B2411" s="14" t="s">
        <v>55</v>
      </c>
      <c r="C2411" s="15" t="s">
        <v>887</v>
      </c>
      <c r="D2411" s="14" t="s">
        <v>1745</v>
      </c>
      <c r="E2411" s="14" t="s">
        <v>1747</v>
      </c>
      <c r="F2411" s="14">
        <v>4680</v>
      </c>
      <c r="G2411" s="14">
        <v>3744</v>
      </c>
      <c r="H2411" s="37">
        <f>'Calculation Sheet'!N2411</f>
        <v>3631.68</v>
      </c>
    </row>
    <row r="2412" spans="1:8" x14ac:dyDescent="0.25">
      <c r="A2412" s="14" t="s">
        <v>879</v>
      </c>
      <c r="B2412" s="14" t="s">
        <v>73</v>
      </c>
      <c r="C2412" s="15" t="s">
        <v>2477</v>
      </c>
      <c r="D2412" s="14" t="s">
        <v>1745</v>
      </c>
      <c r="E2412" s="14" t="s">
        <v>1747</v>
      </c>
      <c r="F2412" s="14">
        <v>1380</v>
      </c>
      <c r="G2412" s="14">
        <v>1104</v>
      </c>
      <c r="H2412" s="37">
        <f>'Calculation Sheet'!N2412</f>
        <v>1070.8800000000001</v>
      </c>
    </row>
    <row r="2413" spans="1:8" x14ac:dyDescent="0.25">
      <c r="A2413" s="14" t="s">
        <v>87</v>
      </c>
      <c r="B2413" s="14">
        <v>2</v>
      </c>
      <c r="C2413" s="15" t="s">
        <v>2479</v>
      </c>
      <c r="D2413" s="14" t="s">
        <v>1745</v>
      </c>
      <c r="E2413" s="14" t="s">
        <v>1746</v>
      </c>
      <c r="F2413" s="14">
        <v>7308</v>
      </c>
      <c r="G2413" s="14">
        <v>5846.4</v>
      </c>
      <c r="H2413" s="37">
        <f>'Calculation Sheet'!N2413</f>
        <v>5846.4</v>
      </c>
    </row>
    <row r="2414" spans="1:8" x14ac:dyDescent="0.25">
      <c r="A2414" s="14" t="s">
        <v>87</v>
      </c>
      <c r="B2414" s="14" t="s">
        <v>470</v>
      </c>
      <c r="C2414" s="15" t="s">
        <v>2480</v>
      </c>
      <c r="D2414" s="14" t="s">
        <v>1745</v>
      </c>
      <c r="E2414" s="14" t="s">
        <v>1747</v>
      </c>
      <c r="F2414" s="14">
        <v>299.52</v>
      </c>
      <c r="G2414" s="14">
        <v>239.62</v>
      </c>
      <c r="H2414" s="37">
        <f>'Calculation Sheet'!N2414</f>
        <v>239.62</v>
      </c>
    </row>
    <row r="2415" spans="1:8" x14ac:dyDescent="0.25">
      <c r="A2415" s="14" t="s">
        <v>87</v>
      </c>
      <c r="B2415" s="14" t="s">
        <v>120</v>
      </c>
      <c r="C2415" s="15" t="s">
        <v>2481</v>
      </c>
      <c r="D2415" s="14" t="s">
        <v>1749</v>
      </c>
      <c r="E2415" s="14" t="s">
        <v>1746</v>
      </c>
      <c r="F2415" s="14">
        <v>0</v>
      </c>
      <c r="G2415" s="14">
        <v>0</v>
      </c>
      <c r="H2415" s="37">
        <f>'Calculation Sheet'!N2415</f>
        <v>0</v>
      </c>
    </row>
    <row r="2416" spans="1:8" x14ac:dyDescent="0.25">
      <c r="A2416" s="14" t="s">
        <v>87</v>
      </c>
      <c r="B2416" s="14">
        <v>14</v>
      </c>
      <c r="C2416" s="15" t="s">
        <v>2482</v>
      </c>
      <c r="D2416" s="14" t="s">
        <v>1745</v>
      </c>
      <c r="E2416" s="14" t="s">
        <v>1747</v>
      </c>
      <c r="F2416" s="14">
        <v>599.04</v>
      </c>
      <c r="G2416" s="14">
        <v>479.23</v>
      </c>
      <c r="H2416" s="37">
        <f>'Calculation Sheet'!N2416</f>
        <v>479.23</v>
      </c>
    </row>
    <row r="2417" spans="1:8" x14ac:dyDescent="0.25">
      <c r="A2417" s="14" t="s">
        <v>87</v>
      </c>
      <c r="B2417" s="14" t="s">
        <v>108</v>
      </c>
      <c r="C2417" s="15" t="s">
        <v>2483</v>
      </c>
      <c r="D2417" s="14" t="s">
        <v>1749</v>
      </c>
      <c r="E2417" s="14" t="s">
        <v>1746</v>
      </c>
      <c r="F2417" s="14">
        <v>174</v>
      </c>
      <c r="G2417" s="14">
        <v>156.6</v>
      </c>
      <c r="H2417" s="37">
        <f>'Calculation Sheet'!N2417</f>
        <v>156.6</v>
      </c>
    </row>
    <row r="2418" spans="1:8" x14ac:dyDescent="0.25">
      <c r="A2418" s="14" t="s">
        <v>87</v>
      </c>
      <c r="B2418" s="14">
        <v>2</v>
      </c>
      <c r="C2418" s="15" t="s">
        <v>2479</v>
      </c>
      <c r="D2418" s="14" t="s">
        <v>1749</v>
      </c>
      <c r="E2418" s="14" t="s">
        <v>1746</v>
      </c>
      <c r="F2418" s="14">
        <v>696</v>
      </c>
      <c r="G2418" s="14">
        <v>556.79999999999995</v>
      </c>
      <c r="H2418" s="37">
        <f>'Calculation Sheet'!N2418</f>
        <v>556.79999999999995</v>
      </c>
    </row>
    <row r="2419" spans="1:8" x14ac:dyDescent="0.25">
      <c r="A2419" s="14" t="s">
        <v>87</v>
      </c>
      <c r="B2419" s="14">
        <v>14</v>
      </c>
      <c r="C2419" s="15" t="s">
        <v>2482</v>
      </c>
      <c r="D2419" s="14" t="s">
        <v>1745</v>
      </c>
      <c r="E2419" s="14" t="s">
        <v>1746</v>
      </c>
      <c r="F2419" s="14">
        <v>629.04</v>
      </c>
      <c r="G2419" s="14">
        <v>503.16</v>
      </c>
      <c r="H2419" s="37">
        <f>'Calculation Sheet'!N2419</f>
        <v>503.16</v>
      </c>
    </row>
    <row r="2420" spans="1:8" x14ac:dyDescent="0.25">
      <c r="A2420" s="14" t="s">
        <v>87</v>
      </c>
      <c r="B2420" s="14">
        <v>14</v>
      </c>
      <c r="C2420" s="15" t="s">
        <v>2482</v>
      </c>
      <c r="D2420" s="14" t="s">
        <v>1749</v>
      </c>
      <c r="E2420" s="14" t="s">
        <v>1746</v>
      </c>
      <c r="F2420" s="14">
        <v>59.9</v>
      </c>
      <c r="G2420" s="14">
        <v>47.92</v>
      </c>
      <c r="H2420" s="37">
        <f>'Calculation Sheet'!N2420</f>
        <v>47.92</v>
      </c>
    </row>
    <row r="2421" spans="1:8" x14ac:dyDescent="0.25">
      <c r="A2421" s="14" t="s">
        <v>87</v>
      </c>
      <c r="B2421" s="14" t="s">
        <v>108</v>
      </c>
      <c r="C2421" s="15" t="s">
        <v>2483</v>
      </c>
      <c r="D2421" s="14" t="s">
        <v>1745</v>
      </c>
      <c r="E2421" s="14" t="s">
        <v>1747</v>
      </c>
      <c r="F2421" s="14">
        <v>1740</v>
      </c>
      <c r="G2421" s="14">
        <v>1566</v>
      </c>
      <c r="H2421" s="37">
        <f>'Calculation Sheet'!N2421</f>
        <v>1566</v>
      </c>
    </row>
    <row r="2422" spans="1:8" x14ac:dyDescent="0.25">
      <c r="A2422" s="14" t="s">
        <v>87</v>
      </c>
      <c r="B2422" s="14">
        <v>2</v>
      </c>
      <c r="C2422" s="15" t="s">
        <v>2479</v>
      </c>
      <c r="D2422" s="14" t="s">
        <v>1745</v>
      </c>
      <c r="E2422" s="14" t="s">
        <v>1747</v>
      </c>
      <c r="F2422" s="14">
        <v>6960</v>
      </c>
      <c r="G2422" s="14">
        <v>5568</v>
      </c>
      <c r="H2422" s="37">
        <f>'Calculation Sheet'!N2422</f>
        <v>5568</v>
      </c>
    </row>
    <row r="2423" spans="1:8" x14ac:dyDescent="0.25">
      <c r="A2423" s="14" t="s">
        <v>87</v>
      </c>
      <c r="B2423" s="14" t="s">
        <v>470</v>
      </c>
      <c r="C2423" s="15" t="s">
        <v>2480</v>
      </c>
      <c r="D2423" s="14" t="s">
        <v>1745</v>
      </c>
      <c r="E2423" s="14" t="s">
        <v>1746</v>
      </c>
      <c r="F2423" s="14">
        <v>314.52</v>
      </c>
      <c r="G2423" s="14">
        <v>251.64</v>
      </c>
      <c r="H2423" s="37">
        <f>'Calculation Sheet'!N2423</f>
        <v>251.64</v>
      </c>
    </row>
    <row r="2424" spans="1:8" x14ac:dyDescent="0.25">
      <c r="A2424" s="14" t="s">
        <v>87</v>
      </c>
      <c r="B2424" s="14" t="s">
        <v>470</v>
      </c>
      <c r="C2424" s="15" t="s">
        <v>2480</v>
      </c>
      <c r="D2424" s="14" t="s">
        <v>1749</v>
      </c>
      <c r="E2424" s="14" t="s">
        <v>1746</v>
      </c>
      <c r="F2424" s="14">
        <v>29.95</v>
      </c>
      <c r="G2424" s="14">
        <v>23.96</v>
      </c>
      <c r="H2424" s="37">
        <f>'Calculation Sheet'!N2424</f>
        <v>23.96</v>
      </c>
    </row>
    <row r="2425" spans="1:8" x14ac:dyDescent="0.25">
      <c r="A2425" s="14" t="s">
        <v>87</v>
      </c>
      <c r="B2425" s="14" t="s">
        <v>120</v>
      </c>
      <c r="C2425" s="15" t="s">
        <v>2481</v>
      </c>
      <c r="D2425" s="14" t="s">
        <v>1745</v>
      </c>
      <c r="E2425" s="14" t="s">
        <v>1746</v>
      </c>
      <c r="F2425" s="14">
        <v>0</v>
      </c>
      <c r="G2425" s="14">
        <v>0</v>
      </c>
      <c r="H2425" s="37">
        <f>'Calculation Sheet'!N2425</f>
        <v>0</v>
      </c>
    </row>
    <row r="2426" spans="1:8" x14ac:dyDescent="0.25">
      <c r="A2426" s="14" t="s">
        <v>87</v>
      </c>
      <c r="B2426" s="14" t="s">
        <v>120</v>
      </c>
      <c r="C2426" s="15" t="s">
        <v>2481</v>
      </c>
      <c r="D2426" s="14" t="s">
        <v>1745</v>
      </c>
      <c r="E2426" s="14" t="s">
        <v>1747</v>
      </c>
      <c r="F2426" s="14">
        <v>0</v>
      </c>
      <c r="G2426" s="14">
        <v>0</v>
      </c>
      <c r="H2426" s="37">
        <f>'Calculation Sheet'!N2426</f>
        <v>0</v>
      </c>
    </row>
    <row r="2427" spans="1:8" x14ac:dyDescent="0.25">
      <c r="A2427" s="14" t="s">
        <v>87</v>
      </c>
      <c r="B2427" s="14" t="s">
        <v>108</v>
      </c>
      <c r="C2427" s="15" t="s">
        <v>2483</v>
      </c>
      <c r="D2427" s="14" t="s">
        <v>1745</v>
      </c>
      <c r="E2427" s="14" t="s">
        <v>1746</v>
      </c>
      <c r="F2427" s="14">
        <v>1827</v>
      </c>
      <c r="G2427" s="14">
        <v>1644.36</v>
      </c>
      <c r="H2427" s="37">
        <f>'Calculation Sheet'!N2427</f>
        <v>1644.36</v>
      </c>
    </row>
    <row r="2428" spans="1:8" x14ac:dyDescent="0.25">
      <c r="A2428" s="14" t="s">
        <v>92</v>
      </c>
      <c r="B2428" s="14">
        <v>17</v>
      </c>
      <c r="C2428" s="15" t="s">
        <v>892</v>
      </c>
      <c r="D2428" s="14" t="s">
        <v>1749</v>
      </c>
      <c r="E2428" s="14" t="s">
        <v>1746</v>
      </c>
      <c r="F2428" s="14">
        <v>696</v>
      </c>
      <c r="G2428" s="14">
        <v>556.79999999999995</v>
      </c>
      <c r="H2428" s="37">
        <f>'Calculation Sheet'!N2428</f>
        <v>551.23199999999997</v>
      </c>
    </row>
    <row r="2429" spans="1:8" x14ac:dyDescent="0.25">
      <c r="A2429" s="14" t="s">
        <v>92</v>
      </c>
      <c r="B2429" s="14">
        <v>18</v>
      </c>
      <c r="C2429" s="15" t="s">
        <v>2484</v>
      </c>
      <c r="D2429" s="14" t="s">
        <v>1745</v>
      </c>
      <c r="E2429" s="14" t="s">
        <v>1747</v>
      </c>
      <c r="F2429" s="14">
        <v>4020</v>
      </c>
      <c r="G2429" s="14">
        <v>3618</v>
      </c>
      <c r="H2429" s="37">
        <f>'Calculation Sheet'!N2429</f>
        <v>3509.46</v>
      </c>
    </row>
    <row r="2430" spans="1:8" x14ac:dyDescent="0.25">
      <c r="A2430" s="14" t="s">
        <v>92</v>
      </c>
      <c r="B2430" s="14">
        <v>1</v>
      </c>
      <c r="C2430" s="15" t="s">
        <v>891</v>
      </c>
      <c r="D2430" s="14" t="s">
        <v>1745</v>
      </c>
      <c r="E2430" s="14" t="s">
        <v>1746</v>
      </c>
      <c r="F2430" s="14">
        <v>10458</v>
      </c>
      <c r="G2430" s="14">
        <v>8366.4</v>
      </c>
      <c r="H2430" s="37">
        <f>'Calculation Sheet'!N2430</f>
        <v>8282.735999999999</v>
      </c>
    </row>
    <row r="2431" spans="1:8" x14ac:dyDescent="0.25">
      <c r="A2431" s="14" t="s">
        <v>92</v>
      </c>
      <c r="B2431" s="14" t="s">
        <v>258</v>
      </c>
      <c r="C2431" s="15" t="s">
        <v>2485</v>
      </c>
      <c r="D2431" s="14" t="s">
        <v>1749</v>
      </c>
      <c r="E2431" s="14" t="s">
        <v>1746</v>
      </c>
      <c r="F2431" s="14">
        <v>44.93</v>
      </c>
      <c r="G2431" s="14">
        <v>35.94</v>
      </c>
      <c r="H2431" s="37">
        <f>'Calculation Sheet'!N2431</f>
        <v>35.580599999999997</v>
      </c>
    </row>
    <row r="2432" spans="1:8" x14ac:dyDescent="0.25">
      <c r="A2432" s="14" t="s">
        <v>92</v>
      </c>
      <c r="B2432" s="14">
        <v>22</v>
      </c>
      <c r="C2432" s="15" t="s">
        <v>2486</v>
      </c>
      <c r="D2432" s="14" t="s">
        <v>1745</v>
      </c>
      <c r="E2432" s="14" t="s">
        <v>1746</v>
      </c>
      <c r="F2432" s="14">
        <v>0</v>
      </c>
      <c r="G2432" s="14">
        <v>0</v>
      </c>
      <c r="H2432" s="37">
        <f>'Calculation Sheet'!N2432</f>
        <v>0</v>
      </c>
    </row>
    <row r="2433" spans="1:8" x14ac:dyDescent="0.25">
      <c r="A2433" s="14" t="s">
        <v>92</v>
      </c>
      <c r="B2433" s="14">
        <v>22</v>
      </c>
      <c r="C2433" s="15" t="s">
        <v>2486</v>
      </c>
      <c r="D2433" s="14" t="s">
        <v>1745</v>
      </c>
      <c r="E2433" s="14" t="s">
        <v>1747</v>
      </c>
      <c r="F2433" s="14">
        <v>0</v>
      </c>
      <c r="G2433" s="14">
        <v>0</v>
      </c>
      <c r="H2433" s="37">
        <f>'Calculation Sheet'!N2433</f>
        <v>0</v>
      </c>
    </row>
    <row r="2434" spans="1:8" x14ac:dyDescent="0.25">
      <c r="A2434" s="14" t="s">
        <v>92</v>
      </c>
      <c r="B2434" s="14">
        <v>1</v>
      </c>
      <c r="C2434" s="15" t="s">
        <v>891</v>
      </c>
      <c r="D2434" s="14" t="s">
        <v>1745</v>
      </c>
      <c r="E2434" s="14" t="s">
        <v>1747</v>
      </c>
      <c r="F2434" s="14">
        <v>9960</v>
      </c>
      <c r="G2434" s="14">
        <v>7968</v>
      </c>
      <c r="H2434" s="37">
        <f>'Calculation Sheet'!N2434</f>
        <v>7728.96</v>
      </c>
    </row>
    <row r="2435" spans="1:8" x14ac:dyDescent="0.25">
      <c r="A2435" s="14" t="s">
        <v>92</v>
      </c>
      <c r="B2435" s="14">
        <v>17</v>
      </c>
      <c r="C2435" s="15" t="s">
        <v>892</v>
      </c>
      <c r="D2435" s="14" t="s">
        <v>1745</v>
      </c>
      <c r="E2435" s="14" t="s">
        <v>1747</v>
      </c>
      <c r="F2435" s="14">
        <v>6960</v>
      </c>
      <c r="G2435" s="14">
        <v>5568</v>
      </c>
      <c r="H2435" s="37">
        <f>'Calculation Sheet'!N2435</f>
        <v>5400.96</v>
      </c>
    </row>
    <row r="2436" spans="1:8" x14ac:dyDescent="0.25">
      <c r="A2436" s="14" t="s">
        <v>92</v>
      </c>
      <c r="B2436" s="14">
        <v>1</v>
      </c>
      <c r="C2436" s="15" t="s">
        <v>891</v>
      </c>
      <c r="D2436" s="14" t="s">
        <v>1749</v>
      </c>
      <c r="E2436" s="14" t="s">
        <v>1746</v>
      </c>
      <c r="F2436" s="14">
        <v>996</v>
      </c>
      <c r="G2436" s="14">
        <v>796.8</v>
      </c>
      <c r="H2436" s="37">
        <f>'Calculation Sheet'!N2436</f>
        <v>788.83199999999999</v>
      </c>
    </row>
    <row r="2437" spans="1:8" x14ac:dyDescent="0.25">
      <c r="A2437" s="14" t="s">
        <v>92</v>
      </c>
      <c r="B2437" s="14" t="s">
        <v>307</v>
      </c>
      <c r="C2437" s="15" t="s">
        <v>2487</v>
      </c>
      <c r="D2437" s="14" t="s">
        <v>1745</v>
      </c>
      <c r="E2437" s="14" t="s">
        <v>1746</v>
      </c>
      <c r="F2437" s="14">
        <v>943.44</v>
      </c>
      <c r="G2437" s="14">
        <v>754.8</v>
      </c>
      <c r="H2437" s="37">
        <f>'Calculation Sheet'!N2437</f>
        <v>747.25199999999995</v>
      </c>
    </row>
    <row r="2438" spans="1:8" x14ac:dyDescent="0.25">
      <c r="A2438" s="14" t="s">
        <v>92</v>
      </c>
      <c r="B2438" s="14" t="s">
        <v>258</v>
      </c>
      <c r="C2438" s="15" t="s">
        <v>2485</v>
      </c>
      <c r="D2438" s="14" t="s">
        <v>1745</v>
      </c>
      <c r="E2438" s="14" t="s">
        <v>1746</v>
      </c>
      <c r="F2438" s="14">
        <v>471.72</v>
      </c>
      <c r="G2438" s="14">
        <v>377.4</v>
      </c>
      <c r="H2438" s="37">
        <f>'Calculation Sheet'!N2438</f>
        <v>373.62599999999998</v>
      </c>
    </row>
    <row r="2439" spans="1:8" x14ac:dyDescent="0.25">
      <c r="A2439" s="14" t="s">
        <v>92</v>
      </c>
      <c r="B2439" s="14" t="s">
        <v>307</v>
      </c>
      <c r="C2439" s="15" t="s">
        <v>2487</v>
      </c>
      <c r="D2439" s="14" t="s">
        <v>1745</v>
      </c>
      <c r="E2439" s="14" t="s">
        <v>1747</v>
      </c>
      <c r="F2439" s="14">
        <v>898.56</v>
      </c>
      <c r="G2439" s="14">
        <v>718.85</v>
      </c>
      <c r="H2439" s="37">
        <f>'Calculation Sheet'!N2439</f>
        <v>697.28449999999998</v>
      </c>
    </row>
    <row r="2440" spans="1:8" x14ac:dyDescent="0.25">
      <c r="A2440" s="14" t="s">
        <v>92</v>
      </c>
      <c r="B2440" s="14" t="s">
        <v>307</v>
      </c>
      <c r="C2440" s="15" t="s">
        <v>2487</v>
      </c>
      <c r="D2440" s="14" t="s">
        <v>1749</v>
      </c>
      <c r="E2440" s="14" t="s">
        <v>1746</v>
      </c>
      <c r="F2440" s="14">
        <v>89.86</v>
      </c>
      <c r="G2440" s="14">
        <v>71.88</v>
      </c>
      <c r="H2440" s="37">
        <f>'Calculation Sheet'!N2440</f>
        <v>71.161199999999994</v>
      </c>
    </row>
    <row r="2441" spans="1:8" x14ac:dyDescent="0.25">
      <c r="A2441" s="14" t="s">
        <v>92</v>
      </c>
      <c r="B2441" s="14">
        <v>17</v>
      </c>
      <c r="C2441" s="15" t="s">
        <v>892</v>
      </c>
      <c r="D2441" s="14" t="s">
        <v>1745</v>
      </c>
      <c r="E2441" s="14" t="s">
        <v>1746</v>
      </c>
      <c r="F2441" s="14">
        <v>7308</v>
      </c>
      <c r="G2441" s="14">
        <v>5846.4</v>
      </c>
      <c r="H2441" s="37">
        <f>'Calculation Sheet'!N2441</f>
        <v>5787.9359999999997</v>
      </c>
    </row>
    <row r="2442" spans="1:8" x14ac:dyDescent="0.25">
      <c r="A2442" s="14" t="s">
        <v>92</v>
      </c>
      <c r="B2442" s="14" t="s">
        <v>258</v>
      </c>
      <c r="C2442" s="15" t="s">
        <v>2485</v>
      </c>
      <c r="D2442" s="14" t="s">
        <v>1745</v>
      </c>
      <c r="E2442" s="14" t="s">
        <v>1747</v>
      </c>
      <c r="F2442" s="14">
        <v>449.28</v>
      </c>
      <c r="G2442" s="14">
        <v>359.42</v>
      </c>
      <c r="H2442" s="37">
        <f>'Calculation Sheet'!N2442</f>
        <v>348.63740000000001</v>
      </c>
    </row>
    <row r="2443" spans="1:8" x14ac:dyDescent="0.25">
      <c r="A2443" s="14" t="s">
        <v>92</v>
      </c>
      <c r="B2443" s="14">
        <v>18</v>
      </c>
      <c r="C2443" s="15" t="s">
        <v>2484</v>
      </c>
      <c r="D2443" s="14" t="s">
        <v>1749</v>
      </c>
      <c r="E2443" s="14" t="s">
        <v>1746</v>
      </c>
      <c r="F2443" s="14">
        <v>402</v>
      </c>
      <c r="G2443" s="14">
        <v>361.8</v>
      </c>
      <c r="H2443" s="37">
        <f>'Calculation Sheet'!N2443</f>
        <v>358.18200000000002</v>
      </c>
    </row>
    <row r="2444" spans="1:8" x14ac:dyDescent="0.25">
      <c r="A2444" s="14" t="s">
        <v>92</v>
      </c>
      <c r="B2444" s="14">
        <v>18</v>
      </c>
      <c r="C2444" s="15" t="s">
        <v>2484</v>
      </c>
      <c r="D2444" s="14" t="s">
        <v>1745</v>
      </c>
      <c r="E2444" s="14" t="s">
        <v>1746</v>
      </c>
      <c r="F2444" s="14">
        <v>4221</v>
      </c>
      <c r="G2444" s="14">
        <v>3798.96</v>
      </c>
      <c r="H2444" s="37">
        <f>'Calculation Sheet'!N2444</f>
        <v>3760.9704000000002</v>
      </c>
    </row>
    <row r="2445" spans="1:8" x14ac:dyDescent="0.25">
      <c r="A2445" s="14" t="s">
        <v>92</v>
      </c>
      <c r="B2445" s="14">
        <v>22</v>
      </c>
      <c r="C2445" s="15" t="s">
        <v>2486</v>
      </c>
      <c r="D2445" s="14" t="s">
        <v>1749</v>
      </c>
      <c r="E2445" s="14" t="s">
        <v>1746</v>
      </c>
      <c r="F2445" s="14">
        <v>0</v>
      </c>
      <c r="G2445" s="14">
        <v>0</v>
      </c>
      <c r="H2445" s="37">
        <f>'Calculation Sheet'!N2445</f>
        <v>0</v>
      </c>
    </row>
    <row r="2446" spans="1:8" x14ac:dyDescent="0.25">
      <c r="A2446" s="14" t="s">
        <v>913</v>
      </c>
      <c r="B2446" s="14" t="s">
        <v>28</v>
      </c>
      <c r="C2446" s="15" t="s">
        <v>2488</v>
      </c>
      <c r="D2446" s="14" t="s">
        <v>1749</v>
      </c>
      <c r="E2446" s="14" t="s">
        <v>1746</v>
      </c>
      <c r="F2446" s="14">
        <v>336</v>
      </c>
      <c r="G2446" s="14">
        <v>268.8</v>
      </c>
      <c r="H2446" s="37">
        <f>'Calculation Sheet'!N2446</f>
        <v>268.8</v>
      </c>
    </row>
    <row r="2447" spans="1:8" x14ac:dyDescent="0.25">
      <c r="A2447" s="14" t="s">
        <v>913</v>
      </c>
      <c r="B2447" s="14" t="s">
        <v>102</v>
      </c>
      <c r="C2447" s="15" t="s">
        <v>912</v>
      </c>
      <c r="D2447" s="14" t="s">
        <v>1745</v>
      </c>
      <c r="E2447" s="14" t="s">
        <v>1747</v>
      </c>
      <c r="F2447" s="14">
        <v>74880</v>
      </c>
      <c r="G2447" s="14">
        <v>59904</v>
      </c>
      <c r="H2447" s="37">
        <f>'Calculation Sheet'!N2447</f>
        <v>58106.879999999997</v>
      </c>
    </row>
    <row r="2448" spans="1:8" x14ac:dyDescent="0.25">
      <c r="A2448" s="14" t="s">
        <v>913</v>
      </c>
      <c r="B2448" s="14">
        <v>3</v>
      </c>
      <c r="C2448" s="15" t="s">
        <v>2489</v>
      </c>
      <c r="D2448" s="14" t="s">
        <v>1749</v>
      </c>
      <c r="E2448" s="14" t="s">
        <v>1746</v>
      </c>
      <c r="F2448" s="14">
        <v>498</v>
      </c>
      <c r="G2448" s="14">
        <v>398.4</v>
      </c>
      <c r="H2448" s="37">
        <f>'Calculation Sheet'!N2448</f>
        <v>398.4</v>
      </c>
    </row>
    <row r="2449" spans="1:8" x14ac:dyDescent="0.25">
      <c r="A2449" s="14" t="s">
        <v>913</v>
      </c>
      <c r="B2449" s="14">
        <v>6</v>
      </c>
      <c r="C2449" s="15" t="s">
        <v>2490</v>
      </c>
      <c r="D2449" s="14" t="s">
        <v>1749</v>
      </c>
      <c r="E2449" s="14" t="s">
        <v>1746</v>
      </c>
      <c r="F2449" s="14">
        <v>498</v>
      </c>
      <c r="G2449" s="14">
        <v>398.4</v>
      </c>
      <c r="H2449" s="37">
        <f>'Calculation Sheet'!N2449</f>
        <v>398.4</v>
      </c>
    </row>
    <row r="2450" spans="1:8" x14ac:dyDescent="0.25">
      <c r="A2450" s="14" t="s">
        <v>913</v>
      </c>
      <c r="B2450" s="14" t="s">
        <v>24</v>
      </c>
      <c r="C2450" s="15" t="s">
        <v>2491</v>
      </c>
      <c r="D2450" s="14" t="s">
        <v>1745</v>
      </c>
      <c r="E2450" s="14" t="s">
        <v>1747</v>
      </c>
      <c r="F2450" s="14">
        <v>998.28</v>
      </c>
      <c r="G2450" s="14">
        <v>798.62</v>
      </c>
      <c r="H2450" s="37">
        <f>'Calculation Sheet'!N2450</f>
        <v>798.62</v>
      </c>
    </row>
    <row r="2451" spans="1:8" x14ac:dyDescent="0.25">
      <c r="A2451" s="14" t="s">
        <v>913</v>
      </c>
      <c r="B2451" s="14">
        <v>8</v>
      </c>
      <c r="C2451" s="15" t="s">
        <v>2492</v>
      </c>
      <c r="D2451" s="14" t="s">
        <v>1749</v>
      </c>
      <c r="E2451" s="14" t="s">
        <v>1746</v>
      </c>
      <c r="F2451" s="14">
        <v>74.88</v>
      </c>
      <c r="G2451" s="14">
        <v>59.9</v>
      </c>
      <c r="H2451" s="37">
        <f>'Calculation Sheet'!N2451</f>
        <v>59.9</v>
      </c>
    </row>
    <row r="2452" spans="1:8" x14ac:dyDescent="0.25">
      <c r="A2452" s="14" t="s">
        <v>913</v>
      </c>
      <c r="B2452" s="14">
        <v>10</v>
      </c>
      <c r="C2452" s="15" t="s">
        <v>2493</v>
      </c>
      <c r="D2452" s="14" t="s">
        <v>1749</v>
      </c>
      <c r="E2452" s="14" t="s">
        <v>1746</v>
      </c>
      <c r="F2452" s="14">
        <v>7488</v>
      </c>
      <c r="G2452" s="14">
        <v>5990.4</v>
      </c>
      <c r="H2452" s="37">
        <f>'Calculation Sheet'!N2452</f>
        <v>5930.4959999999992</v>
      </c>
    </row>
    <row r="2453" spans="1:8" x14ac:dyDescent="0.25">
      <c r="A2453" s="14" t="s">
        <v>913</v>
      </c>
      <c r="B2453" s="14" t="s">
        <v>28</v>
      </c>
      <c r="C2453" s="15" t="s">
        <v>2488</v>
      </c>
      <c r="D2453" s="14" t="s">
        <v>1745</v>
      </c>
      <c r="E2453" s="14" t="s">
        <v>1746</v>
      </c>
      <c r="F2453" s="14">
        <v>3528</v>
      </c>
      <c r="G2453" s="14">
        <v>2822.4</v>
      </c>
      <c r="H2453" s="37">
        <f>'Calculation Sheet'!N2453</f>
        <v>2822.4</v>
      </c>
    </row>
    <row r="2454" spans="1:8" x14ac:dyDescent="0.25">
      <c r="A2454" s="14" t="s">
        <v>913</v>
      </c>
      <c r="B2454" s="14">
        <v>3</v>
      </c>
      <c r="C2454" s="15" t="s">
        <v>2489</v>
      </c>
      <c r="D2454" s="14" t="s">
        <v>1745</v>
      </c>
      <c r="E2454" s="14" t="s">
        <v>1746</v>
      </c>
      <c r="F2454" s="14">
        <v>5229</v>
      </c>
      <c r="G2454" s="14">
        <v>4183.2</v>
      </c>
      <c r="H2454" s="37">
        <f>'Calculation Sheet'!N2454</f>
        <v>4183.2</v>
      </c>
    </row>
    <row r="2455" spans="1:8" x14ac:dyDescent="0.25">
      <c r="A2455" s="14" t="s">
        <v>913</v>
      </c>
      <c r="B2455" s="14" t="s">
        <v>122</v>
      </c>
      <c r="C2455" s="15" t="s">
        <v>2494</v>
      </c>
      <c r="D2455" s="14" t="s">
        <v>1749</v>
      </c>
      <c r="E2455" s="14" t="s">
        <v>1746</v>
      </c>
      <c r="F2455" s="14">
        <v>336</v>
      </c>
      <c r="G2455" s="14">
        <v>268.8</v>
      </c>
      <c r="H2455" s="37">
        <f>'Calculation Sheet'!N2455</f>
        <v>268.8</v>
      </c>
    </row>
    <row r="2456" spans="1:8" x14ac:dyDescent="0.25">
      <c r="A2456" s="14" t="s">
        <v>913</v>
      </c>
      <c r="B2456" s="14" t="s">
        <v>243</v>
      </c>
      <c r="C2456" s="15" t="s">
        <v>2495</v>
      </c>
      <c r="D2456" s="14" t="s">
        <v>1745</v>
      </c>
      <c r="E2456" s="14" t="s">
        <v>1747</v>
      </c>
      <c r="F2456" s="14">
        <v>74880</v>
      </c>
      <c r="G2456" s="14">
        <v>59904</v>
      </c>
      <c r="H2456" s="37">
        <f>'Calculation Sheet'!N2456</f>
        <v>58106.879999999997</v>
      </c>
    </row>
    <row r="2457" spans="1:8" x14ac:dyDescent="0.25">
      <c r="A2457" s="14" t="s">
        <v>913</v>
      </c>
      <c r="B2457" s="14">
        <v>7</v>
      </c>
      <c r="C2457" s="15" t="s">
        <v>2496</v>
      </c>
      <c r="D2457" s="14" t="s">
        <v>1745</v>
      </c>
      <c r="E2457" s="14" t="s">
        <v>1747</v>
      </c>
      <c r="F2457" s="14">
        <v>998.28</v>
      </c>
      <c r="G2457" s="14">
        <v>798.62</v>
      </c>
      <c r="H2457" s="37">
        <f>'Calculation Sheet'!N2457</f>
        <v>798.62</v>
      </c>
    </row>
    <row r="2458" spans="1:8" x14ac:dyDescent="0.25">
      <c r="A2458" s="14" t="s">
        <v>913</v>
      </c>
      <c r="B2458" s="14">
        <v>10</v>
      </c>
      <c r="C2458" s="15" t="s">
        <v>2493</v>
      </c>
      <c r="D2458" s="14" t="s">
        <v>1745</v>
      </c>
      <c r="E2458" s="14" t="s">
        <v>1747</v>
      </c>
      <c r="F2458" s="14">
        <v>74880</v>
      </c>
      <c r="G2458" s="14">
        <v>59904</v>
      </c>
      <c r="H2458" s="37">
        <f>'Calculation Sheet'!N2458</f>
        <v>58106.879999999997</v>
      </c>
    </row>
    <row r="2459" spans="1:8" x14ac:dyDescent="0.25">
      <c r="A2459" s="14" t="s">
        <v>913</v>
      </c>
      <c r="B2459" s="14">
        <v>10</v>
      </c>
      <c r="C2459" s="15" t="s">
        <v>2493</v>
      </c>
      <c r="D2459" s="14" t="s">
        <v>1745</v>
      </c>
      <c r="E2459" s="14" t="s">
        <v>1746</v>
      </c>
      <c r="F2459" s="14">
        <v>78624</v>
      </c>
      <c r="G2459" s="14">
        <v>62899.199999999997</v>
      </c>
      <c r="H2459" s="37">
        <f>'Calculation Sheet'!N2459</f>
        <v>62270.207999999999</v>
      </c>
    </row>
    <row r="2460" spans="1:8" x14ac:dyDescent="0.25">
      <c r="A2460" s="14" t="s">
        <v>913</v>
      </c>
      <c r="B2460" s="14">
        <v>7</v>
      </c>
      <c r="C2460" s="15" t="s">
        <v>2496</v>
      </c>
      <c r="D2460" s="14" t="s">
        <v>1745</v>
      </c>
      <c r="E2460" s="14" t="s">
        <v>1746</v>
      </c>
      <c r="F2460" s="14">
        <v>1048.2</v>
      </c>
      <c r="G2460" s="14">
        <v>838.56</v>
      </c>
      <c r="H2460" s="37">
        <f>'Calculation Sheet'!N2460</f>
        <v>838.56</v>
      </c>
    </row>
    <row r="2461" spans="1:8" x14ac:dyDescent="0.25">
      <c r="A2461" s="14" t="s">
        <v>913</v>
      </c>
      <c r="B2461" s="14">
        <v>3</v>
      </c>
      <c r="C2461" s="15" t="s">
        <v>2489</v>
      </c>
      <c r="D2461" s="14" t="s">
        <v>1745</v>
      </c>
      <c r="E2461" s="14" t="s">
        <v>1747</v>
      </c>
      <c r="F2461" s="14">
        <v>4980</v>
      </c>
      <c r="G2461" s="14">
        <v>3984</v>
      </c>
      <c r="H2461" s="37">
        <f>'Calculation Sheet'!N2461</f>
        <v>3984</v>
      </c>
    </row>
    <row r="2462" spans="1:8" x14ac:dyDescent="0.25">
      <c r="A2462" s="14" t="s">
        <v>913</v>
      </c>
      <c r="B2462" s="14">
        <v>7</v>
      </c>
      <c r="C2462" s="15" t="s">
        <v>2496</v>
      </c>
      <c r="D2462" s="14" t="s">
        <v>1749</v>
      </c>
      <c r="E2462" s="14" t="s">
        <v>1746</v>
      </c>
      <c r="F2462" s="14">
        <v>99.83</v>
      </c>
      <c r="G2462" s="14">
        <v>79.86</v>
      </c>
      <c r="H2462" s="37">
        <f>'Calculation Sheet'!N2462</f>
        <v>79.86</v>
      </c>
    </row>
    <row r="2463" spans="1:8" x14ac:dyDescent="0.25">
      <c r="A2463" s="14" t="s">
        <v>913</v>
      </c>
      <c r="B2463" s="14" t="s">
        <v>243</v>
      </c>
      <c r="C2463" s="15" t="s">
        <v>2495</v>
      </c>
      <c r="D2463" s="14" t="s">
        <v>1749</v>
      </c>
      <c r="E2463" s="14" t="s">
        <v>1746</v>
      </c>
      <c r="F2463" s="14">
        <v>7488</v>
      </c>
      <c r="G2463" s="14">
        <v>5990.4</v>
      </c>
      <c r="H2463" s="37">
        <f>'Calculation Sheet'!N2463</f>
        <v>5930.4959999999992</v>
      </c>
    </row>
    <row r="2464" spans="1:8" x14ac:dyDescent="0.25">
      <c r="A2464" s="14" t="s">
        <v>913</v>
      </c>
      <c r="B2464" s="14" t="s">
        <v>24</v>
      </c>
      <c r="C2464" s="15" t="s">
        <v>2491</v>
      </c>
      <c r="D2464" s="14" t="s">
        <v>1745</v>
      </c>
      <c r="E2464" s="14" t="s">
        <v>1746</v>
      </c>
      <c r="F2464" s="14">
        <v>1048.2</v>
      </c>
      <c r="G2464" s="14">
        <v>838.56</v>
      </c>
      <c r="H2464" s="37">
        <f>'Calculation Sheet'!N2464</f>
        <v>838.56</v>
      </c>
    </row>
    <row r="2465" spans="1:8" x14ac:dyDescent="0.25">
      <c r="A2465" s="14" t="s">
        <v>913</v>
      </c>
      <c r="B2465" s="14">
        <v>6</v>
      </c>
      <c r="C2465" s="15" t="s">
        <v>2490</v>
      </c>
      <c r="D2465" s="14" t="s">
        <v>1745</v>
      </c>
      <c r="E2465" s="14" t="s">
        <v>1746</v>
      </c>
      <c r="F2465" s="14">
        <v>5229</v>
      </c>
      <c r="G2465" s="14">
        <v>4183.2</v>
      </c>
      <c r="H2465" s="37">
        <f>'Calculation Sheet'!N2465</f>
        <v>4183.2</v>
      </c>
    </row>
    <row r="2466" spans="1:8" x14ac:dyDescent="0.25">
      <c r="A2466" s="14" t="s">
        <v>913</v>
      </c>
      <c r="B2466" s="14" t="s">
        <v>122</v>
      </c>
      <c r="C2466" s="15" t="s">
        <v>2494</v>
      </c>
      <c r="D2466" s="14" t="s">
        <v>1745</v>
      </c>
      <c r="E2466" s="14" t="s">
        <v>1747</v>
      </c>
      <c r="F2466" s="14">
        <v>3360</v>
      </c>
      <c r="G2466" s="14">
        <v>2688</v>
      </c>
      <c r="H2466" s="37">
        <f>'Calculation Sheet'!N2466</f>
        <v>2688</v>
      </c>
    </row>
    <row r="2467" spans="1:8" x14ac:dyDescent="0.25">
      <c r="A2467" s="14" t="s">
        <v>913</v>
      </c>
      <c r="B2467" s="14" t="s">
        <v>20</v>
      </c>
      <c r="C2467" s="15" t="s">
        <v>2497</v>
      </c>
      <c r="D2467" s="14" t="s">
        <v>1749</v>
      </c>
      <c r="E2467" s="14" t="s">
        <v>1746</v>
      </c>
      <c r="F2467" s="14">
        <v>74.88</v>
      </c>
      <c r="G2467" s="14">
        <v>59.9</v>
      </c>
      <c r="H2467" s="37">
        <f>'Calculation Sheet'!N2467</f>
        <v>59.9</v>
      </c>
    </row>
    <row r="2468" spans="1:8" x14ac:dyDescent="0.25">
      <c r="A2468" s="14" t="s">
        <v>913</v>
      </c>
      <c r="B2468" s="14" t="s">
        <v>243</v>
      </c>
      <c r="C2468" s="15" t="s">
        <v>2495</v>
      </c>
      <c r="D2468" s="14" t="s">
        <v>1745</v>
      </c>
      <c r="E2468" s="14" t="s">
        <v>1746</v>
      </c>
      <c r="F2468" s="14">
        <v>78624</v>
      </c>
      <c r="G2468" s="14">
        <v>62899.199999999997</v>
      </c>
      <c r="H2468" s="37">
        <f>'Calculation Sheet'!N2468</f>
        <v>62270.207999999999</v>
      </c>
    </row>
    <row r="2469" spans="1:8" x14ac:dyDescent="0.25">
      <c r="A2469" s="14" t="s">
        <v>913</v>
      </c>
      <c r="B2469" s="14" t="s">
        <v>24</v>
      </c>
      <c r="C2469" s="15" t="s">
        <v>2491</v>
      </c>
      <c r="D2469" s="14" t="s">
        <v>1749</v>
      </c>
      <c r="E2469" s="14" t="s">
        <v>1746</v>
      </c>
      <c r="F2469" s="14">
        <v>99.83</v>
      </c>
      <c r="G2469" s="14">
        <v>79.86</v>
      </c>
      <c r="H2469" s="37">
        <f>'Calculation Sheet'!N2469</f>
        <v>79.86</v>
      </c>
    </row>
    <row r="2470" spans="1:8" x14ac:dyDescent="0.25">
      <c r="A2470" s="14" t="s">
        <v>913</v>
      </c>
      <c r="B2470" s="14" t="s">
        <v>20</v>
      </c>
      <c r="C2470" s="15" t="s">
        <v>2497</v>
      </c>
      <c r="D2470" s="14" t="s">
        <v>1745</v>
      </c>
      <c r="E2470" s="14" t="s">
        <v>1746</v>
      </c>
      <c r="F2470" s="14">
        <v>786.24</v>
      </c>
      <c r="G2470" s="14">
        <v>629.04</v>
      </c>
      <c r="H2470" s="37">
        <f>'Calculation Sheet'!N2470</f>
        <v>629.04</v>
      </c>
    </row>
    <row r="2471" spans="1:8" x14ac:dyDescent="0.25">
      <c r="A2471" s="14" t="s">
        <v>913</v>
      </c>
      <c r="B2471" s="14">
        <v>8</v>
      </c>
      <c r="C2471" s="15" t="s">
        <v>2492</v>
      </c>
      <c r="D2471" s="14" t="s">
        <v>1745</v>
      </c>
      <c r="E2471" s="14" t="s">
        <v>1746</v>
      </c>
      <c r="F2471" s="14">
        <v>786.24</v>
      </c>
      <c r="G2471" s="14">
        <v>629.04</v>
      </c>
      <c r="H2471" s="37">
        <f>'Calculation Sheet'!N2471</f>
        <v>629.04</v>
      </c>
    </row>
    <row r="2472" spans="1:8" x14ac:dyDescent="0.25">
      <c r="A2472" s="14" t="s">
        <v>913</v>
      </c>
      <c r="B2472" s="14" t="s">
        <v>28</v>
      </c>
      <c r="C2472" s="15" t="s">
        <v>2488</v>
      </c>
      <c r="D2472" s="14" t="s">
        <v>1745</v>
      </c>
      <c r="E2472" s="14" t="s">
        <v>1747</v>
      </c>
      <c r="F2472" s="14">
        <v>3360</v>
      </c>
      <c r="G2472" s="14">
        <v>2688</v>
      </c>
      <c r="H2472" s="37">
        <f>'Calculation Sheet'!N2472</f>
        <v>2688</v>
      </c>
    </row>
    <row r="2473" spans="1:8" x14ac:dyDescent="0.25">
      <c r="A2473" s="14" t="s">
        <v>913</v>
      </c>
      <c r="B2473" s="14" t="s">
        <v>102</v>
      </c>
      <c r="C2473" s="15" t="s">
        <v>912</v>
      </c>
      <c r="D2473" s="14" t="s">
        <v>1749</v>
      </c>
      <c r="E2473" s="14" t="s">
        <v>1746</v>
      </c>
      <c r="F2473" s="14">
        <v>7488</v>
      </c>
      <c r="G2473" s="14">
        <v>5990.4</v>
      </c>
      <c r="H2473" s="37">
        <f>'Calculation Sheet'!N2473</f>
        <v>5930.4959999999992</v>
      </c>
    </row>
    <row r="2474" spans="1:8" x14ac:dyDescent="0.25">
      <c r="A2474" s="14" t="s">
        <v>913</v>
      </c>
      <c r="B2474" s="14">
        <v>6</v>
      </c>
      <c r="C2474" s="15" t="s">
        <v>2490</v>
      </c>
      <c r="D2474" s="14" t="s">
        <v>1745</v>
      </c>
      <c r="E2474" s="14" t="s">
        <v>1747</v>
      </c>
      <c r="F2474" s="14">
        <v>4980</v>
      </c>
      <c r="G2474" s="14">
        <v>3984</v>
      </c>
      <c r="H2474" s="37">
        <f>'Calculation Sheet'!N2474</f>
        <v>3984</v>
      </c>
    </row>
    <row r="2475" spans="1:8" x14ac:dyDescent="0.25">
      <c r="A2475" s="14" t="s">
        <v>913</v>
      </c>
      <c r="B2475" s="14">
        <v>8</v>
      </c>
      <c r="C2475" s="15" t="s">
        <v>2492</v>
      </c>
      <c r="D2475" s="14" t="s">
        <v>1745</v>
      </c>
      <c r="E2475" s="14" t="s">
        <v>1747</v>
      </c>
      <c r="F2475" s="14">
        <v>748.8</v>
      </c>
      <c r="G2475" s="14">
        <v>599.04</v>
      </c>
      <c r="H2475" s="37">
        <f>'Calculation Sheet'!N2475</f>
        <v>599.04</v>
      </c>
    </row>
    <row r="2476" spans="1:8" x14ac:dyDescent="0.25">
      <c r="A2476" s="14" t="s">
        <v>913</v>
      </c>
      <c r="B2476" s="14" t="s">
        <v>122</v>
      </c>
      <c r="C2476" s="15" t="s">
        <v>2494</v>
      </c>
      <c r="D2476" s="14" t="s">
        <v>1745</v>
      </c>
      <c r="E2476" s="14" t="s">
        <v>1746</v>
      </c>
      <c r="F2476" s="14">
        <v>3528</v>
      </c>
      <c r="G2476" s="14">
        <v>2822.4</v>
      </c>
      <c r="H2476" s="37">
        <f>'Calculation Sheet'!N2476</f>
        <v>2822.4</v>
      </c>
    </row>
    <row r="2477" spans="1:8" x14ac:dyDescent="0.25">
      <c r="A2477" s="14" t="s">
        <v>913</v>
      </c>
      <c r="B2477" s="14" t="s">
        <v>102</v>
      </c>
      <c r="C2477" s="15" t="s">
        <v>912</v>
      </c>
      <c r="D2477" s="14" t="s">
        <v>1745</v>
      </c>
      <c r="E2477" s="14" t="s">
        <v>1746</v>
      </c>
      <c r="F2477" s="14">
        <v>78624</v>
      </c>
      <c r="G2477" s="14">
        <v>62899.199999999997</v>
      </c>
      <c r="H2477" s="37">
        <f>'Calculation Sheet'!N2477</f>
        <v>62270.207999999999</v>
      </c>
    </row>
    <row r="2478" spans="1:8" x14ac:dyDescent="0.25">
      <c r="A2478" s="14" t="s">
        <v>913</v>
      </c>
      <c r="B2478" s="14" t="s">
        <v>20</v>
      </c>
      <c r="C2478" s="15" t="s">
        <v>2497</v>
      </c>
      <c r="D2478" s="14" t="s">
        <v>1745</v>
      </c>
      <c r="E2478" s="14" t="s">
        <v>1747</v>
      </c>
      <c r="F2478" s="14">
        <v>748.8</v>
      </c>
      <c r="G2478" s="14">
        <v>599.04</v>
      </c>
      <c r="H2478" s="37">
        <f>'Calculation Sheet'!N2478</f>
        <v>599.04</v>
      </c>
    </row>
    <row r="2479" spans="1:8" x14ac:dyDescent="0.25">
      <c r="A2479" s="14" t="s">
        <v>916</v>
      </c>
      <c r="B2479" s="14">
        <v>4</v>
      </c>
      <c r="C2479" s="15" t="s">
        <v>915</v>
      </c>
      <c r="D2479" s="14" t="s">
        <v>1745</v>
      </c>
      <c r="E2479" s="14" t="s">
        <v>1747</v>
      </c>
      <c r="F2479" s="14">
        <v>12000</v>
      </c>
      <c r="G2479" s="14">
        <v>9600</v>
      </c>
      <c r="H2479" s="37">
        <f>'Calculation Sheet'!N2479</f>
        <v>9312</v>
      </c>
    </row>
    <row r="2480" spans="1:8" x14ac:dyDescent="0.25">
      <c r="A2480" s="14" t="s">
        <v>916</v>
      </c>
      <c r="B2480" s="14">
        <v>4</v>
      </c>
      <c r="C2480" s="15" t="s">
        <v>915</v>
      </c>
      <c r="D2480" s="14" t="s">
        <v>1745</v>
      </c>
      <c r="E2480" s="14" t="s">
        <v>1746</v>
      </c>
      <c r="F2480" s="14">
        <v>12600</v>
      </c>
      <c r="G2480" s="14">
        <v>10080</v>
      </c>
      <c r="H2480" s="37">
        <f>'Calculation Sheet'!N2480</f>
        <v>9979.2000000000007</v>
      </c>
    </row>
    <row r="2481" spans="1:8" x14ac:dyDescent="0.25">
      <c r="A2481" s="14" t="s">
        <v>916</v>
      </c>
      <c r="B2481" s="14" t="s">
        <v>89</v>
      </c>
      <c r="C2481" s="15" t="s">
        <v>920</v>
      </c>
      <c r="D2481" s="14" t="s">
        <v>1749</v>
      </c>
      <c r="E2481" s="14" t="s">
        <v>1746</v>
      </c>
      <c r="F2481" s="14">
        <v>900</v>
      </c>
      <c r="G2481" s="14">
        <v>720</v>
      </c>
      <c r="H2481" s="37">
        <f>'Calculation Sheet'!N2481</f>
        <v>712.8</v>
      </c>
    </row>
    <row r="2482" spans="1:8" x14ac:dyDescent="0.25">
      <c r="A2482" s="14" t="s">
        <v>916</v>
      </c>
      <c r="B2482" s="14">
        <v>3</v>
      </c>
      <c r="C2482" s="15" t="s">
        <v>923</v>
      </c>
      <c r="D2482" s="14" t="s">
        <v>1745</v>
      </c>
      <c r="E2482" s="14" t="s">
        <v>1746</v>
      </c>
      <c r="F2482" s="14">
        <v>8442</v>
      </c>
      <c r="G2482" s="14">
        <v>6753.6</v>
      </c>
      <c r="H2482" s="37">
        <f>'Calculation Sheet'!N2482</f>
        <v>6686.0640000000003</v>
      </c>
    </row>
    <row r="2483" spans="1:8" x14ac:dyDescent="0.25">
      <c r="A2483" s="14" t="s">
        <v>916</v>
      </c>
      <c r="B2483" s="14" t="s">
        <v>24</v>
      </c>
      <c r="C2483" s="15" t="s">
        <v>2498</v>
      </c>
      <c r="D2483" s="14" t="s">
        <v>1745</v>
      </c>
      <c r="E2483" s="14" t="s">
        <v>1747</v>
      </c>
      <c r="F2483" s="14">
        <v>1320</v>
      </c>
      <c r="G2483" s="14">
        <v>1056</v>
      </c>
      <c r="H2483" s="37">
        <f>'Calculation Sheet'!N2483</f>
        <v>1024.32</v>
      </c>
    </row>
    <row r="2484" spans="1:8" x14ac:dyDescent="0.25">
      <c r="A2484" s="14" t="s">
        <v>916</v>
      </c>
      <c r="B2484" s="14" t="s">
        <v>55</v>
      </c>
      <c r="C2484" s="15" t="s">
        <v>2499</v>
      </c>
      <c r="D2484" s="14" t="s">
        <v>1745</v>
      </c>
      <c r="E2484" s="14" t="s">
        <v>1746</v>
      </c>
      <c r="F2484" s="14">
        <v>1890</v>
      </c>
      <c r="G2484" s="14">
        <v>1512</v>
      </c>
      <c r="H2484" s="37">
        <f>'Calculation Sheet'!N2484</f>
        <v>1496.88</v>
      </c>
    </row>
    <row r="2485" spans="1:8" x14ac:dyDescent="0.25">
      <c r="A2485" s="14" t="s">
        <v>916</v>
      </c>
      <c r="B2485" s="14">
        <v>5</v>
      </c>
      <c r="C2485" s="15" t="s">
        <v>2500</v>
      </c>
      <c r="D2485" s="14" t="s">
        <v>1745</v>
      </c>
      <c r="E2485" s="14" t="s">
        <v>1747</v>
      </c>
      <c r="F2485" s="14">
        <v>2400</v>
      </c>
      <c r="G2485" s="14">
        <v>1920</v>
      </c>
      <c r="H2485" s="37">
        <f>'Calculation Sheet'!N2485</f>
        <v>1862.4</v>
      </c>
    </row>
    <row r="2486" spans="1:8" x14ac:dyDescent="0.25">
      <c r="A2486" s="14" t="s">
        <v>916</v>
      </c>
      <c r="B2486" s="14" t="s">
        <v>24</v>
      </c>
      <c r="C2486" s="15" t="s">
        <v>2498</v>
      </c>
      <c r="D2486" s="14" t="s">
        <v>1745</v>
      </c>
      <c r="E2486" s="14" t="s">
        <v>1746</v>
      </c>
      <c r="F2486" s="14">
        <v>1386</v>
      </c>
      <c r="G2486" s="14">
        <v>1108.8</v>
      </c>
      <c r="H2486" s="37">
        <f>'Calculation Sheet'!N2486</f>
        <v>1097.712</v>
      </c>
    </row>
    <row r="2487" spans="1:8" x14ac:dyDescent="0.25">
      <c r="A2487" s="14" t="s">
        <v>916</v>
      </c>
      <c r="B2487" s="14">
        <v>7</v>
      </c>
      <c r="C2487" s="15" t="s">
        <v>2501</v>
      </c>
      <c r="D2487" s="14" t="s">
        <v>1745</v>
      </c>
      <c r="E2487" s="14" t="s">
        <v>1746</v>
      </c>
      <c r="F2487" s="14">
        <v>1890</v>
      </c>
      <c r="G2487" s="14">
        <v>1512</v>
      </c>
      <c r="H2487" s="37">
        <f>'Calculation Sheet'!N2487</f>
        <v>1496.88</v>
      </c>
    </row>
    <row r="2488" spans="1:8" x14ac:dyDescent="0.25">
      <c r="A2488" s="14" t="s">
        <v>916</v>
      </c>
      <c r="B2488" s="14">
        <v>6</v>
      </c>
      <c r="C2488" s="15" t="s">
        <v>2502</v>
      </c>
      <c r="D2488" s="14" t="s">
        <v>1745</v>
      </c>
      <c r="E2488" s="14" t="s">
        <v>1746</v>
      </c>
      <c r="F2488" s="14">
        <v>5040</v>
      </c>
      <c r="G2488" s="14">
        <v>4536</v>
      </c>
      <c r="H2488" s="37">
        <f>'Calculation Sheet'!N2488</f>
        <v>4490.6400000000003</v>
      </c>
    </row>
    <row r="2489" spans="1:8" x14ac:dyDescent="0.25">
      <c r="A2489" s="14" t="s">
        <v>916</v>
      </c>
      <c r="B2489" s="14" t="s">
        <v>89</v>
      </c>
      <c r="C2489" s="15" t="s">
        <v>920</v>
      </c>
      <c r="D2489" s="14" t="s">
        <v>1745</v>
      </c>
      <c r="E2489" s="14" t="s">
        <v>1746</v>
      </c>
      <c r="F2489" s="14">
        <v>9450</v>
      </c>
      <c r="G2489" s="14">
        <v>7560</v>
      </c>
      <c r="H2489" s="37">
        <f>'Calculation Sheet'!N2489</f>
        <v>7484.4</v>
      </c>
    </row>
    <row r="2490" spans="1:8" x14ac:dyDescent="0.25">
      <c r="A2490" s="14" t="s">
        <v>916</v>
      </c>
      <c r="B2490" s="14" t="s">
        <v>20</v>
      </c>
      <c r="C2490" s="15" t="s">
        <v>918</v>
      </c>
      <c r="D2490" s="14" t="s">
        <v>1745</v>
      </c>
      <c r="E2490" s="14" t="s">
        <v>1747</v>
      </c>
      <c r="F2490" s="14">
        <v>6000</v>
      </c>
      <c r="G2490" s="14">
        <v>4800</v>
      </c>
      <c r="H2490" s="37">
        <f>'Calculation Sheet'!N2490</f>
        <v>4656</v>
      </c>
    </row>
    <row r="2491" spans="1:8" x14ac:dyDescent="0.25">
      <c r="A2491" s="14" t="s">
        <v>916</v>
      </c>
      <c r="B2491" s="14" t="s">
        <v>55</v>
      </c>
      <c r="C2491" s="15" t="s">
        <v>2499</v>
      </c>
      <c r="D2491" s="14" t="s">
        <v>1745</v>
      </c>
      <c r="E2491" s="14" t="s">
        <v>1747</v>
      </c>
      <c r="F2491" s="14">
        <v>1800</v>
      </c>
      <c r="G2491" s="14">
        <v>1440</v>
      </c>
      <c r="H2491" s="37">
        <f>'Calculation Sheet'!N2491</f>
        <v>1396.8</v>
      </c>
    </row>
    <row r="2492" spans="1:8" x14ac:dyDescent="0.25">
      <c r="A2492" s="14" t="s">
        <v>916</v>
      </c>
      <c r="B2492" s="14">
        <v>1</v>
      </c>
      <c r="C2492" s="15" t="s">
        <v>915</v>
      </c>
      <c r="D2492" s="14" t="s">
        <v>1749</v>
      </c>
      <c r="E2492" s="14" t="s">
        <v>1766</v>
      </c>
      <c r="F2492" s="14">
        <v>0</v>
      </c>
      <c r="G2492" s="14">
        <v>0</v>
      </c>
      <c r="H2492" s="37">
        <f>'Calculation Sheet'!N2492</f>
        <v>0</v>
      </c>
    </row>
    <row r="2493" spans="1:8" x14ac:dyDescent="0.25">
      <c r="A2493" s="14" t="s">
        <v>916</v>
      </c>
      <c r="B2493" s="14">
        <v>7</v>
      </c>
      <c r="C2493" s="15" t="s">
        <v>2501</v>
      </c>
      <c r="D2493" s="14" t="s">
        <v>1745</v>
      </c>
      <c r="E2493" s="14" t="s">
        <v>1747</v>
      </c>
      <c r="F2493" s="14">
        <v>1800</v>
      </c>
      <c r="G2493" s="14">
        <v>1440</v>
      </c>
      <c r="H2493" s="37">
        <f>'Calculation Sheet'!N2493</f>
        <v>1396.8</v>
      </c>
    </row>
    <row r="2494" spans="1:8" x14ac:dyDescent="0.25">
      <c r="A2494" s="14" t="s">
        <v>916</v>
      </c>
      <c r="B2494" s="14">
        <v>5</v>
      </c>
      <c r="C2494" s="15" t="s">
        <v>2500</v>
      </c>
      <c r="D2494" s="14" t="s">
        <v>1745</v>
      </c>
      <c r="E2494" s="14" t="s">
        <v>1746</v>
      </c>
      <c r="F2494" s="14">
        <v>2520</v>
      </c>
      <c r="G2494" s="14">
        <v>2016</v>
      </c>
      <c r="H2494" s="37">
        <f>'Calculation Sheet'!N2494</f>
        <v>1995.84</v>
      </c>
    </row>
    <row r="2495" spans="1:8" x14ac:dyDescent="0.25">
      <c r="A2495" s="14" t="s">
        <v>916</v>
      </c>
      <c r="B2495" s="14">
        <v>4</v>
      </c>
      <c r="C2495" s="15" t="s">
        <v>915</v>
      </c>
      <c r="D2495" s="14" t="s">
        <v>1749</v>
      </c>
      <c r="E2495" s="14" t="s">
        <v>1746</v>
      </c>
      <c r="F2495" s="14">
        <v>1200</v>
      </c>
      <c r="G2495" s="14">
        <v>960</v>
      </c>
      <c r="H2495" s="37">
        <f>'Calculation Sheet'!N2495</f>
        <v>950.4</v>
      </c>
    </row>
    <row r="2496" spans="1:8" x14ac:dyDescent="0.25">
      <c r="A2496" s="14" t="s">
        <v>916</v>
      </c>
      <c r="B2496" s="14">
        <v>3</v>
      </c>
      <c r="C2496" s="15" t="s">
        <v>923</v>
      </c>
      <c r="D2496" s="14" t="s">
        <v>1745</v>
      </c>
      <c r="E2496" s="14" t="s">
        <v>1747</v>
      </c>
      <c r="F2496" s="14">
        <v>8040</v>
      </c>
      <c r="G2496" s="14">
        <v>6432</v>
      </c>
      <c r="H2496" s="37">
        <f>'Calculation Sheet'!N2496</f>
        <v>6239.04</v>
      </c>
    </row>
    <row r="2497" spans="1:8" x14ac:dyDescent="0.25">
      <c r="A2497" s="14" t="s">
        <v>916</v>
      </c>
      <c r="B2497" s="14">
        <v>6</v>
      </c>
      <c r="C2497" s="15" t="s">
        <v>2502</v>
      </c>
      <c r="D2497" s="14" t="s">
        <v>1745</v>
      </c>
      <c r="E2497" s="14" t="s">
        <v>1747</v>
      </c>
      <c r="F2497" s="14">
        <v>4800</v>
      </c>
      <c r="G2497" s="14">
        <v>4320</v>
      </c>
      <c r="H2497" s="37">
        <f>'Calculation Sheet'!N2497</f>
        <v>4190.3999999999996</v>
      </c>
    </row>
    <row r="2498" spans="1:8" x14ac:dyDescent="0.25">
      <c r="A2498" s="14" t="s">
        <v>916</v>
      </c>
      <c r="B2498" s="14" t="s">
        <v>89</v>
      </c>
      <c r="C2498" s="15" t="s">
        <v>920</v>
      </c>
      <c r="D2498" s="14" t="s">
        <v>1745</v>
      </c>
      <c r="E2498" s="14" t="s">
        <v>1747</v>
      </c>
      <c r="F2498" s="14">
        <v>9000</v>
      </c>
      <c r="G2498" s="14">
        <v>7200</v>
      </c>
      <c r="H2498" s="37">
        <f>'Calculation Sheet'!N2498</f>
        <v>6984</v>
      </c>
    </row>
    <row r="2499" spans="1:8" x14ac:dyDescent="0.25">
      <c r="A2499" s="14" t="s">
        <v>916</v>
      </c>
      <c r="B2499" s="14" t="s">
        <v>20</v>
      </c>
      <c r="C2499" s="15" t="s">
        <v>918</v>
      </c>
      <c r="D2499" s="14" t="s">
        <v>1749</v>
      </c>
      <c r="E2499" s="14" t="s">
        <v>1746</v>
      </c>
      <c r="F2499" s="14">
        <v>600</v>
      </c>
      <c r="G2499" s="14">
        <v>480</v>
      </c>
      <c r="H2499" s="37">
        <f>'Calculation Sheet'!N2499</f>
        <v>475.2</v>
      </c>
    </row>
    <row r="2500" spans="1:8" x14ac:dyDescent="0.25">
      <c r="A2500" s="14" t="s">
        <v>916</v>
      </c>
      <c r="B2500" s="14">
        <v>3</v>
      </c>
      <c r="C2500" s="15" t="s">
        <v>923</v>
      </c>
      <c r="D2500" s="14" t="s">
        <v>1749</v>
      </c>
      <c r="E2500" s="14" t="s">
        <v>1746</v>
      </c>
      <c r="F2500" s="14">
        <v>804</v>
      </c>
      <c r="G2500" s="14">
        <v>643.20000000000005</v>
      </c>
      <c r="H2500" s="37">
        <f>'Calculation Sheet'!N2500</f>
        <v>636.76800000000003</v>
      </c>
    </row>
    <row r="2501" spans="1:8" x14ac:dyDescent="0.25">
      <c r="A2501" s="14" t="s">
        <v>916</v>
      </c>
      <c r="B2501" s="14" t="s">
        <v>20</v>
      </c>
      <c r="C2501" s="15" t="s">
        <v>918</v>
      </c>
      <c r="D2501" s="14" t="s">
        <v>1745</v>
      </c>
      <c r="E2501" s="14" t="s">
        <v>1746</v>
      </c>
      <c r="F2501" s="14">
        <v>6300</v>
      </c>
      <c r="G2501" s="14">
        <v>5040</v>
      </c>
      <c r="H2501" s="37">
        <f>'Calculation Sheet'!N2501</f>
        <v>4989.6000000000004</v>
      </c>
    </row>
    <row r="2502" spans="1:8" x14ac:dyDescent="0.25">
      <c r="A2502" s="14" t="s">
        <v>928</v>
      </c>
      <c r="B2502" s="14">
        <v>2</v>
      </c>
      <c r="C2502" s="15" t="s">
        <v>926</v>
      </c>
      <c r="D2502" s="14" t="s">
        <v>1752</v>
      </c>
      <c r="E2502" s="14" t="s">
        <v>1753</v>
      </c>
      <c r="F2502" s="14">
        <v>9000</v>
      </c>
      <c r="G2502" s="14">
        <v>7200</v>
      </c>
      <c r="H2502" s="37">
        <f>'Calculation Sheet'!N2502</f>
        <v>6984</v>
      </c>
    </row>
    <row r="2503" spans="1:8" x14ac:dyDescent="0.25">
      <c r="A2503" s="14" t="s">
        <v>928</v>
      </c>
      <c r="B2503" s="14">
        <v>2</v>
      </c>
      <c r="C2503" s="15" t="s">
        <v>926</v>
      </c>
      <c r="D2503" s="14" t="s">
        <v>1745</v>
      </c>
      <c r="E2503" s="14" t="s">
        <v>1747</v>
      </c>
      <c r="F2503" s="14">
        <v>3000</v>
      </c>
      <c r="G2503" s="14">
        <v>2400</v>
      </c>
      <c r="H2503" s="37">
        <f>'Calculation Sheet'!N2503</f>
        <v>2328</v>
      </c>
    </row>
    <row r="2504" spans="1:8" x14ac:dyDescent="0.25">
      <c r="A2504" s="14" t="s">
        <v>928</v>
      </c>
      <c r="B2504" s="14">
        <v>2</v>
      </c>
      <c r="C2504" s="15" t="s">
        <v>926</v>
      </c>
      <c r="D2504" s="14" t="s">
        <v>1749</v>
      </c>
      <c r="E2504" s="14" t="s">
        <v>1746</v>
      </c>
      <c r="F2504" s="14">
        <v>300</v>
      </c>
      <c r="G2504" s="14">
        <v>240</v>
      </c>
      <c r="H2504" s="37">
        <f>'Calculation Sheet'!N2504</f>
        <v>237.6</v>
      </c>
    </row>
    <row r="2505" spans="1:8" x14ac:dyDescent="0.25">
      <c r="A2505" s="14" t="s">
        <v>928</v>
      </c>
      <c r="B2505" s="14">
        <v>2</v>
      </c>
      <c r="C2505" s="15" t="s">
        <v>926</v>
      </c>
      <c r="D2505" s="14" t="s">
        <v>1745</v>
      </c>
      <c r="E2505" s="14" t="s">
        <v>1746</v>
      </c>
      <c r="F2505" s="14">
        <v>3150</v>
      </c>
      <c r="G2505" s="14">
        <v>2520</v>
      </c>
      <c r="H2505" s="37">
        <f>'Calculation Sheet'!N2505</f>
        <v>2494.8000000000002</v>
      </c>
    </row>
    <row r="2506" spans="1:8" x14ac:dyDescent="0.25">
      <c r="A2506" s="14" t="s">
        <v>928</v>
      </c>
      <c r="B2506" s="14">
        <v>2</v>
      </c>
      <c r="C2506" s="15" t="s">
        <v>926</v>
      </c>
      <c r="D2506" s="14" t="s">
        <v>1752</v>
      </c>
      <c r="E2506" s="14" t="s">
        <v>1747</v>
      </c>
      <c r="F2506" s="14">
        <v>9000</v>
      </c>
      <c r="G2506" s="14">
        <v>7200</v>
      </c>
      <c r="H2506" s="37">
        <f>'Calculation Sheet'!N2506</f>
        <v>6984</v>
      </c>
    </row>
    <row r="2507" spans="1:8" x14ac:dyDescent="0.25">
      <c r="A2507" s="14" t="s">
        <v>928</v>
      </c>
      <c r="B2507" s="14">
        <v>2</v>
      </c>
      <c r="C2507" s="15" t="s">
        <v>926</v>
      </c>
      <c r="D2507" s="14" t="s">
        <v>1752</v>
      </c>
      <c r="E2507" s="14" t="s">
        <v>1746</v>
      </c>
      <c r="F2507" s="14">
        <v>9450</v>
      </c>
      <c r="G2507" s="14">
        <v>7560</v>
      </c>
      <c r="H2507" s="37">
        <f>'Calculation Sheet'!N2507</f>
        <v>7484.4</v>
      </c>
    </row>
    <row r="2508" spans="1:8" x14ac:dyDescent="0.25">
      <c r="A2508" s="14" t="s">
        <v>940</v>
      </c>
      <c r="B2508" s="14">
        <v>1</v>
      </c>
      <c r="C2508" s="15" t="s">
        <v>939</v>
      </c>
      <c r="D2508" s="14" t="s">
        <v>1749</v>
      </c>
      <c r="E2508" s="14" t="s">
        <v>1746</v>
      </c>
      <c r="F2508" s="14">
        <v>348</v>
      </c>
      <c r="G2508" s="14">
        <v>278.39999999999998</v>
      </c>
      <c r="H2508" s="37">
        <f>'Calculation Sheet'!N2508</f>
        <v>275.61599999999999</v>
      </c>
    </row>
    <row r="2509" spans="1:8" x14ac:dyDescent="0.25">
      <c r="A2509" s="14" t="s">
        <v>940</v>
      </c>
      <c r="B2509" s="14">
        <v>1</v>
      </c>
      <c r="C2509" s="15" t="s">
        <v>939</v>
      </c>
      <c r="D2509" s="14" t="s">
        <v>1745</v>
      </c>
      <c r="E2509" s="14" t="s">
        <v>1747</v>
      </c>
      <c r="F2509" s="14">
        <v>3480</v>
      </c>
      <c r="G2509" s="14">
        <v>2784</v>
      </c>
      <c r="H2509" s="37">
        <f>'Calculation Sheet'!N2509</f>
        <v>2700.48</v>
      </c>
    </row>
    <row r="2510" spans="1:8" x14ac:dyDescent="0.25">
      <c r="A2510" s="14" t="s">
        <v>940</v>
      </c>
      <c r="B2510" s="14">
        <v>1</v>
      </c>
      <c r="C2510" s="15" t="s">
        <v>939</v>
      </c>
      <c r="D2510" s="14" t="s">
        <v>1745</v>
      </c>
      <c r="E2510" s="14" t="s">
        <v>1746</v>
      </c>
      <c r="F2510" s="14">
        <v>3654</v>
      </c>
      <c r="G2510" s="14">
        <v>2923.2</v>
      </c>
      <c r="H2510" s="37">
        <f>'Calculation Sheet'!N2510</f>
        <v>2893.9679999999998</v>
      </c>
    </row>
    <row r="2511" spans="1:8" x14ac:dyDescent="0.25">
      <c r="A2511" s="14" t="s">
        <v>945</v>
      </c>
      <c r="B2511" s="14" t="s">
        <v>16</v>
      </c>
      <c r="C2511" s="15" t="s">
        <v>2503</v>
      </c>
      <c r="D2511" s="14" t="s">
        <v>1745</v>
      </c>
      <c r="E2511" s="14" t="s">
        <v>1746</v>
      </c>
      <c r="F2511" s="14">
        <v>786.24</v>
      </c>
      <c r="G2511" s="14">
        <v>629.04</v>
      </c>
      <c r="H2511" s="37">
        <f>'Calculation Sheet'!N2511</f>
        <v>622.74959999999999</v>
      </c>
    </row>
    <row r="2512" spans="1:8" x14ac:dyDescent="0.25">
      <c r="A2512" s="14" t="s">
        <v>945</v>
      </c>
      <c r="B2512" s="14" t="s">
        <v>24</v>
      </c>
      <c r="C2512" s="15" t="s">
        <v>2504</v>
      </c>
      <c r="D2512" s="14" t="s">
        <v>1745</v>
      </c>
      <c r="E2512" s="14" t="s">
        <v>1747</v>
      </c>
      <c r="F2512" s="14">
        <v>998.28</v>
      </c>
      <c r="G2512" s="14">
        <v>798.62</v>
      </c>
      <c r="H2512" s="37">
        <f>'Calculation Sheet'!N2512</f>
        <v>774.66139999999996</v>
      </c>
    </row>
    <row r="2513" spans="1:8" x14ac:dyDescent="0.25">
      <c r="A2513" s="14" t="s">
        <v>945</v>
      </c>
      <c r="B2513" s="14">
        <v>2</v>
      </c>
      <c r="C2513" s="15" t="s">
        <v>947</v>
      </c>
      <c r="D2513" s="14" t="s">
        <v>1749</v>
      </c>
      <c r="E2513" s="14" t="s">
        <v>1746</v>
      </c>
      <c r="F2513" s="14">
        <v>336</v>
      </c>
      <c r="G2513" s="14">
        <v>268.8</v>
      </c>
      <c r="H2513" s="37">
        <f>'Calculation Sheet'!N2513</f>
        <v>266.11200000000002</v>
      </c>
    </row>
    <row r="2514" spans="1:8" x14ac:dyDescent="0.25">
      <c r="A2514" s="14" t="s">
        <v>945</v>
      </c>
      <c r="B2514" s="14">
        <v>4</v>
      </c>
      <c r="C2514" s="15" t="s">
        <v>944</v>
      </c>
      <c r="D2514" s="14" t="s">
        <v>1745</v>
      </c>
      <c r="E2514" s="14" t="s">
        <v>1747</v>
      </c>
      <c r="F2514" s="14">
        <v>4980</v>
      </c>
      <c r="G2514" s="14">
        <v>3984</v>
      </c>
      <c r="H2514" s="37">
        <f>'Calculation Sheet'!N2514</f>
        <v>3864.48</v>
      </c>
    </row>
    <row r="2515" spans="1:8" x14ac:dyDescent="0.25">
      <c r="A2515" s="14" t="s">
        <v>945</v>
      </c>
      <c r="B2515" s="14">
        <v>2</v>
      </c>
      <c r="C2515" s="15" t="s">
        <v>947</v>
      </c>
      <c r="D2515" s="14" t="s">
        <v>1745</v>
      </c>
      <c r="E2515" s="14" t="s">
        <v>1746</v>
      </c>
      <c r="F2515" s="14">
        <v>3528</v>
      </c>
      <c r="G2515" s="14">
        <v>2822.4</v>
      </c>
      <c r="H2515" s="37">
        <f>'Calculation Sheet'!N2515</f>
        <v>2794.1759999999999</v>
      </c>
    </row>
    <row r="2516" spans="1:8" x14ac:dyDescent="0.25">
      <c r="A2516" s="14" t="s">
        <v>945</v>
      </c>
      <c r="B2516" s="14" t="s">
        <v>16</v>
      </c>
      <c r="C2516" s="15" t="s">
        <v>2503</v>
      </c>
      <c r="D2516" s="14" t="s">
        <v>1745</v>
      </c>
      <c r="E2516" s="14" t="s">
        <v>1747</v>
      </c>
      <c r="F2516" s="14">
        <v>748.8</v>
      </c>
      <c r="G2516" s="14">
        <v>599.04</v>
      </c>
      <c r="H2516" s="37">
        <f>'Calculation Sheet'!N2516</f>
        <v>581.06880000000001</v>
      </c>
    </row>
    <row r="2517" spans="1:8" x14ac:dyDescent="0.25">
      <c r="A2517" s="14" t="s">
        <v>945</v>
      </c>
      <c r="B2517" s="14" t="s">
        <v>24</v>
      </c>
      <c r="C2517" s="15" t="s">
        <v>2504</v>
      </c>
      <c r="D2517" s="14" t="s">
        <v>1749</v>
      </c>
      <c r="E2517" s="14" t="s">
        <v>1746</v>
      </c>
      <c r="F2517" s="14">
        <v>99.83</v>
      </c>
      <c r="G2517" s="14">
        <v>79.86</v>
      </c>
      <c r="H2517" s="37">
        <f>'Calculation Sheet'!N2517</f>
        <v>79.061400000000006</v>
      </c>
    </row>
    <row r="2518" spans="1:8" x14ac:dyDescent="0.25">
      <c r="A2518" s="14" t="s">
        <v>945</v>
      </c>
      <c r="B2518" s="14" t="s">
        <v>20</v>
      </c>
      <c r="C2518" s="15" t="s">
        <v>2505</v>
      </c>
      <c r="D2518" s="14" t="s">
        <v>1749</v>
      </c>
      <c r="E2518" s="14" t="s">
        <v>1746</v>
      </c>
      <c r="F2518" s="14">
        <v>198</v>
      </c>
      <c r="G2518" s="14">
        <v>178.2</v>
      </c>
      <c r="H2518" s="37">
        <f>'Calculation Sheet'!N2518</f>
        <v>176.41799999999998</v>
      </c>
    </row>
    <row r="2519" spans="1:8" x14ac:dyDescent="0.25">
      <c r="A2519" s="14" t="s">
        <v>945</v>
      </c>
      <c r="B2519" s="14">
        <v>4</v>
      </c>
      <c r="C2519" s="15" t="s">
        <v>944</v>
      </c>
      <c r="D2519" s="14" t="s">
        <v>1745</v>
      </c>
      <c r="E2519" s="14" t="s">
        <v>1746</v>
      </c>
      <c r="F2519" s="14">
        <v>5229</v>
      </c>
      <c r="G2519" s="14">
        <v>4183.2</v>
      </c>
      <c r="H2519" s="37">
        <f>'Calculation Sheet'!N2519</f>
        <v>4141.3679999999995</v>
      </c>
    </row>
    <row r="2520" spans="1:8" x14ac:dyDescent="0.25">
      <c r="A2520" s="14" t="s">
        <v>945</v>
      </c>
      <c r="B2520" s="14">
        <v>2</v>
      </c>
      <c r="C2520" s="15" t="s">
        <v>947</v>
      </c>
      <c r="D2520" s="14" t="s">
        <v>1745</v>
      </c>
      <c r="E2520" s="14" t="s">
        <v>1747</v>
      </c>
      <c r="F2520" s="14">
        <v>3360</v>
      </c>
      <c r="G2520" s="14">
        <v>2688</v>
      </c>
      <c r="H2520" s="37">
        <f>'Calculation Sheet'!N2520</f>
        <v>2607.36</v>
      </c>
    </row>
    <row r="2521" spans="1:8" x14ac:dyDescent="0.25">
      <c r="A2521" s="14" t="s">
        <v>945</v>
      </c>
      <c r="B2521" s="14">
        <v>4</v>
      </c>
      <c r="C2521" s="15" t="s">
        <v>944</v>
      </c>
      <c r="D2521" s="14" t="s">
        <v>1749</v>
      </c>
      <c r="E2521" s="14" t="s">
        <v>1746</v>
      </c>
      <c r="F2521" s="14">
        <v>498</v>
      </c>
      <c r="G2521" s="14">
        <v>398.4</v>
      </c>
      <c r="H2521" s="37">
        <f>'Calculation Sheet'!N2521</f>
        <v>394.416</v>
      </c>
    </row>
    <row r="2522" spans="1:8" x14ac:dyDescent="0.25">
      <c r="A2522" s="14" t="s">
        <v>945</v>
      </c>
      <c r="B2522" s="14" t="s">
        <v>20</v>
      </c>
      <c r="C2522" s="15" t="s">
        <v>2505</v>
      </c>
      <c r="D2522" s="14" t="s">
        <v>1745</v>
      </c>
      <c r="E2522" s="14" t="s">
        <v>1746</v>
      </c>
      <c r="F2522" s="14">
        <v>2079</v>
      </c>
      <c r="G2522" s="14">
        <v>1871.16</v>
      </c>
      <c r="H2522" s="37">
        <f>'Calculation Sheet'!N2522</f>
        <v>1852.4484</v>
      </c>
    </row>
    <row r="2523" spans="1:8" x14ac:dyDescent="0.25">
      <c r="A2523" s="14" t="s">
        <v>945</v>
      </c>
      <c r="B2523" s="14" t="s">
        <v>20</v>
      </c>
      <c r="C2523" s="15" t="s">
        <v>2505</v>
      </c>
      <c r="D2523" s="14" t="s">
        <v>1745</v>
      </c>
      <c r="E2523" s="14" t="s">
        <v>1747</v>
      </c>
      <c r="F2523" s="14">
        <v>1980</v>
      </c>
      <c r="G2523" s="14">
        <v>1782</v>
      </c>
      <c r="H2523" s="37">
        <f>'Calculation Sheet'!N2523</f>
        <v>1728.54</v>
      </c>
    </row>
    <row r="2524" spans="1:8" x14ac:dyDescent="0.25">
      <c r="A2524" s="14" t="s">
        <v>945</v>
      </c>
      <c r="B2524" s="14" t="s">
        <v>24</v>
      </c>
      <c r="C2524" s="15" t="s">
        <v>2504</v>
      </c>
      <c r="D2524" s="14" t="s">
        <v>1745</v>
      </c>
      <c r="E2524" s="14" t="s">
        <v>1746</v>
      </c>
      <c r="F2524" s="14">
        <v>1048.2</v>
      </c>
      <c r="G2524" s="14">
        <v>838.56</v>
      </c>
      <c r="H2524" s="37">
        <f>'Calculation Sheet'!N2524</f>
        <v>830.17439999999999</v>
      </c>
    </row>
    <row r="2525" spans="1:8" x14ac:dyDescent="0.25">
      <c r="A2525" s="14" t="s">
        <v>945</v>
      </c>
      <c r="B2525" s="14" t="s">
        <v>16</v>
      </c>
      <c r="C2525" s="15" t="s">
        <v>2503</v>
      </c>
      <c r="D2525" s="14" t="s">
        <v>1749</v>
      </c>
      <c r="E2525" s="14" t="s">
        <v>1746</v>
      </c>
      <c r="F2525" s="14">
        <v>74.88</v>
      </c>
      <c r="G2525" s="14">
        <v>59.9</v>
      </c>
      <c r="H2525" s="37">
        <f>'Calculation Sheet'!N2525</f>
        <v>59.301000000000002</v>
      </c>
    </row>
    <row r="2526" spans="1:8" x14ac:dyDescent="0.25">
      <c r="A2526" s="14" t="s">
        <v>952</v>
      </c>
      <c r="B2526" s="14" t="s">
        <v>24</v>
      </c>
      <c r="C2526" s="15" t="s">
        <v>954</v>
      </c>
      <c r="D2526" s="14" t="s">
        <v>1745</v>
      </c>
      <c r="E2526" s="14" t="s">
        <v>1746</v>
      </c>
      <c r="F2526" s="14">
        <v>2079</v>
      </c>
      <c r="G2526" s="14">
        <v>1663.2</v>
      </c>
      <c r="H2526" s="37">
        <f>'Calculation Sheet'!N2526</f>
        <v>1646.568</v>
      </c>
    </row>
    <row r="2527" spans="1:8" x14ac:dyDescent="0.25">
      <c r="A2527" s="14" t="s">
        <v>952</v>
      </c>
      <c r="B2527" s="14" t="s">
        <v>24</v>
      </c>
      <c r="C2527" s="15" t="s">
        <v>954</v>
      </c>
      <c r="D2527" s="14" t="s">
        <v>1745</v>
      </c>
      <c r="E2527" s="14" t="s">
        <v>1747</v>
      </c>
      <c r="F2527" s="14">
        <v>1980</v>
      </c>
      <c r="G2527" s="14">
        <v>1584</v>
      </c>
      <c r="H2527" s="37">
        <f>'Calculation Sheet'!N2527</f>
        <v>1536.48</v>
      </c>
    </row>
    <row r="2528" spans="1:8" x14ac:dyDescent="0.25">
      <c r="A2528" s="14" t="s">
        <v>952</v>
      </c>
      <c r="B2528" s="14">
        <v>7</v>
      </c>
      <c r="C2528" s="15" t="s">
        <v>2506</v>
      </c>
      <c r="D2528" s="14" t="s">
        <v>1749</v>
      </c>
      <c r="E2528" s="14" t="s">
        <v>1746</v>
      </c>
      <c r="F2528" s="14">
        <v>119.8</v>
      </c>
      <c r="G2528" s="14">
        <v>107.82</v>
      </c>
      <c r="H2528" s="37">
        <f>'Calculation Sheet'!N2528</f>
        <v>106.7418</v>
      </c>
    </row>
    <row r="2529" spans="1:8" x14ac:dyDescent="0.25">
      <c r="A2529" s="14" t="s">
        <v>952</v>
      </c>
      <c r="B2529" s="14">
        <v>3</v>
      </c>
      <c r="C2529" s="15" t="s">
        <v>2507</v>
      </c>
      <c r="D2529" s="14" t="s">
        <v>1745</v>
      </c>
      <c r="E2529" s="14" t="s">
        <v>1746</v>
      </c>
      <c r="F2529" s="14">
        <v>629.04</v>
      </c>
      <c r="G2529" s="14">
        <v>503.16</v>
      </c>
      <c r="H2529" s="37">
        <f>'Calculation Sheet'!N2529</f>
        <v>498.1284</v>
      </c>
    </row>
    <row r="2530" spans="1:8" x14ac:dyDescent="0.25">
      <c r="A2530" s="14" t="s">
        <v>952</v>
      </c>
      <c r="B2530" s="14">
        <v>6</v>
      </c>
      <c r="C2530" s="15" t="s">
        <v>2508</v>
      </c>
      <c r="D2530" s="14" t="s">
        <v>1752</v>
      </c>
      <c r="E2530" s="14" t="s">
        <v>1747</v>
      </c>
      <c r="F2530" s="14">
        <v>1347.84</v>
      </c>
      <c r="G2530" s="14">
        <v>1078.26</v>
      </c>
      <c r="H2530" s="37">
        <f>'Calculation Sheet'!N2530</f>
        <v>1045.9122</v>
      </c>
    </row>
    <row r="2531" spans="1:8" x14ac:dyDescent="0.25">
      <c r="A2531" s="14" t="s">
        <v>952</v>
      </c>
      <c r="B2531" s="14">
        <v>1</v>
      </c>
      <c r="C2531" s="15" t="s">
        <v>951</v>
      </c>
      <c r="D2531" s="14" t="s">
        <v>1745</v>
      </c>
      <c r="E2531" s="14" t="s">
        <v>1747</v>
      </c>
      <c r="F2531" s="14">
        <v>3000</v>
      </c>
      <c r="G2531" s="14">
        <v>2400</v>
      </c>
      <c r="H2531" s="37">
        <f>'Calculation Sheet'!N2531</f>
        <v>2328</v>
      </c>
    </row>
    <row r="2532" spans="1:8" x14ac:dyDescent="0.25">
      <c r="A2532" s="14" t="s">
        <v>952</v>
      </c>
      <c r="B2532" s="14">
        <v>6</v>
      </c>
      <c r="C2532" s="15" t="s">
        <v>2508</v>
      </c>
      <c r="D2532" s="14" t="s">
        <v>1752</v>
      </c>
      <c r="E2532" s="14" t="s">
        <v>1746</v>
      </c>
      <c r="F2532" s="14">
        <v>1415.16</v>
      </c>
      <c r="G2532" s="14">
        <v>1132.2</v>
      </c>
      <c r="H2532" s="37">
        <f>'Calculation Sheet'!N2532</f>
        <v>1120.8780000000002</v>
      </c>
    </row>
    <row r="2533" spans="1:8" x14ac:dyDescent="0.25">
      <c r="A2533" s="14" t="s">
        <v>952</v>
      </c>
      <c r="B2533" s="14">
        <v>3</v>
      </c>
      <c r="C2533" s="15" t="s">
        <v>2507</v>
      </c>
      <c r="D2533" s="14" t="s">
        <v>1752</v>
      </c>
      <c r="E2533" s="14" t="s">
        <v>1747</v>
      </c>
      <c r="F2533" s="14">
        <v>1797.12</v>
      </c>
      <c r="G2533" s="14">
        <v>1437.69</v>
      </c>
      <c r="H2533" s="37">
        <f>'Calculation Sheet'!N2533</f>
        <v>1394.5593000000001</v>
      </c>
    </row>
    <row r="2534" spans="1:8" x14ac:dyDescent="0.25">
      <c r="A2534" s="14" t="s">
        <v>952</v>
      </c>
      <c r="B2534" s="14">
        <v>7</v>
      </c>
      <c r="C2534" s="15" t="s">
        <v>2506</v>
      </c>
      <c r="D2534" s="14" t="s">
        <v>1752</v>
      </c>
      <c r="E2534" s="14" t="s">
        <v>1753</v>
      </c>
      <c r="F2534" s="14">
        <v>3593.88</v>
      </c>
      <c r="G2534" s="14">
        <v>3234.49</v>
      </c>
      <c r="H2534" s="37">
        <f>'Calculation Sheet'!N2534</f>
        <v>3137.4552999999996</v>
      </c>
    </row>
    <row r="2535" spans="1:8" x14ac:dyDescent="0.25">
      <c r="A2535" s="14" t="s">
        <v>952</v>
      </c>
      <c r="B2535" s="14">
        <v>6</v>
      </c>
      <c r="C2535" s="15" t="s">
        <v>2508</v>
      </c>
      <c r="D2535" s="14" t="s">
        <v>1752</v>
      </c>
      <c r="E2535" s="14" t="s">
        <v>1753</v>
      </c>
      <c r="F2535" s="14">
        <v>1347.84</v>
      </c>
      <c r="G2535" s="14">
        <v>1078.27</v>
      </c>
      <c r="H2535" s="37">
        <f>'Calculation Sheet'!N2535</f>
        <v>1045.9219000000001</v>
      </c>
    </row>
    <row r="2536" spans="1:8" x14ac:dyDescent="0.25">
      <c r="A2536" s="14" t="s">
        <v>952</v>
      </c>
      <c r="B2536" s="14" t="s">
        <v>24</v>
      </c>
      <c r="C2536" s="15" t="s">
        <v>954</v>
      </c>
      <c r="D2536" s="14" t="s">
        <v>1749</v>
      </c>
      <c r="E2536" s="14" t="s">
        <v>1746</v>
      </c>
      <c r="F2536" s="14">
        <v>198</v>
      </c>
      <c r="G2536" s="14">
        <v>158.4</v>
      </c>
      <c r="H2536" s="37">
        <f>'Calculation Sheet'!N2536</f>
        <v>156.816</v>
      </c>
    </row>
    <row r="2537" spans="1:8" x14ac:dyDescent="0.25">
      <c r="A2537" s="14" t="s">
        <v>952</v>
      </c>
      <c r="B2537" s="14">
        <v>7</v>
      </c>
      <c r="C2537" s="15" t="s">
        <v>2506</v>
      </c>
      <c r="D2537" s="14" t="s">
        <v>1752</v>
      </c>
      <c r="E2537" s="14" t="s">
        <v>1746</v>
      </c>
      <c r="F2537" s="14">
        <v>3773.52</v>
      </c>
      <c r="G2537" s="14">
        <v>3396.24</v>
      </c>
      <c r="H2537" s="37">
        <f>'Calculation Sheet'!N2537</f>
        <v>3362.2775999999999</v>
      </c>
    </row>
    <row r="2538" spans="1:8" x14ac:dyDescent="0.25">
      <c r="A2538" s="14" t="s">
        <v>952</v>
      </c>
      <c r="B2538" s="14">
        <v>6</v>
      </c>
      <c r="C2538" s="15" t="s">
        <v>2508</v>
      </c>
      <c r="D2538" s="14" t="s">
        <v>1749</v>
      </c>
      <c r="E2538" s="14" t="s">
        <v>1746</v>
      </c>
      <c r="F2538" s="14">
        <v>44.93</v>
      </c>
      <c r="G2538" s="14">
        <v>35.94</v>
      </c>
      <c r="H2538" s="37">
        <f>'Calculation Sheet'!N2538</f>
        <v>35.580599999999997</v>
      </c>
    </row>
    <row r="2539" spans="1:8" x14ac:dyDescent="0.25">
      <c r="A2539" s="14" t="s">
        <v>952</v>
      </c>
      <c r="B2539" s="14">
        <v>1</v>
      </c>
      <c r="C2539" s="15" t="s">
        <v>951</v>
      </c>
      <c r="D2539" s="14" t="s">
        <v>1749</v>
      </c>
      <c r="E2539" s="14" t="s">
        <v>1746</v>
      </c>
      <c r="F2539" s="14">
        <v>300</v>
      </c>
      <c r="G2539" s="14">
        <v>240</v>
      </c>
      <c r="H2539" s="37">
        <f>'Calculation Sheet'!N2539</f>
        <v>237.6</v>
      </c>
    </row>
    <row r="2540" spans="1:8" x14ac:dyDescent="0.25">
      <c r="A2540" s="14" t="s">
        <v>952</v>
      </c>
      <c r="B2540" s="14">
        <v>3</v>
      </c>
      <c r="C2540" s="15" t="s">
        <v>2507</v>
      </c>
      <c r="D2540" s="14" t="s">
        <v>1745</v>
      </c>
      <c r="E2540" s="14" t="s">
        <v>1747</v>
      </c>
      <c r="F2540" s="14">
        <v>599.04</v>
      </c>
      <c r="G2540" s="14">
        <v>479.23</v>
      </c>
      <c r="H2540" s="37">
        <f>'Calculation Sheet'!N2540</f>
        <v>464.85310000000004</v>
      </c>
    </row>
    <row r="2541" spans="1:8" x14ac:dyDescent="0.25">
      <c r="A2541" s="14" t="s">
        <v>952</v>
      </c>
      <c r="B2541" s="14">
        <v>3</v>
      </c>
      <c r="C2541" s="15" t="s">
        <v>2507</v>
      </c>
      <c r="D2541" s="14" t="s">
        <v>1749</v>
      </c>
      <c r="E2541" s="14" t="s">
        <v>1746</v>
      </c>
      <c r="F2541" s="14">
        <v>59.9</v>
      </c>
      <c r="G2541" s="14">
        <v>47.92</v>
      </c>
      <c r="H2541" s="37">
        <f>'Calculation Sheet'!N2541</f>
        <v>47.440800000000003</v>
      </c>
    </row>
    <row r="2542" spans="1:8" x14ac:dyDescent="0.25">
      <c r="A2542" s="14" t="s">
        <v>952</v>
      </c>
      <c r="B2542" s="14">
        <v>1</v>
      </c>
      <c r="C2542" s="15" t="s">
        <v>951</v>
      </c>
      <c r="D2542" s="14" t="s">
        <v>1745</v>
      </c>
      <c r="E2542" s="14" t="s">
        <v>1746</v>
      </c>
      <c r="F2542" s="14">
        <v>3150</v>
      </c>
      <c r="G2542" s="14">
        <v>2520</v>
      </c>
      <c r="H2542" s="37">
        <f>'Calculation Sheet'!N2542</f>
        <v>2494.8000000000002</v>
      </c>
    </row>
    <row r="2543" spans="1:8" x14ac:dyDescent="0.25">
      <c r="A2543" s="14" t="s">
        <v>952</v>
      </c>
      <c r="B2543" s="14">
        <v>7</v>
      </c>
      <c r="C2543" s="15" t="s">
        <v>2506</v>
      </c>
      <c r="D2543" s="14" t="s">
        <v>1745</v>
      </c>
      <c r="E2543" s="14" t="s">
        <v>1747</v>
      </c>
      <c r="F2543" s="14">
        <v>1197.96</v>
      </c>
      <c r="G2543" s="14">
        <v>1078.1600000000001</v>
      </c>
      <c r="H2543" s="37">
        <f>'Calculation Sheet'!N2543</f>
        <v>1045.8152</v>
      </c>
    </row>
    <row r="2544" spans="1:8" x14ac:dyDescent="0.25">
      <c r="A2544" s="14" t="s">
        <v>952</v>
      </c>
      <c r="B2544" s="14">
        <v>3</v>
      </c>
      <c r="C2544" s="15" t="s">
        <v>2507</v>
      </c>
      <c r="D2544" s="14" t="s">
        <v>1752</v>
      </c>
      <c r="E2544" s="14" t="s">
        <v>1753</v>
      </c>
      <c r="F2544" s="14">
        <v>1797.12</v>
      </c>
      <c r="G2544" s="14">
        <v>1437.7</v>
      </c>
      <c r="H2544" s="37">
        <f>'Calculation Sheet'!N2544</f>
        <v>1394.569</v>
      </c>
    </row>
    <row r="2545" spans="1:8" x14ac:dyDescent="0.25">
      <c r="A2545" s="14" t="s">
        <v>952</v>
      </c>
      <c r="B2545" s="14">
        <v>7</v>
      </c>
      <c r="C2545" s="15" t="s">
        <v>2506</v>
      </c>
      <c r="D2545" s="14" t="s">
        <v>1752</v>
      </c>
      <c r="E2545" s="14" t="s">
        <v>1747</v>
      </c>
      <c r="F2545" s="14">
        <v>3593.88</v>
      </c>
      <c r="G2545" s="14">
        <v>3234.48</v>
      </c>
      <c r="H2545" s="37">
        <f>'Calculation Sheet'!N2545</f>
        <v>3137.4456</v>
      </c>
    </row>
    <row r="2546" spans="1:8" x14ac:dyDescent="0.25">
      <c r="A2546" s="14" t="s">
        <v>952</v>
      </c>
      <c r="B2546" s="14">
        <v>6</v>
      </c>
      <c r="C2546" s="15" t="s">
        <v>2508</v>
      </c>
      <c r="D2546" s="14" t="s">
        <v>1745</v>
      </c>
      <c r="E2546" s="14" t="s">
        <v>1746</v>
      </c>
      <c r="F2546" s="14">
        <v>471.72</v>
      </c>
      <c r="G2546" s="14">
        <v>377.4</v>
      </c>
      <c r="H2546" s="37">
        <f>'Calculation Sheet'!N2546</f>
        <v>373.62599999999998</v>
      </c>
    </row>
    <row r="2547" spans="1:8" x14ac:dyDescent="0.25">
      <c r="A2547" s="14" t="s">
        <v>952</v>
      </c>
      <c r="B2547" s="14">
        <v>7</v>
      </c>
      <c r="C2547" s="15" t="s">
        <v>2506</v>
      </c>
      <c r="D2547" s="14" t="s">
        <v>1745</v>
      </c>
      <c r="E2547" s="14" t="s">
        <v>1746</v>
      </c>
      <c r="F2547" s="14">
        <v>1257.8399999999999</v>
      </c>
      <c r="G2547" s="14">
        <v>1132.08</v>
      </c>
      <c r="H2547" s="37">
        <f>'Calculation Sheet'!N2547</f>
        <v>1120.7592</v>
      </c>
    </row>
    <row r="2548" spans="1:8" x14ac:dyDescent="0.25">
      <c r="A2548" s="14" t="s">
        <v>952</v>
      </c>
      <c r="B2548" s="14">
        <v>6</v>
      </c>
      <c r="C2548" s="15" t="s">
        <v>2508</v>
      </c>
      <c r="D2548" s="14" t="s">
        <v>1745</v>
      </c>
      <c r="E2548" s="14" t="s">
        <v>1747</v>
      </c>
      <c r="F2548" s="14">
        <v>449.28</v>
      </c>
      <c r="G2548" s="14">
        <v>359.42</v>
      </c>
      <c r="H2548" s="37">
        <f>'Calculation Sheet'!N2548</f>
        <v>348.63740000000001</v>
      </c>
    </row>
    <row r="2549" spans="1:8" x14ac:dyDescent="0.25">
      <c r="A2549" s="14" t="s">
        <v>952</v>
      </c>
      <c r="B2549" s="14">
        <v>3</v>
      </c>
      <c r="C2549" s="15" t="s">
        <v>2507</v>
      </c>
      <c r="D2549" s="14" t="s">
        <v>1752</v>
      </c>
      <c r="E2549" s="14" t="s">
        <v>1746</v>
      </c>
      <c r="F2549" s="14">
        <v>1887.12</v>
      </c>
      <c r="G2549" s="14">
        <v>1509.48</v>
      </c>
      <c r="H2549" s="37">
        <f>'Calculation Sheet'!N2549</f>
        <v>1494.3851999999999</v>
      </c>
    </row>
    <row r="2550" spans="1:8" x14ac:dyDescent="0.25">
      <c r="A2550" s="14" t="s">
        <v>959</v>
      </c>
      <c r="B2550" s="14">
        <v>1</v>
      </c>
      <c r="C2550" s="15" t="s">
        <v>958</v>
      </c>
      <c r="D2550" s="14" t="s">
        <v>1745</v>
      </c>
      <c r="E2550" s="14" t="s">
        <v>1747</v>
      </c>
      <c r="F2550" s="14">
        <v>1980</v>
      </c>
      <c r="G2550" s="14">
        <v>1584</v>
      </c>
      <c r="H2550" s="37">
        <f>'Calculation Sheet'!N2550</f>
        <v>1536.48</v>
      </c>
    </row>
    <row r="2551" spans="1:8" x14ac:dyDescent="0.25">
      <c r="A2551" s="14" t="s">
        <v>959</v>
      </c>
      <c r="B2551" s="14" t="s">
        <v>16</v>
      </c>
      <c r="C2551" s="15" t="s">
        <v>2509</v>
      </c>
      <c r="D2551" s="14" t="s">
        <v>1745</v>
      </c>
      <c r="E2551" s="14" t="s">
        <v>1746</v>
      </c>
      <c r="F2551" s="14">
        <v>838.68</v>
      </c>
      <c r="G2551" s="14">
        <v>754.8</v>
      </c>
      <c r="H2551" s="37">
        <f>'Calculation Sheet'!N2551</f>
        <v>747.25199999999995</v>
      </c>
    </row>
    <row r="2552" spans="1:8" x14ac:dyDescent="0.25">
      <c r="A2552" s="14" t="s">
        <v>959</v>
      </c>
      <c r="B2552" s="14">
        <v>1</v>
      </c>
      <c r="C2552" s="15" t="s">
        <v>958</v>
      </c>
      <c r="D2552" s="14" t="s">
        <v>1749</v>
      </c>
      <c r="E2552" s="14" t="s">
        <v>1746</v>
      </c>
      <c r="F2552" s="14">
        <v>198</v>
      </c>
      <c r="G2552" s="14">
        <v>158.4</v>
      </c>
      <c r="H2552" s="37">
        <f>'Calculation Sheet'!N2552</f>
        <v>156.816</v>
      </c>
    </row>
    <row r="2553" spans="1:8" x14ac:dyDescent="0.25">
      <c r="A2553" s="14" t="s">
        <v>959</v>
      </c>
      <c r="B2553" s="14">
        <v>5</v>
      </c>
      <c r="C2553" s="15" t="s">
        <v>961</v>
      </c>
      <c r="D2553" s="14" t="s">
        <v>1745</v>
      </c>
      <c r="E2553" s="14" t="s">
        <v>1747</v>
      </c>
      <c r="F2553" s="14">
        <v>1320</v>
      </c>
      <c r="G2553" s="14">
        <v>1056</v>
      </c>
      <c r="H2553" s="37">
        <f>'Calculation Sheet'!N2553</f>
        <v>1024.32</v>
      </c>
    </row>
    <row r="2554" spans="1:8" x14ac:dyDescent="0.25">
      <c r="A2554" s="14" t="s">
        <v>959</v>
      </c>
      <c r="B2554" s="14" t="s">
        <v>24</v>
      </c>
      <c r="C2554" s="15" t="s">
        <v>2510</v>
      </c>
      <c r="D2554" s="14" t="s">
        <v>1745</v>
      </c>
      <c r="E2554" s="14" t="s">
        <v>1747</v>
      </c>
      <c r="F2554" s="14">
        <v>399.36</v>
      </c>
      <c r="G2554" s="14">
        <v>319.49</v>
      </c>
      <c r="H2554" s="37">
        <f>'Calculation Sheet'!N2554</f>
        <v>309.90530000000001</v>
      </c>
    </row>
    <row r="2555" spans="1:8" x14ac:dyDescent="0.25">
      <c r="A2555" s="14" t="s">
        <v>959</v>
      </c>
      <c r="B2555" s="14">
        <v>9</v>
      </c>
      <c r="C2555" s="15" t="s">
        <v>2511</v>
      </c>
      <c r="D2555" s="14" t="s">
        <v>1745</v>
      </c>
      <c r="E2555" s="14" t="s">
        <v>1746</v>
      </c>
      <c r="F2555" s="14">
        <v>314.52</v>
      </c>
      <c r="G2555" s="14">
        <v>251.64</v>
      </c>
      <c r="H2555" s="37">
        <f>'Calculation Sheet'!N2555</f>
        <v>249.12359999999998</v>
      </c>
    </row>
    <row r="2556" spans="1:8" x14ac:dyDescent="0.25">
      <c r="A2556" s="14" t="s">
        <v>959</v>
      </c>
      <c r="B2556" s="14" t="s">
        <v>24</v>
      </c>
      <c r="C2556" s="15" t="s">
        <v>2510</v>
      </c>
      <c r="D2556" s="14" t="s">
        <v>1745</v>
      </c>
      <c r="E2556" s="14" t="s">
        <v>1746</v>
      </c>
      <c r="F2556" s="14">
        <v>419.28</v>
      </c>
      <c r="G2556" s="14">
        <v>335.52</v>
      </c>
      <c r="H2556" s="37">
        <f>'Calculation Sheet'!N2556</f>
        <v>332.16479999999996</v>
      </c>
    </row>
    <row r="2557" spans="1:8" x14ac:dyDescent="0.25">
      <c r="A2557" s="14" t="s">
        <v>959</v>
      </c>
      <c r="B2557" s="14" t="s">
        <v>24</v>
      </c>
      <c r="C2557" s="15" t="s">
        <v>2510</v>
      </c>
      <c r="D2557" s="14" t="s">
        <v>1749</v>
      </c>
      <c r="E2557" s="14" t="s">
        <v>1746</v>
      </c>
      <c r="F2557" s="14">
        <v>39.94</v>
      </c>
      <c r="G2557" s="14">
        <v>31.95</v>
      </c>
      <c r="H2557" s="37">
        <f>'Calculation Sheet'!N2557</f>
        <v>31.630499999999998</v>
      </c>
    </row>
    <row r="2558" spans="1:8" x14ac:dyDescent="0.25">
      <c r="A2558" s="14" t="s">
        <v>959</v>
      </c>
      <c r="B2558" s="14">
        <v>9</v>
      </c>
      <c r="C2558" s="15" t="s">
        <v>2511</v>
      </c>
      <c r="D2558" s="14" t="s">
        <v>1745</v>
      </c>
      <c r="E2558" s="14" t="s">
        <v>1747</v>
      </c>
      <c r="F2558" s="14">
        <v>299.52</v>
      </c>
      <c r="G2558" s="14">
        <v>239.62</v>
      </c>
      <c r="H2558" s="37">
        <f>'Calculation Sheet'!N2558</f>
        <v>232.4314</v>
      </c>
    </row>
    <row r="2559" spans="1:8" x14ac:dyDescent="0.25">
      <c r="A2559" s="14" t="s">
        <v>959</v>
      </c>
      <c r="B2559" s="14">
        <v>5</v>
      </c>
      <c r="C2559" s="15" t="s">
        <v>961</v>
      </c>
      <c r="D2559" s="14" t="s">
        <v>1749</v>
      </c>
      <c r="E2559" s="14" t="s">
        <v>1746</v>
      </c>
      <c r="F2559" s="14">
        <v>132</v>
      </c>
      <c r="G2559" s="14">
        <v>105.6</v>
      </c>
      <c r="H2559" s="37">
        <f>'Calculation Sheet'!N2559</f>
        <v>104.544</v>
      </c>
    </row>
    <row r="2560" spans="1:8" x14ac:dyDescent="0.25">
      <c r="A2560" s="14" t="s">
        <v>959</v>
      </c>
      <c r="B2560" s="14">
        <v>1</v>
      </c>
      <c r="C2560" s="15" t="s">
        <v>958</v>
      </c>
      <c r="D2560" s="14" t="s">
        <v>1745</v>
      </c>
      <c r="E2560" s="14" t="s">
        <v>1746</v>
      </c>
      <c r="F2560" s="14">
        <v>2079</v>
      </c>
      <c r="G2560" s="14">
        <v>1663.2</v>
      </c>
      <c r="H2560" s="37">
        <f>'Calculation Sheet'!N2560</f>
        <v>1646.568</v>
      </c>
    </row>
    <row r="2561" spans="1:8" x14ac:dyDescent="0.25">
      <c r="A2561" s="14" t="s">
        <v>959</v>
      </c>
      <c r="B2561" s="14">
        <v>9</v>
      </c>
      <c r="C2561" s="15" t="s">
        <v>2511</v>
      </c>
      <c r="D2561" s="14" t="s">
        <v>1749</v>
      </c>
      <c r="E2561" s="14" t="s">
        <v>1746</v>
      </c>
      <c r="F2561" s="14">
        <v>29.95</v>
      </c>
      <c r="G2561" s="14">
        <v>23.96</v>
      </c>
      <c r="H2561" s="37">
        <f>'Calculation Sheet'!N2561</f>
        <v>23.720400000000001</v>
      </c>
    </row>
    <row r="2562" spans="1:8" x14ac:dyDescent="0.25">
      <c r="A2562" s="14" t="s">
        <v>959</v>
      </c>
      <c r="B2562" s="14" t="s">
        <v>16</v>
      </c>
      <c r="C2562" s="15" t="s">
        <v>2509</v>
      </c>
      <c r="D2562" s="14" t="s">
        <v>1749</v>
      </c>
      <c r="E2562" s="14" t="s">
        <v>1746</v>
      </c>
      <c r="F2562" s="14">
        <v>79.87</v>
      </c>
      <c r="G2562" s="14">
        <v>71.88</v>
      </c>
      <c r="H2562" s="37">
        <f>'Calculation Sheet'!N2562</f>
        <v>71.161199999999994</v>
      </c>
    </row>
    <row r="2563" spans="1:8" x14ac:dyDescent="0.25">
      <c r="A2563" s="14" t="s">
        <v>959</v>
      </c>
      <c r="B2563" s="14" t="s">
        <v>16</v>
      </c>
      <c r="C2563" s="15" t="s">
        <v>2509</v>
      </c>
      <c r="D2563" s="14" t="s">
        <v>1745</v>
      </c>
      <c r="E2563" s="14" t="s">
        <v>1747</v>
      </c>
      <c r="F2563" s="14">
        <v>798.72</v>
      </c>
      <c r="G2563" s="14">
        <v>718.85</v>
      </c>
      <c r="H2563" s="37">
        <f>'Calculation Sheet'!N2563</f>
        <v>697.28449999999998</v>
      </c>
    </row>
    <row r="2564" spans="1:8" x14ac:dyDescent="0.25">
      <c r="A2564" s="14" t="s">
        <v>959</v>
      </c>
      <c r="B2564" s="14">
        <v>5</v>
      </c>
      <c r="C2564" s="15" t="s">
        <v>961</v>
      </c>
      <c r="D2564" s="14" t="s">
        <v>1745</v>
      </c>
      <c r="E2564" s="14" t="s">
        <v>1746</v>
      </c>
      <c r="F2564" s="14">
        <v>1386</v>
      </c>
      <c r="G2564" s="14">
        <v>1108.8</v>
      </c>
      <c r="H2564" s="37">
        <f>'Calculation Sheet'!N2564</f>
        <v>1097.712</v>
      </c>
    </row>
    <row r="2565" spans="1:8" x14ac:dyDescent="0.25">
      <c r="A2565" s="14" t="s">
        <v>2512</v>
      </c>
      <c r="B2565" s="14">
        <v>6</v>
      </c>
      <c r="C2565" s="15" t="s">
        <v>2513</v>
      </c>
      <c r="D2565" s="14" t="s">
        <v>1749</v>
      </c>
      <c r="E2565" s="14" t="s">
        <v>1746</v>
      </c>
      <c r="F2565" s="14">
        <v>402</v>
      </c>
      <c r="G2565" s="14">
        <v>321.60000000000002</v>
      </c>
      <c r="H2565" s="37">
        <f>'Calculation Sheet'!N2565</f>
        <v>321.60000000000002</v>
      </c>
    </row>
    <row r="2566" spans="1:8" x14ac:dyDescent="0.25">
      <c r="A2566" s="14" t="s">
        <v>2512</v>
      </c>
      <c r="B2566" s="14">
        <v>4</v>
      </c>
      <c r="C2566" s="15" t="s">
        <v>2514</v>
      </c>
      <c r="D2566" s="14" t="s">
        <v>1745</v>
      </c>
      <c r="E2566" s="14" t="s">
        <v>1746</v>
      </c>
      <c r="F2566" s="14">
        <v>2772</v>
      </c>
      <c r="G2566" s="14">
        <v>2217.6</v>
      </c>
      <c r="H2566" s="37">
        <f>'Calculation Sheet'!N2566</f>
        <v>2217.6</v>
      </c>
    </row>
    <row r="2567" spans="1:8" x14ac:dyDescent="0.25">
      <c r="A2567" s="14" t="s">
        <v>2512</v>
      </c>
      <c r="B2567" s="14">
        <v>4</v>
      </c>
      <c r="C2567" s="15" t="s">
        <v>2514</v>
      </c>
      <c r="D2567" s="14" t="s">
        <v>1749</v>
      </c>
      <c r="E2567" s="14" t="s">
        <v>1746</v>
      </c>
      <c r="F2567" s="14">
        <v>264</v>
      </c>
      <c r="G2567" s="14">
        <v>211.2</v>
      </c>
      <c r="H2567" s="37">
        <f>'Calculation Sheet'!N2567</f>
        <v>211.2</v>
      </c>
    </row>
    <row r="2568" spans="1:8" x14ac:dyDescent="0.25">
      <c r="A2568" s="14" t="s">
        <v>2512</v>
      </c>
      <c r="B2568" s="14" t="s">
        <v>173</v>
      </c>
      <c r="C2568" s="15" t="s">
        <v>2515</v>
      </c>
      <c r="D2568" s="14" t="s">
        <v>1745</v>
      </c>
      <c r="E2568" s="14" t="s">
        <v>1746</v>
      </c>
      <c r="F2568" s="14">
        <v>629.04</v>
      </c>
      <c r="G2568" s="14">
        <v>503.16</v>
      </c>
      <c r="H2568" s="37">
        <f>'Calculation Sheet'!N2568</f>
        <v>503.16</v>
      </c>
    </row>
    <row r="2569" spans="1:8" x14ac:dyDescent="0.25">
      <c r="A2569" s="14" t="s">
        <v>2512</v>
      </c>
      <c r="B2569" s="14" t="s">
        <v>325</v>
      </c>
      <c r="C2569" s="15" t="s">
        <v>2516</v>
      </c>
      <c r="D2569" s="14" t="s">
        <v>1745</v>
      </c>
      <c r="E2569" s="14" t="s">
        <v>1746</v>
      </c>
      <c r="F2569" s="14">
        <v>2079</v>
      </c>
      <c r="G2569" s="14">
        <v>1871.16</v>
      </c>
      <c r="H2569" s="37">
        <f>'Calculation Sheet'!N2569</f>
        <v>1871.16</v>
      </c>
    </row>
    <row r="2570" spans="1:8" x14ac:dyDescent="0.25">
      <c r="A2570" s="14" t="s">
        <v>2512</v>
      </c>
      <c r="B2570" s="14" t="s">
        <v>325</v>
      </c>
      <c r="C2570" s="15" t="s">
        <v>2516</v>
      </c>
      <c r="D2570" s="14" t="s">
        <v>1749</v>
      </c>
      <c r="E2570" s="14" t="s">
        <v>1746</v>
      </c>
      <c r="F2570" s="14">
        <v>198</v>
      </c>
      <c r="G2570" s="14">
        <v>178.2</v>
      </c>
      <c r="H2570" s="37">
        <f>'Calculation Sheet'!N2570</f>
        <v>178.2</v>
      </c>
    </row>
    <row r="2571" spans="1:8" x14ac:dyDescent="0.25">
      <c r="A2571" s="14" t="s">
        <v>2512</v>
      </c>
      <c r="B2571" s="14" t="s">
        <v>173</v>
      </c>
      <c r="C2571" s="15" t="s">
        <v>2515</v>
      </c>
      <c r="D2571" s="14" t="s">
        <v>1745</v>
      </c>
      <c r="E2571" s="14" t="s">
        <v>1747</v>
      </c>
      <c r="F2571" s="14">
        <v>599.04</v>
      </c>
      <c r="G2571" s="14">
        <v>479.23</v>
      </c>
      <c r="H2571" s="37">
        <f>'Calculation Sheet'!N2571</f>
        <v>479.23</v>
      </c>
    </row>
    <row r="2572" spans="1:8" x14ac:dyDescent="0.25">
      <c r="A2572" s="14" t="s">
        <v>2512</v>
      </c>
      <c r="B2572" s="14">
        <v>9</v>
      </c>
      <c r="C2572" s="15" t="s">
        <v>2517</v>
      </c>
      <c r="D2572" s="14" t="s">
        <v>1749</v>
      </c>
      <c r="E2572" s="14" t="s">
        <v>1746</v>
      </c>
      <c r="F2572" s="14">
        <v>798</v>
      </c>
      <c r="G2572" s="14">
        <v>638.4</v>
      </c>
      <c r="H2572" s="37">
        <f>'Calculation Sheet'!N2572</f>
        <v>638.4</v>
      </c>
    </row>
    <row r="2573" spans="1:8" x14ac:dyDescent="0.25">
      <c r="A2573" s="14" t="s">
        <v>2512</v>
      </c>
      <c r="B2573" s="14">
        <v>6</v>
      </c>
      <c r="C2573" s="15" t="s">
        <v>2513</v>
      </c>
      <c r="D2573" s="14" t="s">
        <v>1745</v>
      </c>
      <c r="E2573" s="14" t="s">
        <v>1746</v>
      </c>
      <c r="F2573" s="14">
        <v>4221</v>
      </c>
      <c r="G2573" s="14">
        <v>3376.8</v>
      </c>
      <c r="H2573" s="37">
        <f>'Calculation Sheet'!N2573</f>
        <v>3376.8</v>
      </c>
    </row>
    <row r="2574" spans="1:8" x14ac:dyDescent="0.25">
      <c r="A2574" s="14" t="s">
        <v>2512</v>
      </c>
      <c r="B2574" s="14" t="s">
        <v>173</v>
      </c>
      <c r="C2574" s="15" t="s">
        <v>2515</v>
      </c>
      <c r="D2574" s="14" t="s">
        <v>1749</v>
      </c>
      <c r="E2574" s="14" t="s">
        <v>1746</v>
      </c>
      <c r="F2574" s="14">
        <v>59.9</v>
      </c>
      <c r="G2574" s="14">
        <v>47.92</v>
      </c>
      <c r="H2574" s="37">
        <f>'Calculation Sheet'!N2574</f>
        <v>47.92</v>
      </c>
    </row>
    <row r="2575" spans="1:8" x14ac:dyDescent="0.25">
      <c r="A2575" s="14" t="s">
        <v>2512</v>
      </c>
      <c r="B2575" s="14" t="s">
        <v>325</v>
      </c>
      <c r="C2575" s="15" t="s">
        <v>2516</v>
      </c>
      <c r="D2575" s="14" t="s">
        <v>1745</v>
      </c>
      <c r="E2575" s="14" t="s">
        <v>1747</v>
      </c>
      <c r="F2575" s="14">
        <v>1980</v>
      </c>
      <c r="G2575" s="14">
        <v>1782</v>
      </c>
      <c r="H2575" s="37">
        <f>'Calculation Sheet'!N2575</f>
        <v>1782</v>
      </c>
    </row>
    <row r="2576" spans="1:8" x14ac:dyDescent="0.25">
      <c r="A2576" s="14" t="s">
        <v>2512</v>
      </c>
      <c r="B2576" s="14">
        <v>6</v>
      </c>
      <c r="C2576" s="15" t="s">
        <v>2513</v>
      </c>
      <c r="D2576" s="14" t="s">
        <v>1745</v>
      </c>
      <c r="E2576" s="14" t="s">
        <v>1747</v>
      </c>
      <c r="F2576" s="14">
        <v>4020</v>
      </c>
      <c r="G2576" s="14">
        <v>3216</v>
      </c>
      <c r="H2576" s="37">
        <f>'Calculation Sheet'!N2576</f>
        <v>3216</v>
      </c>
    </row>
    <row r="2577" spans="1:8" x14ac:dyDescent="0.25">
      <c r="A2577" s="14" t="s">
        <v>2512</v>
      </c>
      <c r="B2577" s="14">
        <v>9</v>
      </c>
      <c r="C2577" s="15" t="s">
        <v>2517</v>
      </c>
      <c r="D2577" s="14" t="s">
        <v>1745</v>
      </c>
      <c r="E2577" s="14" t="s">
        <v>1747</v>
      </c>
      <c r="F2577" s="14">
        <v>7980</v>
      </c>
      <c r="G2577" s="14">
        <v>6384</v>
      </c>
      <c r="H2577" s="37">
        <f>'Calculation Sheet'!N2577</f>
        <v>6384</v>
      </c>
    </row>
    <row r="2578" spans="1:8" x14ac:dyDescent="0.25">
      <c r="A2578" s="14" t="s">
        <v>2512</v>
      </c>
      <c r="B2578" s="14">
        <v>4</v>
      </c>
      <c r="C2578" s="15" t="s">
        <v>2514</v>
      </c>
      <c r="D2578" s="14" t="s">
        <v>1745</v>
      </c>
      <c r="E2578" s="14" t="s">
        <v>1747</v>
      </c>
      <c r="F2578" s="14">
        <v>2640</v>
      </c>
      <c r="G2578" s="14">
        <v>2112</v>
      </c>
      <c r="H2578" s="37">
        <f>'Calculation Sheet'!N2578</f>
        <v>2112</v>
      </c>
    </row>
    <row r="2579" spans="1:8" x14ac:dyDescent="0.25">
      <c r="A2579" s="14" t="s">
        <v>2512</v>
      </c>
      <c r="B2579" s="14">
        <v>9</v>
      </c>
      <c r="C2579" s="15" t="s">
        <v>2517</v>
      </c>
      <c r="D2579" s="14" t="s">
        <v>1745</v>
      </c>
      <c r="E2579" s="14" t="s">
        <v>1746</v>
      </c>
      <c r="F2579" s="14">
        <v>8379</v>
      </c>
      <c r="G2579" s="14">
        <v>6703.2</v>
      </c>
      <c r="H2579" s="37">
        <f>'Calculation Sheet'!N2579</f>
        <v>6703.2</v>
      </c>
    </row>
    <row r="2580" spans="1:8" x14ac:dyDescent="0.25">
      <c r="A2580" s="14" t="s">
        <v>2518</v>
      </c>
      <c r="B2580" s="14">
        <v>5</v>
      </c>
      <c r="C2580" s="15" t="s">
        <v>2519</v>
      </c>
      <c r="D2580" s="14" t="s">
        <v>1745</v>
      </c>
      <c r="E2580" s="14" t="s">
        <v>1747</v>
      </c>
      <c r="F2580" s="14">
        <v>746.76</v>
      </c>
      <c r="G2580" s="14">
        <v>597.41</v>
      </c>
      <c r="H2580" s="37">
        <f>'Calculation Sheet'!N2580</f>
        <v>597.41</v>
      </c>
    </row>
    <row r="2581" spans="1:8" x14ac:dyDescent="0.25">
      <c r="A2581" s="14" t="s">
        <v>2518</v>
      </c>
      <c r="B2581" s="14">
        <v>5</v>
      </c>
      <c r="C2581" s="15" t="s">
        <v>2519</v>
      </c>
      <c r="D2581" s="14" t="s">
        <v>1745</v>
      </c>
      <c r="E2581" s="14" t="s">
        <v>1746</v>
      </c>
      <c r="F2581" s="14">
        <v>784.08</v>
      </c>
      <c r="G2581" s="14">
        <v>627.24</v>
      </c>
      <c r="H2581" s="37">
        <f>'Calculation Sheet'!N2581</f>
        <v>627.24</v>
      </c>
    </row>
    <row r="2582" spans="1:8" x14ac:dyDescent="0.25">
      <c r="A2582" s="14" t="s">
        <v>2518</v>
      </c>
      <c r="B2582" s="14">
        <v>4</v>
      </c>
      <c r="C2582" s="15" t="s">
        <v>2520</v>
      </c>
      <c r="D2582" s="14" t="s">
        <v>1745</v>
      </c>
      <c r="E2582" s="14" t="s">
        <v>1747</v>
      </c>
      <c r="F2582" s="14">
        <v>746.76</v>
      </c>
      <c r="G2582" s="14">
        <v>597.41</v>
      </c>
      <c r="H2582" s="37">
        <f>'Calculation Sheet'!N2582</f>
        <v>597.41</v>
      </c>
    </row>
    <row r="2583" spans="1:8" x14ac:dyDescent="0.25">
      <c r="A2583" s="14" t="s">
        <v>2518</v>
      </c>
      <c r="B2583" s="14">
        <v>4</v>
      </c>
      <c r="C2583" s="15" t="s">
        <v>2520</v>
      </c>
      <c r="D2583" s="14" t="s">
        <v>1745</v>
      </c>
      <c r="E2583" s="14" t="s">
        <v>1746</v>
      </c>
      <c r="F2583" s="14">
        <v>784.08</v>
      </c>
      <c r="G2583" s="14">
        <v>627.24</v>
      </c>
      <c r="H2583" s="37">
        <f>'Calculation Sheet'!N2583</f>
        <v>627.24</v>
      </c>
    </row>
    <row r="2584" spans="1:8" x14ac:dyDescent="0.25">
      <c r="A2584" s="14" t="s">
        <v>2518</v>
      </c>
      <c r="B2584" s="14">
        <v>4</v>
      </c>
      <c r="C2584" s="15" t="s">
        <v>2520</v>
      </c>
      <c r="D2584" s="14" t="s">
        <v>1749</v>
      </c>
      <c r="E2584" s="14" t="s">
        <v>1746</v>
      </c>
      <c r="F2584" s="14">
        <v>74.680000000000007</v>
      </c>
      <c r="G2584" s="14">
        <v>59.74</v>
      </c>
      <c r="H2584" s="37">
        <f>'Calculation Sheet'!N2584</f>
        <v>59.74</v>
      </c>
    </row>
    <row r="2585" spans="1:8" x14ac:dyDescent="0.25">
      <c r="A2585" s="14" t="s">
        <v>2518</v>
      </c>
      <c r="B2585" s="14" t="s">
        <v>20</v>
      </c>
      <c r="C2585" s="15" t="s">
        <v>2521</v>
      </c>
      <c r="D2585" s="14" t="s">
        <v>1749</v>
      </c>
      <c r="E2585" s="14" t="s">
        <v>1746</v>
      </c>
      <c r="F2585" s="14">
        <v>0</v>
      </c>
      <c r="G2585" s="14">
        <v>0</v>
      </c>
      <c r="H2585" s="37">
        <f>'Calculation Sheet'!N2585</f>
        <v>0</v>
      </c>
    </row>
    <row r="2586" spans="1:8" x14ac:dyDescent="0.25">
      <c r="A2586" s="14" t="s">
        <v>2518</v>
      </c>
      <c r="B2586" s="14">
        <v>5</v>
      </c>
      <c r="C2586" s="15" t="s">
        <v>2519</v>
      </c>
      <c r="D2586" s="14" t="s">
        <v>1749</v>
      </c>
      <c r="E2586" s="14" t="s">
        <v>1746</v>
      </c>
      <c r="F2586" s="14">
        <v>74.680000000000007</v>
      </c>
      <c r="G2586" s="14">
        <v>59.74</v>
      </c>
      <c r="H2586" s="37">
        <f>'Calculation Sheet'!N2586</f>
        <v>59.74</v>
      </c>
    </row>
    <row r="2587" spans="1:8" x14ac:dyDescent="0.25">
      <c r="A2587" s="14" t="s">
        <v>2518</v>
      </c>
      <c r="B2587" s="14" t="s">
        <v>20</v>
      </c>
      <c r="C2587" s="15" t="s">
        <v>2521</v>
      </c>
      <c r="D2587" s="14" t="s">
        <v>1745</v>
      </c>
      <c r="E2587" s="14" t="s">
        <v>1747</v>
      </c>
      <c r="F2587" s="14">
        <v>0</v>
      </c>
      <c r="G2587" s="14">
        <v>0</v>
      </c>
      <c r="H2587" s="37">
        <f>'Calculation Sheet'!N2587</f>
        <v>0</v>
      </c>
    </row>
    <row r="2588" spans="1:8" x14ac:dyDescent="0.25">
      <c r="A2588" s="14" t="s">
        <v>2518</v>
      </c>
      <c r="B2588" s="14" t="s">
        <v>20</v>
      </c>
      <c r="C2588" s="15" t="s">
        <v>2521</v>
      </c>
      <c r="D2588" s="14" t="s">
        <v>1745</v>
      </c>
      <c r="E2588" s="14" t="s">
        <v>1746</v>
      </c>
      <c r="F2588" s="14">
        <v>0</v>
      </c>
      <c r="G2588" s="14">
        <v>0</v>
      </c>
      <c r="H2588" s="37">
        <f>'Calculation Sheet'!N2588</f>
        <v>0</v>
      </c>
    </row>
    <row r="2589" spans="1:8" x14ac:dyDescent="0.25">
      <c r="A2589" s="14" t="s">
        <v>966</v>
      </c>
      <c r="B2589" s="14" t="s">
        <v>24</v>
      </c>
      <c r="C2589" s="15" t="s">
        <v>968</v>
      </c>
      <c r="D2589" s="14" t="s">
        <v>1745</v>
      </c>
      <c r="E2589" s="14" t="s">
        <v>1746</v>
      </c>
      <c r="F2589" s="14">
        <v>2835</v>
      </c>
      <c r="G2589" s="14">
        <v>2268</v>
      </c>
      <c r="H2589" s="37">
        <f>'Calculation Sheet'!N2589</f>
        <v>2245.3200000000002</v>
      </c>
    </row>
    <row r="2590" spans="1:8" x14ac:dyDescent="0.25">
      <c r="A2590" s="14" t="s">
        <v>966</v>
      </c>
      <c r="B2590" s="14">
        <v>5</v>
      </c>
      <c r="C2590" s="15" t="s">
        <v>2522</v>
      </c>
      <c r="D2590" s="14" t="s">
        <v>1749</v>
      </c>
      <c r="E2590" s="14" t="s">
        <v>1746</v>
      </c>
      <c r="F2590" s="14">
        <v>162</v>
      </c>
      <c r="G2590" s="14">
        <v>145.80000000000001</v>
      </c>
      <c r="H2590" s="37">
        <f>'Calculation Sheet'!N2590</f>
        <v>144.34200000000001</v>
      </c>
    </row>
    <row r="2591" spans="1:8" x14ac:dyDescent="0.25">
      <c r="A2591" s="14" t="s">
        <v>966</v>
      </c>
      <c r="B2591" s="14">
        <v>3</v>
      </c>
      <c r="C2591" s="15" t="s">
        <v>2523</v>
      </c>
      <c r="D2591" s="14" t="s">
        <v>1752</v>
      </c>
      <c r="E2591" s="14" t="s">
        <v>1746</v>
      </c>
      <c r="F2591" s="14">
        <v>1887.12</v>
      </c>
      <c r="G2591" s="14">
        <v>1509.48</v>
      </c>
      <c r="H2591" s="37">
        <f>'Calculation Sheet'!N2591</f>
        <v>1494.3851999999999</v>
      </c>
    </row>
    <row r="2592" spans="1:8" x14ac:dyDescent="0.25">
      <c r="A2592" s="14" t="s">
        <v>966</v>
      </c>
      <c r="B2592" s="14">
        <v>5</v>
      </c>
      <c r="C2592" s="15" t="s">
        <v>2522</v>
      </c>
      <c r="D2592" s="14" t="s">
        <v>1752</v>
      </c>
      <c r="E2592" s="14" t="s">
        <v>1746</v>
      </c>
      <c r="F2592" s="14">
        <v>5103</v>
      </c>
      <c r="G2592" s="14">
        <v>4592.88</v>
      </c>
      <c r="H2592" s="37">
        <f>'Calculation Sheet'!N2592</f>
        <v>4546.9512000000004</v>
      </c>
    </row>
    <row r="2593" spans="1:8" x14ac:dyDescent="0.25">
      <c r="A2593" s="14" t="s">
        <v>966</v>
      </c>
      <c r="B2593" s="14">
        <v>4</v>
      </c>
      <c r="C2593" s="15" t="s">
        <v>2524</v>
      </c>
      <c r="D2593" s="14" t="s">
        <v>1752</v>
      </c>
      <c r="E2593" s="14" t="s">
        <v>1747</v>
      </c>
      <c r="F2593" s="14">
        <v>2396.16</v>
      </c>
      <c r="G2593" s="14">
        <v>1916.94</v>
      </c>
      <c r="H2593" s="37">
        <f>'Calculation Sheet'!N2593</f>
        <v>1859.4318000000001</v>
      </c>
    </row>
    <row r="2594" spans="1:8" x14ac:dyDescent="0.25">
      <c r="A2594" s="14" t="s">
        <v>966</v>
      </c>
      <c r="B2594" s="14">
        <v>5</v>
      </c>
      <c r="C2594" s="15" t="s">
        <v>2522</v>
      </c>
      <c r="D2594" s="14" t="s">
        <v>1745</v>
      </c>
      <c r="E2594" s="14" t="s">
        <v>1746</v>
      </c>
      <c r="F2594" s="14">
        <v>1701</v>
      </c>
      <c r="G2594" s="14">
        <v>1530.96</v>
      </c>
      <c r="H2594" s="37">
        <f>'Calculation Sheet'!N2594</f>
        <v>1515.6504</v>
      </c>
    </row>
    <row r="2595" spans="1:8" x14ac:dyDescent="0.25">
      <c r="A2595" s="14" t="s">
        <v>966</v>
      </c>
      <c r="B2595" s="14" t="s">
        <v>24</v>
      </c>
      <c r="C2595" s="15" t="s">
        <v>968</v>
      </c>
      <c r="D2595" s="14" t="s">
        <v>1749</v>
      </c>
      <c r="E2595" s="14" t="s">
        <v>1746</v>
      </c>
      <c r="F2595" s="14">
        <v>270</v>
      </c>
      <c r="G2595" s="14">
        <v>216</v>
      </c>
      <c r="H2595" s="37">
        <f>'Calculation Sheet'!N2595</f>
        <v>213.84</v>
      </c>
    </row>
    <row r="2596" spans="1:8" x14ac:dyDescent="0.25">
      <c r="A2596" s="14" t="s">
        <v>966</v>
      </c>
      <c r="B2596" s="14">
        <v>5</v>
      </c>
      <c r="C2596" s="15" t="s">
        <v>2522</v>
      </c>
      <c r="D2596" s="14" t="s">
        <v>1752</v>
      </c>
      <c r="E2596" s="14" t="s">
        <v>1753</v>
      </c>
      <c r="F2596" s="14">
        <v>4860</v>
      </c>
      <c r="G2596" s="14">
        <v>4374</v>
      </c>
      <c r="H2596" s="37">
        <f>'Calculation Sheet'!N2596</f>
        <v>4242.78</v>
      </c>
    </row>
    <row r="2597" spans="1:8" x14ac:dyDescent="0.25">
      <c r="A2597" s="14" t="s">
        <v>966</v>
      </c>
      <c r="B2597" s="14">
        <v>3</v>
      </c>
      <c r="C2597" s="15" t="s">
        <v>2523</v>
      </c>
      <c r="D2597" s="14" t="s">
        <v>1745</v>
      </c>
      <c r="E2597" s="14" t="s">
        <v>1746</v>
      </c>
      <c r="F2597" s="14">
        <v>629.04</v>
      </c>
      <c r="G2597" s="14">
        <v>503.16</v>
      </c>
      <c r="H2597" s="37">
        <f>'Calculation Sheet'!N2597</f>
        <v>498.1284</v>
      </c>
    </row>
    <row r="2598" spans="1:8" x14ac:dyDescent="0.25">
      <c r="A2598" s="14" t="s">
        <v>966</v>
      </c>
      <c r="B2598" s="14">
        <v>4</v>
      </c>
      <c r="C2598" s="15" t="s">
        <v>2524</v>
      </c>
      <c r="D2598" s="14" t="s">
        <v>1745</v>
      </c>
      <c r="E2598" s="14" t="s">
        <v>1746</v>
      </c>
      <c r="F2598" s="14">
        <v>838.68</v>
      </c>
      <c r="G2598" s="14">
        <v>670.92</v>
      </c>
      <c r="H2598" s="37">
        <f>'Calculation Sheet'!N2598</f>
        <v>664.21079999999995</v>
      </c>
    </row>
    <row r="2599" spans="1:8" x14ac:dyDescent="0.25">
      <c r="A2599" s="14" t="s">
        <v>966</v>
      </c>
      <c r="B2599" s="14">
        <v>2</v>
      </c>
      <c r="C2599" s="15" t="s">
        <v>965</v>
      </c>
      <c r="D2599" s="14" t="s">
        <v>1745</v>
      </c>
      <c r="E2599" s="14" t="s">
        <v>1747</v>
      </c>
      <c r="F2599" s="14">
        <v>4020</v>
      </c>
      <c r="G2599" s="14">
        <v>3216</v>
      </c>
      <c r="H2599" s="37">
        <f>'Calculation Sheet'!N2599</f>
        <v>3119.52</v>
      </c>
    </row>
    <row r="2600" spans="1:8" x14ac:dyDescent="0.25">
      <c r="A2600" s="14" t="s">
        <v>966</v>
      </c>
      <c r="B2600" s="14">
        <v>3</v>
      </c>
      <c r="C2600" s="15" t="s">
        <v>2523</v>
      </c>
      <c r="D2600" s="14" t="s">
        <v>1745</v>
      </c>
      <c r="E2600" s="14" t="s">
        <v>1747</v>
      </c>
      <c r="F2600" s="14">
        <v>599.04</v>
      </c>
      <c r="G2600" s="14">
        <v>479.23</v>
      </c>
      <c r="H2600" s="37">
        <f>'Calculation Sheet'!N2600</f>
        <v>464.85310000000004</v>
      </c>
    </row>
    <row r="2601" spans="1:8" x14ac:dyDescent="0.25">
      <c r="A2601" s="14" t="s">
        <v>966</v>
      </c>
      <c r="B2601" s="14">
        <v>3</v>
      </c>
      <c r="C2601" s="15" t="s">
        <v>2523</v>
      </c>
      <c r="D2601" s="14" t="s">
        <v>1752</v>
      </c>
      <c r="E2601" s="14" t="s">
        <v>1753</v>
      </c>
      <c r="F2601" s="14">
        <v>1797.12</v>
      </c>
      <c r="G2601" s="14">
        <v>1437.7</v>
      </c>
      <c r="H2601" s="37">
        <f>'Calculation Sheet'!N2601</f>
        <v>1394.569</v>
      </c>
    </row>
    <row r="2602" spans="1:8" x14ac:dyDescent="0.25">
      <c r="A2602" s="14" t="s">
        <v>966</v>
      </c>
      <c r="B2602" s="14">
        <v>4</v>
      </c>
      <c r="C2602" s="15" t="s">
        <v>2524</v>
      </c>
      <c r="D2602" s="14" t="s">
        <v>1752</v>
      </c>
      <c r="E2602" s="14" t="s">
        <v>1746</v>
      </c>
      <c r="F2602" s="14">
        <v>2516.04</v>
      </c>
      <c r="G2602" s="14">
        <v>2012.76</v>
      </c>
      <c r="H2602" s="37">
        <f>'Calculation Sheet'!N2602</f>
        <v>1992.6324</v>
      </c>
    </row>
    <row r="2603" spans="1:8" x14ac:dyDescent="0.25">
      <c r="A2603" s="14" t="s">
        <v>966</v>
      </c>
      <c r="B2603" s="14">
        <v>4</v>
      </c>
      <c r="C2603" s="15" t="s">
        <v>2524</v>
      </c>
      <c r="D2603" s="14" t="s">
        <v>1752</v>
      </c>
      <c r="E2603" s="14" t="s">
        <v>1753</v>
      </c>
      <c r="F2603" s="14">
        <v>2396.16</v>
      </c>
      <c r="G2603" s="14">
        <v>1916.93</v>
      </c>
      <c r="H2603" s="37">
        <f>'Calculation Sheet'!N2603</f>
        <v>1859.4221</v>
      </c>
    </row>
    <row r="2604" spans="1:8" x14ac:dyDescent="0.25">
      <c r="A2604" s="14" t="s">
        <v>966</v>
      </c>
      <c r="B2604" s="14">
        <v>5</v>
      </c>
      <c r="C2604" s="15" t="s">
        <v>2522</v>
      </c>
      <c r="D2604" s="14" t="s">
        <v>1745</v>
      </c>
      <c r="E2604" s="14" t="s">
        <v>1747</v>
      </c>
      <c r="F2604" s="14">
        <v>1620</v>
      </c>
      <c r="G2604" s="14">
        <v>1458</v>
      </c>
      <c r="H2604" s="37">
        <f>'Calculation Sheet'!N2604</f>
        <v>1414.26</v>
      </c>
    </row>
    <row r="2605" spans="1:8" x14ac:dyDescent="0.25">
      <c r="A2605" s="14" t="s">
        <v>966</v>
      </c>
      <c r="B2605" s="14">
        <v>3</v>
      </c>
      <c r="C2605" s="15" t="s">
        <v>2523</v>
      </c>
      <c r="D2605" s="14" t="s">
        <v>1749</v>
      </c>
      <c r="E2605" s="14" t="s">
        <v>1746</v>
      </c>
      <c r="F2605" s="14">
        <v>59.9</v>
      </c>
      <c r="G2605" s="14">
        <v>47.92</v>
      </c>
      <c r="H2605" s="37">
        <f>'Calculation Sheet'!N2605</f>
        <v>47.440800000000003</v>
      </c>
    </row>
    <row r="2606" spans="1:8" x14ac:dyDescent="0.25">
      <c r="A2606" s="14" t="s">
        <v>966</v>
      </c>
      <c r="B2606" s="14">
        <v>5</v>
      </c>
      <c r="C2606" s="15" t="s">
        <v>2522</v>
      </c>
      <c r="D2606" s="14" t="s">
        <v>1752</v>
      </c>
      <c r="E2606" s="14" t="s">
        <v>1747</v>
      </c>
      <c r="F2606" s="14">
        <v>4860</v>
      </c>
      <c r="G2606" s="14">
        <v>4374</v>
      </c>
      <c r="H2606" s="37">
        <f>'Calculation Sheet'!N2606</f>
        <v>4242.78</v>
      </c>
    </row>
    <row r="2607" spans="1:8" x14ac:dyDescent="0.25">
      <c r="A2607" s="14" t="s">
        <v>966</v>
      </c>
      <c r="B2607" s="14" t="s">
        <v>24</v>
      </c>
      <c r="C2607" s="15" t="s">
        <v>968</v>
      </c>
      <c r="D2607" s="14" t="s">
        <v>1745</v>
      </c>
      <c r="E2607" s="14" t="s">
        <v>1747</v>
      </c>
      <c r="F2607" s="14">
        <v>2700</v>
      </c>
      <c r="G2607" s="14">
        <v>2160</v>
      </c>
      <c r="H2607" s="37">
        <f>'Calculation Sheet'!N2607</f>
        <v>2095.1999999999998</v>
      </c>
    </row>
    <row r="2608" spans="1:8" x14ac:dyDescent="0.25">
      <c r="A2608" s="14" t="s">
        <v>966</v>
      </c>
      <c r="B2608" s="14">
        <v>2</v>
      </c>
      <c r="C2608" s="15" t="s">
        <v>965</v>
      </c>
      <c r="D2608" s="14" t="s">
        <v>1749</v>
      </c>
      <c r="E2608" s="14" t="s">
        <v>1746</v>
      </c>
      <c r="F2608" s="14">
        <v>402</v>
      </c>
      <c r="G2608" s="14">
        <v>321.60000000000002</v>
      </c>
      <c r="H2608" s="37">
        <f>'Calculation Sheet'!N2608</f>
        <v>318.38400000000001</v>
      </c>
    </row>
    <row r="2609" spans="1:8" x14ac:dyDescent="0.25">
      <c r="A2609" s="14" t="s">
        <v>966</v>
      </c>
      <c r="B2609" s="14">
        <v>3</v>
      </c>
      <c r="C2609" s="15" t="s">
        <v>2523</v>
      </c>
      <c r="D2609" s="14" t="s">
        <v>1752</v>
      </c>
      <c r="E2609" s="14" t="s">
        <v>1747</v>
      </c>
      <c r="F2609" s="14">
        <v>1797.12</v>
      </c>
      <c r="G2609" s="14">
        <v>1437.69</v>
      </c>
      <c r="H2609" s="37">
        <f>'Calculation Sheet'!N2609</f>
        <v>1394.5593000000001</v>
      </c>
    </row>
    <row r="2610" spans="1:8" x14ac:dyDescent="0.25">
      <c r="A2610" s="14" t="s">
        <v>966</v>
      </c>
      <c r="B2610" s="14">
        <v>4</v>
      </c>
      <c r="C2610" s="15" t="s">
        <v>2524</v>
      </c>
      <c r="D2610" s="14" t="s">
        <v>1749</v>
      </c>
      <c r="E2610" s="14" t="s">
        <v>1746</v>
      </c>
      <c r="F2610" s="14">
        <v>79.87</v>
      </c>
      <c r="G2610" s="14">
        <v>63.9</v>
      </c>
      <c r="H2610" s="37">
        <f>'Calculation Sheet'!N2610</f>
        <v>63.260999999999996</v>
      </c>
    </row>
    <row r="2611" spans="1:8" x14ac:dyDescent="0.25">
      <c r="A2611" s="14" t="s">
        <v>966</v>
      </c>
      <c r="B2611" s="14">
        <v>2</v>
      </c>
      <c r="C2611" s="15" t="s">
        <v>965</v>
      </c>
      <c r="D2611" s="14" t="s">
        <v>1745</v>
      </c>
      <c r="E2611" s="14" t="s">
        <v>1746</v>
      </c>
      <c r="F2611" s="14">
        <v>4221</v>
      </c>
      <c r="G2611" s="14">
        <v>3376.8</v>
      </c>
      <c r="H2611" s="37">
        <f>'Calculation Sheet'!N2611</f>
        <v>3343.0320000000002</v>
      </c>
    </row>
    <row r="2612" spans="1:8" x14ac:dyDescent="0.25">
      <c r="A2612" s="14" t="s">
        <v>966</v>
      </c>
      <c r="B2612" s="14">
        <v>4</v>
      </c>
      <c r="C2612" s="15" t="s">
        <v>2524</v>
      </c>
      <c r="D2612" s="14" t="s">
        <v>1745</v>
      </c>
      <c r="E2612" s="14" t="s">
        <v>1747</v>
      </c>
      <c r="F2612" s="14">
        <v>798.72</v>
      </c>
      <c r="G2612" s="14">
        <v>638.98</v>
      </c>
      <c r="H2612" s="37">
        <f>'Calculation Sheet'!N2612</f>
        <v>619.81060000000002</v>
      </c>
    </row>
    <row r="2613" spans="1:8" x14ac:dyDescent="0.25">
      <c r="A2613" s="14" t="s">
        <v>973</v>
      </c>
      <c r="B2613" s="14">
        <v>1</v>
      </c>
      <c r="C2613" s="15" t="s">
        <v>972</v>
      </c>
      <c r="D2613" s="14" t="s">
        <v>1749</v>
      </c>
      <c r="E2613" s="14" t="s">
        <v>1746</v>
      </c>
      <c r="F2613" s="14">
        <v>234</v>
      </c>
      <c r="G2613" s="14">
        <v>187.2</v>
      </c>
      <c r="H2613" s="37">
        <f>'Calculation Sheet'!N2613</f>
        <v>185.32799999999997</v>
      </c>
    </row>
    <row r="2614" spans="1:8" x14ac:dyDescent="0.25">
      <c r="A2614" s="14" t="s">
        <v>973</v>
      </c>
      <c r="B2614" s="14">
        <v>1</v>
      </c>
      <c r="C2614" s="15" t="s">
        <v>972</v>
      </c>
      <c r="D2614" s="14" t="s">
        <v>1745</v>
      </c>
      <c r="E2614" s="14" t="s">
        <v>1746</v>
      </c>
      <c r="F2614" s="14">
        <v>2457</v>
      </c>
      <c r="G2614" s="14">
        <v>1965.6</v>
      </c>
      <c r="H2614" s="37">
        <f>'Calculation Sheet'!N2614</f>
        <v>1945.944</v>
      </c>
    </row>
    <row r="2615" spans="1:8" x14ac:dyDescent="0.25">
      <c r="A2615" s="14" t="s">
        <v>973</v>
      </c>
      <c r="B2615" s="14">
        <v>1</v>
      </c>
      <c r="C2615" s="15" t="s">
        <v>972</v>
      </c>
      <c r="D2615" s="14" t="s">
        <v>1745</v>
      </c>
      <c r="E2615" s="14" t="s">
        <v>1747</v>
      </c>
      <c r="F2615" s="14">
        <v>2340</v>
      </c>
      <c r="G2615" s="14">
        <v>1872</v>
      </c>
      <c r="H2615" s="37">
        <f>'Calculation Sheet'!N2615</f>
        <v>1815.84</v>
      </c>
    </row>
    <row r="2616" spans="1:8" x14ac:dyDescent="0.25">
      <c r="A2616" s="14" t="s">
        <v>976</v>
      </c>
      <c r="B2616" s="14">
        <v>6</v>
      </c>
      <c r="C2616" s="15" t="s">
        <v>2525</v>
      </c>
      <c r="D2616" s="14" t="s">
        <v>1749</v>
      </c>
      <c r="E2616" s="14" t="s">
        <v>1746</v>
      </c>
      <c r="F2616" s="14">
        <v>150</v>
      </c>
      <c r="G2616" s="14">
        <v>120</v>
      </c>
      <c r="H2616" s="37">
        <f>'Calculation Sheet'!N2616</f>
        <v>118.8</v>
      </c>
    </row>
    <row r="2617" spans="1:8" x14ac:dyDescent="0.25">
      <c r="A2617" s="14" t="s">
        <v>976</v>
      </c>
      <c r="B2617" s="14">
        <v>4</v>
      </c>
      <c r="C2617" s="15" t="s">
        <v>2526</v>
      </c>
      <c r="D2617" s="14" t="s">
        <v>1752</v>
      </c>
      <c r="E2617" s="14" t="s">
        <v>1746</v>
      </c>
      <c r="F2617" s="14">
        <v>12663</v>
      </c>
      <c r="G2617" s="14">
        <v>11396.88</v>
      </c>
      <c r="H2617" s="37">
        <f>'Calculation Sheet'!N2617</f>
        <v>11282.911199999999</v>
      </c>
    </row>
    <row r="2618" spans="1:8" x14ac:dyDescent="0.25">
      <c r="A2618" s="14" t="s">
        <v>976</v>
      </c>
      <c r="B2618" s="14">
        <v>6</v>
      </c>
      <c r="C2618" s="15" t="s">
        <v>2525</v>
      </c>
      <c r="D2618" s="14" t="s">
        <v>1752</v>
      </c>
      <c r="E2618" s="14" t="s">
        <v>1746</v>
      </c>
      <c r="F2618" s="14">
        <v>4725</v>
      </c>
      <c r="G2618" s="14">
        <v>3780</v>
      </c>
      <c r="H2618" s="37">
        <f>'Calculation Sheet'!N2618</f>
        <v>3742.2</v>
      </c>
    </row>
    <row r="2619" spans="1:8" x14ac:dyDescent="0.25">
      <c r="A2619" s="14" t="s">
        <v>976</v>
      </c>
      <c r="B2619" s="14">
        <v>6</v>
      </c>
      <c r="C2619" s="15" t="s">
        <v>2525</v>
      </c>
      <c r="D2619" s="14" t="s">
        <v>1745</v>
      </c>
      <c r="E2619" s="14" t="s">
        <v>1747</v>
      </c>
      <c r="F2619" s="14">
        <v>1500</v>
      </c>
      <c r="G2619" s="14">
        <v>1200</v>
      </c>
      <c r="H2619" s="37">
        <f>'Calculation Sheet'!N2619</f>
        <v>1164</v>
      </c>
    </row>
    <row r="2620" spans="1:8" x14ac:dyDescent="0.25">
      <c r="A2620" s="14" t="s">
        <v>976</v>
      </c>
      <c r="B2620" s="14" t="s">
        <v>24</v>
      </c>
      <c r="C2620" s="15" t="s">
        <v>978</v>
      </c>
      <c r="D2620" s="14" t="s">
        <v>1745</v>
      </c>
      <c r="E2620" s="14" t="s">
        <v>1747</v>
      </c>
      <c r="F2620" s="14">
        <v>6780</v>
      </c>
      <c r="G2620" s="14">
        <v>5424</v>
      </c>
      <c r="H2620" s="37">
        <f>'Calculation Sheet'!N2620</f>
        <v>5261.28</v>
      </c>
    </row>
    <row r="2621" spans="1:8" x14ac:dyDescent="0.25">
      <c r="A2621" s="14" t="s">
        <v>976</v>
      </c>
      <c r="B2621" s="14">
        <v>4</v>
      </c>
      <c r="C2621" s="15" t="s">
        <v>2526</v>
      </c>
      <c r="D2621" s="14" t="s">
        <v>1745</v>
      </c>
      <c r="E2621" s="14" t="s">
        <v>1747</v>
      </c>
      <c r="F2621" s="14">
        <v>4020</v>
      </c>
      <c r="G2621" s="14">
        <v>3618</v>
      </c>
      <c r="H2621" s="37">
        <f>'Calculation Sheet'!N2621</f>
        <v>3509.46</v>
      </c>
    </row>
    <row r="2622" spans="1:8" x14ac:dyDescent="0.25">
      <c r="A2622" s="14" t="s">
        <v>976</v>
      </c>
      <c r="B2622" s="14">
        <v>6</v>
      </c>
      <c r="C2622" s="15" t="s">
        <v>2525</v>
      </c>
      <c r="D2622" s="14" t="s">
        <v>1752</v>
      </c>
      <c r="E2622" s="14" t="s">
        <v>1753</v>
      </c>
      <c r="F2622" s="14">
        <v>4500</v>
      </c>
      <c r="G2622" s="14">
        <v>3600</v>
      </c>
      <c r="H2622" s="37">
        <f>'Calculation Sheet'!N2622</f>
        <v>3492</v>
      </c>
    </row>
    <row r="2623" spans="1:8" x14ac:dyDescent="0.25">
      <c r="A2623" s="14" t="s">
        <v>976</v>
      </c>
      <c r="B2623" s="14">
        <v>3</v>
      </c>
      <c r="C2623" s="15" t="s">
        <v>2527</v>
      </c>
      <c r="D2623" s="14" t="s">
        <v>1752</v>
      </c>
      <c r="E2623" s="14" t="s">
        <v>1746</v>
      </c>
      <c r="F2623" s="14">
        <v>6237</v>
      </c>
      <c r="G2623" s="14">
        <v>4989.6000000000004</v>
      </c>
      <c r="H2623" s="37">
        <f>'Calculation Sheet'!N2623</f>
        <v>4939.7040000000006</v>
      </c>
    </row>
    <row r="2624" spans="1:8" x14ac:dyDescent="0.25">
      <c r="A2624" s="14" t="s">
        <v>976</v>
      </c>
      <c r="B2624" s="14">
        <v>4</v>
      </c>
      <c r="C2624" s="15" t="s">
        <v>2526</v>
      </c>
      <c r="D2624" s="14" t="s">
        <v>1749</v>
      </c>
      <c r="E2624" s="14" t="s">
        <v>1746</v>
      </c>
      <c r="F2624" s="14">
        <v>402</v>
      </c>
      <c r="G2624" s="14">
        <v>361.8</v>
      </c>
      <c r="H2624" s="37">
        <f>'Calculation Sheet'!N2624</f>
        <v>358.18200000000002</v>
      </c>
    </row>
    <row r="2625" spans="1:8" x14ac:dyDescent="0.25">
      <c r="A2625" s="14" t="s">
        <v>976</v>
      </c>
      <c r="B2625" s="14">
        <v>4</v>
      </c>
      <c r="C2625" s="15" t="s">
        <v>2526</v>
      </c>
      <c r="D2625" s="14" t="s">
        <v>1745</v>
      </c>
      <c r="E2625" s="14" t="s">
        <v>1746</v>
      </c>
      <c r="F2625" s="14">
        <v>4221</v>
      </c>
      <c r="G2625" s="14">
        <v>3798.96</v>
      </c>
      <c r="H2625" s="37">
        <f>'Calculation Sheet'!N2625</f>
        <v>3760.9704000000002</v>
      </c>
    </row>
    <row r="2626" spans="1:8" x14ac:dyDescent="0.25">
      <c r="A2626" s="14" t="s">
        <v>976</v>
      </c>
      <c r="B2626" s="14">
        <v>3</v>
      </c>
      <c r="C2626" s="15" t="s">
        <v>2527</v>
      </c>
      <c r="D2626" s="14" t="s">
        <v>1745</v>
      </c>
      <c r="E2626" s="14" t="s">
        <v>1746</v>
      </c>
      <c r="F2626" s="14">
        <v>2079</v>
      </c>
      <c r="G2626" s="14">
        <v>1663.2</v>
      </c>
      <c r="H2626" s="37">
        <f>'Calculation Sheet'!N2626</f>
        <v>1646.568</v>
      </c>
    </row>
    <row r="2627" spans="1:8" x14ac:dyDescent="0.25">
      <c r="A2627" s="14" t="s">
        <v>976</v>
      </c>
      <c r="B2627" s="14">
        <v>3</v>
      </c>
      <c r="C2627" s="15" t="s">
        <v>2527</v>
      </c>
      <c r="D2627" s="14" t="s">
        <v>1749</v>
      </c>
      <c r="E2627" s="14" t="s">
        <v>1746</v>
      </c>
      <c r="F2627" s="14">
        <v>198</v>
      </c>
      <c r="G2627" s="14">
        <v>158.4</v>
      </c>
      <c r="H2627" s="37">
        <f>'Calculation Sheet'!N2627</f>
        <v>156.816</v>
      </c>
    </row>
    <row r="2628" spans="1:8" x14ac:dyDescent="0.25">
      <c r="A2628" s="14" t="s">
        <v>976</v>
      </c>
      <c r="B2628" s="14">
        <v>6</v>
      </c>
      <c r="C2628" s="15" t="s">
        <v>2525</v>
      </c>
      <c r="D2628" s="14" t="s">
        <v>1745</v>
      </c>
      <c r="E2628" s="14" t="s">
        <v>1746</v>
      </c>
      <c r="F2628" s="14">
        <v>1575</v>
      </c>
      <c r="G2628" s="14">
        <v>1260</v>
      </c>
      <c r="H2628" s="37">
        <f>'Calculation Sheet'!N2628</f>
        <v>1247.4000000000001</v>
      </c>
    </row>
    <row r="2629" spans="1:8" x14ac:dyDescent="0.25">
      <c r="A2629" s="14" t="s">
        <v>976</v>
      </c>
      <c r="B2629" s="14">
        <v>3</v>
      </c>
      <c r="C2629" s="15" t="s">
        <v>2527</v>
      </c>
      <c r="D2629" s="14" t="s">
        <v>1752</v>
      </c>
      <c r="E2629" s="14" t="s">
        <v>1747</v>
      </c>
      <c r="F2629" s="14">
        <v>5940</v>
      </c>
      <c r="G2629" s="14">
        <v>4752</v>
      </c>
      <c r="H2629" s="37">
        <f>'Calculation Sheet'!N2629</f>
        <v>4609.4399999999996</v>
      </c>
    </row>
    <row r="2630" spans="1:8" x14ac:dyDescent="0.25">
      <c r="A2630" s="14" t="s">
        <v>976</v>
      </c>
      <c r="B2630" s="14" t="s">
        <v>24</v>
      </c>
      <c r="C2630" s="15" t="s">
        <v>978</v>
      </c>
      <c r="D2630" s="14" t="s">
        <v>1745</v>
      </c>
      <c r="E2630" s="14" t="s">
        <v>1746</v>
      </c>
      <c r="F2630" s="14">
        <v>7119</v>
      </c>
      <c r="G2630" s="14">
        <v>5695.2</v>
      </c>
      <c r="H2630" s="37">
        <f>'Calculation Sheet'!N2630</f>
        <v>5638.2479999999996</v>
      </c>
    </row>
    <row r="2631" spans="1:8" x14ac:dyDescent="0.25">
      <c r="A2631" s="14" t="s">
        <v>976</v>
      </c>
      <c r="B2631" s="14">
        <v>6</v>
      </c>
      <c r="C2631" s="15" t="s">
        <v>2525</v>
      </c>
      <c r="D2631" s="14" t="s">
        <v>1752</v>
      </c>
      <c r="E2631" s="14" t="s">
        <v>1747</v>
      </c>
      <c r="F2631" s="14">
        <v>4500</v>
      </c>
      <c r="G2631" s="14">
        <v>3600</v>
      </c>
      <c r="H2631" s="37">
        <f>'Calculation Sheet'!N2631</f>
        <v>3492</v>
      </c>
    </row>
    <row r="2632" spans="1:8" x14ac:dyDescent="0.25">
      <c r="A2632" s="14" t="s">
        <v>976</v>
      </c>
      <c r="B2632" s="14">
        <v>1</v>
      </c>
      <c r="C2632" s="15" t="s">
        <v>975</v>
      </c>
      <c r="D2632" s="14" t="s">
        <v>1749</v>
      </c>
      <c r="E2632" s="14" t="s">
        <v>1746</v>
      </c>
      <c r="F2632" s="14">
        <v>996</v>
      </c>
      <c r="G2632" s="14">
        <v>796.8</v>
      </c>
      <c r="H2632" s="37">
        <f>'Calculation Sheet'!N2632</f>
        <v>788.83199999999999</v>
      </c>
    </row>
    <row r="2633" spans="1:8" x14ac:dyDescent="0.25">
      <c r="A2633" s="14" t="s">
        <v>976</v>
      </c>
      <c r="B2633" s="14">
        <v>1</v>
      </c>
      <c r="C2633" s="15" t="s">
        <v>975</v>
      </c>
      <c r="D2633" s="14" t="s">
        <v>1745</v>
      </c>
      <c r="E2633" s="14" t="s">
        <v>1746</v>
      </c>
      <c r="F2633" s="14">
        <v>10458</v>
      </c>
      <c r="G2633" s="14">
        <v>8366.4</v>
      </c>
      <c r="H2633" s="37">
        <f>'Calculation Sheet'!N2633</f>
        <v>8282.735999999999</v>
      </c>
    </row>
    <row r="2634" spans="1:8" x14ac:dyDescent="0.25">
      <c r="A2634" s="14" t="s">
        <v>976</v>
      </c>
      <c r="B2634" s="14">
        <v>4</v>
      </c>
      <c r="C2634" s="15" t="s">
        <v>2526</v>
      </c>
      <c r="D2634" s="14" t="s">
        <v>1752</v>
      </c>
      <c r="E2634" s="14" t="s">
        <v>1753</v>
      </c>
      <c r="F2634" s="14">
        <v>12060</v>
      </c>
      <c r="G2634" s="14">
        <v>10854</v>
      </c>
      <c r="H2634" s="37">
        <f>'Calculation Sheet'!N2634</f>
        <v>10528.38</v>
      </c>
    </row>
    <row r="2635" spans="1:8" x14ac:dyDescent="0.25">
      <c r="A2635" s="14" t="s">
        <v>976</v>
      </c>
      <c r="B2635" s="14" t="s">
        <v>24</v>
      </c>
      <c r="C2635" s="15" t="s">
        <v>978</v>
      </c>
      <c r="D2635" s="14" t="s">
        <v>1749</v>
      </c>
      <c r="E2635" s="14" t="s">
        <v>1746</v>
      </c>
      <c r="F2635" s="14">
        <v>678</v>
      </c>
      <c r="G2635" s="14">
        <v>542.4</v>
      </c>
      <c r="H2635" s="37">
        <f>'Calculation Sheet'!N2635</f>
        <v>536.976</v>
      </c>
    </row>
    <row r="2636" spans="1:8" x14ac:dyDescent="0.25">
      <c r="A2636" s="14" t="s">
        <v>976</v>
      </c>
      <c r="B2636" s="14">
        <v>3</v>
      </c>
      <c r="C2636" s="15" t="s">
        <v>2527</v>
      </c>
      <c r="D2636" s="14" t="s">
        <v>1752</v>
      </c>
      <c r="E2636" s="14" t="s">
        <v>1753</v>
      </c>
      <c r="F2636" s="14">
        <v>5940</v>
      </c>
      <c r="G2636" s="14">
        <v>4752</v>
      </c>
      <c r="H2636" s="37">
        <f>'Calculation Sheet'!N2636</f>
        <v>4609.4399999999996</v>
      </c>
    </row>
    <row r="2637" spans="1:8" x14ac:dyDescent="0.25">
      <c r="A2637" s="14" t="s">
        <v>976</v>
      </c>
      <c r="B2637" s="14">
        <v>1</v>
      </c>
      <c r="C2637" s="15" t="s">
        <v>975</v>
      </c>
      <c r="D2637" s="14" t="s">
        <v>1745</v>
      </c>
      <c r="E2637" s="14" t="s">
        <v>1747</v>
      </c>
      <c r="F2637" s="14">
        <v>9960</v>
      </c>
      <c r="G2637" s="14">
        <v>7968</v>
      </c>
      <c r="H2637" s="37">
        <f>'Calculation Sheet'!N2637</f>
        <v>7728.96</v>
      </c>
    </row>
    <row r="2638" spans="1:8" x14ac:dyDescent="0.25">
      <c r="A2638" s="14" t="s">
        <v>976</v>
      </c>
      <c r="B2638" s="14">
        <v>3</v>
      </c>
      <c r="C2638" s="15" t="s">
        <v>2527</v>
      </c>
      <c r="D2638" s="14" t="s">
        <v>1745</v>
      </c>
      <c r="E2638" s="14" t="s">
        <v>1747</v>
      </c>
      <c r="F2638" s="14">
        <v>1980</v>
      </c>
      <c r="G2638" s="14">
        <v>1584</v>
      </c>
      <c r="H2638" s="37">
        <f>'Calculation Sheet'!N2638</f>
        <v>1536.48</v>
      </c>
    </row>
    <row r="2639" spans="1:8" x14ac:dyDescent="0.25">
      <c r="A2639" s="14" t="s">
        <v>976</v>
      </c>
      <c r="B2639" s="14">
        <v>4</v>
      </c>
      <c r="C2639" s="15" t="s">
        <v>2526</v>
      </c>
      <c r="D2639" s="14" t="s">
        <v>1752</v>
      </c>
      <c r="E2639" s="14" t="s">
        <v>1747</v>
      </c>
      <c r="F2639" s="14">
        <v>12060</v>
      </c>
      <c r="G2639" s="14">
        <v>10854</v>
      </c>
      <c r="H2639" s="37">
        <f>'Calculation Sheet'!N2639</f>
        <v>10528.38</v>
      </c>
    </row>
    <row r="2640" spans="1:8" x14ac:dyDescent="0.25">
      <c r="A2640" s="14" t="s">
        <v>591</v>
      </c>
      <c r="B2640" s="14">
        <v>2</v>
      </c>
      <c r="C2640" s="15" t="s">
        <v>590</v>
      </c>
      <c r="D2640" s="14" t="s">
        <v>1749</v>
      </c>
      <c r="E2640" s="14" t="s">
        <v>1746</v>
      </c>
      <c r="F2640" s="14">
        <v>49914</v>
      </c>
      <c r="G2640" s="14">
        <v>39931.199999999997</v>
      </c>
      <c r="H2640" s="37">
        <f>'Calculation Sheet'!N2640</f>
        <v>38733.263999999996</v>
      </c>
    </row>
    <row r="2641" spans="1:8" x14ac:dyDescent="0.25">
      <c r="A2641" s="14" t="s">
        <v>591</v>
      </c>
      <c r="B2641" s="14" t="s">
        <v>29</v>
      </c>
      <c r="C2641" s="15" t="s">
        <v>2528</v>
      </c>
      <c r="D2641" s="14" t="s">
        <v>1745</v>
      </c>
      <c r="E2641" s="14" t="s">
        <v>1746</v>
      </c>
      <c r="F2641" s="14">
        <v>524097</v>
      </c>
      <c r="G2641" s="14">
        <v>419277.6</v>
      </c>
      <c r="H2641" s="37">
        <f>'Calculation Sheet'!N2641</f>
        <v>406699.272</v>
      </c>
    </row>
    <row r="2642" spans="1:8" x14ac:dyDescent="0.25">
      <c r="A2642" s="14" t="s">
        <v>591</v>
      </c>
      <c r="B2642" s="14" t="s">
        <v>29</v>
      </c>
      <c r="C2642" s="15" t="s">
        <v>2528</v>
      </c>
      <c r="D2642" s="14" t="s">
        <v>1745</v>
      </c>
      <c r="E2642" s="14" t="s">
        <v>1747</v>
      </c>
      <c r="F2642" s="14">
        <v>499140</v>
      </c>
      <c r="G2642" s="14">
        <v>399312</v>
      </c>
      <c r="H2642" s="37">
        <f>'Calculation Sheet'!N2642</f>
        <v>343408.32</v>
      </c>
    </row>
    <row r="2643" spans="1:8" x14ac:dyDescent="0.25">
      <c r="A2643" s="14" t="s">
        <v>591</v>
      </c>
      <c r="B2643" s="14" t="s">
        <v>29</v>
      </c>
      <c r="C2643" s="15" t="s">
        <v>2528</v>
      </c>
      <c r="D2643" s="14" t="s">
        <v>1749</v>
      </c>
      <c r="E2643" s="14" t="s">
        <v>1746</v>
      </c>
      <c r="F2643" s="14">
        <v>49914</v>
      </c>
      <c r="G2643" s="14">
        <v>39931.199999999997</v>
      </c>
      <c r="H2643" s="37">
        <f>'Calculation Sheet'!N2643</f>
        <v>38733.263999999996</v>
      </c>
    </row>
    <row r="2644" spans="1:8" x14ac:dyDescent="0.25">
      <c r="A2644" s="14" t="s">
        <v>591</v>
      </c>
      <c r="B2644" s="14">
        <v>1</v>
      </c>
      <c r="C2644" s="15" t="s">
        <v>989</v>
      </c>
      <c r="D2644" s="14" t="s">
        <v>1749</v>
      </c>
      <c r="E2644" s="14" t="s">
        <v>1746</v>
      </c>
      <c r="F2644" s="14">
        <v>1200</v>
      </c>
      <c r="G2644" s="14">
        <v>960</v>
      </c>
      <c r="H2644" s="37">
        <f>'Calculation Sheet'!N2644</f>
        <v>931.2</v>
      </c>
    </row>
    <row r="2645" spans="1:8" x14ac:dyDescent="0.25">
      <c r="A2645" s="14" t="s">
        <v>591</v>
      </c>
      <c r="B2645" s="14" t="s">
        <v>122</v>
      </c>
      <c r="C2645" s="15" t="s">
        <v>2529</v>
      </c>
      <c r="D2645" s="14" t="s">
        <v>1752</v>
      </c>
      <c r="E2645" s="14" t="s">
        <v>1753</v>
      </c>
      <c r="F2645" s="14">
        <v>14400</v>
      </c>
      <c r="G2645" s="14">
        <v>12960</v>
      </c>
      <c r="H2645" s="37">
        <f>'Calculation Sheet'!N2645</f>
        <v>11145.6</v>
      </c>
    </row>
    <row r="2646" spans="1:8" x14ac:dyDescent="0.25">
      <c r="A2646" s="14" t="s">
        <v>591</v>
      </c>
      <c r="B2646" s="14" t="s">
        <v>307</v>
      </c>
      <c r="C2646" s="15" t="s">
        <v>2530</v>
      </c>
      <c r="D2646" s="14" t="s">
        <v>1752</v>
      </c>
      <c r="E2646" s="14" t="s">
        <v>1753</v>
      </c>
      <c r="F2646" s="14">
        <v>36000</v>
      </c>
      <c r="G2646" s="14">
        <v>28800</v>
      </c>
      <c r="H2646" s="37">
        <f>'Calculation Sheet'!N2646</f>
        <v>24768</v>
      </c>
    </row>
    <row r="2647" spans="1:8" x14ac:dyDescent="0.25">
      <c r="A2647" s="14" t="s">
        <v>591</v>
      </c>
      <c r="B2647" s="14">
        <v>1</v>
      </c>
      <c r="C2647" s="15" t="s">
        <v>989</v>
      </c>
      <c r="D2647" s="14" t="s">
        <v>1745</v>
      </c>
      <c r="E2647" s="14" t="s">
        <v>1746</v>
      </c>
      <c r="F2647" s="14">
        <v>12600</v>
      </c>
      <c r="G2647" s="14">
        <v>10080</v>
      </c>
      <c r="H2647" s="37">
        <f>'Calculation Sheet'!N2647</f>
        <v>9777.6</v>
      </c>
    </row>
    <row r="2648" spans="1:8" x14ac:dyDescent="0.25">
      <c r="A2648" s="14" t="s">
        <v>591</v>
      </c>
      <c r="B2648" s="14" t="s">
        <v>122</v>
      </c>
      <c r="C2648" s="15" t="s">
        <v>2529</v>
      </c>
      <c r="D2648" s="14" t="s">
        <v>1745</v>
      </c>
      <c r="E2648" s="14" t="s">
        <v>1746</v>
      </c>
      <c r="F2648" s="14">
        <v>5040</v>
      </c>
      <c r="G2648" s="14">
        <v>4536</v>
      </c>
      <c r="H2648" s="37">
        <f>'Calculation Sheet'!N2648</f>
        <v>4399.92</v>
      </c>
    </row>
    <row r="2649" spans="1:8" x14ac:dyDescent="0.25">
      <c r="A2649" s="14" t="s">
        <v>591</v>
      </c>
      <c r="B2649" s="14">
        <v>1</v>
      </c>
      <c r="C2649" s="15" t="s">
        <v>989</v>
      </c>
      <c r="D2649" s="14" t="s">
        <v>1745</v>
      </c>
      <c r="E2649" s="14" t="s">
        <v>1747</v>
      </c>
      <c r="F2649" s="14">
        <v>12000</v>
      </c>
      <c r="G2649" s="14">
        <v>9600</v>
      </c>
      <c r="H2649" s="37">
        <f>'Calculation Sheet'!N2649</f>
        <v>8256</v>
      </c>
    </row>
    <row r="2650" spans="1:8" x14ac:dyDescent="0.25">
      <c r="A2650" s="14" t="s">
        <v>591</v>
      </c>
      <c r="B2650" s="14" t="s">
        <v>122</v>
      </c>
      <c r="C2650" s="15" t="s">
        <v>2529</v>
      </c>
      <c r="D2650" s="14" t="s">
        <v>1749</v>
      </c>
      <c r="E2650" s="14" t="s">
        <v>1746</v>
      </c>
      <c r="F2650" s="14">
        <v>480</v>
      </c>
      <c r="G2650" s="14">
        <v>432</v>
      </c>
      <c r="H2650" s="37">
        <f>'Calculation Sheet'!N2650</f>
        <v>419.04</v>
      </c>
    </row>
    <row r="2651" spans="1:8" x14ac:dyDescent="0.25">
      <c r="A2651" s="14" t="s">
        <v>591</v>
      </c>
      <c r="B2651" s="14" t="s">
        <v>122</v>
      </c>
      <c r="C2651" s="15" t="s">
        <v>2529</v>
      </c>
      <c r="D2651" s="14" t="s">
        <v>1745</v>
      </c>
      <c r="E2651" s="14" t="s">
        <v>1747</v>
      </c>
      <c r="F2651" s="14">
        <v>4800</v>
      </c>
      <c r="G2651" s="14">
        <v>4320</v>
      </c>
      <c r="H2651" s="37">
        <f>'Calculation Sheet'!N2651</f>
        <v>3715.2</v>
      </c>
    </row>
    <row r="2652" spans="1:8" x14ac:dyDescent="0.25">
      <c r="A2652" s="14" t="s">
        <v>591</v>
      </c>
      <c r="B2652" s="14">
        <v>2</v>
      </c>
      <c r="C2652" s="15" t="s">
        <v>590</v>
      </c>
      <c r="D2652" s="14" t="s">
        <v>1745</v>
      </c>
      <c r="E2652" s="14" t="s">
        <v>1746</v>
      </c>
      <c r="F2652" s="14">
        <v>524097</v>
      </c>
      <c r="G2652" s="14">
        <v>419277.6</v>
      </c>
      <c r="H2652" s="37">
        <f>'Calculation Sheet'!N2652</f>
        <v>406699.272</v>
      </c>
    </row>
    <row r="2653" spans="1:8" x14ac:dyDescent="0.25">
      <c r="A2653" s="14" t="s">
        <v>591</v>
      </c>
      <c r="B2653" s="14" t="s">
        <v>307</v>
      </c>
      <c r="C2653" s="15" t="s">
        <v>2530</v>
      </c>
      <c r="D2653" s="14" t="s">
        <v>1752</v>
      </c>
      <c r="E2653" s="14" t="s">
        <v>1747</v>
      </c>
      <c r="F2653" s="14">
        <v>36000</v>
      </c>
      <c r="G2653" s="14">
        <v>28800</v>
      </c>
      <c r="H2653" s="37">
        <f>'Calculation Sheet'!N2653</f>
        <v>24768</v>
      </c>
    </row>
    <row r="2654" spans="1:8" x14ac:dyDescent="0.25">
      <c r="A2654" s="14" t="s">
        <v>591</v>
      </c>
      <c r="B2654" s="14">
        <v>2</v>
      </c>
      <c r="C2654" s="15" t="s">
        <v>590</v>
      </c>
      <c r="D2654" s="14" t="s">
        <v>1745</v>
      </c>
      <c r="E2654" s="14" t="s">
        <v>1747</v>
      </c>
      <c r="F2654" s="14">
        <v>499140</v>
      </c>
      <c r="G2654" s="14">
        <v>399312</v>
      </c>
      <c r="H2654" s="37">
        <f>'Calculation Sheet'!N2654</f>
        <v>343408.32</v>
      </c>
    </row>
    <row r="2655" spans="1:8" x14ac:dyDescent="0.25">
      <c r="A2655" s="14" t="s">
        <v>278</v>
      </c>
      <c r="B2655" s="14">
        <v>5</v>
      </c>
      <c r="C2655" s="15" t="s">
        <v>2531</v>
      </c>
      <c r="D2655" s="14" t="s">
        <v>1749</v>
      </c>
      <c r="E2655" s="14" t="s">
        <v>1746</v>
      </c>
      <c r="F2655" s="14">
        <v>306</v>
      </c>
      <c r="G2655" s="14">
        <v>244.8</v>
      </c>
      <c r="H2655" s="37">
        <f>'Calculation Sheet'!N2655</f>
        <v>237.45600000000002</v>
      </c>
    </row>
    <row r="2656" spans="1:8" x14ac:dyDescent="0.25">
      <c r="A2656" s="14" t="s">
        <v>278</v>
      </c>
      <c r="B2656" s="14">
        <v>9</v>
      </c>
      <c r="C2656" s="15" t="s">
        <v>2532</v>
      </c>
      <c r="D2656" s="14" t="s">
        <v>1745</v>
      </c>
      <c r="E2656" s="14" t="s">
        <v>1747</v>
      </c>
      <c r="F2656" s="14">
        <v>1560</v>
      </c>
      <c r="G2656" s="14">
        <v>1248</v>
      </c>
      <c r="H2656" s="37">
        <f>'Calculation Sheet'!N2656</f>
        <v>1073.28</v>
      </c>
    </row>
    <row r="2657" spans="1:8" x14ac:dyDescent="0.25">
      <c r="A2657" s="14" t="s">
        <v>278</v>
      </c>
      <c r="B2657" s="14">
        <v>9</v>
      </c>
      <c r="C2657" s="15" t="s">
        <v>2532</v>
      </c>
      <c r="D2657" s="14" t="s">
        <v>1745</v>
      </c>
      <c r="E2657" s="14" t="s">
        <v>1746</v>
      </c>
      <c r="F2657" s="14">
        <v>1638</v>
      </c>
      <c r="G2657" s="14">
        <v>1310.4000000000001</v>
      </c>
      <c r="H2657" s="37">
        <f>'Calculation Sheet'!N2657</f>
        <v>1271.0880000000002</v>
      </c>
    </row>
    <row r="2658" spans="1:8" x14ac:dyDescent="0.25">
      <c r="A2658" s="14" t="s">
        <v>278</v>
      </c>
      <c r="B2658" s="14">
        <v>6</v>
      </c>
      <c r="C2658" s="15" t="s">
        <v>2533</v>
      </c>
      <c r="D2658" s="14" t="s">
        <v>1749</v>
      </c>
      <c r="E2658" s="14" t="s">
        <v>1746</v>
      </c>
      <c r="F2658" s="14">
        <v>252</v>
      </c>
      <c r="G2658" s="14">
        <v>201.6</v>
      </c>
      <c r="H2658" s="37">
        <f>'Calculation Sheet'!N2658</f>
        <v>195.55199999999999</v>
      </c>
    </row>
    <row r="2659" spans="1:8" x14ac:dyDescent="0.25">
      <c r="A2659" s="14" t="s">
        <v>278</v>
      </c>
      <c r="B2659" s="14">
        <v>9</v>
      </c>
      <c r="C2659" s="15" t="s">
        <v>2532</v>
      </c>
      <c r="D2659" s="14" t="s">
        <v>1749</v>
      </c>
      <c r="E2659" s="14" t="s">
        <v>1746</v>
      </c>
      <c r="F2659" s="14">
        <v>156</v>
      </c>
      <c r="G2659" s="14">
        <v>124.8</v>
      </c>
      <c r="H2659" s="37">
        <f>'Calculation Sheet'!N2659</f>
        <v>121.056</v>
      </c>
    </row>
    <row r="2660" spans="1:8" x14ac:dyDescent="0.25">
      <c r="A2660" s="14" t="s">
        <v>278</v>
      </c>
      <c r="B2660" s="14">
        <v>6</v>
      </c>
      <c r="C2660" s="15" t="s">
        <v>2533</v>
      </c>
      <c r="D2660" s="14" t="s">
        <v>1745</v>
      </c>
      <c r="E2660" s="14" t="s">
        <v>1746</v>
      </c>
      <c r="F2660" s="14">
        <v>2646</v>
      </c>
      <c r="G2660" s="14">
        <v>2116.8000000000002</v>
      </c>
      <c r="H2660" s="37">
        <f>'Calculation Sheet'!N2660</f>
        <v>2053.2960000000003</v>
      </c>
    </row>
    <row r="2661" spans="1:8" x14ac:dyDescent="0.25">
      <c r="A2661" s="14" t="s">
        <v>278</v>
      </c>
      <c r="B2661" s="14">
        <v>5</v>
      </c>
      <c r="C2661" s="15" t="s">
        <v>2531</v>
      </c>
      <c r="D2661" s="14" t="s">
        <v>1745</v>
      </c>
      <c r="E2661" s="14" t="s">
        <v>1746</v>
      </c>
      <c r="F2661" s="14">
        <v>3213</v>
      </c>
      <c r="G2661" s="14">
        <v>2570.4</v>
      </c>
      <c r="H2661" s="37">
        <f>'Calculation Sheet'!N2661</f>
        <v>2493.288</v>
      </c>
    </row>
    <row r="2662" spans="1:8" x14ac:dyDescent="0.25">
      <c r="A2662" s="14" t="s">
        <v>278</v>
      </c>
      <c r="B2662" s="14">
        <v>6</v>
      </c>
      <c r="C2662" s="15" t="s">
        <v>2533</v>
      </c>
      <c r="D2662" s="14" t="s">
        <v>1745</v>
      </c>
      <c r="E2662" s="14" t="s">
        <v>1747</v>
      </c>
      <c r="F2662" s="14">
        <v>2520</v>
      </c>
      <c r="G2662" s="14">
        <v>2016</v>
      </c>
      <c r="H2662" s="37">
        <f>'Calculation Sheet'!N2662</f>
        <v>1733.76</v>
      </c>
    </row>
    <row r="2663" spans="1:8" x14ac:dyDescent="0.25">
      <c r="A2663" s="14" t="s">
        <v>278</v>
      </c>
      <c r="B2663" s="14">
        <v>5</v>
      </c>
      <c r="C2663" s="15" t="s">
        <v>2531</v>
      </c>
      <c r="D2663" s="14" t="s">
        <v>1745</v>
      </c>
      <c r="E2663" s="14" t="s">
        <v>1747</v>
      </c>
      <c r="F2663" s="14">
        <v>3060</v>
      </c>
      <c r="G2663" s="14">
        <v>2448</v>
      </c>
      <c r="H2663" s="37">
        <f>'Calculation Sheet'!N2663</f>
        <v>2105.2799999999997</v>
      </c>
    </row>
    <row r="2664" spans="1:8" x14ac:dyDescent="0.25">
      <c r="A2664" s="14" t="s">
        <v>2534</v>
      </c>
      <c r="B2664" s="14">
        <v>5</v>
      </c>
      <c r="C2664" s="15" t="s">
        <v>2535</v>
      </c>
      <c r="D2664" s="14" t="s">
        <v>1749</v>
      </c>
      <c r="E2664" s="14" t="s">
        <v>1746</v>
      </c>
      <c r="F2664" s="14">
        <v>37.92</v>
      </c>
      <c r="G2664" s="14">
        <v>30.34</v>
      </c>
      <c r="H2664" s="37">
        <f>'Calculation Sheet'!N2664</f>
        <v>30.34</v>
      </c>
    </row>
    <row r="2665" spans="1:8" x14ac:dyDescent="0.25">
      <c r="A2665" s="14" t="s">
        <v>2534</v>
      </c>
      <c r="B2665" s="14">
        <v>6</v>
      </c>
      <c r="C2665" s="15" t="s">
        <v>2536</v>
      </c>
      <c r="D2665" s="14" t="s">
        <v>1745</v>
      </c>
      <c r="E2665" s="14" t="s">
        <v>1746</v>
      </c>
      <c r="F2665" s="14">
        <v>524.16</v>
      </c>
      <c r="G2665" s="14">
        <v>419.28</v>
      </c>
      <c r="H2665" s="37">
        <f>'Calculation Sheet'!N2665</f>
        <v>419.28</v>
      </c>
    </row>
    <row r="2666" spans="1:8" x14ac:dyDescent="0.25">
      <c r="A2666" s="14" t="s">
        <v>2534</v>
      </c>
      <c r="B2666" s="14">
        <v>1</v>
      </c>
      <c r="C2666" s="15" t="s">
        <v>2537</v>
      </c>
      <c r="D2666" s="14" t="s">
        <v>1749</v>
      </c>
      <c r="E2666" s="14" t="s">
        <v>1746</v>
      </c>
      <c r="F2666" s="14">
        <v>198</v>
      </c>
      <c r="G2666" s="14">
        <v>158.4</v>
      </c>
      <c r="H2666" s="37">
        <f>'Calculation Sheet'!N2666</f>
        <v>158.4</v>
      </c>
    </row>
    <row r="2667" spans="1:8" x14ac:dyDescent="0.25">
      <c r="A2667" s="14" t="s">
        <v>2534</v>
      </c>
      <c r="B2667" s="14">
        <v>7</v>
      </c>
      <c r="C2667" s="15" t="s">
        <v>2538</v>
      </c>
      <c r="D2667" s="14" t="s">
        <v>1745</v>
      </c>
      <c r="E2667" s="14" t="s">
        <v>1746</v>
      </c>
      <c r="F2667" s="14">
        <v>839.16</v>
      </c>
      <c r="G2667" s="14">
        <v>755.28</v>
      </c>
      <c r="H2667" s="37">
        <f>'Calculation Sheet'!N2667</f>
        <v>755.28</v>
      </c>
    </row>
    <row r="2668" spans="1:8" x14ac:dyDescent="0.25">
      <c r="A2668" s="14" t="s">
        <v>2534</v>
      </c>
      <c r="B2668" s="14">
        <v>5</v>
      </c>
      <c r="C2668" s="15" t="s">
        <v>2535</v>
      </c>
      <c r="D2668" s="14" t="s">
        <v>1745</v>
      </c>
      <c r="E2668" s="14" t="s">
        <v>1747</v>
      </c>
      <c r="F2668" s="14">
        <v>379.2</v>
      </c>
      <c r="G2668" s="14">
        <v>303.36</v>
      </c>
      <c r="H2668" s="37">
        <f>'Calculation Sheet'!N2668</f>
        <v>303.36</v>
      </c>
    </row>
    <row r="2669" spans="1:8" x14ac:dyDescent="0.25">
      <c r="A2669" s="14" t="s">
        <v>2534</v>
      </c>
      <c r="B2669" s="14">
        <v>1</v>
      </c>
      <c r="C2669" s="15" t="s">
        <v>2537</v>
      </c>
      <c r="D2669" s="14" t="s">
        <v>1745</v>
      </c>
      <c r="E2669" s="14" t="s">
        <v>1746</v>
      </c>
      <c r="F2669" s="14">
        <v>2079</v>
      </c>
      <c r="G2669" s="14">
        <v>1663.2</v>
      </c>
      <c r="H2669" s="37">
        <f>'Calculation Sheet'!N2669</f>
        <v>1663.2</v>
      </c>
    </row>
    <row r="2670" spans="1:8" x14ac:dyDescent="0.25">
      <c r="A2670" s="14" t="s">
        <v>2534</v>
      </c>
      <c r="B2670" s="14">
        <v>5</v>
      </c>
      <c r="C2670" s="15" t="s">
        <v>2535</v>
      </c>
      <c r="D2670" s="14" t="s">
        <v>1745</v>
      </c>
      <c r="E2670" s="14" t="s">
        <v>1746</v>
      </c>
      <c r="F2670" s="14">
        <v>398.16</v>
      </c>
      <c r="G2670" s="14">
        <v>318.48</v>
      </c>
      <c r="H2670" s="37">
        <f>'Calculation Sheet'!N2670</f>
        <v>318.48</v>
      </c>
    </row>
    <row r="2671" spans="1:8" x14ac:dyDescent="0.25">
      <c r="A2671" s="14" t="s">
        <v>2534</v>
      </c>
      <c r="B2671" s="14">
        <v>1</v>
      </c>
      <c r="C2671" s="15" t="s">
        <v>2537</v>
      </c>
      <c r="D2671" s="14" t="s">
        <v>1745</v>
      </c>
      <c r="E2671" s="14" t="s">
        <v>1747</v>
      </c>
      <c r="F2671" s="14">
        <v>1980</v>
      </c>
      <c r="G2671" s="14">
        <v>1584</v>
      </c>
      <c r="H2671" s="37">
        <f>'Calculation Sheet'!N2671</f>
        <v>1584</v>
      </c>
    </row>
    <row r="2672" spans="1:8" x14ac:dyDescent="0.25">
      <c r="A2672" s="14" t="s">
        <v>2534</v>
      </c>
      <c r="B2672" s="14">
        <v>7</v>
      </c>
      <c r="C2672" s="15" t="s">
        <v>2538</v>
      </c>
      <c r="D2672" s="14" t="s">
        <v>1749</v>
      </c>
      <c r="E2672" s="14" t="s">
        <v>1746</v>
      </c>
      <c r="F2672" s="14">
        <v>79.92</v>
      </c>
      <c r="G2672" s="14">
        <v>71.930000000000007</v>
      </c>
      <c r="H2672" s="37">
        <f>'Calculation Sheet'!N2672</f>
        <v>71.930000000000007</v>
      </c>
    </row>
    <row r="2673" spans="1:8" x14ac:dyDescent="0.25">
      <c r="A2673" s="14" t="s">
        <v>2534</v>
      </c>
      <c r="B2673" s="14">
        <v>6</v>
      </c>
      <c r="C2673" s="15" t="s">
        <v>2536</v>
      </c>
      <c r="D2673" s="14" t="s">
        <v>1745</v>
      </c>
      <c r="E2673" s="14" t="s">
        <v>1747</v>
      </c>
      <c r="F2673" s="14">
        <v>499.2</v>
      </c>
      <c r="G2673" s="14">
        <v>399.36</v>
      </c>
      <c r="H2673" s="37">
        <f>'Calculation Sheet'!N2673</f>
        <v>399.36</v>
      </c>
    </row>
    <row r="2674" spans="1:8" x14ac:dyDescent="0.25">
      <c r="A2674" s="14" t="s">
        <v>2534</v>
      </c>
      <c r="B2674" s="14">
        <v>6</v>
      </c>
      <c r="C2674" s="15" t="s">
        <v>2536</v>
      </c>
      <c r="D2674" s="14" t="s">
        <v>1749</v>
      </c>
      <c r="E2674" s="14" t="s">
        <v>1746</v>
      </c>
      <c r="F2674" s="14">
        <v>49.92</v>
      </c>
      <c r="G2674" s="14">
        <v>39.94</v>
      </c>
      <c r="H2674" s="37">
        <f>'Calculation Sheet'!N2674</f>
        <v>39.94</v>
      </c>
    </row>
    <row r="2675" spans="1:8" x14ac:dyDescent="0.25">
      <c r="A2675" s="14" t="s">
        <v>2534</v>
      </c>
      <c r="B2675" s="14">
        <v>7</v>
      </c>
      <c r="C2675" s="15" t="s">
        <v>2538</v>
      </c>
      <c r="D2675" s="14" t="s">
        <v>1745</v>
      </c>
      <c r="E2675" s="14" t="s">
        <v>1747</v>
      </c>
      <c r="F2675" s="14">
        <v>799.2</v>
      </c>
      <c r="G2675" s="14">
        <v>719.28</v>
      </c>
      <c r="H2675" s="37">
        <f>'Calculation Sheet'!N2675</f>
        <v>719.28</v>
      </c>
    </row>
    <row r="2676" spans="1:8" x14ac:dyDescent="0.25">
      <c r="A2676" s="14" t="s">
        <v>2539</v>
      </c>
      <c r="B2676" s="14" t="s">
        <v>73</v>
      </c>
      <c r="C2676" s="15" t="s">
        <v>2540</v>
      </c>
      <c r="D2676" s="14" t="s">
        <v>1745</v>
      </c>
      <c r="E2676" s="14" t="s">
        <v>1747</v>
      </c>
      <c r="F2676" s="14">
        <v>39960</v>
      </c>
      <c r="G2676" s="14">
        <v>35964</v>
      </c>
      <c r="H2676" s="37">
        <f>'Calculation Sheet'!N2676</f>
        <v>35964</v>
      </c>
    </row>
    <row r="2677" spans="1:8" x14ac:dyDescent="0.25">
      <c r="A2677" s="14" t="s">
        <v>2539</v>
      </c>
      <c r="B2677" s="14" t="s">
        <v>20</v>
      </c>
      <c r="C2677" s="15" t="s">
        <v>2541</v>
      </c>
      <c r="D2677" s="14" t="s">
        <v>1745</v>
      </c>
      <c r="E2677" s="14" t="s">
        <v>1746</v>
      </c>
      <c r="F2677" s="14">
        <v>15750</v>
      </c>
      <c r="G2677" s="14">
        <v>12600</v>
      </c>
      <c r="H2677" s="37">
        <f>'Calculation Sheet'!N2677</f>
        <v>12600</v>
      </c>
    </row>
    <row r="2678" spans="1:8" x14ac:dyDescent="0.25">
      <c r="A2678" s="14" t="s">
        <v>2539</v>
      </c>
      <c r="B2678" s="14">
        <v>1</v>
      </c>
      <c r="C2678" s="15" t="s">
        <v>2542</v>
      </c>
      <c r="D2678" s="14" t="s">
        <v>1745</v>
      </c>
      <c r="E2678" s="14" t="s">
        <v>1747</v>
      </c>
      <c r="F2678" s="14">
        <v>99840</v>
      </c>
      <c r="G2678" s="14">
        <v>79872</v>
      </c>
      <c r="H2678" s="37">
        <f>'Calculation Sheet'!N2678</f>
        <v>79872</v>
      </c>
    </row>
    <row r="2679" spans="1:8" x14ac:dyDescent="0.25">
      <c r="A2679" s="14" t="s">
        <v>2539</v>
      </c>
      <c r="B2679" s="14" t="s">
        <v>20</v>
      </c>
      <c r="C2679" s="15" t="s">
        <v>2541</v>
      </c>
      <c r="D2679" s="14" t="s">
        <v>1745</v>
      </c>
      <c r="E2679" s="14" t="s">
        <v>1747</v>
      </c>
      <c r="F2679" s="14">
        <v>15000</v>
      </c>
      <c r="G2679" s="14">
        <v>12000</v>
      </c>
      <c r="H2679" s="37">
        <f>'Calculation Sheet'!N2679</f>
        <v>12000</v>
      </c>
    </row>
    <row r="2680" spans="1:8" x14ac:dyDescent="0.25">
      <c r="A2680" s="14" t="s">
        <v>2539</v>
      </c>
      <c r="B2680" s="14">
        <v>1</v>
      </c>
      <c r="C2680" s="15" t="s">
        <v>2542</v>
      </c>
      <c r="D2680" s="14" t="s">
        <v>1749</v>
      </c>
      <c r="E2680" s="14" t="s">
        <v>1746</v>
      </c>
      <c r="F2680" s="14">
        <v>9984</v>
      </c>
      <c r="G2680" s="14">
        <v>7987.2</v>
      </c>
      <c r="H2680" s="37">
        <f>'Calculation Sheet'!N2680</f>
        <v>7987.2</v>
      </c>
    </row>
    <row r="2681" spans="1:8" x14ac:dyDescent="0.25">
      <c r="A2681" s="14" t="s">
        <v>2539</v>
      </c>
      <c r="B2681" s="14" t="s">
        <v>73</v>
      </c>
      <c r="C2681" s="15" t="s">
        <v>2540</v>
      </c>
      <c r="D2681" s="14" t="s">
        <v>1749</v>
      </c>
      <c r="E2681" s="14" t="s">
        <v>1746</v>
      </c>
      <c r="F2681" s="14">
        <v>3996</v>
      </c>
      <c r="G2681" s="14">
        <v>3596.4</v>
      </c>
      <c r="H2681" s="37">
        <f>'Calculation Sheet'!N2681</f>
        <v>3596.4</v>
      </c>
    </row>
    <row r="2682" spans="1:8" x14ac:dyDescent="0.25">
      <c r="A2682" s="14" t="s">
        <v>2539</v>
      </c>
      <c r="B2682" s="14" t="s">
        <v>20</v>
      </c>
      <c r="C2682" s="15" t="s">
        <v>2541</v>
      </c>
      <c r="D2682" s="14" t="s">
        <v>1749</v>
      </c>
      <c r="E2682" s="14" t="s">
        <v>1746</v>
      </c>
      <c r="F2682" s="14">
        <v>1500</v>
      </c>
      <c r="G2682" s="14">
        <v>1200</v>
      </c>
      <c r="H2682" s="37">
        <f>'Calculation Sheet'!N2682</f>
        <v>1200</v>
      </c>
    </row>
    <row r="2683" spans="1:8" x14ac:dyDescent="0.25">
      <c r="A2683" s="14" t="s">
        <v>2539</v>
      </c>
      <c r="B2683" s="14" t="s">
        <v>24</v>
      </c>
      <c r="C2683" s="15" t="s">
        <v>2543</v>
      </c>
      <c r="D2683" s="14" t="s">
        <v>1749</v>
      </c>
      <c r="E2683" s="14" t="s">
        <v>1746</v>
      </c>
      <c r="F2683" s="14">
        <v>2496</v>
      </c>
      <c r="G2683" s="14">
        <v>1996.8</v>
      </c>
      <c r="H2683" s="37">
        <f>'Calculation Sheet'!N2683</f>
        <v>1996.8</v>
      </c>
    </row>
    <row r="2684" spans="1:8" x14ac:dyDescent="0.25">
      <c r="A2684" s="14" t="s">
        <v>2539</v>
      </c>
      <c r="B2684" s="14" t="s">
        <v>73</v>
      </c>
      <c r="C2684" s="15" t="s">
        <v>2540</v>
      </c>
      <c r="D2684" s="14" t="s">
        <v>1745</v>
      </c>
      <c r="E2684" s="14" t="s">
        <v>1746</v>
      </c>
      <c r="F2684" s="14">
        <v>41958</v>
      </c>
      <c r="G2684" s="14">
        <v>37762.199999999997</v>
      </c>
      <c r="H2684" s="37">
        <f>'Calculation Sheet'!N2684</f>
        <v>37762.199999999997</v>
      </c>
    </row>
    <row r="2685" spans="1:8" x14ac:dyDescent="0.25">
      <c r="A2685" s="14" t="s">
        <v>2539</v>
      </c>
      <c r="B2685" s="14" t="s">
        <v>24</v>
      </c>
      <c r="C2685" s="15" t="s">
        <v>2543</v>
      </c>
      <c r="D2685" s="14" t="s">
        <v>1745</v>
      </c>
      <c r="E2685" s="14" t="s">
        <v>1746</v>
      </c>
      <c r="F2685" s="14">
        <v>26208</v>
      </c>
      <c r="G2685" s="14">
        <v>20966.400000000001</v>
      </c>
      <c r="H2685" s="37">
        <f>'Calculation Sheet'!N2685</f>
        <v>20966.400000000001</v>
      </c>
    </row>
    <row r="2686" spans="1:8" x14ac:dyDescent="0.25">
      <c r="A2686" s="14" t="s">
        <v>2539</v>
      </c>
      <c r="B2686" s="14" t="s">
        <v>24</v>
      </c>
      <c r="C2686" s="15" t="s">
        <v>2543</v>
      </c>
      <c r="D2686" s="14" t="s">
        <v>1745</v>
      </c>
      <c r="E2686" s="14" t="s">
        <v>1747</v>
      </c>
      <c r="F2686" s="14">
        <v>24960</v>
      </c>
      <c r="G2686" s="14">
        <v>19968</v>
      </c>
      <c r="H2686" s="37">
        <f>'Calculation Sheet'!N2686</f>
        <v>19968</v>
      </c>
    </row>
    <row r="2687" spans="1:8" x14ac:dyDescent="0.25">
      <c r="A2687" s="14" t="s">
        <v>2539</v>
      </c>
      <c r="B2687" s="14">
        <v>1</v>
      </c>
      <c r="C2687" s="15" t="s">
        <v>2542</v>
      </c>
      <c r="D2687" s="14" t="s">
        <v>1745</v>
      </c>
      <c r="E2687" s="14" t="s">
        <v>1746</v>
      </c>
      <c r="F2687" s="14">
        <v>104832</v>
      </c>
      <c r="G2687" s="14">
        <v>83865.600000000006</v>
      </c>
      <c r="H2687" s="37">
        <f>'Calculation Sheet'!N2687</f>
        <v>83865.600000000006</v>
      </c>
    </row>
    <row r="2688" spans="1:8" x14ac:dyDescent="0.25">
      <c r="A2688" s="14" t="s">
        <v>2544</v>
      </c>
      <c r="B2688" s="14" t="s">
        <v>16</v>
      </c>
      <c r="C2688" s="15" t="s">
        <v>2545</v>
      </c>
      <c r="D2688" s="14" t="s">
        <v>1752</v>
      </c>
      <c r="E2688" s="14" t="s">
        <v>1746</v>
      </c>
      <c r="F2688" s="14">
        <v>5031558</v>
      </c>
      <c r="G2688" s="14">
        <v>3773669</v>
      </c>
      <c r="H2688" s="37">
        <f>'Calculation Sheet'!N2688</f>
        <v>3773669</v>
      </c>
    </row>
    <row r="2689" spans="1:8" x14ac:dyDescent="0.25">
      <c r="A2689" s="14" t="s">
        <v>2544</v>
      </c>
      <c r="B2689" s="14" t="s">
        <v>16</v>
      </c>
      <c r="C2689" s="15" t="s">
        <v>2545</v>
      </c>
      <c r="D2689" s="14" t="s">
        <v>1752</v>
      </c>
      <c r="E2689" s="14" t="s">
        <v>1747</v>
      </c>
      <c r="F2689" s="14">
        <v>4791960</v>
      </c>
      <c r="G2689" s="14">
        <v>3593970</v>
      </c>
      <c r="H2689" s="37">
        <f>'Calculation Sheet'!N2689</f>
        <v>3593970</v>
      </c>
    </row>
    <row r="2690" spans="1:8" x14ac:dyDescent="0.25">
      <c r="A2690" s="14" t="s">
        <v>2544</v>
      </c>
      <c r="B2690" s="14">
        <v>6</v>
      </c>
      <c r="C2690" s="15" t="s">
        <v>2546</v>
      </c>
      <c r="D2690" s="14" t="s">
        <v>1745</v>
      </c>
      <c r="E2690" s="14" t="s">
        <v>1747</v>
      </c>
      <c r="F2690" s="14">
        <v>598980</v>
      </c>
      <c r="G2690" s="14">
        <v>598980</v>
      </c>
      <c r="H2690" s="37">
        <f>'Calculation Sheet'!N2690</f>
        <v>598980</v>
      </c>
    </row>
    <row r="2691" spans="1:8" x14ac:dyDescent="0.25">
      <c r="A2691" s="14" t="s">
        <v>2544</v>
      </c>
      <c r="B2691" s="14">
        <v>7</v>
      </c>
      <c r="C2691" s="15" t="s">
        <v>2547</v>
      </c>
      <c r="D2691" s="14" t="s">
        <v>1752</v>
      </c>
      <c r="E2691" s="14" t="s">
        <v>1753</v>
      </c>
      <c r="F2691" s="14">
        <v>0</v>
      </c>
      <c r="G2691" s="14">
        <v>0</v>
      </c>
      <c r="H2691" s="37">
        <f>'Calculation Sheet'!N2691</f>
        <v>0</v>
      </c>
    </row>
    <row r="2692" spans="1:8" x14ac:dyDescent="0.25">
      <c r="A2692" s="14" t="s">
        <v>2544</v>
      </c>
      <c r="B2692" s="14">
        <v>9</v>
      </c>
      <c r="C2692" s="15" t="s">
        <v>2548</v>
      </c>
      <c r="D2692" s="14" t="s">
        <v>1752</v>
      </c>
      <c r="E2692" s="14" t="s">
        <v>1753</v>
      </c>
      <c r="F2692" s="14">
        <v>0</v>
      </c>
      <c r="G2692" s="14">
        <v>0</v>
      </c>
      <c r="H2692" s="37">
        <f>'Calculation Sheet'!N2692</f>
        <v>0</v>
      </c>
    </row>
    <row r="2693" spans="1:8" x14ac:dyDescent="0.25">
      <c r="A2693" s="14" t="s">
        <v>2544</v>
      </c>
      <c r="B2693" s="14">
        <v>5</v>
      </c>
      <c r="C2693" s="15" t="s">
        <v>2549</v>
      </c>
      <c r="D2693" s="14" t="s">
        <v>1745</v>
      </c>
      <c r="E2693" s="14" t="s">
        <v>1747</v>
      </c>
      <c r="F2693" s="14">
        <v>798660</v>
      </c>
      <c r="G2693" s="14">
        <v>798660</v>
      </c>
      <c r="H2693" s="37">
        <f>'Calculation Sheet'!N2693</f>
        <v>798660</v>
      </c>
    </row>
    <row r="2694" spans="1:8" x14ac:dyDescent="0.25">
      <c r="A2694" s="14" t="s">
        <v>2544</v>
      </c>
      <c r="B2694" s="14">
        <v>9</v>
      </c>
      <c r="C2694" s="15" t="s">
        <v>2548</v>
      </c>
      <c r="D2694" s="14" t="s">
        <v>1752</v>
      </c>
      <c r="E2694" s="14" t="s">
        <v>1746</v>
      </c>
      <c r="F2694" s="14">
        <v>0</v>
      </c>
      <c r="G2694" s="14">
        <v>0</v>
      </c>
      <c r="H2694" s="37">
        <f>'Calculation Sheet'!N2694</f>
        <v>0</v>
      </c>
    </row>
    <row r="2695" spans="1:8" x14ac:dyDescent="0.25">
      <c r="A2695" s="14" t="s">
        <v>2544</v>
      </c>
      <c r="B2695" s="14">
        <v>5</v>
      </c>
      <c r="C2695" s="15" t="s">
        <v>2549</v>
      </c>
      <c r="D2695" s="14" t="s">
        <v>1752</v>
      </c>
      <c r="E2695" s="14" t="s">
        <v>1753</v>
      </c>
      <c r="F2695" s="14">
        <v>2395980</v>
      </c>
      <c r="G2695" s="14">
        <v>2395980</v>
      </c>
      <c r="H2695" s="37">
        <f>'Calculation Sheet'!N2695</f>
        <v>2395980</v>
      </c>
    </row>
    <row r="2696" spans="1:8" x14ac:dyDescent="0.25">
      <c r="A2696" s="14" t="s">
        <v>2544</v>
      </c>
      <c r="B2696" s="14">
        <v>7</v>
      </c>
      <c r="C2696" s="15" t="s">
        <v>2547</v>
      </c>
      <c r="D2696" s="14" t="s">
        <v>1745</v>
      </c>
      <c r="E2696" s="14" t="s">
        <v>1747</v>
      </c>
      <c r="F2696" s="14">
        <v>0</v>
      </c>
      <c r="G2696" s="14">
        <v>0</v>
      </c>
      <c r="H2696" s="37">
        <f>'Calculation Sheet'!N2696</f>
        <v>0</v>
      </c>
    </row>
    <row r="2697" spans="1:8" x14ac:dyDescent="0.25">
      <c r="A2697" s="14" t="s">
        <v>2544</v>
      </c>
      <c r="B2697" s="14">
        <v>8</v>
      </c>
      <c r="C2697" s="15" t="s">
        <v>2550</v>
      </c>
      <c r="D2697" s="14" t="s">
        <v>1752</v>
      </c>
      <c r="E2697" s="14" t="s">
        <v>1747</v>
      </c>
      <c r="F2697" s="14">
        <v>0</v>
      </c>
      <c r="G2697" s="14">
        <v>0</v>
      </c>
      <c r="H2697" s="37">
        <f>'Calculation Sheet'!N2697</f>
        <v>0</v>
      </c>
    </row>
    <row r="2698" spans="1:8" x14ac:dyDescent="0.25">
      <c r="A2698" s="14" t="s">
        <v>2544</v>
      </c>
      <c r="B2698" s="14">
        <v>6</v>
      </c>
      <c r="C2698" s="15" t="s">
        <v>2546</v>
      </c>
      <c r="D2698" s="14" t="s">
        <v>1752</v>
      </c>
      <c r="E2698" s="14" t="s">
        <v>1746</v>
      </c>
      <c r="F2698" s="14">
        <v>1886787</v>
      </c>
      <c r="G2698" s="14">
        <v>1886787</v>
      </c>
      <c r="H2698" s="37">
        <f>'Calculation Sheet'!N2698</f>
        <v>1886787</v>
      </c>
    </row>
    <row r="2699" spans="1:8" x14ac:dyDescent="0.25">
      <c r="A2699" s="14" t="s">
        <v>2544</v>
      </c>
      <c r="B2699" s="14" t="s">
        <v>16</v>
      </c>
      <c r="C2699" s="15" t="s">
        <v>2545</v>
      </c>
      <c r="D2699" s="14" t="s">
        <v>1745</v>
      </c>
      <c r="E2699" s="14" t="s">
        <v>1747</v>
      </c>
      <c r="F2699" s="14">
        <v>1597320</v>
      </c>
      <c r="G2699" s="14">
        <v>1197990</v>
      </c>
      <c r="H2699" s="37">
        <f>'Calculation Sheet'!N2699</f>
        <v>1197990</v>
      </c>
    </row>
    <row r="2700" spans="1:8" x14ac:dyDescent="0.25">
      <c r="A2700" s="14" t="s">
        <v>2544</v>
      </c>
      <c r="B2700" s="14">
        <v>7</v>
      </c>
      <c r="C2700" s="15" t="s">
        <v>2547</v>
      </c>
      <c r="D2700" s="14" t="s">
        <v>1752</v>
      </c>
      <c r="E2700" s="14" t="s">
        <v>1747</v>
      </c>
      <c r="F2700" s="14">
        <v>0</v>
      </c>
      <c r="G2700" s="14">
        <v>0</v>
      </c>
      <c r="H2700" s="37">
        <f>'Calculation Sheet'!N2700</f>
        <v>0</v>
      </c>
    </row>
    <row r="2701" spans="1:8" x14ac:dyDescent="0.25">
      <c r="A2701" s="14" t="s">
        <v>2544</v>
      </c>
      <c r="B2701" s="14" t="s">
        <v>16</v>
      </c>
      <c r="C2701" s="15" t="s">
        <v>2545</v>
      </c>
      <c r="D2701" s="14" t="s">
        <v>1745</v>
      </c>
      <c r="E2701" s="14" t="s">
        <v>1746</v>
      </c>
      <c r="F2701" s="14">
        <v>1677186</v>
      </c>
      <c r="G2701" s="14">
        <v>1257890</v>
      </c>
      <c r="H2701" s="37">
        <f>'Calculation Sheet'!N2701</f>
        <v>1257890</v>
      </c>
    </row>
    <row r="2702" spans="1:8" x14ac:dyDescent="0.25">
      <c r="A2702" s="14" t="s">
        <v>2544</v>
      </c>
      <c r="B2702" s="14">
        <v>5</v>
      </c>
      <c r="C2702" s="15" t="s">
        <v>2549</v>
      </c>
      <c r="D2702" s="14" t="s">
        <v>1752</v>
      </c>
      <c r="E2702" s="14" t="s">
        <v>1746</v>
      </c>
      <c r="F2702" s="14">
        <v>2515779</v>
      </c>
      <c r="G2702" s="14">
        <v>2515779</v>
      </c>
      <c r="H2702" s="37">
        <f>'Calculation Sheet'!N2702</f>
        <v>2515779</v>
      </c>
    </row>
    <row r="2703" spans="1:8" x14ac:dyDescent="0.25">
      <c r="A2703" s="14" t="s">
        <v>2544</v>
      </c>
      <c r="B2703" s="14">
        <v>6</v>
      </c>
      <c r="C2703" s="15" t="s">
        <v>2546</v>
      </c>
      <c r="D2703" s="14" t="s">
        <v>1749</v>
      </c>
      <c r="E2703" s="14" t="s">
        <v>1746</v>
      </c>
      <c r="F2703" s="14">
        <v>59898</v>
      </c>
      <c r="G2703" s="14">
        <v>59898</v>
      </c>
      <c r="H2703" s="37">
        <f>'Calculation Sheet'!N2703</f>
        <v>59898</v>
      </c>
    </row>
    <row r="2704" spans="1:8" x14ac:dyDescent="0.25">
      <c r="A2704" s="14" t="s">
        <v>2544</v>
      </c>
      <c r="B2704" s="14">
        <v>8</v>
      </c>
      <c r="C2704" s="15" t="s">
        <v>2550</v>
      </c>
      <c r="D2704" s="14" t="s">
        <v>1749</v>
      </c>
      <c r="E2704" s="14" t="s">
        <v>1746</v>
      </c>
      <c r="F2704" s="14">
        <v>0</v>
      </c>
      <c r="G2704" s="14">
        <v>0</v>
      </c>
      <c r="H2704" s="37">
        <f>'Calculation Sheet'!N2704</f>
        <v>0</v>
      </c>
    </row>
    <row r="2705" spans="1:8" x14ac:dyDescent="0.25">
      <c r="A2705" s="14" t="s">
        <v>2544</v>
      </c>
      <c r="B2705" s="14">
        <v>7</v>
      </c>
      <c r="C2705" s="15" t="s">
        <v>2547</v>
      </c>
      <c r="D2705" s="14" t="s">
        <v>1745</v>
      </c>
      <c r="E2705" s="14" t="s">
        <v>1746</v>
      </c>
      <c r="F2705" s="14">
        <v>0</v>
      </c>
      <c r="G2705" s="14">
        <v>0</v>
      </c>
      <c r="H2705" s="37">
        <f>'Calculation Sheet'!N2705</f>
        <v>0</v>
      </c>
    </row>
    <row r="2706" spans="1:8" x14ac:dyDescent="0.25">
      <c r="A2706" s="14" t="s">
        <v>2544</v>
      </c>
      <c r="B2706" s="14">
        <v>5</v>
      </c>
      <c r="C2706" s="15" t="s">
        <v>2549</v>
      </c>
      <c r="D2706" s="14" t="s">
        <v>1745</v>
      </c>
      <c r="E2706" s="14" t="s">
        <v>1746</v>
      </c>
      <c r="F2706" s="14">
        <v>838593</v>
      </c>
      <c r="G2706" s="14">
        <v>838593</v>
      </c>
      <c r="H2706" s="37">
        <f>'Calculation Sheet'!N2706</f>
        <v>838593</v>
      </c>
    </row>
    <row r="2707" spans="1:8" x14ac:dyDescent="0.25">
      <c r="A2707" s="14" t="s">
        <v>2544</v>
      </c>
      <c r="B2707" s="14">
        <v>6</v>
      </c>
      <c r="C2707" s="15" t="s">
        <v>2546</v>
      </c>
      <c r="D2707" s="14" t="s">
        <v>1752</v>
      </c>
      <c r="E2707" s="14" t="s">
        <v>1747</v>
      </c>
      <c r="F2707" s="14">
        <v>1796940</v>
      </c>
      <c r="G2707" s="14">
        <v>1796940</v>
      </c>
      <c r="H2707" s="37">
        <f>'Calculation Sheet'!N2707</f>
        <v>1796940</v>
      </c>
    </row>
    <row r="2708" spans="1:8" x14ac:dyDescent="0.25">
      <c r="A2708" s="14" t="s">
        <v>2544</v>
      </c>
      <c r="B2708" s="14">
        <v>8</v>
      </c>
      <c r="C2708" s="15" t="s">
        <v>2550</v>
      </c>
      <c r="D2708" s="14" t="s">
        <v>1745</v>
      </c>
      <c r="E2708" s="14" t="s">
        <v>1747</v>
      </c>
      <c r="F2708" s="14">
        <v>0</v>
      </c>
      <c r="G2708" s="14">
        <v>0</v>
      </c>
      <c r="H2708" s="37">
        <f>'Calculation Sheet'!N2708</f>
        <v>0</v>
      </c>
    </row>
    <row r="2709" spans="1:8" x14ac:dyDescent="0.25">
      <c r="A2709" s="14" t="s">
        <v>2544</v>
      </c>
      <c r="B2709" s="14" t="s">
        <v>16</v>
      </c>
      <c r="C2709" s="15" t="s">
        <v>2545</v>
      </c>
      <c r="D2709" s="14" t="s">
        <v>1752</v>
      </c>
      <c r="E2709" s="14" t="s">
        <v>1753</v>
      </c>
      <c r="F2709" s="14">
        <v>4791960</v>
      </c>
      <c r="G2709" s="14">
        <v>3593970</v>
      </c>
      <c r="H2709" s="37">
        <f>'Calculation Sheet'!N2709</f>
        <v>3593970</v>
      </c>
    </row>
    <row r="2710" spans="1:8" x14ac:dyDescent="0.25">
      <c r="A2710" s="14" t="s">
        <v>2544</v>
      </c>
      <c r="B2710" s="14">
        <v>6</v>
      </c>
      <c r="C2710" s="15" t="s">
        <v>2546</v>
      </c>
      <c r="D2710" s="14" t="s">
        <v>1745</v>
      </c>
      <c r="E2710" s="14" t="s">
        <v>1746</v>
      </c>
      <c r="F2710" s="14">
        <v>628929</v>
      </c>
      <c r="G2710" s="14">
        <v>628929</v>
      </c>
      <c r="H2710" s="37">
        <f>'Calculation Sheet'!N2710</f>
        <v>628929</v>
      </c>
    </row>
    <row r="2711" spans="1:8" x14ac:dyDescent="0.25">
      <c r="A2711" s="14" t="s">
        <v>2544</v>
      </c>
      <c r="B2711" s="14">
        <v>9</v>
      </c>
      <c r="C2711" s="15" t="s">
        <v>2548</v>
      </c>
      <c r="D2711" s="14" t="s">
        <v>1745</v>
      </c>
      <c r="E2711" s="14" t="s">
        <v>1746</v>
      </c>
      <c r="F2711" s="14">
        <v>0</v>
      </c>
      <c r="G2711" s="14">
        <v>0</v>
      </c>
      <c r="H2711" s="37">
        <f>'Calculation Sheet'!N2711</f>
        <v>0</v>
      </c>
    </row>
    <row r="2712" spans="1:8" x14ac:dyDescent="0.25">
      <c r="A2712" s="14" t="s">
        <v>2544</v>
      </c>
      <c r="B2712" s="14">
        <v>5</v>
      </c>
      <c r="C2712" s="15" t="s">
        <v>2549</v>
      </c>
      <c r="D2712" s="14" t="s">
        <v>1749</v>
      </c>
      <c r="E2712" s="14" t="s">
        <v>1746</v>
      </c>
      <c r="F2712" s="14">
        <v>79866</v>
      </c>
      <c r="G2712" s="14">
        <v>79866</v>
      </c>
      <c r="H2712" s="37">
        <f>'Calculation Sheet'!N2712</f>
        <v>79866</v>
      </c>
    </row>
    <row r="2713" spans="1:8" x14ac:dyDescent="0.25">
      <c r="A2713" s="14" t="s">
        <v>2544</v>
      </c>
      <c r="B2713" s="14">
        <v>8</v>
      </c>
      <c r="C2713" s="15" t="s">
        <v>2550</v>
      </c>
      <c r="D2713" s="14" t="s">
        <v>1752</v>
      </c>
      <c r="E2713" s="14" t="s">
        <v>1753</v>
      </c>
      <c r="F2713" s="14">
        <v>0</v>
      </c>
      <c r="G2713" s="14">
        <v>0</v>
      </c>
      <c r="H2713" s="37">
        <f>'Calculation Sheet'!N2713</f>
        <v>0</v>
      </c>
    </row>
    <row r="2714" spans="1:8" x14ac:dyDescent="0.25">
      <c r="A2714" s="14" t="s">
        <v>2544</v>
      </c>
      <c r="B2714" s="14">
        <v>5</v>
      </c>
      <c r="C2714" s="15" t="s">
        <v>2549</v>
      </c>
      <c r="D2714" s="14" t="s">
        <v>1752</v>
      </c>
      <c r="E2714" s="14" t="s">
        <v>1747</v>
      </c>
      <c r="F2714" s="14">
        <v>2395980</v>
      </c>
      <c r="G2714" s="14">
        <v>2395980</v>
      </c>
      <c r="H2714" s="37">
        <f>'Calculation Sheet'!N2714</f>
        <v>2395980</v>
      </c>
    </row>
    <row r="2715" spans="1:8" x14ac:dyDescent="0.25">
      <c r="A2715" s="14" t="s">
        <v>2544</v>
      </c>
      <c r="B2715" s="14">
        <v>4</v>
      </c>
      <c r="C2715" s="15" t="s">
        <v>2551</v>
      </c>
      <c r="D2715" s="14" t="s">
        <v>1745</v>
      </c>
      <c r="E2715" s="14" t="s">
        <v>1747</v>
      </c>
      <c r="F2715" s="14">
        <v>3993360</v>
      </c>
      <c r="G2715" s="14">
        <v>2995020</v>
      </c>
      <c r="H2715" s="37">
        <f>'Calculation Sheet'!N2715</f>
        <v>2995020</v>
      </c>
    </row>
    <row r="2716" spans="1:8" x14ac:dyDescent="0.25">
      <c r="A2716" s="14" t="s">
        <v>2544</v>
      </c>
      <c r="B2716" s="14">
        <v>7</v>
      </c>
      <c r="C2716" s="15" t="s">
        <v>2547</v>
      </c>
      <c r="D2716" s="14" t="s">
        <v>1749</v>
      </c>
      <c r="E2716" s="14" t="s">
        <v>1746</v>
      </c>
      <c r="F2716" s="14">
        <v>0</v>
      </c>
      <c r="G2716" s="14">
        <v>0</v>
      </c>
      <c r="H2716" s="37">
        <f>'Calculation Sheet'!N2716</f>
        <v>0</v>
      </c>
    </row>
    <row r="2717" spans="1:8" x14ac:dyDescent="0.25">
      <c r="A2717" s="14" t="s">
        <v>2544</v>
      </c>
      <c r="B2717" s="14">
        <v>9</v>
      </c>
      <c r="C2717" s="15" t="s">
        <v>2548</v>
      </c>
      <c r="D2717" s="14" t="s">
        <v>1749</v>
      </c>
      <c r="E2717" s="14" t="s">
        <v>1746</v>
      </c>
      <c r="F2717" s="14">
        <v>0</v>
      </c>
      <c r="G2717" s="14">
        <v>0</v>
      </c>
      <c r="H2717" s="37">
        <f>'Calculation Sheet'!N2717</f>
        <v>0</v>
      </c>
    </row>
    <row r="2718" spans="1:8" x14ac:dyDescent="0.25">
      <c r="A2718" s="14" t="s">
        <v>2544</v>
      </c>
      <c r="B2718" s="14">
        <v>4</v>
      </c>
      <c r="C2718" s="15" t="s">
        <v>2551</v>
      </c>
      <c r="D2718" s="14" t="s">
        <v>1745</v>
      </c>
      <c r="E2718" s="14" t="s">
        <v>1746</v>
      </c>
      <c r="F2718" s="14">
        <v>4193028</v>
      </c>
      <c r="G2718" s="14">
        <v>3144771</v>
      </c>
      <c r="H2718" s="37">
        <f>'Calculation Sheet'!N2718</f>
        <v>3144771</v>
      </c>
    </row>
    <row r="2719" spans="1:8" x14ac:dyDescent="0.25">
      <c r="A2719" s="14" t="s">
        <v>2544</v>
      </c>
      <c r="B2719" s="14">
        <v>3</v>
      </c>
      <c r="C2719" s="15" t="s">
        <v>2552</v>
      </c>
      <c r="D2719" s="14" t="s">
        <v>1745</v>
      </c>
      <c r="E2719" s="14" t="s">
        <v>1746</v>
      </c>
      <c r="F2719" s="14">
        <v>0</v>
      </c>
      <c r="G2719" s="14">
        <v>0</v>
      </c>
      <c r="H2719" s="37">
        <f>'Calculation Sheet'!N2719</f>
        <v>0</v>
      </c>
    </row>
    <row r="2720" spans="1:8" x14ac:dyDescent="0.25">
      <c r="A2720" s="14" t="s">
        <v>2544</v>
      </c>
      <c r="B2720" s="14">
        <v>4</v>
      </c>
      <c r="C2720" s="15" t="s">
        <v>2551</v>
      </c>
      <c r="D2720" s="14" t="s">
        <v>1749</v>
      </c>
      <c r="E2720" s="14" t="s">
        <v>1746</v>
      </c>
      <c r="F2720" s="14">
        <v>399336</v>
      </c>
      <c r="G2720" s="14">
        <v>299502</v>
      </c>
      <c r="H2720" s="37">
        <f>'Calculation Sheet'!N2720</f>
        <v>299502</v>
      </c>
    </row>
    <row r="2721" spans="1:8" x14ac:dyDescent="0.25">
      <c r="A2721" s="14" t="s">
        <v>2544</v>
      </c>
      <c r="B2721" s="14">
        <v>9</v>
      </c>
      <c r="C2721" s="15" t="s">
        <v>2548</v>
      </c>
      <c r="D2721" s="14" t="s">
        <v>1752</v>
      </c>
      <c r="E2721" s="14" t="s">
        <v>1747</v>
      </c>
      <c r="F2721" s="14">
        <v>0</v>
      </c>
      <c r="G2721" s="14">
        <v>0</v>
      </c>
      <c r="H2721" s="37">
        <f>'Calculation Sheet'!N2721</f>
        <v>0</v>
      </c>
    </row>
    <row r="2722" spans="1:8" x14ac:dyDescent="0.25">
      <c r="A2722" s="14" t="s">
        <v>2544</v>
      </c>
      <c r="B2722" s="14">
        <v>9</v>
      </c>
      <c r="C2722" s="15" t="s">
        <v>2548</v>
      </c>
      <c r="D2722" s="14" t="s">
        <v>1745</v>
      </c>
      <c r="E2722" s="14" t="s">
        <v>1747</v>
      </c>
      <c r="F2722" s="14">
        <v>0</v>
      </c>
      <c r="G2722" s="14">
        <v>0</v>
      </c>
      <c r="H2722" s="37">
        <f>'Calculation Sheet'!N2722</f>
        <v>0</v>
      </c>
    </row>
    <row r="2723" spans="1:8" x14ac:dyDescent="0.25">
      <c r="A2723" s="14" t="s">
        <v>2544</v>
      </c>
      <c r="B2723" s="14" t="s">
        <v>24</v>
      </c>
      <c r="C2723" s="15" t="s">
        <v>2545</v>
      </c>
      <c r="D2723" s="14" t="s">
        <v>1749</v>
      </c>
      <c r="E2723" s="14" t="s">
        <v>1766</v>
      </c>
      <c r="F2723" s="14">
        <v>0</v>
      </c>
      <c r="G2723" s="14">
        <v>0</v>
      </c>
      <c r="H2723" s="37">
        <f>'Calculation Sheet'!N2723</f>
        <v>0</v>
      </c>
    </row>
    <row r="2724" spans="1:8" x14ac:dyDescent="0.25">
      <c r="A2724" s="14" t="s">
        <v>2544</v>
      </c>
      <c r="B2724" s="14">
        <v>6</v>
      </c>
      <c r="C2724" s="15" t="s">
        <v>2546</v>
      </c>
      <c r="D2724" s="14" t="s">
        <v>1752</v>
      </c>
      <c r="E2724" s="14" t="s">
        <v>1753</v>
      </c>
      <c r="F2724" s="14">
        <v>1796940</v>
      </c>
      <c r="G2724" s="14">
        <v>1796940</v>
      </c>
      <c r="H2724" s="37">
        <f>'Calculation Sheet'!N2724</f>
        <v>1796940</v>
      </c>
    </row>
    <row r="2725" spans="1:8" x14ac:dyDescent="0.25">
      <c r="A2725" s="14" t="s">
        <v>2544</v>
      </c>
      <c r="B2725" s="14" t="s">
        <v>16</v>
      </c>
      <c r="C2725" s="15" t="s">
        <v>2545</v>
      </c>
      <c r="D2725" s="14" t="s">
        <v>1749</v>
      </c>
      <c r="E2725" s="14" t="s">
        <v>1746</v>
      </c>
      <c r="F2725" s="14">
        <v>159732</v>
      </c>
      <c r="G2725" s="14">
        <v>119799</v>
      </c>
      <c r="H2725" s="37">
        <f>'Calculation Sheet'!N2725</f>
        <v>119799</v>
      </c>
    </row>
    <row r="2726" spans="1:8" x14ac:dyDescent="0.25">
      <c r="A2726" s="14" t="s">
        <v>2544</v>
      </c>
      <c r="B2726" s="14" t="s">
        <v>20</v>
      </c>
      <c r="C2726" s="15" t="s">
        <v>2548</v>
      </c>
      <c r="D2726" s="14" t="s">
        <v>1749</v>
      </c>
      <c r="E2726" s="14" t="s">
        <v>1766</v>
      </c>
      <c r="F2726" s="14">
        <v>0</v>
      </c>
      <c r="G2726" s="14">
        <v>0</v>
      </c>
      <c r="H2726" s="37">
        <f>'Calculation Sheet'!N2726</f>
        <v>0</v>
      </c>
    </row>
    <row r="2727" spans="1:8" x14ac:dyDescent="0.25">
      <c r="A2727" s="14" t="s">
        <v>2544</v>
      </c>
      <c r="B2727" s="14">
        <v>3</v>
      </c>
      <c r="C2727" s="15" t="s">
        <v>2552</v>
      </c>
      <c r="D2727" s="14" t="s">
        <v>1749</v>
      </c>
      <c r="E2727" s="14" t="s">
        <v>1746</v>
      </c>
      <c r="F2727" s="14">
        <v>0</v>
      </c>
      <c r="G2727" s="14">
        <v>0</v>
      </c>
      <c r="H2727" s="37">
        <f>'Calculation Sheet'!N2727</f>
        <v>0</v>
      </c>
    </row>
    <row r="2728" spans="1:8" x14ac:dyDescent="0.25">
      <c r="A2728" s="14" t="s">
        <v>2544</v>
      </c>
      <c r="B2728" s="14">
        <v>7</v>
      </c>
      <c r="C2728" s="15" t="s">
        <v>2547</v>
      </c>
      <c r="D2728" s="14" t="s">
        <v>1752</v>
      </c>
      <c r="E2728" s="14" t="s">
        <v>1746</v>
      </c>
      <c r="F2728" s="14">
        <v>0</v>
      </c>
      <c r="G2728" s="14">
        <v>0</v>
      </c>
      <c r="H2728" s="37">
        <f>'Calculation Sheet'!N2728</f>
        <v>0</v>
      </c>
    </row>
    <row r="2729" spans="1:8" x14ac:dyDescent="0.25">
      <c r="A2729" s="14" t="s">
        <v>2544</v>
      </c>
      <c r="B2729" s="14">
        <v>8</v>
      </c>
      <c r="C2729" s="15" t="s">
        <v>2550</v>
      </c>
      <c r="D2729" s="14" t="s">
        <v>1745</v>
      </c>
      <c r="E2729" s="14" t="s">
        <v>1746</v>
      </c>
      <c r="F2729" s="14">
        <v>0</v>
      </c>
      <c r="G2729" s="14">
        <v>0</v>
      </c>
      <c r="H2729" s="37">
        <f>'Calculation Sheet'!N2729</f>
        <v>0</v>
      </c>
    </row>
    <row r="2730" spans="1:8" x14ac:dyDescent="0.25">
      <c r="A2730" s="14" t="s">
        <v>2544</v>
      </c>
      <c r="B2730" s="14">
        <v>8</v>
      </c>
      <c r="C2730" s="15" t="s">
        <v>2550</v>
      </c>
      <c r="D2730" s="14" t="s">
        <v>1752</v>
      </c>
      <c r="E2730" s="14" t="s">
        <v>1746</v>
      </c>
      <c r="F2730" s="14">
        <v>0</v>
      </c>
      <c r="G2730" s="14">
        <v>0</v>
      </c>
      <c r="H2730" s="37">
        <f>'Calculation Sheet'!N2730</f>
        <v>0</v>
      </c>
    </row>
    <row r="2731" spans="1:8" x14ac:dyDescent="0.25">
      <c r="A2731" s="14" t="s">
        <v>2544</v>
      </c>
      <c r="B2731" s="14">
        <v>3</v>
      </c>
      <c r="C2731" s="15" t="s">
        <v>2552</v>
      </c>
      <c r="D2731" s="14" t="s">
        <v>1745</v>
      </c>
      <c r="E2731" s="14" t="s">
        <v>1747</v>
      </c>
      <c r="F2731" s="14">
        <v>0</v>
      </c>
      <c r="G2731" s="14">
        <v>0</v>
      </c>
      <c r="H2731" s="37">
        <f>'Calculation Sheet'!N2731</f>
        <v>0</v>
      </c>
    </row>
    <row r="2732" spans="1:8" x14ac:dyDescent="0.25">
      <c r="A2732" s="14" t="s">
        <v>2553</v>
      </c>
      <c r="B2732" s="14" t="s">
        <v>20</v>
      </c>
      <c r="C2732" s="15" t="s">
        <v>2554</v>
      </c>
      <c r="D2732" s="14" t="s">
        <v>1752</v>
      </c>
      <c r="E2732" s="14" t="s">
        <v>1747</v>
      </c>
      <c r="F2732" s="14">
        <v>0</v>
      </c>
      <c r="G2732" s="14">
        <v>0</v>
      </c>
      <c r="H2732" s="37">
        <f>'Calculation Sheet'!N2732</f>
        <v>0</v>
      </c>
    </row>
    <row r="2733" spans="1:8" x14ac:dyDescent="0.25">
      <c r="A2733" s="14" t="s">
        <v>2553</v>
      </c>
      <c r="B2733" s="14">
        <v>3</v>
      </c>
      <c r="C2733" s="15" t="s">
        <v>2555</v>
      </c>
      <c r="D2733" s="14" t="s">
        <v>1745</v>
      </c>
      <c r="E2733" s="14" t="s">
        <v>1747</v>
      </c>
      <c r="F2733" s="14">
        <v>11980020</v>
      </c>
      <c r="G2733" s="14">
        <v>8985015</v>
      </c>
      <c r="H2733" s="37">
        <f>'Calculation Sheet'!N2733</f>
        <v>8985015</v>
      </c>
    </row>
    <row r="2734" spans="1:8" x14ac:dyDescent="0.25">
      <c r="A2734" s="14" t="s">
        <v>2553</v>
      </c>
      <c r="B2734" s="14" t="s">
        <v>20</v>
      </c>
      <c r="C2734" s="15" t="s">
        <v>2554</v>
      </c>
      <c r="D2734" s="14" t="s">
        <v>1745</v>
      </c>
      <c r="E2734" s="14" t="s">
        <v>1747</v>
      </c>
      <c r="F2734" s="14">
        <v>0</v>
      </c>
      <c r="G2734" s="14">
        <v>0</v>
      </c>
      <c r="H2734" s="37">
        <f>'Calculation Sheet'!N2734</f>
        <v>0</v>
      </c>
    </row>
    <row r="2735" spans="1:8" x14ac:dyDescent="0.25">
      <c r="A2735" s="14" t="s">
        <v>2553</v>
      </c>
      <c r="B2735" s="14" t="s">
        <v>16</v>
      </c>
      <c r="C2735" s="15" t="s">
        <v>2556</v>
      </c>
      <c r="D2735" s="14" t="s">
        <v>1745</v>
      </c>
      <c r="E2735" s="14" t="s">
        <v>1747</v>
      </c>
      <c r="F2735" s="14">
        <v>4792020</v>
      </c>
      <c r="G2735" s="14">
        <v>3594015</v>
      </c>
      <c r="H2735" s="37">
        <f>'Calculation Sheet'!N2735</f>
        <v>3594015</v>
      </c>
    </row>
    <row r="2736" spans="1:8" x14ac:dyDescent="0.25">
      <c r="A2736" s="14" t="s">
        <v>2553</v>
      </c>
      <c r="B2736" s="14" t="s">
        <v>16</v>
      </c>
      <c r="C2736" s="15" t="s">
        <v>2556</v>
      </c>
      <c r="D2736" s="14" t="s">
        <v>1752</v>
      </c>
      <c r="E2736" s="14" t="s">
        <v>1753</v>
      </c>
      <c r="F2736" s="14">
        <v>14376060</v>
      </c>
      <c r="G2736" s="14">
        <v>10782045</v>
      </c>
      <c r="H2736" s="37">
        <f>'Calculation Sheet'!N2736</f>
        <v>10782045</v>
      </c>
    </row>
    <row r="2737" spans="1:8" x14ac:dyDescent="0.25">
      <c r="A2737" s="14" t="s">
        <v>2553</v>
      </c>
      <c r="B2737" s="14" t="s">
        <v>16</v>
      </c>
      <c r="C2737" s="15" t="s">
        <v>2556</v>
      </c>
      <c r="D2737" s="14" t="s">
        <v>1752</v>
      </c>
      <c r="E2737" s="14" t="s">
        <v>1747</v>
      </c>
      <c r="F2737" s="14">
        <v>14376060</v>
      </c>
      <c r="G2737" s="14">
        <v>10782045</v>
      </c>
      <c r="H2737" s="37">
        <f>'Calculation Sheet'!N2737</f>
        <v>10782045</v>
      </c>
    </row>
    <row r="2738" spans="1:8" x14ac:dyDescent="0.25">
      <c r="A2738" s="14" t="s">
        <v>2553</v>
      </c>
      <c r="B2738" s="14">
        <v>6</v>
      </c>
      <c r="C2738" s="15" t="s">
        <v>2557</v>
      </c>
      <c r="D2738" s="14" t="s">
        <v>1745</v>
      </c>
      <c r="E2738" s="14" t="s">
        <v>1746</v>
      </c>
      <c r="F2738" s="14">
        <v>0</v>
      </c>
      <c r="G2738" s="14">
        <v>0</v>
      </c>
      <c r="H2738" s="37">
        <f>'Calculation Sheet'!N2738</f>
        <v>0</v>
      </c>
    </row>
    <row r="2739" spans="1:8" x14ac:dyDescent="0.25">
      <c r="A2739" s="14" t="s">
        <v>2553</v>
      </c>
      <c r="B2739" s="14" t="s">
        <v>34</v>
      </c>
      <c r="C2739" s="15" t="s">
        <v>2556</v>
      </c>
      <c r="D2739" s="14" t="s">
        <v>1749</v>
      </c>
      <c r="E2739" s="14" t="s">
        <v>1766</v>
      </c>
      <c r="F2739" s="14">
        <v>0</v>
      </c>
      <c r="G2739" s="14">
        <v>0</v>
      </c>
      <c r="H2739" s="37">
        <f>'Calculation Sheet'!N2739</f>
        <v>0</v>
      </c>
    </row>
    <row r="2740" spans="1:8" x14ac:dyDescent="0.25">
      <c r="A2740" s="14" t="s">
        <v>2553</v>
      </c>
      <c r="B2740" s="14">
        <v>5</v>
      </c>
      <c r="C2740" s="15" t="s">
        <v>2557</v>
      </c>
      <c r="D2740" s="14" t="s">
        <v>1749</v>
      </c>
      <c r="E2740" s="14" t="s">
        <v>1766</v>
      </c>
      <c r="F2740" s="14">
        <v>0</v>
      </c>
      <c r="G2740" s="14">
        <v>0</v>
      </c>
      <c r="H2740" s="37">
        <f>'Calculation Sheet'!N2740</f>
        <v>0</v>
      </c>
    </row>
    <row r="2741" spans="1:8" x14ac:dyDescent="0.25">
      <c r="A2741" s="14" t="s">
        <v>2553</v>
      </c>
      <c r="B2741" s="14" t="s">
        <v>16</v>
      </c>
      <c r="C2741" s="15" t="s">
        <v>2556</v>
      </c>
      <c r="D2741" s="14" t="s">
        <v>1745</v>
      </c>
      <c r="E2741" s="14" t="s">
        <v>1746</v>
      </c>
      <c r="F2741" s="14">
        <v>5031621</v>
      </c>
      <c r="G2741" s="14">
        <v>3773716</v>
      </c>
      <c r="H2741" s="37">
        <f>'Calculation Sheet'!N2741</f>
        <v>3773716</v>
      </c>
    </row>
    <row r="2742" spans="1:8" x14ac:dyDescent="0.25">
      <c r="A2742" s="14" t="s">
        <v>2553</v>
      </c>
      <c r="B2742" s="14">
        <v>3</v>
      </c>
      <c r="C2742" s="15" t="s">
        <v>2555</v>
      </c>
      <c r="D2742" s="14" t="s">
        <v>1745</v>
      </c>
      <c r="E2742" s="14" t="s">
        <v>1746</v>
      </c>
      <c r="F2742" s="14">
        <v>12579021</v>
      </c>
      <c r="G2742" s="14">
        <v>9434266</v>
      </c>
      <c r="H2742" s="37">
        <f>'Calculation Sheet'!N2742</f>
        <v>9434266</v>
      </c>
    </row>
    <row r="2743" spans="1:8" x14ac:dyDescent="0.25">
      <c r="A2743" s="14" t="s">
        <v>2553</v>
      </c>
      <c r="B2743" s="14" t="s">
        <v>24</v>
      </c>
      <c r="C2743" s="15" t="s">
        <v>2554</v>
      </c>
      <c r="D2743" s="14" t="s">
        <v>1749</v>
      </c>
      <c r="E2743" s="14" t="s">
        <v>1766</v>
      </c>
      <c r="F2743" s="14">
        <v>0</v>
      </c>
      <c r="G2743" s="14">
        <v>0</v>
      </c>
      <c r="H2743" s="37">
        <f>'Calculation Sheet'!N2743</f>
        <v>0</v>
      </c>
    </row>
    <row r="2744" spans="1:8" x14ac:dyDescent="0.25">
      <c r="A2744" s="14" t="s">
        <v>2553</v>
      </c>
      <c r="B2744" s="14">
        <v>2</v>
      </c>
      <c r="C2744" s="15" t="s">
        <v>2555</v>
      </c>
      <c r="D2744" s="14" t="s">
        <v>1749</v>
      </c>
      <c r="E2744" s="14" t="s">
        <v>1766</v>
      </c>
      <c r="F2744" s="14">
        <v>0</v>
      </c>
      <c r="G2744" s="14">
        <v>0</v>
      </c>
      <c r="H2744" s="37">
        <f>'Calculation Sheet'!N2744</f>
        <v>0</v>
      </c>
    </row>
    <row r="2745" spans="1:8" x14ac:dyDescent="0.25">
      <c r="A2745" s="14" t="s">
        <v>2553</v>
      </c>
      <c r="B2745" s="14">
        <v>3</v>
      </c>
      <c r="C2745" s="15" t="s">
        <v>2555</v>
      </c>
      <c r="D2745" s="14" t="s">
        <v>1749</v>
      </c>
      <c r="E2745" s="14" t="s">
        <v>1746</v>
      </c>
      <c r="F2745" s="14">
        <v>1198002</v>
      </c>
      <c r="G2745" s="14">
        <v>898501.5</v>
      </c>
      <c r="H2745" s="37">
        <f>'Calculation Sheet'!N2745</f>
        <v>898501.5</v>
      </c>
    </row>
    <row r="2746" spans="1:8" x14ac:dyDescent="0.25">
      <c r="A2746" s="14" t="s">
        <v>2553</v>
      </c>
      <c r="B2746" s="14" t="s">
        <v>16</v>
      </c>
      <c r="C2746" s="15" t="s">
        <v>2556</v>
      </c>
      <c r="D2746" s="14" t="s">
        <v>1752</v>
      </c>
      <c r="E2746" s="14" t="s">
        <v>1746</v>
      </c>
      <c r="F2746" s="14">
        <v>15094863</v>
      </c>
      <c r="G2746" s="14">
        <v>11321147</v>
      </c>
      <c r="H2746" s="37">
        <f>'Calculation Sheet'!N2746</f>
        <v>11321147</v>
      </c>
    </row>
    <row r="2747" spans="1:8" x14ac:dyDescent="0.25">
      <c r="A2747" s="14" t="s">
        <v>2553</v>
      </c>
      <c r="B2747" s="14" t="s">
        <v>20</v>
      </c>
      <c r="C2747" s="15" t="s">
        <v>2554</v>
      </c>
      <c r="D2747" s="14" t="s">
        <v>1745</v>
      </c>
      <c r="E2747" s="14" t="s">
        <v>1746</v>
      </c>
      <c r="F2747" s="14">
        <v>0</v>
      </c>
      <c r="G2747" s="14">
        <v>0</v>
      </c>
      <c r="H2747" s="37">
        <f>'Calculation Sheet'!N2747</f>
        <v>0</v>
      </c>
    </row>
    <row r="2748" spans="1:8" x14ac:dyDescent="0.25">
      <c r="A2748" s="14" t="s">
        <v>2553</v>
      </c>
      <c r="B2748" s="14" t="s">
        <v>20</v>
      </c>
      <c r="C2748" s="15" t="s">
        <v>2554</v>
      </c>
      <c r="D2748" s="14" t="s">
        <v>1752</v>
      </c>
      <c r="E2748" s="14" t="s">
        <v>1753</v>
      </c>
      <c r="F2748" s="14">
        <v>0</v>
      </c>
      <c r="G2748" s="14">
        <v>0</v>
      </c>
      <c r="H2748" s="37">
        <f>'Calculation Sheet'!N2748</f>
        <v>0</v>
      </c>
    </row>
    <row r="2749" spans="1:8" x14ac:dyDescent="0.25">
      <c r="A2749" s="14" t="s">
        <v>2553</v>
      </c>
      <c r="B2749" s="14">
        <v>6</v>
      </c>
      <c r="C2749" s="15" t="s">
        <v>2557</v>
      </c>
      <c r="D2749" s="14" t="s">
        <v>1749</v>
      </c>
      <c r="E2749" s="14" t="s">
        <v>1746</v>
      </c>
      <c r="F2749" s="14">
        <v>0</v>
      </c>
      <c r="G2749" s="14">
        <v>0</v>
      </c>
      <c r="H2749" s="37">
        <f>'Calculation Sheet'!N2749</f>
        <v>0</v>
      </c>
    </row>
    <row r="2750" spans="1:8" x14ac:dyDescent="0.25">
      <c r="A2750" s="14" t="s">
        <v>2553</v>
      </c>
      <c r="B2750" s="14" t="s">
        <v>20</v>
      </c>
      <c r="C2750" s="15" t="s">
        <v>2554</v>
      </c>
      <c r="D2750" s="14" t="s">
        <v>1749</v>
      </c>
      <c r="E2750" s="14" t="s">
        <v>1746</v>
      </c>
      <c r="F2750" s="14">
        <v>0</v>
      </c>
      <c r="G2750" s="14">
        <v>0</v>
      </c>
      <c r="H2750" s="37">
        <f>'Calculation Sheet'!N2750</f>
        <v>0</v>
      </c>
    </row>
    <row r="2751" spans="1:8" x14ac:dyDescent="0.25">
      <c r="A2751" s="14" t="s">
        <v>2553</v>
      </c>
      <c r="B2751" s="14" t="s">
        <v>16</v>
      </c>
      <c r="C2751" s="15" t="s">
        <v>2556</v>
      </c>
      <c r="D2751" s="14" t="s">
        <v>1749</v>
      </c>
      <c r="E2751" s="14" t="s">
        <v>1746</v>
      </c>
      <c r="F2751" s="14">
        <v>479202</v>
      </c>
      <c r="G2751" s="14">
        <v>359401.5</v>
      </c>
      <c r="H2751" s="37">
        <f>'Calculation Sheet'!N2751</f>
        <v>359401.5</v>
      </c>
    </row>
    <row r="2752" spans="1:8" x14ac:dyDescent="0.25">
      <c r="A2752" s="14" t="s">
        <v>2553</v>
      </c>
      <c r="B2752" s="14">
        <v>6</v>
      </c>
      <c r="C2752" s="15" t="s">
        <v>2557</v>
      </c>
      <c r="D2752" s="14" t="s">
        <v>1745</v>
      </c>
      <c r="E2752" s="14" t="s">
        <v>1747</v>
      </c>
      <c r="F2752" s="14">
        <v>0</v>
      </c>
      <c r="G2752" s="14">
        <v>0</v>
      </c>
      <c r="H2752" s="37">
        <f>'Calculation Sheet'!N2752</f>
        <v>0</v>
      </c>
    </row>
    <row r="2753" spans="1:8" x14ac:dyDescent="0.25">
      <c r="A2753" s="14" t="s">
        <v>2553</v>
      </c>
      <c r="B2753" s="14" t="s">
        <v>20</v>
      </c>
      <c r="C2753" s="15" t="s">
        <v>2554</v>
      </c>
      <c r="D2753" s="14" t="s">
        <v>1752</v>
      </c>
      <c r="E2753" s="14" t="s">
        <v>1746</v>
      </c>
      <c r="F2753" s="14">
        <v>0</v>
      </c>
      <c r="G2753" s="14">
        <v>0</v>
      </c>
      <c r="H2753" s="37">
        <f>'Calculation Sheet'!N2753</f>
        <v>0</v>
      </c>
    </row>
    <row r="2754" spans="1:8" x14ac:dyDescent="0.25">
      <c r="A2754" s="14" t="s">
        <v>2558</v>
      </c>
      <c r="B2754" s="14" t="s">
        <v>55</v>
      </c>
      <c r="C2754" s="15" t="s">
        <v>2559</v>
      </c>
      <c r="D2754" s="14" t="s">
        <v>1745</v>
      </c>
      <c r="E2754" s="14" t="s">
        <v>1747</v>
      </c>
      <c r="F2754" s="14">
        <v>8520</v>
      </c>
      <c r="G2754" s="14">
        <v>6816</v>
      </c>
      <c r="H2754" s="37">
        <f>'Calculation Sheet'!N2754</f>
        <v>6816</v>
      </c>
    </row>
    <row r="2755" spans="1:8" x14ac:dyDescent="0.25">
      <c r="A2755" s="14" t="s">
        <v>2558</v>
      </c>
      <c r="B2755" s="14">
        <v>9</v>
      </c>
      <c r="C2755" s="15" t="s">
        <v>2560</v>
      </c>
      <c r="D2755" s="14" t="s">
        <v>1745</v>
      </c>
      <c r="E2755" s="14" t="s">
        <v>1746</v>
      </c>
      <c r="F2755" s="14">
        <v>8946</v>
      </c>
      <c r="G2755" s="14">
        <v>7156.8</v>
      </c>
      <c r="H2755" s="37">
        <f>'Calculation Sheet'!N2755</f>
        <v>7156.8</v>
      </c>
    </row>
    <row r="2756" spans="1:8" x14ac:dyDescent="0.25">
      <c r="A2756" s="14" t="s">
        <v>2558</v>
      </c>
      <c r="B2756" s="14" t="s">
        <v>39</v>
      </c>
      <c r="C2756" s="15" t="s">
        <v>2561</v>
      </c>
      <c r="D2756" s="14" t="s">
        <v>1752</v>
      </c>
      <c r="E2756" s="14" t="s">
        <v>1747</v>
      </c>
      <c r="F2756" s="14">
        <v>25560</v>
      </c>
      <c r="G2756" s="14">
        <v>20448</v>
      </c>
      <c r="H2756" s="37">
        <f>'Calculation Sheet'!N2756</f>
        <v>20448</v>
      </c>
    </row>
    <row r="2757" spans="1:8" x14ac:dyDescent="0.25">
      <c r="A2757" s="14" t="s">
        <v>2558</v>
      </c>
      <c r="B2757" s="14">
        <v>9</v>
      </c>
      <c r="C2757" s="15" t="s">
        <v>2560</v>
      </c>
      <c r="D2757" s="14" t="s">
        <v>1745</v>
      </c>
      <c r="E2757" s="14" t="s">
        <v>1747</v>
      </c>
      <c r="F2757" s="14">
        <v>8520</v>
      </c>
      <c r="G2757" s="14">
        <v>6816</v>
      </c>
      <c r="H2757" s="37">
        <f>'Calculation Sheet'!N2757</f>
        <v>6816</v>
      </c>
    </row>
    <row r="2758" spans="1:8" x14ac:dyDescent="0.25">
      <c r="A2758" s="14" t="s">
        <v>2558</v>
      </c>
      <c r="B2758" s="14">
        <v>9</v>
      </c>
      <c r="C2758" s="15" t="s">
        <v>2560</v>
      </c>
      <c r="D2758" s="14" t="s">
        <v>1749</v>
      </c>
      <c r="E2758" s="14" t="s">
        <v>1746</v>
      </c>
      <c r="F2758" s="14">
        <v>852</v>
      </c>
      <c r="G2758" s="14">
        <v>681.6</v>
      </c>
      <c r="H2758" s="37">
        <f>'Calculation Sheet'!N2758</f>
        <v>681.6</v>
      </c>
    </row>
    <row r="2759" spans="1:8" x14ac:dyDescent="0.25">
      <c r="A2759" s="14" t="s">
        <v>2558</v>
      </c>
      <c r="B2759" s="14" t="s">
        <v>46</v>
      </c>
      <c r="C2759" s="15" t="s">
        <v>2562</v>
      </c>
      <c r="D2759" s="14" t="s">
        <v>1752</v>
      </c>
      <c r="E2759" s="14" t="s">
        <v>1747</v>
      </c>
      <c r="F2759" s="14">
        <v>25560</v>
      </c>
      <c r="G2759" s="14">
        <v>20448</v>
      </c>
      <c r="H2759" s="37">
        <f>'Calculation Sheet'!N2759</f>
        <v>20448</v>
      </c>
    </row>
    <row r="2760" spans="1:8" x14ac:dyDescent="0.25">
      <c r="A2760" s="14" t="s">
        <v>2558</v>
      </c>
      <c r="B2760" s="14" t="s">
        <v>46</v>
      </c>
      <c r="C2760" s="15" t="s">
        <v>2562</v>
      </c>
      <c r="D2760" s="14" t="s">
        <v>1752</v>
      </c>
      <c r="E2760" s="14" t="s">
        <v>1753</v>
      </c>
      <c r="F2760" s="14">
        <v>25560</v>
      </c>
      <c r="G2760" s="14">
        <v>20448</v>
      </c>
      <c r="H2760" s="37">
        <f>'Calculation Sheet'!N2760</f>
        <v>20448</v>
      </c>
    </row>
    <row r="2761" spans="1:8" x14ac:dyDescent="0.25">
      <c r="A2761" s="14" t="s">
        <v>2558</v>
      </c>
      <c r="B2761" s="14" t="s">
        <v>16</v>
      </c>
      <c r="C2761" s="15" t="s">
        <v>2560</v>
      </c>
      <c r="D2761" s="14" t="s">
        <v>1749</v>
      </c>
      <c r="E2761" s="14" t="s">
        <v>1766</v>
      </c>
      <c r="F2761" s="14">
        <v>0</v>
      </c>
      <c r="G2761" s="14">
        <v>0</v>
      </c>
      <c r="H2761" s="37">
        <f>'Calculation Sheet'!N2761</f>
        <v>0</v>
      </c>
    </row>
    <row r="2762" spans="1:8" x14ac:dyDescent="0.25">
      <c r="A2762" s="14" t="s">
        <v>2558</v>
      </c>
      <c r="B2762" s="14" t="s">
        <v>55</v>
      </c>
      <c r="C2762" s="15" t="s">
        <v>2559</v>
      </c>
      <c r="D2762" s="14" t="s">
        <v>1745</v>
      </c>
      <c r="E2762" s="14" t="s">
        <v>1746</v>
      </c>
      <c r="F2762" s="14">
        <v>8946</v>
      </c>
      <c r="G2762" s="14">
        <v>7156.8</v>
      </c>
      <c r="H2762" s="37">
        <f>'Calculation Sheet'!N2762</f>
        <v>7156.8</v>
      </c>
    </row>
    <row r="2763" spans="1:8" x14ac:dyDescent="0.25">
      <c r="A2763" s="14" t="s">
        <v>2558</v>
      </c>
      <c r="B2763" s="14" t="s">
        <v>39</v>
      </c>
      <c r="C2763" s="15" t="s">
        <v>2561</v>
      </c>
      <c r="D2763" s="14" t="s">
        <v>1752</v>
      </c>
      <c r="E2763" s="14" t="s">
        <v>1753</v>
      </c>
      <c r="F2763" s="14">
        <v>25560</v>
      </c>
      <c r="G2763" s="14">
        <v>20448</v>
      </c>
      <c r="H2763" s="37">
        <f>'Calculation Sheet'!N2763</f>
        <v>20448</v>
      </c>
    </row>
    <row r="2764" spans="1:8" x14ac:dyDescent="0.25">
      <c r="A2764" s="14" t="s">
        <v>2563</v>
      </c>
      <c r="B2764" s="14">
        <v>2</v>
      </c>
      <c r="C2764" s="15" t="s">
        <v>2564</v>
      </c>
      <c r="D2764" s="14" t="s">
        <v>1745</v>
      </c>
      <c r="E2764" s="14" t="s">
        <v>1746</v>
      </c>
      <c r="F2764" s="14">
        <v>1449</v>
      </c>
      <c r="G2764" s="14">
        <v>1159.2</v>
      </c>
      <c r="H2764" s="37">
        <f>'Calculation Sheet'!N2764</f>
        <v>1159.2</v>
      </c>
    </row>
    <row r="2765" spans="1:8" x14ac:dyDescent="0.25">
      <c r="A2765" s="14" t="s">
        <v>2563</v>
      </c>
      <c r="B2765" s="14">
        <v>2</v>
      </c>
      <c r="C2765" s="15" t="s">
        <v>2564</v>
      </c>
      <c r="D2765" s="14" t="s">
        <v>1749</v>
      </c>
      <c r="E2765" s="14" t="s">
        <v>1746</v>
      </c>
      <c r="F2765" s="14">
        <v>138</v>
      </c>
      <c r="G2765" s="14">
        <v>110.4</v>
      </c>
      <c r="H2765" s="37">
        <f>'Calculation Sheet'!N2765</f>
        <v>110.4</v>
      </c>
    </row>
    <row r="2766" spans="1:8" x14ac:dyDescent="0.25">
      <c r="A2766" s="14" t="s">
        <v>2563</v>
      </c>
      <c r="B2766" s="14">
        <v>2</v>
      </c>
      <c r="C2766" s="15" t="s">
        <v>2564</v>
      </c>
      <c r="D2766" s="14" t="s">
        <v>1745</v>
      </c>
      <c r="E2766" s="14" t="s">
        <v>1747</v>
      </c>
      <c r="F2766" s="14">
        <v>1380</v>
      </c>
      <c r="G2766" s="14">
        <v>1104</v>
      </c>
      <c r="H2766" s="37">
        <f>'Calculation Sheet'!N2766</f>
        <v>1104</v>
      </c>
    </row>
    <row r="2767" spans="1:8" x14ac:dyDescent="0.25">
      <c r="A2767" s="14" t="s">
        <v>2563</v>
      </c>
      <c r="B2767" s="14">
        <v>1</v>
      </c>
      <c r="C2767" s="15" t="s">
        <v>2564</v>
      </c>
      <c r="D2767" s="14" t="s">
        <v>1749</v>
      </c>
      <c r="E2767" s="14" t="s">
        <v>1766</v>
      </c>
      <c r="F2767" s="14">
        <v>0</v>
      </c>
      <c r="G2767" s="14">
        <v>0</v>
      </c>
      <c r="H2767" s="37">
        <f>'Calculation Sheet'!N2767</f>
        <v>0</v>
      </c>
    </row>
    <row r="2768" spans="1:8" x14ac:dyDescent="0.25">
      <c r="A2768" s="14" t="s">
        <v>2565</v>
      </c>
      <c r="B2768" s="14">
        <v>1</v>
      </c>
      <c r="C2768" s="15" t="s">
        <v>2566</v>
      </c>
      <c r="D2768" s="14" t="s">
        <v>1749</v>
      </c>
      <c r="E2768" s="14" t="s">
        <v>1746</v>
      </c>
      <c r="F2768" s="14">
        <v>1998</v>
      </c>
      <c r="G2768" s="14">
        <v>1598.4</v>
      </c>
      <c r="H2768" s="37">
        <f>'Calculation Sheet'!N2768</f>
        <v>1598.4</v>
      </c>
    </row>
    <row r="2769" spans="1:8" x14ac:dyDescent="0.25">
      <c r="A2769" s="14" t="s">
        <v>2565</v>
      </c>
      <c r="B2769" s="14">
        <v>1</v>
      </c>
      <c r="C2769" s="15" t="s">
        <v>2566</v>
      </c>
      <c r="D2769" s="14" t="s">
        <v>1745</v>
      </c>
      <c r="E2769" s="14" t="s">
        <v>1746</v>
      </c>
      <c r="F2769" s="14">
        <v>20979</v>
      </c>
      <c r="G2769" s="14">
        <v>16783.2</v>
      </c>
      <c r="H2769" s="37">
        <f>'Calculation Sheet'!N2769</f>
        <v>16783.2</v>
      </c>
    </row>
    <row r="2770" spans="1:8" x14ac:dyDescent="0.25">
      <c r="A2770" s="14" t="s">
        <v>2565</v>
      </c>
      <c r="B2770" s="14">
        <v>1</v>
      </c>
      <c r="C2770" s="15" t="s">
        <v>2566</v>
      </c>
      <c r="D2770" s="14" t="s">
        <v>1745</v>
      </c>
      <c r="E2770" s="14" t="s">
        <v>1747</v>
      </c>
      <c r="F2770" s="14">
        <v>19980</v>
      </c>
      <c r="G2770" s="14">
        <v>15984</v>
      </c>
      <c r="H2770" s="37">
        <f>'Calculation Sheet'!N2770</f>
        <v>15984</v>
      </c>
    </row>
    <row r="2771" spans="1:8" x14ac:dyDescent="0.25">
      <c r="A2771" s="14" t="s">
        <v>2567</v>
      </c>
      <c r="B2771" s="14">
        <v>1</v>
      </c>
      <c r="C2771" s="15" t="s">
        <v>2568</v>
      </c>
      <c r="D2771" s="14" t="s">
        <v>1745</v>
      </c>
      <c r="E2771" s="14" t="s">
        <v>1746</v>
      </c>
      <c r="F2771" s="14">
        <v>15750</v>
      </c>
      <c r="G2771" s="14">
        <v>12600</v>
      </c>
      <c r="H2771" s="37">
        <f>'Calculation Sheet'!N2771</f>
        <v>12600</v>
      </c>
    </row>
    <row r="2772" spans="1:8" x14ac:dyDescent="0.25">
      <c r="A2772" s="14" t="s">
        <v>2567</v>
      </c>
      <c r="B2772" s="14">
        <v>1</v>
      </c>
      <c r="C2772" s="15" t="s">
        <v>2568</v>
      </c>
      <c r="D2772" s="14" t="s">
        <v>1745</v>
      </c>
      <c r="E2772" s="14" t="s">
        <v>1747</v>
      </c>
      <c r="F2772" s="14">
        <v>15000</v>
      </c>
      <c r="G2772" s="14">
        <v>12000</v>
      </c>
      <c r="H2772" s="37">
        <f>'Calculation Sheet'!N2772</f>
        <v>12000</v>
      </c>
    </row>
    <row r="2773" spans="1:8" x14ac:dyDescent="0.25">
      <c r="A2773" s="14" t="s">
        <v>2569</v>
      </c>
      <c r="B2773" s="14">
        <v>5</v>
      </c>
      <c r="C2773" s="15" t="s">
        <v>2570</v>
      </c>
      <c r="D2773" s="14" t="s">
        <v>1745</v>
      </c>
      <c r="E2773" s="14" t="s">
        <v>1746</v>
      </c>
      <c r="F2773" s="14">
        <v>12600</v>
      </c>
      <c r="G2773" s="14">
        <v>10080</v>
      </c>
      <c r="H2773" s="37">
        <f>'Calculation Sheet'!N2773</f>
        <v>10080</v>
      </c>
    </row>
    <row r="2774" spans="1:8" x14ac:dyDescent="0.25">
      <c r="A2774" s="14" t="s">
        <v>2569</v>
      </c>
      <c r="B2774" s="14">
        <v>5</v>
      </c>
      <c r="C2774" s="15" t="s">
        <v>2570</v>
      </c>
      <c r="D2774" s="14" t="s">
        <v>1749</v>
      </c>
      <c r="E2774" s="14" t="s">
        <v>1746</v>
      </c>
      <c r="F2774" s="14">
        <v>1200</v>
      </c>
      <c r="G2774" s="14">
        <v>960</v>
      </c>
      <c r="H2774" s="37">
        <f>'Calculation Sheet'!N2774</f>
        <v>960</v>
      </c>
    </row>
    <row r="2775" spans="1:8" x14ac:dyDescent="0.25">
      <c r="A2775" s="14" t="s">
        <v>2569</v>
      </c>
      <c r="B2775" s="14">
        <v>5</v>
      </c>
      <c r="C2775" s="15" t="s">
        <v>2570</v>
      </c>
      <c r="D2775" s="14" t="s">
        <v>1745</v>
      </c>
      <c r="E2775" s="14" t="s">
        <v>1747</v>
      </c>
      <c r="F2775" s="14">
        <v>12000</v>
      </c>
      <c r="G2775" s="14">
        <v>9600</v>
      </c>
      <c r="H2775" s="37">
        <f>'Calculation Sheet'!N2775</f>
        <v>9600</v>
      </c>
    </row>
    <row r="2776" spans="1:8" x14ac:dyDescent="0.25">
      <c r="A2776" s="14" t="s">
        <v>739</v>
      </c>
      <c r="B2776" s="14" t="s">
        <v>73</v>
      </c>
      <c r="C2776" s="15" t="s">
        <v>2571</v>
      </c>
      <c r="D2776" s="14" t="s">
        <v>1745</v>
      </c>
      <c r="E2776" s="14" t="s">
        <v>1746</v>
      </c>
      <c r="F2776" s="14">
        <v>0</v>
      </c>
      <c r="G2776" s="14">
        <v>0</v>
      </c>
      <c r="H2776" s="37">
        <f>'Calculation Sheet'!N2776</f>
        <v>0</v>
      </c>
    </row>
    <row r="2777" spans="1:8" x14ac:dyDescent="0.25">
      <c r="A2777" s="14" t="s">
        <v>739</v>
      </c>
      <c r="B2777" s="14">
        <v>1</v>
      </c>
      <c r="C2777" s="15" t="s">
        <v>2572</v>
      </c>
      <c r="D2777" s="14" t="s">
        <v>1745</v>
      </c>
      <c r="E2777" s="14" t="s">
        <v>1747</v>
      </c>
      <c r="F2777" s="14">
        <v>0</v>
      </c>
      <c r="G2777" s="14">
        <v>0</v>
      </c>
      <c r="H2777" s="37">
        <f>'Calculation Sheet'!N2777</f>
        <v>0</v>
      </c>
    </row>
    <row r="2778" spans="1:8" x14ac:dyDescent="0.25">
      <c r="A2778" s="14" t="s">
        <v>739</v>
      </c>
      <c r="B2778" s="14" t="s">
        <v>73</v>
      </c>
      <c r="C2778" s="15" t="s">
        <v>2571</v>
      </c>
      <c r="D2778" s="14" t="s">
        <v>1749</v>
      </c>
      <c r="E2778" s="14" t="s">
        <v>1746</v>
      </c>
      <c r="F2778" s="14">
        <v>0</v>
      </c>
      <c r="G2778" s="14">
        <v>0</v>
      </c>
      <c r="H2778" s="37">
        <f>'Calculation Sheet'!N2778</f>
        <v>0</v>
      </c>
    </row>
    <row r="2779" spans="1:8" x14ac:dyDescent="0.25">
      <c r="A2779" s="14" t="s">
        <v>739</v>
      </c>
      <c r="B2779" s="14" t="s">
        <v>73</v>
      </c>
      <c r="C2779" s="15" t="s">
        <v>2571</v>
      </c>
      <c r="D2779" s="14" t="s">
        <v>1745</v>
      </c>
      <c r="E2779" s="14" t="s">
        <v>1747</v>
      </c>
      <c r="F2779" s="14">
        <v>0</v>
      </c>
      <c r="G2779" s="14">
        <v>0</v>
      </c>
      <c r="H2779" s="37">
        <f>'Calculation Sheet'!N2779</f>
        <v>0</v>
      </c>
    </row>
    <row r="2780" spans="1:8" x14ac:dyDescent="0.25">
      <c r="A2780" s="14" t="s">
        <v>739</v>
      </c>
      <c r="B2780" s="14" t="s">
        <v>34</v>
      </c>
      <c r="C2780" s="15" t="s">
        <v>2573</v>
      </c>
      <c r="D2780" s="14" t="s">
        <v>1745</v>
      </c>
      <c r="E2780" s="14" t="s">
        <v>1747</v>
      </c>
      <c r="F2780" s="14">
        <v>0</v>
      </c>
      <c r="G2780" s="14">
        <v>0</v>
      </c>
      <c r="H2780" s="37">
        <f>'Calculation Sheet'!N2780</f>
        <v>0</v>
      </c>
    </row>
    <row r="2781" spans="1:8" x14ac:dyDescent="0.25">
      <c r="A2781" s="14" t="s">
        <v>739</v>
      </c>
      <c r="B2781" s="14" t="s">
        <v>34</v>
      </c>
      <c r="C2781" s="15" t="s">
        <v>2573</v>
      </c>
      <c r="D2781" s="14" t="s">
        <v>1745</v>
      </c>
      <c r="E2781" s="14" t="s">
        <v>1746</v>
      </c>
      <c r="F2781" s="14">
        <v>0</v>
      </c>
      <c r="G2781" s="14">
        <v>0</v>
      </c>
      <c r="H2781" s="37">
        <f>'Calculation Sheet'!N2781</f>
        <v>0</v>
      </c>
    </row>
    <row r="2782" spans="1:8" x14ac:dyDescent="0.25">
      <c r="A2782" s="14" t="s">
        <v>739</v>
      </c>
      <c r="B2782" s="14">
        <v>1</v>
      </c>
      <c r="C2782" s="15" t="s">
        <v>2572</v>
      </c>
      <c r="D2782" s="14" t="s">
        <v>1749</v>
      </c>
      <c r="E2782" s="14" t="s">
        <v>1746</v>
      </c>
      <c r="F2782" s="14">
        <v>0</v>
      </c>
      <c r="G2782" s="14">
        <v>0</v>
      </c>
      <c r="H2782" s="37">
        <f>'Calculation Sheet'!N2782</f>
        <v>0</v>
      </c>
    </row>
    <row r="2783" spans="1:8" x14ac:dyDescent="0.25">
      <c r="A2783" s="14" t="s">
        <v>739</v>
      </c>
      <c r="B2783" s="14">
        <v>1</v>
      </c>
      <c r="C2783" s="15" t="s">
        <v>2572</v>
      </c>
      <c r="D2783" s="14" t="s">
        <v>1745</v>
      </c>
      <c r="E2783" s="14" t="s">
        <v>1746</v>
      </c>
      <c r="F2783" s="14">
        <v>0</v>
      </c>
      <c r="G2783" s="14">
        <v>0</v>
      </c>
      <c r="H2783" s="37">
        <f>'Calculation Sheet'!N2783</f>
        <v>0</v>
      </c>
    </row>
    <row r="2784" spans="1:8" x14ac:dyDescent="0.25">
      <c r="A2784" s="14" t="s">
        <v>739</v>
      </c>
      <c r="B2784" s="14" t="s">
        <v>34</v>
      </c>
      <c r="C2784" s="15" t="s">
        <v>2573</v>
      </c>
      <c r="D2784" s="14" t="s">
        <v>1749</v>
      </c>
      <c r="E2784" s="14" t="s">
        <v>1746</v>
      </c>
      <c r="F2784" s="14">
        <v>0</v>
      </c>
      <c r="G2784" s="14">
        <v>0</v>
      </c>
      <c r="H2784" s="37">
        <f>'Calculation Sheet'!N2784</f>
        <v>0</v>
      </c>
    </row>
    <row r="2785" spans="1:8" x14ac:dyDescent="0.25">
      <c r="A2785" s="14" t="s">
        <v>722</v>
      </c>
      <c r="B2785" s="14" t="s">
        <v>29</v>
      </c>
      <c r="C2785" s="15" t="s">
        <v>2574</v>
      </c>
      <c r="D2785" s="14" t="s">
        <v>1745</v>
      </c>
      <c r="E2785" s="14" t="s">
        <v>1746</v>
      </c>
      <c r="F2785" s="14">
        <v>3087</v>
      </c>
      <c r="G2785" s="14">
        <v>2778.36</v>
      </c>
      <c r="H2785" s="37">
        <f>'Calculation Sheet'!N2785</f>
        <v>2750.5763999999999</v>
      </c>
    </row>
    <row r="2786" spans="1:8" x14ac:dyDescent="0.25">
      <c r="A2786" s="14" t="s">
        <v>722</v>
      </c>
      <c r="B2786" s="14" t="s">
        <v>263</v>
      </c>
      <c r="C2786" s="15" t="s">
        <v>735</v>
      </c>
      <c r="D2786" s="14" t="s">
        <v>1745</v>
      </c>
      <c r="E2786" s="14" t="s">
        <v>1746</v>
      </c>
      <c r="F2786" s="14">
        <v>5229</v>
      </c>
      <c r="G2786" s="14">
        <v>4183.2</v>
      </c>
      <c r="H2786" s="37">
        <f>'Calculation Sheet'!N2786</f>
        <v>4141.3679999999995</v>
      </c>
    </row>
    <row r="2787" spans="1:8" x14ac:dyDescent="0.25">
      <c r="A2787" s="14" t="s">
        <v>722</v>
      </c>
      <c r="B2787" s="14" t="s">
        <v>195</v>
      </c>
      <c r="C2787" s="15" t="s">
        <v>2575</v>
      </c>
      <c r="D2787" s="14" t="s">
        <v>1745</v>
      </c>
      <c r="E2787" s="14" t="s">
        <v>1746</v>
      </c>
      <c r="F2787" s="14">
        <v>2331</v>
      </c>
      <c r="G2787" s="14">
        <v>1864.8</v>
      </c>
      <c r="H2787" s="37">
        <f>'Calculation Sheet'!N2787</f>
        <v>1846.152</v>
      </c>
    </row>
    <row r="2788" spans="1:8" x14ac:dyDescent="0.25">
      <c r="A2788" s="14" t="s">
        <v>722</v>
      </c>
      <c r="B2788" s="14" t="s">
        <v>36</v>
      </c>
      <c r="C2788" s="15" t="s">
        <v>2576</v>
      </c>
      <c r="D2788" s="14" t="s">
        <v>1745</v>
      </c>
      <c r="E2788" s="14" t="s">
        <v>1746</v>
      </c>
      <c r="F2788" s="14">
        <v>3150</v>
      </c>
      <c r="G2788" s="14">
        <v>2520</v>
      </c>
      <c r="H2788" s="37">
        <f>'Calculation Sheet'!N2788</f>
        <v>2494.8000000000002</v>
      </c>
    </row>
    <row r="2789" spans="1:8" x14ac:dyDescent="0.25">
      <c r="A2789" s="14" t="s">
        <v>722</v>
      </c>
      <c r="B2789" s="14" t="s">
        <v>195</v>
      </c>
      <c r="C2789" s="15" t="s">
        <v>2575</v>
      </c>
      <c r="D2789" s="14" t="s">
        <v>1749</v>
      </c>
      <c r="E2789" s="14" t="s">
        <v>1746</v>
      </c>
      <c r="F2789" s="14">
        <v>222</v>
      </c>
      <c r="G2789" s="14">
        <v>177.6</v>
      </c>
      <c r="H2789" s="37">
        <f>'Calculation Sheet'!N2789</f>
        <v>175.82399999999998</v>
      </c>
    </row>
    <row r="2790" spans="1:8" x14ac:dyDescent="0.25">
      <c r="A2790" s="14" t="s">
        <v>722</v>
      </c>
      <c r="B2790" s="14">
        <v>1</v>
      </c>
      <c r="C2790" s="15" t="s">
        <v>721</v>
      </c>
      <c r="D2790" s="14" t="s">
        <v>1745</v>
      </c>
      <c r="E2790" s="14" t="s">
        <v>1747</v>
      </c>
      <c r="F2790" s="14">
        <v>7380</v>
      </c>
      <c r="G2790" s="14">
        <v>5904</v>
      </c>
      <c r="H2790" s="37">
        <f>'Calculation Sheet'!N2790</f>
        <v>5726.88</v>
      </c>
    </row>
    <row r="2791" spans="1:8" x14ac:dyDescent="0.25">
      <c r="A2791" s="14" t="s">
        <v>722</v>
      </c>
      <c r="B2791" s="14" t="s">
        <v>29</v>
      </c>
      <c r="C2791" s="15" t="s">
        <v>2574</v>
      </c>
      <c r="D2791" s="14" t="s">
        <v>1745</v>
      </c>
      <c r="E2791" s="14" t="s">
        <v>1747</v>
      </c>
      <c r="F2791" s="14">
        <v>2940</v>
      </c>
      <c r="G2791" s="14">
        <v>2646</v>
      </c>
      <c r="H2791" s="37">
        <f>'Calculation Sheet'!N2791</f>
        <v>2566.62</v>
      </c>
    </row>
    <row r="2792" spans="1:8" x14ac:dyDescent="0.25">
      <c r="A2792" s="14" t="s">
        <v>722</v>
      </c>
      <c r="B2792" s="14" t="s">
        <v>29</v>
      </c>
      <c r="C2792" s="15" t="s">
        <v>2574</v>
      </c>
      <c r="D2792" s="14" t="s">
        <v>1749</v>
      </c>
      <c r="E2792" s="14" t="s">
        <v>1746</v>
      </c>
      <c r="F2792" s="14">
        <v>294</v>
      </c>
      <c r="G2792" s="14">
        <v>264.60000000000002</v>
      </c>
      <c r="H2792" s="37">
        <f>'Calculation Sheet'!N2792</f>
        <v>261.95400000000001</v>
      </c>
    </row>
    <row r="2793" spans="1:8" x14ac:dyDescent="0.25">
      <c r="A2793" s="14" t="s">
        <v>722</v>
      </c>
      <c r="B2793" s="14">
        <v>1</v>
      </c>
      <c r="C2793" s="15" t="s">
        <v>721</v>
      </c>
      <c r="D2793" s="14" t="s">
        <v>1745</v>
      </c>
      <c r="E2793" s="14" t="s">
        <v>1746</v>
      </c>
      <c r="F2793" s="14">
        <v>7749</v>
      </c>
      <c r="G2793" s="14">
        <v>6199.2</v>
      </c>
      <c r="H2793" s="37">
        <f>'Calculation Sheet'!N2793</f>
        <v>6137.2079999999996</v>
      </c>
    </row>
    <row r="2794" spans="1:8" x14ac:dyDescent="0.25">
      <c r="A2794" s="14" t="s">
        <v>722</v>
      </c>
      <c r="B2794" s="14" t="s">
        <v>263</v>
      </c>
      <c r="C2794" s="15" t="s">
        <v>735</v>
      </c>
      <c r="D2794" s="14" t="s">
        <v>1745</v>
      </c>
      <c r="E2794" s="14" t="s">
        <v>1747</v>
      </c>
      <c r="F2794" s="14">
        <v>4980</v>
      </c>
      <c r="G2794" s="14">
        <v>3984</v>
      </c>
      <c r="H2794" s="37">
        <f>'Calculation Sheet'!N2794</f>
        <v>3864.48</v>
      </c>
    </row>
    <row r="2795" spans="1:8" x14ac:dyDescent="0.25">
      <c r="A2795" s="14" t="s">
        <v>722</v>
      </c>
      <c r="B2795" s="14" t="s">
        <v>263</v>
      </c>
      <c r="C2795" s="15" t="s">
        <v>735</v>
      </c>
      <c r="D2795" s="14" t="s">
        <v>1749</v>
      </c>
      <c r="E2795" s="14" t="s">
        <v>1746</v>
      </c>
      <c r="F2795" s="14">
        <v>498</v>
      </c>
      <c r="G2795" s="14">
        <v>398.4</v>
      </c>
      <c r="H2795" s="37">
        <f>'Calculation Sheet'!N2795</f>
        <v>394.416</v>
      </c>
    </row>
    <row r="2796" spans="1:8" x14ac:dyDescent="0.25">
      <c r="A2796" s="14" t="s">
        <v>722</v>
      </c>
      <c r="B2796" s="14" t="s">
        <v>36</v>
      </c>
      <c r="C2796" s="15" t="s">
        <v>2576</v>
      </c>
      <c r="D2796" s="14" t="s">
        <v>1745</v>
      </c>
      <c r="E2796" s="14" t="s">
        <v>1747</v>
      </c>
      <c r="F2796" s="14">
        <v>3000</v>
      </c>
      <c r="G2796" s="14">
        <v>2400</v>
      </c>
      <c r="H2796" s="37">
        <f>'Calculation Sheet'!N2796</f>
        <v>2328</v>
      </c>
    </row>
    <row r="2797" spans="1:8" x14ac:dyDescent="0.25">
      <c r="A2797" s="14" t="s">
        <v>722</v>
      </c>
      <c r="B2797" s="14">
        <v>1</v>
      </c>
      <c r="C2797" s="15" t="s">
        <v>721</v>
      </c>
      <c r="D2797" s="14" t="s">
        <v>1749</v>
      </c>
      <c r="E2797" s="14" t="s">
        <v>1746</v>
      </c>
      <c r="F2797" s="14">
        <v>738</v>
      </c>
      <c r="G2797" s="14">
        <v>590.4</v>
      </c>
      <c r="H2797" s="37">
        <f>'Calculation Sheet'!N2797</f>
        <v>584.49599999999998</v>
      </c>
    </row>
    <row r="2798" spans="1:8" x14ac:dyDescent="0.25">
      <c r="A2798" s="14" t="s">
        <v>722</v>
      </c>
      <c r="B2798" s="14" t="s">
        <v>195</v>
      </c>
      <c r="C2798" s="15" t="s">
        <v>2575</v>
      </c>
      <c r="D2798" s="14" t="s">
        <v>1745</v>
      </c>
      <c r="E2798" s="14" t="s">
        <v>1747</v>
      </c>
      <c r="F2798" s="14">
        <v>2220</v>
      </c>
      <c r="G2798" s="14">
        <v>1776</v>
      </c>
      <c r="H2798" s="37">
        <f>'Calculation Sheet'!N2798</f>
        <v>1722.72</v>
      </c>
    </row>
    <row r="2799" spans="1:8" x14ac:dyDescent="0.25">
      <c r="A2799" s="14" t="s">
        <v>722</v>
      </c>
      <c r="B2799" s="14" t="s">
        <v>36</v>
      </c>
      <c r="C2799" s="15" t="s">
        <v>2576</v>
      </c>
      <c r="D2799" s="14" t="s">
        <v>1749</v>
      </c>
      <c r="E2799" s="14" t="s">
        <v>1746</v>
      </c>
      <c r="F2799" s="14">
        <v>300</v>
      </c>
      <c r="G2799" s="14">
        <v>240</v>
      </c>
      <c r="H2799" s="37">
        <f>'Calculation Sheet'!N2799</f>
        <v>237.6</v>
      </c>
    </row>
    <row r="2800" spans="1:8" x14ac:dyDescent="0.25">
      <c r="A2800" s="14" t="s">
        <v>1084</v>
      </c>
      <c r="B2800" s="14">
        <v>3</v>
      </c>
      <c r="C2800" s="15" t="s">
        <v>1088</v>
      </c>
      <c r="D2800" s="14" t="s">
        <v>1745</v>
      </c>
      <c r="E2800" s="14" t="s">
        <v>1747</v>
      </c>
      <c r="F2800" s="14">
        <v>12960</v>
      </c>
      <c r="G2800" s="14">
        <v>10368</v>
      </c>
      <c r="H2800" s="37">
        <f>'Calculation Sheet'!N2800</f>
        <v>10056.959999999999</v>
      </c>
    </row>
    <row r="2801" spans="1:8" x14ac:dyDescent="0.25">
      <c r="A2801" s="14" t="s">
        <v>1084</v>
      </c>
      <c r="B2801" s="14">
        <v>3</v>
      </c>
      <c r="C2801" s="15" t="s">
        <v>1088</v>
      </c>
      <c r="D2801" s="14" t="s">
        <v>1745</v>
      </c>
      <c r="E2801" s="14" t="s">
        <v>1746</v>
      </c>
      <c r="F2801" s="14">
        <v>13608</v>
      </c>
      <c r="G2801" s="14">
        <v>10886.4</v>
      </c>
      <c r="H2801" s="37">
        <f>'Calculation Sheet'!N2801</f>
        <v>10777.536</v>
      </c>
    </row>
    <row r="2802" spans="1:8" x14ac:dyDescent="0.25">
      <c r="A2802" s="14" t="s">
        <v>1091</v>
      </c>
      <c r="B2802" s="14" t="s">
        <v>650</v>
      </c>
      <c r="C2802" s="15" t="s">
        <v>2577</v>
      </c>
      <c r="D2802" s="14" t="s">
        <v>1745</v>
      </c>
      <c r="E2802" s="14" t="s">
        <v>1747</v>
      </c>
      <c r="F2802" s="14">
        <v>15960</v>
      </c>
      <c r="G2802" s="14">
        <v>12768</v>
      </c>
      <c r="H2802" s="37">
        <f>'Calculation Sheet'!N2802</f>
        <v>12384.96</v>
      </c>
    </row>
    <row r="2803" spans="1:8" x14ac:dyDescent="0.25">
      <c r="A2803" s="14" t="s">
        <v>1091</v>
      </c>
      <c r="B2803" s="14">
        <v>6</v>
      </c>
      <c r="C2803" s="15" t="s">
        <v>1097</v>
      </c>
      <c r="D2803" s="14" t="s">
        <v>1752</v>
      </c>
      <c r="E2803" s="14" t="s">
        <v>1753</v>
      </c>
      <c r="F2803" s="14">
        <v>119880</v>
      </c>
      <c r="G2803" s="14">
        <v>95904</v>
      </c>
      <c r="H2803" s="37">
        <f>'Calculation Sheet'!N2803</f>
        <v>93026.880000000005</v>
      </c>
    </row>
    <row r="2804" spans="1:8" x14ac:dyDescent="0.25">
      <c r="A2804" s="14" t="s">
        <v>1091</v>
      </c>
      <c r="B2804" s="14" t="s">
        <v>55</v>
      </c>
      <c r="C2804" s="15" t="s">
        <v>2578</v>
      </c>
      <c r="D2804" s="14" t="s">
        <v>1745</v>
      </c>
      <c r="E2804" s="14" t="s">
        <v>1746</v>
      </c>
      <c r="F2804" s="14">
        <v>10458</v>
      </c>
      <c r="G2804" s="14">
        <v>9412.2000000000007</v>
      </c>
      <c r="H2804" s="37">
        <f>'Calculation Sheet'!N2804</f>
        <v>9318.0780000000013</v>
      </c>
    </row>
    <row r="2805" spans="1:8" x14ac:dyDescent="0.25">
      <c r="A2805" s="14" t="s">
        <v>1091</v>
      </c>
      <c r="B2805" s="14">
        <v>6</v>
      </c>
      <c r="C2805" s="15" t="s">
        <v>1097</v>
      </c>
      <c r="D2805" s="14" t="s">
        <v>1745</v>
      </c>
      <c r="E2805" s="14" t="s">
        <v>1746</v>
      </c>
      <c r="F2805" s="14">
        <v>41958</v>
      </c>
      <c r="G2805" s="14">
        <v>33566.400000000001</v>
      </c>
      <c r="H2805" s="37">
        <f>'Calculation Sheet'!N2805</f>
        <v>33230.736000000004</v>
      </c>
    </row>
    <row r="2806" spans="1:8" x14ac:dyDescent="0.25">
      <c r="A2806" s="14" t="s">
        <v>1091</v>
      </c>
      <c r="B2806" s="14" t="s">
        <v>55</v>
      </c>
      <c r="C2806" s="15" t="s">
        <v>2578</v>
      </c>
      <c r="D2806" s="14" t="s">
        <v>1745</v>
      </c>
      <c r="E2806" s="14" t="s">
        <v>1747</v>
      </c>
      <c r="F2806" s="14">
        <v>9960</v>
      </c>
      <c r="G2806" s="14">
        <v>8964</v>
      </c>
      <c r="H2806" s="37">
        <f>'Calculation Sheet'!N2806</f>
        <v>8695.08</v>
      </c>
    </row>
    <row r="2807" spans="1:8" x14ac:dyDescent="0.25">
      <c r="A2807" s="14" t="s">
        <v>1091</v>
      </c>
      <c r="B2807" s="14" t="s">
        <v>55</v>
      </c>
      <c r="C2807" s="15" t="s">
        <v>2578</v>
      </c>
      <c r="D2807" s="14" t="s">
        <v>1749</v>
      </c>
      <c r="E2807" s="14" t="s">
        <v>1746</v>
      </c>
      <c r="F2807" s="14">
        <v>996</v>
      </c>
      <c r="G2807" s="14">
        <v>896.4</v>
      </c>
      <c r="H2807" s="37">
        <f>'Calculation Sheet'!N2807</f>
        <v>887.43599999999992</v>
      </c>
    </row>
    <row r="2808" spans="1:8" x14ac:dyDescent="0.25">
      <c r="A2808" s="14" t="s">
        <v>1091</v>
      </c>
      <c r="B2808" s="14">
        <v>6</v>
      </c>
      <c r="C2808" s="15" t="s">
        <v>1097</v>
      </c>
      <c r="D2808" s="14" t="s">
        <v>1752</v>
      </c>
      <c r="E2808" s="14" t="s">
        <v>1747</v>
      </c>
      <c r="F2808" s="14">
        <v>119880</v>
      </c>
      <c r="G2808" s="14">
        <v>95904</v>
      </c>
      <c r="H2808" s="37">
        <f>'Calculation Sheet'!N2808</f>
        <v>93026.880000000005</v>
      </c>
    </row>
    <row r="2809" spans="1:8" x14ac:dyDescent="0.25">
      <c r="A2809" s="14" t="s">
        <v>1091</v>
      </c>
      <c r="B2809" s="14">
        <v>6</v>
      </c>
      <c r="C2809" s="15" t="s">
        <v>1097</v>
      </c>
      <c r="D2809" s="14" t="s">
        <v>1749</v>
      </c>
      <c r="E2809" s="14" t="s">
        <v>1746</v>
      </c>
      <c r="F2809" s="14">
        <v>3996</v>
      </c>
      <c r="G2809" s="14">
        <v>3196.8</v>
      </c>
      <c r="H2809" s="37">
        <f>'Calculation Sheet'!N2809</f>
        <v>3164.8320000000003</v>
      </c>
    </row>
    <row r="2810" spans="1:8" x14ac:dyDescent="0.25">
      <c r="A2810" s="14" t="s">
        <v>1091</v>
      </c>
      <c r="B2810" s="14">
        <v>6</v>
      </c>
      <c r="C2810" s="15" t="s">
        <v>1097</v>
      </c>
      <c r="D2810" s="14" t="s">
        <v>1745</v>
      </c>
      <c r="E2810" s="14" t="s">
        <v>1747</v>
      </c>
      <c r="F2810" s="14">
        <v>39960</v>
      </c>
      <c r="G2810" s="14">
        <v>31968</v>
      </c>
      <c r="H2810" s="37">
        <f>'Calculation Sheet'!N2810</f>
        <v>31008.959999999999</v>
      </c>
    </row>
    <row r="2811" spans="1:8" x14ac:dyDescent="0.25">
      <c r="A2811" s="14" t="s">
        <v>1091</v>
      </c>
      <c r="B2811" s="14">
        <v>2</v>
      </c>
      <c r="C2811" s="15" t="s">
        <v>1097</v>
      </c>
      <c r="D2811" s="14" t="s">
        <v>1749</v>
      </c>
      <c r="E2811" s="14" t="s">
        <v>1766</v>
      </c>
      <c r="F2811" s="14">
        <v>0</v>
      </c>
      <c r="G2811" s="14">
        <v>0</v>
      </c>
      <c r="H2811" s="37">
        <f>'Calculation Sheet'!N2811</f>
        <v>0</v>
      </c>
    </row>
    <row r="2812" spans="1:8" x14ac:dyDescent="0.25">
      <c r="A2812" s="14" t="s">
        <v>1091</v>
      </c>
      <c r="B2812" s="14" t="s">
        <v>650</v>
      </c>
      <c r="C2812" s="15" t="s">
        <v>2577</v>
      </c>
      <c r="D2812" s="14" t="s">
        <v>1745</v>
      </c>
      <c r="E2812" s="14" t="s">
        <v>1746</v>
      </c>
      <c r="F2812" s="14">
        <v>16758</v>
      </c>
      <c r="G2812" s="14">
        <v>13406.4</v>
      </c>
      <c r="H2812" s="37">
        <f>'Calculation Sheet'!N2812</f>
        <v>13272.335999999999</v>
      </c>
    </row>
    <row r="2813" spans="1:8" x14ac:dyDescent="0.25">
      <c r="A2813" s="14" t="s">
        <v>1091</v>
      </c>
      <c r="B2813" s="14" t="s">
        <v>650</v>
      </c>
      <c r="C2813" s="15" t="s">
        <v>2577</v>
      </c>
      <c r="D2813" s="14" t="s">
        <v>1749</v>
      </c>
      <c r="E2813" s="14" t="s">
        <v>1746</v>
      </c>
      <c r="F2813" s="14">
        <v>1596</v>
      </c>
      <c r="G2813" s="14">
        <v>1276.8</v>
      </c>
      <c r="H2813" s="37">
        <f>'Calculation Sheet'!N2813</f>
        <v>1264.0319999999999</v>
      </c>
    </row>
    <row r="2814" spans="1:8" x14ac:dyDescent="0.25">
      <c r="A2814" s="14" t="s">
        <v>1107</v>
      </c>
      <c r="B2814" s="14" t="s">
        <v>28</v>
      </c>
      <c r="C2814" s="15" t="s">
        <v>2579</v>
      </c>
      <c r="D2814" s="14" t="s">
        <v>1745</v>
      </c>
      <c r="E2814" s="14" t="s">
        <v>1746</v>
      </c>
      <c r="F2814" s="14">
        <v>3150</v>
      </c>
      <c r="G2814" s="14">
        <v>2520</v>
      </c>
      <c r="H2814" s="37">
        <f>'Calculation Sheet'!N2814</f>
        <v>2494.8000000000002</v>
      </c>
    </row>
    <row r="2815" spans="1:8" x14ac:dyDescent="0.25">
      <c r="A2815" s="14" t="s">
        <v>1107</v>
      </c>
      <c r="B2815" s="14">
        <v>1</v>
      </c>
      <c r="C2815" s="15" t="s">
        <v>2580</v>
      </c>
      <c r="D2815" s="14" t="s">
        <v>1745</v>
      </c>
      <c r="E2815" s="14" t="s">
        <v>1747</v>
      </c>
      <c r="F2815" s="14">
        <v>7980</v>
      </c>
      <c r="G2815" s="14">
        <v>6384</v>
      </c>
      <c r="H2815" s="37">
        <f>'Calculation Sheet'!N2815</f>
        <v>6192.48</v>
      </c>
    </row>
    <row r="2816" spans="1:8" x14ac:dyDescent="0.25">
      <c r="A2816" s="14" t="s">
        <v>1107</v>
      </c>
      <c r="B2816" s="14" t="s">
        <v>183</v>
      </c>
      <c r="C2816" s="15" t="s">
        <v>2581</v>
      </c>
      <c r="D2816" s="14" t="s">
        <v>1745</v>
      </c>
      <c r="E2816" s="14" t="s">
        <v>1746</v>
      </c>
      <c r="F2816" s="14">
        <v>0</v>
      </c>
      <c r="G2816" s="14">
        <v>0</v>
      </c>
      <c r="H2816" s="37">
        <f>'Calculation Sheet'!N2816</f>
        <v>0</v>
      </c>
    </row>
    <row r="2817" spans="1:8" x14ac:dyDescent="0.25">
      <c r="A2817" s="14" t="s">
        <v>1107</v>
      </c>
      <c r="B2817" s="14" t="s">
        <v>39</v>
      </c>
      <c r="C2817" s="15" t="s">
        <v>2582</v>
      </c>
      <c r="D2817" s="14" t="s">
        <v>1745</v>
      </c>
      <c r="E2817" s="14" t="s">
        <v>1746</v>
      </c>
      <c r="F2817" s="14">
        <v>2331</v>
      </c>
      <c r="G2817" s="14">
        <v>1864.8</v>
      </c>
      <c r="H2817" s="37">
        <f>'Calculation Sheet'!N2817</f>
        <v>1846.152</v>
      </c>
    </row>
    <row r="2818" spans="1:8" x14ac:dyDescent="0.25">
      <c r="A2818" s="14" t="s">
        <v>1107</v>
      </c>
      <c r="B2818" s="14" t="s">
        <v>28</v>
      </c>
      <c r="C2818" s="15" t="s">
        <v>2579</v>
      </c>
      <c r="D2818" s="14" t="s">
        <v>1745</v>
      </c>
      <c r="E2818" s="14" t="s">
        <v>1747</v>
      </c>
      <c r="F2818" s="14">
        <v>3000</v>
      </c>
      <c r="G2818" s="14">
        <v>2400</v>
      </c>
      <c r="H2818" s="37">
        <f>'Calculation Sheet'!N2818</f>
        <v>2328</v>
      </c>
    </row>
    <row r="2819" spans="1:8" x14ac:dyDescent="0.25">
      <c r="A2819" s="14" t="s">
        <v>1107</v>
      </c>
      <c r="B2819" s="14">
        <v>25</v>
      </c>
      <c r="C2819" s="15" t="s">
        <v>2583</v>
      </c>
      <c r="D2819" s="14" t="s">
        <v>1745</v>
      </c>
      <c r="E2819" s="14" t="s">
        <v>1746</v>
      </c>
      <c r="F2819" s="14">
        <v>0</v>
      </c>
      <c r="G2819" s="14">
        <v>0</v>
      </c>
      <c r="H2819" s="37">
        <f>'Calculation Sheet'!N2819</f>
        <v>0</v>
      </c>
    </row>
    <row r="2820" spans="1:8" x14ac:dyDescent="0.25">
      <c r="A2820" s="14" t="s">
        <v>1107</v>
      </c>
      <c r="B2820" s="14">
        <v>1</v>
      </c>
      <c r="C2820" s="15" t="s">
        <v>2580</v>
      </c>
      <c r="D2820" s="14" t="s">
        <v>1745</v>
      </c>
      <c r="E2820" s="14" t="s">
        <v>1746</v>
      </c>
      <c r="F2820" s="14">
        <v>8379</v>
      </c>
      <c r="G2820" s="14">
        <v>6703.2</v>
      </c>
      <c r="H2820" s="37">
        <f>'Calculation Sheet'!N2820</f>
        <v>6636.1679999999997</v>
      </c>
    </row>
    <row r="2821" spans="1:8" x14ac:dyDescent="0.25">
      <c r="A2821" s="14" t="s">
        <v>1107</v>
      </c>
      <c r="B2821" s="14" t="s">
        <v>32</v>
      </c>
      <c r="C2821" s="15" t="s">
        <v>2584</v>
      </c>
      <c r="D2821" s="14" t="s">
        <v>1749</v>
      </c>
      <c r="E2821" s="14" t="s">
        <v>1746</v>
      </c>
      <c r="F2821" s="14">
        <v>318</v>
      </c>
      <c r="G2821" s="14">
        <v>286.2</v>
      </c>
      <c r="H2821" s="37">
        <f>'Calculation Sheet'!N2821</f>
        <v>283.33799999999997</v>
      </c>
    </row>
    <row r="2822" spans="1:8" x14ac:dyDescent="0.25">
      <c r="A2822" s="14" t="s">
        <v>1107</v>
      </c>
      <c r="B2822" s="14">
        <v>26</v>
      </c>
      <c r="C2822" s="15" t="s">
        <v>1115</v>
      </c>
      <c r="D2822" s="14" t="s">
        <v>1745</v>
      </c>
      <c r="E2822" s="14" t="s">
        <v>1747</v>
      </c>
      <c r="F2822" s="14">
        <v>0</v>
      </c>
      <c r="G2822" s="14">
        <v>0</v>
      </c>
      <c r="H2822" s="37">
        <f>'Calculation Sheet'!N2822</f>
        <v>0</v>
      </c>
    </row>
    <row r="2823" spans="1:8" x14ac:dyDescent="0.25">
      <c r="A2823" s="14" t="s">
        <v>1107</v>
      </c>
      <c r="B2823" s="14" t="s">
        <v>329</v>
      </c>
      <c r="C2823" s="15" t="s">
        <v>2585</v>
      </c>
      <c r="D2823" s="14" t="s">
        <v>1745</v>
      </c>
      <c r="E2823" s="14" t="s">
        <v>1747</v>
      </c>
      <c r="F2823" s="14">
        <v>0</v>
      </c>
      <c r="G2823" s="14">
        <v>0</v>
      </c>
      <c r="H2823" s="37">
        <f>'Calculation Sheet'!N2823</f>
        <v>0</v>
      </c>
    </row>
    <row r="2824" spans="1:8" x14ac:dyDescent="0.25">
      <c r="A2824" s="14" t="s">
        <v>1107</v>
      </c>
      <c r="B2824" s="14">
        <v>25</v>
      </c>
      <c r="C2824" s="15" t="s">
        <v>2583</v>
      </c>
      <c r="D2824" s="14" t="s">
        <v>1749</v>
      </c>
      <c r="E2824" s="14" t="s">
        <v>1746</v>
      </c>
      <c r="F2824" s="14">
        <v>0</v>
      </c>
      <c r="G2824" s="14">
        <v>0</v>
      </c>
      <c r="H2824" s="37">
        <f>'Calculation Sheet'!N2824</f>
        <v>0</v>
      </c>
    </row>
    <row r="2825" spans="1:8" x14ac:dyDescent="0.25">
      <c r="A2825" s="14" t="s">
        <v>1107</v>
      </c>
      <c r="B2825" s="14" t="s">
        <v>329</v>
      </c>
      <c r="C2825" s="15" t="s">
        <v>2585</v>
      </c>
      <c r="D2825" s="14" t="s">
        <v>1745</v>
      </c>
      <c r="E2825" s="14" t="s">
        <v>1746</v>
      </c>
      <c r="F2825" s="14">
        <v>0</v>
      </c>
      <c r="G2825" s="14">
        <v>0</v>
      </c>
      <c r="H2825" s="37">
        <f>'Calculation Sheet'!N2825</f>
        <v>0</v>
      </c>
    </row>
    <row r="2826" spans="1:8" x14ac:dyDescent="0.25">
      <c r="A2826" s="14" t="s">
        <v>1107</v>
      </c>
      <c r="B2826" s="14">
        <v>26</v>
      </c>
      <c r="C2826" s="15" t="s">
        <v>1115</v>
      </c>
      <c r="D2826" s="14" t="s">
        <v>1749</v>
      </c>
      <c r="E2826" s="14" t="s">
        <v>1746</v>
      </c>
      <c r="F2826" s="14">
        <v>0</v>
      </c>
      <c r="G2826" s="14">
        <v>0</v>
      </c>
      <c r="H2826" s="37">
        <f>'Calculation Sheet'!N2826</f>
        <v>0</v>
      </c>
    </row>
    <row r="2827" spans="1:8" x14ac:dyDescent="0.25">
      <c r="A2827" s="14" t="s">
        <v>1107</v>
      </c>
      <c r="B2827" s="14" t="s">
        <v>183</v>
      </c>
      <c r="C2827" s="15" t="s">
        <v>2581</v>
      </c>
      <c r="D2827" s="14" t="s">
        <v>1749</v>
      </c>
      <c r="E2827" s="14" t="s">
        <v>1746</v>
      </c>
      <c r="F2827" s="14">
        <v>0</v>
      </c>
      <c r="G2827" s="14">
        <v>0</v>
      </c>
      <c r="H2827" s="37">
        <f>'Calculation Sheet'!N2827</f>
        <v>0</v>
      </c>
    </row>
    <row r="2828" spans="1:8" x14ac:dyDescent="0.25">
      <c r="A2828" s="14" t="s">
        <v>1107</v>
      </c>
      <c r="B2828" s="14" t="s">
        <v>32</v>
      </c>
      <c r="C2828" s="15" t="s">
        <v>2584</v>
      </c>
      <c r="D2828" s="14" t="s">
        <v>1745</v>
      </c>
      <c r="E2828" s="14" t="s">
        <v>1746</v>
      </c>
      <c r="F2828" s="14">
        <v>3339</v>
      </c>
      <c r="G2828" s="14">
        <v>3005.16</v>
      </c>
      <c r="H2828" s="37">
        <f>'Calculation Sheet'!N2828</f>
        <v>2975.1084000000001</v>
      </c>
    </row>
    <row r="2829" spans="1:8" x14ac:dyDescent="0.25">
      <c r="A2829" s="14" t="s">
        <v>1107</v>
      </c>
      <c r="B2829" s="14" t="s">
        <v>39</v>
      </c>
      <c r="C2829" s="15" t="s">
        <v>2582</v>
      </c>
      <c r="D2829" s="14" t="s">
        <v>1745</v>
      </c>
      <c r="E2829" s="14" t="s">
        <v>1747</v>
      </c>
      <c r="F2829" s="14">
        <v>2220</v>
      </c>
      <c r="G2829" s="14">
        <v>1776</v>
      </c>
      <c r="H2829" s="37">
        <f>'Calculation Sheet'!N2829</f>
        <v>1722.72</v>
      </c>
    </row>
    <row r="2830" spans="1:8" x14ac:dyDescent="0.25">
      <c r="A2830" s="14" t="s">
        <v>1107</v>
      </c>
      <c r="B2830" s="14" t="s">
        <v>39</v>
      </c>
      <c r="C2830" s="15" t="s">
        <v>2582</v>
      </c>
      <c r="D2830" s="14" t="s">
        <v>1749</v>
      </c>
      <c r="E2830" s="14" t="s">
        <v>1746</v>
      </c>
      <c r="F2830" s="14">
        <v>222</v>
      </c>
      <c r="G2830" s="14">
        <v>177.6</v>
      </c>
      <c r="H2830" s="37">
        <f>'Calculation Sheet'!N2830</f>
        <v>175.82399999999998</v>
      </c>
    </row>
    <row r="2831" spans="1:8" x14ac:dyDescent="0.25">
      <c r="A2831" s="14" t="s">
        <v>1107</v>
      </c>
      <c r="B2831" s="14" t="s">
        <v>32</v>
      </c>
      <c r="C2831" s="15" t="s">
        <v>2584</v>
      </c>
      <c r="D2831" s="14" t="s">
        <v>1745</v>
      </c>
      <c r="E2831" s="14" t="s">
        <v>1747</v>
      </c>
      <c r="F2831" s="14">
        <v>3180</v>
      </c>
      <c r="G2831" s="14">
        <v>2862</v>
      </c>
      <c r="H2831" s="37">
        <f>'Calculation Sheet'!N2831</f>
        <v>2776.14</v>
      </c>
    </row>
    <row r="2832" spans="1:8" x14ac:dyDescent="0.25">
      <c r="A2832" s="14" t="s">
        <v>1107</v>
      </c>
      <c r="B2832" s="14">
        <v>26</v>
      </c>
      <c r="C2832" s="15" t="s">
        <v>1115</v>
      </c>
      <c r="D2832" s="14" t="s">
        <v>1745</v>
      </c>
      <c r="E2832" s="14" t="s">
        <v>1746</v>
      </c>
      <c r="F2832" s="14">
        <v>0</v>
      </c>
      <c r="G2832" s="14">
        <v>0</v>
      </c>
      <c r="H2832" s="37">
        <f>'Calculation Sheet'!N2832</f>
        <v>0</v>
      </c>
    </row>
    <row r="2833" spans="1:8" x14ac:dyDescent="0.25">
      <c r="A2833" s="14" t="s">
        <v>1107</v>
      </c>
      <c r="B2833" s="14" t="s">
        <v>329</v>
      </c>
      <c r="C2833" s="15" t="s">
        <v>2585</v>
      </c>
      <c r="D2833" s="14" t="s">
        <v>1749</v>
      </c>
      <c r="E2833" s="14" t="s">
        <v>1746</v>
      </c>
      <c r="F2833" s="14">
        <v>0</v>
      </c>
      <c r="G2833" s="14">
        <v>0</v>
      </c>
      <c r="H2833" s="37">
        <f>'Calculation Sheet'!N2833</f>
        <v>0</v>
      </c>
    </row>
    <row r="2834" spans="1:8" x14ac:dyDescent="0.25">
      <c r="A2834" s="14" t="s">
        <v>1107</v>
      </c>
      <c r="B2834" s="14" t="s">
        <v>28</v>
      </c>
      <c r="C2834" s="15" t="s">
        <v>2579</v>
      </c>
      <c r="D2834" s="14" t="s">
        <v>1749</v>
      </c>
      <c r="E2834" s="14" t="s">
        <v>1746</v>
      </c>
      <c r="F2834" s="14">
        <v>300</v>
      </c>
      <c r="G2834" s="14">
        <v>240</v>
      </c>
      <c r="H2834" s="37">
        <f>'Calculation Sheet'!N2834</f>
        <v>237.6</v>
      </c>
    </row>
    <row r="2835" spans="1:8" x14ac:dyDescent="0.25">
      <c r="A2835" s="14" t="s">
        <v>1107</v>
      </c>
      <c r="B2835" s="14" t="s">
        <v>183</v>
      </c>
      <c r="C2835" s="15" t="s">
        <v>2581</v>
      </c>
      <c r="D2835" s="14" t="s">
        <v>1745</v>
      </c>
      <c r="E2835" s="14" t="s">
        <v>1747</v>
      </c>
      <c r="F2835" s="14">
        <v>0</v>
      </c>
      <c r="G2835" s="14">
        <v>0</v>
      </c>
      <c r="H2835" s="37">
        <f>'Calculation Sheet'!N2835</f>
        <v>0</v>
      </c>
    </row>
    <row r="2836" spans="1:8" x14ac:dyDescent="0.25">
      <c r="A2836" s="14" t="s">
        <v>1107</v>
      </c>
      <c r="B2836" s="14">
        <v>1</v>
      </c>
      <c r="C2836" s="15" t="s">
        <v>2580</v>
      </c>
      <c r="D2836" s="14" t="s">
        <v>1749</v>
      </c>
      <c r="E2836" s="14" t="s">
        <v>1746</v>
      </c>
      <c r="F2836" s="14">
        <v>798</v>
      </c>
      <c r="G2836" s="14">
        <v>638.4</v>
      </c>
      <c r="H2836" s="37">
        <f>'Calculation Sheet'!N2836</f>
        <v>632.01599999999996</v>
      </c>
    </row>
    <row r="2837" spans="1:8" x14ac:dyDescent="0.25">
      <c r="A2837" s="14" t="s">
        <v>1107</v>
      </c>
      <c r="B2837" s="14">
        <v>25</v>
      </c>
      <c r="C2837" s="15" t="s">
        <v>2583</v>
      </c>
      <c r="D2837" s="14" t="s">
        <v>1745</v>
      </c>
      <c r="E2837" s="14" t="s">
        <v>1747</v>
      </c>
      <c r="F2837" s="14">
        <v>0</v>
      </c>
      <c r="G2837" s="14">
        <v>0</v>
      </c>
      <c r="H2837" s="37">
        <f>'Calculation Sheet'!N2837</f>
        <v>0</v>
      </c>
    </row>
    <row r="2838" spans="1:8" x14ac:dyDescent="0.25">
      <c r="A2838" s="14" t="s">
        <v>1122</v>
      </c>
      <c r="B2838" s="14">
        <v>1</v>
      </c>
      <c r="C2838" s="15" t="s">
        <v>1121</v>
      </c>
      <c r="D2838" s="14" t="s">
        <v>1745</v>
      </c>
      <c r="E2838" s="14" t="s">
        <v>1746</v>
      </c>
      <c r="F2838" s="14">
        <v>2079</v>
      </c>
      <c r="G2838" s="14">
        <v>1663.2</v>
      </c>
      <c r="H2838" s="37">
        <f>'Calculation Sheet'!N2838</f>
        <v>1646.568</v>
      </c>
    </row>
    <row r="2839" spans="1:8" x14ac:dyDescent="0.25">
      <c r="A2839" s="14" t="s">
        <v>1122</v>
      </c>
      <c r="B2839" s="14">
        <v>1</v>
      </c>
      <c r="C2839" s="15" t="s">
        <v>1121</v>
      </c>
      <c r="D2839" s="14" t="s">
        <v>1745</v>
      </c>
      <c r="E2839" s="14" t="s">
        <v>1747</v>
      </c>
      <c r="F2839" s="14">
        <v>1980</v>
      </c>
      <c r="G2839" s="14">
        <v>1584</v>
      </c>
      <c r="H2839" s="37">
        <f>'Calculation Sheet'!N2839</f>
        <v>1536.48</v>
      </c>
    </row>
    <row r="2840" spans="1:8" x14ac:dyDescent="0.25">
      <c r="A2840" s="14" t="s">
        <v>1122</v>
      </c>
      <c r="B2840" s="14">
        <v>4</v>
      </c>
      <c r="C2840" s="15" t="s">
        <v>2586</v>
      </c>
      <c r="D2840" s="14" t="s">
        <v>1745</v>
      </c>
      <c r="E2840" s="14" t="s">
        <v>1746</v>
      </c>
      <c r="F2840" s="14">
        <v>524.16</v>
      </c>
      <c r="G2840" s="14">
        <v>471.72</v>
      </c>
      <c r="H2840" s="37">
        <f>'Calculation Sheet'!N2840</f>
        <v>467.00280000000004</v>
      </c>
    </row>
    <row r="2841" spans="1:8" x14ac:dyDescent="0.25">
      <c r="A2841" s="14" t="s">
        <v>1122</v>
      </c>
      <c r="B2841" s="14">
        <v>4</v>
      </c>
      <c r="C2841" s="15" t="s">
        <v>2586</v>
      </c>
      <c r="D2841" s="14" t="s">
        <v>1745</v>
      </c>
      <c r="E2841" s="14" t="s">
        <v>1747</v>
      </c>
      <c r="F2841" s="14">
        <v>499.2</v>
      </c>
      <c r="G2841" s="14">
        <v>449.28</v>
      </c>
      <c r="H2841" s="37">
        <f>'Calculation Sheet'!N2841</f>
        <v>435.80159999999995</v>
      </c>
    </row>
    <row r="2842" spans="1:8" x14ac:dyDescent="0.25">
      <c r="A2842" s="14" t="s">
        <v>1125</v>
      </c>
      <c r="B2842" s="14">
        <v>7</v>
      </c>
      <c r="C2842" s="15" t="s">
        <v>2587</v>
      </c>
      <c r="D2842" s="14" t="s">
        <v>1745</v>
      </c>
      <c r="E2842" s="14" t="s">
        <v>1746</v>
      </c>
      <c r="F2842" s="14">
        <v>524.16</v>
      </c>
      <c r="G2842" s="14">
        <v>471.72</v>
      </c>
      <c r="H2842" s="37">
        <f>'Calculation Sheet'!N2842</f>
        <v>467.00280000000004</v>
      </c>
    </row>
    <row r="2843" spans="1:8" x14ac:dyDescent="0.25">
      <c r="A2843" s="14" t="s">
        <v>1125</v>
      </c>
      <c r="B2843" s="14">
        <v>1</v>
      </c>
      <c r="C2843" s="15" t="s">
        <v>1124</v>
      </c>
      <c r="D2843" s="14" t="s">
        <v>1745</v>
      </c>
      <c r="E2843" s="14" t="s">
        <v>1747</v>
      </c>
      <c r="F2843" s="14">
        <v>1980</v>
      </c>
      <c r="G2843" s="14">
        <v>1584</v>
      </c>
      <c r="H2843" s="37">
        <f>'Calculation Sheet'!N2843</f>
        <v>1536.48</v>
      </c>
    </row>
    <row r="2844" spans="1:8" x14ac:dyDescent="0.25">
      <c r="A2844" s="14" t="s">
        <v>1125</v>
      </c>
      <c r="B2844" s="14">
        <v>7</v>
      </c>
      <c r="C2844" s="15" t="s">
        <v>2587</v>
      </c>
      <c r="D2844" s="14" t="s">
        <v>1745</v>
      </c>
      <c r="E2844" s="14" t="s">
        <v>1747</v>
      </c>
      <c r="F2844" s="14">
        <v>499.2</v>
      </c>
      <c r="G2844" s="14">
        <v>449.28</v>
      </c>
      <c r="H2844" s="37">
        <f>'Calculation Sheet'!N2844</f>
        <v>435.80159999999995</v>
      </c>
    </row>
    <row r="2845" spans="1:8" x14ac:dyDescent="0.25">
      <c r="A2845" s="14" t="s">
        <v>1125</v>
      </c>
      <c r="B2845" s="14">
        <v>1</v>
      </c>
      <c r="C2845" s="15" t="s">
        <v>1124</v>
      </c>
      <c r="D2845" s="14" t="s">
        <v>1745</v>
      </c>
      <c r="E2845" s="14" t="s">
        <v>1746</v>
      </c>
      <c r="F2845" s="14">
        <v>2079</v>
      </c>
      <c r="G2845" s="14">
        <v>1663.2</v>
      </c>
      <c r="H2845" s="37">
        <f>'Calculation Sheet'!N2845</f>
        <v>1646.568</v>
      </c>
    </row>
    <row r="2846" spans="1:8" x14ac:dyDescent="0.25">
      <c r="A2846" s="14" t="s">
        <v>1135</v>
      </c>
      <c r="B2846" s="14">
        <v>8</v>
      </c>
      <c r="C2846" s="15" t="s">
        <v>1137</v>
      </c>
      <c r="D2846" s="14" t="s">
        <v>1745</v>
      </c>
      <c r="E2846" s="14" t="s">
        <v>1746</v>
      </c>
      <c r="F2846" s="14">
        <v>5241285</v>
      </c>
      <c r="G2846" s="14">
        <v>4193028</v>
      </c>
      <c r="H2846" s="37">
        <f>'Calculation Sheet'!N2846</f>
        <v>4151097.72</v>
      </c>
    </row>
    <row r="2847" spans="1:8" x14ac:dyDescent="0.25">
      <c r="A2847" s="14" t="s">
        <v>1135</v>
      </c>
      <c r="B2847" s="14" t="s">
        <v>50</v>
      </c>
      <c r="C2847" s="15" t="s">
        <v>2588</v>
      </c>
      <c r="D2847" s="14" t="s">
        <v>1749</v>
      </c>
      <c r="E2847" s="14" t="s">
        <v>1746</v>
      </c>
      <c r="F2847" s="14">
        <v>99.84</v>
      </c>
      <c r="G2847" s="14">
        <v>79.87</v>
      </c>
      <c r="H2847" s="37">
        <f>'Calculation Sheet'!N2847</f>
        <v>79.071300000000008</v>
      </c>
    </row>
    <row r="2848" spans="1:8" x14ac:dyDescent="0.25">
      <c r="A2848" s="14" t="s">
        <v>1135</v>
      </c>
      <c r="B2848" s="14" t="s">
        <v>28</v>
      </c>
      <c r="C2848" s="15" t="s">
        <v>2589</v>
      </c>
      <c r="D2848" s="14" t="s">
        <v>1749</v>
      </c>
      <c r="E2848" s="14" t="s">
        <v>1746</v>
      </c>
      <c r="F2848" s="14">
        <v>124794</v>
      </c>
      <c r="G2848" s="14">
        <v>112314.6</v>
      </c>
      <c r="H2848" s="37">
        <f>'Calculation Sheet'!N2848</f>
        <v>111191.45400000001</v>
      </c>
    </row>
    <row r="2849" spans="1:8" x14ac:dyDescent="0.25">
      <c r="A2849" s="14" t="s">
        <v>1135</v>
      </c>
      <c r="B2849" s="14" t="s">
        <v>28</v>
      </c>
      <c r="C2849" s="15" t="s">
        <v>2589</v>
      </c>
      <c r="D2849" s="14" t="s">
        <v>1745</v>
      </c>
      <c r="E2849" s="14" t="s">
        <v>1746</v>
      </c>
      <c r="F2849" s="14">
        <v>1310337</v>
      </c>
      <c r="G2849" s="14">
        <v>1179303</v>
      </c>
      <c r="H2849" s="37">
        <f>'Calculation Sheet'!N2849</f>
        <v>1167509.97</v>
      </c>
    </row>
    <row r="2850" spans="1:8" x14ac:dyDescent="0.25">
      <c r="A2850" s="14" t="s">
        <v>1135</v>
      </c>
      <c r="B2850" s="14" t="s">
        <v>55</v>
      </c>
      <c r="C2850" s="15" t="s">
        <v>2590</v>
      </c>
      <c r="D2850" s="14" t="s">
        <v>1745</v>
      </c>
      <c r="E2850" s="14" t="s">
        <v>1747</v>
      </c>
      <c r="F2850" s="14">
        <v>998.4</v>
      </c>
      <c r="G2850" s="14">
        <v>898.56</v>
      </c>
      <c r="H2850" s="37">
        <f>'Calculation Sheet'!N2850</f>
        <v>871.6031999999999</v>
      </c>
    </row>
    <row r="2851" spans="1:8" x14ac:dyDescent="0.25">
      <c r="A2851" s="14" t="s">
        <v>1135</v>
      </c>
      <c r="B2851" s="14">
        <v>1</v>
      </c>
      <c r="C2851" s="15" t="s">
        <v>1134</v>
      </c>
      <c r="D2851" s="14" t="s">
        <v>1745</v>
      </c>
      <c r="E2851" s="14" t="s">
        <v>1746</v>
      </c>
      <c r="F2851" s="14">
        <v>4221</v>
      </c>
      <c r="G2851" s="14">
        <v>3376.8</v>
      </c>
      <c r="H2851" s="37">
        <f>'Calculation Sheet'!N2851</f>
        <v>3343.0320000000002</v>
      </c>
    </row>
    <row r="2852" spans="1:8" x14ac:dyDescent="0.25">
      <c r="A2852" s="14" t="s">
        <v>1135</v>
      </c>
      <c r="B2852" s="14">
        <v>1</v>
      </c>
      <c r="C2852" s="15" t="s">
        <v>1134</v>
      </c>
      <c r="D2852" s="14" t="s">
        <v>1745</v>
      </c>
      <c r="E2852" s="14" t="s">
        <v>1747</v>
      </c>
      <c r="F2852" s="14">
        <v>4020</v>
      </c>
      <c r="G2852" s="14">
        <v>3216</v>
      </c>
      <c r="H2852" s="37">
        <f>'Calculation Sheet'!N2852</f>
        <v>3119.52</v>
      </c>
    </row>
    <row r="2853" spans="1:8" x14ac:dyDescent="0.25">
      <c r="A2853" s="14" t="s">
        <v>1135</v>
      </c>
      <c r="B2853" s="14" t="s">
        <v>50</v>
      </c>
      <c r="C2853" s="15" t="s">
        <v>2588</v>
      </c>
      <c r="D2853" s="14" t="s">
        <v>1745</v>
      </c>
      <c r="E2853" s="14" t="s">
        <v>1747</v>
      </c>
      <c r="F2853" s="14">
        <v>998.4</v>
      </c>
      <c r="G2853" s="14">
        <v>798.72</v>
      </c>
      <c r="H2853" s="37">
        <f>'Calculation Sheet'!N2853</f>
        <v>774.75840000000005</v>
      </c>
    </row>
    <row r="2854" spans="1:8" x14ac:dyDescent="0.25">
      <c r="A2854" s="14" t="s">
        <v>1135</v>
      </c>
      <c r="B2854" s="14" t="s">
        <v>50</v>
      </c>
      <c r="C2854" s="15" t="s">
        <v>2588</v>
      </c>
      <c r="D2854" s="14" t="s">
        <v>1745</v>
      </c>
      <c r="E2854" s="14" t="s">
        <v>1746</v>
      </c>
      <c r="F2854" s="14">
        <v>1048.32</v>
      </c>
      <c r="G2854" s="14">
        <v>838.68</v>
      </c>
      <c r="H2854" s="37">
        <f>'Calculation Sheet'!N2854</f>
        <v>830.29319999999996</v>
      </c>
    </row>
    <row r="2855" spans="1:8" x14ac:dyDescent="0.25">
      <c r="A2855" s="14" t="s">
        <v>1135</v>
      </c>
      <c r="B2855" s="14" t="s">
        <v>55</v>
      </c>
      <c r="C2855" s="15" t="s">
        <v>2590</v>
      </c>
      <c r="D2855" s="14" t="s">
        <v>1745</v>
      </c>
      <c r="E2855" s="14" t="s">
        <v>1746</v>
      </c>
      <c r="F2855" s="14">
        <v>1048.32</v>
      </c>
      <c r="G2855" s="14">
        <v>943.44</v>
      </c>
      <c r="H2855" s="37">
        <f>'Calculation Sheet'!N2855</f>
        <v>934.00560000000007</v>
      </c>
    </row>
    <row r="2856" spans="1:8" x14ac:dyDescent="0.25">
      <c r="A2856" s="14" t="s">
        <v>1135</v>
      </c>
      <c r="B2856" s="14" t="s">
        <v>28</v>
      </c>
      <c r="C2856" s="15" t="s">
        <v>2589</v>
      </c>
      <c r="D2856" s="14" t="s">
        <v>1745</v>
      </c>
      <c r="E2856" s="14" t="s">
        <v>1747</v>
      </c>
      <c r="F2856" s="14">
        <v>1247940</v>
      </c>
      <c r="G2856" s="14">
        <v>1123146</v>
      </c>
      <c r="H2856" s="37">
        <f>'Calculation Sheet'!N2856</f>
        <v>1089451.6200000001</v>
      </c>
    </row>
    <row r="2857" spans="1:8" x14ac:dyDescent="0.25">
      <c r="A2857" s="14" t="s">
        <v>1135</v>
      </c>
      <c r="B2857" s="14">
        <v>1</v>
      </c>
      <c r="C2857" s="15" t="s">
        <v>1134</v>
      </c>
      <c r="D2857" s="14" t="s">
        <v>1749</v>
      </c>
      <c r="E2857" s="14" t="s">
        <v>1746</v>
      </c>
      <c r="F2857" s="14">
        <v>402</v>
      </c>
      <c r="G2857" s="14">
        <v>321.60000000000002</v>
      </c>
      <c r="H2857" s="37">
        <f>'Calculation Sheet'!N2857</f>
        <v>318.38400000000001</v>
      </c>
    </row>
    <row r="2858" spans="1:8" x14ac:dyDescent="0.25">
      <c r="A2858" s="14" t="s">
        <v>1135</v>
      </c>
      <c r="B2858" s="14" t="s">
        <v>55</v>
      </c>
      <c r="C2858" s="15" t="s">
        <v>2590</v>
      </c>
      <c r="D2858" s="14" t="s">
        <v>1749</v>
      </c>
      <c r="E2858" s="14" t="s">
        <v>1746</v>
      </c>
      <c r="F2858" s="14">
        <v>99.84</v>
      </c>
      <c r="G2858" s="14">
        <v>89.86</v>
      </c>
      <c r="H2858" s="37">
        <f>'Calculation Sheet'!N2858</f>
        <v>88.961399999999998</v>
      </c>
    </row>
    <row r="2859" spans="1:8" x14ac:dyDescent="0.25">
      <c r="A2859" s="14" t="s">
        <v>1135</v>
      </c>
      <c r="B2859" s="14">
        <v>8</v>
      </c>
      <c r="C2859" s="15" t="s">
        <v>1137</v>
      </c>
      <c r="D2859" s="14" t="s">
        <v>1745</v>
      </c>
      <c r="E2859" s="14" t="s">
        <v>1747</v>
      </c>
      <c r="F2859" s="14">
        <v>4991700</v>
      </c>
      <c r="G2859" s="14">
        <v>3993360</v>
      </c>
      <c r="H2859" s="37">
        <f>'Calculation Sheet'!N2859</f>
        <v>3873559.2</v>
      </c>
    </row>
    <row r="2860" spans="1:8" x14ac:dyDescent="0.25">
      <c r="A2860" s="14" t="s">
        <v>1135</v>
      </c>
      <c r="B2860" s="14">
        <v>8</v>
      </c>
      <c r="C2860" s="15" t="s">
        <v>1137</v>
      </c>
      <c r="D2860" s="14" t="s">
        <v>1749</v>
      </c>
      <c r="E2860" s="14" t="s">
        <v>1746</v>
      </c>
      <c r="F2860" s="14">
        <v>499170</v>
      </c>
      <c r="G2860" s="14">
        <v>399336</v>
      </c>
      <c r="H2860" s="37">
        <f>'Calculation Sheet'!N2860</f>
        <v>395342.64</v>
      </c>
    </row>
    <row r="2861" spans="1:8" x14ac:dyDescent="0.25">
      <c r="A2861" s="14" t="s">
        <v>1142</v>
      </c>
      <c r="B2861" s="14">
        <v>2</v>
      </c>
      <c r="C2861" s="15" t="s">
        <v>1141</v>
      </c>
      <c r="D2861" s="14" t="s">
        <v>1745</v>
      </c>
      <c r="E2861" s="14" t="s">
        <v>1747</v>
      </c>
      <c r="F2861" s="14">
        <v>12000</v>
      </c>
      <c r="G2861" s="14">
        <v>9600</v>
      </c>
      <c r="H2861" s="37">
        <f>'Calculation Sheet'!N2861</f>
        <v>9312</v>
      </c>
    </row>
    <row r="2862" spans="1:8" x14ac:dyDescent="0.25">
      <c r="A2862" s="14" t="s">
        <v>1142</v>
      </c>
      <c r="B2862" s="14">
        <v>7</v>
      </c>
      <c r="C2862" s="15" t="s">
        <v>2591</v>
      </c>
      <c r="D2862" s="14" t="s">
        <v>1745</v>
      </c>
      <c r="E2862" s="14" t="s">
        <v>1747</v>
      </c>
      <c r="F2862" s="14">
        <v>2280</v>
      </c>
      <c r="G2862" s="14">
        <v>2052</v>
      </c>
      <c r="H2862" s="37">
        <f>'Calculation Sheet'!N2862</f>
        <v>1990.44</v>
      </c>
    </row>
    <row r="2863" spans="1:8" x14ac:dyDescent="0.25">
      <c r="A2863" s="14" t="s">
        <v>1142</v>
      </c>
      <c r="B2863" s="14">
        <v>2</v>
      </c>
      <c r="C2863" s="15" t="s">
        <v>1141</v>
      </c>
      <c r="D2863" s="14" t="s">
        <v>1749</v>
      </c>
      <c r="E2863" s="14" t="s">
        <v>1746</v>
      </c>
      <c r="F2863" s="14">
        <v>1200</v>
      </c>
      <c r="G2863" s="14">
        <v>960</v>
      </c>
      <c r="H2863" s="37">
        <f>'Calculation Sheet'!N2863</f>
        <v>950.4</v>
      </c>
    </row>
    <row r="2864" spans="1:8" x14ac:dyDescent="0.25">
      <c r="A2864" s="14" t="s">
        <v>1142</v>
      </c>
      <c r="B2864" s="14">
        <v>6</v>
      </c>
      <c r="C2864" s="15" t="s">
        <v>2592</v>
      </c>
      <c r="D2864" s="14" t="s">
        <v>1745</v>
      </c>
      <c r="E2864" s="14" t="s">
        <v>1747</v>
      </c>
      <c r="F2864" s="14">
        <v>2280</v>
      </c>
      <c r="G2864" s="14">
        <v>1824</v>
      </c>
      <c r="H2864" s="37">
        <f>'Calculation Sheet'!N2864</f>
        <v>1769.28</v>
      </c>
    </row>
    <row r="2865" spans="1:8" x14ac:dyDescent="0.25">
      <c r="A2865" s="14" t="s">
        <v>1142</v>
      </c>
      <c r="B2865" s="14">
        <v>7</v>
      </c>
      <c r="C2865" s="15" t="s">
        <v>2591</v>
      </c>
      <c r="D2865" s="14" t="s">
        <v>1745</v>
      </c>
      <c r="E2865" s="14" t="s">
        <v>1746</v>
      </c>
      <c r="F2865" s="14">
        <v>2394</v>
      </c>
      <c r="G2865" s="14">
        <v>2154.6</v>
      </c>
      <c r="H2865" s="37">
        <f>'Calculation Sheet'!N2865</f>
        <v>2133.0540000000001</v>
      </c>
    </row>
    <row r="2866" spans="1:8" x14ac:dyDescent="0.25">
      <c r="A2866" s="14" t="s">
        <v>1142</v>
      </c>
      <c r="B2866" s="14">
        <v>6</v>
      </c>
      <c r="C2866" s="15" t="s">
        <v>2592</v>
      </c>
      <c r="D2866" s="14" t="s">
        <v>1749</v>
      </c>
      <c r="E2866" s="14" t="s">
        <v>1746</v>
      </c>
      <c r="F2866" s="14">
        <v>228</v>
      </c>
      <c r="G2866" s="14">
        <v>182.4</v>
      </c>
      <c r="H2866" s="37">
        <f>'Calculation Sheet'!N2866</f>
        <v>180.57599999999999</v>
      </c>
    </row>
    <row r="2867" spans="1:8" x14ac:dyDescent="0.25">
      <c r="A2867" s="14" t="s">
        <v>1142</v>
      </c>
      <c r="B2867" s="14">
        <v>7</v>
      </c>
      <c r="C2867" s="15" t="s">
        <v>2591</v>
      </c>
      <c r="D2867" s="14" t="s">
        <v>1749</v>
      </c>
      <c r="E2867" s="14" t="s">
        <v>1746</v>
      </c>
      <c r="F2867" s="14">
        <v>228</v>
      </c>
      <c r="G2867" s="14">
        <v>205.2</v>
      </c>
      <c r="H2867" s="37">
        <f>'Calculation Sheet'!N2867</f>
        <v>203.148</v>
      </c>
    </row>
    <row r="2868" spans="1:8" x14ac:dyDescent="0.25">
      <c r="A2868" s="14" t="s">
        <v>1142</v>
      </c>
      <c r="B2868" s="14">
        <v>6</v>
      </c>
      <c r="C2868" s="15" t="s">
        <v>2592</v>
      </c>
      <c r="D2868" s="14" t="s">
        <v>1745</v>
      </c>
      <c r="E2868" s="14" t="s">
        <v>1746</v>
      </c>
      <c r="F2868" s="14">
        <v>2394</v>
      </c>
      <c r="G2868" s="14">
        <v>1915.2</v>
      </c>
      <c r="H2868" s="37">
        <f>'Calculation Sheet'!N2868</f>
        <v>1896.048</v>
      </c>
    </row>
    <row r="2869" spans="1:8" x14ac:dyDescent="0.25">
      <c r="A2869" s="14" t="s">
        <v>1142</v>
      </c>
      <c r="B2869" s="14">
        <v>2</v>
      </c>
      <c r="C2869" s="15" t="s">
        <v>1141</v>
      </c>
      <c r="D2869" s="14" t="s">
        <v>1745</v>
      </c>
      <c r="E2869" s="14" t="s">
        <v>1746</v>
      </c>
      <c r="F2869" s="14">
        <v>12600</v>
      </c>
      <c r="G2869" s="14">
        <v>10080</v>
      </c>
      <c r="H2869" s="37">
        <f>'Calculation Sheet'!N2869</f>
        <v>9979.2000000000007</v>
      </c>
    </row>
    <row r="2870" spans="1:8" x14ac:dyDescent="0.25">
      <c r="A2870" s="14" t="s">
        <v>2593</v>
      </c>
      <c r="B2870" s="14">
        <v>4</v>
      </c>
      <c r="C2870" s="15" t="s">
        <v>2594</v>
      </c>
      <c r="D2870" s="14" t="s">
        <v>1745</v>
      </c>
      <c r="E2870" s="14" t="s">
        <v>1747</v>
      </c>
      <c r="F2870" s="14">
        <v>429.24</v>
      </c>
      <c r="G2870" s="14">
        <v>343.39</v>
      </c>
      <c r="H2870" s="37">
        <f>'Calculation Sheet'!N2870</f>
        <v>343.39</v>
      </c>
    </row>
    <row r="2871" spans="1:8" x14ac:dyDescent="0.25">
      <c r="A2871" s="14" t="s">
        <v>2593</v>
      </c>
      <c r="B2871" s="14">
        <v>4</v>
      </c>
      <c r="C2871" s="15" t="s">
        <v>2594</v>
      </c>
      <c r="D2871" s="14" t="s">
        <v>1745</v>
      </c>
      <c r="E2871" s="14" t="s">
        <v>1746</v>
      </c>
      <c r="F2871" s="14">
        <v>450.72</v>
      </c>
      <c r="G2871" s="14">
        <v>360.6</v>
      </c>
      <c r="H2871" s="37">
        <f>'Calculation Sheet'!N2871</f>
        <v>360.6</v>
      </c>
    </row>
    <row r="2872" spans="1:8" x14ac:dyDescent="0.25">
      <c r="A2872" s="14" t="s">
        <v>2595</v>
      </c>
      <c r="B2872" s="14">
        <v>5</v>
      </c>
      <c r="C2872" s="15" t="s">
        <v>2596</v>
      </c>
      <c r="D2872" s="14" t="s">
        <v>1745</v>
      </c>
      <c r="E2872" s="14" t="s">
        <v>1747</v>
      </c>
      <c r="F2872" s="14">
        <v>429.24</v>
      </c>
      <c r="G2872" s="14">
        <v>343.39</v>
      </c>
      <c r="H2872" s="37">
        <f>'Calculation Sheet'!N2872</f>
        <v>343.39</v>
      </c>
    </row>
    <row r="2873" spans="1:8" x14ac:dyDescent="0.25">
      <c r="A2873" s="14" t="s">
        <v>2595</v>
      </c>
      <c r="B2873" s="14">
        <v>5</v>
      </c>
      <c r="C2873" s="15" t="s">
        <v>2596</v>
      </c>
      <c r="D2873" s="14" t="s">
        <v>1745</v>
      </c>
      <c r="E2873" s="14" t="s">
        <v>1746</v>
      </c>
      <c r="F2873" s="14">
        <v>450.72</v>
      </c>
      <c r="G2873" s="14">
        <v>360.6</v>
      </c>
      <c r="H2873" s="37">
        <f>'Calculation Sheet'!N2873</f>
        <v>360.6</v>
      </c>
    </row>
    <row r="2874" spans="1:8" x14ac:dyDescent="0.25">
      <c r="A2874" s="14" t="s">
        <v>2597</v>
      </c>
      <c r="B2874" s="14">
        <v>1</v>
      </c>
      <c r="C2874" s="15" t="s">
        <v>2598</v>
      </c>
      <c r="D2874" s="14" t="s">
        <v>1745</v>
      </c>
      <c r="E2874" s="14" t="s">
        <v>1746</v>
      </c>
      <c r="F2874" s="14">
        <v>2079</v>
      </c>
      <c r="G2874" s="14">
        <v>1663.2</v>
      </c>
      <c r="H2874" s="37">
        <f>'Calculation Sheet'!N2874</f>
        <v>1663.2</v>
      </c>
    </row>
    <row r="2875" spans="1:8" x14ac:dyDescent="0.25">
      <c r="A2875" s="14" t="s">
        <v>2597</v>
      </c>
      <c r="B2875" s="14">
        <v>1</v>
      </c>
      <c r="C2875" s="15" t="s">
        <v>2598</v>
      </c>
      <c r="D2875" s="14" t="s">
        <v>1745</v>
      </c>
      <c r="E2875" s="14" t="s">
        <v>1747</v>
      </c>
      <c r="F2875" s="14">
        <v>1980</v>
      </c>
      <c r="G2875" s="14">
        <v>1584</v>
      </c>
      <c r="H2875" s="37">
        <f>'Calculation Sheet'!N2875</f>
        <v>1584</v>
      </c>
    </row>
    <row r="2876" spans="1:8" x14ac:dyDescent="0.25">
      <c r="A2876" s="14" t="s">
        <v>1158</v>
      </c>
      <c r="B2876" s="14" t="s">
        <v>118</v>
      </c>
      <c r="C2876" s="15" t="s">
        <v>2599</v>
      </c>
      <c r="D2876" s="14" t="s">
        <v>1745</v>
      </c>
      <c r="E2876" s="14" t="s">
        <v>1747</v>
      </c>
      <c r="F2876" s="14">
        <v>0</v>
      </c>
      <c r="G2876" s="14">
        <v>0</v>
      </c>
      <c r="H2876" s="37">
        <f>'Calculation Sheet'!N2876</f>
        <v>0</v>
      </c>
    </row>
    <row r="2877" spans="1:8" x14ac:dyDescent="0.25">
      <c r="A2877" s="14" t="s">
        <v>1158</v>
      </c>
      <c r="B2877" s="14" t="s">
        <v>650</v>
      </c>
      <c r="C2877" s="15" t="s">
        <v>2600</v>
      </c>
      <c r="D2877" s="14" t="s">
        <v>1745</v>
      </c>
      <c r="E2877" s="14" t="s">
        <v>1747</v>
      </c>
      <c r="F2877" s="14">
        <v>0</v>
      </c>
      <c r="G2877" s="14">
        <v>0</v>
      </c>
      <c r="H2877" s="37">
        <f>'Calculation Sheet'!N2877</f>
        <v>0</v>
      </c>
    </row>
    <row r="2878" spans="1:8" x14ac:dyDescent="0.25">
      <c r="A2878" s="14" t="s">
        <v>1158</v>
      </c>
      <c r="B2878" s="14" t="s">
        <v>118</v>
      </c>
      <c r="C2878" s="15" t="s">
        <v>2599</v>
      </c>
      <c r="D2878" s="14" t="s">
        <v>1749</v>
      </c>
      <c r="E2878" s="14" t="s">
        <v>1746</v>
      </c>
      <c r="F2878" s="14">
        <v>0</v>
      </c>
      <c r="G2878" s="14">
        <v>0</v>
      </c>
      <c r="H2878" s="37">
        <f>'Calculation Sheet'!N2878</f>
        <v>0</v>
      </c>
    </row>
    <row r="2879" spans="1:8" x14ac:dyDescent="0.25">
      <c r="A2879" s="14" t="s">
        <v>1158</v>
      </c>
      <c r="B2879" s="14" t="s">
        <v>650</v>
      </c>
      <c r="C2879" s="15" t="s">
        <v>2600</v>
      </c>
      <c r="D2879" s="14" t="s">
        <v>1745</v>
      </c>
      <c r="E2879" s="14" t="s">
        <v>1746</v>
      </c>
      <c r="F2879" s="14">
        <v>0</v>
      </c>
      <c r="G2879" s="14">
        <v>0</v>
      </c>
      <c r="H2879" s="37">
        <f>'Calculation Sheet'!N2879</f>
        <v>0</v>
      </c>
    </row>
    <row r="2880" spans="1:8" x14ac:dyDescent="0.25">
      <c r="A2880" s="14" t="s">
        <v>1158</v>
      </c>
      <c r="B2880" s="14" t="s">
        <v>650</v>
      </c>
      <c r="C2880" s="15" t="s">
        <v>2600</v>
      </c>
      <c r="D2880" s="14" t="s">
        <v>1749</v>
      </c>
      <c r="E2880" s="14" t="s">
        <v>1746</v>
      </c>
      <c r="F2880" s="14">
        <v>0</v>
      </c>
      <c r="G2880" s="14">
        <v>0</v>
      </c>
      <c r="H2880" s="37">
        <f>'Calculation Sheet'!N2880</f>
        <v>0</v>
      </c>
    </row>
    <row r="2881" spans="1:8" x14ac:dyDescent="0.25">
      <c r="A2881" s="14" t="s">
        <v>1158</v>
      </c>
      <c r="B2881" s="14" t="s">
        <v>118</v>
      </c>
      <c r="C2881" s="15" t="s">
        <v>2599</v>
      </c>
      <c r="D2881" s="14" t="s">
        <v>1745</v>
      </c>
      <c r="E2881" s="14" t="s">
        <v>1746</v>
      </c>
      <c r="F2881" s="14">
        <v>0</v>
      </c>
      <c r="G2881" s="14">
        <v>0</v>
      </c>
      <c r="H2881" s="37">
        <f>'Calculation Sheet'!N2881</f>
        <v>0</v>
      </c>
    </row>
    <row r="2882" spans="1:8" x14ac:dyDescent="0.25">
      <c r="A2882" s="14" t="s">
        <v>1169</v>
      </c>
      <c r="B2882" s="14" t="s">
        <v>55</v>
      </c>
      <c r="C2882" s="15" t="s">
        <v>2601</v>
      </c>
      <c r="D2882" s="14" t="s">
        <v>1745</v>
      </c>
      <c r="E2882" s="14" t="s">
        <v>1747</v>
      </c>
      <c r="F2882" s="14">
        <v>0</v>
      </c>
      <c r="G2882" s="14">
        <v>0</v>
      </c>
      <c r="H2882" s="37">
        <f>'Calculation Sheet'!N2882</f>
        <v>0</v>
      </c>
    </row>
    <row r="2883" spans="1:8" x14ac:dyDescent="0.25">
      <c r="A2883" s="14" t="s">
        <v>1169</v>
      </c>
      <c r="B2883" s="14" t="s">
        <v>55</v>
      </c>
      <c r="C2883" s="15" t="s">
        <v>2601</v>
      </c>
      <c r="D2883" s="14" t="s">
        <v>1749</v>
      </c>
      <c r="E2883" s="14" t="s">
        <v>1746</v>
      </c>
      <c r="F2883" s="14">
        <v>0</v>
      </c>
      <c r="G2883" s="14">
        <v>0</v>
      </c>
      <c r="H2883" s="37">
        <f>'Calculation Sheet'!N2883</f>
        <v>0</v>
      </c>
    </row>
    <row r="2884" spans="1:8" x14ac:dyDescent="0.25">
      <c r="A2884" s="14" t="s">
        <v>1169</v>
      </c>
      <c r="B2884" s="14" t="s">
        <v>55</v>
      </c>
      <c r="C2884" s="15" t="s">
        <v>2601</v>
      </c>
      <c r="D2884" s="14" t="s">
        <v>1745</v>
      </c>
      <c r="E2884" s="14" t="s">
        <v>1746</v>
      </c>
      <c r="F2884" s="14">
        <v>0</v>
      </c>
      <c r="G2884" s="14">
        <v>0</v>
      </c>
      <c r="H2884" s="37">
        <f>'Calculation Sheet'!N2884</f>
        <v>0</v>
      </c>
    </row>
    <row r="2885" spans="1:8" x14ac:dyDescent="0.25">
      <c r="A2885" s="14" t="s">
        <v>1169</v>
      </c>
      <c r="B2885" s="14" t="s">
        <v>89</v>
      </c>
      <c r="C2885" s="15" t="s">
        <v>2602</v>
      </c>
      <c r="D2885" s="14" t="s">
        <v>1745</v>
      </c>
      <c r="E2885" s="14" t="s">
        <v>1746</v>
      </c>
      <c r="F2885" s="14">
        <v>3402</v>
      </c>
      <c r="G2885" s="14">
        <v>2721.6</v>
      </c>
      <c r="H2885" s="37">
        <f>'Calculation Sheet'!N2885</f>
        <v>2694.384</v>
      </c>
    </row>
    <row r="2886" spans="1:8" x14ac:dyDescent="0.25">
      <c r="A2886" s="14" t="s">
        <v>1169</v>
      </c>
      <c r="B2886" s="14" t="s">
        <v>50</v>
      </c>
      <c r="C2886" s="15" t="s">
        <v>2603</v>
      </c>
      <c r="D2886" s="14" t="s">
        <v>1745</v>
      </c>
      <c r="E2886" s="14" t="s">
        <v>1746</v>
      </c>
      <c r="F2886" s="14">
        <v>2646</v>
      </c>
      <c r="G2886" s="14">
        <v>2116.8000000000002</v>
      </c>
      <c r="H2886" s="37">
        <f>'Calculation Sheet'!N2886</f>
        <v>2095.6320000000001</v>
      </c>
    </row>
    <row r="2887" spans="1:8" x14ac:dyDescent="0.25">
      <c r="A2887" s="14" t="s">
        <v>1169</v>
      </c>
      <c r="B2887" s="14" t="s">
        <v>50</v>
      </c>
      <c r="C2887" s="15" t="s">
        <v>2603</v>
      </c>
      <c r="D2887" s="14" t="s">
        <v>1745</v>
      </c>
      <c r="E2887" s="14" t="s">
        <v>1747</v>
      </c>
      <c r="F2887" s="14">
        <v>2520</v>
      </c>
      <c r="G2887" s="14">
        <v>2016</v>
      </c>
      <c r="H2887" s="37">
        <f>'Calculation Sheet'!N2887</f>
        <v>1955.52</v>
      </c>
    </row>
    <row r="2888" spans="1:8" x14ac:dyDescent="0.25">
      <c r="A2888" s="14" t="s">
        <v>1169</v>
      </c>
      <c r="B2888" s="14" t="s">
        <v>89</v>
      </c>
      <c r="C2888" s="15" t="s">
        <v>2602</v>
      </c>
      <c r="D2888" s="14" t="s">
        <v>1745</v>
      </c>
      <c r="E2888" s="14" t="s">
        <v>1747</v>
      </c>
      <c r="F2888" s="14">
        <v>3240</v>
      </c>
      <c r="G2888" s="14">
        <v>2592</v>
      </c>
      <c r="H2888" s="37">
        <f>'Calculation Sheet'!N2888</f>
        <v>2514.2399999999998</v>
      </c>
    </row>
    <row r="2889" spans="1:8" x14ac:dyDescent="0.25">
      <c r="A2889" s="14" t="s">
        <v>1169</v>
      </c>
      <c r="B2889" s="14" t="s">
        <v>50</v>
      </c>
      <c r="C2889" s="15" t="s">
        <v>2603</v>
      </c>
      <c r="D2889" s="14" t="s">
        <v>1749</v>
      </c>
      <c r="E2889" s="14" t="s">
        <v>1746</v>
      </c>
      <c r="F2889" s="14">
        <v>252</v>
      </c>
      <c r="G2889" s="14">
        <v>201.6</v>
      </c>
      <c r="H2889" s="37">
        <f>'Calculation Sheet'!N2889</f>
        <v>199.584</v>
      </c>
    </row>
    <row r="2890" spans="1:8" x14ac:dyDescent="0.25">
      <c r="A2890" s="14" t="s">
        <v>1169</v>
      </c>
      <c r="B2890" s="14" t="s">
        <v>89</v>
      </c>
      <c r="C2890" s="15" t="s">
        <v>2602</v>
      </c>
      <c r="D2890" s="14" t="s">
        <v>1749</v>
      </c>
      <c r="E2890" s="14" t="s">
        <v>1746</v>
      </c>
      <c r="F2890" s="14">
        <v>324</v>
      </c>
      <c r="G2890" s="14">
        <v>259.2</v>
      </c>
      <c r="H2890" s="37">
        <f>'Calculation Sheet'!N2890</f>
        <v>256.608</v>
      </c>
    </row>
    <row r="2891" spans="1:8" x14ac:dyDescent="0.25">
      <c r="A2891" s="14" t="s">
        <v>1177</v>
      </c>
      <c r="B2891" s="14" t="s">
        <v>263</v>
      </c>
      <c r="C2891" s="15" t="s">
        <v>2604</v>
      </c>
      <c r="D2891" s="14" t="s">
        <v>1749</v>
      </c>
      <c r="E2891" s="14" t="s">
        <v>1746</v>
      </c>
      <c r="F2891" s="14">
        <v>798</v>
      </c>
      <c r="G2891" s="14">
        <v>638.4</v>
      </c>
      <c r="H2891" s="37">
        <f>'Calculation Sheet'!N2891</f>
        <v>632.01599999999996</v>
      </c>
    </row>
    <row r="2892" spans="1:8" x14ac:dyDescent="0.25">
      <c r="A2892" s="14" t="s">
        <v>1177</v>
      </c>
      <c r="B2892" s="14" t="s">
        <v>297</v>
      </c>
      <c r="C2892" s="15" t="s">
        <v>2605</v>
      </c>
      <c r="D2892" s="14" t="s">
        <v>1749</v>
      </c>
      <c r="E2892" s="14" t="s">
        <v>1766</v>
      </c>
      <c r="F2892" s="14">
        <v>0</v>
      </c>
      <c r="G2892" s="14">
        <v>0</v>
      </c>
      <c r="H2892" s="37">
        <f>'Calculation Sheet'!N2892</f>
        <v>0</v>
      </c>
    </row>
    <row r="2893" spans="1:8" x14ac:dyDescent="0.25">
      <c r="A2893" s="14" t="s">
        <v>1177</v>
      </c>
      <c r="B2893" s="14" t="s">
        <v>608</v>
      </c>
      <c r="C2893" s="15" t="s">
        <v>2606</v>
      </c>
      <c r="D2893" s="14" t="s">
        <v>1749</v>
      </c>
      <c r="E2893" s="14" t="s">
        <v>1746</v>
      </c>
      <c r="F2893" s="14">
        <v>798</v>
      </c>
      <c r="G2893" s="14">
        <v>638.4</v>
      </c>
      <c r="H2893" s="37">
        <f>'Calculation Sheet'!N2893</f>
        <v>632.01599999999996</v>
      </c>
    </row>
    <row r="2894" spans="1:8" x14ac:dyDescent="0.25">
      <c r="A2894" s="14" t="s">
        <v>1177</v>
      </c>
      <c r="B2894" s="14" t="s">
        <v>173</v>
      </c>
      <c r="C2894" s="15" t="s">
        <v>2606</v>
      </c>
      <c r="D2894" s="14" t="s">
        <v>1749</v>
      </c>
      <c r="E2894" s="14" t="s">
        <v>1766</v>
      </c>
      <c r="F2894" s="14">
        <v>0</v>
      </c>
      <c r="G2894" s="14">
        <v>0</v>
      </c>
      <c r="H2894" s="37">
        <f>'Calculation Sheet'!N2894</f>
        <v>0</v>
      </c>
    </row>
    <row r="2895" spans="1:8" ht="30" x14ac:dyDescent="0.25">
      <c r="A2895" s="14" t="s">
        <v>1177</v>
      </c>
      <c r="B2895" s="14" t="s">
        <v>258</v>
      </c>
      <c r="C2895" s="15" t="s">
        <v>2607</v>
      </c>
      <c r="D2895" s="14" t="s">
        <v>1745</v>
      </c>
      <c r="E2895" s="14" t="s">
        <v>1746</v>
      </c>
      <c r="F2895" s="14">
        <v>0</v>
      </c>
      <c r="G2895" s="14">
        <v>0</v>
      </c>
      <c r="H2895" s="37">
        <f>'Calculation Sheet'!N2895</f>
        <v>0</v>
      </c>
    </row>
    <row r="2896" spans="1:8" x14ac:dyDescent="0.25">
      <c r="A2896" s="14" t="s">
        <v>1177</v>
      </c>
      <c r="B2896" s="14" t="s">
        <v>470</v>
      </c>
      <c r="C2896" s="15" t="s">
        <v>2608</v>
      </c>
      <c r="D2896" s="14" t="s">
        <v>1745</v>
      </c>
      <c r="E2896" s="14" t="s">
        <v>1746</v>
      </c>
      <c r="F2896" s="14">
        <v>6300</v>
      </c>
      <c r="G2896" s="14">
        <v>5040</v>
      </c>
      <c r="H2896" s="37">
        <f>'Calculation Sheet'!N2896</f>
        <v>4989.6000000000004</v>
      </c>
    </row>
    <row r="2897" spans="1:8" x14ac:dyDescent="0.25">
      <c r="A2897" s="14" t="s">
        <v>1177</v>
      </c>
      <c r="B2897" s="14" t="s">
        <v>470</v>
      </c>
      <c r="C2897" s="15" t="s">
        <v>2608</v>
      </c>
      <c r="D2897" s="14" t="s">
        <v>1745</v>
      </c>
      <c r="E2897" s="14" t="s">
        <v>1747</v>
      </c>
      <c r="F2897" s="14">
        <v>6000</v>
      </c>
      <c r="G2897" s="14">
        <v>4800</v>
      </c>
      <c r="H2897" s="37">
        <f>'Calculation Sheet'!N2897</f>
        <v>4656</v>
      </c>
    </row>
    <row r="2898" spans="1:8" x14ac:dyDescent="0.25">
      <c r="A2898" s="14" t="s">
        <v>1177</v>
      </c>
      <c r="B2898" s="14" t="s">
        <v>583</v>
      </c>
      <c r="C2898" s="15" t="s">
        <v>2605</v>
      </c>
      <c r="D2898" s="14" t="s">
        <v>1749</v>
      </c>
      <c r="E2898" s="14" t="s">
        <v>1746</v>
      </c>
      <c r="F2898" s="14">
        <v>600</v>
      </c>
      <c r="G2898" s="14">
        <v>480</v>
      </c>
      <c r="H2898" s="37">
        <f>'Calculation Sheet'!N2898</f>
        <v>475.2</v>
      </c>
    </row>
    <row r="2899" spans="1:8" ht="30" x14ac:dyDescent="0.25">
      <c r="A2899" s="14" t="s">
        <v>1177</v>
      </c>
      <c r="B2899" s="14" t="s">
        <v>258</v>
      </c>
      <c r="C2899" s="15" t="s">
        <v>2607</v>
      </c>
      <c r="D2899" s="14" t="s">
        <v>1749</v>
      </c>
      <c r="E2899" s="14" t="s">
        <v>1746</v>
      </c>
      <c r="F2899" s="14">
        <v>0</v>
      </c>
      <c r="G2899" s="14">
        <v>0</v>
      </c>
      <c r="H2899" s="37">
        <f>'Calculation Sheet'!N2899</f>
        <v>0</v>
      </c>
    </row>
    <row r="2900" spans="1:8" ht="30" x14ac:dyDescent="0.25">
      <c r="A2900" s="14" t="s">
        <v>1177</v>
      </c>
      <c r="B2900" s="14" t="s">
        <v>258</v>
      </c>
      <c r="C2900" s="15" t="s">
        <v>2607</v>
      </c>
      <c r="D2900" s="14" t="s">
        <v>1745</v>
      </c>
      <c r="E2900" s="14" t="s">
        <v>1747</v>
      </c>
      <c r="F2900" s="14">
        <v>0</v>
      </c>
      <c r="G2900" s="14">
        <v>0</v>
      </c>
      <c r="H2900" s="37">
        <f>'Calculation Sheet'!N2900</f>
        <v>0</v>
      </c>
    </row>
    <row r="2901" spans="1:8" x14ac:dyDescent="0.25">
      <c r="A2901" s="14" t="s">
        <v>1177</v>
      </c>
      <c r="B2901" s="14" t="s">
        <v>470</v>
      </c>
      <c r="C2901" s="15" t="s">
        <v>2608</v>
      </c>
      <c r="D2901" s="14" t="s">
        <v>1749</v>
      </c>
      <c r="E2901" s="14" t="s">
        <v>1746</v>
      </c>
      <c r="F2901" s="14">
        <v>600</v>
      </c>
      <c r="G2901" s="14">
        <v>480</v>
      </c>
      <c r="H2901" s="37">
        <f>'Calculation Sheet'!N2901</f>
        <v>475.2</v>
      </c>
    </row>
    <row r="2902" spans="1:8" x14ac:dyDescent="0.25">
      <c r="A2902" s="14" t="s">
        <v>1177</v>
      </c>
      <c r="B2902" s="14" t="s">
        <v>263</v>
      </c>
      <c r="C2902" s="15" t="s">
        <v>2604</v>
      </c>
      <c r="D2902" s="14" t="s">
        <v>1745</v>
      </c>
      <c r="E2902" s="14" t="s">
        <v>1747</v>
      </c>
      <c r="F2902" s="14">
        <v>7980</v>
      </c>
      <c r="G2902" s="14">
        <v>6384</v>
      </c>
      <c r="H2902" s="37">
        <f>'Calculation Sheet'!N2902</f>
        <v>6192.48</v>
      </c>
    </row>
    <row r="2903" spans="1:8" x14ac:dyDescent="0.25">
      <c r="A2903" s="14" t="s">
        <v>1177</v>
      </c>
      <c r="B2903" s="14" t="s">
        <v>608</v>
      </c>
      <c r="C2903" s="15" t="s">
        <v>2606</v>
      </c>
      <c r="D2903" s="14" t="s">
        <v>1745</v>
      </c>
      <c r="E2903" s="14" t="s">
        <v>1746</v>
      </c>
      <c r="F2903" s="14">
        <v>8379</v>
      </c>
      <c r="G2903" s="14">
        <v>6703.2</v>
      </c>
      <c r="H2903" s="37">
        <f>'Calculation Sheet'!N2903</f>
        <v>6636.1679999999997</v>
      </c>
    </row>
    <row r="2904" spans="1:8" x14ac:dyDescent="0.25">
      <c r="A2904" s="14" t="s">
        <v>1177</v>
      </c>
      <c r="B2904" s="14" t="s">
        <v>583</v>
      </c>
      <c r="C2904" s="15" t="s">
        <v>2605</v>
      </c>
      <c r="D2904" s="14" t="s">
        <v>1745</v>
      </c>
      <c r="E2904" s="14" t="s">
        <v>1747</v>
      </c>
      <c r="F2904" s="14">
        <v>6000</v>
      </c>
      <c r="G2904" s="14">
        <v>4800</v>
      </c>
      <c r="H2904" s="37">
        <f>'Calculation Sheet'!N2904</f>
        <v>4656</v>
      </c>
    </row>
    <row r="2905" spans="1:8" x14ac:dyDescent="0.25">
      <c r="A2905" s="14" t="s">
        <v>1177</v>
      </c>
      <c r="B2905" s="14" t="s">
        <v>263</v>
      </c>
      <c r="C2905" s="15" t="s">
        <v>2604</v>
      </c>
      <c r="D2905" s="14" t="s">
        <v>1745</v>
      </c>
      <c r="E2905" s="14" t="s">
        <v>1746</v>
      </c>
      <c r="F2905" s="14">
        <v>8379</v>
      </c>
      <c r="G2905" s="14">
        <v>6703.2</v>
      </c>
      <c r="H2905" s="37">
        <f>'Calculation Sheet'!N2905</f>
        <v>6636.1679999999997</v>
      </c>
    </row>
    <row r="2906" spans="1:8" x14ac:dyDescent="0.25">
      <c r="A2906" s="14" t="s">
        <v>1177</v>
      </c>
      <c r="B2906" s="14" t="s">
        <v>583</v>
      </c>
      <c r="C2906" s="15" t="s">
        <v>2605</v>
      </c>
      <c r="D2906" s="14" t="s">
        <v>1745</v>
      </c>
      <c r="E2906" s="14" t="s">
        <v>1746</v>
      </c>
      <c r="F2906" s="14">
        <v>6300</v>
      </c>
      <c r="G2906" s="14">
        <v>5040</v>
      </c>
      <c r="H2906" s="37">
        <f>'Calculation Sheet'!N2906</f>
        <v>4989.6000000000004</v>
      </c>
    </row>
    <row r="2907" spans="1:8" x14ac:dyDescent="0.25">
      <c r="A2907" s="14" t="s">
        <v>1177</v>
      </c>
      <c r="B2907" s="14" t="s">
        <v>608</v>
      </c>
      <c r="C2907" s="15" t="s">
        <v>2606</v>
      </c>
      <c r="D2907" s="14" t="s">
        <v>1745</v>
      </c>
      <c r="E2907" s="14" t="s">
        <v>1747</v>
      </c>
      <c r="F2907" s="14">
        <v>7980</v>
      </c>
      <c r="G2907" s="14">
        <v>6384</v>
      </c>
      <c r="H2907" s="37">
        <f>'Calculation Sheet'!N2907</f>
        <v>6192.48</v>
      </c>
    </row>
    <row r="2908" spans="1:8" x14ac:dyDescent="0.25">
      <c r="A2908" s="14" t="s">
        <v>2609</v>
      </c>
      <c r="B2908" s="14">
        <v>9</v>
      </c>
      <c r="C2908" s="15" t="s">
        <v>2610</v>
      </c>
      <c r="D2908" s="14" t="s">
        <v>1749</v>
      </c>
      <c r="E2908" s="14" t="s">
        <v>1746</v>
      </c>
      <c r="F2908" s="14">
        <v>74.88</v>
      </c>
      <c r="G2908" s="14">
        <v>67.39</v>
      </c>
      <c r="H2908" s="37">
        <f>'Calculation Sheet'!N2908</f>
        <v>67.39</v>
      </c>
    </row>
    <row r="2909" spans="1:8" x14ac:dyDescent="0.25">
      <c r="A2909" s="14" t="s">
        <v>2609</v>
      </c>
      <c r="B2909" s="14">
        <v>1</v>
      </c>
      <c r="C2909" s="15" t="s">
        <v>2611</v>
      </c>
      <c r="D2909" s="14" t="s">
        <v>1745</v>
      </c>
      <c r="E2909" s="14" t="s">
        <v>1746</v>
      </c>
      <c r="F2909" s="14">
        <v>3150</v>
      </c>
      <c r="G2909" s="14">
        <v>2520</v>
      </c>
      <c r="H2909" s="37">
        <f>'Calculation Sheet'!N2909</f>
        <v>2520</v>
      </c>
    </row>
    <row r="2910" spans="1:8" x14ac:dyDescent="0.25">
      <c r="A2910" s="14" t="s">
        <v>2609</v>
      </c>
      <c r="B2910" s="14">
        <v>9</v>
      </c>
      <c r="C2910" s="15" t="s">
        <v>2610</v>
      </c>
      <c r="D2910" s="14" t="s">
        <v>1745</v>
      </c>
      <c r="E2910" s="14" t="s">
        <v>1746</v>
      </c>
      <c r="F2910" s="14">
        <v>786.24</v>
      </c>
      <c r="G2910" s="14">
        <v>707.64</v>
      </c>
      <c r="H2910" s="37">
        <f>'Calculation Sheet'!N2910</f>
        <v>707.64</v>
      </c>
    </row>
    <row r="2911" spans="1:8" x14ac:dyDescent="0.25">
      <c r="A2911" s="14" t="s">
        <v>2609</v>
      </c>
      <c r="B2911" s="14">
        <v>9</v>
      </c>
      <c r="C2911" s="15" t="s">
        <v>2610</v>
      </c>
      <c r="D2911" s="14" t="s">
        <v>1745</v>
      </c>
      <c r="E2911" s="14" t="s">
        <v>1747</v>
      </c>
      <c r="F2911" s="14">
        <v>748.8</v>
      </c>
      <c r="G2911" s="14">
        <v>673.92</v>
      </c>
      <c r="H2911" s="37">
        <f>'Calculation Sheet'!N2911</f>
        <v>673.92</v>
      </c>
    </row>
    <row r="2912" spans="1:8" x14ac:dyDescent="0.25">
      <c r="A2912" s="14" t="s">
        <v>2609</v>
      </c>
      <c r="B2912" s="14">
        <v>1</v>
      </c>
      <c r="C2912" s="15" t="s">
        <v>2611</v>
      </c>
      <c r="D2912" s="14" t="s">
        <v>1749</v>
      </c>
      <c r="E2912" s="14" t="s">
        <v>1746</v>
      </c>
      <c r="F2912" s="14">
        <v>300</v>
      </c>
      <c r="G2912" s="14">
        <v>240</v>
      </c>
      <c r="H2912" s="37">
        <f>'Calculation Sheet'!N2912</f>
        <v>240</v>
      </c>
    </row>
    <row r="2913" spans="1:8" x14ac:dyDescent="0.25">
      <c r="A2913" s="14" t="s">
        <v>2609</v>
      </c>
      <c r="B2913" s="14">
        <v>1</v>
      </c>
      <c r="C2913" s="15" t="s">
        <v>2611</v>
      </c>
      <c r="D2913" s="14" t="s">
        <v>1745</v>
      </c>
      <c r="E2913" s="14" t="s">
        <v>1747</v>
      </c>
      <c r="F2913" s="14">
        <v>3000</v>
      </c>
      <c r="G2913" s="14">
        <v>2400</v>
      </c>
      <c r="H2913" s="37">
        <f>'Calculation Sheet'!N2913</f>
        <v>2400</v>
      </c>
    </row>
    <row r="2914" spans="1:8" x14ac:dyDescent="0.25">
      <c r="A2914" s="14" t="s">
        <v>1198</v>
      </c>
      <c r="B2914" s="14">
        <v>1</v>
      </c>
      <c r="C2914" s="15" t="s">
        <v>1197</v>
      </c>
      <c r="D2914" s="14" t="s">
        <v>1745</v>
      </c>
      <c r="E2914" s="14" t="s">
        <v>1747</v>
      </c>
      <c r="F2914" s="14">
        <v>9960</v>
      </c>
      <c r="G2914" s="14">
        <v>7968</v>
      </c>
      <c r="H2914" s="37">
        <f>'Calculation Sheet'!N2914</f>
        <v>7728.96</v>
      </c>
    </row>
    <row r="2915" spans="1:8" x14ac:dyDescent="0.25">
      <c r="A2915" s="14" t="s">
        <v>1198</v>
      </c>
      <c r="B2915" s="14">
        <v>19</v>
      </c>
      <c r="C2915" s="15" t="s">
        <v>2612</v>
      </c>
      <c r="D2915" s="14" t="s">
        <v>1745</v>
      </c>
      <c r="E2915" s="14" t="s">
        <v>1747</v>
      </c>
      <c r="F2915" s="14">
        <v>2520</v>
      </c>
      <c r="G2915" s="14">
        <v>2268</v>
      </c>
      <c r="H2915" s="37">
        <f>'Calculation Sheet'!N2915</f>
        <v>2199.96</v>
      </c>
    </row>
    <row r="2916" spans="1:8" x14ac:dyDescent="0.25">
      <c r="A2916" s="14" t="s">
        <v>1198</v>
      </c>
      <c r="B2916" s="14">
        <v>19</v>
      </c>
      <c r="C2916" s="15" t="s">
        <v>2612</v>
      </c>
      <c r="D2916" s="14" t="s">
        <v>1749</v>
      </c>
      <c r="E2916" s="14" t="s">
        <v>1746</v>
      </c>
      <c r="F2916" s="14">
        <v>252</v>
      </c>
      <c r="G2916" s="14">
        <v>226.8</v>
      </c>
      <c r="H2916" s="37">
        <f>'Calculation Sheet'!N2916</f>
        <v>224.53200000000001</v>
      </c>
    </row>
    <row r="2917" spans="1:8" x14ac:dyDescent="0.25">
      <c r="A2917" s="14" t="s">
        <v>1198</v>
      </c>
      <c r="B2917" s="14">
        <v>1</v>
      </c>
      <c r="C2917" s="15" t="s">
        <v>1197</v>
      </c>
      <c r="D2917" s="14" t="s">
        <v>1745</v>
      </c>
      <c r="E2917" s="14" t="s">
        <v>1746</v>
      </c>
      <c r="F2917" s="14">
        <v>10458</v>
      </c>
      <c r="G2917" s="14">
        <v>8366.4</v>
      </c>
      <c r="H2917" s="37">
        <f>'Calculation Sheet'!N2917</f>
        <v>8282.735999999999</v>
      </c>
    </row>
    <row r="2918" spans="1:8" x14ac:dyDescent="0.25">
      <c r="A2918" s="14" t="s">
        <v>1198</v>
      </c>
      <c r="B2918" s="14" t="s">
        <v>120</v>
      </c>
      <c r="C2918" s="15" t="s">
        <v>1202</v>
      </c>
      <c r="D2918" s="14" t="s">
        <v>1745</v>
      </c>
      <c r="E2918" s="14" t="s">
        <v>1747</v>
      </c>
      <c r="F2918" s="14">
        <v>6780</v>
      </c>
      <c r="G2918" s="14">
        <v>5424</v>
      </c>
      <c r="H2918" s="37">
        <f>'Calculation Sheet'!N2918</f>
        <v>5261.28</v>
      </c>
    </row>
    <row r="2919" spans="1:8" x14ac:dyDescent="0.25">
      <c r="A2919" s="14" t="s">
        <v>1198</v>
      </c>
      <c r="B2919" s="14" t="s">
        <v>120</v>
      </c>
      <c r="C2919" s="15" t="s">
        <v>1202</v>
      </c>
      <c r="D2919" s="14" t="s">
        <v>1745</v>
      </c>
      <c r="E2919" s="14" t="s">
        <v>1746</v>
      </c>
      <c r="F2919" s="14">
        <v>7119</v>
      </c>
      <c r="G2919" s="14">
        <v>5695.2</v>
      </c>
      <c r="H2919" s="37">
        <f>'Calculation Sheet'!N2919</f>
        <v>5638.2479999999996</v>
      </c>
    </row>
    <row r="2920" spans="1:8" x14ac:dyDescent="0.25">
      <c r="A2920" s="14" t="s">
        <v>1198</v>
      </c>
      <c r="B2920" s="14">
        <v>19</v>
      </c>
      <c r="C2920" s="15" t="s">
        <v>2612</v>
      </c>
      <c r="D2920" s="14" t="s">
        <v>1745</v>
      </c>
      <c r="E2920" s="14" t="s">
        <v>1746</v>
      </c>
      <c r="F2920" s="14">
        <v>2646</v>
      </c>
      <c r="G2920" s="14">
        <v>2381.4</v>
      </c>
      <c r="H2920" s="37">
        <f>'Calculation Sheet'!N2920</f>
        <v>2357.5860000000002</v>
      </c>
    </row>
    <row r="2921" spans="1:8" x14ac:dyDescent="0.25">
      <c r="A2921" s="14" t="s">
        <v>1198</v>
      </c>
      <c r="B2921" s="14">
        <v>1</v>
      </c>
      <c r="C2921" s="15" t="s">
        <v>1197</v>
      </c>
      <c r="D2921" s="14" t="s">
        <v>1749</v>
      </c>
      <c r="E2921" s="14" t="s">
        <v>1746</v>
      </c>
      <c r="F2921" s="14">
        <v>996</v>
      </c>
      <c r="G2921" s="14">
        <v>796.8</v>
      </c>
      <c r="H2921" s="37">
        <f>'Calculation Sheet'!N2921</f>
        <v>788.83199999999999</v>
      </c>
    </row>
    <row r="2922" spans="1:8" x14ac:dyDescent="0.25">
      <c r="A2922" s="14" t="s">
        <v>1198</v>
      </c>
      <c r="B2922" s="14" t="s">
        <v>120</v>
      </c>
      <c r="C2922" s="15" t="s">
        <v>1202</v>
      </c>
      <c r="D2922" s="14" t="s">
        <v>1749</v>
      </c>
      <c r="E2922" s="14" t="s">
        <v>1746</v>
      </c>
      <c r="F2922" s="14">
        <v>678</v>
      </c>
      <c r="G2922" s="14">
        <v>542.4</v>
      </c>
      <c r="H2922" s="37">
        <f>'Calculation Sheet'!N2922</f>
        <v>536.976</v>
      </c>
    </row>
    <row r="2923" spans="1:8" x14ac:dyDescent="0.25">
      <c r="A2923" s="14" t="s">
        <v>2613</v>
      </c>
      <c r="B2923" s="14">
        <v>7</v>
      </c>
      <c r="C2923" s="15" t="s">
        <v>2614</v>
      </c>
      <c r="D2923" s="14" t="s">
        <v>1745</v>
      </c>
      <c r="E2923" s="14" t="s">
        <v>1747</v>
      </c>
      <c r="F2923" s="14">
        <v>19980</v>
      </c>
      <c r="G2923" s="14">
        <v>15984</v>
      </c>
      <c r="H2923" s="37">
        <f>'Calculation Sheet'!N2923</f>
        <v>15984</v>
      </c>
    </row>
    <row r="2924" spans="1:8" x14ac:dyDescent="0.25">
      <c r="A2924" s="14" t="s">
        <v>2613</v>
      </c>
      <c r="B2924" s="14">
        <v>7</v>
      </c>
      <c r="C2924" s="15" t="s">
        <v>2614</v>
      </c>
      <c r="D2924" s="14" t="s">
        <v>1749</v>
      </c>
      <c r="E2924" s="14" t="s">
        <v>1746</v>
      </c>
      <c r="F2924" s="14">
        <v>1998</v>
      </c>
      <c r="G2924" s="14">
        <v>1598.4</v>
      </c>
      <c r="H2924" s="37">
        <f>'Calculation Sheet'!N2924</f>
        <v>1598.4</v>
      </c>
    </row>
    <row r="2925" spans="1:8" x14ac:dyDescent="0.25">
      <c r="A2925" s="14" t="s">
        <v>2613</v>
      </c>
      <c r="B2925" s="14">
        <v>9</v>
      </c>
      <c r="C2925" s="15" t="s">
        <v>2615</v>
      </c>
      <c r="D2925" s="14" t="s">
        <v>1749</v>
      </c>
      <c r="E2925" s="14" t="s">
        <v>1746</v>
      </c>
      <c r="F2925" s="14">
        <v>1674</v>
      </c>
      <c r="G2925" s="14">
        <v>1339.2</v>
      </c>
      <c r="H2925" s="37">
        <f>'Calculation Sheet'!N2925</f>
        <v>1339.2</v>
      </c>
    </row>
    <row r="2926" spans="1:8" x14ac:dyDescent="0.25">
      <c r="A2926" s="14" t="s">
        <v>2613</v>
      </c>
      <c r="B2926" s="14">
        <v>7</v>
      </c>
      <c r="C2926" s="15" t="s">
        <v>2614</v>
      </c>
      <c r="D2926" s="14" t="s">
        <v>1745</v>
      </c>
      <c r="E2926" s="14" t="s">
        <v>1746</v>
      </c>
      <c r="F2926" s="14">
        <v>20979</v>
      </c>
      <c r="G2926" s="14">
        <v>16783.2</v>
      </c>
      <c r="H2926" s="37">
        <f>'Calculation Sheet'!N2926</f>
        <v>16783.2</v>
      </c>
    </row>
    <row r="2927" spans="1:8" x14ac:dyDescent="0.25">
      <c r="A2927" s="14" t="s">
        <v>2613</v>
      </c>
      <c r="B2927" s="14">
        <v>9</v>
      </c>
      <c r="C2927" s="15" t="s">
        <v>2615</v>
      </c>
      <c r="D2927" s="14" t="s">
        <v>1745</v>
      </c>
      <c r="E2927" s="14" t="s">
        <v>1747</v>
      </c>
      <c r="F2927" s="14">
        <v>16740</v>
      </c>
      <c r="G2927" s="14">
        <v>13392</v>
      </c>
      <c r="H2927" s="37">
        <f>'Calculation Sheet'!N2927</f>
        <v>13392</v>
      </c>
    </row>
    <row r="2928" spans="1:8" x14ac:dyDescent="0.25">
      <c r="A2928" s="14" t="s">
        <v>2613</v>
      </c>
      <c r="B2928" s="14">
        <v>9</v>
      </c>
      <c r="C2928" s="15" t="s">
        <v>2615</v>
      </c>
      <c r="D2928" s="14" t="s">
        <v>1745</v>
      </c>
      <c r="E2928" s="14" t="s">
        <v>1746</v>
      </c>
      <c r="F2928" s="14">
        <v>17577</v>
      </c>
      <c r="G2928" s="14">
        <v>14061.6</v>
      </c>
      <c r="H2928" s="37">
        <f>'Calculation Sheet'!N2928</f>
        <v>14061.6</v>
      </c>
    </row>
    <row r="2929" spans="1:8" x14ac:dyDescent="0.25">
      <c r="A2929" s="14" t="s">
        <v>1212</v>
      </c>
      <c r="B2929" s="14">
        <v>20</v>
      </c>
      <c r="C2929" s="15" t="s">
        <v>1214</v>
      </c>
      <c r="D2929" s="14" t="s">
        <v>1745</v>
      </c>
      <c r="E2929" s="14" t="s">
        <v>1746</v>
      </c>
      <c r="F2929" s="14">
        <v>18270</v>
      </c>
      <c r="G2929" s="14">
        <v>14616</v>
      </c>
      <c r="H2929" s="37">
        <f>'Calculation Sheet'!N2929</f>
        <v>14469.84</v>
      </c>
    </row>
    <row r="2930" spans="1:8" x14ac:dyDescent="0.25">
      <c r="A2930" s="14" t="s">
        <v>1212</v>
      </c>
      <c r="B2930" s="14">
        <v>8</v>
      </c>
      <c r="C2930" s="15" t="s">
        <v>1211</v>
      </c>
      <c r="D2930" s="14" t="s">
        <v>1749</v>
      </c>
      <c r="E2930" s="14" t="s">
        <v>1766</v>
      </c>
      <c r="F2930" s="14">
        <v>0</v>
      </c>
      <c r="G2930" s="14">
        <v>0</v>
      </c>
      <c r="H2930" s="37">
        <f>'Calculation Sheet'!N2930</f>
        <v>0</v>
      </c>
    </row>
    <row r="2931" spans="1:8" x14ac:dyDescent="0.25">
      <c r="A2931" s="14" t="s">
        <v>1212</v>
      </c>
      <c r="B2931" s="14">
        <v>14</v>
      </c>
      <c r="C2931" s="15" t="s">
        <v>2616</v>
      </c>
      <c r="D2931" s="14" t="s">
        <v>1745</v>
      </c>
      <c r="E2931" s="14" t="s">
        <v>1746</v>
      </c>
      <c r="F2931" s="14">
        <v>6804</v>
      </c>
      <c r="G2931" s="14">
        <v>6123.6</v>
      </c>
      <c r="H2931" s="37">
        <f>'Calculation Sheet'!N2931</f>
        <v>6062.3640000000005</v>
      </c>
    </row>
    <row r="2932" spans="1:8" x14ac:dyDescent="0.25">
      <c r="A2932" s="14" t="s">
        <v>1212</v>
      </c>
      <c r="B2932" s="14" t="s">
        <v>120</v>
      </c>
      <c r="C2932" s="15" t="s">
        <v>2616</v>
      </c>
      <c r="D2932" s="14" t="s">
        <v>1749</v>
      </c>
      <c r="E2932" s="14" t="s">
        <v>1766</v>
      </c>
      <c r="F2932" s="14">
        <v>0</v>
      </c>
      <c r="G2932" s="14">
        <v>0</v>
      </c>
      <c r="H2932" s="37">
        <f>'Calculation Sheet'!N2932</f>
        <v>0</v>
      </c>
    </row>
    <row r="2933" spans="1:8" x14ac:dyDescent="0.25">
      <c r="A2933" s="14" t="s">
        <v>1212</v>
      </c>
      <c r="B2933" s="14">
        <v>20</v>
      </c>
      <c r="C2933" s="15" t="s">
        <v>1214</v>
      </c>
      <c r="D2933" s="14" t="s">
        <v>1745</v>
      </c>
      <c r="E2933" s="14" t="s">
        <v>1747</v>
      </c>
      <c r="F2933" s="14">
        <v>17400</v>
      </c>
      <c r="G2933" s="14">
        <v>13920</v>
      </c>
      <c r="H2933" s="37">
        <f>'Calculation Sheet'!N2933</f>
        <v>13502.4</v>
      </c>
    </row>
    <row r="2934" spans="1:8" x14ac:dyDescent="0.25">
      <c r="A2934" s="14" t="s">
        <v>1212</v>
      </c>
      <c r="B2934" s="14">
        <v>20</v>
      </c>
      <c r="C2934" s="15" t="s">
        <v>1214</v>
      </c>
      <c r="D2934" s="14" t="s">
        <v>1749</v>
      </c>
      <c r="E2934" s="14" t="s">
        <v>1746</v>
      </c>
      <c r="F2934" s="14">
        <v>1740</v>
      </c>
      <c r="G2934" s="14">
        <v>1392</v>
      </c>
      <c r="H2934" s="37">
        <f>'Calculation Sheet'!N2934</f>
        <v>1378.08</v>
      </c>
    </row>
    <row r="2935" spans="1:8" x14ac:dyDescent="0.25">
      <c r="A2935" s="14" t="s">
        <v>1212</v>
      </c>
      <c r="B2935" s="14">
        <v>1</v>
      </c>
      <c r="C2935" s="15" t="s">
        <v>1211</v>
      </c>
      <c r="D2935" s="14" t="s">
        <v>1745</v>
      </c>
      <c r="E2935" s="14" t="s">
        <v>1747</v>
      </c>
      <c r="F2935" s="14">
        <v>25980</v>
      </c>
      <c r="G2935" s="14">
        <v>20784</v>
      </c>
      <c r="H2935" s="37">
        <f>'Calculation Sheet'!N2935</f>
        <v>20160.48</v>
      </c>
    </row>
    <row r="2936" spans="1:8" x14ac:dyDescent="0.25">
      <c r="A2936" s="14" t="s">
        <v>1212</v>
      </c>
      <c r="B2936" s="14">
        <v>14</v>
      </c>
      <c r="C2936" s="15" t="s">
        <v>2616</v>
      </c>
      <c r="D2936" s="14" t="s">
        <v>1745</v>
      </c>
      <c r="E2936" s="14" t="s">
        <v>1747</v>
      </c>
      <c r="F2936" s="14">
        <v>6480</v>
      </c>
      <c r="G2936" s="14">
        <v>5832</v>
      </c>
      <c r="H2936" s="37">
        <f>'Calculation Sheet'!N2936</f>
        <v>5657.04</v>
      </c>
    </row>
    <row r="2937" spans="1:8" x14ac:dyDescent="0.25">
      <c r="A2937" s="14" t="s">
        <v>1212</v>
      </c>
      <c r="B2937" s="14">
        <v>14</v>
      </c>
      <c r="C2937" s="15" t="s">
        <v>2616</v>
      </c>
      <c r="D2937" s="14" t="s">
        <v>1749</v>
      </c>
      <c r="E2937" s="14" t="s">
        <v>1746</v>
      </c>
      <c r="F2937" s="14">
        <v>648</v>
      </c>
      <c r="G2937" s="14">
        <v>583.20000000000005</v>
      </c>
      <c r="H2937" s="37">
        <f>'Calculation Sheet'!N2937</f>
        <v>577.36800000000005</v>
      </c>
    </row>
    <row r="2938" spans="1:8" x14ac:dyDescent="0.25">
      <c r="A2938" s="14" t="s">
        <v>1212</v>
      </c>
      <c r="B2938" s="14">
        <v>1</v>
      </c>
      <c r="C2938" s="15" t="s">
        <v>1211</v>
      </c>
      <c r="D2938" s="14" t="s">
        <v>1745</v>
      </c>
      <c r="E2938" s="14" t="s">
        <v>1746</v>
      </c>
      <c r="F2938" s="14">
        <v>27279</v>
      </c>
      <c r="G2938" s="14">
        <v>21823.200000000001</v>
      </c>
      <c r="H2938" s="37">
        <f>'Calculation Sheet'!N2938</f>
        <v>21604.968000000001</v>
      </c>
    </row>
    <row r="2939" spans="1:8" x14ac:dyDescent="0.25">
      <c r="A2939" s="14" t="s">
        <v>1212</v>
      </c>
      <c r="B2939" s="14">
        <v>21</v>
      </c>
      <c r="C2939" s="15" t="s">
        <v>1214</v>
      </c>
      <c r="D2939" s="14" t="s">
        <v>1749</v>
      </c>
      <c r="E2939" s="14" t="s">
        <v>1766</v>
      </c>
      <c r="F2939" s="14">
        <v>0</v>
      </c>
      <c r="G2939" s="14">
        <v>0</v>
      </c>
      <c r="H2939" s="37">
        <f>'Calculation Sheet'!N2939</f>
        <v>0</v>
      </c>
    </row>
    <row r="2940" spans="1:8" x14ac:dyDescent="0.25">
      <c r="A2940" s="14" t="s">
        <v>1212</v>
      </c>
      <c r="B2940" s="14">
        <v>1</v>
      </c>
      <c r="C2940" s="15" t="s">
        <v>1211</v>
      </c>
      <c r="D2940" s="14" t="s">
        <v>1749</v>
      </c>
      <c r="E2940" s="14" t="s">
        <v>1746</v>
      </c>
      <c r="F2940" s="14">
        <v>2598</v>
      </c>
      <c r="G2940" s="14">
        <v>2078.4</v>
      </c>
      <c r="H2940" s="37">
        <f>'Calculation Sheet'!N2940</f>
        <v>2057.616</v>
      </c>
    </row>
    <row r="2941" spans="1:8" x14ac:dyDescent="0.25">
      <c r="A2941" s="14" t="s">
        <v>1225</v>
      </c>
      <c r="B2941" s="14">
        <v>1</v>
      </c>
      <c r="C2941" s="15" t="s">
        <v>1245</v>
      </c>
      <c r="D2941" s="14" t="s">
        <v>1749</v>
      </c>
      <c r="E2941" s="14" t="s">
        <v>1746</v>
      </c>
      <c r="F2941" s="14">
        <v>4092</v>
      </c>
      <c r="G2941" s="14">
        <v>3273.6</v>
      </c>
      <c r="H2941" s="37">
        <f>'Calculation Sheet'!N2941</f>
        <v>3240.864</v>
      </c>
    </row>
    <row r="2942" spans="1:8" x14ac:dyDescent="0.25">
      <c r="A2942" s="14" t="s">
        <v>1225</v>
      </c>
      <c r="B2942" s="14">
        <v>1</v>
      </c>
      <c r="C2942" s="15" t="s">
        <v>1245</v>
      </c>
      <c r="D2942" s="14" t="s">
        <v>1745</v>
      </c>
      <c r="E2942" s="14" t="s">
        <v>1747</v>
      </c>
      <c r="F2942" s="14">
        <v>40920</v>
      </c>
      <c r="G2942" s="14">
        <v>32736</v>
      </c>
      <c r="H2942" s="37">
        <f>'Calculation Sheet'!N2942</f>
        <v>31753.919999999998</v>
      </c>
    </row>
    <row r="2943" spans="1:8" x14ac:dyDescent="0.25">
      <c r="A2943" s="14" t="s">
        <v>1225</v>
      </c>
      <c r="B2943" s="14" t="s">
        <v>258</v>
      </c>
      <c r="C2943" s="15" t="s">
        <v>1230</v>
      </c>
      <c r="D2943" s="14" t="s">
        <v>1749</v>
      </c>
      <c r="E2943" s="14" t="s">
        <v>1766</v>
      </c>
      <c r="F2943" s="14">
        <v>0</v>
      </c>
      <c r="G2943" s="14">
        <v>0</v>
      </c>
      <c r="H2943" s="37">
        <f>'Calculation Sheet'!N2943</f>
        <v>0</v>
      </c>
    </row>
    <row r="2944" spans="1:8" x14ac:dyDescent="0.25">
      <c r="A2944" s="14" t="s">
        <v>1225</v>
      </c>
      <c r="B2944" s="14">
        <v>1</v>
      </c>
      <c r="C2944" s="15" t="s">
        <v>1245</v>
      </c>
      <c r="D2944" s="14" t="s">
        <v>1745</v>
      </c>
      <c r="E2944" s="14" t="s">
        <v>1746</v>
      </c>
      <c r="F2944" s="14">
        <v>42966</v>
      </c>
      <c r="G2944" s="14">
        <v>34372.800000000003</v>
      </c>
      <c r="H2944" s="37">
        <f>'Calculation Sheet'!N2944</f>
        <v>34029.072</v>
      </c>
    </row>
    <row r="2945" spans="1:8" x14ac:dyDescent="0.25">
      <c r="A2945" s="14" t="s">
        <v>1225</v>
      </c>
      <c r="B2945" s="14">
        <v>13</v>
      </c>
      <c r="C2945" s="15" t="s">
        <v>2617</v>
      </c>
      <c r="D2945" s="14" t="s">
        <v>1745</v>
      </c>
      <c r="E2945" s="14" t="s">
        <v>1747</v>
      </c>
      <c r="F2945" s="14">
        <v>16380</v>
      </c>
      <c r="G2945" s="14">
        <v>14742</v>
      </c>
      <c r="H2945" s="37">
        <f>'Calculation Sheet'!N2945</f>
        <v>14299.74</v>
      </c>
    </row>
    <row r="2946" spans="1:8" x14ac:dyDescent="0.25">
      <c r="A2946" s="14" t="s">
        <v>1225</v>
      </c>
      <c r="B2946" s="14">
        <v>13</v>
      </c>
      <c r="C2946" s="15" t="s">
        <v>2617</v>
      </c>
      <c r="D2946" s="14" t="s">
        <v>1745</v>
      </c>
      <c r="E2946" s="14" t="s">
        <v>1746</v>
      </c>
      <c r="F2946" s="14">
        <v>17199</v>
      </c>
      <c r="G2946" s="14">
        <v>15479.16</v>
      </c>
      <c r="H2946" s="37">
        <f>'Calculation Sheet'!N2946</f>
        <v>15324.368399999999</v>
      </c>
    </row>
    <row r="2947" spans="1:8" x14ac:dyDescent="0.25">
      <c r="A2947" s="14" t="s">
        <v>1225</v>
      </c>
      <c r="B2947" s="14">
        <v>13</v>
      </c>
      <c r="C2947" s="15" t="s">
        <v>2617</v>
      </c>
      <c r="D2947" s="14" t="s">
        <v>1749</v>
      </c>
      <c r="E2947" s="14" t="s">
        <v>1746</v>
      </c>
      <c r="F2947" s="14">
        <v>1638</v>
      </c>
      <c r="G2947" s="14">
        <v>1474.2</v>
      </c>
      <c r="H2947" s="37">
        <f>'Calculation Sheet'!N2947</f>
        <v>1459.4580000000001</v>
      </c>
    </row>
    <row r="2948" spans="1:8" x14ac:dyDescent="0.25">
      <c r="A2948" s="14" t="s">
        <v>1225</v>
      </c>
      <c r="B2948" s="14" t="s">
        <v>317</v>
      </c>
      <c r="C2948" s="15" t="s">
        <v>1230</v>
      </c>
      <c r="D2948" s="14" t="s">
        <v>1749</v>
      </c>
      <c r="E2948" s="14" t="s">
        <v>1746</v>
      </c>
      <c r="F2948" s="14">
        <v>3240</v>
      </c>
      <c r="G2948" s="14">
        <v>2592</v>
      </c>
      <c r="H2948" s="37">
        <f>'Calculation Sheet'!N2948</f>
        <v>2566.08</v>
      </c>
    </row>
    <row r="2949" spans="1:8" x14ac:dyDescent="0.25">
      <c r="A2949" s="14" t="s">
        <v>1225</v>
      </c>
      <c r="B2949" s="14" t="s">
        <v>317</v>
      </c>
      <c r="C2949" s="15" t="s">
        <v>1230</v>
      </c>
      <c r="D2949" s="14" t="s">
        <v>1745</v>
      </c>
      <c r="E2949" s="14" t="s">
        <v>1746</v>
      </c>
      <c r="F2949" s="14">
        <v>34020</v>
      </c>
      <c r="G2949" s="14">
        <v>27216</v>
      </c>
      <c r="H2949" s="37">
        <f>'Calculation Sheet'!N2949</f>
        <v>26943.84</v>
      </c>
    </row>
    <row r="2950" spans="1:8" x14ac:dyDescent="0.25">
      <c r="A2950" s="14" t="s">
        <v>1225</v>
      </c>
      <c r="B2950" s="14" t="s">
        <v>317</v>
      </c>
      <c r="C2950" s="15" t="s">
        <v>1230</v>
      </c>
      <c r="D2950" s="14" t="s">
        <v>1745</v>
      </c>
      <c r="E2950" s="14" t="s">
        <v>1747</v>
      </c>
      <c r="F2950" s="14">
        <v>32400</v>
      </c>
      <c r="G2950" s="14">
        <v>25920</v>
      </c>
      <c r="H2950" s="37">
        <f>'Calculation Sheet'!N2950</f>
        <v>25142.400000000001</v>
      </c>
    </row>
    <row r="2951" spans="1:8" x14ac:dyDescent="0.25">
      <c r="A2951" s="14" t="s">
        <v>1225</v>
      </c>
      <c r="B2951" s="14" t="s">
        <v>16</v>
      </c>
      <c r="C2951" s="15" t="s">
        <v>1245</v>
      </c>
      <c r="D2951" s="14" t="s">
        <v>1749</v>
      </c>
      <c r="E2951" s="14" t="s">
        <v>1766</v>
      </c>
      <c r="F2951" s="14">
        <v>0</v>
      </c>
      <c r="G2951" s="14">
        <v>0</v>
      </c>
      <c r="H2951" s="37">
        <f>'Calculation Sheet'!N2951</f>
        <v>0</v>
      </c>
    </row>
    <row r="2952" spans="1:8" x14ac:dyDescent="0.25">
      <c r="A2952" s="14" t="s">
        <v>2618</v>
      </c>
      <c r="B2952" s="14" t="s">
        <v>50</v>
      </c>
      <c r="C2952" s="15" t="s">
        <v>2619</v>
      </c>
      <c r="D2952" s="14" t="s">
        <v>1745</v>
      </c>
      <c r="E2952" s="14" t="s">
        <v>1747</v>
      </c>
      <c r="F2952" s="14">
        <v>199.2</v>
      </c>
      <c r="G2952" s="14">
        <v>159.36000000000001</v>
      </c>
      <c r="H2952" s="37">
        <f>'Calculation Sheet'!N2952</f>
        <v>159.36000000000001</v>
      </c>
    </row>
    <row r="2953" spans="1:8" x14ac:dyDescent="0.25">
      <c r="A2953" s="14" t="s">
        <v>2618</v>
      </c>
      <c r="B2953" s="14">
        <v>1</v>
      </c>
      <c r="C2953" s="15" t="s">
        <v>2620</v>
      </c>
      <c r="D2953" s="14" t="s">
        <v>1749</v>
      </c>
      <c r="E2953" s="14" t="s">
        <v>1746</v>
      </c>
      <c r="F2953" s="14">
        <v>19.920000000000002</v>
      </c>
      <c r="G2953" s="14">
        <v>15.94</v>
      </c>
      <c r="H2953" s="37">
        <f>'Calculation Sheet'!N2953</f>
        <v>15.94</v>
      </c>
    </row>
    <row r="2954" spans="1:8" x14ac:dyDescent="0.25">
      <c r="A2954" s="14" t="s">
        <v>2618</v>
      </c>
      <c r="B2954" s="14">
        <v>1</v>
      </c>
      <c r="C2954" s="15" t="s">
        <v>2620</v>
      </c>
      <c r="D2954" s="14" t="s">
        <v>1745</v>
      </c>
      <c r="E2954" s="14" t="s">
        <v>1747</v>
      </c>
      <c r="F2954" s="14">
        <v>199.2</v>
      </c>
      <c r="G2954" s="14">
        <v>159.36000000000001</v>
      </c>
      <c r="H2954" s="37">
        <f>'Calculation Sheet'!N2954</f>
        <v>159.36000000000001</v>
      </c>
    </row>
    <row r="2955" spans="1:8" x14ac:dyDescent="0.25">
      <c r="A2955" s="14" t="s">
        <v>2618</v>
      </c>
      <c r="B2955" s="14" t="s">
        <v>73</v>
      </c>
      <c r="C2955" s="15" t="s">
        <v>2621</v>
      </c>
      <c r="D2955" s="14" t="s">
        <v>1745</v>
      </c>
      <c r="E2955" s="14" t="s">
        <v>1747</v>
      </c>
      <c r="F2955" s="14">
        <v>80.400000000000006</v>
      </c>
      <c r="G2955" s="14">
        <v>72.36</v>
      </c>
      <c r="H2955" s="37">
        <f>'Calculation Sheet'!N2955</f>
        <v>72.36</v>
      </c>
    </row>
    <row r="2956" spans="1:8" x14ac:dyDescent="0.25">
      <c r="A2956" s="14" t="s">
        <v>2618</v>
      </c>
      <c r="B2956" s="14" t="s">
        <v>73</v>
      </c>
      <c r="C2956" s="15" t="s">
        <v>2621</v>
      </c>
      <c r="D2956" s="14" t="s">
        <v>1745</v>
      </c>
      <c r="E2956" s="14" t="s">
        <v>1746</v>
      </c>
      <c r="F2956" s="14">
        <v>84.36</v>
      </c>
      <c r="G2956" s="14">
        <v>75.959999999999994</v>
      </c>
      <c r="H2956" s="37">
        <f>'Calculation Sheet'!N2956</f>
        <v>75.959999999999994</v>
      </c>
    </row>
    <row r="2957" spans="1:8" x14ac:dyDescent="0.25">
      <c r="A2957" s="14" t="s">
        <v>2618</v>
      </c>
      <c r="B2957" s="14" t="s">
        <v>50</v>
      </c>
      <c r="C2957" s="15" t="s">
        <v>2619</v>
      </c>
      <c r="D2957" s="14" t="s">
        <v>1745</v>
      </c>
      <c r="E2957" s="14" t="s">
        <v>1746</v>
      </c>
      <c r="F2957" s="14">
        <v>209.16</v>
      </c>
      <c r="G2957" s="14">
        <v>167.28</v>
      </c>
      <c r="H2957" s="37">
        <f>'Calculation Sheet'!N2957</f>
        <v>167.28</v>
      </c>
    </row>
    <row r="2958" spans="1:8" x14ac:dyDescent="0.25">
      <c r="A2958" s="14" t="s">
        <v>2618</v>
      </c>
      <c r="B2958" s="14">
        <v>1</v>
      </c>
      <c r="C2958" s="15" t="s">
        <v>2620</v>
      </c>
      <c r="D2958" s="14" t="s">
        <v>1745</v>
      </c>
      <c r="E2958" s="14" t="s">
        <v>1746</v>
      </c>
      <c r="F2958" s="14">
        <v>209.16</v>
      </c>
      <c r="G2958" s="14">
        <v>167.28</v>
      </c>
      <c r="H2958" s="37">
        <f>'Calculation Sheet'!N2958</f>
        <v>167.28</v>
      </c>
    </row>
    <row r="2959" spans="1:8" x14ac:dyDescent="0.25">
      <c r="A2959" s="14" t="s">
        <v>2618</v>
      </c>
      <c r="B2959" s="14" t="s">
        <v>50</v>
      </c>
      <c r="C2959" s="15" t="s">
        <v>2619</v>
      </c>
      <c r="D2959" s="14" t="s">
        <v>1749</v>
      </c>
      <c r="E2959" s="14" t="s">
        <v>1746</v>
      </c>
      <c r="F2959" s="14">
        <v>19.920000000000002</v>
      </c>
      <c r="G2959" s="14">
        <v>15.94</v>
      </c>
      <c r="H2959" s="37">
        <f>'Calculation Sheet'!N2959</f>
        <v>15.94</v>
      </c>
    </row>
    <row r="2960" spans="1:8" x14ac:dyDescent="0.25">
      <c r="A2960" s="14" t="s">
        <v>2618</v>
      </c>
      <c r="B2960" s="14" t="s">
        <v>73</v>
      </c>
      <c r="C2960" s="15" t="s">
        <v>2621</v>
      </c>
      <c r="D2960" s="14" t="s">
        <v>1749</v>
      </c>
      <c r="E2960" s="14" t="s">
        <v>1746</v>
      </c>
      <c r="F2960" s="14">
        <v>8.0399999999999991</v>
      </c>
      <c r="G2960" s="14">
        <v>7.24</v>
      </c>
      <c r="H2960" s="37">
        <f>'Calculation Sheet'!N2960</f>
        <v>7.24</v>
      </c>
    </row>
    <row r="2961" spans="1:8" x14ac:dyDescent="0.25">
      <c r="A2961" s="14" t="s">
        <v>2622</v>
      </c>
      <c r="B2961" s="14" t="s">
        <v>583</v>
      </c>
      <c r="C2961" s="15" t="s">
        <v>2623</v>
      </c>
      <c r="D2961" s="14" t="s">
        <v>1745</v>
      </c>
      <c r="E2961" s="14" t="s">
        <v>1747</v>
      </c>
      <c r="F2961" s="14">
        <v>998.28</v>
      </c>
      <c r="G2961" s="14">
        <v>898.45</v>
      </c>
      <c r="H2961" s="37">
        <f>'Calculation Sheet'!N2961</f>
        <v>898.45</v>
      </c>
    </row>
    <row r="2962" spans="1:8" x14ac:dyDescent="0.25">
      <c r="A2962" s="14" t="s">
        <v>2622</v>
      </c>
      <c r="B2962" s="14" t="s">
        <v>608</v>
      </c>
      <c r="C2962" s="15" t="s">
        <v>2624</v>
      </c>
      <c r="D2962" s="14" t="s">
        <v>1745</v>
      </c>
      <c r="E2962" s="14" t="s">
        <v>1747</v>
      </c>
      <c r="F2962" s="14">
        <v>3480</v>
      </c>
      <c r="G2962" s="14">
        <v>2784</v>
      </c>
      <c r="H2962" s="37">
        <f>'Calculation Sheet'!N2962</f>
        <v>2784</v>
      </c>
    </row>
    <row r="2963" spans="1:8" x14ac:dyDescent="0.25">
      <c r="A2963" s="14" t="s">
        <v>2622</v>
      </c>
      <c r="B2963" s="14">
        <v>1</v>
      </c>
      <c r="C2963" s="15" t="s">
        <v>2625</v>
      </c>
      <c r="D2963" s="14" t="s">
        <v>1745</v>
      </c>
      <c r="E2963" s="14" t="s">
        <v>1747</v>
      </c>
      <c r="F2963" s="14">
        <v>4020</v>
      </c>
      <c r="G2963" s="14">
        <v>3216</v>
      </c>
      <c r="H2963" s="37">
        <f>'Calculation Sheet'!N2963</f>
        <v>3216</v>
      </c>
    </row>
    <row r="2964" spans="1:8" x14ac:dyDescent="0.25">
      <c r="A2964" s="14" t="s">
        <v>2622</v>
      </c>
      <c r="B2964" s="14" t="s">
        <v>608</v>
      </c>
      <c r="C2964" s="15" t="s">
        <v>2624</v>
      </c>
      <c r="D2964" s="14" t="s">
        <v>1745</v>
      </c>
      <c r="E2964" s="14" t="s">
        <v>1746</v>
      </c>
      <c r="F2964" s="14">
        <v>3654</v>
      </c>
      <c r="G2964" s="14">
        <v>2923.2</v>
      </c>
      <c r="H2964" s="37">
        <f>'Calculation Sheet'!N2964</f>
        <v>2923.2</v>
      </c>
    </row>
    <row r="2965" spans="1:8" x14ac:dyDescent="0.25">
      <c r="A2965" s="14" t="s">
        <v>2622</v>
      </c>
      <c r="B2965" s="14" t="s">
        <v>583</v>
      </c>
      <c r="C2965" s="15" t="s">
        <v>2623</v>
      </c>
      <c r="D2965" s="14" t="s">
        <v>1749</v>
      </c>
      <c r="E2965" s="14" t="s">
        <v>1746</v>
      </c>
      <c r="F2965" s="14">
        <v>99.83</v>
      </c>
      <c r="G2965" s="14">
        <v>89.85</v>
      </c>
      <c r="H2965" s="37">
        <f>'Calculation Sheet'!N2965</f>
        <v>89.85</v>
      </c>
    </row>
    <row r="2966" spans="1:8" x14ac:dyDescent="0.25">
      <c r="A2966" s="14" t="s">
        <v>2622</v>
      </c>
      <c r="B2966" s="14">
        <v>1</v>
      </c>
      <c r="C2966" s="15" t="s">
        <v>2625</v>
      </c>
      <c r="D2966" s="14" t="s">
        <v>1749</v>
      </c>
      <c r="E2966" s="14" t="s">
        <v>1746</v>
      </c>
      <c r="F2966" s="14">
        <v>402</v>
      </c>
      <c r="G2966" s="14">
        <v>321.60000000000002</v>
      </c>
      <c r="H2966" s="37">
        <f>'Calculation Sheet'!N2966</f>
        <v>321.60000000000002</v>
      </c>
    </row>
    <row r="2967" spans="1:8" x14ac:dyDescent="0.25">
      <c r="A2967" s="14" t="s">
        <v>2622</v>
      </c>
      <c r="B2967" s="14" t="s">
        <v>608</v>
      </c>
      <c r="C2967" s="15" t="s">
        <v>2624</v>
      </c>
      <c r="D2967" s="14" t="s">
        <v>1749</v>
      </c>
      <c r="E2967" s="14" t="s">
        <v>1746</v>
      </c>
      <c r="F2967" s="14">
        <v>348</v>
      </c>
      <c r="G2967" s="14">
        <v>278.39999999999998</v>
      </c>
      <c r="H2967" s="37">
        <f>'Calculation Sheet'!N2967</f>
        <v>278.39999999999998</v>
      </c>
    </row>
    <row r="2968" spans="1:8" x14ac:dyDescent="0.25">
      <c r="A2968" s="14" t="s">
        <v>2622</v>
      </c>
      <c r="B2968" s="14">
        <v>1</v>
      </c>
      <c r="C2968" s="15" t="s">
        <v>2625</v>
      </c>
      <c r="D2968" s="14" t="s">
        <v>1745</v>
      </c>
      <c r="E2968" s="14" t="s">
        <v>1746</v>
      </c>
      <c r="F2968" s="14">
        <v>4221</v>
      </c>
      <c r="G2968" s="14">
        <v>3376.8</v>
      </c>
      <c r="H2968" s="37">
        <f>'Calculation Sheet'!N2968</f>
        <v>3376.8</v>
      </c>
    </row>
    <row r="2969" spans="1:8" x14ac:dyDescent="0.25">
      <c r="A2969" s="14" t="s">
        <v>2622</v>
      </c>
      <c r="B2969" s="14" t="s">
        <v>583</v>
      </c>
      <c r="C2969" s="15" t="s">
        <v>2623</v>
      </c>
      <c r="D2969" s="14" t="s">
        <v>1745</v>
      </c>
      <c r="E2969" s="14" t="s">
        <v>1746</v>
      </c>
      <c r="F2969" s="14">
        <v>1048.2</v>
      </c>
      <c r="G2969" s="14">
        <v>943.32</v>
      </c>
      <c r="H2969" s="37">
        <f>'Calculation Sheet'!N2969</f>
        <v>943.32</v>
      </c>
    </row>
    <row r="2970" spans="1:8" x14ac:dyDescent="0.25">
      <c r="A2970" s="14" t="s">
        <v>2626</v>
      </c>
      <c r="B2970" s="14">
        <v>8</v>
      </c>
      <c r="C2970" s="15" t="s">
        <v>2627</v>
      </c>
      <c r="D2970" s="14" t="s">
        <v>1745</v>
      </c>
      <c r="E2970" s="14" t="s">
        <v>1746</v>
      </c>
      <c r="F2970" s="14">
        <v>419328</v>
      </c>
      <c r="G2970" s="14">
        <v>335462.40000000002</v>
      </c>
      <c r="H2970" s="37">
        <f>'Calculation Sheet'!N2970</f>
        <v>335462.40000000002</v>
      </c>
    </row>
    <row r="2971" spans="1:8" x14ac:dyDescent="0.25">
      <c r="A2971" s="14" t="s">
        <v>2626</v>
      </c>
      <c r="B2971" s="14">
        <v>18</v>
      </c>
      <c r="C2971" s="15" t="s">
        <v>2628</v>
      </c>
      <c r="D2971" s="14" t="s">
        <v>1749</v>
      </c>
      <c r="E2971" s="14" t="s">
        <v>1746</v>
      </c>
      <c r="F2971" s="14">
        <v>99834</v>
      </c>
      <c r="G2971" s="14">
        <v>79867.199999999997</v>
      </c>
      <c r="H2971" s="37">
        <f>'Calculation Sheet'!N2971</f>
        <v>79867.199999999997</v>
      </c>
    </row>
    <row r="2972" spans="1:8" x14ac:dyDescent="0.25">
      <c r="A2972" s="14" t="s">
        <v>2626</v>
      </c>
      <c r="B2972" s="14">
        <v>17</v>
      </c>
      <c r="C2972" s="15" t="s">
        <v>2629</v>
      </c>
      <c r="D2972" s="14" t="s">
        <v>1745</v>
      </c>
      <c r="E2972" s="14" t="s">
        <v>1747</v>
      </c>
      <c r="F2972" s="14">
        <v>249600</v>
      </c>
      <c r="G2972" s="14">
        <v>224640</v>
      </c>
      <c r="H2972" s="37">
        <f>'Calculation Sheet'!N2972</f>
        <v>224640</v>
      </c>
    </row>
    <row r="2973" spans="1:8" x14ac:dyDescent="0.25">
      <c r="A2973" s="14" t="s">
        <v>2626</v>
      </c>
      <c r="B2973" s="14">
        <v>1</v>
      </c>
      <c r="C2973" s="15" t="s">
        <v>2630</v>
      </c>
      <c r="D2973" s="14" t="s">
        <v>1749</v>
      </c>
      <c r="E2973" s="14" t="s">
        <v>1746</v>
      </c>
      <c r="F2973" s="14">
        <v>9984</v>
      </c>
      <c r="G2973" s="14">
        <v>7987.2</v>
      </c>
      <c r="H2973" s="37">
        <f>'Calculation Sheet'!N2973</f>
        <v>7987.2</v>
      </c>
    </row>
    <row r="2974" spans="1:8" x14ac:dyDescent="0.25">
      <c r="A2974" s="14" t="s">
        <v>2626</v>
      </c>
      <c r="B2974" s="14">
        <v>1</v>
      </c>
      <c r="C2974" s="15" t="s">
        <v>2630</v>
      </c>
      <c r="D2974" s="14" t="s">
        <v>1745</v>
      </c>
      <c r="E2974" s="14" t="s">
        <v>1746</v>
      </c>
      <c r="F2974" s="14">
        <v>104832</v>
      </c>
      <c r="G2974" s="14">
        <v>83865.600000000006</v>
      </c>
      <c r="H2974" s="37">
        <f>'Calculation Sheet'!N2974</f>
        <v>83865.600000000006</v>
      </c>
    </row>
    <row r="2975" spans="1:8" x14ac:dyDescent="0.25">
      <c r="A2975" s="14" t="s">
        <v>2626</v>
      </c>
      <c r="B2975" s="14">
        <v>3</v>
      </c>
      <c r="C2975" s="15" t="s">
        <v>2631</v>
      </c>
      <c r="D2975" s="14" t="s">
        <v>1745</v>
      </c>
      <c r="E2975" s="14" t="s">
        <v>1746</v>
      </c>
      <c r="F2975" s="14">
        <v>20979</v>
      </c>
      <c r="G2975" s="14">
        <v>16783.2</v>
      </c>
      <c r="H2975" s="37">
        <f>'Calculation Sheet'!N2975</f>
        <v>16783.2</v>
      </c>
    </row>
    <row r="2976" spans="1:8" x14ac:dyDescent="0.25">
      <c r="A2976" s="14" t="s">
        <v>2626</v>
      </c>
      <c r="B2976" s="14">
        <v>18</v>
      </c>
      <c r="C2976" s="15" t="s">
        <v>2628</v>
      </c>
      <c r="D2976" s="14" t="s">
        <v>1745</v>
      </c>
      <c r="E2976" s="14" t="s">
        <v>1747</v>
      </c>
      <c r="F2976" s="14">
        <v>998340</v>
      </c>
      <c r="G2976" s="14">
        <v>798672</v>
      </c>
      <c r="H2976" s="37">
        <f>'Calculation Sheet'!N2976</f>
        <v>798672</v>
      </c>
    </row>
    <row r="2977" spans="1:8" x14ac:dyDescent="0.25">
      <c r="A2977" s="14" t="s">
        <v>2626</v>
      </c>
      <c r="B2977" s="14" t="s">
        <v>263</v>
      </c>
      <c r="C2977" s="15" t="s">
        <v>2632</v>
      </c>
      <c r="D2977" s="14" t="s">
        <v>1745</v>
      </c>
      <c r="E2977" s="14" t="s">
        <v>1746</v>
      </c>
      <c r="F2977" s="14">
        <v>157248</v>
      </c>
      <c r="G2977" s="14">
        <v>141523.20000000001</v>
      </c>
      <c r="H2977" s="37">
        <f>'Calculation Sheet'!N2977</f>
        <v>141523.20000000001</v>
      </c>
    </row>
    <row r="2978" spans="1:8" x14ac:dyDescent="0.25">
      <c r="A2978" s="14" t="s">
        <v>2626</v>
      </c>
      <c r="B2978" s="14">
        <v>3</v>
      </c>
      <c r="C2978" s="15" t="s">
        <v>2631</v>
      </c>
      <c r="D2978" s="14" t="s">
        <v>1745</v>
      </c>
      <c r="E2978" s="14" t="s">
        <v>1747</v>
      </c>
      <c r="F2978" s="14">
        <v>19980</v>
      </c>
      <c r="G2978" s="14">
        <v>15984</v>
      </c>
      <c r="H2978" s="37">
        <f>'Calculation Sheet'!N2978</f>
        <v>15984</v>
      </c>
    </row>
    <row r="2979" spans="1:8" x14ac:dyDescent="0.25">
      <c r="A2979" s="14" t="s">
        <v>2626</v>
      </c>
      <c r="B2979" s="14">
        <v>8</v>
      </c>
      <c r="C2979" s="15" t="s">
        <v>2627</v>
      </c>
      <c r="D2979" s="14" t="s">
        <v>1745</v>
      </c>
      <c r="E2979" s="14" t="s">
        <v>1747</v>
      </c>
      <c r="F2979" s="14">
        <v>399360</v>
      </c>
      <c r="G2979" s="14">
        <v>319488</v>
      </c>
      <c r="H2979" s="37">
        <f>'Calculation Sheet'!N2979</f>
        <v>319488</v>
      </c>
    </row>
    <row r="2980" spans="1:8" x14ac:dyDescent="0.25">
      <c r="A2980" s="14" t="s">
        <v>2626</v>
      </c>
      <c r="B2980" s="14" t="s">
        <v>317</v>
      </c>
      <c r="C2980" s="15" t="s">
        <v>2633</v>
      </c>
      <c r="D2980" s="14" t="s">
        <v>1745</v>
      </c>
      <c r="E2980" s="14" t="s">
        <v>1746</v>
      </c>
      <c r="F2980" s="14">
        <v>838593</v>
      </c>
      <c r="G2980" s="14">
        <v>670874.4</v>
      </c>
      <c r="H2980" s="37">
        <f>'Calculation Sheet'!N2980</f>
        <v>670874.4</v>
      </c>
    </row>
    <row r="2981" spans="1:8" x14ac:dyDescent="0.25">
      <c r="A2981" s="14" t="s">
        <v>2626</v>
      </c>
      <c r="B2981" s="14" t="s">
        <v>583</v>
      </c>
      <c r="C2981" s="15" t="s">
        <v>2634</v>
      </c>
      <c r="D2981" s="14" t="s">
        <v>1745</v>
      </c>
      <c r="E2981" s="14" t="s">
        <v>1746</v>
      </c>
      <c r="F2981" s="14">
        <v>628929</v>
      </c>
      <c r="G2981" s="14">
        <v>503143.2</v>
      </c>
      <c r="H2981" s="37">
        <f>'Calculation Sheet'!N2981</f>
        <v>503143.2</v>
      </c>
    </row>
    <row r="2982" spans="1:8" x14ac:dyDescent="0.25">
      <c r="A2982" s="14" t="s">
        <v>2626</v>
      </c>
      <c r="B2982" s="14">
        <v>18</v>
      </c>
      <c r="C2982" s="15" t="s">
        <v>2628</v>
      </c>
      <c r="D2982" s="14" t="s">
        <v>1745</v>
      </c>
      <c r="E2982" s="14" t="s">
        <v>1746</v>
      </c>
      <c r="F2982" s="14">
        <v>1048257</v>
      </c>
      <c r="G2982" s="14">
        <v>838605.6</v>
      </c>
      <c r="H2982" s="37">
        <f>'Calculation Sheet'!N2982</f>
        <v>838605.6</v>
      </c>
    </row>
    <row r="2983" spans="1:8" x14ac:dyDescent="0.25">
      <c r="A2983" s="14" t="s">
        <v>2626</v>
      </c>
      <c r="B2983" s="14" t="s">
        <v>608</v>
      </c>
      <c r="C2983" s="15" t="s">
        <v>2635</v>
      </c>
      <c r="D2983" s="14" t="s">
        <v>1745</v>
      </c>
      <c r="E2983" s="14" t="s">
        <v>1747</v>
      </c>
      <c r="F2983" s="14">
        <v>199680</v>
      </c>
      <c r="G2983" s="14">
        <v>179712</v>
      </c>
      <c r="H2983" s="37">
        <f>'Calculation Sheet'!N2983</f>
        <v>179712</v>
      </c>
    </row>
    <row r="2984" spans="1:8" x14ac:dyDescent="0.25">
      <c r="A2984" s="14" t="s">
        <v>2626</v>
      </c>
      <c r="B2984" s="14">
        <v>5</v>
      </c>
      <c r="C2984" s="15" t="s">
        <v>2636</v>
      </c>
      <c r="D2984" s="14" t="s">
        <v>1749</v>
      </c>
      <c r="E2984" s="14" t="s">
        <v>1746</v>
      </c>
      <c r="F2984" s="14">
        <v>2496</v>
      </c>
      <c r="G2984" s="14">
        <v>2246.4</v>
      </c>
      <c r="H2984" s="37">
        <f>'Calculation Sheet'!N2984</f>
        <v>2246.4</v>
      </c>
    </row>
    <row r="2985" spans="1:8" x14ac:dyDescent="0.25">
      <c r="A2985" s="14" t="s">
        <v>2626</v>
      </c>
      <c r="B2985" s="14">
        <v>5</v>
      </c>
      <c r="C2985" s="15" t="s">
        <v>2636</v>
      </c>
      <c r="D2985" s="14" t="s">
        <v>1745</v>
      </c>
      <c r="E2985" s="14" t="s">
        <v>1746</v>
      </c>
      <c r="F2985" s="14">
        <v>26208</v>
      </c>
      <c r="G2985" s="14">
        <v>23587.200000000001</v>
      </c>
      <c r="H2985" s="37">
        <f>'Calculation Sheet'!N2985</f>
        <v>23587.200000000001</v>
      </c>
    </row>
    <row r="2986" spans="1:8" x14ac:dyDescent="0.25">
      <c r="A2986" s="14" t="s">
        <v>2626</v>
      </c>
      <c r="B2986" s="14">
        <v>14</v>
      </c>
      <c r="C2986" s="15" t="s">
        <v>2637</v>
      </c>
      <c r="D2986" s="14" t="s">
        <v>1749</v>
      </c>
      <c r="E2986" s="14" t="s">
        <v>1746</v>
      </c>
      <c r="F2986" s="14">
        <v>119802</v>
      </c>
      <c r="G2986" s="14">
        <v>95841.600000000006</v>
      </c>
      <c r="H2986" s="37">
        <f>'Calculation Sheet'!N2986</f>
        <v>95841.600000000006</v>
      </c>
    </row>
    <row r="2987" spans="1:8" x14ac:dyDescent="0.25">
      <c r="A2987" s="14" t="s">
        <v>2626</v>
      </c>
      <c r="B2987" s="14">
        <v>7</v>
      </c>
      <c r="C2987" s="15" t="s">
        <v>2638</v>
      </c>
      <c r="D2987" s="14" t="s">
        <v>1745</v>
      </c>
      <c r="E2987" s="14" t="s">
        <v>1746</v>
      </c>
      <c r="F2987" s="14">
        <v>209664</v>
      </c>
      <c r="G2987" s="14">
        <v>167731.20000000001</v>
      </c>
      <c r="H2987" s="37">
        <f>'Calculation Sheet'!N2987</f>
        <v>167731.20000000001</v>
      </c>
    </row>
    <row r="2988" spans="1:8" x14ac:dyDescent="0.25">
      <c r="A2988" s="14" t="s">
        <v>2626</v>
      </c>
      <c r="B2988" s="14">
        <v>3</v>
      </c>
      <c r="C2988" s="15" t="s">
        <v>2631</v>
      </c>
      <c r="D2988" s="14" t="s">
        <v>1749</v>
      </c>
      <c r="E2988" s="14" t="s">
        <v>1746</v>
      </c>
      <c r="F2988" s="14">
        <v>1998</v>
      </c>
      <c r="G2988" s="14">
        <v>1598.4</v>
      </c>
      <c r="H2988" s="37">
        <f>'Calculation Sheet'!N2988</f>
        <v>1598.4</v>
      </c>
    </row>
    <row r="2989" spans="1:8" x14ac:dyDescent="0.25">
      <c r="A2989" s="14" t="s">
        <v>2626</v>
      </c>
      <c r="B2989" s="14">
        <v>2</v>
      </c>
      <c r="C2989" s="15" t="s">
        <v>2639</v>
      </c>
      <c r="D2989" s="14" t="s">
        <v>1745</v>
      </c>
      <c r="E2989" s="14" t="s">
        <v>1747</v>
      </c>
      <c r="F2989" s="14">
        <v>4980</v>
      </c>
      <c r="G2989" s="14">
        <v>4482</v>
      </c>
      <c r="H2989" s="37">
        <f>'Calculation Sheet'!N2989</f>
        <v>4482</v>
      </c>
    </row>
    <row r="2990" spans="1:8" x14ac:dyDescent="0.25">
      <c r="A2990" s="14" t="s">
        <v>2626</v>
      </c>
      <c r="B2990" s="14">
        <v>17</v>
      </c>
      <c r="C2990" s="15" t="s">
        <v>2629</v>
      </c>
      <c r="D2990" s="14" t="s">
        <v>1745</v>
      </c>
      <c r="E2990" s="14" t="s">
        <v>1746</v>
      </c>
      <c r="F2990" s="14">
        <v>262080</v>
      </c>
      <c r="G2990" s="14">
        <v>235872</v>
      </c>
      <c r="H2990" s="37">
        <f>'Calculation Sheet'!N2990</f>
        <v>235872</v>
      </c>
    </row>
    <row r="2991" spans="1:8" x14ac:dyDescent="0.25">
      <c r="A2991" s="14" t="s">
        <v>2626</v>
      </c>
      <c r="B2991" s="14" t="s">
        <v>317</v>
      </c>
      <c r="C2991" s="15" t="s">
        <v>2633</v>
      </c>
      <c r="D2991" s="14" t="s">
        <v>1749</v>
      </c>
      <c r="E2991" s="14" t="s">
        <v>1746</v>
      </c>
      <c r="F2991" s="14">
        <v>79866</v>
      </c>
      <c r="G2991" s="14">
        <v>63892.800000000003</v>
      </c>
      <c r="H2991" s="37">
        <f>'Calculation Sheet'!N2991</f>
        <v>63892.800000000003</v>
      </c>
    </row>
    <row r="2992" spans="1:8" x14ac:dyDescent="0.25">
      <c r="A2992" s="14" t="s">
        <v>2626</v>
      </c>
      <c r="B2992" s="14">
        <v>1</v>
      </c>
      <c r="C2992" s="15" t="s">
        <v>2630</v>
      </c>
      <c r="D2992" s="14" t="s">
        <v>1745</v>
      </c>
      <c r="E2992" s="14" t="s">
        <v>1747</v>
      </c>
      <c r="F2992" s="14">
        <v>99840</v>
      </c>
      <c r="G2992" s="14">
        <v>79872</v>
      </c>
      <c r="H2992" s="37">
        <f>'Calculation Sheet'!N2992</f>
        <v>79872</v>
      </c>
    </row>
    <row r="2993" spans="1:8" x14ac:dyDescent="0.25">
      <c r="A2993" s="14" t="s">
        <v>2626</v>
      </c>
      <c r="B2993" s="14">
        <v>5</v>
      </c>
      <c r="C2993" s="15" t="s">
        <v>2636</v>
      </c>
      <c r="D2993" s="14" t="s">
        <v>1745</v>
      </c>
      <c r="E2993" s="14" t="s">
        <v>1747</v>
      </c>
      <c r="F2993" s="14">
        <v>24960</v>
      </c>
      <c r="G2993" s="14">
        <v>22464</v>
      </c>
      <c r="H2993" s="37">
        <f>'Calculation Sheet'!N2993</f>
        <v>22464</v>
      </c>
    </row>
    <row r="2994" spans="1:8" x14ac:dyDescent="0.25">
      <c r="A2994" s="14" t="s">
        <v>2626</v>
      </c>
      <c r="B2994" s="14">
        <v>7</v>
      </c>
      <c r="C2994" s="15" t="s">
        <v>2638</v>
      </c>
      <c r="D2994" s="14" t="s">
        <v>1745</v>
      </c>
      <c r="E2994" s="14" t="s">
        <v>1747</v>
      </c>
      <c r="F2994" s="14">
        <v>199680</v>
      </c>
      <c r="G2994" s="14">
        <v>159744</v>
      </c>
      <c r="H2994" s="37">
        <f>'Calculation Sheet'!N2994</f>
        <v>159744</v>
      </c>
    </row>
    <row r="2995" spans="1:8" x14ac:dyDescent="0.25">
      <c r="A2995" s="14" t="s">
        <v>2626</v>
      </c>
      <c r="B2995" s="14">
        <v>2</v>
      </c>
      <c r="C2995" s="15" t="s">
        <v>2639</v>
      </c>
      <c r="D2995" s="14" t="s">
        <v>1749</v>
      </c>
      <c r="E2995" s="14" t="s">
        <v>1746</v>
      </c>
      <c r="F2995" s="14">
        <v>498</v>
      </c>
      <c r="G2995" s="14">
        <v>448.2</v>
      </c>
      <c r="H2995" s="37">
        <f>'Calculation Sheet'!N2995</f>
        <v>448.2</v>
      </c>
    </row>
    <row r="2996" spans="1:8" x14ac:dyDescent="0.25">
      <c r="A2996" s="14" t="s">
        <v>2626</v>
      </c>
      <c r="B2996" s="14" t="s">
        <v>263</v>
      </c>
      <c r="C2996" s="15" t="s">
        <v>2632</v>
      </c>
      <c r="D2996" s="14" t="s">
        <v>1745</v>
      </c>
      <c r="E2996" s="14" t="s">
        <v>1747</v>
      </c>
      <c r="F2996" s="14">
        <v>149760</v>
      </c>
      <c r="G2996" s="14">
        <v>134784</v>
      </c>
      <c r="H2996" s="37">
        <f>'Calculation Sheet'!N2996</f>
        <v>134784</v>
      </c>
    </row>
    <row r="2997" spans="1:8" x14ac:dyDescent="0.25">
      <c r="A2997" s="14" t="s">
        <v>2626</v>
      </c>
      <c r="B2997" s="14">
        <v>6</v>
      </c>
      <c r="C2997" s="15" t="s">
        <v>2640</v>
      </c>
      <c r="D2997" s="14" t="s">
        <v>1745</v>
      </c>
      <c r="E2997" s="14" t="s">
        <v>1747</v>
      </c>
      <c r="F2997" s="14">
        <v>49920</v>
      </c>
      <c r="G2997" s="14">
        <v>44928</v>
      </c>
      <c r="H2997" s="37">
        <f>'Calculation Sheet'!N2997</f>
        <v>44928</v>
      </c>
    </row>
    <row r="2998" spans="1:8" x14ac:dyDescent="0.25">
      <c r="A2998" s="14" t="s">
        <v>2626</v>
      </c>
      <c r="B2998" s="14">
        <v>4</v>
      </c>
      <c r="C2998" s="15" t="s">
        <v>2641</v>
      </c>
      <c r="D2998" s="14" t="s">
        <v>1745</v>
      </c>
      <c r="E2998" s="14" t="s">
        <v>1747</v>
      </c>
      <c r="F2998" s="14">
        <v>99840</v>
      </c>
      <c r="G2998" s="14">
        <v>89856</v>
      </c>
      <c r="H2998" s="37">
        <f>'Calculation Sheet'!N2998</f>
        <v>89856</v>
      </c>
    </row>
    <row r="2999" spans="1:8" x14ac:dyDescent="0.25">
      <c r="A2999" s="14" t="s">
        <v>2626</v>
      </c>
      <c r="B2999" s="14">
        <v>17</v>
      </c>
      <c r="C2999" s="15" t="s">
        <v>2629</v>
      </c>
      <c r="D2999" s="14" t="s">
        <v>1749</v>
      </c>
      <c r="E2999" s="14" t="s">
        <v>1746</v>
      </c>
      <c r="F2999" s="14">
        <v>24960</v>
      </c>
      <c r="G2999" s="14">
        <v>22464</v>
      </c>
      <c r="H2999" s="37">
        <f>'Calculation Sheet'!N2999</f>
        <v>22464</v>
      </c>
    </row>
    <row r="3000" spans="1:8" x14ac:dyDescent="0.25">
      <c r="A3000" s="14" t="s">
        <v>2626</v>
      </c>
      <c r="B3000" s="14">
        <v>13</v>
      </c>
      <c r="C3000" s="15" t="s">
        <v>2642</v>
      </c>
      <c r="D3000" s="14" t="s">
        <v>1745</v>
      </c>
      <c r="E3000" s="14" t="s">
        <v>1746</v>
      </c>
      <c r="F3000" s="14">
        <v>314496</v>
      </c>
      <c r="G3000" s="14">
        <v>283046.40000000002</v>
      </c>
      <c r="H3000" s="37">
        <f>'Calculation Sheet'!N3000</f>
        <v>283046.40000000002</v>
      </c>
    </row>
    <row r="3001" spans="1:8" x14ac:dyDescent="0.25">
      <c r="A3001" s="14" t="s">
        <v>2626</v>
      </c>
      <c r="B3001" s="14" t="s">
        <v>263</v>
      </c>
      <c r="C3001" s="15" t="s">
        <v>2632</v>
      </c>
      <c r="D3001" s="14" t="s">
        <v>1749</v>
      </c>
      <c r="E3001" s="14" t="s">
        <v>1746</v>
      </c>
      <c r="F3001" s="14">
        <v>14976</v>
      </c>
      <c r="G3001" s="14">
        <v>13478.4</v>
      </c>
      <c r="H3001" s="37">
        <f>'Calculation Sheet'!N3001</f>
        <v>13478.4</v>
      </c>
    </row>
    <row r="3002" spans="1:8" x14ac:dyDescent="0.25">
      <c r="A3002" s="14" t="s">
        <v>2626</v>
      </c>
      <c r="B3002" s="14">
        <v>4</v>
      </c>
      <c r="C3002" s="15" t="s">
        <v>2641</v>
      </c>
      <c r="D3002" s="14" t="s">
        <v>1745</v>
      </c>
      <c r="E3002" s="14" t="s">
        <v>1746</v>
      </c>
      <c r="F3002" s="14">
        <v>104832</v>
      </c>
      <c r="G3002" s="14">
        <v>94348.800000000003</v>
      </c>
      <c r="H3002" s="37">
        <f>'Calculation Sheet'!N3002</f>
        <v>94348.800000000003</v>
      </c>
    </row>
    <row r="3003" spans="1:8" x14ac:dyDescent="0.25">
      <c r="A3003" s="14" t="s">
        <v>2626</v>
      </c>
      <c r="B3003" s="14" t="s">
        <v>608</v>
      </c>
      <c r="C3003" s="15" t="s">
        <v>2635</v>
      </c>
      <c r="D3003" s="14" t="s">
        <v>1749</v>
      </c>
      <c r="E3003" s="14" t="s">
        <v>1746</v>
      </c>
      <c r="F3003" s="14">
        <v>19968</v>
      </c>
      <c r="G3003" s="14">
        <v>17971.2</v>
      </c>
      <c r="H3003" s="37">
        <f>'Calculation Sheet'!N3003</f>
        <v>17971.2</v>
      </c>
    </row>
    <row r="3004" spans="1:8" x14ac:dyDescent="0.25">
      <c r="A3004" s="14" t="s">
        <v>2626</v>
      </c>
      <c r="B3004" s="14">
        <v>4</v>
      </c>
      <c r="C3004" s="15" t="s">
        <v>2641</v>
      </c>
      <c r="D3004" s="14" t="s">
        <v>1749</v>
      </c>
      <c r="E3004" s="14" t="s">
        <v>1746</v>
      </c>
      <c r="F3004" s="14">
        <v>9984</v>
      </c>
      <c r="G3004" s="14">
        <v>8985.6</v>
      </c>
      <c r="H3004" s="37">
        <f>'Calculation Sheet'!N3004</f>
        <v>8985.6</v>
      </c>
    </row>
    <row r="3005" spans="1:8" x14ac:dyDescent="0.25">
      <c r="A3005" s="14" t="s">
        <v>2626</v>
      </c>
      <c r="B3005" s="14">
        <v>13</v>
      </c>
      <c r="C3005" s="15" t="s">
        <v>2642</v>
      </c>
      <c r="D3005" s="14" t="s">
        <v>1749</v>
      </c>
      <c r="E3005" s="14" t="s">
        <v>1746</v>
      </c>
      <c r="F3005" s="14">
        <v>29952</v>
      </c>
      <c r="G3005" s="14">
        <v>26956.799999999999</v>
      </c>
      <c r="H3005" s="37">
        <f>'Calculation Sheet'!N3005</f>
        <v>26956.799999999999</v>
      </c>
    </row>
    <row r="3006" spans="1:8" x14ac:dyDescent="0.25">
      <c r="A3006" s="14" t="s">
        <v>2626</v>
      </c>
      <c r="B3006" s="14" t="s">
        <v>608</v>
      </c>
      <c r="C3006" s="15" t="s">
        <v>2635</v>
      </c>
      <c r="D3006" s="14" t="s">
        <v>1745</v>
      </c>
      <c r="E3006" s="14" t="s">
        <v>1746</v>
      </c>
      <c r="F3006" s="14">
        <v>209664</v>
      </c>
      <c r="G3006" s="14">
        <v>188697.60000000001</v>
      </c>
      <c r="H3006" s="37">
        <f>'Calculation Sheet'!N3006</f>
        <v>188697.60000000001</v>
      </c>
    </row>
    <row r="3007" spans="1:8" x14ac:dyDescent="0.25">
      <c r="A3007" s="14" t="s">
        <v>2626</v>
      </c>
      <c r="B3007" s="14">
        <v>14</v>
      </c>
      <c r="C3007" s="15" t="s">
        <v>2637</v>
      </c>
      <c r="D3007" s="14" t="s">
        <v>1745</v>
      </c>
      <c r="E3007" s="14" t="s">
        <v>1746</v>
      </c>
      <c r="F3007" s="14">
        <v>1257921</v>
      </c>
      <c r="G3007" s="14">
        <v>1006337</v>
      </c>
      <c r="H3007" s="37">
        <f>'Calculation Sheet'!N3007</f>
        <v>1006337</v>
      </c>
    </row>
    <row r="3008" spans="1:8" x14ac:dyDescent="0.25">
      <c r="A3008" s="14" t="s">
        <v>2626</v>
      </c>
      <c r="B3008" s="14">
        <v>6</v>
      </c>
      <c r="C3008" s="15" t="s">
        <v>2640</v>
      </c>
      <c r="D3008" s="14" t="s">
        <v>1745</v>
      </c>
      <c r="E3008" s="14" t="s">
        <v>1746</v>
      </c>
      <c r="F3008" s="14">
        <v>52416</v>
      </c>
      <c r="G3008" s="14">
        <v>47174.400000000001</v>
      </c>
      <c r="H3008" s="37">
        <f>'Calculation Sheet'!N3008</f>
        <v>47174.400000000001</v>
      </c>
    </row>
    <row r="3009" spans="1:8" x14ac:dyDescent="0.25">
      <c r="A3009" s="14" t="s">
        <v>2626</v>
      </c>
      <c r="B3009" s="14">
        <v>2</v>
      </c>
      <c r="C3009" s="15" t="s">
        <v>2639</v>
      </c>
      <c r="D3009" s="14" t="s">
        <v>1745</v>
      </c>
      <c r="E3009" s="14" t="s">
        <v>1746</v>
      </c>
      <c r="F3009" s="14">
        <v>5229</v>
      </c>
      <c r="G3009" s="14">
        <v>4706.16</v>
      </c>
      <c r="H3009" s="37">
        <f>'Calculation Sheet'!N3009</f>
        <v>4706.16</v>
      </c>
    </row>
    <row r="3010" spans="1:8" x14ac:dyDescent="0.25">
      <c r="A3010" s="14" t="s">
        <v>2626</v>
      </c>
      <c r="B3010" s="14" t="s">
        <v>583</v>
      </c>
      <c r="C3010" s="15" t="s">
        <v>2634</v>
      </c>
      <c r="D3010" s="14" t="s">
        <v>1749</v>
      </c>
      <c r="E3010" s="14" t="s">
        <v>1746</v>
      </c>
      <c r="F3010" s="14">
        <v>59898</v>
      </c>
      <c r="G3010" s="14">
        <v>47918.400000000001</v>
      </c>
      <c r="H3010" s="37">
        <f>'Calculation Sheet'!N3010</f>
        <v>47918.400000000001</v>
      </c>
    </row>
    <row r="3011" spans="1:8" x14ac:dyDescent="0.25">
      <c r="A3011" s="14" t="s">
        <v>2626</v>
      </c>
      <c r="B3011" s="14">
        <v>7</v>
      </c>
      <c r="C3011" s="15" t="s">
        <v>2638</v>
      </c>
      <c r="D3011" s="14" t="s">
        <v>1749</v>
      </c>
      <c r="E3011" s="14" t="s">
        <v>1746</v>
      </c>
      <c r="F3011" s="14">
        <v>19968</v>
      </c>
      <c r="G3011" s="14">
        <v>15974.4</v>
      </c>
      <c r="H3011" s="37">
        <f>'Calculation Sheet'!N3011</f>
        <v>15974.4</v>
      </c>
    </row>
    <row r="3012" spans="1:8" x14ac:dyDescent="0.25">
      <c r="A3012" s="14" t="s">
        <v>2626</v>
      </c>
      <c r="B3012" s="14">
        <v>13</v>
      </c>
      <c r="C3012" s="15" t="s">
        <v>2642</v>
      </c>
      <c r="D3012" s="14" t="s">
        <v>1745</v>
      </c>
      <c r="E3012" s="14" t="s">
        <v>1747</v>
      </c>
      <c r="F3012" s="14">
        <v>299520</v>
      </c>
      <c r="G3012" s="14">
        <v>269568</v>
      </c>
      <c r="H3012" s="37">
        <f>'Calculation Sheet'!N3012</f>
        <v>269568</v>
      </c>
    </row>
    <row r="3013" spans="1:8" x14ac:dyDescent="0.25">
      <c r="A3013" s="14" t="s">
        <v>2626</v>
      </c>
      <c r="B3013" s="14">
        <v>6</v>
      </c>
      <c r="C3013" s="15" t="s">
        <v>2640</v>
      </c>
      <c r="D3013" s="14" t="s">
        <v>1749</v>
      </c>
      <c r="E3013" s="14" t="s">
        <v>1746</v>
      </c>
      <c r="F3013" s="14">
        <v>4992</v>
      </c>
      <c r="G3013" s="14">
        <v>4492.8</v>
      </c>
      <c r="H3013" s="37">
        <f>'Calculation Sheet'!N3013</f>
        <v>4492.8</v>
      </c>
    </row>
    <row r="3014" spans="1:8" x14ac:dyDescent="0.25">
      <c r="A3014" s="14" t="s">
        <v>2626</v>
      </c>
      <c r="B3014" s="14" t="s">
        <v>317</v>
      </c>
      <c r="C3014" s="15" t="s">
        <v>2633</v>
      </c>
      <c r="D3014" s="14" t="s">
        <v>1745</v>
      </c>
      <c r="E3014" s="14" t="s">
        <v>1747</v>
      </c>
      <c r="F3014" s="14">
        <v>798660</v>
      </c>
      <c r="G3014" s="14">
        <v>638928</v>
      </c>
      <c r="H3014" s="37">
        <f>'Calculation Sheet'!N3014</f>
        <v>638928</v>
      </c>
    </row>
    <row r="3015" spans="1:8" x14ac:dyDescent="0.25">
      <c r="A3015" s="14" t="s">
        <v>2626</v>
      </c>
      <c r="B3015" s="14" t="s">
        <v>583</v>
      </c>
      <c r="C3015" s="15" t="s">
        <v>2634</v>
      </c>
      <c r="D3015" s="14" t="s">
        <v>1745</v>
      </c>
      <c r="E3015" s="14" t="s">
        <v>1747</v>
      </c>
      <c r="F3015" s="14">
        <v>598980</v>
      </c>
      <c r="G3015" s="14">
        <v>479184</v>
      </c>
      <c r="H3015" s="37">
        <f>'Calculation Sheet'!N3015</f>
        <v>479184</v>
      </c>
    </row>
    <row r="3016" spans="1:8" x14ac:dyDescent="0.25">
      <c r="A3016" s="14" t="s">
        <v>2626</v>
      </c>
      <c r="B3016" s="14">
        <v>8</v>
      </c>
      <c r="C3016" s="15" t="s">
        <v>2627</v>
      </c>
      <c r="D3016" s="14" t="s">
        <v>1749</v>
      </c>
      <c r="E3016" s="14" t="s">
        <v>1746</v>
      </c>
      <c r="F3016" s="14">
        <v>39936</v>
      </c>
      <c r="G3016" s="14">
        <v>31948.799999999999</v>
      </c>
      <c r="H3016" s="37">
        <f>'Calculation Sheet'!N3016</f>
        <v>31948.799999999999</v>
      </c>
    </row>
    <row r="3017" spans="1:8" x14ac:dyDescent="0.25">
      <c r="A3017" s="14" t="s">
        <v>2626</v>
      </c>
      <c r="B3017" s="14">
        <v>14</v>
      </c>
      <c r="C3017" s="15" t="s">
        <v>2637</v>
      </c>
      <c r="D3017" s="14" t="s">
        <v>1745</v>
      </c>
      <c r="E3017" s="14" t="s">
        <v>1747</v>
      </c>
      <c r="F3017" s="14">
        <v>1198020</v>
      </c>
      <c r="G3017" s="14">
        <v>958416</v>
      </c>
      <c r="H3017" s="37">
        <f>'Calculation Sheet'!N3017</f>
        <v>958416</v>
      </c>
    </row>
    <row r="3018" spans="1:8" x14ac:dyDescent="0.25">
      <c r="A3018" s="14" t="s">
        <v>2643</v>
      </c>
      <c r="B3018" s="14">
        <v>2</v>
      </c>
      <c r="C3018" s="15" t="s">
        <v>2644</v>
      </c>
      <c r="D3018" s="14" t="s">
        <v>1749</v>
      </c>
      <c r="E3018" s="14" t="s">
        <v>1746</v>
      </c>
      <c r="F3018" s="14">
        <v>2994</v>
      </c>
      <c r="G3018" s="14">
        <v>2395.1999999999998</v>
      </c>
      <c r="H3018" s="37">
        <f>'Calculation Sheet'!N3018</f>
        <v>2395.1999999999998</v>
      </c>
    </row>
    <row r="3019" spans="1:8" x14ac:dyDescent="0.25">
      <c r="A3019" s="14" t="s">
        <v>2643</v>
      </c>
      <c r="B3019" s="14" t="s">
        <v>118</v>
      </c>
      <c r="C3019" s="15" t="s">
        <v>2645</v>
      </c>
      <c r="D3019" s="14" t="s">
        <v>1745</v>
      </c>
      <c r="E3019" s="14" t="s">
        <v>1747</v>
      </c>
      <c r="F3019" s="14">
        <v>4500</v>
      </c>
      <c r="G3019" s="14">
        <v>3600</v>
      </c>
      <c r="H3019" s="37">
        <f>'Calculation Sheet'!N3019</f>
        <v>3600</v>
      </c>
    </row>
    <row r="3020" spans="1:8" x14ac:dyDescent="0.25">
      <c r="A3020" s="14" t="s">
        <v>2643</v>
      </c>
      <c r="B3020" s="14" t="s">
        <v>243</v>
      </c>
      <c r="C3020" s="15" t="s">
        <v>2646</v>
      </c>
      <c r="D3020" s="14" t="s">
        <v>1745</v>
      </c>
      <c r="E3020" s="14" t="s">
        <v>1746</v>
      </c>
      <c r="F3020" s="14">
        <v>6300</v>
      </c>
      <c r="G3020" s="14">
        <v>5040</v>
      </c>
      <c r="H3020" s="37">
        <f>'Calculation Sheet'!N3020</f>
        <v>5040</v>
      </c>
    </row>
    <row r="3021" spans="1:8" x14ac:dyDescent="0.25">
      <c r="A3021" s="14" t="s">
        <v>2643</v>
      </c>
      <c r="B3021" s="14" t="s">
        <v>243</v>
      </c>
      <c r="C3021" s="15" t="s">
        <v>2646</v>
      </c>
      <c r="D3021" s="14" t="s">
        <v>1749</v>
      </c>
      <c r="E3021" s="14" t="s">
        <v>1746</v>
      </c>
      <c r="F3021" s="14">
        <v>600</v>
      </c>
      <c r="G3021" s="14">
        <v>480</v>
      </c>
      <c r="H3021" s="37">
        <f>'Calculation Sheet'!N3021</f>
        <v>480</v>
      </c>
    </row>
    <row r="3022" spans="1:8" x14ac:dyDescent="0.25">
      <c r="A3022" s="14" t="s">
        <v>2643</v>
      </c>
      <c r="B3022" s="14">
        <v>12</v>
      </c>
      <c r="C3022" s="15" t="s">
        <v>2647</v>
      </c>
      <c r="D3022" s="14" t="s">
        <v>1745</v>
      </c>
      <c r="E3022" s="14" t="s">
        <v>1747</v>
      </c>
      <c r="F3022" s="14">
        <v>12000</v>
      </c>
      <c r="G3022" s="14">
        <v>10800</v>
      </c>
      <c r="H3022" s="37">
        <f>'Calculation Sheet'!N3022</f>
        <v>10800</v>
      </c>
    </row>
    <row r="3023" spans="1:8" x14ac:dyDescent="0.25">
      <c r="A3023" s="14" t="s">
        <v>2643</v>
      </c>
      <c r="B3023" s="14">
        <v>2</v>
      </c>
      <c r="C3023" s="15" t="s">
        <v>2644</v>
      </c>
      <c r="D3023" s="14" t="s">
        <v>1745</v>
      </c>
      <c r="E3023" s="14" t="s">
        <v>1746</v>
      </c>
      <c r="F3023" s="14">
        <v>31437</v>
      </c>
      <c r="G3023" s="14">
        <v>25149.599999999999</v>
      </c>
      <c r="H3023" s="37">
        <f>'Calculation Sheet'!N3023</f>
        <v>25149.599999999999</v>
      </c>
    </row>
    <row r="3024" spans="1:8" x14ac:dyDescent="0.25">
      <c r="A3024" s="14" t="s">
        <v>2643</v>
      </c>
      <c r="B3024" s="14" t="s">
        <v>118</v>
      </c>
      <c r="C3024" s="15" t="s">
        <v>2645</v>
      </c>
      <c r="D3024" s="14" t="s">
        <v>1745</v>
      </c>
      <c r="E3024" s="14" t="s">
        <v>1746</v>
      </c>
      <c r="F3024" s="14">
        <v>4725</v>
      </c>
      <c r="G3024" s="14">
        <v>3780</v>
      </c>
      <c r="H3024" s="37">
        <f>'Calculation Sheet'!N3024</f>
        <v>3780</v>
      </c>
    </row>
    <row r="3025" spans="1:8" x14ac:dyDescent="0.25">
      <c r="A3025" s="14" t="s">
        <v>2643</v>
      </c>
      <c r="B3025" s="14">
        <v>4</v>
      </c>
      <c r="C3025" s="15" t="s">
        <v>2644</v>
      </c>
      <c r="D3025" s="14" t="s">
        <v>1749</v>
      </c>
      <c r="E3025" s="14" t="s">
        <v>1766</v>
      </c>
      <c r="F3025" s="14">
        <v>0</v>
      </c>
      <c r="G3025" s="14">
        <v>0</v>
      </c>
      <c r="H3025" s="37">
        <f>'Calculation Sheet'!N3025</f>
        <v>0</v>
      </c>
    </row>
    <row r="3026" spans="1:8" x14ac:dyDescent="0.25">
      <c r="A3026" s="14" t="s">
        <v>2643</v>
      </c>
      <c r="B3026" s="14" t="s">
        <v>118</v>
      </c>
      <c r="C3026" s="15" t="s">
        <v>2645</v>
      </c>
      <c r="D3026" s="14" t="s">
        <v>1749</v>
      </c>
      <c r="E3026" s="14" t="s">
        <v>1746</v>
      </c>
      <c r="F3026" s="14">
        <v>450</v>
      </c>
      <c r="G3026" s="14">
        <v>360</v>
      </c>
      <c r="H3026" s="37">
        <f>'Calculation Sheet'!N3026</f>
        <v>360</v>
      </c>
    </row>
    <row r="3027" spans="1:8" x14ac:dyDescent="0.25">
      <c r="A3027" s="14" t="s">
        <v>2643</v>
      </c>
      <c r="B3027" s="14">
        <v>12</v>
      </c>
      <c r="C3027" s="15" t="s">
        <v>2647</v>
      </c>
      <c r="D3027" s="14" t="s">
        <v>1749</v>
      </c>
      <c r="E3027" s="14" t="s">
        <v>1746</v>
      </c>
      <c r="F3027" s="14">
        <v>1200</v>
      </c>
      <c r="G3027" s="14">
        <v>1080</v>
      </c>
      <c r="H3027" s="37">
        <f>'Calculation Sheet'!N3027</f>
        <v>1080</v>
      </c>
    </row>
    <row r="3028" spans="1:8" x14ac:dyDescent="0.25">
      <c r="A3028" s="14" t="s">
        <v>2643</v>
      </c>
      <c r="B3028" s="14">
        <v>12</v>
      </c>
      <c r="C3028" s="15" t="s">
        <v>2647</v>
      </c>
      <c r="D3028" s="14" t="s">
        <v>1745</v>
      </c>
      <c r="E3028" s="14" t="s">
        <v>1746</v>
      </c>
      <c r="F3028" s="14">
        <v>12600</v>
      </c>
      <c r="G3028" s="14">
        <v>11340</v>
      </c>
      <c r="H3028" s="37">
        <f>'Calculation Sheet'!N3028</f>
        <v>11340</v>
      </c>
    </row>
    <row r="3029" spans="1:8" x14ac:dyDescent="0.25">
      <c r="A3029" s="14" t="s">
        <v>2643</v>
      </c>
      <c r="B3029" s="14">
        <v>2</v>
      </c>
      <c r="C3029" s="15" t="s">
        <v>2644</v>
      </c>
      <c r="D3029" s="14" t="s">
        <v>1745</v>
      </c>
      <c r="E3029" s="14" t="s">
        <v>1747</v>
      </c>
      <c r="F3029" s="14">
        <v>29940</v>
      </c>
      <c r="G3029" s="14">
        <v>23952</v>
      </c>
      <c r="H3029" s="37">
        <f>'Calculation Sheet'!N3029</f>
        <v>23952</v>
      </c>
    </row>
    <row r="3030" spans="1:8" x14ac:dyDescent="0.25">
      <c r="A3030" s="14" t="s">
        <v>2643</v>
      </c>
      <c r="B3030" s="14" t="s">
        <v>243</v>
      </c>
      <c r="C3030" s="15" t="s">
        <v>2646</v>
      </c>
      <c r="D3030" s="14" t="s">
        <v>1745</v>
      </c>
      <c r="E3030" s="14" t="s">
        <v>1747</v>
      </c>
      <c r="F3030" s="14">
        <v>6000</v>
      </c>
      <c r="G3030" s="14">
        <v>4800</v>
      </c>
      <c r="H3030" s="37">
        <f>'Calculation Sheet'!N3030</f>
        <v>4800</v>
      </c>
    </row>
    <row r="3031" spans="1:8" x14ac:dyDescent="0.25">
      <c r="A3031" s="14" t="s">
        <v>2648</v>
      </c>
      <c r="B3031" s="14">
        <v>4</v>
      </c>
      <c r="C3031" s="15" t="s">
        <v>2649</v>
      </c>
      <c r="D3031" s="14" t="s">
        <v>1749</v>
      </c>
      <c r="E3031" s="14" t="s">
        <v>1766</v>
      </c>
      <c r="F3031" s="14">
        <v>0</v>
      </c>
      <c r="G3031" s="14">
        <v>0</v>
      </c>
      <c r="H3031" s="37">
        <f>'Calculation Sheet'!N3031</f>
        <v>0</v>
      </c>
    </row>
    <row r="3032" spans="1:8" x14ac:dyDescent="0.25">
      <c r="A3032" s="14" t="s">
        <v>2648</v>
      </c>
      <c r="B3032" s="14">
        <v>2</v>
      </c>
      <c r="C3032" s="15" t="s">
        <v>2649</v>
      </c>
      <c r="D3032" s="14" t="s">
        <v>1745</v>
      </c>
      <c r="E3032" s="14" t="s">
        <v>1746</v>
      </c>
      <c r="F3032" s="14">
        <v>10458</v>
      </c>
      <c r="G3032" s="14">
        <v>8366.4</v>
      </c>
      <c r="H3032" s="37">
        <f>'Calculation Sheet'!N3032</f>
        <v>8366.4</v>
      </c>
    </row>
    <row r="3033" spans="1:8" x14ac:dyDescent="0.25">
      <c r="A3033" s="14" t="s">
        <v>2648</v>
      </c>
      <c r="B3033" s="14">
        <v>2</v>
      </c>
      <c r="C3033" s="15" t="s">
        <v>2649</v>
      </c>
      <c r="D3033" s="14" t="s">
        <v>1749</v>
      </c>
      <c r="E3033" s="14" t="s">
        <v>1746</v>
      </c>
      <c r="F3033" s="14">
        <v>996</v>
      </c>
      <c r="G3033" s="14">
        <v>796.8</v>
      </c>
      <c r="H3033" s="37">
        <f>'Calculation Sheet'!N3033</f>
        <v>796.8</v>
      </c>
    </row>
    <row r="3034" spans="1:8" x14ac:dyDescent="0.25">
      <c r="A3034" s="14" t="s">
        <v>2648</v>
      </c>
      <c r="B3034" s="14">
        <v>2</v>
      </c>
      <c r="C3034" s="15" t="s">
        <v>2649</v>
      </c>
      <c r="D3034" s="14" t="s">
        <v>1745</v>
      </c>
      <c r="E3034" s="14" t="s">
        <v>1747</v>
      </c>
      <c r="F3034" s="14">
        <v>9960</v>
      </c>
      <c r="G3034" s="14">
        <v>7968</v>
      </c>
      <c r="H3034" s="37">
        <f>'Calculation Sheet'!N3034</f>
        <v>7968</v>
      </c>
    </row>
    <row r="3035" spans="1:8" x14ac:dyDescent="0.25">
      <c r="A3035" s="14" t="s">
        <v>2650</v>
      </c>
      <c r="B3035" s="14">
        <v>9</v>
      </c>
      <c r="C3035" s="15" t="s">
        <v>2651</v>
      </c>
      <c r="D3035" s="14" t="s">
        <v>1745</v>
      </c>
      <c r="E3035" s="14" t="s">
        <v>1746</v>
      </c>
      <c r="F3035" s="14">
        <v>36666</v>
      </c>
      <c r="G3035" s="14">
        <v>27499.56</v>
      </c>
      <c r="H3035" s="37">
        <f>'Calculation Sheet'!N3035</f>
        <v>27499.56</v>
      </c>
    </row>
    <row r="3036" spans="1:8" x14ac:dyDescent="0.25">
      <c r="A3036" s="14" t="s">
        <v>2650</v>
      </c>
      <c r="B3036" s="14">
        <v>9</v>
      </c>
      <c r="C3036" s="15" t="s">
        <v>2651</v>
      </c>
      <c r="D3036" s="14" t="s">
        <v>1749</v>
      </c>
      <c r="E3036" s="14" t="s">
        <v>1746</v>
      </c>
      <c r="F3036" s="14">
        <v>3492</v>
      </c>
      <c r="G3036" s="14">
        <v>2619</v>
      </c>
      <c r="H3036" s="37">
        <f>'Calculation Sheet'!N3036</f>
        <v>2619</v>
      </c>
    </row>
    <row r="3037" spans="1:8" x14ac:dyDescent="0.25">
      <c r="A3037" s="14" t="s">
        <v>2650</v>
      </c>
      <c r="B3037" s="14" t="s">
        <v>16</v>
      </c>
      <c r="C3037" s="15" t="s">
        <v>2652</v>
      </c>
      <c r="D3037" s="14" t="s">
        <v>1745</v>
      </c>
      <c r="E3037" s="14" t="s">
        <v>1747</v>
      </c>
      <c r="F3037" s="14">
        <v>34920</v>
      </c>
      <c r="G3037" s="14">
        <v>31428</v>
      </c>
      <c r="H3037" s="37">
        <f>'Calculation Sheet'!N3037</f>
        <v>31428</v>
      </c>
    </row>
    <row r="3038" spans="1:8" x14ac:dyDescent="0.25">
      <c r="A3038" s="14" t="s">
        <v>2650</v>
      </c>
      <c r="B3038" s="14" t="s">
        <v>16</v>
      </c>
      <c r="C3038" s="15" t="s">
        <v>2652</v>
      </c>
      <c r="D3038" s="14" t="s">
        <v>1749</v>
      </c>
      <c r="E3038" s="14" t="s">
        <v>1746</v>
      </c>
      <c r="F3038" s="14">
        <v>3492</v>
      </c>
      <c r="G3038" s="14">
        <v>3142.8</v>
      </c>
      <c r="H3038" s="37">
        <f>'Calculation Sheet'!N3038</f>
        <v>3142.8</v>
      </c>
    </row>
    <row r="3039" spans="1:8" x14ac:dyDescent="0.25">
      <c r="A3039" s="14" t="s">
        <v>2650</v>
      </c>
      <c r="B3039" s="14">
        <v>1</v>
      </c>
      <c r="C3039" s="15" t="s">
        <v>2653</v>
      </c>
      <c r="D3039" s="14" t="s">
        <v>1749</v>
      </c>
      <c r="E3039" s="14" t="s">
        <v>1746</v>
      </c>
      <c r="F3039" s="14">
        <v>4992</v>
      </c>
      <c r="G3039" s="14">
        <v>3744</v>
      </c>
      <c r="H3039" s="37">
        <f>'Calculation Sheet'!N3039</f>
        <v>3744</v>
      </c>
    </row>
    <row r="3040" spans="1:8" x14ac:dyDescent="0.25">
      <c r="A3040" s="14" t="s">
        <v>2650</v>
      </c>
      <c r="B3040" s="14" t="s">
        <v>16</v>
      </c>
      <c r="C3040" s="15" t="s">
        <v>2652</v>
      </c>
      <c r="D3040" s="14" t="s">
        <v>1745</v>
      </c>
      <c r="E3040" s="14" t="s">
        <v>1746</v>
      </c>
      <c r="F3040" s="14">
        <v>36666</v>
      </c>
      <c r="G3040" s="14">
        <v>32999.4</v>
      </c>
      <c r="H3040" s="37">
        <f>'Calculation Sheet'!N3040</f>
        <v>32999.4</v>
      </c>
    </row>
    <row r="3041" spans="1:8" x14ac:dyDescent="0.25">
      <c r="A3041" s="14" t="s">
        <v>2650</v>
      </c>
      <c r="B3041" s="14">
        <v>1</v>
      </c>
      <c r="C3041" s="15" t="s">
        <v>2653</v>
      </c>
      <c r="D3041" s="14" t="s">
        <v>1745</v>
      </c>
      <c r="E3041" s="14" t="s">
        <v>1746</v>
      </c>
      <c r="F3041" s="14">
        <v>52416</v>
      </c>
      <c r="G3041" s="14">
        <v>39312</v>
      </c>
      <c r="H3041" s="37">
        <f>'Calculation Sheet'!N3041</f>
        <v>39312</v>
      </c>
    </row>
    <row r="3042" spans="1:8" x14ac:dyDescent="0.25">
      <c r="A3042" s="14" t="s">
        <v>2650</v>
      </c>
      <c r="B3042" s="14">
        <v>9</v>
      </c>
      <c r="C3042" s="15" t="s">
        <v>2651</v>
      </c>
      <c r="D3042" s="14" t="s">
        <v>1745</v>
      </c>
      <c r="E3042" s="14" t="s">
        <v>1747</v>
      </c>
      <c r="F3042" s="14">
        <v>34920</v>
      </c>
      <c r="G3042" s="14">
        <v>26190</v>
      </c>
      <c r="H3042" s="37">
        <f>'Calculation Sheet'!N3042</f>
        <v>26190</v>
      </c>
    </row>
    <row r="3043" spans="1:8" x14ac:dyDescent="0.25">
      <c r="A3043" s="14" t="s">
        <v>2650</v>
      </c>
      <c r="B3043" s="14">
        <v>1</v>
      </c>
      <c r="C3043" s="15" t="s">
        <v>2653</v>
      </c>
      <c r="D3043" s="14" t="s">
        <v>1745</v>
      </c>
      <c r="E3043" s="14" t="s">
        <v>1747</v>
      </c>
      <c r="F3043" s="14">
        <v>49920</v>
      </c>
      <c r="G3043" s="14">
        <v>37440</v>
      </c>
      <c r="H3043" s="37">
        <f>'Calculation Sheet'!N3043</f>
        <v>37440</v>
      </c>
    </row>
    <row r="3044" spans="1:8" x14ac:dyDescent="0.25">
      <c r="A3044" s="14" t="s">
        <v>2654</v>
      </c>
      <c r="B3044" s="14" t="s">
        <v>28</v>
      </c>
      <c r="C3044" s="15" t="s">
        <v>2655</v>
      </c>
      <c r="D3044" s="14" t="s">
        <v>1749</v>
      </c>
      <c r="E3044" s="14" t="s">
        <v>1746</v>
      </c>
      <c r="F3044" s="14">
        <v>300</v>
      </c>
      <c r="G3044" s="14">
        <v>240</v>
      </c>
      <c r="H3044" s="37">
        <f>'Calculation Sheet'!N3044</f>
        <v>240</v>
      </c>
    </row>
    <row r="3045" spans="1:8" x14ac:dyDescent="0.25">
      <c r="A3045" s="14" t="s">
        <v>2654</v>
      </c>
      <c r="B3045" s="14" t="s">
        <v>89</v>
      </c>
      <c r="C3045" s="15" t="s">
        <v>2656</v>
      </c>
      <c r="D3045" s="14" t="s">
        <v>1745</v>
      </c>
      <c r="E3045" s="14" t="s">
        <v>1746</v>
      </c>
      <c r="F3045" s="14">
        <v>2646</v>
      </c>
      <c r="G3045" s="14">
        <v>2381.4</v>
      </c>
      <c r="H3045" s="37">
        <f>'Calculation Sheet'!N3045</f>
        <v>2381.4</v>
      </c>
    </row>
    <row r="3046" spans="1:8" x14ac:dyDescent="0.25">
      <c r="A3046" s="14" t="s">
        <v>2654</v>
      </c>
      <c r="B3046" s="14" t="s">
        <v>28</v>
      </c>
      <c r="C3046" s="15" t="s">
        <v>2655</v>
      </c>
      <c r="D3046" s="14" t="s">
        <v>1745</v>
      </c>
      <c r="E3046" s="14" t="s">
        <v>1746</v>
      </c>
      <c r="F3046" s="14">
        <v>3150</v>
      </c>
      <c r="G3046" s="14">
        <v>2520</v>
      </c>
      <c r="H3046" s="37">
        <f>'Calculation Sheet'!N3046</f>
        <v>2520</v>
      </c>
    </row>
    <row r="3047" spans="1:8" x14ac:dyDescent="0.25">
      <c r="A3047" s="14" t="s">
        <v>2654</v>
      </c>
      <c r="B3047" s="14" t="s">
        <v>73</v>
      </c>
      <c r="C3047" s="15" t="s">
        <v>2657</v>
      </c>
      <c r="D3047" s="14" t="s">
        <v>1749</v>
      </c>
      <c r="E3047" s="14" t="s">
        <v>1746</v>
      </c>
      <c r="F3047" s="14">
        <v>348</v>
      </c>
      <c r="G3047" s="14">
        <v>278.39999999999998</v>
      </c>
      <c r="H3047" s="37">
        <f>'Calculation Sheet'!N3047</f>
        <v>278.39999999999998</v>
      </c>
    </row>
    <row r="3048" spans="1:8" x14ac:dyDescent="0.25">
      <c r="A3048" s="14" t="s">
        <v>2654</v>
      </c>
      <c r="B3048" s="14" t="s">
        <v>89</v>
      </c>
      <c r="C3048" s="15" t="s">
        <v>2656</v>
      </c>
      <c r="D3048" s="14" t="s">
        <v>1749</v>
      </c>
      <c r="E3048" s="14" t="s">
        <v>1746</v>
      </c>
      <c r="F3048" s="14">
        <v>252</v>
      </c>
      <c r="G3048" s="14">
        <v>226.8</v>
      </c>
      <c r="H3048" s="37">
        <f>'Calculation Sheet'!N3048</f>
        <v>226.8</v>
      </c>
    </row>
    <row r="3049" spans="1:8" x14ac:dyDescent="0.25">
      <c r="A3049" s="14" t="s">
        <v>2654</v>
      </c>
      <c r="B3049" s="14" t="s">
        <v>89</v>
      </c>
      <c r="C3049" s="15" t="s">
        <v>2656</v>
      </c>
      <c r="D3049" s="14" t="s">
        <v>1745</v>
      </c>
      <c r="E3049" s="14" t="s">
        <v>1747</v>
      </c>
      <c r="F3049" s="14">
        <v>2520</v>
      </c>
      <c r="G3049" s="14">
        <v>2268</v>
      </c>
      <c r="H3049" s="37">
        <f>'Calculation Sheet'!N3049</f>
        <v>2268</v>
      </c>
    </row>
    <row r="3050" spans="1:8" x14ac:dyDescent="0.25">
      <c r="A3050" s="14" t="s">
        <v>2654</v>
      </c>
      <c r="B3050" s="14" t="s">
        <v>73</v>
      </c>
      <c r="C3050" s="15" t="s">
        <v>2657</v>
      </c>
      <c r="D3050" s="14" t="s">
        <v>1745</v>
      </c>
      <c r="E3050" s="14" t="s">
        <v>1746</v>
      </c>
      <c r="F3050" s="14">
        <v>3654</v>
      </c>
      <c r="G3050" s="14">
        <v>2923.2</v>
      </c>
      <c r="H3050" s="37">
        <f>'Calculation Sheet'!N3050</f>
        <v>2923.2</v>
      </c>
    </row>
    <row r="3051" spans="1:8" x14ac:dyDescent="0.25">
      <c r="A3051" s="14" t="s">
        <v>2654</v>
      </c>
      <c r="B3051" s="14" t="s">
        <v>28</v>
      </c>
      <c r="C3051" s="15" t="s">
        <v>2655</v>
      </c>
      <c r="D3051" s="14" t="s">
        <v>1745</v>
      </c>
      <c r="E3051" s="14" t="s">
        <v>1747</v>
      </c>
      <c r="F3051" s="14">
        <v>3000</v>
      </c>
      <c r="G3051" s="14">
        <v>2400</v>
      </c>
      <c r="H3051" s="37">
        <f>'Calculation Sheet'!N3051</f>
        <v>2400</v>
      </c>
    </row>
    <row r="3052" spans="1:8" x14ac:dyDescent="0.25">
      <c r="A3052" s="14" t="s">
        <v>2654</v>
      </c>
      <c r="B3052" s="14" t="s">
        <v>73</v>
      </c>
      <c r="C3052" s="15" t="s">
        <v>2657</v>
      </c>
      <c r="D3052" s="14" t="s">
        <v>1745</v>
      </c>
      <c r="E3052" s="14" t="s">
        <v>1747</v>
      </c>
      <c r="F3052" s="14">
        <v>3480</v>
      </c>
      <c r="G3052" s="14">
        <v>2784</v>
      </c>
      <c r="H3052" s="37">
        <f>'Calculation Sheet'!N3052</f>
        <v>2784</v>
      </c>
    </row>
    <row r="3053" spans="1:8" x14ac:dyDescent="0.25">
      <c r="A3053" s="14" t="s">
        <v>2654</v>
      </c>
      <c r="B3053" s="14">
        <v>12</v>
      </c>
      <c r="C3053" s="15" t="s">
        <v>2658</v>
      </c>
      <c r="D3053" s="14" t="s">
        <v>1745</v>
      </c>
      <c r="E3053" s="14" t="s">
        <v>1747</v>
      </c>
      <c r="F3053" s="14">
        <v>0</v>
      </c>
      <c r="G3053" s="14">
        <v>0</v>
      </c>
      <c r="H3053" s="37">
        <f>'Calculation Sheet'!N3053</f>
        <v>0</v>
      </c>
    </row>
    <row r="3054" spans="1:8" x14ac:dyDescent="0.25">
      <c r="A3054" s="14" t="s">
        <v>2654</v>
      </c>
      <c r="B3054" s="14">
        <v>2</v>
      </c>
      <c r="C3054" s="15" t="s">
        <v>2659</v>
      </c>
      <c r="D3054" s="14" t="s">
        <v>1749</v>
      </c>
      <c r="E3054" s="14" t="s">
        <v>1746</v>
      </c>
      <c r="F3054" s="14">
        <v>498</v>
      </c>
      <c r="G3054" s="14">
        <v>398.4</v>
      </c>
      <c r="H3054" s="37">
        <f>'Calculation Sheet'!N3054</f>
        <v>398.4</v>
      </c>
    </row>
    <row r="3055" spans="1:8" x14ac:dyDescent="0.25">
      <c r="A3055" s="14" t="s">
        <v>2654</v>
      </c>
      <c r="B3055" s="14">
        <v>2</v>
      </c>
      <c r="C3055" s="15" t="s">
        <v>2659</v>
      </c>
      <c r="D3055" s="14" t="s">
        <v>1745</v>
      </c>
      <c r="E3055" s="14" t="s">
        <v>1746</v>
      </c>
      <c r="F3055" s="14">
        <v>5229</v>
      </c>
      <c r="G3055" s="14">
        <v>4183.2</v>
      </c>
      <c r="H3055" s="37">
        <f>'Calculation Sheet'!N3055</f>
        <v>4183.2</v>
      </c>
    </row>
    <row r="3056" spans="1:8" x14ac:dyDescent="0.25">
      <c r="A3056" s="14" t="s">
        <v>2654</v>
      </c>
      <c r="B3056" s="14">
        <v>2</v>
      </c>
      <c r="C3056" s="15" t="s">
        <v>2659</v>
      </c>
      <c r="D3056" s="14" t="s">
        <v>1745</v>
      </c>
      <c r="E3056" s="14" t="s">
        <v>1747</v>
      </c>
      <c r="F3056" s="14">
        <v>4980</v>
      </c>
      <c r="G3056" s="14">
        <v>3984</v>
      </c>
      <c r="H3056" s="37">
        <f>'Calculation Sheet'!N3056</f>
        <v>3984</v>
      </c>
    </row>
    <row r="3057" spans="1:8" x14ac:dyDescent="0.25">
      <c r="A3057" s="14" t="s">
        <v>2654</v>
      </c>
      <c r="B3057" s="14">
        <v>12</v>
      </c>
      <c r="C3057" s="15" t="s">
        <v>2658</v>
      </c>
      <c r="D3057" s="14" t="s">
        <v>1745</v>
      </c>
      <c r="E3057" s="14" t="s">
        <v>1746</v>
      </c>
      <c r="F3057" s="14">
        <v>0</v>
      </c>
      <c r="G3057" s="14">
        <v>0</v>
      </c>
      <c r="H3057" s="37">
        <f>'Calculation Sheet'!N3057</f>
        <v>0</v>
      </c>
    </row>
    <row r="3058" spans="1:8" x14ac:dyDescent="0.25">
      <c r="A3058" s="14" t="s">
        <v>2660</v>
      </c>
      <c r="B3058" s="14" t="s">
        <v>243</v>
      </c>
      <c r="C3058" s="15" t="s">
        <v>2661</v>
      </c>
      <c r="D3058" s="14" t="s">
        <v>1745</v>
      </c>
      <c r="E3058" s="14" t="s">
        <v>1747</v>
      </c>
      <c r="F3058" s="14">
        <v>12000</v>
      </c>
      <c r="G3058" s="14">
        <v>9000</v>
      </c>
      <c r="H3058" s="37">
        <f>'Calculation Sheet'!N3058</f>
        <v>9000</v>
      </c>
    </row>
    <row r="3059" spans="1:8" x14ac:dyDescent="0.25">
      <c r="A3059" s="14" t="s">
        <v>2660</v>
      </c>
      <c r="B3059" s="14" t="s">
        <v>243</v>
      </c>
      <c r="C3059" s="15" t="s">
        <v>2661</v>
      </c>
      <c r="D3059" s="14" t="s">
        <v>1745</v>
      </c>
      <c r="E3059" s="14" t="s">
        <v>1746</v>
      </c>
      <c r="F3059" s="14">
        <v>12600</v>
      </c>
      <c r="G3059" s="14">
        <v>9450</v>
      </c>
      <c r="H3059" s="37">
        <f>'Calculation Sheet'!N3059</f>
        <v>9450</v>
      </c>
    </row>
    <row r="3060" spans="1:8" x14ac:dyDescent="0.25">
      <c r="A3060" s="14" t="s">
        <v>2660</v>
      </c>
      <c r="B3060" s="14">
        <v>13</v>
      </c>
      <c r="C3060" s="15" t="s">
        <v>2662</v>
      </c>
      <c r="D3060" s="14" t="s">
        <v>1745</v>
      </c>
      <c r="E3060" s="14" t="s">
        <v>1747</v>
      </c>
      <c r="F3060" s="14">
        <v>10980</v>
      </c>
      <c r="G3060" s="14">
        <v>8235</v>
      </c>
      <c r="H3060" s="37">
        <f>'Calculation Sheet'!N3060</f>
        <v>8235</v>
      </c>
    </row>
    <row r="3061" spans="1:8" x14ac:dyDescent="0.25">
      <c r="A3061" s="14" t="s">
        <v>2660</v>
      </c>
      <c r="B3061" s="14">
        <v>2</v>
      </c>
      <c r="C3061" s="15" t="s">
        <v>2663</v>
      </c>
      <c r="D3061" s="14" t="s">
        <v>1749</v>
      </c>
      <c r="E3061" s="14" t="s">
        <v>1746</v>
      </c>
      <c r="F3061" s="14">
        <v>1998</v>
      </c>
      <c r="G3061" s="14">
        <v>1498.5</v>
      </c>
      <c r="H3061" s="37">
        <f>'Calculation Sheet'!N3061</f>
        <v>1498.5</v>
      </c>
    </row>
    <row r="3062" spans="1:8" x14ac:dyDescent="0.25">
      <c r="A3062" s="14" t="s">
        <v>2660</v>
      </c>
      <c r="B3062" s="14">
        <v>14</v>
      </c>
      <c r="C3062" s="15" t="s">
        <v>2664</v>
      </c>
      <c r="D3062" s="14" t="s">
        <v>1749</v>
      </c>
      <c r="E3062" s="14" t="s">
        <v>1746</v>
      </c>
      <c r="F3062" s="14">
        <v>498</v>
      </c>
      <c r="G3062" s="14">
        <v>448.2</v>
      </c>
      <c r="H3062" s="37">
        <f>'Calculation Sheet'!N3062</f>
        <v>448.2</v>
      </c>
    </row>
    <row r="3063" spans="1:8" x14ac:dyDescent="0.25">
      <c r="A3063" s="14" t="s">
        <v>2660</v>
      </c>
      <c r="B3063" s="14">
        <v>2</v>
      </c>
      <c r="C3063" s="15" t="s">
        <v>2663</v>
      </c>
      <c r="D3063" s="14" t="s">
        <v>1745</v>
      </c>
      <c r="E3063" s="14" t="s">
        <v>1746</v>
      </c>
      <c r="F3063" s="14">
        <v>20979</v>
      </c>
      <c r="G3063" s="14">
        <v>15734.28</v>
      </c>
      <c r="H3063" s="37">
        <f>'Calculation Sheet'!N3063</f>
        <v>15734.28</v>
      </c>
    </row>
    <row r="3064" spans="1:8" x14ac:dyDescent="0.25">
      <c r="A3064" s="14" t="s">
        <v>2660</v>
      </c>
      <c r="B3064" s="14">
        <v>13</v>
      </c>
      <c r="C3064" s="15" t="s">
        <v>2662</v>
      </c>
      <c r="D3064" s="14" t="s">
        <v>1749</v>
      </c>
      <c r="E3064" s="14" t="s">
        <v>1746</v>
      </c>
      <c r="F3064" s="14">
        <v>1098</v>
      </c>
      <c r="G3064" s="14">
        <v>823.5</v>
      </c>
      <c r="H3064" s="37">
        <f>'Calculation Sheet'!N3064</f>
        <v>823.5</v>
      </c>
    </row>
    <row r="3065" spans="1:8" x14ac:dyDescent="0.25">
      <c r="A3065" s="14" t="s">
        <v>2660</v>
      </c>
      <c r="B3065" s="14">
        <v>2</v>
      </c>
      <c r="C3065" s="15" t="s">
        <v>2663</v>
      </c>
      <c r="D3065" s="14" t="s">
        <v>1745</v>
      </c>
      <c r="E3065" s="14" t="s">
        <v>1747</v>
      </c>
      <c r="F3065" s="14">
        <v>19980</v>
      </c>
      <c r="G3065" s="14">
        <v>14985</v>
      </c>
      <c r="H3065" s="37">
        <f>'Calculation Sheet'!N3065</f>
        <v>14985</v>
      </c>
    </row>
    <row r="3066" spans="1:8" x14ac:dyDescent="0.25">
      <c r="A3066" s="14" t="s">
        <v>2660</v>
      </c>
      <c r="B3066" s="14">
        <v>12</v>
      </c>
      <c r="C3066" s="15" t="s">
        <v>2665</v>
      </c>
      <c r="D3066" s="14" t="s">
        <v>1749</v>
      </c>
      <c r="E3066" s="14" t="s">
        <v>1746</v>
      </c>
      <c r="F3066" s="14">
        <v>798</v>
      </c>
      <c r="G3066" s="14">
        <v>598.5</v>
      </c>
      <c r="H3066" s="37">
        <f>'Calculation Sheet'!N3066</f>
        <v>598.5</v>
      </c>
    </row>
    <row r="3067" spans="1:8" x14ac:dyDescent="0.25">
      <c r="A3067" s="14" t="s">
        <v>2660</v>
      </c>
      <c r="B3067" s="14">
        <v>14</v>
      </c>
      <c r="C3067" s="15" t="s">
        <v>2664</v>
      </c>
      <c r="D3067" s="14" t="s">
        <v>1745</v>
      </c>
      <c r="E3067" s="14" t="s">
        <v>1746</v>
      </c>
      <c r="F3067" s="14">
        <v>5229</v>
      </c>
      <c r="G3067" s="14">
        <v>4706.16</v>
      </c>
      <c r="H3067" s="37">
        <f>'Calculation Sheet'!N3067</f>
        <v>4706.16</v>
      </c>
    </row>
    <row r="3068" spans="1:8" x14ac:dyDescent="0.25">
      <c r="A3068" s="14" t="s">
        <v>2660</v>
      </c>
      <c r="B3068" s="14">
        <v>12</v>
      </c>
      <c r="C3068" s="15" t="s">
        <v>2665</v>
      </c>
      <c r="D3068" s="14" t="s">
        <v>1745</v>
      </c>
      <c r="E3068" s="14" t="s">
        <v>1746</v>
      </c>
      <c r="F3068" s="14">
        <v>8379</v>
      </c>
      <c r="G3068" s="14">
        <v>6284.28</v>
      </c>
      <c r="H3068" s="37">
        <f>'Calculation Sheet'!N3068</f>
        <v>6284.28</v>
      </c>
    </row>
    <row r="3069" spans="1:8" x14ac:dyDescent="0.25">
      <c r="A3069" s="14" t="s">
        <v>2660</v>
      </c>
      <c r="B3069" s="14">
        <v>14</v>
      </c>
      <c r="C3069" s="15" t="s">
        <v>2664</v>
      </c>
      <c r="D3069" s="14" t="s">
        <v>1745</v>
      </c>
      <c r="E3069" s="14" t="s">
        <v>1747</v>
      </c>
      <c r="F3069" s="14">
        <v>4980</v>
      </c>
      <c r="G3069" s="14">
        <v>4482</v>
      </c>
      <c r="H3069" s="37">
        <f>'Calculation Sheet'!N3069</f>
        <v>4482</v>
      </c>
    </row>
    <row r="3070" spans="1:8" x14ac:dyDescent="0.25">
      <c r="A3070" s="14" t="s">
        <v>2660</v>
      </c>
      <c r="B3070" s="14">
        <v>13</v>
      </c>
      <c r="C3070" s="15" t="s">
        <v>2662</v>
      </c>
      <c r="D3070" s="14" t="s">
        <v>1745</v>
      </c>
      <c r="E3070" s="14" t="s">
        <v>1746</v>
      </c>
      <c r="F3070" s="14">
        <v>11529</v>
      </c>
      <c r="G3070" s="14">
        <v>8646.7199999999993</v>
      </c>
      <c r="H3070" s="37">
        <f>'Calculation Sheet'!N3070</f>
        <v>8646.7199999999993</v>
      </c>
    </row>
    <row r="3071" spans="1:8" x14ac:dyDescent="0.25">
      <c r="A3071" s="14" t="s">
        <v>2660</v>
      </c>
      <c r="B3071" s="14">
        <v>12</v>
      </c>
      <c r="C3071" s="15" t="s">
        <v>2665</v>
      </c>
      <c r="D3071" s="14" t="s">
        <v>1745</v>
      </c>
      <c r="E3071" s="14" t="s">
        <v>1747</v>
      </c>
      <c r="F3071" s="14">
        <v>7980</v>
      </c>
      <c r="G3071" s="14">
        <v>5985</v>
      </c>
      <c r="H3071" s="37">
        <f>'Calculation Sheet'!N3071</f>
        <v>5985</v>
      </c>
    </row>
    <row r="3072" spans="1:8" x14ac:dyDescent="0.25">
      <c r="A3072" s="14" t="s">
        <v>2666</v>
      </c>
      <c r="B3072" s="14">
        <v>1</v>
      </c>
      <c r="C3072" s="15" t="s">
        <v>2667</v>
      </c>
      <c r="D3072" s="14" t="s">
        <v>1749</v>
      </c>
      <c r="E3072" s="14" t="s">
        <v>1746</v>
      </c>
      <c r="F3072" s="14">
        <v>5364</v>
      </c>
      <c r="G3072" s="14">
        <v>4827.6000000000004</v>
      </c>
      <c r="H3072" s="37">
        <f>'Calculation Sheet'!N3072</f>
        <v>4827.6000000000004</v>
      </c>
    </row>
    <row r="3073" spans="1:8" x14ac:dyDescent="0.25">
      <c r="A3073" s="14" t="s">
        <v>2666</v>
      </c>
      <c r="B3073" s="14">
        <v>3</v>
      </c>
      <c r="C3073" s="15" t="s">
        <v>2668</v>
      </c>
      <c r="D3073" s="14" t="s">
        <v>1745</v>
      </c>
      <c r="E3073" s="14" t="s">
        <v>1747</v>
      </c>
      <c r="F3073" s="14">
        <v>214620</v>
      </c>
      <c r="G3073" s="14">
        <v>160965</v>
      </c>
      <c r="H3073" s="37">
        <f>'Calculation Sheet'!N3073</f>
        <v>160965</v>
      </c>
    </row>
    <row r="3074" spans="1:8" x14ac:dyDescent="0.25">
      <c r="A3074" s="14" t="s">
        <v>2666</v>
      </c>
      <c r="B3074" s="14">
        <v>3</v>
      </c>
      <c r="C3074" s="15" t="s">
        <v>2668</v>
      </c>
      <c r="D3074" s="14" t="s">
        <v>1749</v>
      </c>
      <c r="E3074" s="14" t="s">
        <v>1746</v>
      </c>
      <c r="F3074" s="14">
        <v>21462</v>
      </c>
      <c r="G3074" s="14">
        <v>16096.5</v>
      </c>
      <c r="H3074" s="37">
        <f>'Calculation Sheet'!N3074</f>
        <v>16096.5</v>
      </c>
    </row>
    <row r="3075" spans="1:8" x14ac:dyDescent="0.25">
      <c r="A3075" s="14" t="s">
        <v>2666</v>
      </c>
      <c r="B3075" s="14">
        <v>1</v>
      </c>
      <c r="C3075" s="15" t="s">
        <v>2667</v>
      </c>
      <c r="D3075" s="14" t="s">
        <v>1745</v>
      </c>
      <c r="E3075" s="14" t="s">
        <v>1746</v>
      </c>
      <c r="F3075" s="14">
        <v>56322</v>
      </c>
      <c r="G3075" s="14">
        <v>50689.8</v>
      </c>
      <c r="H3075" s="37">
        <f>'Calculation Sheet'!N3075</f>
        <v>50689.8</v>
      </c>
    </row>
    <row r="3076" spans="1:8" x14ac:dyDescent="0.25">
      <c r="A3076" s="14" t="s">
        <v>2666</v>
      </c>
      <c r="B3076" s="14">
        <v>1</v>
      </c>
      <c r="C3076" s="15" t="s">
        <v>2667</v>
      </c>
      <c r="D3076" s="14" t="s">
        <v>1745</v>
      </c>
      <c r="E3076" s="14" t="s">
        <v>1747</v>
      </c>
      <c r="F3076" s="14">
        <v>53640</v>
      </c>
      <c r="G3076" s="14">
        <v>48276</v>
      </c>
      <c r="H3076" s="37">
        <f>'Calculation Sheet'!N3076</f>
        <v>48276</v>
      </c>
    </row>
    <row r="3077" spans="1:8" x14ac:dyDescent="0.25">
      <c r="A3077" s="14" t="s">
        <v>2666</v>
      </c>
      <c r="B3077" s="14">
        <v>2</v>
      </c>
      <c r="C3077" s="15" t="s">
        <v>2669</v>
      </c>
      <c r="D3077" s="14" t="s">
        <v>1745</v>
      </c>
      <c r="E3077" s="14" t="s">
        <v>1747</v>
      </c>
      <c r="F3077" s="14">
        <v>85860</v>
      </c>
      <c r="G3077" s="14">
        <v>64395</v>
      </c>
      <c r="H3077" s="37">
        <f>'Calculation Sheet'!N3077</f>
        <v>64395</v>
      </c>
    </row>
    <row r="3078" spans="1:8" x14ac:dyDescent="0.25">
      <c r="A3078" s="14" t="s">
        <v>2666</v>
      </c>
      <c r="B3078" s="14">
        <v>2</v>
      </c>
      <c r="C3078" s="15" t="s">
        <v>2669</v>
      </c>
      <c r="D3078" s="14" t="s">
        <v>1745</v>
      </c>
      <c r="E3078" s="14" t="s">
        <v>1746</v>
      </c>
      <c r="F3078" s="14">
        <v>90153</v>
      </c>
      <c r="G3078" s="14">
        <v>67614.720000000001</v>
      </c>
      <c r="H3078" s="37">
        <f>'Calculation Sheet'!N3078</f>
        <v>67614.720000000001</v>
      </c>
    </row>
    <row r="3079" spans="1:8" x14ac:dyDescent="0.25">
      <c r="A3079" s="14" t="s">
        <v>2666</v>
      </c>
      <c r="B3079" s="14">
        <v>3</v>
      </c>
      <c r="C3079" s="15" t="s">
        <v>2668</v>
      </c>
      <c r="D3079" s="14" t="s">
        <v>1745</v>
      </c>
      <c r="E3079" s="14" t="s">
        <v>1746</v>
      </c>
      <c r="F3079" s="14">
        <v>225351</v>
      </c>
      <c r="G3079" s="14">
        <v>169013.3</v>
      </c>
      <c r="H3079" s="37">
        <f>'Calculation Sheet'!N3079</f>
        <v>169013.3</v>
      </c>
    </row>
    <row r="3080" spans="1:8" x14ac:dyDescent="0.25">
      <c r="A3080" s="14" t="s">
        <v>2666</v>
      </c>
      <c r="B3080" s="14">
        <v>6</v>
      </c>
      <c r="C3080" s="15" t="s">
        <v>2670</v>
      </c>
      <c r="D3080" s="14" t="s">
        <v>1745</v>
      </c>
      <c r="E3080" s="14" t="s">
        <v>1747</v>
      </c>
      <c r="F3080" s="14">
        <v>118080</v>
      </c>
      <c r="G3080" s="14">
        <v>88560</v>
      </c>
      <c r="H3080" s="37">
        <f>'Calculation Sheet'!N3080</f>
        <v>88560</v>
      </c>
    </row>
    <row r="3081" spans="1:8" x14ac:dyDescent="0.25">
      <c r="A3081" s="14" t="s">
        <v>2666</v>
      </c>
      <c r="B3081" s="14">
        <v>6</v>
      </c>
      <c r="C3081" s="15" t="s">
        <v>2670</v>
      </c>
      <c r="D3081" s="14" t="s">
        <v>1749</v>
      </c>
      <c r="E3081" s="14" t="s">
        <v>1746</v>
      </c>
      <c r="F3081" s="14">
        <v>11808</v>
      </c>
      <c r="G3081" s="14">
        <v>8856</v>
      </c>
      <c r="H3081" s="37">
        <f>'Calculation Sheet'!N3081</f>
        <v>8856</v>
      </c>
    </row>
    <row r="3082" spans="1:8" x14ac:dyDescent="0.25">
      <c r="A3082" s="14" t="s">
        <v>2666</v>
      </c>
      <c r="B3082" s="14">
        <v>6</v>
      </c>
      <c r="C3082" s="15" t="s">
        <v>2670</v>
      </c>
      <c r="D3082" s="14" t="s">
        <v>1745</v>
      </c>
      <c r="E3082" s="14" t="s">
        <v>1746</v>
      </c>
      <c r="F3082" s="14">
        <v>123984</v>
      </c>
      <c r="G3082" s="14">
        <v>92988</v>
      </c>
      <c r="H3082" s="37">
        <f>'Calculation Sheet'!N3082</f>
        <v>92988</v>
      </c>
    </row>
    <row r="3083" spans="1:8" x14ac:dyDescent="0.25">
      <c r="A3083" s="14" t="s">
        <v>2666</v>
      </c>
      <c r="B3083" s="14">
        <v>2</v>
      </c>
      <c r="C3083" s="15" t="s">
        <v>2669</v>
      </c>
      <c r="D3083" s="14" t="s">
        <v>1749</v>
      </c>
      <c r="E3083" s="14" t="s">
        <v>1746</v>
      </c>
      <c r="F3083" s="14">
        <v>8586</v>
      </c>
      <c r="G3083" s="14">
        <v>6439.5</v>
      </c>
      <c r="H3083" s="37">
        <f>'Calculation Sheet'!N3083</f>
        <v>6439.5</v>
      </c>
    </row>
    <row r="3084" spans="1:8" x14ac:dyDescent="0.25">
      <c r="A3084" s="14" t="s">
        <v>2671</v>
      </c>
      <c r="B3084" s="14">
        <v>1</v>
      </c>
      <c r="C3084" s="15" t="s">
        <v>2672</v>
      </c>
      <c r="D3084" s="14" t="s">
        <v>1745</v>
      </c>
      <c r="E3084" s="14" t="s">
        <v>1747</v>
      </c>
      <c r="F3084" s="14">
        <v>99840</v>
      </c>
      <c r="G3084" s="14">
        <v>74880</v>
      </c>
      <c r="H3084" s="37">
        <f>'Calculation Sheet'!N3084</f>
        <v>74880</v>
      </c>
    </row>
    <row r="3085" spans="1:8" x14ac:dyDescent="0.25">
      <c r="A3085" s="14" t="s">
        <v>2671</v>
      </c>
      <c r="B3085" s="14" t="s">
        <v>16</v>
      </c>
      <c r="C3085" s="15" t="s">
        <v>2673</v>
      </c>
      <c r="D3085" s="14" t="s">
        <v>1745</v>
      </c>
      <c r="E3085" s="14" t="s">
        <v>1746</v>
      </c>
      <c r="F3085" s="14">
        <v>26208</v>
      </c>
      <c r="G3085" s="14">
        <v>23587.200000000001</v>
      </c>
      <c r="H3085" s="37">
        <f>'Calculation Sheet'!N3085</f>
        <v>23587.200000000001</v>
      </c>
    </row>
    <row r="3086" spans="1:8" x14ac:dyDescent="0.25">
      <c r="A3086" s="14" t="s">
        <v>2671</v>
      </c>
      <c r="B3086" s="14" t="s">
        <v>20</v>
      </c>
      <c r="C3086" s="15" t="s">
        <v>2674</v>
      </c>
      <c r="D3086" s="14" t="s">
        <v>1749</v>
      </c>
      <c r="E3086" s="14" t="s">
        <v>1746</v>
      </c>
      <c r="F3086" s="14">
        <v>5490</v>
      </c>
      <c r="G3086" s="14">
        <v>4117.5</v>
      </c>
      <c r="H3086" s="37">
        <f>'Calculation Sheet'!N3086</f>
        <v>4117.5</v>
      </c>
    </row>
    <row r="3087" spans="1:8" x14ac:dyDescent="0.25">
      <c r="A3087" s="14" t="s">
        <v>2671</v>
      </c>
      <c r="B3087" s="14">
        <v>1</v>
      </c>
      <c r="C3087" s="15" t="s">
        <v>2672</v>
      </c>
      <c r="D3087" s="14" t="s">
        <v>1749</v>
      </c>
      <c r="E3087" s="14" t="s">
        <v>1746</v>
      </c>
      <c r="F3087" s="14">
        <v>9984</v>
      </c>
      <c r="G3087" s="14">
        <v>7488</v>
      </c>
      <c r="H3087" s="37">
        <f>'Calculation Sheet'!N3087</f>
        <v>7488</v>
      </c>
    </row>
    <row r="3088" spans="1:8" x14ac:dyDescent="0.25">
      <c r="A3088" s="14" t="s">
        <v>2671</v>
      </c>
      <c r="B3088" s="14" t="s">
        <v>16</v>
      </c>
      <c r="C3088" s="15" t="s">
        <v>2673</v>
      </c>
      <c r="D3088" s="14" t="s">
        <v>1745</v>
      </c>
      <c r="E3088" s="14" t="s">
        <v>1747</v>
      </c>
      <c r="F3088" s="14">
        <v>24960</v>
      </c>
      <c r="G3088" s="14">
        <v>22464</v>
      </c>
      <c r="H3088" s="37">
        <f>'Calculation Sheet'!N3088</f>
        <v>22464</v>
      </c>
    </row>
    <row r="3089" spans="1:8" x14ac:dyDescent="0.25">
      <c r="A3089" s="14" t="s">
        <v>2671</v>
      </c>
      <c r="B3089" s="14" t="s">
        <v>16</v>
      </c>
      <c r="C3089" s="15" t="s">
        <v>2673</v>
      </c>
      <c r="D3089" s="14" t="s">
        <v>1749</v>
      </c>
      <c r="E3089" s="14" t="s">
        <v>1746</v>
      </c>
      <c r="F3089" s="14">
        <v>2496</v>
      </c>
      <c r="G3089" s="14">
        <v>2246.4</v>
      </c>
      <c r="H3089" s="37">
        <f>'Calculation Sheet'!N3089</f>
        <v>2246.4</v>
      </c>
    </row>
    <row r="3090" spans="1:8" x14ac:dyDescent="0.25">
      <c r="A3090" s="14" t="s">
        <v>2671</v>
      </c>
      <c r="B3090" s="14" t="s">
        <v>20</v>
      </c>
      <c r="C3090" s="15" t="s">
        <v>2674</v>
      </c>
      <c r="D3090" s="14" t="s">
        <v>1745</v>
      </c>
      <c r="E3090" s="14" t="s">
        <v>1747</v>
      </c>
      <c r="F3090" s="14">
        <v>54900</v>
      </c>
      <c r="G3090" s="14">
        <v>41175</v>
      </c>
      <c r="H3090" s="37">
        <f>'Calculation Sheet'!N3090</f>
        <v>41175</v>
      </c>
    </row>
    <row r="3091" spans="1:8" x14ac:dyDescent="0.25">
      <c r="A3091" s="14" t="s">
        <v>2671</v>
      </c>
      <c r="B3091" s="14">
        <v>1</v>
      </c>
      <c r="C3091" s="15" t="s">
        <v>2672</v>
      </c>
      <c r="D3091" s="14" t="s">
        <v>1745</v>
      </c>
      <c r="E3091" s="14" t="s">
        <v>1746</v>
      </c>
      <c r="F3091" s="14">
        <v>104832</v>
      </c>
      <c r="G3091" s="14">
        <v>78624</v>
      </c>
      <c r="H3091" s="37">
        <f>'Calculation Sheet'!N3091</f>
        <v>78624</v>
      </c>
    </row>
    <row r="3092" spans="1:8" x14ac:dyDescent="0.25">
      <c r="A3092" s="14" t="s">
        <v>2671</v>
      </c>
      <c r="B3092" s="14" t="s">
        <v>20</v>
      </c>
      <c r="C3092" s="15" t="s">
        <v>2674</v>
      </c>
      <c r="D3092" s="14" t="s">
        <v>1745</v>
      </c>
      <c r="E3092" s="14" t="s">
        <v>1746</v>
      </c>
      <c r="F3092" s="14">
        <v>57645</v>
      </c>
      <c r="G3092" s="14">
        <v>43233.72</v>
      </c>
      <c r="H3092" s="37">
        <f>'Calculation Sheet'!N3092</f>
        <v>43233.72</v>
      </c>
    </row>
    <row r="3093" spans="1:8" x14ac:dyDescent="0.25">
      <c r="A3093" s="14" t="s">
        <v>2675</v>
      </c>
      <c r="B3093" s="14" t="s">
        <v>32</v>
      </c>
      <c r="C3093" s="15" t="s">
        <v>2676</v>
      </c>
      <c r="D3093" s="14" t="s">
        <v>1749</v>
      </c>
      <c r="E3093" s="14" t="s">
        <v>1746</v>
      </c>
      <c r="F3093" s="14">
        <v>372</v>
      </c>
      <c r="G3093" s="14">
        <v>334.8</v>
      </c>
      <c r="H3093" s="37">
        <f>'Calculation Sheet'!N3093</f>
        <v>334.8</v>
      </c>
    </row>
    <row r="3094" spans="1:8" x14ac:dyDescent="0.25">
      <c r="A3094" s="14" t="s">
        <v>2675</v>
      </c>
      <c r="B3094" s="14">
        <v>1</v>
      </c>
      <c r="C3094" s="15" t="s">
        <v>2677</v>
      </c>
      <c r="D3094" s="14" t="s">
        <v>1749</v>
      </c>
      <c r="E3094" s="14" t="s">
        <v>1746</v>
      </c>
      <c r="F3094" s="14">
        <v>1500</v>
      </c>
      <c r="G3094" s="14">
        <v>1125</v>
      </c>
      <c r="H3094" s="37">
        <f>'Calculation Sheet'!N3094</f>
        <v>1125</v>
      </c>
    </row>
    <row r="3095" spans="1:8" x14ac:dyDescent="0.25">
      <c r="A3095" s="14" t="s">
        <v>2675</v>
      </c>
      <c r="B3095" s="14">
        <v>1</v>
      </c>
      <c r="C3095" s="15" t="s">
        <v>2677</v>
      </c>
      <c r="D3095" s="14" t="s">
        <v>1745</v>
      </c>
      <c r="E3095" s="14" t="s">
        <v>1746</v>
      </c>
      <c r="F3095" s="14">
        <v>15750</v>
      </c>
      <c r="G3095" s="14">
        <v>11812.56</v>
      </c>
      <c r="H3095" s="37">
        <f>'Calculation Sheet'!N3095</f>
        <v>11812.56</v>
      </c>
    </row>
    <row r="3096" spans="1:8" x14ac:dyDescent="0.25">
      <c r="A3096" s="14" t="s">
        <v>2675</v>
      </c>
      <c r="B3096" s="14" t="s">
        <v>39</v>
      </c>
      <c r="C3096" s="15" t="s">
        <v>2678</v>
      </c>
      <c r="D3096" s="14" t="s">
        <v>1745</v>
      </c>
      <c r="E3096" s="14" t="s">
        <v>1746</v>
      </c>
      <c r="F3096" s="14">
        <v>6300</v>
      </c>
      <c r="G3096" s="14">
        <v>4725</v>
      </c>
      <c r="H3096" s="37">
        <f>'Calculation Sheet'!N3096</f>
        <v>4725</v>
      </c>
    </row>
    <row r="3097" spans="1:8" x14ac:dyDescent="0.25">
      <c r="A3097" s="14" t="s">
        <v>2675</v>
      </c>
      <c r="B3097" s="14" t="s">
        <v>50</v>
      </c>
      <c r="C3097" s="15" t="s">
        <v>2679</v>
      </c>
      <c r="D3097" s="14" t="s">
        <v>1745</v>
      </c>
      <c r="E3097" s="14" t="s">
        <v>1746</v>
      </c>
      <c r="F3097" s="14">
        <v>8631</v>
      </c>
      <c r="G3097" s="14">
        <v>6473.28</v>
      </c>
      <c r="H3097" s="37">
        <f>'Calculation Sheet'!N3097</f>
        <v>6473.28</v>
      </c>
    </row>
    <row r="3098" spans="1:8" x14ac:dyDescent="0.25">
      <c r="A3098" s="14" t="s">
        <v>2675</v>
      </c>
      <c r="B3098" s="14" t="s">
        <v>32</v>
      </c>
      <c r="C3098" s="15" t="s">
        <v>2676</v>
      </c>
      <c r="D3098" s="14" t="s">
        <v>1745</v>
      </c>
      <c r="E3098" s="14" t="s">
        <v>1746</v>
      </c>
      <c r="F3098" s="14">
        <v>3906</v>
      </c>
      <c r="G3098" s="14">
        <v>3515.4</v>
      </c>
      <c r="H3098" s="37">
        <f>'Calculation Sheet'!N3098</f>
        <v>3515.4</v>
      </c>
    </row>
    <row r="3099" spans="1:8" x14ac:dyDescent="0.25">
      <c r="A3099" s="14" t="s">
        <v>2675</v>
      </c>
      <c r="B3099" s="14" t="s">
        <v>50</v>
      </c>
      <c r="C3099" s="15" t="s">
        <v>2679</v>
      </c>
      <c r="D3099" s="14" t="s">
        <v>1745</v>
      </c>
      <c r="E3099" s="14" t="s">
        <v>1747</v>
      </c>
      <c r="F3099" s="14">
        <v>8220</v>
      </c>
      <c r="G3099" s="14">
        <v>6165</v>
      </c>
      <c r="H3099" s="37">
        <f>'Calculation Sheet'!N3099</f>
        <v>6165</v>
      </c>
    </row>
    <row r="3100" spans="1:8" x14ac:dyDescent="0.25">
      <c r="A3100" s="14" t="s">
        <v>2675</v>
      </c>
      <c r="B3100" s="14" t="s">
        <v>50</v>
      </c>
      <c r="C3100" s="15" t="s">
        <v>2679</v>
      </c>
      <c r="D3100" s="14" t="s">
        <v>1749</v>
      </c>
      <c r="E3100" s="14" t="s">
        <v>1746</v>
      </c>
      <c r="F3100" s="14">
        <v>822</v>
      </c>
      <c r="G3100" s="14">
        <v>616.5</v>
      </c>
      <c r="H3100" s="37">
        <f>'Calculation Sheet'!N3100</f>
        <v>616.5</v>
      </c>
    </row>
    <row r="3101" spans="1:8" x14ac:dyDescent="0.25">
      <c r="A3101" s="14" t="s">
        <v>2675</v>
      </c>
      <c r="B3101" s="14" t="s">
        <v>39</v>
      </c>
      <c r="C3101" s="15" t="s">
        <v>2678</v>
      </c>
      <c r="D3101" s="14" t="s">
        <v>1745</v>
      </c>
      <c r="E3101" s="14" t="s">
        <v>1747</v>
      </c>
      <c r="F3101" s="14">
        <v>6000</v>
      </c>
      <c r="G3101" s="14">
        <v>4500</v>
      </c>
      <c r="H3101" s="37">
        <f>'Calculation Sheet'!N3101</f>
        <v>4500</v>
      </c>
    </row>
    <row r="3102" spans="1:8" x14ac:dyDescent="0.25">
      <c r="A3102" s="14" t="s">
        <v>2675</v>
      </c>
      <c r="B3102" s="14" t="s">
        <v>32</v>
      </c>
      <c r="C3102" s="15" t="s">
        <v>2676</v>
      </c>
      <c r="D3102" s="14" t="s">
        <v>1745</v>
      </c>
      <c r="E3102" s="14" t="s">
        <v>1747</v>
      </c>
      <c r="F3102" s="14">
        <v>3720</v>
      </c>
      <c r="G3102" s="14">
        <v>3348</v>
      </c>
      <c r="H3102" s="37">
        <f>'Calculation Sheet'!N3102</f>
        <v>3348</v>
      </c>
    </row>
    <row r="3103" spans="1:8" x14ac:dyDescent="0.25">
      <c r="A3103" s="14" t="s">
        <v>2675</v>
      </c>
      <c r="B3103" s="14" t="s">
        <v>39</v>
      </c>
      <c r="C3103" s="15" t="s">
        <v>2678</v>
      </c>
      <c r="D3103" s="14" t="s">
        <v>1749</v>
      </c>
      <c r="E3103" s="14" t="s">
        <v>1746</v>
      </c>
      <c r="F3103" s="14">
        <v>600</v>
      </c>
      <c r="G3103" s="14">
        <v>450</v>
      </c>
      <c r="H3103" s="37">
        <f>'Calculation Sheet'!N3103</f>
        <v>450</v>
      </c>
    </row>
    <row r="3104" spans="1:8" x14ac:dyDescent="0.25">
      <c r="A3104" s="14" t="s">
        <v>2675</v>
      </c>
      <c r="B3104" s="14">
        <v>1</v>
      </c>
      <c r="C3104" s="15" t="s">
        <v>2677</v>
      </c>
      <c r="D3104" s="14" t="s">
        <v>1745</v>
      </c>
      <c r="E3104" s="14" t="s">
        <v>1747</v>
      </c>
      <c r="F3104" s="14">
        <v>15000</v>
      </c>
      <c r="G3104" s="14">
        <v>11250</v>
      </c>
      <c r="H3104" s="37">
        <f>'Calculation Sheet'!N3104</f>
        <v>11250</v>
      </c>
    </row>
    <row r="3105" spans="1:8" x14ac:dyDescent="0.25">
      <c r="A3105" s="14" t="s">
        <v>2680</v>
      </c>
      <c r="B3105" s="14" t="s">
        <v>28</v>
      </c>
      <c r="C3105" s="15" t="s">
        <v>2681</v>
      </c>
      <c r="D3105" s="14" t="s">
        <v>1749</v>
      </c>
      <c r="E3105" s="14" t="s">
        <v>1746</v>
      </c>
      <c r="F3105" s="14">
        <v>822</v>
      </c>
      <c r="G3105" s="14">
        <v>616.5</v>
      </c>
      <c r="H3105" s="37">
        <f>'Calculation Sheet'!N3105</f>
        <v>616.5</v>
      </c>
    </row>
    <row r="3106" spans="1:8" x14ac:dyDescent="0.25">
      <c r="A3106" s="14" t="s">
        <v>2680</v>
      </c>
      <c r="B3106" s="14" t="s">
        <v>46</v>
      </c>
      <c r="C3106" s="15" t="s">
        <v>2682</v>
      </c>
      <c r="D3106" s="14" t="s">
        <v>1745</v>
      </c>
      <c r="E3106" s="14" t="s">
        <v>1747</v>
      </c>
      <c r="F3106" s="14">
        <v>6000</v>
      </c>
      <c r="G3106" s="14">
        <v>4500</v>
      </c>
      <c r="H3106" s="37">
        <f>'Calculation Sheet'!N3106</f>
        <v>4500</v>
      </c>
    </row>
    <row r="3107" spans="1:8" x14ac:dyDescent="0.25">
      <c r="A3107" s="14" t="s">
        <v>2680</v>
      </c>
      <c r="B3107" s="14" t="s">
        <v>39</v>
      </c>
      <c r="C3107" s="15" t="s">
        <v>2683</v>
      </c>
      <c r="D3107" s="14" t="s">
        <v>1745</v>
      </c>
      <c r="E3107" s="14" t="s">
        <v>1746</v>
      </c>
      <c r="F3107" s="14">
        <v>3906</v>
      </c>
      <c r="G3107" s="14">
        <v>3515.4</v>
      </c>
      <c r="H3107" s="37">
        <f>'Calculation Sheet'!N3107</f>
        <v>3515.4</v>
      </c>
    </row>
    <row r="3108" spans="1:8" x14ac:dyDescent="0.25">
      <c r="A3108" s="14" t="s">
        <v>2680</v>
      </c>
      <c r="B3108" s="14">
        <v>1</v>
      </c>
      <c r="C3108" s="15" t="s">
        <v>2684</v>
      </c>
      <c r="D3108" s="14" t="s">
        <v>1749</v>
      </c>
      <c r="E3108" s="14" t="s">
        <v>1746</v>
      </c>
      <c r="F3108" s="14">
        <v>1500</v>
      </c>
      <c r="G3108" s="14">
        <v>1125</v>
      </c>
      <c r="H3108" s="37">
        <f>'Calculation Sheet'!N3108</f>
        <v>1125</v>
      </c>
    </row>
    <row r="3109" spans="1:8" x14ac:dyDescent="0.25">
      <c r="A3109" s="14" t="s">
        <v>2680</v>
      </c>
      <c r="B3109" s="14">
        <v>1</v>
      </c>
      <c r="C3109" s="15" t="s">
        <v>2684</v>
      </c>
      <c r="D3109" s="14" t="s">
        <v>1745</v>
      </c>
      <c r="E3109" s="14" t="s">
        <v>1746</v>
      </c>
      <c r="F3109" s="14">
        <v>15750</v>
      </c>
      <c r="G3109" s="14">
        <v>11812.56</v>
      </c>
      <c r="H3109" s="37">
        <f>'Calculation Sheet'!N3109</f>
        <v>11812.56</v>
      </c>
    </row>
    <row r="3110" spans="1:8" x14ac:dyDescent="0.25">
      <c r="A3110" s="14" t="s">
        <v>2680</v>
      </c>
      <c r="B3110" s="14" t="s">
        <v>39</v>
      </c>
      <c r="C3110" s="15" t="s">
        <v>2683</v>
      </c>
      <c r="D3110" s="14" t="s">
        <v>1749</v>
      </c>
      <c r="E3110" s="14" t="s">
        <v>1746</v>
      </c>
      <c r="F3110" s="14">
        <v>372</v>
      </c>
      <c r="G3110" s="14">
        <v>334.8</v>
      </c>
      <c r="H3110" s="37">
        <f>'Calculation Sheet'!N3110</f>
        <v>334.8</v>
      </c>
    </row>
    <row r="3111" spans="1:8" x14ac:dyDescent="0.25">
      <c r="A3111" s="14" t="s">
        <v>2680</v>
      </c>
      <c r="B3111" s="14" t="s">
        <v>28</v>
      </c>
      <c r="C3111" s="15" t="s">
        <v>2681</v>
      </c>
      <c r="D3111" s="14" t="s">
        <v>1745</v>
      </c>
      <c r="E3111" s="14" t="s">
        <v>1746</v>
      </c>
      <c r="F3111" s="14">
        <v>8631</v>
      </c>
      <c r="G3111" s="14">
        <v>6473.28</v>
      </c>
      <c r="H3111" s="37">
        <f>'Calculation Sheet'!N3111</f>
        <v>6473.28</v>
      </c>
    </row>
    <row r="3112" spans="1:8" x14ac:dyDescent="0.25">
      <c r="A3112" s="14" t="s">
        <v>2680</v>
      </c>
      <c r="B3112" s="14" t="s">
        <v>39</v>
      </c>
      <c r="C3112" s="15" t="s">
        <v>2683</v>
      </c>
      <c r="D3112" s="14" t="s">
        <v>1745</v>
      </c>
      <c r="E3112" s="14" t="s">
        <v>1747</v>
      </c>
      <c r="F3112" s="14">
        <v>3720</v>
      </c>
      <c r="G3112" s="14">
        <v>3348</v>
      </c>
      <c r="H3112" s="37">
        <f>'Calculation Sheet'!N3112</f>
        <v>3348</v>
      </c>
    </row>
    <row r="3113" spans="1:8" x14ac:dyDescent="0.25">
      <c r="A3113" s="14" t="s">
        <v>2680</v>
      </c>
      <c r="B3113" s="14">
        <v>1</v>
      </c>
      <c r="C3113" s="15" t="s">
        <v>2684</v>
      </c>
      <c r="D3113" s="14" t="s">
        <v>1745</v>
      </c>
      <c r="E3113" s="14" t="s">
        <v>1747</v>
      </c>
      <c r="F3113" s="14">
        <v>15000</v>
      </c>
      <c r="G3113" s="14">
        <v>11250</v>
      </c>
      <c r="H3113" s="37">
        <f>'Calculation Sheet'!N3113</f>
        <v>11250</v>
      </c>
    </row>
    <row r="3114" spans="1:8" x14ac:dyDescent="0.25">
      <c r="A3114" s="14" t="s">
        <v>2680</v>
      </c>
      <c r="B3114" s="14" t="s">
        <v>46</v>
      </c>
      <c r="C3114" s="15" t="s">
        <v>2682</v>
      </c>
      <c r="D3114" s="14" t="s">
        <v>1745</v>
      </c>
      <c r="E3114" s="14" t="s">
        <v>1746</v>
      </c>
      <c r="F3114" s="14">
        <v>6300</v>
      </c>
      <c r="G3114" s="14">
        <v>4725</v>
      </c>
      <c r="H3114" s="37">
        <f>'Calculation Sheet'!N3114</f>
        <v>4725</v>
      </c>
    </row>
    <row r="3115" spans="1:8" x14ac:dyDescent="0.25">
      <c r="A3115" s="14" t="s">
        <v>2680</v>
      </c>
      <c r="B3115" s="14" t="s">
        <v>46</v>
      </c>
      <c r="C3115" s="15" t="s">
        <v>2682</v>
      </c>
      <c r="D3115" s="14" t="s">
        <v>1749</v>
      </c>
      <c r="E3115" s="14" t="s">
        <v>1746</v>
      </c>
      <c r="F3115" s="14">
        <v>600</v>
      </c>
      <c r="G3115" s="14">
        <v>450</v>
      </c>
      <c r="H3115" s="37">
        <f>'Calculation Sheet'!N3115</f>
        <v>450</v>
      </c>
    </row>
    <row r="3116" spans="1:8" x14ac:dyDescent="0.25">
      <c r="A3116" s="14" t="s">
        <v>2680</v>
      </c>
      <c r="B3116" s="14" t="s">
        <v>28</v>
      </c>
      <c r="C3116" s="15" t="s">
        <v>2681</v>
      </c>
      <c r="D3116" s="14" t="s">
        <v>1745</v>
      </c>
      <c r="E3116" s="14" t="s">
        <v>1747</v>
      </c>
      <c r="F3116" s="14">
        <v>8220</v>
      </c>
      <c r="G3116" s="14">
        <v>6165</v>
      </c>
      <c r="H3116" s="37">
        <f>'Calculation Sheet'!N3116</f>
        <v>6165</v>
      </c>
    </row>
    <row r="3117" spans="1:8" x14ac:dyDescent="0.25">
      <c r="A3117" s="14" t="s">
        <v>2685</v>
      </c>
      <c r="B3117" s="14" t="s">
        <v>24</v>
      </c>
      <c r="C3117" s="15" t="s">
        <v>2686</v>
      </c>
      <c r="D3117" s="14" t="s">
        <v>1745</v>
      </c>
      <c r="E3117" s="14" t="s">
        <v>1746</v>
      </c>
      <c r="F3117" s="14">
        <v>31437</v>
      </c>
      <c r="G3117" s="14">
        <v>25149.599999999999</v>
      </c>
      <c r="H3117" s="37">
        <f>'Calculation Sheet'!N3117</f>
        <v>25149.599999999999</v>
      </c>
    </row>
    <row r="3118" spans="1:8" x14ac:dyDescent="0.25">
      <c r="A3118" s="14" t="s">
        <v>2685</v>
      </c>
      <c r="B3118" s="14">
        <v>1</v>
      </c>
      <c r="C3118" s="15" t="s">
        <v>2687</v>
      </c>
      <c r="D3118" s="14" t="s">
        <v>1745</v>
      </c>
      <c r="E3118" s="14" t="s">
        <v>1746</v>
      </c>
      <c r="F3118" s="14">
        <v>157248</v>
      </c>
      <c r="G3118" s="14">
        <v>125798.39999999999</v>
      </c>
      <c r="H3118" s="37">
        <f>'Calculation Sheet'!N3118</f>
        <v>125798.39999999999</v>
      </c>
    </row>
    <row r="3119" spans="1:8" x14ac:dyDescent="0.25">
      <c r="A3119" s="14" t="s">
        <v>2685</v>
      </c>
      <c r="B3119" s="14" t="s">
        <v>24</v>
      </c>
      <c r="C3119" s="15" t="s">
        <v>2686</v>
      </c>
      <c r="D3119" s="14" t="s">
        <v>1749</v>
      </c>
      <c r="E3119" s="14" t="s">
        <v>1746</v>
      </c>
      <c r="F3119" s="14">
        <v>2994</v>
      </c>
      <c r="G3119" s="14">
        <v>2395.1999999999998</v>
      </c>
      <c r="H3119" s="37">
        <f>'Calculation Sheet'!N3119</f>
        <v>2395.1999999999998</v>
      </c>
    </row>
    <row r="3120" spans="1:8" x14ac:dyDescent="0.25">
      <c r="A3120" s="14" t="s">
        <v>2685</v>
      </c>
      <c r="B3120" s="14" t="s">
        <v>34</v>
      </c>
      <c r="C3120" s="15" t="s">
        <v>2688</v>
      </c>
      <c r="D3120" s="14" t="s">
        <v>1749</v>
      </c>
      <c r="E3120" s="14" t="s">
        <v>1746</v>
      </c>
      <c r="F3120" s="14">
        <v>5988</v>
      </c>
      <c r="G3120" s="14">
        <v>5389.2</v>
      </c>
      <c r="H3120" s="37">
        <f>'Calculation Sheet'!N3120</f>
        <v>5389.2</v>
      </c>
    </row>
    <row r="3121" spans="1:8" x14ac:dyDescent="0.25">
      <c r="A3121" s="14" t="s">
        <v>2685</v>
      </c>
      <c r="B3121" s="14">
        <v>1</v>
      </c>
      <c r="C3121" s="15" t="s">
        <v>2687</v>
      </c>
      <c r="D3121" s="14" t="s">
        <v>1749</v>
      </c>
      <c r="E3121" s="14" t="s">
        <v>1746</v>
      </c>
      <c r="F3121" s="14">
        <v>14976</v>
      </c>
      <c r="G3121" s="14">
        <v>11980.8</v>
      </c>
      <c r="H3121" s="37">
        <f>'Calculation Sheet'!N3121</f>
        <v>11980.8</v>
      </c>
    </row>
    <row r="3122" spans="1:8" x14ac:dyDescent="0.25">
      <c r="A3122" s="14" t="s">
        <v>2685</v>
      </c>
      <c r="B3122" s="14" t="s">
        <v>34</v>
      </c>
      <c r="C3122" s="15" t="s">
        <v>2688</v>
      </c>
      <c r="D3122" s="14" t="s">
        <v>1745</v>
      </c>
      <c r="E3122" s="14" t="s">
        <v>1747</v>
      </c>
      <c r="F3122" s="14">
        <v>59880</v>
      </c>
      <c r="G3122" s="14">
        <v>53892</v>
      </c>
      <c r="H3122" s="37">
        <f>'Calculation Sheet'!N3122</f>
        <v>53892</v>
      </c>
    </row>
    <row r="3123" spans="1:8" x14ac:dyDescent="0.25">
      <c r="A3123" s="14" t="s">
        <v>2685</v>
      </c>
      <c r="B3123" s="14" t="s">
        <v>20</v>
      </c>
      <c r="C3123" s="15" t="s">
        <v>2689</v>
      </c>
      <c r="D3123" s="14" t="s">
        <v>1745</v>
      </c>
      <c r="E3123" s="14" t="s">
        <v>1746</v>
      </c>
      <c r="F3123" s="14">
        <v>23562</v>
      </c>
      <c r="G3123" s="14">
        <v>18849.599999999999</v>
      </c>
      <c r="H3123" s="37">
        <f>'Calculation Sheet'!N3123</f>
        <v>18849.599999999999</v>
      </c>
    </row>
    <row r="3124" spans="1:8" x14ac:dyDescent="0.25">
      <c r="A3124" s="14" t="s">
        <v>2685</v>
      </c>
      <c r="B3124" s="14" t="s">
        <v>24</v>
      </c>
      <c r="C3124" s="15" t="s">
        <v>2686</v>
      </c>
      <c r="D3124" s="14" t="s">
        <v>1745</v>
      </c>
      <c r="E3124" s="14" t="s">
        <v>1747</v>
      </c>
      <c r="F3124" s="14">
        <v>29940</v>
      </c>
      <c r="G3124" s="14">
        <v>23952</v>
      </c>
      <c r="H3124" s="37">
        <f>'Calculation Sheet'!N3124</f>
        <v>23952</v>
      </c>
    </row>
    <row r="3125" spans="1:8" x14ac:dyDescent="0.25">
      <c r="A3125" s="14" t="s">
        <v>2685</v>
      </c>
      <c r="B3125" s="14">
        <v>1</v>
      </c>
      <c r="C3125" s="15" t="s">
        <v>2687</v>
      </c>
      <c r="D3125" s="14" t="s">
        <v>1745</v>
      </c>
      <c r="E3125" s="14" t="s">
        <v>1747</v>
      </c>
      <c r="F3125" s="14">
        <v>149760</v>
      </c>
      <c r="G3125" s="14">
        <v>119808</v>
      </c>
      <c r="H3125" s="37">
        <f>'Calculation Sheet'!N3125</f>
        <v>119808</v>
      </c>
    </row>
    <row r="3126" spans="1:8" x14ac:dyDescent="0.25">
      <c r="A3126" s="14" t="s">
        <v>2685</v>
      </c>
      <c r="B3126" s="14" t="s">
        <v>34</v>
      </c>
      <c r="C3126" s="15" t="s">
        <v>2688</v>
      </c>
      <c r="D3126" s="14" t="s">
        <v>1745</v>
      </c>
      <c r="E3126" s="14" t="s">
        <v>1746</v>
      </c>
      <c r="F3126" s="14">
        <v>62874</v>
      </c>
      <c r="G3126" s="14">
        <v>56586.6</v>
      </c>
      <c r="H3126" s="37">
        <f>'Calculation Sheet'!N3126</f>
        <v>56586.6</v>
      </c>
    </row>
    <row r="3127" spans="1:8" x14ac:dyDescent="0.25">
      <c r="A3127" s="14" t="s">
        <v>2685</v>
      </c>
      <c r="B3127" s="14" t="s">
        <v>20</v>
      </c>
      <c r="C3127" s="15" t="s">
        <v>2689</v>
      </c>
      <c r="D3127" s="14" t="s">
        <v>1745</v>
      </c>
      <c r="E3127" s="14" t="s">
        <v>1747</v>
      </c>
      <c r="F3127" s="14">
        <v>22440</v>
      </c>
      <c r="G3127" s="14">
        <v>17952</v>
      </c>
      <c r="H3127" s="37">
        <f>'Calculation Sheet'!N3127</f>
        <v>17952</v>
      </c>
    </row>
    <row r="3128" spans="1:8" x14ac:dyDescent="0.25">
      <c r="A3128" s="14" t="s">
        <v>2685</v>
      </c>
      <c r="B3128" s="14" t="s">
        <v>20</v>
      </c>
      <c r="C3128" s="15" t="s">
        <v>2689</v>
      </c>
      <c r="D3128" s="14" t="s">
        <v>1749</v>
      </c>
      <c r="E3128" s="14" t="s">
        <v>1746</v>
      </c>
      <c r="F3128" s="14">
        <v>2244</v>
      </c>
      <c r="G3128" s="14">
        <v>1795.2</v>
      </c>
      <c r="H3128" s="37">
        <f>'Calculation Sheet'!N3128</f>
        <v>1795.2</v>
      </c>
    </row>
    <row r="3129" spans="1:8" x14ac:dyDescent="0.25">
      <c r="A3129" s="14" t="s">
        <v>2690</v>
      </c>
      <c r="B3129" s="14">
        <v>3</v>
      </c>
      <c r="C3129" s="15" t="s">
        <v>2691</v>
      </c>
      <c r="D3129" s="14" t="s">
        <v>1745</v>
      </c>
      <c r="E3129" s="14" t="s">
        <v>1747</v>
      </c>
      <c r="F3129" s="14">
        <v>4991700</v>
      </c>
      <c r="G3129" s="14">
        <v>3993360</v>
      </c>
      <c r="H3129" s="37">
        <f>'Calculation Sheet'!N3129</f>
        <v>3993360</v>
      </c>
    </row>
    <row r="3130" spans="1:8" x14ac:dyDescent="0.25">
      <c r="A3130" s="14" t="s">
        <v>2690</v>
      </c>
      <c r="B3130" s="14" t="s">
        <v>20</v>
      </c>
      <c r="C3130" s="15" t="s">
        <v>2692</v>
      </c>
      <c r="D3130" s="14" t="s">
        <v>1749</v>
      </c>
      <c r="E3130" s="14" t="s">
        <v>1746</v>
      </c>
      <c r="F3130" s="14">
        <v>74874</v>
      </c>
      <c r="G3130" s="14">
        <v>59899.199999999997</v>
      </c>
      <c r="H3130" s="37">
        <f>'Calculation Sheet'!N3130</f>
        <v>59899.199999999997</v>
      </c>
    </row>
    <row r="3131" spans="1:8" x14ac:dyDescent="0.25">
      <c r="A3131" s="14" t="s">
        <v>2690</v>
      </c>
      <c r="B3131" s="14" t="s">
        <v>16</v>
      </c>
      <c r="C3131" s="15" t="s">
        <v>2693</v>
      </c>
      <c r="D3131" s="14" t="s">
        <v>1745</v>
      </c>
      <c r="E3131" s="14" t="s">
        <v>1747</v>
      </c>
      <c r="F3131" s="14">
        <v>1996680</v>
      </c>
      <c r="G3131" s="14">
        <v>1797012</v>
      </c>
      <c r="H3131" s="37">
        <f>'Calculation Sheet'!N3131</f>
        <v>1797012</v>
      </c>
    </row>
    <row r="3132" spans="1:8" x14ac:dyDescent="0.25">
      <c r="A3132" s="14" t="s">
        <v>2690</v>
      </c>
      <c r="B3132" s="14" t="s">
        <v>16</v>
      </c>
      <c r="C3132" s="15" t="s">
        <v>2693</v>
      </c>
      <c r="D3132" s="14" t="s">
        <v>1749</v>
      </c>
      <c r="E3132" s="14" t="s">
        <v>1746</v>
      </c>
      <c r="F3132" s="14">
        <v>199668</v>
      </c>
      <c r="G3132" s="14">
        <v>179701.2</v>
      </c>
      <c r="H3132" s="37">
        <f>'Calculation Sheet'!N3132</f>
        <v>179701.2</v>
      </c>
    </row>
    <row r="3133" spans="1:8" x14ac:dyDescent="0.25">
      <c r="A3133" s="14" t="s">
        <v>2690</v>
      </c>
      <c r="B3133" s="14" t="s">
        <v>24</v>
      </c>
      <c r="C3133" s="15" t="s">
        <v>2694</v>
      </c>
      <c r="D3133" s="14" t="s">
        <v>1745</v>
      </c>
      <c r="E3133" s="14" t="s">
        <v>1746</v>
      </c>
      <c r="F3133" s="14">
        <v>1048257</v>
      </c>
      <c r="G3133" s="14">
        <v>838605.6</v>
      </c>
      <c r="H3133" s="37">
        <f>'Calculation Sheet'!N3133</f>
        <v>838605.6</v>
      </c>
    </row>
    <row r="3134" spans="1:8" x14ac:dyDescent="0.25">
      <c r="A3134" s="14" t="s">
        <v>2690</v>
      </c>
      <c r="B3134" s="14" t="s">
        <v>16</v>
      </c>
      <c r="C3134" s="15" t="s">
        <v>2693</v>
      </c>
      <c r="D3134" s="14" t="s">
        <v>1745</v>
      </c>
      <c r="E3134" s="14" t="s">
        <v>1746</v>
      </c>
      <c r="F3134" s="14">
        <v>2096514</v>
      </c>
      <c r="G3134" s="14">
        <v>1886863</v>
      </c>
      <c r="H3134" s="37">
        <f>'Calculation Sheet'!N3134</f>
        <v>1886863</v>
      </c>
    </row>
    <row r="3135" spans="1:8" x14ac:dyDescent="0.25">
      <c r="A3135" s="14" t="s">
        <v>2690</v>
      </c>
      <c r="B3135" s="14">
        <v>3</v>
      </c>
      <c r="C3135" s="15" t="s">
        <v>2691</v>
      </c>
      <c r="D3135" s="14" t="s">
        <v>1749</v>
      </c>
      <c r="E3135" s="14" t="s">
        <v>1746</v>
      </c>
      <c r="F3135" s="14">
        <v>499170</v>
      </c>
      <c r="G3135" s="14">
        <v>399336</v>
      </c>
      <c r="H3135" s="37">
        <f>'Calculation Sheet'!N3135</f>
        <v>399336</v>
      </c>
    </row>
    <row r="3136" spans="1:8" x14ac:dyDescent="0.25">
      <c r="A3136" s="14" t="s">
        <v>2690</v>
      </c>
      <c r="B3136" s="14" t="s">
        <v>24</v>
      </c>
      <c r="C3136" s="15" t="s">
        <v>2694</v>
      </c>
      <c r="D3136" s="14" t="s">
        <v>1745</v>
      </c>
      <c r="E3136" s="14" t="s">
        <v>1747</v>
      </c>
      <c r="F3136" s="14">
        <v>998340</v>
      </c>
      <c r="G3136" s="14">
        <v>798672</v>
      </c>
      <c r="H3136" s="37">
        <f>'Calculation Sheet'!N3136</f>
        <v>798672</v>
      </c>
    </row>
    <row r="3137" spans="1:8" x14ac:dyDescent="0.25">
      <c r="A3137" s="14" t="s">
        <v>2690</v>
      </c>
      <c r="B3137" s="14" t="s">
        <v>20</v>
      </c>
      <c r="C3137" s="15" t="s">
        <v>2692</v>
      </c>
      <c r="D3137" s="14" t="s">
        <v>1745</v>
      </c>
      <c r="E3137" s="14" t="s">
        <v>1747</v>
      </c>
      <c r="F3137" s="14">
        <v>748740</v>
      </c>
      <c r="G3137" s="14">
        <v>598992</v>
      </c>
      <c r="H3137" s="37">
        <f>'Calculation Sheet'!N3137</f>
        <v>598992</v>
      </c>
    </row>
    <row r="3138" spans="1:8" x14ac:dyDescent="0.25">
      <c r="A3138" s="14" t="s">
        <v>2690</v>
      </c>
      <c r="B3138" s="14" t="s">
        <v>24</v>
      </c>
      <c r="C3138" s="15" t="s">
        <v>2694</v>
      </c>
      <c r="D3138" s="14" t="s">
        <v>1749</v>
      </c>
      <c r="E3138" s="14" t="s">
        <v>1746</v>
      </c>
      <c r="F3138" s="14">
        <v>99834</v>
      </c>
      <c r="G3138" s="14">
        <v>79867.199999999997</v>
      </c>
      <c r="H3138" s="37">
        <f>'Calculation Sheet'!N3138</f>
        <v>79867.199999999997</v>
      </c>
    </row>
    <row r="3139" spans="1:8" x14ac:dyDescent="0.25">
      <c r="A3139" s="14" t="s">
        <v>2690</v>
      </c>
      <c r="B3139" s="14">
        <v>3</v>
      </c>
      <c r="C3139" s="15" t="s">
        <v>2691</v>
      </c>
      <c r="D3139" s="14" t="s">
        <v>1745</v>
      </c>
      <c r="E3139" s="14" t="s">
        <v>1746</v>
      </c>
      <c r="F3139" s="14">
        <v>5241285</v>
      </c>
      <c r="G3139" s="14">
        <v>4193028</v>
      </c>
      <c r="H3139" s="37">
        <f>'Calculation Sheet'!N3139</f>
        <v>4193028</v>
      </c>
    </row>
    <row r="3140" spans="1:8" x14ac:dyDescent="0.25">
      <c r="A3140" s="14" t="s">
        <v>2690</v>
      </c>
      <c r="B3140" s="14" t="s">
        <v>20</v>
      </c>
      <c r="C3140" s="15" t="s">
        <v>2692</v>
      </c>
      <c r="D3140" s="14" t="s">
        <v>1745</v>
      </c>
      <c r="E3140" s="14" t="s">
        <v>1746</v>
      </c>
      <c r="F3140" s="14">
        <v>786177</v>
      </c>
      <c r="G3140" s="14">
        <v>628941.6</v>
      </c>
      <c r="H3140" s="37">
        <f>'Calculation Sheet'!N3140</f>
        <v>628941.6</v>
      </c>
    </row>
    <row r="3141" spans="1:8" x14ac:dyDescent="0.25">
      <c r="A3141" s="14" t="s">
        <v>2695</v>
      </c>
      <c r="B3141" s="14" t="s">
        <v>34</v>
      </c>
      <c r="C3141" s="15" t="s">
        <v>2696</v>
      </c>
      <c r="D3141" s="14" t="s">
        <v>1745</v>
      </c>
      <c r="E3141" s="14" t="s">
        <v>1746</v>
      </c>
      <c r="F3141" s="14">
        <v>86499</v>
      </c>
      <c r="G3141" s="14">
        <v>64874.28</v>
      </c>
      <c r="H3141" s="37">
        <f>'Calculation Sheet'!N3141</f>
        <v>64874.28</v>
      </c>
    </row>
    <row r="3142" spans="1:8" x14ac:dyDescent="0.25">
      <c r="A3142" s="14" t="s">
        <v>2695</v>
      </c>
      <c r="B3142" s="14" t="s">
        <v>24</v>
      </c>
      <c r="C3142" s="15" t="s">
        <v>2697</v>
      </c>
      <c r="D3142" s="14" t="s">
        <v>1745</v>
      </c>
      <c r="E3142" s="14" t="s">
        <v>1746</v>
      </c>
      <c r="F3142" s="14">
        <v>39312</v>
      </c>
      <c r="G3142" s="14">
        <v>35380.800000000003</v>
      </c>
      <c r="H3142" s="37">
        <f>'Calculation Sheet'!N3142</f>
        <v>35380.800000000003</v>
      </c>
    </row>
    <row r="3143" spans="1:8" x14ac:dyDescent="0.25">
      <c r="A3143" s="14" t="s">
        <v>2695</v>
      </c>
      <c r="B3143" s="14" t="s">
        <v>34</v>
      </c>
      <c r="C3143" s="15" t="s">
        <v>2696</v>
      </c>
      <c r="D3143" s="14" t="s">
        <v>1745</v>
      </c>
      <c r="E3143" s="14" t="s">
        <v>1747</v>
      </c>
      <c r="F3143" s="14">
        <v>82380</v>
      </c>
      <c r="G3143" s="14">
        <v>61785</v>
      </c>
      <c r="H3143" s="37">
        <f>'Calculation Sheet'!N3143</f>
        <v>61785</v>
      </c>
    </row>
    <row r="3144" spans="1:8" x14ac:dyDescent="0.25">
      <c r="A3144" s="14" t="s">
        <v>2695</v>
      </c>
      <c r="B3144" s="14" t="s">
        <v>24</v>
      </c>
      <c r="C3144" s="15" t="s">
        <v>2697</v>
      </c>
      <c r="D3144" s="14" t="s">
        <v>1749</v>
      </c>
      <c r="E3144" s="14" t="s">
        <v>1746</v>
      </c>
      <c r="F3144" s="14">
        <v>3744</v>
      </c>
      <c r="G3144" s="14">
        <v>3369.6</v>
      </c>
      <c r="H3144" s="37">
        <f>'Calculation Sheet'!N3144</f>
        <v>3369.6</v>
      </c>
    </row>
    <row r="3145" spans="1:8" x14ac:dyDescent="0.25">
      <c r="A3145" s="14" t="s">
        <v>2695</v>
      </c>
      <c r="B3145" s="14" t="s">
        <v>34</v>
      </c>
      <c r="C3145" s="15" t="s">
        <v>2696</v>
      </c>
      <c r="D3145" s="14" t="s">
        <v>1749</v>
      </c>
      <c r="E3145" s="14" t="s">
        <v>1746</v>
      </c>
      <c r="F3145" s="14">
        <v>8238</v>
      </c>
      <c r="G3145" s="14">
        <v>6178.5</v>
      </c>
      <c r="H3145" s="37">
        <f>'Calculation Sheet'!N3145</f>
        <v>6178.5</v>
      </c>
    </row>
    <row r="3146" spans="1:8" x14ac:dyDescent="0.25">
      <c r="A3146" s="14" t="s">
        <v>2695</v>
      </c>
      <c r="B3146" s="14">
        <v>1</v>
      </c>
      <c r="C3146" s="15" t="s">
        <v>2698</v>
      </c>
      <c r="D3146" s="14" t="s">
        <v>1745</v>
      </c>
      <c r="E3146" s="14" t="s">
        <v>1746</v>
      </c>
      <c r="F3146" s="14">
        <v>157248</v>
      </c>
      <c r="G3146" s="14">
        <v>117936</v>
      </c>
      <c r="H3146" s="37">
        <f>'Calculation Sheet'!N3146</f>
        <v>117936</v>
      </c>
    </row>
    <row r="3147" spans="1:8" x14ac:dyDescent="0.25">
      <c r="A3147" s="14" t="s">
        <v>2695</v>
      </c>
      <c r="B3147" s="14">
        <v>1</v>
      </c>
      <c r="C3147" s="15" t="s">
        <v>2698</v>
      </c>
      <c r="D3147" s="14" t="s">
        <v>1745</v>
      </c>
      <c r="E3147" s="14" t="s">
        <v>1747</v>
      </c>
      <c r="F3147" s="14">
        <v>149760</v>
      </c>
      <c r="G3147" s="14">
        <v>112320</v>
      </c>
      <c r="H3147" s="37">
        <f>'Calculation Sheet'!N3147</f>
        <v>112320</v>
      </c>
    </row>
    <row r="3148" spans="1:8" x14ac:dyDescent="0.25">
      <c r="A3148" s="14" t="s">
        <v>2695</v>
      </c>
      <c r="B3148" s="14" t="s">
        <v>89</v>
      </c>
      <c r="C3148" s="15" t="s">
        <v>2699</v>
      </c>
      <c r="D3148" s="14" t="s">
        <v>1745</v>
      </c>
      <c r="E3148" s="14" t="s">
        <v>1747</v>
      </c>
      <c r="F3148" s="14">
        <v>59880</v>
      </c>
      <c r="G3148" s="14">
        <v>44910</v>
      </c>
      <c r="H3148" s="37">
        <f>'Calculation Sheet'!N3148</f>
        <v>44910</v>
      </c>
    </row>
    <row r="3149" spans="1:8" x14ac:dyDescent="0.25">
      <c r="A3149" s="14" t="s">
        <v>2695</v>
      </c>
      <c r="B3149" s="14" t="s">
        <v>89</v>
      </c>
      <c r="C3149" s="15" t="s">
        <v>2699</v>
      </c>
      <c r="D3149" s="14" t="s">
        <v>1745</v>
      </c>
      <c r="E3149" s="14" t="s">
        <v>1746</v>
      </c>
      <c r="F3149" s="14">
        <v>62874</v>
      </c>
      <c r="G3149" s="14">
        <v>47155.56</v>
      </c>
      <c r="H3149" s="37">
        <f>'Calculation Sheet'!N3149</f>
        <v>47155.56</v>
      </c>
    </row>
    <row r="3150" spans="1:8" x14ac:dyDescent="0.25">
      <c r="A3150" s="14" t="s">
        <v>2695</v>
      </c>
      <c r="B3150" s="14">
        <v>1</v>
      </c>
      <c r="C3150" s="15" t="s">
        <v>2698</v>
      </c>
      <c r="D3150" s="14" t="s">
        <v>1749</v>
      </c>
      <c r="E3150" s="14" t="s">
        <v>1746</v>
      </c>
      <c r="F3150" s="14">
        <v>14976</v>
      </c>
      <c r="G3150" s="14">
        <v>11232</v>
      </c>
      <c r="H3150" s="37">
        <f>'Calculation Sheet'!N3150</f>
        <v>11232</v>
      </c>
    </row>
    <row r="3151" spans="1:8" x14ac:dyDescent="0.25">
      <c r="A3151" s="14" t="s">
        <v>2695</v>
      </c>
      <c r="B3151" s="14" t="s">
        <v>24</v>
      </c>
      <c r="C3151" s="15" t="s">
        <v>2697</v>
      </c>
      <c r="D3151" s="14" t="s">
        <v>1745</v>
      </c>
      <c r="E3151" s="14" t="s">
        <v>1747</v>
      </c>
      <c r="F3151" s="14">
        <v>37440</v>
      </c>
      <c r="G3151" s="14">
        <v>33696</v>
      </c>
      <c r="H3151" s="37">
        <f>'Calculation Sheet'!N3151</f>
        <v>33696</v>
      </c>
    </row>
    <row r="3152" spans="1:8" x14ac:dyDescent="0.25">
      <c r="A3152" s="14" t="s">
        <v>2695</v>
      </c>
      <c r="B3152" s="14" t="s">
        <v>89</v>
      </c>
      <c r="C3152" s="15" t="s">
        <v>2699</v>
      </c>
      <c r="D3152" s="14" t="s">
        <v>1749</v>
      </c>
      <c r="E3152" s="14" t="s">
        <v>1746</v>
      </c>
      <c r="F3152" s="14">
        <v>5988</v>
      </c>
      <c r="G3152" s="14">
        <v>4491</v>
      </c>
      <c r="H3152" s="37">
        <f>'Calculation Sheet'!N3152</f>
        <v>4491</v>
      </c>
    </row>
    <row r="3153" spans="1:8" x14ac:dyDescent="0.25">
      <c r="A3153" s="14" t="s">
        <v>2700</v>
      </c>
      <c r="B3153" s="14" t="s">
        <v>32</v>
      </c>
      <c r="C3153" s="15" t="s">
        <v>2701</v>
      </c>
      <c r="D3153" s="14" t="s">
        <v>1745</v>
      </c>
      <c r="E3153" s="14" t="s">
        <v>1746</v>
      </c>
      <c r="F3153" s="14">
        <v>4725</v>
      </c>
      <c r="G3153" s="14">
        <v>3780</v>
      </c>
      <c r="H3153" s="37">
        <f>'Calculation Sheet'!N3153</f>
        <v>3780</v>
      </c>
    </row>
    <row r="3154" spans="1:8" x14ac:dyDescent="0.25">
      <c r="A3154" s="14" t="s">
        <v>2700</v>
      </c>
      <c r="B3154" s="14" t="s">
        <v>32</v>
      </c>
      <c r="C3154" s="15" t="s">
        <v>2701</v>
      </c>
      <c r="D3154" s="14" t="s">
        <v>1745</v>
      </c>
      <c r="E3154" s="14" t="s">
        <v>1747</v>
      </c>
      <c r="F3154" s="14">
        <v>4500</v>
      </c>
      <c r="G3154" s="14">
        <v>3600</v>
      </c>
      <c r="H3154" s="37">
        <f>'Calculation Sheet'!N3154</f>
        <v>3600</v>
      </c>
    </row>
    <row r="3155" spans="1:8" x14ac:dyDescent="0.25">
      <c r="A3155" s="14" t="s">
        <v>2700</v>
      </c>
      <c r="B3155" s="14">
        <v>1</v>
      </c>
      <c r="C3155" s="15" t="s">
        <v>2702</v>
      </c>
      <c r="D3155" s="14" t="s">
        <v>1745</v>
      </c>
      <c r="E3155" s="14" t="s">
        <v>1747</v>
      </c>
      <c r="F3155" s="14">
        <v>23940</v>
      </c>
      <c r="G3155" s="14">
        <v>19152</v>
      </c>
      <c r="H3155" s="37">
        <f>'Calculation Sheet'!N3155</f>
        <v>19152</v>
      </c>
    </row>
    <row r="3156" spans="1:8" x14ac:dyDescent="0.25">
      <c r="A3156" s="14" t="s">
        <v>2700</v>
      </c>
      <c r="B3156" s="14">
        <v>1</v>
      </c>
      <c r="C3156" s="15" t="s">
        <v>2702</v>
      </c>
      <c r="D3156" s="14" t="s">
        <v>1745</v>
      </c>
      <c r="E3156" s="14" t="s">
        <v>1746</v>
      </c>
      <c r="F3156" s="14">
        <v>25137</v>
      </c>
      <c r="G3156" s="14">
        <v>20109.599999999999</v>
      </c>
      <c r="H3156" s="37">
        <f>'Calculation Sheet'!N3156</f>
        <v>20109.599999999999</v>
      </c>
    </row>
    <row r="3157" spans="1:8" x14ac:dyDescent="0.25">
      <c r="A3157" s="14" t="s">
        <v>2700</v>
      </c>
      <c r="B3157" s="14" t="s">
        <v>50</v>
      </c>
      <c r="C3157" s="15" t="s">
        <v>2703</v>
      </c>
      <c r="D3157" s="14" t="s">
        <v>1749</v>
      </c>
      <c r="E3157" s="14" t="s">
        <v>1746</v>
      </c>
      <c r="F3157" s="14">
        <v>252</v>
      </c>
      <c r="G3157" s="14">
        <v>201.6</v>
      </c>
      <c r="H3157" s="37">
        <f>'Calculation Sheet'!N3157</f>
        <v>201.6</v>
      </c>
    </row>
    <row r="3158" spans="1:8" x14ac:dyDescent="0.25">
      <c r="A3158" s="14" t="s">
        <v>2700</v>
      </c>
      <c r="B3158" s="14" t="s">
        <v>32</v>
      </c>
      <c r="C3158" s="15" t="s">
        <v>2701</v>
      </c>
      <c r="D3158" s="14" t="s">
        <v>1749</v>
      </c>
      <c r="E3158" s="14" t="s">
        <v>1746</v>
      </c>
      <c r="F3158" s="14">
        <v>450</v>
      </c>
      <c r="G3158" s="14">
        <v>360</v>
      </c>
      <c r="H3158" s="37">
        <f>'Calculation Sheet'!N3158</f>
        <v>360</v>
      </c>
    </row>
    <row r="3159" spans="1:8" x14ac:dyDescent="0.25">
      <c r="A3159" s="14" t="s">
        <v>2700</v>
      </c>
      <c r="B3159" s="14" t="s">
        <v>50</v>
      </c>
      <c r="C3159" s="15" t="s">
        <v>2703</v>
      </c>
      <c r="D3159" s="14" t="s">
        <v>1745</v>
      </c>
      <c r="E3159" s="14" t="s">
        <v>1747</v>
      </c>
      <c r="F3159" s="14">
        <v>2520</v>
      </c>
      <c r="G3159" s="14">
        <v>2016</v>
      </c>
      <c r="H3159" s="37">
        <f>'Calculation Sheet'!N3159</f>
        <v>2016</v>
      </c>
    </row>
    <row r="3160" spans="1:8" x14ac:dyDescent="0.25">
      <c r="A3160" s="14" t="s">
        <v>2700</v>
      </c>
      <c r="B3160" s="14" t="s">
        <v>55</v>
      </c>
      <c r="C3160" s="15" t="s">
        <v>2704</v>
      </c>
      <c r="D3160" s="14" t="s">
        <v>1745</v>
      </c>
      <c r="E3160" s="14" t="s">
        <v>1747</v>
      </c>
      <c r="F3160" s="14">
        <v>9600</v>
      </c>
      <c r="G3160" s="14">
        <v>8640</v>
      </c>
      <c r="H3160" s="37">
        <f>'Calculation Sheet'!N3160</f>
        <v>8640</v>
      </c>
    </row>
    <row r="3161" spans="1:8" x14ac:dyDescent="0.25">
      <c r="A3161" s="14" t="s">
        <v>2700</v>
      </c>
      <c r="B3161" s="14" t="s">
        <v>55</v>
      </c>
      <c r="C3161" s="15" t="s">
        <v>2704</v>
      </c>
      <c r="D3161" s="14" t="s">
        <v>1749</v>
      </c>
      <c r="E3161" s="14" t="s">
        <v>1746</v>
      </c>
      <c r="F3161" s="14">
        <v>960</v>
      </c>
      <c r="G3161" s="14">
        <v>864</v>
      </c>
      <c r="H3161" s="37">
        <f>'Calculation Sheet'!N3161</f>
        <v>864</v>
      </c>
    </row>
    <row r="3162" spans="1:8" x14ac:dyDescent="0.25">
      <c r="A3162" s="14" t="s">
        <v>2700</v>
      </c>
      <c r="B3162" s="14" t="s">
        <v>50</v>
      </c>
      <c r="C3162" s="15" t="s">
        <v>2703</v>
      </c>
      <c r="D3162" s="14" t="s">
        <v>1745</v>
      </c>
      <c r="E3162" s="14" t="s">
        <v>1746</v>
      </c>
      <c r="F3162" s="14">
        <v>2646</v>
      </c>
      <c r="G3162" s="14">
        <v>2116.8000000000002</v>
      </c>
      <c r="H3162" s="37">
        <f>'Calculation Sheet'!N3162</f>
        <v>2116.8000000000002</v>
      </c>
    </row>
    <row r="3163" spans="1:8" x14ac:dyDescent="0.25">
      <c r="A3163" s="14" t="s">
        <v>2700</v>
      </c>
      <c r="B3163" s="14" t="s">
        <v>55</v>
      </c>
      <c r="C3163" s="15" t="s">
        <v>2704</v>
      </c>
      <c r="D3163" s="14" t="s">
        <v>1745</v>
      </c>
      <c r="E3163" s="14" t="s">
        <v>1746</v>
      </c>
      <c r="F3163" s="14">
        <v>10080</v>
      </c>
      <c r="G3163" s="14">
        <v>9072</v>
      </c>
      <c r="H3163" s="37">
        <f>'Calculation Sheet'!N3163</f>
        <v>9072</v>
      </c>
    </row>
    <row r="3164" spans="1:8" x14ac:dyDescent="0.25">
      <c r="A3164" s="14" t="s">
        <v>2700</v>
      </c>
      <c r="B3164" s="14">
        <v>1</v>
      </c>
      <c r="C3164" s="15" t="s">
        <v>2702</v>
      </c>
      <c r="D3164" s="14" t="s">
        <v>1749</v>
      </c>
      <c r="E3164" s="14" t="s">
        <v>1746</v>
      </c>
      <c r="F3164" s="14">
        <v>2394</v>
      </c>
      <c r="G3164" s="14">
        <v>1915.2</v>
      </c>
      <c r="H3164" s="37">
        <f>'Calculation Sheet'!N3164</f>
        <v>1915.2</v>
      </c>
    </row>
    <row r="3165" spans="1:8" x14ac:dyDescent="0.25">
      <c r="A3165" s="14" t="s">
        <v>2705</v>
      </c>
      <c r="B3165" s="14" t="s">
        <v>34</v>
      </c>
      <c r="C3165" s="15" t="s">
        <v>2706</v>
      </c>
      <c r="D3165" s="14" t="s">
        <v>1745</v>
      </c>
      <c r="E3165" s="14" t="s">
        <v>1746</v>
      </c>
      <c r="F3165" s="14">
        <v>1323</v>
      </c>
      <c r="G3165" s="14">
        <v>1058.4000000000001</v>
      </c>
      <c r="H3165" s="37">
        <f>'Calculation Sheet'!N3165</f>
        <v>1058.4000000000001</v>
      </c>
    </row>
    <row r="3166" spans="1:8" x14ac:dyDescent="0.25">
      <c r="A3166" s="14" t="s">
        <v>2705</v>
      </c>
      <c r="B3166" s="14">
        <v>1</v>
      </c>
      <c r="C3166" s="15" t="s">
        <v>2707</v>
      </c>
      <c r="D3166" s="14" t="s">
        <v>1745</v>
      </c>
      <c r="E3166" s="14" t="s">
        <v>1746</v>
      </c>
      <c r="F3166" s="14">
        <v>10458</v>
      </c>
      <c r="G3166" s="14">
        <v>8366.4</v>
      </c>
      <c r="H3166" s="37">
        <f>'Calculation Sheet'!N3166</f>
        <v>8366.4</v>
      </c>
    </row>
    <row r="3167" spans="1:8" x14ac:dyDescent="0.25">
      <c r="A3167" s="14" t="s">
        <v>2705</v>
      </c>
      <c r="B3167" s="14" t="s">
        <v>34</v>
      </c>
      <c r="C3167" s="15" t="s">
        <v>2706</v>
      </c>
      <c r="D3167" s="14" t="s">
        <v>1745</v>
      </c>
      <c r="E3167" s="14" t="s">
        <v>1747</v>
      </c>
      <c r="F3167" s="14">
        <v>1260</v>
      </c>
      <c r="G3167" s="14">
        <v>1008</v>
      </c>
      <c r="H3167" s="37">
        <f>'Calculation Sheet'!N3167</f>
        <v>1008</v>
      </c>
    </row>
    <row r="3168" spans="1:8" x14ac:dyDescent="0.25">
      <c r="A3168" s="14" t="s">
        <v>2705</v>
      </c>
      <c r="B3168" s="14" t="s">
        <v>24</v>
      </c>
      <c r="C3168" s="15" t="s">
        <v>2708</v>
      </c>
      <c r="D3168" s="14" t="s">
        <v>1745</v>
      </c>
      <c r="E3168" s="14" t="s">
        <v>1746</v>
      </c>
      <c r="F3168" s="14">
        <v>4221</v>
      </c>
      <c r="G3168" s="14">
        <v>3798.96</v>
      </c>
      <c r="H3168" s="37">
        <f>'Calculation Sheet'!N3168</f>
        <v>3798.96</v>
      </c>
    </row>
    <row r="3169" spans="1:8" x14ac:dyDescent="0.25">
      <c r="A3169" s="14" t="s">
        <v>2705</v>
      </c>
      <c r="B3169" s="14">
        <v>1</v>
      </c>
      <c r="C3169" s="15" t="s">
        <v>2707</v>
      </c>
      <c r="D3169" s="14" t="s">
        <v>1745</v>
      </c>
      <c r="E3169" s="14" t="s">
        <v>1747</v>
      </c>
      <c r="F3169" s="14">
        <v>9960</v>
      </c>
      <c r="G3169" s="14">
        <v>7968</v>
      </c>
      <c r="H3169" s="37">
        <f>'Calculation Sheet'!N3169</f>
        <v>7968</v>
      </c>
    </row>
    <row r="3170" spans="1:8" x14ac:dyDescent="0.25">
      <c r="A3170" s="14" t="s">
        <v>2705</v>
      </c>
      <c r="B3170" s="14" t="s">
        <v>24</v>
      </c>
      <c r="C3170" s="15" t="s">
        <v>2708</v>
      </c>
      <c r="D3170" s="14" t="s">
        <v>1749</v>
      </c>
      <c r="E3170" s="14" t="s">
        <v>1746</v>
      </c>
      <c r="F3170" s="14">
        <v>402</v>
      </c>
      <c r="G3170" s="14">
        <v>361.8</v>
      </c>
      <c r="H3170" s="37">
        <f>'Calculation Sheet'!N3170</f>
        <v>361.8</v>
      </c>
    </row>
    <row r="3171" spans="1:8" x14ac:dyDescent="0.25">
      <c r="A3171" s="14" t="s">
        <v>2705</v>
      </c>
      <c r="B3171" s="14" t="s">
        <v>20</v>
      </c>
      <c r="C3171" s="15" t="s">
        <v>2709</v>
      </c>
      <c r="D3171" s="14" t="s">
        <v>1745</v>
      </c>
      <c r="E3171" s="14" t="s">
        <v>1746</v>
      </c>
      <c r="F3171" s="14">
        <v>2331</v>
      </c>
      <c r="G3171" s="14">
        <v>1864.8</v>
      </c>
      <c r="H3171" s="37">
        <f>'Calculation Sheet'!N3171</f>
        <v>1864.8</v>
      </c>
    </row>
    <row r="3172" spans="1:8" x14ac:dyDescent="0.25">
      <c r="A3172" s="14" t="s">
        <v>2705</v>
      </c>
      <c r="B3172" s="14" t="s">
        <v>24</v>
      </c>
      <c r="C3172" s="15" t="s">
        <v>2708</v>
      </c>
      <c r="D3172" s="14" t="s">
        <v>1745</v>
      </c>
      <c r="E3172" s="14" t="s">
        <v>1747</v>
      </c>
      <c r="F3172" s="14">
        <v>4020</v>
      </c>
      <c r="G3172" s="14">
        <v>3618</v>
      </c>
      <c r="H3172" s="37">
        <f>'Calculation Sheet'!N3172</f>
        <v>3618</v>
      </c>
    </row>
    <row r="3173" spans="1:8" x14ac:dyDescent="0.25">
      <c r="A3173" s="14" t="s">
        <v>2705</v>
      </c>
      <c r="B3173" s="14" t="s">
        <v>20</v>
      </c>
      <c r="C3173" s="15" t="s">
        <v>2709</v>
      </c>
      <c r="D3173" s="14" t="s">
        <v>1745</v>
      </c>
      <c r="E3173" s="14" t="s">
        <v>1747</v>
      </c>
      <c r="F3173" s="14">
        <v>2220</v>
      </c>
      <c r="G3173" s="14">
        <v>1776</v>
      </c>
      <c r="H3173" s="37">
        <f>'Calculation Sheet'!N3173</f>
        <v>1776</v>
      </c>
    </row>
    <row r="3174" spans="1:8" x14ac:dyDescent="0.25">
      <c r="A3174" s="14" t="s">
        <v>2705</v>
      </c>
      <c r="B3174" s="14" t="s">
        <v>20</v>
      </c>
      <c r="C3174" s="15" t="s">
        <v>2709</v>
      </c>
      <c r="D3174" s="14" t="s">
        <v>1749</v>
      </c>
      <c r="E3174" s="14" t="s">
        <v>1746</v>
      </c>
      <c r="F3174" s="14">
        <v>222</v>
      </c>
      <c r="G3174" s="14">
        <v>177.6</v>
      </c>
      <c r="H3174" s="37">
        <f>'Calculation Sheet'!N3174</f>
        <v>177.6</v>
      </c>
    </row>
    <row r="3175" spans="1:8" x14ac:dyDescent="0.25">
      <c r="A3175" s="14" t="s">
        <v>2705</v>
      </c>
      <c r="B3175" s="14">
        <v>1</v>
      </c>
      <c r="C3175" s="15" t="s">
        <v>2707</v>
      </c>
      <c r="D3175" s="14" t="s">
        <v>1749</v>
      </c>
      <c r="E3175" s="14" t="s">
        <v>1746</v>
      </c>
      <c r="F3175" s="14">
        <v>996</v>
      </c>
      <c r="G3175" s="14">
        <v>796.8</v>
      </c>
      <c r="H3175" s="37">
        <f>'Calculation Sheet'!N3175</f>
        <v>796.8</v>
      </c>
    </row>
    <row r="3176" spans="1:8" x14ac:dyDescent="0.25">
      <c r="A3176" s="14" t="s">
        <v>2705</v>
      </c>
      <c r="B3176" s="14" t="s">
        <v>34</v>
      </c>
      <c r="C3176" s="15" t="s">
        <v>2706</v>
      </c>
      <c r="D3176" s="14" t="s">
        <v>1749</v>
      </c>
      <c r="E3176" s="14" t="s">
        <v>1746</v>
      </c>
      <c r="F3176" s="14">
        <v>126</v>
      </c>
      <c r="G3176" s="14">
        <v>100.8</v>
      </c>
      <c r="H3176" s="37">
        <f>'Calculation Sheet'!N3176</f>
        <v>100.8</v>
      </c>
    </row>
    <row r="3177" spans="1:8" x14ac:dyDescent="0.25">
      <c r="A3177" s="14" t="s">
        <v>2710</v>
      </c>
      <c r="B3177" s="14">
        <v>11</v>
      </c>
      <c r="C3177" s="15" t="s">
        <v>2711</v>
      </c>
      <c r="D3177" s="14" t="s">
        <v>1749</v>
      </c>
      <c r="E3177" s="14" t="s">
        <v>1746</v>
      </c>
      <c r="F3177" s="14">
        <v>222</v>
      </c>
      <c r="G3177" s="14">
        <v>177.6</v>
      </c>
      <c r="H3177" s="37">
        <f>'Calculation Sheet'!N3177</f>
        <v>177.6</v>
      </c>
    </row>
    <row r="3178" spans="1:8" x14ac:dyDescent="0.25">
      <c r="A3178" s="14" t="s">
        <v>2712</v>
      </c>
      <c r="B3178" s="14">
        <v>8</v>
      </c>
      <c r="C3178" s="15" t="s">
        <v>2713</v>
      </c>
      <c r="D3178" s="14" t="s">
        <v>1749</v>
      </c>
      <c r="E3178" s="14" t="s">
        <v>1746</v>
      </c>
      <c r="F3178" s="14">
        <v>420</v>
      </c>
      <c r="G3178" s="14">
        <v>378</v>
      </c>
      <c r="H3178" s="37">
        <f>'Calculation Sheet'!N3178</f>
        <v>378</v>
      </c>
    </row>
    <row r="3179" spans="1:8" x14ac:dyDescent="0.25">
      <c r="A3179" s="14" t="s">
        <v>2710</v>
      </c>
      <c r="B3179" s="14">
        <v>13</v>
      </c>
      <c r="C3179" s="15" t="s">
        <v>2714</v>
      </c>
      <c r="D3179" s="14" t="s">
        <v>1745</v>
      </c>
      <c r="E3179" s="14" t="s">
        <v>1746</v>
      </c>
      <c r="F3179" s="14">
        <v>1323</v>
      </c>
      <c r="G3179" s="14">
        <v>1058.4000000000001</v>
      </c>
      <c r="H3179" s="37">
        <f>'Calculation Sheet'!N3179</f>
        <v>1058.4000000000001</v>
      </c>
    </row>
    <row r="3180" spans="1:8" x14ac:dyDescent="0.25">
      <c r="A3180" s="14" t="s">
        <v>2710</v>
      </c>
      <c r="B3180" s="14">
        <v>13</v>
      </c>
      <c r="C3180" s="15" t="s">
        <v>2714</v>
      </c>
      <c r="D3180" s="14" t="s">
        <v>1745</v>
      </c>
      <c r="E3180" s="14" t="s">
        <v>1747</v>
      </c>
      <c r="F3180" s="14">
        <v>1260</v>
      </c>
      <c r="G3180" s="14">
        <v>1008</v>
      </c>
      <c r="H3180" s="37">
        <f>'Calculation Sheet'!N3180</f>
        <v>1008</v>
      </c>
    </row>
    <row r="3181" spans="1:8" x14ac:dyDescent="0.25">
      <c r="A3181" s="14" t="s">
        <v>2710</v>
      </c>
      <c r="B3181" s="14">
        <v>1</v>
      </c>
      <c r="C3181" s="15" t="s">
        <v>2715</v>
      </c>
      <c r="D3181" s="14" t="s">
        <v>1745</v>
      </c>
      <c r="E3181" s="14" t="s">
        <v>1746</v>
      </c>
      <c r="F3181" s="14">
        <v>14679</v>
      </c>
      <c r="G3181" s="14">
        <v>11743.2</v>
      </c>
      <c r="H3181" s="37">
        <f>'Calculation Sheet'!N3181</f>
        <v>11743.2</v>
      </c>
    </row>
    <row r="3182" spans="1:8" x14ac:dyDescent="0.25">
      <c r="A3182" s="14" t="s">
        <v>2712</v>
      </c>
      <c r="B3182" s="14">
        <v>8</v>
      </c>
      <c r="C3182" s="15" t="s">
        <v>2713</v>
      </c>
      <c r="D3182" s="14" t="s">
        <v>1745</v>
      </c>
      <c r="E3182" s="14" t="s">
        <v>1746</v>
      </c>
      <c r="F3182" s="14">
        <v>4410</v>
      </c>
      <c r="G3182" s="14">
        <v>3969</v>
      </c>
      <c r="H3182" s="37">
        <f>'Calculation Sheet'!N3182</f>
        <v>3969</v>
      </c>
    </row>
    <row r="3183" spans="1:8" x14ac:dyDescent="0.25">
      <c r="A3183" s="14" t="s">
        <v>2710</v>
      </c>
      <c r="B3183" s="14">
        <v>11</v>
      </c>
      <c r="C3183" s="15" t="s">
        <v>2711</v>
      </c>
      <c r="D3183" s="14" t="s">
        <v>1745</v>
      </c>
      <c r="E3183" s="14" t="s">
        <v>1747</v>
      </c>
      <c r="F3183" s="14">
        <v>2220</v>
      </c>
      <c r="G3183" s="14">
        <v>1776</v>
      </c>
      <c r="H3183" s="37">
        <f>'Calculation Sheet'!N3183</f>
        <v>1776</v>
      </c>
    </row>
    <row r="3184" spans="1:8" x14ac:dyDescent="0.25">
      <c r="A3184" s="14" t="s">
        <v>2710</v>
      </c>
      <c r="B3184" s="14">
        <v>13</v>
      </c>
      <c r="C3184" s="15" t="s">
        <v>2714</v>
      </c>
      <c r="D3184" s="14" t="s">
        <v>1749</v>
      </c>
      <c r="E3184" s="14" t="s">
        <v>1746</v>
      </c>
      <c r="F3184" s="14">
        <v>126</v>
      </c>
      <c r="G3184" s="14">
        <v>100.8</v>
      </c>
      <c r="H3184" s="37">
        <f>'Calculation Sheet'!N3184</f>
        <v>100.8</v>
      </c>
    </row>
    <row r="3185" spans="1:8" x14ac:dyDescent="0.25">
      <c r="A3185" s="14" t="s">
        <v>2710</v>
      </c>
      <c r="B3185" s="14">
        <v>11</v>
      </c>
      <c r="C3185" s="15" t="s">
        <v>2711</v>
      </c>
      <c r="D3185" s="14" t="s">
        <v>1745</v>
      </c>
      <c r="E3185" s="14" t="s">
        <v>1746</v>
      </c>
      <c r="F3185" s="14">
        <v>2331</v>
      </c>
      <c r="G3185" s="14">
        <v>1864.8</v>
      </c>
      <c r="H3185" s="37">
        <f>'Calculation Sheet'!N3185</f>
        <v>1864.8</v>
      </c>
    </row>
    <row r="3186" spans="1:8" x14ac:dyDescent="0.25">
      <c r="A3186" s="14" t="s">
        <v>2710</v>
      </c>
      <c r="B3186" s="14">
        <v>1</v>
      </c>
      <c r="C3186" s="15" t="s">
        <v>2715</v>
      </c>
      <c r="D3186" s="14" t="s">
        <v>1745</v>
      </c>
      <c r="E3186" s="14" t="s">
        <v>1747</v>
      </c>
      <c r="F3186" s="14">
        <v>13980</v>
      </c>
      <c r="G3186" s="14">
        <v>11184</v>
      </c>
      <c r="H3186" s="37">
        <f>'Calculation Sheet'!N3186</f>
        <v>11184</v>
      </c>
    </row>
    <row r="3187" spans="1:8" x14ac:dyDescent="0.25">
      <c r="A3187" s="14" t="s">
        <v>2712</v>
      </c>
      <c r="B3187" s="14">
        <v>8</v>
      </c>
      <c r="C3187" s="15" t="s">
        <v>2713</v>
      </c>
      <c r="D3187" s="14" t="s">
        <v>1745</v>
      </c>
      <c r="E3187" s="14" t="s">
        <v>1747</v>
      </c>
      <c r="F3187" s="14">
        <v>4200</v>
      </c>
      <c r="G3187" s="14">
        <v>3780</v>
      </c>
      <c r="H3187" s="37">
        <f>'Calculation Sheet'!N3187</f>
        <v>3780</v>
      </c>
    </row>
    <row r="3188" spans="1:8" x14ac:dyDescent="0.25">
      <c r="A3188" s="14" t="s">
        <v>2710</v>
      </c>
      <c r="B3188" s="14">
        <v>1</v>
      </c>
      <c r="C3188" s="15" t="s">
        <v>2715</v>
      </c>
      <c r="D3188" s="14" t="s">
        <v>1749</v>
      </c>
      <c r="E3188" s="14" t="s">
        <v>1746</v>
      </c>
      <c r="F3188" s="14">
        <v>1398</v>
      </c>
      <c r="G3188" s="14">
        <v>1118.4000000000001</v>
      </c>
      <c r="H3188" s="37">
        <f>'Calculation Sheet'!N3188</f>
        <v>1118.4000000000001</v>
      </c>
    </row>
    <row r="3189" spans="1:8" ht="30" x14ac:dyDescent="0.25">
      <c r="A3189" s="14" t="s">
        <v>2716</v>
      </c>
      <c r="B3189" s="14" t="s">
        <v>243</v>
      </c>
      <c r="C3189" s="15" t="s">
        <v>2717</v>
      </c>
      <c r="D3189" s="14" t="s">
        <v>1745</v>
      </c>
      <c r="E3189" s="14" t="s">
        <v>1746</v>
      </c>
      <c r="F3189" s="14">
        <v>6552</v>
      </c>
      <c r="G3189" s="14">
        <v>5896.8</v>
      </c>
      <c r="H3189" s="37">
        <f>'Calculation Sheet'!N3189</f>
        <v>5896.8</v>
      </c>
    </row>
    <row r="3190" spans="1:8" ht="30" x14ac:dyDescent="0.25">
      <c r="A3190" s="14" t="s">
        <v>2716</v>
      </c>
      <c r="B3190" s="14">
        <v>3</v>
      </c>
      <c r="C3190" s="15" t="s">
        <v>2718</v>
      </c>
      <c r="D3190" s="14" t="s">
        <v>1745</v>
      </c>
      <c r="E3190" s="14" t="s">
        <v>1746</v>
      </c>
      <c r="F3190" s="14">
        <v>26208</v>
      </c>
      <c r="G3190" s="14">
        <v>20966.400000000001</v>
      </c>
      <c r="H3190" s="37">
        <f>'Calculation Sheet'!N3190</f>
        <v>20966.400000000001</v>
      </c>
    </row>
    <row r="3191" spans="1:8" ht="30" x14ac:dyDescent="0.25">
      <c r="A3191" s="14" t="s">
        <v>2716</v>
      </c>
      <c r="B3191" s="14" t="s">
        <v>46</v>
      </c>
      <c r="C3191" s="15" t="s">
        <v>2719</v>
      </c>
      <c r="D3191" s="14" t="s">
        <v>1745</v>
      </c>
      <c r="E3191" s="14" t="s">
        <v>1746</v>
      </c>
      <c r="F3191" s="14">
        <v>14427</v>
      </c>
      <c r="G3191" s="14">
        <v>11541.6</v>
      </c>
      <c r="H3191" s="37">
        <f>'Calculation Sheet'!N3191</f>
        <v>11541.6</v>
      </c>
    </row>
    <row r="3192" spans="1:8" x14ac:dyDescent="0.25">
      <c r="A3192" s="14" t="s">
        <v>2716</v>
      </c>
      <c r="B3192" s="14">
        <v>2</v>
      </c>
      <c r="C3192" s="15" t="s">
        <v>2720</v>
      </c>
      <c r="D3192" s="14" t="s">
        <v>1749</v>
      </c>
      <c r="E3192" s="14" t="s">
        <v>1746</v>
      </c>
      <c r="F3192" s="14">
        <v>7488</v>
      </c>
      <c r="G3192" s="14">
        <v>5990.4</v>
      </c>
      <c r="H3192" s="37">
        <f>'Calculation Sheet'!N3192</f>
        <v>5990.4</v>
      </c>
    </row>
    <row r="3193" spans="1:8" ht="30" x14ac:dyDescent="0.25">
      <c r="A3193" s="14" t="s">
        <v>2716</v>
      </c>
      <c r="B3193" s="14" t="s">
        <v>29</v>
      </c>
      <c r="C3193" s="15" t="s">
        <v>2721</v>
      </c>
      <c r="D3193" s="14" t="s">
        <v>1745</v>
      </c>
      <c r="E3193" s="14" t="s">
        <v>1746</v>
      </c>
      <c r="F3193" s="14">
        <v>15750</v>
      </c>
      <c r="G3193" s="14">
        <v>12600</v>
      </c>
      <c r="H3193" s="37">
        <f>'Calculation Sheet'!N3193</f>
        <v>12600</v>
      </c>
    </row>
    <row r="3194" spans="1:8" ht="30" x14ac:dyDescent="0.25">
      <c r="A3194" s="14" t="s">
        <v>2716</v>
      </c>
      <c r="B3194" s="14" t="s">
        <v>118</v>
      </c>
      <c r="C3194" s="15" t="s">
        <v>2722</v>
      </c>
      <c r="D3194" s="14" t="s">
        <v>1749</v>
      </c>
      <c r="E3194" s="14" t="s">
        <v>1746</v>
      </c>
      <c r="F3194" s="14">
        <v>936</v>
      </c>
      <c r="G3194" s="14">
        <v>842.4</v>
      </c>
      <c r="H3194" s="37">
        <f>'Calculation Sheet'!N3194</f>
        <v>842.4</v>
      </c>
    </row>
    <row r="3195" spans="1:8" ht="30" x14ac:dyDescent="0.25">
      <c r="A3195" s="14" t="s">
        <v>2716</v>
      </c>
      <c r="B3195" s="14" t="s">
        <v>32</v>
      </c>
      <c r="C3195" s="15" t="s">
        <v>2723</v>
      </c>
      <c r="D3195" s="14" t="s">
        <v>1745</v>
      </c>
      <c r="E3195" s="14" t="s">
        <v>1747</v>
      </c>
      <c r="F3195" s="14">
        <v>29940</v>
      </c>
      <c r="G3195" s="14">
        <v>23952</v>
      </c>
      <c r="H3195" s="37">
        <f>'Calculation Sheet'!N3195</f>
        <v>23952</v>
      </c>
    </row>
    <row r="3196" spans="1:8" ht="30" x14ac:dyDescent="0.25">
      <c r="A3196" s="14" t="s">
        <v>2716</v>
      </c>
      <c r="B3196" s="14" t="s">
        <v>243</v>
      </c>
      <c r="C3196" s="15" t="s">
        <v>2717</v>
      </c>
      <c r="D3196" s="14" t="s">
        <v>1745</v>
      </c>
      <c r="E3196" s="14" t="s">
        <v>1747</v>
      </c>
      <c r="F3196" s="14">
        <v>6240</v>
      </c>
      <c r="G3196" s="14">
        <v>5616</v>
      </c>
      <c r="H3196" s="37">
        <f>'Calculation Sheet'!N3196</f>
        <v>5616</v>
      </c>
    </row>
    <row r="3197" spans="1:8" ht="30" x14ac:dyDescent="0.25">
      <c r="A3197" s="14" t="s">
        <v>2716</v>
      </c>
      <c r="B3197" s="14">
        <v>3</v>
      </c>
      <c r="C3197" s="15" t="s">
        <v>2718</v>
      </c>
      <c r="D3197" s="14" t="s">
        <v>1745</v>
      </c>
      <c r="E3197" s="14" t="s">
        <v>1747</v>
      </c>
      <c r="F3197" s="14">
        <v>24960</v>
      </c>
      <c r="G3197" s="14">
        <v>19968</v>
      </c>
      <c r="H3197" s="37">
        <f>'Calculation Sheet'!N3197</f>
        <v>19968</v>
      </c>
    </row>
    <row r="3198" spans="1:8" ht="30" x14ac:dyDescent="0.25">
      <c r="A3198" s="14" t="s">
        <v>2716</v>
      </c>
      <c r="B3198" s="14" t="s">
        <v>118</v>
      </c>
      <c r="C3198" s="15" t="s">
        <v>2722</v>
      </c>
      <c r="D3198" s="14" t="s">
        <v>1745</v>
      </c>
      <c r="E3198" s="14" t="s">
        <v>1746</v>
      </c>
      <c r="F3198" s="14">
        <v>9828</v>
      </c>
      <c r="G3198" s="14">
        <v>8845.2000000000007</v>
      </c>
      <c r="H3198" s="37">
        <f>'Calculation Sheet'!N3198</f>
        <v>8845.2000000000007</v>
      </c>
    </row>
    <row r="3199" spans="1:8" ht="30" x14ac:dyDescent="0.25">
      <c r="A3199" s="14" t="s">
        <v>2716</v>
      </c>
      <c r="B3199" s="14" t="s">
        <v>122</v>
      </c>
      <c r="C3199" s="15" t="s">
        <v>2724</v>
      </c>
      <c r="D3199" s="14" t="s">
        <v>1749</v>
      </c>
      <c r="E3199" s="14" t="s">
        <v>1746</v>
      </c>
      <c r="F3199" s="14">
        <v>1872</v>
      </c>
      <c r="G3199" s="14">
        <v>1684.8</v>
      </c>
      <c r="H3199" s="37">
        <f>'Calculation Sheet'!N3199</f>
        <v>1684.8</v>
      </c>
    </row>
    <row r="3200" spans="1:8" ht="30" x14ac:dyDescent="0.25">
      <c r="A3200" s="14" t="s">
        <v>2716</v>
      </c>
      <c r="B3200" s="14" t="s">
        <v>29</v>
      </c>
      <c r="C3200" s="15" t="s">
        <v>2721</v>
      </c>
      <c r="D3200" s="14" t="s">
        <v>1745</v>
      </c>
      <c r="E3200" s="14" t="s">
        <v>1747</v>
      </c>
      <c r="F3200" s="14">
        <v>15000</v>
      </c>
      <c r="G3200" s="14">
        <v>12000</v>
      </c>
      <c r="H3200" s="37">
        <f>'Calculation Sheet'!N3200</f>
        <v>12000</v>
      </c>
    </row>
    <row r="3201" spans="1:8" ht="30" x14ac:dyDescent="0.25">
      <c r="A3201" s="14" t="s">
        <v>2716</v>
      </c>
      <c r="B3201" s="14">
        <v>3</v>
      </c>
      <c r="C3201" s="15" t="s">
        <v>2718</v>
      </c>
      <c r="D3201" s="14" t="s">
        <v>1749</v>
      </c>
      <c r="E3201" s="14" t="s">
        <v>1746</v>
      </c>
      <c r="F3201" s="14">
        <v>2496</v>
      </c>
      <c r="G3201" s="14">
        <v>1996.8</v>
      </c>
      <c r="H3201" s="37">
        <f>'Calculation Sheet'!N3201</f>
        <v>1996.8</v>
      </c>
    </row>
    <row r="3202" spans="1:8" ht="30" x14ac:dyDescent="0.25">
      <c r="A3202" s="14" t="s">
        <v>2716</v>
      </c>
      <c r="B3202" s="14" t="s">
        <v>46</v>
      </c>
      <c r="C3202" s="15" t="s">
        <v>2719</v>
      </c>
      <c r="D3202" s="14" t="s">
        <v>1749</v>
      </c>
      <c r="E3202" s="14" t="s">
        <v>1746</v>
      </c>
      <c r="F3202" s="14">
        <v>1374</v>
      </c>
      <c r="G3202" s="14">
        <v>1099.2</v>
      </c>
      <c r="H3202" s="37">
        <f>'Calculation Sheet'!N3202</f>
        <v>1099.2</v>
      </c>
    </row>
    <row r="3203" spans="1:8" ht="30" x14ac:dyDescent="0.25">
      <c r="A3203" s="14" t="s">
        <v>2716</v>
      </c>
      <c r="B3203" s="14" t="s">
        <v>28</v>
      </c>
      <c r="C3203" s="15" t="s">
        <v>2725</v>
      </c>
      <c r="D3203" s="14" t="s">
        <v>1745</v>
      </c>
      <c r="E3203" s="14" t="s">
        <v>1746</v>
      </c>
      <c r="F3203" s="14">
        <v>10458</v>
      </c>
      <c r="G3203" s="14">
        <v>8366.4</v>
      </c>
      <c r="H3203" s="37">
        <f>'Calculation Sheet'!N3203</f>
        <v>8366.4</v>
      </c>
    </row>
    <row r="3204" spans="1:8" ht="30" x14ac:dyDescent="0.25">
      <c r="A3204" s="14" t="s">
        <v>2716</v>
      </c>
      <c r="B3204" s="14" t="s">
        <v>46</v>
      </c>
      <c r="C3204" s="15" t="s">
        <v>2719</v>
      </c>
      <c r="D3204" s="14" t="s">
        <v>1745</v>
      </c>
      <c r="E3204" s="14" t="s">
        <v>1747</v>
      </c>
      <c r="F3204" s="14">
        <v>13740</v>
      </c>
      <c r="G3204" s="14">
        <v>10992</v>
      </c>
      <c r="H3204" s="37">
        <f>'Calculation Sheet'!N3204</f>
        <v>10992</v>
      </c>
    </row>
    <row r="3205" spans="1:8" ht="30" x14ac:dyDescent="0.25">
      <c r="A3205" s="14" t="s">
        <v>2716</v>
      </c>
      <c r="B3205" s="14" t="s">
        <v>122</v>
      </c>
      <c r="C3205" s="15" t="s">
        <v>2724</v>
      </c>
      <c r="D3205" s="14" t="s">
        <v>1745</v>
      </c>
      <c r="E3205" s="14" t="s">
        <v>1746</v>
      </c>
      <c r="F3205" s="14">
        <v>19656</v>
      </c>
      <c r="G3205" s="14">
        <v>17690.400000000001</v>
      </c>
      <c r="H3205" s="37">
        <f>'Calculation Sheet'!N3205</f>
        <v>17690.400000000001</v>
      </c>
    </row>
    <row r="3206" spans="1:8" ht="30" x14ac:dyDescent="0.25">
      <c r="A3206" s="14" t="s">
        <v>2716</v>
      </c>
      <c r="B3206" s="14">
        <v>1</v>
      </c>
      <c r="C3206" s="15" t="s">
        <v>2726</v>
      </c>
      <c r="D3206" s="14" t="s">
        <v>1749</v>
      </c>
      <c r="E3206" s="14" t="s">
        <v>1746</v>
      </c>
      <c r="F3206" s="14">
        <v>3744</v>
      </c>
      <c r="G3206" s="14">
        <v>2995.2</v>
      </c>
      <c r="H3206" s="37">
        <f>'Calculation Sheet'!N3206</f>
        <v>2995.2</v>
      </c>
    </row>
    <row r="3207" spans="1:8" ht="30" x14ac:dyDescent="0.25">
      <c r="A3207" s="14" t="s">
        <v>2716</v>
      </c>
      <c r="B3207" s="14" t="s">
        <v>32</v>
      </c>
      <c r="C3207" s="15" t="s">
        <v>2723</v>
      </c>
      <c r="D3207" s="14" t="s">
        <v>1749</v>
      </c>
      <c r="E3207" s="14" t="s">
        <v>1746</v>
      </c>
      <c r="F3207" s="14">
        <v>2994</v>
      </c>
      <c r="G3207" s="14">
        <v>2395.1999999999998</v>
      </c>
      <c r="H3207" s="37">
        <f>'Calculation Sheet'!N3207</f>
        <v>2395.1999999999998</v>
      </c>
    </row>
    <row r="3208" spans="1:8" ht="30" x14ac:dyDescent="0.25">
      <c r="A3208" s="14" t="s">
        <v>2716</v>
      </c>
      <c r="B3208" s="14" t="s">
        <v>50</v>
      </c>
      <c r="C3208" s="15" t="s">
        <v>2727</v>
      </c>
      <c r="D3208" s="14" t="s">
        <v>1745</v>
      </c>
      <c r="E3208" s="14" t="s">
        <v>1746</v>
      </c>
      <c r="F3208" s="14">
        <v>43218</v>
      </c>
      <c r="G3208" s="14">
        <v>34574.400000000001</v>
      </c>
      <c r="H3208" s="37">
        <f>'Calculation Sheet'!N3208</f>
        <v>34574.400000000001</v>
      </c>
    </row>
    <row r="3209" spans="1:8" ht="30" x14ac:dyDescent="0.25">
      <c r="A3209" s="14" t="s">
        <v>2716</v>
      </c>
      <c r="B3209" s="14" t="s">
        <v>243</v>
      </c>
      <c r="C3209" s="15" t="s">
        <v>2717</v>
      </c>
      <c r="D3209" s="14" t="s">
        <v>1749</v>
      </c>
      <c r="E3209" s="14" t="s">
        <v>1746</v>
      </c>
      <c r="F3209" s="14">
        <v>624</v>
      </c>
      <c r="G3209" s="14">
        <v>561.6</v>
      </c>
      <c r="H3209" s="37">
        <f>'Calculation Sheet'!N3209</f>
        <v>561.6</v>
      </c>
    </row>
    <row r="3210" spans="1:8" ht="30" x14ac:dyDescent="0.25">
      <c r="A3210" s="14" t="s">
        <v>2716</v>
      </c>
      <c r="B3210" s="14" t="s">
        <v>28</v>
      </c>
      <c r="C3210" s="15" t="s">
        <v>2725</v>
      </c>
      <c r="D3210" s="14" t="s">
        <v>1745</v>
      </c>
      <c r="E3210" s="14" t="s">
        <v>1747</v>
      </c>
      <c r="F3210" s="14">
        <v>9960</v>
      </c>
      <c r="G3210" s="14">
        <v>7968</v>
      </c>
      <c r="H3210" s="37">
        <f>'Calculation Sheet'!N3210</f>
        <v>7968</v>
      </c>
    </row>
    <row r="3211" spans="1:8" ht="30" x14ac:dyDescent="0.25">
      <c r="A3211" s="14" t="s">
        <v>2716</v>
      </c>
      <c r="B3211" s="14" t="s">
        <v>39</v>
      </c>
      <c r="C3211" s="15" t="s">
        <v>2728</v>
      </c>
      <c r="D3211" s="14" t="s">
        <v>1745</v>
      </c>
      <c r="E3211" s="14" t="s">
        <v>1746</v>
      </c>
      <c r="F3211" s="14">
        <v>21609</v>
      </c>
      <c r="G3211" s="14">
        <v>17287.2</v>
      </c>
      <c r="H3211" s="37">
        <f>'Calculation Sheet'!N3211</f>
        <v>17287.2</v>
      </c>
    </row>
    <row r="3212" spans="1:8" ht="30" x14ac:dyDescent="0.25">
      <c r="A3212" s="14" t="s">
        <v>2716</v>
      </c>
      <c r="B3212" s="14" t="s">
        <v>39</v>
      </c>
      <c r="C3212" s="15" t="s">
        <v>2728</v>
      </c>
      <c r="D3212" s="14" t="s">
        <v>1749</v>
      </c>
      <c r="E3212" s="14" t="s">
        <v>1746</v>
      </c>
      <c r="F3212" s="14">
        <v>2058</v>
      </c>
      <c r="G3212" s="14">
        <v>1646.4</v>
      </c>
      <c r="H3212" s="37">
        <f>'Calculation Sheet'!N3212</f>
        <v>1646.4</v>
      </c>
    </row>
    <row r="3213" spans="1:8" ht="30" x14ac:dyDescent="0.25">
      <c r="A3213" s="14" t="s">
        <v>2716</v>
      </c>
      <c r="B3213" s="14" t="s">
        <v>122</v>
      </c>
      <c r="C3213" s="15" t="s">
        <v>2724</v>
      </c>
      <c r="D3213" s="14" t="s">
        <v>1745</v>
      </c>
      <c r="E3213" s="14" t="s">
        <v>1747</v>
      </c>
      <c r="F3213" s="14">
        <v>18720</v>
      </c>
      <c r="G3213" s="14">
        <v>16848</v>
      </c>
      <c r="H3213" s="37">
        <f>'Calculation Sheet'!N3213</f>
        <v>16848</v>
      </c>
    </row>
    <row r="3214" spans="1:8" ht="30" x14ac:dyDescent="0.25">
      <c r="A3214" s="14" t="s">
        <v>2716</v>
      </c>
      <c r="B3214" s="14" t="s">
        <v>50</v>
      </c>
      <c r="C3214" s="15" t="s">
        <v>2727</v>
      </c>
      <c r="D3214" s="14" t="s">
        <v>1745</v>
      </c>
      <c r="E3214" s="14" t="s">
        <v>1747</v>
      </c>
      <c r="F3214" s="14">
        <v>41160</v>
      </c>
      <c r="G3214" s="14">
        <v>32928</v>
      </c>
      <c r="H3214" s="37">
        <f>'Calculation Sheet'!N3214</f>
        <v>32928</v>
      </c>
    </row>
    <row r="3215" spans="1:8" ht="30" x14ac:dyDescent="0.25">
      <c r="A3215" s="14" t="s">
        <v>2716</v>
      </c>
      <c r="B3215" s="14" t="s">
        <v>50</v>
      </c>
      <c r="C3215" s="15" t="s">
        <v>2727</v>
      </c>
      <c r="D3215" s="14" t="s">
        <v>1749</v>
      </c>
      <c r="E3215" s="14" t="s">
        <v>1746</v>
      </c>
      <c r="F3215" s="14">
        <v>4116</v>
      </c>
      <c r="G3215" s="14">
        <v>3292.8</v>
      </c>
      <c r="H3215" s="37">
        <f>'Calculation Sheet'!N3215</f>
        <v>3292.8</v>
      </c>
    </row>
    <row r="3216" spans="1:8" ht="30" x14ac:dyDescent="0.25">
      <c r="A3216" s="14" t="s">
        <v>2716</v>
      </c>
      <c r="B3216" s="14" t="s">
        <v>32</v>
      </c>
      <c r="C3216" s="15" t="s">
        <v>2723</v>
      </c>
      <c r="D3216" s="14" t="s">
        <v>1745</v>
      </c>
      <c r="E3216" s="14" t="s">
        <v>1746</v>
      </c>
      <c r="F3216" s="14">
        <v>31437</v>
      </c>
      <c r="G3216" s="14">
        <v>25149.599999999999</v>
      </c>
      <c r="H3216" s="37">
        <f>'Calculation Sheet'!N3216</f>
        <v>25149.599999999999</v>
      </c>
    </row>
    <row r="3217" spans="1:8" ht="30" x14ac:dyDescent="0.25">
      <c r="A3217" s="14" t="s">
        <v>2716</v>
      </c>
      <c r="B3217" s="14" t="s">
        <v>118</v>
      </c>
      <c r="C3217" s="15" t="s">
        <v>2722</v>
      </c>
      <c r="D3217" s="14" t="s">
        <v>1745</v>
      </c>
      <c r="E3217" s="14" t="s">
        <v>1747</v>
      </c>
      <c r="F3217" s="14">
        <v>9360</v>
      </c>
      <c r="G3217" s="14">
        <v>8424</v>
      </c>
      <c r="H3217" s="37">
        <f>'Calculation Sheet'!N3217</f>
        <v>8424</v>
      </c>
    </row>
    <row r="3218" spans="1:8" x14ac:dyDescent="0.25">
      <c r="A3218" s="14" t="s">
        <v>2716</v>
      </c>
      <c r="B3218" s="14">
        <v>2</v>
      </c>
      <c r="C3218" s="15" t="s">
        <v>2720</v>
      </c>
      <c r="D3218" s="14" t="s">
        <v>1745</v>
      </c>
      <c r="E3218" s="14" t="s">
        <v>1746</v>
      </c>
      <c r="F3218" s="14">
        <v>78624</v>
      </c>
      <c r="G3218" s="14">
        <v>62899.199999999997</v>
      </c>
      <c r="H3218" s="37">
        <f>'Calculation Sheet'!N3218</f>
        <v>62899.199999999997</v>
      </c>
    </row>
    <row r="3219" spans="1:8" ht="30" x14ac:dyDescent="0.25">
      <c r="A3219" s="14" t="s">
        <v>2716</v>
      </c>
      <c r="B3219" s="14" t="s">
        <v>39</v>
      </c>
      <c r="C3219" s="15" t="s">
        <v>2728</v>
      </c>
      <c r="D3219" s="14" t="s">
        <v>1745</v>
      </c>
      <c r="E3219" s="14" t="s">
        <v>1747</v>
      </c>
      <c r="F3219" s="14">
        <v>20580</v>
      </c>
      <c r="G3219" s="14">
        <v>16464</v>
      </c>
      <c r="H3219" s="37">
        <f>'Calculation Sheet'!N3219</f>
        <v>16464</v>
      </c>
    </row>
    <row r="3220" spans="1:8" ht="30" x14ac:dyDescent="0.25">
      <c r="A3220" s="14" t="s">
        <v>2716</v>
      </c>
      <c r="B3220" s="14">
        <v>1</v>
      </c>
      <c r="C3220" s="15" t="s">
        <v>2726</v>
      </c>
      <c r="D3220" s="14" t="s">
        <v>1745</v>
      </c>
      <c r="E3220" s="14" t="s">
        <v>1747</v>
      </c>
      <c r="F3220" s="14">
        <v>37440</v>
      </c>
      <c r="G3220" s="14">
        <v>29952</v>
      </c>
      <c r="H3220" s="37">
        <f>'Calculation Sheet'!N3220</f>
        <v>29952</v>
      </c>
    </row>
    <row r="3221" spans="1:8" x14ac:dyDescent="0.25">
      <c r="A3221" s="14" t="s">
        <v>2716</v>
      </c>
      <c r="B3221" s="14">
        <v>2</v>
      </c>
      <c r="C3221" s="15" t="s">
        <v>2720</v>
      </c>
      <c r="D3221" s="14" t="s">
        <v>1745</v>
      </c>
      <c r="E3221" s="14" t="s">
        <v>1747</v>
      </c>
      <c r="F3221" s="14">
        <v>74880</v>
      </c>
      <c r="G3221" s="14">
        <v>59904</v>
      </c>
      <c r="H3221" s="37">
        <f>'Calculation Sheet'!N3221</f>
        <v>59904</v>
      </c>
    </row>
    <row r="3222" spans="1:8" ht="30" x14ac:dyDescent="0.25">
      <c r="A3222" s="14" t="s">
        <v>2716</v>
      </c>
      <c r="B3222" s="14" t="s">
        <v>29</v>
      </c>
      <c r="C3222" s="15" t="s">
        <v>2721</v>
      </c>
      <c r="D3222" s="14" t="s">
        <v>1749</v>
      </c>
      <c r="E3222" s="14" t="s">
        <v>1746</v>
      </c>
      <c r="F3222" s="14">
        <v>1500</v>
      </c>
      <c r="G3222" s="14">
        <v>1200</v>
      </c>
      <c r="H3222" s="37">
        <f>'Calculation Sheet'!N3222</f>
        <v>1200</v>
      </c>
    </row>
    <row r="3223" spans="1:8" ht="30" x14ac:dyDescent="0.25">
      <c r="A3223" s="14" t="s">
        <v>2716</v>
      </c>
      <c r="B3223" s="14">
        <v>1</v>
      </c>
      <c r="C3223" s="15" t="s">
        <v>2726</v>
      </c>
      <c r="D3223" s="14" t="s">
        <v>1745</v>
      </c>
      <c r="E3223" s="14" t="s">
        <v>1746</v>
      </c>
      <c r="F3223" s="14">
        <v>39312</v>
      </c>
      <c r="G3223" s="14">
        <v>31449.599999999999</v>
      </c>
      <c r="H3223" s="37">
        <f>'Calculation Sheet'!N3223</f>
        <v>31449.599999999999</v>
      </c>
    </row>
    <row r="3224" spans="1:8" ht="30" x14ac:dyDescent="0.25">
      <c r="A3224" s="14" t="s">
        <v>2716</v>
      </c>
      <c r="B3224" s="14" t="s">
        <v>28</v>
      </c>
      <c r="C3224" s="15" t="s">
        <v>2725</v>
      </c>
      <c r="D3224" s="14" t="s">
        <v>1749</v>
      </c>
      <c r="E3224" s="14" t="s">
        <v>1746</v>
      </c>
      <c r="F3224" s="14">
        <v>996</v>
      </c>
      <c r="G3224" s="14">
        <v>796.8</v>
      </c>
      <c r="H3224" s="37">
        <f>'Calculation Sheet'!N3224</f>
        <v>796.8</v>
      </c>
    </row>
    <row r="3225" spans="1:8" ht="30" x14ac:dyDescent="0.25">
      <c r="A3225" s="14" t="s">
        <v>2729</v>
      </c>
      <c r="B3225" s="14">
        <v>2</v>
      </c>
      <c r="C3225" s="15" t="s">
        <v>2730</v>
      </c>
      <c r="D3225" s="14" t="s">
        <v>1749</v>
      </c>
      <c r="E3225" s="14" t="s">
        <v>1746</v>
      </c>
      <c r="F3225" s="14">
        <v>4992</v>
      </c>
      <c r="G3225" s="14">
        <v>3993.6</v>
      </c>
      <c r="H3225" s="37">
        <f>'Calculation Sheet'!N3225</f>
        <v>3993.6</v>
      </c>
    </row>
    <row r="3226" spans="1:8" ht="30" x14ac:dyDescent="0.25">
      <c r="A3226" s="14" t="s">
        <v>2729</v>
      </c>
      <c r="B3226" s="14" t="s">
        <v>195</v>
      </c>
      <c r="C3226" s="15" t="s">
        <v>2731</v>
      </c>
      <c r="D3226" s="14" t="s">
        <v>1745</v>
      </c>
      <c r="E3226" s="14" t="s">
        <v>1747</v>
      </c>
      <c r="F3226" s="14">
        <v>12480</v>
      </c>
      <c r="G3226" s="14">
        <v>11232</v>
      </c>
      <c r="H3226" s="37">
        <f>'Calculation Sheet'!N3226</f>
        <v>11232</v>
      </c>
    </row>
    <row r="3227" spans="1:8" ht="30" x14ac:dyDescent="0.25">
      <c r="A3227" s="14" t="s">
        <v>2729</v>
      </c>
      <c r="B3227" s="14" t="s">
        <v>28</v>
      </c>
      <c r="C3227" s="15" t="s">
        <v>2732</v>
      </c>
      <c r="D3227" s="14" t="s">
        <v>1745</v>
      </c>
      <c r="E3227" s="14" t="s">
        <v>1746</v>
      </c>
      <c r="F3227" s="14">
        <v>43218</v>
      </c>
      <c r="G3227" s="14">
        <v>34574.400000000001</v>
      </c>
      <c r="H3227" s="37">
        <f>'Calculation Sheet'!N3227</f>
        <v>34574.400000000001</v>
      </c>
    </row>
    <row r="3228" spans="1:8" ht="30" x14ac:dyDescent="0.25">
      <c r="A3228" s="14" t="s">
        <v>2729</v>
      </c>
      <c r="B3228" s="14" t="s">
        <v>46</v>
      </c>
      <c r="C3228" s="15" t="s">
        <v>2733</v>
      </c>
      <c r="D3228" s="14" t="s">
        <v>1745</v>
      </c>
      <c r="E3228" s="14" t="s">
        <v>1746</v>
      </c>
      <c r="F3228" s="14">
        <v>83853</v>
      </c>
      <c r="G3228" s="14">
        <v>67082.399999999994</v>
      </c>
      <c r="H3228" s="37">
        <f>'Calculation Sheet'!N3228</f>
        <v>67082.399999999994</v>
      </c>
    </row>
    <row r="3229" spans="1:8" ht="30" x14ac:dyDescent="0.25">
      <c r="A3229" s="14" t="s">
        <v>2729</v>
      </c>
      <c r="B3229" s="14" t="s">
        <v>32</v>
      </c>
      <c r="C3229" s="15" t="s">
        <v>2734</v>
      </c>
      <c r="D3229" s="14" t="s">
        <v>1745</v>
      </c>
      <c r="E3229" s="14" t="s">
        <v>1746</v>
      </c>
      <c r="F3229" s="14">
        <v>28854</v>
      </c>
      <c r="G3229" s="14">
        <v>23083.200000000001</v>
      </c>
      <c r="H3229" s="37">
        <f>'Calculation Sheet'!N3229</f>
        <v>23083.200000000001</v>
      </c>
    </row>
    <row r="3230" spans="1:8" ht="30" x14ac:dyDescent="0.25">
      <c r="A3230" s="14" t="s">
        <v>2729</v>
      </c>
      <c r="B3230" s="14" t="s">
        <v>650</v>
      </c>
      <c r="C3230" s="15" t="s">
        <v>2735</v>
      </c>
      <c r="D3230" s="14" t="s">
        <v>1749</v>
      </c>
      <c r="E3230" s="14" t="s">
        <v>1746</v>
      </c>
      <c r="F3230" s="14">
        <v>1872</v>
      </c>
      <c r="G3230" s="14">
        <v>1684.8</v>
      </c>
      <c r="H3230" s="37">
        <f>'Calculation Sheet'!N3230</f>
        <v>1684.8</v>
      </c>
    </row>
    <row r="3231" spans="1:8" ht="30" x14ac:dyDescent="0.25">
      <c r="A3231" s="14" t="s">
        <v>2729</v>
      </c>
      <c r="B3231" s="14" t="s">
        <v>39</v>
      </c>
      <c r="C3231" s="15" t="s">
        <v>2736</v>
      </c>
      <c r="D3231" s="14" t="s">
        <v>1745</v>
      </c>
      <c r="E3231" s="14" t="s">
        <v>1746</v>
      </c>
      <c r="F3231" s="14">
        <v>31437</v>
      </c>
      <c r="G3231" s="14">
        <v>25149.599999999999</v>
      </c>
      <c r="H3231" s="37">
        <f>'Calculation Sheet'!N3231</f>
        <v>25149.599999999999</v>
      </c>
    </row>
    <row r="3232" spans="1:8" x14ac:dyDescent="0.25">
      <c r="A3232" s="14" t="s">
        <v>2729</v>
      </c>
      <c r="B3232" s="14">
        <v>3</v>
      </c>
      <c r="C3232" s="15" t="s">
        <v>2737</v>
      </c>
      <c r="D3232" s="14" t="s">
        <v>1745</v>
      </c>
      <c r="E3232" s="14" t="s">
        <v>1746</v>
      </c>
      <c r="F3232" s="14">
        <v>209664</v>
      </c>
      <c r="G3232" s="14">
        <v>167731.20000000001</v>
      </c>
      <c r="H3232" s="37">
        <f>'Calculation Sheet'!N3232</f>
        <v>167731.20000000001</v>
      </c>
    </row>
    <row r="3233" spans="1:8" ht="30" x14ac:dyDescent="0.25">
      <c r="A3233" s="14" t="s">
        <v>2729</v>
      </c>
      <c r="B3233" s="14" t="s">
        <v>89</v>
      </c>
      <c r="C3233" s="15" t="s">
        <v>2738</v>
      </c>
      <c r="D3233" s="14" t="s">
        <v>1745</v>
      </c>
      <c r="E3233" s="14" t="s">
        <v>1747</v>
      </c>
      <c r="F3233" s="14">
        <v>109800</v>
      </c>
      <c r="G3233" s="14">
        <v>87840</v>
      </c>
      <c r="H3233" s="37">
        <f>'Calculation Sheet'!N3233</f>
        <v>87840</v>
      </c>
    </row>
    <row r="3234" spans="1:8" ht="30" x14ac:dyDescent="0.25">
      <c r="A3234" s="14" t="s">
        <v>2729</v>
      </c>
      <c r="B3234" s="14">
        <v>1</v>
      </c>
      <c r="C3234" s="15" t="s">
        <v>2739</v>
      </c>
      <c r="D3234" s="14" t="s">
        <v>1745</v>
      </c>
      <c r="E3234" s="14" t="s">
        <v>1746</v>
      </c>
      <c r="F3234" s="14">
        <v>78624</v>
      </c>
      <c r="G3234" s="14">
        <v>62899.199999999997</v>
      </c>
      <c r="H3234" s="37">
        <f>'Calculation Sheet'!N3234</f>
        <v>62899.199999999997</v>
      </c>
    </row>
    <row r="3235" spans="1:8" ht="30" x14ac:dyDescent="0.25">
      <c r="A3235" s="14" t="s">
        <v>2729</v>
      </c>
      <c r="B3235" s="14">
        <v>2</v>
      </c>
      <c r="C3235" s="15" t="s">
        <v>2730</v>
      </c>
      <c r="D3235" s="14" t="s">
        <v>1745</v>
      </c>
      <c r="E3235" s="14" t="s">
        <v>1747</v>
      </c>
      <c r="F3235" s="14">
        <v>49920</v>
      </c>
      <c r="G3235" s="14">
        <v>39936</v>
      </c>
      <c r="H3235" s="37">
        <f>'Calculation Sheet'!N3235</f>
        <v>39936</v>
      </c>
    </row>
    <row r="3236" spans="1:8" ht="30" x14ac:dyDescent="0.25">
      <c r="A3236" s="14" t="s">
        <v>2729</v>
      </c>
      <c r="B3236" s="14" t="s">
        <v>89</v>
      </c>
      <c r="C3236" s="15" t="s">
        <v>2738</v>
      </c>
      <c r="D3236" s="14" t="s">
        <v>1749</v>
      </c>
      <c r="E3236" s="14" t="s">
        <v>1746</v>
      </c>
      <c r="F3236" s="14">
        <v>10980</v>
      </c>
      <c r="G3236" s="14">
        <v>8784</v>
      </c>
      <c r="H3236" s="37">
        <f>'Calculation Sheet'!N3236</f>
        <v>8784</v>
      </c>
    </row>
    <row r="3237" spans="1:8" ht="30" x14ac:dyDescent="0.25">
      <c r="A3237" s="14" t="s">
        <v>2729</v>
      </c>
      <c r="B3237" s="14">
        <v>1</v>
      </c>
      <c r="C3237" s="15" t="s">
        <v>2739</v>
      </c>
      <c r="D3237" s="14" t="s">
        <v>1745</v>
      </c>
      <c r="E3237" s="14" t="s">
        <v>1747</v>
      </c>
      <c r="F3237" s="14">
        <v>74880</v>
      </c>
      <c r="G3237" s="14">
        <v>59904</v>
      </c>
      <c r="H3237" s="37">
        <f>'Calculation Sheet'!N3237</f>
        <v>59904</v>
      </c>
    </row>
    <row r="3238" spans="1:8" ht="30" x14ac:dyDescent="0.25">
      <c r="A3238" s="14" t="s">
        <v>2729</v>
      </c>
      <c r="B3238" s="14" t="s">
        <v>55</v>
      </c>
      <c r="C3238" s="15" t="s">
        <v>2740</v>
      </c>
      <c r="D3238" s="14" t="s">
        <v>1745</v>
      </c>
      <c r="E3238" s="14" t="s">
        <v>1747</v>
      </c>
      <c r="F3238" s="14">
        <v>19980</v>
      </c>
      <c r="G3238" s="14">
        <v>15984</v>
      </c>
      <c r="H3238" s="37">
        <f>'Calculation Sheet'!N3238</f>
        <v>15984</v>
      </c>
    </row>
    <row r="3239" spans="1:8" ht="30" x14ac:dyDescent="0.25">
      <c r="A3239" s="14" t="s">
        <v>2729</v>
      </c>
      <c r="B3239" s="14" t="s">
        <v>32</v>
      </c>
      <c r="C3239" s="15" t="s">
        <v>2734</v>
      </c>
      <c r="D3239" s="14" t="s">
        <v>1749</v>
      </c>
      <c r="E3239" s="14" t="s">
        <v>1746</v>
      </c>
      <c r="F3239" s="14">
        <v>2748</v>
      </c>
      <c r="G3239" s="14">
        <v>2198.4</v>
      </c>
      <c r="H3239" s="37">
        <f>'Calculation Sheet'!N3239</f>
        <v>2198.4</v>
      </c>
    </row>
    <row r="3240" spans="1:8" ht="30" x14ac:dyDescent="0.25">
      <c r="A3240" s="14" t="s">
        <v>2729</v>
      </c>
      <c r="B3240" s="14" t="s">
        <v>50</v>
      </c>
      <c r="C3240" s="15" t="s">
        <v>2741</v>
      </c>
      <c r="D3240" s="14" t="s">
        <v>1745</v>
      </c>
      <c r="E3240" s="14" t="s">
        <v>1746</v>
      </c>
      <c r="F3240" s="14">
        <v>52416</v>
      </c>
      <c r="G3240" s="14">
        <v>47174.400000000001</v>
      </c>
      <c r="H3240" s="37">
        <f>'Calculation Sheet'!N3240</f>
        <v>47174.400000000001</v>
      </c>
    </row>
    <row r="3241" spans="1:8" ht="30" x14ac:dyDescent="0.25">
      <c r="A3241" s="14" t="s">
        <v>2729</v>
      </c>
      <c r="B3241" s="14" t="s">
        <v>50</v>
      </c>
      <c r="C3241" s="15" t="s">
        <v>2741</v>
      </c>
      <c r="D3241" s="14" t="s">
        <v>1745</v>
      </c>
      <c r="E3241" s="14" t="s">
        <v>1747</v>
      </c>
      <c r="F3241" s="14">
        <v>49920</v>
      </c>
      <c r="G3241" s="14">
        <v>44928</v>
      </c>
      <c r="H3241" s="37">
        <f>'Calculation Sheet'!N3241</f>
        <v>44928</v>
      </c>
    </row>
    <row r="3242" spans="1:8" ht="30" x14ac:dyDescent="0.25">
      <c r="A3242" s="14" t="s">
        <v>2729</v>
      </c>
      <c r="B3242" s="14" t="s">
        <v>89</v>
      </c>
      <c r="C3242" s="15" t="s">
        <v>2738</v>
      </c>
      <c r="D3242" s="14" t="s">
        <v>1745</v>
      </c>
      <c r="E3242" s="14" t="s">
        <v>1746</v>
      </c>
      <c r="F3242" s="14">
        <v>115290</v>
      </c>
      <c r="G3242" s="14">
        <v>92232</v>
      </c>
      <c r="H3242" s="37">
        <f>'Calculation Sheet'!N3242</f>
        <v>92232</v>
      </c>
    </row>
    <row r="3243" spans="1:8" ht="30" x14ac:dyDescent="0.25">
      <c r="A3243" s="14" t="s">
        <v>2729</v>
      </c>
      <c r="B3243" s="14" t="s">
        <v>39</v>
      </c>
      <c r="C3243" s="15" t="s">
        <v>2736</v>
      </c>
      <c r="D3243" s="14" t="s">
        <v>1745</v>
      </c>
      <c r="E3243" s="14" t="s">
        <v>1747</v>
      </c>
      <c r="F3243" s="14">
        <v>29940</v>
      </c>
      <c r="G3243" s="14">
        <v>23952</v>
      </c>
      <c r="H3243" s="37">
        <f>'Calculation Sheet'!N3243</f>
        <v>23952</v>
      </c>
    </row>
    <row r="3244" spans="1:8" ht="30" x14ac:dyDescent="0.25">
      <c r="A3244" s="14" t="s">
        <v>2729</v>
      </c>
      <c r="B3244" s="14" t="s">
        <v>39</v>
      </c>
      <c r="C3244" s="15" t="s">
        <v>2736</v>
      </c>
      <c r="D3244" s="14" t="s">
        <v>1749</v>
      </c>
      <c r="E3244" s="14" t="s">
        <v>1746</v>
      </c>
      <c r="F3244" s="14">
        <v>2994</v>
      </c>
      <c r="G3244" s="14">
        <v>2395.1999999999998</v>
      </c>
      <c r="H3244" s="37">
        <f>'Calculation Sheet'!N3244</f>
        <v>2395.1999999999998</v>
      </c>
    </row>
    <row r="3245" spans="1:8" ht="30" x14ac:dyDescent="0.25">
      <c r="A3245" s="14" t="s">
        <v>2729</v>
      </c>
      <c r="B3245" s="14" t="s">
        <v>46</v>
      </c>
      <c r="C3245" s="15" t="s">
        <v>2733</v>
      </c>
      <c r="D3245" s="14" t="s">
        <v>1745</v>
      </c>
      <c r="E3245" s="14" t="s">
        <v>1747</v>
      </c>
      <c r="F3245" s="14">
        <v>79860</v>
      </c>
      <c r="G3245" s="14">
        <v>63888</v>
      </c>
      <c r="H3245" s="37">
        <f>'Calculation Sheet'!N3245</f>
        <v>63888</v>
      </c>
    </row>
    <row r="3246" spans="1:8" ht="30" x14ac:dyDescent="0.25">
      <c r="A3246" s="14" t="s">
        <v>2729</v>
      </c>
      <c r="B3246" s="14" t="s">
        <v>55</v>
      </c>
      <c r="C3246" s="15" t="s">
        <v>2740</v>
      </c>
      <c r="D3246" s="14" t="s">
        <v>1745</v>
      </c>
      <c r="E3246" s="14" t="s">
        <v>1746</v>
      </c>
      <c r="F3246" s="14">
        <v>20979</v>
      </c>
      <c r="G3246" s="14">
        <v>16783.2</v>
      </c>
      <c r="H3246" s="37">
        <f>'Calculation Sheet'!N3246</f>
        <v>16783.2</v>
      </c>
    </row>
    <row r="3247" spans="1:8" ht="30" x14ac:dyDescent="0.25">
      <c r="A3247" s="14" t="s">
        <v>2729</v>
      </c>
      <c r="B3247" s="14" t="s">
        <v>650</v>
      </c>
      <c r="C3247" s="15" t="s">
        <v>2735</v>
      </c>
      <c r="D3247" s="14" t="s">
        <v>1745</v>
      </c>
      <c r="E3247" s="14" t="s">
        <v>1746</v>
      </c>
      <c r="F3247" s="14">
        <v>19656</v>
      </c>
      <c r="G3247" s="14">
        <v>17690.400000000001</v>
      </c>
      <c r="H3247" s="37">
        <f>'Calculation Sheet'!N3247</f>
        <v>17690.400000000001</v>
      </c>
    </row>
    <row r="3248" spans="1:8" ht="30" x14ac:dyDescent="0.25">
      <c r="A3248" s="14" t="s">
        <v>2729</v>
      </c>
      <c r="B3248" s="14">
        <v>2</v>
      </c>
      <c r="C3248" s="15" t="s">
        <v>2730</v>
      </c>
      <c r="D3248" s="14" t="s">
        <v>1745</v>
      </c>
      <c r="E3248" s="14" t="s">
        <v>1746</v>
      </c>
      <c r="F3248" s="14">
        <v>52416</v>
      </c>
      <c r="G3248" s="14">
        <v>41932.800000000003</v>
      </c>
      <c r="H3248" s="37">
        <f>'Calculation Sheet'!N3248</f>
        <v>41932.800000000003</v>
      </c>
    </row>
    <row r="3249" spans="1:8" ht="30" x14ac:dyDescent="0.25">
      <c r="A3249" s="14" t="s">
        <v>2729</v>
      </c>
      <c r="B3249" s="14" t="s">
        <v>46</v>
      </c>
      <c r="C3249" s="15" t="s">
        <v>2733</v>
      </c>
      <c r="D3249" s="14" t="s">
        <v>1749</v>
      </c>
      <c r="E3249" s="14" t="s">
        <v>1746</v>
      </c>
      <c r="F3249" s="14">
        <v>7986</v>
      </c>
      <c r="G3249" s="14">
        <v>6388.8</v>
      </c>
      <c r="H3249" s="37">
        <f>'Calculation Sheet'!N3249</f>
        <v>6388.8</v>
      </c>
    </row>
    <row r="3250" spans="1:8" ht="30" x14ac:dyDescent="0.25">
      <c r="A3250" s="14" t="s">
        <v>2729</v>
      </c>
      <c r="B3250" s="14" t="s">
        <v>28</v>
      </c>
      <c r="C3250" s="15" t="s">
        <v>2732</v>
      </c>
      <c r="D3250" s="14" t="s">
        <v>1745</v>
      </c>
      <c r="E3250" s="14" t="s">
        <v>1747</v>
      </c>
      <c r="F3250" s="14">
        <v>41160</v>
      </c>
      <c r="G3250" s="14">
        <v>32928</v>
      </c>
      <c r="H3250" s="37">
        <f>'Calculation Sheet'!N3250</f>
        <v>32928</v>
      </c>
    </row>
    <row r="3251" spans="1:8" ht="30" x14ac:dyDescent="0.25">
      <c r="A3251" s="14" t="s">
        <v>2729</v>
      </c>
      <c r="B3251" s="14" t="s">
        <v>195</v>
      </c>
      <c r="C3251" s="15" t="s">
        <v>2731</v>
      </c>
      <c r="D3251" s="14" t="s">
        <v>1745</v>
      </c>
      <c r="E3251" s="14" t="s">
        <v>1746</v>
      </c>
      <c r="F3251" s="14">
        <v>13104</v>
      </c>
      <c r="G3251" s="14">
        <v>11793.6</v>
      </c>
      <c r="H3251" s="37">
        <f>'Calculation Sheet'!N3251</f>
        <v>11793.6</v>
      </c>
    </row>
    <row r="3252" spans="1:8" ht="30" x14ac:dyDescent="0.25">
      <c r="A3252" s="14" t="s">
        <v>2729</v>
      </c>
      <c r="B3252" s="14">
        <v>1</v>
      </c>
      <c r="C3252" s="15" t="s">
        <v>2739</v>
      </c>
      <c r="D3252" s="14" t="s">
        <v>1749</v>
      </c>
      <c r="E3252" s="14" t="s">
        <v>1746</v>
      </c>
      <c r="F3252" s="14">
        <v>7488</v>
      </c>
      <c r="G3252" s="14">
        <v>5990.4</v>
      </c>
      <c r="H3252" s="37">
        <f>'Calculation Sheet'!N3252</f>
        <v>5990.4</v>
      </c>
    </row>
    <row r="3253" spans="1:8" ht="30" x14ac:dyDescent="0.25">
      <c r="A3253" s="14" t="s">
        <v>2729</v>
      </c>
      <c r="B3253" s="14" t="s">
        <v>195</v>
      </c>
      <c r="C3253" s="15" t="s">
        <v>2731</v>
      </c>
      <c r="D3253" s="14" t="s">
        <v>1749</v>
      </c>
      <c r="E3253" s="14" t="s">
        <v>1746</v>
      </c>
      <c r="F3253" s="14">
        <v>1248</v>
      </c>
      <c r="G3253" s="14">
        <v>1123.2</v>
      </c>
      <c r="H3253" s="37">
        <f>'Calculation Sheet'!N3253</f>
        <v>1123.2</v>
      </c>
    </row>
    <row r="3254" spans="1:8" ht="30" x14ac:dyDescent="0.25">
      <c r="A3254" s="14" t="s">
        <v>2729</v>
      </c>
      <c r="B3254" s="14" t="s">
        <v>28</v>
      </c>
      <c r="C3254" s="15" t="s">
        <v>2732</v>
      </c>
      <c r="D3254" s="14" t="s">
        <v>1749</v>
      </c>
      <c r="E3254" s="14" t="s">
        <v>1746</v>
      </c>
      <c r="F3254" s="14">
        <v>4116</v>
      </c>
      <c r="G3254" s="14">
        <v>3292.8</v>
      </c>
      <c r="H3254" s="37">
        <f>'Calculation Sheet'!N3254</f>
        <v>3292.8</v>
      </c>
    </row>
    <row r="3255" spans="1:8" x14ac:dyDescent="0.25">
      <c r="A3255" s="14" t="s">
        <v>2729</v>
      </c>
      <c r="B3255" s="14">
        <v>3</v>
      </c>
      <c r="C3255" s="15" t="s">
        <v>2737</v>
      </c>
      <c r="D3255" s="14" t="s">
        <v>1749</v>
      </c>
      <c r="E3255" s="14" t="s">
        <v>1746</v>
      </c>
      <c r="F3255" s="14">
        <v>19968</v>
      </c>
      <c r="G3255" s="14">
        <v>15974.4</v>
      </c>
      <c r="H3255" s="37">
        <f>'Calculation Sheet'!N3255</f>
        <v>15974.4</v>
      </c>
    </row>
    <row r="3256" spans="1:8" x14ac:dyDescent="0.25">
      <c r="A3256" s="14" t="s">
        <v>2729</v>
      </c>
      <c r="B3256" s="14">
        <v>3</v>
      </c>
      <c r="C3256" s="15" t="s">
        <v>2737</v>
      </c>
      <c r="D3256" s="14" t="s">
        <v>1745</v>
      </c>
      <c r="E3256" s="14" t="s">
        <v>1747</v>
      </c>
      <c r="F3256" s="14">
        <v>199680</v>
      </c>
      <c r="G3256" s="14">
        <v>159744</v>
      </c>
      <c r="H3256" s="37">
        <f>'Calculation Sheet'!N3256</f>
        <v>159744</v>
      </c>
    </row>
    <row r="3257" spans="1:8" ht="30" x14ac:dyDescent="0.25">
      <c r="A3257" s="14" t="s">
        <v>2729</v>
      </c>
      <c r="B3257" s="14" t="s">
        <v>50</v>
      </c>
      <c r="C3257" s="15" t="s">
        <v>2741</v>
      </c>
      <c r="D3257" s="14" t="s">
        <v>1749</v>
      </c>
      <c r="E3257" s="14" t="s">
        <v>1746</v>
      </c>
      <c r="F3257" s="14">
        <v>4992</v>
      </c>
      <c r="G3257" s="14">
        <v>4492.8</v>
      </c>
      <c r="H3257" s="37">
        <f>'Calculation Sheet'!N3257</f>
        <v>4492.8</v>
      </c>
    </row>
    <row r="3258" spans="1:8" ht="30" x14ac:dyDescent="0.25">
      <c r="A3258" s="14" t="s">
        <v>2729</v>
      </c>
      <c r="B3258" s="14" t="s">
        <v>32</v>
      </c>
      <c r="C3258" s="15" t="s">
        <v>2734</v>
      </c>
      <c r="D3258" s="14" t="s">
        <v>1745</v>
      </c>
      <c r="E3258" s="14" t="s">
        <v>1747</v>
      </c>
      <c r="F3258" s="14">
        <v>27480</v>
      </c>
      <c r="G3258" s="14">
        <v>21984</v>
      </c>
      <c r="H3258" s="37">
        <f>'Calculation Sheet'!N3258</f>
        <v>21984</v>
      </c>
    </row>
    <row r="3259" spans="1:8" ht="30" x14ac:dyDescent="0.25">
      <c r="A3259" s="14" t="s">
        <v>2729</v>
      </c>
      <c r="B3259" s="14" t="s">
        <v>650</v>
      </c>
      <c r="C3259" s="15" t="s">
        <v>2735</v>
      </c>
      <c r="D3259" s="14" t="s">
        <v>1745</v>
      </c>
      <c r="E3259" s="14" t="s">
        <v>1747</v>
      </c>
      <c r="F3259" s="14">
        <v>18720</v>
      </c>
      <c r="G3259" s="14">
        <v>16848</v>
      </c>
      <c r="H3259" s="37">
        <f>'Calculation Sheet'!N3259</f>
        <v>16848</v>
      </c>
    </row>
    <row r="3260" spans="1:8" ht="30" x14ac:dyDescent="0.25">
      <c r="A3260" s="14" t="s">
        <v>2729</v>
      </c>
      <c r="B3260" s="14" t="s">
        <v>55</v>
      </c>
      <c r="C3260" s="15" t="s">
        <v>2740</v>
      </c>
      <c r="D3260" s="14" t="s">
        <v>1749</v>
      </c>
      <c r="E3260" s="14" t="s">
        <v>1746</v>
      </c>
      <c r="F3260" s="14">
        <v>1998</v>
      </c>
      <c r="G3260" s="14">
        <v>1598.4</v>
      </c>
      <c r="H3260" s="37">
        <f>'Calculation Sheet'!N3260</f>
        <v>1598.4</v>
      </c>
    </row>
    <row r="3261" spans="1:8" x14ac:dyDescent="0.25">
      <c r="A3261" s="14" t="s">
        <v>1272</v>
      </c>
      <c r="B3261" s="14" t="s">
        <v>317</v>
      </c>
      <c r="C3261" s="15" t="s">
        <v>2742</v>
      </c>
      <c r="D3261" s="14" t="s">
        <v>1745</v>
      </c>
      <c r="E3261" s="14" t="s">
        <v>1746</v>
      </c>
      <c r="F3261" s="14">
        <v>5229</v>
      </c>
      <c r="G3261" s="14">
        <v>4183.2</v>
      </c>
      <c r="H3261" s="37">
        <f>'Calculation Sheet'!N3261</f>
        <v>4141.3679999999995</v>
      </c>
    </row>
    <row r="3262" spans="1:8" x14ac:dyDescent="0.25">
      <c r="A3262" s="14" t="s">
        <v>1272</v>
      </c>
      <c r="B3262" s="14" t="s">
        <v>24</v>
      </c>
      <c r="C3262" s="15" t="s">
        <v>2743</v>
      </c>
      <c r="D3262" s="14" t="s">
        <v>1745</v>
      </c>
      <c r="E3262" s="14" t="s">
        <v>1746</v>
      </c>
      <c r="F3262" s="14">
        <v>5229</v>
      </c>
      <c r="G3262" s="14">
        <v>4183.2</v>
      </c>
      <c r="H3262" s="37">
        <f>'Calculation Sheet'!N3262</f>
        <v>4141.3679999999995</v>
      </c>
    </row>
    <row r="3263" spans="1:8" x14ac:dyDescent="0.25">
      <c r="A3263" s="14" t="s">
        <v>1272</v>
      </c>
      <c r="B3263" s="14" t="s">
        <v>317</v>
      </c>
      <c r="C3263" s="15" t="s">
        <v>2742</v>
      </c>
      <c r="D3263" s="14" t="s">
        <v>1745</v>
      </c>
      <c r="E3263" s="14" t="s">
        <v>1747</v>
      </c>
      <c r="F3263" s="14">
        <v>4980</v>
      </c>
      <c r="G3263" s="14">
        <v>3984</v>
      </c>
      <c r="H3263" s="37">
        <f>'Calculation Sheet'!N3263</f>
        <v>3864.48</v>
      </c>
    </row>
    <row r="3264" spans="1:8" x14ac:dyDescent="0.25">
      <c r="A3264" s="14" t="s">
        <v>1272</v>
      </c>
      <c r="B3264" s="14" t="s">
        <v>24</v>
      </c>
      <c r="C3264" s="15" t="s">
        <v>2743</v>
      </c>
      <c r="D3264" s="14" t="s">
        <v>1749</v>
      </c>
      <c r="E3264" s="14" t="s">
        <v>1746</v>
      </c>
      <c r="F3264" s="14">
        <v>498</v>
      </c>
      <c r="G3264" s="14">
        <v>398.4</v>
      </c>
      <c r="H3264" s="37">
        <f>'Calculation Sheet'!N3264</f>
        <v>394.416</v>
      </c>
    </row>
    <row r="3265" spans="1:8" x14ac:dyDescent="0.25">
      <c r="A3265" s="14" t="s">
        <v>1272</v>
      </c>
      <c r="B3265" s="14" t="s">
        <v>608</v>
      </c>
      <c r="C3265" s="15" t="s">
        <v>2744</v>
      </c>
      <c r="D3265" s="14" t="s">
        <v>1745</v>
      </c>
      <c r="E3265" s="14" t="s">
        <v>1747</v>
      </c>
      <c r="F3265" s="14">
        <v>1980</v>
      </c>
      <c r="G3265" s="14">
        <v>1782</v>
      </c>
      <c r="H3265" s="37">
        <f>'Calculation Sheet'!N3265</f>
        <v>1728.54</v>
      </c>
    </row>
    <row r="3266" spans="1:8" x14ac:dyDescent="0.25">
      <c r="A3266" s="14" t="s">
        <v>1272</v>
      </c>
      <c r="B3266" s="14" t="s">
        <v>24</v>
      </c>
      <c r="C3266" s="15" t="s">
        <v>2743</v>
      </c>
      <c r="D3266" s="14" t="s">
        <v>1745</v>
      </c>
      <c r="E3266" s="14" t="s">
        <v>1747</v>
      </c>
      <c r="F3266" s="14">
        <v>4980</v>
      </c>
      <c r="G3266" s="14">
        <v>3984</v>
      </c>
      <c r="H3266" s="37">
        <f>'Calculation Sheet'!N3266</f>
        <v>3864.48</v>
      </c>
    </row>
    <row r="3267" spans="1:8" x14ac:dyDescent="0.25">
      <c r="A3267" s="14" t="s">
        <v>1272</v>
      </c>
      <c r="B3267" s="14" t="s">
        <v>608</v>
      </c>
      <c r="C3267" s="15" t="s">
        <v>2744</v>
      </c>
      <c r="D3267" s="14" t="s">
        <v>1745</v>
      </c>
      <c r="E3267" s="14" t="s">
        <v>1746</v>
      </c>
      <c r="F3267" s="14">
        <v>2079</v>
      </c>
      <c r="G3267" s="14">
        <v>1871.16</v>
      </c>
      <c r="H3267" s="37">
        <f>'Calculation Sheet'!N3267</f>
        <v>1852.4484</v>
      </c>
    </row>
    <row r="3268" spans="1:8" x14ac:dyDescent="0.25">
      <c r="A3268" s="14" t="s">
        <v>1272</v>
      </c>
      <c r="B3268" s="14" t="s">
        <v>608</v>
      </c>
      <c r="C3268" s="15" t="s">
        <v>2744</v>
      </c>
      <c r="D3268" s="14" t="s">
        <v>1749</v>
      </c>
      <c r="E3268" s="14" t="s">
        <v>1746</v>
      </c>
      <c r="F3268" s="14">
        <v>198</v>
      </c>
      <c r="G3268" s="14">
        <v>178.2</v>
      </c>
      <c r="H3268" s="37">
        <f>'Calculation Sheet'!N3268</f>
        <v>176.41799999999998</v>
      </c>
    </row>
    <row r="3269" spans="1:8" x14ac:dyDescent="0.25">
      <c r="A3269" s="14" t="s">
        <v>1272</v>
      </c>
      <c r="B3269" s="14" t="s">
        <v>317</v>
      </c>
      <c r="C3269" s="15" t="s">
        <v>2742</v>
      </c>
      <c r="D3269" s="14" t="s">
        <v>1749</v>
      </c>
      <c r="E3269" s="14" t="s">
        <v>1746</v>
      </c>
      <c r="F3269" s="14">
        <v>498</v>
      </c>
      <c r="G3269" s="14">
        <v>398.4</v>
      </c>
      <c r="H3269" s="37">
        <f>'Calculation Sheet'!N3269</f>
        <v>394.416</v>
      </c>
    </row>
    <row r="3270" spans="1:8" x14ac:dyDescent="0.25">
      <c r="A3270" s="14" t="s">
        <v>2745</v>
      </c>
      <c r="B3270" s="14">
        <v>4</v>
      </c>
      <c r="C3270" s="15" t="s">
        <v>2746</v>
      </c>
      <c r="D3270" s="14" t="s">
        <v>1745</v>
      </c>
      <c r="E3270" s="14" t="s">
        <v>1747</v>
      </c>
      <c r="F3270" s="14">
        <v>3600</v>
      </c>
      <c r="G3270" s="14">
        <v>3600</v>
      </c>
      <c r="H3270" s="37">
        <f>'Calculation Sheet'!N3270</f>
        <v>3600</v>
      </c>
    </row>
    <row r="3271" spans="1:8" x14ac:dyDescent="0.25">
      <c r="A3271" s="14" t="s">
        <v>2745</v>
      </c>
      <c r="B3271" s="14">
        <v>3</v>
      </c>
      <c r="C3271" s="15" t="s">
        <v>2747</v>
      </c>
      <c r="D3271" s="14" t="s">
        <v>1745</v>
      </c>
      <c r="E3271" s="14" t="s">
        <v>1746</v>
      </c>
      <c r="F3271" s="14">
        <v>5166</v>
      </c>
      <c r="G3271" s="14">
        <v>5166</v>
      </c>
      <c r="H3271" s="37">
        <f>'Calculation Sheet'!N3271</f>
        <v>5166</v>
      </c>
    </row>
    <row r="3272" spans="1:8" x14ac:dyDescent="0.25">
      <c r="A3272" s="14" t="s">
        <v>2745</v>
      </c>
      <c r="B3272" s="14">
        <v>4</v>
      </c>
      <c r="C3272" s="15" t="s">
        <v>2746</v>
      </c>
      <c r="D3272" s="14" t="s">
        <v>1749</v>
      </c>
      <c r="E3272" s="14" t="s">
        <v>1746</v>
      </c>
      <c r="F3272" s="14">
        <v>360</v>
      </c>
      <c r="G3272" s="14">
        <v>360</v>
      </c>
      <c r="H3272" s="37">
        <f>'Calculation Sheet'!N3272</f>
        <v>360</v>
      </c>
    </row>
    <row r="3273" spans="1:8" x14ac:dyDescent="0.25">
      <c r="A3273" s="14" t="s">
        <v>2745</v>
      </c>
      <c r="B3273" s="14">
        <v>3</v>
      </c>
      <c r="C3273" s="15" t="s">
        <v>2747</v>
      </c>
      <c r="D3273" s="14" t="s">
        <v>1749</v>
      </c>
      <c r="E3273" s="14" t="s">
        <v>1746</v>
      </c>
      <c r="F3273" s="14">
        <v>492</v>
      </c>
      <c r="G3273" s="14">
        <v>492</v>
      </c>
      <c r="H3273" s="37">
        <f>'Calculation Sheet'!N3273</f>
        <v>492</v>
      </c>
    </row>
    <row r="3274" spans="1:8" x14ac:dyDescent="0.25">
      <c r="A3274" s="14" t="s">
        <v>2745</v>
      </c>
      <c r="B3274" s="14">
        <v>1</v>
      </c>
      <c r="C3274" s="15" t="s">
        <v>2748</v>
      </c>
      <c r="D3274" s="14" t="s">
        <v>1745</v>
      </c>
      <c r="E3274" s="14" t="s">
        <v>1747</v>
      </c>
      <c r="F3274" s="14">
        <v>9000</v>
      </c>
      <c r="G3274" s="14">
        <v>9000</v>
      </c>
      <c r="H3274" s="37">
        <f>'Calculation Sheet'!N3274</f>
        <v>9000</v>
      </c>
    </row>
    <row r="3275" spans="1:8" x14ac:dyDescent="0.25">
      <c r="A3275" s="14" t="s">
        <v>2745</v>
      </c>
      <c r="B3275" s="14">
        <v>1</v>
      </c>
      <c r="C3275" s="15" t="s">
        <v>2748</v>
      </c>
      <c r="D3275" s="14" t="s">
        <v>1749</v>
      </c>
      <c r="E3275" s="14" t="s">
        <v>1746</v>
      </c>
      <c r="F3275" s="14">
        <v>900</v>
      </c>
      <c r="G3275" s="14">
        <v>900</v>
      </c>
      <c r="H3275" s="37">
        <f>'Calculation Sheet'!N3275</f>
        <v>900</v>
      </c>
    </row>
    <row r="3276" spans="1:8" x14ac:dyDescent="0.25">
      <c r="A3276" s="14" t="s">
        <v>2745</v>
      </c>
      <c r="B3276" s="14">
        <v>4</v>
      </c>
      <c r="C3276" s="15" t="s">
        <v>2746</v>
      </c>
      <c r="D3276" s="14" t="s">
        <v>1745</v>
      </c>
      <c r="E3276" s="14" t="s">
        <v>1746</v>
      </c>
      <c r="F3276" s="14">
        <v>3780</v>
      </c>
      <c r="G3276" s="14">
        <v>3780</v>
      </c>
      <c r="H3276" s="37">
        <f>'Calculation Sheet'!N3276</f>
        <v>3780</v>
      </c>
    </row>
    <row r="3277" spans="1:8" x14ac:dyDescent="0.25">
      <c r="A3277" s="14" t="s">
        <v>2745</v>
      </c>
      <c r="B3277" s="14">
        <v>3</v>
      </c>
      <c r="C3277" s="15" t="s">
        <v>2747</v>
      </c>
      <c r="D3277" s="14" t="s">
        <v>1745</v>
      </c>
      <c r="E3277" s="14" t="s">
        <v>1747</v>
      </c>
      <c r="F3277" s="14">
        <v>4920</v>
      </c>
      <c r="G3277" s="14">
        <v>4920</v>
      </c>
      <c r="H3277" s="37">
        <f>'Calculation Sheet'!N3277</f>
        <v>4920</v>
      </c>
    </row>
    <row r="3278" spans="1:8" x14ac:dyDescent="0.25">
      <c r="A3278" s="14" t="s">
        <v>2745</v>
      </c>
      <c r="B3278" s="14">
        <v>1</v>
      </c>
      <c r="C3278" s="15" t="s">
        <v>2748</v>
      </c>
      <c r="D3278" s="14" t="s">
        <v>1745</v>
      </c>
      <c r="E3278" s="14" t="s">
        <v>1746</v>
      </c>
      <c r="F3278" s="14">
        <v>9450</v>
      </c>
      <c r="G3278" s="14">
        <v>9450</v>
      </c>
      <c r="H3278" s="37">
        <f>'Calculation Sheet'!N3278</f>
        <v>9450</v>
      </c>
    </row>
    <row r="3279" spans="1:8" x14ac:dyDescent="0.25">
      <c r="A3279" s="14" t="s">
        <v>2749</v>
      </c>
      <c r="B3279" s="14">
        <v>4</v>
      </c>
      <c r="C3279" s="15" t="s">
        <v>2750</v>
      </c>
      <c r="D3279" s="14" t="s">
        <v>1749</v>
      </c>
      <c r="E3279" s="14" t="s">
        <v>1746</v>
      </c>
      <c r="F3279" s="14">
        <v>1998</v>
      </c>
      <c r="G3279" s="14">
        <v>1598.4</v>
      </c>
      <c r="H3279" s="37">
        <f>'Calculation Sheet'!N3279</f>
        <v>1598.4</v>
      </c>
    </row>
    <row r="3280" spans="1:8" x14ac:dyDescent="0.25">
      <c r="A3280" s="14" t="s">
        <v>2749</v>
      </c>
      <c r="B3280" s="14">
        <v>4</v>
      </c>
      <c r="C3280" s="15" t="s">
        <v>2750</v>
      </c>
      <c r="D3280" s="14" t="s">
        <v>1745</v>
      </c>
      <c r="E3280" s="14" t="s">
        <v>1747</v>
      </c>
      <c r="F3280" s="14">
        <v>19980</v>
      </c>
      <c r="G3280" s="14">
        <v>15984</v>
      </c>
      <c r="H3280" s="37">
        <f>'Calculation Sheet'!N3280</f>
        <v>15984</v>
      </c>
    </row>
    <row r="3281" spans="1:8" x14ac:dyDescent="0.25">
      <c r="A3281" s="14" t="s">
        <v>1305</v>
      </c>
      <c r="B3281" s="14" t="s">
        <v>20</v>
      </c>
      <c r="C3281" s="15" t="s">
        <v>2751</v>
      </c>
      <c r="D3281" s="14" t="s">
        <v>1745</v>
      </c>
      <c r="E3281" s="14" t="s">
        <v>1746</v>
      </c>
      <c r="F3281" s="14">
        <v>471.24</v>
      </c>
      <c r="G3281" s="14">
        <v>377.04</v>
      </c>
      <c r="H3281" s="37">
        <f>'Calculation Sheet'!N3281</f>
        <v>373.26960000000003</v>
      </c>
    </row>
    <row r="3282" spans="1:8" x14ac:dyDescent="0.25">
      <c r="A3282" s="14" t="s">
        <v>1305</v>
      </c>
      <c r="B3282" s="14" t="s">
        <v>20</v>
      </c>
      <c r="C3282" s="15" t="s">
        <v>2751</v>
      </c>
      <c r="D3282" s="14" t="s">
        <v>1752</v>
      </c>
      <c r="E3282" s="14" t="s">
        <v>1747</v>
      </c>
      <c r="F3282" s="14">
        <v>1346.4</v>
      </c>
      <c r="G3282" s="14">
        <v>1077.1199999999999</v>
      </c>
      <c r="H3282" s="37">
        <f>'Calculation Sheet'!N3282</f>
        <v>1044.8063999999999</v>
      </c>
    </row>
    <row r="3283" spans="1:8" x14ac:dyDescent="0.25">
      <c r="A3283" s="14" t="s">
        <v>1305</v>
      </c>
      <c r="B3283" s="14" t="s">
        <v>24</v>
      </c>
      <c r="C3283" s="15" t="s">
        <v>2752</v>
      </c>
      <c r="D3283" s="14" t="s">
        <v>1749</v>
      </c>
      <c r="E3283" s="14" t="s">
        <v>1746</v>
      </c>
      <c r="F3283" s="14">
        <v>59.88</v>
      </c>
      <c r="G3283" s="14">
        <v>47.9</v>
      </c>
      <c r="H3283" s="37">
        <f>'Calculation Sheet'!N3283</f>
        <v>47.420999999999999</v>
      </c>
    </row>
    <row r="3284" spans="1:8" x14ac:dyDescent="0.25">
      <c r="A3284" s="14" t="s">
        <v>1305</v>
      </c>
      <c r="B3284" s="14">
        <v>2</v>
      </c>
      <c r="C3284" s="15" t="s">
        <v>1304</v>
      </c>
      <c r="D3284" s="14" t="s">
        <v>1749</v>
      </c>
      <c r="E3284" s="14" t="s">
        <v>1766</v>
      </c>
      <c r="F3284" s="14">
        <v>0</v>
      </c>
      <c r="G3284" s="14">
        <v>0</v>
      </c>
      <c r="H3284" s="37">
        <f>'Calculation Sheet'!N3284</f>
        <v>0</v>
      </c>
    </row>
    <row r="3285" spans="1:8" x14ac:dyDescent="0.25">
      <c r="A3285" s="14" t="s">
        <v>1305</v>
      </c>
      <c r="B3285" s="14" t="s">
        <v>34</v>
      </c>
      <c r="C3285" s="15" t="s">
        <v>2753</v>
      </c>
      <c r="D3285" s="14" t="s">
        <v>1745</v>
      </c>
      <c r="E3285" s="14" t="s">
        <v>1746</v>
      </c>
      <c r="F3285" s="14">
        <v>786.24</v>
      </c>
      <c r="G3285" s="14">
        <v>707.64</v>
      </c>
      <c r="H3285" s="37">
        <f>'Calculation Sheet'!N3285</f>
        <v>700.56359999999995</v>
      </c>
    </row>
    <row r="3286" spans="1:8" x14ac:dyDescent="0.25">
      <c r="A3286" s="14" t="s">
        <v>1305</v>
      </c>
      <c r="B3286" s="14" t="s">
        <v>24</v>
      </c>
      <c r="C3286" s="15" t="s">
        <v>2752</v>
      </c>
      <c r="D3286" s="14" t="s">
        <v>1745</v>
      </c>
      <c r="E3286" s="14" t="s">
        <v>1747</v>
      </c>
      <c r="F3286" s="14">
        <v>598.79999999999995</v>
      </c>
      <c r="G3286" s="14">
        <v>479.04</v>
      </c>
      <c r="H3286" s="37">
        <f>'Calculation Sheet'!N3286</f>
        <v>464.66880000000003</v>
      </c>
    </row>
    <row r="3287" spans="1:8" x14ac:dyDescent="0.25">
      <c r="A3287" s="14" t="s">
        <v>1305</v>
      </c>
      <c r="B3287" s="14" t="s">
        <v>34</v>
      </c>
      <c r="C3287" s="15" t="s">
        <v>2753</v>
      </c>
      <c r="D3287" s="14" t="s">
        <v>1749</v>
      </c>
      <c r="E3287" s="14" t="s">
        <v>1746</v>
      </c>
      <c r="F3287" s="14">
        <v>74.88</v>
      </c>
      <c r="G3287" s="14">
        <v>67.39</v>
      </c>
      <c r="H3287" s="37">
        <f>'Calculation Sheet'!N3287</f>
        <v>66.716099999999997</v>
      </c>
    </row>
    <row r="3288" spans="1:8" x14ac:dyDescent="0.25">
      <c r="A3288" s="14" t="s">
        <v>1305</v>
      </c>
      <c r="B3288" s="14" t="s">
        <v>20</v>
      </c>
      <c r="C3288" s="15" t="s">
        <v>2751</v>
      </c>
      <c r="D3288" s="14" t="s">
        <v>1752</v>
      </c>
      <c r="E3288" s="14" t="s">
        <v>1746</v>
      </c>
      <c r="F3288" s="14">
        <v>1413.72</v>
      </c>
      <c r="G3288" s="14">
        <v>1131.1199999999999</v>
      </c>
      <c r="H3288" s="37">
        <f>'Calculation Sheet'!N3288</f>
        <v>1119.8087999999998</v>
      </c>
    </row>
    <row r="3289" spans="1:8" x14ac:dyDescent="0.25">
      <c r="A3289" s="14" t="s">
        <v>1305</v>
      </c>
      <c r="B3289" s="14">
        <v>1</v>
      </c>
      <c r="C3289" s="15" t="s">
        <v>1304</v>
      </c>
      <c r="D3289" s="14" t="s">
        <v>1749</v>
      </c>
      <c r="E3289" s="14" t="s">
        <v>1746</v>
      </c>
      <c r="F3289" s="14">
        <v>300</v>
      </c>
      <c r="G3289" s="14">
        <v>240</v>
      </c>
      <c r="H3289" s="37">
        <f>'Calculation Sheet'!N3289</f>
        <v>237.6</v>
      </c>
    </row>
    <row r="3290" spans="1:8" x14ac:dyDescent="0.25">
      <c r="A3290" s="14" t="s">
        <v>1305</v>
      </c>
      <c r="B3290" s="14" t="s">
        <v>20</v>
      </c>
      <c r="C3290" s="15" t="s">
        <v>2751</v>
      </c>
      <c r="D3290" s="14" t="s">
        <v>1749</v>
      </c>
      <c r="E3290" s="14" t="s">
        <v>1746</v>
      </c>
      <c r="F3290" s="14">
        <v>44.88</v>
      </c>
      <c r="G3290" s="14">
        <v>35.9</v>
      </c>
      <c r="H3290" s="37">
        <f>'Calculation Sheet'!N3290</f>
        <v>35.540999999999997</v>
      </c>
    </row>
    <row r="3291" spans="1:8" x14ac:dyDescent="0.25">
      <c r="A3291" s="14" t="s">
        <v>1305</v>
      </c>
      <c r="B3291" s="14" t="s">
        <v>34</v>
      </c>
      <c r="C3291" s="15" t="s">
        <v>2753</v>
      </c>
      <c r="D3291" s="14" t="s">
        <v>1745</v>
      </c>
      <c r="E3291" s="14" t="s">
        <v>1747</v>
      </c>
      <c r="F3291" s="14">
        <v>748.8</v>
      </c>
      <c r="G3291" s="14">
        <v>673.92</v>
      </c>
      <c r="H3291" s="37">
        <f>'Calculation Sheet'!N3291</f>
        <v>653.70240000000001</v>
      </c>
    </row>
    <row r="3292" spans="1:8" x14ac:dyDescent="0.25">
      <c r="A3292" s="14" t="s">
        <v>1305</v>
      </c>
      <c r="B3292" s="14" t="s">
        <v>20</v>
      </c>
      <c r="C3292" s="15" t="s">
        <v>2751</v>
      </c>
      <c r="D3292" s="14" t="s">
        <v>1745</v>
      </c>
      <c r="E3292" s="14" t="s">
        <v>1747</v>
      </c>
      <c r="F3292" s="14">
        <v>448.8</v>
      </c>
      <c r="G3292" s="14">
        <v>359.04</v>
      </c>
      <c r="H3292" s="37">
        <f>'Calculation Sheet'!N3292</f>
        <v>348.2688</v>
      </c>
    </row>
    <row r="3293" spans="1:8" x14ac:dyDescent="0.25">
      <c r="A3293" s="14" t="s">
        <v>1305</v>
      </c>
      <c r="B3293" s="14" t="s">
        <v>24</v>
      </c>
      <c r="C3293" s="15" t="s">
        <v>2752</v>
      </c>
      <c r="D3293" s="14" t="s">
        <v>1752</v>
      </c>
      <c r="E3293" s="14" t="s">
        <v>1747</v>
      </c>
      <c r="F3293" s="14">
        <v>1796.4</v>
      </c>
      <c r="G3293" s="14">
        <v>1437.12</v>
      </c>
      <c r="H3293" s="37">
        <f>'Calculation Sheet'!N3293</f>
        <v>1394.0064</v>
      </c>
    </row>
    <row r="3294" spans="1:8" x14ac:dyDescent="0.25">
      <c r="A3294" s="14" t="s">
        <v>1305</v>
      </c>
      <c r="B3294" s="14" t="s">
        <v>20</v>
      </c>
      <c r="C3294" s="15" t="s">
        <v>2751</v>
      </c>
      <c r="D3294" s="14" t="s">
        <v>1752</v>
      </c>
      <c r="E3294" s="14" t="s">
        <v>1753</v>
      </c>
      <c r="F3294" s="14">
        <v>1346.4</v>
      </c>
      <c r="G3294" s="14">
        <v>1077.1199999999999</v>
      </c>
      <c r="H3294" s="37">
        <f>'Calculation Sheet'!N3294</f>
        <v>1044.8063999999999</v>
      </c>
    </row>
    <row r="3295" spans="1:8" x14ac:dyDescent="0.25">
      <c r="A3295" s="14" t="s">
        <v>1305</v>
      </c>
      <c r="B3295" s="14">
        <v>1</v>
      </c>
      <c r="C3295" s="15" t="s">
        <v>1304</v>
      </c>
      <c r="D3295" s="14" t="s">
        <v>1752</v>
      </c>
      <c r="E3295" s="14" t="s">
        <v>1753</v>
      </c>
      <c r="F3295" s="14">
        <v>9000</v>
      </c>
      <c r="G3295" s="14">
        <v>7200</v>
      </c>
      <c r="H3295" s="37">
        <f>'Calculation Sheet'!N3295</f>
        <v>6984</v>
      </c>
    </row>
    <row r="3296" spans="1:8" x14ac:dyDescent="0.25">
      <c r="A3296" s="14" t="s">
        <v>1305</v>
      </c>
      <c r="B3296" s="14" t="s">
        <v>24</v>
      </c>
      <c r="C3296" s="15" t="s">
        <v>2752</v>
      </c>
      <c r="D3296" s="14" t="s">
        <v>1752</v>
      </c>
      <c r="E3296" s="14" t="s">
        <v>1753</v>
      </c>
      <c r="F3296" s="14">
        <v>1796.4</v>
      </c>
      <c r="G3296" s="14">
        <v>1437.12</v>
      </c>
      <c r="H3296" s="37">
        <f>'Calculation Sheet'!N3296</f>
        <v>1394.0064</v>
      </c>
    </row>
    <row r="3297" spans="1:8" x14ac:dyDescent="0.25">
      <c r="A3297" s="14" t="s">
        <v>1305</v>
      </c>
      <c r="B3297" s="14">
        <v>7</v>
      </c>
      <c r="C3297" s="15" t="s">
        <v>2752</v>
      </c>
      <c r="D3297" s="14" t="s">
        <v>1749</v>
      </c>
      <c r="E3297" s="14" t="s">
        <v>1766</v>
      </c>
      <c r="F3297" s="14">
        <v>0</v>
      </c>
      <c r="G3297" s="14">
        <v>0</v>
      </c>
      <c r="H3297" s="37">
        <f>'Calculation Sheet'!N3297</f>
        <v>0</v>
      </c>
    </row>
    <row r="3298" spans="1:8" x14ac:dyDescent="0.25">
      <c r="A3298" s="14" t="s">
        <v>1305</v>
      </c>
      <c r="B3298" s="14">
        <v>1</v>
      </c>
      <c r="C3298" s="15" t="s">
        <v>1304</v>
      </c>
      <c r="D3298" s="14" t="s">
        <v>1745</v>
      </c>
      <c r="E3298" s="14" t="s">
        <v>1747</v>
      </c>
      <c r="F3298" s="14">
        <v>3000</v>
      </c>
      <c r="G3298" s="14">
        <v>2400</v>
      </c>
      <c r="H3298" s="37">
        <f>'Calculation Sheet'!N3298</f>
        <v>2328</v>
      </c>
    </row>
    <row r="3299" spans="1:8" x14ac:dyDescent="0.25">
      <c r="A3299" s="14" t="s">
        <v>1305</v>
      </c>
      <c r="B3299" s="14">
        <v>1</v>
      </c>
      <c r="C3299" s="15" t="s">
        <v>1304</v>
      </c>
      <c r="D3299" s="14" t="s">
        <v>1745</v>
      </c>
      <c r="E3299" s="14" t="s">
        <v>1746</v>
      </c>
      <c r="F3299" s="14">
        <v>3150</v>
      </c>
      <c r="G3299" s="14">
        <v>2520</v>
      </c>
      <c r="H3299" s="37">
        <f>'Calculation Sheet'!N3299</f>
        <v>2494.8000000000002</v>
      </c>
    </row>
    <row r="3300" spans="1:8" x14ac:dyDescent="0.25">
      <c r="A3300" s="14" t="s">
        <v>1305</v>
      </c>
      <c r="B3300" s="14">
        <v>9</v>
      </c>
      <c r="C3300" s="15" t="s">
        <v>2751</v>
      </c>
      <c r="D3300" s="14" t="s">
        <v>1749</v>
      </c>
      <c r="E3300" s="14" t="s">
        <v>1766</v>
      </c>
      <c r="F3300" s="14">
        <v>0</v>
      </c>
      <c r="G3300" s="14">
        <v>0</v>
      </c>
      <c r="H3300" s="37">
        <f>'Calculation Sheet'!N3300</f>
        <v>0</v>
      </c>
    </row>
    <row r="3301" spans="1:8" x14ac:dyDescent="0.25">
      <c r="A3301" s="14" t="s">
        <v>1305</v>
      </c>
      <c r="B3301" s="14">
        <v>1</v>
      </c>
      <c r="C3301" s="15" t="s">
        <v>1304</v>
      </c>
      <c r="D3301" s="14" t="s">
        <v>1752</v>
      </c>
      <c r="E3301" s="14" t="s">
        <v>1747</v>
      </c>
      <c r="F3301" s="14">
        <v>9000</v>
      </c>
      <c r="G3301" s="14">
        <v>7200</v>
      </c>
      <c r="H3301" s="37">
        <f>'Calculation Sheet'!N3301</f>
        <v>6984</v>
      </c>
    </row>
    <row r="3302" spans="1:8" x14ac:dyDescent="0.25">
      <c r="A3302" s="14" t="s">
        <v>1305</v>
      </c>
      <c r="B3302" s="14" t="s">
        <v>24</v>
      </c>
      <c r="C3302" s="15" t="s">
        <v>2752</v>
      </c>
      <c r="D3302" s="14" t="s">
        <v>1752</v>
      </c>
      <c r="E3302" s="14" t="s">
        <v>1746</v>
      </c>
      <c r="F3302" s="14">
        <v>1886.4</v>
      </c>
      <c r="G3302" s="14">
        <v>1509.12</v>
      </c>
      <c r="H3302" s="37">
        <f>'Calculation Sheet'!N3302</f>
        <v>1494.0287999999998</v>
      </c>
    </row>
    <row r="3303" spans="1:8" x14ac:dyDescent="0.25">
      <c r="A3303" s="14" t="s">
        <v>1305</v>
      </c>
      <c r="B3303" s="14" t="s">
        <v>24</v>
      </c>
      <c r="C3303" s="15" t="s">
        <v>2752</v>
      </c>
      <c r="D3303" s="14" t="s">
        <v>1745</v>
      </c>
      <c r="E3303" s="14" t="s">
        <v>1746</v>
      </c>
      <c r="F3303" s="14">
        <v>628.79999999999995</v>
      </c>
      <c r="G3303" s="14">
        <v>503.04</v>
      </c>
      <c r="H3303" s="37">
        <f>'Calculation Sheet'!N3303</f>
        <v>498.00960000000003</v>
      </c>
    </row>
    <row r="3304" spans="1:8" x14ac:dyDescent="0.25">
      <c r="A3304" s="14" t="s">
        <v>2754</v>
      </c>
      <c r="B3304" s="14">
        <v>9</v>
      </c>
      <c r="C3304" s="15" t="s">
        <v>2755</v>
      </c>
      <c r="D3304" s="14" t="s">
        <v>1749</v>
      </c>
      <c r="E3304" s="14" t="s">
        <v>1746</v>
      </c>
      <c r="F3304" s="14">
        <v>150</v>
      </c>
      <c r="G3304" s="14">
        <v>120</v>
      </c>
      <c r="H3304" s="37">
        <f>'Calculation Sheet'!N3304</f>
        <v>120</v>
      </c>
    </row>
    <row r="3305" spans="1:8" x14ac:dyDescent="0.25">
      <c r="A3305" s="14" t="s">
        <v>2754</v>
      </c>
      <c r="B3305" s="14">
        <v>1</v>
      </c>
      <c r="C3305" s="15" t="s">
        <v>2756</v>
      </c>
      <c r="D3305" s="14" t="s">
        <v>1745</v>
      </c>
      <c r="E3305" s="14" t="s">
        <v>1747</v>
      </c>
      <c r="F3305" s="14">
        <v>1980</v>
      </c>
      <c r="G3305" s="14">
        <v>1584</v>
      </c>
      <c r="H3305" s="37">
        <f>'Calculation Sheet'!N3305</f>
        <v>1584</v>
      </c>
    </row>
    <row r="3306" spans="1:8" x14ac:dyDescent="0.25">
      <c r="A3306" s="14" t="s">
        <v>2754</v>
      </c>
      <c r="B3306" s="14">
        <v>9</v>
      </c>
      <c r="C3306" s="15" t="s">
        <v>2755</v>
      </c>
      <c r="D3306" s="14" t="s">
        <v>1745</v>
      </c>
      <c r="E3306" s="14" t="s">
        <v>1746</v>
      </c>
      <c r="F3306" s="14">
        <v>1575</v>
      </c>
      <c r="G3306" s="14">
        <v>1260</v>
      </c>
      <c r="H3306" s="37">
        <f>'Calculation Sheet'!N3306</f>
        <v>1260</v>
      </c>
    </row>
    <row r="3307" spans="1:8" x14ac:dyDescent="0.25">
      <c r="A3307" s="14" t="s">
        <v>2754</v>
      </c>
      <c r="B3307" s="14">
        <v>1</v>
      </c>
      <c r="C3307" s="15" t="s">
        <v>2756</v>
      </c>
      <c r="D3307" s="14" t="s">
        <v>1745</v>
      </c>
      <c r="E3307" s="14" t="s">
        <v>1746</v>
      </c>
      <c r="F3307" s="14">
        <v>2079</v>
      </c>
      <c r="G3307" s="14">
        <v>1663.2</v>
      </c>
      <c r="H3307" s="37">
        <f>'Calculation Sheet'!N3307</f>
        <v>1663.2</v>
      </c>
    </row>
    <row r="3308" spans="1:8" x14ac:dyDescent="0.25">
      <c r="A3308" s="14" t="s">
        <v>2754</v>
      </c>
      <c r="B3308" s="14">
        <v>9</v>
      </c>
      <c r="C3308" s="15" t="s">
        <v>2755</v>
      </c>
      <c r="D3308" s="14" t="s">
        <v>1745</v>
      </c>
      <c r="E3308" s="14" t="s">
        <v>1747</v>
      </c>
      <c r="F3308" s="14">
        <v>1500</v>
      </c>
      <c r="G3308" s="14">
        <v>1200</v>
      </c>
      <c r="H3308" s="37">
        <f>'Calculation Sheet'!N3308</f>
        <v>1200</v>
      </c>
    </row>
    <row r="3309" spans="1:8" x14ac:dyDescent="0.25">
      <c r="A3309" s="14" t="s">
        <v>2754</v>
      </c>
      <c r="B3309" s="14">
        <v>1</v>
      </c>
      <c r="C3309" s="15" t="s">
        <v>2756</v>
      </c>
      <c r="D3309" s="14" t="s">
        <v>1749</v>
      </c>
      <c r="E3309" s="14" t="s">
        <v>1746</v>
      </c>
      <c r="F3309" s="14">
        <v>198</v>
      </c>
      <c r="G3309" s="14">
        <v>158.4</v>
      </c>
      <c r="H3309" s="37">
        <f>'Calculation Sheet'!N3309</f>
        <v>158.4</v>
      </c>
    </row>
    <row r="3310" spans="1:8" x14ac:dyDescent="0.25">
      <c r="A3310" s="14" t="s">
        <v>2754</v>
      </c>
      <c r="B3310" s="14" t="s">
        <v>20</v>
      </c>
      <c r="C3310" s="15" t="s">
        <v>2757</v>
      </c>
      <c r="D3310" s="14" t="s">
        <v>1745</v>
      </c>
      <c r="E3310" s="14" t="s">
        <v>1747</v>
      </c>
      <c r="F3310" s="14">
        <v>499.2</v>
      </c>
      <c r="G3310" s="14">
        <v>399.36</v>
      </c>
      <c r="H3310" s="37">
        <f>'Calculation Sheet'!N3310</f>
        <v>399.36</v>
      </c>
    </row>
    <row r="3311" spans="1:8" x14ac:dyDescent="0.25">
      <c r="A3311" s="14" t="s">
        <v>2754</v>
      </c>
      <c r="B3311" s="14" t="s">
        <v>20</v>
      </c>
      <c r="C3311" s="15" t="s">
        <v>2757</v>
      </c>
      <c r="D3311" s="14" t="s">
        <v>1745</v>
      </c>
      <c r="E3311" s="14" t="s">
        <v>1746</v>
      </c>
      <c r="F3311" s="14">
        <v>524.16</v>
      </c>
      <c r="G3311" s="14">
        <v>419.28</v>
      </c>
      <c r="H3311" s="37">
        <f>'Calculation Sheet'!N3311</f>
        <v>419.28</v>
      </c>
    </row>
    <row r="3312" spans="1:8" x14ac:dyDescent="0.25">
      <c r="A3312" s="14" t="s">
        <v>2754</v>
      </c>
      <c r="B3312" s="14" t="s">
        <v>20</v>
      </c>
      <c r="C3312" s="15" t="s">
        <v>2757</v>
      </c>
      <c r="D3312" s="14" t="s">
        <v>1749</v>
      </c>
      <c r="E3312" s="14" t="s">
        <v>1746</v>
      </c>
      <c r="F3312" s="14">
        <v>49.92</v>
      </c>
      <c r="G3312" s="14">
        <v>39.94</v>
      </c>
      <c r="H3312" s="37">
        <f>'Calculation Sheet'!N3312</f>
        <v>39.94</v>
      </c>
    </row>
    <row r="3313" spans="1:8" x14ac:dyDescent="0.25">
      <c r="A3313" s="14" t="s">
        <v>2758</v>
      </c>
      <c r="B3313" s="14">
        <v>1</v>
      </c>
      <c r="C3313" s="15" t="s">
        <v>2759</v>
      </c>
      <c r="D3313" s="14" t="s">
        <v>1745</v>
      </c>
      <c r="E3313" s="14" t="s">
        <v>1747</v>
      </c>
      <c r="F3313" s="14">
        <v>35940</v>
      </c>
      <c r="G3313" s="14">
        <v>28752</v>
      </c>
      <c r="H3313" s="37">
        <f>'Calculation Sheet'!N3313</f>
        <v>28752</v>
      </c>
    </row>
    <row r="3314" spans="1:8" x14ac:dyDescent="0.25">
      <c r="A3314" s="14" t="s">
        <v>2758</v>
      </c>
      <c r="B3314" s="14">
        <v>1</v>
      </c>
      <c r="C3314" s="15" t="s">
        <v>2759</v>
      </c>
      <c r="D3314" s="14" t="s">
        <v>1745</v>
      </c>
      <c r="E3314" s="14" t="s">
        <v>1746</v>
      </c>
      <c r="F3314" s="14">
        <v>37737</v>
      </c>
      <c r="G3314" s="14">
        <v>30189.599999999999</v>
      </c>
      <c r="H3314" s="37">
        <f>'Calculation Sheet'!N3314</f>
        <v>30189.599999999999</v>
      </c>
    </row>
    <row r="3315" spans="1:8" x14ac:dyDescent="0.25">
      <c r="A3315" s="14" t="s">
        <v>2758</v>
      </c>
      <c r="B3315" s="14">
        <v>1</v>
      </c>
      <c r="C3315" s="15" t="s">
        <v>2759</v>
      </c>
      <c r="D3315" s="14" t="s">
        <v>1749</v>
      </c>
      <c r="E3315" s="14" t="s">
        <v>1746</v>
      </c>
      <c r="F3315" s="14">
        <v>3594</v>
      </c>
      <c r="G3315" s="14">
        <v>2875.2</v>
      </c>
      <c r="H3315" s="37">
        <f>'Calculation Sheet'!N3315</f>
        <v>2875.2</v>
      </c>
    </row>
    <row r="3316" spans="1:8" x14ac:dyDescent="0.25">
      <c r="A3316" s="14" t="s">
        <v>1342</v>
      </c>
      <c r="B3316" s="14" t="s">
        <v>24</v>
      </c>
      <c r="C3316" s="15" t="s">
        <v>2760</v>
      </c>
      <c r="D3316" s="14" t="s">
        <v>1752</v>
      </c>
      <c r="E3316" s="14" t="s">
        <v>1753</v>
      </c>
      <c r="F3316" s="14">
        <v>31896900</v>
      </c>
      <c r="G3316" s="14">
        <v>25517520</v>
      </c>
      <c r="H3316" s="37">
        <f>'Calculation Sheet'!N3316</f>
        <v>24751994.399999999</v>
      </c>
    </row>
    <row r="3317" spans="1:8" x14ac:dyDescent="0.25">
      <c r="A3317" s="14" t="s">
        <v>1342</v>
      </c>
      <c r="B3317" s="14" t="s">
        <v>97</v>
      </c>
      <c r="C3317" s="15" t="s">
        <v>2761</v>
      </c>
      <c r="D3317" s="14" t="s">
        <v>1752</v>
      </c>
      <c r="E3317" s="14" t="s">
        <v>1753</v>
      </c>
      <c r="F3317" s="14">
        <v>17011620</v>
      </c>
      <c r="G3317" s="14">
        <v>13609296</v>
      </c>
      <c r="H3317" s="37">
        <f>'Calculation Sheet'!N3317</f>
        <v>13201017.119999999</v>
      </c>
    </row>
    <row r="3318" spans="1:8" x14ac:dyDescent="0.25">
      <c r="A3318" s="14" t="s">
        <v>1342</v>
      </c>
      <c r="B3318" s="14" t="s">
        <v>173</v>
      </c>
      <c r="C3318" s="15" t="s">
        <v>1354</v>
      </c>
      <c r="D3318" s="14" t="s">
        <v>1752</v>
      </c>
      <c r="E3318" s="14" t="s">
        <v>1747</v>
      </c>
      <c r="F3318" s="14">
        <v>15948360</v>
      </c>
      <c r="G3318" s="14">
        <v>12758688</v>
      </c>
      <c r="H3318" s="37">
        <f>'Calculation Sheet'!N3318</f>
        <v>12375927.359999999</v>
      </c>
    </row>
    <row r="3319" spans="1:8" x14ac:dyDescent="0.25">
      <c r="A3319" s="14" t="s">
        <v>1342</v>
      </c>
      <c r="B3319" s="14">
        <v>7</v>
      </c>
      <c r="C3319" s="15" t="s">
        <v>2762</v>
      </c>
      <c r="D3319" s="14" t="s">
        <v>1745</v>
      </c>
      <c r="E3319" s="14" t="s">
        <v>1746</v>
      </c>
      <c r="F3319" s="14">
        <v>930321</v>
      </c>
      <c r="G3319" s="14">
        <v>837289</v>
      </c>
      <c r="H3319" s="37">
        <f>'Calculation Sheet'!N3319</f>
        <v>828916.11</v>
      </c>
    </row>
    <row r="3320" spans="1:8" x14ac:dyDescent="0.25">
      <c r="A3320" s="14" t="s">
        <v>1342</v>
      </c>
      <c r="B3320" s="14" t="s">
        <v>333</v>
      </c>
      <c r="C3320" s="15" t="s">
        <v>2763</v>
      </c>
      <c r="D3320" s="14" t="s">
        <v>1749</v>
      </c>
      <c r="E3320" s="14" t="s">
        <v>1746</v>
      </c>
      <c r="F3320" s="14">
        <v>212646</v>
      </c>
      <c r="G3320" s="14">
        <v>170116.8</v>
      </c>
      <c r="H3320" s="37">
        <f>'Calculation Sheet'!N3320</f>
        <v>168415.63199999998</v>
      </c>
    </row>
    <row r="3321" spans="1:8" x14ac:dyDescent="0.25">
      <c r="A3321" s="14" t="s">
        <v>1342</v>
      </c>
      <c r="B3321" s="14" t="s">
        <v>89</v>
      </c>
      <c r="C3321" s="15" t="s">
        <v>1341</v>
      </c>
      <c r="D3321" s="14" t="s">
        <v>1749</v>
      </c>
      <c r="E3321" s="14" t="s">
        <v>1746</v>
      </c>
      <c r="F3321" s="14">
        <v>2658072</v>
      </c>
      <c r="G3321" s="14">
        <v>2126458</v>
      </c>
      <c r="H3321" s="37">
        <f>'Calculation Sheet'!N3321</f>
        <v>2105193.42</v>
      </c>
    </row>
    <row r="3322" spans="1:8" x14ac:dyDescent="0.25">
      <c r="A3322" s="14" t="s">
        <v>1342</v>
      </c>
      <c r="B3322" s="14" t="s">
        <v>166</v>
      </c>
      <c r="C3322" s="15" t="s">
        <v>2764</v>
      </c>
      <c r="D3322" s="14" t="s">
        <v>1752</v>
      </c>
      <c r="E3322" s="14" t="s">
        <v>1747</v>
      </c>
      <c r="F3322" s="14">
        <v>7309980</v>
      </c>
      <c r="G3322" s="14">
        <v>6578982</v>
      </c>
      <c r="H3322" s="37">
        <f>'Calculation Sheet'!N3322</f>
        <v>6381612.54</v>
      </c>
    </row>
    <row r="3323" spans="1:8" x14ac:dyDescent="0.25">
      <c r="A3323" s="14" t="s">
        <v>1342</v>
      </c>
      <c r="B3323" s="14" t="s">
        <v>73</v>
      </c>
      <c r="C3323" s="15" t="s">
        <v>1366</v>
      </c>
      <c r="D3323" s="14" t="s">
        <v>1749</v>
      </c>
      <c r="E3323" s="14" t="s">
        <v>1746</v>
      </c>
      <c r="F3323" s="14">
        <v>1417638</v>
      </c>
      <c r="G3323" s="14">
        <v>1134110</v>
      </c>
      <c r="H3323" s="37">
        <f>'Calculation Sheet'!N3323</f>
        <v>1122768.8999999999</v>
      </c>
    </row>
    <row r="3324" spans="1:8" x14ac:dyDescent="0.25">
      <c r="A3324" s="14" t="s">
        <v>1342</v>
      </c>
      <c r="B3324" s="14">
        <v>2</v>
      </c>
      <c r="C3324" s="15" t="s">
        <v>2765</v>
      </c>
      <c r="D3324" s="14" t="s">
        <v>1752</v>
      </c>
      <c r="E3324" s="14" t="s">
        <v>1753</v>
      </c>
      <c r="F3324" s="14">
        <v>24454260</v>
      </c>
      <c r="G3324" s="14">
        <v>19563408</v>
      </c>
      <c r="H3324" s="37">
        <f>'Calculation Sheet'!N3324</f>
        <v>18976505.760000002</v>
      </c>
    </row>
    <row r="3325" spans="1:8" x14ac:dyDescent="0.25">
      <c r="A3325" s="14" t="s">
        <v>1342</v>
      </c>
      <c r="B3325" s="14">
        <v>3</v>
      </c>
      <c r="C3325" s="15" t="s">
        <v>1350</v>
      </c>
      <c r="D3325" s="14" t="s">
        <v>1749</v>
      </c>
      <c r="E3325" s="14" t="s">
        <v>1746</v>
      </c>
      <c r="F3325" s="14">
        <v>141762</v>
      </c>
      <c r="G3325" s="14">
        <v>113409.60000000001</v>
      </c>
      <c r="H3325" s="37">
        <f>'Calculation Sheet'!N3325</f>
        <v>112275.504</v>
      </c>
    </row>
    <row r="3326" spans="1:8" x14ac:dyDescent="0.25">
      <c r="A3326" s="14" t="s">
        <v>1342</v>
      </c>
      <c r="B3326" s="14">
        <v>4</v>
      </c>
      <c r="C3326" s="15" t="s">
        <v>1348</v>
      </c>
      <c r="D3326" s="14" t="s">
        <v>1749</v>
      </c>
      <c r="E3326" s="14" t="s">
        <v>1746</v>
      </c>
      <c r="F3326" s="14">
        <v>354408</v>
      </c>
      <c r="G3326" s="14">
        <v>283526.40000000002</v>
      </c>
      <c r="H3326" s="37">
        <f>'Calculation Sheet'!N3326</f>
        <v>280691.136</v>
      </c>
    </row>
    <row r="3327" spans="1:8" x14ac:dyDescent="0.25">
      <c r="A3327" s="14" t="s">
        <v>1342</v>
      </c>
      <c r="B3327" s="14" t="s">
        <v>120</v>
      </c>
      <c r="C3327" s="15" t="s">
        <v>2766</v>
      </c>
      <c r="D3327" s="14" t="s">
        <v>1752</v>
      </c>
      <c r="E3327" s="14" t="s">
        <v>1753</v>
      </c>
      <c r="F3327" s="14">
        <v>11695500</v>
      </c>
      <c r="G3327" s="14">
        <v>9356400</v>
      </c>
      <c r="H3327" s="37">
        <f>'Calculation Sheet'!N3327</f>
        <v>9075708</v>
      </c>
    </row>
    <row r="3328" spans="1:8" x14ac:dyDescent="0.25">
      <c r="A3328" s="14" t="s">
        <v>1342</v>
      </c>
      <c r="B3328" s="14" t="s">
        <v>97</v>
      </c>
      <c r="C3328" s="15" t="s">
        <v>2761</v>
      </c>
      <c r="D3328" s="14" t="s">
        <v>1752</v>
      </c>
      <c r="E3328" s="14" t="s">
        <v>1747</v>
      </c>
      <c r="F3328" s="14">
        <v>17011620</v>
      </c>
      <c r="G3328" s="14">
        <v>13609296</v>
      </c>
      <c r="H3328" s="37">
        <f>'Calculation Sheet'!N3328</f>
        <v>13201017.119999999</v>
      </c>
    </row>
    <row r="3329" spans="1:8" x14ac:dyDescent="0.25">
      <c r="A3329" s="14" t="s">
        <v>1342</v>
      </c>
      <c r="B3329" s="14" t="s">
        <v>173</v>
      </c>
      <c r="C3329" s="15" t="s">
        <v>1354</v>
      </c>
      <c r="D3329" s="14" t="s">
        <v>1752</v>
      </c>
      <c r="E3329" s="14" t="s">
        <v>1753</v>
      </c>
      <c r="F3329" s="14">
        <v>15948360</v>
      </c>
      <c r="G3329" s="14">
        <v>12758688</v>
      </c>
      <c r="H3329" s="37">
        <f>'Calculation Sheet'!N3329</f>
        <v>12375927.359999999</v>
      </c>
    </row>
    <row r="3330" spans="1:8" x14ac:dyDescent="0.25">
      <c r="A3330" s="14" t="s">
        <v>1342</v>
      </c>
      <c r="B3330" s="14" t="s">
        <v>297</v>
      </c>
      <c r="C3330" s="15" t="s">
        <v>2767</v>
      </c>
      <c r="D3330" s="14" t="s">
        <v>1752</v>
      </c>
      <c r="E3330" s="14" t="s">
        <v>1753</v>
      </c>
      <c r="F3330" s="14">
        <v>3987180</v>
      </c>
      <c r="G3330" s="14">
        <v>3588462</v>
      </c>
      <c r="H3330" s="37">
        <f>'Calculation Sheet'!N3330</f>
        <v>3480808.14</v>
      </c>
    </row>
    <row r="3331" spans="1:8" x14ac:dyDescent="0.25">
      <c r="A3331" s="14" t="s">
        <v>1342</v>
      </c>
      <c r="B3331" s="14" t="s">
        <v>73</v>
      </c>
      <c r="C3331" s="15" t="s">
        <v>1366</v>
      </c>
      <c r="D3331" s="14" t="s">
        <v>1752</v>
      </c>
      <c r="E3331" s="14" t="s">
        <v>1747</v>
      </c>
      <c r="F3331" s="14">
        <v>42529140</v>
      </c>
      <c r="G3331" s="14">
        <v>34023312</v>
      </c>
      <c r="H3331" s="37">
        <f>'Calculation Sheet'!N3331</f>
        <v>33002612.640000001</v>
      </c>
    </row>
    <row r="3332" spans="1:8" x14ac:dyDescent="0.25">
      <c r="A3332" s="14" t="s">
        <v>1342</v>
      </c>
      <c r="B3332" s="14" t="s">
        <v>307</v>
      </c>
      <c r="C3332" s="15" t="s">
        <v>1378</v>
      </c>
      <c r="D3332" s="14" t="s">
        <v>1745</v>
      </c>
      <c r="E3332" s="14" t="s">
        <v>1746</v>
      </c>
      <c r="F3332" s="14">
        <v>21398013</v>
      </c>
      <c r="G3332" s="14">
        <v>17118410</v>
      </c>
      <c r="H3332" s="37">
        <f>'Calculation Sheet'!N3332</f>
        <v>16947225.899999999</v>
      </c>
    </row>
    <row r="3333" spans="1:8" x14ac:dyDescent="0.25">
      <c r="A3333" s="14" t="s">
        <v>1342</v>
      </c>
      <c r="B3333" s="14">
        <v>6</v>
      </c>
      <c r="C3333" s="15" t="s">
        <v>2768</v>
      </c>
      <c r="D3333" s="14" t="s">
        <v>1752</v>
      </c>
      <c r="E3333" s="14" t="s">
        <v>1747</v>
      </c>
      <c r="F3333" s="14">
        <v>1010880</v>
      </c>
      <c r="G3333" s="14">
        <v>909792</v>
      </c>
      <c r="H3333" s="37">
        <f>'Calculation Sheet'!N3333</f>
        <v>882498.24</v>
      </c>
    </row>
    <row r="3334" spans="1:8" x14ac:dyDescent="0.25">
      <c r="A3334" s="14" t="s">
        <v>1342</v>
      </c>
      <c r="B3334" s="14" t="s">
        <v>89</v>
      </c>
      <c r="C3334" s="15" t="s">
        <v>1341</v>
      </c>
      <c r="D3334" s="14" t="s">
        <v>1752</v>
      </c>
      <c r="E3334" s="14" t="s">
        <v>1753</v>
      </c>
      <c r="F3334" s="14">
        <v>79742160</v>
      </c>
      <c r="G3334" s="14">
        <v>63793728</v>
      </c>
      <c r="H3334" s="37">
        <f>'Calculation Sheet'!N3334</f>
        <v>61879916.159999996</v>
      </c>
    </row>
    <row r="3335" spans="1:8" x14ac:dyDescent="0.25">
      <c r="A3335" s="14" t="s">
        <v>1342</v>
      </c>
      <c r="B3335" s="14" t="s">
        <v>24</v>
      </c>
      <c r="C3335" s="15" t="s">
        <v>2760</v>
      </c>
      <c r="D3335" s="14" t="s">
        <v>1752</v>
      </c>
      <c r="E3335" s="14" t="s">
        <v>1747</v>
      </c>
      <c r="F3335" s="14">
        <v>31896900</v>
      </c>
      <c r="G3335" s="14">
        <v>25517520</v>
      </c>
      <c r="H3335" s="37">
        <f>'Calculation Sheet'!N3335</f>
        <v>24751994.399999999</v>
      </c>
    </row>
    <row r="3336" spans="1:8" x14ac:dyDescent="0.25">
      <c r="A3336" s="14" t="s">
        <v>1342</v>
      </c>
      <c r="B3336" s="14">
        <v>4</v>
      </c>
      <c r="C3336" s="15" t="s">
        <v>1348</v>
      </c>
      <c r="D3336" s="14" t="s">
        <v>1752</v>
      </c>
      <c r="E3336" s="14" t="s">
        <v>1753</v>
      </c>
      <c r="F3336" s="14">
        <v>10632240</v>
      </c>
      <c r="G3336" s="14">
        <v>8505792</v>
      </c>
      <c r="H3336" s="37">
        <f>'Calculation Sheet'!N3336</f>
        <v>8250618.2400000002</v>
      </c>
    </row>
    <row r="3337" spans="1:8" x14ac:dyDescent="0.25">
      <c r="A3337" s="14" t="s">
        <v>1342</v>
      </c>
      <c r="B3337" s="14">
        <v>3</v>
      </c>
      <c r="C3337" s="15" t="s">
        <v>1350</v>
      </c>
      <c r="D3337" s="14" t="s">
        <v>1745</v>
      </c>
      <c r="E3337" s="14" t="s">
        <v>1747</v>
      </c>
      <c r="F3337" s="14">
        <v>1417620</v>
      </c>
      <c r="G3337" s="14">
        <v>1134096</v>
      </c>
      <c r="H3337" s="37">
        <f>'Calculation Sheet'!N3337</f>
        <v>1100073.1200000001</v>
      </c>
    </row>
    <row r="3338" spans="1:8" x14ac:dyDescent="0.25">
      <c r="A3338" s="14" t="s">
        <v>1342</v>
      </c>
      <c r="B3338" s="14">
        <v>3</v>
      </c>
      <c r="C3338" s="15" t="s">
        <v>1350</v>
      </c>
      <c r="D3338" s="14" t="s">
        <v>1752</v>
      </c>
      <c r="E3338" s="14" t="s">
        <v>1753</v>
      </c>
      <c r="F3338" s="14">
        <v>4252860</v>
      </c>
      <c r="G3338" s="14">
        <v>3402288</v>
      </c>
      <c r="H3338" s="37">
        <f>'Calculation Sheet'!N3338</f>
        <v>3300219.36</v>
      </c>
    </row>
    <row r="3339" spans="1:8" x14ac:dyDescent="0.25">
      <c r="A3339" s="14" t="s">
        <v>1342</v>
      </c>
      <c r="B3339" s="14" t="s">
        <v>258</v>
      </c>
      <c r="C3339" s="15" t="s">
        <v>2769</v>
      </c>
      <c r="D3339" s="14" t="s">
        <v>1752</v>
      </c>
      <c r="E3339" s="14" t="s">
        <v>1753</v>
      </c>
      <c r="F3339" s="14">
        <v>15284340</v>
      </c>
      <c r="G3339" s="14">
        <v>13755906</v>
      </c>
      <c r="H3339" s="37">
        <f>'Calculation Sheet'!N3339</f>
        <v>13343228.82</v>
      </c>
    </row>
    <row r="3340" spans="1:8" x14ac:dyDescent="0.25">
      <c r="A3340" s="14" t="s">
        <v>1342</v>
      </c>
      <c r="B3340" s="14" t="s">
        <v>120</v>
      </c>
      <c r="C3340" s="15" t="s">
        <v>2766</v>
      </c>
      <c r="D3340" s="14" t="s">
        <v>1752</v>
      </c>
      <c r="E3340" s="14" t="s">
        <v>1747</v>
      </c>
      <c r="F3340" s="14">
        <v>11695500</v>
      </c>
      <c r="G3340" s="14">
        <v>9356400</v>
      </c>
      <c r="H3340" s="37">
        <f>'Calculation Sheet'!N3340</f>
        <v>9075708</v>
      </c>
    </row>
    <row r="3341" spans="1:8" x14ac:dyDescent="0.25">
      <c r="A3341" s="14" t="s">
        <v>1342</v>
      </c>
      <c r="B3341" s="14" t="s">
        <v>173</v>
      </c>
      <c r="C3341" s="15" t="s">
        <v>1354</v>
      </c>
      <c r="D3341" s="14" t="s">
        <v>1749</v>
      </c>
      <c r="E3341" s="14" t="s">
        <v>1746</v>
      </c>
      <c r="F3341" s="14">
        <v>531612</v>
      </c>
      <c r="G3341" s="14">
        <v>425289.6</v>
      </c>
      <c r="H3341" s="37">
        <f>'Calculation Sheet'!N3341</f>
        <v>421036.70399999997</v>
      </c>
    </row>
    <row r="3342" spans="1:8" x14ac:dyDescent="0.25">
      <c r="A3342" s="14" t="s">
        <v>1342</v>
      </c>
      <c r="B3342" s="14">
        <v>1</v>
      </c>
      <c r="C3342" s="15" t="s">
        <v>2770</v>
      </c>
      <c r="D3342" s="14" t="s">
        <v>1752</v>
      </c>
      <c r="E3342" s="14" t="s">
        <v>1747</v>
      </c>
      <c r="F3342" s="14">
        <v>1617300</v>
      </c>
      <c r="G3342" s="14">
        <v>1293840</v>
      </c>
      <c r="H3342" s="37">
        <f>'Calculation Sheet'!N3342</f>
        <v>1255024.8</v>
      </c>
    </row>
    <row r="3343" spans="1:8" x14ac:dyDescent="0.25">
      <c r="A3343" s="14" t="s">
        <v>1342</v>
      </c>
      <c r="B3343" s="14" t="s">
        <v>166</v>
      </c>
      <c r="C3343" s="15" t="s">
        <v>2764</v>
      </c>
      <c r="D3343" s="14" t="s">
        <v>1745</v>
      </c>
      <c r="E3343" s="14" t="s">
        <v>1747</v>
      </c>
      <c r="F3343" s="14">
        <v>2436660</v>
      </c>
      <c r="G3343" s="14">
        <v>2192994</v>
      </c>
      <c r="H3343" s="37">
        <f>'Calculation Sheet'!N3343</f>
        <v>2127204.1800000002</v>
      </c>
    </row>
    <row r="3344" spans="1:8" x14ac:dyDescent="0.25">
      <c r="A3344" s="14" t="s">
        <v>1342</v>
      </c>
      <c r="B3344" s="14">
        <v>4</v>
      </c>
      <c r="C3344" s="15" t="s">
        <v>1348</v>
      </c>
      <c r="D3344" s="14" t="s">
        <v>1745</v>
      </c>
      <c r="E3344" s="14" t="s">
        <v>1747</v>
      </c>
      <c r="F3344" s="14">
        <v>3544080</v>
      </c>
      <c r="G3344" s="14">
        <v>2835264</v>
      </c>
      <c r="H3344" s="37">
        <f>'Calculation Sheet'!N3344</f>
        <v>2750206.08</v>
      </c>
    </row>
    <row r="3345" spans="1:8" x14ac:dyDescent="0.25">
      <c r="A3345" s="14" t="s">
        <v>1342</v>
      </c>
      <c r="B3345" s="14">
        <v>9</v>
      </c>
      <c r="C3345" s="15" t="s">
        <v>2771</v>
      </c>
      <c r="D3345" s="14" t="s">
        <v>1745</v>
      </c>
      <c r="E3345" s="14" t="s">
        <v>1747</v>
      </c>
      <c r="F3345" s="14">
        <v>3544080</v>
      </c>
      <c r="G3345" s="14">
        <v>3189672</v>
      </c>
      <c r="H3345" s="37">
        <f>'Calculation Sheet'!N3345</f>
        <v>3093981.84</v>
      </c>
    </row>
    <row r="3346" spans="1:8" x14ac:dyDescent="0.25">
      <c r="A3346" s="14" t="s">
        <v>1342</v>
      </c>
      <c r="B3346" s="14">
        <v>3</v>
      </c>
      <c r="C3346" s="15" t="s">
        <v>1350</v>
      </c>
      <c r="D3346" s="14" t="s">
        <v>1745</v>
      </c>
      <c r="E3346" s="14" t="s">
        <v>1746</v>
      </c>
      <c r="F3346" s="14">
        <v>1488501</v>
      </c>
      <c r="G3346" s="14">
        <v>1190801</v>
      </c>
      <c r="H3346" s="37">
        <f>'Calculation Sheet'!N3346</f>
        <v>1178892.99</v>
      </c>
    </row>
    <row r="3347" spans="1:8" x14ac:dyDescent="0.25">
      <c r="A3347" s="14" t="s">
        <v>1342</v>
      </c>
      <c r="B3347" s="14" t="s">
        <v>258</v>
      </c>
      <c r="C3347" s="15" t="s">
        <v>2769</v>
      </c>
      <c r="D3347" s="14" t="s">
        <v>1745</v>
      </c>
      <c r="E3347" s="14" t="s">
        <v>1747</v>
      </c>
      <c r="F3347" s="14">
        <v>5094780</v>
      </c>
      <c r="G3347" s="14">
        <v>4585302</v>
      </c>
      <c r="H3347" s="37">
        <f>'Calculation Sheet'!N3347</f>
        <v>4447742.9400000004</v>
      </c>
    </row>
    <row r="3348" spans="1:8" x14ac:dyDescent="0.25">
      <c r="A3348" s="14" t="s">
        <v>1342</v>
      </c>
      <c r="B3348" s="14" t="s">
        <v>166</v>
      </c>
      <c r="C3348" s="15" t="s">
        <v>2764</v>
      </c>
      <c r="D3348" s="14" t="s">
        <v>1752</v>
      </c>
      <c r="E3348" s="14" t="s">
        <v>1753</v>
      </c>
      <c r="F3348" s="14">
        <v>7309980</v>
      </c>
      <c r="G3348" s="14">
        <v>6578982</v>
      </c>
      <c r="H3348" s="37">
        <f>'Calculation Sheet'!N3348</f>
        <v>6381612.54</v>
      </c>
    </row>
    <row r="3349" spans="1:8" x14ac:dyDescent="0.25">
      <c r="A3349" s="14" t="s">
        <v>1342</v>
      </c>
      <c r="B3349" s="14" t="s">
        <v>120</v>
      </c>
      <c r="C3349" s="15" t="s">
        <v>2766</v>
      </c>
      <c r="D3349" s="14" t="s">
        <v>1745</v>
      </c>
      <c r="E3349" s="14" t="s">
        <v>1746</v>
      </c>
      <c r="F3349" s="14">
        <v>4093425</v>
      </c>
      <c r="G3349" s="14">
        <v>3274740</v>
      </c>
      <c r="H3349" s="37">
        <f>'Calculation Sheet'!N3349</f>
        <v>3241992.6</v>
      </c>
    </row>
    <row r="3350" spans="1:8" x14ac:dyDescent="0.25">
      <c r="A3350" s="14" t="s">
        <v>1342</v>
      </c>
      <c r="B3350" s="14" t="s">
        <v>166</v>
      </c>
      <c r="C3350" s="15" t="s">
        <v>2764</v>
      </c>
      <c r="D3350" s="14" t="s">
        <v>1749</v>
      </c>
      <c r="E3350" s="14" t="s">
        <v>1746</v>
      </c>
      <c r="F3350" s="14">
        <v>243666</v>
      </c>
      <c r="G3350" s="14">
        <v>219299.4</v>
      </c>
      <c r="H3350" s="37">
        <f>'Calculation Sheet'!N3350</f>
        <v>217106.40599999999</v>
      </c>
    </row>
    <row r="3351" spans="1:8" x14ac:dyDescent="0.25">
      <c r="A3351" s="14" t="s">
        <v>1342</v>
      </c>
      <c r="B3351" s="14">
        <v>1</v>
      </c>
      <c r="C3351" s="15" t="s">
        <v>2770</v>
      </c>
      <c r="D3351" s="14" t="s">
        <v>1749</v>
      </c>
      <c r="E3351" s="14" t="s">
        <v>1746</v>
      </c>
      <c r="F3351" s="14">
        <v>53910</v>
      </c>
      <c r="G3351" s="14">
        <v>43128</v>
      </c>
      <c r="H3351" s="37">
        <f>'Calculation Sheet'!N3351</f>
        <v>42696.72</v>
      </c>
    </row>
    <row r="3352" spans="1:8" x14ac:dyDescent="0.25">
      <c r="A3352" s="14" t="s">
        <v>1342</v>
      </c>
      <c r="B3352" s="14">
        <v>8</v>
      </c>
      <c r="C3352" s="15" t="s">
        <v>1372</v>
      </c>
      <c r="D3352" s="14" t="s">
        <v>1745</v>
      </c>
      <c r="E3352" s="14" t="s">
        <v>1746</v>
      </c>
      <c r="F3352" s="14">
        <v>1415169</v>
      </c>
      <c r="G3352" s="14">
        <v>1132135</v>
      </c>
      <c r="H3352" s="37">
        <f>'Calculation Sheet'!N3352</f>
        <v>1120813.6499999999</v>
      </c>
    </row>
    <row r="3353" spans="1:8" x14ac:dyDescent="0.25">
      <c r="A3353" s="14" t="s">
        <v>1342</v>
      </c>
      <c r="B3353" s="14" t="s">
        <v>307</v>
      </c>
      <c r="C3353" s="15" t="s">
        <v>1378</v>
      </c>
      <c r="D3353" s="14" t="s">
        <v>1752</v>
      </c>
      <c r="E3353" s="14" t="s">
        <v>1753</v>
      </c>
      <c r="F3353" s="14">
        <v>61137180</v>
      </c>
      <c r="G3353" s="14">
        <v>48909744</v>
      </c>
      <c r="H3353" s="37">
        <f>'Calculation Sheet'!N3353</f>
        <v>47442451.68</v>
      </c>
    </row>
    <row r="3354" spans="1:8" x14ac:dyDescent="0.25">
      <c r="A3354" s="14" t="s">
        <v>1342</v>
      </c>
      <c r="B3354" s="14">
        <v>8</v>
      </c>
      <c r="C3354" s="15" t="s">
        <v>1372</v>
      </c>
      <c r="D3354" s="14" t="s">
        <v>1752</v>
      </c>
      <c r="E3354" s="14" t="s">
        <v>1753</v>
      </c>
      <c r="F3354" s="14">
        <v>4043340</v>
      </c>
      <c r="G3354" s="14">
        <v>3234672</v>
      </c>
      <c r="H3354" s="37">
        <f>'Calculation Sheet'!N3354</f>
        <v>3137631.84</v>
      </c>
    </row>
    <row r="3355" spans="1:8" x14ac:dyDescent="0.25">
      <c r="A3355" s="14" t="s">
        <v>1342</v>
      </c>
      <c r="B3355" s="14">
        <v>9</v>
      </c>
      <c r="C3355" s="15" t="s">
        <v>2771</v>
      </c>
      <c r="D3355" s="14" t="s">
        <v>1745</v>
      </c>
      <c r="E3355" s="14" t="s">
        <v>1746</v>
      </c>
      <c r="F3355" s="14">
        <v>3721284</v>
      </c>
      <c r="G3355" s="14">
        <v>3349156</v>
      </c>
      <c r="H3355" s="37">
        <f>'Calculation Sheet'!N3355</f>
        <v>3315664.44</v>
      </c>
    </row>
    <row r="3356" spans="1:8" x14ac:dyDescent="0.25">
      <c r="A3356" s="14" t="s">
        <v>1342</v>
      </c>
      <c r="B3356" s="14">
        <v>2</v>
      </c>
      <c r="C3356" s="15" t="s">
        <v>2765</v>
      </c>
      <c r="D3356" s="14" t="s">
        <v>1749</v>
      </c>
      <c r="E3356" s="14" t="s">
        <v>1746</v>
      </c>
      <c r="F3356" s="14">
        <v>815142</v>
      </c>
      <c r="G3356" s="14">
        <v>652113.6</v>
      </c>
      <c r="H3356" s="37">
        <f>'Calculation Sheet'!N3356</f>
        <v>645592.46399999992</v>
      </c>
    </row>
    <row r="3357" spans="1:8" x14ac:dyDescent="0.25">
      <c r="A3357" s="14" t="s">
        <v>1342</v>
      </c>
      <c r="B3357" s="14" t="s">
        <v>297</v>
      </c>
      <c r="C3357" s="15" t="s">
        <v>2767</v>
      </c>
      <c r="D3357" s="14" t="s">
        <v>1745</v>
      </c>
      <c r="E3357" s="14" t="s">
        <v>1747</v>
      </c>
      <c r="F3357" s="14">
        <v>1329060</v>
      </c>
      <c r="G3357" s="14">
        <v>1196154</v>
      </c>
      <c r="H3357" s="37">
        <f>'Calculation Sheet'!N3357</f>
        <v>1160269.3799999999</v>
      </c>
    </row>
    <row r="3358" spans="1:8" x14ac:dyDescent="0.25">
      <c r="A3358" s="14" t="s">
        <v>1342</v>
      </c>
      <c r="B3358" s="14">
        <v>1</v>
      </c>
      <c r="C3358" s="15" t="s">
        <v>2770</v>
      </c>
      <c r="D3358" s="14" t="s">
        <v>1752</v>
      </c>
      <c r="E3358" s="14" t="s">
        <v>1753</v>
      </c>
      <c r="F3358" s="14">
        <v>1617300</v>
      </c>
      <c r="G3358" s="14">
        <v>1293840</v>
      </c>
      <c r="H3358" s="37">
        <f>'Calculation Sheet'!N3358</f>
        <v>1255024.8</v>
      </c>
    </row>
    <row r="3359" spans="1:8" x14ac:dyDescent="0.25">
      <c r="A3359" s="14" t="s">
        <v>1342</v>
      </c>
      <c r="B3359" s="14">
        <v>6</v>
      </c>
      <c r="C3359" s="15" t="s">
        <v>2768</v>
      </c>
      <c r="D3359" s="14" t="s">
        <v>1752</v>
      </c>
      <c r="E3359" s="14" t="s">
        <v>1753</v>
      </c>
      <c r="F3359" s="14">
        <v>1010880</v>
      </c>
      <c r="G3359" s="14">
        <v>909792</v>
      </c>
      <c r="H3359" s="37">
        <f>'Calculation Sheet'!N3359</f>
        <v>882498.24</v>
      </c>
    </row>
    <row r="3360" spans="1:8" x14ac:dyDescent="0.25">
      <c r="A3360" s="14" t="s">
        <v>1342</v>
      </c>
      <c r="B3360" s="14">
        <v>5</v>
      </c>
      <c r="C3360" s="15" t="s">
        <v>2772</v>
      </c>
      <c r="D3360" s="14" t="s">
        <v>1752</v>
      </c>
      <c r="E3360" s="14" t="s">
        <v>1753</v>
      </c>
      <c r="F3360" s="14">
        <v>19935540</v>
      </c>
      <c r="G3360" s="14">
        <v>17941986</v>
      </c>
      <c r="H3360" s="37">
        <f>'Calculation Sheet'!N3360</f>
        <v>17403726.420000002</v>
      </c>
    </row>
    <row r="3361" spans="1:8" x14ac:dyDescent="0.25">
      <c r="A3361" s="14" t="s">
        <v>1342</v>
      </c>
      <c r="B3361" s="14" t="s">
        <v>120</v>
      </c>
      <c r="C3361" s="15" t="s">
        <v>2766</v>
      </c>
      <c r="D3361" s="14" t="s">
        <v>1749</v>
      </c>
      <c r="E3361" s="14" t="s">
        <v>1746</v>
      </c>
      <c r="F3361" s="14">
        <v>389850</v>
      </c>
      <c r="G3361" s="14">
        <v>311880</v>
      </c>
      <c r="H3361" s="37">
        <f>'Calculation Sheet'!N3361</f>
        <v>308761.2</v>
      </c>
    </row>
    <row r="3362" spans="1:8" x14ac:dyDescent="0.25">
      <c r="A3362" s="14" t="s">
        <v>1342</v>
      </c>
      <c r="B3362" s="14" t="s">
        <v>307</v>
      </c>
      <c r="C3362" s="15" t="s">
        <v>1378</v>
      </c>
      <c r="D3362" s="14" t="s">
        <v>1749</v>
      </c>
      <c r="E3362" s="14" t="s">
        <v>1746</v>
      </c>
      <c r="F3362" s="14">
        <v>2037906</v>
      </c>
      <c r="G3362" s="14">
        <v>1630325</v>
      </c>
      <c r="H3362" s="37">
        <f>'Calculation Sheet'!N3362</f>
        <v>1614021.75</v>
      </c>
    </row>
    <row r="3363" spans="1:8" x14ac:dyDescent="0.25">
      <c r="A3363" s="14" t="s">
        <v>1342</v>
      </c>
      <c r="B3363" s="14" t="s">
        <v>97</v>
      </c>
      <c r="C3363" s="15" t="s">
        <v>2761</v>
      </c>
      <c r="D3363" s="14" t="s">
        <v>1749</v>
      </c>
      <c r="E3363" s="14" t="s">
        <v>1746</v>
      </c>
      <c r="F3363" s="14">
        <v>567054</v>
      </c>
      <c r="G3363" s="14">
        <v>453643.2</v>
      </c>
      <c r="H3363" s="37">
        <f>'Calculation Sheet'!N3363</f>
        <v>449106.76800000004</v>
      </c>
    </row>
    <row r="3364" spans="1:8" x14ac:dyDescent="0.25">
      <c r="A3364" s="14" t="s">
        <v>1342</v>
      </c>
      <c r="B3364" s="14">
        <v>4</v>
      </c>
      <c r="C3364" s="15" t="s">
        <v>1348</v>
      </c>
      <c r="D3364" s="14" t="s">
        <v>1745</v>
      </c>
      <c r="E3364" s="14" t="s">
        <v>1746</v>
      </c>
      <c r="F3364" s="14">
        <v>3721284</v>
      </c>
      <c r="G3364" s="14">
        <v>2977027</v>
      </c>
      <c r="H3364" s="37">
        <f>'Calculation Sheet'!N3364</f>
        <v>2947256.73</v>
      </c>
    </row>
    <row r="3365" spans="1:8" x14ac:dyDescent="0.25">
      <c r="A3365" s="14" t="s">
        <v>1342</v>
      </c>
      <c r="B3365" s="14" t="s">
        <v>333</v>
      </c>
      <c r="C3365" s="15" t="s">
        <v>2763</v>
      </c>
      <c r="D3365" s="14" t="s">
        <v>1745</v>
      </c>
      <c r="E3365" s="14" t="s">
        <v>1747</v>
      </c>
      <c r="F3365" s="14">
        <v>2126460</v>
      </c>
      <c r="G3365" s="14">
        <v>1701168</v>
      </c>
      <c r="H3365" s="37">
        <f>'Calculation Sheet'!N3365</f>
        <v>1650132.96</v>
      </c>
    </row>
    <row r="3366" spans="1:8" x14ac:dyDescent="0.25">
      <c r="A3366" s="14" t="s">
        <v>1342</v>
      </c>
      <c r="B3366" s="14">
        <v>6</v>
      </c>
      <c r="C3366" s="15" t="s">
        <v>2768</v>
      </c>
      <c r="D3366" s="14" t="s">
        <v>1749</v>
      </c>
      <c r="E3366" s="14" t="s">
        <v>1746</v>
      </c>
      <c r="F3366" s="14">
        <v>33696</v>
      </c>
      <c r="G3366" s="14">
        <v>30326.400000000001</v>
      </c>
      <c r="H3366" s="37">
        <f>'Calculation Sheet'!N3366</f>
        <v>30023.136000000002</v>
      </c>
    </row>
    <row r="3367" spans="1:8" x14ac:dyDescent="0.25">
      <c r="A3367" s="14" t="s">
        <v>1342</v>
      </c>
      <c r="B3367" s="14">
        <v>2</v>
      </c>
      <c r="C3367" s="15" t="s">
        <v>2765</v>
      </c>
      <c r="D3367" s="14" t="s">
        <v>1752</v>
      </c>
      <c r="E3367" s="14" t="s">
        <v>1747</v>
      </c>
      <c r="F3367" s="14">
        <v>24454260</v>
      </c>
      <c r="G3367" s="14">
        <v>19563408</v>
      </c>
      <c r="H3367" s="37">
        <f>'Calculation Sheet'!N3367</f>
        <v>18976505.760000002</v>
      </c>
    </row>
    <row r="3368" spans="1:8" x14ac:dyDescent="0.25">
      <c r="A3368" s="14" t="s">
        <v>1342</v>
      </c>
      <c r="B3368" s="14" t="s">
        <v>258</v>
      </c>
      <c r="C3368" s="15" t="s">
        <v>2769</v>
      </c>
      <c r="D3368" s="14" t="s">
        <v>1752</v>
      </c>
      <c r="E3368" s="14" t="s">
        <v>1747</v>
      </c>
      <c r="F3368" s="14">
        <v>15284340</v>
      </c>
      <c r="G3368" s="14">
        <v>13755906</v>
      </c>
      <c r="H3368" s="37">
        <f>'Calculation Sheet'!N3368</f>
        <v>13343228.82</v>
      </c>
    </row>
    <row r="3369" spans="1:8" x14ac:dyDescent="0.25">
      <c r="A3369" s="14" t="s">
        <v>1342</v>
      </c>
      <c r="B3369" s="14">
        <v>7</v>
      </c>
      <c r="C3369" s="15" t="s">
        <v>2762</v>
      </c>
      <c r="D3369" s="14" t="s">
        <v>1752</v>
      </c>
      <c r="E3369" s="14" t="s">
        <v>1753</v>
      </c>
      <c r="F3369" s="14">
        <v>2658060</v>
      </c>
      <c r="G3369" s="14">
        <v>2392254</v>
      </c>
      <c r="H3369" s="37">
        <f>'Calculation Sheet'!N3369</f>
        <v>2320486.38</v>
      </c>
    </row>
    <row r="3370" spans="1:8" x14ac:dyDescent="0.25">
      <c r="A3370" s="14" t="s">
        <v>1342</v>
      </c>
      <c r="B3370" s="14">
        <v>2</v>
      </c>
      <c r="C3370" s="15" t="s">
        <v>2765</v>
      </c>
      <c r="D3370" s="14" t="s">
        <v>1745</v>
      </c>
      <c r="E3370" s="14" t="s">
        <v>1746</v>
      </c>
      <c r="F3370" s="14">
        <v>8558991</v>
      </c>
      <c r="G3370" s="14">
        <v>6847193</v>
      </c>
      <c r="H3370" s="37">
        <f>'Calculation Sheet'!N3370</f>
        <v>6778721.0700000003</v>
      </c>
    </row>
    <row r="3371" spans="1:8" x14ac:dyDescent="0.25">
      <c r="A3371" s="14" t="s">
        <v>1342</v>
      </c>
      <c r="B3371" s="14" t="s">
        <v>97</v>
      </c>
      <c r="C3371" s="15" t="s">
        <v>2761</v>
      </c>
      <c r="D3371" s="14" t="s">
        <v>1745</v>
      </c>
      <c r="E3371" s="14" t="s">
        <v>1747</v>
      </c>
      <c r="F3371" s="14">
        <v>5670540</v>
      </c>
      <c r="G3371" s="14">
        <v>4536432</v>
      </c>
      <c r="H3371" s="37">
        <f>'Calculation Sheet'!N3371</f>
        <v>4400339.04</v>
      </c>
    </row>
    <row r="3372" spans="1:8" x14ac:dyDescent="0.25">
      <c r="A3372" s="14" t="s">
        <v>1342</v>
      </c>
      <c r="B3372" s="14" t="s">
        <v>97</v>
      </c>
      <c r="C3372" s="15" t="s">
        <v>2761</v>
      </c>
      <c r="D3372" s="14" t="s">
        <v>1745</v>
      </c>
      <c r="E3372" s="14" t="s">
        <v>1746</v>
      </c>
      <c r="F3372" s="14">
        <v>5954067</v>
      </c>
      <c r="G3372" s="14">
        <v>4763254</v>
      </c>
      <c r="H3372" s="37">
        <f>'Calculation Sheet'!N3372</f>
        <v>4715621.46</v>
      </c>
    </row>
    <row r="3373" spans="1:8" x14ac:dyDescent="0.25">
      <c r="A3373" s="14" t="s">
        <v>1342</v>
      </c>
      <c r="B3373" s="14">
        <v>1</v>
      </c>
      <c r="C3373" s="15" t="s">
        <v>2770</v>
      </c>
      <c r="D3373" s="14" t="s">
        <v>1745</v>
      </c>
      <c r="E3373" s="14" t="s">
        <v>1747</v>
      </c>
      <c r="F3373" s="14">
        <v>539100</v>
      </c>
      <c r="G3373" s="14">
        <v>431280</v>
      </c>
      <c r="H3373" s="37">
        <f>'Calculation Sheet'!N3373</f>
        <v>418341.6</v>
      </c>
    </row>
    <row r="3374" spans="1:8" x14ac:dyDescent="0.25">
      <c r="A3374" s="14" t="s">
        <v>1342</v>
      </c>
      <c r="B3374" s="14" t="s">
        <v>173</v>
      </c>
      <c r="C3374" s="15" t="s">
        <v>1354</v>
      </c>
      <c r="D3374" s="14" t="s">
        <v>1745</v>
      </c>
      <c r="E3374" s="14" t="s">
        <v>1746</v>
      </c>
      <c r="F3374" s="14">
        <v>5581926</v>
      </c>
      <c r="G3374" s="14">
        <v>4465541</v>
      </c>
      <c r="H3374" s="37">
        <f>'Calculation Sheet'!N3374</f>
        <v>4420885.59</v>
      </c>
    </row>
    <row r="3375" spans="1:8" x14ac:dyDescent="0.25">
      <c r="A3375" s="14" t="s">
        <v>1342</v>
      </c>
      <c r="B3375" s="14" t="s">
        <v>166</v>
      </c>
      <c r="C3375" s="15" t="s">
        <v>2764</v>
      </c>
      <c r="D3375" s="14" t="s">
        <v>1745</v>
      </c>
      <c r="E3375" s="14" t="s">
        <v>1746</v>
      </c>
      <c r="F3375" s="14">
        <v>2558493</v>
      </c>
      <c r="G3375" s="14">
        <v>2302644</v>
      </c>
      <c r="H3375" s="37">
        <f>'Calculation Sheet'!N3375</f>
        <v>2279617.56</v>
      </c>
    </row>
    <row r="3376" spans="1:8" x14ac:dyDescent="0.25">
      <c r="A3376" s="14" t="s">
        <v>1342</v>
      </c>
      <c r="B3376" s="14" t="s">
        <v>113</v>
      </c>
      <c r="C3376" s="15" t="s">
        <v>1360</v>
      </c>
      <c r="D3376" s="14" t="s">
        <v>1752</v>
      </c>
      <c r="E3376" s="14" t="s">
        <v>1747</v>
      </c>
      <c r="F3376" s="14">
        <v>29240280</v>
      </c>
      <c r="G3376" s="14">
        <v>23392224</v>
      </c>
      <c r="H3376" s="37">
        <f>'Calculation Sheet'!N3376</f>
        <v>22690457.280000001</v>
      </c>
    </row>
    <row r="3377" spans="1:8" x14ac:dyDescent="0.25">
      <c r="A3377" s="14" t="s">
        <v>1342</v>
      </c>
      <c r="B3377" s="14" t="s">
        <v>307</v>
      </c>
      <c r="C3377" s="15" t="s">
        <v>1378</v>
      </c>
      <c r="D3377" s="14" t="s">
        <v>1745</v>
      </c>
      <c r="E3377" s="14" t="s">
        <v>1747</v>
      </c>
      <c r="F3377" s="14">
        <v>20379060</v>
      </c>
      <c r="G3377" s="14">
        <v>16303248</v>
      </c>
      <c r="H3377" s="37">
        <f>'Calculation Sheet'!N3377</f>
        <v>15814150.560000001</v>
      </c>
    </row>
    <row r="3378" spans="1:8" x14ac:dyDescent="0.25">
      <c r="A3378" s="14" t="s">
        <v>1342</v>
      </c>
      <c r="B3378" s="14" t="s">
        <v>113</v>
      </c>
      <c r="C3378" s="15" t="s">
        <v>1360</v>
      </c>
      <c r="D3378" s="14" t="s">
        <v>1745</v>
      </c>
      <c r="E3378" s="14" t="s">
        <v>1747</v>
      </c>
      <c r="F3378" s="14">
        <v>9746760</v>
      </c>
      <c r="G3378" s="14">
        <v>7797408</v>
      </c>
      <c r="H3378" s="37">
        <f>'Calculation Sheet'!N3378</f>
        <v>7563485.7599999998</v>
      </c>
    </row>
    <row r="3379" spans="1:8" x14ac:dyDescent="0.25">
      <c r="A3379" s="14" t="s">
        <v>1342</v>
      </c>
      <c r="B3379" s="14">
        <v>5</v>
      </c>
      <c r="C3379" s="15" t="s">
        <v>2772</v>
      </c>
      <c r="D3379" s="14" t="s">
        <v>1749</v>
      </c>
      <c r="E3379" s="14" t="s">
        <v>1746</v>
      </c>
      <c r="F3379" s="14">
        <v>664518</v>
      </c>
      <c r="G3379" s="14">
        <v>598066.19999999995</v>
      </c>
      <c r="H3379" s="37">
        <f>'Calculation Sheet'!N3379</f>
        <v>592085.53799999994</v>
      </c>
    </row>
    <row r="3380" spans="1:8" x14ac:dyDescent="0.25">
      <c r="A3380" s="14" t="s">
        <v>1342</v>
      </c>
      <c r="B3380" s="14" t="s">
        <v>24</v>
      </c>
      <c r="C3380" s="15" t="s">
        <v>2760</v>
      </c>
      <c r="D3380" s="14" t="s">
        <v>1745</v>
      </c>
      <c r="E3380" s="14" t="s">
        <v>1746</v>
      </c>
      <c r="F3380" s="14">
        <v>11163915</v>
      </c>
      <c r="G3380" s="14">
        <v>8931132</v>
      </c>
      <c r="H3380" s="37">
        <f>'Calculation Sheet'!N3380</f>
        <v>8841820.6799999997</v>
      </c>
    </row>
    <row r="3381" spans="1:8" x14ac:dyDescent="0.25">
      <c r="A3381" s="14" t="s">
        <v>1342</v>
      </c>
      <c r="B3381" s="14">
        <v>2</v>
      </c>
      <c r="C3381" s="15" t="s">
        <v>2765</v>
      </c>
      <c r="D3381" s="14" t="s">
        <v>1745</v>
      </c>
      <c r="E3381" s="14" t="s">
        <v>1747</v>
      </c>
      <c r="F3381" s="14">
        <v>8151420</v>
      </c>
      <c r="G3381" s="14">
        <v>6521136</v>
      </c>
      <c r="H3381" s="37">
        <f>'Calculation Sheet'!N3381</f>
        <v>6325501.9199999999</v>
      </c>
    </row>
    <row r="3382" spans="1:8" x14ac:dyDescent="0.25">
      <c r="A3382" s="14" t="s">
        <v>1342</v>
      </c>
      <c r="B3382" s="14">
        <v>5</v>
      </c>
      <c r="C3382" s="15" t="s">
        <v>2772</v>
      </c>
      <c r="D3382" s="14" t="s">
        <v>1752</v>
      </c>
      <c r="E3382" s="14" t="s">
        <v>1747</v>
      </c>
      <c r="F3382" s="14">
        <v>19935540</v>
      </c>
      <c r="G3382" s="14">
        <v>17941986</v>
      </c>
      <c r="H3382" s="37">
        <f>'Calculation Sheet'!N3382</f>
        <v>17403726.420000002</v>
      </c>
    </row>
    <row r="3383" spans="1:8" x14ac:dyDescent="0.25">
      <c r="A3383" s="14" t="s">
        <v>1342</v>
      </c>
      <c r="B3383" s="14" t="s">
        <v>89</v>
      </c>
      <c r="C3383" s="15" t="s">
        <v>1341</v>
      </c>
      <c r="D3383" s="14" t="s">
        <v>1745</v>
      </c>
      <c r="E3383" s="14" t="s">
        <v>1746</v>
      </c>
      <c r="F3383" s="14">
        <v>27909756</v>
      </c>
      <c r="G3383" s="14">
        <v>22327805</v>
      </c>
      <c r="H3383" s="37">
        <f>'Calculation Sheet'!N3383</f>
        <v>22104526.949999999</v>
      </c>
    </row>
    <row r="3384" spans="1:8" x14ac:dyDescent="0.25">
      <c r="A3384" s="14" t="s">
        <v>1342</v>
      </c>
      <c r="B3384" s="14" t="s">
        <v>113</v>
      </c>
      <c r="C3384" s="15" t="s">
        <v>1360</v>
      </c>
      <c r="D3384" s="14" t="s">
        <v>1745</v>
      </c>
      <c r="E3384" s="14" t="s">
        <v>1746</v>
      </c>
      <c r="F3384" s="14">
        <v>10234098</v>
      </c>
      <c r="G3384" s="14">
        <v>8187278</v>
      </c>
      <c r="H3384" s="37">
        <f>'Calculation Sheet'!N3384</f>
        <v>8105405.2199999997</v>
      </c>
    </row>
    <row r="3385" spans="1:8" x14ac:dyDescent="0.25">
      <c r="A3385" s="14" t="s">
        <v>1342</v>
      </c>
      <c r="B3385" s="14" t="s">
        <v>173</v>
      </c>
      <c r="C3385" s="15" t="s">
        <v>1354</v>
      </c>
      <c r="D3385" s="14" t="s">
        <v>1745</v>
      </c>
      <c r="E3385" s="14" t="s">
        <v>1747</v>
      </c>
      <c r="F3385" s="14">
        <v>5316120</v>
      </c>
      <c r="G3385" s="14">
        <v>4252896</v>
      </c>
      <c r="H3385" s="37">
        <f>'Calculation Sheet'!N3385</f>
        <v>4125309.12</v>
      </c>
    </row>
    <row r="3386" spans="1:8" x14ac:dyDescent="0.25">
      <c r="A3386" s="14" t="s">
        <v>1342</v>
      </c>
      <c r="B3386" s="14">
        <v>5</v>
      </c>
      <c r="C3386" s="15" t="s">
        <v>2772</v>
      </c>
      <c r="D3386" s="14" t="s">
        <v>1745</v>
      </c>
      <c r="E3386" s="14" t="s">
        <v>1747</v>
      </c>
      <c r="F3386" s="14">
        <v>6645180</v>
      </c>
      <c r="G3386" s="14">
        <v>5980662</v>
      </c>
      <c r="H3386" s="37">
        <f>'Calculation Sheet'!N3386</f>
        <v>5801242.1399999997</v>
      </c>
    </row>
    <row r="3387" spans="1:8" x14ac:dyDescent="0.25">
      <c r="A3387" s="14" t="s">
        <v>1342</v>
      </c>
      <c r="B3387" s="14" t="s">
        <v>113</v>
      </c>
      <c r="C3387" s="15" t="s">
        <v>1360</v>
      </c>
      <c r="D3387" s="14" t="s">
        <v>1752</v>
      </c>
      <c r="E3387" s="14" t="s">
        <v>1753</v>
      </c>
      <c r="F3387" s="14">
        <v>29240280</v>
      </c>
      <c r="G3387" s="14">
        <v>23392224</v>
      </c>
      <c r="H3387" s="37">
        <f>'Calculation Sheet'!N3387</f>
        <v>22690457.280000001</v>
      </c>
    </row>
    <row r="3388" spans="1:8" x14ac:dyDescent="0.25">
      <c r="A3388" s="14" t="s">
        <v>1342</v>
      </c>
      <c r="B3388" s="14">
        <v>7</v>
      </c>
      <c r="C3388" s="15" t="s">
        <v>2762</v>
      </c>
      <c r="D3388" s="14" t="s">
        <v>1745</v>
      </c>
      <c r="E3388" s="14" t="s">
        <v>1747</v>
      </c>
      <c r="F3388" s="14">
        <v>886020</v>
      </c>
      <c r="G3388" s="14">
        <v>797418</v>
      </c>
      <c r="H3388" s="37">
        <f>'Calculation Sheet'!N3388</f>
        <v>773495.46</v>
      </c>
    </row>
    <row r="3389" spans="1:8" x14ac:dyDescent="0.25">
      <c r="A3389" s="14" t="s">
        <v>1342</v>
      </c>
      <c r="B3389" s="14" t="s">
        <v>73</v>
      </c>
      <c r="C3389" s="15" t="s">
        <v>1366</v>
      </c>
      <c r="D3389" s="14" t="s">
        <v>1752</v>
      </c>
      <c r="E3389" s="14" t="s">
        <v>1753</v>
      </c>
      <c r="F3389" s="14">
        <v>42529140</v>
      </c>
      <c r="G3389" s="14">
        <v>34023312</v>
      </c>
      <c r="H3389" s="37">
        <f>'Calculation Sheet'!N3389</f>
        <v>33002612.640000001</v>
      </c>
    </row>
    <row r="3390" spans="1:8" x14ac:dyDescent="0.25">
      <c r="A3390" s="14" t="s">
        <v>1342</v>
      </c>
      <c r="B3390" s="14" t="s">
        <v>258</v>
      </c>
      <c r="C3390" s="15" t="s">
        <v>2769</v>
      </c>
      <c r="D3390" s="14" t="s">
        <v>1745</v>
      </c>
      <c r="E3390" s="14" t="s">
        <v>1746</v>
      </c>
      <c r="F3390" s="14">
        <v>5349519</v>
      </c>
      <c r="G3390" s="14">
        <v>4814567</v>
      </c>
      <c r="H3390" s="37">
        <f>'Calculation Sheet'!N3390</f>
        <v>4766421.33</v>
      </c>
    </row>
    <row r="3391" spans="1:8" x14ac:dyDescent="0.25">
      <c r="A3391" s="14" t="s">
        <v>1342</v>
      </c>
      <c r="B3391" s="14">
        <v>3</v>
      </c>
      <c r="C3391" s="15" t="s">
        <v>1350</v>
      </c>
      <c r="D3391" s="14" t="s">
        <v>1752</v>
      </c>
      <c r="E3391" s="14" t="s">
        <v>1747</v>
      </c>
      <c r="F3391" s="14">
        <v>4252860</v>
      </c>
      <c r="G3391" s="14">
        <v>3402288</v>
      </c>
      <c r="H3391" s="37">
        <f>'Calculation Sheet'!N3391</f>
        <v>3300219.36</v>
      </c>
    </row>
    <row r="3392" spans="1:8" x14ac:dyDescent="0.25">
      <c r="A3392" s="14" t="s">
        <v>1342</v>
      </c>
      <c r="B3392" s="14" t="s">
        <v>297</v>
      </c>
      <c r="C3392" s="15" t="s">
        <v>2767</v>
      </c>
      <c r="D3392" s="14" t="s">
        <v>1752</v>
      </c>
      <c r="E3392" s="14" t="s">
        <v>1747</v>
      </c>
      <c r="F3392" s="14">
        <v>3987180</v>
      </c>
      <c r="G3392" s="14">
        <v>3588462</v>
      </c>
      <c r="H3392" s="37">
        <f>'Calculation Sheet'!N3392</f>
        <v>3480808.14</v>
      </c>
    </row>
    <row r="3393" spans="1:8" x14ac:dyDescent="0.25">
      <c r="A3393" s="14" t="s">
        <v>1342</v>
      </c>
      <c r="B3393" s="14">
        <v>4</v>
      </c>
      <c r="C3393" s="15" t="s">
        <v>1348</v>
      </c>
      <c r="D3393" s="14" t="s">
        <v>1752</v>
      </c>
      <c r="E3393" s="14" t="s">
        <v>1747</v>
      </c>
      <c r="F3393" s="14">
        <v>10632240</v>
      </c>
      <c r="G3393" s="14">
        <v>8505792</v>
      </c>
      <c r="H3393" s="37">
        <f>'Calculation Sheet'!N3393</f>
        <v>8250618.2400000002</v>
      </c>
    </row>
    <row r="3394" spans="1:8" x14ac:dyDescent="0.25">
      <c r="A3394" s="14" t="s">
        <v>1342</v>
      </c>
      <c r="B3394" s="14" t="s">
        <v>24</v>
      </c>
      <c r="C3394" s="15" t="s">
        <v>2760</v>
      </c>
      <c r="D3394" s="14" t="s">
        <v>1749</v>
      </c>
      <c r="E3394" s="14" t="s">
        <v>1746</v>
      </c>
      <c r="F3394" s="14">
        <v>1063230</v>
      </c>
      <c r="G3394" s="14">
        <v>850584</v>
      </c>
      <c r="H3394" s="37">
        <f>'Calculation Sheet'!N3394</f>
        <v>842078.16</v>
      </c>
    </row>
    <row r="3395" spans="1:8" x14ac:dyDescent="0.25">
      <c r="A3395" s="14" t="s">
        <v>1342</v>
      </c>
      <c r="B3395" s="14" t="s">
        <v>333</v>
      </c>
      <c r="C3395" s="15" t="s">
        <v>2763</v>
      </c>
      <c r="D3395" s="14" t="s">
        <v>1752</v>
      </c>
      <c r="E3395" s="14" t="s">
        <v>1753</v>
      </c>
      <c r="F3395" s="14">
        <v>6379380</v>
      </c>
      <c r="G3395" s="14">
        <v>5103504</v>
      </c>
      <c r="H3395" s="37">
        <f>'Calculation Sheet'!N3395</f>
        <v>4950398.88</v>
      </c>
    </row>
    <row r="3396" spans="1:8" x14ac:dyDescent="0.25">
      <c r="A3396" s="14" t="s">
        <v>1342</v>
      </c>
      <c r="B3396" s="14" t="s">
        <v>89</v>
      </c>
      <c r="C3396" s="15" t="s">
        <v>1341</v>
      </c>
      <c r="D3396" s="14" t="s">
        <v>1745</v>
      </c>
      <c r="E3396" s="14" t="s">
        <v>1747</v>
      </c>
      <c r="F3396" s="14">
        <v>26580720</v>
      </c>
      <c r="G3396" s="14">
        <v>21264576</v>
      </c>
      <c r="H3396" s="37">
        <f>'Calculation Sheet'!N3396</f>
        <v>20626638.719999999</v>
      </c>
    </row>
    <row r="3397" spans="1:8" x14ac:dyDescent="0.25">
      <c r="A3397" s="14" t="s">
        <v>1342</v>
      </c>
      <c r="B3397" s="14">
        <v>9</v>
      </c>
      <c r="C3397" s="15" t="s">
        <v>2771</v>
      </c>
      <c r="D3397" s="14" t="s">
        <v>1752</v>
      </c>
      <c r="E3397" s="14" t="s">
        <v>1747</v>
      </c>
      <c r="F3397" s="14">
        <v>10632240</v>
      </c>
      <c r="G3397" s="14">
        <v>9569016</v>
      </c>
      <c r="H3397" s="37">
        <f>'Calculation Sheet'!N3397</f>
        <v>9281945.5199999996</v>
      </c>
    </row>
    <row r="3398" spans="1:8" x14ac:dyDescent="0.25">
      <c r="A3398" s="14" t="s">
        <v>1342</v>
      </c>
      <c r="B3398" s="14">
        <v>8</v>
      </c>
      <c r="C3398" s="15" t="s">
        <v>1372</v>
      </c>
      <c r="D3398" s="14" t="s">
        <v>1745</v>
      </c>
      <c r="E3398" s="14" t="s">
        <v>1747</v>
      </c>
      <c r="F3398" s="14">
        <v>1347780</v>
      </c>
      <c r="G3398" s="14">
        <v>1078224</v>
      </c>
      <c r="H3398" s="37">
        <f>'Calculation Sheet'!N3398</f>
        <v>1045877.28</v>
      </c>
    </row>
    <row r="3399" spans="1:8" x14ac:dyDescent="0.25">
      <c r="A3399" s="14" t="s">
        <v>1342</v>
      </c>
      <c r="B3399" s="14" t="s">
        <v>89</v>
      </c>
      <c r="C3399" s="15" t="s">
        <v>1341</v>
      </c>
      <c r="D3399" s="14" t="s">
        <v>1752</v>
      </c>
      <c r="E3399" s="14" t="s">
        <v>1747</v>
      </c>
      <c r="F3399" s="14">
        <v>79742160</v>
      </c>
      <c r="G3399" s="14">
        <v>63793728</v>
      </c>
      <c r="H3399" s="37">
        <f>'Calculation Sheet'!N3399</f>
        <v>61879916.159999996</v>
      </c>
    </row>
    <row r="3400" spans="1:8" x14ac:dyDescent="0.25">
      <c r="A3400" s="14" t="s">
        <v>1342</v>
      </c>
      <c r="B3400" s="14" t="s">
        <v>73</v>
      </c>
      <c r="C3400" s="15" t="s">
        <v>1366</v>
      </c>
      <c r="D3400" s="14" t="s">
        <v>1745</v>
      </c>
      <c r="E3400" s="14" t="s">
        <v>1747</v>
      </c>
      <c r="F3400" s="14">
        <v>14176380</v>
      </c>
      <c r="G3400" s="14">
        <v>11341104</v>
      </c>
      <c r="H3400" s="37">
        <f>'Calculation Sheet'!N3400</f>
        <v>11000870.880000001</v>
      </c>
    </row>
    <row r="3401" spans="1:8" x14ac:dyDescent="0.25">
      <c r="A3401" s="14" t="s">
        <v>1342</v>
      </c>
      <c r="B3401" s="14" t="s">
        <v>297</v>
      </c>
      <c r="C3401" s="15" t="s">
        <v>2767</v>
      </c>
      <c r="D3401" s="14" t="s">
        <v>1749</v>
      </c>
      <c r="E3401" s="14" t="s">
        <v>1746</v>
      </c>
      <c r="F3401" s="14">
        <v>132906</v>
      </c>
      <c r="G3401" s="14">
        <v>119615.4</v>
      </c>
      <c r="H3401" s="37">
        <f>'Calculation Sheet'!N3401</f>
        <v>118419.246</v>
      </c>
    </row>
    <row r="3402" spans="1:8" x14ac:dyDescent="0.25">
      <c r="A3402" s="14" t="s">
        <v>1342</v>
      </c>
      <c r="B3402" s="14">
        <v>6</v>
      </c>
      <c r="C3402" s="15" t="s">
        <v>2768</v>
      </c>
      <c r="D3402" s="14" t="s">
        <v>1745</v>
      </c>
      <c r="E3402" s="14" t="s">
        <v>1746</v>
      </c>
      <c r="F3402" s="14">
        <v>353808</v>
      </c>
      <c r="G3402" s="14">
        <v>318427.2</v>
      </c>
      <c r="H3402" s="37">
        <f>'Calculation Sheet'!N3402</f>
        <v>315242.92800000001</v>
      </c>
    </row>
    <row r="3403" spans="1:8" x14ac:dyDescent="0.25">
      <c r="A3403" s="14" t="s">
        <v>1342</v>
      </c>
      <c r="B3403" s="14">
        <v>9</v>
      </c>
      <c r="C3403" s="15" t="s">
        <v>2771</v>
      </c>
      <c r="D3403" s="14" t="s">
        <v>1749</v>
      </c>
      <c r="E3403" s="14" t="s">
        <v>1746</v>
      </c>
      <c r="F3403" s="14">
        <v>354408</v>
      </c>
      <c r="G3403" s="14">
        <v>318967.2</v>
      </c>
      <c r="H3403" s="37">
        <f>'Calculation Sheet'!N3403</f>
        <v>315777.52799999999</v>
      </c>
    </row>
    <row r="3404" spans="1:8" x14ac:dyDescent="0.25">
      <c r="A3404" s="14" t="s">
        <v>1342</v>
      </c>
      <c r="B3404" s="14">
        <v>8</v>
      </c>
      <c r="C3404" s="15" t="s">
        <v>1372</v>
      </c>
      <c r="D3404" s="14" t="s">
        <v>1749</v>
      </c>
      <c r="E3404" s="14" t="s">
        <v>1746</v>
      </c>
      <c r="F3404" s="14">
        <v>134778</v>
      </c>
      <c r="G3404" s="14">
        <v>107822.39999999999</v>
      </c>
      <c r="H3404" s="37">
        <f>'Calculation Sheet'!N3404</f>
        <v>106744.17599999999</v>
      </c>
    </row>
    <row r="3405" spans="1:8" x14ac:dyDescent="0.25">
      <c r="A3405" s="14" t="s">
        <v>1342</v>
      </c>
      <c r="B3405" s="14" t="s">
        <v>333</v>
      </c>
      <c r="C3405" s="15" t="s">
        <v>2763</v>
      </c>
      <c r="D3405" s="14" t="s">
        <v>1745</v>
      </c>
      <c r="E3405" s="14" t="s">
        <v>1746</v>
      </c>
      <c r="F3405" s="14">
        <v>2232783</v>
      </c>
      <c r="G3405" s="14">
        <v>1786226</v>
      </c>
      <c r="H3405" s="37">
        <f>'Calculation Sheet'!N3405</f>
        <v>1768363.74</v>
      </c>
    </row>
    <row r="3406" spans="1:8" x14ac:dyDescent="0.25">
      <c r="A3406" s="14" t="s">
        <v>1342</v>
      </c>
      <c r="B3406" s="14">
        <v>5</v>
      </c>
      <c r="C3406" s="15" t="s">
        <v>2772</v>
      </c>
      <c r="D3406" s="14" t="s">
        <v>1745</v>
      </c>
      <c r="E3406" s="14" t="s">
        <v>1746</v>
      </c>
      <c r="F3406" s="14">
        <v>6977439</v>
      </c>
      <c r="G3406" s="14">
        <v>6279695</v>
      </c>
      <c r="H3406" s="37">
        <f>'Calculation Sheet'!N3406</f>
        <v>6216898.0499999998</v>
      </c>
    </row>
    <row r="3407" spans="1:8" x14ac:dyDescent="0.25">
      <c r="A3407" s="14" t="s">
        <v>1342</v>
      </c>
      <c r="B3407" s="14">
        <v>1</v>
      </c>
      <c r="C3407" s="15" t="s">
        <v>2770</v>
      </c>
      <c r="D3407" s="14" t="s">
        <v>1745</v>
      </c>
      <c r="E3407" s="14" t="s">
        <v>1746</v>
      </c>
      <c r="F3407" s="14">
        <v>566055</v>
      </c>
      <c r="G3407" s="14">
        <v>452844</v>
      </c>
      <c r="H3407" s="37">
        <f>'Calculation Sheet'!N3407</f>
        <v>448315.56</v>
      </c>
    </row>
    <row r="3408" spans="1:8" x14ac:dyDescent="0.25">
      <c r="A3408" s="14" t="s">
        <v>1342</v>
      </c>
      <c r="B3408" s="14">
        <v>7</v>
      </c>
      <c r="C3408" s="15" t="s">
        <v>2762</v>
      </c>
      <c r="D3408" s="14" t="s">
        <v>1752</v>
      </c>
      <c r="E3408" s="14" t="s">
        <v>1747</v>
      </c>
      <c r="F3408" s="14">
        <v>2658060</v>
      </c>
      <c r="G3408" s="14">
        <v>2392254</v>
      </c>
      <c r="H3408" s="37">
        <f>'Calculation Sheet'!N3408</f>
        <v>2320486.38</v>
      </c>
    </row>
    <row r="3409" spans="1:8" x14ac:dyDescent="0.25">
      <c r="A3409" s="14" t="s">
        <v>1342</v>
      </c>
      <c r="B3409" s="14" t="s">
        <v>120</v>
      </c>
      <c r="C3409" s="15" t="s">
        <v>2766</v>
      </c>
      <c r="D3409" s="14" t="s">
        <v>1745</v>
      </c>
      <c r="E3409" s="14" t="s">
        <v>1747</v>
      </c>
      <c r="F3409" s="14">
        <v>3898500</v>
      </c>
      <c r="G3409" s="14">
        <v>3118800</v>
      </c>
      <c r="H3409" s="37">
        <f>'Calculation Sheet'!N3409</f>
        <v>3025236</v>
      </c>
    </row>
    <row r="3410" spans="1:8" x14ac:dyDescent="0.25">
      <c r="A3410" s="14" t="s">
        <v>1342</v>
      </c>
      <c r="B3410" s="14" t="s">
        <v>113</v>
      </c>
      <c r="C3410" s="15" t="s">
        <v>1360</v>
      </c>
      <c r="D3410" s="14" t="s">
        <v>1749</v>
      </c>
      <c r="E3410" s="14" t="s">
        <v>1746</v>
      </c>
      <c r="F3410" s="14">
        <v>974676</v>
      </c>
      <c r="G3410" s="14">
        <v>779740.8</v>
      </c>
      <c r="H3410" s="37">
        <f>'Calculation Sheet'!N3410</f>
        <v>771943.39199999999</v>
      </c>
    </row>
    <row r="3411" spans="1:8" x14ac:dyDescent="0.25">
      <c r="A3411" s="14" t="s">
        <v>1342</v>
      </c>
      <c r="B3411" s="14">
        <v>8</v>
      </c>
      <c r="C3411" s="15" t="s">
        <v>1372</v>
      </c>
      <c r="D3411" s="14" t="s">
        <v>1752</v>
      </c>
      <c r="E3411" s="14" t="s">
        <v>1747</v>
      </c>
      <c r="F3411" s="14">
        <v>4043340</v>
      </c>
      <c r="G3411" s="14">
        <v>3234672</v>
      </c>
      <c r="H3411" s="37">
        <f>'Calculation Sheet'!N3411</f>
        <v>3137631.84</v>
      </c>
    </row>
    <row r="3412" spans="1:8" x14ac:dyDescent="0.25">
      <c r="A3412" s="14" t="s">
        <v>1342</v>
      </c>
      <c r="B3412" s="14">
        <v>9</v>
      </c>
      <c r="C3412" s="15" t="s">
        <v>2771</v>
      </c>
      <c r="D3412" s="14" t="s">
        <v>1752</v>
      </c>
      <c r="E3412" s="14" t="s">
        <v>1753</v>
      </c>
      <c r="F3412" s="14">
        <v>10632240</v>
      </c>
      <c r="G3412" s="14">
        <v>9569016</v>
      </c>
      <c r="H3412" s="37">
        <f>'Calculation Sheet'!N3412</f>
        <v>9281945.5199999996</v>
      </c>
    </row>
    <row r="3413" spans="1:8" x14ac:dyDescent="0.25">
      <c r="A3413" s="14" t="s">
        <v>1342</v>
      </c>
      <c r="B3413" s="14" t="s">
        <v>73</v>
      </c>
      <c r="C3413" s="15" t="s">
        <v>1366</v>
      </c>
      <c r="D3413" s="14" t="s">
        <v>1745</v>
      </c>
      <c r="E3413" s="14" t="s">
        <v>1746</v>
      </c>
      <c r="F3413" s="14">
        <v>14885199</v>
      </c>
      <c r="G3413" s="14">
        <v>11908159</v>
      </c>
      <c r="H3413" s="37">
        <f>'Calculation Sheet'!N3413</f>
        <v>11789077.41</v>
      </c>
    </row>
    <row r="3414" spans="1:8" x14ac:dyDescent="0.25">
      <c r="A3414" s="14" t="s">
        <v>1342</v>
      </c>
      <c r="B3414" s="14" t="s">
        <v>258</v>
      </c>
      <c r="C3414" s="15" t="s">
        <v>2769</v>
      </c>
      <c r="D3414" s="14" t="s">
        <v>1749</v>
      </c>
      <c r="E3414" s="14" t="s">
        <v>1746</v>
      </c>
      <c r="F3414" s="14">
        <v>509478</v>
      </c>
      <c r="G3414" s="14">
        <v>458530.2</v>
      </c>
      <c r="H3414" s="37">
        <f>'Calculation Sheet'!N3414</f>
        <v>453944.89799999999</v>
      </c>
    </row>
    <row r="3415" spans="1:8" x14ac:dyDescent="0.25">
      <c r="A3415" s="14" t="s">
        <v>1342</v>
      </c>
      <c r="B3415" s="14" t="s">
        <v>333</v>
      </c>
      <c r="C3415" s="15" t="s">
        <v>2763</v>
      </c>
      <c r="D3415" s="14" t="s">
        <v>1752</v>
      </c>
      <c r="E3415" s="14" t="s">
        <v>1747</v>
      </c>
      <c r="F3415" s="14">
        <v>6379380</v>
      </c>
      <c r="G3415" s="14">
        <v>5103504</v>
      </c>
      <c r="H3415" s="37">
        <f>'Calculation Sheet'!N3415</f>
        <v>4950398.88</v>
      </c>
    </row>
    <row r="3416" spans="1:8" x14ac:dyDescent="0.25">
      <c r="A3416" s="14" t="s">
        <v>1342</v>
      </c>
      <c r="B3416" s="14" t="s">
        <v>297</v>
      </c>
      <c r="C3416" s="15" t="s">
        <v>2767</v>
      </c>
      <c r="D3416" s="14" t="s">
        <v>1745</v>
      </c>
      <c r="E3416" s="14" t="s">
        <v>1746</v>
      </c>
      <c r="F3416" s="14">
        <v>1395513</v>
      </c>
      <c r="G3416" s="14">
        <v>1255962</v>
      </c>
      <c r="H3416" s="37">
        <f>'Calculation Sheet'!N3416</f>
        <v>1243402.3799999999</v>
      </c>
    </row>
    <row r="3417" spans="1:8" x14ac:dyDescent="0.25">
      <c r="A3417" s="14" t="s">
        <v>1342</v>
      </c>
      <c r="B3417" s="14">
        <v>7</v>
      </c>
      <c r="C3417" s="15" t="s">
        <v>2762</v>
      </c>
      <c r="D3417" s="14" t="s">
        <v>1749</v>
      </c>
      <c r="E3417" s="14" t="s">
        <v>1746</v>
      </c>
      <c r="F3417" s="14">
        <v>88602</v>
      </c>
      <c r="G3417" s="14">
        <v>79741.8</v>
      </c>
      <c r="H3417" s="37">
        <f>'Calculation Sheet'!N3417</f>
        <v>78944.381999999998</v>
      </c>
    </row>
    <row r="3418" spans="1:8" x14ac:dyDescent="0.25">
      <c r="A3418" s="14" t="s">
        <v>1342</v>
      </c>
      <c r="B3418" s="14">
        <v>6</v>
      </c>
      <c r="C3418" s="15" t="s">
        <v>2768</v>
      </c>
      <c r="D3418" s="14" t="s">
        <v>1745</v>
      </c>
      <c r="E3418" s="14" t="s">
        <v>1747</v>
      </c>
      <c r="F3418" s="14">
        <v>336960</v>
      </c>
      <c r="G3418" s="14">
        <v>303264</v>
      </c>
      <c r="H3418" s="37">
        <f>'Calculation Sheet'!N3418</f>
        <v>294166.08</v>
      </c>
    </row>
    <row r="3419" spans="1:8" x14ac:dyDescent="0.25">
      <c r="A3419" s="14" t="s">
        <v>1342</v>
      </c>
      <c r="B3419" s="14" t="s">
        <v>24</v>
      </c>
      <c r="C3419" s="15" t="s">
        <v>2760</v>
      </c>
      <c r="D3419" s="14" t="s">
        <v>1745</v>
      </c>
      <c r="E3419" s="14" t="s">
        <v>1747</v>
      </c>
      <c r="F3419" s="14">
        <v>10632300</v>
      </c>
      <c r="G3419" s="14">
        <v>8505840</v>
      </c>
      <c r="H3419" s="37">
        <f>'Calculation Sheet'!N3419</f>
        <v>8250664.7999999998</v>
      </c>
    </row>
    <row r="3420" spans="1:8" x14ac:dyDescent="0.25">
      <c r="A3420" s="14" t="s">
        <v>1342</v>
      </c>
      <c r="B3420" s="14" t="s">
        <v>307</v>
      </c>
      <c r="C3420" s="15" t="s">
        <v>1378</v>
      </c>
      <c r="D3420" s="14" t="s">
        <v>1752</v>
      </c>
      <c r="E3420" s="14" t="s">
        <v>1747</v>
      </c>
      <c r="F3420" s="14">
        <v>61137180</v>
      </c>
      <c r="G3420" s="14">
        <v>48909744</v>
      </c>
      <c r="H3420" s="37">
        <f>'Calculation Sheet'!N3420</f>
        <v>47442451.68</v>
      </c>
    </row>
    <row r="3421" spans="1:8" x14ac:dyDescent="0.25">
      <c r="A3421" s="14" t="s">
        <v>1392</v>
      </c>
      <c r="B3421" s="14">
        <v>1</v>
      </c>
      <c r="C3421" s="15" t="s">
        <v>1391</v>
      </c>
      <c r="D3421" s="14" t="s">
        <v>1745</v>
      </c>
      <c r="E3421" s="14" t="s">
        <v>1746</v>
      </c>
      <c r="F3421" s="14">
        <v>35658</v>
      </c>
      <c r="G3421" s="14">
        <v>28526.400000000001</v>
      </c>
      <c r="H3421" s="37">
        <f>'Calculation Sheet'!N3421</f>
        <v>28241.136000000002</v>
      </c>
    </row>
    <row r="3422" spans="1:8" x14ac:dyDescent="0.25">
      <c r="A3422" s="14" t="s">
        <v>1392</v>
      </c>
      <c r="B3422" s="14">
        <v>1</v>
      </c>
      <c r="C3422" s="15" t="s">
        <v>1391</v>
      </c>
      <c r="D3422" s="14" t="s">
        <v>1749</v>
      </c>
      <c r="E3422" s="14" t="s">
        <v>1746</v>
      </c>
      <c r="F3422" s="14">
        <v>3396</v>
      </c>
      <c r="G3422" s="14">
        <v>2716.8</v>
      </c>
      <c r="H3422" s="37">
        <f>'Calculation Sheet'!N3422</f>
        <v>2689.6320000000001</v>
      </c>
    </row>
    <row r="3423" spans="1:8" x14ac:dyDescent="0.25">
      <c r="A3423" s="14" t="s">
        <v>1392</v>
      </c>
      <c r="B3423" s="14">
        <v>1</v>
      </c>
      <c r="C3423" s="15" t="s">
        <v>1391</v>
      </c>
      <c r="D3423" s="14" t="s">
        <v>1745</v>
      </c>
      <c r="E3423" s="14" t="s">
        <v>1747</v>
      </c>
      <c r="F3423" s="14">
        <v>33960</v>
      </c>
      <c r="G3423" s="14">
        <v>27168</v>
      </c>
      <c r="H3423" s="37">
        <f>'Calculation Sheet'!N3423</f>
        <v>26352.959999999999</v>
      </c>
    </row>
    <row r="3424" spans="1:8" x14ac:dyDescent="0.25">
      <c r="A3424" s="14" t="s">
        <v>1396</v>
      </c>
      <c r="B3424" s="14">
        <v>22</v>
      </c>
      <c r="C3424" s="15" t="s">
        <v>1395</v>
      </c>
      <c r="D3424" s="14" t="s">
        <v>1749</v>
      </c>
      <c r="E3424" s="14" t="s">
        <v>1746</v>
      </c>
      <c r="F3424" s="14">
        <v>996</v>
      </c>
      <c r="G3424" s="14">
        <v>796.8</v>
      </c>
      <c r="H3424" s="37">
        <f>'Calculation Sheet'!N3424</f>
        <v>788.83199999999999</v>
      </c>
    </row>
    <row r="3425" spans="1:8" x14ac:dyDescent="0.25">
      <c r="A3425" s="14" t="s">
        <v>1396</v>
      </c>
      <c r="B3425" s="14" t="s">
        <v>112</v>
      </c>
      <c r="C3425" s="15" t="s">
        <v>2773</v>
      </c>
      <c r="D3425" s="14" t="s">
        <v>1745</v>
      </c>
      <c r="E3425" s="14" t="s">
        <v>1746</v>
      </c>
      <c r="F3425" s="14">
        <v>2079</v>
      </c>
      <c r="G3425" s="14">
        <v>1663.2</v>
      </c>
      <c r="H3425" s="37">
        <f>'Calculation Sheet'!N3425</f>
        <v>1646.568</v>
      </c>
    </row>
    <row r="3426" spans="1:8" x14ac:dyDescent="0.25">
      <c r="A3426" s="14" t="s">
        <v>1396</v>
      </c>
      <c r="B3426" s="14">
        <v>22</v>
      </c>
      <c r="C3426" s="15" t="s">
        <v>1395</v>
      </c>
      <c r="D3426" s="14" t="s">
        <v>1745</v>
      </c>
      <c r="E3426" s="14" t="s">
        <v>1747</v>
      </c>
      <c r="F3426" s="14">
        <v>9960</v>
      </c>
      <c r="G3426" s="14">
        <v>7968</v>
      </c>
      <c r="H3426" s="37">
        <f>'Calculation Sheet'!N3426</f>
        <v>7728.96</v>
      </c>
    </row>
    <row r="3427" spans="1:8" x14ac:dyDescent="0.25">
      <c r="A3427" s="14" t="s">
        <v>1396</v>
      </c>
      <c r="B3427" s="14" t="s">
        <v>112</v>
      </c>
      <c r="C3427" s="15" t="s">
        <v>2773</v>
      </c>
      <c r="D3427" s="14" t="s">
        <v>1745</v>
      </c>
      <c r="E3427" s="14" t="s">
        <v>1747</v>
      </c>
      <c r="F3427" s="14">
        <v>1980</v>
      </c>
      <c r="G3427" s="14">
        <v>1584</v>
      </c>
      <c r="H3427" s="37">
        <f>'Calculation Sheet'!N3427</f>
        <v>1536.48</v>
      </c>
    </row>
    <row r="3428" spans="1:8" x14ac:dyDescent="0.25">
      <c r="A3428" s="14" t="s">
        <v>1396</v>
      </c>
      <c r="B3428" s="14">
        <v>21</v>
      </c>
      <c r="C3428" s="15" t="s">
        <v>2774</v>
      </c>
      <c r="D3428" s="14" t="s">
        <v>1752</v>
      </c>
      <c r="E3428" s="14" t="s">
        <v>1753</v>
      </c>
      <c r="F3428" s="14">
        <v>12060</v>
      </c>
      <c r="G3428" s="14">
        <v>10854</v>
      </c>
      <c r="H3428" s="37">
        <f>'Calculation Sheet'!N3428</f>
        <v>10528.38</v>
      </c>
    </row>
    <row r="3429" spans="1:8" x14ac:dyDescent="0.25">
      <c r="A3429" s="14" t="s">
        <v>1396</v>
      </c>
      <c r="B3429" s="14">
        <v>21</v>
      </c>
      <c r="C3429" s="15" t="s">
        <v>2774</v>
      </c>
      <c r="D3429" s="14" t="s">
        <v>1749</v>
      </c>
      <c r="E3429" s="14" t="s">
        <v>1746</v>
      </c>
      <c r="F3429" s="14">
        <v>402</v>
      </c>
      <c r="G3429" s="14">
        <v>361.8</v>
      </c>
      <c r="H3429" s="37">
        <f>'Calculation Sheet'!N3429</f>
        <v>358.18200000000002</v>
      </c>
    </row>
    <row r="3430" spans="1:8" x14ac:dyDescent="0.25">
      <c r="A3430" s="14" t="s">
        <v>1396</v>
      </c>
      <c r="B3430" s="14">
        <v>22</v>
      </c>
      <c r="C3430" s="15" t="s">
        <v>1395</v>
      </c>
      <c r="D3430" s="14" t="s">
        <v>1752</v>
      </c>
      <c r="E3430" s="14" t="s">
        <v>1753</v>
      </c>
      <c r="F3430" s="14">
        <v>29880</v>
      </c>
      <c r="G3430" s="14">
        <v>23904</v>
      </c>
      <c r="H3430" s="37">
        <f>'Calculation Sheet'!N3430</f>
        <v>23186.880000000001</v>
      </c>
    </row>
    <row r="3431" spans="1:8" x14ac:dyDescent="0.25">
      <c r="A3431" s="14" t="s">
        <v>1396</v>
      </c>
      <c r="B3431" s="14">
        <v>21</v>
      </c>
      <c r="C3431" s="15" t="s">
        <v>2774</v>
      </c>
      <c r="D3431" s="14" t="s">
        <v>1745</v>
      </c>
      <c r="E3431" s="14" t="s">
        <v>1746</v>
      </c>
      <c r="F3431" s="14">
        <v>4221</v>
      </c>
      <c r="G3431" s="14">
        <v>3798.96</v>
      </c>
      <c r="H3431" s="37">
        <f>'Calculation Sheet'!N3431</f>
        <v>3760.9704000000002</v>
      </c>
    </row>
    <row r="3432" spans="1:8" x14ac:dyDescent="0.25">
      <c r="A3432" s="14" t="s">
        <v>1396</v>
      </c>
      <c r="B3432" s="14">
        <v>22</v>
      </c>
      <c r="C3432" s="15" t="s">
        <v>1395</v>
      </c>
      <c r="D3432" s="14" t="s">
        <v>1745</v>
      </c>
      <c r="E3432" s="14" t="s">
        <v>1746</v>
      </c>
      <c r="F3432" s="14">
        <v>10458</v>
      </c>
      <c r="G3432" s="14">
        <v>8366.4</v>
      </c>
      <c r="H3432" s="37">
        <f>'Calculation Sheet'!N3432</f>
        <v>8282.735999999999</v>
      </c>
    </row>
    <row r="3433" spans="1:8" x14ac:dyDescent="0.25">
      <c r="A3433" s="14" t="s">
        <v>1396</v>
      </c>
      <c r="B3433" s="14">
        <v>22</v>
      </c>
      <c r="C3433" s="15" t="s">
        <v>1395</v>
      </c>
      <c r="D3433" s="14" t="s">
        <v>1752</v>
      </c>
      <c r="E3433" s="14" t="s">
        <v>1747</v>
      </c>
      <c r="F3433" s="14">
        <v>29880</v>
      </c>
      <c r="G3433" s="14">
        <v>23904</v>
      </c>
      <c r="H3433" s="37">
        <f>'Calculation Sheet'!N3433</f>
        <v>23186.880000000001</v>
      </c>
    </row>
    <row r="3434" spans="1:8" x14ac:dyDescent="0.25">
      <c r="A3434" s="14" t="s">
        <v>1396</v>
      </c>
      <c r="B3434" s="14">
        <v>21</v>
      </c>
      <c r="C3434" s="15" t="s">
        <v>2774</v>
      </c>
      <c r="D3434" s="14" t="s">
        <v>1745</v>
      </c>
      <c r="E3434" s="14" t="s">
        <v>1747</v>
      </c>
      <c r="F3434" s="14">
        <v>4020</v>
      </c>
      <c r="G3434" s="14">
        <v>3618</v>
      </c>
      <c r="H3434" s="37">
        <f>'Calculation Sheet'!N3434</f>
        <v>3509.46</v>
      </c>
    </row>
    <row r="3435" spans="1:8" x14ac:dyDescent="0.25">
      <c r="A3435" s="14" t="s">
        <v>1396</v>
      </c>
      <c r="B3435" s="14" t="s">
        <v>112</v>
      </c>
      <c r="C3435" s="15" t="s">
        <v>2773</v>
      </c>
      <c r="D3435" s="14" t="s">
        <v>1749</v>
      </c>
      <c r="E3435" s="14" t="s">
        <v>1746</v>
      </c>
      <c r="F3435" s="14">
        <v>198</v>
      </c>
      <c r="G3435" s="14">
        <v>158.4</v>
      </c>
      <c r="H3435" s="37">
        <f>'Calculation Sheet'!N3435</f>
        <v>156.816</v>
      </c>
    </row>
    <row r="3436" spans="1:8" x14ac:dyDescent="0.25">
      <c r="A3436" s="14" t="s">
        <v>1396</v>
      </c>
      <c r="B3436" s="14" t="s">
        <v>183</v>
      </c>
      <c r="C3436" s="15" t="s">
        <v>2775</v>
      </c>
      <c r="D3436" s="14" t="s">
        <v>1749</v>
      </c>
      <c r="E3436" s="14" t="s">
        <v>1746</v>
      </c>
      <c r="F3436" s="14">
        <v>150</v>
      </c>
      <c r="G3436" s="14">
        <v>120</v>
      </c>
      <c r="H3436" s="37">
        <f>'Calculation Sheet'!N3436</f>
        <v>118.8</v>
      </c>
    </row>
    <row r="3437" spans="1:8" x14ac:dyDescent="0.25">
      <c r="A3437" s="14" t="s">
        <v>1396</v>
      </c>
      <c r="B3437" s="14" t="s">
        <v>183</v>
      </c>
      <c r="C3437" s="15" t="s">
        <v>2775</v>
      </c>
      <c r="D3437" s="14" t="s">
        <v>1745</v>
      </c>
      <c r="E3437" s="14" t="s">
        <v>1747</v>
      </c>
      <c r="F3437" s="14">
        <v>1500</v>
      </c>
      <c r="G3437" s="14">
        <v>1200</v>
      </c>
      <c r="H3437" s="37">
        <f>'Calculation Sheet'!N3437</f>
        <v>1164</v>
      </c>
    </row>
    <row r="3438" spans="1:8" x14ac:dyDescent="0.25">
      <c r="A3438" s="14" t="s">
        <v>1396</v>
      </c>
      <c r="B3438" s="14" t="s">
        <v>183</v>
      </c>
      <c r="C3438" s="15" t="s">
        <v>2775</v>
      </c>
      <c r="D3438" s="14" t="s">
        <v>1745</v>
      </c>
      <c r="E3438" s="14" t="s">
        <v>1746</v>
      </c>
      <c r="F3438" s="14">
        <v>1575</v>
      </c>
      <c r="G3438" s="14">
        <v>1260</v>
      </c>
      <c r="H3438" s="37">
        <f>'Calculation Sheet'!N3438</f>
        <v>1247.4000000000001</v>
      </c>
    </row>
    <row r="3439" spans="1:8" x14ac:dyDescent="0.25">
      <c r="A3439" s="14" t="s">
        <v>1396</v>
      </c>
      <c r="B3439" s="14">
        <v>21</v>
      </c>
      <c r="C3439" s="15" t="s">
        <v>2774</v>
      </c>
      <c r="D3439" s="14" t="s">
        <v>1752</v>
      </c>
      <c r="E3439" s="14" t="s">
        <v>1747</v>
      </c>
      <c r="F3439" s="14">
        <v>12060</v>
      </c>
      <c r="G3439" s="14">
        <v>10854</v>
      </c>
      <c r="H3439" s="37">
        <f>'Calculation Sheet'!N3439</f>
        <v>10528.38</v>
      </c>
    </row>
    <row r="3440" spans="1:8" x14ac:dyDescent="0.25">
      <c r="A3440" s="14" t="s">
        <v>2776</v>
      </c>
      <c r="B3440" s="14" t="s">
        <v>73</v>
      </c>
      <c r="C3440" s="15" t="s">
        <v>2777</v>
      </c>
      <c r="D3440" s="14" t="s">
        <v>1745</v>
      </c>
      <c r="E3440" s="14" t="s">
        <v>1747</v>
      </c>
      <c r="F3440" s="14">
        <v>24960</v>
      </c>
      <c r="G3440" s="14">
        <v>19968</v>
      </c>
      <c r="H3440" s="37">
        <f>'Calculation Sheet'!N3440</f>
        <v>19968</v>
      </c>
    </row>
    <row r="3441" spans="1:8" x14ac:dyDescent="0.25">
      <c r="A3441" s="14" t="s">
        <v>2776</v>
      </c>
      <c r="B3441" s="14" t="s">
        <v>118</v>
      </c>
      <c r="C3441" s="15" t="s">
        <v>2778</v>
      </c>
      <c r="D3441" s="14" t="s">
        <v>1749</v>
      </c>
      <c r="E3441" s="14" t="s">
        <v>1746</v>
      </c>
      <c r="F3441" s="14">
        <v>11982</v>
      </c>
      <c r="G3441" s="14">
        <v>10783.8</v>
      </c>
      <c r="H3441" s="37">
        <f>'Calculation Sheet'!N3441</f>
        <v>10783.8</v>
      </c>
    </row>
    <row r="3442" spans="1:8" x14ac:dyDescent="0.25">
      <c r="A3442" s="14" t="s">
        <v>2779</v>
      </c>
      <c r="B3442" s="14" t="s">
        <v>20</v>
      </c>
      <c r="C3442" s="15" t="s">
        <v>2780</v>
      </c>
      <c r="D3442" s="14" t="s">
        <v>1745</v>
      </c>
      <c r="E3442" s="14" t="s">
        <v>1747</v>
      </c>
      <c r="F3442" s="14">
        <v>7500</v>
      </c>
      <c r="G3442" s="14">
        <v>6000</v>
      </c>
      <c r="H3442" s="37">
        <f>'Calculation Sheet'!N3442</f>
        <v>6000</v>
      </c>
    </row>
    <row r="3443" spans="1:8" x14ac:dyDescent="0.25">
      <c r="A3443" s="14" t="s">
        <v>2776</v>
      </c>
      <c r="B3443" s="14">
        <v>18</v>
      </c>
      <c r="C3443" s="15" t="s">
        <v>2781</v>
      </c>
      <c r="D3443" s="14" t="s">
        <v>1745</v>
      </c>
      <c r="E3443" s="14" t="s">
        <v>1746</v>
      </c>
      <c r="F3443" s="14">
        <v>125811</v>
      </c>
      <c r="G3443" s="14">
        <v>113230</v>
      </c>
      <c r="H3443" s="37">
        <f>'Calculation Sheet'!N3443</f>
        <v>113230</v>
      </c>
    </row>
    <row r="3444" spans="1:8" x14ac:dyDescent="0.25">
      <c r="A3444" s="14" t="s">
        <v>2776</v>
      </c>
      <c r="B3444" s="14" t="s">
        <v>243</v>
      </c>
      <c r="C3444" s="15" t="s">
        <v>2782</v>
      </c>
      <c r="D3444" s="14" t="s">
        <v>1745</v>
      </c>
      <c r="E3444" s="14" t="s">
        <v>1746</v>
      </c>
      <c r="F3444" s="14">
        <v>10458</v>
      </c>
      <c r="G3444" s="14">
        <v>9412.2000000000007</v>
      </c>
      <c r="H3444" s="37">
        <f>'Calculation Sheet'!N3444</f>
        <v>9412.2000000000007</v>
      </c>
    </row>
    <row r="3445" spans="1:8" x14ac:dyDescent="0.25">
      <c r="A3445" s="14" t="s">
        <v>2776</v>
      </c>
      <c r="B3445" s="14">
        <v>2</v>
      </c>
      <c r="C3445" s="15" t="s">
        <v>2783</v>
      </c>
      <c r="D3445" s="14" t="s">
        <v>1745</v>
      </c>
      <c r="E3445" s="14" t="s">
        <v>1746</v>
      </c>
      <c r="F3445" s="14">
        <v>4221</v>
      </c>
      <c r="G3445" s="14">
        <v>3376.8</v>
      </c>
      <c r="H3445" s="37">
        <f>'Calculation Sheet'!N3445</f>
        <v>3376.8</v>
      </c>
    </row>
    <row r="3446" spans="1:8" x14ac:dyDescent="0.25">
      <c r="A3446" s="14" t="s">
        <v>2776</v>
      </c>
      <c r="B3446" s="14" t="s">
        <v>102</v>
      </c>
      <c r="C3446" s="15" t="s">
        <v>2784</v>
      </c>
      <c r="D3446" s="14" t="s">
        <v>1745</v>
      </c>
      <c r="E3446" s="14" t="s">
        <v>1747</v>
      </c>
      <c r="F3446" s="14">
        <v>7500</v>
      </c>
      <c r="G3446" s="14">
        <v>6000</v>
      </c>
      <c r="H3446" s="37">
        <f>'Calculation Sheet'!N3446</f>
        <v>6000</v>
      </c>
    </row>
    <row r="3447" spans="1:8" x14ac:dyDescent="0.25">
      <c r="A3447" s="14" t="s">
        <v>2779</v>
      </c>
      <c r="B3447" s="14" t="s">
        <v>89</v>
      </c>
      <c r="C3447" s="15" t="s">
        <v>2785</v>
      </c>
      <c r="D3447" s="14" t="s">
        <v>1745</v>
      </c>
      <c r="E3447" s="14" t="s">
        <v>1747</v>
      </c>
      <c r="F3447" s="14">
        <v>9960</v>
      </c>
      <c r="G3447" s="14">
        <v>8964</v>
      </c>
      <c r="H3447" s="37">
        <f>'Calculation Sheet'!N3447</f>
        <v>8964</v>
      </c>
    </row>
    <row r="3448" spans="1:8" x14ac:dyDescent="0.25">
      <c r="A3448" s="14" t="s">
        <v>2776</v>
      </c>
      <c r="B3448" s="14">
        <v>16</v>
      </c>
      <c r="C3448" s="15" t="s">
        <v>2786</v>
      </c>
      <c r="D3448" s="14" t="s">
        <v>1745</v>
      </c>
      <c r="E3448" s="14" t="s">
        <v>1747</v>
      </c>
      <c r="F3448" s="14">
        <v>9960</v>
      </c>
      <c r="G3448" s="14">
        <v>8964</v>
      </c>
      <c r="H3448" s="37">
        <f>'Calculation Sheet'!N3448</f>
        <v>8964</v>
      </c>
    </row>
    <row r="3449" spans="1:8" x14ac:dyDescent="0.25">
      <c r="A3449" s="14" t="s">
        <v>2776</v>
      </c>
      <c r="B3449" s="14" t="s">
        <v>73</v>
      </c>
      <c r="C3449" s="15" t="s">
        <v>2777</v>
      </c>
      <c r="D3449" s="14" t="s">
        <v>1749</v>
      </c>
      <c r="E3449" s="14" t="s">
        <v>1746</v>
      </c>
      <c r="F3449" s="14">
        <v>2496</v>
      </c>
      <c r="G3449" s="14">
        <v>1996.8</v>
      </c>
      <c r="H3449" s="37">
        <f>'Calculation Sheet'!N3449</f>
        <v>1996.8</v>
      </c>
    </row>
    <row r="3450" spans="1:8" x14ac:dyDescent="0.25">
      <c r="A3450" s="14" t="s">
        <v>2776</v>
      </c>
      <c r="B3450" s="14" t="s">
        <v>36</v>
      </c>
      <c r="C3450" s="15" t="s">
        <v>2787</v>
      </c>
      <c r="D3450" s="14" t="s">
        <v>1745</v>
      </c>
      <c r="E3450" s="14" t="s">
        <v>1747</v>
      </c>
      <c r="F3450" s="14">
        <v>1620</v>
      </c>
      <c r="G3450" s="14">
        <v>1458</v>
      </c>
      <c r="H3450" s="37">
        <f>'Calculation Sheet'!N3450</f>
        <v>1458</v>
      </c>
    </row>
    <row r="3451" spans="1:8" x14ac:dyDescent="0.25">
      <c r="A3451" s="14" t="s">
        <v>2776</v>
      </c>
      <c r="B3451" s="14">
        <v>18</v>
      </c>
      <c r="C3451" s="15" t="s">
        <v>2781</v>
      </c>
      <c r="D3451" s="14" t="s">
        <v>1745</v>
      </c>
      <c r="E3451" s="14" t="s">
        <v>1747</v>
      </c>
      <c r="F3451" s="14">
        <v>119820</v>
      </c>
      <c r="G3451" s="14">
        <v>107838</v>
      </c>
      <c r="H3451" s="37">
        <f>'Calculation Sheet'!N3451</f>
        <v>107838</v>
      </c>
    </row>
    <row r="3452" spans="1:8" x14ac:dyDescent="0.25">
      <c r="A3452" s="14" t="s">
        <v>2776</v>
      </c>
      <c r="B3452" s="14" t="s">
        <v>195</v>
      </c>
      <c r="C3452" s="15" t="s">
        <v>2788</v>
      </c>
      <c r="D3452" s="14" t="s">
        <v>1745</v>
      </c>
      <c r="E3452" s="14" t="s">
        <v>1747</v>
      </c>
      <c r="F3452" s="14">
        <v>7500</v>
      </c>
      <c r="G3452" s="14">
        <v>6000</v>
      </c>
      <c r="H3452" s="37">
        <f>'Calculation Sheet'!N3452</f>
        <v>6000</v>
      </c>
    </row>
    <row r="3453" spans="1:8" x14ac:dyDescent="0.25">
      <c r="A3453" s="14" t="s">
        <v>2779</v>
      </c>
      <c r="B3453" s="14" t="s">
        <v>50</v>
      </c>
      <c r="C3453" s="15" t="s">
        <v>2789</v>
      </c>
      <c r="D3453" s="14" t="s">
        <v>1745</v>
      </c>
      <c r="E3453" s="14" t="s">
        <v>1746</v>
      </c>
      <c r="F3453" s="14">
        <v>125811</v>
      </c>
      <c r="G3453" s="14">
        <v>113230</v>
      </c>
      <c r="H3453" s="37">
        <f>'Calculation Sheet'!N3453</f>
        <v>113230</v>
      </c>
    </row>
    <row r="3454" spans="1:8" x14ac:dyDescent="0.25">
      <c r="A3454" s="14" t="s">
        <v>2776</v>
      </c>
      <c r="B3454" s="14" t="s">
        <v>34</v>
      </c>
      <c r="C3454" s="15" t="s">
        <v>2790</v>
      </c>
      <c r="D3454" s="14" t="s">
        <v>1745</v>
      </c>
      <c r="E3454" s="14" t="s">
        <v>1746</v>
      </c>
      <c r="F3454" s="14">
        <v>314496</v>
      </c>
      <c r="G3454" s="14">
        <v>251596.79999999999</v>
      </c>
      <c r="H3454" s="37">
        <f>'Calculation Sheet'!N3454</f>
        <v>251596.79999999999</v>
      </c>
    </row>
    <row r="3455" spans="1:8" x14ac:dyDescent="0.25">
      <c r="A3455" s="14" t="s">
        <v>2776</v>
      </c>
      <c r="B3455" s="14">
        <v>18</v>
      </c>
      <c r="C3455" s="15" t="s">
        <v>2781</v>
      </c>
      <c r="D3455" s="14" t="s">
        <v>1749</v>
      </c>
      <c r="E3455" s="14" t="s">
        <v>1746</v>
      </c>
      <c r="F3455" s="14">
        <v>11982</v>
      </c>
      <c r="G3455" s="14">
        <v>10783.8</v>
      </c>
      <c r="H3455" s="37">
        <f>'Calculation Sheet'!N3455</f>
        <v>10783.8</v>
      </c>
    </row>
    <row r="3456" spans="1:8" x14ac:dyDescent="0.25">
      <c r="A3456" s="14" t="s">
        <v>2776</v>
      </c>
      <c r="B3456" s="14" t="s">
        <v>650</v>
      </c>
      <c r="C3456" s="15" t="s">
        <v>2791</v>
      </c>
      <c r="D3456" s="14" t="s">
        <v>1745</v>
      </c>
      <c r="E3456" s="14" t="s">
        <v>1747</v>
      </c>
      <c r="F3456" s="14">
        <v>599.04</v>
      </c>
      <c r="G3456" s="14">
        <v>479.23</v>
      </c>
      <c r="H3456" s="37">
        <f>'Calculation Sheet'!N3456</f>
        <v>479.23</v>
      </c>
    </row>
    <row r="3457" spans="1:8" x14ac:dyDescent="0.25">
      <c r="A3457" s="14" t="s">
        <v>2776</v>
      </c>
      <c r="B3457" s="14" t="s">
        <v>73</v>
      </c>
      <c r="C3457" s="15" t="s">
        <v>2777</v>
      </c>
      <c r="D3457" s="14" t="s">
        <v>1745</v>
      </c>
      <c r="E3457" s="14" t="s">
        <v>1746</v>
      </c>
      <c r="F3457" s="14">
        <v>26208</v>
      </c>
      <c r="G3457" s="14">
        <v>20966.400000000001</v>
      </c>
      <c r="H3457" s="37">
        <f>'Calculation Sheet'!N3457</f>
        <v>20966.400000000001</v>
      </c>
    </row>
    <row r="3458" spans="1:8" x14ac:dyDescent="0.25">
      <c r="A3458" s="14" t="s">
        <v>2776</v>
      </c>
      <c r="B3458" s="14" t="s">
        <v>29</v>
      </c>
      <c r="C3458" s="15" t="s">
        <v>2792</v>
      </c>
      <c r="D3458" s="14" t="s">
        <v>1745</v>
      </c>
      <c r="E3458" s="14" t="s">
        <v>1747</v>
      </c>
      <c r="F3458" s="14">
        <v>798.72</v>
      </c>
      <c r="G3458" s="14">
        <v>638.98</v>
      </c>
      <c r="H3458" s="37">
        <f>'Calculation Sheet'!N3458</f>
        <v>638.98</v>
      </c>
    </row>
    <row r="3459" spans="1:8" x14ac:dyDescent="0.25">
      <c r="A3459" s="14" t="s">
        <v>2776</v>
      </c>
      <c r="B3459" s="14" t="s">
        <v>29</v>
      </c>
      <c r="C3459" s="15" t="s">
        <v>2792</v>
      </c>
      <c r="D3459" s="14" t="s">
        <v>1745</v>
      </c>
      <c r="E3459" s="14" t="s">
        <v>1746</v>
      </c>
      <c r="F3459" s="14">
        <v>838.68</v>
      </c>
      <c r="G3459" s="14">
        <v>670.92</v>
      </c>
      <c r="H3459" s="37">
        <f>'Calculation Sheet'!N3459</f>
        <v>670.92</v>
      </c>
    </row>
    <row r="3460" spans="1:8" x14ac:dyDescent="0.25">
      <c r="A3460" s="14" t="s">
        <v>2779</v>
      </c>
      <c r="B3460" s="14" t="s">
        <v>89</v>
      </c>
      <c r="C3460" s="15" t="s">
        <v>2785</v>
      </c>
      <c r="D3460" s="14" t="s">
        <v>1749</v>
      </c>
      <c r="E3460" s="14" t="s">
        <v>1746</v>
      </c>
      <c r="F3460" s="14">
        <v>996</v>
      </c>
      <c r="G3460" s="14">
        <v>896.4</v>
      </c>
      <c r="H3460" s="37">
        <f>'Calculation Sheet'!N3460</f>
        <v>896.4</v>
      </c>
    </row>
    <row r="3461" spans="1:8" x14ac:dyDescent="0.25">
      <c r="A3461" s="14" t="s">
        <v>2776</v>
      </c>
      <c r="B3461" s="14" t="s">
        <v>34</v>
      </c>
      <c r="C3461" s="15" t="s">
        <v>2790</v>
      </c>
      <c r="D3461" s="14" t="s">
        <v>1745</v>
      </c>
      <c r="E3461" s="14" t="s">
        <v>1747</v>
      </c>
      <c r="F3461" s="14">
        <v>299520</v>
      </c>
      <c r="G3461" s="14">
        <v>239616</v>
      </c>
      <c r="H3461" s="37">
        <f>'Calculation Sheet'!N3461</f>
        <v>239616</v>
      </c>
    </row>
    <row r="3462" spans="1:8" x14ac:dyDescent="0.25">
      <c r="A3462" s="14" t="s">
        <v>2779</v>
      </c>
      <c r="B3462" s="14" t="s">
        <v>20</v>
      </c>
      <c r="C3462" s="15" t="s">
        <v>2780</v>
      </c>
      <c r="D3462" s="14" t="s">
        <v>1745</v>
      </c>
      <c r="E3462" s="14" t="s">
        <v>1746</v>
      </c>
      <c r="F3462" s="14">
        <v>7875</v>
      </c>
      <c r="G3462" s="14">
        <v>6300</v>
      </c>
      <c r="H3462" s="37">
        <f>'Calculation Sheet'!N3462</f>
        <v>6300</v>
      </c>
    </row>
    <row r="3463" spans="1:8" x14ac:dyDescent="0.25">
      <c r="A3463" s="14" t="s">
        <v>2779</v>
      </c>
      <c r="B3463" s="14" t="s">
        <v>89</v>
      </c>
      <c r="C3463" s="15" t="s">
        <v>2785</v>
      </c>
      <c r="D3463" s="14" t="s">
        <v>1745</v>
      </c>
      <c r="E3463" s="14" t="s">
        <v>1746</v>
      </c>
      <c r="F3463" s="14">
        <v>10458</v>
      </c>
      <c r="G3463" s="14">
        <v>9412.2000000000007</v>
      </c>
      <c r="H3463" s="37">
        <f>'Calculation Sheet'!N3463</f>
        <v>9412.2000000000007</v>
      </c>
    </row>
    <row r="3464" spans="1:8" x14ac:dyDescent="0.25">
      <c r="A3464" s="14" t="s">
        <v>2776</v>
      </c>
      <c r="B3464" s="14" t="s">
        <v>34</v>
      </c>
      <c r="C3464" s="15" t="s">
        <v>2790</v>
      </c>
      <c r="D3464" s="14" t="s">
        <v>1749</v>
      </c>
      <c r="E3464" s="14" t="s">
        <v>1746</v>
      </c>
      <c r="F3464" s="14">
        <v>29952</v>
      </c>
      <c r="G3464" s="14">
        <v>23961.599999999999</v>
      </c>
      <c r="H3464" s="37">
        <f>'Calculation Sheet'!N3464</f>
        <v>23961.599999999999</v>
      </c>
    </row>
    <row r="3465" spans="1:8" x14ac:dyDescent="0.25">
      <c r="A3465" s="14" t="s">
        <v>2776</v>
      </c>
      <c r="B3465" s="14">
        <v>2</v>
      </c>
      <c r="C3465" s="15" t="s">
        <v>2783</v>
      </c>
      <c r="D3465" s="14" t="s">
        <v>1749</v>
      </c>
      <c r="E3465" s="14" t="s">
        <v>1746</v>
      </c>
      <c r="F3465" s="14">
        <v>402</v>
      </c>
      <c r="G3465" s="14">
        <v>321.60000000000002</v>
      </c>
      <c r="H3465" s="37">
        <f>'Calculation Sheet'!N3465</f>
        <v>321.60000000000002</v>
      </c>
    </row>
    <row r="3466" spans="1:8" x14ac:dyDescent="0.25">
      <c r="A3466" s="14" t="s">
        <v>2776</v>
      </c>
      <c r="B3466" s="14" t="s">
        <v>195</v>
      </c>
      <c r="C3466" s="15" t="s">
        <v>2788</v>
      </c>
      <c r="D3466" s="14" t="s">
        <v>1745</v>
      </c>
      <c r="E3466" s="14" t="s">
        <v>1746</v>
      </c>
      <c r="F3466" s="14">
        <v>7875</v>
      </c>
      <c r="G3466" s="14">
        <v>6300</v>
      </c>
      <c r="H3466" s="37">
        <f>'Calculation Sheet'!N3466</f>
        <v>6300</v>
      </c>
    </row>
    <row r="3467" spans="1:8" x14ac:dyDescent="0.25">
      <c r="A3467" s="14" t="s">
        <v>2779</v>
      </c>
      <c r="B3467" s="14" t="s">
        <v>50</v>
      </c>
      <c r="C3467" s="15" t="s">
        <v>2789</v>
      </c>
      <c r="D3467" s="14" t="s">
        <v>1745</v>
      </c>
      <c r="E3467" s="14" t="s">
        <v>1747</v>
      </c>
      <c r="F3467" s="14">
        <v>119820</v>
      </c>
      <c r="G3467" s="14">
        <v>107838</v>
      </c>
      <c r="H3467" s="37">
        <f>'Calculation Sheet'!N3467</f>
        <v>107838</v>
      </c>
    </row>
    <row r="3468" spans="1:8" x14ac:dyDescent="0.25">
      <c r="A3468" s="14" t="s">
        <v>2776</v>
      </c>
      <c r="B3468" s="14" t="s">
        <v>102</v>
      </c>
      <c r="C3468" s="15" t="s">
        <v>2784</v>
      </c>
      <c r="D3468" s="14" t="s">
        <v>1749</v>
      </c>
      <c r="E3468" s="14" t="s">
        <v>1746</v>
      </c>
      <c r="F3468" s="14">
        <v>750</v>
      </c>
      <c r="G3468" s="14">
        <v>600</v>
      </c>
      <c r="H3468" s="37">
        <f>'Calculation Sheet'!N3468</f>
        <v>600</v>
      </c>
    </row>
    <row r="3469" spans="1:8" x14ac:dyDescent="0.25">
      <c r="A3469" s="14" t="s">
        <v>2776</v>
      </c>
      <c r="B3469" s="14">
        <v>16</v>
      </c>
      <c r="C3469" s="15" t="s">
        <v>2786</v>
      </c>
      <c r="D3469" s="14" t="s">
        <v>1745</v>
      </c>
      <c r="E3469" s="14" t="s">
        <v>1746</v>
      </c>
      <c r="F3469" s="14">
        <v>10458</v>
      </c>
      <c r="G3469" s="14">
        <v>9412.2000000000007</v>
      </c>
      <c r="H3469" s="37">
        <f>'Calculation Sheet'!N3469</f>
        <v>9412.2000000000007</v>
      </c>
    </row>
    <row r="3470" spans="1:8" x14ac:dyDescent="0.25">
      <c r="A3470" s="14" t="s">
        <v>2776</v>
      </c>
      <c r="B3470" s="14">
        <v>15</v>
      </c>
      <c r="C3470" s="15" t="s">
        <v>2793</v>
      </c>
      <c r="D3470" s="14" t="s">
        <v>1749</v>
      </c>
      <c r="E3470" s="14" t="s">
        <v>1746</v>
      </c>
      <c r="F3470" s="14">
        <v>8988</v>
      </c>
      <c r="G3470" s="14">
        <v>7190.4</v>
      </c>
      <c r="H3470" s="37">
        <f>'Calculation Sheet'!N3470</f>
        <v>7190.4</v>
      </c>
    </row>
    <row r="3471" spans="1:8" x14ac:dyDescent="0.25">
      <c r="A3471" s="14" t="s">
        <v>2776</v>
      </c>
      <c r="B3471" s="14" t="s">
        <v>102</v>
      </c>
      <c r="C3471" s="15" t="s">
        <v>2784</v>
      </c>
      <c r="D3471" s="14" t="s">
        <v>1745</v>
      </c>
      <c r="E3471" s="14" t="s">
        <v>1746</v>
      </c>
      <c r="F3471" s="14">
        <v>7875</v>
      </c>
      <c r="G3471" s="14">
        <v>6300</v>
      </c>
      <c r="H3471" s="37">
        <f>'Calculation Sheet'!N3471</f>
        <v>6300</v>
      </c>
    </row>
    <row r="3472" spans="1:8" x14ac:dyDescent="0.25">
      <c r="A3472" s="14" t="s">
        <v>2776</v>
      </c>
      <c r="B3472" s="14" t="s">
        <v>118</v>
      </c>
      <c r="C3472" s="15" t="s">
        <v>2778</v>
      </c>
      <c r="D3472" s="14" t="s">
        <v>1745</v>
      </c>
      <c r="E3472" s="14" t="s">
        <v>1746</v>
      </c>
      <c r="F3472" s="14">
        <v>125811</v>
      </c>
      <c r="G3472" s="14">
        <v>113230</v>
      </c>
      <c r="H3472" s="37">
        <f>'Calculation Sheet'!N3472</f>
        <v>113230</v>
      </c>
    </row>
    <row r="3473" spans="1:8" x14ac:dyDescent="0.25">
      <c r="A3473" s="14" t="s">
        <v>2776</v>
      </c>
      <c r="B3473" s="14">
        <v>16</v>
      </c>
      <c r="C3473" s="15" t="s">
        <v>2786</v>
      </c>
      <c r="D3473" s="14" t="s">
        <v>1749</v>
      </c>
      <c r="E3473" s="14" t="s">
        <v>1746</v>
      </c>
      <c r="F3473" s="14">
        <v>996</v>
      </c>
      <c r="G3473" s="14">
        <v>896.4</v>
      </c>
      <c r="H3473" s="37">
        <f>'Calculation Sheet'!N3473</f>
        <v>896.4</v>
      </c>
    </row>
    <row r="3474" spans="1:8" x14ac:dyDescent="0.25">
      <c r="A3474" s="14" t="s">
        <v>2776</v>
      </c>
      <c r="B3474" s="14" t="s">
        <v>650</v>
      </c>
      <c r="C3474" s="15" t="s">
        <v>2791</v>
      </c>
      <c r="D3474" s="14" t="s">
        <v>1749</v>
      </c>
      <c r="E3474" s="14" t="s">
        <v>1746</v>
      </c>
      <c r="F3474" s="14">
        <v>59.9</v>
      </c>
      <c r="G3474" s="14">
        <v>47.92</v>
      </c>
      <c r="H3474" s="37">
        <f>'Calculation Sheet'!N3474</f>
        <v>47.92</v>
      </c>
    </row>
    <row r="3475" spans="1:8" x14ac:dyDescent="0.25">
      <c r="A3475" s="14" t="s">
        <v>2776</v>
      </c>
      <c r="B3475" s="14">
        <v>15</v>
      </c>
      <c r="C3475" s="15" t="s">
        <v>2793</v>
      </c>
      <c r="D3475" s="14" t="s">
        <v>1745</v>
      </c>
      <c r="E3475" s="14" t="s">
        <v>1747</v>
      </c>
      <c r="F3475" s="14">
        <v>89880</v>
      </c>
      <c r="G3475" s="14">
        <v>71904</v>
      </c>
      <c r="H3475" s="37">
        <f>'Calculation Sheet'!N3475</f>
        <v>71904</v>
      </c>
    </row>
    <row r="3476" spans="1:8" x14ac:dyDescent="0.25">
      <c r="A3476" s="14" t="s">
        <v>2776</v>
      </c>
      <c r="B3476" s="14" t="s">
        <v>118</v>
      </c>
      <c r="C3476" s="15" t="s">
        <v>2778</v>
      </c>
      <c r="D3476" s="14" t="s">
        <v>1745</v>
      </c>
      <c r="E3476" s="14" t="s">
        <v>1747</v>
      </c>
      <c r="F3476" s="14">
        <v>119820</v>
      </c>
      <c r="G3476" s="14">
        <v>107838</v>
      </c>
      <c r="H3476" s="37">
        <f>'Calculation Sheet'!N3476</f>
        <v>107838</v>
      </c>
    </row>
    <row r="3477" spans="1:8" x14ac:dyDescent="0.25">
      <c r="A3477" s="14" t="s">
        <v>2776</v>
      </c>
      <c r="B3477" s="14" t="s">
        <v>36</v>
      </c>
      <c r="C3477" s="15" t="s">
        <v>2787</v>
      </c>
      <c r="D3477" s="14" t="s">
        <v>1749</v>
      </c>
      <c r="E3477" s="14" t="s">
        <v>1746</v>
      </c>
      <c r="F3477" s="14">
        <v>162</v>
      </c>
      <c r="G3477" s="14">
        <v>145.80000000000001</v>
      </c>
      <c r="H3477" s="37">
        <f>'Calculation Sheet'!N3477</f>
        <v>145.80000000000001</v>
      </c>
    </row>
    <row r="3478" spans="1:8" x14ac:dyDescent="0.25">
      <c r="A3478" s="14" t="s">
        <v>2776</v>
      </c>
      <c r="B3478" s="14" t="s">
        <v>243</v>
      </c>
      <c r="C3478" s="15" t="s">
        <v>2782</v>
      </c>
      <c r="D3478" s="14" t="s">
        <v>1745</v>
      </c>
      <c r="E3478" s="14" t="s">
        <v>1747</v>
      </c>
      <c r="F3478" s="14">
        <v>9960</v>
      </c>
      <c r="G3478" s="14">
        <v>8964</v>
      </c>
      <c r="H3478" s="37">
        <f>'Calculation Sheet'!N3478</f>
        <v>8964</v>
      </c>
    </row>
    <row r="3479" spans="1:8" x14ac:dyDescent="0.25">
      <c r="A3479" s="14" t="s">
        <v>2776</v>
      </c>
      <c r="B3479" s="14" t="s">
        <v>36</v>
      </c>
      <c r="C3479" s="15" t="s">
        <v>2787</v>
      </c>
      <c r="D3479" s="14" t="s">
        <v>1745</v>
      </c>
      <c r="E3479" s="14" t="s">
        <v>1746</v>
      </c>
      <c r="F3479" s="14">
        <v>1701</v>
      </c>
      <c r="G3479" s="14">
        <v>1530.96</v>
      </c>
      <c r="H3479" s="37">
        <f>'Calculation Sheet'!N3479</f>
        <v>1530.96</v>
      </c>
    </row>
    <row r="3480" spans="1:8" x14ac:dyDescent="0.25">
      <c r="A3480" s="14" t="s">
        <v>2779</v>
      </c>
      <c r="B3480" s="14" t="s">
        <v>50</v>
      </c>
      <c r="C3480" s="15" t="s">
        <v>2789</v>
      </c>
      <c r="D3480" s="14" t="s">
        <v>1749</v>
      </c>
      <c r="E3480" s="14" t="s">
        <v>1746</v>
      </c>
      <c r="F3480" s="14">
        <v>11982</v>
      </c>
      <c r="G3480" s="14">
        <v>10783.8</v>
      </c>
      <c r="H3480" s="37">
        <f>'Calculation Sheet'!N3480</f>
        <v>10783.8</v>
      </c>
    </row>
    <row r="3481" spans="1:8" x14ac:dyDescent="0.25">
      <c r="A3481" s="14" t="s">
        <v>2776</v>
      </c>
      <c r="B3481" s="14" t="s">
        <v>650</v>
      </c>
      <c r="C3481" s="15" t="s">
        <v>2791</v>
      </c>
      <c r="D3481" s="14" t="s">
        <v>1745</v>
      </c>
      <c r="E3481" s="14" t="s">
        <v>1746</v>
      </c>
      <c r="F3481" s="14">
        <v>629.04</v>
      </c>
      <c r="G3481" s="14">
        <v>503.16</v>
      </c>
      <c r="H3481" s="37">
        <f>'Calculation Sheet'!N3481</f>
        <v>503.16</v>
      </c>
    </row>
    <row r="3482" spans="1:8" x14ac:dyDescent="0.25">
      <c r="A3482" s="14" t="s">
        <v>2776</v>
      </c>
      <c r="B3482" s="14">
        <v>2</v>
      </c>
      <c r="C3482" s="15" t="s">
        <v>2783</v>
      </c>
      <c r="D3482" s="14" t="s">
        <v>1745</v>
      </c>
      <c r="E3482" s="14" t="s">
        <v>1747</v>
      </c>
      <c r="F3482" s="14">
        <v>4020</v>
      </c>
      <c r="G3482" s="14">
        <v>3216</v>
      </c>
      <c r="H3482" s="37">
        <f>'Calculation Sheet'!N3482</f>
        <v>3216</v>
      </c>
    </row>
    <row r="3483" spans="1:8" x14ac:dyDescent="0.25">
      <c r="A3483" s="14" t="s">
        <v>2776</v>
      </c>
      <c r="B3483" s="14" t="s">
        <v>243</v>
      </c>
      <c r="C3483" s="15" t="s">
        <v>2782</v>
      </c>
      <c r="D3483" s="14" t="s">
        <v>1749</v>
      </c>
      <c r="E3483" s="14" t="s">
        <v>1746</v>
      </c>
      <c r="F3483" s="14">
        <v>996</v>
      </c>
      <c r="G3483" s="14">
        <v>896.4</v>
      </c>
      <c r="H3483" s="37">
        <f>'Calculation Sheet'!N3483</f>
        <v>896.4</v>
      </c>
    </row>
    <row r="3484" spans="1:8" x14ac:dyDescent="0.25">
      <c r="A3484" s="14" t="s">
        <v>2779</v>
      </c>
      <c r="B3484" s="14" t="s">
        <v>20</v>
      </c>
      <c r="C3484" s="15" t="s">
        <v>2780</v>
      </c>
      <c r="D3484" s="14" t="s">
        <v>1749</v>
      </c>
      <c r="E3484" s="14" t="s">
        <v>1746</v>
      </c>
      <c r="F3484" s="14">
        <v>750</v>
      </c>
      <c r="G3484" s="14">
        <v>600</v>
      </c>
      <c r="H3484" s="37">
        <f>'Calculation Sheet'!N3484</f>
        <v>600</v>
      </c>
    </row>
    <row r="3485" spans="1:8" x14ac:dyDescent="0.25">
      <c r="A3485" s="14" t="s">
        <v>2776</v>
      </c>
      <c r="B3485" s="14">
        <v>15</v>
      </c>
      <c r="C3485" s="15" t="s">
        <v>2793</v>
      </c>
      <c r="D3485" s="14" t="s">
        <v>1745</v>
      </c>
      <c r="E3485" s="14" t="s">
        <v>1746</v>
      </c>
      <c r="F3485" s="14">
        <v>94374</v>
      </c>
      <c r="G3485" s="14">
        <v>75499.199999999997</v>
      </c>
      <c r="H3485" s="37">
        <f>'Calculation Sheet'!N3485</f>
        <v>75499.199999999997</v>
      </c>
    </row>
    <row r="3486" spans="1:8" x14ac:dyDescent="0.25">
      <c r="A3486" s="14" t="s">
        <v>2776</v>
      </c>
      <c r="B3486" s="14" t="s">
        <v>195</v>
      </c>
      <c r="C3486" s="15" t="s">
        <v>2788</v>
      </c>
      <c r="D3486" s="14" t="s">
        <v>1749</v>
      </c>
      <c r="E3486" s="14" t="s">
        <v>1746</v>
      </c>
      <c r="F3486" s="14">
        <v>750</v>
      </c>
      <c r="G3486" s="14">
        <v>600</v>
      </c>
      <c r="H3486" s="37">
        <f>'Calculation Sheet'!N3486</f>
        <v>600</v>
      </c>
    </row>
    <row r="3487" spans="1:8" x14ac:dyDescent="0.25">
      <c r="A3487" s="14" t="s">
        <v>2776</v>
      </c>
      <c r="B3487" s="14" t="s">
        <v>29</v>
      </c>
      <c r="C3487" s="15" t="s">
        <v>2792</v>
      </c>
      <c r="D3487" s="14" t="s">
        <v>1749</v>
      </c>
      <c r="E3487" s="14" t="s">
        <v>1746</v>
      </c>
      <c r="F3487" s="14">
        <v>79.87</v>
      </c>
      <c r="G3487" s="14">
        <v>63.9</v>
      </c>
      <c r="H3487" s="37">
        <f>'Calculation Sheet'!N3487</f>
        <v>63.9</v>
      </c>
    </row>
    <row r="3488" spans="1:8" x14ac:dyDescent="0.25">
      <c r="A3488" s="14" t="s">
        <v>2794</v>
      </c>
      <c r="B3488" s="14">
        <v>12</v>
      </c>
      <c r="C3488" s="15" t="s">
        <v>2795</v>
      </c>
      <c r="D3488" s="14" t="s">
        <v>1749</v>
      </c>
      <c r="E3488" s="14" t="s">
        <v>1746</v>
      </c>
      <c r="F3488" s="14">
        <v>74.88</v>
      </c>
      <c r="G3488" s="14">
        <v>59.9</v>
      </c>
      <c r="H3488" s="37">
        <f>'Calculation Sheet'!N3488</f>
        <v>59.9</v>
      </c>
    </row>
    <row r="3489" spans="1:8" x14ac:dyDescent="0.25">
      <c r="A3489" s="14" t="s">
        <v>2794</v>
      </c>
      <c r="B3489" s="14">
        <v>3</v>
      </c>
      <c r="C3489" s="15" t="s">
        <v>2796</v>
      </c>
      <c r="D3489" s="14" t="s">
        <v>1745</v>
      </c>
      <c r="E3489" s="14" t="s">
        <v>1747</v>
      </c>
      <c r="F3489" s="14">
        <v>4980</v>
      </c>
      <c r="G3489" s="14">
        <v>3984</v>
      </c>
      <c r="H3489" s="37">
        <f>'Calculation Sheet'!N3489</f>
        <v>3984</v>
      </c>
    </row>
    <row r="3490" spans="1:8" x14ac:dyDescent="0.25">
      <c r="A3490" s="14" t="s">
        <v>2794</v>
      </c>
      <c r="B3490" s="14">
        <v>3</v>
      </c>
      <c r="C3490" s="15" t="s">
        <v>2796</v>
      </c>
      <c r="D3490" s="14" t="s">
        <v>1745</v>
      </c>
      <c r="E3490" s="14" t="s">
        <v>1746</v>
      </c>
      <c r="F3490" s="14">
        <v>5229</v>
      </c>
      <c r="G3490" s="14">
        <v>4183.2</v>
      </c>
      <c r="H3490" s="37">
        <f>'Calculation Sheet'!N3490</f>
        <v>4183.2</v>
      </c>
    </row>
    <row r="3491" spans="1:8" x14ac:dyDescent="0.25">
      <c r="A3491" s="14" t="s">
        <v>2794</v>
      </c>
      <c r="B3491" s="14">
        <v>11</v>
      </c>
      <c r="C3491" s="15" t="s">
        <v>2797</v>
      </c>
      <c r="D3491" s="14" t="s">
        <v>1745</v>
      </c>
      <c r="E3491" s="14" t="s">
        <v>1746</v>
      </c>
      <c r="F3491" s="14">
        <v>2079</v>
      </c>
      <c r="G3491" s="14">
        <v>1871.16</v>
      </c>
      <c r="H3491" s="37">
        <f>'Calculation Sheet'!N3491</f>
        <v>1871.16</v>
      </c>
    </row>
    <row r="3492" spans="1:8" x14ac:dyDescent="0.25">
      <c r="A3492" s="14" t="s">
        <v>2794</v>
      </c>
      <c r="B3492" s="14">
        <v>14</v>
      </c>
      <c r="C3492" s="15" t="s">
        <v>2798</v>
      </c>
      <c r="D3492" s="14" t="s">
        <v>1749</v>
      </c>
      <c r="E3492" s="14" t="s">
        <v>1746</v>
      </c>
      <c r="F3492" s="14">
        <v>99.84</v>
      </c>
      <c r="G3492" s="14">
        <v>79.87</v>
      </c>
      <c r="H3492" s="37">
        <f>'Calculation Sheet'!N3492</f>
        <v>79.87</v>
      </c>
    </row>
    <row r="3493" spans="1:8" x14ac:dyDescent="0.25">
      <c r="A3493" s="14" t="s">
        <v>2794</v>
      </c>
      <c r="B3493" s="14">
        <v>4</v>
      </c>
      <c r="C3493" s="15" t="s">
        <v>2796</v>
      </c>
      <c r="D3493" s="14" t="s">
        <v>1749</v>
      </c>
      <c r="E3493" s="14" t="s">
        <v>1766</v>
      </c>
      <c r="F3493" s="14">
        <v>0</v>
      </c>
      <c r="G3493" s="14">
        <v>0</v>
      </c>
      <c r="H3493" s="37">
        <f>'Calculation Sheet'!N3493</f>
        <v>0</v>
      </c>
    </row>
    <row r="3494" spans="1:8" x14ac:dyDescent="0.25">
      <c r="A3494" s="14" t="s">
        <v>2794</v>
      </c>
      <c r="B3494" s="14">
        <v>12</v>
      </c>
      <c r="C3494" s="15" t="s">
        <v>2795</v>
      </c>
      <c r="D3494" s="14" t="s">
        <v>1745</v>
      </c>
      <c r="E3494" s="14" t="s">
        <v>1746</v>
      </c>
      <c r="F3494" s="14">
        <v>786.24</v>
      </c>
      <c r="G3494" s="14">
        <v>629.04</v>
      </c>
      <c r="H3494" s="37">
        <f>'Calculation Sheet'!N3494</f>
        <v>629.04</v>
      </c>
    </row>
    <row r="3495" spans="1:8" x14ac:dyDescent="0.25">
      <c r="A3495" s="14" t="s">
        <v>2794</v>
      </c>
      <c r="B3495" s="14">
        <v>14</v>
      </c>
      <c r="C3495" s="15" t="s">
        <v>2798</v>
      </c>
      <c r="D3495" s="14" t="s">
        <v>1745</v>
      </c>
      <c r="E3495" s="14" t="s">
        <v>1746</v>
      </c>
      <c r="F3495" s="14">
        <v>1048.32</v>
      </c>
      <c r="G3495" s="14">
        <v>838.68</v>
      </c>
      <c r="H3495" s="37">
        <f>'Calculation Sheet'!N3495</f>
        <v>838.68</v>
      </c>
    </row>
    <row r="3496" spans="1:8" x14ac:dyDescent="0.25">
      <c r="A3496" s="14" t="s">
        <v>2794</v>
      </c>
      <c r="B3496" s="14">
        <v>11</v>
      </c>
      <c r="C3496" s="15" t="s">
        <v>2797</v>
      </c>
      <c r="D3496" s="14" t="s">
        <v>1749</v>
      </c>
      <c r="E3496" s="14" t="s">
        <v>1746</v>
      </c>
      <c r="F3496" s="14">
        <v>198</v>
      </c>
      <c r="G3496" s="14">
        <v>178.2</v>
      </c>
      <c r="H3496" s="37">
        <f>'Calculation Sheet'!N3496</f>
        <v>178.2</v>
      </c>
    </row>
    <row r="3497" spans="1:8" x14ac:dyDescent="0.25">
      <c r="A3497" s="14" t="s">
        <v>2794</v>
      </c>
      <c r="B3497" s="14">
        <v>3</v>
      </c>
      <c r="C3497" s="15" t="s">
        <v>2796</v>
      </c>
      <c r="D3497" s="14" t="s">
        <v>1749</v>
      </c>
      <c r="E3497" s="14" t="s">
        <v>1746</v>
      </c>
      <c r="F3497" s="14">
        <v>498</v>
      </c>
      <c r="G3497" s="14">
        <v>398.4</v>
      </c>
      <c r="H3497" s="37">
        <f>'Calculation Sheet'!N3497</f>
        <v>398.4</v>
      </c>
    </row>
    <row r="3498" spans="1:8" x14ac:dyDescent="0.25">
      <c r="A3498" s="14" t="s">
        <v>2794</v>
      </c>
      <c r="B3498" s="14">
        <v>14</v>
      </c>
      <c r="C3498" s="15" t="s">
        <v>2798</v>
      </c>
      <c r="D3498" s="14" t="s">
        <v>1745</v>
      </c>
      <c r="E3498" s="14" t="s">
        <v>1747</v>
      </c>
      <c r="F3498" s="14">
        <v>998.4</v>
      </c>
      <c r="G3498" s="14">
        <v>798.72</v>
      </c>
      <c r="H3498" s="37">
        <f>'Calculation Sheet'!N3498</f>
        <v>798.72</v>
      </c>
    </row>
    <row r="3499" spans="1:8" x14ac:dyDescent="0.25">
      <c r="A3499" s="14" t="s">
        <v>2794</v>
      </c>
      <c r="B3499" s="14" t="s">
        <v>317</v>
      </c>
      <c r="C3499" s="15" t="s">
        <v>2797</v>
      </c>
      <c r="D3499" s="14" t="s">
        <v>1749</v>
      </c>
      <c r="E3499" s="14" t="s">
        <v>1766</v>
      </c>
      <c r="F3499" s="14">
        <v>0</v>
      </c>
      <c r="G3499" s="14">
        <v>0</v>
      </c>
      <c r="H3499" s="37">
        <f>'Calculation Sheet'!N3499</f>
        <v>0</v>
      </c>
    </row>
    <row r="3500" spans="1:8" x14ac:dyDescent="0.25">
      <c r="A3500" s="14" t="s">
        <v>2794</v>
      </c>
      <c r="B3500" s="14">
        <v>12</v>
      </c>
      <c r="C3500" s="15" t="s">
        <v>2795</v>
      </c>
      <c r="D3500" s="14" t="s">
        <v>1745</v>
      </c>
      <c r="E3500" s="14" t="s">
        <v>1747</v>
      </c>
      <c r="F3500" s="14">
        <v>748.8</v>
      </c>
      <c r="G3500" s="14">
        <v>599.04</v>
      </c>
      <c r="H3500" s="37">
        <f>'Calculation Sheet'!N3500</f>
        <v>599.04</v>
      </c>
    </row>
    <row r="3501" spans="1:8" x14ac:dyDescent="0.25">
      <c r="A3501" s="14" t="s">
        <v>2794</v>
      </c>
      <c r="B3501" s="14">
        <v>11</v>
      </c>
      <c r="C3501" s="15" t="s">
        <v>2797</v>
      </c>
      <c r="D3501" s="14" t="s">
        <v>1745</v>
      </c>
      <c r="E3501" s="14" t="s">
        <v>1747</v>
      </c>
      <c r="F3501" s="14">
        <v>1980</v>
      </c>
      <c r="G3501" s="14">
        <v>1782</v>
      </c>
      <c r="H3501" s="37">
        <f>'Calculation Sheet'!N3501</f>
        <v>1782</v>
      </c>
    </row>
    <row r="3502" spans="1:8" x14ac:dyDescent="0.25">
      <c r="A3502" s="14" t="s">
        <v>2799</v>
      </c>
      <c r="B3502" s="14">
        <v>11</v>
      </c>
      <c r="C3502" s="15" t="s">
        <v>2800</v>
      </c>
      <c r="D3502" s="14" t="s">
        <v>1745</v>
      </c>
      <c r="E3502" s="14" t="s">
        <v>1747</v>
      </c>
      <c r="F3502" s="14">
        <v>6000</v>
      </c>
      <c r="G3502" s="14">
        <v>5400</v>
      </c>
      <c r="H3502" s="37">
        <f>'Calculation Sheet'!N3502</f>
        <v>5400</v>
      </c>
    </row>
    <row r="3503" spans="1:8" x14ac:dyDescent="0.25">
      <c r="A3503" s="14" t="s">
        <v>2799</v>
      </c>
      <c r="B3503" s="14">
        <v>14</v>
      </c>
      <c r="C3503" s="15" t="s">
        <v>2801</v>
      </c>
      <c r="D3503" s="14" t="s">
        <v>1745</v>
      </c>
      <c r="E3503" s="14" t="s">
        <v>1746</v>
      </c>
      <c r="F3503" s="14">
        <v>1764</v>
      </c>
      <c r="G3503" s="14">
        <v>1411.2</v>
      </c>
      <c r="H3503" s="37">
        <f>'Calculation Sheet'!N3503</f>
        <v>1411.2</v>
      </c>
    </row>
    <row r="3504" spans="1:8" x14ac:dyDescent="0.25">
      <c r="A3504" s="14" t="s">
        <v>2799</v>
      </c>
      <c r="B3504" s="14">
        <v>12</v>
      </c>
      <c r="C3504" s="15" t="s">
        <v>2802</v>
      </c>
      <c r="D3504" s="14" t="s">
        <v>1745</v>
      </c>
      <c r="E3504" s="14" t="s">
        <v>1747</v>
      </c>
      <c r="F3504" s="14">
        <v>2220</v>
      </c>
      <c r="G3504" s="14">
        <v>1776</v>
      </c>
      <c r="H3504" s="37">
        <f>'Calculation Sheet'!N3504</f>
        <v>1776</v>
      </c>
    </row>
    <row r="3505" spans="1:8" x14ac:dyDescent="0.25">
      <c r="A3505" s="14" t="s">
        <v>2799</v>
      </c>
      <c r="B3505" s="14">
        <v>14</v>
      </c>
      <c r="C3505" s="15" t="s">
        <v>2801</v>
      </c>
      <c r="D3505" s="14" t="s">
        <v>1745</v>
      </c>
      <c r="E3505" s="14" t="s">
        <v>1747</v>
      </c>
      <c r="F3505" s="14">
        <v>1680</v>
      </c>
      <c r="G3505" s="14">
        <v>1344</v>
      </c>
      <c r="H3505" s="37">
        <f>'Calculation Sheet'!N3505</f>
        <v>1344</v>
      </c>
    </row>
    <row r="3506" spans="1:8" x14ac:dyDescent="0.25">
      <c r="A3506" s="14" t="s">
        <v>2799</v>
      </c>
      <c r="B3506" s="14">
        <v>2</v>
      </c>
      <c r="C3506" s="15" t="s">
        <v>2803</v>
      </c>
      <c r="D3506" s="14" t="s">
        <v>1745</v>
      </c>
      <c r="E3506" s="14" t="s">
        <v>1746</v>
      </c>
      <c r="F3506" s="14">
        <v>15750</v>
      </c>
      <c r="G3506" s="14">
        <v>12600</v>
      </c>
      <c r="H3506" s="37">
        <f>'Calculation Sheet'!N3506</f>
        <v>12600</v>
      </c>
    </row>
    <row r="3507" spans="1:8" x14ac:dyDescent="0.25">
      <c r="A3507" s="14" t="s">
        <v>2799</v>
      </c>
      <c r="B3507" s="14">
        <v>11</v>
      </c>
      <c r="C3507" s="15" t="s">
        <v>2800</v>
      </c>
      <c r="D3507" s="14" t="s">
        <v>1745</v>
      </c>
      <c r="E3507" s="14" t="s">
        <v>1746</v>
      </c>
      <c r="F3507" s="14">
        <v>6300</v>
      </c>
      <c r="G3507" s="14">
        <v>5670</v>
      </c>
      <c r="H3507" s="37">
        <f>'Calculation Sheet'!N3507</f>
        <v>5670</v>
      </c>
    </row>
    <row r="3508" spans="1:8" x14ac:dyDescent="0.25">
      <c r="A3508" s="14" t="s">
        <v>2799</v>
      </c>
      <c r="B3508" s="14">
        <v>12</v>
      </c>
      <c r="C3508" s="15" t="s">
        <v>2802</v>
      </c>
      <c r="D3508" s="14" t="s">
        <v>1749</v>
      </c>
      <c r="E3508" s="14" t="s">
        <v>1746</v>
      </c>
      <c r="F3508" s="14">
        <v>222</v>
      </c>
      <c r="G3508" s="14">
        <v>177.6</v>
      </c>
      <c r="H3508" s="37">
        <f>'Calculation Sheet'!N3508</f>
        <v>177.6</v>
      </c>
    </row>
    <row r="3509" spans="1:8" x14ac:dyDescent="0.25">
      <c r="A3509" s="14" t="s">
        <v>2799</v>
      </c>
      <c r="B3509" s="14">
        <v>14</v>
      </c>
      <c r="C3509" s="15" t="s">
        <v>2801</v>
      </c>
      <c r="D3509" s="14" t="s">
        <v>1749</v>
      </c>
      <c r="E3509" s="14" t="s">
        <v>1746</v>
      </c>
      <c r="F3509" s="14">
        <v>168</v>
      </c>
      <c r="G3509" s="14">
        <v>134.4</v>
      </c>
      <c r="H3509" s="37">
        <f>'Calculation Sheet'!N3509</f>
        <v>134.4</v>
      </c>
    </row>
    <row r="3510" spans="1:8" x14ac:dyDescent="0.25">
      <c r="A3510" s="14" t="s">
        <v>2799</v>
      </c>
      <c r="B3510" s="14">
        <v>2</v>
      </c>
      <c r="C3510" s="15" t="s">
        <v>2803</v>
      </c>
      <c r="D3510" s="14" t="s">
        <v>1749</v>
      </c>
      <c r="E3510" s="14" t="s">
        <v>1746</v>
      </c>
      <c r="F3510" s="14">
        <v>1500</v>
      </c>
      <c r="G3510" s="14">
        <v>1200</v>
      </c>
      <c r="H3510" s="37">
        <f>'Calculation Sheet'!N3510</f>
        <v>1200</v>
      </c>
    </row>
    <row r="3511" spans="1:8" x14ac:dyDescent="0.25">
      <c r="A3511" s="14" t="s">
        <v>2799</v>
      </c>
      <c r="B3511" s="14">
        <v>11</v>
      </c>
      <c r="C3511" s="15" t="s">
        <v>2800</v>
      </c>
      <c r="D3511" s="14" t="s">
        <v>1749</v>
      </c>
      <c r="E3511" s="14" t="s">
        <v>1746</v>
      </c>
      <c r="F3511" s="14">
        <v>600</v>
      </c>
      <c r="G3511" s="14">
        <v>540</v>
      </c>
      <c r="H3511" s="37">
        <f>'Calculation Sheet'!N3511</f>
        <v>540</v>
      </c>
    </row>
    <row r="3512" spans="1:8" x14ac:dyDescent="0.25">
      <c r="A3512" s="14" t="s">
        <v>2799</v>
      </c>
      <c r="B3512" s="14">
        <v>12</v>
      </c>
      <c r="C3512" s="15" t="s">
        <v>2802</v>
      </c>
      <c r="D3512" s="14" t="s">
        <v>1745</v>
      </c>
      <c r="E3512" s="14" t="s">
        <v>1746</v>
      </c>
      <c r="F3512" s="14">
        <v>2331</v>
      </c>
      <c r="G3512" s="14">
        <v>1864.8</v>
      </c>
      <c r="H3512" s="37">
        <f>'Calculation Sheet'!N3512</f>
        <v>1864.8</v>
      </c>
    </row>
    <row r="3513" spans="1:8" x14ac:dyDescent="0.25">
      <c r="A3513" s="14" t="s">
        <v>2799</v>
      </c>
      <c r="B3513" s="14">
        <v>4</v>
      </c>
      <c r="C3513" s="15" t="s">
        <v>2803</v>
      </c>
      <c r="D3513" s="14" t="s">
        <v>1749</v>
      </c>
      <c r="E3513" s="14" t="s">
        <v>1766</v>
      </c>
      <c r="F3513" s="14">
        <v>0</v>
      </c>
      <c r="G3513" s="14">
        <v>0</v>
      </c>
      <c r="H3513" s="37">
        <f>'Calculation Sheet'!N3513</f>
        <v>0</v>
      </c>
    </row>
    <row r="3514" spans="1:8" x14ac:dyDescent="0.25">
      <c r="A3514" s="14" t="s">
        <v>2799</v>
      </c>
      <c r="B3514" s="14">
        <v>2</v>
      </c>
      <c r="C3514" s="15" t="s">
        <v>2803</v>
      </c>
      <c r="D3514" s="14" t="s">
        <v>1745</v>
      </c>
      <c r="E3514" s="14" t="s">
        <v>1747</v>
      </c>
      <c r="F3514" s="14">
        <v>15000</v>
      </c>
      <c r="G3514" s="14">
        <v>12000</v>
      </c>
      <c r="H3514" s="37">
        <f>'Calculation Sheet'!N3514</f>
        <v>12000</v>
      </c>
    </row>
    <row r="3515" spans="1:8" x14ac:dyDescent="0.25">
      <c r="A3515" s="14" t="s">
        <v>2799</v>
      </c>
      <c r="B3515" s="14" t="s">
        <v>317</v>
      </c>
      <c r="C3515" s="15" t="s">
        <v>2800</v>
      </c>
      <c r="D3515" s="14" t="s">
        <v>1749</v>
      </c>
      <c r="E3515" s="14" t="s">
        <v>1766</v>
      </c>
      <c r="F3515" s="14">
        <v>0</v>
      </c>
      <c r="G3515" s="14">
        <v>0</v>
      </c>
      <c r="H3515" s="37">
        <f>'Calculation Sheet'!N3515</f>
        <v>0</v>
      </c>
    </row>
    <row r="3516" spans="1:8" x14ac:dyDescent="0.25">
      <c r="A3516" s="14" t="s">
        <v>1427</v>
      </c>
      <c r="B3516" s="14">
        <v>6</v>
      </c>
      <c r="C3516" s="15" t="s">
        <v>2804</v>
      </c>
      <c r="D3516" s="14" t="s">
        <v>1749</v>
      </c>
      <c r="E3516" s="14" t="s">
        <v>1746</v>
      </c>
      <c r="F3516" s="14">
        <v>99.84</v>
      </c>
      <c r="G3516" s="14">
        <v>89.86</v>
      </c>
      <c r="H3516" s="37">
        <f>'Calculation Sheet'!N3516</f>
        <v>88.961399999999998</v>
      </c>
    </row>
    <row r="3517" spans="1:8" x14ac:dyDescent="0.25">
      <c r="A3517" s="14" t="s">
        <v>1427</v>
      </c>
      <c r="B3517" s="14">
        <v>7</v>
      </c>
      <c r="C3517" s="15" t="s">
        <v>2805</v>
      </c>
      <c r="D3517" s="14" t="s">
        <v>1745</v>
      </c>
      <c r="E3517" s="14" t="s">
        <v>1747</v>
      </c>
      <c r="F3517" s="14">
        <v>998.4</v>
      </c>
      <c r="G3517" s="14">
        <v>798.72</v>
      </c>
      <c r="H3517" s="37">
        <f>'Calculation Sheet'!N3517</f>
        <v>774.75840000000005</v>
      </c>
    </row>
    <row r="3518" spans="1:8" x14ac:dyDescent="0.25">
      <c r="A3518" s="14" t="s">
        <v>1427</v>
      </c>
      <c r="B3518" s="14">
        <v>7</v>
      </c>
      <c r="C3518" s="15" t="s">
        <v>2805</v>
      </c>
      <c r="D3518" s="14" t="s">
        <v>1745</v>
      </c>
      <c r="E3518" s="14" t="s">
        <v>1746</v>
      </c>
      <c r="F3518" s="14">
        <v>1048.32</v>
      </c>
      <c r="G3518" s="14">
        <v>838.68</v>
      </c>
      <c r="H3518" s="37">
        <f>'Calculation Sheet'!N3518</f>
        <v>830.29319999999996</v>
      </c>
    </row>
    <row r="3519" spans="1:8" x14ac:dyDescent="0.25">
      <c r="A3519" s="14" t="s">
        <v>1427</v>
      </c>
      <c r="B3519" s="14">
        <v>1</v>
      </c>
      <c r="C3519" s="15" t="s">
        <v>2806</v>
      </c>
      <c r="D3519" s="14" t="s">
        <v>1745</v>
      </c>
      <c r="E3519" s="14" t="s">
        <v>1747</v>
      </c>
      <c r="F3519" s="14">
        <v>4020</v>
      </c>
      <c r="G3519" s="14">
        <v>3216</v>
      </c>
      <c r="H3519" s="37">
        <f>'Calculation Sheet'!N3519</f>
        <v>3119.52</v>
      </c>
    </row>
    <row r="3520" spans="1:8" x14ac:dyDescent="0.25">
      <c r="A3520" s="14" t="s">
        <v>1427</v>
      </c>
      <c r="B3520" s="14">
        <v>7</v>
      </c>
      <c r="C3520" s="15" t="s">
        <v>2805</v>
      </c>
      <c r="D3520" s="14" t="s">
        <v>1749</v>
      </c>
      <c r="E3520" s="14" t="s">
        <v>1746</v>
      </c>
      <c r="F3520" s="14">
        <v>99.84</v>
      </c>
      <c r="G3520" s="14">
        <v>79.87</v>
      </c>
      <c r="H3520" s="37">
        <f>'Calculation Sheet'!N3520</f>
        <v>79.071300000000008</v>
      </c>
    </row>
    <row r="3521" spans="1:8" x14ac:dyDescent="0.25">
      <c r="A3521" s="14" t="s">
        <v>1427</v>
      </c>
      <c r="B3521" s="14">
        <v>1</v>
      </c>
      <c r="C3521" s="15" t="s">
        <v>2806</v>
      </c>
      <c r="D3521" s="14" t="s">
        <v>1745</v>
      </c>
      <c r="E3521" s="14" t="s">
        <v>1746</v>
      </c>
      <c r="F3521" s="14">
        <v>4221</v>
      </c>
      <c r="G3521" s="14">
        <v>3376.8</v>
      </c>
      <c r="H3521" s="37">
        <f>'Calculation Sheet'!N3521</f>
        <v>3343.0320000000002</v>
      </c>
    </row>
    <row r="3522" spans="1:8" x14ac:dyDescent="0.25">
      <c r="A3522" s="14" t="s">
        <v>1427</v>
      </c>
      <c r="B3522" s="14">
        <v>1</v>
      </c>
      <c r="C3522" s="15" t="s">
        <v>2806</v>
      </c>
      <c r="D3522" s="14" t="s">
        <v>1749</v>
      </c>
      <c r="E3522" s="14" t="s">
        <v>1746</v>
      </c>
      <c r="F3522" s="14">
        <v>402</v>
      </c>
      <c r="G3522" s="14">
        <v>321.60000000000002</v>
      </c>
      <c r="H3522" s="37">
        <f>'Calculation Sheet'!N3522</f>
        <v>318.38400000000001</v>
      </c>
    </row>
    <row r="3523" spans="1:8" x14ac:dyDescent="0.25">
      <c r="A3523" s="14" t="s">
        <v>1427</v>
      </c>
      <c r="B3523" s="14">
        <v>6</v>
      </c>
      <c r="C3523" s="15" t="s">
        <v>2804</v>
      </c>
      <c r="D3523" s="14" t="s">
        <v>1745</v>
      </c>
      <c r="E3523" s="14" t="s">
        <v>1747</v>
      </c>
      <c r="F3523" s="14">
        <v>998.4</v>
      </c>
      <c r="G3523" s="14">
        <v>898.56</v>
      </c>
      <c r="H3523" s="37">
        <f>'Calculation Sheet'!N3523</f>
        <v>871.6031999999999</v>
      </c>
    </row>
    <row r="3524" spans="1:8" x14ac:dyDescent="0.25">
      <c r="A3524" s="14" t="s">
        <v>1427</v>
      </c>
      <c r="B3524" s="14">
        <v>6</v>
      </c>
      <c r="C3524" s="15" t="s">
        <v>2804</v>
      </c>
      <c r="D3524" s="14" t="s">
        <v>1745</v>
      </c>
      <c r="E3524" s="14" t="s">
        <v>1746</v>
      </c>
      <c r="F3524" s="14">
        <v>1048.32</v>
      </c>
      <c r="G3524" s="14">
        <v>943.44</v>
      </c>
      <c r="H3524" s="37">
        <f>'Calculation Sheet'!N3524</f>
        <v>934.00560000000007</v>
      </c>
    </row>
    <row r="3525" spans="1:8" x14ac:dyDescent="0.25">
      <c r="A3525" s="14" t="s">
        <v>2807</v>
      </c>
      <c r="B3525" s="14">
        <v>6</v>
      </c>
      <c r="C3525" s="15" t="s">
        <v>2808</v>
      </c>
      <c r="D3525" s="14" t="s">
        <v>1745</v>
      </c>
      <c r="E3525" s="14" t="s">
        <v>1747</v>
      </c>
      <c r="F3525" s="14">
        <v>1620</v>
      </c>
      <c r="G3525" s="14">
        <v>1296</v>
      </c>
      <c r="H3525" s="37">
        <f>'Calculation Sheet'!N3525</f>
        <v>1296</v>
      </c>
    </row>
    <row r="3526" spans="1:8" x14ac:dyDescent="0.25">
      <c r="A3526" s="14" t="s">
        <v>2807</v>
      </c>
      <c r="B3526" s="14">
        <v>6</v>
      </c>
      <c r="C3526" s="15" t="s">
        <v>2808</v>
      </c>
      <c r="D3526" s="14" t="s">
        <v>1745</v>
      </c>
      <c r="E3526" s="14" t="s">
        <v>1746</v>
      </c>
      <c r="F3526" s="14">
        <v>1701</v>
      </c>
      <c r="G3526" s="14">
        <v>1360.8</v>
      </c>
      <c r="H3526" s="37">
        <f>'Calculation Sheet'!N3526</f>
        <v>1360.8</v>
      </c>
    </row>
    <row r="3527" spans="1:8" x14ac:dyDescent="0.25">
      <c r="A3527" s="14" t="s">
        <v>2807</v>
      </c>
      <c r="B3527" s="14">
        <v>7</v>
      </c>
      <c r="C3527" s="15" t="s">
        <v>2809</v>
      </c>
      <c r="D3527" s="14" t="s">
        <v>1745</v>
      </c>
      <c r="E3527" s="14" t="s">
        <v>1747</v>
      </c>
      <c r="F3527" s="14">
        <v>2220</v>
      </c>
      <c r="G3527" s="14">
        <v>1776</v>
      </c>
      <c r="H3527" s="37">
        <f>'Calculation Sheet'!N3527</f>
        <v>1776</v>
      </c>
    </row>
    <row r="3528" spans="1:8" x14ac:dyDescent="0.25">
      <c r="A3528" s="14" t="s">
        <v>2807</v>
      </c>
      <c r="B3528" s="14">
        <v>7</v>
      </c>
      <c r="C3528" s="15" t="s">
        <v>2809</v>
      </c>
      <c r="D3528" s="14" t="s">
        <v>1745</v>
      </c>
      <c r="E3528" s="14" t="s">
        <v>1746</v>
      </c>
      <c r="F3528" s="14">
        <v>2331</v>
      </c>
      <c r="G3528" s="14">
        <v>1864.8</v>
      </c>
      <c r="H3528" s="37">
        <f>'Calculation Sheet'!N3528</f>
        <v>1864.8</v>
      </c>
    </row>
    <row r="3529" spans="1:8" x14ac:dyDescent="0.25">
      <c r="A3529" s="14" t="s">
        <v>2807</v>
      </c>
      <c r="B3529" s="14">
        <v>7</v>
      </c>
      <c r="C3529" s="15" t="s">
        <v>2809</v>
      </c>
      <c r="D3529" s="14" t="s">
        <v>1749</v>
      </c>
      <c r="E3529" s="14" t="s">
        <v>1746</v>
      </c>
      <c r="F3529" s="14">
        <v>222</v>
      </c>
      <c r="G3529" s="14">
        <v>177.6</v>
      </c>
      <c r="H3529" s="37">
        <f>'Calculation Sheet'!N3529</f>
        <v>177.6</v>
      </c>
    </row>
    <row r="3530" spans="1:8" x14ac:dyDescent="0.25">
      <c r="A3530" s="14" t="s">
        <v>2807</v>
      </c>
      <c r="B3530" s="14">
        <v>8</v>
      </c>
      <c r="C3530" s="15" t="s">
        <v>2810</v>
      </c>
      <c r="D3530" s="14" t="s">
        <v>1749</v>
      </c>
      <c r="E3530" s="14" t="s">
        <v>1746</v>
      </c>
      <c r="F3530" s="14">
        <v>0</v>
      </c>
      <c r="G3530" s="14">
        <v>0</v>
      </c>
      <c r="H3530" s="37">
        <f>'Calculation Sheet'!N3530</f>
        <v>0</v>
      </c>
    </row>
    <row r="3531" spans="1:8" x14ac:dyDescent="0.25">
      <c r="A3531" s="14" t="s">
        <v>2807</v>
      </c>
      <c r="B3531" s="14">
        <v>8</v>
      </c>
      <c r="C3531" s="15" t="s">
        <v>2810</v>
      </c>
      <c r="D3531" s="14" t="s">
        <v>1745</v>
      </c>
      <c r="E3531" s="14" t="s">
        <v>1747</v>
      </c>
      <c r="F3531" s="14">
        <v>0</v>
      </c>
      <c r="G3531" s="14">
        <v>0</v>
      </c>
      <c r="H3531" s="37">
        <f>'Calculation Sheet'!N3531</f>
        <v>0</v>
      </c>
    </row>
    <row r="3532" spans="1:8" x14ac:dyDescent="0.25">
      <c r="A3532" s="14" t="s">
        <v>2807</v>
      </c>
      <c r="B3532" s="14">
        <v>8</v>
      </c>
      <c r="C3532" s="15" t="s">
        <v>2810</v>
      </c>
      <c r="D3532" s="14" t="s">
        <v>1745</v>
      </c>
      <c r="E3532" s="14" t="s">
        <v>1746</v>
      </c>
      <c r="F3532" s="14">
        <v>0</v>
      </c>
      <c r="G3532" s="14">
        <v>0</v>
      </c>
      <c r="H3532" s="37">
        <f>'Calculation Sheet'!N3532</f>
        <v>0</v>
      </c>
    </row>
    <row r="3533" spans="1:8" x14ac:dyDescent="0.25">
      <c r="A3533" s="14" t="s">
        <v>2807</v>
      </c>
      <c r="B3533" s="14">
        <v>6</v>
      </c>
      <c r="C3533" s="15" t="s">
        <v>2808</v>
      </c>
      <c r="D3533" s="14" t="s">
        <v>1749</v>
      </c>
      <c r="E3533" s="14" t="s">
        <v>1746</v>
      </c>
      <c r="F3533" s="14">
        <v>162</v>
      </c>
      <c r="G3533" s="14">
        <v>129.6</v>
      </c>
      <c r="H3533" s="37">
        <f>'Calculation Sheet'!N3533</f>
        <v>129.6</v>
      </c>
    </row>
    <row r="3534" spans="1:8" x14ac:dyDescent="0.25">
      <c r="A3534" s="14" t="s">
        <v>2811</v>
      </c>
      <c r="B3534" s="14">
        <v>6</v>
      </c>
      <c r="C3534" s="15" t="s">
        <v>2812</v>
      </c>
      <c r="D3534" s="14" t="s">
        <v>1745</v>
      </c>
      <c r="E3534" s="14" t="s">
        <v>1747</v>
      </c>
      <c r="F3534" s="14">
        <v>5700</v>
      </c>
      <c r="G3534" s="14">
        <v>4560</v>
      </c>
      <c r="H3534" s="37">
        <f>'Calculation Sheet'!N3534</f>
        <v>4560</v>
      </c>
    </row>
    <row r="3535" spans="1:8" x14ac:dyDescent="0.25">
      <c r="A3535" s="14" t="s">
        <v>2811</v>
      </c>
      <c r="B3535" s="14">
        <v>4</v>
      </c>
      <c r="C3535" s="15" t="s">
        <v>2813</v>
      </c>
      <c r="D3535" s="14" t="s">
        <v>1749</v>
      </c>
      <c r="E3535" s="14" t="s">
        <v>1746</v>
      </c>
      <c r="F3535" s="14">
        <v>0</v>
      </c>
      <c r="G3535" s="14">
        <v>0</v>
      </c>
      <c r="H3535" s="37">
        <f>'Calculation Sheet'!N3535</f>
        <v>0</v>
      </c>
    </row>
    <row r="3536" spans="1:8" x14ac:dyDescent="0.25">
      <c r="A3536" s="14" t="s">
        <v>2811</v>
      </c>
      <c r="B3536" s="14">
        <v>4</v>
      </c>
      <c r="C3536" s="15" t="s">
        <v>2813</v>
      </c>
      <c r="D3536" s="14" t="s">
        <v>1745</v>
      </c>
      <c r="E3536" s="14" t="s">
        <v>1746</v>
      </c>
      <c r="F3536" s="14">
        <v>0</v>
      </c>
      <c r="G3536" s="14">
        <v>0</v>
      </c>
      <c r="H3536" s="37">
        <f>'Calculation Sheet'!N3536</f>
        <v>0</v>
      </c>
    </row>
    <row r="3537" spans="1:8" x14ac:dyDescent="0.25">
      <c r="A3537" s="14" t="s">
        <v>2811</v>
      </c>
      <c r="B3537" s="14">
        <v>4</v>
      </c>
      <c r="C3537" s="15" t="s">
        <v>2813</v>
      </c>
      <c r="D3537" s="14" t="s">
        <v>1745</v>
      </c>
      <c r="E3537" s="14" t="s">
        <v>1747</v>
      </c>
      <c r="F3537" s="14">
        <v>0</v>
      </c>
      <c r="G3537" s="14">
        <v>0</v>
      </c>
      <c r="H3537" s="37">
        <f>'Calculation Sheet'!N3537</f>
        <v>0</v>
      </c>
    </row>
    <row r="3538" spans="1:8" x14ac:dyDescent="0.25">
      <c r="A3538" s="14" t="s">
        <v>2811</v>
      </c>
      <c r="B3538" s="14">
        <v>5</v>
      </c>
      <c r="C3538" s="15" t="s">
        <v>2814</v>
      </c>
      <c r="D3538" s="14" t="s">
        <v>1745</v>
      </c>
      <c r="E3538" s="14" t="s">
        <v>1747</v>
      </c>
      <c r="F3538" s="14">
        <v>6300</v>
      </c>
      <c r="G3538" s="14">
        <v>5040</v>
      </c>
      <c r="H3538" s="37">
        <f>'Calculation Sheet'!N3538</f>
        <v>5040</v>
      </c>
    </row>
    <row r="3539" spans="1:8" x14ac:dyDescent="0.25">
      <c r="A3539" s="14" t="s">
        <v>2811</v>
      </c>
      <c r="B3539" s="14">
        <v>5</v>
      </c>
      <c r="C3539" s="15" t="s">
        <v>2814</v>
      </c>
      <c r="D3539" s="14" t="s">
        <v>1749</v>
      </c>
      <c r="E3539" s="14" t="s">
        <v>1746</v>
      </c>
      <c r="F3539" s="14">
        <v>630</v>
      </c>
      <c r="G3539" s="14">
        <v>504</v>
      </c>
      <c r="H3539" s="37">
        <f>'Calculation Sheet'!N3539</f>
        <v>504</v>
      </c>
    </row>
    <row r="3540" spans="1:8" x14ac:dyDescent="0.25">
      <c r="A3540" s="14" t="s">
        <v>2811</v>
      </c>
      <c r="B3540" s="14">
        <v>5</v>
      </c>
      <c r="C3540" s="15" t="s">
        <v>2814</v>
      </c>
      <c r="D3540" s="14" t="s">
        <v>1745</v>
      </c>
      <c r="E3540" s="14" t="s">
        <v>1746</v>
      </c>
      <c r="F3540" s="14">
        <v>6615</v>
      </c>
      <c r="G3540" s="14">
        <v>5292</v>
      </c>
      <c r="H3540" s="37">
        <f>'Calculation Sheet'!N3540</f>
        <v>5292</v>
      </c>
    </row>
    <row r="3541" spans="1:8" x14ac:dyDescent="0.25">
      <c r="A3541" s="14" t="s">
        <v>2811</v>
      </c>
      <c r="B3541" s="14">
        <v>6</v>
      </c>
      <c r="C3541" s="15" t="s">
        <v>2812</v>
      </c>
      <c r="D3541" s="14" t="s">
        <v>1745</v>
      </c>
      <c r="E3541" s="14" t="s">
        <v>1746</v>
      </c>
      <c r="F3541" s="14">
        <v>5985</v>
      </c>
      <c r="G3541" s="14">
        <v>4788</v>
      </c>
      <c r="H3541" s="37">
        <f>'Calculation Sheet'!N3541</f>
        <v>4788</v>
      </c>
    </row>
    <row r="3542" spans="1:8" x14ac:dyDescent="0.25">
      <c r="A3542" s="14" t="s">
        <v>2811</v>
      </c>
      <c r="B3542" s="14">
        <v>6</v>
      </c>
      <c r="C3542" s="15" t="s">
        <v>2812</v>
      </c>
      <c r="D3542" s="14" t="s">
        <v>1749</v>
      </c>
      <c r="E3542" s="14" t="s">
        <v>1746</v>
      </c>
      <c r="F3542" s="14">
        <v>570</v>
      </c>
      <c r="G3542" s="14">
        <v>456</v>
      </c>
      <c r="H3542" s="37">
        <f>'Calculation Sheet'!N3542</f>
        <v>456</v>
      </c>
    </row>
    <row r="3543" spans="1:8" x14ac:dyDescent="0.25">
      <c r="A3543" s="14" t="s">
        <v>2815</v>
      </c>
      <c r="B3543" s="14">
        <v>2</v>
      </c>
      <c r="C3543" s="15" t="s">
        <v>2816</v>
      </c>
      <c r="D3543" s="14" t="s">
        <v>1749</v>
      </c>
      <c r="E3543" s="14" t="s">
        <v>1746</v>
      </c>
      <c r="F3543" s="14">
        <v>762</v>
      </c>
      <c r="G3543" s="14">
        <v>609.6</v>
      </c>
      <c r="H3543" s="37">
        <f>'Calculation Sheet'!N3543</f>
        <v>609.6</v>
      </c>
    </row>
    <row r="3544" spans="1:8" x14ac:dyDescent="0.25">
      <c r="A3544" s="14" t="s">
        <v>2815</v>
      </c>
      <c r="B3544" s="14">
        <v>1</v>
      </c>
      <c r="C3544" s="15" t="s">
        <v>2817</v>
      </c>
      <c r="D3544" s="14" t="s">
        <v>1749</v>
      </c>
      <c r="E3544" s="14" t="s">
        <v>1746</v>
      </c>
      <c r="F3544" s="14">
        <v>1422</v>
      </c>
      <c r="G3544" s="14">
        <v>1137.5999999999999</v>
      </c>
      <c r="H3544" s="37">
        <f>'Calculation Sheet'!N3544</f>
        <v>1137.5999999999999</v>
      </c>
    </row>
    <row r="3545" spans="1:8" x14ac:dyDescent="0.25">
      <c r="A3545" s="14" t="s">
        <v>2815</v>
      </c>
      <c r="B3545" s="14">
        <v>7</v>
      </c>
      <c r="C3545" s="15" t="s">
        <v>2818</v>
      </c>
      <c r="D3545" s="14" t="s">
        <v>1745</v>
      </c>
      <c r="E3545" s="14" t="s">
        <v>1747</v>
      </c>
      <c r="F3545" s="14">
        <v>1920</v>
      </c>
      <c r="G3545" s="14">
        <v>1728</v>
      </c>
      <c r="H3545" s="37">
        <f>'Calculation Sheet'!N3545</f>
        <v>1728</v>
      </c>
    </row>
    <row r="3546" spans="1:8" x14ac:dyDescent="0.25">
      <c r="A3546" s="14" t="s">
        <v>2815</v>
      </c>
      <c r="B3546" s="14">
        <v>7</v>
      </c>
      <c r="C3546" s="15" t="s">
        <v>2818</v>
      </c>
      <c r="D3546" s="14" t="s">
        <v>1745</v>
      </c>
      <c r="E3546" s="14" t="s">
        <v>1746</v>
      </c>
      <c r="F3546" s="14">
        <v>2016</v>
      </c>
      <c r="G3546" s="14">
        <v>1814.4</v>
      </c>
      <c r="H3546" s="37">
        <f>'Calculation Sheet'!N3546</f>
        <v>1814.4</v>
      </c>
    </row>
    <row r="3547" spans="1:8" x14ac:dyDescent="0.25">
      <c r="A3547" s="14" t="s">
        <v>2815</v>
      </c>
      <c r="B3547" s="14">
        <v>7</v>
      </c>
      <c r="C3547" s="15" t="s">
        <v>2818</v>
      </c>
      <c r="D3547" s="14" t="s">
        <v>1749</v>
      </c>
      <c r="E3547" s="14" t="s">
        <v>1746</v>
      </c>
      <c r="F3547" s="14">
        <v>192</v>
      </c>
      <c r="G3547" s="14">
        <v>172.8</v>
      </c>
      <c r="H3547" s="37">
        <f>'Calculation Sheet'!N3547</f>
        <v>172.8</v>
      </c>
    </row>
    <row r="3548" spans="1:8" x14ac:dyDescent="0.25">
      <c r="A3548" s="14" t="s">
        <v>2815</v>
      </c>
      <c r="B3548" s="14">
        <v>2</v>
      </c>
      <c r="C3548" s="15" t="s">
        <v>2816</v>
      </c>
      <c r="D3548" s="14" t="s">
        <v>1745</v>
      </c>
      <c r="E3548" s="14" t="s">
        <v>1746</v>
      </c>
      <c r="F3548" s="14">
        <v>8001</v>
      </c>
      <c r="G3548" s="14">
        <v>6400.8</v>
      </c>
      <c r="H3548" s="37">
        <f>'Calculation Sheet'!N3548</f>
        <v>6400.8</v>
      </c>
    </row>
    <row r="3549" spans="1:8" x14ac:dyDescent="0.25">
      <c r="A3549" s="14" t="s">
        <v>2815</v>
      </c>
      <c r="B3549" s="14">
        <v>5</v>
      </c>
      <c r="C3549" s="15" t="s">
        <v>2819</v>
      </c>
      <c r="D3549" s="14" t="s">
        <v>1749</v>
      </c>
      <c r="E3549" s="14" t="s">
        <v>1766</v>
      </c>
      <c r="F3549" s="14">
        <v>0</v>
      </c>
      <c r="G3549" s="14">
        <v>0</v>
      </c>
      <c r="H3549" s="37">
        <f>'Calculation Sheet'!N3549</f>
        <v>0</v>
      </c>
    </row>
    <row r="3550" spans="1:8" x14ac:dyDescent="0.25">
      <c r="A3550" s="14" t="s">
        <v>2815</v>
      </c>
      <c r="B3550" s="14">
        <v>1</v>
      </c>
      <c r="C3550" s="15" t="s">
        <v>2817</v>
      </c>
      <c r="D3550" s="14" t="s">
        <v>1745</v>
      </c>
      <c r="E3550" s="14" t="s">
        <v>1747</v>
      </c>
      <c r="F3550" s="14">
        <v>14220</v>
      </c>
      <c r="G3550" s="14">
        <v>11376</v>
      </c>
      <c r="H3550" s="37">
        <f>'Calculation Sheet'!N3550</f>
        <v>11376</v>
      </c>
    </row>
    <row r="3551" spans="1:8" x14ac:dyDescent="0.25">
      <c r="A3551" s="14" t="s">
        <v>2815</v>
      </c>
      <c r="B3551" s="14">
        <v>4</v>
      </c>
      <c r="C3551" s="15" t="s">
        <v>2819</v>
      </c>
      <c r="D3551" s="14" t="s">
        <v>1745</v>
      </c>
      <c r="E3551" s="14" t="s">
        <v>1746</v>
      </c>
      <c r="F3551" s="14">
        <v>8001</v>
      </c>
      <c r="G3551" s="14">
        <v>6400.8</v>
      </c>
      <c r="H3551" s="37">
        <f>'Calculation Sheet'!N3551</f>
        <v>6400.8</v>
      </c>
    </row>
    <row r="3552" spans="1:8" x14ac:dyDescent="0.25">
      <c r="A3552" s="14" t="s">
        <v>2815</v>
      </c>
      <c r="B3552" s="14">
        <v>4</v>
      </c>
      <c r="C3552" s="15" t="s">
        <v>2819</v>
      </c>
      <c r="D3552" s="14" t="s">
        <v>1749</v>
      </c>
      <c r="E3552" s="14" t="s">
        <v>1746</v>
      </c>
      <c r="F3552" s="14">
        <v>762</v>
      </c>
      <c r="G3552" s="14">
        <v>609.6</v>
      </c>
      <c r="H3552" s="37">
        <f>'Calculation Sheet'!N3552</f>
        <v>609.6</v>
      </c>
    </row>
    <row r="3553" spans="1:8" x14ac:dyDescent="0.25">
      <c r="A3553" s="14" t="s">
        <v>2815</v>
      </c>
      <c r="B3553" s="14">
        <v>1</v>
      </c>
      <c r="C3553" s="15" t="s">
        <v>2817</v>
      </c>
      <c r="D3553" s="14" t="s">
        <v>1745</v>
      </c>
      <c r="E3553" s="14" t="s">
        <v>1746</v>
      </c>
      <c r="F3553" s="14">
        <v>14931</v>
      </c>
      <c r="G3553" s="14">
        <v>11944.8</v>
      </c>
      <c r="H3553" s="37">
        <f>'Calculation Sheet'!N3553</f>
        <v>11944.8</v>
      </c>
    </row>
    <row r="3554" spans="1:8" x14ac:dyDescent="0.25">
      <c r="A3554" s="14" t="s">
        <v>2815</v>
      </c>
      <c r="B3554" s="14">
        <v>2</v>
      </c>
      <c r="C3554" s="15" t="s">
        <v>2816</v>
      </c>
      <c r="D3554" s="14" t="s">
        <v>1745</v>
      </c>
      <c r="E3554" s="14" t="s">
        <v>1747</v>
      </c>
      <c r="F3554" s="14">
        <v>7620</v>
      </c>
      <c r="G3554" s="14">
        <v>6096</v>
      </c>
      <c r="H3554" s="37">
        <f>'Calculation Sheet'!N3554</f>
        <v>6096</v>
      </c>
    </row>
    <row r="3555" spans="1:8" x14ac:dyDescent="0.25">
      <c r="A3555" s="14" t="s">
        <v>2815</v>
      </c>
      <c r="B3555" s="14">
        <v>4</v>
      </c>
      <c r="C3555" s="15" t="s">
        <v>2819</v>
      </c>
      <c r="D3555" s="14" t="s">
        <v>1745</v>
      </c>
      <c r="E3555" s="14" t="s">
        <v>1747</v>
      </c>
      <c r="F3555" s="14">
        <v>7620</v>
      </c>
      <c r="G3555" s="14">
        <v>6096</v>
      </c>
      <c r="H3555" s="37">
        <f>'Calculation Sheet'!N3555</f>
        <v>6096</v>
      </c>
    </row>
    <row r="3556" spans="1:8" x14ac:dyDescent="0.25">
      <c r="A3556" s="14" t="s">
        <v>2820</v>
      </c>
      <c r="B3556" s="14" t="s">
        <v>73</v>
      </c>
      <c r="C3556" s="15" t="s">
        <v>2821</v>
      </c>
      <c r="D3556" s="14" t="s">
        <v>1749</v>
      </c>
      <c r="E3556" s="14" t="s">
        <v>1746</v>
      </c>
      <c r="F3556" s="14">
        <v>384</v>
      </c>
      <c r="G3556" s="14">
        <v>345.6</v>
      </c>
      <c r="H3556" s="37">
        <f>'Calculation Sheet'!N3556</f>
        <v>345.6</v>
      </c>
    </row>
    <row r="3557" spans="1:8" x14ac:dyDescent="0.25">
      <c r="A3557" s="14" t="s">
        <v>2820</v>
      </c>
      <c r="B3557" s="14">
        <v>2</v>
      </c>
      <c r="C3557" s="15" t="s">
        <v>2822</v>
      </c>
      <c r="D3557" s="14" t="s">
        <v>1745</v>
      </c>
      <c r="E3557" s="14" t="s">
        <v>1747</v>
      </c>
      <c r="F3557" s="14">
        <v>12780</v>
      </c>
      <c r="G3557" s="14">
        <v>10479.6</v>
      </c>
      <c r="H3557" s="37">
        <f>'Calculation Sheet'!N3557</f>
        <v>10479.6</v>
      </c>
    </row>
    <row r="3558" spans="1:8" x14ac:dyDescent="0.25">
      <c r="A3558" s="14" t="s">
        <v>2820</v>
      </c>
      <c r="B3558" s="14" t="s">
        <v>73</v>
      </c>
      <c r="C3558" s="15" t="s">
        <v>2821</v>
      </c>
      <c r="D3558" s="14" t="s">
        <v>1745</v>
      </c>
      <c r="E3558" s="14" t="s">
        <v>1746</v>
      </c>
      <c r="F3558" s="14">
        <v>4032</v>
      </c>
      <c r="G3558" s="14">
        <v>3628.8</v>
      </c>
      <c r="H3558" s="37">
        <f>'Calculation Sheet'!N3558</f>
        <v>3628.8</v>
      </c>
    </row>
    <row r="3559" spans="1:8" x14ac:dyDescent="0.25">
      <c r="A3559" s="14" t="s">
        <v>2820</v>
      </c>
      <c r="B3559" s="14" t="s">
        <v>73</v>
      </c>
      <c r="C3559" s="15" t="s">
        <v>2821</v>
      </c>
      <c r="D3559" s="14" t="s">
        <v>1745</v>
      </c>
      <c r="E3559" s="14" t="s">
        <v>1747</v>
      </c>
      <c r="F3559" s="14">
        <v>3840</v>
      </c>
      <c r="G3559" s="14">
        <v>3456</v>
      </c>
      <c r="H3559" s="37">
        <f>'Calculation Sheet'!N3559</f>
        <v>3456</v>
      </c>
    </row>
    <row r="3560" spans="1:8" x14ac:dyDescent="0.25">
      <c r="A3560" s="14" t="s">
        <v>2820</v>
      </c>
      <c r="B3560" s="14">
        <v>2</v>
      </c>
      <c r="C3560" s="15" t="s">
        <v>2822</v>
      </c>
      <c r="D3560" s="14" t="s">
        <v>1745</v>
      </c>
      <c r="E3560" s="14" t="s">
        <v>1746</v>
      </c>
      <c r="F3560" s="14">
        <v>13419</v>
      </c>
      <c r="G3560" s="14">
        <v>11003.64</v>
      </c>
      <c r="H3560" s="37">
        <f>'Calculation Sheet'!N3560</f>
        <v>11003.64</v>
      </c>
    </row>
    <row r="3561" spans="1:8" x14ac:dyDescent="0.25">
      <c r="A3561" s="14" t="s">
        <v>2820</v>
      </c>
      <c r="B3561" s="14">
        <v>2</v>
      </c>
      <c r="C3561" s="15" t="s">
        <v>2822</v>
      </c>
      <c r="D3561" s="14" t="s">
        <v>1749</v>
      </c>
      <c r="E3561" s="14" t="s">
        <v>1746</v>
      </c>
      <c r="F3561" s="14">
        <v>1278</v>
      </c>
      <c r="G3561" s="14">
        <v>1047.96</v>
      </c>
      <c r="H3561" s="37">
        <f>'Calculation Sheet'!N3561</f>
        <v>1047.96</v>
      </c>
    </row>
    <row r="3562" spans="1:8" x14ac:dyDescent="0.25">
      <c r="A3562" s="14" t="s">
        <v>2823</v>
      </c>
      <c r="B3562" s="14" t="s">
        <v>28</v>
      </c>
      <c r="C3562" s="15" t="s">
        <v>2824</v>
      </c>
      <c r="D3562" s="14" t="s">
        <v>1745</v>
      </c>
      <c r="E3562" s="14" t="s">
        <v>1746</v>
      </c>
      <c r="F3562" s="14">
        <v>35891.160000000003</v>
      </c>
      <c r="G3562" s="14">
        <v>28712.880000000001</v>
      </c>
      <c r="H3562" s="37">
        <f>'Calculation Sheet'!N3562</f>
        <v>28712.880000000001</v>
      </c>
    </row>
    <row r="3563" spans="1:8" x14ac:dyDescent="0.25">
      <c r="A3563" s="14" t="s">
        <v>2823</v>
      </c>
      <c r="B3563" s="14" t="s">
        <v>122</v>
      </c>
      <c r="C3563" s="15" t="s">
        <v>2825</v>
      </c>
      <c r="D3563" s="14" t="s">
        <v>1745</v>
      </c>
      <c r="E3563" s="14" t="s">
        <v>1746</v>
      </c>
      <c r="F3563" s="14">
        <v>43999.199999999997</v>
      </c>
      <c r="G3563" s="14">
        <v>35199.360000000001</v>
      </c>
      <c r="H3563" s="37">
        <f>'Calculation Sheet'!N3563</f>
        <v>35199.360000000001</v>
      </c>
    </row>
    <row r="3564" spans="1:8" x14ac:dyDescent="0.25">
      <c r="A3564" s="14" t="s">
        <v>2823</v>
      </c>
      <c r="B3564" s="14" t="s">
        <v>28</v>
      </c>
      <c r="C3564" s="15" t="s">
        <v>2824</v>
      </c>
      <c r="D3564" s="14" t="s">
        <v>1749</v>
      </c>
      <c r="E3564" s="14" t="s">
        <v>1746</v>
      </c>
      <c r="F3564" s="14">
        <v>3165</v>
      </c>
      <c r="G3564" s="14">
        <v>2532</v>
      </c>
      <c r="H3564" s="37">
        <f>'Calculation Sheet'!N3564</f>
        <v>2532</v>
      </c>
    </row>
    <row r="3565" spans="1:8" x14ac:dyDescent="0.25">
      <c r="A3565" s="14" t="s">
        <v>2823</v>
      </c>
      <c r="B3565" s="14" t="s">
        <v>39</v>
      </c>
      <c r="C3565" s="15" t="s">
        <v>2826</v>
      </c>
      <c r="D3565" s="14" t="s">
        <v>1745</v>
      </c>
      <c r="E3565" s="14" t="s">
        <v>1746</v>
      </c>
      <c r="F3565" s="14">
        <v>28520.16</v>
      </c>
      <c r="G3565" s="14">
        <v>22816.080000000002</v>
      </c>
      <c r="H3565" s="37">
        <f>'Calculation Sheet'!N3565</f>
        <v>22816.080000000002</v>
      </c>
    </row>
    <row r="3566" spans="1:8" x14ac:dyDescent="0.25">
      <c r="A3566" s="14" t="s">
        <v>2823</v>
      </c>
      <c r="B3566" s="14">
        <v>5</v>
      </c>
      <c r="C3566" s="15" t="s">
        <v>2827</v>
      </c>
      <c r="D3566" s="14" t="s">
        <v>1745</v>
      </c>
      <c r="E3566" s="14" t="s">
        <v>1747</v>
      </c>
      <c r="F3566" s="14">
        <v>98604</v>
      </c>
      <c r="G3566" s="14">
        <v>78883.199999999997</v>
      </c>
      <c r="H3566" s="37">
        <f>'Calculation Sheet'!N3566</f>
        <v>78883.199999999997</v>
      </c>
    </row>
    <row r="3567" spans="1:8" x14ac:dyDescent="0.25">
      <c r="A3567" s="14" t="s">
        <v>2823</v>
      </c>
      <c r="B3567" s="14">
        <v>4</v>
      </c>
      <c r="C3567" s="15" t="s">
        <v>2828</v>
      </c>
      <c r="D3567" s="14" t="s">
        <v>1745</v>
      </c>
      <c r="E3567" s="14" t="s">
        <v>1746</v>
      </c>
      <c r="F3567" s="14">
        <v>110848.6</v>
      </c>
      <c r="G3567" s="14">
        <v>88678.8</v>
      </c>
      <c r="H3567" s="37">
        <f>'Calculation Sheet'!N3567</f>
        <v>88678.8</v>
      </c>
    </row>
    <row r="3568" spans="1:8" x14ac:dyDescent="0.25">
      <c r="A3568" s="14" t="s">
        <v>2823</v>
      </c>
      <c r="B3568" s="14" t="s">
        <v>46</v>
      </c>
      <c r="C3568" s="15" t="s">
        <v>2829</v>
      </c>
      <c r="D3568" s="14" t="s">
        <v>1749</v>
      </c>
      <c r="E3568" s="14" t="s">
        <v>1746</v>
      </c>
      <c r="F3568" s="14">
        <v>3235</v>
      </c>
      <c r="G3568" s="14">
        <v>2588</v>
      </c>
      <c r="H3568" s="37">
        <f>'Calculation Sheet'!N3568</f>
        <v>2588</v>
      </c>
    </row>
    <row r="3569" spans="1:8" x14ac:dyDescent="0.25">
      <c r="A3569" s="14" t="s">
        <v>2823</v>
      </c>
      <c r="B3569" s="14" t="s">
        <v>46</v>
      </c>
      <c r="C3569" s="15" t="s">
        <v>2829</v>
      </c>
      <c r="D3569" s="14" t="s">
        <v>1745</v>
      </c>
      <c r="E3569" s="14" t="s">
        <v>1747</v>
      </c>
      <c r="F3569" s="14">
        <v>34938</v>
      </c>
      <c r="G3569" s="14">
        <v>27950.400000000001</v>
      </c>
      <c r="H3569" s="37">
        <f>'Calculation Sheet'!N3569</f>
        <v>27950.400000000001</v>
      </c>
    </row>
    <row r="3570" spans="1:8" x14ac:dyDescent="0.25">
      <c r="A3570" s="14" t="s">
        <v>2823</v>
      </c>
      <c r="B3570" s="14">
        <v>25</v>
      </c>
      <c r="C3570" s="15" t="s">
        <v>2830</v>
      </c>
      <c r="D3570" s="14" t="s">
        <v>1749</v>
      </c>
      <c r="E3570" s="14" t="s">
        <v>1746</v>
      </c>
      <c r="F3570" s="14">
        <v>20200</v>
      </c>
      <c r="G3570" s="14">
        <v>16160</v>
      </c>
      <c r="H3570" s="37">
        <f>'Calculation Sheet'!N3570</f>
        <v>16160</v>
      </c>
    </row>
    <row r="3571" spans="1:8" x14ac:dyDescent="0.25">
      <c r="A3571" s="14" t="s">
        <v>2823</v>
      </c>
      <c r="B3571" s="14">
        <v>5</v>
      </c>
      <c r="C3571" s="15" t="s">
        <v>2827</v>
      </c>
      <c r="D3571" s="14" t="s">
        <v>1745</v>
      </c>
      <c r="E3571" s="14" t="s">
        <v>1746</v>
      </c>
      <c r="F3571" s="14">
        <v>103534.2</v>
      </c>
      <c r="G3571" s="14">
        <v>82827.360000000001</v>
      </c>
      <c r="H3571" s="37">
        <f>'Calculation Sheet'!N3571</f>
        <v>82827.360000000001</v>
      </c>
    </row>
    <row r="3572" spans="1:8" x14ac:dyDescent="0.25">
      <c r="A3572" s="14" t="s">
        <v>2823</v>
      </c>
      <c r="B3572" s="14" t="s">
        <v>32</v>
      </c>
      <c r="C3572" s="15" t="s">
        <v>2831</v>
      </c>
      <c r="D3572" s="14" t="s">
        <v>1749</v>
      </c>
      <c r="E3572" s="14" t="s">
        <v>1746</v>
      </c>
      <c r="F3572" s="14">
        <v>2300</v>
      </c>
      <c r="G3572" s="14">
        <v>1840</v>
      </c>
      <c r="H3572" s="37">
        <f>'Calculation Sheet'!N3572</f>
        <v>1840</v>
      </c>
    </row>
    <row r="3573" spans="1:8" x14ac:dyDescent="0.25">
      <c r="A3573" s="14" t="s">
        <v>2823</v>
      </c>
      <c r="B3573" s="14">
        <v>10</v>
      </c>
      <c r="C3573" s="15" t="s">
        <v>2829</v>
      </c>
      <c r="D3573" s="14" t="s">
        <v>1749</v>
      </c>
      <c r="E3573" s="14" t="s">
        <v>1766</v>
      </c>
      <c r="F3573" s="14">
        <v>0</v>
      </c>
      <c r="G3573" s="14">
        <v>0</v>
      </c>
      <c r="H3573" s="37">
        <f>'Calculation Sheet'!N3573</f>
        <v>0</v>
      </c>
    </row>
    <row r="3574" spans="1:8" x14ac:dyDescent="0.25">
      <c r="A3574" s="14" t="s">
        <v>2823</v>
      </c>
      <c r="B3574" s="14" t="s">
        <v>122</v>
      </c>
      <c r="C3574" s="15" t="s">
        <v>2825</v>
      </c>
      <c r="D3574" s="14" t="s">
        <v>1745</v>
      </c>
      <c r="E3574" s="14" t="s">
        <v>1747</v>
      </c>
      <c r="F3574" s="14">
        <v>41904</v>
      </c>
      <c r="G3574" s="14">
        <v>33523.199999999997</v>
      </c>
      <c r="H3574" s="37">
        <f>'Calculation Sheet'!N3574</f>
        <v>33523.199999999997</v>
      </c>
    </row>
    <row r="3575" spans="1:8" x14ac:dyDescent="0.25">
      <c r="A3575" s="14" t="s">
        <v>2823</v>
      </c>
      <c r="B3575" s="14" t="s">
        <v>39</v>
      </c>
      <c r="C3575" s="15" t="s">
        <v>2826</v>
      </c>
      <c r="D3575" s="14" t="s">
        <v>1745</v>
      </c>
      <c r="E3575" s="14" t="s">
        <v>1747</v>
      </c>
      <c r="F3575" s="14">
        <v>27162</v>
      </c>
      <c r="G3575" s="14">
        <v>21729.599999999999</v>
      </c>
      <c r="H3575" s="37">
        <f>'Calculation Sheet'!N3575</f>
        <v>21729.599999999999</v>
      </c>
    </row>
    <row r="3576" spans="1:8" x14ac:dyDescent="0.25">
      <c r="A3576" s="14" t="s">
        <v>2823</v>
      </c>
      <c r="B3576" s="14" t="s">
        <v>36</v>
      </c>
      <c r="C3576" s="15" t="s">
        <v>2832</v>
      </c>
      <c r="D3576" s="14" t="s">
        <v>1745</v>
      </c>
      <c r="E3576" s="14" t="s">
        <v>1747</v>
      </c>
      <c r="F3576" s="14">
        <v>61344</v>
      </c>
      <c r="G3576" s="14">
        <v>49075.199999999997</v>
      </c>
      <c r="H3576" s="37">
        <f>'Calculation Sheet'!N3576</f>
        <v>49075.199999999997</v>
      </c>
    </row>
    <row r="3577" spans="1:8" x14ac:dyDescent="0.25">
      <c r="A3577" s="14" t="s">
        <v>2823</v>
      </c>
      <c r="B3577" s="14">
        <v>24</v>
      </c>
      <c r="C3577" s="15" t="s">
        <v>2833</v>
      </c>
      <c r="D3577" s="14" t="s">
        <v>1745</v>
      </c>
      <c r="E3577" s="14" t="s">
        <v>1747</v>
      </c>
      <c r="F3577" s="14">
        <v>247644</v>
      </c>
      <c r="G3577" s="14">
        <v>198115.20000000001</v>
      </c>
      <c r="H3577" s="37">
        <f>'Calculation Sheet'!N3577</f>
        <v>198115.20000000001</v>
      </c>
    </row>
    <row r="3578" spans="1:8" x14ac:dyDescent="0.25">
      <c r="A3578" s="14" t="s">
        <v>2823</v>
      </c>
      <c r="B3578" s="14">
        <v>1</v>
      </c>
      <c r="C3578" s="15" t="s">
        <v>2834</v>
      </c>
      <c r="D3578" s="14" t="s">
        <v>1745</v>
      </c>
      <c r="E3578" s="14" t="s">
        <v>1747</v>
      </c>
      <c r="F3578" s="14">
        <v>81486</v>
      </c>
      <c r="G3578" s="14">
        <v>65188.800000000003</v>
      </c>
      <c r="H3578" s="37">
        <f>'Calculation Sheet'!N3578</f>
        <v>65188.800000000003</v>
      </c>
    </row>
    <row r="3579" spans="1:8" x14ac:dyDescent="0.25">
      <c r="A3579" s="14" t="s">
        <v>2823</v>
      </c>
      <c r="B3579" s="14">
        <v>1</v>
      </c>
      <c r="C3579" s="15" t="s">
        <v>2834</v>
      </c>
      <c r="D3579" s="14" t="s">
        <v>1749</v>
      </c>
      <c r="E3579" s="14" t="s">
        <v>1746</v>
      </c>
      <c r="F3579" s="14">
        <v>7545</v>
      </c>
      <c r="G3579" s="14">
        <v>6036</v>
      </c>
      <c r="H3579" s="37">
        <f>'Calculation Sheet'!N3579</f>
        <v>6036</v>
      </c>
    </row>
    <row r="3580" spans="1:8" x14ac:dyDescent="0.25">
      <c r="A3580" s="14" t="s">
        <v>2823</v>
      </c>
      <c r="B3580" s="14">
        <v>2</v>
      </c>
      <c r="C3580" s="15" t="s">
        <v>2835</v>
      </c>
      <c r="D3580" s="14" t="s">
        <v>1749</v>
      </c>
      <c r="E3580" s="14" t="s">
        <v>1746</v>
      </c>
      <c r="F3580" s="14">
        <v>11645</v>
      </c>
      <c r="G3580" s="14">
        <v>9316</v>
      </c>
      <c r="H3580" s="37">
        <f>'Calculation Sheet'!N3580</f>
        <v>9316</v>
      </c>
    </row>
    <row r="3581" spans="1:8" x14ac:dyDescent="0.25">
      <c r="A3581" s="14" t="s">
        <v>2823</v>
      </c>
      <c r="B3581" s="14">
        <v>2</v>
      </c>
      <c r="C3581" s="15" t="s">
        <v>2835</v>
      </c>
      <c r="D3581" s="14" t="s">
        <v>1745</v>
      </c>
      <c r="E3581" s="14" t="s">
        <v>1747</v>
      </c>
      <c r="F3581" s="14">
        <v>125766</v>
      </c>
      <c r="G3581" s="14">
        <v>100612.8</v>
      </c>
      <c r="H3581" s="37">
        <f>'Calculation Sheet'!N3581</f>
        <v>100612.8</v>
      </c>
    </row>
    <row r="3582" spans="1:8" x14ac:dyDescent="0.25">
      <c r="A3582" s="14" t="s">
        <v>2823</v>
      </c>
      <c r="B3582" s="14" t="s">
        <v>29</v>
      </c>
      <c r="C3582" s="15" t="s">
        <v>2836</v>
      </c>
      <c r="D3582" s="14" t="s">
        <v>1745</v>
      </c>
      <c r="E3582" s="14" t="s">
        <v>1746</v>
      </c>
      <c r="F3582" s="14">
        <v>57040.2</v>
      </c>
      <c r="G3582" s="14">
        <v>45632.160000000003</v>
      </c>
      <c r="H3582" s="37">
        <f>'Calculation Sheet'!N3582</f>
        <v>45632.160000000003</v>
      </c>
    </row>
    <row r="3583" spans="1:8" x14ac:dyDescent="0.25">
      <c r="A3583" s="14" t="s">
        <v>2823</v>
      </c>
      <c r="B3583" s="14">
        <v>1</v>
      </c>
      <c r="C3583" s="15" t="s">
        <v>2834</v>
      </c>
      <c r="D3583" s="14" t="s">
        <v>1745</v>
      </c>
      <c r="E3583" s="14" t="s">
        <v>1746</v>
      </c>
      <c r="F3583" s="14">
        <v>85560.36</v>
      </c>
      <c r="G3583" s="14">
        <v>68448.240000000005</v>
      </c>
      <c r="H3583" s="37">
        <f>'Calculation Sheet'!N3583</f>
        <v>68448.240000000005</v>
      </c>
    </row>
    <row r="3584" spans="1:8" x14ac:dyDescent="0.25">
      <c r="A3584" s="14" t="s">
        <v>2823</v>
      </c>
      <c r="B3584" s="14">
        <v>24</v>
      </c>
      <c r="C3584" s="15" t="s">
        <v>2833</v>
      </c>
      <c r="D3584" s="14" t="s">
        <v>1749</v>
      </c>
      <c r="E3584" s="14" t="s">
        <v>1746</v>
      </c>
      <c r="F3584" s="14">
        <v>22930</v>
      </c>
      <c r="G3584" s="14">
        <v>18344</v>
      </c>
      <c r="H3584" s="37">
        <f>'Calculation Sheet'!N3584</f>
        <v>18344</v>
      </c>
    </row>
    <row r="3585" spans="1:8" x14ac:dyDescent="0.25">
      <c r="A3585" s="14" t="s">
        <v>2823</v>
      </c>
      <c r="B3585" s="14" t="s">
        <v>36</v>
      </c>
      <c r="C3585" s="15" t="s">
        <v>2832</v>
      </c>
      <c r="D3585" s="14" t="s">
        <v>1749</v>
      </c>
      <c r="E3585" s="14" t="s">
        <v>1746</v>
      </c>
      <c r="F3585" s="14">
        <v>5680</v>
      </c>
      <c r="G3585" s="14">
        <v>4544</v>
      </c>
      <c r="H3585" s="37">
        <f>'Calculation Sheet'!N3585</f>
        <v>4544</v>
      </c>
    </row>
    <row r="3586" spans="1:8" x14ac:dyDescent="0.25">
      <c r="A3586" s="14" t="s">
        <v>2823</v>
      </c>
      <c r="B3586" s="14" t="s">
        <v>32</v>
      </c>
      <c r="C3586" s="15" t="s">
        <v>2831</v>
      </c>
      <c r="D3586" s="14" t="s">
        <v>1745</v>
      </c>
      <c r="E3586" s="14" t="s">
        <v>1747</v>
      </c>
      <c r="F3586" s="14">
        <v>24840</v>
      </c>
      <c r="G3586" s="14">
        <v>19872</v>
      </c>
      <c r="H3586" s="37">
        <f>'Calculation Sheet'!N3586</f>
        <v>19872</v>
      </c>
    </row>
    <row r="3587" spans="1:8" x14ac:dyDescent="0.25">
      <c r="A3587" s="14" t="s">
        <v>2823</v>
      </c>
      <c r="B3587" s="14">
        <v>25</v>
      </c>
      <c r="C3587" s="15" t="s">
        <v>2830</v>
      </c>
      <c r="D3587" s="14" t="s">
        <v>1745</v>
      </c>
      <c r="E3587" s="14" t="s">
        <v>1746</v>
      </c>
      <c r="F3587" s="14">
        <v>229068</v>
      </c>
      <c r="G3587" s="14">
        <v>183254.39999999999</v>
      </c>
      <c r="H3587" s="37">
        <f>'Calculation Sheet'!N3587</f>
        <v>183254.39999999999</v>
      </c>
    </row>
    <row r="3588" spans="1:8" x14ac:dyDescent="0.25">
      <c r="A3588" s="14" t="s">
        <v>2823</v>
      </c>
      <c r="B3588" s="14" t="s">
        <v>39</v>
      </c>
      <c r="C3588" s="15" t="s">
        <v>2826</v>
      </c>
      <c r="D3588" s="14" t="s">
        <v>1749</v>
      </c>
      <c r="E3588" s="14" t="s">
        <v>1746</v>
      </c>
      <c r="F3588" s="14">
        <v>2515</v>
      </c>
      <c r="G3588" s="14">
        <v>2012</v>
      </c>
      <c r="H3588" s="37">
        <f>'Calculation Sheet'!N3588</f>
        <v>2012</v>
      </c>
    </row>
    <row r="3589" spans="1:8" x14ac:dyDescent="0.25">
      <c r="A3589" s="14" t="s">
        <v>2823</v>
      </c>
      <c r="B3589" s="14">
        <v>24</v>
      </c>
      <c r="C3589" s="15" t="s">
        <v>2833</v>
      </c>
      <c r="D3589" s="14" t="s">
        <v>1745</v>
      </c>
      <c r="E3589" s="14" t="s">
        <v>1746</v>
      </c>
      <c r="F3589" s="14">
        <v>260026.2</v>
      </c>
      <c r="G3589" s="14">
        <v>208021</v>
      </c>
      <c r="H3589" s="37">
        <f>'Calculation Sheet'!N3589</f>
        <v>208021</v>
      </c>
    </row>
    <row r="3590" spans="1:8" x14ac:dyDescent="0.25">
      <c r="A3590" s="14" t="s">
        <v>2823</v>
      </c>
      <c r="B3590" s="14" t="s">
        <v>29</v>
      </c>
      <c r="C3590" s="15" t="s">
        <v>2836</v>
      </c>
      <c r="D3590" s="14" t="s">
        <v>1749</v>
      </c>
      <c r="E3590" s="14" t="s">
        <v>1746</v>
      </c>
      <c r="F3590" s="14">
        <v>5030</v>
      </c>
      <c r="G3590" s="14">
        <v>4024</v>
      </c>
      <c r="H3590" s="37">
        <f>'Calculation Sheet'!N3590</f>
        <v>4024</v>
      </c>
    </row>
    <row r="3591" spans="1:8" x14ac:dyDescent="0.25">
      <c r="A3591" s="14" t="s">
        <v>2823</v>
      </c>
      <c r="B3591" s="14">
        <v>25</v>
      </c>
      <c r="C3591" s="15" t="s">
        <v>2830</v>
      </c>
      <c r="D3591" s="14" t="s">
        <v>1745</v>
      </c>
      <c r="E3591" s="14" t="s">
        <v>1747</v>
      </c>
      <c r="F3591" s="14">
        <v>218160</v>
      </c>
      <c r="G3591" s="14">
        <v>174528</v>
      </c>
      <c r="H3591" s="37">
        <f>'Calculation Sheet'!N3591</f>
        <v>174528</v>
      </c>
    </row>
    <row r="3592" spans="1:8" x14ac:dyDescent="0.25">
      <c r="A3592" s="14" t="s">
        <v>2823</v>
      </c>
      <c r="B3592" s="14">
        <v>4</v>
      </c>
      <c r="C3592" s="15" t="s">
        <v>2828</v>
      </c>
      <c r="D3592" s="14" t="s">
        <v>1749</v>
      </c>
      <c r="E3592" s="14" t="s">
        <v>1746</v>
      </c>
      <c r="F3592" s="14">
        <v>9775</v>
      </c>
      <c r="G3592" s="14">
        <v>7820</v>
      </c>
      <c r="H3592" s="37">
        <f>'Calculation Sheet'!N3592</f>
        <v>7820</v>
      </c>
    </row>
    <row r="3593" spans="1:8" x14ac:dyDescent="0.25">
      <c r="A3593" s="14" t="s">
        <v>2823</v>
      </c>
      <c r="B3593" s="14">
        <v>5</v>
      </c>
      <c r="C3593" s="15" t="s">
        <v>2827</v>
      </c>
      <c r="D3593" s="14" t="s">
        <v>1749</v>
      </c>
      <c r="E3593" s="14" t="s">
        <v>1746</v>
      </c>
      <c r="F3593" s="14">
        <v>9130</v>
      </c>
      <c r="G3593" s="14">
        <v>7304</v>
      </c>
      <c r="H3593" s="37">
        <f>'Calculation Sheet'!N3593</f>
        <v>7304</v>
      </c>
    </row>
    <row r="3594" spans="1:8" x14ac:dyDescent="0.25">
      <c r="A3594" s="14" t="s">
        <v>2823</v>
      </c>
      <c r="B3594" s="14" t="s">
        <v>36</v>
      </c>
      <c r="C3594" s="15" t="s">
        <v>2832</v>
      </c>
      <c r="D3594" s="14" t="s">
        <v>1745</v>
      </c>
      <c r="E3594" s="14" t="s">
        <v>1746</v>
      </c>
      <c r="F3594" s="14">
        <v>64411.199999999997</v>
      </c>
      <c r="G3594" s="14">
        <v>51528.959999999999</v>
      </c>
      <c r="H3594" s="37">
        <f>'Calculation Sheet'!N3594</f>
        <v>51528.959999999999</v>
      </c>
    </row>
    <row r="3595" spans="1:8" x14ac:dyDescent="0.25">
      <c r="A3595" s="14" t="s">
        <v>2823</v>
      </c>
      <c r="B3595" s="14" t="s">
        <v>32</v>
      </c>
      <c r="C3595" s="15" t="s">
        <v>2831</v>
      </c>
      <c r="D3595" s="14" t="s">
        <v>1745</v>
      </c>
      <c r="E3595" s="14" t="s">
        <v>1746</v>
      </c>
      <c r="F3595" s="14">
        <v>26082</v>
      </c>
      <c r="G3595" s="14">
        <v>20865.599999999999</v>
      </c>
      <c r="H3595" s="37">
        <f>'Calculation Sheet'!N3595</f>
        <v>20865.599999999999</v>
      </c>
    </row>
    <row r="3596" spans="1:8" x14ac:dyDescent="0.25">
      <c r="A3596" s="14" t="s">
        <v>2823</v>
      </c>
      <c r="B3596" s="14" t="s">
        <v>29</v>
      </c>
      <c r="C3596" s="15" t="s">
        <v>2836</v>
      </c>
      <c r="D3596" s="14" t="s">
        <v>1745</v>
      </c>
      <c r="E3596" s="14" t="s">
        <v>1747</v>
      </c>
      <c r="F3596" s="14">
        <v>54324</v>
      </c>
      <c r="G3596" s="14">
        <v>43459.199999999997</v>
      </c>
      <c r="H3596" s="37">
        <f>'Calculation Sheet'!N3596</f>
        <v>43459.199999999997</v>
      </c>
    </row>
    <row r="3597" spans="1:8" x14ac:dyDescent="0.25">
      <c r="A3597" s="14" t="s">
        <v>2823</v>
      </c>
      <c r="B3597" s="14" t="s">
        <v>122</v>
      </c>
      <c r="C3597" s="15" t="s">
        <v>2825</v>
      </c>
      <c r="D3597" s="14" t="s">
        <v>1749</v>
      </c>
      <c r="E3597" s="14" t="s">
        <v>1746</v>
      </c>
      <c r="F3597" s="14">
        <v>3880</v>
      </c>
      <c r="G3597" s="14">
        <v>3104</v>
      </c>
      <c r="H3597" s="37">
        <f>'Calculation Sheet'!N3597</f>
        <v>3104</v>
      </c>
    </row>
    <row r="3598" spans="1:8" x14ac:dyDescent="0.25">
      <c r="A3598" s="14" t="s">
        <v>2823</v>
      </c>
      <c r="B3598" s="14">
        <v>2</v>
      </c>
      <c r="C3598" s="15" t="s">
        <v>2835</v>
      </c>
      <c r="D3598" s="14" t="s">
        <v>1745</v>
      </c>
      <c r="E3598" s="14" t="s">
        <v>1746</v>
      </c>
      <c r="F3598" s="14">
        <v>132054.39999999999</v>
      </c>
      <c r="G3598" s="14">
        <v>105643.4</v>
      </c>
      <c r="H3598" s="37">
        <f>'Calculation Sheet'!N3598</f>
        <v>105643.4</v>
      </c>
    </row>
    <row r="3599" spans="1:8" x14ac:dyDescent="0.25">
      <c r="A3599" s="14" t="s">
        <v>2823</v>
      </c>
      <c r="B3599" s="14">
        <v>4</v>
      </c>
      <c r="C3599" s="15" t="s">
        <v>2828</v>
      </c>
      <c r="D3599" s="14" t="s">
        <v>1745</v>
      </c>
      <c r="E3599" s="14" t="s">
        <v>1747</v>
      </c>
      <c r="F3599" s="14">
        <v>105570</v>
      </c>
      <c r="G3599" s="14">
        <v>84456</v>
      </c>
      <c r="H3599" s="37">
        <f>'Calculation Sheet'!N3599</f>
        <v>84456</v>
      </c>
    </row>
    <row r="3600" spans="1:8" x14ac:dyDescent="0.25">
      <c r="A3600" s="14" t="s">
        <v>2823</v>
      </c>
      <c r="B3600" s="14" t="s">
        <v>46</v>
      </c>
      <c r="C3600" s="15" t="s">
        <v>2829</v>
      </c>
      <c r="D3600" s="14" t="s">
        <v>1745</v>
      </c>
      <c r="E3600" s="14" t="s">
        <v>1746</v>
      </c>
      <c r="F3600" s="14">
        <v>36684.959999999999</v>
      </c>
      <c r="G3600" s="14">
        <v>29347.919999999998</v>
      </c>
      <c r="H3600" s="37">
        <f>'Calculation Sheet'!N3600</f>
        <v>29347.919999999998</v>
      </c>
    </row>
    <row r="3601" spans="1:8" x14ac:dyDescent="0.25">
      <c r="A3601" s="14" t="s">
        <v>2823</v>
      </c>
      <c r="B3601" s="14" t="s">
        <v>28</v>
      </c>
      <c r="C3601" s="15" t="s">
        <v>2824</v>
      </c>
      <c r="D3601" s="14" t="s">
        <v>1745</v>
      </c>
      <c r="E3601" s="14" t="s">
        <v>1747</v>
      </c>
      <c r="F3601" s="14">
        <v>34182</v>
      </c>
      <c r="G3601" s="14">
        <v>27345.599999999999</v>
      </c>
      <c r="H3601" s="37">
        <f>'Calculation Sheet'!N3601</f>
        <v>27345.599999999999</v>
      </c>
    </row>
    <row r="3602" spans="1:8" x14ac:dyDescent="0.25">
      <c r="A3602" s="14" t="s">
        <v>1433</v>
      </c>
      <c r="B3602" s="14">
        <v>1</v>
      </c>
      <c r="C3602" s="15" t="s">
        <v>1432</v>
      </c>
      <c r="D3602" s="14" t="s">
        <v>1749</v>
      </c>
      <c r="E3602" s="14" t="s">
        <v>1746</v>
      </c>
      <c r="F3602" s="14">
        <v>450</v>
      </c>
      <c r="G3602" s="14">
        <v>360</v>
      </c>
      <c r="H3602" s="37">
        <f>'Calculation Sheet'!N3602</f>
        <v>356.4</v>
      </c>
    </row>
    <row r="3603" spans="1:8" x14ac:dyDescent="0.25">
      <c r="A3603" s="14" t="s">
        <v>1433</v>
      </c>
      <c r="B3603" s="14">
        <v>1</v>
      </c>
      <c r="C3603" s="15" t="s">
        <v>1432</v>
      </c>
      <c r="D3603" s="14" t="s">
        <v>1745</v>
      </c>
      <c r="E3603" s="14" t="s">
        <v>1747</v>
      </c>
      <c r="F3603" s="14">
        <v>4860</v>
      </c>
      <c r="G3603" s="14">
        <v>3888</v>
      </c>
      <c r="H3603" s="37">
        <f>'Calculation Sheet'!N3603</f>
        <v>3771.36</v>
      </c>
    </row>
    <row r="3604" spans="1:8" x14ac:dyDescent="0.25">
      <c r="A3604" s="14" t="s">
        <v>1433</v>
      </c>
      <c r="B3604" s="14">
        <v>1</v>
      </c>
      <c r="C3604" s="15" t="s">
        <v>1432</v>
      </c>
      <c r="D3604" s="14" t="s">
        <v>1745</v>
      </c>
      <c r="E3604" s="14" t="s">
        <v>1746</v>
      </c>
      <c r="F3604" s="14">
        <v>5103</v>
      </c>
      <c r="G3604" s="14">
        <v>4082.4</v>
      </c>
      <c r="H3604" s="37">
        <f>'Calculation Sheet'!N3604</f>
        <v>4041.576</v>
      </c>
    </row>
    <row r="3605" spans="1:8" x14ac:dyDescent="0.25">
      <c r="A3605" s="14" t="s">
        <v>1437</v>
      </c>
      <c r="B3605" s="14">
        <v>3</v>
      </c>
      <c r="C3605" s="15" t="s">
        <v>1439</v>
      </c>
      <c r="D3605" s="14" t="s">
        <v>1745</v>
      </c>
      <c r="E3605" s="14" t="s">
        <v>1747</v>
      </c>
      <c r="F3605" s="14">
        <v>43686</v>
      </c>
      <c r="G3605" s="14">
        <v>34948.800000000003</v>
      </c>
      <c r="H3605" s="37">
        <f>'Calculation Sheet'!N3605</f>
        <v>33900.336000000003</v>
      </c>
    </row>
    <row r="3606" spans="1:8" x14ac:dyDescent="0.25">
      <c r="A3606" s="14" t="s">
        <v>1437</v>
      </c>
      <c r="B3606" s="14">
        <v>2</v>
      </c>
      <c r="C3606" s="15" t="s">
        <v>1441</v>
      </c>
      <c r="D3606" s="14" t="s">
        <v>1745</v>
      </c>
      <c r="E3606" s="14" t="s">
        <v>1747</v>
      </c>
      <c r="F3606" s="14">
        <v>87318</v>
      </c>
      <c r="G3606" s="14">
        <v>69854.399999999994</v>
      </c>
      <c r="H3606" s="37">
        <f>'Calculation Sheet'!N3606</f>
        <v>67758.767999999996</v>
      </c>
    </row>
    <row r="3607" spans="1:8" x14ac:dyDescent="0.25">
      <c r="A3607" s="14" t="s">
        <v>1437</v>
      </c>
      <c r="B3607" s="14">
        <v>3</v>
      </c>
      <c r="C3607" s="15" t="s">
        <v>1439</v>
      </c>
      <c r="D3607" s="14" t="s">
        <v>1745</v>
      </c>
      <c r="E3607" s="14" t="s">
        <v>1746</v>
      </c>
      <c r="F3607" s="14">
        <v>45870.36</v>
      </c>
      <c r="G3607" s="14">
        <v>36696.239999999998</v>
      </c>
      <c r="H3607" s="37">
        <f>'Calculation Sheet'!N3607</f>
        <v>36329.277600000001</v>
      </c>
    </row>
    <row r="3608" spans="1:8" x14ac:dyDescent="0.25">
      <c r="A3608" s="14" t="s">
        <v>1437</v>
      </c>
      <c r="B3608" s="14">
        <v>2</v>
      </c>
      <c r="C3608" s="15" t="s">
        <v>1441</v>
      </c>
      <c r="D3608" s="14" t="s">
        <v>1745</v>
      </c>
      <c r="E3608" s="14" t="s">
        <v>1746</v>
      </c>
      <c r="F3608" s="14">
        <v>91683.96</v>
      </c>
      <c r="G3608" s="14">
        <v>73347.12</v>
      </c>
      <c r="H3608" s="37">
        <f>'Calculation Sheet'!N3608</f>
        <v>72613.648799999995</v>
      </c>
    </row>
    <row r="3609" spans="1:8" x14ac:dyDescent="0.25">
      <c r="A3609" s="14" t="s">
        <v>1437</v>
      </c>
      <c r="B3609" s="14">
        <v>4</v>
      </c>
      <c r="C3609" s="15" t="s">
        <v>1436</v>
      </c>
      <c r="D3609" s="14" t="s">
        <v>1745</v>
      </c>
      <c r="E3609" s="14" t="s">
        <v>1747</v>
      </c>
      <c r="F3609" s="14">
        <v>174690</v>
      </c>
      <c r="G3609" s="14">
        <v>139752</v>
      </c>
      <c r="H3609" s="37">
        <f>'Calculation Sheet'!N3609</f>
        <v>135559.44</v>
      </c>
    </row>
    <row r="3610" spans="1:8" x14ac:dyDescent="0.25">
      <c r="A3610" s="14" t="s">
        <v>1437</v>
      </c>
      <c r="B3610" s="14">
        <v>3</v>
      </c>
      <c r="C3610" s="15" t="s">
        <v>1439</v>
      </c>
      <c r="D3610" s="14" t="s">
        <v>1749</v>
      </c>
      <c r="E3610" s="14" t="s">
        <v>1746</v>
      </c>
      <c r="F3610" s="14">
        <v>4045</v>
      </c>
      <c r="G3610" s="14">
        <v>3236</v>
      </c>
      <c r="H3610" s="37">
        <f>'Calculation Sheet'!N3610</f>
        <v>3203.64</v>
      </c>
    </row>
    <row r="3611" spans="1:8" x14ac:dyDescent="0.25">
      <c r="A3611" s="14" t="s">
        <v>1437</v>
      </c>
      <c r="B3611" s="14">
        <v>4</v>
      </c>
      <c r="C3611" s="15" t="s">
        <v>1436</v>
      </c>
      <c r="D3611" s="14" t="s">
        <v>1749</v>
      </c>
      <c r="E3611" s="14" t="s">
        <v>1746</v>
      </c>
      <c r="F3611" s="14">
        <v>16175</v>
      </c>
      <c r="G3611" s="14">
        <v>12940</v>
      </c>
      <c r="H3611" s="37">
        <f>'Calculation Sheet'!N3611</f>
        <v>12810.6</v>
      </c>
    </row>
    <row r="3612" spans="1:8" x14ac:dyDescent="0.25">
      <c r="A3612" s="14" t="s">
        <v>1437</v>
      </c>
      <c r="B3612" s="14">
        <v>2</v>
      </c>
      <c r="C3612" s="15" t="s">
        <v>1441</v>
      </c>
      <c r="D3612" s="14" t="s">
        <v>1749</v>
      </c>
      <c r="E3612" s="14" t="s">
        <v>1746</v>
      </c>
      <c r="F3612" s="14">
        <v>8085</v>
      </c>
      <c r="G3612" s="14">
        <v>6468</v>
      </c>
      <c r="H3612" s="37">
        <f>'Calculation Sheet'!N3612</f>
        <v>6403.32</v>
      </c>
    </row>
    <row r="3613" spans="1:8" x14ac:dyDescent="0.25">
      <c r="A3613" s="14" t="s">
        <v>1437</v>
      </c>
      <c r="B3613" s="14">
        <v>4</v>
      </c>
      <c r="C3613" s="15" t="s">
        <v>1436</v>
      </c>
      <c r="D3613" s="14" t="s">
        <v>1745</v>
      </c>
      <c r="E3613" s="14" t="s">
        <v>1746</v>
      </c>
      <c r="F3613" s="14">
        <v>183424.6</v>
      </c>
      <c r="G3613" s="14">
        <v>146739.6</v>
      </c>
      <c r="H3613" s="37">
        <f>'Calculation Sheet'!N3613</f>
        <v>145272.204</v>
      </c>
    </row>
    <row r="3614" spans="1:8" x14ac:dyDescent="0.25">
      <c r="A3614" s="14" t="s">
        <v>1445</v>
      </c>
      <c r="B3614" s="14">
        <v>13</v>
      </c>
      <c r="C3614" s="15" t="s">
        <v>1533</v>
      </c>
      <c r="D3614" s="14" t="s">
        <v>1745</v>
      </c>
      <c r="E3614" s="14" t="s">
        <v>1746</v>
      </c>
      <c r="F3614" s="14">
        <v>31581.96</v>
      </c>
      <c r="G3614" s="14">
        <v>25265.52</v>
      </c>
      <c r="H3614" s="37">
        <f>'Calculation Sheet'!N3614</f>
        <v>25265.52</v>
      </c>
    </row>
    <row r="3615" spans="1:8" x14ac:dyDescent="0.25">
      <c r="A3615" s="14" t="s">
        <v>1445</v>
      </c>
      <c r="B3615" s="14">
        <v>15</v>
      </c>
      <c r="C3615" s="15" t="s">
        <v>1548</v>
      </c>
      <c r="D3615" s="14" t="s">
        <v>1749</v>
      </c>
      <c r="E3615" s="14" t="s">
        <v>1746</v>
      </c>
      <c r="F3615" s="14">
        <v>3685</v>
      </c>
      <c r="G3615" s="14">
        <v>2948</v>
      </c>
      <c r="H3615" s="37">
        <f>'Calculation Sheet'!N3615</f>
        <v>2948</v>
      </c>
    </row>
    <row r="3616" spans="1:8" x14ac:dyDescent="0.25">
      <c r="A3616" s="14" t="s">
        <v>1445</v>
      </c>
      <c r="B3616" s="14" t="s">
        <v>465</v>
      </c>
      <c r="C3616" s="15" t="s">
        <v>1604</v>
      </c>
      <c r="D3616" s="14" t="s">
        <v>1745</v>
      </c>
      <c r="E3616" s="14" t="s">
        <v>1747</v>
      </c>
      <c r="F3616" s="14">
        <v>998514</v>
      </c>
      <c r="G3616" s="14">
        <v>798811.2</v>
      </c>
      <c r="H3616" s="37">
        <f>'Calculation Sheet'!N3616</f>
        <v>798811.2</v>
      </c>
    </row>
    <row r="3617" spans="1:8" x14ac:dyDescent="0.25">
      <c r="A3617" s="14" t="s">
        <v>1445</v>
      </c>
      <c r="B3617" s="14">
        <v>15</v>
      </c>
      <c r="C3617" s="15" t="s">
        <v>1548</v>
      </c>
      <c r="D3617" s="14" t="s">
        <v>1745</v>
      </c>
      <c r="E3617" s="14" t="s">
        <v>1746</v>
      </c>
      <c r="F3617" s="14">
        <v>41787.96</v>
      </c>
      <c r="G3617" s="14">
        <v>33430.32</v>
      </c>
      <c r="H3617" s="37">
        <f>'Calculation Sheet'!N3617</f>
        <v>33430.32</v>
      </c>
    </row>
    <row r="3618" spans="1:8" x14ac:dyDescent="0.25">
      <c r="A3618" s="14" t="s">
        <v>1445</v>
      </c>
      <c r="B3618" s="14">
        <v>12</v>
      </c>
      <c r="C3618" s="15" t="s">
        <v>1543</v>
      </c>
      <c r="D3618" s="14" t="s">
        <v>1745</v>
      </c>
      <c r="E3618" s="14" t="s">
        <v>1746</v>
      </c>
      <c r="F3618" s="14">
        <v>28520.16</v>
      </c>
      <c r="G3618" s="14">
        <v>22816.080000000002</v>
      </c>
      <c r="H3618" s="37">
        <f>'Calculation Sheet'!N3618</f>
        <v>22816.080000000002</v>
      </c>
    </row>
    <row r="3619" spans="1:8" x14ac:dyDescent="0.25">
      <c r="A3619" s="14" t="s">
        <v>1445</v>
      </c>
      <c r="B3619" s="14" t="s">
        <v>1592</v>
      </c>
      <c r="C3619" s="15" t="s">
        <v>1591</v>
      </c>
      <c r="D3619" s="14" t="s">
        <v>1745</v>
      </c>
      <c r="E3619" s="14" t="s">
        <v>1746</v>
      </c>
      <c r="F3619" s="14">
        <v>1950197</v>
      </c>
      <c r="G3619" s="14">
        <v>1560157</v>
      </c>
      <c r="H3619" s="37">
        <f>'Calculation Sheet'!N3619</f>
        <v>1560157</v>
      </c>
    </row>
    <row r="3620" spans="1:8" x14ac:dyDescent="0.25">
      <c r="A3620" s="14" t="s">
        <v>1445</v>
      </c>
      <c r="B3620" s="14">
        <v>48</v>
      </c>
      <c r="C3620" s="15" t="s">
        <v>1528</v>
      </c>
      <c r="D3620" s="14" t="s">
        <v>1749</v>
      </c>
      <c r="E3620" s="14" t="s">
        <v>1746</v>
      </c>
      <c r="F3620" s="14">
        <v>24890</v>
      </c>
      <c r="G3620" s="14">
        <v>19912</v>
      </c>
      <c r="H3620" s="37">
        <f>'Calculation Sheet'!N3620</f>
        <v>19912</v>
      </c>
    </row>
    <row r="3621" spans="1:8" x14ac:dyDescent="0.25">
      <c r="A3621" s="14" t="s">
        <v>1445</v>
      </c>
      <c r="B3621" s="14" t="s">
        <v>488</v>
      </c>
      <c r="C3621" s="15" t="s">
        <v>1598</v>
      </c>
      <c r="D3621" s="14" t="s">
        <v>1749</v>
      </c>
      <c r="E3621" s="14" t="s">
        <v>1746</v>
      </c>
      <c r="F3621" s="14">
        <v>48250</v>
      </c>
      <c r="G3621" s="14">
        <v>38600</v>
      </c>
      <c r="H3621" s="37">
        <f>'Calculation Sheet'!N3621</f>
        <v>38600</v>
      </c>
    </row>
    <row r="3622" spans="1:8" x14ac:dyDescent="0.25">
      <c r="A3622" s="14" t="s">
        <v>1445</v>
      </c>
      <c r="B3622" s="14">
        <v>14</v>
      </c>
      <c r="C3622" s="15" t="s">
        <v>1538</v>
      </c>
      <c r="D3622" s="14" t="s">
        <v>1745</v>
      </c>
      <c r="E3622" s="14" t="s">
        <v>1747</v>
      </c>
      <c r="F3622" s="14">
        <v>38826</v>
      </c>
      <c r="G3622" s="14">
        <v>31060.799999999999</v>
      </c>
      <c r="H3622" s="37">
        <f>'Calculation Sheet'!N3622</f>
        <v>31060.799999999999</v>
      </c>
    </row>
    <row r="3623" spans="1:8" x14ac:dyDescent="0.25">
      <c r="A3623" s="14" t="s">
        <v>1445</v>
      </c>
      <c r="B3623" s="14" t="s">
        <v>118</v>
      </c>
      <c r="C3623" s="15" t="s">
        <v>1571</v>
      </c>
      <c r="D3623" s="14" t="s">
        <v>1745</v>
      </c>
      <c r="E3623" s="14" t="s">
        <v>1747</v>
      </c>
      <c r="F3623" s="14">
        <v>98010</v>
      </c>
      <c r="G3623" s="14">
        <v>78408</v>
      </c>
      <c r="H3623" s="37">
        <f>'Calculation Sheet'!N3623</f>
        <v>78408</v>
      </c>
    </row>
    <row r="3624" spans="1:8" x14ac:dyDescent="0.25">
      <c r="A3624" s="14" t="s">
        <v>1445</v>
      </c>
      <c r="B3624" s="14" t="s">
        <v>118</v>
      </c>
      <c r="C3624" s="15" t="s">
        <v>1571</v>
      </c>
      <c r="D3624" s="14" t="s">
        <v>1749</v>
      </c>
      <c r="E3624" s="14" t="s">
        <v>1746</v>
      </c>
      <c r="F3624" s="14">
        <v>9075</v>
      </c>
      <c r="G3624" s="14">
        <v>7260</v>
      </c>
      <c r="H3624" s="37">
        <f>'Calculation Sheet'!N3624</f>
        <v>7260</v>
      </c>
    </row>
    <row r="3625" spans="1:8" x14ac:dyDescent="0.25">
      <c r="A3625" s="14" t="s">
        <v>1445</v>
      </c>
      <c r="B3625" s="14">
        <v>15</v>
      </c>
      <c r="C3625" s="15" t="s">
        <v>1548</v>
      </c>
      <c r="D3625" s="14" t="s">
        <v>1745</v>
      </c>
      <c r="E3625" s="14" t="s">
        <v>1747</v>
      </c>
      <c r="F3625" s="14">
        <v>39798</v>
      </c>
      <c r="G3625" s="14">
        <v>31838.400000000001</v>
      </c>
      <c r="H3625" s="37">
        <f>'Calculation Sheet'!N3625</f>
        <v>31838.400000000001</v>
      </c>
    </row>
    <row r="3626" spans="1:8" x14ac:dyDescent="0.25">
      <c r="A3626" s="14" t="s">
        <v>1445</v>
      </c>
      <c r="B3626" s="14" t="s">
        <v>2837</v>
      </c>
      <c r="C3626" s="15" t="s">
        <v>1610</v>
      </c>
      <c r="D3626" s="14" t="s">
        <v>1745</v>
      </c>
      <c r="E3626" s="14" t="s">
        <v>1747</v>
      </c>
      <c r="F3626" s="14">
        <v>300834</v>
      </c>
      <c r="G3626" s="14">
        <v>240667.2</v>
      </c>
      <c r="H3626" s="37">
        <f>'Calculation Sheet'!N3626</f>
        <v>240667.2</v>
      </c>
    </row>
    <row r="3627" spans="1:8" x14ac:dyDescent="0.25">
      <c r="A3627" s="14" t="s">
        <v>1445</v>
      </c>
      <c r="B3627" s="14" t="s">
        <v>102</v>
      </c>
      <c r="C3627" s="15" t="s">
        <v>1562</v>
      </c>
      <c r="D3627" s="14" t="s">
        <v>1745</v>
      </c>
      <c r="E3627" s="14" t="s">
        <v>1747</v>
      </c>
      <c r="F3627" s="14">
        <v>64044</v>
      </c>
      <c r="G3627" s="14">
        <v>51235.199999999997</v>
      </c>
      <c r="H3627" s="37">
        <f>'Calculation Sheet'!N3627</f>
        <v>51235.199999999997</v>
      </c>
    </row>
    <row r="3628" spans="1:8" x14ac:dyDescent="0.25">
      <c r="A3628" s="14" t="s">
        <v>1445</v>
      </c>
      <c r="B3628" s="14" t="s">
        <v>102</v>
      </c>
      <c r="C3628" s="15" t="s">
        <v>1562</v>
      </c>
      <c r="D3628" s="14" t="s">
        <v>1749</v>
      </c>
      <c r="E3628" s="14" t="s">
        <v>1746</v>
      </c>
      <c r="F3628" s="14">
        <v>5930</v>
      </c>
      <c r="G3628" s="14">
        <v>4744</v>
      </c>
      <c r="H3628" s="37">
        <f>'Calculation Sheet'!N3628</f>
        <v>4744</v>
      </c>
    </row>
    <row r="3629" spans="1:8" x14ac:dyDescent="0.25">
      <c r="A3629" s="14" t="s">
        <v>1445</v>
      </c>
      <c r="B3629" s="14" t="s">
        <v>2837</v>
      </c>
      <c r="C3629" s="15" t="s">
        <v>1610</v>
      </c>
      <c r="D3629" s="14" t="s">
        <v>1749</v>
      </c>
      <c r="E3629" s="14" t="s">
        <v>1746</v>
      </c>
      <c r="F3629" s="14">
        <v>27855</v>
      </c>
      <c r="G3629" s="14">
        <v>22284</v>
      </c>
      <c r="H3629" s="37">
        <f>'Calculation Sheet'!N3629</f>
        <v>22284</v>
      </c>
    </row>
    <row r="3630" spans="1:8" x14ac:dyDescent="0.25">
      <c r="A3630" s="14" t="s">
        <v>1445</v>
      </c>
      <c r="B3630" s="14" t="s">
        <v>1561</v>
      </c>
      <c r="C3630" s="15" t="s">
        <v>1560</v>
      </c>
      <c r="D3630" s="14" t="s">
        <v>1745</v>
      </c>
      <c r="E3630" s="14" t="s">
        <v>1746</v>
      </c>
      <c r="F3630" s="14">
        <v>779455</v>
      </c>
      <c r="G3630" s="14">
        <v>623563.9</v>
      </c>
      <c r="H3630" s="37">
        <f>'Calculation Sheet'!N3630</f>
        <v>623563.9</v>
      </c>
    </row>
    <row r="3631" spans="1:8" x14ac:dyDescent="0.25">
      <c r="A3631" s="14" t="s">
        <v>1445</v>
      </c>
      <c r="B3631" s="14" t="s">
        <v>1592</v>
      </c>
      <c r="C3631" s="15" t="s">
        <v>1591</v>
      </c>
      <c r="D3631" s="14" t="s">
        <v>1749</v>
      </c>
      <c r="E3631" s="14" t="s">
        <v>1746</v>
      </c>
      <c r="F3631" s="14">
        <v>171975</v>
      </c>
      <c r="G3631" s="14">
        <v>137580</v>
      </c>
      <c r="H3631" s="37">
        <f>'Calculation Sheet'!N3631</f>
        <v>137580</v>
      </c>
    </row>
    <row r="3632" spans="1:8" x14ac:dyDescent="0.25">
      <c r="A3632" s="14" t="s">
        <v>1445</v>
      </c>
      <c r="B3632" s="14" t="s">
        <v>295</v>
      </c>
      <c r="C3632" s="15" t="s">
        <v>1524</v>
      </c>
      <c r="D3632" s="14" t="s">
        <v>1745</v>
      </c>
      <c r="E3632" s="14" t="s">
        <v>1746</v>
      </c>
      <c r="F3632" s="14">
        <v>320978.8</v>
      </c>
      <c r="G3632" s="14">
        <v>256783</v>
      </c>
      <c r="H3632" s="37">
        <f>'Calculation Sheet'!N3632</f>
        <v>256783</v>
      </c>
    </row>
    <row r="3633" spans="1:8" x14ac:dyDescent="0.25">
      <c r="A3633" s="14" t="s">
        <v>1445</v>
      </c>
      <c r="B3633" s="14" t="s">
        <v>243</v>
      </c>
      <c r="C3633" s="15" t="s">
        <v>1586</v>
      </c>
      <c r="D3633" s="14" t="s">
        <v>1749</v>
      </c>
      <c r="E3633" s="14" t="s">
        <v>1746</v>
      </c>
      <c r="F3633" s="14">
        <v>14195</v>
      </c>
      <c r="G3633" s="14">
        <v>11356</v>
      </c>
      <c r="H3633" s="37">
        <f>'Calculation Sheet'!N3633</f>
        <v>11356</v>
      </c>
    </row>
    <row r="3634" spans="1:8" x14ac:dyDescent="0.25">
      <c r="A3634" s="14" t="s">
        <v>1445</v>
      </c>
      <c r="B3634" s="14">
        <v>48</v>
      </c>
      <c r="C3634" s="15" t="s">
        <v>1528</v>
      </c>
      <c r="D3634" s="14" t="s">
        <v>1745</v>
      </c>
      <c r="E3634" s="14" t="s">
        <v>1746</v>
      </c>
      <c r="F3634" s="14">
        <v>282252.59999999998</v>
      </c>
      <c r="G3634" s="14">
        <v>225802.1</v>
      </c>
      <c r="H3634" s="37">
        <f>'Calculation Sheet'!N3634</f>
        <v>225802.1</v>
      </c>
    </row>
    <row r="3635" spans="1:8" x14ac:dyDescent="0.25">
      <c r="A3635" s="14" t="s">
        <v>1445</v>
      </c>
      <c r="B3635" s="14" t="s">
        <v>488</v>
      </c>
      <c r="C3635" s="15" t="s">
        <v>1598</v>
      </c>
      <c r="D3635" s="14" t="s">
        <v>1745</v>
      </c>
      <c r="E3635" s="14" t="s">
        <v>1746</v>
      </c>
      <c r="F3635" s="14">
        <v>547155</v>
      </c>
      <c r="G3635" s="14">
        <v>437724</v>
      </c>
      <c r="H3635" s="37">
        <f>'Calculation Sheet'!N3635</f>
        <v>437724</v>
      </c>
    </row>
    <row r="3636" spans="1:8" x14ac:dyDescent="0.25">
      <c r="A3636" s="14" t="s">
        <v>1445</v>
      </c>
      <c r="B3636" s="14" t="s">
        <v>650</v>
      </c>
      <c r="C3636" s="15" t="s">
        <v>1581</v>
      </c>
      <c r="D3636" s="14" t="s">
        <v>1745</v>
      </c>
      <c r="E3636" s="14" t="s">
        <v>1747</v>
      </c>
      <c r="F3636" s="14">
        <v>128088</v>
      </c>
      <c r="G3636" s="14">
        <v>102470.39999999999</v>
      </c>
      <c r="H3636" s="37">
        <f>'Calculation Sheet'!N3636</f>
        <v>102470.39999999999</v>
      </c>
    </row>
    <row r="3637" spans="1:8" x14ac:dyDescent="0.25">
      <c r="A3637" s="14" t="s">
        <v>1445</v>
      </c>
      <c r="B3637" s="14" t="s">
        <v>650</v>
      </c>
      <c r="C3637" s="15" t="s">
        <v>1581</v>
      </c>
      <c r="D3637" s="14" t="s">
        <v>1745</v>
      </c>
      <c r="E3637" s="14" t="s">
        <v>1746</v>
      </c>
      <c r="F3637" s="14">
        <v>134492.4</v>
      </c>
      <c r="G3637" s="14">
        <v>107593.9</v>
      </c>
      <c r="H3637" s="37">
        <f>'Calculation Sheet'!N3637</f>
        <v>107593.9</v>
      </c>
    </row>
    <row r="3638" spans="1:8" x14ac:dyDescent="0.25">
      <c r="A3638" s="14" t="s">
        <v>1445</v>
      </c>
      <c r="B3638" s="14" t="s">
        <v>243</v>
      </c>
      <c r="C3638" s="15" t="s">
        <v>1586</v>
      </c>
      <c r="D3638" s="14" t="s">
        <v>1745</v>
      </c>
      <c r="E3638" s="14" t="s">
        <v>1746</v>
      </c>
      <c r="F3638" s="14">
        <v>160971.4</v>
      </c>
      <c r="G3638" s="14">
        <v>128777</v>
      </c>
      <c r="H3638" s="37">
        <f>'Calculation Sheet'!N3638</f>
        <v>128777</v>
      </c>
    </row>
    <row r="3639" spans="1:8" x14ac:dyDescent="0.25">
      <c r="A3639" s="14" t="s">
        <v>1445</v>
      </c>
      <c r="B3639" s="14">
        <v>13</v>
      </c>
      <c r="C3639" s="15" t="s">
        <v>1533</v>
      </c>
      <c r="D3639" s="14" t="s">
        <v>1749</v>
      </c>
      <c r="E3639" s="14" t="s">
        <v>1746</v>
      </c>
      <c r="F3639" s="14">
        <v>2785</v>
      </c>
      <c r="G3639" s="14">
        <v>2228</v>
      </c>
      <c r="H3639" s="37">
        <f>'Calculation Sheet'!N3639</f>
        <v>2228</v>
      </c>
    </row>
    <row r="3640" spans="1:8" x14ac:dyDescent="0.25">
      <c r="A3640" s="14" t="s">
        <v>1445</v>
      </c>
      <c r="B3640" s="14" t="s">
        <v>650</v>
      </c>
      <c r="C3640" s="15" t="s">
        <v>1581</v>
      </c>
      <c r="D3640" s="14" t="s">
        <v>1749</v>
      </c>
      <c r="E3640" s="14" t="s">
        <v>1746</v>
      </c>
      <c r="F3640" s="14">
        <v>11860</v>
      </c>
      <c r="G3640" s="14">
        <v>9488</v>
      </c>
      <c r="H3640" s="37">
        <f>'Calculation Sheet'!N3640</f>
        <v>9488</v>
      </c>
    </row>
    <row r="3641" spans="1:8" x14ac:dyDescent="0.25">
      <c r="A3641" s="14" t="s">
        <v>1445</v>
      </c>
      <c r="B3641" s="14">
        <v>13</v>
      </c>
      <c r="C3641" s="15" t="s">
        <v>1533</v>
      </c>
      <c r="D3641" s="14" t="s">
        <v>1745</v>
      </c>
      <c r="E3641" s="14" t="s">
        <v>1747</v>
      </c>
      <c r="F3641" s="14">
        <v>30078</v>
      </c>
      <c r="G3641" s="14">
        <v>24062.400000000001</v>
      </c>
      <c r="H3641" s="37">
        <f>'Calculation Sheet'!N3641</f>
        <v>24062.400000000001</v>
      </c>
    </row>
    <row r="3642" spans="1:8" x14ac:dyDescent="0.25">
      <c r="A3642" s="14" t="s">
        <v>1445</v>
      </c>
      <c r="B3642" s="14" t="s">
        <v>465</v>
      </c>
      <c r="C3642" s="15" t="s">
        <v>1604</v>
      </c>
      <c r="D3642" s="14" t="s">
        <v>1749</v>
      </c>
      <c r="E3642" s="14" t="s">
        <v>1746</v>
      </c>
      <c r="F3642" s="14">
        <v>92455</v>
      </c>
      <c r="G3642" s="14">
        <v>73964</v>
      </c>
      <c r="H3642" s="37">
        <f>'Calculation Sheet'!N3642</f>
        <v>73964</v>
      </c>
    </row>
    <row r="3643" spans="1:8" x14ac:dyDescent="0.25">
      <c r="A3643" s="14" t="s">
        <v>1445</v>
      </c>
      <c r="B3643" s="14">
        <v>19</v>
      </c>
      <c r="C3643" s="15" t="s">
        <v>1548</v>
      </c>
      <c r="D3643" s="14" t="s">
        <v>1749</v>
      </c>
      <c r="E3643" s="14" t="s">
        <v>1766</v>
      </c>
      <c r="F3643" s="14">
        <v>0</v>
      </c>
      <c r="G3643" s="14">
        <v>0</v>
      </c>
      <c r="H3643" s="37">
        <f>'Calculation Sheet'!N3643</f>
        <v>0</v>
      </c>
    </row>
    <row r="3644" spans="1:8" x14ac:dyDescent="0.25">
      <c r="A3644" s="14" t="s">
        <v>1445</v>
      </c>
      <c r="B3644" s="14" t="s">
        <v>1559</v>
      </c>
      <c r="C3644" s="15" t="s">
        <v>1558</v>
      </c>
      <c r="D3644" s="14" t="s">
        <v>1745</v>
      </c>
      <c r="E3644" s="14" t="s">
        <v>1746</v>
      </c>
      <c r="F3644" s="14">
        <v>677565</v>
      </c>
      <c r="G3644" s="14">
        <v>542052</v>
      </c>
      <c r="H3644" s="37">
        <f>'Calculation Sheet'!N3644</f>
        <v>542052</v>
      </c>
    </row>
    <row r="3645" spans="1:8" x14ac:dyDescent="0.25">
      <c r="A3645" s="14" t="s">
        <v>1445</v>
      </c>
      <c r="B3645" s="14" t="s">
        <v>102</v>
      </c>
      <c r="C3645" s="15" t="s">
        <v>1562</v>
      </c>
      <c r="D3645" s="14" t="s">
        <v>1745</v>
      </c>
      <c r="E3645" s="14" t="s">
        <v>1746</v>
      </c>
      <c r="F3645" s="14">
        <v>67246.2</v>
      </c>
      <c r="G3645" s="14">
        <v>53796.959999999999</v>
      </c>
      <c r="H3645" s="37">
        <f>'Calculation Sheet'!N3645</f>
        <v>53796.959999999999</v>
      </c>
    </row>
    <row r="3646" spans="1:8" x14ac:dyDescent="0.25">
      <c r="A3646" s="14" t="s">
        <v>1445</v>
      </c>
      <c r="B3646" s="14" t="s">
        <v>195</v>
      </c>
      <c r="C3646" s="15" t="s">
        <v>1567</v>
      </c>
      <c r="D3646" s="14" t="s">
        <v>1745</v>
      </c>
      <c r="E3646" s="14" t="s">
        <v>1746</v>
      </c>
      <c r="F3646" s="14">
        <v>76431.600000000006</v>
      </c>
      <c r="G3646" s="14">
        <v>61145.279999999999</v>
      </c>
      <c r="H3646" s="37">
        <f>'Calculation Sheet'!N3646</f>
        <v>61145.279999999999</v>
      </c>
    </row>
    <row r="3647" spans="1:8" x14ac:dyDescent="0.25">
      <c r="A3647" s="14" t="s">
        <v>1445</v>
      </c>
      <c r="B3647" s="14" t="s">
        <v>1561</v>
      </c>
      <c r="C3647" s="15" t="s">
        <v>1560</v>
      </c>
      <c r="D3647" s="14" t="s">
        <v>1749</v>
      </c>
      <c r="E3647" s="14" t="s">
        <v>1746</v>
      </c>
      <c r="F3647" s="14">
        <v>68735</v>
      </c>
      <c r="G3647" s="14">
        <v>54988</v>
      </c>
      <c r="H3647" s="37">
        <f>'Calculation Sheet'!N3647</f>
        <v>54988</v>
      </c>
    </row>
    <row r="3648" spans="1:8" x14ac:dyDescent="0.25">
      <c r="A3648" s="14" t="s">
        <v>1445</v>
      </c>
      <c r="B3648" s="14" t="s">
        <v>118</v>
      </c>
      <c r="C3648" s="15" t="s">
        <v>1571</v>
      </c>
      <c r="D3648" s="14" t="s">
        <v>1745</v>
      </c>
      <c r="E3648" s="14" t="s">
        <v>1746</v>
      </c>
      <c r="F3648" s="14">
        <v>102910.6</v>
      </c>
      <c r="G3648" s="14">
        <v>82328.399999999994</v>
      </c>
      <c r="H3648" s="37">
        <f>'Calculation Sheet'!N3648</f>
        <v>82328.399999999994</v>
      </c>
    </row>
    <row r="3649" spans="1:8" x14ac:dyDescent="0.25">
      <c r="A3649" s="14" t="s">
        <v>1445</v>
      </c>
      <c r="B3649" s="14" t="s">
        <v>1561</v>
      </c>
      <c r="C3649" s="15" t="s">
        <v>1560</v>
      </c>
      <c r="D3649" s="14" t="s">
        <v>1745</v>
      </c>
      <c r="E3649" s="14" t="s">
        <v>1747</v>
      </c>
      <c r="F3649" s="14">
        <v>742338</v>
      </c>
      <c r="G3649" s="14">
        <v>593870.4</v>
      </c>
      <c r="H3649" s="37">
        <f>'Calculation Sheet'!N3649</f>
        <v>593870.4</v>
      </c>
    </row>
    <row r="3650" spans="1:8" x14ac:dyDescent="0.25">
      <c r="A3650" s="14" t="s">
        <v>1445</v>
      </c>
      <c r="B3650" s="14" t="s">
        <v>1559</v>
      </c>
      <c r="C3650" s="15" t="s">
        <v>1558</v>
      </c>
      <c r="D3650" s="14" t="s">
        <v>1749</v>
      </c>
      <c r="E3650" s="14" t="s">
        <v>1746</v>
      </c>
      <c r="F3650" s="14">
        <v>59750</v>
      </c>
      <c r="G3650" s="14">
        <v>47800</v>
      </c>
      <c r="H3650" s="37">
        <f>'Calculation Sheet'!N3650</f>
        <v>47800</v>
      </c>
    </row>
    <row r="3651" spans="1:8" x14ac:dyDescent="0.25">
      <c r="A3651" s="14" t="s">
        <v>1445</v>
      </c>
      <c r="B3651" s="14" t="s">
        <v>195</v>
      </c>
      <c r="C3651" s="15" t="s">
        <v>1567</v>
      </c>
      <c r="D3651" s="14" t="s">
        <v>1749</v>
      </c>
      <c r="E3651" s="14" t="s">
        <v>1746</v>
      </c>
      <c r="F3651" s="14">
        <v>6740</v>
      </c>
      <c r="G3651" s="14">
        <v>5392</v>
      </c>
      <c r="H3651" s="37">
        <f>'Calculation Sheet'!N3651</f>
        <v>5392</v>
      </c>
    </row>
    <row r="3652" spans="1:8" x14ac:dyDescent="0.25">
      <c r="A3652" s="14" t="s">
        <v>1445</v>
      </c>
      <c r="B3652" s="14" t="s">
        <v>1613</v>
      </c>
      <c r="C3652" s="15" t="s">
        <v>1612</v>
      </c>
      <c r="D3652" s="14" t="s">
        <v>1745</v>
      </c>
      <c r="E3652" s="14" t="s">
        <v>1747</v>
      </c>
      <c r="F3652" s="14">
        <v>325080</v>
      </c>
      <c r="G3652" s="14">
        <v>260064</v>
      </c>
      <c r="H3652" s="37">
        <f>'Calculation Sheet'!N3652</f>
        <v>260064</v>
      </c>
    </row>
    <row r="3653" spans="1:8" x14ac:dyDescent="0.25">
      <c r="A3653" s="14" t="s">
        <v>1445</v>
      </c>
      <c r="B3653" s="14">
        <v>16</v>
      </c>
      <c r="C3653" s="15" t="s">
        <v>1553</v>
      </c>
      <c r="D3653" s="14" t="s">
        <v>1745</v>
      </c>
      <c r="E3653" s="14" t="s">
        <v>1746</v>
      </c>
      <c r="F3653" s="14">
        <v>50973.36</v>
      </c>
      <c r="G3653" s="14">
        <v>40778.639999999999</v>
      </c>
      <c r="H3653" s="37">
        <f>'Calculation Sheet'!N3653</f>
        <v>40778.639999999999</v>
      </c>
    </row>
    <row r="3654" spans="1:8" x14ac:dyDescent="0.25">
      <c r="A3654" s="14" t="s">
        <v>1445</v>
      </c>
      <c r="B3654" s="14">
        <v>16</v>
      </c>
      <c r="C3654" s="15" t="s">
        <v>1553</v>
      </c>
      <c r="D3654" s="14" t="s">
        <v>1745</v>
      </c>
      <c r="E3654" s="14" t="s">
        <v>1747</v>
      </c>
      <c r="F3654" s="14">
        <v>48546</v>
      </c>
      <c r="G3654" s="14">
        <v>38836.800000000003</v>
      </c>
      <c r="H3654" s="37">
        <f>'Calculation Sheet'!N3654</f>
        <v>38836.800000000003</v>
      </c>
    </row>
    <row r="3655" spans="1:8" x14ac:dyDescent="0.25">
      <c r="A3655" s="14" t="s">
        <v>1445</v>
      </c>
      <c r="B3655" s="14" t="s">
        <v>488</v>
      </c>
      <c r="C3655" s="15" t="s">
        <v>1598</v>
      </c>
      <c r="D3655" s="14" t="s">
        <v>1745</v>
      </c>
      <c r="E3655" s="14" t="s">
        <v>1747</v>
      </c>
      <c r="F3655" s="14">
        <v>521100</v>
      </c>
      <c r="G3655" s="14">
        <v>416880</v>
      </c>
      <c r="H3655" s="37">
        <f>'Calculation Sheet'!N3655</f>
        <v>416880</v>
      </c>
    </row>
    <row r="3656" spans="1:8" x14ac:dyDescent="0.25">
      <c r="A3656" s="14" t="s">
        <v>1445</v>
      </c>
      <c r="B3656" s="14" t="s">
        <v>295</v>
      </c>
      <c r="C3656" s="15" t="s">
        <v>1524</v>
      </c>
      <c r="D3656" s="14" t="s">
        <v>1749</v>
      </c>
      <c r="E3656" s="14" t="s">
        <v>1746</v>
      </c>
      <c r="F3656" s="14">
        <v>28305</v>
      </c>
      <c r="G3656" s="14">
        <v>22644</v>
      </c>
      <c r="H3656" s="37">
        <f>'Calculation Sheet'!N3656</f>
        <v>22644</v>
      </c>
    </row>
    <row r="3657" spans="1:8" x14ac:dyDescent="0.25">
      <c r="A3657" s="14" t="s">
        <v>1445</v>
      </c>
      <c r="B3657" s="14" t="s">
        <v>295</v>
      </c>
      <c r="C3657" s="15" t="s">
        <v>1524</v>
      </c>
      <c r="D3657" s="14" t="s">
        <v>1745</v>
      </c>
      <c r="E3657" s="14" t="s">
        <v>1747</v>
      </c>
      <c r="F3657" s="14">
        <v>305694</v>
      </c>
      <c r="G3657" s="14">
        <v>244555.2</v>
      </c>
      <c r="H3657" s="37">
        <f>'Calculation Sheet'!N3657</f>
        <v>244555.2</v>
      </c>
    </row>
    <row r="3658" spans="1:8" x14ac:dyDescent="0.25">
      <c r="A3658" s="14" t="s">
        <v>1445</v>
      </c>
      <c r="B3658" s="14" t="s">
        <v>465</v>
      </c>
      <c r="C3658" s="15" t="s">
        <v>1604</v>
      </c>
      <c r="D3658" s="14" t="s">
        <v>1745</v>
      </c>
      <c r="E3658" s="14" t="s">
        <v>1746</v>
      </c>
      <c r="F3658" s="14">
        <v>1048440</v>
      </c>
      <c r="G3658" s="14">
        <v>838751.8</v>
      </c>
      <c r="H3658" s="37">
        <f>'Calculation Sheet'!N3658</f>
        <v>838751.8</v>
      </c>
    </row>
    <row r="3659" spans="1:8" x14ac:dyDescent="0.25">
      <c r="A3659" s="14" t="s">
        <v>1445</v>
      </c>
      <c r="B3659" s="14">
        <v>10</v>
      </c>
      <c r="C3659" s="15" t="s">
        <v>1576</v>
      </c>
      <c r="D3659" s="14" t="s">
        <v>1749</v>
      </c>
      <c r="E3659" s="14" t="s">
        <v>1746</v>
      </c>
      <c r="F3659" s="14">
        <v>11050</v>
      </c>
      <c r="G3659" s="14">
        <v>8840</v>
      </c>
      <c r="H3659" s="37">
        <f>'Calculation Sheet'!N3659</f>
        <v>8840</v>
      </c>
    </row>
    <row r="3660" spans="1:8" x14ac:dyDescent="0.25">
      <c r="A3660" s="14" t="s">
        <v>1445</v>
      </c>
      <c r="B3660" s="14" t="s">
        <v>195</v>
      </c>
      <c r="C3660" s="15" t="s">
        <v>1567</v>
      </c>
      <c r="D3660" s="14" t="s">
        <v>1745</v>
      </c>
      <c r="E3660" s="14" t="s">
        <v>1747</v>
      </c>
      <c r="F3660" s="14">
        <v>72792</v>
      </c>
      <c r="G3660" s="14">
        <v>58233.599999999999</v>
      </c>
      <c r="H3660" s="37">
        <f>'Calculation Sheet'!N3660</f>
        <v>58233.599999999999</v>
      </c>
    </row>
    <row r="3661" spans="1:8" x14ac:dyDescent="0.25">
      <c r="A3661" s="14" t="s">
        <v>1445</v>
      </c>
      <c r="B3661" s="14">
        <v>12</v>
      </c>
      <c r="C3661" s="15" t="s">
        <v>1543</v>
      </c>
      <c r="D3661" s="14" t="s">
        <v>1745</v>
      </c>
      <c r="E3661" s="14" t="s">
        <v>1747</v>
      </c>
      <c r="F3661" s="14">
        <v>27162</v>
      </c>
      <c r="G3661" s="14">
        <v>21729.599999999999</v>
      </c>
      <c r="H3661" s="37">
        <f>'Calculation Sheet'!N3661</f>
        <v>21729.599999999999</v>
      </c>
    </row>
    <row r="3662" spans="1:8" x14ac:dyDescent="0.25">
      <c r="A3662" s="14" t="s">
        <v>1445</v>
      </c>
      <c r="B3662" s="14">
        <v>16</v>
      </c>
      <c r="C3662" s="15" t="s">
        <v>1553</v>
      </c>
      <c r="D3662" s="14" t="s">
        <v>1749</v>
      </c>
      <c r="E3662" s="14" t="s">
        <v>1746</v>
      </c>
      <c r="F3662" s="14">
        <v>4495</v>
      </c>
      <c r="G3662" s="14">
        <v>3596</v>
      </c>
      <c r="H3662" s="37">
        <f>'Calculation Sheet'!N3662</f>
        <v>3596</v>
      </c>
    </row>
    <row r="3663" spans="1:8" x14ac:dyDescent="0.25">
      <c r="A3663" s="14" t="s">
        <v>1445</v>
      </c>
      <c r="B3663" s="14" t="s">
        <v>1613</v>
      </c>
      <c r="C3663" s="15" t="s">
        <v>1612</v>
      </c>
      <c r="D3663" s="14" t="s">
        <v>1749</v>
      </c>
      <c r="E3663" s="14" t="s">
        <v>1746</v>
      </c>
      <c r="F3663" s="14">
        <v>30100</v>
      </c>
      <c r="G3663" s="14">
        <v>24080</v>
      </c>
      <c r="H3663" s="37">
        <f>'Calculation Sheet'!N3663</f>
        <v>24080</v>
      </c>
    </row>
    <row r="3664" spans="1:8" x14ac:dyDescent="0.25">
      <c r="A3664" s="14" t="s">
        <v>1445</v>
      </c>
      <c r="B3664" s="14">
        <v>14</v>
      </c>
      <c r="C3664" s="15" t="s">
        <v>1538</v>
      </c>
      <c r="D3664" s="14" t="s">
        <v>1745</v>
      </c>
      <c r="E3664" s="14" t="s">
        <v>1746</v>
      </c>
      <c r="F3664" s="14">
        <v>40767.360000000001</v>
      </c>
      <c r="G3664" s="14">
        <v>32613.84</v>
      </c>
      <c r="H3664" s="37">
        <f>'Calculation Sheet'!N3664</f>
        <v>32613.84</v>
      </c>
    </row>
    <row r="3665" spans="1:8" x14ac:dyDescent="0.25">
      <c r="A3665" s="14" t="s">
        <v>1445</v>
      </c>
      <c r="B3665" s="14">
        <v>48</v>
      </c>
      <c r="C3665" s="15" t="s">
        <v>1528</v>
      </c>
      <c r="D3665" s="14" t="s">
        <v>1745</v>
      </c>
      <c r="E3665" s="14" t="s">
        <v>1747</v>
      </c>
      <c r="F3665" s="14">
        <v>268812</v>
      </c>
      <c r="G3665" s="14">
        <v>215049.60000000001</v>
      </c>
      <c r="H3665" s="37">
        <f>'Calculation Sheet'!N3665</f>
        <v>215049.60000000001</v>
      </c>
    </row>
    <row r="3666" spans="1:8" x14ac:dyDescent="0.25">
      <c r="A3666" s="14" t="s">
        <v>1445</v>
      </c>
      <c r="B3666" s="14" t="s">
        <v>1559</v>
      </c>
      <c r="C3666" s="15" t="s">
        <v>1558</v>
      </c>
      <c r="D3666" s="14" t="s">
        <v>1745</v>
      </c>
      <c r="E3666" s="14" t="s">
        <v>1747</v>
      </c>
      <c r="F3666" s="14">
        <v>645300</v>
      </c>
      <c r="G3666" s="14">
        <v>516240</v>
      </c>
      <c r="H3666" s="37">
        <f>'Calculation Sheet'!N3666</f>
        <v>516240</v>
      </c>
    </row>
    <row r="3667" spans="1:8" x14ac:dyDescent="0.25">
      <c r="A3667" s="14" t="s">
        <v>1445</v>
      </c>
      <c r="B3667" s="14" t="s">
        <v>1613</v>
      </c>
      <c r="C3667" s="15" t="s">
        <v>1612</v>
      </c>
      <c r="D3667" s="14" t="s">
        <v>1745</v>
      </c>
      <c r="E3667" s="14" t="s">
        <v>1746</v>
      </c>
      <c r="F3667" s="14">
        <v>341334</v>
      </c>
      <c r="G3667" s="14">
        <v>273067.2</v>
      </c>
      <c r="H3667" s="37">
        <f>'Calculation Sheet'!N3667</f>
        <v>273067.2</v>
      </c>
    </row>
    <row r="3668" spans="1:8" x14ac:dyDescent="0.25">
      <c r="A3668" s="14" t="s">
        <v>1445</v>
      </c>
      <c r="B3668" s="14" t="s">
        <v>1592</v>
      </c>
      <c r="C3668" s="15" t="s">
        <v>1591</v>
      </c>
      <c r="D3668" s="14" t="s">
        <v>1745</v>
      </c>
      <c r="E3668" s="14" t="s">
        <v>1747</v>
      </c>
      <c r="F3668" s="14">
        <v>1857330</v>
      </c>
      <c r="G3668" s="14">
        <v>1485864</v>
      </c>
      <c r="H3668" s="37">
        <f>'Calculation Sheet'!N3668</f>
        <v>1485864</v>
      </c>
    </row>
    <row r="3669" spans="1:8" x14ac:dyDescent="0.25">
      <c r="A3669" s="14" t="s">
        <v>1445</v>
      </c>
      <c r="B3669" s="14">
        <v>10</v>
      </c>
      <c r="C3669" s="15" t="s">
        <v>1576</v>
      </c>
      <c r="D3669" s="14" t="s">
        <v>1745</v>
      </c>
      <c r="E3669" s="14" t="s">
        <v>1747</v>
      </c>
      <c r="F3669" s="14">
        <v>119340</v>
      </c>
      <c r="G3669" s="14">
        <v>95472</v>
      </c>
      <c r="H3669" s="37">
        <f>'Calculation Sheet'!N3669</f>
        <v>95472</v>
      </c>
    </row>
    <row r="3670" spans="1:8" x14ac:dyDescent="0.25">
      <c r="A3670" s="14" t="s">
        <v>1445</v>
      </c>
      <c r="B3670" s="14">
        <v>14</v>
      </c>
      <c r="C3670" s="15" t="s">
        <v>1538</v>
      </c>
      <c r="D3670" s="14" t="s">
        <v>1749</v>
      </c>
      <c r="E3670" s="14" t="s">
        <v>1746</v>
      </c>
      <c r="F3670" s="14">
        <v>3595</v>
      </c>
      <c r="G3670" s="14">
        <v>2876</v>
      </c>
      <c r="H3670" s="37">
        <f>'Calculation Sheet'!N3670</f>
        <v>2876</v>
      </c>
    </row>
    <row r="3671" spans="1:8" x14ac:dyDescent="0.25">
      <c r="A3671" s="14" t="s">
        <v>1445</v>
      </c>
      <c r="B3671" s="14">
        <v>12</v>
      </c>
      <c r="C3671" s="15" t="s">
        <v>1543</v>
      </c>
      <c r="D3671" s="14" t="s">
        <v>1749</v>
      </c>
      <c r="E3671" s="14" t="s">
        <v>1746</v>
      </c>
      <c r="F3671" s="14">
        <v>2515</v>
      </c>
      <c r="G3671" s="14">
        <v>2012</v>
      </c>
      <c r="H3671" s="37">
        <f>'Calculation Sheet'!N3671</f>
        <v>2012</v>
      </c>
    </row>
    <row r="3672" spans="1:8" x14ac:dyDescent="0.25">
      <c r="A3672" s="14" t="s">
        <v>1445</v>
      </c>
      <c r="B3672" s="14">
        <v>10</v>
      </c>
      <c r="C3672" s="15" t="s">
        <v>1576</v>
      </c>
      <c r="D3672" s="14" t="s">
        <v>1745</v>
      </c>
      <c r="E3672" s="14" t="s">
        <v>1746</v>
      </c>
      <c r="F3672" s="14">
        <v>125307</v>
      </c>
      <c r="G3672" s="14">
        <v>100245.6</v>
      </c>
      <c r="H3672" s="37">
        <f>'Calculation Sheet'!N3672</f>
        <v>100245.6</v>
      </c>
    </row>
    <row r="3673" spans="1:8" x14ac:dyDescent="0.25">
      <c r="A3673" s="14" t="s">
        <v>1445</v>
      </c>
      <c r="B3673" s="14" t="s">
        <v>2837</v>
      </c>
      <c r="C3673" s="15" t="s">
        <v>1610</v>
      </c>
      <c r="D3673" s="14" t="s">
        <v>1745</v>
      </c>
      <c r="E3673" s="14" t="s">
        <v>1746</v>
      </c>
      <c r="F3673" s="14">
        <v>315875.8</v>
      </c>
      <c r="G3673" s="14">
        <v>252700.6</v>
      </c>
      <c r="H3673" s="37">
        <f>'Calculation Sheet'!N3673</f>
        <v>252700.6</v>
      </c>
    </row>
    <row r="3674" spans="1:8" x14ac:dyDescent="0.25">
      <c r="A3674" s="14" t="s">
        <v>1445</v>
      </c>
      <c r="B3674" s="14" t="s">
        <v>243</v>
      </c>
      <c r="C3674" s="15" t="s">
        <v>1586</v>
      </c>
      <c r="D3674" s="14" t="s">
        <v>1745</v>
      </c>
      <c r="E3674" s="14" t="s">
        <v>1747</v>
      </c>
      <c r="F3674" s="14">
        <v>153306</v>
      </c>
      <c r="G3674" s="14">
        <v>122644.8</v>
      </c>
      <c r="H3674" s="37">
        <f>'Calculation Sheet'!N3674</f>
        <v>122644.8</v>
      </c>
    </row>
    <row r="3675" spans="1:8" x14ac:dyDescent="0.25">
      <c r="A3675" s="14" t="s">
        <v>1616</v>
      </c>
      <c r="B3675" s="14" t="s">
        <v>32</v>
      </c>
      <c r="C3675" s="15" t="s">
        <v>1721</v>
      </c>
      <c r="D3675" s="14" t="s">
        <v>1745</v>
      </c>
      <c r="E3675" s="14" t="s">
        <v>1746</v>
      </c>
      <c r="F3675" s="14">
        <v>201738.6</v>
      </c>
      <c r="G3675" s="14">
        <v>161390.9</v>
      </c>
      <c r="H3675" s="37">
        <f>'Calculation Sheet'!N3675</f>
        <v>161390.9</v>
      </c>
    </row>
    <row r="3676" spans="1:8" x14ac:dyDescent="0.25">
      <c r="A3676" s="14" t="s">
        <v>1616</v>
      </c>
      <c r="B3676" s="14" t="s">
        <v>122</v>
      </c>
      <c r="C3676" s="15" t="s">
        <v>1709</v>
      </c>
      <c r="D3676" s="14" t="s">
        <v>1749</v>
      </c>
      <c r="E3676" s="14" t="s">
        <v>1746</v>
      </c>
      <c r="F3676" s="14">
        <v>8895</v>
      </c>
      <c r="G3676" s="14">
        <v>7116</v>
      </c>
      <c r="H3676" s="37">
        <f>'Calculation Sheet'!N3676</f>
        <v>7116</v>
      </c>
    </row>
    <row r="3677" spans="1:8" x14ac:dyDescent="0.25">
      <c r="A3677" s="14" t="s">
        <v>1616</v>
      </c>
      <c r="B3677" s="14" t="s">
        <v>55</v>
      </c>
      <c r="C3677" s="15" t="s">
        <v>1702</v>
      </c>
      <c r="D3677" s="14" t="s">
        <v>1745</v>
      </c>
      <c r="E3677" s="14" t="s">
        <v>1747</v>
      </c>
      <c r="F3677" s="14">
        <v>72792</v>
      </c>
      <c r="G3677" s="14">
        <v>58233.599999999999</v>
      </c>
      <c r="H3677" s="37">
        <f>'Calculation Sheet'!N3677</f>
        <v>58233.599999999999</v>
      </c>
    </row>
    <row r="3678" spans="1:8" x14ac:dyDescent="0.25">
      <c r="A3678" s="14" t="s">
        <v>1616</v>
      </c>
      <c r="B3678" s="14" t="s">
        <v>46</v>
      </c>
      <c r="C3678" s="15" t="s">
        <v>1712</v>
      </c>
      <c r="D3678" s="14" t="s">
        <v>1745</v>
      </c>
      <c r="E3678" s="14" t="s">
        <v>1746</v>
      </c>
      <c r="F3678" s="14">
        <v>115157.8</v>
      </c>
      <c r="G3678" s="14">
        <v>92126.16</v>
      </c>
      <c r="H3678" s="37">
        <f>'Calculation Sheet'!N3678</f>
        <v>92126.16</v>
      </c>
    </row>
    <row r="3679" spans="1:8" x14ac:dyDescent="0.25">
      <c r="A3679" s="14" t="s">
        <v>1616</v>
      </c>
      <c r="B3679" s="14" t="s">
        <v>1735</v>
      </c>
      <c r="C3679" s="15" t="s">
        <v>1734</v>
      </c>
      <c r="D3679" s="14" t="s">
        <v>1745</v>
      </c>
      <c r="E3679" s="14" t="s">
        <v>1747</v>
      </c>
      <c r="F3679" s="14">
        <v>451224</v>
      </c>
      <c r="G3679" s="14">
        <v>360979.20000000001</v>
      </c>
      <c r="H3679" s="37">
        <f>'Calculation Sheet'!N3679</f>
        <v>360979.20000000001</v>
      </c>
    </row>
    <row r="3680" spans="1:8" x14ac:dyDescent="0.25">
      <c r="A3680" s="14" t="s">
        <v>1616</v>
      </c>
      <c r="B3680" s="14">
        <v>15</v>
      </c>
      <c r="C3680" s="15" t="s">
        <v>1727</v>
      </c>
      <c r="D3680" s="14" t="s">
        <v>1749</v>
      </c>
      <c r="E3680" s="14" t="s">
        <v>1746</v>
      </c>
      <c r="F3680" s="14">
        <v>257960</v>
      </c>
      <c r="G3680" s="14">
        <v>206368</v>
      </c>
      <c r="H3680" s="37">
        <f>'Calculation Sheet'!N3680</f>
        <v>206368</v>
      </c>
    </row>
    <row r="3681" spans="1:8" x14ac:dyDescent="0.25">
      <c r="A3681" s="14" t="s">
        <v>1616</v>
      </c>
      <c r="B3681" s="14" t="s">
        <v>39</v>
      </c>
      <c r="C3681" s="15" t="s">
        <v>1718</v>
      </c>
      <c r="D3681" s="14" t="s">
        <v>1745</v>
      </c>
      <c r="E3681" s="14" t="s">
        <v>1746</v>
      </c>
      <c r="F3681" s="14">
        <v>188470.8</v>
      </c>
      <c r="G3681" s="14">
        <v>150776.6</v>
      </c>
      <c r="H3681" s="37">
        <f>'Calculation Sheet'!N3681</f>
        <v>150776.6</v>
      </c>
    </row>
    <row r="3682" spans="1:8" x14ac:dyDescent="0.25">
      <c r="A3682" s="14" t="s">
        <v>1616</v>
      </c>
      <c r="B3682" s="14" t="s">
        <v>1737</v>
      </c>
      <c r="C3682" s="15" t="s">
        <v>1736</v>
      </c>
      <c r="D3682" s="14" t="s">
        <v>1749</v>
      </c>
      <c r="E3682" s="14" t="s">
        <v>1746</v>
      </c>
      <c r="F3682" s="14">
        <v>45150</v>
      </c>
      <c r="G3682" s="14">
        <v>36120</v>
      </c>
      <c r="H3682" s="37">
        <f>'Calculation Sheet'!N3682</f>
        <v>36120</v>
      </c>
    </row>
    <row r="3683" spans="1:8" x14ac:dyDescent="0.25">
      <c r="A3683" s="14" t="s">
        <v>1616</v>
      </c>
      <c r="B3683" s="14" t="s">
        <v>32</v>
      </c>
      <c r="C3683" s="15" t="s">
        <v>1721</v>
      </c>
      <c r="D3683" s="14" t="s">
        <v>1745</v>
      </c>
      <c r="E3683" s="14" t="s">
        <v>1747</v>
      </c>
      <c r="F3683" s="14">
        <v>192132</v>
      </c>
      <c r="G3683" s="14">
        <v>153705.60000000001</v>
      </c>
      <c r="H3683" s="37">
        <f>'Calculation Sheet'!N3683</f>
        <v>153705.60000000001</v>
      </c>
    </row>
    <row r="3684" spans="1:8" x14ac:dyDescent="0.25">
      <c r="A3684" s="14" t="s">
        <v>1616</v>
      </c>
      <c r="B3684" s="14" t="s">
        <v>1708</v>
      </c>
      <c r="C3684" s="15" t="s">
        <v>1707</v>
      </c>
      <c r="D3684" s="14" t="s">
        <v>1745</v>
      </c>
      <c r="E3684" s="14" t="s">
        <v>1747</v>
      </c>
      <c r="F3684" s="14">
        <v>1113534</v>
      </c>
      <c r="G3684" s="14">
        <v>890827.2</v>
      </c>
      <c r="H3684" s="37">
        <f>'Calculation Sheet'!N3684</f>
        <v>890827.2</v>
      </c>
    </row>
    <row r="3685" spans="1:8" x14ac:dyDescent="0.25">
      <c r="A3685" s="14" t="s">
        <v>1616</v>
      </c>
      <c r="B3685" s="14">
        <v>11</v>
      </c>
      <c r="C3685" s="15" t="s">
        <v>1684</v>
      </c>
      <c r="D3685" s="14" t="s">
        <v>1745</v>
      </c>
      <c r="E3685" s="14" t="s">
        <v>1747</v>
      </c>
      <c r="F3685" s="14">
        <v>459000</v>
      </c>
      <c r="G3685" s="14">
        <v>367200</v>
      </c>
      <c r="H3685" s="37">
        <f>'Calculation Sheet'!N3685</f>
        <v>367200</v>
      </c>
    </row>
    <row r="3686" spans="1:8" x14ac:dyDescent="0.25">
      <c r="A3686" s="14" t="s">
        <v>1616</v>
      </c>
      <c r="B3686" s="14" t="s">
        <v>50</v>
      </c>
      <c r="C3686" s="15" t="s">
        <v>1724</v>
      </c>
      <c r="D3686" s="14" t="s">
        <v>1745</v>
      </c>
      <c r="E3686" s="14" t="s">
        <v>1746</v>
      </c>
      <c r="F3686" s="14">
        <v>241485.4</v>
      </c>
      <c r="G3686" s="14">
        <v>193188.2</v>
      </c>
      <c r="H3686" s="37">
        <f>'Calculation Sheet'!N3686</f>
        <v>193188.2</v>
      </c>
    </row>
    <row r="3687" spans="1:8" x14ac:dyDescent="0.25">
      <c r="A3687" s="14" t="s">
        <v>1616</v>
      </c>
      <c r="B3687" s="14" t="s">
        <v>34</v>
      </c>
      <c r="C3687" s="15" t="s">
        <v>1693</v>
      </c>
      <c r="D3687" s="14" t="s">
        <v>1745</v>
      </c>
      <c r="E3687" s="14" t="s">
        <v>1746</v>
      </c>
      <c r="F3687" s="14">
        <v>61122.6</v>
      </c>
      <c r="G3687" s="14">
        <v>48898.080000000002</v>
      </c>
      <c r="H3687" s="37">
        <f>'Calculation Sheet'!N3687</f>
        <v>48898.080000000002</v>
      </c>
    </row>
    <row r="3688" spans="1:8" x14ac:dyDescent="0.25">
      <c r="A3688" s="14" t="s">
        <v>1616</v>
      </c>
      <c r="B3688" s="14" t="s">
        <v>50</v>
      </c>
      <c r="C3688" s="15" t="s">
        <v>1724</v>
      </c>
      <c r="D3688" s="14" t="s">
        <v>1749</v>
      </c>
      <c r="E3688" s="14" t="s">
        <v>1746</v>
      </c>
      <c r="F3688" s="14">
        <v>21295</v>
      </c>
      <c r="G3688" s="14">
        <v>17036</v>
      </c>
      <c r="H3688" s="37">
        <f>'Calculation Sheet'!N3688</f>
        <v>17036</v>
      </c>
    </row>
    <row r="3689" spans="1:8" x14ac:dyDescent="0.25">
      <c r="A3689" s="14" t="s">
        <v>1616</v>
      </c>
      <c r="B3689" s="14">
        <v>13</v>
      </c>
      <c r="C3689" s="15" t="s">
        <v>1687</v>
      </c>
      <c r="D3689" s="14" t="s">
        <v>1745</v>
      </c>
      <c r="E3689" s="14" t="s">
        <v>1747</v>
      </c>
      <c r="F3689" s="14">
        <v>403704</v>
      </c>
      <c r="G3689" s="14">
        <v>322963.20000000001</v>
      </c>
      <c r="H3689" s="37">
        <f>'Calculation Sheet'!N3689</f>
        <v>322963.20000000001</v>
      </c>
    </row>
    <row r="3690" spans="1:8" x14ac:dyDescent="0.25">
      <c r="A3690" s="14" t="s">
        <v>1616</v>
      </c>
      <c r="B3690" s="14" t="s">
        <v>122</v>
      </c>
      <c r="C3690" s="15" t="s">
        <v>1709</v>
      </c>
      <c r="D3690" s="14" t="s">
        <v>1745</v>
      </c>
      <c r="E3690" s="14" t="s">
        <v>1747</v>
      </c>
      <c r="F3690" s="14">
        <v>96066</v>
      </c>
      <c r="G3690" s="14">
        <v>76852.800000000003</v>
      </c>
      <c r="H3690" s="37">
        <f>'Calculation Sheet'!N3690</f>
        <v>76852.800000000003</v>
      </c>
    </row>
    <row r="3691" spans="1:8" x14ac:dyDescent="0.25">
      <c r="A3691" s="14" t="s">
        <v>1616</v>
      </c>
      <c r="B3691" s="14" t="s">
        <v>1708</v>
      </c>
      <c r="C3691" s="15" t="s">
        <v>1707</v>
      </c>
      <c r="D3691" s="14" t="s">
        <v>1749</v>
      </c>
      <c r="E3691" s="14" t="s">
        <v>1746</v>
      </c>
      <c r="F3691" s="14">
        <v>103105</v>
      </c>
      <c r="G3691" s="14">
        <v>82484</v>
      </c>
      <c r="H3691" s="37">
        <f>'Calculation Sheet'!N3691</f>
        <v>82484</v>
      </c>
    </row>
    <row r="3692" spans="1:8" x14ac:dyDescent="0.25">
      <c r="A3692" s="14" t="s">
        <v>1616</v>
      </c>
      <c r="B3692" s="14">
        <v>17</v>
      </c>
      <c r="C3692" s="15" t="s">
        <v>1729</v>
      </c>
      <c r="D3692" s="14" t="s">
        <v>1749</v>
      </c>
      <c r="E3692" s="14" t="s">
        <v>1746</v>
      </c>
      <c r="F3692" s="14">
        <v>72420</v>
      </c>
      <c r="G3692" s="14">
        <v>57936</v>
      </c>
      <c r="H3692" s="37">
        <f>'Calculation Sheet'!N3692</f>
        <v>57936</v>
      </c>
    </row>
    <row r="3693" spans="1:8" x14ac:dyDescent="0.25">
      <c r="A3693" s="14" t="s">
        <v>1616</v>
      </c>
      <c r="B3693" s="14" t="s">
        <v>34</v>
      </c>
      <c r="C3693" s="15" t="s">
        <v>1693</v>
      </c>
      <c r="D3693" s="14" t="s">
        <v>1745</v>
      </c>
      <c r="E3693" s="14" t="s">
        <v>1747</v>
      </c>
      <c r="F3693" s="14">
        <v>58212</v>
      </c>
      <c r="G3693" s="14">
        <v>46569.599999999999</v>
      </c>
      <c r="H3693" s="37">
        <f>'Calculation Sheet'!N3693</f>
        <v>46569.599999999999</v>
      </c>
    </row>
    <row r="3694" spans="1:8" x14ac:dyDescent="0.25">
      <c r="A3694" s="14" t="s">
        <v>1616</v>
      </c>
      <c r="B3694" s="14">
        <v>11</v>
      </c>
      <c r="C3694" s="15" t="s">
        <v>1684</v>
      </c>
      <c r="D3694" s="14" t="s">
        <v>1749</v>
      </c>
      <c r="E3694" s="14" t="s">
        <v>1746</v>
      </c>
      <c r="F3694" s="14">
        <v>42500</v>
      </c>
      <c r="G3694" s="14">
        <v>34000</v>
      </c>
      <c r="H3694" s="37">
        <f>'Calculation Sheet'!N3694</f>
        <v>34000</v>
      </c>
    </row>
    <row r="3695" spans="1:8" x14ac:dyDescent="0.25">
      <c r="A3695" s="14" t="s">
        <v>1616</v>
      </c>
      <c r="B3695" s="14" t="s">
        <v>122</v>
      </c>
      <c r="C3695" s="15" t="s">
        <v>1709</v>
      </c>
      <c r="D3695" s="14" t="s">
        <v>1745</v>
      </c>
      <c r="E3695" s="14" t="s">
        <v>1746</v>
      </c>
      <c r="F3695" s="14">
        <v>100869.4</v>
      </c>
      <c r="G3695" s="14">
        <v>80695.44</v>
      </c>
      <c r="H3695" s="37">
        <f>'Calculation Sheet'!N3695</f>
        <v>80695.44</v>
      </c>
    </row>
    <row r="3696" spans="1:8" x14ac:dyDescent="0.25">
      <c r="A3696" s="14" t="s">
        <v>1616</v>
      </c>
      <c r="B3696" s="14" t="s">
        <v>1737</v>
      </c>
      <c r="C3696" s="15" t="s">
        <v>1736</v>
      </c>
      <c r="D3696" s="14" t="s">
        <v>1745</v>
      </c>
      <c r="E3696" s="14" t="s">
        <v>1747</v>
      </c>
      <c r="F3696" s="14">
        <v>487620</v>
      </c>
      <c r="G3696" s="14">
        <v>390096</v>
      </c>
      <c r="H3696" s="37">
        <f>'Calculation Sheet'!N3696</f>
        <v>390096</v>
      </c>
    </row>
    <row r="3697" spans="1:8" x14ac:dyDescent="0.25">
      <c r="A3697" s="14" t="s">
        <v>1616</v>
      </c>
      <c r="B3697" s="14" t="s">
        <v>73</v>
      </c>
      <c r="C3697" s="15" t="s">
        <v>1699</v>
      </c>
      <c r="D3697" s="14" t="s">
        <v>1745</v>
      </c>
      <c r="E3697" s="14" t="s">
        <v>1747</v>
      </c>
      <c r="F3697" s="14">
        <v>60156</v>
      </c>
      <c r="G3697" s="14">
        <v>48124.800000000003</v>
      </c>
      <c r="H3697" s="37">
        <f>'Calculation Sheet'!N3697</f>
        <v>48124.800000000003</v>
      </c>
    </row>
    <row r="3698" spans="1:8" x14ac:dyDescent="0.25">
      <c r="A3698" s="14" t="s">
        <v>1616</v>
      </c>
      <c r="B3698" s="14" t="s">
        <v>89</v>
      </c>
      <c r="C3698" s="15" t="s">
        <v>1690</v>
      </c>
      <c r="D3698" s="14" t="s">
        <v>1749</v>
      </c>
      <c r="E3698" s="14" t="s">
        <v>1746</v>
      </c>
      <c r="F3698" s="14">
        <v>4225</v>
      </c>
      <c r="G3698" s="14">
        <v>3380</v>
      </c>
      <c r="H3698" s="37">
        <f>'Calculation Sheet'!N3698</f>
        <v>3380</v>
      </c>
    </row>
    <row r="3699" spans="1:8" x14ac:dyDescent="0.25">
      <c r="A3699" s="14" t="s">
        <v>1616</v>
      </c>
      <c r="B3699" s="14" t="s">
        <v>46</v>
      </c>
      <c r="C3699" s="15" t="s">
        <v>1712</v>
      </c>
      <c r="D3699" s="14" t="s">
        <v>1745</v>
      </c>
      <c r="E3699" s="14" t="s">
        <v>1747</v>
      </c>
      <c r="F3699" s="14">
        <v>109674</v>
      </c>
      <c r="G3699" s="14">
        <v>87739.199999999997</v>
      </c>
      <c r="H3699" s="37">
        <f>'Calculation Sheet'!N3699</f>
        <v>87739.199999999997</v>
      </c>
    </row>
    <row r="3700" spans="1:8" x14ac:dyDescent="0.25">
      <c r="A3700" s="14" t="s">
        <v>1616</v>
      </c>
      <c r="B3700" s="14" t="s">
        <v>1708</v>
      </c>
      <c r="C3700" s="15" t="s">
        <v>1707</v>
      </c>
      <c r="D3700" s="14" t="s">
        <v>1745</v>
      </c>
      <c r="E3700" s="14" t="s">
        <v>1746</v>
      </c>
      <c r="F3700" s="14">
        <v>1169211</v>
      </c>
      <c r="G3700" s="14">
        <v>935368.6</v>
      </c>
      <c r="H3700" s="37">
        <f>'Calculation Sheet'!N3700</f>
        <v>935368.6</v>
      </c>
    </row>
    <row r="3701" spans="1:8" x14ac:dyDescent="0.25">
      <c r="A3701" s="14" t="s">
        <v>1616</v>
      </c>
      <c r="B3701" s="14" t="s">
        <v>24</v>
      </c>
      <c r="C3701" s="15" t="s">
        <v>1696</v>
      </c>
      <c r="D3701" s="14" t="s">
        <v>1749</v>
      </c>
      <c r="E3701" s="14" t="s">
        <v>1746</v>
      </c>
      <c r="F3701" s="14">
        <v>3775</v>
      </c>
      <c r="G3701" s="14">
        <v>3020</v>
      </c>
      <c r="H3701" s="37">
        <f>'Calculation Sheet'!N3701</f>
        <v>3020</v>
      </c>
    </row>
    <row r="3702" spans="1:8" x14ac:dyDescent="0.25">
      <c r="A3702" s="14" t="s">
        <v>1616</v>
      </c>
      <c r="B3702" s="14">
        <v>16</v>
      </c>
      <c r="C3702" s="15" t="s">
        <v>1732</v>
      </c>
      <c r="D3702" s="14" t="s">
        <v>1749</v>
      </c>
      <c r="E3702" s="14" t="s">
        <v>1746</v>
      </c>
      <c r="F3702" s="14">
        <v>138730</v>
      </c>
      <c r="G3702" s="14">
        <v>110984</v>
      </c>
      <c r="H3702" s="37">
        <f>'Calculation Sheet'!N3702</f>
        <v>110984</v>
      </c>
    </row>
    <row r="3703" spans="1:8" x14ac:dyDescent="0.25">
      <c r="A3703" s="14" t="s">
        <v>1616</v>
      </c>
      <c r="B3703" s="14" t="s">
        <v>34</v>
      </c>
      <c r="C3703" s="15" t="s">
        <v>1693</v>
      </c>
      <c r="D3703" s="14" t="s">
        <v>1749</v>
      </c>
      <c r="E3703" s="14" t="s">
        <v>1746</v>
      </c>
      <c r="F3703" s="14">
        <v>5390</v>
      </c>
      <c r="G3703" s="14">
        <v>4312</v>
      </c>
      <c r="H3703" s="37">
        <f>'Calculation Sheet'!N3703</f>
        <v>4312</v>
      </c>
    </row>
    <row r="3704" spans="1:8" x14ac:dyDescent="0.25">
      <c r="A3704" s="14" t="s">
        <v>1616</v>
      </c>
      <c r="B3704" s="14" t="s">
        <v>28</v>
      </c>
      <c r="C3704" s="15" t="s">
        <v>1715</v>
      </c>
      <c r="D3704" s="14" t="s">
        <v>1745</v>
      </c>
      <c r="E3704" s="14" t="s">
        <v>1746</v>
      </c>
      <c r="F3704" s="14">
        <v>154847.79999999999</v>
      </c>
      <c r="G3704" s="14">
        <v>123878.2</v>
      </c>
      <c r="H3704" s="37">
        <f>'Calculation Sheet'!N3704</f>
        <v>123878.2</v>
      </c>
    </row>
    <row r="3705" spans="1:8" x14ac:dyDescent="0.25">
      <c r="A3705" s="14" t="s">
        <v>1616</v>
      </c>
      <c r="B3705" s="14" t="s">
        <v>1735</v>
      </c>
      <c r="C3705" s="15" t="s">
        <v>1734</v>
      </c>
      <c r="D3705" s="14" t="s">
        <v>1745</v>
      </c>
      <c r="E3705" s="14" t="s">
        <v>1746</v>
      </c>
      <c r="F3705" s="14">
        <v>473785.2</v>
      </c>
      <c r="G3705" s="14">
        <v>379028.2</v>
      </c>
      <c r="H3705" s="37">
        <f>'Calculation Sheet'!N3705</f>
        <v>379028.2</v>
      </c>
    </row>
    <row r="3706" spans="1:8" x14ac:dyDescent="0.25">
      <c r="A3706" s="14" t="s">
        <v>1616</v>
      </c>
      <c r="B3706" s="14" t="s">
        <v>89</v>
      </c>
      <c r="C3706" s="15" t="s">
        <v>1690</v>
      </c>
      <c r="D3706" s="14" t="s">
        <v>1745</v>
      </c>
      <c r="E3706" s="14" t="s">
        <v>1747</v>
      </c>
      <c r="F3706" s="14">
        <v>45630</v>
      </c>
      <c r="G3706" s="14">
        <v>36504</v>
      </c>
      <c r="H3706" s="37">
        <f>'Calculation Sheet'!N3706</f>
        <v>36504</v>
      </c>
    </row>
    <row r="3707" spans="1:8" x14ac:dyDescent="0.25">
      <c r="A3707" s="14" t="s">
        <v>1616</v>
      </c>
      <c r="B3707" s="14">
        <v>80</v>
      </c>
      <c r="C3707" s="15" t="s">
        <v>1705</v>
      </c>
      <c r="D3707" s="14" t="s">
        <v>1749</v>
      </c>
      <c r="E3707" s="14" t="s">
        <v>1746</v>
      </c>
      <c r="F3707" s="14">
        <v>89625</v>
      </c>
      <c r="G3707" s="14">
        <v>71700</v>
      </c>
      <c r="H3707" s="37">
        <f>'Calculation Sheet'!N3707</f>
        <v>71700</v>
      </c>
    </row>
    <row r="3708" spans="1:8" x14ac:dyDescent="0.25">
      <c r="A3708" s="14" t="s">
        <v>1616</v>
      </c>
      <c r="B3708" s="14">
        <v>13</v>
      </c>
      <c r="C3708" s="15" t="s">
        <v>1687</v>
      </c>
      <c r="D3708" s="14" t="s">
        <v>1749</v>
      </c>
      <c r="E3708" s="14" t="s">
        <v>1746</v>
      </c>
      <c r="F3708" s="14">
        <v>37380</v>
      </c>
      <c r="G3708" s="14">
        <v>29904</v>
      </c>
      <c r="H3708" s="37">
        <f>'Calculation Sheet'!N3708</f>
        <v>29904</v>
      </c>
    </row>
    <row r="3709" spans="1:8" x14ac:dyDescent="0.25">
      <c r="A3709" s="14" t="s">
        <v>1616</v>
      </c>
      <c r="B3709" s="14" t="s">
        <v>55</v>
      </c>
      <c r="C3709" s="15" t="s">
        <v>1702</v>
      </c>
      <c r="D3709" s="14" t="s">
        <v>1749</v>
      </c>
      <c r="E3709" s="14" t="s">
        <v>1746</v>
      </c>
      <c r="F3709" s="14">
        <v>6740</v>
      </c>
      <c r="G3709" s="14">
        <v>5392</v>
      </c>
      <c r="H3709" s="37">
        <f>'Calculation Sheet'!N3709</f>
        <v>5392</v>
      </c>
    </row>
    <row r="3710" spans="1:8" x14ac:dyDescent="0.25">
      <c r="A3710" s="14" t="s">
        <v>1616</v>
      </c>
      <c r="B3710" s="14">
        <v>15</v>
      </c>
      <c r="C3710" s="15" t="s">
        <v>1727</v>
      </c>
      <c r="D3710" s="14" t="s">
        <v>1745</v>
      </c>
      <c r="E3710" s="14" t="s">
        <v>1747</v>
      </c>
      <c r="F3710" s="14">
        <v>2785968</v>
      </c>
      <c r="G3710" s="14">
        <v>2228774</v>
      </c>
      <c r="H3710" s="37">
        <f>'Calculation Sheet'!N3710</f>
        <v>2228774</v>
      </c>
    </row>
    <row r="3711" spans="1:8" x14ac:dyDescent="0.25">
      <c r="A3711" s="14" t="s">
        <v>1616</v>
      </c>
      <c r="B3711" s="14" t="s">
        <v>1737</v>
      </c>
      <c r="C3711" s="15" t="s">
        <v>1736</v>
      </c>
      <c r="D3711" s="14" t="s">
        <v>1745</v>
      </c>
      <c r="E3711" s="14" t="s">
        <v>1746</v>
      </c>
      <c r="F3711" s="14">
        <v>512001</v>
      </c>
      <c r="G3711" s="14">
        <v>409600.8</v>
      </c>
      <c r="H3711" s="37">
        <f>'Calculation Sheet'!N3711</f>
        <v>409600.8</v>
      </c>
    </row>
    <row r="3712" spans="1:8" x14ac:dyDescent="0.25">
      <c r="A3712" s="14" t="s">
        <v>1616</v>
      </c>
      <c r="B3712" s="14">
        <v>17</v>
      </c>
      <c r="C3712" s="15" t="s">
        <v>1729</v>
      </c>
      <c r="D3712" s="14" t="s">
        <v>1745</v>
      </c>
      <c r="E3712" s="14" t="s">
        <v>1747</v>
      </c>
      <c r="F3712" s="14">
        <v>782136</v>
      </c>
      <c r="G3712" s="14">
        <v>625708.80000000005</v>
      </c>
      <c r="H3712" s="37">
        <f>'Calculation Sheet'!N3712</f>
        <v>625708.80000000005</v>
      </c>
    </row>
    <row r="3713" spans="1:8" x14ac:dyDescent="0.25">
      <c r="A3713" s="14" t="s">
        <v>1616</v>
      </c>
      <c r="B3713" s="14">
        <v>11</v>
      </c>
      <c r="C3713" s="15" t="s">
        <v>1684</v>
      </c>
      <c r="D3713" s="14" t="s">
        <v>1745</v>
      </c>
      <c r="E3713" s="14" t="s">
        <v>1746</v>
      </c>
      <c r="F3713" s="14">
        <v>481950</v>
      </c>
      <c r="G3713" s="14">
        <v>385560</v>
      </c>
      <c r="H3713" s="37">
        <f>'Calculation Sheet'!N3713</f>
        <v>385560</v>
      </c>
    </row>
    <row r="3714" spans="1:8" x14ac:dyDescent="0.25">
      <c r="A3714" s="14" t="s">
        <v>1616</v>
      </c>
      <c r="B3714" s="14" t="s">
        <v>28</v>
      </c>
      <c r="C3714" s="15" t="s">
        <v>1715</v>
      </c>
      <c r="D3714" s="14" t="s">
        <v>1745</v>
      </c>
      <c r="E3714" s="14" t="s">
        <v>1747</v>
      </c>
      <c r="F3714" s="14">
        <v>147474</v>
      </c>
      <c r="G3714" s="14">
        <v>117979.2</v>
      </c>
      <c r="H3714" s="37">
        <f>'Calculation Sheet'!N3714</f>
        <v>117979.2</v>
      </c>
    </row>
    <row r="3715" spans="1:8" x14ac:dyDescent="0.25">
      <c r="A3715" s="14" t="s">
        <v>1616</v>
      </c>
      <c r="B3715" s="14" t="s">
        <v>73</v>
      </c>
      <c r="C3715" s="15" t="s">
        <v>1699</v>
      </c>
      <c r="D3715" s="14" t="s">
        <v>1749</v>
      </c>
      <c r="E3715" s="14" t="s">
        <v>1746</v>
      </c>
      <c r="F3715" s="14">
        <v>5570</v>
      </c>
      <c r="G3715" s="14">
        <v>4456</v>
      </c>
      <c r="H3715" s="37">
        <f>'Calculation Sheet'!N3715</f>
        <v>4456</v>
      </c>
    </row>
    <row r="3716" spans="1:8" x14ac:dyDescent="0.25">
      <c r="A3716" s="14" t="s">
        <v>1616</v>
      </c>
      <c r="B3716" s="14" t="s">
        <v>55</v>
      </c>
      <c r="C3716" s="15" t="s">
        <v>1702</v>
      </c>
      <c r="D3716" s="14" t="s">
        <v>1745</v>
      </c>
      <c r="E3716" s="14" t="s">
        <v>1746</v>
      </c>
      <c r="F3716" s="14">
        <v>76431.600000000006</v>
      </c>
      <c r="G3716" s="14">
        <v>61145.279999999999</v>
      </c>
      <c r="H3716" s="37">
        <f>'Calculation Sheet'!N3716</f>
        <v>61145.279999999999</v>
      </c>
    </row>
    <row r="3717" spans="1:8" x14ac:dyDescent="0.25">
      <c r="A3717" s="14" t="s">
        <v>1616</v>
      </c>
      <c r="B3717" s="14">
        <v>80</v>
      </c>
      <c r="C3717" s="15" t="s">
        <v>1705</v>
      </c>
      <c r="D3717" s="14" t="s">
        <v>1745</v>
      </c>
      <c r="E3717" s="14" t="s">
        <v>1747</v>
      </c>
      <c r="F3717" s="14">
        <v>967950</v>
      </c>
      <c r="G3717" s="14">
        <v>774360</v>
      </c>
      <c r="H3717" s="37">
        <f>'Calculation Sheet'!N3717</f>
        <v>774360</v>
      </c>
    </row>
    <row r="3718" spans="1:8" x14ac:dyDescent="0.25">
      <c r="A3718" s="14" t="s">
        <v>1616</v>
      </c>
      <c r="B3718" s="14" t="s">
        <v>24</v>
      </c>
      <c r="C3718" s="15" t="s">
        <v>1696</v>
      </c>
      <c r="D3718" s="14" t="s">
        <v>1745</v>
      </c>
      <c r="E3718" s="14" t="s">
        <v>1747</v>
      </c>
      <c r="F3718" s="14">
        <v>40770</v>
      </c>
      <c r="G3718" s="14">
        <v>32616</v>
      </c>
      <c r="H3718" s="37">
        <f>'Calculation Sheet'!N3718</f>
        <v>32616</v>
      </c>
    </row>
    <row r="3719" spans="1:8" x14ac:dyDescent="0.25">
      <c r="A3719" s="14" t="s">
        <v>1616</v>
      </c>
      <c r="B3719" s="14" t="s">
        <v>1735</v>
      </c>
      <c r="C3719" s="15" t="s">
        <v>1734</v>
      </c>
      <c r="D3719" s="14" t="s">
        <v>1749</v>
      </c>
      <c r="E3719" s="14" t="s">
        <v>1746</v>
      </c>
      <c r="F3719" s="14">
        <v>41780</v>
      </c>
      <c r="G3719" s="14">
        <v>33424</v>
      </c>
      <c r="H3719" s="37">
        <f>'Calculation Sheet'!N3719</f>
        <v>33424</v>
      </c>
    </row>
    <row r="3720" spans="1:8" x14ac:dyDescent="0.25">
      <c r="A3720" s="14" t="s">
        <v>1616</v>
      </c>
      <c r="B3720" s="14" t="s">
        <v>89</v>
      </c>
      <c r="C3720" s="15" t="s">
        <v>1690</v>
      </c>
      <c r="D3720" s="14" t="s">
        <v>1745</v>
      </c>
      <c r="E3720" s="14" t="s">
        <v>1746</v>
      </c>
      <c r="F3720" s="14">
        <v>47911.56</v>
      </c>
      <c r="G3720" s="14">
        <v>38329.199999999997</v>
      </c>
      <c r="H3720" s="37">
        <f>'Calculation Sheet'!N3720</f>
        <v>38329.199999999997</v>
      </c>
    </row>
    <row r="3721" spans="1:8" x14ac:dyDescent="0.25">
      <c r="A3721" s="14" t="s">
        <v>1616</v>
      </c>
      <c r="B3721" s="14" t="s">
        <v>39</v>
      </c>
      <c r="C3721" s="15" t="s">
        <v>1718</v>
      </c>
      <c r="D3721" s="14" t="s">
        <v>1749</v>
      </c>
      <c r="E3721" s="14" t="s">
        <v>1746</v>
      </c>
      <c r="F3721" s="14">
        <v>16620</v>
      </c>
      <c r="G3721" s="14">
        <v>13296</v>
      </c>
      <c r="H3721" s="37">
        <f>'Calculation Sheet'!N3721</f>
        <v>13296</v>
      </c>
    </row>
    <row r="3722" spans="1:8" x14ac:dyDescent="0.25">
      <c r="A3722" s="14" t="s">
        <v>1616</v>
      </c>
      <c r="B3722" s="14">
        <v>16</v>
      </c>
      <c r="C3722" s="15" t="s">
        <v>1732</v>
      </c>
      <c r="D3722" s="14" t="s">
        <v>1745</v>
      </c>
      <c r="E3722" s="14" t="s">
        <v>1747</v>
      </c>
      <c r="F3722" s="14">
        <v>1498284</v>
      </c>
      <c r="G3722" s="14">
        <v>1198627</v>
      </c>
      <c r="H3722" s="37">
        <f>'Calculation Sheet'!N3722</f>
        <v>1198627</v>
      </c>
    </row>
    <row r="3723" spans="1:8" x14ac:dyDescent="0.25">
      <c r="A3723" s="14" t="s">
        <v>1616</v>
      </c>
      <c r="B3723" s="14">
        <v>15</v>
      </c>
      <c r="C3723" s="15" t="s">
        <v>1727</v>
      </c>
      <c r="D3723" s="14" t="s">
        <v>1745</v>
      </c>
      <c r="E3723" s="14" t="s">
        <v>1746</v>
      </c>
      <c r="F3723" s="14">
        <v>2925266</v>
      </c>
      <c r="G3723" s="14">
        <v>2340213</v>
      </c>
      <c r="H3723" s="37">
        <f>'Calculation Sheet'!N3723</f>
        <v>2340213</v>
      </c>
    </row>
    <row r="3724" spans="1:8" x14ac:dyDescent="0.25">
      <c r="A3724" s="14" t="s">
        <v>1616</v>
      </c>
      <c r="B3724" s="14" t="s">
        <v>28</v>
      </c>
      <c r="C3724" s="15" t="s">
        <v>1715</v>
      </c>
      <c r="D3724" s="14" t="s">
        <v>1749</v>
      </c>
      <c r="E3724" s="14" t="s">
        <v>1746</v>
      </c>
      <c r="F3724" s="14">
        <v>13655</v>
      </c>
      <c r="G3724" s="14">
        <v>10924</v>
      </c>
      <c r="H3724" s="37">
        <f>'Calculation Sheet'!N3724</f>
        <v>10924</v>
      </c>
    </row>
    <row r="3725" spans="1:8" x14ac:dyDescent="0.25">
      <c r="A3725" s="14" t="s">
        <v>1616</v>
      </c>
      <c r="B3725" s="14" t="s">
        <v>39</v>
      </c>
      <c r="C3725" s="15" t="s">
        <v>1718</v>
      </c>
      <c r="D3725" s="14" t="s">
        <v>1745</v>
      </c>
      <c r="E3725" s="14" t="s">
        <v>1747</v>
      </c>
      <c r="F3725" s="14">
        <v>179496</v>
      </c>
      <c r="G3725" s="14">
        <v>143596.79999999999</v>
      </c>
      <c r="H3725" s="37">
        <f>'Calculation Sheet'!N3725</f>
        <v>143596.79999999999</v>
      </c>
    </row>
    <row r="3726" spans="1:8" x14ac:dyDescent="0.25">
      <c r="A3726" s="14" t="s">
        <v>1616</v>
      </c>
      <c r="B3726" s="14" t="s">
        <v>73</v>
      </c>
      <c r="C3726" s="15" t="s">
        <v>1699</v>
      </c>
      <c r="D3726" s="14" t="s">
        <v>1745</v>
      </c>
      <c r="E3726" s="14" t="s">
        <v>1746</v>
      </c>
      <c r="F3726" s="14">
        <v>63163.8</v>
      </c>
      <c r="G3726" s="14">
        <v>50531.040000000001</v>
      </c>
      <c r="H3726" s="37">
        <f>'Calculation Sheet'!N3726</f>
        <v>50531.040000000001</v>
      </c>
    </row>
    <row r="3727" spans="1:8" x14ac:dyDescent="0.25">
      <c r="A3727" s="14" t="s">
        <v>1616</v>
      </c>
      <c r="B3727" s="14">
        <v>17</v>
      </c>
      <c r="C3727" s="15" t="s">
        <v>1729</v>
      </c>
      <c r="D3727" s="14" t="s">
        <v>1745</v>
      </c>
      <c r="E3727" s="14" t="s">
        <v>1746</v>
      </c>
      <c r="F3727" s="14">
        <v>821242.8</v>
      </c>
      <c r="G3727" s="14">
        <v>656994.19999999995</v>
      </c>
      <c r="H3727" s="37">
        <f>'Calculation Sheet'!N3727</f>
        <v>656994.19999999995</v>
      </c>
    </row>
    <row r="3728" spans="1:8" x14ac:dyDescent="0.25">
      <c r="A3728" s="14" t="s">
        <v>1616</v>
      </c>
      <c r="B3728" s="14">
        <v>80</v>
      </c>
      <c r="C3728" s="15" t="s">
        <v>1705</v>
      </c>
      <c r="D3728" s="14" t="s">
        <v>1745</v>
      </c>
      <c r="E3728" s="14" t="s">
        <v>1746</v>
      </c>
      <c r="F3728" s="14">
        <v>1016348</v>
      </c>
      <c r="G3728" s="14">
        <v>813078</v>
      </c>
      <c r="H3728" s="37">
        <f>'Calculation Sheet'!N3728</f>
        <v>813078</v>
      </c>
    </row>
    <row r="3729" spans="1:8" x14ac:dyDescent="0.25">
      <c r="A3729" s="14" t="s">
        <v>1616</v>
      </c>
      <c r="B3729" s="14" t="s">
        <v>50</v>
      </c>
      <c r="C3729" s="15" t="s">
        <v>1724</v>
      </c>
      <c r="D3729" s="14" t="s">
        <v>1745</v>
      </c>
      <c r="E3729" s="14" t="s">
        <v>1747</v>
      </c>
      <c r="F3729" s="14">
        <v>229986</v>
      </c>
      <c r="G3729" s="14">
        <v>183988.8</v>
      </c>
      <c r="H3729" s="37">
        <f>'Calculation Sheet'!N3729</f>
        <v>183988.8</v>
      </c>
    </row>
    <row r="3730" spans="1:8" x14ac:dyDescent="0.25">
      <c r="A3730" s="14" t="s">
        <v>1616</v>
      </c>
      <c r="B3730" s="14">
        <v>16</v>
      </c>
      <c r="C3730" s="15" t="s">
        <v>1732</v>
      </c>
      <c r="D3730" s="14" t="s">
        <v>1745</v>
      </c>
      <c r="E3730" s="14" t="s">
        <v>1746</v>
      </c>
      <c r="F3730" s="14">
        <v>1573198</v>
      </c>
      <c r="G3730" s="14">
        <v>1258559</v>
      </c>
      <c r="H3730" s="37">
        <f>'Calculation Sheet'!N3730</f>
        <v>1258559</v>
      </c>
    </row>
    <row r="3731" spans="1:8" x14ac:dyDescent="0.25">
      <c r="A3731" s="14" t="s">
        <v>1616</v>
      </c>
      <c r="B3731" s="14" t="s">
        <v>32</v>
      </c>
      <c r="C3731" s="15" t="s">
        <v>1721</v>
      </c>
      <c r="D3731" s="14" t="s">
        <v>1749</v>
      </c>
      <c r="E3731" s="14" t="s">
        <v>1746</v>
      </c>
      <c r="F3731" s="14">
        <v>17790</v>
      </c>
      <c r="G3731" s="14">
        <v>14232</v>
      </c>
      <c r="H3731" s="37">
        <f>'Calculation Sheet'!N3731</f>
        <v>14232</v>
      </c>
    </row>
    <row r="3732" spans="1:8" x14ac:dyDescent="0.25">
      <c r="A3732" s="14" t="s">
        <v>1616</v>
      </c>
      <c r="B3732" s="14" t="s">
        <v>24</v>
      </c>
      <c r="C3732" s="15" t="s">
        <v>1696</v>
      </c>
      <c r="D3732" s="14" t="s">
        <v>1745</v>
      </c>
      <c r="E3732" s="14" t="s">
        <v>1746</v>
      </c>
      <c r="F3732" s="14">
        <v>42808.56</v>
      </c>
      <c r="G3732" s="14">
        <v>34246.800000000003</v>
      </c>
      <c r="H3732" s="37">
        <f>'Calculation Sheet'!N3732</f>
        <v>34246.800000000003</v>
      </c>
    </row>
    <row r="3733" spans="1:8" x14ac:dyDescent="0.25">
      <c r="A3733" s="14" t="s">
        <v>1616</v>
      </c>
      <c r="B3733" s="14">
        <v>13</v>
      </c>
      <c r="C3733" s="15" t="s">
        <v>1687</v>
      </c>
      <c r="D3733" s="14" t="s">
        <v>1745</v>
      </c>
      <c r="E3733" s="14" t="s">
        <v>1746</v>
      </c>
      <c r="F3733" s="14">
        <v>423889.2</v>
      </c>
      <c r="G3733" s="14">
        <v>339111.4</v>
      </c>
      <c r="H3733" s="37">
        <f>'Calculation Sheet'!N3733</f>
        <v>339111.4</v>
      </c>
    </row>
    <row r="3734" spans="1:8" x14ac:dyDescent="0.25">
      <c r="A3734" s="14" t="s">
        <v>1616</v>
      </c>
      <c r="B3734" s="14" t="s">
        <v>46</v>
      </c>
      <c r="C3734" s="15" t="s">
        <v>1712</v>
      </c>
      <c r="D3734" s="14" t="s">
        <v>1749</v>
      </c>
      <c r="E3734" s="14" t="s">
        <v>1746</v>
      </c>
      <c r="F3734" s="14">
        <v>10155</v>
      </c>
      <c r="G3734" s="14">
        <v>8124</v>
      </c>
      <c r="H3734" s="37">
        <f>'Calculation Sheet'!N3734</f>
        <v>8124</v>
      </c>
    </row>
    <row r="3735" spans="1:8" x14ac:dyDescent="0.25">
      <c r="A3735" s="14" t="s">
        <v>2838</v>
      </c>
      <c r="B3735" s="14">
        <v>1</v>
      </c>
      <c r="C3735" s="15" t="s">
        <v>2839</v>
      </c>
      <c r="D3735" s="14" t="s">
        <v>1745</v>
      </c>
      <c r="E3735" s="14" t="s">
        <v>1747</v>
      </c>
      <c r="F3735" s="14">
        <v>1800</v>
      </c>
      <c r="G3735" s="14">
        <v>1440</v>
      </c>
      <c r="H3735" s="37">
        <f>'Calculation Sheet'!N3735</f>
        <v>1440</v>
      </c>
    </row>
    <row r="3736" spans="1:8" x14ac:dyDescent="0.25">
      <c r="A3736" s="17"/>
      <c r="B3736" s="17"/>
      <c r="C3736" s="15" t="s">
        <v>2840</v>
      </c>
      <c r="D3736" s="14"/>
      <c r="E3736" s="14" t="s">
        <v>2841</v>
      </c>
      <c r="F3736" s="14">
        <v>1954</v>
      </c>
      <c r="G3736" s="14">
        <v>1911.989</v>
      </c>
      <c r="H3736" s="37">
        <f>'Calculation Sheet'!N3736</f>
        <v>1911.989</v>
      </c>
    </row>
    <row r="3737" spans="1:8" x14ac:dyDescent="0.25">
      <c r="A3737" s="17"/>
      <c r="B3737" s="17"/>
      <c r="C3737" s="15" t="s">
        <v>2840</v>
      </c>
      <c r="D3737" s="14"/>
      <c r="E3737" s="14" t="s">
        <v>2841</v>
      </c>
      <c r="F3737" s="14">
        <v>3610</v>
      </c>
      <c r="G3737" s="14">
        <v>3532.3850000000002</v>
      </c>
      <c r="H3737" s="37">
        <f>'Calculation Sheet'!N3737</f>
        <v>3532.3850000000002</v>
      </c>
    </row>
    <row r="3738" spans="1:8" x14ac:dyDescent="0.25">
      <c r="A3738" s="17"/>
      <c r="B3738" s="17"/>
      <c r="C3738" s="15" t="s">
        <v>2840</v>
      </c>
      <c r="D3738" s="14"/>
      <c r="E3738" s="14" t="s">
        <v>2841</v>
      </c>
      <c r="F3738" s="14">
        <v>14443</v>
      </c>
      <c r="G3738" s="14">
        <v>14132.4755</v>
      </c>
      <c r="H3738" s="37">
        <f>'Calculation Sheet'!N3738</f>
        <v>14132.4755</v>
      </c>
    </row>
    <row r="3739" spans="1:8" x14ac:dyDescent="0.25">
      <c r="A3739" s="17"/>
      <c r="B3739" s="17"/>
      <c r="C3739" s="15" t="s">
        <v>2842</v>
      </c>
      <c r="D3739" s="14" t="s">
        <v>1752</v>
      </c>
      <c r="E3739" s="14" t="s">
        <v>1747</v>
      </c>
      <c r="F3739" s="14">
        <v>15293.01</v>
      </c>
      <c r="G3739" s="14">
        <v>13389.031799999999</v>
      </c>
      <c r="H3739" s="37">
        <f>'Calculation Sheet'!N3739</f>
        <v>13389.031799999999</v>
      </c>
    </row>
    <row r="3740" spans="1:8" x14ac:dyDescent="0.25">
      <c r="A3740" s="17"/>
      <c r="B3740" s="17"/>
      <c r="C3740" s="15" t="s">
        <v>2843</v>
      </c>
      <c r="D3740" s="14" t="s">
        <v>1745</v>
      </c>
      <c r="E3740" s="14" t="s">
        <v>1747</v>
      </c>
      <c r="F3740" s="14">
        <v>8496</v>
      </c>
      <c r="G3740" s="14">
        <v>7438.2480000000005</v>
      </c>
      <c r="H3740" s="37">
        <f>'Calculation Sheet'!N3740</f>
        <v>7438.2480000000005</v>
      </c>
    </row>
    <row r="3741" spans="1:8" x14ac:dyDescent="0.25">
      <c r="A3741" s="17"/>
      <c r="B3741" s="17"/>
      <c r="C3741" s="15" t="s">
        <v>2842</v>
      </c>
      <c r="D3741" s="14" t="s">
        <v>1752</v>
      </c>
      <c r="E3741" s="14" t="s">
        <v>1753</v>
      </c>
      <c r="F3741" s="14">
        <v>15293</v>
      </c>
      <c r="G3741" s="14">
        <v>13389.021499999999</v>
      </c>
      <c r="H3741" s="37">
        <f>'Calculation Sheet'!N3741</f>
        <v>13389.021499999999</v>
      </c>
    </row>
    <row r="3742" spans="1:8" x14ac:dyDescent="0.25">
      <c r="A3742" s="17"/>
      <c r="B3742" s="17"/>
      <c r="C3742" s="15" t="s">
        <v>2844</v>
      </c>
      <c r="D3742" s="14"/>
      <c r="E3742" s="14" t="s">
        <v>2841</v>
      </c>
      <c r="F3742" s="14">
        <v>107391</v>
      </c>
      <c r="G3742" s="14">
        <v>94020.820500000002</v>
      </c>
      <c r="H3742" s="37">
        <f>'Calculation Sheet'!N3742</f>
        <v>94020.820500000002</v>
      </c>
    </row>
    <row r="3743" spans="1:8" x14ac:dyDescent="0.25">
      <c r="A3743" s="17"/>
      <c r="B3743" s="17"/>
      <c r="C3743" s="15" t="s">
        <v>2844</v>
      </c>
      <c r="D3743" s="14"/>
      <c r="E3743" s="14" t="s">
        <v>2841</v>
      </c>
      <c r="F3743" s="14">
        <v>26847</v>
      </c>
      <c r="G3743" s="14">
        <v>23504.548500000001</v>
      </c>
      <c r="H3743" s="37">
        <f>'Calculation Sheet'!N3743</f>
        <v>23504.548500000001</v>
      </c>
    </row>
    <row r="3744" spans="1:8" x14ac:dyDescent="0.25">
      <c r="A3744" s="17"/>
      <c r="B3744" s="17"/>
      <c r="C3744" s="15" t="s">
        <v>2844</v>
      </c>
      <c r="D3744" s="14"/>
      <c r="E3744" s="14" t="s">
        <v>2841</v>
      </c>
      <c r="F3744" s="14">
        <v>42956</v>
      </c>
      <c r="G3744" s="14">
        <v>37607.977999999996</v>
      </c>
      <c r="H3744" s="37">
        <f>'Calculation Sheet'!N3744</f>
        <v>37607.977999999996</v>
      </c>
    </row>
    <row r="3745" spans="1:8" x14ac:dyDescent="0.25">
      <c r="A3745" s="17"/>
      <c r="B3745" s="17"/>
      <c r="C3745" s="15" t="s">
        <v>2845</v>
      </c>
      <c r="D3745" s="14"/>
      <c r="E3745" s="14" t="s">
        <v>2841</v>
      </c>
      <c r="F3745" s="14">
        <v>751537</v>
      </c>
      <c r="G3745" s="14">
        <v>657970.69499999995</v>
      </c>
      <c r="H3745" s="37">
        <f>'Calculation Sheet'!N3745</f>
        <v>657970.69499999995</v>
      </c>
    </row>
    <row r="3746" spans="1:8" x14ac:dyDescent="0.25">
      <c r="A3746" s="17"/>
      <c r="B3746" s="17"/>
      <c r="C3746" s="15" t="s">
        <v>2845</v>
      </c>
      <c r="D3746" s="14"/>
      <c r="E3746" s="14" t="s">
        <v>2841</v>
      </c>
      <c r="F3746" s="14">
        <v>1878844</v>
      </c>
      <c r="G3746" s="14">
        <v>1644927.51</v>
      </c>
      <c r="H3746" s="37">
        <f>'Calculation Sheet'!N3746</f>
        <v>1644927.51</v>
      </c>
    </row>
    <row r="3747" spans="1:8" x14ac:dyDescent="0.25">
      <c r="A3747" s="17"/>
      <c r="B3747" s="17"/>
      <c r="C3747" s="15" t="s">
        <v>2845</v>
      </c>
      <c r="D3747" s="14"/>
      <c r="E3747" s="14" t="s">
        <v>2841</v>
      </c>
      <c r="F3747" s="14">
        <v>469711</v>
      </c>
      <c r="G3747" s="14">
        <v>411232.03200000001</v>
      </c>
      <c r="H3747" s="37">
        <f>'Calculation Sheet'!N3747</f>
        <v>411232.03200000001</v>
      </c>
    </row>
    <row r="3748" spans="1:8" x14ac:dyDescent="0.25">
      <c r="A3748" s="17"/>
      <c r="B3748" s="17"/>
      <c r="C3748" s="15" t="s">
        <v>2846</v>
      </c>
      <c r="D3748" s="14"/>
      <c r="E3748" s="14" t="s">
        <v>2841</v>
      </c>
      <c r="F3748" s="14">
        <v>430756</v>
      </c>
      <c r="G3748" s="14">
        <v>377126.87799999997</v>
      </c>
      <c r="H3748" s="37">
        <f>'Calculation Sheet'!N3748</f>
        <v>377126.87799999997</v>
      </c>
    </row>
    <row r="3749" spans="1:8" x14ac:dyDescent="0.25">
      <c r="A3749" s="17"/>
      <c r="B3749" s="17"/>
      <c r="C3749" s="15" t="s">
        <v>2846</v>
      </c>
      <c r="D3749" s="14"/>
      <c r="E3749" s="14" t="s">
        <v>2841</v>
      </c>
      <c r="F3749" s="14">
        <v>107689</v>
      </c>
      <c r="G3749" s="14">
        <v>94281.719499999992</v>
      </c>
      <c r="H3749" s="37">
        <f>'Calculation Sheet'!N3749</f>
        <v>94281.719499999992</v>
      </c>
    </row>
    <row r="3750" spans="1:8" x14ac:dyDescent="0.25">
      <c r="A3750" s="17"/>
      <c r="B3750" s="17"/>
      <c r="C3750" s="15" t="s">
        <v>2846</v>
      </c>
      <c r="D3750" s="14"/>
      <c r="E3750" s="14" t="s">
        <v>2841</v>
      </c>
      <c r="F3750" s="14">
        <v>172302</v>
      </c>
      <c r="G3750" s="14">
        <v>150850.40100000001</v>
      </c>
      <c r="H3750" s="37">
        <f>'Calculation Sheet'!N3750</f>
        <v>150850.40100000001</v>
      </c>
    </row>
    <row r="3751" spans="1:8" x14ac:dyDescent="0.25">
      <c r="A3751" s="17"/>
      <c r="B3751" s="17"/>
      <c r="C3751" s="15" t="s">
        <v>2847</v>
      </c>
      <c r="D3751" s="14"/>
      <c r="E3751" s="14" t="s">
        <v>2841</v>
      </c>
      <c r="F3751" s="14">
        <v>3610</v>
      </c>
      <c r="G3751" s="14">
        <v>3532.3850000000002</v>
      </c>
      <c r="H3751" s="37">
        <f>'Calculation Sheet'!N3751</f>
        <v>3532.3850000000002</v>
      </c>
    </row>
    <row r="3752" spans="1:8" x14ac:dyDescent="0.25">
      <c r="A3752" s="17"/>
      <c r="B3752" s="17"/>
      <c r="C3752" s="15" t="s">
        <v>2847</v>
      </c>
      <c r="D3752" s="14"/>
      <c r="E3752" s="14" t="s">
        <v>2841</v>
      </c>
      <c r="F3752" s="14">
        <v>14443</v>
      </c>
      <c r="G3752" s="14">
        <v>14132.4755</v>
      </c>
      <c r="H3752" s="37">
        <f>'Calculation Sheet'!N3752</f>
        <v>14132.4755</v>
      </c>
    </row>
    <row r="3753" spans="1:8" x14ac:dyDescent="0.25">
      <c r="A3753" s="17"/>
      <c r="B3753" s="17"/>
      <c r="C3753" s="15" t="s">
        <v>2847</v>
      </c>
      <c r="D3753" s="14"/>
      <c r="E3753" s="14" t="s">
        <v>2841</v>
      </c>
      <c r="F3753" s="14">
        <v>1954</v>
      </c>
      <c r="G3753" s="14">
        <v>1911.989</v>
      </c>
      <c r="H3753" s="37">
        <f>'Calculation Sheet'!N3753</f>
        <v>1911.989</v>
      </c>
    </row>
    <row r="3754" spans="1:8" x14ac:dyDescent="0.25">
      <c r="A3754" s="17"/>
      <c r="B3754" s="17"/>
      <c r="C3754" s="15" t="s">
        <v>2848</v>
      </c>
      <c r="D3754" s="14"/>
      <c r="E3754" s="14" t="s">
        <v>2841</v>
      </c>
      <c r="F3754" s="14">
        <v>14443</v>
      </c>
      <c r="G3754" s="14">
        <v>14132.4755</v>
      </c>
      <c r="H3754" s="37">
        <f>'Calculation Sheet'!N3754</f>
        <v>14132.4755</v>
      </c>
    </row>
    <row r="3755" spans="1:8" x14ac:dyDescent="0.25">
      <c r="A3755" s="17"/>
      <c r="B3755" s="17"/>
      <c r="C3755" s="15" t="s">
        <v>2848</v>
      </c>
      <c r="D3755" s="14"/>
      <c r="E3755" s="14" t="s">
        <v>2841</v>
      </c>
      <c r="F3755" s="14">
        <v>3610</v>
      </c>
      <c r="G3755" s="14">
        <v>3532.3850000000002</v>
      </c>
      <c r="H3755" s="37">
        <f>'Calculation Sheet'!N3755</f>
        <v>3532.3850000000002</v>
      </c>
    </row>
    <row r="3756" spans="1:8" x14ac:dyDescent="0.25">
      <c r="A3756" s="17"/>
      <c r="B3756" s="17"/>
      <c r="C3756" s="15" t="s">
        <v>2848</v>
      </c>
      <c r="D3756" s="14"/>
      <c r="E3756" s="14" t="s">
        <v>2841</v>
      </c>
      <c r="F3756" s="14">
        <v>1954</v>
      </c>
      <c r="G3756" s="14">
        <v>1911.989</v>
      </c>
      <c r="H3756" s="37">
        <f>'Calculation Sheet'!N3756</f>
        <v>1911.989</v>
      </c>
    </row>
    <row r="3757" spans="1:8" x14ac:dyDescent="0.25">
      <c r="A3757" s="17"/>
      <c r="B3757" s="17"/>
      <c r="C3757" s="15" t="s">
        <v>2849</v>
      </c>
      <c r="D3757" s="14"/>
      <c r="E3757" s="14" t="s">
        <v>2841</v>
      </c>
      <c r="F3757" s="14">
        <v>1631</v>
      </c>
      <c r="G3757" s="14">
        <v>1427.9404999999999</v>
      </c>
      <c r="H3757" s="37">
        <f>'Calculation Sheet'!N3757</f>
        <v>1427.9404999999999</v>
      </c>
    </row>
    <row r="3758" spans="1:8" x14ac:dyDescent="0.25">
      <c r="A3758" s="17"/>
      <c r="B3758" s="17"/>
      <c r="C3758" s="15" t="s">
        <v>2850</v>
      </c>
      <c r="D3758" s="14"/>
      <c r="E3758" s="14" t="s">
        <v>2841</v>
      </c>
      <c r="F3758" s="14">
        <v>3993</v>
      </c>
      <c r="G3758" s="14">
        <v>3495.8715000000002</v>
      </c>
      <c r="H3758" s="37">
        <f>'Calculation Sheet'!N3758</f>
        <v>3495.8715000000002</v>
      </c>
    </row>
    <row r="3759" spans="1:8" x14ac:dyDescent="0.25">
      <c r="A3759" s="17"/>
      <c r="B3759" s="17"/>
      <c r="C3759" s="15" t="s">
        <v>2850</v>
      </c>
      <c r="D3759" s="14"/>
      <c r="E3759" s="14" t="s">
        <v>2841</v>
      </c>
      <c r="F3759" s="14">
        <v>998</v>
      </c>
      <c r="G3759" s="14">
        <v>873.74899999999991</v>
      </c>
      <c r="H3759" s="37">
        <f>'Calculation Sheet'!N3759</f>
        <v>873.74899999999991</v>
      </c>
    </row>
    <row r="3760" spans="1:8" x14ac:dyDescent="0.25">
      <c r="A3760" s="17"/>
      <c r="B3760" s="17"/>
      <c r="C3760" s="15" t="s">
        <v>2850</v>
      </c>
      <c r="D3760" s="14"/>
      <c r="E3760" s="14" t="s">
        <v>2841</v>
      </c>
      <c r="F3760" s="14">
        <v>1597</v>
      </c>
      <c r="G3760" s="14">
        <v>1398.1735000000001</v>
      </c>
      <c r="H3760" s="37">
        <f>'Calculation Sheet'!N3760</f>
        <v>1398.1735000000001</v>
      </c>
    </row>
    <row r="3761" spans="1:8" x14ac:dyDescent="0.25">
      <c r="A3761" s="17"/>
      <c r="B3761" s="17"/>
      <c r="C3761" s="15" t="s">
        <v>2849</v>
      </c>
      <c r="D3761" s="14"/>
      <c r="E3761" s="14" t="s">
        <v>2841</v>
      </c>
      <c r="F3761" s="14">
        <v>1019</v>
      </c>
      <c r="G3761" s="14">
        <v>892.1345</v>
      </c>
      <c r="H3761" s="37">
        <f>'Calculation Sheet'!N3761</f>
        <v>892.1345</v>
      </c>
    </row>
    <row r="3762" spans="1:8" x14ac:dyDescent="0.25">
      <c r="A3762" s="17"/>
      <c r="B3762" s="17"/>
      <c r="C3762" s="15" t="s">
        <v>2849</v>
      </c>
      <c r="D3762" s="14"/>
      <c r="E3762" s="14" t="s">
        <v>2841</v>
      </c>
      <c r="F3762" s="14">
        <v>5097</v>
      </c>
      <c r="G3762" s="14">
        <v>4462.4234999999999</v>
      </c>
      <c r="H3762" s="37">
        <f>'Calculation Sheet'!N3762</f>
        <v>4462.4234999999999</v>
      </c>
    </row>
    <row r="3763" spans="1:8" x14ac:dyDescent="0.25">
      <c r="A3763" s="17"/>
      <c r="B3763" s="17"/>
      <c r="C3763" s="15" t="s">
        <v>2851</v>
      </c>
      <c r="D3763" s="14"/>
      <c r="E3763" s="14" t="s">
        <v>2841</v>
      </c>
      <c r="F3763" s="14">
        <v>6372</v>
      </c>
      <c r="G3763" s="14">
        <v>5578.6859999999997</v>
      </c>
      <c r="H3763" s="37">
        <f>'Calculation Sheet'!N3763</f>
        <v>5578.6859999999997</v>
      </c>
    </row>
    <row r="3764" spans="1:8" x14ac:dyDescent="0.25">
      <c r="A3764" s="17"/>
      <c r="B3764" s="17"/>
      <c r="C3764" s="15" t="s">
        <v>2852</v>
      </c>
      <c r="D3764" s="14"/>
      <c r="E3764" s="14" t="s">
        <v>2841</v>
      </c>
      <c r="F3764" s="14">
        <v>412</v>
      </c>
      <c r="G3764" s="14">
        <v>360.70599999999996</v>
      </c>
      <c r="H3764" s="37">
        <f>'Calculation Sheet'!N3764</f>
        <v>360.70599999999996</v>
      </c>
    </row>
    <row r="3765" spans="1:8" x14ac:dyDescent="0.25">
      <c r="A3765" s="17"/>
      <c r="B3765" s="17"/>
      <c r="C3765" s="15" t="s">
        <v>2852</v>
      </c>
      <c r="D3765" s="14"/>
      <c r="E3765" s="14" t="s">
        <v>2841</v>
      </c>
      <c r="F3765" s="14">
        <v>8241</v>
      </c>
      <c r="G3765" s="14">
        <v>7214.9955</v>
      </c>
      <c r="H3765" s="37">
        <f>'Calculation Sheet'!N3765</f>
        <v>7214.9955</v>
      </c>
    </row>
    <row r="3766" spans="1:8" x14ac:dyDescent="0.25">
      <c r="A3766" s="17"/>
      <c r="B3766" s="17"/>
      <c r="C3766" s="15" t="s">
        <v>2851</v>
      </c>
      <c r="D3766" s="14"/>
      <c r="E3766" s="14" t="s">
        <v>2841</v>
      </c>
      <c r="F3766" s="14">
        <v>318</v>
      </c>
      <c r="G3766" s="14">
        <v>278.40899999999999</v>
      </c>
      <c r="H3766" s="37">
        <f>'Calculation Sheet'!N3766</f>
        <v>278.40899999999999</v>
      </c>
    </row>
    <row r="3767" spans="1:8" x14ac:dyDescent="0.25">
      <c r="A3767" s="17"/>
      <c r="B3767" s="17"/>
      <c r="C3767" s="15" t="s">
        <v>2852</v>
      </c>
      <c r="D3767" s="14"/>
      <c r="E3767" s="14" t="s">
        <v>2841</v>
      </c>
      <c r="F3767" s="14">
        <v>1648</v>
      </c>
      <c r="G3767" s="14">
        <v>1442.8239999999998</v>
      </c>
      <c r="H3767" s="37">
        <f>'Calculation Sheet'!N3767</f>
        <v>1442.8239999999998</v>
      </c>
    </row>
    <row r="3768" spans="1:8" x14ac:dyDescent="0.25">
      <c r="A3768" s="17"/>
      <c r="B3768" s="17"/>
      <c r="C3768" s="15" t="s">
        <v>2851</v>
      </c>
      <c r="D3768" s="14"/>
      <c r="E3768" s="14" t="s">
        <v>2841</v>
      </c>
      <c r="F3768" s="14">
        <v>1593</v>
      </c>
      <c r="G3768" s="14">
        <v>1394.6714999999999</v>
      </c>
      <c r="H3768" s="37">
        <f>'Calculation Sheet'!N3768</f>
        <v>1394.6714999999999</v>
      </c>
    </row>
    <row r="3769" spans="1:8" x14ac:dyDescent="0.25">
      <c r="A3769" s="17"/>
      <c r="B3769" s="17"/>
      <c r="C3769" s="15" t="s">
        <v>2853</v>
      </c>
      <c r="D3769" s="14"/>
      <c r="E3769" s="14" t="s">
        <v>2841</v>
      </c>
      <c r="F3769" s="14">
        <v>1284803</v>
      </c>
      <c r="G3769" s="14">
        <v>1124845.49</v>
      </c>
      <c r="H3769" s="37">
        <f>'Calculation Sheet'!N3769</f>
        <v>1124845.49</v>
      </c>
    </row>
    <row r="3770" spans="1:8" x14ac:dyDescent="0.25">
      <c r="A3770" s="17"/>
      <c r="B3770" s="17"/>
      <c r="C3770" s="15" t="s">
        <v>2854</v>
      </c>
      <c r="D3770" s="14"/>
      <c r="E3770" s="14" t="s">
        <v>2841</v>
      </c>
      <c r="F3770" s="14">
        <v>83784</v>
      </c>
      <c r="G3770" s="14">
        <v>73352.891999999993</v>
      </c>
      <c r="H3770" s="37">
        <f>'Calculation Sheet'!N3770</f>
        <v>73352.891999999993</v>
      </c>
    </row>
    <row r="3771" spans="1:8" x14ac:dyDescent="0.25">
      <c r="A3771" s="17"/>
      <c r="B3771" s="17"/>
      <c r="C3771" s="15" t="s">
        <v>2855</v>
      </c>
      <c r="D3771" s="14"/>
      <c r="E3771" s="14" t="s">
        <v>2841</v>
      </c>
      <c r="F3771" s="14">
        <v>802878</v>
      </c>
      <c r="G3771" s="14">
        <v>702919.68900000001</v>
      </c>
      <c r="H3771" s="37">
        <f>'Calculation Sheet'!N3771</f>
        <v>702919.68900000001</v>
      </c>
    </row>
    <row r="3772" spans="1:8" x14ac:dyDescent="0.25">
      <c r="A3772" s="17"/>
      <c r="B3772" s="17"/>
      <c r="C3772" s="15" t="s">
        <v>2854</v>
      </c>
      <c r="D3772" s="14" t="s">
        <v>1745</v>
      </c>
      <c r="E3772" s="14" t="s">
        <v>2841</v>
      </c>
      <c r="F3772" s="14">
        <v>83784</v>
      </c>
      <c r="G3772" s="14">
        <v>73352.891999999993</v>
      </c>
      <c r="H3772" s="37">
        <f>'Calculation Sheet'!N3772</f>
        <v>73352.891999999993</v>
      </c>
    </row>
    <row r="3773" spans="1:8" x14ac:dyDescent="0.25">
      <c r="A3773" s="17"/>
      <c r="B3773" s="17"/>
      <c r="C3773" s="15" t="s">
        <v>2856</v>
      </c>
      <c r="D3773" s="14"/>
      <c r="E3773" s="14" t="s">
        <v>2841</v>
      </c>
      <c r="F3773" s="14">
        <v>1284803</v>
      </c>
      <c r="G3773" s="14">
        <v>1124845.49</v>
      </c>
      <c r="H3773" s="37">
        <f>'Calculation Sheet'!N3773</f>
        <v>1124845.49</v>
      </c>
    </row>
    <row r="3774" spans="1:8" x14ac:dyDescent="0.25">
      <c r="A3774" s="17"/>
      <c r="B3774" s="17"/>
      <c r="C3774" s="15" t="s">
        <v>2857</v>
      </c>
      <c r="D3774" s="14"/>
      <c r="E3774" s="14" t="s">
        <v>2841</v>
      </c>
      <c r="F3774" s="14">
        <v>83784</v>
      </c>
      <c r="G3774" s="14">
        <v>73352.891999999993</v>
      </c>
      <c r="H3774" s="37">
        <f>'Calculation Sheet'!N3774</f>
        <v>73352.891999999993</v>
      </c>
    </row>
    <row r="3775" spans="1:8" x14ac:dyDescent="0.25">
      <c r="A3775" s="17"/>
      <c r="B3775" s="17"/>
      <c r="C3775" s="15" t="s">
        <v>2858</v>
      </c>
      <c r="D3775" s="14"/>
      <c r="E3775" s="14" t="s">
        <v>2841</v>
      </c>
      <c r="F3775" s="14">
        <v>802878</v>
      </c>
      <c r="G3775" s="14">
        <v>702919.68900000001</v>
      </c>
      <c r="H3775" s="37">
        <f>'Calculation Sheet'!N3775</f>
        <v>702919.68900000001</v>
      </c>
    </row>
    <row r="3776" spans="1:8" x14ac:dyDescent="0.25">
      <c r="A3776" s="17"/>
      <c r="B3776" s="17"/>
      <c r="C3776" s="15" t="s">
        <v>2859</v>
      </c>
      <c r="D3776" s="14"/>
      <c r="E3776" s="14" t="s">
        <v>2841</v>
      </c>
      <c r="F3776" s="14">
        <v>83784</v>
      </c>
      <c r="G3776" s="14">
        <v>73352.891999999993</v>
      </c>
      <c r="H3776" s="37">
        <f>'Calculation Sheet'!N3776</f>
        <v>73352.891999999993</v>
      </c>
    </row>
    <row r="3777" spans="1:8" x14ac:dyDescent="0.25">
      <c r="A3777" s="17"/>
      <c r="B3777" s="17"/>
      <c r="C3777" s="15" t="s">
        <v>2860</v>
      </c>
      <c r="D3777" s="14"/>
      <c r="E3777" s="14" t="s">
        <v>2841</v>
      </c>
      <c r="F3777" s="14">
        <v>335136</v>
      </c>
      <c r="G3777" s="14">
        <v>293411.56799999997</v>
      </c>
      <c r="H3777" s="37">
        <f>'Calculation Sheet'!N3777</f>
        <v>293411.56799999997</v>
      </c>
    </row>
    <row r="3778" spans="1:8" x14ac:dyDescent="0.25">
      <c r="A3778" s="17"/>
      <c r="B3778" s="17"/>
      <c r="C3778" s="15" t="s">
        <v>2853</v>
      </c>
      <c r="D3778" s="14" t="s">
        <v>1745</v>
      </c>
      <c r="E3778" s="14" t="s">
        <v>2841</v>
      </c>
      <c r="F3778" s="14">
        <v>1284803</v>
      </c>
      <c r="G3778" s="14">
        <v>1124845.49</v>
      </c>
      <c r="H3778" s="37">
        <f>'Calculation Sheet'!N3778</f>
        <v>1124845.49</v>
      </c>
    </row>
    <row r="3779" spans="1:8" x14ac:dyDescent="0.25">
      <c r="A3779" s="17"/>
      <c r="B3779" s="17"/>
      <c r="C3779" s="15" t="s">
        <v>2861</v>
      </c>
      <c r="D3779" s="14" t="s">
        <v>1745</v>
      </c>
      <c r="E3779" s="14" t="s">
        <v>2841</v>
      </c>
      <c r="F3779" s="14">
        <v>802878</v>
      </c>
      <c r="G3779" s="14">
        <v>702919.68900000001</v>
      </c>
      <c r="H3779" s="37">
        <f>'Calculation Sheet'!N3779</f>
        <v>702919.68900000001</v>
      </c>
    </row>
    <row r="3780" spans="1:8" x14ac:dyDescent="0.25">
      <c r="A3780" s="17"/>
      <c r="B3780" s="17"/>
      <c r="C3780" s="15" t="s">
        <v>2862</v>
      </c>
      <c r="D3780" s="14"/>
      <c r="E3780" s="14" t="s">
        <v>2841</v>
      </c>
      <c r="F3780" s="14">
        <v>1284803</v>
      </c>
      <c r="G3780" s="14">
        <v>1124845.49</v>
      </c>
      <c r="H3780" s="37">
        <f>'Calculation Sheet'!N3780</f>
        <v>1124845.49</v>
      </c>
    </row>
    <row r="3781" spans="1:8" x14ac:dyDescent="0.25">
      <c r="A3781" s="17"/>
      <c r="B3781" s="17"/>
      <c r="C3781" s="15" t="s">
        <v>2863</v>
      </c>
      <c r="D3781" s="14"/>
      <c r="E3781" s="14" t="s">
        <v>2841</v>
      </c>
      <c r="F3781" s="14">
        <v>335136</v>
      </c>
      <c r="G3781" s="14">
        <v>293411.56799999997</v>
      </c>
      <c r="H3781" s="37">
        <f>'Calculation Sheet'!N3781</f>
        <v>293411.56799999997</v>
      </c>
    </row>
    <row r="3782" spans="1:8" x14ac:dyDescent="0.25">
      <c r="A3782" s="17"/>
      <c r="B3782" s="17"/>
      <c r="C3782" s="15" t="s">
        <v>2863</v>
      </c>
      <c r="D3782" s="14" t="s">
        <v>1745</v>
      </c>
      <c r="E3782" s="14" t="s">
        <v>2841</v>
      </c>
      <c r="F3782" s="14">
        <v>335136</v>
      </c>
      <c r="G3782" s="14">
        <v>293411.56799999997</v>
      </c>
      <c r="H3782" s="37">
        <f>'Calculation Sheet'!N3782</f>
        <v>293411.56799999997</v>
      </c>
    </row>
    <row r="3783" spans="1:8" x14ac:dyDescent="0.25">
      <c r="A3783" s="17"/>
      <c r="B3783" s="17"/>
      <c r="C3783" s="15" t="s">
        <v>2864</v>
      </c>
      <c r="D3783" s="14"/>
      <c r="E3783" s="14" t="s">
        <v>2841</v>
      </c>
      <c r="F3783" s="14">
        <v>802878</v>
      </c>
      <c r="G3783" s="14">
        <v>702919.68900000001</v>
      </c>
      <c r="H3783" s="37">
        <f>'Calculation Sheet'!N3783</f>
        <v>702919.68900000001</v>
      </c>
    </row>
    <row r="3784" spans="1:8" x14ac:dyDescent="0.25">
      <c r="A3784" s="17"/>
      <c r="B3784" s="17"/>
      <c r="C3784" s="15" t="s">
        <v>2865</v>
      </c>
      <c r="D3784" s="14"/>
      <c r="E3784" s="14" t="s">
        <v>2841</v>
      </c>
      <c r="F3784" s="14">
        <v>335136</v>
      </c>
      <c r="G3784" s="14">
        <v>293411.56799999997</v>
      </c>
      <c r="H3784" s="37">
        <f>'Calculation Sheet'!N3784</f>
        <v>293411.56799999997</v>
      </c>
    </row>
    <row r="3785" spans="1:8" x14ac:dyDescent="0.25">
      <c r="A3785" s="17"/>
      <c r="B3785" s="17"/>
      <c r="C3785" s="15" t="s">
        <v>2866</v>
      </c>
      <c r="D3785" s="14" t="s">
        <v>1745</v>
      </c>
      <c r="E3785" s="14" t="s">
        <v>2841</v>
      </c>
      <c r="F3785" s="14">
        <v>261512</v>
      </c>
      <c r="G3785" s="14">
        <v>228953.75600000002</v>
      </c>
      <c r="H3785" s="37">
        <f>'Calculation Sheet'!N3785</f>
        <v>228953.75600000002</v>
      </c>
    </row>
    <row r="3786" spans="1:8" x14ac:dyDescent="0.25">
      <c r="A3786" s="17"/>
      <c r="B3786" s="17"/>
      <c r="C3786" s="15" t="s">
        <v>2867</v>
      </c>
      <c r="D3786" s="14" t="s">
        <v>1745</v>
      </c>
      <c r="E3786" s="14" t="s">
        <v>2841</v>
      </c>
      <c r="F3786" s="14">
        <v>65335</v>
      </c>
      <c r="G3786" s="14">
        <v>57200.792500000003</v>
      </c>
      <c r="H3786" s="37">
        <f>'Calculation Sheet'!N3786</f>
        <v>57200.792500000003</v>
      </c>
    </row>
    <row r="3787" spans="1:8" x14ac:dyDescent="0.25">
      <c r="A3787" s="17"/>
      <c r="B3787" s="17"/>
      <c r="C3787" s="15" t="s">
        <v>2868</v>
      </c>
      <c r="D3787" s="14"/>
      <c r="E3787" s="14" t="s">
        <v>2841</v>
      </c>
      <c r="F3787" s="14">
        <v>261512</v>
      </c>
      <c r="G3787" s="14">
        <v>228953.75600000002</v>
      </c>
      <c r="H3787" s="37">
        <f>'Calculation Sheet'!N3787</f>
        <v>228953.75600000002</v>
      </c>
    </row>
    <row r="3788" spans="1:8" x14ac:dyDescent="0.25">
      <c r="A3788" s="17"/>
      <c r="B3788" s="17"/>
      <c r="C3788" s="15" t="s">
        <v>2869</v>
      </c>
      <c r="D3788" s="14"/>
      <c r="E3788" s="14" t="s">
        <v>2841</v>
      </c>
      <c r="F3788" s="14">
        <v>65335</v>
      </c>
      <c r="G3788" s="14">
        <v>57200.792500000003</v>
      </c>
      <c r="H3788" s="37">
        <f>'Calculation Sheet'!N3788</f>
        <v>57200.792500000003</v>
      </c>
    </row>
    <row r="3789" spans="1:8" x14ac:dyDescent="0.25">
      <c r="A3789" s="17"/>
      <c r="B3789" s="17"/>
      <c r="C3789" s="15" t="s">
        <v>2870</v>
      </c>
      <c r="D3789" s="14"/>
      <c r="E3789" s="14" t="s">
        <v>2841</v>
      </c>
      <c r="F3789" s="14">
        <v>261512</v>
      </c>
      <c r="G3789" s="14">
        <v>228953.75600000002</v>
      </c>
      <c r="H3789" s="37">
        <f>'Calculation Sheet'!N3789</f>
        <v>228953.75600000002</v>
      </c>
    </row>
    <row r="3790" spans="1:8" x14ac:dyDescent="0.25">
      <c r="A3790" s="17"/>
      <c r="B3790" s="17"/>
      <c r="C3790" s="15" t="s">
        <v>2871</v>
      </c>
      <c r="D3790" s="14"/>
      <c r="E3790" s="14" t="s">
        <v>2841</v>
      </c>
      <c r="F3790" s="14">
        <v>65335</v>
      </c>
      <c r="G3790" s="14">
        <v>57200.792500000003</v>
      </c>
      <c r="H3790" s="37">
        <f>'Calculation Sheet'!N3790</f>
        <v>57200.792500000003</v>
      </c>
    </row>
    <row r="3791" spans="1:8" x14ac:dyDescent="0.25">
      <c r="A3791" s="17"/>
      <c r="B3791" s="17"/>
      <c r="C3791" s="15" t="s">
        <v>2872</v>
      </c>
      <c r="D3791" s="14"/>
      <c r="E3791" s="14" t="s">
        <v>2841</v>
      </c>
      <c r="F3791" s="14">
        <v>45369</v>
      </c>
      <c r="G3791" s="14">
        <v>39720.559500000003</v>
      </c>
      <c r="H3791" s="37">
        <f>'Calculation Sheet'!N3791</f>
        <v>39720.559500000003</v>
      </c>
    </row>
    <row r="3792" spans="1:8" x14ac:dyDescent="0.25">
      <c r="A3792" s="17"/>
      <c r="B3792" s="17"/>
      <c r="C3792" s="15" t="s">
        <v>2873</v>
      </c>
      <c r="D3792" s="14" t="s">
        <v>1745</v>
      </c>
      <c r="E3792" s="14" t="s">
        <v>2841</v>
      </c>
      <c r="F3792" s="14">
        <v>11384</v>
      </c>
      <c r="G3792" s="14">
        <v>9966.6919999999991</v>
      </c>
      <c r="H3792" s="37">
        <f>'Calculation Sheet'!N3792</f>
        <v>9966.6919999999991</v>
      </c>
    </row>
    <row r="3793" spans="1:8" x14ac:dyDescent="0.25">
      <c r="A3793" s="17"/>
      <c r="B3793" s="17"/>
      <c r="C3793" s="15" t="s">
        <v>2874</v>
      </c>
      <c r="D3793" s="14"/>
      <c r="E3793" s="14" t="s">
        <v>2841</v>
      </c>
      <c r="F3793" s="14">
        <v>45369</v>
      </c>
      <c r="G3793" s="14">
        <v>39720.559500000003</v>
      </c>
      <c r="H3793" s="37">
        <f>'Calculation Sheet'!N3793</f>
        <v>39720.559500000003</v>
      </c>
    </row>
    <row r="3794" spans="1:8" x14ac:dyDescent="0.25">
      <c r="A3794" s="17"/>
      <c r="B3794" s="17"/>
      <c r="C3794" s="15" t="s">
        <v>2875</v>
      </c>
      <c r="D3794" s="14"/>
      <c r="E3794" s="14" t="s">
        <v>2841</v>
      </c>
      <c r="F3794" s="14">
        <v>11384</v>
      </c>
      <c r="G3794" s="14">
        <v>9966.6919999999991</v>
      </c>
      <c r="H3794" s="37">
        <f>'Calculation Sheet'!N3794</f>
        <v>9966.6919999999991</v>
      </c>
    </row>
    <row r="3795" spans="1:8" x14ac:dyDescent="0.25">
      <c r="A3795" s="17"/>
      <c r="B3795" s="17"/>
      <c r="C3795" s="15" t="s">
        <v>2876</v>
      </c>
      <c r="D3795" s="14" t="s">
        <v>1745</v>
      </c>
      <c r="E3795" s="14" t="s">
        <v>2841</v>
      </c>
      <c r="F3795" s="14">
        <v>45369</v>
      </c>
      <c r="G3795" s="14">
        <v>39720.559500000003</v>
      </c>
      <c r="H3795" s="37">
        <f>'Calculation Sheet'!N3795</f>
        <v>39720.559500000003</v>
      </c>
    </row>
    <row r="3796" spans="1:8" x14ac:dyDescent="0.25">
      <c r="A3796" s="17"/>
      <c r="B3796" s="17"/>
      <c r="C3796" s="15" t="s">
        <v>2877</v>
      </c>
      <c r="D3796" s="14"/>
      <c r="E3796" s="14" t="s">
        <v>2841</v>
      </c>
      <c r="F3796" s="14">
        <v>11384</v>
      </c>
      <c r="G3796" s="14">
        <v>9966.6919999999991</v>
      </c>
      <c r="H3796" s="37">
        <f>'Calculation Sheet'!N3796</f>
        <v>9966.6919999999991</v>
      </c>
    </row>
    <row r="3797" spans="1:8" x14ac:dyDescent="0.25">
      <c r="A3797" s="17"/>
      <c r="B3797" s="17"/>
      <c r="C3797" s="15" t="s">
        <v>2878</v>
      </c>
      <c r="D3797" s="14"/>
      <c r="E3797" s="14" t="s">
        <v>2841</v>
      </c>
      <c r="F3797" s="14">
        <v>57349</v>
      </c>
      <c r="G3797" s="14">
        <v>50209.049500000001</v>
      </c>
      <c r="H3797" s="37">
        <f>'Calculation Sheet'!N3797</f>
        <v>50209.049500000001</v>
      </c>
    </row>
    <row r="3798" spans="1:8" x14ac:dyDescent="0.25">
      <c r="A3798" s="17"/>
      <c r="B3798" s="17"/>
      <c r="C3798" s="15" t="s">
        <v>2878</v>
      </c>
      <c r="D3798" s="14"/>
      <c r="E3798" s="14" t="s">
        <v>2841</v>
      </c>
      <c r="F3798" s="14">
        <v>14337</v>
      </c>
      <c r="G3798" s="14">
        <v>12552.043500000002</v>
      </c>
      <c r="H3798" s="37">
        <f>'Calculation Sheet'!N3798</f>
        <v>12552.043500000002</v>
      </c>
    </row>
    <row r="3799" spans="1:8" x14ac:dyDescent="0.25">
      <c r="A3799" s="17"/>
      <c r="B3799" s="17"/>
      <c r="C3799" s="15" t="s">
        <v>2878</v>
      </c>
      <c r="D3799" s="14"/>
      <c r="E3799" s="14" t="s">
        <v>2841</v>
      </c>
      <c r="F3799" s="14">
        <v>7816</v>
      </c>
      <c r="G3799" s="14">
        <v>6842.9080000000004</v>
      </c>
      <c r="H3799" s="37">
        <f>'Calculation Sheet'!N3799</f>
        <v>6842.9080000000004</v>
      </c>
    </row>
    <row r="3800" spans="1:8" x14ac:dyDescent="0.25">
      <c r="A3800" s="17"/>
      <c r="B3800" s="17"/>
      <c r="C3800" s="15" t="s">
        <v>2879</v>
      </c>
      <c r="D3800" s="14"/>
      <c r="E3800" s="14" t="s">
        <v>2841</v>
      </c>
      <c r="F3800" s="14">
        <v>42056</v>
      </c>
      <c r="G3800" s="14">
        <v>36820.027999999998</v>
      </c>
      <c r="H3800" s="37">
        <f>'Calculation Sheet'!N3800</f>
        <v>36820.027999999998</v>
      </c>
    </row>
    <row r="3801" spans="1:8" x14ac:dyDescent="0.25">
      <c r="A3801" s="17"/>
      <c r="B3801" s="17"/>
      <c r="C3801" s="15" t="s">
        <v>2879</v>
      </c>
      <c r="D3801" s="14"/>
      <c r="E3801" s="14" t="s">
        <v>2841</v>
      </c>
      <c r="F3801" s="14">
        <v>10514</v>
      </c>
      <c r="G3801" s="14">
        <v>9205.0069999999996</v>
      </c>
      <c r="H3801" s="37">
        <f>'Calculation Sheet'!N3801</f>
        <v>9205.0069999999996</v>
      </c>
    </row>
    <row r="3802" spans="1:8" x14ac:dyDescent="0.25">
      <c r="A3802" s="17"/>
      <c r="B3802" s="17"/>
      <c r="C3802" s="15" t="s">
        <v>2879</v>
      </c>
      <c r="D3802" s="14"/>
      <c r="E3802" s="14" t="s">
        <v>2841</v>
      </c>
      <c r="F3802" s="14">
        <v>5694</v>
      </c>
      <c r="G3802" s="14">
        <v>4985.0969999999998</v>
      </c>
      <c r="H3802" s="37">
        <f>'Calculation Sheet'!N3802</f>
        <v>4985.0969999999998</v>
      </c>
    </row>
    <row r="3803" spans="1:8" x14ac:dyDescent="0.25">
      <c r="A3803" s="17"/>
      <c r="B3803" s="17"/>
      <c r="C3803" s="15" t="s">
        <v>2880</v>
      </c>
      <c r="D3803" s="14"/>
      <c r="E3803" s="14" t="s">
        <v>2841</v>
      </c>
      <c r="F3803" s="14">
        <v>42056</v>
      </c>
      <c r="G3803" s="14">
        <v>36820.027999999998</v>
      </c>
      <c r="H3803" s="37">
        <f>'Calculation Sheet'!N3803</f>
        <v>36820.027999999998</v>
      </c>
    </row>
    <row r="3804" spans="1:8" x14ac:dyDescent="0.25">
      <c r="A3804" s="17"/>
      <c r="B3804" s="17"/>
      <c r="C3804" s="15" t="s">
        <v>2880</v>
      </c>
      <c r="D3804" s="14"/>
      <c r="E3804" s="14" t="s">
        <v>2841</v>
      </c>
      <c r="F3804" s="14">
        <v>5694</v>
      </c>
      <c r="G3804" s="14">
        <v>4985.0969999999998</v>
      </c>
      <c r="H3804" s="37">
        <f>'Calculation Sheet'!N3804</f>
        <v>4985.0969999999998</v>
      </c>
    </row>
    <row r="3805" spans="1:8" x14ac:dyDescent="0.25">
      <c r="A3805" s="17"/>
      <c r="B3805" s="17"/>
      <c r="C3805" s="15" t="s">
        <v>2880</v>
      </c>
      <c r="D3805" s="14"/>
      <c r="E3805" s="14" t="s">
        <v>2841</v>
      </c>
      <c r="F3805" s="14">
        <v>10514</v>
      </c>
      <c r="G3805" s="14">
        <v>9205.0069999999996</v>
      </c>
      <c r="H3805" s="37">
        <f>'Calculation Sheet'!N3805</f>
        <v>9205.0069999999996</v>
      </c>
    </row>
    <row r="3806" spans="1:8" x14ac:dyDescent="0.25">
      <c r="A3806" s="17"/>
      <c r="B3806" s="17"/>
      <c r="C3806" s="15" t="s">
        <v>2881</v>
      </c>
      <c r="D3806" s="14"/>
      <c r="E3806" s="14" t="s">
        <v>2841</v>
      </c>
      <c r="F3806" s="14">
        <v>1954</v>
      </c>
      <c r="G3806" s="14">
        <v>1911.989</v>
      </c>
      <c r="H3806" s="37">
        <f>'Calculation Sheet'!N3806</f>
        <v>1911.989</v>
      </c>
    </row>
    <row r="3807" spans="1:8" x14ac:dyDescent="0.25">
      <c r="A3807" s="17"/>
      <c r="B3807" s="17"/>
      <c r="C3807" s="15" t="s">
        <v>2881</v>
      </c>
      <c r="D3807" s="14"/>
      <c r="E3807" s="14" t="s">
        <v>2841</v>
      </c>
      <c r="F3807" s="14">
        <v>14443</v>
      </c>
      <c r="G3807" s="14">
        <v>14132.4755</v>
      </c>
      <c r="H3807" s="37">
        <f>'Calculation Sheet'!N3807</f>
        <v>14132.4755</v>
      </c>
    </row>
    <row r="3808" spans="1:8" x14ac:dyDescent="0.25">
      <c r="A3808" s="17"/>
      <c r="B3808" s="17"/>
      <c r="C3808" s="15" t="s">
        <v>2881</v>
      </c>
      <c r="D3808" s="14"/>
      <c r="E3808" s="14" t="s">
        <v>2841</v>
      </c>
      <c r="F3808" s="14">
        <v>3610</v>
      </c>
      <c r="G3808" s="14">
        <v>3532.3850000000002</v>
      </c>
      <c r="H3808" s="37">
        <f>'Calculation Sheet'!N3808</f>
        <v>3532.3850000000002</v>
      </c>
    </row>
    <row r="3809" spans="1:8" x14ac:dyDescent="0.25">
      <c r="A3809" s="17"/>
      <c r="B3809" s="17"/>
      <c r="C3809" s="15" t="s">
        <v>2882</v>
      </c>
      <c r="D3809" s="14"/>
      <c r="E3809" s="14" t="s">
        <v>2841</v>
      </c>
      <c r="F3809" s="14">
        <v>1954</v>
      </c>
      <c r="G3809" s="14">
        <v>1911.989</v>
      </c>
      <c r="H3809" s="37">
        <f>'Calculation Sheet'!N3809</f>
        <v>1911.989</v>
      </c>
    </row>
    <row r="3810" spans="1:8" x14ac:dyDescent="0.25">
      <c r="A3810" s="17"/>
      <c r="B3810" s="17"/>
      <c r="C3810" s="15" t="s">
        <v>2882</v>
      </c>
      <c r="D3810" s="14"/>
      <c r="E3810" s="14" t="s">
        <v>2841</v>
      </c>
      <c r="F3810" s="14">
        <v>3610</v>
      </c>
      <c r="G3810" s="14">
        <v>3532.3850000000002</v>
      </c>
      <c r="H3810" s="37">
        <f>'Calculation Sheet'!N3810</f>
        <v>3532.3850000000002</v>
      </c>
    </row>
    <row r="3811" spans="1:8" x14ac:dyDescent="0.25">
      <c r="A3811" s="17"/>
      <c r="B3811" s="17"/>
      <c r="C3811" s="15" t="s">
        <v>2882</v>
      </c>
      <c r="D3811" s="14"/>
      <c r="E3811" s="14" t="s">
        <v>2841</v>
      </c>
      <c r="F3811" s="14">
        <v>14443</v>
      </c>
      <c r="G3811" s="14">
        <v>14132.4755</v>
      </c>
      <c r="H3811" s="37">
        <f>'Calculation Sheet'!N3811</f>
        <v>14132.4755</v>
      </c>
    </row>
    <row r="3812" spans="1:8" x14ac:dyDescent="0.25">
      <c r="A3812" s="17"/>
      <c r="B3812" s="17"/>
      <c r="C3812" s="15" t="s">
        <v>2883</v>
      </c>
      <c r="D3812" s="14"/>
      <c r="E3812" s="14" t="s">
        <v>2841</v>
      </c>
      <c r="F3812" s="14">
        <v>3610</v>
      </c>
      <c r="G3812" s="14">
        <v>3532.3850000000002</v>
      </c>
      <c r="H3812" s="37">
        <f>'Calculation Sheet'!N3812</f>
        <v>3532.3850000000002</v>
      </c>
    </row>
    <row r="3813" spans="1:8" x14ac:dyDescent="0.25">
      <c r="A3813" s="17"/>
      <c r="B3813" s="17"/>
      <c r="C3813" s="15" t="s">
        <v>2883</v>
      </c>
      <c r="D3813" s="14"/>
      <c r="E3813" s="14" t="s">
        <v>2841</v>
      </c>
      <c r="F3813" s="14">
        <v>1954</v>
      </c>
      <c r="G3813" s="14">
        <v>1911.989</v>
      </c>
      <c r="H3813" s="37">
        <f>'Calculation Sheet'!N3813</f>
        <v>1911.989</v>
      </c>
    </row>
    <row r="3814" spans="1:8" x14ac:dyDescent="0.25">
      <c r="A3814" s="17"/>
      <c r="B3814" s="17"/>
      <c r="C3814" s="15" t="s">
        <v>2883</v>
      </c>
      <c r="D3814" s="14"/>
      <c r="E3814" s="14" t="s">
        <v>2841</v>
      </c>
      <c r="F3814" s="14">
        <v>14443</v>
      </c>
      <c r="G3814" s="14">
        <v>14132.4755</v>
      </c>
      <c r="H3814" s="37">
        <f>'Calculation Sheet'!N3814</f>
        <v>14132.4755</v>
      </c>
    </row>
    <row r="3815" spans="1:8" x14ac:dyDescent="0.25">
      <c r="A3815" s="17"/>
      <c r="B3815" s="17"/>
      <c r="C3815" s="15" t="s">
        <v>2884</v>
      </c>
      <c r="D3815" s="14"/>
      <c r="E3815" s="14" t="s">
        <v>2841</v>
      </c>
      <c r="F3815" s="14">
        <v>1954</v>
      </c>
      <c r="G3815" s="14">
        <v>1911.989</v>
      </c>
      <c r="H3815" s="37">
        <f>'Calculation Sheet'!N3815</f>
        <v>1911.989</v>
      </c>
    </row>
    <row r="3816" spans="1:8" x14ac:dyDescent="0.25">
      <c r="A3816" s="17"/>
      <c r="B3816" s="17"/>
      <c r="C3816" s="15" t="s">
        <v>2884</v>
      </c>
      <c r="D3816" s="14"/>
      <c r="E3816" s="14" t="s">
        <v>2841</v>
      </c>
      <c r="F3816" s="14">
        <v>3610</v>
      </c>
      <c r="G3816" s="14">
        <v>3532.3850000000002</v>
      </c>
      <c r="H3816" s="37">
        <f>'Calculation Sheet'!N3816</f>
        <v>3532.3850000000002</v>
      </c>
    </row>
    <row r="3817" spans="1:8" x14ac:dyDescent="0.25">
      <c r="A3817" s="17"/>
      <c r="B3817" s="17"/>
      <c r="C3817" s="15" t="s">
        <v>2884</v>
      </c>
      <c r="D3817" s="14"/>
      <c r="E3817" s="14" t="s">
        <v>2841</v>
      </c>
      <c r="F3817" s="14">
        <v>14443</v>
      </c>
      <c r="G3817" s="14">
        <v>14132.4755</v>
      </c>
      <c r="H3817" s="37">
        <f>'Calculation Sheet'!N3817</f>
        <v>14132.4755</v>
      </c>
    </row>
    <row r="3818" spans="1:8" x14ac:dyDescent="0.25">
      <c r="A3818" s="17"/>
      <c r="B3818" s="17"/>
      <c r="C3818" s="15" t="s">
        <v>2885</v>
      </c>
      <c r="D3818" s="14"/>
      <c r="E3818" s="14" t="s">
        <v>2841</v>
      </c>
      <c r="F3818" s="14">
        <v>24001</v>
      </c>
      <c r="G3818" s="14">
        <v>21012.875499999998</v>
      </c>
      <c r="H3818" s="37">
        <f>'Calculation Sheet'!N3818</f>
        <v>21012.875499999998</v>
      </c>
    </row>
    <row r="3819" spans="1:8" x14ac:dyDescent="0.25">
      <c r="A3819" s="17"/>
      <c r="B3819" s="17"/>
      <c r="C3819" s="15" t="s">
        <v>2885</v>
      </c>
      <c r="D3819" s="14"/>
      <c r="E3819" s="14" t="s">
        <v>2841</v>
      </c>
      <c r="F3819" s="14">
        <v>96006</v>
      </c>
      <c r="G3819" s="14">
        <v>84053.253000000012</v>
      </c>
      <c r="H3819" s="37">
        <f>'Calculation Sheet'!N3819</f>
        <v>84053.253000000012</v>
      </c>
    </row>
    <row r="3820" spans="1:8" x14ac:dyDescent="0.25">
      <c r="A3820" s="17"/>
      <c r="B3820" s="17"/>
      <c r="C3820" s="15" t="s">
        <v>2885</v>
      </c>
      <c r="D3820" s="14"/>
      <c r="E3820" s="14" t="s">
        <v>2841</v>
      </c>
      <c r="F3820" s="14">
        <v>14362</v>
      </c>
      <c r="G3820" s="14">
        <v>12573.931</v>
      </c>
      <c r="H3820" s="37">
        <f>'Calculation Sheet'!N3820</f>
        <v>12573.931</v>
      </c>
    </row>
    <row r="3821" spans="1:8" x14ac:dyDescent="0.25">
      <c r="A3821" s="17"/>
      <c r="B3821" s="17"/>
      <c r="C3821" s="15" t="s">
        <v>2886</v>
      </c>
      <c r="D3821" s="14"/>
      <c r="E3821" s="14" t="s">
        <v>2841</v>
      </c>
      <c r="F3821" s="14">
        <v>211792</v>
      </c>
      <c r="G3821" s="14">
        <v>185423.89600000001</v>
      </c>
      <c r="H3821" s="37">
        <f>'Calculation Sheet'!N3821</f>
        <v>185423.89600000001</v>
      </c>
    </row>
    <row r="3822" spans="1:8" x14ac:dyDescent="0.25">
      <c r="A3822" s="17"/>
      <c r="B3822" s="17"/>
      <c r="C3822" s="15" t="s">
        <v>2886</v>
      </c>
      <c r="D3822" s="14"/>
      <c r="E3822" s="14" t="s">
        <v>2841</v>
      </c>
      <c r="F3822" s="14">
        <v>132370</v>
      </c>
      <c r="G3822" s="14">
        <v>115889.935</v>
      </c>
      <c r="H3822" s="37">
        <f>'Calculation Sheet'!N3822</f>
        <v>115889.935</v>
      </c>
    </row>
    <row r="3823" spans="1:8" x14ac:dyDescent="0.25">
      <c r="A3823" s="17"/>
      <c r="B3823" s="17"/>
      <c r="C3823" s="15" t="s">
        <v>2886</v>
      </c>
      <c r="D3823" s="14"/>
      <c r="E3823" s="14" t="s">
        <v>2841</v>
      </c>
      <c r="F3823" s="14">
        <v>529481</v>
      </c>
      <c r="G3823" s="14">
        <v>463560.66700000002</v>
      </c>
      <c r="H3823" s="37">
        <f>'Calculation Sheet'!N3823</f>
        <v>463560.66700000002</v>
      </c>
    </row>
    <row r="3824" spans="1:8" x14ac:dyDescent="0.25">
      <c r="A3824" s="17"/>
      <c r="B3824" s="17"/>
      <c r="C3824" s="15" t="s">
        <v>2887</v>
      </c>
      <c r="D3824" s="14"/>
      <c r="E3824" s="14" t="s">
        <v>2841</v>
      </c>
      <c r="F3824" s="14">
        <v>3906</v>
      </c>
      <c r="G3824" s="14">
        <v>3419.703</v>
      </c>
      <c r="H3824" s="37">
        <f>'Calculation Sheet'!N3824</f>
        <v>3419.703</v>
      </c>
    </row>
    <row r="3825" spans="1:8" x14ac:dyDescent="0.25">
      <c r="A3825" s="17"/>
      <c r="B3825" s="17"/>
      <c r="C3825" s="15" t="s">
        <v>2888</v>
      </c>
      <c r="D3825" s="14"/>
      <c r="E3825" s="14" t="s">
        <v>2841</v>
      </c>
      <c r="F3825" s="14">
        <v>15802</v>
      </c>
      <c r="G3825" s="14">
        <v>13834.651000000002</v>
      </c>
      <c r="H3825" s="37">
        <f>'Calculation Sheet'!N3825</f>
        <v>13834.651000000002</v>
      </c>
    </row>
    <row r="3826" spans="1:8" x14ac:dyDescent="0.25">
      <c r="A3826" s="17"/>
      <c r="B3826" s="17"/>
      <c r="C3826" s="15" t="s">
        <v>2887</v>
      </c>
      <c r="D3826" s="14"/>
      <c r="E3826" s="14" t="s">
        <v>2841</v>
      </c>
      <c r="F3826" s="14">
        <v>20560</v>
      </c>
      <c r="G3826" s="14">
        <v>18000.28</v>
      </c>
      <c r="H3826" s="37">
        <f>'Calculation Sheet'!N3826</f>
        <v>18000.28</v>
      </c>
    </row>
    <row r="3827" spans="1:8" x14ac:dyDescent="0.25">
      <c r="A3827" s="17"/>
      <c r="B3827" s="17"/>
      <c r="C3827" s="15" t="s">
        <v>2887</v>
      </c>
      <c r="D3827" s="14"/>
      <c r="E3827" s="14" t="s">
        <v>2841</v>
      </c>
      <c r="F3827" s="14">
        <v>6373</v>
      </c>
      <c r="G3827" s="14">
        <v>5579.5614999999998</v>
      </c>
      <c r="H3827" s="37">
        <f>'Calculation Sheet'!N3827</f>
        <v>5579.5614999999998</v>
      </c>
    </row>
    <row r="3828" spans="1:8" x14ac:dyDescent="0.25">
      <c r="A3828" s="17"/>
      <c r="B3828" s="17"/>
      <c r="C3828" s="15" t="s">
        <v>2888</v>
      </c>
      <c r="D3828" s="14"/>
      <c r="E3828" s="14" t="s">
        <v>2841</v>
      </c>
      <c r="F3828" s="14">
        <v>3950</v>
      </c>
      <c r="G3828" s="14">
        <v>3458.2249999999999</v>
      </c>
      <c r="H3828" s="37">
        <f>'Calculation Sheet'!N3828</f>
        <v>3458.2249999999999</v>
      </c>
    </row>
    <row r="3829" spans="1:8" x14ac:dyDescent="0.25">
      <c r="A3829" s="17"/>
      <c r="B3829" s="17"/>
      <c r="C3829" s="15" t="s">
        <v>2888</v>
      </c>
      <c r="D3829" s="14"/>
      <c r="E3829" s="14" t="s">
        <v>2841</v>
      </c>
      <c r="F3829" s="14">
        <v>6321</v>
      </c>
      <c r="G3829" s="14">
        <v>5534.0355</v>
      </c>
      <c r="H3829" s="37">
        <f>'Calculation Sheet'!N3829</f>
        <v>5534.0355</v>
      </c>
    </row>
    <row r="3830" spans="1:8" x14ac:dyDescent="0.25">
      <c r="A3830" s="17"/>
      <c r="B3830" s="17"/>
      <c r="C3830" s="15" t="s">
        <v>2889</v>
      </c>
      <c r="D3830" s="14"/>
      <c r="E3830" s="14" t="s">
        <v>2841</v>
      </c>
      <c r="F3830" s="14">
        <v>23109</v>
      </c>
      <c r="G3830" s="14">
        <v>20231.929500000002</v>
      </c>
      <c r="H3830" s="37">
        <f>'Calculation Sheet'!N3830</f>
        <v>20231.929500000002</v>
      </c>
    </row>
    <row r="3831" spans="1:8" x14ac:dyDescent="0.25">
      <c r="A3831" s="17"/>
      <c r="B3831" s="17"/>
      <c r="C3831" s="15" t="s">
        <v>2889</v>
      </c>
      <c r="D3831" s="14"/>
      <c r="E3831" s="14" t="s">
        <v>2841</v>
      </c>
      <c r="F3831" s="14">
        <v>57774</v>
      </c>
      <c r="G3831" s="14">
        <v>50581.137000000002</v>
      </c>
      <c r="H3831" s="37">
        <f>'Calculation Sheet'!N3831</f>
        <v>50581.137000000002</v>
      </c>
    </row>
    <row r="3832" spans="1:8" x14ac:dyDescent="0.25">
      <c r="A3832" s="17"/>
      <c r="B3832" s="17"/>
      <c r="C3832" s="15" t="s">
        <v>2889</v>
      </c>
      <c r="D3832" s="14"/>
      <c r="E3832" s="14" t="s">
        <v>2841</v>
      </c>
      <c r="F3832" s="14">
        <v>8666</v>
      </c>
      <c r="G3832" s="14">
        <v>7587.0830000000005</v>
      </c>
      <c r="H3832" s="37">
        <f>'Calculation Sheet'!N3832</f>
        <v>7587.0830000000005</v>
      </c>
    </row>
    <row r="3833" spans="1:8" x14ac:dyDescent="0.25">
      <c r="A3833" s="17"/>
      <c r="B3833" s="17"/>
      <c r="C3833" s="15" t="s">
        <v>2890</v>
      </c>
      <c r="D3833" s="14"/>
      <c r="E3833" s="14" t="s">
        <v>2841</v>
      </c>
      <c r="F3833" s="14">
        <v>3126</v>
      </c>
      <c r="G3833" s="14">
        <v>2736.8130000000001</v>
      </c>
      <c r="H3833" s="37">
        <f>'Calculation Sheet'!N3833</f>
        <v>2736.8130000000001</v>
      </c>
    </row>
    <row r="3834" spans="1:8" x14ac:dyDescent="0.25">
      <c r="A3834" s="17"/>
      <c r="B3834" s="17"/>
      <c r="C3834" s="15" t="s">
        <v>2890</v>
      </c>
      <c r="D3834" s="14"/>
      <c r="E3834" s="14" t="s">
        <v>2841</v>
      </c>
      <c r="F3834" s="14">
        <v>7816</v>
      </c>
      <c r="G3834" s="14">
        <v>6842.9080000000004</v>
      </c>
      <c r="H3834" s="37">
        <f>'Calculation Sheet'!N3834</f>
        <v>6842.9080000000004</v>
      </c>
    </row>
    <row r="3835" spans="1:8" x14ac:dyDescent="0.25">
      <c r="A3835" s="17"/>
      <c r="B3835" s="17"/>
      <c r="C3835" s="15" t="s">
        <v>2891</v>
      </c>
      <c r="D3835" s="14"/>
      <c r="E3835" s="14" t="s">
        <v>2841</v>
      </c>
      <c r="F3835" s="14">
        <v>3058</v>
      </c>
      <c r="G3835" s="14">
        <v>2677.279</v>
      </c>
      <c r="H3835" s="37">
        <f>'Calculation Sheet'!N3835</f>
        <v>2677.279</v>
      </c>
    </row>
    <row r="3836" spans="1:8" x14ac:dyDescent="0.25">
      <c r="A3836" s="17"/>
      <c r="B3836" s="17"/>
      <c r="C3836" s="15" t="s">
        <v>2891</v>
      </c>
      <c r="D3836" s="14"/>
      <c r="E3836" s="14" t="s">
        <v>2841</v>
      </c>
      <c r="F3836" s="14">
        <v>1937</v>
      </c>
      <c r="G3836" s="14">
        <v>1695.8434999999999</v>
      </c>
      <c r="H3836" s="37">
        <f>'Calculation Sheet'!N3836</f>
        <v>1695.8434999999999</v>
      </c>
    </row>
    <row r="3837" spans="1:8" x14ac:dyDescent="0.25">
      <c r="A3837" s="17"/>
      <c r="B3837" s="17"/>
      <c r="C3837" s="15" t="s">
        <v>2890</v>
      </c>
      <c r="D3837" s="14"/>
      <c r="E3837" s="14" t="s">
        <v>2841</v>
      </c>
      <c r="F3837" s="14">
        <v>1954</v>
      </c>
      <c r="G3837" s="14">
        <v>1710.7270000000001</v>
      </c>
      <c r="H3837" s="37">
        <f>'Calculation Sheet'!N3837</f>
        <v>1710.7270000000001</v>
      </c>
    </row>
    <row r="3838" spans="1:8" x14ac:dyDescent="0.25">
      <c r="A3838" s="17"/>
      <c r="B3838" s="17"/>
      <c r="C3838" s="15" t="s">
        <v>2891</v>
      </c>
      <c r="D3838" s="14"/>
      <c r="E3838" s="14" t="s">
        <v>2841</v>
      </c>
      <c r="F3838" s="14">
        <v>10195</v>
      </c>
      <c r="G3838" s="14">
        <v>8925.7224999999999</v>
      </c>
      <c r="H3838" s="37">
        <f>'Calculation Sheet'!N3838</f>
        <v>8925.7224999999999</v>
      </c>
    </row>
    <row r="3839" spans="1:8" x14ac:dyDescent="0.25">
      <c r="A3839" s="17"/>
      <c r="B3839" s="17"/>
      <c r="C3839" s="15" t="s">
        <v>2892</v>
      </c>
      <c r="D3839" s="14"/>
      <c r="E3839" s="14" t="s">
        <v>2841</v>
      </c>
      <c r="F3839" s="14">
        <v>2293</v>
      </c>
      <c r="G3839" s="14">
        <v>2007.5215000000001</v>
      </c>
      <c r="H3839" s="37">
        <f>'Calculation Sheet'!N3839</f>
        <v>2007.5215000000001</v>
      </c>
    </row>
    <row r="3840" spans="1:8" x14ac:dyDescent="0.25">
      <c r="A3840" s="17"/>
      <c r="B3840" s="17"/>
      <c r="C3840" s="15" t="s">
        <v>2892</v>
      </c>
      <c r="D3840" s="14"/>
      <c r="E3840" s="14" t="s">
        <v>2841</v>
      </c>
      <c r="F3840" s="14">
        <v>2293</v>
      </c>
      <c r="G3840" s="14">
        <v>2007.5215000000001</v>
      </c>
      <c r="H3840" s="37">
        <f>'Calculation Sheet'!N3840</f>
        <v>2007.5215000000001</v>
      </c>
    </row>
    <row r="3841" spans="1:8" x14ac:dyDescent="0.25">
      <c r="A3841" s="17"/>
      <c r="B3841" s="17"/>
      <c r="C3841" s="15" t="s">
        <v>2893</v>
      </c>
      <c r="D3841" s="14"/>
      <c r="E3841" s="14" t="s">
        <v>2841</v>
      </c>
      <c r="F3841" s="14">
        <v>9005</v>
      </c>
      <c r="G3841" s="14">
        <v>7883.8774999999996</v>
      </c>
      <c r="H3841" s="37">
        <f>'Calculation Sheet'!N3841</f>
        <v>7883.8774999999996</v>
      </c>
    </row>
    <row r="3842" spans="1:8" x14ac:dyDescent="0.25">
      <c r="A3842" s="17"/>
      <c r="B3842" s="17"/>
      <c r="C3842" s="15" t="s">
        <v>2893</v>
      </c>
      <c r="D3842" s="14"/>
      <c r="E3842" s="14" t="s">
        <v>2841</v>
      </c>
      <c r="F3842" s="14">
        <v>2251</v>
      </c>
      <c r="G3842" s="14">
        <v>1970.7504999999999</v>
      </c>
      <c r="H3842" s="37">
        <f>'Calculation Sheet'!N3842</f>
        <v>1970.7504999999999</v>
      </c>
    </row>
    <row r="3843" spans="1:8" x14ac:dyDescent="0.25">
      <c r="A3843" s="17"/>
      <c r="B3843" s="17"/>
      <c r="C3843" s="15" t="s">
        <v>2893</v>
      </c>
      <c r="D3843" s="14"/>
      <c r="E3843" s="14" t="s">
        <v>2841</v>
      </c>
      <c r="F3843" s="14">
        <v>2251</v>
      </c>
      <c r="G3843" s="14">
        <v>1970.7504999999999</v>
      </c>
      <c r="H3843" s="37">
        <f>'Calculation Sheet'!N3843</f>
        <v>1970.7504999999999</v>
      </c>
    </row>
    <row r="3844" spans="1:8" x14ac:dyDescent="0.25">
      <c r="A3844" s="17"/>
      <c r="B3844" s="17"/>
      <c r="C3844" s="15" t="s">
        <v>2892</v>
      </c>
      <c r="D3844" s="14"/>
      <c r="E3844" s="14" t="s">
        <v>2841</v>
      </c>
      <c r="F3844" s="14">
        <v>11469</v>
      </c>
      <c r="G3844" s="14">
        <v>10041.1095</v>
      </c>
      <c r="H3844" s="37">
        <f>'Calculation Sheet'!N3844</f>
        <v>10041.1095</v>
      </c>
    </row>
    <row r="3845" spans="1:8" x14ac:dyDescent="0.25">
      <c r="A3845" s="17"/>
      <c r="B3845" s="17"/>
      <c r="C3845" s="15" t="s">
        <v>2894</v>
      </c>
      <c r="D3845" s="14"/>
      <c r="E3845" s="14" t="s">
        <v>2841</v>
      </c>
      <c r="F3845" s="14">
        <v>2548</v>
      </c>
      <c r="G3845" s="14">
        <v>2230.7740000000003</v>
      </c>
      <c r="H3845" s="37">
        <f>'Calculation Sheet'!N3845</f>
        <v>2230.7740000000003</v>
      </c>
    </row>
    <row r="3846" spans="1:8" x14ac:dyDescent="0.25">
      <c r="A3846" s="17"/>
      <c r="B3846" s="17"/>
      <c r="C3846" s="15" t="s">
        <v>2894</v>
      </c>
      <c r="D3846" s="14"/>
      <c r="E3846" s="14" t="s">
        <v>2841</v>
      </c>
      <c r="F3846" s="14">
        <v>4078</v>
      </c>
      <c r="G3846" s="14">
        <v>3570.2890000000002</v>
      </c>
      <c r="H3846" s="37">
        <f>'Calculation Sheet'!N3846</f>
        <v>3570.2890000000002</v>
      </c>
    </row>
    <row r="3847" spans="1:8" x14ac:dyDescent="0.25">
      <c r="A3847" s="17"/>
      <c r="B3847" s="17"/>
      <c r="C3847" s="15" t="s">
        <v>2894</v>
      </c>
      <c r="D3847" s="14"/>
      <c r="E3847" s="14" t="s">
        <v>2841</v>
      </c>
      <c r="F3847" s="14">
        <v>10195</v>
      </c>
      <c r="G3847" s="14">
        <v>8925.7224999999999</v>
      </c>
      <c r="H3847" s="37">
        <f>'Calculation Sheet'!N3847</f>
        <v>8925.7224999999999</v>
      </c>
    </row>
    <row r="3848" spans="1:8" x14ac:dyDescent="0.25">
      <c r="A3848" s="17"/>
      <c r="B3848" s="17"/>
      <c r="C3848" s="15" t="s">
        <v>2895</v>
      </c>
      <c r="D3848" s="14"/>
      <c r="E3848" s="14" t="s">
        <v>2841</v>
      </c>
      <c r="F3848" s="14">
        <v>2502</v>
      </c>
      <c r="G3848" s="14">
        <v>2190.5009999999997</v>
      </c>
      <c r="H3848" s="37">
        <f>'Calculation Sheet'!N3848</f>
        <v>2190.5009999999997</v>
      </c>
    </row>
    <row r="3849" spans="1:8" x14ac:dyDescent="0.25">
      <c r="A3849" s="17"/>
      <c r="B3849" s="17"/>
      <c r="C3849" s="15" t="s">
        <v>2895</v>
      </c>
      <c r="D3849" s="14"/>
      <c r="E3849" s="14" t="s">
        <v>2841</v>
      </c>
      <c r="F3849" s="14">
        <v>3950</v>
      </c>
      <c r="G3849" s="14">
        <v>3458.2249999999999</v>
      </c>
      <c r="H3849" s="37">
        <f>'Calculation Sheet'!N3849</f>
        <v>3458.2249999999999</v>
      </c>
    </row>
    <row r="3850" spans="1:8" x14ac:dyDescent="0.25">
      <c r="A3850" s="17"/>
      <c r="B3850" s="17"/>
      <c r="C3850" s="15" t="s">
        <v>2895</v>
      </c>
      <c r="D3850" s="14"/>
      <c r="E3850" s="14" t="s">
        <v>2841</v>
      </c>
      <c r="F3850" s="14">
        <v>13169</v>
      </c>
      <c r="G3850" s="14">
        <v>11529.459499999999</v>
      </c>
      <c r="H3850" s="37">
        <f>'Calculation Sheet'!N3850</f>
        <v>11529.459499999999</v>
      </c>
    </row>
    <row r="3851" spans="1:8" x14ac:dyDescent="0.25">
      <c r="A3851" s="17"/>
      <c r="B3851" s="17"/>
      <c r="C3851" s="15" t="s">
        <v>2896</v>
      </c>
      <c r="D3851" s="14"/>
      <c r="E3851" s="14" t="s">
        <v>2841</v>
      </c>
      <c r="F3851" s="14">
        <v>13169</v>
      </c>
      <c r="G3851" s="14">
        <v>11529.459499999999</v>
      </c>
      <c r="H3851" s="37">
        <f>'Calculation Sheet'!N3851</f>
        <v>11529.459499999999</v>
      </c>
    </row>
    <row r="3852" spans="1:8" x14ac:dyDescent="0.25">
      <c r="A3852" s="17"/>
      <c r="B3852" s="17"/>
      <c r="C3852" s="15" t="s">
        <v>2897</v>
      </c>
      <c r="D3852" s="14"/>
      <c r="E3852" s="14" t="s">
        <v>2841</v>
      </c>
      <c r="F3852" s="14">
        <v>10195</v>
      </c>
      <c r="G3852" s="14">
        <v>8925.7224999999999</v>
      </c>
      <c r="H3852" s="37">
        <f>'Calculation Sheet'!N3852</f>
        <v>8925.7224999999999</v>
      </c>
    </row>
    <row r="3853" spans="1:8" x14ac:dyDescent="0.25">
      <c r="A3853" s="17"/>
      <c r="B3853" s="17"/>
      <c r="C3853" s="15" t="s">
        <v>2896</v>
      </c>
      <c r="D3853" s="14"/>
      <c r="E3853" s="14" t="s">
        <v>2841</v>
      </c>
      <c r="F3853" s="14">
        <v>2502</v>
      </c>
      <c r="G3853" s="14">
        <v>2190.5009999999997</v>
      </c>
      <c r="H3853" s="37">
        <f>'Calculation Sheet'!N3853</f>
        <v>2190.5009999999997</v>
      </c>
    </row>
    <row r="3854" spans="1:8" x14ac:dyDescent="0.25">
      <c r="A3854" s="17"/>
      <c r="B3854" s="17"/>
      <c r="C3854" s="15" t="s">
        <v>2897</v>
      </c>
      <c r="D3854" s="14"/>
      <c r="E3854" s="14" t="s">
        <v>2841</v>
      </c>
      <c r="F3854" s="14">
        <v>2548</v>
      </c>
      <c r="G3854" s="14">
        <v>2230.7740000000003</v>
      </c>
      <c r="H3854" s="37">
        <f>'Calculation Sheet'!N3854</f>
        <v>2230.7740000000003</v>
      </c>
    </row>
    <row r="3855" spans="1:8" x14ac:dyDescent="0.25">
      <c r="A3855" s="17"/>
      <c r="B3855" s="17"/>
      <c r="C3855" s="15" t="s">
        <v>2897</v>
      </c>
      <c r="D3855" s="14"/>
      <c r="E3855" s="14" t="s">
        <v>2841</v>
      </c>
      <c r="F3855" s="14">
        <v>2548</v>
      </c>
      <c r="G3855" s="14">
        <v>2230.7740000000003</v>
      </c>
      <c r="H3855" s="37">
        <f>'Calculation Sheet'!N3855</f>
        <v>2230.7740000000003</v>
      </c>
    </row>
    <row r="3856" spans="1:8" x14ac:dyDescent="0.25">
      <c r="A3856" s="17"/>
      <c r="B3856" s="17"/>
      <c r="C3856" s="15" t="s">
        <v>2896</v>
      </c>
      <c r="D3856" s="14"/>
      <c r="E3856" s="14" t="s">
        <v>2841</v>
      </c>
      <c r="F3856" s="14">
        <v>2502</v>
      </c>
      <c r="G3856" s="14">
        <v>2190.5009999999997</v>
      </c>
      <c r="H3856" s="37">
        <f>'Calculation Sheet'!N3856</f>
        <v>2190.5009999999997</v>
      </c>
    </row>
    <row r="3857" spans="1:8" x14ac:dyDescent="0.25">
      <c r="A3857" s="17"/>
      <c r="B3857" s="17"/>
      <c r="C3857" s="15" t="s">
        <v>2898</v>
      </c>
      <c r="D3857" s="14"/>
      <c r="E3857" s="14" t="s">
        <v>2841</v>
      </c>
      <c r="F3857" s="14">
        <v>3058</v>
      </c>
      <c r="G3857" s="14">
        <v>2677.279</v>
      </c>
      <c r="H3857" s="37">
        <f>'Calculation Sheet'!N3857</f>
        <v>2677.279</v>
      </c>
    </row>
    <row r="3858" spans="1:8" x14ac:dyDescent="0.25">
      <c r="A3858" s="17"/>
      <c r="B3858" s="17"/>
      <c r="C3858" s="15" t="s">
        <v>2898</v>
      </c>
      <c r="D3858" s="14"/>
      <c r="E3858" s="14" t="s">
        <v>2841</v>
      </c>
      <c r="F3858" s="14">
        <v>764</v>
      </c>
      <c r="G3858" s="14">
        <v>668.88199999999995</v>
      </c>
      <c r="H3858" s="37">
        <f>'Calculation Sheet'!N3858</f>
        <v>668.88199999999995</v>
      </c>
    </row>
    <row r="3859" spans="1:8" x14ac:dyDescent="0.25">
      <c r="A3859" s="17"/>
      <c r="B3859" s="17"/>
      <c r="C3859" s="15" t="s">
        <v>2898</v>
      </c>
      <c r="D3859" s="14"/>
      <c r="E3859" s="14" t="s">
        <v>2841</v>
      </c>
      <c r="F3859" s="14">
        <v>764</v>
      </c>
      <c r="G3859" s="14">
        <v>668.88199999999995</v>
      </c>
      <c r="H3859" s="37">
        <f>'Calculation Sheet'!N3859</f>
        <v>668.88199999999995</v>
      </c>
    </row>
    <row r="3860" spans="1:8" x14ac:dyDescent="0.25">
      <c r="A3860" s="17"/>
      <c r="B3860" s="17"/>
      <c r="C3860" s="15" t="s">
        <v>2899</v>
      </c>
      <c r="D3860" s="14"/>
      <c r="E3860" s="14" t="s">
        <v>2841</v>
      </c>
      <c r="F3860" s="14">
        <v>742</v>
      </c>
      <c r="G3860" s="14">
        <v>649.62100000000009</v>
      </c>
      <c r="H3860" s="37">
        <f>'Calculation Sheet'!N3860</f>
        <v>649.62100000000009</v>
      </c>
    </row>
    <row r="3861" spans="1:8" x14ac:dyDescent="0.25">
      <c r="A3861" s="17"/>
      <c r="B3861" s="17"/>
      <c r="C3861" s="15" t="s">
        <v>2899</v>
      </c>
      <c r="D3861" s="14"/>
      <c r="E3861" s="14" t="s">
        <v>2841</v>
      </c>
      <c r="F3861" s="14">
        <v>742</v>
      </c>
      <c r="G3861" s="14">
        <v>649.62100000000009</v>
      </c>
      <c r="H3861" s="37">
        <f>'Calculation Sheet'!N3861</f>
        <v>649.62100000000009</v>
      </c>
    </row>
    <row r="3862" spans="1:8" x14ac:dyDescent="0.25">
      <c r="A3862" s="17"/>
      <c r="B3862" s="17"/>
      <c r="C3862" s="15" t="s">
        <v>2899</v>
      </c>
      <c r="D3862" s="14"/>
      <c r="E3862" s="14" t="s">
        <v>2841</v>
      </c>
      <c r="F3862" s="14">
        <v>3908</v>
      </c>
      <c r="G3862" s="14">
        <v>3421.4540000000002</v>
      </c>
      <c r="H3862" s="37">
        <f>'Calculation Sheet'!N3862</f>
        <v>3421.4540000000002</v>
      </c>
    </row>
    <row r="3863" spans="1:8" x14ac:dyDescent="0.25">
      <c r="A3863" s="17"/>
      <c r="B3863" s="17"/>
      <c r="C3863" s="15" t="s">
        <v>2900</v>
      </c>
      <c r="D3863" s="14"/>
      <c r="E3863" s="14" t="s">
        <v>2841</v>
      </c>
      <c r="F3863" s="14">
        <v>83784</v>
      </c>
      <c r="G3863" s="14">
        <v>73352.891999999993</v>
      </c>
      <c r="H3863" s="37">
        <f>'Calculation Sheet'!N3863</f>
        <v>73352.891999999993</v>
      </c>
    </row>
    <row r="3864" spans="1:8" x14ac:dyDescent="0.25">
      <c r="A3864" s="17"/>
      <c r="B3864" s="17"/>
      <c r="C3864" s="15" t="s">
        <v>2901</v>
      </c>
      <c r="D3864" s="14"/>
      <c r="E3864" s="14" t="s">
        <v>2841</v>
      </c>
      <c r="F3864" s="14">
        <v>335136</v>
      </c>
      <c r="G3864" s="14">
        <v>293411.56799999997</v>
      </c>
      <c r="H3864" s="37">
        <f>'Calculation Sheet'!N3864</f>
        <v>293411.56799999997</v>
      </c>
    </row>
    <row r="3865" spans="1:8" x14ac:dyDescent="0.25">
      <c r="A3865" s="17"/>
      <c r="B3865" s="17"/>
      <c r="C3865" s="15" t="s">
        <v>2902</v>
      </c>
      <c r="D3865" s="14"/>
      <c r="E3865" s="14" t="s">
        <v>2841</v>
      </c>
      <c r="F3865" s="14">
        <v>1284803</v>
      </c>
      <c r="G3865" s="14">
        <v>1124845.49</v>
      </c>
      <c r="H3865" s="37">
        <f>'Calculation Sheet'!N3865</f>
        <v>1124845.49</v>
      </c>
    </row>
    <row r="3866" spans="1:8" x14ac:dyDescent="0.25">
      <c r="A3866" s="17"/>
      <c r="B3866" s="17"/>
      <c r="C3866" s="15" t="s">
        <v>2903</v>
      </c>
      <c r="D3866" s="14"/>
      <c r="E3866" s="14" t="s">
        <v>2841</v>
      </c>
      <c r="F3866" s="14">
        <v>802878</v>
      </c>
      <c r="G3866" s="14">
        <v>702919.68900000001</v>
      </c>
      <c r="H3866" s="37">
        <f>'Calculation Sheet'!N3866</f>
        <v>702919.68900000001</v>
      </c>
    </row>
    <row r="3867" spans="1:8" x14ac:dyDescent="0.25">
      <c r="A3867" s="17"/>
      <c r="B3867" s="17"/>
      <c r="C3867" s="15" t="s">
        <v>2904</v>
      </c>
      <c r="D3867" s="14"/>
      <c r="E3867" s="14" t="s">
        <v>2841</v>
      </c>
      <c r="F3867" s="14">
        <v>83784</v>
      </c>
      <c r="G3867" s="14">
        <v>73352.891999999993</v>
      </c>
      <c r="H3867" s="37">
        <f>'Calculation Sheet'!N3867</f>
        <v>73352.891999999993</v>
      </c>
    </row>
    <row r="3868" spans="1:8" x14ac:dyDescent="0.25">
      <c r="A3868" s="17"/>
      <c r="B3868" s="17"/>
      <c r="C3868" s="15" t="s">
        <v>2905</v>
      </c>
      <c r="D3868" s="14"/>
      <c r="E3868" s="14" t="s">
        <v>2841</v>
      </c>
      <c r="F3868" s="14">
        <v>802878</v>
      </c>
      <c r="G3868" s="14">
        <v>702919.68900000001</v>
      </c>
      <c r="H3868" s="37">
        <f>'Calculation Sheet'!N3868</f>
        <v>702919.68900000001</v>
      </c>
    </row>
    <row r="3869" spans="1:8" x14ac:dyDescent="0.25">
      <c r="A3869" s="17"/>
      <c r="B3869" s="17"/>
      <c r="C3869" s="15" t="s">
        <v>2906</v>
      </c>
      <c r="D3869" s="14"/>
      <c r="E3869" s="14" t="s">
        <v>2841</v>
      </c>
      <c r="F3869" s="14">
        <v>335136</v>
      </c>
      <c r="G3869" s="14">
        <v>293411.56799999997</v>
      </c>
      <c r="H3869" s="37">
        <f>'Calculation Sheet'!N3869</f>
        <v>293411.56799999997</v>
      </c>
    </row>
    <row r="3870" spans="1:8" x14ac:dyDescent="0.25">
      <c r="A3870" s="17"/>
      <c r="B3870" s="17"/>
      <c r="C3870" s="15" t="s">
        <v>2907</v>
      </c>
      <c r="D3870" s="14"/>
      <c r="E3870" s="14" t="s">
        <v>2841</v>
      </c>
      <c r="F3870" s="14">
        <v>335136</v>
      </c>
      <c r="G3870" s="14">
        <v>293411.56799999997</v>
      </c>
      <c r="H3870" s="37">
        <f>'Calculation Sheet'!N3870</f>
        <v>293411.56799999997</v>
      </c>
    </row>
    <row r="3871" spans="1:8" x14ac:dyDescent="0.25">
      <c r="A3871" s="17"/>
      <c r="B3871" s="17"/>
      <c r="C3871" s="15" t="s">
        <v>2908</v>
      </c>
      <c r="D3871" s="14"/>
      <c r="E3871" s="14" t="s">
        <v>2841</v>
      </c>
      <c r="F3871" s="14">
        <v>1284803</v>
      </c>
      <c r="G3871" s="14">
        <v>1124845.49</v>
      </c>
      <c r="H3871" s="37">
        <f>'Calculation Sheet'!N3871</f>
        <v>1124845.49</v>
      </c>
    </row>
    <row r="3872" spans="1:8" x14ac:dyDescent="0.25">
      <c r="A3872" s="17"/>
      <c r="B3872" s="17"/>
      <c r="C3872" s="15" t="s">
        <v>2909</v>
      </c>
      <c r="D3872" s="14"/>
      <c r="E3872" s="14" t="s">
        <v>2841</v>
      </c>
      <c r="F3872" s="14">
        <v>1284803</v>
      </c>
      <c r="G3872" s="14">
        <v>1124845.49</v>
      </c>
      <c r="H3872" s="37">
        <f>'Calculation Sheet'!N3872</f>
        <v>1124845.49</v>
      </c>
    </row>
    <row r="3873" spans="1:8" x14ac:dyDescent="0.25">
      <c r="A3873" s="17"/>
      <c r="B3873" s="17"/>
      <c r="C3873" s="15" t="s">
        <v>2910</v>
      </c>
      <c r="D3873" s="14"/>
      <c r="E3873" s="14" t="s">
        <v>2841</v>
      </c>
      <c r="F3873" s="14">
        <v>83784</v>
      </c>
      <c r="G3873" s="14">
        <v>73352.891999999993</v>
      </c>
      <c r="H3873" s="37">
        <f>'Calculation Sheet'!N3873</f>
        <v>73352.891999999993</v>
      </c>
    </row>
    <row r="3874" spans="1:8" x14ac:dyDescent="0.25">
      <c r="A3874" s="17"/>
      <c r="B3874" s="17"/>
      <c r="C3874" s="15" t="s">
        <v>2911</v>
      </c>
      <c r="D3874" s="14"/>
      <c r="E3874" s="14" t="s">
        <v>2841</v>
      </c>
      <c r="F3874" s="14">
        <v>802878</v>
      </c>
      <c r="G3874" s="14">
        <v>702919.68900000001</v>
      </c>
      <c r="H3874" s="37">
        <f>'Calculation Sheet'!N3874</f>
        <v>702919.68900000001</v>
      </c>
    </row>
    <row r="3875" spans="1:8" x14ac:dyDescent="0.25">
      <c r="A3875" s="17"/>
      <c r="B3875" s="17"/>
      <c r="C3875" s="15" t="s">
        <v>2912</v>
      </c>
      <c r="D3875" s="14"/>
      <c r="E3875" s="14" t="s">
        <v>2841</v>
      </c>
      <c r="F3875" s="14">
        <v>4883</v>
      </c>
      <c r="G3875" s="14">
        <v>4275.0664999999999</v>
      </c>
      <c r="H3875" s="37">
        <f>'Calculation Sheet'!N3875</f>
        <v>4275.0664999999999</v>
      </c>
    </row>
    <row r="3876" spans="1:8" x14ac:dyDescent="0.25">
      <c r="A3876" s="17"/>
      <c r="B3876" s="17"/>
      <c r="C3876" s="15" t="s">
        <v>2913</v>
      </c>
      <c r="D3876" s="14"/>
      <c r="E3876" s="14" t="s">
        <v>2841</v>
      </c>
      <c r="F3876" s="14">
        <v>7813</v>
      </c>
      <c r="G3876" s="14">
        <v>6840.2815000000001</v>
      </c>
      <c r="H3876" s="37">
        <f>'Calculation Sheet'!N3876</f>
        <v>6840.2815000000001</v>
      </c>
    </row>
    <row r="3877" spans="1:8" x14ac:dyDescent="0.25">
      <c r="A3877" s="17"/>
      <c r="B3877" s="17"/>
      <c r="C3877" s="15" t="s">
        <v>2913</v>
      </c>
      <c r="D3877" s="14"/>
      <c r="E3877" s="14" t="s">
        <v>2841</v>
      </c>
      <c r="F3877" s="14">
        <v>19532</v>
      </c>
      <c r="G3877" s="14">
        <v>17100.266</v>
      </c>
      <c r="H3877" s="37">
        <f>'Calculation Sheet'!N3877</f>
        <v>17100.266</v>
      </c>
    </row>
    <row r="3878" spans="1:8" x14ac:dyDescent="0.25">
      <c r="A3878" s="17"/>
      <c r="B3878" s="17"/>
      <c r="C3878" s="15" t="s">
        <v>2912</v>
      </c>
      <c r="D3878" s="14"/>
      <c r="E3878" s="14" t="s">
        <v>2841</v>
      </c>
      <c r="F3878" s="14">
        <v>7813</v>
      </c>
      <c r="G3878" s="14">
        <v>6840.2815000000001</v>
      </c>
      <c r="H3878" s="37">
        <f>'Calculation Sheet'!N3878</f>
        <v>6840.2815000000001</v>
      </c>
    </row>
    <row r="3879" spans="1:8" x14ac:dyDescent="0.25">
      <c r="A3879" s="17"/>
      <c r="B3879" s="17"/>
      <c r="C3879" s="15" t="s">
        <v>2913</v>
      </c>
      <c r="D3879" s="14"/>
      <c r="E3879" s="14" t="s">
        <v>2841</v>
      </c>
      <c r="F3879" s="14">
        <v>4883</v>
      </c>
      <c r="G3879" s="14">
        <v>4275.0664999999999</v>
      </c>
      <c r="H3879" s="37">
        <f>'Calculation Sheet'!N3879</f>
        <v>4275.0664999999999</v>
      </c>
    </row>
    <row r="3880" spans="1:8" x14ac:dyDescent="0.25">
      <c r="A3880" s="17"/>
      <c r="B3880" s="17"/>
      <c r="C3880" s="15" t="s">
        <v>2912</v>
      </c>
      <c r="D3880" s="14"/>
      <c r="E3880" s="14" t="s">
        <v>2841</v>
      </c>
      <c r="F3880" s="14">
        <v>19532</v>
      </c>
      <c r="G3880" s="14">
        <v>17100.266</v>
      </c>
      <c r="H3880" s="37">
        <f>'Calculation Sheet'!N3880</f>
        <v>17100.266</v>
      </c>
    </row>
    <row r="3881" spans="1:8" x14ac:dyDescent="0.25">
      <c r="A3881" s="17"/>
      <c r="B3881" s="17"/>
      <c r="C3881" s="15" t="s">
        <v>2914</v>
      </c>
      <c r="D3881" s="14"/>
      <c r="E3881" s="14" t="s">
        <v>2841</v>
      </c>
      <c r="F3881" s="14">
        <v>513943</v>
      </c>
      <c r="G3881" s="14">
        <v>449957.14799999999</v>
      </c>
      <c r="H3881" s="37">
        <f>'Calculation Sheet'!N3881</f>
        <v>449957.14799999999</v>
      </c>
    </row>
    <row r="3882" spans="1:8" x14ac:dyDescent="0.25">
      <c r="A3882" s="17"/>
      <c r="B3882" s="17"/>
      <c r="C3882" s="15" t="s">
        <v>2915</v>
      </c>
      <c r="D3882" s="14" t="s">
        <v>1752</v>
      </c>
      <c r="E3882" s="14" t="s">
        <v>1747</v>
      </c>
      <c r="F3882" s="14">
        <v>1523551</v>
      </c>
      <c r="G3882" s="14">
        <v>1333868.54</v>
      </c>
      <c r="H3882" s="37">
        <f>'Calculation Sheet'!N3882</f>
        <v>1333868.54</v>
      </c>
    </row>
    <row r="3883" spans="1:8" x14ac:dyDescent="0.25">
      <c r="A3883" s="17"/>
      <c r="B3883" s="17"/>
      <c r="C3883" s="15" t="s">
        <v>2916</v>
      </c>
      <c r="D3883" s="14" t="s">
        <v>1745</v>
      </c>
      <c r="E3883" s="14" t="s">
        <v>1746</v>
      </c>
      <c r="F3883" s="14">
        <v>606841</v>
      </c>
      <c r="G3883" s="14">
        <v>531289.24399999995</v>
      </c>
      <c r="H3883" s="37">
        <f>'Calculation Sheet'!N3883</f>
        <v>531289.24399999995</v>
      </c>
    </row>
    <row r="3884" spans="1:8" x14ac:dyDescent="0.25">
      <c r="A3884" s="17"/>
      <c r="B3884" s="17"/>
      <c r="C3884" s="15" t="s">
        <v>2914</v>
      </c>
      <c r="D3884" s="14"/>
      <c r="E3884" s="14" t="s">
        <v>2841</v>
      </c>
      <c r="F3884" s="14">
        <v>1284859</v>
      </c>
      <c r="G3884" s="14">
        <v>1124893.8999999999</v>
      </c>
      <c r="H3884" s="37">
        <f>'Calculation Sheet'!N3884</f>
        <v>1124893.8999999999</v>
      </c>
    </row>
    <row r="3885" spans="1:8" x14ac:dyDescent="0.25">
      <c r="A3885" s="17"/>
      <c r="B3885" s="17"/>
      <c r="C3885" s="15" t="s">
        <v>2916</v>
      </c>
      <c r="D3885" s="14" t="s">
        <v>1745</v>
      </c>
      <c r="E3885" s="14" t="s">
        <v>1747</v>
      </c>
      <c r="F3885" s="14">
        <v>606841</v>
      </c>
      <c r="G3885" s="14">
        <v>531289.34700000007</v>
      </c>
      <c r="H3885" s="37">
        <f>'Calculation Sheet'!N3885</f>
        <v>531289.34700000007</v>
      </c>
    </row>
    <row r="3886" spans="1:8" x14ac:dyDescent="0.25">
      <c r="A3886" s="17"/>
      <c r="B3886" s="17"/>
      <c r="C3886" s="15" t="s">
        <v>2914</v>
      </c>
      <c r="D3886" s="14"/>
      <c r="E3886" s="14" t="s">
        <v>2841</v>
      </c>
      <c r="F3886" s="14">
        <v>321214</v>
      </c>
      <c r="G3886" s="14">
        <v>281222.85700000002</v>
      </c>
      <c r="H3886" s="37">
        <f>'Calculation Sheet'!N3886</f>
        <v>281222.85700000002</v>
      </c>
    </row>
    <row r="3887" spans="1:8" x14ac:dyDescent="0.25">
      <c r="A3887" s="17"/>
      <c r="B3887" s="17"/>
      <c r="C3887" s="15" t="s">
        <v>2915</v>
      </c>
      <c r="D3887" s="14" t="s">
        <v>1752</v>
      </c>
      <c r="E3887" s="14" t="s">
        <v>1753</v>
      </c>
      <c r="F3887" s="14">
        <v>1523551</v>
      </c>
      <c r="G3887" s="14">
        <v>1333868.54</v>
      </c>
      <c r="H3887" s="37">
        <f>'Calculation Sheet'!N3887</f>
        <v>1333868.54</v>
      </c>
    </row>
    <row r="3888" spans="1:8" x14ac:dyDescent="0.25">
      <c r="A3888" s="17"/>
      <c r="B3888" s="17"/>
      <c r="C3888" s="15" t="s">
        <v>2917</v>
      </c>
      <c r="D3888" s="14"/>
      <c r="E3888" s="14" t="s">
        <v>2841</v>
      </c>
      <c r="F3888" s="14">
        <v>83785</v>
      </c>
      <c r="G3888" s="14">
        <v>73353.767500000002</v>
      </c>
      <c r="H3888" s="37">
        <f>'Calculation Sheet'!N3888</f>
        <v>73353.767500000002</v>
      </c>
    </row>
    <row r="3889" spans="1:8" x14ac:dyDescent="0.25">
      <c r="A3889" s="17"/>
      <c r="B3889" s="17"/>
      <c r="C3889" s="15" t="s">
        <v>2918</v>
      </c>
      <c r="D3889" s="14" t="s">
        <v>1752</v>
      </c>
      <c r="E3889" s="14" t="s">
        <v>1753</v>
      </c>
      <c r="F3889" s="14">
        <v>397570</v>
      </c>
      <c r="G3889" s="14">
        <v>348072.53499999997</v>
      </c>
      <c r="H3889" s="37">
        <f>'Calculation Sheet'!N3889</f>
        <v>348072.53499999997</v>
      </c>
    </row>
    <row r="3890" spans="1:8" x14ac:dyDescent="0.25">
      <c r="A3890" s="17"/>
      <c r="B3890" s="17"/>
      <c r="C3890" s="15" t="s">
        <v>2917</v>
      </c>
      <c r="D3890" s="14"/>
      <c r="E3890" s="14" t="s">
        <v>2841</v>
      </c>
      <c r="F3890" s="14">
        <v>335140</v>
      </c>
      <c r="G3890" s="14">
        <v>293415.07</v>
      </c>
      <c r="H3890" s="37">
        <f>'Calculation Sheet'!N3890</f>
        <v>293415.07</v>
      </c>
    </row>
    <row r="3891" spans="1:8" x14ac:dyDescent="0.25">
      <c r="A3891" s="17"/>
      <c r="B3891" s="17"/>
      <c r="C3891" s="15" t="s">
        <v>2917</v>
      </c>
      <c r="D3891" s="14"/>
      <c r="E3891" s="14" t="s">
        <v>2841</v>
      </c>
      <c r="F3891" s="14">
        <v>134056</v>
      </c>
      <c r="G3891" s="14">
        <v>117366.02800000001</v>
      </c>
      <c r="H3891" s="37">
        <f>'Calculation Sheet'!N3891</f>
        <v>117366.02800000001</v>
      </c>
    </row>
    <row r="3892" spans="1:8" x14ac:dyDescent="0.25">
      <c r="A3892" s="17"/>
      <c r="B3892" s="17"/>
      <c r="C3892" s="15" t="s">
        <v>2919</v>
      </c>
      <c r="D3892" s="14" t="s">
        <v>1745</v>
      </c>
      <c r="E3892" s="14" t="s">
        <v>1747</v>
      </c>
      <c r="F3892" s="14">
        <v>158284</v>
      </c>
      <c r="G3892" s="14">
        <v>138577.64199999999</v>
      </c>
      <c r="H3892" s="37">
        <f>'Calculation Sheet'!N3892</f>
        <v>138577.64199999999</v>
      </c>
    </row>
    <row r="3893" spans="1:8" x14ac:dyDescent="0.25">
      <c r="A3893" s="17"/>
      <c r="B3893" s="17"/>
      <c r="C3893" s="15" t="s">
        <v>2919</v>
      </c>
      <c r="D3893" s="14" t="s">
        <v>1745</v>
      </c>
      <c r="E3893" s="14" t="s">
        <v>1746</v>
      </c>
      <c r="F3893" s="14">
        <v>158284</v>
      </c>
      <c r="G3893" s="14">
        <v>138577.64199999999</v>
      </c>
      <c r="H3893" s="37">
        <f>'Calculation Sheet'!N3893</f>
        <v>138577.64199999999</v>
      </c>
    </row>
    <row r="3894" spans="1:8" x14ac:dyDescent="0.25">
      <c r="A3894" s="17"/>
      <c r="B3894" s="17"/>
      <c r="C3894" s="15" t="s">
        <v>2918</v>
      </c>
      <c r="D3894" s="14" t="s">
        <v>1752</v>
      </c>
      <c r="E3894" s="14" t="s">
        <v>1747</v>
      </c>
      <c r="F3894" s="14">
        <v>397570</v>
      </c>
      <c r="G3894" s="14">
        <v>348072.53499999997</v>
      </c>
      <c r="H3894" s="37">
        <f>'Calculation Sheet'!N3894</f>
        <v>348072.53499999997</v>
      </c>
    </row>
    <row r="3895" spans="1:8" x14ac:dyDescent="0.25">
      <c r="A3895" s="17"/>
      <c r="B3895" s="17"/>
      <c r="C3895" s="15" t="s">
        <v>2920</v>
      </c>
      <c r="D3895" s="14"/>
      <c r="E3895" s="14" t="s">
        <v>2841</v>
      </c>
      <c r="F3895" s="14">
        <v>83925</v>
      </c>
      <c r="G3895" s="14">
        <v>73476.337499999994</v>
      </c>
      <c r="H3895" s="37">
        <f>'Calculation Sheet'!N3895</f>
        <v>73476.337499999994</v>
      </c>
    </row>
    <row r="3896" spans="1:8" x14ac:dyDescent="0.25">
      <c r="A3896" s="17"/>
      <c r="B3896" s="17"/>
      <c r="C3896" s="15" t="s">
        <v>2920</v>
      </c>
      <c r="D3896" s="14"/>
      <c r="E3896" s="14" t="s">
        <v>2841</v>
      </c>
      <c r="F3896" s="14">
        <v>20981</v>
      </c>
      <c r="G3896" s="14">
        <v>18368.8655</v>
      </c>
      <c r="H3896" s="37">
        <f>'Calculation Sheet'!N3896</f>
        <v>18368.8655</v>
      </c>
    </row>
    <row r="3897" spans="1:8" x14ac:dyDescent="0.25">
      <c r="A3897" s="17"/>
      <c r="B3897" s="17"/>
      <c r="C3897" s="15" t="s">
        <v>2920</v>
      </c>
      <c r="D3897" s="14"/>
      <c r="E3897" s="14" t="s">
        <v>2841</v>
      </c>
      <c r="F3897" s="14">
        <v>33570</v>
      </c>
      <c r="G3897" s="14">
        <v>29390.535</v>
      </c>
      <c r="H3897" s="37">
        <f>'Calculation Sheet'!N3897</f>
        <v>29390.535</v>
      </c>
    </row>
    <row r="3898" spans="1:8" x14ac:dyDescent="0.25">
      <c r="A3898" s="17"/>
      <c r="B3898" s="17"/>
      <c r="C3898" s="15" t="s">
        <v>2921</v>
      </c>
      <c r="D3898" s="14" t="s">
        <v>1745</v>
      </c>
      <c r="E3898" s="14" t="s">
        <v>1747</v>
      </c>
      <c r="F3898" s="14">
        <v>31775</v>
      </c>
      <c r="G3898" s="14">
        <v>27819.012500000001</v>
      </c>
      <c r="H3898" s="37">
        <f>'Calculation Sheet'!N3898</f>
        <v>27819.012500000001</v>
      </c>
    </row>
    <row r="3899" spans="1:8" x14ac:dyDescent="0.25">
      <c r="A3899" s="17"/>
      <c r="B3899" s="17"/>
      <c r="C3899" s="15" t="s">
        <v>2922</v>
      </c>
      <c r="D3899" s="14" t="s">
        <v>1745</v>
      </c>
      <c r="E3899" s="14" t="s">
        <v>1746</v>
      </c>
      <c r="F3899" s="14">
        <v>13272</v>
      </c>
      <c r="G3899" s="14">
        <v>11619.636</v>
      </c>
      <c r="H3899" s="37">
        <f>'Calculation Sheet'!N3899</f>
        <v>11619.636</v>
      </c>
    </row>
    <row r="3900" spans="1:8" x14ac:dyDescent="0.25">
      <c r="A3900" s="17"/>
      <c r="B3900" s="17"/>
      <c r="C3900" s="15" t="s">
        <v>2922</v>
      </c>
      <c r="D3900" s="14" t="s">
        <v>1745</v>
      </c>
      <c r="E3900" s="14" t="s">
        <v>1747</v>
      </c>
      <c r="F3900" s="14">
        <v>13272</v>
      </c>
      <c r="G3900" s="14">
        <v>11619.636</v>
      </c>
      <c r="H3900" s="37">
        <f>'Calculation Sheet'!N3900</f>
        <v>11619.636</v>
      </c>
    </row>
    <row r="3901" spans="1:8" x14ac:dyDescent="0.25">
      <c r="A3901" s="17"/>
      <c r="B3901" s="17"/>
      <c r="C3901" s="15" t="s">
        <v>2923</v>
      </c>
      <c r="D3901" s="14" t="s">
        <v>1752</v>
      </c>
      <c r="E3901" s="14" t="s">
        <v>1753</v>
      </c>
      <c r="F3901" s="14">
        <v>33169</v>
      </c>
      <c r="G3901" s="14">
        <v>29039.459500000001</v>
      </c>
      <c r="H3901" s="37">
        <f>'Calculation Sheet'!N3901</f>
        <v>29039.459500000001</v>
      </c>
    </row>
    <row r="3902" spans="1:8" x14ac:dyDescent="0.25">
      <c r="A3902" s="17"/>
      <c r="B3902" s="17"/>
      <c r="C3902" s="15" t="s">
        <v>2923</v>
      </c>
      <c r="D3902" s="14" t="s">
        <v>1752</v>
      </c>
      <c r="E3902" s="14" t="s">
        <v>1747</v>
      </c>
      <c r="F3902" s="14">
        <v>33168.99</v>
      </c>
      <c r="G3902" s="14">
        <v>29039.449199999999</v>
      </c>
      <c r="H3902" s="37">
        <f>'Calculation Sheet'!N3902</f>
        <v>29039.449199999999</v>
      </c>
    </row>
    <row r="3903" spans="1:8" x14ac:dyDescent="0.25">
      <c r="A3903" s="17"/>
      <c r="B3903" s="17"/>
      <c r="C3903" s="15" t="s">
        <v>2924</v>
      </c>
      <c r="D3903" s="14" t="s">
        <v>1745</v>
      </c>
      <c r="E3903" s="14" t="s">
        <v>1747</v>
      </c>
      <c r="F3903" s="14">
        <v>4868</v>
      </c>
      <c r="G3903" s="14">
        <v>4261.9340000000002</v>
      </c>
      <c r="H3903" s="37">
        <f>'Calculation Sheet'!N3903</f>
        <v>4261.9340000000002</v>
      </c>
    </row>
    <row r="3904" spans="1:8" x14ac:dyDescent="0.25">
      <c r="A3904" s="17"/>
      <c r="B3904" s="17"/>
      <c r="C3904" s="15" t="s">
        <v>2925</v>
      </c>
      <c r="D3904" s="14" t="s">
        <v>1752</v>
      </c>
      <c r="E3904" s="14" t="s">
        <v>1747</v>
      </c>
      <c r="F3904" s="14">
        <v>12150.99</v>
      </c>
      <c r="G3904" s="14">
        <v>10638.190200000001</v>
      </c>
      <c r="H3904" s="37">
        <f>'Calculation Sheet'!N3904</f>
        <v>10638.190200000001</v>
      </c>
    </row>
    <row r="3905" spans="1:8" x14ac:dyDescent="0.25">
      <c r="A3905" s="17"/>
      <c r="B3905" s="17"/>
      <c r="C3905" s="15" t="s">
        <v>2924</v>
      </c>
      <c r="D3905" s="14" t="s">
        <v>1745</v>
      </c>
      <c r="E3905" s="14" t="s">
        <v>1746</v>
      </c>
      <c r="F3905" s="14">
        <v>4868.04</v>
      </c>
      <c r="G3905" s="14">
        <v>4261.9751999999999</v>
      </c>
      <c r="H3905" s="37">
        <f>'Calculation Sheet'!N3905</f>
        <v>4261.9751999999999</v>
      </c>
    </row>
    <row r="3906" spans="1:8" x14ac:dyDescent="0.25">
      <c r="A3906" s="17"/>
      <c r="B3906" s="17"/>
      <c r="C3906" s="15" t="s">
        <v>2925</v>
      </c>
      <c r="D3906" s="14" t="s">
        <v>1752</v>
      </c>
      <c r="E3906" s="14" t="s">
        <v>1753</v>
      </c>
      <c r="F3906" s="14">
        <v>12151</v>
      </c>
      <c r="G3906" s="14">
        <v>10638.200500000001</v>
      </c>
      <c r="H3906" s="37">
        <f>'Calculation Sheet'!N3906</f>
        <v>10638.200500000001</v>
      </c>
    </row>
    <row r="3907" spans="1:8" x14ac:dyDescent="0.25">
      <c r="A3907" s="17"/>
      <c r="B3907" s="17"/>
      <c r="C3907" s="15" t="s">
        <v>2926</v>
      </c>
      <c r="D3907" s="14"/>
      <c r="E3907" s="14" t="s">
        <v>2841</v>
      </c>
      <c r="F3907" s="14">
        <v>19711</v>
      </c>
      <c r="G3907" s="14">
        <v>17256.980499999998</v>
      </c>
      <c r="H3907" s="37">
        <f>'Calculation Sheet'!N3907</f>
        <v>17256.980499999998</v>
      </c>
    </row>
    <row r="3908" spans="1:8" x14ac:dyDescent="0.25">
      <c r="A3908" s="17"/>
      <c r="B3908" s="17"/>
      <c r="C3908" s="15" t="s">
        <v>2926</v>
      </c>
      <c r="D3908" s="14"/>
      <c r="E3908" s="14" t="s">
        <v>2841</v>
      </c>
      <c r="F3908" s="14">
        <v>49277</v>
      </c>
      <c r="G3908" s="14">
        <v>43142.013499999994</v>
      </c>
      <c r="H3908" s="37">
        <f>'Calculation Sheet'!N3908</f>
        <v>43142.013499999994</v>
      </c>
    </row>
    <row r="3909" spans="1:8" x14ac:dyDescent="0.25">
      <c r="A3909" s="17"/>
      <c r="B3909" s="17"/>
      <c r="C3909" s="15" t="s">
        <v>2926</v>
      </c>
      <c r="D3909" s="14"/>
      <c r="E3909" s="14" t="s">
        <v>2841</v>
      </c>
      <c r="F3909" s="14">
        <v>7391</v>
      </c>
      <c r="G3909" s="14">
        <v>6470.8205000000007</v>
      </c>
      <c r="H3909" s="37">
        <f>'Calculation Sheet'!N3909</f>
        <v>6470.8205000000007</v>
      </c>
    </row>
    <row r="3910" spans="1:8" x14ac:dyDescent="0.25">
      <c r="A3910" s="17"/>
      <c r="B3910" s="17"/>
      <c r="C3910" s="15" t="s">
        <v>2927</v>
      </c>
      <c r="D3910" s="14"/>
      <c r="E3910" s="14" t="s">
        <v>2841</v>
      </c>
      <c r="F3910" s="14">
        <v>3908</v>
      </c>
      <c r="G3910" s="14">
        <v>3421.4540000000002</v>
      </c>
      <c r="H3910" s="37">
        <f>'Calculation Sheet'!N3910</f>
        <v>3421.4540000000002</v>
      </c>
    </row>
    <row r="3911" spans="1:8" x14ac:dyDescent="0.25">
      <c r="A3911" s="17"/>
      <c r="B3911" s="17"/>
      <c r="C3911" s="15" t="s">
        <v>2927</v>
      </c>
      <c r="D3911" s="14"/>
      <c r="E3911" s="14" t="s">
        <v>2841</v>
      </c>
      <c r="F3911" s="14">
        <v>26338</v>
      </c>
      <c r="G3911" s="14">
        <v>23058.918999999998</v>
      </c>
      <c r="H3911" s="37">
        <f>'Calculation Sheet'!N3911</f>
        <v>23058.918999999998</v>
      </c>
    </row>
    <row r="3912" spans="1:8" x14ac:dyDescent="0.25">
      <c r="A3912" s="17"/>
      <c r="B3912" s="17"/>
      <c r="C3912" s="15" t="s">
        <v>2927</v>
      </c>
      <c r="D3912" s="14"/>
      <c r="E3912" s="14" t="s">
        <v>2841</v>
      </c>
      <c r="F3912" s="14">
        <v>10535</v>
      </c>
      <c r="G3912" s="14">
        <v>9223.3924999999999</v>
      </c>
      <c r="H3912" s="37">
        <f>'Calculation Sheet'!N3912</f>
        <v>9223.3924999999999</v>
      </c>
    </row>
    <row r="3913" spans="1:8" x14ac:dyDescent="0.25">
      <c r="A3913" s="17"/>
      <c r="B3913" s="17"/>
      <c r="C3913" s="15" t="s">
        <v>2928</v>
      </c>
      <c r="D3913" s="14"/>
      <c r="E3913" s="14" t="s">
        <v>2841</v>
      </c>
      <c r="F3913" s="14">
        <v>42395</v>
      </c>
      <c r="G3913" s="14">
        <v>37116.822500000002</v>
      </c>
      <c r="H3913" s="37">
        <f>'Calculation Sheet'!N3913</f>
        <v>37116.822500000002</v>
      </c>
    </row>
    <row r="3914" spans="1:8" x14ac:dyDescent="0.25">
      <c r="A3914" s="17"/>
      <c r="B3914" s="17"/>
      <c r="C3914" s="15" t="s">
        <v>2928</v>
      </c>
      <c r="D3914" s="14"/>
      <c r="E3914" s="14" t="s">
        <v>2841</v>
      </c>
      <c r="F3914" s="14">
        <v>16958</v>
      </c>
      <c r="G3914" s="14">
        <v>14846.728999999999</v>
      </c>
      <c r="H3914" s="37">
        <f>'Calculation Sheet'!N3914</f>
        <v>14846.728999999999</v>
      </c>
    </row>
    <row r="3915" spans="1:8" x14ac:dyDescent="0.25">
      <c r="A3915" s="17"/>
      <c r="B3915" s="17"/>
      <c r="C3915" s="15" t="s">
        <v>2928</v>
      </c>
      <c r="D3915" s="14"/>
      <c r="E3915" s="14" t="s">
        <v>2841</v>
      </c>
      <c r="F3915" s="14">
        <v>6359</v>
      </c>
      <c r="G3915" s="14">
        <v>5567.3044999999993</v>
      </c>
      <c r="H3915" s="37">
        <f>'Calculation Sheet'!N3915</f>
        <v>5567.3044999999993</v>
      </c>
    </row>
    <row r="3916" spans="1:8" x14ac:dyDescent="0.25">
      <c r="A3916" s="17"/>
      <c r="B3916" s="17"/>
      <c r="C3916" s="15" t="s">
        <v>2929</v>
      </c>
      <c r="D3916" s="14"/>
      <c r="E3916" s="14" t="s">
        <v>2841</v>
      </c>
      <c r="F3916" s="14">
        <v>10365</v>
      </c>
      <c r="G3916" s="14">
        <v>9074.5575000000008</v>
      </c>
      <c r="H3916" s="37">
        <f>'Calculation Sheet'!N3916</f>
        <v>9074.5575000000008</v>
      </c>
    </row>
    <row r="3917" spans="1:8" x14ac:dyDescent="0.25">
      <c r="A3917" s="17"/>
      <c r="B3917" s="17"/>
      <c r="C3917" s="15" t="s">
        <v>2930</v>
      </c>
      <c r="D3917" s="14"/>
      <c r="E3917" s="14" t="s">
        <v>2841</v>
      </c>
      <c r="F3917" s="14">
        <v>20730</v>
      </c>
      <c r="G3917" s="14">
        <v>18149.115000000002</v>
      </c>
      <c r="H3917" s="37">
        <f>'Calculation Sheet'!N3917</f>
        <v>18149.115000000002</v>
      </c>
    </row>
    <row r="3918" spans="1:8" x14ac:dyDescent="0.25">
      <c r="A3918" s="17"/>
      <c r="B3918" s="17"/>
      <c r="C3918" s="15" t="s">
        <v>2931</v>
      </c>
      <c r="D3918" s="14"/>
      <c r="E3918" s="14" t="s">
        <v>2841</v>
      </c>
      <c r="F3918" s="14">
        <v>5182</v>
      </c>
      <c r="G3918" s="14">
        <v>4536.8409999999994</v>
      </c>
      <c r="H3918" s="37">
        <f>'Calculation Sheet'!N3918</f>
        <v>4536.8409999999994</v>
      </c>
    </row>
    <row r="3919" spans="1:8" x14ac:dyDescent="0.25">
      <c r="A3919" s="17"/>
      <c r="B3919" s="17"/>
      <c r="C3919" s="15" t="s">
        <v>2929</v>
      </c>
      <c r="D3919" s="14"/>
      <c r="E3919" s="14" t="s">
        <v>2841</v>
      </c>
      <c r="F3919" s="14">
        <v>10365</v>
      </c>
      <c r="G3919" s="14">
        <v>9074.5575000000008</v>
      </c>
      <c r="H3919" s="37">
        <f>'Calculation Sheet'!N3919</f>
        <v>9074.5575000000008</v>
      </c>
    </row>
    <row r="3920" spans="1:8" x14ac:dyDescent="0.25">
      <c r="A3920" s="17"/>
      <c r="B3920" s="17"/>
      <c r="C3920" s="15" t="s">
        <v>2930</v>
      </c>
      <c r="D3920" s="14"/>
      <c r="E3920" s="14" t="s">
        <v>2841</v>
      </c>
      <c r="F3920" s="14">
        <v>20730</v>
      </c>
      <c r="G3920" s="14">
        <v>18149.115000000002</v>
      </c>
      <c r="H3920" s="37">
        <f>'Calculation Sheet'!N3920</f>
        <v>18149.115000000002</v>
      </c>
    </row>
    <row r="3921" spans="1:8" x14ac:dyDescent="0.25">
      <c r="A3921" s="17"/>
      <c r="B3921" s="17"/>
      <c r="C3921" s="15" t="s">
        <v>2931</v>
      </c>
      <c r="D3921" s="14"/>
      <c r="E3921" s="14" t="s">
        <v>2841</v>
      </c>
      <c r="F3921" s="14">
        <v>5182</v>
      </c>
      <c r="G3921" s="14">
        <v>4536.8409999999994</v>
      </c>
      <c r="H3921" s="37">
        <f>'Calculation Sheet'!N3921</f>
        <v>4536.8409999999994</v>
      </c>
    </row>
    <row r="3922" spans="1:8" x14ac:dyDescent="0.25">
      <c r="A3922" s="17"/>
      <c r="B3922" s="17"/>
      <c r="C3922" s="15" t="s">
        <v>2932</v>
      </c>
      <c r="D3922" s="14"/>
      <c r="E3922" s="14" t="s">
        <v>2841</v>
      </c>
      <c r="F3922" s="14">
        <v>6265</v>
      </c>
      <c r="G3922" s="14">
        <v>5485.0074999999997</v>
      </c>
      <c r="H3922" s="37">
        <f>'Calculation Sheet'!N3922</f>
        <v>5485.0074999999997</v>
      </c>
    </row>
    <row r="3923" spans="1:8" x14ac:dyDescent="0.25">
      <c r="A3923" s="17"/>
      <c r="B3923" s="17"/>
      <c r="C3923" s="15" t="s">
        <v>2932</v>
      </c>
      <c r="D3923" s="14"/>
      <c r="E3923" s="14" t="s">
        <v>2841</v>
      </c>
      <c r="F3923" s="14">
        <v>25063</v>
      </c>
      <c r="G3923" s="14">
        <v>21942.656500000001</v>
      </c>
      <c r="H3923" s="37">
        <f>'Calculation Sheet'!N3923</f>
        <v>21942.656500000001</v>
      </c>
    </row>
    <row r="3924" spans="1:8" x14ac:dyDescent="0.25">
      <c r="A3924" s="17"/>
      <c r="B3924" s="17"/>
      <c r="C3924" s="15" t="s">
        <v>2933</v>
      </c>
      <c r="D3924" s="14"/>
      <c r="E3924" s="14" t="s">
        <v>2841</v>
      </c>
      <c r="F3924" s="14">
        <v>6265</v>
      </c>
      <c r="G3924" s="14">
        <v>5485.0074999999997</v>
      </c>
      <c r="H3924" s="37">
        <f>'Calculation Sheet'!N3924</f>
        <v>5485.0074999999997</v>
      </c>
    </row>
    <row r="3925" spans="1:8" x14ac:dyDescent="0.25">
      <c r="A3925" s="17"/>
      <c r="B3925" s="17"/>
      <c r="C3925" s="15" t="s">
        <v>2933</v>
      </c>
      <c r="D3925" s="14"/>
      <c r="E3925" s="14" t="s">
        <v>2841</v>
      </c>
      <c r="F3925" s="14">
        <v>25063</v>
      </c>
      <c r="G3925" s="14">
        <v>21942.656500000001</v>
      </c>
      <c r="H3925" s="37">
        <f>'Calculation Sheet'!N3925</f>
        <v>21942.656500000001</v>
      </c>
    </row>
    <row r="3926" spans="1:8" x14ac:dyDescent="0.25">
      <c r="A3926" s="17"/>
      <c r="B3926" s="17"/>
      <c r="C3926" s="15" t="s">
        <v>2934</v>
      </c>
      <c r="D3926" s="14"/>
      <c r="E3926" s="14" t="s">
        <v>2841</v>
      </c>
      <c r="F3926" s="14">
        <v>170</v>
      </c>
      <c r="G3926" s="14">
        <v>148.83500000000001</v>
      </c>
      <c r="H3926" s="37">
        <f>'Calculation Sheet'!N3926</f>
        <v>148.83500000000001</v>
      </c>
    </row>
    <row r="3927" spans="1:8" x14ac:dyDescent="0.25">
      <c r="A3927" s="17"/>
      <c r="B3927" s="17"/>
      <c r="C3927" s="15" t="s">
        <v>2935</v>
      </c>
      <c r="D3927" s="14"/>
      <c r="E3927" s="14" t="s">
        <v>2841</v>
      </c>
      <c r="F3927" s="14">
        <v>20730</v>
      </c>
      <c r="G3927" s="14">
        <v>18149.115000000002</v>
      </c>
      <c r="H3927" s="37">
        <f>'Calculation Sheet'!N3927</f>
        <v>18149.115000000002</v>
      </c>
    </row>
    <row r="3928" spans="1:8" x14ac:dyDescent="0.25">
      <c r="A3928" s="17"/>
      <c r="B3928" s="17"/>
      <c r="C3928" s="15" t="s">
        <v>2934</v>
      </c>
      <c r="D3928" s="14"/>
      <c r="E3928" s="14" t="s">
        <v>2841</v>
      </c>
      <c r="F3928" s="14">
        <v>170</v>
      </c>
      <c r="G3928" s="14">
        <v>148.83500000000001</v>
      </c>
      <c r="H3928" s="37">
        <f>'Calculation Sheet'!N3928</f>
        <v>148.83500000000001</v>
      </c>
    </row>
    <row r="3929" spans="1:8" x14ac:dyDescent="0.25">
      <c r="A3929" s="17"/>
      <c r="B3929" s="17"/>
      <c r="C3929" s="15" t="s">
        <v>2934</v>
      </c>
      <c r="D3929" s="14"/>
      <c r="E3929" s="14" t="s">
        <v>2841</v>
      </c>
      <c r="F3929" s="14">
        <v>10365</v>
      </c>
      <c r="G3929" s="14">
        <v>9074.5575000000008</v>
      </c>
      <c r="H3929" s="37">
        <f>'Calculation Sheet'!N3929</f>
        <v>9074.5575000000008</v>
      </c>
    </row>
    <row r="3930" spans="1:8" x14ac:dyDescent="0.25">
      <c r="A3930" s="17"/>
      <c r="B3930" s="17"/>
      <c r="C3930" s="15" t="s">
        <v>2936</v>
      </c>
      <c r="D3930" s="14"/>
      <c r="E3930" s="14" t="s">
        <v>2841</v>
      </c>
      <c r="F3930" s="14">
        <v>85</v>
      </c>
      <c r="G3930" s="14">
        <v>74.417500000000004</v>
      </c>
      <c r="H3930" s="37">
        <f>'Calculation Sheet'!N3930</f>
        <v>74.417500000000004</v>
      </c>
    </row>
    <row r="3931" spans="1:8" x14ac:dyDescent="0.25">
      <c r="A3931" s="17"/>
      <c r="B3931" s="17"/>
      <c r="C3931" s="15" t="s">
        <v>2936</v>
      </c>
      <c r="D3931" s="14"/>
      <c r="E3931" s="14" t="s">
        <v>2841</v>
      </c>
      <c r="F3931" s="14">
        <v>85</v>
      </c>
      <c r="G3931" s="14">
        <v>74.417500000000004</v>
      </c>
      <c r="H3931" s="37">
        <f>'Calculation Sheet'!N3931</f>
        <v>74.417500000000004</v>
      </c>
    </row>
    <row r="3932" spans="1:8" x14ac:dyDescent="0.25">
      <c r="A3932" s="17"/>
      <c r="B3932" s="17"/>
      <c r="C3932" s="15" t="s">
        <v>2936</v>
      </c>
      <c r="D3932" s="14"/>
      <c r="E3932" s="14" t="s">
        <v>2841</v>
      </c>
      <c r="F3932" s="14">
        <v>5182</v>
      </c>
      <c r="G3932" s="14">
        <v>4536.8409999999994</v>
      </c>
      <c r="H3932" s="37">
        <f>'Calculation Sheet'!N3932</f>
        <v>4536.8409999999994</v>
      </c>
    </row>
    <row r="3933" spans="1:8" x14ac:dyDescent="0.25">
      <c r="A3933" s="17"/>
      <c r="B3933" s="17"/>
      <c r="C3933" s="15" t="s">
        <v>2935</v>
      </c>
      <c r="D3933" s="14"/>
      <c r="E3933" s="14" t="s">
        <v>2841</v>
      </c>
      <c r="F3933" s="14">
        <v>340</v>
      </c>
      <c r="G3933" s="14">
        <v>297.67</v>
      </c>
      <c r="H3933" s="37">
        <f>'Calculation Sheet'!N3933</f>
        <v>297.67</v>
      </c>
    </row>
    <row r="3934" spans="1:8" x14ac:dyDescent="0.25">
      <c r="A3934" s="17"/>
      <c r="B3934" s="17"/>
      <c r="C3934" s="15" t="s">
        <v>2935</v>
      </c>
      <c r="D3934" s="14"/>
      <c r="E3934" s="14" t="s">
        <v>2841</v>
      </c>
      <c r="F3934" s="14">
        <v>340</v>
      </c>
      <c r="G3934" s="14">
        <v>297.67</v>
      </c>
      <c r="H3934" s="37">
        <f>'Calculation Sheet'!N3934</f>
        <v>297.67</v>
      </c>
    </row>
    <row r="3935" spans="1:8" x14ac:dyDescent="0.25">
      <c r="A3935" s="17"/>
      <c r="B3935" s="17"/>
      <c r="C3935" s="15" t="s">
        <v>2937</v>
      </c>
      <c r="D3935" s="14"/>
      <c r="E3935" s="14" t="s">
        <v>2841</v>
      </c>
      <c r="F3935" s="14">
        <v>25063</v>
      </c>
      <c r="G3935" s="14">
        <v>21942.656500000001</v>
      </c>
      <c r="H3935" s="37">
        <f>'Calculation Sheet'!N3935</f>
        <v>21942.656500000001</v>
      </c>
    </row>
    <row r="3936" spans="1:8" x14ac:dyDescent="0.25">
      <c r="A3936" s="17"/>
      <c r="B3936" s="17"/>
      <c r="C3936" s="15" t="s">
        <v>2938</v>
      </c>
      <c r="D3936" s="14"/>
      <c r="E3936" s="14" t="s">
        <v>2841</v>
      </c>
      <c r="F3936" s="14">
        <v>25063</v>
      </c>
      <c r="G3936" s="14">
        <v>21942.656500000001</v>
      </c>
      <c r="H3936" s="37">
        <f>'Calculation Sheet'!N3936</f>
        <v>21942.656500000001</v>
      </c>
    </row>
    <row r="3937" spans="1:8" x14ac:dyDescent="0.25">
      <c r="A3937" s="17"/>
      <c r="B3937" s="17"/>
      <c r="C3937" s="15" t="s">
        <v>2938</v>
      </c>
      <c r="D3937" s="14"/>
      <c r="E3937" s="14" t="s">
        <v>2841</v>
      </c>
      <c r="F3937" s="14">
        <v>6265</v>
      </c>
      <c r="G3937" s="14">
        <v>5485.0074999999997</v>
      </c>
      <c r="H3937" s="37">
        <f>'Calculation Sheet'!N3937</f>
        <v>5485.0074999999997</v>
      </c>
    </row>
    <row r="3938" spans="1:8" x14ac:dyDescent="0.25">
      <c r="A3938" s="17"/>
      <c r="B3938" s="17"/>
      <c r="C3938" s="15" t="s">
        <v>2939</v>
      </c>
      <c r="D3938" s="14"/>
      <c r="E3938" s="14" t="s">
        <v>2841</v>
      </c>
      <c r="F3938" s="14">
        <v>6265</v>
      </c>
      <c r="G3938" s="14">
        <v>5485.0074999999997</v>
      </c>
      <c r="H3938" s="37">
        <f>'Calculation Sheet'!N3938</f>
        <v>5485.0074999999997</v>
      </c>
    </row>
    <row r="3939" spans="1:8" x14ac:dyDescent="0.25">
      <c r="A3939" s="17"/>
      <c r="B3939" s="17"/>
      <c r="C3939" s="15" t="s">
        <v>2939</v>
      </c>
      <c r="D3939" s="14"/>
      <c r="E3939" s="14" t="s">
        <v>2841</v>
      </c>
      <c r="F3939" s="14">
        <v>25063</v>
      </c>
      <c r="G3939" s="14">
        <v>21942.656500000001</v>
      </c>
      <c r="H3939" s="37">
        <f>'Calculation Sheet'!N3939</f>
        <v>21942.656500000001</v>
      </c>
    </row>
    <row r="3940" spans="1:8" x14ac:dyDescent="0.25">
      <c r="A3940" s="17"/>
      <c r="B3940" s="17"/>
      <c r="C3940" s="15" t="s">
        <v>2940</v>
      </c>
      <c r="D3940" s="14"/>
      <c r="E3940" s="14" t="s">
        <v>2841</v>
      </c>
      <c r="F3940" s="14">
        <v>15972</v>
      </c>
      <c r="G3940" s="14">
        <v>13983.486000000001</v>
      </c>
      <c r="H3940" s="37">
        <f>'Calculation Sheet'!N3940</f>
        <v>13983.486000000001</v>
      </c>
    </row>
    <row r="3941" spans="1:8" x14ac:dyDescent="0.25">
      <c r="A3941" s="17"/>
      <c r="B3941" s="17"/>
      <c r="C3941" s="15" t="s">
        <v>2941</v>
      </c>
      <c r="D3941" s="14"/>
      <c r="E3941" s="14" t="s">
        <v>2841</v>
      </c>
      <c r="F3941" s="14">
        <v>11724</v>
      </c>
      <c r="G3941" s="14">
        <v>9660.5760000000009</v>
      </c>
      <c r="H3941" s="37">
        <f>'Calculation Sheet'!N3941</f>
        <v>9660.5760000000009</v>
      </c>
    </row>
    <row r="3942" spans="1:8" x14ac:dyDescent="0.25">
      <c r="A3942" s="17"/>
      <c r="B3942" s="17"/>
      <c r="C3942" s="15" t="s">
        <v>2942</v>
      </c>
      <c r="D3942" s="14"/>
      <c r="E3942" s="14" t="s">
        <v>2841</v>
      </c>
      <c r="F3942" s="14">
        <v>15972</v>
      </c>
      <c r="G3942" s="14">
        <v>13983.486000000001</v>
      </c>
      <c r="H3942" s="37">
        <f>'Calculation Sheet'!N3942</f>
        <v>13983.486000000001</v>
      </c>
    </row>
    <row r="3943" spans="1:8" x14ac:dyDescent="0.25">
      <c r="A3943" s="17"/>
      <c r="B3943" s="17"/>
      <c r="C3943" s="15" t="s">
        <v>2943</v>
      </c>
      <c r="D3943" s="14"/>
      <c r="E3943" s="14" t="s">
        <v>2841</v>
      </c>
      <c r="F3943" s="14">
        <v>25063</v>
      </c>
      <c r="G3943" s="14">
        <v>21942.656500000001</v>
      </c>
      <c r="H3943" s="37">
        <f>'Calculation Sheet'!N3943</f>
        <v>21942.656500000001</v>
      </c>
    </row>
    <row r="3944" spans="1:8" x14ac:dyDescent="0.25">
      <c r="A3944" s="17"/>
      <c r="B3944" s="17"/>
      <c r="C3944" s="15" t="s">
        <v>2944</v>
      </c>
      <c r="D3944" s="14"/>
      <c r="E3944" s="14" t="s">
        <v>2841</v>
      </c>
      <c r="F3944" s="14">
        <v>4163</v>
      </c>
      <c r="G3944" s="14">
        <v>3644.7065000000002</v>
      </c>
      <c r="H3944" s="37">
        <f>'Calculation Sheet'!N3944</f>
        <v>3644.7065000000002</v>
      </c>
    </row>
    <row r="3945" spans="1:8" x14ac:dyDescent="0.25">
      <c r="A3945" s="17"/>
      <c r="B3945" s="17"/>
      <c r="C3945" s="15" t="s">
        <v>2945</v>
      </c>
      <c r="D3945" s="14"/>
      <c r="E3945" s="14" t="s">
        <v>2841</v>
      </c>
      <c r="F3945" s="14">
        <v>4226</v>
      </c>
      <c r="G3945" s="14">
        <v>3699.8629999999998</v>
      </c>
      <c r="H3945" s="37">
        <f>'Calculation Sheet'!N3945</f>
        <v>3699.8629999999998</v>
      </c>
    </row>
    <row r="3946" spans="1:8" x14ac:dyDescent="0.25">
      <c r="A3946" s="17"/>
      <c r="B3946" s="17"/>
      <c r="C3946" s="15" t="s">
        <v>2946</v>
      </c>
      <c r="D3946" s="14"/>
      <c r="E3946" s="14" t="s">
        <v>2841</v>
      </c>
      <c r="F3946" s="14">
        <v>15887</v>
      </c>
      <c r="G3946" s="14">
        <v>13909.068500000001</v>
      </c>
      <c r="H3946" s="37">
        <f>'Calculation Sheet'!N3946</f>
        <v>13909.068500000001</v>
      </c>
    </row>
    <row r="3947" spans="1:8" x14ac:dyDescent="0.25">
      <c r="A3947" s="17"/>
      <c r="B3947" s="17"/>
      <c r="C3947" s="15" t="s">
        <v>2946</v>
      </c>
      <c r="D3947" s="14"/>
      <c r="E3947" s="14" t="s">
        <v>2841</v>
      </c>
      <c r="F3947" s="14">
        <v>5560</v>
      </c>
      <c r="G3947" s="14">
        <v>4867.78</v>
      </c>
      <c r="H3947" s="37">
        <f>'Calculation Sheet'!N3947</f>
        <v>4867.78</v>
      </c>
    </row>
    <row r="3948" spans="1:8" x14ac:dyDescent="0.25">
      <c r="A3948" s="17"/>
      <c r="B3948" s="17"/>
      <c r="C3948" s="15" t="s">
        <v>2947</v>
      </c>
      <c r="D3948" s="14"/>
      <c r="E3948" s="14" t="s">
        <v>2841</v>
      </c>
      <c r="F3948" s="14">
        <v>15887</v>
      </c>
      <c r="G3948" s="14">
        <v>13909.068500000001</v>
      </c>
      <c r="H3948" s="37">
        <f>'Calculation Sheet'!N3948</f>
        <v>13909.068500000001</v>
      </c>
    </row>
    <row r="3949" spans="1:8" x14ac:dyDescent="0.25">
      <c r="A3949" s="17"/>
      <c r="B3949" s="17"/>
      <c r="C3949" s="15" t="s">
        <v>2947</v>
      </c>
      <c r="D3949" s="14"/>
      <c r="E3949" s="14" t="s">
        <v>2841</v>
      </c>
      <c r="F3949" s="14">
        <v>5560</v>
      </c>
      <c r="G3949" s="14">
        <v>4867.78</v>
      </c>
      <c r="H3949" s="37">
        <f>'Calculation Sheet'!N3949</f>
        <v>4867.78</v>
      </c>
    </row>
    <row r="3950" spans="1:8" x14ac:dyDescent="0.25">
      <c r="A3950" s="17"/>
      <c r="B3950" s="17"/>
      <c r="C3950" s="15" t="s">
        <v>2948</v>
      </c>
      <c r="D3950" s="14"/>
      <c r="E3950" s="14" t="s">
        <v>2841</v>
      </c>
      <c r="F3950" s="14">
        <v>4163</v>
      </c>
      <c r="G3950" s="14">
        <v>3644.7065000000002</v>
      </c>
      <c r="H3950" s="37">
        <f>'Calculation Sheet'!N3950</f>
        <v>3644.7065000000002</v>
      </c>
    </row>
    <row r="3951" spans="1:8" x14ac:dyDescent="0.25">
      <c r="A3951" s="17"/>
      <c r="B3951" s="17"/>
      <c r="C3951" s="15" t="s">
        <v>2949</v>
      </c>
      <c r="D3951" s="14"/>
      <c r="E3951" s="14" t="s">
        <v>2841</v>
      </c>
      <c r="F3951" s="14">
        <v>4226</v>
      </c>
      <c r="G3951" s="14">
        <v>3699.8629999999998</v>
      </c>
      <c r="H3951" s="37">
        <f>'Calculation Sheet'!N3951</f>
        <v>3699.8629999999998</v>
      </c>
    </row>
    <row r="3952" spans="1:8" x14ac:dyDescent="0.25">
      <c r="A3952" s="17"/>
      <c r="B3952" s="17"/>
      <c r="C3952" s="15" t="s">
        <v>2950</v>
      </c>
      <c r="D3952" s="14"/>
      <c r="E3952" s="14" t="s">
        <v>2841</v>
      </c>
      <c r="F3952" s="14">
        <v>1484146</v>
      </c>
      <c r="G3952" s="14">
        <v>1299369.72</v>
      </c>
      <c r="H3952" s="37">
        <f>'Calculation Sheet'!N3952</f>
        <v>1299369.72</v>
      </c>
    </row>
    <row r="3953" spans="1:8" x14ac:dyDescent="0.25">
      <c r="A3953" s="17"/>
      <c r="B3953" s="17"/>
      <c r="C3953" s="15" t="s">
        <v>2950</v>
      </c>
      <c r="D3953" s="14"/>
      <c r="E3953" s="14" t="s">
        <v>2841</v>
      </c>
      <c r="F3953" s="14">
        <v>371036</v>
      </c>
      <c r="G3953" s="14">
        <v>324842.01799999998</v>
      </c>
      <c r="H3953" s="37">
        <f>'Calculation Sheet'!N3953</f>
        <v>324842.01799999998</v>
      </c>
    </row>
    <row r="3954" spans="1:8" x14ac:dyDescent="0.25">
      <c r="A3954" s="17"/>
      <c r="B3954" s="17"/>
      <c r="C3954" s="15" t="s">
        <v>2950</v>
      </c>
      <c r="D3954" s="14"/>
      <c r="E3954" s="14" t="s">
        <v>2841</v>
      </c>
      <c r="F3954" s="14">
        <v>371036</v>
      </c>
      <c r="G3954" s="14">
        <v>324842.01799999998</v>
      </c>
      <c r="H3954" s="37">
        <f>'Calculation Sheet'!N3954</f>
        <v>324842.01799999998</v>
      </c>
    </row>
    <row r="3955" spans="1:8" x14ac:dyDescent="0.25">
      <c r="A3955" s="17"/>
      <c r="B3955" s="17"/>
      <c r="C3955" s="15" t="s">
        <v>2951</v>
      </c>
      <c r="D3955" s="14"/>
      <c r="E3955" s="14" t="s">
        <v>2841</v>
      </c>
      <c r="F3955" s="14">
        <v>4205</v>
      </c>
      <c r="G3955" s="14">
        <v>3681.4775</v>
      </c>
      <c r="H3955" s="37">
        <f>'Calculation Sheet'!N3955</f>
        <v>3681.4775</v>
      </c>
    </row>
    <row r="3956" spans="1:8" x14ac:dyDescent="0.25">
      <c r="A3956" s="17"/>
      <c r="B3956" s="17"/>
      <c r="C3956" s="15" t="s">
        <v>2952</v>
      </c>
      <c r="D3956" s="14"/>
      <c r="E3956" s="14" t="s">
        <v>2841</v>
      </c>
      <c r="F3956" s="14">
        <v>2168</v>
      </c>
      <c r="G3956" s="14">
        <v>1898.0840000000001</v>
      </c>
      <c r="H3956" s="37">
        <f>'Calculation Sheet'!N3956</f>
        <v>1898.0840000000001</v>
      </c>
    </row>
    <row r="3957" spans="1:8" x14ac:dyDescent="0.25">
      <c r="A3957" s="17"/>
      <c r="B3957" s="17"/>
      <c r="C3957" s="15" t="s">
        <v>2953</v>
      </c>
      <c r="D3957" s="14" t="s">
        <v>1745</v>
      </c>
      <c r="E3957" s="14" t="s">
        <v>1747</v>
      </c>
      <c r="F3957" s="14">
        <v>1775</v>
      </c>
      <c r="G3957" s="14">
        <v>1554.0125</v>
      </c>
      <c r="H3957" s="37">
        <f>'Calculation Sheet'!N3957</f>
        <v>1554.0125</v>
      </c>
    </row>
    <row r="3958" spans="1:8" x14ac:dyDescent="0.25">
      <c r="A3958" s="17"/>
      <c r="B3958" s="17"/>
      <c r="C3958" s="15" t="s">
        <v>2953</v>
      </c>
      <c r="D3958" s="14" t="s">
        <v>1745</v>
      </c>
      <c r="E3958" s="14" t="s">
        <v>1746</v>
      </c>
      <c r="F3958" s="14">
        <v>1775.04</v>
      </c>
      <c r="G3958" s="14">
        <v>1554.0228</v>
      </c>
      <c r="H3958" s="37">
        <f>'Calculation Sheet'!N3958</f>
        <v>1554.0228</v>
      </c>
    </row>
    <row r="3959" spans="1:8" x14ac:dyDescent="0.25">
      <c r="A3959" s="17"/>
      <c r="B3959" s="17"/>
      <c r="C3959" s="15" t="s">
        <v>2954</v>
      </c>
      <c r="D3959" s="14" t="s">
        <v>1752</v>
      </c>
      <c r="E3959" s="14" t="s">
        <v>1753</v>
      </c>
      <c r="F3959" s="14">
        <v>6448</v>
      </c>
      <c r="G3959" s="14">
        <v>5645.2240000000002</v>
      </c>
      <c r="H3959" s="37">
        <f>'Calculation Sheet'!N3959</f>
        <v>5645.2240000000002</v>
      </c>
    </row>
    <row r="3960" spans="1:8" x14ac:dyDescent="0.25">
      <c r="A3960" s="17"/>
      <c r="B3960" s="17"/>
      <c r="C3960" s="15" t="s">
        <v>2955</v>
      </c>
      <c r="D3960" s="14" t="s">
        <v>1745</v>
      </c>
      <c r="E3960" s="14" t="s">
        <v>1746</v>
      </c>
      <c r="F3960" s="14">
        <v>2148.96</v>
      </c>
      <c r="G3960" s="14">
        <v>1881.4392</v>
      </c>
      <c r="H3960" s="37">
        <f>'Calculation Sheet'!N3960</f>
        <v>1881.4392</v>
      </c>
    </row>
    <row r="3961" spans="1:8" x14ac:dyDescent="0.25">
      <c r="A3961" s="17"/>
      <c r="B3961" s="17"/>
      <c r="C3961" s="15" t="s">
        <v>2952</v>
      </c>
      <c r="D3961" s="14"/>
      <c r="E3961" s="14" t="s">
        <v>2841</v>
      </c>
      <c r="F3961" s="14">
        <v>5420</v>
      </c>
      <c r="G3961" s="14">
        <v>4745.21</v>
      </c>
      <c r="H3961" s="37">
        <f>'Calculation Sheet'!N3961</f>
        <v>4745.21</v>
      </c>
    </row>
    <row r="3962" spans="1:8" x14ac:dyDescent="0.25">
      <c r="A3962" s="17"/>
      <c r="B3962" s="17"/>
      <c r="C3962" s="15" t="s">
        <v>2951</v>
      </c>
      <c r="D3962" s="14"/>
      <c r="E3962" s="14" t="s">
        <v>2841</v>
      </c>
      <c r="F3962" s="14">
        <v>1051</v>
      </c>
      <c r="G3962" s="14">
        <v>920.15049999999997</v>
      </c>
      <c r="H3962" s="37">
        <f>'Calculation Sheet'!N3962</f>
        <v>920.15049999999997</v>
      </c>
    </row>
    <row r="3963" spans="1:8" x14ac:dyDescent="0.25">
      <c r="A3963" s="17"/>
      <c r="B3963" s="17"/>
      <c r="C3963" s="15" t="s">
        <v>2956</v>
      </c>
      <c r="D3963" s="14" t="s">
        <v>1752</v>
      </c>
      <c r="E3963" s="14" t="s">
        <v>1753</v>
      </c>
      <c r="F3963" s="14">
        <v>5233</v>
      </c>
      <c r="G3963" s="14">
        <v>4581.4915000000001</v>
      </c>
      <c r="H3963" s="37">
        <f>'Calculation Sheet'!N3963</f>
        <v>4581.4915000000001</v>
      </c>
    </row>
    <row r="3964" spans="1:8" x14ac:dyDescent="0.25">
      <c r="A3964" s="17"/>
      <c r="B3964" s="17"/>
      <c r="C3964" s="15" t="s">
        <v>2956</v>
      </c>
      <c r="D3964" s="14" t="s">
        <v>1752</v>
      </c>
      <c r="E3964" s="14" t="s">
        <v>1747</v>
      </c>
      <c r="F3964" s="14">
        <v>5232.99</v>
      </c>
      <c r="G3964" s="14">
        <v>4581.4812000000002</v>
      </c>
      <c r="H3964" s="37">
        <f>'Calculation Sheet'!N3964</f>
        <v>4581.4812000000002</v>
      </c>
    </row>
    <row r="3965" spans="1:8" x14ac:dyDescent="0.25">
      <c r="A3965" s="17"/>
      <c r="B3965" s="17"/>
      <c r="C3965" s="15" t="s">
        <v>2951</v>
      </c>
      <c r="D3965" s="14"/>
      <c r="E3965" s="14" t="s">
        <v>2841</v>
      </c>
      <c r="F3965" s="14">
        <v>1682</v>
      </c>
      <c r="G3965" s="14">
        <v>1472.5910000000001</v>
      </c>
      <c r="H3965" s="37">
        <f>'Calculation Sheet'!N3965</f>
        <v>1472.5910000000001</v>
      </c>
    </row>
    <row r="3966" spans="1:8" x14ac:dyDescent="0.25">
      <c r="A3966" s="17"/>
      <c r="B3966" s="17"/>
      <c r="C3966" s="15" t="s">
        <v>2955</v>
      </c>
      <c r="D3966" s="14" t="s">
        <v>1745</v>
      </c>
      <c r="E3966" s="14" t="s">
        <v>1747</v>
      </c>
      <c r="F3966" s="14">
        <v>2149</v>
      </c>
      <c r="G3966" s="14">
        <v>1881.4495000000002</v>
      </c>
      <c r="H3966" s="37">
        <f>'Calculation Sheet'!N3966</f>
        <v>1881.4495000000002</v>
      </c>
    </row>
    <row r="3967" spans="1:8" x14ac:dyDescent="0.25">
      <c r="A3967" s="17"/>
      <c r="B3967" s="17"/>
      <c r="C3967" s="15" t="s">
        <v>2952</v>
      </c>
      <c r="D3967" s="14"/>
      <c r="E3967" s="14" t="s">
        <v>2841</v>
      </c>
      <c r="F3967" s="14">
        <v>1355</v>
      </c>
      <c r="G3967" s="14">
        <v>1186.3025</v>
      </c>
      <c r="H3967" s="37">
        <f>'Calculation Sheet'!N3967</f>
        <v>1186.3025</v>
      </c>
    </row>
    <row r="3968" spans="1:8" x14ac:dyDescent="0.25">
      <c r="A3968" s="17"/>
      <c r="B3968" s="17"/>
      <c r="C3968" s="15" t="s">
        <v>2954</v>
      </c>
      <c r="D3968" s="14" t="s">
        <v>1752</v>
      </c>
      <c r="E3968" s="14" t="s">
        <v>1747</v>
      </c>
      <c r="F3968" s="14">
        <v>6447.99</v>
      </c>
      <c r="G3968" s="14">
        <v>5645.2137000000002</v>
      </c>
      <c r="H3968" s="37">
        <f>'Calculation Sheet'!N3968</f>
        <v>5645.2137000000002</v>
      </c>
    </row>
    <row r="3969" spans="1:8" x14ac:dyDescent="0.25">
      <c r="A3969" s="17"/>
      <c r="B3969" s="17"/>
      <c r="C3969" s="15" t="s">
        <v>2957</v>
      </c>
      <c r="D3969" s="14"/>
      <c r="E3969" s="14" t="s">
        <v>2841</v>
      </c>
      <c r="F3969" s="14">
        <v>207570</v>
      </c>
      <c r="G3969" s="14">
        <v>181727.535</v>
      </c>
      <c r="H3969" s="37">
        <f>'Calculation Sheet'!N3969</f>
        <v>181727.535</v>
      </c>
    </row>
    <row r="3970" spans="1:8" x14ac:dyDescent="0.25">
      <c r="A3970" s="17"/>
      <c r="B3970" s="17"/>
      <c r="C3970" s="15" t="s">
        <v>2957</v>
      </c>
      <c r="D3970" s="14"/>
      <c r="E3970" s="14" t="s">
        <v>2841</v>
      </c>
      <c r="F3970" s="14">
        <v>51892</v>
      </c>
      <c r="G3970" s="14">
        <v>45431.445999999996</v>
      </c>
      <c r="H3970" s="37">
        <f>'Calculation Sheet'!N3970</f>
        <v>45431.445999999996</v>
      </c>
    </row>
    <row r="3971" spans="1:8" x14ac:dyDescent="0.25">
      <c r="A3971" s="17"/>
      <c r="B3971" s="17"/>
      <c r="C3971" s="15" t="s">
        <v>2957</v>
      </c>
      <c r="D3971" s="14"/>
      <c r="E3971" s="14" t="s">
        <v>2841</v>
      </c>
      <c r="F3971" s="14">
        <v>51892</v>
      </c>
      <c r="G3971" s="14">
        <v>45431.445999999996</v>
      </c>
      <c r="H3971" s="37">
        <f>'Calculation Sheet'!N3971</f>
        <v>45431.445999999996</v>
      </c>
    </row>
    <row r="3972" spans="1:8" x14ac:dyDescent="0.25">
      <c r="A3972" s="17"/>
      <c r="B3972" s="17"/>
      <c r="C3972" s="15" t="s">
        <v>2958</v>
      </c>
      <c r="D3972" s="14"/>
      <c r="E3972" s="14" t="s">
        <v>2841</v>
      </c>
      <c r="F3972" s="14">
        <v>2956</v>
      </c>
      <c r="G3972" s="14">
        <v>2587.9780000000001</v>
      </c>
      <c r="H3972" s="37">
        <f>'Calculation Sheet'!N3972</f>
        <v>2587.9780000000001</v>
      </c>
    </row>
    <row r="3973" spans="1:8" x14ac:dyDescent="0.25">
      <c r="A3973" s="17"/>
      <c r="B3973" s="17"/>
      <c r="C3973" s="15" t="s">
        <v>2958</v>
      </c>
      <c r="D3973" s="14"/>
      <c r="E3973" s="14" t="s">
        <v>2841</v>
      </c>
      <c r="F3973" s="14">
        <v>14783</v>
      </c>
      <c r="G3973" s="14">
        <v>12942.5165</v>
      </c>
      <c r="H3973" s="37">
        <f>'Calculation Sheet'!N3973</f>
        <v>12942.5165</v>
      </c>
    </row>
    <row r="3974" spans="1:8" x14ac:dyDescent="0.25">
      <c r="A3974" s="17"/>
      <c r="B3974" s="17"/>
      <c r="C3974" s="15" t="s">
        <v>2959</v>
      </c>
      <c r="D3974" s="14"/>
      <c r="E3974" s="14" t="s">
        <v>2841</v>
      </c>
      <c r="F3974" s="14">
        <v>14783</v>
      </c>
      <c r="G3974" s="14">
        <v>12942.5165</v>
      </c>
      <c r="H3974" s="37">
        <f>'Calculation Sheet'!N3974</f>
        <v>12942.5165</v>
      </c>
    </row>
    <row r="3975" spans="1:8" x14ac:dyDescent="0.25">
      <c r="A3975" s="17"/>
      <c r="B3975" s="17"/>
      <c r="C3975" s="15" t="s">
        <v>2960</v>
      </c>
      <c r="D3975" s="14" t="s">
        <v>1752</v>
      </c>
      <c r="E3975" s="14" t="s">
        <v>1747</v>
      </c>
      <c r="F3975" s="14">
        <v>17127.990000000002</v>
      </c>
      <c r="G3975" s="14">
        <v>14995.5537</v>
      </c>
      <c r="H3975" s="37">
        <f>'Calculation Sheet'!N3975</f>
        <v>14995.5537</v>
      </c>
    </row>
    <row r="3976" spans="1:8" x14ac:dyDescent="0.25">
      <c r="A3976" s="17"/>
      <c r="B3976" s="17"/>
      <c r="C3976" s="15" t="s">
        <v>2958</v>
      </c>
      <c r="D3976" s="14"/>
      <c r="E3976" s="14" t="s">
        <v>2841</v>
      </c>
      <c r="F3976" s="14">
        <v>2956</v>
      </c>
      <c r="G3976" s="14">
        <v>2587.9780000000001</v>
      </c>
      <c r="H3976" s="37">
        <f>'Calculation Sheet'!N3976</f>
        <v>2587.9780000000001</v>
      </c>
    </row>
    <row r="3977" spans="1:8" x14ac:dyDescent="0.25">
      <c r="A3977" s="17"/>
      <c r="B3977" s="17"/>
      <c r="C3977" s="15" t="s">
        <v>2959</v>
      </c>
      <c r="D3977" s="14"/>
      <c r="E3977" s="14" t="s">
        <v>2841</v>
      </c>
      <c r="F3977" s="14">
        <v>2956</v>
      </c>
      <c r="G3977" s="14">
        <v>2587.9780000000001</v>
      </c>
      <c r="H3977" s="37">
        <f>'Calculation Sheet'!N3977</f>
        <v>2587.9780000000001</v>
      </c>
    </row>
    <row r="3978" spans="1:8" x14ac:dyDescent="0.25">
      <c r="A3978" s="17"/>
      <c r="B3978" s="17"/>
      <c r="C3978" s="15" t="s">
        <v>2959</v>
      </c>
      <c r="D3978" s="14"/>
      <c r="E3978" s="14" t="s">
        <v>2841</v>
      </c>
      <c r="F3978" s="14">
        <v>2956</v>
      </c>
      <c r="G3978" s="14">
        <v>2587.9780000000001</v>
      </c>
      <c r="H3978" s="37">
        <f>'Calculation Sheet'!N3978</f>
        <v>2587.9780000000001</v>
      </c>
    </row>
    <row r="3979" spans="1:8" x14ac:dyDescent="0.25">
      <c r="A3979" s="17"/>
      <c r="B3979" s="17"/>
      <c r="C3979" s="15" t="s">
        <v>2961</v>
      </c>
      <c r="D3979" s="14" t="s">
        <v>1745</v>
      </c>
      <c r="E3979" s="14" t="s">
        <v>1747</v>
      </c>
      <c r="F3979" s="14">
        <v>7700</v>
      </c>
      <c r="G3979" s="14">
        <v>6741.35</v>
      </c>
      <c r="H3979" s="37">
        <f>'Calculation Sheet'!N3979</f>
        <v>6741.35</v>
      </c>
    </row>
    <row r="3980" spans="1:8" x14ac:dyDescent="0.25">
      <c r="A3980" s="17"/>
      <c r="B3980" s="17"/>
      <c r="C3980" s="15" t="s">
        <v>2961</v>
      </c>
      <c r="D3980" s="14" t="s">
        <v>1745</v>
      </c>
      <c r="E3980" s="14" t="s">
        <v>1746</v>
      </c>
      <c r="F3980" s="14">
        <v>7700.04</v>
      </c>
      <c r="G3980" s="14">
        <v>6741.3912</v>
      </c>
      <c r="H3980" s="37">
        <f>'Calculation Sheet'!N3980</f>
        <v>6741.3912</v>
      </c>
    </row>
    <row r="3981" spans="1:8" x14ac:dyDescent="0.25">
      <c r="A3981" s="17"/>
      <c r="B3981" s="17"/>
      <c r="C3981" s="15" t="s">
        <v>2960</v>
      </c>
      <c r="D3981" s="14" t="s">
        <v>1752</v>
      </c>
      <c r="E3981" s="14" t="s">
        <v>1753</v>
      </c>
      <c r="F3981" s="14">
        <v>17128</v>
      </c>
      <c r="G3981" s="14">
        <v>14995.563999999998</v>
      </c>
      <c r="H3981" s="37">
        <f>'Calculation Sheet'!N3981</f>
        <v>14995.563999999998</v>
      </c>
    </row>
    <row r="3982" spans="1:8" x14ac:dyDescent="0.25">
      <c r="A3982" s="17"/>
      <c r="B3982" s="17"/>
      <c r="C3982" s="15" t="s">
        <v>2962</v>
      </c>
      <c r="D3982" s="14" t="s">
        <v>1745</v>
      </c>
      <c r="E3982" s="14" t="s">
        <v>1747</v>
      </c>
      <c r="F3982" s="14">
        <v>1028</v>
      </c>
      <c r="G3982" s="14">
        <v>900.0139999999999</v>
      </c>
      <c r="H3982" s="37">
        <f>'Calculation Sheet'!N3982</f>
        <v>900.0139999999999</v>
      </c>
    </row>
    <row r="3983" spans="1:8" x14ac:dyDescent="0.25">
      <c r="A3983" s="17"/>
      <c r="B3983" s="17"/>
      <c r="C3983" s="15" t="s">
        <v>2963</v>
      </c>
      <c r="D3983" s="14"/>
      <c r="E3983" s="14" t="s">
        <v>2841</v>
      </c>
      <c r="F3983" s="14">
        <v>1345</v>
      </c>
      <c r="G3983" s="14">
        <v>1177.5474999999999</v>
      </c>
      <c r="H3983" s="37">
        <f>'Calculation Sheet'!N3983</f>
        <v>1177.5474999999999</v>
      </c>
    </row>
    <row r="3984" spans="1:8" x14ac:dyDescent="0.25">
      <c r="A3984" s="17"/>
      <c r="B3984" s="17"/>
      <c r="C3984" s="15" t="s">
        <v>2962</v>
      </c>
      <c r="D3984" s="14" t="s">
        <v>1745</v>
      </c>
      <c r="E3984" s="14" t="s">
        <v>1746</v>
      </c>
      <c r="F3984" s="14">
        <v>1028.04</v>
      </c>
      <c r="G3984" s="14">
        <v>900.05520000000001</v>
      </c>
      <c r="H3984" s="37">
        <f>'Calculation Sheet'!N3984</f>
        <v>900.05520000000001</v>
      </c>
    </row>
    <row r="3985" spans="1:8" x14ac:dyDescent="0.25">
      <c r="A3985" s="17"/>
      <c r="B3985" s="17"/>
      <c r="C3985" s="15" t="s">
        <v>2964</v>
      </c>
      <c r="D3985" s="14" t="s">
        <v>1745</v>
      </c>
      <c r="E3985" s="14" t="s">
        <v>1747</v>
      </c>
      <c r="F3985" s="14">
        <v>1214</v>
      </c>
      <c r="G3985" s="14">
        <v>1062.8570000000002</v>
      </c>
      <c r="H3985" s="37">
        <f>'Calculation Sheet'!N3985</f>
        <v>1062.8570000000002</v>
      </c>
    </row>
    <row r="3986" spans="1:8" x14ac:dyDescent="0.25">
      <c r="A3986" s="17"/>
      <c r="B3986" s="17"/>
      <c r="C3986" s="15" t="s">
        <v>2965</v>
      </c>
      <c r="D3986" s="14"/>
      <c r="E3986" s="14" t="s">
        <v>2841</v>
      </c>
      <c r="F3986" s="14">
        <v>1719</v>
      </c>
      <c r="G3986" s="14">
        <v>1504.9845</v>
      </c>
      <c r="H3986" s="37">
        <f>'Calculation Sheet'!N3986</f>
        <v>1504.9845</v>
      </c>
    </row>
    <row r="3987" spans="1:8" x14ac:dyDescent="0.25">
      <c r="A3987" s="17"/>
      <c r="B3987" s="17"/>
      <c r="C3987" s="15" t="s">
        <v>2965</v>
      </c>
      <c r="D3987" s="14"/>
      <c r="E3987" s="14" t="s">
        <v>2841</v>
      </c>
      <c r="F3987" s="14">
        <v>1074</v>
      </c>
      <c r="G3987" s="14">
        <v>940.28699999999992</v>
      </c>
      <c r="H3987" s="37">
        <f>'Calculation Sheet'!N3987</f>
        <v>940.28699999999992</v>
      </c>
    </row>
    <row r="3988" spans="1:8" x14ac:dyDescent="0.25">
      <c r="A3988" s="17"/>
      <c r="B3988" s="17"/>
      <c r="C3988" s="15" t="s">
        <v>2965</v>
      </c>
      <c r="D3988" s="14"/>
      <c r="E3988" s="14" t="s">
        <v>2841</v>
      </c>
      <c r="F3988" s="14">
        <v>4299</v>
      </c>
      <c r="G3988" s="14">
        <v>3763.7745</v>
      </c>
      <c r="H3988" s="37">
        <f>'Calculation Sheet'!N3988</f>
        <v>3763.7745</v>
      </c>
    </row>
    <row r="3989" spans="1:8" x14ac:dyDescent="0.25">
      <c r="A3989" s="17"/>
      <c r="B3989" s="17"/>
      <c r="C3989" s="15" t="s">
        <v>2966</v>
      </c>
      <c r="D3989" s="14" t="s">
        <v>1752</v>
      </c>
      <c r="E3989" s="14" t="s">
        <v>1753</v>
      </c>
      <c r="F3989" s="14">
        <v>3084</v>
      </c>
      <c r="G3989" s="14">
        <v>2700.0419999999999</v>
      </c>
      <c r="H3989" s="37">
        <f>'Calculation Sheet'!N3989</f>
        <v>2700.0419999999999</v>
      </c>
    </row>
    <row r="3990" spans="1:8" x14ac:dyDescent="0.25">
      <c r="A3990" s="17"/>
      <c r="B3990" s="17"/>
      <c r="C3990" s="15" t="s">
        <v>2967</v>
      </c>
      <c r="D3990" s="14" t="s">
        <v>1752</v>
      </c>
      <c r="E3990" s="14" t="s">
        <v>1747</v>
      </c>
      <c r="F3990" s="14">
        <v>3653.01</v>
      </c>
      <c r="G3990" s="14">
        <v>3198.2118</v>
      </c>
      <c r="H3990" s="37">
        <f>'Calculation Sheet'!N3990</f>
        <v>3198.2118</v>
      </c>
    </row>
    <row r="3991" spans="1:8" x14ac:dyDescent="0.25">
      <c r="A3991" s="17"/>
      <c r="B3991" s="17"/>
      <c r="C3991" s="15" t="s">
        <v>2964</v>
      </c>
      <c r="D3991" s="14" t="s">
        <v>1745</v>
      </c>
      <c r="E3991" s="14" t="s">
        <v>1746</v>
      </c>
      <c r="F3991" s="14">
        <v>1214.04</v>
      </c>
      <c r="G3991" s="14">
        <v>1062.8364000000001</v>
      </c>
      <c r="H3991" s="37">
        <f>'Calculation Sheet'!N3991</f>
        <v>1062.8364000000001</v>
      </c>
    </row>
    <row r="3992" spans="1:8" x14ac:dyDescent="0.25">
      <c r="A3992" s="17"/>
      <c r="B3992" s="17"/>
      <c r="C3992" s="15" t="s">
        <v>2963</v>
      </c>
      <c r="D3992" s="14"/>
      <c r="E3992" s="14" t="s">
        <v>2841</v>
      </c>
      <c r="F3992" s="14">
        <v>3364</v>
      </c>
      <c r="G3992" s="14">
        <v>2945.1820000000002</v>
      </c>
      <c r="H3992" s="37">
        <f>'Calculation Sheet'!N3992</f>
        <v>2945.1820000000002</v>
      </c>
    </row>
    <row r="3993" spans="1:8" x14ac:dyDescent="0.25">
      <c r="A3993" s="17"/>
      <c r="B3993" s="17"/>
      <c r="C3993" s="15" t="s">
        <v>2966</v>
      </c>
      <c r="D3993" s="14" t="s">
        <v>1752</v>
      </c>
      <c r="E3993" s="14" t="s">
        <v>1747</v>
      </c>
      <c r="F3993" s="14">
        <v>3084</v>
      </c>
      <c r="G3993" s="14">
        <v>2700.0419999999999</v>
      </c>
      <c r="H3993" s="37">
        <f>'Calculation Sheet'!N3993</f>
        <v>2700.0419999999999</v>
      </c>
    </row>
    <row r="3994" spans="1:8" x14ac:dyDescent="0.25">
      <c r="A3994" s="17"/>
      <c r="B3994" s="17"/>
      <c r="C3994" s="15" t="s">
        <v>2963</v>
      </c>
      <c r="D3994" s="14"/>
      <c r="E3994" s="14" t="s">
        <v>2841</v>
      </c>
      <c r="F3994" s="14">
        <v>841</v>
      </c>
      <c r="G3994" s="14">
        <v>736.29550000000006</v>
      </c>
      <c r="H3994" s="37">
        <f>'Calculation Sheet'!N3994</f>
        <v>736.29550000000006</v>
      </c>
    </row>
    <row r="3995" spans="1:8" x14ac:dyDescent="0.25">
      <c r="A3995" s="17"/>
      <c r="B3995" s="17"/>
      <c r="C3995" s="15" t="s">
        <v>2967</v>
      </c>
      <c r="D3995" s="14" t="s">
        <v>1752</v>
      </c>
      <c r="E3995" s="14" t="s">
        <v>1753</v>
      </c>
      <c r="F3995" s="14">
        <v>3653</v>
      </c>
      <c r="G3995" s="14">
        <v>3198.2015000000001</v>
      </c>
      <c r="H3995" s="37">
        <f>'Calculation Sheet'!N3995</f>
        <v>3198.2015000000001</v>
      </c>
    </row>
    <row r="3996" spans="1:8" x14ac:dyDescent="0.25">
      <c r="A3996" s="17"/>
      <c r="B3996" s="17"/>
      <c r="C3996" s="15" t="s">
        <v>2968</v>
      </c>
      <c r="D3996" s="14" t="s">
        <v>1745</v>
      </c>
      <c r="E3996" s="14" t="s">
        <v>1747</v>
      </c>
      <c r="F3996" s="14">
        <v>40651</v>
      </c>
      <c r="G3996" s="14">
        <v>35589.950499999999</v>
      </c>
      <c r="H3996" s="37">
        <f>'Calculation Sheet'!N3996</f>
        <v>35589.950499999999</v>
      </c>
    </row>
    <row r="3997" spans="1:8" x14ac:dyDescent="0.25">
      <c r="A3997" s="17"/>
      <c r="B3997" s="17"/>
      <c r="C3997" s="15" t="s">
        <v>2969</v>
      </c>
      <c r="D3997" s="14" t="s">
        <v>1752</v>
      </c>
      <c r="E3997" s="14" t="s">
        <v>1753</v>
      </c>
      <c r="F3997" s="14">
        <v>84961</v>
      </c>
      <c r="G3997" s="14">
        <v>74383.355500000005</v>
      </c>
      <c r="H3997" s="37">
        <f>'Calculation Sheet'!N3997</f>
        <v>74383.355500000005</v>
      </c>
    </row>
    <row r="3998" spans="1:8" x14ac:dyDescent="0.25">
      <c r="A3998" s="17"/>
      <c r="B3998" s="17"/>
      <c r="C3998" s="15" t="s">
        <v>2970</v>
      </c>
      <c r="D3998" s="14" t="s">
        <v>1745</v>
      </c>
      <c r="E3998" s="14" t="s">
        <v>1746</v>
      </c>
      <c r="F3998" s="14">
        <v>162606</v>
      </c>
      <c r="G3998" s="14">
        <v>142361.45000000001</v>
      </c>
      <c r="H3998" s="37">
        <f>'Calculation Sheet'!N3998</f>
        <v>142361.45000000001</v>
      </c>
    </row>
    <row r="3999" spans="1:8" x14ac:dyDescent="0.25">
      <c r="A3999" s="17"/>
      <c r="B3999" s="17"/>
      <c r="C3999" s="15" t="s">
        <v>2971</v>
      </c>
      <c r="D3999" s="14" t="s">
        <v>1752</v>
      </c>
      <c r="E3999" s="14" t="s">
        <v>1747</v>
      </c>
      <c r="F3999" s="14">
        <v>339847</v>
      </c>
      <c r="G3999" s="14">
        <v>297535.99700000003</v>
      </c>
      <c r="H3999" s="37">
        <f>'Calculation Sheet'!N3999</f>
        <v>297535.99700000003</v>
      </c>
    </row>
    <row r="4000" spans="1:8" x14ac:dyDescent="0.25">
      <c r="A4000" s="17"/>
      <c r="B4000" s="17"/>
      <c r="C4000" s="15" t="s">
        <v>2971</v>
      </c>
      <c r="D4000" s="14" t="s">
        <v>1752</v>
      </c>
      <c r="E4000" s="14" t="s">
        <v>1753</v>
      </c>
      <c r="F4000" s="14">
        <v>339847</v>
      </c>
      <c r="G4000" s="14">
        <v>297536.09999999998</v>
      </c>
      <c r="H4000" s="37">
        <f>'Calculation Sheet'!N4000</f>
        <v>297536.09999999998</v>
      </c>
    </row>
    <row r="4001" spans="1:8" x14ac:dyDescent="0.25">
      <c r="A4001" s="17"/>
      <c r="B4001" s="17"/>
      <c r="C4001" s="15" t="s">
        <v>2972</v>
      </c>
      <c r="D4001" s="14"/>
      <c r="E4001" s="14" t="s">
        <v>2841</v>
      </c>
      <c r="F4001" s="14">
        <v>230076</v>
      </c>
      <c r="G4001" s="14">
        <v>201431.538</v>
      </c>
      <c r="H4001" s="37">
        <f>'Calculation Sheet'!N4001</f>
        <v>201431.538</v>
      </c>
    </row>
    <row r="4002" spans="1:8" x14ac:dyDescent="0.25">
      <c r="A4002" s="17"/>
      <c r="B4002" s="17"/>
      <c r="C4002" s="15" t="s">
        <v>2973</v>
      </c>
      <c r="D4002" s="14"/>
      <c r="E4002" s="14" t="s">
        <v>2841</v>
      </c>
      <c r="F4002" s="14">
        <v>28759</v>
      </c>
      <c r="G4002" s="14">
        <v>25178.504500000003</v>
      </c>
      <c r="H4002" s="37">
        <f>'Calculation Sheet'!N4002</f>
        <v>25178.504500000003</v>
      </c>
    </row>
    <row r="4003" spans="1:8" x14ac:dyDescent="0.25">
      <c r="A4003" s="17"/>
      <c r="B4003" s="17"/>
      <c r="C4003" s="15" t="s">
        <v>2970</v>
      </c>
      <c r="D4003" s="14" t="s">
        <v>1745</v>
      </c>
      <c r="E4003" s="14" t="s">
        <v>1747</v>
      </c>
      <c r="F4003" s="14">
        <v>162606</v>
      </c>
      <c r="G4003" s="14">
        <v>142361.55300000001</v>
      </c>
      <c r="H4003" s="37">
        <f>'Calculation Sheet'!N4003</f>
        <v>142361.55300000001</v>
      </c>
    </row>
    <row r="4004" spans="1:8" x14ac:dyDescent="0.25">
      <c r="A4004" s="17"/>
      <c r="B4004" s="17"/>
      <c r="C4004" s="15" t="s">
        <v>2969</v>
      </c>
      <c r="D4004" s="14" t="s">
        <v>1752</v>
      </c>
      <c r="E4004" s="14" t="s">
        <v>1747</v>
      </c>
      <c r="F4004" s="14">
        <v>84960.99</v>
      </c>
      <c r="G4004" s="14">
        <v>74383.345199999996</v>
      </c>
      <c r="H4004" s="37">
        <f>'Calculation Sheet'!N4004</f>
        <v>74383.345199999996</v>
      </c>
    </row>
    <row r="4005" spans="1:8" x14ac:dyDescent="0.25">
      <c r="A4005" s="17"/>
      <c r="B4005" s="17"/>
      <c r="C4005" s="15" t="s">
        <v>2973</v>
      </c>
      <c r="D4005" s="14"/>
      <c r="E4005" s="14" t="s">
        <v>2841</v>
      </c>
      <c r="F4005" s="14">
        <v>17974</v>
      </c>
      <c r="G4005" s="14">
        <v>15736.236999999999</v>
      </c>
      <c r="H4005" s="37">
        <f>'Calculation Sheet'!N4005</f>
        <v>15736.236999999999</v>
      </c>
    </row>
    <row r="4006" spans="1:8" x14ac:dyDescent="0.25">
      <c r="A4006" s="17"/>
      <c r="B4006" s="17"/>
      <c r="C4006" s="15" t="s">
        <v>2968</v>
      </c>
      <c r="D4006" s="14" t="s">
        <v>1745</v>
      </c>
      <c r="E4006" s="14" t="s">
        <v>1746</v>
      </c>
      <c r="F4006" s="14">
        <v>40650.959999999999</v>
      </c>
      <c r="G4006" s="14">
        <v>35590.002</v>
      </c>
      <c r="H4006" s="37">
        <f>'Calculation Sheet'!N4006</f>
        <v>35590.002</v>
      </c>
    </row>
    <row r="4007" spans="1:8" x14ac:dyDescent="0.25">
      <c r="A4007" s="17"/>
      <c r="B4007" s="17"/>
      <c r="C4007" s="15" t="s">
        <v>2973</v>
      </c>
      <c r="D4007" s="14"/>
      <c r="E4007" s="14" t="s">
        <v>2841</v>
      </c>
      <c r="F4007" s="14">
        <v>71898</v>
      </c>
      <c r="G4007" s="14">
        <v>62946.699000000001</v>
      </c>
      <c r="H4007" s="37">
        <f>'Calculation Sheet'!N4007</f>
        <v>62946.699000000001</v>
      </c>
    </row>
    <row r="4008" spans="1:8" x14ac:dyDescent="0.25">
      <c r="A4008" s="17"/>
      <c r="B4008" s="17"/>
      <c r="C4008" s="15" t="s">
        <v>2972</v>
      </c>
      <c r="D4008" s="14"/>
      <c r="E4008" s="14" t="s">
        <v>2841</v>
      </c>
      <c r="F4008" s="14">
        <v>143797</v>
      </c>
      <c r="G4008" s="14">
        <v>125894.325</v>
      </c>
      <c r="H4008" s="37">
        <f>'Calculation Sheet'!N4008</f>
        <v>125894.325</v>
      </c>
    </row>
    <row r="4009" spans="1:8" x14ac:dyDescent="0.25">
      <c r="A4009" s="17"/>
      <c r="B4009" s="17"/>
      <c r="C4009" s="15" t="s">
        <v>2972</v>
      </c>
      <c r="D4009" s="14"/>
      <c r="E4009" s="14" t="s">
        <v>2841</v>
      </c>
      <c r="F4009" s="14">
        <v>575191</v>
      </c>
      <c r="G4009" s="14">
        <v>503579.772</v>
      </c>
      <c r="H4009" s="37">
        <f>'Calculation Sheet'!N4009</f>
        <v>503579.772</v>
      </c>
    </row>
    <row r="4010" spans="1:8" x14ac:dyDescent="0.25">
      <c r="A4010" s="17"/>
      <c r="B4010" s="17"/>
      <c r="C4010" s="15" t="s">
        <v>2974</v>
      </c>
      <c r="D4010" s="14"/>
      <c r="E4010" s="14" t="s">
        <v>2841</v>
      </c>
      <c r="F4010" s="14">
        <v>425849</v>
      </c>
      <c r="G4010" s="14">
        <v>372830.85100000002</v>
      </c>
      <c r="H4010" s="37">
        <f>'Calculation Sheet'!N4010</f>
        <v>372830.85100000002</v>
      </c>
    </row>
    <row r="4011" spans="1:8" x14ac:dyDescent="0.25">
      <c r="A4011" s="17"/>
      <c r="B4011" s="17"/>
      <c r="C4011" s="15" t="s">
        <v>2974</v>
      </c>
      <c r="D4011" s="14"/>
      <c r="E4011" s="14" t="s">
        <v>2841</v>
      </c>
      <c r="F4011" s="14">
        <v>1703398</v>
      </c>
      <c r="G4011" s="14">
        <v>1491324.64</v>
      </c>
      <c r="H4011" s="37">
        <f>'Calculation Sheet'!N4011</f>
        <v>1491324.64</v>
      </c>
    </row>
    <row r="4012" spans="1:8" x14ac:dyDescent="0.25">
      <c r="A4012" s="17"/>
      <c r="B4012" s="17"/>
      <c r="C4012" s="15" t="s">
        <v>2974</v>
      </c>
      <c r="D4012" s="14"/>
      <c r="E4012" s="14" t="s">
        <v>2841</v>
      </c>
      <c r="F4012" s="14">
        <v>425849</v>
      </c>
      <c r="G4012" s="14">
        <v>372830.85100000002</v>
      </c>
      <c r="H4012" s="37">
        <f>'Calculation Sheet'!N4012</f>
        <v>372830.85100000002</v>
      </c>
    </row>
    <row r="4013" spans="1:8" x14ac:dyDescent="0.25">
      <c r="A4013" s="17"/>
      <c r="B4013" s="17"/>
      <c r="C4013" s="15" t="s">
        <v>2975</v>
      </c>
      <c r="D4013" s="14"/>
      <c r="E4013" s="14" t="s">
        <v>2841</v>
      </c>
      <c r="F4013" s="14">
        <v>3130</v>
      </c>
      <c r="G4013" s="14">
        <v>2740.3150000000001</v>
      </c>
      <c r="H4013" s="37">
        <f>'Calculation Sheet'!N4013</f>
        <v>2740.3150000000001</v>
      </c>
    </row>
    <row r="4014" spans="1:8" x14ac:dyDescent="0.25">
      <c r="A4014" s="17"/>
      <c r="B4014" s="17"/>
      <c r="C4014" s="15" t="s">
        <v>2976</v>
      </c>
      <c r="D4014" s="14" t="s">
        <v>1752</v>
      </c>
      <c r="E4014" s="14" t="s">
        <v>1747</v>
      </c>
      <c r="F4014" s="14">
        <v>59813.01</v>
      </c>
      <c r="G4014" s="14">
        <v>52366.291799999999</v>
      </c>
      <c r="H4014" s="37">
        <f>'Calculation Sheet'!N4014</f>
        <v>52366.291799999999</v>
      </c>
    </row>
    <row r="4015" spans="1:8" x14ac:dyDescent="0.25">
      <c r="A4015" s="17"/>
      <c r="B4015" s="17"/>
      <c r="C4015" s="15" t="s">
        <v>2977</v>
      </c>
      <c r="D4015" s="14"/>
      <c r="E4015" s="14" t="s">
        <v>2841</v>
      </c>
      <c r="F4015" s="14">
        <v>99915</v>
      </c>
      <c r="G4015" s="14">
        <v>87475.582500000004</v>
      </c>
      <c r="H4015" s="37">
        <f>'Calculation Sheet'!N4015</f>
        <v>87475.582500000004</v>
      </c>
    </row>
    <row r="4016" spans="1:8" x14ac:dyDescent="0.25">
      <c r="A4016" s="17"/>
      <c r="B4016" s="17"/>
      <c r="C4016" s="15" t="s">
        <v>2978</v>
      </c>
      <c r="D4016" s="14" t="s">
        <v>1745</v>
      </c>
      <c r="E4016" s="14" t="s">
        <v>1746</v>
      </c>
      <c r="F4016" s="14">
        <v>23364</v>
      </c>
      <c r="G4016" s="14">
        <v>20455.182000000001</v>
      </c>
      <c r="H4016" s="37">
        <f>'Calculation Sheet'!N4016</f>
        <v>20455.182000000001</v>
      </c>
    </row>
    <row r="4017" spans="1:8" x14ac:dyDescent="0.25">
      <c r="A4017" s="17"/>
      <c r="B4017" s="17"/>
      <c r="C4017" s="15" t="s">
        <v>2979</v>
      </c>
      <c r="D4017" s="14" t="s">
        <v>1745</v>
      </c>
      <c r="E4017" s="14" t="s">
        <v>1747</v>
      </c>
      <c r="F4017" s="14">
        <v>5841</v>
      </c>
      <c r="G4017" s="14">
        <v>5113.7955000000002</v>
      </c>
      <c r="H4017" s="37">
        <f>'Calculation Sheet'!N4017</f>
        <v>5113.7955000000002</v>
      </c>
    </row>
    <row r="4018" spans="1:8" x14ac:dyDescent="0.25">
      <c r="A4018" s="17"/>
      <c r="B4018" s="17"/>
      <c r="C4018" s="15" t="s">
        <v>2980</v>
      </c>
      <c r="D4018" s="14" t="s">
        <v>1752</v>
      </c>
      <c r="E4018" s="14" t="s">
        <v>1753</v>
      </c>
      <c r="F4018" s="14">
        <v>14929</v>
      </c>
      <c r="G4018" s="14">
        <v>13070.3395</v>
      </c>
      <c r="H4018" s="37">
        <f>'Calculation Sheet'!N4018</f>
        <v>13070.3395</v>
      </c>
    </row>
    <row r="4019" spans="1:8" x14ac:dyDescent="0.25">
      <c r="A4019" s="17"/>
      <c r="B4019" s="17"/>
      <c r="C4019" s="15" t="s">
        <v>2978</v>
      </c>
      <c r="D4019" s="14" t="s">
        <v>1745</v>
      </c>
      <c r="E4019" s="14" t="s">
        <v>1747</v>
      </c>
      <c r="F4019" s="14">
        <v>23364</v>
      </c>
      <c r="G4019" s="14">
        <v>20455.182000000001</v>
      </c>
      <c r="H4019" s="37">
        <f>'Calculation Sheet'!N4019</f>
        <v>20455.182000000001</v>
      </c>
    </row>
    <row r="4020" spans="1:8" x14ac:dyDescent="0.25">
      <c r="A4020" s="17"/>
      <c r="B4020" s="17"/>
      <c r="C4020" s="15" t="s">
        <v>2980</v>
      </c>
      <c r="D4020" s="14" t="s">
        <v>1752</v>
      </c>
      <c r="E4020" s="14" t="s">
        <v>1747</v>
      </c>
      <c r="F4020" s="14">
        <v>14928.99</v>
      </c>
      <c r="G4020" s="14">
        <v>13070.3292</v>
      </c>
      <c r="H4020" s="37">
        <f>'Calculation Sheet'!N4020</f>
        <v>13070.3292</v>
      </c>
    </row>
    <row r="4021" spans="1:8" x14ac:dyDescent="0.25">
      <c r="A4021" s="17"/>
      <c r="B4021" s="17"/>
      <c r="C4021" s="15" t="s">
        <v>2977</v>
      </c>
      <c r="D4021" s="14"/>
      <c r="E4021" s="14" t="s">
        <v>2841</v>
      </c>
      <c r="F4021" s="14">
        <v>24978</v>
      </c>
      <c r="G4021" s="14">
        <v>21868.238999999998</v>
      </c>
      <c r="H4021" s="37">
        <f>'Calculation Sheet'!N4021</f>
        <v>21868.238999999998</v>
      </c>
    </row>
    <row r="4022" spans="1:8" x14ac:dyDescent="0.25">
      <c r="A4022" s="17"/>
      <c r="B4022" s="17"/>
      <c r="C4022" s="15" t="s">
        <v>2975</v>
      </c>
      <c r="D4022" s="14"/>
      <c r="E4022" s="14" t="s">
        <v>2841</v>
      </c>
      <c r="F4022" s="14">
        <v>5009</v>
      </c>
      <c r="G4022" s="14">
        <v>4385.3795</v>
      </c>
      <c r="H4022" s="37">
        <f>'Calculation Sheet'!N4022</f>
        <v>4385.3795</v>
      </c>
    </row>
    <row r="4023" spans="1:8" x14ac:dyDescent="0.25">
      <c r="A4023" s="17"/>
      <c r="B4023" s="17"/>
      <c r="C4023" s="15" t="s">
        <v>2975</v>
      </c>
      <c r="D4023" s="14"/>
      <c r="E4023" s="14" t="s">
        <v>2841</v>
      </c>
      <c r="F4023" s="14">
        <v>12523</v>
      </c>
      <c r="G4023" s="14">
        <v>10963.886499999999</v>
      </c>
      <c r="H4023" s="37">
        <f>'Calculation Sheet'!N4023</f>
        <v>10963.886499999999</v>
      </c>
    </row>
    <row r="4024" spans="1:8" x14ac:dyDescent="0.25">
      <c r="A4024" s="17"/>
      <c r="B4024" s="17"/>
      <c r="C4024" s="15" t="s">
        <v>2977</v>
      </c>
      <c r="D4024" s="14"/>
      <c r="E4024" s="14" t="s">
        <v>2841</v>
      </c>
      <c r="F4024" s="14">
        <v>39966</v>
      </c>
      <c r="G4024" s="14">
        <v>34990.233</v>
      </c>
      <c r="H4024" s="37">
        <f>'Calculation Sheet'!N4024</f>
        <v>34990.233</v>
      </c>
    </row>
    <row r="4025" spans="1:8" x14ac:dyDescent="0.25">
      <c r="A4025" s="17"/>
      <c r="B4025" s="17"/>
      <c r="C4025" s="15" t="s">
        <v>2976</v>
      </c>
      <c r="D4025" s="14" t="s">
        <v>1752</v>
      </c>
      <c r="E4025" s="14" t="s">
        <v>1753</v>
      </c>
      <c r="F4025" s="14">
        <v>59813</v>
      </c>
      <c r="G4025" s="14">
        <v>52366.281500000005</v>
      </c>
      <c r="H4025" s="37">
        <f>'Calculation Sheet'!N4025</f>
        <v>52366.281500000005</v>
      </c>
    </row>
    <row r="4026" spans="1:8" x14ac:dyDescent="0.25">
      <c r="A4026" s="17"/>
      <c r="B4026" s="17"/>
      <c r="C4026" s="15" t="s">
        <v>2979</v>
      </c>
      <c r="D4026" s="14" t="s">
        <v>1745</v>
      </c>
      <c r="E4026" s="14" t="s">
        <v>1746</v>
      </c>
      <c r="F4026" s="14">
        <v>5841</v>
      </c>
      <c r="G4026" s="14">
        <v>5113.8263999999999</v>
      </c>
      <c r="H4026" s="37">
        <f>'Calculation Sheet'!N4026</f>
        <v>5113.8263999999999</v>
      </c>
    </row>
    <row r="4027" spans="1:8" x14ac:dyDescent="0.25">
      <c r="A4027" s="17"/>
      <c r="B4027" s="17"/>
      <c r="C4027" s="15" t="s">
        <v>2981</v>
      </c>
      <c r="D4027" s="14"/>
      <c r="E4027" s="14" t="s">
        <v>2841</v>
      </c>
      <c r="F4027" s="14">
        <v>3610</v>
      </c>
      <c r="G4027" s="14">
        <v>3532.3850000000002</v>
      </c>
      <c r="H4027" s="37">
        <f>'Calculation Sheet'!N4027</f>
        <v>3532.3850000000002</v>
      </c>
    </row>
    <row r="4028" spans="1:8" x14ac:dyDescent="0.25">
      <c r="A4028" s="17"/>
      <c r="B4028" s="17"/>
      <c r="C4028" s="15" t="s">
        <v>2981</v>
      </c>
      <c r="D4028" s="14"/>
      <c r="E4028" s="14" t="s">
        <v>2841</v>
      </c>
      <c r="F4028" s="14">
        <v>1954</v>
      </c>
      <c r="G4028" s="14">
        <v>1911.989</v>
      </c>
      <c r="H4028" s="37">
        <f>'Calculation Sheet'!N4028</f>
        <v>1911.989</v>
      </c>
    </row>
    <row r="4029" spans="1:8" x14ac:dyDescent="0.25">
      <c r="A4029" s="17"/>
      <c r="B4029" s="17"/>
      <c r="C4029" s="15" t="s">
        <v>2981</v>
      </c>
      <c r="D4029" s="14"/>
      <c r="E4029" s="14" t="s">
        <v>2841</v>
      </c>
      <c r="F4029" s="14">
        <v>14443</v>
      </c>
      <c r="G4029" s="14">
        <v>14132.4755</v>
      </c>
      <c r="H4029" s="37">
        <f>'Calculation Sheet'!N4029</f>
        <v>14132.4755</v>
      </c>
    </row>
    <row r="4030" spans="1:8" x14ac:dyDescent="0.25">
      <c r="A4030" s="17"/>
      <c r="B4030" s="17"/>
      <c r="C4030" s="15" t="s">
        <v>2982</v>
      </c>
      <c r="D4030" s="14"/>
      <c r="E4030" s="14" t="s">
        <v>2841</v>
      </c>
      <c r="F4030" s="14">
        <v>3610</v>
      </c>
      <c r="G4030" s="14">
        <v>3532.3850000000002</v>
      </c>
      <c r="H4030" s="37">
        <f>'Calculation Sheet'!N4030</f>
        <v>3532.3850000000002</v>
      </c>
    </row>
    <row r="4031" spans="1:8" x14ac:dyDescent="0.25">
      <c r="A4031" s="17"/>
      <c r="B4031" s="17"/>
      <c r="C4031" s="15" t="s">
        <v>2982</v>
      </c>
      <c r="D4031" s="14"/>
      <c r="E4031" s="14" t="s">
        <v>2841</v>
      </c>
      <c r="F4031" s="14">
        <v>14443</v>
      </c>
      <c r="G4031" s="14">
        <v>14132.4755</v>
      </c>
      <c r="H4031" s="37">
        <f>'Calculation Sheet'!N4031</f>
        <v>14132.4755</v>
      </c>
    </row>
    <row r="4032" spans="1:8" ht="15.75" thickBot="1" x14ac:dyDescent="0.3">
      <c r="A4032" s="18"/>
      <c r="B4032" s="18"/>
      <c r="C4032" s="19" t="s">
        <v>2982</v>
      </c>
      <c r="D4032" s="20"/>
      <c r="E4032" s="20" t="s">
        <v>2841</v>
      </c>
      <c r="F4032" s="20">
        <v>1954</v>
      </c>
      <c r="G4032" s="20">
        <v>1911.989</v>
      </c>
      <c r="H4032" s="38">
        <f>'Calculation Sheet'!N4032</f>
        <v>1911.989</v>
      </c>
    </row>
  </sheetData>
  <autoFilter ref="A2:H4032" xr:uid="{3F73FAAB-4890-4C5E-8630-D27190AE7C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Addendum</vt:lpstr>
      <vt:lpstr>Master Input Sheet</vt:lpstr>
      <vt:lpstr>Calculation Sheet</vt:lpstr>
      <vt:lpstr>Outcome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RameGowda</dc:creator>
  <cp:lastModifiedBy>Nithin RameGowda</cp:lastModifiedBy>
  <dcterms:created xsi:type="dcterms:W3CDTF">2026-08-14T13:15:48Z</dcterms:created>
  <dcterms:modified xsi:type="dcterms:W3CDTF">2026-08-17T06:19:39Z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d92c68-2a83-439a-b4fb-1417e08591a3_Enabled">
    <vt:lpwstr>true</vt:lpwstr>
  </property>
  <property fmtid="{D5CDD505-2E9C-101B-9397-08002B2CF9AE}" pid="3" name="MSIP_Label_14d92c68-2a83-439a-b4fb-1417e08591a3_SetDate">
    <vt:lpwstr>2026-08-17T06:19:36Z</vt:lpwstr>
  </property>
  <property fmtid="{D5CDD505-2E9C-101B-9397-08002B2CF9AE}" pid="4" name="MSIP_Label_14d92c68-2a83-439a-b4fb-1417e08591a3_Method">
    <vt:lpwstr>Privileged</vt:lpwstr>
  </property>
  <property fmtid="{D5CDD505-2E9C-101B-9397-08002B2CF9AE}" pid="5" name="MSIP_Label_14d92c68-2a83-439a-b4fb-1417e08591a3_Name">
    <vt:lpwstr>Anyone (unrestricted)</vt:lpwstr>
  </property>
  <property fmtid="{D5CDD505-2E9C-101B-9397-08002B2CF9AE}" pid="6" name="MSIP_Label_14d92c68-2a83-439a-b4fb-1417e08591a3_SiteId">
    <vt:lpwstr>547b64a7-e66e-48df-a146-3e898cbcb60f</vt:lpwstr>
  </property>
  <property fmtid="{D5CDD505-2E9C-101B-9397-08002B2CF9AE}" pid="7" name="MSIP_Label_14d92c68-2a83-439a-b4fb-1417e08591a3_ActionId">
    <vt:lpwstr>bc5d46c3-9a89-4620-bee6-98c2c11ef9d2</vt:lpwstr>
  </property>
  <property fmtid="{D5CDD505-2E9C-101B-9397-08002B2CF9AE}" pid="8" name="MSIP_Label_14d92c68-2a83-439a-b4fb-1417e08591a3_ContentBits">
    <vt:lpwstr>0</vt:lpwstr>
  </property>
  <property fmtid="{D5CDD505-2E9C-101B-9397-08002B2CF9AE}" pid="9" name="MSIP_Label_14d92c68-2a83-439a-b4fb-1417e08591a3_Tag">
    <vt:lpwstr>10, 0, 1, 1</vt:lpwstr>
  </property>
</Properties>
</file>